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updateLinks="never" codeName="EstaPasta_de_trabalho" defaultThemeVersion="124226"/>
  <mc:AlternateContent xmlns:mc="http://schemas.openxmlformats.org/markup-compatibility/2006">
    <mc:Choice Requires="x15">
      <x15ac:absPath xmlns:x15ac="http://schemas.microsoft.com/office/spreadsheetml/2010/11/ac" url="D:\OneDrive\2.RELATÓRIOS HP\"/>
    </mc:Choice>
  </mc:AlternateContent>
  <bookViews>
    <workbookView showSheetTabs="0" xWindow="0" yWindow="960" windowWidth="12000" windowHeight="4050" tabRatio="649" firstSheet="1" activeTab="7"/>
  </bookViews>
  <sheets>
    <sheet name="ACCESS" sheetId="13" state="hidden" r:id="rId1"/>
    <sheet name="HOME" sheetId="16" r:id="rId2"/>
    <sheet name="BASE_GERAL" sheetId="2" r:id="rId3"/>
    <sheet name="VIRARAM PESQUISAS" sheetId="11" state="hidden" r:id="rId4"/>
    <sheet name="PRINTERS" sheetId="8" r:id="rId5"/>
    <sheet name="LOG_ATIVIDADE" sheetId="12" state="hidden" r:id="rId6"/>
    <sheet name="BASE_QUALIDADE" sheetId="10" state="hidden" r:id="rId7"/>
    <sheet name="ACESSO" sheetId="14" r:id="rId8"/>
    <sheet name="LISTAS_VALIDAÇÃO" sheetId="15" state="hidden" r:id="rId9"/>
  </sheets>
  <externalReferences>
    <externalReference r:id="rId10"/>
  </externalReferences>
  <definedNames>
    <definedName name="_xlnm._FilterDatabase" localSheetId="6" hidden="1">BASE_QUALIDADE!$A$1:$EY$413</definedName>
    <definedName name="_xlnm._FilterDatabase" localSheetId="1" hidden="1">HOME!$B$24:$R$25</definedName>
    <definedName name="_xlnm._FilterDatabase" localSheetId="4" hidden="1">PRINTERS!$A$3:$O$411</definedName>
    <definedName name="AGENTES_LISTA">tblLISTAS[AGENTES]</definedName>
    <definedName name="BASE">BASE_GERAL!$A$5:$S$1048576</definedName>
    <definedName name="BASE_CAB">BASE_GERAL!$A$5:$S$5</definedName>
    <definedName name="BASE_CASOS">BASE_GERAL!$D$5:$D$1048576</definedName>
    <definedName name="CONTATO_LIST">tblLISTAS[TIPO DE CONTATO]</definedName>
    <definedName name="PROTOCOLO_PESQUISAS">BASE_QUALIDADE!$Z:$Z</definedName>
    <definedName name="QUALIDADE">BASE_QUALIDADE!$A:$EY</definedName>
    <definedName name="QUALIDADE_CAB">BASE_QUALIDADE!$1:$1</definedName>
    <definedName name="Z_223F82A9_FB85_4B3D_AB4E_D79A2EC17267_.wvu.FilterData" localSheetId="2" hidden="1">BASE_GERAL!#REF!</definedName>
    <definedName name="Z_65167C1A_C789_41B3_92B4_7AA4E449F600_.wvu.FilterData" localSheetId="2" hidden="1">BASE_GERAL!#REF!</definedName>
    <definedName name="Z_69BA9A2D_1E1C_4A5F_90FA_2A8A3A31A904_.wvu.FilterData" localSheetId="2" hidden="1">BASE_GERAL!#REF!</definedName>
    <definedName name="Z_70B8F14D_6932_44B3_9400_8A4AD152727D_.wvu.FilterData" localSheetId="2" hidden="1">BASE_GERAL!#REF!</definedName>
    <definedName name="Z_7DD15FBB_490E_4EC9_92CF_6E4A01345109_.wvu.FilterData" localSheetId="2" hidden="1">BASE_GERAL!#REF!</definedName>
    <definedName name="Z_96F581F4_B129_4CE3_9428_62F0C92EC94E_.wvu.FilterData" localSheetId="2" hidden="1">BASE_GERAL!#REF!</definedName>
    <definedName name="Z_CB1A3827_3EBE_432E_8A98_FADF5D8A722C_.wvu.FilterData" localSheetId="2" hidden="1">BASE_GERAL!#REF!</definedName>
    <definedName name="Z_EBEA62EB_1615_472C_A901_345B29B393D8_.wvu.FilterData" localSheetId="2" hidden="1">BASE_GERAL!#REF!</definedName>
  </definedNames>
  <calcPr calcId="171027" calcMode="manual"/>
  <customWorkbookViews>
    <customWorkbookView name="Vinicius Ferreira Gomes - Modo de exibição pessoal" guid="{EBEA62EB-1615-472C-A901-345B29B393D8}" mergeInterval="0" personalView="1" maximized="1" windowWidth="1596" windowHeight="675" tabRatio="0" activeSheetId="4" showComments="commIndAndComment"/>
    <customWorkbookView name="Renan Cazumba_x0009_Tegani - Modo de exibição pessoal" guid="{70B8F14D-6932-44B3-9400-8A4AD152727D}" mergeInterval="0" personalView="1" maximized="1" windowWidth="1596" windowHeight="675" tabRatio="0" activeSheetId="4"/>
    <customWorkbookView name="MX - Personal View" guid="{96F581F4-B129-4CE3-9428-62F0C92EC94E}" mergeInterval="0" personalView="1" maximized="1" windowWidth="1596" windowHeight="679" tabRatio="0" activeSheetId="4"/>
    <customWorkbookView name="Stefany Aparecida Alexandre de Franca - Modo de exibição pessoal" guid="{7DD15FBB-490E-4EC9-92CF-6E4A01345109}" mergeInterval="0" personalView="1" maximized="1" xWindow="-8" yWindow="-8" windowWidth="1456" windowHeight="876" tabRatio="0" activeSheetId="6"/>
    <customWorkbookView name="Daniela Andrade Silva - Personal View" guid="{223F82A9-FB85-4B3D-AB4E-D79A2EC17267}" mergeInterval="0" personalView="1" maximized="1" xWindow="-8" yWindow="-8" windowWidth="1616" windowHeight="876" tabRatio="670" activeSheetId="6"/>
    <customWorkbookView name="Jefte Soares Da Silva - Modo de exibição pessoal" guid="{69BA9A2D-1E1C-4A5F-90FA-2A8A3A31A904}" mergeInterval="0" personalView="1" maximized="1" xWindow="-8" yWindow="-8" windowWidth="1616" windowHeight="876" tabRatio="0" activeSheetId="6"/>
    <customWorkbookView name="Ivanildo Junior - Modo de exibição pessoal" guid="{CB1A3827-3EBE-432E-8A98-FADF5D8A722C}" mergeInterval="0" personalView="1" maximized="1" windowWidth="1596" windowHeight="615" activeSheetId="3"/>
  </customWorkbookViews>
</workbook>
</file>

<file path=xl/calcChain.xml><?xml version="1.0" encoding="utf-8"?>
<calcChain xmlns="http://schemas.openxmlformats.org/spreadsheetml/2006/main">
  <c r="B3392" i="12" l="1"/>
  <c r="C3392" i="12"/>
  <c r="E3392" i="12"/>
  <c r="F3392" i="12"/>
  <c r="B3391" i="12"/>
  <c r="C3391" i="12"/>
  <c r="E3391" i="12"/>
  <c r="F3391" i="12"/>
  <c r="B3390" i="12" l="1"/>
  <c r="C3390" i="12"/>
  <c r="E3390" i="12"/>
  <c r="F3390" i="12"/>
  <c r="B3389" i="12"/>
  <c r="C3389" i="12"/>
  <c r="E3389" i="12"/>
  <c r="F3389" i="12"/>
  <c r="B3388" i="12"/>
  <c r="C3388" i="12"/>
  <c r="E3388" i="12"/>
  <c r="F3388" i="12"/>
  <c r="B3387" i="12"/>
  <c r="C3387" i="12"/>
  <c r="E3387" i="12"/>
  <c r="F3387" i="12"/>
  <c r="B3386" i="12"/>
  <c r="C3386" i="12"/>
  <c r="E3386" i="12"/>
  <c r="F3386" i="12"/>
  <c r="B3385" i="12"/>
  <c r="C3385" i="12"/>
  <c r="E3385" i="12"/>
  <c r="F3385" i="12"/>
  <c r="B3384" i="12"/>
  <c r="C3384" i="12"/>
  <c r="E3384" i="12"/>
  <c r="F3384" i="12"/>
  <c r="B3383" i="12"/>
  <c r="C3383" i="12"/>
  <c r="E3383" i="12"/>
  <c r="F3383" i="12"/>
  <c r="B3382" i="12"/>
  <c r="C3382" i="12"/>
  <c r="E3382" i="12"/>
  <c r="F3382" i="12"/>
  <c r="B3381" i="12"/>
  <c r="C3381" i="12"/>
  <c r="E3381" i="12"/>
  <c r="F3381" i="12"/>
  <c r="B3380" i="12"/>
  <c r="C3380" i="12"/>
  <c r="E3380" i="12"/>
  <c r="F3380" i="12"/>
  <c r="B3379" i="12"/>
  <c r="C3379" i="12"/>
  <c r="E3379" i="12"/>
  <c r="F3379" i="12"/>
  <c r="B3378" i="12"/>
  <c r="C3378" i="12"/>
  <c r="E3378" i="12"/>
  <c r="F3378" i="12"/>
  <c r="B3377" i="12"/>
  <c r="C3377" i="12"/>
  <c r="E3377" i="12"/>
  <c r="F3377" i="12"/>
  <c r="B3376" i="12"/>
  <c r="C3376" i="12"/>
  <c r="E3376" i="12"/>
  <c r="F3376" i="12"/>
  <c r="B3375" i="12"/>
  <c r="C3375" i="12"/>
  <c r="E3375" i="12"/>
  <c r="F3375" i="12"/>
  <c r="B3374" i="12"/>
  <c r="C3374" i="12"/>
  <c r="E3374" i="12"/>
  <c r="F3374" i="12"/>
  <c r="B3373" i="12"/>
  <c r="C3373" i="12"/>
  <c r="E3373" i="12"/>
  <c r="F3373" i="12"/>
  <c r="B3372" i="12"/>
  <c r="C3372" i="12"/>
  <c r="E3372" i="12"/>
  <c r="F3372" i="12"/>
  <c r="B3371" i="12"/>
  <c r="C3371" i="12"/>
  <c r="E3371" i="12"/>
  <c r="F3371" i="12"/>
  <c r="B3370" i="12"/>
  <c r="C3370" i="12"/>
  <c r="E3370" i="12"/>
  <c r="F3370" i="12"/>
  <c r="B3369" i="12"/>
  <c r="C3369" i="12"/>
  <c r="E3369" i="12"/>
  <c r="F3369" i="12"/>
  <c r="B3368" i="12"/>
  <c r="C3368" i="12"/>
  <c r="E3368" i="12"/>
  <c r="F3368" i="12"/>
  <c r="B3367" i="12"/>
  <c r="C3367" i="12"/>
  <c r="E3367" i="12"/>
  <c r="F3367" i="12"/>
  <c r="B3366" i="12"/>
  <c r="C3366" i="12"/>
  <c r="E3366" i="12"/>
  <c r="F3366" i="12"/>
  <c r="B3365" i="12"/>
  <c r="C3365" i="12"/>
  <c r="E3365" i="12"/>
  <c r="F3365" i="12"/>
  <c r="B3364" i="12"/>
  <c r="C3364" i="12"/>
  <c r="E3364" i="12"/>
  <c r="F3364" i="12"/>
  <c r="B3363" i="12"/>
  <c r="C3363" i="12"/>
  <c r="E3363" i="12"/>
  <c r="F3363" i="12"/>
  <c r="B3362" i="12"/>
  <c r="C3362" i="12"/>
  <c r="E3362" i="12"/>
  <c r="F3362" i="12"/>
  <c r="B3361" i="12"/>
  <c r="C3361" i="12"/>
  <c r="E3361" i="12"/>
  <c r="F3361" i="12"/>
  <c r="B3360" i="12"/>
  <c r="C3360" i="12"/>
  <c r="E3360" i="12"/>
  <c r="F3360" i="12"/>
  <c r="B3359" i="12"/>
  <c r="C3359" i="12"/>
  <c r="E3359" i="12"/>
  <c r="F3359" i="12"/>
  <c r="B3358" i="12"/>
  <c r="C3358" i="12"/>
  <c r="E3358" i="12"/>
  <c r="F3358" i="12"/>
  <c r="B3357" i="12"/>
  <c r="C3357" i="12"/>
  <c r="E3357" i="12"/>
  <c r="F3357" i="12"/>
  <c r="B3356" i="12"/>
  <c r="C3356" i="12"/>
  <c r="E3356" i="12"/>
  <c r="F3356" i="12"/>
  <c r="B3355" i="12"/>
  <c r="C3355" i="12"/>
  <c r="E3355" i="12"/>
  <c r="F3355" i="12"/>
  <c r="B3354" i="12"/>
  <c r="C3354" i="12"/>
  <c r="E3354" i="12"/>
  <c r="F3354" i="12"/>
  <c r="B3353" i="12"/>
  <c r="C3353" i="12"/>
  <c r="E3353" i="12"/>
  <c r="F3353" i="12"/>
  <c r="B3352" i="12"/>
  <c r="C3352" i="12"/>
  <c r="E3352" i="12"/>
  <c r="F3352" i="12"/>
  <c r="B3351" i="12"/>
  <c r="C3351" i="12"/>
  <c r="E3351" i="12"/>
  <c r="F3351" i="12"/>
  <c r="B3350" i="12"/>
  <c r="C3350" i="12"/>
  <c r="E3350" i="12"/>
  <c r="F3350" i="12"/>
  <c r="B3349" i="12"/>
  <c r="C3349" i="12"/>
  <c r="E3349" i="12"/>
  <c r="F3349" i="12"/>
  <c r="B3348" i="12"/>
  <c r="C3348" i="12"/>
  <c r="E3348" i="12"/>
  <c r="F3348" i="12"/>
  <c r="B3347" i="12"/>
  <c r="C3347" i="12"/>
  <c r="E3347" i="12"/>
  <c r="F3347" i="12"/>
  <c r="B3346" i="12"/>
  <c r="C3346" i="12"/>
  <c r="E3346" i="12"/>
  <c r="F3346" i="12"/>
  <c r="B3345" i="12"/>
  <c r="C3345" i="12"/>
  <c r="E3345" i="12"/>
  <c r="F3345" i="12"/>
  <c r="B3344" i="12"/>
  <c r="C3344" i="12"/>
  <c r="E3344" i="12"/>
  <c r="F3344" i="12"/>
  <c r="B3343" i="12"/>
  <c r="C3343" i="12"/>
  <c r="E3343" i="12"/>
  <c r="F3343" i="12"/>
  <c r="B3342" i="12"/>
  <c r="C3342" i="12"/>
  <c r="E3342" i="12"/>
  <c r="F3342" i="12"/>
  <c r="B3341" i="12"/>
  <c r="C3341" i="12"/>
  <c r="E3341" i="12"/>
  <c r="F3341" i="12"/>
  <c r="B3340" i="12"/>
  <c r="C3340" i="12"/>
  <c r="E3340" i="12"/>
  <c r="F3340" i="12"/>
  <c r="B3339" i="12"/>
  <c r="C3339" i="12"/>
  <c r="E3339" i="12"/>
  <c r="F3339" i="12"/>
  <c r="B3338" i="12"/>
  <c r="C3338" i="12"/>
  <c r="E3338" i="12"/>
  <c r="F3338" i="12"/>
  <c r="B3337" i="12"/>
  <c r="C3337" i="12"/>
  <c r="E3337" i="12"/>
  <c r="F3337" i="12"/>
  <c r="B3336" i="12"/>
  <c r="C3336" i="12"/>
  <c r="E3336" i="12"/>
  <c r="F3336" i="12"/>
  <c r="B3335" i="12"/>
  <c r="C3335" i="12"/>
  <c r="E3335" i="12"/>
  <c r="F3335" i="12"/>
  <c r="B3334" i="12"/>
  <c r="C3334" i="12"/>
  <c r="E3334" i="12"/>
  <c r="F3334" i="12"/>
  <c r="B3333" i="12"/>
  <c r="C3333" i="12"/>
  <c r="E3333" i="12"/>
  <c r="F3333" i="12"/>
  <c r="B3332" i="12"/>
  <c r="C3332" i="12"/>
  <c r="E3332" i="12"/>
  <c r="F3332" i="12"/>
  <c r="B3331" i="12"/>
  <c r="C3331" i="12"/>
  <c r="E3331" i="12"/>
  <c r="F3331" i="12"/>
  <c r="B3330" i="12"/>
  <c r="C3330" i="12"/>
  <c r="E3330" i="12"/>
  <c r="F3330" i="12"/>
  <c r="B3329" i="12"/>
  <c r="C3329" i="12"/>
  <c r="E3329" i="12"/>
  <c r="F3329" i="12"/>
  <c r="B3328" i="12"/>
  <c r="C3328" i="12"/>
  <c r="E3328" i="12"/>
  <c r="F3328" i="12"/>
  <c r="S1360" i="2"/>
  <c r="R1360" i="2"/>
  <c r="K1360" i="2"/>
  <c r="I1360" i="2"/>
  <c r="G1360" i="2"/>
  <c r="B1360" i="2"/>
  <c r="A1360" i="2"/>
  <c r="S1359" i="2"/>
  <c r="R1359" i="2"/>
  <c r="I1359" i="2"/>
  <c r="G1359" i="2"/>
  <c r="B1359" i="2"/>
  <c r="A1359" i="2"/>
  <c r="S1358" i="2"/>
  <c r="K1358" i="2" s="1"/>
  <c r="R1358" i="2"/>
  <c r="I1358" i="2"/>
  <c r="G1358" i="2"/>
  <c r="B1358" i="2"/>
  <c r="A1358" i="2"/>
  <c r="S1357" i="2"/>
  <c r="R1357" i="2"/>
  <c r="K1357" i="2" s="1"/>
  <c r="I1357" i="2"/>
  <c r="G1357" i="2"/>
  <c r="B1357" i="2"/>
  <c r="A1357" i="2"/>
  <c r="S1356" i="2"/>
  <c r="K1356" i="2" s="1"/>
  <c r="R1356" i="2"/>
  <c r="I1356" i="2"/>
  <c r="G1356" i="2"/>
  <c r="B1356" i="2"/>
  <c r="A1356" i="2"/>
  <c r="S1355" i="2"/>
  <c r="R1355" i="2"/>
  <c r="I1355" i="2"/>
  <c r="G1355" i="2"/>
  <c r="B1355" i="2"/>
  <c r="A1355" i="2"/>
  <c r="S1354" i="2"/>
  <c r="R1354" i="2"/>
  <c r="K1354" i="2"/>
  <c r="I1354" i="2"/>
  <c r="G1354" i="2"/>
  <c r="B1354" i="2"/>
  <c r="A1354" i="2"/>
  <c r="S1353" i="2"/>
  <c r="R1353" i="2"/>
  <c r="I1353" i="2"/>
  <c r="G1353" i="2"/>
  <c r="B1353" i="2"/>
  <c r="A1353" i="2"/>
  <c r="S1352" i="2"/>
  <c r="K1352" i="2" s="1"/>
  <c r="R1352" i="2"/>
  <c r="I1352" i="2"/>
  <c r="G1352" i="2"/>
  <c r="B1352" i="2"/>
  <c r="A1352" i="2"/>
  <c r="S1351" i="2"/>
  <c r="R1351" i="2"/>
  <c r="I1351" i="2"/>
  <c r="G1351" i="2"/>
  <c r="B1351" i="2"/>
  <c r="A1351" i="2"/>
  <c r="S1350" i="2"/>
  <c r="K1350" i="2" s="1"/>
  <c r="R1350" i="2"/>
  <c r="I1350" i="2"/>
  <c r="G1350" i="2"/>
  <c r="B1350" i="2"/>
  <c r="A1350" i="2"/>
  <c r="S1349" i="2"/>
  <c r="R1349" i="2"/>
  <c r="K1349" i="2" s="1"/>
  <c r="I1349" i="2"/>
  <c r="G1349" i="2"/>
  <c r="B1349" i="2"/>
  <c r="A1349" i="2"/>
  <c r="S1348" i="2"/>
  <c r="K1348" i="2" s="1"/>
  <c r="R1348" i="2"/>
  <c r="I1348" i="2"/>
  <c r="G1348" i="2"/>
  <c r="B1348" i="2"/>
  <c r="A1348" i="2"/>
  <c r="S1347" i="2"/>
  <c r="R1347" i="2"/>
  <c r="I1347" i="2"/>
  <c r="G1347" i="2"/>
  <c r="B1347" i="2"/>
  <c r="A1347" i="2"/>
  <c r="S1346" i="2"/>
  <c r="K1346" i="2" s="1"/>
  <c r="R1346" i="2"/>
  <c r="I1346" i="2"/>
  <c r="G1346" i="2"/>
  <c r="B1346" i="2"/>
  <c r="A1346" i="2"/>
  <c r="S1345" i="2"/>
  <c r="R1345" i="2"/>
  <c r="K1345" i="2" s="1"/>
  <c r="I1345" i="2"/>
  <c r="G1345" i="2"/>
  <c r="B1345" i="2"/>
  <c r="A1345" i="2"/>
  <c r="S1344" i="2"/>
  <c r="K1344" i="2" s="1"/>
  <c r="R1344" i="2"/>
  <c r="I1344" i="2"/>
  <c r="G1344" i="2"/>
  <c r="B1344" i="2"/>
  <c r="A1344" i="2"/>
  <c r="S1343" i="2"/>
  <c r="R1343" i="2"/>
  <c r="K1343" i="2" s="1"/>
  <c r="I1343" i="2"/>
  <c r="G1343" i="2"/>
  <c r="B1343" i="2"/>
  <c r="A1343" i="2"/>
  <c r="S1342" i="2"/>
  <c r="R1342" i="2"/>
  <c r="K1342" i="2"/>
  <c r="I1342" i="2"/>
  <c r="G1342" i="2"/>
  <c r="B1342" i="2"/>
  <c r="A1342" i="2"/>
  <c r="S1341" i="2"/>
  <c r="R1341" i="2"/>
  <c r="I1341" i="2"/>
  <c r="G1341" i="2"/>
  <c r="B1341" i="2"/>
  <c r="A1341" i="2"/>
  <c r="S1340" i="2"/>
  <c r="K1340" i="2" s="1"/>
  <c r="R1340" i="2"/>
  <c r="I1340" i="2"/>
  <c r="G1340" i="2"/>
  <c r="B1340" i="2"/>
  <c r="A1340" i="2"/>
  <c r="S1339" i="2"/>
  <c r="R1339" i="2"/>
  <c r="K1339" i="2" s="1"/>
  <c r="I1339" i="2"/>
  <c r="G1339" i="2"/>
  <c r="B1339" i="2"/>
  <c r="A1339" i="2"/>
  <c r="S1338" i="2"/>
  <c r="K1338" i="2" s="1"/>
  <c r="R1338" i="2"/>
  <c r="I1338" i="2"/>
  <c r="G1338" i="2"/>
  <c r="B1338" i="2"/>
  <c r="A1338" i="2"/>
  <c r="S1337" i="2"/>
  <c r="R1337" i="2"/>
  <c r="K1337" i="2" s="1"/>
  <c r="I1337" i="2"/>
  <c r="G1337" i="2"/>
  <c r="B1337" i="2"/>
  <c r="A1337" i="2"/>
  <c r="S1336" i="2"/>
  <c r="R1336" i="2"/>
  <c r="K1336" i="2"/>
  <c r="I1336" i="2"/>
  <c r="G1336" i="2"/>
  <c r="B1336" i="2"/>
  <c r="A1336" i="2"/>
  <c r="S1335" i="2"/>
  <c r="R1335" i="2"/>
  <c r="I1335" i="2"/>
  <c r="G1335" i="2"/>
  <c r="B1335" i="2"/>
  <c r="A1335" i="2"/>
  <c r="S1334" i="2"/>
  <c r="R1334" i="2"/>
  <c r="K1334" i="2"/>
  <c r="I1334" i="2"/>
  <c r="G1334" i="2"/>
  <c r="B1334" i="2"/>
  <c r="A1334" i="2"/>
  <c r="S1333" i="2"/>
  <c r="R1333" i="2"/>
  <c r="I1333" i="2"/>
  <c r="G1333" i="2"/>
  <c r="B1333" i="2"/>
  <c r="A1333" i="2"/>
  <c r="S1332" i="2"/>
  <c r="R1332" i="2"/>
  <c r="K1332" i="2" s="1"/>
  <c r="I1332" i="2"/>
  <c r="G1332" i="2"/>
  <c r="B1332" i="2"/>
  <c r="A1332" i="2"/>
  <c r="S1331" i="2"/>
  <c r="R1331" i="2"/>
  <c r="K1331" i="2" s="1"/>
  <c r="I1331" i="2"/>
  <c r="G1331" i="2"/>
  <c r="B1331" i="2"/>
  <c r="A1331" i="2"/>
  <c r="S1330" i="2"/>
  <c r="K1330" i="2" s="1"/>
  <c r="R1330" i="2"/>
  <c r="I1330" i="2"/>
  <c r="G1330" i="2"/>
  <c r="B1330" i="2"/>
  <c r="A1330" i="2"/>
  <c r="S1329" i="2"/>
  <c r="R1329" i="2"/>
  <c r="K1329" i="2" s="1"/>
  <c r="I1329" i="2"/>
  <c r="G1329" i="2"/>
  <c r="B1329" i="2"/>
  <c r="A1329" i="2"/>
  <c r="S1328" i="2"/>
  <c r="R1328" i="2"/>
  <c r="K1328" i="2"/>
  <c r="I1328" i="2"/>
  <c r="G1328" i="2"/>
  <c r="B1328" i="2"/>
  <c r="A1328" i="2"/>
  <c r="S1327" i="2"/>
  <c r="R1327" i="2"/>
  <c r="I1327" i="2"/>
  <c r="G1327" i="2"/>
  <c r="B1327" i="2"/>
  <c r="A1327" i="2"/>
  <c r="S1326" i="2"/>
  <c r="R1326" i="2"/>
  <c r="K1326" i="2"/>
  <c r="I1326" i="2"/>
  <c r="G1326" i="2"/>
  <c r="B1326" i="2"/>
  <c r="A1326" i="2"/>
  <c r="S1325" i="2"/>
  <c r="R1325" i="2"/>
  <c r="I1325" i="2"/>
  <c r="G1325" i="2"/>
  <c r="B1325" i="2"/>
  <c r="A1325" i="2"/>
  <c r="S1324" i="2"/>
  <c r="K1324" i="2" s="1"/>
  <c r="R1324" i="2"/>
  <c r="I1324" i="2"/>
  <c r="G1324" i="2"/>
  <c r="B1324" i="2"/>
  <c r="A1324" i="2"/>
  <c r="S1323" i="2"/>
  <c r="R1323" i="2"/>
  <c r="K1323" i="2" s="1"/>
  <c r="I1323" i="2"/>
  <c r="G1323" i="2"/>
  <c r="B1323" i="2"/>
  <c r="A1323" i="2"/>
  <c r="S1322" i="2"/>
  <c r="K1322" i="2" s="1"/>
  <c r="R1322" i="2"/>
  <c r="I1322" i="2"/>
  <c r="G1322" i="2"/>
  <c r="B1322" i="2"/>
  <c r="A1322" i="2"/>
  <c r="S1321" i="2"/>
  <c r="R1321" i="2"/>
  <c r="K1321" i="2" s="1"/>
  <c r="I1321" i="2"/>
  <c r="G1321" i="2"/>
  <c r="B1321" i="2"/>
  <c r="A1321" i="2"/>
  <c r="S1320" i="2"/>
  <c r="R1320" i="2"/>
  <c r="K1320" i="2"/>
  <c r="I1320" i="2"/>
  <c r="G1320" i="2"/>
  <c r="B1320" i="2"/>
  <c r="A1320" i="2"/>
  <c r="S1319" i="2"/>
  <c r="R1319" i="2"/>
  <c r="I1319" i="2"/>
  <c r="G1319" i="2"/>
  <c r="B1319" i="2"/>
  <c r="A1319" i="2"/>
  <c r="S1318" i="2"/>
  <c r="R1318" i="2"/>
  <c r="K1318" i="2"/>
  <c r="I1318" i="2"/>
  <c r="G1318" i="2"/>
  <c r="B1318" i="2"/>
  <c r="A1318" i="2"/>
  <c r="S1317" i="2"/>
  <c r="R1317" i="2"/>
  <c r="I1317" i="2"/>
  <c r="G1317" i="2"/>
  <c r="B1317" i="2"/>
  <c r="A1317" i="2"/>
  <c r="S1316" i="2"/>
  <c r="K1316" i="2" s="1"/>
  <c r="R1316" i="2"/>
  <c r="I1316" i="2"/>
  <c r="G1316" i="2"/>
  <c r="B1316" i="2"/>
  <c r="A1316" i="2"/>
  <c r="S1315" i="2"/>
  <c r="R1315" i="2"/>
  <c r="K1315" i="2" s="1"/>
  <c r="I1315" i="2"/>
  <c r="G1315" i="2"/>
  <c r="B1315" i="2"/>
  <c r="A1315" i="2"/>
  <c r="S1314" i="2"/>
  <c r="K1314" i="2" s="1"/>
  <c r="R1314" i="2"/>
  <c r="I1314" i="2"/>
  <c r="G1314" i="2"/>
  <c r="B1314" i="2"/>
  <c r="A1314" i="2"/>
  <c r="S1313" i="2"/>
  <c r="R1313" i="2"/>
  <c r="K1313" i="2" s="1"/>
  <c r="I1313" i="2"/>
  <c r="G1313" i="2"/>
  <c r="B1313" i="2"/>
  <c r="A1313" i="2"/>
  <c r="S1312" i="2"/>
  <c r="R1312" i="2"/>
  <c r="K1312" i="2"/>
  <c r="I1312" i="2"/>
  <c r="G1312" i="2"/>
  <c r="B1312" i="2"/>
  <c r="A1312" i="2"/>
  <c r="S1311" i="2"/>
  <c r="R1311" i="2"/>
  <c r="I1311" i="2"/>
  <c r="G1311" i="2"/>
  <c r="B1311" i="2"/>
  <c r="A1311" i="2"/>
  <c r="S1310" i="2"/>
  <c r="R1310" i="2"/>
  <c r="K1310" i="2"/>
  <c r="I1310" i="2"/>
  <c r="G1310" i="2"/>
  <c r="B1310" i="2"/>
  <c r="A1310" i="2"/>
  <c r="S1309" i="2"/>
  <c r="R1309" i="2"/>
  <c r="I1309" i="2"/>
  <c r="G1309" i="2"/>
  <c r="B1309" i="2"/>
  <c r="A1309" i="2"/>
  <c r="S1308" i="2"/>
  <c r="K1308" i="2" s="1"/>
  <c r="R1308" i="2"/>
  <c r="I1308" i="2"/>
  <c r="G1308" i="2"/>
  <c r="B1308" i="2"/>
  <c r="A1308" i="2"/>
  <c r="S1307" i="2"/>
  <c r="R1307" i="2"/>
  <c r="K1307" i="2" s="1"/>
  <c r="I1307" i="2"/>
  <c r="G1307" i="2"/>
  <c r="B1307" i="2"/>
  <c r="A1307" i="2"/>
  <c r="S1306" i="2"/>
  <c r="K1306" i="2" s="1"/>
  <c r="R1306" i="2"/>
  <c r="I1306" i="2"/>
  <c r="G1306" i="2"/>
  <c r="B1306" i="2"/>
  <c r="A1306" i="2"/>
  <c r="S1305" i="2"/>
  <c r="R1305" i="2"/>
  <c r="K1305" i="2" s="1"/>
  <c r="I1305" i="2"/>
  <c r="G1305" i="2"/>
  <c r="B1305" i="2"/>
  <c r="A1305" i="2"/>
  <c r="S1304" i="2"/>
  <c r="R1304" i="2"/>
  <c r="K1304" i="2"/>
  <c r="I1304" i="2"/>
  <c r="G1304" i="2"/>
  <c r="B1304" i="2"/>
  <c r="A1304" i="2"/>
  <c r="S1303" i="2"/>
  <c r="R1303" i="2"/>
  <c r="I1303" i="2"/>
  <c r="G1303" i="2"/>
  <c r="B1303" i="2"/>
  <c r="A1303" i="2"/>
  <c r="S1302" i="2"/>
  <c r="R1302" i="2"/>
  <c r="K1302" i="2"/>
  <c r="I1302" i="2"/>
  <c r="G1302" i="2"/>
  <c r="B1302" i="2"/>
  <c r="A1302" i="2"/>
  <c r="S1301" i="2"/>
  <c r="R1301" i="2"/>
  <c r="I1301" i="2"/>
  <c r="G1301" i="2"/>
  <c r="B1301" i="2"/>
  <c r="A1301" i="2"/>
  <c r="S1300" i="2"/>
  <c r="K1300" i="2" s="1"/>
  <c r="R1300" i="2"/>
  <c r="I1300" i="2"/>
  <c r="G1300" i="2"/>
  <c r="B1300" i="2"/>
  <c r="A1300" i="2"/>
  <c r="S1299" i="2"/>
  <c r="R1299" i="2"/>
  <c r="K1299" i="2" s="1"/>
  <c r="I1299" i="2"/>
  <c r="G1299" i="2"/>
  <c r="B1299" i="2"/>
  <c r="A1299" i="2"/>
  <c r="S1298" i="2"/>
  <c r="K1298" i="2" s="1"/>
  <c r="R1298" i="2"/>
  <c r="I1298" i="2"/>
  <c r="G1298" i="2"/>
  <c r="B1298" i="2"/>
  <c r="A1298" i="2"/>
  <c r="S1297" i="2"/>
  <c r="R1297" i="2"/>
  <c r="K1297" i="2" s="1"/>
  <c r="I1297" i="2"/>
  <c r="G1297" i="2"/>
  <c r="B1297" i="2"/>
  <c r="A1297" i="2"/>
  <c r="S1296" i="2"/>
  <c r="R1296" i="2"/>
  <c r="K1296" i="2"/>
  <c r="I1296" i="2"/>
  <c r="G1296" i="2"/>
  <c r="B1296" i="2"/>
  <c r="A1296" i="2"/>
  <c r="S1295" i="2"/>
  <c r="R1295" i="2"/>
  <c r="I1295" i="2"/>
  <c r="G1295" i="2"/>
  <c r="B1295" i="2"/>
  <c r="A1295" i="2"/>
  <c r="S1294" i="2"/>
  <c r="R1294" i="2"/>
  <c r="K1294" i="2" s="1"/>
  <c r="I1294" i="2"/>
  <c r="G1294" i="2"/>
  <c r="B1294" i="2"/>
  <c r="A1294" i="2"/>
  <c r="S1293" i="2"/>
  <c r="R1293" i="2"/>
  <c r="I1293" i="2"/>
  <c r="G1293" i="2"/>
  <c r="B1293" i="2"/>
  <c r="A1293" i="2"/>
  <c r="S1292" i="2"/>
  <c r="K1292" i="2" s="1"/>
  <c r="R1292" i="2"/>
  <c r="I1292" i="2"/>
  <c r="G1292" i="2"/>
  <c r="B1292" i="2"/>
  <c r="A1292" i="2"/>
  <c r="S1291" i="2"/>
  <c r="R1291" i="2"/>
  <c r="K1291" i="2" s="1"/>
  <c r="I1291" i="2"/>
  <c r="G1291" i="2"/>
  <c r="B1291" i="2"/>
  <c r="A1291" i="2"/>
  <c r="S1290" i="2"/>
  <c r="K1290" i="2" s="1"/>
  <c r="R1290" i="2"/>
  <c r="I1290" i="2"/>
  <c r="G1290" i="2"/>
  <c r="B1290" i="2"/>
  <c r="A1290" i="2"/>
  <c r="S1289" i="2"/>
  <c r="R1289" i="2"/>
  <c r="K1289" i="2" s="1"/>
  <c r="I1289" i="2"/>
  <c r="G1289" i="2"/>
  <c r="B1289" i="2"/>
  <c r="A1289" i="2"/>
  <c r="S1288" i="2"/>
  <c r="R1288" i="2"/>
  <c r="K1288" i="2"/>
  <c r="I1288" i="2"/>
  <c r="G1288" i="2"/>
  <c r="B1288" i="2"/>
  <c r="A1288" i="2"/>
  <c r="S1287" i="2"/>
  <c r="R1287" i="2"/>
  <c r="I1287" i="2"/>
  <c r="G1287" i="2"/>
  <c r="B1287" i="2"/>
  <c r="A1287" i="2"/>
  <c r="S1286" i="2"/>
  <c r="R1286" i="2"/>
  <c r="K1286" i="2"/>
  <c r="I1286" i="2"/>
  <c r="G1286" i="2"/>
  <c r="B1286" i="2"/>
  <c r="A1286" i="2"/>
  <c r="S1285" i="2"/>
  <c r="R1285" i="2"/>
  <c r="I1285" i="2"/>
  <c r="G1285" i="2"/>
  <c r="B1285" i="2"/>
  <c r="A1285" i="2"/>
  <c r="S1284" i="2"/>
  <c r="R1284" i="2"/>
  <c r="K1284" i="2" s="1"/>
  <c r="I1284" i="2"/>
  <c r="G1284" i="2"/>
  <c r="B1284" i="2"/>
  <c r="A1284" i="2"/>
  <c r="S1283" i="2"/>
  <c r="R1283" i="2"/>
  <c r="K1283" i="2" s="1"/>
  <c r="I1283" i="2"/>
  <c r="G1283" i="2"/>
  <c r="B1283" i="2"/>
  <c r="A1283" i="2"/>
  <c r="S1282" i="2"/>
  <c r="K1282" i="2" s="1"/>
  <c r="R1282" i="2"/>
  <c r="I1282" i="2"/>
  <c r="G1282" i="2"/>
  <c r="B1282" i="2"/>
  <c r="A1282" i="2"/>
  <c r="S1281" i="2"/>
  <c r="R1281" i="2"/>
  <c r="K1281" i="2" s="1"/>
  <c r="I1281" i="2"/>
  <c r="G1281" i="2"/>
  <c r="B1281" i="2"/>
  <c r="A1281" i="2"/>
  <c r="S1280" i="2"/>
  <c r="R1280" i="2"/>
  <c r="K1280" i="2"/>
  <c r="I1280" i="2"/>
  <c r="G1280" i="2"/>
  <c r="B1280" i="2"/>
  <c r="A1280" i="2"/>
  <c r="S1279" i="2"/>
  <c r="R1279" i="2"/>
  <c r="I1279" i="2"/>
  <c r="G1279" i="2"/>
  <c r="B1279" i="2"/>
  <c r="A1279" i="2"/>
  <c r="S1278" i="2"/>
  <c r="R1278" i="2"/>
  <c r="K1278" i="2"/>
  <c r="I1278" i="2"/>
  <c r="G1278" i="2"/>
  <c r="B1278" i="2"/>
  <c r="A1278" i="2"/>
  <c r="S1277" i="2"/>
  <c r="R1277" i="2"/>
  <c r="I1277" i="2"/>
  <c r="G1277" i="2"/>
  <c r="B1277" i="2"/>
  <c r="A1277" i="2"/>
  <c r="S1276" i="2"/>
  <c r="R1276" i="2"/>
  <c r="K1276" i="2" s="1"/>
  <c r="I1276" i="2"/>
  <c r="G1276" i="2"/>
  <c r="B1276" i="2"/>
  <c r="A1276" i="2"/>
  <c r="S1275" i="2"/>
  <c r="R1275" i="2"/>
  <c r="K1275" i="2" s="1"/>
  <c r="I1275" i="2"/>
  <c r="G1275" i="2"/>
  <c r="B1275" i="2"/>
  <c r="A1275" i="2"/>
  <c r="S1274" i="2"/>
  <c r="K1274" i="2" s="1"/>
  <c r="R1274" i="2"/>
  <c r="I1274" i="2"/>
  <c r="G1274" i="2"/>
  <c r="B1274" i="2"/>
  <c r="A1274" i="2"/>
  <c r="S1273" i="2"/>
  <c r="R1273" i="2"/>
  <c r="K1273" i="2" s="1"/>
  <c r="I1273" i="2"/>
  <c r="G1273" i="2"/>
  <c r="B1273" i="2"/>
  <c r="A1273" i="2"/>
  <c r="S1272" i="2"/>
  <c r="K1272" i="2" s="1"/>
  <c r="R1272" i="2"/>
  <c r="I1272" i="2"/>
  <c r="G1272" i="2"/>
  <c r="B1272" i="2"/>
  <c r="A1272" i="2"/>
  <c r="S1271" i="2"/>
  <c r="R1271" i="2"/>
  <c r="I1271" i="2"/>
  <c r="G1271" i="2"/>
  <c r="B1271" i="2"/>
  <c r="A1271" i="2"/>
  <c r="S1270" i="2"/>
  <c r="R1270" i="2"/>
  <c r="K1270" i="2"/>
  <c r="I1270" i="2"/>
  <c r="G1270" i="2"/>
  <c r="B1270" i="2"/>
  <c r="A1270" i="2"/>
  <c r="S1269" i="2"/>
  <c r="K1269" i="2" s="1"/>
  <c r="R1269" i="2"/>
  <c r="I1269" i="2"/>
  <c r="G1269" i="2"/>
  <c r="B1269" i="2"/>
  <c r="A1269" i="2"/>
  <c r="S1268" i="2"/>
  <c r="K1268" i="2" s="1"/>
  <c r="R1268" i="2"/>
  <c r="I1268" i="2"/>
  <c r="G1268" i="2"/>
  <c r="B1268" i="2"/>
  <c r="A1268" i="2"/>
  <c r="S1267" i="2"/>
  <c r="R1267" i="2"/>
  <c r="K1267" i="2" s="1"/>
  <c r="I1267" i="2"/>
  <c r="G1267" i="2"/>
  <c r="B1267" i="2"/>
  <c r="A1267" i="2"/>
  <c r="S1266" i="2"/>
  <c r="K1266" i="2" s="1"/>
  <c r="R1266" i="2"/>
  <c r="I1266" i="2"/>
  <c r="G1266" i="2"/>
  <c r="B1266" i="2"/>
  <c r="A1266" i="2"/>
  <c r="S1265" i="2"/>
  <c r="R1265" i="2"/>
  <c r="I1265" i="2"/>
  <c r="G1265" i="2"/>
  <c r="B1265" i="2"/>
  <c r="A1265" i="2"/>
  <c r="S1264" i="2"/>
  <c r="R1264" i="2"/>
  <c r="K1264" i="2"/>
  <c r="I1264" i="2"/>
  <c r="G1264" i="2"/>
  <c r="B1264" i="2"/>
  <c r="A1264" i="2"/>
  <c r="S1263" i="2"/>
  <c r="R1263" i="2"/>
  <c r="I1263" i="2"/>
  <c r="G1263" i="2"/>
  <c r="B1263" i="2"/>
  <c r="A1263" i="2"/>
  <c r="S1262" i="2"/>
  <c r="R1262" i="2"/>
  <c r="K1262" i="2" s="1"/>
  <c r="I1262" i="2"/>
  <c r="G1262" i="2"/>
  <c r="B1262" i="2"/>
  <c r="A1262" i="2"/>
  <c r="S1261" i="2"/>
  <c r="R1261" i="2"/>
  <c r="K1261" i="2" s="1"/>
  <c r="I1261" i="2"/>
  <c r="G1261" i="2"/>
  <c r="B1261" i="2"/>
  <c r="A1261" i="2"/>
  <c r="S1260" i="2"/>
  <c r="K1260" i="2" s="1"/>
  <c r="R1260" i="2"/>
  <c r="I1260" i="2"/>
  <c r="G1260" i="2"/>
  <c r="B1260" i="2"/>
  <c r="A1260" i="2"/>
  <c r="S1259" i="2"/>
  <c r="R1259" i="2"/>
  <c r="K1259" i="2" s="1"/>
  <c r="I1259" i="2"/>
  <c r="G1259" i="2"/>
  <c r="B1259" i="2"/>
  <c r="A1259" i="2"/>
  <c r="S1258" i="2"/>
  <c r="K1258" i="2" s="1"/>
  <c r="R1258" i="2"/>
  <c r="I1258" i="2"/>
  <c r="G1258" i="2"/>
  <c r="B1258" i="2"/>
  <c r="A1258" i="2"/>
  <c r="S1257" i="2"/>
  <c r="R1257" i="2"/>
  <c r="I1257" i="2"/>
  <c r="G1257" i="2"/>
  <c r="B1257" i="2"/>
  <c r="A1257" i="2"/>
  <c r="S1256" i="2"/>
  <c r="R1256" i="2"/>
  <c r="K1256" i="2"/>
  <c r="I1256" i="2"/>
  <c r="G1256" i="2"/>
  <c r="B1256" i="2"/>
  <c r="A1256" i="2"/>
  <c r="S1255" i="2"/>
  <c r="R1255" i="2"/>
  <c r="I1255" i="2"/>
  <c r="G1255" i="2"/>
  <c r="B1255" i="2"/>
  <c r="A1255" i="2"/>
  <c r="S1254" i="2"/>
  <c r="R1254" i="2"/>
  <c r="K1254" i="2" s="1"/>
  <c r="I1254" i="2"/>
  <c r="G1254" i="2"/>
  <c r="B1254" i="2"/>
  <c r="A1254" i="2"/>
  <c r="S1253" i="2"/>
  <c r="R1253" i="2"/>
  <c r="K1253" i="2" s="1"/>
  <c r="I1253" i="2"/>
  <c r="G1253" i="2"/>
  <c r="B1253" i="2"/>
  <c r="A1253" i="2"/>
  <c r="S1252" i="2"/>
  <c r="K1252" i="2" s="1"/>
  <c r="R1252" i="2"/>
  <c r="I1252" i="2"/>
  <c r="G1252" i="2"/>
  <c r="B1252" i="2"/>
  <c r="A1252" i="2"/>
  <c r="S1251" i="2"/>
  <c r="R1251" i="2"/>
  <c r="K1251" i="2" s="1"/>
  <c r="I1251" i="2"/>
  <c r="G1251" i="2"/>
  <c r="B1251" i="2"/>
  <c r="A1251" i="2"/>
  <c r="S1250" i="2"/>
  <c r="K1250" i="2" s="1"/>
  <c r="R1250" i="2"/>
  <c r="I1250" i="2"/>
  <c r="G1250" i="2"/>
  <c r="B1250" i="2"/>
  <c r="A1250" i="2"/>
  <c r="S1249" i="2"/>
  <c r="R1249" i="2"/>
  <c r="I1249" i="2"/>
  <c r="G1249" i="2"/>
  <c r="B1249" i="2"/>
  <c r="A1249" i="2"/>
  <c r="S1248" i="2"/>
  <c r="R1248" i="2"/>
  <c r="K1248" i="2"/>
  <c r="I1248" i="2"/>
  <c r="G1248" i="2"/>
  <c r="B1248" i="2"/>
  <c r="A1248" i="2"/>
  <c r="S1247" i="2"/>
  <c r="R1247" i="2"/>
  <c r="I1247" i="2"/>
  <c r="G1247" i="2"/>
  <c r="B1247" i="2"/>
  <c r="A1247" i="2"/>
  <c r="S1246" i="2"/>
  <c r="R1246" i="2"/>
  <c r="K1246" i="2" s="1"/>
  <c r="I1246" i="2"/>
  <c r="G1246" i="2"/>
  <c r="B1246" i="2"/>
  <c r="A1246" i="2"/>
  <c r="S1245" i="2"/>
  <c r="R1245" i="2"/>
  <c r="K1245" i="2" s="1"/>
  <c r="I1245" i="2"/>
  <c r="G1245" i="2"/>
  <c r="B1245" i="2"/>
  <c r="A1245" i="2"/>
  <c r="S1244" i="2"/>
  <c r="K1244" i="2" s="1"/>
  <c r="R1244" i="2"/>
  <c r="I1244" i="2"/>
  <c r="G1244" i="2"/>
  <c r="B1244" i="2"/>
  <c r="A1244" i="2"/>
  <c r="S1243" i="2"/>
  <c r="R1243" i="2"/>
  <c r="K1243" i="2" s="1"/>
  <c r="I1243" i="2"/>
  <c r="G1243" i="2"/>
  <c r="B1243" i="2"/>
  <c r="A1243" i="2"/>
  <c r="S1242" i="2"/>
  <c r="K1242" i="2" s="1"/>
  <c r="R1242" i="2"/>
  <c r="I1242" i="2"/>
  <c r="G1242" i="2"/>
  <c r="B1242" i="2"/>
  <c r="A1242" i="2"/>
  <c r="S1241" i="2"/>
  <c r="R1241" i="2"/>
  <c r="I1241" i="2"/>
  <c r="G1241" i="2"/>
  <c r="B1241" i="2"/>
  <c r="A1241" i="2"/>
  <c r="S1240" i="2"/>
  <c r="R1240" i="2"/>
  <c r="K1240" i="2"/>
  <c r="I1240" i="2"/>
  <c r="G1240" i="2"/>
  <c r="B1240" i="2"/>
  <c r="A1240" i="2"/>
  <c r="S1239" i="2"/>
  <c r="R1239" i="2"/>
  <c r="I1239" i="2"/>
  <c r="G1239" i="2"/>
  <c r="B1239" i="2"/>
  <c r="A1239" i="2"/>
  <c r="S1238" i="2"/>
  <c r="R1238" i="2"/>
  <c r="K1238" i="2" s="1"/>
  <c r="I1238" i="2"/>
  <c r="G1238" i="2"/>
  <c r="B1238" i="2"/>
  <c r="A1238" i="2"/>
  <c r="S1237" i="2"/>
  <c r="R1237" i="2"/>
  <c r="K1237" i="2" s="1"/>
  <c r="I1237" i="2"/>
  <c r="G1237" i="2"/>
  <c r="B1237" i="2"/>
  <c r="A1237" i="2"/>
  <c r="S1236" i="2"/>
  <c r="K1236" i="2" s="1"/>
  <c r="R1236" i="2"/>
  <c r="I1236" i="2"/>
  <c r="G1236" i="2"/>
  <c r="B1236" i="2"/>
  <c r="A1236" i="2"/>
  <c r="S1235" i="2"/>
  <c r="R1235" i="2"/>
  <c r="K1235" i="2" s="1"/>
  <c r="I1235" i="2"/>
  <c r="G1235" i="2"/>
  <c r="B1235" i="2"/>
  <c r="A1235" i="2"/>
  <c r="S1234" i="2"/>
  <c r="K1234" i="2" s="1"/>
  <c r="R1234" i="2"/>
  <c r="I1234" i="2"/>
  <c r="G1234" i="2"/>
  <c r="B1234" i="2"/>
  <c r="A1234" i="2"/>
  <c r="S1233" i="2"/>
  <c r="R1233" i="2"/>
  <c r="I1233" i="2"/>
  <c r="G1233" i="2"/>
  <c r="B1233" i="2"/>
  <c r="A1233" i="2"/>
  <c r="S1232" i="2"/>
  <c r="R1232" i="2"/>
  <c r="K1232" i="2"/>
  <c r="I1232" i="2"/>
  <c r="G1232" i="2"/>
  <c r="B1232" i="2"/>
  <c r="A1232" i="2"/>
  <c r="S1231" i="2"/>
  <c r="R1231" i="2"/>
  <c r="I1231" i="2"/>
  <c r="G1231" i="2"/>
  <c r="B1231" i="2"/>
  <c r="A1231" i="2"/>
  <c r="S1230" i="2"/>
  <c r="R1230" i="2"/>
  <c r="K1230" i="2"/>
  <c r="I1230" i="2"/>
  <c r="G1230" i="2"/>
  <c r="B1230" i="2"/>
  <c r="A1230" i="2"/>
  <c r="S1229" i="2"/>
  <c r="R1229" i="2"/>
  <c r="K1229" i="2" s="1"/>
  <c r="I1229" i="2"/>
  <c r="G1229" i="2"/>
  <c r="B1229" i="2"/>
  <c r="A1229" i="2"/>
  <c r="S1228" i="2"/>
  <c r="K1228" i="2" s="1"/>
  <c r="R1228" i="2"/>
  <c r="I1228" i="2"/>
  <c r="G1228" i="2"/>
  <c r="B1228" i="2"/>
  <c r="A1228" i="2"/>
  <c r="S1227" i="2"/>
  <c r="R1227" i="2"/>
  <c r="K1227" i="2" s="1"/>
  <c r="I1227" i="2"/>
  <c r="G1227" i="2"/>
  <c r="B1227" i="2"/>
  <c r="A1227" i="2"/>
  <c r="S1226" i="2"/>
  <c r="K1226" i="2" s="1"/>
  <c r="R1226" i="2"/>
  <c r="I1226" i="2"/>
  <c r="G1226" i="2"/>
  <c r="B1226" i="2"/>
  <c r="A1226" i="2"/>
  <c r="S1225" i="2"/>
  <c r="R1225" i="2"/>
  <c r="K1225" i="2" s="1"/>
  <c r="I1225" i="2"/>
  <c r="G1225" i="2"/>
  <c r="B1225" i="2"/>
  <c r="A1225" i="2"/>
  <c r="S1224" i="2"/>
  <c r="R1224" i="2"/>
  <c r="K1224" i="2"/>
  <c r="I1224" i="2"/>
  <c r="G1224" i="2"/>
  <c r="B1224" i="2"/>
  <c r="A1224" i="2"/>
  <c r="S1223" i="2"/>
  <c r="R1223" i="2"/>
  <c r="I1223" i="2"/>
  <c r="G1223" i="2"/>
  <c r="B1223" i="2"/>
  <c r="A1223" i="2"/>
  <c r="S1222" i="2"/>
  <c r="R1222" i="2"/>
  <c r="K1222" i="2"/>
  <c r="I1222" i="2"/>
  <c r="G1222" i="2"/>
  <c r="B1222" i="2"/>
  <c r="A1222" i="2"/>
  <c r="S1221" i="2"/>
  <c r="R1221" i="2"/>
  <c r="K1221" i="2" s="1"/>
  <c r="I1221" i="2"/>
  <c r="G1221" i="2"/>
  <c r="B1221" i="2"/>
  <c r="A1221" i="2"/>
  <c r="S1220" i="2"/>
  <c r="K1220" i="2" s="1"/>
  <c r="R1220" i="2"/>
  <c r="I1220" i="2"/>
  <c r="G1220" i="2"/>
  <c r="B1220" i="2"/>
  <c r="A1220" i="2"/>
  <c r="S1219" i="2"/>
  <c r="R1219" i="2"/>
  <c r="K1219" i="2" s="1"/>
  <c r="I1219" i="2"/>
  <c r="G1219" i="2"/>
  <c r="B1219" i="2"/>
  <c r="A1219" i="2"/>
  <c r="S1218" i="2"/>
  <c r="K1218" i="2" s="1"/>
  <c r="R1218" i="2"/>
  <c r="I1218" i="2"/>
  <c r="G1218" i="2"/>
  <c r="B1218" i="2"/>
  <c r="A1218" i="2"/>
  <c r="S1217" i="2"/>
  <c r="R1217" i="2"/>
  <c r="I1217" i="2"/>
  <c r="G1217" i="2"/>
  <c r="B1217" i="2"/>
  <c r="A1217" i="2"/>
  <c r="S1216" i="2"/>
  <c r="R1216" i="2"/>
  <c r="K1216" i="2"/>
  <c r="I1216" i="2"/>
  <c r="G1216" i="2"/>
  <c r="B1216" i="2"/>
  <c r="A1216" i="2"/>
  <c r="S1215" i="2"/>
  <c r="R1215" i="2"/>
  <c r="I1215" i="2"/>
  <c r="G1215" i="2"/>
  <c r="B1215" i="2"/>
  <c r="A1215" i="2"/>
  <c r="S1214" i="2"/>
  <c r="R1214" i="2"/>
  <c r="K1214" i="2" s="1"/>
  <c r="I1214" i="2"/>
  <c r="G1214" i="2"/>
  <c r="B1214" i="2"/>
  <c r="A1214" i="2"/>
  <c r="S1213" i="2"/>
  <c r="R1213" i="2"/>
  <c r="K1213" i="2" s="1"/>
  <c r="I1213" i="2"/>
  <c r="G1213" i="2"/>
  <c r="B1213" i="2"/>
  <c r="A1213" i="2"/>
  <c r="S1212" i="2"/>
  <c r="K1212" i="2" s="1"/>
  <c r="R1212" i="2"/>
  <c r="I1212" i="2"/>
  <c r="G1212" i="2"/>
  <c r="B1212" i="2"/>
  <c r="A1212" i="2"/>
  <c r="S1211" i="2"/>
  <c r="R1211" i="2"/>
  <c r="K1211" i="2" s="1"/>
  <c r="I1211" i="2"/>
  <c r="G1211" i="2"/>
  <c r="B1211" i="2"/>
  <c r="A1211" i="2"/>
  <c r="S1210" i="2"/>
  <c r="K1210" i="2" s="1"/>
  <c r="R1210" i="2"/>
  <c r="I1210" i="2"/>
  <c r="G1210" i="2"/>
  <c r="B1210" i="2"/>
  <c r="A1210" i="2"/>
  <c r="S1209" i="2"/>
  <c r="R1209" i="2"/>
  <c r="I1209" i="2"/>
  <c r="G1209" i="2"/>
  <c r="B1209" i="2"/>
  <c r="A1209" i="2"/>
  <c r="S1208" i="2"/>
  <c r="R1208" i="2"/>
  <c r="K1208" i="2"/>
  <c r="I1208" i="2"/>
  <c r="G1208" i="2"/>
  <c r="B1208" i="2"/>
  <c r="A1208" i="2"/>
  <c r="S1207" i="2"/>
  <c r="R1207" i="2"/>
  <c r="I1207" i="2"/>
  <c r="G1207" i="2"/>
  <c r="B1207" i="2"/>
  <c r="A1207" i="2"/>
  <c r="S1206" i="2"/>
  <c r="R1206" i="2"/>
  <c r="K1206" i="2" s="1"/>
  <c r="I1206" i="2"/>
  <c r="G1206" i="2"/>
  <c r="B1206" i="2"/>
  <c r="A1206" i="2"/>
  <c r="S1205" i="2"/>
  <c r="R1205" i="2"/>
  <c r="K1205" i="2" s="1"/>
  <c r="I1205" i="2"/>
  <c r="G1205" i="2"/>
  <c r="B1205" i="2"/>
  <c r="A1205" i="2"/>
  <c r="S1204" i="2"/>
  <c r="K1204" i="2" s="1"/>
  <c r="R1204" i="2"/>
  <c r="I1204" i="2"/>
  <c r="G1204" i="2"/>
  <c r="B1204" i="2"/>
  <c r="A1204" i="2"/>
  <c r="S1203" i="2"/>
  <c r="R1203" i="2"/>
  <c r="K1203" i="2" s="1"/>
  <c r="I1203" i="2"/>
  <c r="G1203" i="2"/>
  <c r="B1203" i="2"/>
  <c r="A1203" i="2"/>
  <c r="S1202" i="2"/>
  <c r="K1202" i="2" s="1"/>
  <c r="R1202" i="2"/>
  <c r="I1202" i="2"/>
  <c r="G1202" i="2"/>
  <c r="B1202" i="2"/>
  <c r="A1202" i="2"/>
  <c r="S1201" i="2"/>
  <c r="R1201" i="2"/>
  <c r="I1201" i="2"/>
  <c r="G1201" i="2"/>
  <c r="B1201" i="2"/>
  <c r="A1201" i="2"/>
  <c r="S1200" i="2"/>
  <c r="R1200" i="2"/>
  <c r="K1200" i="2"/>
  <c r="I1200" i="2"/>
  <c r="G1200" i="2"/>
  <c r="B1200" i="2"/>
  <c r="A1200" i="2"/>
  <c r="S1199" i="2"/>
  <c r="R1199" i="2"/>
  <c r="I1199" i="2"/>
  <c r="G1199" i="2"/>
  <c r="B1199" i="2"/>
  <c r="A1199" i="2"/>
  <c r="S1198" i="2"/>
  <c r="R1198" i="2"/>
  <c r="K1198" i="2" s="1"/>
  <c r="I1198" i="2"/>
  <c r="G1198" i="2"/>
  <c r="B1198" i="2"/>
  <c r="A1198" i="2"/>
  <c r="S1197" i="2"/>
  <c r="R1197" i="2"/>
  <c r="K1197" i="2" s="1"/>
  <c r="I1197" i="2"/>
  <c r="G1197" i="2"/>
  <c r="B1197" i="2"/>
  <c r="A1197" i="2"/>
  <c r="S1196" i="2"/>
  <c r="K1196" i="2" s="1"/>
  <c r="R1196" i="2"/>
  <c r="I1196" i="2"/>
  <c r="G1196" i="2"/>
  <c r="B1196" i="2"/>
  <c r="A1196" i="2"/>
  <c r="S1195" i="2"/>
  <c r="R1195" i="2"/>
  <c r="K1195" i="2" s="1"/>
  <c r="I1195" i="2"/>
  <c r="G1195" i="2"/>
  <c r="B1195" i="2"/>
  <c r="A1195" i="2"/>
  <c r="S1194" i="2"/>
  <c r="K1194" i="2" s="1"/>
  <c r="R1194" i="2"/>
  <c r="I1194" i="2"/>
  <c r="G1194" i="2"/>
  <c r="B1194" i="2"/>
  <c r="A1194" i="2"/>
  <c r="S1193" i="2"/>
  <c r="R1193" i="2"/>
  <c r="I1193" i="2"/>
  <c r="G1193" i="2"/>
  <c r="B1193" i="2"/>
  <c r="A1193" i="2"/>
  <c r="S1192" i="2"/>
  <c r="R1192" i="2"/>
  <c r="K1192" i="2"/>
  <c r="I1192" i="2"/>
  <c r="G1192" i="2"/>
  <c r="B1192" i="2"/>
  <c r="A1192" i="2"/>
  <c r="S1191" i="2"/>
  <c r="R1191" i="2"/>
  <c r="I1191" i="2"/>
  <c r="G1191" i="2"/>
  <c r="B1191" i="2"/>
  <c r="A1191" i="2"/>
  <c r="S1190" i="2"/>
  <c r="R1190" i="2"/>
  <c r="K1190" i="2" s="1"/>
  <c r="I1190" i="2"/>
  <c r="G1190" i="2"/>
  <c r="B1190" i="2"/>
  <c r="A1190" i="2"/>
  <c r="S1189" i="2"/>
  <c r="R1189" i="2"/>
  <c r="K1189" i="2" s="1"/>
  <c r="I1189" i="2"/>
  <c r="G1189" i="2"/>
  <c r="B1189" i="2"/>
  <c r="A1189" i="2"/>
  <c r="S1188" i="2"/>
  <c r="K1188" i="2" s="1"/>
  <c r="R1188" i="2"/>
  <c r="I1188" i="2"/>
  <c r="G1188" i="2"/>
  <c r="B1188" i="2"/>
  <c r="A1188" i="2"/>
  <c r="S1187" i="2"/>
  <c r="R1187" i="2"/>
  <c r="K1187" i="2" s="1"/>
  <c r="I1187" i="2"/>
  <c r="G1187" i="2"/>
  <c r="B1187" i="2"/>
  <c r="A1187" i="2"/>
  <c r="S1186" i="2"/>
  <c r="K1186" i="2" s="1"/>
  <c r="R1186" i="2"/>
  <c r="I1186" i="2"/>
  <c r="G1186" i="2"/>
  <c r="B1186" i="2"/>
  <c r="A1186" i="2"/>
  <c r="S1185" i="2"/>
  <c r="R1185" i="2"/>
  <c r="I1185" i="2"/>
  <c r="G1185" i="2"/>
  <c r="B1185" i="2"/>
  <c r="A1185" i="2"/>
  <c r="S1184" i="2"/>
  <c r="R1184" i="2"/>
  <c r="K1184" i="2"/>
  <c r="I1184" i="2"/>
  <c r="G1184" i="2"/>
  <c r="B1184" i="2"/>
  <c r="A1184" i="2"/>
  <c r="S1183" i="2"/>
  <c r="R1183" i="2"/>
  <c r="I1183" i="2"/>
  <c r="G1183" i="2"/>
  <c r="B1183" i="2"/>
  <c r="A1183" i="2"/>
  <c r="S1182" i="2"/>
  <c r="R1182" i="2"/>
  <c r="K1182" i="2" s="1"/>
  <c r="I1182" i="2"/>
  <c r="G1182" i="2"/>
  <c r="B1182" i="2"/>
  <c r="A1182" i="2"/>
  <c r="S1181" i="2"/>
  <c r="R1181" i="2"/>
  <c r="K1181" i="2" s="1"/>
  <c r="I1181" i="2"/>
  <c r="G1181" i="2"/>
  <c r="B1181" i="2"/>
  <c r="A1181" i="2"/>
  <c r="S1180" i="2"/>
  <c r="R1180" i="2"/>
  <c r="I1180" i="2"/>
  <c r="G1180" i="2"/>
  <c r="B1180" i="2"/>
  <c r="A1180" i="2"/>
  <c r="S1179" i="2"/>
  <c r="R1179" i="2"/>
  <c r="K1179" i="2"/>
  <c r="I1179" i="2"/>
  <c r="G1179" i="2"/>
  <c r="B1179" i="2"/>
  <c r="A1179" i="2"/>
  <c r="S1178" i="2"/>
  <c r="R1178" i="2"/>
  <c r="I1178" i="2"/>
  <c r="G1178" i="2"/>
  <c r="B1178" i="2"/>
  <c r="A1178" i="2"/>
  <c r="S1177" i="2"/>
  <c r="R1177" i="2"/>
  <c r="K1177" i="2" s="1"/>
  <c r="I1177" i="2"/>
  <c r="G1177" i="2"/>
  <c r="B1177" i="2"/>
  <c r="A1177" i="2"/>
  <c r="S1176" i="2"/>
  <c r="R1176" i="2"/>
  <c r="K1176" i="2" s="1"/>
  <c r="I1176" i="2"/>
  <c r="G1176" i="2"/>
  <c r="B1176" i="2"/>
  <c r="A1176" i="2"/>
  <c r="S1175" i="2"/>
  <c r="K1175" i="2" s="1"/>
  <c r="R1175" i="2"/>
  <c r="I1175" i="2"/>
  <c r="G1175" i="2"/>
  <c r="B1175" i="2"/>
  <c r="A1175" i="2"/>
  <c r="S1174" i="2"/>
  <c r="R1174" i="2"/>
  <c r="K1174" i="2" s="1"/>
  <c r="I1174" i="2"/>
  <c r="G1174" i="2"/>
  <c r="B1174" i="2"/>
  <c r="A1174" i="2"/>
  <c r="S1173" i="2"/>
  <c r="K1173" i="2" s="1"/>
  <c r="R1173" i="2"/>
  <c r="I1173" i="2"/>
  <c r="G1173" i="2"/>
  <c r="B1173" i="2"/>
  <c r="A1173" i="2"/>
  <c r="S1172" i="2"/>
  <c r="R1172" i="2"/>
  <c r="I1172" i="2"/>
  <c r="G1172" i="2"/>
  <c r="B1172" i="2"/>
  <c r="A1172" i="2"/>
  <c r="S1171" i="2"/>
  <c r="R1171" i="2"/>
  <c r="K1171" i="2"/>
  <c r="I1171" i="2"/>
  <c r="G1171" i="2"/>
  <c r="B1171" i="2"/>
  <c r="A1171" i="2"/>
  <c r="S1170" i="2"/>
  <c r="R1170" i="2"/>
  <c r="I1170" i="2"/>
  <c r="G1170" i="2"/>
  <c r="B1170" i="2"/>
  <c r="A1170" i="2"/>
  <c r="S1169" i="2"/>
  <c r="R1169" i="2"/>
  <c r="K1169" i="2" s="1"/>
  <c r="I1169" i="2"/>
  <c r="G1169" i="2"/>
  <c r="B1169" i="2"/>
  <c r="A1169" i="2"/>
  <c r="S1168" i="2"/>
  <c r="R1168" i="2"/>
  <c r="K1168" i="2" s="1"/>
  <c r="I1168" i="2"/>
  <c r="G1168" i="2"/>
  <c r="B1168" i="2"/>
  <c r="A1168" i="2"/>
  <c r="S1167" i="2"/>
  <c r="K1167" i="2" s="1"/>
  <c r="R1167" i="2"/>
  <c r="I1167" i="2"/>
  <c r="G1167" i="2"/>
  <c r="B1167" i="2"/>
  <c r="A1167" i="2"/>
  <c r="S1166" i="2"/>
  <c r="R1166" i="2"/>
  <c r="K1166" i="2" s="1"/>
  <c r="I1166" i="2"/>
  <c r="G1166" i="2"/>
  <c r="B1166" i="2"/>
  <c r="A1166" i="2"/>
  <c r="S1165" i="2"/>
  <c r="R1165" i="2"/>
  <c r="K1165" i="2"/>
  <c r="I1165" i="2"/>
  <c r="G1165" i="2"/>
  <c r="B1165" i="2"/>
  <c r="A1165" i="2"/>
  <c r="S1164" i="2"/>
  <c r="R1164" i="2"/>
  <c r="I1164" i="2"/>
  <c r="G1164" i="2"/>
  <c r="B1164" i="2"/>
  <c r="A1164" i="2"/>
  <c r="S1163" i="2"/>
  <c r="R1163" i="2"/>
  <c r="K1163" i="2" s="1"/>
  <c r="I1163" i="2"/>
  <c r="G1163" i="2"/>
  <c r="B1163" i="2"/>
  <c r="A1163" i="2"/>
  <c r="S1162" i="2"/>
  <c r="R1162" i="2"/>
  <c r="K1162" i="2" s="1"/>
  <c r="I1162" i="2"/>
  <c r="G1162" i="2"/>
  <c r="B1162" i="2"/>
  <c r="A1162" i="2"/>
  <c r="S1161" i="2"/>
  <c r="K1161" i="2" s="1"/>
  <c r="R1161" i="2"/>
  <c r="I1161" i="2"/>
  <c r="G1161" i="2"/>
  <c r="B1161" i="2"/>
  <c r="A1161" i="2"/>
  <c r="S1160" i="2"/>
  <c r="R1160" i="2"/>
  <c r="K1160" i="2" s="1"/>
  <c r="I1160" i="2"/>
  <c r="G1160" i="2"/>
  <c r="B1160" i="2"/>
  <c r="A1160" i="2"/>
  <c r="S1159" i="2"/>
  <c r="K1159" i="2" s="1"/>
  <c r="R1159" i="2"/>
  <c r="I1159" i="2"/>
  <c r="G1159" i="2"/>
  <c r="B1159" i="2"/>
  <c r="A1159" i="2"/>
  <c r="S1158" i="2"/>
  <c r="R1158" i="2"/>
  <c r="I1158" i="2"/>
  <c r="G1158" i="2"/>
  <c r="B1158" i="2"/>
  <c r="A1158" i="2"/>
  <c r="S1157" i="2"/>
  <c r="R1157" i="2"/>
  <c r="K1157" i="2"/>
  <c r="I1157" i="2"/>
  <c r="G1157" i="2"/>
  <c r="B1157" i="2"/>
  <c r="A1157" i="2"/>
  <c r="S1156" i="2"/>
  <c r="R1156" i="2"/>
  <c r="I1156" i="2"/>
  <c r="G1156" i="2"/>
  <c r="B1156" i="2"/>
  <c r="A1156" i="2"/>
  <c r="S1155" i="2"/>
  <c r="R1155" i="2"/>
  <c r="K1155" i="2" s="1"/>
  <c r="I1155" i="2"/>
  <c r="G1155" i="2"/>
  <c r="B1155" i="2"/>
  <c r="A1155" i="2"/>
  <c r="S1154" i="2"/>
  <c r="R1154" i="2"/>
  <c r="K1154" i="2" s="1"/>
  <c r="I1154" i="2"/>
  <c r="G1154" i="2"/>
  <c r="B1154" i="2"/>
  <c r="A1154" i="2"/>
  <c r="S1153" i="2"/>
  <c r="R1153" i="2"/>
  <c r="I1153" i="2"/>
  <c r="G1153" i="2"/>
  <c r="B1153" i="2"/>
  <c r="A1153" i="2"/>
  <c r="S1152" i="2"/>
  <c r="R1152" i="2"/>
  <c r="K1152" i="2" s="1"/>
  <c r="I1152" i="2"/>
  <c r="G1152" i="2"/>
  <c r="B1152" i="2"/>
  <c r="A1152" i="2"/>
  <c r="S1151" i="2"/>
  <c r="K1151" i="2" s="1"/>
  <c r="R1151" i="2"/>
  <c r="I1151" i="2"/>
  <c r="G1151" i="2"/>
  <c r="B1151" i="2"/>
  <c r="A1151" i="2"/>
  <c r="S1150" i="2"/>
  <c r="R1150" i="2"/>
  <c r="K1150" i="2" s="1"/>
  <c r="I1150" i="2"/>
  <c r="G1150" i="2"/>
  <c r="B1150" i="2"/>
  <c r="A1150" i="2"/>
  <c r="S1149" i="2"/>
  <c r="R1149" i="2"/>
  <c r="K1149" i="2"/>
  <c r="I1149" i="2"/>
  <c r="G1149" i="2"/>
  <c r="B1149" i="2"/>
  <c r="A1149" i="2"/>
  <c r="S1148" i="2"/>
  <c r="R1148" i="2"/>
  <c r="I1148" i="2"/>
  <c r="G1148" i="2"/>
  <c r="B1148" i="2"/>
  <c r="A1148" i="2"/>
  <c r="S1147" i="2"/>
  <c r="R1147" i="2"/>
  <c r="K1147" i="2" s="1"/>
  <c r="I1147" i="2"/>
  <c r="G1147" i="2"/>
  <c r="B1147" i="2"/>
  <c r="A1147" i="2"/>
  <c r="S1146" i="2"/>
  <c r="R1146" i="2"/>
  <c r="K1146" i="2" s="1"/>
  <c r="I1146" i="2"/>
  <c r="G1146" i="2"/>
  <c r="B1146" i="2"/>
  <c r="A1146" i="2"/>
  <c r="S1145" i="2"/>
  <c r="K1145" i="2" s="1"/>
  <c r="R1145" i="2"/>
  <c r="I1145" i="2"/>
  <c r="G1145" i="2"/>
  <c r="B1145" i="2"/>
  <c r="A1145" i="2"/>
  <c r="S1144" i="2"/>
  <c r="R1144" i="2"/>
  <c r="K1144" i="2" s="1"/>
  <c r="I1144" i="2"/>
  <c r="G1144" i="2"/>
  <c r="B1144" i="2"/>
  <c r="A1144" i="2"/>
  <c r="S1143" i="2"/>
  <c r="K1143" i="2" s="1"/>
  <c r="R1143" i="2"/>
  <c r="I1143" i="2"/>
  <c r="G1143" i="2"/>
  <c r="B1143" i="2"/>
  <c r="A1143" i="2"/>
  <c r="S1142" i="2"/>
  <c r="R1142" i="2"/>
  <c r="K1142" i="2" s="1"/>
  <c r="I1142" i="2"/>
  <c r="G1142" i="2"/>
  <c r="B1142" i="2"/>
  <c r="A1142" i="2"/>
  <c r="S1141" i="2"/>
  <c r="R1141" i="2"/>
  <c r="K1141" i="2"/>
  <c r="I1141" i="2"/>
  <c r="G1141" i="2"/>
  <c r="B1141" i="2"/>
  <c r="A1141" i="2"/>
  <c r="S1140" i="2"/>
  <c r="R1140" i="2"/>
  <c r="I1140" i="2"/>
  <c r="G1140" i="2"/>
  <c r="B1140" i="2"/>
  <c r="A1140" i="2"/>
  <c r="S1139" i="2"/>
  <c r="R1139" i="2"/>
  <c r="K1139" i="2"/>
  <c r="I1139" i="2"/>
  <c r="G1139" i="2"/>
  <c r="B1139" i="2"/>
  <c r="A1139" i="2"/>
  <c r="S1138" i="2"/>
  <c r="R1138" i="2"/>
  <c r="K1138" i="2" s="1"/>
  <c r="I1138" i="2"/>
  <c r="G1138" i="2"/>
  <c r="B1138" i="2"/>
  <c r="A1138" i="2"/>
  <c r="S1137" i="2"/>
  <c r="R1137" i="2"/>
  <c r="I1137" i="2"/>
  <c r="G1137" i="2"/>
  <c r="B1137" i="2"/>
  <c r="A1137" i="2"/>
  <c r="S1136" i="2"/>
  <c r="R1136" i="2"/>
  <c r="K1136" i="2" s="1"/>
  <c r="I1136" i="2"/>
  <c r="G1136" i="2"/>
  <c r="B1136" i="2"/>
  <c r="A1136" i="2"/>
  <c r="S1135" i="2"/>
  <c r="K1135" i="2" s="1"/>
  <c r="R1135" i="2"/>
  <c r="I1135" i="2"/>
  <c r="G1135" i="2"/>
  <c r="B1135" i="2"/>
  <c r="A1135" i="2"/>
  <c r="S1134" i="2"/>
  <c r="R1134" i="2"/>
  <c r="K1134" i="2" s="1"/>
  <c r="I1134" i="2"/>
  <c r="G1134" i="2"/>
  <c r="B1134" i="2"/>
  <c r="A1134" i="2"/>
  <c r="S1133" i="2"/>
  <c r="R1133" i="2"/>
  <c r="K1133" i="2" s="1"/>
  <c r="I1133" i="2"/>
  <c r="G1133" i="2"/>
  <c r="B1133" i="2"/>
  <c r="A1133" i="2"/>
  <c r="S1132" i="2"/>
  <c r="R1132" i="2"/>
  <c r="I1132" i="2"/>
  <c r="G1132" i="2"/>
  <c r="B1132" i="2"/>
  <c r="A1132" i="2"/>
  <c r="S1131" i="2"/>
  <c r="K1131" i="2" s="1"/>
  <c r="R1131" i="2"/>
  <c r="I1131" i="2"/>
  <c r="G1131" i="2"/>
  <c r="B1131" i="2"/>
  <c r="A1131" i="2"/>
  <c r="S1130" i="2"/>
  <c r="R1130" i="2"/>
  <c r="K1130" i="2" s="1"/>
  <c r="I1130" i="2"/>
  <c r="G1130" i="2"/>
  <c r="B1130" i="2"/>
  <c r="A1130" i="2"/>
  <c r="S1129" i="2"/>
  <c r="R1129" i="2"/>
  <c r="I1129" i="2"/>
  <c r="G1129" i="2"/>
  <c r="B1129" i="2"/>
  <c r="A1129" i="2"/>
  <c r="S1128" i="2"/>
  <c r="R1128" i="2"/>
  <c r="K1128" i="2" s="1"/>
  <c r="I1128" i="2"/>
  <c r="G1128" i="2"/>
  <c r="B1128" i="2"/>
  <c r="A1128" i="2"/>
  <c r="S1127" i="2"/>
  <c r="K1127" i="2" s="1"/>
  <c r="R1127" i="2"/>
  <c r="I1127" i="2"/>
  <c r="G1127" i="2"/>
  <c r="B1127" i="2"/>
  <c r="A1127" i="2"/>
  <c r="S1126" i="2"/>
  <c r="R1126" i="2"/>
  <c r="I1126" i="2"/>
  <c r="G1126" i="2"/>
  <c r="B1126" i="2"/>
  <c r="A1126" i="2"/>
  <c r="S1125" i="2"/>
  <c r="R1125" i="2"/>
  <c r="K1125" i="2"/>
  <c r="I1125" i="2"/>
  <c r="G1125" i="2"/>
  <c r="B1125" i="2"/>
  <c r="A1125" i="2"/>
  <c r="S1124" i="2"/>
  <c r="R1124" i="2"/>
  <c r="I1124" i="2"/>
  <c r="G1124" i="2"/>
  <c r="B1124" i="2"/>
  <c r="A1124" i="2"/>
  <c r="S1123" i="2"/>
  <c r="R1123" i="2"/>
  <c r="K1123" i="2" s="1"/>
  <c r="I1123" i="2"/>
  <c r="G1123" i="2"/>
  <c r="B1123" i="2"/>
  <c r="A1123" i="2"/>
  <c r="S1122" i="2"/>
  <c r="R1122" i="2"/>
  <c r="K1122" i="2" s="1"/>
  <c r="I1122" i="2"/>
  <c r="G1122" i="2"/>
  <c r="B1122" i="2"/>
  <c r="A1122" i="2"/>
  <c r="S1121" i="2"/>
  <c r="K1121" i="2" s="1"/>
  <c r="R1121" i="2"/>
  <c r="I1121" i="2"/>
  <c r="G1121" i="2"/>
  <c r="B1121" i="2"/>
  <c r="A1121" i="2"/>
  <c r="S1120" i="2"/>
  <c r="R1120" i="2"/>
  <c r="I1120" i="2"/>
  <c r="G1120" i="2"/>
  <c r="B1120" i="2"/>
  <c r="A1120" i="2"/>
  <c r="S1119" i="2"/>
  <c r="K1119" i="2" s="1"/>
  <c r="R1119" i="2"/>
  <c r="I1119" i="2"/>
  <c r="G1119" i="2"/>
  <c r="B1119" i="2"/>
  <c r="A1119" i="2"/>
  <c r="S1118" i="2"/>
  <c r="R1118" i="2"/>
  <c r="K1118" i="2" s="1"/>
  <c r="I1118" i="2"/>
  <c r="G1118" i="2"/>
  <c r="B1118" i="2"/>
  <c r="A1118" i="2"/>
  <c r="S1117" i="2"/>
  <c r="R1117" i="2"/>
  <c r="K1117" i="2" s="1"/>
  <c r="I1117" i="2"/>
  <c r="G1117" i="2"/>
  <c r="B1117" i="2"/>
  <c r="A1117" i="2"/>
  <c r="S1116" i="2"/>
  <c r="R1116" i="2"/>
  <c r="I1116" i="2"/>
  <c r="G1116" i="2"/>
  <c r="B1116" i="2"/>
  <c r="A1116" i="2"/>
  <c r="S1115" i="2"/>
  <c r="R1115" i="2"/>
  <c r="K1115" i="2"/>
  <c r="I1115" i="2"/>
  <c r="G1115" i="2"/>
  <c r="B1115" i="2"/>
  <c r="A1115" i="2"/>
  <c r="S1114" i="2"/>
  <c r="R1114" i="2"/>
  <c r="K1114" i="2" s="1"/>
  <c r="I1114" i="2"/>
  <c r="G1114" i="2"/>
  <c r="B1114" i="2"/>
  <c r="A1114" i="2"/>
  <c r="S1113" i="2"/>
  <c r="R1113" i="2"/>
  <c r="I1113" i="2"/>
  <c r="G1113" i="2"/>
  <c r="B1113" i="2"/>
  <c r="A1113" i="2"/>
  <c r="S1112" i="2"/>
  <c r="R1112" i="2"/>
  <c r="K1112" i="2" s="1"/>
  <c r="I1112" i="2"/>
  <c r="G1112" i="2"/>
  <c r="B1112" i="2"/>
  <c r="A1112" i="2"/>
  <c r="S1111" i="2"/>
  <c r="R1111" i="2"/>
  <c r="K1111" i="2"/>
  <c r="I1111" i="2"/>
  <c r="G1111" i="2"/>
  <c r="B1111" i="2"/>
  <c r="A1111" i="2"/>
  <c r="S1110" i="2"/>
  <c r="R1110" i="2"/>
  <c r="I1110" i="2"/>
  <c r="G1110" i="2"/>
  <c r="B1110" i="2"/>
  <c r="A1110" i="2"/>
  <c r="S1109" i="2"/>
  <c r="R1109" i="2"/>
  <c r="K1109" i="2"/>
  <c r="I1109" i="2"/>
  <c r="G1109" i="2"/>
  <c r="B1109" i="2"/>
  <c r="A1109" i="2"/>
  <c r="S1108" i="2"/>
  <c r="R1108" i="2"/>
  <c r="K1108" i="2"/>
  <c r="I1108" i="2"/>
  <c r="G1108" i="2"/>
  <c r="B1108" i="2"/>
  <c r="A1108" i="2"/>
  <c r="S1107" i="2"/>
  <c r="K1107" i="2" s="1"/>
  <c r="R1107" i="2"/>
  <c r="I1107" i="2"/>
  <c r="G1107" i="2"/>
  <c r="B1107" i="2"/>
  <c r="A1107" i="2"/>
  <c r="S1106" i="2"/>
  <c r="R1106" i="2"/>
  <c r="I1106" i="2"/>
  <c r="G1106" i="2"/>
  <c r="B1106" i="2"/>
  <c r="A1106" i="2"/>
  <c r="S1105" i="2"/>
  <c r="K1105" i="2" s="1"/>
  <c r="R1105" i="2"/>
  <c r="I1105" i="2"/>
  <c r="G1105" i="2"/>
  <c r="B1105" i="2"/>
  <c r="A1105" i="2"/>
  <c r="S1104" i="2"/>
  <c r="R1104" i="2"/>
  <c r="K1104" i="2" s="1"/>
  <c r="I1104" i="2"/>
  <c r="G1104" i="2"/>
  <c r="B1104" i="2"/>
  <c r="A1104" i="2"/>
  <c r="S1103" i="2"/>
  <c r="R1103" i="2"/>
  <c r="K1103" i="2" s="1"/>
  <c r="I1103" i="2"/>
  <c r="G1103" i="2"/>
  <c r="B1103" i="2"/>
  <c r="A1103" i="2"/>
  <c r="S1102" i="2"/>
  <c r="R1102" i="2"/>
  <c r="I1102" i="2"/>
  <c r="G1102" i="2"/>
  <c r="B1102" i="2"/>
  <c r="A1102" i="2"/>
  <c r="S1101" i="2"/>
  <c r="K1101" i="2" s="1"/>
  <c r="R1101" i="2"/>
  <c r="I1101" i="2"/>
  <c r="G1101" i="2"/>
  <c r="B1101" i="2"/>
  <c r="A1101" i="2"/>
  <c r="S1100" i="2"/>
  <c r="R1100" i="2"/>
  <c r="K1100" i="2" s="1"/>
  <c r="I1100" i="2"/>
  <c r="G1100" i="2"/>
  <c r="B1100" i="2"/>
  <c r="A1100" i="2"/>
  <c r="S1099" i="2"/>
  <c r="R1099" i="2"/>
  <c r="I1099" i="2"/>
  <c r="G1099" i="2"/>
  <c r="B1099" i="2"/>
  <c r="A1099" i="2"/>
  <c r="S1098" i="2"/>
  <c r="R1098" i="2"/>
  <c r="K1098" i="2" s="1"/>
  <c r="I1098" i="2"/>
  <c r="G1098" i="2"/>
  <c r="B1098" i="2"/>
  <c r="A1098" i="2"/>
  <c r="S1097" i="2"/>
  <c r="K1097" i="2" s="1"/>
  <c r="R1097" i="2"/>
  <c r="I1097" i="2"/>
  <c r="G1097" i="2"/>
  <c r="B1097" i="2"/>
  <c r="A1097" i="2"/>
  <c r="S1096" i="2"/>
  <c r="R1096" i="2"/>
  <c r="I1096" i="2"/>
  <c r="G1096" i="2"/>
  <c r="B1096" i="2"/>
  <c r="A1096" i="2"/>
  <c r="S1095" i="2"/>
  <c r="R1095" i="2"/>
  <c r="K1095" i="2"/>
  <c r="I1095" i="2"/>
  <c r="G1095" i="2"/>
  <c r="B1095" i="2"/>
  <c r="A1095" i="2"/>
  <c r="S1094" i="2"/>
  <c r="R1094" i="2"/>
  <c r="I1094" i="2"/>
  <c r="G1094" i="2"/>
  <c r="B1094" i="2"/>
  <c r="A1094" i="2"/>
  <c r="S1093" i="2"/>
  <c r="R1093" i="2"/>
  <c r="K1093" i="2" s="1"/>
  <c r="I1093" i="2"/>
  <c r="G1093" i="2"/>
  <c r="B1093" i="2"/>
  <c r="A1093" i="2"/>
  <c r="S1092" i="2"/>
  <c r="R1092" i="2"/>
  <c r="K1092" i="2" s="1"/>
  <c r="I1092" i="2"/>
  <c r="G1092" i="2"/>
  <c r="B1092" i="2"/>
  <c r="A1092" i="2"/>
  <c r="S1091" i="2"/>
  <c r="K1091" i="2" s="1"/>
  <c r="R1091" i="2"/>
  <c r="I1091" i="2"/>
  <c r="G1091" i="2"/>
  <c r="B1091" i="2"/>
  <c r="A1091" i="2"/>
  <c r="S1090" i="2"/>
  <c r="K1090" i="2" s="1"/>
  <c r="R1090" i="2"/>
  <c r="I1090" i="2"/>
  <c r="G1090" i="2"/>
  <c r="B1090" i="2"/>
  <c r="A1090" i="2"/>
  <c r="S1089" i="2"/>
  <c r="R1089" i="2"/>
  <c r="K1089" i="2" s="1"/>
  <c r="I1089" i="2"/>
  <c r="G1089" i="2"/>
  <c r="B1089" i="2"/>
  <c r="A1089" i="2"/>
  <c r="S1088" i="2"/>
  <c r="R1088" i="2"/>
  <c r="I1088" i="2"/>
  <c r="G1088" i="2"/>
  <c r="B1088" i="2"/>
  <c r="A1088" i="2"/>
  <c r="S1087" i="2"/>
  <c r="K1087" i="2" s="1"/>
  <c r="R1087" i="2"/>
  <c r="I1087" i="2"/>
  <c r="G1087" i="2"/>
  <c r="B1087" i="2"/>
  <c r="A1087" i="2"/>
  <c r="S1086" i="2"/>
  <c r="R1086" i="2"/>
  <c r="K1086" i="2" s="1"/>
  <c r="I1086" i="2"/>
  <c r="G1086" i="2"/>
  <c r="B1086" i="2"/>
  <c r="A1086" i="2"/>
  <c r="S1085" i="2"/>
  <c r="R1085" i="2"/>
  <c r="I1085" i="2"/>
  <c r="G1085" i="2"/>
  <c r="B1085" i="2"/>
  <c r="A1085" i="2"/>
  <c r="S1084" i="2"/>
  <c r="R1084" i="2"/>
  <c r="K1084" i="2" s="1"/>
  <c r="I1084" i="2"/>
  <c r="G1084" i="2"/>
  <c r="B1084" i="2"/>
  <c r="A1084" i="2"/>
  <c r="S1083" i="2"/>
  <c r="R1083" i="2"/>
  <c r="K1083" i="2"/>
  <c r="I1083" i="2"/>
  <c r="G1083" i="2"/>
  <c r="B1083" i="2"/>
  <c r="A1083" i="2"/>
  <c r="S1082" i="2"/>
  <c r="K1082" i="2" s="1"/>
  <c r="R1082" i="2"/>
  <c r="I1082" i="2"/>
  <c r="G1082" i="2"/>
  <c r="B1082" i="2"/>
  <c r="A1082" i="2"/>
  <c r="S1081" i="2"/>
  <c r="R1081" i="2"/>
  <c r="K1081" i="2"/>
  <c r="I1081" i="2"/>
  <c r="G1081" i="2"/>
  <c r="B1081" i="2"/>
  <c r="A1081" i="2"/>
  <c r="S1080" i="2"/>
  <c r="R1080" i="2"/>
  <c r="K1080" i="2" s="1"/>
  <c r="I1080" i="2"/>
  <c r="G1080" i="2"/>
  <c r="B1080" i="2"/>
  <c r="A1080" i="2"/>
  <c r="S1079" i="2"/>
  <c r="R1079" i="2"/>
  <c r="I1079" i="2"/>
  <c r="G1079" i="2"/>
  <c r="B1079" i="2"/>
  <c r="A1079" i="2"/>
  <c r="S1078" i="2"/>
  <c r="R1078" i="2"/>
  <c r="K1078" i="2" s="1"/>
  <c r="I1078" i="2"/>
  <c r="G1078" i="2"/>
  <c r="B1078" i="2"/>
  <c r="A1078" i="2"/>
  <c r="S1077" i="2"/>
  <c r="K1077" i="2" s="1"/>
  <c r="R1077" i="2"/>
  <c r="I1077" i="2"/>
  <c r="G1077" i="2"/>
  <c r="B1077" i="2"/>
  <c r="A1077" i="2"/>
  <c r="S1076" i="2"/>
  <c r="R1076" i="2"/>
  <c r="I1076" i="2"/>
  <c r="G1076" i="2"/>
  <c r="B1076" i="2"/>
  <c r="A1076" i="2"/>
  <c r="S1075" i="2"/>
  <c r="R1075" i="2"/>
  <c r="K1075" i="2"/>
  <c r="I1075" i="2"/>
  <c r="G1075" i="2"/>
  <c r="B1075" i="2"/>
  <c r="A1075" i="2"/>
  <c r="S1074" i="2"/>
  <c r="R1074" i="2"/>
  <c r="I1074" i="2"/>
  <c r="G1074" i="2"/>
  <c r="B1074" i="2"/>
  <c r="A1074" i="2"/>
  <c r="S1073" i="2"/>
  <c r="R1073" i="2"/>
  <c r="K1073" i="2" s="1"/>
  <c r="I1073" i="2"/>
  <c r="G1073" i="2"/>
  <c r="B1073" i="2"/>
  <c r="A1073" i="2"/>
  <c r="S1072" i="2"/>
  <c r="R1072" i="2"/>
  <c r="K1072" i="2" s="1"/>
  <c r="I1072" i="2"/>
  <c r="G1072" i="2"/>
  <c r="B1072" i="2"/>
  <c r="A1072" i="2"/>
  <c r="S1071" i="2"/>
  <c r="K1071" i="2" s="1"/>
  <c r="R1071" i="2"/>
  <c r="I1071" i="2"/>
  <c r="G1071" i="2"/>
  <c r="B1071" i="2"/>
  <c r="A1071" i="2"/>
  <c r="S1070" i="2"/>
  <c r="R1070" i="2"/>
  <c r="I1070" i="2"/>
  <c r="G1070" i="2"/>
  <c r="B1070" i="2"/>
  <c r="A1070" i="2"/>
  <c r="S1069" i="2"/>
  <c r="R1069" i="2"/>
  <c r="K1069" i="2"/>
  <c r="I1069" i="2"/>
  <c r="G1069" i="2"/>
  <c r="B1069" i="2"/>
  <c r="A1069" i="2"/>
  <c r="S1068" i="2"/>
  <c r="R1068" i="2"/>
  <c r="K1068" i="2" s="1"/>
  <c r="I1068" i="2"/>
  <c r="G1068" i="2"/>
  <c r="B1068" i="2"/>
  <c r="A1068" i="2"/>
  <c r="S1067" i="2"/>
  <c r="R1067" i="2"/>
  <c r="K1067" i="2" s="1"/>
  <c r="I1067" i="2"/>
  <c r="G1067" i="2"/>
  <c r="B1067" i="2"/>
  <c r="A1067" i="2"/>
  <c r="S1066" i="2"/>
  <c r="R1066" i="2"/>
  <c r="I1066" i="2"/>
  <c r="G1066" i="2"/>
  <c r="B1066" i="2"/>
  <c r="A1066" i="2"/>
  <c r="S1065" i="2"/>
  <c r="K1065" i="2" s="1"/>
  <c r="R1065" i="2"/>
  <c r="I1065" i="2"/>
  <c r="G1065" i="2"/>
  <c r="B1065" i="2"/>
  <c r="A1065" i="2"/>
  <c r="S1064" i="2"/>
  <c r="R1064" i="2"/>
  <c r="K1064" i="2" s="1"/>
  <c r="I1064" i="2"/>
  <c r="G1064" i="2"/>
  <c r="B1064" i="2"/>
  <c r="A1064" i="2"/>
  <c r="S1063" i="2"/>
  <c r="R1063" i="2"/>
  <c r="I1063" i="2"/>
  <c r="G1063" i="2"/>
  <c r="B1063" i="2"/>
  <c r="A1063" i="2"/>
  <c r="S1062" i="2"/>
  <c r="R1062" i="2"/>
  <c r="K1062" i="2" s="1"/>
  <c r="I1062" i="2"/>
  <c r="G1062" i="2"/>
  <c r="B1062" i="2"/>
  <c r="A1062" i="2"/>
  <c r="S1061" i="2"/>
  <c r="R1061" i="2"/>
  <c r="K1061" i="2"/>
  <c r="I1061" i="2"/>
  <c r="G1061" i="2"/>
  <c r="B1061" i="2"/>
  <c r="A1061" i="2"/>
  <c r="S1060" i="2"/>
  <c r="R1060" i="2"/>
  <c r="I1060" i="2"/>
  <c r="G1060" i="2"/>
  <c r="B1060" i="2"/>
  <c r="A1060" i="2"/>
  <c r="S1059" i="2"/>
  <c r="R1059" i="2"/>
  <c r="K1059" i="2"/>
  <c r="I1059" i="2"/>
  <c r="G1059" i="2"/>
  <c r="B1059" i="2"/>
  <c r="A1059" i="2"/>
  <c r="S1058" i="2"/>
  <c r="R1058" i="2"/>
  <c r="I1058" i="2"/>
  <c r="G1058" i="2"/>
  <c r="B1058" i="2"/>
  <c r="A1058" i="2"/>
  <c r="S1057" i="2"/>
  <c r="K1057" i="2" s="1"/>
  <c r="R1057" i="2"/>
  <c r="I1057" i="2"/>
  <c r="G1057" i="2"/>
  <c r="B1057" i="2"/>
  <c r="A1057" i="2"/>
  <c r="S1056" i="2"/>
  <c r="R1056" i="2"/>
  <c r="K1056" i="2" s="1"/>
  <c r="I1056" i="2"/>
  <c r="G1056" i="2"/>
  <c r="B1056" i="2"/>
  <c r="A1056" i="2"/>
  <c r="S1055" i="2"/>
  <c r="K1055" i="2" s="1"/>
  <c r="R1055" i="2"/>
  <c r="I1055" i="2"/>
  <c r="G1055" i="2"/>
  <c r="B1055" i="2"/>
  <c r="A1055" i="2"/>
  <c r="S1054" i="2"/>
  <c r="R1054" i="2"/>
  <c r="I1054" i="2"/>
  <c r="G1054" i="2"/>
  <c r="B1054" i="2"/>
  <c r="A1054" i="2"/>
  <c r="S1053" i="2"/>
  <c r="K1053" i="2" s="1"/>
  <c r="R1053" i="2"/>
  <c r="I1053" i="2"/>
  <c r="G1053" i="2"/>
  <c r="B1053" i="2"/>
  <c r="A1053" i="2"/>
  <c r="S1052" i="2"/>
  <c r="R1052" i="2"/>
  <c r="K1052" i="2" s="1"/>
  <c r="I1052" i="2"/>
  <c r="G1052" i="2"/>
  <c r="B1052" i="2"/>
  <c r="A1052" i="2"/>
  <c r="S1051" i="2"/>
  <c r="R1051" i="2"/>
  <c r="K1051" i="2" s="1"/>
  <c r="I1051" i="2"/>
  <c r="G1051" i="2"/>
  <c r="B1051" i="2"/>
  <c r="A1051" i="2"/>
  <c r="S1050" i="2"/>
  <c r="R1050" i="2"/>
  <c r="I1050" i="2"/>
  <c r="G1050" i="2"/>
  <c r="B1050" i="2"/>
  <c r="A1050" i="2"/>
  <c r="S1049" i="2"/>
  <c r="R1049" i="2"/>
  <c r="K1049" i="2"/>
  <c r="I1049" i="2"/>
  <c r="G1049" i="2"/>
  <c r="B1049" i="2"/>
  <c r="A1049" i="2"/>
  <c r="S1048" i="2"/>
  <c r="R1048" i="2"/>
  <c r="K1048" i="2" s="1"/>
  <c r="I1048" i="2"/>
  <c r="G1048" i="2"/>
  <c r="B1048" i="2"/>
  <c r="A1048" i="2"/>
  <c r="S1047" i="2"/>
  <c r="R1047" i="2"/>
  <c r="I1047" i="2"/>
  <c r="G1047" i="2"/>
  <c r="B1047" i="2"/>
  <c r="A1047" i="2"/>
  <c r="S1046" i="2"/>
  <c r="R1046" i="2"/>
  <c r="K1046" i="2" s="1"/>
  <c r="I1046" i="2"/>
  <c r="G1046" i="2"/>
  <c r="B1046" i="2"/>
  <c r="A1046" i="2"/>
  <c r="S1045" i="2"/>
  <c r="K1045" i="2" s="1"/>
  <c r="R1045" i="2"/>
  <c r="I1045" i="2"/>
  <c r="G1045" i="2"/>
  <c r="B1045" i="2"/>
  <c r="A1045" i="2"/>
  <c r="S1044" i="2"/>
  <c r="R1044" i="2"/>
  <c r="I1044" i="2"/>
  <c r="G1044" i="2"/>
  <c r="B1044" i="2"/>
  <c r="A1044" i="2"/>
  <c r="S1043" i="2"/>
  <c r="R1043" i="2"/>
  <c r="K1043" i="2"/>
  <c r="I1043" i="2"/>
  <c r="G1043" i="2"/>
  <c r="B1043" i="2"/>
  <c r="A1043" i="2"/>
  <c r="S1042" i="2"/>
  <c r="R1042" i="2"/>
  <c r="I1042" i="2"/>
  <c r="G1042" i="2"/>
  <c r="B1042" i="2"/>
  <c r="A1042" i="2"/>
  <c r="S1041" i="2"/>
  <c r="R1041" i="2"/>
  <c r="K1041" i="2" s="1"/>
  <c r="I1041" i="2"/>
  <c r="G1041" i="2"/>
  <c r="B1041" i="2"/>
  <c r="A1041" i="2"/>
  <c r="S1040" i="2"/>
  <c r="R1040" i="2"/>
  <c r="K1040" i="2" s="1"/>
  <c r="I1040" i="2"/>
  <c r="G1040" i="2"/>
  <c r="B1040" i="2"/>
  <c r="A1040" i="2"/>
  <c r="S1039" i="2"/>
  <c r="K1039" i="2" s="1"/>
  <c r="R1039" i="2"/>
  <c r="I1039" i="2"/>
  <c r="G1039" i="2"/>
  <c r="B1039" i="2"/>
  <c r="A1039" i="2"/>
  <c r="S1038" i="2"/>
  <c r="R1038" i="2"/>
  <c r="I1038" i="2"/>
  <c r="G1038" i="2"/>
  <c r="B1038" i="2"/>
  <c r="A1038" i="2"/>
  <c r="S1037" i="2"/>
  <c r="R1037" i="2"/>
  <c r="K1037" i="2"/>
  <c r="I1037" i="2"/>
  <c r="G1037" i="2"/>
  <c r="B1037" i="2"/>
  <c r="A1037" i="2"/>
  <c r="S1036" i="2"/>
  <c r="R1036" i="2"/>
  <c r="K1036" i="2" s="1"/>
  <c r="I1036" i="2"/>
  <c r="G1036" i="2"/>
  <c r="B1036" i="2"/>
  <c r="A1036" i="2"/>
  <c r="S1035" i="2"/>
  <c r="R1035" i="2"/>
  <c r="K1035" i="2" s="1"/>
  <c r="I1035" i="2"/>
  <c r="G1035" i="2"/>
  <c r="B1035" i="2"/>
  <c r="A1035" i="2"/>
  <c r="S1034" i="2"/>
  <c r="R1034" i="2"/>
  <c r="I1034" i="2"/>
  <c r="G1034" i="2"/>
  <c r="B1034" i="2"/>
  <c r="A1034" i="2"/>
  <c r="S1033" i="2"/>
  <c r="K1033" i="2" s="1"/>
  <c r="R1033" i="2"/>
  <c r="I1033" i="2"/>
  <c r="G1033" i="2"/>
  <c r="B1033" i="2"/>
  <c r="A1033" i="2"/>
  <c r="S1032" i="2"/>
  <c r="R1032" i="2"/>
  <c r="K1032" i="2" s="1"/>
  <c r="I1032" i="2"/>
  <c r="G1032" i="2"/>
  <c r="B1032" i="2"/>
  <c r="A1032" i="2"/>
  <c r="S1031" i="2"/>
  <c r="R1031" i="2"/>
  <c r="I1031" i="2"/>
  <c r="G1031" i="2"/>
  <c r="B1031" i="2"/>
  <c r="A1031" i="2"/>
  <c r="S1030" i="2"/>
  <c r="R1030" i="2"/>
  <c r="K1030" i="2" s="1"/>
  <c r="I1030" i="2"/>
  <c r="G1030" i="2"/>
  <c r="B1030" i="2"/>
  <c r="A1030" i="2"/>
  <c r="S1029" i="2"/>
  <c r="R1029" i="2"/>
  <c r="K1029" i="2"/>
  <c r="I1029" i="2"/>
  <c r="G1029" i="2"/>
  <c r="B1029" i="2"/>
  <c r="A1029" i="2"/>
  <c r="S1028" i="2"/>
  <c r="R1028" i="2"/>
  <c r="I1028" i="2"/>
  <c r="G1028" i="2"/>
  <c r="B1028" i="2"/>
  <c r="A1028" i="2"/>
  <c r="S1027" i="2"/>
  <c r="R1027" i="2"/>
  <c r="K1027" i="2"/>
  <c r="I1027" i="2"/>
  <c r="G1027" i="2"/>
  <c r="B1027" i="2"/>
  <c r="A1027" i="2"/>
  <c r="S1026" i="2"/>
  <c r="R1026" i="2"/>
  <c r="I1026" i="2"/>
  <c r="G1026" i="2"/>
  <c r="B1026" i="2"/>
  <c r="A1026" i="2"/>
  <c r="S1025" i="2"/>
  <c r="K1025" i="2" s="1"/>
  <c r="R1025" i="2"/>
  <c r="I1025" i="2"/>
  <c r="G1025" i="2"/>
  <c r="B1025" i="2"/>
  <c r="A1025" i="2"/>
  <c r="S1024" i="2"/>
  <c r="R1024" i="2"/>
  <c r="K1024" i="2" s="1"/>
  <c r="I1024" i="2"/>
  <c r="G1024" i="2"/>
  <c r="B1024" i="2"/>
  <c r="A1024" i="2"/>
  <c r="S1023" i="2"/>
  <c r="K1023" i="2" s="1"/>
  <c r="R1023" i="2"/>
  <c r="I1023" i="2"/>
  <c r="G1023" i="2"/>
  <c r="B1023" i="2"/>
  <c r="A1023" i="2"/>
  <c r="S1022" i="2"/>
  <c r="R1022" i="2"/>
  <c r="I1022" i="2"/>
  <c r="G1022" i="2"/>
  <c r="B1022" i="2"/>
  <c r="A1022" i="2"/>
  <c r="S1021" i="2"/>
  <c r="K1021" i="2" s="1"/>
  <c r="R1021" i="2"/>
  <c r="I1021" i="2"/>
  <c r="G1021" i="2"/>
  <c r="B1021" i="2"/>
  <c r="A1021" i="2"/>
  <c r="S1020" i="2"/>
  <c r="R1020" i="2"/>
  <c r="K1020" i="2" s="1"/>
  <c r="I1020" i="2"/>
  <c r="G1020" i="2"/>
  <c r="B1020" i="2"/>
  <c r="A1020" i="2"/>
  <c r="S1019" i="2"/>
  <c r="R1019" i="2"/>
  <c r="K1019" i="2" s="1"/>
  <c r="I1019" i="2"/>
  <c r="G1019" i="2"/>
  <c r="B1019" i="2"/>
  <c r="A1019" i="2"/>
  <c r="S1018" i="2"/>
  <c r="K1018" i="2" s="1"/>
  <c r="R1018" i="2"/>
  <c r="I1018" i="2"/>
  <c r="G1018" i="2"/>
  <c r="B1018" i="2"/>
  <c r="A1018" i="2"/>
  <c r="S1017" i="2"/>
  <c r="R1017" i="2"/>
  <c r="I1017" i="2"/>
  <c r="G1017" i="2"/>
  <c r="B1017" i="2"/>
  <c r="A1017" i="2"/>
  <c r="S1016" i="2"/>
  <c r="R1016" i="2"/>
  <c r="K1016" i="2" s="1"/>
  <c r="I1016" i="2"/>
  <c r="G1016" i="2"/>
  <c r="B1016" i="2"/>
  <c r="A1016" i="2"/>
  <c r="S1015" i="2"/>
  <c r="K1015" i="2" s="1"/>
  <c r="R1015" i="2"/>
  <c r="I1015" i="2"/>
  <c r="G1015" i="2"/>
  <c r="B1015" i="2"/>
  <c r="A1015" i="2"/>
  <c r="S1014" i="2"/>
  <c r="R1014" i="2"/>
  <c r="K1014" i="2" s="1"/>
  <c r="I1014" i="2"/>
  <c r="G1014" i="2"/>
  <c r="B1014" i="2"/>
  <c r="A1014" i="2"/>
  <c r="S1013" i="2"/>
  <c r="R1013" i="2"/>
  <c r="K1013" i="2"/>
  <c r="I1013" i="2"/>
  <c r="G1013" i="2"/>
  <c r="B1013" i="2"/>
  <c r="A1013" i="2"/>
  <c r="S1012" i="2"/>
  <c r="R1012" i="2"/>
  <c r="I1012" i="2"/>
  <c r="G1012" i="2"/>
  <c r="B1012" i="2"/>
  <c r="A1012" i="2"/>
  <c r="S1011" i="2"/>
  <c r="R1011" i="2"/>
  <c r="K1011" i="2"/>
  <c r="I1011" i="2"/>
  <c r="G1011" i="2"/>
  <c r="B1011" i="2"/>
  <c r="A1011" i="2"/>
  <c r="S1010" i="2"/>
  <c r="R1010" i="2"/>
  <c r="K1010" i="2" s="1"/>
  <c r="I1010" i="2"/>
  <c r="G1010" i="2"/>
  <c r="B1010" i="2"/>
  <c r="A1010" i="2"/>
  <c r="S1009" i="2"/>
  <c r="R1009" i="2"/>
  <c r="I1009" i="2"/>
  <c r="G1009" i="2"/>
  <c r="B1009" i="2"/>
  <c r="A1009" i="2"/>
  <c r="S1008" i="2"/>
  <c r="R1008" i="2"/>
  <c r="I1008" i="2"/>
  <c r="G1008" i="2"/>
  <c r="B1008" i="2"/>
  <c r="A1008" i="2"/>
  <c r="S1007" i="2"/>
  <c r="R1007" i="2"/>
  <c r="K1007" i="2"/>
  <c r="I1007" i="2"/>
  <c r="G1007" i="2"/>
  <c r="B1007" i="2"/>
  <c r="A1007" i="2"/>
  <c r="S1006" i="2"/>
  <c r="R1006" i="2"/>
  <c r="K1006" i="2" s="1"/>
  <c r="I1006" i="2"/>
  <c r="G1006" i="2"/>
  <c r="B1006" i="2"/>
  <c r="A1006" i="2"/>
  <c r="S1005" i="2"/>
  <c r="K1005" i="2" s="1"/>
  <c r="R1005" i="2"/>
  <c r="I1005" i="2"/>
  <c r="G1005" i="2"/>
  <c r="B1005" i="2"/>
  <c r="A1005" i="2"/>
  <c r="S1004" i="2"/>
  <c r="R1004" i="2"/>
  <c r="K1004" i="2" s="1"/>
  <c r="I1004" i="2"/>
  <c r="G1004" i="2"/>
  <c r="B1004" i="2"/>
  <c r="A1004" i="2"/>
  <c r="S1003" i="2"/>
  <c r="K1003" i="2" s="1"/>
  <c r="R1003" i="2"/>
  <c r="I1003" i="2"/>
  <c r="G1003" i="2"/>
  <c r="B1003" i="2"/>
  <c r="A1003" i="2"/>
  <c r="S1002" i="2"/>
  <c r="R1002" i="2"/>
  <c r="K1002" i="2" s="1"/>
  <c r="I1002" i="2"/>
  <c r="G1002" i="2"/>
  <c r="B1002" i="2"/>
  <c r="A1002" i="2"/>
  <c r="S1001" i="2"/>
  <c r="R1001" i="2"/>
  <c r="K1001" i="2"/>
  <c r="I1001" i="2"/>
  <c r="G1001" i="2"/>
  <c r="B1001" i="2"/>
  <c r="A1001" i="2"/>
  <c r="S1000" i="2"/>
  <c r="R1000" i="2"/>
  <c r="I1000" i="2"/>
  <c r="G1000" i="2"/>
  <c r="B1000" i="2"/>
  <c r="A1000" i="2"/>
  <c r="S999" i="2"/>
  <c r="R999" i="2"/>
  <c r="K999" i="2"/>
  <c r="I999" i="2"/>
  <c r="G999" i="2"/>
  <c r="B999" i="2"/>
  <c r="A999" i="2"/>
  <c r="S998" i="2"/>
  <c r="R998" i="2"/>
  <c r="K998" i="2" s="1"/>
  <c r="I998" i="2"/>
  <c r="G998" i="2"/>
  <c r="B998" i="2"/>
  <c r="A998" i="2"/>
  <c r="S997" i="2"/>
  <c r="K997" i="2" s="1"/>
  <c r="R997" i="2"/>
  <c r="I997" i="2"/>
  <c r="G997" i="2"/>
  <c r="B997" i="2"/>
  <c r="A997" i="2"/>
  <c r="S996" i="2"/>
  <c r="R996" i="2"/>
  <c r="K996" i="2" s="1"/>
  <c r="I996" i="2"/>
  <c r="G996" i="2"/>
  <c r="B996" i="2"/>
  <c r="A996" i="2"/>
  <c r="S995" i="2"/>
  <c r="K995" i="2" s="1"/>
  <c r="R995" i="2"/>
  <c r="I995" i="2"/>
  <c r="G995" i="2"/>
  <c r="B995" i="2"/>
  <c r="A995" i="2"/>
  <c r="S994" i="2"/>
  <c r="R994" i="2"/>
  <c r="K994" i="2" s="1"/>
  <c r="I994" i="2"/>
  <c r="G994" i="2"/>
  <c r="B994" i="2"/>
  <c r="A994" i="2"/>
  <c r="S993" i="2"/>
  <c r="R993" i="2"/>
  <c r="K993" i="2"/>
  <c r="I993" i="2"/>
  <c r="G993" i="2"/>
  <c r="B993" i="2"/>
  <c r="A993" i="2"/>
  <c r="S992" i="2"/>
  <c r="R992" i="2"/>
  <c r="I992" i="2"/>
  <c r="G992" i="2"/>
  <c r="B992" i="2"/>
  <c r="A992" i="2"/>
  <c r="S991" i="2"/>
  <c r="R991" i="2"/>
  <c r="K991" i="2"/>
  <c r="I991" i="2"/>
  <c r="G991" i="2"/>
  <c r="B991" i="2"/>
  <c r="A991" i="2"/>
  <c r="S990" i="2"/>
  <c r="R990" i="2"/>
  <c r="K990" i="2" s="1"/>
  <c r="I990" i="2"/>
  <c r="G990" i="2"/>
  <c r="B990" i="2"/>
  <c r="A990" i="2"/>
  <c r="S989" i="2"/>
  <c r="K989" i="2" s="1"/>
  <c r="R989" i="2"/>
  <c r="I989" i="2"/>
  <c r="G989" i="2"/>
  <c r="B989" i="2"/>
  <c r="A989" i="2"/>
  <c r="S988" i="2"/>
  <c r="R988" i="2"/>
  <c r="K988" i="2" s="1"/>
  <c r="I988" i="2"/>
  <c r="G988" i="2"/>
  <c r="B988" i="2"/>
  <c r="A988" i="2"/>
  <c r="S987" i="2"/>
  <c r="K987" i="2" s="1"/>
  <c r="R987" i="2"/>
  <c r="I987" i="2"/>
  <c r="G987" i="2"/>
  <c r="B987" i="2"/>
  <c r="A987" i="2"/>
  <c r="S986" i="2"/>
  <c r="R986" i="2"/>
  <c r="K986" i="2" s="1"/>
  <c r="I986" i="2"/>
  <c r="G986" i="2"/>
  <c r="B986" i="2"/>
  <c r="A986" i="2"/>
  <c r="S985" i="2"/>
  <c r="R985" i="2"/>
  <c r="K985" i="2"/>
  <c r="I985" i="2"/>
  <c r="G985" i="2"/>
  <c r="B985" i="2"/>
  <c r="A985" i="2"/>
  <c r="S984" i="2"/>
  <c r="R984" i="2"/>
  <c r="I984" i="2"/>
  <c r="G984" i="2"/>
  <c r="B984" i="2"/>
  <c r="A984" i="2"/>
  <c r="S983" i="2"/>
  <c r="R983" i="2"/>
  <c r="K983" i="2"/>
  <c r="I983" i="2"/>
  <c r="G983" i="2"/>
  <c r="B983" i="2"/>
  <c r="A983" i="2"/>
  <c r="S982" i="2"/>
  <c r="R982" i="2"/>
  <c r="K982" i="2" s="1"/>
  <c r="I982" i="2"/>
  <c r="G982" i="2"/>
  <c r="B982" i="2"/>
  <c r="A982" i="2"/>
  <c r="S981" i="2"/>
  <c r="K981" i="2" s="1"/>
  <c r="R981" i="2"/>
  <c r="I981" i="2"/>
  <c r="G981" i="2"/>
  <c r="B981" i="2"/>
  <c r="A981" i="2"/>
  <c r="S980" i="2"/>
  <c r="R980" i="2"/>
  <c r="K980" i="2" s="1"/>
  <c r="I980" i="2"/>
  <c r="G980" i="2"/>
  <c r="B980" i="2"/>
  <c r="A980" i="2"/>
  <c r="S979" i="2"/>
  <c r="K979" i="2" s="1"/>
  <c r="R979" i="2"/>
  <c r="I979" i="2"/>
  <c r="G979" i="2"/>
  <c r="B979" i="2"/>
  <c r="A979" i="2"/>
  <c r="S978" i="2"/>
  <c r="R978" i="2"/>
  <c r="K978" i="2" s="1"/>
  <c r="I978" i="2"/>
  <c r="G978" i="2"/>
  <c r="B978" i="2"/>
  <c r="A978" i="2"/>
  <c r="S977" i="2"/>
  <c r="R977" i="2"/>
  <c r="K977" i="2"/>
  <c r="I977" i="2"/>
  <c r="G977" i="2"/>
  <c r="B977" i="2"/>
  <c r="A977" i="2"/>
  <c r="S976" i="2"/>
  <c r="R976" i="2"/>
  <c r="I976" i="2"/>
  <c r="G976" i="2"/>
  <c r="B976" i="2"/>
  <c r="A976" i="2"/>
  <c r="S975" i="2"/>
  <c r="R975" i="2"/>
  <c r="K975" i="2"/>
  <c r="I975" i="2"/>
  <c r="G975" i="2"/>
  <c r="B975" i="2"/>
  <c r="A975" i="2"/>
  <c r="S974" i="2"/>
  <c r="R974" i="2"/>
  <c r="K974" i="2" s="1"/>
  <c r="I974" i="2"/>
  <c r="G974" i="2"/>
  <c r="B974" i="2"/>
  <c r="A974" i="2"/>
  <c r="S973" i="2"/>
  <c r="K973" i="2" s="1"/>
  <c r="R973" i="2"/>
  <c r="I973" i="2"/>
  <c r="G973" i="2"/>
  <c r="B973" i="2"/>
  <c r="A973" i="2"/>
  <c r="S972" i="2"/>
  <c r="R972" i="2"/>
  <c r="K972" i="2" s="1"/>
  <c r="I972" i="2"/>
  <c r="G972" i="2"/>
  <c r="B972" i="2"/>
  <c r="A972" i="2"/>
  <c r="S971" i="2"/>
  <c r="K971" i="2" s="1"/>
  <c r="R971" i="2"/>
  <c r="I971" i="2"/>
  <c r="G971" i="2"/>
  <c r="B971" i="2"/>
  <c r="A971" i="2"/>
  <c r="S970" i="2"/>
  <c r="R970" i="2"/>
  <c r="K970" i="2" s="1"/>
  <c r="I970" i="2"/>
  <c r="G970" i="2"/>
  <c r="B970" i="2"/>
  <c r="A970" i="2"/>
  <c r="S969" i="2"/>
  <c r="R969" i="2"/>
  <c r="K969" i="2"/>
  <c r="I969" i="2"/>
  <c r="G969" i="2"/>
  <c r="B969" i="2"/>
  <c r="A969" i="2"/>
  <c r="S968" i="2"/>
  <c r="R968" i="2"/>
  <c r="I968" i="2"/>
  <c r="G968" i="2"/>
  <c r="B968" i="2"/>
  <c r="A968" i="2"/>
  <c r="S967" i="2"/>
  <c r="R967" i="2"/>
  <c r="K967" i="2"/>
  <c r="I967" i="2"/>
  <c r="G967" i="2"/>
  <c r="B967" i="2"/>
  <c r="A967" i="2"/>
  <c r="S966" i="2"/>
  <c r="R966" i="2"/>
  <c r="K966" i="2" s="1"/>
  <c r="I966" i="2"/>
  <c r="G966" i="2"/>
  <c r="B966" i="2"/>
  <c r="A966" i="2"/>
  <c r="S965" i="2"/>
  <c r="K965" i="2" s="1"/>
  <c r="R965" i="2"/>
  <c r="I965" i="2"/>
  <c r="G965" i="2"/>
  <c r="B965" i="2"/>
  <c r="A965" i="2"/>
  <c r="S964" i="2"/>
  <c r="R964" i="2"/>
  <c r="K964" i="2" s="1"/>
  <c r="I964" i="2"/>
  <c r="G964" i="2"/>
  <c r="B964" i="2"/>
  <c r="A964" i="2"/>
  <c r="S963" i="2"/>
  <c r="K963" i="2" s="1"/>
  <c r="R963" i="2"/>
  <c r="I963" i="2"/>
  <c r="G963" i="2"/>
  <c r="B963" i="2"/>
  <c r="A963" i="2"/>
  <c r="S962" i="2"/>
  <c r="R962" i="2"/>
  <c r="K962" i="2" s="1"/>
  <c r="I962" i="2"/>
  <c r="G962" i="2"/>
  <c r="B962" i="2"/>
  <c r="A962" i="2"/>
  <c r="S961" i="2"/>
  <c r="R961" i="2"/>
  <c r="K961" i="2"/>
  <c r="I961" i="2"/>
  <c r="G961" i="2"/>
  <c r="B961" i="2"/>
  <c r="A961" i="2"/>
  <c r="S960" i="2"/>
  <c r="R960" i="2"/>
  <c r="I960" i="2"/>
  <c r="G960" i="2"/>
  <c r="B960" i="2"/>
  <c r="A960" i="2"/>
  <c r="S959" i="2"/>
  <c r="R959" i="2"/>
  <c r="K959" i="2"/>
  <c r="I959" i="2"/>
  <c r="G959" i="2"/>
  <c r="B959" i="2"/>
  <c r="A959" i="2"/>
  <c r="S958" i="2"/>
  <c r="R958" i="2"/>
  <c r="K958" i="2" s="1"/>
  <c r="I958" i="2"/>
  <c r="G958" i="2"/>
  <c r="B958" i="2"/>
  <c r="A958" i="2"/>
  <c r="S957" i="2"/>
  <c r="K957" i="2" s="1"/>
  <c r="R957" i="2"/>
  <c r="I957" i="2"/>
  <c r="G957" i="2"/>
  <c r="B957" i="2"/>
  <c r="A957" i="2"/>
  <c r="S956" i="2"/>
  <c r="R956" i="2"/>
  <c r="K956" i="2" s="1"/>
  <c r="I956" i="2"/>
  <c r="G956" i="2"/>
  <c r="B956" i="2"/>
  <c r="A956" i="2"/>
  <c r="S955" i="2"/>
  <c r="K955" i="2" s="1"/>
  <c r="R955" i="2"/>
  <c r="I955" i="2"/>
  <c r="G955" i="2"/>
  <c r="B955" i="2"/>
  <c r="A955" i="2"/>
  <c r="S954" i="2"/>
  <c r="R954" i="2"/>
  <c r="K954" i="2" s="1"/>
  <c r="I954" i="2"/>
  <c r="G954" i="2"/>
  <c r="B954" i="2"/>
  <c r="A954" i="2"/>
  <c r="S953" i="2"/>
  <c r="R953" i="2"/>
  <c r="K953" i="2"/>
  <c r="I953" i="2"/>
  <c r="G953" i="2"/>
  <c r="B953" i="2"/>
  <c r="A953" i="2"/>
  <c r="S952" i="2"/>
  <c r="R952" i="2"/>
  <c r="I952" i="2"/>
  <c r="G952" i="2"/>
  <c r="B952" i="2"/>
  <c r="A952" i="2"/>
  <c r="S951" i="2"/>
  <c r="R951" i="2"/>
  <c r="K951" i="2"/>
  <c r="I951" i="2"/>
  <c r="G951" i="2"/>
  <c r="B951" i="2"/>
  <c r="A951" i="2"/>
  <c r="S950" i="2"/>
  <c r="R950" i="2"/>
  <c r="K950" i="2" s="1"/>
  <c r="I950" i="2"/>
  <c r="G950" i="2"/>
  <c r="B950" i="2"/>
  <c r="A950" i="2"/>
  <c r="S949" i="2"/>
  <c r="K949" i="2" s="1"/>
  <c r="R949" i="2"/>
  <c r="I949" i="2"/>
  <c r="G949" i="2"/>
  <c r="B949" i="2"/>
  <c r="A949" i="2"/>
  <c r="S948" i="2"/>
  <c r="R948" i="2"/>
  <c r="K948" i="2" s="1"/>
  <c r="I948" i="2"/>
  <c r="G948" i="2"/>
  <c r="B948" i="2"/>
  <c r="A948" i="2"/>
  <c r="S947" i="2"/>
  <c r="K947" i="2" s="1"/>
  <c r="R947" i="2"/>
  <c r="I947" i="2"/>
  <c r="G947" i="2"/>
  <c r="B947" i="2"/>
  <c r="A947" i="2"/>
  <c r="B3327" i="12"/>
  <c r="C3327" i="12"/>
  <c r="E3327" i="12"/>
  <c r="F3327" i="12"/>
  <c r="K1009" i="2" l="1"/>
  <c r="K952" i="2"/>
  <c r="K960" i="2"/>
  <c r="K968" i="2"/>
  <c r="K976" i="2"/>
  <c r="K984" i="2"/>
  <c r="K992" i="2"/>
  <c r="K1000" i="2"/>
  <c r="K1008" i="2"/>
  <c r="K1028" i="2"/>
  <c r="K1031" i="2"/>
  <c r="K1038" i="2"/>
  <c r="K1060" i="2"/>
  <c r="K1063" i="2"/>
  <c r="K1070" i="2"/>
  <c r="K1085" i="2"/>
  <c r="K1110" i="2"/>
  <c r="K1113" i="2"/>
  <c r="K1120" i="2"/>
  <c r="K1137" i="2"/>
  <c r="K1153" i="2"/>
  <c r="K1017" i="2"/>
  <c r="K1022" i="2"/>
  <c r="K1044" i="2"/>
  <c r="K1047" i="2"/>
  <c r="K1054" i="2"/>
  <c r="K1076" i="2"/>
  <c r="K1079" i="2"/>
  <c r="K1096" i="2"/>
  <c r="K1099" i="2"/>
  <c r="K1106" i="2"/>
  <c r="K1126" i="2"/>
  <c r="K1129" i="2"/>
  <c r="K1353" i="2"/>
  <c r="K1347" i="2"/>
  <c r="K1355" i="2"/>
  <c r="K1012" i="2"/>
  <c r="K1026" i="2"/>
  <c r="K1034" i="2"/>
  <c r="K1042" i="2"/>
  <c r="K1050" i="2"/>
  <c r="K1058" i="2"/>
  <c r="K1066" i="2"/>
  <c r="K1074" i="2"/>
  <c r="K1088" i="2"/>
  <c r="K1094" i="2"/>
  <c r="K1102" i="2"/>
  <c r="K1116" i="2"/>
  <c r="K1124" i="2"/>
  <c r="K1132" i="2"/>
  <c r="K1140" i="2"/>
  <c r="K1148" i="2"/>
  <c r="K1156" i="2"/>
  <c r="K1164" i="2"/>
  <c r="K1170" i="2"/>
  <c r="K1178" i="2"/>
  <c r="K1183" i="2"/>
  <c r="K1191" i="2"/>
  <c r="K1199" i="2"/>
  <c r="K1207" i="2"/>
  <c r="K1215" i="2"/>
  <c r="K1223" i="2"/>
  <c r="K1231" i="2"/>
  <c r="K1239" i="2"/>
  <c r="K1247" i="2"/>
  <c r="K1255" i="2"/>
  <c r="K1263" i="2"/>
  <c r="K1277" i="2"/>
  <c r="K1285" i="2"/>
  <c r="K1293" i="2"/>
  <c r="K1301" i="2"/>
  <c r="K1309" i="2"/>
  <c r="K1317" i="2"/>
  <c r="K1325" i="2"/>
  <c r="K1333" i="2"/>
  <c r="K1341" i="2"/>
  <c r="K1158" i="2"/>
  <c r="K1172" i="2"/>
  <c r="K1180" i="2"/>
  <c r="K1185" i="2"/>
  <c r="K1193" i="2"/>
  <c r="K1201" i="2"/>
  <c r="K1209" i="2"/>
  <c r="K1217" i="2"/>
  <c r="K1233" i="2"/>
  <c r="K1241" i="2"/>
  <c r="K1249" i="2"/>
  <c r="K1257" i="2"/>
  <c r="K1265" i="2"/>
  <c r="K1271" i="2"/>
  <c r="K1279" i="2"/>
  <c r="K1287" i="2"/>
  <c r="K1295" i="2"/>
  <c r="K1303" i="2"/>
  <c r="K1311" i="2"/>
  <c r="K1319" i="2"/>
  <c r="K1327" i="2"/>
  <c r="K1335" i="2"/>
  <c r="K1351" i="2"/>
  <c r="K1359" i="2"/>
  <c r="B3326" i="12"/>
  <c r="C3326" i="12"/>
  <c r="E3326" i="12"/>
  <c r="F3326" i="12"/>
  <c r="B3325" i="12"/>
  <c r="C3325" i="12"/>
  <c r="E3325" i="12"/>
  <c r="F3325" i="12"/>
  <c r="B3324" i="12"/>
  <c r="C3324" i="12"/>
  <c r="E3324" i="12"/>
  <c r="F3324" i="12"/>
  <c r="B3323" i="12" l="1"/>
  <c r="C3323" i="12"/>
  <c r="E3323" i="12"/>
  <c r="F3323" i="12"/>
  <c r="B3322" i="12"/>
  <c r="C3322" i="12"/>
  <c r="E3322" i="12"/>
  <c r="F3322" i="12"/>
  <c r="B3321" i="12"/>
  <c r="C3321" i="12"/>
  <c r="E3321" i="12"/>
  <c r="F3321" i="12"/>
  <c r="B3320" i="12"/>
  <c r="C3320" i="12"/>
  <c r="E3320" i="12"/>
  <c r="F3320" i="12"/>
  <c r="B3319" i="12"/>
  <c r="C3319" i="12"/>
  <c r="E3319" i="12"/>
  <c r="F3319" i="12"/>
  <c r="M48" i="8"/>
  <c r="N48" i="8"/>
  <c r="O48" i="8"/>
  <c r="P48" i="8"/>
  <c r="Q48" i="8" s="1"/>
  <c r="M44" i="8"/>
  <c r="M45" i="8"/>
  <c r="M46" i="8"/>
  <c r="M47" i="8"/>
  <c r="N44" i="8"/>
  <c r="N45" i="8"/>
  <c r="N46" i="8"/>
  <c r="N47" i="8"/>
  <c r="O44" i="8"/>
  <c r="O45" i="8"/>
  <c r="O46" i="8"/>
  <c r="O47" i="8"/>
  <c r="P44" i="8"/>
  <c r="P45" i="8"/>
  <c r="P46" i="8"/>
  <c r="P47" i="8"/>
  <c r="Q44" i="8"/>
  <c r="Q45" i="8"/>
  <c r="Q46" i="8"/>
  <c r="Q47" i="8"/>
  <c r="M43" i="8"/>
  <c r="M4" i="8"/>
  <c r="N43" i="8"/>
  <c r="N4" i="8"/>
  <c r="O43" i="8"/>
  <c r="O4" i="8"/>
  <c r="P43" i="8"/>
  <c r="Q43" i="8" s="1"/>
  <c r="P4" i="8"/>
  <c r="Q4" i="8" s="1"/>
  <c r="M40" i="8"/>
  <c r="M41" i="8"/>
  <c r="M42" i="8"/>
  <c r="N40" i="8"/>
  <c r="N41" i="8"/>
  <c r="N42" i="8"/>
  <c r="O40" i="8"/>
  <c r="O41" i="8"/>
  <c r="O42" i="8"/>
  <c r="P40" i="8"/>
  <c r="Q40" i="8" s="1"/>
  <c r="P41" i="8"/>
  <c r="Q41" i="8" s="1"/>
  <c r="P42" i="8"/>
  <c r="Q42" i="8" s="1"/>
  <c r="M28" i="8"/>
  <c r="M29" i="8"/>
  <c r="M30" i="8"/>
  <c r="M31" i="8"/>
  <c r="M32" i="8"/>
  <c r="M33" i="8"/>
  <c r="M34" i="8"/>
  <c r="M35" i="8"/>
  <c r="M36" i="8"/>
  <c r="M37" i="8"/>
  <c r="M38" i="8"/>
  <c r="M39" i="8"/>
  <c r="N28" i="8"/>
  <c r="N29" i="8"/>
  <c r="N30" i="8"/>
  <c r="N31" i="8"/>
  <c r="N32" i="8"/>
  <c r="N33" i="8"/>
  <c r="N34" i="8"/>
  <c r="N35" i="8"/>
  <c r="N36" i="8"/>
  <c r="N37" i="8"/>
  <c r="N38" i="8"/>
  <c r="N39" i="8"/>
  <c r="O28" i="8"/>
  <c r="O29" i="8"/>
  <c r="O30" i="8"/>
  <c r="O31" i="8"/>
  <c r="O32" i="8"/>
  <c r="O33" i="8"/>
  <c r="O34" i="8"/>
  <c r="O35" i="8"/>
  <c r="O36" i="8"/>
  <c r="O37" i="8"/>
  <c r="O38" i="8"/>
  <c r="O39" i="8"/>
  <c r="P28" i="8"/>
  <c r="P29" i="8"/>
  <c r="P30" i="8"/>
  <c r="P31" i="8"/>
  <c r="P32" i="8"/>
  <c r="P33" i="8"/>
  <c r="P34" i="8"/>
  <c r="P35" i="8"/>
  <c r="P36" i="8"/>
  <c r="P37" i="8"/>
  <c r="P38" i="8"/>
  <c r="P39" i="8"/>
  <c r="Q28" i="8"/>
  <c r="Q29" i="8"/>
  <c r="Q30" i="8"/>
  <c r="Q31" i="8"/>
  <c r="Q32" i="8"/>
  <c r="Q33" i="8"/>
  <c r="Q34" i="8"/>
  <c r="Q35" i="8"/>
  <c r="Q36" i="8"/>
  <c r="Q37" i="8"/>
  <c r="Q38" i="8"/>
  <c r="Q39" i="8"/>
  <c r="M25" i="8"/>
  <c r="M26" i="8"/>
  <c r="M27" i="8"/>
  <c r="N25" i="8"/>
  <c r="N26" i="8"/>
  <c r="N27" i="8"/>
  <c r="O25" i="8"/>
  <c r="O26" i="8"/>
  <c r="O27" i="8"/>
  <c r="P25" i="8"/>
  <c r="P26" i="8"/>
  <c r="Q26" i="8" s="1"/>
  <c r="P27" i="8"/>
  <c r="Q25" i="8"/>
  <c r="Q27" i="8"/>
  <c r="M10" i="8"/>
  <c r="M11" i="8"/>
  <c r="M12" i="8"/>
  <c r="M13" i="8"/>
  <c r="M14" i="8"/>
  <c r="M15" i="8"/>
  <c r="M16" i="8"/>
  <c r="M17" i="8"/>
  <c r="M18" i="8"/>
  <c r="M19" i="8"/>
  <c r="M20" i="8"/>
  <c r="M21" i="8"/>
  <c r="M22" i="8"/>
  <c r="M23" i="8"/>
  <c r="M24" i="8"/>
  <c r="N10" i="8"/>
  <c r="N11" i="8"/>
  <c r="N12" i="8"/>
  <c r="N13" i="8"/>
  <c r="N14" i="8"/>
  <c r="N15" i="8"/>
  <c r="N16" i="8"/>
  <c r="N17" i="8"/>
  <c r="N18" i="8"/>
  <c r="N19" i="8"/>
  <c r="N20" i="8"/>
  <c r="N21" i="8"/>
  <c r="N22" i="8"/>
  <c r="N23" i="8"/>
  <c r="N24" i="8"/>
  <c r="O10" i="8"/>
  <c r="O11" i="8"/>
  <c r="O12" i="8"/>
  <c r="O13" i="8"/>
  <c r="O14" i="8"/>
  <c r="O15" i="8"/>
  <c r="O16" i="8"/>
  <c r="O17" i="8"/>
  <c r="O18" i="8"/>
  <c r="O19" i="8"/>
  <c r="O20" i="8"/>
  <c r="O21" i="8"/>
  <c r="O22" i="8"/>
  <c r="O23" i="8"/>
  <c r="O24" i="8"/>
  <c r="P10" i="8"/>
  <c r="Q10" i="8" s="1"/>
  <c r="P11" i="8"/>
  <c r="P12" i="8"/>
  <c r="Q12" i="8" s="1"/>
  <c r="P13" i="8"/>
  <c r="Q13" i="8" s="1"/>
  <c r="P14" i="8"/>
  <c r="Q14" i="8" s="1"/>
  <c r="P15" i="8"/>
  <c r="P16" i="8"/>
  <c r="Q16" i="8" s="1"/>
  <c r="P17" i="8"/>
  <c r="Q17" i="8" s="1"/>
  <c r="P18" i="8"/>
  <c r="Q18" i="8" s="1"/>
  <c r="P19" i="8"/>
  <c r="Q19" i="8" s="1"/>
  <c r="P20" i="8"/>
  <c r="Q20" i="8" s="1"/>
  <c r="P21" i="8"/>
  <c r="Q21" i="8" s="1"/>
  <c r="P22" i="8"/>
  <c r="Q22" i="8" s="1"/>
  <c r="P23" i="8"/>
  <c r="Q23" i="8" s="1"/>
  <c r="P24" i="8"/>
  <c r="Q24" i="8" s="1"/>
  <c r="Q11" i="8"/>
  <c r="Q15" i="8"/>
  <c r="M9" i="8"/>
  <c r="N9" i="8"/>
  <c r="O9" i="8"/>
  <c r="P9" i="8"/>
  <c r="Q9" i="8" s="1"/>
  <c r="M5" i="8"/>
  <c r="M6" i="8"/>
  <c r="M7" i="8"/>
  <c r="M8" i="8"/>
  <c r="N5" i="8"/>
  <c r="N6" i="8"/>
  <c r="N7" i="8"/>
  <c r="N8" i="8"/>
  <c r="O5" i="8"/>
  <c r="O6" i="8"/>
  <c r="O7" i="8"/>
  <c r="O8" i="8"/>
  <c r="P5" i="8"/>
  <c r="Q5" i="8" s="1"/>
  <c r="P6" i="8"/>
  <c r="P7" i="8"/>
  <c r="P8" i="8"/>
  <c r="Q6" i="8"/>
  <c r="Q7" i="8"/>
  <c r="Q8" i="8"/>
  <c r="B3318" i="12"/>
  <c r="C3318" i="12"/>
  <c r="E3318" i="12"/>
  <c r="F3318" i="12"/>
  <c r="B3317" i="12"/>
  <c r="C3317" i="12"/>
  <c r="E3317" i="12"/>
  <c r="F3317" i="12"/>
  <c r="R191" i="11"/>
  <c r="S191" i="11"/>
  <c r="T191" i="11"/>
  <c r="U191" i="11"/>
  <c r="R190" i="11"/>
  <c r="S190" i="11"/>
  <c r="T190" i="11"/>
  <c r="U190" i="11"/>
  <c r="R189" i="11"/>
  <c r="S189" i="11"/>
  <c r="T189" i="11"/>
  <c r="U189" i="11"/>
  <c r="R188" i="11"/>
  <c r="S188" i="11"/>
  <c r="T188" i="11"/>
  <c r="U188" i="11"/>
  <c r="R187" i="11"/>
  <c r="S187" i="11"/>
  <c r="T187" i="11"/>
  <c r="U187" i="11"/>
  <c r="R186" i="11"/>
  <c r="S186" i="11"/>
  <c r="T186" i="11"/>
  <c r="U186" i="11"/>
  <c r="R185" i="11"/>
  <c r="S185" i="11"/>
  <c r="T185" i="11"/>
  <c r="U185" i="11"/>
  <c r="R184" i="11"/>
  <c r="S184" i="11"/>
  <c r="T184" i="11"/>
  <c r="U184" i="11"/>
  <c r="R183" i="11"/>
  <c r="S183" i="11"/>
  <c r="T183" i="11"/>
  <c r="U183" i="11"/>
  <c r="R182" i="11"/>
  <c r="S182" i="11"/>
  <c r="T182" i="11"/>
  <c r="U182" i="11"/>
  <c r="R181" i="11"/>
  <c r="S181" i="11"/>
  <c r="T181" i="11"/>
  <c r="U181" i="11"/>
  <c r="R180" i="11"/>
  <c r="S180" i="11"/>
  <c r="T180" i="11"/>
  <c r="U180" i="11"/>
  <c r="R179" i="11"/>
  <c r="S179" i="11"/>
  <c r="T179" i="11"/>
  <c r="U179" i="11"/>
  <c r="R178" i="11"/>
  <c r="S178" i="11"/>
  <c r="T178" i="11"/>
  <c r="U178" i="11"/>
  <c r="R177" i="11"/>
  <c r="S177" i="11"/>
  <c r="T177" i="11"/>
  <c r="U177" i="11"/>
  <c r="R176" i="11"/>
  <c r="S176" i="11"/>
  <c r="T176" i="11"/>
  <c r="U176" i="11"/>
  <c r="R175" i="11"/>
  <c r="S175" i="11"/>
  <c r="T175" i="11"/>
  <c r="U175" i="11"/>
  <c r="R174" i="11"/>
  <c r="S174" i="11"/>
  <c r="T174" i="11"/>
  <c r="U174" i="11"/>
  <c r="B3316" i="12"/>
  <c r="C3316" i="12"/>
  <c r="E3316" i="12"/>
  <c r="F3316" i="12"/>
  <c r="B3315" i="12"/>
  <c r="C3315" i="12"/>
  <c r="E3315" i="12"/>
  <c r="F3315" i="12"/>
  <c r="B3314" i="12"/>
  <c r="C3314" i="12"/>
  <c r="E3314" i="12"/>
  <c r="F3314" i="12"/>
  <c r="B3313" i="12"/>
  <c r="C3313" i="12"/>
  <c r="E3313" i="12"/>
  <c r="F3313" i="12"/>
  <c r="B3312" i="12"/>
  <c r="C3312" i="12"/>
  <c r="E3312" i="12"/>
  <c r="F3312" i="12"/>
  <c r="B3311" i="12"/>
  <c r="C3311" i="12"/>
  <c r="E3311" i="12"/>
  <c r="F3311" i="12"/>
  <c r="B3310" i="12"/>
  <c r="C3310" i="12"/>
  <c r="E3310" i="12"/>
  <c r="F3310" i="12"/>
  <c r="B3309" i="12"/>
  <c r="C3309" i="12"/>
  <c r="E3309" i="12"/>
  <c r="F3309" i="12"/>
  <c r="B3308" i="12"/>
  <c r="C3308" i="12"/>
  <c r="E3308" i="12"/>
  <c r="F3308" i="12"/>
  <c r="B3307" i="12"/>
  <c r="C3307" i="12"/>
  <c r="E3307" i="12"/>
  <c r="F3307" i="12"/>
  <c r="B3306" i="12"/>
  <c r="C3306" i="12"/>
  <c r="E3306" i="12"/>
  <c r="F3306" i="12"/>
  <c r="B3305" i="12"/>
  <c r="C3305" i="12"/>
  <c r="E3305" i="12"/>
  <c r="F3305" i="12"/>
  <c r="B3304" i="12" l="1"/>
  <c r="C3304" i="12"/>
  <c r="E3304" i="12"/>
  <c r="F3304" i="12"/>
  <c r="B3303" i="12"/>
  <c r="C3303" i="12"/>
  <c r="E3303" i="12"/>
  <c r="F3303" i="12"/>
  <c r="B3302" i="12" l="1"/>
  <c r="C3302" i="12"/>
  <c r="E3302" i="12"/>
  <c r="F3302" i="12"/>
  <c r="B3301" i="12"/>
  <c r="C3301" i="12"/>
  <c r="E3301" i="12"/>
  <c r="F3301" i="12"/>
  <c r="B3300" i="12"/>
  <c r="C3300" i="12"/>
  <c r="E3300" i="12"/>
  <c r="F3300" i="12"/>
  <c r="B3299" i="12"/>
  <c r="C3299" i="12"/>
  <c r="E3299" i="12"/>
  <c r="F3299" i="12"/>
  <c r="B3298" i="12"/>
  <c r="C3298" i="12"/>
  <c r="E3298" i="12"/>
  <c r="F3298" i="12"/>
  <c r="B3297" i="12" l="1"/>
  <c r="C3297" i="12"/>
  <c r="E3297" i="12"/>
  <c r="F3297" i="12"/>
  <c r="B3296" i="12"/>
  <c r="C3296" i="12"/>
  <c r="E3296" i="12"/>
  <c r="F3296" i="12"/>
  <c r="B3295" i="12"/>
  <c r="C3295" i="12"/>
  <c r="E3295" i="12"/>
  <c r="F3295" i="12"/>
  <c r="B3294" i="12" l="1"/>
  <c r="C3294" i="12"/>
  <c r="E3294" i="12"/>
  <c r="F3294" i="12"/>
  <c r="B3293" i="12"/>
  <c r="C3293" i="12"/>
  <c r="E3293" i="12"/>
  <c r="F3293" i="12"/>
  <c r="B3292" i="12"/>
  <c r="C3292" i="12"/>
  <c r="E3292" i="12"/>
  <c r="F3292" i="12"/>
  <c r="B3291" i="12"/>
  <c r="C3291" i="12"/>
  <c r="E3291" i="12"/>
  <c r="F3291" i="12"/>
  <c r="B3290" i="12"/>
  <c r="C3290" i="12"/>
  <c r="E3290" i="12"/>
  <c r="F3290" i="12"/>
  <c r="B3289" i="12"/>
  <c r="C3289" i="12"/>
  <c r="E3289" i="12"/>
  <c r="F3289" i="12"/>
  <c r="B3288" i="12"/>
  <c r="C3288" i="12"/>
  <c r="E3288" i="12"/>
  <c r="F3288" i="12"/>
  <c r="B3287" i="12"/>
  <c r="C3287" i="12"/>
  <c r="E3287" i="12"/>
  <c r="F3287" i="12"/>
  <c r="B3286" i="12"/>
  <c r="C3286" i="12"/>
  <c r="E3286" i="12"/>
  <c r="F3286" i="12"/>
  <c r="B3285" i="12"/>
  <c r="C3285" i="12"/>
  <c r="E3285" i="12"/>
  <c r="F3285" i="12"/>
  <c r="B3284" i="12"/>
  <c r="C3284" i="12"/>
  <c r="E3284" i="12"/>
  <c r="F3284" i="12"/>
  <c r="B3283" i="12"/>
  <c r="C3283" i="12"/>
  <c r="E3283" i="12"/>
  <c r="F3283" i="12"/>
  <c r="B3282" i="12" l="1"/>
  <c r="C3282" i="12"/>
  <c r="E3282" i="12"/>
  <c r="F3282" i="12"/>
  <c r="B3281" i="12"/>
  <c r="C3281" i="12"/>
  <c r="E3281" i="12"/>
  <c r="F3281" i="12"/>
  <c r="B3280" i="12"/>
  <c r="C3280" i="12"/>
  <c r="E3280" i="12"/>
  <c r="F3280" i="12"/>
  <c r="B3279" i="12"/>
  <c r="C3279" i="12"/>
  <c r="E3279" i="12"/>
  <c r="F3279" i="12"/>
  <c r="B3278" i="12"/>
  <c r="C3278" i="12"/>
  <c r="E3278" i="12"/>
  <c r="F3278" i="12"/>
  <c r="B3277" i="12"/>
  <c r="C3277" i="12"/>
  <c r="E3277" i="12"/>
  <c r="F3277" i="12"/>
  <c r="B3276" i="12"/>
  <c r="C3276" i="12"/>
  <c r="E3276" i="12"/>
  <c r="F3276" i="12"/>
  <c r="B3275" i="12"/>
  <c r="C3275" i="12"/>
  <c r="E3275" i="12"/>
  <c r="F3275" i="12"/>
  <c r="B3274" i="12"/>
  <c r="C3274" i="12"/>
  <c r="E3274" i="12"/>
  <c r="F3274" i="12"/>
  <c r="B3273" i="12"/>
  <c r="C3273" i="12"/>
  <c r="E3273" i="12"/>
  <c r="F3273" i="12"/>
  <c r="B3272" i="12"/>
  <c r="C3272" i="12"/>
  <c r="E3272" i="12"/>
  <c r="F3272" i="12"/>
  <c r="B3271" i="12"/>
  <c r="C3271" i="12"/>
  <c r="E3271" i="12"/>
  <c r="F3271" i="12"/>
  <c r="B3270" i="12"/>
  <c r="C3270" i="12"/>
  <c r="E3270" i="12"/>
  <c r="F3270" i="12"/>
  <c r="B3269" i="12"/>
  <c r="C3269" i="12"/>
  <c r="E3269" i="12"/>
  <c r="F3269" i="12"/>
  <c r="B3268" i="12"/>
  <c r="C3268" i="12"/>
  <c r="E3268" i="12"/>
  <c r="F3268" i="12"/>
  <c r="B3267" i="12"/>
  <c r="C3267" i="12"/>
  <c r="E3267" i="12"/>
  <c r="F3267" i="12"/>
  <c r="B3266" i="12"/>
  <c r="C3266" i="12"/>
  <c r="E3266" i="12"/>
  <c r="F3266" i="12"/>
  <c r="B3265" i="12"/>
  <c r="C3265" i="12"/>
  <c r="E3265" i="12"/>
  <c r="F3265" i="12"/>
  <c r="B3264" i="12"/>
  <c r="C3264" i="12"/>
  <c r="E3264" i="12"/>
  <c r="F3264" i="12"/>
  <c r="B3263" i="12"/>
  <c r="C3263" i="12"/>
  <c r="E3263" i="12"/>
  <c r="F3263" i="12"/>
  <c r="B3262" i="12"/>
  <c r="C3262" i="12"/>
  <c r="E3262" i="12"/>
  <c r="F3262" i="12"/>
  <c r="B3261" i="12"/>
  <c r="C3261" i="12"/>
  <c r="E3261" i="12"/>
  <c r="F3261" i="12"/>
  <c r="B3260" i="12"/>
  <c r="C3260" i="12"/>
  <c r="E3260" i="12"/>
  <c r="F3260" i="12"/>
  <c r="B3259" i="12"/>
  <c r="C3259" i="12"/>
  <c r="E3259" i="12"/>
  <c r="F3259" i="12"/>
  <c r="B3258" i="12"/>
  <c r="C3258" i="12"/>
  <c r="E3258" i="12"/>
  <c r="F3258" i="12"/>
  <c r="B3257" i="12"/>
  <c r="C3257" i="12"/>
  <c r="E3257" i="12"/>
  <c r="F3257" i="12"/>
  <c r="B3256" i="12"/>
  <c r="C3256" i="12"/>
  <c r="E3256" i="12"/>
  <c r="F3256" i="12"/>
  <c r="B3255" i="12"/>
  <c r="C3255" i="12"/>
  <c r="E3255" i="12"/>
  <c r="F3255" i="12"/>
  <c r="B3254" i="12"/>
  <c r="C3254" i="12"/>
  <c r="E3254" i="12"/>
  <c r="F3254" i="12"/>
  <c r="B3253" i="12"/>
  <c r="C3253" i="12"/>
  <c r="E3253" i="12"/>
  <c r="F3253" i="12"/>
  <c r="B3252" i="12" l="1"/>
  <c r="C3252" i="12"/>
  <c r="E3252" i="12"/>
  <c r="F3252" i="12"/>
  <c r="B3251" i="12"/>
  <c r="C3251" i="12"/>
  <c r="E3251" i="12"/>
  <c r="F3251" i="12"/>
  <c r="B3250" i="12"/>
  <c r="C3250" i="12"/>
  <c r="E3250" i="12"/>
  <c r="F3250" i="12"/>
  <c r="B3249" i="12"/>
  <c r="C3249" i="12"/>
  <c r="E3249" i="12"/>
  <c r="F3249" i="12"/>
  <c r="B3248" i="12"/>
  <c r="C3248" i="12"/>
  <c r="E3248" i="12"/>
  <c r="F3248" i="12"/>
  <c r="B3247" i="12"/>
  <c r="C3247" i="12"/>
  <c r="E3247" i="12"/>
  <c r="F3247" i="12"/>
  <c r="B3246" i="12"/>
  <c r="C3246" i="12"/>
  <c r="E3246" i="12"/>
  <c r="F3246" i="12"/>
  <c r="B3245" i="12"/>
  <c r="C3245" i="12"/>
  <c r="E3245" i="12"/>
  <c r="F3245" i="12"/>
  <c r="B3244" i="12"/>
  <c r="C3244" i="12"/>
  <c r="E3244" i="12"/>
  <c r="F3244" i="12"/>
  <c r="B3243" i="12"/>
  <c r="C3243" i="12"/>
  <c r="E3243" i="12"/>
  <c r="F3243" i="12"/>
  <c r="B3242" i="12"/>
  <c r="C3242" i="12"/>
  <c r="E3242" i="12"/>
  <c r="F3242" i="12"/>
  <c r="B3241" i="12"/>
  <c r="C3241" i="12"/>
  <c r="E3241" i="12"/>
  <c r="F3241" i="12"/>
  <c r="B3240" i="12"/>
  <c r="C3240" i="12"/>
  <c r="E3240" i="12"/>
  <c r="F3240" i="12"/>
  <c r="B3239" i="12"/>
  <c r="C3239" i="12"/>
  <c r="E3239" i="12"/>
  <c r="F3239" i="12"/>
  <c r="B3238" i="12"/>
  <c r="C3238" i="12"/>
  <c r="E3238" i="12"/>
  <c r="F3238" i="12"/>
  <c r="B3237" i="12"/>
  <c r="C3237" i="12"/>
  <c r="E3237" i="12"/>
  <c r="F3237" i="12"/>
  <c r="B3236" i="12"/>
  <c r="C3236" i="12"/>
  <c r="E3236" i="12"/>
  <c r="F3236" i="12"/>
  <c r="B3235" i="12"/>
  <c r="C3235" i="12"/>
  <c r="E3235" i="12"/>
  <c r="F3235" i="12"/>
  <c r="B3234" i="12"/>
  <c r="C3234" i="12"/>
  <c r="E3234" i="12"/>
  <c r="F3234" i="12"/>
  <c r="B3233" i="12"/>
  <c r="C3233" i="12"/>
  <c r="E3233" i="12"/>
  <c r="F3233" i="12"/>
  <c r="B3232" i="12"/>
  <c r="C3232" i="12"/>
  <c r="E3232" i="12"/>
  <c r="F3232" i="12"/>
  <c r="B3231" i="12"/>
  <c r="C3231" i="12"/>
  <c r="E3231" i="12"/>
  <c r="F3231" i="12"/>
  <c r="B3230" i="12"/>
  <c r="C3230" i="12"/>
  <c r="E3230" i="12"/>
  <c r="F3230" i="12"/>
  <c r="B3229" i="12"/>
  <c r="C3229" i="12"/>
  <c r="E3229" i="12"/>
  <c r="F3229" i="12"/>
  <c r="B3228" i="12"/>
  <c r="C3228" i="12"/>
  <c r="E3228" i="12"/>
  <c r="F3228" i="12"/>
  <c r="B3227" i="12"/>
  <c r="C3227" i="12"/>
  <c r="E3227" i="12"/>
  <c r="F3227" i="12"/>
  <c r="B3226" i="12"/>
  <c r="C3226" i="12"/>
  <c r="E3226" i="12"/>
  <c r="F3226" i="12"/>
  <c r="B3225" i="12"/>
  <c r="C3225" i="12"/>
  <c r="E3225" i="12"/>
  <c r="F3225" i="12"/>
  <c r="B3224" i="12"/>
  <c r="C3224" i="12"/>
  <c r="E3224" i="12"/>
  <c r="F3224" i="12"/>
  <c r="B3223" i="12"/>
  <c r="C3223" i="12"/>
  <c r="E3223" i="12"/>
  <c r="F3223" i="12"/>
  <c r="B3222" i="12"/>
  <c r="C3222" i="12"/>
  <c r="E3222" i="12"/>
  <c r="F3222" i="12"/>
  <c r="B3221" i="12"/>
  <c r="C3221" i="12"/>
  <c r="E3221" i="12"/>
  <c r="F3221" i="12"/>
  <c r="B3220" i="12"/>
  <c r="C3220" i="12"/>
  <c r="E3220" i="12"/>
  <c r="F3220" i="12"/>
  <c r="B3219" i="12"/>
  <c r="C3219" i="12"/>
  <c r="E3219" i="12"/>
  <c r="F3219" i="12"/>
  <c r="B3218" i="12"/>
  <c r="C3218" i="12"/>
  <c r="E3218" i="12"/>
  <c r="F3218" i="12"/>
  <c r="B3217" i="12"/>
  <c r="C3217" i="12"/>
  <c r="E3217" i="12"/>
  <c r="F3217" i="12"/>
  <c r="B3216" i="12"/>
  <c r="C3216" i="12"/>
  <c r="E3216" i="12"/>
  <c r="F3216" i="12"/>
  <c r="B3215" i="12"/>
  <c r="C3215" i="12"/>
  <c r="E3215" i="12"/>
  <c r="F3215" i="12"/>
  <c r="B3214" i="12"/>
  <c r="C3214" i="12"/>
  <c r="E3214" i="12"/>
  <c r="F3214" i="12"/>
  <c r="B3213" i="12"/>
  <c r="C3213" i="12"/>
  <c r="E3213" i="12"/>
  <c r="F3213" i="12"/>
  <c r="B3212" i="12"/>
  <c r="C3212" i="12"/>
  <c r="E3212" i="12"/>
  <c r="F3212" i="12"/>
  <c r="B3211" i="12"/>
  <c r="C3211" i="12"/>
  <c r="E3211" i="12"/>
  <c r="F3211" i="12"/>
  <c r="B3210" i="12"/>
  <c r="C3210" i="12"/>
  <c r="E3210" i="12"/>
  <c r="F3210" i="12"/>
  <c r="B3209" i="12"/>
  <c r="C3209" i="12"/>
  <c r="E3209" i="12"/>
  <c r="F3209" i="12"/>
  <c r="B3208" i="12"/>
  <c r="C3208" i="12"/>
  <c r="E3208" i="12"/>
  <c r="F3208" i="12"/>
  <c r="B3207" i="12"/>
  <c r="C3207" i="12"/>
  <c r="E3207" i="12"/>
  <c r="F3207" i="12"/>
  <c r="B3206" i="12"/>
  <c r="C3206" i="12"/>
  <c r="E3206" i="12"/>
  <c r="F3206" i="12"/>
  <c r="B3205" i="12"/>
  <c r="C3205" i="12"/>
  <c r="E3205" i="12"/>
  <c r="F3205" i="12"/>
  <c r="B3204" i="12"/>
  <c r="C3204" i="12"/>
  <c r="E3204" i="12"/>
  <c r="F3204" i="12"/>
  <c r="B3203" i="12"/>
  <c r="C3203" i="12"/>
  <c r="E3203" i="12"/>
  <c r="F3203" i="12"/>
  <c r="B3202" i="12"/>
  <c r="C3202" i="12"/>
  <c r="E3202" i="12"/>
  <c r="F3202" i="12"/>
  <c r="B3201" i="12" l="1"/>
  <c r="C3201" i="12"/>
  <c r="E3201" i="12"/>
  <c r="F3201" i="12"/>
  <c r="B3200" i="12"/>
  <c r="C3200" i="12"/>
  <c r="E3200" i="12"/>
  <c r="F3200" i="12"/>
  <c r="B3199" i="12"/>
  <c r="C3199" i="12"/>
  <c r="E3199" i="12"/>
  <c r="F3199" i="12"/>
  <c r="B3198" i="12" l="1"/>
  <c r="C3198" i="12"/>
  <c r="E3198" i="12"/>
  <c r="F3198" i="12"/>
  <c r="B3197" i="12"/>
  <c r="C3197" i="12"/>
  <c r="E3197" i="12"/>
  <c r="F3197" i="12"/>
  <c r="B3196" i="12"/>
  <c r="C3196" i="12"/>
  <c r="E3196" i="12"/>
  <c r="F3196" i="12"/>
  <c r="B3195" i="12"/>
  <c r="C3195" i="12"/>
  <c r="E3195" i="12"/>
  <c r="F3195" i="12"/>
  <c r="M49" i="8"/>
  <c r="M50" i="8"/>
  <c r="N49" i="8"/>
  <c r="N50" i="8"/>
  <c r="O49" i="8"/>
  <c r="O50" i="8"/>
  <c r="P49" i="8"/>
  <c r="Q49" i="8" s="1"/>
  <c r="P50" i="8"/>
  <c r="Q50" i="8" s="1"/>
  <c r="M88" i="8"/>
  <c r="N88" i="8"/>
  <c r="O88" i="8"/>
  <c r="P88" i="8"/>
  <c r="Q88" i="8" s="1"/>
  <c r="M86" i="8"/>
  <c r="M87" i="8"/>
  <c r="N86" i="8"/>
  <c r="N87" i="8"/>
  <c r="O86" i="8"/>
  <c r="O87" i="8"/>
  <c r="P86" i="8"/>
  <c r="P87" i="8"/>
  <c r="Q86" i="8"/>
  <c r="Q87" i="8"/>
  <c r="M84" i="8"/>
  <c r="M85" i="8"/>
  <c r="N84" i="8"/>
  <c r="N85" i="8"/>
  <c r="O84" i="8"/>
  <c r="O85" i="8"/>
  <c r="P84" i="8"/>
  <c r="Q84" i="8" s="1"/>
  <c r="P85" i="8"/>
  <c r="Q85" i="8" s="1"/>
  <c r="M81" i="8"/>
  <c r="M82" i="8"/>
  <c r="M83" i="8"/>
  <c r="N81" i="8"/>
  <c r="N82" i="8"/>
  <c r="N83" i="8"/>
  <c r="O81" i="8"/>
  <c r="O82" i="8"/>
  <c r="O83" i="8"/>
  <c r="P81" i="8"/>
  <c r="Q81" i="8" s="1"/>
  <c r="P82" i="8"/>
  <c r="Q82" i="8" s="1"/>
  <c r="P83" i="8"/>
  <c r="Q83" i="8" s="1"/>
  <c r="M80" i="8"/>
  <c r="N80" i="8"/>
  <c r="O80" i="8"/>
  <c r="P80" i="8"/>
  <c r="Q80" i="8" s="1"/>
  <c r="M75" i="8"/>
  <c r="M76" i="8"/>
  <c r="M77" i="8"/>
  <c r="M78" i="8"/>
  <c r="M79" i="8"/>
  <c r="N75" i="8"/>
  <c r="N76" i="8"/>
  <c r="N77" i="8"/>
  <c r="N78" i="8"/>
  <c r="N79" i="8"/>
  <c r="O75" i="8"/>
  <c r="O76" i="8"/>
  <c r="O77" i="8"/>
  <c r="O78" i="8"/>
  <c r="O79" i="8"/>
  <c r="P75" i="8"/>
  <c r="Q75" i="8" s="1"/>
  <c r="P76" i="8"/>
  <c r="P77" i="8"/>
  <c r="Q77" i="8" s="1"/>
  <c r="P78" i="8"/>
  <c r="Q78" i="8" s="1"/>
  <c r="P79" i="8"/>
  <c r="Q79" i="8" s="1"/>
  <c r="Q76" i="8"/>
  <c r="M62" i="8"/>
  <c r="M63" i="8"/>
  <c r="M64" i="8"/>
  <c r="M65" i="8"/>
  <c r="M66" i="8"/>
  <c r="M67" i="8"/>
  <c r="M68" i="8"/>
  <c r="M69" i="8"/>
  <c r="M70" i="8"/>
  <c r="M71" i="8"/>
  <c r="M72" i="8"/>
  <c r="M73" i="8"/>
  <c r="M74" i="8"/>
  <c r="N62" i="8"/>
  <c r="N63" i="8"/>
  <c r="N64" i="8"/>
  <c r="N65" i="8"/>
  <c r="N66" i="8"/>
  <c r="N67" i="8"/>
  <c r="N68" i="8"/>
  <c r="N69" i="8"/>
  <c r="N70" i="8"/>
  <c r="N71" i="8"/>
  <c r="N72" i="8"/>
  <c r="N73" i="8"/>
  <c r="N74" i="8"/>
  <c r="O62" i="8"/>
  <c r="O63" i="8"/>
  <c r="O64" i="8"/>
  <c r="O65" i="8"/>
  <c r="O66" i="8"/>
  <c r="O67" i="8"/>
  <c r="O68" i="8"/>
  <c r="O69" i="8"/>
  <c r="O70" i="8"/>
  <c r="O71" i="8"/>
  <c r="O72" i="8"/>
  <c r="O73" i="8"/>
  <c r="O74" i="8"/>
  <c r="P62" i="8"/>
  <c r="P63" i="8"/>
  <c r="P64" i="8"/>
  <c r="Q64" i="8" s="1"/>
  <c r="P65" i="8"/>
  <c r="P66" i="8"/>
  <c r="Q66" i="8" s="1"/>
  <c r="P67" i="8"/>
  <c r="P68" i="8"/>
  <c r="Q68" i="8" s="1"/>
  <c r="P69" i="8"/>
  <c r="P70" i="8"/>
  <c r="Q70" i="8" s="1"/>
  <c r="P71" i="8"/>
  <c r="Q71" i="8" s="1"/>
  <c r="P72" i="8"/>
  <c r="Q72" i="8" s="1"/>
  <c r="P73" i="8"/>
  <c r="Q73" i="8" s="1"/>
  <c r="P74" i="8"/>
  <c r="Q74" i="8" s="1"/>
  <c r="Q62" i="8"/>
  <c r="Q63" i="8"/>
  <c r="Q65" i="8"/>
  <c r="Q67" i="8"/>
  <c r="Q69" i="8"/>
  <c r="M61" i="8"/>
  <c r="N61" i="8"/>
  <c r="O61" i="8"/>
  <c r="P61" i="8"/>
  <c r="Q61" i="8" s="1"/>
  <c r="M58" i="8"/>
  <c r="M59" i="8"/>
  <c r="M60" i="8"/>
  <c r="N58" i="8"/>
  <c r="N59" i="8"/>
  <c r="N60" i="8"/>
  <c r="O58" i="8"/>
  <c r="O59" i="8"/>
  <c r="O60" i="8"/>
  <c r="P58" i="8"/>
  <c r="Q58" i="8" s="1"/>
  <c r="P59" i="8"/>
  <c r="Q59" i="8" s="1"/>
  <c r="P60" i="8"/>
  <c r="Q60" i="8" s="1"/>
  <c r="M57" i="8"/>
  <c r="N57" i="8"/>
  <c r="O57" i="8"/>
  <c r="P57" i="8"/>
  <c r="Q57" i="8" s="1"/>
  <c r="M56" i="8"/>
  <c r="N56" i="8"/>
  <c r="O56" i="8"/>
  <c r="P56" i="8"/>
  <c r="Q56" i="8" s="1"/>
  <c r="M51" i="8"/>
  <c r="M52" i="8"/>
  <c r="M53" i="8"/>
  <c r="M54" i="8"/>
  <c r="M55" i="8"/>
  <c r="N51" i="8"/>
  <c r="N52" i="8"/>
  <c r="N53" i="8"/>
  <c r="N54" i="8"/>
  <c r="N55" i="8"/>
  <c r="O51" i="8"/>
  <c r="O52" i="8"/>
  <c r="O53" i="8"/>
  <c r="O54" i="8"/>
  <c r="O55" i="8"/>
  <c r="P51" i="8"/>
  <c r="Q51" i="8" s="1"/>
  <c r="P52" i="8"/>
  <c r="P53" i="8"/>
  <c r="Q53" i="8" s="1"/>
  <c r="P54" i="8"/>
  <c r="Q54" i="8" s="1"/>
  <c r="P55" i="8"/>
  <c r="Q55" i="8" s="1"/>
  <c r="Q52" i="8"/>
  <c r="B3194" i="12"/>
  <c r="C3194" i="12"/>
  <c r="E3194" i="12"/>
  <c r="F3194" i="12"/>
  <c r="B3193" i="12"/>
  <c r="C3193" i="12"/>
  <c r="E3193" i="12"/>
  <c r="F3193" i="12"/>
  <c r="R173" i="11"/>
  <c r="S173" i="11"/>
  <c r="T173" i="11"/>
  <c r="U173" i="11"/>
  <c r="R172" i="11"/>
  <c r="S172" i="11"/>
  <c r="T172" i="11"/>
  <c r="U172" i="11"/>
  <c r="R171" i="11"/>
  <c r="S171" i="11"/>
  <c r="T171" i="11"/>
  <c r="U171" i="11"/>
  <c r="R170" i="11"/>
  <c r="S170" i="11"/>
  <c r="T170" i="11"/>
  <c r="U170" i="11"/>
  <c r="R169" i="11"/>
  <c r="S169" i="11"/>
  <c r="T169" i="11"/>
  <c r="U169" i="11"/>
  <c r="R168" i="11"/>
  <c r="S168" i="11"/>
  <c r="T168" i="11"/>
  <c r="U168" i="11"/>
  <c r="R167" i="11"/>
  <c r="S167" i="11"/>
  <c r="T167" i="11"/>
  <c r="U167" i="11"/>
  <c r="R166" i="11"/>
  <c r="S166" i="11"/>
  <c r="T166" i="11"/>
  <c r="U166" i="11"/>
  <c r="R165" i="11"/>
  <c r="S165" i="11"/>
  <c r="T165" i="11"/>
  <c r="U165" i="11"/>
  <c r="R164" i="11"/>
  <c r="S164" i="11"/>
  <c r="T164" i="11"/>
  <c r="U164" i="11"/>
  <c r="B3192" i="12"/>
  <c r="C3192" i="12"/>
  <c r="E3192" i="12"/>
  <c r="F3192" i="12"/>
  <c r="B3191" i="12"/>
  <c r="C3191" i="12"/>
  <c r="E3191" i="12"/>
  <c r="F3191" i="12"/>
  <c r="B3190" i="12"/>
  <c r="C3190" i="12"/>
  <c r="E3190" i="12"/>
  <c r="F3190" i="12"/>
  <c r="B3189" i="12"/>
  <c r="C3189" i="12"/>
  <c r="E3189" i="12"/>
  <c r="F3189" i="12"/>
  <c r="B3188" i="12" l="1"/>
  <c r="C3188" i="12"/>
  <c r="E3188" i="12"/>
  <c r="F3188" i="12"/>
  <c r="B3187" i="12"/>
  <c r="C3187" i="12"/>
  <c r="E3187" i="12"/>
  <c r="F3187" i="12"/>
  <c r="B3186" i="12"/>
  <c r="C3186" i="12"/>
  <c r="E3186" i="12"/>
  <c r="F3186" i="12"/>
  <c r="B3185" i="12"/>
  <c r="C3185" i="12"/>
  <c r="E3185" i="12"/>
  <c r="F3185" i="12"/>
  <c r="B3184" i="12"/>
  <c r="C3184" i="12"/>
  <c r="E3184" i="12"/>
  <c r="F3184" i="12"/>
  <c r="B3183" i="12"/>
  <c r="C3183" i="12"/>
  <c r="E3183" i="12"/>
  <c r="F3183" i="12"/>
  <c r="B3182" i="12"/>
  <c r="C3182" i="12"/>
  <c r="E3182" i="12"/>
  <c r="F3182" i="12"/>
  <c r="B3181" i="12"/>
  <c r="C3181" i="12"/>
  <c r="E3181" i="12"/>
  <c r="F3181" i="12"/>
  <c r="B3180" i="12"/>
  <c r="C3180" i="12"/>
  <c r="E3180" i="12"/>
  <c r="F3180" i="12"/>
  <c r="B3179" i="12"/>
  <c r="C3179" i="12"/>
  <c r="E3179" i="12"/>
  <c r="F3179" i="12"/>
  <c r="B3178" i="12"/>
  <c r="C3178" i="12"/>
  <c r="E3178" i="12"/>
  <c r="F3178" i="12"/>
  <c r="B3177" i="12"/>
  <c r="C3177" i="12"/>
  <c r="E3177" i="12"/>
  <c r="F3177" i="12"/>
  <c r="B3176" i="12"/>
  <c r="C3176" i="12"/>
  <c r="E3176" i="12"/>
  <c r="F3176" i="12"/>
  <c r="B3175" i="12"/>
  <c r="C3175" i="12"/>
  <c r="E3175" i="12"/>
  <c r="F3175" i="12"/>
  <c r="B3174" i="12"/>
  <c r="C3174" i="12"/>
  <c r="E3174" i="12"/>
  <c r="F3174" i="12"/>
  <c r="B3173" i="12" l="1"/>
  <c r="C3173" i="12"/>
  <c r="E3173" i="12"/>
  <c r="F3173" i="12"/>
  <c r="B3172" i="12"/>
  <c r="C3172" i="12"/>
  <c r="E3172" i="12"/>
  <c r="F3172" i="12"/>
  <c r="B3171" i="12"/>
  <c r="C3171" i="12"/>
  <c r="E3171" i="12"/>
  <c r="F3171" i="12"/>
  <c r="B3170" i="12"/>
  <c r="C3170" i="12"/>
  <c r="E3170" i="12"/>
  <c r="F3170" i="12"/>
  <c r="B3169" i="12"/>
  <c r="C3169" i="12"/>
  <c r="E3169" i="12"/>
  <c r="F3169" i="12"/>
  <c r="B3168" i="12"/>
  <c r="C3168" i="12"/>
  <c r="E3168" i="12"/>
  <c r="F3168" i="12"/>
  <c r="B3167" i="12"/>
  <c r="C3167" i="12"/>
  <c r="E3167" i="12"/>
  <c r="F3167" i="12"/>
  <c r="B3166" i="12"/>
  <c r="C3166" i="12"/>
  <c r="E3166" i="12"/>
  <c r="F3166" i="12"/>
  <c r="B3165" i="12"/>
  <c r="C3165" i="12"/>
  <c r="E3165" i="12"/>
  <c r="F3165" i="12"/>
  <c r="B3164" i="12"/>
  <c r="C3164" i="12"/>
  <c r="E3164" i="12"/>
  <c r="F3164" i="12"/>
  <c r="B3163" i="12"/>
  <c r="C3163" i="12"/>
  <c r="E3163" i="12"/>
  <c r="F3163" i="12"/>
  <c r="B3162" i="12"/>
  <c r="C3162" i="12"/>
  <c r="E3162" i="12"/>
  <c r="F3162" i="12"/>
  <c r="B3161" i="12"/>
  <c r="C3161" i="12"/>
  <c r="E3161" i="12"/>
  <c r="F3161" i="12"/>
  <c r="B3160" i="12"/>
  <c r="C3160" i="12"/>
  <c r="E3160" i="12"/>
  <c r="F3160" i="12"/>
  <c r="B3159" i="12" l="1"/>
  <c r="C3159" i="12"/>
  <c r="E3159" i="12"/>
  <c r="F3159" i="12"/>
  <c r="B3158" i="12"/>
  <c r="C3158" i="12"/>
  <c r="E3158" i="12"/>
  <c r="F3158" i="12"/>
  <c r="B3157" i="12"/>
  <c r="C3157" i="12"/>
  <c r="E3157" i="12"/>
  <c r="F3157" i="12"/>
  <c r="B3156" i="12" l="1"/>
  <c r="C3156" i="12"/>
  <c r="E3156" i="12"/>
  <c r="F3156" i="12"/>
  <c r="B3155" i="12"/>
  <c r="C3155" i="12"/>
  <c r="E3155" i="12"/>
  <c r="F3155" i="12"/>
  <c r="B3154" i="12"/>
  <c r="C3154" i="12"/>
  <c r="E3154" i="12"/>
  <c r="F3154" i="12"/>
  <c r="B3153" i="12"/>
  <c r="C3153" i="12"/>
  <c r="E3153" i="12"/>
  <c r="F3153" i="12"/>
  <c r="B3152" i="12"/>
  <c r="C3152" i="12"/>
  <c r="E3152" i="12"/>
  <c r="F3152" i="12"/>
  <c r="B3151" i="12"/>
  <c r="C3151" i="12"/>
  <c r="E3151" i="12"/>
  <c r="F3151" i="12"/>
  <c r="B3150" i="12"/>
  <c r="C3150" i="12"/>
  <c r="E3150" i="12"/>
  <c r="F3150" i="12"/>
  <c r="B3149" i="12"/>
  <c r="C3149" i="12"/>
  <c r="E3149" i="12"/>
  <c r="F3149" i="12"/>
  <c r="B3148" i="12"/>
  <c r="C3148" i="12"/>
  <c r="E3148" i="12"/>
  <c r="F3148" i="12"/>
  <c r="B3147" i="12"/>
  <c r="C3147" i="12"/>
  <c r="E3147" i="12"/>
  <c r="F3147" i="12"/>
  <c r="B3146" i="12"/>
  <c r="C3146" i="12"/>
  <c r="E3146" i="12"/>
  <c r="F3146" i="12"/>
  <c r="B3145" i="12"/>
  <c r="C3145" i="12"/>
  <c r="E3145" i="12"/>
  <c r="F3145" i="12"/>
  <c r="B3144" i="12"/>
  <c r="C3144" i="12"/>
  <c r="E3144" i="12"/>
  <c r="F3144" i="12"/>
  <c r="B3143" i="12"/>
  <c r="C3143" i="12"/>
  <c r="E3143" i="12"/>
  <c r="F3143" i="12"/>
  <c r="B3142" i="12"/>
  <c r="C3142" i="12"/>
  <c r="E3142" i="12"/>
  <c r="F3142" i="12"/>
  <c r="B3141" i="12"/>
  <c r="C3141" i="12"/>
  <c r="E3141" i="12"/>
  <c r="F3141" i="12"/>
  <c r="B3140" i="12"/>
  <c r="C3140" i="12"/>
  <c r="E3140" i="12"/>
  <c r="F3140" i="12"/>
  <c r="B3139" i="12"/>
  <c r="C3139" i="12"/>
  <c r="E3139" i="12"/>
  <c r="F3139" i="12"/>
  <c r="B3138" i="12"/>
  <c r="C3138" i="12"/>
  <c r="E3138" i="12"/>
  <c r="F3138" i="12"/>
  <c r="B3137" i="12"/>
  <c r="C3137" i="12"/>
  <c r="E3137" i="12"/>
  <c r="F3137" i="12"/>
  <c r="B3136" i="12"/>
  <c r="C3136" i="12"/>
  <c r="E3136" i="12"/>
  <c r="F3136" i="12"/>
  <c r="B3135" i="12"/>
  <c r="C3135" i="12"/>
  <c r="E3135" i="12"/>
  <c r="F3135" i="12"/>
  <c r="B3134" i="12"/>
  <c r="C3134" i="12"/>
  <c r="E3134" i="12"/>
  <c r="F3134" i="12"/>
  <c r="B3133" i="12"/>
  <c r="C3133" i="12"/>
  <c r="E3133" i="12"/>
  <c r="F3133" i="12"/>
  <c r="B3132" i="12"/>
  <c r="C3132" i="12"/>
  <c r="E3132" i="12"/>
  <c r="F3132" i="12"/>
  <c r="B3131" i="12"/>
  <c r="C3131" i="12"/>
  <c r="E3131" i="12"/>
  <c r="F3131" i="12"/>
  <c r="B3130" i="12"/>
  <c r="C3130" i="12"/>
  <c r="E3130" i="12"/>
  <c r="F3130" i="12"/>
  <c r="B3129" i="12"/>
  <c r="C3129" i="12"/>
  <c r="E3129" i="12"/>
  <c r="F3129" i="12"/>
  <c r="B3128" i="12"/>
  <c r="C3128" i="12"/>
  <c r="E3128" i="12"/>
  <c r="F3128" i="12"/>
  <c r="B3127" i="12"/>
  <c r="C3127" i="12"/>
  <c r="E3127" i="12"/>
  <c r="F3127" i="12"/>
  <c r="B3126" i="12"/>
  <c r="C3126" i="12"/>
  <c r="E3126" i="12"/>
  <c r="F3126" i="12"/>
  <c r="B3125" i="12"/>
  <c r="C3125" i="12"/>
  <c r="E3125" i="12"/>
  <c r="F3125" i="12"/>
  <c r="B3124" i="12"/>
  <c r="C3124" i="12"/>
  <c r="E3124" i="12"/>
  <c r="F3124" i="12"/>
  <c r="B3123" i="12" l="1"/>
  <c r="C3123" i="12"/>
  <c r="E3123" i="12"/>
  <c r="F3123" i="12"/>
  <c r="B3122" i="12"/>
  <c r="C3122" i="12"/>
  <c r="E3122" i="12"/>
  <c r="F3122" i="12"/>
  <c r="B3121" i="12"/>
  <c r="C3121" i="12"/>
  <c r="E3121" i="12"/>
  <c r="F3121" i="12"/>
  <c r="B3120" i="12" l="1"/>
  <c r="C3120" i="12"/>
  <c r="E3120" i="12"/>
  <c r="F3120" i="12"/>
  <c r="B3119" i="12"/>
  <c r="C3119" i="12"/>
  <c r="E3119" i="12"/>
  <c r="F3119" i="12"/>
  <c r="B3118" i="12"/>
  <c r="C3118" i="12"/>
  <c r="E3118" i="12"/>
  <c r="F3118" i="12"/>
  <c r="B3117" i="12"/>
  <c r="C3117" i="12"/>
  <c r="E3117" i="12"/>
  <c r="F3117" i="12"/>
  <c r="B3116" i="12"/>
  <c r="C3116" i="12"/>
  <c r="E3116" i="12"/>
  <c r="F3116" i="12"/>
  <c r="B3115" i="12" l="1"/>
  <c r="C3115" i="12"/>
  <c r="E3115" i="12"/>
  <c r="F3115" i="12"/>
  <c r="B3114" i="12"/>
  <c r="C3114" i="12"/>
  <c r="E3114" i="12"/>
  <c r="F3114" i="12"/>
  <c r="B3113" i="12"/>
  <c r="C3113" i="12"/>
  <c r="E3113" i="12"/>
  <c r="F3113" i="12"/>
  <c r="B3112" i="12" l="1"/>
  <c r="C3112" i="12"/>
  <c r="E3112" i="12"/>
  <c r="F3112" i="12"/>
  <c r="B3111" i="12"/>
  <c r="C3111" i="12"/>
  <c r="E3111" i="12"/>
  <c r="F3111" i="12"/>
  <c r="B3110" i="12"/>
  <c r="C3110" i="12"/>
  <c r="E3110" i="12"/>
  <c r="F3110" i="12"/>
  <c r="B3109" i="12"/>
  <c r="C3109" i="12"/>
  <c r="E3109" i="12"/>
  <c r="F3109" i="12"/>
  <c r="B3108" i="12"/>
  <c r="C3108" i="12"/>
  <c r="E3108" i="12"/>
  <c r="F3108" i="12"/>
  <c r="B3107" i="12"/>
  <c r="C3107" i="12"/>
  <c r="E3107" i="12"/>
  <c r="F3107" i="12"/>
  <c r="B3106" i="12"/>
  <c r="C3106" i="12"/>
  <c r="E3106" i="12"/>
  <c r="F3106" i="12"/>
  <c r="B3105" i="12" l="1"/>
  <c r="C3105" i="12"/>
  <c r="E3105" i="12"/>
  <c r="F3105" i="12"/>
  <c r="B3104" i="12"/>
  <c r="C3104" i="12"/>
  <c r="E3104" i="12"/>
  <c r="F3104" i="12"/>
  <c r="B3103" i="12"/>
  <c r="C3103" i="12"/>
  <c r="E3103" i="12"/>
  <c r="F3103" i="12"/>
  <c r="B3102" i="12"/>
  <c r="C3102" i="12"/>
  <c r="E3102" i="12"/>
  <c r="F3102" i="12"/>
  <c r="B3101" i="12"/>
  <c r="C3101" i="12"/>
  <c r="E3101" i="12"/>
  <c r="F3101" i="12"/>
  <c r="B3100" i="12"/>
  <c r="C3100" i="12"/>
  <c r="E3100" i="12"/>
  <c r="F3100" i="12"/>
  <c r="B3099" i="12"/>
  <c r="C3099" i="12"/>
  <c r="E3099" i="12"/>
  <c r="F3099" i="12"/>
  <c r="B3098" i="12"/>
  <c r="C3098" i="12"/>
  <c r="E3098" i="12"/>
  <c r="F3098" i="12"/>
  <c r="B3097" i="12"/>
  <c r="C3097" i="12"/>
  <c r="E3097" i="12"/>
  <c r="F3097" i="12"/>
  <c r="B3096" i="12"/>
  <c r="C3096" i="12"/>
  <c r="E3096" i="12"/>
  <c r="F3096" i="12"/>
  <c r="B3095" i="12"/>
  <c r="C3095" i="12"/>
  <c r="E3095" i="12"/>
  <c r="F3095" i="12"/>
  <c r="B3094" i="12"/>
  <c r="C3094" i="12"/>
  <c r="E3094" i="12"/>
  <c r="F3094" i="12"/>
  <c r="B3093" i="12"/>
  <c r="C3093" i="12"/>
  <c r="E3093" i="12"/>
  <c r="F3093" i="12"/>
  <c r="B3092" i="12"/>
  <c r="C3092" i="12"/>
  <c r="E3092" i="12"/>
  <c r="F3092" i="12"/>
  <c r="B3091" i="12"/>
  <c r="C3091" i="12"/>
  <c r="E3091" i="12"/>
  <c r="F3091" i="12"/>
  <c r="B3090" i="12"/>
  <c r="C3090" i="12"/>
  <c r="E3090" i="12"/>
  <c r="F3090" i="12"/>
  <c r="B3089" i="12"/>
  <c r="C3089" i="12"/>
  <c r="E3089" i="12"/>
  <c r="F3089" i="12"/>
  <c r="B3088" i="12"/>
  <c r="C3088" i="12"/>
  <c r="E3088" i="12"/>
  <c r="F3088" i="12"/>
  <c r="B3087" i="12"/>
  <c r="C3087" i="12"/>
  <c r="E3087" i="12"/>
  <c r="F3087" i="12"/>
  <c r="B3086" i="12"/>
  <c r="C3086" i="12"/>
  <c r="E3086" i="12"/>
  <c r="F3086" i="12"/>
  <c r="B3085" i="12"/>
  <c r="C3085" i="12"/>
  <c r="E3085" i="12"/>
  <c r="F3085" i="12"/>
  <c r="B3084" i="12" l="1"/>
  <c r="C3084" i="12"/>
  <c r="E3084" i="12"/>
  <c r="F3084" i="12"/>
  <c r="B3083" i="12"/>
  <c r="C3083" i="12"/>
  <c r="E3083" i="12"/>
  <c r="F3083" i="12"/>
  <c r="B3082" i="12"/>
  <c r="C3082" i="12"/>
  <c r="E3082" i="12"/>
  <c r="F3082" i="12"/>
  <c r="B3081" i="12"/>
  <c r="C3081" i="12"/>
  <c r="E3081" i="12"/>
  <c r="F3081" i="12"/>
  <c r="B3080" i="12"/>
  <c r="C3080" i="12"/>
  <c r="E3080" i="12"/>
  <c r="F3080" i="12"/>
  <c r="B3079" i="12" l="1"/>
  <c r="C3079" i="12"/>
  <c r="E3079" i="12"/>
  <c r="F3079" i="12"/>
  <c r="B3078" i="12"/>
  <c r="C3078" i="12"/>
  <c r="E3078" i="12"/>
  <c r="F3078" i="12"/>
  <c r="B3077" i="12"/>
  <c r="C3077" i="12"/>
  <c r="E3077" i="12"/>
  <c r="F3077" i="12"/>
  <c r="B3076" i="12" l="1"/>
  <c r="C3076" i="12"/>
  <c r="E3076" i="12"/>
  <c r="F3076" i="12"/>
  <c r="B3075" i="12"/>
  <c r="C3075" i="12"/>
  <c r="E3075" i="12"/>
  <c r="F3075" i="12"/>
  <c r="B3074" i="12"/>
  <c r="C3074" i="12"/>
  <c r="E3074" i="12"/>
  <c r="F3074" i="12"/>
  <c r="B3073" i="12"/>
  <c r="C3073" i="12"/>
  <c r="E3073" i="12"/>
  <c r="F3073" i="12"/>
  <c r="B3072" i="12"/>
  <c r="C3072" i="12"/>
  <c r="E3072" i="12"/>
  <c r="F3072" i="12"/>
  <c r="B3071" i="12"/>
  <c r="C3071" i="12"/>
  <c r="E3071" i="12"/>
  <c r="F3071" i="12"/>
  <c r="R163" i="11"/>
  <c r="S163" i="11"/>
  <c r="T163" i="11"/>
  <c r="U163" i="11"/>
  <c r="R161" i="11"/>
  <c r="R162" i="11"/>
  <c r="S161" i="11"/>
  <c r="S162" i="11"/>
  <c r="T161" i="11"/>
  <c r="T162" i="11"/>
  <c r="U161" i="11"/>
  <c r="U162" i="11"/>
  <c r="R160" i="11"/>
  <c r="S160" i="11"/>
  <c r="T160" i="11"/>
  <c r="U160" i="11"/>
  <c r="R158" i="11"/>
  <c r="R159" i="11"/>
  <c r="S158" i="11"/>
  <c r="S159" i="11"/>
  <c r="T158" i="11"/>
  <c r="T159" i="11"/>
  <c r="U158" i="11"/>
  <c r="U159" i="11"/>
  <c r="R157" i="11"/>
  <c r="S157" i="11"/>
  <c r="T157" i="11"/>
  <c r="U157" i="11"/>
  <c r="R156" i="11"/>
  <c r="S156" i="11"/>
  <c r="T156" i="11"/>
  <c r="U156" i="11"/>
  <c r="R155" i="11"/>
  <c r="S155" i="11"/>
  <c r="T155" i="11"/>
  <c r="U155" i="11"/>
  <c r="R154" i="11"/>
  <c r="S154" i="11"/>
  <c r="T154" i="11"/>
  <c r="U154" i="11"/>
  <c r="R153" i="11"/>
  <c r="S153" i="11"/>
  <c r="T153" i="11"/>
  <c r="U153" i="11"/>
  <c r="R152" i="11"/>
  <c r="S152" i="11"/>
  <c r="T152" i="11"/>
  <c r="U152" i="11"/>
  <c r="R151" i="11"/>
  <c r="S151" i="11"/>
  <c r="T151" i="11"/>
  <c r="U151" i="11"/>
  <c r="R150" i="11"/>
  <c r="S150" i="11"/>
  <c r="T150" i="11"/>
  <c r="U150" i="11"/>
  <c r="R149" i="11"/>
  <c r="S149" i="11"/>
  <c r="T149" i="11"/>
  <c r="U149" i="11"/>
  <c r="R148" i="11"/>
  <c r="S148" i="11"/>
  <c r="T148" i="11"/>
  <c r="U148" i="11"/>
  <c r="R146" i="11"/>
  <c r="R147" i="11"/>
  <c r="S146" i="11"/>
  <c r="S147" i="11"/>
  <c r="T146" i="11"/>
  <c r="T147" i="11"/>
  <c r="U146" i="11"/>
  <c r="U147" i="11"/>
  <c r="B3070" i="12"/>
  <c r="C3070" i="12"/>
  <c r="E3070" i="12"/>
  <c r="F3070" i="12"/>
  <c r="B3069" i="12"/>
  <c r="C3069" i="12"/>
  <c r="E3069" i="12"/>
  <c r="F3069" i="12"/>
  <c r="B3068" i="12"/>
  <c r="C3068" i="12"/>
  <c r="E3068" i="12"/>
  <c r="F3068" i="12"/>
  <c r="B3067" i="12"/>
  <c r="C3067" i="12"/>
  <c r="E3067" i="12"/>
  <c r="F3067" i="12"/>
  <c r="B3066" i="12"/>
  <c r="C3066" i="12"/>
  <c r="E3066" i="12"/>
  <c r="F3066" i="12"/>
  <c r="B3065" i="12" l="1"/>
  <c r="C3065" i="12"/>
  <c r="E3065" i="12"/>
  <c r="F3065" i="12"/>
  <c r="B3064" i="12"/>
  <c r="C3064" i="12"/>
  <c r="E3064" i="12"/>
  <c r="F3064" i="12"/>
  <c r="B3063" i="12"/>
  <c r="C3063" i="12"/>
  <c r="E3063" i="12"/>
  <c r="F3063" i="12"/>
  <c r="B3062" i="12" l="1"/>
  <c r="C3062" i="12"/>
  <c r="E3062" i="12"/>
  <c r="F3062" i="12"/>
  <c r="B3061" i="12"/>
  <c r="C3061" i="12"/>
  <c r="E3061" i="12"/>
  <c r="F3061" i="12"/>
  <c r="B3060" i="12"/>
  <c r="C3060" i="12"/>
  <c r="E3060" i="12"/>
  <c r="F3060" i="12"/>
  <c r="B3059" i="12"/>
  <c r="C3059" i="12"/>
  <c r="E3059" i="12"/>
  <c r="F3059" i="12"/>
  <c r="B3058" i="12"/>
  <c r="C3058" i="12"/>
  <c r="E3058" i="12"/>
  <c r="F3058" i="12"/>
  <c r="B3057" i="12"/>
  <c r="C3057" i="12"/>
  <c r="E3057" i="12"/>
  <c r="F3057" i="12"/>
  <c r="B3056" i="12"/>
  <c r="C3056" i="12"/>
  <c r="E3056" i="12"/>
  <c r="F3056" i="12"/>
  <c r="B3055" i="12"/>
  <c r="C3055" i="12"/>
  <c r="E3055" i="12"/>
  <c r="F3055" i="12"/>
  <c r="B3054" i="12"/>
  <c r="C3054" i="12"/>
  <c r="E3054" i="12"/>
  <c r="F3054" i="12"/>
  <c r="B3053" i="12"/>
  <c r="C3053" i="12"/>
  <c r="E3053" i="12"/>
  <c r="F3053" i="12"/>
  <c r="B3052" i="12"/>
  <c r="C3052" i="12"/>
  <c r="E3052" i="12"/>
  <c r="F3052" i="12"/>
  <c r="B3051" i="12"/>
  <c r="C3051" i="12"/>
  <c r="E3051" i="12"/>
  <c r="F3051" i="12"/>
  <c r="B3050" i="12"/>
  <c r="C3050" i="12"/>
  <c r="E3050" i="12"/>
  <c r="F3050" i="12"/>
  <c r="B3049" i="12"/>
  <c r="C3049" i="12"/>
  <c r="E3049" i="12"/>
  <c r="F3049" i="12"/>
  <c r="B3048" i="12"/>
  <c r="C3048" i="12"/>
  <c r="E3048" i="12"/>
  <c r="F3048" i="12"/>
  <c r="B3047" i="12"/>
  <c r="C3047" i="12"/>
  <c r="E3047" i="12"/>
  <c r="F3047" i="12"/>
  <c r="B3046" i="12"/>
  <c r="C3046" i="12"/>
  <c r="E3046" i="12"/>
  <c r="F3046" i="12"/>
  <c r="B3045" i="12"/>
  <c r="C3045" i="12"/>
  <c r="E3045" i="12"/>
  <c r="F3045" i="12"/>
  <c r="B3044" i="12"/>
  <c r="C3044" i="12"/>
  <c r="E3044" i="12"/>
  <c r="F3044" i="12"/>
  <c r="B3043" i="12"/>
  <c r="C3043" i="12"/>
  <c r="E3043" i="12"/>
  <c r="F3043" i="12"/>
  <c r="B3042" i="12"/>
  <c r="C3042" i="12"/>
  <c r="E3042" i="12"/>
  <c r="F3042" i="12"/>
  <c r="B3041" i="12"/>
  <c r="C3041" i="12"/>
  <c r="E3041" i="12"/>
  <c r="F3041" i="12"/>
  <c r="B3040" i="12"/>
  <c r="C3040" i="12"/>
  <c r="E3040" i="12"/>
  <c r="F3040" i="12"/>
  <c r="B3039" i="12"/>
  <c r="C3039" i="12"/>
  <c r="E3039" i="12"/>
  <c r="F3039" i="12"/>
  <c r="B3038" i="12"/>
  <c r="C3038" i="12"/>
  <c r="E3038" i="12"/>
  <c r="F3038" i="12"/>
  <c r="B3037" i="12"/>
  <c r="C3037" i="12"/>
  <c r="E3037" i="12"/>
  <c r="F3037" i="12"/>
  <c r="B3036" i="12"/>
  <c r="C3036" i="12"/>
  <c r="E3036" i="12"/>
  <c r="F3036" i="12"/>
  <c r="B3035" i="12"/>
  <c r="C3035" i="12"/>
  <c r="E3035" i="12"/>
  <c r="F3035" i="12"/>
  <c r="B3034" i="12"/>
  <c r="C3034" i="12"/>
  <c r="E3034" i="12"/>
  <c r="F3034" i="12"/>
  <c r="B3033" i="12"/>
  <c r="C3033" i="12"/>
  <c r="E3033" i="12"/>
  <c r="F3033" i="12"/>
  <c r="B3032" i="12"/>
  <c r="C3032" i="12"/>
  <c r="E3032" i="12"/>
  <c r="F3032" i="12"/>
  <c r="B3031" i="12"/>
  <c r="C3031" i="12"/>
  <c r="E3031" i="12"/>
  <c r="F3031" i="12"/>
  <c r="B3030" i="12"/>
  <c r="C3030" i="12"/>
  <c r="E3030" i="12"/>
  <c r="F3030" i="12"/>
  <c r="B3029" i="12"/>
  <c r="C3029" i="12"/>
  <c r="E3029" i="12"/>
  <c r="F3029" i="12"/>
  <c r="B3028" i="12"/>
  <c r="C3028" i="12"/>
  <c r="E3028" i="12"/>
  <c r="F3028" i="12"/>
  <c r="B3027" i="12"/>
  <c r="C3027" i="12"/>
  <c r="E3027" i="12"/>
  <c r="F3027" i="12"/>
  <c r="B3026" i="12"/>
  <c r="C3026" i="12"/>
  <c r="E3026" i="12"/>
  <c r="F3026" i="12"/>
  <c r="B3025" i="12"/>
  <c r="C3025" i="12"/>
  <c r="E3025" i="12"/>
  <c r="F3025" i="12"/>
  <c r="B3024" i="12"/>
  <c r="C3024" i="12"/>
  <c r="E3024" i="12"/>
  <c r="F3024" i="12"/>
  <c r="B3023" i="12"/>
  <c r="C3023" i="12"/>
  <c r="E3023" i="12"/>
  <c r="F3023" i="12"/>
  <c r="B3022" i="12"/>
  <c r="C3022" i="12"/>
  <c r="E3022" i="12"/>
  <c r="F3022" i="12"/>
  <c r="B3021" i="12"/>
  <c r="C3021" i="12"/>
  <c r="E3021" i="12"/>
  <c r="F3021" i="12"/>
  <c r="B3020" i="12"/>
  <c r="C3020" i="12"/>
  <c r="E3020" i="12"/>
  <c r="F3020" i="12"/>
  <c r="B3019" i="12"/>
  <c r="C3019" i="12"/>
  <c r="E3019" i="12"/>
  <c r="F3019" i="12"/>
  <c r="B3018" i="12"/>
  <c r="C3018" i="12"/>
  <c r="E3018" i="12"/>
  <c r="F3018" i="12"/>
  <c r="B3017" i="12"/>
  <c r="C3017" i="12"/>
  <c r="E3017" i="12"/>
  <c r="F3017" i="12"/>
  <c r="B3016" i="12"/>
  <c r="C3016" i="12"/>
  <c r="E3016" i="12"/>
  <c r="F3016" i="12"/>
  <c r="B3015" i="12"/>
  <c r="C3015" i="12"/>
  <c r="E3015" i="12"/>
  <c r="F3015" i="12"/>
  <c r="B3014" i="12" l="1"/>
  <c r="C3014" i="12"/>
  <c r="E3014" i="12"/>
  <c r="F3014" i="12"/>
  <c r="B3013" i="12"/>
  <c r="C3013" i="12"/>
  <c r="E3013" i="12"/>
  <c r="F3013" i="12"/>
  <c r="B3012" i="12"/>
  <c r="C3012" i="12"/>
  <c r="E3012" i="12"/>
  <c r="F3012" i="12"/>
  <c r="B3011" i="12"/>
  <c r="C3011" i="12"/>
  <c r="E3011" i="12"/>
  <c r="F3011" i="12"/>
  <c r="B3010" i="12"/>
  <c r="C3010" i="12"/>
  <c r="E3010" i="12"/>
  <c r="F3010" i="12"/>
  <c r="B3009" i="12"/>
  <c r="C3009" i="12"/>
  <c r="E3009" i="12"/>
  <c r="F3009" i="12"/>
  <c r="B3008" i="12" l="1"/>
  <c r="C3008" i="12"/>
  <c r="E3008" i="12"/>
  <c r="F3008" i="12"/>
  <c r="B3007" i="12"/>
  <c r="C3007" i="12"/>
  <c r="E3007" i="12"/>
  <c r="F3007" i="12"/>
  <c r="B3006" i="12"/>
  <c r="C3006" i="12"/>
  <c r="E3006" i="12"/>
  <c r="F3006" i="12"/>
  <c r="B3005" i="12"/>
  <c r="C3005" i="12"/>
  <c r="E3005" i="12"/>
  <c r="F3005" i="12"/>
  <c r="B3004" i="12"/>
  <c r="C3004" i="12"/>
  <c r="E3004" i="12"/>
  <c r="F3004" i="12"/>
  <c r="B3003" i="12"/>
  <c r="C3003" i="12"/>
  <c r="E3003" i="12"/>
  <c r="F3003" i="12"/>
  <c r="B3002" i="12"/>
  <c r="C3002" i="12"/>
  <c r="E3002" i="12"/>
  <c r="F3002" i="12"/>
  <c r="B3001" i="12"/>
  <c r="C3001" i="12"/>
  <c r="E3001" i="12"/>
  <c r="F3001" i="12"/>
  <c r="B3000" i="12"/>
  <c r="C3000" i="12"/>
  <c r="E3000" i="12"/>
  <c r="F3000" i="12"/>
  <c r="B2999" i="12"/>
  <c r="C2999" i="12"/>
  <c r="E2999" i="12"/>
  <c r="F2999" i="12"/>
  <c r="B2998" i="12"/>
  <c r="C2998" i="12"/>
  <c r="E2998" i="12"/>
  <c r="F2998" i="12"/>
  <c r="B2997" i="12"/>
  <c r="C2997" i="12"/>
  <c r="E2997" i="12"/>
  <c r="F2997" i="12"/>
  <c r="B2996" i="12"/>
  <c r="C2996" i="12"/>
  <c r="E2996" i="12"/>
  <c r="F2996" i="12"/>
  <c r="B2995" i="12"/>
  <c r="C2995" i="12"/>
  <c r="E2995" i="12"/>
  <c r="F2995" i="12"/>
  <c r="B2994" i="12"/>
  <c r="C2994" i="12"/>
  <c r="E2994" i="12"/>
  <c r="F2994" i="12"/>
  <c r="B2993" i="12"/>
  <c r="C2993" i="12"/>
  <c r="E2993" i="12"/>
  <c r="F2993" i="12"/>
  <c r="B2992" i="12"/>
  <c r="C2992" i="12"/>
  <c r="E2992" i="12"/>
  <c r="F2992" i="12"/>
  <c r="B2991" i="12"/>
  <c r="C2991" i="12"/>
  <c r="E2991" i="12"/>
  <c r="F2991" i="12"/>
  <c r="B2990" i="12"/>
  <c r="C2990" i="12"/>
  <c r="E2990" i="12"/>
  <c r="F2990" i="12"/>
  <c r="B2989" i="12"/>
  <c r="C2989" i="12"/>
  <c r="E2989" i="12"/>
  <c r="F2989" i="12"/>
  <c r="B2988" i="12"/>
  <c r="C2988" i="12"/>
  <c r="E2988" i="12"/>
  <c r="F2988" i="12"/>
  <c r="B2987" i="12"/>
  <c r="C2987" i="12"/>
  <c r="E2987" i="12"/>
  <c r="F2987" i="12"/>
  <c r="B2986" i="12"/>
  <c r="C2986" i="12"/>
  <c r="E2986" i="12"/>
  <c r="F2986" i="12"/>
  <c r="B2985" i="12"/>
  <c r="C2985" i="12"/>
  <c r="E2985" i="12"/>
  <c r="F2985" i="12"/>
  <c r="B2984" i="12"/>
  <c r="C2984" i="12"/>
  <c r="E2984" i="12"/>
  <c r="F2984" i="12"/>
  <c r="B2983" i="12"/>
  <c r="C2983" i="12"/>
  <c r="E2983" i="12"/>
  <c r="F2983" i="12"/>
  <c r="B2982" i="12"/>
  <c r="C2982" i="12"/>
  <c r="E2982" i="12"/>
  <c r="F2982" i="12"/>
  <c r="B2981" i="12"/>
  <c r="C2981" i="12"/>
  <c r="E2981" i="12"/>
  <c r="F2981" i="12"/>
  <c r="B2980" i="12"/>
  <c r="C2980" i="12"/>
  <c r="E2980" i="12"/>
  <c r="F2980" i="12"/>
  <c r="B2979" i="12"/>
  <c r="C2979" i="12"/>
  <c r="E2979" i="12"/>
  <c r="F2979" i="12"/>
  <c r="B2978" i="12"/>
  <c r="C2978" i="12"/>
  <c r="E2978" i="12"/>
  <c r="F2978" i="12"/>
  <c r="B2977" i="12"/>
  <c r="C2977" i="12"/>
  <c r="E2977" i="12"/>
  <c r="F2977" i="12"/>
  <c r="B2976" i="12"/>
  <c r="C2976" i="12"/>
  <c r="E2976" i="12"/>
  <c r="F2976" i="12"/>
  <c r="B2975" i="12"/>
  <c r="C2975" i="12"/>
  <c r="E2975" i="12"/>
  <c r="F2975" i="12"/>
  <c r="B2974" i="12"/>
  <c r="C2974" i="12"/>
  <c r="E2974" i="12"/>
  <c r="F2974" i="12"/>
  <c r="B2973" i="12"/>
  <c r="C2973" i="12"/>
  <c r="E2973" i="12"/>
  <c r="F2973" i="12"/>
  <c r="B2972" i="12"/>
  <c r="C2972" i="12"/>
  <c r="E2972" i="12"/>
  <c r="F2972" i="12"/>
  <c r="B2971" i="12"/>
  <c r="C2971" i="12"/>
  <c r="E2971" i="12"/>
  <c r="F2971" i="12"/>
  <c r="B2970" i="12"/>
  <c r="C2970" i="12"/>
  <c r="E2970" i="12"/>
  <c r="F2970" i="12"/>
  <c r="B2969" i="12"/>
  <c r="C2969" i="12"/>
  <c r="E2969" i="12"/>
  <c r="F2969" i="12"/>
  <c r="B2968" i="12"/>
  <c r="C2968" i="12"/>
  <c r="E2968" i="12"/>
  <c r="F2968" i="12"/>
  <c r="B2967" i="12"/>
  <c r="C2967" i="12"/>
  <c r="E2967" i="12"/>
  <c r="F2967" i="12"/>
  <c r="B2966" i="12"/>
  <c r="C2966" i="12"/>
  <c r="E2966" i="12"/>
  <c r="F2966" i="12"/>
  <c r="B2965" i="12"/>
  <c r="C2965" i="12"/>
  <c r="E2965" i="12"/>
  <c r="F2965" i="12"/>
  <c r="B2964" i="12"/>
  <c r="C2964" i="12"/>
  <c r="E2964" i="12"/>
  <c r="F2964" i="12"/>
  <c r="B2963" i="12"/>
  <c r="C2963" i="12"/>
  <c r="E2963" i="12"/>
  <c r="F2963" i="12"/>
  <c r="B2962" i="12"/>
  <c r="C2962" i="12"/>
  <c r="E2962" i="12"/>
  <c r="F2962" i="12"/>
  <c r="B2961" i="12"/>
  <c r="C2961" i="12"/>
  <c r="E2961" i="12"/>
  <c r="F2961" i="12"/>
  <c r="B2960" i="12"/>
  <c r="C2960" i="12"/>
  <c r="E2960" i="12"/>
  <c r="F2960" i="12"/>
  <c r="B2959" i="12"/>
  <c r="C2959" i="12"/>
  <c r="E2959" i="12"/>
  <c r="F2959" i="12"/>
  <c r="B2958" i="12"/>
  <c r="C2958" i="12"/>
  <c r="E2958" i="12"/>
  <c r="F2958" i="12"/>
  <c r="B2957" i="12" l="1"/>
  <c r="C2957" i="12"/>
  <c r="E2957" i="12"/>
  <c r="F2957" i="12"/>
  <c r="B2956" i="12"/>
  <c r="C2956" i="12"/>
  <c r="E2956" i="12"/>
  <c r="F2956" i="12"/>
  <c r="B2955" i="12"/>
  <c r="C2955" i="12"/>
  <c r="E2955" i="12"/>
  <c r="F2955" i="12"/>
  <c r="B2954" i="12" l="1"/>
  <c r="C2954" i="12"/>
  <c r="E2954" i="12"/>
  <c r="F2954" i="12"/>
  <c r="B2953" i="12"/>
  <c r="C2953" i="12"/>
  <c r="E2953" i="12"/>
  <c r="F2953" i="12"/>
  <c r="B2952" i="12"/>
  <c r="C2952" i="12"/>
  <c r="E2952" i="12"/>
  <c r="F2952" i="12"/>
  <c r="B2951" i="12"/>
  <c r="C2951" i="12"/>
  <c r="E2951" i="12"/>
  <c r="F2951" i="12"/>
  <c r="B2950" i="12"/>
  <c r="C2950" i="12"/>
  <c r="E2950" i="12"/>
  <c r="F2950" i="12"/>
  <c r="B2949" i="12" l="1"/>
  <c r="C2949" i="12"/>
  <c r="E2949" i="12"/>
  <c r="F2949" i="12"/>
  <c r="B2948" i="12"/>
  <c r="C2948" i="12"/>
  <c r="E2948" i="12"/>
  <c r="F2948" i="12"/>
  <c r="B2947" i="12"/>
  <c r="C2947" i="12"/>
  <c r="E2947" i="12"/>
  <c r="F2947" i="12"/>
  <c r="B2946" i="12"/>
  <c r="C2946" i="12"/>
  <c r="E2946" i="12"/>
  <c r="F2946" i="12"/>
  <c r="B2945" i="12"/>
  <c r="C2945" i="12"/>
  <c r="E2945" i="12"/>
  <c r="F2945" i="12"/>
  <c r="B2944" i="12"/>
  <c r="C2944" i="12"/>
  <c r="E2944" i="12"/>
  <c r="F2944" i="12"/>
  <c r="B2943" i="12"/>
  <c r="C2943" i="12"/>
  <c r="E2943" i="12"/>
  <c r="F2943" i="12"/>
  <c r="M95" i="8"/>
  <c r="N95" i="8"/>
  <c r="O95" i="8"/>
  <c r="P95" i="8"/>
  <c r="Q95" i="8" s="1"/>
  <c r="M94" i="8"/>
  <c r="N94" i="8"/>
  <c r="O94" i="8"/>
  <c r="P94" i="8"/>
  <c r="Q94" i="8" s="1"/>
  <c r="M93" i="8"/>
  <c r="N93" i="8"/>
  <c r="O93" i="8"/>
  <c r="P93" i="8"/>
  <c r="Q93" i="8" s="1"/>
  <c r="M92" i="8"/>
  <c r="N92" i="8"/>
  <c r="O92" i="8"/>
  <c r="P92" i="8"/>
  <c r="Q92" i="8" s="1"/>
  <c r="M90" i="8"/>
  <c r="M91" i="8"/>
  <c r="N90" i="8"/>
  <c r="N91" i="8"/>
  <c r="O90" i="8"/>
  <c r="O91" i="8"/>
  <c r="P90" i="8"/>
  <c r="Q90" i="8" s="1"/>
  <c r="P91" i="8"/>
  <c r="Q91" i="8" s="1"/>
  <c r="M89" i="8"/>
  <c r="N89" i="8"/>
  <c r="O89" i="8"/>
  <c r="P89" i="8"/>
  <c r="Q89" i="8" s="1"/>
  <c r="B2942" i="12"/>
  <c r="C2942" i="12"/>
  <c r="E2942" i="12"/>
  <c r="F2942" i="12"/>
  <c r="B2941" i="12"/>
  <c r="C2941" i="12"/>
  <c r="E2941" i="12"/>
  <c r="F2941" i="12"/>
  <c r="B2940" i="12"/>
  <c r="C2940" i="12"/>
  <c r="E2940" i="12"/>
  <c r="F2940" i="12"/>
  <c r="R145" i="11"/>
  <c r="S145" i="11"/>
  <c r="T145" i="11"/>
  <c r="U145" i="11"/>
  <c r="R144" i="11"/>
  <c r="S144" i="11"/>
  <c r="T144" i="11"/>
  <c r="U144" i="11"/>
  <c r="R143" i="11"/>
  <c r="S143" i="11"/>
  <c r="T143" i="11"/>
  <c r="U143" i="11"/>
  <c r="R142" i="11"/>
  <c r="S142" i="11"/>
  <c r="T142" i="11"/>
  <c r="U142" i="11"/>
  <c r="R141" i="11"/>
  <c r="S141" i="11"/>
  <c r="T141" i="11"/>
  <c r="U141" i="11"/>
  <c r="R140" i="11"/>
  <c r="S140" i="11"/>
  <c r="T140" i="11"/>
  <c r="U140" i="11"/>
  <c r="R139" i="11"/>
  <c r="S139" i="11"/>
  <c r="T139" i="11"/>
  <c r="U139" i="11"/>
  <c r="R138" i="11"/>
  <c r="S138" i="11"/>
  <c r="T138" i="11"/>
  <c r="U138" i="11"/>
  <c r="R137" i="11"/>
  <c r="S137" i="11"/>
  <c r="T137" i="11"/>
  <c r="U137" i="11"/>
  <c r="R135" i="11"/>
  <c r="R136" i="11"/>
  <c r="S135" i="11"/>
  <c r="S136" i="11"/>
  <c r="T135" i="11"/>
  <c r="T136" i="11"/>
  <c r="U135" i="11"/>
  <c r="U136" i="11"/>
  <c r="R134" i="11"/>
  <c r="S134" i="11"/>
  <c r="T134" i="11"/>
  <c r="U134" i="11"/>
  <c r="R133" i="11"/>
  <c r="S133" i="11"/>
  <c r="T133" i="11"/>
  <c r="U133" i="11"/>
  <c r="R132" i="11"/>
  <c r="S132" i="11"/>
  <c r="T132" i="11"/>
  <c r="U132" i="11"/>
  <c r="R131" i="11"/>
  <c r="S131" i="11"/>
  <c r="T131" i="11"/>
  <c r="U131" i="11"/>
  <c r="R129" i="11"/>
  <c r="R130" i="11"/>
  <c r="S129" i="11"/>
  <c r="S130" i="11"/>
  <c r="T129" i="11"/>
  <c r="T130" i="11"/>
  <c r="U129" i="11"/>
  <c r="U130" i="11"/>
  <c r="R128" i="11"/>
  <c r="S128" i="11"/>
  <c r="T128" i="11"/>
  <c r="U128" i="11"/>
  <c r="R127" i="11"/>
  <c r="S127" i="11"/>
  <c r="T127" i="11"/>
  <c r="U127" i="11"/>
  <c r="R125" i="11"/>
  <c r="R126" i="11"/>
  <c r="S125" i="11"/>
  <c r="S126" i="11"/>
  <c r="T125" i="11"/>
  <c r="T126" i="11"/>
  <c r="U125" i="11"/>
  <c r="U126" i="11"/>
  <c r="R124" i="11"/>
  <c r="S124" i="11"/>
  <c r="T124" i="11"/>
  <c r="U124" i="11"/>
  <c r="R123" i="11"/>
  <c r="S123" i="11"/>
  <c r="T123" i="11"/>
  <c r="U123" i="11"/>
  <c r="R122" i="11"/>
  <c r="S122" i="11"/>
  <c r="T122" i="11"/>
  <c r="U122" i="11"/>
  <c r="R119" i="11"/>
  <c r="R120" i="11"/>
  <c r="R121" i="11"/>
  <c r="S119" i="11"/>
  <c r="S120" i="11"/>
  <c r="S121" i="11"/>
  <c r="T119" i="11"/>
  <c r="T120" i="11"/>
  <c r="T121" i="11"/>
  <c r="U119" i="11"/>
  <c r="U120" i="11"/>
  <c r="U121" i="11"/>
  <c r="R118" i="11"/>
  <c r="S118" i="11"/>
  <c r="T118" i="11"/>
  <c r="U118" i="11"/>
  <c r="B2939" i="12"/>
  <c r="C2939" i="12"/>
  <c r="E2939" i="12"/>
  <c r="F2939" i="12"/>
  <c r="B2938" i="12"/>
  <c r="C2938" i="12"/>
  <c r="E2938" i="12"/>
  <c r="F2938" i="12"/>
  <c r="B2937" i="12"/>
  <c r="C2937" i="12"/>
  <c r="E2937" i="12"/>
  <c r="F2937" i="12"/>
  <c r="B2936" i="12"/>
  <c r="C2936" i="12"/>
  <c r="E2936" i="12"/>
  <c r="F2936" i="12"/>
  <c r="B2935" i="12"/>
  <c r="C2935" i="12"/>
  <c r="E2935" i="12"/>
  <c r="F2935" i="12"/>
  <c r="B2934" i="12"/>
  <c r="C2934" i="12"/>
  <c r="E2934" i="12"/>
  <c r="F2934" i="12"/>
  <c r="B2933" i="12"/>
  <c r="C2933" i="12"/>
  <c r="E2933" i="12"/>
  <c r="F2933" i="12"/>
  <c r="B2932" i="12"/>
  <c r="C2932" i="12"/>
  <c r="E2932" i="12"/>
  <c r="F2932" i="12"/>
  <c r="B2931" i="12" l="1"/>
  <c r="C2931" i="12"/>
  <c r="E2931" i="12"/>
  <c r="F2931" i="12"/>
  <c r="B2930" i="12"/>
  <c r="C2930" i="12"/>
  <c r="E2930" i="12"/>
  <c r="F2930" i="12"/>
  <c r="B2929" i="12" l="1"/>
  <c r="C2929" i="12"/>
  <c r="E2929" i="12"/>
  <c r="F2929" i="12"/>
  <c r="B2928" i="12"/>
  <c r="C2928" i="12"/>
  <c r="E2928" i="12"/>
  <c r="F2928" i="12"/>
  <c r="B2927" i="12"/>
  <c r="C2927" i="12"/>
  <c r="E2927" i="12"/>
  <c r="F2927" i="12"/>
  <c r="B2926" i="12"/>
  <c r="C2926" i="12"/>
  <c r="E2926" i="12"/>
  <c r="F2926" i="12"/>
  <c r="B2925" i="12"/>
  <c r="C2925" i="12"/>
  <c r="E2925" i="12"/>
  <c r="F2925" i="12"/>
  <c r="B2924" i="12"/>
  <c r="C2924" i="12"/>
  <c r="E2924" i="12"/>
  <c r="F2924" i="12"/>
  <c r="B2923" i="12"/>
  <c r="C2923" i="12"/>
  <c r="E2923" i="12"/>
  <c r="F2923" i="12"/>
  <c r="B2922" i="12"/>
  <c r="C2922" i="12"/>
  <c r="E2922" i="12"/>
  <c r="F2922" i="12"/>
  <c r="B2921" i="12"/>
  <c r="C2921" i="12"/>
  <c r="E2921" i="12"/>
  <c r="F2921" i="12"/>
  <c r="B2920" i="12"/>
  <c r="C2920" i="12"/>
  <c r="E2920" i="12"/>
  <c r="F2920" i="12"/>
  <c r="B2919" i="12"/>
  <c r="C2919" i="12"/>
  <c r="E2919" i="12"/>
  <c r="F2919" i="12"/>
  <c r="B2918" i="12"/>
  <c r="C2918" i="12"/>
  <c r="E2918" i="12"/>
  <c r="F2918" i="12"/>
  <c r="B2917" i="12"/>
  <c r="C2917" i="12"/>
  <c r="E2917" i="12"/>
  <c r="F2917" i="12"/>
  <c r="B2916" i="12"/>
  <c r="C2916" i="12"/>
  <c r="E2916" i="12"/>
  <c r="F2916" i="12"/>
  <c r="B2915" i="12"/>
  <c r="C2915" i="12"/>
  <c r="E2915" i="12"/>
  <c r="F2915" i="12"/>
  <c r="B2914" i="12"/>
  <c r="C2914" i="12"/>
  <c r="E2914" i="12"/>
  <c r="F2914" i="12"/>
  <c r="B2913" i="12"/>
  <c r="C2913" i="12"/>
  <c r="E2913" i="12"/>
  <c r="F2913" i="12"/>
  <c r="B2912" i="12"/>
  <c r="C2912" i="12"/>
  <c r="E2912" i="12"/>
  <c r="F2912" i="12"/>
  <c r="B2911" i="12"/>
  <c r="C2911" i="12"/>
  <c r="E2911" i="12"/>
  <c r="F2911" i="12"/>
  <c r="B2910" i="12"/>
  <c r="C2910" i="12"/>
  <c r="E2910" i="12"/>
  <c r="F2910" i="12"/>
  <c r="B2909" i="12"/>
  <c r="C2909" i="12"/>
  <c r="E2909" i="12"/>
  <c r="F2909" i="12"/>
  <c r="B2908" i="12"/>
  <c r="C2908" i="12"/>
  <c r="E2908" i="12"/>
  <c r="F2908" i="12"/>
  <c r="B2907" i="12"/>
  <c r="C2907" i="12"/>
  <c r="E2907" i="12"/>
  <c r="F2907" i="12"/>
  <c r="B2906" i="12"/>
  <c r="C2906" i="12"/>
  <c r="E2906" i="12"/>
  <c r="F2906" i="12"/>
  <c r="B2905" i="12"/>
  <c r="C2905" i="12"/>
  <c r="E2905" i="12"/>
  <c r="F2905" i="12"/>
  <c r="B2904" i="12"/>
  <c r="C2904" i="12"/>
  <c r="E2904" i="12"/>
  <c r="F2904" i="12"/>
  <c r="B2903" i="12"/>
  <c r="C2903" i="12"/>
  <c r="E2903" i="12"/>
  <c r="F2903" i="12"/>
  <c r="B2902" i="12"/>
  <c r="C2902" i="12"/>
  <c r="E2902" i="12"/>
  <c r="F2902" i="12"/>
  <c r="B2901" i="12"/>
  <c r="C2901" i="12"/>
  <c r="E2901" i="12"/>
  <c r="F2901" i="12"/>
  <c r="B2900" i="12"/>
  <c r="C2900" i="12"/>
  <c r="E2900" i="12"/>
  <c r="F2900" i="12"/>
  <c r="B2899" i="12"/>
  <c r="C2899" i="12"/>
  <c r="E2899" i="12"/>
  <c r="F2899" i="12"/>
  <c r="B2898" i="12"/>
  <c r="C2898" i="12"/>
  <c r="E2898" i="12"/>
  <c r="F2898" i="12"/>
  <c r="B2897" i="12"/>
  <c r="C2897" i="12"/>
  <c r="E2897" i="12"/>
  <c r="F2897" i="12"/>
  <c r="B2896" i="12"/>
  <c r="C2896" i="12"/>
  <c r="E2896" i="12"/>
  <c r="F2896" i="12"/>
  <c r="B2895" i="12"/>
  <c r="C2895" i="12"/>
  <c r="E2895" i="12"/>
  <c r="F2895" i="12"/>
  <c r="B2894" i="12"/>
  <c r="C2894" i="12"/>
  <c r="E2894" i="12"/>
  <c r="F2894" i="12"/>
  <c r="B2893" i="12" l="1"/>
  <c r="C2893" i="12"/>
  <c r="E2893" i="12"/>
  <c r="F2893" i="12"/>
  <c r="B2892" i="12"/>
  <c r="C2892" i="12"/>
  <c r="E2892" i="12"/>
  <c r="F2892" i="12"/>
  <c r="B2891" i="12"/>
  <c r="C2891" i="12"/>
  <c r="E2891" i="12"/>
  <c r="F2891" i="12"/>
  <c r="B2890" i="12"/>
  <c r="C2890" i="12"/>
  <c r="E2890" i="12"/>
  <c r="F2890" i="12"/>
  <c r="B2889" i="12"/>
  <c r="C2889" i="12"/>
  <c r="E2889" i="12"/>
  <c r="F2889" i="12"/>
  <c r="B2888" i="12"/>
  <c r="C2888" i="12"/>
  <c r="E2888" i="12"/>
  <c r="F2888" i="12"/>
  <c r="B2887" i="12"/>
  <c r="C2887" i="12"/>
  <c r="E2887" i="12"/>
  <c r="F2887" i="12"/>
  <c r="B2886" i="12"/>
  <c r="C2886" i="12"/>
  <c r="E2886" i="12"/>
  <c r="F2886" i="12"/>
  <c r="B2885" i="12"/>
  <c r="C2885" i="12"/>
  <c r="E2885" i="12"/>
  <c r="F2885" i="12"/>
  <c r="B2884" i="12"/>
  <c r="C2884" i="12"/>
  <c r="E2884" i="12"/>
  <c r="F2884" i="12"/>
  <c r="B2883" i="12"/>
  <c r="C2883" i="12"/>
  <c r="E2883" i="12"/>
  <c r="F2883" i="12"/>
  <c r="B2882" i="12"/>
  <c r="C2882" i="12"/>
  <c r="E2882" i="12"/>
  <c r="F2882" i="12"/>
  <c r="B2881" i="12"/>
  <c r="C2881" i="12"/>
  <c r="E2881" i="12"/>
  <c r="F2881" i="12"/>
  <c r="B2880" i="12"/>
  <c r="C2880" i="12"/>
  <c r="E2880" i="12"/>
  <c r="F2880" i="12"/>
  <c r="B2879" i="12"/>
  <c r="C2879" i="12"/>
  <c r="E2879" i="12"/>
  <c r="F2879" i="12"/>
  <c r="B2878" i="12"/>
  <c r="C2878" i="12"/>
  <c r="E2878" i="12"/>
  <c r="F2878" i="12"/>
  <c r="B2877" i="12"/>
  <c r="C2877" i="12"/>
  <c r="E2877" i="12"/>
  <c r="F2877" i="12"/>
  <c r="B2876" i="12"/>
  <c r="C2876" i="12"/>
  <c r="E2876" i="12"/>
  <c r="F2876" i="12"/>
  <c r="B2875" i="12"/>
  <c r="C2875" i="12"/>
  <c r="E2875" i="12"/>
  <c r="F2875" i="12"/>
  <c r="B2874" i="12"/>
  <c r="C2874" i="12"/>
  <c r="E2874" i="12"/>
  <c r="F2874" i="12"/>
  <c r="B2873" i="12"/>
  <c r="C2873" i="12"/>
  <c r="E2873" i="12"/>
  <c r="F2873" i="12"/>
  <c r="B2872" i="12"/>
  <c r="C2872" i="12"/>
  <c r="E2872" i="12"/>
  <c r="F2872" i="12"/>
  <c r="B2871" i="12"/>
  <c r="C2871" i="12"/>
  <c r="E2871" i="12"/>
  <c r="F2871" i="12"/>
  <c r="B2870" i="12"/>
  <c r="C2870" i="12"/>
  <c r="E2870" i="12"/>
  <c r="F2870" i="12"/>
  <c r="B2869" i="12"/>
  <c r="C2869" i="12"/>
  <c r="E2869" i="12"/>
  <c r="F2869" i="12"/>
  <c r="B2868" i="12"/>
  <c r="C2868" i="12"/>
  <c r="E2868" i="12"/>
  <c r="F2868" i="12"/>
  <c r="B2867" i="12"/>
  <c r="C2867" i="12"/>
  <c r="E2867" i="12"/>
  <c r="F2867" i="12"/>
  <c r="B2866" i="12"/>
  <c r="C2866" i="12"/>
  <c r="E2866" i="12"/>
  <c r="F2866" i="12"/>
  <c r="B2865" i="12"/>
  <c r="C2865" i="12"/>
  <c r="E2865" i="12"/>
  <c r="F2865" i="12"/>
  <c r="B2864" i="12"/>
  <c r="C2864" i="12"/>
  <c r="E2864" i="12"/>
  <c r="F2864" i="12"/>
  <c r="B2863" i="12"/>
  <c r="C2863" i="12"/>
  <c r="E2863" i="12"/>
  <c r="F2863" i="12"/>
  <c r="B2862" i="12"/>
  <c r="C2862" i="12"/>
  <c r="E2862" i="12"/>
  <c r="F2862" i="12"/>
  <c r="B2861" i="12"/>
  <c r="C2861" i="12"/>
  <c r="E2861" i="12"/>
  <c r="F2861" i="12"/>
  <c r="B2860" i="12"/>
  <c r="C2860" i="12"/>
  <c r="E2860" i="12"/>
  <c r="F2860" i="12"/>
  <c r="B2859" i="12"/>
  <c r="C2859" i="12"/>
  <c r="E2859" i="12"/>
  <c r="F2859" i="12"/>
  <c r="B2858" i="12"/>
  <c r="C2858" i="12"/>
  <c r="E2858" i="12"/>
  <c r="F2858" i="12"/>
  <c r="B2857" i="12"/>
  <c r="C2857" i="12"/>
  <c r="E2857" i="12"/>
  <c r="F2857" i="12"/>
  <c r="B2856" i="12"/>
  <c r="C2856" i="12"/>
  <c r="E2856" i="12"/>
  <c r="F2856" i="12"/>
  <c r="B2855" i="12"/>
  <c r="C2855" i="12"/>
  <c r="E2855" i="12"/>
  <c r="F2855" i="12"/>
  <c r="B2854" i="12"/>
  <c r="C2854" i="12"/>
  <c r="E2854" i="12"/>
  <c r="F2854" i="12"/>
  <c r="B2853" i="12"/>
  <c r="C2853" i="12"/>
  <c r="E2853" i="12"/>
  <c r="F2853" i="12"/>
  <c r="B2852" i="12"/>
  <c r="C2852" i="12"/>
  <c r="E2852" i="12"/>
  <c r="F2852" i="12"/>
  <c r="B2851" i="12"/>
  <c r="C2851" i="12"/>
  <c r="E2851" i="12"/>
  <c r="F2851" i="12"/>
  <c r="B2850" i="12"/>
  <c r="C2850" i="12"/>
  <c r="E2850" i="12"/>
  <c r="F2850" i="12"/>
  <c r="B2849" i="12"/>
  <c r="C2849" i="12"/>
  <c r="E2849" i="12"/>
  <c r="F2849" i="12"/>
  <c r="B2848" i="12"/>
  <c r="C2848" i="12"/>
  <c r="E2848" i="12"/>
  <c r="F2848" i="12"/>
  <c r="B2847" i="12"/>
  <c r="C2847" i="12"/>
  <c r="E2847" i="12"/>
  <c r="F2847" i="12"/>
  <c r="B2846" i="12"/>
  <c r="C2846" i="12"/>
  <c r="E2846" i="12"/>
  <c r="F2846" i="12"/>
  <c r="B2845" i="12"/>
  <c r="C2845" i="12"/>
  <c r="E2845" i="12"/>
  <c r="F2845" i="12"/>
  <c r="B2844" i="12"/>
  <c r="C2844" i="12"/>
  <c r="E2844" i="12"/>
  <c r="F2844" i="12"/>
  <c r="B2843" i="12"/>
  <c r="C2843" i="12"/>
  <c r="E2843" i="12"/>
  <c r="F2843" i="12"/>
  <c r="B2842" i="12"/>
  <c r="C2842" i="12"/>
  <c r="E2842" i="12"/>
  <c r="F2842" i="12"/>
  <c r="B2841" i="12"/>
  <c r="C2841" i="12"/>
  <c r="E2841" i="12"/>
  <c r="F2841" i="12"/>
  <c r="B2840" i="12"/>
  <c r="C2840" i="12"/>
  <c r="E2840" i="12"/>
  <c r="F2840" i="12"/>
  <c r="B2839" i="12"/>
  <c r="C2839" i="12"/>
  <c r="E2839" i="12"/>
  <c r="F2839" i="12"/>
  <c r="B2838" i="12"/>
  <c r="C2838" i="12"/>
  <c r="E2838" i="12"/>
  <c r="F2838" i="12"/>
  <c r="B2837" i="12"/>
  <c r="C2837" i="12"/>
  <c r="E2837" i="12"/>
  <c r="F2837" i="12"/>
  <c r="B2836" i="12"/>
  <c r="C2836" i="12"/>
  <c r="E2836" i="12"/>
  <c r="F2836" i="12"/>
  <c r="B2835" i="12"/>
  <c r="C2835" i="12"/>
  <c r="E2835" i="12"/>
  <c r="F2835" i="12"/>
  <c r="B2834" i="12"/>
  <c r="C2834" i="12"/>
  <c r="E2834" i="12"/>
  <c r="F2834" i="12"/>
  <c r="B2833" i="12"/>
  <c r="C2833" i="12"/>
  <c r="E2833" i="12"/>
  <c r="F2833" i="12"/>
  <c r="B2832" i="12"/>
  <c r="C2832" i="12"/>
  <c r="E2832" i="12"/>
  <c r="F2832" i="12"/>
  <c r="B2831" i="12"/>
  <c r="C2831" i="12"/>
  <c r="E2831" i="12"/>
  <c r="F2831" i="12"/>
  <c r="B2830" i="12"/>
  <c r="C2830" i="12"/>
  <c r="E2830" i="12"/>
  <c r="F2830" i="12"/>
  <c r="B2829" i="12"/>
  <c r="C2829" i="12"/>
  <c r="E2829" i="12"/>
  <c r="F2829" i="12"/>
  <c r="B2828" i="12"/>
  <c r="C2828" i="12"/>
  <c r="E2828" i="12"/>
  <c r="F2828" i="12"/>
  <c r="B2827" i="12"/>
  <c r="C2827" i="12"/>
  <c r="E2827" i="12"/>
  <c r="F2827" i="12"/>
  <c r="B2826" i="12"/>
  <c r="C2826" i="12"/>
  <c r="E2826" i="12"/>
  <c r="F2826" i="12"/>
  <c r="B2825" i="12"/>
  <c r="C2825" i="12"/>
  <c r="E2825" i="12"/>
  <c r="F2825" i="12"/>
  <c r="B2824" i="12"/>
  <c r="C2824" i="12"/>
  <c r="E2824" i="12"/>
  <c r="F2824" i="12"/>
  <c r="B2823" i="12"/>
  <c r="C2823" i="12"/>
  <c r="E2823" i="12"/>
  <c r="F2823" i="12"/>
  <c r="B2822" i="12"/>
  <c r="C2822" i="12"/>
  <c r="E2822" i="12"/>
  <c r="F2822" i="12"/>
  <c r="B2821" i="12"/>
  <c r="C2821" i="12"/>
  <c r="E2821" i="12"/>
  <c r="F2821" i="12"/>
  <c r="B2820" i="12"/>
  <c r="C2820" i="12"/>
  <c r="E2820" i="12"/>
  <c r="F2820" i="12"/>
  <c r="B2819" i="12"/>
  <c r="C2819" i="12"/>
  <c r="E2819" i="12"/>
  <c r="F2819" i="12"/>
  <c r="B2818" i="12"/>
  <c r="C2818" i="12"/>
  <c r="E2818" i="12"/>
  <c r="F2818" i="12"/>
  <c r="B2817" i="12"/>
  <c r="C2817" i="12"/>
  <c r="E2817" i="12"/>
  <c r="F2817" i="12"/>
  <c r="B2816" i="12"/>
  <c r="C2816" i="12"/>
  <c r="E2816" i="12"/>
  <c r="F2816" i="12"/>
  <c r="B2815" i="12"/>
  <c r="C2815" i="12"/>
  <c r="E2815" i="12"/>
  <c r="F2815" i="12"/>
  <c r="B2814" i="12"/>
  <c r="C2814" i="12"/>
  <c r="E2814" i="12"/>
  <c r="F2814" i="12"/>
  <c r="B2813" i="12"/>
  <c r="C2813" i="12"/>
  <c r="E2813" i="12"/>
  <c r="F2813" i="12"/>
  <c r="B2812" i="12"/>
  <c r="C2812" i="12"/>
  <c r="E2812" i="12"/>
  <c r="F2812" i="12"/>
  <c r="B2811" i="12"/>
  <c r="C2811" i="12"/>
  <c r="E2811" i="12"/>
  <c r="F2811" i="12"/>
  <c r="B2810" i="12"/>
  <c r="C2810" i="12"/>
  <c r="E2810" i="12"/>
  <c r="F2810" i="12"/>
  <c r="B2809" i="12"/>
  <c r="C2809" i="12"/>
  <c r="E2809" i="12"/>
  <c r="F2809" i="12"/>
  <c r="B2808" i="12"/>
  <c r="C2808" i="12"/>
  <c r="E2808" i="12"/>
  <c r="F2808" i="12"/>
  <c r="B2807" i="12"/>
  <c r="C2807" i="12"/>
  <c r="E2807" i="12"/>
  <c r="F2807" i="12"/>
  <c r="B2806" i="12"/>
  <c r="C2806" i="12"/>
  <c r="E2806" i="12"/>
  <c r="F2806" i="12"/>
  <c r="B2805" i="12"/>
  <c r="C2805" i="12"/>
  <c r="E2805" i="12"/>
  <c r="F2805" i="12"/>
  <c r="B2804" i="12" l="1"/>
  <c r="C2804" i="12"/>
  <c r="E2804" i="12"/>
  <c r="F2804" i="12"/>
  <c r="B2803" i="12"/>
  <c r="C2803" i="12"/>
  <c r="E2803" i="12"/>
  <c r="F2803" i="12"/>
  <c r="B2802" i="12"/>
  <c r="C2802" i="12"/>
  <c r="E2802" i="12"/>
  <c r="F2802" i="12"/>
  <c r="B2801" i="12"/>
  <c r="C2801" i="12"/>
  <c r="E2801" i="12"/>
  <c r="F2801" i="12"/>
  <c r="B2800" i="12"/>
  <c r="C2800" i="12"/>
  <c r="E2800" i="12"/>
  <c r="F2800" i="12"/>
  <c r="B2799" i="12"/>
  <c r="C2799" i="12"/>
  <c r="E2799" i="12"/>
  <c r="F2799" i="12"/>
  <c r="B2798" i="12"/>
  <c r="C2798" i="12"/>
  <c r="E2798" i="12"/>
  <c r="F2798" i="12"/>
  <c r="B2797" i="12"/>
  <c r="C2797" i="12"/>
  <c r="E2797" i="12"/>
  <c r="F2797" i="12"/>
  <c r="B2796" i="12"/>
  <c r="C2796" i="12"/>
  <c r="E2796" i="12"/>
  <c r="F2796" i="12"/>
  <c r="B2795" i="12"/>
  <c r="C2795" i="12"/>
  <c r="E2795" i="12"/>
  <c r="F2795" i="12"/>
  <c r="B2794" i="12"/>
  <c r="C2794" i="12"/>
  <c r="E2794" i="12"/>
  <c r="F2794" i="12"/>
  <c r="B2793" i="12"/>
  <c r="C2793" i="12"/>
  <c r="E2793" i="12"/>
  <c r="F2793" i="12"/>
  <c r="B2792" i="12"/>
  <c r="C2792" i="12"/>
  <c r="E2792" i="12"/>
  <c r="F2792" i="12"/>
  <c r="B2791" i="12"/>
  <c r="C2791" i="12"/>
  <c r="E2791" i="12"/>
  <c r="F2791" i="12"/>
  <c r="B2790" i="12"/>
  <c r="C2790" i="12"/>
  <c r="E2790" i="12"/>
  <c r="F2790" i="12"/>
  <c r="B2789" i="12"/>
  <c r="C2789" i="12"/>
  <c r="E2789" i="12"/>
  <c r="F2789" i="12"/>
  <c r="B2788" i="12"/>
  <c r="C2788" i="12"/>
  <c r="E2788" i="12"/>
  <c r="F2788" i="12"/>
  <c r="B2787" i="12"/>
  <c r="C2787" i="12"/>
  <c r="E2787" i="12"/>
  <c r="F2787" i="12"/>
  <c r="B2786" i="12"/>
  <c r="C2786" i="12"/>
  <c r="E2786" i="12"/>
  <c r="F2786" i="12"/>
  <c r="B2785" i="12"/>
  <c r="C2785" i="12"/>
  <c r="E2785" i="12"/>
  <c r="F2785" i="12"/>
  <c r="B2784" i="12"/>
  <c r="C2784" i="12"/>
  <c r="E2784" i="12"/>
  <c r="F2784" i="12"/>
  <c r="B2783" i="12"/>
  <c r="C2783" i="12"/>
  <c r="E2783" i="12"/>
  <c r="F2783" i="12"/>
  <c r="B2782" i="12"/>
  <c r="C2782" i="12"/>
  <c r="E2782" i="12"/>
  <c r="F2782" i="12"/>
  <c r="B2781" i="12"/>
  <c r="C2781" i="12"/>
  <c r="E2781" i="12"/>
  <c r="F2781" i="12"/>
  <c r="B2780" i="12"/>
  <c r="C2780" i="12"/>
  <c r="E2780" i="12"/>
  <c r="F2780" i="12"/>
  <c r="B2779" i="12"/>
  <c r="C2779" i="12"/>
  <c r="E2779" i="12"/>
  <c r="F2779" i="12"/>
  <c r="B2778" i="12"/>
  <c r="C2778" i="12"/>
  <c r="E2778" i="12"/>
  <c r="F2778" i="12"/>
  <c r="B2777" i="12"/>
  <c r="C2777" i="12"/>
  <c r="E2777" i="12"/>
  <c r="F2777" i="12"/>
  <c r="B2776" i="12"/>
  <c r="C2776" i="12"/>
  <c r="E2776" i="12"/>
  <c r="F2776" i="12"/>
  <c r="B2775" i="12"/>
  <c r="C2775" i="12"/>
  <c r="E2775" i="12"/>
  <c r="F2775" i="12"/>
  <c r="B2774" i="12" l="1"/>
  <c r="C2774" i="12"/>
  <c r="E2774" i="12"/>
  <c r="F2774" i="12"/>
  <c r="B2773" i="12"/>
  <c r="C2773" i="12"/>
  <c r="E2773" i="12"/>
  <c r="F2773" i="12"/>
  <c r="B2772" i="12"/>
  <c r="C2772" i="12"/>
  <c r="E2772" i="12"/>
  <c r="F2772" i="12"/>
  <c r="B2771" i="12"/>
  <c r="C2771" i="12"/>
  <c r="E2771" i="12"/>
  <c r="F2771" i="12"/>
  <c r="B2770" i="12"/>
  <c r="C2770" i="12"/>
  <c r="E2770" i="12"/>
  <c r="F2770" i="12"/>
  <c r="B2769" i="12"/>
  <c r="C2769" i="12"/>
  <c r="E2769" i="12"/>
  <c r="F2769" i="12"/>
  <c r="B2768" i="12"/>
  <c r="C2768" i="12"/>
  <c r="E2768" i="12"/>
  <c r="F2768" i="12"/>
  <c r="B2767" i="12"/>
  <c r="C2767" i="12"/>
  <c r="E2767" i="12"/>
  <c r="F2767" i="12"/>
  <c r="B2766" i="12"/>
  <c r="C2766" i="12"/>
  <c r="E2766" i="12"/>
  <c r="F2766" i="12"/>
  <c r="B2765" i="12"/>
  <c r="C2765" i="12"/>
  <c r="E2765" i="12"/>
  <c r="F2765" i="12"/>
  <c r="B2764" i="12"/>
  <c r="C2764" i="12"/>
  <c r="E2764" i="12"/>
  <c r="F2764" i="12"/>
  <c r="B2763" i="12"/>
  <c r="C2763" i="12"/>
  <c r="E2763" i="12"/>
  <c r="F2763" i="12"/>
  <c r="B2762" i="12"/>
  <c r="C2762" i="12"/>
  <c r="E2762" i="12"/>
  <c r="F2762" i="12"/>
  <c r="B2761" i="12"/>
  <c r="C2761" i="12"/>
  <c r="E2761" i="12"/>
  <c r="F2761" i="12"/>
  <c r="B2760" i="12"/>
  <c r="C2760" i="12"/>
  <c r="E2760" i="12"/>
  <c r="F2760" i="12"/>
  <c r="B2759" i="12"/>
  <c r="C2759" i="12"/>
  <c r="E2759" i="12"/>
  <c r="F2759" i="12"/>
  <c r="B2758" i="12"/>
  <c r="C2758" i="12"/>
  <c r="E2758" i="12"/>
  <c r="F2758" i="12"/>
  <c r="B2757" i="12"/>
  <c r="C2757" i="12"/>
  <c r="E2757" i="12"/>
  <c r="F2757" i="12"/>
  <c r="B2756" i="12"/>
  <c r="C2756" i="12"/>
  <c r="E2756" i="12"/>
  <c r="F2756" i="12"/>
  <c r="B2755" i="12"/>
  <c r="C2755" i="12"/>
  <c r="E2755" i="12"/>
  <c r="F2755" i="12"/>
  <c r="B2754" i="12"/>
  <c r="C2754" i="12"/>
  <c r="E2754" i="12"/>
  <c r="F2754" i="12"/>
  <c r="B2753" i="12"/>
  <c r="C2753" i="12"/>
  <c r="E2753" i="12"/>
  <c r="F2753" i="12"/>
  <c r="B2752" i="12"/>
  <c r="C2752" i="12"/>
  <c r="E2752" i="12"/>
  <c r="F2752" i="12"/>
  <c r="B2751" i="12"/>
  <c r="C2751" i="12"/>
  <c r="E2751" i="12"/>
  <c r="F2751" i="12"/>
  <c r="B2750" i="12"/>
  <c r="C2750" i="12"/>
  <c r="E2750" i="12"/>
  <c r="F2750" i="12"/>
  <c r="B2749" i="12"/>
  <c r="C2749" i="12"/>
  <c r="E2749" i="12"/>
  <c r="F2749" i="12"/>
  <c r="B2748" i="12"/>
  <c r="C2748" i="12"/>
  <c r="E2748" i="12"/>
  <c r="F2748" i="12"/>
  <c r="B2747" i="12"/>
  <c r="C2747" i="12"/>
  <c r="E2747" i="12"/>
  <c r="F2747" i="12"/>
  <c r="B2746" i="12"/>
  <c r="C2746" i="12"/>
  <c r="E2746" i="12"/>
  <c r="F2746" i="12"/>
  <c r="B2745" i="12"/>
  <c r="C2745" i="12"/>
  <c r="E2745" i="12"/>
  <c r="F2745" i="12"/>
  <c r="B2744" i="12"/>
  <c r="C2744" i="12"/>
  <c r="E2744" i="12"/>
  <c r="F2744" i="12"/>
  <c r="B2743" i="12"/>
  <c r="C2743" i="12"/>
  <c r="E2743" i="12"/>
  <c r="F2743" i="12"/>
  <c r="B2742" i="12"/>
  <c r="C2742" i="12"/>
  <c r="E2742" i="12"/>
  <c r="F2742" i="12"/>
  <c r="B2741" i="12"/>
  <c r="C2741" i="12"/>
  <c r="E2741" i="12"/>
  <c r="F2741" i="12"/>
  <c r="B2740" i="12"/>
  <c r="C2740" i="12"/>
  <c r="E2740" i="12"/>
  <c r="F2740" i="12"/>
  <c r="B2739" i="12"/>
  <c r="C2739" i="12"/>
  <c r="E2739" i="12"/>
  <c r="F2739" i="12"/>
  <c r="B2738" i="12"/>
  <c r="C2738" i="12"/>
  <c r="E2738" i="12"/>
  <c r="F2738" i="12"/>
  <c r="B2737" i="12"/>
  <c r="C2737" i="12"/>
  <c r="E2737" i="12"/>
  <c r="F2737" i="12"/>
  <c r="B2736" i="12"/>
  <c r="C2736" i="12"/>
  <c r="E2736" i="12"/>
  <c r="F2736" i="12"/>
  <c r="B2735" i="12"/>
  <c r="C2735" i="12"/>
  <c r="E2735" i="12"/>
  <c r="F2735" i="12"/>
  <c r="B2734" i="12"/>
  <c r="C2734" i="12"/>
  <c r="E2734" i="12"/>
  <c r="F2734" i="12"/>
  <c r="B2733" i="12"/>
  <c r="C2733" i="12"/>
  <c r="E2733" i="12"/>
  <c r="F2733" i="12"/>
  <c r="B2732" i="12"/>
  <c r="C2732" i="12"/>
  <c r="E2732" i="12"/>
  <c r="F2732" i="12"/>
  <c r="B2731" i="12"/>
  <c r="C2731" i="12"/>
  <c r="E2731" i="12"/>
  <c r="F2731" i="12"/>
  <c r="B2730" i="12"/>
  <c r="C2730" i="12"/>
  <c r="E2730" i="12"/>
  <c r="F2730" i="12"/>
  <c r="B2729" i="12"/>
  <c r="C2729" i="12"/>
  <c r="E2729" i="12"/>
  <c r="F2729" i="12"/>
  <c r="B2728" i="12"/>
  <c r="C2728" i="12"/>
  <c r="E2728" i="12"/>
  <c r="F2728" i="12"/>
  <c r="B2727" i="12"/>
  <c r="C2727" i="12"/>
  <c r="E2727" i="12"/>
  <c r="F2727" i="12"/>
  <c r="B2726" i="12"/>
  <c r="C2726" i="12"/>
  <c r="E2726" i="12"/>
  <c r="F2726" i="12"/>
  <c r="B2725" i="12"/>
  <c r="C2725" i="12"/>
  <c r="E2725" i="12"/>
  <c r="F2725" i="12"/>
  <c r="B2724" i="12"/>
  <c r="C2724" i="12"/>
  <c r="E2724" i="12"/>
  <c r="F2724" i="12"/>
  <c r="B2723" i="12"/>
  <c r="C2723" i="12"/>
  <c r="E2723" i="12"/>
  <c r="F2723" i="12"/>
  <c r="B2722" i="12"/>
  <c r="C2722" i="12"/>
  <c r="E2722" i="12"/>
  <c r="F2722" i="12"/>
  <c r="B2721" i="12"/>
  <c r="C2721" i="12"/>
  <c r="E2721" i="12"/>
  <c r="F2721" i="12"/>
  <c r="B2720" i="12"/>
  <c r="C2720" i="12"/>
  <c r="E2720" i="12"/>
  <c r="F2720" i="12"/>
  <c r="B2719" i="12"/>
  <c r="C2719" i="12"/>
  <c r="E2719" i="12"/>
  <c r="F2719" i="12"/>
  <c r="B2718" i="12"/>
  <c r="C2718" i="12"/>
  <c r="E2718" i="12"/>
  <c r="F2718" i="12"/>
  <c r="B2717" i="12"/>
  <c r="C2717" i="12"/>
  <c r="E2717" i="12"/>
  <c r="F2717" i="12"/>
  <c r="B2716" i="12"/>
  <c r="C2716" i="12"/>
  <c r="E2716" i="12"/>
  <c r="F2716" i="12"/>
  <c r="B2715" i="12"/>
  <c r="C2715" i="12"/>
  <c r="E2715" i="12"/>
  <c r="F2715" i="12"/>
  <c r="B2714" i="12"/>
  <c r="C2714" i="12"/>
  <c r="E2714" i="12"/>
  <c r="F2714" i="12"/>
  <c r="B2713" i="12"/>
  <c r="C2713" i="12"/>
  <c r="E2713" i="12"/>
  <c r="F2713" i="12"/>
  <c r="B2712" i="12"/>
  <c r="C2712" i="12"/>
  <c r="E2712" i="12"/>
  <c r="F2712" i="12"/>
  <c r="B2711" i="12"/>
  <c r="C2711" i="12"/>
  <c r="E2711" i="12"/>
  <c r="F2711" i="12"/>
  <c r="B2710" i="12"/>
  <c r="C2710" i="12"/>
  <c r="E2710" i="12"/>
  <c r="F2710" i="12"/>
  <c r="B2709" i="12"/>
  <c r="C2709" i="12"/>
  <c r="E2709" i="12"/>
  <c r="F2709" i="12"/>
  <c r="B2708" i="12"/>
  <c r="C2708" i="12"/>
  <c r="E2708" i="12"/>
  <c r="F2708" i="12"/>
  <c r="B2707" i="12"/>
  <c r="C2707" i="12"/>
  <c r="E2707" i="12"/>
  <c r="F2707" i="12"/>
  <c r="B2706" i="12"/>
  <c r="C2706" i="12"/>
  <c r="E2706" i="12"/>
  <c r="F2706" i="12"/>
  <c r="B2705" i="12"/>
  <c r="C2705" i="12"/>
  <c r="E2705" i="12"/>
  <c r="F2705" i="12"/>
  <c r="B2704" i="12"/>
  <c r="C2704" i="12"/>
  <c r="E2704" i="12"/>
  <c r="F2704" i="12"/>
  <c r="B2703" i="12"/>
  <c r="C2703" i="12"/>
  <c r="E2703" i="12"/>
  <c r="F2703" i="12"/>
  <c r="B2702" i="12"/>
  <c r="C2702" i="12"/>
  <c r="E2702" i="12"/>
  <c r="F2702" i="12"/>
  <c r="B2701" i="12"/>
  <c r="C2701" i="12"/>
  <c r="E2701" i="12"/>
  <c r="F2701" i="12"/>
  <c r="B2700" i="12"/>
  <c r="C2700" i="12"/>
  <c r="E2700" i="12"/>
  <c r="F2700" i="12"/>
  <c r="B2699" i="12"/>
  <c r="C2699" i="12"/>
  <c r="E2699" i="12"/>
  <c r="F2699" i="12"/>
  <c r="B2698" i="12"/>
  <c r="C2698" i="12"/>
  <c r="E2698" i="12"/>
  <c r="F2698" i="12"/>
  <c r="B2697" i="12"/>
  <c r="C2697" i="12"/>
  <c r="E2697" i="12"/>
  <c r="F2697" i="12"/>
  <c r="B2696" i="12"/>
  <c r="C2696" i="12"/>
  <c r="E2696" i="12"/>
  <c r="F2696" i="12"/>
  <c r="B2695" i="12"/>
  <c r="C2695" i="12"/>
  <c r="E2695" i="12"/>
  <c r="F2695" i="12"/>
  <c r="B2694" i="12"/>
  <c r="C2694" i="12"/>
  <c r="E2694" i="12"/>
  <c r="F2694" i="12"/>
  <c r="B2693" i="12"/>
  <c r="C2693" i="12"/>
  <c r="E2693" i="12"/>
  <c r="F2693" i="12"/>
  <c r="B2692" i="12"/>
  <c r="C2692" i="12"/>
  <c r="E2692" i="12"/>
  <c r="F2692" i="12"/>
  <c r="B2691" i="12" l="1"/>
  <c r="C2691" i="12"/>
  <c r="E2691" i="12"/>
  <c r="F2691" i="12"/>
  <c r="B2690" i="12"/>
  <c r="C2690" i="12"/>
  <c r="E2690" i="12"/>
  <c r="F2690" i="12"/>
  <c r="B2689" i="12"/>
  <c r="C2689" i="12"/>
  <c r="E2689" i="12"/>
  <c r="F2689" i="12"/>
  <c r="B2688" i="12"/>
  <c r="C2688" i="12"/>
  <c r="E2688" i="12"/>
  <c r="F2688" i="12"/>
  <c r="B2687" i="12"/>
  <c r="C2687" i="12"/>
  <c r="E2687" i="12"/>
  <c r="F2687" i="12"/>
  <c r="B2686" i="12"/>
  <c r="C2686" i="12"/>
  <c r="E2686" i="12"/>
  <c r="F2686" i="12"/>
  <c r="B2685" i="12"/>
  <c r="C2685" i="12"/>
  <c r="E2685" i="12"/>
  <c r="F2685" i="12"/>
  <c r="B2684" i="12"/>
  <c r="C2684" i="12"/>
  <c r="E2684" i="12"/>
  <c r="F2684" i="12"/>
  <c r="B2683" i="12"/>
  <c r="C2683" i="12"/>
  <c r="E2683" i="12"/>
  <c r="F2683" i="12"/>
  <c r="B2682" i="12"/>
  <c r="C2682" i="12"/>
  <c r="E2682" i="12"/>
  <c r="F2682" i="12"/>
  <c r="B2681" i="12"/>
  <c r="C2681" i="12"/>
  <c r="E2681" i="12"/>
  <c r="F2681" i="12"/>
  <c r="B2680" i="12"/>
  <c r="C2680" i="12"/>
  <c r="E2680" i="12"/>
  <c r="F2680" i="12"/>
  <c r="B2679" i="12"/>
  <c r="C2679" i="12"/>
  <c r="E2679" i="12"/>
  <c r="F2679" i="12"/>
  <c r="B2678" i="12"/>
  <c r="C2678" i="12"/>
  <c r="E2678" i="12"/>
  <c r="F2678" i="12"/>
  <c r="B2677" i="12"/>
  <c r="C2677" i="12"/>
  <c r="E2677" i="12"/>
  <c r="F2677" i="12"/>
  <c r="B2676" i="12"/>
  <c r="C2676" i="12"/>
  <c r="E2676" i="12"/>
  <c r="F2676" i="12"/>
  <c r="B2675" i="12"/>
  <c r="C2675" i="12"/>
  <c r="E2675" i="12"/>
  <c r="F2675" i="12"/>
  <c r="B2674" i="12"/>
  <c r="C2674" i="12"/>
  <c r="E2674" i="12"/>
  <c r="F2674" i="12"/>
  <c r="B2673" i="12"/>
  <c r="C2673" i="12"/>
  <c r="E2673" i="12"/>
  <c r="F2673" i="12"/>
  <c r="B2672" i="12"/>
  <c r="C2672" i="12"/>
  <c r="E2672" i="12"/>
  <c r="F2672" i="12"/>
  <c r="B2671" i="12"/>
  <c r="C2671" i="12"/>
  <c r="E2671" i="12"/>
  <c r="F2671" i="12"/>
  <c r="B2670" i="12"/>
  <c r="C2670" i="12"/>
  <c r="E2670" i="12"/>
  <c r="F2670" i="12"/>
  <c r="B2669" i="12"/>
  <c r="C2669" i="12"/>
  <c r="E2669" i="12"/>
  <c r="F2669" i="12"/>
  <c r="B2668" i="12"/>
  <c r="C2668" i="12"/>
  <c r="E2668" i="12"/>
  <c r="F2668" i="12"/>
  <c r="B2667" i="12"/>
  <c r="C2667" i="12"/>
  <c r="E2667" i="12"/>
  <c r="F2667" i="12"/>
  <c r="B2666" i="12"/>
  <c r="C2666" i="12"/>
  <c r="E2666" i="12"/>
  <c r="F2666" i="12"/>
  <c r="B2665" i="12"/>
  <c r="C2665" i="12"/>
  <c r="E2665" i="12"/>
  <c r="F2665" i="12"/>
  <c r="B2664" i="12"/>
  <c r="C2664" i="12"/>
  <c r="E2664" i="12"/>
  <c r="F2664" i="12"/>
  <c r="B2663" i="12"/>
  <c r="C2663" i="12"/>
  <c r="E2663" i="12"/>
  <c r="F2663" i="12"/>
  <c r="B2662" i="12"/>
  <c r="C2662" i="12"/>
  <c r="E2662" i="12"/>
  <c r="F2662" i="12"/>
  <c r="B2661" i="12"/>
  <c r="C2661" i="12"/>
  <c r="E2661" i="12"/>
  <c r="F2661" i="12"/>
  <c r="B2660" i="12"/>
  <c r="C2660" i="12"/>
  <c r="E2660" i="12"/>
  <c r="F2660" i="12"/>
  <c r="B2659" i="12"/>
  <c r="C2659" i="12"/>
  <c r="E2659" i="12"/>
  <c r="F2659" i="12"/>
  <c r="B2658" i="12"/>
  <c r="C2658" i="12"/>
  <c r="E2658" i="12"/>
  <c r="F2658" i="12"/>
  <c r="B2657" i="12"/>
  <c r="C2657" i="12"/>
  <c r="E2657" i="12"/>
  <c r="F2657" i="12"/>
  <c r="B2656" i="12"/>
  <c r="C2656" i="12"/>
  <c r="E2656" i="12"/>
  <c r="F2656" i="12"/>
  <c r="B2655" i="12"/>
  <c r="C2655" i="12"/>
  <c r="E2655" i="12"/>
  <c r="F2655" i="12"/>
  <c r="B2654" i="12"/>
  <c r="C2654" i="12"/>
  <c r="E2654" i="12"/>
  <c r="F2654" i="12"/>
  <c r="B2653" i="12"/>
  <c r="C2653" i="12"/>
  <c r="E2653" i="12"/>
  <c r="F2653" i="12"/>
  <c r="B2652" i="12"/>
  <c r="C2652" i="12"/>
  <c r="E2652" i="12"/>
  <c r="F2652" i="12"/>
  <c r="B2651" i="12"/>
  <c r="C2651" i="12"/>
  <c r="E2651" i="12"/>
  <c r="F2651" i="12"/>
  <c r="B2650" i="12"/>
  <c r="C2650" i="12"/>
  <c r="E2650" i="12"/>
  <c r="F2650" i="12"/>
  <c r="B2649" i="12"/>
  <c r="C2649" i="12"/>
  <c r="E2649" i="12"/>
  <c r="F2649" i="12"/>
  <c r="B2648" i="12"/>
  <c r="C2648" i="12"/>
  <c r="E2648" i="12"/>
  <c r="F2648" i="12"/>
  <c r="B2647" i="12"/>
  <c r="C2647" i="12"/>
  <c r="E2647" i="12"/>
  <c r="F2647" i="12"/>
  <c r="B2646" i="12"/>
  <c r="C2646" i="12"/>
  <c r="E2646" i="12"/>
  <c r="F2646" i="12"/>
  <c r="B2645" i="12"/>
  <c r="C2645" i="12"/>
  <c r="E2645" i="12"/>
  <c r="F2645" i="12"/>
  <c r="B2644" i="12"/>
  <c r="C2644" i="12"/>
  <c r="E2644" i="12"/>
  <c r="F2644" i="12"/>
  <c r="B2643" i="12"/>
  <c r="C2643" i="12"/>
  <c r="E2643" i="12"/>
  <c r="F2643" i="12"/>
  <c r="B2642" i="12"/>
  <c r="C2642" i="12"/>
  <c r="E2642" i="12"/>
  <c r="F2642" i="12"/>
  <c r="B2641" i="12"/>
  <c r="C2641" i="12"/>
  <c r="E2641" i="12"/>
  <c r="F2641" i="12"/>
  <c r="B2640" i="12"/>
  <c r="C2640" i="12"/>
  <c r="E2640" i="12"/>
  <c r="F2640" i="12"/>
  <c r="B2639" i="12"/>
  <c r="C2639" i="12"/>
  <c r="E2639" i="12"/>
  <c r="F2639" i="12"/>
  <c r="B2638" i="12"/>
  <c r="C2638" i="12"/>
  <c r="E2638" i="12"/>
  <c r="F2638" i="12"/>
  <c r="B2637" i="12"/>
  <c r="C2637" i="12"/>
  <c r="E2637" i="12"/>
  <c r="F2637" i="12"/>
  <c r="B2636" i="12"/>
  <c r="C2636" i="12"/>
  <c r="E2636" i="12"/>
  <c r="F2636" i="12"/>
  <c r="B2635" i="12"/>
  <c r="C2635" i="12"/>
  <c r="E2635" i="12"/>
  <c r="F2635" i="12"/>
  <c r="B2634" i="12"/>
  <c r="C2634" i="12"/>
  <c r="E2634" i="12"/>
  <c r="F2634" i="12"/>
  <c r="B2633" i="12"/>
  <c r="C2633" i="12"/>
  <c r="E2633" i="12"/>
  <c r="F2633" i="12"/>
  <c r="B2632" i="12"/>
  <c r="C2632" i="12"/>
  <c r="E2632" i="12"/>
  <c r="F2632" i="12"/>
  <c r="B2631" i="12"/>
  <c r="C2631" i="12"/>
  <c r="E2631" i="12"/>
  <c r="F2631" i="12"/>
  <c r="B2630" i="12"/>
  <c r="C2630" i="12"/>
  <c r="E2630" i="12"/>
  <c r="F2630" i="12"/>
  <c r="B2629" i="12"/>
  <c r="C2629" i="12"/>
  <c r="E2629" i="12"/>
  <c r="F2629" i="12"/>
  <c r="B2628" i="12"/>
  <c r="C2628" i="12"/>
  <c r="E2628" i="12"/>
  <c r="F2628" i="12"/>
  <c r="B2627" i="12"/>
  <c r="C2627" i="12"/>
  <c r="E2627" i="12"/>
  <c r="F2627" i="12"/>
  <c r="B2626" i="12"/>
  <c r="C2626" i="12"/>
  <c r="E2626" i="12"/>
  <c r="F2626" i="12"/>
  <c r="B2625" i="12"/>
  <c r="C2625" i="12"/>
  <c r="E2625" i="12"/>
  <c r="F2625" i="12"/>
  <c r="B2624" i="12"/>
  <c r="C2624" i="12"/>
  <c r="E2624" i="12"/>
  <c r="F2624" i="12"/>
  <c r="B2623" i="12"/>
  <c r="C2623" i="12"/>
  <c r="E2623" i="12"/>
  <c r="F2623" i="12"/>
  <c r="B2622" i="12"/>
  <c r="C2622" i="12"/>
  <c r="E2622" i="12"/>
  <c r="F2622" i="12"/>
  <c r="B2621" i="12"/>
  <c r="C2621" i="12"/>
  <c r="E2621" i="12"/>
  <c r="F2621" i="12"/>
  <c r="B2620" i="12"/>
  <c r="C2620" i="12"/>
  <c r="E2620" i="12"/>
  <c r="F2620" i="12"/>
  <c r="B2619" i="12"/>
  <c r="C2619" i="12"/>
  <c r="E2619" i="12"/>
  <c r="F2619" i="12"/>
  <c r="B2618" i="12"/>
  <c r="C2618" i="12"/>
  <c r="E2618" i="12"/>
  <c r="F2618" i="12"/>
  <c r="B2617" i="12"/>
  <c r="C2617" i="12"/>
  <c r="E2617" i="12"/>
  <c r="F2617" i="12"/>
  <c r="B2616" i="12"/>
  <c r="C2616" i="12"/>
  <c r="E2616" i="12"/>
  <c r="F2616" i="12"/>
  <c r="B2615" i="12"/>
  <c r="C2615" i="12"/>
  <c r="E2615" i="12"/>
  <c r="F2615" i="12"/>
  <c r="B2614" i="12"/>
  <c r="C2614" i="12"/>
  <c r="E2614" i="12"/>
  <c r="F2614" i="12"/>
  <c r="B2613" i="12"/>
  <c r="C2613" i="12"/>
  <c r="E2613" i="12"/>
  <c r="F2613" i="12"/>
  <c r="B2612" i="12"/>
  <c r="C2612" i="12"/>
  <c r="E2612" i="12"/>
  <c r="F2612" i="12"/>
  <c r="B2611" i="12" l="1"/>
  <c r="C2611" i="12"/>
  <c r="E2611" i="12"/>
  <c r="F2611" i="12"/>
  <c r="B2610" i="12"/>
  <c r="C2610" i="12"/>
  <c r="E2610" i="12"/>
  <c r="F2610" i="12"/>
  <c r="B2609" i="12"/>
  <c r="C2609" i="12"/>
  <c r="E2609" i="12"/>
  <c r="F2609" i="12"/>
  <c r="B2608" i="12"/>
  <c r="C2608" i="12"/>
  <c r="E2608" i="12"/>
  <c r="F2608" i="12"/>
  <c r="B2607" i="12"/>
  <c r="C2607" i="12"/>
  <c r="E2607" i="12"/>
  <c r="F2607" i="12"/>
  <c r="B2606" i="12"/>
  <c r="C2606" i="12"/>
  <c r="E2606" i="12"/>
  <c r="F2606" i="12"/>
  <c r="B2605" i="12" l="1"/>
  <c r="C2605" i="12"/>
  <c r="E2605" i="12"/>
  <c r="F2605" i="12"/>
  <c r="B2604" i="12"/>
  <c r="C2604" i="12"/>
  <c r="E2604" i="12"/>
  <c r="F2604" i="12"/>
  <c r="B2603" i="12"/>
  <c r="C2603" i="12"/>
  <c r="E2603" i="12"/>
  <c r="F2603" i="12"/>
  <c r="B2602" i="12"/>
  <c r="C2602" i="12"/>
  <c r="E2602" i="12"/>
  <c r="F2602" i="12"/>
  <c r="B2601" i="12"/>
  <c r="C2601" i="12"/>
  <c r="E2601" i="12"/>
  <c r="F2601" i="12"/>
  <c r="B2600" i="12" l="1"/>
  <c r="C2600" i="12"/>
  <c r="E2600" i="12"/>
  <c r="F2600" i="12"/>
  <c r="B2599" i="12"/>
  <c r="C2599" i="12"/>
  <c r="E2599" i="12"/>
  <c r="F2599" i="12"/>
  <c r="B2598" i="12"/>
  <c r="C2598" i="12"/>
  <c r="E2598" i="12"/>
  <c r="F2598" i="12"/>
  <c r="B2597" i="12"/>
  <c r="C2597" i="12"/>
  <c r="E2597" i="12"/>
  <c r="F2597" i="12"/>
  <c r="B2596" i="12"/>
  <c r="C2596" i="12"/>
  <c r="E2596" i="12"/>
  <c r="F2596" i="12"/>
  <c r="B2595" i="12" l="1"/>
  <c r="C2595" i="12"/>
  <c r="E2595" i="12"/>
  <c r="F2595" i="12"/>
  <c r="B2594" i="12"/>
  <c r="C2594" i="12"/>
  <c r="E2594" i="12"/>
  <c r="F2594" i="12"/>
  <c r="B2593" i="12"/>
  <c r="C2593" i="12"/>
  <c r="E2593" i="12"/>
  <c r="F2593" i="12"/>
  <c r="B2592" i="12" l="1"/>
  <c r="C2592" i="12"/>
  <c r="E2592" i="12"/>
  <c r="F2592" i="12"/>
  <c r="B2591" i="12"/>
  <c r="C2591" i="12"/>
  <c r="E2591" i="12"/>
  <c r="F2591" i="12"/>
  <c r="B2590" i="12"/>
  <c r="C2590" i="12"/>
  <c r="E2590" i="12"/>
  <c r="F2590" i="12"/>
  <c r="B2589" i="12"/>
  <c r="C2589" i="12"/>
  <c r="E2589" i="12"/>
  <c r="F2589" i="12"/>
  <c r="B2588" i="12" l="1"/>
  <c r="C2588" i="12"/>
  <c r="E2588" i="12"/>
  <c r="F2588" i="12"/>
  <c r="B2587" i="12"/>
  <c r="C2587" i="12"/>
  <c r="E2587" i="12"/>
  <c r="F2587" i="12"/>
  <c r="B2586" i="12"/>
  <c r="C2586" i="12"/>
  <c r="E2586" i="12"/>
  <c r="F2586" i="12"/>
  <c r="B2585" i="12"/>
  <c r="C2585" i="12"/>
  <c r="E2585" i="12"/>
  <c r="F2585" i="12"/>
  <c r="B2584" i="12"/>
  <c r="C2584" i="12"/>
  <c r="E2584" i="12"/>
  <c r="F2584" i="12"/>
  <c r="B2583" i="12"/>
  <c r="C2583" i="12"/>
  <c r="E2583" i="12"/>
  <c r="F2583" i="12"/>
  <c r="B2582" i="12" l="1"/>
  <c r="C2582" i="12"/>
  <c r="E2582" i="12"/>
  <c r="F2582" i="12"/>
  <c r="B2581" i="12"/>
  <c r="C2581" i="12"/>
  <c r="E2581" i="12"/>
  <c r="F2581" i="12"/>
  <c r="B2580" i="12"/>
  <c r="C2580" i="12"/>
  <c r="E2580" i="12"/>
  <c r="F2580" i="12"/>
  <c r="B2579" i="12"/>
  <c r="C2579" i="12"/>
  <c r="E2579" i="12"/>
  <c r="F2579" i="12"/>
  <c r="B2578" i="12" l="1"/>
  <c r="C2578" i="12"/>
  <c r="E2578" i="12"/>
  <c r="F2578" i="12"/>
  <c r="B2577" i="12"/>
  <c r="C2577" i="12"/>
  <c r="E2577" i="12"/>
  <c r="F2577" i="12"/>
  <c r="B2576" i="12"/>
  <c r="C2576" i="12"/>
  <c r="E2576" i="12"/>
  <c r="F2576" i="12"/>
  <c r="B2575" i="12"/>
  <c r="C2575" i="12"/>
  <c r="E2575" i="12"/>
  <c r="F2575" i="12"/>
  <c r="B2574" i="12"/>
  <c r="C2574" i="12"/>
  <c r="E2574" i="12"/>
  <c r="F2574" i="12"/>
  <c r="B2573" i="12"/>
  <c r="C2573" i="12"/>
  <c r="E2573" i="12"/>
  <c r="F2573" i="12"/>
  <c r="B2572" i="12"/>
  <c r="C2572" i="12"/>
  <c r="E2572" i="12"/>
  <c r="F2572" i="12"/>
  <c r="B2571" i="12"/>
  <c r="C2571" i="12"/>
  <c r="E2571" i="12"/>
  <c r="F2571" i="12"/>
  <c r="B2570" i="12"/>
  <c r="C2570" i="12"/>
  <c r="E2570" i="12"/>
  <c r="F2570" i="12"/>
  <c r="B2569" i="12"/>
  <c r="C2569" i="12"/>
  <c r="E2569" i="12"/>
  <c r="F2569" i="12"/>
  <c r="B2568" i="12"/>
  <c r="C2568" i="12"/>
  <c r="E2568" i="12"/>
  <c r="F2568" i="12"/>
  <c r="B2567" i="12"/>
  <c r="C2567" i="12"/>
  <c r="E2567" i="12"/>
  <c r="F2567" i="12"/>
  <c r="B2566" i="12"/>
  <c r="C2566" i="12"/>
  <c r="E2566" i="12"/>
  <c r="F2566" i="12"/>
  <c r="B2565" i="12"/>
  <c r="C2565" i="12"/>
  <c r="E2565" i="12"/>
  <c r="F2565" i="12"/>
  <c r="B2564" i="12"/>
  <c r="C2564" i="12"/>
  <c r="E2564" i="12"/>
  <c r="F2564" i="12"/>
  <c r="B2563" i="12"/>
  <c r="C2563" i="12"/>
  <c r="E2563" i="12"/>
  <c r="F2563" i="12"/>
  <c r="B2562" i="12"/>
  <c r="C2562" i="12"/>
  <c r="E2562" i="12"/>
  <c r="F2562" i="12"/>
  <c r="B2561" i="12"/>
  <c r="C2561" i="12"/>
  <c r="E2561" i="12"/>
  <c r="F2561" i="12"/>
  <c r="M122" i="8"/>
  <c r="M123" i="8"/>
  <c r="M96" i="8"/>
  <c r="N122" i="8"/>
  <c r="N123" i="8"/>
  <c r="N96" i="8"/>
  <c r="O122" i="8"/>
  <c r="O123" i="8"/>
  <c r="O96" i="8"/>
  <c r="P122" i="8"/>
  <c r="Q122" i="8" s="1"/>
  <c r="P123" i="8"/>
  <c r="Q123" i="8" s="1"/>
  <c r="P96" i="8"/>
  <c r="Q96" i="8" s="1"/>
  <c r="M121" i="8"/>
  <c r="N121" i="8"/>
  <c r="O121" i="8"/>
  <c r="P121" i="8"/>
  <c r="Q121" i="8" s="1"/>
  <c r="M118" i="8"/>
  <c r="M119" i="8"/>
  <c r="M120" i="8"/>
  <c r="N118" i="8"/>
  <c r="N119" i="8"/>
  <c r="N120" i="8"/>
  <c r="O118" i="8"/>
  <c r="O119" i="8"/>
  <c r="O120" i="8"/>
  <c r="P118" i="8"/>
  <c r="Q118" i="8" s="1"/>
  <c r="P119" i="8"/>
  <c r="Q119" i="8" s="1"/>
  <c r="P120" i="8"/>
  <c r="Q120" i="8"/>
  <c r="M116" i="8"/>
  <c r="M117" i="8"/>
  <c r="N116" i="8"/>
  <c r="N117" i="8"/>
  <c r="O116" i="8"/>
  <c r="O117" i="8"/>
  <c r="P116" i="8"/>
  <c r="P117" i="8"/>
  <c r="Q117" i="8" s="1"/>
  <c r="Q116" i="8"/>
  <c r="M110" i="8"/>
  <c r="M111" i="8"/>
  <c r="M112" i="8"/>
  <c r="M113" i="8"/>
  <c r="M114" i="8"/>
  <c r="M115" i="8"/>
  <c r="N110" i="8"/>
  <c r="N111" i="8"/>
  <c r="N112" i="8"/>
  <c r="N113" i="8"/>
  <c r="N114" i="8"/>
  <c r="N115" i="8"/>
  <c r="O110" i="8"/>
  <c r="O111" i="8"/>
  <c r="O112" i="8"/>
  <c r="O113" i="8"/>
  <c r="O114" i="8"/>
  <c r="O115" i="8"/>
  <c r="P110" i="8"/>
  <c r="Q110" i="8" s="1"/>
  <c r="P111" i="8"/>
  <c r="Q111" i="8" s="1"/>
  <c r="P112" i="8"/>
  <c r="Q112" i="8" s="1"/>
  <c r="P113" i="8"/>
  <c r="Q113" i="8" s="1"/>
  <c r="P114" i="8"/>
  <c r="Q114" i="8" s="1"/>
  <c r="P115" i="8"/>
  <c r="Q115" i="8" s="1"/>
  <c r="M108" i="8"/>
  <c r="M109" i="8"/>
  <c r="N108" i="8"/>
  <c r="N109" i="8"/>
  <c r="O108" i="8"/>
  <c r="O109" i="8"/>
  <c r="P108" i="8"/>
  <c r="P109" i="8"/>
  <c r="Q108" i="8"/>
  <c r="Q109" i="8"/>
  <c r="M107" i="8"/>
  <c r="N107" i="8"/>
  <c r="O107" i="8"/>
  <c r="P107" i="8"/>
  <c r="Q107" i="8" s="1"/>
  <c r="M106" i="8"/>
  <c r="N106" i="8"/>
  <c r="O106" i="8"/>
  <c r="P106" i="8"/>
  <c r="Q106" i="8" s="1"/>
  <c r="M103" i="8"/>
  <c r="M104" i="8"/>
  <c r="M105" i="8"/>
  <c r="N103" i="8"/>
  <c r="N104" i="8"/>
  <c r="N105" i="8"/>
  <c r="O103" i="8"/>
  <c r="O104" i="8"/>
  <c r="O105" i="8"/>
  <c r="P103" i="8"/>
  <c r="Q103" i="8" s="1"/>
  <c r="P104" i="8"/>
  <c r="Q104" i="8" s="1"/>
  <c r="P105" i="8"/>
  <c r="Q105" i="8" s="1"/>
  <c r="M100" i="8"/>
  <c r="M101" i="8"/>
  <c r="M102" i="8"/>
  <c r="N100" i="8"/>
  <c r="N101" i="8"/>
  <c r="N102" i="8"/>
  <c r="O100" i="8"/>
  <c r="O101" i="8"/>
  <c r="O102" i="8"/>
  <c r="P100" i="8"/>
  <c r="Q100" i="8" s="1"/>
  <c r="P101" i="8"/>
  <c r="Q101" i="8" s="1"/>
  <c r="P102" i="8"/>
  <c r="Q102" i="8"/>
  <c r="M98" i="8"/>
  <c r="M99" i="8"/>
  <c r="N98" i="8"/>
  <c r="N99" i="8"/>
  <c r="O98" i="8"/>
  <c r="O99" i="8"/>
  <c r="P98" i="8"/>
  <c r="Q98" i="8" s="1"/>
  <c r="P99" i="8"/>
  <c r="Q99" i="8" s="1"/>
  <c r="M97" i="8"/>
  <c r="N97" i="8"/>
  <c r="O97" i="8"/>
  <c r="P97" i="8"/>
  <c r="Q97" i="8" s="1"/>
  <c r="M150" i="8"/>
  <c r="M151" i="8"/>
  <c r="N150" i="8"/>
  <c r="N151" i="8"/>
  <c r="O150" i="8"/>
  <c r="O151" i="8"/>
  <c r="P150" i="8"/>
  <c r="P151" i="8"/>
  <c r="Q151" i="8" s="1"/>
  <c r="Q150" i="8"/>
  <c r="M145" i="8"/>
  <c r="M146" i="8"/>
  <c r="M147" i="8"/>
  <c r="M148" i="8"/>
  <c r="M149" i="8"/>
  <c r="N145" i="8"/>
  <c r="N146" i="8"/>
  <c r="N147" i="8"/>
  <c r="N148" i="8"/>
  <c r="N149" i="8"/>
  <c r="O145" i="8"/>
  <c r="O146" i="8"/>
  <c r="O147" i="8"/>
  <c r="O148" i="8"/>
  <c r="O149" i="8"/>
  <c r="P145" i="8"/>
  <c r="Q145" i="8" s="1"/>
  <c r="P146" i="8"/>
  <c r="Q146" i="8" s="1"/>
  <c r="P147" i="8"/>
  <c r="Q147" i="8" s="1"/>
  <c r="P148" i="8"/>
  <c r="Q148" i="8" s="1"/>
  <c r="P149" i="8"/>
  <c r="Q149" i="8" s="1"/>
  <c r="M136" i="8"/>
  <c r="M137" i="8"/>
  <c r="M138" i="8"/>
  <c r="M139" i="8"/>
  <c r="M140" i="8"/>
  <c r="M141" i="8"/>
  <c r="M142" i="8"/>
  <c r="M143" i="8"/>
  <c r="M144" i="8"/>
  <c r="N136" i="8"/>
  <c r="N137" i="8"/>
  <c r="N138" i="8"/>
  <c r="N139" i="8"/>
  <c r="N140" i="8"/>
  <c r="N141" i="8"/>
  <c r="N142" i="8"/>
  <c r="N143" i="8"/>
  <c r="N144" i="8"/>
  <c r="O136" i="8"/>
  <c r="O137" i="8"/>
  <c r="O138" i="8"/>
  <c r="O139" i="8"/>
  <c r="O140" i="8"/>
  <c r="O141" i="8"/>
  <c r="O142" i="8"/>
  <c r="O143" i="8"/>
  <c r="O144" i="8"/>
  <c r="P136" i="8"/>
  <c r="Q136" i="8" s="1"/>
  <c r="P137" i="8"/>
  <c r="P138" i="8"/>
  <c r="Q138" i="8" s="1"/>
  <c r="P139" i="8"/>
  <c r="Q139" i="8" s="1"/>
  <c r="P140" i="8"/>
  <c r="Q140" i="8" s="1"/>
  <c r="P141" i="8"/>
  <c r="P142" i="8"/>
  <c r="Q142" i="8" s="1"/>
  <c r="P143" i="8"/>
  <c r="Q143" i="8" s="1"/>
  <c r="P144" i="8"/>
  <c r="Q144" i="8" s="1"/>
  <c r="Q137" i="8"/>
  <c r="Q141" i="8"/>
  <c r="M135" i="8"/>
  <c r="N135" i="8"/>
  <c r="O135" i="8"/>
  <c r="P135" i="8"/>
  <c r="Q135" i="8" s="1"/>
  <c r="M134" i="8"/>
  <c r="N134" i="8"/>
  <c r="O134" i="8"/>
  <c r="P134" i="8"/>
  <c r="Q134" i="8" s="1"/>
  <c r="M131" i="8"/>
  <c r="M132" i="8"/>
  <c r="M133" i="8"/>
  <c r="N131" i="8"/>
  <c r="N132" i="8"/>
  <c r="N133" i="8"/>
  <c r="O131" i="8"/>
  <c r="O132" i="8"/>
  <c r="O133" i="8"/>
  <c r="P131" i="8"/>
  <c r="Q131" i="8" s="1"/>
  <c r="P132" i="8"/>
  <c r="Q132" i="8" s="1"/>
  <c r="P133" i="8"/>
  <c r="Q133" i="8" s="1"/>
  <c r="M130" i="8"/>
  <c r="N130" i="8"/>
  <c r="O130" i="8"/>
  <c r="P130" i="8"/>
  <c r="Q130" i="8" s="1"/>
  <c r="M125" i="8"/>
  <c r="M126" i="8"/>
  <c r="M127" i="8"/>
  <c r="M128" i="8"/>
  <c r="M129" i="8"/>
  <c r="N125" i="8"/>
  <c r="N126" i="8"/>
  <c r="N127" i="8"/>
  <c r="N128" i="8"/>
  <c r="N129" i="8"/>
  <c r="O125" i="8"/>
  <c r="O126" i="8"/>
  <c r="O127" i="8"/>
  <c r="O128" i="8"/>
  <c r="O129" i="8"/>
  <c r="P125" i="8"/>
  <c r="Q125" i="8" s="1"/>
  <c r="P126" i="8"/>
  <c r="P127" i="8"/>
  <c r="Q127" i="8" s="1"/>
  <c r="P128" i="8"/>
  <c r="Q128" i="8" s="1"/>
  <c r="P129" i="8"/>
  <c r="Q129" i="8" s="1"/>
  <c r="Q126" i="8"/>
  <c r="M124" i="8"/>
  <c r="N124" i="8"/>
  <c r="O124" i="8"/>
  <c r="P124" i="8"/>
  <c r="Q124" i="8" s="1"/>
  <c r="M179" i="8"/>
  <c r="M180" i="8"/>
  <c r="M181" i="8"/>
  <c r="M182" i="8"/>
  <c r="M183" i="8"/>
  <c r="N179" i="8"/>
  <c r="N180" i="8"/>
  <c r="N181" i="8"/>
  <c r="N182" i="8"/>
  <c r="N183" i="8"/>
  <c r="O179" i="8"/>
  <c r="O180" i="8"/>
  <c r="O181" i="8"/>
  <c r="O182" i="8"/>
  <c r="O183" i="8"/>
  <c r="P179" i="8"/>
  <c r="Q179" i="8" s="1"/>
  <c r="P180" i="8"/>
  <c r="Q180" i="8" s="1"/>
  <c r="P181" i="8"/>
  <c r="Q181" i="8" s="1"/>
  <c r="P182" i="8"/>
  <c r="Q182" i="8" s="1"/>
  <c r="P183" i="8"/>
  <c r="Q183" i="8" s="1"/>
  <c r="M177" i="8"/>
  <c r="M178" i="8"/>
  <c r="N177" i="8"/>
  <c r="N178" i="8"/>
  <c r="O177" i="8"/>
  <c r="O178" i="8"/>
  <c r="P177" i="8"/>
  <c r="Q177" i="8" s="1"/>
  <c r="P178" i="8"/>
  <c r="Q178" i="8" s="1"/>
  <c r="M171" i="8"/>
  <c r="M172" i="8"/>
  <c r="M173" i="8"/>
  <c r="M174" i="8"/>
  <c r="M175" i="8"/>
  <c r="M176" i="8"/>
  <c r="N171" i="8"/>
  <c r="N172" i="8"/>
  <c r="N173" i="8"/>
  <c r="N174" i="8"/>
  <c r="N175" i="8"/>
  <c r="N176" i="8"/>
  <c r="O171" i="8"/>
  <c r="O172" i="8"/>
  <c r="O173" i="8"/>
  <c r="O174" i="8"/>
  <c r="O175" i="8"/>
  <c r="O176" i="8"/>
  <c r="P171" i="8"/>
  <c r="Q171" i="8" s="1"/>
  <c r="P172" i="8"/>
  <c r="Q172" i="8" s="1"/>
  <c r="P173" i="8"/>
  <c r="Q173" i="8" s="1"/>
  <c r="P174" i="8"/>
  <c r="Q174" i="8" s="1"/>
  <c r="P175" i="8"/>
  <c r="Q175" i="8" s="1"/>
  <c r="P176" i="8"/>
  <c r="Q176" i="8" s="1"/>
  <c r="M170" i="8"/>
  <c r="N170" i="8"/>
  <c r="O170" i="8"/>
  <c r="P170" i="8"/>
  <c r="Q170" i="8" s="1"/>
  <c r="M164" i="8"/>
  <c r="M165" i="8"/>
  <c r="M166" i="8"/>
  <c r="M167" i="8"/>
  <c r="M168" i="8"/>
  <c r="M169" i="8"/>
  <c r="N164" i="8"/>
  <c r="N165" i="8"/>
  <c r="N166" i="8"/>
  <c r="N167" i="8"/>
  <c r="N168" i="8"/>
  <c r="N169" i="8"/>
  <c r="O164" i="8"/>
  <c r="O165" i="8"/>
  <c r="O166" i="8"/>
  <c r="O167" i="8"/>
  <c r="O168" i="8"/>
  <c r="O169" i="8"/>
  <c r="P164" i="8"/>
  <c r="Q164" i="8" s="1"/>
  <c r="P165" i="8"/>
  <c r="Q165" i="8" s="1"/>
  <c r="P166" i="8"/>
  <c r="Q166" i="8" s="1"/>
  <c r="P167" i="8"/>
  <c r="Q167" i="8" s="1"/>
  <c r="P168" i="8"/>
  <c r="Q168" i="8" s="1"/>
  <c r="P169" i="8"/>
  <c r="Q169" i="8" s="1"/>
  <c r="M163" i="8"/>
  <c r="N163" i="8"/>
  <c r="O163" i="8"/>
  <c r="P163" i="8"/>
  <c r="Q163" i="8" s="1"/>
  <c r="M161" i="8"/>
  <c r="M162" i="8"/>
  <c r="N161" i="8"/>
  <c r="N162" i="8"/>
  <c r="O161" i="8"/>
  <c r="O162" i="8"/>
  <c r="P161" i="8"/>
  <c r="Q161" i="8" s="1"/>
  <c r="P162" i="8"/>
  <c r="Q162" i="8" s="1"/>
  <c r="M160" i="8"/>
  <c r="N160" i="8"/>
  <c r="O160" i="8"/>
  <c r="P160" i="8"/>
  <c r="Q160" i="8" s="1"/>
  <c r="M159" i="8"/>
  <c r="N159" i="8"/>
  <c r="O159" i="8"/>
  <c r="P159" i="8"/>
  <c r="Q159" i="8" s="1"/>
  <c r="M156" i="8"/>
  <c r="M157" i="8"/>
  <c r="M158" i="8"/>
  <c r="N156" i="8"/>
  <c r="N157" i="8"/>
  <c r="N158" i="8"/>
  <c r="O156" i="8"/>
  <c r="O157" i="8"/>
  <c r="O158" i="8"/>
  <c r="P156" i="8"/>
  <c r="Q156" i="8" s="1"/>
  <c r="P157" i="8"/>
  <c r="Q157" i="8" s="1"/>
  <c r="P158" i="8"/>
  <c r="Q158" i="8" s="1"/>
  <c r="M155" i="8"/>
  <c r="N155" i="8"/>
  <c r="O155" i="8"/>
  <c r="P155" i="8"/>
  <c r="Q155" i="8" s="1"/>
  <c r="M153" i="8"/>
  <c r="M154" i="8"/>
  <c r="N153" i="8"/>
  <c r="N154" i="8"/>
  <c r="O153" i="8"/>
  <c r="O154" i="8"/>
  <c r="P153" i="8"/>
  <c r="Q153" i="8" s="1"/>
  <c r="P154" i="8"/>
  <c r="Q154" i="8" s="1"/>
  <c r="M152" i="8"/>
  <c r="N152" i="8"/>
  <c r="O152" i="8"/>
  <c r="P152" i="8"/>
  <c r="Q152" i="8" s="1"/>
  <c r="B2560" i="12"/>
  <c r="C2560" i="12"/>
  <c r="E2560" i="12"/>
  <c r="F2560" i="12"/>
  <c r="B2559" i="12"/>
  <c r="C2559" i="12"/>
  <c r="E2559" i="12"/>
  <c r="F2559" i="12"/>
  <c r="R117" i="11"/>
  <c r="S117" i="11"/>
  <c r="T117" i="11"/>
  <c r="U117" i="11"/>
  <c r="R116" i="11"/>
  <c r="S116" i="11"/>
  <c r="T116" i="11"/>
  <c r="U116" i="11"/>
  <c r="R115" i="11"/>
  <c r="S115" i="11"/>
  <c r="T115" i="11"/>
  <c r="U115" i="11"/>
  <c r="R114" i="11"/>
  <c r="S114" i="11"/>
  <c r="T114" i="11"/>
  <c r="U114" i="11"/>
  <c r="R112" i="11"/>
  <c r="R113" i="11"/>
  <c r="S112" i="11"/>
  <c r="S113" i="11"/>
  <c r="T112" i="11"/>
  <c r="T113" i="11"/>
  <c r="U112" i="11"/>
  <c r="U113" i="11"/>
  <c r="R111" i="11"/>
  <c r="S111" i="11"/>
  <c r="T111" i="11"/>
  <c r="U111" i="11"/>
  <c r="R110" i="11"/>
  <c r="S110" i="11"/>
  <c r="T110" i="11"/>
  <c r="U110" i="11"/>
  <c r="B2558" i="12"/>
  <c r="C2558" i="12"/>
  <c r="E2558" i="12"/>
  <c r="F2558" i="12"/>
  <c r="B2557" i="12"/>
  <c r="C2557" i="12"/>
  <c r="E2557" i="12"/>
  <c r="F2557" i="12"/>
  <c r="B2556" i="12"/>
  <c r="C2556" i="12"/>
  <c r="E2556" i="12"/>
  <c r="F2556" i="12"/>
  <c r="B2555" i="12" l="1"/>
  <c r="C2555" i="12"/>
  <c r="E2555" i="12"/>
  <c r="F2555" i="12"/>
  <c r="B2554" i="12"/>
  <c r="C2554" i="12"/>
  <c r="E2554" i="12"/>
  <c r="F2554" i="12"/>
  <c r="B2553" i="12" l="1"/>
  <c r="C2553" i="12"/>
  <c r="E2553" i="12"/>
  <c r="F2553" i="12"/>
  <c r="B2552" i="12"/>
  <c r="C2552" i="12"/>
  <c r="E2552" i="12"/>
  <c r="F2552" i="12"/>
  <c r="B2551" i="12"/>
  <c r="C2551" i="12"/>
  <c r="E2551" i="12"/>
  <c r="F2551" i="12"/>
  <c r="B2550" i="12"/>
  <c r="C2550" i="12"/>
  <c r="E2550" i="12"/>
  <c r="F2550" i="12"/>
  <c r="B2549" i="12"/>
  <c r="C2549" i="12"/>
  <c r="E2549" i="12"/>
  <c r="F2549" i="12"/>
  <c r="B2548" i="12"/>
  <c r="C2548" i="12"/>
  <c r="E2548" i="12"/>
  <c r="F2548" i="12"/>
  <c r="B2547" i="12"/>
  <c r="C2547" i="12"/>
  <c r="E2547" i="12"/>
  <c r="F2547" i="12"/>
  <c r="B2546" i="12"/>
  <c r="C2546" i="12"/>
  <c r="E2546" i="12"/>
  <c r="F2546" i="12"/>
  <c r="B2545" i="12"/>
  <c r="C2545" i="12"/>
  <c r="E2545" i="12"/>
  <c r="F2545" i="12"/>
  <c r="B2544" i="12"/>
  <c r="C2544" i="12"/>
  <c r="E2544" i="12"/>
  <c r="F2544" i="12"/>
  <c r="B2543" i="12"/>
  <c r="C2543" i="12"/>
  <c r="E2543" i="12"/>
  <c r="F2543" i="12"/>
  <c r="B2542" i="12"/>
  <c r="C2542" i="12"/>
  <c r="E2542" i="12"/>
  <c r="F2542" i="12"/>
  <c r="B2541" i="12"/>
  <c r="C2541" i="12"/>
  <c r="E2541" i="12"/>
  <c r="F2541" i="12"/>
  <c r="B2540" i="12"/>
  <c r="C2540" i="12"/>
  <c r="E2540" i="12"/>
  <c r="F2540" i="12"/>
  <c r="B2539" i="12"/>
  <c r="C2539" i="12"/>
  <c r="E2539" i="12"/>
  <c r="F2539" i="12"/>
  <c r="B2538" i="12"/>
  <c r="C2538" i="12"/>
  <c r="E2538" i="12"/>
  <c r="F2538" i="12"/>
  <c r="B2537" i="12"/>
  <c r="C2537" i="12"/>
  <c r="E2537" i="12"/>
  <c r="F2537" i="12"/>
  <c r="B2536" i="12"/>
  <c r="C2536" i="12"/>
  <c r="E2536" i="12"/>
  <c r="F2536" i="12"/>
  <c r="B2535" i="12"/>
  <c r="C2535" i="12"/>
  <c r="E2535" i="12"/>
  <c r="F2535" i="12"/>
  <c r="B2534" i="12"/>
  <c r="C2534" i="12"/>
  <c r="E2534" i="12"/>
  <c r="F2534" i="12"/>
  <c r="B2533" i="12"/>
  <c r="C2533" i="12"/>
  <c r="E2533" i="12"/>
  <c r="F2533" i="12"/>
  <c r="B2532" i="12"/>
  <c r="C2532" i="12"/>
  <c r="E2532" i="12"/>
  <c r="F2532" i="12"/>
  <c r="B2531" i="12"/>
  <c r="C2531" i="12"/>
  <c r="E2531" i="12"/>
  <c r="F2531" i="12"/>
  <c r="B2530" i="12"/>
  <c r="C2530" i="12"/>
  <c r="E2530" i="12"/>
  <c r="F2530" i="12"/>
  <c r="B2529" i="12"/>
  <c r="C2529" i="12"/>
  <c r="E2529" i="12"/>
  <c r="F2529" i="12"/>
  <c r="B2528" i="12"/>
  <c r="C2528" i="12"/>
  <c r="E2528" i="12"/>
  <c r="F2528" i="12"/>
  <c r="B2527" i="12"/>
  <c r="C2527" i="12"/>
  <c r="E2527" i="12"/>
  <c r="F2527" i="12"/>
  <c r="B2526" i="12"/>
  <c r="C2526" i="12"/>
  <c r="E2526" i="12"/>
  <c r="F2526" i="12"/>
  <c r="B2525" i="12"/>
  <c r="C2525" i="12"/>
  <c r="E2525" i="12"/>
  <c r="F2525" i="12"/>
  <c r="B2524" i="12"/>
  <c r="C2524" i="12"/>
  <c r="E2524" i="12"/>
  <c r="F2524" i="12"/>
  <c r="B2523" i="12"/>
  <c r="C2523" i="12"/>
  <c r="E2523" i="12"/>
  <c r="F2523" i="12"/>
  <c r="B2522" i="12"/>
  <c r="C2522" i="12"/>
  <c r="E2522" i="12"/>
  <c r="F2522" i="12"/>
  <c r="B2521" i="12"/>
  <c r="C2521" i="12"/>
  <c r="E2521" i="12"/>
  <c r="F2521" i="12"/>
  <c r="B2520" i="12"/>
  <c r="C2520" i="12"/>
  <c r="E2520" i="12"/>
  <c r="F2520" i="12"/>
  <c r="B2519" i="12"/>
  <c r="C2519" i="12"/>
  <c r="E2519" i="12"/>
  <c r="F2519" i="12"/>
  <c r="B2518" i="12"/>
  <c r="C2518" i="12"/>
  <c r="E2518" i="12"/>
  <c r="F2518" i="12"/>
  <c r="B2517" i="12"/>
  <c r="C2517" i="12"/>
  <c r="E2517" i="12"/>
  <c r="F2517" i="12"/>
  <c r="B2516" i="12"/>
  <c r="C2516" i="12"/>
  <c r="E2516" i="12"/>
  <c r="F2516" i="12"/>
  <c r="B2515" i="12"/>
  <c r="C2515" i="12"/>
  <c r="E2515" i="12"/>
  <c r="F2515" i="12"/>
  <c r="B2514" i="12"/>
  <c r="C2514" i="12"/>
  <c r="E2514" i="12"/>
  <c r="F2514" i="12"/>
  <c r="B2513" i="12"/>
  <c r="C2513" i="12"/>
  <c r="E2513" i="12"/>
  <c r="F2513" i="12"/>
  <c r="B2512" i="12"/>
  <c r="C2512" i="12"/>
  <c r="E2512" i="12"/>
  <c r="F2512" i="12"/>
  <c r="B2511" i="12"/>
  <c r="C2511" i="12"/>
  <c r="E2511" i="12"/>
  <c r="F2511" i="12"/>
  <c r="B2510" i="12"/>
  <c r="C2510" i="12"/>
  <c r="E2510" i="12"/>
  <c r="F2510" i="12"/>
  <c r="B2509" i="12"/>
  <c r="C2509" i="12"/>
  <c r="E2509" i="12"/>
  <c r="F2509" i="12"/>
  <c r="B2508" i="12"/>
  <c r="C2508" i="12"/>
  <c r="E2508" i="12"/>
  <c r="F2508" i="12"/>
  <c r="B2507" i="12"/>
  <c r="C2507" i="12"/>
  <c r="E2507" i="12"/>
  <c r="F2507" i="12"/>
  <c r="B2506" i="12"/>
  <c r="C2506" i="12"/>
  <c r="E2506" i="12"/>
  <c r="F2506" i="12"/>
  <c r="B2505" i="12"/>
  <c r="C2505" i="12"/>
  <c r="E2505" i="12"/>
  <c r="F2505" i="12"/>
  <c r="B2504" i="12"/>
  <c r="C2504" i="12"/>
  <c r="E2504" i="12"/>
  <c r="F2504" i="12"/>
  <c r="B2503" i="12"/>
  <c r="C2503" i="12"/>
  <c r="E2503" i="12"/>
  <c r="F2503" i="12"/>
  <c r="B2502" i="12"/>
  <c r="C2502" i="12"/>
  <c r="E2502" i="12"/>
  <c r="F2502" i="12"/>
  <c r="B2501" i="12"/>
  <c r="C2501" i="12"/>
  <c r="E2501" i="12"/>
  <c r="F2501" i="12"/>
  <c r="B2500" i="12"/>
  <c r="C2500" i="12"/>
  <c r="E2500" i="12"/>
  <c r="F2500" i="12"/>
  <c r="B2499" i="12"/>
  <c r="C2499" i="12"/>
  <c r="E2499" i="12"/>
  <c r="F2499" i="12"/>
  <c r="B2498" i="12"/>
  <c r="C2498" i="12"/>
  <c r="E2498" i="12"/>
  <c r="F2498" i="12"/>
  <c r="B2497" i="12"/>
  <c r="C2497" i="12"/>
  <c r="E2497" i="12"/>
  <c r="F2497" i="12"/>
  <c r="B2496" i="12"/>
  <c r="C2496" i="12"/>
  <c r="E2496" i="12"/>
  <c r="F2496" i="12"/>
  <c r="B2495" i="12"/>
  <c r="C2495" i="12"/>
  <c r="E2495" i="12"/>
  <c r="F2495" i="12"/>
  <c r="B2494" i="12"/>
  <c r="C2494" i="12"/>
  <c r="E2494" i="12"/>
  <c r="F2494" i="12"/>
  <c r="B2493" i="12"/>
  <c r="C2493" i="12"/>
  <c r="E2493" i="12"/>
  <c r="F2493" i="12"/>
  <c r="B2492" i="12"/>
  <c r="C2492" i="12"/>
  <c r="E2492" i="12"/>
  <c r="F2492" i="12"/>
  <c r="B2491" i="12"/>
  <c r="C2491" i="12"/>
  <c r="E2491" i="12"/>
  <c r="F2491" i="12"/>
  <c r="B2490" i="12"/>
  <c r="C2490" i="12"/>
  <c r="E2490" i="12"/>
  <c r="F2490" i="12"/>
  <c r="B2489" i="12"/>
  <c r="C2489" i="12"/>
  <c r="E2489" i="12"/>
  <c r="F2489" i="12"/>
  <c r="B2488" i="12"/>
  <c r="C2488" i="12"/>
  <c r="E2488" i="12"/>
  <c r="F2488" i="12"/>
  <c r="B2487" i="12"/>
  <c r="C2487" i="12"/>
  <c r="E2487" i="12"/>
  <c r="F2487" i="12"/>
  <c r="B2486" i="12"/>
  <c r="C2486" i="12"/>
  <c r="E2486" i="12"/>
  <c r="F2486" i="12"/>
  <c r="B2485" i="12"/>
  <c r="C2485" i="12"/>
  <c r="E2485" i="12"/>
  <c r="F2485" i="12"/>
  <c r="B2484" i="12"/>
  <c r="C2484" i="12"/>
  <c r="E2484" i="12"/>
  <c r="F2484" i="12"/>
  <c r="B2483" i="12"/>
  <c r="C2483" i="12"/>
  <c r="E2483" i="12"/>
  <c r="F2483" i="12"/>
  <c r="B2482" i="12"/>
  <c r="C2482" i="12"/>
  <c r="E2482" i="12"/>
  <c r="F2482" i="12"/>
  <c r="B2481" i="12"/>
  <c r="C2481" i="12"/>
  <c r="E2481" i="12"/>
  <c r="F2481" i="12"/>
  <c r="B2480" i="12"/>
  <c r="C2480" i="12"/>
  <c r="E2480" i="12"/>
  <c r="F2480" i="12"/>
  <c r="B2479" i="12"/>
  <c r="C2479" i="12"/>
  <c r="E2479" i="12"/>
  <c r="F2479" i="12"/>
  <c r="B2478" i="12"/>
  <c r="C2478" i="12"/>
  <c r="E2478" i="12"/>
  <c r="F2478" i="12"/>
  <c r="B2477" i="12"/>
  <c r="C2477" i="12"/>
  <c r="E2477" i="12"/>
  <c r="F2477" i="12"/>
  <c r="B2476" i="12"/>
  <c r="C2476" i="12"/>
  <c r="E2476" i="12"/>
  <c r="F2476" i="12"/>
  <c r="B2475" i="12"/>
  <c r="C2475" i="12"/>
  <c r="E2475" i="12"/>
  <c r="F2475" i="12"/>
  <c r="B2474" i="12"/>
  <c r="C2474" i="12"/>
  <c r="E2474" i="12"/>
  <c r="F2474" i="12"/>
  <c r="B2473" i="12"/>
  <c r="C2473" i="12"/>
  <c r="E2473" i="12"/>
  <c r="F2473" i="12"/>
  <c r="B2472" i="12"/>
  <c r="C2472" i="12"/>
  <c r="E2472" i="12"/>
  <c r="F2472" i="12"/>
  <c r="B2471" i="12"/>
  <c r="C2471" i="12"/>
  <c r="E2471" i="12"/>
  <c r="F2471" i="12"/>
  <c r="B2470" i="12"/>
  <c r="C2470" i="12"/>
  <c r="E2470" i="12"/>
  <c r="F2470" i="12"/>
  <c r="B2469" i="12"/>
  <c r="C2469" i="12"/>
  <c r="E2469" i="12"/>
  <c r="F2469" i="12"/>
  <c r="B2468" i="12"/>
  <c r="C2468" i="12"/>
  <c r="E2468" i="12"/>
  <c r="F2468" i="12"/>
  <c r="B2467" i="12"/>
  <c r="C2467" i="12"/>
  <c r="E2467" i="12"/>
  <c r="F2467" i="12"/>
  <c r="B2466" i="12"/>
  <c r="C2466" i="12"/>
  <c r="E2466" i="12"/>
  <c r="F2466" i="12"/>
  <c r="B2465" i="12"/>
  <c r="C2465" i="12"/>
  <c r="E2465" i="12"/>
  <c r="F2465" i="12"/>
  <c r="B2464" i="12"/>
  <c r="C2464" i="12"/>
  <c r="E2464" i="12"/>
  <c r="F2464" i="12"/>
  <c r="B2463" i="12"/>
  <c r="C2463" i="12"/>
  <c r="E2463" i="12"/>
  <c r="F2463" i="12"/>
  <c r="B2462" i="12"/>
  <c r="C2462" i="12"/>
  <c r="E2462" i="12"/>
  <c r="F2462" i="12"/>
  <c r="B2461" i="12"/>
  <c r="C2461" i="12"/>
  <c r="E2461" i="12"/>
  <c r="F2461" i="12"/>
  <c r="B2460" i="12"/>
  <c r="C2460" i="12"/>
  <c r="E2460" i="12"/>
  <c r="F2460" i="12"/>
  <c r="B2459" i="12"/>
  <c r="C2459" i="12"/>
  <c r="E2459" i="12"/>
  <c r="F2459" i="12"/>
  <c r="B2458" i="12"/>
  <c r="C2458" i="12"/>
  <c r="E2458" i="12"/>
  <c r="F2458" i="12"/>
  <c r="B2457" i="12"/>
  <c r="C2457" i="12"/>
  <c r="E2457" i="12"/>
  <c r="F2457" i="12"/>
  <c r="B2456" i="12"/>
  <c r="C2456" i="12"/>
  <c r="E2456" i="12"/>
  <c r="F2456" i="12"/>
  <c r="B2455" i="12"/>
  <c r="C2455" i="12"/>
  <c r="E2455" i="12"/>
  <c r="F2455" i="12"/>
  <c r="B2454" i="12"/>
  <c r="C2454" i="12"/>
  <c r="E2454" i="12"/>
  <c r="F2454" i="12"/>
  <c r="B2453" i="12"/>
  <c r="C2453" i="12"/>
  <c r="E2453" i="12"/>
  <c r="F2453" i="12"/>
  <c r="B2452" i="12"/>
  <c r="C2452" i="12"/>
  <c r="E2452" i="12"/>
  <c r="F2452" i="12"/>
  <c r="B2451" i="12"/>
  <c r="C2451" i="12"/>
  <c r="E2451" i="12"/>
  <c r="F2451" i="12"/>
  <c r="B2450" i="12"/>
  <c r="C2450" i="12"/>
  <c r="E2450" i="12"/>
  <c r="F2450" i="12"/>
  <c r="B2449" i="12"/>
  <c r="C2449" i="12"/>
  <c r="E2449" i="12"/>
  <c r="F2449" i="12"/>
  <c r="B2448" i="12"/>
  <c r="C2448" i="12"/>
  <c r="E2448" i="12"/>
  <c r="F2448" i="12"/>
  <c r="B2447" i="12"/>
  <c r="C2447" i="12"/>
  <c r="E2447" i="12"/>
  <c r="F2447" i="12"/>
  <c r="B2446" i="12"/>
  <c r="C2446" i="12"/>
  <c r="E2446" i="12"/>
  <c r="F2446" i="12"/>
  <c r="B2445" i="12"/>
  <c r="C2445" i="12"/>
  <c r="E2445" i="12"/>
  <c r="F2445" i="12"/>
  <c r="B2444" i="12"/>
  <c r="C2444" i="12"/>
  <c r="E2444" i="12"/>
  <c r="F2444" i="12"/>
  <c r="B2443" i="12"/>
  <c r="C2443" i="12"/>
  <c r="E2443" i="12"/>
  <c r="F2443" i="12"/>
  <c r="B2442" i="12"/>
  <c r="C2442" i="12"/>
  <c r="E2442" i="12"/>
  <c r="F2442" i="12"/>
  <c r="B2441" i="12"/>
  <c r="C2441" i="12"/>
  <c r="E2441" i="12"/>
  <c r="F2441" i="12"/>
  <c r="B2440" i="12"/>
  <c r="C2440" i="12"/>
  <c r="E2440" i="12"/>
  <c r="F2440" i="12"/>
  <c r="B2439" i="12"/>
  <c r="C2439" i="12"/>
  <c r="E2439" i="12"/>
  <c r="F2439" i="12"/>
  <c r="B2438" i="12"/>
  <c r="C2438" i="12"/>
  <c r="E2438" i="12"/>
  <c r="F2438" i="12"/>
  <c r="B2437" i="12"/>
  <c r="C2437" i="12"/>
  <c r="E2437" i="12"/>
  <c r="F2437" i="12"/>
  <c r="B2436" i="12"/>
  <c r="C2436" i="12"/>
  <c r="E2436" i="12"/>
  <c r="F2436" i="12"/>
  <c r="B2435" i="12"/>
  <c r="C2435" i="12"/>
  <c r="E2435" i="12"/>
  <c r="F2435" i="12"/>
  <c r="B2434" i="12"/>
  <c r="C2434" i="12"/>
  <c r="E2434" i="12"/>
  <c r="F2434" i="12"/>
  <c r="B2433" i="12"/>
  <c r="C2433" i="12"/>
  <c r="E2433" i="12"/>
  <c r="F2433" i="12"/>
  <c r="B2432" i="12"/>
  <c r="C2432" i="12"/>
  <c r="E2432" i="12"/>
  <c r="F2432" i="12"/>
  <c r="B2431" i="12"/>
  <c r="C2431" i="12"/>
  <c r="E2431" i="12"/>
  <c r="F2431" i="12"/>
  <c r="B2430" i="12"/>
  <c r="C2430" i="12"/>
  <c r="E2430" i="12"/>
  <c r="F2430" i="12"/>
  <c r="B2429" i="12"/>
  <c r="C2429" i="12"/>
  <c r="E2429" i="12"/>
  <c r="F2429" i="12"/>
  <c r="B2428" i="12"/>
  <c r="C2428" i="12"/>
  <c r="E2428" i="12"/>
  <c r="F2428" i="12"/>
  <c r="B2427" i="12"/>
  <c r="C2427" i="12"/>
  <c r="E2427" i="12"/>
  <c r="F2427" i="12"/>
  <c r="B2426" i="12"/>
  <c r="C2426" i="12"/>
  <c r="E2426" i="12"/>
  <c r="F2426" i="12"/>
  <c r="B2425" i="12"/>
  <c r="C2425" i="12"/>
  <c r="E2425" i="12"/>
  <c r="F2425" i="12"/>
  <c r="B2424" i="12"/>
  <c r="C2424" i="12"/>
  <c r="E2424" i="12"/>
  <c r="F2424" i="12"/>
  <c r="B2423" i="12"/>
  <c r="C2423" i="12"/>
  <c r="E2423" i="12"/>
  <c r="F2423" i="12"/>
  <c r="B2422" i="12"/>
  <c r="C2422" i="12"/>
  <c r="E2422" i="12"/>
  <c r="F2422" i="12"/>
  <c r="B2421" i="12"/>
  <c r="C2421" i="12"/>
  <c r="E2421" i="12"/>
  <c r="F2421" i="12"/>
  <c r="B2420" i="12"/>
  <c r="C2420" i="12"/>
  <c r="E2420" i="12"/>
  <c r="F2420" i="12"/>
  <c r="B2419" i="12"/>
  <c r="C2419" i="12"/>
  <c r="E2419" i="12"/>
  <c r="F2419" i="12"/>
  <c r="B2418" i="12"/>
  <c r="C2418" i="12"/>
  <c r="E2418" i="12"/>
  <c r="F2418" i="12"/>
  <c r="B2417" i="12"/>
  <c r="C2417" i="12"/>
  <c r="E2417" i="12"/>
  <c r="F2417" i="12"/>
  <c r="B2416" i="12"/>
  <c r="C2416" i="12"/>
  <c r="E2416" i="12"/>
  <c r="F2416" i="12"/>
  <c r="B2415" i="12"/>
  <c r="C2415" i="12"/>
  <c r="E2415" i="12"/>
  <c r="F2415" i="12"/>
  <c r="B2414" i="12"/>
  <c r="C2414" i="12"/>
  <c r="E2414" i="12"/>
  <c r="F2414" i="12"/>
  <c r="B2413" i="12"/>
  <c r="C2413" i="12"/>
  <c r="E2413" i="12"/>
  <c r="F2413" i="12"/>
  <c r="B2412" i="12"/>
  <c r="C2412" i="12"/>
  <c r="E2412" i="12"/>
  <c r="F2412" i="12"/>
  <c r="B2411" i="12"/>
  <c r="C2411" i="12"/>
  <c r="E2411" i="12"/>
  <c r="F2411" i="12"/>
  <c r="B2410" i="12"/>
  <c r="C2410" i="12"/>
  <c r="E2410" i="12"/>
  <c r="F2410" i="12"/>
  <c r="B2409" i="12"/>
  <c r="C2409" i="12"/>
  <c r="E2409" i="12"/>
  <c r="F2409" i="12"/>
  <c r="B2408" i="12"/>
  <c r="C2408" i="12"/>
  <c r="E2408" i="12"/>
  <c r="F2408" i="12"/>
  <c r="B2407" i="12"/>
  <c r="C2407" i="12"/>
  <c r="E2407" i="12"/>
  <c r="F2407" i="12"/>
  <c r="B2406" i="12"/>
  <c r="C2406" i="12"/>
  <c r="E2406" i="12"/>
  <c r="F2406" i="12"/>
  <c r="B2405" i="12"/>
  <c r="C2405" i="12"/>
  <c r="E2405" i="12"/>
  <c r="F2405" i="12"/>
  <c r="B2404" i="12"/>
  <c r="C2404" i="12"/>
  <c r="E2404" i="12"/>
  <c r="F2404" i="12"/>
  <c r="B2403" i="12"/>
  <c r="C2403" i="12"/>
  <c r="E2403" i="12"/>
  <c r="F2403" i="12"/>
  <c r="B2402" i="12"/>
  <c r="C2402" i="12"/>
  <c r="E2402" i="12"/>
  <c r="F2402" i="12"/>
  <c r="B2401" i="12"/>
  <c r="C2401" i="12"/>
  <c r="E2401" i="12"/>
  <c r="F2401" i="12"/>
  <c r="B2400" i="12" l="1"/>
  <c r="C2400" i="12"/>
  <c r="E2400" i="12"/>
  <c r="F2400" i="12"/>
  <c r="B2399" i="12"/>
  <c r="C2399" i="12"/>
  <c r="E2399" i="12"/>
  <c r="F2399" i="12"/>
  <c r="B2398" i="12"/>
  <c r="C2398" i="12"/>
  <c r="E2398" i="12"/>
  <c r="F2398" i="12"/>
  <c r="B2397" i="12"/>
  <c r="C2397" i="12"/>
  <c r="E2397" i="12"/>
  <c r="F2397" i="12"/>
  <c r="B2396" i="12" l="1"/>
  <c r="C2396" i="12"/>
  <c r="E2396" i="12"/>
  <c r="F2396" i="12"/>
  <c r="B2395" i="12"/>
  <c r="C2395" i="12"/>
  <c r="E2395" i="12"/>
  <c r="F2395" i="12"/>
  <c r="B2394" i="12"/>
  <c r="C2394" i="12"/>
  <c r="E2394" i="12"/>
  <c r="F2394" i="12"/>
  <c r="B2393" i="12" l="1"/>
  <c r="C2393" i="12"/>
  <c r="E2393" i="12"/>
  <c r="F2393" i="12"/>
  <c r="B2392" i="12"/>
  <c r="C2392" i="12"/>
  <c r="E2392" i="12"/>
  <c r="F2392" i="12"/>
  <c r="B2391" i="12"/>
  <c r="C2391" i="12"/>
  <c r="E2391" i="12"/>
  <c r="F2391" i="12"/>
  <c r="B2390" i="12" l="1"/>
  <c r="C2390" i="12"/>
  <c r="E2390" i="12"/>
  <c r="F2390" i="12"/>
  <c r="B2389" i="12"/>
  <c r="C2389" i="12"/>
  <c r="E2389" i="12"/>
  <c r="F2389" i="12"/>
  <c r="B2388" i="12"/>
  <c r="C2388" i="12"/>
  <c r="E2388" i="12"/>
  <c r="F2388" i="12"/>
  <c r="B2387" i="12"/>
  <c r="C2387" i="12"/>
  <c r="E2387" i="12"/>
  <c r="F2387" i="12"/>
  <c r="B2386" i="12"/>
  <c r="C2386" i="12"/>
  <c r="E2386" i="12"/>
  <c r="F2386" i="12"/>
  <c r="B2385" i="12" l="1"/>
  <c r="C2385" i="12"/>
  <c r="E2385" i="12"/>
  <c r="F2385" i="12"/>
  <c r="B2384" i="12"/>
  <c r="C2384" i="12"/>
  <c r="E2384" i="12"/>
  <c r="F2384" i="12"/>
  <c r="B2383" i="12" l="1"/>
  <c r="C2383" i="12"/>
  <c r="E2383" i="12"/>
  <c r="F2383" i="12"/>
  <c r="B2382" i="12"/>
  <c r="C2382" i="12"/>
  <c r="E2382" i="12"/>
  <c r="F2382" i="12"/>
  <c r="B2381" i="12"/>
  <c r="C2381" i="12"/>
  <c r="E2381" i="12"/>
  <c r="F2381" i="12"/>
  <c r="B2380" i="12"/>
  <c r="C2380" i="12"/>
  <c r="E2380" i="12"/>
  <c r="F2380" i="12"/>
  <c r="B2379" i="12"/>
  <c r="C2379" i="12"/>
  <c r="E2379" i="12"/>
  <c r="F2379" i="12"/>
  <c r="B2378" i="12"/>
  <c r="C2378" i="12"/>
  <c r="E2378" i="12"/>
  <c r="F2378" i="12"/>
  <c r="B2377" i="12"/>
  <c r="C2377" i="12"/>
  <c r="E2377" i="12"/>
  <c r="F2377" i="12"/>
  <c r="B2376" i="12"/>
  <c r="C2376" i="12"/>
  <c r="E2376" i="12"/>
  <c r="F2376" i="12"/>
  <c r="B2375" i="12"/>
  <c r="C2375" i="12"/>
  <c r="E2375" i="12"/>
  <c r="F2375" i="12"/>
  <c r="B2374" i="12"/>
  <c r="C2374" i="12"/>
  <c r="E2374" i="12"/>
  <c r="F2374" i="12"/>
  <c r="B2373" i="12"/>
  <c r="C2373" i="12"/>
  <c r="E2373" i="12"/>
  <c r="F2373" i="12"/>
  <c r="B2372" i="12"/>
  <c r="C2372" i="12"/>
  <c r="E2372" i="12"/>
  <c r="F2372" i="12"/>
  <c r="B2371" i="12"/>
  <c r="C2371" i="12"/>
  <c r="E2371" i="12"/>
  <c r="F2371" i="12"/>
  <c r="B2370" i="12"/>
  <c r="C2370" i="12"/>
  <c r="E2370" i="12"/>
  <c r="F2370" i="12"/>
  <c r="B2369" i="12"/>
  <c r="C2369" i="12"/>
  <c r="E2369" i="12"/>
  <c r="F2369" i="12"/>
  <c r="B2368" i="12"/>
  <c r="C2368" i="12"/>
  <c r="E2368" i="12"/>
  <c r="F2368" i="12"/>
  <c r="B2367" i="12"/>
  <c r="C2367" i="12"/>
  <c r="E2367" i="12"/>
  <c r="F2367" i="12"/>
  <c r="B2366" i="12"/>
  <c r="C2366" i="12"/>
  <c r="E2366" i="12"/>
  <c r="F2366" i="12"/>
  <c r="B2365" i="12"/>
  <c r="C2365" i="12"/>
  <c r="E2365" i="12"/>
  <c r="F2365" i="12"/>
  <c r="B2364" i="12"/>
  <c r="C2364" i="12"/>
  <c r="E2364" i="12"/>
  <c r="F2364" i="12"/>
  <c r="B2363" i="12"/>
  <c r="C2363" i="12"/>
  <c r="E2363" i="12"/>
  <c r="F2363" i="12"/>
  <c r="B2362" i="12"/>
  <c r="C2362" i="12"/>
  <c r="E2362" i="12"/>
  <c r="F2362" i="12"/>
  <c r="B2361" i="12" l="1"/>
  <c r="C2361" i="12"/>
  <c r="E2361" i="12"/>
  <c r="F2361" i="12"/>
  <c r="B2360" i="12"/>
  <c r="C2360" i="12"/>
  <c r="E2360" i="12"/>
  <c r="F2360" i="12"/>
  <c r="B2359" i="12"/>
  <c r="C2359" i="12"/>
  <c r="E2359" i="12"/>
  <c r="F2359" i="12"/>
  <c r="B2358" i="12"/>
  <c r="C2358" i="12"/>
  <c r="E2358" i="12"/>
  <c r="F2358" i="12"/>
  <c r="B2357" i="12"/>
  <c r="C2357" i="12"/>
  <c r="E2357" i="12"/>
  <c r="F2357" i="12"/>
  <c r="B2356" i="12"/>
  <c r="C2356" i="12"/>
  <c r="E2356" i="12"/>
  <c r="F2356" i="12"/>
  <c r="B2355" i="12"/>
  <c r="C2355" i="12"/>
  <c r="E2355" i="12"/>
  <c r="F2355" i="12"/>
  <c r="R109" i="11"/>
  <c r="S109" i="11"/>
  <c r="T109" i="11"/>
  <c r="U109" i="11"/>
  <c r="R108" i="11"/>
  <c r="S108" i="11"/>
  <c r="T108" i="11"/>
  <c r="U108" i="11"/>
  <c r="R107" i="11"/>
  <c r="S107" i="11"/>
  <c r="T107" i="11"/>
  <c r="U107" i="11"/>
  <c r="R106" i="11"/>
  <c r="S106" i="11"/>
  <c r="T106" i="11"/>
  <c r="U106" i="11"/>
  <c r="R105" i="11"/>
  <c r="S105" i="11"/>
  <c r="T105" i="11"/>
  <c r="U105" i="11"/>
  <c r="R104" i="11"/>
  <c r="S104" i="11"/>
  <c r="T104" i="11"/>
  <c r="U104" i="11"/>
  <c r="R103" i="11"/>
  <c r="S103" i="11"/>
  <c r="T103" i="11"/>
  <c r="U103" i="11"/>
  <c r="R102" i="11"/>
  <c r="S102" i="11"/>
  <c r="T102" i="11"/>
  <c r="U102" i="11"/>
  <c r="R101" i="11"/>
  <c r="S101" i="11"/>
  <c r="T101" i="11"/>
  <c r="U101" i="11"/>
  <c r="R100" i="11"/>
  <c r="S100" i="11"/>
  <c r="T100" i="11"/>
  <c r="U100" i="11"/>
  <c r="R99" i="11"/>
  <c r="S99" i="11"/>
  <c r="T99" i="11"/>
  <c r="U99" i="11"/>
  <c r="B2354" i="12"/>
  <c r="C2354" i="12"/>
  <c r="E2354" i="12"/>
  <c r="F2354" i="12"/>
  <c r="B2353" i="12"/>
  <c r="C2353" i="12"/>
  <c r="E2353" i="12"/>
  <c r="F2353" i="12"/>
  <c r="B2352" i="12"/>
  <c r="C2352" i="12"/>
  <c r="E2352" i="12"/>
  <c r="F2352" i="12"/>
  <c r="B2351" i="12" l="1"/>
  <c r="C2351" i="12"/>
  <c r="E2351" i="12"/>
  <c r="F2351" i="12"/>
  <c r="B2350" i="12"/>
  <c r="C2350" i="12"/>
  <c r="E2350" i="12"/>
  <c r="F2350" i="12"/>
  <c r="B2349" i="12"/>
  <c r="C2349" i="12"/>
  <c r="E2349" i="12"/>
  <c r="F2349" i="12"/>
  <c r="B2348" i="12" l="1"/>
  <c r="C2348" i="12"/>
  <c r="E2348" i="12"/>
  <c r="F2348" i="12"/>
  <c r="B2347" i="12"/>
  <c r="C2347" i="12"/>
  <c r="E2347" i="12"/>
  <c r="F2347" i="12"/>
  <c r="B2346" i="12"/>
  <c r="C2346" i="12"/>
  <c r="E2346" i="12"/>
  <c r="F2346" i="12"/>
  <c r="B2345" i="12"/>
  <c r="C2345" i="12"/>
  <c r="E2345" i="12"/>
  <c r="F2345" i="12"/>
  <c r="B2344" i="12"/>
  <c r="C2344" i="12"/>
  <c r="E2344" i="12"/>
  <c r="F2344" i="12"/>
  <c r="B2343" i="12"/>
  <c r="C2343" i="12"/>
  <c r="E2343" i="12"/>
  <c r="F2343" i="12"/>
  <c r="B2342" i="12"/>
  <c r="C2342" i="12"/>
  <c r="E2342" i="12"/>
  <c r="F2342" i="12"/>
  <c r="B2341" i="12" l="1"/>
  <c r="C2341" i="12"/>
  <c r="E2341" i="12"/>
  <c r="F2341" i="12"/>
  <c r="B2340" i="12"/>
  <c r="C2340" i="12"/>
  <c r="E2340" i="12"/>
  <c r="F2340" i="12"/>
  <c r="B2339" i="12"/>
  <c r="C2339" i="12"/>
  <c r="E2339" i="12"/>
  <c r="F2339" i="12"/>
  <c r="B2338" i="12"/>
  <c r="C2338" i="12"/>
  <c r="E2338" i="12"/>
  <c r="F2338" i="12"/>
  <c r="B2337" i="12"/>
  <c r="C2337" i="12"/>
  <c r="E2337" i="12"/>
  <c r="F2337" i="12"/>
  <c r="B2336" i="12"/>
  <c r="C2336" i="12"/>
  <c r="E2336" i="12"/>
  <c r="F2336" i="12"/>
  <c r="B2335" i="12"/>
  <c r="C2335" i="12"/>
  <c r="E2335" i="12"/>
  <c r="F2335" i="12"/>
  <c r="B2334" i="12"/>
  <c r="C2334" i="12"/>
  <c r="E2334" i="12"/>
  <c r="F2334" i="12"/>
  <c r="B2333" i="12"/>
  <c r="C2333" i="12"/>
  <c r="E2333" i="12"/>
  <c r="F2333" i="12"/>
  <c r="B2332" i="12"/>
  <c r="C2332" i="12"/>
  <c r="E2332" i="12"/>
  <c r="F2332" i="12"/>
  <c r="B2331" i="12"/>
  <c r="C2331" i="12"/>
  <c r="E2331" i="12"/>
  <c r="F2331" i="12"/>
  <c r="B2330" i="12"/>
  <c r="C2330" i="12"/>
  <c r="E2330" i="12"/>
  <c r="F2330" i="12"/>
  <c r="B2329" i="12"/>
  <c r="C2329" i="12"/>
  <c r="E2329" i="12"/>
  <c r="F2329" i="12"/>
  <c r="B2328" i="12"/>
  <c r="C2328" i="12"/>
  <c r="E2328" i="12"/>
  <c r="F2328" i="12"/>
  <c r="B2327" i="12"/>
  <c r="C2327" i="12"/>
  <c r="E2327" i="12"/>
  <c r="F2327" i="12"/>
  <c r="B2326" i="12"/>
  <c r="C2326" i="12"/>
  <c r="E2326" i="12"/>
  <c r="F2326" i="12"/>
  <c r="B2325" i="12" l="1"/>
  <c r="C2325" i="12"/>
  <c r="E2325" i="12"/>
  <c r="F2325" i="12"/>
  <c r="B2324" i="12"/>
  <c r="C2324" i="12"/>
  <c r="E2324" i="12"/>
  <c r="F2324" i="12"/>
  <c r="B2323" i="12"/>
  <c r="C2323" i="12"/>
  <c r="E2323" i="12"/>
  <c r="F2323" i="12"/>
  <c r="B2322" i="12"/>
  <c r="C2322" i="12"/>
  <c r="E2322" i="12"/>
  <c r="F2322" i="12"/>
  <c r="B2321" i="12"/>
  <c r="C2321" i="12"/>
  <c r="E2321" i="12"/>
  <c r="F2321" i="12"/>
  <c r="B2320" i="12"/>
  <c r="C2320" i="12"/>
  <c r="E2320" i="12"/>
  <c r="F2320" i="12"/>
  <c r="B2319" i="12"/>
  <c r="C2319" i="12"/>
  <c r="E2319" i="12"/>
  <c r="F2319" i="12"/>
  <c r="B2318" i="12"/>
  <c r="C2318" i="12"/>
  <c r="E2318" i="12"/>
  <c r="F2318" i="12"/>
  <c r="B2317" i="12"/>
  <c r="C2317" i="12"/>
  <c r="E2317" i="12"/>
  <c r="F2317" i="12"/>
  <c r="B2316" i="12" l="1"/>
  <c r="C2316" i="12"/>
  <c r="E2316" i="12"/>
  <c r="F2316" i="12"/>
  <c r="B2315" i="12"/>
  <c r="C2315" i="12"/>
  <c r="E2315" i="12"/>
  <c r="F2315" i="12"/>
  <c r="B2314" i="12"/>
  <c r="C2314" i="12"/>
  <c r="E2314" i="12"/>
  <c r="F2314" i="12"/>
  <c r="B2313" i="12"/>
  <c r="C2313" i="12"/>
  <c r="E2313" i="12"/>
  <c r="F2313" i="12"/>
  <c r="B2312" i="12"/>
  <c r="C2312" i="12"/>
  <c r="E2312" i="12"/>
  <c r="F2312" i="12"/>
  <c r="B2311" i="12"/>
  <c r="C2311" i="12"/>
  <c r="E2311" i="12"/>
  <c r="F2311" i="12"/>
  <c r="B2310" i="12"/>
  <c r="C2310" i="12"/>
  <c r="E2310" i="12"/>
  <c r="F2310" i="12"/>
  <c r="B2309" i="12"/>
  <c r="C2309" i="12"/>
  <c r="E2309" i="12"/>
  <c r="F2309" i="12"/>
  <c r="B2308" i="12"/>
  <c r="C2308" i="12"/>
  <c r="E2308" i="12"/>
  <c r="F2308" i="12"/>
  <c r="B2307" i="12"/>
  <c r="C2307" i="12"/>
  <c r="E2307" i="12"/>
  <c r="F2307" i="12"/>
  <c r="B2306" i="12"/>
  <c r="C2306" i="12"/>
  <c r="E2306" i="12"/>
  <c r="F2306" i="12"/>
  <c r="B2305" i="12"/>
  <c r="C2305" i="12"/>
  <c r="E2305" i="12"/>
  <c r="F2305" i="12"/>
  <c r="B2304" i="12"/>
  <c r="C2304" i="12"/>
  <c r="E2304" i="12"/>
  <c r="F2304" i="12"/>
  <c r="B2303" i="12"/>
  <c r="C2303" i="12"/>
  <c r="E2303" i="12"/>
  <c r="F2303" i="12"/>
  <c r="B2302" i="12"/>
  <c r="C2302" i="12"/>
  <c r="E2302" i="12"/>
  <c r="F2302" i="12"/>
  <c r="B2301" i="12"/>
  <c r="C2301" i="12"/>
  <c r="E2301" i="12"/>
  <c r="F2301" i="12"/>
  <c r="B2300" i="12"/>
  <c r="C2300" i="12"/>
  <c r="E2300" i="12"/>
  <c r="F2300" i="12"/>
  <c r="B2299" i="12"/>
  <c r="C2299" i="12"/>
  <c r="E2299" i="12"/>
  <c r="F2299" i="12"/>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B2298" i="12"/>
  <c r="C2298" i="12"/>
  <c r="E2298" i="12"/>
  <c r="F2298" i="12"/>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N329" i="8"/>
  <c r="N330" i="8"/>
  <c r="N331" i="8"/>
  <c r="N332" i="8"/>
  <c r="N333" i="8"/>
  <c r="N334" i="8"/>
  <c r="N335" i="8"/>
  <c r="N336" i="8"/>
  <c r="N337" i="8"/>
  <c r="N338" i="8"/>
  <c r="N339" i="8"/>
  <c r="N340" i="8"/>
  <c r="N341" i="8"/>
  <c r="N342" i="8"/>
  <c r="N343" i="8"/>
  <c r="N344" i="8"/>
  <c r="N345" i="8"/>
  <c r="N346" i="8"/>
  <c r="N347" i="8"/>
  <c r="N348" i="8"/>
  <c r="N349" i="8"/>
  <c r="N350" i="8"/>
  <c r="N351" i="8"/>
  <c r="N352" i="8"/>
  <c r="N353" i="8"/>
  <c r="N354" i="8"/>
  <c r="N355" i="8"/>
  <c r="N356" i="8"/>
  <c r="N357" i="8"/>
  <c r="N358" i="8"/>
  <c r="N359" i="8"/>
  <c r="N360" i="8"/>
  <c r="N361" i="8"/>
  <c r="N362" i="8"/>
  <c r="N363" i="8"/>
  <c r="N364" i="8"/>
  <c r="N365" i="8"/>
  <c r="N366" i="8"/>
  <c r="N367" i="8"/>
  <c r="N368" i="8"/>
  <c r="N369" i="8"/>
  <c r="N370" i="8"/>
  <c r="N371" i="8"/>
  <c r="N372" i="8"/>
  <c r="N373" i="8"/>
  <c r="N374" i="8"/>
  <c r="N375" i="8"/>
  <c r="N376" i="8"/>
  <c r="N377" i="8"/>
  <c r="N378" i="8"/>
  <c r="N379" i="8"/>
  <c r="N380" i="8"/>
  <c r="N381" i="8"/>
  <c r="N382" i="8"/>
  <c r="N383" i="8"/>
  <c r="N384" i="8"/>
  <c r="N385" i="8"/>
  <c r="N386" i="8"/>
  <c r="N387" i="8"/>
  <c r="N388" i="8"/>
  <c r="N389" i="8"/>
  <c r="N390" i="8"/>
  <c r="N391" i="8"/>
  <c r="N392" i="8"/>
  <c r="N393" i="8"/>
  <c r="N394" i="8"/>
  <c r="N395" i="8"/>
  <c r="N396" i="8"/>
  <c r="N397" i="8"/>
  <c r="N398" i="8"/>
  <c r="N399" i="8"/>
  <c r="N400" i="8"/>
  <c r="N401" i="8"/>
  <c r="N402" i="8"/>
  <c r="N403" i="8"/>
  <c r="N404" i="8"/>
  <c r="N405" i="8"/>
  <c r="N406" i="8"/>
  <c r="N407" i="8"/>
  <c r="N408" i="8"/>
  <c r="N409" i="8"/>
  <c r="N410" i="8"/>
  <c r="N411" i="8"/>
  <c r="B2297" i="12"/>
  <c r="C2297" i="12"/>
  <c r="E2297" i="12"/>
  <c r="F2297" i="12"/>
  <c r="B2296" i="12"/>
  <c r="C2296" i="12"/>
  <c r="E2296" i="12"/>
  <c r="F2296" i="12"/>
  <c r="B2295" i="12"/>
  <c r="C2295" i="12"/>
  <c r="E2295" i="12"/>
  <c r="F2295" i="12"/>
  <c r="B2294" i="12"/>
  <c r="C2294" i="12"/>
  <c r="E2294" i="12"/>
  <c r="F2294" i="12"/>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3"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B2293" i="12"/>
  <c r="C2293" i="12"/>
  <c r="E2293" i="12"/>
  <c r="F2293" i="12"/>
  <c r="B2292" i="12"/>
  <c r="C2292" i="12"/>
  <c r="E2292" i="12"/>
  <c r="F2292" i="12"/>
  <c r="B2291" i="12"/>
  <c r="C2291" i="12"/>
  <c r="E2291" i="12"/>
  <c r="F2291" i="12"/>
  <c r="B2290" i="12"/>
  <c r="C2290" i="12"/>
  <c r="E2290" i="12"/>
  <c r="F2290" i="12"/>
  <c r="B2289" i="12"/>
  <c r="C2289" i="12"/>
  <c r="E2289" i="12"/>
  <c r="F2289" i="12"/>
  <c r="B2288" i="12"/>
  <c r="C2288" i="12"/>
  <c r="E2288" i="12"/>
  <c r="F2288" i="12"/>
  <c r="B2287" i="12" l="1"/>
  <c r="C2287" i="12"/>
  <c r="E2287" i="12"/>
  <c r="F2287" i="12"/>
  <c r="B2286" i="12"/>
  <c r="C2286" i="12"/>
  <c r="E2286" i="12"/>
  <c r="F2286" i="12"/>
  <c r="B2285" i="12" l="1"/>
  <c r="C2285" i="12"/>
  <c r="E2285" i="12"/>
  <c r="F2285" i="12"/>
  <c r="B2284" i="12"/>
  <c r="C2284" i="12"/>
  <c r="E2284" i="12"/>
  <c r="F2284" i="12"/>
  <c r="B2283" i="12" l="1"/>
  <c r="C2283" i="12"/>
  <c r="E2283" i="12"/>
  <c r="F2283" i="12"/>
  <c r="B2282" i="12"/>
  <c r="C2282" i="12"/>
  <c r="E2282" i="12"/>
  <c r="F2282" i="12"/>
  <c r="B2281" i="12" l="1"/>
  <c r="C2281" i="12"/>
  <c r="E2281" i="12"/>
  <c r="F2281" i="12"/>
  <c r="B2280" i="12" l="1"/>
  <c r="C2280" i="12"/>
  <c r="E2280" i="12"/>
  <c r="F2280" i="12"/>
  <c r="B2279" i="12"/>
  <c r="C2279" i="12"/>
  <c r="E2279" i="12"/>
  <c r="F2279" i="12"/>
  <c r="B2278" i="12" l="1"/>
  <c r="C2278" i="12"/>
  <c r="E2278" i="12"/>
  <c r="F2278" i="12"/>
  <c r="B2277" i="12"/>
  <c r="C2277" i="12"/>
  <c r="E2277" i="12"/>
  <c r="F2277" i="12"/>
  <c r="B2276" i="12"/>
  <c r="C2276" i="12"/>
  <c r="E2276" i="12"/>
  <c r="F2276" i="12"/>
  <c r="B2275" i="12"/>
  <c r="C2275" i="12"/>
  <c r="E2275" i="12"/>
  <c r="F2275" i="12"/>
  <c r="B2274" i="12"/>
  <c r="C2274" i="12"/>
  <c r="E2274" i="12"/>
  <c r="F2274" i="12"/>
  <c r="B2273" i="12"/>
  <c r="C2273" i="12"/>
  <c r="E2273" i="12"/>
  <c r="F2273" i="12"/>
  <c r="B2272" i="12"/>
  <c r="C2272" i="12"/>
  <c r="E2272" i="12"/>
  <c r="F2272" i="12"/>
  <c r="B2271" i="12"/>
  <c r="C2271" i="12"/>
  <c r="E2271" i="12"/>
  <c r="F2271" i="12"/>
  <c r="B2270" i="12"/>
  <c r="C2270" i="12"/>
  <c r="E2270" i="12"/>
  <c r="F2270" i="12"/>
  <c r="B2269" i="12"/>
  <c r="C2269" i="12"/>
  <c r="E2269" i="12"/>
  <c r="F2269" i="12"/>
  <c r="B2268" i="12"/>
  <c r="C2268" i="12"/>
  <c r="E2268" i="12"/>
  <c r="F2268" i="12"/>
  <c r="B2267" i="12" l="1"/>
  <c r="C2267" i="12"/>
  <c r="E2267" i="12"/>
  <c r="F2267" i="12"/>
  <c r="B2266" i="12"/>
  <c r="C2266" i="12"/>
  <c r="E2266" i="12"/>
  <c r="F2266" i="12"/>
  <c r="B2265" i="12"/>
  <c r="C2265" i="12"/>
  <c r="E2265" i="12"/>
  <c r="F2265" i="12"/>
  <c r="B2264" i="12"/>
  <c r="C2264" i="12"/>
  <c r="E2264" i="12"/>
  <c r="F2264" i="12"/>
  <c r="B2263" i="12"/>
  <c r="C2263" i="12"/>
  <c r="E2263" i="12"/>
  <c r="F2263" i="12"/>
  <c r="B2262" i="12"/>
  <c r="C2262" i="12"/>
  <c r="E2262" i="12"/>
  <c r="F2262" i="12"/>
  <c r="B2261" i="12"/>
  <c r="C2261" i="12"/>
  <c r="E2261" i="12"/>
  <c r="F2261" i="12"/>
  <c r="B2260" i="12"/>
  <c r="C2260" i="12"/>
  <c r="E2260" i="12"/>
  <c r="F2260" i="12"/>
  <c r="B2259" i="12"/>
  <c r="C2259" i="12"/>
  <c r="E2259" i="12"/>
  <c r="F2259" i="12"/>
  <c r="B2258" i="12"/>
  <c r="C2258" i="12"/>
  <c r="E2258" i="12"/>
  <c r="F2258" i="12"/>
  <c r="B2257" i="12"/>
  <c r="C2257" i="12"/>
  <c r="E2257" i="12"/>
  <c r="F2257" i="12"/>
  <c r="B2256" i="12"/>
  <c r="C2256" i="12"/>
  <c r="E2256" i="12"/>
  <c r="F2256" i="12"/>
  <c r="B2255" i="12"/>
  <c r="C2255" i="12"/>
  <c r="E2255" i="12"/>
  <c r="F2255" i="12"/>
  <c r="B2254" i="12"/>
  <c r="C2254" i="12"/>
  <c r="E2254" i="12"/>
  <c r="F2254" i="12"/>
  <c r="B2253" i="12"/>
  <c r="C2253" i="12"/>
  <c r="E2253" i="12"/>
  <c r="F2253" i="12"/>
  <c r="B2252" i="12"/>
  <c r="C2252" i="12"/>
  <c r="E2252" i="12"/>
  <c r="F2252" i="12"/>
  <c r="B2251" i="12"/>
  <c r="C2251" i="12"/>
  <c r="E2251" i="12"/>
  <c r="F2251" i="12"/>
  <c r="B2250" i="12"/>
  <c r="C2250" i="12"/>
  <c r="E2250" i="12"/>
  <c r="F2250" i="12"/>
  <c r="B2249" i="12"/>
  <c r="C2249" i="12"/>
  <c r="E2249" i="12"/>
  <c r="F2249" i="12"/>
  <c r="B2248" i="12"/>
  <c r="C2248" i="12"/>
  <c r="E2248" i="12"/>
  <c r="F2248" i="12"/>
  <c r="B2247" i="12"/>
  <c r="C2247" i="12"/>
  <c r="E2247" i="12"/>
  <c r="F2247" i="12"/>
  <c r="B2246" i="12"/>
  <c r="C2246" i="12"/>
  <c r="E2246" i="12"/>
  <c r="F2246" i="12"/>
  <c r="B2245" i="12"/>
  <c r="C2245" i="12"/>
  <c r="E2245" i="12"/>
  <c r="F2245" i="12"/>
  <c r="B2244" i="12"/>
  <c r="C2244" i="12"/>
  <c r="E2244" i="12"/>
  <c r="F2244" i="12"/>
  <c r="B2243" i="12"/>
  <c r="C2243" i="12"/>
  <c r="E2243" i="12"/>
  <c r="F2243" i="12"/>
  <c r="B2242" i="12"/>
  <c r="C2242" i="12"/>
  <c r="E2242" i="12"/>
  <c r="F2242" i="12"/>
  <c r="B2241" i="12"/>
  <c r="C2241" i="12"/>
  <c r="E2241" i="12"/>
  <c r="F2241" i="12"/>
  <c r="B2240" i="12"/>
  <c r="C2240" i="12"/>
  <c r="E2240" i="12"/>
  <c r="F2240" i="12"/>
  <c r="B2239" i="12"/>
  <c r="C2239" i="12"/>
  <c r="E2239" i="12"/>
  <c r="F2239" i="12"/>
  <c r="B2238" i="12"/>
  <c r="C2238" i="12"/>
  <c r="E2238" i="12"/>
  <c r="F2238" i="12"/>
  <c r="B2237" i="12"/>
  <c r="C2237" i="12"/>
  <c r="E2237" i="12"/>
  <c r="F2237" i="12"/>
  <c r="B2236" i="12"/>
  <c r="C2236" i="12"/>
  <c r="E2236" i="12"/>
  <c r="F2236" i="12"/>
  <c r="B2235" i="12"/>
  <c r="C2235" i="12"/>
  <c r="E2235" i="12"/>
  <c r="F2235" i="12"/>
  <c r="B2234" i="12"/>
  <c r="C2234" i="12"/>
  <c r="E2234" i="12"/>
  <c r="F2234" i="12"/>
  <c r="B2233" i="12"/>
  <c r="C2233" i="12"/>
  <c r="E2233" i="12"/>
  <c r="F2233" i="12"/>
  <c r="B2232" i="12"/>
  <c r="C2232" i="12"/>
  <c r="E2232" i="12"/>
  <c r="F2232" i="12"/>
  <c r="B2231" i="12"/>
  <c r="C2231" i="12"/>
  <c r="E2231" i="12"/>
  <c r="F2231" i="12"/>
  <c r="B2230" i="12"/>
  <c r="C2230" i="12"/>
  <c r="E2230" i="12"/>
  <c r="F2230" i="12"/>
  <c r="B2229" i="12"/>
  <c r="C2229" i="12"/>
  <c r="E2229" i="12"/>
  <c r="F2229" i="12"/>
  <c r="B2228" i="12"/>
  <c r="C2228" i="12"/>
  <c r="E2228" i="12"/>
  <c r="F2228" i="12"/>
  <c r="B2227" i="12"/>
  <c r="C2227" i="12"/>
  <c r="E2227" i="12"/>
  <c r="F2227" i="12"/>
  <c r="B2226" i="12"/>
  <c r="C2226" i="12"/>
  <c r="E2226" i="12"/>
  <c r="F2226" i="12"/>
  <c r="B2225" i="12"/>
  <c r="C2225" i="12"/>
  <c r="E2225" i="12"/>
  <c r="F2225" i="12"/>
  <c r="B2224" i="12"/>
  <c r="C2224" i="12"/>
  <c r="E2224" i="12"/>
  <c r="F2224" i="12"/>
  <c r="B2223" i="12"/>
  <c r="C2223" i="12"/>
  <c r="E2223" i="12"/>
  <c r="F2223" i="12"/>
  <c r="B2222" i="12"/>
  <c r="C2222" i="12"/>
  <c r="E2222" i="12"/>
  <c r="F2222" i="12"/>
  <c r="B2221" i="12"/>
  <c r="C2221" i="12"/>
  <c r="E2221" i="12"/>
  <c r="F2221" i="12"/>
  <c r="B2220" i="12"/>
  <c r="C2220" i="12"/>
  <c r="E2220" i="12"/>
  <c r="F2220" i="12"/>
  <c r="B2219" i="12"/>
  <c r="C2219" i="12"/>
  <c r="E2219" i="12"/>
  <c r="F2219" i="12"/>
  <c r="B2218" i="12"/>
  <c r="C2218" i="12"/>
  <c r="E2218" i="12"/>
  <c r="F2218" i="12"/>
  <c r="B2217" i="12"/>
  <c r="C2217" i="12"/>
  <c r="E2217" i="12"/>
  <c r="F2217" i="12"/>
  <c r="B2216" i="12"/>
  <c r="C2216" i="12"/>
  <c r="E2216" i="12"/>
  <c r="F2216" i="12"/>
  <c r="B2215" i="12"/>
  <c r="C2215" i="12"/>
  <c r="E2215" i="12"/>
  <c r="F2215" i="12"/>
  <c r="B2214" i="12"/>
  <c r="C2214" i="12"/>
  <c r="E2214" i="12"/>
  <c r="F2214" i="12"/>
  <c r="B2213" i="12"/>
  <c r="C2213" i="12"/>
  <c r="E2213" i="12"/>
  <c r="F2213" i="12"/>
  <c r="B2212" i="12"/>
  <c r="C2212" i="12"/>
  <c r="E2212" i="12"/>
  <c r="F2212" i="12"/>
  <c r="B2211" i="12"/>
  <c r="C2211" i="12"/>
  <c r="E2211" i="12"/>
  <c r="F2211" i="12"/>
  <c r="B2210" i="12"/>
  <c r="C2210" i="12"/>
  <c r="E2210" i="12"/>
  <c r="F2210" i="12"/>
  <c r="B2209" i="12"/>
  <c r="C2209" i="12"/>
  <c r="E2209" i="12"/>
  <c r="F2209" i="12"/>
  <c r="B2208" i="12"/>
  <c r="C2208" i="12"/>
  <c r="E2208" i="12"/>
  <c r="F2208" i="12"/>
  <c r="B2207" i="12"/>
  <c r="C2207" i="12"/>
  <c r="E2207" i="12"/>
  <c r="F2207" i="12"/>
  <c r="B2206" i="12"/>
  <c r="C2206" i="12"/>
  <c r="E2206" i="12"/>
  <c r="F2206" i="12"/>
  <c r="B2205" i="12"/>
  <c r="C2205" i="12"/>
  <c r="E2205" i="12"/>
  <c r="F2205" i="12"/>
  <c r="B2204" i="12"/>
  <c r="C2204" i="12"/>
  <c r="E2204" i="12"/>
  <c r="F2204" i="12"/>
  <c r="B2203" i="12"/>
  <c r="C2203" i="12"/>
  <c r="E2203" i="12"/>
  <c r="F2203" i="12"/>
  <c r="B2202" i="12"/>
  <c r="C2202" i="12"/>
  <c r="E2202" i="12"/>
  <c r="F2202" i="12"/>
  <c r="B2201" i="12"/>
  <c r="C2201" i="12"/>
  <c r="E2201" i="12"/>
  <c r="F2201" i="12"/>
  <c r="B2200" i="12"/>
  <c r="C2200" i="12"/>
  <c r="E2200" i="12"/>
  <c r="F2200" i="12"/>
  <c r="B2199" i="12"/>
  <c r="C2199" i="12"/>
  <c r="E2199" i="12"/>
  <c r="F2199" i="12"/>
  <c r="B2198" i="12"/>
  <c r="C2198" i="12"/>
  <c r="E2198" i="12"/>
  <c r="F2198" i="12"/>
  <c r="B2197" i="12"/>
  <c r="C2197" i="12"/>
  <c r="E2197" i="12"/>
  <c r="F2197" i="12"/>
  <c r="B2196" i="12"/>
  <c r="C2196" i="12"/>
  <c r="E2196" i="12"/>
  <c r="F2196" i="12"/>
  <c r="B2195" i="12"/>
  <c r="C2195" i="12"/>
  <c r="E2195" i="12"/>
  <c r="F2195" i="12"/>
  <c r="B2194" i="12"/>
  <c r="C2194" i="12"/>
  <c r="E2194" i="12"/>
  <c r="F2194" i="12"/>
  <c r="B2193" i="12"/>
  <c r="C2193" i="12"/>
  <c r="E2193" i="12"/>
  <c r="F2193" i="12"/>
  <c r="B2192" i="12"/>
  <c r="C2192" i="12"/>
  <c r="E2192" i="12"/>
  <c r="F2192" i="12"/>
  <c r="B2191" i="12"/>
  <c r="C2191" i="12"/>
  <c r="E2191" i="12"/>
  <c r="F2191" i="12"/>
  <c r="B2190" i="12"/>
  <c r="C2190" i="12"/>
  <c r="E2190" i="12"/>
  <c r="F2190" i="12"/>
  <c r="B2189" i="12"/>
  <c r="C2189" i="12"/>
  <c r="E2189" i="12"/>
  <c r="F2189" i="12"/>
  <c r="B2188" i="12"/>
  <c r="C2188" i="12"/>
  <c r="E2188" i="12"/>
  <c r="F2188" i="12"/>
  <c r="B2187" i="12"/>
  <c r="C2187" i="12"/>
  <c r="E2187" i="12"/>
  <c r="F2187" i="12"/>
  <c r="B2186" i="12"/>
  <c r="C2186" i="12"/>
  <c r="E2186" i="12"/>
  <c r="F2186" i="12"/>
  <c r="B2185" i="12"/>
  <c r="C2185" i="12"/>
  <c r="E2185" i="12"/>
  <c r="F2185" i="12"/>
  <c r="B2184" i="12"/>
  <c r="C2184" i="12"/>
  <c r="E2184" i="12"/>
  <c r="F2184" i="12"/>
  <c r="B2183" i="12"/>
  <c r="C2183" i="12"/>
  <c r="E2183" i="12"/>
  <c r="F2183" i="12"/>
  <c r="B2182" i="12"/>
  <c r="C2182" i="12"/>
  <c r="E2182" i="12"/>
  <c r="F2182" i="12"/>
  <c r="B2181" i="12"/>
  <c r="C2181" i="12"/>
  <c r="E2181" i="12"/>
  <c r="F2181" i="12"/>
  <c r="B2180" i="12"/>
  <c r="C2180" i="12"/>
  <c r="E2180" i="12"/>
  <c r="F2180" i="12"/>
  <c r="B2179" i="12"/>
  <c r="C2179" i="12"/>
  <c r="E2179" i="12"/>
  <c r="F2179" i="12"/>
  <c r="B2178" i="12"/>
  <c r="C2178" i="12"/>
  <c r="E2178" i="12"/>
  <c r="F2178" i="12"/>
  <c r="B2177" i="12"/>
  <c r="C2177" i="12"/>
  <c r="E2177" i="12"/>
  <c r="F2177" i="12"/>
  <c r="B2176" i="12"/>
  <c r="C2176" i="12"/>
  <c r="E2176" i="12"/>
  <c r="F2176" i="12"/>
  <c r="B2175" i="12"/>
  <c r="C2175" i="12"/>
  <c r="E2175" i="12"/>
  <c r="F2175" i="12"/>
  <c r="B2174" i="12"/>
  <c r="C2174" i="12"/>
  <c r="E2174" i="12"/>
  <c r="F2174" i="12"/>
  <c r="B2173" i="12"/>
  <c r="C2173" i="12"/>
  <c r="E2173" i="12"/>
  <c r="F2173" i="12"/>
  <c r="B2172" i="12"/>
  <c r="C2172" i="12"/>
  <c r="E2172" i="12"/>
  <c r="F2172" i="12"/>
  <c r="B2171" i="12"/>
  <c r="C2171" i="12"/>
  <c r="E2171" i="12"/>
  <c r="F2171" i="12"/>
  <c r="B2170" i="12"/>
  <c r="C2170" i="12"/>
  <c r="E2170" i="12"/>
  <c r="F2170" i="12"/>
  <c r="B2169" i="12"/>
  <c r="C2169" i="12"/>
  <c r="E2169" i="12"/>
  <c r="F2169" i="12"/>
  <c r="B2168" i="12"/>
  <c r="C2168" i="12"/>
  <c r="E2168" i="12"/>
  <c r="F2168" i="12"/>
  <c r="B2167" i="12"/>
  <c r="C2167" i="12"/>
  <c r="E2167" i="12"/>
  <c r="F2167" i="12"/>
  <c r="B2166" i="12"/>
  <c r="C2166" i="12"/>
  <c r="E2166" i="12"/>
  <c r="F2166" i="12"/>
  <c r="B2165" i="12"/>
  <c r="C2165" i="12"/>
  <c r="E2165" i="12"/>
  <c r="F2165" i="12"/>
  <c r="B2164" i="12"/>
  <c r="C2164" i="12"/>
  <c r="E2164" i="12"/>
  <c r="F2164" i="12"/>
  <c r="B2163" i="12"/>
  <c r="C2163" i="12"/>
  <c r="E2163" i="12"/>
  <c r="F2163" i="12"/>
  <c r="B2162" i="12"/>
  <c r="C2162" i="12"/>
  <c r="E2162" i="12"/>
  <c r="F2162" i="12"/>
  <c r="B2161" i="12"/>
  <c r="C2161" i="12"/>
  <c r="E2161" i="12"/>
  <c r="F2161" i="12"/>
  <c r="B2160" i="12"/>
  <c r="C2160" i="12"/>
  <c r="E2160" i="12"/>
  <c r="F2160" i="12"/>
  <c r="B2159" i="12"/>
  <c r="C2159" i="12"/>
  <c r="E2159" i="12"/>
  <c r="F2159" i="12"/>
  <c r="B2158" i="12"/>
  <c r="C2158" i="12"/>
  <c r="E2158" i="12"/>
  <c r="F2158" i="12"/>
  <c r="B2157" i="12"/>
  <c r="C2157" i="12"/>
  <c r="E2157" i="12"/>
  <c r="F2157" i="12"/>
  <c r="B2156" i="12"/>
  <c r="C2156" i="12"/>
  <c r="E2156" i="12"/>
  <c r="F2156" i="12"/>
  <c r="B2155" i="12"/>
  <c r="C2155" i="12"/>
  <c r="E2155" i="12"/>
  <c r="F2155" i="12"/>
  <c r="B2154" i="12"/>
  <c r="C2154" i="12"/>
  <c r="E2154" i="12"/>
  <c r="F2154" i="12"/>
  <c r="B2153" i="12"/>
  <c r="C2153" i="12"/>
  <c r="E2153" i="12"/>
  <c r="F2153" i="12"/>
  <c r="B2152" i="12"/>
  <c r="C2152" i="12"/>
  <c r="E2152" i="12"/>
  <c r="F2152" i="12"/>
  <c r="B2151" i="12"/>
  <c r="C2151" i="12"/>
  <c r="E2151" i="12"/>
  <c r="F2151" i="12"/>
  <c r="B2150" i="12"/>
  <c r="C2150" i="12"/>
  <c r="E2150" i="12"/>
  <c r="F2150" i="12"/>
  <c r="B2149" i="12"/>
  <c r="C2149" i="12"/>
  <c r="E2149" i="12"/>
  <c r="F2149" i="12"/>
  <c r="B2148" i="12"/>
  <c r="C2148" i="12"/>
  <c r="E2148" i="12"/>
  <c r="F2148" i="12"/>
  <c r="B2147" i="12"/>
  <c r="C2147" i="12"/>
  <c r="E2147" i="12"/>
  <c r="F2147" i="12"/>
  <c r="B2146" i="12"/>
  <c r="C2146" i="12"/>
  <c r="E2146" i="12"/>
  <c r="F2146" i="12"/>
  <c r="B2145" i="12"/>
  <c r="C2145" i="12"/>
  <c r="E2145" i="12"/>
  <c r="F2145" i="12"/>
  <c r="B2144" i="12"/>
  <c r="C2144" i="12"/>
  <c r="E2144" i="12"/>
  <c r="F2144" i="12"/>
  <c r="B2143" i="12"/>
  <c r="C2143" i="12"/>
  <c r="E2143" i="12"/>
  <c r="F2143" i="12"/>
  <c r="B2142" i="12"/>
  <c r="C2142" i="12"/>
  <c r="E2142" i="12"/>
  <c r="F2142" i="12"/>
  <c r="B2141" i="12"/>
  <c r="C2141" i="12"/>
  <c r="E2141" i="12"/>
  <c r="F2141" i="12"/>
  <c r="B2140" i="12"/>
  <c r="C2140" i="12"/>
  <c r="E2140" i="12"/>
  <c r="F2140" i="12"/>
  <c r="B2139" i="12"/>
  <c r="C2139" i="12"/>
  <c r="E2139" i="12"/>
  <c r="F2139" i="12"/>
  <c r="B2138" i="12"/>
  <c r="C2138" i="12"/>
  <c r="E2138" i="12"/>
  <c r="F2138" i="12"/>
  <c r="B2137" i="12"/>
  <c r="C2137" i="12"/>
  <c r="E2137" i="12"/>
  <c r="F2137" i="12"/>
  <c r="B2136" i="12"/>
  <c r="C2136" i="12"/>
  <c r="E2136" i="12"/>
  <c r="F2136" i="12"/>
  <c r="B2135" i="12"/>
  <c r="C2135" i="12"/>
  <c r="E2135" i="12"/>
  <c r="F2135" i="12"/>
  <c r="B2134" i="12"/>
  <c r="C2134" i="12"/>
  <c r="E2134" i="12"/>
  <c r="F2134" i="12"/>
  <c r="B2133" i="12"/>
  <c r="C2133" i="12"/>
  <c r="E2133" i="12"/>
  <c r="F2133" i="12"/>
  <c r="B2132" i="12"/>
  <c r="C2132" i="12"/>
  <c r="E2132" i="12"/>
  <c r="F2132" i="12"/>
  <c r="B2131" i="12"/>
  <c r="C2131" i="12"/>
  <c r="E2131" i="12"/>
  <c r="F2131" i="12"/>
  <c r="B2130" i="12"/>
  <c r="C2130" i="12"/>
  <c r="E2130" i="12"/>
  <c r="F2130" i="12"/>
  <c r="B2129" i="12"/>
  <c r="C2129" i="12"/>
  <c r="E2129" i="12"/>
  <c r="F2129" i="12"/>
  <c r="B2128" i="12"/>
  <c r="C2128" i="12"/>
  <c r="E2128" i="12"/>
  <c r="F2128" i="12"/>
  <c r="B2127" i="12"/>
  <c r="C2127" i="12"/>
  <c r="E2127" i="12"/>
  <c r="F2127" i="12"/>
  <c r="B2126" i="12"/>
  <c r="C2126" i="12"/>
  <c r="E2126" i="12"/>
  <c r="F2126" i="12"/>
  <c r="B2125" i="12"/>
  <c r="C2125" i="12"/>
  <c r="E2125" i="12"/>
  <c r="F2125" i="12"/>
  <c r="B2124" i="12"/>
  <c r="C2124" i="12"/>
  <c r="E2124" i="12"/>
  <c r="F2124" i="12"/>
  <c r="B2123" i="12" l="1"/>
  <c r="C2123" i="12"/>
  <c r="E2123" i="12"/>
  <c r="F2123" i="12"/>
  <c r="B2122" i="12"/>
  <c r="C2122" i="12"/>
  <c r="E2122" i="12"/>
  <c r="F2122" i="12"/>
  <c r="B2121" i="12"/>
  <c r="C2121" i="12"/>
  <c r="E2121" i="12"/>
  <c r="F2121" i="12"/>
  <c r="B2120" i="12"/>
  <c r="C2120" i="12"/>
  <c r="E2120" i="12"/>
  <c r="F2120" i="12"/>
  <c r="B2119" i="12"/>
  <c r="C2119" i="12"/>
  <c r="E2119" i="12"/>
  <c r="F2119" i="12"/>
  <c r="B2118" i="12"/>
  <c r="C2118" i="12"/>
  <c r="E2118" i="12"/>
  <c r="F2118" i="12"/>
  <c r="B2117" i="12"/>
  <c r="C2117" i="12"/>
  <c r="E2117" i="12"/>
  <c r="F2117" i="12"/>
  <c r="B2116" i="12" l="1"/>
  <c r="C2116" i="12"/>
  <c r="E2116" i="12"/>
  <c r="F2116" i="12"/>
  <c r="B2115" i="12"/>
  <c r="C2115" i="12"/>
  <c r="E2115" i="12"/>
  <c r="F2115" i="12"/>
  <c r="B2114" i="12"/>
  <c r="C2114" i="12"/>
  <c r="E2114" i="12"/>
  <c r="F2114" i="12"/>
  <c r="B2113" i="12"/>
  <c r="C2113" i="12"/>
  <c r="E2113" i="12"/>
  <c r="F2113" i="12"/>
  <c r="B2112" i="12"/>
  <c r="C2112" i="12"/>
  <c r="E2112" i="12"/>
  <c r="F2112" i="12"/>
  <c r="B2111" i="12" l="1"/>
  <c r="C2111" i="12"/>
  <c r="E2111" i="12"/>
  <c r="F2111" i="12"/>
  <c r="B2110" i="12"/>
  <c r="C2110" i="12"/>
  <c r="E2110" i="12"/>
  <c r="F2110" i="12"/>
  <c r="B2109" i="12"/>
  <c r="C2109" i="12"/>
  <c r="E2109" i="12"/>
  <c r="F2109" i="12"/>
  <c r="B2108" i="12" l="1"/>
  <c r="C2108" i="12"/>
  <c r="E2108" i="12"/>
  <c r="F2108" i="12"/>
  <c r="B2107" i="12"/>
  <c r="C2107" i="12"/>
  <c r="E2107" i="12"/>
  <c r="F2107" i="12"/>
  <c r="B2106" i="12"/>
  <c r="C2106" i="12"/>
  <c r="E2106" i="12"/>
  <c r="F2106" i="12"/>
  <c r="B2105" i="12" l="1"/>
  <c r="C2105" i="12"/>
  <c r="E2105" i="12"/>
  <c r="F2105" i="12"/>
  <c r="B2104" i="12"/>
  <c r="C2104" i="12"/>
  <c r="E2104" i="12"/>
  <c r="F2104" i="12"/>
  <c r="B2103" i="12"/>
  <c r="C2103" i="12"/>
  <c r="E2103" i="12"/>
  <c r="F2103" i="12"/>
  <c r="B2102" i="12" l="1"/>
  <c r="C2102" i="12"/>
  <c r="E2102" i="12"/>
  <c r="F2102" i="12"/>
  <c r="B2101" i="12"/>
  <c r="C2101" i="12"/>
  <c r="E2101" i="12"/>
  <c r="F2101" i="12"/>
  <c r="B2100" i="12"/>
  <c r="C2100" i="12"/>
  <c r="E2100" i="12"/>
  <c r="F2100" i="12"/>
  <c r="B2099" i="12"/>
  <c r="C2099" i="12"/>
  <c r="E2099" i="12"/>
  <c r="F2099" i="12"/>
  <c r="B2098" i="12"/>
  <c r="C2098" i="12"/>
  <c r="E2098" i="12"/>
  <c r="F2098" i="12"/>
  <c r="B2097" i="12" l="1"/>
  <c r="C2097" i="12"/>
  <c r="E2097" i="12"/>
  <c r="F2097" i="12"/>
  <c r="B2096" i="12"/>
  <c r="C2096" i="12"/>
  <c r="E2096" i="12"/>
  <c r="F2096" i="12"/>
  <c r="B2095" i="12"/>
  <c r="C2095" i="12"/>
  <c r="E2095" i="12"/>
  <c r="F2095" i="12"/>
  <c r="B2094" i="12" l="1"/>
  <c r="C2094" i="12"/>
  <c r="E2094" i="12"/>
  <c r="F2094" i="12"/>
  <c r="B2093" i="12"/>
  <c r="C2093" i="12"/>
  <c r="E2093" i="12"/>
  <c r="F2093" i="12"/>
  <c r="B2092" i="12"/>
  <c r="C2092" i="12"/>
  <c r="E2092" i="12"/>
  <c r="F2092" i="12"/>
  <c r="B2091" i="12" l="1"/>
  <c r="C2091" i="12"/>
  <c r="E2091" i="12"/>
  <c r="F2091" i="12"/>
  <c r="B2090" i="12"/>
  <c r="C2090" i="12"/>
  <c r="E2090" i="12"/>
  <c r="F2090" i="12"/>
  <c r="B2089" i="12"/>
  <c r="C2089" i="12"/>
  <c r="E2089" i="12"/>
  <c r="F2089" i="12"/>
  <c r="B2088" i="12"/>
  <c r="C2088" i="12"/>
  <c r="E2088" i="12"/>
  <c r="F2088" i="12"/>
  <c r="B2087" i="12"/>
  <c r="C2087" i="12"/>
  <c r="E2087" i="12"/>
  <c r="F2087" i="12"/>
  <c r="P211" i="8"/>
  <c r="Q211" i="8" s="1"/>
  <c r="P210" i="8"/>
  <c r="Q210" i="8" s="1"/>
  <c r="P202" i="8"/>
  <c r="Q202" i="8" s="1"/>
  <c r="P203" i="8"/>
  <c r="Q203" i="8" s="1"/>
  <c r="P204" i="8"/>
  <c r="Q204" i="8" s="1"/>
  <c r="P205" i="8"/>
  <c r="Q205" i="8" s="1"/>
  <c r="P206" i="8"/>
  <c r="Q206" i="8" s="1"/>
  <c r="P207" i="8"/>
  <c r="Q207" i="8" s="1"/>
  <c r="P208" i="8"/>
  <c r="Q208" i="8" s="1"/>
  <c r="P209" i="8"/>
  <c r="Q209" i="8" s="1"/>
  <c r="P201" i="8"/>
  <c r="Q201" i="8" s="1"/>
  <c r="P200" i="8"/>
  <c r="Q200" i="8" s="1"/>
  <c r="P199" i="8"/>
  <c r="Q199" i="8" s="1"/>
  <c r="P197" i="8"/>
  <c r="Q197" i="8" s="1"/>
  <c r="P198" i="8"/>
  <c r="Q198" i="8" s="1"/>
  <c r="P194" i="8"/>
  <c r="Q194" i="8" s="1"/>
  <c r="P195" i="8"/>
  <c r="Q195" i="8" s="1"/>
  <c r="P196" i="8"/>
  <c r="Q196" i="8" s="1"/>
  <c r="P191" i="8"/>
  <c r="Q191" i="8" s="1"/>
  <c r="P192" i="8"/>
  <c r="Q192" i="8" s="1"/>
  <c r="P193" i="8"/>
  <c r="Q193" i="8" s="1"/>
  <c r="P189" i="8"/>
  <c r="Q189" i="8" s="1"/>
  <c r="P190" i="8"/>
  <c r="Q190" i="8" s="1"/>
  <c r="P188" i="8"/>
  <c r="Q188" i="8" s="1"/>
  <c r="P185" i="8"/>
  <c r="Q185" i="8" s="1"/>
  <c r="P186" i="8"/>
  <c r="Q186" i="8" s="1"/>
  <c r="P187" i="8"/>
  <c r="Q187" i="8" s="1"/>
  <c r="P184" i="8"/>
  <c r="Q184" i="8" s="1"/>
  <c r="B2086" i="12" l="1"/>
  <c r="C2086" i="12"/>
  <c r="E2086" i="12"/>
  <c r="F2086" i="12"/>
  <c r="B2085" i="12"/>
  <c r="C2085" i="12"/>
  <c r="E2085" i="12"/>
  <c r="F2085" i="12"/>
  <c r="B2084" i="12" l="1"/>
  <c r="C2084" i="12"/>
  <c r="E2084" i="12"/>
  <c r="F2084" i="12"/>
  <c r="B2083" i="12" l="1"/>
  <c r="C2083" i="12"/>
  <c r="E2083" i="12"/>
  <c r="F2083" i="12"/>
  <c r="B2082" i="12"/>
  <c r="C2082" i="12"/>
  <c r="E2082" i="12"/>
  <c r="F2082" i="12"/>
  <c r="B2081" i="12"/>
  <c r="C2081" i="12"/>
  <c r="E2081" i="12"/>
  <c r="F2081" i="12"/>
  <c r="B2080" i="12"/>
  <c r="C2080" i="12"/>
  <c r="E2080" i="12"/>
  <c r="F2080" i="12"/>
  <c r="B2079" i="12"/>
  <c r="C2079" i="12"/>
  <c r="E2079" i="12"/>
  <c r="F2079" i="12"/>
  <c r="B2078" i="12"/>
  <c r="C2078" i="12"/>
  <c r="E2078" i="12"/>
  <c r="F2078" i="12"/>
  <c r="B2077" i="12"/>
  <c r="C2077" i="12"/>
  <c r="E2077" i="12"/>
  <c r="F2077" i="12"/>
  <c r="B2076" i="12"/>
  <c r="C2076" i="12"/>
  <c r="E2076" i="12"/>
  <c r="F2076" i="12"/>
  <c r="B2075" i="12"/>
  <c r="C2075" i="12"/>
  <c r="E2075" i="12"/>
  <c r="F2075" i="12"/>
  <c r="B2074" i="12"/>
  <c r="C2074" i="12"/>
  <c r="E2074" i="12"/>
  <c r="F2074" i="12"/>
  <c r="B2073" i="12"/>
  <c r="C2073" i="12"/>
  <c r="E2073" i="12"/>
  <c r="F2073" i="12"/>
  <c r="B2072" i="12"/>
  <c r="C2072" i="12"/>
  <c r="E2072" i="12"/>
  <c r="F2072" i="12"/>
  <c r="B2071" i="12"/>
  <c r="C2071" i="12"/>
  <c r="E2071" i="12"/>
  <c r="F2071" i="12"/>
  <c r="B2070" i="12"/>
  <c r="C2070" i="12"/>
  <c r="E2070" i="12"/>
  <c r="F2070" i="12"/>
  <c r="B2069" i="12"/>
  <c r="C2069" i="12"/>
  <c r="E2069" i="12"/>
  <c r="F2069" i="12"/>
  <c r="B2068" i="12"/>
  <c r="C2068" i="12"/>
  <c r="E2068" i="12"/>
  <c r="F2068" i="12"/>
  <c r="B2067" i="12"/>
  <c r="C2067" i="12"/>
  <c r="E2067" i="12"/>
  <c r="F2067" i="12"/>
  <c r="B2066" i="12"/>
  <c r="C2066" i="12"/>
  <c r="E2066" i="12"/>
  <c r="F2066" i="12"/>
  <c r="B2065" i="12"/>
  <c r="C2065" i="12"/>
  <c r="E2065" i="12"/>
  <c r="F2065" i="12"/>
  <c r="B2064" i="12"/>
  <c r="C2064" i="12"/>
  <c r="E2064" i="12"/>
  <c r="F2064" i="12"/>
  <c r="B2063" i="12"/>
  <c r="C2063" i="12"/>
  <c r="E2063" i="12"/>
  <c r="F2063" i="12"/>
  <c r="B2062" i="12"/>
  <c r="C2062" i="12"/>
  <c r="E2062" i="12"/>
  <c r="F2062" i="12"/>
  <c r="B2061" i="12"/>
  <c r="C2061" i="12"/>
  <c r="E2061" i="12"/>
  <c r="F2061" i="12"/>
  <c r="B2060" i="12"/>
  <c r="C2060" i="12"/>
  <c r="E2060" i="12"/>
  <c r="F2060" i="12"/>
  <c r="B2059" i="12"/>
  <c r="C2059" i="12"/>
  <c r="E2059" i="12"/>
  <c r="F2059" i="12"/>
  <c r="B2058" i="12"/>
  <c r="C2058" i="12"/>
  <c r="E2058" i="12"/>
  <c r="F2058" i="12"/>
  <c r="B2057" i="12"/>
  <c r="C2057" i="12"/>
  <c r="E2057" i="12"/>
  <c r="F2057" i="12"/>
  <c r="B2056" i="12"/>
  <c r="C2056" i="12"/>
  <c r="E2056" i="12"/>
  <c r="F2056" i="12"/>
  <c r="B2055" i="12"/>
  <c r="C2055" i="12"/>
  <c r="E2055" i="12"/>
  <c r="F2055" i="12"/>
  <c r="B2054" i="12"/>
  <c r="C2054" i="12"/>
  <c r="E2054" i="12"/>
  <c r="F2054" i="12"/>
  <c r="B2053" i="12"/>
  <c r="C2053" i="12"/>
  <c r="E2053" i="12"/>
  <c r="F2053" i="12"/>
  <c r="B2052" i="12"/>
  <c r="C2052" i="12"/>
  <c r="E2052" i="12"/>
  <c r="F2052" i="12"/>
  <c r="B2051" i="12"/>
  <c r="C2051" i="12"/>
  <c r="E2051" i="12"/>
  <c r="F2051" i="12"/>
  <c r="B2050" i="12"/>
  <c r="C2050" i="12"/>
  <c r="E2050" i="12"/>
  <c r="F2050" i="12"/>
  <c r="B2049" i="12"/>
  <c r="C2049" i="12"/>
  <c r="E2049" i="12"/>
  <c r="F2049" i="12"/>
  <c r="B2048" i="12"/>
  <c r="C2048" i="12"/>
  <c r="E2048" i="12"/>
  <c r="F2048" i="12"/>
  <c r="B2047" i="12"/>
  <c r="C2047" i="12"/>
  <c r="E2047" i="12"/>
  <c r="F2047" i="12"/>
  <c r="B2046" i="12"/>
  <c r="C2046" i="12"/>
  <c r="E2046" i="12"/>
  <c r="F2046" i="12"/>
  <c r="B2045" i="12"/>
  <c r="C2045" i="12"/>
  <c r="E2045" i="12"/>
  <c r="F2045" i="12"/>
  <c r="B2044" i="12"/>
  <c r="C2044" i="12"/>
  <c r="E2044" i="12"/>
  <c r="F2044" i="12"/>
  <c r="B2043" i="12"/>
  <c r="C2043" i="12"/>
  <c r="E2043" i="12"/>
  <c r="F2043" i="12"/>
  <c r="B2042" i="12"/>
  <c r="C2042" i="12"/>
  <c r="E2042" i="12"/>
  <c r="F2042" i="12"/>
  <c r="B2041" i="12"/>
  <c r="C2041" i="12"/>
  <c r="E2041" i="12"/>
  <c r="F2041" i="12"/>
  <c r="B2040" i="12"/>
  <c r="C2040" i="12"/>
  <c r="E2040" i="12"/>
  <c r="F2040" i="12"/>
  <c r="B2039" i="12"/>
  <c r="C2039" i="12"/>
  <c r="E2039" i="12"/>
  <c r="F2039" i="12"/>
  <c r="B2038" i="12"/>
  <c r="C2038" i="12"/>
  <c r="E2038" i="12"/>
  <c r="F2038" i="12"/>
  <c r="B2037" i="12"/>
  <c r="C2037" i="12"/>
  <c r="E2037" i="12"/>
  <c r="F2037" i="12"/>
  <c r="B2036" i="12"/>
  <c r="C2036" i="12"/>
  <c r="E2036" i="12"/>
  <c r="F2036" i="12"/>
  <c r="B2035" i="12"/>
  <c r="C2035" i="12"/>
  <c r="E2035" i="12"/>
  <c r="F2035" i="12"/>
  <c r="B2034" i="12"/>
  <c r="C2034" i="12"/>
  <c r="E2034" i="12"/>
  <c r="F2034" i="12"/>
  <c r="B2033" i="12"/>
  <c r="C2033" i="12"/>
  <c r="E2033" i="12"/>
  <c r="F2033" i="12"/>
  <c r="B2032" i="12"/>
  <c r="C2032" i="12"/>
  <c r="E2032" i="12"/>
  <c r="F2032" i="12"/>
  <c r="B2031" i="12"/>
  <c r="C2031" i="12"/>
  <c r="E2031" i="12"/>
  <c r="F2031" i="12"/>
  <c r="B2030" i="12"/>
  <c r="C2030" i="12"/>
  <c r="E2030" i="12"/>
  <c r="F2030" i="12"/>
  <c r="B2029" i="12" l="1"/>
  <c r="C2029" i="12"/>
  <c r="E2029" i="12"/>
  <c r="F2029" i="12"/>
  <c r="B2028" i="12"/>
  <c r="C2028" i="12"/>
  <c r="E2028" i="12"/>
  <c r="F2028" i="12"/>
  <c r="B2027" i="12"/>
  <c r="C2027" i="12"/>
  <c r="E2027" i="12"/>
  <c r="F2027" i="12"/>
  <c r="B2026" i="12"/>
  <c r="C2026" i="12"/>
  <c r="E2026" i="12"/>
  <c r="F2026" i="12"/>
  <c r="B2025" i="12"/>
  <c r="C2025" i="12"/>
  <c r="E2025" i="12"/>
  <c r="F2025" i="12"/>
  <c r="B2024" i="12"/>
  <c r="C2024" i="12"/>
  <c r="E2024" i="12"/>
  <c r="F2024" i="12"/>
  <c r="B2023" i="12"/>
  <c r="C2023" i="12"/>
  <c r="E2023" i="12"/>
  <c r="F2023" i="12"/>
  <c r="B2022" i="12"/>
  <c r="C2022" i="12"/>
  <c r="E2022" i="12"/>
  <c r="F2022" i="12"/>
  <c r="B2021" i="12"/>
  <c r="C2021" i="12"/>
  <c r="E2021" i="12"/>
  <c r="F2021" i="12"/>
  <c r="B2020" i="12"/>
  <c r="C2020" i="12"/>
  <c r="E2020" i="12"/>
  <c r="F2020" i="12"/>
  <c r="B2019" i="12"/>
  <c r="C2019" i="12"/>
  <c r="E2019" i="12"/>
  <c r="F2019" i="12"/>
  <c r="R98" i="11"/>
  <c r="S98" i="11"/>
  <c r="T98" i="11"/>
  <c r="U98" i="11"/>
  <c r="R97" i="11"/>
  <c r="S97" i="11"/>
  <c r="T97" i="11"/>
  <c r="U97" i="11"/>
  <c r="R96" i="11"/>
  <c r="S96" i="11"/>
  <c r="T96" i="11"/>
  <c r="U96" i="11"/>
  <c r="R95" i="11"/>
  <c r="S95" i="11"/>
  <c r="T95" i="11"/>
  <c r="U95" i="11"/>
  <c r="R94" i="11"/>
  <c r="S94" i="11"/>
  <c r="T94" i="11"/>
  <c r="U94" i="11"/>
  <c r="R93" i="11"/>
  <c r="S93" i="11"/>
  <c r="T93" i="11"/>
  <c r="U93" i="11"/>
  <c r="R91" i="11"/>
  <c r="R92" i="11"/>
  <c r="S91" i="11"/>
  <c r="S92" i="11"/>
  <c r="T91" i="11"/>
  <c r="T92" i="11"/>
  <c r="U91" i="11"/>
  <c r="U92" i="11"/>
  <c r="R90" i="11"/>
  <c r="S90" i="11"/>
  <c r="T90" i="11"/>
  <c r="U90" i="11"/>
  <c r="R89" i="11"/>
  <c r="S89" i="11"/>
  <c r="T89" i="11"/>
  <c r="U89" i="11"/>
  <c r="R88" i="11"/>
  <c r="S88" i="11"/>
  <c r="T88" i="11"/>
  <c r="U88" i="11"/>
  <c r="R85" i="11"/>
  <c r="R86" i="11"/>
  <c r="R87" i="11"/>
  <c r="S85" i="11"/>
  <c r="S86" i="11"/>
  <c r="S87" i="11"/>
  <c r="T85" i="11"/>
  <c r="T86" i="11"/>
  <c r="T87" i="11"/>
  <c r="U85" i="11"/>
  <c r="U86" i="11"/>
  <c r="U87" i="11"/>
  <c r="R84" i="11"/>
  <c r="S84" i="11"/>
  <c r="T84" i="11"/>
  <c r="U84" i="11"/>
  <c r="R81" i="11"/>
  <c r="R82" i="11"/>
  <c r="R83" i="11"/>
  <c r="S81" i="11"/>
  <c r="S82" i="11"/>
  <c r="S83" i="11"/>
  <c r="T81" i="11"/>
  <c r="T82" i="11"/>
  <c r="T83" i="11"/>
  <c r="U81" i="11"/>
  <c r="U82" i="11"/>
  <c r="U83" i="11"/>
  <c r="R80" i="11"/>
  <c r="S80" i="11"/>
  <c r="T80" i="11"/>
  <c r="U80" i="11"/>
  <c r="R78" i="11"/>
  <c r="R79" i="11"/>
  <c r="S78" i="11"/>
  <c r="S79" i="11"/>
  <c r="T78" i="11"/>
  <c r="T79" i="11"/>
  <c r="U78" i="11"/>
  <c r="U79" i="11"/>
  <c r="R77" i="11"/>
  <c r="S77" i="11"/>
  <c r="T77" i="11"/>
  <c r="U77" i="11"/>
  <c r="R76" i="11"/>
  <c r="S76" i="11"/>
  <c r="T76" i="11"/>
  <c r="U76" i="11"/>
  <c r="R75" i="11"/>
  <c r="S75" i="11"/>
  <c r="T75" i="11"/>
  <c r="U75" i="11"/>
  <c r="R74" i="11"/>
  <c r="S74" i="11"/>
  <c r="T74" i="11"/>
  <c r="U74" i="11"/>
  <c r="R73" i="11"/>
  <c r="S73" i="11"/>
  <c r="T73" i="11"/>
  <c r="U73" i="11"/>
  <c r="R72" i="11"/>
  <c r="S72" i="11"/>
  <c r="T72" i="11"/>
  <c r="U72" i="11"/>
  <c r="B2018" i="12"/>
  <c r="C2018" i="12"/>
  <c r="E2018" i="12"/>
  <c r="F2018" i="12"/>
  <c r="B2017" i="12"/>
  <c r="C2017" i="12"/>
  <c r="E2017" i="12"/>
  <c r="F2017" i="12"/>
  <c r="B2016" i="12"/>
  <c r="C2016" i="12"/>
  <c r="E2016" i="12"/>
  <c r="F2016" i="12"/>
  <c r="B2015" i="12"/>
  <c r="C2015" i="12"/>
  <c r="E2015" i="12"/>
  <c r="F2015" i="12"/>
  <c r="B2014" i="12" l="1"/>
  <c r="C2014" i="12"/>
  <c r="E2014" i="12"/>
  <c r="F2014" i="12"/>
  <c r="B2013" i="12"/>
  <c r="C2013" i="12"/>
  <c r="E2013" i="12"/>
  <c r="F2013" i="12"/>
  <c r="B2012" i="12" l="1"/>
  <c r="C2012" i="12"/>
  <c r="E2012" i="12"/>
  <c r="F2012" i="12"/>
  <c r="B2011" i="12"/>
  <c r="C2011" i="12"/>
  <c r="E2011" i="12"/>
  <c r="F2011" i="12"/>
  <c r="B2010" i="12"/>
  <c r="C2010" i="12"/>
  <c r="E2010" i="12"/>
  <c r="F2010" i="12"/>
  <c r="B2009" i="12"/>
  <c r="C2009" i="12"/>
  <c r="E2009" i="12"/>
  <c r="F2009" i="12"/>
  <c r="B2008" i="12"/>
  <c r="C2008" i="12"/>
  <c r="E2008" i="12"/>
  <c r="F2008" i="12"/>
  <c r="B2007" i="12"/>
  <c r="C2007" i="12"/>
  <c r="E2007" i="12"/>
  <c r="F2007" i="12"/>
  <c r="B2006" i="12"/>
  <c r="C2006" i="12"/>
  <c r="E2006" i="12"/>
  <c r="F2006" i="12"/>
  <c r="B2005" i="12"/>
  <c r="C2005" i="12"/>
  <c r="E2005" i="12"/>
  <c r="F2005" i="12"/>
  <c r="B2004" i="12"/>
  <c r="C2004" i="12"/>
  <c r="E2004" i="12"/>
  <c r="F2004" i="12"/>
  <c r="B2003" i="12"/>
  <c r="C2003" i="12"/>
  <c r="E2003" i="12"/>
  <c r="F2003" i="12"/>
  <c r="B2002" i="12"/>
  <c r="C2002" i="12"/>
  <c r="E2002" i="12"/>
  <c r="F2002" i="12"/>
  <c r="B2001" i="12"/>
  <c r="C2001" i="12"/>
  <c r="E2001" i="12"/>
  <c r="F2001" i="12"/>
  <c r="B2000" i="12"/>
  <c r="C2000" i="12"/>
  <c r="E2000" i="12"/>
  <c r="F2000" i="12"/>
  <c r="B1999" i="12"/>
  <c r="C1999" i="12"/>
  <c r="E1999" i="12"/>
  <c r="F1999" i="12"/>
  <c r="B1998" i="12"/>
  <c r="C1998" i="12"/>
  <c r="E1998" i="12"/>
  <c r="F1998" i="12"/>
  <c r="B1997" i="12"/>
  <c r="C1997" i="12"/>
  <c r="E1997" i="12"/>
  <c r="F1997" i="12"/>
  <c r="B1996" i="12"/>
  <c r="C1996" i="12"/>
  <c r="E1996" i="12"/>
  <c r="F1996" i="12"/>
  <c r="B1995" i="12"/>
  <c r="C1995" i="12"/>
  <c r="E1995" i="12"/>
  <c r="F1995" i="12"/>
  <c r="B1994" i="12"/>
  <c r="C1994" i="12"/>
  <c r="E1994" i="12"/>
  <c r="F1994" i="12"/>
  <c r="B1993" i="12"/>
  <c r="C1993" i="12"/>
  <c r="E1993" i="12"/>
  <c r="F1993" i="12"/>
  <c r="B1992" i="12"/>
  <c r="C1992" i="12"/>
  <c r="E1992" i="12"/>
  <c r="F1992" i="12"/>
  <c r="B1991" i="12"/>
  <c r="C1991" i="12"/>
  <c r="E1991" i="12"/>
  <c r="F1991" i="12"/>
  <c r="B1990" i="12"/>
  <c r="C1990" i="12"/>
  <c r="E1990" i="12"/>
  <c r="F1990" i="12"/>
  <c r="B1989" i="12"/>
  <c r="C1989" i="12"/>
  <c r="E1989" i="12"/>
  <c r="F1989" i="12"/>
  <c r="B1988" i="12"/>
  <c r="C1988" i="12"/>
  <c r="E1988" i="12"/>
  <c r="F1988" i="12"/>
  <c r="B1987" i="12"/>
  <c r="C1987" i="12"/>
  <c r="E1987" i="12"/>
  <c r="F1987" i="12"/>
  <c r="B1986" i="12"/>
  <c r="C1986" i="12"/>
  <c r="E1986" i="12"/>
  <c r="F1986" i="12"/>
  <c r="B1985" i="12"/>
  <c r="C1985" i="12"/>
  <c r="E1985" i="12"/>
  <c r="F1985" i="12"/>
  <c r="B1984" i="12"/>
  <c r="C1984" i="12"/>
  <c r="E1984" i="12"/>
  <c r="F1984" i="12"/>
  <c r="B1983" i="12"/>
  <c r="C1983" i="12"/>
  <c r="E1983" i="12"/>
  <c r="F1983" i="12"/>
  <c r="B1982" i="12"/>
  <c r="C1982" i="12"/>
  <c r="E1982" i="12"/>
  <c r="F1982" i="12"/>
  <c r="B1981" i="12" l="1"/>
  <c r="C1981" i="12"/>
  <c r="E1981" i="12"/>
  <c r="F1981" i="12"/>
  <c r="B1980" i="12"/>
  <c r="C1980" i="12"/>
  <c r="E1980" i="12"/>
  <c r="F1980" i="12"/>
  <c r="B1979" i="12"/>
  <c r="C1979" i="12"/>
  <c r="E1979" i="12"/>
  <c r="F1979" i="12"/>
  <c r="B1978" i="12"/>
  <c r="C1978" i="12"/>
  <c r="E1978" i="12"/>
  <c r="F1978" i="12"/>
  <c r="B1977" i="12"/>
  <c r="C1977" i="12"/>
  <c r="E1977" i="12"/>
  <c r="F1977" i="12"/>
  <c r="B1976" i="12"/>
  <c r="C1976" i="12"/>
  <c r="E1976" i="12"/>
  <c r="F1976" i="12"/>
  <c r="B1975" i="12"/>
  <c r="C1975" i="12"/>
  <c r="E1975" i="12"/>
  <c r="F1975" i="12"/>
  <c r="B1974" i="12"/>
  <c r="C1974" i="12"/>
  <c r="E1974" i="12"/>
  <c r="F1974" i="12"/>
  <c r="B1973" i="12"/>
  <c r="C1973" i="12"/>
  <c r="E1973" i="12"/>
  <c r="F1973" i="12"/>
  <c r="B1972" i="12" l="1"/>
  <c r="C1972" i="12"/>
  <c r="E1972" i="12"/>
  <c r="F1972" i="12"/>
  <c r="B1971" i="12"/>
  <c r="C1971" i="12"/>
  <c r="E1971" i="12"/>
  <c r="F1971" i="12"/>
  <c r="B1970" i="12"/>
  <c r="C1970" i="12"/>
  <c r="E1970" i="12"/>
  <c r="F1970" i="12"/>
  <c r="B1969" i="12"/>
  <c r="C1969" i="12"/>
  <c r="E1969" i="12"/>
  <c r="F1969" i="12"/>
  <c r="B1968" i="12"/>
  <c r="C1968" i="12"/>
  <c r="E1968" i="12"/>
  <c r="F1968" i="12"/>
  <c r="B1967" i="12" l="1"/>
  <c r="C1967" i="12"/>
  <c r="E1967" i="12"/>
  <c r="F1967" i="12"/>
  <c r="B1966" i="12"/>
  <c r="C1966" i="12"/>
  <c r="E1966" i="12"/>
  <c r="F1966" i="12"/>
  <c r="B1965" i="12"/>
  <c r="C1965" i="12"/>
  <c r="E1965" i="12"/>
  <c r="F1965" i="12"/>
  <c r="B1964" i="12"/>
  <c r="C1964" i="12"/>
  <c r="E1964" i="12"/>
  <c r="F1964" i="12"/>
  <c r="B1963" i="12"/>
  <c r="C1963" i="12"/>
  <c r="E1963" i="12"/>
  <c r="F1963" i="12"/>
  <c r="B1962" i="12"/>
  <c r="C1962" i="12"/>
  <c r="E1962" i="12"/>
  <c r="F1962" i="12"/>
  <c r="B1961" i="12"/>
  <c r="C1961" i="12"/>
  <c r="E1961" i="12"/>
  <c r="F1961" i="12"/>
  <c r="B1960" i="12"/>
  <c r="C1960" i="12"/>
  <c r="E1960" i="12"/>
  <c r="F1960" i="12"/>
  <c r="B1959" i="12"/>
  <c r="C1959" i="12"/>
  <c r="E1959" i="12"/>
  <c r="F1959" i="12"/>
  <c r="B1958" i="12"/>
  <c r="C1958" i="12"/>
  <c r="E1958" i="12"/>
  <c r="F1958" i="12"/>
  <c r="B1957" i="12"/>
  <c r="C1957" i="12"/>
  <c r="E1957" i="12"/>
  <c r="F1957" i="12"/>
  <c r="B1956" i="12"/>
  <c r="C1956" i="12"/>
  <c r="E1956" i="12"/>
  <c r="F1956" i="12"/>
  <c r="B1955" i="12"/>
  <c r="C1955" i="12"/>
  <c r="E1955" i="12"/>
  <c r="F1955" i="12"/>
  <c r="B1954" i="12"/>
  <c r="C1954" i="12"/>
  <c r="E1954" i="12"/>
  <c r="F1954" i="12"/>
  <c r="B1953" i="12"/>
  <c r="C1953" i="12"/>
  <c r="E1953" i="12"/>
  <c r="F1953" i="12"/>
  <c r="B1952" i="12"/>
  <c r="C1952" i="12"/>
  <c r="E1952" i="12"/>
  <c r="F1952" i="12"/>
  <c r="B1951" i="12"/>
  <c r="C1951" i="12"/>
  <c r="E1951" i="12"/>
  <c r="F1951" i="12"/>
  <c r="B1950" i="12"/>
  <c r="C1950" i="12"/>
  <c r="E1950" i="12"/>
  <c r="F1950" i="12"/>
  <c r="B1949" i="12"/>
  <c r="C1949" i="12"/>
  <c r="E1949" i="12"/>
  <c r="F1949" i="12"/>
  <c r="B1948" i="12"/>
  <c r="C1948" i="12"/>
  <c r="E1948" i="12"/>
  <c r="F1948" i="12"/>
  <c r="B1947" i="12"/>
  <c r="C1947" i="12"/>
  <c r="E1947" i="12"/>
  <c r="F1947" i="12"/>
  <c r="B1946" i="12"/>
  <c r="C1946" i="12"/>
  <c r="E1946" i="12"/>
  <c r="F1946" i="12"/>
  <c r="B1945" i="12"/>
  <c r="C1945" i="12"/>
  <c r="E1945" i="12"/>
  <c r="F1945" i="12"/>
  <c r="B1944" i="12"/>
  <c r="C1944" i="12"/>
  <c r="E1944" i="12"/>
  <c r="F1944" i="12"/>
  <c r="B1943" i="12"/>
  <c r="C1943" i="12"/>
  <c r="E1943" i="12"/>
  <c r="F1943" i="12"/>
  <c r="B1942" i="12"/>
  <c r="C1942" i="12"/>
  <c r="E1942" i="12"/>
  <c r="F1942" i="12"/>
  <c r="B1941" i="12"/>
  <c r="C1941" i="12"/>
  <c r="E1941" i="12"/>
  <c r="F1941" i="12"/>
  <c r="B1940" i="12"/>
  <c r="C1940" i="12"/>
  <c r="E1940" i="12"/>
  <c r="F1940" i="12"/>
  <c r="B1939" i="12"/>
  <c r="C1939" i="12"/>
  <c r="E1939" i="12"/>
  <c r="F1939" i="12"/>
  <c r="B1938" i="12"/>
  <c r="C1938" i="12"/>
  <c r="E1938" i="12"/>
  <c r="F1938" i="12"/>
  <c r="B1937" i="12"/>
  <c r="C1937" i="12"/>
  <c r="E1937" i="12"/>
  <c r="F1937" i="12"/>
  <c r="B1936" i="12"/>
  <c r="C1936" i="12"/>
  <c r="E1936" i="12"/>
  <c r="F1936" i="12"/>
  <c r="B1935" i="12"/>
  <c r="C1935" i="12"/>
  <c r="E1935" i="12"/>
  <c r="F1935" i="12"/>
  <c r="B1934" i="12"/>
  <c r="C1934" i="12"/>
  <c r="E1934" i="12"/>
  <c r="F1934" i="12"/>
  <c r="B1933" i="12"/>
  <c r="C1933" i="12"/>
  <c r="E1933" i="12"/>
  <c r="F1933" i="12"/>
  <c r="B1932" i="12"/>
  <c r="C1932" i="12"/>
  <c r="E1932" i="12"/>
  <c r="F1932" i="12"/>
  <c r="B1931" i="12"/>
  <c r="C1931" i="12"/>
  <c r="E1931" i="12"/>
  <c r="F1931" i="12"/>
  <c r="B1930" i="12"/>
  <c r="C1930" i="12"/>
  <c r="E1930" i="12"/>
  <c r="F1930" i="12"/>
  <c r="B1929" i="12"/>
  <c r="C1929" i="12"/>
  <c r="E1929" i="12"/>
  <c r="F1929" i="12"/>
  <c r="B1928" i="12"/>
  <c r="C1928" i="12"/>
  <c r="E1928" i="12"/>
  <c r="F1928" i="12"/>
  <c r="B1927" i="12"/>
  <c r="C1927" i="12"/>
  <c r="E1927" i="12"/>
  <c r="F1927" i="12"/>
  <c r="B1926" i="12"/>
  <c r="C1926" i="12"/>
  <c r="E1926" i="12"/>
  <c r="F1926" i="12"/>
  <c r="B1925" i="12"/>
  <c r="C1925" i="12"/>
  <c r="E1925" i="12"/>
  <c r="F1925" i="12"/>
  <c r="B1924" i="12"/>
  <c r="C1924" i="12"/>
  <c r="E1924" i="12"/>
  <c r="F1924" i="12"/>
  <c r="B1923" i="12"/>
  <c r="C1923" i="12"/>
  <c r="E1923" i="12"/>
  <c r="F1923" i="12"/>
  <c r="B1922" i="12"/>
  <c r="C1922" i="12"/>
  <c r="E1922" i="12"/>
  <c r="F1922" i="12"/>
  <c r="B1921" i="12"/>
  <c r="C1921" i="12"/>
  <c r="E1921" i="12"/>
  <c r="F1921" i="12"/>
  <c r="B1920" i="12"/>
  <c r="C1920" i="12"/>
  <c r="E1920" i="12"/>
  <c r="F1920" i="12"/>
  <c r="B1919" i="12"/>
  <c r="C1919" i="12"/>
  <c r="E1919" i="12"/>
  <c r="F1919" i="12"/>
  <c r="B1918" i="12"/>
  <c r="C1918" i="12"/>
  <c r="E1918" i="12"/>
  <c r="F1918" i="12"/>
  <c r="B1917" i="12"/>
  <c r="C1917" i="12"/>
  <c r="E1917" i="12"/>
  <c r="F1917" i="12"/>
  <c r="B1916" i="12"/>
  <c r="C1916" i="12"/>
  <c r="E1916" i="12"/>
  <c r="F1916" i="12"/>
  <c r="B1915" i="12"/>
  <c r="C1915" i="12"/>
  <c r="E1915" i="12"/>
  <c r="F1915" i="12"/>
  <c r="B1914" i="12"/>
  <c r="C1914" i="12"/>
  <c r="E1914" i="12"/>
  <c r="F1914" i="12"/>
  <c r="B1913" i="12"/>
  <c r="C1913" i="12"/>
  <c r="E1913" i="12"/>
  <c r="F1913" i="12"/>
  <c r="B1912" i="12"/>
  <c r="C1912" i="12"/>
  <c r="E1912" i="12"/>
  <c r="F1912" i="12"/>
  <c r="B1911" i="12"/>
  <c r="C1911" i="12"/>
  <c r="E1911" i="12"/>
  <c r="F1911" i="12"/>
  <c r="B1910" i="12"/>
  <c r="C1910" i="12"/>
  <c r="E1910" i="12"/>
  <c r="F1910" i="12"/>
  <c r="B1909" i="12"/>
  <c r="C1909" i="12"/>
  <c r="E1909" i="12"/>
  <c r="F1909" i="12"/>
  <c r="B1908" i="12"/>
  <c r="C1908" i="12"/>
  <c r="E1908" i="12"/>
  <c r="F1908" i="12"/>
  <c r="B1907" i="12"/>
  <c r="C1907" i="12"/>
  <c r="E1907" i="12"/>
  <c r="F1907" i="12"/>
  <c r="B1906" i="12"/>
  <c r="C1906" i="12"/>
  <c r="E1906" i="12"/>
  <c r="F1906" i="12"/>
  <c r="B1905" i="12"/>
  <c r="C1905" i="12"/>
  <c r="E1905" i="12"/>
  <c r="F1905" i="12"/>
  <c r="B1904" i="12"/>
  <c r="C1904" i="12"/>
  <c r="E1904" i="12"/>
  <c r="F1904" i="12"/>
  <c r="B1903" i="12"/>
  <c r="C1903" i="12"/>
  <c r="E1903" i="12"/>
  <c r="F1903" i="12"/>
  <c r="B1902" i="12"/>
  <c r="C1902" i="12"/>
  <c r="E1902" i="12"/>
  <c r="F1902" i="12"/>
  <c r="B1901" i="12"/>
  <c r="C1901" i="12"/>
  <c r="E1901" i="12"/>
  <c r="F1901" i="12"/>
  <c r="B1900" i="12"/>
  <c r="C1900" i="12"/>
  <c r="E1900" i="12"/>
  <c r="F1900" i="12"/>
  <c r="B1899" i="12"/>
  <c r="C1899" i="12"/>
  <c r="E1899" i="12"/>
  <c r="F1899" i="12"/>
  <c r="B1898" i="12"/>
  <c r="C1898" i="12"/>
  <c r="E1898" i="12"/>
  <c r="F1898" i="12"/>
  <c r="B1897" i="12"/>
  <c r="C1897" i="12"/>
  <c r="E1897" i="12"/>
  <c r="F1897" i="12"/>
  <c r="B1896" i="12"/>
  <c r="C1896" i="12"/>
  <c r="E1896" i="12"/>
  <c r="F1896" i="12"/>
  <c r="B1895" i="12"/>
  <c r="C1895" i="12"/>
  <c r="E1895" i="12"/>
  <c r="F1895" i="12"/>
  <c r="B1894" i="12"/>
  <c r="C1894" i="12"/>
  <c r="E1894" i="12"/>
  <c r="F1894" i="12"/>
  <c r="B1893" i="12"/>
  <c r="C1893" i="12"/>
  <c r="E1893" i="12"/>
  <c r="F1893" i="12"/>
  <c r="B1892" i="12"/>
  <c r="C1892" i="12"/>
  <c r="E1892" i="12"/>
  <c r="F1892" i="12"/>
  <c r="B1891" i="12"/>
  <c r="C1891" i="12"/>
  <c r="E1891" i="12"/>
  <c r="F1891" i="12"/>
  <c r="B1890" i="12"/>
  <c r="C1890" i="12"/>
  <c r="E1890" i="12"/>
  <c r="F1890" i="12"/>
  <c r="B1889" i="12"/>
  <c r="C1889" i="12"/>
  <c r="E1889" i="12"/>
  <c r="F1889" i="12"/>
  <c r="B1888" i="12"/>
  <c r="C1888" i="12"/>
  <c r="E1888" i="12"/>
  <c r="F1888" i="12"/>
  <c r="B1887" i="12"/>
  <c r="C1887" i="12"/>
  <c r="E1887" i="12"/>
  <c r="F1887" i="12"/>
  <c r="B1886" i="12"/>
  <c r="C1886" i="12"/>
  <c r="E1886" i="12"/>
  <c r="F1886" i="12"/>
  <c r="B1885" i="12"/>
  <c r="C1885" i="12"/>
  <c r="E1885" i="12"/>
  <c r="F1885" i="12"/>
  <c r="B1884" i="12"/>
  <c r="C1884" i="12"/>
  <c r="E1884" i="12"/>
  <c r="F1884" i="12"/>
  <c r="B1883" i="12"/>
  <c r="C1883" i="12"/>
  <c r="E1883" i="12"/>
  <c r="F1883" i="12"/>
  <c r="B1882" i="12"/>
  <c r="C1882" i="12"/>
  <c r="E1882" i="12"/>
  <c r="F1882" i="12"/>
  <c r="B1881" i="12"/>
  <c r="C1881" i="12"/>
  <c r="E1881" i="12"/>
  <c r="F1881" i="12"/>
  <c r="B1880" i="12"/>
  <c r="C1880" i="12"/>
  <c r="E1880" i="12"/>
  <c r="F1880" i="12"/>
  <c r="B1879" i="12"/>
  <c r="C1879" i="12"/>
  <c r="E1879" i="12"/>
  <c r="F1879" i="12"/>
  <c r="B1878" i="12"/>
  <c r="C1878" i="12"/>
  <c r="E1878" i="12"/>
  <c r="F1878" i="12"/>
  <c r="B1877" i="12"/>
  <c r="C1877" i="12"/>
  <c r="E1877" i="12"/>
  <c r="F1877" i="12"/>
  <c r="B1876" i="12"/>
  <c r="C1876" i="12"/>
  <c r="E1876" i="12"/>
  <c r="F1876" i="12"/>
  <c r="B1875" i="12"/>
  <c r="C1875" i="12"/>
  <c r="E1875" i="12"/>
  <c r="F1875" i="12"/>
  <c r="B1874" i="12"/>
  <c r="C1874" i="12"/>
  <c r="E1874" i="12"/>
  <c r="F1874" i="12"/>
  <c r="B1873" i="12"/>
  <c r="C1873" i="12"/>
  <c r="E1873" i="12"/>
  <c r="F1873" i="12"/>
  <c r="B1872" i="12"/>
  <c r="C1872" i="12"/>
  <c r="E1872" i="12"/>
  <c r="F1872" i="12"/>
  <c r="B1871" i="12"/>
  <c r="C1871" i="12"/>
  <c r="E1871" i="12"/>
  <c r="F1871" i="12"/>
  <c r="B1870" i="12"/>
  <c r="C1870" i="12"/>
  <c r="E1870" i="12"/>
  <c r="F1870" i="12"/>
  <c r="B1869" i="12"/>
  <c r="C1869" i="12"/>
  <c r="E1869" i="12"/>
  <c r="F1869" i="12"/>
  <c r="B1868" i="12"/>
  <c r="C1868" i="12"/>
  <c r="E1868" i="12"/>
  <c r="F1868" i="12"/>
  <c r="B1867" i="12"/>
  <c r="C1867" i="12"/>
  <c r="E1867" i="12"/>
  <c r="F1867" i="12"/>
  <c r="B1866" i="12"/>
  <c r="C1866" i="12"/>
  <c r="E1866" i="12"/>
  <c r="F1866" i="12"/>
  <c r="B1865" i="12"/>
  <c r="C1865" i="12"/>
  <c r="E1865" i="12"/>
  <c r="F1865" i="12"/>
  <c r="B1864" i="12"/>
  <c r="C1864" i="12"/>
  <c r="E1864" i="12"/>
  <c r="F1864" i="12"/>
  <c r="B1863" i="12"/>
  <c r="C1863" i="12"/>
  <c r="E1863" i="12"/>
  <c r="F1863" i="12"/>
  <c r="B1862" i="12"/>
  <c r="C1862" i="12"/>
  <c r="E1862" i="12"/>
  <c r="F1862" i="12"/>
  <c r="B1861" i="12"/>
  <c r="C1861" i="12"/>
  <c r="E1861" i="12"/>
  <c r="F1861" i="12"/>
  <c r="B1860" i="12"/>
  <c r="C1860" i="12"/>
  <c r="E1860" i="12"/>
  <c r="F1860" i="12"/>
  <c r="B1859" i="12"/>
  <c r="C1859" i="12"/>
  <c r="E1859" i="12"/>
  <c r="F1859" i="12"/>
  <c r="B1858" i="12"/>
  <c r="C1858" i="12"/>
  <c r="E1858" i="12"/>
  <c r="F1858" i="12"/>
  <c r="B1857" i="12"/>
  <c r="C1857" i="12"/>
  <c r="E1857" i="12"/>
  <c r="F1857" i="12"/>
  <c r="B1856" i="12"/>
  <c r="C1856" i="12"/>
  <c r="E1856" i="12"/>
  <c r="F1856" i="12"/>
  <c r="B1855" i="12"/>
  <c r="C1855" i="12"/>
  <c r="E1855" i="12"/>
  <c r="F1855" i="12"/>
  <c r="B1854" i="12"/>
  <c r="C1854" i="12"/>
  <c r="E1854" i="12"/>
  <c r="F1854" i="12"/>
  <c r="B1853" i="12"/>
  <c r="C1853" i="12"/>
  <c r="E1853" i="12"/>
  <c r="F1853" i="12"/>
  <c r="B1852" i="12"/>
  <c r="C1852" i="12"/>
  <c r="E1852" i="12"/>
  <c r="F1852" i="12"/>
  <c r="B1851" i="12"/>
  <c r="C1851" i="12"/>
  <c r="E1851" i="12"/>
  <c r="F1851" i="12"/>
  <c r="B1850" i="12"/>
  <c r="C1850" i="12"/>
  <c r="E1850" i="12"/>
  <c r="F1850" i="12"/>
  <c r="B1849" i="12"/>
  <c r="C1849" i="12"/>
  <c r="E1849" i="12"/>
  <c r="F1849" i="12"/>
  <c r="B1848" i="12"/>
  <c r="C1848" i="12"/>
  <c r="E1848" i="12"/>
  <c r="F1848" i="12"/>
  <c r="B1847" i="12"/>
  <c r="C1847" i="12"/>
  <c r="E1847" i="12"/>
  <c r="F1847" i="12"/>
  <c r="B1846" i="12"/>
  <c r="C1846" i="12"/>
  <c r="E1846" i="12"/>
  <c r="F1846" i="12"/>
  <c r="B1845" i="12"/>
  <c r="C1845" i="12"/>
  <c r="E1845" i="12"/>
  <c r="F1845" i="12"/>
  <c r="B1844" i="12"/>
  <c r="C1844" i="12"/>
  <c r="E1844" i="12"/>
  <c r="F1844" i="12"/>
  <c r="B1843" i="12"/>
  <c r="C1843" i="12"/>
  <c r="E1843" i="12"/>
  <c r="F1843" i="12"/>
  <c r="B1842" i="12"/>
  <c r="C1842" i="12"/>
  <c r="E1842" i="12"/>
  <c r="F1842" i="12"/>
  <c r="B1841" i="12"/>
  <c r="C1841" i="12"/>
  <c r="E1841" i="12"/>
  <c r="F1841" i="12"/>
  <c r="B1840" i="12"/>
  <c r="C1840" i="12"/>
  <c r="E1840" i="12"/>
  <c r="F1840" i="12"/>
  <c r="B1839" i="12"/>
  <c r="C1839" i="12"/>
  <c r="E1839" i="12"/>
  <c r="F1839" i="12"/>
  <c r="B1838" i="12"/>
  <c r="C1838" i="12"/>
  <c r="E1838" i="12"/>
  <c r="F1838" i="12"/>
  <c r="B1837" i="12"/>
  <c r="C1837" i="12"/>
  <c r="E1837" i="12"/>
  <c r="F1837" i="12"/>
  <c r="B1836" i="12"/>
  <c r="C1836" i="12"/>
  <c r="E1836" i="12"/>
  <c r="F1836" i="12"/>
  <c r="B1835" i="12"/>
  <c r="C1835" i="12"/>
  <c r="E1835" i="12"/>
  <c r="F1835" i="12"/>
  <c r="B1834" i="12"/>
  <c r="C1834" i="12"/>
  <c r="E1834" i="12"/>
  <c r="F1834" i="12"/>
  <c r="B1833" i="12"/>
  <c r="C1833" i="12"/>
  <c r="E1833" i="12"/>
  <c r="F1833" i="12"/>
  <c r="B1832" i="12"/>
  <c r="C1832" i="12"/>
  <c r="E1832" i="12"/>
  <c r="F1832" i="12"/>
  <c r="B1831" i="12"/>
  <c r="C1831" i="12"/>
  <c r="E1831" i="12"/>
  <c r="F1831" i="12"/>
  <c r="B1830" i="12"/>
  <c r="C1830" i="12"/>
  <c r="E1830" i="12"/>
  <c r="F1830" i="12"/>
  <c r="B1829" i="12"/>
  <c r="C1829" i="12"/>
  <c r="E1829" i="12"/>
  <c r="F1829" i="12"/>
  <c r="B1828" i="12"/>
  <c r="C1828" i="12"/>
  <c r="E1828" i="12"/>
  <c r="F1828" i="12"/>
  <c r="B1827" i="12"/>
  <c r="C1827" i="12"/>
  <c r="E1827" i="12"/>
  <c r="F1827" i="12"/>
  <c r="B1826" i="12"/>
  <c r="C1826" i="12"/>
  <c r="E1826" i="12"/>
  <c r="F1826" i="12"/>
  <c r="B1825" i="12"/>
  <c r="C1825" i="12"/>
  <c r="E1825" i="12"/>
  <c r="F1825" i="12"/>
  <c r="B1824" i="12"/>
  <c r="C1824" i="12"/>
  <c r="E1824" i="12"/>
  <c r="F1824" i="12"/>
  <c r="B1823" i="12"/>
  <c r="C1823" i="12"/>
  <c r="E1823" i="12"/>
  <c r="F1823" i="12"/>
  <c r="B1822" i="12"/>
  <c r="C1822" i="12"/>
  <c r="E1822" i="12"/>
  <c r="F1822" i="12"/>
  <c r="B1821" i="12"/>
  <c r="C1821" i="12"/>
  <c r="E1821" i="12"/>
  <c r="F1821" i="12"/>
  <c r="B1820" i="12"/>
  <c r="C1820" i="12"/>
  <c r="E1820" i="12"/>
  <c r="F1820" i="12"/>
  <c r="B1819" i="12"/>
  <c r="C1819" i="12"/>
  <c r="E1819" i="12"/>
  <c r="F1819" i="12"/>
  <c r="B1818" i="12"/>
  <c r="C1818" i="12"/>
  <c r="E1818" i="12"/>
  <c r="F1818" i="12"/>
  <c r="B1817" i="12"/>
  <c r="C1817" i="12"/>
  <c r="E1817" i="12"/>
  <c r="F1817" i="12"/>
  <c r="B1816" i="12"/>
  <c r="C1816" i="12"/>
  <c r="E1816" i="12"/>
  <c r="F1816" i="12"/>
  <c r="B1815" i="12"/>
  <c r="C1815" i="12"/>
  <c r="E1815" i="12"/>
  <c r="F1815" i="12"/>
  <c r="B1814" i="12"/>
  <c r="C1814" i="12"/>
  <c r="E1814" i="12"/>
  <c r="F1814" i="12"/>
  <c r="B1813" i="12"/>
  <c r="C1813" i="12"/>
  <c r="E1813" i="12"/>
  <c r="F1813" i="12"/>
  <c r="B1812" i="12"/>
  <c r="C1812" i="12"/>
  <c r="E1812" i="12"/>
  <c r="F1812" i="12"/>
  <c r="B1811" i="12"/>
  <c r="C1811" i="12"/>
  <c r="E1811" i="12"/>
  <c r="F1811" i="12"/>
  <c r="B1810" i="12"/>
  <c r="C1810" i="12"/>
  <c r="E1810" i="12"/>
  <c r="F1810" i="12"/>
  <c r="B1809" i="12"/>
  <c r="C1809" i="12"/>
  <c r="E1809" i="12"/>
  <c r="F1809" i="12"/>
  <c r="B1808" i="12"/>
  <c r="C1808" i="12"/>
  <c r="E1808" i="12"/>
  <c r="F1808" i="12"/>
  <c r="B1807" i="12"/>
  <c r="C1807" i="12"/>
  <c r="E1807" i="12"/>
  <c r="F1807" i="12"/>
  <c r="B1806" i="12"/>
  <c r="C1806" i="12"/>
  <c r="E1806" i="12"/>
  <c r="F1806" i="12"/>
  <c r="B1805" i="12"/>
  <c r="C1805" i="12"/>
  <c r="E1805" i="12"/>
  <c r="F1805" i="12"/>
  <c r="B1804" i="12"/>
  <c r="C1804" i="12"/>
  <c r="E1804" i="12"/>
  <c r="F1804" i="12"/>
  <c r="B1803" i="12"/>
  <c r="C1803" i="12"/>
  <c r="E1803" i="12"/>
  <c r="F1803" i="12"/>
  <c r="B1802" i="12"/>
  <c r="C1802" i="12"/>
  <c r="E1802" i="12"/>
  <c r="F1802" i="12"/>
  <c r="B1801" i="12"/>
  <c r="C1801" i="12"/>
  <c r="E1801" i="12"/>
  <c r="F1801" i="12"/>
  <c r="B1800" i="12"/>
  <c r="C1800" i="12"/>
  <c r="E1800" i="12"/>
  <c r="F1800" i="12"/>
  <c r="B1799" i="12"/>
  <c r="C1799" i="12"/>
  <c r="E1799" i="12"/>
  <c r="F1799" i="12"/>
  <c r="B1798" i="12"/>
  <c r="C1798" i="12"/>
  <c r="E1798" i="12"/>
  <c r="F1798" i="12"/>
  <c r="B1797" i="12"/>
  <c r="C1797" i="12"/>
  <c r="E1797" i="12"/>
  <c r="F1797" i="12"/>
  <c r="B1796" i="12"/>
  <c r="C1796" i="12"/>
  <c r="E1796" i="12"/>
  <c r="F1796" i="12"/>
  <c r="B1795" i="12"/>
  <c r="C1795" i="12"/>
  <c r="E1795" i="12"/>
  <c r="F1795" i="12"/>
  <c r="B1794" i="12"/>
  <c r="C1794" i="12"/>
  <c r="E1794" i="12"/>
  <c r="F1794" i="12"/>
  <c r="B1793" i="12"/>
  <c r="C1793" i="12"/>
  <c r="E1793" i="12"/>
  <c r="F1793" i="12"/>
  <c r="B1792" i="12"/>
  <c r="C1792" i="12"/>
  <c r="E1792" i="12"/>
  <c r="F1792" i="12"/>
  <c r="B1791" i="12"/>
  <c r="C1791" i="12"/>
  <c r="E1791" i="12"/>
  <c r="F1791" i="12"/>
  <c r="B1790" i="12"/>
  <c r="C1790" i="12"/>
  <c r="E1790" i="12"/>
  <c r="F1790" i="12"/>
  <c r="B1789" i="12"/>
  <c r="C1789" i="12"/>
  <c r="E1789" i="12"/>
  <c r="F1789" i="12"/>
  <c r="B1788" i="12"/>
  <c r="C1788" i="12"/>
  <c r="E1788" i="12"/>
  <c r="F1788" i="12"/>
  <c r="B1787" i="12"/>
  <c r="C1787" i="12"/>
  <c r="E1787" i="12"/>
  <c r="F1787" i="12"/>
  <c r="B1786" i="12"/>
  <c r="C1786" i="12"/>
  <c r="E1786" i="12"/>
  <c r="F1786" i="12"/>
  <c r="B1785" i="12"/>
  <c r="C1785" i="12"/>
  <c r="E1785" i="12"/>
  <c r="F1785" i="12"/>
  <c r="B1784" i="12"/>
  <c r="C1784" i="12"/>
  <c r="E1784" i="12"/>
  <c r="F1784" i="12"/>
  <c r="B1783" i="12"/>
  <c r="C1783" i="12"/>
  <c r="E1783" i="12"/>
  <c r="F1783" i="12"/>
  <c r="B1782" i="12"/>
  <c r="C1782" i="12"/>
  <c r="E1782" i="12"/>
  <c r="F1782" i="12"/>
  <c r="B1781" i="12"/>
  <c r="C1781" i="12"/>
  <c r="E1781" i="12"/>
  <c r="F1781" i="12"/>
  <c r="B1780" i="12"/>
  <c r="C1780" i="12"/>
  <c r="E1780" i="12"/>
  <c r="F1780" i="12"/>
  <c r="B1779" i="12"/>
  <c r="C1779" i="12"/>
  <c r="E1779" i="12"/>
  <c r="F1779" i="12"/>
  <c r="B1778" i="12"/>
  <c r="C1778" i="12"/>
  <c r="E1778" i="12"/>
  <c r="F1778" i="12"/>
  <c r="B1777" i="12"/>
  <c r="C1777" i="12"/>
  <c r="E1777" i="12"/>
  <c r="F1777" i="12"/>
  <c r="B1776" i="12"/>
  <c r="C1776" i="12"/>
  <c r="E1776" i="12"/>
  <c r="F1776" i="12"/>
  <c r="B1775" i="12"/>
  <c r="C1775" i="12"/>
  <c r="E1775" i="12"/>
  <c r="F1775" i="12"/>
  <c r="B1774" i="12" l="1"/>
  <c r="C1774" i="12"/>
  <c r="E1774" i="12"/>
  <c r="F1774" i="12"/>
  <c r="B1773" i="12" l="1"/>
  <c r="C1773" i="12"/>
  <c r="E1773" i="12"/>
  <c r="F1773" i="12"/>
  <c r="B1772" i="12"/>
  <c r="C1772" i="12"/>
  <c r="E1772" i="12"/>
  <c r="F1772" i="12"/>
  <c r="B1771" i="12"/>
  <c r="C1771" i="12"/>
  <c r="E1771" i="12"/>
  <c r="F1771" i="12"/>
  <c r="B1770" i="12"/>
  <c r="C1770" i="12"/>
  <c r="E1770" i="12"/>
  <c r="F1770" i="12"/>
  <c r="P212" i="8"/>
  <c r="Q212" i="8" s="1"/>
  <c r="P252" i="8"/>
  <c r="Q252" i="8" s="1"/>
  <c r="P253" i="8"/>
  <c r="Q253" i="8" s="1"/>
  <c r="P245" i="8"/>
  <c r="Q245" i="8" s="1"/>
  <c r="P246" i="8"/>
  <c r="Q246" i="8" s="1"/>
  <c r="P247" i="8"/>
  <c r="Q247" i="8" s="1"/>
  <c r="P248" i="8"/>
  <c r="Q248" i="8" s="1"/>
  <c r="P249" i="8"/>
  <c r="Q249" i="8" s="1"/>
  <c r="P250" i="8"/>
  <c r="Q250" i="8" s="1"/>
  <c r="P251" i="8"/>
  <c r="Q251" i="8" s="1"/>
  <c r="P236" i="8"/>
  <c r="Q236" i="8" s="1"/>
  <c r="P237" i="8"/>
  <c r="Q237" i="8" s="1"/>
  <c r="P238" i="8"/>
  <c r="Q238" i="8" s="1"/>
  <c r="P239" i="8"/>
  <c r="Q239" i="8" s="1"/>
  <c r="P240" i="8"/>
  <c r="Q240" i="8" s="1"/>
  <c r="P241" i="8"/>
  <c r="Q241" i="8" s="1"/>
  <c r="P242" i="8"/>
  <c r="Q242" i="8" s="1"/>
  <c r="P243" i="8"/>
  <c r="Q243" i="8" s="1"/>
  <c r="P244" i="8"/>
  <c r="Q244" i="8" s="1"/>
  <c r="P235" i="8"/>
  <c r="Q235" i="8" s="1"/>
  <c r="P228" i="8"/>
  <c r="Q228" i="8" s="1"/>
  <c r="P229" i="8"/>
  <c r="Q229" i="8" s="1"/>
  <c r="P230" i="8"/>
  <c r="Q230" i="8" s="1"/>
  <c r="P231" i="8"/>
  <c r="Q231" i="8" s="1"/>
  <c r="P232" i="8"/>
  <c r="Q232" i="8" s="1"/>
  <c r="P233" i="8"/>
  <c r="Q233" i="8" s="1"/>
  <c r="P234" i="8"/>
  <c r="Q234" i="8" s="1"/>
  <c r="P225" i="8"/>
  <c r="Q225" i="8" s="1"/>
  <c r="P226" i="8"/>
  <c r="Q226" i="8" s="1"/>
  <c r="P227" i="8"/>
  <c r="Q227" i="8" s="1"/>
  <c r="P224" i="8"/>
  <c r="Q224" i="8" s="1"/>
  <c r="P219" i="8"/>
  <c r="Q219" i="8" s="1"/>
  <c r="P220" i="8"/>
  <c r="Q220" i="8" s="1"/>
  <c r="P221" i="8"/>
  <c r="Q221" i="8" s="1"/>
  <c r="P222" i="8"/>
  <c r="Q222" i="8" s="1"/>
  <c r="P223" i="8"/>
  <c r="Q223" i="8" s="1"/>
  <c r="P217" i="8"/>
  <c r="Q217" i="8" s="1"/>
  <c r="P218" i="8"/>
  <c r="Q218" i="8" s="1"/>
  <c r="P216" i="8"/>
  <c r="Q216" i="8" s="1"/>
  <c r="P213" i="8"/>
  <c r="Q213" i="8" s="1"/>
  <c r="P214" i="8"/>
  <c r="Q214" i="8" s="1"/>
  <c r="P215" i="8"/>
  <c r="Q215" i="8" s="1"/>
  <c r="B1769" i="12"/>
  <c r="C1769" i="12"/>
  <c r="E1769" i="12"/>
  <c r="F1769" i="12"/>
  <c r="B1768" i="12"/>
  <c r="C1768" i="12"/>
  <c r="E1768" i="12"/>
  <c r="F1768" i="12"/>
  <c r="R70" i="11"/>
  <c r="R71" i="11"/>
  <c r="S70" i="11"/>
  <c r="S71" i="11"/>
  <c r="T70" i="11"/>
  <c r="T71" i="11"/>
  <c r="U70" i="11"/>
  <c r="U71" i="11"/>
  <c r="R69" i="11"/>
  <c r="S69" i="11"/>
  <c r="T69" i="11"/>
  <c r="U69" i="11"/>
  <c r="R68" i="11"/>
  <c r="S68" i="11"/>
  <c r="T68" i="11"/>
  <c r="U68" i="11"/>
  <c r="B1767" i="12"/>
  <c r="C1767" i="12"/>
  <c r="E1767" i="12"/>
  <c r="F1767" i="12"/>
  <c r="B1766" i="12"/>
  <c r="C1766" i="12"/>
  <c r="E1766" i="12"/>
  <c r="F1766" i="12"/>
  <c r="B1765" i="12"/>
  <c r="C1765" i="12"/>
  <c r="E1765" i="12"/>
  <c r="F1765" i="12"/>
  <c r="B1764" i="12" l="1"/>
  <c r="C1764" i="12"/>
  <c r="E1764" i="12"/>
  <c r="F1764" i="12"/>
  <c r="B1763" i="12"/>
  <c r="C1763" i="12"/>
  <c r="E1763" i="12"/>
  <c r="F1763" i="12"/>
  <c r="B1762" i="12" l="1"/>
  <c r="C1762" i="12"/>
  <c r="E1762" i="12"/>
  <c r="F1762" i="12"/>
  <c r="B1761" i="12"/>
  <c r="C1761" i="12"/>
  <c r="E1761" i="12"/>
  <c r="F1761" i="12"/>
  <c r="B1760" i="12" l="1"/>
  <c r="C1760" i="12"/>
  <c r="E1760" i="12"/>
  <c r="F1760" i="12"/>
  <c r="B1759" i="12"/>
  <c r="C1759" i="12"/>
  <c r="E1759" i="12"/>
  <c r="F1759" i="12"/>
  <c r="B1758" i="12" l="1"/>
  <c r="C1758" i="12"/>
  <c r="E1758" i="12"/>
  <c r="F1758" i="12"/>
  <c r="B1757" i="12"/>
  <c r="C1757" i="12"/>
  <c r="E1757" i="12"/>
  <c r="F1757" i="12"/>
  <c r="B1756" i="12" l="1"/>
  <c r="C1756" i="12"/>
  <c r="E1756" i="12"/>
  <c r="F1756" i="12"/>
  <c r="B1755" i="12"/>
  <c r="C1755" i="12"/>
  <c r="E1755" i="12"/>
  <c r="F1755" i="12"/>
  <c r="B1754" i="12"/>
  <c r="C1754" i="12"/>
  <c r="E1754" i="12"/>
  <c r="F1754" i="12"/>
  <c r="B1753" i="12"/>
  <c r="C1753" i="12"/>
  <c r="E1753" i="12"/>
  <c r="F1753" i="12"/>
  <c r="B1752" i="12" l="1"/>
  <c r="C1752" i="12"/>
  <c r="E1752" i="12"/>
  <c r="F1752" i="12"/>
  <c r="B1751" i="12"/>
  <c r="C1751" i="12"/>
  <c r="E1751" i="12"/>
  <c r="F1751" i="12"/>
  <c r="B1750" i="12"/>
  <c r="C1750" i="12"/>
  <c r="E1750" i="12"/>
  <c r="F1750" i="12"/>
  <c r="B1749" i="12"/>
  <c r="C1749" i="12"/>
  <c r="E1749" i="12"/>
  <c r="F1749" i="12"/>
  <c r="B1748" i="12"/>
  <c r="C1748" i="12"/>
  <c r="E1748" i="12"/>
  <c r="F1748" i="12"/>
  <c r="B1747" i="12"/>
  <c r="C1747" i="12"/>
  <c r="E1747" i="12"/>
  <c r="F1747" i="12"/>
  <c r="B1746" i="12"/>
  <c r="C1746" i="12"/>
  <c r="E1746" i="12"/>
  <c r="F1746" i="12"/>
  <c r="B1745" i="12"/>
  <c r="C1745" i="12"/>
  <c r="E1745" i="12"/>
  <c r="F1745" i="12"/>
  <c r="B1744" i="12"/>
  <c r="C1744" i="12"/>
  <c r="E1744" i="12"/>
  <c r="F1744" i="12"/>
  <c r="B1743" i="12"/>
  <c r="C1743" i="12"/>
  <c r="E1743" i="12"/>
  <c r="F1743" i="12"/>
  <c r="B1742" i="12"/>
  <c r="C1742" i="12"/>
  <c r="E1742" i="12"/>
  <c r="F1742" i="12"/>
  <c r="B1741" i="12"/>
  <c r="C1741" i="12"/>
  <c r="E1741" i="12"/>
  <c r="F1741" i="12"/>
  <c r="B1740" i="12"/>
  <c r="C1740" i="12"/>
  <c r="E1740" i="12"/>
  <c r="F1740" i="12"/>
  <c r="B1739" i="12"/>
  <c r="C1739" i="12"/>
  <c r="E1739" i="12"/>
  <c r="F1739" i="12"/>
  <c r="B1738" i="12"/>
  <c r="C1738" i="12"/>
  <c r="E1738" i="12"/>
  <c r="F1738" i="12"/>
  <c r="B1737" i="12"/>
  <c r="C1737" i="12"/>
  <c r="E1737" i="12"/>
  <c r="F1737" i="12"/>
  <c r="B1736" i="12"/>
  <c r="C1736" i="12"/>
  <c r="E1736" i="12"/>
  <c r="F1736" i="12"/>
  <c r="B1735" i="12"/>
  <c r="C1735" i="12"/>
  <c r="E1735" i="12"/>
  <c r="F1735" i="12"/>
  <c r="B1734" i="12"/>
  <c r="C1734" i="12"/>
  <c r="E1734" i="12"/>
  <c r="F1734" i="12"/>
  <c r="B1733" i="12"/>
  <c r="C1733" i="12"/>
  <c r="E1733" i="12"/>
  <c r="F1733" i="12"/>
  <c r="B1732" i="12"/>
  <c r="C1732" i="12"/>
  <c r="E1732" i="12"/>
  <c r="F1732" i="12"/>
  <c r="B1731" i="12"/>
  <c r="C1731" i="12"/>
  <c r="E1731" i="12"/>
  <c r="F1731" i="12"/>
  <c r="B1730" i="12"/>
  <c r="C1730" i="12"/>
  <c r="E1730" i="12"/>
  <c r="F1730" i="12"/>
  <c r="B1729" i="12"/>
  <c r="C1729" i="12"/>
  <c r="E1729" i="12"/>
  <c r="F1729" i="12"/>
  <c r="B1728" i="12"/>
  <c r="C1728" i="12"/>
  <c r="E1728" i="12"/>
  <c r="F1728" i="12"/>
  <c r="B1727" i="12"/>
  <c r="C1727" i="12"/>
  <c r="E1727" i="12"/>
  <c r="F1727" i="12"/>
  <c r="B1726" i="12"/>
  <c r="C1726" i="12"/>
  <c r="E1726" i="12"/>
  <c r="F1726" i="12"/>
  <c r="B1725" i="12"/>
  <c r="C1725" i="12"/>
  <c r="E1725" i="12"/>
  <c r="F1725" i="12"/>
  <c r="B1724" i="12"/>
  <c r="C1724" i="12"/>
  <c r="E1724" i="12"/>
  <c r="F1724" i="12"/>
  <c r="B1723" i="12"/>
  <c r="C1723" i="12"/>
  <c r="E1723" i="12"/>
  <c r="F1723" i="12"/>
  <c r="B1722" i="12"/>
  <c r="C1722" i="12"/>
  <c r="E1722" i="12"/>
  <c r="F1722" i="12"/>
  <c r="B1721" i="12"/>
  <c r="C1721" i="12"/>
  <c r="E1721" i="12"/>
  <c r="F1721" i="12"/>
  <c r="B1720" i="12"/>
  <c r="C1720" i="12"/>
  <c r="E1720" i="12"/>
  <c r="F1720" i="12"/>
  <c r="B1719" i="12"/>
  <c r="C1719" i="12"/>
  <c r="E1719" i="12"/>
  <c r="F1719" i="12"/>
  <c r="B1718" i="12"/>
  <c r="C1718" i="12"/>
  <c r="E1718" i="12"/>
  <c r="F1718" i="12"/>
  <c r="B1717" i="12"/>
  <c r="C1717" i="12"/>
  <c r="E1717" i="12"/>
  <c r="F1717" i="12"/>
  <c r="B1716" i="12"/>
  <c r="C1716" i="12"/>
  <c r="E1716" i="12"/>
  <c r="F1716" i="12"/>
  <c r="B1715" i="12"/>
  <c r="C1715" i="12"/>
  <c r="E1715" i="12"/>
  <c r="F1715" i="12"/>
  <c r="B1714" i="12"/>
  <c r="C1714" i="12"/>
  <c r="E1714" i="12"/>
  <c r="F1714" i="12"/>
  <c r="B1713" i="12"/>
  <c r="C1713" i="12"/>
  <c r="E1713" i="12"/>
  <c r="F1713" i="12"/>
  <c r="B1712" i="12"/>
  <c r="C1712" i="12"/>
  <c r="E1712" i="12"/>
  <c r="F1712" i="12"/>
  <c r="B1711" i="12"/>
  <c r="C1711" i="12"/>
  <c r="E1711" i="12"/>
  <c r="F1711" i="12"/>
  <c r="B1710" i="12"/>
  <c r="C1710" i="12"/>
  <c r="E1710" i="12"/>
  <c r="F1710" i="12"/>
  <c r="B1709" i="12"/>
  <c r="C1709" i="12"/>
  <c r="E1709" i="12"/>
  <c r="F1709" i="12"/>
  <c r="B1708" i="12"/>
  <c r="C1708" i="12"/>
  <c r="E1708" i="12"/>
  <c r="F1708" i="12"/>
  <c r="B1707" i="12"/>
  <c r="C1707" i="12"/>
  <c r="E1707" i="12"/>
  <c r="F1707" i="12"/>
  <c r="B1706" i="12"/>
  <c r="C1706" i="12"/>
  <c r="E1706" i="12"/>
  <c r="F1706" i="12"/>
  <c r="B1705" i="12"/>
  <c r="C1705" i="12"/>
  <c r="E1705" i="12"/>
  <c r="F1705" i="12"/>
  <c r="B1704" i="12"/>
  <c r="C1704" i="12"/>
  <c r="E1704" i="12"/>
  <c r="F1704" i="12"/>
  <c r="B1703" i="12"/>
  <c r="C1703" i="12"/>
  <c r="E1703" i="12"/>
  <c r="F1703" i="12"/>
  <c r="B1702" i="12"/>
  <c r="C1702" i="12"/>
  <c r="E1702" i="12"/>
  <c r="F1702" i="12"/>
  <c r="B1701" i="12"/>
  <c r="C1701" i="12"/>
  <c r="E1701" i="12"/>
  <c r="F1701" i="12"/>
  <c r="B1700" i="12"/>
  <c r="C1700" i="12"/>
  <c r="E1700" i="12"/>
  <c r="F1700" i="12"/>
  <c r="B1699" i="12"/>
  <c r="C1699" i="12"/>
  <c r="E1699" i="12"/>
  <c r="F1699" i="12"/>
  <c r="B1698" i="12"/>
  <c r="C1698" i="12"/>
  <c r="E1698" i="12"/>
  <c r="F1698" i="12"/>
  <c r="B1697" i="12"/>
  <c r="C1697" i="12"/>
  <c r="E1697" i="12"/>
  <c r="F1697" i="12"/>
  <c r="B1696" i="12"/>
  <c r="C1696" i="12"/>
  <c r="E1696" i="12"/>
  <c r="F1696" i="12"/>
  <c r="B1695" i="12"/>
  <c r="C1695" i="12"/>
  <c r="E1695" i="12"/>
  <c r="F1695" i="12"/>
  <c r="B1694" i="12"/>
  <c r="C1694" i="12"/>
  <c r="E1694" i="12"/>
  <c r="F1694" i="12"/>
  <c r="B1693" i="12"/>
  <c r="C1693" i="12"/>
  <c r="E1693" i="12"/>
  <c r="F1693" i="12"/>
  <c r="B1692" i="12"/>
  <c r="C1692" i="12"/>
  <c r="E1692" i="12"/>
  <c r="F1692" i="12"/>
  <c r="B1691" i="12"/>
  <c r="C1691" i="12"/>
  <c r="E1691" i="12"/>
  <c r="F1691" i="12"/>
  <c r="B1690" i="12"/>
  <c r="C1690" i="12"/>
  <c r="E1690" i="12"/>
  <c r="F1690" i="12"/>
  <c r="B1689" i="12"/>
  <c r="C1689" i="12"/>
  <c r="E1689" i="12"/>
  <c r="F1689" i="12"/>
  <c r="B1688" i="12"/>
  <c r="C1688" i="12"/>
  <c r="E1688" i="12"/>
  <c r="F1688" i="12"/>
  <c r="B1687" i="12"/>
  <c r="C1687" i="12"/>
  <c r="E1687" i="12"/>
  <c r="F1687" i="12"/>
  <c r="B1686" i="12"/>
  <c r="C1686" i="12"/>
  <c r="E1686" i="12"/>
  <c r="F1686" i="12"/>
  <c r="B1685" i="12"/>
  <c r="C1685" i="12"/>
  <c r="E1685" i="12"/>
  <c r="F1685" i="12"/>
  <c r="B1684" i="12"/>
  <c r="C1684" i="12"/>
  <c r="E1684" i="12"/>
  <c r="F1684" i="12"/>
  <c r="B1683" i="12"/>
  <c r="C1683" i="12"/>
  <c r="E1683" i="12"/>
  <c r="F1683" i="12"/>
  <c r="B1682" i="12"/>
  <c r="C1682" i="12"/>
  <c r="E1682" i="12"/>
  <c r="F1682" i="12"/>
  <c r="B1681" i="12"/>
  <c r="C1681" i="12"/>
  <c r="E1681" i="12"/>
  <c r="F1681" i="12"/>
  <c r="B1680" i="12"/>
  <c r="C1680" i="12"/>
  <c r="E1680" i="12"/>
  <c r="F1680" i="12"/>
  <c r="B1679" i="12"/>
  <c r="C1679" i="12"/>
  <c r="E1679" i="12"/>
  <c r="F1679" i="12"/>
  <c r="B1678" i="12"/>
  <c r="C1678" i="12"/>
  <c r="E1678" i="12"/>
  <c r="F1678" i="12"/>
  <c r="B1677" i="12"/>
  <c r="C1677" i="12"/>
  <c r="E1677" i="12"/>
  <c r="F1677" i="12"/>
  <c r="B1676" i="12"/>
  <c r="C1676" i="12"/>
  <c r="E1676" i="12"/>
  <c r="F1676" i="12"/>
  <c r="B1675" i="12"/>
  <c r="C1675" i="12"/>
  <c r="E1675" i="12"/>
  <c r="F1675" i="12"/>
  <c r="B1674" i="12"/>
  <c r="C1674" i="12"/>
  <c r="E1674" i="12"/>
  <c r="F1674" i="12"/>
  <c r="B1673" i="12"/>
  <c r="C1673" i="12"/>
  <c r="E1673" i="12"/>
  <c r="F1673" i="12"/>
  <c r="B1672" i="12"/>
  <c r="C1672" i="12"/>
  <c r="E1672" i="12"/>
  <c r="F1672" i="12"/>
  <c r="B1671" i="12"/>
  <c r="C1671" i="12"/>
  <c r="E1671" i="12"/>
  <c r="F1671" i="12"/>
  <c r="B1670" i="12" l="1"/>
  <c r="C1670" i="12"/>
  <c r="E1670" i="12"/>
  <c r="F1670" i="12"/>
  <c r="B1669" i="12"/>
  <c r="C1669" i="12"/>
  <c r="E1669" i="12"/>
  <c r="F1669" i="12"/>
  <c r="B1668" i="12"/>
  <c r="C1668" i="12"/>
  <c r="E1668" i="12"/>
  <c r="F1668" i="12"/>
  <c r="B1667" i="12"/>
  <c r="C1667" i="12"/>
  <c r="E1667" i="12"/>
  <c r="F1667" i="12"/>
  <c r="B1666" i="12"/>
  <c r="C1666" i="12"/>
  <c r="E1666" i="12"/>
  <c r="F1666" i="12"/>
  <c r="R67" i="11"/>
  <c r="S67" i="11"/>
  <c r="T67" i="11"/>
  <c r="U67" i="11"/>
  <c r="R66" i="11"/>
  <c r="S66" i="11"/>
  <c r="T66" i="11"/>
  <c r="U66" i="11"/>
  <c r="R65" i="11"/>
  <c r="S65" i="11"/>
  <c r="T65" i="11"/>
  <c r="U65" i="11"/>
  <c r="R64" i="11"/>
  <c r="S64" i="11"/>
  <c r="T64" i="11"/>
  <c r="U64" i="11"/>
  <c r="R63" i="11"/>
  <c r="S63" i="11"/>
  <c r="T63" i="11"/>
  <c r="U63" i="11"/>
  <c r="R62" i="11"/>
  <c r="S62" i="11"/>
  <c r="T62" i="11"/>
  <c r="U62" i="11"/>
  <c r="R60" i="11"/>
  <c r="R61" i="11"/>
  <c r="S60" i="11"/>
  <c r="S61" i="11"/>
  <c r="T60" i="11"/>
  <c r="T61" i="11"/>
  <c r="U60" i="11"/>
  <c r="U61" i="11"/>
  <c r="R59" i="11"/>
  <c r="S59" i="11"/>
  <c r="T59" i="11"/>
  <c r="U59" i="11"/>
  <c r="R57" i="11"/>
  <c r="R58" i="11"/>
  <c r="S57" i="11"/>
  <c r="S58" i="11"/>
  <c r="T57" i="11"/>
  <c r="T58" i="11"/>
  <c r="U57" i="11"/>
  <c r="U58" i="11"/>
  <c r="B1665" i="12"/>
  <c r="C1665" i="12"/>
  <c r="E1665" i="12"/>
  <c r="F1665" i="12"/>
  <c r="B1664" i="12"/>
  <c r="C1664" i="12"/>
  <c r="E1664" i="12"/>
  <c r="F1664" i="12"/>
  <c r="B1663" i="12"/>
  <c r="C1663" i="12"/>
  <c r="E1663" i="12"/>
  <c r="F1663" i="12"/>
  <c r="B1662" i="12"/>
  <c r="C1662" i="12"/>
  <c r="E1662" i="12"/>
  <c r="F1662" i="12"/>
  <c r="B1661" i="12" l="1"/>
  <c r="C1661" i="12"/>
  <c r="E1661" i="12"/>
  <c r="F1661" i="12"/>
  <c r="B1660" i="12"/>
  <c r="C1660" i="12"/>
  <c r="E1660" i="12"/>
  <c r="F1660" i="12"/>
  <c r="B1659" i="12"/>
  <c r="C1659" i="12"/>
  <c r="E1659" i="12"/>
  <c r="F1659" i="12"/>
  <c r="B1658" i="12" l="1"/>
  <c r="C1658" i="12"/>
  <c r="E1658" i="12"/>
  <c r="F1658" i="12"/>
  <c r="B1657" i="12"/>
  <c r="C1657" i="12"/>
  <c r="E1657" i="12"/>
  <c r="F1657" i="12"/>
  <c r="B1656" i="12"/>
  <c r="C1656" i="12"/>
  <c r="E1656" i="12"/>
  <c r="F1656" i="12"/>
  <c r="B1655" i="12"/>
  <c r="C1655" i="12"/>
  <c r="E1655" i="12"/>
  <c r="F1655" i="12"/>
  <c r="B1654" i="12"/>
  <c r="C1654" i="12"/>
  <c r="E1654" i="12"/>
  <c r="F1654" i="12"/>
  <c r="B1653" i="12" l="1"/>
  <c r="C1653" i="12"/>
  <c r="E1653" i="12"/>
  <c r="F1653" i="12"/>
  <c r="B1652" i="12"/>
  <c r="C1652" i="12"/>
  <c r="E1652" i="12"/>
  <c r="F1652" i="12"/>
  <c r="B1651" i="12" l="1"/>
  <c r="C1651" i="12"/>
  <c r="E1651" i="12"/>
  <c r="F1651" i="12"/>
  <c r="B1650" i="12"/>
  <c r="C1650" i="12"/>
  <c r="E1650" i="12"/>
  <c r="F1650" i="12"/>
  <c r="B1649" i="12" l="1"/>
  <c r="C1649" i="12"/>
  <c r="E1649" i="12"/>
  <c r="F1649" i="12"/>
  <c r="B1648" i="12"/>
  <c r="C1648" i="12"/>
  <c r="E1648" i="12"/>
  <c r="F1648" i="12"/>
  <c r="B1647" i="12" l="1"/>
  <c r="C1647" i="12"/>
  <c r="E1647" i="12"/>
  <c r="F1647" i="12"/>
  <c r="B1646" i="12"/>
  <c r="C1646" i="12"/>
  <c r="E1646" i="12"/>
  <c r="F1646" i="12"/>
  <c r="B1645" i="12"/>
  <c r="C1645" i="12"/>
  <c r="E1645" i="12"/>
  <c r="F1645" i="12"/>
  <c r="B1644" i="12"/>
  <c r="C1644" i="12"/>
  <c r="E1644" i="12"/>
  <c r="F1644" i="12"/>
  <c r="B1643" i="12"/>
  <c r="C1643" i="12"/>
  <c r="E1643" i="12"/>
  <c r="F1643" i="12"/>
  <c r="B1642" i="12"/>
  <c r="C1642" i="12"/>
  <c r="E1642" i="12"/>
  <c r="F1642" i="12"/>
  <c r="B1641" i="12" l="1"/>
  <c r="C1641" i="12"/>
  <c r="E1641" i="12"/>
  <c r="F1641" i="12"/>
  <c r="B1640" i="12"/>
  <c r="C1640" i="12"/>
  <c r="E1640" i="12"/>
  <c r="F1640" i="12"/>
  <c r="B1639" i="12"/>
  <c r="C1639" i="12"/>
  <c r="E1639" i="12"/>
  <c r="F1639" i="12"/>
  <c r="B1638" i="12"/>
  <c r="C1638" i="12"/>
  <c r="E1638" i="12"/>
  <c r="F1638" i="12"/>
  <c r="B1637" i="12"/>
  <c r="C1637" i="12"/>
  <c r="E1637" i="12"/>
  <c r="F1637" i="12"/>
  <c r="B1636" i="12"/>
  <c r="C1636" i="12"/>
  <c r="E1636" i="12"/>
  <c r="F1636" i="12"/>
  <c r="B1635" i="12"/>
  <c r="C1635" i="12"/>
  <c r="E1635" i="12"/>
  <c r="F1635" i="12"/>
  <c r="B1634" i="12"/>
  <c r="C1634" i="12"/>
  <c r="E1634" i="12"/>
  <c r="F1634" i="12"/>
  <c r="B1633" i="12"/>
  <c r="C1633" i="12"/>
  <c r="E1633" i="12"/>
  <c r="F1633" i="12"/>
  <c r="B1632" i="12"/>
  <c r="C1632" i="12"/>
  <c r="E1632" i="12"/>
  <c r="F1632" i="12"/>
  <c r="B1631" i="12"/>
  <c r="C1631" i="12"/>
  <c r="E1631" i="12"/>
  <c r="F1631" i="12"/>
  <c r="B1630" i="12"/>
  <c r="C1630" i="12"/>
  <c r="E1630" i="12"/>
  <c r="F1630" i="12"/>
  <c r="B1629" i="12"/>
  <c r="C1629" i="12"/>
  <c r="E1629" i="12"/>
  <c r="F1629" i="12"/>
  <c r="B1628" i="12"/>
  <c r="C1628" i="12"/>
  <c r="E1628" i="12"/>
  <c r="F1628" i="12"/>
  <c r="B1627" i="12"/>
  <c r="C1627" i="12"/>
  <c r="E1627" i="12"/>
  <c r="F1627" i="12"/>
  <c r="B1626" i="12"/>
  <c r="C1626" i="12"/>
  <c r="E1626" i="12"/>
  <c r="F1626" i="12"/>
  <c r="B1625" i="12"/>
  <c r="C1625" i="12"/>
  <c r="E1625" i="12"/>
  <c r="F1625" i="12"/>
  <c r="B1624" i="12"/>
  <c r="C1624" i="12"/>
  <c r="E1624" i="12"/>
  <c r="F1624" i="12"/>
  <c r="B1623" i="12"/>
  <c r="C1623" i="12"/>
  <c r="E1623" i="12"/>
  <c r="F1623" i="12"/>
  <c r="B1622" i="12"/>
  <c r="C1622" i="12"/>
  <c r="E1622" i="12"/>
  <c r="F1622" i="12"/>
  <c r="B1621" i="12"/>
  <c r="C1621" i="12"/>
  <c r="E1621" i="12"/>
  <c r="F1621" i="12"/>
  <c r="B1620" i="12"/>
  <c r="C1620" i="12"/>
  <c r="E1620" i="12"/>
  <c r="F1620" i="12"/>
  <c r="B1619" i="12"/>
  <c r="C1619" i="12"/>
  <c r="E1619" i="12"/>
  <c r="F1619" i="12"/>
  <c r="B1618" i="12"/>
  <c r="C1618" i="12"/>
  <c r="E1618" i="12"/>
  <c r="F1618" i="12"/>
  <c r="B1617" i="12"/>
  <c r="C1617" i="12"/>
  <c r="E1617" i="12"/>
  <c r="F1617" i="12"/>
  <c r="B1616" i="12"/>
  <c r="C1616" i="12"/>
  <c r="E1616" i="12"/>
  <c r="F1616" i="12"/>
  <c r="B1615" i="12"/>
  <c r="C1615" i="12"/>
  <c r="E1615" i="12"/>
  <c r="F1615" i="12"/>
  <c r="B1614" i="12"/>
  <c r="C1614" i="12"/>
  <c r="E1614" i="12"/>
  <c r="F1614" i="12"/>
  <c r="B1613" i="12"/>
  <c r="C1613" i="12"/>
  <c r="E1613" i="12"/>
  <c r="F1613" i="12"/>
  <c r="B1612" i="12"/>
  <c r="C1612" i="12"/>
  <c r="E1612" i="12"/>
  <c r="F1612" i="12"/>
  <c r="B1611" i="12"/>
  <c r="C1611" i="12"/>
  <c r="E1611" i="12"/>
  <c r="F1611" i="12"/>
  <c r="B1610" i="12"/>
  <c r="C1610" i="12"/>
  <c r="E1610" i="12"/>
  <c r="F1610" i="12"/>
  <c r="B1609" i="12"/>
  <c r="C1609" i="12"/>
  <c r="E1609" i="12"/>
  <c r="F1609" i="12"/>
  <c r="B1608" i="12"/>
  <c r="C1608" i="12"/>
  <c r="E1608" i="12"/>
  <c r="F1608" i="12"/>
  <c r="B1607" i="12"/>
  <c r="C1607" i="12"/>
  <c r="E1607" i="12"/>
  <c r="F1607" i="12"/>
  <c r="B1606" i="12"/>
  <c r="C1606" i="12"/>
  <c r="E1606" i="12"/>
  <c r="F1606" i="12"/>
  <c r="B1605" i="12"/>
  <c r="C1605" i="12"/>
  <c r="E1605" i="12"/>
  <c r="F1605" i="12"/>
  <c r="B1604" i="12"/>
  <c r="C1604" i="12"/>
  <c r="E1604" i="12"/>
  <c r="F1604" i="12"/>
  <c r="B1603" i="12"/>
  <c r="C1603" i="12"/>
  <c r="E1603" i="12"/>
  <c r="F1603" i="12"/>
  <c r="B1602" i="12"/>
  <c r="C1602" i="12"/>
  <c r="E1602" i="12"/>
  <c r="F1602" i="12"/>
  <c r="B1601" i="12"/>
  <c r="C1601" i="12"/>
  <c r="E1601" i="12"/>
  <c r="F1601" i="12"/>
  <c r="B1600" i="12"/>
  <c r="C1600" i="12"/>
  <c r="E1600" i="12"/>
  <c r="F1600" i="12"/>
  <c r="B1599" i="12"/>
  <c r="C1599" i="12"/>
  <c r="E1599" i="12"/>
  <c r="F1599" i="12"/>
  <c r="B1598" i="12"/>
  <c r="C1598" i="12"/>
  <c r="E1598" i="12"/>
  <c r="F1598" i="12"/>
  <c r="B1597" i="12"/>
  <c r="C1597" i="12"/>
  <c r="E1597" i="12"/>
  <c r="F1597" i="12"/>
  <c r="B1596" i="12"/>
  <c r="C1596" i="12"/>
  <c r="E1596" i="12"/>
  <c r="F1596" i="12"/>
  <c r="B1595" i="12"/>
  <c r="C1595" i="12"/>
  <c r="E1595" i="12"/>
  <c r="F1595" i="12"/>
  <c r="B1594" i="12"/>
  <c r="C1594" i="12"/>
  <c r="E1594" i="12"/>
  <c r="F1594" i="12"/>
  <c r="B1593" i="12"/>
  <c r="C1593" i="12"/>
  <c r="E1593" i="12"/>
  <c r="F1593" i="12"/>
  <c r="B1592" i="12"/>
  <c r="C1592" i="12"/>
  <c r="E1592" i="12"/>
  <c r="F1592" i="12"/>
  <c r="B1591" i="12"/>
  <c r="C1591" i="12"/>
  <c r="E1591" i="12"/>
  <c r="F1591" i="12"/>
  <c r="B1590" i="12"/>
  <c r="C1590" i="12"/>
  <c r="E1590" i="12"/>
  <c r="F1590" i="12"/>
  <c r="B1589" i="12"/>
  <c r="C1589" i="12"/>
  <c r="E1589" i="12"/>
  <c r="F1589" i="12"/>
  <c r="B1588" i="12"/>
  <c r="C1588" i="12"/>
  <c r="E1588" i="12"/>
  <c r="F1588" i="12"/>
  <c r="B1587" i="12"/>
  <c r="C1587" i="12"/>
  <c r="E1587" i="12"/>
  <c r="F1587" i="12"/>
  <c r="B1586" i="12"/>
  <c r="C1586" i="12"/>
  <c r="E1586" i="12"/>
  <c r="F1586" i="12"/>
  <c r="B1585" i="12"/>
  <c r="C1585" i="12"/>
  <c r="E1585" i="12"/>
  <c r="F1585" i="12"/>
  <c r="B1584" i="12"/>
  <c r="C1584" i="12"/>
  <c r="E1584" i="12"/>
  <c r="F1584" i="12"/>
  <c r="B1583" i="12"/>
  <c r="C1583" i="12"/>
  <c r="E1583" i="12"/>
  <c r="F1583" i="12"/>
  <c r="B1582" i="12"/>
  <c r="C1582" i="12"/>
  <c r="E1582" i="12"/>
  <c r="F1582" i="12"/>
  <c r="B1581" i="12"/>
  <c r="C1581" i="12"/>
  <c r="E1581" i="12"/>
  <c r="F1581" i="12"/>
  <c r="B1580" i="12"/>
  <c r="C1580" i="12"/>
  <c r="E1580" i="12"/>
  <c r="F1580" i="12"/>
  <c r="B1579" i="12"/>
  <c r="C1579" i="12"/>
  <c r="E1579" i="12"/>
  <c r="F1579" i="12"/>
  <c r="B1578" i="12"/>
  <c r="C1578" i="12"/>
  <c r="E1578" i="12"/>
  <c r="F1578" i="12"/>
  <c r="B1577" i="12"/>
  <c r="C1577" i="12"/>
  <c r="E1577" i="12"/>
  <c r="F1577" i="12"/>
  <c r="B1576" i="12"/>
  <c r="C1576" i="12"/>
  <c r="E1576" i="12"/>
  <c r="F1576" i="12"/>
  <c r="B1575" i="12"/>
  <c r="C1575" i="12"/>
  <c r="E1575" i="12"/>
  <c r="F1575" i="12"/>
  <c r="B1574" i="12"/>
  <c r="C1574" i="12"/>
  <c r="E1574" i="12"/>
  <c r="F1574" i="12"/>
  <c r="B1573" i="12"/>
  <c r="C1573" i="12"/>
  <c r="E1573" i="12"/>
  <c r="F1573" i="12"/>
  <c r="B1572" i="12"/>
  <c r="C1572" i="12"/>
  <c r="E1572" i="12"/>
  <c r="F1572" i="12"/>
  <c r="B1571" i="12"/>
  <c r="C1571" i="12"/>
  <c r="E1571" i="12"/>
  <c r="F1571" i="12"/>
  <c r="B1570" i="12"/>
  <c r="C1570" i="12"/>
  <c r="E1570" i="12"/>
  <c r="F1570" i="12"/>
  <c r="B1569" i="12"/>
  <c r="C1569" i="12"/>
  <c r="E1569" i="12"/>
  <c r="F1569" i="12"/>
  <c r="B1568" i="12"/>
  <c r="C1568" i="12"/>
  <c r="E1568" i="12"/>
  <c r="F1568" i="12"/>
  <c r="B1567" i="12"/>
  <c r="C1567" i="12"/>
  <c r="E1567" i="12"/>
  <c r="F1567" i="12"/>
  <c r="B1566" i="12"/>
  <c r="C1566" i="12"/>
  <c r="E1566" i="12"/>
  <c r="F1566" i="12"/>
  <c r="B1565" i="12"/>
  <c r="C1565" i="12"/>
  <c r="E1565" i="12"/>
  <c r="F1565" i="12"/>
  <c r="B1564" i="12"/>
  <c r="C1564" i="12"/>
  <c r="E1564" i="12"/>
  <c r="F1564" i="12"/>
  <c r="B1563" i="12"/>
  <c r="C1563" i="12"/>
  <c r="E1563" i="12"/>
  <c r="F1563" i="12"/>
  <c r="B1562" i="12"/>
  <c r="C1562" i="12"/>
  <c r="E1562" i="12"/>
  <c r="F1562" i="12"/>
  <c r="B1561" i="12"/>
  <c r="C1561" i="12"/>
  <c r="E1561" i="12"/>
  <c r="F1561" i="12"/>
  <c r="B1560" i="12"/>
  <c r="C1560" i="12"/>
  <c r="E1560" i="12"/>
  <c r="F1560" i="12"/>
  <c r="B1559" i="12"/>
  <c r="C1559" i="12"/>
  <c r="E1559" i="12"/>
  <c r="F1559" i="12"/>
  <c r="B1558" i="12"/>
  <c r="C1558" i="12"/>
  <c r="E1558" i="12"/>
  <c r="F1558" i="12"/>
  <c r="B1557" i="12"/>
  <c r="C1557" i="12"/>
  <c r="E1557" i="12"/>
  <c r="F1557" i="12"/>
  <c r="B1556" i="12"/>
  <c r="C1556" i="12"/>
  <c r="E1556" i="12"/>
  <c r="F1556" i="12"/>
  <c r="B1555" i="12"/>
  <c r="C1555" i="12"/>
  <c r="E1555" i="12"/>
  <c r="F1555" i="12"/>
  <c r="B1554" i="12"/>
  <c r="C1554" i="12"/>
  <c r="E1554" i="12"/>
  <c r="F1554" i="12"/>
  <c r="B1553" i="12"/>
  <c r="C1553" i="12"/>
  <c r="E1553" i="12"/>
  <c r="F1553" i="12"/>
  <c r="B1552" i="12"/>
  <c r="C1552" i="12"/>
  <c r="E1552" i="12"/>
  <c r="F1552" i="12"/>
  <c r="B1551" i="12"/>
  <c r="C1551" i="12"/>
  <c r="E1551" i="12"/>
  <c r="F1551" i="12"/>
  <c r="B1550" i="12"/>
  <c r="C1550" i="12"/>
  <c r="E1550" i="12"/>
  <c r="F1550" i="12"/>
  <c r="B1549" i="12"/>
  <c r="C1549" i="12"/>
  <c r="E1549" i="12"/>
  <c r="F1549" i="12"/>
  <c r="B1548" i="12"/>
  <c r="C1548" i="12"/>
  <c r="E1548" i="12"/>
  <c r="F1548" i="12"/>
  <c r="B1547" i="12"/>
  <c r="C1547" i="12"/>
  <c r="E1547" i="12"/>
  <c r="F1547" i="12"/>
  <c r="B1546" i="12"/>
  <c r="C1546" i="12"/>
  <c r="E1546" i="12"/>
  <c r="F1546" i="12"/>
  <c r="B1545" i="12"/>
  <c r="C1545" i="12"/>
  <c r="E1545" i="12"/>
  <c r="F1545" i="12"/>
  <c r="B1544" i="12"/>
  <c r="C1544" i="12"/>
  <c r="E1544" i="12"/>
  <c r="F1544" i="12"/>
  <c r="B1543" i="12"/>
  <c r="C1543" i="12"/>
  <c r="E1543" i="12"/>
  <c r="F1543" i="12"/>
  <c r="B1542" i="12"/>
  <c r="C1542" i="12"/>
  <c r="E1542" i="12"/>
  <c r="F1542" i="12"/>
  <c r="B1541" i="12"/>
  <c r="C1541" i="12"/>
  <c r="E1541" i="12"/>
  <c r="F1541" i="12"/>
  <c r="B1540" i="12"/>
  <c r="C1540" i="12"/>
  <c r="E1540" i="12"/>
  <c r="F1540" i="12"/>
  <c r="B1539" i="12"/>
  <c r="C1539" i="12"/>
  <c r="E1539" i="12"/>
  <c r="F1539" i="12"/>
  <c r="B1538" i="12"/>
  <c r="C1538" i="12"/>
  <c r="E1538" i="12"/>
  <c r="F1538" i="12"/>
  <c r="B1537" i="12"/>
  <c r="C1537" i="12"/>
  <c r="E1537" i="12"/>
  <c r="F1537" i="12"/>
  <c r="B1536" i="12"/>
  <c r="C1536" i="12"/>
  <c r="E1536" i="12"/>
  <c r="F1536" i="12"/>
  <c r="B1535" i="12"/>
  <c r="C1535" i="12"/>
  <c r="E1535" i="12"/>
  <c r="F1535" i="12"/>
  <c r="B1534" i="12" l="1"/>
  <c r="C1534" i="12"/>
  <c r="E1534" i="12"/>
  <c r="F1534" i="12"/>
  <c r="B1533" i="12"/>
  <c r="C1533" i="12"/>
  <c r="E1533" i="12"/>
  <c r="F1533" i="12"/>
  <c r="B1532" i="12"/>
  <c r="C1532" i="12"/>
  <c r="E1532" i="12"/>
  <c r="F1532" i="12"/>
  <c r="B1531" i="12"/>
  <c r="C1531" i="12"/>
  <c r="E1531" i="12"/>
  <c r="F1531" i="12"/>
  <c r="B1530" i="12"/>
  <c r="C1530" i="12"/>
  <c r="E1530" i="12"/>
  <c r="F1530" i="12"/>
  <c r="P259" i="8"/>
  <c r="Q259" i="8" s="1"/>
  <c r="P260" i="8"/>
  <c r="Q260" i="8" s="1"/>
  <c r="P261" i="8"/>
  <c r="Q261" i="8" s="1"/>
  <c r="P257" i="8"/>
  <c r="Q257" i="8" s="1"/>
  <c r="P258" i="8"/>
  <c r="Q258" i="8" s="1"/>
  <c r="P256" i="8"/>
  <c r="Q256" i="8" s="1"/>
  <c r="P254" i="8"/>
  <c r="Q254" i="8" s="1"/>
  <c r="P255" i="8"/>
  <c r="Q255" i="8" s="1"/>
  <c r="B1529" i="12" l="1"/>
  <c r="C1529" i="12"/>
  <c r="E1529" i="12"/>
  <c r="F1529" i="12"/>
  <c r="B1528" i="12"/>
  <c r="C1528" i="12"/>
  <c r="E1528" i="12"/>
  <c r="F1528" i="12"/>
  <c r="B1527" i="12" l="1"/>
  <c r="C1527" i="12"/>
  <c r="E1527" i="12"/>
  <c r="F1527" i="12"/>
  <c r="B1526" i="12"/>
  <c r="C1526" i="12"/>
  <c r="E1526" i="12"/>
  <c r="F1526" i="12"/>
  <c r="B1525" i="12"/>
  <c r="C1525" i="12"/>
  <c r="E1525" i="12"/>
  <c r="F1525" i="12"/>
  <c r="B1524" i="12"/>
  <c r="C1524" i="12"/>
  <c r="E1524" i="12"/>
  <c r="F1524" i="12"/>
  <c r="B1523" i="12"/>
  <c r="C1523" i="12"/>
  <c r="E1523" i="12"/>
  <c r="F1523" i="12"/>
  <c r="B1522" i="12"/>
  <c r="C1522" i="12"/>
  <c r="E1522" i="12"/>
  <c r="F1522" i="12"/>
  <c r="R56" i="11"/>
  <c r="S56" i="11"/>
  <c r="T56" i="11"/>
  <c r="U56" i="11"/>
  <c r="R55" i="11"/>
  <c r="S55" i="11"/>
  <c r="T55" i="11"/>
  <c r="U55" i="11"/>
  <c r="R54" i="11"/>
  <c r="S54" i="11"/>
  <c r="T54" i="11"/>
  <c r="U54" i="11"/>
  <c r="R53" i="11"/>
  <c r="S53" i="11"/>
  <c r="T53" i="11"/>
  <c r="U53" i="11"/>
  <c r="R52" i="11"/>
  <c r="S52" i="11"/>
  <c r="T52" i="11"/>
  <c r="U52" i="11"/>
  <c r="R51" i="11"/>
  <c r="S51" i="11"/>
  <c r="T51" i="11"/>
  <c r="U51" i="11"/>
  <c r="R50" i="11"/>
  <c r="S50" i="11"/>
  <c r="T50" i="11"/>
  <c r="U50" i="11"/>
  <c r="R49" i="11"/>
  <c r="S49" i="11"/>
  <c r="T49" i="11"/>
  <c r="U49" i="11"/>
  <c r="R47" i="11"/>
  <c r="R48" i="11"/>
  <c r="S47" i="11"/>
  <c r="S48" i="11"/>
  <c r="T47" i="11"/>
  <c r="T48" i="11"/>
  <c r="U47" i="11"/>
  <c r="U48" i="11"/>
  <c r="R46" i="11"/>
  <c r="S46" i="11"/>
  <c r="T46" i="11"/>
  <c r="U46" i="11"/>
  <c r="R44" i="11"/>
  <c r="R45" i="11"/>
  <c r="S44" i="11"/>
  <c r="S45" i="11"/>
  <c r="T44" i="11"/>
  <c r="T45" i="11"/>
  <c r="U44" i="11"/>
  <c r="U45" i="11"/>
  <c r="R43" i="11"/>
  <c r="S43" i="11"/>
  <c r="T43" i="11"/>
  <c r="U43" i="11"/>
  <c r="R41" i="11"/>
  <c r="R42" i="11"/>
  <c r="S41" i="11"/>
  <c r="S42" i="11"/>
  <c r="T41" i="11"/>
  <c r="T42" i="11"/>
  <c r="U41" i="11"/>
  <c r="U42" i="11"/>
  <c r="B1521" i="12"/>
  <c r="C1521" i="12"/>
  <c r="E1521" i="12"/>
  <c r="F1521" i="12"/>
  <c r="B1520" i="12"/>
  <c r="C1520" i="12"/>
  <c r="E1520" i="12"/>
  <c r="F1520" i="12"/>
  <c r="B1519" i="12"/>
  <c r="C1519" i="12"/>
  <c r="E1519" i="12"/>
  <c r="F1519" i="12"/>
  <c r="B1518" i="12" l="1"/>
  <c r="C1518" i="12"/>
  <c r="E1518" i="12"/>
  <c r="F1518" i="12"/>
  <c r="B1517" i="12"/>
  <c r="C1517" i="12"/>
  <c r="E1517" i="12"/>
  <c r="F1517" i="12"/>
  <c r="B1516" i="12"/>
  <c r="C1516" i="12"/>
  <c r="E1516" i="12"/>
  <c r="F1516" i="12"/>
  <c r="B1515" i="12" l="1"/>
  <c r="C1515" i="12"/>
  <c r="E1515" i="12"/>
  <c r="F1515" i="12"/>
  <c r="B1514" i="12"/>
  <c r="C1514" i="12"/>
  <c r="E1514" i="12"/>
  <c r="F1514" i="12"/>
  <c r="B1513" i="12"/>
  <c r="C1513" i="12"/>
  <c r="E1513" i="12"/>
  <c r="F1513" i="12"/>
  <c r="B1512" i="12"/>
  <c r="C1512" i="12"/>
  <c r="E1512" i="12"/>
  <c r="F1512" i="12"/>
  <c r="B1511" i="12" l="1"/>
  <c r="C1511" i="12"/>
  <c r="E1511" i="12"/>
  <c r="F1511" i="12"/>
  <c r="B1510" i="12"/>
  <c r="C1510" i="12"/>
  <c r="E1510" i="12"/>
  <c r="F1510" i="12"/>
  <c r="B1509" i="12"/>
  <c r="C1509" i="12"/>
  <c r="E1509" i="12"/>
  <c r="F1509" i="12"/>
  <c r="B1508" i="12"/>
  <c r="C1508" i="12"/>
  <c r="E1508" i="12"/>
  <c r="F1508" i="12"/>
  <c r="B1507" i="12"/>
  <c r="C1507" i="12"/>
  <c r="E1507" i="12"/>
  <c r="F1507" i="12"/>
  <c r="B1506" i="12" l="1"/>
  <c r="C1506" i="12"/>
  <c r="E1506" i="12"/>
  <c r="F1506" i="12"/>
  <c r="B1505" i="12"/>
  <c r="C1505" i="12"/>
  <c r="E1505" i="12"/>
  <c r="F1505" i="12"/>
  <c r="B1504" i="12" l="1"/>
  <c r="C1504" i="12"/>
  <c r="E1504" i="12"/>
  <c r="F1504" i="12"/>
  <c r="B1503" i="12"/>
  <c r="C1503" i="12"/>
  <c r="E1503" i="12"/>
  <c r="F1503" i="12"/>
  <c r="B1502" i="12" l="1"/>
  <c r="C1502" i="12"/>
  <c r="E1502" i="12"/>
  <c r="F1502" i="12"/>
  <c r="B1501" i="12"/>
  <c r="C1501" i="12"/>
  <c r="E1501" i="12"/>
  <c r="F1501" i="12"/>
  <c r="B1500" i="12"/>
  <c r="C1500" i="12"/>
  <c r="E1500" i="12"/>
  <c r="F1500" i="12"/>
  <c r="B1499" i="12"/>
  <c r="C1499" i="12"/>
  <c r="E1499" i="12"/>
  <c r="F1499" i="12"/>
  <c r="B1498" i="12"/>
  <c r="C1498" i="12"/>
  <c r="E1498" i="12"/>
  <c r="F1498" i="12"/>
  <c r="B1497" i="12"/>
  <c r="C1497" i="12"/>
  <c r="E1497" i="12"/>
  <c r="F1497" i="12"/>
  <c r="B1496" i="12"/>
  <c r="C1496" i="12"/>
  <c r="E1496" i="12"/>
  <c r="F1496" i="12"/>
  <c r="B1495" i="12"/>
  <c r="C1495" i="12"/>
  <c r="E1495" i="12"/>
  <c r="F1495" i="12"/>
  <c r="B1494" i="12"/>
  <c r="C1494" i="12"/>
  <c r="E1494" i="12"/>
  <c r="F1494" i="12"/>
  <c r="B1493" i="12"/>
  <c r="C1493" i="12"/>
  <c r="E1493" i="12"/>
  <c r="F1493" i="12"/>
  <c r="B1492" i="12"/>
  <c r="C1492" i="12"/>
  <c r="E1492" i="12"/>
  <c r="F1492" i="12"/>
  <c r="B1491" i="12"/>
  <c r="C1491" i="12"/>
  <c r="E1491" i="12"/>
  <c r="F1491" i="12"/>
  <c r="B1490" i="12"/>
  <c r="C1490" i="12"/>
  <c r="E1490" i="12"/>
  <c r="F1490" i="12"/>
  <c r="B1489" i="12"/>
  <c r="C1489" i="12"/>
  <c r="E1489" i="12"/>
  <c r="F1489" i="12"/>
  <c r="B1488" i="12"/>
  <c r="C1488" i="12"/>
  <c r="E1488" i="12"/>
  <c r="F1488" i="12"/>
  <c r="B1487" i="12"/>
  <c r="C1487" i="12"/>
  <c r="E1487" i="12"/>
  <c r="F1487" i="12"/>
  <c r="B1486" i="12"/>
  <c r="C1486" i="12"/>
  <c r="E1486" i="12"/>
  <c r="F1486" i="12"/>
  <c r="B1485" i="12"/>
  <c r="C1485" i="12"/>
  <c r="E1485" i="12"/>
  <c r="F1485" i="12"/>
  <c r="B1484" i="12"/>
  <c r="C1484" i="12"/>
  <c r="E1484" i="12"/>
  <c r="F1484" i="12"/>
  <c r="B1483" i="12"/>
  <c r="C1483" i="12"/>
  <c r="E1483" i="12"/>
  <c r="F1483" i="12"/>
  <c r="B1482" i="12"/>
  <c r="C1482" i="12"/>
  <c r="E1482" i="12"/>
  <c r="F1482" i="12"/>
  <c r="B1481" i="12"/>
  <c r="C1481" i="12"/>
  <c r="E1481" i="12"/>
  <c r="F1481" i="12"/>
  <c r="B1480" i="12"/>
  <c r="C1480" i="12"/>
  <c r="E1480" i="12"/>
  <c r="F1480" i="12"/>
  <c r="B1479" i="12"/>
  <c r="C1479" i="12"/>
  <c r="E1479" i="12"/>
  <c r="F1479" i="12"/>
  <c r="B1478" i="12"/>
  <c r="C1478" i="12"/>
  <c r="E1478" i="12"/>
  <c r="F1478" i="12"/>
  <c r="B1477" i="12"/>
  <c r="C1477" i="12"/>
  <c r="E1477" i="12"/>
  <c r="F1477" i="12"/>
  <c r="B1476" i="12"/>
  <c r="C1476" i="12"/>
  <c r="E1476" i="12"/>
  <c r="F1476" i="12"/>
  <c r="B1475" i="12"/>
  <c r="C1475" i="12"/>
  <c r="E1475" i="12"/>
  <c r="F1475" i="12"/>
  <c r="B1474" i="12"/>
  <c r="C1474" i="12"/>
  <c r="E1474" i="12"/>
  <c r="F1474" i="12"/>
  <c r="B1473" i="12"/>
  <c r="C1473" i="12"/>
  <c r="E1473" i="12"/>
  <c r="F1473" i="12"/>
  <c r="B1472" i="12"/>
  <c r="C1472" i="12"/>
  <c r="E1472" i="12"/>
  <c r="F1472" i="12"/>
  <c r="B1471" i="12"/>
  <c r="C1471" i="12"/>
  <c r="E1471" i="12"/>
  <c r="F1471" i="12"/>
  <c r="B1470" i="12"/>
  <c r="C1470" i="12"/>
  <c r="E1470" i="12"/>
  <c r="F1470" i="12"/>
  <c r="B1469" i="12"/>
  <c r="C1469" i="12"/>
  <c r="E1469" i="12"/>
  <c r="F1469" i="12"/>
  <c r="B1468" i="12"/>
  <c r="C1468" i="12"/>
  <c r="E1468" i="12"/>
  <c r="F1468" i="12"/>
  <c r="B1467" i="12"/>
  <c r="C1467" i="12"/>
  <c r="E1467" i="12"/>
  <c r="F1467" i="12"/>
  <c r="B1466" i="12"/>
  <c r="C1466" i="12"/>
  <c r="E1466" i="12"/>
  <c r="F1466" i="12"/>
  <c r="B1465" i="12"/>
  <c r="C1465" i="12"/>
  <c r="E1465" i="12"/>
  <c r="F1465" i="12"/>
  <c r="B1464" i="12"/>
  <c r="C1464" i="12"/>
  <c r="E1464" i="12"/>
  <c r="F1464" i="12"/>
  <c r="B1463" i="12"/>
  <c r="C1463" i="12"/>
  <c r="E1463" i="12"/>
  <c r="F1463" i="12"/>
  <c r="B1462" i="12"/>
  <c r="C1462" i="12"/>
  <c r="E1462" i="12"/>
  <c r="F1462" i="12"/>
  <c r="B1461" i="12"/>
  <c r="C1461" i="12"/>
  <c r="E1461" i="12"/>
  <c r="F1461" i="12"/>
  <c r="B1460" i="12"/>
  <c r="C1460" i="12"/>
  <c r="E1460" i="12"/>
  <c r="F1460" i="12"/>
  <c r="B1459" i="12"/>
  <c r="C1459" i="12"/>
  <c r="E1459" i="12"/>
  <c r="F1459" i="12"/>
  <c r="B1458" i="12"/>
  <c r="C1458" i="12"/>
  <c r="E1458" i="12"/>
  <c r="F1458" i="12"/>
  <c r="B1457" i="12"/>
  <c r="C1457" i="12"/>
  <c r="E1457" i="12"/>
  <c r="F1457" i="12"/>
  <c r="B1456" i="12"/>
  <c r="C1456" i="12"/>
  <c r="E1456" i="12"/>
  <c r="F1456" i="12"/>
  <c r="B1455" i="12"/>
  <c r="C1455" i="12"/>
  <c r="E1455" i="12"/>
  <c r="F1455" i="12"/>
  <c r="B1454" i="12"/>
  <c r="C1454" i="12"/>
  <c r="E1454" i="12"/>
  <c r="F1454" i="12"/>
  <c r="B1453" i="12"/>
  <c r="C1453" i="12"/>
  <c r="E1453" i="12"/>
  <c r="F1453" i="12"/>
  <c r="B1452" i="12"/>
  <c r="C1452" i="12"/>
  <c r="E1452" i="12"/>
  <c r="F1452" i="12"/>
  <c r="B1451" i="12"/>
  <c r="C1451" i="12"/>
  <c r="E1451" i="12"/>
  <c r="F1451" i="12"/>
  <c r="B1450" i="12"/>
  <c r="C1450" i="12"/>
  <c r="E1450" i="12"/>
  <c r="F1450" i="12"/>
  <c r="B1449" i="12"/>
  <c r="C1449" i="12"/>
  <c r="E1449" i="12"/>
  <c r="F1449" i="12"/>
  <c r="B1448" i="12"/>
  <c r="C1448" i="12"/>
  <c r="E1448" i="12"/>
  <c r="F1448" i="12"/>
  <c r="B1447" i="12"/>
  <c r="C1447" i="12"/>
  <c r="E1447" i="12"/>
  <c r="F1447" i="12"/>
  <c r="B1446" i="12"/>
  <c r="C1446" i="12"/>
  <c r="E1446" i="12"/>
  <c r="F1446" i="12"/>
  <c r="B1445" i="12"/>
  <c r="C1445" i="12"/>
  <c r="E1445" i="12"/>
  <c r="F1445" i="12"/>
  <c r="B1444" i="12"/>
  <c r="C1444" i="12"/>
  <c r="E1444" i="12"/>
  <c r="F1444" i="12"/>
  <c r="B1443" i="12"/>
  <c r="C1443" i="12"/>
  <c r="E1443" i="12"/>
  <c r="F1443" i="12"/>
  <c r="B1442" i="12"/>
  <c r="C1442" i="12"/>
  <c r="E1442" i="12"/>
  <c r="F1442" i="12"/>
  <c r="B1441" i="12"/>
  <c r="C1441" i="12"/>
  <c r="E1441" i="12"/>
  <c r="F1441" i="12"/>
  <c r="B1440" i="12"/>
  <c r="C1440" i="12"/>
  <c r="E1440" i="12"/>
  <c r="F1440" i="12"/>
  <c r="B1439" i="12"/>
  <c r="C1439" i="12"/>
  <c r="E1439" i="12"/>
  <c r="F1439" i="12"/>
  <c r="B1438" i="12"/>
  <c r="C1438" i="12"/>
  <c r="E1438" i="12"/>
  <c r="F1438" i="12"/>
  <c r="B1437" i="12"/>
  <c r="C1437" i="12"/>
  <c r="E1437" i="12"/>
  <c r="F1437" i="12"/>
  <c r="B1436" i="12"/>
  <c r="C1436" i="12"/>
  <c r="E1436" i="12"/>
  <c r="F1436" i="12"/>
  <c r="B1435" i="12"/>
  <c r="C1435" i="12"/>
  <c r="E1435" i="12"/>
  <c r="F1435" i="12"/>
  <c r="B1434" i="12"/>
  <c r="C1434" i="12"/>
  <c r="E1434" i="12"/>
  <c r="F1434" i="12"/>
  <c r="B1433" i="12"/>
  <c r="C1433" i="12"/>
  <c r="E1433" i="12"/>
  <c r="F1433" i="12"/>
  <c r="B1432" i="12"/>
  <c r="C1432" i="12"/>
  <c r="E1432" i="12"/>
  <c r="F1432" i="12"/>
  <c r="B1431" i="12"/>
  <c r="C1431" i="12"/>
  <c r="E1431" i="12"/>
  <c r="F1431" i="12"/>
  <c r="B1430" i="12"/>
  <c r="C1430" i="12"/>
  <c r="E1430" i="12"/>
  <c r="F1430" i="12"/>
  <c r="B1429" i="12"/>
  <c r="C1429" i="12"/>
  <c r="E1429" i="12"/>
  <c r="F1429" i="12"/>
  <c r="B1428" i="12"/>
  <c r="C1428" i="12"/>
  <c r="E1428" i="12"/>
  <c r="F1428" i="12"/>
  <c r="B1427" i="12"/>
  <c r="C1427" i="12"/>
  <c r="E1427" i="12"/>
  <c r="F1427" i="12"/>
  <c r="B1426" i="12"/>
  <c r="C1426" i="12"/>
  <c r="E1426" i="12"/>
  <c r="F1426" i="12"/>
  <c r="B1425" i="12"/>
  <c r="C1425" i="12"/>
  <c r="E1425" i="12"/>
  <c r="F1425" i="12"/>
  <c r="B1424" i="12"/>
  <c r="C1424" i="12"/>
  <c r="E1424" i="12"/>
  <c r="F1424" i="12"/>
  <c r="B1423" i="12"/>
  <c r="C1423" i="12"/>
  <c r="E1423" i="12"/>
  <c r="F1423" i="12"/>
  <c r="B1422" i="12"/>
  <c r="C1422" i="12"/>
  <c r="E1422" i="12"/>
  <c r="F1422" i="12"/>
  <c r="B1421" i="12"/>
  <c r="C1421" i="12"/>
  <c r="E1421" i="12"/>
  <c r="F1421" i="12"/>
  <c r="B1420" i="12"/>
  <c r="C1420" i="12"/>
  <c r="E1420" i="12"/>
  <c r="F1420" i="12"/>
  <c r="B1419" i="12"/>
  <c r="C1419" i="12"/>
  <c r="E1419" i="12"/>
  <c r="F1419" i="12"/>
  <c r="B1418" i="12"/>
  <c r="C1418" i="12"/>
  <c r="E1418" i="12"/>
  <c r="F1418" i="12"/>
  <c r="B1417" i="12"/>
  <c r="C1417" i="12"/>
  <c r="E1417" i="12"/>
  <c r="F1417" i="12"/>
  <c r="B1416" i="12"/>
  <c r="C1416" i="12"/>
  <c r="E1416" i="12"/>
  <c r="F1416" i="12"/>
  <c r="B1415" i="12"/>
  <c r="C1415" i="12"/>
  <c r="E1415" i="12"/>
  <c r="F1415" i="12"/>
  <c r="B1414" i="12"/>
  <c r="C1414" i="12"/>
  <c r="E1414" i="12"/>
  <c r="F1414" i="12"/>
  <c r="B1413" i="12"/>
  <c r="C1413" i="12"/>
  <c r="E1413" i="12"/>
  <c r="F1413" i="12"/>
  <c r="B1412" i="12"/>
  <c r="C1412" i="12"/>
  <c r="E1412" i="12"/>
  <c r="F1412" i="12"/>
  <c r="B1411" i="12"/>
  <c r="C1411" i="12"/>
  <c r="E1411" i="12"/>
  <c r="F1411" i="12"/>
  <c r="B1410" i="12"/>
  <c r="C1410" i="12"/>
  <c r="E1410" i="12"/>
  <c r="F1410" i="12"/>
  <c r="B1409" i="12"/>
  <c r="C1409" i="12"/>
  <c r="E1409" i="12"/>
  <c r="F1409" i="12"/>
  <c r="B1408" i="12"/>
  <c r="C1408" i="12"/>
  <c r="E1408" i="12"/>
  <c r="F1408" i="12"/>
  <c r="B1407" i="12"/>
  <c r="C1407" i="12"/>
  <c r="E1407" i="12"/>
  <c r="F1407" i="12"/>
  <c r="B1406" i="12"/>
  <c r="C1406" i="12"/>
  <c r="E1406" i="12"/>
  <c r="F1406" i="12"/>
  <c r="B1405" i="12"/>
  <c r="C1405" i="12"/>
  <c r="E1405" i="12"/>
  <c r="F1405" i="12"/>
  <c r="B1404" i="12"/>
  <c r="C1404" i="12"/>
  <c r="E1404" i="12"/>
  <c r="F1404" i="12"/>
  <c r="B1403" i="12"/>
  <c r="C1403" i="12"/>
  <c r="E1403" i="12"/>
  <c r="F1403" i="12"/>
  <c r="B1402" i="12"/>
  <c r="C1402" i="12"/>
  <c r="E1402" i="12"/>
  <c r="F1402" i="12"/>
  <c r="B1401" i="12"/>
  <c r="C1401" i="12"/>
  <c r="E1401" i="12"/>
  <c r="F1401" i="12"/>
  <c r="B1400" i="12"/>
  <c r="C1400" i="12"/>
  <c r="E1400" i="12"/>
  <c r="F1400" i="12"/>
  <c r="B1399" i="12"/>
  <c r="C1399" i="12"/>
  <c r="E1399" i="12"/>
  <c r="F1399" i="12"/>
  <c r="B1398" i="12"/>
  <c r="C1398" i="12"/>
  <c r="E1398" i="12"/>
  <c r="F1398" i="12"/>
  <c r="B1397" i="12"/>
  <c r="C1397" i="12"/>
  <c r="E1397" i="12"/>
  <c r="F1397" i="12"/>
  <c r="B1396" i="12"/>
  <c r="C1396" i="12"/>
  <c r="E1396" i="12"/>
  <c r="F1396" i="12"/>
  <c r="B1395" i="12"/>
  <c r="C1395" i="12"/>
  <c r="E1395" i="12"/>
  <c r="F1395" i="12"/>
  <c r="B1394" i="12"/>
  <c r="C1394" i="12"/>
  <c r="E1394" i="12"/>
  <c r="F1394" i="12"/>
  <c r="B1393" i="12"/>
  <c r="C1393" i="12"/>
  <c r="E1393" i="12"/>
  <c r="F1393" i="12"/>
  <c r="B1392" i="12"/>
  <c r="C1392" i="12"/>
  <c r="E1392" i="12"/>
  <c r="F1392" i="12"/>
  <c r="B1391" i="12"/>
  <c r="C1391" i="12"/>
  <c r="E1391" i="12"/>
  <c r="F1391" i="12"/>
  <c r="B1390" i="12"/>
  <c r="C1390" i="12"/>
  <c r="E1390" i="12"/>
  <c r="F1390" i="12"/>
  <c r="B1389" i="12"/>
  <c r="C1389" i="12"/>
  <c r="E1389" i="12"/>
  <c r="F1389" i="12"/>
  <c r="B1388" i="12"/>
  <c r="C1388" i="12"/>
  <c r="E1388" i="12"/>
  <c r="F1388" i="12"/>
  <c r="B1387" i="12"/>
  <c r="C1387" i="12"/>
  <c r="E1387" i="12"/>
  <c r="F1387" i="12"/>
  <c r="B1386" i="12"/>
  <c r="C1386" i="12"/>
  <c r="E1386" i="12"/>
  <c r="F1386" i="12"/>
  <c r="B1385" i="12"/>
  <c r="C1385" i="12"/>
  <c r="E1385" i="12"/>
  <c r="F1385" i="12"/>
  <c r="B1384" i="12"/>
  <c r="C1384" i="12"/>
  <c r="E1384" i="12"/>
  <c r="F1384" i="12"/>
  <c r="B1383" i="12"/>
  <c r="C1383" i="12"/>
  <c r="E1383" i="12"/>
  <c r="F1383" i="12"/>
  <c r="B1382" i="12"/>
  <c r="C1382" i="12"/>
  <c r="E1382" i="12"/>
  <c r="F1382" i="12"/>
  <c r="B1381" i="12"/>
  <c r="C1381" i="12"/>
  <c r="E1381" i="12"/>
  <c r="F1381" i="12"/>
  <c r="B1380" i="12"/>
  <c r="C1380" i="12"/>
  <c r="E1380" i="12"/>
  <c r="F1380" i="12"/>
  <c r="B1379" i="12"/>
  <c r="C1379" i="12"/>
  <c r="E1379" i="12"/>
  <c r="F1379" i="12"/>
  <c r="B1378" i="12"/>
  <c r="C1378" i="12"/>
  <c r="E1378" i="12"/>
  <c r="F1378" i="12"/>
  <c r="B1377" i="12"/>
  <c r="C1377" i="12"/>
  <c r="E1377" i="12"/>
  <c r="F1377" i="12"/>
  <c r="B1376" i="12"/>
  <c r="C1376" i="12"/>
  <c r="E1376" i="12"/>
  <c r="F1376" i="12"/>
  <c r="B1375" i="12"/>
  <c r="C1375" i="12"/>
  <c r="E1375" i="12"/>
  <c r="F1375" i="12"/>
  <c r="B1374" i="12"/>
  <c r="C1374" i="12"/>
  <c r="E1374" i="12"/>
  <c r="F1374" i="12"/>
  <c r="B1373" i="12"/>
  <c r="C1373" i="12"/>
  <c r="E1373" i="12"/>
  <c r="F1373" i="12"/>
  <c r="B1372" i="12"/>
  <c r="C1372" i="12"/>
  <c r="E1372" i="12"/>
  <c r="F1372" i="12"/>
  <c r="B1371" i="12"/>
  <c r="C1371" i="12"/>
  <c r="E1371" i="12"/>
  <c r="F1371" i="12"/>
  <c r="B1370" i="12"/>
  <c r="C1370" i="12"/>
  <c r="E1370" i="12"/>
  <c r="F1370" i="12"/>
  <c r="B1369" i="12"/>
  <c r="C1369" i="12"/>
  <c r="E1369" i="12"/>
  <c r="F1369" i="12"/>
  <c r="B1368" i="12"/>
  <c r="C1368" i="12"/>
  <c r="E1368" i="12"/>
  <c r="F1368" i="12"/>
  <c r="B1367" i="12"/>
  <c r="C1367" i="12"/>
  <c r="E1367" i="12"/>
  <c r="F1367" i="12"/>
  <c r="B1366" i="12"/>
  <c r="C1366" i="12"/>
  <c r="E1366" i="12"/>
  <c r="F1366" i="12"/>
  <c r="B1365" i="12"/>
  <c r="C1365" i="12"/>
  <c r="E1365" i="12"/>
  <c r="F1365" i="12"/>
  <c r="B1364" i="12"/>
  <c r="C1364" i="12"/>
  <c r="E1364" i="12"/>
  <c r="F1364" i="12"/>
  <c r="B1363" i="12"/>
  <c r="C1363" i="12"/>
  <c r="E1363" i="12"/>
  <c r="F1363" i="12"/>
  <c r="B1362" i="12"/>
  <c r="C1362" i="12"/>
  <c r="E1362" i="12"/>
  <c r="F1362" i="12"/>
  <c r="B1361" i="12"/>
  <c r="C1361" i="12"/>
  <c r="E1361" i="12"/>
  <c r="F1361" i="12"/>
  <c r="B1360" i="12"/>
  <c r="C1360" i="12"/>
  <c r="E1360" i="12"/>
  <c r="F1360" i="12"/>
  <c r="B1359" i="12"/>
  <c r="C1359" i="12"/>
  <c r="E1359" i="12"/>
  <c r="F1359" i="12"/>
  <c r="B1358" i="12"/>
  <c r="C1358" i="12"/>
  <c r="E1358" i="12"/>
  <c r="F1358" i="12"/>
  <c r="B1357" i="12"/>
  <c r="C1357" i="12"/>
  <c r="E1357" i="12"/>
  <c r="F1357" i="12"/>
  <c r="B1356" i="12"/>
  <c r="C1356" i="12"/>
  <c r="E1356" i="12"/>
  <c r="F1356" i="12"/>
  <c r="B1355" i="12"/>
  <c r="C1355" i="12"/>
  <c r="E1355" i="12"/>
  <c r="F1355" i="12"/>
  <c r="B1354" i="12"/>
  <c r="C1354" i="12"/>
  <c r="E1354" i="12"/>
  <c r="F1354" i="12"/>
  <c r="B1353" i="12"/>
  <c r="C1353" i="12"/>
  <c r="E1353" i="12"/>
  <c r="F1353" i="12"/>
  <c r="B1352" i="12"/>
  <c r="C1352" i="12"/>
  <c r="E1352" i="12"/>
  <c r="F1352" i="12"/>
  <c r="B1351" i="12"/>
  <c r="C1351" i="12"/>
  <c r="E1351" i="12"/>
  <c r="F1351" i="12"/>
  <c r="B1350" i="12"/>
  <c r="C1350" i="12"/>
  <c r="E1350" i="12"/>
  <c r="F1350" i="12"/>
  <c r="B1349" i="12"/>
  <c r="C1349" i="12"/>
  <c r="E1349" i="12"/>
  <c r="F1349" i="12"/>
  <c r="B1348" i="12"/>
  <c r="C1348" i="12"/>
  <c r="E1348" i="12"/>
  <c r="F1348" i="12"/>
  <c r="B1347" i="12"/>
  <c r="C1347" i="12"/>
  <c r="E1347" i="12"/>
  <c r="F1347" i="12"/>
  <c r="B1346" i="12"/>
  <c r="C1346" i="12"/>
  <c r="E1346" i="12"/>
  <c r="F1346" i="12"/>
  <c r="B1345" i="12"/>
  <c r="C1345" i="12"/>
  <c r="E1345" i="12"/>
  <c r="F1345" i="12"/>
  <c r="B1344" i="12"/>
  <c r="C1344" i="12"/>
  <c r="E1344" i="12"/>
  <c r="F1344" i="12"/>
  <c r="B1343" i="12"/>
  <c r="C1343" i="12"/>
  <c r="E1343" i="12"/>
  <c r="F1343" i="12"/>
  <c r="B1342" i="12"/>
  <c r="C1342" i="12"/>
  <c r="E1342" i="12"/>
  <c r="F1342" i="12"/>
  <c r="B1341" i="12"/>
  <c r="C1341" i="12"/>
  <c r="E1341" i="12"/>
  <c r="F1341" i="12"/>
  <c r="B1340" i="12"/>
  <c r="C1340" i="12"/>
  <c r="E1340" i="12"/>
  <c r="F1340" i="12"/>
  <c r="B1339" i="12"/>
  <c r="C1339" i="12"/>
  <c r="E1339" i="12"/>
  <c r="F1339" i="12"/>
  <c r="B1338" i="12"/>
  <c r="C1338" i="12"/>
  <c r="E1338" i="12"/>
  <c r="F1338" i="12"/>
  <c r="B1337" i="12"/>
  <c r="C1337" i="12"/>
  <c r="E1337" i="12"/>
  <c r="F1337" i="12"/>
  <c r="B1336" i="12"/>
  <c r="C1336" i="12"/>
  <c r="E1336" i="12"/>
  <c r="F1336" i="12"/>
  <c r="B1335" i="12"/>
  <c r="C1335" i="12"/>
  <c r="E1335" i="12"/>
  <c r="F1335" i="12"/>
  <c r="B1334" i="12"/>
  <c r="C1334" i="12"/>
  <c r="E1334" i="12"/>
  <c r="F1334" i="12"/>
  <c r="B1333" i="12"/>
  <c r="C1333" i="12"/>
  <c r="E1333" i="12"/>
  <c r="F1333" i="12"/>
  <c r="B1332" i="12"/>
  <c r="C1332" i="12"/>
  <c r="E1332" i="12"/>
  <c r="F1332" i="12"/>
  <c r="B1331" i="12"/>
  <c r="C1331" i="12"/>
  <c r="E1331" i="12"/>
  <c r="F1331" i="12"/>
  <c r="B1330" i="12"/>
  <c r="C1330" i="12"/>
  <c r="E1330" i="12"/>
  <c r="F1330" i="12"/>
  <c r="B1329" i="12"/>
  <c r="C1329" i="12"/>
  <c r="E1329" i="12"/>
  <c r="F1329" i="12"/>
  <c r="B1328" i="12"/>
  <c r="C1328" i="12"/>
  <c r="E1328" i="12"/>
  <c r="F1328" i="12"/>
  <c r="B1327" i="12"/>
  <c r="C1327" i="12"/>
  <c r="E1327" i="12"/>
  <c r="F1327" i="12"/>
  <c r="B1326" i="12"/>
  <c r="C1326" i="12"/>
  <c r="E1326" i="12"/>
  <c r="F1326" i="12"/>
  <c r="B1325" i="12"/>
  <c r="C1325" i="12"/>
  <c r="E1325" i="12"/>
  <c r="F1325" i="12"/>
  <c r="B1324" i="12"/>
  <c r="C1324" i="12"/>
  <c r="E1324" i="12"/>
  <c r="F1324" i="12"/>
  <c r="B1323" i="12"/>
  <c r="C1323" i="12"/>
  <c r="E1323" i="12"/>
  <c r="F1323" i="12"/>
  <c r="B1322" i="12"/>
  <c r="C1322" i="12"/>
  <c r="E1322" i="12"/>
  <c r="F1322" i="12"/>
  <c r="B1321" i="12"/>
  <c r="C1321" i="12"/>
  <c r="E1321" i="12"/>
  <c r="F1321" i="12"/>
  <c r="B1320" i="12"/>
  <c r="C1320" i="12"/>
  <c r="E1320" i="12"/>
  <c r="F1320" i="12"/>
  <c r="B1319" i="12"/>
  <c r="C1319" i="12"/>
  <c r="E1319" i="12"/>
  <c r="F1319" i="12"/>
  <c r="B1318" i="12"/>
  <c r="C1318" i="12"/>
  <c r="E1318" i="12"/>
  <c r="F1318" i="12"/>
  <c r="B1317" i="12"/>
  <c r="C1317" i="12"/>
  <c r="E1317" i="12"/>
  <c r="F1317" i="12"/>
  <c r="B1316" i="12"/>
  <c r="C1316" i="12"/>
  <c r="E1316" i="12"/>
  <c r="F1316" i="12"/>
  <c r="B1315" i="12"/>
  <c r="C1315" i="12"/>
  <c r="E1315" i="12"/>
  <c r="F1315" i="12"/>
  <c r="B1314" i="12"/>
  <c r="C1314" i="12"/>
  <c r="E1314" i="12"/>
  <c r="F1314" i="12"/>
  <c r="B1313" i="12"/>
  <c r="C1313" i="12"/>
  <c r="E1313" i="12"/>
  <c r="F1313" i="12"/>
  <c r="B1312" i="12" l="1"/>
  <c r="C1312" i="12"/>
  <c r="E1312" i="12"/>
  <c r="F1312" i="12"/>
  <c r="B1311" i="12"/>
  <c r="C1311" i="12"/>
  <c r="E1311" i="12"/>
  <c r="F1311" i="12"/>
  <c r="B1310" i="12"/>
  <c r="C1310" i="12"/>
  <c r="E1310" i="12"/>
  <c r="F1310" i="12"/>
  <c r="B1309" i="12"/>
  <c r="C1309" i="12"/>
  <c r="E1309" i="12"/>
  <c r="F1309" i="12"/>
  <c r="B1308" i="12"/>
  <c r="C1308" i="12"/>
  <c r="E1308" i="12"/>
  <c r="F1308" i="12"/>
  <c r="B1307" i="12"/>
  <c r="C1307" i="12"/>
  <c r="E1307" i="12"/>
  <c r="F1307" i="12"/>
  <c r="B1306" i="12"/>
  <c r="C1306" i="12"/>
  <c r="E1306" i="12"/>
  <c r="F1306" i="12"/>
  <c r="B1305" i="12"/>
  <c r="C1305" i="12"/>
  <c r="E1305" i="12"/>
  <c r="F1305" i="12"/>
  <c r="B1304" i="12"/>
  <c r="C1304" i="12"/>
  <c r="E1304" i="12"/>
  <c r="F1304" i="12"/>
  <c r="B1303" i="12"/>
  <c r="C1303" i="12"/>
  <c r="E1303" i="12"/>
  <c r="F1303" i="12"/>
  <c r="B1302" i="12"/>
  <c r="C1302" i="12"/>
  <c r="E1302" i="12"/>
  <c r="F1302" i="12"/>
  <c r="B1301" i="12"/>
  <c r="C1301" i="12"/>
  <c r="E1301" i="12"/>
  <c r="F1301" i="12"/>
  <c r="B1300" i="12"/>
  <c r="C1300" i="12"/>
  <c r="E1300" i="12"/>
  <c r="F1300" i="12"/>
  <c r="B1299" i="12"/>
  <c r="C1299" i="12"/>
  <c r="E1299" i="12"/>
  <c r="F1299" i="12"/>
  <c r="B1298" i="12"/>
  <c r="C1298" i="12"/>
  <c r="E1298" i="12"/>
  <c r="F1298" i="12"/>
  <c r="B1297" i="12"/>
  <c r="C1297" i="12"/>
  <c r="E1297" i="12"/>
  <c r="F1297" i="12"/>
  <c r="B1296" i="12"/>
  <c r="C1296" i="12"/>
  <c r="E1296" i="12"/>
  <c r="F1296" i="12"/>
  <c r="B1295" i="12"/>
  <c r="C1295" i="12"/>
  <c r="E1295" i="12"/>
  <c r="F1295" i="12"/>
  <c r="B1294" i="12"/>
  <c r="C1294" i="12"/>
  <c r="E1294" i="12"/>
  <c r="F1294" i="12"/>
  <c r="B1293" i="12" l="1"/>
  <c r="C1293" i="12"/>
  <c r="E1293" i="12"/>
  <c r="F1293" i="12"/>
  <c r="B1292" i="12" l="1"/>
  <c r="C1292" i="12"/>
  <c r="E1292" i="12"/>
  <c r="F1292" i="12"/>
  <c r="B1291" i="12"/>
  <c r="C1291" i="12"/>
  <c r="E1291" i="12"/>
  <c r="F1291" i="12"/>
  <c r="B1290" i="12"/>
  <c r="C1290" i="12"/>
  <c r="E1290" i="12"/>
  <c r="F1290" i="12"/>
  <c r="B1289" i="12"/>
  <c r="C1289" i="12"/>
  <c r="E1289" i="12"/>
  <c r="F1289" i="12"/>
  <c r="B1288" i="12"/>
  <c r="C1288" i="12"/>
  <c r="E1288" i="12"/>
  <c r="F1288" i="12"/>
  <c r="B1287" i="12"/>
  <c r="C1287" i="12"/>
  <c r="E1287" i="12"/>
  <c r="F1287" i="12"/>
  <c r="B1286" i="12"/>
  <c r="C1286" i="12"/>
  <c r="E1286" i="12"/>
  <c r="F1286" i="12"/>
  <c r="B1285" i="12"/>
  <c r="C1285" i="12"/>
  <c r="E1285" i="12"/>
  <c r="F1285" i="12"/>
  <c r="B1284" i="12"/>
  <c r="C1284" i="12"/>
  <c r="E1284" i="12"/>
  <c r="F1284" i="12"/>
  <c r="B1283" i="12"/>
  <c r="C1283" i="12"/>
  <c r="E1283" i="12"/>
  <c r="F1283" i="12"/>
  <c r="B1282" i="12"/>
  <c r="C1282" i="12"/>
  <c r="E1282" i="12"/>
  <c r="F1282" i="12"/>
  <c r="B1281" i="12"/>
  <c r="C1281" i="12"/>
  <c r="E1281" i="12"/>
  <c r="F1281" i="12"/>
  <c r="B1280" i="12"/>
  <c r="C1280" i="12"/>
  <c r="E1280" i="12"/>
  <c r="F1280" i="12"/>
  <c r="B1279" i="12"/>
  <c r="C1279" i="12"/>
  <c r="E1279" i="12"/>
  <c r="F1279" i="12"/>
  <c r="B1278" i="12"/>
  <c r="C1278" i="12"/>
  <c r="E1278" i="12"/>
  <c r="F1278" i="12"/>
  <c r="B1277" i="12"/>
  <c r="C1277" i="12"/>
  <c r="E1277" i="12"/>
  <c r="F1277" i="12"/>
  <c r="B1276" i="12"/>
  <c r="C1276" i="12"/>
  <c r="E1276" i="12"/>
  <c r="F1276" i="12"/>
  <c r="B1275" i="12"/>
  <c r="C1275" i="12"/>
  <c r="E1275" i="12"/>
  <c r="F1275" i="12"/>
  <c r="B1274" i="12"/>
  <c r="C1274" i="12"/>
  <c r="E1274" i="12"/>
  <c r="F1274" i="12"/>
  <c r="B1273" i="12"/>
  <c r="C1273" i="12"/>
  <c r="E1273" i="12"/>
  <c r="F1273" i="12"/>
  <c r="B1272" i="12"/>
  <c r="C1272" i="12"/>
  <c r="E1272" i="12"/>
  <c r="F1272" i="12"/>
  <c r="B1271" i="12"/>
  <c r="C1271" i="12"/>
  <c r="E1271" i="12"/>
  <c r="F1271" i="12"/>
  <c r="B1270" i="12"/>
  <c r="C1270" i="12"/>
  <c r="E1270" i="12"/>
  <c r="F1270" i="12"/>
  <c r="B1269" i="12"/>
  <c r="C1269" i="12"/>
  <c r="E1269" i="12"/>
  <c r="F1269" i="12"/>
  <c r="B1268" i="12"/>
  <c r="C1268" i="12"/>
  <c r="E1268" i="12"/>
  <c r="F1268" i="12"/>
  <c r="B1267" i="12"/>
  <c r="C1267" i="12"/>
  <c r="E1267" i="12"/>
  <c r="F1267" i="12"/>
  <c r="B1266" i="12"/>
  <c r="C1266" i="12"/>
  <c r="E1266" i="12"/>
  <c r="F1266" i="12"/>
  <c r="B1265" i="12"/>
  <c r="C1265" i="12"/>
  <c r="E1265" i="12"/>
  <c r="F1265" i="12"/>
  <c r="B1264" i="12"/>
  <c r="C1264" i="12"/>
  <c r="E1264" i="12"/>
  <c r="F1264" i="12"/>
  <c r="B1263" i="12"/>
  <c r="C1263" i="12"/>
  <c r="E1263" i="12"/>
  <c r="F1263" i="12"/>
  <c r="B1262" i="12"/>
  <c r="C1262" i="12"/>
  <c r="E1262" i="12"/>
  <c r="F1262" i="12"/>
  <c r="B1261" i="12"/>
  <c r="C1261" i="12"/>
  <c r="E1261" i="12"/>
  <c r="F1261" i="12"/>
  <c r="B1260" i="12"/>
  <c r="C1260" i="12"/>
  <c r="E1260" i="12"/>
  <c r="F1260" i="12"/>
  <c r="B1259" i="12"/>
  <c r="C1259" i="12"/>
  <c r="E1259" i="12"/>
  <c r="F1259" i="12"/>
  <c r="B1258" i="12" l="1"/>
  <c r="C1258" i="12"/>
  <c r="E1258" i="12"/>
  <c r="F1258" i="12"/>
  <c r="B1257" i="12"/>
  <c r="C1257" i="12"/>
  <c r="E1257" i="12"/>
  <c r="F1257" i="12"/>
  <c r="B1256" i="12"/>
  <c r="C1256" i="12"/>
  <c r="E1256" i="12"/>
  <c r="F1256" i="12"/>
  <c r="B1255" i="12"/>
  <c r="C1255" i="12"/>
  <c r="E1255" i="12"/>
  <c r="F1255" i="12"/>
  <c r="B1254" i="12"/>
  <c r="C1254" i="12"/>
  <c r="E1254" i="12"/>
  <c r="F1254" i="12"/>
  <c r="B1253" i="12"/>
  <c r="C1253" i="12"/>
  <c r="E1253" i="12"/>
  <c r="F1253" i="12"/>
  <c r="B1252" i="12"/>
  <c r="C1252" i="12"/>
  <c r="E1252" i="12"/>
  <c r="F1252" i="12"/>
  <c r="B1251" i="12"/>
  <c r="C1251" i="12"/>
  <c r="E1251" i="12"/>
  <c r="F1251" i="12"/>
  <c r="B1250" i="12"/>
  <c r="C1250" i="12"/>
  <c r="E1250" i="12"/>
  <c r="F1250" i="12"/>
  <c r="B1249" i="12"/>
  <c r="C1249" i="12"/>
  <c r="E1249" i="12"/>
  <c r="F1249" i="12"/>
  <c r="B1248" i="12"/>
  <c r="C1248" i="12"/>
  <c r="E1248" i="12"/>
  <c r="F1248" i="12"/>
  <c r="B1247" i="12" l="1"/>
  <c r="C1247" i="12"/>
  <c r="E1247" i="12"/>
  <c r="F1247" i="12"/>
  <c r="B1246" i="12"/>
  <c r="C1246" i="12"/>
  <c r="E1246" i="12"/>
  <c r="F1246" i="12"/>
  <c r="B1245" i="12"/>
  <c r="C1245" i="12"/>
  <c r="E1245" i="12"/>
  <c r="F1245" i="12"/>
  <c r="B1244" i="12"/>
  <c r="C1244" i="12"/>
  <c r="E1244" i="12"/>
  <c r="F1244" i="12"/>
  <c r="B1243" i="12"/>
  <c r="C1243" i="12"/>
  <c r="E1243" i="12"/>
  <c r="F1243" i="12"/>
  <c r="B1242" i="12"/>
  <c r="C1242" i="12"/>
  <c r="E1242" i="12"/>
  <c r="F1242" i="12"/>
  <c r="B1241" i="12"/>
  <c r="C1241" i="12"/>
  <c r="E1241" i="12"/>
  <c r="F1241" i="12"/>
  <c r="B1240" i="12"/>
  <c r="C1240" i="12"/>
  <c r="E1240" i="12"/>
  <c r="F1240" i="12"/>
  <c r="B1239" i="12"/>
  <c r="C1239" i="12"/>
  <c r="E1239" i="12"/>
  <c r="F1239" i="12"/>
  <c r="B1238" i="12"/>
  <c r="C1238" i="12"/>
  <c r="E1238" i="12"/>
  <c r="F1238" i="12"/>
  <c r="B1237" i="12"/>
  <c r="C1237" i="12"/>
  <c r="E1237" i="12"/>
  <c r="F1237" i="12"/>
  <c r="B1236" i="12"/>
  <c r="C1236" i="12"/>
  <c r="E1236" i="12"/>
  <c r="F1236" i="12"/>
  <c r="B1235" i="12"/>
  <c r="C1235" i="12"/>
  <c r="E1235" i="12"/>
  <c r="F1235" i="12"/>
  <c r="B1234" i="12"/>
  <c r="C1234" i="12"/>
  <c r="E1234" i="12"/>
  <c r="F1234" i="12"/>
  <c r="B1233" i="12"/>
  <c r="C1233" i="12"/>
  <c r="E1233" i="12"/>
  <c r="F1233" i="12"/>
  <c r="B1232" i="12"/>
  <c r="C1232" i="12"/>
  <c r="E1232" i="12"/>
  <c r="F1232" i="12"/>
  <c r="B1231" i="12"/>
  <c r="C1231" i="12"/>
  <c r="E1231" i="12"/>
  <c r="F1231" i="12"/>
  <c r="B1230" i="12"/>
  <c r="C1230" i="12"/>
  <c r="E1230" i="12"/>
  <c r="F1230" i="12"/>
  <c r="B1229" i="12"/>
  <c r="C1229" i="12"/>
  <c r="E1229" i="12"/>
  <c r="F1229" i="12"/>
  <c r="B1228" i="12"/>
  <c r="C1228" i="12"/>
  <c r="E1228" i="12"/>
  <c r="F1228" i="12"/>
  <c r="B1227" i="12" l="1"/>
  <c r="C1227" i="12"/>
  <c r="E1227" i="12"/>
  <c r="F1227" i="12"/>
  <c r="B1226" i="12"/>
  <c r="C1226" i="12"/>
  <c r="E1226" i="12"/>
  <c r="F1226" i="12"/>
  <c r="P262" i="8"/>
  <c r="Q262" i="8" s="1"/>
  <c r="P282" i="8"/>
  <c r="Q282" i="8" s="1"/>
  <c r="P280" i="8"/>
  <c r="Q280" i="8" s="1"/>
  <c r="P281" i="8"/>
  <c r="Q281" i="8" s="1"/>
  <c r="P276" i="8"/>
  <c r="Q276" i="8" s="1"/>
  <c r="P277" i="8"/>
  <c r="Q277" i="8" s="1"/>
  <c r="P278" i="8"/>
  <c r="Q278" i="8" s="1"/>
  <c r="P279" i="8"/>
  <c r="Q279" i="8" s="1"/>
  <c r="P275" i="8"/>
  <c r="Q275" i="8" s="1"/>
  <c r="P274" i="8"/>
  <c r="Q274" i="8" s="1"/>
  <c r="P273" i="8"/>
  <c r="Q273" i="8" s="1"/>
  <c r="P271" i="8"/>
  <c r="Q271" i="8" s="1"/>
  <c r="P272" i="8"/>
  <c r="Q272" i="8" s="1"/>
  <c r="P269" i="8"/>
  <c r="Q269" i="8" s="1"/>
  <c r="P270" i="8"/>
  <c r="Q270" i="8" s="1"/>
  <c r="P265" i="8"/>
  <c r="Q265" i="8" s="1"/>
  <c r="P266" i="8"/>
  <c r="Q266" i="8" s="1"/>
  <c r="P267" i="8"/>
  <c r="Q267" i="8" s="1"/>
  <c r="P268" i="8"/>
  <c r="Q268" i="8" s="1"/>
  <c r="P263" i="8"/>
  <c r="Q263" i="8" s="1"/>
  <c r="P264" i="8"/>
  <c r="Q264" i="8" s="1"/>
  <c r="P307" i="8"/>
  <c r="Q307" i="8" s="1"/>
  <c r="P308" i="8"/>
  <c r="Q308" i="8" s="1"/>
  <c r="P309" i="8"/>
  <c r="Q309" i="8" s="1"/>
  <c r="P306" i="8"/>
  <c r="Q306" i="8" s="1"/>
  <c r="P305" i="8"/>
  <c r="Q305" i="8" s="1"/>
  <c r="P300" i="8"/>
  <c r="Q300" i="8" s="1"/>
  <c r="P301" i="8"/>
  <c r="Q301" i="8" s="1"/>
  <c r="P302" i="8"/>
  <c r="Q302" i="8" s="1"/>
  <c r="P303" i="8"/>
  <c r="Q303" i="8" s="1"/>
  <c r="P304" i="8"/>
  <c r="Q304" i="8" s="1"/>
  <c r="P299" i="8"/>
  <c r="Q299" i="8" s="1"/>
  <c r="P297" i="8"/>
  <c r="Q297" i="8" s="1"/>
  <c r="P298" i="8"/>
  <c r="Q298" i="8" s="1"/>
  <c r="P295" i="8"/>
  <c r="Q295" i="8" s="1"/>
  <c r="P296" i="8"/>
  <c r="Q296" i="8" s="1"/>
  <c r="P292" i="8"/>
  <c r="Q292" i="8" s="1"/>
  <c r="P293" i="8"/>
  <c r="Q293" i="8" s="1"/>
  <c r="P294" i="8"/>
  <c r="Q294" i="8" s="1"/>
  <c r="P291" i="8"/>
  <c r="Q291" i="8" s="1"/>
  <c r="P290" i="8"/>
  <c r="Q290" i="8" s="1"/>
  <c r="P288" i="8"/>
  <c r="Q288" i="8" s="1"/>
  <c r="P289" i="8"/>
  <c r="Q289" i="8" s="1"/>
  <c r="P287" i="8"/>
  <c r="Q287" i="8" s="1"/>
  <c r="P286" i="8"/>
  <c r="Q286" i="8" s="1"/>
  <c r="P285" i="8"/>
  <c r="Q285" i="8" s="1"/>
  <c r="P283" i="8"/>
  <c r="Q283" i="8" s="1"/>
  <c r="P284" i="8"/>
  <c r="Q284" i="8" s="1"/>
  <c r="B1225" i="12"/>
  <c r="C1225" i="12"/>
  <c r="E1225" i="12"/>
  <c r="F1225" i="12"/>
  <c r="B1224" i="12"/>
  <c r="C1224" i="12"/>
  <c r="E1224" i="12"/>
  <c r="F1224" i="12"/>
  <c r="R40" i="11"/>
  <c r="S40" i="11"/>
  <c r="T40" i="11"/>
  <c r="U40" i="11"/>
  <c r="R39" i="11"/>
  <c r="S39" i="11"/>
  <c r="T39" i="11"/>
  <c r="U39" i="11"/>
  <c r="R35" i="11"/>
  <c r="R36" i="11"/>
  <c r="R37" i="11"/>
  <c r="R38" i="11"/>
  <c r="S35" i="11"/>
  <c r="S36" i="11"/>
  <c r="S37" i="11"/>
  <c r="S38" i="11"/>
  <c r="T35" i="11"/>
  <c r="T36" i="11"/>
  <c r="T37" i="11"/>
  <c r="T38" i="11"/>
  <c r="U35" i="11"/>
  <c r="U36" i="11"/>
  <c r="U37" i="11"/>
  <c r="U38" i="11"/>
  <c r="R34" i="11"/>
  <c r="S34" i="11"/>
  <c r="T34" i="11"/>
  <c r="U34" i="11"/>
  <c r="R33" i="11"/>
  <c r="S33" i="11"/>
  <c r="T33" i="11"/>
  <c r="U33" i="11"/>
  <c r="R32" i="11"/>
  <c r="S32" i="11"/>
  <c r="T32" i="11"/>
  <c r="U32" i="11"/>
  <c r="R31" i="11"/>
  <c r="S31" i="11"/>
  <c r="T31" i="11"/>
  <c r="U31" i="11"/>
  <c r="R28" i="11"/>
  <c r="R29" i="11"/>
  <c r="R30" i="11"/>
  <c r="S28" i="11"/>
  <c r="S29" i="11"/>
  <c r="S30" i="11"/>
  <c r="T28" i="11"/>
  <c r="T29" i="11"/>
  <c r="T30" i="11"/>
  <c r="U28" i="11"/>
  <c r="U29" i="11"/>
  <c r="U30" i="11"/>
  <c r="R26" i="11"/>
  <c r="R27" i="11"/>
  <c r="S26" i="11"/>
  <c r="S27" i="11"/>
  <c r="T26" i="11"/>
  <c r="T27" i="11"/>
  <c r="U26" i="11"/>
  <c r="U27" i="11"/>
  <c r="R24" i="11"/>
  <c r="R25" i="11"/>
  <c r="S24" i="11"/>
  <c r="S25" i="11"/>
  <c r="T24" i="11"/>
  <c r="T25" i="11"/>
  <c r="U24" i="11"/>
  <c r="U25" i="11"/>
  <c r="R22" i="11"/>
  <c r="R23" i="11"/>
  <c r="S22" i="11"/>
  <c r="S23" i="11"/>
  <c r="T22" i="11"/>
  <c r="T23" i="11"/>
  <c r="U22" i="11"/>
  <c r="U23" i="11"/>
  <c r="R21" i="11"/>
  <c r="S21" i="11"/>
  <c r="T21" i="11"/>
  <c r="U21" i="11"/>
  <c r="R20" i="11"/>
  <c r="S20" i="11"/>
  <c r="T20" i="11"/>
  <c r="U20" i="11"/>
  <c r="R19" i="11"/>
  <c r="S19" i="11"/>
  <c r="T19" i="11"/>
  <c r="U19" i="11"/>
  <c r="R17" i="11"/>
  <c r="R18" i="11"/>
  <c r="S17" i="11"/>
  <c r="S18" i="11"/>
  <c r="T17" i="11"/>
  <c r="T18" i="11"/>
  <c r="U17" i="11"/>
  <c r="U18" i="11"/>
  <c r="R15" i="11"/>
  <c r="R16" i="11"/>
  <c r="S15" i="11"/>
  <c r="S16" i="11"/>
  <c r="T15" i="11"/>
  <c r="T16" i="11"/>
  <c r="U15" i="11"/>
  <c r="U16" i="11"/>
  <c r="R14" i="11"/>
  <c r="S14" i="11"/>
  <c r="T14" i="11"/>
  <c r="U14" i="11"/>
  <c r="R13" i="11"/>
  <c r="S13" i="11"/>
  <c r="T13" i="11"/>
  <c r="U13" i="11"/>
  <c r="R12" i="11"/>
  <c r="S12" i="11"/>
  <c r="T12" i="11"/>
  <c r="U12" i="11"/>
  <c r="R11" i="11"/>
  <c r="S11" i="11"/>
  <c r="T11" i="11"/>
  <c r="U11" i="11"/>
  <c r="R8" i="11"/>
  <c r="R9" i="11"/>
  <c r="R10" i="11"/>
  <c r="S8" i="11"/>
  <c r="S9" i="11"/>
  <c r="S10" i="11"/>
  <c r="T8" i="11"/>
  <c r="T9" i="11"/>
  <c r="T10" i="11"/>
  <c r="U8" i="11"/>
  <c r="U9" i="11"/>
  <c r="U10" i="11"/>
  <c r="R7" i="11"/>
  <c r="S7" i="11"/>
  <c r="T7" i="11"/>
  <c r="U7" i="11"/>
  <c r="B1223" i="12"/>
  <c r="C1223" i="12"/>
  <c r="E1223" i="12"/>
  <c r="F1223" i="12"/>
  <c r="B1222" i="12"/>
  <c r="C1222" i="12"/>
  <c r="E1222" i="12"/>
  <c r="F1222" i="12"/>
  <c r="B1221" i="12"/>
  <c r="C1221" i="12"/>
  <c r="E1221" i="12"/>
  <c r="F1221" i="12"/>
  <c r="B1220" i="12" l="1"/>
  <c r="C1220" i="12"/>
  <c r="E1220" i="12"/>
  <c r="F1220" i="12"/>
  <c r="B1219" i="12"/>
  <c r="C1219" i="12"/>
  <c r="E1219" i="12"/>
  <c r="F1219" i="12"/>
  <c r="B1218" i="12"/>
  <c r="C1218" i="12"/>
  <c r="E1218" i="12"/>
  <c r="F1218" i="12"/>
  <c r="B1217" i="12"/>
  <c r="C1217" i="12"/>
  <c r="E1217" i="12"/>
  <c r="F1217" i="12"/>
  <c r="B1216" i="12" l="1"/>
  <c r="C1216" i="12"/>
  <c r="E1216" i="12"/>
  <c r="F1216" i="12"/>
  <c r="B1215" i="12"/>
  <c r="C1215" i="12"/>
  <c r="E1215" i="12"/>
  <c r="F1215" i="12"/>
  <c r="B1214" i="12"/>
  <c r="C1214" i="12"/>
  <c r="E1214" i="12"/>
  <c r="F1214" i="12"/>
  <c r="B1213" i="12"/>
  <c r="C1213" i="12"/>
  <c r="E1213" i="12"/>
  <c r="F1213" i="12"/>
  <c r="B1212" i="12"/>
  <c r="C1212" i="12"/>
  <c r="E1212" i="12"/>
  <c r="F1212" i="12"/>
  <c r="B1211" i="12" l="1"/>
  <c r="C1211" i="12"/>
  <c r="E1211" i="12"/>
  <c r="F1211" i="12"/>
  <c r="B1210" i="12"/>
  <c r="C1210" i="12"/>
  <c r="E1210" i="12"/>
  <c r="F1210" i="12"/>
  <c r="B1209" i="12"/>
  <c r="C1209" i="12"/>
  <c r="E1209" i="12"/>
  <c r="F1209" i="12"/>
  <c r="B1208" i="12"/>
  <c r="C1208" i="12"/>
  <c r="E1208" i="12"/>
  <c r="F1208" i="12"/>
  <c r="B1207" i="12"/>
  <c r="C1207" i="12"/>
  <c r="E1207" i="12"/>
  <c r="F1207" i="12"/>
  <c r="B1206" i="12"/>
  <c r="C1206" i="12"/>
  <c r="E1206" i="12"/>
  <c r="F1206" i="12"/>
  <c r="B1205" i="12" l="1"/>
  <c r="C1205" i="12"/>
  <c r="E1205" i="12"/>
  <c r="F1205" i="12"/>
  <c r="B1204" i="12"/>
  <c r="C1204" i="12"/>
  <c r="E1204" i="12"/>
  <c r="F1204" i="12"/>
  <c r="B1203" i="12" l="1"/>
  <c r="C1203" i="12"/>
  <c r="E1203" i="12"/>
  <c r="F1203" i="12"/>
  <c r="B1202" i="12"/>
  <c r="C1202" i="12"/>
  <c r="E1202" i="12"/>
  <c r="F1202" i="12"/>
  <c r="B1201" i="12" l="1"/>
  <c r="C1201" i="12"/>
  <c r="E1201" i="12"/>
  <c r="F1201" i="12"/>
  <c r="B1200" i="12"/>
  <c r="C1200" i="12"/>
  <c r="E1200" i="12"/>
  <c r="F1200" i="12"/>
  <c r="B1199" i="12"/>
  <c r="C1199" i="12"/>
  <c r="E1199" i="12"/>
  <c r="F1199" i="12"/>
  <c r="B1198" i="12" l="1"/>
  <c r="C1198" i="12"/>
  <c r="E1198" i="12"/>
  <c r="F1198" i="12"/>
  <c r="B1197" i="12"/>
  <c r="C1197" i="12"/>
  <c r="E1197" i="12"/>
  <c r="F1197" i="12"/>
  <c r="B1196" i="12"/>
  <c r="C1196" i="12"/>
  <c r="E1196" i="12"/>
  <c r="F1196" i="12"/>
  <c r="B1195" i="12"/>
  <c r="C1195" i="12"/>
  <c r="E1195" i="12"/>
  <c r="F1195" i="12"/>
  <c r="B1194" i="12"/>
  <c r="C1194" i="12"/>
  <c r="E1194" i="12"/>
  <c r="F1194" i="12"/>
  <c r="B1193" i="12"/>
  <c r="C1193" i="12"/>
  <c r="E1193" i="12"/>
  <c r="F1193" i="12"/>
  <c r="B1192" i="12" l="1"/>
  <c r="C1192" i="12"/>
  <c r="E1192" i="12"/>
  <c r="F1192" i="12"/>
  <c r="B1191" i="12"/>
  <c r="C1191" i="12"/>
  <c r="E1191" i="12"/>
  <c r="F1191" i="12"/>
  <c r="B1190" i="12" l="1"/>
  <c r="C1190" i="12"/>
  <c r="E1190" i="12"/>
  <c r="F1190" i="12"/>
  <c r="B1189" i="12"/>
  <c r="C1189" i="12"/>
  <c r="E1189" i="12"/>
  <c r="F1189" i="12"/>
  <c r="B1188" i="12"/>
  <c r="C1188" i="12"/>
  <c r="E1188" i="12"/>
  <c r="F1188" i="12"/>
  <c r="B1187" i="12"/>
  <c r="C1187" i="12"/>
  <c r="E1187" i="12"/>
  <c r="F1187" i="12"/>
  <c r="B1186" i="12"/>
  <c r="C1186" i="12"/>
  <c r="E1186" i="12"/>
  <c r="F1186" i="12"/>
  <c r="B1185" i="12"/>
  <c r="C1185" i="12"/>
  <c r="E1185" i="12"/>
  <c r="F1185" i="12"/>
  <c r="B1184" i="12" l="1"/>
  <c r="C1184" i="12"/>
  <c r="E1184" i="12"/>
  <c r="F1184" i="12"/>
  <c r="B1183" i="12"/>
  <c r="C1183" i="12"/>
  <c r="E1183" i="12"/>
  <c r="F1183" i="12"/>
  <c r="B1182" i="12"/>
  <c r="C1182" i="12"/>
  <c r="E1182" i="12"/>
  <c r="F1182" i="12"/>
  <c r="B1181" i="12"/>
  <c r="C1181" i="12"/>
  <c r="E1181" i="12"/>
  <c r="F1181" i="12"/>
  <c r="B1180" i="12"/>
  <c r="C1180" i="12"/>
  <c r="E1180" i="12"/>
  <c r="F1180" i="12"/>
  <c r="B1179" i="12"/>
  <c r="C1179" i="12"/>
  <c r="E1179" i="12"/>
  <c r="F1179" i="12"/>
  <c r="B1178" i="12"/>
  <c r="C1178" i="12"/>
  <c r="E1178" i="12"/>
  <c r="F1178" i="12"/>
  <c r="B1177" i="12" l="1"/>
  <c r="C1177" i="12"/>
  <c r="E1177" i="12"/>
  <c r="F1177" i="12"/>
  <c r="B1176" i="12"/>
  <c r="C1176" i="12"/>
  <c r="E1176" i="12"/>
  <c r="F1176" i="12"/>
  <c r="B1175" i="12" l="1"/>
  <c r="C1175" i="12"/>
  <c r="E1175" i="12"/>
  <c r="F1175" i="12"/>
  <c r="B1174" i="12"/>
  <c r="C1174" i="12"/>
  <c r="E1174" i="12"/>
  <c r="F1174" i="12"/>
  <c r="B1173" i="12"/>
  <c r="C1173" i="12"/>
  <c r="E1173" i="12"/>
  <c r="F1173" i="12"/>
  <c r="B1172" i="12"/>
  <c r="C1172" i="12"/>
  <c r="E1172" i="12"/>
  <c r="F1172" i="12"/>
  <c r="B1171" i="12" l="1"/>
  <c r="C1171" i="12"/>
  <c r="E1171" i="12"/>
  <c r="F1171" i="12"/>
  <c r="B1170" i="12"/>
  <c r="C1170" i="12"/>
  <c r="E1170" i="12"/>
  <c r="F1170" i="12"/>
  <c r="B1169" i="12"/>
  <c r="C1169" i="12"/>
  <c r="E1169" i="12"/>
  <c r="F1169" i="12"/>
  <c r="B1168" i="12"/>
  <c r="C1168" i="12"/>
  <c r="E1168" i="12"/>
  <c r="F1168" i="12"/>
  <c r="B1167" i="12" l="1"/>
  <c r="C1167" i="12"/>
  <c r="E1167" i="12"/>
  <c r="F1167" i="12"/>
  <c r="B1166" i="12"/>
  <c r="C1166" i="12"/>
  <c r="E1166" i="12"/>
  <c r="F1166" i="12"/>
  <c r="B1165" i="12"/>
  <c r="C1165" i="12"/>
  <c r="E1165" i="12"/>
  <c r="F1165" i="12"/>
  <c r="B1164" i="12"/>
  <c r="C1164" i="12"/>
  <c r="E1164" i="12"/>
  <c r="F1164" i="12"/>
  <c r="B1163" i="12" l="1"/>
  <c r="C1163" i="12"/>
  <c r="E1163" i="12"/>
  <c r="F1163" i="12"/>
  <c r="B1162" i="12"/>
  <c r="C1162" i="12"/>
  <c r="E1162" i="12"/>
  <c r="F1162" i="12"/>
  <c r="B1161" i="12" l="1"/>
  <c r="C1161" i="12"/>
  <c r="E1161" i="12"/>
  <c r="F1161" i="12"/>
  <c r="B1160" i="12"/>
  <c r="C1160" i="12"/>
  <c r="E1160" i="12"/>
  <c r="F1160" i="12"/>
  <c r="B1159" i="12" l="1"/>
  <c r="C1159" i="12"/>
  <c r="E1159" i="12"/>
  <c r="F1159" i="12"/>
  <c r="B1158" i="12"/>
  <c r="C1158" i="12"/>
  <c r="E1158" i="12"/>
  <c r="F1158" i="12"/>
  <c r="B1157" i="12" l="1"/>
  <c r="C1157" i="12"/>
  <c r="E1157" i="12"/>
  <c r="F1157" i="12"/>
  <c r="B1156" i="12"/>
  <c r="C1156" i="12"/>
  <c r="E1156" i="12"/>
  <c r="F1156" i="12"/>
  <c r="B1155" i="12"/>
  <c r="C1155" i="12"/>
  <c r="E1155" i="12"/>
  <c r="F1155" i="12"/>
  <c r="B1154" i="12"/>
  <c r="C1154" i="12"/>
  <c r="E1154" i="12"/>
  <c r="F1154" i="12"/>
  <c r="B1153" i="12"/>
  <c r="C1153" i="12"/>
  <c r="E1153" i="12"/>
  <c r="F1153" i="12"/>
  <c r="B1152" i="12"/>
  <c r="C1152" i="12"/>
  <c r="E1152" i="12"/>
  <c r="F1152" i="12"/>
  <c r="B1151" i="12" l="1"/>
  <c r="C1151" i="12"/>
  <c r="E1151" i="12"/>
  <c r="F1151" i="12"/>
  <c r="B1150" i="12"/>
  <c r="C1150" i="12"/>
  <c r="E1150" i="12"/>
  <c r="F1150" i="12"/>
  <c r="B1149" i="12" l="1"/>
  <c r="C1149" i="12"/>
  <c r="E1149" i="12"/>
  <c r="F1149" i="12"/>
  <c r="B1148" i="12"/>
  <c r="C1148" i="12"/>
  <c r="E1148" i="12"/>
  <c r="F1148" i="12"/>
  <c r="B1147" i="12"/>
  <c r="C1147" i="12"/>
  <c r="E1147" i="12"/>
  <c r="F1147" i="12"/>
  <c r="B1146" i="12"/>
  <c r="C1146" i="12"/>
  <c r="E1146" i="12"/>
  <c r="F1146" i="12"/>
  <c r="B1145" i="12" l="1"/>
  <c r="C1145" i="12"/>
  <c r="E1145" i="12"/>
  <c r="F1145" i="12"/>
  <c r="B1144" i="12"/>
  <c r="C1144" i="12"/>
  <c r="E1144" i="12"/>
  <c r="F1144" i="12"/>
  <c r="B1143" i="12"/>
  <c r="C1143" i="12"/>
  <c r="E1143" i="12"/>
  <c r="F1143" i="12"/>
  <c r="B1142" i="12"/>
  <c r="C1142" i="12"/>
  <c r="E1142" i="12"/>
  <c r="F1142" i="12"/>
  <c r="B1141" i="12" l="1"/>
  <c r="C1141" i="12"/>
  <c r="E1141" i="12"/>
  <c r="F1141" i="12"/>
  <c r="B1140" i="12"/>
  <c r="C1140" i="12"/>
  <c r="E1140" i="12"/>
  <c r="F1140" i="12"/>
  <c r="B1139" i="12"/>
  <c r="C1139" i="12"/>
  <c r="E1139" i="12"/>
  <c r="F1139" i="12"/>
  <c r="B1138" i="12"/>
  <c r="C1138" i="12"/>
  <c r="E1138" i="12"/>
  <c r="F1138" i="12"/>
  <c r="B1137" i="12" l="1"/>
  <c r="C1137" i="12"/>
  <c r="E1137" i="12"/>
  <c r="F1137" i="12"/>
  <c r="B1136" i="12"/>
  <c r="C1136" i="12"/>
  <c r="E1136" i="12"/>
  <c r="F1136" i="12"/>
  <c r="B1135" i="12"/>
  <c r="C1135" i="12"/>
  <c r="E1135" i="12"/>
  <c r="F1135" i="12"/>
  <c r="B1134" i="12" l="1"/>
  <c r="C1134" i="12"/>
  <c r="E1134" i="12"/>
  <c r="F1134" i="12"/>
  <c r="B1133" i="12"/>
  <c r="C1133" i="12"/>
  <c r="E1133" i="12"/>
  <c r="F1133" i="12"/>
  <c r="B1132" i="12"/>
  <c r="C1132" i="12"/>
  <c r="E1132" i="12"/>
  <c r="F1132" i="12"/>
  <c r="B1131" i="12"/>
  <c r="C1131" i="12"/>
  <c r="E1131" i="12"/>
  <c r="F1131" i="12"/>
  <c r="B1130" i="12"/>
  <c r="C1130" i="12"/>
  <c r="E1130" i="12"/>
  <c r="F1130" i="12"/>
  <c r="B1129" i="12"/>
  <c r="C1129" i="12"/>
  <c r="E1129" i="12"/>
  <c r="F1129" i="12"/>
  <c r="B1128" i="12"/>
  <c r="C1128" i="12"/>
  <c r="E1128" i="12"/>
  <c r="F1128" i="12"/>
  <c r="B1127" i="12"/>
  <c r="C1127" i="12"/>
  <c r="E1127" i="12"/>
  <c r="F1127" i="12"/>
  <c r="B1126" i="12"/>
  <c r="C1126" i="12"/>
  <c r="E1126" i="12"/>
  <c r="F1126" i="12"/>
  <c r="B1125" i="12"/>
  <c r="C1125" i="12"/>
  <c r="E1125" i="12"/>
  <c r="F1125" i="12"/>
  <c r="B1124" i="12"/>
  <c r="C1124" i="12"/>
  <c r="E1124" i="12"/>
  <c r="F1124" i="12"/>
  <c r="B1123" i="12"/>
  <c r="C1123" i="12"/>
  <c r="E1123" i="12"/>
  <c r="F1123" i="12"/>
  <c r="B1122" i="12"/>
  <c r="C1122" i="12"/>
  <c r="E1122" i="12"/>
  <c r="F1122" i="12"/>
  <c r="B1121" i="12"/>
  <c r="C1121" i="12"/>
  <c r="E1121" i="12"/>
  <c r="F1121" i="12"/>
  <c r="B1120" i="12"/>
  <c r="C1120" i="12"/>
  <c r="E1120" i="12"/>
  <c r="F1120" i="12"/>
  <c r="B1119" i="12"/>
  <c r="C1119" i="12"/>
  <c r="E1119" i="12"/>
  <c r="F1119" i="12"/>
  <c r="B1118" i="12"/>
  <c r="C1118" i="12"/>
  <c r="E1118" i="12"/>
  <c r="F1118" i="12"/>
  <c r="B1117" i="12"/>
  <c r="C1117" i="12"/>
  <c r="E1117" i="12"/>
  <c r="F1117" i="12"/>
  <c r="B1116" i="12"/>
  <c r="C1116" i="12"/>
  <c r="E1116" i="12"/>
  <c r="F1116" i="12"/>
  <c r="B1115" i="12"/>
  <c r="C1115" i="12"/>
  <c r="E1115" i="12"/>
  <c r="F1115" i="12"/>
  <c r="B1114" i="12"/>
  <c r="C1114" i="12"/>
  <c r="E1114" i="12"/>
  <c r="F1114" i="12"/>
  <c r="B1113" i="12"/>
  <c r="C1113" i="12"/>
  <c r="E1113" i="12"/>
  <c r="F1113" i="12"/>
  <c r="B1112" i="12"/>
  <c r="C1112" i="12"/>
  <c r="E1112" i="12"/>
  <c r="F1112" i="12"/>
  <c r="B1111" i="12"/>
  <c r="C1111" i="12"/>
  <c r="E1111" i="12"/>
  <c r="F1111" i="12"/>
  <c r="B1110" i="12"/>
  <c r="C1110" i="12"/>
  <c r="E1110" i="12"/>
  <c r="F1110" i="12"/>
  <c r="B1109" i="12"/>
  <c r="C1109" i="12"/>
  <c r="E1109" i="12"/>
  <c r="F1109" i="12"/>
  <c r="B1108" i="12"/>
  <c r="C1108" i="12"/>
  <c r="E1108" i="12"/>
  <c r="F1108" i="12"/>
  <c r="B1107" i="12"/>
  <c r="C1107" i="12"/>
  <c r="E1107" i="12"/>
  <c r="F1107" i="12"/>
  <c r="B1106" i="12"/>
  <c r="C1106" i="12"/>
  <c r="E1106" i="12"/>
  <c r="F1106" i="12"/>
  <c r="B1105" i="12"/>
  <c r="C1105" i="12"/>
  <c r="E1105" i="12"/>
  <c r="F1105" i="12"/>
  <c r="B1104" i="12"/>
  <c r="C1104" i="12"/>
  <c r="E1104" i="12"/>
  <c r="F1104" i="12"/>
  <c r="B1103" i="12"/>
  <c r="C1103" i="12"/>
  <c r="E1103" i="12"/>
  <c r="F1103" i="12"/>
  <c r="B1102" i="12"/>
  <c r="C1102" i="12"/>
  <c r="E1102" i="12"/>
  <c r="F1102" i="12"/>
  <c r="B1101" i="12"/>
  <c r="C1101" i="12"/>
  <c r="E1101" i="12"/>
  <c r="F1101" i="12"/>
  <c r="B1100" i="12"/>
  <c r="C1100" i="12"/>
  <c r="E1100" i="12"/>
  <c r="F1100" i="12"/>
  <c r="B1099" i="12"/>
  <c r="C1099" i="12"/>
  <c r="E1099" i="12"/>
  <c r="F1099" i="12"/>
  <c r="B1098" i="12"/>
  <c r="C1098" i="12"/>
  <c r="E1098" i="12"/>
  <c r="F1098" i="12"/>
  <c r="B1097" i="12"/>
  <c r="C1097" i="12"/>
  <c r="E1097" i="12"/>
  <c r="F1097" i="12"/>
  <c r="B1096" i="12"/>
  <c r="C1096" i="12"/>
  <c r="E1096" i="12"/>
  <c r="F1096" i="12"/>
  <c r="B1095" i="12"/>
  <c r="C1095" i="12"/>
  <c r="E1095" i="12"/>
  <c r="F1095" i="12"/>
  <c r="B1094" i="12"/>
  <c r="C1094" i="12"/>
  <c r="E1094" i="12"/>
  <c r="F1094" i="12"/>
  <c r="B1093" i="12"/>
  <c r="C1093" i="12"/>
  <c r="E1093" i="12"/>
  <c r="F1093" i="12"/>
  <c r="B1092" i="12"/>
  <c r="C1092" i="12"/>
  <c r="E1092" i="12"/>
  <c r="F1092" i="12"/>
  <c r="B1091" i="12"/>
  <c r="C1091" i="12"/>
  <c r="E1091" i="12"/>
  <c r="F1091" i="12"/>
  <c r="B1090" i="12"/>
  <c r="C1090" i="12"/>
  <c r="E1090" i="12"/>
  <c r="F1090" i="12"/>
  <c r="B1089" i="12"/>
  <c r="C1089" i="12"/>
  <c r="E1089" i="12"/>
  <c r="F1089" i="12"/>
  <c r="B1088" i="12"/>
  <c r="C1088" i="12"/>
  <c r="E1088" i="12"/>
  <c r="F1088" i="12"/>
  <c r="B1087" i="12"/>
  <c r="C1087" i="12"/>
  <c r="E1087" i="12"/>
  <c r="F1087" i="12"/>
  <c r="B1086" i="12"/>
  <c r="C1086" i="12"/>
  <c r="E1086" i="12"/>
  <c r="F1086" i="12"/>
  <c r="B1085" i="12"/>
  <c r="C1085" i="12"/>
  <c r="E1085" i="12"/>
  <c r="F1085" i="12"/>
  <c r="B1084" i="12"/>
  <c r="C1084" i="12"/>
  <c r="E1084" i="12"/>
  <c r="F1084" i="12"/>
  <c r="B1083" i="12"/>
  <c r="C1083" i="12"/>
  <c r="E1083" i="12"/>
  <c r="F1083" i="12"/>
  <c r="B1082" i="12"/>
  <c r="C1082" i="12"/>
  <c r="E1082" i="12"/>
  <c r="F1082" i="12"/>
  <c r="B1081" i="12"/>
  <c r="C1081" i="12"/>
  <c r="E1081" i="12"/>
  <c r="F1081" i="12"/>
  <c r="B1080" i="12"/>
  <c r="C1080" i="12"/>
  <c r="E1080" i="12"/>
  <c r="F1080" i="12"/>
  <c r="B1079" i="12"/>
  <c r="C1079" i="12"/>
  <c r="E1079" i="12"/>
  <c r="F1079" i="12"/>
  <c r="B1078" i="12"/>
  <c r="C1078" i="12"/>
  <c r="E1078" i="12"/>
  <c r="F1078" i="12"/>
  <c r="B1077" i="12"/>
  <c r="C1077" i="12"/>
  <c r="E1077" i="12"/>
  <c r="F1077" i="12"/>
  <c r="B1076" i="12"/>
  <c r="C1076" i="12"/>
  <c r="E1076" i="12"/>
  <c r="F1076" i="12"/>
  <c r="B1075" i="12"/>
  <c r="C1075" i="12"/>
  <c r="E1075" i="12"/>
  <c r="F1075" i="12"/>
  <c r="B1074" i="12"/>
  <c r="C1074" i="12"/>
  <c r="E1074" i="12"/>
  <c r="F1074" i="12"/>
  <c r="B1073" i="12"/>
  <c r="C1073" i="12"/>
  <c r="E1073" i="12"/>
  <c r="F1073" i="12"/>
  <c r="B1072" i="12"/>
  <c r="C1072" i="12"/>
  <c r="E1072" i="12"/>
  <c r="F1072" i="12"/>
  <c r="B1071" i="12"/>
  <c r="C1071" i="12"/>
  <c r="E1071" i="12"/>
  <c r="F1071" i="12"/>
  <c r="B1070" i="12"/>
  <c r="C1070" i="12"/>
  <c r="E1070" i="12"/>
  <c r="F1070" i="12"/>
  <c r="B1069" i="12"/>
  <c r="C1069" i="12"/>
  <c r="E1069" i="12"/>
  <c r="F1069" i="12"/>
  <c r="B1068" i="12"/>
  <c r="C1068" i="12"/>
  <c r="E1068" i="12"/>
  <c r="F1068" i="12"/>
  <c r="B1067" i="12"/>
  <c r="C1067" i="12"/>
  <c r="E1067" i="12"/>
  <c r="F1067" i="12"/>
  <c r="B1066" i="12"/>
  <c r="C1066" i="12"/>
  <c r="E1066" i="12"/>
  <c r="F1066" i="12"/>
  <c r="B1065" i="12"/>
  <c r="C1065" i="12"/>
  <c r="E1065" i="12"/>
  <c r="F1065" i="12"/>
  <c r="B1064" i="12"/>
  <c r="C1064" i="12"/>
  <c r="E1064" i="12"/>
  <c r="F1064" i="12"/>
  <c r="B1063" i="12"/>
  <c r="C1063" i="12"/>
  <c r="E1063" i="12"/>
  <c r="F1063" i="12"/>
  <c r="B1062" i="12"/>
  <c r="C1062" i="12"/>
  <c r="E1062" i="12"/>
  <c r="F1062" i="12"/>
  <c r="B1061" i="12"/>
  <c r="C1061" i="12"/>
  <c r="E1061" i="12"/>
  <c r="F1061" i="12"/>
  <c r="B1060" i="12"/>
  <c r="C1060" i="12"/>
  <c r="E1060" i="12"/>
  <c r="F1060" i="12"/>
  <c r="B1059" i="12"/>
  <c r="C1059" i="12"/>
  <c r="E1059" i="12"/>
  <c r="F1059" i="12"/>
  <c r="B1058" i="12"/>
  <c r="C1058" i="12"/>
  <c r="E1058" i="12"/>
  <c r="F1058" i="12"/>
  <c r="B1057" i="12"/>
  <c r="C1057" i="12"/>
  <c r="E1057" i="12"/>
  <c r="F1057" i="12"/>
  <c r="B1056" i="12"/>
  <c r="C1056" i="12"/>
  <c r="E1056" i="12"/>
  <c r="F1056" i="12"/>
  <c r="B1055" i="12"/>
  <c r="C1055" i="12"/>
  <c r="E1055" i="12"/>
  <c r="F1055" i="12"/>
  <c r="B1054" i="12"/>
  <c r="C1054" i="12"/>
  <c r="E1054" i="12"/>
  <c r="F1054" i="12"/>
  <c r="B1053" i="12"/>
  <c r="C1053" i="12"/>
  <c r="E1053" i="12"/>
  <c r="F1053" i="12"/>
  <c r="B1052" i="12"/>
  <c r="C1052" i="12"/>
  <c r="E1052" i="12"/>
  <c r="F1052" i="12"/>
  <c r="B1051" i="12"/>
  <c r="C1051" i="12"/>
  <c r="E1051" i="12"/>
  <c r="F1051" i="12"/>
  <c r="B1050" i="12"/>
  <c r="C1050" i="12"/>
  <c r="E1050" i="12"/>
  <c r="F1050" i="12"/>
  <c r="B1049" i="12"/>
  <c r="C1049" i="12"/>
  <c r="E1049" i="12"/>
  <c r="F1049" i="12"/>
  <c r="B1048" i="12"/>
  <c r="C1048" i="12"/>
  <c r="E1048" i="12"/>
  <c r="F1048" i="12"/>
  <c r="B1047" i="12"/>
  <c r="C1047" i="12"/>
  <c r="E1047" i="12"/>
  <c r="F1047" i="12"/>
  <c r="B1046" i="12"/>
  <c r="C1046" i="12"/>
  <c r="E1046" i="12"/>
  <c r="F1046" i="12"/>
  <c r="B1045" i="12"/>
  <c r="C1045" i="12"/>
  <c r="E1045" i="12"/>
  <c r="F1045" i="12"/>
  <c r="B1044" i="12"/>
  <c r="C1044" i="12"/>
  <c r="E1044" i="12"/>
  <c r="F1044" i="12"/>
  <c r="B1043" i="12"/>
  <c r="C1043" i="12"/>
  <c r="E1043" i="12"/>
  <c r="F1043" i="12"/>
  <c r="B1042" i="12"/>
  <c r="C1042" i="12"/>
  <c r="E1042" i="12"/>
  <c r="F1042" i="12"/>
  <c r="B1041" i="12"/>
  <c r="C1041" i="12"/>
  <c r="E1041" i="12"/>
  <c r="F1041" i="12"/>
  <c r="B1040" i="12"/>
  <c r="C1040" i="12"/>
  <c r="E1040" i="12"/>
  <c r="F1040" i="12"/>
  <c r="B1039" i="12"/>
  <c r="C1039" i="12"/>
  <c r="E1039" i="12"/>
  <c r="F1039" i="12"/>
  <c r="B1038" i="12"/>
  <c r="C1038" i="12"/>
  <c r="E1038" i="12"/>
  <c r="F1038" i="12"/>
  <c r="B1037" i="12"/>
  <c r="C1037" i="12"/>
  <c r="E1037" i="12"/>
  <c r="F1037" i="12"/>
  <c r="B1036" i="12"/>
  <c r="C1036" i="12"/>
  <c r="E1036" i="12"/>
  <c r="F1036" i="12"/>
  <c r="B1035" i="12"/>
  <c r="C1035" i="12"/>
  <c r="E1035" i="12"/>
  <c r="F1035" i="12"/>
  <c r="B1034" i="12"/>
  <c r="C1034" i="12"/>
  <c r="E1034" i="12"/>
  <c r="F1034" i="12"/>
  <c r="B1033" i="12"/>
  <c r="C1033" i="12"/>
  <c r="E1033" i="12"/>
  <c r="F1033" i="12"/>
  <c r="B1032" i="12"/>
  <c r="C1032" i="12"/>
  <c r="E1032" i="12"/>
  <c r="F1032" i="12"/>
  <c r="B1031" i="12"/>
  <c r="C1031" i="12"/>
  <c r="E1031" i="12"/>
  <c r="F1031" i="12"/>
  <c r="B1030" i="12"/>
  <c r="C1030" i="12"/>
  <c r="E1030" i="12"/>
  <c r="F1030" i="12"/>
  <c r="B1029" i="12"/>
  <c r="C1029" i="12"/>
  <c r="E1029" i="12"/>
  <c r="F1029" i="12"/>
  <c r="B1028" i="12"/>
  <c r="C1028" i="12"/>
  <c r="E1028" i="12"/>
  <c r="F1028" i="12"/>
  <c r="B1027" i="12"/>
  <c r="C1027" i="12"/>
  <c r="E1027" i="12"/>
  <c r="F1027" i="12"/>
  <c r="B1026" i="12"/>
  <c r="C1026" i="12"/>
  <c r="E1026" i="12"/>
  <c r="F1026" i="12"/>
  <c r="B1025" i="12"/>
  <c r="C1025" i="12"/>
  <c r="E1025" i="12"/>
  <c r="F1025" i="12"/>
  <c r="B1024" i="12"/>
  <c r="C1024" i="12"/>
  <c r="E1024" i="12"/>
  <c r="F1024" i="12"/>
  <c r="B1023" i="12"/>
  <c r="C1023" i="12"/>
  <c r="E1023" i="12"/>
  <c r="F1023" i="12"/>
  <c r="B1022" i="12"/>
  <c r="C1022" i="12"/>
  <c r="E1022" i="12"/>
  <c r="F1022" i="12"/>
  <c r="B1021" i="12"/>
  <c r="C1021" i="12"/>
  <c r="E1021" i="12"/>
  <c r="F1021" i="12"/>
  <c r="B1020" i="12"/>
  <c r="C1020" i="12"/>
  <c r="E1020" i="12"/>
  <c r="F1020" i="12"/>
  <c r="B1019" i="12"/>
  <c r="C1019" i="12"/>
  <c r="E1019" i="12"/>
  <c r="F1019" i="12"/>
  <c r="B1018" i="12"/>
  <c r="C1018" i="12"/>
  <c r="E1018" i="12"/>
  <c r="F1018" i="12"/>
  <c r="B1017" i="12"/>
  <c r="C1017" i="12"/>
  <c r="E1017" i="12"/>
  <c r="F1017" i="12"/>
  <c r="B1016" i="12"/>
  <c r="C1016" i="12"/>
  <c r="E1016" i="12"/>
  <c r="F1016" i="12"/>
  <c r="B1015" i="12"/>
  <c r="C1015" i="12"/>
  <c r="E1015" i="12"/>
  <c r="F1015" i="12"/>
  <c r="B1014" i="12"/>
  <c r="C1014" i="12"/>
  <c r="E1014" i="12"/>
  <c r="F1014" i="12"/>
  <c r="B1013" i="12"/>
  <c r="C1013" i="12"/>
  <c r="E1013" i="12"/>
  <c r="F1013" i="12"/>
  <c r="B1012" i="12"/>
  <c r="C1012" i="12"/>
  <c r="E1012" i="12"/>
  <c r="F1012" i="12"/>
  <c r="B1011" i="12"/>
  <c r="C1011" i="12"/>
  <c r="E1011" i="12"/>
  <c r="F1011" i="12"/>
  <c r="B1010" i="12"/>
  <c r="C1010" i="12"/>
  <c r="E1010" i="12"/>
  <c r="F1010" i="12"/>
  <c r="B1009" i="12"/>
  <c r="C1009" i="12"/>
  <c r="E1009" i="12"/>
  <c r="F1009" i="12"/>
  <c r="B1008" i="12"/>
  <c r="C1008" i="12"/>
  <c r="E1008" i="12"/>
  <c r="F1008" i="12"/>
  <c r="B1007" i="12"/>
  <c r="C1007" i="12"/>
  <c r="E1007" i="12"/>
  <c r="F1007" i="12"/>
  <c r="B1006" i="12"/>
  <c r="C1006" i="12"/>
  <c r="E1006" i="12"/>
  <c r="F1006" i="12"/>
  <c r="B1005" i="12"/>
  <c r="C1005" i="12"/>
  <c r="E1005" i="12"/>
  <c r="F1005" i="12"/>
  <c r="B1004" i="12"/>
  <c r="C1004" i="12"/>
  <c r="E1004" i="12"/>
  <c r="F1004" i="12"/>
  <c r="B1003" i="12"/>
  <c r="C1003" i="12"/>
  <c r="E1003" i="12"/>
  <c r="F1003" i="12"/>
  <c r="B1002" i="12"/>
  <c r="C1002" i="12"/>
  <c r="E1002" i="12"/>
  <c r="F1002" i="12"/>
  <c r="B1001" i="12"/>
  <c r="C1001" i="12"/>
  <c r="E1001" i="12"/>
  <c r="F1001" i="12"/>
  <c r="B1000" i="12"/>
  <c r="C1000" i="12"/>
  <c r="E1000" i="12"/>
  <c r="F1000" i="12"/>
  <c r="B999" i="12"/>
  <c r="C999" i="12"/>
  <c r="E999" i="12"/>
  <c r="F999" i="12"/>
  <c r="B998" i="12"/>
  <c r="C998" i="12"/>
  <c r="E998" i="12"/>
  <c r="F998" i="12"/>
  <c r="B997" i="12"/>
  <c r="C997" i="12"/>
  <c r="E997" i="12"/>
  <c r="F997" i="12"/>
  <c r="B996" i="12"/>
  <c r="C996" i="12"/>
  <c r="E996" i="12"/>
  <c r="F996" i="12"/>
  <c r="B995" i="12"/>
  <c r="C995" i="12"/>
  <c r="E995" i="12"/>
  <c r="F995" i="12"/>
  <c r="B994" i="12"/>
  <c r="C994" i="12"/>
  <c r="E994" i="12"/>
  <c r="F994" i="12"/>
  <c r="B993" i="12"/>
  <c r="C993" i="12"/>
  <c r="E993" i="12"/>
  <c r="F993" i="12"/>
  <c r="B992" i="12"/>
  <c r="C992" i="12"/>
  <c r="E992" i="12"/>
  <c r="F992" i="12"/>
  <c r="B991" i="12"/>
  <c r="C991" i="12"/>
  <c r="E991" i="12"/>
  <c r="F991" i="12"/>
  <c r="B990" i="12"/>
  <c r="C990" i="12"/>
  <c r="E990" i="12"/>
  <c r="F990" i="12"/>
  <c r="B989" i="12"/>
  <c r="C989" i="12"/>
  <c r="E989" i="12"/>
  <c r="F989" i="12"/>
  <c r="B988" i="12"/>
  <c r="C988" i="12"/>
  <c r="E988" i="12"/>
  <c r="F988" i="12"/>
  <c r="B987" i="12"/>
  <c r="C987" i="12"/>
  <c r="E987" i="12"/>
  <c r="F987" i="12"/>
  <c r="B986" i="12"/>
  <c r="C986" i="12"/>
  <c r="E986" i="12"/>
  <c r="F986" i="12"/>
  <c r="B985" i="12"/>
  <c r="C985" i="12"/>
  <c r="E985" i="12"/>
  <c r="F985" i="12"/>
  <c r="B984" i="12"/>
  <c r="C984" i="12"/>
  <c r="E984" i="12"/>
  <c r="F984" i="12"/>
  <c r="B983" i="12"/>
  <c r="C983" i="12"/>
  <c r="E983" i="12"/>
  <c r="F983" i="12"/>
  <c r="B982" i="12"/>
  <c r="C982" i="12"/>
  <c r="E982" i="12"/>
  <c r="F982" i="12"/>
  <c r="B981" i="12"/>
  <c r="C981" i="12"/>
  <c r="E981" i="12"/>
  <c r="F981" i="12"/>
  <c r="B980" i="12"/>
  <c r="C980" i="12"/>
  <c r="E980" i="12"/>
  <c r="F980" i="12"/>
  <c r="B979" i="12"/>
  <c r="C979" i="12"/>
  <c r="E979" i="12"/>
  <c r="F979" i="12"/>
  <c r="B978" i="12"/>
  <c r="C978" i="12"/>
  <c r="E978" i="12"/>
  <c r="F978" i="12"/>
  <c r="B977" i="12"/>
  <c r="C977" i="12"/>
  <c r="E977" i="12"/>
  <c r="F977" i="12"/>
  <c r="B976" i="12"/>
  <c r="C976" i="12"/>
  <c r="E976" i="12"/>
  <c r="F976" i="12"/>
  <c r="B975" i="12"/>
  <c r="C975" i="12"/>
  <c r="E975" i="12"/>
  <c r="F975" i="12"/>
  <c r="B974" i="12"/>
  <c r="C974" i="12"/>
  <c r="E974" i="12"/>
  <c r="F974" i="12"/>
  <c r="B973" i="12"/>
  <c r="C973" i="12"/>
  <c r="E973" i="12"/>
  <c r="F973" i="12"/>
  <c r="B972" i="12"/>
  <c r="C972" i="12"/>
  <c r="E972" i="12"/>
  <c r="F972" i="12"/>
  <c r="B971" i="12"/>
  <c r="C971" i="12"/>
  <c r="E971" i="12"/>
  <c r="F971" i="12"/>
  <c r="B970" i="12"/>
  <c r="C970" i="12"/>
  <c r="E970" i="12"/>
  <c r="F970" i="12"/>
  <c r="B969" i="12"/>
  <c r="C969" i="12"/>
  <c r="E969" i="12"/>
  <c r="F969" i="12"/>
  <c r="B968" i="12"/>
  <c r="C968" i="12"/>
  <c r="E968" i="12"/>
  <c r="F968" i="12"/>
  <c r="B967" i="12"/>
  <c r="C967" i="12"/>
  <c r="E967" i="12"/>
  <c r="F967" i="12"/>
  <c r="B966" i="12"/>
  <c r="C966" i="12"/>
  <c r="E966" i="12"/>
  <c r="F966" i="12"/>
  <c r="B965" i="12"/>
  <c r="C965" i="12"/>
  <c r="E965" i="12"/>
  <c r="F965" i="12"/>
  <c r="B964" i="12"/>
  <c r="C964" i="12"/>
  <c r="E964" i="12"/>
  <c r="F964" i="12"/>
  <c r="B963" i="12"/>
  <c r="C963" i="12"/>
  <c r="E963" i="12"/>
  <c r="F963" i="12"/>
  <c r="B962" i="12"/>
  <c r="C962" i="12"/>
  <c r="E962" i="12"/>
  <c r="F962" i="12"/>
  <c r="B961" i="12"/>
  <c r="C961" i="12"/>
  <c r="E961" i="12"/>
  <c r="F961" i="12"/>
  <c r="B960" i="12"/>
  <c r="C960" i="12"/>
  <c r="E960" i="12"/>
  <c r="F960" i="12"/>
  <c r="B959" i="12"/>
  <c r="C959" i="12"/>
  <c r="E959" i="12"/>
  <c r="F959" i="12"/>
  <c r="B958" i="12"/>
  <c r="C958" i="12"/>
  <c r="E958" i="12"/>
  <c r="F958" i="12"/>
  <c r="B957" i="12"/>
  <c r="C957" i="12"/>
  <c r="E957" i="12"/>
  <c r="F957" i="12"/>
  <c r="B956" i="12"/>
  <c r="C956" i="12"/>
  <c r="E956" i="12"/>
  <c r="F956" i="12"/>
  <c r="B955" i="12"/>
  <c r="C955" i="12"/>
  <c r="E955" i="12"/>
  <c r="F955" i="12"/>
  <c r="B954" i="12"/>
  <c r="C954" i="12"/>
  <c r="E954" i="12"/>
  <c r="F954" i="12"/>
  <c r="B953" i="12"/>
  <c r="C953" i="12"/>
  <c r="E953" i="12"/>
  <c r="F953" i="12"/>
  <c r="B952" i="12"/>
  <c r="C952" i="12"/>
  <c r="E952" i="12"/>
  <c r="F952" i="12"/>
  <c r="B951" i="12"/>
  <c r="C951" i="12"/>
  <c r="E951" i="12"/>
  <c r="F951" i="12"/>
  <c r="B950" i="12"/>
  <c r="C950" i="12"/>
  <c r="E950" i="12"/>
  <c r="F950" i="12"/>
  <c r="B949" i="12"/>
  <c r="C949" i="12"/>
  <c r="E949" i="12"/>
  <c r="F949" i="12"/>
  <c r="B948" i="12"/>
  <c r="C948" i="12"/>
  <c r="E948" i="12"/>
  <c r="F948" i="12"/>
  <c r="B947" i="12"/>
  <c r="C947" i="12"/>
  <c r="E947" i="12"/>
  <c r="F947" i="12"/>
  <c r="B946" i="12"/>
  <c r="C946" i="12"/>
  <c r="E946" i="12"/>
  <c r="F946" i="12"/>
  <c r="B945" i="12"/>
  <c r="C945" i="12"/>
  <c r="E945" i="12"/>
  <c r="F945" i="12"/>
  <c r="B944" i="12"/>
  <c r="C944" i="12"/>
  <c r="E944" i="12"/>
  <c r="F944" i="12"/>
  <c r="B943" i="12"/>
  <c r="C943" i="12"/>
  <c r="E943" i="12"/>
  <c r="F943" i="12"/>
  <c r="B942" i="12"/>
  <c r="C942" i="12"/>
  <c r="E942" i="12"/>
  <c r="F942" i="12"/>
  <c r="B941" i="12"/>
  <c r="C941" i="12"/>
  <c r="E941" i="12"/>
  <c r="F941" i="12"/>
  <c r="B940" i="12"/>
  <c r="C940" i="12"/>
  <c r="E940" i="12"/>
  <c r="F940" i="12"/>
  <c r="B939" i="12"/>
  <c r="C939" i="12"/>
  <c r="E939" i="12"/>
  <c r="F939" i="12"/>
  <c r="B938" i="12"/>
  <c r="C938" i="12"/>
  <c r="E938" i="12"/>
  <c r="F938" i="12"/>
  <c r="B937" i="12"/>
  <c r="C937" i="12"/>
  <c r="E937" i="12"/>
  <c r="F937" i="12"/>
  <c r="B936" i="12"/>
  <c r="C936" i="12"/>
  <c r="E936" i="12"/>
  <c r="F936" i="12"/>
  <c r="B935" i="12"/>
  <c r="C935" i="12"/>
  <c r="E935" i="12"/>
  <c r="F935" i="12"/>
  <c r="B934" i="12"/>
  <c r="C934" i="12"/>
  <c r="E934" i="12"/>
  <c r="F934" i="12"/>
  <c r="B933" i="12"/>
  <c r="C933" i="12"/>
  <c r="E933" i="12"/>
  <c r="F933" i="12"/>
  <c r="B932" i="12"/>
  <c r="C932" i="12"/>
  <c r="E932" i="12"/>
  <c r="F932" i="12"/>
  <c r="B931" i="12"/>
  <c r="C931" i="12"/>
  <c r="E931" i="12"/>
  <c r="F931" i="12"/>
  <c r="B930" i="12"/>
  <c r="C930" i="12"/>
  <c r="E930" i="12"/>
  <c r="F930" i="12"/>
  <c r="B929" i="12"/>
  <c r="C929" i="12"/>
  <c r="E929" i="12"/>
  <c r="F929" i="12"/>
  <c r="B928" i="12"/>
  <c r="C928" i="12"/>
  <c r="E928" i="12"/>
  <c r="F928" i="12"/>
  <c r="B927" i="12"/>
  <c r="C927" i="12"/>
  <c r="E927" i="12"/>
  <c r="F927" i="12"/>
  <c r="B926" i="12"/>
  <c r="C926" i="12"/>
  <c r="E926" i="12"/>
  <c r="F926" i="12"/>
  <c r="B925" i="12"/>
  <c r="C925" i="12"/>
  <c r="E925" i="12"/>
  <c r="F925" i="12"/>
  <c r="B924" i="12"/>
  <c r="C924" i="12"/>
  <c r="E924" i="12"/>
  <c r="F924" i="12"/>
  <c r="B923" i="12"/>
  <c r="C923" i="12"/>
  <c r="E923" i="12"/>
  <c r="F923" i="12"/>
  <c r="B922" i="12"/>
  <c r="C922" i="12"/>
  <c r="E922" i="12"/>
  <c r="F922" i="12"/>
  <c r="B921" i="12"/>
  <c r="C921" i="12"/>
  <c r="E921" i="12"/>
  <c r="F921" i="12"/>
  <c r="B920" i="12"/>
  <c r="C920" i="12"/>
  <c r="E920" i="12"/>
  <c r="F920" i="12"/>
  <c r="B919" i="12"/>
  <c r="C919" i="12"/>
  <c r="E919" i="12"/>
  <c r="F919" i="12"/>
  <c r="B918" i="12"/>
  <c r="C918" i="12"/>
  <c r="E918" i="12"/>
  <c r="F918" i="12"/>
  <c r="B917" i="12"/>
  <c r="C917" i="12"/>
  <c r="E917" i="12"/>
  <c r="F917" i="12"/>
  <c r="B916" i="12"/>
  <c r="C916" i="12"/>
  <c r="E916" i="12"/>
  <c r="F916" i="12"/>
  <c r="B915" i="12"/>
  <c r="C915" i="12"/>
  <c r="E915" i="12"/>
  <c r="F915" i="12"/>
  <c r="B914" i="12"/>
  <c r="C914" i="12"/>
  <c r="E914" i="12"/>
  <c r="F914" i="12"/>
  <c r="B913" i="12"/>
  <c r="C913" i="12"/>
  <c r="E913" i="12"/>
  <c r="F913" i="12"/>
  <c r="B912" i="12"/>
  <c r="C912" i="12"/>
  <c r="E912" i="12"/>
  <c r="F912" i="12"/>
  <c r="B911" i="12"/>
  <c r="C911" i="12"/>
  <c r="E911" i="12"/>
  <c r="F911" i="12"/>
  <c r="B910" i="12"/>
  <c r="C910" i="12"/>
  <c r="E910" i="12"/>
  <c r="F910" i="12"/>
  <c r="B909" i="12"/>
  <c r="C909" i="12"/>
  <c r="E909" i="12"/>
  <c r="F909" i="12"/>
  <c r="B908" i="12"/>
  <c r="C908" i="12"/>
  <c r="E908" i="12"/>
  <c r="F908" i="12"/>
  <c r="B907" i="12"/>
  <c r="C907" i="12"/>
  <c r="E907" i="12"/>
  <c r="F907" i="12"/>
  <c r="B906" i="12"/>
  <c r="C906" i="12"/>
  <c r="E906" i="12"/>
  <c r="F906" i="12"/>
  <c r="B905" i="12"/>
  <c r="C905" i="12"/>
  <c r="E905" i="12"/>
  <c r="F905" i="12"/>
  <c r="B904" i="12"/>
  <c r="C904" i="12"/>
  <c r="E904" i="12"/>
  <c r="F904" i="12"/>
  <c r="B903" i="12"/>
  <c r="C903" i="12"/>
  <c r="E903" i="12"/>
  <c r="F903" i="12"/>
  <c r="B902" i="12"/>
  <c r="C902" i="12"/>
  <c r="E902" i="12"/>
  <c r="F902" i="12"/>
  <c r="B901" i="12"/>
  <c r="C901" i="12"/>
  <c r="E901" i="12"/>
  <c r="F901" i="12"/>
  <c r="B900" i="12"/>
  <c r="C900" i="12"/>
  <c r="E900" i="12"/>
  <c r="F900" i="12"/>
  <c r="B899" i="12"/>
  <c r="C899" i="12"/>
  <c r="E899" i="12"/>
  <c r="F899" i="12"/>
  <c r="B898" i="12"/>
  <c r="C898" i="12"/>
  <c r="E898" i="12"/>
  <c r="F898" i="12"/>
  <c r="B897" i="12"/>
  <c r="C897" i="12"/>
  <c r="E897" i="12"/>
  <c r="F897" i="12"/>
  <c r="B896" i="12"/>
  <c r="C896" i="12"/>
  <c r="E896" i="12"/>
  <c r="F896" i="12"/>
  <c r="B895" i="12"/>
  <c r="C895" i="12"/>
  <c r="E895" i="12"/>
  <c r="F895" i="12"/>
  <c r="B894" i="12"/>
  <c r="C894" i="12"/>
  <c r="E894" i="12"/>
  <c r="F894" i="12"/>
  <c r="B893" i="12"/>
  <c r="C893" i="12"/>
  <c r="E893" i="12"/>
  <c r="F893" i="12"/>
  <c r="B892" i="12"/>
  <c r="C892" i="12"/>
  <c r="E892" i="12"/>
  <c r="F892" i="12"/>
  <c r="B891" i="12"/>
  <c r="C891" i="12"/>
  <c r="E891" i="12"/>
  <c r="F891" i="12"/>
  <c r="B890" i="12"/>
  <c r="C890" i="12"/>
  <c r="E890" i="12"/>
  <c r="F890" i="12"/>
  <c r="B889" i="12"/>
  <c r="C889" i="12"/>
  <c r="E889" i="12"/>
  <c r="F889" i="12"/>
  <c r="B888" i="12"/>
  <c r="C888" i="12"/>
  <c r="E888" i="12"/>
  <c r="F888" i="12"/>
  <c r="B887" i="12"/>
  <c r="C887" i="12"/>
  <c r="E887" i="12"/>
  <c r="F887" i="12"/>
  <c r="B886" i="12"/>
  <c r="C886" i="12"/>
  <c r="E886" i="12"/>
  <c r="F886" i="12"/>
  <c r="B885" i="12"/>
  <c r="C885" i="12"/>
  <c r="E885" i="12"/>
  <c r="F885" i="12"/>
  <c r="B884" i="12"/>
  <c r="C884" i="12"/>
  <c r="E884" i="12"/>
  <c r="F884" i="12"/>
  <c r="B883" i="12"/>
  <c r="C883" i="12"/>
  <c r="E883" i="12"/>
  <c r="F883" i="12"/>
  <c r="B882" i="12"/>
  <c r="C882" i="12"/>
  <c r="E882" i="12"/>
  <c r="F882" i="12"/>
  <c r="B881" i="12"/>
  <c r="C881" i="12"/>
  <c r="E881" i="12"/>
  <c r="F881" i="12"/>
  <c r="B880" i="12"/>
  <c r="C880" i="12"/>
  <c r="E880" i="12"/>
  <c r="F880" i="12"/>
  <c r="B879" i="12"/>
  <c r="C879" i="12"/>
  <c r="E879" i="12"/>
  <c r="F879" i="12"/>
  <c r="B878" i="12"/>
  <c r="C878" i="12"/>
  <c r="E878" i="12"/>
  <c r="F878" i="12"/>
  <c r="B877" i="12"/>
  <c r="C877" i="12"/>
  <c r="E877" i="12"/>
  <c r="F877" i="12"/>
  <c r="B876" i="12"/>
  <c r="C876" i="12"/>
  <c r="E876" i="12"/>
  <c r="F876" i="12"/>
  <c r="B875" i="12" l="1"/>
  <c r="C875" i="12"/>
  <c r="E875" i="12"/>
  <c r="F875" i="12"/>
  <c r="B874" i="12"/>
  <c r="C874" i="12"/>
  <c r="E874" i="12"/>
  <c r="F874" i="12"/>
  <c r="B873" i="12"/>
  <c r="C873" i="12"/>
  <c r="E873" i="12"/>
  <c r="F873" i="12"/>
  <c r="B872" i="12"/>
  <c r="C872" i="12"/>
  <c r="E872" i="12"/>
  <c r="F872" i="12"/>
  <c r="B871" i="12"/>
  <c r="C871" i="12"/>
  <c r="E871" i="12"/>
  <c r="F871" i="12"/>
  <c r="B870" i="12"/>
  <c r="C870" i="12"/>
  <c r="E870" i="12"/>
  <c r="F870" i="12"/>
  <c r="B869" i="12"/>
  <c r="C869" i="12"/>
  <c r="E869" i="12"/>
  <c r="F869" i="12"/>
  <c r="B868" i="12"/>
  <c r="C868" i="12"/>
  <c r="E868" i="12"/>
  <c r="F868" i="12"/>
  <c r="B867" i="12"/>
  <c r="C867" i="12"/>
  <c r="E867" i="12"/>
  <c r="F867" i="12"/>
  <c r="P345" i="8"/>
  <c r="Q345" i="8" s="1"/>
  <c r="P343" i="8"/>
  <c r="Q343" i="8" s="1"/>
  <c r="P344" i="8"/>
  <c r="Q344" i="8" s="1"/>
  <c r="P342" i="8"/>
  <c r="Q342" i="8" s="1"/>
  <c r="P339" i="8"/>
  <c r="Q339" i="8" s="1"/>
  <c r="P340" i="8"/>
  <c r="Q340" i="8" s="1"/>
  <c r="P341" i="8"/>
  <c r="Q341" i="8" s="1"/>
  <c r="P337" i="8"/>
  <c r="Q337" i="8" s="1"/>
  <c r="P338" i="8"/>
  <c r="Q338" i="8" s="1"/>
  <c r="P333" i="8"/>
  <c r="Q333" i="8" s="1"/>
  <c r="P334" i="8"/>
  <c r="Q334" i="8" s="1"/>
  <c r="P335" i="8"/>
  <c r="Q335" i="8" s="1"/>
  <c r="P336" i="8"/>
  <c r="Q336" i="8" s="1"/>
  <c r="P330" i="8"/>
  <c r="Q330" i="8" s="1"/>
  <c r="P331" i="8"/>
  <c r="Q331" i="8" s="1"/>
  <c r="P332" i="8"/>
  <c r="Q332" i="8" s="1"/>
  <c r="P318" i="8"/>
  <c r="Q318" i="8" s="1"/>
  <c r="P319" i="8"/>
  <c r="Q319" i="8" s="1"/>
  <c r="P320" i="8"/>
  <c r="Q320" i="8" s="1"/>
  <c r="P321" i="8"/>
  <c r="Q321" i="8" s="1"/>
  <c r="P322" i="8"/>
  <c r="Q322" i="8" s="1"/>
  <c r="P323" i="8"/>
  <c r="Q323" i="8" s="1"/>
  <c r="P324" i="8"/>
  <c r="Q324" i="8" s="1"/>
  <c r="P325" i="8"/>
  <c r="Q325" i="8" s="1"/>
  <c r="P326" i="8"/>
  <c r="Q326" i="8" s="1"/>
  <c r="P327" i="8"/>
  <c r="Q327" i="8" s="1"/>
  <c r="P328" i="8"/>
  <c r="Q328" i="8" s="1"/>
  <c r="P329" i="8"/>
  <c r="Q329" i="8" s="1"/>
  <c r="P317" i="8"/>
  <c r="Q317" i="8" s="1"/>
  <c r="P316" i="8"/>
  <c r="Q316" i="8" s="1"/>
  <c r="P310" i="8"/>
  <c r="Q310" i="8" s="1"/>
  <c r="P311" i="8"/>
  <c r="Q311" i="8" s="1"/>
  <c r="P312" i="8"/>
  <c r="Q312" i="8" s="1"/>
  <c r="P313" i="8"/>
  <c r="Q313" i="8" s="1"/>
  <c r="P314" i="8"/>
  <c r="Q314" i="8" s="1"/>
  <c r="P315" i="8"/>
  <c r="Q315" i="8" s="1"/>
  <c r="B866" i="12"/>
  <c r="C866" i="12"/>
  <c r="E866" i="12"/>
  <c r="F866" i="12"/>
  <c r="B865" i="12" l="1"/>
  <c r="C865" i="12"/>
  <c r="E865" i="12"/>
  <c r="F865" i="12"/>
  <c r="B864" i="12"/>
  <c r="C864" i="12"/>
  <c r="E864" i="12"/>
  <c r="F864" i="12"/>
  <c r="B863" i="12"/>
  <c r="C863" i="12"/>
  <c r="E863" i="12"/>
  <c r="F863" i="12"/>
  <c r="B862" i="12"/>
  <c r="C862" i="12"/>
  <c r="E862" i="12"/>
  <c r="F862" i="12"/>
  <c r="B861" i="12"/>
  <c r="C861" i="12"/>
  <c r="E861" i="12"/>
  <c r="F861" i="12"/>
  <c r="B860" i="12"/>
  <c r="C860" i="12"/>
  <c r="E860" i="12"/>
  <c r="F860" i="12"/>
  <c r="B859" i="12"/>
  <c r="C859" i="12"/>
  <c r="E859" i="12"/>
  <c r="F859" i="12"/>
  <c r="B858" i="12"/>
  <c r="C858" i="12"/>
  <c r="E858" i="12"/>
  <c r="F858" i="12"/>
  <c r="B857" i="12"/>
  <c r="C857" i="12"/>
  <c r="E857" i="12"/>
  <c r="F857" i="12"/>
  <c r="B856" i="12"/>
  <c r="C856" i="12"/>
  <c r="E856" i="12"/>
  <c r="F856" i="12"/>
  <c r="B855" i="12"/>
  <c r="C855" i="12"/>
  <c r="E855" i="12"/>
  <c r="F855" i="12"/>
  <c r="B854" i="12"/>
  <c r="C854" i="12"/>
  <c r="E854" i="12"/>
  <c r="F854" i="12"/>
  <c r="B853" i="12"/>
  <c r="C853" i="12"/>
  <c r="E853" i="12"/>
  <c r="F853" i="12"/>
  <c r="B852" i="12"/>
  <c r="C852" i="12"/>
  <c r="E852" i="12"/>
  <c r="F852" i="12"/>
  <c r="B851" i="12"/>
  <c r="C851" i="12"/>
  <c r="E851" i="12"/>
  <c r="F851" i="12"/>
  <c r="B850" i="12"/>
  <c r="C850" i="12"/>
  <c r="E850" i="12"/>
  <c r="F850" i="12"/>
  <c r="B849" i="12"/>
  <c r="C849" i="12"/>
  <c r="E849" i="12"/>
  <c r="F849" i="12"/>
  <c r="B848" i="12"/>
  <c r="C848" i="12"/>
  <c r="E848" i="12"/>
  <c r="F848" i="12"/>
  <c r="B847" i="12"/>
  <c r="C847" i="12"/>
  <c r="E847" i="12"/>
  <c r="F847" i="12"/>
  <c r="B846" i="12"/>
  <c r="C846" i="12"/>
  <c r="E846" i="12"/>
  <c r="F846" i="12"/>
  <c r="B845" i="12"/>
  <c r="C845" i="12"/>
  <c r="E845" i="12"/>
  <c r="F845" i="12"/>
  <c r="B844" i="12"/>
  <c r="C844" i="12"/>
  <c r="E844" i="12"/>
  <c r="F844" i="12"/>
  <c r="B843" i="12"/>
  <c r="C843" i="12"/>
  <c r="E843" i="12"/>
  <c r="F843" i="12"/>
  <c r="B842" i="12"/>
  <c r="C842" i="12"/>
  <c r="E842" i="12"/>
  <c r="F842" i="12"/>
  <c r="B841" i="12"/>
  <c r="C841" i="12"/>
  <c r="E841" i="12"/>
  <c r="F841" i="12"/>
  <c r="B840" i="12"/>
  <c r="C840" i="12"/>
  <c r="E840" i="12"/>
  <c r="F840" i="12"/>
  <c r="B839" i="12"/>
  <c r="C839" i="12"/>
  <c r="E839" i="12"/>
  <c r="F839" i="12"/>
  <c r="B838" i="12"/>
  <c r="C838" i="12"/>
  <c r="E838" i="12"/>
  <c r="F838" i="12"/>
  <c r="B837" i="12"/>
  <c r="C837" i="12"/>
  <c r="E837" i="12"/>
  <c r="F837" i="12"/>
  <c r="B836" i="12"/>
  <c r="C836" i="12"/>
  <c r="E836" i="12"/>
  <c r="F836" i="12"/>
  <c r="B835" i="12"/>
  <c r="C835" i="12"/>
  <c r="E835" i="12"/>
  <c r="F835" i="12"/>
  <c r="B834" i="12"/>
  <c r="C834" i="12"/>
  <c r="E834" i="12"/>
  <c r="F834" i="12"/>
  <c r="B833" i="12"/>
  <c r="C833" i="12"/>
  <c r="E833" i="12"/>
  <c r="F833" i="12"/>
  <c r="B832" i="12"/>
  <c r="C832" i="12"/>
  <c r="E832" i="12"/>
  <c r="F832" i="12"/>
  <c r="B831" i="12"/>
  <c r="C831" i="12"/>
  <c r="E831" i="12"/>
  <c r="F831" i="12"/>
  <c r="B830" i="12"/>
  <c r="C830" i="12"/>
  <c r="E830" i="12"/>
  <c r="F830" i="12"/>
  <c r="B829" i="12"/>
  <c r="C829" i="12"/>
  <c r="E829" i="12"/>
  <c r="F829" i="12"/>
  <c r="B828" i="12"/>
  <c r="C828" i="12"/>
  <c r="E828" i="12"/>
  <c r="F828" i="12"/>
  <c r="B827" i="12"/>
  <c r="C827" i="12"/>
  <c r="E827" i="12"/>
  <c r="F827" i="12"/>
  <c r="B826" i="12"/>
  <c r="C826" i="12"/>
  <c r="E826" i="12"/>
  <c r="F826" i="12"/>
  <c r="B825" i="12"/>
  <c r="C825" i="12"/>
  <c r="E825" i="12"/>
  <c r="F825" i="12"/>
  <c r="B824" i="12"/>
  <c r="C824" i="12"/>
  <c r="E824" i="12"/>
  <c r="F824" i="12"/>
  <c r="B823" i="12"/>
  <c r="C823" i="12"/>
  <c r="E823" i="12"/>
  <c r="F823" i="12"/>
  <c r="B822" i="12"/>
  <c r="C822" i="12"/>
  <c r="E822" i="12"/>
  <c r="F822" i="12"/>
  <c r="B821" i="12"/>
  <c r="C821" i="12"/>
  <c r="E821" i="12"/>
  <c r="F821" i="12"/>
  <c r="B820" i="12"/>
  <c r="C820" i="12"/>
  <c r="E820" i="12"/>
  <c r="F820" i="12"/>
  <c r="F819" i="12" l="1"/>
  <c r="E819" i="12"/>
  <c r="C819" i="12"/>
  <c r="B819" i="12"/>
  <c r="F818" i="12"/>
  <c r="E818" i="12"/>
  <c r="C818" i="12"/>
  <c r="B818" i="12"/>
  <c r="F817" i="12"/>
  <c r="E817" i="12"/>
  <c r="C817" i="12"/>
  <c r="B817" i="12"/>
  <c r="F816" i="12"/>
  <c r="E816" i="12"/>
  <c r="C816" i="12"/>
  <c r="B816" i="12"/>
  <c r="F815" i="12"/>
  <c r="E815" i="12"/>
  <c r="C815" i="12"/>
  <c r="B815" i="12"/>
  <c r="F814" i="12"/>
  <c r="E814" i="12"/>
  <c r="C814" i="12"/>
  <c r="B814" i="12"/>
  <c r="F813" i="12"/>
  <c r="E813" i="12"/>
  <c r="C813" i="12"/>
  <c r="B813" i="12"/>
  <c r="F812" i="12"/>
  <c r="E812" i="12"/>
  <c r="C812" i="12"/>
  <c r="B812" i="12"/>
  <c r="F811" i="12"/>
  <c r="E811" i="12"/>
  <c r="C811" i="12"/>
  <c r="B811" i="12"/>
  <c r="F810" i="12"/>
  <c r="E810" i="12"/>
  <c r="C810" i="12"/>
  <c r="B810" i="12"/>
  <c r="F809" i="12"/>
  <c r="E809" i="12"/>
  <c r="C809" i="12"/>
  <c r="B809" i="12"/>
  <c r="F808" i="12"/>
  <c r="E808" i="12"/>
  <c r="C808" i="12"/>
  <c r="B808" i="12"/>
  <c r="F807" i="12"/>
  <c r="E807" i="12"/>
  <c r="C807" i="12"/>
  <c r="B807" i="12"/>
  <c r="F806" i="12"/>
  <c r="E806" i="12"/>
  <c r="C806" i="12"/>
  <c r="B806" i="12"/>
  <c r="F805" i="12"/>
  <c r="E805" i="12"/>
  <c r="C805" i="12"/>
  <c r="B805" i="12"/>
  <c r="F804" i="12"/>
  <c r="E804" i="12"/>
  <c r="C804" i="12"/>
  <c r="B804" i="12"/>
  <c r="F803" i="12"/>
  <c r="E803" i="12"/>
  <c r="C803" i="12"/>
  <c r="B803" i="12"/>
  <c r="F802" i="12"/>
  <c r="E802" i="12"/>
  <c r="C802" i="12"/>
  <c r="B802" i="12"/>
  <c r="F801" i="12"/>
  <c r="E801" i="12"/>
  <c r="C801" i="12"/>
  <c r="B801" i="12"/>
  <c r="F800" i="12"/>
  <c r="E800" i="12"/>
  <c r="C800" i="12"/>
  <c r="B800" i="12"/>
  <c r="F799" i="12"/>
  <c r="E799" i="12"/>
  <c r="C799" i="12"/>
  <c r="B799" i="12"/>
  <c r="F798" i="12"/>
  <c r="E798" i="12"/>
  <c r="C798" i="12"/>
  <c r="B798" i="12"/>
  <c r="F797" i="12"/>
  <c r="E797" i="12"/>
  <c r="C797" i="12"/>
  <c r="B797" i="12"/>
  <c r="F796" i="12"/>
  <c r="E796" i="12"/>
  <c r="C796" i="12"/>
  <c r="B796" i="12"/>
  <c r="F795" i="12"/>
  <c r="E795" i="12"/>
  <c r="C795" i="12"/>
  <c r="B795" i="12"/>
  <c r="F794" i="12"/>
  <c r="E794" i="12"/>
  <c r="C794" i="12"/>
  <c r="B794" i="12"/>
  <c r="F793" i="12"/>
  <c r="E793" i="12"/>
  <c r="C793" i="12"/>
  <c r="B793" i="12"/>
  <c r="F792" i="12"/>
  <c r="E792" i="12"/>
  <c r="C792" i="12"/>
  <c r="B792" i="12"/>
  <c r="F791" i="12"/>
  <c r="E791" i="12"/>
  <c r="C791" i="12"/>
  <c r="B791" i="12"/>
  <c r="F790" i="12"/>
  <c r="E790" i="12"/>
  <c r="C790" i="12"/>
  <c r="B790" i="12"/>
  <c r="F789" i="12"/>
  <c r="E789" i="12"/>
  <c r="C789" i="12"/>
  <c r="B789" i="12"/>
  <c r="F788" i="12"/>
  <c r="E788" i="12"/>
  <c r="C788" i="12"/>
  <c r="B788" i="12"/>
  <c r="F787" i="12"/>
  <c r="E787" i="12"/>
  <c r="C787" i="12"/>
  <c r="B787" i="12"/>
  <c r="F786" i="12"/>
  <c r="E786" i="12"/>
  <c r="C786" i="12"/>
  <c r="B786" i="12"/>
  <c r="F785" i="12"/>
  <c r="E785" i="12"/>
  <c r="C785" i="12"/>
  <c r="B785" i="12"/>
  <c r="F784" i="12"/>
  <c r="E784" i="12"/>
  <c r="C784" i="12"/>
  <c r="B784" i="12"/>
  <c r="F783" i="12"/>
  <c r="E783" i="12"/>
  <c r="C783" i="12"/>
  <c r="B783" i="12"/>
  <c r="F782" i="12"/>
  <c r="E782" i="12"/>
  <c r="C782" i="12"/>
  <c r="B782" i="12"/>
  <c r="F781" i="12"/>
  <c r="E781" i="12"/>
  <c r="C781" i="12"/>
  <c r="B781" i="12"/>
  <c r="F780" i="12"/>
  <c r="E780" i="12"/>
  <c r="C780" i="12"/>
  <c r="B780" i="12"/>
  <c r="F779" i="12"/>
  <c r="E779" i="12"/>
  <c r="C779" i="12"/>
  <c r="B779" i="12"/>
  <c r="F778" i="12"/>
  <c r="E778" i="12"/>
  <c r="C778" i="12"/>
  <c r="B778" i="12"/>
  <c r="F777" i="12"/>
  <c r="E777" i="12"/>
  <c r="C777" i="12"/>
  <c r="B777" i="12"/>
  <c r="F776" i="12"/>
  <c r="E776" i="12"/>
  <c r="C776" i="12"/>
  <c r="B776" i="12"/>
  <c r="F775" i="12"/>
  <c r="E775" i="12"/>
  <c r="C775" i="12"/>
  <c r="B775" i="12"/>
  <c r="F774" i="12"/>
  <c r="E774" i="12"/>
  <c r="C774" i="12"/>
  <c r="B774" i="12"/>
  <c r="F773" i="12"/>
  <c r="E773" i="12"/>
  <c r="C773" i="12"/>
  <c r="B773" i="12"/>
  <c r="F772" i="12"/>
  <c r="E772" i="12"/>
  <c r="C772" i="12"/>
  <c r="B772" i="12"/>
  <c r="F771" i="12"/>
  <c r="E771" i="12"/>
  <c r="C771" i="12"/>
  <c r="B771" i="12"/>
  <c r="F770" i="12"/>
  <c r="E770" i="12"/>
  <c r="C770" i="12"/>
  <c r="B770" i="12"/>
  <c r="F769" i="12"/>
  <c r="E769" i="12"/>
  <c r="C769" i="12"/>
  <c r="B769" i="12"/>
  <c r="F768" i="12"/>
  <c r="E768" i="12"/>
  <c r="C768" i="12"/>
  <c r="B768" i="12"/>
  <c r="F767" i="12"/>
  <c r="E767" i="12"/>
  <c r="C767" i="12"/>
  <c r="B767" i="12"/>
  <c r="F766" i="12"/>
  <c r="E766" i="12"/>
  <c r="C766" i="12"/>
  <c r="B766" i="12"/>
  <c r="F765" i="12"/>
  <c r="E765" i="12"/>
  <c r="C765" i="12"/>
  <c r="B765" i="12"/>
  <c r="F764" i="12"/>
  <c r="E764" i="12"/>
  <c r="C764" i="12"/>
  <c r="B764" i="12"/>
  <c r="F763" i="12"/>
  <c r="E763" i="12"/>
  <c r="C763" i="12"/>
  <c r="B763" i="12"/>
  <c r="F762" i="12"/>
  <c r="E762" i="12"/>
  <c r="C762" i="12"/>
  <c r="B762" i="12"/>
  <c r="F761" i="12"/>
  <c r="E761" i="12"/>
  <c r="C761" i="12"/>
  <c r="B761" i="12"/>
  <c r="F760" i="12"/>
  <c r="E760" i="12"/>
  <c r="C760" i="12"/>
  <c r="B760" i="12"/>
  <c r="F759" i="12"/>
  <c r="E759" i="12"/>
  <c r="C759" i="12"/>
  <c r="B759" i="12"/>
  <c r="F758" i="12"/>
  <c r="E758" i="12"/>
  <c r="C758" i="12"/>
  <c r="B758" i="12"/>
  <c r="F757" i="12"/>
  <c r="E757" i="12"/>
  <c r="C757" i="12"/>
  <c r="B757" i="12"/>
  <c r="F756" i="12"/>
  <c r="E756" i="12"/>
  <c r="C756" i="12"/>
  <c r="B756" i="12"/>
  <c r="F755" i="12"/>
  <c r="E755" i="12"/>
  <c r="C755" i="12"/>
  <c r="B755" i="12"/>
  <c r="F754" i="12"/>
  <c r="E754" i="12"/>
  <c r="C754" i="12"/>
  <c r="B754" i="12"/>
  <c r="F753" i="12"/>
  <c r="E753" i="12"/>
  <c r="C753" i="12"/>
  <c r="B753" i="12"/>
  <c r="F752" i="12"/>
  <c r="E752" i="12"/>
  <c r="C752" i="12"/>
  <c r="B752" i="12"/>
  <c r="F751" i="12"/>
  <c r="E751" i="12"/>
  <c r="C751" i="12"/>
  <c r="B751" i="12"/>
  <c r="F750" i="12"/>
  <c r="E750" i="12"/>
  <c r="C750" i="12"/>
  <c r="B750" i="12"/>
  <c r="F749" i="12"/>
  <c r="E749" i="12"/>
  <c r="C749" i="12"/>
  <c r="B749" i="12"/>
  <c r="F748" i="12"/>
  <c r="E748" i="12"/>
  <c r="C748" i="12"/>
  <c r="B748" i="12"/>
  <c r="F747" i="12"/>
  <c r="E747" i="12"/>
  <c r="C747" i="12"/>
  <c r="B747" i="12"/>
  <c r="F746" i="12"/>
  <c r="E746" i="12"/>
  <c r="C746" i="12"/>
  <c r="B746" i="12"/>
  <c r="F745" i="12"/>
  <c r="E745" i="12"/>
  <c r="C745" i="12"/>
  <c r="B745" i="12"/>
  <c r="F744" i="12"/>
  <c r="E744" i="12"/>
  <c r="C744" i="12"/>
  <c r="B744" i="12"/>
  <c r="F743" i="12"/>
  <c r="E743" i="12"/>
  <c r="C743" i="12"/>
  <c r="B743" i="12"/>
  <c r="F742" i="12"/>
  <c r="E742" i="12"/>
  <c r="C742" i="12"/>
  <c r="B742" i="12"/>
  <c r="F741" i="12"/>
  <c r="E741" i="12"/>
  <c r="C741" i="12"/>
  <c r="B741" i="12"/>
  <c r="F740" i="12"/>
  <c r="E740" i="12"/>
  <c r="C740" i="12"/>
  <c r="B740" i="12"/>
  <c r="F739" i="12"/>
  <c r="E739" i="12"/>
  <c r="C739" i="12"/>
  <c r="B739" i="12"/>
  <c r="F738" i="12"/>
  <c r="E738" i="12"/>
  <c r="C738" i="12"/>
  <c r="B738" i="12"/>
  <c r="F737" i="12"/>
  <c r="E737" i="12"/>
  <c r="C737" i="12"/>
  <c r="B737" i="12"/>
  <c r="F736" i="12"/>
  <c r="E736" i="12"/>
  <c r="C736" i="12"/>
  <c r="B736" i="12"/>
  <c r="F735" i="12"/>
  <c r="E735" i="12"/>
  <c r="C735" i="12"/>
  <c r="B735" i="12"/>
  <c r="F734" i="12"/>
  <c r="E734" i="12"/>
  <c r="C734" i="12"/>
  <c r="B734" i="12"/>
  <c r="F733" i="12"/>
  <c r="E733" i="12"/>
  <c r="C733" i="12"/>
  <c r="B733" i="12"/>
  <c r="F732" i="12"/>
  <c r="E732" i="12"/>
  <c r="C732" i="12"/>
  <c r="B732" i="12"/>
  <c r="F731" i="12"/>
  <c r="E731" i="12"/>
  <c r="C731" i="12"/>
  <c r="B731" i="12"/>
  <c r="F730" i="12"/>
  <c r="E730" i="12"/>
  <c r="C730" i="12"/>
  <c r="B730" i="12"/>
  <c r="F729" i="12"/>
  <c r="E729" i="12"/>
  <c r="C729" i="12"/>
  <c r="B729" i="12"/>
  <c r="F728" i="12"/>
  <c r="E728" i="12"/>
  <c r="C728" i="12"/>
  <c r="B728" i="12"/>
  <c r="F727" i="12"/>
  <c r="E727" i="12"/>
  <c r="C727" i="12"/>
  <c r="B727" i="12"/>
  <c r="F726" i="12"/>
  <c r="E726" i="12"/>
  <c r="C726" i="12"/>
  <c r="B726" i="12"/>
  <c r="F725" i="12"/>
  <c r="E725" i="12"/>
  <c r="C725" i="12"/>
  <c r="B725" i="12"/>
  <c r="F724" i="12"/>
  <c r="E724" i="12"/>
  <c r="C724" i="12"/>
  <c r="B724" i="12"/>
  <c r="F723" i="12"/>
  <c r="E723" i="12"/>
  <c r="C723" i="12"/>
  <c r="B723" i="12"/>
  <c r="F722" i="12"/>
  <c r="E722" i="12"/>
  <c r="C722" i="12"/>
  <c r="B722" i="12"/>
  <c r="F721" i="12"/>
  <c r="E721" i="12"/>
  <c r="C721" i="12"/>
  <c r="B721" i="12"/>
  <c r="F720" i="12"/>
  <c r="E720" i="12"/>
  <c r="C720" i="12"/>
  <c r="B720" i="12"/>
  <c r="F719" i="12"/>
  <c r="E719" i="12"/>
  <c r="C719" i="12"/>
  <c r="B719" i="12"/>
  <c r="F718" i="12"/>
  <c r="E718" i="12"/>
  <c r="C718" i="12"/>
  <c r="B718" i="12"/>
  <c r="F717" i="12"/>
  <c r="E717" i="12"/>
  <c r="C717" i="12"/>
  <c r="B717" i="12"/>
  <c r="F716" i="12"/>
  <c r="E716" i="12"/>
  <c r="C716" i="12"/>
  <c r="B716" i="12"/>
  <c r="F715" i="12"/>
  <c r="E715" i="12"/>
  <c r="C715" i="12"/>
  <c r="B715" i="12"/>
  <c r="F714" i="12"/>
  <c r="E714" i="12"/>
  <c r="C714" i="12"/>
  <c r="B714" i="12"/>
  <c r="F713" i="12"/>
  <c r="E713" i="12"/>
  <c r="C713" i="12"/>
  <c r="B713" i="12"/>
  <c r="F712" i="12"/>
  <c r="E712" i="12"/>
  <c r="C712" i="12"/>
  <c r="B712" i="12"/>
  <c r="F711" i="12"/>
  <c r="E711" i="12"/>
  <c r="C711" i="12"/>
  <c r="B711" i="12"/>
  <c r="F710" i="12"/>
  <c r="E710" i="12"/>
  <c r="C710" i="12"/>
  <c r="B710" i="12"/>
  <c r="F709" i="12"/>
  <c r="E709" i="12"/>
  <c r="C709" i="12"/>
  <c r="B709" i="12"/>
  <c r="F708" i="12"/>
  <c r="E708" i="12"/>
  <c r="C708" i="12"/>
  <c r="B708" i="12"/>
  <c r="F707" i="12"/>
  <c r="E707" i="12"/>
  <c r="C707" i="12"/>
  <c r="B707" i="12"/>
  <c r="F706" i="12"/>
  <c r="E706" i="12"/>
  <c r="C706" i="12"/>
  <c r="B706" i="12"/>
  <c r="F705" i="12"/>
  <c r="E705" i="12"/>
  <c r="C705" i="12"/>
  <c r="B705" i="12"/>
  <c r="F704" i="12"/>
  <c r="E704" i="12"/>
  <c r="C704" i="12"/>
  <c r="B704" i="12"/>
  <c r="F703" i="12"/>
  <c r="E703" i="12"/>
  <c r="C703" i="12"/>
  <c r="B703" i="12"/>
  <c r="F702" i="12"/>
  <c r="E702" i="12"/>
  <c r="C702" i="12"/>
  <c r="B702" i="12"/>
  <c r="F701" i="12"/>
  <c r="E701" i="12"/>
  <c r="C701" i="12"/>
  <c r="B701" i="12"/>
  <c r="F700" i="12"/>
  <c r="E700" i="12"/>
  <c r="C700" i="12"/>
  <c r="B700" i="12"/>
  <c r="F699" i="12"/>
  <c r="E699" i="12"/>
  <c r="C699" i="12"/>
  <c r="B699" i="12"/>
  <c r="F698" i="12"/>
  <c r="E698" i="12"/>
  <c r="C698" i="12"/>
  <c r="B698" i="12"/>
  <c r="F697" i="12"/>
  <c r="E697" i="12"/>
  <c r="C697" i="12"/>
  <c r="B697" i="12"/>
  <c r="F696" i="12"/>
  <c r="E696" i="12"/>
  <c r="C696" i="12"/>
  <c r="B696" i="12"/>
  <c r="F695" i="12"/>
  <c r="E695" i="12"/>
  <c r="C695" i="12"/>
  <c r="B695" i="12"/>
  <c r="F694" i="12"/>
  <c r="E694" i="12"/>
  <c r="C694" i="12"/>
  <c r="B694" i="12"/>
  <c r="F693" i="12"/>
  <c r="E693" i="12"/>
  <c r="C693" i="12"/>
  <c r="B693" i="12"/>
  <c r="F692" i="12"/>
  <c r="E692" i="12"/>
  <c r="C692" i="12"/>
  <c r="B692" i="12"/>
  <c r="F691" i="12"/>
  <c r="E691" i="12"/>
  <c r="C691" i="12"/>
  <c r="B691" i="12"/>
  <c r="F690" i="12"/>
  <c r="E690" i="12"/>
  <c r="C690" i="12"/>
  <c r="B690" i="12"/>
  <c r="F689" i="12"/>
  <c r="E689" i="12"/>
  <c r="C689" i="12"/>
  <c r="B689" i="12"/>
  <c r="F688" i="12"/>
  <c r="E688" i="12"/>
  <c r="C688" i="12"/>
  <c r="B688" i="12"/>
  <c r="F687" i="12"/>
  <c r="E687" i="12"/>
  <c r="C687" i="12"/>
  <c r="B687" i="12"/>
  <c r="F686" i="12"/>
  <c r="E686" i="12"/>
  <c r="C686" i="12"/>
  <c r="B686" i="12"/>
  <c r="F685" i="12"/>
  <c r="E685" i="12"/>
  <c r="C685" i="12"/>
  <c r="B685" i="12"/>
  <c r="F684" i="12"/>
  <c r="E684" i="12"/>
  <c r="C684" i="12"/>
  <c r="B684" i="12"/>
  <c r="F683" i="12"/>
  <c r="E683" i="12"/>
  <c r="C683" i="12"/>
  <c r="B683" i="12"/>
  <c r="F682" i="12"/>
  <c r="E682" i="12"/>
  <c r="C682" i="12"/>
  <c r="B682" i="12"/>
  <c r="F681" i="12"/>
  <c r="E681" i="12"/>
  <c r="C681" i="12"/>
  <c r="B681" i="12"/>
  <c r="F680" i="12"/>
  <c r="E680" i="12"/>
  <c r="C680" i="12"/>
  <c r="B680" i="12"/>
  <c r="F679" i="12"/>
  <c r="E679" i="12"/>
  <c r="C679" i="12"/>
  <c r="B679" i="12"/>
  <c r="F678" i="12"/>
  <c r="E678" i="12"/>
  <c r="C678" i="12"/>
  <c r="B678" i="12"/>
  <c r="F677" i="12"/>
  <c r="E677" i="12"/>
  <c r="C677" i="12"/>
  <c r="B677" i="12"/>
  <c r="F676" i="12"/>
  <c r="E676" i="12"/>
  <c r="C676" i="12"/>
  <c r="B676" i="12"/>
  <c r="F675" i="12"/>
  <c r="E675" i="12"/>
  <c r="C675" i="12"/>
  <c r="B675" i="12"/>
  <c r="F674" i="12"/>
  <c r="E674" i="12"/>
  <c r="C674" i="12"/>
  <c r="B674" i="12"/>
  <c r="F673" i="12"/>
  <c r="E673" i="12"/>
  <c r="C673" i="12"/>
  <c r="B673" i="12"/>
  <c r="F672" i="12"/>
  <c r="E672" i="12"/>
  <c r="C672" i="12"/>
  <c r="B672" i="12"/>
  <c r="F671" i="12"/>
  <c r="E671" i="12"/>
  <c r="C671" i="12"/>
  <c r="B671" i="12"/>
  <c r="F670" i="12"/>
  <c r="E670" i="12"/>
  <c r="C670" i="12"/>
  <c r="B670" i="12"/>
  <c r="F669" i="12"/>
  <c r="E669" i="12"/>
  <c r="C669" i="12"/>
  <c r="B669" i="12"/>
  <c r="F668" i="12"/>
  <c r="E668" i="12"/>
  <c r="C668" i="12"/>
  <c r="B668" i="12"/>
  <c r="F667" i="12"/>
  <c r="E667" i="12"/>
  <c r="C667" i="12"/>
  <c r="B667" i="12"/>
  <c r="F666" i="12"/>
  <c r="E666" i="12"/>
  <c r="C666" i="12"/>
  <c r="B666" i="12"/>
  <c r="F665" i="12"/>
  <c r="E665" i="12"/>
  <c r="C665" i="12"/>
  <c r="B665" i="12"/>
  <c r="F664" i="12"/>
  <c r="E664" i="12"/>
  <c r="C664" i="12"/>
  <c r="B664" i="12"/>
  <c r="F663" i="12"/>
  <c r="E663" i="12"/>
  <c r="C663" i="12"/>
  <c r="B663" i="12"/>
  <c r="F662" i="12"/>
  <c r="E662" i="12"/>
  <c r="C662" i="12"/>
  <c r="B662" i="12"/>
  <c r="F661" i="12"/>
  <c r="E661" i="12"/>
  <c r="C661" i="12"/>
  <c r="B661" i="12"/>
  <c r="F660" i="12"/>
  <c r="E660" i="12"/>
  <c r="C660" i="12"/>
  <c r="B660" i="12"/>
  <c r="F659" i="12"/>
  <c r="E659" i="12"/>
  <c r="C659" i="12"/>
  <c r="B659" i="12"/>
  <c r="F658" i="12"/>
  <c r="E658" i="12"/>
  <c r="C658" i="12"/>
  <c r="B658" i="12"/>
  <c r="F657" i="12"/>
  <c r="E657" i="12"/>
  <c r="C657" i="12"/>
  <c r="B657" i="12"/>
  <c r="F656" i="12"/>
  <c r="E656" i="12"/>
  <c r="C656" i="12"/>
  <c r="B656" i="12"/>
  <c r="F655" i="12"/>
  <c r="E655" i="12"/>
  <c r="C655" i="12"/>
  <c r="B655" i="12"/>
  <c r="F654" i="12"/>
  <c r="E654" i="12"/>
  <c r="C654" i="12"/>
  <c r="B654" i="12"/>
  <c r="F653" i="12"/>
  <c r="E653" i="12"/>
  <c r="C653" i="12"/>
  <c r="B653" i="12"/>
  <c r="F652" i="12"/>
  <c r="E652" i="12"/>
  <c r="C652" i="12"/>
  <c r="B652" i="12"/>
  <c r="F651" i="12"/>
  <c r="E651" i="12"/>
  <c r="C651" i="12"/>
  <c r="B651" i="12"/>
  <c r="F650" i="12"/>
  <c r="E650" i="12"/>
  <c r="C650" i="12"/>
  <c r="B650" i="12"/>
  <c r="F649" i="12"/>
  <c r="E649" i="12"/>
  <c r="C649" i="12"/>
  <c r="B649" i="12"/>
  <c r="F648" i="12"/>
  <c r="E648" i="12"/>
  <c r="C648" i="12"/>
  <c r="B648" i="12"/>
  <c r="F647" i="12"/>
  <c r="E647" i="12"/>
  <c r="C647" i="12"/>
  <c r="B647" i="12"/>
  <c r="F646" i="12"/>
  <c r="E646" i="12"/>
  <c r="C646" i="12"/>
  <c r="B646" i="12"/>
  <c r="F645" i="12"/>
  <c r="E645" i="12"/>
  <c r="C645" i="12"/>
  <c r="B645" i="12"/>
  <c r="F644" i="12"/>
  <c r="E644" i="12"/>
  <c r="C644" i="12"/>
  <c r="B644" i="12"/>
  <c r="F643" i="12"/>
  <c r="E643" i="12"/>
  <c r="C643" i="12"/>
  <c r="B643" i="12"/>
  <c r="F642" i="12"/>
  <c r="E642" i="12"/>
  <c r="C642" i="12"/>
  <c r="B642" i="12"/>
  <c r="F641" i="12"/>
  <c r="E641" i="12"/>
  <c r="C641" i="12"/>
  <c r="B641" i="12"/>
  <c r="F640" i="12"/>
  <c r="E640" i="12"/>
  <c r="C640" i="12"/>
  <c r="B640" i="12"/>
  <c r="F639" i="12"/>
  <c r="E639" i="12"/>
  <c r="C639" i="12"/>
  <c r="B639" i="12"/>
  <c r="F638" i="12"/>
  <c r="E638" i="12"/>
  <c r="C638" i="12"/>
  <c r="B638" i="12"/>
  <c r="F637" i="12"/>
  <c r="E637" i="12"/>
  <c r="C637" i="12"/>
  <c r="B637" i="12"/>
  <c r="F636" i="12"/>
  <c r="E636" i="12"/>
  <c r="C636" i="12"/>
  <c r="B636" i="12"/>
  <c r="F635" i="12"/>
  <c r="E635" i="12"/>
  <c r="C635" i="12"/>
  <c r="B635" i="12"/>
  <c r="F634" i="12"/>
  <c r="E634" i="12"/>
  <c r="C634" i="12"/>
  <c r="B634" i="12"/>
  <c r="F633" i="12"/>
  <c r="E633" i="12"/>
  <c r="C633" i="12"/>
  <c r="B633" i="12"/>
  <c r="F632" i="12"/>
  <c r="E632" i="12"/>
  <c r="C632" i="12"/>
  <c r="B632" i="12"/>
  <c r="F631" i="12"/>
  <c r="E631" i="12"/>
  <c r="C631" i="12"/>
  <c r="B631" i="12"/>
  <c r="F630" i="12"/>
  <c r="E630" i="12"/>
  <c r="C630" i="12"/>
  <c r="B630" i="12"/>
  <c r="F629" i="12"/>
  <c r="E629" i="12"/>
  <c r="C629" i="12"/>
  <c r="B629" i="12"/>
  <c r="F628" i="12"/>
  <c r="E628" i="12"/>
  <c r="C628" i="12"/>
  <c r="B628" i="12"/>
  <c r="F627" i="12"/>
  <c r="E627" i="12"/>
  <c r="C627" i="12"/>
  <c r="B627" i="12"/>
  <c r="F626" i="12"/>
  <c r="E626" i="12"/>
  <c r="C626" i="12"/>
  <c r="B626" i="12"/>
  <c r="F625" i="12"/>
  <c r="E625" i="12"/>
  <c r="C625" i="12"/>
  <c r="B625" i="12"/>
  <c r="F624" i="12"/>
  <c r="E624" i="12"/>
  <c r="C624" i="12"/>
  <c r="B624" i="12"/>
  <c r="F623" i="12"/>
  <c r="E623" i="12"/>
  <c r="C623" i="12"/>
  <c r="B623" i="12"/>
  <c r="F622" i="12"/>
  <c r="E622" i="12"/>
  <c r="C622" i="12"/>
  <c r="B622" i="12"/>
  <c r="F621" i="12"/>
  <c r="E621" i="12"/>
  <c r="C621" i="12"/>
  <c r="B621" i="12"/>
  <c r="F620" i="12"/>
  <c r="E620" i="12"/>
  <c r="C620" i="12"/>
  <c r="B620" i="12"/>
  <c r="F619" i="12"/>
  <c r="E619" i="12"/>
  <c r="C619" i="12"/>
  <c r="B619" i="12"/>
  <c r="F618" i="12"/>
  <c r="E618" i="12"/>
  <c r="C618" i="12"/>
  <c r="B618" i="12"/>
  <c r="F617" i="12"/>
  <c r="E617" i="12"/>
  <c r="C617" i="12"/>
  <c r="B617" i="12"/>
  <c r="F616" i="12"/>
  <c r="E616" i="12"/>
  <c r="C616" i="12"/>
  <c r="B616" i="12"/>
  <c r="F615" i="12"/>
  <c r="E615" i="12"/>
  <c r="C615" i="12"/>
  <c r="B615" i="12"/>
  <c r="F614" i="12"/>
  <c r="E614" i="12"/>
  <c r="C614" i="12"/>
  <c r="B614" i="12"/>
  <c r="F613" i="12"/>
  <c r="E613" i="12"/>
  <c r="C613" i="12"/>
  <c r="B613" i="12"/>
  <c r="F612" i="12"/>
  <c r="E612" i="12"/>
  <c r="C612" i="12"/>
  <c r="B612" i="12"/>
  <c r="F611" i="12"/>
  <c r="E611" i="12"/>
  <c r="C611" i="12"/>
  <c r="B611" i="12"/>
  <c r="F610" i="12"/>
  <c r="E610" i="12"/>
  <c r="C610" i="12"/>
  <c r="B610" i="12"/>
  <c r="F609" i="12"/>
  <c r="E609" i="12"/>
  <c r="C609" i="12"/>
  <c r="B609" i="12"/>
  <c r="F608" i="12"/>
  <c r="E608" i="12"/>
  <c r="C608" i="12"/>
  <c r="B608" i="12"/>
  <c r="F607" i="12"/>
  <c r="E607" i="12"/>
  <c r="C607" i="12"/>
  <c r="B607" i="12"/>
  <c r="F606" i="12"/>
  <c r="E606" i="12"/>
  <c r="C606" i="12"/>
  <c r="B606" i="12"/>
  <c r="F605" i="12"/>
  <c r="E605" i="12"/>
  <c r="C605" i="12"/>
  <c r="B605" i="12"/>
  <c r="F604" i="12"/>
  <c r="E604" i="12"/>
  <c r="C604" i="12"/>
  <c r="B604" i="12"/>
  <c r="F603" i="12"/>
  <c r="E603" i="12"/>
  <c r="C603" i="12"/>
  <c r="B603" i="12"/>
  <c r="F602" i="12"/>
  <c r="E602" i="12"/>
  <c r="C602" i="12"/>
  <c r="B602" i="12"/>
  <c r="F601" i="12"/>
  <c r="E601" i="12"/>
  <c r="C601" i="12"/>
  <c r="B601" i="12"/>
  <c r="F600" i="12"/>
  <c r="E600" i="12"/>
  <c r="C600" i="12"/>
  <c r="B600" i="12"/>
  <c r="F599" i="12"/>
  <c r="E599" i="12"/>
  <c r="C599" i="12"/>
  <c r="B599" i="12"/>
  <c r="F598" i="12"/>
  <c r="E598" i="12"/>
  <c r="C598" i="12"/>
  <c r="B598" i="12"/>
  <c r="F597" i="12"/>
  <c r="E597" i="12"/>
  <c r="C597" i="12"/>
  <c r="B597" i="12"/>
  <c r="F596" i="12"/>
  <c r="E596" i="12"/>
  <c r="C596" i="12"/>
  <c r="B596" i="12"/>
  <c r="F595" i="12"/>
  <c r="E595" i="12"/>
  <c r="C595" i="12"/>
  <c r="B595" i="12"/>
  <c r="F594" i="12"/>
  <c r="E594" i="12"/>
  <c r="C594" i="12"/>
  <c r="B594" i="12"/>
  <c r="F593" i="12"/>
  <c r="E593" i="12"/>
  <c r="C593" i="12"/>
  <c r="B593" i="12"/>
  <c r="F592" i="12"/>
  <c r="E592" i="12"/>
  <c r="C592" i="12"/>
  <c r="B592" i="12"/>
  <c r="F591" i="12"/>
  <c r="E591" i="12"/>
  <c r="C591" i="12"/>
  <c r="B591" i="12"/>
  <c r="F590" i="12"/>
  <c r="E590" i="12"/>
  <c r="C590" i="12"/>
  <c r="B590" i="12"/>
  <c r="F589" i="12"/>
  <c r="E589" i="12"/>
  <c r="C589" i="12"/>
  <c r="B589" i="12"/>
  <c r="F588" i="12"/>
  <c r="E588" i="12"/>
  <c r="C588" i="12"/>
  <c r="B588" i="12"/>
  <c r="F587" i="12"/>
  <c r="E587" i="12"/>
  <c r="C587" i="12"/>
  <c r="B587" i="12"/>
  <c r="F586" i="12"/>
  <c r="E586" i="12"/>
  <c r="C586" i="12"/>
  <c r="B586" i="12"/>
  <c r="F585" i="12"/>
  <c r="E585" i="12"/>
  <c r="C585" i="12"/>
  <c r="B585" i="12"/>
  <c r="F584" i="12"/>
  <c r="E584" i="12"/>
  <c r="C584" i="12"/>
  <c r="B584" i="12"/>
  <c r="F583" i="12"/>
  <c r="E583" i="12"/>
  <c r="C583" i="12"/>
  <c r="B583" i="12"/>
  <c r="F582" i="12"/>
  <c r="E582" i="12"/>
  <c r="C582" i="12"/>
  <c r="B582" i="12"/>
  <c r="F581" i="12"/>
  <c r="E581" i="12"/>
  <c r="C581" i="12"/>
  <c r="B581" i="12"/>
  <c r="F580" i="12"/>
  <c r="E580" i="12"/>
  <c r="C580" i="12"/>
  <c r="B580" i="12"/>
  <c r="F579" i="12"/>
  <c r="E579" i="12"/>
  <c r="C579" i="12"/>
  <c r="B579" i="12"/>
  <c r="F578" i="12"/>
  <c r="E578" i="12"/>
  <c r="C578" i="12"/>
  <c r="B578" i="12"/>
  <c r="F577" i="12"/>
  <c r="E577" i="12"/>
  <c r="C577" i="12"/>
  <c r="B577" i="12"/>
  <c r="F576" i="12"/>
  <c r="E576" i="12"/>
  <c r="C576" i="12"/>
  <c r="B576" i="12"/>
  <c r="F575" i="12"/>
  <c r="E575" i="12"/>
  <c r="C575" i="12"/>
  <c r="B575" i="12"/>
  <c r="F574" i="12"/>
  <c r="E574" i="12"/>
  <c r="C574" i="12"/>
  <c r="B574" i="12"/>
  <c r="F573" i="12"/>
  <c r="E573" i="12"/>
  <c r="C573" i="12"/>
  <c r="B573" i="12"/>
  <c r="F572" i="12"/>
  <c r="E572" i="12"/>
  <c r="C572" i="12"/>
  <c r="B572" i="12"/>
  <c r="F571" i="12"/>
  <c r="E571" i="12"/>
  <c r="C571" i="12"/>
  <c r="B571" i="12"/>
  <c r="F570" i="12"/>
  <c r="E570" i="12"/>
  <c r="C570" i="12"/>
  <c r="B570" i="12"/>
  <c r="F569" i="12"/>
  <c r="E569" i="12"/>
  <c r="C569" i="12"/>
  <c r="B569" i="12"/>
  <c r="F568" i="12"/>
  <c r="E568" i="12"/>
  <c r="C568" i="12"/>
  <c r="B568" i="12"/>
  <c r="F567" i="12"/>
  <c r="E567" i="12"/>
  <c r="C567" i="12"/>
  <c r="B567" i="12"/>
  <c r="F566" i="12"/>
  <c r="E566" i="12"/>
  <c r="C566" i="12"/>
  <c r="B566" i="12"/>
  <c r="F565" i="12"/>
  <c r="E565" i="12"/>
  <c r="C565" i="12"/>
  <c r="B565" i="12"/>
  <c r="F564" i="12"/>
  <c r="E564" i="12"/>
  <c r="C564" i="12"/>
  <c r="B564" i="12"/>
  <c r="F563" i="12"/>
  <c r="E563" i="12"/>
  <c r="C563" i="12"/>
  <c r="B563" i="12"/>
  <c r="F562" i="12"/>
  <c r="E562" i="12"/>
  <c r="C562" i="12"/>
  <c r="B562" i="12"/>
  <c r="F561" i="12"/>
  <c r="E561" i="12"/>
  <c r="C561" i="12"/>
  <c r="B561" i="12"/>
  <c r="F560" i="12"/>
  <c r="E560" i="12"/>
  <c r="C560" i="12"/>
  <c r="B560" i="12"/>
  <c r="F559" i="12"/>
  <c r="E559" i="12"/>
  <c r="C559" i="12"/>
  <c r="B559" i="12"/>
  <c r="F558" i="12"/>
  <c r="E558" i="12"/>
  <c r="C558" i="12"/>
  <c r="B558" i="12"/>
  <c r="F557" i="12"/>
  <c r="E557" i="12"/>
  <c r="C557" i="12"/>
  <c r="B557" i="12"/>
  <c r="F556" i="12"/>
  <c r="E556" i="12"/>
  <c r="C556" i="12"/>
  <c r="B556" i="12"/>
  <c r="F555" i="12"/>
  <c r="E555" i="12"/>
  <c r="C555" i="12"/>
  <c r="B555" i="12"/>
  <c r="F554" i="12"/>
  <c r="E554" i="12"/>
  <c r="C554" i="12"/>
  <c r="B554" i="12"/>
  <c r="F553" i="12"/>
  <c r="E553" i="12"/>
  <c r="C553" i="12"/>
  <c r="B553" i="12"/>
  <c r="F552" i="12"/>
  <c r="E552" i="12"/>
  <c r="C552" i="12"/>
  <c r="B552" i="12"/>
  <c r="F551" i="12"/>
  <c r="E551" i="12"/>
  <c r="C551" i="12"/>
  <c r="B551" i="12"/>
  <c r="F550" i="12"/>
  <c r="E550" i="12"/>
  <c r="C550" i="12"/>
  <c r="B550" i="12"/>
  <c r="F549" i="12"/>
  <c r="E549" i="12"/>
  <c r="C549" i="12"/>
  <c r="B549" i="12"/>
  <c r="F548" i="12"/>
  <c r="E548" i="12"/>
  <c r="C548" i="12"/>
  <c r="B548" i="12"/>
  <c r="F547" i="12"/>
  <c r="E547" i="12"/>
  <c r="C547" i="12"/>
  <c r="B547" i="12"/>
  <c r="F546" i="12"/>
  <c r="E546" i="12"/>
  <c r="C546" i="12"/>
  <c r="B546" i="12"/>
  <c r="F545" i="12"/>
  <c r="E545" i="12"/>
  <c r="C545" i="12"/>
  <c r="B545" i="12"/>
  <c r="F544" i="12"/>
  <c r="E544" i="12"/>
  <c r="C544" i="12"/>
  <c r="B544" i="12"/>
  <c r="F543" i="12"/>
  <c r="E543" i="12"/>
  <c r="C543" i="12"/>
  <c r="B543" i="12"/>
  <c r="F542" i="12"/>
  <c r="E542" i="12"/>
  <c r="C542" i="12"/>
  <c r="B542" i="12"/>
  <c r="F541" i="12"/>
  <c r="E541" i="12"/>
  <c r="C541" i="12"/>
  <c r="B541" i="12"/>
  <c r="F540" i="12"/>
  <c r="E540" i="12"/>
  <c r="C540" i="12"/>
  <c r="B540" i="12"/>
  <c r="F539" i="12"/>
  <c r="E539" i="12"/>
  <c r="C539" i="12"/>
  <c r="B539" i="12"/>
  <c r="F538" i="12"/>
  <c r="E538" i="12"/>
  <c r="C538" i="12"/>
  <c r="B538" i="12"/>
  <c r="F537" i="12"/>
  <c r="E537" i="12"/>
  <c r="C537" i="12"/>
  <c r="B537" i="12"/>
  <c r="F536" i="12"/>
  <c r="E536" i="12"/>
  <c r="C536" i="12"/>
  <c r="B536" i="12"/>
  <c r="F535" i="12"/>
  <c r="E535" i="12"/>
  <c r="C535" i="12"/>
  <c r="B535" i="12"/>
  <c r="F534" i="12"/>
  <c r="E534" i="12"/>
  <c r="C534" i="12"/>
  <c r="B534" i="12"/>
  <c r="F533" i="12"/>
  <c r="E533" i="12"/>
  <c r="C533" i="12"/>
  <c r="B533" i="12"/>
  <c r="F532" i="12"/>
  <c r="E532" i="12"/>
  <c r="C532" i="12"/>
  <c r="B532" i="12"/>
  <c r="F531" i="12"/>
  <c r="E531" i="12"/>
  <c r="C531" i="12"/>
  <c r="B531" i="12"/>
  <c r="F530" i="12"/>
  <c r="E530" i="12"/>
  <c r="C530" i="12"/>
  <c r="B530" i="12"/>
  <c r="F529" i="12"/>
  <c r="E529" i="12"/>
  <c r="C529" i="12"/>
  <c r="B529" i="12"/>
  <c r="F528" i="12"/>
  <c r="E528" i="12"/>
  <c r="C528" i="12"/>
  <c r="B528" i="12"/>
  <c r="F527" i="12"/>
  <c r="E527" i="12"/>
  <c r="C527" i="12"/>
  <c r="B527" i="12"/>
  <c r="F526" i="12"/>
  <c r="E526" i="12"/>
  <c r="C526" i="12"/>
  <c r="B526" i="12"/>
  <c r="F525" i="12"/>
  <c r="E525" i="12"/>
  <c r="C525" i="12"/>
  <c r="B525" i="12"/>
  <c r="F524" i="12"/>
  <c r="E524" i="12"/>
  <c r="C524" i="12"/>
  <c r="B524" i="12"/>
  <c r="F523" i="12"/>
  <c r="E523" i="12"/>
  <c r="C523" i="12"/>
  <c r="B523" i="12"/>
  <c r="F522" i="12"/>
  <c r="E522" i="12"/>
  <c r="C522" i="12"/>
  <c r="B522" i="12"/>
  <c r="F521" i="12"/>
  <c r="E521" i="12"/>
  <c r="C521" i="12"/>
  <c r="B521" i="12"/>
  <c r="F520" i="12"/>
  <c r="E520" i="12"/>
  <c r="C520" i="12"/>
  <c r="B520" i="12"/>
  <c r="F519" i="12"/>
  <c r="E519" i="12"/>
  <c r="C519" i="12"/>
  <c r="B519" i="12"/>
  <c r="F518" i="12"/>
  <c r="E518" i="12"/>
  <c r="C518" i="12"/>
  <c r="B518" i="12"/>
  <c r="F517" i="12"/>
  <c r="E517" i="12"/>
  <c r="C517" i="12"/>
  <c r="B517" i="12"/>
  <c r="F516" i="12"/>
  <c r="E516" i="12"/>
  <c r="C516" i="12"/>
  <c r="B516" i="12"/>
  <c r="F515" i="12"/>
  <c r="E515" i="12"/>
  <c r="C515" i="12"/>
  <c r="B515" i="12"/>
  <c r="F514" i="12"/>
  <c r="E514" i="12"/>
  <c r="C514" i="12"/>
  <c r="B514" i="12"/>
  <c r="F513" i="12"/>
  <c r="E513" i="12"/>
  <c r="C513" i="12"/>
  <c r="B513" i="12"/>
  <c r="F512" i="12"/>
  <c r="E512" i="12"/>
  <c r="C512" i="12"/>
  <c r="B512" i="12"/>
  <c r="F511" i="12"/>
  <c r="E511" i="12"/>
  <c r="C511" i="12"/>
  <c r="B511" i="12"/>
  <c r="F510" i="12"/>
  <c r="E510" i="12"/>
  <c r="C510" i="12"/>
  <c r="B510" i="12"/>
  <c r="F509" i="12"/>
  <c r="E509" i="12"/>
  <c r="C509" i="12"/>
  <c r="B509" i="12"/>
  <c r="F508" i="12"/>
  <c r="E508" i="12"/>
  <c r="C508" i="12"/>
  <c r="B508" i="12"/>
  <c r="F507" i="12"/>
  <c r="E507" i="12"/>
  <c r="C507" i="12"/>
  <c r="B507" i="12"/>
  <c r="F506" i="12"/>
  <c r="E506" i="12"/>
  <c r="C506" i="12"/>
  <c r="B506" i="12"/>
  <c r="F505" i="12"/>
  <c r="E505" i="12"/>
  <c r="C505" i="12"/>
  <c r="B505" i="12"/>
  <c r="F504" i="12"/>
  <c r="E504" i="12"/>
  <c r="C504" i="12"/>
  <c r="B504" i="12"/>
  <c r="F503" i="12"/>
  <c r="E503" i="12"/>
  <c r="C503" i="12"/>
  <c r="B503" i="12"/>
  <c r="F502" i="12"/>
  <c r="E502" i="12"/>
  <c r="C502" i="12"/>
  <c r="B502" i="12"/>
  <c r="F501" i="12"/>
  <c r="E501" i="12"/>
  <c r="C501" i="12"/>
  <c r="B501" i="12"/>
  <c r="F500" i="12"/>
  <c r="E500" i="12"/>
  <c r="C500" i="12"/>
  <c r="B500" i="12"/>
  <c r="F499" i="12"/>
  <c r="E499" i="12"/>
  <c r="C499" i="12"/>
  <c r="B499" i="12"/>
  <c r="F498" i="12"/>
  <c r="E498" i="12"/>
  <c r="C498" i="12"/>
  <c r="B498" i="12"/>
  <c r="F497" i="12"/>
  <c r="E497" i="12"/>
  <c r="C497" i="12"/>
  <c r="B497" i="12"/>
  <c r="F496" i="12"/>
  <c r="E496" i="12"/>
  <c r="C496" i="12"/>
  <c r="B496" i="12"/>
  <c r="F495" i="12"/>
  <c r="E495" i="12"/>
  <c r="C495" i="12"/>
  <c r="B495" i="12"/>
  <c r="F494" i="12"/>
  <c r="E494" i="12"/>
  <c r="C494" i="12"/>
  <c r="B494" i="12"/>
  <c r="F493" i="12"/>
  <c r="E493" i="12"/>
  <c r="C493" i="12"/>
  <c r="B493" i="12"/>
  <c r="F492" i="12"/>
  <c r="E492" i="12"/>
  <c r="C492" i="12"/>
  <c r="B492" i="12"/>
  <c r="F491" i="12"/>
  <c r="E491" i="12"/>
  <c r="C491" i="12"/>
  <c r="B491" i="12"/>
  <c r="F490" i="12"/>
  <c r="E490" i="12"/>
  <c r="C490" i="12"/>
  <c r="B490" i="12"/>
  <c r="F489" i="12"/>
  <c r="E489" i="12"/>
  <c r="C489" i="12"/>
  <c r="B489" i="12"/>
  <c r="F488" i="12"/>
  <c r="E488" i="12"/>
  <c r="C488" i="12"/>
  <c r="B488" i="12"/>
  <c r="F487" i="12"/>
  <c r="E487" i="12"/>
  <c r="C487" i="12"/>
  <c r="B487" i="12"/>
  <c r="F486" i="12"/>
  <c r="E486" i="12"/>
  <c r="C486" i="12"/>
  <c r="B486" i="12"/>
  <c r="F485" i="12"/>
  <c r="E485" i="12"/>
  <c r="C485" i="12"/>
  <c r="B485" i="12"/>
  <c r="F484" i="12"/>
  <c r="E484" i="12"/>
  <c r="C484" i="12"/>
  <c r="B484" i="12"/>
  <c r="F483" i="12"/>
  <c r="E483" i="12"/>
  <c r="C483" i="12"/>
  <c r="B483" i="12"/>
  <c r="F482" i="12"/>
  <c r="E482" i="12"/>
  <c r="C482" i="12"/>
  <c r="B482" i="12"/>
  <c r="F481" i="12"/>
  <c r="E481" i="12"/>
  <c r="C481" i="12"/>
  <c r="B481" i="12"/>
  <c r="F480" i="12"/>
  <c r="E480" i="12"/>
  <c r="C480" i="12"/>
  <c r="B480" i="12"/>
  <c r="F479" i="12"/>
  <c r="E479" i="12"/>
  <c r="C479" i="12"/>
  <c r="B479" i="12"/>
  <c r="F478" i="12"/>
  <c r="E478" i="12"/>
  <c r="C478" i="12"/>
  <c r="B478" i="12"/>
  <c r="F477" i="12"/>
  <c r="E477" i="12"/>
  <c r="C477" i="12"/>
  <c r="B477" i="12"/>
  <c r="F476" i="12"/>
  <c r="E476" i="12"/>
  <c r="C476" i="12"/>
  <c r="B476" i="12"/>
  <c r="F475" i="12"/>
  <c r="E475" i="12"/>
  <c r="C475" i="12"/>
  <c r="B475" i="12"/>
  <c r="F474" i="12"/>
  <c r="E474" i="12"/>
  <c r="C474" i="12"/>
  <c r="B474" i="12"/>
  <c r="F473" i="12"/>
  <c r="E473" i="12"/>
  <c r="C473" i="12"/>
  <c r="B473" i="12"/>
  <c r="F472" i="12"/>
  <c r="E472" i="12"/>
  <c r="C472" i="12"/>
  <c r="B472" i="12"/>
  <c r="F471" i="12"/>
  <c r="E471" i="12"/>
  <c r="C471" i="12"/>
  <c r="B471" i="12"/>
  <c r="F470" i="12"/>
  <c r="E470" i="12"/>
  <c r="C470" i="12"/>
  <c r="B470" i="12"/>
  <c r="F469" i="12"/>
  <c r="E469" i="12"/>
  <c r="C469" i="12"/>
  <c r="B469" i="12"/>
  <c r="F468" i="12"/>
  <c r="E468" i="12"/>
  <c r="C468" i="12"/>
  <c r="B468" i="12"/>
  <c r="F467" i="12"/>
  <c r="E467" i="12"/>
  <c r="C467" i="12"/>
  <c r="B467" i="12"/>
  <c r="F466" i="12"/>
  <c r="E466" i="12"/>
  <c r="C466" i="12"/>
  <c r="B466" i="12"/>
  <c r="F465" i="12"/>
  <c r="E465" i="12"/>
  <c r="C465" i="12"/>
  <c r="B465" i="12"/>
  <c r="F464" i="12"/>
  <c r="E464" i="12"/>
  <c r="C464" i="12"/>
  <c r="B464" i="12"/>
  <c r="F463" i="12"/>
  <c r="E463" i="12"/>
  <c r="C463" i="12"/>
  <c r="B463" i="12"/>
  <c r="F462" i="12"/>
  <c r="E462" i="12"/>
  <c r="C462" i="12"/>
  <c r="B462" i="12"/>
  <c r="F461" i="12"/>
  <c r="E461" i="12"/>
  <c r="C461" i="12"/>
  <c r="B461" i="12"/>
  <c r="F460" i="12"/>
  <c r="E460" i="12"/>
  <c r="C460" i="12"/>
  <c r="B460" i="12"/>
  <c r="F459" i="12"/>
  <c r="E459" i="12"/>
  <c r="C459" i="12"/>
  <c r="B459" i="12"/>
  <c r="F458" i="12"/>
  <c r="E458" i="12"/>
  <c r="C458" i="12"/>
  <c r="B458" i="12"/>
  <c r="F457" i="12"/>
  <c r="E457" i="12"/>
  <c r="C457" i="12"/>
  <c r="B457" i="12"/>
  <c r="F456" i="12"/>
  <c r="E456" i="12"/>
  <c r="C456" i="12"/>
  <c r="B456" i="12"/>
  <c r="F455" i="12"/>
  <c r="E455" i="12"/>
  <c r="C455" i="12"/>
  <c r="B455" i="12"/>
  <c r="F454" i="12"/>
  <c r="E454" i="12"/>
  <c r="C454" i="12"/>
  <c r="B454" i="12"/>
  <c r="F453" i="12"/>
  <c r="E453" i="12"/>
  <c r="C453" i="12"/>
  <c r="B453" i="12"/>
  <c r="F452" i="12"/>
  <c r="E452" i="12"/>
  <c r="C452" i="12"/>
  <c r="B452" i="12"/>
  <c r="F451" i="12"/>
  <c r="E451" i="12"/>
  <c r="C451" i="12"/>
  <c r="B451" i="12"/>
  <c r="F450" i="12"/>
  <c r="E450" i="12"/>
  <c r="C450" i="12"/>
  <c r="B450" i="12"/>
  <c r="F449" i="12"/>
  <c r="E449" i="12"/>
  <c r="C449" i="12"/>
  <c r="B449" i="12"/>
  <c r="F448" i="12"/>
  <c r="E448" i="12"/>
  <c r="C448" i="12"/>
  <c r="B448" i="12"/>
  <c r="F447" i="12"/>
  <c r="E447" i="12"/>
  <c r="C447" i="12"/>
  <c r="B447" i="12"/>
  <c r="F446" i="12"/>
  <c r="E446" i="12"/>
  <c r="C446" i="12"/>
  <c r="B446" i="12"/>
  <c r="F445" i="12"/>
  <c r="E445" i="12"/>
  <c r="C445" i="12"/>
  <c r="B445" i="12"/>
  <c r="F444" i="12"/>
  <c r="E444" i="12"/>
  <c r="C444" i="12"/>
  <c r="B444" i="12"/>
  <c r="F443" i="12"/>
  <c r="E443" i="12"/>
  <c r="C443" i="12"/>
  <c r="B443" i="12"/>
  <c r="F442" i="12"/>
  <c r="E442" i="12"/>
  <c r="C442" i="12"/>
  <c r="B442" i="12"/>
  <c r="F441" i="12"/>
  <c r="E441" i="12"/>
  <c r="C441" i="12"/>
  <c r="B441" i="12"/>
  <c r="F440" i="12"/>
  <c r="E440" i="12"/>
  <c r="C440" i="12"/>
  <c r="B440" i="12"/>
  <c r="F439" i="12"/>
  <c r="E439" i="12"/>
  <c r="C439" i="12"/>
  <c r="B439" i="12"/>
  <c r="F438" i="12"/>
  <c r="E438" i="12"/>
  <c r="C438" i="12"/>
  <c r="B438" i="12"/>
  <c r="F437" i="12"/>
  <c r="E437" i="12"/>
  <c r="C437" i="12"/>
  <c r="B437" i="12"/>
  <c r="F436" i="12"/>
  <c r="E436" i="12"/>
  <c r="C436" i="12"/>
  <c r="B436" i="12"/>
  <c r="F435" i="12"/>
  <c r="E435" i="12"/>
  <c r="C435" i="12"/>
  <c r="B435" i="12"/>
  <c r="F434" i="12"/>
  <c r="E434" i="12"/>
  <c r="C434" i="12"/>
  <c r="B434" i="12"/>
  <c r="F433" i="12"/>
  <c r="E433" i="12"/>
  <c r="C433" i="12"/>
  <c r="B433" i="12"/>
  <c r="F432" i="12"/>
  <c r="E432" i="12"/>
  <c r="C432" i="12"/>
  <c r="B432" i="12"/>
  <c r="F431" i="12"/>
  <c r="E431" i="12"/>
  <c r="C431" i="12"/>
  <c r="B431" i="12"/>
  <c r="F430" i="12"/>
  <c r="E430" i="12"/>
  <c r="C430" i="12"/>
  <c r="B430" i="12"/>
  <c r="F429" i="12"/>
  <c r="E429" i="12"/>
  <c r="C429" i="12"/>
  <c r="B429" i="12"/>
  <c r="F428" i="12"/>
  <c r="E428" i="12"/>
  <c r="C428" i="12"/>
  <c r="B428" i="12"/>
  <c r="F427" i="12"/>
  <c r="E427" i="12"/>
  <c r="C427" i="12"/>
  <c r="B427" i="12"/>
  <c r="F426" i="12"/>
  <c r="E426" i="12"/>
  <c r="C426" i="12"/>
  <c r="B426" i="12"/>
  <c r="F425" i="12"/>
  <c r="E425" i="12"/>
  <c r="C425" i="12"/>
  <c r="B425" i="12"/>
  <c r="F424" i="12"/>
  <c r="E424" i="12"/>
  <c r="C424" i="12"/>
  <c r="B424" i="12"/>
  <c r="F423" i="12"/>
  <c r="E423" i="12"/>
  <c r="C423" i="12"/>
  <c r="B423" i="12"/>
  <c r="F422" i="12"/>
  <c r="E422" i="12"/>
  <c r="C422" i="12"/>
  <c r="B422" i="12"/>
  <c r="F421" i="12"/>
  <c r="E421" i="12"/>
  <c r="C421" i="12"/>
  <c r="B421" i="12"/>
  <c r="F420" i="12"/>
  <c r="E420" i="12"/>
  <c r="C420" i="12"/>
  <c r="B420" i="12"/>
  <c r="F419" i="12"/>
  <c r="E419" i="12"/>
  <c r="C419" i="12"/>
  <c r="B419" i="12"/>
  <c r="F418" i="12"/>
  <c r="E418" i="12"/>
  <c r="C418" i="12"/>
  <c r="B418" i="12"/>
  <c r="F417" i="12"/>
  <c r="E417" i="12"/>
  <c r="C417" i="12"/>
  <c r="B417" i="12"/>
  <c r="F416" i="12"/>
  <c r="E416" i="12"/>
  <c r="C416" i="12"/>
  <c r="B416" i="12"/>
  <c r="F415" i="12"/>
  <c r="E415" i="12"/>
  <c r="C415" i="12"/>
  <c r="B415" i="12"/>
  <c r="F414" i="12"/>
  <c r="E414" i="12"/>
  <c r="C414" i="12"/>
  <c r="B414" i="12"/>
  <c r="F413" i="12"/>
  <c r="E413" i="12"/>
  <c r="C413" i="12"/>
  <c r="B413" i="12"/>
  <c r="F412" i="12"/>
  <c r="E412" i="12"/>
  <c r="C412" i="12"/>
  <c r="B412" i="12"/>
  <c r="F411" i="12"/>
  <c r="E411" i="12"/>
  <c r="C411" i="12"/>
  <c r="B411" i="12"/>
  <c r="F410" i="12"/>
  <c r="E410" i="12"/>
  <c r="C410" i="12"/>
  <c r="B410" i="12"/>
  <c r="F409" i="12"/>
  <c r="E409" i="12"/>
  <c r="C409" i="12"/>
  <c r="B409" i="12"/>
  <c r="F408" i="12"/>
  <c r="E408" i="12"/>
  <c r="C408" i="12"/>
  <c r="B408" i="12"/>
  <c r="F407" i="12"/>
  <c r="E407" i="12"/>
  <c r="C407" i="12"/>
  <c r="B407" i="12"/>
  <c r="F406" i="12"/>
  <c r="E406" i="12"/>
  <c r="C406" i="12"/>
  <c r="B406" i="12"/>
  <c r="F405" i="12"/>
  <c r="E405" i="12"/>
  <c r="C405" i="12"/>
  <c r="B405" i="12"/>
  <c r="F404" i="12"/>
  <c r="E404" i="12"/>
  <c r="C404" i="12"/>
  <c r="B404" i="12"/>
  <c r="F403" i="12"/>
  <c r="E403" i="12"/>
  <c r="C403" i="12"/>
  <c r="B403" i="12"/>
  <c r="F402" i="12"/>
  <c r="E402" i="12"/>
  <c r="C402" i="12"/>
  <c r="B402" i="12"/>
  <c r="F401" i="12"/>
  <c r="E401" i="12"/>
  <c r="C401" i="12"/>
  <c r="B401" i="12"/>
  <c r="F400" i="12"/>
  <c r="E400" i="12"/>
  <c r="C400" i="12"/>
  <c r="B400" i="12"/>
  <c r="F399" i="12"/>
  <c r="E399" i="12"/>
  <c r="C399" i="12"/>
  <c r="B399" i="12"/>
  <c r="F398" i="12"/>
  <c r="E398" i="12"/>
  <c r="C398" i="12"/>
  <c r="B398" i="12"/>
  <c r="F397" i="12"/>
  <c r="E397" i="12"/>
  <c r="C397" i="12"/>
  <c r="B397" i="12"/>
  <c r="F396" i="12"/>
  <c r="E396" i="12"/>
  <c r="C396" i="12"/>
  <c r="B396" i="12"/>
  <c r="F395" i="12"/>
  <c r="E395" i="12"/>
  <c r="C395" i="12"/>
  <c r="B395" i="12"/>
  <c r="F394" i="12"/>
  <c r="E394" i="12"/>
  <c r="C394" i="12"/>
  <c r="B394" i="12"/>
  <c r="F393" i="12"/>
  <c r="E393" i="12"/>
  <c r="C393" i="12"/>
  <c r="B393" i="12"/>
  <c r="F392" i="12"/>
  <c r="E392" i="12"/>
  <c r="C392" i="12"/>
  <c r="B392" i="12"/>
  <c r="F391" i="12"/>
  <c r="E391" i="12"/>
  <c r="C391" i="12"/>
  <c r="B391" i="12"/>
  <c r="F390" i="12"/>
  <c r="E390" i="12"/>
  <c r="C390" i="12"/>
  <c r="B390" i="12"/>
  <c r="F389" i="12"/>
  <c r="E389" i="12"/>
  <c r="C389" i="12"/>
  <c r="B389" i="12"/>
  <c r="F388" i="12"/>
  <c r="E388" i="12"/>
  <c r="C388" i="12"/>
  <c r="B388" i="12"/>
  <c r="F387" i="12"/>
  <c r="E387" i="12"/>
  <c r="C387" i="12"/>
  <c r="B387" i="12"/>
  <c r="F386" i="12"/>
  <c r="E386" i="12"/>
  <c r="C386" i="12"/>
  <c r="B386" i="12"/>
  <c r="F385" i="12"/>
  <c r="E385" i="12"/>
  <c r="C385" i="12"/>
  <c r="B385" i="12"/>
  <c r="F384" i="12"/>
  <c r="E384" i="12"/>
  <c r="C384" i="12"/>
  <c r="B384" i="12"/>
  <c r="F383" i="12"/>
  <c r="E383" i="12"/>
  <c r="C383" i="12"/>
  <c r="B383" i="12"/>
  <c r="F382" i="12"/>
  <c r="E382" i="12"/>
  <c r="C382" i="12"/>
  <c r="B382" i="12"/>
  <c r="F381" i="12"/>
  <c r="E381" i="12"/>
  <c r="C381" i="12"/>
  <c r="B381" i="12"/>
  <c r="F380" i="12"/>
  <c r="E380" i="12"/>
  <c r="C380" i="12"/>
  <c r="B380" i="12"/>
  <c r="F379" i="12"/>
  <c r="E379" i="12"/>
  <c r="C379" i="12"/>
  <c r="B379" i="12"/>
  <c r="F378" i="12"/>
  <c r="E378" i="12"/>
  <c r="C378" i="12"/>
  <c r="B378" i="12"/>
  <c r="F377" i="12"/>
  <c r="E377" i="12"/>
  <c r="C377" i="12"/>
  <c r="B377" i="12"/>
  <c r="F376" i="12"/>
  <c r="E376" i="12"/>
  <c r="C376" i="12"/>
  <c r="B376" i="12"/>
  <c r="F375" i="12"/>
  <c r="E375" i="12"/>
  <c r="C375" i="12"/>
  <c r="B375" i="12"/>
  <c r="F374" i="12"/>
  <c r="E374" i="12"/>
  <c r="C374" i="12"/>
  <c r="B374" i="12"/>
  <c r="F373" i="12"/>
  <c r="E373" i="12"/>
  <c r="C373" i="12"/>
  <c r="B373" i="12"/>
  <c r="F372" i="12"/>
  <c r="E372" i="12"/>
  <c r="C372" i="12"/>
  <c r="B372" i="12"/>
  <c r="F371" i="12"/>
  <c r="E371" i="12"/>
  <c r="C371" i="12"/>
  <c r="B371" i="12"/>
  <c r="F370" i="12"/>
  <c r="E370" i="12"/>
  <c r="C370" i="12"/>
  <c r="B370" i="12"/>
  <c r="F369" i="12"/>
  <c r="E369" i="12"/>
  <c r="C369" i="12"/>
  <c r="B369" i="12"/>
  <c r="F368" i="12"/>
  <c r="E368" i="12"/>
  <c r="C368" i="12"/>
  <c r="B368" i="12"/>
  <c r="F367" i="12"/>
  <c r="E367" i="12"/>
  <c r="C367" i="12"/>
  <c r="B367" i="12"/>
  <c r="F366" i="12"/>
  <c r="E366" i="12"/>
  <c r="C366" i="12"/>
  <c r="B366" i="12"/>
  <c r="F365" i="12"/>
  <c r="E365" i="12"/>
  <c r="C365" i="12"/>
  <c r="B365" i="12"/>
  <c r="F364" i="12"/>
  <c r="E364" i="12"/>
  <c r="C364" i="12"/>
  <c r="B364" i="12"/>
  <c r="F363" i="12"/>
  <c r="E363" i="12"/>
  <c r="C363" i="12"/>
  <c r="B363" i="12"/>
  <c r="F362" i="12"/>
  <c r="E362" i="12"/>
  <c r="C362" i="12"/>
  <c r="B362" i="12"/>
  <c r="F361" i="12"/>
  <c r="E361" i="12"/>
  <c r="C361" i="12"/>
  <c r="B361" i="12"/>
  <c r="F360" i="12"/>
  <c r="E360" i="12"/>
  <c r="C360" i="12"/>
  <c r="B360" i="12"/>
  <c r="F359" i="12"/>
  <c r="E359" i="12"/>
  <c r="C359" i="12"/>
  <c r="B359" i="12"/>
  <c r="F358" i="12"/>
  <c r="E358" i="12"/>
  <c r="C358" i="12"/>
  <c r="B358" i="12"/>
  <c r="F357" i="12"/>
  <c r="E357" i="12"/>
  <c r="C357" i="12"/>
  <c r="B357" i="12"/>
  <c r="F356" i="12"/>
  <c r="E356" i="12"/>
  <c r="C356" i="12"/>
  <c r="B356" i="12"/>
  <c r="F355" i="12"/>
  <c r="E355" i="12"/>
  <c r="C355" i="12"/>
  <c r="B355" i="12"/>
  <c r="F354" i="12"/>
  <c r="E354" i="12"/>
  <c r="C354" i="12"/>
  <c r="B354" i="12"/>
  <c r="F353" i="12"/>
  <c r="E353" i="12"/>
  <c r="C353" i="12"/>
  <c r="B353" i="12"/>
  <c r="F352" i="12"/>
  <c r="E352" i="12"/>
  <c r="C352" i="12"/>
  <c r="B352" i="12"/>
  <c r="F351" i="12"/>
  <c r="E351" i="12"/>
  <c r="C351" i="12"/>
  <c r="B351" i="12"/>
  <c r="F350" i="12"/>
  <c r="E350" i="12"/>
  <c r="C350" i="12"/>
  <c r="B350" i="12"/>
  <c r="F349" i="12"/>
  <c r="E349" i="12"/>
  <c r="C349" i="12"/>
  <c r="B349" i="12"/>
  <c r="F348" i="12"/>
  <c r="E348" i="12"/>
  <c r="C348" i="12"/>
  <c r="B348" i="12"/>
  <c r="F347" i="12"/>
  <c r="E347" i="12"/>
  <c r="C347" i="12"/>
  <c r="B347" i="12"/>
  <c r="F346" i="12"/>
  <c r="E346" i="12"/>
  <c r="C346" i="12"/>
  <c r="B346" i="12"/>
  <c r="F345" i="12"/>
  <c r="E345" i="12"/>
  <c r="C345" i="12"/>
  <c r="B345" i="12"/>
  <c r="F344" i="12"/>
  <c r="E344" i="12"/>
  <c r="C344" i="12"/>
  <c r="B344" i="12"/>
  <c r="F343" i="12"/>
  <c r="E343" i="12"/>
  <c r="C343" i="12"/>
  <c r="B343" i="12"/>
  <c r="F342" i="12"/>
  <c r="E342" i="12"/>
  <c r="C342" i="12"/>
  <c r="B342" i="12"/>
  <c r="F341" i="12"/>
  <c r="E341" i="12"/>
  <c r="C341" i="12"/>
  <c r="B341" i="12"/>
  <c r="F340" i="12"/>
  <c r="E340" i="12"/>
  <c r="C340" i="12"/>
  <c r="B340" i="12"/>
  <c r="F339" i="12"/>
  <c r="E339" i="12"/>
  <c r="C339" i="12"/>
  <c r="B339" i="12"/>
  <c r="F338" i="12"/>
  <c r="E338" i="12"/>
  <c r="C338" i="12"/>
  <c r="B338" i="12"/>
  <c r="F337" i="12"/>
  <c r="E337" i="12"/>
  <c r="C337" i="12"/>
  <c r="B337" i="12"/>
  <c r="F336" i="12"/>
  <c r="E336" i="12"/>
  <c r="C336" i="12"/>
  <c r="B336" i="12"/>
  <c r="F335" i="12"/>
  <c r="E335" i="12"/>
  <c r="C335" i="12"/>
  <c r="B335" i="12"/>
  <c r="F334" i="12"/>
  <c r="E334" i="12"/>
  <c r="C334" i="12"/>
  <c r="B334" i="12"/>
  <c r="F333" i="12"/>
  <c r="E333" i="12"/>
  <c r="C333" i="12"/>
  <c r="B333" i="12"/>
  <c r="F332" i="12"/>
  <c r="E332" i="12"/>
  <c r="C332" i="12"/>
  <c r="B332" i="12"/>
  <c r="F331" i="12"/>
  <c r="E331" i="12"/>
  <c r="C331" i="12"/>
  <c r="B331" i="12"/>
  <c r="F330" i="12"/>
  <c r="E330" i="12"/>
  <c r="C330" i="12"/>
  <c r="B330" i="12"/>
  <c r="F329" i="12"/>
  <c r="E329" i="12"/>
  <c r="C329" i="12"/>
  <c r="B329" i="12"/>
  <c r="F328" i="12"/>
  <c r="E328" i="12"/>
  <c r="C328" i="12"/>
  <c r="B328" i="12"/>
  <c r="F327" i="12"/>
  <c r="E327" i="12"/>
  <c r="C327" i="12"/>
  <c r="B327" i="12"/>
  <c r="F326" i="12"/>
  <c r="E326" i="12"/>
  <c r="C326" i="12"/>
  <c r="B326" i="12"/>
  <c r="F325" i="12"/>
  <c r="E325" i="12"/>
  <c r="C325" i="12"/>
  <c r="B325" i="12"/>
  <c r="F324" i="12"/>
  <c r="E324" i="12"/>
  <c r="C324" i="12"/>
  <c r="B324" i="12"/>
  <c r="F323" i="12"/>
  <c r="E323" i="12"/>
  <c r="C323" i="12"/>
  <c r="B323" i="12"/>
  <c r="F322" i="12"/>
  <c r="E322" i="12"/>
  <c r="C322" i="12"/>
  <c r="B322" i="12"/>
  <c r="F321" i="12"/>
  <c r="E321" i="12"/>
  <c r="C321" i="12"/>
  <c r="B321" i="12"/>
  <c r="F320" i="12"/>
  <c r="E320" i="12"/>
  <c r="C320" i="12"/>
  <c r="B320" i="12"/>
  <c r="F319" i="12"/>
  <c r="E319" i="12"/>
  <c r="C319" i="12"/>
  <c r="B319" i="12"/>
  <c r="F318" i="12"/>
  <c r="E318" i="12"/>
  <c r="C318" i="12"/>
  <c r="B318" i="12"/>
  <c r="F317" i="12"/>
  <c r="E317" i="12"/>
  <c r="C317" i="12"/>
  <c r="B317" i="12"/>
  <c r="F316" i="12"/>
  <c r="E316" i="12"/>
  <c r="C316" i="12"/>
  <c r="B316" i="12"/>
  <c r="F315" i="12"/>
  <c r="E315" i="12"/>
  <c r="C315" i="12"/>
  <c r="B315" i="12"/>
  <c r="F314" i="12"/>
  <c r="E314" i="12"/>
  <c r="C314" i="12"/>
  <c r="B314" i="12"/>
  <c r="F313" i="12"/>
  <c r="E313" i="12"/>
  <c r="C313" i="12"/>
  <c r="B313" i="12"/>
  <c r="F312" i="12"/>
  <c r="E312" i="12"/>
  <c r="C312" i="12"/>
  <c r="B312" i="12"/>
  <c r="F311" i="12"/>
  <c r="E311" i="12"/>
  <c r="C311" i="12"/>
  <c r="B311" i="12"/>
  <c r="F310" i="12"/>
  <c r="E310" i="12"/>
  <c r="C310" i="12"/>
  <c r="B310" i="12"/>
  <c r="F309" i="12"/>
  <c r="E309" i="12"/>
  <c r="C309" i="12"/>
  <c r="B309" i="12"/>
  <c r="F308" i="12"/>
  <c r="E308" i="12"/>
  <c r="C308" i="12"/>
  <c r="B308" i="12"/>
  <c r="F307" i="12"/>
  <c r="E307" i="12"/>
  <c r="C307" i="12"/>
  <c r="B307" i="12"/>
  <c r="F306" i="12"/>
  <c r="E306" i="12"/>
  <c r="C306" i="12"/>
  <c r="B306" i="12"/>
  <c r="F305" i="12"/>
  <c r="E305" i="12"/>
  <c r="C305" i="12"/>
  <c r="B305" i="12"/>
  <c r="F304" i="12"/>
  <c r="E304" i="12"/>
  <c r="C304" i="12"/>
  <c r="B304" i="12"/>
  <c r="F303" i="12"/>
  <c r="E303" i="12"/>
  <c r="C303" i="12"/>
  <c r="B303" i="12"/>
  <c r="F302" i="12"/>
  <c r="E302" i="12"/>
  <c r="C302" i="12"/>
  <c r="B302" i="12"/>
  <c r="F301" i="12"/>
  <c r="E301" i="12"/>
  <c r="C301" i="12"/>
  <c r="B301" i="12"/>
  <c r="F300" i="12"/>
  <c r="E300" i="12"/>
  <c r="C300" i="12"/>
  <c r="B300" i="12"/>
  <c r="F299" i="12"/>
  <c r="E299" i="12"/>
  <c r="C299" i="12"/>
  <c r="B299" i="12"/>
  <c r="F298" i="12"/>
  <c r="E298" i="12"/>
  <c r="C298" i="12"/>
  <c r="B298" i="12"/>
  <c r="F297" i="12"/>
  <c r="E297" i="12"/>
  <c r="C297" i="12"/>
  <c r="B297" i="12"/>
  <c r="F296" i="12"/>
  <c r="E296" i="12"/>
  <c r="C296" i="12"/>
  <c r="B296" i="12"/>
  <c r="F295" i="12"/>
  <c r="E295" i="12"/>
  <c r="C295" i="12"/>
  <c r="B295" i="12"/>
  <c r="F294" i="12"/>
  <c r="E294" i="12"/>
  <c r="C294" i="12"/>
  <c r="B294" i="12"/>
  <c r="F293" i="12"/>
  <c r="E293" i="12"/>
  <c r="C293" i="12"/>
  <c r="B293" i="12"/>
  <c r="F292" i="12"/>
  <c r="E292" i="12"/>
  <c r="C292" i="12"/>
  <c r="B292" i="12"/>
  <c r="F291" i="12"/>
  <c r="E291" i="12"/>
  <c r="C291" i="12"/>
  <c r="B291" i="12"/>
  <c r="F290" i="12"/>
  <c r="E290" i="12"/>
  <c r="C290" i="12"/>
  <c r="B290" i="12"/>
  <c r="F289" i="12"/>
  <c r="E289" i="12"/>
  <c r="C289" i="12"/>
  <c r="B289" i="12"/>
  <c r="F288" i="12"/>
  <c r="E288" i="12"/>
  <c r="C288" i="12"/>
  <c r="B288" i="12"/>
  <c r="F287" i="12"/>
  <c r="E287" i="12"/>
  <c r="C287" i="12"/>
  <c r="B287" i="12"/>
  <c r="F286" i="12"/>
  <c r="E286" i="12"/>
  <c r="C286" i="12"/>
  <c r="B286" i="12"/>
  <c r="F285" i="12"/>
  <c r="E285" i="12"/>
  <c r="C285" i="12"/>
  <c r="B285" i="12"/>
  <c r="F284" i="12"/>
  <c r="E284" i="12"/>
  <c r="C284" i="12"/>
  <c r="B284" i="12"/>
  <c r="F283" i="12"/>
  <c r="E283" i="12"/>
  <c r="C283" i="12"/>
  <c r="B283" i="12"/>
  <c r="F282" i="12"/>
  <c r="E282" i="12"/>
  <c r="C282" i="12"/>
  <c r="B282" i="12"/>
  <c r="F281" i="12"/>
  <c r="E281" i="12"/>
  <c r="C281" i="12"/>
  <c r="B281" i="12"/>
  <c r="F280" i="12"/>
  <c r="E280" i="12"/>
  <c r="C280" i="12"/>
  <c r="B280" i="12"/>
  <c r="F279" i="12"/>
  <c r="E279" i="12"/>
  <c r="C279" i="12"/>
  <c r="B279" i="12"/>
  <c r="F278" i="12"/>
  <c r="E278" i="12"/>
  <c r="C278" i="12"/>
  <c r="B278" i="12"/>
  <c r="F277" i="12"/>
  <c r="E277" i="12"/>
  <c r="C277" i="12"/>
  <c r="B277" i="12"/>
  <c r="F276" i="12"/>
  <c r="E276" i="12"/>
  <c r="C276" i="12"/>
  <c r="B276" i="12"/>
  <c r="F275" i="12"/>
  <c r="E275" i="12"/>
  <c r="C275" i="12"/>
  <c r="B275" i="12"/>
  <c r="F274" i="12"/>
  <c r="E274" i="12"/>
  <c r="C274" i="12"/>
  <c r="B274" i="12"/>
  <c r="F273" i="12"/>
  <c r="E273" i="12"/>
  <c r="C273" i="12"/>
  <c r="B273" i="12"/>
  <c r="F272" i="12"/>
  <c r="E272" i="12"/>
  <c r="C272" i="12"/>
  <c r="B272" i="12"/>
  <c r="F271" i="12"/>
  <c r="E271" i="12"/>
  <c r="C271" i="12"/>
  <c r="B271" i="12"/>
  <c r="F270" i="12"/>
  <c r="E270" i="12"/>
  <c r="C270" i="12"/>
  <c r="B270" i="12"/>
  <c r="F269" i="12"/>
  <c r="E269" i="12"/>
  <c r="C269" i="12"/>
  <c r="B269" i="12"/>
  <c r="F268" i="12"/>
  <c r="E268" i="12"/>
  <c r="C268" i="12"/>
  <c r="B268" i="12"/>
  <c r="F267" i="12"/>
  <c r="E267" i="12"/>
  <c r="C267" i="12"/>
  <c r="B267" i="12"/>
  <c r="F266" i="12"/>
  <c r="E266" i="12"/>
  <c r="C266" i="12"/>
  <c r="B266" i="12"/>
  <c r="F265" i="12"/>
  <c r="E265" i="12"/>
  <c r="C265" i="12"/>
  <c r="B265" i="12"/>
  <c r="F264" i="12"/>
  <c r="E264" i="12"/>
  <c r="C264" i="12"/>
  <c r="B264" i="12"/>
  <c r="F263" i="12"/>
  <c r="E263" i="12"/>
  <c r="C263" i="12"/>
  <c r="B263" i="12"/>
  <c r="F262" i="12"/>
  <c r="E262" i="12"/>
  <c r="C262" i="12"/>
  <c r="B262" i="12"/>
  <c r="F261" i="12"/>
  <c r="E261" i="12"/>
  <c r="C261" i="12"/>
  <c r="B261" i="12"/>
  <c r="F260" i="12"/>
  <c r="E260" i="12"/>
  <c r="C260" i="12"/>
  <c r="B260" i="12"/>
  <c r="F259" i="12"/>
  <c r="E259" i="12"/>
  <c r="C259" i="12"/>
  <c r="B259" i="12"/>
  <c r="F258" i="12"/>
  <c r="E258" i="12"/>
  <c r="C258" i="12"/>
  <c r="B258" i="12"/>
  <c r="F257" i="12"/>
  <c r="E257" i="12"/>
  <c r="C257" i="12"/>
  <c r="B257" i="12"/>
  <c r="F256" i="12"/>
  <c r="E256" i="12"/>
  <c r="C256" i="12"/>
  <c r="B256" i="12"/>
  <c r="F255" i="12"/>
  <c r="E255" i="12"/>
  <c r="C255" i="12"/>
  <c r="B255" i="12"/>
  <c r="F254" i="12"/>
  <c r="E254" i="12"/>
  <c r="C254" i="12"/>
  <c r="B254" i="12"/>
  <c r="F253" i="12"/>
  <c r="E253" i="12"/>
  <c r="C253" i="12"/>
  <c r="B253" i="12"/>
  <c r="F252" i="12"/>
  <c r="E252" i="12"/>
  <c r="C252" i="12"/>
  <c r="B252" i="12"/>
  <c r="F251" i="12"/>
  <c r="E251" i="12"/>
  <c r="C251" i="12"/>
  <c r="B251" i="12"/>
  <c r="F250" i="12"/>
  <c r="E250" i="12"/>
  <c r="C250" i="12"/>
  <c r="B250" i="12"/>
  <c r="F249" i="12"/>
  <c r="E249" i="12"/>
  <c r="C249" i="12"/>
  <c r="B249" i="12"/>
  <c r="F248" i="12"/>
  <c r="E248" i="12"/>
  <c r="C248" i="12"/>
  <c r="B248" i="12"/>
  <c r="F247" i="12"/>
  <c r="E247" i="12"/>
  <c r="C247" i="12"/>
  <c r="B247" i="12"/>
  <c r="F246" i="12"/>
  <c r="E246" i="12"/>
  <c r="C246" i="12"/>
  <c r="B246" i="12"/>
  <c r="F245" i="12"/>
  <c r="E245" i="12"/>
  <c r="C245" i="12"/>
  <c r="B245" i="12"/>
  <c r="F244" i="12"/>
  <c r="E244" i="12"/>
  <c r="C244" i="12"/>
  <c r="B244" i="12"/>
  <c r="F243" i="12"/>
  <c r="E243" i="12"/>
  <c r="C243" i="12"/>
  <c r="B243" i="12"/>
  <c r="F242" i="12"/>
  <c r="E242" i="12"/>
  <c r="C242" i="12"/>
  <c r="B242" i="12"/>
  <c r="F241" i="12"/>
  <c r="E241" i="12"/>
  <c r="C241" i="12"/>
  <c r="B241" i="12"/>
  <c r="F240" i="12"/>
  <c r="E240" i="12"/>
  <c r="C240" i="12"/>
  <c r="B240" i="12"/>
  <c r="F239" i="12"/>
  <c r="E239" i="12"/>
  <c r="C239" i="12"/>
  <c r="B239" i="12"/>
  <c r="F238" i="12"/>
  <c r="E238" i="12"/>
  <c r="C238" i="12"/>
  <c r="B238" i="12"/>
  <c r="F237" i="12"/>
  <c r="E237" i="12"/>
  <c r="C237" i="12"/>
  <c r="B237" i="12"/>
  <c r="F236" i="12"/>
  <c r="E236" i="12"/>
  <c r="C236" i="12"/>
  <c r="B236" i="12"/>
  <c r="F235" i="12"/>
  <c r="E235" i="12"/>
  <c r="C235" i="12"/>
  <c r="B235" i="12"/>
  <c r="F234" i="12"/>
  <c r="E234" i="12"/>
  <c r="C234" i="12"/>
  <c r="B234" i="12"/>
  <c r="F233" i="12"/>
  <c r="E233" i="12"/>
  <c r="C233" i="12"/>
  <c r="B233" i="12"/>
  <c r="F232" i="12"/>
  <c r="E232" i="12"/>
  <c r="C232" i="12"/>
  <c r="B232" i="12"/>
  <c r="F231" i="12"/>
  <c r="E231" i="12"/>
  <c r="C231" i="12"/>
  <c r="B231" i="12"/>
  <c r="F230" i="12"/>
  <c r="E230" i="12"/>
  <c r="C230" i="12"/>
  <c r="B230" i="12"/>
  <c r="F229" i="12"/>
  <c r="E229" i="12"/>
  <c r="C229" i="12"/>
  <c r="B229" i="12"/>
  <c r="F228" i="12"/>
  <c r="E228" i="12"/>
  <c r="C228" i="12"/>
  <c r="B228" i="12"/>
  <c r="F227" i="12"/>
  <c r="E227" i="12"/>
  <c r="C227" i="12"/>
  <c r="B227" i="12"/>
  <c r="F226" i="12"/>
  <c r="E226" i="12"/>
  <c r="C226" i="12"/>
  <c r="B226" i="12"/>
  <c r="F225" i="12"/>
  <c r="E225" i="12"/>
  <c r="C225" i="12"/>
  <c r="B225" i="12"/>
  <c r="F224" i="12"/>
  <c r="E224" i="12"/>
  <c r="C224" i="12"/>
  <c r="B224" i="12"/>
  <c r="F223" i="12"/>
  <c r="E223" i="12"/>
  <c r="C223" i="12"/>
  <c r="B223" i="12"/>
  <c r="F222" i="12"/>
  <c r="E222" i="12"/>
  <c r="C222" i="12"/>
  <c r="B222" i="12"/>
  <c r="F221" i="12"/>
  <c r="E221" i="12"/>
  <c r="C221" i="12"/>
  <c r="B221" i="12"/>
  <c r="F220" i="12"/>
  <c r="E220" i="12"/>
  <c r="C220" i="12"/>
  <c r="B220" i="12"/>
  <c r="F219" i="12"/>
  <c r="E219" i="12"/>
  <c r="C219" i="12"/>
  <c r="B219" i="12"/>
  <c r="F218" i="12"/>
  <c r="E218" i="12"/>
  <c r="C218" i="12"/>
  <c r="B218" i="12"/>
  <c r="F217" i="12"/>
  <c r="E217" i="12"/>
  <c r="C217" i="12"/>
  <c r="B217" i="12"/>
  <c r="F216" i="12"/>
  <c r="E216" i="12"/>
  <c r="C216" i="12"/>
  <c r="B216" i="12"/>
  <c r="F215" i="12"/>
  <c r="E215" i="12"/>
  <c r="C215" i="12"/>
  <c r="B215" i="12"/>
  <c r="F214" i="12"/>
  <c r="E214" i="12"/>
  <c r="C214" i="12"/>
  <c r="B214" i="12"/>
  <c r="F213" i="12"/>
  <c r="E213" i="12"/>
  <c r="C213" i="12"/>
  <c r="B213" i="12"/>
  <c r="F212" i="12"/>
  <c r="E212" i="12"/>
  <c r="C212" i="12"/>
  <c r="B212" i="12"/>
  <c r="F211" i="12"/>
  <c r="E211" i="12"/>
  <c r="C211" i="12"/>
  <c r="B211" i="12"/>
  <c r="F210" i="12"/>
  <c r="E210" i="12"/>
  <c r="C210" i="12"/>
  <c r="B210" i="12"/>
  <c r="F209" i="12"/>
  <c r="E209" i="12"/>
  <c r="C209" i="12"/>
  <c r="B209" i="12"/>
  <c r="F208" i="12"/>
  <c r="E208" i="12"/>
  <c r="C208" i="12"/>
  <c r="B208" i="12"/>
  <c r="F207" i="12"/>
  <c r="E207" i="12"/>
  <c r="C207" i="12"/>
  <c r="B207" i="12"/>
  <c r="F206" i="12"/>
  <c r="E206" i="12"/>
  <c r="C206" i="12"/>
  <c r="B206" i="12"/>
  <c r="F205" i="12"/>
  <c r="E205" i="12"/>
  <c r="C205" i="12"/>
  <c r="B205" i="12"/>
  <c r="F204" i="12"/>
  <c r="E204" i="12"/>
  <c r="C204" i="12"/>
  <c r="B204" i="12"/>
  <c r="F203" i="12"/>
  <c r="E203" i="12"/>
  <c r="C203" i="12"/>
  <c r="B203" i="12"/>
  <c r="F202" i="12"/>
  <c r="E202" i="12"/>
  <c r="C202" i="12"/>
  <c r="B202" i="12"/>
  <c r="F201" i="12"/>
  <c r="E201" i="12"/>
  <c r="C201" i="12"/>
  <c r="B201" i="12"/>
  <c r="F200" i="12"/>
  <c r="E200" i="12"/>
  <c r="C200" i="12"/>
  <c r="B200" i="12"/>
  <c r="F199" i="12"/>
  <c r="E199" i="12"/>
  <c r="C199" i="12"/>
  <c r="B199" i="12"/>
  <c r="F198" i="12"/>
  <c r="E198" i="12"/>
  <c r="C198" i="12"/>
  <c r="B198" i="12"/>
  <c r="F197" i="12"/>
  <c r="E197" i="12"/>
  <c r="C197" i="12"/>
  <c r="B197" i="12"/>
  <c r="F196" i="12"/>
  <c r="E196" i="12"/>
  <c r="C196" i="12"/>
  <c r="B196" i="12"/>
  <c r="F195" i="12"/>
  <c r="E195" i="12"/>
  <c r="C195" i="12"/>
  <c r="B195" i="12"/>
  <c r="F194" i="12"/>
  <c r="E194" i="12"/>
  <c r="C194" i="12"/>
  <c r="B194" i="12"/>
  <c r="F193" i="12"/>
  <c r="E193" i="12"/>
  <c r="C193" i="12"/>
  <c r="B193" i="12"/>
  <c r="F192" i="12"/>
  <c r="E192" i="12"/>
  <c r="C192" i="12"/>
  <c r="B192" i="12"/>
  <c r="F191" i="12"/>
  <c r="E191" i="12"/>
  <c r="C191" i="12"/>
  <c r="B191" i="12"/>
  <c r="F190" i="12"/>
  <c r="E190" i="12"/>
  <c r="C190" i="12"/>
  <c r="B190" i="12"/>
  <c r="F189" i="12"/>
  <c r="E189" i="12"/>
  <c r="C189" i="12"/>
  <c r="B189" i="12"/>
  <c r="F188" i="12"/>
  <c r="E188" i="12"/>
  <c r="C188" i="12"/>
  <c r="B188" i="12"/>
  <c r="F187" i="12"/>
  <c r="E187" i="12"/>
  <c r="C187" i="12"/>
  <c r="B187" i="12"/>
  <c r="F186" i="12"/>
  <c r="E186" i="12"/>
  <c r="C186" i="12"/>
  <c r="B186" i="12"/>
  <c r="F185" i="12"/>
  <c r="E185" i="12"/>
  <c r="C185" i="12"/>
  <c r="B185" i="12"/>
  <c r="F184" i="12"/>
  <c r="E184" i="12"/>
  <c r="C184" i="12"/>
  <c r="B184" i="12"/>
  <c r="F183" i="12"/>
  <c r="E183" i="12"/>
  <c r="C183" i="12"/>
  <c r="B183" i="12"/>
  <c r="F182" i="12"/>
  <c r="E182" i="12"/>
  <c r="C182" i="12"/>
  <c r="B182" i="12"/>
  <c r="F181" i="12"/>
  <c r="E181" i="12"/>
  <c r="C181" i="12"/>
  <c r="B181" i="12"/>
  <c r="F180" i="12"/>
  <c r="E180" i="12"/>
  <c r="C180" i="12"/>
  <c r="B180" i="12"/>
  <c r="F179" i="12"/>
  <c r="E179" i="12"/>
  <c r="C179" i="12"/>
  <c r="B179" i="12"/>
  <c r="F178" i="12"/>
  <c r="E178" i="12"/>
  <c r="C178" i="12"/>
  <c r="B178" i="12"/>
  <c r="F177" i="12"/>
  <c r="E177" i="12"/>
  <c r="C177" i="12"/>
  <c r="B177" i="12"/>
  <c r="F176" i="12"/>
  <c r="E176" i="12"/>
  <c r="C176" i="12"/>
  <c r="B176" i="12"/>
  <c r="F175" i="12"/>
  <c r="E175" i="12"/>
  <c r="C175" i="12"/>
  <c r="B175" i="12"/>
  <c r="F174" i="12"/>
  <c r="E174" i="12"/>
  <c r="C174" i="12"/>
  <c r="B174" i="12"/>
  <c r="F173" i="12"/>
  <c r="E173" i="12"/>
  <c r="C173" i="12"/>
  <c r="B173" i="12"/>
  <c r="F172" i="12"/>
  <c r="E172" i="12"/>
  <c r="C172" i="12"/>
  <c r="B172" i="12"/>
  <c r="F171" i="12"/>
  <c r="E171" i="12"/>
  <c r="C171" i="12"/>
  <c r="B171" i="12"/>
  <c r="F170" i="12"/>
  <c r="E170" i="12"/>
  <c r="C170" i="12"/>
  <c r="B170" i="12"/>
  <c r="F169" i="12"/>
  <c r="E169" i="12"/>
  <c r="C169" i="12"/>
  <c r="B169" i="12"/>
  <c r="F168" i="12"/>
  <c r="E168" i="12"/>
  <c r="C168" i="12"/>
  <c r="B168" i="12"/>
  <c r="F167" i="12"/>
  <c r="E167" i="12"/>
  <c r="C167" i="12"/>
  <c r="B167" i="12"/>
  <c r="F166" i="12"/>
  <c r="E166" i="12"/>
  <c r="C166" i="12"/>
  <c r="B166" i="12"/>
  <c r="F165" i="12"/>
  <c r="E165" i="12"/>
  <c r="C165" i="12"/>
  <c r="B165" i="12"/>
  <c r="F164" i="12"/>
  <c r="E164" i="12"/>
  <c r="C164" i="12"/>
  <c r="B164" i="12"/>
  <c r="F163" i="12"/>
  <c r="E163" i="12"/>
  <c r="C163" i="12"/>
  <c r="B163" i="12"/>
  <c r="F162" i="12"/>
  <c r="E162" i="12"/>
  <c r="C162" i="12"/>
  <c r="B162" i="12"/>
  <c r="F161" i="12"/>
  <c r="E161" i="12"/>
  <c r="C161" i="12"/>
  <c r="B161" i="12"/>
  <c r="F160" i="12"/>
  <c r="E160" i="12"/>
  <c r="C160" i="12"/>
  <c r="B160" i="12"/>
  <c r="F159" i="12"/>
  <c r="E159" i="12"/>
  <c r="C159" i="12"/>
  <c r="B159" i="12"/>
  <c r="F158" i="12"/>
  <c r="E158" i="12"/>
  <c r="C158" i="12"/>
  <c r="B158" i="12"/>
  <c r="F157" i="12"/>
  <c r="E157" i="12"/>
  <c r="C157" i="12"/>
  <c r="B157" i="12"/>
  <c r="F156" i="12"/>
  <c r="E156" i="12"/>
  <c r="C156" i="12"/>
  <c r="B156" i="12"/>
  <c r="F155" i="12"/>
  <c r="E155" i="12"/>
  <c r="C155" i="12"/>
  <c r="B155" i="12"/>
  <c r="F154" i="12"/>
  <c r="E154" i="12"/>
  <c r="C154" i="12"/>
  <c r="B154" i="12"/>
  <c r="F153" i="12"/>
  <c r="E153" i="12"/>
  <c r="C153" i="12"/>
  <c r="B153" i="12"/>
  <c r="F152" i="12"/>
  <c r="E152" i="12"/>
  <c r="C152" i="12"/>
  <c r="B152" i="12"/>
  <c r="F151" i="12"/>
  <c r="E151" i="12"/>
  <c r="C151" i="12"/>
  <c r="B151" i="12"/>
  <c r="F150" i="12"/>
  <c r="E150" i="12"/>
  <c r="C150" i="12"/>
  <c r="B150" i="12"/>
  <c r="F149" i="12"/>
  <c r="E149" i="12"/>
  <c r="C149" i="12"/>
  <c r="B149" i="12"/>
  <c r="F148" i="12"/>
  <c r="E148" i="12"/>
  <c r="C148" i="12"/>
  <c r="B148" i="12"/>
  <c r="F147" i="12"/>
  <c r="E147" i="12"/>
  <c r="C147" i="12"/>
  <c r="B147" i="12"/>
  <c r="F146" i="12"/>
  <c r="E146" i="12"/>
  <c r="C146" i="12"/>
  <c r="B146" i="12"/>
  <c r="F145" i="12"/>
  <c r="E145" i="12"/>
  <c r="C145" i="12"/>
  <c r="B145" i="12"/>
  <c r="F144" i="12"/>
  <c r="E144" i="12"/>
  <c r="C144" i="12"/>
  <c r="B144" i="12"/>
  <c r="F143" i="12"/>
  <c r="E143" i="12"/>
  <c r="C143" i="12"/>
  <c r="B143" i="12"/>
  <c r="F142" i="12"/>
  <c r="E142" i="12"/>
  <c r="C142" i="12"/>
  <c r="B142" i="12"/>
  <c r="F141" i="12"/>
  <c r="E141" i="12"/>
  <c r="C141" i="12"/>
  <c r="B141" i="12"/>
  <c r="F140" i="12"/>
  <c r="E140" i="12"/>
  <c r="C140" i="12"/>
  <c r="B140" i="12"/>
  <c r="F139" i="12"/>
  <c r="E139" i="12"/>
  <c r="C139" i="12"/>
  <c r="B139" i="12"/>
  <c r="F138" i="12"/>
  <c r="E138" i="12"/>
  <c r="C138" i="12"/>
  <c r="B138" i="12"/>
  <c r="F137" i="12"/>
  <c r="E137" i="12"/>
  <c r="C137" i="12"/>
  <c r="B137" i="12"/>
  <c r="F136" i="12"/>
  <c r="E136" i="12"/>
  <c r="C136" i="12"/>
  <c r="B136" i="12"/>
  <c r="F135" i="12"/>
  <c r="E135" i="12"/>
  <c r="C135" i="12"/>
  <c r="B135" i="12"/>
  <c r="F134" i="12"/>
  <c r="E134" i="12"/>
  <c r="C134" i="12"/>
  <c r="B134" i="12"/>
  <c r="F133" i="12"/>
  <c r="E133" i="12"/>
  <c r="C133" i="12"/>
  <c r="B133" i="12"/>
  <c r="F132" i="12"/>
  <c r="E132" i="12"/>
  <c r="C132" i="12"/>
  <c r="B132" i="12"/>
  <c r="F131" i="12"/>
  <c r="E131" i="12"/>
  <c r="C131" i="12"/>
  <c r="B131" i="12"/>
  <c r="F130" i="12"/>
  <c r="E130" i="12"/>
  <c r="C130" i="12"/>
  <c r="B130" i="12"/>
  <c r="F129" i="12"/>
  <c r="E129" i="12"/>
  <c r="C129" i="12"/>
  <c r="B129" i="12"/>
  <c r="F128" i="12"/>
  <c r="E128" i="12"/>
  <c r="C128" i="12"/>
  <c r="B128" i="12"/>
  <c r="F127" i="12"/>
  <c r="E127" i="12"/>
  <c r="C127" i="12"/>
  <c r="B127" i="12"/>
  <c r="F126" i="12"/>
  <c r="E126" i="12"/>
  <c r="C126" i="12"/>
  <c r="B126" i="12"/>
  <c r="F125" i="12"/>
  <c r="E125" i="12"/>
  <c r="C125" i="12"/>
  <c r="B125" i="12"/>
  <c r="F124" i="12"/>
  <c r="E124" i="12"/>
  <c r="C124" i="12"/>
  <c r="B124" i="12"/>
  <c r="F123" i="12"/>
  <c r="E123" i="12"/>
  <c r="C123" i="12"/>
  <c r="B123" i="12"/>
  <c r="F122" i="12"/>
  <c r="E122" i="12"/>
  <c r="C122" i="12"/>
  <c r="B122" i="12"/>
  <c r="F121" i="12"/>
  <c r="E121" i="12"/>
  <c r="C121" i="12"/>
  <c r="B121" i="12"/>
  <c r="F120" i="12"/>
  <c r="E120" i="12"/>
  <c r="C120" i="12"/>
  <c r="B120" i="12"/>
  <c r="F119" i="12"/>
  <c r="E119" i="12"/>
  <c r="C119" i="12"/>
  <c r="B119" i="12"/>
  <c r="F118" i="12"/>
  <c r="E118" i="12"/>
  <c r="C118" i="12"/>
  <c r="B118" i="12"/>
  <c r="F117" i="12"/>
  <c r="E117" i="12"/>
  <c r="C117" i="12"/>
  <c r="B117" i="12"/>
  <c r="F116" i="12"/>
  <c r="E116" i="12"/>
  <c r="C116" i="12"/>
  <c r="B116" i="12"/>
  <c r="F115" i="12"/>
  <c r="E115" i="12"/>
  <c r="C115" i="12"/>
  <c r="B115" i="12"/>
  <c r="F114" i="12"/>
  <c r="E114" i="12"/>
  <c r="C114" i="12"/>
  <c r="B114" i="12"/>
  <c r="F113" i="12"/>
  <c r="E113" i="12"/>
  <c r="C113" i="12"/>
  <c r="B113" i="12"/>
  <c r="F112" i="12"/>
  <c r="E112" i="12"/>
  <c r="C112" i="12"/>
  <c r="B112" i="12"/>
  <c r="F111" i="12"/>
  <c r="E111" i="12"/>
  <c r="C111" i="12"/>
  <c r="B111" i="12"/>
  <c r="F110" i="12"/>
  <c r="E110" i="12"/>
  <c r="C110" i="12"/>
  <c r="B110" i="12"/>
  <c r="F109" i="12"/>
  <c r="E109" i="12"/>
  <c r="C109" i="12"/>
  <c r="B109" i="12"/>
  <c r="F108" i="12"/>
  <c r="E108" i="12"/>
  <c r="C108" i="12"/>
  <c r="B108" i="12"/>
  <c r="F107" i="12"/>
  <c r="E107" i="12"/>
  <c r="C107" i="12"/>
  <c r="B107" i="12"/>
  <c r="F106" i="12"/>
  <c r="E106" i="12"/>
  <c r="C106" i="12"/>
  <c r="B106" i="12"/>
  <c r="F105" i="12"/>
  <c r="E105" i="12"/>
  <c r="C105" i="12"/>
  <c r="B105" i="12"/>
  <c r="F104" i="12"/>
  <c r="E104" i="12"/>
  <c r="C104" i="12"/>
  <c r="B104" i="12"/>
  <c r="F103" i="12"/>
  <c r="E103" i="12"/>
  <c r="C103" i="12"/>
  <c r="B103" i="12"/>
  <c r="F102" i="12"/>
  <c r="E102" i="12"/>
  <c r="C102" i="12"/>
  <c r="B102" i="12"/>
  <c r="F101" i="12"/>
  <c r="E101" i="12"/>
  <c r="C101" i="12"/>
  <c r="B101" i="12"/>
  <c r="F100" i="12"/>
  <c r="E100" i="12"/>
  <c r="C100" i="12"/>
  <c r="B100" i="12"/>
  <c r="F99" i="12"/>
  <c r="E99" i="12"/>
  <c r="C99" i="12"/>
  <c r="B99" i="12"/>
  <c r="F98" i="12"/>
  <c r="E98" i="12"/>
  <c r="C98" i="12"/>
  <c r="B98" i="12"/>
  <c r="F97" i="12"/>
  <c r="E97" i="12"/>
  <c r="C97" i="12"/>
  <c r="B97" i="12"/>
  <c r="F96" i="12"/>
  <c r="E96" i="12"/>
  <c r="C96" i="12"/>
  <c r="B96" i="12"/>
  <c r="F95" i="12"/>
  <c r="E95" i="12"/>
  <c r="C95" i="12"/>
  <c r="B95" i="12"/>
  <c r="F94" i="12"/>
  <c r="E94" i="12"/>
  <c r="C94" i="12"/>
  <c r="B94" i="12"/>
  <c r="F93" i="12"/>
  <c r="E93" i="12"/>
  <c r="C93" i="12"/>
  <c r="B93" i="12"/>
  <c r="F92" i="12"/>
  <c r="E92" i="12"/>
  <c r="C92" i="12"/>
  <c r="B92" i="12"/>
  <c r="F91" i="12"/>
  <c r="E91" i="12"/>
  <c r="C91" i="12"/>
  <c r="B91" i="12"/>
  <c r="F90" i="12"/>
  <c r="E90" i="12"/>
  <c r="C90" i="12"/>
  <c r="B90" i="12"/>
  <c r="F89" i="12"/>
  <c r="E89" i="12"/>
  <c r="C89" i="12"/>
  <c r="B89" i="12"/>
  <c r="F88" i="12"/>
  <c r="E88" i="12"/>
  <c r="C88" i="12"/>
  <c r="B88" i="12"/>
  <c r="F87" i="12"/>
  <c r="E87" i="12"/>
  <c r="C87" i="12"/>
  <c r="B87" i="12"/>
  <c r="F86" i="12"/>
  <c r="E86" i="12"/>
  <c r="C86" i="12"/>
  <c r="B86" i="12"/>
  <c r="F85" i="12"/>
  <c r="E85" i="12"/>
  <c r="C85" i="12"/>
  <c r="B85" i="12"/>
  <c r="F84" i="12"/>
  <c r="E84" i="12"/>
  <c r="C84" i="12"/>
  <c r="B84" i="12"/>
  <c r="F83" i="12"/>
  <c r="E83" i="12"/>
  <c r="C83" i="12"/>
  <c r="B83" i="12"/>
  <c r="F82" i="12"/>
  <c r="E82" i="12"/>
  <c r="C82" i="12"/>
  <c r="B82" i="12"/>
  <c r="F81" i="12"/>
  <c r="E81" i="12"/>
  <c r="C81" i="12"/>
  <c r="B81" i="12"/>
  <c r="F80" i="12"/>
  <c r="E80" i="12"/>
  <c r="C80" i="12"/>
  <c r="B80" i="12"/>
  <c r="F79" i="12"/>
  <c r="E79" i="12"/>
  <c r="C79" i="12"/>
  <c r="B79" i="12"/>
  <c r="F78" i="12"/>
  <c r="E78" i="12"/>
  <c r="C78" i="12"/>
  <c r="B78" i="12"/>
  <c r="F77" i="12"/>
  <c r="E77" i="12"/>
  <c r="C77" i="12"/>
  <c r="B77" i="12"/>
  <c r="F76" i="12"/>
  <c r="E76" i="12"/>
  <c r="C76" i="12"/>
  <c r="B76" i="12"/>
  <c r="F75" i="12"/>
  <c r="E75" i="12"/>
  <c r="C75" i="12"/>
  <c r="B75" i="12"/>
  <c r="F74" i="12"/>
  <c r="E74" i="12"/>
  <c r="C74" i="12"/>
  <c r="B74" i="12"/>
  <c r="F73" i="12"/>
  <c r="E73" i="12"/>
  <c r="C73" i="12"/>
  <c r="B73" i="12"/>
  <c r="F72" i="12"/>
  <c r="E72" i="12"/>
  <c r="C72" i="12"/>
  <c r="B72" i="12"/>
  <c r="F71" i="12"/>
  <c r="E71" i="12"/>
  <c r="C71" i="12"/>
  <c r="B71" i="12"/>
  <c r="F70" i="12"/>
  <c r="E70" i="12"/>
  <c r="C70" i="12"/>
  <c r="B70" i="12"/>
  <c r="F69" i="12"/>
  <c r="E69" i="12"/>
  <c r="C69" i="12"/>
  <c r="B69" i="12"/>
  <c r="F68" i="12"/>
  <c r="E68" i="12"/>
  <c r="C68" i="12"/>
  <c r="B68" i="12"/>
  <c r="F67" i="12"/>
  <c r="E67" i="12"/>
  <c r="C67" i="12"/>
  <c r="B67" i="12"/>
  <c r="F66" i="12"/>
  <c r="E66" i="12"/>
  <c r="C66" i="12"/>
  <c r="B66" i="12"/>
  <c r="F65" i="12"/>
  <c r="E65" i="12"/>
  <c r="C65" i="12"/>
  <c r="B65" i="12"/>
  <c r="F64" i="12"/>
  <c r="E64" i="12"/>
  <c r="C64" i="12"/>
  <c r="B64" i="12"/>
  <c r="F63" i="12"/>
  <c r="E63" i="12"/>
  <c r="C63" i="12"/>
  <c r="B63" i="12"/>
  <c r="F62" i="12"/>
  <c r="E62" i="12"/>
  <c r="C62" i="12"/>
  <c r="B62" i="12"/>
  <c r="F61" i="12"/>
  <c r="E61" i="12"/>
  <c r="C61" i="12"/>
  <c r="B61" i="12"/>
  <c r="F60" i="12"/>
  <c r="E60" i="12"/>
  <c r="C60" i="12"/>
  <c r="B60" i="12"/>
  <c r="F59" i="12"/>
  <c r="E59" i="12"/>
  <c r="C59" i="12"/>
  <c r="B59" i="12"/>
  <c r="F58" i="12"/>
  <c r="E58" i="12"/>
  <c r="C58" i="12"/>
  <c r="B58" i="12"/>
  <c r="F57" i="12"/>
  <c r="E57" i="12"/>
  <c r="C57" i="12"/>
  <c r="B57" i="12"/>
  <c r="F56" i="12"/>
  <c r="E56" i="12"/>
  <c r="C56" i="12"/>
  <c r="B56" i="12"/>
  <c r="F55" i="12"/>
  <c r="E55" i="12"/>
  <c r="C55" i="12"/>
  <c r="B55" i="12"/>
  <c r="F54" i="12"/>
  <c r="E54" i="12"/>
  <c r="C54" i="12"/>
  <c r="B54" i="12"/>
  <c r="F53" i="12"/>
  <c r="E53" i="12"/>
  <c r="C53" i="12"/>
  <c r="B53" i="12"/>
  <c r="F52" i="12"/>
  <c r="E52" i="12"/>
  <c r="C52" i="12"/>
  <c r="B52" i="12"/>
  <c r="F51" i="12"/>
  <c r="E51" i="12"/>
  <c r="C51" i="12"/>
  <c r="B51" i="12"/>
  <c r="F50" i="12"/>
  <c r="E50" i="12"/>
  <c r="C50" i="12"/>
  <c r="B50" i="12"/>
  <c r="F49" i="12"/>
  <c r="E49" i="12"/>
  <c r="C49" i="12"/>
  <c r="B49" i="12"/>
  <c r="F48" i="12"/>
  <c r="E48" i="12"/>
  <c r="C48" i="12"/>
  <c r="B48" i="12"/>
  <c r="F47" i="12"/>
  <c r="E47" i="12"/>
  <c r="C47" i="12"/>
  <c r="B47" i="12"/>
  <c r="F46" i="12"/>
  <c r="E46" i="12"/>
  <c r="C46" i="12"/>
  <c r="B46" i="12"/>
  <c r="F45" i="12"/>
  <c r="E45" i="12"/>
  <c r="C45" i="12"/>
  <c r="B45" i="12"/>
  <c r="F44" i="12"/>
  <c r="E44" i="12"/>
  <c r="C44" i="12"/>
  <c r="B44" i="12"/>
  <c r="F43" i="12"/>
  <c r="E43" i="12"/>
  <c r="C43" i="12"/>
  <c r="B43" i="12"/>
  <c r="F42" i="12"/>
  <c r="E42" i="12"/>
  <c r="C42" i="12"/>
  <c r="B42" i="12"/>
  <c r="F41" i="12"/>
  <c r="E41" i="12"/>
  <c r="C41" i="12"/>
  <c r="B41" i="12"/>
  <c r="F40" i="12"/>
  <c r="E40" i="12"/>
  <c r="C40" i="12"/>
  <c r="B40" i="12"/>
  <c r="F39" i="12"/>
  <c r="E39" i="12"/>
  <c r="C39" i="12"/>
  <c r="B39" i="12"/>
  <c r="F38" i="12"/>
  <c r="E38" i="12"/>
  <c r="C38" i="12"/>
  <c r="B38" i="12"/>
  <c r="F37" i="12"/>
  <c r="E37" i="12"/>
  <c r="C37" i="12"/>
  <c r="B37" i="12"/>
  <c r="F36" i="12"/>
  <c r="E36" i="12"/>
  <c r="C36" i="12"/>
  <c r="B36" i="12"/>
  <c r="F35" i="12"/>
  <c r="E35" i="12"/>
  <c r="C35" i="12"/>
  <c r="B35" i="12"/>
  <c r="F34" i="12"/>
  <c r="E34" i="12"/>
  <c r="C34" i="12"/>
  <c r="B34" i="12"/>
  <c r="F33" i="12"/>
  <c r="E33" i="12"/>
  <c r="C33" i="12"/>
  <c r="B33" i="12"/>
  <c r="F32" i="12"/>
  <c r="E32" i="12"/>
  <c r="C32" i="12"/>
  <c r="B32" i="12"/>
  <c r="F31" i="12"/>
  <c r="E31" i="12"/>
  <c r="C31" i="12"/>
  <c r="B31" i="12"/>
  <c r="F30" i="12"/>
  <c r="E30" i="12"/>
  <c r="C30" i="12"/>
  <c r="B30" i="12"/>
  <c r="F29" i="12"/>
  <c r="E29" i="12"/>
  <c r="C29" i="12"/>
  <c r="B29" i="12"/>
  <c r="F28" i="12"/>
  <c r="E28" i="12"/>
  <c r="C28" i="12"/>
  <c r="B28" i="12"/>
  <c r="F27" i="12"/>
  <c r="E27" i="12"/>
  <c r="C27" i="12"/>
  <c r="B27" i="12"/>
  <c r="F26" i="12"/>
  <c r="E26" i="12"/>
  <c r="C26" i="12"/>
  <c r="B26" i="12"/>
  <c r="F25" i="12"/>
  <c r="E25" i="12"/>
  <c r="C25" i="12"/>
  <c r="B25" i="12"/>
  <c r="F24" i="12"/>
  <c r="E24" i="12"/>
  <c r="C24" i="12"/>
  <c r="B24" i="12"/>
  <c r="F23" i="12"/>
  <c r="E23" i="12"/>
  <c r="C23" i="12"/>
  <c r="B23" i="12"/>
  <c r="F22" i="12"/>
  <c r="E22" i="12"/>
  <c r="C22" i="12"/>
  <c r="B22" i="12"/>
  <c r="F21" i="12"/>
  <c r="E21" i="12"/>
  <c r="C21" i="12"/>
  <c r="B21" i="12"/>
  <c r="F20" i="12"/>
  <c r="E20" i="12"/>
  <c r="C20" i="12"/>
  <c r="B20" i="12"/>
  <c r="F19" i="12"/>
  <c r="E19" i="12"/>
  <c r="C19" i="12"/>
  <c r="B19" i="12"/>
  <c r="F18" i="12"/>
  <c r="E18" i="12"/>
  <c r="C18" i="12"/>
  <c r="B18" i="12"/>
  <c r="F17" i="12"/>
  <c r="E17" i="12"/>
  <c r="C17" i="12"/>
  <c r="B17" i="12"/>
  <c r="F16" i="12"/>
  <c r="E16" i="12"/>
  <c r="C16" i="12"/>
  <c r="B16" i="12"/>
  <c r="F15" i="12"/>
  <c r="E15" i="12"/>
  <c r="C15" i="12"/>
  <c r="B15" i="12"/>
  <c r="F14" i="12"/>
  <c r="E14" i="12"/>
  <c r="C14" i="12"/>
  <c r="B14" i="12"/>
  <c r="F13" i="12"/>
  <c r="E13" i="12"/>
  <c r="C13" i="12"/>
  <c r="B13" i="12"/>
  <c r="F12" i="12"/>
  <c r="E12" i="12"/>
  <c r="C12" i="12"/>
  <c r="B12" i="12"/>
  <c r="F11" i="12"/>
  <c r="E11" i="12"/>
  <c r="C11" i="12"/>
  <c r="B11" i="12"/>
  <c r="F10" i="12"/>
  <c r="E10" i="12"/>
  <c r="C10" i="12"/>
  <c r="B10" i="12"/>
  <c r="F9" i="12"/>
  <c r="E9" i="12"/>
  <c r="C9" i="12"/>
  <c r="B9" i="12"/>
  <c r="F8" i="12"/>
  <c r="E8" i="12"/>
  <c r="C8" i="12"/>
  <c r="B8" i="12"/>
  <c r="F7" i="12"/>
  <c r="E7" i="12"/>
  <c r="C7" i="12"/>
  <c r="B7" i="12"/>
  <c r="F6" i="12"/>
  <c r="E6" i="12"/>
  <c r="C6" i="12"/>
  <c r="B6" i="12"/>
  <c r="F5" i="12"/>
  <c r="E5" i="12"/>
  <c r="C5" i="12"/>
  <c r="B5" i="12"/>
  <c r="F4" i="12"/>
  <c r="E4" i="12"/>
  <c r="C4" i="12"/>
  <c r="B4" i="12"/>
  <c r="F3" i="12"/>
  <c r="E3" i="12"/>
  <c r="C3" i="12"/>
  <c r="B3" i="12"/>
  <c r="F2" i="12"/>
  <c r="E2" i="12"/>
  <c r="C2" i="12"/>
  <c r="B2" i="12"/>
  <c r="P411" i="8"/>
  <c r="Q411" i="8" s="1"/>
  <c r="P410" i="8"/>
  <c r="Q410" i="8" s="1"/>
  <c r="P409" i="8"/>
  <c r="Q409" i="8" s="1"/>
  <c r="P408" i="8"/>
  <c r="Q408" i="8" s="1"/>
  <c r="P407" i="8"/>
  <c r="Q407" i="8" s="1"/>
  <c r="P406" i="8"/>
  <c r="Q406" i="8" s="1"/>
  <c r="P405" i="8"/>
  <c r="Q405" i="8" s="1"/>
  <c r="P404" i="8"/>
  <c r="Q404" i="8" s="1"/>
  <c r="P403" i="8"/>
  <c r="Q403" i="8" s="1"/>
  <c r="P402" i="8"/>
  <c r="Q402" i="8" s="1"/>
  <c r="P401" i="8"/>
  <c r="Q401" i="8" s="1"/>
  <c r="P400" i="8"/>
  <c r="Q400" i="8" s="1"/>
  <c r="P399" i="8"/>
  <c r="Q399" i="8" s="1"/>
  <c r="P398" i="8"/>
  <c r="Q398" i="8" s="1"/>
  <c r="P397" i="8"/>
  <c r="Q397" i="8" s="1"/>
  <c r="P396" i="8"/>
  <c r="Q396" i="8" s="1"/>
  <c r="P395" i="8"/>
  <c r="Q395" i="8" s="1"/>
  <c r="P394" i="8"/>
  <c r="Q394" i="8" s="1"/>
  <c r="P393" i="8"/>
  <c r="Q393" i="8" s="1"/>
  <c r="P392" i="8"/>
  <c r="Q392" i="8" s="1"/>
  <c r="P391" i="8"/>
  <c r="Q391" i="8" s="1"/>
  <c r="P390" i="8"/>
  <c r="Q390" i="8" s="1"/>
  <c r="P389" i="8"/>
  <c r="Q389" i="8" s="1"/>
  <c r="P388" i="8"/>
  <c r="Q388" i="8" s="1"/>
  <c r="P387" i="8"/>
  <c r="Q387" i="8" s="1"/>
  <c r="P386" i="8"/>
  <c r="Q386" i="8" s="1"/>
  <c r="P385" i="8"/>
  <c r="Q385" i="8" s="1"/>
  <c r="P384" i="8"/>
  <c r="Q384" i="8" s="1"/>
  <c r="P383" i="8"/>
  <c r="Q383" i="8" s="1"/>
  <c r="P382" i="8"/>
  <c r="Q382" i="8" s="1"/>
  <c r="P381" i="8"/>
  <c r="Q381" i="8" s="1"/>
  <c r="P380" i="8"/>
  <c r="Q380" i="8" s="1"/>
  <c r="P379" i="8"/>
  <c r="Q379" i="8" s="1"/>
  <c r="P378" i="8"/>
  <c r="Q378" i="8" s="1"/>
  <c r="P377" i="8"/>
  <c r="Q377" i="8" s="1"/>
  <c r="P376" i="8"/>
  <c r="Q376" i="8" s="1"/>
  <c r="P375" i="8"/>
  <c r="Q375" i="8" s="1"/>
  <c r="P374" i="8"/>
  <c r="Q374" i="8" s="1"/>
  <c r="P373" i="8"/>
  <c r="Q373" i="8" s="1"/>
  <c r="P372" i="8"/>
  <c r="Q372" i="8" s="1"/>
  <c r="P371" i="8"/>
  <c r="Q371" i="8" s="1"/>
  <c r="P370" i="8"/>
  <c r="Q370" i="8" s="1"/>
  <c r="P369" i="8"/>
  <c r="Q369" i="8" s="1"/>
  <c r="P368" i="8"/>
  <c r="Q368" i="8" s="1"/>
  <c r="P367" i="8"/>
  <c r="Q367" i="8" s="1"/>
  <c r="P366" i="8"/>
  <c r="Q366" i="8" s="1"/>
  <c r="P365" i="8"/>
  <c r="Q365" i="8" s="1"/>
  <c r="P364" i="8"/>
  <c r="Q364" i="8" s="1"/>
  <c r="P363" i="8"/>
  <c r="Q363" i="8" s="1"/>
  <c r="P362" i="8"/>
  <c r="Q362" i="8" s="1"/>
  <c r="P361" i="8"/>
  <c r="Q361" i="8" s="1"/>
  <c r="P360" i="8"/>
  <c r="Q360" i="8" s="1"/>
  <c r="P359" i="8"/>
  <c r="Q359" i="8" s="1"/>
  <c r="P358" i="8"/>
  <c r="Q358" i="8" s="1"/>
  <c r="P357" i="8"/>
  <c r="Q357" i="8" s="1"/>
  <c r="P356" i="8"/>
  <c r="Q356" i="8" s="1"/>
  <c r="P355" i="8"/>
  <c r="Q355" i="8" s="1"/>
  <c r="P354" i="8"/>
  <c r="Q354" i="8" s="1"/>
  <c r="P353" i="8"/>
  <c r="Q353" i="8" s="1"/>
  <c r="P352" i="8"/>
  <c r="Q352" i="8" s="1"/>
  <c r="P351" i="8"/>
  <c r="Q351" i="8" s="1"/>
  <c r="P350" i="8"/>
  <c r="Q350" i="8" s="1"/>
  <c r="P349" i="8"/>
  <c r="Q349" i="8" s="1"/>
  <c r="P348" i="8"/>
  <c r="Q348" i="8" s="1"/>
  <c r="P347" i="8"/>
  <c r="Q347" i="8" s="1"/>
  <c r="P346" i="8"/>
  <c r="Q346" i="8" s="1"/>
  <c r="U6" i="11"/>
  <c r="T6" i="11"/>
  <c r="S6" i="11"/>
  <c r="R6" i="11"/>
  <c r="U5" i="11"/>
  <c r="T5" i="11"/>
  <c r="S5" i="11"/>
  <c r="R5" i="11"/>
  <c r="U4" i="11"/>
  <c r="T4" i="11"/>
  <c r="S4" i="11"/>
  <c r="R4" i="11"/>
  <c r="Q25" i="16"/>
  <c r="R25" i="16" s="1"/>
  <c r="O25" i="16"/>
  <c r="P25" i="16" s="1"/>
  <c r="I25" i="16"/>
  <c r="C25" i="16"/>
  <c r="Q21" i="16"/>
  <c r="R21" i="16" s="1"/>
  <c r="O21" i="16"/>
  <c r="P21" i="16" s="1"/>
  <c r="I21" i="16"/>
  <c r="C21" i="16"/>
  <c r="Q20" i="16"/>
  <c r="R20" i="16" s="1"/>
  <c r="O20" i="16"/>
  <c r="P20" i="16" s="1"/>
  <c r="I20" i="16"/>
  <c r="C20" i="16"/>
  <c r="Q19" i="16"/>
  <c r="R19" i="16" s="1"/>
  <c r="O19" i="16"/>
  <c r="P19" i="16" s="1"/>
  <c r="I19" i="16"/>
  <c r="C19" i="16"/>
  <c r="D19" i="16" s="1"/>
  <c r="Q18" i="16"/>
  <c r="R18" i="16" s="1"/>
  <c r="O18" i="16"/>
  <c r="P18" i="16" s="1"/>
  <c r="I18" i="16"/>
  <c r="C18" i="16"/>
  <c r="Q17" i="16"/>
  <c r="R17" i="16" s="1"/>
  <c r="O17" i="16"/>
  <c r="P17" i="16" s="1"/>
  <c r="I17" i="16"/>
  <c r="C17" i="16"/>
  <c r="D17" i="16" s="1"/>
  <c r="L17" i="16" l="1"/>
  <c r="J18" i="16"/>
  <c r="J19" i="16"/>
  <c r="J20" i="16"/>
  <c r="J21" i="16"/>
  <c r="J25" i="16"/>
  <c r="D21" i="16"/>
  <c r="F21" i="16"/>
  <c r="L25" i="16"/>
  <c r="F19" i="16"/>
  <c r="F17" i="16"/>
  <c r="L18" i="16"/>
  <c r="L20" i="16"/>
  <c r="E17" i="16"/>
  <c r="F18" i="16"/>
  <c r="K18" i="16"/>
  <c r="E19" i="16"/>
  <c r="D20" i="16"/>
  <c r="K20" i="16"/>
  <c r="E21" i="16"/>
  <c r="D25" i="16"/>
  <c r="K25" i="16"/>
  <c r="M17" i="16"/>
  <c r="N17" i="16" s="1"/>
  <c r="G18" i="16"/>
  <c r="H18" i="16" s="1"/>
  <c r="G17" i="16"/>
  <c r="H17" i="16" s="1"/>
  <c r="K17" i="16"/>
  <c r="E20" i="16"/>
  <c r="M20" i="16"/>
  <c r="N20" i="16" s="1"/>
  <c r="E25" i="16"/>
  <c r="M25" i="16"/>
  <c r="N25" i="16" s="1"/>
  <c r="M21" i="16"/>
  <c r="G25" i="16"/>
  <c r="J17" i="16"/>
  <c r="D18" i="16"/>
  <c r="E18" i="16"/>
  <c r="M18" i="16"/>
  <c r="N18" i="16" s="1"/>
  <c r="G19" i="16"/>
  <c r="K19" i="16"/>
  <c r="G21" i="16"/>
  <c r="K21" i="16"/>
  <c r="L19" i="16"/>
  <c r="F20" i="16"/>
  <c r="L21" i="16"/>
  <c r="N21" i="16" s="1"/>
  <c r="F25" i="16"/>
  <c r="H25" i="16" s="1"/>
  <c r="M19" i="16"/>
  <c r="G20" i="16"/>
  <c r="H21" i="16" l="1"/>
  <c r="H19" i="16"/>
  <c r="H20" i="16"/>
  <c r="N19" i="16"/>
</calcChain>
</file>

<file path=xl/sharedStrings.xml><?xml version="1.0" encoding="utf-8"?>
<sst xmlns="http://schemas.openxmlformats.org/spreadsheetml/2006/main" count="62008" uniqueCount="4635">
  <si>
    <t>CASE ID</t>
  </si>
  <si>
    <t>CREATED BY AGENT NAME</t>
  </si>
  <si>
    <t>CHANGED BY AGENT NAME</t>
  </si>
  <si>
    <t>FCR SISTEMICO</t>
  </si>
  <si>
    <t>SUPERVISOR</t>
  </si>
  <si>
    <t>CALL BACK CONTATO 1</t>
  </si>
  <si>
    <t>CALL BACK CONTATO 2</t>
  </si>
  <si>
    <t>CALL BACK CONTATO 3</t>
  </si>
  <si>
    <t>caroline anunes</t>
  </si>
  <si>
    <t>Jefte Soares Da Silva</t>
  </si>
  <si>
    <t>Ivanildo Junior</t>
  </si>
  <si>
    <t>luiz sferreira</t>
  </si>
  <si>
    <t>vinicius marques</t>
  </si>
  <si>
    <t>Matheus Cardoso</t>
  </si>
  <si>
    <t>Edilson Souza</t>
  </si>
  <si>
    <t>Wendrey Lara</t>
  </si>
  <si>
    <t>Zaelly Costa</t>
  </si>
  <si>
    <t>Luciana Pereira1</t>
  </si>
  <si>
    <t>Jesse Martins</t>
  </si>
  <si>
    <t>Jonatas Tenorio</t>
  </si>
  <si>
    <t>Lais Pereira</t>
  </si>
  <si>
    <t>Tiago Ferreirasilva</t>
  </si>
  <si>
    <t>Adelson Moreira</t>
  </si>
  <si>
    <t>Vinicius Loula De Sousa</t>
  </si>
  <si>
    <t>jose ljunior</t>
  </si>
  <si>
    <t>Bruno Romualdo</t>
  </si>
  <si>
    <t>Janio Custodio</t>
  </si>
  <si>
    <t>leandro fbatista</t>
  </si>
  <si>
    <t>denyse asantos</t>
  </si>
  <si>
    <t>Thiago Maciel</t>
  </si>
  <si>
    <t>Victor Adcarmo</t>
  </si>
  <si>
    <t>Reginaldo Santana De Souza</t>
  </si>
  <si>
    <t>joao yasuda</t>
  </si>
  <si>
    <t>Taina Pires</t>
  </si>
  <si>
    <t>daniel doliveira</t>
  </si>
  <si>
    <t>Rafael Dsantos01</t>
  </si>
  <si>
    <t>daniel spinheiro1</t>
  </si>
  <si>
    <t>felipe fernandes</t>
  </si>
  <si>
    <t>Fernando Almeida</t>
  </si>
  <si>
    <t>Marcelo Dos Santos Mesquita Melo</t>
  </si>
  <si>
    <t>Renato Andrade</t>
  </si>
  <si>
    <t>jean carrara</t>
  </si>
  <si>
    <t>wellington soliveira</t>
  </si>
  <si>
    <t>marcelo melo</t>
  </si>
  <si>
    <t>Clarina Alfredo</t>
  </si>
  <si>
    <t>Kaio Fernandes</t>
  </si>
  <si>
    <t>mariana testevao</t>
  </si>
  <si>
    <t>vanderlei valentim</t>
  </si>
  <si>
    <t>TIPO DE CONTATO</t>
  </si>
  <si>
    <t>jonas batista</t>
  </si>
  <si>
    <t>PATRICK APARECIDO ARBOS DA SILVA</t>
  </si>
  <si>
    <t>Diego Guimaraes Rosa</t>
  </si>
  <si>
    <t>Priscila Mariana Da Silva</t>
  </si>
  <si>
    <t>rebert souza</t>
  </si>
  <si>
    <t>Yuri Laranjeira</t>
  </si>
  <si>
    <t>odonilton moura</t>
  </si>
  <si>
    <t>p0648935</t>
  </si>
  <si>
    <t>Matheus Cardoso Silva</t>
  </si>
  <si>
    <t>7T</t>
  </si>
  <si>
    <t>Responder pesquisa</t>
  </si>
  <si>
    <t>Nota 9/10</t>
  </si>
  <si>
    <t>Cliente satisfeito</t>
  </si>
  <si>
    <t>IPG</t>
  </si>
  <si>
    <t>p4514679</t>
  </si>
  <si>
    <t>Mauricio Guimaraes Renesto</t>
  </si>
  <si>
    <t>TCO</t>
  </si>
  <si>
    <t>Complaint / ECR</t>
  </si>
  <si>
    <t>p4460230</t>
  </si>
  <si>
    <t>Vinicius Marques Ferreira Silva</t>
  </si>
  <si>
    <t>2N</t>
  </si>
  <si>
    <t>Não responder pesquisa</t>
  </si>
  <si>
    <t>Caso não resolvido / Equipamento em reparo</t>
  </si>
  <si>
    <t>Vai retornar no suporte</t>
  </si>
  <si>
    <t>p1045411</t>
  </si>
  <si>
    <t>Jesse Prates Martins</t>
  </si>
  <si>
    <t>Cliente insatisfeito HP / Equipamento</t>
  </si>
  <si>
    <t>Insatisfeito com a HP</t>
  </si>
  <si>
    <t>p3746576</t>
  </si>
  <si>
    <t>Wendrey Schumaher Lara</t>
  </si>
  <si>
    <t>5M</t>
  </si>
  <si>
    <t>p4759646</t>
  </si>
  <si>
    <t>Caroline Amparo Nunes</t>
  </si>
  <si>
    <t>p5907259</t>
  </si>
  <si>
    <t>Jonatas Gomes Tenorio</t>
  </si>
  <si>
    <t>Sem contato</t>
  </si>
  <si>
    <t>Sem contato (Só chama, Cx postal, Ocupado)</t>
  </si>
  <si>
    <t>Tel 1 e 2 cx postal</t>
  </si>
  <si>
    <t>p1643405</t>
  </si>
  <si>
    <t>Luiz Fernando dos Santos Ferreira</t>
  </si>
  <si>
    <t>p2789154</t>
  </si>
  <si>
    <t>Ivanildo Cavalcante De Souza Junior</t>
  </si>
  <si>
    <t>9G</t>
  </si>
  <si>
    <t>PSG</t>
  </si>
  <si>
    <t>KV</t>
  </si>
  <si>
    <t>p6568265</t>
  </si>
  <si>
    <t>Henrique Eulalio De Sousa</t>
  </si>
  <si>
    <t>Fernando Quintino Tavares</t>
  </si>
  <si>
    <t>4H</t>
  </si>
  <si>
    <t>2Q</t>
  </si>
  <si>
    <t>DU</t>
  </si>
  <si>
    <t>6J</t>
  </si>
  <si>
    <t>p3677883</t>
  </si>
  <si>
    <t>Lais Silva Pereira</t>
  </si>
  <si>
    <t>p0152626</t>
  </si>
  <si>
    <t>Anderson Soares Silveira</t>
  </si>
  <si>
    <t>Apenas um tel cx postal</t>
  </si>
  <si>
    <t>Wesley Bertoldo Teixeira</t>
  </si>
  <si>
    <t>p4239658</t>
  </si>
  <si>
    <t>Luciana Souza Pereira</t>
  </si>
  <si>
    <t>p5776112</t>
  </si>
  <si>
    <t>Paul Ever Honores Maida</t>
  </si>
  <si>
    <t>p2728681</t>
  </si>
  <si>
    <t>Zaelly Suerfia Ferreira da Costa</t>
  </si>
  <si>
    <t>p2108790</t>
  </si>
  <si>
    <t>Daniel Dantas De Oliveira</t>
  </si>
  <si>
    <t>p1152966</t>
  </si>
  <si>
    <t>Tiago Ferreira da Silva</t>
  </si>
  <si>
    <t>p0944884</t>
  </si>
  <si>
    <t>Wesley do Nascimento Albuquerque da S</t>
  </si>
  <si>
    <t>p3390194</t>
  </si>
  <si>
    <t xml:space="preserve">Leandro Ferreira Batista </t>
  </si>
  <si>
    <t>Ariel De Sousa Moura</t>
  </si>
  <si>
    <t>Andre Luis Batista De Abreu</t>
  </si>
  <si>
    <t>Nota 10 | Nota 10</t>
  </si>
  <si>
    <t>p0094489</t>
  </si>
  <si>
    <t>Renato Miranda Dos Santos</t>
  </si>
  <si>
    <t>Jose Ricardo Torres Junior</t>
  </si>
  <si>
    <t>Daniela Andrade Silva</t>
  </si>
  <si>
    <t>Caio Pires da Luz</t>
  </si>
  <si>
    <t>p3266513</t>
  </si>
  <si>
    <t>Thiago Maciel Lima</t>
  </si>
  <si>
    <t>p2424066</t>
  </si>
  <si>
    <t>Douglas Fonseca Da Silva</t>
  </si>
  <si>
    <t>p2781169</t>
  </si>
  <si>
    <t>Edilson Nunes De Souza</t>
  </si>
  <si>
    <t>p4359210</t>
  </si>
  <si>
    <t>Bruno Romualdo Dos Santos</t>
  </si>
  <si>
    <t>p5364269</t>
  </si>
  <si>
    <t>Odonilton Firmino de Moura</t>
  </si>
  <si>
    <t>p5956452</t>
  </si>
  <si>
    <t>Vanderlei Valentim Vieira</t>
  </si>
  <si>
    <t>p1683561</t>
  </si>
  <si>
    <t>p2186142</t>
  </si>
  <si>
    <t>Leandro Querino Nunes</t>
  </si>
  <si>
    <t>2B</t>
  </si>
  <si>
    <t>p8090315</t>
  </si>
  <si>
    <t>Erico Luan de Jesus Silva</t>
  </si>
  <si>
    <t>ira responder</t>
  </si>
  <si>
    <t>Oliviana Saraiva Almeida</t>
  </si>
  <si>
    <t>p2301326</t>
  </si>
  <si>
    <t>Kaio Victor de Santana</t>
  </si>
  <si>
    <t>p4553604</t>
  </si>
  <si>
    <t>Gilmar Alves Gomes</t>
  </si>
  <si>
    <t>p7204113</t>
  </si>
  <si>
    <t>p3194960</t>
  </si>
  <si>
    <t>Reginaldo de Araujo Rosario</t>
  </si>
  <si>
    <t>p3688617</t>
  </si>
  <si>
    <t>Felipe Alves Barbosa</t>
  </si>
  <si>
    <t>p6526289</t>
  </si>
  <si>
    <t>Denyse Souza Santos</t>
  </si>
  <si>
    <t>p4328875</t>
  </si>
  <si>
    <t>Adelson Marcos Rodrigues Moreira</t>
  </si>
  <si>
    <t>Jennifer Cristina Vieira Do Amaral</t>
  </si>
  <si>
    <t>SKILL DO CASO</t>
  </si>
  <si>
    <t>Pesquisa</t>
  </si>
  <si>
    <t>Data envio pesquisa</t>
  </si>
  <si>
    <t>Data do closed</t>
  </si>
  <si>
    <t xml:space="preserve"> Caso</t>
  </si>
  <si>
    <t>Supervisor</t>
  </si>
  <si>
    <t>Login Abriu</t>
  </si>
  <si>
    <t>Agente que abriu</t>
  </si>
  <si>
    <t>Login Closed</t>
  </si>
  <si>
    <t>Agente que Fechou</t>
  </si>
  <si>
    <t>Contato</t>
  </si>
  <si>
    <t>Observação</t>
  </si>
  <si>
    <t>Observação Calback</t>
  </si>
  <si>
    <t>Callback</t>
  </si>
  <si>
    <t>Data retorno</t>
  </si>
  <si>
    <t>Tatiane Barbosa Fonseca</t>
  </si>
  <si>
    <t>p2835631</t>
  </si>
  <si>
    <t>Victor Arruda Do Carmo</t>
  </si>
  <si>
    <t>Thais Benevides Lopes</t>
  </si>
  <si>
    <t>Notas 10/10</t>
  </si>
  <si>
    <t>p0638092</t>
  </si>
  <si>
    <t>Janio Vinicius Inacio Custodio</t>
  </si>
  <si>
    <t xml:space="preserve">Thiago De Carvalho Silva </t>
  </si>
  <si>
    <t>p8022832</t>
  </si>
  <si>
    <t>Jose Dos Santos Souza Lima Junior</t>
  </si>
  <si>
    <t>p8230241</t>
  </si>
  <si>
    <t>Thiago Souza Herraez</t>
  </si>
  <si>
    <t>Thiago Santos Amaral</t>
  </si>
  <si>
    <t>p7658372</t>
  </si>
  <si>
    <t>David Quirino de Melo</t>
  </si>
  <si>
    <t>p6414582</t>
  </si>
  <si>
    <t>Bruno Henrique Santos Da Silva</t>
  </si>
  <si>
    <t>p8212943</t>
  </si>
  <si>
    <t>Davi Teodoro de Jesus</t>
  </si>
  <si>
    <t>Paulo Wueliton Horacio Fernandes</t>
  </si>
  <si>
    <t>p5927755</t>
  </si>
  <si>
    <t>Rosangela Cosmo De Souza</t>
  </si>
  <si>
    <t>p8101536</t>
  </si>
  <si>
    <t>Washington Silva De Oliveira</t>
  </si>
  <si>
    <t>p1083823</t>
  </si>
  <si>
    <t>Joao Paulo Yasuda</t>
  </si>
  <si>
    <t>Josue Cardoso De Oliveira</t>
  </si>
  <si>
    <t>Kleber Santos Junior</t>
  </si>
  <si>
    <t>p3140211</t>
  </si>
  <si>
    <t>Alvani Elizabete Aliano de Oliveira</t>
  </si>
  <si>
    <t xml:space="preserve">Sergio Giunti Junior </t>
  </si>
  <si>
    <t>p3229330</t>
  </si>
  <si>
    <t>Taina Alexsander Fernandes Pires</t>
  </si>
  <si>
    <t>p1405322</t>
  </si>
  <si>
    <t>Foi Bing Gun</t>
  </si>
  <si>
    <t>p1094319</t>
  </si>
  <si>
    <t>Leonardo Cantilho Maracas</t>
  </si>
  <si>
    <t>Tony Fernandes De Andrade</t>
  </si>
  <si>
    <t>p2274964</t>
  </si>
  <si>
    <t>Lucas Almeida Dos Santos</t>
  </si>
  <si>
    <t>Nota 9 | Nota 9</t>
  </si>
  <si>
    <t>p7667182</t>
  </si>
  <si>
    <t>Rafael Dos Santos</t>
  </si>
  <si>
    <t>p0407362</t>
  </si>
  <si>
    <t>Fabio Perez Da Silva</t>
  </si>
  <si>
    <t>p3760576</t>
  </si>
  <si>
    <t>Daniel Sousa Pinheiro</t>
  </si>
  <si>
    <t>p7316808</t>
  </si>
  <si>
    <t>Eduardo Paixao Oliveira</t>
  </si>
  <si>
    <t>p0207415</t>
  </si>
  <si>
    <t>Bruno Henrique Padua Colella</t>
  </si>
  <si>
    <t>Nota 10 | Nota 9</t>
  </si>
  <si>
    <t>p0036721</t>
  </si>
  <si>
    <t>p6990158</t>
  </si>
  <si>
    <t>Lucas Da Silva Pinto</t>
  </si>
  <si>
    <t>so chama</t>
  </si>
  <si>
    <t>p5265742</t>
  </si>
  <si>
    <t>Levi De Sousa Barros</t>
  </si>
  <si>
    <t>p4325338</t>
  </si>
  <si>
    <t>Stefany Aparecida Alexandre De Franca</t>
  </si>
  <si>
    <t>p5973917</t>
  </si>
  <si>
    <t>Fernando Souza De Almeida</t>
  </si>
  <si>
    <t>p2854913</t>
  </si>
  <si>
    <t>Renato Da Silva Andrade</t>
  </si>
  <si>
    <t>p2475434</t>
  </si>
  <si>
    <t>Jean Carlos Gomes Carrara</t>
  </si>
  <si>
    <t>p6632347</t>
  </si>
  <si>
    <t>Clarina Praxedes Alfredo</t>
  </si>
  <si>
    <t>p4317193</t>
  </si>
  <si>
    <t>Wellington Da Silva De Oliveira</t>
  </si>
  <si>
    <t>p2025036</t>
  </si>
  <si>
    <t>Mariana Tadim Estevao</t>
  </si>
  <si>
    <t>p3002829</t>
  </si>
  <si>
    <t>Filipe Augusto Fernandes De Oliveira</t>
  </si>
  <si>
    <t>p4529833</t>
  </si>
  <si>
    <t>p6651062</t>
  </si>
  <si>
    <t>Willian Araujo Silva</t>
  </si>
  <si>
    <t>retornar as 13</t>
  </si>
  <si>
    <t>-</t>
  </si>
  <si>
    <t>Carlos Henrique De Lima</t>
  </si>
  <si>
    <t>p7783173</t>
  </si>
  <si>
    <t>p4288926</t>
  </si>
  <si>
    <t>Yuri Rodrigues Laranjeira</t>
  </si>
  <si>
    <t>p4033552</t>
  </si>
  <si>
    <t>p5729980</t>
  </si>
  <si>
    <t>p2352077</t>
  </si>
  <si>
    <t>Patrick Aparecido Arbos Da Silva</t>
  </si>
  <si>
    <t>p2951735</t>
  </si>
  <si>
    <t>Jose Ivancris Batista Dos Santos</t>
  </si>
  <si>
    <t>Rodrigo Bernabé De Morais</t>
  </si>
  <si>
    <t>Somente 1 telefone</t>
  </si>
  <si>
    <t>p7510871</t>
  </si>
  <si>
    <t>Rafael Costa Da Silva</t>
  </si>
  <si>
    <t>Maria Cristina de Assis Marques</t>
  </si>
  <si>
    <t>Geisla da Paz Catharino</t>
  </si>
  <si>
    <t>Bruna De Oliveira Peinado</t>
  </si>
  <si>
    <t>p1500031</t>
  </si>
  <si>
    <t>Flavia Helena Teixeira Joaquim</t>
  </si>
  <si>
    <t>Não Localizado</t>
  </si>
  <si>
    <t>Personal Systems</t>
  </si>
  <si>
    <t>Frederico Do Nascimento Giuntini</t>
  </si>
  <si>
    <t>N/A</t>
  </si>
  <si>
    <t>Raphael Pereira Stahlschmidt</t>
  </si>
  <si>
    <t>Leandro Nunes2</t>
  </si>
  <si>
    <t>p3394883</t>
  </si>
  <si>
    <t>Fernanda Silva Nascimento</t>
  </si>
  <si>
    <t>Rafael Ferreira Butinhao</t>
  </si>
  <si>
    <t xml:space="preserve">NOME DO AGENTE </t>
  </si>
  <si>
    <t>DATA/HORA</t>
  </si>
  <si>
    <t>LOGIN</t>
  </si>
  <si>
    <t>COMPUTADOR</t>
  </si>
  <si>
    <t>AÇÃO</t>
  </si>
  <si>
    <t>ARQUIVO SALVO</t>
  </si>
  <si>
    <t>ARQUIVO FECHADO</t>
  </si>
  <si>
    <t>BASE DE PESQUISAS ACESSADA</t>
  </si>
  <si>
    <t>OBERVAÇÃO DE CONTATO</t>
  </si>
  <si>
    <t>DATA | PESQUISA RECEBIDA</t>
  </si>
  <si>
    <t>DIA | PESQUISA RECEBIDA</t>
  </si>
  <si>
    <t>CONTROLE DE ACESSO</t>
  </si>
  <si>
    <t>ijuni002</t>
  </si>
  <si>
    <t>BR238P-HPQ0248</t>
  </si>
  <si>
    <t>LOG DE ATIVIDADES ACESSADO</t>
  </si>
  <si>
    <t>jsilv061</t>
  </si>
  <si>
    <t>FCR</t>
  </si>
  <si>
    <t>Não FCR</t>
  </si>
  <si>
    <t>NÃO CONTACTADO</t>
  </si>
  <si>
    <t>CONTACTADO</t>
  </si>
  <si>
    <t xml:space="preserve">Sem contato </t>
  </si>
  <si>
    <t xml:space="preserve">Pesquisa online </t>
  </si>
  <si>
    <t xml:space="preserve">Respondera a pesquisa </t>
  </si>
  <si>
    <t>Retornar com prioridade</t>
  </si>
  <si>
    <t>INTERAÇÃO BASE DE CALL BACK</t>
  </si>
  <si>
    <t>CONTEÚDO DE BASE GERAL EXCLUÍDO</t>
  </si>
  <si>
    <t>Jonas Pinheiro Batista</t>
  </si>
  <si>
    <t>Emanuelle Lidiane Silva Matos</t>
  </si>
  <si>
    <t>Denilson Venancio Ferreira</t>
  </si>
  <si>
    <t>BASE DE CALL BACK EXTRAÍDA</t>
  </si>
  <si>
    <t>CONTEÚDO DE BASE DE PESQUISAS EXCLUÍDO</t>
  </si>
  <si>
    <t>p4316223</t>
  </si>
  <si>
    <t>BASE DE PESQUISAS EXTRAÍDA</t>
  </si>
  <si>
    <t>ACESSO Á BASE DE CASOS</t>
  </si>
  <si>
    <t>jteno002</t>
  </si>
  <si>
    <t>TENTATIVA DE ACESSO NÃO AUTORIZADO</t>
  </si>
  <si>
    <t>bsant009</t>
  </si>
  <si>
    <t>so 1 tel</t>
  </si>
  <si>
    <t>Erro de processo do analista</t>
  </si>
  <si>
    <t>carai001</t>
  </si>
  <si>
    <t>OUTROS</t>
  </si>
  <si>
    <t>retornar as 15</t>
  </si>
  <si>
    <t>Rebert De Oliveira Souza</t>
  </si>
  <si>
    <t>Rodolfo Barros De Araujo</t>
  </si>
  <si>
    <t>Marcos Paulo da Silva Batista</t>
  </si>
  <si>
    <t>Vgome001</t>
  </si>
  <si>
    <t>INTERAÇÃO MENU PRINCIPAL</t>
  </si>
  <si>
    <t>Erica Araujo</t>
  </si>
  <si>
    <t>TENTATIVA DE ACESSO AO LOG</t>
  </si>
  <si>
    <t>TENTATIVA DE ACESSO A BASE DE PESQUISAS</t>
  </si>
  <si>
    <t>rsouz023</t>
  </si>
  <si>
    <t>calfr001</t>
  </si>
  <si>
    <t>Region Of Customer</t>
  </si>
  <si>
    <t>Region Of Support</t>
  </si>
  <si>
    <t xml:space="preserve">Region Detail </t>
  </si>
  <si>
    <t xml:space="preserve">Sub Region </t>
  </si>
  <si>
    <t>Area</t>
  </si>
  <si>
    <t>Country Of Residence</t>
  </si>
  <si>
    <t>Customer Name</t>
  </si>
  <si>
    <t>Phone Number</t>
  </si>
  <si>
    <t>Alternate Phone Number</t>
  </si>
  <si>
    <t>Email Address</t>
  </si>
  <si>
    <t>Company</t>
  </si>
  <si>
    <t>Language</t>
  </si>
  <si>
    <t>Serial Number</t>
  </si>
  <si>
    <t>Product Description</t>
  </si>
  <si>
    <t xml:space="preserve">Product_Line </t>
  </si>
  <si>
    <t>Product Line Name</t>
  </si>
  <si>
    <t>Operating System</t>
  </si>
  <si>
    <t>Product ID Code</t>
  </si>
  <si>
    <t>Product Model#</t>
  </si>
  <si>
    <t>Part Description</t>
  </si>
  <si>
    <t>Part Number</t>
  </si>
  <si>
    <t xml:space="preserve">Business Unit </t>
  </si>
  <si>
    <t>Business Area - Level 3</t>
  </si>
  <si>
    <t>Business Area - Level 4</t>
  </si>
  <si>
    <t>Business Area - Level 5</t>
  </si>
  <si>
    <t>Service Ticket Number</t>
  </si>
  <si>
    <t>Service Ticket Open Date</t>
  </si>
  <si>
    <t>Close Date</t>
  </si>
  <si>
    <t>Status</t>
  </si>
  <si>
    <t>Video Session Flag</t>
  </si>
  <si>
    <t>TOP Category</t>
  </si>
  <si>
    <t>Sub Category</t>
  </si>
  <si>
    <t>Specific</t>
  </si>
  <si>
    <t>Specific Description</t>
  </si>
  <si>
    <t>Problem Description</t>
  </si>
  <si>
    <t>Classification Code</t>
  </si>
  <si>
    <t>CNF Specification</t>
  </si>
  <si>
    <t>Original Source Warranty Status</t>
  </si>
  <si>
    <t>Full Warranty Status</t>
  </si>
  <si>
    <t>Adjusted Warranty Status</t>
  </si>
  <si>
    <t>Warranty Status</t>
  </si>
  <si>
    <t>Trade-Warranty Status</t>
  </si>
  <si>
    <t>Override Reason</t>
  </si>
  <si>
    <t>Program/Category</t>
  </si>
  <si>
    <t>Result</t>
  </si>
  <si>
    <t>Outstanding Service Order</t>
  </si>
  <si>
    <t>Creator Dept</t>
  </si>
  <si>
    <t>Service Type</t>
  </si>
  <si>
    <t>Reopen Flag</t>
  </si>
  <si>
    <t>Previous Interactions</t>
  </si>
  <si>
    <t>Requested Delivery Date</t>
  </si>
  <si>
    <t>Shipped Date</t>
  </si>
  <si>
    <t>Shipment Method code</t>
  </si>
  <si>
    <t>Approved Date</t>
  </si>
  <si>
    <t xml:space="preserve">Delivery_Type_L1 </t>
  </si>
  <si>
    <t xml:space="preserve">Support_Type_L2 </t>
  </si>
  <si>
    <t xml:space="preserve">Service_Type_L3 </t>
  </si>
  <si>
    <t>HP Service Type</t>
  </si>
  <si>
    <t>HPSA Channel Flag</t>
  </si>
  <si>
    <t>Provider Group</t>
  </si>
  <si>
    <t>Provider Group Hierarchy</t>
  </si>
  <si>
    <t>Created by Provider Group</t>
  </si>
  <si>
    <t>Changed by Provider Group</t>
  </si>
  <si>
    <t>Repair set up by Call Center</t>
  </si>
  <si>
    <t>Created by Agent Name</t>
  </si>
  <si>
    <t>Created by Agent#</t>
  </si>
  <si>
    <t>Created by Agent Level</t>
  </si>
  <si>
    <t>Created by Agent Sub Group</t>
  </si>
  <si>
    <t>Changed by Agent Name</t>
  </si>
  <si>
    <t>Changed by Agent #</t>
  </si>
  <si>
    <t>Changed by Agent Level</t>
  </si>
  <si>
    <t>Changed by Agent Sub Group</t>
  </si>
  <si>
    <t>Agent Responsible</t>
  </si>
  <si>
    <t>Final Product Assignment for Flyers</t>
  </si>
  <si>
    <t>Final Product Line Assignment for Flyers</t>
  </si>
  <si>
    <t>QF7 - Service Type Subgroup (Depot, Parts, Onsite)</t>
  </si>
  <si>
    <t xml:space="preserve"> SF8-1: Service experience (Flyer only)</t>
  </si>
  <si>
    <t xml:space="preserve"> SF8-2: Service experience (Flyer only)</t>
  </si>
  <si>
    <t>SF8-3: Service experience (Flyer only)</t>
  </si>
  <si>
    <t>SF8-4: Service experience (Flyer only)</t>
  </si>
  <si>
    <t>SF8-5: Service experience (Flyer only)</t>
  </si>
  <si>
    <t>Flyer</t>
  </si>
  <si>
    <t>Flyer Passcode</t>
  </si>
  <si>
    <t xml:space="preserve">Complaint_Flag </t>
  </si>
  <si>
    <t>Method of Complaint</t>
  </si>
  <si>
    <t>Complaint customer information</t>
  </si>
  <si>
    <t>Reason Group 1</t>
  </si>
  <si>
    <t>Reason 1</t>
  </si>
  <si>
    <t>Complaint Resolution Description</t>
  </si>
  <si>
    <t>Complaint Description</t>
  </si>
  <si>
    <t>Complaint ID Number</t>
  </si>
  <si>
    <t>First Complaint Contact Date</t>
  </si>
  <si>
    <t>Complaint Priority</t>
  </si>
  <si>
    <t>Complaint Created by Provider Group</t>
  </si>
  <si>
    <t>Complaint Created by Agent Subgroup</t>
  </si>
  <si>
    <t>Complaint Created by Agent Name</t>
  </si>
  <si>
    <t>Complaint Changed by Provider Group</t>
  </si>
  <si>
    <t>Complaint Changed by Agent Subgroup</t>
  </si>
  <si>
    <t>Complaint Changed by Agent Name</t>
  </si>
  <si>
    <t>ST Created by Provider Group</t>
  </si>
  <si>
    <t>ST Created by Agent Subgroup</t>
  </si>
  <si>
    <t>ST Created By Agent Name</t>
  </si>
  <si>
    <t>ST Changed by Provider Group</t>
  </si>
  <si>
    <t>ST Changed by Agent Subgroup</t>
  </si>
  <si>
    <t>ST Changed By Agent Name</t>
  </si>
  <si>
    <t>Survey Month</t>
  </si>
  <si>
    <t>Weight</t>
  </si>
  <si>
    <t>Week Reported</t>
  </si>
  <si>
    <t>Return Time</t>
  </si>
  <si>
    <t>IP Address</t>
  </si>
  <si>
    <t>Extract Code</t>
  </si>
  <si>
    <t>ORC-'ID</t>
  </si>
  <si>
    <t>Survey Language</t>
  </si>
  <si>
    <t>Reminder</t>
  </si>
  <si>
    <t>Released Date</t>
  </si>
  <si>
    <t>Releases Sample End Date</t>
  </si>
  <si>
    <t>Releases Sample Start Date</t>
  </si>
  <si>
    <t>Qcell Number</t>
  </si>
  <si>
    <t>Q1 - Overall Satisfaction with HP</t>
  </si>
  <si>
    <t>Q2 - Problem Resolved</t>
  </si>
  <si>
    <t>Q3 - First Time Fix</t>
  </si>
  <si>
    <t>Q4 - Ease of Effort</t>
  </si>
  <si>
    <t>Q5_1 - Professionalism</t>
  </si>
  <si>
    <t xml:space="preserve">Q5_2 - Communication skills </t>
  </si>
  <si>
    <t xml:space="preserve">Q5_3 - Technical knowledge </t>
  </si>
  <si>
    <t>Q5_4 - Ability to identify issue</t>
  </si>
  <si>
    <t>Q5_5 - Speed of resolution</t>
  </si>
  <si>
    <t xml:space="preserve">Q5_6 - Effectiveness of resolution </t>
  </si>
  <si>
    <t>Q5_7 - Being kept informed_(Repair Cases Only)</t>
  </si>
  <si>
    <t>Q5_8 - Shipping process_(Depot and CSR Cases Only)</t>
  </si>
  <si>
    <t>Q6 - Likelihood to Recommend</t>
  </si>
  <si>
    <t>Q7-1 - What did we do well</t>
  </si>
  <si>
    <t>Q7-1 - What did we do well - CODED</t>
  </si>
  <si>
    <t>Q7-2 - How could we improve</t>
  </si>
  <si>
    <t>Q7-2 - How could we improve - CODED</t>
  </si>
  <si>
    <t>Promoters</t>
  </si>
  <si>
    <t>Detractors</t>
  </si>
  <si>
    <t>CSAT</t>
  </si>
  <si>
    <t>DSAT</t>
  </si>
  <si>
    <t>GBU</t>
  </si>
  <si>
    <t>Agente Criação</t>
  </si>
  <si>
    <t>Agente Modificação</t>
  </si>
  <si>
    <t>Agente PTS Criação</t>
  </si>
  <si>
    <t>Supervisor Criação</t>
  </si>
  <si>
    <t>Supervisor Modificação</t>
  </si>
  <si>
    <t>Grupo Criação</t>
  </si>
  <si>
    <t>Grupo Modificação</t>
  </si>
  <si>
    <t>Coordenador Criação</t>
  </si>
  <si>
    <t>Coordenador Modificação</t>
  </si>
  <si>
    <t>Mês</t>
  </si>
  <si>
    <t>Validação</t>
  </si>
  <si>
    <t>FCR Sistêmico (agente)</t>
  </si>
  <si>
    <t>FCR Sistêmico (supervisor)</t>
  </si>
  <si>
    <t>FCR Sistêmico (Coordenador)</t>
  </si>
  <si>
    <t>AMS</t>
  </si>
  <si>
    <t>LA</t>
  </si>
  <si>
    <t>Brazil</t>
  </si>
  <si>
    <t xml:space="preserve"> </t>
  </si>
  <si>
    <t>Brazilian Portuguese</t>
  </si>
  <si>
    <t>HP DeskJet Ink Advantage 3636 All-in-One Printer</t>
  </si>
  <si>
    <t>DeskJet</t>
  </si>
  <si>
    <t>F5S45A</t>
  </si>
  <si>
    <t>HP DeskJet Ink Advantage 3630 All-in-One Printer series</t>
  </si>
  <si>
    <t>Printing</t>
  </si>
  <si>
    <t>Home Printing Solutions</t>
  </si>
  <si>
    <t>HPS Printers</t>
  </si>
  <si>
    <t>IJ Home Consumer Solutions</t>
  </si>
  <si>
    <t>Closed</t>
  </si>
  <si>
    <t>Y</t>
  </si>
  <si>
    <t>Printing a document</t>
  </si>
  <si>
    <t>H</t>
  </si>
  <si>
    <t>Out of Warranty</t>
  </si>
  <si>
    <t>Out Of Warranty</t>
  </si>
  <si>
    <t>OOW - Supported</t>
  </si>
  <si>
    <t>Resolved-Solution provided</t>
  </si>
  <si>
    <t>N</t>
  </si>
  <si>
    <t>Phone</t>
  </si>
  <si>
    <t>Not Specified</t>
  </si>
  <si>
    <t>Telephone</t>
  </si>
  <si>
    <t>Sitel Sao Paulo (AMR)</t>
  </si>
  <si>
    <t>Sitel</t>
  </si>
  <si>
    <t>LVL1</t>
  </si>
  <si>
    <t>SITL_SAO_BR-PT-PH-FRONT-PRINT-0001</t>
  </si>
  <si>
    <t>No</t>
  </si>
  <si>
    <t>NO</t>
  </si>
  <si>
    <t>Careforce</t>
  </si>
  <si>
    <t>Yes</t>
  </si>
  <si>
    <t>Consumer PC</t>
  </si>
  <si>
    <t>Consumer PC Clients</t>
  </si>
  <si>
    <t>S</t>
  </si>
  <si>
    <t>Factory Warranty</t>
  </si>
  <si>
    <t>IW</t>
  </si>
  <si>
    <t>FUPOTECH</t>
  </si>
  <si>
    <t>Consumer Notebooks</t>
  </si>
  <si>
    <t>Resolved-Order created</t>
  </si>
  <si>
    <t xml:space="preserve">N </t>
  </si>
  <si>
    <t>SITL_SAO_BR-PT-QU-TCO-0001</t>
  </si>
  <si>
    <t>YES</t>
  </si>
  <si>
    <t>Call Center</t>
  </si>
  <si>
    <t>Policy</t>
  </si>
  <si>
    <t>Medium</t>
  </si>
  <si>
    <t>Careforce Complaint</t>
  </si>
  <si>
    <t>Volume Notebooks</t>
  </si>
  <si>
    <t>Getting customer support</t>
  </si>
  <si>
    <t>SITL_SAO_BR-PT-QU-ECR-0003</t>
  </si>
  <si>
    <t>Email</t>
  </si>
  <si>
    <t>Executive Customer Relations</t>
  </si>
  <si>
    <t>ECR BR CPLLEGAL ZL26 ZL1 CW: CLIENTE SOLICITOU TROCA DO EQUIPAMENTO E NÃO FOI ATENDIDO. ACT: SENDO TRATADO POR ECR PROCON</t>
  </si>
  <si>
    <t>flavia joaquim</t>
  </si>
  <si>
    <t>Fernanda Nascimento2</t>
  </si>
  <si>
    <t>SITL_SAO_BR-PT-QU-ECR-0001</t>
  </si>
  <si>
    <t>ECR</t>
  </si>
  <si>
    <t>Installing HP printer software</t>
  </si>
  <si>
    <t>HP DeskJet Ink Advantage 2136 All-in-One Printer</t>
  </si>
  <si>
    <t>F5S30A</t>
  </si>
  <si>
    <t>HP DeskJet Ink Advantage 2130 All-in-One Printer series</t>
  </si>
  <si>
    <t>MF Laser PLE</t>
  </si>
  <si>
    <t>LJ Home Business Solutions</t>
  </si>
  <si>
    <t>How to: Installing HP printer driver (PC &amp; MAC)</t>
  </si>
  <si>
    <t>Help installing the driver</t>
  </si>
  <si>
    <t>OJ Pro Printers</t>
  </si>
  <si>
    <t>IJ Home Business Solutions</t>
  </si>
  <si>
    <t>HP Pavilion 13-s100 x360 Convertible PC</t>
  </si>
  <si>
    <t>Clayton Gomes de Lima</t>
  </si>
  <si>
    <t>HP Pavilion x360 - 13-s104br</t>
  </si>
  <si>
    <t>L9M47LA</t>
  </si>
  <si>
    <t>Dayane de Souza Ferreira</t>
  </si>
  <si>
    <t>Resolving an error with a cartridge or printhead</t>
  </si>
  <si>
    <t>Using connectivity or the Internet</t>
  </si>
  <si>
    <t>Using Wi-Fi (WLAN)</t>
  </si>
  <si>
    <t>Wi-Fi connection intermittent or slow</t>
  </si>
  <si>
    <t>The Wi-Fi connection is intermittent or drops</t>
  </si>
  <si>
    <t>O</t>
  </si>
  <si>
    <t>Envy</t>
  </si>
  <si>
    <t>Printhead or Ink Cartridge rejection related error</t>
  </si>
  <si>
    <t>Any error message or light blinking, steady</t>
  </si>
  <si>
    <t>HP Officejet Pro 6830 e-All-in-One Printer</t>
  </si>
  <si>
    <t>E3E02A</t>
  </si>
  <si>
    <t>HP Officejet Pro 6830 e-All-in-One Printer series</t>
  </si>
  <si>
    <t>HP DeskJet Ink Advantage 4536 All-in-One Printer</t>
  </si>
  <si>
    <t>F0V65A</t>
  </si>
  <si>
    <t>HP DeskJet Ink Advantage 4530 All-in-One Printer series</t>
  </si>
  <si>
    <t>Installation hangs, quits unexpectedly, loops</t>
  </si>
  <si>
    <t>henrique esouza</t>
  </si>
  <si>
    <t>How to: Printing a document</t>
  </si>
  <si>
    <t>Printing related query</t>
  </si>
  <si>
    <t>Reginaldo Rosario</t>
  </si>
  <si>
    <t>Maria Souza</t>
  </si>
  <si>
    <t>Danilo Dias</t>
  </si>
  <si>
    <t>Unknown</t>
  </si>
  <si>
    <t>HP printer installation issue</t>
  </si>
  <si>
    <t>CZ172A</t>
  </si>
  <si>
    <t>HP LaserJet Pro MFP M125 series</t>
  </si>
  <si>
    <t>WILLIAN ARAUJO SILVA</t>
  </si>
  <si>
    <t>douglasfonseca da.silva</t>
  </si>
  <si>
    <t>2H</t>
  </si>
  <si>
    <t>denilson ferreira</t>
  </si>
  <si>
    <t>INSTALAÇÃO SEM FIO</t>
  </si>
  <si>
    <t>No PL Given</t>
  </si>
  <si>
    <t>Sales/Marketing Experience</t>
  </si>
  <si>
    <t>Other</t>
  </si>
  <si>
    <t>Gabriel Santos Do Carmo</t>
  </si>
  <si>
    <t>RAFAEL COSTA DA SILVA</t>
  </si>
  <si>
    <t>MÊS</t>
  </si>
  <si>
    <t>DIA DA SEMANA</t>
  </si>
  <si>
    <t>Fernando De Melo Leite</t>
  </si>
  <si>
    <t>Selma Maria Rodrigues</t>
  </si>
  <si>
    <t>rtaga001</t>
  </si>
  <si>
    <t>Name</t>
  </si>
  <si>
    <t>Vanessa De Oliveira Bassi</t>
  </si>
  <si>
    <t>Danilo Santiago De Freitas</t>
  </si>
  <si>
    <t>Lilian Felix</t>
  </si>
  <si>
    <t>Nicodemos Loureiro</t>
  </si>
  <si>
    <t>Mariana Irene Fialho Juvino</t>
  </si>
  <si>
    <t>Andreia Agnes Campell Gino</t>
  </si>
  <si>
    <t>Vinicius De Sousa Brandao</t>
  </si>
  <si>
    <t>Diego Rodrigues Gonzales</t>
  </si>
  <si>
    <t>Milena Ferreira Da Silva</t>
  </si>
  <si>
    <t>Hugo Marques De Freitas Martins</t>
  </si>
  <si>
    <t>Ramon Dos Santos Lima</t>
  </si>
  <si>
    <t>Vinicius Carvalho Perez</t>
  </si>
  <si>
    <t>Tiago Giatti De Sousa</t>
  </si>
  <si>
    <t>Beatriz Botelho Vargas</t>
  </si>
  <si>
    <t>Carlos Alexandre Da Silva</t>
  </si>
  <si>
    <t>Francisco De Assis Devides</t>
  </si>
  <si>
    <t>Elisangela Rodrigues De Oliveira</t>
  </si>
  <si>
    <t>Vinicius Ferreira Gomes</t>
  </si>
  <si>
    <t>Caio Eiji Arai</t>
  </si>
  <si>
    <t>Alexandre Martins Martinez</t>
  </si>
  <si>
    <t>Priscila Teixeira Nedealcov</t>
  </si>
  <si>
    <t>Alan Diego Da Silva</t>
  </si>
  <si>
    <t>Claudio Hideki Nakamura</t>
  </si>
  <si>
    <t>Jessika Aparecida Vieira Do Amaral</t>
  </si>
  <si>
    <t>Andressa Cristina Da Cruz Rosa</t>
  </si>
  <si>
    <t>Marivaldo Silva De Oliveira</t>
  </si>
  <si>
    <t>Valeria Amorim Dos Santos</t>
  </si>
  <si>
    <t>Agatha Vieira Silva</t>
  </si>
  <si>
    <t>Renato Jose Miranda Monteiro</t>
  </si>
  <si>
    <t>Roseli Izabel Da Silva</t>
  </si>
  <si>
    <t>Artur Berteli De Figueiredo</t>
  </si>
  <si>
    <t>Juliane Dias Teixeira</t>
  </si>
  <si>
    <t>Jaqueline De Souza Silva</t>
  </si>
  <si>
    <t>Priscila Ferreira Soutero</t>
  </si>
  <si>
    <t>Renan Cazumba Tegani</t>
  </si>
  <si>
    <t>Marcos Nascimento Correia</t>
  </si>
  <si>
    <t>Danielle Borges De Oliveira</t>
  </si>
  <si>
    <t>Katiane Souza Almeida</t>
  </si>
  <si>
    <t>Fabricio Serra</t>
  </si>
  <si>
    <t>Patrik Ferreira Araujo</t>
  </si>
  <si>
    <t>Emerson De Lima Franca</t>
  </si>
  <si>
    <t>Andrea Carla De Magalhaes</t>
  </si>
  <si>
    <t>Lucas Alonso Huamani</t>
  </si>
  <si>
    <t>Diego Ferrete Hernandes</t>
  </si>
  <si>
    <t>Suellen Souza Brandao</t>
  </si>
  <si>
    <t>Rafael Dal Bem Santa Cruz</t>
  </si>
  <si>
    <t>Ana Cristina Da Silva Esteves</t>
  </si>
  <si>
    <t>Bruna Lima Canteiro</t>
  </si>
  <si>
    <t>Aline Vieira Ometto</t>
  </si>
  <si>
    <t>Lucas Borgheri Monteiro</t>
  </si>
  <si>
    <t>Leader</t>
  </si>
  <si>
    <t>Ricardo Cairo Oliveira</t>
  </si>
  <si>
    <t>AGENTE</t>
  </si>
  <si>
    <t>NETWORK</t>
  </si>
  <si>
    <t>rstah001</t>
  </si>
  <si>
    <t>vbass001</t>
  </si>
  <si>
    <t>dfrei002</t>
  </si>
  <si>
    <t>lfeli003</t>
  </si>
  <si>
    <t>nlour001</t>
  </si>
  <si>
    <t>rbuti001</t>
  </si>
  <si>
    <t>fjoaq001</t>
  </si>
  <si>
    <t>jamar002</t>
  </si>
  <si>
    <t>mjuvi001</t>
  </si>
  <si>
    <t>agino001</t>
  </si>
  <si>
    <t>gcath001</t>
  </si>
  <si>
    <t>vbran002</t>
  </si>
  <si>
    <t>gcarm001</t>
  </si>
  <si>
    <t>dgonz020</t>
  </si>
  <si>
    <t>msilv062</t>
  </si>
  <si>
    <t>fnasc001</t>
  </si>
  <si>
    <t>hmart001</t>
  </si>
  <si>
    <t>rlima008</t>
  </si>
  <si>
    <t>vperez001</t>
  </si>
  <si>
    <t>tsous001</t>
  </si>
  <si>
    <t>bvarg002</t>
  </si>
  <si>
    <t>djesu004</t>
  </si>
  <si>
    <t>csilv045</t>
  </si>
  <si>
    <t>clima001</t>
  </si>
  <si>
    <t>lnune010</t>
  </si>
  <si>
    <t>wsilv028</t>
  </si>
  <si>
    <t>tpire001</t>
  </si>
  <si>
    <t>tsilv031</t>
  </si>
  <si>
    <t>falme004</t>
  </si>
  <si>
    <t>vviei002</t>
  </si>
  <si>
    <t>msilv096</t>
  </si>
  <si>
    <t>lpere058</t>
  </si>
  <si>
    <t>lpere003</t>
  </si>
  <si>
    <t>wlara004</t>
  </si>
  <si>
    <t>jmart003</t>
  </si>
  <si>
    <t>campa003</t>
  </si>
  <si>
    <t>dsouz009</t>
  </si>
  <si>
    <t>esouz004</t>
  </si>
  <si>
    <t>jyasu001</t>
  </si>
  <si>
    <t>therr003</t>
  </si>
  <si>
    <t>cpluz001</t>
  </si>
  <si>
    <t>lferr008</t>
  </si>
  <si>
    <t>heula001</t>
  </si>
  <si>
    <t>doliv015</t>
  </si>
  <si>
    <t>vsilv035</t>
  </si>
  <si>
    <t>pmaid001</t>
  </si>
  <si>
    <t>zcost001</t>
  </si>
  <si>
    <t>fdevi001</t>
  </si>
  <si>
    <t>eoliv017</t>
  </si>
  <si>
    <t>jcach001</t>
  </si>
  <si>
    <t>pfern033</t>
  </si>
  <si>
    <t>amore008</t>
  </si>
  <si>
    <t>rsouz010</t>
  </si>
  <si>
    <t>omour001</t>
  </si>
  <si>
    <t>jcust004</t>
  </si>
  <si>
    <t>tamar002</t>
  </si>
  <si>
    <t>amart050</t>
  </si>
  <si>
    <t>bsilv006</t>
  </si>
  <si>
    <t>ksant044</t>
  </si>
  <si>
    <t>rrosa038</t>
  </si>
  <si>
    <t>lferr025</t>
  </si>
  <si>
    <t>tdec001</t>
  </si>
  <si>
    <t>pnede001</t>
  </si>
  <si>
    <t>vcarm004</t>
  </si>
  <si>
    <t>tlima004</t>
  </si>
  <si>
    <t>tlope001</t>
  </si>
  <si>
    <t>dmelo007</t>
  </si>
  <si>
    <t>dsilv014</t>
  </si>
  <si>
    <t>jjuni010</t>
  </si>
  <si>
    <t>rsant063</t>
  </si>
  <si>
    <t>asilv085</t>
  </si>
  <si>
    <t>sjuni008</t>
  </si>
  <si>
    <t>dferr007</t>
  </si>
  <si>
    <t>cnaka001</t>
  </si>
  <si>
    <t>jamar014</t>
  </si>
  <si>
    <t>arosa006</t>
  </si>
  <si>
    <t>moliv042</t>
  </si>
  <si>
    <t>vsant020</t>
  </si>
  <si>
    <t>asilv005</t>
  </si>
  <si>
    <t>rmont026</t>
  </si>
  <si>
    <t>rsilv070</t>
  </si>
  <si>
    <t>afigu004</t>
  </si>
  <si>
    <t>rarau007</t>
  </si>
  <si>
    <t>earau007</t>
  </si>
  <si>
    <t>kjuni001</t>
  </si>
  <si>
    <t>srodr005</t>
  </si>
  <si>
    <t>fleit001</t>
  </si>
  <si>
    <t>jteix001</t>
  </si>
  <si>
    <t>jsilv051</t>
  </si>
  <si>
    <t>psout001</t>
  </si>
  <si>
    <t>lsant008</t>
  </si>
  <si>
    <t>fsilv056</t>
  </si>
  <si>
    <t>woliv012</t>
  </si>
  <si>
    <t>aoliv061</t>
  </si>
  <si>
    <t>fbing001</t>
  </si>
  <si>
    <t>rsant109</t>
  </si>
  <si>
    <t>lmara001</t>
  </si>
  <si>
    <t>dsous004</t>
  </si>
  <si>
    <t>fbarb007</t>
  </si>
  <si>
    <t>esilv009</t>
  </si>
  <si>
    <t>bcole002</t>
  </si>
  <si>
    <t>randr008</t>
  </si>
  <si>
    <t>tandr003</t>
  </si>
  <si>
    <t>lbarr005</t>
  </si>
  <si>
    <t>aabre003</t>
  </si>
  <si>
    <t>mcorr006</t>
  </si>
  <si>
    <t>lpint007</t>
  </si>
  <si>
    <t>sfran060</t>
  </si>
  <si>
    <t>doliv018</t>
  </si>
  <si>
    <t>mtadi009</t>
  </si>
  <si>
    <t>foliv004</t>
  </si>
  <si>
    <t>wsilv029</t>
  </si>
  <si>
    <t>eoliv027</t>
  </si>
  <si>
    <t>kfern001</t>
  </si>
  <si>
    <t>kalme001</t>
  </si>
  <si>
    <t>mrene001</t>
  </si>
  <si>
    <t>asilv070</t>
  </si>
  <si>
    <t>wteix002</t>
  </si>
  <si>
    <t>ggome001</t>
  </si>
  <si>
    <t>emato002</t>
  </si>
  <si>
    <t>ftava001</t>
  </si>
  <si>
    <t>amour004</t>
  </si>
  <si>
    <t>fserr009</t>
  </si>
  <si>
    <t>oalme001</t>
  </si>
  <si>
    <t>tfons001</t>
  </si>
  <si>
    <t>parau003</t>
  </si>
  <si>
    <t>jjuni012</t>
  </si>
  <si>
    <t>efran011</t>
  </si>
  <si>
    <t>amaga002</t>
  </si>
  <si>
    <t>lhuam001</t>
  </si>
  <si>
    <t>dhern053</t>
  </si>
  <si>
    <t>sbran001</t>
  </si>
  <si>
    <t>rcruz002</t>
  </si>
  <si>
    <t>aeste004</t>
  </si>
  <si>
    <t>bcant001</t>
  </si>
  <si>
    <t>aomet001</t>
  </si>
  <si>
    <t>lmont012</t>
  </si>
  <si>
    <t>mbati006</t>
  </si>
  <si>
    <t>drosa006</t>
  </si>
  <si>
    <t>mmarq023</t>
  </si>
  <si>
    <t>joliv018</t>
  </si>
  <si>
    <t>vsous001</t>
  </si>
  <si>
    <t>dsilv060</t>
  </si>
  <si>
    <t>isilv011</t>
  </si>
  <si>
    <t>mmelo002</t>
  </si>
  <si>
    <t>Igor Luiz Nunes Da Silva</t>
  </si>
  <si>
    <t>LEADER</t>
  </si>
  <si>
    <t>Win XP (32-bit)</t>
  </si>
  <si>
    <t>AGENTES</t>
  </si>
  <si>
    <t>WENDREY LARA</t>
  </si>
  <si>
    <t>JESSE MARTINS</t>
  </si>
  <si>
    <t>CAROLINE NUNES</t>
  </si>
  <si>
    <t>JONATAS TENORIO</t>
  </si>
  <si>
    <t>VINICIUS GOMES</t>
  </si>
  <si>
    <t>BRUNO SANTOS</t>
  </si>
  <si>
    <t>CAIO ARAI</t>
  </si>
  <si>
    <t>ALVANI OLIVEIRA</t>
  </si>
  <si>
    <t>RENAN TEGANI</t>
  </si>
  <si>
    <t>LUCAS PINTO</t>
  </si>
  <si>
    <t>STEFANY FRANCA</t>
  </si>
  <si>
    <t>CLARINA ALFREDO</t>
  </si>
  <si>
    <t xml:space="preserve">HPI - CONSUMER </t>
  </si>
  <si>
    <t>TPR</t>
  </si>
  <si>
    <t>sNPS</t>
  </si>
  <si>
    <t>MÉTRICA</t>
  </si>
  <si>
    <t>TARGET</t>
  </si>
  <si>
    <t>PROMOTERS</t>
  </si>
  <si>
    <t>DETRACTORS</t>
  </si>
  <si>
    <t>% CONTACTADO</t>
  </si>
  <si>
    <t>% NÃO CONTACTADO</t>
  </si>
  <si>
    <t>CONSOLIDAÇÃO DE CONTATOS</t>
  </si>
  <si>
    <t>QTD CONTACTADO</t>
  </si>
  <si>
    <t>QTD NÃO CONTACTADO</t>
  </si>
  <si>
    <t>Detractor</t>
  </si>
  <si>
    <t>DATA / HORA DA TRATATIVA</t>
  </si>
  <si>
    <t>INTERAÇÃO BASE [VIRARAM PESQUISAS]</t>
  </si>
  <si>
    <t>INTERAÇÃO CASOS IPG</t>
  </si>
  <si>
    <t>Rodrigo Moraes</t>
  </si>
  <si>
    <t>Luiz Pereira</t>
  </si>
  <si>
    <t>Luiz Felipe Pereira</t>
  </si>
  <si>
    <t xml:space="preserve">Não resolvido não respondera a pesquisa </t>
  </si>
  <si>
    <t>Domingo</t>
  </si>
  <si>
    <t>TENTATIVA DE ACESSO A BASE DE [VIRARAM PESQUISAS]</t>
  </si>
  <si>
    <t>tratativa</t>
  </si>
  <si>
    <t>Respondeu antes do contato de Callback</t>
  </si>
  <si>
    <t>Já respondeu a pesquisa</t>
  </si>
  <si>
    <t>Paulinny Gomes</t>
  </si>
  <si>
    <t>ECR BR CPLLEGAL - CNOVA</t>
  </si>
  <si>
    <t>NÃO TRACIONA</t>
  </si>
  <si>
    <t>QUA2</t>
  </si>
  <si>
    <t>p3581095</t>
  </si>
  <si>
    <t>em reparo</t>
  </si>
  <si>
    <t>p2848236</t>
  </si>
  <si>
    <t>p5183492</t>
  </si>
  <si>
    <t>p0065964</t>
  </si>
  <si>
    <t>ira formatar pc</t>
  </si>
  <si>
    <t>p2588825</t>
  </si>
  <si>
    <t>p5679154</t>
  </si>
  <si>
    <t>Comercial Sup</t>
  </si>
  <si>
    <t xml:space="preserve">Respondera a pesquisa não ligar mais </t>
  </si>
  <si>
    <t>Windows 7 Starter</t>
  </si>
  <si>
    <t>Paulo Horacio</t>
  </si>
  <si>
    <t>p7972394</t>
  </si>
  <si>
    <t>Inquiring about entitlement</t>
  </si>
  <si>
    <t>p6853347</t>
  </si>
  <si>
    <t>Not Responded</t>
  </si>
  <si>
    <t>Sim</t>
  </si>
  <si>
    <t>Beatriz</t>
  </si>
  <si>
    <t>Completed Surveys</t>
  </si>
  <si>
    <t>Tiago</t>
  </si>
  <si>
    <t>Maria Aparecida Marques De Souza</t>
  </si>
  <si>
    <t>Não</t>
  </si>
  <si>
    <t>Vinicius</t>
  </si>
  <si>
    <t>Sample Rejected</t>
  </si>
  <si>
    <t>Danilo Leite Dias</t>
  </si>
  <si>
    <t>carlos</t>
  </si>
  <si>
    <t>Davi</t>
  </si>
  <si>
    <t>Bounced Back Emails</t>
  </si>
  <si>
    <t>p8161396</t>
  </si>
  <si>
    <t>Viviane De Souza Magrini</t>
  </si>
  <si>
    <t>tco</t>
  </si>
  <si>
    <t>Cliente não se encontra</t>
  </si>
  <si>
    <t>já respondeu</t>
  </si>
  <si>
    <t>p5032821</t>
  </si>
  <si>
    <t>fora da garantia</t>
  </si>
  <si>
    <t>complaint</t>
  </si>
  <si>
    <t>Cliente insatisfeito Atendimento</t>
  </si>
  <si>
    <t>ambos números</t>
  </si>
  <si>
    <t>Os 2 telefones só chamam</t>
  </si>
  <si>
    <t>p7458273</t>
  </si>
  <si>
    <t>p6899914</t>
  </si>
  <si>
    <t>Jeferson Silveira Santos</t>
  </si>
  <si>
    <t>Erica Santos De Azevedo</t>
  </si>
  <si>
    <t>Disponivel 17:00 H</t>
  </si>
  <si>
    <t>retornar quinta</t>
  </si>
  <si>
    <t>tel 2 não e do cliente</t>
  </si>
  <si>
    <t>No Email Address</t>
  </si>
  <si>
    <t>Pesquisa rejeitada</t>
  </si>
  <si>
    <t>Pendente de POP</t>
  </si>
  <si>
    <t>Enviar sup</t>
  </si>
  <si>
    <t>p4418300</t>
  </si>
  <si>
    <t>Não foi pesquisa</t>
  </si>
  <si>
    <t>sem email</t>
  </si>
  <si>
    <t>em testes</t>
  </si>
  <si>
    <t>ira trocar cartucho</t>
  </si>
  <si>
    <t>ira comprar cartucho</t>
  </si>
  <si>
    <t>web dispute</t>
  </si>
  <si>
    <t>retornar as 11 30</t>
  </si>
  <si>
    <t>ambos tels ocupados</t>
  </si>
  <si>
    <t>p4177127</t>
  </si>
  <si>
    <t>em teste</t>
  </si>
  <si>
    <t>retornar as 14</t>
  </si>
  <si>
    <t>retornar as 15h</t>
  </si>
  <si>
    <t>ira retornar</t>
  </si>
  <si>
    <t>p5641580</t>
  </si>
  <si>
    <t>sim</t>
  </si>
  <si>
    <t>ambos tels so chama</t>
  </si>
  <si>
    <t>retornar as 12:30</t>
  </si>
  <si>
    <t>PL</t>
  </si>
  <si>
    <t>Tratativa</t>
  </si>
  <si>
    <t>apenas um número</t>
  </si>
  <si>
    <t>Falha intermitente</t>
  </si>
  <si>
    <t>Responder</t>
  </si>
  <si>
    <t>Nota 8 | Nota 8</t>
  </si>
  <si>
    <t>Nota 9 | Nota 10</t>
  </si>
  <si>
    <t>Ambos tels. Só chamam</t>
  </si>
  <si>
    <t>p7529205</t>
  </si>
  <si>
    <t>p2986624</t>
  </si>
  <si>
    <t>2° tel. Só chama</t>
  </si>
  <si>
    <t>Nota 10 | nota 10</t>
  </si>
  <si>
    <t>Falha é intermitente</t>
  </si>
  <si>
    <t>Apenas 1 tel. Cx postal</t>
  </si>
  <si>
    <t>sem contato</t>
  </si>
  <si>
    <t xml:space="preserve">Nota 10 | Nota 10 </t>
  </si>
  <si>
    <t>Takeo Guilheme Mizuno</t>
  </si>
  <si>
    <t>Apenas 1 tel. Só chama</t>
  </si>
  <si>
    <t>2° tel. Cx postal</t>
  </si>
  <si>
    <t>apenas um número que não completa</t>
  </si>
  <si>
    <t xml:space="preserve">Respondera a pesquisa hoje </t>
  </si>
  <si>
    <t>SEM SUCESSO SÓ CHAMA</t>
  </si>
  <si>
    <t>MANOEL PEREIRA SANTANA</t>
  </si>
  <si>
    <t>manoel.santana21@hotmail.com</t>
  </si>
  <si>
    <t>TH65Q3D0GP</t>
  </si>
  <si>
    <t>Jan2017</t>
  </si>
  <si>
    <t>201.6.231.134</t>
  </si>
  <si>
    <t>BR_20161231_139_10338</t>
  </si>
  <si>
    <t>O funcionário que me atendeu fez perguntas bem objetivas o que facilitou nas soluções  por mim indagado.  agradeço pelo pronto atendimento e ter resolvido a minha necessidade.                             Manoel</t>
  </si>
  <si>
    <t>CLARICE CERQUEIRA FERNANDES</t>
  </si>
  <si>
    <t>(323)2411311</t>
  </si>
  <si>
    <t>claricefernandes@yahoo.com.br</t>
  </si>
  <si>
    <t>Retailer inquiring about 2 years WTY claim</t>
  </si>
  <si>
    <t>Retailer needs info about warranty: European Law</t>
  </si>
  <si>
    <t>Documentation</t>
  </si>
  <si>
    <t>177.19.16.177</t>
  </si>
  <si>
    <t>BR_20161231_140_101</t>
  </si>
  <si>
    <t>As profissionais que entraram em contato comigo para solucionar meu problema foram solicitas e se mostraram empenhadas. Apesar da demora, tenho apenas elogios para elas.</t>
  </si>
  <si>
    <t>REGINA SIMOES BARBOSA</t>
  </si>
  <si>
    <t>(212)5427446</t>
  </si>
  <si>
    <t>reginacasa@gmail.com</t>
  </si>
  <si>
    <t>BRJ62561TV</t>
  </si>
  <si>
    <t>NAO CONECTA VIA WIFI/CABO</t>
  </si>
  <si>
    <t>179.218.60.16</t>
  </si>
  <si>
    <t>BR_20161231_139_13785</t>
  </si>
  <si>
    <t>O suporte foi eficaz e competente. Porém, gastei horas no telefone até resolver o problema. Além disso, não esperava ter problemas com um computador potente recem adquirido. Espero que agora eu possa desfruta-lo sem problemas.</t>
  </si>
  <si>
    <t>CARLOS ALBERTO FREITAS G DE MORAES</t>
  </si>
  <si>
    <t>galmo@oi.com.br</t>
  </si>
  <si>
    <t>BR66SFB23F</t>
  </si>
  <si>
    <t>IMPRIME DATA E URL DA PÁGINA</t>
  </si>
  <si>
    <t>179.198.183.152</t>
  </si>
  <si>
    <t>BR_20161231_139_2292</t>
  </si>
  <si>
    <t>WANDERLEI MARCHIAFAVE</t>
  </si>
  <si>
    <t>credibraswm@uol.com.br</t>
  </si>
  <si>
    <t>TH54R620CS</t>
  </si>
  <si>
    <t>ADF NAO TRACIONA</t>
  </si>
  <si>
    <t>189.39.155.158</t>
  </si>
  <si>
    <t>BR_20161228_139_11792</t>
  </si>
  <si>
    <t>Parabéns hp</t>
  </si>
  <si>
    <t>LETICIA MEDEIROS DE FREITAS</t>
  </si>
  <si>
    <t>freitas.medeiros99@gmail.com</t>
  </si>
  <si>
    <t>BR62PFB2DM</t>
  </si>
  <si>
    <t>186.226.14.87</t>
  </si>
  <si>
    <t>BR_20161225_139_8264</t>
  </si>
  <si>
    <t>LUCIANA GOMES DOS SANTOS</t>
  </si>
  <si>
    <t>(242)4432176</t>
  </si>
  <si>
    <t>josemds.46@gmail.com</t>
  </si>
  <si>
    <t>BRBSH46FRB</t>
  </si>
  <si>
    <t>CZ172A - BRBSH46FRB - HP LaserJet Pro MFP M125a</t>
  </si>
  <si>
    <t>NÃO RECONHECE O CARTUCHO</t>
  </si>
  <si>
    <t>Warranty Conditions</t>
  </si>
  <si>
    <t>688882362JU - Cliente se nega enviar nota fiscal do produto e ameaça processar empresa.</t>
  </si>
  <si>
    <t>fernando tavares</t>
  </si>
  <si>
    <t>186.242.245.102</t>
  </si>
  <si>
    <t>BR_20161229_140_308</t>
  </si>
  <si>
    <t>Estou aqui com a impressora parada e sem utilidade pois está com defeito e já liguei mais  de quatro vezes e ninguém Da HP toma providências  .Está na garantia e gostaria muito que aparecesse um técnico experiente para consertá-la  mas vejo que ninguém reconhece o direito do consumidor e alegam que não vai arrumar por causa do cartucho que está  alterado,ma's o problema já persistia antes mesmo de colocar nova tinta no cartucho.Mas,infelizmente ninguém daí DA HP acredita   em mim e me mandaram comprar outro cartucho original que custa em torno de quinhentos reais.Estou muito triste com isso,pois é um absurdo ninguém tomar providências necessárias .</t>
  </si>
  <si>
    <t>ARQUIVO ABERTO</t>
  </si>
  <si>
    <t>RAFAEL DOS SANTOS</t>
  </si>
  <si>
    <t>Responderá a pesquisa, CSAT, FCR, 10</t>
  </si>
  <si>
    <t>JA RESPONDEU</t>
  </si>
  <si>
    <t>Problema não resolvido, não responderá</t>
  </si>
  <si>
    <t>BR238P-HPQ0070</t>
  </si>
  <si>
    <t>BR238P-HPQ0746</t>
  </si>
  <si>
    <t>Corporate - Marketing Loyalty, Product - Printers Reliability, Product - Printers Use and Care, Service - Tech Support Problem Resolution, General Other, Corporate - Policy Warranty/Guarantee</t>
  </si>
  <si>
    <t>Service - Tech Support Problem Resolution, General Other</t>
  </si>
  <si>
    <t>Product - PCs &amp; Laptops Reliability, General Other</t>
  </si>
  <si>
    <t>ERMELINDA CONDE ASSUMPCAO</t>
  </si>
  <si>
    <t>erme@terra.com.br</t>
  </si>
  <si>
    <t>BR67EFC33R</t>
  </si>
  <si>
    <t>HP printer USB connectivity related error</t>
  </si>
  <si>
    <t>Any USB connectivity related error or issue</t>
  </si>
  <si>
    <t>PROBLEMA DE COMUNICAÇÃO USB</t>
  </si>
  <si>
    <t>138.99.207.92</t>
  </si>
  <si>
    <t>BR_20161228_139_3330</t>
  </si>
  <si>
    <t>Gostei muito do atendimento mas achei muito desagradavel as duas ligacoes que recebi para falar sobre o problema. Foi um problema muito simples que foi solucionado remotamente e que provavelmente ocorreu por conta de uma mensagem de venda de cartucho quando troquei o que tinha acabado. Achei muito ruim esse serviço de venda e ainda travou minha impressora! Mais do que falar sobre o atendimento gostaria de reclamar sobre esse serviço de venda! Pelo que entendi no atendimento deve ser um problema meio comum. Nessa epoca de fim de ano em que estamos sem tempo esse problema me atrapalhou muito</t>
  </si>
  <si>
    <t>JOSE MARCELO SPOLON GUARIENTE</t>
  </si>
  <si>
    <t>(173)2336247</t>
  </si>
  <si>
    <t>marceloguariente@terra.com.br</t>
  </si>
  <si>
    <t>BRBSJ9Q5K1</t>
  </si>
  <si>
    <t>HP LaserJet Pro MFP M225dw</t>
  </si>
  <si>
    <t>CF485A</t>
  </si>
  <si>
    <t>HP LaserJet Pro MFP M225 series</t>
  </si>
  <si>
    <t>Setting up the product</t>
  </si>
  <si>
    <t>Reporting out of box issue</t>
  </si>
  <si>
    <t>Product Wi-Fi connection doesn't work (OOB)</t>
  </si>
  <si>
    <t>Caused by HP hardware only not setup or provider</t>
  </si>
  <si>
    <t>NÃO IMPRIME</t>
  </si>
  <si>
    <t>187.66.56.252</t>
  </si>
  <si>
    <t>BR_20161228_139_5436</t>
  </si>
  <si>
    <t>NÃO TIVE NENHUM PROBLEMA QUE NÃO FOI SOLUCIONADO AINDA.</t>
  </si>
  <si>
    <t>CARLOS HENRIQUE DO VALLES CESAR</t>
  </si>
  <si>
    <t>chgemiosrj@hotmail.com</t>
  </si>
  <si>
    <t>BR69MFB0OZ</t>
  </si>
  <si>
    <t>AUXILIO NA INSTALAÇÃO</t>
  </si>
  <si>
    <t>179.210.242.194</t>
  </si>
  <si>
    <t>BR_20161229_139_2248</t>
  </si>
  <si>
    <t>Sem comentários foi o melhor e atendimento PARABÉNS para hp e todos os funcionários</t>
  </si>
  <si>
    <t>LEONARDO BYRRO FONSECA</t>
  </si>
  <si>
    <t>(113)0421649</t>
  </si>
  <si>
    <t>leonardo.byrro@gmail.com</t>
  </si>
  <si>
    <t>CN2BR210PH05TN</t>
  </si>
  <si>
    <t>HP Deskjet Ink Advantage 4625 e-All-in-One Printer</t>
  </si>
  <si>
    <t>Home Officejet</t>
  </si>
  <si>
    <t>CZ284A</t>
  </si>
  <si>
    <t>HP Deskjet Ink Advantage 4620 e-All-in-One Printer series</t>
  </si>
  <si>
    <t>ERRO DE CARTUCHOS</t>
  </si>
  <si>
    <t>SITL_SAO_BR-PT-PH-FRONT-COMPUT-0001</t>
  </si>
  <si>
    <t>177.182.221.140</t>
  </si>
  <si>
    <t>BR_20161229_139_9038</t>
  </si>
  <si>
    <t>Ao entrar em contato com a HP para acompanhamento do processo, fui surpreendido com a informação do atendente de que o protocolo tinha sido encerrado. Ele disse ainda que teria que realizar novos testes para a abertura de um novo protocolo. A estratégia de perder o tempo do cliente serve para não cumprir com o Código de Defesa do Consumidor?</t>
  </si>
  <si>
    <t>CIBELE PRISCILA YAMEZ CAMPANARO</t>
  </si>
  <si>
    <t>cibelepriscila@terra.com.br</t>
  </si>
  <si>
    <t>BRJ6030W31</t>
  </si>
  <si>
    <t>HP Pavilion x360 - 11-n226br (ENERGY STAR)</t>
  </si>
  <si>
    <t>P0E48LA</t>
  </si>
  <si>
    <t>HP Pavilion 11-n200 x360 Convertible PC</t>
  </si>
  <si>
    <t>Using native OS features or application</t>
  </si>
  <si>
    <t>Trying to load the OS</t>
  </si>
  <si>
    <t>Boots to WinRE (startup repair)</t>
  </si>
  <si>
    <t>System auto boots into the startup repair screen</t>
  </si>
  <si>
    <t>SUPER AQUECIMENTO</t>
  </si>
  <si>
    <t>177.181.3.145</t>
  </si>
  <si>
    <t>BR_20161230_139_3007</t>
  </si>
  <si>
    <t>Atendimento e solução de problemas satisfatórios.</t>
  </si>
  <si>
    <t>TACIANE DE JESUS MORAIS CORREA</t>
  </si>
  <si>
    <t>(983)2516232</t>
  </si>
  <si>
    <t>tarcianemorais@hotmail.com</t>
  </si>
  <si>
    <t>BRJ6061DV4</t>
  </si>
  <si>
    <t>HP Notebook - 14-ap020</t>
  </si>
  <si>
    <t>P0E46LA</t>
  </si>
  <si>
    <t>HP 14-ap000 Notebook PC series</t>
  </si>
  <si>
    <t>PC stuck in looping reboots</t>
  </si>
  <si>
    <t>Continuous reboots without completely loading OS</t>
  </si>
  <si>
    <t>NAO DESLIGAR</t>
  </si>
  <si>
    <t>177.55.95.179</t>
  </si>
  <si>
    <t>BR_20161230_139_16379</t>
  </si>
  <si>
    <t>LUIS FERNANDO RODRIGUES DE VASCONCELOS</t>
  </si>
  <si>
    <t>(123)9441102</t>
  </si>
  <si>
    <t>luizfernandosjc@bol.com.br</t>
  </si>
  <si>
    <t>BR67EFC5YM</t>
  </si>
  <si>
    <t>Win XP (64-bit)</t>
  </si>
  <si>
    <t>Paper jam in paper path</t>
  </si>
  <si>
    <t>Paper jams in paper path including ADF or duplexer</t>
  </si>
  <si>
    <t>NAO IMPRIME PAPEL FOTOGRAFICO</t>
  </si>
  <si>
    <t>191.8.27.61</t>
  </si>
  <si>
    <t>BR_20161230_139_10079</t>
  </si>
  <si>
    <t>Eu precisava fazer uma impressão numa folha de papel fotográfico auto adesivo, aonde a gramatura era de 130 gramas, porém no descritivo da impressora suportaria até 300 gramas, quando mandava imprimir o rolete da impressora forçava dando um alerta no monitor como ' papel atolado ' sendo que a impressora consegue fazer uma impressão normal numa folha de sulfite A4 de 75 gramas, resumindo, comprei uma impressora a 20 dias para fazer um impresso de aniversário da minha filha e não funcionou devido a incompatibilidade da impressora em relação a gramatura do papel, aonde o suporte técnico teve acesso a meu computador via rede e o mesmo não conseguiu concluir o procedimento, fico chateado pois dei preferência pela marca HP e não solucionou meu problema. Fico a disposição para maiores informação. Obrigado</t>
  </si>
  <si>
    <t>HUDSON MIGUEL AUGUSTO DO CARMO</t>
  </si>
  <si>
    <t>hudson@modulologistica.com</t>
  </si>
  <si>
    <t>CNB9H7M98D</t>
  </si>
  <si>
    <t>HP LaserJet Pro MFP M127fn</t>
  </si>
  <si>
    <t>CZ181A</t>
  </si>
  <si>
    <t>HP LaserJet Pro MFP M127 series</t>
  </si>
  <si>
    <t>Scanning, faxing or copying</t>
  </si>
  <si>
    <t>Copying a document</t>
  </si>
  <si>
    <t>Copy issues with automatic document feeder (ADF)</t>
  </si>
  <si>
    <t>Any issue copying from automatic document feeder</t>
  </si>
  <si>
    <t>NAO PUXA PAPEL ADF</t>
  </si>
  <si>
    <t>189.15.116.46</t>
  </si>
  <si>
    <t>BR_20161231_139_6430</t>
  </si>
  <si>
    <t>sou usuario a muito tempo de produtos hp.</t>
  </si>
  <si>
    <t>CAROLINA DE AGUIAR MONTEIRO</t>
  </si>
  <si>
    <t>(313)3375266</t>
  </si>
  <si>
    <t>carolina.am@outlook.com</t>
  </si>
  <si>
    <t>BRJ6194RQP</t>
  </si>
  <si>
    <t>HP Pavilion x360 - 13-s101br (ENERGY STAR)</t>
  </si>
  <si>
    <t>L9M45LA</t>
  </si>
  <si>
    <t>Using the operating system</t>
  </si>
  <si>
    <t>Unable to login to OS (password issue)</t>
  </si>
  <si>
    <t>Unable to log into the OS due to password issue</t>
  </si>
  <si>
    <t>Usuário</t>
  </si>
  <si>
    <t>U</t>
  </si>
  <si>
    <t>Washington Oliveira</t>
  </si>
  <si>
    <t>186.243.117.35</t>
  </si>
  <si>
    <t>BR_20161231_139_2412</t>
  </si>
  <si>
    <t>JULIO PENHA</t>
  </si>
  <si>
    <t>jcpenha@hotmail.com</t>
  </si>
  <si>
    <t>BR62PFB01Z</t>
  </si>
  <si>
    <t>Mac OS X 10.8 Mountain Lion</t>
  </si>
  <si>
    <t>NAO IMPRIME</t>
  </si>
  <si>
    <t>191.251.86.129</t>
  </si>
  <si>
    <t>BR_20161231_139_8512</t>
  </si>
  <si>
    <t>A profissional que me atendeu,se não me engano,Luciana,foi muito atenciosa,paciente e mostrou sempre interêsse em resolver o meu problema. Elogiável!</t>
  </si>
  <si>
    <t>DENISE DA SILVA SOUSA</t>
  </si>
  <si>
    <t>denisesilvajp@gmail.com</t>
  </si>
  <si>
    <t>BRBSJ51K81</t>
  </si>
  <si>
    <t>Using HP scan/copy/fax software general operation</t>
  </si>
  <si>
    <t>No HP device detected or unable to open / start HP scan/fax software</t>
  </si>
  <si>
    <t>No device detected error in HP software or SW will not open or start</t>
  </si>
  <si>
    <t>NÃO DIGITALIZA</t>
  </si>
  <si>
    <t>187.114.192.186</t>
  </si>
  <si>
    <t>BR_20161231_139_4010</t>
  </si>
  <si>
    <t>Bom dia, excelente atendimento e suporte técnico, problema resolvido co rapidez e eficiência.</t>
  </si>
  <si>
    <t>SANDRA CARNEVSKIS PEREIRA</t>
  </si>
  <si>
    <t>sandracarnevskisp@hotmail.com</t>
  </si>
  <si>
    <t>BRBSH41F8Y</t>
  </si>
  <si>
    <t>HP LaserJet Pro MFP M125a</t>
  </si>
  <si>
    <t>Resolving an error with a toner, drum or fuser</t>
  </si>
  <si>
    <t>Malfunctioning or damaged toner, drum or fuser</t>
  </si>
  <si>
    <t>Malfunctioning (ie leaking) or damaged toner, drum or fuser</t>
  </si>
  <si>
    <t>ERRO E3</t>
  </si>
  <si>
    <t>168.205.52.38</t>
  </si>
  <si>
    <t>BR_20161231_139_14920</t>
  </si>
  <si>
    <t>Produtos com ótima qualidade e referencias pessoais, eficiência no atendimento sendo assim são 03 fatores que completam um conjunto de necessidades em nosso dia a dia.</t>
  </si>
  <si>
    <t>WASHINGTON HIDEO SAKAI</t>
  </si>
  <si>
    <t>whs.1@bol.com.br</t>
  </si>
  <si>
    <t>CN23R1111G</t>
  </si>
  <si>
    <t>HP Deskjet Ink Advantage 4615 All-in-One Printer</t>
  </si>
  <si>
    <t>CZ283A</t>
  </si>
  <si>
    <t>HP Deskjet Ink Advantage 4610 All-in-One Printer series</t>
  </si>
  <si>
    <t>Poor print image quality</t>
  </si>
  <si>
    <t>Print image quality issue</t>
  </si>
  <si>
    <t>CARTUCHO</t>
  </si>
  <si>
    <t>186.220.103.233</t>
  </si>
  <si>
    <t>BR_20170101_139_16558</t>
  </si>
  <si>
    <t>LIDIANE JESUS DA SILVA</t>
  </si>
  <si>
    <t>lidiane.jesuss@hotmail.com</t>
  </si>
  <si>
    <t>BRJ6245QDD</t>
  </si>
  <si>
    <t>Performing general operation</t>
  </si>
  <si>
    <t>Trying to power-on and boot</t>
  </si>
  <si>
    <t>Boots to black or blank screen</t>
  </si>
  <si>
    <t>System does not display anything after Power On</t>
  </si>
  <si>
    <t>PROBLEMA HIBERNACAO</t>
  </si>
  <si>
    <t>189.68.217.106</t>
  </si>
  <si>
    <t>BR_20170101_139_9151</t>
  </si>
  <si>
    <t>Fui bem atendida e o problema foi solucionado com rapidez.</t>
  </si>
  <si>
    <t>maria aparecida dantas</t>
  </si>
  <si>
    <t>(133)5061324</t>
  </si>
  <si>
    <t>cidadantas56@globo.com</t>
  </si>
  <si>
    <t>BRJ6143TLM</t>
  </si>
  <si>
    <t>Windows 10 Home</t>
  </si>
  <si>
    <t>Using a mouse, touchpad or point stick</t>
  </si>
  <si>
    <t>Mouse is not working or irresponsive</t>
  </si>
  <si>
    <t>Mouse not working or irresponsive</t>
  </si>
  <si>
    <t>MOUSE</t>
  </si>
  <si>
    <t>179.228.79.126</t>
  </si>
  <si>
    <t>BR_20170101_139_9922</t>
  </si>
  <si>
    <t>CARLA ELIANE PARELLI</t>
  </si>
  <si>
    <t>caeliane@hotmail.com</t>
  </si>
  <si>
    <t>BR64RFH440</t>
  </si>
  <si>
    <t>Windows 7 Professional</t>
  </si>
  <si>
    <t>Error message on PC while printing</t>
  </si>
  <si>
    <t>Any error message on PC while printing</t>
  </si>
  <si>
    <t>189.48.135.37</t>
  </si>
  <si>
    <t>BR_20170101_139_2247</t>
  </si>
  <si>
    <t>PAULO CARVALHO</t>
  </si>
  <si>
    <t>ti01@gruporp.com.br</t>
  </si>
  <si>
    <t>BRJ61642NS</t>
  </si>
  <si>
    <t>HP All-in-One - 20-e003br</t>
  </si>
  <si>
    <t>Volume Desktops</t>
  </si>
  <si>
    <t>QZ324AA</t>
  </si>
  <si>
    <t>HP 20-e000 All-in-One Desktop PC series</t>
  </si>
  <si>
    <t>Consumer Desktops</t>
  </si>
  <si>
    <t>Using the display, touchscreen or monitor</t>
  </si>
  <si>
    <t>Customer induced display, touchscreen or monitor damage</t>
  </si>
  <si>
    <t>Any damage as a result of customer action</t>
  </si>
  <si>
    <t>Tela quebrada - CID</t>
  </si>
  <si>
    <t>Unresolved-Not entitled for support</t>
  </si>
  <si>
    <t>DNAP</t>
  </si>
  <si>
    <t>Patrik Ramos</t>
  </si>
  <si>
    <t>168.205.158.186</t>
  </si>
  <si>
    <t>BR_20170101_139_12383</t>
  </si>
  <si>
    <t>Bom dia. Encontrei as seguintes dificuldades: 1 - achar o telefone do suporte no site da HP; 2 - apos o atendimento, foi determinado que o meu problema não seria coberto pela garantia. Solicitei então um telefone de uma assistência técnica autorizada em Belo Horizonte/MG, para que eu pudesse PAGAR pelo conserto. Adivinhem ?! O local indicado já havia devolvido a minha maquina porque não encontra a peça para o conserto. 3 - Então, como o meu caso é uma atendimento DOMÉSTICO, teria que enviar o computador para SP. Conclusão: o computador não será mais usado na empresa. E, na minha administração, nunca mais compraremos produtos HP. Obrigado,  Paulo Henrique</t>
  </si>
  <si>
    <t>JENNER JACULI</t>
  </si>
  <si>
    <t>portaldoparaiso@uol.com.br</t>
  </si>
  <si>
    <t>TH655321N7</t>
  </si>
  <si>
    <t>HP OfficeJet Pro 6970 All-in-One Printer</t>
  </si>
  <si>
    <t>J7K34A</t>
  </si>
  <si>
    <t>HP OfficeJet Pro 6970 All-in-One Printer series</t>
  </si>
  <si>
    <t>ATOLAMENTO DE PAPEL ADF</t>
  </si>
  <si>
    <t>191.54.209.162</t>
  </si>
  <si>
    <t>BR_20170101_139_6970</t>
  </si>
  <si>
    <t>Segunda</t>
  </si>
  <si>
    <t>BR238P-HPQ0002</t>
  </si>
  <si>
    <t>Suspended</t>
  </si>
  <si>
    <t>p3226453</t>
  </si>
  <si>
    <t xml:space="preserve">Respondera pesquisa </t>
  </si>
  <si>
    <t xml:space="preserve">Falha não resolvida não respondera a pesquisa </t>
  </si>
  <si>
    <t xml:space="preserve">Falha não resolvida não trocou os cartuchos não respondera a pesquisa </t>
  </si>
  <si>
    <t>cliente não testou a impressora ligar as 18:00</t>
  </si>
  <si>
    <t xml:space="preserve">Responderá a pesquisa após testar o produto </t>
  </si>
  <si>
    <t>verificar se resolveu o problema</t>
  </si>
  <si>
    <t>Corporate - Marketing Promotions, Product - Printers Reliability, General Other</t>
  </si>
  <si>
    <t>General Other</t>
  </si>
  <si>
    <t>Service - Tech Support Quality of Service</t>
  </si>
  <si>
    <t>Corporate - Marketing Legal, General Other</t>
  </si>
  <si>
    <t>Service - Tech Support Problem Resolution</t>
  </si>
  <si>
    <t>Corporate - Marketing Brand, Product - PCs &amp; Laptops Gameplay, Product - PCs &amp; Laptops Reliability, Product - PCs &amp; Laptops Use and Care, Product - Printers Connectivity, Product - Printers Reliability, Product - Printers Use and Care, Product - Screen Reliability, Product - Screen Use and Care, Service - Tech Support Problem Resolution, General Other</t>
  </si>
  <si>
    <t>Service - Tech Support Problem Resolution, Service - Tech Support Quality of Service, Service - Tech Support Speed of Service</t>
  </si>
  <si>
    <t>Corporate - Marketing Loyalty, Product - PCs &amp; Laptops Reliability, Product - PCs &amp; Laptops Other, General Other, Corporate - Policy Warranty/Guarantee</t>
  </si>
  <si>
    <t>VALERIA DE ASSIS BARBOSA VIEIRA</t>
  </si>
  <si>
    <t>valeriassis@gmail.com</t>
  </si>
  <si>
    <t>BRJ6102WPP</t>
  </si>
  <si>
    <t>Hangs at Windows splash (logo)</t>
  </si>
  <si>
    <t>System freezes at HP or OS Splash or Logo screen</t>
  </si>
  <si>
    <t>LENTIDAO</t>
  </si>
  <si>
    <t>189.71.202.74</t>
  </si>
  <si>
    <t>BR_20161228_139_11509</t>
  </si>
  <si>
    <t>Atendimento excelente. O técnico foi paciente em momentos que eu não entendia o que ele solicitava.</t>
  </si>
  <si>
    <t>MATHIAS DOS ANJOS CONCEICAO</t>
  </si>
  <si>
    <t>mathiasdosanjos@outlook.com.br</t>
  </si>
  <si>
    <t>TH61K3F0Q0</t>
  </si>
  <si>
    <t>FALSO ATOLAMENTO</t>
  </si>
  <si>
    <t>179.187.147.1</t>
  </si>
  <si>
    <t>BR_20161228_139_7339</t>
  </si>
  <si>
    <t>O atendimento foi bem claro e resolveu meu problema em pouco minutos. Excelente.</t>
  </si>
  <si>
    <t>ROBERTA MARICATO CASELLI</t>
  </si>
  <si>
    <t>(213)5637762</t>
  </si>
  <si>
    <t>rmcaselli@hotmail.com</t>
  </si>
  <si>
    <t>BRJ528TZVV</t>
  </si>
  <si>
    <t>HP All-in-One - 18-5200br (ENERGY STAR)</t>
  </si>
  <si>
    <t>QZ302AA</t>
  </si>
  <si>
    <t>HP 18-5200 All-in-One Desktop PC series</t>
  </si>
  <si>
    <t>RJ-45 / WI-FI</t>
  </si>
  <si>
    <t>Eduardo Poliveira</t>
  </si>
  <si>
    <t>201.37.228.108</t>
  </si>
  <si>
    <t>BR_20161228_139_9565</t>
  </si>
  <si>
    <t>HELENA MENDES DE FREITAS</t>
  </si>
  <si>
    <t>h-poison@hotmail.com</t>
  </si>
  <si>
    <t>BR586FB4T6</t>
  </si>
  <si>
    <t>HP Deskjet Ink Advantage 2546 All-in-One Printer</t>
  </si>
  <si>
    <t>A9U24A</t>
  </si>
  <si>
    <t>HP Deskjet Ink Advantage 2540 All-in-One Printer series</t>
  </si>
  <si>
    <t>NÃO LIGA</t>
  </si>
  <si>
    <t>189.113.116.75</t>
  </si>
  <si>
    <t>BR_20161228_139_4140</t>
  </si>
  <si>
    <t>ODILENE GOMES DE SENA</t>
  </si>
  <si>
    <t>(212)0868557</t>
  </si>
  <si>
    <t>odilene.senna@hotmail.com</t>
  </si>
  <si>
    <t>BR5BNFF09B</t>
  </si>
  <si>
    <t>HP DeskJet Ink Advantage Ultra 4729 All-in-One Printer</t>
  </si>
  <si>
    <t>L8L91A</t>
  </si>
  <si>
    <t>HP DeskJet Ink Advantage Ultra 4720 All-in-One Printer series</t>
  </si>
  <si>
    <t>QUA0</t>
  </si>
  <si>
    <t>187.14.161.59</t>
  </si>
  <si>
    <t>BR_20161229_139_11671</t>
  </si>
  <si>
    <t>Nunca tinha recorrido ao suporte online HP, procurei na internet o telefone ,foi fácil e os atendentes atenciosos e muito hábeis na solução do nosso problema, por isso irei indicar HP, agradeço desde já o investimento dado ao suporte HP.                                                                                                    Odilene Gomes de Sena</t>
  </si>
  <si>
    <t>SANDRA BARROS GUINLE</t>
  </si>
  <si>
    <t>(113)7425881</t>
  </si>
  <si>
    <t>sandraguinle@hotmail.com</t>
  </si>
  <si>
    <t>BR6AAFH5HT</t>
  </si>
  <si>
    <t>177.139.86.216</t>
  </si>
  <si>
    <t>BR_20161230_139_14964</t>
  </si>
  <si>
    <t>Quem me orientou da última vez que entrei em contato, foi Tiago. Um profissional não apenas bastante capacitado mas também paciencioso e com muito boa vontade.  Entrei em contato com vocês, três vezes pois comprei minha HP há pouco tempo e estou ainda aprendendo a lidar com ela. A primeira vez falei com Odonilton que muito se destacou no atendimento, a segunda vez falei com Laís que não parecia mostrar boa vontade e deixei o problema para lá... e a terceira vez tive a sorte de falar com o Tiago que assim como o Odonilton, chamaram a atenção para a importância cada vez maior da amabilidade com os clientes.</t>
  </si>
  <si>
    <t>GABRIELE CORBARI</t>
  </si>
  <si>
    <t>corbari.g@gmail.com</t>
  </si>
  <si>
    <t>BRJ6286MCM</t>
  </si>
  <si>
    <t>OS error messages (not power-on or boot related)</t>
  </si>
  <si>
    <t>OS error messages: insufficient memory, etc.</t>
  </si>
  <si>
    <t>WI-FI</t>
  </si>
  <si>
    <t>levi barros</t>
  </si>
  <si>
    <t>177.97.182.91</t>
  </si>
  <si>
    <t>BR_20161230_139_5445</t>
  </si>
  <si>
    <t>PRISCILA MARCHI DE MORAES</t>
  </si>
  <si>
    <t>prismarchi@yahoo.com.br</t>
  </si>
  <si>
    <t>BR669FB019</t>
  </si>
  <si>
    <t>IMPRESSORA COM CONGESTIONAMENTO DE PAPEL</t>
  </si>
  <si>
    <t>191.255.226.174</t>
  </si>
  <si>
    <t>BR_20161230_139_13297</t>
  </si>
  <si>
    <t>Reginaldo de souza lopes</t>
  </si>
  <si>
    <t>eugenioal16@icloud.com</t>
  </si>
  <si>
    <t>BRJ4395WK4</t>
  </si>
  <si>
    <t>HP Pavilion 14-v063br Notebook PC (ENERGY STAR)</t>
  </si>
  <si>
    <t>Microsoft Windows 8.1 (64-bit)</t>
  </si>
  <si>
    <t>F4J46LA</t>
  </si>
  <si>
    <t>HP Pavilion 14-v000 Notebook PC series</t>
  </si>
  <si>
    <t>Using central processing unit (CPU)</t>
  </si>
  <si>
    <t>CPU temperature is above specifications</t>
  </si>
  <si>
    <t>System error reports CPU temperature overheating</t>
  </si>
  <si>
    <t>SUPERAQUECIMENTO</t>
  </si>
  <si>
    <t>179.176.106.49</t>
  </si>
  <si>
    <t>BR_20161230_139_13727</t>
  </si>
  <si>
    <t>o técnico não é muito profissional em relação a software e nem hardware , sabe o básico e não explica muito bem. Em alguns casos fica enrolando o usuário final.</t>
  </si>
  <si>
    <t>LINDINALVA MARQUES DA SILVA</t>
  </si>
  <si>
    <t>lindymsr@yahoo.com.br</t>
  </si>
  <si>
    <t>BR69SFB1YQ</t>
  </si>
  <si>
    <t>Setting up network connectivity</t>
  </si>
  <si>
    <t>Setup help: Setting up network connectivity</t>
  </si>
  <si>
    <t>Bluetooth, Wi-Fi, WAN, LAN, WWAN data card etc.</t>
  </si>
  <si>
    <t>NAO IMPRIME VIA WIFI</t>
  </si>
  <si>
    <t>186.223.94.56</t>
  </si>
  <si>
    <t>BR_20161231_139_9826</t>
  </si>
  <si>
    <t>KETRYN WISTUDA DE FRANCA</t>
  </si>
  <si>
    <t>ketrynwf@gmail.com</t>
  </si>
  <si>
    <t>BR5A1FD12X</t>
  </si>
  <si>
    <t>Media Pick up Issues</t>
  </si>
  <si>
    <t>Media pick issues including ADF or duplexer</t>
  </si>
  <si>
    <t>NAO TRACIONA O PAPEL</t>
  </si>
  <si>
    <t>200.189.118.137</t>
  </si>
  <si>
    <t>BR_20161231_139_9039</t>
  </si>
  <si>
    <t>Achei muito mais prático o atendimento por telefone, sem ter a necessidade de levar a uma assistência autorizada. Tive dificuldades em localizar o canal certo para o atendimento (as especificações da gravação não são muito claras) porém, após iniciar o atendimento no local certo ficou tudo muito mais fácil. Fui bem atendida, não recordo o nome do atendente, porém, quero ressaltar que ele tem bom domínio técnico, foi claro e objetivo em suas instruções e muito paciente (já que não tenho domínio do equipamento). Gostaria de deixar aqui meu agradecimento a ele por ajudar a solucionar o problema.  Atenciosamente, Ketryn</t>
  </si>
  <si>
    <t>LUCAS SANTOS ALMEIDA</t>
  </si>
  <si>
    <t>lucas_almeida1993@outlook.com</t>
  </si>
  <si>
    <t>BR51MFG40G</t>
  </si>
  <si>
    <t>ATOLAMENTO DE PAPEL</t>
  </si>
  <si>
    <t>SUPR</t>
  </si>
  <si>
    <t>SITL_SAO_BR-PT-PH-SUP-FL-COMPU-0005</t>
  </si>
  <si>
    <t>170.0.68.75</t>
  </si>
  <si>
    <t>BR_20161231_139_10065</t>
  </si>
  <si>
    <t>JACQUELINE DA SILVA MONTEIRO</t>
  </si>
  <si>
    <t>jacportugues@gmail.com</t>
  </si>
  <si>
    <t>BRBSJ8JSD4</t>
  </si>
  <si>
    <t>The unit will not power up, DOA (OOB)</t>
  </si>
  <si>
    <t>Computer, printer, peripheral doesn't work, DOA</t>
  </si>
  <si>
    <t>INSTALACAO</t>
  </si>
  <si>
    <t>177.54.125.62</t>
  </si>
  <si>
    <t>BR_20161231_139_6725</t>
  </si>
  <si>
    <t>Atendimento excelente. Sem nada para reclamar.</t>
  </si>
  <si>
    <t>Waldir Hiroshi Baba</t>
  </si>
  <si>
    <t>011 37615772</t>
  </si>
  <si>
    <t>ovosyuri@gmail.com</t>
  </si>
  <si>
    <t>BR6BBFC01H</t>
  </si>
  <si>
    <t>Por favor,qual botão eu aperto para digitalizar a minha folha.obrigado.</t>
  </si>
  <si>
    <t>Web - Inbound Call</t>
  </si>
  <si>
    <t>201.27.89.15</t>
  </si>
  <si>
    <t>BR_20161231_139_17353</t>
  </si>
  <si>
    <t>Para o meu problema a HP resolveu imediatamente muito obrigado.</t>
  </si>
  <si>
    <t>FUPO SMS</t>
  </si>
  <si>
    <t>NAYABE BERNARDES DE ARAUJO</t>
  </si>
  <si>
    <t>nayabearaujo97@hotmail.com</t>
  </si>
  <si>
    <t>BRJ6133JRC</t>
  </si>
  <si>
    <t>Touchscreen unresponsive</t>
  </si>
  <si>
    <t>Touchscreen will not calibrate, calibration drift</t>
  </si>
  <si>
    <t>AUDIO / LENTIDÃO / MODO TABLET / WIFI</t>
  </si>
  <si>
    <t>Stefany Aparecida</t>
  </si>
  <si>
    <t>179.98.240.48</t>
  </si>
  <si>
    <t>BR_20170101_139_11638</t>
  </si>
  <si>
    <t>DALMO ALEX OLIVEIRA ALVES</t>
  </si>
  <si>
    <t>(893)5421360</t>
  </si>
  <si>
    <t>marximos.dalmo@hotmail.com</t>
  </si>
  <si>
    <t>BRJ62153VL</t>
  </si>
  <si>
    <t>Learning basic navigation</t>
  </si>
  <si>
    <t>Setup help: Learning basic navigation</t>
  </si>
  <si>
    <t>Help with gestures, quick launch button, etc.</t>
  </si>
  <si>
    <t>NAO INICIA</t>
  </si>
  <si>
    <t>Leonardo Maracas</t>
  </si>
  <si>
    <t>Alvani Oliveira</t>
  </si>
  <si>
    <t>187.41.135.189</t>
  </si>
  <si>
    <t>BR_20170101_139_3247</t>
  </si>
  <si>
    <t>Terça</t>
  </si>
  <si>
    <t xml:space="preserve">Respondera não ligar mais </t>
  </si>
  <si>
    <t xml:space="preserve">Cliente não esta no local </t>
  </si>
  <si>
    <t xml:space="preserve">Respondeu a pesquisa hoje </t>
  </si>
  <si>
    <t>cliente ausente. Retornar as 15h</t>
  </si>
  <si>
    <t>Corporate - Marketing Manuals/Instructions, Service - Tech Support Problem Resolution, Service - Tech Support Quality of Service, General Other</t>
  </si>
  <si>
    <t>DELAIDES ALVEZ OLIVEIRA</t>
  </si>
  <si>
    <t>nataliarosabispo4@gmail.com</t>
  </si>
  <si>
    <t>BRJ445B0JK</t>
  </si>
  <si>
    <t>HP 14-r051br Notebook PC (ENERGY STAR)</t>
  </si>
  <si>
    <t>F4J33LA</t>
  </si>
  <si>
    <t>HP 14-r000 Notebook PC series</t>
  </si>
  <si>
    <t>Won't power-on from OFF state</t>
  </si>
  <si>
    <t>Not starting. No led or beep, no error or display, no fan</t>
  </si>
  <si>
    <t>TELA PRETA</t>
  </si>
  <si>
    <t>131.108.124.218</t>
  </si>
  <si>
    <t>BR_20161228_139_2627</t>
  </si>
  <si>
    <t>Uma otima marca e também um otimo atendimento ao cliente</t>
  </si>
  <si>
    <t>MARCOS BATISTA DE PADUA</t>
  </si>
  <si>
    <t>(114)6759321</t>
  </si>
  <si>
    <t>marcosbpadua@gmail.com</t>
  </si>
  <si>
    <t>BRJ5451BFZ</t>
  </si>
  <si>
    <t>HP Pavilion 360 - 11-n127br</t>
  </si>
  <si>
    <t>K8N59LA</t>
  </si>
  <si>
    <t>HP Pavilion 11-n100 x360 PC series</t>
  </si>
  <si>
    <t>Display, touchscreen or monitor won't turn on</t>
  </si>
  <si>
    <t>Display, touchscreen or monitor will not turn on (incl. All-in-ones)</t>
  </si>
  <si>
    <t>FALHA NO TOUCHSCREEN</t>
  </si>
  <si>
    <t>foi gun</t>
  </si>
  <si>
    <t>177.102.51.217</t>
  </si>
  <si>
    <t>BR_20161228_139_6920</t>
  </si>
  <si>
    <t>SERGIO DOS SANTOS CARRENHO</t>
  </si>
  <si>
    <t>(112)3061116</t>
  </si>
  <si>
    <t>(113)5892927</t>
  </si>
  <si>
    <t>sergiocarrenho@hotmail.com</t>
  </si>
  <si>
    <t>BRJ621562T</t>
  </si>
  <si>
    <t>K5G51AA - BRJ621562T - HP All-in-One - 20-e001br (ENERGY STAR)</t>
  </si>
  <si>
    <t>K5G51AA</t>
  </si>
  <si>
    <t>System too slow (sluggish)</t>
  </si>
  <si>
    <t>The system is sluggish, running abnormally slow</t>
  </si>
  <si>
    <t>DESEMPENHO</t>
  </si>
  <si>
    <t>Unresolved-No solution</t>
  </si>
  <si>
    <t>Product Experience</t>
  </si>
  <si>
    <t>Customer expectations not met/Buyer's Remorse</t>
  </si>
  <si>
    <t xml:space="preserve">*Sondagem -Insatisfeito com o produto; -Sr.Sérgio retorna contato pois não aceita que a lentidão da maquina seja considerada caracteristica do produto; -Ameaça processar a HP por propaganda enganosa, pois no momento da compra do equipamento no site da HP, </t>
  </si>
  <si>
    <t>Anderson Ssilveira</t>
  </si>
  <si>
    <t>Bruno Colella</t>
  </si>
  <si>
    <t>201.6.143.220</t>
  </si>
  <si>
    <t>BR_20161229_140_469</t>
  </si>
  <si>
    <t>Achei o fim do mundo a HP comercializar um produto, e depois de eu comprar duas unidades saber que é uma caracteristica do produto ser lento e ficar travando, porque vcs não colocam no anúncio ``PRODUTO COM BAIXO DESEMPENHO´´. é muito mais ético. HP nunca mais...</t>
  </si>
  <si>
    <t>DEAN MILHOMEM CRUZ</t>
  </si>
  <si>
    <t>dean.milhomem@gmail.com</t>
  </si>
  <si>
    <t>BR4BEFG1YZ</t>
  </si>
  <si>
    <t>IMPRESSÃO SAI COM PRETO FALHADO</t>
  </si>
  <si>
    <t>Accessory In Wty</t>
  </si>
  <si>
    <t>187.255.219.12</t>
  </si>
  <si>
    <t>BR_20161230_139_3845</t>
  </si>
  <si>
    <t>MARIA LUCIA NOVAES PAGLIARI</t>
  </si>
  <si>
    <t>(113)0317833</t>
  </si>
  <si>
    <t>malupagliari@gmail.com</t>
  </si>
  <si>
    <t>BRJ6184L8R</t>
  </si>
  <si>
    <t>HP Notebook - 14-ac108br (ENERGY STAR)</t>
  </si>
  <si>
    <t>L9M30LA</t>
  </si>
  <si>
    <t>HP 14-ac100 Notebook PC series</t>
  </si>
  <si>
    <t>CNF: Using the operating system</t>
  </si>
  <si>
    <t>Code not found - Briefly describe the symptom</t>
  </si>
  <si>
    <t>TRAVAMENTO</t>
  </si>
  <si>
    <t>201.52.94.194</t>
  </si>
  <si>
    <t>BR_20161231_139_10563</t>
  </si>
  <si>
    <t>FERNANDO GRACIANO NUIN</t>
  </si>
  <si>
    <t>(853)2172802</t>
  </si>
  <si>
    <t>fernuin@gmail.com</t>
  </si>
  <si>
    <t>BRJ6235HT1</t>
  </si>
  <si>
    <t>HP Notebook - 14-ap010</t>
  </si>
  <si>
    <t>P0E45LA</t>
  </si>
  <si>
    <t>ADMINISTRADOR INTERNO</t>
  </si>
  <si>
    <t>Lucas Dpinto</t>
  </si>
  <si>
    <t>66.249.85.30</t>
  </si>
  <si>
    <t>BR_20161231_139_5209</t>
  </si>
  <si>
    <t>JACINTA MOTA AFONSO AFONSO</t>
  </si>
  <si>
    <t>jm.afonso@globo.com</t>
  </si>
  <si>
    <t>BRJ524SPNR</t>
  </si>
  <si>
    <t>HP Pavilion All-in-One - 23-g205br</t>
  </si>
  <si>
    <t>QZ306AA</t>
  </si>
  <si>
    <t>HP Pavilion 23-g200 All-in-One Desktop PC series</t>
  </si>
  <si>
    <t>Boots to BIOS error code</t>
  </si>
  <si>
    <t>BIOS error code displayed during boot process</t>
  </si>
  <si>
    <t>TELA CINZA</t>
  </si>
  <si>
    <t>Care Pack</t>
  </si>
  <si>
    <t>Care Pack Warranty</t>
  </si>
  <si>
    <t>186.205.1.69</t>
  </si>
  <si>
    <t>BR_20161231_139_6667</t>
  </si>
  <si>
    <t>sempre usei produtos HP e sempre fui muito bem atendida</t>
  </si>
  <si>
    <t>CARLOS ALBERTO SOUZA SILVA</t>
  </si>
  <si>
    <t>(115)1822978</t>
  </si>
  <si>
    <t>compras@engecrom.com.br</t>
  </si>
  <si>
    <t>CN633BM0DB</t>
  </si>
  <si>
    <t>HP OfficeJet Pro 8710 All-in-One Printer</t>
  </si>
  <si>
    <t>D9L18A</t>
  </si>
  <si>
    <t>HP OfficeJet Pro 8710 All-in-One Printer series</t>
  </si>
  <si>
    <t>Printhead or Ink Cartridge alignment error</t>
  </si>
  <si>
    <t>CABECOTE AUSENTE OU FALHA</t>
  </si>
  <si>
    <t>191.255.233.218</t>
  </si>
  <si>
    <t>BR_20161231_139_2295</t>
  </si>
  <si>
    <t>NEILER EUSTAQUIO BARBOSA</t>
  </si>
  <si>
    <t>(115)5729127</t>
  </si>
  <si>
    <t>admcitypark@hotmail.com</t>
  </si>
  <si>
    <t>BR5CHFC0Y9</t>
  </si>
  <si>
    <t>HP DeskJet Ink Advantage 3836 All-in-One Printer</t>
  </si>
  <si>
    <t>F5R97A</t>
  </si>
  <si>
    <t>HP DeskJet Ink Advantage 3830 All-in-One Printer series</t>
  </si>
  <si>
    <t>Network - Network configuration error</t>
  </si>
  <si>
    <t>Network config error like firewall or router etc.</t>
  </si>
  <si>
    <t>CONFIGURACAO DA IMPRESSORA PARA REDE WI FI</t>
  </si>
  <si>
    <t>191.209.19.152</t>
  </si>
  <si>
    <t>BR_20161231_139_12279</t>
  </si>
  <si>
    <t>Quero ressaltar a competência da sua funcionária Denise, que me atendeu no dia 29.12.2016 e finalmente conseguiu com muita competência, RESOLVER este problema que muitos funcionários da HP não conseguiram. Realmente a Denize é muito competente e eficaz.  Atenciosamente Neiler Eustáquio Barbosa - Sindico do City Park</t>
  </si>
  <si>
    <t>GEOVANA FIGUEIRINHA DOS SANTOS</t>
  </si>
  <si>
    <t>geovanafigueirinha@bol.com.br</t>
  </si>
  <si>
    <t>BR66OFF4DS</t>
  </si>
  <si>
    <t>CARTUCHO PRETO</t>
  </si>
  <si>
    <t>187.56.9.243</t>
  </si>
  <si>
    <t>BR_20161231_139_5693</t>
  </si>
  <si>
    <t>ISAÍAS DA SILVA RAMOS</t>
  </si>
  <si>
    <t>isaias.isr@gmail.com</t>
  </si>
  <si>
    <t>BRJ541ZKF8</t>
  </si>
  <si>
    <t>HP 14-r052br Notebook PC</t>
  </si>
  <si>
    <t>F4J34LA</t>
  </si>
  <si>
    <t>Interacting with casing or housing</t>
  </si>
  <si>
    <t>Fan constantly running</t>
  </si>
  <si>
    <t>The fan can be heard running constantly</t>
  </si>
  <si>
    <t>177.180.244.118</t>
  </si>
  <si>
    <t>BR_20170101_139_6327</t>
  </si>
  <si>
    <t>JUNIO AUGUSTO DE MELO</t>
  </si>
  <si>
    <t>(213)4670421</t>
  </si>
  <si>
    <t>scavocascavoca@uol.com.br</t>
  </si>
  <si>
    <t>BRJ537XZ1P</t>
  </si>
  <si>
    <t>HP Pavilion All-in-One - 23-g200br</t>
  </si>
  <si>
    <t>QZ305AA</t>
  </si>
  <si>
    <t>OS Software or application will not launch, freezes or crashes</t>
  </si>
  <si>
    <t>Issue with launching OS software or App</t>
  </si>
  <si>
    <t>NAO INICIA - REINCIDENCIA</t>
  </si>
  <si>
    <t>Fabio Psilva</t>
  </si>
  <si>
    <t>vinicius brandao</t>
  </si>
  <si>
    <t>66.249.85.29</t>
  </si>
  <si>
    <t>BR_20170104_139_7422</t>
  </si>
  <si>
    <t>4 meses para resolver um problema a meu ver simples. Ou se faz o reparo e resolve ou troca o produto para o cliente, desta forma a tendência é perder o cliente.  Minha operadora de celular anterior está a onze anos tentando me reconquistar. .um baita prejuízo visto que a época minha conta era de R$330,00 por mês.</t>
  </si>
  <si>
    <t>Quarta</t>
  </si>
  <si>
    <t>Caio Arai</t>
  </si>
  <si>
    <t>Erico Silva</t>
  </si>
  <si>
    <t xml:space="preserve">Cliente não recebeu a pesquisa não ligar mais </t>
  </si>
  <si>
    <t xml:space="preserve">Respondera a pesquisa possivel medium esta indeciso entre 8 / 9 sobre a marca </t>
  </si>
  <si>
    <t xml:space="preserve">Não resolvido não respondera cliente com pouco tempo para falar ira retornar mais tarde para a hp </t>
  </si>
  <si>
    <t xml:space="preserve">Nota baixa não indica a hp e nem o atendimento mais informa que foi bem atendida nota 7 /8 não responder a pesquisa </t>
  </si>
  <si>
    <t xml:space="preserve">Cliente forma que não trocou o cartucho não respondera a pesquisa </t>
  </si>
  <si>
    <t>Cliente pedeu a nota fiscal esta verificando se consegue uma segunda via não respondera a pesquisa</t>
  </si>
  <si>
    <t xml:space="preserve">Cso gerada não respondera a pesquisa </t>
  </si>
  <si>
    <t xml:space="preserve"> Cliente informa que seu produto e muito ruim não indica a marca não respondera a pesquisa </t>
  </si>
  <si>
    <t xml:space="preserve">Falha continua não respondera a pesquisa </t>
  </si>
  <si>
    <t>JOSE IVANCRIS BATISTA DOS SANTOS</t>
  </si>
  <si>
    <t>Kaio Santana</t>
  </si>
  <si>
    <t>Cliente não esta no local ligar depois das 19:30</t>
  </si>
  <si>
    <t xml:space="preserve">Cliente insadisfeito pois em outro contato não foi dado suporte para o equipamento pois esta fora de garantia </t>
  </si>
  <si>
    <t xml:space="preserve">Não realizou as trocas do cartuchos não respondera a pesquisa </t>
  </si>
  <si>
    <t xml:space="preserve">Cliente informa que já recebeu vairos contatos informnado para não responder a pesquisa não ligar mais </t>
  </si>
  <si>
    <t xml:space="preserve">Cliente não esta no local esta viajando </t>
  </si>
  <si>
    <t xml:space="preserve">Respondera a pesquisa amanha não ligar </t>
  </si>
  <si>
    <t xml:space="preserve">Não trocou o cartucho não respondera a pesquisa </t>
  </si>
  <si>
    <t xml:space="preserve">Tco </t>
  </si>
  <si>
    <t>Cliente informa que não esta localizando o email mas não esta com tempo para olhar mais a fundo se localizar ira responder a pesquisa</t>
  </si>
  <si>
    <t>BR238P-HPQ0712</t>
  </si>
  <si>
    <t>Felipe Abarbosa</t>
  </si>
  <si>
    <t>Paul Hmaida</t>
  </si>
  <si>
    <t>BR238P-HPQ0669</t>
  </si>
  <si>
    <t>SÓ CHAMA |CAIXA POSTAL</t>
  </si>
  <si>
    <t>CAIXA DE MENSAGEM |OCUPADO</t>
  </si>
  <si>
    <t xml:space="preserve">SÓ CHAMA NOS 2 TELEFONES </t>
  </si>
  <si>
    <t xml:space="preserve">SÓ CHAMA |CAIXA DE MENSAGEM </t>
  </si>
  <si>
    <t>SEM SUCESSO SÓ CHAMA | CAI EM UM RAMAL DE ATENDIMENTO ELETRONICO DISPONIVEL NO SABADO</t>
  </si>
  <si>
    <t xml:space="preserve">PRODUTO NA REPARADORA VAI IGNORAR A PESQUISA </t>
  </si>
  <si>
    <t xml:space="preserve">DIZ QUE JÁ RESPONDEU </t>
  </si>
  <si>
    <t xml:space="preserve">VAI VERIFICAR EMAIL NO MOMENTO ESTAVA INDISPONÍVEL , ESTÁ SATISFEITA AVALIA COM 10 PARA ATENDENTE E 10 PARA HP </t>
  </si>
  <si>
    <t>DIZ QUE ATÉ ONTEM NÃO TINHA RECEBIDO EMAIL , VAI VERIFICAR E REPONDER A MESMA NOTA DE LINHA 10</t>
  </si>
  <si>
    <t>SEM SUCESSO NÃO CHAMA</t>
  </si>
  <si>
    <t xml:space="preserve">JÁ RESPONDEU PESQUISA </t>
  </si>
  <si>
    <t xml:space="preserve">PROBLEMA VOLTOU A OCORRER ,VAI RETORNAR CONTATO QUANDO HOUVER DIPONIBILIDADE E VAI IGNORAR PESQUISA </t>
  </si>
  <si>
    <t>DIZ QUE NÃO RECEBEU EMAIL EMAIL ESTÁ CORRETO SE CHEGAR VAI RESPONDER ESTÁ SATISFEITO 9/10</t>
  </si>
  <si>
    <t xml:space="preserve">SÓ CHAMA </t>
  </si>
  <si>
    <t xml:space="preserve">SÓ CHAMA |CAIXA POSTAL </t>
  </si>
  <si>
    <t xml:space="preserve">FORA DE AREA |SÓ CHAMA </t>
  </si>
  <si>
    <t>CLIENTE VAI RETORNAR QUANDO TIVER DISPONIBILIDADE NÃO FOI 100% RESOLVIDO VAI IGNORAR PESQUISA</t>
  </si>
  <si>
    <t xml:space="preserve">SÓ CHAMA EM TODOS OS TELEFONES </t>
  </si>
  <si>
    <t xml:space="preserve">SEM SUCESSO SÓ CHAMA </t>
  </si>
  <si>
    <t xml:space="preserve">CLIENTE NÃO SE ENCONTRA SÓ DEPOIS DAS 15:30 HRS </t>
  </si>
  <si>
    <t>CAIXA DE MENSAGEM |CAIXA POSTAL</t>
  </si>
  <si>
    <t xml:space="preserve">POSSIVEL DETRECTOR NÃO LIGAR MAIS TEVE PROBLEMAS COM GARANTIA EXTENDIDA E ESTÁ INSATISFEITA PODE IMPACTAR NA PESQUISA </t>
  </si>
  <si>
    <t xml:space="preserve">SEM SUCESSO SÓ CHAMA NOS 2 TELEFONES </t>
  </si>
  <si>
    <t xml:space="preserve">OCUPADO| CAIXA POSTAL </t>
  </si>
  <si>
    <t>SÓ CHAMA |CAIXA DEM MENSAGEM</t>
  </si>
  <si>
    <t>CLIENTE INSATISFEITO | NÃO LIGAR MAIS|DETRECTOR</t>
  </si>
  <si>
    <t>CLIENTE SÓ ESTARÁ NA EMPRESA SEGUNDA DIA 09/01/2017</t>
  </si>
  <si>
    <t>SÓ CHAMA E OUTROTELEFONE COM RUÍDO NA LINHA  NÃO CHAMA</t>
  </si>
  <si>
    <t xml:space="preserve">VAI VERIFICAR EMAIL NO MOMENTO ESTAVA INDISPONÍVEL , AVALIA COM 9PARA ATENDENTE E 8 PARA HP </t>
  </si>
  <si>
    <t xml:space="preserve">APLICADO CID NÃO LIGAR </t>
  </si>
  <si>
    <t xml:space="preserve">CLIENTE RECEBEU CONTATO DA HP ORIENTARAM A AGUARDAR CONTATO E IGNORAR PESQUISA </t>
  </si>
  <si>
    <t xml:space="preserve">FOI ABERTO CHAMADO VAI IGNORAR PESQUISA </t>
  </si>
  <si>
    <t xml:space="preserve">SÓ VAI ATENDER EM HORÁRIO COMERCIAL NÃO LIGAR NO SÁBADO </t>
  </si>
  <si>
    <t>TENTATIVA DE ACESSO AO LOCAL: C:\USERS\IJUNI002\DESKTOP</t>
  </si>
  <si>
    <t>TENTATIVA DE ACESSO AO LOCAL: C:\USERS\JSILV061\DOCUMENTS</t>
  </si>
  <si>
    <t>TENTATIVA DE ACESSO AO LOCAL: H:\IVAN JR - FUPO\RELATÓRIOS</t>
  </si>
  <si>
    <t>BR238P-HPQ0064</t>
  </si>
  <si>
    <t>TENTATIVA DE ACESSO AO LOCAL: Z:\IVAN JR - FUPO\RELATÓRIOS</t>
  </si>
  <si>
    <t>TENTATIVA DE ACESSO AO LOCAL: \\BR238P-HPQ0064\EQUIPE\IVAN JR - FUPO\RELATÓRIOS</t>
  </si>
  <si>
    <t>SUPERVISORES</t>
  </si>
  <si>
    <t>Corporate - Marketing Advertising, General Other</t>
  </si>
  <si>
    <t>Ana Paula Medeiros</t>
  </si>
  <si>
    <t>amedeiros12@hotmail.com</t>
  </si>
  <si>
    <t>BRJ6235JWM</t>
  </si>
  <si>
    <t>INTERNET LIMITADA</t>
  </si>
  <si>
    <t>187.115.25.107</t>
  </si>
  <si>
    <t>BR_20170104_139_556</t>
  </si>
  <si>
    <t>HELBERT ANTONIAZI SALEM CAMPOS</t>
  </si>
  <si>
    <t>helbertcampos@hotmail.com</t>
  </si>
  <si>
    <t>BR562FF02X</t>
  </si>
  <si>
    <t>HP Deskjet Ink Advantage 1516 All-in-One Printer</t>
  </si>
  <si>
    <t>B2L58A</t>
  </si>
  <si>
    <t>HP Deskjet Ink Advantage 1510 All-in-One Printer series</t>
  </si>
  <si>
    <t>QUALIDADE DE IMPRESSÃO</t>
  </si>
  <si>
    <t>66.249.85.28</t>
  </si>
  <si>
    <t>BR_20170104_139_5463</t>
  </si>
  <si>
    <t>ALEKS DE AMORIM SOARES</t>
  </si>
  <si>
    <t>(313)4219459</t>
  </si>
  <si>
    <t>gilbyrt@gmail.com</t>
  </si>
  <si>
    <t>BRG028G0XH</t>
  </si>
  <si>
    <t>HP Mini 210-1030BR PC</t>
  </si>
  <si>
    <t>Windows 7 Home Basic</t>
  </si>
  <si>
    <t>XB875LA</t>
  </si>
  <si>
    <t>HP Mini 210-1000 PC series</t>
  </si>
  <si>
    <t>Pending Customer Action</t>
  </si>
  <si>
    <t>A# - NAO SEGURA CARGA</t>
  </si>
  <si>
    <t>186.206.253.233</t>
  </si>
  <si>
    <t>BR_20170104_139_272</t>
  </si>
  <si>
    <t>VALTER DE ARAUJO DIAS</t>
  </si>
  <si>
    <t>valtedra1759@gmail.com</t>
  </si>
  <si>
    <t>BR666FC0N7</t>
  </si>
  <si>
    <t>170.84.51.130</t>
  </si>
  <si>
    <t>BR_20170104_139_14567</t>
  </si>
  <si>
    <t>Em meu primeiro contato com HP. Fui atendido por um excelente profissional. Sr. Yuri Laranjeira, que fez um atendimento de excelência, que só tenho que parabenizar a HP.</t>
  </si>
  <si>
    <t>EMANUELLE LIMA DE OLIVEIRA</t>
  </si>
  <si>
    <t>emanuellepark10@gmail.com</t>
  </si>
  <si>
    <t>BR65JFB3WF</t>
  </si>
  <si>
    <t>179.35.17.8</t>
  </si>
  <si>
    <t>BR_20170104_139_4241</t>
  </si>
  <si>
    <t>MARCONDES BASTOS DE OLIVEIRA</t>
  </si>
  <si>
    <t>(773)4842602</t>
  </si>
  <si>
    <t>santanacenter1@hotmail.com</t>
  </si>
  <si>
    <t>BRBSB6R0RN</t>
  </si>
  <si>
    <t>HP LaserJet Pro P1102w Printer</t>
  </si>
  <si>
    <t>SF Laser PLE</t>
  </si>
  <si>
    <t>CE657A</t>
  </si>
  <si>
    <t>HP LaserJet Pro P1102 Printer series</t>
  </si>
  <si>
    <t>Print job hangs in queue/spooler</t>
  </si>
  <si>
    <t>Print job hangs in queue or spooler</t>
  </si>
  <si>
    <t>DOCUMENTO NO SPOOLER</t>
  </si>
  <si>
    <t>201.50.139.224</t>
  </si>
  <si>
    <t>BR_20170104_139_9052</t>
  </si>
  <si>
    <t>JOAO PEDRO MARTINS SALES</t>
  </si>
  <si>
    <t>joaopedroms.ifce@gmail.com</t>
  </si>
  <si>
    <t>BR64CFF170</t>
  </si>
  <si>
    <t>179.236.72.139</t>
  </si>
  <si>
    <t>BR_20170104_139_6751</t>
  </si>
  <si>
    <t>Não possui assistencia em manaus, caso não tivesse sido resolvido eu teria um grande transtorno de ter que enviar a impressora e aguardar muito tempo, além dos custos de envio</t>
  </si>
  <si>
    <t>Product - Printers Pricing/Value, Product - Printers Reliability, Product - Printers Size, Product - Printers Use and Care, Fulfillment - Delivery Cost of Delivery</t>
  </si>
  <si>
    <t>LADIMIR COSTA SILVA</t>
  </si>
  <si>
    <t>ladimir.co@gmail.com</t>
  </si>
  <si>
    <t>BR64DFF370</t>
  </si>
  <si>
    <t>NÃO RECONHECE USB</t>
  </si>
  <si>
    <t>179.210.44.117</t>
  </si>
  <si>
    <t>BR_20170105_139_10475</t>
  </si>
  <si>
    <t>Elizabeth Freire Braga</t>
  </si>
  <si>
    <t>beth.braga48@hotmail.com</t>
  </si>
  <si>
    <t>BRJ5471YZC</t>
  </si>
  <si>
    <t>HP All-in-One - 18-5600br (ENERGY STAR)</t>
  </si>
  <si>
    <t>K5G49AA</t>
  </si>
  <si>
    <t>HP 18-5600 All-in-One Desktop PC series</t>
  </si>
  <si>
    <t>Startup errors in the OS</t>
  </si>
  <si>
    <t>OS errors or BSOD (Blue Screen) before logon</t>
  </si>
  <si>
    <t>ERRO 0XC0000142</t>
  </si>
  <si>
    <t>187.105.47.208</t>
  </si>
  <si>
    <t>BR_20170105_139_5407</t>
  </si>
  <si>
    <t>Dei essas notas porque acho a HP muito boa quando preciso da ajuda dela. A minha impressora também é HP e toda vez que precisei de ajuda meu problema foi resolvido.  Obrigada.  Elizabeth Freire Braga</t>
  </si>
  <si>
    <t>Product - Printers Use and Care, General Other</t>
  </si>
  <si>
    <t>LUIZA HELENA TEMPONI SILVA</t>
  </si>
  <si>
    <t>luu.helenaa@gmail.com</t>
  </si>
  <si>
    <t>BR65SFB0MK</t>
  </si>
  <si>
    <t>186.213.87.252</t>
  </si>
  <si>
    <t>BR_20170105_139_11410</t>
  </si>
  <si>
    <t>NOEMI FLORENZZANO.</t>
  </si>
  <si>
    <t>florenzzano@gmail.com</t>
  </si>
  <si>
    <t>BRJ6133KHP</t>
  </si>
  <si>
    <t>Wireless</t>
  </si>
  <si>
    <t>177.182.210.86</t>
  </si>
  <si>
    <t>BR_20170105_139_13928</t>
  </si>
  <si>
    <t>Corporate - Marketing Brand</t>
  </si>
  <si>
    <t>ADRIANA APARECIDA MARCONDES LEITE TOMY</t>
  </si>
  <si>
    <t>(123)6215308</t>
  </si>
  <si>
    <t>tomyantonella@yahoo.com.br</t>
  </si>
  <si>
    <t>BR599FD0NR</t>
  </si>
  <si>
    <t>Wi-Fi (WLAN) Printing Issue</t>
  </si>
  <si>
    <t>Any issues printing Wireless</t>
  </si>
  <si>
    <t>189.55.142.100</t>
  </si>
  <si>
    <t>BR_20170105_139_174</t>
  </si>
  <si>
    <t>EMERSON LINS ELEUTERIO</t>
  </si>
  <si>
    <t>emersonlins@hotmail.com</t>
  </si>
  <si>
    <t>BRJ60206V4</t>
  </si>
  <si>
    <t>187.19.159.246</t>
  </si>
  <si>
    <t>BR_20170106_139_5532</t>
  </si>
  <si>
    <t>Até agora não consegui mudar a senha de entrada no notebook, do Windows. Deixo a tela sempre aberta com medo de fechar e não ligar, pois não lembro mais da senha.</t>
  </si>
  <si>
    <t>Product - Operating System Reliability, Product - Operating System Use and Care, Product - PCs &amp; Laptops Reliability, Product - PCs &amp; Laptops Use and Care, Product - Screen Reliability, Product - Screen Use and Care, Corporate - Policy Exchange</t>
  </si>
  <si>
    <t>RIVELINO GOMES</t>
  </si>
  <si>
    <t>gomesbh1@hotmail.com</t>
  </si>
  <si>
    <t>BR62DFB253</t>
  </si>
  <si>
    <t>Print quality related error</t>
  </si>
  <si>
    <t>All print quality related errors</t>
  </si>
  <si>
    <t>187.20.93.75</t>
  </si>
  <si>
    <t>BR_20170104_139_12041</t>
  </si>
  <si>
    <t>atenção e profissionalismo!!</t>
  </si>
  <si>
    <t>PAULO AKIRA SUGUIUTI</t>
  </si>
  <si>
    <t>marciniasuguiuti@gmail.com</t>
  </si>
  <si>
    <t>BRJ6194T1L</t>
  </si>
  <si>
    <t>HP All-in-One - 22-3100br (ENERGY STAR)</t>
  </si>
  <si>
    <t>K5G53AA</t>
  </si>
  <si>
    <t>HP 22-3100 All-in-One Desktop PC series</t>
  </si>
  <si>
    <t>Device won't sleep or turn off</t>
  </si>
  <si>
    <t>The device will not turn off or go to sleep mode</t>
  </si>
  <si>
    <t>179.176.57.136</t>
  </si>
  <si>
    <t>BR_20170105_139_14505</t>
  </si>
  <si>
    <t>fiquei muito contente com atendimento, a pessoa que me atendeu foi muito competente,obrigada</t>
  </si>
  <si>
    <t>SARA SEBASTIANY</t>
  </si>
  <si>
    <t>(553)3651369</t>
  </si>
  <si>
    <t>anathymodas@hotmail.com</t>
  </si>
  <si>
    <t>BR681FH2T0</t>
  </si>
  <si>
    <t>168.205.220.8</t>
  </si>
  <si>
    <t>BR_20170105_139_16715</t>
  </si>
  <si>
    <t>ADILSON LEME</t>
  </si>
  <si>
    <t>apleme@me.com</t>
  </si>
  <si>
    <t>CN4CJ253DX</t>
  </si>
  <si>
    <t>A9T80A - CN4CJ253DX - HP ENVY 4500 e-All-in-One Printer</t>
  </si>
  <si>
    <t>A9T80A</t>
  </si>
  <si>
    <t>HP ENVY 4500 e-All-in-One Printer series</t>
  </si>
  <si>
    <t>Applying driver updates</t>
  </si>
  <si>
    <t>How to: Applying driver updates incl. ePrint</t>
  </si>
  <si>
    <t>Needs help with updating system or ePrint drivers</t>
  </si>
  <si>
    <t>79031733B - CARTUCHO INCORRETO</t>
  </si>
  <si>
    <t>p5426113</t>
  </si>
  <si>
    <t>SITL_SAO_BR-PT-QU-APPROVER-0001</t>
  </si>
  <si>
    <t>Ink/Toner/Cartridge issues</t>
  </si>
  <si>
    <t>79031733B - CLIENTE REALIZOU A COMPRA DO CARTUCHO 122, INDICADO PELO SITE DA HP, PORÉM PRODUTO É IMPORTADO E CARTUCHO 61 QUE ERA UTILIZADO, SENDO ASSIM CARTUCHO INDICADO PELO SITE INCOMPATIVEL COM O EQUIPAMENTO, NÃO SENDO POSSIVEL REGIONALIZAR DEVIDO AO PE</t>
  </si>
  <si>
    <t>Emerson Franca</t>
  </si>
  <si>
    <t>BR_20170106_140_7</t>
  </si>
  <si>
    <t>1) Fui induzido peli site HP a comprar cartuchos incompativeis com minha impressora. HP nao aceitou devolucao. Devo descartar e assumir o prejuizo.   2) minha impressora por ter mais de 1 ano nao pode ser regionalizada. Devo descartar (mesmo estando perfeita) e assumir o prejuizo.  Dificilmente comprarei novamente produtos HP (isso inclui inclusive computadores).  A posicao tomada pela empresa, em ambos os casos, indica claramente falta de interesse em manter o cliente satisfeito.</t>
  </si>
  <si>
    <t>Corporate - Marketing Loyalty, Product - PCs &amp; Laptops Other, Product - Printers Use and Care, Product - Printers Other, General Other</t>
  </si>
  <si>
    <t>EDUARDO HECTOR BAYONES</t>
  </si>
  <si>
    <t>(222)6234307</t>
  </si>
  <si>
    <t>ebayones@terra.com.br</t>
  </si>
  <si>
    <t>BRJ6266FXC</t>
  </si>
  <si>
    <t>Wi-Fi can't establish connection</t>
  </si>
  <si>
    <t>Connection issue to get data (Wi-Fi, VPN, BT PAN)</t>
  </si>
  <si>
    <t>CONECTA E NAO NAVEGA</t>
  </si>
  <si>
    <t>187.84.140.122</t>
  </si>
  <si>
    <t>BR_20170101_139_4525</t>
  </si>
  <si>
    <t>PATRICIA GRACIANO</t>
  </si>
  <si>
    <t>patriciamgraciano@gmail.com</t>
  </si>
  <si>
    <t>BRJ605167X</t>
  </si>
  <si>
    <t>HP Pavilion x360 - 11-n225br (ENERGY STAR)</t>
  </si>
  <si>
    <t>Windows 10 Pro</t>
  </si>
  <si>
    <t>P0E47LA</t>
  </si>
  <si>
    <t>OSCILACAO NA CONEXAO WIFI</t>
  </si>
  <si>
    <t>177.79.24.159</t>
  </si>
  <si>
    <t>BR_20170106_139_14475</t>
  </si>
  <si>
    <t>Solução rápida e funcionário atencioso.</t>
  </si>
  <si>
    <t>ALIPIO GEDES FILHO</t>
  </si>
  <si>
    <t>alipiogf@terra.com.br</t>
  </si>
  <si>
    <t>BR68TFF1VT</t>
  </si>
  <si>
    <t>HP DeskJet Ink Advantage 3776 All-in-One Printer</t>
  </si>
  <si>
    <t>J9V88A</t>
  </si>
  <si>
    <t>HP DeskJet Ink Advantage 3700 All-in-One Printer series</t>
  </si>
  <si>
    <t>INSTALAÇÃO DO PRODUTO</t>
  </si>
  <si>
    <t>179.218.77.21</t>
  </si>
  <si>
    <t>BR_20170106_139_494</t>
  </si>
  <si>
    <t>Não poderia deixar de destacar os aspectos positivos do representante Matheus: atencioso, dedicado, excelente ouvinte, proativo, comprometido com a marca HP e profundo conhecedor das funcionalidades do produto. Um profissional que merece o meu aplauso e entusiástico agradecimento. Um privilégio ter sido atendido por ele. Parabéns a ele e à HP por te-lo em seu quadro de colaboradores.</t>
  </si>
  <si>
    <t>Corporate - Marketing Brand, Service - Tech Support Problem Resolution, Service - Tech Support Quality of Service, General Other</t>
  </si>
  <si>
    <t>ONDINA BOLDRINI</t>
  </si>
  <si>
    <t>ondinaboldrini@uol.com.br</t>
  </si>
  <si>
    <t>BR5CBFB181</t>
  </si>
  <si>
    <t>INSTALACAO DO DRIVE</t>
  </si>
  <si>
    <t>179.212.90.34</t>
  </si>
  <si>
    <t>BR_20170106_139_14212</t>
  </si>
  <si>
    <t>Agradeço à HP pela ajuda que requisitei. Fui prontamente atendida, por uma profissional bem qualificada e que resolveu meu problema, de maneira rápida e profissional. O pós atendimento também foi de primeira qualidade. Estou, realmente, satisfeita e agradeço muito sua atenção.</t>
  </si>
  <si>
    <t>FAUSTO SANTORO NETO</t>
  </si>
  <si>
    <t>fausto@m2vipp.com.br</t>
  </si>
  <si>
    <t>BRJ6133H4C</t>
  </si>
  <si>
    <t>TRAVADO NA TELA DE SENHA</t>
  </si>
  <si>
    <t>189.54.209.245</t>
  </si>
  <si>
    <t>BR_20170106_139_5905</t>
  </si>
  <si>
    <t>Gostei bastante, rapaz demorou um pouco para chegar no verdadeiro problema, mas quando descobriu o que era, finalizamos logo.  Sempre tive HP - noot - agora me tornei fã de vez! Obrigado e parabéns</t>
  </si>
  <si>
    <t>RODRIGO CORAGEM CORAGEM</t>
  </si>
  <si>
    <t>vetcoragem@gmail.com</t>
  </si>
  <si>
    <t>TH5912C08F</t>
  </si>
  <si>
    <t>NAO RECONHECE CARTUCHO</t>
  </si>
  <si>
    <t>201.92.90.55</t>
  </si>
  <si>
    <t>BR_20170106_139_16189</t>
  </si>
  <si>
    <t>O primeiro contato que fiz eu passei todos os meus dados e do aparelho a atendente,o atendente me pediu que eu aguardasse,esperei por uns 5 minutos !!!!! aí que vem o problema,outro atendente entra no contato... e tive que refazer todo o meu cadastro novamente tendo que remover a impressora novamente para ver número de série e outros dados solicitados (que já tinha passado a minutos atras para o primeiro atendente)após este puta incomodo o novo atendente que não tem culpa alguma da cagada do primeiro, me fez um ótimo atendimento resolvendo meu problema!!!!!!!</t>
  </si>
  <si>
    <t>Product - Printers Reliability, Product - Printers Use and Care, Service - Tech Support Problem Resolution, Service - Tech Support Quality of Service, General Other</t>
  </si>
  <si>
    <t>ANDREA DE JESUS BATALHA SILVA</t>
  </si>
  <si>
    <t>andrea.batalha.silva@gmail.com</t>
  </si>
  <si>
    <t>BRJ6235K49</t>
  </si>
  <si>
    <t>PC does not start all the way to the OS (OOB)</t>
  </si>
  <si>
    <t>Power or incomplete loading operating system issue</t>
  </si>
  <si>
    <t>179.68.106.112</t>
  </si>
  <si>
    <t>BR_20170104_139_594</t>
  </si>
  <si>
    <t>ALINE SILVA RODRIGUES</t>
  </si>
  <si>
    <t>(383)2237981</t>
  </si>
  <si>
    <t>alicerois@yahoo.com.br</t>
  </si>
  <si>
    <t>BR65GFG1M9</t>
  </si>
  <si>
    <t>187.44.29.28</t>
  </si>
  <si>
    <t>BR_20170104_139_376</t>
  </si>
  <si>
    <t>MARIA DE LOURDES ZONTA</t>
  </si>
  <si>
    <t>mlourdeszonta@hotmail.com</t>
  </si>
  <si>
    <t>BR2AVFB1SZ</t>
  </si>
  <si>
    <t>HP Deskjet Ink Advantage 3516 e-All-in-One Printer</t>
  </si>
  <si>
    <t>A6R81A</t>
  </si>
  <si>
    <t>HP Deskjet Ink Advantage 3510 e-All-in-One Printer series</t>
  </si>
  <si>
    <t>CARTUCHO COLORIDO</t>
  </si>
  <si>
    <t>189.60.205.59</t>
  </si>
  <si>
    <t>BR_20170106_139_11845</t>
  </si>
  <si>
    <t>GRAZIELA CORTES</t>
  </si>
  <si>
    <t>grazybcortes@hotmail.com</t>
  </si>
  <si>
    <t>VND3T11960</t>
  </si>
  <si>
    <t>CE658A</t>
  </si>
  <si>
    <t>INSTALAÇÃO USB</t>
  </si>
  <si>
    <t>189.35.4.158</t>
  </si>
  <si>
    <t>BR_20170106_139_6735</t>
  </si>
  <si>
    <t>Fui muito bem atendida,resolveu o problema e os atendentes sao bem atenciosos</t>
  </si>
  <si>
    <t>Paulo Henrique Gaia</t>
  </si>
  <si>
    <t>16 37245079</t>
  </si>
  <si>
    <t>pahengaia@hotmail.com</t>
  </si>
  <si>
    <t>BR66FFD19Z</t>
  </si>
  <si>
    <t>186.210.79.143</t>
  </si>
  <si>
    <t>BR_20170106_139_14727</t>
  </si>
  <si>
    <t>As multifuncionais HP, a meu ver, são ótimas. O que a torna menos atrativa (pelo menos para mim) são os preços praticados quanto aos seus cartuchos. O custo/benefício fica distorcido.</t>
  </si>
  <si>
    <t>NEIDE MARION</t>
  </si>
  <si>
    <t>(113)8720382</t>
  </si>
  <si>
    <t>neidemarion@yahoo.com.br</t>
  </si>
  <si>
    <t>BR619FH0MC</t>
  </si>
  <si>
    <t>Printed page has illegible or garbage text</t>
  </si>
  <si>
    <t>Printer unreadable text while printing from pc</t>
  </si>
  <si>
    <t>NÃO IMPRIME PRETO</t>
  </si>
  <si>
    <t>BR_20170104_139_10451</t>
  </si>
  <si>
    <t>O profissional mostrou conhecimento e resolveu todos os problemas apresentados. Agradeço o carinho e o respeito do profissional.</t>
  </si>
  <si>
    <t>Corporate - Marketing Loyalty, General Other</t>
  </si>
  <si>
    <t>APARECIDA SANTOS</t>
  </si>
  <si>
    <t>cida.serpa@abaas.com.br</t>
  </si>
  <si>
    <t>BR68IFH56W</t>
  </si>
  <si>
    <t>187.75.230.31</t>
  </si>
  <si>
    <t>BR_20170104_139_975</t>
  </si>
  <si>
    <t>JAIRO ANDRE DE SOUSA</t>
  </si>
  <si>
    <t>jairovisa@gmail.com</t>
  </si>
  <si>
    <t>BR577FH1CJ</t>
  </si>
  <si>
    <t>Using HP bundled software or service</t>
  </si>
  <si>
    <t>Using bundled software utilities</t>
  </si>
  <si>
    <t>How to: Using HP bundled software</t>
  </si>
  <si>
    <t>Issues pertaining the usage of HP bundled software</t>
  </si>
  <si>
    <t>187.58.251.205</t>
  </si>
  <si>
    <t>BR_20170104_139_5931</t>
  </si>
  <si>
    <t>REGINALDO GOMES DOS SANTOS</t>
  </si>
  <si>
    <t>rejigomes1957@gmail.com</t>
  </si>
  <si>
    <t>BR64TFG2WH</t>
  </si>
  <si>
    <t>INSTALAÇÃO DA IMPRESSORA VIA USB</t>
  </si>
  <si>
    <t>177.47.27.231</t>
  </si>
  <si>
    <t>BR_20170104_139_11818</t>
  </si>
  <si>
    <t>JOSE GASPAR MONTEIRO</t>
  </si>
  <si>
    <t>edutec123456@hotmail.com</t>
  </si>
  <si>
    <t>BR67DFB5ZY</t>
  </si>
  <si>
    <t>HP printer driver installing in wrong language</t>
  </si>
  <si>
    <t>Driver installs in wrong language</t>
  </si>
  <si>
    <t>177.85.8.26</t>
  </si>
  <si>
    <t>BR_20170104_139_7109</t>
  </si>
  <si>
    <t>Resta somente agradecer pelo atendimento e respeito. Parabenizar a HP por ser uma empresa séria e que respeita o consumidor.</t>
  </si>
  <si>
    <t>Adalgisa Lins Dornellas</t>
  </si>
  <si>
    <t>adalgisa.glerian@trtsp.jus.br</t>
  </si>
  <si>
    <t>BRJ6174753</t>
  </si>
  <si>
    <t>BLOQUEIO DE CONTA</t>
  </si>
  <si>
    <t>189.4.184.201</t>
  </si>
  <si>
    <t>BR_20170105_139_108</t>
  </si>
  <si>
    <t>Daniel Rocha Boretti</t>
  </si>
  <si>
    <t>drboretti@live.com</t>
  </si>
  <si>
    <t>BR637FC1K3</t>
  </si>
  <si>
    <t>O Windows interrompeu este dispositivo porque encontrou problemas. (Código 43)  Falha em uma solicitação de descritor de dispositivo USB.</t>
  </si>
  <si>
    <t>177.53.104.4</t>
  </si>
  <si>
    <t>BR_20170105_139_3891</t>
  </si>
  <si>
    <t>Já conheço os produtos HP a vários anos e sei que são muito bons,confiáveis, agora o suporte ao cliente eu não conhecia, mas agora posso dizer que também é muito bom, elevou em muito meu conceito para com a HP !</t>
  </si>
  <si>
    <t>Service - Tech Support Problem Resolution, Service - Tech Support Quality of Service</t>
  </si>
  <si>
    <t>valter pereira da silva</t>
  </si>
  <si>
    <t>valter66pereira@bol.com.br</t>
  </si>
  <si>
    <t>BRG14501MZ</t>
  </si>
  <si>
    <t>HP Pavilion p7-1030br Desktop PC</t>
  </si>
  <si>
    <t>QN708AA</t>
  </si>
  <si>
    <t>HP Pavilion p7-1000 Desktop PC series</t>
  </si>
  <si>
    <t>NAO ABRE IMAGENS</t>
  </si>
  <si>
    <t>lucasalmeida dossantos</t>
  </si>
  <si>
    <t>177.35.215.67</t>
  </si>
  <si>
    <t>BR_20170107_139_19143</t>
  </si>
  <si>
    <t>produtos hp em si da muito problemas</t>
  </si>
  <si>
    <t>PAULO ROBERTO KIELERMANN</t>
  </si>
  <si>
    <t>paulo.rk68@gmail.com</t>
  </si>
  <si>
    <t>BRJ6133QJ6</t>
  </si>
  <si>
    <t>HP Notebook - 14-ac139br (ENERGY STAR)</t>
  </si>
  <si>
    <t>L9M36LA</t>
  </si>
  <si>
    <t>NAO CONECTA VIA WIRELESS</t>
  </si>
  <si>
    <t>BR_20170107_139_14677</t>
  </si>
  <si>
    <t>Seriedade, conhecimento, rapides e respeito ao consumidor pela hp.</t>
  </si>
  <si>
    <t>BRUNO DE BORGES BARROS</t>
  </si>
  <si>
    <t>onurb1970@hotmail.com</t>
  </si>
  <si>
    <t>BR6BAFD284</t>
  </si>
  <si>
    <t>Scanning a document</t>
  </si>
  <si>
    <t>How to: Scanning a document</t>
  </si>
  <si>
    <t>How to scan, digital filling, scan to email etc.</t>
  </si>
  <si>
    <t>DIGITALIZAR DOCUMENTO</t>
  </si>
  <si>
    <t>189.5.87.40</t>
  </si>
  <si>
    <t>BR_20170105_139_2400</t>
  </si>
  <si>
    <t>parabens a hp.estou super felis em ter adquirido o produto uma impressora multi uso. valeu</t>
  </si>
  <si>
    <t>Product - Printers Other, General Other</t>
  </si>
  <si>
    <t>CONCEICAO DE FATIMA DA SILVA TEXEIRA LOETSCHER</t>
  </si>
  <si>
    <t>fatimaconceicao@hotmail.com</t>
  </si>
  <si>
    <t>BR6BJFB2DJ</t>
  </si>
  <si>
    <t>189.105.230.45</t>
  </si>
  <si>
    <t>BR_20170105_139_3530</t>
  </si>
  <si>
    <t>Fui muito bem atendida pela Zaeli e meus problema solucionado fiquei felicíssima . PARABÉNS ZAELI</t>
  </si>
  <si>
    <t>THALIA ROCHA PINTOR</t>
  </si>
  <si>
    <t>(242)4681231</t>
  </si>
  <si>
    <t>thalia.pintor@yahoo.com.br</t>
  </si>
  <si>
    <t>BRJ6153YG6</t>
  </si>
  <si>
    <t>Using LAN (wired Ethernet)</t>
  </si>
  <si>
    <t>Ethernet connection intermittent or slow</t>
  </si>
  <si>
    <t>The Ethernet connection is intermittent or drops</t>
  </si>
  <si>
    <t>WIFI</t>
  </si>
  <si>
    <t>177.70.147.177</t>
  </si>
  <si>
    <t>BR_20170107_139_18545</t>
  </si>
  <si>
    <t>PRISCILA DE OLIVEIRA CORREA</t>
  </si>
  <si>
    <t>pri.fisica@gmail.com</t>
  </si>
  <si>
    <t>BR6AEFB17N</t>
  </si>
  <si>
    <t>PROBLEMA DE QUALIDADE DE IMPRESSÃO EM PRETO</t>
  </si>
  <si>
    <t>BR_20170105_139_14881</t>
  </si>
  <si>
    <t>A HP é uma otima marca.</t>
  </si>
  <si>
    <t>KAROLINY DE SABOIA BORGES</t>
  </si>
  <si>
    <t>(613)6131259</t>
  </si>
  <si>
    <t>karolinybborges@hotmail.com</t>
  </si>
  <si>
    <t>BRJ515PMFZ</t>
  </si>
  <si>
    <t>TELA PAGA E VOLTA</t>
  </si>
  <si>
    <t>201.67.57.133</t>
  </si>
  <si>
    <t>BR_20170105_139_9801</t>
  </si>
  <si>
    <t>Tive um excelente atendimento pela HP , porém o notebook vem apresentando problemas em menos de 1 ano de uso. Esse ultimo contato seria a terceira vez que ocorre problemas , o suporte é exemplar mas a qualidade do produto deixa a desejar !</t>
  </si>
  <si>
    <t>Product - PCs &amp; Laptops Use and Care, Service - Tech Support Quality of Service, General Other</t>
  </si>
  <si>
    <t>MARIO JULIO DO AMARAL</t>
  </si>
  <si>
    <t>mariojamaral@globo.com</t>
  </si>
  <si>
    <t>BR6B3FD195</t>
  </si>
  <si>
    <t>187.14.88.38</t>
  </si>
  <si>
    <t>BR_20170107_139_12093</t>
  </si>
  <si>
    <t>DANIELE PATRICIA DA SILVA PRADO</t>
  </si>
  <si>
    <t>dpatricia-prado@bol.com.br</t>
  </si>
  <si>
    <t>BRJ5492V8B</t>
  </si>
  <si>
    <t>HP Notebook - 14-ac105br</t>
  </si>
  <si>
    <t>L9M32LA</t>
  </si>
  <si>
    <t>Ethernet can't establish connection</t>
  </si>
  <si>
    <t>Unable to connect using wired network (Ethernet)</t>
  </si>
  <si>
    <t>CONECTA, POREM NAO NAVEGA</t>
  </si>
  <si>
    <t>177.179.205.62</t>
  </si>
  <si>
    <t>BR_20170105_139_3913</t>
  </si>
  <si>
    <t>Pelo bom atendimento do suporte técnico e agilidade.</t>
  </si>
  <si>
    <t>Fabricio Rafael Da Silva</t>
  </si>
  <si>
    <t>faelsf1972@gmail.com</t>
  </si>
  <si>
    <t>BRJ602073V</t>
  </si>
  <si>
    <t>HP Notebook - 14-ac111br (ENERGY STAR)</t>
  </si>
  <si>
    <t>L9M31LA</t>
  </si>
  <si>
    <t>Shutdown or reboots before desktop</t>
  </si>
  <si>
    <t>Shut down/restart after OS Splash or Logo Screen</t>
  </si>
  <si>
    <t>REINICIA</t>
  </si>
  <si>
    <t>201.86.181.118</t>
  </si>
  <si>
    <t>BR_20170105_139_5809</t>
  </si>
  <si>
    <t>Melhorar o suporte on-line usar pessoas que falem uma linguagem mais simples que falem a linguagem de usuarios comuns e ate leigos para desta forma estreitar os laços com o cliente.  Saliento ainda que este é um erro que todas as grandes empresas cometem, posso citar a Microsoft, muita conversa fiada e pouca ação, hoje em dia as pessoas rem tolerância zero para perda de tempo, vamos direto ao ponto de forma pragmática e sem nunca perder o bom humor.  Obrigado</t>
  </si>
  <si>
    <t>Service - Tech Support Quality of Service, General Other</t>
  </si>
  <si>
    <t>ANDRE NONATO DE LIMA</t>
  </si>
  <si>
    <t>andrenonato38@gmail.com</t>
  </si>
  <si>
    <t>BR66LFF427</t>
  </si>
  <si>
    <t>Wireless Direct Print issues</t>
  </si>
  <si>
    <t>Any question like setup or issues related to WDP</t>
  </si>
  <si>
    <t>INSTALACAO NA REDE SEM FIO</t>
  </si>
  <si>
    <t>177.45.32.123</t>
  </si>
  <si>
    <t>BR_20170106_139_758</t>
  </si>
  <si>
    <t>Todos solucionados</t>
  </si>
  <si>
    <t>ANTONIO SERAFIM</t>
  </si>
  <si>
    <t>serafim_pvh@hotmail.com</t>
  </si>
  <si>
    <t>TH5CM3H02H</t>
  </si>
  <si>
    <t>HP DeskJet Ink Advantage 4676 All-in-One Printer</t>
  </si>
  <si>
    <t>F1H98A</t>
  </si>
  <si>
    <t>HP DeskJet Ink Advantage 4670 All-in-One Printer series</t>
  </si>
  <si>
    <t>IMPRESSÃO FRENTE E VERSO</t>
  </si>
  <si>
    <t>191.222.245.166</t>
  </si>
  <si>
    <t>BR_20170104_139_942</t>
  </si>
  <si>
    <t>RODRIGO ROZAN SANTOS</t>
  </si>
  <si>
    <t>(114)3673359</t>
  </si>
  <si>
    <t>rodrigorozansantos@gmail.com</t>
  </si>
  <si>
    <t>BR621FF298</t>
  </si>
  <si>
    <t>RECONFIGURAÇÃO NA REDE</t>
  </si>
  <si>
    <t>187.2.186.101</t>
  </si>
  <si>
    <t>BR_20170105_139_15951</t>
  </si>
  <si>
    <t>Com relação ao referido atendimento nesta pesquisa foi ótimo, o atendente foi muito atencioso, porém não estou satisfeito com o produto da HP: a impressora gasta muita tinta e além disso não é possível recarregar o cartucho (é necessário comprar um novo, o qual tem um alto preço); quando esqueço de inserir folhas na impressora, o software trava e o documento que quero imprimir não sai da fila de impressão, com isso somente através do prompt de comando é possível destravá-la. Em uma outra oportunidade já entrei em contato com o suporte da HP e o atendente disse que realmente não é possível recarregar o cartucho, sobre o travamento devido a falta de folhas ele me aconselhou a não esquecer de colocar folhas. Tentei entrar em contato com a ouvidoria porém devido ao difícil atendimento, acabei desistindo.</t>
  </si>
  <si>
    <t>Product - Printers Noise, Product - Printers Pricing/Value, Product - Printers Reliability, Product - Printers Use and Care, Service - Tech Support Problem Resolution, Service - Tech Support Quality of Service, General Other</t>
  </si>
  <si>
    <t>Sidilaine Alves de Souza</t>
  </si>
  <si>
    <t>(64)984532803</t>
  </si>
  <si>
    <t>sidilaine.alves@hotmail.com</t>
  </si>
  <si>
    <t>BRJ516Q232</t>
  </si>
  <si>
    <t>HP Pavilion 14-v064br Notebook PC (ENERGY STAR)</t>
  </si>
  <si>
    <t>F4J47LA</t>
  </si>
  <si>
    <t>Docking station issue</t>
  </si>
  <si>
    <t>Docking station fit or function issues</t>
  </si>
  <si>
    <t>Está com vírus, muito lendo, ao clicar para abir a  página do navegador chrome  abre várias ao mesmo tempo e na tela do notebook no canto direito esta com uma mensagem dizendo: Ativar o Windows</t>
  </si>
  <si>
    <t>189.27.106.145</t>
  </si>
  <si>
    <t>BR_20170105_139_17390</t>
  </si>
  <si>
    <t>Uso demais o meu notebook devido ao meu trabalho de professora. Comprei uma vez um notebook de outra marca (sansung) que durou apenas um ano. Como já tive a muito tempo o notebook da HP, (ele queimou a placa mãe porque usava em cima da cama e eu não sabia que não podia) depois de ter estragado o meu notebook da marca samsung, resolvi então comprar um HP, pois sabia que os produtos da HP são de altíssima qualidade. No entanto as vezes o meu notebook entra vírus, e com péssimas experiências que já tive de levar para essas pessoas que formatam notebook, resolve entrar em contato com a HP para saber aonde encontraria uma assistência técnica autorizada mais próxima de minha cidade para enviar meu notebook para ser arrumado. A central HP me passou alguns telefones e um desses consegui entrar em contato e foi então que o um técnico me deu todo o suporte por telefone para que meu notebook fosse arrumado. Gostei tanto que já falei para vários amigos que quando forem comprar qualquer produto, comprar HP, pois é uma marca de excelente qualidade. Vale a pena pagar as vezes um pouco mais, pois o retorno é grande. Tenho um notebook HP que na época custou quase 3mil reais e uma impressora HP. E não me arrependo de te-los comprado. Parabéns pela marca! Parabéns pela atenção ao cliente, parabéns pela assistência ténica. Vale a pena ter um HP</t>
  </si>
  <si>
    <t>Corporate - Marketing Brand, Product - PCs &amp; Laptops Quality, Product - PCs &amp; Laptops Reliability, Product - PCs &amp; Laptops Use and Care, Product - PCs &amp; Laptops Other, Product - Printers Other, Service - Tech Support Problem Resolution, General Other, Corporate - Policy Profits</t>
  </si>
  <si>
    <t>General Other, Corporate - Policy Exchange</t>
  </si>
  <si>
    <t>Tania Miranda</t>
  </si>
  <si>
    <t>(212)6960835</t>
  </si>
  <si>
    <t>tania.m.freitas1207@gmail.com</t>
  </si>
  <si>
    <t>TH672330GD</t>
  </si>
  <si>
    <t>Windows 7 Ultimate​</t>
  </si>
  <si>
    <t>INSTALAÇAO USB</t>
  </si>
  <si>
    <t>187.122.146.110</t>
  </si>
  <si>
    <t>BR_20161228_139_11036</t>
  </si>
  <si>
    <t>PEDRO EDUARDO SOARES DE SOUSA</t>
  </si>
  <si>
    <t>(115)5645016</t>
  </si>
  <si>
    <t>pesdesousa@gmail.com</t>
  </si>
  <si>
    <t>BR67BSH2YR</t>
  </si>
  <si>
    <t>CONFIGURACAO WIFI</t>
  </si>
  <si>
    <t>177.8.173.202</t>
  </si>
  <si>
    <t>BR_20161231_139_13058</t>
  </si>
  <si>
    <t>TOBIAS DA COSTA JUNIOR</t>
  </si>
  <si>
    <t>carioca.cariocaartes@gmail.com</t>
  </si>
  <si>
    <t>CN62O5R02B</t>
  </si>
  <si>
    <t>HP Officejet 7110 Wide Format ePrinter - H812a</t>
  </si>
  <si>
    <t>OJ Pro Specialties</t>
  </si>
  <si>
    <t>CR768A</t>
  </si>
  <si>
    <t>HP Officejet 7110 Wide Format ePrinter series - H812</t>
  </si>
  <si>
    <t>201.7.216.246</t>
  </si>
  <si>
    <t>BR_20170106_139_18870</t>
  </si>
  <si>
    <t>MARIA EMILIA NAZARE GONCALVES FEITOSA</t>
  </si>
  <si>
    <t>mariaemilia_arneiroz@hotmail.com</t>
  </si>
  <si>
    <t>BR61LFH1RH</t>
  </si>
  <si>
    <t>177.42.175.31</t>
  </si>
  <si>
    <t>BR_20170106_139_11852</t>
  </si>
  <si>
    <t>WILLIAN ANTONIO LIMA DA SILVA</t>
  </si>
  <si>
    <t>wantonio.sud@gmail.com</t>
  </si>
  <si>
    <t>BRJ6040ZQB</t>
  </si>
  <si>
    <t>PROBLEMA COM TELA DE TOQUE</t>
  </si>
  <si>
    <t>177.40.247.222</t>
  </si>
  <si>
    <t>BR_20170107_139_19767</t>
  </si>
  <si>
    <t>Excelente.</t>
  </si>
  <si>
    <t>HELBERT SILVA DA SILVA</t>
  </si>
  <si>
    <t>helbertsilva@live.com</t>
  </si>
  <si>
    <t>BRJ6092CPY</t>
  </si>
  <si>
    <t>Using buttons or keyboard</t>
  </si>
  <si>
    <t>Any issue with keyboard or buttons</t>
  </si>
  <si>
    <t>Keyboard or buttons not responding, loose or damaged; LED malfunctioning</t>
  </si>
  <si>
    <t>TECLADO</t>
  </si>
  <si>
    <t>177.193.9.167</t>
  </si>
  <si>
    <t>BR_20170107_139_6995</t>
  </si>
  <si>
    <t>Ainda continuo com um problema de software que veio da assistência e no mesmo dia ao ligar o notebook. Ja apareceu varios sinais que o.problema de um foi resolvido e me apareceu outro. Agora tou numa espera de uma.midia pra.mim fazer todo o serviço que o suporte deveria ter feito de verificado o notebook se estaria formatado e esta no pronto de eu configurar. A primeira vez que vejo apos assistência um.produto que veio com uma conta criada hp de administrador interno. A qual me.impossibilitou de fazer a própria restauração do sistema a qual o suporte teria me indicado pra ver se teria a melhoria do sistema que esta travando e a tela que foi trocada ficou piscando e voltando como se fosse uma oscilação. Ate agora como.me.sinto ?  Lesado por nao estar utilizando o produto e minha garantia a cada dia vai passando o tempo e eu nao uso o notebook. Infelizmente muito fan da hp. Mas tenho quase 100% de certeza que o suporte esqueceu de formatar o pc e deixar so no ponto de eu receber o produto e configurar com minhas configurações. O que me resta aguardar e esperar que a midia que aguardo para formatação do notebook resolva.</t>
  </si>
  <si>
    <t>Product - Operating System Use and Care, Product - PCs &amp; Laptops Graphics/Display, Product - PCs &amp; Laptops Use and Care, Product - PCs &amp; Laptops Other, Product - Screen Reliability, Product - Screen Use and Care, General Other, Corporate - Policy Warranty/Guarantee</t>
  </si>
  <si>
    <t>MOABE COSTA MARINHO</t>
  </si>
  <si>
    <t>moabemarinho@yahoo.com.br</t>
  </si>
  <si>
    <t>BR9C4SS0HY</t>
  </si>
  <si>
    <t>HP Officejet J4660 All-in-One Printer</t>
  </si>
  <si>
    <t>CB786A</t>
  </si>
  <si>
    <t>HP Officejet J4500/J4600 All-in-One Printer series</t>
  </si>
  <si>
    <t>FALHA DE QUALIDADE DE IMPRESSÃO</t>
  </si>
  <si>
    <t>186.242.230.221</t>
  </si>
  <si>
    <t>BR_20170102_139_5323</t>
  </si>
  <si>
    <t>Eu recomendo a HP e o suporte desses é nota 10.👍</t>
  </si>
  <si>
    <t>LUCIANA PETRELLA</t>
  </si>
  <si>
    <t>lucianapetrella@gmail.com</t>
  </si>
  <si>
    <t>BRCSJ87FGV</t>
  </si>
  <si>
    <t>INSTALAÇÃO WIFI</t>
  </si>
  <si>
    <t>186.205.1.4</t>
  </si>
  <si>
    <t>BR_20170104_139_8746</t>
  </si>
  <si>
    <t>Dilson Santos</t>
  </si>
  <si>
    <t>dilsonluiz.jr@gmail.com</t>
  </si>
  <si>
    <t>BRJ6102QKQ</t>
  </si>
  <si>
    <t>HP Notebook - 14-ac121br</t>
  </si>
  <si>
    <t>L9M41LA</t>
  </si>
  <si>
    <t>Using a power supply</t>
  </si>
  <si>
    <t>AC adapter, battery or VPA will not charge</t>
  </si>
  <si>
    <t>All charging related issues</t>
  </si>
  <si>
    <t>NAO INICIALIZA</t>
  </si>
  <si>
    <t>BR_20170104_139_3657</t>
  </si>
  <si>
    <t>Apesar de todo esforço do atendimento  para solucionar o problema. Nas duas vezes que acionei o serviço a solução passava por restauracao do sistema à configuracao de fábrica, o que é extremamente traumatico para mim, pois como programador e analista de sistemas tenho um ambiente pronto para trabalho e nao apenas arquivos importantes.  Tambem venho de uma experiencia com outra marca que usei  desde 2009 até 2016 sem a necessidade de cogitar essas solucoes extremas. Nas duas situações  mencionadas insisti um pouco mais e consegui evitar a restauração do sistema. Me preocupa a vunerabilidade do produto a ponto de em 2 situações ter sido recomendado restaurar as configurações de fábrica.</t>
  </si>
  <si>
    <t>MARCOS FELIPE AMARAL SENA</t>
  </si>
  <si>
    <t>mpphelipe@gmail.com</t>
  </si>
  <si>
    <t>BRJ6215751</t>
  </si>
  <si>
    <t>Activating or registering a product</t>
  </si>
  <si>
    <t>Setup help: Using core functionalities or creating a profile</t>
  </si>
  <si>
    <t>Need help  with core functions or creating profile</t>
  </si>
  <si>
    <t>NAO ATUALIZA OS DRIVERS</t>
  </si>
  <si>
    <t>BR_20170105_139_11724</t>
  </si>
  <si>
    <t>O atendimento foi rapido e eficiente. O funcionario foi explicando passo a passo o que estava acontecendo, assim gerando uma certa tranquilidade. Gostei do atendimento que recebi.</t>
  </si>
  <si>
    <t>CINTIA CECILIA PERASOL VISGUEIRA</t>
  </si>
  <si>
    <t>cintia_perasol@hotmail.com</t>
  </si>
  <si>
    <t>BR61EFF2TD</t>
  </si>
  <si>
    <t>ATOLAMENTO</t>
  </si>
  <si>
    <t>BR_20170106_139_3442</t>
  </si>
  <si>
    <t>Fui muito bem tratada pelos proficionais da Hp estou super satisfeita!</t>
  </si>
  <si>
    <t>VINICIUS TEIXEIRA</t>
  </si>
  <si>
    <t>vinijlvv@gmail.com</t>
  </si>
  <si>
    <t>BR6BBST126</t>
  </si>
  <si>
    <t>WIFI DIRECT</t>
  </si>
  <si>
    <t>179.228.135.197</t>
  </si>
  <si>
    <t>BR_20170107_139_19389</t>
  </si>
  <si>
    <t>Atendimento rápido e eficaz.</t>
  </si>
  <si>
    <t>Michelle Ramalho de Oliveira</t>
  </si>
  <si>
    <t>(213)7154621</t>
  </si>
  <si>
    <t>chechelly33@yahoo.com.br</t>
  </si>
  <si>
    <t>BR67MFB2P4</t>
  </si>
  <si>
    <t>CONFIGURAÇÃO SEM FIO</t>
  </si>
  <si>
    <t>189.106.158.231</t>
  </si>
  <si>
    <t>BR_20170107_139_13106</t>
  </si>
  <si>
    <t>ALEXANDRE SILVA</t>
  </si>
  <si>
    <t>alexandre@inoverep.com.br</t>
  </si>
  <si>
    <t>VNB3S16891</t>
  </si>
  <si>
    <t>191.189.11.65</t>
  </si>
  <si>
    <t>BR_20170107_139_471</t>
  </si>
  <si>
    <t>CAREN ISHIKAWA</t>
  </si>
  <si>
    <t>caren_ishikawa@hotmail.com</t>
  </si>
  <si>
    <t>BR699FD165</t>
  </si>
  <si>
    <t>191.189.15.27</t>
  </si>
  <si>
    <t>BR_20170107_139_2501</t>
  </si>
  <si>
    <t>raphael rosario</t>
  </si>
  <si>
    <t>rapharosario@hotmail.com</t>
  </si>
  <si>
    <t>BR5A7FH2CM</t>
  </si>
  <si>
    <t>179.217.14.222</t>
  </si>
  <si>
    <t>BR_20170108_139_13929</t>
  </si>
  <si>
    <t>A ultima opçao foi contato com suporte tecnico que solucionou o problema. Mas para isso tive q fazer uma busca na internet pois nonsite nao tem o telefone. Alem disso todas as tentativas anteriores atraves de auxilio on line ou suporte no site foram eficazes.</t>
  </si>
  <si>
    <t>LIDIA FONSECA</t>
  </si>
  <si>
    <t>(193)6813302</t>
  </si>
  <si>
    <t>lidiafonseca603@gmail.com</t>
  </si>
  <si>
    <t>VND3149562</t>
  </si>
  <si>
    <t>179.228.168.203</t>
  </si>
  <si>
    <t>BR_20170106_139_10926</t>
  </si>
  <si>
    <t>Minhas razões são tds correspondentes as perguntas de vcs. Fui bem atendida , os rapazes que me atenderam foram rápidos e educados.  Indicaria o produto e o atendimento tbm p meus amigos. Obgd !!</t>
  </si>
  <si>
    <t>Sábado</t>
  </si>
  <si>
    <t>Quinta</t>
  </si>
  <si>
    <t>Sexta</t>
  </si>
  <si>
    <t>erica deazevedo</t>
  </si>
  <si>
    <t>Natasha De Paulo</t>
  </si>
  <si>
    <t>JEFERSON SILVEIRA SANTOS</t>
  </si>
  <si>
    <t>David Quirino</t>
  </si>
  <si>
    <t/>
  </si>
  <si>
    <t xml:space="preserve">Email errado </t>
  </si>
  <si>
    <t xml:space="preserve">Cliente desliga o telefone </t>
  </si>
  <si>
    <t xml:space="preserve">Já respondeu </t>
  </si>
  <si>
    <t xml:space="preserve">Não recomenda a hp não responder a pesquisa </t>
  </si>
  <si>
    <t xml:space="preserve">informou que já respondeu não ligar mais </t>
  </si>
  <si>
    <t>Não resolvido não respondera a pesquisa</t>
  </si>
  <si>
    <t xml:space="preserve">Não respondera a pesquisa não recomenda a hp </t>
  </si>
  <si>
    <t xml:space="preserve">Cliente não disponivel </t>
  </si>
  <si>
    <t>Respondera a pesquisa</t>
  </si>
  <si>
    <t xml:space="preserve">POSSIVEL DETRECTOR NÃO RESPONDER A PESQUISA  </t>
  </si>
  <si>
    <t xml:space="preserve">Telefones errados </t>
  </si>
  <si>
    <t xml:space="preserve">Ligar amanha falar com erika </t>
  </si>
  <si>
    <t xml:space="preserve">Cliente indisponivel ligar mais tarde </t>
  </si>
  <si>
    <t>BR238P-HPQ0171</t>
  </si>
  <si>
    <t>TENTATIVA DE ACESSO AO LOCAL: W:\IVAN JR - FUPO\RELATÓRIOS</t>
  </si>
  <si>
    <t>Corporate - Marketing Brand, Service - Tech Support Problem Resolution, General Other</t>
  </si>
  <si>
    <t>Corporate - Marketing Loyalty</t>
  </si>
  <si>
    <t>JACSON CLARINDO DA COSTA</t>
  </si>
  <si>
    <t>jacson58@hotmail.com</t>
  </si>
  <si>
    <t>BR5AJFD12R</t>
  </si>
  <si>
    <t>EQUIPAMENTO ATOLA PAPEL</t>
  </si>
  <si>
    <t>179.181.228.209</t>
  </si>
  <si>
    <t>BR_20161231_139_6751</t>
  </si>
  <si>
    <t>Muito bom hp eu indico</t>
  </si>
  <si>
    <t>JOANA MIDORI PENALVA IKEDA</t>
  </si>
  <si>
    <t>tal.ikeda@gmail.com</t>
  </si>
  <si>
    <t>BRJ6245QJ2</t>
  </si>
  <si>
    <t>Wesley Nasilva</t>
  </si>
  <si>
    <t>191.200.202.172</t>
  </si>
  <si>
    <t>BR_20161231_139_7670</t>
  </si>
  <si>
    <t>CIBELE HECHEL COLARES DA COSTA</t>
  </si>
  <si>
    <t>cibelehechel@gmail.com</t>
  </si>
  <si>
    <t>BRJ60515WX</t>
  </si>
  <si>
    <t>Setting preferences or configuration options</t>
  </si>
  <si>
    <t>Setup help: Setting preferences or configuration</t>
  </si>
  <si>
    <t>Help with control panel, screen resolution, etc.</t>
  </si>
  <si>
    <t>TELA PISCA DURANTE UTILIZACAO</t>
  </si>
  <si>
    <t>177.143.224.21</t>
  </si>
  <si>
    <t>BR_20170103_139_434</t>
  </si>
  <si>
    <t>Eroni Nunes de Farias Cristino</t>
  </si>
  <si>
    <t>brunacristinotga@hotmail.com</t>
  </si>
  <si>
    <t>BRJ4373Q4G</t>
  </si>
  <si>
    <t>Não inicia</t>
  </si>
  <si>
    <t>Proof of Purchase</t>
  </si>
  <si>
    <t>JoÃÂ£o Pizato dos Santos</t>
  </si>
  <si>
    <t>170.238.58.236</t>
  </si>
  <si>
    <t>BR_20170104_139_4364</t>
  </si>
  <si>
    <t>O problema com o aparelho (notebook) adquirido foi solucionado rapidamente, visto que apenas com uma ligação da atendente da loja para a central da HP, ela seguindo as instruçoes, conseguiu ligar o aparelho.</t>
  </si>
  <si>
    <t>ARIOVALDO ANTONIO DA ROSA</t>
  </si>
  <si>
    <t>arirosa@uol.com.br</t>
  </si>
  <si>
    <t>BRJ6030M4X</t>
  </si>
  <si>
    <t>HP All-in-One - 23-r101br (ENERGY STAR)</t>
  </si>
  <si>
    <t>K5G50AA</t>
  </si>
  <si>
    <t>HP 23-r100 All-in-One Desktop PC series</t>
  </si>
  <si>
    <t>Product starts, but display not working (OOB)</t>
  </si>
  <si>
    <t>OS loaded but no video or poor image quality</t>
  </si>
  <si>
    <t>COMPUTADOR NAO INICIA O SW</t>
  </si>
  <si>
    <t>177.45.46.173</t>
  </si>
  <si>
    <t>BR_20170105_139_1357</t>
  </si>
  <si>
    <t>HUMBERTO EDUARDO DOS REIS</t>
  </si>
  <si>
    <t>(173)2223967</t>
  </si>
  <si>
    <t>humbertoposto@hotmail.com</t>
  </si>
  <si>
    <t>BR273GG0SH</t>
  </si>
  <si>
    <t>HP Deskjet 3050 All-in-One Printer - J610a</t>
  </si>
  <si>
    <t>CH383C</t>
  </si>
  <si>
    <t>HP Deskjet 3050 All-in-One Printer series - J610</t>
  </si>
  <si>
    <t>AJUDA NA CONFIGURACAO WIFI</t>
  </si>
  <si>
    <t>152.254.128.26</t>
  </si>
  <si>
    <t>BR_20170105_139_7246</t>
  </si>
  <si>
    <t>Sempre fui bem atendido. Porém, desta vez, solicitei uma informação sobre configuração, já que a impressora não funciona no meu notebook. Consegui resolver os problemas de configuração no note da minha esposa e da minha filha, mas no meu não. Quando eu liguei para o call center, sempre teclando a opção de ' sem garantia', a pessoa que me atendeu  disse que não pode resolver, por estar fora da garantia.</t>
  </si>
  <si>
    <t>JORGE LUIS MOREIRA CABRAL</t>
  </si>
  <si>
    <t>jorgecabralprime@gmail.com</t>
  </si>
  <si>
    <t>BRJ6245NY1</t>
  </si>
  <si>
    <t>NAO LIGA</t>
  </si>
  <si>
    <t>66.249.88.26</t>
  </si>
  <si>
    <t>BR_20170105_139_9081</t>
  </si>
  <si>
    <t>Eficiência e rápido atendimento.</t>
  </si>
  <si>
    <t>ANDREIA LUIZA BARBOSA DA SILVA</t>
  </si>
  <si>
    <t>andreia.luiza2010@gmail.com</t>
  </si>
  <si>
    <t>BR671FH3X1</t>
  </si>
  <si>
    <t>177.195.79.80</t>
  </si>
  <si>
    <t>BR_20170105_139_837</t>
  </si>
  <si>
    <t>MARIANE LETICIA PEDROSO</t>
  </si>
  <si>
    <t>marianepedroso_@hotmail.com</t>
  </si>
  <si>
    <t>BRJ538YBKN</t>
  </si>
  <si>
    <t>HP Pavilion 11-n025br x360 PC</t>
  </si>
  <si>
    <t>J2M51LA</t>
  </si>
  <si>
    <t>HP Pavilion 11-n000 x360 PC series</t>
  </si>
  <si>
    <t>179.216.39.18</t>
  </si>
  <si>
    <t>BR_20170106_139_11925</t>
  </si>
  <si>
    <t>JAYCA LIMA SANT ANA</t>
  </si>
  <si>
    <t>(192)1218180</t>
  </si>
  <si>
    <t>jaycals@hotmail.com</t>
  </si>
  <si>
    <t>BRJ542ZVKL</t>
  </si>
  <si>
    <t>Using on-device help or HP Support Assistant</t>
  </si>
  <si>
    <t>How to: Using on-device help or HP Supp. Assistant</t>
  </si>
  <si>
    <t>Help using on-device help or HP Support Assistant</t>
  </si>
  <si>
    <t>CONFIGURACAO DA CONTA DE USUARIO ADMINISTRATOR</t>
  </si>
  <si>
    <t>66.249.88.28</t>
  </si>
  <si>
    <t>BR_20170106_139_8074</t>
  </si>
  <si>
    <t>Fui muito bem atendida por odos os atendentes. Sinto só por não poder mais contar com o mesmo serviço após o término dá garantia... A HP poderia rever isso!</t>
  </si>
  <si>
    <t>JOSE APARECIDO ESTRADA</t>
  </si>
  <si>
    <t>jaestrada@uol.com.br</t>
  </si>
  <si>
    <t>BRJ55036K0</t>
  </si>
  <si>
    <t>MENU INICIAR</t>
  </si>
  <si>
    <t>187.37.49.56</t>
  </si>
  <si>
    <t>BR_20170106_139_9148</t>
  </si>
  <si>
    <t>fui muito bem atendido, pessoal profissional e gentil.</t>
  </si>
  <si>
    <t>DULCE DAOU</t>
  </si>
  <si>
    <t>(453)5221725</t>
  </si>
  <si>
    <t>dulcedaou1@gmail.com</t>
  </si>
  <si>
    <t>BRJ6184KLM</t>
  </si>
  <si>
    <t>CPU performance slower than expected</t>
  </si>
  <si>
    <t>PC and/or running applications are very sluggish</t>
  </si>
  <si>
    <t>LENTIDÃO E VÍRUS</t>
  </si>
  <si>
    <t>189.58.101.178</t>
  </si>
  <si>
    <t>BR_20170107_139_5120</t>
  </si>
  <si>
    <t>NO PRIMEIRO ATENDIMENTO O TÉCNICO ME DEIXOU ESPERANDO, A LIGAÇÃO CAIU E NÃO HOUVE RETORNO OU EXPLICAÇÃO. ELE HAVIA DITO QUE PRECISAVA DE 3 MINUTOS E COMO ENTROU NA ATUALIZAÇÃO AUTOMÁTICA DO WINDOWS NO NOTEBOOK NÃO ME DEI CONTA QUE ERA ALGO ALÉM DA ATUAÇÃO DELE. EU PRECISEI LIGAR, ~ 2 H DEPOIS, POIS PRECISAVA IR EMBORA DO LOCAL ONDE ESTAVA... FIQUEI ESPERANDO FEITO BOBA. COMBINEI NO SEGUNDO ATENDIMENTO DE RESOLVER NO DIA SEGUINTE POIS NÃO DARIA TEMPO NO MOMENTO. QUANDO LIGUEI, (TERCEIRO ATENDIMENTO), O TÉCNICO ME PERGUNTOU SE TINHA RESOLVIDO O PROBLEMA, ESTAVA POR FORA...EU FALEI QUE NÃO HAVIA SIDO FEITO NADA ( OS TESTES FEITOS NA VÉSPERA NÃO INDICARAM NENHUM PROBLEMA). ENFIM, O NOTEBOOK FOI REFORMATADO E APARENTEMENTE RESOLVEU, ESTÁ FUNCIONANDO BEM, POR ENQUANTO. MAS FICA O MISTÉRIO SOBRE O QUE ACONTECEU. OBRIGADA.</t>
  </si>
  <si>
    <t>MIRIAN CABRINI</t>
  </si>
  <si>
    <t>(193)3525869</t>
  </si>
  <si>
    <t>miriancabrini@yahoo.com.br</t>
  </si>
  <si>
    <t>BRJ4374GTK</t>
  </si>
  <si>
    <t>HP 14-r050br Notebook PC (ENERGY STAR)</t>
  </si>
  <si>
    <t>F4J32LA</t>
  </si>
  <si>
    <t>System shuts down or reboots</t>
  </si>
  <si>
    <t>The system shuts down or reboots spontaneously</t>
  </si>
  <si>
    <t>DESLIGA EXPONTÂNEAMENTE</t>
  </si>
  <si>
    <t>takeo mizuno</t>
  </si>
  <si>
    <t>187.183.33.238</t>
  </si>
  <si>
    <t>BR_20170107_139_13274</t>
  </si>
  <si>
    <t>Precisei fazer vários contatos para resolver meu problema...em todos os atendimentos fui muitissimo bem atendida e agradeço a toda equipe de suporte por ter resolvido toda questão...Parabens à todos!!!!! Obrigado Mirian Cabrini</t>
  </si>
  <si>
    <t>PATRICIA CARVALHO OLIVEIRA</t>
  </si>
  <si>
    <t>(733)6323669</t>
  </si>
  <si>
    <t>(733)6130794</t>
  </si>
  <si>
    <t>gerencia@drleonardoalbuquerque.com.br</t>
  </si>
  <si>
    <t>CN5C3FX33H</t>
  </si>
  <si>
    <t>HP Officejet Pro 8610 e-All-in-One Printer</t>
  </si>
  <si>
    <t>A7F64A</t>
  </si>
  <si>
    <t>HP Officejet Pro 8610 e-All-in-One Printer series</t>
  </si>
  <si>
    <t>201.8.255.153</t>
  </si>
  <si>
    <t>BR_20170107_139_14420</t>
  </si>
  <si>
    <t>Quero parabenizar a HP pelo excelente serviço de qualidade e presteza com o cliente. Eu nunca tinha sido atendida com tanta rapidez e habilidade por uma Assistencia Tecnica, sem falar no cuidado  pós, de ligar para o cliente para saber se foi resolvido o problema. Realmente vcs estao de parabens. Muito obrigada por seus serviços e que vcs continuem assim, exemplo e profissionalismo e atendimento ao cliente.</t>
  </si>
  <si>
    <t>OMAR OSVALDO ZAGO JUNIOR</t>
  </si>
  <si>
    <t>junao_zago@hotmail.com</t>
  </si>
  <si>
    <t>BRJ519R68P</t>
  </si>
  <si>
    <t>HP Pavilion 11-n026br x360 PC</t>
  </si>
  <si>
    <t>J2M52LA</t>
  </si>
  <si>
    <t>TELA NAO DA VIDEO</t>
  </si>
  <si>
    <t>177.221.63.69</t>
  </si>
  <si>
    <t>BR_20170107_139_14174</t>
  </si>
  <si>
    <t>Luiz Flávio Gomes</t>
  </si>
  <si>
    <t>ti@obahdesign.com.br</t>
  </si>
  <si>
    <t>BRJ5482GRB</t>
  </si>
  <si>
    <t>HP All-in-One - 23-r100br (ENERGY STAR)</t>
  </si>
  <si>
    <t>K5G56AA</t>
  </si>
  <si>
    <t>Falha no teclado.</t>
  </si>
  <si>
    <t>samuel oliveira</t>
  </si>
  <si>
    <t>187.20.193.2</t>
  </si>
  <si>
    <t>BR_20170107_139_11449</t>
  </si>
  <si>
    <t>RICARDO CESCON</t>
  </si>
  <si>
    <t>ricardo@safrascontabilrv.com.br</t>
  </si>
  <si>
    <t>BRJ62157NT</t>
  </si>
  <si>
    <t>Battery drains excessively quick</t>
  </si>
  <si>
    <t>The battery power drains too quickly</t>
  </si>
  <si>
    <t>BATERIA</t>
  </si>
  <si>
    <t>187.114.250.64</t>
  </si>
  <si>
    <t>BR_20170107_139_15599</t>
  </si>
  <si>
    <t>LUIZ GUSTAVO SIMONINI</t>
  </si>
  <si>
    <t>luizsimonini@gmail.com</t>
  </si>
  <si>
    <t>BR641FH3KM</t>
  </si>
  <si>
    <t>201.17.158.225</t>
  </si>
  <si>
    <t>BR_20170107_139_11451</t>
  </si>
  <si>
    <t>Excelente atendimento. Muito satisfeito</t>
  </si>
  <si>
    <t>ANA CAROLINA DE ANDRADE TEICHEIRE</t>
  </si>
  <si>
    <t>teicheire@hotmail.com</t>
  </si>
  <si>
    <t>BRJ55037FQ</t>
  </si>
  <si>
    <t>187.16.151.34</t>
  </si>
  <si>
    <t>BR_20170107_139_778</t>
  </si>
  <si>
    <t>ADOLFO APARECIDO BENEDITO</t>
  </si>
  <si>
    <t>microalphasuprimentos@gmail.com</t>
  </si>
  <si>
    <t>BRBSH6HKJV</t>
  </si>
  <si>
    <t>Quality of the scanned document is poor</t>
  </si>
  <si>
    <t>Image defects like white or black stripes, etc.</t>
  </si>
  <si>
    <t>MANCHA NA CÓPIA</t>
  </si>
  <si>
    <t>187.74.61.233</t>
  </si>
  <si>
    <t>BR_20170107_139_157</t>
  </si>
  <si>
    <t>LORENA MONTEIRO DOS SANTOS</t>
  </si>
  <si>
    <t>lms.lorenamonteiro@gmail.com</t>
  </si>
  <si>
    <t>BRJ54516WZ</t>
  </si>
  <si>
    <t>HP Pavilion 14-v060br Notebook PC (ENERGY STAR)</t>
  </si>
  <si>
    <t>F4J43LA</t>
  </si>
  <si>
    <t>BOTAO POWER NAO DESLIGA</t>
  </si>
  <si>
    <t>187.53.33.162</t>
  </si>
  <si>
    <t>BR_20170107_139_11264</t>
  </si>
  <si>
    <t>As atualizações constantemente está fazendo travar meu notebook por este motivo dei 9, mas em questão do profissionalismo e conhecimento técnico fui muito bem atendida e dei 10.</t>
  </si>
  <si>
    <t>LUIZ FERNANDO DO VALE</t>
  </si>
  <si>
    <t>meirelesvale@yahoo.com.br</t>
  </si>
  <si>
    <t>BRJ6174BCV</t>
  </si>
  <si>
    <t>NÃO INICIA</t>
  </si>
  <si>
    <t>177.66.250.13</t>
  </si>
  <si>
    <t>BR_20170107_139_11448</t>
  </si>
  <si>
    <t>Recebi um ótimo atendimento e a funcionário stefany foi excelente, parabéns e continue assim.</t>
  </si>
  <si>
    <t>HENRIQUE CARVALHO ALENCAR</t>
  </si>
  <si>
    <t>henriquecarvalhoalencar@gmail.com</t>
  </si>
  <si>
    <t>BR3AUFJ0G1</t>
  </si>
  <si>
    <t>HP Deskjet 1000 Printer - J110a</t>
  </si>
  <si>
    <t>CH340C</t>
  </si>
  <si>
    <t>HP Deskjet 1000 Printer series - J110</t>
  </si>
  <si>
    <t>201.54.231.178</t>
  </si>
  <si>
    <t>BR_20170107_139_7047</t>
  </si>
  <si>
    <t>TATIANA SANCHEZ LOPES ANDREAZZI</t>
  </si>
  <si>
    <t>tatianasanchez898@hotmail.com</t>
  </si>
  <si>
    <t>BRJ6215677</t>
  </si>
  <si>
    <t>201.42.154.157</t>
  </si>
  <si>
    <t>BR_20170108_139_16706</t>
  </si>
  <si>
    <t>MARIA HELENA REZENDE</t>
  </si>
  <si>
    <t>(112)0464281</t>
  </si>
  <si>
    <t>rezende.mariahelena@yahoo.com.br</t>
  </si>
  <si>
    <t>BR66UFB3C1</t>
  </si>
  <si>
    <t>BR_20170108_139_10780</t>
  </si>
  <si>
    <t>Fui muito bem atendida pelo técnico e meu problema foi solucionado com perfeição obrigado</t>
  </si>
  <si>
    <t>Emerson Rolim</t>
  </si>
  <si>
    <t>emersonrolim@gmail.com</t>
  </si>
  <si>
    <t>cnb9j6wb2s</t>
  </si>
  <si>
    <t>Nao consigo configurar ele em rede para impressao</t>
  </si>
  <si>
    <t>187.255.214.136</t>
  </si>
  <si>
    <t>BR_20170108_139_5161</t>
  </si>
  <si>
    <t>DIEGO HENRIQUE ORSOLIN</t>
  </si>
  <si>
    <t>diegoorsolin@hotmail.com</t>
  </si>
  <si>
    <t>CNG7J5X8SH</t>
  </si>
  <si>
    <t>HP Color LaserJet Pro MFP M176n</t>
  </si>
  <si>
    <t>CF547A</t>
  </si>
  <si>
    <t>HP Color LaserJet Pro MFP M176 series</t>
  </si>
  <si>
    <t>FALHA NA IMPRESSAO DE SOFTWARE</t>
  </si>
  <si>
    <t>186.236.15.105</t>
  </si>
  <si>
    <t>BR_20170108_139_4470</t>
  </si>
  <si>
    <t>pelo excelente conhecimento demostrado pela atendente</t>
  </si>
  <si>
    <t>GABRIELA WADENPHUL JACOBI</t>
  </si>
  <si>
    <t>(513)5246184</t>
  </si>
  <si>
    <t>gabrielawadenphul@hotmail.com</t>
  </si>
  <si>
    <t>BRJ6133PT2</t>
  </si>
  <si>
    <t>How to: Customization and personalization</t>
  </si>
  <si>
    <t>Help with customizing or personalizing the product</t>
  </si>
  <si>
    <t>CONTA DE ADMINISTRADOR</t>
  </si>
  <si>
    <t>177.204.76.82</t>
  </si>
  <si>
    <t>BR_20170108_139_5712</t>
  </si>
  <si>
    <t>A única coisa que foi difícil foi a comunicação de vocês comigo, o atendimento no sac de vocês é ótimo, mas quando vocês ligavam para meu celular eu sempre atendia e posteriormente ficava mudo e caía (meu ddd é 051), este foi o único ponto negativo na minha tentativa de resolver o problema. Estou satisfeita em geral, uma ótima marca com um ótimo atendimento! Porém o que realmente pecou, foi a falta de responsabilidade e interesse da parte da Ponto Frio, eles complicaram demais as coisas para mim, mas a HP é uma ótima equipe, parabéns!</t>
  </si>
  <si>
    <t>LUANA LEITE DE ALENCAR</t>
  </si>
  <si>
    <t>luanaleite123@gmail.com</t>
  </si>
  <si>
    <t>BR666FC3K1</t>
  </si>
  <si>
    <t>201.6.231.4</t>
  </si>
  <si>
    <t>BR_20170108_139_10303</t>
  </si>
  <si>
    <t>Atendimento do Matheus foi rapido, eficiente e claro, resolveu o meu problema</t>
  </si>
  <si>
    <t>ALLANA FERREIRA</t>
  </si>
  <si>
    <t>allanafl98@gmail.com</t>
  </si>
  <si>
    <t>BR57KFF19H</t>
  </si>
  <si>
    <t>177.158.224.151</t>
  </si>
  <si>
    <t>BR_20170108_139_481</t>
  </si>
  <si>
    <t>Alexandre Schlischting</t>
  </si>
  <si>
    <t>cmte.stiling@gmail.com</t>
  </si>
  <si>
    <t>BRJ515PTC0</t>
  </si>
  <si>
    <t>HP Pavilion All-in-One - 23-p100br</t>
  </si>
  <si>
    <t>QZ303AA</t>
  </si>
  <si>
    <t>HP Pavilion 23-p100 All-in-One Desktop PC series</t>
  </si>
  <si>
    <t>MAGIC DESKTOP</t>
  </si>
  <si>
    <t>179.186.81.64</t>
  </si>
  <si>
    <t>BR_20170108_139_385</t>
  </si>
  <si>
    <t xml:space="preserve"> Ao entrar em contato pela primeira vez fui direcionado ao suporte pago pois o atendente não verificou que eu possuía a garantia estendida. - Ao atualizar o Windows para a nova versão o problema no magic desktop voltou a ocorrer, reabri o chamado. Não consegui contato pelo 0800 após diversas tentativas e liguei no 011, como era interurbano e o suporte iria demorar pedi que o atendente me ligasse. Ele informou que não poderia mais iria reagendar um contato, o que não ocorreu até o momento. - em paralelo solicitei suporte a MAGIC DESKTOP que me informou que o produto não funcionava na versão 10 do Windows e me deu um caminho para atualizar. - até o momento o mesmo esta funcionando.</t>
  </si>
  <si>
    <t>LUCIANO ANTONIO DE ASSIS</t>
  </si>
  <si>
    <t>luckassis2005@gmail.com</t>
  </si>
  <si>
    <t>7CF5290FK4</t>
  </si>
  <si>
    <t>HP Z3600 Wireless Mouse</t>
  </si>
  <si>
    <t>Volume Notebook Accessories</t>
  </si>
  <si>
    <t>E5C14AA</t>
  </si>
  <si>
    <t>MOUSE WIRELESS</t>
  </si>
  <si>
    <t>200.161.144.170</t>
  </si>
  <si>
    <t>BR_20170108_139_10316</t>
  </si>
  <si>
    <t>LUCIA PERPETUA DE CARVALHO</t>
  </si>
  <si>
    <t>duduvivi20@gmail.com</t>
  </si>
  <si>
    <t>BR5C7FB2JP</t>
  </si>
  <si>
    <t>Using HP printer software general operation</t>
  </si>
  <si>
    <t>How to: HP printer SW general operation</t>
  </si>
  <si>
    <t>Question on how do I use software and its features</t>
  </si>
  <si>
    <t>BR_20170108_139_10315</t>
  </si>
  <si>
    <t>SERGIO LUIZ FIGUEIREDO CASASOLA</t>
  </si>
  <si>
    <t>sergioluizcasasola@gmail.com</t>
  </si>
  <si>
    <t>BR66NFD2WZ</t>
  </si>
  <si>
    <t>PRIMEIRA ISNTALAÇÃO</t>
  </si>
  <si>
    <t>179.158.251.76</t>
  </si>
  <si>
    <t>BR_20170108_139_15535</t>
  </si>
  <si>
    <t>HELOISE GABRIELA DIAS</t>
  </si>
  <si>
    <t>(323)3214574</t>
  </si>
  <si>
    <t>heloise_dias@live.com</t>
  </si>
  <si>
    <t>BRJ6133H8X</t>
  </si>
  <si>
    <t>HP Pavilion 11-n022br x360 PC (ENERGY STAR)</t>
  </si>
  <si>
    <t>F4J21LA</t>
  </si>
  <si>
    <t>177.79.41.85</t>
  </si>
  <si>
    <t>BR_20170108_139_6521</t>
  </si>
  <si>
    <t>Ótimo atendimento da assistência remota, assim como da empresa e do funcionário da coleta! Prazo condizente e aceitável de devolução!</t>
  </si>
  <si>
    <t>HOMERO CASONATO</t>
  </si>
  <si>
    <t>homerocasonato@gmail.com</t>
  </si>
  <si>
    <t>BR676FF18K</t>
  </si>
  <si>
    <t>187.10.17.203</t>
  </si>
  <si>
    <t>BR_20170108_139_6619</t>
  </si>
  <si>
    <t>Senhores Achei um pouco dificil até conseguir entrar no serviço de suporte ,mas depois foi tudo legal. Se o atendimento de vossos tecnicos forem iguais ao do MATEUS,com sua paciencia ,estão de parabens.Obrigado</t>
  </si>
  <si>
    <t>FABIO AUGUSTO SILVESTRE FILHO</t>
  </si>
  <si>
    <t>fabioasilvestref@gmail.com</t>
  </si>
  <si>
    <t>TH5174B0C3</t>
  </si>
  <si>
    <t>HP Officejet Pro 6230 ePrinter</t>
  </si>
  <si>
    <t>E3E03A</t>
  </si>
  <si>
    <t>HP Officejet Pro 6230 ePrinter series</t>
  </si>
  <si>
    <t>IMPRESSORA COM FALHA DE CABECA DE IMPRESSAO</t>
  </si>
  <si>
    <t>177.140.217.208</t>
  </si>
  <si>
    <t>BR_20170108_139_5438</t>
  </si>
  <si>
    <t>O problema cm a minha impressora, eh um defeito crônico, ja q mtas pessoas tiveram o msm problema, minha garantia acabou por 1 mes, entao me pssaram telefones se assistências técnicas onde a gte liga e ngm atende...ja sabendo q o problema nao tem cm ser resolvido...vcs deveriam ter o minimo de consideração, e sabendo q eh um problema conecido de vcs, resolverem o problema, msm q tenha acabado a garantia a 1 mes!!!</t>
  </si>
  <si>
    <t>PRISCILA MENNUCCU</t>
  </si>
  <si>
    <t>prismhj@gmail.com</t>
  </si>
  <si>
    <t>BR632FB1XG</t>
  </si>
  <si>
    <t>CONFIGURACAO DA IMPRESSORA USB</t>
  </si>
  <si>
    <t>200.153.255.73</t>
  </si>
  <si>
    <t>BR_20170108_139_13616</t>
  </si>
  <si>
    <t xml:space="preserve">Sem contato fora de garantia </t>
  </si>
  <si>
    <t>Pequisa online</t>
  </si>
  <si>
    <t xml:space="preserve">Não recebeu a pesquisa </t>
  </si>
  <si>
    <t xml:space="preserve">Cliente esta viajando so retorna na sexta </t>
  </si>
  <si>
    <t>VSOUS001</t>
  </si>
  <si>
    <t>TENTATIVA DE ACESSO AO LOCAL: Y:\RELATÓRIOS</t>
  </si>
  <si>
    <t>Product - PCs &amp; Laptops Reliability, Product - PCs &amp; Laptops Speed, Service - Tech Support Problem Resolution</t>
  </si>
  <si>
    <t>Product - PCs &amp; Laptops Graphics/Display, Product - PCs &amp; Laptops Reliability, Product - Printers Features/Functionality, Product - Printers Reliability, Service - Tech Support Problem Resolution, General Other, Corporate - Policy Warranty/Guarantee</t>
  </si>
  <si>
    <t>Service - Tech Support Problem Resolution, General Other, Corporate - Policy Warranty/Guarantee</t>
  </si>
  <si>
    <t>Product - Operating System Reliability, Product - Operating System Use and Care, Product - PCs &amp; Laptops Reliability, Product - PCs &amp; Laptops Upgrade, Product - PCs &amp; Laptops Use and Care, Product - PCs &amp; Laptops Other, Service - Tech Support Problem Resolution, General Other, Corporate - Policy Replacement/Substitution, Corporate - Policy Profits</t>
  </si>
  <si>
    <t>Product - PCs &amp; Laptops Reliability, Product - PCs &amp; Laptops Upgrade, General Other</t>
  </si>
  <si>
    <t>Corporate - Marketing Brand, General Other</t>
  </si>
  <si>
    <t>Product - Operating System Pricing/Value, Product - Operating System Reliability, Product - Operating System Upgrade, Product - PCs &amp; Laptops Pricing/Value, Product - PCs &amp; Laptops Reliability, Product - PCs &amp; Laptops Upgrade, Service - Tech Support Problem Resolution, Corporate - Policy Warranty/Guarantee</t>
  </si>
  <si>
    <t>Product - Printers Reliability, Product - Printers Size, Product - Printers Use and Care, Service - Tech Support Problem Resolution, Corporate - Policy Warranty/Guarantee</t>
  </si>
  <si>
    <t>RAISSA PROVESANO REIS</t>
  </si>
  <si>
    <t>raissaprovesano@hotmail.com</t>
  </si>
  <si>
    <t>BRJ426CN8C</t>
  </si>
  <si>
    <t>HP Pavilion 20-b410br All-in-One Desktop PC</t>
  </si>
  <si>
    <t>QZ284AA</t>
  </si>
  <si>
    <t>HP Pavilion 20-b400 All-in-One Desktop PC series</t>
  </si>
  <si>
    <t>How to perform a system recovery</t>
  </si>
  <si>
    <t>Help creating or using a system recovery option</t>
  </si>
  <si>
    <t>SUPORTE A RECUPERAÇÃO DO SISTEMA</t>
  </si>
  <si>
    <t>179.223.139.52</t>
  </si>
  <si>
    <t>BR_20170105_139_15051</t>
  </si>
  <si>
    <t>Falta de atenção e pro atividade na resolução do meu problema. Mesmo sendo cliente grande e antiga me sinto como se estivessem me fazendo um favor (que aliás, nem isso). Não resolveram meu problema.</t>
  </si>
  <si>
    <t>SERGIO SALAZAR</t>
  </si>
  <si>
    <t>(115)6665361</t>
  </si>
  <si>
    <t>ssalazar@amcham.com.br</t>
  </si>
  <si>
    <t>BR58DFG12R</t>
  </si>
  <si>
    <t>201.6.129.124</t>
  </si>
  <si>
    <t>BR_20170106_139_17192</t>
  </si>
  <si>
    <t>IRANI CARMO</t>
  </si>
  <si>
    <t>carmoart@hotmail.com</t>
  </si>
  <si>
    <t>BR64KFG2JQ</t>
  </si>
  <si>
    <t>Issues printing from 3rd party application</t>
  </si>
  <si>
    <t>issue printing from 3rd party application</t>
  </si>
  <si>
    <t>189.55.104.160</t>
  </si>
  <si>
    <t>BR_20170106_139_7393</t>
  </si>
  <si>
    <t>bom atendimento ao cliente sempre telefonando para saber do produto comprado     fico grata a atenção da HP.</t>
  </si>
  <si>
    <t>GIOVANNA RABELO</t>
  </si>
  <si>
    <t>girabelo26@gmail.com</t>
  </si>
  <si>
    <t>BRJ6071RP3</t>
  </si>
  <si>
    <t>How to: Control panel</t>
  </si>
  <si>
    <t>Customer needs help with Preferences and settings</t>
  </si>
  <si>
    <t>CONTA DE USUÁRIO</t>
  </si>
  <si>
    <t>189.113.254.163</t>
  </si>
  <si>
    <t>BR_20170106_139_6585</t>
  </si>
  <si>
    <t>Fui super bem atendida e tive meu problema resolvido com eficiência.</t>
  </si>
  <si>
    <t>MERCIA PEREIRA MELO DULTRA</t>
  </si>
  <si>
    <t>merciapmd@yahoo.com.br</t>
  </si>
  <si>
    <t>BRJ605146S</t>
  </si>
  <si>
    <t>Pending Callback</t>
  </si>
  <si>
    <t>200.217.69.35</t>
  </si>
  <si>
    <t>BR_20170106_139_12751</t>
  </si>
  <si>
    <t>Estou tendo diversos  problemas com o noteboook da HP e infelizmente a unica opção que a HP me deu foi dar meu computador para alguem abrir e tirar meus dados para após isso formatar pela segunda vez. Ninguém nunca me dá uma explicação do que causa tanto problema em um equipamento com poucos meses de adquirido ou resolve de uma vez para que eu possa utilizá-lo sem ter tanto transtorno como venho tendo e gastando para colocar os programas novamente.  Att,</t>
  </si>
  <si>
    <t>ROBERTO DUARTE DOS SANTOS</t>
  </si>
  <si>
    <t>betolegal63@yahoo.com.br</t>
  </si>
  <si>
    <t>BR5B5FG2KF</t>
  </si>
  <si>
    <t>Installing HP scan/fax software</t>
  </si>
  <si>
    <t>HP scan/fax software installation issue</t>
  </si>
  <si>
    <t>201.29.159.246</t>
  </si>
  <si>
    <t>BR_20170106_139_16105</t>
  </si>
  <si>
    <t>A HP é incondicionalmente a melhor do País, e arrisco em dizer do mundo.</t>
  </si>
  <si>
    <t>Rafael da Silva Migliorini</t>
  </si>
  <si>
    <t>rsm_rsm@outlook.com</t>
  </si>
  <si>
    <t>Providing service feedback</t>
  </si>
  <si>
    <t>Complaint about product or service specifications</t>
  </si>
  <si>
    <t>Feels misled about product or service attributes</t>
  </si>
  <si>
    <t>ECR CONS</t>
  </si>
  <si>
    <t>Referred-3rd Party-Other</t>
  </si>
  <si>
    <t>Social Media</t>
  </si>
  <si>
    <t>Public Relations/Media</t>
  </si>
  <si>
    <t>Sales/Delivery Issue</t>
  </si>
  <si>
    <t>Reescalação do protocolo 3034736655 Reclame Aqui - Rafael Migliorini - 22634345 http://www.reclameaqui.com.br/Db8fiHnv0ch1AP5u/reclamacao/acesso-via-hugme/ Nome: Rafael Migliorini E-mail: rsm_rsm@outlook.com CPF: 33414194899 Telefones: 14991114707 Reclamaç</t>
  </si>
  <si>
    <t>Andreia Gino</t>
  </si>
  <si>
    <t>187.10.67.197</t>
  </si>
  <si>
    <t>BR_20170106_140_474</t>
  </si>
  <si>
    <t>Confesso que o meu problema nao é com os produtos HP e sim com o Ponto Frio que opera as vendas do site Loja HP, site confuso que induz o consumidor ao erro, fotos de produtos diferentes da realidade, comprei duas vezes e me entregaram produtos diferentes. Não compro mais nessa loja.</t>
  </si>
  <si>
    <t>CONCEICAO MIRANDA</t>
  </si>
  <si>
    <t>concmiranda@gmail.com</t>
  </si>
  <si>
    <t>BRJ6235FX8</t>
  </si>
  <si>
    <t>HPSA</t>
  </si>
  <si>
    <t>177.140.24.214</t>
  </si>
  <si>
    <t>BR_20170107_139_3538</t>
  </si>
  <si>
    <t>Todos os computadores que tive 1 desk top e 1 notebook Compaq foram muito bons - a Impressora que tenho C-4280 também da HP, que não imprimia tive que levar na A.Técnica. A HP deveria dar suporte sempre que necessário, não apenas na garantia (ou nos 5 anos de vida do produto. Na maioria das vezes o defeito é apenas mínimo e não sei quando conseguir que a máquina funcione. E quando se leva na Autorizada (como levei na Vila Mariana - Rua Eça de Queiroz) o produto nunca mais ficou bom - voltei lá com o mesmo algumas vezes mas acabei perdendo-o totalmente.</t>
  </si>
  <si>
    <t>JANAINA AZEVEDO ROMERO</t>
  </si>
  <si>
    <t>jaazevedoromero@gmail.com</t>
  </si>
  <si>
    <t>BR54SFG07J</t>
  </si>
  <si>
    <t>BR_20170107_139_7787</t>
  </si>
  <si>
    <t>Gostaria de Parabenizar o atendente Yuri Laranjeira. Um profissional muito atencioso. Pois conseguiu instalar o software dá HP em meu notebook, com paciência, entre muitas quedas de sinal que houve no acesso remoto no meu notebook. Estou super satisfeita..São profissionais assim que a área de call Center tem que reconhecer o seu profissional e subir essas pessoas de nível de conhecimento.</t>
  </si>
  <si>
    <t>ROBSON DA CONCEICAO MEDEIROS</t>
  </si>
  <si>
    <t>(212)7797263</t>
  </si>
  <si>
    <t>(217)8074511</t>
  </si>
  <si>
    <t>robsonmedeirosrcm7@gmail.com</t>
  </si>
  <si>
    <t>BR585FB09K</t>
  </si>
  <si>
    <t>INSTALAÇAO</t>
  </si>
  <si>
    <t>152.237.238.205</t>
  </si>
  <si>
    <t>BR_20170108_139_14568</t>
  </si>
  <si>
    <t>ANTONIO DE FREITAS</t>
  </si>
  <si>
    <t>freitasantonio014@gmail.com</t>
  </si>
  <si>
    <t>BRJ62667V0</t>
  </si>
  <si>
    <t>Applying OS updates</t>
  </si>
  <si>
    <t>System fails after update</t>
  </si>
  <si>
    <t>System no longer functions properly after update</t>
  </si>
  <si>
    <t>186.233.223.18</t>
  </si>
  <si>
    <t>BR_20170108_139_1130</t>
  </si>
  <si>
    <t>Gostei muito do suporte técnico oferecido pelos profissionais que prestam serviço para a HP, sim recomendo os produtos HP a todas as pessoas que conheço e estou satisfeito em ser cliente de voçês.</t>
  </si>
  <si>
    <t>CRISTIANE ADRIANA DA SILVA</t>
  </si>
  <si>
    <t>crisadriana1940@hotmail.com</t>
  </si>
  <si>
    <t>BRJ6245F0H</t>
  </si>
  <si>
    <t>ALGUMAS TECLAS APARECEM NUMERO</t>
  </si>
  <si>
    <t>187.59.149.127</t>
  </si>
  <si>
    <t>BR_20170108_139_3423</t>
  </si>
  <si>
    <t>BRUNO PRIOTO BORGES</t>
  </si>
  <si>
    <t>priotoborges@hotmail.com</t>
  </si>
  <si>
    <t>BR62IFF2QP</t>
  </si>
  <si>
    <t>189.32.172.19</t>
  </si>
  <si>
    <t>BR_20170108_139_2258</t>
  </si>
  <si>
    <t>Só tenho um ítem a reclamar, os cartuchos imprimem muito pouca página, deveriam ser mais aproveitáveis, com maior durabilidade.</t>
  </si>
  <si>
    <t>FATIMA NAZARE PEREIRA ATTISANO</t>
  </si>
  <si>
    <t>fatimaattisano@gmail.com</t>
  </si>
  <si>
    <t>BR69MFB297</t>
  </si>
  <si>
    <t>macOS 10.12 Sierra</t>
  </si>
  <si>
    <t>191.188.169.86</t>
  </si>
  <si>
    <t>BR_20170109_139_3013</t>
  </si>
  <si>
    <t>FUI SUPER BEM ATENDIDA, PELO DANIEL. ÓTIMO PROFISSIONAL, MUITO SIMPATICO, ESCLARECEDOR E RESOLVEU TUDO BEM RÁPIDO E DE FORMA EFICAZ. NOTA 1000, PARA ELE !!!</t>
  </si>
  <si>
    <t>Cristina Machado</t>
  </si>
  <si>
    <t>cristinamachado01@hotmail.com</t>
  </si>
  <si>
    <t>BRJ5492WM1</t>
  </si>
  <si>
    <t>201.69.191.14</t>
  </si>
  <si>
    <t>BR_20170109_139_1885</t>
  </si>
  <si>
    <t>GUILHERME FERNANDES GATTAS</t>
  </si>
  <si>
    <t>guilhermefgattas@hotmail.com</t>
  </si>
  <si>
    <t>BR652FC18C</t>
  </si>
  <si>
    <t>HP DeskJet Ink Advantage Ultra 5738 All-in-One Printer</t>
  </si>
  <si>
    <t>F5S61A</t>
  </si>
  <si>
    <t>HP DeskJet Ink Advantage Ultra 5730 All-in-One Printer series</t>
  </si>
  <si>
    <t>QUALIDADE RUIM DE IMPRESSAO</t>
  </si>
  <si>
    <t>189.123.66.85</t>
  </si>
  <si>
    <t>BR_20170109_139_3438</t>
  </si>
  <si>
    <t>ADILSON APARECIDO CAIRES</t>
  </si>
  <si>
    <t>adilsoncaires@gmail.com</t>
  </si>
  <si>
    <t>BR63MFC18S</t>
  </si>
  <si>
    <t>REINSTALAÇÃO</t>
  </si>
  <si>
    <t>BR_20170109_139_81</t>
  </si>
  <si>
    <t>Gostei muito do suporte técnico remoto. Permite visualizar o problema claramente.</t>
  </si>
  <si>
    <t>LETICIA BRANDAO PEREIRA</t>
  </si>
  <si>
    <t>(242)4713934</t>
  </si>
  <si>
    <t>letbrandao13@hotmail.com</t>
  </si>
  <si>
    <t>BRJ518QLZ5</t>
  </si>
  <si>
    <t>187.126.237.149</t>
  </si>
  <si>
    <t>BR_20170109_139_5543</t>
  </si>
  <si>
    <t>Logo que expliquei o meu problema, o atendente Fábio me deu a causa e a solução. Muito atencioso, HP está de Parabéns, que continuem assim!</t>
  </si>
  <si>
    <t>ELIZABETH MARQUES</t>
  </si>
  <si>
    <t>(213)0144480</t>
  </si>
  <si>
    <t>eliza.1953@hotmail.com</t>
  </si>
  <si>
    <t>BR65IFH20J</t>
  </si>
  <si>
    <t>Resolved-Software Order</t>
  </si>
  <si>
    <t>201.29.37.110</t>
  </si>
  <si>
    <t>BR_20170109_139_2806</t>
  </si>
  <si>
    <t>VAGNER ARGENTATO</t>
  </si>
  <si>
    <t>vagnerargentato@hotmail.com</t>
  </si>
  <si>
    <t>TH65P390K5</t>
  </si>
  <si>
    <t>NAO IMPRIME WIFI</t>
  </si>
  <si>
    <t>189.54.144.78</t>
  </si>
  <si>
    <t>BR_20170109_139_9713</t>
  </si>
  <si>
    <t>Sem contato ligar depois das 18:00</t>
  </si>
  <si>
    <t>Sem contato ligar as 15:00</t>
  </si>
  <si>
    <t xml:space="preserve">Cliente informa que não conseguiu responder a pesquisa pois deu erro e informa que daria nota 7 para hp e 10 para o analista </t>
  </si>
  <si>
    <t xml:space="preserve">Cliente trocou produto na loja não respondera a pesquisa </t>
  </si>
  <si>
    <t>Product - PCs &amp; Laptops Graphics/Display, Product - PCs &amp; Laptops Reliability, Service - Tech Support Problem Resolution, General Other</t>
  </si>
  <si>
    <t>General Other, Fulfillment - Order Order Accuracy</t>
  </si>
  <si>
    <t>Product - PCs &amp; Laptops Reliability, Product - Printers Reliability, Service - Tech Support Problem Resolution, General Other, Corporate - Policy Warranty/Guarantee</t>
  </si>
  <si>
    <t>Product - PCs &amp; Laptops Use and Care, General Other</t>
  </si>
  <si>
    <t>VIRGILIO DOS SANTOS JUNIOR</t>
  </si>
  <si>
    <t>virgiliosantosjunior@gmail.com</t>
  </si>
  <si>
    <t>BRJ6286RXT</t>
  </si>
  <si>
    <t>HP All-in-One - 22-3101br (ENERGY STAR)</t>
  </si>
  <si>
    <t>K5G54AA</t>
  </si>
  <si>
    <t>187.56.77.132</t>
  </si>
  <si>
    <t>BR_20170107_139_19418</t>
  </si>
  <si>
    <t>JOSE ANDERSON G A LUCENA</t>
  </si>
  <si>
    <t>(853)4917931</t>
  </si>
  <si>
    <t>andersonjagal@gmail.com</t>
  </si>
  <si>
    <t>BRJ536XH3Y</t>
  </si>
  <si>
    <t>WIFI NÃO CONECTA</t>
  </si>
  <si>
    <t>170.84.77.243</t>
  </si>
  <si>
    <t>BR_20170107_139_9087</t>
  </si>
  <si>
    <t>JACKSON FERNANDO CUNHA DA SILVA</t>
  </si>
  <si>
    <t>jacksonbassbone@gmail.com</t>
  </si>
  <si>
    <t>BRJ6235JSV</t>
  </si>
  <si>
    <t>Recuperação pela midia</t>
  </si>
  <si>
    <t>189.0.40.219</t>
  </si>
  <si>
    <t>BR_20170108_139_6903</t>
  </si>
  <si>
    <t>fora a demora de envio de equipamento,e um prazo de mais ou menos um mês e meio,problema resolvido,atendimento satisfatório.unica queixa demoro de envio</t>
  </si>
  <si>
    <t>JOSUE GERALDO POPUSA DO CARMO</t>
  </si>
  <si>
    <t>josue.carmo@terra.com.br</t>
  </si>
  <si>
    <t>BR659FG24J</t>
  </si>
  <si>
    <t>177.13.248.125</t>
  </si>
  <si>
    <t>BR_20170107_139_9297</t>
  </si>
  <si>
    <t>Fui muito bem atendido, por pessoa capacitada, e que soube resolver o problema.</t>
  </si>
  <si>
    <t>NOBERTO ARAUJO ALVES</t>
  </si>
  <si>
    <t>noberto.araujo@gmail.com</t>
  </si>
  <si>
    <t>TH62N830XD</t>
  </si>
  <si>
    <t>NÃO IMPRIME MAIS DE UMA PÁGINA</t>
  </si>
  <si>
    <t>BR_20170107_139_14035</t>
  </si>
  <si>
    <t>ANDERSON PHELIPE DE MORAES ELIAS</t>
  </si>
  <si>
    <t>(213)2546641</t>
  </si>
  <si>
    <t>labonge2003@hotmail.com</t>
  </si>
  <si>
    <t>BRBSHCLF30</t>
  </si>
  <si>
    <t>lentidão</t>
  </si>
  <si>
    <t>179.158.202.233</t>
  </si>
  <si>
    <t>BR_20170107_139_807</t>
  </si>
  <si>
    <t>Mentiras e enrolação, minha multifuncional continua com defeito desde que comprei, ninguém conserta ou troca.</t>
  </si>
  <si>
    <t>Aline de Almeida Zamboni</t>
  </si>
  <si>
    <t>aliner_almeida@yahoo.com.br</t>
  </si>
  <si>
    <t>BR672FD0Y0</t>
  </si>
  <si>
    <t>USB NÃO RECONHECE</t>
  </si>
  <si>
    <t>201.95.187.210</t>
  </si>
  <si>
    <t>BR_20170108_139_455</t>
  </si>
  <si>
    <t>ALAN CAITANO GONCALVES</t>
  </si>
  <si>
    <t>alangoncalvesr5@gmail.com</t>
  </si>
  <si>
    <t>BR58HFD0GB</t>
  </si>
  <si>
    <t>CUT-INSTALACAO</t>
  </si>
  <si>
    <t>BR_20170111_139_302</t>
  </si>
  <si>
    <t>No começo foi muito bem mas depois nāo conseguiu fazer a instalação, ja tinha feito toda a instalação so estava com problema no wireless que estava com problema de senha. Ai o senhor analista fez toda a instalação novamente demorou mais de 50 minutos caiu a ligação e não mi retornou a ligação um simples retorno ja resolvia meu problema que ja estava quase resolvido depoos de quase duas horas tentando fazer a instalação. Outros suporte te retorna no momento que cai a ligação um exemplo a Dell.</t>
  </si>
  <si>
    <t>Mateus Silva</t>
  </si>
  <si>
    <t>dayane souza</t>
  </si>
  <si>
    <t>Respondeu a pesquisa hoje</t>
  </si>
  <si>
    <t>Cliente insadisfeita 5 para o antendimento e 8 hp e não testou o e print  ligar as 15:00</t>
  </si>
  <si>
    <t xml:space="preserve">Impressora importada não responder a pesquisa </t>
  </si>
  <si>
    <t xml:space="preserve">Caso não resolvido não responder </t>
  </si>
  <si>
    <t xml:space="preserve">Responder a pesquisa </t>
  </si>
  <si>
    <t>Cliente orientado a não responder não ligar mais</t>
  </si>
  <si>
    <t>cliente super insatisfeito pelo processo ja que sua nota nao foi falidada, nao ligar novamente</t>
  </si>
  <si>
    <t>cliente satisfeita</t>
  </si>
  <si>
    <t>cliente informado sobre o equipamento estar fora de garantia, indico o mesmo a nao responder a pesquisa (caso finalizado)</t>
  </si>
  <si>
    <t>RESPONDIDO EM LINHA</t>
  </si>
  <si>
    <t>CLIENTE RESPONDERA AMANHA</t>
  </si>
  <si>
    <t>CLISTON WINNE BEZERRA DA SILVA</t>
  </si>
  <si>
    <t>(673)0290400</t>
  </si>
  <si>
    <t>winne@vetprimems.com.br</t>
  </si>
  <si>
    <t>BRGSHD3008</t>
  </si>
  <si>
    <t>Laserjet print quality related error</t>
  </si>
  <si>
    <t>All print quality related error</t>
  </si>
  <si>
    <t>FALHA DE QUALIDADE DE IMPRESSAO</t>
  </si>
  <si>
    <t>179.182.66.199</t>
  </si>
  <si>
    <t>BR_20170111_139_3416</t>
  </si>
  <si>
    <t>elder ribeiro</t>
  </si>
  <si>
    <t>elder.s.m.g.r@gmail.com</t>
  </si>
  <si>
    <t>CN6575R030</t>
  </si>
  <si>
    <t>HP OfficeJet 7110 Wide Format ePrinter - H812a</t>
  </si>
  <si>
    <t>Mac OS X 10.10 Yosemite</t>
  </si>
  <si>
    <t>HP OfficeJet 7110 Wide Format ePrinter series - H812</t>
  </si>
  <si>
    <t>INSTALACAO WIFI</t>
  </si>
  <si>
    <t>179.214.98.52</t>
  </si>
  <si>
    <t>BR_20170111_139_5179</t>
  </si>
  <si>
    <t>Product - Operating System Use and Care, General Other, Corporate - Policy Profits</t>
  </si>
  <si>
    <t>ALEXANDRO LIMA DOS SANTOS</t>
  </si>
  <si>
    <t>alessandrolima8@gmail.com</t>
  </si>
  <si>
    <t>BR61RFH2KX</t>
  </si>
  <si>
    <t>187.65.111.128</t>
  </si>
  <si>
    <t>BR_20170106_139_398</t>
  </si>
  <si>
    <t>fui muito bem atendido</t>
  </si>
  <si>
    <t>RODINEI FERREIRA ALVES</t>
  </si>
  <si>
    <t>alves.rodinei@hotmail.com</t>
  </si>
  <si>
    <t>CN64B2834Z</t>
  </si>
  <si>
    <t>HP DeskJet Ink Advantage 1115 Printer</t>
  </si>
  <si>
    <t>F5S21A</t>
  </si>
  <si>
    <t>HP DeskJet Ink Advantage 1110 Printer series</t>
  </si>
  <si>
    <t>177.75.45.40</t>
  </si>
  <si>
    <t>BR_20170106_139_16178</t>
  </si>
  <si>
    <t>Só tenho que parabenizar a todos,e principalmente ao técnico a qual fez a instalação da impressora muito bom,,,</t>
  </si>
  <si>
    <t>CLAUDIA REGINA PESSOA DOS SANTOS</t>
  </si>
  <si>
    <t>(212)5485020</t>
  </si>
  <si>
    <t>crpessoa@globo.com</t>
  </si>
  <si>
    <t>BR56TFF02Y</t>
  </si>
  <si>
    <t>200.142.124.182</t>
  </si>
  <si>
    <t>BR_20170107_139_3458</t>
  </si>
  <si>
    <t>VANESSA TAVARES DOS SANTOS</t>
  </si>
  <si>
    <t>vtdstecnic@gmail.com</t>
  </si>
  <si>
    <t>BR66MFF2FX</t>
  </si>
  <si>
    <t>NÃO CONECTA VIA WIRELESS</t>
  </si>
  <si>
    <t>BR_20170107_139_19164</t>
  </si>
  <si>
    <t>A maioria dá perguntas eu dei a nota dez, pois o serviço foi bom, o atendimento também, não puderam resolver o meu problema não por falha de conhecimento, mas pois o problema não era a impressora HP, mas meu computador ou a rede. Eu consegui resolver o meu problema de conexão wi-fi. Tá tudo certo.</t>
  </si>
  <si>
    <t>VALERIA ABRANTES</t>
  </si>
  <si>
    <t>valeria-abrantes@hotmail.com</t>
  </si>
  <si>
    <t>BR62CFF24W</t>
  </si>
  <si>
    <t>INSTALAÇÃO</t>
  </si>
  <si>
    <t>189.54.145.208</t>
  </si>
  <si>
    <t>BR_20170108_139_17371</t>
  </si>
  <si>
    <t>ALCIONE EMERICH</t>
  </si>
  <si>
    <t>(273)0640413</t>
  </si>
  <si>
    <t>avmemerich@gmail.com</t>
  </si>
  <si>
    <t>BR68JFH314</t>
  </si>
  <si>
    <t>177.133.241.2</t>
  </si>
  <si>
    <t>BR_20170108_139_319</t>
  </si>
  <si>
    <t>Excelente pós venda. Parabéns</t>
  </si>
  <si>
    <t>MANUEL CRUZ</t>
  </si>
  <si>
    <t>(713)3890847</t>
  </si>
  <si>
    <t>mcrepresentacoes1@yahoo.com.br</t>
  </si>
  <si>
    <t>BRJ5513MDV</t>
  </si>
  <si>
    <t>186.241.26.254</t>
  </si>
  <si>
    <t>BR_20170108_139_10599</t>
  </si>
  <si>
    <t>FERNANDO AUGUSTO VALENTE</t>
  </si>
  <si>
    <t>fernandoaugusto288@gmail.com</t>
  </si>
  <si>
    <t>BR59QFF115</t>
  </si>
  <si>
    <t>F5S65A</t>
  </si>
  <si>
    <t>PROBLEMA DE CONFIGURAÇÃO WIFI</t>
  </si>
  <si>
    <t>201.92.3.158</t>
  </si>
  <si>
    <t>BR_20170108_139_5505</t>
  </si>
  <si>
    <t>JULIANA APARECIDA QUINQUIO GARCIA</t>
  </si>
  <si>
    <t>(193)8466495</t>
  </si>
  <si>
    <t>pradoneves.odontologia@gmail.com</t>
  </si>
  <si>
    <t>BR676FB34B</t>
  </si>
  <si>
    <t>187.11.214.59</t>
  </si>
  <si>
    <t>BR_20170108_139_8696</t>
  </si>
  <si>
    <t>RENATA CASSIANO CHAGAS MAGALHAES</t>
  </si>
  <si>
    <t>(353)3324281</t>
  </si>
  <si>
    <t>renata-magalhaes@hotmail.com</t>
  </si>
  <si>
    <t>BRJ62156N5</t>
  </si>
  <si>
    <t>RECUPERACAO</t>
  </si>
  <si>
    <t>BR_20170109_139_7753</t>
  </si>
  <si>
    <t>GILMAR MATTOS</t>
  </si>
  <si>
    <t>souzagm44@ig.com.br</t>
  </si>
  <si>
    <t>BR55SFH4DQ</t>
  </si>
  <si>
    <t>189.122.144.100</t>
  </si>
  <si>
    <t>BR_20170111_139_6386</t>
  </si>
  <si>
    <t>CARLOS EDUARDO MUSTAFA DAMASCENO</t>
  </si>
  <si>
    <t>carlosemdamasceno@gmail.com</t>
  </si>
  <si>
    <t>BR65CFF402</t>
  </si>
  <si>
    <t>CONFIGURAÇÃO WIFI</t>
  </si>
  <si>
    <t>187.106.213.248</t>
  </si>
  <si>
    <t>BR_20170111_139_2578</t>
  </si>
  <si>
    <t>LUIZ CARLOS RODRIGUES</t>
  </si>
  <si>
    <t>(123)4268962</t>
  </si>
  <si>
    <t>rodrigueslcarlos@hotmail.com</t>
  </si>
  <si>
    <t>BRJ6123C0R</t>
  </si>
  <si>
    <t>SENHA</t>
  </si>
  <si>
    <t>189.55.143.49</t>
  </si>
  <si>
    <t>BR_20170111_139_11174</t>
  </si>
  <si>
    <t>Bom, tenho impressora deskjet 4625, dois notebook, uma máquina fotográfica, todos HP. São bons produtos duráveis e não dão problemamas, Parabéns!</t>
  </si>
  <si>
    <t>JESSICA CAPRONI DE SANTANA</t>
  </si>
  <si>
    <t>portalvilaprudente@gmail.com</t>
  </si>
  <si>
    <t>TH54R620D4</t>
  </si>
  <si>
    <t>QUALIDADE DE IMPRESSAO</t>
  </si>
  <si>
    <t>201.83.73.97</t>
  </si>
  <si>
    <t>BR_20170111_139_8265</t>
  </si>
  <si>
    <t>O técnico que me atendeu é um profissional que me impressionou, pois é uma técnico que mostrou experiência e resolveu meu problema com paciência e muita boa vontade. Parabéns HP, espero que todos os técnicos da empresa seja tão prestativo quando este que me atendeu.  Obrigada</t>
  </si>
  <si>
    <t>ELIANE MONETTI</t>
  </si>
  <si>
    <t>eliane.monetti@gmail.com</t>
  </si>
  <si>
    <t>BR58JFG04Q</t>
  </si>
  <si>
    <t>Network - Printer not found during installation</t>
  </si>
  <si>
    <t>Printer not detected on network or USBSOW</t>
  </si>
  <si>
    <t>189.102.36.135</t>
  </si>
  <si>
    <t>BR_20170111_139_5208</t>
  </si>
  <si>
    <t>O problema foi resolvido com presteza e muita boa vontade do atendente,</t>
  </si>
  <si>
    <t>MARCIA DE OLIVEIRA BASSUL</t>
  </si>
  <si>
    <t>marciabss@yahoo.com.br</t>
  </si>
  <si>
    <t>BRJ6102WDX</t>
  </si>
  <si>
    <t>WIFI INTERMITENTE</t>
  </si>
  <si>
    <t>187.114.240.177</t>
  </si>
  <si>
    <t>BR_20170111_139_11481</t>
  </si>
  <si>
    <t>Avaliei me baseando na presteza do atendimento e educação dos profissionais.</t>
  </si>
  <si>
    <t>GIOVANA CUNHA JOIA</t>
  </si>
  <si>
    <t>giovanacunha1394@gmail.com</t>
  </si>
  <si>
    <t>CN45N3B2B3</t>
  </si>
  <si>
    <t>HP Deskjet Ink Advantage 4646 e-All-in-One Printer</t>
  </si>
  <si>
    <t>B4L09A</t>
  </si>
  <si>
    <t>HP Deskjet Ink Advantage 4640 e-All-in-One Printer series</t>
  </si>
  <si>
    <t>SITL_SAO_BR-PT-EM-POP-0001</t>
  </si>
  <si>
    <t>177.157.154.162</t>
  </si>
  <si>
    <t>BR_20170111_139_6406</t>
  </si>
  <si>
    <t>Corporate - Marketing Loyalty, Corporate - Policy Exchange</t>
  </si>
  <si>
    <t>YASMIN REGINA GONÇALVES</t>
  </si>
  <si>
    <t>clinimed@superig.com.br</t>
  </si>
  <si>
    <t>BR58KFG1PK</t>
  </si>
  <si>
    <t>IMPRESSÕES TORTAS</t>
  </si>
  <si>
    <t>177.139.154.137</t>
  </si>
  <si>
    <t>BR_20170111_139_19371</t>
  </si>
  <si>
    <t>Fui muito bem atendida pelo profissional hp, ele muito atencioso e eficaz.</t>
  </si>
  <si>
    <t>ROSIVAL QUEIROZ DA SILVA</t>
  </si>
  <si>
    <t>rq.silva@uol.com.br</t>
  </si>
  <si>
    <t>TH61J8312X</t>
  </si>
  <si>
    <t>M0F56A</t>
  </si>
  <si>
    <t>189.79.87.25</t>
  </si>
  <si>
    <t>BR_20170111_139_16005</t>
  </si>
  <si>
    <t>Senti no atendimento que a HP e seus colaboradores tem o espírito de um aprimoramento contínuo e promovendo um atendimento de excelência para seus consumidores. Muito satisfeito com o atendimento recebido.</t>
  </si>
  <si>
    <t>INGRID FERREIRA DO NASCIMENTO</t>
  </si>
  <si>
    <t>(212)4132874</t>
  </si>
  <si>
    <t>ingridfn.rj@gmail.com</t>
  </si>
  <si>
    <t>BRJ540Z43C</t>
  </si>
  <si>
    <t>BATERIA NAO CARREGA</t>
  </si>
  <si>
    <t>BR_20170111_139_7213</t>
  </si>
  <si>
    <t>EDUARDO RIBEIRO DA SILVA</t>
  </si>
  <si>
    <t>(113)9016931</t>
  </si>
  <si>
    <t>(112)5896333</t>
  </si>
  <si>
    <t>eduardorib04@gmail.com</t>
  </si>
  <si>
    <t>BR593FF01B</t>
  </si>
  <si>
    <t>INSTALAÇÃO DA IMPRESSORA</t>
  </si>
  <si>
    <t>189.120.39.159</t>
  </si>
  <si>
    <t>BR_20170111_139_5086</t>
  </si>
  <si>
    <t>O atendimento foi excelente. A única queixa é a demora em falar com o atendente. Tive que aguardar quase 5 minutos para ser atendido. Sugiro a inclusão de mais linhas com o intuito de agilizar o atendimento.</t>
  </si>
  <si>
    <t>MORACIR CARVALHAL</t>
  </si>
  <si>
    <t>(114)5874699</t>
  </si>
  <si>
    <t>moracilo@gmail.com</t>
  </si>
  <si>
    <t>CN22NGD39T</t>
  </si>
  <si>
    <t>HP Photosmart e-All-in-One Printer - D110a</t>
  </si>
  <si>
    <t>CN731A</t>
  </si>
  <si>
    <t>HP Photosmart e-All-in-One Printer series - D110</t>
  </si>
  <si>
    <t>ERRO NA INSTALACAO</t>
  </si>
  <si>
    <t>179.222.190.203</t>
  </si>
  <si>
    <t>BR_20170111_139_13126</t>
  </si>
  <si>
    <t>DIOGO DE ALMEIDA MARY</t>
  </si>
  <si>
    <t>diogomary@yahoo.com.br</t>
  </si>
  <si>
    <t>BRJ6133JCV</t>
  </si>
  <si>
    <t>TOUCHSCREEN NAO FUNCIONA</t>
  </si>
  <si>
    <t>179.77.148.164</t>
  </si>
  <si>
    <t>BR_20170111_139_4626</t>
  </si>
  <si>
    <t>MARIA ERANILDA DA SILVA</t>
  </si>
  <si>
    <t>lais0105@hotmail.com</t>
  </si>
  <si>
    <t>BR65CFG1FW</t>
  </si>
  <si>
    <t>BR_20170111_139_11611</t>
  </si>
  <si>
    <t>Obtive um atendimento excelente,solucionaram meu problema com facilidade e agilidade.</t>
  </si>
  <si>
    <t>GISELI FOLCHINI SAMBUGARI DA SILVA</t>
  </si>
  <si>
    <t>(173)2235937</t>
  </si>
  <si>
    <t>giselifolchini@hotmail.com</t>
  </si>
  <si>
    <t>BR642FF0Y2</t>
  </si>
  <si>
    <t>186.225.134.65</t>
  </si>
  <si>
    <t>BR_20170111_139_6425</t>
  </si>
  <si>
    <t>Fui muito bem atendida na solicitação da assistência, nota mil pelo atendimento e profissionalismo,atendimento rápido,!</t>
  </si>
  <si>
    <t>LUANA OLIVEIRA DA SILVA</t>
  </si>
  <si>
    <t>lulix2009@hotmail.com</t>
  </si>
  <si>
    <t>BR5B4FB27R</t>
  </si>
  <si>
    <t>201.6.231.254</t>
  </si>
  <si>
    <t>BR_20170111_139_11081</t>
  </si>
  <si>
    <t>Bom Dia,  Atendimento excellente do SR. Yago, porém me arrependi de ter comprado a impressora HP, pois pelomenos uma vez no Mes tenho problemas para imprimir.  Att,  Luana</t>
  </si>
  <si>
    <t>JOSE LUIZ NADALIN</t>
  </si>
  <si>
    <t>nadalin@uol.com.br</t>
  </si>
  <si>
    <t>BR64SFC1PY</t>
  </si>
  <si>
    <t>189.69.40.95</t>
  </si>
  <si>
    <t>BR_20170111_139_8954</t>
  </si>
  <si>
    <t>MARCELLA NOSCHESE GARBIN</t>
  </si>
  <si>
    <t>(112)2721427</t>
  </si>
  <si>
    <t>mah.garbin@hotmail.com</t>
  </si>
  <si>
    <t>BR62AFB29X</t>
  </si>
  <si>
    <t>FALHA DE COMUNICACAO</t>
  </si>
  <si>
    <t>200.148.10.181</t>
  </si>
  <si>
    <t>BR_20170111_139_11468</t>
  </si>
  <si>
    <t>AMANDA TALHARI FRANCO</t>
  </si>
  <si>
    <t>amandatfranco@gmail.com</t>
  </si>
  <si>
    <t>CN6483R0JM</t>
  </si>
  <si>
    <t>HP OfficeJet 7612 Wide Format e-All-in-One</t>
  </si>
  <si>
    <t>G1X85A</t>
  </si>
  <si>
    <t>HP OfficeJet 7610 Wide Format e-All-in-One series</t>
  </si>
  <si>
    <t>Error while communicating with scanning device</t>
  </si>
  <si>
    <t>Error communicating with scanning device</t>
  </si>
  <si>
    <t>DIGITALIZACAO</t>
  </si>
  <si>
    <t>168.194.162.242</t>
  </si>
  <si>
    <t>BR_20170112_139_680</t>
  </si>
  <si>
    <t>A ligação caiu, o operador saiu (ou caiu) da assistência remota, não recebi um retorno, e é minha segunda ligação para tentar fazer funcionar uma multifuncional de 1500 reais comprada 4 meses atrás. Decepcionada e irritada, com vontade de devolver o produto.</t>
  </si>
  <si>
    <t>CAROLINE CAMPOS TROMBETA</t>
  </si>
  <si>
    <t>carolinecampost@gmail.com</t>
  </si>
  <si>
    <t>BRJ6071TBP</t>
  </si>
  <si>
    <t>189.110.29.22</t>
  </si>
  <si>
    <t>BR_20170112_139_2955</t>
  </si>
  <si>
    <t>Achei incrível a facilidade e rapidez que meu problema foi solucionado. O atendente foi super educado, profissional e paciente. Também achei ótimo a ferramenta de o técnico poder entrar no meu Notebook de onde estava com um miniaplicativo, pois isso com certeza facilita muito quando não se sabe explicar o que está acontecendo com o sistema. De qualquer maneira fui muito bem atendida e melhor Ainda foi perceber a preocupação da equipe em saber se o problema já havia sido solucionado de fato ou se havia voltado a ocorrer. Recebi 3 ligações para saber se havia voltado a ocorrer é isso demonstra o quanto a HP está preparada para atender seus clientes de forma rápida e eficaz.</t>
  </si>
  <si>
    <t>MARCIO SAAD TANNUZ</t>
  </si>
  <si>
    <t>(114)1135133</t>
  </si>
  <si>
    <t>mtannuz2002@yahoo.com.br</t>
  </si>
  <si>
    <t>CNF: Providing service feedback</t>
  </si>
  <si>
    <t>Cnova</t>
  </si>
  <si>
    <t>Referral - Internal</t>
  </si>
  <si>
    <t>BR_20170112_140_378</t>
  </si>
  <si>
    <t>Tenho uma compra de 2 cartuchos 662 cancelada em 16/09/2016 e até hoje não me devolveram os R$52,00 que paguei com Boleto. Fui contatado várias vezes pela Fernanda, Gabriel e Jenifer. Fui ao Banco Itaú, pois fui informado pela Fernanda que uma Ordem de Pagamento estaria a minha disposicao dia 29/12/2016 e pela quarta vez perdi tempo, pois não havia nenhum valor no meu CPF: 058.149.018-53.</t>
  </si>
  <si>
    <t>REGIANE RUAS</t>
  </si>
  <si>
    <t>regianeruas.rslider@gmail.com</t>
  </si>
  <si>
    <t>BR674FB3SF</t>
  </si>
  <si>
    <t>How to: Installing HP scan/fax software</t>
  </si>
  <si>
    <t>Help installing HP scan/fax software</t>
  </si>
  <si>
    <t>177.103.247.90</t>
  </si>
  <si>
    <t>BR_20170111_139_15137</t>
  </si>
  <si>
    <t>Fui muito bem atendida e meu problema resolvido.</t>
  </si>
  <si>
    <t>VALTER MARTINS</t>
  </si>
  <si>
    <t>(113)3378775</t>
  </si>
  <si>
    <t>valterm@terra.com.br</t>
  </si>
  <si>
    <t>CN74CCE0HZ</t>
  </si>
  <si>
    <t>Q8232A - CN74CCE0HZ - HP Officejet J5780 All-in-One Printer</t>
  </si>
  <si>
    <t>Q8232A</t>
  </si>
  <si>
    <t>HP Officejet J5700 All-in-One Printer series</t>
  </si>
  <si>
    <t>FALHA NO CARTUCHO PRETO</t>
  </si>
  <si>
    <t xml:space="preserve">Y </t>
  </si>
  <si>
    <t>CLIENTE ESTA COM UMA FALHA NO CARTUCHO PRETO AO TENTAR ABRIR O NEWTON APRESENTA QUE O SEVICO E OBSOLETO, SEGUNDO MENTOR DAYANE ESCALO PARA COMPLANT PARA PODER ABRIR O NEWTON EM TERMO DE ESCESSAO 7661084EC</t>
  </si>
  <si>
    <t>177.95.138.25</t>
  </si>
  <si>
    <t>BR_20170111_140_559</t>
  </si>
  <si>
    <t>A escolha das notas se deu pelo fato de que o atendimento além de profissional, o que ja seria suficiente para justificar as notas, teve um aspecto de me deixar à vontade e me fazer sentir bem.</t>
  </si>
  <si>
    <t>JOFAVIAS JERONIMO SANTOS</t>
  </si>
  <si>
    <t>jeronimosantos926@gmail.com</t>
  </si>
  <si>
    <t>BR4521F143</t>
  </si>
  <si>
    <t>NÃO RECONHECE CARTUCHO</t>
  </si>
  <si>
    <t>BR_20170111_139_8578</t>
  </si>
  <si>
    <t>Porque foi tudo isso que aconteceu, sinceramente. Obrigado.</t>
  </si>
  <si>
    <t>vgome001</t>
  </si>
  <si>
    <t>BR238P-HPQ0094</t>
  </si>
  <si>
    <t xml:space="preserve">Cliente desliga a ouvir hp </t>
  </si>
  <si>
    <t xml:space="preserve">Esta testando o produto respondera se estiver resolvido </t>
  </si>
  <si>
    <t xml:space="preserve">Não indica a hp não respondera </t>
  </si>
  <si>
    <t>Tipo Skill</t>
  </si>
  <si>
    <t>Tipo Caso</t>
  </si>
  <si>
    <t>Skill Analista</t>
  </si>
  <si>
    <t>SKILL IGUAL</t>
  </si>
  <si>
    <t>SKILL DIFERENTE</t>
  </si>
  <si>
    <t>Cintia Aparecida dos Santos</t>
  </si>
  <si>
    <t>ira retornar contato, para melhorar a resolucao da digitalizacao</t>
  </si>
  <si>
    <t>fora da garantia.</t>
  </si>
  <si>
    <t>retornar sexta, verifcar se resolveu</t>
  </si>
  <si>
    <t>retonra as 13:50</t>
  </si>
  <si>
    <t>email errado</t>
  </si>
  <si>
    <t>ira retornar com suporte</t>
  </si>
  <si>
    <t>Hpi - Printer</t>
  </si>
  <si>
    <t>p1198859</t>
  </si>
  <si>
    <t>problema não resolvido</t>
  </si>
  <si>
    <t>ira retornar contato</t>
  </si>
  <si>
    <t>produto importado, problema com cartucho, ira verificar com a loja</t>
  </si>
  <si>
    <t>ambos tels não são da cliente</t>
  </si>
  <si>
    <t>problema intermitente, ira retornar contato</t>
  </si>
  <si>
    <t>Ligar após 15h</t>
  </si>
  <si>
    <t>trocou a impressora.</t>
  </si>
  <si>
    <t>qualidade de impressao muito ruim, não recomenda</t>
  </si>
  <si>
    <t>ligar no segundo tel</t>
  </si>
  <si>
    <t>E-mail não confirmado</t>
  </si>
  <si>
    <t>fora da garantia.possivel detractor.</t>
  </si>
  <si>
    <t>retornar terca</t>
  </si>
  <si>
    <t>jogou equipamento fora</t>
  </si>
  <si>
    <t>ira responder,</t>
  </si>
  <si>
    <t>ira responder, não ligar novamente.</t>
  </si>
  <si>
    <t>email tecnico da cleinte</t>
  </si>
  <si>
    <t>cliente encerra contato</t>
  </si>
  <si>
    <t>retonrar as 16h</t>
  </si>
  <si>
    <t>so 1 tel e não e do cliente</t>
  </si>
  <si>
    <t>apresentou varios problemas, não responder</t>
  </si>
  <si>
    <t>Mentor</t>
  </si>
  <si>
    <t>1° tel. Não é docliente 2° só chama</t>
  </si>
  <si>
    <t>Cliente vai avaliar o funcionamento da impressora por alguns dias</t>
  </si>
  <si>
    <t>retorna dia 12/01</t>
  </si>
  <si>
    <t>em processo de reparo, mas deseja a troca do equipamento</t>
  </si>
  <si>
    <t>ira retornar contato.</t>
  </si>
  <si>
    <t>levou pc a assistencia tecnica</t>
  </si>
  <si>
    <t>ira responde</t>
  </si>
  <si>
    <t>1º tel após 15h, 2º tel cx postal</t>
  </si>
  <si>
    <t>revenda</t>
  </si>
  <si>
    <t>retorna segundo tel</t>
  </si>
  <si>
    <t>HQ</t>
  </si>
  <si>
    <t>Hpi - Pc</t>
  </si>
  <si>
    <t>tel 1 não e da cliente</t>
  </si>
  <si>
    <t>retoranar segundo tel</t>
  </si>
  <si>
    <t>problema intermitente retornar terça</t>
  </si>
  <si>
    <t>email e nome no cadastro do tecnico, telefone da cliente dona da impressora</t>
  </si>
  <si>
    <t>agendar retorno segunda, ate as 18h, problema qualidade de impressao.</t>
  </si>
  <si>
    <t>p6547588</t>
  </si>
  <si>
    <t>Natasha Julia de Paulo</t>
  </si>
  <si>
    <t>problema wifi, perde conexao constantemente, retorno segunda horario comercial.</t>
  </si>
  <si>
    <t>consumo do cartucho</t>
  </si>
  <si>
    <t>ira retornar problema com scaner.</t>
  </si>
  <si>
    <t>problema qualidade de impressao,ira aguardar troca do cartucho.</t>
  </si>
  <si>
    <t>processo ate a solucao foi cansativo.nota 7</t>
  </si>
  <si>
    <t>mae do cliente informa que ele levou a  impressora para a loja.</t>
  </si>
  <si>
    <t>retornar após as 15</t>
  </si>
  <si>
    <t>cliente não trabalha mais no local.</t>
  </si>
  <si>
    <t>so 1 tel, incompleto</t>
  </si>
  <si>
    <t>somente 1 tel não e do cliente</t>
  </si>
  <si>
    <t>retornar dia 12</t>
  </si>
  <si>
    <t>cliente reclama pois é 3º contato sobre pesquisa.</t>
  </si>
  <si>
    <t>cliente saiu de viagem</t>
  </si>
  <si>
    <t>somente quinta</t>
  </si>
  <si>
    <t>produto importado. Tratativa com a loja, em tratativa com a loja</t>
  </si>
  <si>
    <t>ira trocar toner</t>
  </si>
  <si>
    <t>p6159246</t>
  </si>
  <si>
    <t>Mateus Daniel Amaral Silva</t>
  </si>
  <si>
    <t>ira trocar cabo usb</t>
  </si>
  <si>
    <t>retornar segunda.</t>
  </si>
  <si>
    <t>ja recebeu contato.</t>
  </si>
  <si>
    <t>ira retornar para configurar e-print</t>
  </si>
  <si>
    <t>impressora fora da garantia.</t>
  </si>
  <si>
    <t>ira entar em contato com provedor de internet</t>
  </si>
  <si>
    <t>p2032096</t>
  </si>
  <si>
    <t>Aplicado CID</t>
  </si>
  <si>
    <t>Responder pesquisa, Cliente ciente da pesquisa. Equipamento fora de garantia</t>
  </si>
  <si>
    <t>Cliente viajando, retornar sábado</t>
  </si>
  <si>
    <t>cliernte possui 3 protocolos em menos de 10 dias</t>
  </si>
  <si>
    <t>somente 1 tel.</t>
  </si>
  <si>
    <t>web-dispute</t>
  </si>
  <si>
    <t>p1739203</t>
  </si>
  <si>
    <t>Mídia Social</t>
  </si>
  <si>
    <t>retornar as 14h</t>
  </si>
  <si>
    <t>tel 1 nao e da cliente</t>
  </si>
  <si>
    <t>so chama, possui outro caso onde foi gerado reparo</t>
  </si>
  <si>
    <t>so chama, retornar as 14h</t>
  </si>
  <si>
    <t>cliente e ti da empresa nao possui ramal.</t>
  </si>
  <si>
    <t>7F</t>
  </si>
  <si>
    <t>so 1 tel,computador</t>
  </si>
  <si>
    <t>Vai retornar com suporte</t>
  </si>
  <si>
    <t>Trocou na loja</t>
  </si>
  <si>
    <t>cliente disponivel as 17</t>
  </si>
  <si>
    <t>ira retornar para instalar impressora</t>
  </si>
  <si>
    <t>caso supervisor</t>
  </si>
  <si>
    <t>qualidade de impressao, e valor do cartucho</t>
  </si>
  <si>
    <t>ira responder, não retornar novamente</t>
  </si>
  <si>
    <t>2º vez que foi para reparo.possivel detractor</t>
  </si>
  <si>
    <t>ira responder (21) 986631390</t>
  </si>
  <si>
    <t>caso duplicado  3035653643</t>
  </si>
  <si>
    <t>Não tem E-mail</t>
  </si>
  <si>
    <t xml:space="preserve">Ligar 14:00 </t>
  </si>
  <si>
    <t>Enviado FUPO</t>
  </si>
  <si>
    <t xml:space="preserve">Testando equipamento </t>
  </si>
  <si>
    <t>Informar para cliente testar em outro rede ou com outro roteador , pois poder problema na segurança da rede</t>
  </si>
  <si>
    <t>Informar para cliente que foi erro de indicação e a laserjet não suporta transfer , pedir que a loja verifique</t>
  </si>
  <si>
    <t>agendar retorno.problema impressao em a3, 7110, amanha as 9h</t>
  </si>
  <si>
    <t>cliente faleceu</t>
  </si>
  <si>
    <t>enviado email. Assistencias</t>
  </si>
  <si>
    <t>agendar retorno, problema configuracao wifi. Amanha ate as 12h falar com durval</t>
  </si>
  <si>
    <t>Disponivel 13:30 h</t>
  </si>
  <si>
    <t>Enviar E-mail sobre upgrade</t>
  </si>
  <si>
    <t>p4286458</t>
  </si>
  <si>
    <t>Carlos</t>
  </si>
  <si>
    <t>Order Management</t>
  </si>
  <si>
    <t>ira levar note pra tecnico</t>
  </si>
  <si>
    <t>agendar retorno, problema aquecimento, impressora a laser. Segunda as 12h</t>
  </si>
  <si>
    <t>ira adquirir cabo, retornar terca</t>
  </si>
  <si>
    <t>rendimento do cartucho, e valor</t>
  </si>
  <si>
    <t>2° Contato</t>
  </si>
  <si>
    <t>Problema</t>
  </si>
  <si>
    <t>Novo Contato</t>
  </si>
  <si>
    <t>Atende e encerra contato em seguida, 2° não completa</t>
  </si>
  <si>
    <t>passada para fupo callback, tela preta ao iniciar</t>
  </si>
  <si>
    <t>Agendo retorno  Falha voltou a ocorrer</t>
  </si>
  <si>
    <t>Ligar na sexta 11 h ( pela manhã) | cliente pede um tempo para teste do equipamento | produto já foi para a reparadora e voltou sem o sistema operacional</t>
  </si>
  <si>
    <t>Falo com a cliente que informa que o problema não é o que está descrito no protocolo e pede que eu ligue no cel. Ligo porém o nº não existe, confirmo com a cliente o n° e mesmo assim sem contato. | Cliente levou equipamento para conserto por conta. Muito insatisfeita</t>
  </si>
  <si>
    <t>Wi fi</t>
  </si>
  <si>
    <t>9h ligar 09/1 para filha 91982444715 denusa</t>
  </si>
  <si>
    <t>Lentidão</t>
  </si>
  <si>
    <t>respondeu hoje pela manhã</t>
  </si>
  <si>
    <t>Ambos números</t>
  </si>
  <si>
    <t>Nota 8 | Nota 5 fora de garantia</t>
  </si>
  <si>
    <t>Travamento</t>
  </si>
  <si>
    <t>Nota 9| indica a Hp</t>
  </si>
  <si>
    <t>responderá 11/01</t>
  </si>
  <si>
    <t>Nota 10 | Nota 8 os dois equipamentos da hp deram problema e um equipamento de outra marca funciona normalmente.</t>
  </si>
  <si>
    <t>Nota 10 | Nota 10 Duplicado 3035484478</t>
  </si>
  <si>
    <t>respondeu hoje pela manhã 09/1</t>
  </si>
  <si>
    <t>Nota 9 | indica Hp ( cliente informa que uma atualização não foi efetuada, antes de retornar verificar se tem algum outro contato e se foi sanada questão)</t>
  </si>
  <si>
    <t>respondeu em linha 9/01</t>
  </si>
  <si>
    <t>Nota 10 | Nota 0 Cliente encerra o contato antes de terminar de falar sobre a pesquisa. Equipamento "quebrou" 3 vezes e a Hp não deu um novo para ele.</t>
  </si>
  <si>
    <t>desliga ao saber que é da Hp 9/01</t>
  </si>
  <si>
    <t>Fixo não consegue transferir ligação | Cel caixa postal</t>
  </si>
  <si>
    <t>Nota 10 | Nota 10 ( cliente está na praia, com conexão ruim</t>
  </si>
  <si>
    <t>caso não solucionado, cliente no ano passado já encaminhou equipamento para a Hp | vai entrar em contato novamente quando retornar de viagem</t>
  </si>
  <si>
    <t>Nota 10 | Nota 10 ( apenas após as 17h em ambos números)</t>
  </si>
  <si>
    <t>Nota 10 " os analistas são ótimos"</t>
  </si>
  <si>
    <t>Falo com Sr. Salvador (esposo) que informa que não apresenta mais problemas, porém tinha algumas dúvidas sobre o Office.</t>
  </si>
  <si>
    <t>Nota 10 | Nota 10 elogios a marca, tem outros 2 produtos</t>
  </si>
  <si>
    <t>cliente diz que recebeu um email da HP com instruções de envio, nada consta no produto cadastrado inclusive mostra fora de garantia</t>
  </si>
  <si>
    <t>Cliente solicita tempo para teste do produto | ligra final de semana ou segunda | passivel de falar da pesquisa</t>
  </si>
  <si>
    <t>cliente está inseguro com funcionamento do equipamento</t>
  </si>
  <si>
    <t>Ligação estava bastante ruim, porém cliente diz que teve que aumentar a sensibilidade do sinal wi-fi para poder utilizar</t>
  </si>
  <si>
    <t>Cliente informa que pediu para a filha responder a pesquisa ontém</t>
  </si>
  <si>
    <t>Nota 10 | indica Hp</t>
  </si>
  <si>
    <t>cliente prefere entrar em contato</t>
  </si>
  <si>
    <t>cliente ainda vai encaminhar a nota fiscal do produto</t>
  </si>
  <si>
    <t>cliente atende e desliga em seguida</t>
  </si>
  <si>
    <t>21969106942  do namorado da cliente | cliente solicita tempo para testar equipamento, ligar 06/1 para saber se foi solucionado</t>
  </si>
  <si>
    <t>pesquisa rejeitada</t>
  </si>
  <si>
    <t>Sr. Nilson</t>
  </si>
  <si>
    <t>respondeu antes do contato de callback</t>
  </si>
  <si>
    <t>AN</t>
  </si>
  <si>
    <t xml:space="preserve">Beatriz </t>
  </si>
  <si>
    <t>Nota 9 | cliente ( maria ) diz que o equipamento está um pouco lento. Vai observar o desempenho e solicita entrar em contato no final 0736 após as 17h</t>
  </si>
  <si>
    <t>Notas 10/10 Corrijo e-mail</t>
  </si>
  <si>
    <t>responderá hoje 9/01</t>
  </si>
  <si>
    <t>2° tel. Só recado outros cx postal</t>
  </si>
  <si>
    <t>Tells. 2 e 3 só chamam</t>
  </si>
  <si>
    <t>responderá pesquisa, cliente viajando no momento e diz que quando puder verificará o email</t>
  </si>
  <si>
    <t>wi fi</t>
  </si>
  <si>
    <t>Nota 10 | Nota 10 ( não ligar mais)</t>
  </si>
  <si>
    <t>1° tel. Não completa 2° só chama</t>
  </si>
  <si>
    <t xml:space="preserve">Nota 3 | Nota 5 o equipamento em menos de 6 meses apresentou alguns problemas o equipamento foi coletado e ainda assim ele apresenta problema. </t>
  </si>
  <si>
    <t>cliente não tem como ficar sem equipamento no momento, encaminhará depois</t>
  </si>
  <si>
    <t>cliente acabou de encerrar o contato, solicito que não reponda ao email pois ainda está testando o equipamento, teve dois contatos</t>
  </si>
  <si>
    <t>Equipamento ainda apresenta falha | 15h passado para fupo callback</t>
  </si>
  <si>
    <t>responderá 09/1</t>
  </si>
  <si>
    <t>3035515442 | duplicado</t>
  </si>
  <si>
    <t>cliente não se encontra</t>
  </si>
  <si>
    <t>fixo após horário comercial | cel caixa postal</t>
  </si>
  <si>
    <t>Nota 10 | Nota 10 complaint</t>
  </si>
  <si>
    <t>respondeu pesquisa 9/1</t>
  </si>
  <si>
    <t>Cliente reclamou do excesso de ligações, informo sobre a pesquisa</t>
  </si>
  <si>
    <t>cliente trocando equipamento com a loja, solicito que não responda até receber o produto e ter certeza de que está realmente funcionado.</t>
  </si>
  <si>
    <t>respondeu hoje 09/01</t>
  </si>
  <si>
    <t>final 6100 de outra filial, ligar apenas no final 8000 , cliente do cliente quer mover ação com procon posis não concorda com funcionamento do wi fi do x360</t>
  </si>
  <si>
    <t>12/01 Cliente ciente da pesquisa</t>
  </si>
  <si>
    <t>11:20 passado para fupo callback| foi gerado chamado. Indicado a não responder ao email</t>
  </si>
  <si>
    <t>Passo o caso para o supervisor, retornar no meio da semana que vem</t>
  </si>
  <si>
    <t>falha solucionada</t>
  </si>
  <si>
    <t xml:space="preserve">Responder  </t>
  </si>
  <si>
    <t>Nota 10 | Nota 10   ( falha voltou, solicito que só reponda quando for solucionada questão)</t>
  </si>
  <si>
    <t>Nota 8 | Nota 8 Retornará para verificar questão do wi fi</t>
  </si>
  <si>
    <t xml:space="preserve">cliente vai testar o equipamento | passado para fupo callback pois cliente diz que impressora pode não ser reconhecida   </t>
  </si>
  <si>
    <t>1122169665 da casa do avô da cliente | Nota 10| Nota 9. Cel da mãe da cliente</t>
  </si>
  <si>
    <t>Cliente informa que já respondeu a pesquisa</t>
  </si>
  <si>
    <t>Cliente informa que após o contato com o suporte, a falha voltou a ocorrer uma ou duas vezes, cliente demonstra insatisfação na voz</t>
  </si>
  <si>
    <t>Responder pesquisa, cliente informa que está super satisfeita e recomenda a HP</t>
  </si>
  <si>
    <t>12h ana gabriela . 21981836121, ligar depois para acompanhar</t>
  </si>
  <si>
    <t>Cliente vai ligar hoje</t>
  </si>
  <si>
    <t>Falo com Raimundo que informa que o cliente só estará no sábado</t>
  </si>
  <si>
    <t>1° tel. Cx postal 2° da mãe da cliente (Maria Antonia) que informa que a falha foi corrigida</t>
  </si>
  <si>
    <t>Passo o caso para retorno. Ligar para a cliente para saber se a falha foi solucionada.</t>
  </si>
  <si>
    <t>12/01 Falo com o filho Daniel que informa que a cliente está viajando e que foi aberto chamado para retirada hoje pela DHL</t>
  </si>
  <si>
    <t xml:space="preserve">nota 10 | Nota 4 </t>
  </si>
  <si>
    <t>Cliente vai verificar se foi solucionada mesmo a questão, ligar 12/01 por volta de 11h</t>
  </si>
  <si>
    <t xml:space="preserve">Cliente informa que pediu uma declaração de compra para a loja, envio e-mail POP </t>
  </si>
  <si>
    <t>Somente as 18:00h 2° tel. Cx postal</t>
  </si>
  <si>
    <t>17/01 | 15h passada para fupo callback, cliente indica até procon por falta de solução</t>
  </si>
  <si>
    <t>Corrijo e-mail, porém necessário confirmação</t>
  </si>
  <si>
    <t xml:space="preserve">Wi fi </t>
  </si>
  <si>
    <t>13/01 Reabro o caso após pesquisa e altero e-mail, verificar se foi pesquisa. NÃO LIGAR MAIS PARA O CLIENTE</t>
  </si>
  <si>
    <t>75988291765 ligar após as 17:30 | demais números caixa postal, Nota 10 | Nota 8</t>
  </si>
  <si>
    <t>Cliente vai receber uma mídia de recuperação, solicito não responder pois está chateado com a quantidade de falhas que o produto já apresentou</t>
  </si>
  <si>
    <t>Nota 8 | Nota 5, insatisfeita pela falta de estabelecimentos técnico próximos à sua região, política de reparo da Hp</t>
  </si>
  <si>
    <t>Falo com a irmã da cliente responsável pelo protocolo que informa que não poderá realizar a recuperação do sistema no momento e que quando possível retornará o contato</t>
  </si>
  <si>
    <t>Nota 10 | Duplicado de 3035512743</t>
  </si>
  <si>
    <t>fixo ligar das 8 as 12h | Nota 10 | Nota 10</t>
  </si>
  <si>
    <t>Nota 10 | Nota 10 elogia a marca</t>
  </si>
  <si>
    <t>fixo é uma empresa mas solicita entrar em contato 17h ou mais tarde cliente de férias | equipamento apresentou problema 3 vezes. Nota 10 | Not a7</t>
  </si>
  <si>
    <t>cliente solucionou a questão sozinho, informa que alguns analistas não fizeram o procedimento correto | Nota 6 | Nota 8</t>
  </si>
  <si>
    <t>Nota 10 | não sabe avaliar a Hp no momento. Solucionado ainda vai encaminhar email de validação pop</t>
  </si>
  <si>
    <t>Nota 9 | indica a Hp</t>
  </si>
  <si>
    <t xml:space="preserve">cliente não aceita agendamento e prefere entrar em contato, falha no audio do pc. </t>
  </si>
  <si>
    <t>fixo apenas após horário comercial | Cliente informa que equipamento ainda está lento. Mas não tem disponibilidade para receber o retorno</t>
  </si>
  <si>
    <t>travamento</t>
  </si>
  <si>
    <t>Nota 10 | Nota 9 ( cliente chateado com propaganda enganosa da submarino)</t>
  </si>
  <si>
    <t>cliente não tem certeza de que foi solucionada questão. Indica que se foi solucionada mesmo é nota 10. Equipamento anteriormente apresentou intermitência. Solicito testar produto e responder somente se foi solucionada</t>
  </si>
  <si>
    <t>Cliente diz que não conseguiu a informação esperada em contato com o suporte, somente com a Microsoft consegui resolver a questão.</t>
  </si>
  <si>
    <t>Cliente acaba de falar com o suporte, e nesse momento está sendo feito a recuperação do sistema</t>
  </si>
  <si>
    <t>cliente viajando, solicita tempo para teste do produto.  Ligar na sexta 20/01 para confirmar questão. Ciente de responder pesquisa só se for solucionada questão para encerramento do protocolo</t>
  </si>
  <si>
    <t>Cliente diz estar insatisfeita pois o equipamento deu problema antes mesmo da primeira utilização</t>
  </si>
  <si>
    <t>Peço para o cliente testar e se não apresentar nenhum problema, que responda a pesquisa</t>
  </si>
  <si>
    <t>Cliente devolveu o equipamento para a loja</t>
  </si>
  <si>
    <t>cliente impaciente por ter recebido a ligação sobre pesquisa mais de uma vez. Nota 8 | Nota 8</t>
  </si>
  <si>
    <t>cliente duplicada, anteriormente solicitada não responder pesquisa pois retornaria o contato</t>
  </si>
  <si>
    <t xml:space="preserve">20/01  31064660 Ligar após as 15h | demais números pela manhã ou após </t>
  </si>
  <si>
    <t>Responder pesquisa, Envio POP</t>
  </si>
  <si>
    <t>Nota 10 | Nota 10 verificar protocolo relacionado que conta no troub</t>
  </si>
  <si>
    <t>Nota 10 | recomenda Hp</t>
  </si>
  <si>
    <t>cliente informa que apresentou outra quetão com a atualização do sistema. Encaminhado para fupo callback 17/01 13h</t>
  </si>
  <si>
    <t>tornar as configurações mais acessíveis Nota 8 | Nota 8, cliente não tem certeza de que foi sanada a questão mas, vai testar ao equipamento</t>
  </si>
  <si>
    <t>Cliente teve problemas com aplicadivo de Token da OAB, a mesma prefere fazer testes por vários dias e verificar se a falha foi corrigida, sabe da pesquisa mas talves não responda a tempo</t>
  </si>
  <si>
    <t>Cliente vai testar o equipamento por mais alguns dias para saber se o problema foi resolvido</t>
  </si>
  <si>
    <t>Cliente procurou a loja para troca porém o prazo para resposta da loja não agradou ao cliente, peço que não responda a pesquisa e retorne caso seja necessário tel: 11 32077185</t>
  </si>
  <si>
    <t>2° tel. Cx postal. Outros não completam</t>
  </si>
  <si>
    <t xml:space="preserve">wi fi </t>
  </si>
  <si>
    <t>cliente entrará em contato quando tiver a internet disponível, questão ainda não solucionda ligar na terça 17/1</t>
  </si>
  <si>
    <t>cliente não concorda com processo de garantia, indicado a arvato</t>
  </si>
  <si>
    <t>Nota 7 | Nota 7 nenhuma crítica</t>
  </si>
  <si>
    <t>cliente encerra ao saber que é da Hp, trocou o produto por outra marca na loja</t>
  </si>
  <si>
    <t>Nota 8 | Nota 4  hd com defeito e na reparadora não restaram corretamente a máquina pois ainda estava com o user HP</t>
  </si>
  <si>
    <t>Cliente vai testar o equipamento durante a semana. Retornar para ver se as falhas voltaram a ocorrer. Ligar nos n° 11 97717-4191 11 4979-7239</t>
  </si>
  <si>
    <t>cliente trocando com a loja</t>
  </si>
  <si>
    <t>Notas 10/10 e-mail do filho do cliente</t>
  </si>
  <si>
    <t>Caso web</t>
  </si>
  <si>
    <t>Cliente vai testar por mais alguns dias</t>
  </si>
  <si>
    <t>Nota 9| Nota 7 | cliente ainda vai testar o equipamento quando voltar de viagem</t>
  </si>
  <si>
    <t>Nota 10 | Nota 5</t>
  </si>
  <si>
    <t>fixo a pessoa que atende é rude e não passa o contato | cel caixa postal</t>
  </si>
  <si>
    <t>Nota 7 | Nota 6 insatisfeita com a demora no procedimento</t>
  </si>
  <si>
    <t>Nota 8 ou 7,5 | Nota 9 cliente reclama de tempo de espera em fila de atendimento ( 20min)</t>
  </si>
  <si>
    <t>Nota 8 | Nota 4</t>
  </si>
  <si>
    <t>daril | cliente vai fazer a troca do produto com a loja. Atendimento ótimo porém não confia mais no equipamento</t>
  </si>
  <si>
    <t>recall de bateria, cliente entrará em contato novamente pois falha é outra e não faz parte do reclamado</t>
  </si>
  <si>
    <t>apenas um número que não existe 2x</t>
  </si>
  <si>
    <t>PQ</t>
  </si>
  <si>
    <t>cliente do departamento comercial | ink</t>
  </si>
  <si>
    <t>TOTAL</t>
  </si>
  <si>
    <t>Reaching HP support</t>
  </si>
  <si>
    <t>A</t>
  </si>
  <si>
    <t>Product - Printers Other, Service - Tech Support Quality of Service</t>
  </si>
  <si>
    <t>Product - PCs &amp; Laptops Gameplay, Product - PCs &amp; Laptops Reliability, Product - PCs &amp; Laptops Use and Care, Product - Printers Connectivity, Product - Printers Reliability, Product - Printers Use and Care, Service - Tech Support Problem Resolution, Service - Tech Support Quality of Service, General Other</t>
  </si>
  <si>
    <t>Corporate - Marketing Promotions, General Other</t>
  </si>
  <si>
    <t>Product - PCs &amp; Laptops Other, Product - Printers Other, General Other</t>
  </si>
  <si>
    <t>Service - Tech Support Problem Resolution, General Other, Fulfillment - Order Ease of Process</t>
  </si>
  <si>
    <t>Service - Tech Support Problem Resolution, General Other, Corporate - Policy Profits</t>
  </si>
  <si>
    <t>Product - PCs &amp; Laptops Reliability, Product - PCs &amp; Laptops Use and Care, Service - Tech Support Problem Resolution, Service - Tech Support Quality of Service, General Other</t>
  </si>
  <si>
    <t>JOSE ALFREDO DE SOUZA</t>
  </si>
  <si>
    <t>j-alfredo-s@hotmail.com</t>
  </si>
  <si>
    <t>BR6BIFB33D</t>
  </si>
  <si>
    <t>INSTALAÇÃO VIA WIFI</t>
  </si>
  <si>
    <t>186.207.4.13</t>
  </si>
  <si>
    <t>BR_20170109_139_4605</t>
  </si>
  <si>
    <t>TIVE QUE FALAR COM VARIOS TECNICOS POIS A LINHA TELEFONICA CAIA. QUANTO AOS TECNICOS ALGUNS MOSTRARAM MUITO BOA VONTADE OUTROS NEM TANTO. UNS EU DOU 10 OUTROS 6. AINDA NÃO SENTI FIRMESA COM A IMPRESSORA, PODE SER O RESPONSAVEL POR ISSO EU MESMO QUE AINDA NÃO ME  ADAPTEI COM A MESMA.</t>
  </si>
  <si>
    <t>MARCIA ARVANI</t>
  </si>
  <si>
    <t>marcia.arvani@gmail.com</t>
  </si>
  <si>
    <t>BRJ6235FMV</t>
  </si>
  <si>
    <t>BARRA DE TAREFAS NÃO RESPONDE</t>
  </si>
  <si>
    <t>191.222.61.103</t>
  </si>
  <si>
    <t>BR_20170111_139_11479</t>
  </si>
  <si>
    <t>Ananias Pereira</t>
  </si>
  <si>
    <t>3133955736/3199</t>
  </si>
  <si>
    <t>ananiaspereira@yahoo.com.br</t>
  </si>
  <si>
    <t>CN61MFX441</t>
  </si>
  <si>
    <t>Perdi o CD de instalação da impressora. Como faço para conseguir um novo CD? Qual o custo? Tem como baixar pelo site?</t>
  </si>
  <si>
    <t>191.249.20.215</t>
  </si>
  <si>
    <t>BR_20170111_139_797</t>
  </si>
  <si>
    <t>Rapidez no atendimento e apresentação de solução para o problema apresentado.</t>
  </si>
  <si>
    <t>MARCELO DE OLIVEIRA BORGES</t>
  </si>
  <si>
    <t>mmc_borges@hotmail.com</t>
  </si>
  <si>
    <t>BRJSG2571D</t>
  </si>
  <si>
    <t>HP LaserJet Pro M1132 Multifunction Printer</t>
  </si>
  <si>
    <t>CE847A</t>
  </si>
  <si>
    <t>HP LaserJet Pro M1132 Multifunction Printer series</t>
  </si>
  <si>
    <t>NAO TRACIONA FOLHA</t>
  </si>
  <si>
    <t>189.63.50.80</t>
  </si>
  <si>
    <t>BR_20170111_139_11474</t>
  </si>
  <si>
    <t>atendente de parabens</t>
  </si>
  <si>
    <t>MAURO PEREIRA</t>
  </si>
  <si>
    <t>(212)5563575</t>
  </si>
  <si>
    <t>maurocfp@pobox.com</t>
  </si>
  <si>
    <t>TH64I3B2P6</t>
  </si>
  <si>
    <t>OFFILINE COM O NOTEBOOK</t>
  </si>
  <si>
    <t>187.15.218.234</t>
  </si>
  <si>
    <t>BR_20170111_139_12268</t>
  </si>
  <si>
    <t>A facilidade para a solução do problema.</t>
  </si>
  <si>
    <t>Ricardo Martins</t>
  </si>
  <si>
    <t>ricardo.martins@cepheid.com</t>
  </si>
  <si>
    <t>BRBSH17M7H</t>
  </si>
  <si>
    <t>A impressora nao liga. Ao apertar o power ela fica com a mensagem inicializando e nao liga.  Ja foi retirada da tomada e a mensagem persiste.</t>
  </si>
  <si>
    <t>85.115.58.180</t>
  </si>
  <si>
    <t>BR_20170111_139_15253</t>
  </si>
  <si>
    <t>o problema foi resolvido com eficiencia e habilidade por parte do profissional da HP, e ainda me precaveu pra futuros problemas, de modo que muito provavelmente eu serei capaz de resolver por mim mesmo. Porém, essa eficiencia toda leva a crer que esse é um problema comum e que deve ocorrer com relativa frequencia, sendo assim o proprio firmware da impressora HP ja deveria evitar erros do tipo (problema de comunicação por duplicação automatica de driver).</t>
  </si>
  <si>
    <t>Luiz Fabiano Pastori</t>
  </si>
  <si>
    <t>fabianopastori@gmail.com</t>
  </si>
  <si>
    <t>BRJ6123DYX</t>
  </si>
  <si>
    <t>NÃO SEGURA CARGA</t>
  </si>
  <si>
    <t>187.95.127.0</t>
  </si>
  <si>
    <t>BR_20170111_139_11176</t>
  </si>
  <si>
    <t>ANDREZA PARDINO ZENNARO</t>
  </si>
  <si>
    <t>andreza.salvador@aguasdeniteroi.com.br</t>
  </si>
  <si>
    <t>CN624BM073</t>
  </si>
  <si>
    <t>ATOLAMENTO NO ADF</t>
  </si>
  <si>
    <t>177.135.131.178</t>
  </si>
  <si>
    <t>BR_20170112_139_963</t>
  </si>
  <si>
    <t>ANSELMO APARECIDA DE SOUZA</t>
  </si>
  <si>
    <t>anselmoallah@gmail.com</t>
  </si>
  <si>
    <t>BR638FF3KK</t>
  </si>
  <si>
    <t>BR_20170112_139_1273</t>
  </si>
  <si>
    <t>JOSE VASIC</t>
  </si>
  <si>
    <t>josecentroeuropeu@gmail.com</t>
  </si>
  <si>
    <t>BRJ524SPQ6</t>
  </si>
  <si>
    <t>Utilizing hard or optical disc drive</t>
  </si>
  <si>
    <t>Disc drive makes excessive noise</t>
  </si>
  <si>
    <t>Excessive drive noise or clicking noise</t>
  </si>
  <si>
    <t>LENTIDAO/BARULHO</t>
  </si>
  <si>
    <t>177.16.35.66</t>
  </si>
  <si>
    <t>BR_20170112_139_9923</t>
  </si>
  <si>
    <t>Bom dia Com relaçao ao suporte com o técnico Washigton, ele é excelente muito prestativo as problemas que existiam no meu computador, um alto conhecimento técnico, um grande profissional. O único comentario que gostaria de deixar é que não tem mais HPstore em Curitiba. Demorei um pouco para achar o telefone no suporte.  No mais agradeço muito a HP pelo suporte, a máquina que tenho ficou excelente.  Atenciosamente  José Vasic</t>
  </si>
  <si>
    <t>IRIONI RIBEIRO ALMEIDA</t>
  </si>
  <si>
    <t>(493)2784689</t>
  </si>
  <si>
    <t>irionimarcos@gmail.com</t>
  </si>
  <si>
    <t>BR65IFB10R</t>
  </si>
  <si>
    <t>170.239.198.160</t>
  </si>
  <si>
    <t>BR_20170112_139_7977</t>
  </si>
  <si>
    <t>Coloquei nota a cima pq fui bem atendida pela assistência.Gostaria de quando eu precisar continue sempre assim.</t>
  </si>
  <si>
    <t>JACQUELINE MARIA FERNANDES UMPIERRE</t>
  </si>
  <si>
    <t>(213)1760241</t>
  </si>
  <si>
    <t>(212)2461706</t>
  </si>
  <si>
    <t>jacquiefernandes@hotmail.com</t>
  </si>
  <si>
    <t>BR59BFF102</t>
  </si>
  <si>
    <t>INSTALACAO IMPRESSORA</t>
  </si>
  <si>
    <t>BR_20170112_139_8193</t>
  </si>
  <si>
    <t>Excelente suporte pós venda! Profissional, com muita gentileza e seguro quanto ao conhecimento do sistema operacional! Parabéns a HP, e, parabéns ao atendimento do profissional! Deixo aqui o meu muito obrigada!</t>
  </si>
  <si>
    <t>TALITA BEZERRA DA SILVA</t>
  </si>
  <si>
    <t>(112)5016772</t>
  </si>
  <si>
    <t>reservas1@pluraltours.com</t>
  </si>
  <si>
    <t>BR6CJFH0DS</t>
  </si>
  <si>
    <t>CONFIGURACAO SEM FIO</t>
  </si>
  <si>
    <t>201.6.132.166</t>
  </si>
  <si>
    <t>BR_20170112_139_19376</t>
  </si>
  <si>
    <t>MIRIAN REGINA DONETTI</t>
  </si>
  <si>
    <t>mirianregina8@hotmail.com</t>
  </si>
  <si>
    <t>BR6B3FD1BD</t>
  </si>
  <si>
    <t>Carriage jam or stall</t>
  </si>
  <si>
    <t>Carriage jam, stalls, hangs or jam errors</t>
  </si>
  <si>
    <t>TRAVAMENTO DO CARRO</t>
  </si>
  <si>
    <t>191.205.60.219</t>
  </si>
  <si>
    <t>BR_20170112_139_14111</t>
  </si>
  <si>
    <t>O atendente foi maravilhoso, paciente, claro, capaz de me fazer encontrar e acionar todos os comandos necessários.  Muito bom mesmo.</t>
  </si>
  <si>
    <t>ANDRE SILVA</t>
  </si>
  <si>
    <t>andre.urbano@hotmail.com</t>
  </si>
  <si>
    <t>BRJ536XHW2</t>
  </si>
  <si>
    <t>HP Pavilion 14-v062br Notebook PC (ENERGY STAR)</t>
  </si>
  <si>
    <t>F4J45LA</t>
  </si>
  <si>
    <t>NAO DESLIGA</t>
  </si>
  <si>
    <t>BR_20170112_139_857</t>
  </si>
  <si>
    <t>Bom dia o funcionário atendente técnico bem eficiente estão de parabéns a equipe em Geral.</t>
  </si>
  <si>
    <t>Karl Traeger</t>
  </si>
  <si>
    <t>karl.traeger@hotmail.com</t>
  </si>
  <si>
    <t>BR6CJFC455</t>
  </si>
  <si>
    <t>COMO JUNTA ARQUIVO NA DIGITALIZACAO</t>
  </si>
  <si>
    <t>177.140.25.161</t>
  </si>
  <si>
    <t>BR_20170113_139_9647</t>
  </si>
  <si>
    <t>Sexta-Feira</t>
  </si>
  <si>
    <t>DENYSE SANTOS</t>
  </si>
  <si>
    <t>CLIENTE IRA RETORNA O CONTATO PELA TARDE PARA EFETUAR OS TESTES</t>
  </si>
  <si>
    <t>SEM CONTATO/CELULAR DESLIGADO</t>
  </si>
  <si>
    <t>NÃO RESPONDER/PRODUTO FORA DE GARANTIA</t>
  </si>
  <si>
    <t>RESOLVIDO E RESPONDIDO EM LINHA PESQUISA 100%</t>
  </si>
  <si>
    <t>NÃO CHAMA/CELULAR DESLIGADO</t>
  </si>
  <si>
    <t>SO CHAMA</t>
  </si>
  <si>
    <t>CLIENTE IRA RESPONDER A PESQUISA MAIS TARDE Ñ SE ENCONTRA EM CASA</t>
  </si>
  <si>
    <t>NÃO RECEBEU AINDA A PESQUISA</t>
  </si>
  <si>
    <t>CAIXA POSTAL</t>
  </si>
  <si>
    <t>CLIENTE AUSENTE</t>
  </si>
  <si>
    <t>CLIENTE IRA RESPONDER A PESQUISA POSTERIORMENTE</t>
  </si>
  <si>
    <t>SO CHAMA/CASO TCO FECHADO</t>
  </si>
  <si>
    <t>NÃO RESPONDER/AGUARDANDO PENDENCIA DO ENVIO DA NF</t>
  </si>
  <si>
    <t>Ñ RESPONDER/AGUARDANDO PENDENCIA DE ENVIO NF</t>
  </si>
  <si>
    <t>Ñ RESPONDER A PESQUISA/FORA DA GARANTIA</t>
  </si>
  <si>
    <t>Product - Printers Reliability, General Other</t>
  </si>
  <si>
    <t>Product - Printers Reliability, Product - Printers Use and Care, General Other</t>
  </si>
  <si>
    <t>Product - PCs &amp; Laptops Noise, Product - PCs &amp; Laptops Size, Service - Tech Support Problem Resolution, Service - Tech Support Quality of Service, General Other</t>
  </si>
  <si>
    <t>Product - Operating System Other, Corporate - Marketing Promotions, General Other, Corporate - Policy Warranty/Guarantee</t>
  </si>
  <si>
    <t>Service - Tech Support Problem Resolution, Service - Tech Support Quality of Service, General Other</t>
  </si>
  <si>
    <t>Service - Tech Support Quality of Service, Service - Tech Support Speed of Service</t>
  </si>
  <si>
    <t>JOSE REINALDO CASSIANO</t>
  </si>
  <si>
    <t>(133)0289220</t>
  </si>
  <si>
    <t>jrcassiano@ig.com.br</t>
  </si>
  <si>
    <t>CN54O6B11R</t>
  </si>
  <si>
    <t>187.22.17.90</t>
  </si>
  <si>
    <t>BR_20170111_139_8976</t>
  </si>
  <si>
    <t>TAMIRES RAQUEL RIBEIRO DA SILVA DOS SANTOS</t>
  </si>
  <si>
    <t>(983)2493345</t>
  </si>
  <si>
    <t>tamiresraquel96@hotmail.com</t>
  </si>
  <si>
    <t>BRJ6092FRX</t>
  </si>
  <si>
    <t>187.41.236.161</t>
  </si>
  <si>
    <t>BR_20170111_139_17897</t>
  </si>
  <si>
    <t>ARGEMIRO DA ROCHA MENDES JUNIOR</t>
  </si>
  <si>
    <t>(183)6011151</t>
  </si>
  <si>
    <t>jrposto2013@gmail.com</t>
  </si>
  <si>
    <t>BRBSJ3PFB3</t>
  </si>
  <si>
    <t>NAO RECONHECE USB</t>
  </si>
  <si>
    <t>189.47.105.222</t>
  </si>
  <si>
    <t>BR_20170112_139_1418</t>
  </si>
  <si>
    <t>ELISANGELA MARIA SERATTI LOREGIAN</t>
  </si>
  <si>
    <t>felipe3loregian@gmail.com</t>
  </si>
  <si>
    <t>BR6AVFD07T</t>
  </si>
  <si>
    <t>BR_20170112_139_5780</t>
  </si>
  <si>
    <t>Liguei 3 vezes na ultima q fui bem atendida eo problema foi resolvido.</t>
  </si>
  <si>
    <t>Ricardo Perassoli</t>
  </si>
  <si>
    <t>(112)3113739</t>
  </si>
  <si>
    <t>riperassoli@terra.com.br</t>
  </si>
  <si>
    <t>BR65UFB12D</t>
  </si>
  <si>
    <t>179.212.222.58</t>
  </si>
  <si>
    <t>BR_20170112_139_16593</t>
  </si>
  <si>
    <t>Só acho o preço dos cartuchos um pouco caro.</t>
  </si>
  <si>
    <t>TAUSTINHO JOSE DE ALMEIDA</t>
  </si>
  <si>
    <t>(613)3975395</t>
  </si>
  <si>
    <t>(618)4596589</t>
  </si>
  <si>
    <t>tjalmeida21@gmail.com</t>
  </si>
  <si>
    <t>BR5A9FD0H2</t>
  </si>
  <si>
    <t>Ink system Failure</t>
  </si>
  <si>
    <t>IDS error message on control panel or on PC</t>
  </si>
  <si>
    <t>201.10.146.191</t>
  </si>
  <si>
    <t>BR_20170113_139_17971</t>
  </si>
  <si>
    <t>RAIMUNDO EDIR FERREIRA DE MORAES</t>
  </si>
  <si>
    <t>edir6363@hotmail.com</t>
  </si>
  <si>
    <t>BR576FC18T</t>
  </si>
  <si>
    <t>HP Deskjet Ink Advantage 2646 All-in-One Printer</t>
  </si>
  <si>
    <t>D4H23A</t>
  </si>
  <si>
    <t>HP Deskjet Ink Advantage 2640 All-in-One Printer series</t>
  </si>
  <si>
    <t>LINGUA NA IMPRESSORA</t>
  </si>
  <si>
    <t>177.13.234.14</t>
  </si>
  <si>
    <t>BR_20170113_139_14933</t>
  </si>
  <si>
    <t>Herminia Maria Rohen</t>
  </si>
  <si>
    <t>(213)0121463</t>
  </si>
  <si>
    <t>herminia-rohen@hotmail.com</t>
  </si>
  <si>
    <t>BR61DFF25K</t>
  </si>
  <si>
    <t>O cartucho está cheio, foi testado em outra impressora, mas na minha está acusando problema. Fiz todo procedimento do manual da limpeza, mas não resolveu.</t>
  </si>
  <si>
    <t>201.37.193.135</t>
  </si>
  <si>
    <t>BR_20170113_139_7007</t>
  </si>
  <si>
    <t>Tentei solucionar o problema da minha impressora seguindo passo-a-passo HP Support Assistant, não obtive êxito, liguei para a assistência técnica, onde fui muito bem atendida e orientada. Minha impressora estava recusando o carucho que havia recarregado. Fui orientada a comprar um novo cartucho e fazer o teste para tirar a dúvida se o problema estava na impressora ou na má qualidade e/ou obstrução do cartucho recarregado. Assim fiz. Comprei um novo cartucho HP e a impressora funcionou normalmente. Não retornei a ligação para o suporte, uma vez que o problema estava resolvido. Fiquei surpresa, dois dias depois, ao receber a ligação do suporte da HP para saber o que havia acontecido, já que não havia retornado a entrar em contato. Expliquei que o problema havia sido resolvido, conforme orientação do atendente. Ainda assim, no dia seguinte da primeira ligação, outro assistente da HP me telefonou para obter notícia. Fiquei maravilhada com a solicitude da HP! Isso me passou muita segurança quanto a seriedade da empresa, que se digna a importar-se com os usuários dos seus produtos. Sou comerciante e uso a impressora para pequenas impressões, como de boletos, e comentei com vários clientes sobre a atitude íntegra da HP. Com certeza, vou recomendar para parentes e amigos. Meu filho já possui uma impressora HP, de outro modelo, e me recomendou essa marca, embora nunca tenha sido necessário recorrer a assistência técnica. Todos estão de PARABÉNS! Desde a qualidade da produção, pelo manual explicativo, para o suporte técnico e para mim por ter escolhido a HP.</t>
  </si>
  <si>
    <t>Corporate - Marketing Brand, Corporate - Marketing Loyalty, Corporate - Marketing Manuals/Instructions, Product - Printers Quality, Product - Printers Reliability, Product - Printers Use and Care, Product - Printers Other, Service - Tech Support Problem Resolution, Service - Tech Support Quality of Service, General Other, Corporate - Policy Profits</t>
  </si>
  <si>
    <t>JOEL CAPONI BONALDI</t>
  </si>
  <si>
    <t>(353)4431444</t>
  </si>
  <si>
    <t>joelcbonaldi@msn.com</t>
  </si>
  <si>
    <t>7CF539062G</t>
  </si>
  <si>
    <t>E5C14AA - 7CF539062G - HP Z3600 Wireless Mouse</t>
  </si>
  <si>
    <t>Customer disconnected, no service given</t>
  </si>
  <si>
    <t>Customer disconnected from agent, no service given</t>
  </si>
  <si>
    <t>ECR BR CPLLEGAL</t>
  </si>
  <si>
    <t>Unresolved-Contact disconnected</t>
  </si>
  <si>
    <t>Support Experience</t>
  </si>
  <si>
    <t>Client Disputes previous complaint solution</t>
  </si>
  <si>
    <t>138.219.188.148</t>
  </si>
  <si>
    <t>BR_20170113_140_292</t>
  </si>
  <si>
    <t>Comprei um produto que eu esperava ser de qualidade e descobri que é exatamente o oposto. Além disso, a proposta que me foi feita para sanar o problema é absurdamente ridícula. Já que não foi solucionado de maneira amigável, agora trataremos do assunto perante o juiz.</t>
  </si>
  <si>
    <t>GUARACI AUGUSTO DE CARVALHO JUNIOR</t>
  </si>
  <si>
    <t>jrcbasss@gmail.com</t>
  </si>
  <si>
    <t>BR64DFF2J2</t>
  </si>
  <si>
    <t>187.37.64.44</t>
  </si>
  <si>
    <t>BR_20170113_139_6611</t>
  </si>
  <si>
    <t>Estou satisfeito com produto,só tenho uma observação divulgar o serviço de suporte técnico,quando adi quiri  não sabia,obrigado</t>
  </si>
  <si>
    <t>HAMILTON ROSA</t>
  </si>
  <si>
    <t>(483)2327854</t>
  </si>
  <si>
    <t>hamilton_rosa3@hotmail.com</t>
  </si>
  <si>
    <t>BR66UFB125</t>
  </si>
  <si>
    <t>DIGITALIZAÇÃO</t>
  </si>
  <si>
    <t>189.4.73.226</t>
  </si>
  <si>
    <t>BR_20170113_139_6703</t>
  </si>
  <si>
    <t>Por questão de justiça. Fui bem rigoroso na avaliação.Parabéns a todos vcs.</t>
  </si>
  <si>
    <t>ROSANGELA DE OLIVEIRA MARTINS ROCHA</t>
  </si>
  <si>
    <t>rosangelarocha1966@gmail.com</t>
  </si>
  <si>
    <t>BR31AFK0YT</t>
  </si>
  <si>
    <t>HP Deskjet 2050 All-in-One Printer - J510a</t>
  </si>
  <si>
    <t>CH350C</t>
  </si>
  <si>
    <t>HP Deskjet 2050 All-in-One Printer series - J510</t>
  </si>
  <si>
    <t>QUALIDADE DE IMPRESSAO - PRETO</t>
  </si>
  <si>
    <t>200.175.194.210</t>
  </si>
  <si>
    <t>BR_20170114_139_15833</t>
  </si>
  <si>
    <t>O atendente Bruno foi muito paciente e prestativo,  repetindo às orientações sempre que necessário.</t>
  </si>
  <si>
    <t>EDUARDO VOSGERAU</t>
  </si>
  <si>
    <t>mx.eduardo@hotmail.com</t>
  </si>
  <si>
    <t>BRJ6143VP0</t>
  </si>
  <si>
    <t>WIFI NAO CONECTA</t>
  </si>
  <si>
    <t>177.42.20.76</t>
  </si>
  <si>
    <t>BR_20170107_139_5241</t>
  </si>
  <si>
    <t>YASMIM DE LIMA SILVA</t>
  </si>
  <si>
    <t>ycosta697@gmail.com</t>
  </si>
  <si>
    <t>BRJ6102T9T</t>
  </si>
  <si>
    <t>152.250.161.127</t>
  </si>
  <si>
    <t>BR_20170108_139_18046</t>
  </si>
  <si>
    <t>Fui atendida muito bem e meu problema foi resolvido na primeira tentativa. O técnico era muito profissional e paciente</t>
  </si>
  <si>
    <t>Wagner Boscolo</t>
  </si>
  <si>
    <t>(112)6751389</t>
  </si>
  <si>
    <t>engwboscolo@globo.com</t>
  </si>
  <si>
    <t>BR66SFB2Y7</t>
  </si>
  <si>
    <t>191.188.33.199</t>
  </si>
  <si>
    <t>BR_20170111_139_19035</t>
  </si>
  <si>
    <t>qto a este serviço de GARANTIA, excelente, porém há 2 ptos ruins da HP,  A. O nr do tel é dificil de aparecer e ninguem é idiota de querer ligar sem precisao B. Fora da garantia vcs sao pessimos atendentes, a falta de vontade de ajudar é visivel, Grato</t>
  </si>
  <si>
    <t>VALDERES MARTINS FERREIRA</t>
  </si>
  <si>
    <t>(112)0194057</t>
  </si>
  <si>
    <t>valderesmf@yahoo.com.br</t>
  </si>
  <si>
    <t>BR6A1FH1WQ</t>
  </si>
  <si>
    <t>143.0.58.4</t>
  </si>
  <si>
    <t>BR_20170111_139_18683</t>
  </si>
  <si>
    <t>Comprei uma impressora que foi trocada pela HP com poucos meses por outro modelo devido a uma falha técnica, e agora, o novo equipamento apresentou falha técnica novamente. O atendente disse que aera necessario trocar novamente, so que eu nao posso ficar sem inpressora mais uma vez para tal troca, meu trabalho depende o equipamento. Se todos os equipamentos da Hp ficarem apresentando falha técnico em poucos meses de uso vou optar em receber meu dinheiro de volta e comprar um equipamento de outra marca.</t>
  </si>
  <si>
    <t>CAROLINE RIBEIRO CABRAL FIRMINO</t>
  </si>
  <si>
    <t>carolinefirmino@yahoo.com.br</t>
  </si>
  <si>
    <t>BR65BFH1B6</t>
  </si>
  <si>
    <t>PUXAR PAPEL</t>
  </si>
  <si>
    <t>187.181.46.160</t>
  </si>
  <si>
    <t>BR_20170111_139_2708</t>
  </si>
  <si>
    <t>VIRGINIA XAVIER WRUBLEVSKI</t>
  </si>
  <si>
    <t>(41)991341810</t>
  </si>
  <si>
    <t>virginia.xavier.w@gmail.com</t>
  </si>
  <si>
    <t>BRJ6133H1D</t>
  </si>
  <si>
    <t>HP Pavilion x360 - 13-s103br (ENERGY STAR)</t>
  </si>
  <si>
    <t>L9M46LA</t>
  </si>
  <si>
    <t>TELA AZUL</t>
  </si>
  <si>
    <t>189.34.95.142</t>
  </si>
  <si>
    <t>BR_20170112_139_20529</t>
  </si>
  <si>
    <t>Meu problema era relacionado a um driver HP. ao ligar para a empresa pela primeira vez fui extremamente mal atendida e meu problema não foi resolvido visto que estava perto do fim do expediente</t>
  </si>
  <si>
    <t>ELAINE DOS SANTOS</t>
  </si>
  <si>
    <t>silvamendessantos@hotmail.com</t>
  </si>
  <si>
    <t>BR65BFG2ZP</t>
  </si>
  <si>
    <t>NAO IMPRIME DO PC</t>
  </si>
  <si>
    <t>186.205.5.167</t>
  </si>
  <si>
    <t>BR_20170112_139_5698</t>
  </si>
  <si>
    <t>EDMILSON VEIGA</t>
  </si>
  <si>
    <t>edmilsonveiga@hotmail.com.br</t>
  </si>
  <si>
    <t>CN5AM5M0SH</t>
  </si>
  <si>
    <t>CID - NÃO RECONHECE CIANO</t>
  </si>
  <si>
    <t>Unresolved-Support Fee Declined</t>
  </si>
  <si>
    <t>187.77.239.145</t>
  </si>
  <si>
    <t>BR_20170113_139_5141</t>
  </si>
  <si>
    <t>Comprei uma HP 7110 e formatei meu computador e na hora da reinstalação a impressora travou e deu um codigo de erro, entrei em contato com o suporte e ao invés de resolver o problema disse que em 5 dias uteis mandaria retirar a impressora e mais cinco dias uteis para resolução do problema. Resolvi jogar a impressora fora e comprar uma multifuncional da BROTHER MFC-J6720DW  com garantia local</t>
  </si>
  <si>
    <t>FABIANO VITTORIO DANGELO</t>
  </si>
  <si>
    <t>(212)2954827</t>
  </si>
  <si>
    <t>dvittorio@ig.com.br</t>
  </si>
  <si>
    <t>CN58PFK13X</t>
  </si>
  <si>
    <t>HP Officejet Pro 8620 e-All-in-One Printer</t>
  </si>
  <si>
    <t>A7F65A</t>
  </si>
  <si>
    <t>HP Officejet Pro 8620 e-All-in-One Printer series</t>
  </si>
  <si>
    <t>179.210.35.103</t>
  </si>
  <si>
    <t>BR_20170113_139_5706</t>
  </si>
  <si>
    <t>Quando um cliente liga para o suporte ele deseja resolver o problema... muitas vezes ele liga ja 'triste... preocupado... ancioso' ou seja com sentimentos que requerem que o atendente passe tranquilidade... isso é uma maneira de fazer o atendimento melhorar ainda mais!!! Parabéns</t>
  </si>
  <si>
    <t>ROSA MARIA DE SOUZA</t>
  </si>
  <si>
    <t>marketing@papeldesign.net.br</t>
  </si>
  <si>
    <t>BRJFG1M5XK</t>
  </si>
  <si>
    <t>177.46.141.22</t>
  </si>
  <si>
    <t>BR_20170114_139_15817</t>
  </si>
  <si>
    <t>estava com problema na impressão copia e fui bem atendida sem problemas e o técnico ajudou a resolver minhas duvidas</t>
  </si>
  <si>
    <t>HELDER MARTINS</t>
  </si>
  <si>
    <t>helderolmartins@hotmail.com</t>
  </si>
  <si>
    <t>BR54GFH4CZ</t>
  </si>
  <si>
    <t>PROBLEMA NO CARTUCHO PRETO</t>
  </si>
  <si>
    <t>177.43.244.66</t>
  </si>
  <si>
    <t>BR_20170114_139_6820</t>
  </si>
  <si>
    <t>Com relação a impressora, muitos problemas, consumo altíssimo de tinta e o valor dos caturchos muito caros. A impressora tem valor de compra bom, mas os suprimentos são muito caros. Por Iso não recomendaria a compra de impressora.</t>
  </si>
  <si>
    <t>ROGERIO VECCHIATO SAENZ</t>
  </si>
  <si>
    <t>saenzodonto@ig.com.br</t>
  </si>
  <si>
    <t>BR677FB4Y2</t>
  </si>
  <si>
    <t>187.183.35.33</t>
  </si>
  <si>
    <t>BR_20170114_139_15657</t>
  </si>
  <si>
    <t>Fui muito bem atendido e o problema e as informações foram fornecidas de forma eficiente, rápida e profissional, superando as expectativas e atingindo um ótimo nível</t>
  </si>
  <si>
    <t>IVAN AUGUSTO DE OLIVEIRA</t>
  </si>
  <si>
    <t>ivanoliveira1971@yahoo.com.br</t>
  </si>
  <si>
    <t>BR63HFD0N1</t>
  </si>
  <si>
    <t>189.34.151.184</t>
  </si>
  <si>
    <t>BR_20170114_139_7215</t>
  </si>
  <si>
    <t>O profissional que me atendeu soube perceber qual era a importância da minha necessidade para mim. Tudo de que eu precisava era que minha impressora funcionasse. Eu já havia baixado o driver, já havia tentado instalar inúmeras vezes e eu sei que é um processo simples. Mas, desta vez, algo estava saindo errado. O atendente pensou em alternativas para me ajudar quando percebeu que não era simplesmente minha falta de habilidade em instalar uma impressora. Ele foi prejudicado pela lentidão no sistema, uma vez que foi necessário que eu compartilhasse minha máquina com ele. E, tendo feito isso, foi necessário fazer vários procedimentos até que conseguisse a instalação bem sucedida.</t>
  </si>
  <si>
    <t>NEY ROBILON LUCHI</t>
  </si>
  <si>
    <t>(242)2435198</t>
  </si>
  <si>
    <t>nrobilon@hotmail.com</t>
  </si>
  <si>
    <t>BR65GFF01H</t>
  </si>
  <si>
    <t>NÃO IMPRIME NA REDE</t>
  </si>
  <si>
    <t>170.254.81.239</t>
  </si>
  <si>
    <t>BR_20170115_139_12497</t>
  </si>
  <si>
    <t>carlos alexandre</t>
  </si>
  <si>
    <t>jaqueline dsouza</t>
  </si>
  <si>
    <t>Equipamento em reparo</t>
  </si>
  <si>
    <t>Disponivel Segunda</t>
  </si>
  <si>
    <t>s</t>
  </si>
  <si>
    <t>agendar retorno, segunda as 11h problema wifi. Cliente possui outro protocolo sobre o mesmo problema e não teve solucao.</t>
  </si>
  <si>
    <t>p5092674</t>
  </si>
  <si>
    <t>FUPO</t>
  </si>
  <si>
    <t>KP</t>
  </si>
  <si>
    <t>agendar retorno, validar nota fiscal e seguir suporte.</t>
  </si>
  <si>
    <t>Cliente diz que acabou de receber o contato, não tem nem 10 min</t>
  </si>
  <si>
    <t>11997285616 e fixo apenas a noite | Nota 10| Nota 8 sem críticas</t>
  </si>
  <si>
    <t xml:space="preserve">Nota 9 | nota 9 </t>
  </si>
  <si>
    <t>Nota 10 |Nota 10</t>
  </si>
  <si>
    <t>fixo apenas a noite | cel ligar apenas as 20h | cliente diz que não está funcionando o computador, entrará em contato e orientado a testar equipamento por um tempo antes de verificar ao e-mail. Falha no recovery</t>
  </si>
  <si>
    <t>cliente diz que ficou marcado um horário com analista as 18h segunda 16/1</t>
  </si>
  <si>
    <t>cliente almoçando | solicita contato em outro momento</t>
  </si>
  <si>
    <t>2° tel. Não é do cliente tels. 1 e 3 só chamam | cliente dirigindo. Ligar mais tarde</t>
  </si>
  <si>
    <t>complaint | a falha não é do computador</t>
  </si>
  <si>
    <t>final 58 é da mãe da cliente | Nota 10 | Nota 10</t>
  </si>
  <si>
    <t>Cliente vai retornar o contato ainda hoje</t>
  </si>
  <si>
    <t>Cliente bastante insatisfeita com o equipamento, pois a falha é intermitente e isso está causando prejuizos à cliente</t>
  </si>
  <si>
    <t>Responder pesquisa adolescente</t>
  </si>
  <si>
    <t>Responder notas 10/10</t>
  </si>
  <si>
    <t>duplicado | 3035749877</t>
  </si>
  <si>
    <t>nota 10 | Nota 10</t>
  </si>
  <si>
    <t>16h | cliente informa que um app chamado loja ( não diz o que) não ta funcionando. Vai verificar a questão para que possamos auxiliar</t>
  </si>
  <si>
    <t>Corrijo e-mail após envio da pesquisa</t>
  </si>
  <si>
    <t xml:space="preserve">CID - Cliente ainda vai verificar com assistências presenciais </t>
  </si>
  <si>
    <t>Nota 10 | Nota 7 | maior agilidade no atendimento</t>
  </si>
  <si>
    <t xml:space="preserve">Falha voltou a ocorrer so respondera a se resolvido </t>
  </si>
  <si>
    <t>Já haviam ligado para falar da pesquisa e pediram para não responder</t>
  </si>
  <si>
    <t>Indicada para assistencia</t>
  </si>
  <si>
    <t>nota 7</t>
  </si>
  <si>
    <t>so 1 tel ocupado</t>
  </si>
  <si>
    <t>agendar retorno, instalacao, equipamento perde conexao constatemente.amanha as 12h</t>
  </si>
  <si>
    <t>agendar retorno,amanha as 9h validar nota e seguir suporte</t>
  </si>
  <si>
    <t>produto importado.tratativa com procon</t>
  </si>
  <si>
    <t>LIGAR APENAS NO 5658</t>
  </si>
  <si>
    <t>responderá 16/01</t>
  </si>
  <si>
    <t>responderá 09/01 acha que  deletou o email 09/1| 16/1</t>
  </si>
  <si>
    <t>Cliente não localiza email da pesquisa mas acha o do pop 16/01</t>
  </si>
  <si>
    <t>ligar após 12h no celular 16/01</t>
  </si>
  <si>
    <t>Lentidão / travamento</t>
  </si>
  <si>
    <t>responderá pesquisa 16/01</t>
  </si>
  <si>
    <t>Nota 10 | muito satisfeita</t>
  </si>
  <si>
    <t>ligaram 16/1</t>
  </si>
  <si>
    <t>retornar as 13 30</t>
  </si>
  <si>
    <t>em observação, problema intermitente</t>
  </si>
  <si>
    <t>ambos tels não são do cliente</t>
  </si>
  <si>
    <t>Enviado supervisor</t>
  </si>
  <si>
    <t>Troca de toner</t>
  </si>
  <si>
    <t>cliente aguardando validação pop, informa que tem intermitencia no produto</t>
  </si>
  <si>
    <t>fixo cliente não se encontra, ligar após as 15h | cel caixa postal</t>
  </si>
  <si>
    <t>cliente vai verificar um procedimento com o computador no dia 23 para que possa reinstalar a impressora e verificar a sua compatibilidade com o sistema. Ciente de que o protocolo foi encerrado, avisado por um contato anterior</t>
  </si>
  <si>
    <t xml:space="preserve">cliente aguardando validação pop, possível troca de cabeça de impressão </t>
  </si>
  <si>
    <t>cliente ainda aguardando analise de cartuchos. Solicito não responder ainda a pesquisa. Passível de retornar contato 18/01 dependendo da resolução.</t>
  </si>
  <si>
    <t>email da gerente</t>
  </si>
  <si>
    <t>fixo após as 17h | cel caixa postal</t>
  </si>
  <si>
    <t>Nota 9 | recomenda Hp</t>
  </si>
  <si>
    <t>Nota 10 | Nota 9 ( nota geral para a hp, não para o produto em especifico)</t>
  </si>
  <si>
    <t>desliga ao ouvir hp</t>
  </si>
  <si>
    <t>deseja dinheiro de volta.</t>
  </si>
  <si>
    <t>fixo apenas pra recado</t>
  </si>
  <si>
    <t>cliente solicita ligar mais tarde ( retornar 15h)</t>
  </si>
  <si>
    <t>Nota 10 | Nota 10 ( ligar após 13h)</t>
  </si>
  <si>
    <t>responderá a pesquisa, cliente encaminhou equipamento para assistência. Não ligar mais 16/01</t>
  </si>
  <si>
    <t>duplicado de teste de envio, solicitado não entrar em contato 16/1</t>
  </si>
  <si>
    <t>enviado email para o MELO</t>
  </si>
  <si>
    <t>Cliente diz que não testou o equipamento ainda. Ao perguntar se tinha alguma insatisfação, cliente demonstrou imprecisão</t>
  </si>
  <si>
    <t>responderá 16/01 (Sr.)</t>
  </si>
  <si>
    <t>Vai responder hoje</t>
  </si>
  <si>
    <t>Equipamento de mostruário, sem SO</t>
  </si>
  <si>
    <t>Já respondeu</t>
  </si>
  <si>
    <t>Nota 8 | Nota 7  CID</t>
  </si>
  <si>
    <t>1° tel. Indisponível. 2° Não é do cliente</t>
  </si>
  <si>
    <t>Ira responder</t>
  </si>
  <si>
    <t>Tco</t>
  </si>
  <si>
    <t xml:space="preserve">Repondera a pesquisa </t>
  </si>
  <si>
    <t>Service - Tech Support Quality of Service, General Other, Corporate - Policy Warranty/Guarantee</t>
  </si>
  <si>
    <t>Product - Operating System Upgrade, Corporate - Marketing Brand, Product - Printers Other, Service - Tech Support Problem Resolution, Corporate - Policy Exchange</t>
  </si>
  <si>
    <t>Product - PCs &amp; Laptops Hard Drive, Product - PCs &amp; Laptops Reliability, Product - PCs &amp; Laptops Use and Care, Product - Printers Graphics/Display, Product - Printers Reliability, Product - Printers Use and Care, Product - Printers Other, Service - Tech Support Problem Resolution, Corporate - Policy Warranty/Guarantee</t>
  </si>
  <si>
    <t>Corporate - Marketing Loyalty, Product - Printers Pricing/Value, Product - Printers Reliability, Product - Printers Use and Care, General Other</t>
  </si>
  <si>
    <t>Corporate - Marketing Legal, Product - Printers Reliability, Product - Printers Use and Care, Service - Tech Support Problem Resolution, Service - Tech Support Quality of Service, General Other, Fulfillment - Order Ease of Process</t>
  </si>
  <si>
    <t>PAULO SERGIO ROCHA</t>
  </si>
  <si>
    <t>p.sergio.r@uol.com.br</t>
  </si>
  <si>
    <t>BRJ542ZVR5</t>
  </si>
  <si>
    <t>HP Pavilion 14-v067br Notebook PC (ENERGY STAR)</t>
  </si>
  <si>
    <t>L9K36LA</t>
  </si>
  <si>
    <t>Won't resume from hibernate or sleep</t>
  </si>
  <si>
    <t>Resuming from hibernate/sleep is causing issues</t>
  </si>
  <si>
    <t>NÃO DESLIGA</t>
  </si>
  <si>
    <t>177.194.196.212</t>
  </si>
  <si>
    <t>BR_20170106_139_14729</t>
  </si>
  <si>
    <t>O problema de conflito com o botão de liga e desliga, foi carcterizado pelo conflito de drive. Deste modo, já deveria-se ter a solução deste problema resolvido no primeiro contato, ter-se um estudo de probabilidade sobre qual a solução a ser aplicada com maior probabilidade de acerto com sua aplicação. Contudo, estou satisfeito, pois evitou o envio do produto para uma autorizada e o retorno da ligação para averiguar se o problema havia sido efetivamente solucionado.</t>
  </si>
  <si>
    <t>EDSON WALACE DA SILVA RAMOS</t>
  </si>
  <si>
    <t>(213)0452341</t>
  </si>
  <si>
    <t>ewsramos@hotmail.com</t>
  </si>
  <si>
    <t>BRJ5430HRD</t>
  </si>
  <si>
    <t>186.244.12.85</t>
  </si>
  <si>
    <t>BR_20170109_139_2707</t>
  </si>
  <si>
    <t>LUZIENE ALMEIDA DE ARAGAO</t>
  </si>
  <si>
    <t>almeidaelton95@gmail.com</t>
  </si>
  <si>
    <t>BR59PFF3C0</t>
  </si>
  <si>
    <t>168.197.236.66</t>
  </si>
  <si>
    <t>BR_20170111_139_11193</t>
  </si>
  <si>
    <t>TIOKA SUGIMOTO MARQUES</t>
  </si>
  <si>
    <t>tiokasm@gmail.com</t>
  </si>
  <si>
    <t>BR61SFH2XV</t>
  </si>
  <si>
    <t>177.79.27.40</t>
  </si>
  <si>
    <t>BR_20170111_139_18347</t>
  </si>
  <si>
    <t>Os 3 técnicos que me atenderam foram muito bons.</t>
  </si>
  <si>
    <t>ANDRE AVELINO DOS SANTOS</t>
  </si>
  <si>
    <t>avelsmetal58@gmail.com</t>
  </si>
  <si>
    <t>BR4491K384</t>
  </si>
  <si>
    <t>189.54.178.132</t>
  </si>
  <si>
    <t>BR_20170111_139_809</t>
  </si>
  <si>
    <t>O ATENDIMENTO FOI EXCELENTE PELO PROFISSIONAL QUE ME ATENDEU. PRIMEIRA VEZ QUE  UTILIZEI, GOSTEI MUITO.PARABÉNS E OBRIGADO.</t>
  </si>
  <si>
    <t>THAIS CORREIA</t>
  </si>
  <si>
    <t>thaiscorreia03@gmail.com</t>
  </si>
  <si>
    <t>BRJ6030WTF</t>
  </si>
  <si>
    <t>PROBLEMA COM O LOGIN</t>
  </si>
  <si>
    <t>BR_20170111_139_18112</t>
  </si>
  <si>
    <t>DULCE ELI FONTOURA DA COSTA</t>
  </si>
  <si>
    <t>(222)7605342</t>
  </si>
  <si>
    <t>dulce_fontoura@globo.com</t>
  </si>
  <si>
    <t>BR5B5FG33B</t>
  </si>
  <si>
    <t>189.127.52.132</t>
  </si>
  <si>
    <t>BR_20170112_139_5470</t>
  </si>
  <si>
    <t>Olá, apenas um muito obrigada!</t>
  </si>
  <si>
    <t>ANDRE GUSTAVO DE MELO ARAUJO</t>
  </si>
  <si>
    <t>andre_araujo@hotmail.com</t>
  </si>
  <si>
    <t>VNB3G31938</t>
  </si>
  <si>
    <t>HP LaserJet Pro M201dw</t>
  </si>
  <si>
    <t>CF456A</t>
  </si>
  <si>
    <t>HP LaserJet Pro M201 series</t>
  </si>
  <si>
    <t>187.65.157.158</t>
  </si>
  <si>
    <t>BR_20170112_139_853</t>
  </si>
  <si>
    <t>FERNANDO DE ASSIS MELRO</t>
  </si>
  <si>
    <t>(193)2583197</t>
  </si>
  <si>
    <t>(193)3862719</t>
  </si>
  <si>
    <t>engfernando.melro@gmail.com</t>
  </si>
  <si>
    <t>BR352FJ7GV</t>
  </si>
  <si>
    <t>201.82.179.230</t>
  </si>
  <si>
    <t>BR_20170112_139_6365</t>
  </si>
  <si>
    <t>FIQUEI IMPRESSIONADO, POIS NAO ESPERAVA ENCONTRAR UM SERVICO DE ATENDIMENTO COM NIVEL TAO EXCELENTE. DOU NOTA 10 E RECOMENDAREI OS PRODUTOS HP.</t>
  </si>
  <si>
    <t>CRISTINA OLIVEIRA</t>
  </si>
  <si>
    <t>(212)2342111</t>
  </si>
  <si>
    <t>cristianacontabil@hotmail.com</t>
  </si>
  <si>
    <t>BRJ62667FY</t>
  </si>
  <si>
    <t>TRAVA NO BOOT</t>
  </si>
  <si>
    <t>187.14.23.143</t>
  </si>
  <si>
    <t>BR_20170112_139_3951</t>
  </si>
  <si>
    <t>Excelente servico</t>
  </si>
  <si>
    <t>Carolina Cortazzo</t>
  </si>
  <si>
    <t>carolina.cortazzo@gmail.com</t>
  </si>
  <si>
    <t>Customer selected incorrect support option</t>
  </si>
  <si>
    <t>Incorrect support option selected</t>
  </si>
  <si>
    <t>ECR MIDIAS SOCIAIS - RA - CNOVA</t>
  </si>
  <si>
    <t>p6430846</t>
  </si>
  <si>
    <t>Misleading Information</t>
  </si>
  <si>
    <t xml:space="preserve">Reclame Aqui - Carolina Cortazzo - 23126689 http://www.reclameaqui.com.br/2iX3qXmnnCN4d6nP/reclamacao/acesso-via-hugme/ Nome: Carolina Cortazzo E-mail: carolina.cortazzo@gmail.com CPF: 02722987279 Telefones: 16991355725 Reclamação : Comprei um notebook da </t>
  </si>
  <si>
    <t>Gabriel Carmo</t>
  </si>
  <si>
    <t>190.111.232.155</t>
  </si>
  <si>
    <t>BR_20170112_140_79</t>
  </si>
  <si>
    <t>MARILUCIA DE LIMA MARTINS</t>
  </si>
  <si>
    <t>marilucia.martins@hotmail.com</t>
  </si>
  <si>
    <t>BR668FB2CV</t>
  </si>
  <si>
    <t>How to: Insert a cartridge or printhead</t>
  </si>
  <si>
    <t>Requires help with inserting cartridge/printhead</t>
  </si>
  <si>
    <t>191.177.187.5</t>
  </si>
  <si>
    <t>BR_20170112_139_12818</t>
  </si>
  <si>
    <t>ERNANDES RODRIGUES DA SILVA</t>
  </si>
  <si>
    <t>(823)2655600</t>
  </si>
  <si>
    <t>kmgaseagua@gmail.com</t>
  </si>
  <si>
    <t>BR65GFC0CN</t>
  </si>
  <si>
    <t>BR_20170112_139_6096</t>
  </si>
  <si>
    <t>A razao da escolha das minhas é que gosto de falar o que acho.</t>
  </si>
  <si>
    <t>FRANCISCO CANELA</t>
  </si>
  <si>
    <t>(483)3335086</t>
  </si>
  <si>
    <t>franciscocanella@hotmail.com</t>
  </si>
  <si>
    <t>BRG252F1DT</t>
  </si>
  <si>
    <t>HP Compaq Pro 4300 All-in-One PC</t>
  </si>
  <si>
    <t>Commercial Desktop PCs</t>
  </si>
  <si>
    <t>B8U89LT</t>
  </si>
  <si>
    <t>HP Compaq Pro 4300 All-in-One Desktop PC series</t>
  </si>
  <si>
    <t>Business PC Solutions</t>
  </si>
  <si>
    <t>Commercial PC Clients</t>
  </si>
  <si>
    <t>Commercial Desktops</t>
  </si>
  <si>
    <t>Customer routed to wrong team</t>
  </si>
  <si>
    <t>Customer routed to the incorrect team for support</t>
  </si>
  <si>
    <t>191.191.75.106</t>
  </si>
  <si>
    <t>BR_20170112_139_6485</t>
  </si>
  <si>
    <t>O problema foi resolvido, com os técnicos demonstrando competência. no entanto, tenho tido enfrentado repetidas vezes o mesmo problema com o equipamento ainda na garantia, acreditando que o prblema seria melhor resolvido com a troca de equipamento, algo que não ocorreu.</t>
  </si>
  <si>
    <t>JOÃO ROCHA ROCHA</t>
  </si>
  <si>
    <t>joaorochamsn@hotmail.com</t>
  </si>
  <si>
    <t>BRJ6194PT2</t>
  </si>
  <si>
    <t>BR_20170112_139_9364</t>
  </si>
  <si>
    <t>Nicola Russo</t>
  </si>
  <si>
    <t>nrusso12@hotmail.com</t>
  </si>
  <si>
    <t>BRJ6255YNT</t>
  </si>
  <si>
    <t>LENTIDAO E TRAVAMENTO</t>
  </si>
  <si>
    <t>201.6.142.55</t>
  </si>
  <si>
    <t>BR_20170113_139_13718</t>
  </si>
  <si>
    <t>ERASMO DE OLIVEIRA</t>
  </si>
  <si>
    <t>metalurgico41@gmail.com</t>
  </si>
  <si>
    <t>BR58HFG112</t>
  </si>
  <si>
    <t>CONFIGURAÇÃO NA REDE</t>
  </si>
  <si>
    <t>187.33.48.130</t>
  </si>
  <si>
    <t>BR_20170113_139_5447</t>
  </si>
  <si>
    <t>EQUIPE MUITO ATENCIOSA,COMPETENTE.RAPIDA!!</t>
  </si>
  <si>
    <t>PAULO JOSÉ PIRES</t>
  </si>
  <si>
    <t>(193)8851100</t>
  </si>
  <si>
    <t>paulodasuica@gmail.com</t>
  </si>
  <si>
    <t>BRBSJ7VF99</t>
  </si>
  <si>
    <t>177.71.17.102</t>
  </si>
  <si>
    <t>BR_20170113_139_14437</t>
  </si>
  <si>
    <t>FUI MUITO BEM ATENDIDO E TIVE MEU PROBLEMA SOLUCIONADO DE PRONTO.</t>
  </si>
  <si>
    <t>MARCELO DE SOUZA</t>
  </si>
  <si>
    <t>marcelosousa2@hotmail.com</t>
  </si>
  <si>
    <t>BRG307F5GQ</t>
  </si>
  <si>
    <t>HP ENVY Ultrabook 4-1130br</t>
  </si>
  <si>
    <t>D3H28LA</t>
  </si>
  <si>
    <t>HP ENVY Ultrabook 4-1100</t>
  </si>
  <si>
    <t>186.231.146.237</t>
  </si>
  <si>
    <t>BR_20170113_139_11576</t>
  </si>
  <si>
    <t>Pela presteza e resolução do meu problema.</t>
  </si>
  <si>
    <t>PATRICIA FREITAS CUNHA</t>
  </si>
  <si>
    <t>pfreitasc@hotmail.com</t>
  </si>
  <si>
    <t>CN65N2812B</t>
  </si>
  <si>
    <t>AJUDA NA INSTALACAO</t>
  </si>
  <si>
    <t>189.126.161.82</t>
  </si>
  <si>
    <t>BR_20170113_139_14225</t>
  </si>
  <si>
    <t>Minha experiência com a HP na resolução do problema com minha impressora foi rápido e totalmente satisfatório, fui muito bem atendida pelo profissional e fiquei muito realizada com pós atendimento, o qual além de atender minhas necessidades se colocaram a disposição para quaisquer outras dúvidas e problemas!</t>
  </si>
  <si>
    <t>PRISCILA CAVALCANTE</t>
  </si>
  <si>
    <t>(713)0223101</t>
  </si>
  <si>
    <t>analistaspsalvador@gmail.com</t>
  </si>
  <si>
    <t>BR65IFF260</t>
  </si>
  <si>
    <t>Não está funcionando no wifi.</t>
  </si>
  <si>
    <t>177.98.228.130</t>
  </si>
  <si>
    <t>BR_20170113_139_14784</t>
  </si>
  <si>
    <t>Fui bem atendida e tive meu problema resolvido.</t>
  </si>
  <si>
    <t>ANALIA MIGUEL ANUSIEWICZ</t>
  </si>
  <si>
    <t>(114)4366810</t>
  </si>
  <si>
    <t>analiamiguel@uol.com.br</t>
  </si>
  <si>
    <t>BRJ6174BHF</t>
  </si>
  <si>
    <t>AC Adaptor, battery or VPA gets hot</t>
  </si>
  <si>
    <t>Unexpectedly warm or hot device while in use or charging</t>
  </si>
  <si>
    <t>USUARIO HP</t>
  </si>
  <si>
    <t>187.3.176.39</t>
  </si>
  <si>
    <t>BR_20170113_139_792</t>
  </si>
  <si>
    <t>O atendimento foi muito bom. Único senão foi a dificuldade do primeiro acesso para quem é leigo em informática. Quase uma hora fazendo testes, sendo que eu estava certa que a maquina havia parado de funcionar. Deveria ser oportunizada a possibilidade de um local físico para levar o equipamento, em se tratando de pessoa leiga em informática, como é o meu caso. No mais, após essa etapa o atendimento foi muito bom, inclusive a paciência do 1. atendente que me deu suporte no primeiro contato.</t>
  </si>
  <si>
    <t>CELESTINO NETO</t>
  </si>
  <si>
    <t>(813)9724865</t>
  </si>
  <si>
    <t>neto.mediax@hotmail.com</t>
  </si>
  <si>
    <t>BRBSJB782J</t>
  </si>
  <si>
    <t>REINICIALIZA AO DIGITALIZAR PELO ADF</t>
  </si>
  <si>
    <t>187.113.162.157</t>
  </si>
  <si>
    <t>BR_20170114_139_2789</t>
  </si>
  <si>
    <t>Bom dia! Eu dei essas notas pelo atendimento da suporte que me atendeu. Não lembro o nome, mas, ela foi muito atenciosa em resolver o meu problema. Acho que, não só a HP mas, como outras empresas necessitam de funcionários assim. Sempre disposto a resolver o problema do cliente.</t>
  </si>
  <si>
    <t>GASPAR DE OLIVEIRA MARTINS</t>
  </si>
  <si>
    <t>(623)3861105</t>
  </si>
  <si>
    <t>gasparcontador@gmail.com</t>
  </si>
  <si>
    <t>CNB9J1MDNZ</t>
  </si>
  <si>
    <t>179.255.131.103</t>
  </si>
  <si>
    <t>BR_20170114_139_6151</t>
  </si>
  <si>
    <t>os técnicos são atenciosos, competentes, em fim, pacientes, gostei.</t>
  </si>
  <si>
    <t>KAREM PIMENTEL DO PRADO</t>
  </si>
  <si>
    <t>kpimenteladv@gmail.com</t>
  </si>
  <si>
    <t>BR29HFJ22Z</t>
  </si>
  <si>
    <t>177.192.254.90</t>
  </si>
  <si>
    <t>BR_20170114_139_9421</t>
  </si>
  <si>
    <t>CRISTIANE MARIA VIANA MEDEIROS</t>
  </si>
  <si>
    <t>crismedeiros1709@gmail.com</t>
  </si>
  <si>
    <t>BRJ6061GRH</t>
  </si>
  <si>
    <t>189.43.19.226</t>
  </si>
  <si>
    <t>BR_20170114_139_3538</t>
  </si>
  <si>
    <t>FIQUEI MUITO SATISFEITA.</t>
  </si>
  <si>
    <t>Marcos Antonio</t>
  </si>
  <si>
    <t>rafaelfernandes1508@hotmail.com</t>
  </si>
  <si>
    <t>BRJ62155KX</t>
  </si>
  <si>
    <t>TOCHPAD NAO FUNCIONA</t>
  </si>
  <si>
    <t>187.181.135.62</t>
  </si>
  <si>
    <t>BR_20170114_139_11389</t>
  </si>
  <si>
    <t>A razão da minha escolha se da pelo ótimo atendimento que recebi e pela rapidez da resolução do meu problema.</t>
  </si>
  <si>
    <t>MARIA DE FATIMA RODRIGUES ALVES</t>
  </si>
  <si>
    <t>fatira@hotmail.com</t>
  </si>
  <si>
    <t>BR6B5FB0ZC</t>
  </si>
  <si>
    <t>189.100.63.239</t>
  </si>
  <si>
    <t>BR_20170114_139_11478</t>
  </si>
  <si>
    <t>Fui muito bem atendida pelo Washington. Com calma e paciência ele me forneceu todos os detalhes para que a impressora funcionasse. O único porém foi a dificuldade em encontrar o telefone de suporte da HP. Há sites onde o número não aparece.  Atenciosamente  Fatima</t>
  </si>
  <si>
    <t>ALESSANDRA LOPES DO NASCIMENTO</t>
  </si>
  <si>
    <t>ale.lopes.123@hotmail.com</t>
  </si>
  <si>
    <t>BRJ62561K3</t>
  </si>
  <si>
    <t>179.247.174.124</t>
  </si>
  <si>
    <t>BR_20170114_139_377</t>
  </si>
  <si>
    <t>Gostei do atendimento que tiveram comigo sinceramente, me entristeci devido quase não usar o notebook e dar este problema, mas enfim foi resolvido graças a Deus.  Deus abençoe pela preocupação e pelo belo atendimento</t>
  </si>
  <si>
    <t>LEONEL JOSE BESERRA</t>
  </si>
  <si>
    <t>leonelbeserra@hotmail.com</t>
  </si>
  <si>
    <t>BR676FD2TQ</t>
  </si>
  <si>
    <t>ERRO DE DRIVER SCANNER</t>
  </si>
  <si>
    <t>179.154.36.179</t>
  </si>
  <si>
    <t>BR_20170114_139_10502</t>
  </si>
  <si>
    <t>Quanto ao atendimento foi realmente uma experiencia muito boa, uma qualidade de comunicação e possibilidades de resolução.  No entanto faço uma observação quanto ao Produto, HP não fornece o cabo USB de comunicação impressora = computador, achei um absurdo e daí na internet muitos comentarios sobre isso. o custo de um cabo é baixo, mas o usuario não saberá qual é compatível, eu tive que comprar dois pois o primeiro não funcionou.</t>
  </si>
  <si>
    <t>MARLI DE PAULA LIMA</t>
  </si>
  <si>
    <t>(123)9393371</t>
  </si>
  <si>
    <t>rbagerenciamento@gmail.com</t>
  </si>
  <si>
    <t>BRBSJ39F3V</t>
  </si>
  <si>
    <t>Unable to scan from the printer using front panel</t>
  </si>
  <si>
    <t>Any issue while scanning from printer front panel</t>
  </si>
  <si>
    <t>FALHA AO DIGITALIZAR</t>
  </si>
  <si>
    <t>191.255.242.208</t>
  </si>
  <si>
    <t>BR_20170114_139_11799</t>
  </si>
  <si>
    <t>Bom atendimento, solução do meu problema.</t>
  </si>
  <si>
    <t>JULIA NEVES TOSTA</t>
  </si>
  <si>
    <t>julia.nevestosta@hotmail.com</t>
  </si>
  <si>
    <t>3CR5380PY0</t>
  </si>
  <si>
    <t>HP Pavilion Mini Desktop - 300-202br (ENERGY STAR)</t>
  </si>
  <si>
    <t>QZ323AA</t>
  </si>
  <si>
    <t>HP Pavilion Mini 300-200 Desktop PC series</t>
  </si>
  <si>
    <t>179.158.81.77</t>
  </si>
  <si>
    <t>BR_20170115_139_8716</t>
  </si>
  <si>
    <t>BOA TARDE EQUIPE DE SUPORTE HP,  GOSTARIA DE PARABENIZÁ-LOS MAIS UMA VEZ PELO ATENDIMENTO DE EXCELÊNCIA PRESTADO.  GRATA PELA ATENÇÃO DE TODOS,  JULIA TOSTA</t>
  </si>
  <si>
    <t>ROGERIO FERNANDO DE LIMA</t>
  </si>
  <si>
    <t>rogeriofernandolima@gmail.com</t>
  </si>
  <si>
    <t>CN63VDM0B4</t>
  </si>
  <si>
    <t>Using printer web services</t>
  </si>
  <si>
    <t>Help with web service setup</t>
  </si>
  <si>
    <t>Help to setup web services</t>
  </si>
  <si>
    <t>WIFI DIRECTED</t>
  </si>
  <si>
    <t>C</t>
  </si>
  <si>
    <t>189.33.22.214</t>
  </si>
  <si>
    <t>BR_20170115_139_14626</t>
  </si>
  <si>
    <t>A atendente de extrema perspicácia, prontamente resolveu maus questionamento.</t>
  </si>
  <si>
    <t>TELMA TEIXEIRA GUEDES</t>
  </si>
  <si>
    <t>tedexarte@gmail.com</t>
  </si>
  <si>
    <t>BR635FF0P0</t>
  </si>
  <si>
    <t>NAO IMPRIME COM EQUIPAMENTO</t>
  </si>
  <si>
    <t>152.250.151.99</t>
  </si>
  <si>
    <t>BR_20170115_139_16723</t>
  </si>
  <si>
    <t>O problema foi resolvido por intermédio de uma pessoa, um funcionário, é assim que as coisas devem ser... eu não tenho tempo para acompanhar os inúmeros links criados hoje em dia para vc clicar até obter o que deseja para o final não haver resolvido o que pretendia, aliás, ninguém tem tempo para isso e não tenho nenhuma experiência ou relato de pessoas próximas que resolveram problemas de máquinas falando com máquinas. Seu serviço deu certo porque no ´terceiro click para resolução de problemas constava seu telefone de suporte. Não era mais fácil deixá-lo acessível logo no primeiro clique? vejam, longe de execrar a tecnologia, mas precisamos de soluções rápidas assim como é o progresso da tecnologia, mas não há atalhos senhores, não é lendo páginas e páginas de info que vamos dizer que somos experts em máquinas. Continuem sendo vcs os experts não queira que um usuário comum, apressado, stressado com seus problemas fiquem lendo suas dicas e perguntas intermináveis até que cheguemos em uma pessoa. Cheguei ao seu funcionário Caio e foi ele quem resolveu. Dica gratuíta de Relações Públicas, contratem mais Caios e relacionem-se melhor e mais próximo aos seus milhões de clientes mudem a imagem da HP que, apesar de ser marca boa, e nós a compramos por causa disso,  é muito 'encrenqueira' OK. Obrigado.</t>
  </si>
  <si>
    <t>MOEMA MENEZES DE ARCOS</t>
  </si>
  <si>
    <t>moemamenezes@terra.com.br</t>
  </si>
  <si>
    <t>BR65SFC057</t>
  </si>
  <si>
    <t>ITEM PRESO NO SPOLLER</t>
  </si>
  <si>
    <t>201.37.162.145</t>
  </si>
  <si>
    <t>BR_20170115_139_12031</t>
  </si>
  <si>
    <t>RODRIGO ESPER</t>
  </si>
  <si>
    <t>rz.esper@gmail.com</t>
  </si>
  <si>
    <t>TH57S19102</t>
  </si>
  <si>
    <t>189.100.23.90</t>
  </si>
  <si>
    <t>BR_20170115_139_14589</t>
  </si>
  <si>
    <t>FRANCISCO PAULO MARTINS ANJO</t>
  </si>
  <si>
    <t>paulomartinsanjo@gmail.com</t>
  </si>
  <si>
    <t>BR6AAFH3PC</t>
  </si>
  <si>
    <t>INSTALAÇÃO NA REDE SEM FIO</t>
  </si>
  <si>
    <t>179.218.93.196</t>
  </si>
  <si>
    <t>BR_20170115_139_5557</t>
  </si>
  <si>
    <t>já fiz anteriormente várias solicitações de ajuda e sempre foram extremamente profissionais/obrigado</t>
  </si>
  <si>
    <t>ROSANGELA SOARES DE PAULA</t>
  </si>
  <si>
    <t>rosangela.paula@globo.com</t>
  </si>
  <si>
    <t>BR65OFB2WH</t>
  </si>
  <si>
    <t>Windows 7 Home Premium</t>
  </si>
  <si>
    <t>CONFIGURACAO NA REDE WI FI DA IMPRESSORA</t>
  </si>
  <si>
    <t>177.102.154.34</t>
  </si>
  <si>
    <t>BR_20170115_139_14780</t>
  </si>
  <si>
    <t>FABIANO RIBEIRO NOBRE</t>
  </si>
  <si>
    <t>bio.r@hotmail.com</t>
  </si>
  <si>
    <t>BR68BFH45R</t>
  </si>
  <si>
    <t>177.8.170.7</t>
  </si>
  <si>
    <t>BR_20170115_139_5380</t>
  </si>
  <si>
    <t>EDUARDO PLIVEIRA LIMA</t>
  </si>
  <si>
    <t>edu577113@gmail.com</t>
  </si>
  <si>
    <t>BR64FSF0RJ</t>
  </si>
  <si>
    <t>CONFIGURACAO DE REDE</t>
  </si>
  <si>
    <t>187.14.96.194</t>
  </si>
  <si>
    <t>BR_20170115_139_4811</t>
  </si>
  <si>
    <t>EXCELENTE</t>
  </si>
  <si>
    <t>JULIO CESAR ROMERO DE FREITAS</t>
  </si>
  <si>
    <t>julioromero@mairovergara.com</t>
  </si>
  <si>
    <t>BRBSJ44DCS</t>
  </si>
  <si>
    <t>CONEXÃO WIFI</t>
  </si>
  <si>
    <t>189.103.150.162</t>
  </si>
  <si>
    <t>BR_20170115_139_8791</t>
  </si>
  <si>
    <t>As minhas experiências com o atendimento da HP foram sempre fantásticas. Profissionais que levam a sério a metodologia do First Call Resolution e principalmente, sem perder o bom humor, o cuidado com o usuário e a cordialidade que é a marca da HP. Parabéns pelo sempre excelente atendimento que vocês nos prestam. =)</t>
  </si>
  <si>
    <t>NEY CANDIDO RAMOS</t>
  </si>
  <si>
    <t>ney-ramos@uol.com.br</t>
  </si>
  <si>
    <t>BRJ538YB5K</t>
  </si>
  <si>
    <t>Display, touchscreen or monitor image quality issue</t>
  </si>
  <si>
    <t>Pixel, backlight, sharpness, discoloration issue</t>
  </si>
  <si>
    <t>DISPLAY</t>
  </si>
  <si>
    <t>177.158.24.100</t>
  </si>
  <si>
    <t>BR_20170115_139_12496</t>
  </si>
  <si>
    <t>ROSA MARIA DOS SANTOS</t>
  </si>
  <si>
    <t>amaraoproximoparasempre@gmail.com</t>
  </si>
  <si>
    <t>BR54HFF0HQ</t>
  </si>
  <si>
    <t>AJUDA NA DIGITALIZACAO</t>
  </si>
  <si>
    <t>186.232.252.243</t>
  </si>
  <si>
    <t>BR_20170115_139_14757</t>
  </si>
  <si>
    <t>ME DIRIJO COM RESPEITO E MUITA HUMILDADE, AO PREZADO E ESTIMADO SENHOR DIRETOR, DESTA TÃO VALOROSA EMPRESA, PARA A NOSSA NAÇÃO, A HP; Señor Director o qual eu não saber a graça.. Se quer mesmo uma opinião realista, então saiba meu senhor: A Pauline, está apta à Sua promoção! Gracias pela adorável e terna atención.. Rose Mary kiss me!</t>
  </si>
  <si>
    <t>LUIZ CARLOS DE MELLO CARDOSO</t>
  </si>
  <si>
    <t>(212)4737641</t>
  </si>
  <si>
    <t>luizcardo10@gmail.com</t>
  </si>
  <si>
    <t>BRJ6255V8L</t>
  </si>
  <si>
    <t>IRQL</t>
  </si>
  <si>
    <t>187.67.30.19</t>
  </si>
  <si>
    <t>BR_20170115_139_10407</t>
  </si>
  <si>
    <t>Muito satisfeito com o produto e também com a rapidez e qualidade na resolução de problema pelo suporte técnico da hp.</t>
  </si>
  <si>
    <t>***sem tratativa***</t>
  </si>
  <si>
    <t>Segunda-Feira</t>
  </si>
  <si>
    <t>p5444277</t>
  </si>
  <si>
    <t>p5713853</t>
  </si>
  <si>
    <t xml:space="preserve">Cliente informa que não recebeu mas ira verificar novamente </t>
  </si>
  <si>
    <t xml:space="preserve">Respondera de pesquisa </t>
  </si>
  <si>
    <t xml:space="preserve">Não resolvido caso passado para supervisão retorno de contato </t>
  </si>
  <si>
    <t>1 Tel errado ; 2 Só chama</t>
  </si>
  <si>
    <t>Retorna dia 24/01</t>
  </si>
  <si>
    <t>Disponivel 14:00 H</t>
  </si>
  <si>
    <t>Disponivel 19:00 H</t>
  </si>
  <si>
    <t>1 Não é do cliente / 2 Só chama</t>
  </si>
  <si>
    <t>enviar tco, cliente deseja devolucao do dinheiro.</t>
  </si>
  <si>
    <t>agendar retorno, intalacao wifi.amanha as 12h</t>
  </si>
  <si>
    <t>ira enviar nota fiscal</t>
  </si>
  <si>
    <t>retorna as 16h</t>
  </si>
  <si>
    <t>agendar retorno, adf não funciona, amanha as 11h</t>
  </si>
  <si>
    <t>caso web, duplicado</t>
  </si>
  <si>
    <t>Aberto CSO, peço para responder após receber o equipamento</t>
  </si>
  <si>
    <t>Responder pesquisa, cliente afobado</t>
  </si>
  <si>
    <t>complaint | cliente insatisfeita pela falha 4° ou 5° vez</t>
  </si>
  <si>
    <t>complaint, falta de peças</t>
  </si>
  <si>
    <t>(213)8511407 não é da cliente | cliente reclama que entramos em contato muito cedo, possível complaint</t>
  </si>
  <si>
    <t>fixo após horário comercial | Nota 10 | Nota 7 pela funcionalidade do equipamento após a atualização</t>
  </si>
  <si>
    <t>cliente ainda vai fazer o processo pop para possível encaminhamento do produto</t>
  </si>
  <si>
    <t>POSSIVEL DETRECTOR</t>
  </si>
  <si>
    <t>SEM CONTATO</t>
  </si>
  <si>
    <t>CLIENTE VIAJANDO</t>
  </si>
  <si>
    <t>OS 2 TELEOFNES COM PROBLEMA</t>
  </si>
  <si>
    <t>CLIUENTE APAGOU O EMAIL DA PESQUISA</t>
  </si>
  <si>
    <t>CLIENTE NAO SE ENCONTRA ATE AS 22 HORAS</t>
  </si>
  <si>
    <t>RESPONDIDA EM LINHA</t>
  </si>
  <si>
    <t>General Other, Corporate - Policy Profits</t>
  </si>
  <si>
    <t>General Other, Corporate - Policy Exchange, Corporate - Policy Warranty/Guarantee</t>
  </si>
  <si>
    <t>Corporate - Marketing Loyalty, Product - Printers Graphics/Display, Product - Printers Reliability, Product - Printers Speed, Product - Printers Use and Care, Fulfillment - Order Ease of Process</t>
  </si>
  <si>
    <t>Product - PCs &amp; Laptops Reliability, Product - PCs &amp; Laptops Use and Care, General Other</t>
  </si>
  <si>
    <t>Product - PCs &amp; Laptops Gameplay, Product - PCs &amp; Laptops Reliability, Product - PCs &amp; Laptops Use and Care, Product - Peripherals Connectivity, Product - Peripherals Reliability, Product - Peripherals Use and Care, Product - Printers Connectivity, Product - Printers Reliability, Product - Printers Use and Care, General Other</t>
  </si>
  <si>
    <t>Corporate - Marketing Brand, Service - Tech Support Problem Resolution, General Other, Fulfillment - Order Ease of Process</t>
  </si>
  <si>
    <t>Corporate - Marketing Brand, Service - Tech Support Quality of Service, General Other</t>
  </si>
  <si>
    <t>Corporate - Marketing Loyalty, Corporate - Marketing Promotions, General Other</t>
  </si>
  <si>
    <t>MAURICIO FALAT</t>
  </si>
  <si>
    <t>mauriciofalat@hotmail.com</t>
  </si>
  <si>
    <t>BR35HSH6P2</t>
  </si>
  <si>
    <t>HP Deskjet Ink Advantage 2516 All-in-One Printer</t>
  </si>
  <si>
    <t>A6D66A</t>
  </si>
  <si>
    <t>HP Deskjet Ink Advantage 2510 All-in-One Printer series</t>
  </si>
  <si>
    <t>FALHA NO CARTUCHO COLORIDO</t>
  </si>
  <si>
    <t>187.112.151.232</t>
  </si>
  <si>
    <t>BR_20170108_139_11341</t>
  </si>
  <si>
    <t>RICARDO JOSE IRUCENA LOBO</t>
  </si>
  <si>
    <t>lobo.ricardo@yahoo.com.br</t>
  </si>
  <si>
    <t>BR58DFF03</t>
  </si>
  <si>
    <t>HP DeskJet 2546R All-in-One Printer</t>
  </si>
  <si>
    <t>D3A81A</t>
  </si>
  <si>
    <t>HP Deskjet 2540 All-in-One Printer series</t>
  </si>
  <si>
    <t>REDE SEM FIO</t>
  </si>
  <si>
    <t>187.64.126.221</t>
  </si>
  <si>
    <t>BR_20170112_139_16590</t>
  </si>
  <si>
    <t>Muito bem atendido.</t>
  </si>
  <si>
    <t>LUCIANA DOS SANTOS</t>
  </si>
  <si>
    <t>luciana_rodrigues7@hotmail.com</t>
  </si>
  <si>
    <t>BR6ADFD14Q</t>
  </si>
  <si>
    <t>A IMPRESSORA NÃO IMPRIMI ACUSANDO ESTAR SEM PAPEL, MAS TEM PAPEL SUFICIENTE PARA IMPRESSÃO.</t>
  </si>
  <si>
    <t>177.197.77.56</t>
  </si>
  <si>
    <t>BR_20170112_139_12163</t>
  </si>
  <si>
    <t>Fui muito bem atendida. Atendentes muito simpaticos e rapidez no atendimento.</t>
  </si>
  <si>
    <t>Natalia Felix Italiano</t>
  </si>
  <si>
    <t>natifelix4@gmail.com</t>
  </si>
  <si>
    <t>BRJ6133LW2</t>
  </si>
  <si>
    <t>BR_20170112_139_14612</t>
  </si>
  <si>
    <t>O técnico me auxílio e consegui resolver o problema naquele momento. Porém o computador apresentou o mesmo problema novamente alguns dias depois é tive q abrir outro chamado</t>
  </si>
  <si>
    <t>DANIELA CRISTINA DA SILVA MIRANDA</t>
  </si>
  <si>
    <t>(114)1835155</t>
  </si>
  <si>
    <t>danieisa2008@hotmail.com</t>
  </si>
  <si>
    <t>BR66UFB5MN</t>
  </si>
  <si>
    <t>INSTALACAO E COMO DIGITALIZA</t>
  </si>
  <si>
    <t>179.110.207.68</t>
  </si>
  <si>
    <t>BR_20170112_139_4203</t>
  </si>
  <si>
    <t>funcionário atencioso para resolve o problema do cliente muito competente  empresa nota 1000 recomendo aos meu amigos..</t>
  </si>
  <si>
    <t>DANIEL DE SOUZA MAYRINK</t>
  </si>
  <si>
    <t>daniel_mayrink86@yahoo.com.br</t>
  </si>
  <si>
    <t>BR68CFD1DP</t>
  </si>
  <si>
    <t>201.4.116.209</t>
  </si>
  <si>
    <t>BR_20170112_139_4152</t>
  </si>
  <si>
    <t>LUCIANA SEGATO DE ASSIS</t>
  </si>
  <si>
    <t>malussis1@gmail.com</t>
  </si>
  <si>
    <t>BR683FF2WH</t>
  </si>
  <si>
    <t>DESLIGA ESPONTANEAMENTE</t>
  </si>
  <si>
    <t>177.64.186.248</t>
  </si>
  <si>
    <t>BR_20170112_139_12165</t>
  </si>
  <si>
    <t>FLAVIO DA SILVA INFANTE</t>
  </si>
  <si>
    <t>flavioinfante@gmail.com</t>
  </si>
  <si>
    <t>BRJ61641FP</t>
  </si>
  <si>
    <t>189.121.75.248</t>
  </si>
  <si>
    <t>BR_20170113_139_5816</t>
  </si>
  <si>
    <t>Lourdes Guedes</t>
  </si>
  <si>
    <t>(11)999486984</t>
  </si>
  <si>
    <t>lourdesguedes@uol.com.br</t>
  </si>
  <si>
    <t>BR65AFG18V</t>
  </si>
  <si>
    <t>107.167.111.54</t>
  </si>
  <si>
    <t>BR_20170113_139_11154</t>
  </si>
  <si>
    <t>PRISCILA COLTURATO</t>
  </si>
  <si>
    <t>wcosta.seguros@hotmail.com</t>
  </si>
  <si>
    <t>CN34LBWG3Q</t>
  </si>
  <si>
    <t>HP Officejet Pro 8600 e-All-in-One Printer - N911a</t>
  </si>
  <si>
    <t>CM749A</t>
  </si>
  <si>
    <t>HP Officejet Pro 8600 e-All-in-One Printer series - N911</t>
  </si>
  <si>
    <t>186.220.244.241</t>
  </si>
  <si>
    <t>BR_20170113_139_14785</t>
  </si>
  <si>
    <t>SERGIO MARILSON KULAK</t>
  </si>
  <si>
    <t>(453)3213961</t>
  </si>
  <si>
    <t>(423)6237861</t>
  </si>
  <si>
    <t>sergiokulak@gmail.com</t>
  </si>
  <si>
    <t>BRJ6061H30</t>
  </si>
  <si>
    <t>177.183.241.44</t>
  </si>
  <si>
    <t>BR_20170113_139_16752</t>
  </si>
  <si>
    <t>HUGO BATISTA SOBRINHO</t>
  </si>
  <si>
    <t>husobrinho@hotmail.com</t>
  </si>
  <si>
    <t>BR629FH3M3</t>
  </si>
  <si>
    <t>186.214.177.78</t>
  </si>
  <si>
    <t>BR_20170113_139_7125</t>
  </si>
  <si>
    <t>O meu problema ainda não foi resolvido, embora, o atendente me atendeu muito bem. Vou voltar a ligar assim que tiver um tempinho, para ver se o problema seja solucionado definitivamente. A impressora tem horo que imprime, hora não. Assim que resolver vou ter todo prazer de recomendar para amigos e dá notas excelentes!</t>
  </si>
  <si>
    <t>JOEL GOMES</t>
  </si>
  <si>
    <t>ti@tna.com.br</t>
  </si>
  <si>
    <t>VNB8H6TM9N</t>
  </si>
  <si>
    <t>HP Color LaserJet Pro MFP M277dw</t>
  </si>
  <si>
    <t>B3Q11A</t>
  </si>
  <si>
    <t>HP Color LaserJet Pro MFP M277 series</t>
  </si>
  <si>
    <t>MANCHAS NA IMPRESSAO E COPIA</t>
  </si>
  <si>
    <t>189.43.127.66</t>
  </si>
  <si>
    <t>BR_20170113_139_8594</t>
  </si>
  <si>
    <t>LINDOLFO ALBERTO PIRES DE OLIVEIRA</t>
  </si>
  <si>
    <t>(113)2576206</t>
  </si>
  <si>
    <t>lapoliveira@aasp.org.br</t>
  </si>
  <si>
    <t>BRJ6133JQX</t>
  </si>
  <si>
    <t>201.13.92.36</t>
  </si>
  <si>
    <t>BR_20170114_139_10716</t>
  </si>
  <si>
    <t>Todos minhas duvidas foram imediatamente solucionadas</t>
  </si>
  <si>
    <t>SIMONE BERENS PIRES.</t>
  </si>
  <si>
    <t>(553)2516803</t>
  </si>
  <si>
    <t>berensimone@hotmail.com</t>
  </si>
  <si>
    <t>BR59MFK0FS</t>
  </si>
  <si>
    <t>Maintenance cartridge</t>
  </si>
  <si>
    <t>Maintenance Cartridge usage issues</t>
  </si>
  <si>
    <t>FALHA CARTUCHO PRETO</t>
  </si>
  <si>
    <t>BR_20170114_139_17060</t>
  </si>
  <si>
    <t>Ótimo!</t>
  </si>
  <si>
    <t>SILVIA MENEZES MORAES</t>
  </si>
  <si>
    <t>(212)2652164</t>
  </si>
  <si>
    <t>silviam99@yahoo.com.br</t>
  </si>
  <si>
    <t>CN51M2335F</t>
  </si>
  <si>
    <t>HP Deskjet Ink Advantage 3546 e-All-in-One Printer</t>
  </si>
  <si>
    <t>A9T82A</t>
  </si>
  <si>
    <t>HP Deskjet Ink Advantage 3540 e-All-in-One Printer series</t>
  </si>
  <si>
    <t>NAO IMPRIMI</t>
  </si>
  <si>
    <t>179.166.45.99</t>
  </si>
  <si>
    <t>BR_20170115_139_15913</t>
  </si>
  <si>
    <t>Eu sempre acho essa parte tecnológica muito complicada mas não foi muito difícil.</t>
  </si>
  <si>
    <t>SHALIMAR ALEIXO CHAGAS</t>
  </si>
  <si>
    <t>shaaleixo@yahoo.com.br</t>
  </si>
  <si>
    <t>BR619FFOFX</t>
  </si>
  <si>
    <t>177.4.50.156</t>
  </si>
  <si>
    <t>BR_20170115_139_15594</t>
  </si>
  <si>
    <t>Os atendentes são muito prestativos e mostram interesse em atender seus clientes. Procuram resolver os problemas de todas as maneiras possíveis e que estejam ao alcance do cliente. Muitos simpáticos e atenciosos. Continuem sempre com esse tipo de atendimento.</t>
  </si>
  <si>
    <t>LUCILENE DO NASCIMENTO</t>
  </si>
  <si>
    <t>(313)0295418</t>
  </si>
  <si>
    <t>(313)0295417</t>
  </si>
  <si>
    <t>lena@eletronicaguarani.com.br</t>
  </si>
  <si>
    <t>BR58VFB2CX</t>
  </si>
  <si>
    <t>HP scan/fax fatal error</t>
  </si>
  <si>
    <t>All fatal error message</t>
  </si>
  <si>
    <t>187.20.120.55</t>
  </si>
  <si>
    <t>BR_20170115_139_10346</t>
  </si>
  <si>
    <t>ANA CASSIA DE SOUZA SILVA</t>
  </si>
  <si>
    <t>(115)5892535</t>
  </si>
  <si>
    <t>(112)1128117</t>
  </si>
  <si>
    <t>anacassias@hotmail.com</t>
  </si>
  <si>
    <t>BR660FF4D1</t>
  </si>
  <si>
    <t>189.102.6.6</t>
  </si>
  <si>
    <t>BR_20170115_139_678</t>
  </si>
  <si>
    <t>Fui bem atendida e meu problema solucionado de maneira satisfatória sendo que a profissional foi muito atenciosa</t>
  </si>
  <si>
    <t>CLAUDETE ROSANA LOPES PINTO</t>
  </si>
  <si>
    <t>(112)1544982</t>
  </si>
  <si>
    <t>ismaelspfilho@hotmail.com</t>
  </si>
  <si>
    <t>BR68UFF0WF</t>
  </si>
  <si>
    <t>201.6.183.137</t>
  </si>
  <si>
    <t>BR_20170115_139_3168</t>
  </si>
  <si>
    <t>AMANDA BUENO GONCALVES FERNANDES</t>
  </si>
  <si>
    <t>amandabuenogf@gmail.com</t>
  </si>
  <si>
    <t>BR6CUFB1BN</t>
  </si>
  <si>
    <t>How to: Using Wi-Fi (WLAN)</t>
  </si>
  <si>
    <t>Customer needs help with Wi-Fi setup</t>
  </si>
  <si>
    <t>INSTALACAO SEM FIO</t>
  </si>
  <si>
    <t>186.205.135.178</t>
  </si>
  <si>
    <t>BR_20170116_139_283</t>
  </si>
  <si>
    <t>FABIANA CAMPOS GOMES</t>
  </si>
  <si>
    <t>fabianagomes@atriumimob.com.br</t>
  </si>
  <si>
    <t>brj6184h4d</t>
  </si>
  <si>
    <t>191.223.85.237</t>
  </si>
  <si>
    <t>BR_20170116_139_2847</t>
  </si>
  <si>
    <t>Fui atendida com clareza e com presteza. Muito profissionalismo e cuidado com o cliente. Solução rápida pro problema simples.</t>
  </si>
  <si>
    <t>JEFFERSON VILELA OLIVEIRA</t>
  </si>
  <si>
    <t>(34)988267984</t>
  </si>
  <si>
    <t>jeffersonvilelap@gmail.com</t>
  </si>
  <si>
    <t>BR69UFH3R7</t>
  </si>
  <si>
    <t>CARRO TRAVADO</t>
  </si>
  <si>
    <t>189.41.67.164</t>
  </si>
  <si>
    <t>BR_20170116_139_4023</t>
  </si>
  <si>
    <t>Terça-Feira</t>
  </si>
  <si>
    <t>resolveu com a loja.</t>
  </si>
  <si>
    <t>(222)7250815 após as 14h ( cliente ausente). Cel é ddd 22 cx. Postal</t>
  </si>
  <si>
    <t>final 7861 ligar após 17/01 | demais números caixa postal | cliente solicita um tempo para teste do equipamento  mas parece que já respondeu uma pesquisa hoje pela manhã | ligar 23/01</t>
  </si>
  <si>
    <t xml:space="preserve">1° tel é da cliente mas ela esqueceu o celular com a mãe 2° da mãe da cliente. Deixo recado para o processo pop e solicito ainda não responder a pesquisa pois questão não foi solucionada. O celular 2 pode ligar após as 17h </t>
  </si>
  <si>
    <t>ambos números 1633033031 Ligar após as 14h | fixo apenas de segunda até sexta. Cel é do patrão da sra. Cassia. Ligar na segunda para informa-la sobre a pesquisa</t>
  </si>
  <si>
    <t>responderá pesquisa | não ligar mais</t>
  </si>
  <si>
    <t>cliente informa que a questão ainda não foi totalmente solucionada. Vai testar o produto</t>
  </si>
  <si>
    <t>Nota 10 | Nota 10 ( não retornar)</t>
  </si>
  <si>
    <t>Sr Ronier, cliente diz que respondeu pesquisa via telefone, ciente de caso encerrado e de não responder via email pois entrará em contato novamente para possível troca do produto</t>
  </si>
  <si>
    <t xml:space="preserve">Responder pesquisa </t>
  </si>
  <si>
    <t>Cliente bastante confusa, ao mesmo tempo que elogia a HP, critica e diz estar insatisfeita</t>
  </si>
  <si>
    <t>p5357988</t>
  </si>
  <si>
    <t>Sem contato ligar após as 17:00</t>
  </si>
  <si>
    <t xml:space="preserve">Cliente não indica a hp não responder </t>
  </si>
  <si>
    <t>devido hp não disponibilizar tecnicos de campo</t>
  </si>
  <si>
    <t>em tratativa com a loja</t>
  </si>
  <si>
    <t>agendar tco, cliente extremamente insatisfeita,</t>
  </si>
  <si>
    <t>chamou tecnico particular, ira retornar contato se necessario.</t>
  </si>
  <si>
    <t>agendar retorno, instalacao. Amanha as 11h</t>
  </si>
  <si>
    <t>retornar amanha</t>
  </si>
  <si>
    <t>so 1 tel.</t>
  </si>
  <si>
    <t>Sem E-mail</t>
  </si>
  <si>
    <t>Resolveu sem HP</t>
  </si>
  <si>
    <t>Nota 10 | Nota 8 | cliente sem muita certeza sobre a indicação da marca</t>
  </si>
  <si>
    <t>41984562043 do filho da cliente | outro número é de "Nátali" Nota 9 | Nota 9</t>
  </si>
  <si>
    <t>fixo é da loja | ambos celulares são do cliente mas da caixa postal ( tairone), cliente não satisfeito em ter que comprar mídias da arvato. Email inconrreto porém não arrumo pois pode ser um detractor</t>
  </si>
  <si>
    <t>3035751245 e 3035751688 | ecr do dia 13 Cliente muito chateado com o produto , não indica a hp e não deixa falar sobre a pesquisa ou qualquer outra questão que possa ajudá-lo</t>
  </si>
  <si>
    <t>Nota 10 | Nota 10 ( não ligar mais, cliente aguardando a pesquisa no e-mail)</t>
  </si>
  <si>
    <t>Cliente não sabe dizer se a falha voltou a ocorrer</t>
  </si>
  <si>
    <t>falha não solucionada, travamento | passada para fupo callback</t>
  </si>
  <si>
    <t>De férias , retorno em fevereiro</t>
  </si>
  <si>
    <t>retornar as 16h</t>
  </si>
  <si>
    <t>possui 3 produtos e todos com problemas</t>
  </si>
  <si>
    <t>ira retornar.</t>
  </si>
  <si>
    <t>não conseguiu falar no 0800 e somente no 4004 onde gastou todos os creditos do telefone, possivel detractor</t>
  </si>
  <si>
    <t>cliente alega ter respondido.</t>
  </si>
  <si>
    <t>aguardando email.</t>
  </si>
  <si>
    <t>18/01Cliente reclama do excesso de ligações e diz que não teve tempo de responder a pesquisa, possível detrector</t>
  </si>
  <si>
    <t>18/01 Cliente vai responder hoje</t>
  </si>
  <si>
    <t>18/01 Passo recado</t>
  </si>
  <si>
    <t>9:30 | intermitencia no wi fi (12/01 foi sem contato) | ligar 12h, contato posterior atendido porém ninguém fala</t>
  </si>
  <si>
    <t xml:space="preserve">193)2034434 não é do cliente </t>
  </si>
  <si>
    <t xml:space="preserve">número único não é da cliente </t>
  </si>
  <si>
    <t>Nota 10 | indica a HP</t>
  </si>
  <si>
    <t>Disponivel 19/01</t>
  </si>
  <si>
    <t>Cliente desliga ao ouvir HP</t>
  </si>
  <si>
    <t xml:space="preserve">18/01 cliente vai responder </t>
  </si>
  <si>
    <t>cliente ainda vai testar o equipamento, ligar na 3° ou 4° da semana do dia 23 para acompanhamento. Indicado a, por enquanto, não responder a pesquisa para não encerrar protocolo</t>
  </si>
  <si>
    <t>ligar após 18h pessoa que atende ao telefone foi bastante rude, ligar preferencialmente no celular| Nota 10 | nota 10</t>
  </si>
  <si>
    <t>Encerramento do Caso</t>
  </si>
  <si>
    <t>Envio da Pesquisa</t>
  </si>
  <si>
    <t>CARLOS ELBERT SOARES AGUIAR</t>
  </si>
  <si>
    <t>carloselbert45@bol.com.br</t>
  </si>
  <si>
    <t>BRJ6153X7Z</t>
  </si>
  <si>
    <t>HP Notebook - 14-ac102br</t>
  </si>
  <si>
    <t>L9M33LA</t>
  </si>
  <si>
    <t>NÃO INICIA O WINDOWS</t>
  </si>
  <si>
    <t>177.41.109.112</t>
  </si>
  <si>
    <t>BR_20170113_139_2585</t>
  </si>
  <si>
    <t>Pela marca que se tornou referência de qualidade.</t>
  </si>
  <si>
    <t>Product - PCs &amp; Laptops Other, Service - Tech Support Problem Resolution</t>
  </si>
  <si>
    <t>JOAO MARIA SILVA DE OLIVEIRA</t>
  </si>
  <si>
    <t>joaomsoliveira01@gmail.com</t>
  </si>
  <si>
    <t>BR558FH23F</t>
  </si>
  <si>
    <t>177.210.147.82</t>
  </si>
  <si>
    <t>BR_20170114_139_8441</t>
  </si>
  <si>
    <t>Problema resolvido em poucos minutos, a  atendente foi extremamente profissional quanto ao  problema, muito simpática  e me deixou muito satisfeito quanto ao atendimento. A hp é show.</t>
  </si>
  <si>
    <t>LIVIA DE JESUS LAGO SANTOS</t>
  </si>
  <si>
    <t>li.vial@hotmail.com</t>
  </si>
  <si>
    <t>BR67ISB149</t>
  </si>
  <si>
    <t>Setting up software</t>
  </si>
  <si>
    <t>Setup help: Using pre-installed non HP software</t>
  </si>
  <si>
    <t>Need help with using pre-installed software on PC</t>
  </si>
  <si>
    <t>170.233.91.36</t>
  </si>
  <si>
    <t>BR_20170114_139_10804</t>
  </si>
  <si>
    <t>fui muito bem atendida pelo funcionario tecnico/atendente. de forma educada</t>
  </si>
  <si>
    <t>PEDRO PAULO GONÇALVES FERREIRA</t>
  </si>
  <si>
    <t>pedro.ferreira@velosoagri.com.br</t>
  </si>
  <si>
    <t>BRBSJ51KCS</t>
  </si>
  <si>
    <t>Interacting with the scanner hardware</t>
  </si>
  <si>
    <t>Scanner document feeder(s) broken or damaged</t>
  </si>
  <si>
    <t>ADF or duplexer broken or damaged</t>
  </si>
  <si>
    <t>189.112.248.161</t>
  </si>
  <si>
    <t>BR_20170114_139_14283</t>
  </si>
  <si>
    <t>HELIO PASCOAL DE OLIVEIRA FILHO</t>
  </si>
  <si>
    <t>(193)2034434</t>
  </si>
  <si>
    <t>(193)3880037</t>
  </si>
  <si>
    <t>heliopof@gmail.com</t>
  </si>
  <si>
    <t>BRJ6092GLB</t>
  </si>
  <si>
    <t>MENU INICIAR NAO ABRE</t>
  </si>
  <si>
    <t>179.176.59.215</t>
  </si>
  <si>
    <t>BR_20170116_139_3440</t>
  </si>
  <si>
    <t>para estar em evoluçao</t>
  </si>
  <si>
    <t>ERIC DA CUNHA PINHO</t>
  </si>
  <si>
    <t>(673)3820763</t>
  </si>
  <si>
    <t>cintiabreu.arquitetura@gmail.com</t>
  </si>
  <si>
    <t>CN6633R29J</t>
  </si>
  <si>
    <t>CONFIGURAÇÃO DE A3</t>
  </si>
  <si>
    <t>SER0</t>
  </si>
  <si>
    <t>SITL_SAO_BR-PT-PH-BCD-0001</t>
  </si>
  <si>
    <t>179.214.154.20</t>
  </si>
  <si>
    <t>BR_20170111_139_5440</t>
  </si>
  <si>
    <t>Bom dia!  Gostaria de deixar aqui a minha imensa satisfação com relação ao meu atendimento. Em especial, ao atendimento da Dayane de Souza Ferreira, no dia 09 de janeiro, que foi nota 1000! Além do seu profissionalismo, carisma e atenção, se mostrou disposta a ajudar a todo instante!   Sou muito grata pela ajuda da Dayane e pela solução que deu ao meu problema com tanto carinho e dedicação. Acho que ela nem imagina o bem que me fez...sou arquiteta e ter a impressora A3 funcionando faz toda a diferença no dia a dia do escritório. Fiquei muito feliz e só tenho elogios a fazer à ela! Ficaria ainda mais feliz se ela pudesse ver essa avaliação ou se, por gentileza, transmitissem a ela a minha gratidão.   Desde esse dia, divulgo o atendimento de suporte HP com muita satisfação!   Aproveito para desejar à Dayane e à toda equipe HP um Ano Novo maravilhoso, repleto de alegrias, saúde, sucesso e realizações!  Atenciosamente,  Cintia Abreu.  Celular: (67) 98162-5570 e-mail: cintiabreu.arquitetura@gmail.com</t>
  </si>
  <si>
    <t>JANAINA NOGUEIRA BASTOS</t>
  </si>
  <si>
    <t>contato@portalternurafm.com.br</t>
  </si>
  <si>
    <t>CNG7H56KC3</t>
  </si>
  <si>
    <t>NAO DIGITALIZA</t>
  </si>
  <si>
    <t>177.125.203.162</t>
  </si>
  <si>
    <t>BR_20170112_139_8496</t>
  </si>
  <si>
    <t>patricia nunes monteiro</t>
  </si>
  <si>
    <t>patynmonteiro@gmail.com</t>
  </si>
  <si>
    <t>TH655321HC</t>
  </si>
  <si>
    <t>BR_20170113_139_14249</t>
  </si>
  <si>
    <t>Benhur Steinhorst</t>
  </si>
  <si>
    <t>benhurtche@hotmail.com</t>
  </si>
  <si>
    <t>CN57AFX0Q9</t>
  </si>
  <si>
    <t>Bom dia, impressora solicita cartuchos novos de tinta. Como posso saber quais cores devo comprar?</t>
  </si>
  <si>
    <t>177.22.87.247</t>
  </si>
  <si>
    <t>BR_20170113_139_1836</t>
  </si>
  <si>
    <t>Apenas gostaria de fazer um comentário. O suporte direto da HP foi muito satisfatório. Porém os dois primeiros contatos que fiz, com terceiros, autorizados pela HP, não resolveram meu problema, o atendimento foi péssimo e de difícil comunicação... Ou seja, nota 10 para o suporte HP, mas seus suportes autorizados (terceiros), terrível.</t>
  </si>
  <si>
    <t>RONYELE SANTOS SANTANA</t>
  </si>
  <si>
    <t>rony.santana@live.com</t>
  </si>
  <si>
    <t>BRJ540YYC6</t>
  </si>
  <si>
    <t>Touchpad gestures or multi-touch issue</t>
  </si>
  <si>
    <t>Touchpad gestures or multi-touch not working</t>
  </si>
  <si>
    <t>V# TOUCHPAD NAO FUNCIONA</t>
  </si>
  <si>
    <t>187.75.78.98</t>
  </si>
  <si>
    <t>BR_20170113_139_15966</t>
  </si>
  <si>
    <t>porque o atendnimento foi otimo e muito prestativo</t>
  </si>
  <si>
    <t>JESSICA RUSSO LINS</t>
  </si>
  <si>
    <t>jessica.russo1@yahoo.com</t>
  </si>
  <si>
    <t>BRJ611344M</t>
  </si>
  <si>
    <t>179.211.193.2</t>
  </si>
  <si>
    <t>BR_20170114_139_8181</t>
  </si>
  <si>
    <t>FERNANDO JOSE AVELAR REZENDE</t>
  </si>
  <si>
    <t>(313)4972018</t>
  </si>
  <si>
    <t>favelar47@yahoo.com.br</t>
  </si>
  <si>
    <t>BR5CEFC1DP</t>
  </si>
  <si>
    <t>187.20.70.74</t>
  </si>
  <si>
    <t>BR_20170114_139_5745</t>
  </si>
  <si>
    <t>Temos 3 maquinas em casas HP...</t>
  </si>
  <si>
    <t>ANGELI MORREIRA FERREIRA</t>
  </si>
  <si>
    <t>angeli@angelicustodi.com.br</t>
  </si>
  <si>
    <t>BR63SFC2JW</t>
  </si>
  <si>
    <t>FILA DE SPOOLER</t>
  </si>
  <si>
    <t>177.18.223.142</t>
  </si>
  <si>
    <t>BR_20170114_139_956</t>
  </si>
  <si>
    <t>ANDRESON LINDOLFO</t>
  </si>
  <si>
    <t>andresonlindolfo@outlook.com</t>
  </si>
  <si>
    <t>BR59QFG0F9</t>
  </si>
  <si>
    <t>201.95.114.48</t>
  </si>
  <si>
    <t>BR_20170114_139_847</t>
  </si>
  <si>
    <t>ALICE CRISTINA KIM</t>
  </si>
  <si>
    <t>(112)6924490</t>
  </si>
  <si>
    <t>alicriskim@hotmail.com</t>
  </si>
  <si>
    <t>VNB3C67322</t>
  </si>
  <si>
    <t>177.33.61.110</t>
  </si>
  <si>
    <t>BR_20170118_139_502</t>
  </si>
  <si>
    <t>Melhor supporte técnico ! Atendimento e profissionalismo excepcional</t>
  </si>
  <si>
    <t>Corporate - Marketing Loyalty, Product - Printers Reliability, Service - Tech Support Problem Resolution, General Other</t>
  </si>
  <si>
    <t>SUELEN COSTA</t>
  </si>
  <si>
    <t>suandrade@bol.com.br</t>
  </si>
  <si>
    <t>BR677FB21C</t>
  </si>
  <si>
    <t>191.255.25.80</t>
  </si>
  <si>
    <t>BR_20170118_139_17812</t>
  </si>
  <si>
    <t>MARIA CRISTINA PRADO</t>
  </si>
  <si>
    <t>cristinaprado_7@hotmail.com</t>
  </si>
  <si>
    <t>BRJ6184L2S</t>
  </si>
  <si>
    <t>NÃO CONECTA A REDE WIFI</t>
  </si>
  <si>
    <t>66.102.9.142</t>
  </si>
  <si>
    <t>BR_20170118_139_11799</t>
  </si>
  <si>
    <t>Eu entendi que este suporte somente funciona durante a garantia. No caso do meu entendimento estar correto,  seria importante que este serviço estivesse sempre disponível,  para inclusive incentivar a escolha por um produto HP.</t>
  </si>
  <si>
    <t>Quarta-Feira</t>
  </si>
  <si>
    <t>Thiago Amaral</t>
  </si>
  <si>
    <t>Nota 10 | Nota 9 ( cliente ainda vai testar produto)</t>
  </si>
  <si>
    <t>4T</t>
  </si>
  <si>
    <t xml:space="preserve">Não localizou o email mas se achar respondera </t>
  </si>
  <si>
    <t>não indica</t>
  </si>
  <si>
    <t>agendar retorno, problema qualidade de impressao.segunda as 10h</t>
  </si>
  <si>
    <t>agendar retorno, problema wifi, 12h</t>
  </si>
  <si>
    <t>cartucho incompativel</t>
  </si>
  <si>
    <t>Caso Duplicado 3035886012</t>
  </si>
  <si>
    <t>1 Só chama / 2 Somente 8 da manhã</t>
  </si>
  <si>
    <t>Telefones não são da cliente</t>
  </si>
  <si>
    <t>Caso Duplicado 3035890787</t>
  </si>
  <si>
    <t>Disponivel 15:00 H</t>
  </si>
  <si>
    <t>Trocou equipamento por outra marca</t>
  </si>
  <si>
    <t>Cliente de férias. Tels. 2 e 3 cx postal 35999227024  | dia 24 cliente estará de volta</t>
  </si>
  <si>
    <t xml:space="preserve">equipamento importado, cliente quer comprar a carcaça do produto </t>
  </si>
  <si>
    <t>Nota 9 | Nota 7</t>
  </si>
  <si>
    <t>Nota 10 | Nota 5 reclama de não poder alterar o sistema operacional e ainda assim ter a garantia do produto| Cliente reclama de ser o 3° contato perguntando as mesmas coisas, entretanto é um caso branco sem duplicados</t>
  </si>
  <si>
    <t>fixo ligar 12h | cel caixa postal</t>
  </si>
  <si>
    <t>caso criado indevidamente | o.s. gerada em relacionado. Cliente ciente de não responder ao email até ter o produto novamente</t>
  </si>
  <si>
    <t>somente a noite</t>
  </si>
  <si>
    <t>retornar 2 tel</t>
  </si>
  <si>
    <t>Retornar dia 23/01</t>
  </si>
  <si>
    <t>retornar as 13:30</t>
  </si>
  <si>
    <t>l</t>
  </si>
  <si>
    <t>Nota 10 | Nota 10 ( não retornar, cliente reclama de vários contatos)</t>
  </si>
  <si>
    <t>2° tel. Não completa | cliente viajando e foi solicitada pelo analista a ignorar a pesquisa</t>
  </si>
  <si>
    <t>Sem contato | recall de bateria</t>
  </si>
  <si>
    <t>Falo com Nádia, informo sobre como acompanhar o processo do produto com a Hp</t>
  </si>
  <si>
    <t>27999814649 | número da esposa do cliente 27999459684 | Nota 10 | recomenda a Hp ( obs, cliente vai na semana do aniversário de sampa levar presencialmente o equipamento para a assistência indicada</t>
  </si>
  <si>
    <t>complaint | cliente teve o dinheiro depositado em conta</t>
  </si>
  <si>
    <t>ambos números  | vide protocolo: cliente não aceita mais reparo enm suporte para o produto</t>
  </si>
  <si>
    <t>cliente entrará novamente em contato</t>
  </si>
  <si>
    <t xml:space="preserve">2° tel. Cx postal </t>
  </si>
  <si>
    <t>Necessário validação da nota</t>
  </si>
  <si>
    <t>Cliente insatisfeito com a HP</t>
  </si>
  <si>
    <t>Cliente preferi testar por alguns dias</t>
  </si>
  <si>
    <t>Cliente deseja testar o equipamento por alguns dias</t>
  </si>
  <si>
    <t>Recall bateria</t>
  </si>
  <si>
    <t xml:space="preserve">fixos apenas após as 17h | Nota 10 | Nota 10 </t>
  </si>
  <si>
    <t>cliente dirigindo no momento | ligar após 12h ( caixa postal)</t>
  </si>
  <si>
    <t>Product - Printers Other, Service - Tech Support Quality of Service, General Other</t>
  </si>
  <si>
    <t>Corporate - Policy Warranty/Guarantee, Fulfillment - Order Order Accuracy</t>
  </si>
  <si>
    <t>NILTON MOURA</t>
  </si>
  <si>
    <t>62-96111718</t>
  </si>
  <si>
    <t>nm.niltonmoura@hotmail.com</t>
  </si>
  <si>
    <t>BRBSFDFH9F</t>
  </si>
  <si>
    <t>187.69.113.216</t>
  </si>
  <si>
    <t>BR_20170113_139_13798</t>
  </si>
  <si>
    <t>Lucas Mariano</t>
  </si>
  <si>
    <t>lucass.mariano@hotmail.com</t>
  </si>
  <si>
    <t>BRJ5430K8P</t>
  </si>
  <si>
    <t>Touchpad</t>
  </si>
  <si>
    <t>BR_20170113_139_11183</t>
  </si>
  <si>
    <t>GISELE CRISTINA DA COSTA</t>
  </si>
  <si>
    <t>giccosta@outlook.com</t>
  </si>
  <si>
    <t>BR59SFF15J</t>
  </si>
  <si>
    <t>200.100.127.23</t>
  </si>
  <si>
    <t>BR_20170113_139_6411</t>
  </si>
  <si>
    <t>O atendente foi muito atencioso e educado, conseguiu atender as expectativas e resolver o problema.</t>
  </si>
  <si>
    <t>KATYA MARGARETH AURANI</t>
  </si>
  <si>
    <t>(113)2770489</t>
  </si>
  <si>
    <t>auranik@uol.com.br</t>
  </si>
  <si>
    <t>BR6ALFH130</t>
  </si>
  <si>
    <t>CONFIGURACAO DA IMPRESSORA WI-FI</t>
  </si>
  <si>
    <t>179.153.234.46</t>
  </si>
  <si>
    <t>BR_20170114_139_9688</t>
  </si>
  <si>
    <t>O técnico que me atendeu tinha algum problema de fala . Foi muito difícil entender o que ele falava no telefone.</t>
  </si>
  <si>
    <t>FRANCISCO FARO NETO</t>
  </si>
  <si>
    <t>farofr2@gmail.com</t>
  </si>
  <si>
    <t>BRJ5482BTX</t>
  </si>
  <si>
    <t>LENTIDAO/FALHA SISTEMA</t>
  </si>
  <si>
    <t>200.211.222.70</t>
  </si>
  <si>
    <t>BR_20170114_139_5854</t>
  </si>
  <si>
    <t>Ponto de melhoria a ser observada: Contato telefônico em horário comercial para cobrança da pesquisa é inadequada.</t>
  </si>
  <si>
    <t>JOSE KLEBER BICUDO</t>
  </si>
  <si>
    <t>klebicudo@gmail.com</t>
  </si>
  <si>
    <t>8CS6246788</t>
  </si>
  <si>
    <t>J8H42AA - 8CS6246788 - HP H2310 Black In-ear Headset</t>
  </si>
  <si>
    <t>J8H42AA</t>
  </si>
  <si>
    <t>HP H2310 In-ear Headset</t>
  </si>
  <si>
    <t>Using a microphone</t>
  </si>
  <si>
    <t>No sound captured through microphone</t>
  </si>
  <si>
    <t>The microphone does not capture sounds</t>
  </si>
  <si>
    <t>MICROFONE</t>
  </si>
  <si>
    <t>No Technical Solution Available</t>
  </si>
  <si>
    <t>FEITOS TESTE COM CLIENTE, HEADSET FUNCIONA NO COMPUTADOR MAS AO CONECTAR EM CELUALRES O MICROFONE DO HEADSET NAO FUNCIONA NEGA CID. NEGA DERRAMAMENTO DE LIQUIDO OU DANOS NOS HEADSET. ORIENTO CLIENTE A TESTAR EM 2 CELULARES, CLIENTE INFORMA QUE FALHA PERSIS</t>
  </si>
  <si>
    <t>patrik araujo</t>
  </si>
  <si>
    <t>BR_20170114_140_254</t>
  </si>
  <si>
    <t>Eu tinha uma visão da HP que foi totalmente contrário ao que eu esperava. Deu um problema em um produto de vocês e a minha garantia vai até julho de 2017 e não foi solucionado, infelizmente não pretendo comprar mas nada da HP. Sei que isso não vai adiantar nada eu dar a minha opinião mas vocês pediram por isso estou registrando.</t>
  </si>
  <si>
    <t>CHARLES MORCAN BISPO</t>
  </si>
  <si>
    <t>charlesbispo@hotmail.com</t>
  </si>
  <si>
    <t>BR54HFB2WF</t>
  </si>
  <si>
    <t>NAO DIGITALIZA VIA WIFI</t>
  </si>
  <si>
    <t>189.103.223.216</t>
  </si>
  <si>
    <t>BR_20170115_139_2799</t>
  </si>
  <si>
    <t>REINALDO AZEVEDO</t>
  </si>
  <si>
    <t>(112)2723043</t>
  </si>
  <si>
    <t>razeve@msn.com</t>
  </si>
  <si>
    <t>BR65OFB2RF</t>
  </si>
  <si>
    <t>PROBLEMA DE WIRELESS</t>
  </si>
  <si>
    <t>191.19.144.8</t>
  </si>
  <si>
    <t>BR_20170115_139_13998</t>
  </si>
  <si>
    <t>As notas foram dadas em função do excelente atendimento efetuado!</t>
  </si>
  <si>
    <t>Carlos Purim</t>
  </si>
  <si>
    <t>(413)0425012</t>
  </si>
  <si>
    <t>comercial@flautec.com.br</t>
  </si>
  <si>
    <t>p7398291</t>
  </si>
  <si>
    <t>Re-escalação Reclame Aqui - Carlos Purim - 19204973 http://www.reclameaqui.com.br/ndUVq5cZjAsrbZ-B/reclamacao/acesso-via-hugme/ Nome: Carlos Purim E-mail: comercial@flautec.com.br CPF: 97882798991 Telefones: 4184188790 | 4130425012 Recl</t>
  </si>
  <si>
    <t>Ramon Lima</t>
  </si>
  <si>
    <t>191.177.184.7</t>
  </si>
  <si>
    <t>BR_20170115_140_92</t>
  </si>
  <si>
    <t>Tive problemas coma lojahp.com.br, desde maio/2016 para solucionar nosso problema e agora janeiro/2017 que sera creditado o valor em nossa fatura, ou seja só verei meu reembolso em 15/02/2017 no vcto da mesma. O do SAC da Ponto Frio não resolveu, nem respondeu aos inúmeros protocolos realizados.  Não compro mais, nem recomendo.</t>
  </si>
  <si>
    <t>WILLIAM PARPINELLI</t>
  </si>
  <si>
    <t>vendas@hotech.com.br</t>
  </si>
  <si>
    <t>VND3161619</t>
  </si>
  <si>
    <t>177.0.149.80</t>
  </si>
  <si>
    <t>BR_20170115_139_17895</t>
  </si>
  <si>
    <t>O suporte técnico está de nota 10, a unica questão que eu levanto aqui é como um aparelho da HP (Impressora 1102W) pode ter um problema dentro de 1 mês de funcionamento. Por isso eu não esperava, porém para resolver o mesmo foi excelente.</t>
  </si>
  <si>
    <t>IVAN VENANCIO NOGUEIRA</t>
  </si>
  <si>
    <t>(833)2833339</t>
  </si>
  <si>
    <t>ivanconfeccoes300@hotmail.com</t>
  </si>
  <si>
    <t>BR46Q1C26H</t>
  </si>
  <si>
    <t>189.70.217.108</t>
  </si>
  <si>
    <t>BR_20170115_139_6905</t>
  </si>
  <si>
    <t>SERGIO MURILO MACHADO OLIVEIRA</t>
  </si>
  <si>
    <t>(212)1171911</t>
  </si>
  <si>
    <t>machadoopto@gmail.com</t>
  </si>
  <si>
    <t>TH54K6301W</t>
  </si>
  <si>
    <t>PROBLEMA DE IMPRESSAO</t>
  </si>
  <si>
    <t>177.142.50.16</t>
  </si>
  <si>
    <t>BR_20170115_139_15557</t>
  </si>
  <si>
    <t>O meu cartucho está com um defeito, já enviei as fotos que me foram solicitados e que já foram recebidas mas não me dão uma solução. Com certeza vou considerar isso quando for comprar a próxima impressora ou qualquer outro produto HP.</t>
  </si>
  <si>
    <t>MONICA TELLES DE AGUIAR</t>
  </si>
  <si>
    <t>monicatdeaguiar@yahoo.com.br</t>
  </si>
  <si>
    <t>TH61K3C0GZ</t>
  </si>
  <si>
    <t>201.53.96.107</t>
  </si>
  <si>
    <t>BR_20170115_139_12088</t>
  </si>
  <si>
    <t>Fui excelentemente bem atendida pelo funcionário João. Parabéns HP pela preocupação com o cliente, pela qualidade de seus produtos e pelo conhecimento técnico de seus funcionários. Empresa nota 10 = cliente satisfeita. Monica Aguiar</t>
  </si>
  <si>
    <t>JUCIARA BARABOSA PEREIRA MUNIZ</t>
  </si>
  <si>
    <t>(214)1042675</t>
  </si>
  <si>
    <t>jubarbosa75@gmail.com</t>
  </si>
  <si>
    <t>TH555630ZH</t>
  </si>
  <si>
    <t>AJUDA PARA INSTALAR REDE</t>
  </si>
  <si>
    <t>186.205.107.61</t>
  </si>
  <si>
    <t>BR_20170115_139_8659</t>
  </si>
  <si>
    <t>GUILHERME PAMOCENE</t>
  </si>
  <si>
    <t>guilhermepamocene@hotmail.com</t>
  </si>
  <si>
    <t>BRJ5513MV6</t>
  </si>
  <si>
    <t>HP Notebook - 14-ac141br</t>
  </si>
  <si>
    <t>L9M40LA</t>
  </si>
  <si>
    <t>177.79.1.153</t>
  </si>
  <si>
    <t>BR_20170115_139_6250</t>
  </si>
  <si>
    <t>LUCIANA RAMOS CIQUEIRA</t>
  </si>
  <si>
    <t>luamanda.mariaclara75@gmail.com</t>
  </si>
  <si>
    <t>CONFIGURACAO DA IMPRESSOA VIA REDE WI FI</t>
  </si>
  <si>
    <t>BR_20170118_139_11298</t>
  </si>
  <si>
    <t>Daniel Mendonça</t>
  </si>
  <si>
    <t>daniel.mendonca@rtm.net.br</t>
  </si>
  <si>
    <t>TH5CE830Z7</t>
  </si>
  <si>
    <t>Toda vez que uma impressão é enviada à impressora, após a folha impressa, uma nova folha em branco passa pela rolagem de impressão sem nenhum conteúdo - totalmente em branco.  Como consertar esse erro?  Grato.</t>
  </si>
  <si>
    <t>200.160.175.245</t>
  </si>
  <si>
    <t>BR_20170118_139_3867</t>
  </si>
  <si>
    <t>Ótima equipe, ótimos conselhos e procedimentos simples. Obrigado!!!</t>
  </si>
  <si>
    <t>JEOVAH PETRONIO RIBEIRO</t>
  </si>
  <si>
    <t>(473)0263536</t>
  </si>
  <si>
    <t>jeovahpr@gmail.com</t>
  </si>
  <si>
    <t>BR661FB43G</t>
  </si>
  <si>
    <t>191.251.127.199</t>
  </si>
  <si>
    <t>BR_20170118_139_8336</t>
  </si>
  <si>
    <t>ressalto que tive que ligar algumas vezes para o mesmo problema.</t>
  </si>
  <si>
    <t>POLLYANA WINKLER MOREIRA</t>
  </si>
  <si>
    <t>(112)1574170</t>
  </si>
  <si>
    <t>pollyanawm@yahoo.com.br</t>
  </si>
  <si>
    <t>BRJ6194Q7R</t>
  </si>
  <si>
    <t>186.220.1.192</t>
  </si>
  <si>
    <t>BR_20170118_139_14834</t>
  </si>
  <si>
    <t>Tenho apenas um comentário a fazer: tive dificuldades para identificar o telefone para suporte a assistência tecnica da garantia no site. O portal não foi intuitivo nem fácil para tal, localizei o telefone 0300 apenas com a ajuda do google.  Após encontrar o tel o atendimento goi primoroso. No meu caso não teria condições de resolver sem a ajuda  de seu tecnico.</t>
  </si>
  <si>
    <t>HOLLY SOUZA</t>
  </si>
  <si>
    <t>algocotton@hotmail.com</t>
  </si>
  <si>
    <t>BR26KFC038</t>
  </si>
  <si>
    <t>HP Photosmart Plus e-All-in-One Printer - B210a</t>
  </si>
  <si>
    <t>CN216A</t>
  </si>
  <si>
    <t>HP Photosmart Plus e-All-in-One Printer series - B210</t>
  </si>
  <si>
    <t>ERRO DE CARTUCHO PRETO</t>
  </si>
  <si>
    <t>186.206.190.90</t>
  </si>
  <si>
    <t>BR_20170118_139_7163</t>
  </si>
  <si>
    <t>JOAO HENRIQUE RIBEIRO DA SILVA</t>
  </si>
  <si>
    <t>(193)6463078</t>
  </si>
  <si>
    <t>joohenriquesilva@yahoo.com.br</t>
  </si>
  <si>
    <t>BRJ541ZQWL</t>
  </si>
  <si>
    <t>NAO INICIA INTERMITENTE</t>
  </si>
  <si>
    <t>191.19.11.40</t>
  </si>
  <si>
    <t>BR_20170118_139_8652</t>
  </si>
  <si>
    <t>ALYSSON SAULINEI DO NASCIMENTO</t>
  </si>
  <si>
    <t>clickartern@gmail.com</t>
  </si>
  <si>
    <t>CN58OFK0PN</t>
  </si>
  <si>
    <t>Setup help: Using pre-installed HP software</t>
  </si>
  <si>
    <t>Need help with using installed HP software on PC</t>
  </si>
  <si>
    <t>179.156.47.111</t>
  </si>
  <si>
    <t>BR_20170118_139_612</t>
  </si>
  <si>
    <t>ARLINDO APARECIDO FERREIRA PINTO</t>
  </si>
  <si>
    <t>arlindoafp@gmail.com</t>
  </si>
  <si>
    <t>TH5CC3D0DB</t>
  </si>
  <si>
    <t>REDEFINACAO DE LIGUAGUEM</t>
  </si>
  <si>
    <t>179.147.77.45</t>
  </si>
  <si>
    <t>BR_20170118_139_1319</t>
  </si>
  <si>
    <t>Muito bom! Técnico resolveu rapidamente o problema de configuração.</t>
  </si>
  <si>
    <t>SALES PAULO DA SILVA NETO</t>
  </si>
  <si>
    <t>(633)4213172</t>
  </si>
  <si>
    <t>spsn15@hotmail.com</t>
  </si>
  <si>
    <t>BRJ6133GCJ</t>
  </si>
  <si>
    <t>177.203.25.103</t>
  </si>
  <si>
    <t>BR_20170118_139_16453</t>
  </si>
  <si>
    <t>SERGIO CARLOS MUNIZ GONCALVEZ</t>
  </si>
  <si>
    <t>muniz-sergio@hotmail.com</t>
  </si>
  <si>
    <t>BR62IFC12N</t>
  </si>
  <si>
    <t>NAO IMPRIME DO COPUTADOR VIA REDE SEM FIO</t>
  </si>
  <si>
    <t>187.14.71.42</t>
  </si>
  <si>
    <t>BR_20170118_139_16969</t>
  </si>
  <si>
    <t>Tudo gira em torno do profissional que me prestou atendimento, seu profissionalismo, atenção, presteza.</t>
  </si>
  <si>
    <t>ELIOT JOSE FARAH</t>
  </si>
  <si>
    <t>(193)8611896</t>
  </si>
  <si>
    <t>eliotjf@gmail.com</t>
  </si>
  <si>
    <t>BRJ6204XB2</t>
  </si>
  <si>
    <t>SISTEMA</t>
  </si>
  <si>
    <t>177.83.94.207</t>
  </si>
  <si>
    <t>BR_20170118_139_5400</t>
  </si>
  <si>
    <t>Fui muito bem atendido pelo Sr. Fabio, que em poucos minutos resolveu o problema que eu tinha no manuseio de meu notebook HP.Fico completamente satisfeito com o atendimento prestado e indicarei sempre aos meus amigos os produtos HP.Disponham sempre deste cliente.</t>
  </si>
  <si>
    <t>JULIO CESAR OLIMPIO DA SILVA</t>
  </si>
  <si>
    <t>anjuliocesarosilva@gmail.com</t>
  </si>
  <si>
    <t>BR66FFD2NX</t>
  </si>
  <si>
    <t>INSTALACAO DA IMPRESSORA - WIFI</t>
  </si>
  <si>
    <t>187.97.85.107</t>
  </si>
  <si>
    <t>BR_20170119_139_9874</t>
  </si>
  <si>
    <t>So precisa melhorar o manual de primeiro acesso. Se estivesse claro eu nao teria ligado.</t>
  </si>
  <si>
    <t>norma parente</t>
  </si>
  <si>
    <t>nparente@uol.com.br</t>
  </si>
  <si>
    <t>br85sjdprz</t>
  </si>
  <si>
    <t>HP LaserJet Pro MFP M132fw</t>
  </si>
  <si>
    <t>G3Q65A</t>
  </si>
  <si>
    <t>HP LaserJet Pro MFP M132 series</t>
  </si>
  <si>
    <t>NAO DIGITALIZA ADF PAINEL</t>
  </si>
  <si>
    <t>168.0.37.207</t>
  </si>
  <si>
    <t>BR_20170118_139_13942</t>
  </si>
  <si>
    <t>Quinta-Feira</t>
  </si>
  <si>
    <t>vinicius perez</t>
  </si>
  <si>
    <t>p8062621</t>
  </si>
  <si>
    <t>p2214258</t>
  </si>
  <si>
    <t xml:space="preserve">Cliente informa que não recebeu a pesquisa mas se receber respondera </t>
  </si>
  <si>
    <t>Sem contato  ligar após as 18:00</t>
  </si>
  <si>
    <t>Junior&amp;Cris</t>
  </si>
  <si>
    <t>DELL-NOTE</t>
  </si>
  <si>
    <t>TENTATIVA DE ACESSO AO LOCAL: D:\ONEDRIVE\2.RELATÓRIOS 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</si>
</sst>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yyyy"/>
    <numFmt numFmtId="165" formatCode="d/mm/yyyy;@"/>
    <numFmt numFmtId="166" formatCode="dd/mm/yyyy\ hh:mm:ss"/>
    <numFmt numFmtId="167" formatCode="d\-mmm\-yy"/>
    <numFmt numFmtId="168" formatCode="hh:mm:ss\ dd/mm/yyyy"/>
    <numFmt numFmtId="169" formatCode="dd/mmm/yy\ hh:mm:ss"/>
    <numFmt numFmtId="170" formatCode="dddd"/>
  </numFmts>
  <fonts count="19">
    <font>
      <sz val="10"/>
      <color theme="1"/>
      <name val="Trebuchet MS"/>
      <family val="2"/>
    </font>
    <font>
      <b/>
      <sz val="10"/>
      <color theme="1"/>
      <name val="Trebuchet MS"/>
      <family val="2"/>
    </font>
    <font>
      <sz val="11"/>
      <color rgb="FFFFFF00"/>
      <name val="Calibri"/>
      <family val="2"/>
      <scheme val="minor"/>
    </font>
    <font>
      <sz val="11"/>
      <name val="Calibri"/>
      <family val="2"/>
      <scheme val="minor"/>
    </font>
    <font>
      <sz val="11"/>
      <color rgb="FFFF0000"/>
      <name val="Calibri"/>
      <family val="2"/>
      <scheme val="minor"/>
    </font>
    <font>
      <b/>
      <sz val="72"/>
      <name val="Trebuchet MS"/>
      <family val="2"/>
    </font>
    <font>
      <sz val="48"/>
      <color theme="0"/>
      <name val="Trebuchet MS"/>
      <family val="2"/>
    </font>
    <font>
      <sz val="70"/>
      <color theme="0"/>
      <name val="Trebuchet MS"/>
      <family val="2"/>
    </font>
    <font>
      <i/>
      <sz val="10"/>
      <color theme="1"/>
      <name val="Trebuchet MS"/>
      <family val="2"/>
    </font>
    <font>
      <sz val="10"/>
      <color theme="1"/>
      <name val="Trebuchet MS"/>
      <family val="2"/>
    </font>
    <font>
      <sz val="11"/>
      <color theme="1"/>
      <name val="Trebuchet MS"/>
      <family val="2"/>
    </font>
    <font>
      <sz val="13.5"/>
      <color theme="1"/>
      <name val="Trebuchet MS"/>
      <family val="2"/>
    </font>
    <font>
      <b/>
      <sz val="16"/>
      <color theme="0"/>
      <name val="SegoI UI"/>
    </font>
    <font>
      <sz val="16"/>
      <color theme="1"/>
      <name val="SegoI UI"/>
    </font>
    <font>
      <b/>
      <sz val="12"/>
      <color theme="0"/>
      <name val="Segoi UI"/>
    </font>
    <font>
      <sz val="10"/>
      <color theme="1"/>
      <name val="Segoi UI"/>
    </font>
    <font>
      <sz val="11"/>
      <color theme="1"/>
      <name val="Segoi UI"/>
    </font>
    <font>
      <b/>
      <sz val="13.5"/>
      <color theme="1"/>
      <name val="Segoi UI"/>
    </font>
    <font>
      <sz val="13.5"/>
      <color theme="1"/>
      <name val="Segoi UI"/>
    </font>
  </fonts>
  <fills count="21">
    <fill>
      <patternFill patternType="none"/>
    </fill>
    <fill>
      <patternFill patternType="gray125"/>
    </fill>
    <fill>
      <patternFill patternType="solid">
        <fgColor theme="4"/>
        <bgColor theme="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DE9D9"/>
        <bgColor indexed="64"/>
      </patternFill>
    </fill>
    <fill>
      <patternFill patternType="solid">
        <fgColor rgb="FFB1A0C7"/>
        <bgColor indexed="64"/>
      </patternFill>
    </fill>
    <fill>
      <patternFill patternType="solid">
        <fgColor rgb="FF92CDDC"/>
        <bgColor indexed="64"/>
      </patternFill>
    </fill>
    <fill>
      <patternFill patternType="solid">
        <fgColor rgb="FFFFFF00"/>
        <bgColor indexed="64"/>
      </patternFill>
    </fill>
    <fill>
      <patternFill patternType="solid">
        <fgColor rgb="FFDA9694"/>
        <bgColor indexed="64"/>
      </patternFill>
    </fill>
    <fill>
      <patternFill patternType="solid">
        <fgColor rgb="FFC4D79B"/>
        <bgColor indexed="64"/>
      </patternFill>
    </fill>
    <fill>
      <patternFill patternType="solid">
        <fgColor rgb="FFBFBFBF"/>
        <bgColor indexed="64"/>
      </patternFill>
    </fill>
    <fill>
      <patternFill patternType="solid">
        <fgColor rgb="FFFABF8F"/>
        <bgColor indexed="64"/>
      </patternFill>
    </fill>
    <fill>
      <patternFill patternType="solid">
        <fgColor theme="5"/>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theme="3"/>
        <bgColor theme="4"/>
      </patternFill>
    </fill>
    <fill>
      <patternFill patternType="solid">
        <fgColor theme="0"/>
        <bgColor theme="4" tint="0.79998168889431442"/>
      </patternFill>
    </fill>
    <fill>
      <patternFill patternType="solid">
        <fgColor theme="3"/>
        <bgColor indexed="64"/>
      </patternFill>
    </fill>
    <fill>
      <patternFill patternType="solid">
        <fgColor theme="4" tint="0.79998168889431442"/>
        <bgColor indexed="64"/>
      </patternFill>
    </fill>
  </fills>
  <borders count="27">
    <border>
      <left/>
      <right/>
      <top/>
      <bottom/>
      <diagonal/>
    </border>
    <border>
      <left/>
      <right/>
      <top/>
      <bottom style="thin">
        <color theme="4" tint="0.39997558519241921"/>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diagonal/>
    </border>
    <border>
      <left/>
      <right style="thin">
        <color theme="8" tint="0.39997558519241921"/>
      </right>
      <top style="thin">
        <color theme="8" tint="0.39997558519241921"/>
      </top>
      <bottom/>
      <diagonal/>
    </border>
    <border>
      <left/>
      <right/>
      <top style="thin">
        <color theme="8"/>
      </top>
      <bottom/>
      <diagonal/>
    </border>
    <border>
      <left style="thin">
        <color indexed="64"/>
      </left>
      <right style="thin">
        <color indexed="64"/>
      </right>
      <top style="thin">
        <color indexed="64"/>
      </top>
      <bottom style="thin">
        <color indexed="64"/>
      </bottom>
      <diagonal/>
    </border>
    <border>
      <left style="thin">
        <color indexed="64"/>
      </left>
      <right/>
      <top style="thin">
        <color theme="8"/>
      </top>
      <bottom/>
      <diagonal/>
    </border>
    <border>
      <left style="thin">
        <color indexed="64"/>
      </left>
      <right/>
      <top/>
      <bottom/>
      <diagonal/>
    </border>
    <border>
      <left/>
      <right style="thin">
        <color indexed="64"/>
      </right>
      <top/>
      <bottom/>
      <diagonal/>
    </border>
  </borders>
  <cellStyleXfs count="3">
    <xf numFmtId="0" fontId="0" fillId="0" borderId="0"/>
    <xf numFmtId="0" fontId="9" fillId="0" borderId="0"/>
    <xf numFmtId="9" fontId="9" fillId="0" borderId="0" applyFont="0" applyFill="0" applyBorder="0" applyAlignment="0" applyProtection="0"/>
  </cellStyleXfs>
  <cellXfs count="117">
    <xf numFmtId="0" fontId="0" fillId="0" borderId="0" xfId="0"/>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vertical="center"/>
    </xf>
    <xf numFmtId="0" fontId="1" fillId="0" borderId="0" xfId="0" applyFont="1" applyBorder="1" applyAlignment="1">
      <alignment horizontal="center" vertical="center"/>
    </xf>
    <xf numFmtId="0" fontId="0" fillId="3" borderId="0" xfId="0" applyFill="1" applyAlignment="1">
      <alignment horizontal="left" vertical="top"/>
    </xf>
    <xf numFmtId="0" fontId="0" fillId="4" borderId="0" xfId="0" applyFill="1" applyAlignment="1">
      <alignment horizontal="left" vertical="top"/>
    </xf>
    <xf numFmtId="0" fontId="0" fillId="5" borderId="0" xfId="0" applyFill="1" applyAlignment="1">
      <alignment horizontal="left" vertical="top"/>
    </xf>
    <xf numFmtId="0" fontId="0" fillId="6" borderId="0" xfId="0" applyFill="1" applyAlignment="1">
      <alignment horizontal="left" vertical="top"/>
    </xf>
    <xf numFmtId="0" fontId="0" fillId="7" borderId="0" xfId="0" applyFill="1" applyAlignment="1">
      <alignment horizontal="left" vertical="top"/>
    </xf>
    <xf numFmtId="14" fontId="0" fillId="7" borderId="0" xfId="0" applyNumberFormat="1" applyFill="1" applyAlignment="1">
      <alignment horizontal="left" vertical="top"/>
    </xf>
    <xf numFmtId="0" fontId="0" fillId="8" borderId="0" xfId="0" applyFill="1" applyAlignment="1">
      <alignment horizontal="left" vertical="top"/>
    </xf>
    <xf numFmtId="0" fontId="0" fillId="9" borderId="0" xfId="0" applyFill="1" applyAlignment="1">
      <alignment horizontal="left" vertical="top"/>
    </xf>
    <xf numFmtId="0" fontId="0" fillId="10" borderId="0" xfId="0" applyFill="1" applyAlignment="1">
      <alignment horizontal="left" vertical="top"/>
    </xf>
    <xf numFmtId="0" fontId="0" fillId="11" borderId="0" xfId="0" applyFill="1" applyAlignment="1">
      <alignment horizontal="left" vertical="top"/>
    </xf>
    <xf numFmtId="0" fontId="0" fillId="12" borderId="0" xfId="0" applyFill="1" applyAlignment="1">
      <alignment horizontal="left" vertical="top"/>
    </xf>
    <xf numFmtId="14" fontId="0" fillId="12" borderId="0" xfId="0" applyNumberFormat="1" applyFill="1" applyAlignment="1">
      <alignment horizontal="left" vertical="top"/>
    </xf>
    <xf numFmtId="0" fontId="0" fillId="13" borderId="0" xfId="0" applyFill="1" applyAlignment="1">
      <alignment horizontal="left" vertical="top"/>
    </xf>
    <xf numFmtId="0" fontId="2" fillId="13" borderId="0" xfId="0" applyFont="1" applyFill="1" applyAlignment="1">
      <alignment horizontal="left" vertical="top"/>
    </xf>
    <xf numFmtId="0" fontId="3" fillId="14" borderId="0" xfId="0" applyFont="1" applyFill="1" applyAlignment="1">
      <alignment horizontal="center" vertical="top"/>
    </xf>
    <xf numFmtId="0" fontId="0" fillId="0" borderId="0" xfId="0" applyAlignment="1">
      <alignment vertical="top"/>
    </xf>
    <xf numFmtId="0" fontId="0" fillId="0" borderId="0" xfId="0" applyAlignment="1">
      <alignment horizontal="left"/>
    </xf>
    <xf numFmtId="14" fontId="0" fillId="0" borderId="0" xfId="0" applyNumberFormat="1" applyAlignment="1">
      <alignment horizontal="left"/>
    </xf>
    <xf numFmtId="0"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vertical="top"/>
    </xf>
    <xf numFmtId="165" fontId="0" fillId="0" borderId="0" xfId="0" applyNumberFormat="1" applyAlignment="1">
      <alignment horizontal="left"/>
    </xf>
    <xf numFmtId="18" fontId="0" fillId="0" borderId="0" xfId="0" applyNumberFormat="1" applyAlignment="1">
      <alignment horizontal="left"/>
    </xf>
    <xf numFmtId="9" fontId="0" fillId="0" borderId="0" xfId="0" applyNumberFormat="1" applyAlignment="1">
      <alignment horizontal="left"/>
    </xf>
    <xf numFmtId="166" fontId="0" fillId="0" borderId="0" xfId="0" applyNumberFormat="1" applyAlignment="1">
      <alignment horizontal="center" vertical="center"/>
    </xf>
    <xf numFmtId="15" fontId="1" fillId="0" borderId="0" xfId="0" applyNumberFormat="1" applyFont="1" applyBorder="1" applyAlignment="1">
      <alignment horizontal="center" vertical="center"/>
    </xf>
    <xf numFmtId="14" fontId="0" fillId="0" borderId="0" xfId="0" applyNumberFormat="1" applyAlignment="1">
      <alignment horizontal="center" vertical="center"/>
    </xf>
    <xf numFmtId="0" fontId="0" fillId="15" borderId="0" xfId="0" applyFill="1"/>
    <xf numFmtId="15" fontId="0" fillId="0" borderId="0" xfId="0" applyNumberFormat="1" applyAlignment="1">
      <alignment horizontal="center" vertical="center"/>
    </xf>
    <xf numFmtId="0" fontId="0" fillId="0" borderId="0" xfId="0" applyNumberFormat="1" applyAlignment="1">
      <alignment horizontal="center" vertical="center"/>
    </xf>
    <xf numFmtId="0" fontId="0" fillId="16" borderId="0" xfId="0" applyFill="1"/>
    <xf numFmtId="0" fontId="7" fillId="16" borderId="0" xfId="0" applyFont="1" applyFill="1" applyBorder="1" applyAlignment="1">
      <alignment vertical="center"/>
    </xf>
    <xf numFmtId="0" fontId="8" fillId="0" borderId="0" xfId="0" applyFont="1" applyAlignment="1">
      <alignment horizontal="center" vertical="center"/>
    </xf>
    <xf numFmtId="10" fontId="0" fillId="18" borderId="1" xfId="2" applyNumberFormat="1" applyFont="1" applyFill="1" applyBorder="1" applyAlignment="1">
      <alignment horizontal="center" vertical="center"/>
    </xf>
    <xf numFmtId="0" fontId="10" fillId="0" borderId="0" xfId="0" applyFont="1" applyAlignment="1">
      <alignment horizontal="center" vertical="center"/>
    </xf>
    <xf numFmtId="10" fontId="10" fillId="18" borderId="1" xfId="2" applyNumberFormat="1" applyFont="1" applyFill="1" applyBorder="1" applyAlignment="1">
      <alignment horizontal="center" vertical="center"/>
    </xf>
    <xf numFmtId="0" fontId="11" fillId="0" borderId="0" xfId="0" applyFont="1" applyAlignment="1">
      <alignment horizontal="center" vertical="center"/>
    </xf>
    <xf numFmtId="167" fontId="0" fillId="0" borderId="0" xfId="0" applyNumberFormat="1" applyAlignment="1">
      <alignment horizontal="center" vertical="center"/>
    </xf>
    <xf numFmtId="168" fontId="1" fillId="0" borderId="0" xfId="0" applyNumberFormat="1" applyFont="1" applyBorder="1" applyAlignment="1">
      <alignment horizontal="center" vertical="center"/>
    </xf>
    <xf numFmtId="168" fontId="0" fillId="0" borderId="0" xfId="0" applyNumberFormat="1" applyAlignment="1">
      <alignment horizontal="center" vertical="center"/>
    </xf>
    <xf numFmtId="20" fontId="0" fillId="0" borderId="0" xfId="0" applyNumberFormat="1" applyAlignment="1">
      <alignment horizontal="center" vertical="center"/>
    </xf>
    <xf numFmtId="0" fontId="12" fillId="19" borderId="20" xfId="0" applyFont="1" applyFill="1" applyBorder="1" applyAlignment="1">
      <alignment horizontal="center" vertical="center"/>
    </xf>
    <xf numFmtId="0" fontId="12" fillId="19" borderId="21" xfId="0" applyFont="1" applyFill="1" applyBorder="1" applyAlignment="1">
      <alignment horizontal="center" vertical="center"/>
    </xf>
    <xf numFmtId="0" fontId="13" fillId="20" borderId="20" xfId="0" applyFont="1" applyFill="1" applyBorder="1" applyAlignment="1">
      <alignment horizontal="center" vertical="center"/>
    </xf>
    <xf numFmtId="10" fontId="13" fillId="20" borderId="21" xfId="2" applyNumberFormat="1" applyFont="1" applyFill="1" applyBorder="1" applyAlignment="1">
      <alignment horizontal="center" vertical="center"/>
    </xf>
    <xf numFmtId="0" fontId="13" fillId="20" borderId="18" xfId="0" applyFont="1" applyFill="1" applyBorder="1" applyAlignment="1">
      <alignment horizontal="center" vertical="center"/>
    </xf>
    <xf numFmtId="10" fontId="13" fillId="20" borderId="19" xfId="2" applyNumberFormat="1" applyFont="1" applyFill="1" applyBorder="1" applyAlignment="1">
      <alignment horizontal="center" vertical="center"/>
    </xf>
    <xf numFmtId="0" fontId="1" fillId="0" borderId="0" xfId="0" applyFont="1" applyBorder="1" applyAlignment="1" applyProtection="1">
      <alignment horizontal="center" vertical="center"/>
      <protection locked="0"/>
    </xf>
    <xf numFmtId="15" fontId="1" fillId="0" borderId="0" xfId="0" applyNumberFormat="1"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4" fillId="2" borderId="11" xfId="0" applyFont="1" applyFill="1" applyBorder="1" applyAlignment="1">
      <alignment horizontal="center" vertical="center"/>
    </xf>
    <xf numFmtId="0" fontId="14" fillId="2" borderId="17" xfId="0" applyFont="1" applyFill="1" applyBorder="1" applyAlignment="1">
      <alignment horizontal="center" vertical="center"/>
    </xf>
    <xf numFmtId="0" fontId="14" fillId="17" borderId="12" xfId="0" applyFont="1" applyFill="1" applyBorder="1" applyAlignment="1">
      <alignment horizontal="center" vertical="center"/>
    </xf>
    <xf numFmtId="0" fontId="14" fillId="17" borderId="2" xfId="0" applyFont="1" applyFill="1" applyBorder="1" applyAlignment="1">
      <alignment horizontal="center" vertical="center"/>
    </xf>
    <xf numFmtId="0" fontId="14" fillId="17" borderId="13" xfId="0" applyFont="1" applyFill="1" applyBorder="1" applyAlignment="1">
      <alignment horizontal="center" vertical="center"/>
    </xf>
    <xf numFmtId="0" fontId="16" fillId="18" borderId="2" xfId="0" applyNumberFormat="1" applyFont="1" applyFill="1" applyBorder="1" applyAlignment="1">
      <alignment horizontal="center" vertical="center"/>
    </xf>
    <xf numFmtId="10" fontId="16" fillId="18" borderId="2" xfId="2" applyNumberFormat="1" applyFont="1" applyFill="1" applyBorder="1" applyAlignment="1">
      <alignment horizontal="center" vertical="center"/>
    </xf>
    <xf numFmtId="10" fontId="16" fillId="18" borderId="13" xfId="0" applyNumberFormat="1" applyFont="1" applyFill="1" applyBorder="1" applyAlignment="1">
      <alignment horizontal="center" vertical="center"/>
    </xf>
    <xf numFmtId="0" fontId="16" fillId="18" borderId="12" xfId="0" applyNumberFormat="1" applyFont="1" applyFill="1" applyBorder="1" applyAlignment="1">
      <alignment horizontal="center" vertical="center"/>
    </xf>
    <xf numFmtId="0" fontId="16" fillId="0" borderId="12" xfId="0" applyFont="1" applyBorder="1" applyAlignment="1">
      <alignment horizontal="center" vertical="center"/>
    </xf>
    <xf numFmtId="10" fontId="16" fillId="0" borderId="2" xfId="2" applyNumberFormat="1" applyFont="1" applyBorder="1" applyAlignment="1">
      <alignment horizontal="center" vertical="center"/>
    </xf>
    <xf numFmtId="0" fontId="16" fillId="0" borderId="2" xfId="0" applyFont="1" applyBorder="1" applyAlignment="1">
      <alignment horizontal="center" vertical="center"/>
    </xf>
    <xf numFmtId="10" fontId="16" fillId="0" borderId="13" xfId="2" applyNumberFormat="1" applyFont="1" applyBorder="1" applyAlignment="1">
      <alignment horizontal="center" vertical="center"/>
    </xf>
    <xf numFmtId="0" fontId="16" fillId="18" borderId="12" xfId="0" applyFont="1" applyFill="1" applyBorder="1" applyAlignment="1">
      <alignment horizontal="center" vertical="center"/>
    </xf>
    <xf numFmtId="0" fontId="17" fillId="18" borderId="14" xfId="0" applyFont="1" applyFill="1" applyBorder="1" applyAlignment="1">
      <alignment horizontal="center" vertical="center"/>
    </xf>
    <xf numFmtId="0" fontId="18" fillId="18" borderId="11" xfId="0" applyFont="1" applyFill="1" applyBorder="1" applyAlignment="1">
      <alignment horizontal="center" vertical="center"/>
    </xf>
    <xf numFmtId="10" fontId="18" fillId="18" borderId="11" xfId="2" applyNumberFormat="1" applyFont="1" applyFill="1" applyBorder="1" applyAlignment="1">
      <alignment horizontal="center" vertical="center"/>
    </xf>
    <xf numFmtId="10" fontId="18" fillId="18" borderId="17" xfId="0" applyNumberFormat="1" applyFont="1" applyFill="1" applyBorder="1" applyAlignment="1">
      <alignment horizontal="center" vertical="center"/>
    </xf>
    <xf numFmtId="0" fontId="18" fillId="18" borderId="14" xfId="0" applyFont="1" applyFill="1" applyBorder="1" applyAlignment="1">
      <alignment horizontal="center" vertical="center"/>
    </xf>
    <xf numFmtId="0" fontId="18" fillId="0" borderId="12" xfId="0" applyFont="1" applyBorder="1" applyAlignment="1">
      <alignment horizontal="center" vertical="center"/>
    </xf>
    <xf numFmtId="10" fontId="18" fillId="0" borderId="2" xfId="2" applyNumberFormat="1" applyFont="1" applyBorder="1" applyAlignment="1">
      <alignment horizontal="center" vertical="center"/>
    </xf>
    <xf numFmtId="0" fontId="18" fillId="0" borderId="2" xfId="0" applyFont="1" applyBorder="1" applyAlignment="1">
      <alignment horizontal="center" vertical="center"/>
    </xf>
    <xf numFmtId="10" fontId="18" fillId="0" borderId="13" xfId="2" applyNumberFormat="1" applyFont="1" applyBorder="1" applyAlignment="1">
      <alignment horizontal="center" vertical="center"/>
    </xf>
    <xf numFmtId="0" fontId="16" fillId="18" borderId="12" xfId="0" applyFont="1" applyFill="1" applyBorder="1" applyAlignment="1" applyProtection="1">
      <alignment horizontal="center" vertical="center"/>
      <protection locked="0"/>
    </xf>
    <xf numFmtId="0" fontId="14" fillId="17" borderId="23" xfId="0" applyFont="1" applyFill="1" applyBorder="1" applyAlignment="1">
      <alignment horizontal="center" vertical="center"/>
    </xf>
    <xf numFmtId="0" fontId="16"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0" xfId="0" applyFont="1" applyBorder="1" applyAlignment="1">
      <alignment horizontal="center" vertical="center"/>
    </xf>
    <xf numFmtId="0" fontId="15" fillId="0" borderId="26" xfId="0" applyFont="1" applyBorder="1" applyAlignment="1">
      <alignment horizontal="center" vertical="center"/>
    </xf>
    <xf numFmtId="15"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169" fontId="0" fillId="0" borderId="0" xfId="0" applyNumberFormat="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170" fontId="0" fillId="0" borderId="0" xfId="0" applyNumberFormat="1" applyAlignment="1" applyProtection="1">
      <alignment horizontal="center" vertical="center"/>
      <protection locked="0"/>
    </xf>
    <xf numFmtId="0" fontId="5" fillId="15" borderId="3" xfId="0" applyFont="1" applyFill="1" applyBorder="1" applyAlignment="1">
      <alignment horizontal="center" vertical="center"/>
    </xf>
    <xf numFmtId="0" fontId="5" fillId="15" borderId="4"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5" fillId="15" borderId="0" xfId="0" applyFont="1" applyFill="1" applyBorder="1" applyAlignment="1">
      <alignment horizontal="center" vertical="center"/>
    </xf>
    <xf numFmtId="0" fontId="5" fillId="15" borderId="7" xfId="0" applyFont="1" applyFill="1" applyBorder="1" applyAlignment="1">
      <alignment horizontal="center" vertical="center"/>
    </xf>
    <xf numFmtId="0" fontId="5" fillId="15" borderId="8" xfId="0" applyFont="1" applyFill="1" applyBorder="1" applyAlignment="1">
      <alignment horizontal="center" vertical="center"/>
    </xf>
    <xf numFmtId="0" fontId="5" fillId="15" borderId="9" xfId="0" applyFont="1" applyFill="1" applyBorder="1" applyAlignment="1">
      <alignment horizontal="center" vertical="center"/>
    </xf>
    <xf numFmtId="0" fontId="5" fillId="15" borderId="10" xfId="0" applyFont="1" applyFill="1" applyBorder="1" applyAlignment="1">
      <alignment horizontal="center" vertical="center"/>
    </xf>
    <xf numFmtId="0" fontId="14" fillId="17" borderId="12" xfId="0" applyFont="1" applyFill="1" applyBorder="1" applyAlignment="1">
      <alignment horizontal="center" vertical="center"/>
    </xf>
    <xf numFmtId="0" fontId="14" fillId="17" borderId="2" xfId="0" applyFont="1" applyFill="1" applyBorder="1" applyAlignment="1">
      <alignment horizontal="center" vertical="center"/>
    </xf>
    <xf numFmtId="0" fontId="14" fillId="17" borderId="13" xfId="0" applyFont="1" applyFill="1" applyBorder="1" applyAlignment="1">
      <alignment horizontal="center" vertical="center"/>
    </xf>
    <xf numFmtId="0" fontId="14" fillId="2" borderId="15" xfId="0" applyFont="1" applyFill="1" applyBorder="1" applyAlignment="1">
      <alignment horizontal="center" vertical="center"/>
    </xf>
    <xf numFmtId="0" fontId="14" fillId="2" borderId="16" xfId="0" applyFont="1" applyFill="1" applyBorder="1" applyAlignment="1">
      <alignment horizontal="center" vertical="center"/>
    </xf>
    <xf numFmtId="0" fontId="14" fillId="2" borderId="12"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13" xfId="0" applyFont="1" applyFill="1" applyBorder="1" applyAlignment="1">
      <alignment horizontal="center" vertical="center"/>
    </xf>
    <xf numFmtId="0" fontId="6" fillId="16" borderId="3" xfId="0" applyFont="1" applyFill="1" applyBorder="1" applyAlignment="1">
      <alignment horizontal="center" vertical="center"/>
    </xf>
    <xf numFmtId="0" fontId="6" fillId="16" borderId="4" xfId="0" applyFont="1" applyFill="1" applyBorder="1" applyAlignment="1">
      <alignment horizontal="center" vertical="center"/>
    </xf>
    <xf numFmtId="0" fontId="6" fillId="16" borderId="5" xfId="0" applyFont="1" applyFill="1" applyBorder="1" applyAlignment="1">
      <alignment horizontal="center" vertical="center"/>
    </xf>
    <xf numFmtId="0" fontId="6" fillId="16" borderId="6" xfId="0" applyFont="1" applyFill="1" applyBorder="1" applyAlignment="1">
      <alignment horizontal="center" vertical="center"/>
    </xf>
    <xf numFmtId="0" fontId="6" fillId="16" borderId="0" xfId="0" applyFont="1" applyFill="1" applyBorder="1" applyAlignment="1">
      <alignment horizontal="center" vertical="center"/>
    </xf>
    <xf numFmtId="0" fontId="6" fillId="16" borderId="7" xfId="0" applyFont="1" applyFill="1" applyBorder="1" applyAlignment="1">
      <alignment horizontal="center" vertical="center"/>
    </xf>
    <xf numFmtId="0" fontId="6" fillId="16" borderId="8" xfId="0" applyFont="1" applyFill="1" applyBorder="1" applyAlignment="1">
      <alignment horizontal="center" vertical="center"/>
    </xf>
    <xf numFmtId="0" fontId="6" fillId="16" borderId="9" xfId="0" applyFont="1" applyFill="1" applyBorder="1" applyAlignment="1">
      <alignment horizontal="center" vertical="center"/>
    </xf>
    <xf numFmtId="0" fontId="6" fillId="16" borderId="10" xfId="0" applyFont="1" applyFill="1" applyBorder="1" applyAlignment="1">
      <alignment horizontal="center" vertical="center"/>
    </xf>
  </cellXfs>
  <cellStyles count="3">
    <cellStyle name="Normal" xfId="0" builtinId="0"/>
    <cellStyle name="Normal 2" xfId="1"/>
    <cellStyle name="Porcentagem" xfId="2" builtinId="5"/>
  </cellStyles>
  <dxfs count="105">
    <dxf>
      <font>
        <color rgb="FFFF0000"/>
      </font>
    </dxf>
    <dxf>
      <font>
        <color rgb="FFFF0000"/>
      </font>
    </dxf>
    <dxf>
      <font>
        <color rgb="FFFF0000"/>
      </font>
    </dxf>
    <dxf>
      <font>
        <color rgb="FFFF0000"/>
      </font>
    </dxf>
    <dxf>
      <font>
        <color rgb="FFFF0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FF0000"/>
      </font>
    </dxf>
    <dxf>
      <font>
        <b/>
        <i val="0"/>
        <color rgb="FFFFC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6" formatCode="dd/mm/yyyy\ hh:mm:ss"/>
      <alignment horizontal="center" vertical="center" textRotation="0" wrapText="0" indent="0" justifyLastLine="0" shrinkToFit="0" readingOrder="0"/>
    </dxf>
    <dxf>
      <numFmt numFmtId="166" formatCode="dd/mm/yyyy\ hh:mm:ss"/>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69" formatCode="dd/mmm/yy\ hh:mm:ss"/>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167" formatCode="d\-mmm\-yy"/>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protection locked="0" hidden="0"/>
    </dxf>
    <dxf>
      <numFmt numFmtId="170" formatCode="dddd"/>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numFmt numFmtId="171" formatCode="m/d/yyyy"/>
      <alignment horizontal="center" vertical="center" textRotation="0" indent="0" justifyLastLine="0" shrinkToFit="0" readingOrder="0"/>
    </dxf>
    <dxf>
      <border outline="0">
        <top style="thin">
          <color indexed="64"/>
        </top>
      </border>
    </dxf>
    <dxf>
      <numFmt numFmtId="171" formatCode="m/d/yyyy"/>
      <alignment horizontal="center" vertical="center" textRotation="0" wrapText="0" indent="0" justifyLastLine="0" shrinkToFit="0" readingOrder="0"/>
    </dxf>
    <dxf>
      <font>
        <b/>
        <i val="0"/>
        <strike val="0"/>
        <condense val="0"/>
        <extend val="0"/>
        <outline val="0"/>
        <shadow val="0"/>
        <u val="none"/>
        <vertAlign val="baseline"/>
        <sz val="10"/>
        <color theme="1"/>
        <name val="Trebuchet MS"/>
        <scheme val="none"/>
      </font>
      <numFmt numFmtId="171" formatCode="m/d/yyyy"/>
      <fill>
        <patternFill patternType="solid">
          <fgColor indexed="64"/>
          <bgColor theme="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hh:mm:ss\ 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d\-mmm\-yy"/>
      <alignment horizontal="center" vertical="center" textRotation="0" wrapText="0" indent="0" justifyLastLine="0" shrinkToFit="0" readingOrder="0"/>
    </dxf>
    <dxf>
      <numFmt numFmtId="170" formatCode="dddd"/>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hyperlink" Target="#HOME!F15"/></Relationships>
</file>

<file path=xl/drawings/drawing1.xml><?xml version="1.0" encoding="utf-8"?>
<xdr:wsDr xmlns:xdr="http://schemas.openxmlformats.org/drawingml/2006/spreadsheetDrawing" xmlns:a="http://schemas.openxmlformats.org/drawingml/2006/main">
  <xdr:twoCellAnchor editAs="absolute">
    <xdr:from>
      <xdr:col>3</xdr:col>
      <xdr:colOff>7145</xdr:colOff>
      <xdr:row>0</xdr:row>
      <xdr:rowOff>111556</xdr:rowOff>
    </xdr:from>
    <xdr:to>
      <xdr:col>6</xdr:col>
      <xdr:colOff>808510</xdr:colOff>
      <xdr:row>4</xdr:row>
      <xdr:rowOff>122556</xdr:rowOff>
    </xdr:to>
    <xdr:sp macro="[0]!ExtraçãoDeDados" textlink="">
      <xdr:nvSpPr>
        <xdr:cNvPr id="2" name="Retângulo de cantos arredondados 1">
          <a:extLst>
            <a:ext uri="{FF2B5EF4-FFF2-40B4-BE49-F238E27FC236}">
              <a16:creationId xmlns:a16="http://schemas.microsoft.com/office/drawing/2014/main" id="{00000000-0008-0000-0100-000002000000}"/>
            </a:ext>
          </a:extLst>
        </xdr:cNvPr>
        <xdr:cNvSpPr/>
      </xdr:nvSpPr>
      <xdr:spPr>
        <a:xfrm flipH="1">
          <a:off x="3186114" y="111556"/>
          <a:ext cx="2158677"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   EXTRAÇÃO</a:t>
          </a:r>
          <a:r>
            <a:rPr lang="pt-BR" sz="1600" b="1" baseline="0"/>
            <a:t> CASOS | CÉLULA DE CALLBACK</a:t>
          </a:r>
          <a:endParaRPr lang="pt-BR" sz="1600" b="1"/>
        </a:p>
      </xdr:txBody>
    </xdr:sp>
    <xdr:clientData/>
  </xdr:twoCellAnchor>
  <xdr:twoCellAnchor editAs="absolute">
    <xdr:from>
      <xdr:col>13</xdr:col>
      <xdr:colOff>856193</xdr:colOff>
      <xdr:row>7</xdr:row>
      <xdr:rowOff>132724</xdr:rowOff>
    </xdr:from>
    <xdr:to>
      <xdr:col>15</xdr:col>
      <xdr:colOff>383025</xdr:colOff>
      <xdr:row>12</xdr:row>
      <xdr:rowOff>8224</xdr:rowOff>
    </xdr:to>
    <xdr:sp macro="[0]!LinkPS" textlink="">
      <xdr:nvSpPr>
        <xdr:cNvPr id="3" name="Retângulo de cantos arredondados 2">
          <a:extLst>
            <a:ext uri="{FF2B5EF4-FFF2-40B4-BE49-F238E27FC236}">
              <a16:creationId xmlns:a16="http://schemas.microsoft.com/office/drawing/2014/main" id="{00000000-0008-0000-0100-000003000000}"/>
            </a:ext>
          </a:extLst>
        </xdr:cNvPr>
        <xdr:cNvSpPr/>
      </xdr:nvSpPr>
      <xdr:spPr>
        <a:xfrm flipH="1">
          <a:off x="10381193" y="1823412"/>
          <a:ext cx="2074770" cy="8280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CASOS P/ TRATATIVA</a:t>
          </a:r>
        </a:p>
      </xdr:txBody>
    </xdr:sp>
    <xdr:clientData/>
  </xdr:twoCellAnchor>
  <xdr:twoCellAnchor editAs="absolute">
    <xdr:from>
      <xdr:col>1</xdr:col>
      <xdr:colOff>2224501</xdr:colOff>
      <xdr:row>7</xdr:row>
      <xdr:rowOff>132724</xdr:rowOff>
    </xdr:from>
    <xdr:to>
      <xdr:col>4</xdr:col>
      <xdr:colOff>584522</xdr:colOff>
      <xdr:row>12</xdr:row>
      <xdr:rowOff>8224</xdr:rowOff>
    </xdr:to>
    <xdr:sp macro="[0]!ViraramPesquisas" textlink="">
      <xdr:nvSpPr>
        <xdr:cNvPr id="4" name="Retângulo de cantos arredondados 3">
          <a:extLst>
            <a:ext uri="{FF2B5EF4-FFF2-40B4-BE49-F238E27FC236}">
              <a16:creationId xmlns:a16="http://schemas.microsoft.com/office/drawing/2014/main" id="{00000000-0008-0000-0100-000004000000}"/>
            </a:ext>
          </a:extLst>
        </xdr:cNvPr>
        <xdr:cNvSpPr/>
      </xdr:nvSpPr>
      <xdr:spPr>
        <a:xfrm>
          <a:off x="2355470" y="1823412"/>
          <a:ext cx="2086677" cy="8280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VIRARAM PESQUISAS</a:t>
          </a:r>
        </a:p>
      </xdr:txBody>
    </xdr:sp>
    <xdr:clientData/>
  </xdr:twoCellAnchor>
  <xdr:twoCellAnchor editAs="absolute">
    <xdr:from>
      <xdr:col>7</xdr:col>
      <xdr:colOff>645527</xdr:colOff>
      <xdr:row>0</xdr:row>
      <xdr:rowOff>111556</xdr:rowOff>
    </xdr:from>
    <xdr:to>
      <xdr:col>12</xdr:col>
      <xdr:colOff>159694</xdr:colOff>
      <xdr:row>4</xdr:row>
      <xdr:rowOff>122556</xdr:rowOff>
    </xdr:to>
    <xdr:sp macro="[0]!ExtraçãoBasePesquisas" textlink="">
      <xdr:nvSpPr>
        <xdr:cNvPr id="5" name="Retângulo de cantos arredondados 4">
          <a:extLst>
            <a:ext uri="{FF2B5EF4-FFF2-40B4-BE49-F238E27FC236}">
              <a16:creationId xmlns:a16="http://schemas.microsoft.com/office/drawing/2014/main" id="{00000000-0008-0000-0100-000005000000}"/>
            </a:ext>
          </a:extLst>
        </xdr:cNvPr>
        <xdr:cNvSpPr/>
      </xdr:nvSpPr>
      <xdr:spPr>
        <a:xfrm>
          <a:off x="6360527" y="111556"/>
          <a:ext cx="2145448"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EXTRAÇÃO DE PESQUISAS</a:t>
          </a:r>
        </a:p>
      </xdr:txBody>
    </xdr:sp>
    <xdr:clientData/>
  </xdr:twoCellAnchor>
  <xdr:twoCellAnchor editAs="absolute">
    <xdr:from>
      <xdr:col>6</xdr:col>
      <xdr:colOff>437874</xdr:colOff>
      <xdr:row>4</xdr:row>
      <xdr:rowOff>229034</xdr:rowOff>
    </xdr:from>
    <xdr:to>
      <xdr:col>13</xdr:col>
      <xdr:colOff>375710</xdr:colOff>
      <xdr:row>13</xdr:row>
      <xdr:rowOff>87311</xdr:rowOff>
    </xdr:to>
    <xdr:sp macro="" textlink="">
      <xdr:nvSpPr>
        <xdr:cNvPr id="6" name="Retângulo 5">
          <a:extLst>
            <a:ext uri="{FF2B5EF4-FFF2-40B4-BE49-F238E27FC236}">
              <a16:creationId xmlns:a16="http://schemas.microsoft.com/office/drawing/2014/main" id="{00000000-0008-0000-0100-000006000000}"/>
            </a:ext>
          </a:extLst>
        </xdr:cNvPr>
        <xdr:cNvSpPr/>
      </xdr:nvSpPr>
      <xdr:spPr>
        <a:xfrm flipH="1">
          <a:off x="4974155" y="1133909"/>
          <a:ext cx="4926555" cy="1787090"/>
        </a:xfrm>
        <a:prstGeom prst="rect">
          <a:avLst/>
        </a:prstGeom>
        <a:noFill/>
        <a:effectLst/>
      </xdr:spPr>
      <xdr:txBody>
        <a:bodyPr wrap="squar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FORÇA</a:t>
          </a: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 TAREFA  </a:t>
          </a:r>
        </a:p>
        <a:p>
          <a:pPr algn="ctr"/>
          <a:r>
            <a:rPr lang="pt-BR" sz="55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rPr>
            <a:t>QUALIDADE HPI</a:t>
          </a:r>
          <a:endParaRPr lang="pt-BR" sz="55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glow rad="101600">
                <a:schemeClr val="accent1">
                  <a:satMod val="175000"/>
                  <a:alpha val="40000"/>
                </a:schemeClr>
              </a:glow>
            </a:effectLst>
          </a:endParaRPr>
        </a:p>
      </xdr:txBody>
    </xdr:sp>
    <xdr:clientData/>
  </xdr:twoCellAnchor>
  <xdr:twoCellAnchor editAs="absolute">
    <xdr:from>
      <xdr:col>12</xdr:col>
      <xdr:colOff>1168816</xdr:colOff>
      <xdr:row>0</xdr:row>
      <xdr:rowOff>111556</xdr:rowOff>
    </xdr:from>
    <xdr:to>
      <xdr:col>14</xdr:col>
      <xdr:colOff>1155263</xdr:colOff>
      <xdr:row>4</xdr:row>
      <xdr:rowOff>122556</xdr:rowOff>
    </xdr:to>
    <xdr:sp macro="[0]!AbrirLog" textlink="">
      <xdr:nvSpPr>
        <xdr:cNvPr id="7" name="Retângulo de cantos arredondados 6">
          <a:extLst>
            <a:ext uri="{FF2B5EF4-FFF2-40B4-BE49-F238E27FC236}">
              <a16:creationId xmlns:a16="http://schemas.microsoft.com/office/drawing/2014/main" id="{00000000-0008-0000-0100-000007000000}"/>
            </a:ext>
          </a:extLst>
        </xdr:cNvPr>
        <xdr:cNvSpPr/>
      </xdr:nvSpPr>
      <xdr:spPr>
        <a:xfrm>
          <a:off x="9515097" y="111556"/>
          <a:ext cx="2153385" cy="915875"/>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orthographicFront"/>
          <a:lightRig rig="threePt" dir="t">
            <a:rot lat="0" lon="0" rev="0"/>
          </a:lightRig>
        </a:scene3d>
        <a:sp3d extrusionH="139700" prstMaterial="metal">
          <a:bevelT w="133350" h="13335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LOG DE ATIVIDADES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xdr:colOff>
      <xdr:row>0</xdr:row>
      <xdr:rowOff>57150</xdr:rowOff>
    </xdr:from>
    <xdr:to>
      <xdr:col>1</xdr:col>
      <xdr:colOff>316706</xdr:colOff>
      <xdr:row>3</xdr:row>
      <xdr:rowOff>95250</xdr:rowOff>
    </xdr:to>
    <xdr:sp macro="[0]!Menu"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76200" y="57150"/>
          <a:ext cx="1562100" cy="609600"/>
        </a:xfrm>
        <a:prstGeom prst="roundRect">
          <a:avLst/>
        </a:prstGeom>
        <a:gradFill flip="none" rotWithShape="1">
          <a:gsLst>
            <a:gs pos="11000">
              <a:srgbClr val="7C90AA">
                <a:lumMod val="0"/>
              </a:srgbClr>
            </a:gs>
            <a:gs pos="84000">
              <a:schemeClr val="tx2">
                <a:lumMod val="75000"/>
              </a:schemeClr>
            </a:gs>
            <a:gs pos="100000">
              <a:schemeClr val="accent1">
                <a:tint val="23500"/>
                <a:satMod val="160000"/>
              </a:schemeClr>
            </a:gs>
          </a:gsLst>
          <a:path path="circle">
            <a:fillToRect l="100000" t="100000"/>
          </a:path>
          <a:tileRect r="-100000" b="-100000"/>
        </a:gradFill>
        <a:effectLst>
          <a:glow rad="63500">
            <a:schemeClr val="accent1">
              <a:satMod val="175000"/>
              <a:alpha val="40000"/>
            </a:schemeClr>
          </a:glow>
          <a:reflection blurRad="6350" stA="52000" endA="300" endPos="35000" dir="5400000" sy="-100000" algn="bl" rotWithShape="0"/>
        </a:effectLst>
        <a:scene3d>
          <a:camera prst="perspectiveBelow"/>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latin typeface="Trebuchet MS" panose="020B0603020202020204" pitchFamily="34" charset="0"/>
            </a:rPr>
            <a:t>Menu</a:t>
          </a:r>
          <a:r>
            <a:rPr lang="pt-BR" sz="1400" baseline="0">
              <a:latin typeface="Trebuchet MS" panose="020B0603020202020204" pitchFamily="34" charset="0"/>
            </a:rPr>
            <a:t> Principal</a:t>
          </a:r>
          <a:endParaRPr lang="pt-BR" sz="1400">
            <a:latin typeface="Trebuchet MS" panose="020B0603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104775</xdr:colOff>
      <xdr:row>0</xdr:row>
      <xdr:rowOff>66675</xdr:rowOff>
    </xdr:from>
    <xdr:to>
      <xdr:col>2</xdr:col>
      <xdr:colOff>44450</xdr:colOff>
      <xdr:row>1</xdr:row>
      <xdr:rowOff>114300</xdr:rowOff>
    </xdr:to>
    <xdr:sp macro="[0]!LinkPS" textlink="">
      <xdr:nvSpPr>
        <xdr:cNvPr id="2" name="Retângulo de cantos arredondados 1">
          <a:extLst>
            <a:ext uri="{FF2B5EF4-FFF2-40B4-BE49-F238E27FC236}">
              <a16:creationId xmlns:a16="http://schemas.microsoft.com/office/drawing/2014/main" id="{00000000-0008-0000-0300-000002000000}"/>
            </a:ext>
          </a:extLst>
        </xdr:cNvPr>
        <xdr:cNvSpPr/>
      </xdr:nvSpPr>
      <xdr:spPr>
        <a:xfrm>
          <a:off x="104775"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CASOS</a:t>
          </a:r>
          <a:r>
            <a:rPr lang="pt-BR" sz="1400" baseline="0">
              <a:solidFill>
                <a:schemeClr val="lt1"/>
              </a:solidFill>
              <a:latin typeface="+mn-lt"/>
              <a:ea typeface="+mn-ea"/>
              <a:cs typeface="+mn-cs"/>
            </a:rPr>
            <a:t> PRINTERS</a:t>
          </a:r>
          <a:endParaRPr lang="pt-BR" sz="1400">
            <a:solidFill>
              <a:schemeClr val="lt1"/>
            </a:solidFill>
            <a:latin typeface="+mn-lt"/>
            <a:ea typeface="+mn-ea"/>
            <a:cs typeface="+mn-cs"/>
          </a:endParaRPr>
        </a:p>
      </xdr:txBody>
    </xdr:sp>
    <xdr:clientData/>
  </xdr:twoCellAnchor>
  <xdr:twoCellAnchor editAs="absolute">
    <xdr:from>
      <xdr:col>2</xdr:col>
      <xdr:colOff>139700</xdr:colOff>
      <xdr:row>0</xdr:row>
      <xdr:rowOff>47625</xdr:rowOff>
    </xdr:from>
    <xdr:to>
      <xdr:col>3</xdr:col>
      <xdr:colOff>337608</xdr:colOff>
      <xdr:row>1</xdr:row>
      <xdr:rowOff>142875</xdr:rowOff>
    </xdr:to>
    <xdr:sp macro="[0]!Menu" textlink="">
      <xdr:nvSpPr>
        <xdr:cNvPr id="5" name="Retângulo de cantos arredondados 4">
          <a:extLst>
            <a:ext uri="{FF2B5EF4-FFF2-40B4-BE49-F238E27FC236}">
              <a16:creationId xmlns:a16="http://schemas.microsoft.com/office/drawing/2014/main" id="{00000000-0008-0000-0300-000005000000}"/>
            </a:ext>
          </a:extLst>
        </xdr:cNvPr>
        <xdr:cNvSpPr/>
      </xdr:nvSpPr>
      <xdr:spPr>
        <a:xfrm>
          <a:off x="1838325" y="47625"/>
          <a:ext cx="1638300" cy="2857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1400">
              <a:solidFill>
                <a:schemeClr val="lt1"/>
              </a:solidFill>
              <a:latin typeface="+mn-lt"/>
              <a:ea typeface="+mn-ea"/>
              <a:cs typeface="+mn-cs"/>
            </a:rPr>
            <a:t>MENU PRINCIPAL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95250</xdr:colOff>
      <xdr:row>0</xdr:row>
      <xdr:rowOff>66675</xdr:rowOff>
    </xdr:from>
    <xdr:to>
      <xdr:col>1</xdr:col>
      <xdr:colOff>923925</xdr:colOff>
      <xdr:row>1</xdr:row>
      <xdr:rowOff>114300</xdr:rowOff>
    </xdr:to>
    <xdr:sp macro="[0]!Menu" textlink="">
      <xdr:nvSpPr>
        <xdr:cNvPr id="2" name="Retângulo de cantos arredondados 1">
          <a:extLst>
            <a:ext uri="{FF2B5EF4-FFF2-40B4-BE49-F238E27FC236}">
              <a16:creationId xmlns:a16="http://schemas.microsoft.com/office/drawing/2014/main" id="{00000000-0008-0000-0400-000002000000}"/>
            </a:ext>
          </a:extLst>
        </xdr:cNvPr>
        <xdr:cNvSpPr/>
      </xdr:nvSpPr>
      <xdr:spPr>
        <a:xfrm>
          <a:off x="95250" y="66675"/>
          <a:ext cx="1638300" cy="238125"/>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MENU PRINCIPAL</a:t>
          </a:r>
        </a:p>
      </xdr:txBody>
    </xdr:sp>
    <xdr:clientData/>
  </xdr:twoCellAnchor>
  <xdr:twoCellAnchor editAs="absolute">
    <xdr:from>
      <xdr:col>0</xdr:col>
      <xdr:colOff>609599</xdr:colOff>
      <xdr:row>0</xdr:row>
      <xdr:rowOff>57151</xdr:rowOff>
    </xdr:from>
    <xdr:to>
      <xdr:col>0</xdr:col>
      <xdr:colOff>609600</xdr:colOff>
      <xdr:row>1</xdr:row>
      <xdr:rowOff>114301</xdr:rowOff>
    </xdr:to>
    <xdr:sp macro="[0]!ViraramPesquisas" textlink="">
      <xdr:nvSpPr>
        <xdr:cNvPr id="3" name="Retângulo de cantos arredondados 2">
          <a:extLst>
            <a:ext uri="{FF2B5EF4-FFF2-40B4-BE49-F238E27FC236}">
              <a16:creationId xmlns:a16="http://schemas.microsoft.com/office/drawing/2014/main" id="{00000000-0008-0000-0400-000003000000}"/>
            </a:ext>
          </a:extLst>
        </xdr:cNvPr>
        <xdr:cNvSpPr/>
      </xdr:nvSpPr>
      <xdr:spPr>
        <a:xfrm>
          <a:off x="2285999" y="57151"/>
          <a:ext cx="2800351" cy="24765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twoCellAnchor editAs="absolute">
    <xdr:from>
      <xdr:col>2</xdr:col>
      <xdr:colOff>66675</xdr:colOff>
      <xdr:row>0</xdr:row>
      <xdr:rowOff>57150</xdr:rowOff>
    </xdr:from>
    <xdr:to>
      <xdr:col>4</xdr:col>
      <xdr:colOff>352426</xdr:colOff>
      <xdr:row>1</xdr:row>
      <xdr:rowOff>133350</xdr:rowOff>
    </xdr:to>
    <xdr:sp macro="[0]!ViraramPesquisas" textlink="">
      <xdr:nvSpPr>
        <xdr:cNvPr id="4" name="Retângulo de cantos arredondados 2">
          <a:extLst>
            <a:ext uri="{FF2B5EF4-FFF2-40B4-BE49-F238E27FC236}">
              <a16:creationId xmlns:a16="http://schemas.microsoft.com/office/drawing/2014/main" id="{00000000-0008-0000-0400-000004000000}"/>
            </a:ext>
          </a:extLst>
        </xdr:cNvPr>
        <xdr:cNvSpPr/>
      </xdr:nvSpPr>
      <xdr:spPr>
        <a:xfrm>
          <a:off x="1809750" y="57150"/>
          <a:ext cx="2800351" cy="266700"/>
        </a:xfrm>
        <a:prstGeom prst="roundRect">
          <a:avLst/>
        </a:prstGeom>
        <a:solidFill>
          <a:schemeClr val="tx1"/>
        </a:solidFill>
        <a:ln>
          <a:noFill/>
        </a:ln>
        <a:effectLst/>
        <a:scene3d>
          <a:camera prst="orthographicFront"/>
          <a:lightRig rig="threePt" dir="t">
            <a:rot lat="0" lon="0" rev="0"/>
          </a:lightRig>
        </a:scene3d>
        <a:sp3d extrusionH="139700" prstMaterial="meta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CASOS</a:t>
          </a:r>
          <a:r>
            <a:rPr lang="pt-BR" sz="1400" baseline="0"/>
            <a:t> QUE VIRARAM PESQUISAS</a:t>
          </a:r>
          <a:endParaRPr lang="pt-BR" sz="140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13</xdr:col>
      <xdr:colOff>190501</xdr:colOff>
      <xdr:row>1</xdr:row>
      <xdr:rowOff>66675</xdr:rowOff>
    </xdr:from>
    <xdr:ext cx="533400" cy="400050"/>
    <xdr:sp macro="[0]!FecharLog" textlink="">
      <xdr:nvSpPr>
        <xdr:cNvPr id="3" name="Seta em curva para a esquerda 2">
          <a:extLst>
            <a:ext uri="{FF2B5EF4-FFF2-40B4-BE49-F238E27FC236}">
              <a16:creationId xmlns:a16="http://schemas.microsoft.com/office/drawing/2014/main" id="{00000000-0008-0000-0500-000003000000}"/>
            </a:ext>
          </a:extLst>
        </xdr:cNvPr>
        <xdr:cNvSpPr/>
      </xdr:nvSpPr>
      <xdr:spPr>
        <a:xfrm>
          <a:off x="14058901" y="257175"/>
          <a:ext cx="533400" cy="400050"/>
        </a:xfrm>
        <a:prstGeom prst="curvedLeftArrow">
          <a:avLst>
            <a:gd name="adj1" fmla="val 25000"/>
            <a:gd name="adj2" fmla="val 41635"/>
            <a:gd name="adj3" fmla="val 25000"/>
          </a:avLst>
        </a:prstGeom>
        <a:effectLst>
          <a:glow rad="63500">
            <a:schemeClr val="accent1">
              <a:satMod val="175000"/>
              <a:alpha val="40000"/>
            </a:schemeClr>
          </a:glow>
          <a:outerShdw blurRad="50800" dist="38100" dir="5400000" algn="t" rotWithShape="0">
            <a:prstClr val="black">
              <a:alpha val="4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66.108.10\users\Public\Documents\Equipe%20Callback\PSG\Casos%20PSG%20-%20Janei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heetName val="Mapa"/>
      <sheetName val="Orc"/>
      <sheetName val="Tratativas"/>
      <sheetName val="PL"/>
      <sheetName val="Plan1"/>
      <sheetName val="Plan2"/>
      <sheetName val="Plan3"/>
      <sheetName val="Plan4"/>
      <sheetName val="Plan5"/>
    </sheetNames>
    <sheetDataSet>
      <sheetData sheetId="0" refreshError="1"/>
      <sheetData sheetId="1">
        <row r="1">
          <cell r="A1" t="str">
            <v>BPID</v>
          </cell>
          <cell r="B1" t="str">
            <v>Name</v>
          </cell>
          <cell r="C1" t="str">
            <v>Leader</v>
          </cell>
          <cell r="D1" t="str">
            <v>Skill</v>
          </cell>
        </row>
        <row r="2">
          <cell r="A2" t="str">
            <v>P3579712</v>
          </cell>
          <cell r="B2" t="str">
            <v>Raphael Pereira Stahlschmidt</v>
          </cell>
          <cell r="C2" t="str">
            <v>Diego Guimaraes Rosa</v>
          </cell>
          <cell r="D2" t="str">
            <v>BCD</v>
          </cell>
        </row>
        <row r="3">
          <cell r="A3" t="str">
            <v>P3518751</v>
          </cell>
          <cell r="B3" t="str">
            <v>Vanessa De Oliveira Bassi</v>
          </cell>
          <cell r="C3" t="str">
            <v>Diego Guimaraes Rosa</v>
          </cell>
          <cell r="D3" t="str">
            <v>BCD</v>
          </cell>
        </row>
        <row r="4">
          <cell r="A4" t="str">
            <v>P1004641</v>
          </cell>
          <cell r="B4" t="str">
            <v>Danilo Santiago De Freitas</v>
          </cell>
          <cell r="C4" t="str">
            <v>Diego Guimaraes Rosa</v>
          </cell>
          <cell r="D4" t="str">
            <v>BCD</v>
          </cell>
        </row>
        <row r="5">
          <cell r="A5" t="str">
            <v>P3857407</v>
          </cell>
          <cell r="B5" t="str">
            <v>Lilian Felix</v>
          </cell>
          <cell r="C5" t="str">
            <v>Diego Guimaraes Rosa</v>
          </cell>
          <cell r="D5" t="str">
            <v>BCD</v>
          </cell>
        </row>
        <row r="6">
          <cell r="A6" t="str">
            <v>P1212986</v>
          </cell>
          <cell r="B6" t="str">
            <v>Nicodemos Loureiro</v>
          </cell>
          <cell r="C6" t="str">
            <v>Diego Guimaraes Rosa</v>
          </cell>
          <cell r="D6" t="str">
            <v>BCD</v>
          </cell>
        </row>
        <row r="7">
          <cell r="A7" t="str">
            <v>P2214258</v>
          </cell>
          <cell r="B7" t="str">
            <v>Rafael Ferreira Butinhao</v>
          </cell>
          <cell r="C7" t="str">
            <v>Maria Cristina de Assis Marques</v>
          </cell>
          <cell r="D7" t="str">
            <v>ECR</v>
          </cell>
        </row>
        <row r="8">
          <cell r="A8" t="str">
            <v>P1500031</v>
          </cell>
          <cell r="B8" t="str">
            <v>Flavia Helena Teixeira Joaquim</v>
          </cell>
          <cell r="C8" t="str">
            <v>Maria Cristina de Assis Marques</v>
          </cell>
          <cell r="D8" t="str">
            <v>ECR</v>
          </cell>
        </row>
        <row r="9">
          <cell r="A9" t="str">
            <v>P2174521</v>
          </cell>
          <cell r="B9" t="str">
            <v>Jennifer Cristina Vieira Do Amaral</v>
          </cell>
          <cell r="C9" t="str">
            <v>Maria Cristina de Assis Marques</v>
          </cell>
          <cell r="D9" t="str">
            <v>ECR</v>
          </cell>
        </row>
        <row r="10">
          <cell r="A10" t="str">
            <v>P0859034</v>
          </cell>
          <cell r="B10" t="str">
            <v>Mariana Irene Fialho Juvino</v>
          </cell>
          <cell r="C10" t="str">
            <v>Maria Cristina de Assis Marques</v>
          </cell>
          <cell r="D10" t="str">
            <v>ECR</v>
          </cell>
        </row>
        <row r="11">
          <cell r="A11" t="str">
            <v>P5641580</v>
          </cell>
          <cell r="B11" t="str">
            <v>Andreia Agnes Campell Gino</v>
          </cell>
          <cell r="C11" t="str">
            <v>Maria Cristina de Assis Marques</v>
          </cell>
          <cell r="D11" t="str">
            <v>ECR</v>
          </cell>
        </row>
        <row r="12">
          <cell r="A12" t="str">
            <v>P8062621</v>
          </cell>
          <cell r="B12" t="str">
            <v>Geisla da Paz Catharino</v>
          </cell>
          <cell r="C12" t="str">
            <v>Maria Cristina de Assis Marques</v>
          </cell>
          <cell r="D12" t="str">
            <v>ECR</v>
          </cell>
        </row>
        <row r="13">
          <cell r="A13" t="str">
            <v>P3226453</v>
          </cell>
          <cell r="B13" t="str">
            <v>Vinicius De Sousa Brandao</v>
          </cell>
          <cell r="C13" t="str">
            <v>Maria Cristina de Assis Marques</v>
          </cell>
          <cell r="D13" t="str">
            <v>ECR</v>
          </cell>
        </row>
        <row r="14">
          <cell r="A14" t="str">
            <v>P6430846</v>
          </cell>
          <cell r="B14" t="str">
            <v>Gabriel Santos Do Carmo</v>
          </cell>
          <cell r="C14" t="str">
            <v>Maria Cristina de Assis Marques</v>
          </cell>
          <cell r="D14" t="str">
            <v>ECR</v>
          </cell>
        </row>
        <row r="15">
          <cell r="A15" t="str">
            <v>P6853347</v>
          </cell>
          <cell r="B15" t="str">
            <v>Diego Rodrigues Gonzales</v>
          </cell>
          <cell r="C15" t="str">
            <v>Maria Cristina de Assis Marques</v>
          </cell>
          <cell r="D15" t="str">
            <v>ECR</v>
          </cell>
        </row>
        <row r="16">
          <cell r="A16" t="str">
            <v>P4273347</v>
          </cell>
          <cell r="B16" t="str">
            <v>Milena Ferreira Da Silva</v>
          </cell>
          <cell r="C16" t="str">
            <v>Maria Cristina de Assis Marques</v>
          </cell>
          <cell r="D16" t="str">
            <v>ECR</v>
          </cell>
        </row>
        <row r="17">
          <cell r="A17" t="str">
            <v>P3394883</v>
          </cell>
          <cell r="B17" t="str">
            <v>Fernanda Silva Nascimento</v>
          </cell>
          <cell r="C17" t="str">
            <v>Maria Cristina de Assis Marques</v>
          </cell>
          <cell r="D17" t="str">
            <v>ECR</v>
          </cell>
        </row>
        <row r="18">
          <cell r="A18" t="str">
            <v>P7398291</v>
          </cell>
          <cell r="B18" t="str">
            <v>Ramon Dos Santos Lima</v>
          </cell>
          <cell r="C18" t="str">
            <v>Maria Cristina de Assis Marques</v>
          </cell>
          <cell r="D18" t="str">
            <v>ECR</v>
          </cell>
        </row>
        <row r="19">
          <cell r="A19" t="str">
            <v>P5092674</v>
          </cell>
          <cell r="B19" t="str">
            <v>Vinicius Carvalho Perez</v>
          </cell>
          <cell r="C19" t="str">
            <v>Diego Guimaraes Rosa</v>
          </cell>
          <cell r="D19" t="str">
            <v>FUPO</v>
          </cell>
        </row>
        <row r="20">
          <cell r="A20" t="str">
            <v>P1103391</v>
          </cell>
          <cell r="B20" t="str">
            <v>Tiago Giatti De Sousa</v>
          </cell>
          <cell r="C20" t="str">
            <v>Diego Guimaraes Rosa</v>
          </cell>
          <cell r="D20" t="str">
            <v>FUPO</v>
          </cell>
        </row>
        <row r="21">
          <cell r="A21" t="str">
            <v>P0995052</v>
          </cell>
          <cell r="B21" t="str">
            <v>Beatriz Botelho Vargas</v>
          </cell>
          <cell r="C21" t="str">
            <v>Diego Guimaraes Rosa</v>
          </cell>
          <cell r="D21" t="str">
            <v>FUPO</v>
          </cell>
        </row>
        <row r="22">
          <cell r="A22" t="str">
            <v>P8212943</v>
          </cell>
          <cell r="B22" t="str">
            <v>Davi Teodoro de Jesus</v>
          </cell>
          <cell r="C22" t="str">
            <v>Diego Guimaraes Rosa</v>
          </cell>
          <cell r="D22" t="str">
            <v>FUPO</v>
          </cell>
        </row>
        <row r="23">
          <cell r="A23" t="str">
            <v>P5668493</v>
          </cell>
          <cell r="B23" t="str">
            <v>Carlos Alexandre Da Silva</v>
          </cell>
          <cell r="C23" t="str">
            <v>Diego Guimaraes Rosa</v>
          </cell>
          <cell r="D23" t="str">
            <v>FUPO</v>
          </cell>
        </row>
        <row r="24">
          <cell r="A24" t="str">
            <v>P0776152</v>
          </cell>
          <cell r="B24" t="str">
            <v>Carlos Henrique De Lima</v>
          </cell>
          <cell r="C24" t="str">
            <v>Diego Guimaraes Rosa</v>
          </cell>
          <cell r="D24" t="str">
            <v>FUPO SMS</v>
          </cell>
        </row>
        <row r="25">
          <cell r="A25" t="str">
            <v>P2186142</v>
          </cell>
          <cell r="B25" t="str">
            <v>Leandro Querino Nunes</v>
          </cell>
          <cell r="C25" t="str">
            <v>Diego Guimaraes Rosa</v>
          </cell>
          <cell r="D25" t="str">
            <v>FUPO SMS</v>
          </cell>
        </row>
        <row r="26">
          <cell r="A26" t="str">
            <v>P2789154</v>
          </cell>
          <cell r="B26" t="str">
            <v>Ivanildo Cavalcante De Souza Junior</v>
          </cell>
          <cell r="C26" t="str">
            <v>Jefte Soares Da Silva</v>
          </cell>
          <cell r="D26" t="str">
            <v>FUPOTECH</v>
          </cell>
        </row>
        <row r="27">
          <cell r="A27" t="str">
            <v>P0944884</v>
          </cell>
          <cell r="B27" t="str">
            <v>Wesley do Nascimento Albuquerque da S</v>
          </cell>
          <cell r="C27" t="str">
            <v>Reginaldo Santana De Souza</v>
          </cell>
          <cell r="D27" t="str">
            <v>FUPOTECH</v>
          </cell>
        </row>
        <row r="28">
          <cell r="A28" t="str">
            <v>P1152966</v>
          </cell>
          <cell r="B28" t="str">
            <v>Tiago Ferreira da Silva</v>
          </cell>
          <cell r="C28" t="str">
            <v>Daniela Andrade Silva</v>
          </cell>
          <cell r="D28" t="str">
            <v>FUPOTECH</v>
          </cell>
        </row>
        <row r="29">
          <cell r="A29" t="str">
            <v>P3229330</v>
          </cell>
          <cell r="B29" t="str">
            <v>Taina Alexsander Fernandes Pires</v>
          </cell>
          <cell r="C29" t="str">
            <v>Vinicius Loula De Sousa</v>
          </cell>
          <cell r="D29" t="str">
            <v>FUPOTECH</v>
          </cell>
        </row>
        <row r="30">
          <cell r="A30" t="str">
            <v>P5973917</v>
          </cell>
          <cell r="B30" t="str">
            <v>Fernando Souza De Almeida</v>
          </cell>
          <cell r="C30" t="str">
            <v>Marcelo Dos Santos Mesquita Melo</v>
          </cell>
          <cell r="D30" t="str">
            <v>FUPOTECH</v>
          </cell>
        </row>
        <row r="31">
          <cell r="A31" t="str">
            <v>P5956452</v>
          </cell>
          <cell r="B31" t="str">
            <v>Vanderlei Valentim Vieira</v>
          </cell>
          <cell r="C31" t="str">
            <v>Vinicius Loula De Sousa</v>
          </cell>
          <cell r="D31" t="str">
            <v>FUPOTECH</v>
          </cell>
        </row>
        <row r="32">
          <cell r="A32" t="str">
            <v>P0648935</v>
          </cell>
          <cell r="B32" t="str">
            <v>Matheus Cardoso Silva</v>
          </cell>
          <cell r="C32" t="str">
            <v>Jefte Soares Da Silva</v>
          </cell>
          <cell r="D32" t="str">
            <v>IPG</v>
          </cell>
        </row>
        <row r="33">
          <cell r="A33" t="str">
            <v>P3677883</v>
          </cell>
          <cell r="B33" t="str">
            <v>Lais Silva Pereira</v>
          </cell>
          <cell r="C33" t="str">
            <v>Jefte Soares Da Silva</v>
          </cell>
          <cell r="D33" t="str">
            <v>IPG</v>
          </cell>
        </row>
        <row r="34">
          <cell r="A34" t="str">
            <v>P4239658</v>
          </cell>
          <cell r="B34" t="str">
            <v>Luciana Souza Pereira</v>
          </cell>
          <cell r="C34" t="str">
            <v>Jefte Soares Da Silva</v>
          </cell>
          <cell r="D34" t="str">
            <v>IPG</v>
          </cell>
        </row>
        <row r="35">
          <cell r="A35" t="str">
            <v>P3746576</v>
          </cell>
          <cell r="B35" t="str">
            <v>Wendrey Schumaher Lara</v>
          </cell>
          <cell r="C35" t="str">
            <v>Jefte Soares Da Silva</v>
          </cell>
          <cell r="D35" t="str">
            <v>IPG</v>
          </cell>
        </row>
        <row r="36">
          <cell r="A36" t="str">
            <v>P1045411</v>
          </cell>
          <cell r="B36" t="str">
            <v>Jesse Prates Martins</v>
          </cell>
          <cell r="C36" t="str">
            <v>Jefte Soares Da Silva</v>
          </cell>
          <cell r="D36" t="str">
            <v>IPG</v>
          </cell>
        </row>
        <row r="37">
          <cell r="A37" t="str">
            <v>P4759646</v>
          </cell>
          <cell r="B37" t="str">
            <v>Caroline Amparo Nunes</v>
          </cell>
          <cell r="C37" t="str">
            <v>Jefte Soares Da Silva</v>
          </cell>
          <cell r="D37" t="str">
            <v>IPG</v>
          </cell>
        </row>
        <row r="38">
          <cell r="A38" t="str">
            <v>P6526289</v>
          </cell>
          <cell r="B38" t="str">
            <v>Denyse Souza Santos</v>
          </cell>
          <cell r="C38" t="str">
            <v>Jefte Soares Da Silva</v>
          </cell>
          <cell r="D38" t="str">
            <v>IPG</v>
          </cell>
        </row>
        <row r="39">
          <cell r="A39" t="str">
            <v>P6547588</v>
          </cell>
          <cell r="B39" t="str">
            <v>Natasha Julia de Paulo</v>
          </cell>
          <cell r="C39" t="str">
            <v>Reginaldo Santana De Souza</v>
          </cell>
          <cell r="D39" t="str">
            <v>IPG</v>
          </cell>
        </row>
        <row r="40">
          <cell r="A40" t="str">
            <v>P6159246</v>
          </cell>
          <cell r="B40" t="str">
            <v>Mateus Daniel Amaral Silva</v>
          </cell>
          <cell r="C40" t="str">
            <v>Reginaldo Santana De Souza</v>
          </cell>
          <cell r="D40" t="str">
            <v>IPG</v>
          </cell>
        </row>
        <row r="41">
          <cell r="A41" t="str">
            <v>P2781169</v>
          </cell>
          <cell r="B41" t="str">
            <v>Edilson Nunes De Souza</v>
          </cell>
          <cell r="C41" t="str">
            <v>Jefte Soares Da Silva</v>
          </cell>
          <cell r="D41" t="str">
            <v>IPG</v>
          </cell>
        </row>
        <row r="42">
          <cell r="A42" t="str">
            <v>P1083823</v>
          </cell>
          <cell r="B42" t="str">
            <v>Joao Paulo Yasuda</v>
          </cell>
          <cell r="C42" t="str">
            <v>Reginaldo Santana De Souza</v>
          </cell>
          <cell r="D42" t="str">
            <v>IPG</v>
          </cell>
        </row>
        <row r="43">
          <cell r="A43" t="str">
            <v>P8230241</v>
          </cell>
          <cell r="B43" t="str">
            <v>Thiago Souza Herraez</v>
          </cell>
          <cell r="C43" t="str">
            <v>Reginaldo Santana De Souza</v>
          </cell>
          <cell r="D43" t="str">
            <v>IPG</v>
          </cell>
        </row>
        <row r="44">
          <cell r="A44" t="str">
            <v>P1643405</v>
          </cell>
          <cell r="B44" t="str">
            <v>Luiz Fernando dos Santos Ferreira</v>
          </cell>
          <cell r="C44" t="str">
            <v>Jefte Soares Da Silva</v>
          </cell>
          <cell r="D44" t="str">
            <v>IPG</v>
          </cell>
        </row>
        <row r="45">
          <cell r="A45" t="str">
            <v>P5907259</v>
          </cell>
          <cell r="B45" t="str">
            <v>Jonatas Gomes Tenorio</v>
          </cell>
          <cell r="C45" t="str">
            <v>Jefte Soares Da Silva</v>
          </cell>
          <cell r="D45" t="str">
            <v>IPG</v>
          </cell>
        </row>
        <row r="46">
          <cell r="A46" t="str">
            <v>P6568265</v>
          </cell>
          <cell r="B46" t="str">
            <v>Henrique Eulalio De Sousa</v>
          </cell>
          <cell r="C46" t="str">
            <v>Jefte Soares Da Silva</v>
          </cell>
          <cell r="D46" t="str">
            <v>IPG</v>
          </cell>
        </row>
        <row r="47">
          <cell r="A47" t="str">
            <v>P6034761</v>
          </cell>
          <cell r="B47" t="str">
            <v>Vinicius Ferreira Gomes</v>
          </cell>
          <cell r="C47" t="str">
            <v>Jefte Soares Da Silva</v>
          </cell>
          <cell r="D47" t="str">
            <v>IPG</v>
          </cell>
        </row>
        <row r="48">
          <cell r="A48" t="str">
            <v>P2108790</v>
          </cell>
          <cell r="B48" t="str">
            <v>Daniel Dantas De Oliveira</v>
          </cell>
          <cell r="C48" t="str">
            <v>Reginaldo Santana De Souza</v>
          </cell>
          <cell r="D48" t="str">
            <v>IPG</v>
          </cell>
        </row>
        <row r="49">
          <cell r="A49" t="str">
            <v>P4460230</v>
          </cell>
          <cell r="B49" t="str">
            <v>Vinicius Marques Ferreira Silva</v>
          </cell>
          <cell r="C49" t="str">
            <v>Jefte Soares Da Silva</v>
          </cell>
          <cell r="D49" t="str">
            <v>IPG</v>
          </cell>
        </row>
        <row r="50">
          <cell r="A50" t="str">
            <v>P5776112</v>
          </cell>
          <cell r="B50" t="str">
            <v>Paul Ever Honores Maida</v>
          </cell>
          <cell r="C50" t="str">
            <v>Jefte Soares Da Silva</v>
          </cell>
          <cell r="D50" t="str">
            <v>IPG</v>
          </cell>
        </row>
        <row r="51">
          <cell r="A51" t="str">
            <v>P2728681</v>
          </cell>
          <cell r="B51" t="str">
            <v>Zaelly Suerfia Ferreira da Costa</v>
          </cell>
          <cell r="C51" t="str">
            <v>Jefte Soares Da Silva</v>
          </cell>
          <cell r="D51" t="str">
            <v>IPG</v>
          </cell>
        </row>
        <row r="52">
          <cell r="A52" t="str">
            <v>P4567186</v>
          </cell>
          <cell r="B52" t="str">
            <v>Francisco De Assis Devides</v>
          </cell>
          <cell r="C52" t="str">
            <v>Jefte Soares Da Silva</v>
          </cell>
          <cell r="D52" t="str">
            <v>IPG</v>
          </cell>
        </row>
        <row r="53">
          <cell r="A53" t="str">
            <v>P2369653</v>
          </cell>
          <cell r="B53" t="str">
            <v>Elisangela Rodrigues De Oliveira</v>
          </cell>
          <cell r="C53" t="str">
            <v>Marcelo Dos Santos Mesquita Melo</v>
          </cell>
          <cell r="D53" t="str">
            <v>IPG</v>
          </cell>
        </row>
        <row r="54">
          <cell r="A54" t="str">
            <v>P2475434</v>
          </cell>
          <cell r="B54" t="str">
            <v>Jean Carlos Gomes Carrara</v>
          </cell>
          <cell r="C54" t="str">
            <v>Marcelo Dos Santos Mesquita Melo</v>
          </cell>
          <cell r="D54" t="str">
            <v>IPG</v>
          </cell>
        </row>
        <row r="55">
          <cell r="A55" t="str">
            <v>P2848236</v>
          </cell>
          <cell r="B55" t="str">
            <v>Paulo Wueliton Horacio Fernandes</v>
          </cell>
          <cell r="C55" t="str">
            <v>Reginaldo Santana De Souza</v>
          </cell>
          <cell r="D55" t="str">
            <v>IPG</v>
          </cell>
        </row>
        <row r="56">
          <cell r="A56" t="str">
            <v>P4328875</v>
          </cell>
          <cell r="B56" t="str">
            <v>Adelson Marcos Rodrigues Moreira</v>
          </cell>
          <cell r="C56" t="str">
            <v>Vinicius Loula De Sousa</v>
          </cell>
          <cell r="D56" t="str">
            <v>IPG</v>
          </cell>
        </row>
        <row r="57">
          <cell r="A57" t="str">
            <v>P5927755</v>
          </cell>
          <cell r="B57" t="str">
            <v>Rosangela Cosmo De Souza</v>
          </cell>
          <cell r="C57" t="str">
            <v>Vinicius Loula De Sousa</v>
          </cell>
          <cell r="D57" t="str">
            <v>IPG</v>
          </cell>
        </row>
        <row r="58">
          <cell r="A58" t="str">
            <v>P5364269</v>
          </cell>
          <cell r="B58" t="str">
            <v>Odonilton Firmino de Moura</v>
          </cell>
          <cell r="C58" t="str">
            <v>Vinicius Loula De Sousa</v>
          </cell>
          <cell r="D58" t="str">
            <v>IPG</v>
          </cell>
        </row>
        <row r="59">
          <cell r="A59" t="str">
            <v>P0638092</v>
          </cell>
          <cell r="B59" t="str">
            <v>Janio Vinicius Inacio Custodio</v>
          </cell>
          <cell r="C59" t="str">
            <v>Vinicius Loula De Sousa</v>
          </cell>
          <cell r="D59" t="str">
            <v>IPG</v>
          </cell>
        </row>
        <row r="60">
          <cell r="A60" t="str">
            <v>P4359210</v>
          </cell>
          <cell r="B60" t="str">
            <v>Bruno Romualdo Dos Santos</v>
          </cell>
          <cell r="C60" t="str">
            <v>Vinicius Loula De Sousa</v>
          </cell>
          <cell r="D60" t="str">
            <v>IPG</v>
          </cell>
        </row>
        <row r="61">
          <cell r="A61" t="str">
            <v>P7972394</v>
          </cell>
          <cell r="B61" t="str">
            <v>Caio Eiji Arai</v>
          </cell>
          <cell r="C61" t="str">
            <v>Vinicius Loula De Sousa</v>
          </cell>
          <cell r="D61" t="str">
            <v>IPG</v>
          </cell>
        </row>
        <row r="62">
          <cell r="A62" t="str">
            <v>P5444277</v>
          </cell>
          <cell r="B62" t="str">
            <v>Thiago Santos Amaral</v>
          </cell>
          <cell r="C62" t="str">
            <v>Vinicius Loula De Sousa</v>
          </cell>
          <cell r="D62" t="str">
            <v>IPG</v>
          </cell>
        </row>
        <row r="63">
          <cell r="A63" t="str">
            <v>P7213506</v>
          </cell>
          <cell r="B63" t="str">
            <v>Alexandre Martins Martinez</v>
          </cell>
          <cell r="C63" t="str">
            <v>Vinicius Loula De Sousa</v>
          </cell>
          <cell r="D63" t="str">
            <v>IPG</v>
          </cell>
        </row>
        <row r="64">
          <cell r="A64" t="str">
            <v>P6414582</v>
          </cell>
          <cell r="B64" t="str">
            <v>Bruno Henrique Santos Da Silva</v>
          </cell>
          <cell r="C64" t="str">
            <v>Vinicius Loula De Sousa</v>
          </cell>
          <cell r="D64" t="str">
            <v>IPG</v>
          </cell>
        </row>
        <row r="65">
          <cell r="A65" t="str">
            <v>P2301326</v>
          </cell>
          <cell r="B65" t="str">
            <v>Kaio Victor de Santana</v>
          </cell>
          <cell r="C65" t="str">
            <v>Vinicius Loula De Sousa</v>
          </cell>
          <cell r="D65" t="str">
            <v>IPG</v>
          </cell>
        </row>
        <row r="66">
          <cell r="A66" t="str">
            <v>P3194960</v>
          </cell>
          <cell r="B66" t="str">
            <v>Reginaldo de Araujo Rosario</v>
          </cell>
          <cell r="C66" t="str">
            <v>Vinicius Loula De Sousa</v>
          </cell>
          <cell r="D66" t="str">
            <v>IPG</v>
          </cell>
        </row>
        <row r="67">
          <cell r="A67" t="str">
            <v>P3390194</v>
          </cell>
          <cell r="B67" t="str">
            <v xml:space="preserve">Leandro Ferreira Batista </v>
          </cell>
          <cell r="C67" t="str">
            <v>Vinicius Loula De Sousa</v>
          </cell>
          <cell r="D67" t="str">
            <v>IPG</v>
          </cell>
        </row>
        <row r="68">
          <cell r="A68" t="str">
            <v>P0785805</v>
          </cell>
          <cell r="B68" t="str">
            <v>Priscila Teixeira Nedealcov</v>
          </cell>
          <cell r="C68" t="str">
            <v>Marcelo Dos Santos Mesquita Melo</v>
          </cell>
          <cell r="D68" t="str">
            <v>IPG</v>
          </cell>
        </row>
        <row r="69">
          <cell r="A69" t="str">
            <v>P2835631</v>
          </cell>
          <cell r="B69" t="str">
            <v>Victor Arruda Do Carmo</v>
          </cell>
          <cell r="C69" t="str">
            <v>Vinicius Loula De Sousa</v>
          </cell>
          <cell r="D69" t="str">
            <v>IPG</v>
          </cell>
        </row>
        <row r="70">
          <cell r="A70" t="str">
            <v>P3266513</v>
          </cell>
          <cell r="B70" t="str">
            <v>Thiago Maciel Lima</v>
          </cell>
          <cell r="C70" t="str">
            <v>Vinicius Loula De Sousa</v>
          </cell>
          <cell r="D70" t="str">
            <v>IPG</v>
          </cell>
        </row>
        <row r="71">
          <cell r="A71" t="str">
            <v>P7658372</v>
          </cell>
          <cell r="B71" t="str">
            <v>David Quirino de Melo</v>
          </cell>
          <cell r="C71" t="str">
            <v>Vinicius Loula De Sousa</v>
          </cell>
          <cell r="D71" t="str">
            <v>IPG</v>
          </cell>
        </row>
        <row r="72">
          <cell r="A72" t="str">
            <v>P2424066</v>
          </cell>
          <cell r="B72" t="str">
            <v>Douglas Fonseca Da Silva</v>
          </cell>
          <cell r="C72" t="str">
            <v>Vinicius Loula De Sousa</v>
          </cell>
          <cell r="D72" t="str">
            <v>IPG</v>
          </cell>
        </row>
        <row r="73">
          <cell r="A73" t="str">
            <v>P8022832</v>
          </cell>
          <cell r="B73" t="str">
            <v>Jose Dos Santos Souza Lima Junior</v>
          </cell>
          <cell r="C73" t="str">
            <v>Vinicius Loula De Sousa</v>
          </cell>
          <cell r="D73" t="str">
            <v>IPG</v>
          </cell>
        </row>
        <row r="74">
          <cell r="A74" t="str">
            <v>P0094489</v>
          </cell>
          <cell r="B74" t="str">
            <v>Renato Miranda Dos Santos</v>
          </cell>
          <cell r="C74" t="str">
            <v>Jefte Soares Da Silva</v>
          </cell>
          <cell r="D74" t="str">
            <v>Mentor</v>
          </cell>
        </row>
        <row r="75">
          <cell r="A75" t="str">
            <v>P8125016</v>
          </cell>
          <cell r="B75" t="str">
            <v>Alan Diego Da Silva</v>
          </cell>
          <cell r="C75" t="str">
            <v>Maria Cristina de Assis Marques</v>
          </cell>
          <cell r="D75" t="str">
            <v>Mentor</v>
          </cell>
        </row>
        <row r="76">
          <cell r="A76" t="str">
            <v>P3581095</v>
          </cell>
          <cell r="B76" t="str">
            <v xml:space="preserve">Sergio Giunti Junior </v>
          </cell>
          <cell r="C76" t="str">
            <v>Reginaldo Santana De Souza</v>
          </cell>
          <cell r="D76" t="str">
            <v>Mentor</v>
          </cell>
        </row>
        <row r="77">
          <cell r="A77" t="str">
            <v>P2032096</v>
          </cell>
          <cell r="B77" t="str">
            <v>Dayane de Souza Ferreira</v>
          </cell>
          <cell r="C77" t="str">
            <v>Vinicius Loula De Sousa</v>
          </cell>
          <cell r="D77" t="str">
            <v>Mentor</v>
          </cell>
        </row>
        <row r="78">
          <cell r="A78" t="str">
            <v>P5477566</v>
          </cell>
          <cell r="B78" t="str">
            <v>Claudio Hideki Nakamura</v>
          </cell>
          <cell r="C78" t="str">
            <v>Marcelo Dos Santos Mesquita Melo</v>
          </cell>
          <cell r="D78" t="str">
            <v>Mentor</v>
          </cell>
        </row>
        <row r="79">
          <cell r="A79" t="str">
            <v>P0289742</v>
          </cell>
          <cell r="B79" t="str">
            <v>Jessika Aparecida Vieira Do Amaral</v>
          </cell>
          <cell r="C79" t="str">
            <v>Marcos Paulo da Silva Batista</v>
          </cell>
          <cell r="D79" t="str">
            <v>Mídia Social</v>
          </cell>
        </row>
        <row r="80">
          <cell r="A80" t="str">
            <v>P0677176</v>
          </cell>
          <cell r="B80" t="str">
            <v>Andressa Cristina Da Cruz Rosa</v>
          </cell>
          <cell r="C80" t="str">
            <v>Marcos Paulo da Silva Batista</v>
          </cell>
          <cell r="D80" t="str">
            <v>Mídia Social</v>
          </cell>
        </row>
        <row r="81">
          <cell r="A81" t="str">
            <v>P7117533</v>
          </cell>
          <cell r="B81" t="str">
            <v>Marivaldo Silva De Oliveira</v>
          </cell>
          <cell r="C81" t="str">
            <v>Marcos Paulo da Silva Batista</v>
          </cell>
          <cell r="D81" t="str">
            <v>Mídia Social</v>
          </cell>
        </row>
        <row r="82">
          <cell r="A82" t="str">
            <v>P1739203</v>
          </cell>
          <cell r="B82" t="str">
            <v>Valeria Amorim Dos Santos</v>
          </cell>
          <cell r="C82" t="str">
            <v>Maria Cristina de Assis Marques</v>
          </cell>
          <cell r="D82" t="str">
            <v>Mídia Social</v>
          </cell>
        </row>
        <row r="83">
          <cell r="A83" t="str">
            <v>P6593195</v>
          </cell>
          <cell r="B83" t="str">
            <v>Agatha Vieira Silva</v>
          </cell>
          <cell r="C83" t="str">
            <v>Marcos Paulo da Silva Batista</v>
          </cell>
          <cell r="D83" t="str">
            <v>Mídia Social</v>
          </cell>
        </row>
        <row r="84">
          <cell r="A84" t="str">
            <v>P1886262</v>
          </cell>
          <cell r="B84" t="str">
            <v>Renato Jose Miranda Monteiro</v>
          </cell>
          <cell r="C84" t="str">
            <v>Marcos Paulo da Silva Batista</v>
          </cell>
          <cell r="D84" t="str">
            <v>Mídia Social</v>
          </cell>
        </row>
        <row r="85">
          <cell r="A85" t="str">
            <v>P1332916</v>
          </cell>
          <cell r="B85" t="str">
            <v>Roseli Izabel Da Silva</v>
          </cell>
          <cell r="C85" t="str">
            <v>Marcos Paulo da Silva Batista</v>
          </cell>
          <cell r="D85" t="str">
            <v>Mídia Social</v>
          </cell>
        </row>
        <row r="86">
          <cell r="A86" t="str">
            <v>P0141830</v>
          </cell>
          <cell r="B86" t="str">
            <v>Artur Berteli De Figueiredo</v>
          </cell>
          <cell r="C86" t="str">
            <v>Marcos Paulo da Silva Batista</v>
          </cell>
          <cell r="D86" t="str">
            <v>Mídia Social</v>
          </cell>
        </row>
        <row r="87">
          <cell r="A87" t="str">
            <v>P7493805</v>
          </cell>
          <cell r="B87" t="str">
            <v>Rodolfo Barros De Araujo</v>
          </cell>
          <cell r="C87" t="str">
            <v>Marcos Paulo da Silva Batista</v>
          </cell>
          <cell r="D87" t="str">
            <v>Mídia Social</v>
          </cell>
        </row>
        <row r="88">
          <cell r="A88" t="str">
            <v>P0543876</v>
          </cell>
          <cell r="B88" t="str">
            <v>Erica Araujo</v>
          </cell>
          <cell r="C88" t="str">
            <v>Josue Cardoso De Oliveira</v>
          </cell>
          <cell r="D88" t="str">
            <v>Order Management</v>
          </cell>
        </row>
        <row r="89">
          <cell r="A89" t="str">
            <v>P7503636</v>
          </cell>
          <cell r="B89" t="str">
            <v>Kleber Santos Junior</v>
          </cell>
          <cell r="C89" t="str">
            <v>Josue Cardoso De Oliveira</v>
          </cell>
          <cell r="D89" t="str">
            <v>Order Management</v>
          </cell>
        </row>
        <row r="90">
          <cell r="A90" t="str">
            <v>P6549223</v>
          </cell>
          <cell r="B90" t="str">
            <v>Selma Maria Rodrigues</v>
          </cell>
          <cell r="C90" t="str">
            <v>Josue Cardoso De Oliveira</v>
          </cell>
          <cell r="D90" t="str">
            <v>Order Management</v>
          </cell>
        </row>
        <row r="91">
          <cell r="A91" t="str">
            <v>P4418300</v>
          </cell>
          <cell r="B91" t="str">
            <v>Fernando De Melo Leite</v>
          </cell>
          <cell r="C91" t="str">
            <v>Josue Cardoso De Oliveira</v>
          </cell>
          <cell r="D91" t="str">
            <v>Order Management</v>
          </cell>
        </row>
        <row r="92">
          <cell r="A92" t="str">
            <v>P2446994</v>
          </cell>
          <cell r="B92" t="str">
            <v>Juliane Dias Teixeira</v>
          </cell>
          <cell r="C92" t="str">
            <v>Josue Cardoso De Oliveira</v>
          </cell>
          <cell r="D92" t="str">
            <v>Order Management</v>
          </cell>
        </row>
        <row r="93">
          <cell r="A93" t="str">
            <v>P4286458</v>
          </cell>
          <cell r="B93" t="str">
            <v>Jaqueline De Souza Silva</v>
          </cell>
          <cell r="C93" t="str">
            <v>Josue Cardoso De Oliveira</v>
          </cell>
          <cell r="D93" t="str">
            <v>Order Management</v>
          </cell>
        </row>
        <row r="94">
          <cell r="A94" t="str">
            <v>P2274964</v>
          </cell>
          <cell r="B94" t="str">
            <v>Lucas Almeida Dos Santos</v>
          </cell>
          <cell r="C94" t="str">
            <v>Reginaldo Santana De Souza</v>
          </cell>
          <cell r="D94" t="str">
            <v>PSG</v>
          </cell>
        </row>
        <row r="95">
          <cell r="A95" t="str">
            <v>P0407362</v>
          </cell>
          <cell r="B95" t="str">
            <v>Fabio Perez Da Silva</v>
          </cell>
          <cell r="C95" t="str">
            <v>Reginaldo Santana De Souza</v>
          </cell>
          <cell r="D95" t="str">
            <v>PSG</v>
          </cell>
        </row>
        <row r="96">
          <cell r="A96" t="str">
            <v>P8101536</v>
          </cell>
          <cell r="B96" t="str">
            <v>Washington Silva De Oliveira</v>
          </cell>
          <cell r="C96" t="str">
            <v>Reginaldo Santana De Souza</v>
          </cell>
          <cell r="D96" t="str">
            <v>PSG</v>
          </cell>
        </row>
        <row r="97">
          <cell r="A97" t="str">
            <v>P3140211</v>
          </cell>
          <cell r="B97" t="str">
            <v>Alvani Elizabete Aliano de Oliveira</v>
          </cell>
          <cell r="C97" t="str">
            <v>Reginaldo Santana De Souza</v>
          </cell>
          <cell r="D97" t="str">
            <v>PSG</v>
          </cell>
        </row>
        <row r="98">
          <cell r="A98" t="str">
            <v>P1405322</v>
          </cell>
          <cell r="B98" t="str">
            <v>Foi Bing Gun</v>
          </cell>
          <cell r="C98" t="str">
            <v>Reginaldo Santana De Souza</v>
          </cell>
          <cell r="D98" t="str">
            <v>PSG</v>
          </cell>
        </row>
        <row r="99">
          <cell r="A99" t="str">
            <v>P7667182</v>
          </cell>
          <cell r="B99" t="str">
            <v>Rafael Dos Santos</v>
          </cell>
          <cell r="C99" t="str">
            <v>Reginaldo Santana De Souza</v>
          </cell>
          <cell r="D99" t="str">
            <v>PSG</v>
          </cell>
        </row>
        <row r="100">
          <cell r="A100" t="str">
            <v>P1094319</v>
          </cell>
          <cell r="B100" t="str">
            <v>Leonardo Cantilho Maracas</v>
          </cell>
          <cell r="C100" t="str">
            <v>Reginaldo Santana De Souza</v>
          </cell>
          <cell r="D100" t="str">
            <v>PSG</v>
          </cell>
        </row>
        <row r="101">
          <cell r="A101" t="str">
            <v>P3760576</v>
          </cell>
          <cell r="B101" t="str">
            <v>Daniel Sousa Pinheiro</v>
          </cell>
          <cell r="C101" t="str">
            <v>Reginaldo Santana De Souza</v>
          </cell>
          <cell r="D101" t="str">
            <v>PSG</v>
          </cell>
        </row>
        <row r="102">
          <cell r="A102" t="str">
            <v>P3688617</v>
          </cell>
          <cell r="B102" t="str">
            <v>Felipe Alves Barbosa</v>
          </cell>
          <cell r="C102" t="str">
            <v>Reginaldo Santana De Souza</v>
          </cell>
          <cell r="D102" t="str">
            <v>PSG</v>
          </cell>
        </row>
        <row r="103">
          <cell r="A103" t="str">
            <v>P8090315</v>
          </cell>
          <cell r="B103" t="str">
            <v>Erico Luan de Jesus Silva</v>
          </cell>
          <cell r="C103" t="str">
            <v>Reginaldo Santana De Souza</v>
          </cell>
          <cell r="D103" t="str">
            <v>PSG</v>
          </cell>
        </row>
        <row r="104">
          <cell r="A104" t="str">
            <v>P0207415</v>
          </cell>
          <cell r="B104" t="str">
            <v>Bruno Henrique Padua Colella</v>
          </cell>
          <cell r="C104" t="str">
            <v>Reginaldo Santana De Souza</v>
          </cell>
          <cell r="D104" t="str">
            <v>PSG</v>
          </cell>
        </row>
        <row r="105">
          <cell r="A105" t="str">
            <v>P2854913</v>
          </cell>
          <cell r="B105" t="str">
            <v>Renato Da Silva Andrade</v>
          </cell>
          <cell r="C105" t="str">
            <v>Marcelo Dos Santos Mesquita Melo</v>
          </cell>
          <cell r="D105" t="str">
            <v>PSG</v>
          </cell>
        </row>
        <row r="106">
          <cell r="A106" t="str">
            <v>P6986334</v>
          </cell>
          <cell r="B106" t="str">
            <v>Renan Cazumba Tegani</v>
          </cell>
          <cell r="C106" t="str">
            <v>Reginaldo Santana De Souza</v>
          </cell>
          <cell r="D106" t="str">
            <v>PSG</v>
          </cell>
        </row>
        <row r="107">
          <cell r="A107" t="str">
            <v>P5265742</v>
          </cell>
          <cell r="B107" t="str">
            <v>Levi De Sousa Barros</v>
          </cell>
          <cell r="C107" t="str">
            <v>Marcelo Dos Santos Mesquita Melo</v>
          </cell>
          <cell r="D107" t="str">
            <v>PSG</v>
          </cell>
        </row>
        <row r="108">
          <cell r="A108" t="str">
            <v>P5440540</v>
          </cell>
          <cell r="B108" t="str">
            <v>Marcos Nascimento Correia</v>
          </cell>
          <cell r="C108" t="str">
            <v>Marcelo Dos Santos Mesquita Melo</v>
          </cell>
          <cell r="D108" t="str">
            <v>PSG</v>
          </cell>
        </row>
        <row r="109">
          <cell r="A109" t="str">
            <v>P6990158</v>
          </cell>
          <cell r="B109" t="str">
            <v>Lucas Da Silva Pinto</v>
          </cell>
          <cell r="C109" t="str">
            <v>Marcelo Dos Santos Mesquita Melo</v>
          </cell>
          <cell r="D109" t="str">
            <v>PSG</v>
          </cell>
        </row>
        <row r="110">
          <cell r="A110" t="str">
            <v>P4325338</v>
          </cell>
          <cell r="B110" t="str">
            <v>Stefany Aparecida Alexandre De Franca</v>
          </cell>
          <cell r="C110" t="str">
            <v>Marcelo Dos Santos Mesquita Melo</v>
          </cell>
          <cell r="D110" t="str">
            <v>PSG</v>
          </cell>
        </row>
        <row r="111">
          <cell r="A111" t="str">
            <v>P6632347</v>
          </cell>
          <cell r="B111" t="str">
            <v>Clarina Praxedes Alfredo</v>
          </cell>
          <cell r="C111" t="str">
            <v>Marcelo Dos Santos Mesquita Melo</v>
          </cell>
          <cell r="D111" t="str">
            <v>PSG</v>
          </cell>
        </row>
        <row r="112">
          <cell r="A112" t="str">
            <v>P2025036</v>
          </cell>
          <cell r="B112" t="str">
            <v>Mariana Tadim Estevao</v>
          </cell>
          <cell r="C112" t="str">
            <v>Marcelo Dos Santos Mesquita Melo</v>
          </cell>
          <cell r="D112" t="str">
            <v>PSG</v>
          </cell>
        </row>
        <row r="113">
          <cell r="A113" t="str">
            <v>P1889086</v>
          </cell>
          <cell r="B113" t="str">
            <v>Danielle Borges De Oliveira</v>
          </cell>
          <cell r="C113" t="str">
            <v>Marcelo Dos Santos Mesquita Melo</v>
          </cell>
          <cell r="D113" t="str">
            <v>PSG</v>
          </cell>
        </row>
        <row r="114">
          <cell r="A114" t="str">
            <v>P3002829</v>
          </cell>
          <cell r="B114" t="str">
            <v>Filipe Augusto Fernandes De Oliveira</v>
          </cell>
          <cell r="C114" t="str">
            <v>Marcelo Dos Santos Mesquita Melo</v>
          </cell>
          <cell r="D114" t="str">
            <v>PSG</v>
          </cell>
        </row>
        <row r="115">
          <cell r="A115" t="str">
            <v>P4317193</v>
          </cell>
          <cell r="B115" t="str">
            <v>Wellington Da Silva De Oliveira</v>
          </cell>
          <cell r="C115" t="str">
            <v>Marcelo Dos Santos Mesquita Melo</v>
          </cell>
          <cell r="D115" t="str">
            <v>PSG</v>
          </cell>
        </row>
        <row r="116">
          <cell r="A116" t="str">
            <v>P7316808</v>
          </cell>
          <cell r="B116" t="str">
            <v>Eduardo Paixao Oliveira</v>
          </cell>
          <cell r="C116" t="str">
            <v>Marcelo Dos Santos Mesquita Melo</v>
          </cell>
          <cell r="D116" t="str">
            <v>PSG</v>
          </cell>
        </row>
        <row r="117">
          <cell r="A117" t="str">
            <v>P7505685</v>
          </cell>
          <cell r="B117" t="str">
            <v>Kaio Fernandes</v>
          </cell>
          <cell r="C117" t="str">
            <v>Marcelo Dos Santos Mesquita Melo</v>
          </cell>
          <cell r="D117" t="str">
            <v>PSG</v>
          </cell>
        </row>
        <row r="118">
          <cell r="A118" t="str">
            <v>P8062756</v>
          </cell>
          <cell r="B118" t="str">
            <v>Katiane Souza Almeida</v>
          </cell>
          <cell r="C118" t="str">
            <v>Marcelo Dos Santos Mesquita Melo</v>
          </cell>
          <cell r="D118" t="str">
            <v>PSG</v>
          </cell>
        </row>
        <row r="119">
          <cell r="A119" t="str">
            <v>APASIN</v>
          </cell>
          <cell r="B119" t="str">
            <v>Alessandra Garcia Pasin</v>
          </cell>
          <cell r="C119" t="str">
            <v>Daniela Andrade Silva</v>
          </cell>
          <cell r="D119" t="str">
            <v>Revenue Generation</v>
          </cell>
        </row>
        <row r="120">
          <cell r="A120" t="str">
            <v>P4514679</v>
          </cell>
          <cell r="B120" t="str">
            <v>Mauricio Guimaraes Renesto</v>
          </cell>
          <cell r="C120" t="str">
            <v>Josue Cardoso De Oliveira</v>
          </cell>
          <cell r="D120" t="str">
            <v>TCO</v>
          </cell>
        </row>
        <row r="121">
          <cell r="A121" t="str">
            <v>P0152626</v>
          </cell>
          <cell r="B121" t="str">
            <v>Anderson Soares Silveira</v>
          </cell>
          <cell r="C121" t="str">
            <v>Josue Cardoso De Oliveira</v>
          </cell>
          <cell r="D121" t="str">
            <v>TCO</v>
          </cell>
        </row>
        <row r="122">
          <cell r="A122" t="str">
            <v>P4553604</v>
          </cell>
          <cell r="B122" t="str">
            <v>Gilmar Alves Gomes</v>
          </cell>
          <cell r="C122" t="str">
            <v>Josue Cardoso De Oliveira</v>
          </cell>
          <cell r="D122" t="str">
            <v>TCO</v>
          </cell>
        </row>
        <row r="123">
          <cell r="A123" t="str">
            <v>-</v>
          </cell>
          <cell r="B123" t="str">
            <v>Viviane De Souza Magrini</v>
          </cell>
          <cell r="C123" t="str">
            <v>Josue Cardoso De Oliveira</v>
          </cell>
          <cell r="D123" t="str">
            <v>TCO</v>
          </cell>
        </row>
        <row r="124">
          <cell r="A124" t="str">
            <v>P6085529</v>
          </cell>
          <cell r="B124" t="str">
            <v>Emanuelle Lidiane Silva Matos</v>
          </cell>
          <cell r="C124" t="str">
            <v>Maria Cristina de Assis Marques</v>
          </cell>
          <cell r="D124" t="str">
            <v>TCO</v>
          </cell>
        </row>
        <row r="125">
          <cell r="A125" t="str">
            <v>P5032821</v>
          </cell>
          <cell r="B125" t="str">
            <v>Fernando Quintino Tavares</v>
          </cell>
          <cell r="C125" t="str">
            <v>Josue Cardoso De Oliveira</v>
          </cell>
          <cell r="D125" t="str">
            <v>TCO</v>
          </cell>
        </row>
        <row r="126">
          <cell r="A126" t="str">
            <v>P6296189</v>
          </cell>
          <cell r="B126" t="str">
            <v>Fabricio Serra</v>
          </cell>
          <cell r="C126" t="str">
            <v>Maria Cristina de Assis Marques</v>
          </cell>
          <cell r="D126" t="str">
            <v>TCO</v>
          </cell>
        </row>
        <row r="127">
          <cell r="A127" t="str">
            <v>P5426113</v>
          </cell>
          <cell r="B127" t="str">
            <v>Emerson De Lima Franca</v>
          </cell>
          <cell r="C127" t="str">
            <v>Maria Cristina de Assis Marques</v>
          </cell>
          <cell r="D127" t="str">
            <v>TCO</v>
          </cell>
        </row>
        <row r="128">
          <cell r="A128" t="str">
            <v>P8161396</v>
          </cell>
          <cell r="B128" t="str">
            <v>Oliviana Saraiva Almeida</v>
          </cell>
          <cell r="C128" t="str">
            <v>Josue Cardoso De Oliveira</v>
          </cell>
          <cell r="D128" t="str">
            <v>TCO</v>
          </cell>
        </row>
        <row r="129">
          <cell r="A129" t="str">
            <v>P7686813</v>
          </cell>
          <cell r="B129" t="str">
            <v>Tatiane Barbosa Fonseca</v>
          </cell>
          <cell r="C129" t="str">
            <v>Maria Cristina de Assis Marques</v>
          </cell>
          <cell r="D129" t="str">
            <v>TCO</v>
          </cell>
        </row>
        <row r="130">
          <cell r="A130" t="str">
            <v>P1198859</v>
          </cell>
          <cell r="B130" t="str">
            <v>Patrik Ferreira Araujo</v>
          </cell>
          <cell r="C130" t="str">
            <v>Josue Cardoso De Oliveira</v>
          </cell>
          <cell r="D130" t="str">
            <v>TCO</v>
          </cell>
        </row>
        <row r="131">
          <cell r="A131" t="str">
            <v>P7210237</v>
          </cell>
          <cell r="B131" t="str">
            <v>Jose Ricardo Torres Junior</v>
          </cell>
          <cell r="C131" t="str">
            <v>Josue Cardoso De Oliveira</v>
          </cell>
          <cell r="D131" t="str">
            <v>TCO</v>
          </cell>
        </row>
        <row r="132">
          <cell r="A132" t="str">
            <v>P3929743</v>
          </cell>
          <cell r="B132" t="str">
            <v>Andrea Carla De Magalhaes</v>
          </cell>
          <cell r="C132" t="str">
            <v>Bruna Lima Canteiro</v>
          </cell>
          <cell r="D132" t="str">
            <v>Unassisted</v>
          </cell>
        </row>
        <row r="133">
          <cell r="A133" t="str">
            <v>P0921851</v>
          </cell>
          <cell r="B133" t="str">
            <v>Lucas Alonso Huamani</v>
          </cell>
          <cell r="C133" t="str">
            <v>Bruna Lima Canteiro</v>
          </cell>
          <cell r="D133" t="str">
            <v>Unassisted</v>
          </cell>
        </row>
        <row r="134">
          <cell r="A134" t="str">
            <v>P4820778</v>
          </cell>
          <cell r="B134" t="str">
            <v>Diego Ferrete Hernandes</v>
          </cell>
          <cell r="C134" t="str">
            <v>Bruna Lima Canteiro</v>
          </cell>
          <cell r="D134" t="str">
            <v>Unassisted</v>
          </cell>
        </row>
        <row r="135">
          <cell r="A135" t="str">
            <v>P6720721</v>
          </cell>
          <cell r="B135" t="str">
            <v>Suellen Souza Brandao</v>
          </cell>
          <cell r="C135" t="str">
            <v>Bruna Lima Canteiro</v>
          </cell>
          <cell r="D135" t="str">
            <v>Unassisted</v>
          </cell>
        </row>
        <row r="136">
          <cell r="A136" t="str">
            <v>P4937989</v>
          </cell>
          <cell r="B136" t="str">
            <v>Rafael Dal Bem Santa Cruz</v>
          </cell>
          <cell r="C136" t="str">
            <v>Bruna Lima Canteiro</v>
          </cell>
          <cell r="D136" t="str">
            <v>Unassisted</v>
          </cell>
        </row>
        <row r="137">
          <cell r="A137" t="str">
            <v>P0307984</v>
          </cell>
          <cell r="B137" t="str">
            <v>Ana Cristina Da Silva Esteves</v>
          </cell>
          <cell r="C137" t="str">
            <v>Bruna Lima Canteiro</v>
          </cell>
          <cell r="D137" t="str">
            <v>Unassisted</v>
          </cell>
        </row>
        <row r="138">
          <cell r="A138" t="str">
            <v>P8168260</v>
          </cell>
          <cell r="B138" t="str">
            <v>Bruna Lima Canteiro</v>
          </cell>
          <cell r="C138" t="str">
            <v>Ricardo Cairo Oliveira</v>
          </cell>
          <cell r="D138" t="str">
            <v>Unassisted</v>
          </cell>
        </row>
        <row r="139">
          <cell r="A139" t="str">
            <v>P1922130</v>
          </cell>
          <cell r="B139" t="str">
            <v>Aline Vieira Ometto</v>
          </cell>
          <cell r="C139" t="str">
            <v>Bruna Lima Canteiro</v>
          </cell>
          <cell r="D139" t="str">
            <v>Unassisted</v>
          </cell>
        </row>
        <row r="140">
          <cell r="A140" t="str">
            <v>P0449925</v>
          </cell>
          <cell r="B140" t="str">
            <v>Lucas Borgheri Monteiro</v>
          </cell>
          <cell r="C140" t="str">
            <v>Bruna Lima Canteiro</v>
          </cell>
          <cell r="D140" t="str">
            <v>Unassisted</v>
          </cell>
        </row>
        <row r="141">
          <cell r="A141" t="str">
            <v>P3690705</v>
          </cell>
          <cell r="B141" t="str">
            <v>Viviane Maria De Souza</v>
          </cell>
          <cell r="C141" t="str">
            <v>Alexandro Da Silva Gomes</v>
          </cell>
          <cell r="D141" t="str">
            <v>Hpi - Call Back</v>
          </cell>
        </row>
        <row r="142">
          <cell r="A142" t="str">
            <v>P7447578</v>
          </cell>
          <cell r="B142" t="str">
            <v>Wellington De Assis Aquino</v>
          </cell>
          <cell r="C142" t="str">
            <v>Alexandro Da Silva Gomes</v>
          </cell>
          <cell r="D142" t="str">
            <v>Hpi - Call Back</v>
          </cell>
        </row>
        <row r="143">
          <cell r="A143" t="str">
            <v>P4840315</v>
          </cell>
          <cell r="B143" t="str">
            <v>André William Azevedo Santos</v>
          </cell>
          <cell r="C143" t="str">
            <v>Alexandro Da Silva Gomes</v>
          </cell>
          <cell r="D143" t="str">
            <v>Hpi - Call Back</v>
          </cell>
        </row>
        <row r="144">
          <cell r="A144" t="str">
            <v>P6200537</v>
          </cell>
          <cell r="B144" t="str">
            <v>Eduardo Rosa Dos Santos</v>
          </cell>
          <cell r="C144" t="str">
            <v>Alexandro Da Silva Gomes</v>
          </cell>
          <cell r="D144" t="str">
            <v>Hpi - Call Back</v>
          </cell>
        </row>
        <row r="145">
          <cell r="A145" t="str">
            <v>P6210730</v>
          </cell>
          <cell r="B145" t="str">
            <v>Bruno Parreira de Souza</v>
          </cell>
          <cell r="C145" t="str">
            <v>Alexandro Da Silva Gomes</v>
          </cell>
          <cell r="D145" t="str">
            <v>Hpi - E-Delivery</v>
          </cell>
        </row>
        <row r="146">
          <cell r="A146" t="str">
            <v>P7611547</v>
          </cell>
          <cell r="B146" t="str">
            <v>Rafael do Nascimento Silva</v>
          </cell>
          <cell r="C146" t="str">
            <v>Alexandro Da Silva Gomes</v>
          </cell>
          <cell r="D146" t="str">
            <v>Hpi - E-Delivery</v>
          </cell>
        </row>
        <row r="147">
          <cell r="A147" t="str">
            <v>P5091850</v>
          </cell>
          <cell r="B147" t="str">
            <v>Cristina Megda Araújo</v>
          </cell>
          <cell r="C147" t="str">
            <v>Alexandro Da Silva Gomes</v>
          </cell>
          <cell r="D147" t="str">
            <v>Hpi - E-Delivery</v>
          </cell>
        </row>
        <row r="148">
          <cell r="A148" t="str">
            <v>P3145703</v>
          </cell>
          <cell r="B148" t="str">
            <v>Christopher Diogo Gomes Messias</v>
          </cell>
          <cell r="C148" t="str">
            <v>Alexandro Da Silva Gomes</v>
          </cell>
          <cell r="D148" t="str">
            <v>Hpi - E-Delivery</v>
          </cell>
        </row>
        <row r="149">
          <cell r="A149" t="str">
            <v>P2204690</v>
          </cell>
          <cell r="B149" t="str">
            <v>Felipe Ferreira Da Silva</v>
          </cell>
          <cell r="C149" t="str">
            <v>Alexandro Da Silva Gomes</v>
          </cell>
          <cell r="D149" t="str">
            <v>Hpi - E-Delivery</v>
          </cell>
        </row>
        <row r="150">
          <cell r="A150" t="str">
            <v>P0516347</v>
          </cell>
          <cell r="B150" t="str">
            <v>Jefferson Rian Ribeiro Rosa</v>
          </cell>
          <cell r="C150" t="str">
            <v>Alexandro Da Silva Gomes</v>
          </cell>
          <cell r="D150" t="str">
            <v>Hpi - E-Delivery</v>
          </cell>
        </row>
        <row r="151">
          <cell r="A151" t="str">
            <v>P0228150</v>
          </cell>
          <cell r="B151" t="str">
            <v>Libetania de Castro Lima</v>
          </cell>
          <cell r="C151" t="str">
            <v>Alexandro Da Silva Gomes</v>
          </cell>
          <cell r="D151" t="str">
            <v>Hpi - Escalation</v>
          </cell>
        </row>
        <row r="152">
          <cell r="A152" t="str">
            <v>P6132286</v>
          </cell>
          <cell r="B152" t="str">
            <v>Fernando De Oliveira Nascimento</v>
          </cell>
          <cell r="C152" t="str">
            <v>Alexandro Da Silva Gomes</v>
          </cell>
          <cell r="D152" t="str">
            <v>Hpi - Escalation</v>
          </cell>
        </row>
        <row r="153">
          <cell r="A153" t="str">
            <v>P6528246</v>
          </cell>
          <cell r="B153" t="str">
            <v>Fernando de Mello Souza</v>
          </cell>
          <cell r="C153" t="str">
            <v>Alexandro Da Silva Gomes</v>
          </cell>
          <cell r="D153" t="str">
            <v>Hpi - escalation</v>
          </cell>
        </row>
        <row r="154">
          <cell r="A154" t="str">
            <v>P1256059</v>
          </cell>
          <cell r="B154" t="str">
            <v>Sabrina Aparecida Da Silva</v>
          </cell>
          <cell r="C154" t="str">
            <v>Alexandro Da Silva Gomes</v>
          </cell>
          <cell r="D154" t="str">
            <v>Mps - Printer</v>
          </cell>
        </row>
        <row r="155">
          <cell r="A155" t="str">
            <v>P8141151</v>
          </cell>
          <cell r="B155" t="str">
            <v>Fábio Lucas Silva</v>
          </cell>
          <cell r="C155" t="str">
            <v>Alexandro Da Silva Gomes</v>
          </cell>
          <cell r="D155" t="str">
            <v>Mps - Printer</v>
          </cell>
        </row>
        <row r="156">
          <cell r="A156" t="str">
            <v>P4570397</v>
          </cell>
          <cell r="B156" t="str">
            <v>Rafael Felix Da Silva</v>
          </cell>
          <cell r="C156" t="str">
            <v>Alexandro Da Silva Gomes</v>
          </cell>
          <cell r="D156" t="str">
            <v>Mps - Printer</v>
          </cell>
        </row>
        <row r="157">
          <cell r="A157" t="str">
            <v>P4402075</v>
          </cell>
          <cell r="B157" t="str">
            <v>Allan Henrique Camilo</v>
          </cell>
          <cell r="C157" t="str">
            <v>Alexandro Da Silva Gomes</v>
          </cell>
          <cell r="D157" t="str">
            <v>Mps - Printer</v>
          </cell>
        </row>
        <row r="158">
          <cell r="A158" t="str">
            <v>P1235940</v>
          </cell>
          <cell r="B158" t="str">
            <v>Jaciano Sebastião De Oliveira</v>
          </cell>
          <cell r="C158" t="str">
            <v>Alexandro Da Silva Gomes</v>
          </cell>
          <cell r="D158" t="str">
            <v>Mps - Printer</v>
          </cell>
        </row>
        <row r="159">
          <cell r="A159" t="str">
            <v>P4529833</v>
          </cell>
          <cell r="B159" t="str">
            <v>Maria Aparecida Marques De Souza</v>
          </cell>
          <cell r="C159" t="str">
            <v>Bruna De Oliveira Peinado</v>
          </cell>
          <cell r="D159" t="str">
            <v>Hpi - Printer</v>
          </cell>
        </row>
        <row r="160">
          <cell r="A160" t="str">
            <v>P7510871</v>
          </cell>
          <cell r="B160" t="str">
            <v>Rafael Costa Da Silva</v>
          </cell>
          <cell r="C160" t="str">
            <v>Bruna De Oliveira Peinado</v>
          </cell>
          <cell r="D160" t="str">
            <v>Hpi - Printer</v>
          </cell>
        </row>
        <row r="161">
          <cell r="A161" t="str">
            <v>P2951735</v>
          </cell>
          <cell r="B161" t="str">
            <v>Jose Ivancris Batista Dos Santos</v>
          </cell>
          <cell r="C161" t="str">
            <v>Bruna De Oliveira Peinado</v>
          </cell>
          <cell r="D161" t="str">
            <v>Hpi - Printer</v>
          </cell>
        </row>
        <row r="162">
          <cell r="A162" t="str">
            <v>P5729980</v>
          </cell>
          <cell r="B162" t="str">
            <v>Danilo Leite Dias</v>
          </cell>
          <cell r="C162" t="str">
            <v>Bruna De Oliveira Peinado</v>
          </cell>
          <cell r="D162" t="str">
            <v>Hpi - Printer</v>
          </cell>
        </row>
        <row r="163">
          <cell r="A163" t="str">
            <v>P7204113</v>
          </cell>
          <cell r="B163" t="str">
            <v>Erica Santos De Azevedo</v>
          </cell>
          <cell r="C163" t="str">
            <v>Bruna De Oliveira Peinado</v>
          </cell>
          <cell r="D163" t="str">
            <v>Hpi - Printer</v>
          </cell>
        </row>
        <row r="164">
          <cell r="A164" t="str">
            <v>P7783173</v>
          </cell>
          <cell r="B164" t="str">
            <v>Rebert De Oliveira Souza</v>
          </cell>
          <cell r="C164" t="str">
            <v>Bruna De Oliveira Peinado</v>
          </cell>
          <cell r="D164" t="str">
            <v>Hpi - Printer</v>
          </cell>
        </row>
        <row r="165">
          <cell r="A165" t="str">
            <v>P5644536</v>
          </cell>
          <cell r="B165" t="str">
            <v>Luiz Felipe Pereira</v>
          </cell>
          <cell r="C165" t="str">
            <v>Bruna De Oliveira Peinado</v>
          </cell>
          <cell r="D165" t="str">
            <v>Hpi - Printer</v>
          </cell>
        </row>
        <row r="166">
          <cell r="A166" t="str">
            <v>P5183492</v>
          </cell>
          <cell r="B166" t="str">
            <v>Rodrigo Bernabé De Morais</v>
          </cell>
          <cell r="C166" t="str">
            <v>Bruna De Oliveira Peinado</v>
          </cell>
          <cell r="D166" t="str">
            <v>Hpi - Printer</v>
          </cell>
        </row>
        <row r="167">
          <cell r="A167" t="str">
            <v>P6651062</v>
          </cell>
          <cell r="B167" t="str">
            <v>Willian Araujo Silva</v>
          </cell>
          <cell r="C167" t="str">
            <v>Bruna De Oliveira Peinado</v>
          </cell>
          <cell r="D167" t="str">
            <v>Hpi - Printer</v>
          </cell>
        </row>
        <row r="168">
          <cell r="A168" t="str">
            <v>P4033552</v>
          </cell>
          <cell r="B168" t="str">
            <v>Jonas Pinheiro Batista</v>
          </cell>
          <cell r="C168" t="str">
            <v>Bruna De Oliveira Peinado</v>
          </cell>
          <cell r="D168" t="str">
            <v>Hpi - Printer</v>
          </cell>
        </row>
        <row r="169">
          <cell r="A169" t="str">
            <v>P2352077</v>
          </cell>
          <cell r="B169" t="str">
            <v>Patrick Aparecido Arbos Da Silva</v>
          </cell>
          <cell r="C169" t="str">
            <v>Bruna De Oliveira Peinado</v>
          </cell>
          <cell r="D169" t="str">
            <v>Hpi - Printer</v>
          </cell>
        </row>
        <row r="170">
          <cell r="A170" t="str">
            <v>P4288926</v>
          </cell>
          <cell r="B170" t="str">
            <v>Yuri Rodrigues Laranjeira</v>
          </cell>
          <cell r="C170" t="str">
            <v>Bruna De Oliveira Peinado</v>
          </cell>
          <cell r="D170" t="str">
            <v>Hpi - Printer</v>
          </cell>
        </row>
        <row r="171">
          <cell r="A171" t="str">
            <v>P1683561</v>
          </cell>
          <cell r="B171" t="str">
            <v>Clayton Gomes de Lima</v>
          </cell>
          <cell r="C171" t="str">
            <v>Bruna De Oliveira Peinado</v>
          </cell>
          <cell r="D171" t="str">
            <v>Hpi - Printer</v>
          </cell>
        </row>
        <row r="172">
          <cell r="A172" t="str">
            <v>P6899914</v>
          </cell>
          <cell r="B172" t="str">
            <v>Jeferson Silveira Santos</v>
          </cell>
          <cell r="C172" t="str">
            <v>Bruna De Oliveira Peinado</v>
          </cell>
          <cell r="D172" t="str">
            <v>Hpi - Printer</v>
          </cell>
        </row>
        <row r="173">
          <cell r="A173" t="str">
            <v>P0065964</v>
          </cell>
          <cell r="B173" t="str">
            <v>Paulinny Gomes</v>
          </cell>
          <cell r="C173" t="str">
            <v>Bruna De Oliveira Peinado</v>
          </cell>
          <cell r="D173" t="str">
            <v>Hpi - Printer</v>
          </cell>
        </row>
        <row r="174">
          <cell r="A174" t="str">
            <v>P4177127</v>
          </cell>
          <cell r="B174" t="str">
            <v>Denilson Venancio Ferreira</v>
          </cell>
          <cell r="C174" t="str">
            <v>Bruna De Oliveira Peinado</v>
          </cell>
          <cell r="D174" t="str">
            <v>Hpi - Printer</v>
          </cell>
        </row>
        <row r="175">
          <cell r="A175" t="str">
            <v>P8121461</v>
          </cell>
          <cell r="B175" t="str">
            <v>Rodrigo Da Silva</v>
          </cell>
          <cell r="C175" t="str">
            <v>Cintia Aparecida dos Santos</v>
          </cell>
          <cell r="D175" t="str">
            <v>Hpe - Call Management</v>
          </cell>
        </row>
        <row r="176">
          <cell r="A176" t="str">
            <v>-</v>
          </cell>
          <cell r="B176" t="str">
            <v>Danilo Da Silva Constantino Farias</v>
          </cell>
          <cell r="C176" t="str">
            <v>Cintia Aparecida dos Santos</v>
          </cell>
          <cell r="D176" t="str">
            <v>Hpe - Call Management</v>
          </cell>
        </row>
        <row r="177">
          <cell r="A177" t="str">
            <v>P2821732</v>
          </cell>
          <cell r="B177" t="str">
            <v>Wilson Lucas Gomes Dos Santos</v>
          </cell>
          <cell r="C177" t="str">
            <v>Cintia Aparecida dos Santos</v>
          </cell>
          <cell r="D177" t="str">
            <v>Hpe - Call Management</v>
          </cell>
        </row>
        <row r="178">
          <cell r="A178" t="str">
            <v>P3730636</v>
          </cell>
          <cell r="B178" t="str">
            <v>William De Azevedo Viana</v>
          </cell>
          <cell r="C178" t="str">
            <v>Cintia Aparecida dos Santos</v>
          </cell>
          <cell r="D178" t="str">
            <v>Hpe - Field Resource Coordinator</v>
          </cell>
        </row>
        <row r="179">
          <cell r="A179" t="str">
            <v>-</v>
          </cell>
          <cell r="B179" t="str">
            <v>Gabriel Monteiro Camargo Da Silva</v>
          </cell>
          <cell r="C179" t="str">
            <v>Cintia Aparecida dos Santos</v>
          </cell>
          <cell r="D179" t="str">
            <v>Hpe - Onsite Coordinator</v>
          </cell>
        </row>
        <row r="180">
          <cell r="A180" t="str">
            <v>P7897720</v>
          </cell>
          <cell r="B180" t="str">
            <v>Jessica Maria Ribeiro Santos</v>
          </cell>
          <cell r="C180" t="str">
            <v>Cintia Aparecida dos Santos</v>
          </cell>
          <cell r="D180" t="str">
            <v>Hpe - Onsite Coordinator</v>
          </cell>
        </row>
        <row r="181">
          <cell r="A181" t="str">
            <v>-</v>
          </cell>
          <cell r="B181" t="str">
            <v>Andressa Souza Alves</v>
          </cell>
          <cell r="C181" t="str">
            <v>Cintia Aparecida dos Santos</v>
          </cell>
          <cell r="D181" t="str">
            <v>Hpe - Onsite Coordinator</v>
          </cell>
        </row>
        <row r="182">
          <cell r="A182" t="str">
            <v>P0752624</v>
          </cell>
          <cell r="B182" t="str">
            <v xml:space="preserve">Antonio de Jesus Doria Filho </v>
          </cell>
          <cell r="C182" t="str">
            <v>Cintia Aparecida dos Santos</v>
          </cell>
          <cell r="D182" t="str">
            <v>Hpe - Onsite Coordinator</v>
          </cell>
        </row>
        <row r="183">
          <cell r="A183" t="str">
            <v>P3403898</v>
          </cell>
          <cell r="B183" t="str">
            <v>Thiago Feitosa Galvão</v>
          </cell>
          <cell r="C183" t="str">
            <v>Cintia Aparecida dos Santos</v>
          </cell>
          <cell r="D183" t="str">
            <v>Hpe - Onsite Coordinator</v>
          </cell>
        </row>
        <row r="184">
          <cell r="A184" t="str">
            <v>-</v>
          </cell>
          <cell r="B184" t="str">
            <v>Leticia Gomes Targino</v>
          </cell>
          <cell r="C184" t="str">
            <v>Cintia Aparecida dos Santos</v>
          </cell>
          <cell r="D184" t="str">
            <v>Hpe - Onsite Coordinator</v>
          </cell>
        </row>
        <row r="185">
          <cell r="A185" t="str">
            <v>-</v>
          </cell>
          <cell r="B185" t="str">
            <v>Patricia krypotos de Souza</v>
          </cell>
          <cell r="C185" t="str">
            <v>Cintia Aparecida dos Santos</v>
          </cell>
          <cell r="D185" t="str">
            <v>Hpe - Onsite Coordinator</v>
          </cell>
        </row>
        <row r="186">
          <cell r="A186" t="str">
            <v>-</v>
          </cell>
          <cell r="B186" t="str">
            <v>Hebert Gimenez da Costa</v>
          </cell>
          <cell r="C186" t="str">
            <v>Cintia Aparecida dos Santos</v>
          </cell>
          <cell r="D186" t="str">
            <v>Hpe - Onsite Coordinator</v>
          </cell>
        </row>
        <row r="187">
          <cell r="A187" t="str">
            <v>-</v>
          </cell>
          <cell r="B187" t="str">
            <v>Ivan Leonardo Gomes Moreira da Silva</v>
          </cell>
          <cell r="C187" t="str">
            <v>Cintia Aparecida dos Santos</v>
          </cell>
          <cell r="D187" t="str">
            <v>Hpe - Onsite Coordinator</v>
          </cell>
        </row>
        <row r="188">
          <cell r="A188" t="str">
            <v>P0773740</v>
          </cell>
          <cell r="B188" t="str">
            <v>Lucimara Santos De Oliveira Andriolli</v>
          </cell>
          <cell r="C188" t="str">
            <v>Cintia Aparecida dos Santos</v>
          </cell>
          <cell r="D188" t="str">
            <v>Hpe - Onsite Coordinator</v>
          </cell>
        </row>
        <row r="189">
          <cell r="A189" t="str">
            <v>-</v>
          </cell>
          <cell r="B189" t="str">
            <v>Priscilla Aparecida Cassimiro</v>
          </cell>
          <cell r="C189" t="str">
            <v>Cintia Aparecida dos Santos</v>
          </cell>
          <cell r="D189" t="str">
            <v>Hpe - Onsite Coordinator</v>
          </cell>
        </row>
        <row r="190">
          <cell r="A190" t="str">
            <v>-</v>
          </cell>
          <cell r="B190" t="str">
            <v>Patrícia Gonçalves de Oliveira</v>
          </cell>
          <cell r="C190" t="str">
            <v>Cintia Aparecida dos Santos</v>
          </cell>
          <cell r="D190" t="str">
            <v>Hpe - Onsite Coordinator</v>
          </cell>
        </row>
        <row r="191">
          <cell r="A191" t="str">
            <v>P6260008</v>
          </cell>
          <cell r="B191" t="str">
            <v>Erilane Souza</v>
          </cell>
          <cell r="C191" t="str">
            <v>Helem Priscila Almeida Do Amaral</v>
          </cell>
          <cell r="D191" t="str">
            <v>Hpe - Onsite Coordinator Night Shift</v>
          </cell>
        </row>
        <row r="192">
          <cell r="A192" t="str">
            <v>P1859632</v>
          </cell>
          <cell r="B192" t="str">
            <v>Claudio Da Silva Mendonça</v>
          </cell>
          <cell r="C192" t="str">
            <v>Helem Priscila Almeida Do Amaral</v>
          </cell>
          <cell r="D192" t="str">
            <v>Hpe - Onsite Coordinator Night Shift</v>
          </cell>
        </row>
        <row r="193">
          <cell r="A193" t="str">
            <v>P3810277</v>
          </cell>
          <cell r="B193" t="str">
            <v>David Pereira Rodrigues</v>
          </cell>
          <cell r="C193" t="str">
            <v>Helem Priscila Almeida Do Amaral</v>
          </cell>
          <cell r="D193" t="str">
            <v>Hpe - Onsite Coordinator Night Shift</v>
          </cell>
        </row>
        <row r="194">
          <cell r="A194" t="str">
            <v>P2078975</v>
          </cell>
          <cell r="B194" t="str">
            <v>Caique Lucena Dos Santos</v>
          </cell>
          <cell r="C194" t="str">
            <v>Marcela Kelly Goncalves</v>
          </cell>
          <cell r="D194" t="str">
            <v>Hpi - Lom</v>
          </cell>
        </row>
        <row r="195">
          <cell r="A195" t="str">
            <v>P2811119</v>
          </cell>
          <cell r="B195" t="str">
            <v>Luciana Souza De Oliveira Silva</v>
          </cell>
          <cell r="C195" t="str">
            <v>Marcela Kelly Goncalves</v>
          </cell>
          <cell r="D195" t="str">
            <v>Hpi - Lom</v>
          </cell>
        </row>
        <row r="196">
          <cell r="A196" t="str">
            <v>P1925609</v>
          </cell>
          <cell r="B196" t="str">
            <v>Lucineide Nascimento Santos Apolinario</v>
          </cell>
          <cell r="C196" t="str">
            <v>Marcela Kelly Goncalves</v>
          </cell>
          <cell r="D196" t="str">
            <v>Hpi - Partner Accept</v>
          </cell>
        </row>
        <row r="197">
          <cell r="A197" t="str">
            <v>P4030785</v>
          </cell>
          <cell r="B197" t="str">
            <v>Diogo Ferreira da Silva</v>
          </cell>
          <cell r="C197" t="str">
            <v>Marcela Kelly Goncalves</v>
          </cell>
          <cell r="D197" t="str">
            <v>Hpi - Partner Accept</v>
          </cell>
        </row>
        <row r="198">
          <cell r="A198" t="str">
            <v>P6862348</v>
          </cell>
          <cell r="B198" t="str">
            <v>Daniel Pinheiro Do Nascimento</v>
          </cell>
          <cell r="C198" t="str">
            <v>Marcela Kelly Goncalves</v>
          </cell>
          <cell r="D198" t="str">
            <v>Hpi - Partner Accept</v>
          </cell>
        </row>
        <row r="199">
          <cell r="A199" t="str">
            <v>P6435307</v>
          </cell>
          <cell r="B199" t="str">
            <v>Luis Henrique De Toledo</v>
          </cell>
          <cell r="C199" t="str">
            <v>Marcela Kelly Goncalves</v>
          </cell>
          <cell r="D199" t="str">
            <v>Hpi - Partner Accept</v>
          </cell>
        </row>
        <row r="200">
          <cell r="A200" t="str">
            <v>P5690567</v>
          </cell>
          <cell r="B200" t="str">
            <v>Ana Karolini Dos Santos Lima</v>
          </cell>
          <cell r="C200" t="str">
            <v>Marcela Kelly Goncalves</v>
          </cell>
          <cell r="D200" t="str">
            <v>Hpi - Partner Accept</v>
          </cell>
        </row>
        <row r="201">
          <cell r="A201" t="str">
            <v>P0531976</v>
          </cell>
          <cell r="B201" t="str">
            <v>Patricia Silva De Jesus</v>
          </cell>
          <cell r="C201" t="str">
            <v>Marcela Kelly Goncalves</v>
          </cell>
          <cell r="D201" t="str">
            <v>Hpi - Quality Check</v>
          </cell>
        </row>
        <row r="202">
          <cell r="A202" t="str">
            <v>P1603389</v>
          </cell>
          <cell r="B202" t="str">
            <v>Tiago Aparecido Da Costa Machado</v>
          </cell>
          <cell r="C202" t="str">
            <v>Marcela Kelly Goncalves</v>
          </cell>
          <cell r="D202" t="str">
            <v>Hpi - Quality Check</v>
          </cell>
        </row>
        <row r="203">
          <cell r="A203" t="str">
            <v>P2353607</v>
          </cell>
          <cell r="B203" t="str">
            <v>Yugner Tokunaga da Silva</v>
          </cell>
          <cell r="C203" t="str">
            <v>Marcela Kelly Goncalves</v>
          </cell>
          <cell r="D203" t="str">
            <v>Hpi - Quality Check</v>
          </cell>
        </row>
        <row r="204">
          <cell r="A204" t="str">
            <v>P6870075</v>
          </cell>
          <cell r="B204" t="str">
            <v>Camila Santana Florentino de Souza</v>
          </cell>
          <cell r="C204" t="str">
            <v>Marcela Kelly Goncalves</v>
          </cell>
          <cell r="D204" t="str">
            <v>Hpi - Quality Check</v>
          </cell>
        </row>
        <row r="205">
          <cell r="A205" t="str">
            <v>P7814671</v>
          </cell>
          <cell r="B205" t="str">
            <v xml:space="preserve">Emerson Gomes de Oliveira </v>
          </cell>
          <cell r="C205" t="str">
            <v>Marcela Kelly Goncalves</v>
          </cell>
          <cell r="D205" t="str">
            <v>Hpi - Quality Check</v>
          </cell>
        </row>
        <row r="206">
          <cell r="A206" t="str">
            <v>P2920711</v>
          </cell>
          <cell r="B206" t="str">
            <v>Patrícia Caroline C. Dos Santos</v>
          </cell>
          <cell r="C206" t="str">
            <v>Marcela Kelly Goncalves</v>
          </cell>
          <cell r="D206" t="str">
            <v>Mps - Partner Accept</v>
          </cell>
        </row>
        <row r="207">
          <cell r="A207" t="str">
            <v>P8062393</v>
          </cell>
          <cell r="B207" t="str">
            <v>Fabio Daniel Souza Rodrigues</v>
          </cell>
          <cell r="C207" t="str">
            <v>Marcela Kelly Goncalves</v>
          </cell>
          <cell r="D207" t="str">
            <v>Mps - Partner Accept</v>
          </cell>
        </row>
        <row r="208">
          <cell r="A208" t="str">
            <v>P7623897</v>
          </cell>
          <cell r="B208" t="str">
            <v>Cristina Lins Da Silva</v>
          </cell>
          <cell r="C208" t="str">
            <v>Marcela Kelly Goncalves</v>
          </cell>
          <cell r="D208" t="str">
            <v>Mps - Partner Accept</v>
          </cell>
        </row>
        <row r="209">
          <cell r="A209" t="str">
            <v>p3394581</v>
          </cell>
          <cell r="B209" t="str">
            <v>Carla Alves Ferreira</v>
          </cell>
          <cell r="C209" t="str">
            <v>Marcela Kelly Goncalves</v>
          </cell>
          <cell r="D209" t="str">
            <v>Mps - Partner Accept</v>
          </cell>
        </row>
        <row r="210">
          <cell r="A210" t="str">
            <v>P7916792</v>
          </cell>
          <cell r="B210" t="str">
            <v>Genilson De Brito</v>
          </cell>
          <cell r="C210" t="str">
            <v>Marcela Kelly Goncalves</v>
          </cell>
          <cell r="D210" t="str">
            <v>Mps - Quality Check</v>
          </cell>
        </row>
        <row r="211">
          <cell r="A211" t="str">
            <v>P2100027</v>
          </cell>
          <cell r="B211" t="str">
            <v>Adriano Da Assunção Fornazari</v>
          </cell>
          <cell r="C211" t="str">
            <v>Marcela Kelly Goncalves</v>
          </cell>
          <cell r="D211" t="str">
            <v>Mps - Quality Check</v>
          </cell>
        </row>
        <row r="212">
          <cell r="A212" t="str">
            <v>P6041704</v>
          </cell>
          <cell r="B212" t="str">
            <v>Tatiana Oliveira dos Santos</v>
          </cell>
          <cell r="C212" t="str">
            <v>Marcela Kelly Goncalves</v>
          </cell>
          <cell r="D212" t="str">
            <v>Mps - Quality Check</v>
          </cell>
        </row>
        <row r="213">
          <cell r="A213" t="str">
            <v>-</v>
          </cell>
          <cell r="B213" t="str">
            <v>Rogerio Stanisci Gomes</v>
          </cell>
          <cell r="C213" t="str">
            <v>Maria Cleide Costa</v>
          </cell>
          <cell r="D213" t="str">
            <v>Hpe - Onsite Coordinator</v>
          </cell>
        </row>
        <row r="214">
          <cell r="A214" t="str">
            <v>-</v>
          </cell>
          <cell r="B214" t="str">
            <v>Yam Rodrigo Eugenio Santos</v>
          </cell>
          <cell r="C214" t="str">
            <v>Maria Cleide Costa</v>
          </cell>
          <cell r="D214" t="str">
            <v>Hpe - Onsite Coordinator</v>
          </cell>
        </row>
        <row r="215">
          <cell r="A215" t="str">
            <v>P2500125</v>
          </cell>
          <cell r="B215" t="str">
            <v>Omar Mauricio La Torre Medrano</v>
          </cell>
          <cell r="C215" t="str">
            <v>Maria Cleide Costa</v>
          </cell>
          <cell r="D215" t="str">
            <v>Hpe - Onsite Coordinator</v>
          </cell>
        </row>
        <row r="216">
          <cell r="A216" t="str">
            <v>P3287305</v>
          </cell>
          <cell r="B216" t="str">
            <v>Douglas Carvalho Vieira</v>
          </cell>
          <cell r="C216" t="str">
            <v>Maria Cleide Costa</v>
          </cell>
          <cell r="D216" t="str">
            <v>Hpe - Onsite Coordinator</v>
          </cell>
        </row>
        <row r="217">
          <cell r="A217" t="str">
            <v>P5014430</v>
          </cell>
          <cell r="B217" t="str">
            <v>Everton Eidi Tomizaki</v>
          </cell>
          <cell r="C217" t="str">
            <v>Priscila Mariana Da Silva</v>
          </cell>
          <cell r="D217" t="str">
            <v>Hpi - Pc</v>
          </cell>
        </row>
        <row r="218">
          <cell r="A218" t="str">
            <v>P7790078</v>
          </cell>
          <cell r="B218" t="str">
            <v>Elison Evaristo de Souza</v>
          </cell>
          <cell r="C218" t="str">
            <v>Priscila Mariana Da Silva</v>
          </cell>
          <cell r="D218" t="str">
            <v>Hpi - Pc</v>
          </cell>
        </row>
        <row r="219">
          <cell r="A219" t="str">
            <v>P8201748</v>
          </cell>
          <cell r="B219" t="str">
            <v>Thiago Lima Galhardo</v>
          </cell>
          <cell r="C219" t="str">
            <v>Priscila Mariana Da Silva</v>
          </cell>
          <cell r="D219" t="str">
            <v>Hpi - Pc</v>
          </cell>
        </row>
        <row r="220">
          <cell r="A220" t="str">
            <v>P5679154</v>
          </cell>
          <cell r="B220" t="str">
            <v>Takeo Guilheme Mizuno</v>
          </cell>
          <cell r="C220" t="str">
            <v>Priscila Mariana Da Silva</v>
          </cell>
          <cell r="D220" t="str">
            <v>Hpi - Pc</v>
          </cell>
        </row>
        <row r="221">
          <cell r="A221" t="str">
            <v>P8036103</v>
          </cell>
          <cell r="B221" t="str">
            <v>Thiago Lins Illipronti</v>
          </cell>
          <cell r="C221" t="str">
            <v>Priscila Mariana Da Silva</v>
          </cell>
          <cell r="D221" t="str">
            <v>Hpi - Pc</v>
          </cell>
        </row>
        <row r="222">
          <cell r="A222" t="str">
            <v>P2986624</v>
          </cell>
          <cell r="B222" t="str">
            <v>Samuel De Oliveira</v>
          </cell>
          <cell r="C222" t="str">
            <v>Priscila Mariana Da Silva</v>
          </cell>
          <cell r="D222" t="str">
            <v>Hpi - Pc</v>
          </cell>
        </row>
        <row r="223">
          <cell r="A223" t="str">
            <v>P4316223</v>
          </cell>
          <cell r="B223" t="str">
            <v>Patrik Alexandre Ramos</v>
          </cell>
          <cell r="C223" t="str">
            <v>Priscila Mariana Da Silva</v>
          </cell>
          <cell r="D223" t="str">
            <v>Hpi - Pc</v>
          </cell>
        </row>
        <row r="224">
          <cell r="A224" t="str">
            <v>P5713853</v>
          </cell>
          <cell r="B224" t="str">
            <v>Anderson Aparecido de Jesus</v>
          </cell>
          <cell r="C224" t="str">
            <v>Priscila Mariana Da Silva</v>
          </cell>
          <cell r="D224" t="str">
            <v>Hpi - Pc</v>
          </cell>
        </row>
        <row r="225">
          <cell r="A225" t="str">
            <v>P2588825</v>
          </cell>
          <cell r="B225" t="str">
            <v>João Pizato dos Santos</v>
          </cell>
          <cell r="C225" t="str">
            <v>Priscila Mariana Da Silva</v>
          </cell>
          <cell r="D225" t="str">
            <v>Hpi - Pc</v>
          </cell>
        </row>
        <row r="226">
          <cell r="A226" t="str">
            <v>P4464281</v>
          </cell>
          <cell r="B226" t="str">
            <v>Jose Rodrigo Trajano Da Silva</v>
          </cell>
          <cell r="C226" t="str">
            <v>Priscila Mariana Da Silva</v>
          </cell>
          <cell r="D226" t="str">
            <v>Hpi - Pc</v>
          </cell>
        </row>
        <row r="227">
          <cell r="A227" t="str">
            <v>P7760635</v>
          </cell>
          <cell r="B227" t="str">
            <v>Bruno Fagundes De Souza</v>
          </cell>
          <cell r="C227" t="str">
            <v>Priscila Mariana Da Silva</v>
          </cell>
          <cell r="D227" t="str">
            <v>Hpi - Pc</v>
          </cell>
        </row>
        <row r="228">
          <cell r="A228" t="str">
            <v>P2873920</v>
          </cell>
          <cell r="B228" t="str">
            <v>Jessica Bruna Romeiro De Souza</v>
          </cell>
          <cell r="C228" t="str">
            <v>Priscila Mariana Da Silva</v>
          </cell>
          <cell r="D228" t="str">
            <v>Hpi - Pc</v>
          </cell>
        </row>
        <row r="229">
          <cell r="A229" t="str">
            <v>P7529205</v>
          </cell>
          <cell r="B229" t="str">
            <v>Lazaro Barbosa De Oliveira</v>
          </cell>
          <cell r="C229" t="str">
            <v>Priscila Mariana Da Silva</v>
          </cell>
          <cell r="D229" t="str">
            <v>Hpi - Pc</v>
          </cell>
        </row>
        <row r="230">
          <cell r="A230" t="str">
            <v>P7159513</v>
          </cell>
          <cell r="B230" t="str">
            <v>Daniele Aparecida Napoleao Silveira</v>
          </cell>
          <cell r="C230" t="str">
            <v>Priscila Mariana Da Silva</v>
          </cell>
          <cell r="D230" t="str">
            <v>Hpi 1.5</v>
          </cell>
        </row>
        <row r="231">
          <cell r="A231" t="str">
            <v>P7607744</v>
          </cell>
          <cell r="B231" t="str">
            <v>Rafael Santana Florentino De Souza</v>
          </cell>
          <cell r="C231" t="str">
            <v>Priscila Mariana Da Silva</v>
          </cell>
          <cell r="D231" t="str">
            <v>Hpi 1.5</v>
          </cell>
        </row>
        <row r="232">
          <cell r="A232" t="str">
            <v>P2540978</v>
          </cell>
          <cell r="B232" t="str">
            <v>Patricia De Franca Ferreira</v>
          </cell>
          <cell r="C232" t="str">
            <v>Priscila Mariana Da Silva</v>
          </cell>
          <cell r="D232" t="str">
            <v>Hpi 1.5</v>
          </cell>
        </row>
        <row r="233">
          <cell r="A233" t="str">
            <v>P2053471</v>
          </cell>
          <cell r="B233" t="str">
            <v>Guilherme Silvano Silva</v>
          </cell>
          <cell r="C233" t="str">
            <v>Priscila Mariana Da Silva</v>
          </cell>
          <cell r="D233" t="str">
            <v>Hpi 1.5</v>
          </cell>
        </row>
        <row r="234">
          <cell r="A234" t="str">
            <v>P7203501</v>
          </cell>
          <cell r="B234" t="str">
            <v>Fernando Carlos Santos</v>
          </cell>
          <cell r="C234" t="str">
            <v>Priscila Mariana Da Silva</v>
          </cell>
          <cell r="D234" t="str">
            <v>Hpi Graphic Arts</v>
          </cell>
        </row>
        <row r="235">
          <cell r="A235" t="str">
            <v>P2231340</v>
          </cell>
          <cell r="B235" t="str">
            <v>Guilherme Schaefer Dos Santos</v>
          </cell>
          <cell r="C235" t="str">
            <v>Priscila Mariana Da Silva</v>
          </cell>
          <cell r="D235" t="str">
            <v>Hpi Graphic Arts</v>
          </cell>
        </row>
        <row r="236">
          <cell r="A236" t="str">
            <v>P5291018</v>
          </cell>
          <cell r="B236" t="str">
            <v>Hugo Pereira Torralvo</v>
          </cell>
          <cell r="C236" t="str">
            <v>Priscila Mariana Da Silva</v>
          </cell>
          <cell r="D236" t="str">
            <v>Hpi Graphic Arts</v>
          </cell>
        </row>
        <row r="237">
          <cell r="A237" t="str">
            <v>P6250497</v>
          </cell>
          <cell r="B237" t="str">
            <v>Daniel Pereira Da Silva</v>
          </cell>
          <cell r="C237" t="str">
            <v>Priscila Mariana Da Silva</v>
          </cell>
          <cell r="D237" t="str">
            <v>Hpi Graphic Arts</v>
          </cell>
        </row>
        <row r="238">
          <cell r="A238" t="str">
            <v>P3018712</v>
          </cell>
          <cell r="B238" t="str">
            <v>Elisangela Basilio Henrique</v>
          </cell>
          <cell r="C238" t="str">
            <v>Renata de Oliveira Peinado</v>
          </cell>
          <cell r="D238" t="str">
            <v>Hpi - Follow Up</v>
          </cell>
        </row>
        <row r="239">
          <cell r="A239" t="str">
            <v>P4197920</v>
          </cell>
          <cell r="B239" t="str">
            <v>Valdirene Maria Torres</v>
          </cell>
          <cell r="C239" t="str">
            <v>Renata de Oliveira Peinado</v>
          </cell>
          <cell r="D239" t="str">
            <v>Hpi - Follow Up</v>
          </cell>
        </row>
        <row r="240">
          <cell r="A240" t="str">
            <v>P1918974</v>
          </cell>
          <cell r="B240" t="str">
            <v>Renata Lopes Nascimento</v>
          </cell>
          <cell r="C240" t="str">
            <v>Renata de Oliveira Peinado</v>
          </cell>
          <cell r="D240" t="str">
            <v>Hpi - Follow Up</v>
          </cell>
        </row>
        <row r="241">
          <cell r="A241" t="str">
            <v>P0885746</v>
          </cell>
          <cell r="B241" t="str">
            <v>Erick Oliveira Ferreira</v>
          </cell>
          <cell r="C241" t="str">
            <v>Renata de Oliveira Peinado</v>
          </cell>
          <cell r="D241" t="str">
            <v>Hpi - Follow Up</v>
          </cell>
        </row>
        <row r="242">
          <cell r="A242" t="str">
            <v>P1358771</v>
          </cell>
          <cell r="B242" t="str">
            <v>Nathaly Lopes</v>
          </cell>
          <cell r="C242" t="str">
            <v>Renata de Oliveira Peinado</v>
          </cell>
          <cell r="D242" t="str">
            <v>Hpi - Follow Up</v>
          </cell>
        </row>
        <row r="243">
          <cell r="A243" t="str">
            <v>P3730506</v>
          </cell>
          <cell r="B243" t="str">
            <v>Bruna Nascimento De Souza</v>
          </cell>
          <cell r="C243" t="str">
            <v>Renata de Oliveira Peinado</v>
          </cell>
          <cell r="D243" t="str">
            <v>Hpi - Follow Up</v>
          </cell>
        </row>
        <row r="244">
          <cell r="A244" t="str">
            <v>P6322755</v>
          </cell>
          <cell r="B244" t="str">
            <v>Jairo Dos Santos Junior</v>
          </cell>
          <cell r="C244" t="str">
            <v>Renata de Oliveira Peinado</v>
          </cell>
          <cell r="D244" t="str">
            <v>Hpi - Follow Up</v>
          </cell>
        </row>
        <row r="245">
          <cell r="A245" t="str">
            <v>-</v>
          </cell>
          <cell r="B245" t="str">
            <v>Patricia Struck</v>
          </cell>
          <cell r="C245" t="str">
            <v>Renata de Oliveira Peinado</v>
          </cell>
          <cell r="D245" t="str">
            <v>Hpi - Follow Up</v>
          </cell>
        </row>
        <row r="246">
          <cell r="A246" t="str">
            <v>P7951017</v>
          </cell>
          <cell r="B246" t="str">
            <v>Bruno Fernando M. Pereira</v>
          </cell>
          <cell r="C246" t="str">
            <v>Renata de Oliveira Peinado</v>
          </cell>
          <cell r="D246" t="str">
            <v>Hpi - Follow Up</v>
          </cell>
        </row>
        <row r="247">
          <cell r="A247" t="str">
            <v>P5357175</v>
          </cell>
          <cell r="B247" t="str">
            <v>André Luiz De Oliveira Dos Santos</v>
          </cell>
          <cell r="C247" t="str">
            <v>Renata de Oliveira Peinado</v>
          </cell>
          <cell r="D247" t="str">
            <v>Hpi - Follow Up</v>
          </cell>
        </row>
        <row r="248">
          <cell r="A248" t="str">
            <v>P7881346</v>
          </cell>
          <cell r="B248" t="str">
            <v>Robson Marques da Silva Campos</v>
          </cell>
          <cell r="C248" t="str">
            <v>Renata de Oliveira Peinado</v>
          </cell>
          <cell r="D248" t="str">
            <v>Hpi - Follow Up</v>
          </cell>
        </row>
        <row r="249">
          <cell r="A249" t="str">
            <v>P2422040</v>
          </cell>
          <cell r="B249" t="str">
            <v>Juliana Fernandes Fileno Batista</v>
          </cell>
          <cell r="C249" t="str">
            <v>Renata de Oliveira Peinado</v>
          </cell>
          <cell r="D249" t="str">
            <v>Hpi - Follow Up</v>
          </cell>
        </row>
        <row r="250">
          <cell r="A250" t="str">
            <v>P6283752</v>
          </cell>
          <cell r="B250" t="str">
            <v>Jessica Da Silva Almeida</v>
          </cell>
          <cell r="C250" t="str">
            <v>Renata de Oliveira Peinado</v>
          </cell>
          <cell r="D250" t="str">
            <v>Hpi - Follow Up</v>
          </cell>
        </row>
        <row r="251">
          <cell r="A251" t="str">
            <v>P0778591</v>
          </cell>
          <cell r="B251" t="str">
            <v xml:space="preserve">Juliete Bispo De Oliveira </v>
          </cell>
          <cell r="C251" t="str">
            <v>Renata de Oliveira Peinado</v>
          </cell>
          <cell r="D251" t="str">
            <v>Hpi - Follow Up</v>
          </cell>
        </row>
        <row r="252">
          <cell r="A252" t="str">
            <v>P5016912</v>
          </cell>
          <cell r="B252" t="str">
            <v>Leandro Schimith</v>
          </cell>
          <cell r="C252" t="str">
            <v>Renata de Oliveira Peinado</v>
          </cell>
          <cell r="D252" t="str">
            <v>Mps - Ccsa</v>
          </cell>
        </row>
        <row r="253">
          <cell r="A253" t="str">
            <v>P5320550</v>
          </cell>
          <cell r="B253" t="str">
            <v>Jaime Gomes da Silva</v>
          </cell>
          <cell r="C253" t="str">
            <v>Renata de Oliveira Peinado</v>
          </cell>
          <cell r="D253" t="str">
            <v>Mps - Ccsa</v>
          </cell>
        </row>
        <row r="254">
          <cell r="A254" t="str">
            <v>P2289744</v>
          </cell>
          <cell r="B254" t="str">
            <v>Rodolpho Lopes Magalhaes Gabriel Gomes</v>
          </cell>
          <cell r="C254" t="str">
            <v>Renata de Oliveira Peinado</v>
          </cell>
          <cell r="D254" t="str">
            <v>Mps - Ccsa</v>
          </cell>
        </row>
        <row r="255">
          <cell r="A255" t="str">
            <v>P0355519</v>
          </cell>
          <cell r="B255" t="str">
            <v>João Henrique Da Silva</v>
          </cell>
          <cell r="C255" t="str">
            <v>Renata de Oliveira Peinado</v>
          </cell>
          <cell r="D255" t="str">
            <v>Mps - Ccsa</v>
          </cell>
        </row>
        <row r="256">
          <cell r="A256" t="str">
            <v>P2022882</v>
          </cell>
          <cell r="B256" t="str">
            <v>Jaqueline Plugliei Sobrinho</v>
          </cell>
          <cell r="C256" t="str">
            <v>Renata de Oliveira Peinado</v>
          </cell>
          <cell r="D256" t="str">
            <v>Mps - Ccsa</v>
          </cell>
        </row>
        <row r="257">
          <cell r="A257" t="str">
            <v>P6464194</v>
          </cell>
          <cell r="B257" t="str">
            <v xml:space="preserve">Talita Soares Dantas </v>
          </cell>
          <cell r="C257" t="str">
            <v>Renata de Oliveira Peinado</v>
          </cell>
          <cell r="D257" t="str">
            <v>Mps - Ccsa</v>
          </cell>
        </row>
        <row r="258">
          <cell r="A258" t="str">
            <v>P6418270</v>
          </cell>
          <cell r="B258" t="str">
            <v>Ariana Dias Da Silva</v>
          </cell>
          <cell r="C258" t="str">
            <v>Renata de Oliveira Peinado</v>
          </cell>
          <cell r="D258" t="str">
            <v>Mps - Ccsa Reports</v>
          </cell>
        </row>
        <row r="259">
          <cell r="A259" t="str">
            <v>P2794932</v>
          </cell>
          <cell r="B259" t="str">
            <v>Paulo Lucas Canuto De Souza</v>
          </cell>
          <cell r="C259" t="str">
            <v>Rodrigo Manganaro</v>
          </cell>
          <cell r="D259" t="str">
            <v>Hpi - Pc Quality</v>
          </cell>
        </row>
        <row r="260">
          <cell r="A260" t="str">
            <v>P2793344</v>
          </cell>
          <cell r="B260" t="str">
            <v>Camila Goncalves De Almeida Ramos</v>
          </cell>
          <cell r="C260" t="str">
            <v>Rodrigo Manganaro</v>
          </cell>
          <cell r="D260" t="str">
            <v>Hpi - Pc Quality</v>
          </cell>
        </row>
        <row r="261">
          <cell r="A261" t="str">
            <v>-</v>
          </cell>
          <cell r="B261" t="str">
            <v>Bruno Cesar Da Silva Alves</v>
          </cell>
          <cell r="C261" t="str">
            <v>Silvania Maria De Sena</v>
          </cell>
          <cell r="D261" t="str">
            <v>Hpe - Ccsa Reports</v>
          </cell>
        </row>
        <row r="262">
          <cell r="A262" t="str">
            <v>P4454392</v>
          </cell>
          <cell r="B262" t="str">
            <v>Guilherme Dias Barboza</v>
          </cell>
          <cell r="C262" t="str">
            <v>Silvania Maria De Sena</v>
          </cell>
          <cell r="D262" t="str">
            <v>Hpe - Ccsa Reports</v>
          </cell>
        </row>
        <row r="263">
          <cell r="A263" t="str">
            <v>P4537142</v>
          </cell>
          <cell r="B263" t="str">
            <v>Mirian Siqueira Gonçalves</v>
          </cell>
          <cell r="C263" t="str">
            <v>Silvania Maria De Sena</v>
          </cell>
          <cell r="D263" t="str">
            <v>Hpe - Onsite Coordinator</v>
          </cell>
        </row>
        <row r="264">
          <cell r="A264" t="str">
            <v>P0304663</v>
          </cell>
          <cell r="B264" t="str">
            <v>Erik Allan Moreira Oliveira Araujo</v>
          </cell>
          <cell r="C264" t="str">
            <v>Silvania Maria De Sena</v>
          </cell>
          <cell r="D264" t="str">
            <v>Hpe - Onsite Coordinator</v>
          </cell>
        </row>
        <row r="265">
          <cell r="A265" t="str">
            <v>P2814140</v>
          </cell>
          <cell r="B265" t="str">
            <v>Vinícius Moreira dos Santos</v>
          </cell>
          <cell r="C265" t="str">
            <v>Silvania Maria De Sena</v>
          </cell>
          <cell r="D265" t="str">
            <v>Hpe - Onsite Coordinator</v>
          </cell>
        </row>
        <row r="266">
          <cell r="A266" t="str">
            <v>-</v>
          </cell>
          <cell r="B266" t="str">
            <v>Josie Tiemi Arata</v>
          </cell>
          <cell r="C266" t="str">
            <v>Silvania Maria de Sena</v>
          </cell>
          <cell r="D266" t="str">
            <v>Hpe - Onsite Coordinator</v>
          </cell>
        </row>
        <row r="267">
          <cell r="A267" t="str">
            <v>P0057700</v>
          </cell>
          <cell r="B267" t="str">
            <v>Paula Santos De Brito</v>
          </cell>
          <cell r="C267" t="str">
            <v>Silvania Maria de Sena</v>
          </cell>
          <cell r="D267" t="str">
            <v>Hpe - Onsite Coordinator</v>
          </cell>
        </row>
        <row r="268">
          <cell r="A268" t="str">
            <v>P2177992</v>
          </cell>
          <cell r="B268" t="str">
            <v>Vanessa Marcos Guimaraes</v>
          </cell>
          <cell r="C268" t="str">
            <v>Silvania Maria De Sena</v>
          </cell>
          <cell r="D268" t="str">
            <v>Hpe - Onsite Coordinator</v>
          </cell>
        </row>
        <row r="269">
          <cell r="A269" t="str">
            <v>P3675660</v>
          </cell>
          <cell r="B269" t="str">
            <v>Simone Lucilio Alves</v>
          </cell>
          <cell r="C269" t="str">
            <v>Silvania Maria De Sena</v>
          </cell>
          <cell r="D269" t="str">
            <v>Hpe - Onsite Coordinator</v>
          </cell>
        </row>
        <row r="270">
          <cell r="A270" t="str">
            <v>P4210115</v>
          </cell>
          <cell r="B270" t="str">
            <v>Priscila Rodrigues da Cruz</v>
          </cell>
          <cell r="C270" t="str">
            <v>Silvania Maria De Sena</v>
          </cell>
          <cell r="D270" t="str">
            <v>Hpe - Onsite Coordinator</v>
          </cell>
        </row>
        <row r="271">
          <cell r="A271" t="str">
            <v>P0757157</v>
          </cell>
          <cell r="B271" t="str">
            <v>Kleber De Oliveira Viana</v>
          </cell>
          <cell r="C271" t="str">
            <v>Silvania Maria de Sena</v>
          </cell>
          <cell r="D271" t="str">
            <v>Hpe - Onsite Coordinator</v>
          </cell>
        </row>
        <row r="272">
          <cell r="A272" t="str">
            <v>P3451914</v>
          </cell>
          <cell r="B272" t="str">
            <v>Angélica dos Santos Oliveira</v>
          </cell>
          <cell r="C272" t="str">
            <v>Silvania Maria De Sena</v>
          </cell>
          <cell r="D272" t="str">
            <v>Hpe - Onsite Coordinator</v>
          </cell>
        </row>
        <row r="273">
          <cell r="A273" t="str">
            <v>P1113435</v>
          </cell>
          <cell r="B273" t="str">
            <v>Alessandra Aparecida Dos Santos Faria</v>
          </cell>
          <cell r="C273" t="str">
            <v>Silvania Maria de Sena</v>
          </cell>
          <cell r="D273" t="str">
            <v>Hpe - Onsite Coordinator</v>
          </cell>
        </row>
        <row r="274">
          <cell r="A274" t="str">
            <v>P4312909</v>
          </cell>
          <cell r="B274" t="str">
            <v>Evelyn Cristine Fernandes</v>
          </cell>
          <cell r="C274" t="str">
            <v>Silvania Maria De Sena</v>
          </cell>
          <cell r="D274" t="str">
            <v>Hpe - Onsite Coordinator</v>
          </cell>
        </row>
        <row r="275">
          <cell r="A275" t="str">
            <v>P2694580</v>
          </cell>
          <cell r="B275" t="str">
            <v>Marcia Rezende Zuca</v>
          </cell>
          <cell r="C275" t="str">
            <v>Silvania Maria De Sena</v>
          </cell>
          <cell r="D275" t="str">
            <v>Hpe - Onsite Coordinator</v>
          </cell>
        </row>
        <row r="276">
          <cell r="A276" t="str">
            <v>P4827992</v>
          </cell>
          <cell r="B276" t="str">
            <v>Patrícia Aparecida Feitoza</v>
          </cell>
          <cell r="C276" t="str">
            <v>Silvania Maria De Sena</v>
          </cell>
          <cell r="D276" t="str">
            <v>Hpe - Onsite Coordinator</v>
          </cell>
        </row>
        <row r="277">
          <cell r="A277" t="str">
            <v>-</v>
          </cell>
          <cell r="B277" t="str">
            <v>Hélio Henrique Roque</v>
          </cell>
          <cell r="C277" t="str">
            <v>Silvania Maria De Sena</v>
          </cell>
          <cell r="D277" t="str">
            <v>Hpe - Onsite Coordinator</v>
          </cell>
        </row>
        <row r="278">
          <cell r="A278" t="str">
            <v>-</v>
          </cell>
          <cell r="B278" t="str">
            <v>Marcio Feitoza Vieira Barreto</v>
          </cell>
          <cell r="C278" t="str">
            <v>Silvania Maria De Sena</v>
          </cell>
          <cell r="D278" t="str">
            <v>Hpe - Onsite Coordinator</v>
          </cell>
        </row>
        <row r="279">
          <cell r="A279" t="str">
            <v>-</v>
          </cell>
          <cell r="B279" t="str">
            <v>Giulianna Decco</v>
          </cell>
          <cell r="C279" t="str">
            <v>Silvania Maria De Sena</v>
          </cell>
          <cell r="D279" t="str">
            <v>Hpe - Onsite Coordinator</v>
          </cell>
        </row>
        <row r="280">
          <cell r="A280" t="str">
            <v>P0906858</v>
          </cell>
          <cell r="B280" t="str">
            <v>Michel Zuccatti</v>
          </cell>
          <cell r="C280" t="str">
            <v>Silvania Maria De Sena</v>
          </cell>
          <cell r="D280" t="str">
            <v>Hpe - Onsite Coordinator Trilingual</v>
          </cell>
        </row>
        <row r="281">
          <cell r="A281" t="str">
            <v>P3751539</v>
          </cell>
          <cell r="B281" t="str">
            <v>Eliene De Oliveira</v>
          </cell>
          <cell r="C281" t="str">
            <v>Silvania Maria de Sena</v>
          </cell>
          <cell r="D281" t="str">
            <v>Hpe - Queue Watcher</v>
          </cell>
        </row>
        <row r="282">
          <cell r="A282" t="str">
            <v>P2226664</v>
          </cell>
          <cell r="B282" t="str">
            <v>Silvanice Borges Oliveira</v>
          </cell>
          <cell r="C282" t="str">
            <v>Silvania Maria De Sena</v>
          </cell>
          <cell r="D282" t="str">
            <v>Hpe - Queue Watcher</v>
          </cell>
        </row>
        <row r="283">
          <cell r="A283" t="str">
            <v>P4059797</v>
          </cell>
          <cell r="B283" t="str">
            <v>Luciclece Brito De Morais</v>
          </cell>
          <cell r="C283" t="str">
            <v>Silvania Maria De Sena</v>
          </cell>
          <cell r="D283" t="str">
            <v>Hpe - Queue Watcher</v>
          </cell>
        </row>
      </sheetData>
      <sheetData sheetId="2">
        <row r="1">
          <cell r="A1" t="str">
            <v>Case ID</v>
          </cell>
          <cell r="B1" t="str">
            <v>Outcome</v>
          </cell>
          <cell r="C1" t="str">
            <v>Extract processing date</v>
          </cell>
        </row>
        <row r="3">
          <cell r="A3">
            <v>3034731505</v>
          </cell>
          <cell r="B3" t="str">
            <v>Bounced Back Emails</v>
          </cell>
          <cell r="C3">
            <v>42715.735337696759</v>
          </cell>
        </row>
        <row r="4">
          <cell r="A4">
            <v>3034626761</v>
          </cell>
          <cell r="B4" t="str">
            <v>Bounced Back Emails</v>
          </cell>
          <cell r="C4">
            <v>42715.735337696759</v>
          </cell>
        </row>
        <row r="5">
          <cell r="A5">
            <v>3034769782</v>
          </cell>
          <cell r="B5" t="str">
            <v>Bounced Back Emails</v>
          </cell>
          <cell r="C5">
            <v>42715.735337696759</v>
          </cell>
        </row>
        <row r="6">
          <cell r="A6">
            <v>3034732304</v>
          </cell>
          <cell r="B6" t="str">
            <v>Bounced Back Emails</v>
          </cell>
          <cell r="C6">
            <v>42715.735337696759</v>
          </cell>
        </row>
        <row r="7">
          <cell r="A7">
            <v>3034777208</v>
          </cell>
          <cell r="B7" t="str">
            <v>Bounced Back Emails</v>
          </cell>
          <cell r="C7">
            <v>42715.735337696759</v>
          </cell>
        </row>
        <row r="8">
          <cell r="A8">
            <v>3034779713</v>
          </cell>
          <cell r="B8" t="str">
            <v>Bounced Back Emails</v>
          </cell>
          <cell r="C8">
            <v>42715.735337696759</v>
          </cell>
        </row>
        <row r="9">
          <cell r="A9">
            <v>3034813983</v>
          </cell>
          <cell r="B9" t="str">
            <v>Bounced Back Emails</v>
          </cell>
          <cell r="C9">
            <v>42715.735337696759</v>
          </cell>
        </row>
        <row r="10">
          <cell r="A10">
            <v>3034652739</v>
          </cell>
          <cell r="B10" t="str">
            <v>Bounced Back Emails</v>
          </cell>
          <cell r="C10">
            <v>42715.735337696759</v>
          </cell>
        </row>
        <row r="11">
          <cell r="A11">
            <v>3034831247</v>
          </cell>
          <cell r="B11" t="str">
            <v>Bounced Back Emails</v>
          </cell>
          <cell r="C11">
            <v>42716.73400196759</v>
          </cell>
        </row>
        <row r="12">
          <cell r="A12">
            <v>3034732808</v>
          </cell>
          <cell r="B12" t="str">
            <v>Bounced Back Emails</v>
          </cell>
          <cell r="C12">
            <v>42716.73400196759</v>
          </cell>
        </row>
        <row r="13">
          <cell r="A13">
            <v>3034444903</v>
          </cell>
          <cell r="B13" t="str">
            <v>Bounced Back Emails</v>
          </cell>
          <cell r="C13">
            <v>42717.737089236114</v>
          </cell>
        </row>
        <row r="14">
          <cell r="A14">
            <v>3034957821</v>
          </cell>
          <cell r="B14" t="str">
            <v>Bounced Back Emails</v>
          </cell>
          <cell r="C14">
            <v>42720.7400221875</v>
          </cell>
        </row>
        <row r="15">
          <cell r="A15">
            <v>3034949053</v>
          </cell>
          <cell r="B15" t="str">
            <v>Bounced Back Emails</v>
          </cell>
          <cell r="C15">
            <v>42720.7400221875</v>
          </cell>
        </row>
        <row r="16">
          <cell r="A16">
            <v>3034948163</v>
          </cell>
          <cell r="B16" t="str">
            <v>Bounced Back Emails</v>
          </cell>
          <cell r="C16">
            <v>42720.7400221875</v>
          </cell>
        </row>
        <row r="17">
          <cell r="A17">
            <v>3034668285</v>
          </cell>
          <cell r="B17" t="str">
            <v>Bounced Back Emails</v>
          </cell>
          <cell r="C17">
            <v>42720.7400221875</v>
          </cell>
        </row>
        <row r="18">
          <cell r="A18">
            <v>3034866724</v>
          </cell>
          <cell r="B18" t="str">
            <v>Bounced Back Emails</v>
          </cell>
          <cell r="C18">
            <v>42720.7400221875</v>
          </cell>
        </row>
        <row r="19">
          <cell r="A19">
            <v>3034954729</v>
          </cell>
          <cell r="B19" t="str">
            <v>Bounced Back Emails</v>
          </cell>
          <cell r="C19">
            <v>42720.7400221875</v>
          </cell>
        </row>
        <row r="20">
          <cell r="A20">
            <v>3034949096</v>
          </cell>
          <cell r="B20" t="str">
            <v>Bounced Back Emails</v>
          </cell>
          <cell r="C20">
            <v>42720.7400221875</v>
          </cell>
        </row>
        <row r="21">
          <cell r="A21">
            <v>3034943406</v>
          </cell>
          <cell r="B21" t="str">
            <v>Bounced Back Emails</v>
          </cell>
          <cell r="C21">
            <v>42720.7400221875</v>
          </cell>
        </row>
        <row r="22">
          <cell r="A22">
            <v>3034944548</v>
          </cell>
          <cell r="B22" t="str">
            <v>Bounced Back Emails</v>
          </cell>
          <cell r="C22">
            <v>42720.7400221875</v>
          </cell>
        </row>
        <row r="23">
          <cell r="A23">
            <v>3034863660</v>
          </cell>
          <cell r="B23" t="str">
            <v>Bounced Back Emails</v>
          </cell>
          <cell r="C23">
            <v>42720.7400221875</v>
          </cell>
        </row>
        <row r="24">
          <cell r="A24">
            <v>3034914495</v>
          </cell>
          <cell r="B24" t="str">
            <v>Bounced Back Emails</v>
          </cell>
          <cell r="C24">
            <v>42720.7400221875</v>
          </cell>
        </row>
        <row r="25">
          <cell r="A25">
            <v>3034662643</v>
          </cell>
          <cell r="B25" t="str">
            <v>Bounced Back Emails</v>
          </cell>
          <cell r="C25">
            <v>42720.7400221875</v>
          </cell>
        </row>
        <row r="26">
          <cell r="A26">
            <v>3034567395</v>
          </cell>
          <cell r="B26" t="str">
            <v>Bounced Back Emails</v>
          </cell>
          <cell r="C26">
            <v>42720.7400221875</v>
          </cell>
        </row>
        <row r="27">
          <cell r="A27">
            <v>3034903936</v>
          </cell>
          <cell r="B27" t="str">
            <v>Bounced Back Emails</v>
          </cell>
          <cell r="C27">
            <v>42720.7400221875</v>
          </cell>
        </row>
        <row r="28">
          <cell r="A28">
            <v>3034909222</v>
          </cell>
          <cell r="B28" t="str">
            <v>Bounced Back Emails</v>
          </cell>
          <cell r="C28">
            <v>42720.7400221875</v>
          </cell>
        </row>
        <row r="29">
          <cell r="A29">
            <v>3034915368</v>
          </cell>
          <cell r="B29" t="str">
            <v>Bounced Back Emails</v>
          </cell>
          <cell r="C29">
            <v>42720.7400221875</v>
          </cell>
        </row>
        <row r="30">
          <cell r="A30">
            <v>3034912898</v>
          </cell>
          <cell r="B30" t="str">
            <v>Bounced Back Emails</v>
          </cell>
          <cell r="C30">
            <v>42720.7400221875</v>
          </cell>
        </row>
        <row r="31">
          <cell r="A31">
            <v>3034901685</v>
          </cell>
          <cell r="B31" t="str">
            <v>Bounced Back Emails</v>
          </cell>
          <cell r="C31">
            <v>42720.7400221875</v>
          </cell>
        </row>
        <row r="32">
          <cell r="A32">
            <v>3034591034</v>
          </cell>
          <cell r="B32" t="str">
            <v>Bounced Back Emails</v>
          </cell>
          <cell r="C32">
            <v>42720.7400221875</v>
          </cell>
        </row>
        <row r="33">
          <cell r="A33">
            <v>3034915257</v>
          </cell>
          <cell r="B33" t="str">
            <v>Bounced Back Emails</v>
          </cell>
          <cell r="C33">
            <v>42720.7400221875</v>
          </cell>
        </row>
        <row r="34">
          <cell r="A34">
            <v>3034879292</v>
          </cell>
          <cell r="B34" t="str">
            <v>Bounced Back Emails</v>
          </cell>
          <cell r="C34">
            <v>42720.7400221875</v>
          </cell>
        </row>
        <row r="35">
          <cell r="A35">
            <v>3034911279</v>
          </cell>
          <cell r="B35" t="str">
            <v>Bounced Back Emails</v>
          </cell>
          <cell r="C35">
            <v>42720.7400221875</v>
          </cell>
        </row>
        <row r="36">
          <cell r="A36">
            <v>3034916219</v>
          </cell>
          <cell r="B36" t="str">
            <v>Bounced Back Emails</v>
          </cell>
          <cell r="C36">
            <v>42720.7400221875</v>
          </cell>
        </row>
        <row r="37">
          <cell r="A37">
            <v>3034878092</v>
          </cell>
          <cell r="B37" t="str">
            <v>Bounced Back Emails</v>
          </cell>
          <cell r="C37">
            <v>42720.7400221875</v>
          </cell>
        </row>
        <row r="38">
          <cell r="A38">
            <v>3034937589</v>
          </cell>
          <cell r="B38" t="str">
            <v>Bounced Back Emails</v>
          </cell>
          <cell r="C38">
            <v>42720.7400221875</v>
          </cell>
        </row>
        <row r="39">
          <cell r="A39">
            <v>3034696362</v>
          </cell>
          <cell r="B39" t="str">
            <v>Bounced Back Emails</v>
          </cell>
          <cell r="C39">
            <v>42720.7400221875</v>
          </cell>
        </row>
        <row r="40">
          <cell r="A40">
            <v>3034876231</v>
          </cell>
          <cell r="B40" t="str">
            <v>Bounced Back Emails</v>
          </cell>
          <cell r="C40">
            <v>42720.7400221875</v>
          </cell>
        </row>
        <row r="41">
          <cell r="A41">
            <v>3034660159</v>
          </cell>
          <cell r="B41" t="str">
            <v>Bounced Back Emails</v>
          </cell>
          <cell r="C41">
            <v>42720.7400221875</v>
          </cell>
        </row>
        <row r="42">
          <cell r="A42">
            <v>3034861958</v>
          </cell>
          <cell r="B42" t="str">
            <v>Bounced Back Emails</v>
          </cell>
          <cell r="C42">
            <v>42720.7400221875</v>
          </cell>
        </row>
        <row r="43">
          <cell r="A43">
            <v>3034863122</v>
          </cell>
          <cell r="B43" t="str">
            <v>Bounced Back Emails</v>
          </cell>
          <cell r="C43">
            <v>42720.7400221875</v>
          </cell>
        </row>
        <row r="44">
          <cell r="A44">
            <v>3034868638</v>
          </cell>
          <cell r="B44" t="str">
            <v>Bounced Back Emails</v>
          </cell>
          <cell r="C44">
            <v>42720.7400221875</v>
          </cell>
        </row>
        <row r="45">
          <cell r="A45">
            <v>3034865268</v>
          </cell>
          <cell r="B45" t="str">
            <v>Bounced Back Emails</v>
          </cell>
          <cell r="C45">
            <v>42720.7400221875</v>
          </cell>
        </row>
        <row r="46">
          <cell r="A46">
            <v>3034940445</v>
          </cell>
          <cell r="B46" t="str">
            <v>Bounced Back Emails</v>
          </cell>
          <cell r="C46">
            <v>42720.7400221875</v>
          </cell>
        </row>
        <row r="47">
          <cell r="A47">
            <v>3034699720</v>
          </cell>
          <cell r="B47" t="str">
            <v>Bounced Back Emails</v>
          </cell>
          <cell r="C47">
            <v>42720.7400221875</v>
          </cell>
        </row>
        <row r="48">
          <cell r="A48">
            <v>3034866376</v>
          </cell>
          <cell r="B48" t="str">
            <v>Bounced Back Emails</v>
          </cell>
          <cell r="C48">
            <v>42720.7400221875</v>
          </cell>
        </row>
        <row r="49">
          <cell r="A49">
            <v>3034863992</v>
          </cell>
          <cell r="B49" t="str">
            <v>Bounced Back Emails</v>
          </cell>
          <cell r="C49">
            <v>42720.7400221875</v>
          </cell>
        </row>
        <row r="50">
          <cell r="A50">
            <v>3034939680</v>
          </cell>
          <cell r="B50" t="str">
            <v>Bounced Back Emails</v>
          </cell>
          <cell r="C50">
            <v>42720.7400221875</v>
          </cell>
        </row>
        <row r="51">
          <cell r="A51">
            <v>3034909047</v>
          </cell>
          <cell r="B51" t="str">
            <v>Bounced Back Emails</v>
          </cell>
          <cell r="C51">
            <v>42720.7400221875</v>
          </cell>
        </row>
        <row r="52">
          <cell r="A52">
            <v>3034865790</v>
          </cell>
          <cell r="B52" t="str">
            <v>Bounced Back Emails</v>
          </cell>
          <cell r="C52">
            <v>42720.7400221875</v>
          </cell>
        </row>
        <row r="53">
          <cell r="A53">
            <v>3034937681</v>
          </cell>
          <cell r="B53" t="str">
            <v>Bounced Back Emails</v>
          </cell>
          <cell r="C53">
            <v>42720.7400221875</v>
          </cell>
        </row>
        <row r="54">
          <cell r="A54">
            <v>3034947623</v>
          </cell>
          <cell r="B54" t="str">
            <v>Bounced Back Emails</v>
          </cell>
          <cell r="C54">
            <v>42720.7400221875</v>
          </cell>
        </row>
        <row r="55">
          <cell r="A55">
            <v>3035010671</v>
          </cell>
          <cell r="B55" t="str">
            <v>Bounced Back Emails</v>
          </cell>
          <cell r="C55">
            <v>42722.734715543978</v>
          </cell>
        </row>
        <row r="56">
          <cell r="A56">
            <v>3034971024</v>
          </cell>
          <cell r="B56" t="str">
            <v>Bounced Back Emails</v>
          </cell>
          <cell r="C56">
            <v>42722.734715543978</v>
          </cell>
        </row>
        <row r="57">
          <cell r="A57">
            <v>3035007079</v>
          </cell>
          <cell r="B57" t="str">
            <v>Bounced Back Emails</v>
          </cell>
          <cell r="C57">
            <v>42722.734715543978</v>
          </cell>
        </row>
        <row r="58">
          <cell r="A58">
            <v>3034915768</v>
          </cell>
          <cell r="B58" t="str">
            <v>Bounced Back Emails</v>
          </cell>
          <cell r="C58">
            <v>42722.734715543978</v>
          </cell>
        </row>
        <row r="59">
          <cell r="A59">
            <v>3035008560</v>
          </cell>
          <cell r="B59" t="str">
            <v>Bounced Back Emails</v>
          </cell>
          <cell r="C59">
            <v>42722.734715543978</v>
          </cell>
        </row>
        <row r="60">
          <cell r="A60">
            <v>3034916410</v>
          </cell>
          <cell r="B60" t="str">
            <v>Bounced Back Emails</v>
          </cell>
          <cell r="C60">
            <v>42722.734715543978</v>
          </cell>
        </row>
        <row r="61">
          <cell r="A61">
            <v>3034812782</v>
          </cell>
          <cell r="B61" t="str">
            <v>Bounced Back Emails</v>
          </cell>
          <cell r="C61">
            <v>42722.734715543978</v>
          </cell>
        </row>
        <row r="62">
          <cell r="A62">
            <v>3034981759</v>
          </cell>
          <cell r="B62" t="str">
            <v>Bounced Back Emails</v>
          </cell>
          <cell r="C62">
            <v>42722.734715543978</v>
          </cell>
        </row>
        <row r="63">
          <cell r="A63">
            <v>3034819862</v>
          </cell>
          <cell r="B63" t="str">
            <v>Bounced Back Emails</v>
          </cell>
          <cell r="C63">
            <v>42723.734847997686</v>
          </cell>
        </row>
        <row r="64">
          <cell r="A64">
            <v>3034903933</v>
          </cell>
          <cell r="B64" t="str">
            <v>Bounced Back Emails</v>
          </cell>
          <cell r="C64">
            <v>42723.734847997686</v>
          </cell>
        </row>
        <row r="65">
          <cell r="A65">
            <v>3034873536</v>
          </cell>
          <cell r="B65" t="str">
            <v>Bounced Back Emails</v>
          </cell>
          <cell r="C65">
            <v>42723.734847997686</v>
          </cell>
        </row>
        <row r="66">
          <cell r="A66">
            <v>3034672392</v>
          </cell>
          <cell r="B66" t="str">
            <v>Bounced Back Emails</v>
          </cell>
          <cell r="C66">
            <v>42723.734847997686</v>
          </cell>
        </row>
        <row r="67">
          <cell r="A67">
            <v>3034938102</v>
          </cell>
          <cell r="B67" t="str">
            <v>Bounced Back Emails</v>
          </cell>
          <cell r="C67">
            <v>42723.734847997686</v>
          </cell>
        </row>
        <row r="68">
          <cell r="A68">
            <v>3034989754</v>
          </cell>
          <cell r="B68" t="str">
            <v>Bounced Back Emails</v>
          </cell>
          <cell r="C68">
            <v>42723.734847997686</v>
          </cell>
        </row>
        <row r="69">
          <cell r="A69">
            <v>3034593540</v>
          </cell>
          <cell r="B69" t="str">
            <v>Bounced Back Emails</v>
          </cell>
          <cell r="C69">
            <v>42723.734847997686</v>
          </cell>
        </row>
        <row r="70">
          <cell r="A70">
            <v>3034818811</v>
          </cell>
          <cell r="B70" t="str">
            <v>Bounced Back Emails</v>
          </cell>
          <cell r="C70">
            <v>42723.734847997686</v>
          </cell>
        </row>
        <row r="71">
          <cell r="A71">
            <v>3035079550</v>
          </cell>
          <cell r="B71" t="str">
            <v>Bounced Back Emails</v>
          </cell>
          <cell r="C71">
            <v>42725.734927546298</v>
          </cell>
        </row>
        <row r="72">
          <cell r="A72">
            <v>3035076173</v>
          </cell>
          <cell r="B72" t="str">
            <v>Bounced Back Emails</v>
          </cell>
          <cell r="C72">
            <v>42725.734927546298</v>
          </cell>
        </row>
        <row r="73">
          <cell r="A73">
            <v>3035065701</v>
          </cell>
          <cell r="B73" t="str">
            <v>Bounced Back Emails</v>
          </cell>
          <cell r="C73">
            <v>42725.734927546298</v>
          </cell>
        </row>
        <row r="74">
          <cell r="A74">
            <v>3034833513</v>
          </cell>
          <cell r="B74" t="str">
            <v>Bounced Back Emails</v>
          </cell>
          <cell r="C74">
            <v>42725.734927546298</v>
          </cell>
        </row>
        <row r="75">
          <cell r="A75">
            <v>3035030232</v>
          </cell>
          <cell r="B75" t="str">
            <v>Bounced Back Emails</v>
          </cell>
          <cell r="C75">
            <v>42725.734927546298</v>
          </cell>
        </row>
        <row r="76">
          <cell r="A76">
            <v>3035063014</v>
          </cell>
          <cell r="B76" t="str">
            <v>Bounced Back Emails</v>
          </cell>
          <cell r="C76">
            <v>42725.734927546298</v>
          </cell>
        </row>
        <row r="77">
          <cell r="A77">
            <v>3035068068</v>
          </cell>
          <cell r="B77" t="str">
            <v>Bounced Back Emails</v>
          </cell>
          <cell r="C77">
            <v>42725.734927546298</v>
          </cell>
        </row>
        <row r="78">
          <cell r="A78">
            <v>3035083521</v>
          </cell>
          <cell r="B78" t="str">
            <v>Bounced Back Emails</v>
          </cell>
          <cell r="C78">
            <v>42725.734927546298</v>
          </cell>
        </row>
        <row r="79">
          <cell r="A79">
            <v>3034950375</v>
          </cell>
          <cell r="B79" t="str">
            <v>Bounced Back Emails</v>
          </cell>
          <cell r="C79">
            <v>42725.734927546298</v>
          </cell>
        </row>
        <row r="80">
          <cell r="A80">
            <v>3035064912</v>
          </cell>
          <cell r="B80" t="str">
            <v>Bounced Back Emails</v>
          </cell>
          <cell r="C80">
            <v>42725.734927546298</v>
          </cell>
        </row>
        <row r="81">
          <cell r="A81">
            <v>3035063626</v>
          </cell>
          <cell r="B81" t="str">
            <v>Bounced Back Emails</v>
          </cell>
          <cell r="C81">
            <v>42725.734927546298</v>
          </cell>
        </row>
        <row r="82">
          <cell r="A82">
            <v>3034948067</v>
          </cell>
          <cell r="B82" t="str">
            <v>Bounced Back Emails</v>
          </cell>
          <cell r="C82">
            <v>42725.734927546298</v>
          </cell>
        </row>
        <row r="83">
          <cell r="A83">
            <v>3035079005</v>
          </cell>
          <cell r="B83" t="str">
            <v>Bounced Back Emails</v>
          </cell>
          <cell r="C83">
            <v>42726.868314618056</v>
          </cell>
        </row>
        <row r="84">
          <cell r="A84">
            <v>3035116981</v>
          </cell>
          <cell r="B84" t="str">
            <v>Bounced Back Emails</v>
          </cell>
          <cell r="C84">
            <v>42726.868314618056</v>
          </cell>
        </row>
        <row r="85">
          <cell r="A85">
            <v>3035067347</v>
          </cell>
          <cell r="B85" t="str">
            <v>Bounced Back Emails</v>
          </cell>
          <cell r="C85">
            <v>42726.868314618056</v>
          </cell>
        </row>
        <row r="86">
          <cell r="A86">
            <v>3035082023</v>
          </cell>
          <cell r="B86" t="str">
            <v>Bounced Back Emails</v>
          </cell>
          <cell r="C86">
            <v>42726.868314618056</v>
          </cell>
        </row>
        <row r="87">
          <cell r="A87">
            <v>3035101852</v>
          </cell>
          <cell r="B87" t="str">
            <v>Bounced Back Emails</v>
          </cell>
          <cell r="C87">
            <v>42726.868314618056</v>
          </cell>
        </row>
        <row r="88">
          <cell r="A88">
            <v>3035100056</v>
          </cell>
          <cell r="B88" t="str">
            <v>Bounced Back Emails</v>
          </cell>
          <cell r="C88">
            <v>42726.868314618056</v>
          </cell>
        </row>
        <row r="89">
          <cell r="A89">
            <v>3035063473</v>
          </cell>
          <cell r="B89" t="str">
            <v>Bounced Back Emails</v>
          </cell>
          <cell r="C89">
            <v>42726.868314618056</v>
          </cell>
        </row>
        <row r="90">
          <cell r="A90">
            <v>3035078348</v>
          </cell>
          <cell r="B90" t="str">
            <v>Bounced Back Emails</v>
          </cell>
          <cell r="C90">
            <v>42726.868314618056</v>
          </cell>
        </row>
        <row r="91">
          <cell r="A91">
            <v>3035100714</v>
          </cell>
          <cell r="B91" t="str">
            <v>Bounced Back Emails</v>
          </cell>
          <cell r="C91">
            <v>42726.868314618056</v>
          </cell>
        </row>
        <row r="92">
          <cell r="A92">
            <v>3034870593</v>
          </cell>
          <cell r="B92" t="str">
            <v>Bounced Back Emails</v>
          </cell>
          <cell r="C92">
            <v>42726.868314618056</v>
          </cell>
        </row>
        <row r="93">
          <cell r="A93">
            <v>3035108883</v>
          </cell>
          <cell r="B93" t="str">
            <v>Bounced Back Emails</v>
          </cell>
          <cell r="C93">
            <v>42726.868314618056</v>
          </cell>
        </row>
        <row r="94">
          <cell r="A94">
            <v>3035099944</v>
          </cell>
          <cell r="B94" t="str">
            <v>Bounced Back Emails</v>
          </cell>
          <cell r="C94">
            <v>42726.868314618056</v>
          </cell>
        </row>
        <row r="95">
          <cell r="A95">
            <v>3035102717</v>
          </cell>
          <cell r="B95" t="str">
            <v>Bounced Back Emails</v>
          </cell>
          <cell r="C95">
            <v>42726.868314618056</v>
          </cell>
        </row>
        <row r="96">
          <cell r="A96">
            <v>3034988060</v>
          </cell>
          <cell r="B96" t="str">
            <v>Bounced Back Emails</v>
          </cell>
          <cell r="C96">
            <v>42726.868314618056</v>
          </cell>
        </row>
        <row r="97">
          <cell r="A97">
            <v>3035133165</v>
          </cell>
          <cell r="B97" t="str">
            <v>Bounced Back Emails</v>
          </cell>
          <cell r="C97">
            <v>42727.734570601853</v>
          </cell>
        </row>
        <row r="98">
          <cell r="A98">
            <v>3035108290</v>
          </cell>
          <cell r="B98" t="str">
            <v>Bounced Back Emails</v>
          </cell>
          <cell r="C98">
            <v>42727.734570601853</v>
          </cell>
        </row>
        <row r="99">
          <cell r="A99">
            <v>3035137440</v>
          </cell>
          <cell r="B99" t="str">
            <v>Bounced Back Emails</v>
          </cell>
          <cell r="C99">
            <v>42727.734570601853</v>
          </cell>
        </row>
        <row r="100">
          <cell r="A100">
            <v>3035143092</v>
          </cell>
          <cell r="B100" t="str">
            <v>Bounced Back Emails</v>
          </cell>
          <cell r="C100">
            <v>42727.734570601853</v>
          </cell>
        </row>
        <row r="101">
          <cell r="A101">
            <v>3035100936</v>
          </cell>
          <cell r="B101" t="str">
            <v>Bounced Back Emails</v>
          </cell>
          <cell r="C101">
            <v>42727.734570601853</v>
          </cell>
        </row>
        <row r="102">
          <cell r="A102">
            <v>3035131622</v>
          </cell>
          <cell r="B102" t="str">
            <v>Bounced Back Emails</v>
          </cell>
          <cell r="C102">
            <v>42727.734570601853</v>
          </cell>
        </row>
        <row r="103">
          <cell r="A103">
            <v>3035101977</v>
          </cell>
          <cell r="B103" t="str">
            <v>Bounced Back Emails</v>
          </cell>
          <cell r="C103">
            <v>42727.734570601853</v>
          </cell>
        </row>
        <row r="104">
          <cell r="A104">
            <v>3035111516</v>
          </cell>
          <cell r="B104" t="str">
            <v>Bounced Back Emails</v>
          </cell>
          <cell r="C104">
            <v>42727.734570601853</v>
          </cell>
        </row>
        <row r="105">
          <cell r="A105">
            <v>3034972870</v>
          </cell>
          <cell r="B105" t="str">
            <v>Bounced Back Emails</v>
          </cell>
          <cell r="C105">
            <v>42727.734570601853</v>
          </cell>
        </row>
        <row r="106">
          <cell r="A106">
            <v>3035170831</v>
          </cell>
          <cell r="B106" t="str">
            <v>Bounced Back Emails</v>
          </cell>
          <cell r="C106">
            <v>42728.734464780093</v>
          </cell>
        </row>
        <row r="107">
          <cell r="A107">
            <v>3035175908</v>
          </cell>
          <cell r="B107" t="str">
            <v>Bounced Back Emails</v>
          </cell>
          <cell r="C107">
            <v>42728.734464780093</v>
          </cell>
        </row>
        <row r="108">
          <cell r="A108">
            <v>3035175434</v>
          </cell>
          <cell r="B108" t="str">
            <v>Bounced Back Emails</v>
          </cell>
          <cell r="C108">
            <v>42728.734464780093</v>
          </cell>
        </row>
        <row r="109">
          <cell r="A109">
            <v>3035118676</v>
          </cell>
          <cell r="B109" t="str">
            <v>Bounced Back Emails</v>
          </cell>
          <cell r="C109">
            <v>42728.734464780093</v>
          </cell>
        </row>
        <row r="110">
          <cell r="A110">
            <v>3035114873</v>
          </cell>
          <cell r="B110" t="str">
            <v>Bounced Back Emails</v>
          </cell>
          <cell r="C110">
            <v>42728.734464780093</v>
          </cell>
        </row>
        <row r="111">
          <cell r="A111">
            <v>3035077684</v>
          </cell>
          <cell r="B111" t="str">
            <v>Bounced Back Emails</v>
          </cell>
          <cell r="C111">
            <v>42728.734464780093</v>
          </cell>
        </row>
        <row r="112">
          <cell r="A112">
            <v>3035146048</v>
          </cell>
          <cell r="B112" t="str">
            <v>Bounced Back Emails</v>
          </cell>
          <cell r="C112">
            <v>42729.734399733796</v>
          </cell>
        </row>
        <row r="113">
          <cell r="A113">
            <v>3035078729</v>
          </cell>
          <cell r="B113" t="str">
            <v>Bounced Back Emails</v>
          </cell>
          <cell r="C113">
            <v>42729.734399733796</v>
          </cell>
        </row>
        <row r="114">
          <cell r="A114">
            <v>3035203232</v>
          </cell>
          <cell r="B114" t="str">
            <v>Bounced Back Emails</v>
          </cell>
          <cell r="C114">
            <v>42729.734399733796</v>
          </cell>
        </row>
        <row r="115">
          <cell r="A115">
            <v>3035196421</v>
          </cell>
          <cell r="B115" t="str">
            <v>Bounced Back Emails</v>
          </cell>
          <cell r="C115">
            <v>42729.734399733796</v>
          </cell>
        </row>
        <row r="116">
          <cell r="A116">
            <v>3035110726</v>
          </cell>
          <cell r="B116" t="str">
            <v>Bounced Back Emails</v>
          </cell>
          <cell r="C116">
            <v>42729.734399733796</v>
          </cell>
        </row>
        <row r="117">
          <cell r="A117">
            <v>3035195854</v>
          </cell>
          <cell r="B117" t="str">
            <v>Bounced Back Emails</v>
          </cell>
          <cell r="C117">
            <v>42729.734399733796</v>
          </cell>
        </row>
        <row r="118">
          <cell r="A118">
            <v>3035192936</v>
          </cell>
          <cell r="B118" t="str">
            <v>Bounced Back Emails</v>
          </cell>
          <cell r="C118">
            <v>42729.734399733796</v>
          </cell>
        </row>
        <row r="119">
          <cell r="A119">
            <v>3035199203</v>
          </cell>
          <cell r="B119" t="str">
            <v>Bounced Back Emails</v>
          </cell>
          <cell r="C119">
            <v>42730.74507326389</v>
          </cell>
        </row>
        <row r="120">
          <cell r="A120">
            <v>3035176650</v>
          </cell>
          <cell r="B120" t="str">
            <v>Bounced Back Emails</v>
          </cell>
          <cell r="C120">
            <v>42730.74507326389</v>
          </cell>
        </row>
        <row r="121">
          <cell r="A121">
            <v>3035239551</v>
          </cell>
          <cell r="B121" t="str">
            <v>Bounced Back Emails</v>
          </cell>
          <cell r="C121">
            <v>42732.736728124997</v>
          </cell>
        </row>
        <row r="122">
          <cell r="A122">
            <v>3035231936</v>
          </cell>
          <cell r="B122" t="str">
            <v>Bounced Back Emails</v>
          </cell>
          <cell r="C122">
            <v>42732.736728124997</v>
          </cell>
        </row>
        <row r="123">
          <cell r="A123">
            <v>3034905236</v>
          </cell>
          <cell r="B123" t="str">
            <v>Bounced Back Emails</v>
          </cell>
          <cell r="C123">
            <v>42732.736728124997</v>
          </cell>
        </row>
        <row r="124">
          <cell r="A124">
            <v>3034877561</v>
          </cell>
          <cell r="B124" t="str">
            <v>Bounced Back Emails</v>
          </cell>
          <cell r="C124">
            <v>42732.736728124997</v>
          </cell>
        </row>
        <row r="125">
          <cell r="A125">
            <v>3035213297</v>
          </cell>
          <cell r="B125" t="str">
            <v>Bounced Back Emails</v>
          </cell>
          <cell r="C125">
            <v>42732.736728124997</v>
          </cell>
        </row>
        <row r="126">
          <cell r="A126">
            <v>3035067973</v>
          </cell>
          <cell r="B126" t="str">
            <v>Bounced Back Emails</v>
          </cell>
          <cell r="C126">
            <v>42732.736728124997</v>
          </cell>
        </row>
        <row r="127">
          <cell r="A127">
            <v>3035232896</v>
          </cell>
          <cell r="B127" t="str">
            <v>Bounced Back Emails</v>
          </cell>
          <cell r="C127">
            <v>42732.736728124997</v>
          </cell>
        </row>
        <row r="128">
          <cell r="A128">
            <v>3035014839</v>
          </cell>
          <cell r="B128" t="str">
            <v>Bounced Back Emails</v>
          </cell>
          <cell r="C128">
            <v>42733.736311956018</v>
          </cell>
        </row>
        <row r="129">
          <cell r="A129">
            <v>3034938226</v>
          </cell>
          <cell r="B129" t="str">
            <v>Bounced Back Emails</v>
          </cell>
          <cell r="C129">
            <v>42733.736311956018</v>
          </cell>
        </row>
        <row r="130">
          <cell r="A130">
            <v>3034952504</v>
          </cell>
          <cell r="B130" t="str">
            <v>Bounced Back Emails</v>
          </cell>
          <cell r="C130">
            <v>42733.736311956018</v>
          </cell>
        </row>
        <row r="131">
          <cell r="A131">
            <v>3035231126</v>
          </cell>
          <cell r="B131" t="str">
            <v>Bounced Back Emails</v>
          </cell>
          <cell r="C131">
            <v>42733.736311956018</v>
          </cell>
        </row>
        <row r="132">
          <cell r="A132">
            <v>3035245389</v>
          </cell>
          <cell r="B132" t="str">
            <v>Bounced Back Emails</v>
          </cell>
          <cell r="C132">
            <v>42733.736311956018</v>
          </cell>
        </row>
        <row r="133">
          <cell r="A133">
            <v>3035260135</v>
          </cell>
          <cell r="B133" t="str">
            <v>Bounced Back Emails</v>
          </cell>
          <cell r="C133">
            <v>42733.736311956018</v>
          </cell>
        </row>
        <row r="134">
          <cell r="A134">
            <v>3035261026</v>
          </cell>
          <cell r="B134" t="str">
            <v>Bounced Back Emails</v>
          </cell>
          <cell r="C134">
            <v>42733.736311956018</v>
          </cell>
        </row>
        <row r="135">
          <cell r="A135">
            <v>3035100715</v>
          </cell>
          <cell r="B135" t="str">
            <v>Bounced Back Emails</v>
          </cell>
          <cell r="C135">
            <v>42733.736311956018</v>
          </cell>
        </row>
        <row r="136">
          <cell r="A136">
            <v>3035261683</v>
          </cell>
          <cell r="B136" t="str">
            <v>Bounced Back Emails</v>
          </cell>
          <cell r="C136">
            <v>42733.736311956018</v>
          </cell>
        </row>
        <row r="137">
          <cell r="A137">
            <v>3035266602</v>
          </cell>
          <cell r="B137" t="str">
            <v>Bounced Back Emails</v>
          </cell>
          <cell r="C137">
            <v>42733.736311956018</v>
          </cell>
        </row>
        <row r="138">
          <cell r="A138">
            <v>3035240978</v>
          </cell>
          <cell r="B138" t="str">
            <v>Bounced Back Emails</v>
          </cell>
          <cell r="C138">
            <v>42733.736311956018</v>
          </cell>
        </row>
        <row r="139">
          <cell r="A139">
            <v>3035114749</v>
          </cell>
          <cell r="B139" t="str">
            <v>Bounced Back Emails</v>
          </cell>
          <cell r="C139">
            <v>42733.736311956018</v>
          </cell>
        </row>
        <row r="140">
          <cell r="A140">
            <v>3035236056</v>
          </cell>
          <cell r="B140" t="str">
            <v>Bounced Back Emails</v>
          </cell>
          <cell r="C140">
            <v>42733.736311956018</v>
          </cell>
        </row>
        <row r="141">
          <cell r="A141">
            <v>3035266398</v>
          </cell>
          <cell r="B141" t="str">
            <v>Bounced Back Emails</v>
          </cell>
          <cell r="C141">
            <v>42733.736311956018</v>
          </cell>
        </row>
        <row r="142">
          <cell r="A142">
            <v>3035263346</v>
          </cell>
          <cell r="B142" t="str">
            <v>Bounced Back Emails</v>
          </cell>
          <cell r="C142">
            <v>42733.736311956018</v>
          </cell>
        </row>
        <row r="143">
          <cell r="A143">
            <v>3035239722</v>
          </cell>
          <cell r="B143" t="str">
            <v>Bounced Back Emails</v>
          </cell>
          <cell r="C143">
            <v>42733.736311956018</v>
          </cell>
        </row>
        <row r="144">
          <cell r="A144">
            <v>3035064625</v>
          </cell>
          <cell r="B144" t="str">
            <v>Bounced Back Emails</v>
          </cell>
          <cell r="C144">
            <v>42734.736929016202</v>
          </cell>
        </row>
        <row r="145">
          <cell r="A145">
            <v>3035301893</v>
          </cell>
          <cell r="B145" t="str">
            <v>Bounced Back Emails</v>
          </cell>
          <cell r="C145">
            <v>42734.736929016202</v>
          </cell>
        </row>
        <row r="146">
          <cell r="A146">
            <v>3035293533</v>
          </cell>
          <cell r="B146" t="str">
            <v>Bounced Back Emails</v>
          </cell>
          <cell r="C146">
            <v>42734.736929016202</v>
          </cell>
        </row>
        <row r="147">
          <cell r="A147">
            <v>3035231166</v>
          </cell>
          <cell r="B147" t="str">
            <v>Bounced Back Emails</v>
          </cell>
          <cell r="C147">
            <v>42734.736929016202</v>
          </cell>
        </row>
        <row r="148">
          <cell r="A148">
            <v>3035301792</v>
          </cell>
          <cell r="B148" t="str">
            <v>Bounced Back Emails</v>
          </cell>
          <cell r="C148">
            <v>42734.736929016202</v>
          </cell>
        </row>
        <row r="149">
          <cell r="A149">
            <v>3035294850</v>
          </cell>
          <cell r="B149" t="str">
            <v>Bounced Back Emails</v>
          </cell>
          <cell r="C149">
            <v>42734.736929016202</v>
          </cell>
        </row>
        <row r="150">
          <cell r="A150">
            <v>3035269431</v>
          </cell>
          <cell r="B150" t="str">
            <v>Bounced Back Emails</v>
          </cell>
          <cell r="C150">
            <v>42735.736799421298</v>
          </cell>
        </row>
        <row r="151">
          <cell r="A151">
            <v>3035305067</v>
          </cell>
          <cell r="B151" t="str">
            <v>Bounced Back Emails</v>
          </cell>
          <cell r="C151">
            <v>42735.736799421298</v>
          </cell>
        </row>
        <row r="152">
          <cell r="A152">
            <v>3035308436</v>
          </cell>
          <cell r="B152" t="str">
            <v>Bounced Back Emails</v>
          </cell>
          <cell r="C152">
            <v>42735.736799421298</v>
          </cell>
        </row>
        <row r="153">
          <cell r="A153">
            <v>3035338114</v>
          </cell>
          <cell r="B153" t="str">
            <v>Bounced Back Emails</v>
          </cell>
          <cell r="C153">
            <v>42735.736799421298</v>
          </cell>
        </row>
        <row r="154">
          <cell r="A154">
            <v>3035331280</v>
          </cell>
          <cell r="B154" t="str">
            <v>Bounced Back Emails</v>
          </cell>
          <cell r="C154">
            <v>42735.736799421298</v>
          </cell>
        </row>
        <row r="155">
          <cell r="A155">
            <v>3035085619</v>
          </cell>
          <cell r="B155" t="str">
            <v>Bounced Back Emails</v>
          </cell>
          <cell r="C155">
            <v>42735.736799421298</v>
          </cell>
        </row>
        <row r="156">
          <cell r="A156">
            <v>3035367584</v>
          </cell>
          <cell r="B156" t="str">
            <v>Bounced Back Emails</v>
          </cell>
          <cell r="C156">
            <v>42736.734471099538</v>
          </cell>
        </row>
        <row r="157">
          <cell r="A157">
            <v>3035296407</v>
          </cell>
          <cell r="B157" t="str">
            <v>Bounced Back Emails</v>
          </cell>
          <cell r="C157">
            <v>42736.734471099538</v>
          </cell>
        </row>
        <row r="158">
          <cell r="A158">
            <v>3035355899</v>
          </cell>
          <cell r="B158" t="str">
            <v>Bounced Back Emails</v>
          </cell>
          <cell r="C158">
            <v>42736.734471099538</v>
          </cell>
        </row>
        <row r="159">
          <cell r="A159">
            <v>3035408701</v>
          </cell>
          <cell r="B159" t="str">
            <v>Bounced Back Emails</v>
          </cell>
          <cell r="C159">
            <v>42739.737638969906</v>
          </cell>
        </row>
        <row r="160">
          <cell r="A160">
            <v>3035419079</v>
          </cell>
          <cell r="B160" t="str">
            <v>Bounced Back Emails</v>
          </cell>
          <cell r="C160">
            <v>42739.737638969906</v>
          </cell>
        </row>
        <row r="161">
          <cell r="A161">
            <v>3035169845</v>
          </cell>
          <cell r="B161" t="str">
            <v>Bounced Back Emails</v>
          </cell>
          <cell r="C161">
            <v>42739.737638969906</v>
          </cell>
        </row>
        <row r="162">
          <cell r="A162">
            <v>3035303083</v>
          </cell>
          <cell r="B162" t="str">
            <v>Bounced Back Emails</v>
          </cell>
          <cell r="C162">
            <v>42739.737638969906</v>
          </cell>
        </row>
        <row r="163">
          <cell r="A163">
            <v>3035412649</v>
          </cell>
          <cell r="B163" t="str">
            <v>Bounced Back Emails</v>
          </cell>
          <cell r="C163">
            <v>42739.737638969906</v>
          </cell>
        </row>
        <row r="164">
          <cell r="A164">
            <v>3035408002</v>
          </cell>
          <cell r="B164" t="str">
            <v>Bounced Back Emails</v>
          </cell>
          <cell r="C164">
            <v>42739.737638969906</v>
          </cell>
        </row>
        <row r="165">
          <cell r="A165">
            <v>3035410718</v>
          </cell>
          <cell r="B165" t="str">
            <v>Bounced Back Emails</v>
          </cell>
          <cell r="C165">
            <v>42739.737638969906</v>
          </cell>
        </row>
        <row r="166">
          <cell r="A166">
            <v>3035409292</v>
          </cell>
          <cell r="B166" t="str">
            <v>Bounced Back Emails</v>
          </cell>
          <cell r="C166">
            <v>42740.737851504629</v>
          </cell>
        </row>
        <row r="167">
          <cell r="A167">
            <v>3035336183</v>
          </cell>
          <cell r="B167" t="str">
            <v>Bounced Back Emails</v>
          </cell>
          <cell r="C167">
            <v>42740.737851504629</v>
          </cell>
        </row>
        <row r="168">
          <cell r="A168">
            <v>3035292206</v>
          </cell>
          <cell r="B168" t="str">
            <v>Bounced Back Emails</v>
          </cell>
          <cell r="C168">
            <v>42740.737851504629</v>
          </cell>
        </row>
        <row r="169">
          <cell r="A169">
            <v>3035399497</v>
          </cell>
          <cell r="B169" t="str">
            <v>Bounced Back Emails</v>
          </cell>
          <cell r="C169">
            <v>42740.737851504629</v>
          </cell>
        </row>
        <row r="170">
          <cell r="A170">
            <v>3035434744</v>
          </cell>
          <cell r="B170" t="str">
            <v>Bounced Back Emails</v>
          </cell>
          <cell r="C170">
            <v>42740.737851504629</v>
          </cell>
        </row>
        <row r="171">
          <cell r="A171">
            <v>3035430858</v>
          </cell>
          <cell r="B171" t="str">
            <v>Bounced Back Emails</v>
          </cell>
          <cell r="C171">
            <v>42740.737851504629</v>
          </cell>
        </row>
        <row r="172">
          <cell r="A172">
            <v>3035433649</v>
          </cell>
          <cell r="B172" t="str">
            <v>Bounced Back Emails</v>
          </cell>
          <cell r="C172">
            <v>42740.737851504629</v>
          </cell>
        </row>
        <row r="173">
          <cell r="A173">
            <v>3035294170</v>
          </cell>
          <cell r="B173" t="str">
            <v>Bounced Back Emails</v>
          </cell>
          <cell r="C173">
            <v>42740.737851504629</v>
          </cell>
        </row>
        <row r="174">
          <cell r="A174">
            <v>3035437359</v>
          </cell>
          <cell r="B174" t="str">
            <v>Bounced Back Emails</v>
          </cell>
          <cell r="C174">
            <v>42740.737851504629</v>
          </cell>
        </row>
        <row r="175">
          <cell r="A175">
            <v>3035449376</v>
          </cell>
          <cell r="B175" t="str">
            <v>Bounced Back Emails</v>
          </cell>
          <cell r="C175">
            <v>42740.737851504629</v>
          </cell>
        </row>
        <row r="176">
          <cell r="A176">
            <v>3035481385</v>
          </cell>
          <cell r="B176" t="str">
            <v>Bounced Back Emails</v>
          </cell>
          <cell r="C176">
            <v>42741.73704378472</v>
          </cell>
        </row>
        <row r="177">
          <cell r="A177">
            <v>3035440512</v>
          </cell>
          <cell r="B177" t="str">
            <v>Bounced Back Emails</v>
          </cell>
          <cell r="C177">
            <v>42741.73704378472</v>
          </cell>
        </row>
        <row r="178">
          <cell r="A178">
            <v>3035271300</v>
          </cell>
          <cell r="B178" t="str">
            <v>Bounced Back Emails</v>
          </cell>
          <cell r="C178">
            <v>42741.73704378472</v>
          </cell>
        </row>
        <row r="179">
          <cell r="A179">
            <v>3035447112</v>
          </cell>
          <cell r="B179" t="str">
            <v>Bounced Back Emails</v>
          </cell>
          <cell r="C179">
            <v>42741.73704378472</v>
          </cell>
        </row>
        <row r="180">
          <cell r="A180">
            <v>3035470194</v>
          </cell>
          <cell r="B180" t="str">
            <v>Bounced Back Emails</v>
          </cell>
          <cell r="C180">
            <v>42741.73704378472</v>
          </cell>
        </row>
        <row r="181">
          <cell r="A181">
            <v>3035482361</v>
          </cell>
          <cell r="B181" t="str">
            <v>Bounced Back Emails</v>
          </cell>
          <cell r="C181">
            <v>42741.73704378472</v>
          </cell>
        </row>
        <row r="182">
          <cell r="A182">
            <v>3035478139</v>
          </cell>
          <cell r="B182" t="str">
            <v>Bounced Back Emails</v>
          </cell>
          <cell r="C182">
            <v>42741.73704378472</v>
          </cell>
        </row>
        <row r="183">
          <cell r="A183">
            <v>3035521066</v>
          </cell>
          <cell r="B183" t="str">
            <v>Bounced Back Emails</v>
          </cell>
          <cell r="C183">
            <v>42742.73709116898</v>
          </cell>
        </row>
        <row r="184">
          <cell r="A184">
            <v>3035484966</v>
          </cell>
          <cell r="B184" t="str">
            <v>Bounced Back Emails</v>
          </cell>
          <cell r="C184">
            <v>42742.73709116898</v>
          </cell>
        </row>
        <row r="185">
          <cell r="A185">
            <v>3035514870</v>
          </cell>
          <cell r="B185" t="str">
            <v>Bounced Back Emails</v>
          </cell>
          <cell r="C185">
            <v>42742.73709116898</v>
          </cell>
        </row>
        <row r="186">
          <cell r="A186">
            <v>3035525123</v>
          </cell>
          <cell r="B186" t="str">
            <v>Bounced Back Emails</v>
          </cell>
          <cell r="C186">
            <v>42742.73709116898</v>
          </cell>
        </row>
        <row r="187">
          <cell r="A187">
            <v>3035517566</v>
          </cell>
          <cell r="B187" t="str">
            <v>Bounced Back Emails</v>
          </cell>
          <cell r="C187">
            <v>42742.73709116898</v>
          </cell>
        </row>
        <row r="188">
          <cell r="A188">
            <v>3035265402</v>
          </cell>
          <cell r="B188" t="str">
            <v>Bounced Back Emails</v>
          </cell>
          <cell r="C188">
            <v>42742.73709116898</v>
          </cell>
        </row>
        <row r="189">
          <cell r="A189">
            <v>3035239354</v>
          </cell>
          <cell r="B189" t="str">
            <v>Bounced Back Emails</v>
          </cell>
          <cell r="C189">
            <v>42742.73709116898</v>
          </cell>
        </row>
        <row r="190">
          <cell r="A190">
            <v>3035471628</v>
          </cell>
          <cell r="B190" t="str">
            <v>Bounced Back Emails</v>
          </cell>
          <cell r="C190">
            <v>42742.73709116898</v>
          </cell>
        </row>
        <row r="191">
          <cell r="A191">
            <v>3035524840</v>
          </cell>
          <cell r="B191" t="str">
            <v>Bounced Back Emails</v>
          </cell>
          <cell r="C191">
            <v>42743.735176273149</v>
          </cell>
        </row>
        <row r="192">
          <cell r="A192">
            <v>3035543323</v>
          </cell>
          <cell r="B192" t="str">
            <v>Bounced Back Emails</v>
          </cell>
          <cell r="C192">
            <v>42743.735176273149</v>
          </cell>
        </row>
        <row r="193">
          <cell r="A193">
            <v>3035508162</v>
          </cell>
          <cell r="B193" t="str">
            <v>Bounced Back Emails</v>
          </cell>
          <cell r="C193">
            <v>42743.735176273149</v>
          </cell>
        </row>
        <row r="194">
          <cell r="A194">
            <v>3035550109</v>
          </cell>
          <cell r="B194" t="str">
            <v>Bounced Back Emails</v>
          </cell>
          <cell r="C194">
            <v>42743.735176273149</v>
          </cell>
        </row>
        <row r="195">
          <cell r="A195">
            <v>3035526852</v>
          </cell>
          <cell r="B195" t="str">
            <v>Bounced Back Emails</v>
          </cell>
          <cell r="C195">
            <v>42743.735176273149</v>
          </cell>
        </row>
        <row r="196">
          <cell r="A196">
            <v>3035554097</v>
          </cell>
          <cell r="B196" t="str">
            <v>Bounced Back Emails</v>
          </cell>
          <cell r="C196">
            <v>42743.735176273149</v>
          </cell>
        </row>
        <row r="197">
          <cell r="A197">
            <v>3035543030</v>
          </cell>
          <cell r="B197" t="str">
            <v>Bounced Back Emails</v>
          </cell>
          <cell r="C197">
            <v>42743.735176273149</v>
          </cell>
        </row>
        <row r="198">
          <cell r="A198">
            <v>3035523042</v>
          </cell>
          <cell r="B198" t="str">
            <v>Bounced Back Emails</v>
          </cell>
          <cell r="C198">
            <v>42743.735176273149</v>
          </cell>
        </row>
        <row r="199">
          <cell r="A199">
            <v>3035541917</v>
          </cell>
          <cell r="B199" t="str">
            <v>Bounced Back Emails</v>
          </cell>
          <cell r="C199">
            <v>42743.735176273149</v>
          </cell>
        </row>
        <row r="200">
          <cell r="A200">
            <v>3035507108</v>
          </cell>
          <cell r="B200" t="str">
            <v>Bounced Back Emails</v>
          </cell>
          <cell r="C200">
            <v>42743.735176273149</v>
          </cell>
        </row>
        <row r="201">
          <cell r="A201">
            <v>3035571946</v>
          </cell>
          <cell r="B201" t="str">
            <v>Bounced Back Emails</v>
          </cell>
          <cell r="C201">
            <v>42744.734167210649</v>
          </cell>
        </row>
        <row r="202">
          <cell r="A202">
            <v>3035544685</v>
          </cell>
          <cell r="B202" t="str">
            <v>Bounced Back Emails</v>
          </cell>
          <cell r="C202">
            <v>42746.737756446761</v>
          </cell>
        </row>
        <row r="203">
          <cell r="A203">
            <v>3035613842</v>
          </cell>
          <cell r="B203" t="str">
            <v>Bounced Back Emails</v>
          </cell>
          <cell r="C203">
            <v>42746.737756446761</v>
          </cell>
        </row>
        <row r="204">
          <cell r="A204">
            <v>3035604947</v>
          </cell>
          <cell r="B204" t="str">
            <v>Bounced Back Emails</v>
          </cell>
          <cell r="C204">
            <v>42746.737756446761</v>
          </cell>
        </row>
        <row r="205">
          <cell r="A205">
            <v>3035616099</v>
          </cell>
          <cell r="B205" t="str">
            <v>Bounced Back Emails</v>
          </cell>
          <cell r="C205">
            <v>42746.737756446761</v>
          </cell>
        </row>
        <row r="206">
          <cell r="A206">
            <v>3035607306</v>
          </cell>
          <cell r="B206" t="str">
            <v>Bounced Back Emails</v>
          </cell>
          <cell r="C206">
            <v>42746.737756446761</v>
          </cell>
        </row>
        <row r="207">
          <cell r="A207">
            <v>3035601291</v>
          </cell>
          <cell r="B207" t="str">
            <v>Bounced Back Emails</v>
          </cell>
          <cell r="C207">
            <v>42746.737756446761</v>
          </cell>
        </row>
        <row r="208">
          <cell r="A208">
            <v>3035515300</v>
          </cell>
          <cell r="B208" t="str">
            <v>Bounced Back Emails</v>
          </cell>
          <cell r="C208">
            <v>42746.737756446761</v>
          </cell>
        </row>
        <row r="209">
          <cell r="A209">
            <v>3035607918</v>
          </cell>
          <cell r="B209" t="str">
            <v>Bounced Back Emails</v>
          </cell>
          <cell r="C209">
            <v>42746.737756446761</v>
          </cell>
        </row>
        <row r="210">
          <cell r="A210">
            <v>3035508820</v>
          </cell>
          <cell r="B210" t="str">
            <v>Bounced Back Emails</v>
          </cell>
          <cell r="C210">
            <v>42746.737756446761</v>
          </cell>
        </row>
        <row r="211">
          <cell r="A211">
            <v>3035605439</v>
          </cell>
          <cell r="B211" t="str">
            <v>Bounced Back Emails</v>
          </cell>
          <cell r="C211">
            <v>42746.737756446761</v>
          </cell>
        </row>
        <row r="212">
          <cell r="A212">
            <v>3035555026</v>
          </cell>
          <cell r="B212" t="str">
            <v>Bounced Back Emails</v>
          </cell>
          <cell r="C212">
            <v>42746.737756446761</v>
          </cell>
        </row>
        <row r="213">
          <cell r="A213">
            <v>3035524042</v>
          </cell>
          <cell r="B213" t="str">
            <v>Bounced Back Emails</v>
          </cell>
          <cell r="C213">
            <v>42746.737756446761</v>
          </cell>
        </row>
        <row r="214">
          <cell r="A214">
            <v>3035614305</v>
          </cell>
          <cell r="B214" t="str">
            <v>Bounced Back Emails</v>
          </cell>
          <cell r="C214">
            <v>42746.737756446761</v>
          </cell>
        </row>
        <row r="215">
          <cell r="A215">
            <v>3034731648</v>
          </cell>
          <cell r="B215" t="str">
            <v>Bounced Back Emails</v>
          </cell>
          <cell r="C215">
            <v>42746.737788773149</v>
          </cell>
        </row>
        <row r="216">
          <cell r="A216">
            <v>3035642168</v>
          </cell>
          <cell r="B216" t="str">
            <v>Bounced Back Emails</v>
          </cell>
          <cell r="C216">
            <v>42747.737639085652</v>
          </cell>
        </row>
        <row r="217">
          <cell r="A217">
            <v>3035542541</v>
          </cell>
          <cell r="B217" t="str">
            <v>Bounced Back Emails</v>
          </cell>
          <cell r="C217">
            <v>42747.737639085652</v>
          </cell>
        </row>
        <row r="218">
          <cell r="A218">
            <v>3035646604</v>
          </cell>
          <cell r="B218" t="str">
            <v>Bounced Back Emails</v>
          </cell>
          <cell r="C218">
            <v>42747.737639085652</v>
          </cell>
        </row>
        <row r="219">
          <cell r="A219">
            <v>3035604573</v>
          </cell>
          <cell r="B219" t="str">
            <v>Bounced Back Emails</v>
          </cell>
          <cell r="C219">
            <v>42747.737639085652</v>
          </cell>
        </row>
        <row r="220">
          <cell r="A220">
            <v>3035642854</v>
          </cell>
          <cell r="B220" t="str">
            <v>Bounced Back Emails</v>
          </cell>
          <cell r="C220">
            <v>42747.737639085652</v>
          </cell>
        </row>
        <row r="221">
          <cell r="A221">
            <v>3035643044</v>
          </cell>
          <cell r="B221" t="str">
            <v>Bounced Back Emails</v>
          </cell>
          <cell r="C221">
            <v>42747.737639085652</v>
          </cell>
        </row>
        <row r="222">
          <cell r="A222">
            <v>3035655890</v>
          </cell>
          <cell r="B222" t="str">
            <v>Bounced Back Emails</v>
          </cell>
          <cell r="C222">
            <v>42747.737639085652</v>
          </cell>
        </row>
        <row r="223">
          <cell r="A223">
            <v>3035614261</v>
          </cell>
          <cell r="B223" t="str">
            <v>Bounced Back Emails</v>
          </cell>
          <cell r="C223">
            <v>42747.737639085652</v>
          </cell>
        </row>
        <row r="224">
          <cell r="A224">
            <v>3035654754</v>
          </cell>
          <cell r="B224" t="str">
            <v>Bounced Back Emails</v>
          </cell>
          <cell r="C224">
            <v>42747.737639085652</v>
          </cell>
        </row>
        <row r="225">
          <cell r="A225">
            <v>3035508130</v>
          </cell>
          <cell r="B225" t="str">
            <v>Bounced Back Emails</v>
          </cell>
          <cell r="C225">
            <v>42747.737639085652</v>
          </cell>
        </row>
        <row r="226">
          <cell r="A226">
            <v>3035642298</v>
          </cell>
          <cell r="B226" t="str">
            <v>Bounced Back Emails</v>
          </cell>
          <cell r="C226">
            <v>42747.737639085652</v>
          </cell>
        </row>
        <row r="227">
          <cell r="A227">
            <v>3035615156</v>
          </cell>
          <cell r="B227" t="str">
            <v>Bounced Back Emails</v>
          </cell>
          <cell r="C227">
            <v>42747.737639085652</v>
          </cell>
        </row>
        <row r="228">
          <cell r="A228">
            <v>3035655969</v>
          </cell>
          <cell r="B228" t="str">
            <v>Bounced Back Emails</v>
          </cell>
          <cell r="C228">
            <v>42748.738471724537</v>
          </cell>
        </row>
        <row r="229">
          <cell r="A229">
            <v>3035678744</v>
          </cell>
          <cell r="B229" t="str">
            <v>Bounced Back Emails</v>
          </cell>
          <cell r="C229">
            <v>42748.738471724537</v>
          </cell>
        </row>
        <row r="230">
          <cell r="A230">
            <v>3035677967</v>
          </cell>
          <cell r="B230" t="str">
            <v>Bounced Back Emails</v>
          </cell>
          <cell r="C230">
            <v>42748.738471724537</v>
          </cell>
        </row>
        <row r="231">
          <cell r="A231">
            <v>3035545904</v>
          </cell>
          <cell r="B231" t="str">
            <v>Bounced Back Emails</v>
          </cell>
          <cell r="C231">
            <v>42748.738471724537</v>
          </cell>
        </row>
        <row r="232">
          <cell r="A232">
            <v>3035678579</v>
          </cell>
          <cell r="B232" t="str">
            <v>Bounced Back Emails</v>
          </cell>
          <cell r="C232">
            <v>42748.738471724537</v>
          </cell>
        </row>
        <row r="233">
          <cell r="A233">
            <v>3035693916</v>
          </cell>
          <cell r="B233" t="str">
            <v>Bounced Back Emails</v>
          </cell>
          <cell r="C233">
            <v>42748.738471724537</v>
          </cell>
        </row>
        <row r="234">
          <cell r="A234">
            <v>3035690736</v>
          </cell>
          <cell r="B234" t="str">
            <v>Bounced Back Emails</v>
          </cell>
          <cell r="C234">
            <v>42748.738471724537</v>
          </cell>
        </row>
        <row r="235">
          <cell r="A235">
            <v>3035689132</v>
          </cell>
          <cell r="B235" t="str">
            <v>Bounced Back Emails</v>
          </cell>
          <cell r="C235">
            <v>42748.738471724537</v>
          </cell>
        </row>
        <row r="236">
          <cell r="A236">
            <v>3035677036</v>
          </cell>
          <cell r="B236" t="str">
            <v>Bounced Back Emails</v>
          </cell>
          <cell r="C236">
            <v>42748.738471724537</v>
          </cell>
        </row>
        <row r="237">
          <cell r="A237">
            <v>3035724084</v>
          </cell>
          <cell r="B237" t="str">
            <v>Bounced Back Emails</v>
          </cell>
          <cell r="C237">
            <v>42749.737991238428</v>
          </cell>
        </row>
        <row r="238">
          <cell r="A238">
            <v>3035627907</v>
          </cell>
          <cell r="B238" t="str">
            <v>Bounced Back Emails</v>
          </cell>
          <cell r="C238">
            <v>42749.737991238428</v>
          </cell>
        </row>
        <row r="239">
          <cell r="A239">
            <v>3035679271</v>
          </cell>
          <cell r="B239" t="str">
            <v>Bounced Back Emails</v>
          </cell>
          <cell r="C239">
            <v>42749.737991238428</v>
          </cell>
        </row>
        <row r="240">
          <cell r="A240">
            <v>3035685355</v>
          </cell>
          <cell r="B240" t="str">
            <v>Bounced Back Emails</v>
          </cell>
          <cell r="C240">
            <v>42749.737991238428</v>
          </cell>
        </row>
        <row r="241">
          <cell r="A241">
            <v>3035719071</v>
          </cell>
          <cell r="B241" t="str">
            <v>Bounced Back Emails</v>
          </cell>
          <cell r="C241">
            <v>42749.737991238428</v>
          </cell>
        </row>
        <row r="242">
          <cell r="A242">
            <v>3035716137</v>
          </cell>
          <cell r="B242" t="str">
            <v>Bounced Back Emails</v>
          </cell>
          <cell r="C242">
            <v>42749.737991238428</v>
          </cell>
        </row>
        <row r="243">
          <cell r="A243">
            <v>3035677291</v>
          </cell>
          <cell r="B243" t="str">
            <v>Bounced Back Emails</v>
          </cell>
          <cell r="C243">
            <v>42749.737991238428</v>
          </cell>
        </row>
        <row r="244">
          <cell r="A244">
            <v>3035620284</v>
          </cell>
          <cell r="B244" t="str">
            <v>Bounced Back Emails</v>
          </cell>
          <cell r="C244">
            <v>42749.737991238428</v>
          </cell>
        </row>
        <row r="245">
          <cell r="A245">
            <v>3035622339</v>
          </cell>
          <cell r="B245" t="str">
            <v>Bounced Back Emails</v>
          </cell>
          <cell r="C245">
            <v>42749.737991238428</v>
          </cell>
        </row>
        <row r="246">
          <cell r="A246">
            <v>3035715129</v>
          </cell>
          <cell r="B246" t="str">
            <v>Bounced Back Emails</v>
          </cell>
          <cell r="C246">
            <v>42749.737991238428</v>
          </cell>
        </row>
        <row r="247">
          <cell r="A247">
            <v>3035725127</v>
          </cell>
          <cell r="B247" t="str">
            <v>Bounced Back Emails</v>
          </cell>
          <cell r="C247">
            <v>42749.737991238428</v>
          </cell>
        </row>
        <row r="248">
          <cell r="A248">
            <v>3035716463</v>
          </cell>
          <cell r="B248" t="str">
            <v>Bounced Back Emails</v>
          </cell>
          <cell r="C248">
            <v>42749.737991238428</v>
          </cell>
        </row>
        <row r="249">
          <cell r="A249">
            <v>3035750285</v>
          </cell>
          <cell r="B249" t="str">
            <v>Bounced Back Emails</v>
          </cell>
          <cell r="C249">
            <v>42750.735881944442</v>
          </cell>
        </row>
        <row r="250">
          <cell r="A250">
            <v>3035656852</v>
          </cell>
          <cell r="B250" t="str">
            <v>Bounced Back Emails</v>
          </cell>
          <cell r="C250">
            <v>42750.735881944442</v>
          </cell>
        </row>
        <row r="251">
          <cell r="A251">
            <v>3035757925</v>
          </cell>
          <cell r="B251" t="str">
            <v>Bounced Back Emails</v>
          </cell>
          <cell r="C251">
            <v>42750.735881944442</v>
          </cell>
        </row>
        <row r="252">
          <cell r="A252">
            <v>3035655788</v>
          </cell>
          <cell r="B252" t="str">
            <v>Bounced Back Emails</v>
          </cell>
          <cell r="C252">
            <v>42750.735881944442</v>
          </cell>
        </row>
        <row r="253">
          <cell r="A253">
            <v>3035747053</v>
          </cell>
          <cell r="B253" t="str">
            <v>Bounced Back Emails</v>
          </cell>
          <cell r="C253">
            <v>42750.735881944442</v>
          </cell>
        </row>
        <row r="254">
          <cell r="A254">
            <v>3035724323</v>
          </cell>
          <cell r="B254" t="str">
            <v>Bounced Back Emails</v>
          </cell>
          <cell r="C254">
            <v>42750.735881944442</v>
          </cell>
        </row>
        <row r="255">
          <cell r="A255">
            <v>3035728139</v>
          </cell>
          <cell r="B255" t="str">
            <v>Bounced Back Emails</v>
          </cell>
          <cell r="C255">
            <v>42750.735881944442</v>
          </cell>
        </row>
        <row r="256">
          <cell r="A256">
            <v>3035759791</v>
          </cell>
          <cell r="B256" t="str">
            <v>Bounced Back Emails</v>
          </cell>
          <cell r="C256">
            <v>42750.735881944442</v>
          </cell>
        </row>
        <row r="257">
          <cell r="A257">
            <v>3035726936</v>
          </cell>
          <cell r="B257" t="str">
            <v>Bounced Back Emails</v>
          </cell>
          <cell r="C257">
            <v>42750.735881944442</v>
          </cell>
        </row>
        <row r="258">
          <cell r="A258">
            <v>3035747955</v>
          </cell>
          <cell r="B258" t="str">
            <v>Bounced Back Emails</v>
          </cell>
          <cell r="C258">
            <v>42750.735881944442</v>
          </cell>
        </row>
        <row r="259">
          <cell r="A259">
            <v>3035758450</v>
          </cell>
          <cell r="B259" t="str">
            <v>Bounced Back Emails</v>
          </cell>
          <cell r="C259">
            <v>42750.735881944442</v>
          </cell>
        </row>
        <row r="260">
          <cell r="A260">
            <v>3035750319</v>
          </cell>
          <cell r="B260" t="str">
            <v>Bounced Back Emails</v>
          </cell>
          <cell r="C260">
            <v>42750.735881944442</v>
          </cell>
        </row>
        <row r="261">
          <cell r="A261">
            <v>3035755775</v>
          </cell>
          <cell r="B261" t="str">
            <v>Bounced Back Emails</v>
          </cell>
          <cell r="C261">
            <v>42750.735881944442</v>
          </cell>
        </row>
        <row r="262">
          <cell r="A262">
            <v>3035642689</v>
          </cell>
          <cell r="B262" t="str">
            <v>Bounced Back Emails</v>
          </cell>
          <cell r="C262">
            <v>42750.735881944442</v>
          </cell>
        </row>
        <row r="263">
          <cell r="A263">
            <v>3035445579</v>
          </cell>
          <cell r="B263" t="str">
            <v>Bounced Back Emails</v>
          </cell>
          <cell r="C263">
            <v>42750.735881944442</v>
          </cell>
        </row>
        <row r="264">
          <cell r="A264">
            <v>3035725123</v>
          </cell>
          <cell r="B264" t="str">
            <v>Bounced Back Emails</v>
          </cell>
          <cell r="C264">
            <v>42753.738214849538</v>
          </cell>
        </row>
        <row r="265">
          <cell r="A265">
            <v>3035723764</v>
          </cell>
          <cell r="B265" t="str">
            <v>Bounced Back Emails</v>
          </cell>
          <cell r="C265">
            <v>42753.738214849538</v>
          </cell>
        </row>
        <row r="266">
          <cell r="A266">
            <v>3035806889</v>
          </cell>
          <cell r="B266" t="str">
            <v>Bounced Back Emails</v>
          </cell>
          <cell r="C266">
            <v>42753.738214849538</v>
          </cell>
        </row>
        <row r="267">
          <cell r="A267">
            <v>3035756506</v>
          </cell>
          <cell r="B267" t="str">
            <v>Bounced Back Emails</v>
          </cell>
          <cell r="C267">
            <v>42753.738214849538</v>
          </cell>
        </row>
        <row r="268">
          <cell r="A268">
            <v>3035679125</v>
          </cell>
          <cell r="B268" t="str">
            <v>Bounced Back Emails</v>
          </cell>
          <cell r="C268">
            <v>42753.738214849538</v>
          </cell>
        </row>
        <row r="269">
          <cell r="A269">
            <v>3035773016</v>
          </cell>
          <cell r="B269" t="str">
            <v>Bounced Back Emails</v>
          </cell>
          <cell r="C269">
            <v>42753.738214849538</v>
          </cell>
        </row>
        <row r="270">
          <cell r="A270">
            <v>3035519210</v>
          </cell>
          <cell r="B270" t="str">
            <v>Bounced Back Emails</v>
          </cell>
          <cell r="C270">
            <v>42753.738214849538</v>
          </cell>
        </row>
        <row r="271">
          <cell r="A271">
            <v>3035822307</v>
          </cell>
          <cell r="B271" t="str">
            <v>Bounced Back Emails</v>
          </cell>
          <cell r="C271">
            <v>42753.738214849538</v>
          </cell>
        </row>
        <row r="272">
          <cell r="A272">
            <v>3035819203</v>
          </cell>
          <cell r="B272" t="str">
            <v>Bounced Back Emails</v>
          </cell>
          <cell r="C272">
            <v>42753.738214849538</v>
          </cell>
        </row>
        <row r="273">
          <cell r="A273">
            <v>3035808731</v>
          </cell>
          <cell r="B273" t="str">
            <v>Bounced Back Emails</v>
          </cell>
          <cell r="C273">
            <v>42753.738214849538</v>
          </cell>
        </row>
        <row r="274">
          <cell r="A274">
            <v>3035757139</v>
          </cell>
          <cell r="B274" t="str">
            <v>Bounced Back Emails</v>
          </cell>
          <cell r="C274">
            <v>42753.738214849538</v>
          </cell>
        </row>
        <row r="275">
          <cell r="A275">
            <v>3035714354</v>
          </cell>
          <cell r="B275" t="str">
            <v>Bounced Back Emails</v>
          </cell>
          <cell r="C275">
            <v>42753.738214849538</v>
          </cell>
        </row>
        <row r="276">
          <cell r="A276">
            <v>3035447535</v>
          </cell>
          <cell r="B276" t="str">
            <v>Bounced Back Emails</v>
          </cell>
          <cell r="C276">
            <v>42753.738235613426</v>
          </cell>
        </row>
        <row r="277">
          <cell r="A277">
            <v>3035855314</v>
          </cell>
          <cell r="B277" t="str">
            <v>Bounced Back Emails</v>
          </cell>
          <cell r="C277">
            <v>42754.737961145831</v>
          </cell>
        </row>
        <row r="278">
          <cell r="A278">
            <v>3035852660</v>
          </cell>
          <cell r="B278" t="str">
            <v>Bounced Back Emails</v>
          </cell>
          <cell r="C278">
            <v>42754.737961145831</v>
          </cell>
        </row>
        <row r="279">
          <cell r="A279">
            <v>3035860472</v>
          </cell>
          <cell r="B279" t="str">
            <v>Bounced Back Emails</v>
          </cell>
          <cell r="C279">
            <v>42754.737961145831</v>
          </cell>
        </row>
        <row r="280">
          <cell r="A280">
            <v>3035846763</v>
          </cell>
          <cell r="B280" t="str">
            <v>Bounced Back Emails</v>
          </cell>
          <cell r="C280">
            <v>42754.737961145831</v>
          </cell>
        </row>
        <row r="281">
          <cell r="A281">
            <v>3035808966</v>
          </cell>
          <cell r="B281" t="str">
            <v>Bounced Back Emails</v>
          </cell>
          <cell r="C281">
            <v>42754.737961145831</v>
          </cell>
        </row>
        <row r="282">
          <cell r="A282">
            <v>3035855799</v>
          </cell>
          <cell r="B282" t="str">
            <v>Bounced Back Emails</v>
          </cell>
          <cell r="C282">
            <v>42754.737961145831</v>
          </cell>
        </row>
        <row r="283">
          <cell r="A283">
            <v>3035857311</v>
          </cell>
          <cell r="B283" t="str">
            <v>Bounced Back Emails</v>
          </cell>
          <cell r="C283">
            <v>42754.737961145831</v>
          </cell>
        </row>
        <row r="284">
          <cell r="A284">
            <v>3035508642</v>
          </cell>
          <cell r="B284" t="str">
            <v>Bounced Back Emails</v>
          </cell>
          <cell r="C284">
            <v>42754.737988923611</v>
          </cell>
        </row>
        <row r="285">
          <cell r="A285">
            <v>3035858468</v>
          </cell>
          <cell r="B285" t="str">
            <v>Completed Surveys</v>
          </cell>
          <cell r="C285">
            <v>42754.737961145831</v>
          </cell>
        </row>
        <row r="286">
          <cell r="A286">
            <v>3035621601</v>
          </cell>
          <cell r="B286" t="str">
            <v>Completed Surveys</v>
          </cell>
          <cell r="C286">
            <v>42753.738214849538</v>
          </cell>
        </row>
        <row r="287">
          <cell r="A287">
            <v>3035810541</v>
          </cell>
          <cell r="B287" t="str">
            <v>Completed Surveys</v>
          </cell>
          <cell r="C287">
            <v>42753.738214849538</v>
          </cell>
        </row>
        <row r="288">
          <cell r="A288">
            <v>3035812205</v>
          </cell>
          <cell r="B288" t="str">
            <v>Completed Surveys</v>
          </cell>
          <cell r="C288">
            <v>42753.738214849538</v>
          </cell>
        </row>
        <row r="289">
          <cell r="A289">
            <v>3035807686</v>
          </cell>
          <cell r="B289" t="str">
            <v>Completed Surveys</v>
          </cell>
          <cell r="C289">
            <v>42753.738214849538</v>
          </cell>
        </row>
        <row r="290">
          <cell r="A290">
            <v>3035807051</v>
          </cell>
          <cell r="B290" t="str">
            <v>Completed Surveys</v>
          </cell>
          <cell r="C290">
            <v>42753.738214849538</v>
          </cell>
        </row>
        <row r="291">
          <cell r="A291">
            <v>3035817523</v>
          </cell>
          <cell r="B291" t="str">
            <v>Completed Surveys</v>
          </cell>
          <cell r="C291">
            <v>42753.738214849538</v>
          </cell>
        </row>
        <row r="292">
          <cell r="A292">
            <v>3035760734</v>
          </cell>
          <cell r="B292" t="str">
            <v>Completed Surveys</v>
          </cell>
          <cell r="C292">
            <v>42753.738214849538</v>
          </cell>
        </row>
        <row r="293">
          <cell r="A293">
            <v>3035809807</v>
          </cell>
          <cell r="B293" t="str">
            <v>Completed Surveys</v>
          </cell>
          <cell r="C293">
            <v>42753.738214849538</v>
          </cell>
        </row>
        <row r="294">
          <cell r="A294">
            <v>3035754362</v>
          </cell>
          <cell r="B294" t="str">
            <v>Completed Surveys</v>
          </cell>
          <cell r="C294">
            <v>42753.738214849538</v>
          </cell>
        </row>
        <row r="295">
          <cell r="A295">
            <v>3035819774</v>
          </cell>
          <cell r="B295" t="str">
            <v>Completed Surveys</v>
          </cell>
          <cell r="C295">
            <v>42753.738214849538</v>
          </cell>
        </row>
        <row r="296">
          <cell r="A296">
            <v>3035813572</v>
          </cell>
          <cell r="B296" t="str">
            <v>Completed Surveys</v>
          </cell>
          <cell r="C296">
            <v>42753.738214849538</v>
          </cell>
        </row>
        <row r="297">
          <cell r="A297">
            <v>3035819976</v>
          </cell>
          <cell r="B297" t="str">
            <v>Completed Surveys</v>
          </cell>
          <cell r="C297">
            <v>42753.738214849538</v>
          </cell>
        </row>
        <row r="298">
          <cell r="A298">
            <v>3035830700</v>
          </cell>
          <cell r="B298" t="str">
            <v>Completed Surveys</v>
          </cell>
          <cell r="C298">
            <v>42753.738214849538</v>
          </cell>
        </row>
        <row r="299">
          <cell r="A299">
            <v>3035821113</v>
          </cell>
          <cell r="B299" t="str">
            <v>Completed Surveys</v>
          </cell>
          <cell r="C299">
            <v>42753.738214849538</v>
          </cell>
        </row>
        <row r="300">
          <cell r="A300">
            <v>3035811754</v>
          </cell>
          <cell r="B300" t="str">
            <v>Completed Surveys</v>
          </cell>
          <cell r="C300">
            <v>42753.738214849538</v>
          </cell>
        </row>
        <row r="301">
          <cell r="A301">
            <v>3035406128</v>
          </cell>
          <cell r="B301" t="str">
            <v>Completed Surveys</v>
          </cell>
          <cell r="C301">
            <v>42752.736192164353</v>
          </cell>
        </row>
        <row r="302">
          <cell r="A302">
            <v>3035751120</v>
          </cell>
          <cell r="B302" t="str">
            <v>Completed Surveys</v>
          </cell>
          <cell r="C302">
            <v>42750.735881944442</v>
          </cell>
        </row>
        <row r="303">
          <cell r="A303">
            <v>3035773132</v>
          </cell>
          <cell r="B303" t="str">
            <v>Completed Surveys</v>
          </cell>
          <cell r="C303">
            <v>42751.734828043984</v>
          </cell>
        </row>
        <row r="304">
          <cell r="A304">
            <v>3035774867</v>
          </cell>
          <cell r="B304" t="str">
            <v>Completed Surveys</v>
          </cell>
          <cell r="C304">
            <v>42751.734828043984</v>
          </cell>
        </row>
        <row r="305">
          <cell r="A305">
            <v>3035714383</v>
          </cell>
          <cell r="B305" t="str">
            <v>Completed Surveys</v>
          </cell>
          <cell r="C305">
            <v>42750.735900613428</v>
          </cell>
        </row>
        <row r="306">
          <cell r="A306">
            <v>3035780835</v>
          </cell>
          <cell r="B306" t="str">
            <v>Completed Surveys</v>
          </cell>
          <cell r="C306">
            <v>42751.734828043984</v>
          </cell>
        </row>
        <row r="307">
          <cell r="A307">
            <v>3035690223</v>
          </cell>
          <cell r="B307" t="str">
            <v>Completed Surveys</v>
          </cell>
          <cell r="C307">
            <v>42751.734828043984</v>
          </cell>
        </row>
        <row r="308">
          <cell r="A308">
            <v>3035748728</v>
          </cell>
          <cell r="B308" t="str">
            <v>Completed Surveys</v>
          </cell>
          <cell r="C308">
            <v>42750.735881944442</v>
          </cell>
        </row>
        <row r="309">
          <cell r="A309">
            <v>3035647564</v>
          </cell>
          <cell r="B309" t="str">
            <v>Completed Surveys</v>
          </cell>
          <cell r="C309">
            <v>42750.735881944442</v>
          </cell>
        </row>
        <row r="310">
          <cell r="A310">
            <v>3035749341</v>
          </cell>
          <cell r="B310" t="str">
            <v>Completed Surveys</v>
          </cell>
          <cell r="C310">
            <v>42750.735881944442</v>
          </cell>
        </row>
        <row r="311">
          <cell r="A311">
            <v>3035481247</v>
          </cell>
          <cell r="B311" t="str">
            <v>Completed Surveys</v>
          </cell>
          <cell r="C311">
            <v>42750.735881944442</v>
          </cell>
        </row>
        <row r="312">
          <cell r="A312">
            <v>3035750965</v>
          </cell>
          <cell r="B312" t="str">
            <v>Completed Surveys</v>
          </cell>
          <cell r="C312">
            <v>42750.735881944442</v>
          </cell>
        </row>
        <row r="313">
          <cell r="A313">
            <v>3035759367</v>
          </cell>
          <cell r="B313" t="str">
            <v>Completed Surveys</v>
          </cell>
          <cell r="C313">
            <v>42750.735881944442</v>
          </cell>
        </row>
        <row r="314">
          <cell r="A314">
            <v>3035748909</v>
          </cell>
          <cell r="B314" t="str">
            <v>Completed Surveys</v>
          </cell>
          <cell r="C314">
            <v>42750.735881944442</v>
          </cell>
        </row>
        <row r="315">
          <cell r="A315">
            <v>3035756179</v>
          </cell>
          <cell r="B315" t="str">
            <v>Completed Surveys</v>
          </cell>
          <cell r="C315">
            <v>42750.735881944442</v>
          </cell>
        </row>
        <row r="316">
          <cell r="A316">
            <v>3035766068</v>
          </cell>
          <cell r="B316" t="str">
            <v>Completed Surveys</v>
          </cell>
          <cell r="C316">
            <v>42750.735881944442</v>
          </cell>
        </row>
        <row r="317">
          <cell r="A317">
            <v>3035748734</v>
          </cell>
          <cell r="B317" t="str">
            <v>Completed Surveys</v>
          </cell>
          <cell r="C317">
            <v>42750.735881944442</v>
          </cell>
        </row>
        <row r="318">
          <cell r="A318">
            <v>3035746797</v>
          </cell>
          <cell r="B318" t="str">
            <v>Completed Surveys</v>
          </cell>
          <cell r="C318">
            <v>42750.735881944442</v>
          </cell>
        </row>
        <row r="319">
          <cell r="A319">
            <v>3035751035</v>
          </cell>
          <cell r="B319" t="str">
            <v>Completed Surveys</v>
          </cell>
          <cell r="C319">
            <v>42750.735881944442</v>
          </cell>
        </row>
        <row r="320">
          <cell r="A320">
            <v>3035544764</v>
          </cell>
          <cell r="B320" t="str">
            <v>Completed Surveys</v>
          </cell>
          <cell r="C320">
            <v>42750.735881944442</v>
          </cell>
        </row>
        <row r="321">
          <cell r="A321">
            <v>3035748750</v>
          </cell>
          <cell r="B321" t="str">
            <v>Completed Surveys</v>
          </cell>
          <cell r="C321">
            <v>42750.735881944442</v>
          </cell>
        </row>
        <row r="322">
          <cell r="A322">
            <v>3035758970</v>
          </cell>
          <cell r="B322" t="str">
            <v>Completed Surveys</v>
          </cell>
          <cell r="C322">
            <v>42750.735881944442</v>
          </cell>
        </row>
        <row r="323">
          <cell r="A323">
            <v>3035752895</v>
          </cell>
          <cell r="B323" t="str">
            <v>Completed Surveys</v>
          </cell>
          <cell r="C323">
            <v>42750.735881944442</v>
          </cell>
        </row>
        <row r="324">
          <cell r="A324">
            <v>3035751709</v>
          </cell>
          <cell r="B324" t="str">
            <v>Completed Surveys</v>
          </cell>
          <cell r="C324">
            <v>42750.735881944442</v>
          </cell>
        </row>
        <row r="325">
          <cell r="A325">
            <v>3035749473</v>
          </cell>
          <cell r="B325" t="str">
            <v>Completed Surveys</v>
          </cell>
          <cell r="C325">
            <v>42750.735881944442</v>
          </cell>
        </row>
        <row r="326">
          <cell r="A326">
            <v>3035752674</v>
          </cell>
          <cell r="B326" t="str">
            <v>Completed Surveys</v>
          </cell>
          <cell r="C326">
            <v>42750.735881944442</v>
          </cell>
        </row>
        <row r="327">
          <cell r="A327">
            <v>3035680170</v>
          </cell>
          <cell r="B327" t="str">
            <v>Completed Surveys</v>
          </cell>
          <cell r="C327">
            <v>42750.735881944442</v>
          </cell>
        </row>
        <row r="328">
          <cell r="A328">
            <v>3035766764</v>
          </cell>
          <cell r="B328" t="str">
            <v>Completed Surveys</v>
          </cell>
          <cell r="C328">
            <v>42750.735881944442</v>
          </cell>
        </row>
        <row r="329">
          <cell r="A329">
            <v>3035747577</v>
          </cell>
          <cell r="B329" t="str">
            <v>Completed Surveys</v>
          </cell>
          <cell r="C329">
            <v>42750.735881944442</v>
          </cell>
        </row>
        <row r="330">
          <cell r="A330">
            <v>3035712639</v>
          </cell>
          <cell r="B330" t="str">
            <v>Completed Surveys</v>
          </cell>
          <cell r="C330">
            <v>42750.735881944442</v>
          </cell>
        </row>
        <row r="331">
          <cell r="A331">
            <v>3035747702</v>
          </cell>
          <cell r="B331" t="str">
            <v>Completed Surveys</v>
          </cell>
          <cell r="C331">
            <v>42750.735881944442</v>
          </cell>
        </row>
        <row r="332">
          <cell r="A332">
            <v>3035733708</v>
          </cell>
          <cell r="B332" t="str">
            <v>Completed Surveys</v>
          </cell>
          <cell r="C332">
            <v>42749.737991238428</v>
          </cell>
        </row>
        <row r="333">
          <cell r="A333">
            <v>3035731576</v>
          </cell>
          <cell r="B333" t="str">
            <v>Completed Surveys</v>
          </cell>
          <cell r="C333">
            <v>42749.737991238428</v>
          </cell>
        </row>
        <row r="334">
          <cell r="A334">
            <v>3035728264</v>
          </cell>
          <cell r="B334" t="str">
            <v>Completed Surveys</v>
          </cell>
          <cell r="C334">
            <v>42749.737991238428</v>
          </cell>
        </row>
        <row r="335">
          <cell r="A335">
            <v>3035735119</v>
          </cell>
          <cell r="B335" t="str">
            <v>Completed Surveys</v>
          </cell>
          <cell r="C335">
            <v>42749.737991238428</v>
          </cell>
        </row>
        <row r="336">
          <cell r="A336">
            <v>3035718638</v>
          </cell>
          <cell r="B336" t="str">
            <v>Completed Surveys</v>
          </cell>
          <cell r="C336">
            <v>42749.737991238428</v>
          </cell>
        </row>
        <row r="337">
          <cell r="A337">
            <v>3035434049</v>
          </cell>
          <cell r="B337" t="str">
            <v>Completed Surveys</v>
          </cell>
          <cell r="C337">
            <v>42749.737991238428</v>
          </cell>
        </row>
        <row r="338">
          <cell r="A338">
            <v>3035735067</v>
          </cell>
          <cell r="B338" t="str">
            <v>Completed Surveys</v>
          </cell>
          <cell r="C338">
            <v>42749.737991238428</v>
          </cell>
        </row>
        <row r="339">
          <cell r="A339">
            <v>3035722739</v>
          </cell>
          <cell r="B339" t="str">
            <v>Completed Surveys</v>
          </cell>
          <cell r="C339">
            <v>42749.737991238428</v>
          </cell>
        </row>
        <row r="340">
          <cell r="A340">
            <v>3035689410</v>
          </cell>
          <cell r="B340" t="str">
            <v>Completed Surveys</v>
          </cell>
          <cell r="C340">
            <v>42749.737991238428</v>
          </cell>
        </row>
        <row r="341">
          <cell r="A341">
            <v>3035722396</v>
          </cell>
          <cell r="B341" t="str">
            <v>Completed Surveys</v>
          </cell>
          <cell r="C341">
            <v>42749.737991238428</v>
          </cell>
        </row>
        <row r="342">
          <cell r="A342">
            <v>3035653596</v>
          </cell>
          <cell r="B342" t="str">
            <v>Completed Surveys</v>
          </cell>
          <cell r="C342">
            <v>42749.738012581016</v>
          </cell>
        </row>
        <row r="343">
          <cell r="A343">
            <v>3035757620</v>
          </cell>
          <cell r="B343" t="str">
            <v>Completed Surveys</v>
          </cell>
          <cell r="C343">
            <v>42750.735881944442</v>
          </cell>
        </row>
        <row r="344">
          <cell r="A344">
            <v>3035732998</v>
          </cell>
          <cell r="B344" t="str">
            <v>Completed Surveys</v>
          </cell>
          <cell r="C344">
            <v>42750.735881944442</v>
          </cell>
        </row>
        <row r="345">
          <cell r="A345">
            <v>3035721716</v>
          </cell>
          <cell r="B345" t="str">
            <v>Completed Surveys</v>
          </cell>
          <cell r="C345">
            <v>42749.737991238428</v>
          </cell>
        </row>
        <row r="346">
          <cell r="A346">
            <v>3035555577</v>
          </cell>
          <cell r="B346" t="str">
            <v>Completed Surveys</v>
          </cell>
          <cell r="C346">
            <v>42749.737991238428</v>
          </cell>
        </row>
        <row r="347">
          <cell r="A347">
            <v>3035685604</v>
          </cell>
          <cell r="B347" t="str">
            <v>Completed Surveys</v>
          </cell>
          <cell r="C347">
            <v>42749.737991238428</v>
          </cell>
        </row>
        <row r="348">
          <cell r="A348">
            <v>3035728168</v>
          </cell>
          <cell r="B348" t="str">
            <v>Completed Surveys</v>
          </cell>
          <cell r="C348">
            <v>42749.737991238428</v>
          </cell>
        </row>
        <row r="349">
          <cell r="A349">
            <v>3035688643</v>
          </cell>
          <cell r="B349" t="str">
            <v>Completed Surveys</v>
          </cell>
          <cell r="C349">
            <v>42749.737991238428</v>
          </cell>
        </row>
        <row r="350">
          <cell r="A350">
            <v>3035716294</v>
          </cell>
          <cell r="B350" t="str">
            <v>Completed Surveys</v>
          </cell>
          <cell r="C350">
            <v>42749.737991238428</v>
          </cell>
        </row>
        <row r="351">
          <cell r="A351">
            <v>3035716228</v>
          </cell>
          <cell r="B351" t="str">
            <v>Completed Surveys</v>
          </cell>
          <cell r="C351">
            <v>42749.737991238428</v>
          </cell>
        </row>
        <row r="352">
          <cell r="A352">
            <v>3035714571</v>
          </cell>
          <cell r="B352" t="str">
            <v>Completed Surveys</v>
          </cell>
          <cell r="C352">
            <v>42749.737991238428</v>
          </cell>
        </row>
        <row r="353">
          <cell r="A353">
            <v>3035722668</v>
          </cell>
          <cell r="B353" t="str">
            <v>Completed Surveys</v>
          </cell>
          <cell r="C353">
            <v>42749.737991238428</v>
          </cell>
        </row>
        <row r="354">
          <cell r="A354">
            <v>3035715381</v>
          </cell>
          <cell r="B354" t="str">
            <v>Completed Surveys</v>
          </cell>
          <cell r="C354">
            <v>42749.737991238428</v>
          </cell>
        </row>
        <row r="355">
          <cell r="A355">
            <v>3035714034</v>
          </cell>
          <cell r="B355" t="str">
            <v>Completed Surveys</v>
          </cell>
          <cell r="C355">
            <v>42749.737991238428</v>
          </cell>
        </row>
        <row r="356">
          <cell r="A356">
            <v>3035717562</v>
          </cell>
          <cell r="B356" t="str">
            <v>Completed Surveys</v>
          </cell>
          <cell r="C356">
            <v>42749.737991238428</v>
          </cell>
        </row>
        <row r="357">
          <cell r="A357">
            <v>3035717778</v>
          </cell>
          <cell r="B357" t="str">
            <v>Completed Surveys</v>
          </cell>
          <cell r="C357">
            <v>42749.737991238428</v>
          </cell>
        </row>
        <row r="358">
          <cell r="A358">
            <v>3035679970</v>
          </cell>
          <cell r="B358" t="str">
            <v>Completed Surveys</v>
          </cell>
          <cell r="C358">
            <v>42748.738471724537</v>
          </cell>
        </row>
        <row r="359">
          <cell r="A359">
            <v>3035678359</v>
          </cell>
          <cell r="B359" t="str">
            <v>Completed Surveys</v>
          </cell>
          <cell r="C359">
            <v>42748.738471724537</v>
          </cell>
        </row>
        <row r="360">
          <cell r="A360">
            <v>3035645853</v>
          </cell>
          <cell r="B360" t="str">
            <v>Completed Surveys</v>
          </cell>
          <cell r="C360">
            <v>42748.738471724537</v>
          </cell>
        </row>
        <row r="361">
          <cell r="A361">
            <v>3035681592</v>
          </cell>
          <cell r="B361" t="str">
            <v>Completed Surveys</v>
          </cell>
          <cell r="C361">
            <v>42748.738471724537</v>
          </cell>
        </row>
        <row r="362">
          <cell r="A362">
            <v>3035687753</v>
          </cell>
          <cell r="B362" t="str">
            <v>Completed Surveys</v>
          </cell>
          <cell r="C362">
            <v>42748.738471724537</v>
          </cell>
        </row>
        <row r="363">
          <cell r="A363">
            <v>3035679456</v>
          </cell>
          <cell r="B363" t="str">
            <v>Completed Surveys</v>
          </cell>
          <cell r="C363">
            <v>42748.738471724537</v>
          </cell>
        </row>
        <row r="364">
          <cell r="A364">
            <v>3035602891</v>
          </cell>
          <cell r="B364" t="str">
            <v>Completed Surveys</v>
          </cell>
          <cell r="C364">
            <v>42748.738471724537</v>
          </cell>
        </row>
        <row r="365">
          <cell r="A365">
            <v>3035695643</v>
          </cell>
          <cell r="B365" t="str">
            <v>Completed Surveys</v>
          </cell>
          <cell r="C365">
            <v>42748.738471724537</v>
          </cell>
        </row>
        <row r="366">
          <cell r="A366">
            <v>3035686031</v>
          </cell>
          <cell r="B366" t="str">
            <v>Completed Surveys</v>
          </cell>
          <cell r="C366">
            <v>42748.738471724537</v>
          </cell>
        </row>
        <row r="367">
          <cell r="A367">
            <v>3035678648</v>
          </cell>
          <cell r="B367" t="str">
            <v>Completed Surveys</v>
          </cell>
          <cell r="C367">
            <v>42748.738471724537</v>
          </cell>
        </row>
        <row r="368">
          <cell r="A368">
            <v>3035679027</v>
          </cell>
          <cell r="B368" t="str">
            <v>Completed Surveys</v>
          </cell>
          <cell r="C368">
            <v>42748.738471724537</v>
          </cell>
        </row>
        <row r="369">
          <cell r="A369">
            <v>3035541257</v>
          </cell>
          <cell r="B369" t="str">
            <v>Completed Surveys</v>
          </cell>
          <cell r="C369">
            <v>42748.738491053242</v>
          </cell>
        </row>
        <row r="370">
          <cell r="A370">
            <v>3035722349</v>
          </cell>
          <cell r="B370" t="str">
            <v>Completed Surveys</v>
          </cell>
          <cell r="C370">
            <v>42749.737991238428</v>
          </cell>
        </row>
        <row r="371">
          <cell r="A371">
            <v>3035683352</v>
          </cell>
          <cell r="B371" t="str">
            <v>Completed Surveys</v>
          </cell>
          <cell r="C371">
            <v>42749.737991238428</v>
          </cell>
        </row>
        <row r="372">
          <cell r="A372">
            <v>3035684931</v>
          </cell>
          <cell r="B372" t="str">
            <v>Completed Surveys</v>
          </cell>
          <cell r="C372">
            <v>42748.738471724537</v>
          </cell>
        </row>
        <row r="373">
          <cell r="A373">
            <v>3035686953</v>
          </cell>
          <cell r="B373" t="str">
            <v>Completed Surveys</v>
          </cell>
          <cell r="C373">
            <v>42748.738471724537</v>
          </cell>
        </row>
        <row r="374">
          <cell r="A374">
            <v>3035641678</v>
          </cell>
          <cell r="B374" t="str">
            <v>Completed Surveys</v>
          </cell>
          <cell r="C374">
            <v>42748.738471724537</v>
          </cell>
        </row>
        <row r="375">
          <cell r="A375">
            <v>3035688405</v>
          </cell>
          <cell r="B375" t="str">
            <v>Completed Surveys</v>
          </cell>
          <cell r="C375">
            <v>42748.738471724537</v>
          </cell>
        </row>
        <row r="376">
          <cell r="A376">
            <v>3035542013</v>
          </cell>
          <cell r="B376" t="str">
            <v>Completed Surveys</v>
          </cell>
          <cell r="C376">
            <v>42748.738471724537</v>
          </cell>
        </row>
        <row r="377">
          <cell r="A377">
            <v>3035332711</v>
          </cell>
          <cell r="B377" t="str">
            <v>Completed Surveys</v>
          </cell>
          <cell r="C377">
            <v>42748.738471724537</v>
          </cell>
        </row>
        <row r="378">
          <cell r="A378">
            <v>3035680923</v>
          </cell>
          <cell r="B378" t="str">
            <v>Completed Surveys</v>
          </cell>
          <cell r="C378">
            <v>42748.738471724537</v>
          </cell>
        </row>
        <row r="379">
          <cell r="A379">
            <v>3035684373</v>
          </cell>
          <cell r="B379" t="str">
            <v>Completed Surveys</v>
          </cell>
          <cell r="C379">
            <v>42748.738471724537</v>
          </cell>
        </row>
        <row r="380">
          <cell r="A380">
            <v>3035519405</v>
          </cell>
          <cell r="B380" t="str">
            <v>Completed Surveys</v>
          </cell>
          <cell r="C380">
            <v>42748.738471724537</v>
          </cell>
        </row>
        <row r="381">
          <cell r="A381">
            <v>3035616947</v>
          </cell>
          <cell r="B381" t="str">
            <v>Completed Surveys</v>
          </cell>
          <cell r="C381">
            <v>42748.738471724537</v>
          </cell>
        </row>
        <row r="382">
          <cell r="A382">
            <v>3035678329</v>
          </cell>
          <cell r="B382" t="str">
            <v>Completed Surveys</v>
          </cell>
          <cell r="C382">
            <v>42748.738471724537</v>
          </cell>
        </row>
        <row r="383">
          <cell r="A383">
            <v>3035681702</v>
          </cell>
          <cell r="B383" t="str">
            <v>Completed Surveys</v>
          </cell>
          <cell r="C383">
            <v>42748.738471724537</v>
          </cell>
        </row>
        <row r="384">
          <cell r="A384">
            <v>3035686308</v>
          </cell>
          <cell r="B384" t="str">
            <v>Completed Surveys</v>
          </cell>
          <cell r="C384">
            <v>42748.738471724537</v>
          </cell>
        </row>
        <row r="385">
          <cell r="A385">
            <v>3035688638</v>
          </cell>
          <cell r="B385" t="str">
            <v>Completed Surveys</v>
          </cell>
          <cell r="C385">
            <v>42748.738471724537</v>
          </cell>
        </row>
        <row r="386">
          <cell r="A386">
            <v>3035641086</v>
          </cell>
          <cell r="B386" t="str">
            <v>Completed Surveys</v>
          </cell>
          <cell r="C386">
            <v>42747.737639085652</v>
          </cell>
        </row>
        <row r="387">
          <cell r="A387">
            <v>3035102135</v>
          </cell>
          <cell r="B387" t="str">
            <v>Completed Surveys</v>
          </cell>
          <cell r="C387">
            <v>42747.737666782406</v>
          </cell>
        </row>
        <row r="388">
          <cell r="A388">
            <v>3035232240</v>
          </cell>
          <cell r="B388" t="str">
            <v>Completed Surveys</v>
          </cell>
          <cell r="C388">
            <v>42747.737666782406</v>
          </cell>
        </row>
        <row r="389">
          <cell r="A389">
            <v>3035649716</v>
          </cell>
          <cell r="B389" t="str">
            <v>Completed Surveys</v>
          </cell>
          <cell r="C389">
            <v>42747.737639085652</v>
          </cell>
        </row>
        <row r="390">
          <cell r="A390">
            <v>3035624165</v>
          </cell>
          <cell r="B390" t="str">
            <v>Completed Surveys</v>
          </cell>
          <cell r="C390">
            <v>42747.737639085652</v>
          </cell>
        </row>
        <row r="391">
          <cell r="A391">
            <v>3035641920</v>
          </cell>
          <cell r="B391" t="str">
            <v>Completed Surveys</v>
          </cell>
          <cell r="C391">
            <v>42747.737639085652</v>
          </cell>
        </row>
        <row r="392">
          <cell r="A392">
            <v>3035683925</v>
          </cell>
          <cell r="B392" t="str">
            <v>Completed Surveys</v>
          </cell>
          <cell r="C392">
            <v>42748.738471724537</v>
          </cell>
        </row>
        <row r="393">
          <cell r="A393">
            <v>3035694137</v>
          </cell>
          <cell r="B393" t="str">
            <v>Completed Surveys</v>
          </cell>
          <cell r="C393">
            <v>42748.738471724537</v>
          </cell>
        </row>
        <row r="394">
          <cell r="A394">
            <v>3035687006</v>
          </cell>
          <cell r="B394" t="str">
            <v>Completed Surveys</v>
          </cell>
          <cell r="C394">
            <v>42748.738471724537</v>
          </cell>
        </row>
        <row r="395">
          <cell r="A395">
            <v>3035654191</v>
          </cell>
          <cell r="B395" t="str">
            <v>Completed Surveys</v>
          </cell>
          <cell r="C395">
            <v>42747.737639085652</v>
          </cell>
        </row>
        <row r="396">
          <cell r="A396">
            <v>3035655460</v>
          </cell>
          <cell r="B396" t="str">
            <v>Completed Surveys</v>
          </cell>
          <cell r="C396">
            <v>42747.737639085652</v>
          </cell>
        </row>
        <row r="397">
          <cell r="A397">
            <v>3035656263</v>
          </cell>
          <cell r="B397" t="str">
            <v>Completed Surveys</v>
          </cell>
          <cell r="C397">
            <v>42747.737639085652</v>
          </cell>
        </row>
        <row r="398">
          <cell r="A398">
            <v>3035605264</v>
          </cell>
          <cell r="B398" t="str">
            <v>Completed Surveys</v>
          </cell>
          <cell r="C398">
            <v>42747.737639085652</v>
          </cell>
        </row>
        <row r="399">
          <cell r="A399">
            <v>3035648910</v>
          </cell>
          <cell r="B399" t="str">
            <v>Completed Surveys</v>
          </cell>
          <cell r="C399">
            <v>42747.737639085652</v>
          </cell>
        </row>
        <row r="400">
          <cell r="A400">
            <v>3035645772</v>
          </cell>
          <cell r="B400" t="str">
            <v>Completed Surveys</v>
          </cell>
          <cell r="C400">
            <v>42747.737639085652</v>
          </cell>
        </row>
        <row r="401">
          <cell r="A401">
            <v>3035660117</v>
          </cell>
          <cell r="B401" t="str">
            <v>Completed Surveys</v>
          </cell>
          <cell r="C401">
            <v>42747.737639085652</v>
          </cell>
        </row>
        <row r="402">
          <cell r="A402">
            <v>3035657632</v>
          </cell>
          <cell r="B402" t="str">
            <v>Completed Surveys</v>
          </cell>
          <cell r="C402">
            <v>42747.737639085652</v>
          </cell>
        </row>
        <row r="403">
          <cell r="A403">
            <v>3035642348</v>
          </cell>
          <cell r="B403" t="str">
            <v>Completed Surveys</v>
          </cell>
          <cell r="C403">
            <v>42747.737639085652</v>
          </cell>
        </row>
        <row r="404">
          <cell r="A404">
            <v>3035650530</v>
          </cell>
          <cell r="B404" t="str">
            <v>Completed Surveys</v>
          </cell>
          <cell r="C404">
            <v>42747.737639085652</v>
          </cell>
        </row>
        <row r="405">
          <cell r="A405">
            <v>3035656451</v>
          </cell>
          <cell r="B405" t="str">
            <v>Completed Surveys</v>
          </cell>
          <cell r="C405">
            <v>42747.737639085652</v>
          </cell>
        </row>
        <row r="406">
          <cell r="A406">
            <v>3035508579</v>
          </cell>
          <cell r="B406" t="str">
            <v>Completed Surveys</v>
          </cell>
          <cell r="C406">
            <v>42747.737639085652</v>
          </cell>
        </row>
        <row r="407">
          <cell r="A407">
            <v>3035640938</v>
          </cell>
          <cell r="B407" t="str">
            <v>Completed Surveys</v>
          </cell>
          <cell r="C407">
            <v>42747.737639085652</v>
          </cell>
        </row>
        <row r="408">
          <cell r="A408">
            <v>3035567614</v>
          </cell>
          <cell r="B408" t="str">
            <v>Completed Surveys</v>
          </cell>
          <cell r="C408">
            <v>42747.737639085652</v>
          </cell>
        </row>
        <row r="409">
          <cell r="A409">
            <v>3035648692</v>
          </cell>
          <cell r="B409" t="str">
            <v>Completed Surveys</v>
          </cell>
          <cell r="C409">
            <v>42747.737639085652</v>
          </cell>
        </row>
        <row r="410">
          <cell r="A410">
            <v>3035611596</v>
          </cell>
          <cell r="B410" t="str">
            <v>Completed Surveys</v>
          </cell>
          <cell r="C410">
            <v>42747.737639085652</v>
          </cell>
        </row>
        <row r="411">
          <cell r="A411">
            <v>3035649539</v>
          </cell>
          <cell r="B411" t="str">
            <v>Completed Surveys</v>
          </cell>
          <cell r="C411">
            <v>42747.737639085652</v>
          </cell>
        </row>
        <row r="412">
          <cell r="A412">
            <v>3035623536</v>
          </cell>
          <cell r="B412" t="str">
            <v>Completed Surveys</v>
          </cell>
          <cell r="C412">
            <v>42747.737639085652</v>
          </cell>
        </row>
        <row r="413">
          <cell r="A413">
            <v>3035644540</v>
          </cell>
          <cell r="B413" t="str">
            <v>Completed Surveys</v>
          </cell>
          <cell r="C413">
            <v>42747.737639085652</v>
          </cell>
        </row>
        <row r="414">
          <cell r="A414">
            <v>3035647784</v>
          </cell>
          <cell r="B414" t="str">
            <v>Completed Surveys</v>
          </cell>
          <cell r="C414">
            <v>42747.737639085652</v>
          </cell>
        </row>
        <row r="415">
          <cell r="A415">
            <v>3035650172</v>
          </cell>
          <cell r="B415" t="str">
            <v>Completed Surveys</v>
          </cell>
          <cell r="C415">
            <v>42747.737639085652</v>
          </cell>
        </row>
        <row r="416">
          <cell r="A416">
            <v>3035430218</v>
          </cell>
          <cell r="B416" t="str">
            <v>Completed Surveys</v>
          </cell>
          <cell r="C416">
            <v>42747.737639085652</v>
          </cell>
        </row>
        <row r="417">
          <cell r="A417">
            <v>3035647410</v>
          </cell>
          <cell r="B417" t="str">
            <v>Completed Surveys</v>
          </cell>
          <cell r="C417">
            <v>42747.737639085652</v>
          </cell>
        </row>
        <row r="418">
          <cell r="A418">
            <v>3035650167</v>
          </cell>
          <cell r="B418" t="str">
            <v>Completed Surveys</v>
          </cell>
          <cell r="C418">
            <v>42747.737639085652</v>
          </cell>
        </row>
        <row r="419">
          <cell r="A419">
            <v>3035571430</v>
          </cell>
          <cell r="B419" t="str">
            <v>Completed Surveys</v>
          </cell>
          <cell r="C419">
            <v>42747.737639085652</v>
          </cell>
        </row>
        <row r="420">
          <cell r="A420">
            <v>3035643750</v>
          </cell>
          <cell r="B420" t="str">
            <v>Completed Surveys</v>
          </cell>
          <cell r="C420">
            <v>42747.737639085652</v>
          </cell>
        </row>
        <row r="421">
          <cell r="A421">
            <v>3035486891</v>
          </cell>
          <cell r="B421" t="str">
            <v>Completed Surveys</v>
          </cell>
          <cell r="C421">
            <v>42746.737788773149</v>
          </cell>
        </row>
        <row r="422">
          <cell r="A422">
            <v>3035618334</v>
          </cell>
          <cell r="B422" t="str">
            <v>Completed Surveys</v>
          </cell>
          <cell r="C422">
            <v>42746.737756446761</v>
          </cell>
        </row>
        <row r="423">
          <cell r="A423">
            <v>3035604027</v>
          </cell>
          <cell r="B423" t="str">
            <v>Completed Surveys</v>
          </cell>
          <cell r="C423">
            <v>42746.737756446761</v>
          </cell>
        </row>
        <row r="424">
          <cell r="A424">
            <v>3035620204</v>
          </cell>
          <cell r="B424" t="str">
            <v>Completed Surveys</v>
          </cell>
          <cell r="C424">
            <v>42746.737756446761</v>
          </cell>
        </row>
        <row r="425">
          <cell r="A425">
            <v>3035527508</v>
          </cell>
          <cell r="B425" t="str">
            <v>Completed Surveys</v>
          </cell>
          <cell r="C425">
            <v>42746.737756446761</v>
          </cell>
        </row>
        <row r="426">
          <cell r="A426">
            <v>3035602096</v>
          </cell>
          <cell r="B426" t="str">
            <v>Completed Surveys</v>
          </cell>
          <cell r="C426">
            <v>42746.737756446761</v>
          </cell>
        </row>
        <row r="427">
          <cell r="A427">
            <v>3035604213</v>
          </cell>
          <cell r="B427" t="str">
            <v>Completed Surveys</v>
          </cell>
          <cell r="C427">
            <v>42746.737756446761</v>
          </cell>
        </row>
        <row r="428">
          <cell r="A428">
            <v>3035614804</v>
          </cell>
          <cell r="B428" t="str">
            <v>Completed Surveys</v>
          </cell>
          <cell r="C428">
            <v>42746.737756446761</v>
          </cell>
        </row>
        <row r="429">
          <cell r="A429">
            <v>3035611905</v>
          </cell>
          <cell r="B429" t="str">
            <v>Completed Surveys</v>
          </cell>
          <cell r="C429">
            <v>42746.737756446761</v>
          </cell>
        </row>
        <row r="430">
          <cell r="A430">
            <v>3035604453</v>
          </cell>
          <cell r="B430" t="str">
            <v>Completed Surveys</v>
          </cell>
          <cell r="C430">
            <v>42746.737756446761</v>
          </cell>
        </row>
        <row r="431">
          <cell r="A431">
            <v>3035556491</v>
          </cell>
          <cell r="B431" t="str">
            <v>Completed Surveys</v>
          </cell>
          <cell r="C431">
            <v>42746.737756446761</v>
          </cell>
        </row>
        <row r="432">
          <cell r="A432">
            <v>3035558730</v>
          </cell>
          <cell r="B432" t="str">
            <v>Completed Surveys</v>
          </cell>
          <cell r="C432">
            <v>42746.737756446761</v>
          </cell>
        </row>
        <row r="433">
          <cell r="A433">
            <v>3035518553</v>
          </cell>
          <cell r="B433" t="str">
            <v>Completed Surveys</v>
          </cell>
          <cell r="C433">
            <v>42746.737756446761</v>
          </cell>
        </row>
        <row r="434">
          <cell r="A434">
            <v>3035623302</v>
          </cell>
          <cell r="B434" t="str">
            <v>Completed Surveys</v>
          </cell>
          <cell r="C434">
            <v>42746.737756446761</v>
          </cell>
        </row>
        <row r="435">
          <cell r="A435">
            <v>3035614288</v>
          </cell>
          <cell r="B435" t="str">
            <v>Completed Surveys</v>
          </cell>
          <cell r="C435">
            <v>42746.737756446761</v>
          </cell>
        </row>
        <row r="436">
          <cell r="A436">
            <v>3035573935</v>
          </cell>
          <cell r="B436" t="str">
            <v>Completed Surveys</v>
          </cell>
          <cell r="C436">
            <v>42746.737756446761</v>
          </cell>
        </row>
        <row r="437">
          <cell r="A437">
            <v>3035613784</v>
          </cell>
          <cell r="B437" t="str">
            <v>Completed Surveys</v>
          </cell>
          <cell r="C437">
            <v>42746.737756446761</v>
          </cell>
        </row>
        <row r="438">
          <cell r="A438">
            <v>3035620454</v>
          </cell>
          <cell r="B438" t="str">
            <v>Completed Surveys</v>
          </cell>
          <cell r="C438">
            <v>42746.737756446761</v>
          </cell>
        </row>
        <row r="439">
          <cell r="A439">
            <v>3035606437</v>
          </cell>
          <cell r="B439" t="str">
            <v>Completed Surveys</v>
          </cell>
          <cell r="C439">
            <v>42746.737756446761</v>
          </cell>
        </row>
        <row r="440">
          <cell r="A440">
            <v>3035624891</v>
          </cell>
          <cell r="B440" t="str">
            <v>Completed Surveys</v>
          </cell>
          <cell r="C440">
            <v>42746.737756446761</v>
          </cell>
        </row>
        <row r="441">
          <cell r="A441">
            <v>3035607150</v>
          </cell>
          <cell r="B441" t="str">
            <v>Completed Surveys</v>
          </cell>
          <cell r="C441">
            <v>42746.737756446761</v>
          </cell>
        </row>
        <row r="442">
          <cell r="A442">
            <v>3035625421</v>
          </cell>
          <cell r="B442" t="str">
            <v>Completed Surveys</v>
          </cell>
          <cell r="C442">
            <v>42746.737756446761</v>
          </cell>
        </row>
        <row r="443">
          <cell r="A443">
            <v>3035604204</v>
          </cell>
          <cell r="B443" t="str">
            <v>Completed Surveys</v>
          </cell>
          <cell r="C443">
            <v>42746.737756446761</v>
          </cell>
        </row>
        <row r="444">
          <cell r="A444">
            <v>3035451540</v>
          </cell>
          <cell r="B444" t="str">
            <v>Completed Surveys</v>
          </cell>
          <cell r="C444">
            <v>42746.737756446761</v>
          </cell>
        </row>
        <row r="445">
          <cell r="A445">
            <v>3035603743</v>
          </cell>
          <cell r="B445" t="str">
            <v>Completed Surveys</v>
          </cell>
          <cell r="C445">
            <v>42746.737756446761</v>
          </cell>
        </row>
        <row r="446">
          <cell r="A446">
            <v>3035478716</v>
          </cell>
          <cell r="B446" t="str">
            <v>Completed Surveys</v>
          </cell>
          <cell r="C446">
            <v>42746.737756446761</v>
          </cell>
        </row>
        <row r="447">
          <cell r="A447">
            <v>3035617032</v>
          </cell>
          <cell r="B447" t="str">
            <v>Completed Surveys</v>
          </cell>
          <cell r="C447">
            <v>42746.737756446761</v>
          </cell>
        </row>
        <row r="448">
          <cell r="A448">
            <v>3035616253</v>
          </cell>
          <cell r="B448" t="str">
            <v>Completed Surveys</v>
          </cell>
          <cell r="C448">
            <v>42746.737756446761</v>
          </cell>
        </row>
        <row r="449">
          <cell r="A449">
            <v>3035506760</v>
          </cell>
          <cell r="B449" t="str">
            <v>Completed Surveys</v>
          </cell>
          <cell r="C449">
            <v>42746.737756446761</v>
          </cell>
        </row>
        <row r="450">
          <cell r="A450">
            <v>3035603243</v>
          </cell>
          <cell r="B450" t="str">
            <v>Completed Surveys</v>
          </cell>
          <cell r="C450">
            <v>42746.737756446761</v>
          </cell>
        </row>
        <row r="451">
          <cell r="A451">
            <v>3035549115</v>
          </cell>
          <cell r="B451" t="str">
            <v>Completed Surveys</v>
          </cell>
          <cell r="C451">
            <v>42746.737756446761</v>
          </cell>
        </row>
        <row r="452">
          <cell r="A452">
            <v>3035618982</v>
          </cell>
          <cell r="B452" t="str">
            <v>Completed Surveys</v>
          </cell>
          <cell r="C452">
            <v>42746.737756446761</v>
          </cell>
        </row>
        <row r="453">
          <cell r="A453">
            <v>3035602678</v>
          </cell>
          <cell r="B453" t="str">
            <v>Completed Surveys</v>
          </cell>
          <cell r="C453">
            <v>42746.737756446761</v>
          </cell>
        </row>
        <row r="454">
          <cell r="A454">
            <v>3035450059</v>
          </cell>
          <cell r="B454" t="str">
            <v>Completed Surveys</v>
          </cell>
          <cell r="C454">
            <v>42746.737756446761</v>
          </cell>
        </row>
        <row r="455">
          <cell r="A455">
            <v>3035607864</v>
          </cell>
          <cell r="B455" t="str">
            <v>Completed Surveys</v>
          </cell>
          <cell r="C455">
            <v>42746.737756446761</v>
          </cell>
        </row>
        <row r="456">
          <cell r="A456">
            <v>3035540890</v>
          </cell>
          <cell r="B456" t="str">
            <v>Completed Surveys</v>
          </cell>
          <cell r="C456">
            <v>42746.737756446761</v>
          </cell>
        </row>
        <row r="457">
          <cell r="A457">
            <v>3035553960</v>
          </cell>
          <cell r="B457" t="str">
            <v>Completed Surveys</v>
          </cell>
          <cell r="C457">
            <v>42746.737756446761</v>
          </cell>
        </row>
        <row r="458">
          <cell r="A458">
            <v>3035613680</v>
          </cell>
          <cell r="B458" t="str">
            <v>Completed Surveys</v>
          </cell>
          <cell r="C458">
            <v>42746.737756446761</v>
          </cell>
        </row>
        <row r="459">
          <cell r="A459">
            <v>3035472145</v>
          </cell>
          <cell r="B459" t="str">
            <v>Completed Surveys</v>
          </cell>
          <cell r="C459">
            <v>42746.737756446761</v>
          </cell>
        </row>
        <row r="460">
          <cell r="A460">
            <v>3035603631</v>
          </cell>
          <cell r="B460" t="str">
            <v>Completed Surveys</v>
          </cell>
          <cell r="C460">
            <v>42746.737756446761</v>
          </cell>
        </row>
        <row r="461">
          <cell r="A461">
            <v>3035568456</v>
          </cell>
          <cell r="B461" t="str">
            <v>Completed Surveys</v>
          </cell>
          <cell r="C461">
            <v>42744.734167210649</v>
          </cell>
        </row>
        <row r="462">
          <cell r="A462">
            <v>3035570515</v>
          </cell>
          <cell r="B462" t="str">
            <v>Completed Surveys</v>
          </cell>
          <cell r="C462">
            <v>42744.734167210649</v>
          </cell>
        </row>
        <row r="463">
          <cell r="A463">
            <v>3035569745</v>
          </cell>
          <cell r="B463" t="str">
            <v>Completed Surveys</v>
          </cell>
          <cell r="C463">
            <v>42744.734167210649</v>
          </cell>
        </row>
        <row r="464">
          <cell r="A464">
            <v>3035523555</v>
          </cell>
          <cell r="B464" t="str">
            <v>Completed Surveys</v>
          </cell>
          <cell r="C464">
            <v>42744.734167210649</v>
          </cell>
        </row>
        <row r="465">
          <cell r="A465">
            <v>3035568991</v>
          </cell>
          <cell r="B465" t="str">
            <v>Completed Surveys</v>
          </cell>
          <cell r="C465">
            <v>42744.734167210649</v>
          </cell>
        </row>
        <row r="466">
          <cell r="A466">
            <v>3035570136</v>
          </cell>
          <cell r="B466" t="str">
            <v>Completed Surveys</v>
          </cell>
          <cell r="C466">
            <v>42744.734167210649</v>
          </cell>
        </row>
        <row r="467">
          <cell r="A467">
            <v>3035411214</v>
          </cell>
          <cell r="B467" t="str">
            <v>Completed Surveys</v>
          </cell>
          <cell r="C467">
            <v>42744.734167210649</v>
          </cell>
        </row>
        <row r="468">
          <cell r="A468">
            <v>3035571963</v>
          </cell>
          <cell r="B468" t="str">
            <v>Completed Surveys</v>
          </cell>
          <cell r="C468">
            <v>42744.734167210649</v>
          </cell>
        </row>
        <row r="469">
          <cell r="A469">
            <v>3035567802</v>
          </cell>
          <cell r="B469" t="str">
            <v>Completed Surveys</v>
          </cell>
          <cell r="C469">
            <v>42744.734167210649</v>
          </cell>
        </row>
        <row r="470">
          <cell r="A470">
            <v>3035568033</v>
          </cell>
          <cell r="B470" t="str">
            <v>Completed Surveys</v>
          </cell>
          <cell r="C470">
            <v>42744.734167210649</v>
          </cell>
        </row>
        <row r="471">
          <cell r="A471">
            <v>3035518233</v>
          </cell>
          <cell r="B471" t="str">
            <v>Completed Surveys</v>
          </cell>
          <cell r="C471">
            <v>42743.735176273149</v>
          </cell>
        </row>
        <row r="472">
          <cell r="A472">
            <v>3035475580</v>
          </cell>
          <cell r="B472" t="str">
            <v>Completed Surveys</v>
          </cell>
          <cell r="C472">
            <v>42743.735176273149</v>
          </cell>
        </row>
        <row r="473">
          <cell r="A473">
            <v>3035513063</v>
          </cell>
          <cell r="B473" t="str">
            <v>Completed Surveys</v>
          </cell>
          <cell r="C473">
            <v>42743.735176273149</v>
          </cell>
        </row>
        <row r="474">
          <cell r="A474">
            <v>3035539881</v>
          </cell>
          <cell r="B474" t="str">
            <v>Completed Surveys</v>
          </cell>
          <cell r="C474">
            <v>42743.735176273149</v>
          </cell>
        </row>
        <row r="475">
          <cell r="A475">
            <v>3035558137</v>
          </cell>
          <cell r="B475" t="str">
            <v>Completed Surveys</v>
          </cell>
          <cell r="C475">
            <v>42743.735176273149</v>
          </cell>
        </row>
        <row r="476">
          <cell r="A476">
            <v>3035541726</v>
          </cell>
          <cell r="B476" t="str">
            <v>Completed Surveys</v>
          </cell>
          <cell r="C476">
            <v>42743.735176273149</v>
          </cell>
        </row>
        <row r="477">
          <cell r="A477">
            <v>3035543597</v>
          </cell>
          <cell r="B477" t="str">
            <v>Completed Surveys</v>
          </cell>
          <cell r="C477">
            <v>42743.735176273149</v>
          </cell>
        </row>
        <row r="478">
          <cell r="A478">
            <v>3035513625</v>
          </cell>
          <cell r="B478" t="str">
            <v>Completed Surveys</v>
          </cell>
          <cell r="C478">
            <v>42743.735176273149</v>
          </cell>
        </row>
        <row r="479">
          <cell r="A479">
            <v>3035541735</v>
          </cell>
          <cell r="B479" t="str">
            <v>Completed Surveys</v>
          </cell>
          <cell r="C479">
            <v>42743.735176273149</v>
          </cell>
        </row>
        <row r="480">
          <cell r="A480">
            <v>3035554086</v>
          </cell>
          <cell r="B480" t="str">
            <v>Completed Surveys</v>
          </cell>
          <cell r="C480">
            <v>42743.735176273149</v>
          </cell>
        </row>
        <row r="481">
          <cell r="A481">
            <v>3035556883</v>
          </cell>
          <cell r="B481" t="str">
            <v>Completed Surveys</v>
          </cell>
          <cell r="C481">
            <v>42743.735176273149</v>
          </cell>
        </row>
        <row r="482">
          <cell r="A482">
            <v>3035547664</v>
          </cell>
          <cell r="B482" t="str">
            <v>Completed Surveys</v>
          </cell>
          <cell r="C482">
            <v>42743.735176273149</v>
          </cell>
        </row>
        <row r="483">
          <cell r="A483">
            <v>3035547143</v>
          </cell>
          <cell r="B483" t="str">
            <v>Completed Surveys</v>
          </cell>
          <cell r="C483">
            <v>42743.735176273149</v>
          </cell>
        </row>
        <row r="484">
          <cell r="A484">
            <v>3035542145</v>
          </cell>
          <cell r="B484" t="str">
            <v>Completed Surveys</v>
          </cell>
          <cell r="C484">
            <v>42743.735176273149</v>
          </cell>
        </row>
        <row r="485">
          <cell r="A485">
            <v>3035556463</v>
          </cell>
          <cell r="B485" t="str">
            <v>Completed Surveys</v>
          </cell>
          <cell r="C485">
            <v>42743.735176273149</v>
          </cell>
        </row>
        <row r="486">
          <cell r="A486">
            <v>3035546472</v>
          </cell>
          <cell r="B486" t="str">
            <v>Completed Surveys</v>
          </cell>
          <cell r="C486">
            <v>42743.735176273149</v>
          </cell>
        </row>
        <row r="487">
          <cell r="A487">
            <v>3035542047</v>
          </cell>
          <cell r="B487" t="str">
            <v>Completed Surveys</v>
          </cell>
          <cell r="C487">
            <v>42743.735176273149</v>
          </cell>
        </row>
        <row r="488">
          <cell r="A488">
            <v>3035552540</v>
          </cell>
          <cell r="B488" t="str">
            <v>Completed Surveys</v>
          </cell>
          <cell r="C488">
            <v>42743.735176273149</v>
          </cell>
        </row>
        <row r="489">
          <cell r="A489">
            <v>3035553780</v>
          </cell>
          <cell r="B489" t="str">
            <v>Completed Surveys</v>
          </cell>
          <cell r="C489">
            <v>42743.735176273149</v>
          </cell>
        </row>
        <row r="490">
          <cell r="A490">
            <v>3035543749</v>
          </cell>
          <cell r="B490" t="str">
            <v>Completed Surveys</v>
          </cell>
          <cell r="C490">
            <v>42743.735176273149</v>
          </cell>
        </row>
        <row r="491">
          <cell r="A491">
            <v>3035560442</v>
          </cell>
          <cell r="B491" t="str">
            <v>Completed Surveys</v>
          </cell>
          <cell r="C491">
            <v>42743.735176273149</v>
          </cell>
        </row>
        <row r="492">
          <cell r="A492">
            <v>3035553407</v>
          </cell>
          <cell r="B492" t="str">
            <v>Completed Surveys</v>
          </cell>
          <cell r="C492">
            <v>42743.735176273149</v>
          </cell>
        </row>
        <row r="493">
          <cell r="A493">
            <v>3035554876</v>
          </cell>
          <cell r="B493" t="str">
            <v>Completed Surveys</v>
          </cell>
          <cell r="C493">
            <v>42743.735176273149</v>
          </cell>
        </row>
        <row r="494">
          <cell r="A494">
            <v>3035508708</v>
          </cell>
          <cell r="B494" t="str">
            <v>Completed Surveys</v>
          </cell>
          <cell r="C494">
            <v>42743.735176273149</v>
          </cell>
        </row>
        <row r="495">
          <cell r="A495">
            <v>3035549488</v>
          </cell>
          <cell r="B495" t="str">
            <v>Completed Surveys</v>
          </cell>
          <cell r="C495">
            <v>42743.735176273149</v>
          </cell>
        </row>
        <row r="496">
          <cell r="A496">
            <v>3035542316</v>
          </cell>
          <cell r="B496" t="str">
            <v>Completed Surveys</v>
          </cell>
          <cell r="C496">
            <v>42743.735176273149</v>
          </cell>
        </row>
        <row r="497">
          <cell r="A497">
            <v>3035542005</v>
          </cell>
          <cell r="B497" t="str">
            <v>Completed Surveys</v>
          </cell>
          <cell r="C497">
            <v>42743.735176273149</v>
          </cell>
        </row>
        <row r="498">
          <cell r="A498">
            <v>3035511175</v>
          </cell>
          <cell r="B498" t="str">
            <v>Completed Surveys</v>
          </cell>
          <cell r="C498">
            <v>42742.73709116898</v>
          </cell>
        </row>
        <row r="499">
          <cell r="A499">
            <v>3035552971</v>
          </cell>
          <cell r="B499" t="str">
            <v>Completed Surveys</v>
          </cell>
          <cell r="C499">
            <v>42743.735176273149</v>
          </cell>
        </row>
        <row r="500">
          <cell r="A500">
            <v>3035545890</v>
          </cell>
          <cell r="B500" t="str">
            <v>Completed Surveys</v>
          </cell>
          <cell r="C500">
            <v>42743.735176273149</v>
          </cell>
        </row>
        <row r="501">
          <cell r="A501">
            <v>3035470531</v>
          </cell>
          <cell r="B501" t="str">
            <v>Completed Surveys</v>
          </cell>
          <cell r="C501">
            <v>42742.73709116898</v>
          </cell>
        </row>
        <row r="502">
          <cell r="A502">
            <v>3035507266</v>
          </cell>
          <cell r="B502" t="str">
            <v>Completed Surveys</v>
          </cell>
          <cell r="C502">
            <v>42742.73709116898</v>
          </cell>
        </row>
        <row r="503">
          <cell r="A503">
            <v>3035507129</v>
          </cell>
          <cell r="B503" t="str">
            <v>Completed Surveys</v>
          </cell>
          <cell r="C503">
            <v>42742.73709116898</v>
          </cell>
        </row>
        <row r="504">
          <cell r="A504">
            <v>3035520281</v>
          </cell>
          <cell r="B504" t="str">
            <v>Completed Surveys</v>
          </cell>
          <cell r="C504">
            <v>42742.73709116898</v>
          </cell>
        </row>
        <row r="505">
          <cell r="A505">
            <v>3035514556</v>
          </cell>
          <cell r="B505" t="str">
            <v>Completed Surveys</v>
          </cell>
          <cell r="C505">
            <v>42742.73709116898</v>
          </cell>
        </row>
        <row r="506">
          <cell r="A506">
            <v>3035507050</v>
          </cell>
          <cell r="B506" t="str">
            <v>Completed Surveys</v>
          </cell>
          <cell r="C506">
            <v>42742.73709116898</v>
          </cell>
        </row>
        <row r="507">
          <cell r="A507">
            <v>3035519950</v>
          </cell>
          <cell r="B507" t="str">
            <v>Completed Surveys</v>
          </cell>
          <cell r="C507">
            <v>42742.73709116898</v>
          </cell>
        </row>
        <row r="508">
          <cell r="A508">
            <v>3035508049</v>
          </cell>
          <cell r="B508" t="str">
            <v>Completed Surveys</v>
          </cell>
          <cell r="C508">
            <v>42742.73709116898</v>
          </cell>
        </row>
        <row r="509">
          <cell r="A509">
            <v>3035511643</v>
          </cell>
          <cell r="B509" t="str">
            <v>Completed Surveys</v>
          </cell>
          <cell r="C509">
            <v>42742.73709116898</v>
          </cell>
        </row>
        <row r="510">
          <cell r="A510">
            <v>3035444305</v>
          </cell>
          <cell r="B510" t="str">
            <v>Completed Surveys</v>
          </cell>
          <cell r="C510">
            <v>42742.73709116898</v>
          </cell>
        </row>
        <row r="511">
          <cell r="A511">
            <v>3035484884</v>
          </cell>
          <cell r="B511" t="str">
            <v>Completed Surveys</v>
          </cell>
          <cell r="C511">
            <v>42742.73709116898</v>
          </cell>
        </row>
        <row r="512">
          <cell r="A512">
            <v>3035508375</v>
          </cell>
          <cell r="B512" t="str">
            <v>Completed Surveys</v>
          </cell>
          <cell r="C512">
            <v>42742.73709116898</v>
          </cell>
        </row>
        <row r="513">
          <cell r="A513">
            <v>3035452705</v>
          </cell>
          <cell r="B513" t="str">
            <v>Completed Surveys</v>
          </cell>
          <cell r="C513">
            <v>42742.73709116898</v>
          </cell>
        </row>
        <row r="514">
          <cell r="A514">
            <v>3035434952</v>
          </cell>
          <cell r="B514" t="str">
            <v>Completed Surveys</v>
          </cell>
          <cell r="C514">
            <v>42742.73709116898</v>
          </cell>
        </row>
        <row r="515">
          <cell r="A515">
            <v>3035505711</v>
          </cell>
          <cell r="B515" t="str">
            <v>Completed Surveys</v>
          </cell>
          <cell r="C515">
            <v>42742.73709116898</v>
          </cell>
        </row>
        <row r="516">
          <cell r="A516">
            <v>3035518314</v>
          </cell>
          <cell r="B516" t="str">
            <v>Completed Surveys</v>
          </cell>
          <cell r="C516">
            <v>42742.73709116898</v>
          </cell>
        </row>
        <row r="517">
          <cell r="A517">
            <v>3035528701</v>
          </cell>
          <cell r="B517" t="str">
            <v>Completed Surveys</v>
          </cell>
          <cell r="C517">
            <v>42742.73709116898</v>
          </cell>
        </row>
        <row r="518">
          <cell r="A518">
            <v>3035407500</v>
          </cell>
          <cell r="B518" t="str">
            <v>Completed Surveys</v>
          </cell>
          <cell r="C518">
            <v>42742.73709116898</v>
          </cell>
        </row>
        <row r="519">
          <cell r="A519">
            <v>3035528445</v>
          </cell>
          <cell r="B519" t="str">
            <v>Completed Surveys</v>
          </cell>
          <cell r="C519">
            <v>42742.73709116898</v>
          </cell>
        </row>
        <row r="520">
          <cell r="A520">
            <v>3035476125</v>
          </cell>
          <cell r="B520" t="str">
            <v>Completed Surveys</v>
          </cell>
          <cell r="C520">
            <v>42742.73709116898</v>
          </cell>
        </row>
        <row r="521">
          <cell r="A521">
            <v>3035508258</v>
          </cell>
          <cell r="B521" t="str">
            <v>Completed Surveys</v>
          </cell>
          <cell r="C521">
            <v>42742.73709116898</v>
          </cell>
        </row>
        <row r="522">
          <cell r="A522">
            <v>3035523608</v>
          </cell>
          <cell r="B522" t="str">
            <v>Completed Surveys</v>
          </cell>
          <cell r="C522">
            <v>42742.73709116898</v>
          </cell>
        </row>
        <row r="523">
          <cell r="A523">
            <v>3035506352</v>
          </cell>
          <cell r="B523" t="str">
            <v>Completed Surveys</v>
          </cell>
          <cell r="C523">
            <v>42742.73709116898</v>
          </cell>
        </row>
        <row r="524">
          <cell r="A524">
            <v>3035443652</v>
          </cell>
          <cell r="B524" t="str">
            <v>Completed Surveys</v>
          </cell>
          <cell r="C524">
            <v>42742.73709116898</v>
          </cell>
        </row>
        <row r="525">
          <cell r="A525">
            <v>3035510359</v>
          </cell>
          <cell r="B525" t="str">
            <v>Completed Surveys</v>
          </cell>
          <cell r="C525">
            <v>42742.73709116898</v>
          </cell>
        </row>
        <row r="526">
          <cell r="A526">
            <v>3035514776</v>
          </cell>
          <cell r="B526" t="str">
            <v>Completed Surveys</v>
          </cell>
          <cell r="C526">
            <v>42742.73709116898</v>
          </cell>
        </row>
        <row r="527">
          <cell r="A527">
            <v>3035356226</v>
          </cell>
          <cell r="B527" t="str">
            <v>Completed Surveys</v>
          </cell>
          <cell r="C527">
            <v>42742.73709116898</v>
          </cell>
        </row>
        <row r="528">
          <cell r="A528">
            <v>3035435590</v>
          </cell>
          <cell r="B528" t="str">
            <v>Completed Surveys</v>
          </cell>
          <cell r="C528">
            <v>42741.737065358793</v>
          </cell>
        </row>
        <row r="529">
          <cell r="A529">
            <v>3035290527</v>
          </cell>
          <cell r="B529" t="str">
            <v>Completed Surveys</v>
          </cell>
          <cell r="C529">
            <v>42741.737065358793</v>
          </cell>
        </row>
        <row r="530">
          <cell r="A530">
            <v>3035517643</v>
          </cell>
          <cell r="B530" t="str">
            <v>Completed Surveys</v>
          </cell>
          <cell r="C530">
            <v>42742.73709116898</v>
          </cell>
        </row>
        <row r="531">
          <cell r="A531">
            <v>3035469856</v>
          </cell>
          <cell r="B531" t="str">
            <v>Completed Surveys</v>
          </cell>
          <cell r="C531">
            <v>42742.73709116898</v>
          </cell>
        </row>
        <row r="532">
          <cell r="A532">
            <v>3035508081</v>
          </cell>
          <cell r="B532" t="str">
            <v>Completed Surveys</v>
          </cell>
          <cell r="C532">
            <v>42742.73709116898</v>
          </cell>
        </row>
        <row r="533">
          <cell r="A533">
            <v>3035519653</v>
          </cell>
          <cell r="B533" t="str">
            <v>Completed Surveys</v>
          </cell>
          <cell r="C533">
            <v>42742.73709116898</v>
          </cell>
        </row>
        <row r="534">
          <cell r="A534">
            <v>3035477235</v>
          </cell>
          <cell r="B534" t="str">
            <v>Completed Surveys</v>
          </cell>
          <cell r="C534">
            <v>42741.73704378472</v>
          </cell>
        </row>
        <row r="535">
          <cell r="A535">
            <v>3035484967</v>
          </cell>
          <cell r="B535" t="str">
            <v>Completed Surveys</v>
          </cell>
          <cell r="C535">
            <v>42741.73704378472</v>
          </cell>
        </row>
        <row r="536">
          <cell r="A536">
            <v>3035434667</v>
          </cell>
          <cell r="B536" t="str">
            <v>Completed Surveys</v>
          </cell>
          <cell r="C536">
            <v>42741.73704378472</v>
          </cell>
        </row>
        <row r="537">
          <cell r="A537">
            <v>3035472871</v>
          </cell>
          <cell r="B537" t="str">
            <v>Completed Surveys</v>
          </cell>
          <cell r="C537">
            <v>42741.73704378472</v>
          </cell>
        </row>
        <row r="538">
          <cell r="A538">
            <v>3035477787</v>
          </cell>
          <cell r="B538" t="str">
            <v>Completed Surveys</v>
          </cell>
          <cell r="C538">
            <v>42741.73704378472</v>
          </cell>
        </row>
        <row r="539">
          <cell r="A539">
            <v>3035436310</v>
          </cell>
          <cell r="B539" t="str">
            <v>Completed Surveys</v>
          </cell>
          <cell r="C539">
            <v>42741.73704378472</v>
          </cell>
        </row>
        <row r="540">
          <cell r="A540">
            <v>3035480368</v>
          </cell>
          <cell r="B540" t="str">
            <v>Completed Surveys</v>
          </cell>
          <cell r="C540">
            <v>42741.73704378472</v>
          </cell>
        </row>
        <row r="541">
          <cell r="A541">
            <v>3035472100</v>
          </cell>
          <cell r="B541" t="str">
            <v>Completed Surveys</v>
          </cell>
          <cell r="C541">
            <v>42741.73704378472</v>
          </cell>
        </row>
        <row r="542">
          <cell r="A542">
            <v>3035482880</v>
          </cell>
          <cell r="B542" t="str">
            <v>Completed Surveys</v>
          </cell>
          <cell r="C542">
            <v>42741.73704378472</v>
          </cell>
        </row>
        <row r="543">
          <cell r="A543">
            <v>3035477049</v>
          </cell>
          <cell r="B543" t="str">
            <v>Completed Surveys</v>
          </cell>
          <cell r="C543">
            <v>42741.73704378472</v>
          </cell>
        </row>
        <row r="544">
          <cell r="A544">
            <v>3035472073</v>
          </cell>
          <cell r="B544" t="str">
            <v>Completed Surveys</v>
          </cell>
          <cell r="C544">
            <v>42741.73704378472</v>
          </cell>
        </row>
        <row r="545">
          <cell r="A545">
            <v>3035473954</v>
          </cell>
          <cell r="B545" t="str">
            <v>Completed Surveys</v>
          </cell>
          <cell r="C545">
            <v>42741.73704378472</v>
          </cell>
        </row>
        <row r="546">
          <cell r="A546">
            <v>3035365542</v>
          </cell>
          <cell r="B546" t="str">
            <v>Completed Surveys</v>
          </cell>
          <cell r="C546">
            <v>42741.73704378472</v>
          </cell>
        </row>
        <row r="547">
          <cell r="A547">
            <v>3035487225</v>
          </cell>
          <cell r="B547" t="str">
            <v>Completed Surveys</v>
          </cell>
          <cell r="C547">
            <v>42741.73704378472</v>
          </cell>
        </row>
        <row r="548">
          <cell r="A548">
            <v>3035477903</v>
          </cell>
          <cell r="B548" t="str">
            <v>Completed Surveys</v>
          </cell>
          <cell r="C548">
            <v>42741.73704378472</v>
          </cell>
        </row>
        <row r="549">
          <cell r="A549">
            <v>3035482677</v>
          </cell>
          <cell r="B549" t="str">
            <v>Completed Surveys</v>
          </cell>
          <cell r="C549">
            <v>42741.73704378472</v>
          </cell>
        </row>
        <row r="550">
          <cell r="A550">
            <v>3035181621</v>
          </cell>
          <cell r="B550" t="str">
            <v>Completed Surveys</v>
          </cell>
          <cell r="C550">
            <v>42741.73704378472</v>
          </cell>
        </row>
        <row r="551">
          <cell r="A551">
            <v>3035471678</v>
          </cell>
          <cell r="B551" t="str">
            <v>Completed Surveys</v>
          </cell>
          <cell r="C551">
            <v>42741.73704378472</v>
          </cell>
        </row>
        <row r="552">
          <cell r="A552">
            <v>3035477043</v>
          </cell>
          <cell r="B552" t="str">
            <v>Completed Surveys</v>
          </cell>
          <cell r="C552">
            <v>42741.73704378472</v>
          </cell>
        </row>
        <row r="553">
          <cell r="A553">
            <v>3035469097</v>
          </cell>
          <cell r="B553" t="str">
            <v>Completed Surveys</v>
          </cell>
          <cell r="C553">
            <v>42741.73704378472</v>
          </cell>
        </row>
        <row r="554">
          <cell r="A554">
            <v>3035475023</v>
          </cell>
          <cell r="B554" t="str">
            <v>Completed Surveys</v>
          </cell>
          <cell r="C554">
            <v>42741.73704378472</v>
          </cell>
        </row>
        <row r="555">
          <cell r="A555">
            <v>3035469853</v>
          </cell>
          <cell r="B555" t="str">
            <v>Completed Surveys</v>
          </cell>
          <cell r="C555">
            <v>42741.73704378472</v>
          </cell>
        </row>
        <row r="556">
          <cell r="A556">
            <v>3035480263</v>
          </cell>
          <cell r="B556" t="str">
            <v>Completed Surveys</v>
          </cell>
          <cell r="C556">
            <v>42741.73704378472</v>
          </cell>
        </row>
        <row r="557">
          <cell r="A557">
            <v>3035469849</v>
          </cell>
          <cell r="B557" t="str">
            <v>Completed Surveys</v>
          </cell>
          <cell r="C557">
            <v>42741.73704378472</v>
          </cell>
        </row>
        <row r="558">
          <cell r="A558">
            <v>3035470149</v>
          </cell>
          <cell r="B558" t="str">
            <v>Completed Surveys</v>
          </cell>
          <cell r="C558">
            <v>42741.73704378472</v>
          </cell>
        </row>
        <row r="559">
          <cell r="A559">
            <v>3035401367</v>
          </cell>
          <cell r="B559" t="str">
            <v>Completed Surveys</v>
          </cell>
          <cell r="C559">
            <v>42740.737851504629</v>
          </cell>
        </row>
        <row r="560">
          <cell r="A560">
            <v>3035433395</v>
          </cell>
          <cell r="B560" t="str">
            <v>Completed Surveys</v>
          </cell>
          <cell r="C560">
            <v>42740.737851504629</v>
          </cell>
        </row>
        <row r="561">
          <cell r="A561">
            <v>3035448438</v>
          </cell>
          <cell r="B561" t="str">
            <v>Completed Surveys</v>
          </cell>
          <cell r="C561">
            <v>42740.737851504629</v>
          </cell>
        </row>
        <row r="562">
          <cell r="A562">
            <v>3035445402</v>
          </cell>
          <cell r="B562" t="str">
            <v>Completed Surveys</v>
          </cell>
          <cell r="C562">
            <v>42740.737851504629</v>
          </cell>
        </row>
        <row r="563">
          <cell r="A563">
            <v>3035400583</v>
          </cell>
          <cell r="B563" t="str">
            <v>Completed Surveys</v>
          </cell>
          <cell r="C563">
            <v>42740.737851504629</v>
          </cell>
        </row>
        <row r="564">
          <cell r="A564">
            <v>3035431604</v>
          </cell>
          <cell r="B564" t="str">
            <v>Completed Surveys</v>
          </cell>
          <cell r="C564">
            <v>42740.737851504629</v>
          </cell>
        </row>
        <row r="565">
          <cell r="A565">
            <v>3035414002</v>
          </cell>
          <cell r="B565" t="str">
            <v>Completed Surveys</v>
          </cell>
          <cell r="C565">
            <v>42740.737851504629</v>
          </cell>
        </row>
        <row r="566">
          <cell r="A566">
            <v>3035331079</v>
          </cell>
          <cell r="B566" t="str">
            <v>Completed Surveys</v>
          </cell>
          <cell r="C566">
            <v>42740.737851504629</v>
          </cell>
        </row>
        <row r="567">
          <cell r="A567">
            <v>3035437788</v>
          </cell>
          <cell r="B567" t="str">
            <v>Completed Surveys</v>
          </cell>
          <cell r="C567">
            <v>42740.737851504629</v>
          </cell>
        </row>
        <row r="568">
          <cell r="A568">
            <v>3035446990</v>
          </cell>
          <cell r="B568" t="str">
            <v>Completed Surveys</v>
          </cell>
          <cell r="C568">
            <v>42740.737851504629</v>
          </cell>
        </row>
        <row r="569">
          <cell r="A569">
            <v>3035436859</v>
          </cell>
          <cell r="B569" t="str">
            <v>Completed Surveys</v>
          </cell>
          <cell r="C569">
            <v>42740.737851504629</v>
          </cell>
        </row>
        <row r="570">
          <cell r="A570">
            <v>3035445203</v>
          </cell>
          <cell r="B570" t="str">
            <v>Completed Surveys</v>
          </cell>
          <cell r="C570">
            <v>42740.737851504629</v>
          </cell>
        </row>
        <row r="571">
          <cell r="A571">
            <v>3035327120</v>
          </cell>
          <cell r="B571" t="str">
            <v>Completed Surveys</v>
          </cell>
          <cell r="C571">
            <v>42740.737851504629</v>
          </cell>
        </row>
        <row r="572">
          <cell r="A572">
            <v>3035445327</v>
          </cell>
          <cell r="B572" t="str">
            <v>Completed Surveys</v>
          </cell>
          <cell r="C572">
            <v>42740.737851504629</v>
          </cell>
        </row>
        <row r="573">
          <cell r="A573">
            <v>3035432401</v>
          </cell>
          <cell r="B573" t="str">
            <v>Completed Surveys</v>
          </cell>
          <cell r="C573">
            <v>42740.737851504629</v>
          </cell>
        </row>
        <row r="574">
          <cell r="A574">
            <v>3035437532</v>
          </cell>
          <cell r="B574" t="str">
            <v>Completed Surveys</v>
          </cell>
          <cell r="C574">
            <v>42740.737851504629</v>
          </cell>
        </row>
        <row r="575">
          <cell r="A575">
            <v>3035431593</v>
          </cell>
          <cell r="B575" t="str">
            <v>Completed Surveys</v>
          </cell>
          <cell r="C575">
            <v>42740.737851504629</v>
          </cell>
        </row>
        <row r="576">
          <cell r="A576">
            <v>3035367594</v>
          </cell>
          <cell r="B576" t="str">
            <v>Completed Surveys</v>
          </cell>
          <cell r="C576">
            <v>42740.737851504629</v>
          </cell>
        </row>
        <row r="577">
          <cell r="A577">
            <v>3035438302</v>
          </cell>
          <cell r="B577" t="str">
            <v>Completed Surveys</v>
          </cell>
          <cell r="C577">
            <v>42740.737851504629</v>
          </cell>
        </row>
        <row r="578">
          <cell r="A578">
            <v>3035266780</v>
          </cell>
          <cell r="B578" t="str">
            <v>Completed Surveys</v>
          </cell>
          <cell r="C578">
            <v>42740.737851504629</v>
          </cell>
        </row>
        <row r="579">
          <cell r="A579">
            <v>3035443197</v>
          </cell>
          <cell r="B579" t="str">
            <v>Completed Surveys</v>
          </cell>
          <cell r="C579">
            <v>42740.737851504629</v>
          </cell>
        </row>
        <row r="580">
          <cell r="A580">
            <v>3035443646</v>
          </cell>
          <cell r="B580" t="str">
            <v>Completed Surveys</v>
          </cell>
          <cell r="C580">
            <v>42740.737851504629</v>
          </cell>
        </row>
        <row r="581">
          <cell r="A581">
            <v>3035416685</v>
          </cell>
          <cell r="B581" t="str">
            <v>Completed Surveys</v>
          </cell>
          <cell r="C581">
            <v>42739.737638969906</v>
          </cell>
        </row>
        <row r="582">
          <cell r="A582">
            <v>3035400014</v>
          </cell>
          <cell r="B582" t="str">
            <v>Completed Surveys</v>
          </cell>
          <cell r="C582">
            <v>42739.737638969906</v>
          </cell>
        </row>
        <row r="583">
          <cell r="A583">
            <v>3035452814</v>
          </cell>
          <cell r="B583" t="str">
            <v>Completed Surveys</v>
          </cell>
          <cell r="C583">
            <v>42740.737851504629</v>
          </cell>
        </row>
        <row r="584">
          <cell r="A584">
            <v>3035234964</v>
          </cell>
          <cell r="B584" t="str">
            <v>Completed Surveys</v>
          </cell>
          <cell r="C584">
            <v>42739.737638969906</v>
          </cell>
        </row>
        <row r="585">
          <cell r="A585">
            <v>3035167262</v>
          </cell>
          <cell r="B585" t="str">
            <v>Completed Surveys</v>
          </cell>
          <cell r="C585">
            <v>42739.737638969906</v>
          </cell>
        </row>
        <row r="586">
          <cell r="A586">
            <v>3035191889</v>
          </cell>
          <cell r="B586" t="str">
            <v>Completed Surveys</v>
          </cell>
          <cell r="C586">
            <v>42739.737638969906</v>
          </cell>
        </row>
        <row r="587">
          <cell r="A587">
            <v>3035416725</v>
          </cell>
          <cell r="B587" t="str">
            <v>Completed Surveys</v>
          </cell>
          <cell r="C587">
            <v>42739.737638969906</v>
          </cell>
        </row>
        <row r="588">
          <cell r="A588">
            <v>3035414842</v>
          </cell>
          <cell r="B588" t="str">
            <v>Completed Surveys</v>
          </cell>
          <cell r="C588">
            <v>42739.737638969906</v>
          </cell>
        </row>
        <row r="589">
          <cell r="A589">
            <v>3035400304</v>
          </cell>
          <cell r="B589" t="str">
            <v>Completed Surveys</v>
          </cell>
          <cell r="C589">
            <v>42739.737638969906</v>
          </cell>
        </row>
        <row r="590">
          <cell r="A590">
            <v>3035406119</v>
          </cell>
          <cell r="B590" t="str">
            <v>Completed Surveys</v>
          </cell>
          <cell r="C590">
            <v>42739.737638969906</v>
          </cell>
        </row>
        <row r="591">
          <cell r="A591">
            <v>3035405386</v>
          </cell>
          <cell r="B591" t="str">
            <v>Completed Surveys</v>
          </cell>
          <cell r="C591">
            <v>42739.737638969906</v>
          </cell>
        </row>
        <row r="592">
          <cell r="A592">
            <v>3035399057</v>
          </cell>
          <cell r="B592" t="str">
            <v>Completed Surveys</v>
          </cell>
          <cell r="C592">
            <v>42739.737638969906</v>
          </cell>
        </row>
        <row r="593">
          <cell r="A593">
            <v>3035405137</v>
          </cell>
          <cell r="B593" t="str">
            <v>Completed Surveys</v>
          </cell>
          <cell r="C593">
            <v>42739.737638969906</v>
          </cell>
        </row>
        <row r="594">
          <cell r="A594">
            <v>3035270313</v>
          </cell>
          <cell r="B594" t="str">
            <v>Completed Surveys</v>
          </cell>
          <cell r="C594">
            <v>42739.737638969906</v>
          </cell>
        </row>
        <row r="595">
          <cell r="A595">
            <v>3035408716</v>
          </cell>
          <cell r="B595" t="str">
            <v>Completed Surveys</v>
          </cell>
          <cell r="C595">
            <v>42739.737638969906</v>
          </cell>
        </row>
        <row r="596">
          <cell r="A596">
            <v>3035405901</v>
          </cell>
          <cell r="B596" t="str">
            <v>Completed Surveys</v>
          </cell>
          <cell r="C596">
            <v>42739.737638969906</v>
          </cell>
        </row>
        <row r="597">
          <cell r="A597">
            <v>3035112910</v>
          </cell>
          <cell r="B597" t="str">
            <v>Completed Surveys</v>
          </cell>
          <cell r="C597">
            <v>42739.737638969906</v>
          </cell>
        </row>
        <row r="598">
          <cell r="A598">
            <v>3035336262</v>
          </cell>
          <cell r="B598" t="str">
            <v>Completed Surveys</v>
          </cell>
          <cell r="C598">
            <v>42739.737638969906</v>
          </cell>
        </row>
        <row r="599">
          <cell r="A599">
            <v>3035379132</v>
          </cell>
          <cell r="B599" t="str">
            <v>Completed Surveys</v>
          </cell>
          <cell r="C599">
            <v>42737.733986539351</v>
          </cell>
        </row>
        <row r="600">
          <cell r="A600">
            <v>3035262799</v>
          </cell>
          <cell r="B600" t="str">
            <v>Completed Surveys</v>
          </cell>
          <cell r="C600">
            <v>42739.737638969906</v>
          </cell>
        </row>
        <row r="601">
          <cell r="A601">
            <v>3035080717</v>
          </cell>
          <cell r="B601" t="str">
            <v>Completed Surveys</v>
          </cell>
          <cell r="C601">
            <v>42738.734958020832</v>
          </cell>
        </row>
        <row r="602">
          <cell r="A602">
            <v>3035232141</v>
          </cell>
          <cell r="B602" t="str">
            <v>Completed Surveys</v>
          </cell>
          <cell r="C602">
            <v>42739.737638969906</v>
          </cell>
        </row>
        <row r="603">
          <cell r="A603">
            <v>3035410733</v>
          </cell>
          <cell r="B603" t="str">
            <v>Completed Surveys</v>
          </cell>
          <cell r="C603">
            <v>42739.737638969906</v>
          </cell>
        </row>
        <row r="604">
          <cell r="A604">
            <v>3035366521</v>
          </cell>
          <cell r="B604" t="str">
            <v>Completed Surveys</v>
          </cell>
          <cell r="C604">
            <v>42736.734471099538</v>
          </cell>
        </row>
        <row r="605">
          <cell r="A605">
            <v>3035356913</v>
          </cell>
          <cell r="B605" t="str">
            <v>Completed Surveys</v>
          </cell>
          <cell r="C605">
            <v>42736.734471099538</v>
          </cell>
        </row>
        <row r="606">
          <cell r="A606">
            <v>3035262298</v>
          </cell>
          <cell r="B606" t="str">
            <v>Completed Surveys</v>
          </cell>
          <cell r="C606">
            <v>42736.734471099538</v>
          </cell>
        </row>
        <row r="607">
          <cell r="A607">
            <v>3035300338</v>
          </cell>
          <cell r="B607" t="str">
            <v>Completed Surveys</v>
          </cell>
          <cell r="C607">
            <v>42736.734471099538</v>
          </cell>
        </row>
        <row r="608">
          <cell r="A608">
            <v>3035355707</v>
          </cell>
          <cell r="B608" t="str">
            <v>Completed Surveys</v>
          </cell>
          <cell r="C608">
            <v>42736.734471099538</v>
          </cell>
        </row>
        <row r="609">
          <cell r="A609">
            <v>3035312700</v>
          </cell>
          <cell r="B609" t="str">
            <v>Completed Surveys</v>
          </cell>
          <cell r="C609">
            <v>42736.734471099538</v>
          </cell>
        </row>
        <row r="610">
          <cell r="A610">
            <v>3035334598</v>
          </cell>
          <cell r="B610" t="str">
            <v>Completed Surveys</v>
          </cell>
          <cell r="C610">
            <v>42736.734471099538</v>
          </cell>
        </row>
        <row r="611">
          <cell r="A611">
            <v>3035362633</v>
          </cell>
          <cell r="B611" t="str">
            <v>Completed Surveys</v>
          </cell>
          <cell r="C611">
            <v>42736.734471099538</v>
          </cell>
        </row>
        <row r="612">
          <cell r="A612">
            <v>3035371561</v>
          </cell>
          <cell r="B612" t="str">
            <v>Completed Surveys</v>
          </cell>
          <cell r="C612">
            <v>42736.734471099538</v>
          </cell>
        </row>
        <row r="613">
          <cell r="A613">
            <v>3035362042</v>
          </cell>
          <cell r="B613" t="str">
            <v>Completed Surveys</v>
          </cell>
          <cell r="C613">
            <v>42736.734471099538</v>
          </cell>
        </row>
        <row r="614">
          <cell r="A614">
            <v>3035334767</v>
          </cell>
          <cell r="B614" t="str">
            <v>Completed Surveys</v>
          </cell>
          <cell r="C614">
            <v>42735.736799421298</v>
          </cell>
        </row>
        <row r="615">
          <cell r="A615">
            <v>3035326791</v>
          </cell>
          <cell r="B615" t="str">
            <v>Completed Surveys</v>
          </cell>
          <cell r="C615">
            <v>42735.736799421298</v>
          </cell>
        </row>
        <row r="616">
          <cell r="A616">
            <v>3035325157</v>
          </cell>
          <cell r="B616" t="str">
            <v>Completed Surveys</v>
          </cell>
          <cell r="C616">
            <v>42735.736799421298</v>
          </cell>
        </row>
        <row r="617">
          <cell r="A617">
            <v>3035324821</v>
          </cell>
          <cell r="B617" t="str">
            <v>Completed Surveys</v>
          </cell>
          <cell r="C617">
            <v>42735.736799421298</v>
          </cell>
        </row>
        <row r="618">
          <cell r="A618">
            <v>3035233946</v>
          </cell>
          <cell r="B618" t="str">
            <v>Completed Surveys</v>
          </cell>
          <cell r="C618">
            <v>42735.736799421298</v>
          </cell>
        </row>
        <row r="619">
          <cell r="A619">
            <v>3035326814</v>
          </cell>
          <cell r="B619" t="str">
            <v>Completed Surveys</v>
          </cell>
          <cell r="C619">
            <v>42735.736799421298</v>
          </cell>
        </row>
        <row r="620">
          <cell r="A620">
            <v>3035327301</v>
          </cell>
          <cell r="B620" t="str">
            <v>Completed Surveys</v>
          </cell>
          <cell r="C620">
            <v>42735.736799421298</v>
          </cell>
        </row>
        <row r="621">
          <cell r="A621">
            <v>3035325253</v>
          </cell>
          <cell r="B621" t="str">
            <v>Completed Surveys</v>
          </cell>
          <cell r="C621">
            <v>42735.736799421298</v>
          </cell>
        </row>
        <row r="622">
          <cell r="A622">
            <v>3035171000</v>
          </cell>
          <cell r="B622" t="str">
            <v>Completed Surveys</v>
          </cell>
          <cell r="C622">
            <v>42735.736825925924</v>
          </cell>
        </row>
        <row r="623">
          <cell r="A623">
            <v>3035332627</v>
          </cell>
          <cell r="B623" t="str">
            <v>Completed Surveys</v>
          </cell>
          <cell r="C623">
            <v>42735.736825925924</v>
          </cell>
        </row>
        <row r="624">
          <cell r="A624">
            <v>3035333611</v>
          </cell>
          <cell r="B624" t="str">
            <v>Completed Surveys</v>
          </cell>
          <cell r="C624">
            <v>42735.736799421298</v>
          </cell>
        </row>
        <row r="625">
          <cell r="A625">
            <v>3035333269</v>
          </cell>
          <cell r="B625" t="str">
            <v>Completed Surveys</v>
          </cell>
          <cell r="C625">
            <v>42735.736799421298</v>
          </cell>
        </row>
        <row r="626">
          <cell r="A626">
            <v>3035326513</v>
          </cell>
          <cell r="B626" t="str">
            <v>Completed Surveys</v>
          </cell>
          <cell r="C626">
            <v>42735.736799421298</v>
          </cell>
        </row>
        <row r="627">
          <cell r="A627">
            <v>3035328400</v>
          </cell>
          <cell r="B627" t="str">
            <v>Completed Surveys</v>
          </cell>
          <cell r="C627">
            <v>42735.736799421298</v>
          </cell>
        </row>
        <row r="628">
          <cell r="A628">
            <v>3035325222</v>
          </cell>
          <cell r="B628" t="str">
            <v>Completed Surveys</v>
          </cell>
          <cell r="C628">
            <v>42735.736799421298</v>
          </cell>
        </row>
        <row r="629">
          <cell r="A629">
            <v>3035330010</v>
          </cell>
          <cell r="B629" t="str">
            <v>Completed Surveys</v>
          </cell>
          <cell r="C629">
            <v>42735.736799421298</v>
          </cell>
        </row>
        <row r="630">
          <cell r="A630">
            <v>3035297011</v>
          </cell>
          <cell r="B630" t="str">
            <v>Completed Surveys</v>
          </cell>
          <cell r="C630">
            <v>42735.736799421298</v>
          </cell>
        </row>
        <row r="631">
          <cell r="A631">
            <v>3035326044</v>
          </cell>
          <cell r="B631" t="str">
            <v>Completed Surveys</v>
          </cell>
          <cell r="C631">
            <v>42735.736799421298</v>
          </cell>
        </row>
        <row r="632">
          <cell r="A632">
            <v>3035300620</v>
          </cell>
          <cell r="B632" t="str">
            <v>Completed Surveys</v>
          </cell>
          <cell r="C632">
            <v>42735.736799421298</v>
          </cell>
        </row>
        <row r="633">
          <cell r="A633">
            <v>3035302549</v>
          </cell>
          <cell r="B633" t="str">
            <v>Completed Surveys</v>
          </cell>
          <cell r="C633">
            <v>42735.736799421298</v>
          </cell>
        </row>
        <row r="634">
          <cell r="A634">
            <v>3035323302</v>
          </cell>
          <cell r="B634" t="str">
            <v>Completed Surveys</v>
          </cell>
          <cell r="C634">
            <v>42735.736799421298</v>
          </cell>
        </row>
        <row r="635">
          <cell r="A635">
            <v>3035337009</v>
          </cell>
          <cell r="B635" t="str">
            <v>Completed Surveys</v>
          </cell>
          <cell r="C635">
            <v>42735.736799421298</v>
          </cell>
        </row>
        <row r="636">
          <cell r="A636">
            <v>3035327216</v>
          </cell>
          <cell r="B636" t="str">
            <v>Completed Surveys</v>
          </cell>
          <cell r="C636">
            <v>42735.736799421298</v>
          </cell>
        </row>
        <row r="637">
          <cell r="A637">
            <v>3035296200</v>
          </cell>
          <cell r="B637" t="str">
            <v>Completed Surveys</v>
          </cell>
          <cell r="C637">
            <v>42735.736799421298</v>
          </cell>
        </row>
        <row r="638">
          <cell r="A638">
            <v>3035192978</v>
          </cell>
          <cell r="B638" t="str">
            <v>Completed Surveys</v>
          </cell>
          <cell r="C638">
            <v>42734.736929016202</v>
          </cell>
        </row>
        <row r="639">
          <cell r="A639">
            <v>3035293220</v>
          </cell>
          <cell r="B639" t="str">
            <v>Completed Surveys</v>
          </cell>
          <cell r="C639">
            <v>42734.736929016202</v>
          </cell>
        </row>
        <row r="640">
          <cell r="A640">
            <v>3035231375</v>
          </cell>
          <cell r="B640" t="str">
            <v>Completed Surveys</v>
          </cell>
          <cell r="C640">
            <v>42734.736929016202</v>
          </cell>
        </row>
        <row r="641">
          <cell r="A641">
            <v>3035301983</v>
          </cell>
          <cell r="B641" t="str">
            <v>Completed Surveys</v>
          </cell>
          <cell r="C641">
            <v>42734.736929016202</v>
          </cell>
        </row>
        <row r="642">
          <cell r="A642">
            <v>3035233037</v>
          </cell>
          <cell r="B642" t="str">
            <v>Completed Surveys</v>
          </cell>
          <cell r="C642">
            <v>42734.736929016202</v>
          </cell>
        </row>
        <row r="643">
          <cell r="A643">
            <v>3035150385</v>
          </cell>
          <cell r="B643" t="str">
            <v>Completed Surveys</v>
          </cell>
          <cell r="C643">
            <v>42734.736929016202</v>
          </cell>
        </row>
        <row r="644">
          <cell r="A644">
            <v>3035299621</v>
          </cell>
          <cell r="B644" t="str">
            <v>Completed Surveys</v>
          </cell>
          <cell r="C644">
            <v>42734.736929016202</v>
          </cell>
        </row>
        <row r="645">
          <cell r="A645">
            <v>3035295066</v>
          </cell>
          <cell r="B645" t="str">
            <v>Completed Surveys</v>
          </cell>
          <cell r="C645">
            <v>42734.736929016202</v>
          </cell>
        </row>
        <row r="646">
          <cell r="A646">
            <v>3035305732</v>
          </cell>
          <cell r="B646" t="str">
            <v>Completed Surveys</v>
          </cell>
          <cell r="C646">
            <v>42734.736929016202</v>
          </cell>
        </row>
        <row r="647">
          <cell r="A647">
            <v>3035295081</v>
          </cell>
          <cell r="B647" t="str">
            <v>Completed Surveys</v>
          </cell>
          <cell r="C647">
            <v>42734.736929016202</v>
          </cell>
        </row>
        <row r="648">
          <cell r="A648">
            <v>3035214920</v>
          </cell>
          <cell r="B648" t="str">
            <v>Completed Surveys</v>
          </cell>
          <cell r="C648">
            <v>42734.736929016202</v>
          </cell>
        </row>
        <row r="649">
          <cell r="A649">
            <v>3035290688</v>
          </cell>
          <cell r="B649" t="str">
            <v>Completed Surveys</v>
          </cell>
          <cell r="C649">
            <v>42734.736929016202</v>
          </cell>
        </row>
        <row r="650">
          <cell r="A650">
            <v>3035262240</v>
          </cell>
          <cell r="B650" t="str">
            <v>Completed Surveys</v>
          </cell>
          <cell r="C650">
            <v>42733.736311956018</v>
          </cell>
        </row>
        <row r="651">
          <cell r="A651">
            <v>3035065817</v>
          </cell>
          <cell r="B651" t="str">
            <v>Completed Surveys</v>
          </cell>
          <cell r="C651">
            <v>42733.736336539354</v>
          </cell>
        </row>
        <row r="652">
          <cell r="A652">
            <v>3035100455</v>
          </cell>
          <cell r="B652" t="str">
            <v>Completed Surveys</v>
          </cell>
          <cell r="C652">
            <v>42733.736336539354</v>
          </cell>
        </row>
        <row r="653">
          <cell r="A653">
            <v>3035273572</v>
          </cell>
          <cell r="B653" t="str">
            <v>Completed Surveys</v>
          </cell>
          <cell r="C653">
            <v>42734.736929016202</v>
          </cell>
        </row>
        <row r="654">
          <cell r="A654">
            <v>3035308439</v>
          </cell>
          <cell r="B654" t="str">
            <v>Completed Surveys</v>
          </cell>
          <cell r="C654">
            <v>42734.736929016202</v>
          </cell>
        </row>
        <row r="655">
          <cell r="A655">
            <v>3035264565</v>
          </cell>
          <cell r="B655" t="str">
            <v>Completed Surveys</v>
          </cell>
          <cell r="C655">
            <v>42733.736311956018</v>
          </cell>
        </row>
        <row r="656">
          <cell r="A656">
            <v>3035274990</v>
          </cell>
          <cell r="B656" t="str">
            <v>Completed Surveys</v>
          </cell>
          <cell r="C656">
            <v>42733.736311956018</v>
          </cell>
        </row>
        <row r="657">
          <cell r="A657">
            <v>3035144209</v>
          </cell>
          <cell r="B657" t="str">
            <v>Completed Surveys</v>
          </cell>
          <cell r="C657">
            <v>42733.736311956018</v>
          </cell>
        </row>
        <row r="658">
          <cell r="A658">
            <v>3035266763</v>
          </cell>
          <cell r="B658" t="str">
            <v>Completed Surveys</v>
          </cell>
          <cell r="C658">
            <v>42733.736311956018</v>
          </cell>
        </row>
        <row r="659">
          <cell r="A659">
            <v>3035258144</v>
          </cell>
          <cell r="B659" t="str">
            <v>Completed Surveys</v>
          </cell>
          <cell r="C659">
            <v>42733.736311956018</v>
          </cell>
        </row>
        <row r="660">
          <cell r="A660">
            <v>3035263852</v>
          </cell>
          <cell r="B660" t="str">
            <v>Completed Surveys</v>
          </cell>
          <cell r="C660">
            <v>42733.736311956018</v>
          </cell>
        </row>
        <row r="661">
          <cell r="A661">
            <v>3035259742</v>
          </cell>
          <cell r="B661" t="str">
            <v>Completed Surveys</v>
          </cell>
          <cell r="C661">
            <v>42733.736311956018</v>
          </cell>
        </row>
        <row r="662">
          <cell r="A662">
            <v>3035268011</v>
          </cell>
          <cell r="B662" t="str">
            <v>Completed Surveys</v>
          </cell>
          <cell r="C662">
            <v>42733.736311956018</v>
          </cell>
        </row>
        <row r="663">
          <cell r="A663">
            <v>3035258168</v>
          </cell>
          <cell r="B663" t="str">
            <v>Completed Surveys</v>
          </cell>
          <cell r="C663">
            <v>42733.736311956018</v>
          </cell>
        </row>
        <row r="664">
          <cell r="A664">
            <v>3035270628</v>
          </cell>
          <cell r="B664" t="str">
            <v>Completed Surveys</v>
          </cell>
          <cell r="C664">
            <v>42733.736311956018</v>
          </cell>
        </row>
        <row r="665">
          <cell r="A665">
            <v>3035165553</v>
          </cell>
          <cell r="B665" t="str">
            <v>Completed Surveys</v>
          </cell>
          <cell r="C665">
            <v>42733.736311956018</v>
          </cell>
        </row>
        <row r="666">
          <cell r="A666">
            <v>3035266441</v>
          </cell>
          <cell r="B666" t="str">
            <v>Completed Surveys</v>
          </cell>
          <cell r="C666">
            <v>42733.736311956018</v>
          </cell>
        </row>
        <row r="667">
          <cell r="A667">
            <v>3035232569</v>
          </cell>
          <cell r="B667" t="str">
            <v>Completed Surveys</v>
          </cell>
          <cell r="C667">
            <v>42732.736728124997</v>
          </cell>
        </row>
        <row r="668">
          <cell r="A668">
            <v>3035079693</v>
          </cell>
          <cell r="B668" t="str">
            <v>Completed Surveys</v>
          </cell>
          <cell r="C668">
            <v>42732.736747418981</v>
          </cell>
        </row>
        <row r="669">
          <cell r="A669">
            <v>3035261537</v>
          </cell>
          <cell r="B669" t="str">
            <v>Completed Surveys</v>
          </cell>
          <cell r="C669">
            <v>42733.736311956018</v>
          </cell>
        </row>
        <row r="670">
          <cell r="A670">
            <v>3035264401</v>
          </cell>
          <cell r="B670" t="str">
            <v>Completed Surveys</v>
          </cell>
          <cell r="C670">
            <v>42733.736311956018</v>
          </cell>
        </row>
        <row r="671">
          <cell r="A671">
            <v>3035241498</v>
          </cell>
          <cell r="B671" t="str">
            <v>Completed Surveys</v>
          </cell>
          <cell r="C671">
            <v>42733.736311956018</v>
          </cell>
        </row>
        <row r="672">
          <cell r="A672">
            <v>3035270444</v>
          </cell>
          <cell r="B672" t="str">
            <v>Completed Surveys</v>
          </cell>
          <cell r="C672">
            <v>42733.736311956018</v>
          </cell>
        </row>
        <row r="673">
          <cell r="A673">
            <v>3035230770</v>
          </cell>
          <cell r="B673" t="str">
            <v>Completed Surveys</v>
          </cell>
          <cell r="C673">
            <v>42732.736728124997</v>
          </cell>
        </row>
        <row r="674">
          <cell r="A674">
            <v>3035166816</v>
          </cell>
          <cell r="B674" t="str">
            <v>Completed Surveys</v>
          </cell>
          <cell r="C674">
            <v>42732.736728124997</v>
          </cell>
        </row>
        <row r="675">
          <cell r="A675">
            <v>3035239806</v>
          </cell>
          <cell r="B675" t="str">
            <v>Completed Surveys</v>
          </cell>
          <cell r="C675">
            <v>42732.736728124997</v>
          </cell>
        </row>
        <row r="676">
          <cell r="A676">
            <v>3035231931</v>
          </cell>
          <cell r="B676" t="str">
            <v>Completed Surveys</v>
          </cell>
          <cell r="C676">
            <v>42732.736728124997</v>
          </cell>
        </row>
        <row r="677">
          <cell r="A677">
            <v>3034990074</v>
          </cell>
          <cell r="B677" t="str">
            <v>Completed Surveys</v>
          </cell>
          <cell r="C677">
            <v>42732.736728124997</v>
          </cell>
        </row>
        <row r="678">
          <cell r="A678">
            <v>3035233010</v>
          </cell>
          <cell r="B678" t="str">
            <v>Completed Surveys</v>
          </cell>
          <cell r="C678">
            <v>42732.736728124997</v>
          </cell>
        </row>
        <row r="679">
          <cell r="A679">
            <v>3034948448</v>
          </cell>
          <cell r="B679" t="str">
            <v>Completed Surveys</v>
          </cell>
          <cell r="C679">
            <v>42732.736728124997</v>
          </cell>
        </row>
        <row r="680">
          <cell r="A680">
            <v>3035107281</v>
          </cell>
          <cell r="B680" t="str">
            <v>Completed Surveys</v>
          </cell>
          <cell r="C680">
            <v>42732.736728124997</v>
          </cell>
        </row>
        <row r="681">
          <cell r="A681">
            <v>3035135390</v>
          </cell>
          <cell r="B681" t="str">
            <v>Completed Surveys</v>
          </cell>
          <cell r="C681">
            <v>42732.736728124997</v>
          </cell>
        </row>
        <row r="682">
          <cell r="A682">
            <v>3035233396</v>
          </cell>
          <cell r="B682" t="str">
            <v>Completed Surveys</v>
          </cell>
          <cell r="C682">
            <v>42732.736728124997</v>
          </cell>
        </row>
        <row r="683">
          <cell r="A683">
            <v>3035233600</v>
          </cell>
          <cell r="B683" t="str">
            <v>Completed Surveys</v>
          </cell>
          <cell r="C683">
            <v>42732.736728124997</v>
          </cell>
        </row>
        <row r="684">
          <cell r="A684">
            <v>3035241479</v>
          </cell>
          <cell r="B684" t="str">
            <v>Completed Surveys</v>
          </cell>
          <cell r="C684">
            <v>42732.736728124997</v>
          </cell>
        </row>
        <row r="685">
          <cell r="A685">
            <v>3035231490</v>
          </cell>
          <cell r="B685" t="str">
            <v>Completed Surveys</v>
          </cell>
          <cell r="C685">
            <v>42732.736728124997</v>
          </cell>
        </row>
        <row r="686">
          <cell r="A686">
            <v>3035231737</v>
          </cell>
          <cell r="B686" t="str">
            <v>Completed Surveys</v>
          </cell>
          <cell r="C686">
            <v>42732.736728124997</v>
          </cell>
        </row>
        <row r="687">
          <cell r="A687">
            <v>3035231940</v>
          </cell>
          <cell r="B687" t="str">
            <v>Completed Surveys</v>
          </cell>
          <cell r="C687">
            <v>42732.736728124997</v>
          </cell>
        </row>
        <row r="688">
          <cell r="A688">
            <v>3035062878</v>
          </cell>
          <cell r="B688" t="str">
            <v>Completed Surveys</v>
          </cell>
          <cell r="C688">
            <v>42732.736728124997</v>
          </cell>
        </row>
        <row r="689">
          <cell r="A689">
            <v>3035246354</v>
          </cell>
          <cell r="B689" t="str">
            <v>Completed Surveys</v>
          </cell>
          <cell r="C689">
            <v>42732.736728124997</v>
          </cell>
        </row>
        <row r="690">
          <cell r="A690">
            <v>3035207314</v>
          </cell>
          <cell r="B690" t="str">
            <v>Completed Surveys</v>
          </cell>
          <cell r="C690">
            <v>42732.736728124997</v>
          </cell>
        </row>
        <row r="691">
          <cell r="A691">
            <v>3035242731</v>
          </cell>
          <cell r="B691" t="str">
            <v>Completed Surveys</v>
          </cell>
          <cell r="C691">
            <v>42732.736728124997</v>
          </cell>
        </row>
        <row r="692">
          <cell r="A692">
            <v>3035238204</v>
          </cell>
          <cell r="B692" t="str">
            <v>Completed Surveys</v>
          </cell>
          <cell r="C692">
            <v>42732.736728124997</v>
          </cell>
        </row>
        <row r="693">
          <cell r="A693">
            <v>3035234683</v>
          </cell>
          <cell r="B693" t="str">
            <v>Completed Surveys</v>
          </cell>
          <cell r="C693">
            <v>42732.736728124997</v>
          </cell>
        </row>
        <row r="694">
          <cell r="A694">
            <v>3034865093</v>
          </cell>
          <cell r="B694" t="str">
            <v>Completed Surveys</v>
          </cell>
          <cell r="C694">
            <v>42732.736728124997</v>
          </cell>
        </row>
        <row r="695">
          <cell r="A695">
            <v>3035236191</v>
          </cell>
          <cell r="B695" t="str">
            <v>Completed Surveys</v>
          </cell>
          <cell r="C695">
            <v>42732.736728124997</v>
          </cell>
        </row>
        <row r="696">
          <cell r="A696">
            <v>3035231699</v>
          </cell>
          <cell r="B696" t="str">
            <v>Completed Surveys</v>
          </cell>
          <cell r="C696">
            <v>42732.736728124997</v>
          </cell>
        </row>
        <row r="697">
          <cell r="A697">
            <v>3035241755</v>
          </cell>
          <cell r="B697" t="str">
            <v>Completed Surveys</v>
          </cell>
          <cell r="C697">
            <v>42732.736728124997</v>
          </cell>
        </row>
        <row r="698">
          <cell r="A698">
            <v>3035167642</v>
          </cell>
          <cell r="B698" t="str">
            <v>Completed Surveys</v>
          </cell>
          <cell r="C698">
            <v>42732.736728124997</v>
          </cell>
        </row>
        <row r="699">
          <cell r="A699">
            <v>3035236365</v>
          </cell>
          <cell r="B699" t="str">
            <v>Completed Surveys</v>
          </cell>
          <cell r="C699">
            <v>42732.736728124997</v>
          </cell>
        </row>
        <row r="700">
          <cell r="A700">
            <v>3035215485</v>
          </cell>
          <cell r="B700" t="str">
            <v>Completed Surveys</v>
          </cell>
          <cell r="C700">
            <v>42730.74507326389</v>
          </cell>
        </row>
        <row r="701">
          <cell r="A701">
            <v>3035004473</v>
          </cell>
          <cell r="B701" t="str">
            <v>Completed Surveys</v>
          </cell>
          <cell r="C701">
            <v>42732.736728124997</v>
          </cell>
        </row>
        <row r="702">
          <cell r="A702">
            <v>3035215280</v>
          </cell>
          <cell r="B702" t="str">
            <v>Completed Surveys</v>
          </cell>
          <cell r="C702">
            <v>42730.74507326389</v>
          </cell>
        </row>
        <row r="703">
          <cell r="A703">
            <v>3035215505</v>
          </cell>
          <cell r="B703" t="str">
            <v>Completed Surveys</v>
          </cell>
          <cell r="C703">
            <v>42730.74507326389</v>
          </cell>
        </row>
        <row r="704">
          <cell r="A704">
            <v>3035197838</v>
          </cell>
          <cell r="B704" t="str">
            <v>Completed Surveys</v>
          </cell>
          <cell r="C704">
            <v>42729.734399733796</v>
          </cell>
        </row>
        <row r="705">
          <cell r="A705">
            <v>3035174829</v>
          </cell>
          <cell r="B705" t="str">
            <v>Completed Surveys</v>
          </cell>
          <cell r="C705">
            <v>42729.734399733796</v>
          </cell>
        </row>
        <row r="706">
          <cell r="A706">
            <v>3035202765</v>
          </cell>
          <cell r="B706" t="str">
            <v>Completed Surveys</v>
          </cell>
          <cell r="C706">
            <v>42729.734399733796</v>
          </cell>
        </row>
        <row r="707">
          <cell r="A707">
            <v>3035193623</v>
          </cell>
          <cell r="B707" t="str">
            <v>Completed Surveys</v>
          </cell>
          <cell r="C707">
            <v>42729.734399733796</v>
          </cell>
        </row>
        <row r="708">
          <cell r="A708">
            <v>3035172414</v>
          </cell>
          <cell r="B708" t="str">
            <v>Completed Surveys</v>
          </cell>
          <cell r="C708">
            <v>42729.734399733796</v>
          </cell>
        </row>
        <row r="709">
          <cell r="A709">
            <v>3035196016</v>
          </cell>
          <cell r="B709" t="str">
            <v>Completed Surveys</v>
          </cell>
          <cell r="C709">
            <v>42729.734399733796</v>
          </cell>
        </row>
        <row r="710">
          <cell r="A710">
            <v>3035167043</v>
          </cell>
          <cell r="B710" t="str">
            <v>Completed Surveys</v>
          </cell>
          <cell r="C710">
            <v>42728.734464780093</v>
          </cell>
        </row>
        <row r="711">
          <cell r="A711">
            <v>3035193964</v>
          </cell>
          <cell r="B711" t="str">
            <v>Completed Surveys</v>
          </cell>
          <cell r="C711">
            <v>42729.734399733796</v>
          </cell>
        </row>
        <row r="712">
          <cell r="A712">
            <v>3035193727</v>
          </cell>
          <cell r="B712" t="str">
            <v>Completed Surveys</v>
          </cell>
          <cell r="C712">
            <v>42729.734399733796</v>
          </cell>
        </row>
        <row r="713">
          <cell r="A713">
            <v>3035196812</v>
          </cell>
          <cell r="B713" t="str">
            <v>Completed Surveys</v>
          </cell>
          <cell r="C713">
            <v>42729.734399733796</v>
          </cell>
        </row>
        <row r="714">
          <cell r="A714">
            <v>3035194248</v>
          </cell>
          <cell r="B714" t="str">
            <v>Completed Surveys</v>
          </cell>
          <cell r="C714">
            <v>42729.734399733796</v>
          </cell>
        </row>
        <row r="715">
          <cell r="A715">
            <v>3035177606</v>
          </cell>
          <cell r="B715" t="str">
            <v>Completed Surveys</v>
          </cell>
          <cell r="C715">
            <v>42729.734399733796</v>
          </cell>
        </row>
        <row r="716">
          <cell r="A716">
            <v>3035149493</v>
          </cell>
          <cell r="B716" t="str">
            <v>Completed Surveys</v>
          </cell>
          <cell r="C716">
            <v>42728.734482604166</v>
          </cell>
        </row>
        <row r="717">
          <cell r="A717">
            <v>3035172715</v>
          </cell>
          <cell r="B717" t="str">
            <v>Completed Surveys</v>
          </cell>
          <cell r="C717">
            <v>42728.734464780093</v>
          </cell>
        </row>
        <row r="718">
          <cell r="A718">
            <v>3035144582</v>
          </cell>
          <cell r="B718" t="str">
            <v>Completed Surveys</v>
          </cell>
          <cell r="C718">
            <v>42728.734464780093</v>
          </cell>
        </row>
        <row r="719">
          <cell r="A719">
            <v>3035113148</v>
          </cell>
          <cell r="B719" t="str">
            <v>Completed Surveys</v>
          </cell>
          <cell r="C719">
            <v>42728.734464780093</v>
          </cell>
        </row>
        <row r="720">
          <cell r="A720">
            <v>3035099264</v>
          </cell>
          <cell r="B720" t="str">
            <v>Completed Surveys</v>
          </cell>
          <cell r="C720">
            <v>42729.734399733796</v>
          </cell>
        </row>
        <row r="721">
          <cell r="A721">
            <v>3035175134</v>
          </cell>
          <cell r="B721" t="str">
            <v>Completed Surveys</v>
          </cell>
          <cell r="C721">
            <v>42729.734399733796</v>
          </cell>
        </row>
        <row r="722">
          <cell r="A722">
            <v>3035177137</v>
          </cell>
          <cell r="B722" t="str">
            <v>Completed Surveys</v>
          </cell>
          <cell r="C722">
            <v>42728.734464780093</v>
          </cell>
        </row>
        <row r="723">
          <cell r="A723">
            <v>3035176897</v>
          </cell>
          <cell r="B723" t="str">
            <v>Completed Surveys</v>
          </cell>
          <cell r="C723">
            <v>42728.734464780093</v>
          </cell>
        </row>
        <row r="724">
          <cell r="A724">
            <v>3035166931</v>
          </cell>
          <cell r="B724" t="str">
            <v>Completed Surveys</v>
          </cell>
          <cell r="C724">
            <v>42728.734464780093</v>
          </cell>
        </row>
        <row r="725">
          <cell r="A725">
            <v>3035167535</v>
          </cell>
          <cell r="B725" t="str">
            <v>Completed Surveys</v>
          </cell>
          <cell r="C725">
            <v>42728.734464780093</v>
          </cell>
        </row>
        <row r="726">
          <cell r="A726">
            <v>3034815779</v>
          </cell>
          <cell r="B726" t="str">
            <v>Completed Surveys</v>
          </cell>
          <cell r="C726">
            <v>42728.734464780093</v>
          </cell>
        </row>
        <row r="727">
          <cell r="A727">
            <v>3035169777</v>
          </cell>
          <cell r="B727" t="str">
            <v>Completed Surveys</v>
          </cell>
          <cell r="C727">
            <v>42728.734464780093</v>
          </cell>
        </row>
        <row r="728">
          <cell r="A728">
            <v>3035174410</v>
          </cell>
          <cell r="B728" t="str">
            <v>Completed Surveys</v>
          </cell>
          <cell r="C728">
            <v>42728.734464780093</v>
          </cell>
        </row>
        <row r="729">
          <cell r="A729">
            <v>3035013188</v>
          </cell>
          <cell r="B729" t="str">
            <v>Completed Surveys</v>
          </cell>
          <cell r="C729">
            <v>42728.734464780093</v>
          </cell>
        </row>
        <row r="730">
          <cell r="A730">
            <v>3035164020</v>
          </cell>
          <cell r="B730" t="str">
            <v>Completed Surveys</v>
          </cell>
          <cell r="C730">
            <v>42728.734464780093</v>
          </cell>
        </row>
        <row r="731">
          <cell r="A731">
            <v>3035099797</v>
          </cell>
          <cell r="B731" t="str">
            <v>Completed Surveys</v>
          </cell>
          <cell r="C731">
            <v>42728.734464780093</v>
          </cell>
        </row>
        <row r="732">
          <cell r="A732">
            <v>3035120168</v>
          </cell>
          <cell r="B732" t="str">
            <v>Completed Surveys</v>
          </cell>
          <cell r="C732">
            <v>42728.734464780093</v>
          </cell>
        </row>
        <row r="733">
          <cell r="A733">
            <v>3035181540</v>
          </cell>
          <cell r="B733" t="str">
            <v>Completed Surveys</v>
          </cell>
          <cell r="C733">
            <v>42728.734464780093</v>
          </cell>
        </row>
        <row r="734">
          <cell r="A734">
            <v>3035167928</v>
          </cell>
          <cell r="B734" t="str">
            <v>Completed Surveys</v>
          </cell>
          <cell r="C734">
            <v>42728.734464780093</v>
          </cell>
        </row>
        <row r="735">
          <cell r="A735">
            <v>3035164117</v>
          </cell>
          <cell r="B735" t="str">
            <v>Completed Surveys</v>
          </cell>
          <cell r="C735">
            <v>42728.734464780093</v>
          </cell>
        </row>
        <row r="736">
          <cell r="A736">
            <v>3035165058</v>
          </cell>
          <cell r="B736" t="str">
            <v>Completed Surveys</v>
          </cell>
          <cell r="C736">
            <v>42728.734464780093</v>
          </cell>
        </row>
        <row r="737">
          <cell r="A737">
            <v>3035076845</v>
          </cell>
          <cell r="B737" t="str">
            <v>Completed Surveys</v>
          </cell>
          <cell r="C737">
            <v>42728.734464780093</v>
          </cell>
        </row>
        <row r="738">
          <cell r="A738">
            <v>3035139221</v>
          </cell>
          <cell r="B738" t="str">
            <v>Completed Surveys</v>
          </cell>
          <cell r="C738">
            <v>42728.734464780093</v>
          </cell>
        </row>
        <row r="739">
          <cell r="A739">
            <v>3035173875</v>
          </cell>
          <cell r="B739" t="str">
            <v>Completed Surveys</v>
          </cell>
          <cell r="C739">
            <v>42728.734464780093</v>
          </cell>
        </row>
        <row r="740">
          <cell r="A740">
            <v>3035071327</v>
          </cell>
          <cell r="B740" t="str">
            <v>Completed Surveys</v>
          </cell>
          <cell r="C740">
            <v>42727.734570601853</v>
          </cell>
        </row>
        <row r="741">
          <cell r="A741">
            <v>3035145293</v>
          </cell>
          <cell r="B741" t="str">
            <v>Completed Surveys</v>
          </cell>
          <cell r="C741">
            <v>42727.734570601853</v>
          </cell>
        </row>
        <row r="742">
          <cell r="A742">
            <v>3035078525</v>
          </cell>
          <cell r="B742" t="str">
            <v>Completed Surveys</v>
          </cell>
          <cell r="C742">
            <v>42727.734570601853</v>
          </cell>
        </row>
        <row r="743">
          <cell r="A743">
            <v>3034883354</v>
          </cell>
          <cell r="B743" t="str">
            <v>Completed Surveys</v>
          </cell>
          <cell r="C743">
            <v>42727.734570601853</v>
          </cell>
        </row>
        <row r="744">
          <cell r="A744">
            <v>3034982009</v>
          </cell>
          <cell r="B744" t="str">
            <v>Completed Surveys</v>
          </cell>
          <cell r="C744">
            <v>42727.734570601853</v>
          </cell>
        </row>
        <row r="745">
          <cell r="A745">
            <v>3035149191</v>
          </cell>
          <cell r="B745" t="str">
            <v>Completed Surveys</v>
          </cell>
          <cell r="C745">
            <v>42727.734570601853</v>
          </cell>
        </row>
        <row r="746">
          <cell r="A746">
            <v>3035145931</v>
          </cell>
          <cell r="B746" t="str">
            <v>Completed Surveys</v>
          </cell>
          <cell r="C746">
            <v>42727.734570601853</v>
          </cell>
        </row>
        <row r="747">
          <cell r="A747">
            <v>3034802438</v>
          </cell>
          <cell r="B747" t="str">
            <v>Completed Surveys</v>
          </cell>
          <cell r="C747">
            <v>42727.734570601853</v>
          </cell>
        </row>
        <row r="748">
          <cell r="A748">
            <v>3035101651</v>
          </cell>
          <cell r="B748" t="str">
            <v>Completed Surveys</v>
          </cell>
          <cell r="C748">
            <v>42727.734570601853</v>
          </cell>
        </row>
        <row r="749">
          <cell r="A749">
            <v>3035133750</v>
          </cell>
          <cell r="B749" t="str">
            <v>Completed Surveys</v>
          </cell>
          <cell r="C749">
            <v>42727.734570601853</v>
          </cell>
        </row>
        <row r="750">
          <cell r="A750">
            <v>3035146300</v>
          </cell>
          <cell r="B750" t="str">
            <v>Completed Surveys</v>
          </cell>
          <cell r="C750">
            <v>42727.734570601853</v>
          </cell>
        </row>
        <row r="751">
          <cell r="A751">
            <v>3035132291</v>
          </cell>
          <cell r="B751" t="str">
            <v>Completed Surveys</v>
          </cell>
          <cell r="C751">
            <v>42727.734570601853</v>
          </cell>
        </row>
        <row r="752">
          <cell r="A752">
            <v>3035143853</v>
          </cell>
          <cell r="B752" t="str">
            <v>Completed Surveys</v>
          </cell>
          <cell r="C752">
            <v>42727.734570601853</v>
          </cell>
        </row>
        <row r="753">
          <cell r="A753">
            <v>3035119083</v>
          </cell>
          <cell r="B753" t="str">
            <v>Completed Surveys</v>
          </cell>
          <cell r="C753">
            <v>42726.868314618056</v>
          </cell>
        </row>
        <row r="754">
          <cell r="A754">
            <v>3035103159</v>
          </cell>
          <cell r="B754" t="str">
            <v>Completed Surveys</v>
          </cell>
          <cell r="C754">
            <v>42726.868314618056</v>
          </cell>
        </row>
        <row r="755">
          <cell r="A755">
            <v>3035107946</v>
          </cell>
          <cell r="B755" t="str">
            <v>Completed Surveys</v>
          </cell>
          <cell r="C755">
            <v>42726.868314618056</v>
          </cell>
        </row>
        <row r="756">
          <cell r="A756">
            <v>3035108267</v>
          </cell>
          <cell r="B756" t="str">
            <v>Completed Surveys</v>
          </cell>
          <cell r="C756">
            <v>42726.868314618056</v>
          </cell>
        </row>
        <row r="757">
          <cell r="A757">
            <v>3035068399</v>
          </cell>
          <cell r="B757" t="str">
            <v>Completed Surveys</v>
          </cell>
          <cell r="C757">
            <v>42726.868314618056</v>
          </cell>
        </row>
        <row r="758">
          <cell r="A758">
            <v>3035006322</v>
          </cell>
          <cell r="B758" t="str">
            <v>Completed Surveys</v>
          </cell>
          <cell r="C758">
            <v>42726.868314618056</v>
          </cell>
        </row>
        <row r="759">
          <cell r="A759">
            <v>3035106671</v>
          </cell>
          <cell r="B759" t="str">
            <v>Completed Surveys</v>
          </cell>
          <cell r="C759">
            <v>42726.868314618056</v>
          </cell>
        </row>
        <row r="760">
          <cell r="A760">
            <v>3034561754</v>
          </cell>
          <cell r="B760" t="str">
            <v>Completed Surveys</v>
          </cell>
          <cell r="C760">
            <v>42726.868340393521</v>
          </cell>
        </row>
        <row r="761">
          <cell r="A761">
            <v>3035077794</v>
          </cell>
          <cell r="B761" t="str">
            <v>Completed Surveys</v>
          </cell>
          <cell r="C761">
            <v>42726.868340393521</v>
          </cell>
        </row>
        <row r="762">
          <cell r="A762">
            <v>3035139879</v>
          </cell>
          <cell r="B762" t="str">
            <v>Completed Surveys</v>
          </cell>
          <cell r="C762">
            <v>42727.734570601853</v>
          </cell>
        </row>
        <row r="763">
          <cell r="A763">
            <v>3035103856</v>
          </cell>
          <cell r="B763" t="str">
            <v>Completed Surveys</v>
          </cell>
          <cell r="C763">
            <v>42726.868314618056</v>
          </cell>
        </row>
        <row r="764">
          <cell r="A764">
            <v>3034971974</v>
          </cell>
          <cell r="B764" t="str">
            <v>Completed Surveys</v>
          </cell>
          <cell r="C764">
            <v>42726.868314618056</v>
          </cell>
        </row>
        <row r="765">
          <cell r="A765">
            <v>3034885135</v>
          </cell>
          <cell r="B765" t="str">
            <v>Completed Surveys</v>
          </cell>
          <cell r="C765">
            <v>42726.868314618056</v>
          </cell>
        </row>
        <row r="766">
          <cell r="A766">
            <v>3035082279</v>
          </cell>
          <cell r="B766" t="str">
            <v>Completed Surveys</v>
          </cell>
          <cell r="C766">
            <v>42726.868314618056</v>
          </cell>
        </row>
        <row r="767">
          <cell r="A767">
            <v>3035019378</v>
          </cell>
          <cell r="B767" t="str">
            <v>Completed Surveys</v>
          </cell>
          <cell r="C767">
            <v>42726.868314618056</v>
          </cell>
        </row>
        <row r="768">
          <cell r="A768">
            <v>3035064457</v>
          </cell>
          <cell r="B768" t="str">
            <v>Completed Surveys</v>
          </cell>
          <cell r="C768">
            <v>42726.868314618056</v>
          </cell>
        </row>
        <row r="769">
          <cell r="A769">
            <v>3035112620</v>
          </cell>
          <cell r="B769" t="str">
            <v>Completed Surveys</v>
          </cell>
          <cell r="C769">
            <v>42726.868314618056</v>
          </cell>
        </row>
        <row r="770">
          <cell r="A770">
            <v>3035104597</v>
          </cell>
          <cell r="B770" t="str">
            <v>Completed Surveys</v>
          </cell>
          <cell r="C770">
            <v>42726.868314618056</v>
          </cell>
        </row>
        <row r="771">
          <cell r="A771">
            <v>3035099071</v>
          </cell>
          <cell r="B771" t="str">
            <v>Completed Surveys</v>
          </cell>
          <cell r="C771">
            <v>42726.868314618056</v>
          </cell>
        </row>
        <row r="772">
          <cell r="A772">
            <v>3035105823</v>
          </cell>
          <cell r="B772" t="str">
            <v>Completed Surveys</v>
          </cell>
          <cell r="C772">
            <v>42726.868314618056</v>
          </cell>
        </row>
        <row r="773">
          <cell r="A773">
            <v>3034438359</v>
          </cell>
          <cell r="B773" t="str">
            <v>Completed Surveys</v>
          </cell>
          <cell r="C773">
            <v>42725.734945717595</v>
          </cell>
        </row>
        <row r="774">
          <cell r="A774">
            <v>3035117717</v>
          </cell>
          <cell r="B774" t="str">
            <v>Completed Surveys</v>
          </cell>
          <cell r="C774">
            <v>42726.868314618056</v>
          </cell>
        </row>
        <row r="775">
          <cell r="A775">
            <v>3035099978</v>
          </cell>
          <cell r="B775" t="str">
            <v>Completed Surveys</v>
          </cell>
          <cell r="C775">
            <v>42726.868314618056</v>
          </cell>
        </row>
        <row r="776">
          <cell r="A776">
            <v>3035074418</v>
          </cell>
          <cell r="B776" t="str">
            <v>Completed Surveys</v>
          </cell>
          <cell r="C776">
            <v>42725.734927546298</v>
          </cell>
        </row>
        <row r="777">
          <cell r="A777">
            <v>3035064453</v>
          </cell>
          <cell r="B777" t="str">
            <v>Completed Surveys</v>
          </cell>
          <cell r="C777">
            <v>42725.734927546298</v>
          </cell>
        </row>
        <row r="778">
          <cell r="A778">
            <v>3035079629</v>
          </cell>
          <cell r="B778" t="str">
            <v>Completed Surveys</v>
          </cell>
          <cell r="C778">
            <v>42725.734927546298</v>
          </cell>
        </row>
        <row r="779">
          <cell r="A779">
            <v>3035074653</v>
          </cell>
          <cell r="B779" t="str">
            <v>Completed Surveys</v>
          </cell>
          <cell r="C779">
            <v>42725.734927546298</v>
          </cell>
        </row>
        <row r="780">
          <cell r="A780">
            <v>3034777596</v>
          </cell>
          <cell r="B780" t="str">
            <v>Completed Surveys</v>
          </cell>
          <cell r="C780">
            <v>42725.734927546298</v>
          </cell>
        </row>
        <row r="781">
          <cell r="A781">
            <v>3035078944</v>
          </cell>
          <cell r="B781" t="str">
            <v>Completed Surveys</v>
          </cell>
          <cell r="C781">
            <v>42725.734927546298</v>
          </cell>
        </row>
        <row r="782">
          <cell r="A782">
            <v>3035083783</v>
          </cell>
          <cell r="B782" t="str">
            <v>Completed Surveys</v>
          </cell>
          <cell r="C782">
            <v>42725.734927546298</v>
          </cell>
        </row>
        <row r="783">
          <cell r="A783">
            <v>3034880463</v>
          </cell>
          <cell r="B783" t="str">
            <v>Completed Surveys</v>
          </cell>
          <cell r="C783">
            <v>42725.734927546298</v>
          </cell>
        </row>
        <row r="784">
          <cell r="A784">
            <v>3034916187</v>
          </cell>
          <cell r="B784" t="str">
            <v>Completed Surveys</v>
          </cell>
          <cell r="C784">
            <v>42725.734927546298</v>
          </cell>
        </row>
        <row r="785">
          <cell r="A785">
            <v>3034901035</v>
          </cell>
          <cell r="B785" t="str">
            <v>Completed Surveys</v>
          </cell>
          <cell r="C785">
            <v>42725.734927546298</v>
          </cell>
        </row>
        <row r="786">
          <cell r="A786">
            <v>3035070860</v>
          </cell>
          <cell r="B786" t="str">
            <v>Completed Surveys</v>
          </cell>
          <cell r="C786">
            <v>42725.734927546298</v>
          </cell>
        </row>
        <row r="787">
          <cell r="A787">
            <v>3035075200</v>
          </cell>
          <cell r="B787" t="str">
            <v>Completed Surveys</v>
          </cell>
          <cell r="C787">
            <v>42725.734927546298</v>
          </cell>
        </row>
        <row r="788">
          <cell r="A788">
            <v>3035079762</v>
          </cell>
          <cell r="B788" t="str">
            <v>Completed Surveys</v>
          </cell>
          <cell r="C788">
            <v>42725.734927546298</v>
          </cell>
        </row>
        <row r="789">
          <cell r="A789">
            <v>3035030497</v>
          </cell>
          <cell r="B789" t="str">
            <v>Completed Surveys</v>
          </cell>
          <cell r="C789">
            <v>42725.734927546298</v>
          </cell>
        </row>
        <row r="790">
          <cell r="A790">
            <v>3035063824</v>
          </cell>
          <cell r="B790" t="str">
            <v>Completed Surveys</v>
          </cell>
          <cell r="C790">
            <v>42725.734927546298</v>
          </cell>
        </row>
        <row r="791">
          <cell r="A791">
            <v>3035070982</v>
          </cell>
          <cell r="B791" t="str">
            <v>Completed Surveys</v>
          </cell>
          <cell r="C791">
            <v>42725.734927546298</v>
          </cell>
        </row>
        <row r="792">
          <cell r="A792">
            <v>3035022873</v>
          </cell>
          <cell r="B792" t="str">
            <v>Completed Surveys</v>
          </cell>
          <cell r="C792">
            <v>42725.734927546298</v>
          </cell>
        </row>
        <row r="793">
          <cell r="A793">
            <v>3035015823</v>
          </cell>
          <cell r="B793" t="str">
            <v>Completed Surveys</v>
          </cell>
          <cell r="C793">
            <v>42725.734927546298</v>
          </cell>
        </row>
        <row r="794">
          <cell r="A794">
            <v>3034816214</v>
          </cell>
          <cell r="B794" t="str">
            <v>Completed Surveys</v>
          </cell>
          <cell r="C794">
            <v>42725.734927546298</v>
          </cell>
        </row>
        <row r="795">
          <cell r="A795">
            <v>3034978514</v>
          </cell>
          <cell r="B795" t="str">
            <v>Completed Surveys</v>
          </cell>
          <cell r="C795">
            <v>42725.734927546298</v>
          </cell>
        </row>
        <row r="796">
          <cell r="A796">
            <v>3035022791</v>
          </cell>
          <cell r="B796" t="str">
            <v>Completed Surveys</v>
          </cell>
          <cell r="C796">
            <v>42725.734927546298</v>
          </cell>
        </row>
        <row r="797">
          <cell r="A797">
            <v>3035076581</v>
          </cell>
          <cell r="B797" t="str">
            <v>Completed Surveys</v>
          </cell>
          <cell r="C797">
            <v>42725.734927546298</v>
          </cell>
        </row>
        <row r="798">
          <cell r="A798">
            <v>3035076474</v>
          </cell>
          <cell r="B798" t="str">
            <v>Completed Surveys</v>
          </cell>
          <cell r="C798">
            <v>42725.734927546298</v>
          </cell>
        </row>
        <row r="799">
          <cell r="A799">
            <v>3035073728</v>
          </cell>
          <cell r="B799" t="str">
            <v>Completed Surveys</v>
          </cell>
          <cell r="C799">
            <v>42725.734927546298</v>
          </cell>
        </row>
        <row r="800">
          <cell r="A800">
            <v>3034561612</v>
          </cell>
          <cell r="B800" t="str">
            <v>Completed Surveys</v>
          </cell>
          <cell r="C800">
            <v>42725.734927546298</v>
          </cell>
        </row>
        <row r="801">
          <cell r="A801">
            <v>3034983296</v>
          </cell>
          <cell r="B801" t="str">
            <v>Completed Surveys</v>
          </cell>
          <cell r="C801">
            <v>42725.734927546298</v>
          </cell>
        </row>
        <row r="802">
          <cell r="A802">
            <v>3034979200</v>
          </cell>
          <cell r="B802" t="str">
            <v>Completed Surveys</v>
          </cell>
          <cell r="C802">
            <v>42725.734927546298</v>
          </cell>
        </row>
        <row r="803">
          <cell r="A803">
            <v>3035085148</v>
          </cell>
          <cell r="B803" t="str">
            <v>Completed Surveys</v>
          </cell>
          <cell r="C803">
            <v>42725.734927546298</v>
          </cell>
        </row>
        <row r="804">
          <cell r="A804">
            <v>3034884421</v>
          </cell>
          <cell r="B804" t="str">
            <v>Completed Surveys</v>
          </cell>
          <cell r="C804">
            <v>42725.734927546298</v>
          </cell>
        </row>
        <row r="805">
          <cell r="A805">
            <v>3035077134</v>
          </cell>
          <cell r="B805" t="str">
            <v>Completed Surveys</v>
          </cell>
          <cell r="C805">
            <v>42725.734927546298</v>
          </cell>
        </row>
        <row r="806">
          <cell r="A806">
            <v>3035071895</v>
          </cell>
          <cell r="B806" t="str">
            <v>Completed Surveys</v>
          </cell>
          <cell r="C806">
            <v>42725.734927546298</v>
          </cell>
        </row>
        <row r="807">
          <cell r="A807">
            <v>3034950824</v>
          </cell>
          <cell r="B807" t="str">
            <v>Completed Surveys</v>
          </cell>
          <cell r="C807">
            <v>42725.734927546298</v>
          </cell>
        </row>
        <row r="808">
          <cell r="A808">
            <v>3035076272</v>
          </cell>
          <cell r="B808" t="str">
            <v>Completed Surveys</v>
          </cell>
          <cell r="C808">
            <v>42725.734927546298</v>
          </cell>
        </row>
        <row r="809">
          <cell r="A809">
            <v>3035067242</v>
          </cell>
          <cell r="B809" t="str">
            <v>Completed Surveys</v>
          </cell>
          <cell r="C809">
            <v>42725.734927546298</v>
          </cell>
        </row>
        <row r="810">
          <cell r="A810">
            <v>3035083145</v>
          </cell>
          <cell r="B810" t="str">
            <v>Completed Surveys</v>
          </cell>
          <cell r="C810">
            <v>42725.734927546298</v>
          </cell>
        </row>
        <row r="811">
          <cell r="A811">
            <v>3035079403</v>
          </cell>
          <cell r="B811" t="str">
            <v>Completed Surveys</v>
          </cell>
          <cell r="C811">
            <v>42725.734927546298</v>
          </cell>
        </row>
        <row r="812">
          <cell r="A812">
            <v>3035036930</v>
          </cell>
          <cell r="B812" t="str">
            <v>Completed Surveys</v>
          </cell>
          <cell r="C812">
            <v>42725.734927546298</v>
          </cell>
        </row>
        <row r="813">
          <cell r="A813">
            <v>3035034055</v>
          </cell>
          <cell r="B813" t="str">
            <v>Completed Surveys</v>
          </cell>
          <cell r="C813">
            <v>42725.734927546298</v>
          </cell>
        </row>
        <row r="814">
          <cell r="A814">
            <v>3035063860</v>
          </cell>
          <cell r="B814" t="str">
            <v>Completed Surveys</v>
          </cell>
          <cell r="C814">
            <v>42725.734927546298</v>
          </cell>
        </row>
        <row r="815">
          <cell r="A815">
            <v>3034878888</v>
          </cell>
          <cell r="B815" t="str">
            <v>Completed Surveys</v>
          </cell>
          <cell r="C815">
            <v>42725.734927546298</v>
          </cell>
        </row>
        <row r="816">
          <cell r="A816">
            <v>3035080585</v>
          </cell>
          <cell r="B816" t="str">
            <v>Completed Surveys</v>
          </cell>
          <cell r="C816">
            <v>42725.734927546298</v>
          </cell>
        </row>
        <row r="817">
          <cell r="A817">
            <v>3035077724</v>
          </cell>
          <cell r="B817" t="str">
            <v>Completed Surveys</v>
          </cell>
          <cell r="C817">
            <v>42725.734927546298</v>
          </cell>
        </row>
        <row r="818">
          <cell r="A818">
            <v>3035070577</v>
          </cell>
          <cell r="B818" t="str">
            <v>Completed Surveys</v>
          </cell>
          <cell r="C818">
            <v>42725.734927546298</v>
          </cell>
        </row>
        <row r="819">
          <cell r="A819">
            <v>3035030069</v>
          </cell>
          <cell r="B819" t="str">
            <v>Completed Surveys</v>
          </cell>
          <cell r="C819">
            <v>42723.734847997686</v>
          </cell>
        </row>
        <row r="820">
          <cell r="A820">
            <v>3035029767</v>
          </cell>
          <cell r="B820" t="str">
            <v>Completed Surveys</v>
          </cell>
          <cell r="C820">
            <v>42723.734847997686</v>
          </cell>
        </row>
        <row r="821">
          <cell r="A821">
            <v>3034905200</v>
          </cell>
          <cell r="B821" t="str">
            <v>Completed Surveys</v>
          </cell>
          <cell r="C821">
            <v>42723.734847997686</v>
          </cell>
        </row>
        <row r="822">
          <cell r="A822">
            <v>3034947412</v>
          </cell>
          <cell r="B822" t="str">
            <v>Completed Surveys</v>
          </cell>
          <cell r="C822">
            <v>42723.734847997686</v>
          </cell>
        </row>
        <row r="823">
          <cell r="A823">
            <v>3034831422</v>
          </cell>
          <cell r="B823" t="str">
            <v>Completed Surveys</v>
          </cell>
          <cell r="C823">
            <v>42723.734847997686</v>
          </cell>
        </row>
        <row r="824">
          <cell r="A824">
            <v>3035032241</v>
          </cell>
          <cell r="B824" t="str">
            <v>Completed Surveys</v>
          </cell>
          <cell r="C824">
            <v>42723.734847997686</v>
          </cell>
        </row>
        <row r="825">
          <cell r="A825">
            <v>3034988678</v>
          </cell>
          <cell r="B825" t="str">
            <v>Completed Surveys</v>
          </cell>
          <cell r="C825">
            <v>42723.734847997686</v>
          </cell>
        </row>
        <row r="826">
          <cell r="A826">
            <v>3034950459</v>
          </cell>
          <cell r="B826" t="str">
            <v>Completed Surveys</v>
          </cell>
          <cell r="C826">
            <v>42723.734847997686</v>
          </cell>
        </row>
        <row r="827">
          <cell r="A827">
            <v>3034980607</v>
          </cell>
          <cell r="B827" t="str">
            <v>Completed Surveys</v>
          </cell>
          <cell r="C827">
            <v>42723.734847997686</v>
          </cell>
        </row>
        <row r="828">
          <cell r="A828">
            <v>3034982094</v>
          </cell>
          <cell r="B828" t="str">
            <v>Completed Surveys</v>
          </cell>
          <cell r="C828">
            <v>42723.734847997686</v>
          </cell>
        </row>
        <row r="829">
          <cell r="A829">
            <v>3034958578</v>
          </cell>
          <cell r="B829" t="str">
            <v>Completed Surveys</v>
          </cell>
          <cell r="C829">
            <v>42723.734847997686</v>
          </cell>
        </row>
        <row r="830">
          <cell r="A830">
            <v>3034732099</v>
          </cell>
          <cell r="B830" t="str">
            <v>Completed Surveys</v>
          </cell>
          <cell r="C830">
            <v>42723.734847997686</v>
          </cell>
        </row>
        <row r="831">
          <cell r="A831">
            <v>3034987947</v>
          </cell>
          <cell r="B831" t="str">
            <v>Completed Surveys</v>
          </cell>
          <cell r="C831">
            <v>42723.734847997686</v>
          </cell>
        </row>
        <row r="832">
          <cell r="A832">
            <v>3034987352</v>
          </cell>
          <cell r="B832" t="str">
            <v>Completed Surveys</v>
          </cell>
          <cell r="C832">
            <v>42723.734847997686</v>
          </cell>
        </row>
        <row r="833">
          <cell r="A833">
            <v>3034982032</v>
          </cell>
          <cell r="B833" t="str">
            <v>Completed Surveys</v>
          </cell>
          <cell r="C833">
            <v>42723.734847997686</v>
          </cell>
        </row>
        <row r="834">
          <cell r="A834">
            <v>3034982767</v>
          </cell>
          <cell r="B834" t="str">
            <v>Completed Surveys</v>
          </cell>
          <cell r="C834">
            <v>42723.734847997686</v>
          </cell>
        </row>
        <row r="835">
          <cell r="A835">
            <v>3034944397</v>
          </cell>
          <cell r="B835" t="str">
            <v>Completed Surveys</v>
          </cell>
          <cell r="C835">
            <v>42723.734847997686</v>
          </cell>
        </row>
        <row r="836">
          <cell r="A836">
            <v>3034979991</v>
          </cell>
          <cell r="B836" t="str">
            <v>Completed Surveys</v>
          </cell>
          <cell r="C836">
            <v>42723.734847997686</v>
          </cell>
        </row>
        <row r="837">
          <cell r="A837">
            <v>3034809319</v>
          </cell>
          <cell r="B837" t="str">
            <v>Completed Surveys</v>
          </cell>
          <cell r="C837">
            <v>42723.734847997686</v>
          </cell>
        </row>
        <row r="838">
          <cell r="A838">
            <v>3034958543</v>
          </cell>
          <cell r="B838" t="str">
            <v>Completed Surveys</v>
          </cell>
          <cell r="C838">
            <v>42722.734715543978</v>
          </cell>
        </row>
        <row r="839">
          <cell r="A839">
            <v>3034974363</v>
          </cell>
          <cell r="B839" t="str">
            <v>Completed Surveys</v>
          </cell>
          <cell r="C839">
            <v>42722.734715543978</v>
          </cell>
        </row>
        <row r="840">
          <cell r="A840">
            <v>3035018876</v>
          </cell>
          <cell r="B840" t="str">
            <v>Completed Surveys</v>
          </cell>
          <cell r="C840">
            <v>42722.734715543978</v>
          </cell>
        </row>
        <row r="841">
          <cell r="A841">
            <v>3035021514</v>
          </cell>
          <cell r="B841" t="str">
            <v>Completed Surveys</v>
          </cell>
          <cell r="C841">
            <v>42722.734715543978</v>
          </cell>
        </row>
        <row r="842">
          <cell r="A842">
            <v>3034780650</v>
          </cell>
          <cell r="B842" t="str">
            <v>Completed Surveys</v>
          </cell>
          <cell r="C842">
            <v>42722.734715543978</v>
          </cell>
        </row>
        <row r="843">
          <cell r="A843">
            <v>3034938193</v>
          </cell>
          <cell r="B843" t="str">
            <v>Completed Surveys</v>
          </cell>
          <cell r="C843">
            <v>42722.734715543978</v>
          </cell>
        </row>
        <row r="844">
          <cell r="A844">
            <v>3034972182</v>
          </cell>
          <cell r="B844" t="str">
            <v>Completed Surveys</v>
          </cell>
          <cell r="C844">
            <v>42722.734715543978</v>
          </cell>
        </row>
        <row r="845">
          <cell r="A845">
            <v>3035011875</v>
          </cell>
          <cell r="B845" t="str">
            <v>Completed Surveys</v>
          </cell>
          <cell r="C845">
            <v>42722.734715543978</v>
          </cell>
        </row>
        <row r="846">
          <cell r="A846">
            <v>3035004869</v>
          </cell>
          <cell r="B846" t="str">
            <v>Completed Surveys</v>
          </cell>
          <cell r="C846">
            <v>42722.734715543978</v>
          </cell>
        </row>
        <row r="847">
          <cell r="A847">
            <v>3034879786</v>
          </cell>
          <cell r="B847" t="str">
            <v>Completed Surveys</v>
          </cell>
          <cell r="C847">
            <v>42722.734715543978</v>
          </cell>
        </row>
        <row r="848">
          <cell r="A848">
            <v>3034942379</v>
          </cell>
          <cell r="B848" t="str">
            <v>Completed Surveys</v>
          </cell>
          <cell r="C848">
            <v>42722.734715543978</v>
          </cell>
        </row>
        <row r="849">
          <cell r="A849">
            <v>3034972993</v>
          </cell>
          <cell r="B849" t="str">
            <v>Completed Surveys</v>
          </cell>
          <cell r="C849">
            <v>42722.734715543978</v>
          </cell>
        </row>
        <row r="850">
          <cell r="A850">
            <v>3035012055</v>
          </cell>
          <cell r="B850" t="str">
            <v>Completed Surveys</v>
          </cell>
          <cell r="C850">
            <v>42722.734715543978</v>
          </cell>
        </row>
        <row r="851">
          <cell r="A851">
            <v>3035008992</v>
          </cell>
          <cell r="B851" t="str">
            <v>Completed Surveys</v>
          </cell>
          <cell r="C851">
            <v>42722.734715543978</v>
          </cell>
        </row>
        <row r="852">
          <cell r="A852">
            <v>3034954286</v>
          </cell>
          <cell r="B852" t="str">
            <v>Completed Surveys</v>
          </cell>
          <cell r="C852">
            <v>42722.734715543978</v>
          </cell>
        </row>
        <row r="853">
          <cell r="A853">
            <v>3034885198</v>
          </cell>
          <cell r="B853" t="str">
            <v>Completed Surveys</v>
          </cell>
          <cell r="C853">
            <v>42722.734715543978</v>
          </cell>
        </row>
        <row r="854">
          <cell r="A854">
            <v>3035011915</v>
          </cell>
          <cell r="B854" t="str">
            <v>Completed Surveys</v>
          </cell>
          <cell r="C854">
            <v>42722.734715543978</v>
          </cell>
        </row>
        <row r="855">
          <cell r="A855">
            <v>3035007304</v>
          </cell>
          <cell r="B855" t="str">
            <v>Completed Surveys</v>
          </cell>
          <cell r="C855">
            <v>42722.734715543978</v>
          </cell>
        </row>
        <row r="856">
          <cell r="A856">
            <v>3035012601</v>
          </cell>
          <cell r="B856" t="str">
            <v>Completed Surveys</v>
          </cell>
          <cell r="C856">
            <v>42722.734715543978</v>
          </cell>
        </row>
        <row r="857">
          <cell r="A857">
            <v>3035013499</v>
          </cell>
          <cell r="B857" t="str">
            <v>Completed Surveys</v>
          </cell>
          <cell r="C857">
            <v>42722.734715543978</v>
          </cell>
        </row>
        <row r="858">
          <cell r="A858">
            <v>3035015264</v>
          </cell>
          <cell r="B858" t="str">
            <v>Completed Surveys</v>
          </cell>
          <cell r="C858">
            <v>42722.734715543978</v>
          </cell>
        </row>
        <row r="859">
          <cell r="A859">
            <v>3035022505</v>
          </cell>
          <cell r="B859" t="str">
            <v>Completed Surveys</v>
          </cell>
          <cell r="C859">
            <v>42722.734715543978</v>
          </cell>
        </row>
        <row r="860">
          <cell r="A860">
            <v>3034877245</v>
          </cell>
          <cell r="B860" t="str">
            <v>Completed Surveys</v>
          </cell>
          <cell r="C860">
            <v>42722.734715543978</v>
          </cell>
        </row>
        <row r="861">
          <cell r="A861">
            <v>3034811274</v>
          </cell>
          <cell r="B861" t="str">
            <v>Completed Surveys</v>
          </cell>
          <cell r="C861">
            <v>42722.734715543978</v>
          </cell>
        </row>
        <row r="862">
          <cell r="A862">
            <v>3035008083</v>
          </cell>
          <cell r="B862" t="str">
            <v>Completed Surveys</v>
          </cell>
          <cell r="C862">
            <v>42722.734715543978</v>
          </cell>
        </row>
        <row r="863">
          <cell r="A863">
            <v>3035015955</v>
          </cell>
          <cell r="B863" t="str">
            <v>Completed Surveys</v>
          </cell>
          <cell r="C863">
            <v>42722.734715543978</v>
          </cell>
        </row>
        <row r="864">
          <cell r="A864">
            <v>3035007692</v>
          </cell>
          <cell r="B864" t="str">
            <v>Completed Surveys</v>
          </cell>
          <cell r="C864">
            <v>42722.734715543978</v>
          </cell>
        </row>
        <row r="865">
          <cell r="A865">
            <v>3035016077</v>
          </cell>
          <cell r="B865" t="str">
            <v>Completed Surveys</v>
          </cell>
          <cell r="C865">
            <v>42722.734715543978</v>
          </cell>
        </row>
        <row r="866">
          <cell r="A866">
            <v>3034652297</v>
          </cell>
          <cell r="B866" t="str">
            <v>Completed Surveys</v>
          </cell>
          <cell r="C866">
            <v>42720.740082870368</v>
          </cell>
        </row>
        <row r="867">
          <cell r="A867">
            <v>3034670372</v>
          </cell>
          <cell r="B867" t="str">
            <v>Completed Surveys</v>
          </cell>
          <cell r="C867">
            <v>42720.740082870368</v>
          </cell>
        </row>
        <row r="868">
          <cell r="A868">
            <v>3034193922</v>
          </cell>
          <cell r="B868" t="str">
            <v>Completed Surveys</v>
          </cell>
          <cell r="C868">
            <v>42721.735890937503</v>
          </cell>
        </row>
        <row r="869">
          <cell r="A869">
            <v>3034980532</v>
          </cell>
          <cell r="B869" t="str">
            <v>Completed Surveys</v>
          </cell>
          <cell r="C869">
            <v>42722.734715543978</v>
          </cell>
        </row>
        <row r="870">
          <cell r="A870">
            <v>3035016242</v>
          </cell>
          <cell r="B870" t="str">
            <v>Completed Surveys</v>
          </cell>
          <cell r="C870">
            <v>42722.734715543978</v>
          </cell>
        </row>
        <row r="871">
          <cell r="A871">
            <v>3034901412</v>
          </cell>
          <cell r="B871" t="str">
            <v>Completed Surveys</v>
          </cell>
          <cell r="C871">
            <v>42722.734715543978</v>
          </cell>
        </row>
        <row r="872">
          <cell r="A872">
            <v>3034955845</v>
          </cell>
          <cell r="B872" t="str">
            <v>Completed Surveys</v>
          </cell>
          <cell r="C872">
            <v>42720.7400221875</v>
          </cell>
        </row>
        <row r="873">
          <cell r="A873">
            <v>3034937594</v>
          </cell>
          <cell r="B873" t="str">
            <v>Completed Surveys</v>
          </cell>
          <cell r="C873">
            <v>42720.7400221875</v>
          </cell>
        </row>
        <row r="874">
          <cell r="A874">
            <v>3034940072</v>
          </cell>
          <cell r="B874" t="str">
            <v>Completed Surveys</v>
          </cell>
          <cell r="C874">
            <v>42720.7400221875</v>
          </cell>
        </row>
        <row r="875">
          <cell r="A875">
            <v>3034619929</v>
          </cell>
          <cell r="B875" t="str">
            <v>Completed Surveys</v>
          </cell>
          <cell r="C875">
            <v>42720.7400221875</v>
          </cell>
        </row>
        <row r="876">
          <cell r="A876">
            <v>3034741227</v>
          </cell>
          <cell r="B876" t="str">
            <v>Completed Surveys</v>
          </cell>
          <cell r="C876">
            <v>42720.7400221875</v>
          </cell>
        </row>
        <row r="877">
          <cell r="A877">
            <v>3034876465</v>
          </cell>
          <cell r="B877" t="str">
            <v>Completed Surveys</v>
          </cell>
          <cell r="C877">
            <v>42720.7400221875</v>
          </cell>
        </row>
        <row r="878">
          <cell r="A878">
            <v>3034870657</v>
          </cell>
          <cell r="B878" t="str">
            <v>Completed Surveys</v>
          </cell>
          <cell r="C878">
            <v>42720.7400221875</v>
          </cell>
        </row>
        <row r="879">
          <cell r="A879">
            <v>3034935495</v>
          </cell>
          <cell r="B879" t="str">
            <v>Completed Surveys</v>
          </cell>
          <cell r="C879">
            <v>42720.7400221875</v>
          </cell>
        </row>
        <row r="880">
          <cell r="A880">
            <v>3034942783</v>
          </cell>
          <cell r="B880" t="str">
            <v>Completed Surveys</v>
          </cell>
          <cell r="C880">
            <v>42720.7400221875</v>
          </cell>
        </row>
        <row r="881">
          <cell r="A881">
            <v>3034828551</v>
          </cell>
          <cell r="B881" t="str">
            <v>Completed Surveys</v>
          </cell>
          <cell r="C881">
            <v>42720.7400221875</v>
          </cell>
        </row>
        <row r="882">
          <cell r="A882">
            <v>3034874987</v>
          </cell>
          <cell r="B882" t="str">
            <v>Completed Surveys</v>
          </cell>
          <cell r="C882">
            <v>42720.7400221875</v>
          </cell>
        </row>
        <row r="883">
          <cell r="A883">
            <v>3034877102</v>
          </cell>
          <cell r="B883" t="str">
            <v>Completed Surveys</v>
          </cell>
          <cell r="C883">
            <v>42720.7400221875</v>
          </cell>
        </row>
        <row r="884">
          <cell r="A884">
            <v>3034879055</v>
          </cell>
          <cell r="B884" t="str">
            <v>Completed Surveys</v>
          </cell>
          <cell r="C884">
            <v>42720.7400221875</v>
          </cell>
        </row>
        <row r="885">
          <cell r="A885">
            <v>3034880710</v>
          </cell>
          <cell r="B885" t="str">
            <v>Completed Surveys</v>
          </cell>
          <cell r="C885">
            <v>42720.7400221875</v>
          </cell>
        </row>
        <row r="886">
          <cell r="A886">
            <v>3034865665</v>
          </cell>
          <cell r="B886" t="str">
            <v>Completed Surveys</v>
          </cell>
          <cell r="C886">
            <v>42720.7400221875</v>
          </cell>
        </row>
        <row r="887">
          <cell r="A887">
            <v>3034805749</v>
          </cell>
          <cell r="B887" t="str">
            <v>Completed Surveys</v>
          </cell>
          <cell r="C887">
            <v>42720.7400221875</v>
          </cell>
        </row>
        <row r="888">
          <cell r="A888">
            <v>3034873088</v>
          </cell>
          <cell r="B888" t="str">
            <v>Completed Surveys</v>
          </cell>
          <cell r="C888">
            <v>42720.7400221875</v>
          </cell>
        </row>
        <row r="889">
          <cell r="A889">
            <v>3034869092</v>
          </cell>
          <cell r="B889" t="str">
            <v>Completed Surveys</v>
          </cell>
          <cell r="C889">
            <v>42720.7400221875</v>
          </cell>
        </row>
        <row r="890">
          <cell r="A890">
            <v>3034873884</v>
          </cell>
          <cell r="B890" t="str">
            <v>Completed Surveys</v>
          </cell>
          <cell r="C890">
            <v>42720.7400221875</v>
          </cell>
        </row>
        <row r="891">
          <cell r="A891">
            <v>3034833293</v>
          </cell>
          <cell r="B891" t="str">
            <v>Completed Surveys</v>
          </cell>
          <cell r="C891">
            <v>42720.7400221875</v>
          </cell>
        </row>
        <row r="892">
          <cell r="A892">
            <v>3034882310</v>
          </cell>
          <cell r="B892" t="str">
            <v>Completed Surveys</v>
          </cell>
          <cell r="C892">
            <v>42720.7400221875</v>
          </cell>
        </row>
        <row r="893">
          <cell r="A893">
            <v>3034869566</v>
          </cell>
          <cell r="B893" t="str">
            <v>Completed Surveys</v>
          </cell>
          <cell r="C893">
            <v>42720.7400221875</v>
          </cell>
        </row>
        <row r="894">
          <cell r="A894">
            <v>3034884168</v>
          </cell>
          <cell r="B894" t="str">
            <v>Completed Surveys</v>
          </cell>
          <cell r="C894">
            <v>42720.7400221875</v>
          </cell>
        </row>
        <row r="895">
          <cell r="A895">
            <v>3034864346</v>
          </cell>
          <cell r="B895" t="str">
            <v>Completed Surveys</v>
          </cell>
          <cell r="C895">
            <v>42720.7400221875</v>
          </cell>
        </row>
        <row r="896">
          <cell r="A896">
            <v>3034862192</v>
          </cell>
          <cell r="B896" t="str">
            <v>Completed Surveys</v>
          </cell>
          <cell r="C896">
            <v>42720.7400221875</v>
          </cell>
        </row>
        <row r="897">
          <cell r="A897">
            <v>3034936797</v>
          </cell>
          <cell r="B897" t="str">
            <v>Completed Surveys</v>
          </cell>
          <cell r="C897">
            <v>42720.7400221875</v>
          </cell>
        </row>
        <row r="898">
          <cell r="A898">
            <v>3034950251</v>
          </cell>
          <cell r="B898" t="str">
            <v>Completed Surveys</v>
          </cell>
          <cell r="C898">
            <v>42720.7400221875</v>
          </cell>
        </row>
        <row r="899">
          <cell r="A899">
            <v>3034940160</v>
          </cell>
          <cell r="B899" t="str">
            <v>Completed Surveys</v>
          </cell>
          <cell r="C899">
            <v>42720.7400221875</v>
          </cell>
        </row>
        <row r="900">
          <cell r="A900">
            <v>3034868252</v>
          </cell>
          <cell r="B900" t="str">
            <v>Completed Surveys</v>
          </cell>
          <cell r="C900">
            <v>42720.7400221875</v>
          </cell>
        </row>
        <row r="901">
          <cell r="A901">
            <v>3034622858</v>
          </cell>
          <cell r="B901" t="str">
            <v>Completed Surveys</v>
          </cell>
          <cell r="C901">
            <v>42720.7400221875</v>
          </cell>
        </row>
        <row r="902">
          <cell r="A902">
            <v>3034828374</v>
          </cell>
          <cell r="B902" t="str">
            <v>Completed Surveys</v>
          </cell>
          <cell r="C902">
            <v>42720.7400221875</v>
          </cell>
        </row>
        <row r="903">
          <cell r="A903">
            <v>3034711495</v>
          </cell>
          <cell r="B903" t="str">
            <v>Completed Surveys</v>
          </cell>
          <cell r="C903">
            <v>42720.7400221875</v>
          </cell>
        </row>
        <row r="904">
          <cell r="A904">
            <v>3034867410</v>
          </cell>
          <cell r="B904" t="str">
            <v>Completed Surveys</v>
          </cell>
          <cell r="C904">
            <v>42720.7400221875</v>
          </cell>
        </row>
        <row r="905">
          <cell r="A905">
            <v>3034872846</v>
          </cell>
          <cell r="B905" t="str">
            <v>Completed Surveys</v>
          </cell>
          <cell r="C905">
            <v>42720.7400221875</v>
          </cell>
        </row>
        <row r="906">
          <cell r="A906">
            <v>3034836873</v>
          </cell>
          <cell r="B906" t="str">
            <v>Completed Surveys</v>
          </cell>
          <cell r="C906">
            <v>42720.7400221875</v>
          </cell>
        </row>
        <row r="907">
          <cell r="A907">
            <v>3034881708</v>
          </cell>
          <cell r="B907" t="str">
            <v>Completed Surveys</v>
          </cell>
          <cell r="C907">
            <v>42720.7400221875</v>
          </cell>
        </row>
        <row r="908">
          <cell r="A908">
            <v>3034955853</v>
          </cell>
          <cell r="B908" t="str">
            <v>Completed Surveys</v>
          </cell>
          <cell r="C908">
            <v>42720.7400221875</v>
          </cell>
        </row>
        <row r="909">
          <cell r="A909">
            <v>3034945222</v>
          </cell>
          <cell r="B909" t="str">
            <v>Completed Surveys</v>
          </cell>
          <cell r="C909">
            <v>42720.7400221875</v>
          </cell>
        </row>
        <row r="910">
          <cell r="A910">
            <v>3034814295</v>
          </cell>
          <cell r="B910" t="str">
            <v>Completed Surveys</v>
          </cell>
          <cell r="C910">
            <v>42720.7400221875</v>
          </cell>
        </row>
        <row r="911">
          <cell r="A911">
            <v>3034734747</v>
          </cell>
          <cell r="B911" t="str">
            <v>Completed Surveys</v>
          </cell>
          <cell r="C911">
            <v>42720.7400221875</v>
          </cell>
        </row>
        <row r="912">
          <cell r="A912">
            <v>3034886406</v>
          </cell>
          <cell r="B912" t="str">
            <v>Completed Surveys</v>
          </cell>
          <cell r="C912">
            <v>42720.7400221875</v>
          </cell>
        </row>
        <row r="913">
          <cell r="A913">
            <v>3034768659</v>
          </cell>
          <cell r="B913" t="str">
            <v>Completed Surveys</v>
          </cell>
          <cell r="C913">
            <v>42720.7400221875</v>
          </cell>
        </row>
        <row r="914">
          <cell r="A914">
            <v>3034869668</v>
          </cell>
          <cell r="B914" t="str">
            <v>Completed Surveys</v>
          </cell>
          <cell r="C914">
            <v>42720.7400221875</v>
          </cell>
        </row>
        <row r="915">
          <cell r="A915">
            <v>3034800007</v>
          </cell>
          <cell r="B915" t="str">
            <v>Completed Surveys</v>
          </cell>
          <cell r="C915">
            <v>42720.7400221875</v>
          </cell>
        </row>
        <row r="916">
          <cell r="A916">
            <v>3034877690</v>
          </cell>
          <cell r="B916" t="str">
            <v>Completed Surveys</v>
          </cell>
          <cell r="C916">
            <v>42720.7400221875</v>
          </cell>
        </row>
        <row r="917">
          <cell r="A917">
            <v>3034705799</v>
          </cell>
          <cell r="B917" t="str">
            <v>Completed Surveys</v>
          </cell>
          <cell r="C917">
            <v>42720.7400221875</v>
          </cell>
        </row>
        <row r="918">
          <cell r="A918">
            <v>3034900744</v>
          </cell>
          <cell r="B918" t="str">
            <v>Completed Surveys</v>
          </cell>
          <cell r="C918">
            <v>42720.7400221875</v>
          </cell>
        </row>
        <row r="919">
          <cell r="A919">
            <v>3034700991</v>
          </cell>
          <cell r="B919" t="str">
            <v>Completed Surveys</v>
          </cell>
          <cell r="C919">
            <v>42720.7400221875</v>
          </cell>
        </row>
        <row r="920">
          <cell r="A920">
            <v>3034787537</v>
          </cell>
          <cell r="B920" t="str">
            <v>Completed Surveys</v>
          </cell>
          <cell r="C920">
            <v>42720.7400221875</v>
          </cell>
        </row>
        <row r="921">
          <cell r="A921">
            <v>3034945567</v>
          </cell>
          <cell r="B921" t="str">
            <v>Completed Surveys</v>
          </cell>
          <cell r="C921">
            <v>42720.7400221875</v>
          </cell>
        </row>
        <row r="922">
          <cell r="A922">
            <v>3034901724</v>
          </cell>
          <cell r="B922" t="str">
            <v>Completed Surveys</v>
          </cell>
          <cell r="C922">
            <v>42720.7400221875</v>
          </cell>
        </row>
        <row r="923">
          <cell r="A923">
            <v>3034903793</v>
          </cell>
          <cell r="B923" t="str">
            <v>Completed Surveys</v>
          </cell>
          <cell r="C923">
            <v>42720.7400221875</v>
          </cell>
        </row>
        <row r="924">
          <cell r="A924">
            <v>3034779071</v>
          </cell>
          <cell r="B924" t="str">
            <v>Completed Surveys</v>
          </cell>
          <cell r="C924">
            <v>42720.7400221875</v>
          </cell>
        </row>
        <row r="925">
          <cell r="A925">
            <v>3034905523</v>
          </cell>
          <cell r="B925" t="str">
            <v>Completed Surveys</v>
          </cell>
          <cell r="C925">
            <v>42720.7400221875</v>
          </cell>
        </row>
        <row r="926">
          <cell r="A926">
            <v>3034909205</v>
          </cell>
          <cell r="B926" t="str">
            <v>Completed Surveys</v>
          </cell>
          <cell r="C926">
            <v>42720.7400221875</v>
          </cell>
        </row>
        <row r="927">
          <cell r="A927">
            <v>3034904524</v>
          </cell>
          <cell r="B927" t="str">
            <v>Completed Surveys</v>
          </cell>
          <cell r="C927">
            <v>42720.7400221875</v>
          </cell>
        </row>
        <row r="928">
          <cell r="A928">
            <v>3034903859</v>
          </cell>
          <cell r="B928" t="str">
            <v>Completed Surveys</v>
          </cell>
          <cell r="C928">
            <v>42720.7400221875</v>
          </cell>
        </row>
        <row r="929">
          <cell r="A929">
            <v>3034779901</v>
          </cell>
          <cell r="B929" t="str">
            <v>Completed Surveys</v>
          </cell>
          <cell r="C929">
            <v>42720.7400221875</v>
          </cell>
        </row>
        <row r="930">
          <cell r="A930">
            <v>3034923305</v>
          </cell>
          <cell r="B930" t="str">
            <v>Completed Surveys</v>
          </cell>
          <cell r="C930">
            <v>42720.7400221875</v>
          </cell>
        </row>
        <row r="931">
          <cell r="A931">
            <v>3034525517</v>
          </cell>
          <cell r="B931" t="str">
            <v>Completed Surveys</v>
          </cell>
          <cell r="C931">
            <v>42720.7400221875</v>
          </cell>
        </row>
        <row r="932">
          <cell r="A932">
            <v>3034808906</v>
          </cell>
          <cell r="B932" t="str">
            <v>Completed Surveys</v>
          </cell>
          <cell r="C932">
            <v>42720.7400221875</v>
          </cell>
        </row>
        <row r="933">
          <cell r="A933">
            <v>3034920728</v>
          </cell>
          <cell r="B933" t="str">
            <v>Completed Surveys</v>
          </cell>
          <cell r="C933">
            <v>42720.7400221875</v>
          </cell>
        </row>
        <row r="934">
          <cell r="A934">
            <v>3034922332</v>
          </cell>
          <cell r="B934" t="str">
            <v>Completed Surveys</v>
          </cell>
          <cell r="C934">
            <v>42720.7400221875</v>
          </cell>
        </row>
        <row r="935">
          <cell r="A935">
            <v>3034827836</v>
          </cell>
          <cell r="B935" t="str">
            <v>Completed Surveys</v>
          </cell>
          <cell r="C935">
            <v>42720.7400221875</v>
          </cell>
        </row>
        <row r="936">
          <cell r="A936">
            <v>3034693738</v>
          </cell>
          <cell r="B936" t="str">
            <v>Completed Surveys</v>
          </cell>
          <cell r="C936">
            <v>42720.7400221875</v>
          </cell>
        </row>
        <row r="937">
          <cell r="A937">
            <v>3034923240</v>
          </cell>
          <cell r="B937" t="str">
            <v>Completed Surveys</v>
          </cell>
          <cell r="C937">
            <v>42720.7400221875</v>
          </cell>
        </row>
        <row r="938">
          <cell r="A938">
            <v>3034914281</v>
          </cell>
          <cell r="B938" t="str">
            <v>Completed Surveys</v>
          </cell>
          <cell r="C938">
            <v>42720.7400221875</v>
          </cell>
        </row>
        <row r="939">
          <cell r="A939">
            <v>3034872371</v>
          </cell>
          <cell r="B939" t="str">
            <v>Completed Surveys</v>
          </cell>
          <cell r="C939">
            <v>42720.7400221875</v>
          </cell>
        </row>
        <row r="940">
          <cell r="A940">
            <v>3034918743</v>
          </cell>
          <cell r="B940" t="str">
            <v>Completed Surveys</v>
          </cell>
          <cell r="C940">
            <v>42720.7400221875</v>
          </cell>
        </row>
        <row r="941">
          <cell r="A941">
            <v>3034903831</v>
          </cell>
          <cell r="B941" t="str">
            <v>Completed Surveys</v>
          </cell>
          <cell r="C941">
            <v>42720.7400221875</v>
          </cell>
        </row>
        <row r="942">
          <cell r="A942">
            <v>3034921720</v>
          </cell>
          <cell r="B942" t="str">
            <v>Completed Surveys</v>
          </cell>
          <cell r="C942">
            <v>42720.7400221875</v>
          </cell>
        </row>
        <row r="943">
          <cell r="A943">
            <v>3034907843</v>
          </cell>
          <cell r="B943" t="str">
            <v>Completed Surveys</v>
          </cell>
          <cell r="C943">
            <v>42720.7400221875</v>
          </cell>
        </row>
        <row r="944">
          <cell r="A944">
            <v>3034913222</v>
          </cell>
          <cell r="B944" t="str">
            <v>Completed Surveys</v>
          </cell>
          <cell r="C944">
            <v>42720.7400221875</v>
          </cell>
        </row>
        <row r="945">
          <cell r="A945">
            <v>3034904840</v>
          </cell>
          <cell r="B945" t="str">
            <v>Completed Surveys</v>
          </cell>
          <cell r="C945">
            <v>42720.7400221875</v>
          </cell>
        </row>
        <row r="946">
          <cell r="A946">
            <v>3034952670</v>
          </cell>
          <cell r="B946" t="str">
            <v>Completed Surveys</v>
          </cell>
          <cell r="C946">
            <v>42720.7400221875</v>
          </cell>
        </row>
        <row r="947">
          <cell r="A947">
            <v>3034745498</v>
          </cell>
          <cell r="B947" t="str">
            <v>Completed Surveys</v>
          </cell>
          <cell r="C947">
            <v>42720.7400221875</v>
          </cell>
        </row>
        <row r="948">
          <cell r="A948">
            <v>3034904839</v>
          </cell>
          <cell r="B948" t="str">
            <v>Completed Surveys</v>
          </cell>
          <cell r="C948">
            <v>42720.7400221875</v>
          </cell>
        </row>
        <row r="949">
          <cell r="A949">
            <v>3034816046</v>
          </cell>
          <cell r="B949" t="str">
            <v>Completed Surveys</v>
          </cell>
          <cell r="C949">
            <v>42720.7400221875</v>
          </cell>
        </row>
        <row r="950">
          <cell r="A950">
            <v>3034949735</v>
          </cell>
          <cell r="B950" t="str">
            <v>Completed Surveys</v>
          </cell>
          <cell r="C950">
            <v>42720.7400221875</v>
          </cell>
        </row>
        <row r="951">
          <cell r="A951">
            <v>3034950260</v>
          </cell>
          <cell r="B951" t="str">
            <v>Completed Surveys</v>
          </cell>
          <cell r="C951">
            <v>42720.7400221875</v>
          </cell>
        </row>
        <row r="952">
          <cell r="A952">
            <v>3034914557</v>
          </cell>
          <cell r="B952" t="str">
            <v>Completed Surveys</v>
          </cell>
          <cell r="C952">
            <v>42720.7400221875</v>
          </cell>
        </row>
        <row r="953">
          <cell r="A953">
            <v>3034939721</v>
          </cell>
          <cell r="B953" t="str">
            <v>Completed Surveys</v>
          </cell>
          <cell r="C953">
            <v>42720.7400221875</v>
          </cell>
        </row>
        <row r="954">
          <cell r="A954">
            <v>3034949622</v>
          </cell>
          <cell r="B954" t="str">
            <v>Completed Surveys</v>
          </cell>
          <cell r="C954">
            <v>42720.7400221875</v>
          </cell>
        </row>
        <row r="955">
          <cell r="A955">
            <v>3034923750</v>
          </cell>
          <cell r="B955" t="str">
            <v>Completed Surveys</v>
          </cell>
          <cell r="C955">
            <v>42720.7400221875</v>
          </cell>
        </row>
        <row r="956">
          <cell r="A956">
            <v>3034946158</v>
          </cell>
          <cell r="B956" t="str">
            <v>Completed Surveys</v>
          </cell>
          <cell r="C956">
            <v>42720.7400221875</v>
          </cell>
        </row>
        <row r="957">
          <cell r="A957">
            <v>3034936502</v>
          </cell>
          <cell r="B957" t="str">
            <v>Completed Surveys</v>
          </cell>
          <cell r="C957">
            <v>42720.7400221875</v>
          </cell>
        </row>
        <row r="958">
          <cell r="A958">
            <v>3034877139</v>
          </cell>
          <cell r="B958" t="str">
            <v>Completed Surveys</v>
          </cell>
          <cell r="C958">
            <v>42720.7400221875</v>
          </cell>
        </row>
        <row r="959">
          <cell r="A959">
            <v>3034801667</v>
          </cell>
          <cell r="B959" t="str">
            <v>Completed Surveys</v>
          </cell>
          <cell r="C959">
            <v>42716.73400196759</v>
          </cell>
        </row>
        <row r="960">
          <cell r="A960">
            <v>3034936521</v>
          </cell>
          <cell r="B960" t="str">
            <v>Completed Surveys</v>
          </cell>
          <cell r="C960">
            <v>42720.7400221875</v>
          </cell>
        </row>
        <row r="961">
          <cell r="A961">
            <v>3034443763</v>
          </cell>
          <cell r="B961" t="str">
            <v>Completed Surveys</v>
          </cell>
          <cell r="C961">
            <v>42717.737089236114</v>
          </cell>
        </row>
        <row r="962">
          <cell r="A962">
            <v>3034827996</v>
          </cell>
          <cell r="B962" t="str">
            <v>Completed Surveys</v>
          </cell>
          <cell r="C962">
            <v>42716.73400196759</v>
          </cell>
        </row>
        <row r="963">
          <cell r="A963">
            <v>3034828060</v>
          </cell>
          <cell r="B963" t="str">
            <v>Completed Surveys</v>
          </cell>
          <cell r="C963">
            <v>42716.73400196759</v>
          </cell>
        </row>
        <row r="964">
          <cell r="A964">
            <v>3034828537</v>
          </cell>
          <cell r="B964" t="str">
            <v>Completed Surveys</v>
          </cell>
          <cell r="C964">
            <v>42716.73400196759</v>
          </cell>
        </row>
        <row r="965">
          <cell r="A965">
            <v>3034774563</v>
          </cell>
          <cell r="B965" t="str">
            <v>Completed Surveys</v>
          </cell>
          <cell r="C965">
            <v>42716.73400196759</v>
          </cell>
        </row>
        <row r="966">
          <cell r="A966">
            <v>3034814265</v>
          </cell>
          <cell r="B966" t="str">
            <v>Completed Surveys</v>
          </cell>
          <cell r="C966">
            <v>42716.73400196759</v>
          </cell>
        </row>
        <row r="967">
          <cell r="A967">
            <v>3034590692</v>
          </cell>
          <cell r="B967" t="str">
            <v>Completed Surveys</v>
          </cell>
          <cell r="C967">
            <v>42715.735337696759</v>
          </cell>
        </row>
        <row r="968">
          <cell r="A968">
            <v>3034652436</v>
          </cell>
          <cell r="B968" t="str">
            <v>Completed Surveys</v>
          </cell>
          <cell r="C968">
            <v>42715.735337696759</v>
          </cell>
        </row>
        <row r="969">
          <cell r="A969">
            <v>3034805331</v>
          </cell>
          <cell r="B969" t="str">
            <v>Completed Surveys</v>
          </cell>
          <cell r="C969">
            <v>42715.735337696759</v>
          </cell>
        </row>
        <row r="970">
          <cell r="A970">
            <v>3034803274</v>
          </cell>
          <cell r="B970" t="str">
            <v>Completed Surveys</v>
          </cell>
          <cell r="C970">
            <v>42715.735337696759</v>
          </cell>
        </row>
        <row r="971">
          <cell r="A971">
            <v>3034768520</v>
          </cell>
          <cell r="B971" t="str">
            <v>Completed Surveys</v>
          </cell>
          <cell r="C971">
            <v>42715.735337696759</v>
          </cell>
        </row>
        <row r="972">
          <cell r="A972">
            <v>3034814586</v>
          </cell>
          <cell r="B972" t="str">
            <v>Completed Surveys</v>
          </cell>
          <cell r="C972">
            <v>42715.735337696759</v>
          </cell>
        </row>
        <row r="973">
          <cell r="A973">
            <v>3034598788</v>
          </cell>
          <cell r="B973" t="str">
            <v>Completed Surveys</v>
          </cell>
          <cell r="C973">
            <v>42715.735337696759</v>
          </cell>
        </row>
        <row r="974">
          <cell r="A974">
            <v>3034817145</v>
          </cell>
          <cell r="B974" t="str">
            <v>Completed Surveys</v>
          </cell>
          <cell r="C974">
            <v>42715.735337696759</v>
          </cell>
        </row>
        <row r="975">
          <cell r="A975">
            <v>3034706484</v>
          </cell>
          <cell r="B975" t="str">
            <v>Completed Surveys</v>
          </cell>
          <cell r="C975">
            <v>42715.735337696759</v>
          </cell>
        </row>
        <row r="976">
          <cell r="A976">
            <v>3034769434</v>
          </cell>
          <cell r="B976" t="str">
            <v>Completed Surveys</v>
          </cell>
          <cell r="C976">
            <v>42715.735337696759</v>
          </cell>
        </row>
        <row r="977">
          <cell r="A977">
            <v>3034664388</v>
          </cell>
          <cell r="B977" t="str">
            <v>Completed Surveys</v>
          </cell>
          <cell r="C977">
            <v>42715.735337696759</v>
          </cell>
        </row>
        <row r="978">
          <cell r="A978">
            <v>3034768076</v>
          </cell>
          <cell r="B978" t="str">
            <v>Completed Surveys</v>
          </cell>
          <cell r="C978">
            <v>42715.735337696759</v>
          </cell>
        </row>
        <row r="979">
          <cell r="A979">
            <v>3034814043</v>
          </cell>
          <cell r="B979" t="str">
            <v>Completed Surveys</v>
          </cell>
          <cell r="C979">
            <v>42715.735337696759</v>
          </cell>
        </row>
        <row r="980">
          <cell r="A980">
            <v>3034812423</v>
          </cell>
          <cell r="B980" t="str">
            <v>Completed Surveys</v>
          </cell>
          <cell r="C980">
            <v>42715.735337696759</v>
          </cell>
        </row>
        <row r="981">
          <cell r="A981">
            <v>3034806395</v>
          </cell>
          <cell r="B981" t="str">
            <v>Completed Surveys</v>
          </cell>
          <cell r="C981">
            <v>42715.735337696759</v>
          </cell>
        </row>
        <row r="982">
          <cell r="A982">
            <v>3034695968</v>
          </cell>
          <cell r="B982" t="str">
            <v>Completed Surveys</v>
          </cell>
          <cell r="C982">
            <v>42715.735337696759</v>
          </cell>
        </row>
        <row r="983">
          <cell r="A983">
            <v>3034779410</v>
          </cell>
          <cell r="B983" t="str">
            <v>Completed Surveys</v>
          </cell>
          <cell r="C983">
            <v>42715.735337696759</v>
          </cell>
        </row>
        <row r="984">
          <cell r="A984">
            <v>3034814549</v>
          </cell>
          <cell r="B984" t="str">
            <v>Completed Surveys</v>
          </cell>
          <cell r="C984">
            <v>42715.735337696759</v>
          </cell>
        </row>
        <row r="985">
          <cell r="A985">
            <v>3034801631</v>
          </cell>
          <cell r="B985" t="str">
            <v>Completed Surveys</v>
          </cell>
          <cell r="C985">
            <v>42715.735337696759</v>
          </cell>
        </row>
        <row r="986">
          <cell r="A986">
            <v>3034808461</v>
          </cell>
          <cell r="B986" t="str">
            <v>Completed Surveys</v>
          </cell>
          <cell r="C986">
            <v>42715.735337696759</v>
          </cell>
        </row>
        <row r="987">
          <cell r="A987">
            <v>3034811641</v>
          </cell>
          <cell r="B987" t="str">
            <v>Completed Surveys</v>
          </cell>
          <cell r="C987">
            <v>42715.735337696759</v>
          </cell>
        </row>
        <row r="988">
          <cell r="A988">
            <v>3034787511</v>
          </cell>
          <cell r="B988" t="str">
            <v>Completed Surveys</v>
          </cell>
          <cell r="C988">
            <v>42715.735337696759</v>
          </cell>
        </row>
        <row r="989">
          <cell r="A989">
            <v>3034801585</v>
          </cell>
          <cell r="B989" t="str">
            <v>Completed Surveys</v>
          </cell>
          <cell r="C989">
            <v>42715.735337696759</v>
          </cell>
        </row>
        <row r="990">
          <cell r="A990">
            <v>3034814394</v>
          </cell>
          <cell r="B990" t="str">
            <v>Completed Surveys</v>
          </cell>
          <cell r="C990">
            <v>42715.735337696759</v>
          </cell>
        </row>
        <row r="991">
          <cell r="A991">
            <v>3034809251</v>
          </cell>
          <cell r="B991" t="str">
            <v>Completed Surveys</v>
          </cell>
          <cell r="C991">
            <v>42715.735337696759</v>
          </cell>
        </row>
        <row r="992">
          <cell r="A992">
            <v>3034803175</v>
          </cell>
          <cell r="B992" t="str">
            <v>Completed Surveys</v>
          </cell>
          <cell r="C992">
            <v>42715.735337696759</v>
          </cell>
        </row>
        <row r="993">
          <cell r="A993">
            <v>3034811755</v>
          </cell>
          <cell r="B993" t="str">
            <v>Completed Surveys</v>
          </cell>
          <cell r="C993">
            <v>42715.735337696759</v>
          </cell>
        </row>
        <row r="994">
          <cell r="A994">
            <v>3034807674</v>
          </cell>
          <cell r="B994" t="str">
            <v>Completed Surveys</v>
          </cell>
          <cell r="C994">
            <v>42715.735337696759</v>
          </cell>
        </row>
        <row r="995">
          <cell r="A995">
            <v>3034815453</v>
          </cell>
          <cell r="B995" t="str">
            <v>Completed Surveys</v>
          </cell>
          <cell r="C995">
            <v>42715.735337696759</v>
          </cell>
        </row>
        <row r="996">
          <cell r="A996">
            <v>3034813390</v>
          </cell>
          <cell r="B996" t="str">
            <v>Completed Surveys</v>
          </cell>
          <cell r="C996">
            <v>42715.735337696759</v>
          </cell>
        </row>
        <row r="997">
          <cell r="A997">
            <v>3034814103</v>
          </cell>
          <cell r="B997" t="str">
            <v>Completed Surveys</v>
          </cell>
          <cell r="C997">
            <v>42715.735337696759</v>
          </cell>
        </row>
        <row r="998">
          <cell r="A998">
            <v>3034803264</v>
          </cell>
          <cell r="B998" t="str">
            <v>Completed Surveys</v>
          </cell>
          <cell r="C998">
            <v>42715.735337696759</v>
          </cell>
        </row>
        <row r="999">
          <cell r="A999">
            <v>3034565363</v>
          </cell>
          <cell r="B999" t="str">
            <v>Completed Surveys</v>
          </cell>
          <cell r="C999">
            <v>42707.737943900465</v>
          </cell>
        </row>
        <row r="1000">
          <cell r="A1000">
            <v>3034568527</v>
          </cell>
          <cell r="B1000" t="str">
            <v>Completed Surveys</v>
          </cell>
          <cell r="C1000">
            <v>42707.737943900465</v>
          </cell>
        </row>
        <row r="1001">
          <cell r="A1001">
            <v>3034556743</v>
          </cell>
          <cell r="B1001" t="str">
            <v>Completed Surveys</v>
          </cell>
          <cell r="C1001">
            <v>42707.737943900465</v>
          </cell>
        </row>
        <row r="1002">
          <cell r="A1002">
            <v>3034600123</v>
          </cell>
          <cell r="B1002" t="str">
            <v>Completed Surveys</v>
          </cell>
          <cell r="C1002">
            <v>42708.734946412034</v>
          </cell>
        </row>
        <row r="1003">
          <cell r="A1003">
            <v>3034590029</v>
          </cell>
          <cell r="B1003" t="str">
            <v>Completed Surveys</v>
          </cell>
          <cell r="C1003">
            <v>42708.734946412034</v>
          </cell>
        </row>
        <row r="1004">
          <cell r="A1004">
            <v>3034618336</v>
          </cell>
          <cell r="B1004" t="str">
            <v>Completed Surveys</v>
          </cell>
          <cell r="C1004">
            <v>42709.733173842593</v>
          </cell>
        </row>
        <row r="1005">
          <cell r="A1005">
            <v>3034609819</v>
          </cell>
          <cell r="B1005" t="str">
            <v>Completed Surveys</v>
          </cell>
          <cell r="C1005">
            <v>42711.737707719905</v>
          </cell>
        </row>
        <row r="1006">
          <cell r="A1006">
            <v>3034659487</v>
          </cell>
          <cell r="B1006" t="str">
            <v>Completed Surveys</v>
          </cell>
          <cell r="C1006">
            <v>42711.737707719905</v>
          </cell>
        </row>
        <row r="1007">
          <cell r="A1007">
            <v>3034654585</v>
          </cell>
          <cell r="B1007" t="str">
            <v>Completed Surveys</v>
          </cell>
          <cell r="C1007">
            <v>42711.737707719905</v>
          </cell>
        </row>
        <row r="1008">
          <cell r="A1008">
            <v>3034669870</v>
          </cell>
          <cell r="B1008" t="str">
            <v>Completed Surveys</v>
          </cell>
          <cell r="C1008">
            <v>42711.737707719905</v>
          </cell>
        </row>
        <row r="1009">
          <cell r="A1009">
            <v>3034669493</v>
          </cell>
          <cell r="B1009" t="str">
            <v>Completed Surveys</v>
          </cell>
          <cell r="C1009">
            <v>42711.737707719905</v>
          </cell>
        </row>
        <row r="1010">
          <cell r="A1010">
            <v>3034652226</v>
          </cell>
          <cell r="B1010" t="str">
            <v>Completed Surveys</v>
          </cell>
          <cell r="C1010">
            <v>42711.737707719905</v>
          </cell>
        </row>
        <row r="1011">
          <cell r="A1011">
            <v>3034598567</v>
          </cell>
          <cell r="B1011" t="str">
            <v>Completed Surveys</v>
          </cell>
          <cell r="C1011">
            <v>42711.737707719905</v>
          </cell>
        </row>
        <row r="1012">
          <cell r="A1012">
            <v>3034620072</v>
          </cell>
          <cell r="B1012" t="str">
            <v>Completed Surveys</v>
          </cell>
          <cell r="C1012">
            <v>42711.737707719905</v>
          </cell>
        </row>
        <row r="1013">
          <cell r="A1013">
            <v>3034667019</v>
          </cell>
          <cell r="B1013" t="str">
            <v>Completed Surveys</v>
          </cell>
          <cell r="C1013">
            <v>42711.737707719905</v>
          </cell>
        </row>
        <row r="1014">
          <cell r="A1014">
            <v>3034707156</v>
          </cell>
          <cell r="B1014" t="str">
            <v>Completed Surveys</v>
          </cell>
          <cell r="C1014">
            <v>42712.737711307869</v>
          </cell>
        </row>
        <row r="1015">
          <cell r="A1015">
            <v>3034656533</v>
          </cell>
          <cell r="B1015" t="str">
            <v>Completed Surveys</v>
          </cell>
          <cell r="C1015">
            <v>42712.737711307869</v>
          </cell>
        </row>
        <row r="1016">
          <cell r="A1016">
            <v>3034710470</v>
          </cell>
          <cell r="B1016" t="str">
            <v>Completed Surveys</v>
          </cell>
          <cell r="C1016">
            <v>42712.737711307869</v>
          </cell>
        </row>
        <row r="1017">
          <cell r="A1017">
            <v>3034693620</v>
          </cell>
          <cell r="B1017" t="str">
            <v>Completed Surveys</v>
          </cell>
          <cell r="C1017">
            <v>42712.737711307869</v>
          </cell>
        </row>
        <row r="1018">
          <cell r="A1018">
            <v>3034708567</v>
          </cell>
          <cell r="B1018" t="str">
            <v>Completed Surveys</v>
          </cell>
          <cell r="C1018">
            <v>42712.737711307869</v>
          </cell>
        </row>
        <row r="1019">
          <cell r="A1019">
            <v>3034567390</v>
          </cell>
          <cell r="B1019" t="str">
            <v>Completed Surveys</v>
          </cell>
          <cell r="C1019">
            <v>42712.737711307869</v>
          </cell>
        </row>
        <row r="1020">
          <cell r="A1020">
            <v>3034668778</v>
          </cell>
          <cell r="B1020" t="str">
            <v>Completed Surveys</v>
          </cell>
          <cell r="C1020">
            <v>42712.737711307869</v>
          </cell>
        </row>
        <row r="1021">
          <cell r="A1021">
            <v>3034571799</v>
          </cell>
          <cell r="B1021" t="str">
            <v>Completed Surveys</v>
          </cell>
          <cell r="C1021">
            <v>42712.737711307869</v>
          </cell>
        </row>
        <row r="1022">
          <cell r="A1022">
            <v>3034702927</v>
          </cell>
          <cell r="B1022" t="str">
            <v>Completed Surveys</v>
          </cell>
          <cell r="C1022">
            <v>42712.737711307869</v>
          </cell>
        </row>
        <row r="1023">
          <cell r="A1023">
            <v>3034705712</v>
          </cell>
          <cell r="B1023" t="str">
            <v>Completed Surveys</v>
          </cell>
          <cell r="C1023">
            <v>42712.737711307869</v>
          </cell>
        </row>
        <row r="1024">
          <cell r="A1024">
            <v>3034695626</v>
          </cell>
          <cell r="B1024" t="str">
            <v>Completed Surveys</v>
          </cell>
          <cell r="C1024">
            <v>42712.737711307869</v>
          </cell>
        </row>
        <row r="1025">
          <cell r="A1025">
            <v>3034338717</v>
          </cell>
          <cell r="B1025" t="str">
            <v>Completed Surveys</v>
          </cell>
          <cell r="C1025">
            <v>42712.737711307869</v>
          </cell>
        </row>
        <row r="1026">
          <cell r="A1026">
            <v>3034732519</v>
          </cell>
          <cell r="B1026" t="str">
            <v>Completed Surveys</v>
          </cell>
          <cell r="C1026">
            <v>42713.737185335645</v>
          </cell>
        </row>
        <row r="1027">
          <cell r="A1027">
            <v>3034750716</v>
          </cell>
          <cell r="B1027" t="str">
            <v>Completed Surveys</v>
          </cell>
          <cell r="C1027">
            <v>42713.737185335645</v>
          </cell>
        </row>
        <row r="1028">
          <cell r="A1028">
            <v>3034694066</v>
          </cell>
          <cell r="B1028" t="str">
            <v>Completed Surveys</v>
          </cell>
          <cell r="C1028">
            <v>42713.737185335645</v>
          </cell>
        </row>
        <row r="1029">
          <cell r="A1029">
            <v>3034734207</v>
          </cell>
          <cell r="B1029" t="str">
            <v>Completed Surveys</v>
          </cell>
          <cell r="C1029">
            <v>42713.737185335645</v>
          </cell>
        </row>
        <row r="1030">
          <cell r="A1030">
            <v>3034729400</v>
          </cell>
          <cell r="B1030" t="str">
            <v>Completed Surveys</v>
          </cell>
          <cell r="C1030">
            <v>42713.737185335645</v>
          </cell>
        </row>
        <row r="1031">
          <cell r="A1031">
            <v>3034737952</v>
          </cell>
          <cell r="B1031" t="str">
            <v>Completed Surveys</v>
          </cell>
          <cell r="C1031">
            <v>42713.737185335645</v>
          </cell>
        </row>
        <row r="1032">
          <cell r="A1032">
            <v>3034729385</v>
          </cell>
          <cell r="B1032" t="str">
            <v>Completed Surveys</v>
          </cell>
          <cell r="C1032">
            <v>42713.737185335645</v>
          </cell>
        </row>
        <row r="1033">
          <cell r="A1033">
            <v>3034732149</v>
          </cell>
          <cell r="B1033" t="str">
            <v>Completed Surveys</v>
          </cell>
          <cell r="C1033">
            <v>42713.737185335645</v>
          </cell>
        </row>
        <row r="1034">
          <cell r="A1034">
            <v>3034710428</v>
          </cell>
          <cell r="B1034" t="str">
            <v>Completed Surveys</v>
          </cell>
          <cell r="C1034">
            <v>42713.737185335645</v>
          </cell>
        </row>
        <row r="1035">
          <cell r="A1035">
            <v>3034738415</v>
          </cell>
          <cell r="B1035" t="str">
            <v>Completed Surveys</v>
          </cell>
          <cell r="C1035">
            <v>42713.737185335645</v>
          </cell>
        </row>
        <row r="1036">
          <cell r="A1036">
            <v>3034524012</v>
          </cell>
          <cell r="B1036" t="str">
            <v>Completed Surveys</v>
          </cell>
          <cell r="C1036">
            <v>42713.737185335645</v>
          </cell>
        </row>
        <row r="1037">
          <cell r="A1037">
            <v>3034652075</v>
          </cell>
          <cell r="B1037" t="str">
            <v>Completed Surveys</v>
          </cell>
          <cell r="C1037">
            <v>42713.737185335645</v>
          </cell>
        </row>
        <row r="1038">
          <cell r="A1038">
            <v>3034651965</v>
          </cell>
          <cell r="B1038" t="str">
            <v>Completed Surveys</v>
          </cell>
          <cell r="C1038">
            <v>42713.737185335645</v>
          </cell>
        </row>
        <row r="1039">
          <cell r="A1039">
            <v>3034569463</v>
          </cell>
          <cell r="B1039" t="str">
            <v>Completed Surveys</v>
          </cell>
          <cell r="C1039">
            <v>42713.737185335645</v>
          </cell>
        </row>
        <row r="1040">
          <cell r="A1040">
            <v>3034750462</v>
          </cell>
          <cell r="B1040" t="str">
            <v>Completed Surveys</v>
          </cell>
          <cell r="C1040">
            <v>42713.737185335645</v>
          </cell>
        </row>
        <row r="1041">
          <cell r="A1041">
            <v>3034732644</v>
          </cell>
          <cell r="B1041" t="str">
            <v>Completed Surveys</v>
          </cell>
          <cell r="C1041">
            <v>42713.737185335645</v>
          </cell>
        </row>
        <row r="1042">
          <cell r="A1042">
            <v>3034732259</v>
          </cell>
          <cell r="B1042" t="str">
            <v>Completed Surveys</v>
          </cell>
          <cell r="C1042">
            <v>42713.737185335645</v>
          </cell>
        </row>
        <row r="1043">
          <cell r="A1043">
            <v>3034731035</v>
          </cell>
          <cell r="B1043" t="str">
            <v>Completed Surveys</v>
          </cell>
          <cell r="C1043">
            <v>42713.737185335645</v>
          </cell>
        </row>
        <row r="1044">
          <cell r="A1044">
            <v>3034531047</v>
          </cell>
          <cell r="B1044" t="str">
            <v>Completed Surveys</v>
          </cell>
          <cell r="C1044">
            <v>42714.735909374998</v>
          </cell>
        </row>
        <row r="1045">
          <cell r="A1045">
            <v>3034775433</v>
          </cell>
          <cell r="B1045" t="str">
            <v>Completed Surveys</v>
          </cell>
          <cell r="C1045">
            <v>42714.735909374998</v>
          </cell>
        </row>
        <row r="1046">
          <cell r="A1046">
            <v>3034785999</v>
          </cell>
          <cell r="B1046" t="str">
            <v>Completed Surveys</v>
          </cell>
          <cell r="C1046">
            <v>42714.735909374998</v>
          </cell>
        </row>
        <row r="1047">
          <cell r="A1047">
            <v>3034666268</v>
          </cell>
          <cell r="B1047" t="str">
            <v>Completed Surveys</v>
          </cell>
          <cell r="C1047">
            <v>42714.735909374998</v>
          </cell>
        </row>
        <row r="1048">
          <cell r="A1048">
            <v>3034767794</v>
          </cell>
          <cell r="B1048" t="str">
            <v>Completed Surveys</v>
          </cell>
          <cell r="C1048">
            <v>42714.735909374998</v>
          </cell>
        </row>
        <row r="1049">
          <cell r="A1049">
            <v>3034768082</v>
          </cell>
          <cell r="B1049" t="str">
            <v>Completed Surveys</v>
          </cell>
          <cell r="C1049">
            <v>42714.735909374998</v>
          </cell>
        </row>
        <row r="1050">
          <cell r="A1050">
            <v>3034693850</v>
          </cell>
          <cell r="B1050" t="str">
            <v>Completed Surveys</v>
          </cell>
          <cell r="C1050">
            <v>42714.735909374998</v>
          </cell>
        </row>
        <row r="1051">
          <cell r="A1051">
            <v>3034713389</v>
          </cell>
          <cell r="B1051" t="str">
            <v>Completed Surveys</v>
          </cell>
          <cell r="C1051">
            <v>42714.735909374998</v>
          </cell>
        </row>
        <row r="1052">
          <cell r="A1052">
            <v>3034767220</v>
          </cell>
          <cell r="B1052" t="str">
            <v>Completed Surveys</v>
          </cell>
          <cell r="C1052">
            <v>42714.735909374998</v>
          </cell>
        </row>
        <row r="1053">
          <cell r="A1053">
            <v>3034767619</v>
          </cell>
          <cell r="B1053" t="str">
            <v>Completed Surveys</v>
          </cell>
          <cell r="C1053">
            <v>42714.735909374998</v>
          </cell>
        </row>
        <row r="1054">
          <cell r="A1054">
            <v>3034774991</v>
          </cell>
          <cell r="B1054" t="str">
            <v>Completed Surveys</v>
          </cell>
          <cell r="C1054">
            <v>42714.735909374998</v>
          </cell>
        </row>
        <row r="1055">
          <cell r="A1055">
            <v>3034743295</v>
          </cell>
          <cell r="B1055" t="str">
            <v>Completed Surveys</v>
          </cell>
          <cell r="C1055">
            <v>42714.735909374998</v>
          </cell>
        </row>
        <row r="1056">
          <cell r="A1056">
            <v>3034556622</v>
          </cell>
          <cell r="B1056" t="str">
            <v>Completed Surveys</v>
          </cell>
          <cell r="C1056">
            <v>42714.735909374998</v>
          </cell>
        </row>
        <row r="1057">
          <cell r="A1057">
            <v>3034784982</v>
          </cell>
          <cell r="B1057" t="str">
            <v>Completed Surveys</v>
          </cell>
          <cell r="C1057">
            <v>42714.735909374998</v>
          </cell>
        </row>
        <row r="1058">
          <cell r="A1058">
            <v>3034785034</v>
          </cell>
          <cell r="B1058" t="str">
            <v>Completed Surveys</v>
          </cell>
          <cell r="C1058">
            <v>42714.735909374998</v>
          </cell>
        </row>
        <row r="1059">
          <cell r="A1059">
            <v>3034781441</v>
          </cell>
          <cell r="B1059" t="str">
            <v>Completed Surveys</v>
          </cell>
          <cell r="C1059">
            <v>42714.735909374998</v>
          </cell>
        </row>
        <row r="1060">
          <cell r="A1060">
            <v>3034379040</v>
          </cell>
          <cell r="B1060" t="str">
            <v>Completed Surveys</v>
          </cell>
          <cell r="C1060">
            <v>42714.735909374998</v>
          </cell>
        </row>
        <row r="1061">
          <cell r="A1061">
            <v>3034767031</v>
          </cell>
          <cell r="B1061" t="str">
            <v>Completed Surveys</v>
          </cell>
          <cell r="C1061">
            <v>42714.735909374998</v>
          </cell>
        </row>
        <row r="1062">
          <cell r="A1062">
            <v>3034713362</v>
          </cell>
          <cell r="B1062" t="str">
            <v>Completed Surveys</v>
          </cell>
          <cell r="C1062">
            <v>42714.735909374998</v>
          </cell>
        </row>
        <row r="1063">
          <cell r="A1063">
            <v>3034768610</v>
          </cell>
          <cell r="B1063" t="str">
            <v>Completed Surveys</v>
          </cell>
          <cell r="C1063">
            <v>42714.735909374998</v>
          </cell>
        </row>
        <row r="1064">
          <cell r="A1064">
            <v>3034769817</v>
          </cell>
          <cell r="B1064" t="str">
            <v>Completed Surveys</v>
          </cell>
          <cell r="C1064">
            <v>42714.735909374998</v>
          </cell>
        </row>
        <row r="1065">
          <cell r="A1065">
            <v>3034770053</v>
          </cell>
          <cell r="B1065" t="str">
            <v>Completed Surveys</v>
          </cell>
          <cell r="C1065">
            <v>42714.735909374998</v>
          </cell>
        </row>
        <row r="1066">
          <cell r="A1066">
            <v>3034769111</v>
          </cell>
          <cell r="B1066" t="str">
            <v>Completed Surveys</v>
          </cell>
          <cell r="C1066">
            <v>42714.735909374998</v>
          </cell>
        </row>
        <row r="1067">
          <cell r="A1067">
            <v>3034767415</v>
          </cell>
          <cell r="B1067" t="str">
            <v>Completed Surveys</v>
          </cell>
          <cell r="C1067">
            <v>42714.735909374998</v>
          </cell>
        </row>
        <row r="1068">
          <cell r="A1068">
            <v>3034650963</v>
          </cell>
          <cell r="B1068" t="str">
            <v>Completed Surveys</v>
          </cell>
          <cell r="C1068">
            <v>42714.735909374998</v>
          </cell>
        </row>
        <row r="1069">
          <cell r="A1069">
            <v>3034601898</v>
          </cell>
          <cell r="B1069" t="str">
            <v>Completed Surveys</v>
          </cell>
          <cell r="C1069">
            <v>42714.735909374998</v>
          </cell>
        </row>
        <row r="1070">
          <cell r="A1070">
            <v>3034739122</v>
          </cell>
          <cell r="B1070" t="str">
            <v>Completed Surveys</v>
          </cell>
          <cell r="C1070">
            <v>42714.735909374998</v>
          </cell>
        </row>
        <row r="1071">
          <cell r="A1071">
            <v>3034769847</v>
          </cell>
          <cell r="B1071" t="str">
            <v>Completed Surveys</v>
          </cell>
          <cell r="C1071">
            <v>42714.735909374998</v>
          </cell>
        </row>
        <row r="1072">
          <cell r="A1072">
            <v>3034537687</v>
          </cell>
          <cell r="B1072" t="str">
            <v>Completed Surveys</v>
          </cell>
          <cell r="C1072">
            <v>42714.735909374998</v>
          </cell>
        </row>
        <row r="1073">
          <cell r="A1073">
            <v>3034749378</v>
          </cell>
          <cell r="B1073" t="str">
            <v>Completed Surveys</v>
          </cell>
          <cell r="C1073">
            <v>42714.735909374998</v>
          </cell>
        </row>
        <row r="1074">
          <cell r="A1074">
            <v>3034696532</v>
          </cell>
          <cell r="B1074" t="str">
            <v>Completed Surveys</v>
          </cell>
          <cell r="C1074">
            <v>42714.735909374998</v>
          </cell>
        </row>
        <row r="1075">
          <cell r="A1075">
            <v>3034803938</v>
          </cell>
          <cell r="B1075" t="str">
            <v>No Email Address</v>
          </cell>
          <cell r="C1075">
            <v>42715.735337696759</v>
          </cell>
        </row>
        <row r="1076">
          <cell r="A1076">
            <v>3034903954</v>
          </cell>
          <cell r="B1076" t="str">
            <v>No Email Address</v>
          </cell>
          <cell r="C1076">
            <v>42720.7400221875</v>
          </cell>
        </row>
        <row r="1077">
          <cell r="A1077">
            <v>3034901034</v>
          </cell>
          <cell r="B1077" t="str">
            <v>No Email Address</v>
          </cell>
          <cell r="C1077">
            <v>42720.7400221875</v>
          </cell>
        </row>
        <row r="1078">
          <cell r="A1078">
            <v>3034902349</v>
          </cell>
          <cell r="B1078" t="str">
            <v>No Email Address</v>
          </cell>
          <cell r="C1078">
            <v>42720.740082870368</v>
          </cell>
        </row>
        <row r="1079">
          <cell r="A1079">
            <v>3035014616</v>
          </cell>
          <cell r="B1079" t="str">
            <v>No Email Address</v>
          </cell>
          <cell r="C1079">
            <v>42722.734715543978</v>
          </cell>
        </row>
        <row r="1080">
          <cell r="A1080">
            <v>3035017825</v>
          </cell>
          <cell r="B1080" t="str">
            <v>No Email Address</v>
          </cell>
          <cell r="C1080">
            <v>42722.734715543978</v>
          </cell>
        </row>
        <row r="1081">
          <cell r="A1081">
            <v>3035133653</v>
          </cell>
          <cell r="B1081" t="str">
            <v>No Email Address</v>
          </cell>
          <cell r="C1081">
            <v>42727.734588043983</v>
          </cell>
        </row>
        <row r="1082">
          <cell r="A1082">
            <v>3035231771</v>
          </cell>
          <cell r="B1082" t="str">
            <v>No Email Address</v>
          </cell>
          <cell r="C1082">
            <v>42732.736728124997</v>
          </cell>
        </row>
        <row r="1083">
          <cell r="A1083">
            <v>3035231219</v>
          </cell>
          <cell r="B1083" t="str">
            <v>No Email Address</v>
          </cell>
          <cell r="C1083">
            <v>42733.736311956018</v>
          </cell>
        </row>
        <row r="1084">
          <cell r="A1084">
            <v>3035295175</v>
          </cell>
          <cell r="B1084" t="str">
            <v>No Email Address</v>
          </cell>
          <cell r="C1084">
            <v>42734.736929016202</v>
          </cell>
        </row>
        <row r="1085">
          <cell r="A1085">
            <v>3035298102</v>
          </cell>
          <cell r="B1085" t="str">
            <v>No Email Address</v>
          </cell>
          <cell r="C1085">
            <v>42734.736929016202</v>
          </cell>
        </row>
        <row r="1086">
          <cell r="A1086">
            <v>3035476159</v>
          </cell>
          <cell r="B1086" t="str">
            <v>No Email Address</v>
          </cell>
          <cell r="C1086">
            <v>42742.73709116898</v>
          </cell>
        </row>
        <row r="1087">
          <cell r="A1087">
            <v>3035547148</v>
          </cell>
          <cell r="B1087" t="str">
            <v>No Email Address</v>
          </cell>
          <cell r="C1087">
            <v>42743.735176273149</v>
          </cell>
        </row>
        <row r="1088">
          <cell r="A1088">
            <v>3035677220</v>
          </cell>
          <cell r="B1088" t="str">
            <v>No Email Address</v>
          </cell>
          <cell r="C1088">
            <v>42748.738471724537</v>
          </cell>
        </row>
        <row r="1089">
          <cell r="A1089">
            <v>3035718040</v>
          </cell>
          <cell r="B1089" t="str">
            <v>No Email Address</v>
          </cell>
          <cell r="C1089">
            <v>42750.735881944442</v>
          </cell>
        </row>
        <row r="1090">
          <cell r="A1090">
            <v>3035779266</v>
          </cell>
          <cell r="B1090" t="str">
            <v>No Email Address</v>
          </cell>
          <cell r="C1090">
            <v>42753.738214849538</v>
          </cell>
        </row>
        <row r="1091">
          <cell r="A1091">
            <v>3035713716</v>
          </cell>
          <cell r="B1091" t="str">
            <v>No Email Address</v>
          </cell>
          <cell r="C1091">
            <v>42754.737961145831</v>
          </cell>
        </row>
        <row r="1092">
          <cell r="A1092">
            <v>3035808973</v>
          </cell>
          <cell r="B1092" t="str">
            <v>Not Responded</v>
          </cell>
          <cell r="C1092">
            <v>42754.737961145831</v>
          </cell>
        </row>
        <row r="1093">
          <cell r="A1093">
            <v>3035829893</v>
          </cell>
          <cell r="B1093" t="str">
            <v>Not Responded</v>
          </cell>
          <cell r="C1093">
            <v>42754.737961145831</v>
          </cell>
        </row>
        <row r="1094">
          <cell r="A1094">
            <v>3035854721</v>
          </cell>
          <cell r="B1094" t="str">
            <v>Not Responded</v>
          </cell>
          <cell r="C1094">
            <v>42754.737961145831</v>
          </cell>
        </row>
        <row r="1095">
          <cell r="A1095">
            <v>3035521774</v>
          </cell>
          <cell r="B1095" t="str">
            <v>Not Responded</v>
          </cell>
          <cell r="C1095">
            <v>42754.737961145831</v>
          </cell>
        </row>
        <row r="1096">
          <cell r="A1096">
            <v>3035850121</v>
          </cell>
          <cell r="B1096" t="str">
            <v>Not Responded</v>
          </cell>
          <cell r="C1096">
            <v>42754.737961145831</v>
          </cell>
        </row>
        <row r="1097">
          <cell r="A1097">
            <v>3035750397</v>
          </cell>
          <cell r="B1097" t="str">
            <v>Not Responded</v>
          </cell>
          <cell r="C1097">
            <v>42753.738235613426</v>
          </cell>
        </row>
        <row r="1098">
          <cell r="A1098">
            <v>3035819111</v>
          </cell>
          <cell r="B1098" t="str">
            <v>Not Responded</v>
          </cell>
          <cell r="C1098">
            <v>42753.738214849538</v>
          </cell>
        </row>
        <row r="1099">
          <cell r="A1099">
            <v>3035732519</v>
          </cell>
          <cell r="B1099" t="str">
            <v>Not Responded</v>
          </cell>
          <cell r="C1099">
            <v>42753.738214849538</v>
          </cell>
        </row>
        <row r="1100">
          <cell r="A1100">
            <v>3035808178</v>
          </cell>
          <cell r="B1100" t="str">
            <v>Not Responded</v>
          </cell>
          <cell r="C1100">
            <v>42753.738214849538</v>
          </cell>
        </row>
        <row r="1101">
          <cell r="A1101">
            <v>3035511381</v>
          </cell>
          <cell r="B1101" t="str">
            <v>Not Responded</v>
          </cell>
          <cell r="C1101">
            <v>42753.738235613426</v>
          </cell>
        </row>
        <row r="1102">
          <cell r="A1102">
            <v>3034972669</v>
          </cell>
          <cell r="B1102" t="str">
            <v>Not Responded</v>
          </cell>
          <cell r="C1102">
            <v>42753.738235613426</v>
          </cell>
        </row>
        <row r="1103">
          <cell r="A1103">
            <v>3035508636</v>
          </cell>
          <cell r="B1103" t="str">
            <v>Not Responded</v>
          </cell>
          <cell r="C1103">
            <v>42753.738235613426</v>
          </cell>
        </row>
        <row r="1104">
          <cell r="A1104">
            <v>3035825558</v>
          </cell>
          <cell r="B1104" t="str">
            <v>Not Responded</v>
          </cell>
          <cell r="C1104">
            <v>42753.738214849538</v>
          </cell>
        </row>
        <row r="1105">
          <cell r="A1105">
            <v>3035820345</v>
          </cell>
          <cell r="B1105" t="str">
            <v>Not Responded</v>
          </cell>
          <cell r="C1105">
            <v>42753.738214849538</v>
          </cell>
        </row>
        <row r="1106">
          <cell r="A1106">
            <v>3035641285</v>
          </cell>
          <cell r="B1106" t="str">
            <v>Not Responded</v>
          </cell>
          <cell r="C1106">
            <v>42753.738214849538</v>
          </cell>
        </row>
        <row r="1107">
          <cell r="A1107">
            <v>3035644842</v>
          </cell>
          <cell r="B1107" t="str">
            <v>Not Responded</v>
          </cell>
          <cell r="C1107">
            <v>42753.738214849538</v>
          </cell>
        </row>
        <row r="1108">
          <cell r="A1108">
            <v>3035748771</v>
          </cell>
          <cell r="B1108" t="str">
            <v>Not Responded</v>
          </cell>
          <cell r="C1108">
            <v>42753.738214849538</v>
          </cell>
        </row>
        <row r="1109">
          <cell r="A1109">
            <v>3035437607</v>
          </cell>
          <cell r="B1109" t="str">
            <v>Not Responded</v>
          </cell>
          <cell r="C1109">
            <v>42753.738214849538</v>
          </cell>
        </row>
        <row r="1110">
          <cell r="A1110">
            <v>3035778476</v>
          </cell>
          <cell r="B1110" t="str">
            <v>Not Responded</v>
          </cell>
          <cell r="C1110">
            <v>42753.738214849538</v>
          </cell>
        </row>
        <row r="1111">
          <cell r="A1111">
            <v>3035824337</v>
          </cell>
          <cell r="B1111" t="str">
            <v>Not Responded</v>
          </cell>
          <cell r="C1111">
            <v>42753.738214849538</v>
          </cell>
        </row>
        <row r="1112">
          <cell r="A1112">
            <v>3035616849</v>
          </cell>
          <cell r="B1112" t="str">
            <v>Not Responded</v>
          </cell>
          <cell r="C1112">
            <v>42753.738214849538</v>
          </cell>
        </row>
        <row r="1113">
          <cell r="A1113">
            <v>3035809024</v>
          </cell>
          <cell r="B1113" t="str">
            <v>Not Responded</v>
          </cell>
          <cell r="C1113">
            <v>42753.738214849538</v>
          </cell>
        </row>
        <row r="1114">
          <cell r="A1114">
            <v>3035448033</v>
          </cell>
          <cell r="B1114" t="str">
            <v>Not Responded</v>
          </cell>
          <cell r="C1114">
            <v>42753.738214849538</v>
          </cell>
        </row>
        <row r="1115">
          <cell r="A1115">
            <v>3035806307</v>
          </cell>
          <cell r="B1115" t="str">
            <v>Not Responded</v>
          </cell>
          <cell r="C1115">
            <v>42753.738214849538</v>
          </cell>
        </row>
        <row r="1116">
          <cell r="A1116">
            <v>3035645094</v>
          </cell>
          <cell r="B1116" t="str">
            <v>Not Responded</v>
          </cell>
          <cell r="C1116">
            <v>42753.738214849538</v>
          </cell>
        </row>
        <row r="1117">
          <cell r="A1117">
            <v>3035780075</v>
          </cell>
          <cell r="B1117" t="str">
            <v>Not Responded</v>
          </cell>
          <cell r="C1117">
            <v>42753.738214849538</v>
          </cell>
        </row>
        <row r="1118">
          <cell r="A1118">
            <v>3035659866</v>
          </cell>
          <cell r="B1118" t="str">
            <v>Not Responded</v>
          </cell>
          <cell r="C1118">
            <v>42753.738214849538</v>
          </cell>
        </row>
        <row r="1119">
          <cell r="A1119">
            <v>3035679569</v>
          </cell>
          <cell r="B1119" t="str">
            <v>Not Responded</v>
          </cell>
          <cell r="C1119">
            <v>42753.738214849538</v>
          </cell>
        </row>
        <row r="1120">
          <cell r="A1120">
            <v>3035818108</v>
          </cell>
          <cell r="B1120" t="str">
            <v>Not Responded</v>
          </cell>
          <cell r="C1120">
            <v>42753.738214849538</v>
          </cell>
        </row>
        <row r="1121">
          <cell r="A1121">
            <v>3035812159</v>
          </cell>
          <cell r="B1121" t="str">
            <v>Not Responded</v>
          </cell>
          <cell r="C1121">
            <v>42753.738214849538</v>
          </cell>
        </row>
        <row r="1122">
          <cell r="A1122">
            <v>3035810567</v>
          </cell>
          <cell r="B1122" t="str">
            <v>Not Responded</v>
          </cell>
          <cell r="C1122">
            <v>42753.738214849538</v>
          </cell>
        </row>
        <row r="1123">
          <cell r="A1123">
            <v>3035782665</v>
          </cell>
          <cell r="B1123" t="str">
            <v>Not Responded</v>
          </cell>
          <cell r="C1123">
            <v>42753.738214849538</v>
          </cell>
        </row>
        <row r="1124">
          <cell r="A1124">
            <v>3035823114</v>
          </cell>
          <cell r="B1124" t="str">
            <v>Not Responded</v>
          </cell>
          <cell r="C1124">
            <v>42753.738214849538</v>
          </cell>
        </row>
        <row r="1125">
          <cell r="A1125">
            <v>3035642876</v>
          </cell>
          <cell r="B1125" t="str">
            <v>Not Responded</v>
          </cell>
          <cell r="C1125">
            <v>42753.738214849538</v>
          </cell>
        </row>
        <row r="1126">
          <cell r="A1126">
            <v>3035818744</v>
          </cell>
          <cell r="B1126" t="str">
            <v>Not Responded</v>
          </cell>
          <cell r="C1126">
            <v>42753.738214849538</v>
          </cell>
        </row>
        <row r="1127">
          <cell r="A1127">
            <v>3035433628</v>
          </cell>
          <cell r="B1127" t="str">
            <v>Not Responded</v>
          </cell>
          <cell r="C1127">
            <v>42753.738214849538</v>
          </cell>
        </row>
        <row r="1128">
          <cell r="A1128">
            <v>3035435067</v>
          </cell>
          <cell r="B1128" t="str">
            <v>Not Responded</v>
          </cell>
          <cell r="C1128">
            <v>42753.738214849538</v>
          </cell>
        </row>
        <row r="1129">
          <cell r="A1129">
            <v>3035809841</v>
          </cell>
          <cell r="B1129" t="str">
            <v>Not Responded</v>
          </cell>
          <cell r="C1129">
            <v>42753.738214849538</v>
          </cell>
        </row>
        <row r="1130">
          <cell r="A1130">
            <v>3035809720</v>
          </cell>
          <cell r="B1130" t="str">
            <v>Not Responded</v>
          </cell>
          <cell r="C1130">
            <v>42753.738214849538</v>
          </cell>
        </row>
        <row r="1131">
          <cell r="A1131">
            <v>3035831428</v>
          </cell>
          <cell r="B1131" t="str">
            <v>Not Responded</v>
          </cell>
          <cell r="C1131">
            <v>42753.738214849538</v>
          </cell>
        </row>
        <row r="1132">
          <cell r="A1132">
            <v>3035807482</v>
          </cell>
          <cell r="B1132" t="str">
            <v>Not Responded</v>
          </cell>
          <cell r="C1132">
            <v>42753.738214849538</v>
          </cell>
        </row>
        <row r="1133">
          <cell r="A1133">
            <v>3035723204</v>
          </cell>
          <cell r="B1133" t="str">
            <v>Not Responded</v>
          </cell>
          <cell r="C1133">
            <v>42753.738214849538</v>
          </cell>
        </row>
        <row r="1134">
          <cell r="A1134">
            <v>3035816825</v>
          </cell>
          <cell r="B1134" t="str">
            <v>Not Responded</v>
          </cell>
          <cell r="C1134">
            <v>42753.738214849538</v>
          </cell>
        </row>
        <row r="1135">
          <cell r="A1135">
            <v>3035822764</v>
          </cell>
          <cell r="B1135" t="str">
            <v>Not Responded</v>
          </cell>
          <cell r="C1135">
            <v>42753.738214849538</v>
          </cell>
        </row>
        <row r="1136">
          <cell r="A1136">
            <v>3035815111</v>
          </cell>
          <cell r="B1136" t="str">
            <v>Not Responded</v>
          </cell>
          <cell r="C1136">
            <v>42753.738214849538</v>
          </cell>
        </row>
        <row r="1137">
          <cell r="A1137">
            <v>3035805942</v>
          </cell>
          <cell r="B1137" t="str">
            <v>Not Responded</v>
          </cell>
          <cell r="C1137">
            <v>42753.738214849538</v>
          </cell>
        </row>
        <row r="1138">
          <cell r="A1138">
            <v>3035808686</v>
          </cell>
          <cell r="B1138" t="str">
            <v>Not Responded</v>
          </cell>
          <cell r="C1138">
            <v>42753.738214849538</v>
          </cell>
        </row>
        <row r="1139">
          <cell r="A1139">
            <v>3035813080</v>
          </cell>
          <cell r="B1139" t="str">
            <v>Not Responded</v>
          </cell>
          <cell r="C1139">
            <v>42753.738214849538</v>
          </cell>
        </row>
        <row r="1140">
          <cell r="A1140">
            <v>3035807299</v>
          </cell>
          <cell r="B1140" t="str">
            <v>Not Responded</v>
          </cell>
          <cell r="C1140">
            <v>42753.738214849538</v>
          </cell>
        </row>
        <row r="1141">
          <cell r="A1141">
            <v>3035749481</v>
          </cell>
          <cell r="B1141" t="str">
            <v>Not Responded</v>
          </cell>
          <cell r="C1141">
            <v>42750.735881944442</v>
          </cell>
        </row>
        <row r="1142">
          <cell r="A1142">
            <v>3035747835</v>
          </cell>
          <cell r="B1142" t="str">
            <v>Not Responded</v>
          </cell>
          <cell r="C1142">
            <v>42750.735881944442</v>
          </cell>
        </row>
        <row r="1143">
          <cell r="A1143">
            <v>3035749495</v>
          </cell>
          <cell r="B1143" t="str">
            <v>Not Responded</v>
          </cell>
          <cell r="C1143">
            <v>42750.735881944442</v>
          </cell>
        </row>
        <row r="1144">
          <cell r="A1144">
            <v>3035747753</v>
          </cell>
          <cell r="B1144" t="str">
            <v>Not Responded</v>
          </cell>
          <cell r="C1144">
            <v>42750.735881944442</v>
          </cell>
        </row>
        <row r="1145">
          <cell r="A1145">
            <v>3035718800</v>
          </cell>
          <cell r="B1145" t="str">
            <v>Not Responded</v>
          </cell>
          <cell r="C1145">
            <v>42750.735881944442</v>
          </cell>
        </row>
        <row r="1146">
          <cell r="A1146">
            <v>3035746538</v>
          </cell>
          <cell r="B1146" t="str">
            <v>Not Responded</v>
          </cell>
          <cell r="C1146">
            <v>42750.735881944442</v>
          </cell>
        </row>
        <row r="1147">
          <cell r="A1147">
            <v>3035773155</v>
          </cell>
          <cell r="B1147" t="str">
            <v>Not Responded</v>
          </cell>
          <cell r="C1147">
            <v>42751.734828043984</v>
          </cell>
        </row>
        <row r="1148">
          <cell r="A1148">
            <v>3035777176</v>
          </cell>
          <cell r="B1148" t="str">
            <v>Not Responded</v>
          </cell>
          <cell r="C1148">
            <v>42751.734828043984</v>
          </cell>
        </row>
        <row r="1149">
          <cell r="A1149">
            <v>3035773259</v>
          </cell>
          <cell r="B1149" t="str">
            <v>Not Responded</v>
          </cell>
          <cell r="C1149">
            <v>42751.734828043984</v>
          </cell>
        </row>
        <row r="1150">
          <cell r="A1150">
            <v>3035777776</v>
          </cell>
          <cell r="B1150" t="str">
            <v>Not Responded</v>
          </cell>
          <cell r="C1150">
            <v>42751.734828043984</v>
          </cell>
        </row>
        <row r="1151">
          <cell r="A1151">
            <v>3035779143</v>
          </cell>
          <cell r="B1151" t="str">
            <v>Not Responded</v>
          </cell>
          <cell r="C1151">
            <v>42751.734828043984</v>
          </cell>
        </row>
        <row r="1152">
          <cell r="A1152">
            <v>3035779897</v>
          </cell>
          <cell r="B1152" t="str">
            <v>Not Responded</v>
          </cell>
          <cell r="C1152">
            <v>42751.734828043984</v>
          </cell>
        </row>
        <row r="1153">
          <cell r="A1153">
            <v>3035363245</v>
          </cell>
          <cell r="B1153" t="str">
            <v>Not Responded</v>
          </cell>
          <cell r="C1153">
            <v>42750.735900613428</v>
          </cell>
        </row>
        <row r="1154">
          <cell r="A1154">
            <v>3035757528</v>
          </cell>
          <cell r="B1154" t="str">
            <v>Not Responded</v>
          </cell>
          <cell r="C1154">
            <v>42750.735900613428</v>
          </cell>
        </row>
        <row r="1155">
          <cell r="A1155">
            <v>3035774222</v>
          </cell>
          <cell r="B1155" t="str">
            <v>Not Responded</v>
          </cell>
          <cell r="C1155">
            <v>42751.734828043984</v>
          </cell>
        </row>
        <row r="1156">
          <cell r="A1156">
            <v>3035752919</v>
          </cell>
          <cell r="B1156" t="str">
            <v>Not Responded</v>
          </cell>
          <cell r="C1156">
            <v>42750.735881944442</v>
          </cell>
        </row>
        <row r="1157">
          <cell r="A1157">
            <v>3035686664</v>
          </cell>
          <cell r="B1157" t="str">
            <v>Not Responded</v>
          </cell>
          <cell r="C1157">
            <v>42750.735881944442</v>
          </cell>
        </row>
        <row r="1158">
          <cell r="A1158">
            <v>3035751658</v>
          </cell>
          <cell r="B1158" t="str">
            <v>Not Responded</v>
          </cell>
          <cell r="C1158">
            <v>42750.735881944442</v>
          </cell>
        </row>
        <row r="1159">
          <cell r="A1159">
            <v>3035778556</v>
          </cell>
          <cell r="B1159" t="str">
            <v>Not Responded</v>
          </cell>
          <cell r="C1159">
            <v>42751.734828043984</v>
          </cell>
        </row>
        <row r="1160">
          <cell r="A1160">
            <v>3035773260</v>
          </cell>
          <cell r="B1160" t="str">
            <v>Not Responded</v>
          </cell>
          <cell r="C1160">
            <v>42751.734828043984</v>
          </cell>
        </row>
        <row r="1161">
          <cell r="A1161">
            <v>3035775375</v>
          </cell>
          <cell r="B1161" t="str">
            <v>Not Responded</v>
          </cell>
          <cell r="C1161">
            <v>42751.734828043984</v>
          </cell>
        </row>
        <row r="1162">
          <cell r="A1162">
            <v>3035774739</v>
          </cell>
          <cell r="B1162" t="str">
            <v>Not Responded</v>
          </cell>
          <cell r="C1162">
            <v>42751.734828043984</v>
          </cell>
        </row>
        <row r="1163">
          <cell r="A1163">
            <v>3035778369</v>
          </cell>
          <cell r="B1163" t="str">
            <v>Not Responded</v>
          </cell>
          <cell r="C1163">
            <v>42751.734828043984</v>
          </cell>
        </row>
        <row r="1164">
          <cell r="A1164">
            <v>3035649248</v>
          </cell>
          <cell r="B1164" t="str">
            <v>Not Responded</v>
          </cell>
          <cell r="C1164">
            <v>42753.738214849538</v>
          </cell>
        </row>
        <row r="1165">
          <cell r="A1165">
            <v>3035413008</v>
          </cell>
          <cell r="B1165" t="str">
            <v>Not Responded</v>
          </cell>
          <cell r="C1165">
            <v>42752.736192164353</v>
          </cell>
        </row>
        <row r="1166">
          <cell r="A1166">
            <v>3035434804</v>
          </cell>
          <cell r="B1166" t="str">
            <v>Not Responded</v>
          </cell>
          <cell r="C1166">
            <v>42753.738214849538</v>
          </cell>
        </row>
        <row r="1167">
          <cell r="A1167">
            <v>3035807080</v>
          </cell>
          <cell r="B1167" t="str">
            <v>Not Responded</v>
          </cell>
          <cell r="C1167">
            <v>42753.738214849538</v>
          </cell>
        </row>
        <row r="1168">
          <cell r="A1168">
            <v>3035434807</v>
          </cell>
          <cell r="B1168" t="str">
            <v>Not Responded</v>
          </cell>
          <cell r="C1168">
            <v>42753.738214849538</v>
          </cell>
        </row>
        <row r="1169">
          <cell r="A1169">
            <v>3035808709</v>
          </cell>
          <cell r="B1169" t="str">
            <v>Not Responded</v>
          </cell>
          <cell r="C1169">
            <v>42753.738214849538</v>
          </cell>
        </row>
        <row r="1170">
          <cell r="A1170">
            <v>3035812591</v>
          </cell>
          <cell r="B1170" t="str">
            <v>Not Responded</v>
          </cell>
          <cell r="C1170">
            <v>42753.738214849538</v>
          </cell>
        </row>
        <row r="1171">
          <cell r="A1171">
            <v>3035820121</v>
          </cell>
          <cell r="B1171" t="str">
            <v>Not Responded</v>
          </cell>
          <cell r="C1171">
            <v>42753.738214849538</v>
          </cell>
        </row>
        <row r="1172">
          <cell r="A1172">
            <v>3035750621</v>
          </cell>
          <cell r="B1172" t="str">
            <v>Not Responded</v>
          </cell>
          <cell r="C1172">
            <v>42753.738214849538</v>
          </cell>
        </row>
        <row r="1173">
          <cell r="A1173">
            <v>3035766748</v>
          </cell>
          <cell r="B1173" t="str">
            <v>Not Responded</v>
          </cell>
          <cell r="C1173">
            <v>42753.738214849538</v>
          </cell>
        </row>
        <row r="1174">
          <cell r="A1174">
            <v>3035809299</v>
          </cell>
          <cell r="B1174" t="str">
            <v>Not Responded</v>
          </cell>
          <cell r="C1174">
            <v>42753.738214849538</v>
          </cell>
        </row>
        <row r="1175">
          <cell r="A1175">
            <v>3035825720</v>
          </cell>
          <cell r="B1175" t="str">
            <v>Not Responded</v>
          </cell>
          <cell r="C1175">
            <v>42753.738214849538</v>
          </cell>
        </row>
        <row r="1176">
          <cell r="A1176">
            <v>3035429111</v>
          </cell>
          <cell r="B1176" t="str">
            <v>Not Responded</v>
          </cell>
          <cell r="C1176">
            <v>42753.738214849538</v>
          </cell>
        </row>
        <row r="1177">
          <cell r="A1177">
            <v>3035808381</v>
          </cell>
          <cell r="B1177" t="str">
            <v>Not Responded</v>
          </cell>
          <cell r="C1177">
            <v>42753.738214849538</v>
          </cell>
        </row>
        <row r="1178">
          <cell r="A1178">
            <v>3035442449</v>
          </cell>
          <cell r="B1178" t="str">
            <v>Not Responded</v>
          </cell>
          <cell r="C1178">
            <v>42753.738214849538</v>
          </cell>
        </row>
        <row r="1179">
          <cell r="A1179">
            <v>3035818168</v>
          </cell>
          <cell r="B1179" t="str">
            <v>Not Responded</v>
          </cell>
          <cell r="C1179">
            <v>42753.738214849538</v>
          </cell>
        </row>
        <row r="1180">
          <cell r="A1180">
            <v>3035826542</v>
          </cell>
          <cell r="B1180" t="str">
            <v>Not Responded</v>
          </cell>
          <cell r="C1180">
            <v>42753.738214849538</v>
          </cell>
        </row>
        <row r="1181">
          <cell r="A1181">
            <v>3035823144</v>
          </cell>
          <cell r="B1181" t="str">
            <v>Not Responded</v>
          </cell>
          <cell r="C1181">
            <v>42754.737961145831</v>
          </cell>
        </row>
        <row r="1182">
          <cell r="A1182">
            <v>3035509933</v>
          </cell>
          <cell r="B1182" t="str">
            <v>Not Responded</v>
          </cell>
          <cell r="C1182">
            <v>42754.737988923611</v>
          </cell>
        </row>
        <row r="1183">
          <cell r="A1183">
            <v>3035603702</v>
          </cell>
          <cell r="B1183" t="str">
            <v>Not Responded</v>
          </cell>
          <cell r="C1183">
            <v>42754.737988923611</v>
          </cell>
        </row>
        <row r="1184">
          <cell r="A1184">
            <v>3035627708</v>
          </cell>
          <cell r="B1184" t="str">
            <v>Not Responded</v>
          </cell>
          <cell r="C1184">
            <v>42754.737961145831</v>
          </cell>
        </row>
        <row r="1185">
          <cell r="A1185">
            <v>3035846729</v>
          </cell>
          <cell r="B1185" t="str">
            <v>Not Responded</v>
          </cell>
          <cell r="C1185">
            <v>42754.737961145831</v>
          </cell>
        </row>
        <row r="1186">
          <cell r="A1186">
            <v>3035756937</v>
          </cell>
          <cell r="B1186" t="str">
            <v>Not Responded</v>
          </cell>
          <cell r="C1186">
            <v>42754.737961145831</v>
          </cell>
        </row>
        <row r="1187">
          <cell r="A1187">
            <v>3035750371</v>
          </cell>
          <cell r="B1187" t="str">
            <v>Not Responded</v>
          </cell>
          <cell r="C1187">
            <v>42754.737961145831</v>
          </cell>
        </row>
        <row r="1188">
          <cell r="A1188">
            <v>3035813220</v>
          </cell>
          <cell r="B1188" t="str">
            <v>Not Responded</v>
          </cell>
          <cell r="C1188">
            <v>42754.737961145831</v>
          </cell>
        </row>
        <row r="1189">
          <cell r="A1189">
            <v>3035812487</v>
          </cell>
          <cell r="B1189" t="str">
            <v>Not Responded</v>
          </cell>
          <cell r="C1189">
            <v>42754.737961145831</v>
          </cell>
        </row>
        <row r="1190">
          <cell r="A1190">
            <v>3035659620</v>
          </cell>
          <cell r="B1190" t="str">
            <v>Not Responded</v>
          </cell>
          <cell r="C1190">
            <v>42754.737961145831</v>
          </cell>
        </row>
        <row r="1191">
          <cell r="A1191">
            <v>3035758274</v>
          </cell>
          <cell r="B1191" t="str">
            <v>Not Responded</v>
          </cell>
          <cell r="C1191">
            <v>42754.737961145831</v>
          </cell>
        </row>
        <row r="1192">
          <cell r="A1192">
            <v>3035809486</v>
          </cell>
          <cell r="B1192" t="str">
            <v>Not Responded</v>
          </cell>
          <cell r="C1192">
            <v>42754.737961145831</v>
          </cell>
        </row>
        <row r="1193">
          <cell r="A1193">
            <v>3035698995</v>
          </cell>
          <cell r="B1193" t="str">
            <v>Not Responded</v>
          </cell>
          <cell r="C1193">
            <v>42754.737961145831</v>
          </cell>
        </row>
        <row r="1194">
          <cell r="A1194">
            <v>3035828533</v>
          </cell>
          <cell r="B1194" t="str">
            <v>Not Responded</v>
          </cell>
          <cell r="C1194">
            <v>42754.737961145831</v>
          </cell>
        </row>
        <row r="1195">
          <cell r="A1195">
            <v>3035727484</v>
          </cell>
          <cell r="B1195" t="str">
            <v>Not Responded</v>
          </cell>
          <cell r="C1195">
            <v>42754.737961145831</v>
          </cell>
        </row>
        <row r="1196">
          <cell r="A1196">
            <v>3035688623</v>
          </cell>
          <cell r="B1196" t="str">
            <v>Not Responded</v>
          </cell>
          <cell r="C1196">
            <v>42754.737961145831</v>
          </cell>
        </row>
        <row r="1197">
          <cell r="A1197">
            <v>3035846701</v>
          </cell>
          <cell r="B1197" t="str">
            <v>Not Responded</v>
          </cell>
          <cell r="C1197">
            <v>42754.737961145831</v>
          </cell>
        </row>
        <row r="1198">
          <cell r="A1198">
            <v>3035859948</v>
          </cell>
          <cell r="B1198" t="str">
            <v>Not Responded</v>
          </cell>
          <cell r="C1198">
            <v>42754.737961145831</v>
          </cell>
        </row>
        <row r="1199">
          <cell r="A1199">
            <v>3035848455</v>
          </cell>
          <cell r="B1199" t="str">
            <v>Not Responded</v>
          </cell>
          <cell r="C1199">
            <v>42754.737961145831</v>
          </cell>
        </row>
        <row r="1200">
          <cell r="A1200">
            <v>3035809288</v>
          </cell>
          <cell r="B1200" t="str">
            <v>Not Responded</v>
          </cell>
          <cell r="C1200">
            <v>42754.737961145831</v>
          </cell>
        </row>
        <row r="1201">
          <cell r="A1201">
            <v>3035857575</v>
          </cell>
          <cell r="B1201" t="str">
            <v>Not Responded</v>
          </cell>
          <cell r="C1201">
            <v>42754.737961145831</v>
          </cell>
        </row>
        <row r="1202">
          <cell r="A1202">
            <v>3035856406</v>
          </cell>
          <cell r="B1202" t="str">
            <v>Not Responded</v>
          </cell>
          <cell r="C1202">
            <v>42754.737961145831</v>
          </cell>
        </row>
        <row r="1203">
          <cell r="A1203">
            <v>3035858530</v>
          </cell>
          <cell r="B1203" t="str">
            <v>Not Responded</v>
          </cell>
          <cell r="C1203">
            <v>42754.737961145831</v>
          </cell>
        </row>
        <row r="1204">
          <cell r="A1204">
            <v>3035525716</v>
          </cell>
          <cell r="B1204" t="str">
            <v>Not Responded</v>
          </cell>
          <cell r="C1204">
            <v>42754.737961145831</v>
          </cell>
        </row>
        <row r="1205">
          <cell r="A1205">
            <v>3035715892</v>
          </cell>
          <cell r="B1205" t="str">
            <v>Not Responded</v>
          </cell>
          <cell r="C1205">
            <v>42754.737961145831</v>
          </cell>
        </row>
        <row r="1206">
          <cell r="A1206">
            <v>3035854872</v>
          </cell>
          <cell r="B1206" t="str">
            <v>Not Responded</v>
          </cell>
          <cell r="C1206">
            <v>42754.737961145831</v>
          </cell>
        </row>
        <row r="1207">
          <cell r="A1207">
            <v>3035850165</v>
          </cell>
          <cell r="B1207" t="str">
            <v>Not Responded</v>
          </cell>
          <cell r="C1207">
            <v>42754.737961145831</v>
          </cell>
        </row>
        <row r="1208">
          <cell r="A1208">
            <v>3035853898</v>
          </cell>
          <cell r="B1208" t="str">
            <v>Not Responded</v>
          </cell>
          <cell r="C1208">
            <v>42754.737961145831</v>
          </cell>
        </row>
        <row r="1209">
          <cell r="A1209">
            <v>3035849366</v>
          </cell>
          <cell r="B1209" t="str">
            <v>Not Responded</v>
          </cell>
          <cell r="C1209">
            <v>42754.737961145831</v>
          </cell>
        </row>
        <row r="1210">
          <cell r="A1210">
            <v>3035851846</v>
          </cell>
          <cell r="B1210" t="str">
            <v>Not Responded</v>
          </cell>
          <cell r="C1210">
            <v>42754.737961145831</v>
          </cell>
        </row>
        <row r="1211">
          <cell r="A1211">
            <v>3035723134</v>
          </cell>
          <cell r="B1211" t="str">
            <v>Not Responded</v>
          </cell>
          <cell r="C1211">
            <v>42754.737961145831</v>
          </cell>
        </row>
        <row r="1212">
          <cell r="A1212">
            <v>3035859966</v>
          </cell>
          <cell r="B1212" t="str">
            <v>Not Responded</v>
          </cell>
          <cell r="C1212">
            <v>42754.737961145831</v>
          </cell>
        </row>
        <row r="1213">
          <cell r="A1213">
            <v>3035757972</v>
          </cell>
          <cell r="B1213" t="str">
            <v>Not Responded</v>
          </cell>
          <cell r="C1213">
            <v>42754.737961145831</v>
          </cell>
        </row>
        <row r="1214">
          <cell r="A1214">
            <v>3035820235</v>
          </cell>
          <cell r="B1214" t="str">
            <v>Not Responded</v>
          </cell>
          <cell r="C1214">
            <v>42754.737961145831</v>
          </cell>
        </row>
        <row r="1215">
          <cell r="A1215">
            <v>3035846849</v>
          </cell>
          <cell r="B1215" t="str">
            <v>Not Responded</v>
          </cell>
          <cell r="C1215">
            <v>42754.737961145831</v>
          </cell>
        </row>
        <row r="1216">
          <cell r="A1216">
            <v>3035850733</v>
          </cell>
          <cell r="B1216" t="str">
            <v>Not Responded</v>
          </cell>
          <cell r="C1216">
            <v>42754.737961145831</v>
          </cell>
        </row>
        <row r="1217">
          <cell r="A1217">
            <v>3035855948</v>
          </cell>
          <cell r="B1217" t="str">
            <v>Not Responded</v>
          </cell>
          <cell r="C1217">
            <v>42754.737961145831</v>
          </cell>
        </row>
        <row r="1218">
          <cell r="A1218">
            <v>3035850706</v>
          </cell>
          <cell r="B1218" t="str">
            <v>Not Responded</v>
          </cell>
          <cell r="C1218">
            <v>42754.737961145831</v>
          </cell>
        </row>
        <row r="1219">
          <cell r="A1219">
            <v>3035851244</v>
          </cell>
          <cell r="B1219" t="str">
            <v>Not Responded</v>
          </cell>
          <cell r="C1219">
            <v>42754.737961145831</v>
          </cell>
        </row>
        <row r="1220">
          <cell r="A1220">
            <v>3035556999</v>
          </cell>
          <cell r="B1220" t="str">
            <v>Not Responded</v>
          </cell>
          <cell r="C1220">
            <v>42754.737961145831</v>
          </cell>
        </row>
        <row r="1221">
          <cell r="A1221">
            <v>3035851757</v>
          </cell>
          <cell r="B1221" t="str">
            <v>Not Responded</v>
          </cell>
          <cell r="C1221">
            <v>42754.737961145831</v>
          </cell>
        </row>
        <row r="1222">
          <cell r="A1222">
            <v>3035853935</v>
          </cell>
          <cell r="B1222" t="str">
            <v>Not Responded</v>
          </cell>
          <cell r="C1222">
            <v>42754.737961145831</v>
          </cell>
        </row>
        <row r="1223">
          <cell r="A1223">
            <v>3035812169</v>
          </cell>
          <cell r="B1223" t="str">
            <v>Not Responded</v>
          </cell>
          <cell r="C1223">
            <v>42754.737961145831</v>
          </cell>
        </row>
        <row r="1224">
          <cell r="A1224">
            <v>3035766333</v>
          </cell>
          <cell r="B1224" t="str">
            <v>Not Responded</v>
          </cell>
          <cell r="C1224">
            <v>42753.738214849538</v>
          </cell>
        </row>
        <row r="1225">
          <cell r="A1225">
            <v>3035752524</v>
          </cell>
          <cell r="B1225" t="str">
            <v>Not Responded</v>
          </cell>
          <cell r="C1225">
            <v>42754.737961145831</v>
          </cell>
        </row>
        <row r="1226">
          <cell r="A1226">
            <v>3035845108</v>
          </cell>
          <cell r="B1226" t="str">
            <v>Not Responded</v>
          </cell>
          <cell r="C1226">
            <v>42754.737961145831</v>
          </cell>
        </row>
        <row r="1227">
          <cell r="A1227">
            <v>3035752729</v>
          </cell>
          <cell r="B1227" t="str">
            <v>Not Responded</v>
          </cell>
          <cell r="C1227">
            <v>42754.737961145831</v>
          </cell>
        </row>
        <row r="1228">
          <cell r="A1228">
            <v>3035817154</v>
          </cell>
          <cell r="B1228" t="str">
            <v>Not Responded</v>
          </cell>
          <cell r="C1228">
            <v>42754.737961145831</v>
          </cell>
        </row>
        <row r="1229">
          <cell r="A1229">
            <v>3035862233</v>
          </cell>
          <cell r="B1229" t="str">
            <v>Not Responded</v>
          </cell>
          <cell r="C1229">
            <v>42754.737961145831</v>
          </cell>
        </row>
        <row r="1230">
          <cell r="A1230">
            <v>3035859205</v>
          </cell>
          <cell r="B1230" t="str">
            <v>Not Responded</v>
          </cell>
          <cell r="C1230">
            <v>42754.737961145831</v>
          </cell>
        </row>
        <row r="1231">
          <cell r="A1231">
            <v>3035846403</v>
          </cell>
          <cell r="B1231" t="str">
            <v>Not Responded</v>
          </cell>
          <cell r="C1231">
            <v>42754.737961145831</v>
          </cell>
        </row>
        <row r="1232">
          <cell r="A1232">
            <v>3035867938</v>
          </cell>
          <cell r="B1232" t="str">
            <v>Not Responded</v>
          </cell>
          <cell r="C1232">
            <v>42754.737961145831</v>
          </cell>
        </row>
        <row r="1233">
          <cell r="A1233">
            <v>3035849689</v>
          </cell>
          <cell r="B1233" t="str">
            <v>Not Responded</v>
          </cell>
          <cell r="C1233">
            <v>42754.737961145831</v>
          </cell>
        </row>
        <row r="1234">
          <cell r="A1234">
            <v>3035815998</v>
          </cell>
          <cell r="B1234" t="str">
            <v>Not Responded</v>
          </cell>
          <cell r="C1234">
            <v>42754.737961145831</v>
          </cell>
        </row>
        <row r="1235">
          <cell r="A1235">
            <v>3035641907</v>
          </cell>
          <cell r="B1235" t="str">
            <v>Not Responded</v>
          </cell>
          <cell r="C1235">
            <v>42750.735881944442</v>
          </cell>
        </row>
        <row r="1236">
          <cell r="A1236">
            <v>3035473171</v>
          </cell>
          <cell r="B1236" t="str">
            <v>Not Responded</v>
          </cell>
          <cell r="C1236">
            <v>42750.735881944442</v>
          </cell>
        </row>
        <row r="1237">
          <cell r="A1237">
            <v>3035757383</v>
          </cell>
          <cell r="B1237" t="str">
            <v>Not Responded</v>
          </cell>
          <cell r="C1237">
            <v>42750.735881944442</v>
          </cell>
        </row>
        <row r="1238">
          <cell r="A1238">
            <v>3035712859</v>
          </cell>
          <cell r="B1238" t="str">
            <v>Not Responded</v>
          </cell>
          <cell r="C1238">
            <v>42749.738012581016</v>
          </cell>
        </row>
        <row r="1239">
          <cell r="A1239">
            <v>3035746472</v>
          </cell>
          <cell r="B1239" t="str">
            <v>Not Responded</v>
          </cell>
          <cell r="C1239">
            <v>42750.735881944442</v>
          </cell>
        </row>
        <row r="1240">
          <cell r="A1240">
            <v>3035682091</v>
          </cell>
          <cell r="B1240" t="str">
            <v>Not Responded</v>
          </cell>
          <cell r="C1240">
            <v>42749.737991238428</v>
          </cell>
        </row>
        <row r="1241">
          <cell r="A1241">
            <v>3035725566</v>
          </cell>
          <cell r="B1241" t="str">
            <v>Not Responded</v>
          </cell>
          <cell r="C1241">
            <v>42749.737991238428</v>
          </cell>
        </row>
        <row r="1242">
          <cell r="A1242">
            <v>3035643894</v>
          </cell>
          <cell r="B1242" t="str">
            <v>Not Responded</v>
          </cell>
          <cell r="C1242">
            <v>42749.737991238428</v>
          </cell>
        </row>
        <row r="1243">
          <cell r="A1243">
            <v>3035542595</v>
          </cell>
          <cell r="B1243" t="str">
            <v>Not Responded</v>
          </cell>
          <cell r="C1243">
            <v>42749.737991238428</v>
          </cell>
        </row>
        <row r="1244">
          <cell r="A1244">
            <v>3035727347</v>
          </cell>
          <cell r="B1244" t="str">
            <v>Not Responded</v>
          </cell>
          <cell r="C1244">
            <v>42749.737991238428</v>
          </cell>
        </row>
        <row r="1245">
          <cell r="A1245">
            <v>3035604026</v>
          </cell>
          <cell r="B1245" t="str">
            <v>Not Responded</v>
          </cell>
          <cell r="C1245">
            <v>42749.737991238428</v>
          </cell>
        </row>
        <row r="1246">
          <cell r="A1246">
            <v>3035717565</v>
          </cell>
          <cell r="B1246" t="str">
            <v>Not Responded</v>
          </cell>
          <cell r="C1246">
            <v>42749.737991238428</v>
          </cell>
        </row>
        <row r="1247">
          <cell r="A1247">
            <v>3035727996</v>
          </cell>
          <cell r="B1247" t="str">
            <v>Not Responded</v>
          </cell>
          <cell r="C1247">
            <v>42749.737991238428</v>
          </cell>
        </row>
        <row r="1248">
          <cell r="A1248">
            <v>3035714351</v>
          </cell>
          <cell r="B1248" t="str">
            <v>Not Responded</v>
          </cell>
          <cell r="C1248">
            <v>42749.737991238428</v>
          </cell>
        </row>
        <row r="1249">
          <cell r="A1249">
            <v>3035514890</v>
          </cell>
          <cell r="B1249" t="str">
            <v>Not Responded</v>
          </cell>
          <cell r="C1249">
            <v>42749.737991238428</v>
          </cell>
        </row>
        <row r="1250">
          <cell r="A1250">
            <v>3035718390</v>
          </cell>
          <cell r="B1250" t="str">
            <v>Not Responded</v>
          </cell>
          <cell r="C1250">
            <v>42749.737991238428</v>
          </cell>
        </row>
        <row r="1251">
          <cell r="A1251">
            <v>3035719213</v>
          </cell>
          <cell r="B1251" t="str">
            <v>Not Responded</v>
          </cell>
          <cell r="C1251">
            <v>42749.737991238428</v>
          </cell>
        </row>
        <row r="1252">
          <cell r="A1252">
            <v>3035361582</v>
          </cell>
          <cell r="B1252" t="str">
            <v>Not Responded</v>
          </cell>
          <cell r="C1252">
            <v>42749.737991238428</v>
          </cell>
        </row>
        <row r="1253">
          <cell r="A1253">
            <v>3035725128</v>
          </cell>
          <cell r="B1253" t="str">
            <v>Not Responded</v>
          </cell>
          <cell r="C1253">
            <v>42749.737991238428</v>
          </cell>
        </row>
        <row r="1254">
          <cell r="A1254">
            <v>3035713103</v>
          </cell>
          <cell r="B1254" t="str">
            <v>Not Responded</v>
          </cell>
          <cell r="C1254">
            <v>42749.737991238428</v>
          </cell>
        </row>
        <row r="1255">
          <cell r="A1255">
            <v>3035721541</v>
          </cell>
          <cell r="B1255" t="str">
            <v>Not Responded</v>
          </cell>
          <cell r="C1255">
            <v>42749.737991238428</v>
          </cell>
        </row>
        <row r="1256">
          <cell r="A1256">
            <v>3035618294</v>
          </cell>
          <cell r="B1256" t="str">
            <v>Not Responded</v>
          </cell>
          <cell r="C1256">
            <v>42749.737991238428</v>
          </cell>
        </row>
        <row r="1257">
          <cell r="A1257">
            <v>3035713526</v>
          </cell>
          <cell r="B1257" t="str">
            <v>Not Responded</v>
          </cell>
          <cell r="C1257">
            <v>42749.737991238428</v>
          </cell>
        </row>
        <row r="1258">
          <cell r="A1258">
            <v>3035724473</v>
          </cell>
          <cell r="B1258" t="str">
            <v>Not Responded</v>
          </cell>
          <cell r="C1258">
            <v>42749.737991238428</v>
          </cell>
        </row>
        <row r="1259">
          <cell r="A1259">
            <v>3035720702</v>
          </cell>
          <cell r="B1259" t="str">
            <v>Not Responded</v>
          </cell>
          <cell r="C1259">
            <v>42749.737991238428</v>
          </cell>
        </row>
        <row r="1260">
          <cell r="A1260">
            <v>3035713500</v>
          </cell>
          <cell r="B1260" t="str">
            <v>Not Responded</v>
          </cell>
          <cell r="C1260">
            <v>42749.737991238428</v>
          </cell>
        </row>
        <row r="1261">
          <cell r="A1261">
            <v>3035443881</v>
          </cell>
          <cell r="B1261" t="str">
            <v>Not Responded</v>
          </cell>
          <cell r="C1261">
            <v>42749.737991238428</v>
          </cell>
        </row>
        <row r="1262">
          <cell r="A1262">
            <v>3035618192</v>
          </cell>
          <cell r="B1262" t="str">
            <v>Not Responded</v>
          </cell>
          <cell r="C1262">
            <v>42749.737991238428</v>
          </cell>
        </row>
        <row r="1263">
          <cell r="A1263">
            <v>3035726709</v>
          </cell>
          <cell r="B1263" t="str">
            <v>Not Responded</v>
          </cell>
          <cell r="C1263">
            <v>42749.737991238428</v>
          </cell>
        </row>
        <row r="1264">
          <cell r="A1264">
            <v>3035724962</v>
          </cell>
          <cell r="B1264" t="str">
            <v>Not Responded</v>
          </cell>
          <cell r="C1264">
            <v>42749.737991238428</v>
          </cell>
        </row>
        <row r="1265">
          <cell r="A1265">
            <v>3035682126</v>
          </cell>
          <cell r="B1265" t="str">
            <v>Not Responded</v>
          </cell>
          <cell r="C1265">
            <v>42749.737991238428</v>
          </cell>
        </row>
        <row r="1266">
          <cell r="A1266">
            <v>3035718129</v>
          </cell>
          <cell r="B1266" t="str">
            <v>Not Responded</v>
          </cell>
          <cell r="C1266">
            <v>42749.737991238428</v>
          </cell>
        </row>
        <row r="1267">
          <cell r="A1267">
            <v>3035714417</v>
          </cell>
          <cell r="B1267" t="str">
            <v>Not Responded</v>
          </cell>
          <cell r="C1267">
            <v>42749.737991238428</v>
          </cell>
        </row>
        <row r="1268">
          <cell r="A1268">
            <v>3035726561</v>
          </cell>
          <cell r="B1268" t="str">
            <v>Not Responded</v>
          </cell>
          <cell r="C1268">
            <v>42750.735881944442</v>
          </cell>
        </row>
        <row r="1269">
          <cell r="A1269">
            <v>3035604866</v>
          </cell>
          <cell r="B1269" t="str">
            <v>Not Responded</v>
          </cell>
          <cell r="C1269">
            <v>42750.735881944442</v>
          </cell>
        </row>
        <row r="1270">
          <cell r="A1270">
            <v>3035519769</v>
          </cell>
          <cell r="B1270" t="str">
            <v>Not Responded</v>
          </cell>
          <cell r="C1270">
            <v>42750.735881944442</v>
          </cell>
        </row>
        <row r="1271">
          <cell r="A1271">
            <v>3035625873</v>
          </cell>
          <cell r="B1271" t="str">
            <v>Not Responded</v>
          </cell>
          <cell r="C1271">
            <v>42749.737991238428</v>
          </cell>
        </row>
        <row r="1272">
          <cell r="A1272">
            <v>3035442431</v>
          </cell>
          <cell r="B1272" t="str">
            <v>Not Responded</v>
          </cell>
          <cell r="C1272">
            <v>42750.735881944442</v>
          </cell>
        </row>
        <row r="1273">
          <cell r="A1273">
            <v>3035752942</v>
          </cell>
          <cell r="B1273" t="str">
            <v>Not Responded</v>
          </cell>
          <cell r="C1273">
            <v>42750.735881944442</v>
          </cell>
        </row>
        <row r="1274">
          <cell r="A1274">
            <v>3035544654</v>
          </cell>
          <cell r="B1274" t="str">
            <v>Not Responded</v>
          </cell>
          <cell r="C1274">
            <v>42750.735881944442</v>
          </cell>
        </row>
        <row r="1275">
          <cell r="A1275">
            <v>3035756262</v>
          </cell>
          <cell r="B1275" t="str">
            <v>Not Responded</v>
          </cell>
          <cell r="C1275">
            <v>42750.735881944442</v>
          </cell>
        </row>
        <row r="1276">
          <cell r="A1276">
            <v>3035606430</v>
          </cell>
          <cell r="B1276" t="str">
            <v>Not Responded</v>
          </cell>
          <cell r="C1276">
            <v>42750.735881944442</v>
          </cell>
        </row>
        <row r="1277">
          <cell r="A1277">
            <v>3035695524</v>
          </cell>
          <cell r="B1277" t="str">
            <v>Not Responded</v>
          </cell>
          <cell r="C1277">
            <v>42750.735881944442</v>
          </cell>
        </row>
        <row r="1278">
          <cell r="A1278">
            <v>3035721413</v>
          </cell>
          <cell r="B1278" t="str">
            <v>Not Responded</v>
          </cell>
          <cell r="C1278">
            <v>42750.735881944442</v>
          </cell>
        </row>
        <row r="1279">
          <cell r="A1279">
            <v>3035752385</v>
          </cell>
          <cell r="B1279" t="str">
            <v>Not Responded</v>
          </cell>
          <cell r="C1279">
            <v>42750.735881944442</v>
          </cell>
        </row>
        <row r="1280">
          <cell r="A1280">
            <v>3035758826</v>
          </cell>
          <cell r="B1280" t="str">
            <v>Not Responded</v>
          </cell>
          <cell r="C1280">
            <v>42750.735881944442</v>
          </cell>
        </row>
        <row r="1281">
          <cell r="A1281">
            <v>3035759889</v>
          </cell>
          <cell r="B1281" t="str">
            <v>Not Responded</v>
          </cell>
          <cell r="C1281">
            <v>42750.735881944442</v>
          </cell>
        </row>
        <row r="1282">
          <cell r="A1282">
            <v>3035755130</v>
          </cell>
          <cell r="B1282" t="str">
            <v>Not Responded</v>
          </cell>
          <cell r="C1282">
            <v>42750.735881944442</v>
          </cell>
        </row>
        <row r="1283">
          <cell r="A1283">
            <v>3035713369</v>
          </cell>
          <cell r="B1283" t="str">
            <v>Not Responded</v>
          </cell>
          <cell r="C1283">
            <v>42750.735881944442</v>
          </cell>
        </row>
        <row r="1284">
          <cell r="A1284">
            <v>3035749423</v>
          </cell>
          <cell r="B1284" t="str">
            <v>Not Responded</v>
          </cell>
          <cell r="C1284">
            <v>42750.735881944442</v>
          </cell>
        </row>
        <row r="1285">
          <cell r="A1285">
            <v>3035748700</v>
          </cell>
          <cell r="B1285" t="str">
            <v>Not Responded</v>
          </cell>
          <cell r="C1285">
            <v>42750.735881944442</v>
          </cell>
        </row>
        <row r="1286">
          <cell r="A1286">
            <v>3035756221</v>
          </cell>
          <cell r="B1286" t="str">
            <v>Not Responded</v>
          </cell>
          <cell r="C1286">
            <v>42750.735881944442</v>
          </cell>
        </row>
        <row r="1287">
          <cell r="A1287">
            <v>3035754408</v>
          </cell>
          <cell r="B1287" t="str">
            <v>Not Responded</v>
          </cell>
          <cell r="C1287">
            <v>42750.735881944442</v>
          </cell>
        </row>
        <row r="1288">
          <cell r="A1288">
            <v>3035762877</v>
          </cell>
          <cell r="B1288" t="str">
            <v>Not Responded</v>
          </cell>
          <cell r="C1288">
            <v>42750.735881944442</v>
          </cell>
        </row>
        <row r="1289">
          <cell r="A1289">
            <v>3035680917</v>
          </cell>
          <cell r="B1289" t="str">
            <v>Not Responded</v>
          </cell>
          <cell r="C1289">
            <v>42750.735881944442</v>
          </cell>
        </row>
        <row r="1290">
          <cell r="A1290">
            <v>3035642867</v>
          </cell>
          <cell r="B1290" t="str">
            <v>Not Responded</v>
          </cell>
          <cell r="C1290">
            <v>42750.735881944442</v>
          </cell>
        </row>
        <row r="1291">
          <cell r="A1291">
            <v>3035749877</v>
          </cell>
          <cell r="B1291" t="str">
            <v>Not Responded</v>
          </cell>
          <cell r="C1291">
            <v>42750.735881944442</v>
          </cell>
        </row>
        <row r="1292">
          <cell r="A1292">
            <v>3035691258</v>
          </cell>
          <cell r="B1292" t="str">
            <v>Not Responded</v>
          </cell>
          <cell r="C1292">
            <v>42750.735881944442</v>
          </cell>
        </row>
        <row r="1293">
          <cell r="A1293">
            <v>3035724997</v>
          </cell>
          <cell r="B1293" t="str">
            <v>Not Responded</v>
          </cell>
          <cell r="C1293">
            <v>42750.735881944442</v>
          </cell>
        </row>
        <row r="1294">
          <cell r="A1294">
            <v>3035649789</v>
          </cell>
          <cell r="B1294" t="str">
            <v>Not Responded</v>
          </cell>
          <cell r="C1294">
            <v>42750.735881944442</v>
          </cell>
        </row>
        <row r="1295">
          <cell r="A1295">
            <v>3035750329</v>
          </cell>
          <cell r="B1295" t="str">
            <v>Not Responded</v>
          </cell>
          <cell r="C1295">
            <v>42750.735881944442</v>
          </cell>
        </row>
        <row r="1296">
          <cell r="A1296">
            <v>3035758904</v>
          </cell>
          <cell r="B1296" t="str">
            <v>Not Responded</v>
          </cell>
          <cell r="C1296">
            <v>42750.735881944442</v>
          </cell>
        </row>
        <row r="1297">
          <cell r="A1297">
            <v>3035713625</v>
          </cell>
          <cell r="B1297" t="str">
            <v>Not Responded</v>
          </cell>
          <cell r="C1297">
            <v>42750.735881944442</v>
          </cell>
        </row>
        <row r="1298">
          <cell r="A1298">
            <v>3035689099</v>
          </cell>
          <cell r="B1298" t="str">
            <v>Not Responded</v>
          </cell>
          <cell r="C1298">
            <v>42748.738471724537</v>
          </cell>
        </row>
        <row r="1299">
          <cell r="A1299">
            <v>3035680415</v>
          </cell>
          <cell r="B1299" t="str">
            <v>Not Responded</v>
          </cell>
          <cell r="C1299">
            <v>42748.738471724537</v>
          </cell>
        </row>
        <row r="1300">
          <cell r="A1300">
            <v>3035692675</v>
          </cell>
          <cell r="B1300" t="str">
            <v>Not Responded</v>
          </cell>
          <cell r="C1300">
            <v>42748.738471724537</v>
          </cell>
        </row>
        <row r="1301">
          <cell r="A1301">
            <v>3035514674</v>
          </cell>
          <cell r="B1301" t="str">
            <v>Not Responded</v>
          </cell>
          <cell r="C1301">
            <v>42748.738471724537</v>
          </cell>
        </row>
        <row r="1302">
          <cell r="A1302">
            <v>3035690175</v>
          </cell>
          <cell r="B1302" t="str">
            <v>Not Responded</v>
          </cell>
          <cell r="C1302">
            <v>42748.738471724537</v>
          </cell>
        </row>
        <row r="1303">
          <cell r="A1303">
            <v>3035677195</v>
          </cell>
          <cell r="B1303" t="str">
            <v>Not Responded</v>
          </cell>
          <cell r="C1303">
            <v>42748.738471724537</v>
          </cell>
        </row>
        <row r="1304">
          <cell r="A1304">
            <v>3035651126</v>
          </cell>
          <cell r="B1304" t="str">
            <v>Not Responded</v>
          </cell>
          <cell r="C1304">
            <v>42748.738471724537</v>
          </cell>
        </row>
        <row r="1305">
          <cell r="A1305">
            <v>3035680382</v>
          </cell>
          <cell r="B1305" t="str">
            <v>Not Responded</v>
          </cell>
          <cell r="C1305">
            <v>42748.738471724537</v>
          </cell>
        </row>
        <row r="1306">
          <cell r="A1306">
            <v>3035548591</v>
          </cell>
          <cell r="B1306" t="str">
            <v>Not Responded</v>
          </cell>
          <cell r="C1306">
            <v>42748.738471724537</v>
          </cell>
        </row>
        <row r="1307">
          <cell r="A1307">
            <v>3035692110</v>
          </cell>
          <cell r="B1307" t="str">
            <v>Not Responded</v>
          </cell>
          <cell r="C1307">
            <v>42748.738471724537</v>
          </cell>
        </row>
        <row r="1308">
          <cell r="A1308">
            <v>3035684686</v>
          </cell>
          <cell r="B1308" t="str">
            <v>Not Responded</v>
          </cell>
          <cell r="C1308">
            <v>42748.738471724537</v>
          </cell>
        </row>
        <row r="1309">
          <cell r="A1309">
            <v>3035690581</v>
          </cell>
          <cell r="B1309" t="str">
            <v>Not Responded</v>
          </cell>
          <cell r="C1309">
            <v>42748.738471724537</v>
          </cell>
        </row>
        <row r="1310">
          <cell r="A1310">
            <v>3035682519</v>
          </cell>
          <cell r="B1310" t="str">
            <v>Not Responded</v>
          </cell>
          <cell r="C1310">
            <v>42748.738471724537</v>
          </cell>
        </row>
        <row r="1311">
          <cell r="A1311">
            <v>3035683011</v>
          </cell>
          <cell r="B1311" t="str">
            <v>Not Responded</v>
          </cell>
          <cell r="C1311">
            <v>42748.738471724537</v>
          </cell>
        </row>
        <row r="1312">
          <cell r="A1312">
            <v>3035550732</v>
          </cell>
          <cell r="B1312" t="str">
            <v>Not Responded</v>
          </cell>
          <cell r="C1312">
            <v>42748.738471724537</v>
          </cell>
        </row>
        <row r="1313">
          <cell r="A1313">
            <v>3035690243</v>
          </cell>
          <cell r="B1313" t="str">
            <v>Not Responded</v>
          </cell>
          <cell r="C1313">
            <v>42748.738471724537</v>
          </cell>
        </row>
        <row r="1314">
          <cell r="A1314">
            <v>3035543148</v>
          </cell>
          <cell r="B1314" t="str">
            <v>Not Responded</v>
          </cell>
          <cell r="C1314">
            <v>42748.738471724537</v>
          </cell>
        </row>
        <row r="1315">
          <cell r="A1315">
            <v>3035692371</v>
          </cell>
          <cell r="B1315" t="str">
            <v>Not Responded</v>
          </cell>
          <cell r="C1315">
            <v>42748.738471724537</v>
          </cell>
        </row>
        <row r="1316">
          <cell r="A1316">
            <v>3035448739</v>
          </cell>
          <cell r="B1316" t="str">
            <v>Not Responded</v>
          </cell>
          <cell r="C1316">
            <v>42748.738471724537</v>
          </cell>
        </row>
        <row r="1317">
          <cell r="A1317">
            <v>3035645000</v>
          </cell>
          <cell r="B1317" t="str">
            <v>Not Responded</v>
          </cell>
          <cell r="C1317">
            <v>42748.738471724537</v>
          </cell>
        </row>
        <row r="1318">
          <cell r="A1318">
            <v>3035682795</v>
          </cell>
          <cell r="B1318" t="str">
            <v>Not Responded</v>
          </cell>
          <cell r="C1318">
            <v>42748.738471724537</v>
          </cell>
        </row>
        <row r="1319">
          <cell r="A1319">
            <v>3035677816</v>
          </cell>
          <cell r="B1319" t="str">
            <v>Not Responded</v>
          </cell>
          <cell r="C1319">
            <v>42748.738471724537</v>
          </cell>
        </row>
        <row r="1320">
          <cell r="A1320">
            <v>3035650603</v>
          </cell>
          <cell r="B1320" t="str">
            <v>Not Responded</v>
          </cell>
          <cell r="C1320">
            <v>42748.738471724537</v>
          </cell>
        </row>
        <row r="1321">
          <cell r="A1321">
            <v>3035690328</v>
          </cell>
          <cell r="B1321" t="str">
            <v>Not Responded</v>
          </cell>
          <cell r="C1321">
            <v>42748.738471724537</v>
          </cell>
        </row>
        <row r="1322">
          <cell r="A1322">
            <v>3035641043</v>
          </cell>
          <cell r="B1322" t="str">
            <v>Not Responded</v>
          </cell>
          <cell r="C1322">
            <v>42748.738471724537</v>
          </cell>
        </row>
        <row r="1323">
          <cell r="A1323">
            <v>3035518999</v>
          </cell>
          <cell r="B1323" t="str">
            <v>Not Responded</v>
          </cell>
          <cell r="C1323">
            <v>42749.737991238428</v>
          </cell>
        </row>
        <row r="1324">
          <cell r="A1324">
            <v>3035543102</v>
          </cell>
          <cell r="B1324" t="str">
            <v>Not Responded</v>
          </cell>
          <cell r="C1324">
            <v>42748.738491053242</v>
          </cell>
        </row>
        <row r="1325">
          <cell r="A1325">
            <v>3034901984</v>
          </cell>
          <cell r="B1325" t="str">
            <v>Not Responded</v>
          </cell>
          <cell r="C1325">
            <v>42748.738491053242</v>
          </cell>
        </row>
        <row r="1326">
          <cell r="A1326">
            <v>3035681574</v>
          </cell>
          <cell r="B1326" t="str">
            <v>Not Responded</v>
          </cell>
          <cell r="C1326">
            <v>42749.737991238428</v>
          </cell>
        </row>
        <row r="1327">
          <cell r="A1327">
            <v>3035682190</v>
          </cell>
          <cell r="B1327" t="str">
            <v>Not Responded</v>
          </cell>
          <cell r="C1327">
            <v>42748.738471724537</v>
          </cell>
        </row>
        <row r="1328">
          <cell r="A1328">
            <v>3035689457</v>
          </cell>
          <cell r="B1328" t="str">
            <v>Not Responded</v>
          </cell>
          <cell r="C1328">
            <v>42748.738471724537</v>
          </cell>
        </row>
        <row r="1329">
          <cell r="A1329">
            <v>3035686621</v>
          </cell>
          <cell r="B1329" t="str">
            <v>Not Responded</v>
          </cell>
          <cell r="C1329">
            <v>42748.738471724537</v>
          </cell>
        </row>
        <row r="1330">
          <cell r="A1330">
            <v>3035680094</v>
          </cell>
          <cell r="B1330" t="str">
            <v>Not Responded</v>
          </cell>
          <cell r="C1330">
            <v>42748.738471724537</v>
          </cell>
        </row>
        <row r="1331">
          <cell r="A1331">
            <v>3035691823</v>
          </cell>
          <cell r="B1331" t="str">
            <v>Not Responded</v>
          </cell>
          <cell r="C1331">
            <v>42748.738471724537</v>
          </cell>
        </row>
        <row r="1332">
          <cell r="A1332">
            <v>3035694655</v>
          </cell>
          <cell r="B1332" t="str">
            <v>Not Responded</v>
          </cell>
          <cell r="C1332">
            <v>42748.738471724537</v>
          </cell>
        </row>
        <row r="1333">
          <cell r="A1333">
            <v>3035681920</v>
          </cell>
          <cell r="B1333" t="str">
            <v>Not Responded</v>
          </cell>
          <cell r="C1333">
            <v>42748.738471724537</v>
          </cell>
        </row>
        <row r="1334">
          <cell r="A1334">
            <v>3035467513</v>
          </cell>
          <cell r="B1334" t="str">
            <v>Not Responded</v>
          </cell>
          <cell r="C1334">
            <v>42748.738471724537</v>
          </cell>
        </row>
        <row r="1335">
          <cell r="A1335">
            <v>3035683443</v>
          </cell>
          <cell r="B1335" t="str">
            <v>Not Responded</v>
          </cell>
          <cell r="C1335">
            <v>42748.738471724537</v>
          </cell>
        </row>
        <row r="1336">
          <cell r="A1336">
            <v>3035446643</v>
          </cell>
          <cell r="B1336" t="str">
            <v>Not Responded</v>
          </cell>
          <cell r="C1336">
            <v>42748.738471724537</v>
          </cell>
        </row>
        <row r="1337">
          <cell r="A1337">
            <v>3035715394</v>
          </cell>
          <cell r="B1337" t="str">
            <v>Not Responded</v>
          </cell>
          <cell r="C1337">
            <v>42749.737991238428</v>
          </cell>
        </row>
        <row r="1338">
          <cell r="A1338">
            <v>3035615927</v>
          </cell>
          <cell r="B1338" t="str">
            <v>Not Responded</v>
          </cell>
          <cell r="C1338">
            <v>42749.737991238428</v>
          </cell>
        </row>
        <row r="1339">
          <cell r="A1339">
            <v>3035679157</v>
          </cell>
          <cell r="B1339" t="str">
            <v>Not Responded</v>
          </cell>
          <cell r="C1339">
            <v>42749.737991238428</v>
          </cell>
        </row>
        <row r="1340">
          <cell r="A1340">
            <v>3035719657</v>
          </cell>
          <cell r="B1340" t="str">
            <v>Not Responded</v>
          </cell>
          <cell r="C1340">
            <v>42749.737991238428</v>
          </cell>
        </row>
        <row r="1341">
          <cell r="A1341">
            <v>3035722983</v>
          </cell>
          <cell r="B1341" t="str">
            <v>Not Responded</v>
          </cell>
          <cell r="C1341">
            <v>42749.737991238428</v>
          </cell>
        </row>
        <row r="1342">
          <cell r="A1342">
            <v>3035716857</v>
          </cell>
          <cell r="B1342" t="str">
            <v>Not Responded</v>
          </cell>
          <cell r="C1342">
            <v>42749.737991238428</v>
          </cell>
        </row>
        <row r="1343">
          <cell r="A1343">
            <v>3035718430</v>
          </cell>
          <cell r="B1343" t="str">
            <v>Not Responded</v>
          </cell>
          <cell r="C1343">
            <v>42749.737991238428</v>
          </cell>
        </row>
        <row r="1344">
          <cell r="A1344">
            <v>3035543458</v>
          </cell>
          <cell r="B1344" t="str">
            <v>Not Responded</v>
          </cell>
          <cell r="C1344">
            <v>42749.737991238428</v>
          </cell>
        </row>
        <row r="1345">
          <cell r="A1345">
            <v>3035623514</v>
          </cell>
          <cell r="B1345" t="str">
            <v>Not Responded</v>
          </cell>
          <cell r="C1345">
            <v>42749.737991238428</v>
          </cell>
        </row>
        <row r="1346">
          <cell r="A1346">
            <v>3035650943</v>
          </cell>
          <cell r="B1346" t="str">
            <v>Not Responded</v>
          </cell>
          <cell r="C1346">
            <v>42749.737991238428</v>
          </cell>
        </row>
        <row r="1347">
          <cell r="A1347">
            <v>3035546459</v>
          </cell>
          <cell r="B1347" t="str">
            <v>Not Responded</v>
          </cell>
          <cell r="C1347">
            <v>42743.735176273149</v>
          </cell>
        </row>
        <row r="1348">
          <cell r="A1348">
            <v>3035545336</v>
          </cell>
          <cell r="B1348" t="str">
            <v>Not Responded</v>
          </cell>
          <cell r="C1348">
            <v>42743.735176273149</v>
          </cell>
        </row>
        <row r="1349">
          <cell r="A1349">
            <v>3035557484</v>
          </cell>
          <cell r="B1349" t="str">
            <v>Not Responded</v>
          </cell>
          <cell r="C1349">
            <v>42743.735176273149</v>
          </cell>
        </row>
        <row r="1350">
          <cell r="A1350">
            <v>3035479027</v>
          </cell>
          <cell r="B1350" t="str">
            <v>Not Responded</v>
          </cell>
          <cell r="C1350">
            <v>42743.735176273149</v>
          </cell>
        </row>
        <row r="1351">
          <cell r="A1351">
            <v>3035483664</v>
          </cell>
          <cell r="B1351" t="str">
            <v>Not Responded</v>
          </cell>
          <cell r="C1351">
            <v>42743.735176273149</v>
          </cell>
        </row>
        <row r="1352">
          <cell r="A1352">
            <v>3035450551</v>
          </cell>
          <cell r="B1352" t="str">
            <v>Not Responded</v>
          </cell>
          <cell r="C1352">
            <v>42742.737116122684</v>
          </cell>
        </row>
        <row r="1353">
          <cell r="A1353">
            <v>3035470541</v>
          </cell>
          <cell r="B1353" t="str">
            <v>Not Responded</v>
          </cell>
          <cell r="C1353">
            <v>42742.737116122684</v>
          </cell>
        </row>
        <row r="1354">
          <cell r="A1354">
            <v>3035175834</v>
          </cell>
          <cell r="B1354" t="str">
            <v>Not Responded</v>
          </cell>
          <cell r="C1354">
            <v>42742.737116122684</v>
          </cell>
        </row>
        <row r="1355">
          <cell r="A1355">
            <v>3035510399</v>
          </cell>
          <cell r="B1355" t="str">
            <v>Not Responded</v>
          </cell>
          <cell r="C1355">
            <v>42742.73709116898</v>
          </cell>
        </row>
        <row r="1356">
          <cell r="A1356">
            <v>3035517520</v>
          </cell>
          <cell r="B1356" t="str">
            <v>Not Responded</v>
          </cell>
          <cell r="C1356">
            <v>42742.73709116898</v>
          </cell>
        </row>
        <row r="1357">
          <cell r="A1357">
            <v>3035546229</v>
          </cell>
          <cell r="B1357" t="str">
            <v>Not Responded</v>
          </cell>
          <cell r="C1357">
            <v>42743.735176273149</v>
          </cell>
        </row>
        <row r="1358">
          <cell r="A1358">
            <v>3035442835</v>
          </cell>
          <cell r="B1358" t="str">
            <v>Not Responded</v>
          </cell>
          <cell r="C1358">
            <v>42743.735176273149</v>
          </cell>
        </row>
        <row r="1359">
          <cell r="A1359">
            <v>3035436398</v>
          </cell>
          <cell r="B1359" t="str">
            <v>Not Responded</v>
          </cell>
          <cell r="C1359">
            <v>42743.735176273149</v>
          </cell>
        </row>
        <row r="1360">
          <cell r="A1360">
            <v>3035470989</v>
          </cell>
          <cell r="B1360" t="str">
            <v>Not Responded</v>
          </cell>
          <cell r="C1360">
            <v>42743.735176273149</v>
          </cell>
        </row>
        <row r="1361">
          <cell r="A1361">
            <v>3035486592</v>
          </cell>
          <cell r="B1361" t="str">
            <v>Not Responded</v>
          </cell>
          <cell r="C1361">
            <v>42742.73709116898</v>
          </cell>
        </row>
        <row r="1362">
          <cell r="A1362">
            <v>3035509577</v>
          </cell>
          <cell r="B1362" t="str">
            <v>Not Responded</v>
          </cell>
          <cell r="C1362">
            <v>42742.73709116898</v>
          </cell>
        </row>
        <row r="1363">
          <cell r="A1363">
            <v>3035484571</v>
          </cell>
          <cell r="B1363" t="str">
            <v>Not Responded</v>
          </cell>
          <cell r="C1363">
            <v>42742.73709116898</v>
          </cell>
        </row>
        <row r="1364">
          <cell r="A1364">
            <v>3035201136</v>
          </cell>
          <cell r="B1364" t="str">
            <v>Not Responded</v>
          </cell>
          <cell r="C1364">
            <v>42742.73709116898</v>
          </cell>
        </row>
        <row r="1365">
          <cell r="A1365">
            <v>3035361871</v>
          </cell>
          <cell r="B1365" t="str">
            <v>Not Responded</v>
          </cell>
          <cell r="C1365">
            <v>42742.73709116898</v>
          </cell>
        </row>
        <row r="1366">
          <cell r="A1366">
            <v>3035510090</v>
          </cell>
          <cell r="B1366" t="str">
            <v>Not Responded</v>
          </cell>
          <cell r="C1366">
            <v>42742.73709116898</v>
          </cell>
        </row>
        <row r="1367">
          <cell r="A1367">
            <v>3035512106</v>
          </cell>
          <cell r="B1367" t="str">
            <v>Not Responded</v>
          </cell>
          <cell r="C1367">
            <v>42742.73709116898</v>
          </cell>
        </row>
        <row r="1368">
          <cell r="A1368">
            <v>3035415039</v>
          </cell>
          <cell r="B1368" t="str">
            <v>Not Responded</v>
          </cell>
          <cell r="C1368">
            <v>42742.73709116898</v>
          </cell>
        </row>
        <row r="1369">
          <cell r="A1369">
            <v>3035514598</v>
          </cell>
          <cell r="B1369" t="str">
            <v>Not Responded</v>
          </cell>
          <cell r="C1369">
            <v>42742.73709116898</v>
          </cell>
        </row>
        <row r="1370">
          <cell r="A1370">
            <v>3035298878</v>
          </cell>
          <cell r="B1370" t="str">
            <v>Not Responded</v>
          </cell>
          <cell r="C1370">
            <v>42742.73709116898</v>
          </cell>
        </row>
        <row r="1371">
          <cell r="A1371">
            <v>3035520790</v>
          </cell>
          <cell r="B1371" t="str">
            <v>Not Responded</v>
          </cell>
          <cell r="C1371">
            <v>42742.73709116898</v>
          </cell>
        </row>
        <row r="1372">
          <cell r="A1372">
            <v>3035528849</v>
          </cell>
          <cell r="B1372" t="str">
            <v>Not Responded</v>
          </cell>
          <cell r="C1372">
            <v>42742.73709116898</v>
          </cell>
        </row>
        <row r="1373">
          <cell r="A1373">
            <v>3035517801</v>
          </cell>
          <cell r="B1373" t="str">
            <v>Not Responded</v>
          </cell>
          <cell r="C1373">
            <v>42742.73709116898</v>
          </cell>
        </row>
        <row r="1374">
          <cell r="A1374">
            <v>3035509181</v>
          </cell>
          <cell r="B1374" t="str">
            <v>Not Responded</v>
          </cell>
          <cell r="C1374">
            <v>42742.73709116898</v>
          </cell>
        </row>
        <row r="1375">
          <cell r="A1375">
            <v>3035524843</v>
          </cell>
          <cell r="B1375" t="str">
            <v>Not Responded</v>
          </cell>
          <cell r="C1375">
            <v>42742.73709116898</v>
          </cell>
        </row>
        <row r="1376">
          <cell r="A1376">
            <v>3035541285</v>
          </cell>
          <cell r="B1376" t="str">
            <v>Not Responded</v>
          </cell>
          <cell r="C1376">
            <v>42743.735176273149</v>
          </cell>
        </row>
        <row r="1377">
          <cell r="A1377">
            <v>3035549076</v>
          </cell>
          <cell r="B1377" t="str">
            <v>Not Responded</v>
          </cell>
          <cell r="C1377">
            <v>42743.735176273149</v>
          </cell>
        </row>
        <row r="1378">
          <cell r="A1378">
            <v>3035521603</v>
          </cell>
          <cell r="B1378" t="str">
            <v>Not Responded</v>
          </cell>
          <cell r="C1378">
            <v>42743.735176273149</v>
          </cell>
        </row>
        <row r="1379">
          <cell r="A1379">
            <v>3035435684</v>
          </cell>
          <cell r="B1379" t="str">
            <v>Not Responded</v>
          </cell>
          <cell r="C1379">
            <v>42743.735176273149</v>
          </cell>
        </row>
        <row r="1380">
          <cell r="A1380">
            <v>3035560076</v>
          </cell>
          <cell r="B1380" t="str">
            <v>Not Responded</v>
          </cell>
          <cell r="C1380">
            <v>42743.735176273149</v>
          </cell>
        </row>
        <row r="1381">
          <cell r="A1381">
            <v>3035542120</v>
          </cell>
          <cell r="B1381" t="str">
            <v>Not Responded</v>
          </cell>
          <cell r="C1381">
            <v>42743.735176273149</v>
          </cell>
        </row>
        <row r="1382">
          <cell r="A1382">
            <v>3035541711</v>
          </cell>
          <cell r="B1382" t="str">
            <v>Not Responded</v>
          </cell>
          <cell r="C1382">
            <v>42743.735176273149</v>
          </cell>
        </row>
        <row r="1383">
          <cell r="A1383">
            <v>3035505858</v>
          </cell>
          <cell r="B1383" t="str">
            <v>Not Responded</v>
          </cell>
          <cell r="C1383">
            <v>42743.735176273149</v>
          </cell>
        </row>
        <row r="1384">
          <cell r="A1384">
            <v>3035240531</v>
          </cell>
          <cell r="B1384" t="str">
            <v>Not Responded</v>
          </cell>
          <cell r="C1384">
            <v>42743.735176273149</v>
          </cell>
        </row>
        <row r="1385">
          <cell r="A1385">
            <v>3035542752</v>
          </cell>
          <cell r="B1385" t="str">
            <v>Not Responded</v>
          </cell>
          <cell r="C1385">
            <v>42743.735176273149</v>
          </cell>
        </row>
        <row r="1386">
          <cell r="A1386">
            <v>3035470242</v>
          </cell>
          <cell r="B1386" t="str">
            <v>Not Responded</v>
          </cell>
          <cell r="C1386">
            <v>42743.735176273149</v>
          </cell>
        </row>
        <row r="1387">
          <cell r="A1387">
            <v>3035480979</v>
          </cell>
          <cell r="B1387" t="str">
            <v>Not Responded</v>
          </cell>
          <cell r="C1387">
            <v>42743.735176273149</v>
          </cell>
        </row>
        <row r="1388">
          <cell r="A1388">
            <v>3035545252</v>
          </cell>
          <cell r="B1388" t="str">
            <v>Not Responded</v>
          </cell>
          <cell r="C1388">
            <v>42743.735176273149</v>
          </cell>
        </row>
        <row r="1389">
          <cell r="A1389">
            <v>3035480587</v>
          </cell>
          <cell r="B1389" t="str">
            <v>Not Responded</v>
          </cell>
          <cell r="C1389">
            <v>42743.735176273149</v>
          </cell>
        </row>
        <row r="1390">
          <cell r="A1390">
            <v>3035545413</v>
          </cell>
          <cell r="B1390" t="str">
            <v>Not Responded</v>
          </cell>
          <cell r="C1390">
            <v>42743.735176273149</v>
          </cell>
        </row>
        <row r="1391">
          <cell r="A1391">
            <v>3035542777</v>
          </cell>
          <cell r="B1391" t="str">
            <v>Not Responded</v>
          </cell>
          <cell r="C1391">
            <v>42743.735176273149</v>
          </cell>
        </row>
        <row r="1392">
          <cell r="A1392">
            <v>3035553274</v>
          </cell>
          <cell r="B1392" t="str">
            <v>Not Responded</v>
          </cell>
          <cell r="C1392">
            <v>42743.735176273149</v>
          </cell>
        </row>
        <row r="1393">
          <cell r="A1393">
            <v>3035553627</v>
          </cell>
          <cell r="B1393" t="str">
            <v>Not Responded</v>
          </cell>
          <cell r="C1393">
            <v>42743.735176273149</v>
          </cell>
        </row>
        <row r="1394">
          <cell r="A1394">
            <v>3035312099</v>
          </cell>
          <cell r="B1394" t="str">
            <v>Not Responded</v>
          </cell>
          <cell r="C1394">
            <v>42743.735176273149</v>
          </cell>
        </row>
        <row r="1395">
          <cell r="A1395">
            <v>3035554515</v>
          </cell>
          <cell r="B1395" t="str">
            <v>Not Responded</v>
          </cell>
          <cell r="C1395">
            <v>42743.735176273149</v>
          </cell>
        </row>
        <row r="1396">
          <cell r="A1396">
            <v>3034519038</v>
          </cell>
          <cell r="B1396" t="str">
            <v>Not Responded</v>
          </cell>
          <cell r="C1396">
            <v>42743.735196064816</v>
          </cell>
        </row>
        <row r="1397">
          <cell r="A1397">
            <v>3035334352</v>
          </cell>
          <cell r="B1397" t="str">
            <v>Not Responded</v>
          </cell>
          <cell r="C1397">
            <v>42743.735196064816</v>
          </cell>
        </row>
        <row r="1398">
          <cell r="A1398">
            <v>3035243213</v>
          </cell>
          <cell r="B1398" t="str">
            <v>Not Responded</v>
          </cell>
          <cell r="C1398">
            <v>42743.735176273149</v>
          </cell>
        </row>
        <row r="1399">
          <cell r="A1399">
            <v>3035401448</v>
          </cell>
          <cell r="B1399" t="str">
            <v>Not Responded</v>
          </cell>
          <cell r="C1399">
            <v>42743.735176273149</v>
          </cell>
        </row>
        <row r="1400">
          <cell r="A1400">
            <v>3035549199</v>
          </cell>
          <cell r="B1400" t="str">
            <v>Not Responded</v>
          </cell>
          <cell r="C1400">
            <v>42743.735176273149</v>
          </cell>
        </row>
        <row r="1401">
          <cell r="A1401">
            <v>3035470475</v>
          </cell>
          <cell r="B1401" t="str">
            <v>Not Responded</v>
          </cell>
          <cell r="C1401">
            <v>42742.73709116898</v>
          </cell>
        </row>
        <row r="1402">
          <cell r="A1402">
            <v>3035512332</v>
          </cell>
          <cell r="B1402" t="str">
            <v>Not Responded</v>
          </cell>
          <cell r="C1402">
            <v>42742.73709116898</v>
          </cell>
        </row>
        <row r="1403">
          <cell r="A1403">
            <v>3035509495</v>
          </cell>
          <cell r="B1403" t="str">
            <v>Not Responded</v>
          </cell>
          <cell r="C1403">
            <v>42742.73709116898</v>
          </cell>
        </row>
        <row r="1404">
          <cell r="A1404">
            <v>3035266315</v>
          </cell>
          <cell r="B1404" t="str">
            <v>Not Responded</v>
          </cell>
          <cell r="C1404">
            <v>42742.73709116898</v>
          </cell>
        </row>
        <row r="1405">
          <cell r="A1405">
            <v>3035520028</v>
          </cell>
          <cell r="B1405" t="str">
            <v>Not Responded</v>
          </cell>
          <cell r="C1405">
            <v>42742.73709116898</v>
          </cell>
        </row>
        <row r="1406">
          <cell r="A1406">
            <v>3035481301</v>
          </cell>
          <cell r="B1406" t="str">
            <v>Not Responded</v>
          </cell>
          <cell r="C1406">
            <v>42742.73709116898</v>
          </cell>
        </row>
        <row r="1407">
          <cell r="A1407">
            <v>3035472293</v>
          </cell>
          <cell r="B1407" t="str">
            <v>Not Responded</v>
          </cell>
          <cell r="C1407">
            <v>42742.73709116898</v>
          </cell>
        </row>
        <row r="1408">
          <cell r="A1408">
            <v>3035473498</v>
          </cell>
          <cell r="B1408" t="str">
            <v>Not Responded</v>
          </cell>
          <cell r="C1408">
            <v>42741.73704378472</v>
          </cell>
        </row>
        <row r="1409">
          <cell r="A1409">
            <v>3035437792</v>
          </cell>
          <cell r="B1409" t="str">
            <v>Not Responded</v>
          </cell>
          <cell r="C1409">
            <v>42741.73704378472</v>
          </cell>
        </row>
        <row r="1410">
          <cell r="A1410">
            <v>3035484662</v>
          </cell>
          <cell r="B1410" t="str">
            <v>Not Responded</v>
          </cell>
          <cell r="C1410">
            <v>42741.73704378472</v>
          </cell>
        </row>
        <row r="1411">
          <cell r="A1411">
            <v>3035432013</v>
          </cell>
          <cell r="B1411" t="str">
            <v>Not Responded</v>
          </cell>
          <cell r="C1411">
            <v>42741.73704378472</v>
          </cell>
        </row>
        <row r="1412">
          <cell r="A1412">
            <v>3035432447</v>
          </cell>
          <cell r="B1412" t="str">
            <v>Not Responded</v>
          </cell>
          <cell r="C1412">
            <v>42741.73704378472</v>
          </cell>
        </row>
        <row r="1413">
          <cell r="A1413">
            <v>3035471252</v>
          </cell>
          <cell r="B1413" t="str">
            <v>Not Responded</v>
          </cell>
          <cell r="C1413">
            <v>42741.73704378472</v>
          </cell>
        </row>
        <row r="1414">
          <cell r="A1414">
            <v>3035430639</v>
          </cell>
          <cell r="B1414" t="str">
            <v>Not Responded</v>
          </cell>
          <cell r="C1414">
            <v>42741.73704378472</v>
          </cell>
        </row>
        <row r="1415">
          <cell r="A1415">
            <v>3035515442</v>
          </cell>
          <cell r="B1415" t="str">
            <v>Not Responded</v>
          </cell>
          <cell r="C1415">
            <v>42742.73709116898</v>
          </cell>
        </row>
        <row r="1416">
          <cell r="A1416">
            <v>3035509640</v>
          </cell>
          <cell r="B1416" t="str">
            <v>Not Responded</v>
          </cell>
          <cell r="C1416">
            <v>42742.73709116898</v>
          </cell>
        </row>
        <row r="1417">
          <cell r="A1417">
            <v>3035440630</v>
          </cell>
          <cell r="B1417" t="str">
            <v>Not Responded</v>
          </cell>
          <cell r="C1417">
            <v>42741.737065358793</v>
          </cell>
        </row>
        <row r="1418">
          <cell r="A1418">
            <v>3035408953</v>
          </cell>
          <cell r="B1418" t="str">
            <v>Not Responded</v>
          </cell>
          <cell r="C1418">
            <v>42742.73709116898</v>
          </cell>
        </row>
        <row r="1419">
          <cell r="A1419">
            <v>3035518552</v>
          </cell>
          <cell r="B1419" t="str">
            <v>Not Responded</v>
          </cell>
          <cell r="C1419">
            <v>42742.73709116898</v>
          </cell>
        </row>
        <row r="1420">
          <cell r="A1420">
            <v>3035520928</v>
          </cell>
          <cell r="B1420" t="str">
            <v>Not Responded</v>
          </cell>
          <cell r="C1420">
            <v>42742.73709116898</v>
          </cell>
        </row>
        <row r="1421">
          <cell r="A1421">
            <v>3035526712</v>
          </cell>
          <cell r="B1421" t="str">
            <v>Not Responded</v>
          </cell>
          <cell r="C1421">
            <v>42742.73709116898</v>
          </cell>
        </row>
        <row r="1422">
          <cell r="A1422">
            <v>3035512743</v>
          </cell>
          <cell r="B1422" t="str">
            <v>Not Responded</v>
          </cell>
          <cell r="C1422">
            <v>42742.73709116898</v>
          </cell>
        </row>
        <row r="1423">
          <cell r="A1423">
            <v>3035518378</v>
          </cell>
          <cell r="B1423" t="str">
            <v>Not Responded</v>
          </cell>
          <cell r="C1423">
            <v>42742.73709116898</v>
          </cell>
        </row>
        <row r="1424">
          <cell r="A1424">
            <v>3035521925</v>
          </cell>
          <cell r="B1424" t="str">
            <v>Not Responded</v>
          </cell>
          <cell r="C1424">
            <v>42742.73709116898</v>
          </cell>
        </row>
        <row r="1425">
          <cell r="A1425">
            <v>3035513271</v>
          </cell>
          <cell r="B1425" t="str">
            <v>Not Responded</v>
          </cell>
          <cell r="C1425">
            <v>42742.73709116898</v>
          </cell>
        </row>
        <row r="1426">
          <cell r="A1426">
            <v>3035517346</v>
          </cell>
          <cell r="B1426" t="str">
            <v>Not Responded</v>
          </cell>
          <cell r="C1426">
            <v>42742.73709116898</v>
          </cell>
        </row>
        <row r="1427">
          <cell r="A1427">
            <v>3035433907</v>
          </cell>
          <cell r="B1427" t="str">
            <v>Not Responded</v>
          </cell>
          <cell r="C1427">
            <v>42742.73709116898</v>
          </cell>
        </row>
        <row r="1428">
          <cell r="A1428">
            <v>3035446259</v>
          </cell>
          <cell r="B1428" t="str">
            <v>Not Responded</v>
          </cell>
          <cell r="C1428">
            <v>42741.73704378472</v>
          </cell>
        </row>
        <row r="1429">
          <cell r="A1429">
            <v>3035481391</v>
          </cell>
          <cell r="B1429" t="str">
            <v>Not Responded</v>
          </cell>
          <cell r="C1429">
            <v>42741.73704378472</v>
          </cell>
        </row>
        <row r="1430">
          <cell r="A1430">
            <v>3035175005</v>
          </cell>
          <cell r="B1430" t="str">
            <v>Not Responded</v>
          </cell>
          <cell r="C1430">
            <v>42741.73704378472</v>
          </cell>
        </row>
        <row r="1431">
          <cell r="A1431">
            <v>3035452010</v>
          </cell>
          <cell r="B1431" t="str">
            <v>Not Responded</v>
          </cell>
          <cell r="C1431">
            <v>42741.73704378472</v>
          </cell>
        </row>
        <row r="1432">
          <cell r="A1432">
            <v>3035241465</v>
          </cell>
          <cell r="B1432" t="str">
            <v>Not Responded</v>
          </cell>
          <cell r="C1432">
            <v>42741.73704378472</v>
          </cell>
        </row>
        <row r="1433">
          <cell r="A1433">
            <v>3035490737</v>
          </cell>
          <cell r="B1433" t="str">
            <v>Not Responded</v>
          </cell>
          <cell r="C1433">
            <v>42741.73704378472</v>
          </cell>
        </row>
        <row r="1434">
          <cell r="A1434">
            <v>3035232633</v>
          </cell>
          <cell r="B1434" t="str">
            <v>Not Responded</v>
          </cell>
          <cell r="C1434">
            <v>42741.73704378472</v>
          </cell>
        </row>
        <row r="1435">
          <cell r="A1435">
            <v>3035491073</v>
          </cell>
          <cell r="B1435" t="str">
            <v>Not Responded</v>
          </cell>
          <cell r="C1435">
            <v>42741.73704378472</v>
          </cell>
        </row>
        <row r="1436">
          <cell r="A1436">
            <v>3035479209</v>
          </cell>
          <cell r="B1436" t="str">
            <v>Not Responded</v>
          </cell>
          <cell r="C1436">
            <v>42741.73704378472</v>
          </cell>
        </row>
        <row r="1437">
          <cell r="A1437">
            <v>3035484471</v>
          </cell>
          <cell r="B1437" t="str">
            <v>Not Responded</v>
          </cell>
          <cell r="C1437">
            <v>42741.73704378472</v>
          </cell>
        </row>
        <row r="1438">
          <cell r="A1438">
            <v>3035480798</v>
          </cell>
          <cell r="B1438" t="str">
            <v>Not Responded</v>
          </cell>
          <cell r="C1438">
            <v>42741.73704378472</v>
          </cell>
        </row>
        <row r="1439">
          <cell r="A1439">
            <v>3035481857</v>
          </cell>
          <cell r="B1439" t="str">
            <v>Not Responded</v>
          </cell>
          <cell r="C1439">
            <v>42741.73704378472</v>
          </cell>
        </row>
        <row r="1440">
          <cell r="A1440">
            <v>3035480906</v>
          </cell>
          <cell r="B1440" t="str">
            <v>Not Responded</v>
          </cell>
          <cell r="C1440">
            <v>42741.73704378472</v>
          </cell>
        </row>
        <row r="1441">
          <cell r="A1441">
            <v>3035469167</v>
          </cell>
          <cell r="B1441" t="str">
            <v>Not Responded</v>
          </cell>
          <cell r="C1441">
            <v>42741.73704378472</v>
          </cell>
        </row>
        <row r="1442">
          <cell r="A1442">
            <v>3035478632</v>
          </cell>
          <cell r="B1442" t="str">
            <v>Not Responded</v>
          </cell>
          <cell r="C1442">
            <v>42741.73704378472</v>
          </cell>
        </row>
        <row r="1443">
          <cell r="A1443">
            <v>3035488726</v>
          </cell>
          <cell r="B1443" t="str">
            <v>Not Responded</v>
          </cell>
          <cell r="C1443">
            <v>42741.73704378472</v>
          </cell>
        </row>
        <row r="1444">
          <cell r="A1444">
            <v>3035216165</v>
          </cell>
          <cell r="B1444" t="str">
            <v>Not Responded</v>
          </cell>
          <cell r="C1444">
            <v>42740.737851504629</v>
          </cell>
        </row>
        <row r="1445">
          <cell r="A1445">
            <v>3035476868</v>
          </cell>
          <cell r="B1445" t="str">
            <v>Not Responded</v>
          </cell>
          <cell r="C1445">
            <v>42741.73704378472</v>
          </cell>
        </row>
        <row r="1446">
          <cell r="A1446">
            <v>3035486015</v>
          </cell>
          <cell r="B1446" t="str">
            <v>Not Responded</v>
          </cell>
          <cell r="C1446">
            <v>42741.73704378472</v>
          </cell>
        </row>
        <row r="1447">
          <cell r="A1447">
            <v>3035487309</v>
          </cell>
          <cell r="B1447" t="str">
            <v>Not Responded</v>
          </cell>
          <cell r="C1447">
            <v>42741.73704378472</v>
          </cell>
        </row>
        <row r="1448">
          <cell r="A1448">
            <v>3035492302</v>
          </cell>
          <cell r="B1448" t="str">
            <v>Not Responded</v>
          </cell>
          <cell r="C1448">
            <v>42741.73704378472</v>
          </cell>
        </row>
        <row r="1449">
          <cell r="A1449">
            <v>3035482825</v>
          </cell>
          <cell r="B1449" t="str">
            <v>Not Responded</v>
          </cell>
          <cell r="C1449">
            <v>42741.73704378472</v>
          </cell>
        </row>
        <row r="1450">
          <cell r="A1450">
            <v>3035379216</v>
          </cell>
          <cell r="B1450" t="str">
            <v>Not Responded</v>
          </cell>
          <cell r="C1450">
            <v>42741.73704378472</v>
          </cell>
        </row>
        <row r="1451">
          <cell r="A1451">
            <v>3035431390</v>
          </cell>
          <cell r="B1451" t="str">
            <v>Not Responded</v>
          </cell>
          <cell r="C1451">
            <v>42741.73704378472</v>
          </cell>
        </row>
        <row r="1452">
          <cell r="A1452">
            <v>3035433043</v>
          </cell>
          <cell r="B1452" t="str">
            <v>Not Responded</v>
          </cell>
          <cell r="C1452">
            <v>42741.73704378472</v>
          </cell>
        </row>
        <row r="1453">
          <cell r="A1453">
            <v>3035472599</v>
          </cell>
          <cell r="B1453" t="str">
            <v>Not Responded</v>
          </cell>
          <cell r="C1453">
            <v>42741.73704378472</v>
          </cell>
        </row>
        <row r="1454">
          <cell r="A1454">
            <v>3035475198</v>
          </cell>
          <cell r="B1454" t="str">
            <v>Not Responded</v>
          </cell>
          <cell r="C1454">
            <v>42741.73704378472</v>
          </cell>
        </row>
        <row r="1455">
          <cell r="A1455">
            <v>3035295518</v>
          </cell>
          <cell r="B1455" t="str">
            <v>Not Responded</v>
          </cell>
          <cell r="C1455">
            <v>42741.73704378472</v>
          </cell>
        </row>
        <row r="1456">
          <cell r="A1456">
            <v>3035488006</v>
          </cell>
          <cell r="B1456" t="str">
            <v>Not Responded</v>
          </cell>
          <cell r="C1456">
            <v>42741.73704378472</v>
          </cell>
        </row>
        <row r="1457">
          <cell r="A1457">
            <v>3035468818</v>
          </cell>
          <cell r="B1457" t="str">
            <v>Not Responded</v>
          </cell>
          <cell r="C1457">
            <v>42741.73704378472</v>
          </cell>
        </row>
        <row r="1458">
          <cell r="A1458">
            <v>3035479253</v>
          </cell>
          <cell r="B1458" t="str">
            <v>Not Responded</v>
          </cell>
          <cell r="C1458">
            <v>42741.73704378472</v>
          </cell>
        </row>
        <row r="1459">
          <cell r="A1459">
            <v>3035469625</v>
          </cell>
          <cell r="B1459" t="str">
            <v>Not Responded</v>
          </cell>
          <cell r="C1459">
            <v>42741.73704378472</v>
          </cell>
        </row>
        <row r="1460">
          <cell r="A1460">
            <v>3035432998</v>
          </cell>
          <cell r="B1460" t="str">
            <v>Not Responded</v>
          </cell>
          <cell r="C1460">
            <v>42741.73704378472</v>
          </cell>
        </row>
        <row r="1461">
          <cell r="A1461">
            <v>3035469263</v>
          </cell>
          <cell r="B1461" t="str">
            <v>Not Responded</v>
          </cell>
          <cell r="C1461">
            <v>42741.73704378472</v>
          </cell>
        </row>
        <row r="1462">
          <cell r="A1462">
            <v>3035479865</v>
          </cell>
          <cell r="B1462" t="str">
            <v>Not Responded</v>
          </cell>
          <cell r="C1462">
            <v>42741.73704378472</v>
          </cell>
        </row>
        <row r="1463">
          <cell r="A1463">
            <v>3035482183</v>
          </cell>
          <cell r="B1463" t="str">
            <v>Not Responded</v>
          </cell>
          <cell r="C1463">
            <v>42741.73704378472</v>
          </cell>
        </row>
        <row r="1464">
          <cell r="A1464">
            <v>3035431663</v>
          </cell>
          <cell r="B1464" t="str">
            <v>Not Responded</v>
          </cell>
          <cell r="C1464">
            <v>42741.73704378472</v>
          </cell>
        </row>
        <row r="1465">
          <cell r="A1465">
            <v>3035472766</v>
          </cell>
          <cell r="B1465" t="str">
            <v>Not Responded</v>
          </cell>
          <cell r="C1465">
            <v>42741.73704378472</v>
          </cell>
        </row>
        <row r="1466">
          <cell r="A1466">
            <v>3035482494</v>
          </cell>
          <cell r="B1466" t="str">
            <v>Not Responded</v>
          </cell>
          <cell r="C1466">
            <v>42741.73704378472</v>
          </cell>
        </row>
        <row r="1467">
          <cell r="A1467">
            <v>3035571511</v>
          </cell>
          <cell r="B1467" t="str">
            <v>Not Responded</v>
          </cell>
          <cell r="C1467">
            <v>42744.734167210649</v>
          </cell>
        </row>
        <row r="1468">
          <cell r="A1468">
            <v>3035492771</v>
          </cell>
          <cell r="B1468" t="str">
            <v>Not Responded</v>
          </cell>
          <cell r="C1468">
            <v>42744.734167210649</v>
          </cell>
        </row>
        <row r="1469">
          <cell r="A1469">
            <v>3035527363</v>
          </cell>
          <cell r="B1469" t="str">
            <v>Not Responded</v>
          </cell>
          <cell r="C1469">
            <v>42744.734167210649</v>
          </cell>
        </row>
        <row r="1470">
          <cell r="A1470">
            <v>3035573100</v>
          </cell>
          <cell r="B1470" t="str">
            <v>Not Responded</v>
          </cell>
          <cell r="C1470">
            <v>42744.734167210649</v>
          </cell>
        </row>
        <row r="1471">
          <cell r="A1471">
            <v>3035572130</v>
          </cell>
          <cell r="B1471" t="str">
            <v>Not Responded</v>
          </cell>
          <cell r="C1471">
            <v>42744.734167210649</v>
          </cell>
        </row>
        <row r="1472">
          <cell r="A1472">
            <v>3035570137</v>
          </cell>
          <cell r="B1472" t="str">
            <v>Not Responded</v>
          </cell>
          <cell r="C1472">
            <v>42744.734167210649</v>
          </cell>
        </row>
        <row r="1473">
          <cell r="A1473">
            <v>3035271275</v>
          </cell>
          <cell r="B1473" t="str">
            <v>Not Responded</v>
          </cell>
          <cell r="C1473">
            <v>42744.734167210649</v>
          </cell>
        </row>
        <row r="1474">
          <cell r="A1474">
            <v>3035568304</v>
          </cell>
          <cell r="B1474" t="str">
            <v>Not Responded</v>
          </cell>
          <cell r="C1474">
            <v>42744.734167210649</v>
          </cell>
        </row>
        <row r="1475">
          <cell r="A1475">
            <v>3035517860</v>
          </cell>
          <cell r="B1475" t="str">
            <v>Not Responded</v>
          </cell>
          <cell r="C1475">
            <v>42744.734167210649</v>
          </cell>
        </row>
        <row r="1476">
          <cell r="A1476">
            <v>3035571660</v>
          </cell>
          <cell r="B1476" t="str">
            <v>Not Responded</v>
          </cell>
          <cell r="C1476">
            <v>42744.734167210649</v>
          </cell>
        </row>
        <row r="1477">
          <cell r="A1477">
            <v>3035568256</v>
          </cell>
          <cell r="B1477" t="str">
            <v>Not Responded</v>
          </cell>
          <cell r="C1477">
            <v>42744.734167210649</v>
          </cell>
        </row>
        <row r="1478">
          <cell r="A1478">
            <v>3035554737</v>
          </cell>
          <cell r="B1478" t="str">
            <v>Not Responded</v>
          </cell>
          <cell r="C1478">
            <v>42744.734167210649</v>
          </cell>
        </row>
        <row r="1479">
          <cell r="A1479">
            <v>3035273881</v>
          </cell>
          <cell r="B1479" t="str">
            <v>Not Responded</v>
          </cell>
          <cell r="C1479">
            <v>42744.734167210649</v>
          </cell>
        </row>
        <row r="1480">
          <cell r="A1480">
            <v>3035554669</v>
          </cell>
          <cell r="B1480" t="str">
            <v>Not Responded</v>
          </cell>
          <cell r="C1480">
            <v>42746.737756446761</v>
          </cell>
        </row>
        <row r="1481">
          <cell r="A1481">
            <v>3035603602</v>
          </cell>
          <cell r="B1481" t="str">
            <v>Not Responded</v>
          </cell>
          <cell r="C1481">
            <v>42746.737756446761</v>
          </cell>
        </row>
        <row r="1482">
          <cell r="A1482">
            <v>3035469301</v>
          </cell>
          <cell r="B1482" t="str">
            <v>Not Responded</v>
          </cell>
          <cell r="C1482">
            <v>42746.737756446761</v>
          </cell>
        </row>
        <row r="1483">
          <cell r="A1483">
            <v>3035614737</v>
          </cell>
          <cell r="B1483" t="str">
            <v>Not Responded</v>
          </cell>
          <cell r="C1483">
            <v>42746.737756446761</v>
          </cell>
        </row>
        <row r="1484">
          <cell r="A1484">
            <v>3035418639</v>
          </cell>
          <cell r="B1484" t="str">
            <v>Not Responded</v>
          </cell>
          <cell r="C1484">
            <v>42746.737756446761</v>
          </cell>
        </row>
        <row r="1485">
          <cell r="A1485">
            <v>3035610402</v>
          </cell>
          <cell r="B1485" t="str">
            <v>Not Responded</v>
          </cell>
          <cell r="C1485">
            <v>42746.737756446761</v>
          </cell>
        </row>
        <row r="1486">
          <cell r="A1486">
            <v>3035404247</v>
          </cell>
          <cell r="B1486" t="str">
            <v>Not Responded</v>
          </cell>
          <cell r="C1486">
            <v>42746.737756446761</v>
          </cell>
        </row>
        <row r="1487">
          <cell r="A1487">
            <v>3035552528</v>
          </cell>
          <cell r="B1487" t="str">
            <v>Not Responded</v>
          </cell>
          <cell r="C1487">
            <v>42746.737756446761</v>
          </cell>
        </row>
        <row r="1488">
          <cell r="A1488">
            <v>3035603520</v>
          </cell>
          <cell r="B1488" t="str">
            <v>Not Responded</v>
          </cell>
          <cell r="C1488">
            <v>42746.737756446761</v>
          </cell>
        </row>
        <row r="1489">
          <cell r="A1489">
            <v>3035528308</v>
          </cell>
          <cell r="B1489" t="str">
            <v>Not Responded</v>
          </cell>
          <cell r="C1489">
            <v>42746.737756446761</v>
          </cell>
        </row>
        <row r="1490">
          <cell r="A1490">
            <v>3035569553</v>
          </cell>
          <cell r="B1490" t="str">
            <v>Not Responded</v>
          </cell>
          <cell r="C1490">
            <v>42746.737756446761</v>
          </cell>
        </row>
        <row r="1491">
          <cell r="A1491">
            <v>3035514874</v>
          </cell>
          <cell r="B1491" t="str">
            <v>Not Responded</v>
          </cell>
          <cell r="C1491">
            <v>42746.737756446761</v>
          </cell>
        </row>
        <row r="1492">
          <cell r="A1492">
            <v>3035602179</v>
          </cell>
          <cell r="B1492" t="str">
            <v>Not Responded</v>
          </cell>
          <cell r="C1492">
            <v>42746.737756446761</v>
          </cell>
        </row>
        <row r="1493">
          <cell r="A1493">
            <v>3035604421</v>
          </cell>
          <cell r="B1493" t="str">
            <v>Not Responded</v>
          </cell>
          <cell r="C1493">
            <v>42746.737756446761</v>
          </cell>
        </row>
        <row r="1494">
          <cell r="A1494">
            <v>3035607199</v>
          </cell>
          <cell r="B1494" t="str">
            <v>Not Responded</v>
          </cell>
          <cell r="C1494">
            <v>42746.737756446761</v>
          </cell>
        </row>
        <row r="1495">
          <cell r="A1495">
            <v>3035399091</v>
          </cell>
          <cell r="B1495" t="str">
            <v>Not Responded</v>
          </cell>
          <cell r="C1495">
            <v>42746.737756446761</v>
          </cell>
        </row>
        <row r="1496">
          <cell r="A1496">
            <v>3035605986</v>
          </cell>
          <cell r="B1496" t="str">
            <v>Not Responded</v>
          </cell>
          <cell r="C1496">
            <v>42746.737756446761</v>
          </cell>
        </row>
        <row r="1497">
          <cell r="A1497">
            <v>3035604345</v>
          </cell>
          <cell r="B1497" t="str">
            <v>Not Responded</v>
          </cell>
          <cell r="C1497">
            <v>42746.737756446761</v>
          </cell>
        </row>
        <row r="1498">
          <cell r="A1498">
            <v>3035560130</v>
          </cell>
          <cell r="B1498" t="str">
            <v>Not Responded</v>
          </cell>
          <cell r="C1498">
            <v>42746.737756446761</v>
          </cell>
        </row>
        <row r="1499">
          <cell r="A1499">
            <v>3035442691</v>
          </cell>
          <cell r="B1499" t="str">
            <v>Not Responded</v>
          </cell>
          <cell r="C1499">
            <v>42746.737756446761</v>
          </cell>
        </row>
        <row r="1500">
          <cell r="A1500">
            <v>3035549200</v>
          </cell>
          <cell r="B1500" t="str">
            <v>Not Responded</v>
          </cell>
          <cell r="C1500">
            <v>42746.737756446761</v>
          </cell>
        </row>
        <row r="1501">
          <cell r="A1501">
            <v>3035602898</v>
          </cell>
          <cell r="B1501" t="str">
            <v>Not Responded</v>
          </cell>
          <cell r="C1501">
            <v>42746.737756446761</v>
          </cell>
        </row>
        <row r="1502">
          <cell r="A1502">
            <v>3035477797</v>
          </cell>
          <cell r="B1502" t="str">
            <v>Not Responded</v>
          </cell>
          <cell r="C1502">
            <v>42746.737756446761</v>
          </cell>
        </row>
        <row r="1503">
          <cell r="A1503">
            <v>3035606628</v>
          </cell>
          <cell r="B1503" t="str">
            <v>Not Responded</v>
          </cell>
          <cell r="C1503">
            <v>42746.737756446761</v>
          </cell>
        </row>
        <row r="1504">
          <cell r="A1504">
            <v>3035437632</v>
          </cell>
          <cell r="B1504" t="str">
            <v>Not Responded</v>
          </cell>
          <cell r="C1504">
            <v>42746.737756446761</v>
          </cell>
        </row>
        <row r="1505">
          <cell r="A1505">
            <v>3035541993</v>
          </cell>
          <cell r="B1505" t="str">
            <v>Not Responded</v>
          </cell>
          <cell r="C1505">
            <v>42746.737756446761</v>
          </cell>
        </row>
        <row r="1506">
          <cell r="A1506">
            <v>3035505328</v>
          </cell>
          <cell r="B1506" t="str">
            <v>Not Responded</v>
          </cell>
          <cell r="C1506">
            <v>42746.737756446761</v>
          </cell>
        </row>
        <row r="1507">
          <cell r="A1507">
            <v>3035607456</v>
          </cell>
          <cell r="B1507" t="str">
            <v>Not Responded</v>
          </cell>
          <cell r="C1507">
            <v>42746.737756446761</v>
          </cell>
        </row>
        <row r="1508">
          <cell r="A1508">
            <v>3035622487</v>
          </cell>
          <cell r="B1508" t="str">
            <v>Not Responded</v>
          </cell>
          <cell r="C1508">
            <v>42746.737756446761</v>
          </cell>
        </row>
        <row r="1509">
          <cell r="A1509">
            <v>3035526713</v>
          </cell>
          <cell r="B1509" t="str">
            <v>Not Responded</v>
          </cell>
          <cell r="C1509">
            <v>42746.737756446761</v>
          </cell>
        </row>
        <row r="1510">
          <cell r="A1510">
            <v>3035528378</v>
          </cell>
          <cell r="B1510" t="str">
            <v>Not Responded</v>
          </cell>
          <cell r="C1510">
            <v>42746.737756446761</v>
          </cell>
        </row>
        <row r="1511">
          <cell r="A1511">
            <v>3035614408</v>
          </cell>
          <cell r="B1511" t="str">
            <v>Not Responded</v>
          </cell>
          <cell r="C1511">
            <v>42746.737756446761</v>
          </cell>
        </row>
        <row r="1512">
          <cell r="A1512">
            <v>3035604564</v>
          </cell>
          <cell r="B1512" t="str">
            <v>Not Responded</v>
          </cell>
          <cell r="C1512">
            <v>42746.737756446761</v>
          </cell>
        </row>
        <row r="1513">
          <cell r="A1513">
            <v>3035520412</v>
          </cell>
          <cell r="B1513" t="str">
            <v>Not Responded</v>
          </cell>
          <cell r="C1513">
            <v>42746.737756446761</v>
          </cell>
        </row>
        <row r="1514">
          <cell r="A1514">
            <v>3035547607</v>
          </cell>
          <cell r="B1514" t="str">
            <v>Not Responded</v>
          </cell>
          <cell r="C1514">
            <v>42746.737756446761</v>
          </cell>
        </row>
        <row r="1515">
          <cell r="A1515">
            <v>3035617601</v>
          </cell>
          <cell r="B1515" t="str">
            <v>Not Responded</v>
          </cell>
          <cell r="C1515">
            <v>42746.737756446761</v>
          </cell>
        </row>
        <row r="1516">
          <cell r="A1516">
            <v>3035549612</v>
          </cell>
          <cell r="B1516" t="str">
            <v>Not Responded</v>
          </cell>
          <cell r="C1516">
            <v>42746.737756446761</v>
          </cell>
        </row>
        <row r="1517">
          <cell r="A1517">
            <v>3035607401</v>
          </cell>
          <cell r="B1517" t="str">
            <v>Not Responded</v>
          </cell>
          <cell r="C1517">
            <v>42746.737756446761</v>
          </cell>
        </row>
        <row r="1518">
          <cell r="A1518">
            <v>3035615812</v>
          </cell>
          <cell r="B1518" t="str">
            <v>Not Responded</v>
          </cell>
          <cell r="C1518">
            <v>42746.737756446761</v>
          </cell>
        </row>
        <row r="1519">
          <cell r="A1519">
            <v>3035603239</v>
          </cell>
          <cell r="B1519" t="str">
            <v>Not Responded</v>
          </cell>
          <cell r="C1519">
            <v>42746.737756446761</v>
          </cell>
        </row>
        <row r="1520">
          <cell r="A1520">
            <v>3035541616</v>
          </cell>
          <cell r="B1520" t="str">
            <v>Not Responded</v>
          </cell>
          <cell r="C1520">
            <v>42746.737756446761</v>
          </cell>
        </row>
        <row r="1521">
          <cell r="A1521">
            <v>3035616513</v>
          </cell>
          <cell r="B1521" t="str">
            <v>Not Responded</v>
          </cell>
          <cell r="C1521">
            <v>42746.737756446761</v>
          </cell>
        </row>
        <row r="1522">
          <cell r="A1522">
            <v>3035443071</v>
          </cell>
          <cell r="B1522" t="str">
            <v>Not Responded</v>
          </cell>
          <cell r="C1522">
            <v>42746.737756446761</v>
          </cell>
        </row>
        <row r="1523">
          <cell r="A1523">
            <v>3035611253</v>
          </cell>
          <cell r="B1523" t="str">
            <v>Not Responded</v>
          </cell>
          <cell r="C1523">
            <v>42746.737756446761</v>
          </cell>
        </row>
        <row r="1524">
          <cell r="A1524">
            <v>3035601708</v>
          </cell>
          <cell r="B1524" t="str">
            <v>Not Responded</v>
          </cell>
          <cell r="C1524">
            <v>42746.737756446761</v>
          </cell>
        </row>
        <row r="1525">
          <cell r="A1525">
            <v>3035614298</v>
          </cell>
          <cell r="B1525" t="str">
            <v>Not Responded</v>
          </cell>
          <cell r="C1525">
            <v>42746.737756446761</v>
          </cell>
        </row>
        <row r="1526">
          <cell r="A1526">
            <v>3035608733</v>
          </cell>
          <cell r="B1526" t="str">
            <v>Not Responded</v>
          </cell>
          <cell r="C1526">
            <v>42746.737756446761</v>
          </cell>
        </row>
        <row r="1527">
          <cell r="A1527">
            <v>3035605482</v>
          </cell>
          <cell r="B1527" t="str">
            <v>Not Responded</v>
          </cell>
          <cell r="C1527">
            <v>42746.737756446761</v>
          </cell>
        </row>
        <row r="1528">
          <cell r="A1528">
            <v>3035295041</v>
          </cell>
          <cell r="B1528" t="str">
            <v>Not Responded</v>
          </cell>
          <cell r="C1528">
            <v>42746.737756446761</v>
          </cell>
        </row>
        <row r="1529">
          <cell r="A1529">
            <v>3035612387</v>
          </cell>
          <cell r="B1529" t="str">
            <v>Not Responded</v>
          </cell>
          <cell r="C1529">
            <v>42746.737756446761</v>
          </cell>
        </row>
        <row r="1530">
          <cell r="A1530">
            <v>3035480549</v>
          </cell>
          <cell r="B1530" t="str">
            <v>Not Responded</v>
          </cell>
          <cell r="C1530">
            <v>42746.737756446761</v>
          </cell>
        </row>
        <row r="1531">
          <cell r="A1531">
            <v>3035338288</v>
          </cell>
          <cell r="B1531" t="str">
            <v>Not Responded</v>
          </cell>
          <cell r="C1531">
            <v>42746.737756446761</v>
          </cell>
        </row>
        <row r="1532">
          <cell r="A1532">
            <v>3035611226</v>
          </cell>
          <cell r="B1532" t="str">
            <v>Not Responded</v>
          </cell>
          <cell r="C1532">
            <v>42746.737756446761</v>
          </cell>
        </row>
        <row r="1533">
          <cell r="A1533">
            <v>3035603429</v>
          </cell>
          <cell r="B1533" t="str">
            <v>Not Responded</v>
          </cell>
          <cell r="C1533">
            <v>42746.737756446761</v>
          </cell>
        </row>
        <row r="1534">
          <cell r="A1534">
            <v>3035607535</v>
          </cell>
          <cell r="B1534" t="str">
            <v>Not Responded</v>
          </cell>
          <cell r="C1534">
            <v>42746.737788773149</v>
          </cell>
        </row>
        <row r="1535">
          <cell r="A1535">
            <v>3035558009</v>
          </cell>
          <cell r="B1535" t="str">
            <v>Not Responded</v>
          </cell>
          <cell r="C1535">
            <v>42746.737756446761</v>
          </cell>
        </row>
        <row r="1536">
          <cell r="A1536">
            <v>3035572963</v>
          </cell>
          <cell r="B1536" t="str">
            <v>Not Responded</v>
          </cell>
          <cell r="C1536">
            <v>42746.737756446761</v>
          </cell>
        </row>
        <row r="1537">
          <cell r="A1537">
            <v>3035642233</v>
          </cell>
          <cell r="B1537" t="str">
            <v>Not Responded</v>
          </cell>
          <cell r="C1537">
            <v>42747.737639085652</v>
          </cell>
        </row>
        <row r="1538">
          <cell r="A1538">
            <v>3035608975</v>
          </cell>
          <cell r="B1538" t="str">
            <v>Not Responded</v>
          </cell>
          <cell r="C1538">
            <v>42747.737639085652</v>
          </cell>
        </row>
        <row r="1539">
          <cell r="A1539">
            <v>3035541808</v>
          </cell>
          <cell r="B1539" t="str">
            <v>Not Responded</v>
          </cell>
          <cell r="C1539">
            <v>42747.737639085652</v>
          </cell>
        </row>
        <row r="1540">
          <cell r="A1540">
            <v>3035608567</v>
          </cell>
          <cell r="B1540" t="str">
            <v>Not Responded</v>
          </cell>
          <cell r="C1540">
            <v>42746.737788773149</v>
          </cell>
        </row>
        <row r="1541">
          <cell r="A1541">
            <v>3035664613</v>
          </cell>
          <cell r="B1541" t="str">
            <v>Not Responded</v>
          </cell>
          <cell r="C1541">
            <v>42747.737639085652</v>
          </cell>
        </row>
        <row r="1542">
          <cell r="A1542">
            <v>3035654749</v>
          </cell>
          <cell r="B1542" t="str">
            <v>Not Responded</v>
          </cell>
          <cell r="C1542">
            <v>42747.737639085652</v>
          </cell>
        </row>
        <row r="1543">
          <cell r="A1543">
            <v>3035602913</v>
          </cell>
          <cell r="B1543" t="str">
            <v>Not Responded</v>
          </cell>
          <cell r="C1543">
            <v>42747.737639085652</v>
          </cell>
        </row>
        <row r="1544">
          <cell r="A1544">
            <v>3035542438</v>
          </cell>
          <cell r="B1544" t="str">
            <v>Not Responded</v>
          </cell>
          <cell r="C1544">
            <v>42747.737639085652</v>
          </cell>
        </row>
        <row r="1545">
          <cell r="A1545">
            <v>3035624645</v>
          </cell>
          <cell r="B1545" t="str">
            <v>Not Responded</v>
          </cell>
          <cell r="C1545">
            <v>42747.737639085652</v>
          </cell>
        </row>
        <row r="1546">
          <cell r="A1546">
            <v>3035469164</v>
          </cell>
          <cell r="B1546" t="str">
            <v>Not Responded</v>
          </cell>
          <cell r="C1546">
            <v>42747.737639085652</v>
          </cell>
        </row>
        <row r="1547">
          <cell r="A1547">
            <v>3035640864</v>
          </cell>
          <cell r="B1547" t="str">
            <v>Not Responded</v>
          </cell>
          <cell r="C1547">
            <v>42747.737639085652</v>
          </cell>
        </row>
        <row r="1548">
          <cell r="A1548">
            <v>3035645207</v>
          </cell>
          <cell r="B1548" t="str">
            <v>Not Responded</v>
          </cell>
          <cell r="C1548">
            <v>42747.737639085652</v>
          </cell>
        </row>
        <row r="1549">
          <cell r="A1549">
            <v>3035605901</v>
          </cell>
          <cell r="B1549" t="str">
            <v>Not Responded</v>
          </cell>
          <cell r="C1549">
            <v>42747.737639085652</v>
          </cell>
        </row>
        <row r="1550">
          <cell r="A1550">
            <v>3035641190</v>
          </cell>
          <cell r="B1550" t="str">
            <v>Not Responded</v>
          </cell>
          <cell r="C1550">
            <v>42747.737639085652</v>
          </cell>
        </row>
        <row r="1551">
          <cell r="A1551">
            <v>3035448859</v>
          </cell>
          <cell r="B1551" t="str">
            <v>Not Responded</v>
          </cell>
          <cell r="C1551">
            <v>42747.737639085652</v>
          </cell>
        </row>
        <row r="1552">
          <cell r="A1552">
            <v>3035656808</v>
          </cell>
          <cell r="B1552" t="str">
            <v>Not Responded</v>
          </cell>
          <cell r="C1552">
            <v>42747.737639085652</v>
          </cell>
        </row>
        <row r="1553">
          <cell r="A1553">
            <v>3035657818</v>
          </cell>
          <cell r="B1553" t="str">
            <v>Not Responded</v>
          </cell>
          <cell r="C1553">
            <v>42747.737639085652</v>
          </cell>
        </row>
        <row r="1554">
          <cell r="A1554">
            <v>3035470040</v>
          </cell>
          <cell r="B1554" t="str">
            <v>Not Responded</v>
          </cell>
          <cell r="C1554">
            <v>42747.737639085652</v>
          </cell>
        </row>
        <row r="1555">
          <cell r="A1555">
            <v>3035656690</v>
          </cell>
          <cell r="B1555" t="str">
            <v>Not Responded</v>
          </cell>
          <cell r="C1555">
            <v>42747.737639085652</v>
          </cell>
        </row>
        <row r="1556">
          <cell r="A1556">
            <v>3035654764</v>
          </cell>
          <cell r="B1556" t="str">
            <v>Not Responded</v>
          </cell>
          <cell r="C1556">
            <v>42747.737639085652</v>
          </cell>
        </row>
        <row r="1557">
          <cell r="A1557">
            <v>3035542359</v>
          </cell>
          <cell r="B1557" t="str">
            <v>Not Responded</v>
          </cell>
          <cell r="C1557">
            <v>42747.737639085652</v>
          </cell>
        </row>
        <row r="1558">
          <cell r="A1558">
            <v>3035646460</v>
          </cell>
          <cell r="B1558" t="str">
            <v>Not Responded</v>
          </cell>
          <cell r="C1558">
            <v>42747.737639085652</v>
          </cell>
        </row>
        <row r="1559">
          <cell r="A1559">
            <v>3035641630</v>
          </cell>
          <cell r="B1559" t="str">
            <v>Not Responded</v>
          </cell>
          <cell r="C1559">
            <v>42747.737639085652</v>
          </cell>
        </row>
        <row r="1560">
          <cell r="A1560">
            <v>3035652658</v>
          </cell>
          <cell r="B1560" t="str">
            <v>Not Responded</v>
          </cell>
          <cell r="C1560">
            <v>42747.737639085652</v>
          </cell>
        </row>
        <row r="1561">
          <cell r="A1561">
            <v>3035642562</v>
          </cell>
          <cell r="B1561" t="str">
            <v>Not Responded</v>
          </cell>
          <cell r="C1561">
            <v>42747.737639085652</v>
          </cell>
        </row>
        <row r="1562">
          <cell r="A1562">
            <v>3035660479</v>
          </cell>
          <cell r="B1562" t="str">
            <v>Not Responded</v>
          </cell>
          <cell r="C1562">
            <v>42747.737639085652</v>
          </cell>
        </row>
        <row r="1563">
          <cell r="A1563">
            <v>3035653105</v>
          </cell>
          <cell r="B1563" t="str">
            <v>Not Responded</v>
          </cell>
          <cell r="C1563">
            <v>42747.737639085652</v>
          </cell>
        </row>
        <row r="1564">
          <cell r="A1564">
            <v>3035653413</v>
          </cell>
          <cell r="B1564" t="str">
            <v>Not Responded</v>
          </cell>
          <cell r="C1564">
            <v>42747.737639085652</v>
          </cell>
        </row>
        <row r="1565">
          <cell r="A1565">
            <v>3035603436</v>
          </cell>
          <cell r="B1565" t="str">
            <v>Not Responded</v>
          </cell>
          <cell r="C1565">
            <v>42747.737639085652</v>
          </cell>
        </row>
        <row r="1566">
          <cell r="A1566">
            <v>3035603834</v>
          </cell>
          <cell r="B1566" t="str">
            <v>Not Responded</v>
          </cell>
          <cell r="C1566">
            <v>42747.737639085652</v>
          </cell>
        </row>
        <row r="1567">
          <cell r="A1567">
            <v>3035508026</v>
          </cell>
          <cell r="B1567" t="str">
            <v>Not Responded</v>
          </cell>
          <cell r="C1567">
            <v>42747.737639085652</v>
          </cell>
        </row>
        <row r="1568">
          <cell r="A1568">
            <v>3035655501</v>
          </cell>
          <cell r="B1568" t="str">
            <v>Not Responded</v>
          </cell>
          <cell r="C1568">
            <v>42747.737639085652</v>
          </cell>
        </row>
        <row r="1569">
          <cell r="A1569">
            <v>3035645047</v>
          </cell>
          <cell r="B1569" t="str">
            <v>Not Responded</v>
          </cell>
          <cell r="C1569">
            <v>42747.737639085652</v>
          </cell>
        </row>
        <row r="1570">
          <cell r="A1570">
            <v>3035644279</v>
          </cell>
          <cell r="B1570" t="str">
            <v>Not Responded</v>
          </cell>
          <cell r="C1570">
            <v>42747.737639085652</v>
          </cell>
        </row>
        <row r="1571">
          <cell r="A1571">
            <v>3035641527</v>
          </cell>
          <cell r="B1571" t="str">
            <v>Not Responded</v>
          </cell>
          <cell r="C1571">
            <v>42747.737639085652</v>
          </cell>
        </row>
        <row r="1572">
          <cell r="A1572">
            <v>3035645280</v>
          </cell>
          <cell r="B1572" t="str">
            <v>Not Responded</v>
          </cell>
          <cell r="C1572">
            <v>42747.737639085652</v>
          </cell>
        </row>
        <row r="1573">
          <cell r="A1573">
            <v>3035468351</v>
          </cell>
          <cell r="B1573" t="str">
            <v>Not Responded</v>
          </cell>
          <cell r="C1573">
            <v>42747.737639085652</v>
          </cell>
        </row>
        <row r="1574">
          <cell r="A1574">
            <v>3035660148</v>
          </cell>
          <cell r="B1574" t="str">
            <v>Not Responded</v>
          </cell>
          <cell r="C1574">
            <v>42747.737639085652</v>
          </cell>
        </row>
        <row r="1575">
          <cell r="A1575">
            <v>3035627049</v>
          </cell>
          <cell r="B1575" t="str">
            <v>Not Responded</v>
          </cell>
          <cell r="C1575">
            <v>42747.737639085652</v>
          </cell>
        </row>
        <row r="1576">
          <cell r="A1576">
            <v>3035651516</v>
          </cell>
          <cell r="B1576" t="str">
            <v>Not Responded</v>
          </cell>
          <cell r="C1576">
            <v>42747.737639085652</v>
          </cell>
        </row>
        <row r="1577">
          <cell r="A1577">
            <v>3035700162</v>
          </cell>
          <cell r="B1577" t="str">
            <v>Not Responded</v>
          </cell>
          <cell r="C1577">
            <v>42748.738471724537</v>
          </cell>
        </row>
        <row r="1578">
          <cell r="A1578">
            <v>3035642622</v>
          </cell>
          <cell r="B1578" t="str">
            <v>Not Responded</v>
          </cell>
          <cell r="C1578">
            <v>42748.738471724537</v>
          </cell>
        </row>
        <row r="1579">
          <cell r="A1579">
            <v>3035640604</v>
          </cell>
          <cell r="B1579" t="str">
            <v>Not Responded</v>
          </cell>
          <cell r="C1579">
            <v>42748.738471724537</v>
          </cell>
        </row>
        <row r="1580">
          <cell r="A1580">
            <v>3035693640</v>
          </cell>
          <cell r="B1580" t="str">
            <v>Not Responded</v>
          </cell>
          <cell r="C1580">
            <v>42748.738471724537</v>
          </cell>
        </row>
        <row r="1581">
          <cell r="A1581">
            <v>3035686738</v>
          </cell>
          <cell r="B1581" t="str">
            <v>Not Responded</v>
          </cell>
          <cell r="C1581">
            <v>42748.738471724537</v>
          </cell>
        </row>
        <row r="1582">
          <cell r="A1582">
            <v>3035641561</v>
          </cell>
          <cell r="B1582" t="str">
            <v>Not Responded</v>
          </cell>
          <cell r="C1582">
            <v>42747.737639085652</v>
          </cell>
        </row>
        <row r="1583">
          <cell r="A1583">
            <v>3035647021</v>
          </cell>
          <cell r="B1583" t="str">
            <v>Not Responded</v>
          </cell>
          <cell r="C1583">
            <v>42747.737666782406</v>
          </cell>
        </row>
        <row r="1584">
          <cell r="A1584">
            <v>3035602079</v>
          </cell>
          <cell r="B1584" t="str">
            <v>Not Responded</v>
          </cell>
          <cell r="C1584">
            <v>42747.737666782406</v>
          </cell>
        </row>
        <row r="1585">
          <cell r="A1585">
            <v>3035260294</v>
          </cell>
          <cell r="B1585" t="str">
            <v>Not Responded</v>
          </cell>
          <cell r="C1585">
            <v>42733.736336539354</v>
          </cell>
        </row>
        <row r="1586">
          <cell r="A1586">
            <v>3035133118</v>
          </cell>
          <cell r="B1586" t="str">
            <v>Not Responded</v>
          </cell>
          <cell r="C1586">
            <v>42734.736929016202</v>
          </cell>
        </row>
        <row r="1587">
          <cell r="A1587">
            <v>3035302585</v>
          </cell>
          <cell r="B1587" t="str">
            <v>Not Responded</v>
          </cell>
          <cell r="C1587">
            <v>42734.736929016202</v>
          </cell>
        </row>
        <row r="1588">
          <cell r="A1588">
            <v>3035151491</v>
          </cell>
          <cell r="B1588" t="str">
            <v>Not Responded</v>
          </cell>
          <cell r="C1588">
            <v>42734.736929016202</v>
          </cell>
        </row>
        <row r="1589">
          <cell r="A1589">
            <v>3035140951</v>
          </cell>
          <cell r="B1589" t="str">
            <v>Not Responded</v>
          </cell>
          <cell r="C1589">
            <v>42734.736929016202</v>
          </cell>
        </row>
        <row r="1590">
          <cell r="A1590">
            <v>3035296337</v>
          </cell>
          <cell r="B1590" t="str">
            <v>Not Responded</v>
          </cell>
          <cell r="C1590">
            <v>42734.736929016202</v>
          </cell>
        </row>
        <row r="1591">
          <cell r="A1591">
            <v>3035139456</v>
          </cell>
          <cell r="B1591" t="str">
            <v>Not Responded</v>
          </cell>
          <cell r="C1591">
            <v>42734.736929016202</v>
          </cell>
        </row>
        <row r="1592">
          <cell r="A1592">
            <v>3035145754</v>
          </cell>
          <cell r="B1592" t="str">
            <v>Not Responded</v>
          </cell>
          <cell r="C1592">
            <v>42734.736929016202</v>
          </cell>
        </row>
        <row r="1593">
          <cell r="A1593">
            <v>3034983548</v>
          </cell>
          <cell r="B1593" t="str">
            <v>Not Responded</v>
          </cell>
          <cell r="C1593">
            <v>42734.736929016202</v>
          </cell>
        </row>
        <row r="1594">
          <cell r="A1594">
            <v>3035305806</v>
          </cell>
          <cell r="B1594" t="str">
            <v>Not Responded</v>
          </cell>
          <cell r="C1594">
            <v>42734.736929016202</v>
          </cell>
        </row>
        <row r="1595">
          <cell r="A1595">
            <v>3035260408</v>
          </cell>
          <cell r="B1595" t="str">
            <v>Not Responded</v>
          </cell>
          <cell r="C1595">
            <v>42734.736929016202</v>
          </cell>
        </row>
        <row r="1596">
          <cell r="A1596">
            <v>3035289875</v>
          </cell>
          <cell r="B1596" t="str">
            <v>Not Responded</v>
          </cell>
          <cell r="C1596">
            <v>42734.736947418984</v>
          </cell>
        </row>
        <row r="1597">
          <cell r="A1597">
            <v>3034692910</v>
          </cell>
          <cell r="B1597" t="str">
            <v>Not Responded</v>
          </cell>
          <cell r="C1597">
            <v>42734.736947418984</v>
          </cell>
        </row>
        <row r="1598">
          <cell r="A1598">
            <v>3035258918</v>
          </cell>
          <cell r="B1598" t="str">
            <v>Not Responded</v>
          </cell>
          <cell r="C1598">
            <v>42734.736929016202</v>
          </cell>
        </row>
        <row r="1599">
          <cell r="A1599">
            <v>3035307794</v>
          </cell>
          <cell r="B1599" t="str">
            <v>Not Responded</v>
          </cell>
          <cell r="C1599">
            <v>42734.736929016202</v>
          </cell>
        </row>
        <row r="1600">
          <cell r="A1600">
            <v>3035297854</v>
          </cell>
          <cell r="B1600" t="str">
            <v>Not Responded</v>
          </cell>
          <cell r="C1600">
            <v>42735.736799421298</v>
          </cell>
        </row>
        <row r="1601">
          <cell r="A1601">
            <v>3035311265</v>
          </cell>
          <cell r="B1601" t="str">
            <v>Not Responded</v>
          </cell>
          <cell r="C1601">
            <v>42735.736799421298</v>
          </cell>
        </row>
        <row r="1602">
          <cell r="A1602">
            <v>3035292546</v>
          </cell>
          <cell r="B1602" t="str">
            <v>Not Responded</v>
          </cell>
          <cell r="C1602">
            <v>42735.736799421298</v>
          </cell>
        </row>
        <row r="1603">
          <cell r="A1603">
            <v>3035333208</v>
          </cell>
          <cell r="B1603" t="str">
            <v>Not Responded</v>
          </cell>
          <cell r="C1603">
            <v>42735.736799421298</v>
          </cell>
        </row>
        <row r="1604">
          <cell r="A1604">
            <v>3035147809</v>
          </cell>
          <cell r="B1604" t="str">
            <v>Not Responded</v>
          </cell>
          <cell r="C1604">
            <v>42735.736799421298</v>
          </cell>
        </row>
        <row r="1605">
          <cell r="A1605">
            <v>3035164880</v>
          </cell>
          <cell r="B1605" t="str">
            <v>Not Responded</v>
          </cell>
          <cell r="C1605">
            <v>42735.736799421298</v>
          </cell>
        </row>
        <row r="1606">
          <cell r="A1606">
            <v>3035325343</v>
          </cell>
          <cell r="B1606" t="str">
            <v>Not Responded</v>
          </cell>
          <cell r="C1606">
            <v>42735.736799421298</v>
          </cell>
        </row>
        <row r="1607">
          <cell r="A1607">
            <v>3035231035</v>
          </cell>
          <cell r="B1607" t="str">
            <v>Not Responded</v>
          </cell>
          <cell r="C1607">
            <v>42735.736799421298</v>
          </cell>
        </row>
        <row r="1608">
          <cell r="A1608">
            <v>3035336292</v>
          </cell>
          <cell r="B1608" t="str">
            <v>Not Responded</v>
          </cell>
          <cell r="C1608">
            <v>42735.736799421298</v>
          </cell>
        </row>
        <row r="1609">
          <cell r="A1609">
            <v>3035240473</v>
          </cell>
          <cell r="B1609" t="str">
            <v>Not Responded</v>
          </cell>
          <cell r="C1609">
            <v>42735.736799421298</v>
          </cell>
        </row>
        <row r="1610">
          <cell r="A1610">
            <v>3035302460</v>
          </cell>
          <cell r="B1610" t="str">
            <v>Not Responded</v>
          </cell>
          <cell r="C1610">
            <v>42735.736799421298</v>
          </cell>
        </row>
        <row r="1611">
          <cell r="A1611">
            <v>3035324753</v>
          </cell>
          <cell r="B1611" t="str">
            <v>Not Responded</v>
          </cell>
          <cell r="C1611">
            <v>42735.736799421298</v>
          </cell>
        </row>
        <row r="1612">
          <cell r="A1612">
            <v>3035298285</v>
          </cell>
          <cell r="B1612" t="str">
            <v>Not Responded</v>
          </cell>
          <cell r="C1612">
            <v>42735.736799421298</v>
          </cell>
        </row>
        <row r="1613">
          <cell r="A1613">
            <v>3035178748</v>
          </cell>
          <cell r="B1613" t="str">
            <v>Not Responded</v>
          </cell>
          <cell r="C1613">
            <v>42735.736799421298</v>
          </cell>
        </row>
        <row r="1614">
          <cell r="A1614">
            <v>3035325263</v>
          </cell>
          <cell r="B1614" t="str">
            <v>Not Responded</v>
          </cell>
          <cell r="C1614">
            <v>42735.736799421298</v>
          </cell>
        </row>
        <row r="1615">
          <cell r="A1615">
            <v>3035203019</v>
          </cell>
          <cell r="B1615" t="str">
            <v>Not Responded</v>
          </cell>
          <cell r="C1615">
            <v>42735.736799421298</v>
          </cell>
        </row>
        <row r="1616">
          <cell r="A1616">
            <v>3035292844</v>
          </cell>
          <cell r="B1616" t="str">
            <v>Not Responded</v>
          </cell>
          <cell r="C1616">
            <v>42734.736929016202</v>
          </cell>
        </row>
        <row r="1617">
          <cell r="A1617">
            <v>3035114098</v>
          </cell>
          <cell r="B1617" t="str">
            <v>Not Responded</v>
          </cell>
          <cell r="C1617">
            <v>42734.736929016202</v>
          </cell>
        </row>
        <row r="1618">
          <cell r="A1618">
            <v>3035273444</v>
          </cell>
          <cell r="B1618" t="str">
            <v>Not Responded</v>
          </cell>
          <cell r="C1618">
            <v>42734.736929016202</v>
          </cell>
        </row>
        <row r="1619">
          <cell r="A1619">
            <v>3035305462</v>
          </cell>
          <cell r="B1619" t="str">
            <v>Not Responded</v>
          </cell>
          <cell r="C1619">
            <v>42734.736929016202</v>
          </cell>
        </row>
        <row r="1620">
          <cell r="A1620">
            <v>3035069213</v>
          </cell>
          <cell r="B1620" t="str">
            <v>Not Responded</v>
          </cell>
          <cell r="C1620">
            <v>42733.736336539354</v>
          </cell>
        </row>
        <row r="1621">
          <cell r="A1621">
            <v>3035258871</v>
          </cell>
          <cell r="B1621" t="str">
            <v>Not Responded</v>
          </cell>
          <cell r="C1621">
            <v>42733.736311956018</v>
          </cell>
        </row>
        <row r="1622">
          <cell r="A1622">
            <v>3035265534</v>
          </cell>
          <cell r="B1622" t="str">
            <v>Not Responded</v>
          </cell>
          <cell r="C1622">
            <v>42733.736311956018</v>
          </cell>
        </row>
        <row r="1623">
          <cell r="A1623">
            <v>3035180011</v>
          </cell>
          <cell r="B1623" t="str">
            <v>Not Responded</v>
          </cell>
          <cell r="C1623">
            <v>42733.736311956018</v>
          </cell>
        </row>
        <row r="1624">
          <cell r="A1624">
            <v>3034941277</v>
          </cell>
          <cell r="B1624" t="str">
            <v>Not Responded</v>
          </cell>
          <cell r="C1624">
            <v>42733.736311956018</v>
          </cell>
        </row>
        <row r="1625">
          <cell r="A1625">
            <v>3035193297</v>
          </cell>
          <cell r="B1625" t="str">
            <v>Not Responded</v>
          </cell>
          <cell r="C1625">
            <v>42733.736311956018</v>
          </cell>
        </row>
        <row r="1626">
          <cell r="A1626">
            <v>3035166346</v>
          </cell>
          <cell r="B1626" t="str">
            <v>Not Responded</v>
          </cell>
          <cell r="C1626">
            <v>42733.736311956018</v>
          </cell>
        </row>
        <row r="1627">
          <cell r="A1627">
            <v>3035265280</v>
          </cell>
          <cell r="B1627" t="str">
            <v>Not Responded</v>
          </cell>
          <cell r="C1627">
            <v>42733.736311956018</v>
          </cell>
        </row>
        <row r="1628">
          <cell r="A1628">
            <v>3035262295</v>
          </cell>
          <cell r="B1628" t="str">
            <v>Not Responded</v>
          </cell>
          <cell r="C1628">
            <v>42733.736311956018</v>
          </cell>
        </row>
        <row r="1629">
          <cell r="A1629">
            <v>3035101005</v>
          </cell>
          <cell r="B1629" t="str">
            <v>Not Responded</v>
          </cell>
          <cell r="C1629">
            <v>42733.736311956018</v>
          </cell>
        </row>
        <row r="1630">
          <cell r="A1630">
            <v>3035271063</v>
          </cell>
          <cell r="B1630" t="str">
            <v>Not Responded</v>
          </cell>
          <cell r="C1630">
            <v>42733.736311956018</v>
          </cell>
        </row>
        <row r="1631">
          <cell r="A1631">
            <v>3035243122</v>
          </cell>
          <cell r="B1631" t="str">
            <v>Not Responded</v>
          </cell>
          <cell r="C1631">
            <v>42733.736311956018</v>
          </cell>
        </row>
        <row r="1632">
          <cell r="A1632">
            <v>3035262976</v>
          </cell>
          <cell r="B1632" t="str">
            <v>Not Responded</v>
          </cell>
          <cell r="C1632">
            <v>42733.736311956018</v>
          </cell>
        </row>
        <row r="1633">
          <cell r="A1633">
            <v>3035241950</v>
          </cell>
          <cell r="B1633" t="str">
            <v>Not Responded</v>
          </cell>
          <cell r="C1633">
            <v>42734.736929016202</v>
          </cell>
        </row>
        <row r="1634">
          <cell r="A1634">
            <v>3035296959</v>
          </cell>
          <cell r="B1634" t="str">
            <v>Not Responded</v>
          </cell>
          <cell r="C1634">
            <v>42734.736929016202</v>
          </cell>
        </row>
        <row r="1635">
          <cell r="A1635">
            <v>3035134193</v>
          </cell>
          <cell r="B1635" t="str">
            <v>Not Responded</v>
          </cell>
          <cell r="C1635">
            <v>42734.736929016202</v>
          </cell>
        </row>
        <row r="1636">
          <cell r="A1636">
            <v>3035265685</v>
          </cell>
          <cell r="B1636" t="str">
            <v>Not Responded</v>
          </cell>
          <cell r="C1636">
            <v>42734.736929016202</v>
          </cell>
        </row>
        <row r="1637">
          <cell r="A1637">
            <v>3034989763</v>
          </cell>
          <cell r="B1637" t="str">
            <v>Not Responded</v>
          </cell>
          <cell r="C1637">
            <v>42734.736929016202</v>
          </cell>
        </row>
        <row r="1638">
          <cell r="A1638">
            <v>3035100339</v>
          </cell>
          <cell r="B1638" t="str">
            <v>Not Responded</v>
          </cell>
          <cell r="C1638">
            <v>42734.736929016202</v>
          </cell>
        </row>
        <row r="1639">
          <cell r="A1639">
            <v>3035259260</v>
          </cell>
          <cell r="B1639" t="str">
            <v>Not Responded</v>
          </cell>
          <cell r="C1639">
            <v>42734.736929016202</v>
          </cell>
        </row>
        <row r="1640">
          <cell r="A1640">
            <v>3035262034</v>
          </cell>
          <cell r="B1640" t="str">
            <v>Not Responded</v>
          </cell>
          <cell r="C1640">
            <v>42734.736929016202</v>
          </cell>
        </row>
        <row r="1641">
          <cell r="A1641">
            <v>3035269667</v>
          </cell>
          <cell r="B1641" t="str">
            <v>Not Responded</v>
          </cell>
          <cell r="C1641">
            <v>42734.736929016202</v>
          </cell>
        </row>
        <row r="1642">
          <cell r="A1642">
            <v>3035241719</v>
          </cell>
          <cell r="B1642" t="str">
            <v>Not Responded</v>
          </cell>
          <cell r="C1642">
            <v>42734.736929016202</v>
          </cell>
        </row>
        <row r="1643">
          <cell r="A1643">
            <v>3035301123</v>
          </cell>
          <cell r="B1643" t="str">
            <v>Not Responded</v>
          </cell>
          <cell r="C1643">
            <v>42734.736929016202</v>
          </cell>
        </row>
        <row r="1644">
          <cell r="A1644">
            <v>3035165319</v>
          </cell>
          <cell r="B1644" t="str">
            <v>Not Responded</v>
          </cell>
          <cell r="C1644">
            <v>42734.736929016202</v>
          </cell>
        </row>
        <row r="1645">
          <cell r="A1645">
            <v>3035173171</v>
          </cell>
          <cell r="B1645" t="str">
            <v>Not Responded</v>
          </cell>
          <cell r="C1645">
            <v>42734.736929016202</v>
          </cell>
        </row>
        <row r="1646">
          <cell r="A1646">
            <v>3035243016</v>
          </cell>
          <cell r="B1646" t="str">
            <v>Not Responded</v>
          </cell>
          <cell r="C1646">
            <v>42734.736929016202</v>
          </cell>
        </row>
        <row r="1647">
          <cell r="A1647">
            <v>3035292725</v>
          </cell>
          <cell r="B1647" t="str">
            <v>Not Responded</v>
          </cell>
          <cell r="C1647">
            <v>42734.736929016202</v>
          </cell>
        </row>
        <row r="1648">
          <cell r="A1648">
            <v>3035231694</v>
          </cell>
          <cell r="B1648" t="str">
            <v>Not Responded</v>
          </cell>
          <cell r="C1648">
            <v>42734.736929016202</v>
          </cell>
        </row>
        <row r="1649">
          <cell r="A1649">
            <v>3035268145</v>
          </cell>
          <cell r="B1649" t="str">
            <v>Not Responded</v>
          </cell>
          <cell r="C1649">
            <v>42734.736929016202</v>
          </cell>
        </row>
        <row r="1650">
          <cell r="A1650">
            <v>3035294805</v>
          </cell>
          <cell r="B1650" t="str">
            <v>Not Responded</v>
          </cell>
          <cell r="C1650">
            <v>42734.736929016202</v>
          </cell>
        </row>
        <row r="1651">
          <cell r="A1651">
            <v>3035064506</v>
          </cell>
          <cell r="B1651" t="str">
            <v>Not Responded</v>
          </cell>
          <cell r="C1651">
            <v>42734.736929016202</v>
          </cell>
        </row>
        <row r="1652">
          <cell r="A1652">
            <v>3035235414</v>
          </cell>
          <cell r="B1652" t="str">
            <v>Not Responded</v>
          </cell>
          <cell r="C1652">
            <v>42734.736929016202</v>
          </cell>
        </row>
        <row r="1653">
          <cell r="A1653">
            <v>3035266113</v>
          </cell>
          <cell r="B1653" t="str">
            <v>Not Responded</v>
          </cell>
          <cell r="C1653">
            <v>42733.736311956018</v>
          </cell>
        </row>
        <row r="1654">
          <cell r="A1654">
            <v>3035261315</v>
          </cell>
          <cell r="B1654" t="str">
            <v>Not Responded</v>
          </cell>
          <cell r="C1654">
            <v>42733.736311956018</v>
          </cell>
        </row>
        <row r="1655">
          <cell r="A1655">
            <v>3034984611</v>
          </cell>
          <cell r="B1655" t="str">
            <v>Not Responded</v>
          </cell>
          <cell r="C1655">
            <v>42733.736311956018</v>
          </cell>
        </row>
        <row r="1656">
          <cell r="A1656">
            <v>3034939404</v>
          </cell>
          <cell r="B1656" t="str">
            <v>Not Responded</v>
          </cell>
          <cell r="C1656">
            <v>42733.736311956018</v>
          </cell>
        </row>
        <row r="1657">
          <cell r="A1657">
            <v>3035260948</v>
          </cell>
          <cell r="B1657" t="str">
            <v>Not Responded</v>
          </cell>
          <cell r="C1657">
            <v>42733.736311956018</v>
          </cell>
        </row>
        <row r="1658">
          <cell r="A1658">
            <v>3035271750</v>
          </cell>
          <cell r="B1658" t="str">
            <v>Not Responded</v>
          </cell>
          <cell r="C1658">
            <v>42733.736311956018</v>
          </cell>
        </row>
        <row r="1659">
          <cell r="A1659">
            <v>3035266241</v>
          </cell>
          <cell r="B1659" t="str">
            <v>Not Responded</v>
          </cell>
          <cell r="C1659">
            <v>42733.736311956018</v>
          </cell>
        </row>
        <row r="1660">
          <cell r="A1660">
            <v>3035260517</v>
          </cell>
          <cell r="B1660" t="str">
            <v>Not Responded</v>
          </cell>
          <cell r="C1660">
            <v>42733.736311956018</v>
          </cell>
        </row>
        <row r="1661">
          <cell r="A1661">
            <v>3035199828</v>
          </cell>
          <cell r="B1661" t="str">
            <v>Not Responded</v>
          </cell>
          <cell r="C1661">
            <v>42733.736311956018</v>
          </cell>
        </row>
        <row r="1662">
          <cell r="A1662">
            <v>3035259926</v>
          </cell>
          <cell r="B1662" t="str">
            <v>Not Responded</v>
          </cell>
          <cell r="C1662">
            <v>42733.736311956018</v>
          </cell>
        </row>
        <row r="1663">
          <cell r="A1663">
            <v>3035143848</v>
          </cell>
          <cell r="B1663" t="str">
            <v>Not Responded</v>
          </cell>
          <cell r="C1663">
            <v>42733.736311956018</v>
          </cell>
        </row>
        <row r="1664">
          <cell r="A1664">
            <v>3035147338</v>
          </cell>
          <cell r="B1664" t="str">
            <v>Not Responded</v>
          </cell>
          <cell r="C1664">
            <v>42733.736311956018</v>
          </cell>
        </row>
        <row r="1665">
          <cell r="A1665">
            <v>3035261557</v>
          </cell>
          <cell r="B1665" t="str">
            <v>Not Responded</v>
          </cell>
          <cell r="C1665">
            <v>42733.736311956018</v>
          </cell>
        </row>
        <row r="1666">
          <cell r="A1666">
            <v>3034947511</v>
          </cell>
          <cell r="B1666" t="str">
            <v>Not Responded</v>
          </cell>
          <cell r="C1666">
            <v>42733.736311956018</v>
          </cell>
        </row>
        <row r="1667">
          <cell r="A1667">
            <v>3035266111</v>
          </cell>
          <cell r="B1667" t="str">
            <v>Not Responded</v>
          </cell>
          <cell r="C1667">
            <v>42733.736311956018</v>
          </cell>
        </row>
        <row r="1668">
          <cell r="A1668">
            <v>3035276874</v>
          </cell>
          <cell r="B1668" t="str">
            <v>Not Responded</v>
          </cell>
          <cell r="C1668">
            <v>42733.736311956018</v>
          </cell>
        </row>
        <row r="1669">
          <cell r="A1669">
            <v>3035235239</v>
          </cell>
          <cell r="B1669" t="str">
            <v>Not Responded</v>
          </cell>
          <cell r="C1669">
            <v>42733.736311956018</v>
          </cell>
        </row>
        <row r="1670">
          <cell r="A1670">
            <v>3035268939</v>
          </cell>
          <cell r="B1670" t="str">
            <v>Not Responded</v>
          </cell>
          <cell r="C1670">
            <v>42733.736311956018</v>
          </cell>
        </row>
        <row r="1671">
          <cell r="A1671">
            <v>3035169182</v>
          </cell>
          <cell r="B1671" t="str">
            <v>Not Responded</v>
          </cell>
          <cell r="C1671">
            <v>42733.736311956018</v>
          </cell>
        </row>
        <row r="1672">
          <cell r="A1672">
            <v>3035272938</v>
          </cell>
          <cell r="B1672" t="str">
            <v>Not Responded</v>
          </cell>
          <cell r="C1672">
            <v>42733.736311956018</v>
          </cell>
        </row>
        <row r="1673">
          <cell r="A1673">
            <v>3035271704</v>
          </cell>
          <cell r="B1673" t="str">
            <v>Not Responded</v>
          </cell>
          <cell r="C1673">
            <v>42733.736311956018</v>
          </cell>
        </row>
        <row r="1674">
          <cell r="A1674">
            <v>3035264484</v>
          </cell>
          <cell r="B1674" t="str">
            <v>Not Responded</v>
          </cell>
          <cell r="C1674">
            <v>42733.736311956018</v>
          </cell>
        </row>
        <row r="1675">
          <cell r="A1675">
            <v>3035231865</v>
          </cell>
          <cell r="B1675" t="str">
            <v>Not Responded</v>
          </cell>
          <cell r="C1675">
            <v>42732.736747418981</v>
          </cell>
        </row>
        <row r="1676">
          <cell r="A1676">
            <v>3035167919</v>
          </cell>
          <cell r="B1676" t="str">
            <v>Not Responded</v>
          </cell>
          <cell r="C1676">
            <v>42732.736728124997</v>
          </cell>
        </row>
        <row r="1677">
          <cell r="A1677">
            <v>3035173835</v>
          </cell>
          <cell r="B1677" t="str">
            <v>Not Responded</v>
          </cell>
          <cell r="C1677">
            <v>42733.736311956018</v>
          </cell>
        </row>
        <row r="1678">
          <cell r="A1678">
            <v>3035263554</v>
          </cell>
          <cell r="B1678" t="str">
            <v>Not Responded</v>
          </cell>
          <cell r="C1678">
            <v>42733.736311956018</v>
          </cell>
        </row>
        <row r="1679">
          <cell r="A1679">
            <v>3035266920</v>
          </cell>
          <cell r="B1679" t="str">
            <v>Not Responded</v>
          </cell>
          <cell r="C1679">
            <v>42733.736311956018</v>
          </cell>
        </row>
        <row r="1680">
          <cell r="A1680">
            <v>3035167835</v>
          </cell>
          <cell r="B1680" t="str">
            <v>Not Responded</v>
          </cell>
          <cell r="C1680">
            <v>42733.736311956018</v>
          </cell>
        </row>
        <row r="1681">
          <cell r="A1681">
            <v>3035268100</v>
          </cell>
          <cell r="B1681" t="str">
            <v>Not Responded</v>
          </cell>
          <cell r="C1681">
            <v>42733.736311956018</v>
          </cell>
        </row>
        <row r="1682">
          <cell r="A1682">
            <v>3034950416</v>
          </cell>
          <cell r="B1682" t="str">
            <v>Not Responded</v>
          </cell>
          <cell r="C1682">
            <v>42733.736311956018</v>
          </cell>
        </row>
        <row r="1683">
          <cell r="A1683">
            <v>3034947683</v>
          </cell>
          <cell r="B1683" t="str">
            <v>Not Responded</v>
          </cell>
          <cell r="C1683">
            <v>42733.736311956018</v>
          </cell>
        </row>
        <row r="1684">
          <cell r="A1684">
            <v>3035174945</v>
          </cell>
          <cell r="B1684" t="str">
            <v>Not Responded</v>
          </cell>
          <cell r="C1684">
            <v>42732.736728124997</v>
          </cell>
        </row>
        <row r="1685">
          <cell r="A1685">
            <v>3035234569</v>
          </cell>
          <cell r="B1685" t="str">
            <v>Not Responded</v>
          </cell>
          <cell r="C1685">
            <v>42732.736728124997</v>
          </cell>
        </row>
        <row r="1686">
          <cell r="A1686">
            <v>3035114953</v>
          </cell>
          <cell r="B1686" t="str">
            <v>Not Responded</v>
          </cell>
          <cell r="C1686">
            <v>42732.736728124997</v>
          </cell>
        </row>
        <row r="1687">
          <cell r="A1687">
            <v>3035236968</v>
          </cell>
          <cell r="B1687" t="str">
            <v>Not Responded</v>
          </cell>
          <cell r="C1687">
            <v>42732.736728124997</v>
          </cell>
        </row>
        <row r="1688">
          <cell r="A1688">
            <v>3035031026</v>
          </cell>
          <cell r="B1688" t="str">
            <v>Not Responded</v>
          </cell>
          <cell r="C1688">
            <v>42732.736728124997</v>
          </cell>
        </row>
        <row r="1689">
          <cell r="A1689">
            <v>3035167483</v>
          </cell>
          <cell r="B1689" t="str">
            <v>Not Responded</v>
          </cell>
          <cell r="C1689">
            <v>42732.736728124997</v>
          </cell>
        </row>
        <row r="1690">
          <cell r="A1690">
            <v>3035236696</v>
          </cell>
          <cell r="B1690" t="str">
            <v>Not Responded</v>
          </cell>
          <cell r="C1690">
            <v>42732.736728124997</v>
          </cell>
        </row>
        <row r="1691">
          <cell r="A1691">
            <v>3035233915</v>
          </cell>
          <cell r="B1691" t="str">
            <v>Not Responded</v>
          </cell>
          <cell r="C1691">
            <v>42732.736728124997</v>
          </cell>
        </row>
        <row r="1692">
          <cell r="A1692">
            <v>3035234579</v>
          </cell>
          <cell r="B1692" t="str">
            <v>Not Responded</v>
          </cell>
          <cell r="C1692">
            <v>42732.736728124997</v>
          </cell>
        </row>
        <row r="1693">
          <cell r="A1693">
            <v>3035119082</v>
          </cell>
          <cell r="B1693" t="str">
            <v>Not Responded</v>
          </cell>
          <cell r="C1693">
            <v>42732.736728124997</v>
          </cell>
        </row>
        <row r="1694">
          <cell r="A1694">
            <v>3035205768</v>
          </cell>
          <cell r="B1694" t="str">
            <v>Not Responded</v>
          </cell>
          <cell r="C1694">
            <v>42732.736728124997</v>
          </cell>
        </row>
        <row r="1695">
          <cell r="A1695">
            <v>3034868978</v>
          </cell>
          <cell r="B1695" t="str">
            <v>Not Responded</v>
          </cell>
          <cell r="C1695">
            <v>42732.736728124997</v>
          </cell>
        </row>
        <row r="1696">
          <cell r="A1696">
            <v>3035116103</v>
          </cell>
          <cell r="B1696" t="str">
            <v>Not Responded</v>
          </cell>
          <cell r="C1696">
            <v>42732.736728124997</v>
          </cell>
        </row>
        <row r="1697">
          <cell r="A1697">
            <v>3035201355</v>
          </cell>
          <cell r="B1697" t="str">
            <v>Not Responded</v>
          </cell>
          <cell r="C1697">
            <v>42732.736728124997</v>
          </cell>
        </row>
        <row r="1698">
          <cell r="A1698">
            <v>3035168641</v>
          </cell>
          <cell r="B1698" t="str">
            <v>Not Responded</v>
          </cell>
          <cell r="C1698">
            <v>42732.736728124997</v>
          </cell>
        </row>
        <row r="1699">
          <cell r="A1699">
            <v>3035231732</v>
          </cell>
          <cell r="B1699" t="str">
            <v>Not Responded</v>
          </cell>
          <cell r="C1699">
            <v>42732.736728124997</v>
          </cell>
        </row>
        <row r="1700">
          <cell r="A1700">
            <v>3035141976</v>
          </cell>
          <cell r="B1700" t="str">
            <v>Not Responded</v>
          </cell>
          <cell r="C1700">
            <v>42732.736728124997</v>
          </cell>
        </row>
        <row r="1701">
          <cell r="A1701">
            <v>3035113090</v>
          </cell>
          <cell r="B1701" t="str">
            <v>Not Responded</v>
          </cell>
          <cell r="C1701">
            <v>42732.736728124997</v>
          </cell>
        </row>
        <row r="1702">
          <cell r="A1702">
            <v>3034948219</v>
          </cell>
          <cell r="B1702" t="str">
            <v>Not Responded</v>
          </cell>
          <cell r="C1702">
            <v>42732.736728124997</v>
          </cell>
        </row>
        <row r="1703">
          <cell r="A1703">
            <v>3035232995</v>
          </cell>
          <cell r="B1703" t="str">
            <v>Not Responded</v>
          </cell>
          <cell r="C1703">
            <v>42732.736728124997</v>
          </cell>
        </row>
        <row r="1704">
          <cell r="A1704">
            <v>3035065847</v>
          </cell>
          <cell r="B1704" t="str">
            <v>Not Responded</v>
          </cell>
          <cell r="C1704">
            <v>42732.736728124997</v>
          </cell>
        </row>
        <row r="1705">
          <cell r="A1705">
            <v>3035232698</v>
          </cell>
          <cell r="B1705" t="str">
            <v>Not Responded</v>
          </cell>
          <cell r="C1705">
            <v>42732.736728124997</v>
          </cell>
        </row>
        <row r="1706">
          <cell r="A1706">
            <v>3035232275</v>
          </cell>
          <cell r="B1706" t="str">
            <v>Not Responded</v>
          </cell>
          <cell r="C1706">
            <v>42735.736799421298</v>
          </cell>
        </row>
        <row r="1707">
          <cell r="A1707">
            <v>3035148715</v>
          </cell>
          <cell r="B1707" t="str">
            <v>Not Responded</v>
          </cell>
          <cell r="C1707">
            <v>42735.736799421298</v>
          </cell>
        </row>
        <row r="1708">
          <cell r="A1708">
            <v>3035305469</v>
          </cell>
          <cell r="B1708" t="str">
            <v>Not Responded</v>
          </cell>
          <cell r="C1708">
            <v>42735.736799421298</v>
          </cell>
        </row>
        <row r="1709">
          <cell r="A1709">
            <v>3035016890</v>
          </cell>
          <cell r="B1709" t="str">
            <v>Not Responded</v>
          </cell>
          <cell r="C1709">
            <v>42735.736799421298</v>
          </cell>
        </row>
        <row r="1710">
          <cell r="A1710">
            <v>3035293861</v>
          </cell>
          <cell r="B1710" t="str">
            <v>Not Responded</v>
          </cell>
          <cell r="C1710">
            <v>42735.736799421298</v>
          </cell>
        </row>
        <row r="1711">
          <cell r="A1711">
            <v>3035325544</v>
          </cell>
          <cell r="B1711" t="str">
            <v>Not Responded</v>
          </cell>
          <cell r="C1711">
            <v>42735.736799421298</v>
          </cell>
        </row>
        <row r="1712">
          <cell r="A1712">
            <v>3035323618</v>
          </cell>
          <cell r="B1712" t="str">
            <v>Not Responded</v>
          </cell>
          <cell r="C1712">
            <v>42735.736799421298</v>
          </cell>
        </row>
        <row r="1713">
          <cell r="A1713">
            <v>3035273102</v>
          </cell>
          <cell r="B1713" t="str">
            <v>Not Responded</v>
          </cell>
          <cell r="C1713">
            <v>42735.736799421298</v>
          </cell>
        </row>
        <row r="1714">
          <cell r="A1714">
            <v>3035258035</v>
          </cell>
          <cell r="B1714" t="str">
            <v>Not Responded</v>
          </cell>
          <cell r="C1714">
            <v>42735.736825925924</v>
          </cell>
        </row>
        <row r="1715">
          <cell r="A1715">
            <v>3035304292</v>
          </cell>
          <cell r="B1715" t="str">
            <v>Not Responded</v>
          </cell>
          <cell r="C1715">
            <v>42735.736825925924</v>
          </cell>
        </row>
        <row r="1716">
          <cell r="A1716">
            <v>3035361363</v>
          </cell>
          <cell r="B1716" t="str">
            <v>Not Responded</v>
          </cell>
          <cell r="C1716">
            <v>42736.734471099538</v>
          </cell>
        </row>
        <row r="1717">
          <cell r="A1717">
            <v>3035134183</v>
          </cell>
          <cell r="B1717" t="str">
            <v>Not Responded</v>
          </cell>
          <cell r="C1717">
            <v>42735.736799421298</v>
          </cell>
        </row>
        <row r="1718">
          <cell r="A1718">
            <v>3035325515</v>
          </cell>
          <cell r="B1718" t="str">
            <v>Not Responded</v>
          </cell>
          <cell r="C1718">
            <v>42735.736799421298</v>
          </cell>
        </row>
        <row r="1719">
          <cell r="A1719">
            <v>3035309986</v>
          </cell>
          <cell r="B1719" t="str">
            <v>Not Responded</v>
          </cell>
          <cell r="C1719">
            <v>42735.736799421298</v>
          </cell>
        </row>
        <row r="1720">
          <cell r="A1720">
            <v>3035290384</v>
          </cell>
          <cell r="B1720" t="str">
            <v>Not Responded</v>
          </cell>
          <cell r="C1720">
            <v>42735.736799421298</v>
          </cell>
        </row>
        <row r="1721">
          <cell r="A1721">
            <v>3035279000</v>
          </cell>
          <cell r="B1721" t="str">
            <v>Not Responded</v>
          </cell>
          <cell r="C1721">
            <v>42735.736799421298</v>
          </cell>
        </row>
        <row r="1722">
          <cell r="A1722">
            <v>3035324082</v>
          </cell>
          <cell r="B1722" t="str">
            <v>Not Responded</v>
          </cell>
          <cell r="C1722">
            <v>42735.736799421298</v>
          </cell>
        </row>
        <row r="1723">
          <cell r="A1723">
            <v>3035336491</v>
          </cell>
          <cell r="B1723" t="str">
            <v>Not Responded</v>
          </cell>
          <cell r="C1723">
            <v>42735.736799421298</v>
          </cell>
        </row>
        <row r="1724">
          <cell r="A1724">
            <v>3035359504</v>
          </cell>
          <cell r="B1724" t="str">
            <v>Not Responded</v>
          </cell>
          <cell r="C1724">
            <v>42736.734471099538</v>
          </cell>
        </row>
        <row r="1725">
          <cell r="A1725">
            <v>3035356515</v>
          </cell>
          <cell r="B1725" t="str">
            <v>Not Responded</v>
          </cell>
          <cell r="C1725">
            <v>42736.734471099538</v>
          </cell>
        </row>
        <row r="1726">
          <cell r="A1726">
            <v>3035361057</v>
          </cell>
          <cell r="B1726" t="str">
            <v>Not Responded</v>
          </cell>
          <cell r="C1726">
            <v>42736.734471099538</v>
          </cell>
        </row>
        <row r="1727">
          <cell r="A1727">
            <v>3035324426</v>
          </cell>
          <cell r="B1727" t="str">
            <v>Not Responded</v>
          </cell>
          <cell r="C1727">
            <v>42736.734471099538</v>
          </cell>
        </row>
        <row r="1728">
          <cell r="A1728">
            <v>3035359085</v>
          </cell>
          <cell r="B1728" t="str">
            <v>Not Responded</v>
          </cell>
          <cell r="C1728">
            <v>42736.734471099538</v>
          </cell>
        </row>
        <row r="1729">
          <cell r="A1729">
            <v>3035355267</v>
          </cell>
          <cell r="B1729" t="str">
            <v>Not Responded</v>
          </cell>
          <cell r="C1729">
            <v>42736.734471099538</v>
          </cell>
        </row>
        <row r="1730">
          <cell r="A1730">
            <v>3035295355</v>
          </cell>
          <cell r="B1730" t="str">
            <v>Not Responded</v>
          </cell>
          <cell r="C1730">
            <v>42736.734471099538</v>
          </cell>
        </row>
        <row r="1731">
          <cell r="A1731">
            <v>3035366626</v>
          </cell>
          <cell r="B1731" t="str">
            <v>Not Responded</v>
          </cell>
          <cell r="C1731">
            <v>42736.734471099538</v>
          </cell>
        </row>
        <row r="1732">
          <cell r="A1732">
            <v>3035371782</v>
          </cell>
          <cell r="B1732" t="str">
            <v>Not Responded</v>
          </cell>
          <cell r="C1732">
            <v>42736.734471099538</v>
          </cell>
        </row>
        <row r="1733">
          <cell r="A1733">
            <v>3035102726</v>
          </cell>
          <cell r="B1733" t="str">
            <v>Not Responded</v>
          </cell>
          <cell r="C1733">
            <v>42736.734471099538</v>
          </cell>
        </row>
        <row r="1734">
          <cell r="A1734">
            <v>3035364942</v>
          </cell>
          <cell r="B1734" t="str">
            <v>Not Responded</v>
          </cell>
          <cell r="C1734">
            <v>42736.734471099538</v>
          </cell>
        </row>
        <row r="1735">
          <cell r="A1735">
            <v>3035345065</v>
          </cell>
          <cell r="B1735" t="str">
            <v>Not Responded</v>
          </cell>
          <cell r="C1735">
            <v>42736.734471099538</v>
          </cell>
        </row>
        <row r="1736">
          <cell r="A1736">
            <v>3035261443</v>
          </cell>
          <cell r="B1736" t="str">
            <v>Not Responded</v>
          </cell>
          <cell r="C1736">
            <v>42736.734471099538</v>
          </cell>
        </row>
        <row r="1737">
          <cell r="A1737">
            <v>3035165712</v>
          </cell>
          <cell r="B1737" t="str">
            <v>Not Responded</v>
          </cell>
          <cell r="C1737">
            <v>42736.734471099538</v>
          </cell>
        </row>
        <row r="1738">
          <cell r="A1738">
            <v>3035326641</v>
          </cell>
          <cell r="B1738" t="str">
            <v>Not Responded</v>
          </cell>
          <cell r="C1738">
            <v>42735.736799421298</v>
          </cell>
        </row>
        <row r="1739">
          <cell r="A1739">
            <v>3035398850</v>
          </cell>
          <cell r="B1739" t="str">
            <v>Not Responded</v>
          </cell>
          <cell r="C1739">
            <v>42739.737638969906</v>
          </cell>
        </row>
        <row r="1740">
          <cell r="A1740">
            <v>3035408190</v>
          </cell>
          <cell r="B1740" t="str">
            <v>Not Responded</v>
          </cell>
          <cell r="C1740">
            <v>42739.737638969906</v>
          </cell>
        </row>
        <row r="1741">
          <cell r="A1741">
            <v>3035165120</v>
          </cell>
          <cell r="B1741" t="str">
            <v>Not Responded</v>
          </cell>
          <cell r="C1741">
            <v>42739.737638969906</v>
          </cell>
        </row>
        <row r="1742">
          <cell r="A1742">
            <v>3035405745</v>
          </cell>
          <cell r="B1742" t="str">
            <v>Not Responded</v>
          </cell>
          <cell r="C1742">
            <v>42739.737638969906</v>
          </cell>
        </row>
        <row r="1743">
          <cell r="A1743">
            <v>3035326350</v>
          </cell>
          <cell r="B1743" t="str">
            <v>Not Responded</v>
          </cell>
          <cell r="C1743">
            <v>42739.737638969906</v>
          </cell>
        </row>
        <row r="1744">
          <cell r="A1744">
            <v>3035300173</v>
          </cell>
          <cell r="B1744" t="str">
            <v>Not Responded</v>
          </cell>
          <cell r="C1744">
            <v>42739.737638969906</v>
          </cell>
        </row>
        <row r="1745">
          <cell r="A1745">
            <v>3035416223</v>
          </cell>
          <cell r="B1745" t="str">
            <v>Not Responded</v>
          </cell>
          <cell r="C1745">
            <v>42739.737638969906</v>
          </cell>
        </row>
        <row r="1746">
          <cell r="A1746">
            <v>3035367090</v>
          </cell>
          <cell r="B1746" t="str">
            <v>Not Responded</v>
          </cell>
          <cell r="C1746">
            <v>42739.737638969906</v>
          </cell>
        </row>
        <row r="1747">
          <cell r="A1747">
            <v>3035258722</v>
          </cell>
          <cell r="B1747" t="str">
            <v>Not Responded</v>
          </cell>
          <cell r="C1747">
            <v>42739.737638969906</v>
          </cell>
        </row>
        <row r="1748">
          <cell r="A1748">
            <v>3035197619</v>
          </cell>
          <cell r="B1748" t="str">
            <v>Not Responded</v>
          </cell>
          <cell r="C1748">
            <v>42739.737638969906</v>
          </cell>
        </row>
        <row r="1749">
          <cell r="A1749">
            <v>3035334842</v>
          </cell>
          <cell r="B1749" t="str">
            <v>Not Responded</v>
          </cell>
          <cell r="C1749">
            <v>42739.737638969906</v>
          </cell>
        </row>
        <row r="1750">
          <cell r="A1750">
            <v>3035407674</v>
          </cell>
          <cell r="B1750" t="str">
            <v>Not Responded</v>
          </cell>
          <cell r="C1750">
            <v>42739.737638969906</v>
          </cell>
        </row>
        <row r="1751">
          <cell r="A1751">
            <v>3035411676</v>
          </cell>
          <cell r="B1751" t="str">
            <v>Not Responded</v>
          </cell>
          <cell r="C1751">
            <v>42739.737638969906</v>
          </cell>
        </row>
        <row r="1752">
          <cell r="A1752">
            <v>3035356311</v>
          </cell>
          <cell r="B1752" t="str">
            <v>Not Responded</v>
          </cell>
          <cell r="C1752">
            <v>42736.734471099538</v>
          </cell>
        </row>
        <row r="1753">
          <cell r="A1753">
            <v>3035379509</v>
          </cell>
          <cell r="B1753" t="str">
            <v>Not Responded</v>
          </cell>
          <cell r="C1753">
            <v>42737.733986539351</v>
          </cell>
        </row>
        <row r="1754">
          <cell r="A1754">
            <v>3035366468</v>
          </cell>
          <cell r="B1754" t="str">
            <v>Not Responded</v>
          </cell>
          <cell r="C1754">
            <v>42736.734471099538</v>
          </cell>
        </row>
        <row r="1755">
          <cell r="A1755">
            <v>3035378900</v>
          </cell>
          <cell r="B1755" t="str">
            <v>Not Responded</v>
          </cell>
          <cell r="C1755">
            <v>42737.733986539351</v>
          </cell>
        </row>
        <row r="1756">
          <cell r="A1756">
            <v>3035150092</v>
          </cell>
          <cell r="B1756" t="str">
            <v>Not Responded</v>
          </cell>
          <cell r="C1756">
            <v>42739.737638969906</v>
          </cell>
        </row>
        <row r="1757">
          <cell r="A1757">
            <v>3035354872</v>
          </cell>
          <cell r="B1757" t="str">
            <v>Not Responded</v>
          </cell>
          <cell r="C1757">
            <v>42739.737638969906</v>
          </cell>
        </row>
        <row r="1758">
          <cell r="A1758">
            <v>3035414030</v>
          </cell>
          <cell r="B1758" t="str">
            <v>Not Responded</v>
          </cell>
          <cell r="C1758">
            <v>42739.737638969906</v>
          </cell>
        </row>
        <row r="1759">
          <cell r="A1759">
            <v>3035398714</v>
          </cell>
          <cell r="B1759" t="str">
            <v>Not Responded</v>
          </cell>
          <cell r="C1759">
            <v>42739.737638969906</v>
          </cell>
        </row>
        <row r="1760">
          <cell r="A1760">
            <v>3035241127</v>
          </cell>
          <cell r="B1760" t="str">
            <v>Not Responded</v>
          </cell>
          <cell r="C1760">
            <v>42739.737638969906</v>
          </cell>
        </row>
        <row r="1761">
          <cell r="A1761">
            <v>3035148180</v>
          </cell>
          <cell r="B1761" t="str">
            <v>Not Responded</v>
          </cell>
          <cell r="C1761">
            <v>42739.737638969906</v>
          </cell>
        </row>
        <row r="1762">
          <cell r="A1762">
            <v>3035305083</v>
          </cell>
          <cell r="B1762" t="str">
            <v>Not Responded</v>
          </cell>
          <cell r="C1762">
            <v>42739.737638969906</v>
          </cell>
        </row>
        <row r="1763">
          <cell r="A1763">
            <v>3035171673</v>
          </cell>
          <cell r="B1763" t="str">
            <v>Not Responded</v>
          </cell>
          <cell r="C1763">
            <v>42739.737638969906</v>
          </cell>
        </row>
        <row r="1764">
          <cell r="A1764">
            <v>3035325886</v>
          </cell>
          <cell r="B1764" t="str">
            <v>Not Responded</v>
          </cell>
          <cell r="C1764">
            <v>42739.737638969906</v>
          </cell>
        </row>
        <row r="1765">
          <cell r="A1765">
            <v>3035306497</v>
          </cell>
          <cell r="B1765" t="str">
            <v>Not Responded</v>
          </cell>
          <cell r="C1765">
            <v>42739.737638969906</v>
          </cell>
        </row>
        <row r="1766">
          <cell r="A1766">
            <v>3035402799</v>
          </cell>
          <cell r="B1766" t="str">
            <v>Not Responded</v>
          </cell>
          <cell r="C1766">
            <v>42739.737638969906</v>
          </cell>
        </row>
        <row r="1767">
          <cell r="A1767">
            <v>3035419177</v>
          </cell>
          <cell r="B1767" t="str">
            <v>Not Responded</v>
          </cell>
          <cell r="C1767">
            <v>42739.737638969906</v>
          </cell>
        </row>
        <row r="1768">
          <cell r="A1768">
            <v>3035403391</v>
          </cell>
          <cell r="B1768" t="str">
            <v>Not Responded</v>
          </cell>
          <cell r="C1768">
            <v>42739.737638969906</v>
          </cell>
        </row>
        <row r="1769">
          <cell r="A1769">
            <v>3035358799</v>
          </cell>
          <cell r="B1769" t="str">
            <v>Not Responded</v>
          </cell>
          <cell r="C1769">
            <v>42739.737638969906</v>
          </cell>
        </row>
        <row r="1770">
          <cell r="A1770">
            <v>3035406240</v>
          </cell>
          <cell r="B1770" t="str">
            <v>Not Responded</v>
          </cell>
          <cell r="C1770">
            <v>42739.737638969906</v>
          </cell>
        </row>
        <row r="1771">
          <cell r="A1771">
            <v>3035411952</v>
          </cell>
          <cell r="B1771" t="str">
            <v>Not Responded</v>
          </cell>
          <cell r="C1771">
            <v>42739.737638969906</v>
          </cell>
        </row>
        <row r="1772">
          <cell r="A1772">
            <v>3035243561</v>
          </cell>
          <cell r="B1772" t="str">
            <v>Not Responded</v>
          </cell>
          <cell r="C1772">
            <v>42739.737638969906</v>
          </cell>
        </row>
        <row r="1773">
          <cell r="A1773">
            <v>3035268287</v>
          </cell>
          <cell r="B1773" t="str">
            <v>Not Responded</v>
          </cell>
          <cell r="C1773">
            <v>42739.737638969906</v>
          </cell>
        </row>
        <row r="1774">
          <cell r="A1774">
            <v>3035399268</v>
          </cell>
          <cell r="B1774" t="str">
            <v>Not Responded</v>
          </cell>
          <cell r="C1774">
            <v>42739.737638969906</v>
          </cell>
        </row>
        <row r="1775">
          <cell r="A1775">
            <v>3035411005</v>
          </cell>
          <cell r="B1775" t="str">
            <v>Not Responded</v>
          </cell>
          <cell r="C1775">
            <v>42739.737638969906</v>
          </cell>
        </row>
        <row r="1776">
          <cell r="A1776">
            <v>3035400641</v>
          </cell>
          <cell r="B1776" t="str">
            <v>Not Responded</v>
          </cell>
          <cell r="C1776">
            <v>42739.737638969906</v>
          </cell>
        </row>
        <row r="1777">
          <cell r="A1777">
            <v>3035274582</v>
          </cell>
          <cell r="B1777" t="str">
            <v>Not Responded</v>
          </cell>
          <cell r="C1777">
            <v>42739.737638969906</v>
          </cell>
        </row>
        <row r="1778">
          <cell r="A1778">
            <v>3035399604</v>
          </cell>
          <cell r="B1778" t="str">
            <v>Not Responded</v>
          </cell>
          <cell r="C1778">
            <v>42739.737638969906</v>
          </cell>
        </row>
        <row r="1779">
          <cell r="A1779">
            <v>3035295645</v>
          </cell>
          <cell r="B1779" t="str">
            <v>Not Responded</v>
          </cell>
          <cell r="C1779">
            <v>42739.737638969906</v>
          </cell>
        </row>
        <row r="1780">
          <cell r="A1780">
            <v>3035409299</v>
          </cell>
          <cell r="B1780" t="str">
            <v>Not Responded</v>
          </cell>
          <cell r="C1780">
            <v>42739.737638969906</v>
          </cell>
        </row>
        <row r="1781">
          <cell r="A1781">
            <v>3035409323</v>
          </cell>
          <cell r="B1781" t="str">
            <v>Not Responded</v>
          </cell>
          <cell r="C1781">
            <v>42739.737638969906</v>
          </cell>
        </row>
        <row r="1782">
          <cell r="A1782">
            <v>3035402268</v>
          </cell>
          <cell r="B1782" t="str">
            <v>Not Responded</v>
          </cell>
          <cell r="C1782">
            <v>42739.737638969906</v>
          </cell>
        </row>
        <row r="1783">
          <cell r="A1783">
            <v>3035416828</v>
          </cell>
          <cell r="B1783" t="str">
            <v>Not Responded</v>
          </cell>
          <cell r="C1783">
            <v>42739.737638969906</v>
          </cell>
        </row>
        <row r="1784">
          <cell r="A1784">
            <v>3035292787</v>
          </cell>
          <cell r="B1784" t="str">
            <v>Not Responded</v>
          </cell>
          <cell r="C1784">
            <v>42740.737851504629</v>
          </cell>
        </row>
        <row r="1785">
          <cell r="A1785">
            <v>3035343873</v>
          </cell>
          <cell r="B1785" t="str">
            <v>Not Responded</v>
          </cell>
          <cell r="C1785">
            <v>42740.737851504629</v>
          </cell>
        </row>
        <row r="1786">
          <cell r="A1786">
            <v>3035408964</v>
          </cell>
          <cell r="B1786" t="str">
            <v>Not Responded</v>
          </cell>
          <cell r="C1786">
            <v>42739.737638969906</v>
          </cell>
        </row>
        <row r="1787">
          <cell r="A1787">
            <v>3035108733</v>
          </cell>
          <cell r="B1787" t="str">
            <v>Not Responded</v>
          </cell>
          <cell r="C1787">
            <v>42739.737638969906</v>
          </cell>
        </row>
        <row r="1788">
          <cell r="A1788">
            <v>3035333619</v>
          </cell>
          <cell r="B1788" t="str">
            <v>Not Responded</v>
          </cell>
          <cell r="C1788">
            <v>42740.737851504629</v>
          </cell>
        </row>
        <row r="1789">
          <cell r="A1789">
            <v>3035430616</v>
          </cell>
          <cell r="B1789" t="str">
            <v>Not Responded</v>
          </cell>
          <cell r="C1789">
            <v>42740.737851504629</v>
          </cell>
        </row>
        <row r="1790">
          <cell r="A1790">
            <v>3035448049</v>
          </cell>
          <cell r="B1790" t="str">
            <v>Not Responded</v>
          </cell>
          <cell r="C1790">
            <v>42740.737851504629</v>
          </cell>
        </row>
        <row r="1791">
          <cell r="A1791">
            <v>3035293499</v>
          </cell>
          <cell r="B1791" t="str">
            <v>Not Responded</v>
          </cell>
          <cell r="C1791">
            <v>42740.737851504629</v>
          </cell>
        </row>
        <row r="1792">
          <cell r="A1792">
            <v>3034903805</v>
          </cell>
          <cell r="B1792" t="str">
            <v>Not Responded</v>
          </cell>
          <cell r="C1792">
            <v>42739.737655902776</v>
          </cell>
        </row>
        <row r="1793">
          <cell r="A1793">
            <v>3035435839</v>
          </cell>
          <cell r="B1793" t="str">
            <v>Not Responded</v>
          </cell>
          <cell r="C1793">
            <v>42740.737851504629</v>
          </cell>
        </row>
        <row r="1794">
          <cell r="A1794">
            <v>3035440402</v>
          </cell>
          <cell r="B1794" t="str">
            <v>Not Responded</v>
          </cell>
          <cell r="C1794">
            <v>42740.737851504629</v>
          </cell>
        </row>
        <row r="1795">
          <cell r="A1795">
            <v>3035452023</v>
          </cell>
          <cell r="B1795" t="str">
            <v>Not Responded</v>
          </cell>
          <cell r="C1795">
            <v>42740.737851504629</v>
          </cell>
        </row>
        <row r="1796">
          <cell r="A1796">
            <v>3035432646</v>
          </cell>
          <cell r="B1796" t="str">
            <v>Not Responded</v>
          </cell>
          <cell r="C1796">
            <v>42740.737851504629</v>
          </cell>
        </row>
        <row r="1797">
          <cell r="A1797">
            <v>3035440003</v>
          </cell>
          <cell r="B1797" t="str">
            <v>Not Responded</v>
          </cell>
          <cell r="C1797">
            <v>42740.737851504629</v>
          </cell>
        </row>
        <row r="1798">
          <cell r="A1798">
            <v>3035405193</v>
          </cell>
          <cell r="B1798" t="str">
            <v>Not Responded</v>
          </cell>
          <cell r="C1798">
            <v>42740.737851504629</v>
          </cell>
        </row>
        <row r="1799">
          <cell r="A1799">
            <v>3035404846</v>
          </cell>
          <cell r="B1799" t="str">
            <v>Not Responded</v>
          </cell>
          <cell r="C1799">
            <v>42740.737851504629</v>
          </cell>
        </row>
        <row r="1800">
          <cell r="A1800">
            <v>3035440103</v>
          </cell>
          <cell r="B1800" t="str">
            <v>Not Responded</v>
          </cell>
          <cell r="C1800">
            <v>42740.737851504629</v>
          </cell>
        </row>
        <row r="1801">
          <cell r="A1801">
            <v>3035336918</v>
          </cell>
          <cell r="B1801" t="str">
            <v>Not Responded</v>
          </cell>
          <cell r="C1801">
            <v>42740.737851504629</v>
          </cell>
        </row>
        <row r="1802">
          <cell r="A1802">
            <v>3035269970</v>
          </cell>
          <cell r="B1802" t="str">
            <v>Not Responded</v>
          </cell>
          <cell r="C1802">
            <v>42740.737851504629</v>
          </cell>
        </row>
        <row r="1803">
          <cell r="A1803">
            <v>3035434531</v>
          </cell>
          <cell r="B1803" t="str">
            <v>Not Responded</v>
          </cell>
          <cell r="C1803">
            <v>42740.737851504629</v>
          </cell>
        </row>
        <row r="1804">
          <cell r="A1804">
            <v>3035444491</v>
          </cell>
          <cell r="B1804" t="str">
            <v>Not Responded</v>
          </cell>
          <cell r="C1804">
            <v>42740.737851504629</v>
          </cell>
        </row>
        <row r="1805">
          <cell r="A1805">
            <v>3035432818</v>
          </cell>
          <cell r="B1805" t="str">
            <v>Not Responded</v>
          </cell>
          <cell r="C1805">
            <v>42740.737851504629</v>
          </cell>
        </row>
        <row r="1806">
          <cell r="A1806">
            <v>3035430453</v>
          </cell>
          <cell r="B1806" t="str">
            <v>Not Responded</v>
          </cell>
          <cell r="C1806">
            <v>42740.737851504629</v>
          </cell>
        </row>
        <row r="1807">
          <cell r="A1807">
            <v>3035443285</v>
          </cell>
          <cell r="B1807" t="str">
            <v>Not Responded</v>
          </cell>
          <cell r="C1807">
            <v>42740.737851504629</v>
          </cell>
        </row>
        <row r="1808">
          <cell r="A1808">
            <v>3035398875</v>
          </cell>
          <cell r="B1808" t="str">
            <v>Not Responded</v>
          </cell>
          <cell r="C1808">
            <v>42740.737851504629</v>
          </cell>
        </row>
        <row r="1809">
          <cell r="A1809">
            <v>3035445828</v>
          </cell>
          <cell r="B1809" t="str">
            <v>Not Responded</v>
          </cell>
          <cell r="C1809">
            <v>42740.737851504629</v>
          </cell>
        </row>
        <row r="1810">
          <cell r="A1810">
            <v>3035438094</v>
          </cell>
          <cell r="B1810" t="str">
            <v>Not Responded</v>
          </cell>
          <cell r="C1810">
            <v>42740.737851504629</v>
          </cell>
        </row>
        <row r="1811">
          <cell r="A1811">
            <v>3035431242</v>
          </cell>
          <cell r="B1811" t="str">
            <v>Not Responded</v>
          </cell>
          <cell r="C1811">
            <v>42740.737851504629</v>
          </cell>
        </row>
        <row r="1812">
          <cell r="A1812">
            <v>3035455316</v>
          </cell>
          <cell r="B1812" t="str">
            <v>Not Responded</v>
          </cell>
          <cell r="C1812">
            <v>42740.737851504629</v>
          </cell>
        </row>
        <row r="1813">
          <cell r="A1813">
            <v>3035340946</v>
          </cell>
          <cell r="B1813" t="str">
            <v>Not Responded</v>
          </cell>
          <cell r="C1813">
            <v>42740.737851504629</v>
          </cell>
        </row>
        <row r="1814">
          <cell r="A1814">
            <v>3035432506</v>
          </cell>
          <cell r="B1814" t="str">
            <v>Not Responded</v>
          </cell>
          <cell r="C1814">
            <v>42740.737851504629</v>
          </cell>
        </row>
        <row r="1815">
          <cell r="A1815">
            <v>3035452294</v>
          </cell>
          <cell r="B1815" t="str">
            <v>Not Responded</v>
          </cell>
          <cell r="C1815">
            <v>42740.737851504629</v>
          </cell>
        </row>
        <row r="1816">
          <cell r="A1816">
            <v>3035435723</v>
          </cell>
          <cell r="B1816" t="str">
            <v>Not Responded</v>
          </cell>
          <cell r="C1816">
            <v>42740.737851504629</v>
          </cell>
        </row>
        <row r="1817">
          <cell r="A1817">
            <v>3035438069</v>
          </cell>
          <cell r="B1817" t="str">
            <v>Not Responded</v>
          </cell>
          <cell r="C1817">
            <v>42740.737851504629</v>
          </cell>
        </row>
        <row r="1818">
          <cell r="A1818">
            <v>3035323438</v>
          </cell>
          <cell r="B1818" t="str">
            <v>Not Responded</v>
          </cell>
          <cell r="C1818">
            <v>42740.737851504629</v>
          </cell>
        </row>
        <row r="1819">
          <cell r="A1819">
            <v>3035302046</v>
          </cell>
          <cell r="B1819" t="str">
            <v>Not Responded</v>
          </cell>
          <cell r="C1819">
            <v>42740.737851504629</v>
          </cell>
        </row>
        <row r="1820">
          <cell r="A1820">
            <v>3035357507</v>
          </cell>
          <cell r="B1820" t="str">
            <v>Not Responded</v>
          </cell>
          <cell r="C1820">
            <v>42740.737851504629</v>
          </cell>
        </row>
        <row r="1821">
          <cell r="A1821">
            <v>3035333071</v>
          </cell>
          <cell r="B1821" t="str">
            <v>Not Responded</v>
          </cell>
          <cell r="C1821">
            <v>42740.737851504629</v>
          </cell>
        </row>
        <row r="1822">
          <cell r="A1822">
            <v>3035408935</v>
          </cell>
          <cell r="B1822" t="str">
            <v>Not Responded</v>
          </cell>
          <cell r="C1822">
            <v>42740.737851504629</v>
          </cell>
        </row>
        <row r="1823">
          <cell r="A1823">
            <v>3035446593</v>
          </cell>
          <cell r="B1823" t="str">
            <v>Not Responded</v>
          </cell>
          <cell r="C1823">
            <v>42740.737851504629</v>
          </cell>
        </row>
        <row r="1824">
          <cell r="A1824">
            <v>3035443163</v>
          </cell>
          <cell r="B1824" t="str">
            <v>Not Responded</v>
          </cell>
          <cell r="C1824">
            <v>42740.737851504629</v>
          </cell>
        </row>
        <row r="1825">
          <cell r="A1825">
            <v>3035433934</v>
          </cell>
          <cell r="B1825" t="str">
            <v>Not Responded</v>
          </cell>
          <cell r="C1825">
            <v>42740.737851504629</v>
          </cell>
        </row>
        <row r="1826">
          <cell r="A1826">
            <v>3035437477</v>
          </cell>
          <cell r="B1826" t="str">
            <v>Not Responded</v>
          </cell>
          <cell r="C1826">
            <v>42740.737851504629</v>
          </cell>
        </row>
        <row r="1827">
          <cell r="A1827">
            <v>3035444421</v>
          </cell>
          <cell r="B1827" t="str">
            <v>Not Responded</v>
          </cell>
          <cell r="C1827">
            <v>42740.737851504629</v>
          </cell>
        </row>
        <row r="1828">
          <cell r="A1828">
            <v>3034691278</v>
          </cell>
          <cell r="B1828" t="str">
            <v>Not Responded</v>
          </cell>
          <cell r="C1828">
            <v>42740.737874421298</v>
          </cell>
        </row>
        <row r="1829">
          <cell r="A1829">
            <v>3034529739</v>
          </cell>
          <cell r="B1829" t="str">
            <v>Not Responded</v>
          </cell>
          <cell r="C1829">
            <v>42740.737874421298</v>
          </cell>
        </row>
        <row r="1830">
          <cell r="A1830">
            <v>3035442101</v>
          </cell>
          <cell r="B1830" t="str">
            <v>Not Responded</v>
          </cell>
          <cell r="C1830">
            <v>42740.737851504629</v>
          </cell>
        </row>
        <row r="1831">
          <cell r="A1831">
            <v>3035232370</v>
          </cell>
          <cell r="B1831" t="str">
            <v>Not Responded</v>
          </cell>
          <cell r="C1831">
            <v>42740.737851504629</v>
          </cell>
        </row>
        <row r="1832">
          <cell r="A1832">
            <v>3035470476</v>
          </cell>
          <cell r="B1832" t="str">
            <v>Not Responded</v>
          </cell>
          <cell r="C1832">
            <v>42741.73704378472</v>
          </cell>
        </row>
        <row r="1833">
          <cell r="A1833">
            <v>3035480771</v>
          </cell>
          <cell r="B1833" t="str">
            <v>Not Responded</v>
          </cell>
          <cell r="C1833">
            <v>42741.73704378472</v>
          </cell>
        </row>
        <row r="1834">
          <cell r="A1834">
            <v>3035172415</v>
          </cell>
          <cell r="B1834" t="str">
            <v>Not Responded</v>
          </cell>
          <cell r="C1834">
            <v>42741.73704378472</v>
          </cell>
        </row>
        <row r="1835">
          <cell r="A1835">
            <v>3035485325</v>
          </cell>
          <cell r="B1835" t="str">
            <v>Not Responded</v>
          </cell>
          <cell r="C1835">
            <v>42741.73704378472</v>
          </cell>
        </row>
        <row r="1836">
          <cell r="A1836">
            <v>3035470233</v>
          </cell>
          <cell r="B1836" t="str">
            <v>Not Responded</v>
          </cell>
          <cell r="C1836">
            <v>42741.73704378472</v>
          </cell>
        </row>
        <row r="1837">
          <cell r="A1837">
            <v>3035468592</v>
          </cell>
          <cell r="B1837" t="str">
            <v>Not Responded</v>
          </cell>
          <cell r="C1837">
            <v>42741.73704378472</v>
          </cell>
        </row>
        <row r="1838">
          <cell r="A1838">
            <v>3035200908</v>
          </cell>
          <cell r="B1838" t="str">
            <v>Not Responded</v>
          </cell>
          <cell r="C1838">
            <v>42741.73704378472</v>
          </cell>
        </row>
        <row r="1839">
          <cell r="A1839">
            <v>3035231147</v>
          </cell>
          <cell r="B1839" t="str">
            <v>Not Responded</v>
          </cell>
          <cell r="C1839">
            <v>42732.736728124997</v>
          </cell>
        </row>
        <row r="1840">
          <cell r="A1840">
            <v>3035140422</v>
          </cell>
          <cell r="B1840" t="str">
            <v>Not Responded</v>
          </cell>
          <cell r="C1840">
            <v>42730.74507326389</v>
          </cell>
        </row>
        <row r="1841">
          <cell r="A1841">
            <v>3035086242</v>
          </cell>
          <cell r="B1841" t="str">
            <v>Not Responded</v>
          </cell>
          <cell r="C1841">
            <v>42730.74507326389</v>
          </cell>
        </row>
        <row r="1842">
          <cell r="A1842">
            <v>3035194305</v>
          </cell>
          <cell r="B1842" t="str">
            <v>Not Responded</v>
          </cell>
          <cell r="C1842">
            <v>42729.734399733796</v>
          </cell>
        </row>
        <row r="1843">
          <cell r="A1843">
            <v>3035165248</v>
          </cell>
          <cell r="B1843" t="str">
            <v>Not Responded</v>
          </cell>
          <cell r="C1843">
            <v>42729.734399733796</v>
          </cell>
        </row>
        <row r="1844">
          <cell r="A1844">
            <v>3035174322</v>
          </cell>
          <cell r="B1844" t="str">
            <v>Not Responded</v>
          </cell>
          <cell r="C1844">
            <v>42729.734418483793</v>
          </cell>
        </row>
        <row r="1845">
          <cell r="A1845">
            <v>3035195667</v>
          </cell>
          <cell r="B1845" t="str">
            <v>Not Responded</v>
          </cell>
          <cell r="C1845">
            <v>42729.734399733796</v>
          </cell>
        </row>
        <row r="1846">
          <cell r="A1846">
            <v>3035131855</v>
          </cell>
          <cell r="B1846" t="str">
            <v>Not Responded</v>
          </cell>
          <cell r="C1846">
            <v>42729.734399733796</v>
          </cell>
        </row>
        <row r="1847">
          <cell r="A1847">
            <v>3034941328</v>
          </cell>
          <cell r="B1847" t="str">
            <v>Not Responded</v>
          </cell>
          <cell r="C1847">
            <v>42729.734399733796</v>
          </cell>
        </row>
        <row r="1848">
          <cell r="A1848">
            <v>3035195657</v>
          </cell>
          <cell r="B1848" t="str">
            <v>Not Responded</v>
          </cell>
          <cell r="C1848">
            <v>42729.734399733796</v>
          </cell>
        </row>
        <row r="1849">
          <cell r="A1849">
            <v>3034877723</v>
          </cell>
          <cell r="B1849" t="str">
            <v>Not Responded</v>
          </cell>
          <cell r="C1849">
            <v>42729.734399733796</v>
          </cell>
        </row>
        <row r="1850">
          <cell r="A1850">
            <v>3035200852</v>
          </cell>
          <cell r="B1850" t="str">
            <v>Not Responded</v>
          </cell>
          <cell r="C1850">
            <v>42729.734399733796</v>
          </cell>
        </row>
        <row r="1851">
          <cell r="A1851">
            <v>3035099065</v>
          </cell>
          <cell r="B1851" t="str">
            <v>Not Responded</v>
          </cell>
          <cell r="C1851">
            <v>42729.734399733796</v>
          </cell>
        </row>
        <row r="1852">
          <cell r="A1852">
            <v>3034990025</v>
          </cell>
          <cell r="B1852" t="str">
            <v>Not Responded</v>
          </cell>
          <cell r="C1852">
            <v>42729.734399733796</v>
          </cell>
        </row>
        <row r="1853">
          <cell r="A1853">
            <v>3035197101</v>
          </cell>
          <cell r="B1853" t="str">
            <v>Not Responded</v>
          </cell>
          <cell r="C1853">
            <v>42729.734399733796</v>
          </cell>
        </row>
        <row r="1854">
          <cell r="A1854">
            <v>3035172361</v>
          </cell>
          <cell r="B1854" t="str">
            <v>Not Responded</v>
          </cell>
          <cell r="C1854">
            <v>42729.734399733796</v>
          </cell>
        </row>
        <row r="1855">
          <cell r="A1855">
            <v>3035170631</v>
          </cell>
          <cell r="B1855" t="str">
            <v>Not Responded</v>
          </cell>
          <cell r="C1855">
            <v>42729.734399733796</v>
          </cell>
        </row>
        <row r="1856">
          <cell r="A1856">
            <v>3035111729</v>
          </cell>
          <cell r="B1856" t="str">
            <v>Not Responded</v>
          </cell>
          <cell r="C1856">
            <v>42729.734399733796</v>
          </cell>
        </row>
        <row r="1857">
          <cell r="A1857">
            <v>3035192917</v>
          </cell>
          <cell r="B1857" t="str">
            <v>Not Responded</v>
          </cell>
          <cell r="C1857">
            <v>42729.734399733796</v>
          </cell>
        </row>
        <row r="1858">
          <cell r="A1858">
            <v>3035199778</v>
          </cell>
          <cell r="B1858" t="str">
            <v>Not Responded</v>
          </cell>
          <cell r="C1858">
            <v>42729.734399733796</v>
          </cell>
        </row>
        <row r="1859">
          <cell r="A1859">
            <v>3035198963</v>
          </cell>
          <cell r="B1859" t="str">
            <v>Not Responded</v>
          </cell>
          <cell r="C1859">
            <v>42729.734399733796</v>
          </cell>
        </row>
        <row r="1860">
          <cell r="A1860">
            <v>3035166747</v>
          </cell>
          <cell r="B1860" t="str">
            <v>Not Responded</v>
          </cell>
          <cell r="C1860">
            <v>42729.734399733796</v>
          </cell>
        </row>
        <row r="1861">
          <cell r="A1861">
            <v>3035165339</v>
          </cell>
          <cell r="B1861" t="str">
            <v>Not Responded</v>
          </cell>
          <cell r="C1861">
            <v>42729.734399733796</v>
          </cell>
        </row>
        <row r="1862">
          <cell r="A1862">
            <v>3035133694</v>
          </cell>
          <cell r="B1862" t="str">
            <v>Not Responded</v>
          </cell>
          <cell r="C1862">
            <v>42729.734399733796</v>
          </cell>
        </row>
        <row r="1863">
          <cell r="A1863">
            <v>3035085487</v>
          </cell>
          <cell r="B1863" t="str">
            <v>Not Responded</v>
          </cell>
          <cell r="C1863">
            <v>42729.734399733796</v>
          </cell>
        </row>
        <row r="1864">
          <cell r="A1864">
            <v>3035068408</v>
          </cell>
          <cell r="B1864" t="str">
            <v>Not Responded</v>
          </cell>
          <cell r="C1864">
            <v>42729.734399733796</v>
          </cell>
        </row>
        <row r="1865">
          <cell r="A1865">
            <v>3035136268</v>
          </cell>
          <cell r="B1865" t="str">
            <v>Not Responded</v>
          </cell>
          <cell r="C1865">
            <v>42729.734399733796</v>
          </cell>
        </row>
        <row r="1866">
          <cell r="A1866">
            <v>3035139522</v>
          </cell>
          <cell r="B1866" t="str">
            <v>Not Responded</v>
          </cell>
          <cell r="C1866">
            <v>42728.734464780093</v>
          </cell>
        </row>
        <row r="1867">
          <cell r="A1867">
            <v>3035167481</v>
          </cell>
          <cell r="B1867" t="str">
            <v>Not Responded</v>
          </cell>
          <cell r="C1867">
            <v>42728.734464780093</v>
          </cell>
        </row>
        <row r="1868">
          <cell r="A1868">
            <v>3034987148</v>
          </cell>
          <cell r="B1868" t="str">
            <v>Not Responded</v>
          </cell>
          <cell r="C1868">
            <v>42728.734464780093</v>
          </cell>
        </row>
        <row r="1869">
          <cell r="A1869">
            <v>3035172041</v>
          </cell>
          <cell r="B1869" t="str">
            <v>Not Responded</v>
          </cell>
          <cell r="C1869">
            <v>42728.734464780093</v>
          </cell>
        </row>
        <row r="1870">
          <cell r="A1870">
            <v>3035165293</v>
          </cell>
          <cell r="B1870" t="str">
            <v>Not Responded</v>
          </cell>
          <cell r="C1870">
            <v>42728.734464780093</v>
          </cell>
        </row>
        <row r="1871">
          <cell r="A1871">
            <v>3034876696</v>
          </cell>
          <cell r="B1871" t="str">
            <v>Not Responded</v>
          </cell>
          <cell r="C1871">
            <v>42728.734464780093</v>
          </cell>
        </row>
        <row r="1872">
          <cell r="A1872">
            <v>3035171572</v>
          </cell>
          <cell r="B1872" t="str">
            <v>Not Responded</v>
          </cell>
          <cell r="C1872">
            <v>42728.734464780093</v>
          </cell>
        </row>
        <row r="1873">
          <cell r="A1873">
            <v>3035147851</v>
          </cell>
          <cell r="B1873" t="str">
            <v>Not Responded</v>
          </cell>
          <cell r="C1873">
            <v>42728.734464780093</v>
          </cell>
        </row>
        <row r="1874">
          <cell r="A1874">
            <v>3035167494</v>
          </cell>
          <cell r="B1874" t="str">
            <v>Not Responded</v>
          </cell>
          <cell r="C1874">
            <v>42728.734464780093</v>
          </cell>
        </row>
        <row r="1875">
          <cell r="A1875">
            <v>3035065863</v>
          </cell>
          <cell r="B1875" t="str">
            <v>Not Responded</v>
          </cell>
          <cell r="C1875">
            <v>42728.734464780093</v>
          </cell>
        </row>
        <row r="1876">
          <cell r="A1876">
            <v>3035171443</v>
          </cell>
          <cell r="B1876" t="str">
            <v>Not Responded</v>
          </cell>
          <cell r="C1876">
            <v>42728.734464780093</v>
          </cell>
        </row>
        <row r="1877">
          <cell r="A1877">
            <v>3035169466</v>
          </cell>
          <cell r="B1877" t="str">
            <v>Not Responded</v>
          </cell>
          <cell r="C1877">
            <v>42728.734464780093</v>
          </cell>
        </row>
        <row r="1878">
          <cell r="A1878">
            <v>3035180213</v>
          </cell>
          <cell r="B1878" t="str">
            <v>Not Responded</v>
          </cell>
          <cell r="C1878">
            <v>42728.734464780093</v>
          </cell>
        </row>
        <row r="1879">
          <cell r="A1879">
            <v>3035169323</v>
          </cell>
          <cell r="B1879" t="str">
            <v>Not Responded</v>
          </cell>
          <cell r="C1879">
            <v>42728.734464780093</v>
          </cell>
        </row>
        <row r="1880">
          <cell r="A1880">
            <v>3035066978</v>
          </cell>
          <cell r="B1880" t="str">
            <v>Not Responded</v>
          </cell>
          <cell r="C1880">
            <v>42728.734464780093</v>
          </cell>
        </row>
        <row r="1881">
          <cell r="A1881">
            <v>3035175107</v>
          </cell>
          <cell r="B1881" t="str">
            <v>Not Responded</v>
          </cell>
          <cell r="C1881">
            <v>42728.734464780093</v>
          </cell>
        </row>
        <row r="1882">
          <cell r="A1882">
            <v>3035150221</v>
          </cell>
          <cell r="B1882" t="str">
            <v>Not Responded</v>
          </cell>
          <cell r="C1882">
            <v>42728.734464780093</v>
          </cell>
        </row>
        <row r="1883">
          <cell r="A1883">
            <v>3035146751</v>
          </cell>
          <cell r="B1883" t="str">
            <v>Not Responded</v>
          </cell>
          <cell r="C1883">
            <v>42728.734464780093</v>
          </cell>
        </row>
        <row r="1884">
          <cell r="A1884">
            <v>3035135924</v>
          </cell>
          <cell r="B1884" t="str">
            <v>Not Responded</v>
          </cell>
          <cell r="C1884">
            <v>42728.734464780093</v>
          </cell>
        </row>
        <row r="1885">
          <cell r="A1885">
            <v>3035169736</v>
          </cell>
          <cell r="B1885" t="str">
            <v>Not Responded</v>
          </cell>
          <cell r="C1885">
            <v>42728.734464780093</v>
          </cell>
        </row>
        <row r="1886">
          <cell r="A1886">
            <v>3035067828</v>
          </cell>
          <cell r="B1886" t="str">
            <v>Not Responded</v>
          </cell>
          <cell r="C1886">
            <v>42728.734464780093</v>
          </cell>
        </row>
        <row r="1887">
          <cell r="A1887">
            <v>3035103259</v>
          </cell>
          <cell r="B1887" t="str">
            <v>Not Responded</v>
          </cell>
          <cell r="C1887">
            <v>42728.734464780093</v>
          </cell>
        </row>
        <row r="1888">
          <cell r="A1888">
            <v>3035030379</v>
          </cell>
          <cell r="B1888" t="str">
            <v>Not Responded</v>
          </cell>
          <cell r="C1888">
            <v>42728.734464780093</v>
          </cell>
        </row>
        <row r="1889">
          <cell r="A1889">
            <v>3035072363</v>
          </cell>
          <cell r="B1889" t="str">
            <v>Not Responded</v>
          </cell>
          <cell r="C1889">
            <v>42728.734464780093</v>
          </cell>
        </row>
        <row r="1890">
          <cell r="A1890">
            <v>3035167898</v>
          </cell>
          <cell r="B1890" t="str">
            <v>Not Responded</v>
          </cell>
          <cell r="C1890">
            <v>42728.734464780093</v>
          </cell>
        </row>
        <row r="1891">
          <cell r="A1891">
            <v>3035164562</v>
          </cell>
          <cell r="B1891" t="str">
            <v>Not Responded</v>
          </cell>
          <cell r="C1891">
            <v>42728.734464780093</v>
          </cell>
        </row>
        <row r="1892">
          <cell r="A1892">
            <v>3035144337</v>
          </cell>
          <cell r="B1892" t="str">
            <v>Not Responded</v>
          </cell>
          <cell r="C1892">
            <v>42728.734464780093</v>
          </cell>
        </row>
        <row r="1893">
          <cell r="A1893">
            <v>3034952545</v>
          </cell>
          <cell r="B1893" t="str">
            <v>Not Responded</v>
          </cell>
          <cell r="C1893">
            <v>42728.734464780093</v>
          </cell>
        </row>
        <row r="1894">
          <cell r="A1894">
            <v>3034886888</v>
          </cell>
          <cell r="B1894" t="str">
            <v>Not Responded</v>
          </cell>
          <cell r="C1894">
            <v>42728.734464780093</v>
          </cell>
        </row>
        <row r="1895">
          <cell r="A1895">
            <v>3035164162</v>
          </cell>
          <cell r="B1895" t="str">
            <v>Not Responded</v>
          </cell>
          <cell r="C1895">
            <v>42728.734464780093</v>
          </cell>
        </row>
        <row r="1896">
          <cell r="A1896">
            <v>3035197292</v>
          </cell>
          <cell r="B1896" t="str">
            <v>Not Responded</v>
          </cell>
          <cell r="C1896">
            <v>42729.734399733796</v>
          </cell>
        </row>
        <row r="1897">
          <cell r="A1897">
            <v>3035084216</v>
          </cell>
          <cell r="B1897" t="str">
            <v>Not Responded</v>
          </cell>
          <cell r="C1897">
            <v>42729.734399733796</v>
          </cell>
        </row>
        <row r="1898">
          <cell r="A1898">
            <v>3035202790</v>
          </cell>
          <cell r="B1898" t="str">
            <v>Not Responded</v>
          </cell>
          <cell r="C1898">
            <v>42729.734399733796</v>
          </cell>
        </row>
        <row r="1899">
          <cell r="A1899">
            <v>3035197931</v>
          </cell>
          <cell r="B1899" t="str">
            <v>Not Responded</v>
          </cell>
          <cell r="C1899">
            <v>42729.734399733796</v>
          </cell>
        </row>
        <row r="1900">
          <cell r="A1900">
            <v>3035079925</v>
          </cell>
          <cell r="B1900" t="str">
            <v>Not Responded</v>
          </cell>
          <cell r="C1900">
            <v>42729.734399733796</v>
          </cell>
        </row>
        <row r="1901">
          <cell r="A1901">
            <v>3035179599</v>
          </cell>
          <cell r="B1901" t="str">
            <v>Not Responded</v>
          </cell>
          <cell r="C1901">
            <v>42728.734464780093</v>
          </cell>
        </row>
        <row r="1902">
          <cell r="A1902">
            <v>3035166074</v>
          </cell>
          <cell r="B1902" t="str">
            <v>Not Responded</v>
          </cell>
          <cell r="C1902">
            <v>42728.734464780093</v>
          </cell>
        </row>
        <row r="1903">
          <cell r="A1903">
            <v>3035168009</v>
          </cell>
          <cell r="B1903" t="str">
            <v>Not Responded</v>
          </cell>
          <cell r="C1903">
            <v>42728.734464780093</v>
          </cell>
        </row>
        <row r="1904">
          <cell r="A1904">
            <v>3034921338</v>
          </cell>
          <cell r="B1904" t="str">
            <v>Not Responded</v>
          </cell>
          <cell r="C1904">
            <v>42728.734464780093</v>
          </cell>
        </row>
        <row r="1905">
          <cell r="A1905">
            <v>3035164115</v>
          </cell>
          <cell r="B1905" t="str">
            <v>Not Responded</v>
          </cell>
          <cell r="C1905">
            <v>42728.734464780093</v>
          </cell>
        </row>
        <row r="1906">
          <cell r="A1906">
            <v>3035164195</v>
          </cell>
          <cell r="B1906" t="str">
            <v>Not Responded</v>
          </cell>
          <cell r="C1906">
            <v>42728.734464780093</v>
          </cell>
        </row>
        <row r="1907">
          <cell r="A1907">
            <v>3035170186</v>
          </cell>
          <cell r="B1907" t="str">
            <v>Not Responded</v>
          </cell>
          <cell r="C1907">
            <v>42728.734464780093</v>
          </cell>
        </row>
        <row r="1908">
          <cell r="A1908">
            <v>3035165534</v>
          </cell>
          <cell r="B1908" t="str">
            <v>Not Responded</v>
          </cell>
          <cell r="C1908">
            <v>42728.734464780093</v>
          </cell>
        </row>
        <row r="1909">
          <cell r="A1909">
            <v>3035171525</v>
          </cell>
          <cell r="B1909" t="str">
            <v>Not Responded</v>
          </cell>
          <cell r="C1909">
            <v>42728.734464780093</v>
          </cell>
        </row>
        <row r="1910">
          <cell r="A1910">
            <v>3035019454</v>
          </cell>
          <cell r="B1910" t="str">
            <v>Not Responded</v>
          </cell>
          <cell r="C1910">
            <v>42727.734588043983</v>
          </cell>
        </row>
        <row r="1911">
          <cell r="A1911">
            <v>3035165434</v>
          </cell>
          <cell r="B1911" t="str">
            <v>Not Responded</v>
          </cell>
          <cell r="C1911">
            <v>42728.734464780093</v>
          </cell>
        </row>
        <row r="1912">
          <cell r="A1912">
            <v>3035136169</v>
          </cell>
          <cell r="B1912" t="str">
            <v>Not Responded</v>
          </cell>
          <cell r="C1912">
            <v>42728.734464780093</v>
          </cell>
        </row>
        <row r="1913">
          <cell r="A1913">
            <v>3034939726</v>
          </cell>
          <cell r="B1913" t="str">
            <v>Not Responded</v>
          </cell>
          <cell r="C1913">
            <v>42727.734570601853</v>
          </cell>
        </row>
        <row r="1914">
          <cell r="A1914">
            <v>3034830507</v>
          </cell>
          <cell r="B1914" t="str">
            <v>Not Responded</v>
          </cell>
          <cell r="C1914">
            <v>42727.734570601853</v>
          </cell>
        </row>
        <row r="1915">
          <cell r="A1915">
            <v>3035145692</v>
          </cell>
          <cell r="B1915" t="str">
            <v>Not Responded</v>
          </cell>
          <cell r="C1915">
            <v>42727.734570601853</v>
          </cell>
        </row>
        <row r="1916">
          <cell r="A1916">
            <v>3035100158</v>
          </cell>
          <cell r="B1916" t="str">
            <v>Not Responded</v>
          </cell>
          <cell r="C1916">
            <v>42727.734588043983</v>
          </cell>
        </row>
        <row r="1917">
          <cell r="A1917">
            <v>3035117737</v>
          </cell>
          <cell r="B1917" t="str">
            <v>Not Responded</v>
          </cell>
          <cell r="C1917">
            <v>42727.734570601853</v>
          </cell>
        </row>
        <row r="1918">
          <cell r="A1918">
            <v>3035143801</v>
          </cell>
          <cell r="B1918" t="str">
            <v>Not Responded</v>
          </cell>
          <cell r="C1918">
            <v>42727.734570601853</v>
          </cell>
        </row>
        <row r="1919">
          <cell r="A1919">
            <v>3035101150</v>
          </cell>
          <cell r="B1919" t="str">
            <v>Not Responded</v>
          </cell>
          <cell r="C1919">
            <v>42727.734570601853</v>
          </cell>
        </row>
        <row r="1920">
          <cell r="A1920">
            <v>3035119885</v>
          </cell>
          <cell r="B1920" t="str">
            <v>Not Responded</v>
          </cell>
          <cell r="C1920">
            <v>42728.734464780093</v>
          </cell>
        </row>
        <row r="1921">
          <cell r="A1921">
            <v>3035063098</v>
          </cell>
          <cell r="B1921" t="str">
            <v>Not Responded</v>
          </cell>
          <cell r="C1921">
            <v>42728.734464780093</v>
          </cell>
        </row>
        <row r="1922">
          <cell r="A1922">
            <v>3034948983</v>
          </cell>
          <cell r="B1922" t="str">
            <v>Not Responded</v>
          </cell>
          <cell r="C1922">
            <v>42728.734464780093</v>
          </cell>
        </row>
        <row r="1923">
          <cell r="A1923">
            <v>3035134539</v>
          </cell>
          <cell r="B1923" t="str">
            <v>Not Responded</v>
          </cell>
          <cell r="C1923">
            <v>42728.734464780093</v>
          </cell>
        </row>
        <row r="1924">
          <cell r="A1924">
            <v>3035133504</v>
          </cell>
          <cell r="B1924" t="str">
            <v>Not Responded</v>
          </cell>
          <cell r="C1924">
            <v>42728.734464780093</v>
          </cell>
        </row>
        <row r="1925">
          <cell r="A1925">
            <v>3035141126</v>
          </cell>
          <cell r="B1925" t="str">
            <v>Not Responded</v>
          </cell>
          <cell r="C1925">
            <v>42728.734464780093</v>
          </cell>
        </row>
        <row r="1926">
          <cell r="A1926">
            <v>3035170978</v>
          </cell>
          <cell r="B1926" t="str">
            <v>Not Responded</v>
          </cell>
          <cell r="C1926">
            <v>42728.734464780093</v>
          </cell>
        </row>
        <row r="1927">
          <cell r="A1927">
            <v>3035143565</v>
          </cell>
          <cell r="B1927" t="str">
            <v>Not Responded</v>
          </cell>
          <cell r="C1927">
            <v>42728.734464780093</v>
          </cell>
        </row>
        <row r="1928">
          <cell r="A1928">
            <v>3035171225</v>
          </cell>
          <cell r="B1928" t="str">
            <v>Not Responded</v>
          </cell>
          <cell r="C1928">
            <v>42728.734464780093</v>
          </cell>
        </row>
        <row r="1929">
          <cell r="A1929">
            <v>3034985786</v>
          </cell>
          <cell r="B1929" t="str">
            <v>Not Responded</v>
          </cell>
          <cell r="C1929">
            <v>42727.734570601853</v>
          </cell>
        </row>
        <row r="1930">
          <cell r="A1930">
            <v>3035101075</v>
          </cell>
          <cell r="B1930" t="str">
            <v>Not Responded</v>
          </cell>
          <cell r="C1930">
            <v>42727.734570601853</v>
          </cell>
        </row>
        <row r="1931">
          <cell r="A1931">
            <v>3035106664</v>
          </cell>
          <cell r="B1931" t="str">
            <v>Not Responded</v>
          </cell>
          <cell r="C1931">
            <v>42727.734570601853</v>
          </cell>
        </row>
        <row r="1932">
          <cell r="A1932">
            <v>3035100461</v>
          </cell>
          <cell r="B1932" t="str">
            <v>Not Responded</v>
          </cell>
          <cell r="C1932">
            <v>42727.734570601853</v>
          </cell>
        </row>
        <row r="1933">
          <cell r="A1933">
            <v>3035146362</v>
          </cell>
          <cell r="B1933" t="str">
            <v>Not Responded</v>
          </cell>
          <cell r="C1933">
            <v>42727.734570601853</v>
          </cell>
        </row>
        <row r="1934">
          <cell r="A1934">
            <v>3034978299</v>
          </cell>
          <cell r="B1934" t="str">
            <v>Not Responded</v>
          </cell>
          <cell r="C1934">
            <v>42727.734570601853</v>
          </cell>
        </row>
        <row r="1935">
          <cell r="A1935">
            <v>3035104991</v>
          </cell>
          <cell r="B1935" t="str">
            <v>Not Responded</v>
          </cell>
          <cell r="C1935">
            <v>42727.734570601853</v>
          </cell>
        </row>
        <row r="1936">
          <cell r="A1936">
            <v>3034906261</v>
          </cell>
          <cell r="B1936" t="str">
            <v>Not Responded</v>
          </cell>
          <cell r="C1936">
            <v>42727.734570601853</v>
          </cell>
        </row>
        <row r="1937">
          <cell r="A1937">
            <v>3034916863</v>
          </cell>
          <cell r="B1937" t="str">
            <v>Not Responded</v>
          </cell>
          <cell r="C1937">
            <v>42727.734570601853</v>
          </cell>
        </row>
        <row r="1938">
          <cell r="A1938">
            <v>3034779406</v>
          </cell>
          <cell r="B1938" t="str">
            <v>Not Responded</v>
          </cell>
          <cell r="C1938">
            <v>42727.734570601853</v>
          </cell>
        </row>
        <row r="1939">
          <cell r="A1939">
            <v>3035144035</v>
          </cell>
          <cell r="B1939" t="str">
            <v>Not Responded</v>
          </cell>
          <cell r="C1939">
            <v>42727.734570601853</v>
          </cell>
        </row>
        <row r="1940">
          <cell r="A1940">
            <v>3035101396</v>
          </cell>
          <cell r="B1940" t="str">
            <v>Not Responded</v>
          </cell>
          <cell r="C1940">
            <v>42727.734570601853</v>
          </cell>
        </row>
        <row r="1941">
          <cell r="A1941">
            <v>3035105310</v>
          </cell>
          <cell r="B1941" t="str">
            <v>Not Responded</v>
          </cell>
          <cell r="C1941">
            <v>42727.734570601853</v>
          </cell>
        </row>
        <row r="1942">
          <cell r="A1942">
            <v>3035151816</v>
          </cell>
          <cell r="B1942" t="str">
            <v>Not Responded</v>
          </cell>
          <cell r="C1942">
            <v>42727.734570601853</v>
          </cell>
        </row>
        <row r="1943">
          <cell r="A1943">
            <v>3035118083</v>
          </cell>
          <cell r="B1943" t="str">
            <v>Not Responded</v>
          </cell>
          <cell r="C1943">
            <v>42727.734570601853</v>
          </cell>
        </row>
        <row r="1944">
          <cell r="A1944">
            <v>3035138469</v>
          </cell>
          <cell r="B1944" t="str">
            <v>Not Responded</v>
          </cell>
          <cell r="C1944">
            <v>42727.734570601853</v>
          </cell>
        </row>
        <row r="1945">
          <cell r="A1945">
            <v>3035111039</v>
          </cell>
          <cell r="B1945" t="str">
            <v>Not Responded</v>
          </cell>
          <cell r="C1945">
            <v>42727.734570601853</v>
          </cell>
        </row>
        <row r="1946">
          <cell r="A1946">
            <v>3035145487</v>
          </cell>
          <cell r="B1946" t="str">
            <v>Not Responded</v>
          </cell>
          <cell r="C1946">
            <v>42727.734570601853</v>
          </cell>
        </row>
        <row r="1947">
          <cell r="A1947">
            <v>3035079023</v>
          </cell>
          <cell r="B1947" t="str">
            <v>Not Responded</v>
          </cell>
          <cell r="C1947">
            <v>42727.734570601853</v>
          </cell>
        </row>
        <row r="1948">
          <cell r="A1948">
            <v>3035143602</v>
          </cell>
          <cell r="B1948" t="str">
            <v>Not Responded</v>
          </cell>
          <cell r="C1948">
            <v>42727.734570601853</v>
          </cell>
        </row>
        <row r="1949">
          <cell r="A1949">
            <v>3035101807</v>
          </cell>
          <cell r="B1949" t="str">
            <v>Not Responded</v>
          </cell>
          <cell r="C1949">
            <v>42726.868314618056</v>
          </cell>
        </row>
        <row r="1950">
          <cell r="A1950">
            <v>3035106541</v>
          </cell>
          <cell r="B1950" t="str">
            <v>Not Responded</v>
          </cell>
          <cell r="C1950">
            <v>42726.868314618056</v>
          </cell>
        </row>
        <row r="1951">
          <cell r="A1951">
            <v>3035100221</v>
          </cell>
          <cell r="B1951" t="str">
            <v>Not Responded</v>
          </cell>
          <cell r="C1951">
            <v>42726.868314618056</v>
          </cell>
        </row>
        <row r="1952">
          <cell r="A1952">
            <v>3034917315</v>
          </cell>
          <cell r="B1952" t="str">
            <v>Not Responded</v>
          </cell>
          <cell r="C1952">
            <v>42726.868314618056</v>
          </cell>
        </row>
        <row r="1953">
          <cell r="A1953">
            <v>3035065081</v>
          </cell>
          <cell r="B1953" t="str">
            <v>Not Responded</v>
          </cell>
          <cell r="C1953">
            <v>42726.868314618056</v>
          </cell>
        </row>
        <row r="1954">
          <cell r="A1954">
            <v>3034752107</v>
          </cell>
          <cell r="B1954" t="str">
            <v>Not Responded</v>
          </cell>
          <cell r="C1954">
            <v>42726.868314618056</v>
          </cell>
        </row>
        <row r="1955">
          <cell r="A1955">
            <v>3034871430</v>
          </cell>
          <cell r="B1955" t="str">
            <v>Not Responded</v>
          </cell>
          <cell r="C1955">
            <v>42726.868314618056</v>
          </cell>
        </row>
        <row r="1956">
          <cell r="A1956">
            <v>3035071415</v>
          </cell>
          <cell r="B1956" t="str">
            <v>Not Responded</v>
          </cell>
          <cell r="C1956">
            <v>42726.868314618056</v>
          </cell>
        </row>
        <row r="1957">
          <cell r="A1957">
            <v>3035101076</v>
          </cell>
          <cell r="B1957" t="str">
            <v>Not Responded</v>
          </cell>
          <cell r="C1957">
            <v>42726.868314618056</v>
          </cell>
        </row>
        <row r="1958">
          <cell r="A1958">
            <v>3035107875</v>
          </cell>
          <cell r="B1958" t="str">
            <v>Not Responded</v>
          </cell>
          <cell r="C1958">
            <v>42726.868314618056</v>
          </cell>
        </row>
        <row r="1959">
          <cell r="A1959">
            <v>3035109580</v>
          </cell>
          <cell r="B1959" t="str">
            <v>Not Responded</v>
          </cell>
          <cell r="C1959">
            <v>42726.868314618056</v>
          </cell>
        </row>
        <row r="1960">
          <cell r="A1960">
            <v>3035100438</v>
          </cell>
          <cell r="B1960" t="str">
            <v>Not Responded</v>
          </cell>
          <cell r="C1960">
            <v>42726.868314618056</v>
          </cell>
        </row>
        <row r="1961">
          <cell r="A1961">
            <v>3034774474</v>
          </cell>
          <cell r="B1961" t="str">
            <v>Not Responded</v>
          </cell>
          <cell r="C1961">
            <v>42726.868314618056</v>
          </cell>
        </row>
        <row r="1962">
          <cell r="A1962">
            <v>3035098555</v>
          </cell>
          <cell r="B1962" t="str">
            <v>Not Responded</v>
          </cell>
          <cell r="C1962">
            <v>42726.868314618056</v>
          </cell>
        </row>
        <row r="1963">
          <cell r="A1963">
            <v>3035101787</v>
          </cell>
          <cell r="B1963" t="str">
            <v>Not Responded</v>
          </cell>
          <cell r="C1963">
            <v>42726.868314618056</v>
          </cell>
        </row>
        <row r="1964">
          <cell r="A1964">
            <v>3035110684</v>
          </cell>
          <cell r="B1964" t="str">
            <v>Not Responded</v>
          </cell>
          <cell r="C1964">
            <v>42726.868314618056</v>
          </cell>
        </row>
        <row r="1965">
          <cell r="A1965">
            <v>3034984486</v>
          </cell>
          <cell r="B1965" t="str">
            <v>Not Responded</v>
          </cell>
          <cell r="C1965">
            <v>42726.868314618056</v>
          </cell>
        </row>
        <row r="1966">
          <cell r="A1966">
            <v>3034907217</v>
          </cell>
          <cell r="B1966" t="str">
            <v>Not Responded</v>
          </cell>
          <cell r="C1966">
            <v>42726.868314618056</v>
          </cell>
        </row>
        <row r="1967">
          <cell r="A1967">
            <v>3035003892</v>
          </cell>
          <cell r="B1967" t="str">
            <v>Not Responded</v>
          </cell>
          <cell r="C1967">
            <v>42726.868314618056</v>
          </cell>
        </row>
        <row r="1968">
          <cell r="A1968">
            <v>3035110041</v>
          </cell>
          <cell r="B1968" t="str">
            <v>Not Responded</v>
          </cell>
          <cell r="C1968">
            <v>42726.868314618056</v>
          </cell>
        </row>
        <row r="1969">
          <cell r="A1969">
            <v>3035112934</v>
          </cell>
          <cell r="B1969" t="str">
            <v>Not Responded</v>
          </cell>
          <cell r="C1969">
            <v>42726.868314618056</v>
          </cell>
        </row>
        <row r="1970">
          <cell r="A1970">
            <v>3035104855</v>
          </cell>
          <cell r="B1970" t="str">
            <v>Not Responded</v>
          </cell>
          <cell r="C1970">
            <v>42726.868314618056</v>
          </cell>
        </row>
        <row r="1971">
          <cell r="A1971">
            <v>3035112857</v>
          </cell>
          <cell r="B1971" t="str">
            <v>Not Responded</v>
          </cell>
          <cell r="C1971">
            <v>42726.868314618056</v>
          </cell>
        </row>
        <row r="1972">
          <cell r="A1972">
            <v>3034906237</v>
          </cell>
          <cell r="B1972" t="str">
            <v>Not Responded</v>
          </cell>
          <cell r="C1972">
            <v>42726.868314618056</v>
          </cell>
        </row>
        <row r="1973">
          <cell r="A1973">
            <v>3035099152</v>
          </cell>
          <cell r="B1973" t="str">
            <v>Not Responded</v>
          </cell>
          <cell r="C1973">
            <v>42726.868340393521</v>
          </cell>
        </row>
        <row r="1974">
          <cell r="A1974">
            <v>3035135313</v>
          </cell>
          <cell r="B1974" t="str">
            <v>Not Responded</v>
          </cell>
          <cell r="C1974">
            <v>42727.734570601853</v>
          </cell>
        </row>
        <row r="1975">
          <cell r="A1975">
            <v>3035108457</v>
          </cell>
          <cell r="B1975" t="str">
            <v>Not Responded</v>
          </cell>
          <cell r="C1975">
            <v>42726.868314618056</v>
          </cell>
        </row>
        <row r="1976">
          <cell r="A1976">
            <v>3035098542</v>
          </cell>
          <cell r="B1976" t="str">
            <v>Not Responded</v>
          </cell>
          <cell r="C1976">
            <v>42726.868314618056</v>
          </cell>
        </row>
        <row r="1977">
          <cell r="A1977">
            <v>3035102094</v>
          </cell>
          <cell r="B1977" t="str">
            <v>Not Responded</v>
          </cell>
          <cell r="C1977">
            <v>42726.868314618056</v>
          </cell>
        </row>
        <row r="1978">
          <cell r="A1978">
            <v>3035102493</v>
          </cell>
          <cell r="B1978" t="str">
            <v>Not Responded</v>
          </cell>
          <cell r="C1978">
            <v>42726.868314618056</v>
          </cell>
        </row>
        <row r="1979">
          <cell r="A1979">
            <v>3034910990</v>
          </cell>
          <cell r="B1979" t="str">
            <v>Not Responded</v>
          </cell>
          <cell r="C1979">
            <v>42726.868314618056</v>
          </cell>
        </row>
        <row r="1980">
          <cell r="A1980">
            <v>3035030664</v>
          </cell>
          <cell r="B1980" t="str">
            <v>Not Responded</v>
          </cell>
          <cell r="C1980">
            <v>42726.868314618056</v>
          </cell>
        </row>
        <row r="1981">
          <cell r="A1981">
            <v>3035077062</v>
          </cell>
          <cell r="B1981" t="str">
            <v>Not Responded</v>
          </cell>
          <cell r="C1981">
            <v>42726.868314618056</v>
          </cell>
        </row>
        <row r="1982">
          <cell r="A1982">
            <v>3035015658</v>
          </cell>
          <cell r="B1982" t="str">
            <v>Not Responded</v>
          </cell>
          <cell r="C1982">
            <v>42727.734570601853</v>
          </cell>
        </row>
        <row r="1983">
          <cell r="A1983">
            <v>3035116065</v>
          </cell>
          <cell r="B1983" t="str">
            <v>Not Responded</v>
          </cell>
          <cell r="C1983">
            <v>42727.734570601853</v>
          </cell>
        </row>
        <row r="1984">
          <cell r="A1984">
            <v>3035146042</v>
          </cell>
          <cell r="B1984" t="str">
            <v>Not Responded</v>
          </cell>
          <cell r="C1984">
            <v>42727.734570601853</v>
          </cell>
        </row>
        <row r="1985">
          <cell r="A1985">
            <v>3035141597</v>
          </cell>
          <cell r="B1985" t="str">
            <v>Not Responded</v>
          </cell>
          <cell r="C1985">
            <v>42727.734570601853</v>
          </cell>
        </row>
        <row r="1986">
          <cell r="A1986">
            <v>3035146656</v>
          </cell>
          <cell r="B1986" t="str">
            <v>Not Responded</v>
          </cell>
          <cell r="C1986">
            <v>42727.734570601853</v>
          </cell>
        </row>
        <row r="1987">
          <cell r="A1987">
            <v>3035133916</v>
          </cell>
          <cell r="B1987" t="str">
            <v>Not Responded</v>
          </cell>
          <cell r="C1987">
            <v>42727.734570601853</v>
          </cell>
        </row>
        <row r="1988">
          <cell r="A1988">
            <v>3035112834</v>
          </cell>
          <cell r="B1988" t="str">
            <v>Not Responded</v>
          </cell>
          <cell r="C1988">
            <v>42727.734570601853</v>
          </cell>
        </row>
        <row r="1989">
          <cell r="A1989">
            <v>3035138845</v>
          </cell>
          <cell r="B1989" t="str">
            <v>Not Responded</v>
          </cell>
          <cell r="C1989">
            <v>42727.734570601853</v>
          </cell>
        </row>
        <row r="1990">
          <cell r="A1990">
            <v>3035138610</v>
          </cell>
          <cell r="B1990" t="str">
            <v>Not Responded</v>
          </cell>
          <cell r="C1990">
            <v>42727.734570601853</v>
          </cell>
        </row>
        <row r="1991">
          <cell r="A1991">
            <v>3035131979</v>
          </cell>
          <cell r="B1991" t="str">
            <v>Not Responded</v>
          </cell>
          <cell r="C1991">
            <v>42727.734570601853</v>
          </cell>
        </row>
        <row r="1992">
          <cell r="A1992">
            <v>3035133778</v>
          </cell>
          <cell r="B1992" t="str">
            <v>Not Responded</v>
          </cell>
          <cell r="C1992">
            <v>42727.734570601853</v>
          </cell>
        </row>
        <row r="1993">
          <cell r="A1993">
            <v>3034911482</v>
          </cell>
          <cell r="B1993" t="str">
            <v>Not Responded</v>
          </cell>
          <cell r="C1993">
            <v>42727.734570601853</v>
          </cell>
        </row>
        <row r="1994">
          <cell r="A1994">
            <v>3035037435</v>
          </cell>
          <cell r="B1994" t="str">
            <v>Not Responded</v>
          </cell>
          <cell r="C1994">
            <v>42727.734570601853</v>
          </cell>
        </row>
        <row r="1995">
          <cell r="A1995">
            <v>3034877453</v>
          </cell>
          <cell r="B1995" t="str">
            <v>Not Responded</v>
          </cell>
          <cell r="C1995">
            <v>42727.734570601853</v>
          </cell>
        </row>
        <row r="1996">
          <cell r="A1996">
            <v>3035109702</v>
          </cell>
          <cell r="B1996" t="str">
            <v>Not Responded</v>
          </cell>
          <cell r="C1996">
            <v>42727.734570601853</v>
          </cell>
        </row>
        <row r="1997">
          <cell r="A1997">
            <v>3035029729</v>
          </cell>
          <cell r="B1997" t="str">
            <v>Not Responded</v>
          </cell>
          <cell r="C1997">
            <v>42727.734570601853</v>
          </cell>
        </row>
        <row r="1998">
          <cell r="A1998">
            <v>3035005592</v>
          </cell>
          <cell r="B1998" t="str">
            <v>Not Responded</v>
          </cell>
          <cell r="C1998">
            <v>42727.734570601853</v>
          </cell>
        </row>
        <row r="1999">
          <cell r="A1999">
            <v>3034902997</v>
          </cell>
          <cell r="B1999" t="str">
            <v>Not Responded</v>
          </cell>
          <cell r="C1999">
            <v>42727.734570601853</v>
          </cell>
        </row>
        <row r="2000">
          <cell r="A2000">
            <v>3034873452</v>
          </cell>
          <cell r="B2000" t="str">
            <v>Not Responded</v>
          </cell>
          <cell r="C2000">
            <v>42727.734570601853</v>
          </cell>
        </row>
        <row r="2001">
          <cell r="A2001">
            <v>3035117050</v>
          </cell>
          <cell r="B2001" t="str">
            <v>Not Responded</v>
          </cell>
          <cell r="C2001">
            <v>42727.734570601853</v>
          </cell>
        </row>
        <row r="2002">
          <cell r="A2002">
            <v>3035138624</v>
          </cell>
          <cell r="B2002" t="str">
            <v>Not Responded</v>
          </cell>
          <cell r="C2002">
            <v>42727.734570601853</v>
          </cell>
        </row>
        <row r="2003">
          <cell r="A2003">
            <v>3035011223</v>
          </cell>
          <cell r="B2003" t="str">
            <v>Not Responded</v>
          </cell>
          <cell r="C2003">
            <v>42722.734715543978</v>
          </cell>
        </row>
        <row r="2004">
          <cell r="A2004">
            <v>3035009622</v>
          </cell>
          <cell r="B2004" t="str">
            <v>Not Responded</v>
          </cell>
          <cell r="C2004">
            <v>42722.734715543978</v>
          </cell>
        </row>
        <row r="2005">
          <cell r="A2005">
            <v>3034667955</v>
          </cell>
          <cell r="B2005" t="str">
            <v>Not Responded</v>
          </cell>
          <cell r="C2005">
            <v>42722.734715543978</v>
          </cell>
        </row>
        <row r="2006">
          <cell r="A2006">
            <v>3034985298</v>
          </cell>
          <cell r="B2006" t="str">
            <v>Not Responded</v>
          </cell>
          <cell r="C2006">
            <v>42722.734715543978</v>
          </cell>
        </row>
        <row r="2007">
          <cell r="A2007">
            <v>3035023200</v>
          </cell>
          <cell r="B2007" t="str">
            <v>Not Responded</v>
          </cell>
          <cell r="C2007">
            <v>42722.734715543978</v>
          </cell>
        </row>
        <row r="2008">
          <cell r="A2008">
            <v>3034936767</v>
          </cell>
          <cell r="B2008" t="str">
            <v>Not Responded</v>
          </cell>
          <cell r="C2008">
            <v>42722.734715543978</v>
          </cell>
        </row>
        <row r="2009">
          <cell r="A2009">
            <v>3034703333</v>
          </cell>
          <cell r="B2009" t="str">
            <v>Not Responded</v>
          </cell>
          <cell r="C2009">
            <v>42722.734715543978</v>
          </cell>
        </row>
        <row r="2010">
          <cell r="A2010">
            <v>3035015469</v>
          </cell>
          <cell r="B2010" t="str">
            <v>Not Responded</v>
          </cell>
          <cell r="C2010">
            <v>42722.734715543978</v>
          </cell>
        </row>
        <row r="2011">
          <cell r="A2011">
            <v>3035006004</v>
          </cell>
          <cell r="B2011" t="str">
            <v>Not Responded</v>
          </cell>
          <cell r="C2011">
            <v>42722.734715543978</v>
          </cell>
        </row>
        <row r="2012">
          <cell r="A2012">
            <v>3034830179</v>
          </cell>
          <cell r="B2012" t="str">
            <v>Not Responded</v>
          </cell>
          <cell r="C2012">
            <v>42722.734715543978</v>
          </cell>
        </row>
        <row r="2013">
          <cell r="A2013">
            <v>3035008577</v>
          </cell>
          <cell r="B2013" t="str">
            <v>Not Responded</v>
          </cell>
          <cell r="C2013">
            <v>42722.734715543978</v>
          </cell>
        </row>
        <row r="2014">
          <cell r="A2014">
            <v>3035003891</v>
          </cell>
          <cell r="B2014" t="str">
            <v>Not Responded</v>
          </cell>
          <cell r="C2014">
            <v>42722.734715543978</v>
          </cell>
        </row>
        <row r="2015">
          <cell r="A2015">
            <v>3034981780</v>
          </cell>
          <cell r="B2015" t="str">
            <v>Not Responded</v>
          </cell>
          <cell r="C2015">
            <v>42722.734715543978</v>
          </cell>
        </row>
        <row r="2016">
          <cell r="A2016">
            <v>3034910692</v>
          </cell>
          <cell r="B2016" t="str">
            <v>Not Responded</v>
          </cell>
          <cell r="C2016">
            <v>42722.734715543978</v>
          </cell>
        </row>
        <row r="2017">
          <cell r="A2017">
            <v>3034698739</v>
          </cell>
          <cell r="B2017" t="str">
            <v>Not Responded</v>
          </cell>
          <cell r="C2017">
            <v>42722.734715543978</v>
          </cell>
        </row>
        <row r="2018">
          <cell r="A2018">
            <v>3034904432</v>
          </cell>
          <cell r="B2018" t="str">
            <v>Not Responded</v>
          </cell>
          <cell r="C2018">
            <v>42722.734715543978</v>
          </cell>
        </row>
        <row r="2019">
          <cell r="A2019">
            <v>3035017537</v>
          </cell>
          <cell r="B2019" t="str">
            <v>Not Responded</v>
          </cell>
          <cell r="C2019">
            <v>42722.734715543978</v>
          </cell>
        </row>
        <row r="2020">
          <cell r="A2020">
            <v>3034703017</v>
          </cell>
          <cell r="B2020" t="str">
            <v>Not Responded</v>
          </cell>
          <cell r="C2020">
            <v>42722.734715543978</v>
          </cell>
        </row>
        <row r="2021">
          <cell r="A2021">
            <v>3035010973</v>
          </cell>
          <cell r="B2021" t="str">
            <v>Not Responded</v>
          </cell>
          <cell r="C2021">
            <v>42722.734715543978</v>
          </cell>
        </row>
        <row r="2022">
          <cell r="A2022">
            <v>3034886592</v>
          </cell>
          <cell r="B2022" t="str">
            <v>Not Responded</v>
          </cell>
          <cell r="C2022">
            <v>42722.734715543978</v>
          </cell>
        </row>
        <row r="2023">
          <cell r="A2023">
            <v>3034947933</v>
          </cell>
          <cell r="B2023" t="str">
            <v>Not Responded</v>
          </cell>
          <cell r="C2023">
            <v>42722.734715543978</v>
          </cell>
        </row>
        <row r="2024">
          <cell r="A2024">
            <v>3034911934</v>
          </cell>
          <cell r="B2024" t="str">
            <v>Not Responded</v>
          </cell>
          <cell r="C2024">
            <v>42722.734715543978</v>
          </cell>
        </row>
        <row r="2025">
          <cell r="A2025">
            <v>3035013652</v>
          </cell>
          <cell r="B2025" t="str">
            <v>Not Responded</v>
          </cell>
          <cell r="C2025">
            <v>42722.734715543978</v>
          </cell>
        </row>
        <row r="2026">
          <cell r="A2026">
            <v>3035012016</v>
          </cell>
          <cell r="B2026" t="str">
            <v>Not Responded</v>
          </cell>
          <cell r="C2026">
            <v>42722.734715543978</v>
          </cell>
        </row>
        <row r="2027">
          <cell r="A2027">
            <v>3035005448</v>
          </cell>
          <cell r="B2027" t="str">
            <v>Not Responded</v>
          </cell>
          <cell r="C2027">
            <v>42722.734715543978</v>
          </cell>
        </row>
        <row r="2028">
          <cell r="A2028">
            <v>3035015064</v>
          </cell>
          <cell r="B2028" t="str">
            <v>Not Responded</v>
          </cell>
          <cell r="C2028">
            <v>42722.734715543978</v>
          </cell>
        </row>
        <row r="2029">
          <cell r="A2029">
            <v>3035004530</v>
          </cell>
          <cell r="B2029" t="str">
            <v>Not Responded</v>
          </cell>
          <cell r="C2029">
            <v>42722.734715543978</v>
          </cell>
        </row>
        <row r="2030">
          <cell r="A2030">
            <v>3034920155</v>
          </cell>
          <cell r="B2030" t="str">
            <v>Not Responded</v>
          </cell>
          <cell r="C2030">
            <v>42722.734715543978</v>
          </cell>
        </row>
        <row r="2031">
          <cell r="A2031">
            <v>3034955000</v>
          </cell>
          <cell r="B2031" t="str">
            <v>Not Responded</v>
          </cell>
          <cell r="C2031">
            <v>42722.734715543978</v>
          </cell>
        </row>
        <row r="2032">
          <cell r="A2032">
            <v>3034778289</v>
          </cell>
          <cell r="B2032" t="str">
            <v>Not Responded</v>
          </cell>
          <cell r="C2032">
            <v>42722.734715543978</v>
          </cell>
        </row>
        <row r="2033">
          <cell r="A2033">
            <v>3034987683</v>
          </cell>
          <cell r="B2033" t="str">
            <v>Not Responded</v>
          </cell>
          <cell r="C2033">
            <v>42723.734847997686</v>
          </cell>
        </row>
        <row r="2034">
          <cell r="A2034">
            <v>3034817607</v>
          </cell>
          <cell r="B2034" t="str">
            <v>Not Responded</v>
          </cell>
          <cell r="C2034">
            <v>42723.734847997686</v>
          </cell>
        </row>
        <row r="2035">
          <cell r="A2035">
            <v>3034867187</v>
          </cell>
          <cell r="B2035" t="str">
            <v>Not Responded</v>
          </cell>
          <cell r="C2035">
            <v>42722.734715543978</v>
          </cell>
        </row>
        <row r="2036">
          <cell r="A2036">
            <v>3034872908</v>
          </cell>
          <cell r="B2036" t="str">
            <v>Not Responded</v>
          </cell>
          <cell r="C2036">
            <v>42722.734715543978</v>
          </cell>
        </row>
        <row r="2037">
          <cell r="A2037">
            <v>3035013741</v>
          </cell>
          <cell r="B2037" t="str">
            <v>Not Responded</v>
          </cell>
          <cell r="C2037">
            <v>42722.734715543978</v>
          </cell>
        </row>
        <row r="2038">
          <cell r="A2038">
            <v>3034782314</v>
          </cell>
          <cell r="B2038" t="str">
            <v>Not Responded</v>
          </cell>
          <cell r="C2038">
            <v>42722.734715543978</v>
          </cell>
        </row>
        <row r="2039">
          <cell r="A2039">
            <v>3035009873</v>
          </cell>
          <cell r="B2039" t="str">
            <v>Not Responded</v>
          </cell>
          <cell r="C2039">
            <v>42722.734715543978</v>
          </cell>
        </row>
        <row r="2040">
          <cell r="A2040">
            <v>3034746828</v>
          </cell>
          <cell r="B2040" t="str">
            <v>Not Responded</v>
          </cell>
          <cell r="C2040">
            <v>42722.734715543978</v>
          </cell>
        </row>
        <row r="2041">
          <cell r="A2041">
            <v>3034862804</v>
          </cell>
          <cell r="B2041" t="str">
            <v>Not Responded</v>
          </cell>
          <cell r="C2041">
            <v>42722.734715543978</v>
          </cell>
        </row>
        <row r="2042">
          <cell r="A2042">
            <v>3034984309</v>
          </cell>
          <cell r="B2042" t="str">
            <v>Not Responded</v>
          </cell>
          <cell r="C2042">
            <v>42723.734847997686</v>
          </cell>
        </row>
        <row r="2043">
          <cell r="A2043">
            <v>3034945730</v>
          </cell>
          <cell r="B2043" t="str">
            <v>Not Responded</v>
          </cell>
          <cell r="C2043">
            <v>42723.734847997686</v>
          </cell>
        </row>
        <row r="2044">
          <cell r="A2044">
            <v>3034908902</v>
          </cell>
          <cell r="B2044" t="str">
            <v>Not Responded</v>
          </cell>
          <cell r="C2044">
            <v>42723.734847997686</v>
          </cell>
        </row>
        <row r="2045">
          <cell r="A2045">
            <v>3034779829</v>
          </cell>
          <cell r="B2045" t="str">
            <v>Not Responded</v>
          </cell>
          <cell r="C2045">
            <v>42723.734847997686</v>
          </cell>
        </row>
        <row r="2046">
          <cell r="A2046">
            <v>3034903609</v>
          </cell>
          <cell r="B2046" t="str">
            <v>Not Responded</v>
          </cell>
          <cell r="C2046">
            <v>42723.734847997686</v>
          </cell>
        </row>
        <row r="2047">
          <cell r="A2047">
            <v>3034986087</v>
          </cell>
          <cell r="B2047" t="str">
            <v>Not Responded</v>
          </cell>
          <cell r="C2047">
            <v>42723.734847997686</v>
          </cell>
        </row>
        <row r="2048">
          <cell r="A2048">
            <v>3034984189</v>
          </cell>
          <cell r="B2048" t="str">
            <v>Not Responded</v>
          </cell>
          <cell r="C2048">
            <v>42723.734847997686</v>
          </cell>
        </row>
        <row r="2049">
          <cell r="A2049">
            <v>3034983817</v>
          </cell>
          <cell r="B2049" t="str">
            <v>Not Responded</v>
          </cell>
          <cell r="C2049">
            <v>42723.734847997686</v>
          </cell>
        </row>
        <row r="2050">
          <cell r="A2050">
            <v>3034958142</v>
          </cell>
          <cell r="B2050" t="str">
            <v>Not Responded</v>
          </cell>
          <cell r="C2050">
            <v>42723.734847997686</v>
          </cell>
        </row>
        <row r="2051">
          <cell r="A2051">
            <v>3034981191</v>
          </cell>
          <cell r="B2051" t="str">
            <v>Not Responded</v>
          </cell>
          <cell r="C2051">
            <v>42723.734847997686</v>
          </cell>
        </row>
        <row r="2052">
          <cell r="A2052">
            <v>3034984394</v>
          </cell>
          <cell r="B2052" t="str">
            <v>Not Responded</v>
          </cell>
          <cell r="C2052">
            <v>42723.734847997686</v>
          </cell>
        </row>
        <row r="2053">
          <cell r="A2053">
            <v>3034989683</v>
          </cell>
          <cell r="B2053" t="str">
            <v>Not Responded</v>
          </cell>
          <cell r="C2053">
            <v>42723.734847997686</v>
          </cell>
        </row>
        <row r="2054">
          <cell r="A2054">
            <v>3034984789</v>
          </cell>
          <cell r="B2054" t="str">
            <v>Not Responded</v>
          </cell>
          <cell r="C2054">
            <v>42723.734847997686</v>
          </cell>
        </row>
        <row r="2055">
          <cell r="A2055">
            <v>3035008050</v>
          </cell>
          <cell r="B2055" t="str">
            <v>Not Responded</v>
          </cell>
          <cell r="C2055">
            <v>42722.734715543978</v>
          </cell>
        </row>
        <row r="2056">
          <cell r="A2056">
            <v>3034981553</v>
          </cell>
          <cell r="B2056" t="str">
            <v>Not Responded</v>
          </cell>
          <cell r="C2056">
            <v>42723.734847997686</v>
          </cell>
        </row>
        <row r="2057">
          <cell r="A2057">
            <v>3034950539</v>
          </cell>
          <cell r="B2057" t="str">
            <v>Not Responded</v>
          </cell>
          <cell r="C2057">
            <v>42723.734847997686</v>
          </cell>
        </row>
        <row r="2058">
          <cell r="A2058">
            <v>3034982167</v>
          </cell>
          <cell r="B2058" t="str">
            <v>Not Responded</v>
          </cell>
          <cell r="C2058">
            <v>42723.734847997686</v>
          </cell>
        </row>
        <row r="2059">
          <cell r="A2059">
            <v>3034986627</v>
          </cell>
          <cell r="B2059" t="str">
            <v>Not Responded</v>
          </cell>
          <cell r="C2059">
            <v>42723.734847997686</v>
          </cell>
        </row>
        <row r="2060">
          <cell r="A2060">
            <v>3034984232</v>
          </cell>
          <cell r="B2060" t="str">
            <v>Not Responded</v>
          </cell>
          <cell r="C2060">
            <v>42723.734847997686</v>
          </cell>
        </row>
        <row r="2061">
          <cell r="A2061">
            <v>3034980764</v>
          </cell>
          <cell r="B2061" t="str">
            <v>Not Responded</v>
          </cell>
          <cell r="C2061">
            <v>42723.734847997686</v>
          </cell>
        </row>
        <row r="2062">
          <cell r="A2062">
            <v>3034987134</v>
          </cell>
          <cell r="B2062" t="str">
            <v>Not Responded</v>
          </cell>
          <cell r="C2062">
            <v>42723.734847997686</v>
          </cell>
        </row>
        <row r="2063">
          <cell r="A2063">
            <v>3034912442</v>
          </cell>
          <cell r="B2063" t="str">
            <v>Not Responded</v>
          </cell>
          <cell r="C2063">
            <v>42723.734847997686</v>
          </cell>
        </row>
        <row r="2064">
          <cell r="A2064">
            <v>3034983013</v>
          </cell>
          <cell r="B2064" t="str">
            <v>Not Responded</v>
          </cell>
          <cell r="C2064">
            <v>42723.734847997686</v>
          </cell>
        </row>
        <row r="2065">
          <cell r="A2065">
            <v>3034984578</v>
          </cell>
          <cell r="B2065" t="str">
            <v>Not Responded</v>
          </cell>
          <cell r="C2065">
            <v>42723.734847997686</v>
          </cell>
        </row>
        <row r="2066">
          <cell r="A2066">
            <v>3034939739</v>
          </cell>
          <cell r="B2066" t="str">
            <v>Not Responded</v>
          </cell>
          <cell r="C2066">
            <v>42723.734847997686</v>
          </cell>
        </row>
        <row r="2067">
          <cell r="A2067">
            <v>3034864951</v>
          </cell>
          <cell r="B2067" t="str">
            <v>Not Responded</v>
          </cell>
          <cell r="C2067">
            <v>42723.734847997686</v>
          </cell>
        </row>
        <row r="2068">
          <cell r="A2068">
            <v>3034947681</v>
          </cell>
          <cell r="B2068" t="str">
            <v>Not Responded</v>
          </cell>
          <cell r="C2068">
            <v>42723.734847997686</v>
          </cell>
        </row>
        <row r="2069">
          <cell r="A2069">
            <v>3034986391</v>
          </cell>
          <cell r="B2069" t="str">
            <v>Not Responded</v>
          </cell>
          <cell r="C2069">
            <v>42723.734847997686</v>
          </cell>
        </row>
        <row r="2070">
          <cell r="A2070">
            <v>3035036329</v>
          </cell>
          <cell r="B2070" t="str">
            <v>Not Responded</v>
          </cell>
          <cell r="C2070">
            <v>42723.734847997686</v>
          </cell>
        </row>
        <row r="2071">
          <cell r="A2071">
            <v>3034938424</v>
          </cell>
          <cell r="B2071" t="str">
            <v>Not Responded</v>
          </cell>
          <cell r="C2071">
            <v>42723.734847997686</v>
          </cell>
        </row>
        <row r="2072">
          <cell r="A2072">
            <v>3035032540</v>
          </cell>
          <cell r="B2072" t="str">
            <v>Not Responded</v>
          </cell>
          <cell r="C2072">
            <v>42723.734847997686</v>
          </cell>
        </row>
        <row r="2073">
          <cell r="A2073">
            <v>3035030581</v>
          </cell>
          <cell r="B2073" t="str">
            <v>Not Responded</v>
          </cell>
          <cell r="C2073">
            <v>42723.734847997686</v>
          </cell>
        </row>
        <row r="2074">
          <cell r="A2074">
            <v>3034674372</v>
          </cell>
          <cell r="B2074" t="str">
            <v>Not Responded</v>
          </cell>
          <cell r="C2074">
            <v>42724.743189120367</v>
          </cell>
        </row>
        <row r="2075">
          <cell r="A2075">
            <v>3034653006</v>
          </cell>
          <cell r="B2075" t="str">
            <v>Not Responded</v>
          </cell>
          <cell r="C2075">
            <v>42724.743189120367</v>
          </cell>
        </row>
        <row r="2076">
          <cell r="A2076">
            <v>3035074495</v>
          </cell>
          <cell r="B2076" t="str">
            <v>Not Responded</v>
          </cell>
          <cell r="C2076">
            <v>42725.734927546298</v>
          </cell>
        </row>
        <row r="2077">
          <cell r="A2077">
            <v>3034770361</v>
          </cell>
          <cell r="B2077" t="str">
            <v>Not Responded</v>
          </cell>
          <cell r="C2077">
            <v>42725.734927546298</v>
          </cell>
        </row>
        <row r="2078">
          <cell r="A2078">
            <v>3035016561</v>
          </cell>
          <cell r="B2078" t="str">
            <v>Not Responded</v>
          </cell>
          <cell r="C2078">
            <v>42725.734927546298</v>
          </cell>
        </row>
        <row r="2079">
          <cell r="A2079">
            <v>3034983609</v>
          </cell>
          <cell r="B2079" t="str">
            <v>Not Responded</v>
          </cell>
          <cell r="C2079">
            <v>42725.734927546298</v>
          </cell>
        </row>
        <row r="2080">
          <cell r="A2080">
            <v>3034914283</v>
          </cell>
          <cell r="B2080" t="str">
            <v>Not Responded</v>
          </cell>
          <cell r="C2080">
            <v>42723.734847997686</v>
          </cell>
        </row>
        <row r="2081">
          <cell r="A2081">
            <v>3035085270</v>
          </cell>
          <cell r="B2081" t="str">
            <v>Not Responded</v>
          </cell>
          <cell r="C2081">
            <v>42725.734927546298</v>
          </cell>
        </row>
        <row r="2082">
          <cell r="A2082">
            <v>3035005091</v>
          </cell>
          <cell r="B2082" t="str">
            <v>Not Responded</v>
          </cell>
          <cell r="C2082">
            <v>42725.734927546298</v>
          </cell>
        </row>
        <row r="2083">
          <cell r="A2083">
            <v>3035005766</v>
          </cell>
          <cell r="B2083" t="str">
            <v>Not Responded</v>
          </cell>
          <cell r="C2083">
            <v>42725.734927546298</v>
          </cell>
        </row>
        <row r="2084">
          <cell r="A2084">
            <v>3034981058</v>
          </cell>
          <cell r="B2084" t="str">
            <v>Not Responded</v>
          </cell>
          <cell r="C2084">
            <v>42725.734927546298</v>
          </cell>
        </row>
        <row r="2085">
          <cell r="A2085">
            <v>3035031083</v>
          </cell>
          <cell r="B2085" t="str">
            <v>Not Responded</v>
          </cell>
          <cell r="C2085">
            <v>42725.734927546298</v>
          </cell>
        </row>
        <row r="2086">
          <cell r="A2086">
            <v>3035064229</v>
          </cell>
          <cell r="B2086" t="str">
            <v>Not Responded</v>
          </cell>
          <cell r="C2086">
            <v>42725.734927546298</v>
          </cell>
        </row>
        <row r="2087">
          <cell r="A2087">
            <v>3035080048</v>
          </cell>
          <cell r="B2087" t="str">
            <v>Not Responded</v>
          </cell>
          <cell r="C2087">
            <v>42725.734927546298</v>
          </cell>
        </row>
        <row r="2088">
          <cell r="A2088">
            <v>3034774817</v>
          </cell>
          <cell r="B2088" t="str">
            <v>Not Responded</v>
          </cell>
          <cell r="C2088">
            <v>42725.734927546298</v>
          </cell>
        </row>
        <row r="2089">
          <cell r="A2089">
            <v>3035081307</v>
          </cell>
          <cell r="B2089" t="str">
            <v>Not Responded</v>
          </cell>
          <cell r="C2089">
            <v>42725.734927546298</v>
          </cell>
        </row>
        <row r="2090">
          <cell r="A2090">
            <v>3034957567</v>
          </cell>
          <cell r="B2090" t="str">
            <v>Not Responded</v>
          </cell>
          <cell r="C2090">
            <v>42725.734927546298</v>
          </cell>
        </row>
        <row r="2091">
          <cell r="A2091">
            <v>3034991232</v>
          </cell>
          <cell r="B2091" t="str">
            <v>Not Responded</v>
          </cell>
          <cell r="C2091">
            <v>42725.734927546298</v>
          </cell>
        </row>
        <row r="2092">
          <cell r="A2092">
            <v>3035018710</v>
          </cell>
          <cell r="B2092" t="str">
            <v>Not Responded</v>
          </cell>
          <cell r="C2092">
            <v>42725.734927546298</v>
          </cell>
        </row>
        <row r="2093">
          <cell r="A2093">
            <v>3035064278</v>
          </cell>
          <cell r="B2093" t="str">
            <v>Not Responded</v>
          </cell>
          <cell r="C2093">
            <v>42725.734927546298</v>
          </cell>
        </row>
        <row r="2094">
          <cell r="A2094">
            <v>3035005341</v>
          </cell>
          <cell r="B2094" t="str">
            <v>Not Responded</v>
          </cell>
          <cell r="C2094">
            <v>42725.734927546298</v>
          </cell>
        </row>
        <row r="2095">
          <cell r="A2095">
            <v>3035069856</v>
          </cell>
          <cell r="B2095" t="str">
            <v>Not Responded</v>
          </cell>
          <cell r="C2095">
            <v>42725.734927546298</v>
          </cell>
        </row>
        <row r="2096">
          <cell r="A2096">
            <v>3035004941</v>
          </cell>
          <cell r="B2096" t="str">
            <v>Not Responded</v>
          </cell>
          <cell r="C2096">
            <v>42725.734927546298</v>
          </cell>
        </row>
        <row r="2097">
          <cell r="A2097">
            <v>3035048314</v>
          </cell>
          <cell r="B2097" t="str">
            <v>Not Responded</v>
          </cell>
          <cell r="C2097">
            <v>42725.734927546298</v>
          </cell>
        </row>
        <row r="2098">
          <cell r="A2098">
            <v>3034979365</v>
          </cell>
          <cell r="B2098" t="str">
            <v>Not Responded</v>
          </cell>
          <cell r="C2098">
            <v>42725.734927546298</v>
          </cell>
        </row>
        <row r="2099">
          <cell r="A2099">
            <v>3035005561</v>
          </cell>
          <cell r="B2099" t="str">
            <v>Not Responded</v>
          </cell>
          <cell r="C2099">
            <v>42725.734927546298</v>
          </cell>
        </row>
        <row r="2100">
          <cell r="A2100">
            <v>3035034089</v>
          </cell>
          <cell r="B2100" t="str">
            <v>Not Responded</v>
          </cell>
          <cell r="C2100">
            <v>42725.734927546298</v>
          </cell>
        </row>
        <row r="2101">
          <cell r="A2101">
            <v>3035063932</v>
          </cell>
          <cell r="B2101" t="str">
            <v>Not Responded</v>
          </cell>
          <cell r="C2101">
            <v>42725.734927546298</v>
          </cell>
        </row>
        <row r="2102">
          <cell r="A2102">
            <v>3035016462</v>
          </cell>
          <cell r="B2102" t="str">
            <v>Not Responded</v>
          </cell>
          <cell r="C2102">
            <v>42725.734927546298</v>
          </cell>
        </row>
        <row r="2103">
          <cell r="A2103">
            <v>3035030234</v>
          </cell>
          <cell r="B2103" t="str">
            <v>Not Responded</v>
          </cell>
          <cell r="C2103">
            <v>42725.734927546298</v>
          </cell>
        </row>
        <row r="2104">
          <cell r="A2104">
            <v>3035023245</v>
          </cell>
          <cell r="B2104" t="str">
            <v>Not Responded</v>
          </cell>
          <cell r="C2104">
            <v>42725.734927546298</v>
          </cell>
        </row>
        <row r="2105">
          <cell r="A2105">
            <v>3034878370</v>
          </cell>
          <cell r="B2105" t="str">
            <v>Not Responded</v>
          </cell>
          <cell r="C2105">
            <v>42725.734927546298</v>
          </cell>
        </row>
        <row r="2106">
          <cell r="A2106">
            <v>3035073317</v>
          </cell>
          <cell r="B2106" t="str">
            <v>Not Responded</v>
          </cell>
          <cell r="C2106">
            <v>42725.734927546298</v>
          </cell>
        </row>
        <row r="2107">
          <cell r="A2107">
            <v>3035074753</v>
          </cell>
          <cell r="B2107" t="str">
            <v>Not Responded</v>
          </cell>
          <cell r="C2107">
            <v>42725.734927546298</v>
          </cell>
        </row>
        <row r="2108">
          <cell r="A2108">
            <v>3034695294</v>
          </cell>
          <cell r="B2108" t="str">
            <v>Not Responded</v>
          </cell>
          <cell r="C2108">
            <v>42725.734927546298</v>
          </cell>
        </row>
        <row r="2109">
          <cell r="A2109">
            <v>3035062469</v>
          </cell>
          <cell r="B2109" t="str">
            <v>Not Responded</v>
          </cell>
          <cell r="C2109">
            <v>42725.734927546298</v>
          </cell>
        </row>
        <row r="2110">
          <cell r="A2110">
            <v>3035036856</v>
          </cell>
          <cell r="B2110" t="str">
            <v>Not Responded</v>
          </cell>
          <cell r="C2110">
            <v>42725.734927546298</v>
          </cell>
        </row>
        <row r="2111">
          <cell r="A2111">
            <v>3035063812</v>
          </cell>
          <cell r="B2111" t="str">
            <v>Not Responded</v>
          </cell>
          <cell r="C2111">
            <v>42725.734927546298</v>
          </cell>
        </row>
        <row r="2112">
          <cell r="A2112">
            <v>3034739790</v>
          </cell>
          <cell r="B2112" t="str">
            <v>Not Responded</v>
          </cell>
          <cell r="C2112">
            <v>42725.734927546298</v>
          </cell>
        </row>
        <row r="2113">
          <cell r="A2113">
            <v>3034920483</v>
          </cell>
          <cell r="B2113" t="str">
            <v>Not Responded</v>
          </cell>
          <cell r="C2113">
            <v>42725.734927546298</v>
          </cell>
        </row>
        <row r="2114">
          <cell r="A2114">
            <v>3035084167</v>
          </cell>
          <cell r="B2114" t="str">
            <v>Not Responded</v>
          </cell>
          <cell r="C2114">
            <v>42725.734927546298</v>
          </cell>
        </row>
        <row r="2115">
          <cell r="A2115">
            <v>3035079177</v>
          </cell>
          <cell r="B2115" t="str">
            <v>Not Responded</v>
          </cell>
          <cell r="C2115">
            <v>42725.734927546298</v>
          </cell>
        </row>
        <row r="2116">
          <cell r="A2116">
            <v>3034948628</v>
          </cell>
          <cell r="B2116" t="str">
            <v>Not Responded</v>
          </cell>
          <cell r="C2116">
            <v>42725.734927546298</v>
          </cell>
        </row>
        <row r="2117">
          <cell r="A2117">
            <v>3034710233</v>
          </cell>
          <cell r="B2117" t="str">
            <v>Not Responded</v>
          </cell>
          <cell r="C2117">
            <v>42725.734927546298</v>
          </cell>
        </row>
        <row r="2118">
          <cell r="A2118">
            <v>3034977716</v>
          </cell>
          <cell r="B2118" t="str">
            <v>Not Responded</v>
          </cell>
          <cell r="C2118">
            <v>42725.734927546298</v>
          </cell>
        </row>
        <row r="2119">
          <cell r="A2119">
            <v>3034870879</v>
          </cell>
          <cell r="B2119" t="str">
            <v>Not Responded</v>
          </cell>
          <cell r="C2119">
            <v>42725.734927546298</v>
          </cell>
        </row>
        <row r="2120">
          <cell r="A2120">
            <v>3035034129</v>
          </cell>
          <cell r="B2120" t="str">
            <v>Not Responded</v>
          </cell>
          <cell r="C2120">
            <v>42725.734927546298</v>
          </cell>
        </row>
        <row r="2121">
          <cell r="A2121">
            <v>3034693734</v>
          </cell>
          <cell r="B2121" t="str">
            <v>Not Responded</v>
          </cell>
          <cell r="C2121">
            <v>42725.734927546298</v>
          </cell>
        </row>
        <row r="2122">
          <cell r="A2122">
            <v>3035069746</v>
          </cell>
          <cell r="B2122" t="str">
            <v>Not Responded</v>
          </cell>
          <cell r="C2122">
            <v>42725.734927546298</v>
          </cell>
        </row>
        <row r="2123">
          <cell r="A2123">
            <v>3034985875</v>
          </cell>
          <cell r="B2123" t="str">
            <v>Not Responded</v>
          </cell>
          <cell r="C2123">
            <v>42725.734927546298</v>
          </cell>
        </row>
        <row r="2124">
          <cell r="A2124">
            <v>3035067808</v>
          </cell>
          <cell r="B2124" t="str">
            <v>Not Responded</v>
          </cell>
          <cell r="C2124">
            <v>42725.734927546298</v>
          </cell>
        </row>
        <row r="2125">
          <cell r="A2125">
            <v>3034652967</v>
          </cell>
          <cell r="B2125" t="str">
            <v>Not Responded</v>
          </cell>
          <cell r="C2125">
            <v>42725.734945717595</v>
          </cell>
        </row>
        <row r="2126">
          <cell r="A2126">
            <v>3035016842</v>
          </cell>
          <cell r="B2126" t="str">
            <v>Not Responded</v>
          </cell>
          <cell r="C2126">
            <v>42725.734927546298</v>
          </cell>
        </row>
        <row r="2127">
          <cell r="A2127">
            <v>3035102907</v>
          </cell>
          <cell r="B2127" t="str">
            <v>Not Responded</v>
          </cell>
          <cell r="C2127">
            <v>42726.868314618056</v>
          </cell>
        </row>
        <row r="2128">
          <cell r="A2128">
            <v>3034921533</v>
          </cell>
          <cell r="B2128" t="str">
            <v>Not Responded</v>
          </cell>
          <cell r="C2128">
            <v>42726.868314618056</v>
          </cell>
        </row>
        <row r="2129">
          <cell r="A2129">
            <v>3034866255</v>
          </cell>
          <cell r="B2129" t="str">
            <v>Not Responded</v>
          </cell>
          <cell r="C2129">
            <v>42726.868314618056</v>
          </cell>
        </row>
        <row r="2130">
          <cell r="A2130">
            <v>3035007812</v>
          </cell>
          <cell r="B2130" t="str">
            <v>Not Responded</v>
          </cell>
          <cell r="C2130">
            <v>42726.868314618056</v>
          </cell>
        </row>
        <row r="2131">
          <cell r="A2131">
            <v>3035101757</v>
          </cell>
          <cell r="B2131" t="str">
            <v>Not Responded</v>
          </cell>
          <cell r="C2131">
            <v>42726.868314618056</v>
          </cell>
        </row>
        <row r="2132">
          <cell r="A2132">
            <v>3035066418</v>
          </cell>
          <cell r="B2132" t="str">
            <v>Not Responded</v>
          </cell>
          <cell r="C2132">
            <v>42726.868314618056</v>
          </cell>
        </row>
        <row r="2133">
          <cell r="A2133">
            <v>3035079175</v>
          </cell>
          <cell r="B2133" t="str">
            <v>Not Responded</v>
          </cell>
          <cell r="C2133">
            <v>42726.868314618056</v>
          </cell>
        </row>
        <row r="2134">
          <cell r="A2134">
            <v>3035108687</v>
          </cell>
          <cell r="B2134" t="str">
            <v>Not Responded</v>
          </cell>
          <cell r="C2134">
            <v>42726.868314618056</v>
          </cell>
        </row>
        <row r="2135">
          <cell r="A2135">
            <v>3034875402</v>
          </cell>
          <cell r="B2135" t="str">
            <v>Not Responded</v>
          </cell>
          <cell r="C2135">
            <v>42726.868314618056</v>
          </cell>
        </row>
        <row r="2136">
          <cell r="A2136">
            <v>3035077667</v>
          </cell>
          <cell r="B2136" t="str">
            <v>Not Responded</v>
          </cell>
          <cell r="C2136">
            <v>42726.868314618056</v>
          </cell>
        </row>
        <row r="2137">
          <cell r="A2137">
            <v>3035112546</v>
          </cell>
          <cell r="B2137" t="str">
            <v>Not Responded</v>
          </cell>
          <cell r="C2137">
            <v>42726.868314618056</v>
          </cell>
        </row>
        <row r="2138">
          <cell r="A2138">
            <v>3035100008</v>
          </cell>
          <cell r="B2138" t="str">
            <v>Not Responded</v>
          </cell>
          <cell r="C2138">
            <v>42726.868314618056</v>
          </cell>
        </row>
        <row r="2139">
          <cell r="A2139">
            <v>3034904767</v>
          </cell>
          <cell r="B2139" t="str">
            <v>Not Responded</v>
          </cell>
          <cell r="C2139">
            <v>42726.868314618056</v>
          </cell>
        </row>
        <row r="2140">
          <cell r="A2140">
            <v>3035104652</v>
          </cell>
          <cell r="B2140" t="str">
            <v>Not Responded</v>
          </cell>
          <cell r="C2140">
            <v>42726.868314618056</v>
          </cell>
        </row>
        <row r="2141">
          <cell r="A2141">
            <v>3035108613</v>
          </cell>
          <cell r="B2141" t="str">
            <v>Not Responded</v>
          </cell>
          <cell r="C2141">
            <v>42726.868314618056</v>
          </cell>
        </row>
        <row r="2142">
          <cell r="A2142">
            <v>3034870105</v>
          </cell>
          <cell r="B2142" t="str">
            <v>Not Responded</v>
          </cell>
          <cell r="C2142">
            <v>42726.868314618056</v>
          </cell>
        </row>
        <row r="2143">
          <cell r="A2143">
            <v>3034778785</v>
          </cell>
          <cell r="B2143" t="str">
            <v>Not Responded</v>
          </cell>
          <cell r="C2143">
            <v>42725.734927546298</v>
          </cell>
        </row>
        <row r="2144">
          <cell r="A2144">
            <v>3034765925</v>
          </cell>
          <cell r="B2144" t="str">
            <v>Not Responded</v>
          </cell>
          <cell r="C2144">
            <v>42725.734945717595</v>
          </cell>
        </row>
        <row r="2145">
          <cell r="A2145">
            <v>3035110428</v>
          </cell>
          <cell r="B2145" t="str">
            <v>Not Responded</v>
          </cell>
          <cell r="C2145">
            <v>42726.868314618056</v>
          </cell>
        </row>
        <row r="2146">
          <cell r="A2146">
            <v>3034731281</v>
          </cell>
          <cell r="B2146" t="str">
            <v>Not Responded</v>
          </cell>
          <cell r="C2146">
            <v>42726.868314618056</v>
          </cell>
        </row>
        <row r="2147">
          <cell r="A2147">
            <v>3035113513</v>
          </cell>
          <cell r="B2147" t="str">
            <v>Not Responded</v>
          </cell>
          <cell r="C2147">
            <v>42726.868314618056</v>
          </cell>
        </row>
        <row r="2148">
          <cell r="A2148">
            <v>3035005449</v>
          </cell>
          <cell r="B2148" t="str">
            <v>Not Responded</v>
          </cell>
          <cell r="C2148">
            <v>42726.868314618056</v>
          </cell>
        </row>
        <row r="2149">
          <cell r="A2149">
            <v>3035116770</v>
          </cell>
          <cell r="B2149" t="str">
            <v>Not Responded</v>
          </cell>
          <cell r="C2149">
            <v>42726.868314618056</v>
          </cell>
        </row>
        <row r="2150">
          <cell r="A2150">
            <v>3035101411</v>
          </cell>
          <cell r="B2150" t="str">
            <v>Not Responded</v>
          </cell>
          <cell r="C2150">
            <v>42726.868314618056</v>
          </cell>
        </row>
        <row r="2151">
          <cell r="A2151">
            <v>3035010515</v>
          </cell>
          <cell r="B2151" t="str">
            <v>Not Responded</v>
          </cell>
          <cell r="C2151">
            <v>42726.868314618056</v>
          </cell>
        </row>
        <row r="2152">
          <cell r="A2152">
            <v>3034863881</v>
          </cell>
          <cell r="B2152" t="str">
            <v>Not Responded</v>
          </cell>
          <cell r="C2152">
            <v>42726.868314618056</v>
          </cell>
        </row>
        <row r="2153">
          <cell r="A2153">
            <v>3035100344</v>
          </cell>
          <cell r="B2153" t="str">
            <v>Not Responded</v>
          </cell>
          <cell r="C2153">
            <v>42726.868314618056</v>
          </cell>
        </row>
        <row r="2154">
          <cell r="A2154">
            <v>3035111446</v>
          </cell>
          <cell r="B2154" t="str">
            <v>Not Responded</v>
          </cell>
          <cell r="C2154">
            <v>42726.868314618056</v>
          </cell>
        </row>
        <row r="2155">
          <cell r="A2155">
            <v>3035005011</v>
          </cell>
          <cell r="B2155" t="str">
            <v>Not Responded</v>
          </cell>
          <cell r="C2155">
            <v>42722.734715543978</v>
          </cell>
        </row>
        <row r="2156">
          <cell r="A2156">
            <v>3034946844</v>
          </cell>
          <cell r="B2156" t="str">
            <v>Not Responded</v>
          </cell>
          <cell r="C2156">
            <v>42722.734715543978</v>
          </cell>
        </row>
        <row r="2157">
          <cell r="A2157">
            <v>3033119825</v>
          </cell>
          <cell r="B2157" t="str">
            <v>Not Responded</v>
          </cell>
          <cell r="C2157">
            <v>42721.735890937503</v>
          </cell>
        </row>
        <row r="2158">
          <cell r="A2158">
            <v>3034953356</v>
          </cell>
          <cell r="B2158" t="str">
            <v>Not Responded</v>
          </cell>
          <cell r="C2158">
            <v>42721.735890937503</v>
          </cell>
        </row>
        <row r="2159">
          <cell r="A2159">
            <v>3034862541</v>
          </cell>
          <cell r="B2159" t="str">
            <v>Not Responded</v>
          </cell>
          <cell r="C2159">
            <v>42720.740082870368</v>
          </cell>
        </row>
        <row r="2160">
          <cell r="A2160">
            <v>3034940488</v>
          </cell>
          <cell r="B2160" t="str">
            <v>Not Responded</v>
          </cell>
          <cell r="C2160">
            <v>42720.7400221875</v>
          </cell>
        </row>
        <row r="2161">
          <cell r="A2161">
            <v>3034769834</v>
          </cell>
          <cell r="B2161" t="str">
            <v>Not Responded</v>
          </cell>
          <cell r="C2161">
            <v>42720.7400221875</v>
          </cell>
        </row>
        <row r="2162">
          <cell r="A2162">
            <v>3034707875</v>
          </cell>
          <cell r="B2162" t="str">
            <v>Not Responded</v>
          </cell>
          <cell r="C2162">
            <v>42720.7400221875</v>
          </cell>
        </row>
        <row r="2163">
          <cell r="A2163">
            <v>3034945086</v>
          </cell>
          <cell r="B2163" t="str">
            <v>Not Responded</v>
          </cell>
          <cell r="C2163">
            <v>42720.7400221875</v>
          </cell>
        </row>
        <row r="2164">
          <cell r="A2164">
            <v>3034949048</v>
          </cell>
          <cell r="B2164" t="str">
            <v>Not Responded</v>
          </cell>
          <cell r="C2164">
            <v>42720.7400221875</v>
          </cell>
        </row>
        <row r="2165">
          <cell r="A2165">
            <v>3034556978</v>
          </cell>
          <cell r="B2165" t="str">
            <v>Not Responded</v>
          </cell>
          <cell r="C2165">
            <v>42720.7400221875</v>
          </cell>
        </row>
        <row r="2166">
          <cell r="A2166">
            <v>3034912382</v>
          </cell>
          <cell r="B2166" t="str">
            <v>Not Responded</v>
          </cell>
          <cell r="C2166">
            <v>42720.7400221875</v>
          </cell>
        </row>
        <row r="2167">
          <cell r="A2167">
            <v>3034875027</v>
          </cell>
          <cell r="B2167" t="str">
            <v>Not Responded</v>
          </cell>
          <cell r="C2167">
            <v>42720.7400221875</v>
          </cell>
        </row>
        <row r="2168">
          <cell r="A2168">
            <v>3034730782</v>
          </cell>
          <cell r="B2168" t="str">
            <v>Not Responded</v>
          </cell>
          <cell r="C2168">
            <v>42720.7400221875</v>
          </cell>
        </row>
        <row r="2169">
          <cell r="A2169">
            <v>3034941080</v>
          </cell>
          <cell r="B2169" t="str">
            <v>Not Responded</v>
          </cell>
          <cell r="C2169">
            <v>42720.7400221875</v>
          </cell>
        </row>
        <row r="2170">
          <cell r="A2170">
            <v>3034945011</v>
          </cell>
          <cell r="B2170" t="str">
            <v>Not Responded</v>
          </cell>
          <cell r="C2170">
            <v>42720.7400221875</v>
          </cell>
        </row>
        <row r="2171">
          <cell r="A2171">
            <v>3034810940</v>
          </cell>
          <cell r="B2171" t="str">
            <v>Not Responded</v>
          </cell>
          <cell r="C2171">
            <v>42720.7400221875</v>
          </cell>
        </row>
        <row r="2172">
          <cell r="A2172">
            <v>3034937000</v>
          </cell>
          <cell r="B2172" t="str">
            <v>Not Responded</v>
          </cell>
          <cell r="C2172">
            <v>42720.7400221875</v>
          </cell>
        </row>
        <row r="2173">
          <cell r="A2173">
            <v>3034943846</v>
          </cell>
          <cell r="B2173" t="str">
            <v>Not Responded</v>
          </cell>
          <cell r="C2173">
            <v>42720.7400221875</v>
          </cell>
        </row>
        <row r="2174">
          <cell r="A2174">
            <v>3034950997</v>
          </cell>
          <cell r="B2174" t="str">
            <v>Not Responded</v>
          </cell>
          <cell r="C2174">
            <v>42720.7400221875</v>
          </cell>
        </row>
        <row r="2175">
          <cell r="A2175">
            <v>3034949743</v>
          </cell>
          <cell r="B2175" t="str">
            <v>Not Responded</v>
          </cell>
          <cell r="C2175">
            <v>42720.7400221875</v>
          </cell>
        </row>
        <row r="2176">
          <cell r="A2176">
            <v>3034901696</v>
          </cell>
          <cell r="B2176" t="str">
            <v>Not Responded</v>
          </cell>
          <cell r="C2176">
            <v>42722.734715543978</v>
          </cell>
        </row>
        <row r="2177">
          <cell r="A2177">
            <v>3034834787</v>
          </cell>
          <cell r="B2177" t="str">
            <v>Not Responded</v>
          </cell>
          <cell r="C2177">
            <v>42722.734715543978</v>
          </cell>
        </row>
        <row r="2178">
          <cell r="A2178">
            <v>3034621597</v>
          </cell>
          <cell r="B2178" t="str">
            <v>Not Responded</v>
          </cell>
          <cell r="C2178">
            <v>42722.734715543978</v>
          </cell>
        </row>
        <row r="2179">
          <cell r="A2179">
            <v>3034972991</v>
          </cell>
          <cell r="B2179" t="str">
            <v>Not Responded</v>
          </cell>
          <cell r="C2179">
            <v>42722.734715543978</v>
          </cell>
        </row>
        <row r="2180">
          <cell r="A2180">
            <v>3034712885</v>
          </cell>
          <cell r="B2180" t="str">
            <v>Not Responded</v>
          </cell>
          <cell r="C2180">
            <v>42722.734715543978</v>
          </cell>
        </row>
        <row r="2181">
          <cell r="A2181">
            <v>3034902442</v>
          </cell>
          <cell r="B2181" t="str">
            <v>Not Responded</v>
          </cell>
          <cell r="C2181">
            <v>42722.734715543978</v>
          </cell>
        </row>
        <row r="2182">
          <cell r="A2182">
            <v>3034779849</v>
          </cell>
          <cell r="B2182" t="str">
            <v>Not Responded</v>
          </cell>
          <cell r="C2182">
            <v>42722.734715543978</v>
          </cell>
        </row>
        <row r="2183">
          <cell r="A2183">
            <v>3034618129</v>
          </cell>
          <cell r="B2183" t="str">
            <v>Not Responded</v>
          </cell>
          <cell r="C2183">
            <v>42722.734715543978</v>
          </cell>
        </row>
        <row r="2184">
          <cell r="A2184">
            <v>3034861493</v>
          </cell>
          <cell r="B2184" t="str">
            <v>Not Responded</v>
          </cell>
          <cell r="C2184">
            <v>42722.734715543978</v>
          </cell>
        </row>
        <row r="2185">
          <cell r="A2185">
            <v>3035007006</v>
          </cell>
          <cell r="B2185" t="str">
            <v>Not Responded</v>
          </cell>
          <cell r="C2185">
            <v>42722.734715543978</v>
          </cell>
        </row>
        <row r="2186">
          <cell r="A2186">
            <v>3034619064</v>
          </cell>
          <cell r="B2186" t="str">
            <v>Not Responded</v>
          </cell>
          <cell r="C2186">
            <v>42722.734715543978</v>
          </cell>
        </row>
        <row r="2187">
          <cell r="A2187">
            <v>3035012719</v>
          </cell>
          <cell r="B2187" t="str">
            <v>Not Responded</v>
          </cell>
          <cell r="C2187">
            <v>42722.734715543978</v>
          </cell>
        </row>
        <row r="2188">
          <cell r="A2188">
            <v>3034972918</v>
          </cell>
          <cell r="B2188" t="str">
            <v>Not Responded</v>
          </cell>
          <cell r="C2188">
            <v>42722.734715543978</v>
          </cell>
        </row>
        <row r="2189">
          <cell r="A2189">
            <v>3034803632</v>
          </cell>
          <cell r="B2189" t="str">
            <v>Not Responded</v>
          </cell>
          <cell r="C2189">
            <v>42722.734715543978</v>
          </cell>
        </row>
        <row r="2190">
          <cell r="A2190">
            <v>3035016068</v>
          </cell>
          <cell r="B2190" t="str">
            <v>Not Responded</v>
          </cell>
          <cell r="C2190">
            <v>42722.734715543978</v>
          </cell>
        </row>
        <row r="2191">
          <cell r="A2191">
            <v>3035010330</v>
          </cell>
          <cell r="B2191" t="str">
            <v>Not Responded</v>
          </cell>
          <cell r="C2191">
            <v>42722.734715543978</v>
          </cell>
        </row>
        <row r="2192">
          <cell r="A2192">
            <v>3034905833</v>
          </cell>
          <cell r="B2192" t="str">
            <v>Not Responded</v>
          </cell>
          <cell r="C2192">
            <v>42722.734715543978</v>
          </cell>
        </row>
        <row r="2193">
          <cell r="A2193">
            <v>3035006764</v>
          </cell>
          <cell r="B2193" t="str">
            <v>Not Responded</v>
          </cell>
          <cell r="C2193">
            <v>42722.734715543978</v>
          </cell>
        </row>
        <row r="2194">
          <cell r="A2194">
            <v>3035006512</v>
          </cell>
          <cell r="B2194" t="str">
            <v>Not Responded</v>
          </cell>
          <cell r="C2194">
            <v>42722.734715543978</v>
          </cell>
        </row>
        <row r="2195">
          <cell r="A2195">
            <v>3034801766</v>
          </cell>
          <cell r="B2195" t="str">
            <v>Not Responded</v>
          </cell>
          <cell r="C2195">
            <v>42720.7400221875</v>
          </cell>
        </row>
        <row r="2196">
          <cell r="A2196">
            <v>3034493527</v>
          </cell>
          <cell r="B2196" t="str">
            <v>Not Responded</v>
          </cell>
          <cell r="C2196">
            <v>42720.7400221875</v>
          </cell>
        </row>
        <row r="2197">
          <cell r="A2197">
            <v>3034878533</v>
          </cell>
          <cell r="B2197" t="str">
            <v>Not Responded</v>
          </cell>
          <cell r="C2197">
            <v>42720.7400221875</v>
          </cell>
        </row>
        <row r="2198">
          <cell r="A2198">
            <v>3034883456</v>
          </cell>
          <cell r="B2198" t="str">
            <v>Not Responded</v>
          </cell>
          <cell r="C2198">
            <v>42720.7400221875</v>
          </cell>
        </row>
        <row r="2199">
          <cell r="A2199">
            <v>3034862885</v>
          </cell>
          <cell r="B2199" t="str">
            <v>Not Responded</v>
          </cell>
          <cell r="C2199">
            <v>42720.7400221875</v>
          </cell>
        </row>
        <row r="2200">
          <cell r="A2200">
            <v>3034868882</v>
          </cell>
          <cell r="B2200" t="str">
            <v>Not Responded</v>
          </cell>
          <cell r="C2200">
            <v>42720.7400221875</v>
          </cell>
        </row>
        <row r="2201">
          <cell r="A2201">
            <v>3034816916</v>
          </cell>
          <cell r="B2201" t="str">
            <v>Not Responded</v>
          </cell>
          <cell r="C2201">
            <v>42720.7400221875</v>
          </cell>
        </row>
        <row r="2202">
          <cell r="A2202">
            <v>3034862732</v>
          </cell>
          <cell r="B2202" t="str">
            <v>Not Responded</v>
          </cell>
          <cell r="C2202">
            <v>42720.7400221875</v>
          </cell>
        </row>
        <row r="2203">
          <cell r="A2203">
            <v>3034881862</v>
          </cell>
          <cell r="B2203" t="str">
            <v>Not Responded</v>
          </cell>
          <cell r="C2203">
            <v>42720.7400221875</v>
          </cell>
        </row>
        <row r="2204">
          <cell r="A2204">
            <v>3034731437</v>
          </cell>
          <cell r="B2204" t="str">
            <v>Not Responded</v>
          </cell>
          <cell r="C2204">
            <v>42720.7400221875</v>
          </cell>
        </row>
        <row r="2205">
          <cell r="A2205">
            <v>3034874029</v>
          </cell>
          <cell r="B2205" t="str">
            <v>Not Responded</v>
          </cell>
          <cell r="C2205">
            <v>42720.7400221875</v>
          </cell>
        </row>
        <row r="2206">
          <cell r="A2206">
            <v>3034879408</v>
          </cell>
          <cell r="B2206" t="str">
            <v>Not Responded</v>
          </cell>
          <cell r="C2206">
            <v>42720.7400221875</v>
          </cell>
        </row>
        <row r="2207">
          <cell r="A2207">
            <v>3034653702</v>
          </cell>
          <cell r="B2207" t="str">
            <v>Not Responded</v>
          </cell>
          <cell r="C2207">
            <v>42720.7400221875</v>
          </cell>
        </row>
        <row r="2208">
          <cell r="A2208">
            <v>3034867413</v>
          </cell>
          <cell r="B2208" t="str">
            <v>Not Responded</v>
          </cell>
          <cell r="C2208">
            <v>42720.7400221875</v>
          </cell>
        </row>
        <row r="2209">
          <cell r="A2209">
            <v>3034875165</v>
          </cell>
          <cell r="B2209" t="str">
            <v>Not Responded</v>
          </cell>
          <cell r="C2209">
            <v>42720.7400221875</v>
          </cell>
        </row>
        <row r="2210">
          <cell r="A2210">
            <v>3034535185</v>
          </cell>
          <cell r="B2210" t="str">
            <v>Not Responded</v>
          </cell>
          <cell r="C2210">
            <v>42720.7400221875</v>
          </cell>
        </row>
        <row r="2211">
          <cell r="A2211">
            <v>3034908808</v>
          </cell>
          <cell r="B2211" t="str">
            <v>Not Responded</v>
          </cell>
          <cell r="C2211">
            <v>42720.7400221875</v>
          </cell>
        </row>
        <row r="2212">
          <cell r="A2212">
            <v>3034863577</v>
          </cell>
          <cell r="B2212" t="str">
            <v>Not Responded</v>
          </cell>
          <cell r="C2212">
            <v>42720.7400221875</v>
          </cell>
        </row>
        <row r="2213">
          <cell r="A2213">
            <v>3034870945</v>
          </cell>
          <cell r="B2213" t="str">
            <v>Not Responded</v>
          </cell>
          <cell r="C2213">
            <v>42720.7400221875</v>
          </cell>
        </row>
        <row r="2214">
          <cell r="A2214">
            <v>3034879558</v>
          </cell>
          <cell r="B2214" t="str">
            <v>Not Responded</v>
          </cell>
          <cell r="C2214">
            <v>42720.7400221875</v>
          </cell>
        </row>
        <row r="2215">
          <cell r="A2215">
            <v>3034865794</v>
          </cell>
          <cell r="B2215" t="str">
            <v>Not Responded</v>
          </cell>
          <cell r="C2215">
            <v>42720.7400221875</v>
          </cell>
        </row>
        <row r="2216">
          <cell r="A2216">
            <v>3034813907</v>
          </cell>
          <cell r="B2216" t="str">
            <v>Not Responded</v>
          </cell>
          <cell r="C2216">
            <v>42720.7400221875</v>
          </cell>
        </row>
        <row r="2217">
          <cell r="A2217">
            <v>3034903941</v>
          </cell>
          <cell r="B2217" t="str">
            <v>Not Responded</v>
          </cell>
          <cell r="C2217">
            <v>42720.7400221875</v>
          </cell>
        </row>
        <row r="2218">
          <cell r="A2218">
            <v>3034947345</v>
          </cell>
          <cell r="B2218" t="str">
            <v>Not Responded</v>
          </cell>
          <cell r="C2218">
            <v>42720.7400221875</v>
          </cell>
        </row>
        <row r="2219">
          <cell r="A2219">
            <v>3034950368</v>
          </cell>
          <cell r="B2219" t="str">
            <v>Not Responded</v>
          </cell>
          <cell r="C2219">
            <v>42720.7400221875</v>
          </cell>
        </row>
        <row r="2220">
          <cell r="A2220">
            <v>3034832117</v>
          </cell>
          <cell r="B2220" t="str">
            <v>Not Responded</v>
          </cell>
          <cell r="C2220">
            <v>42720.7400221875</v>
          </cell>
        </row>
        <row r="2221">
          <cell r="A2221">
            <v>3034874479</v>
          </cell>
          <cell r="B2221" t="str">
            <v>Not Responded</v>
          </cell>
          <cell r="C2221">
            <v>42720.7400221875</v>
          </cell>
        </row>
        <row r="2222">
          <cell r="A2222">
            <v>3034865921</v>
          </cell>
          <cell r="B2222" t="str">
            <v>Not Responded</v>
          </cell>
          <cell r="C2222">
            <v>42720.7400221875</v>
          </cell>
        </row>
        <row r="2223">
          <cell r="A2223">
            <v>3034865060</v>
          </cell>
          <cell r="B2223" t="str">
            <v>Not Responded</v>
          </cell>
          <cell r="C2223">
            <v>42720.7400221875</v>
          </cell>
        </row>
        <row r="2224">
          <cell r="A2224">
            <v>3034902970</v>
          </cell>
          <cell r="B2224" t="str">
            <v>Not Responded</v>
          </cell>
          <cell r="C2224">
            <v>42720.7400221875</v>
          </cell>
        </row>
        <row r="2225">
          <cell r="A2225">
            <v>3034901486</v>
          </cell>
          <cell r="B2225" t="str">
            <v>Not Responded</v>
          </cell>
          <cell r="C2225">
            <v>42720.7400221875</v>
          </cell>
        </row>
        <row r="2226">
          <cell r="A2226">
            <v>3034912188</v>
          </cell>
          <cell r="B2226" t="str">
            <v>Not Responded</v>
          </cell>
          <cell r="C2226">
            <v>42720.7400221875</v>
          </cell>
        </row>
        <row r="2227">
          <cell r="A2227">
            <v>3034662334</v>
          </cell>
          <cell r="B2227" t="str">
            <v>Not Responded</v>
          </cell>
          <cell r="C2227">
            <v>42720.7400221875</v>
          </cell>
        </row>
        <row r="2228">
          <cell r="A2228">
            <v>3034625358</v>
          </cell>
          <cell r="B2228" t="str">
            <v>Not Responded</v>
          </cell>
          <cell r="C2228">
            <v>42720.7400221875</v>
          </cell>
        </row>
        <row r="2229">
          <cell r="A2229">
            <v>3034531187</v>
          </cell>
          <cell r="B2229" t="str">
            <v>Not Responded</v>
          </cell>
          <cell r="C2229">
            <v>42720.7400221875</v>
          </cell>
        </row>
        <row r="2230">
          <cell r="A2230">
            <v>3034563935</v>
          </cell>
          <cell r="B2230" t="str">
            <v>Not Responded</v>
          </cell>
          <cell r="C2230">
            <v>42720.7400221875</v>
          </cell>
        </row>
        <row r="2231">
          <cell r="A2231">
            <v>3034901539</v>
          </cell>
          <cell r="B2231" t="str">
            <v>Not Responded</v>
          </cell>
          <cell r="C2231">
            <v>42720.7400221875</v>
          </cell>
        </row>
        <row r="2232">
          <cell r="A2232">
            <v>3034812133</v>
          </cell>
          <cell r="B2232" t="str">
            <v>Not Responded</v>
          </cell>
          <cell r="C2232">
            <v>42720.7400221875</v>
          </cell>
        </row>
        <row r="2233">
          <cell r="A2233">
            <v>3034877484</v>
          </cell>
          <cell r="B2233" t="str">
            <v>Not Responded</v>
          </cell>
          <cell r="C2233">
            <v>42720.7400221875</v>
          </cell>
        </row>
        <row r="2234">
          <cell r="A2234">
            <v>3034901735</v>
          </cell>
          <cell r="B2234" t="str">
            <v>Not Responded</v>
          </cell>
          <cell r="C2234">
            <v>42720.7400221875</v>
          </cell>
        </row>
        <row r="2235">
          <cell r="A2235">
            <v>3034866416</v>
          </cell>
          <cell r="B2235" t="str">
            <v>Not Responded</v>
          </cell>
          <cell r="C2235">
            <v>42720.7400221875</v>
          </cell>
        </row>
        <row r="2236">
          <cell r="A2236">
            <v>3034813132</v>
          </cell>
          <cell r="B2236" t="str">
            <v>Not Responded</v>
          </cell>
          <cell r="C2236">
            <v>42720.7400221875</v>
          </cell>
        </row>
        <row r="2237">
          <cell r="A2237">
            <v>3034905084</v>
          </cell>
          <cell r="B2237" t="str">
            <v>Not Responded</v>
          </cell>
          <cell r="C2237">
            <v>42720.7400221875</v>
          </cell>
        </row>
        <row r="2238">
          <cell r="A2238">
            <v>3034952723</v>
          </cell>
          <cell r="B2238" t="str">
            <v>Not Responded</v>
          </cell>
          <cell r="C2238">
            <v>42720.7400221875</v>
          </cell>
        </row>
        <row r="2239">
          <cell r="A2239">
            <v>3034904812</v>
          </cell>
          <cell r="B2239" t="str">
            <v>Not Responded</v>
          </cell>
          <cell r="C2239">
            <v>42720.7400221875</v>
          </cell>
        </row>
        <row r="2240">
          <cell r="A2240">
            <v>3034828309</v>
          </cell>
          <cell r="B2240" t="str">
            <v>Not Responded</v>
          </cell>
          <cell r="C2240">
            <v>42720.7400221875</v>
          </cell>
        </row>
        <row r="2241">
          <cell r="A2241">
            <v>3034911915</v>
          </cell>
          <cell r="B2241" t="str">
            <v>Not Responded</v>
          </cell>
          <cell r="C2241">
            <v>42720.7400221875</v>
          </cell>
        </row>
        <row r="2242">
          <cell r="A2242">
            <v>3034938968</v>
          </cell>
          <cell r="B2242" t="str">
            <v>Not Responded</v>
          </cell>
          <cell r="C2242">
            <v>42720.7400221875</v>
          </cell>
        </row>
        <row r="2243">
          <cell r="A2243">
            <v>3034905655</v>
          </cell>
          <cell r="B2243" t="str">
            <v>Not Responded</v>
          </cell>
          <cell r="C2243">
            <v>42720.7400221875</v>
          </cell>
        </row>
        <row r="2244">
          <cell r="A2244">
            <v>3034919908</v>
          </cell>
          <cell r="B2244" t="str">
            <v>Not Responded</v>
          </cell>
          <cell r="C2244">
            <v>42720.7400221875</v>
          </cell>
        </row>
        <row r="2245">
          <cell r="A2245">
            <v>3034803016</v>
          </cell>
          <cell r="B2245" t="str">
            <v>Not Responded</v>
          </cell>
          <cell r="C2245">
            <v>42720.7400221875</v>
          </cell>
        </row>
        <row r="2246">
          <cell r="A2246">
            <v>3034910482</v>
          </cell>
          <cell r="B2246" t="str">
            <v>Not Responded</v>
          </cell>
          <cell r="C2246">
            <v>42720.7400221875</v>
          </cell>
        </row>
        <row r="2247">
          <cell r="A2247">
            <v>3034915836</v>
          </cell>
          <cell r="B2247" t="str">
            <v>Not Responded</v>
          </cell>
          <cell r="C2247">
            <v>42720.7400221875</v>
          </cell>
        </row>
        <row r="2248">
          <cell r="A2248">
            <v>3034534143</v>
          </cell>
          <cell r="B2248" t="str">
            <v>Not Responded</v>
          </cell>
          <cell r="C2248">
            <v>42720.7400221875</v>
          </cell>
        </row>
        <row r="2249">
          <cell r="A2249">
            <v>3034914060</v>
          </cell>
          <cell r="B2249" t="str">
            <v>Not Responded</v>
          </cell>
          <cell r="C2249">
            <v>42720.7400221875</v>
          </cell>
        </row>
        <row r="2250">
          <cell r="A2250">
            <v>3034669832</v>
          </cell>
          <cell r="B2250" t="str">
            <v>Not Responded</v>
          </cell>
          <cell r="C2250">
            <v>42720.7400221875</v>
          </cell>
        </row>
        <row r="2251">
          <cell r="A2251">
            <v>3034812135</v>
          </cell>
          <cell r="B2251" t="str">
            <v>Not Responded</v>
          </cell>
          <cell r="C2251">
            <v>42720.7400221875</v>
          </cell>
        </row>
        <row r="2252">
          <cell r="A2252">
            <v>3034598998</v>
          </cell>
          <cell r="B2252" t="str">
            <v>Not Responded</v>
          </cell>
          <cell r="C2252">
            <v>42720.7400221875</v>
          </cell>
        </row>
        <row r="2253">
          <cell r="A2253">
            <v>3034877008</v>
          </cell>
          <cell r="B2253" t="str">
            <v>Not Responded</v>
          </cell>
          <cell r="C2253">
            <v>42720.7400221875</v>
          </cell>
        </row>
        <row r="2254">
          <cell r="A2254">
            <v>3034828115</v>
          </cell>
          <cell r="B2254" t="str">
            <v>Not Responded</v>
          </cell>
          <cell r="C2254">
            <v>42720.7400221875</v>
          </cell>
        </row>
        <row r="2255">
          <cell r="A2255">
            <v>3034873620</v>
          </cell>
          <cell r="B2255" t="str">
            <v>Not Responded</v>
          </cell>
          <cell r="C2255">
            <v>42720.7400221875</v>
          </cell>
        </row>
        <row r="2256">
          <cell r="A2256">
            <v>3034829288</v>
          </cell>
          <cell r="B2256" t="str">
            <v>Not Responded</v>
          </cell>
          <cell r="C2256">
            <v>42720.7400221875</v>
          </cell>
        </row>
        <row r="2257">
          <cell r="A2257">
            <v>3034866259</v>
          </cell>
          <cell r="B2257" t="str">
            <v>Not Responded</v>
          </cell>
          <cell r="C2257">
            <v>42720.7400221875</v>
          </cell>
        </row>
        <row r="2258">
          <cell r="A2258">
            <v>3034736537</v>
          </cell>
          <cell r="B2258" t="str">
            <v>Not Responded</v>
          </cell>
          <cell r="C2258">
            <v>42720.7400221875</v>
          </cell>
        </row>
        <row r="2259">
          <cell r="A2259">
            <v>3034948202</v>
          </cell>
          <cell r="B2259" t="str">
            <v>Not Responded</v>
          </cell>
          <cell r="C2259">
            <v>42720.7400221875</v>
          </cell>
        </row>
        <row r="2260">
          <cell r="A2260">
            <v>3034767760</v>
          </cell>
          <cell r="B2260" t="str">
            <v>Not Responded</v>
          </cell>
          <cell r="C2260">
            <v>42720.7400221875</v>
          </cell>
        </row>
        <row r="2261">
          <cell r="A2261">
            <v>3034576634</v>
          </cell>
          <cell r="B2261" t="str">
            <v>Not Responded</v>
          </cell>
          <cell r="C2261">
            <v>42720.7400221875</v>
          </cell>
        </row>
        <row r="2262">
          <cell r="A2262">
            <v>3034869378</v>
          </cell>
          <cell r="B2262" t="str">
            <v>Not Responded</v>
          </cell>
          <cell r="C2262">
            <v>42720.7400221875</v>
          </cell>
        </row>
        <row r="2263">
          <cell r="A2263">
            <v>3034664760</v>
          </cell>
          <cell r="B2263" t="str">
            <v>Not Responded</v>
          </cell>
          <cell r="C2263">
            <v>42720.7400221875</v>
          </cell>
        </row>
        <row r="2264">
          <cell r="A2264">
            <v>3034788328</v>
          </cell>
          <cell r="B2264" t="str">
            <v>Not Responded</v>
          </cell>
          <cell r="C2264">
            <v>42720.7400221875</v>
          </cell>
        </row>
        <row r="2265">
          <cell r="A2265">
            <v>3034873141</v>
          </cell>
          <cell r="B2265" t="str">
            <v>Not Responded</v>
          </cell>
          <cell r="C2265">
            <v>42720.7400221875</v>
          </cell>
        </row>
        <row r="2266">
          <cell r="A2266">
            <v>3034873899</v>
          </cell>
          <cell r="B2266" t="str">
            <v>Not Responded</v>
          </cell>
          <cell r="C2266">
            <v>42720.7400221875</v>
          </cell>
        </row>
        <row r="2267">
          <cell r="A2267">
            <v>3034871740</v>
          </cell>
          <cell r="B2267" t="str">
            <v>Not Responded</v>
          </cell>
          <cell r="C2267">
            <v>42720.7400221875</v>
          </cell>
        </row>
        <row r="2268">
          <cell r="A2268">
            <v>3034863601</v>
          </cell>
          <cell r="B2268" t="str">
            <v>Not Responded</v>
          </cell>
          <cell r="C2268">
            <v>42720.7400221875</v>
          </cell>
        </row>
        <row r="2269">
          <cell r="A2269">
            <v>3034767554</v>
          </cell>
          <cell r="B2269" t="str">
            <v>Not Responded</v>
          </cell>
          <cell r="C2269">
            <v>42720.7400221875</v>
          </cell>
        </row>
        <row r="2270">
          <cell r="A2270">
            <v>3034814842</v>
          </cell>
          <cell r="B2270" t="str">
            <v>Not Responded</v>
          </cell>
          <cell r="C2270">
            <v>42720.7400221875</v>
          </cell>
        </row>
        <row r="2271">
          <cell r="A2271">
            <v>3034806763</v>
          </cell>
          <cell r="B2271" t="str">
            <v>Not Responded</v>
          </cell>
          <cell r="C2271">
            <v>42720.7400221875</v>
          </cell>
        </row>
        <row r="2272">
          <cell r="A2272">
            <v>3034876038</v>
          </cell>
          <cell r="B2272" t="str">
            <v>Not Responded</v>
          </cell>
          <cell r="C2272">
            <v>42720.7400221875</v>
          </cell>
        </row>
        <row r="2273">
          <cell r="A2273">
            <v>3034914838</v>
          </cell>
          <cell r="B2273" t="str">
            <v>Not Responded</v>
          </cell>
          <cell r="C2273">
            <v>42720.7400221875</v>
          </cell>
        </row>
        <row r="2274">
          <cell r="A2274">
            <v>3034731137</v>
          </cell>
          <cell r="B2274" t="str">
            <v>Not Responded</v>
          </cell>
          <cell r="C2274">
            <v>42720.7400221875</v>
          </cell>
        </row>
        <row r="2275">
          <cell r="A2275">
            <v>3034881754</v>
          </cell>
          <cell r="B2275" t="str">
            <v>Not Responded</v>
          </cell>
          <cell r="C2275">
            <v>42720.7400221875</v>
          </cell>
        </row>
        <row r="2276">
          <cell r="A2276">
            <v>3034936321</v>
          </cell>
          <cell r="B2276" t="str">
            <v>Not Responded</v>
          </cell>
          <cell r="C2276">
            <v>42720.7400221875</v>
          </cell>
        </row>
        <row r="2277">
          <cell r="A2277">
            <v>3034908930</v>
          </cell>
          <cell r="B2277" t="str">
            <v>Not Responded</v>
          </cell>
          <cell r="C2277">
            <v>42720.7400221875</v>
          </cell>
        </row>
        <row r="2278">
          <cell r="A2278">
            <v>3034518366</v>
          </cell>
          <cell r="B2278" t="str">
            <v>Not Responded</v>
          </cell>
          <cell r="C2278">
            <v>42720.7400221875</v>
          </cell>
        </row>
        <row r="2279">
          <cell r="A2279">
            <v>3034655174</v>
          </cell>
          <cell r="B2279" t="str">
            <v>Not Responded</v>
          </cell>
          <cell r="C2279">
            <v>42720.7400221875</v>
          </cell>
        </row>
        <row r="2280">
          <cell r="A2280">
            <v>3034569774</v>
          </cell>
          <cell r="B2280" t="str">
            <v>Not Responded</v>
          </cell>
          <cell r="C2280">
            <v>42720.7400221875</v>
          </cell>
        </row>
        <row r="2281">
          <cell r="A2281">
            <v>3034905605</v>
          </cell>
          <cell r="B2281" t="str">
            <v>Not Responded</v>
          </cell>
          <cell r="C2281">
            <v>42720.7400221875</v>
          </cell>
        </row>
        <row r="2282">
          <cell r="A2282">
            <v>3034531944</v>
          </cell>
          <cell r="B2282" t="str">
            <v>Not Responded</v>
          </cell>
          <cell r="C2282">
            <v>42720.7400221875</v>
          </cell>
        </row>
        <row r="2283">
          <cell r="A2283">
            <v>3034801898</v>
          </cell>
          <cell r="B2283" t="str">
            <v>Not Responded</v>
          </cell>
          <cell r="C2283">
            <v>42720.7400221875</v>
          </cell>
        </row>
        <row r="2284">
          <cell r="A2284">
            <v>3034884437</v>
          </cell>
          <cell r="B2284" t="str">
            <v>Not Responded</v>
          </cell>
          <cell r="C2284">
            <v>42720.7400221875</v>
          </cell>
        </row>
        <row r="2285">
          <cell r="A2285">
            <v>3034807838</v>
          </cell>
          <cell r="B2285" t="str">
            <v>Not Responded</v>
          </cell>
          <cell r="C2285">
            <v>42720.7400221875</v>
          </cell>
        </row>
        <row r="2286">
          <cell r="A2286">
            <v>3034677317</v>
          </cell>
          <cell r="B2286" t="str">
            <v>Not Responded</v>
          </cell>
          <cell r="C2286">
            <v>42720.7400221875</v>
          </cell>
        </row>
        <row r="2287">
          <cell r="A2287">
            <v>3034944529</v>
          </cell>
          <cell r="B2287" t="str">
            <v>Not Responded</v>
          </cell>
          <cell r="C2287">
            <v>42720.7400221875</v>
          </cell>
        </row>
        <row r="2288">
          <cell r="A2288">
            <v>3034678142</v>
          </cell>
          <cell r="B2288" t="str">
            <v>Not Responded</v>
          </cell>
          <cell r="C2288">
            <v>42720.7400221875</v>
          </cell>
        </row>
        <row r="2289">
          <cell r="A2289">
            <v>3034906948</v>
          </cell>
          <cell r="B2289" t="str">
            <v>Not Responded</v>
          </cell>
          <cell r="C2289">
            <v>42720.7400221875</v>
          </cell>
        </row>
        <row r="2290">
          <cell r="A2290">
            <v>3034905110</v>
          </cell>
          <cell r="B2290" t="str">
            <v>Not Responded</v>
          </cell>
          <cell r="C2290">
            <v>42720.7400221875</v>
          </cell>
        </row>
        <row r="2291">
          <cell r="A2291">
            <v>3034901037</v>
          </cell>
          <cell r="B2291" t="str">
            <v>Not Responded</v>
          </cell>
          <cell r="C2291">
            <v>42720.7400221875</v>
          </cell>
        </row>
        <row r="2292">
          <cell r="A2292">
            <v>3034558071</v>
          </cell>
          <cell r="B2292" t="str">
            <v>Not Responded</v>
          </cell>
          <cell r="C2292">
            <v>42720.7400221875</v>
          </cell>
        </row>
        <row r="2293">
          <cell r="A2293">
            <v>3034908430</v>
          </cell>
          <cell r="B2293" t="str">
            <v>Not Responded</v>
          </cell>
          <cell r="C2293">
            <v>42720.7400221875</v>
          </cell>
        </row>
        <row r="2294">
          <cell r="A2294">
            <v>3034660397</v>
          </cell>
          <cell r="B2294" t="str">
            <v>Not Responded</v>
          </cell>
          <cell r="C2294">
            <v>42720.7400221875</v>
          </cell>
        </row>
        <row r="2295">
          <cell r="A2295">
            <v>3034876163</v>
          </cell>
          <cell r="B2295" t="str">
            <v>Not Responded</v>
          </cell>
          <cell r="C2295">
            <v>42720.7400221875</v>
          </cell>
        </row>
        <row r="2296">
          <cell r="A2296">
            <v>3034901230</v>
          </cell>
          <cell r="B2296" t="str">
            <v>Not Responded</v>
          </cell>
          <cell r="C2296">
            <v>42720.7400221875</v>
          </cell>
        </row>
        <row r="2297">
          <cell r="A2297">
            <v>3034800843</v>
          </cell>
          <cell r="B2297" t="str">
            <v>Not Responded</v>
          </cell>
          <cell r="C2297">
            <v>42720.7400221875</v>
          </cell>
        </row>
        <row r="2298">
          <cell r="A2298">
            <v>3034911442</v>
          </cell>
          <cell r="B2298" t="str">
            <v>Not Responded</v>
          </cell>
          <cell r="C2298">
            <v>42720.7400221875</v>
          </cell>
        </row>
        <row r="2299">
          <cell r="A2299">
            <v>3034905535</v>
          </cell>
          <cell r="B2299" t="str">
            <v>Not Responded</v>
          </cell>
          <cell r="C2299">
            <v>42720.7400221875</v>
          </cell>
        </row>
        <row r="2300">
          <cell r="A2300">
            <v>3034829479</v>
          </cell>
          <cell r="B2300" t="str">
            <v>Not Responded</v>
          </cell>
          <cell r="C2300">
            <v>42716.73400196759</v>
          </cell>
        </row>
        <row r="2301">
          <cell r="A2301">
            <v>3034801720</v>
          </cell>
          <cell r="B2301" t="str">
            <v>Not Responded</v>
          </cell>
          <cell r="C2301">
            <v>42716.73400196759</v>
          </cell>
        </row>
        <row r="2302">
          <cell r="A2302">
            <v>3034768755</v>
          </cell>
          <cell r="B2302" t="str">
            <v>Not Responded</v>
          </cell>
          <cell r="C2302">
            <v>42716.73400196759</v>
          </cell>
        </row>
        <row r="2303">
          <cell r="A2303">
            <v>3034555954</v>
          </cell>
          <cell r="B2303" t="str">
            <v>Not Responded</v>
          </cell>
          <cell r="C2303">
            <v>42715.735358761573</v>
          </cell>
        </row>
        <row r="2304">
          <cell r="A2304">
            <v>3034698304</v>
          </cell>
          <cell r="B2304" t="str">
            <v>Not Responded</v>
          </cell>
          <cell r="C2304">
            <v>42715.735358761573</v>
          </cell>
        </row>
        <row r="2305">
          <cell r="A2305">
            <v>3034567445</v>
          </cell>
          <cell r="B2305" t="str">
            <v>Not Responded</v>
          </cell>
          <cell r="C2305">
            <v>42715.735358761573</v>
          </cell>
        </row>
        <row r="2306">
          <cell r="A2306">
            <v>3034664158</v>
          </cell>
          <cell r="B2306" t="str">
            <v>Not Responded</v>
          </cell>
          <cell r="C2306">
            <v>42715.735358761573</v>
          </cell>
        </row>
        <row r="2307">
          <cell r="A2307">
            <v>3034827946</v>
          </cell>
          <cell r="B2307" t="str">
            <v>Not Responded</v>
          </cell>
          <cell r="C2307">
            <v>42716.73400196759</v>
          </cell>
        </row>
        <row r="2308">
          <cell r="A2308">
            <v>3034828368</v>
          </cell>
          <cell r="B2308" t="str">
            <v>Not Responded</v>
          </cell>
          <cell r="C2308">
            <v>42716.73400196759</v>
          </cell>
        </row>
        <row r="2309">
          <cell r="A2309">
            <v>3034829412</v>
          </cell>
          <cell r="B2309" t="str">
            <v>Not Responded</v>
          </cell>
          <cell r="C2309">
            <v>42716.73400196759</v>
          </cell>
        </row>
        <row r="2310">
          <cell r="A2310">
            <v>3034836326</v>
          </cell>
          <cell r="B2310" t="str">
            <v>Not Responded</v>
          </cell>
          <cell r="C2310">
            <v>42716.73400196759</v>
          </cell>
        </row>
        <row r="2311">
          <cell r="A2311">
            <v>3034779198</v>
          </cell>
          <cell r="B2311" t="str">
            <v>Not Responded</v>
          </cell>
          <cell r="C2311">
            <v>42716.73400196759</v>
          </cell>
        </row>
        <row r="2312">
          <cell r="A2312">
            <v>3034827992</v>
          </cell>
          <cell r="B2312" t="str">
            <v>Not Responded</v>
          </cell>
          <cell r="C2312">
            <v>42716.73400196759</v>
          </cell>
        </row>
        <row r="2313">
          <cell r="A2313">
            <v>3034833029</v>
          </cell>
          <cell r="B2313" t="str">
            <v>Not Responded</v>
          </cell>
          <cell r="C2313">
            <v>42716.73400196759</v>
          </cell>
        </row>
        <row r="2314">
          <cell r="A2314">
            <v>3034828992</v>
          </cell>
          <cell r="B2314" t="str">
            <v>Not Responded</v>
          </cell>
          <cell r="C2314">
            <v>42716.73400196759</v>
          </cell>
        </row>
        <row r="2315">
          <cell r="A2315">
            <v>3034833489</v>
          </cell>
          <cell r="B2315" t="str">
            <v>Not Responded</v>
          </cell>
          <cell r="C2315">
            <v>42716.73400196759</v>
          </cell>
        </row>
        <row r="2316">
          <cell r="A2316">
            <v>3034701940</v>
          </cell>
          <cell r="B2316" t="str">
            <v>Not Responded</v>
          </cell>
          <cell r="C2316">
            <v>42716.73400196759</v>
          </cell>
        </row>
        <row r="2317">
          <cell r="A2317">
            <v>3034444039</v>
          </cell>
          <cell r="B2317" t="str">
            <v>Not Responded</v>
          </cell>
          <cell r="C2317">
            <v>42717.737089236114</v>
          </cell>
        </row>
        <row r="2318">
          <cell r="A2318">
            <v>3034453901</v>
          </cell>
          <cell r="B2318" t="str">
            <v>Not Responded</v>
          </cell>
          <cell r="C2318">
            <v>42717.737089236114</v>
          </cell>
        </row>
        <row r="2319">
          <cell r="A2319">
            <v>3034594265</v>
          </cell>
          <cell r="B2319" t="str">
            <v>Not Responded</v>
          </cell>
          <cell r="C2319">
            <v>42718.735660682869</v>
          </cell>
        </row>
        <row r="2320">
          <cell r="A2320">
            <v>3034691170</v>
          </cell>
          <cell r="B2320" t="str">
            <v>Not Responded</v>
          </cell>
          <cell r="C2320">
            <v>42718.735660682869</v>
          </cell>
        </row>
        <row r="2321">
          <cell r="A2321">
            <v>3034602154</v>
          </cell>
          <cell r="B2321" t="str">
            <v>Not Responded</v>
          </cell>
          <cell r="C2321">
            <v>42718.735660682869</v>
          </cell>
        </row>
        <row r="2322">
          <cell r="A2322">
            <v>3034939111</v>
          </cell>
          <cell r="B2322" t="str">
            <v>Not Responded</v>
          </cell>
          <cell r="C2322">
            <v>42720.7400221875</v>
          </cell>
        </row>
        <row r="2323">
          <cell r="A2323">
            <v>3034938595</v>
          </cell>
          <cell r="B2323" t="str">
            <v>Not Responded</v>
          </cell>
          <cell r="C2323">
            <v>42720.7400221875</v>
          </cell>
        </row>
        <row r="2324">
          <cell r="A2324">
            <v>3034954878</v>
          </cell>
          <cell r="B2324" t="str">
            <v>Not Responded</v>
          </cell>
          <cell r="C2324">
            <v>42720.7400221875</v>
          </cell>
        </row>
        <row r="2325">
          <cell r="A2325">
            <v>3034940309</v>
          </cell>
          <cell r="B2325" t="str">
            <v>Not Responded</v>
          </cell>
          <cell r="C2325">
            <v>42720.7400221875</v>
          </cell>
        </row>
        <row r="2326">
          <cell r="A2326">
            <v>3034567336</v>
          </cell>
          <cell r="B2326" t="str">
            <v>Not Responded</v>
          </cell>
          <cell r="C2326">
            <v>42720.7400221875</v>
          </cell>
        </row>
        <row r="2327">
          <cell r="A2327">
            <v>3034702411</v>
          </cell>
          <cell r="B2327" t="str">
            <v>Not Responded</v>
          </cell>
          <cell r="C2327">
            <v>42720.7400221875</v>
          </cell>
        </row>
        <row r="2328">
          <cell r="A2328">
            <v>3034937572</v>
          </cell>
          <cell r="B2328" t="str">
            <v>Not Responded</v>
          </cell>
          <cell r="C2328">
            <v>42720.7400221875</v>
          </cell>
        </row>
        <row r="2329">
          <cell r="A2329">
            <v>3034713083</v>
          </cell>
          <cell r="B2329" t="str">
            <v>Not Responded</v>
          </cell>
          <cell r="C2329">
            <v>42720.7400221875</v>
          </cell>
        </row>
        <row r="2330">
          <cell r="A2330">
            <v>3034958267</v>
          </cell>
          <cell r="B2330" t="str">
            <v>Not Responded</v>
          </cell>
          <cell r="C2330">
            <v>42720.7400221875</v>
          </cell>
        </row>
        <row r="2331">
          <cell r="A2331">
            <v>3034955740</v>
          </cell>
          <cell r="B2331" t="str">
            <v>Not Responded</v>
          </cell>
          <cell r="C2331">
            <v>42720.7400221875</v>
          </cell>
        </row>
        <row r="2332">
          <cell r="A2332">
            <v>3034940210</v>
          </cell>
          <cell r="B2332" t="str">
            <v>Not Responded</v>
          </cell>
          <cell r="C2332">
            <v>42720.7400221875</v>
          </cell>
        </row>
        <row r="2333">
          <cell r="A2333">
            <v>3034957047</v>
          </cell>
          <cell r="B2333" t="str">
            <v>Not Responded</v>
          </cell>
          <cell r="C2333">
            <v>42720.7400221875</v>
          </cell>
        </row>
        <row r="2334">
          <cell r="A2334">
            <v>3034912106</v>
          </cell>
          <cell r="B2334" t="str">
            <v>Not Responded</v>
          </cell>
          <cell r="C2334">
            <v>42720.7400221875</v>
          </cell>
        </row>
        <row r="2335">
          <cell r="A2335">
            <v>3034556815</v>
          </cell>
          <cell r="B2335" t="str">
            <v>Not Responded</v>
          </cell>
          <cell r="C2335">
            <v>42720.7400221875</v>
          </cell>
        </row>
        <row r="2336">
          <cell r="A2336">
            <v>3034947117</v>
          </cell>
          <cell r="B2336" t="str">
            <v>Not Responded</v>
          </cell>
          <cell r="C2336">
            <v>42720.7400221875</v>
          </cell>
        </row>
        <row r="2337">
          <cell r="A2337">
            <v>3034941119</v>
          </cell>
          <cell r="B2337" t="str">
            <v>Not Responded</v>
          </cell>
          <cell r="C2337">
            <v>42720.7400221875</v>
          </cell>
        </row>
        <row r="2338">
          <cell r="A2338">
            <v>3034912777</v>
          </cell>
          <cell r="B2338" t="str">
            <v>Not Responded</v>
          </cell>
          <cell r="C2338">
            <v>42720.7400221875</v>
          </cell>
        </row>
        <row r="2339">
          <cell r="A2339">
            <v>3034752519</v>
          </cell>
          <cell r="B2339" t="str">
            <v>Not Responded</v>
          </cell>
          <cell r="C2339">
            <v>42720.7400221875</v>
          </cell>
        </row>
        <row r="2340">
          <cell r="A2340">
            <v>3034715329</v>
          </cell>
          <cell r="B2340" t="str">
            <v>Not Responded</v>
          </cell>
          <cell r="C2340">
            <v>42720.7400221875</v>
          </cell>
        </row>
        <row r="2341">
          <cell r="A2341">
            <v>3034713744</v>
          </cell>
          <cell r="B2341" t="str">
            <v>Not Responded</v>
          </cell>
          <cell r="C2341">
            <v>42720.7400221875</v>
          </cell>
        </row>
        <row r="2342">
          <cell r="A2342">
            <v>3034910434</v>
          </cell>
          <cell r="B2342" t="str">
            <v>Not Responded</v>
          </cell>
          <cell r="C2342">
            <v>42720.7400221875</v>
          </cell>
        </row>
        <row r="2343">
          <cell r="A2343">
            <v>3034941763</v>
          </cell>
          <cell r="B2343" t="str">
            <v>Not Responded</v>
          </cell>
          <cell r="C2343">
            <v>42720.7400221875</v>
          </cell>
        </row>
        <row r="2344">
          <cell r="A2344">
            <v>3034827948</v>
          </cell>
          <cell r="B2344" t="str">
            <v>Not Responded</v>
          </cell>
          <cell r="C2344">
            <v>42720.7400221875</v>
          </cell>
        </row>
        <row r="2345">
          <cell r="A2345">
            <v>3034776544</v>
          </cell>
          <cell r="B2345" t="str">
            <v>Not Responded</v>
          </cell>
          <cell r="C2345">
            <v>42720.7400221875</v>
          </cell>
        </row>
        <row r="2346">
          <cell r="A2346">
            <v>3034936723</v>
          </cell>
          <cell r="B2346" t="str">
            <v>Not Responded</v>
          </cell>
          <cell r="C2346">
            <v>42720.7400221875</v>
          </cell>
        </row>
        <row r="2347">
          <cell r="A2347">
            <v>3034953918</v>
          </cell>
          <cell r="B2347" t="str">
            <v>Not Responded</v>
          </cell>
          <cell r="C2347">
            <v>42720.7400221875</v>
          </cell>
        </row>
        <row r="2348">
          <cell r="A2348">
            <v>3034923677</v>
          </cell>
          <cell r="B2348" t="str">
            <v>Not Responded</v>
          </cell>
          <cell r="C2348">
            <v>42720.7400221875</v>
          </cell>
        </row>
        <row r="2349">
          <cell r="A2349">
            <v>3034565944</v>
          </cell>
          <cell r="B2349" t="str">
            <v>Not Responded</v>
          </cell>
          <cell r="C2349">
            <v>42720.7400221875</v>
          </cell>
        </row>
        <row r="2350">
          <cell r="A2350">
            <v>3034669664</v>
          </cell>
          <cell r="B2350" t="str">
            <v>Not Responded</v>
          </cell>
          <cell r="C2350">
            <v>42720.7400221875</v>
          </cell>
        </row>
        <row r="2351">
          <cell r="A2351">
            <v>3034939335</v>
          </cell>
          <cell r="B2351" t="str">
            <v>Not Responded</v>
          </cell>
          <cell r="C2351">
            <v>42720.7400221875</v>
          </cell>
        </row>
        <row r="2352">
          <cell r="A2352">
            <v>3034703472</v>
          </cell>
          <cell r="B2352" t="str">
            <v>Not Responded</v>
          </cell>
          <cell r="C2352">
            <v>42715.735337696759</v>
          </cell>
        </row>
        <row r="2353">
          <cell r="A2353">
            <v>3034800656</v>
          </cell>
          <cell r="B2353" t="str">
            <v>Not Responded</v>
          </cell>
          <cell r="C2353">
            <v>42715.735337696759</v>
          </cell>
        </row>
        <row r="2354">
          <cell r="A2354">
            <v>3034809823</v>
          </cell>
          <cell r="B2354" t="str">
            <v>Not Responded</v>
          </cell>
          <cell r="C2354">
            <v>42715.735337696759</v>
          </cell>
        </row>
        <row r="2355">
          <cell r="A2355">
            <v>3034617036</v>
          </cell>
          <cell r="B2355" t="str">
            <v>Not Responded</v>
          </cell>
          <cell r="C2355">
            <v>42715.735337696759</v>
          </cell>
        </row>
        <row r="2356">
          <cell r="A2356">
            <v>3034694046</v>
          </cell>
          <cell r="B2356" t="str">
            <v>Not Responded</v>
          </cell>
          <cell r="C2356">
            <v>42715.735337696759</v>
          </cell>
        </row>
        <row r="2357">
          <cell r="A2357">
            <v>3034654618</v>
          </cell>
          <cell r="B2357" t="str">
            <v>Not Responded</v>
          </cell>
          <cell r="C2357">
            <v>42715.735337696759</v>
          </cell>
        </row>
        <row r="2358">
          <cell r="A2358">
            <v>3034666699</v>
          </cell>
          <cell r="B2358" t="str">
            <v>Not Responded</v>
          </cell>
          <cell r="C2358">
            <v>42715.735337696759</v>
          </cell>
        </row>
        <row r="2359">
          <cell r="A2359">
            <v>3034695522</v>
          </cell>
          <cell r="B2359" t="str">
            <v>Not Responded</v>
          </cell>
          <cell r="C2359">
            <v>42715.735337696759</v>
          </cell>
        </row>
        <row r="2360">
          <cell r="A2360">
            <v>3034805604</v>
          </cell>
          <cell r="B2360" t="str">
            <v>Not Responded</v>
          </cell>
          <cell r="C2360">
            <v>42715.735337696759</v>
          </cell>
        </row>
        <row r="2361">
          <cell r="A2361">
            <v>3034812049</v>
          </cell>
          <cell r="B2361" t="str">
            <v>Not Responded</v>
          </cell>
          <cell r="C2361">
            <v>42715.735337696759</v>
          </cell>
        </row>
        <row r="2362">
          <cell r="A2362">
            <v>3034805360</v>
          </cell>
          <cell r="B2362" t="str">
            <v>Not Responded</v>
          </cell>
          <cell r="C2362">
            <v>42715.735337696759</v>
          </cell>
        </row>
        <row r="2363">
          <cell r="A2363">
            <v>3034591465</v>
          </cell>
          <cell r="B2363" t="str">
            <v>Not Responded</v>
          </cell>
          <cell r="C2363">
            <v>42715.735337696759</v>
          </cell>
        </row>
        <row r="2364">
          <cell r="A2364">
            <v>3034813183</v>
          </cell>
          <cell r="B2364" t="str">
            <v>Not Responded</v>
          </cell>
          <cell r="C2364">
            <v>42715.735337696759</v>
          </cell>
        </row>
        <row r="2365">
          <cell r="A2365">
            <v>3034807936</v>
          </cell>
          <cell r="B2365" t="str">
            <v>Not Responded</v>
          </cell>
          <cell r="C2365">
            <v>42715.735337696759</v>
          </cell>
        </row>
        <row r="2366">
          <cell r="A2366">
            <v>3034814071</v>
          </cell>
          <cell r="B2366" t="str">
            <v>Not Responded</v>
          </cell>
          <cell r="C2366">
            <v>42715.735337696759</v>
          </cell>
        </row>
        <row r="2367">
          <cell r="A2367">
            <v>3034588749</v>
          </cell>
          <cell r="B2367" t="str">
            <v>Not Responded</v>
          </cell>
          <cell r="C2367">
            <v>42715.735337696759</v>
          </cell>
        </row>
        <row r="2368">
          <cell r="A2368">
            <v>3034731617</v>
          </cell>
          <cell r="B2368" t="str">
            <v>Not Responded</v>
          </cell>
          <cell r="C2368">
            <v>42715.735337696759</v>
          </cell>
        </row>
        <row r="2369">
          <cell r="A2369">
            <v>3034693867</v>
          </cell>
          <cell r="B2369" t="str">
            <v>Not Responded</v>
          </cell>
          <cell r="C2369">
            <v>42715.735337696759</v>
          </cell>
        </row>
        <row r="2370">
          <cell r="A2370">
            <v>3034817097</v>
          </cell>
          <cell r="B2370" t="str">
            <v>Not Responded</v>
          </cell>
          <cell r="C2370">
            <v>42715.735337696759</v>
          </cell>
        </row>
        <row r="2371">
          <cell r="A2371">
            <v>3034557496</v>
          </cell>
          <cell r="B2371" t="str">
            <v>Not Responded</v>
          </cell>
          <cell r="C2371">
            <v>42715.735337696759</v>
          </cell>
        </row>
        <row r="2372">
          <cell r="A2372">
            <v>3034751251</v>
          </cell>
          <cell r="B2372" t="str">
            <v>Not Responded</v>
          </cell>
          <cell r="C2372">
            <v>42715.735337696759</v>
          </cell>
        </row>
        <row r="2373">
          <cell r="A2373">
            <v>3034801599</v>
          </cell>
          <cell r="B2373" t="str">
            <v>Not Responded</v>
          </cell>
          <cell r="C2373">
            <v>42715.735337696759</v>
          </cell>
        </row>
        <row r="2374">
          <cell r="A2374">
            <v>3034808020</v>
          </cell>
          <cell r="B2374" t="str">
            <v>Not Responded</v>
          </cell>
          <cell r="C2374">
            <v>42715.735337696759</v>
          </cell>
        </row>
        <row r="2375">
          <cell r="A2375">
            <v>3034801142</v>
          </cell>
          <cell r="B2375" t="str">
            <v>Not Responded</v>
          </cell>
          <cell r="C2375">
            <v>42715.735337696759</v>
          </cell>
        </row>
        <row r="2376">
          <cell r="A2376">
            <v>3034812182</v>
          </cell>
          <cell r="B2376" t="str">
            <v>Not Responded</v>
          </cell>
          <cell r="C2376">
            <v>42715.735337696759</v>
          </cell>
        </row>
        <row r="2377">
          <cell r="A2377">
            <v>3034692660</v>
          </cell>
          <cell r="B2377" t="str">
            <v>Not Responded</v>
          </cell>
          <cell r="C2377">
            <v>42715.735337696759</v>
          </cell>
        </row>
        <row r="2378">
          <cell r="A2378">
            <v>3034659386</v>
          </cell>
          <cell r="B2378" t="str">
            <v>Not Responded</v>
          </cell>
          <cell r="C2378">
            <v>42715.735337696759</v>
          </cell>
        </row>
        <row r="2379">
          <cell r="A2379">
            <v>3034602349</v>
          </cell>
          <cell r="B2379" t="str">
            <v>Not Responded</v>
          </cell>
          <cell r="C2379">
            <v>42715.735337696759</v>
          </cell>
        </row>
        <row r="2380">
          <cell r="A2380">
            <v>3034652379</v>
          </cell>
          <cell r="B2380" t="str">
            <v>Not Responded</v>
          </cell>
          <cell r="C2380">
            <v>42715.735337696759</v>
          </cell>
        </row>
        <row r="2381">
          <cell r="A2381">
            <v>3034806886</v>
          </cell>
          <cell r="B2381" t="str">
            <v>Not Responded</v>
          </cell>
          <cell r="C2381">
            <v>42715.735337696759</v>
          </cell>
        </row>
        <row r="2382">
          <cell r="A2382">
            <v>3034410001</v>
          </cell>
          <cell r="B2382" t="str">
            <v>Not Responded</v>
          </cell>
          <cell r="C2382">
            <v>42715.735337696759</v>
          </cell>
        </row>
        <row r="2383">
          <cell r="A2383">
            <v>3034734871</v>
          </cell>
          <cell r="B2383" t="str">
            <v>Not Responded</v>
          </cell>
          <cell r="C2383">
            <v>42715.735337696759</v>
          </cell>
        </row>
        <row r="2384">
          <cell r="A2384">
            <v>3034499919</v>
          </cell>
          <cell r="B2384" t="str">
            <v>Not Responded</v>
          </cell>
          <cell r="C2384">
            <v>42715.735337696759</v>
          </cell>
        </row>
        <row r="2385">
          <cell r="A2385">
            <v>3034768483</v>
          </cell>
          <cell r="B2385" t="str">
            <v>Not Responded</v>
          </cell>
          <cell r="C2385">
            <v>42715.735337696759</v>
          </cell>
        </row>
        <row r="2386">
          <cell r="A2386">
            <v>3034746675</v>
          </cell>
          <cell r="B2386" t="str">
            <v>Not Responded</v>
          </cell>
          <cell r="C2386">
            <v>42715.735337696759</v>
          </cell>
        </row>
        <row r="2387">
          <cell r="A2387">
            <v>3034703917</v>
          </cell>
          <cell r="B2387" t="str">
            <v>Not Responded</v>
          </cell>
          <cell r="C2387">
            <v>42715.735337696759</v>
          </cell>
        </row>
        <row r="2388">
          <cell r="A2388">
            <v>3034810342</v>
          </cell>
          <cell r="B2388" t="str">
            <v>Not Responded</v>
          </cell>
          <cell r="C2388">
            <v>42715.735337696759</v>
          </cell>
        </row>
        <row r="2389">
          <cell r="A2389">
            <v>3034760572</v>
          </cell>
          <cell r="B2389" t="str">
            <v>Not Responded</v>
          </cell>
          <cell r="C2389">
            <v>42715.735337696759</v>
          </cell>
        </row>
        <row r="2390">
          <cell r="A2390">
            <v>3034747583</v>
          </cell>
          <cell r="B2390" t="str">
            <v>Not Responded</v>
          </cell>
          <cell r="C2390">
            <v>42715.735337696759</v>
          </cell>
        </row>
        <row r="2391">
          <cell r="A2391">
            <v>3034831273</v>
          </cell>
          <cell r="B2391" t="str">
            <v>Not Responded</v>
          </cell>
          <cell r="C2391">
            <v>42716.73400196759</v>
          </cell>
        </row>
        <row r="2392">
          <cell r="A2392">
            <v>3034621935</v>
          </cell>
          <cell r="B2392" t="str">
            <v>Not Responded</v>
          </cell>
          <cell r="C2392">
            <v>42715.735337696759</v>
          </cell>
        </row>
        <row r="2393">
          <cell r="A2393">
            <v>3034704058</v>
          </cell>
          <cell r="B2393" t="str">
            <v>Not Responded</v>
          </cell>
          <cell r="C2393">
            <v>42715.735337696759</v>
          </cell>
        </row>
        <row r="2394">
          <cell r="A2394">
            <v>3034812354</v>
          </cell>
          <cell r="B2394" t="str">
            <v>Not Responded</v>
          </cell>
          <cell r="C2394">
            <v>42715.735337696759</v>
          </cell>
        </row>
        <row r="2395">
          <cell r="A2395">
            <v>3034563830</v>
          </cell>
          <cell r="B2395" t="str">
            <v>Not Responded</v>
          </cell>
          <cell r="C2395">
            <v>42715.735337696759</v>
          </cell>
        </row>
        <row r="2396">
          <cell r="A2396">
            <v>3034561758</v>
          </cell>
          <cell r="B2396" t="str">
            <v>Not Responded</v>
          </cell>
          <cell r="C2396">
            <v>42715.735337696759</v>
          </cell>
        </row>
        <row r="2397">
          <cell r="A2397">
            <v>3034814526</v>
          </cell>
          <cell r="B2397" t="str">
            <v>Not Responded</v>
          </cell>
          <cell r="C2397">
            <v>42715.735337696759</v>
          </cell>
        </row>
        <row r="2398">
          <cell r="A2398">
            <v>3034561824</v>
          </cell>
          <cell r="B2398" t="str">
            <v>Not Responded</v>
          </cell>
          <cell r="C2398">
            <v>42715.735337696759</v>
          </cell>
        </row>
        <row r="2399">
          <cell r="A2399">
            <v>3034800325</v>
          </cell>
          <cell r="B2399" t="str">
            <v>Not Responded</v>
          </cell>
          <cell r="C2399">
            <v>42715.735337696759</v>
          </cell>
        </row>
        <row r="2400">
          <cell r="A2400">
            <v>3034692881</v>
          </cell>
          <cell r="B2400" t="str">
            <v>Not Responded</v>
          </cell>
          <cell r="C2400">
            <v>42715.735337696759</v>
          </cell>
        </row>
        <row r="2401">
          <cell r="A2401">
            <v>3034836405</v>
          </cell>
          <cell r="B2401" t="str">
            <v>Opted Out</v>
          </cell>
          <cell r="C2401">
            <v>42723.734847997686</v>
          </cell>
        </row>
        <row r="2402">
          <cell r="A2402">
            <v>3035111268</v>
          </cell>
          <cell r="B2402" t="str">
            <v>Opted Out</v>
          </cell>
          <cell r="C2402">
            <v>42727.734570601853</v>
          </cell>
        </row>
        <row r="2403">
          <cell r="A2403">
            <v>3035138177</v>
          </cell>
          <cell r="B2403" t="str">
            <v>Sample Rejected</v>
          </cell>
          <cell r="C2403">
            <v>42727.734570601853</v>
          </cell>
        </row>
        <row r="2404">
          <cell r="A2404">
            <v>3035142279</v>
          </cell>
          <cell r="B2404" t="str">
            <v>Sample Rejected</v>
          </cell>
          <cell r="C2404">
            <v>42727.734570601853</v>
          </cell>
        </row>
        <row r="2405">
          <cell r="A2405">
            <v>3035145628</v>
          </cell>
          <cell r="B2405" t="str">
            <v>Sample Rejected</v>
          </cell>
          <cell r="C2405">
            <v>42727.734570601853</v>
          </cell>
        </row>
        <row r="2406">
          <cell r="A2406">
            <v>3035136553</v>
          </cell>
          <cell r="B2406" t="str">
            <v>Sample Rejected</v>
          </cell>
          <cell r="C2406">
            <v>42727.734570601853</v>
          </cell>
        </row>
        <row r="2407">
          <cell r="A2407">
            <v>3035137444</v>
          </cell>
          <cell r="B2407" t="str">
            <v>Sample Rejected</v>
          </cell>
          <cell r="C2407">
            <v>42727.734570601853</v>
          </cell>
        </row>
        <row r="2408">
          <cell r="A2408">
            <v>3035138688</v>
          </cell>
          <cell r="B2408" t="str">
            <v>Sample Rejected</v>
          </cell>
          <cell r="C2408">
            <v>42727.734570601853</v>
          </cell>
        </row>
        <row r="2409">
          <cell r="A2409">
            <v>3035133245</v>
          </cell>
          <cell r="B2409" t="str">
            <v>Sample Rejected</v>
          </cell>
          <cell r="C2409">
            <v>42727.734570601853</v>
          </cell>
        </row>
        <row r="2410">
          <cell r="A2410">
            <v>3035111895</v>
          </cell>
          <cell r="B2410" t="str">
            <v>Sample Rejected</v>
          </cell>
          <cell r="C2410">
            <v>42727.734570601853</v>
          </cell>
        </row>
        <row r="2411">
          <cell r="A2411">
            <v>3035133366</v>
          </cell>
          <cell r="B2411" t="str">
            <v>Sample Rejected</v>
          </cell>
          <cell r="C2411">
            <v>42727.734570601853</v>
          </cell>
        </row>
        <row r="2412">
          <cell r="A2412">
            <v>3035141437</v>
          </cell>
          <cell r="B2412" t="str">
            <v>Sample Rejected</v>
          </cell>
          <cell r="C2412">
            <v>42727.734570601853</v>
          </cell>
        </row>
        <row r="2413">
          <cell r="A2413">
            <v>3035147323</v>
          </cell>
          <cell r="B2413" t="str">
            <v>Sample Rejected</v>
          </cell>
          <cell r="C2413">
            <v>42727.734570601853</v>
          </cell>
        </row>
        <row r="2414">
          <cell r="A2414">
            <v>3035134647</v>
          </cell>
          <cell r="B2414" t="str">
            <v>Sample Rejected</v>
          </cell>
          <cell r="C2414">
            <v>42727.734570601853</v>
          </cell>
        </row>
        <row r="2415">
          <cell r="A2415">
            <v>3035146626</v>
          </cell>
          <cell r="B2415" t="str">
            <v>Sample Rejected</v>
          </cell>
          <cell r="C2415">
            <v>42727.734570601853</v>
          </cell>
        </row>
        <row r="2416">
          <cell r="A2416">
            <v>3035064072</v>
          </cell>
          <cell r="B2416" t="str">
            <v>Sample Rejected</v>
          </cell>
          <cell r="C2416">
            <v>42727.734570601853</v>
          </cell>
        </row>
        <row r="2417">
          <cell r="A2417">
            <v>3035138659</v>
          </cell>
          <cell r="B2417" t="str">
            <v>Sample Rejected</v>
          </cell>
          <cell r="C2417">
            <v>42727.734570601853</v>
          </cell>
        </row>
        <row r="2418">
          <cell r="A2418">
            <v>3035136153</v>
          </cell>
          <cell r="B2418" t="str">
            <v>Sample Rejected</v>
          </cell>
          <cell r="C2418">
            <v>42727.734570601853</v>
          </cell>
        </row>
        <row r="2419">
          <cell r="A2419">
            <v>3035143256</v>
          </cell>
          <cell r="B2419" t="str">
            <v>Sample Rejected</v>
          </cell>
          <cell r="C2419">
            <v>42727.734570601853</v>
          </cell>
        </row>
        <row r="2420">
          <cell r="A2420">
            <v>3034948236</v>
          </cell>
          <cell r="B2420" t="str">
            <v>Sample Rejected</v>
          </cell>
          <cell r="C2420">
            <v>42727.734570601853</v>
          </cell>
        </row>
        <row r="2421">
          <cell r="A2421">
            <v>3035034783</v>
          </cell>
          <cell r="B2421" t="str">
            <v>Sample Rejected</v>
          </cell>
          <cell r="C2421">
            <v>42727.734570601853</v>
          </cell>
        </row>
        <row r="2422">
          <cell r="A2422">
            <v>3035140764</v>
          </cell>
          <cell r="B2422" t="str">
            <v>Sample Rejected</v>
          </cell>
          <cell r="C2422">
            <v>42727.734570601853</v>
          </cell>
        </row>
        <row r="2423">
          <cell r="A2423">
            <v>3035142360</v>
          </cell>
          <cell r="B2423" t="str">
            <v>Sample Rejected</v>
          </cell>
          <cell r="C2423">
            <v>42727.734570601853</v>
          </cell>
        </row>
        <row r="2424">
          <cell r="A2424">
            <v>3035151370</v>
          </cell>
          <cell r="B2424" t="str">
            <v>Sample Rejected</v>
          </cell>
          <cell r="C2424">
            <v>42727.734570601853</v>
          </cell>
        </row>
        <row r="2425">
          <cell r="A2425">
            <v>3035135007</v>
          </cell>
          <cell r="B2425" t="str">
            <v>Sample Rejected</v>
          </cell>
          <cell r="C2425">
            <v>42727.734570601853</v>
          </cell>
        </row>
        <row r="2426">
          <cell r="A2426">
            <v>3035134447</v>
          </cell>
          <cell r="B2426" t="str">
            <v>Sample Rejected</v>
          </cell>
          <cell r="C2426">
            <v>42727.734570601853</v>
          </cell>
        </row>
        <row r="2427">
          <cell r="A2427">
            <v>3035135718</v>
          </cell>
          <cell r="B2427" t="str">
            <v>Sample Rejected</v>
          </cell>
          <cell r="C2427">
            <v>42727.734570601853</v>
          </cell>
        </row>
        <row r="2428">
          <cell r="A2428">
            <v>3035100658</v>
          </cell>
          <cell r="B2428" t="str">
            <v>Sample Rejected</v>
          </cell>
          <cell r="C2428">
            <v>42727.734570601853</v>
          </cell>
        </row>
        <row r="2429">
          <cell r="A2429">
            <v>3035141721</v>
          </cell>
          <cell r="B2429" t="str">
            <v>Sample Rejected</v>
          </cell>
          <cell r="C2429">
            <v>42727.734570601853</v>
          </cell>
        </row>
        <row r="2430">
          <cell r="A2430">
            <v>3035142091</v>
          </cell>
          <cell r="B2430" t="str">
            <v>Sample Rejected</v>
          </cell>
          <cell r="C2430">
            <v>42727.734570601853</v>
          </cell>
        </row>
        <row r="2431">
          <cell r="A2431">
            <v>3035066615</v>
          </cell>
          <cell r="B2431" t="str">
            <v>Sample Rejected</v>
          </cell>
          <cell r="C2431">
            <v>42727.734570601853</v>
          </cell>
        </row>
        <row r="2432">
          <cell r="A2432">
            <v>3035007025</v>
          </cell>
          <cell r="B2432" t="str">
            <v>Sample Rejected</v>
          </cell>
          <cell r="C2432">
            <v>42727.734570601853</v>
          </cell>
        </row>
        <row r="2433">
          <cell r="A2433">
            <v>3035136480</v>
          </cell>
          <cell r="B2433" t="str">
            <v>Sample Rejected</v>
          </cell>
          <cell r="C2433">
            <v>42727.734570601853</v>
          </cell>
        </row>
        <row r="2434">
          <cell r="A2434">
            <v>3035116948</v>
          </cell>
          <cell r="B2434" t="str">
            <v>Sample Rejected</v>
          </cell>
          <cell r="C2434">
            <v>42727.734570601853</v>
          </cell>
        </row>
        <row r="2435">
          <cell r="A2435">
            <v>3035140563</v>
          </cell>
          <cell r="B2435" t="str">
            <v>Sample Rejected</v>
          </cell>
          <cell r="C2435">
            <v>42727.734570601853</v>
          </cell>
        </row>
        <row r="2436">
          <cell r="A2436">
            <v>3034771413</v>
          </cell>
          <cell r="B2436" t="str">
            <v>Sample Rejected</v>
          </cell>
          <cell r="C2436">
            <v>42727.734570601853</v>
          </cell>
        </row>
        <row r="2437">
          <cell r="A2437">
            <v>3035119751</v>
          </cell>
          <cell r="B2437" t="str">
            <v>Sample Rejected</v>
          </cell>
          <cell r="C2437">
            <v>42727.734570601853</v>
          </cell>
        </row>
        <row r="2438">
          <cell r="A2438">
            <v>3035133427</v>
          </cell>
          <cell r="B2438" t="str">
            <v>Sample Rejected</v>
          </cell>
          <cell r="C2438">
            <v>42727.734570601853</v>
          </cell>
        </row>
        <row r="2439">
          <cell r="A2439">
            <v>3035131905</v>
          </cell>
          <cell r="B2439" t="str">
            <v>Sample Rejected</v>
          </cell>
          <cell r="C2439">
            <v>42727.734570601853</v>
          </cell>
        </row>
        <row r="2440">
          <cell r="A2440">
            <v>3035114167</v>
          </cell>
          <cell r="B2440" t="str">
            <v>Sample Rejected</v>
          </cell>
          <cell r="C2440">
            <v>42727.734570601853</v>
          </cell>
        </row>
        <row r="2441">
          <cell r="A2441">
            <v>3035143247</v>
          </cell>
          <cell r="B2441" t="str">
            <v>Sample Rejected</v>
          </cell>
          <cell r="C2441">
            <v>42727.734570601853</v>
          </cell>
        </row>
        <row r="2442">
          <cell r="A2442">
            <v>3035136860</v>
          </cell>
          <cell r="B2442" t="str">
            <v>Sample Rejected</v>
          </cell>
          <cell r="C2442">
            <v>42727.734570601853</v>
          </cell>
        </row>
        <row r="2443">
          <cell r="A2443">
            <v>3035133340</v>
          </cell>
          <cell r="B2443" t="str">
            <v>Sample Rejected</v>
          </cell>
          <cell r="C2443">
            <v>42727.734570601853</v>
          </cell>
        </row>
        <row r="2444">
          <cell r="A2444">
            <v>3035139933</v>
          </cell>
          <cell r="B2444" t="str">
            <v>Sample Rejected</v>
          </cell>
          <cell r="C2444">
            <v>42727.734570601853</v>
          </cell>
        </row>
        <row r="2445">
          <cell r="A2445">
            <v>3035133389</v>
          </cell>
          <cell r="B2445" t="str">
            <v>Sample Rejected</v>
          </cell>
          <cell r="C2445">
            <v>42727.734570601853</v>
          </cell>
        </row>
        <row r="2446">
          <cell r="A2446">
            <v>3035133636</v>
          </cell>
          <cell r="B2446" t="str">
            <v>Sample Rejected</v>
          </cell>
          <cell r="C2446">
            <v>42727.734570601853</v>
          </cell>
        </row>
        <row r="2447">
          <cell r="A2447">
            <v>3035147305</v>
          </cell>
          <cell r="B2447" t="str">
            <v>Sample Rejected</v>
          </cell>
          <cell r="C2447">
            <v>42727.734570601853</v>
          </cell>
        </row>
        <row r="2448">
          <cell r="A2448">
            <v>3035138401</v>
          </cell>
          <cell r="B2448" t="str">
            <v>Sample Rejected</v>
          </cell>
          <cell r="C2448">
            <v>42727.734570601853</v>
          </cell>
        </row>
        <row r="2449">
          <cell r="A2449">
            <v>3035141148</v>
          </cell>
          <cell r="B2449" t="str">
            <v>Sample Rejected</v>
          </cell>
          <cell r="C2449">
            <v>42727.734570601853</v>
          </cell>
        </row>
        <row r="2450">
          <cell r="A2450">
            <v>3035133417</v>
          </cell>
          <cell r="B2450" t="str">
            <v>Sample Rejected</v>
          </cell>
          <cell r="C2450">
            <v>42727.734570601853</v>
          </cell>
        </row>
        <row r="2451">
          <cell r="A2451">
            <v>3034907603</v>
          </cell>
          <cell r="B2451" t="str">
            <v>Sample Rejected</v>
          </cell>
          <cell r="C2451">
            <v>42727.734570601853</v>
          </cell>
        </row>
        <row r="2452">
          <cell r="A2452">
            <v>3035031018</v>
          </cell>
          <cell r="B2452" t="str">
            <v>Sample Rejected</v>
          </cell>
          <cell r="C2452">
            <v>42727.734570601853</v>
          </cell>
        </row>
        <row r="2453">
          <cell r="A2453">
            <v>3035008856</v>
          </cell>
          <cell r="B2453" t="str">
            <v>Sample Rejected</v>
          </cell>
          <cell r="C2453">
            <v>42727.734570601853</v>
          </cell>
        </row>
        <row r="2454">
          <cell r="A2454">
            <v>3035171903</v>
          </cell>
          <cell r="B2454" t="str">
            <v>Sample Rejected</v>
          </cell>
          <cell r="C2454">
            <v>42728.734464780093</v>
          </cell>
        </row>
        <row r="2455">
          <cell r="A2455">
            <v>3035023213</v>
          </cell>
          <cell r="B2455" t="str">
            <v>Sample Rejected</v>
          </cell>
          <cell r="C2455">
            <v>42728.734464780093</v>
          </cell>
        </row>
        <row r="2456">
          <cell r="A2456">
            <v>3035174245</v>
          </cell>
          <cell r="B2456" t="str">
            <v>Sample Rejected</v>
          </cell>
          <cell r="C2456">
            <v>42728.734464780093</v>
          </cell>
        </row>
        <row r="2457">
          <cell r="A2457">
            <v>3035174291</v>
          </cell>
          <cell r="B2457" t="str">
            <v>Sample Rejected</v>
          </cell>
          <cell r="C2457">
            <v>42728.734464780093</v>
          </cell>
        </row>
        <row r="2458">
          <cell r="A2458">
            <v>3035168903</v>
          </cell>
          <cell r="B2458" t="str">
            <v>Sample Rejected</v>
          </cell>
          <cell r="C2458">
            <v>42728.734464780093</v>
          </cell>
        </row>
        <row r="2459">
          <cell r="A2459">
            <v>3035178032</v>
          </cell>
          <cell r="B2459" t="str">
            <v>Sample Rejected</v>
          </cell>
          <cell r="C2459">
            <v>42728.734464780093</v>
          </cell>
        </row>
        <row r="2460">
          <cell r="A2460">
            <v>3035167208</v>
          </cell>
          <cell r="B2460" t="str">
            <v>Sample Rejected</v>
          </cell>
          <cell r="C2460">
            <v>42728.734464780093</v>
          </cell>
        </row>
        <row r="2461">
          <cell r="A2461">
            <v>3035176588</v>
          </cell>
          <cell r="B2461" t="str">
            <v>Sample Rejected</v>
          </cell>
          <cell r="C2461">
            <v>42728.734464780093</v>
          </cell>
        </row>
        <row r="2462">
          <cell r="A2462">
            <v>3035179314</v>
          </cell>
          <cell r="B2462" t="str">
            <v>Sample Rejected</v>
          </cell>
          <cell r="C2462">
            <v>42728.734464780093</v>
          </cell>
        </row>
        <row r="2463">
          <cell r="A2463">
            <v>3035170294</v>
          </cell>
          <cell r="B2463" t="str">
            <v>Sample Rejected</v>
          </cell>
          <cell r="C2463">
            <v>42728.734464780093</v>
          </cell>
        </row>
        <row r="2464">
          <cell r="A2464">
            <v>3035109584</v>
          </cell>
          <cell r="B2464" t="str">
            <v>Sample Rejected</v>
          </cell>
          <cell r="C2464">
            <v>42728.734464780093</v>
          </cell>
        </row>
        <row r="2465">
          <cell r="A2465">
            <v>3035112673</v>
          </cell>
          <cell r="B2465" t="str">
            <v>Sample Rejected</v>
          </cell>
          <cell r="C2465">
            <v>42728.734464780093</v>
          </cell>
        </row>
        <row r="2466">
          <cell r="A2466">
            <v>3035173450</v>
          </cell>
          <cell r="B2466" t="str">
            <v>Sample Rejected</v>
          </cell>
          <cell r="C2466">
            <v>42728.734464780093</v>
          </cell>
        </row>
        <row r="2467">
          <cell r="A2467">
            <v>3035166418</v>
          </cell>
          <cell r="B2467" t="str">
            <v>Sample Rejected</v>
          </cell>
          <cell r="C2467">
            <v>42728.734464780093</v>
          </cell>
        </row>
        <row r="2468">
          <cell r="A2468">
            <v>3035176568</v>
          </cell>
          <cell r="B2468" t="str">
            <v>Sample Rejected</v>
          </cell>
          <cell r="C2468">
            <v>42728.734464780093</v>
          </cell>
        </row>
        <row r="2469">
          <cell r="A2469">
            <v>3035170345</v>
          </cell>
          <cell r="B2469" t="str">
            <v>Sample Rejected</v>
          </cell>
          <cell r="C2469">
            <v>42728.734464780093</v>
          </cell>
        </row>
        <row r="2470">
          <cell r="A2470">
            <v>3035111167</v>
          </cell>
          <cell r="B2470" t="str">
            <v>Sample Rejected</v>
          </cell>
          <cell r="C2470">
            <v>42728.734464780093</v>
          </cell>
        </row>
        <row r="2471">
          <cell r="A2471">
            <v>3035171939</v>
          </cell>
          <cell r="B2471" t="str">
            <v>Sample Rejected</v>
          </cell>
          <cell r="C2471">
            <v>42728.734464780093</v>
          </cell>
        </row>
        <row r="2472">
          <cell r="A2472">
            <v>3035145324</v>
          </cell>
          <cell r="B2472" t="str">
            <v>Sample Rejected</v>
          </cell>
          <cell r="C2472">
            <v>42728.734464780093</v>
          </cell>
        </row>
        <row r="2473">
          <cell r="A2473">
            <v>3035166588</v>
          </cell>
          <cell r="B2473" t="str">
            <v>Sample Rejected</v>
          </cell>
          <cell r="C2473">
            <v>42728.734464780093</v>
          </cell>
        </row>
        <row r="2474">
          <cell r="A2474">
            <v>3035174486</v>
          </cell>
          <cell r="B2474" t="str">
            <v>Sample Rejected</v>
          </cell>
          <cell r="C2474">
            <v>42728.734464780093</v>
          </cell>
        </row>
        <row r="2475">
          <cell r="A2475">
            <v>3035018689</v>
          </cell>
          <cell r="B2475" t="str">
            <v>Sample Rejected</v>
          </cell>
          <cell r="C2475">
            <v>42728.734464780093</v>
          </cell>
        </row>
        <row r="2476">
          <cell r="A2476">
            <v>3035165132</v>
          </cell>
          <cell r="B2476" t="str">
            <v>Sample Rejected</v>
          </cell>
          <cell r="C2476">
            <v>42728.734464780093</v>
          </cell>
        </row>
        <row r="2477">
          <cell r="A2477">
            <v>3035168962</v>
          </cell>
          <cell r="B2477" t="str">
            <v>Sample Rejected</v>
          </cell>
          <cell r="C2477">
            <v>42728.734464780093</v>
          </cell>
        </row>
        <row r="2478">
          <cell r="A2478">
            <v>3035135802</v>
          </cell>
          <cell r="B2478" t="str">
            <v>Sample Rejected</v>
          </cell>
          <cell r="C2478">
            <v>42727.734570601853</v>
          </cell>
        </row>
        <row r="2479">
          <cell r="A2479">
            <v>3035146842</v>
          </cell>
          <cell r="B2479" t="str">
            <v>Sample Rejected</v>
          </cell>
          <cell r="C2479">
            <v>42727.734570601853</v>
          </cell>
        </row>
        <row r="2480">
          <cell r="A2480">
            <v>3035139824</v>
          </cell>
          <cell r="B2480" t="str">
            <v>Sample Rejected</v>
          </cell>
          <cell r="C2480">
            <v>42727.734570601853</v>
          </cell>
        </row>
        <row r="2481">
          <cell r="A2481">
            <v>3035141885</v>
          </cell>
          <cell r="B2481" t="str">
            <v>Sample Rejected</v>
          </cell>
          <cell r="C2481">
            <v>42727.734570601853</v>
          </cell>
        </row>
        <row r="2482">
          <cell r="A2482">
            <v>3035135419</v>
          </cell>
          <cell r="B2482" t="str">
            <v>Sample Rejected</v>
          </cell>
          <cell r="C2482">
            <v>42727.734570601853</v>
          </cell>
        </row>
        <row r="2483">
          <cell r="A2483">
            <v>3035133220</v>
          </cell>
          <cell r="B2483" t="str">
            <v>Sample Rejected</v>
          </cell>
          <cell r="C2483">
            <v>42727.734570601853</v>
          </cell>
        </row>
        <row r="2484">
          <cell r="A2484">
            <v>3035133392</v>
          </cell>
          <cell r="B2484" t="str">
            <v>Sample Rejected</v>
          </cell>
          <cell r="C2484">
            <v>42727.734570601853</v>
          </cell>
        </row>
        <row r="2485">
          <cell r="A2485">
            <v>3035143269</v>
          </cell>
          <cell r="B2485" t="str">
            <v>Sample Rejected</v>
          </cell>
          <cell r="C2485">
            <v>42727.734570601853</v>
          </cell>
        </row>
        <row r="2486">
          <cell r="A2486">
            <v>3035102605</v>
          </cell>
          <cell r="B2486" t="str">
            <v>Sample Rejected</v>
          </cell>
          <cell r="C2486">
            <v>42727.734570601853</v>
          </cell>
        </row>
        <row r="2487">
          <cell r="A2487">
            <v>3035134628</v>
          </cell>
          <cell r="B2487" t="str">
            <v>Sample Rejected</v>
          </cell>
          <cell r="C2487">
            <v>42727.734570601853</v>
          </cell>
        </row>
        <row r="2488">
          <cell r="A2488">
            <v>3035064449</v>
          </cell>
          <cell r="B2488" t="str">
            <v>Sample Rejected</v>
          </cell>
          <cell r="C2488">
            <v>42727.734570601853</v>
          </cell>
        </row>
        <row r="2489">
          <cell r="A2489">
            <v>3035139205</v>
          </cell>
          <cell r="B2489" t="str">
            <v>Sample Rejected</v>
          </cell>
          <cell r="C2489">
            <v>42727.734570601853</v>
          </cell>
        </row>
        <row r="2490">
          <cell r="A2490">
            <v>3034902307</v>
          </cell>
          <cell r="B2490" t="str">
            <v>Sample Rejected</v>
          </cell>
          <cell r="C2490">
            <v>42727.734588043983</v>
          </cell>
        </row>
        <row r="2491">
          <cell r="A2491">
            <v>3034880324</v>
          </cell>
          <cell r="B2491" t="str">
            <v>Sample Rejected</v>
          </cell>
          <cell r="C2491">
            <v>42727.734570601853</v>
          </cell>
        </row>
        <row r="2492">
          <cell r="A2492">
            <v>3035147198</v>
          </cell>
          <cell r="B2492" t="str">
            <v>Sample Rejected</v>
          </cell>
          <cell r="C2492">
            <v>42727.734570601853</v>
          </cell>
        </row>
        <row r="2493">
          <cell r="A2493">
            <v>3035141704</v>
          </cell>
          <cell r="B2493" t="str">
            <v>Sample Rejected</v>
          </cell>
          <cell r="C2493">
            <v>42728.734464780093</v>
          </cell>
        </row>
        <row r="2494">
          <cell r="A2494">
            <v>3035176733</v>
          </cell>
          <cell r="B2494" t="str">
            <v>Sample Rejected</v>
          </cell>
          <cell r="C2494">
            <v>42728.734464780093</v>
          </cell>
        </row>
        <row r="2495">
          <cell r="A2495">
            <v>3035169700</v>
          </cell>
          <cell r="B2495" t="str">
            <v>Sample Rejected</v>
          </cell>
          <cell r="C2495">
            <v>42728.734464780093</v>
          </cell>
        </row>
        <row r="2496">
          <cell r="A2496">
            <v>3035133535</v>
          </cell>
          <cell r="B2496" t="str">
            <v>Sample Rejected</v>
          </cell>
          <cell r="C2496">
            <v>42727.734588043983</v>
          </cell>
        </row>
        <row r="2497">
          <cell r="A2497">
            <v>3035146236</v>
          </cell>
          <cell r="B2497" t="str">
            <v>Sample Rejected</v>
          </cell>
          <cell r="C2497">
            <v>42727.734570601853</v>
          </cell>
        </row>
        <row r="2498">
          <cell r="A2498">
            <v>3035142795</v>
          </cell>
          <cell r="B2498" t="str">
            <v>Sample Rejected</v>
          </cell>
          <cell r="C2498">
            <v>42727.734570601853</v>
          </cell>
        </row>
        <row r="2499">
          <cell r="A2499">
            <v>3035137822</v>
          </cell>
          <cell r="B2499" t="str">
            <v>Sample Rejected</v>
          </cell>
          <cell r="C2499">
            <v>42727.734570601853</v>
          </cell>
        </row>
        <row r="2500">
          <cell r="A2500">
            <v>3035086596</v>
          </cell>
          <cell r="B2500" t="str">
            <v>Sample Rejected</v>
          </cell>
          <cell r="C2500">
            <v>42727.734570601853</v>
          </cell>
        </row>
        <row r="2501">
          <cell r="A2501">
            <v>3035134283</v>
          </cell>
          <cell r="B2501" t="str">
            <v>Sample Rejected</v>
          </cell>
          <cell r="C2501">
            <v>42727.734570601853</v>
          </cell>
        </row>
        <row r="2502">
          <cell r="A2502">
            <v>3035116028</v>
          </cell>
          <cell r="B2502" t="str">
            <v>Sample Rejected</v>
          </cell>
          <cell r="C2502">
            <v>42727.734570601853</v>
          </cell>
        </row>
        <row r="2503">
          <cell r="A2503">
            <v>3035148922</v>
          </cell>
          <cell r="B2503" t="str">
            <v>Sample Rejected</v>
          </cell>
          <cell r="C2503">
            <v>42727.734570601853</v>
          </cell>
        </row>
        <row r="2504">
          <cell r="A2504">
            <v>3035133518</v>
          </cell>
          <cell r="B2504" t="str">
            <v>Sample Rejected</v>
          </cell>
          <cell r="C2504">
            <v>42727.734570601853</v>
          </cell>
        </row>
        <row r="2505">
          <cell r="A2505">
            <v>3035134375</v>
          </cell>
          <cell r="B2505" t="str">
            <v>Sample Rejected</v>
          </cell>
          <cell r="C2505">
            <v>42727.734570601853</v>
          </cell>
        </row>
        <row r="2506">
          <cell r="A2506">
            <v>3035142254</v>
          </cell>
          <cell r="B2506" t="str">
            <v>Sample Rejected</v>
          </cell>
          <cell r="C2506">
            <v>42727.734570601853</v>
          </cell>
        </row>
        <row r="2507">
          <cell r="A2507">
            <v>3034768407</v>
          </cell>
          <cell r="B2507" t="str">
            <v>Sample Rejected</v>
          </cell>
          <cell r="C2507">
            <v>42727.734570601853</v>
          </cell>
        </row>
        <row r="2508">
          <cell r="A2508">
            <v>3035062376</v>
          </cell>
          <cell r="B2508" t="str">
            <v>Sample Rejected</v>
          </cell>
          <cell r="C2508">
            <v>42727.734570601853</v>
          </cell>
        </row>
        <row r="2509">
          <cell r="A2509">
            <v>3035138341</v>
          </cell>
          <cell r="B2509" t="str">
            <v>Sample Rejected</v>
          </cell>
          <cell r="C2509">
            <v>42727.734570601853</v>
          </cell>
        </row>
        <row r="2510">
          <cell r="A2510">
            <v>3035140701</v>
          </cell>
          <cell r="B2510" t="str">
            <v>Sample Rejected</v>
          </cell>
          <cell r="C2510">
            <v>42727.734570601853</v>
          </cell>
        </row>
        <row r="2511">
          <cell r="A2511">
            <v>3035143065</v>
          </cell>
          <cell r="B2511" t="str">
            <v>Sample Rejected</v>
          </cell>
          <cell r="C2511">
            <v>42727.734570601853</v>
          </cell>
        </row>
        <row r="2512">
          <cell r="A2512">
            <v>3035135242</v>
          </cell>
          <cell r="B2512" t="str">
            <v>Sample Rejected</v>
          </cell>
          <cell r="C2512">
            <v>42727.734570601853</v>
          </cell>
        </row>
        <row r="2513">
          <cell r="A2513">
            <v>3035149382</v>
          </cell>
          <cell r="B2513" t="str">
            <v>Sample Rejected</v>
          </cell>
          <cell r="C2513">
            <v>42727.734570601853</v>
          </cell>
        </row>
        <row r="2514">
          <cell r="A2514">
            <v>3034812841</v>
          </cell>
          <cell r="B2514" t="str">
            <v>Sample Rejected</v>
          </cell>
          <cell r="C2514">
            <v>42727.734570601853</v>
          </cell>
        </row>
        <row r="2515">
          <cell r="A2515">
            <v>3035139351</v>
          </cell>
          <cell r="B2515" t="str">
            <v>Sample Rejected</v>
          </cell>
          <cell r="C2515">
            <v>42727.734570601853</v>
          </cell>
        </row>
        <row r="2516">
          <cell r="A2516">
            <v>3035131320</v>
          </cell>
          <cell r="B2516" t="str">
            <v>Sample Rejected</v>
          </cell>
          <cell r="C2516">
            <v>42727.734570601853</v>
          </cell>
        </row>
        <row r="2517">
          <cell r="A2517">
            <v>3035101689</v>
          </cell>
          <cell r="B2517" t="str">
            <v>Sample Rejected</v>
          </cell>
          <cell r="C2517">
            <v>42727.734570601853</v>
          </cell>
        </row>
        <row r="2518">
          <cell r="A2518">
            <v>3034831147</v>
          </cell>
          <cell r="B2518" t="str">
            <v>Sample Rejected</v>
          </cell>
          <cell r="C2518">
            <v>42727.734570601853</v>
          </cell>
        </row>
        <row r="2519">
          <cell r="A2519">
            <v>3035133144</v>
          </cell>
          <cell r="B2519" t="str">
            <v>Sample Rejected</v>
          </cell>
          <cell r="C2519">
            <v>42727.734570601853</v>
          </cell>
        </row>
        <row r="2520">
          <cell r="A2520">
            <v>3035083304</v>
          </cell>
          <cell r="B2520" t="str">
            <v>Sample Rejected</v>
          </cell>
          <cell r="C2520">
            <v>42727.734570601853</v>
          </cell>
        </row>
        <row r="2521">
          <cell r="A2521">
            <v>3035145139</v>
          </cell>
          <cell r="B2521" t="str">
            <v>Sample Rejected</v>
          </cell>
          <cell r="C2521">
            <v>42727.734570601853</v>
          </cell>
        </row>
        <row r="2522">
          <cell r="A2522">
            <v>3035135686</v>
          </cell>
          <cell r="B2522" t="str">
            <v>Sample Rejected</v>
          </cell>
          <cell r="C2522">
            <v>42727.734570601853</v>
          </cell>
        </row>
        <row r="2523">
          <cell r="A2523">
            <v>3035131370</v>
          </cell>
          <cell r="B2523" t="str">
            <v>Sample Rejected</v>
          </cell>
          <cell r="C2523">
            <v>42727.734570601853</v>
          </cell>
        </row>
        <row r="2524">
          <cell r="A2524">
            <v>3035077900</v>
          </cell>
          <cell r="B2524" t="str">
            <v>Sample Rejected</v>
          </cell>
          <cell r="C2524">
            <v>42727.734570601853</v>
          </cell>
        </row>
        <row r="2525">
          <cell r="A2525">
            <v>3035134038</v>
          </cell>
          <cell r="B2525" t="str">
            <v>Sample Rejected</v>
          </cell>
          <cell r="C2525">
            <v>42727.734570601853</v>
          </cell>
        </row>
        <row r="2526">
          <cell r="A2526">
            <v>3035141061</v>
          </cell>
          <cell r="B2526" t="str">
            <v>Sample Rejected</v>
          </cell>
          <cell r="C2526">
            <v>42727.734570601853</v>
          </cell>
        </row>
        <row r="2527">
          <cell r="A2527">
            <v>3035135656</v>
          </cell>
          <cell r="B2527" t="str">
            <v>Sample Rejected</v>
          </cell>
          <cell r="C2527">
            <v>42727.734570601853</v>
          </cell>
        </row>
        <row r="2528">
          <cell r="A2528">
            <v>3035133934</v>
          </cell>
          <cell r="B2528" t="str">
            <v>Sample Rejected</v>
          </cell>
          <cell r="C2528">
            <v>42727.734570601853</v>
          </cell>
        </row>
        <row r="2529">
          <cell r="A2529">
            <v>3035118880</v>
          </cell>
          <cell r="B2529" t="str">
            <v>Sample Rejected</v>
          </cell>
          <cell r="C2529">
            <v>42727.734570601853</v>
          </cell>
        </row>
        <row r="2530">
          <cell r="A2530">
            <v>3035112555</v>
          </cell>
          <cell r="B2530" t="str">
            <v>Sample Rejected</v>
          </cell>
          <cell r="C2530">
            <v>42727.734570601853</v>
          </cell>
        </row>
        <row r="2531">
          <cell r="A2531">
            <v>3035133834</v>
          </cell>
          <cell r="B2531" t="str">
            <v>Sample Rejected</v>
          </cell>
          <cell r="C2531">
            <v>42727.734570601853</v>
          </cell>
        </row>
        <row r="2532">
          <cell r="A2532">
            <v>3035131154</v>
          </cell>
          <cell r="B2532" t="str">
            <v>Sample Rejected</v>
          </cell>
          <cell r="C2532">
            <v>42727.734570601853</v>
          </cell>
        </row>
        <row r="2533">
          <cell r="A2533">
            <v>3035138167</v>
          </cell>
          <cell r="B2533" t="str">
            <v>Sample Rejected</v>
          </cell>
          <cell r="C2533">
            <v>42727.734570601853</v>
          </cell>
        </row>
        <row r="2534">
          <cell r="A2534">
            <v>3035134515</v>
          </cell>
          <cell r="B2534" t="str">
            <v>Sample Rejected</v>
          </cell>
          <cell r="C2534">
            <v>42727.734570601853</v>
          </cell>
        </row>
        <row r="2535">
          <cell r="A2535">
            <v>3035143291</v>
          </cell>
          <cell r="B2535" t="str">
            <v>Sample Rejected</v>
          </cell>
          <cell r="C2535">
            <v>42727.734570601853</v>
          </cell>
        </row>
        <row r="2536">
          <cell r="A2536">
            <v>3035143014</v>
          </cell>
          <cell r="B2536" t="str">
            <v>Sample Rejected</v>
          </cell>
          <cell r="C2536">
            <v>42727.734570601853</v>
          </cell>
        </row>
        <row r="2537">
          <cell r="A2537">
            <v>3035142903</v>
          </cell>
          <cell r="B2537" t="str">
            <v>Sample Rejected</v>
          </cell>
          <cell r="C2537">
            <v>42727.734570601853</v>
          </cell>
        </row>
        <row r="2538">
          <cell r="A2538">
            <v>3035143960</v>
          </cell>
          <cell r="B2538" t="str">
            <v>Sample Rejected</v>
          </cell>
          <cell r="C2538">
            <v>42727.734570601853</v>
          </cell>
        </row>
        <row r="2539">
          <cell r="A2539">
            <v>3035135956</v>
          </cell>
          <cell r="B2539" t="str">
            <v>Sample Rejected</v>
          </cell>
          <cell r="C2539">
            <v>42727.734570601853</v>
          </cell>
        </row>
        <row r="2540">
          <cell r="A2540">
            <v>3035143597</v>
          </cell>
          <cell r="B2540" t="str">
            <v>Sample Rejected</v>
          </cell>
          <cell r="C2540">
            <v>42727.734570601853</v>
          </cell>
        </row>
        <row r="2541">
          <cell r="A2541">
            <v>3035134848</v>
          </cell>
          <cell r="B2541" t="str">
            <v>Sample Rejected</v>
          </cell>
          <cell r="C2541">
            <v>42727.734570601853</v>
          </cell>
        </row>
        <row r="2542">
          <cell r="A2542">
            <v>3035132440</v>
          </cell>
          <cell r="B2542" t="str">
            <v>Sample Rejected</v>
          </cell>
          <cell r="C2542">
            <v>42727.734570601853</v>
          </cell>
        </row>
        <row r="2543">
          <cell r="A2543">
            <v>3035011552</v>
          </cell>
          <cell r="B2543" t="str">
            <v>Sample Rejected</v>
          </cell>
          <cell r="C2543">
            <v>42727.734570601853</v>
          </cell>
        </row>
        <row r="2544">
          <cell r="A2544">
            <v>3035144909</v>
          </cell>
          <cell r="B2544" t="str">
            <v>Sample Rejected</v>
          </cell>
          <cell r="C2544">
            <v>42727.734570601853</v>
          </cell>
        </row>
        <row r="2545">
          <cell r="A2545">
            <v>3035138763</v>
          </cell>
          <cell r="B2545" t="str">
            <v>Sample Rejected</v>
          </cell>
          <cell r="C2545">
            <v>42727.734570601853</v>
          </cell>
        </row>
        <row r="2546">
          <cell r="A2546">
            <v>3035079194</v>
          </cell>
          <cell r="B2546" t="str">
            <v>Sample Rejected</v>
          </cell>
          <cell r="C2546">
            <v>42727.734570601853</v>
          </cell>
        </row>
        <row r="2547">
          <cell r="A2547">
            <v>3035140735</v>
          </cell>
          <cell r="B2547" t="str">
            <v>Sample Rejected</v>
          </cell>
          <cell r="C2547">
            <v>42727.734570601853</v>
          </cell>
        </row>
        <row r="2548">
          <cell r="A2548">
            <v>3035145417</v>
          </cell>
          <cell r="B2548" t="str">
            <v>Sample Rejected</v>
          </cell>
          <cell r="C2548">
            <v>42727.734570601853</v>
          </cell>
        </row>
        <row r="2549">
          <cell r="A2549">
            <v>3035144904</v>
          </cell>
          <cell r="B2549" t="str">
            <v>Sample Rejected</v>
          </cell>
          <cell r="C2549">
            <v>42727.734570601853</v>
          </cell>
        </row>
        <row r="2550">
          <cell r="A2550">
            <v>3035164694</v>
          </cell>
          <cell r="B2550" t="str">
            <v>Sample Rejected</v>
          </cell>
          <cell r="C2550">
            <v>42728.734464780093</v>
          </cell>
        </row>
        <row r="2551">
          <cell r="A2551">
            <v>3035165205</v>
          </cell>
          <cell r="B2551" t="str">
            <v>Sample Rejected</v>
          </cell>
          <cell r="C2551">
            <v>42728.734464780093</v>
          </cell>
        </row>
        <row r="2552">
          <cell r="A2552">
            <v>3035166296</v>
          </cell>
          <cell r="B2552" t="str">
            <v>Sample Rejected</v>
          </cell>
          <cell r="C2552">
            <v>42728.734464780093</v>
          </cell>
        </row>
        <row r="2553">
          <cell r="A2553">
            <v>3035169358</v>
          </cell>
          <cell r="B2553" t="str">
            <v>Sample Rejected</v>
          </cell>
          <cell r="C2553">
            <v>42728.734482604166</v>
          </cell>
        </row>
        <row r="2554">
          <cell r="A2554">
            <v>3035194118</v>
          </cell>
          <cell r="B2554" t="str">
            <v>Sample Rejected</v>
          </cell>
          <cell r="C2554">
            <v>42729.734399733796</v>
          </cell>
        </row>
        <row r="2555">
          <cell r="A2555">
            <v>3035164280</v>
          </cell>
          <cell r="B2555" t="str">
            <v>Sample Rejected</v>
          </cell>
          <cell r="C2555">
            <v>42728.734464780093</v>
          </cell>
        </row>
        <row r="2556">
          <cell r="A2556">
            <v>3035167263</v>
          </cell>
          <cell r="B2556" t="str">
            <v>Sample Rejected</v>
          </cell>
          <cell r="C2556">
            <v>42728.734464780093</v>
          </cell>
        </row>
        <row r="2557">
          <cell r="A2557">
            <v>3035075834</v>
          </cell>
          <cell r="B2557" t="str">
            <v>Sample Rejected</v>
          </cell>
          <cell r="C2557">
            <v>42728.734464780093</v>
          </cell>
        </row>
        <row r="2558">
          <cell r="A2558">
            <v>3035170140</v>
          </cell>
          <cell r="B2558" t="str">
            <v>Sample Rejected</v>
          </cell>
          <cell r="C2558">
            <v>42728.734464780093</v>
          </cell>
        </row>
        <row r="2559">
          <cell r="A2559">
            <v>3035181938</v>
          </cell>
          <cell r="B2559" t="str">
            <v>Sample Rejected</v>
          </cell>
          <cell r="C2559">
            <v>42729.734399733796</v>
          </cell>
        </row>
        <row r="2560">
          <cell r="A2560">
            <v>3035197416</v>
          </cell>
          <cell r="B2560" t="str">
            <v>Sample Rejected</v>
          </cell>
          <cell r="C2560">
            <v>42729.734399733796</v>
          </cell>
        </row>
        <row r="2561">
          <cell r="A2561">
            <v>3035197365</v>
          </cell>
          <cell r="B2561" t="str">
            <v>Sample Rejected</v>
          </cell>
          <cell r="C2561">
            <v>42729.734399733796</v>
          </cell>
        </row>
        <row r="2562">
          <cell r="A2562">
            <v>3035172149</v>
          </cell>
          <cell r="B2562" t="str">
            <v>Sample Rejected</v>
          </cell>
          <cell r="C2562">
            <v>42729.734399733796</v>
          </cell>
        </row>
        <row r="2563">
          <cell r="A2563">
            <v>3035192608</v>
          </cell>
          <cell r="B2563" t="str">
            <v>Sample Rejected</v>
          </cell>
          <cell r="C2563">
            <v>42729.734399733796</v>
          </cell>
        </row>
        <row r="2564">
          <cell r="A2564">
            <v>3035193371</v>
          </cell>
          <cell r="B2564" t="str">
            <v>Sample Rejected</v>
          </cell>
          <cell r="C2564">
            <v>42729.734399733796</v>
          </cell>
        </row>
        <row r="2565">
          <cell r="A2565">
            <v>3035198043</v>
          </cell>
          <cell r="B2565" t="str">
            <v>Sample Rejected</v>
          </cell>
          <cell r="C2565">
            <v>42729.734399733796</v>
          </cell>
        </row>
        <row r="2566">
          <cell r="A2566">
            <v>3035167429</v>
          </cell>
          <cell r="B2566" t="str">
            <v>Sample Rejected</v>
          </cell>
          <cell r="C2566">
            <v>42729.734399733796</v>
          </cell>
        </row>
        <row r="2567">
          <cell r="A2567">
            <v>3035197497</v>
          </cell>
          <cell r="B2567" t="str">
            <v>Sample Rejected</v>
          </cell>
          <cell r="C2567">
            <v>42729.734399733796</v>
          </cell>
        </row>
        <row r="2568">
          <cell r="A2568">
            <v>3035168133</v>
          </cell>
          <cell r="B2568" t="str">
            <v>Sample Rejected</v>
          </cell>
          <cell r="C2568">
            <v>42728.734464780093</v>
          </cell>
        </row>
        <row r="2569">
          <cell r="A2569">
            <v>3035165055</v>
          </cell>
          <cell r="B2569" t="str">
            <v>Sample Rejected</v>
          </cell>
          <cell r="C2569">
            <v>42728.734464780093</v>
          </cell>
        </row>
        <row r="2570">
          <cell r="A2570">
            <v>3035101104</v>
          </cell>
          <cell r="B2570" t="str">
            <v>Sample Rejected</v>
          </cell>
          <cell r="C2570">
            <v>42728.734464780093</v>
          </cell>
        </row>
        <row r="2571">
          <cell r="A2571">
            <v>3035165782</v>
          </cell>
          <cell r="B2571" t="str">
            <v>Sample Rejected</v>
          </cell>
          <cell r="C2571">
            <v>42728.734464780093</v>
          </cell>
        </row>
        <row r="2572">
          <cell r="A2572">
            <v>3035178069</v>
          </cell>
          <cell r="B2572" t="str">
            <v>Sample Rejected</v>
          </cell>
          <cell r="C2572">
            <v>42728.734464780093</v>
          </cell>
        </row>
        <row r="2573">
          <cell r="A2573">
            <v>3035108244</v>
          </cell>
          <cell r="B2573" t="str">
            <v>Sample Rejected</v>
          </cell>
          <cell r="C2573">
            <v>42728.734464780093</v>
          </cell>
        </row>
        <row r="2574">
          <cell r="A2574">
            <v>3035164669</v>
          </cell>
          <cell r="B2574" t="str">
            <v>Sample Rejected</v>
          </cell>
          <cell r="C2574">
            <v>42728.734464780093</v>
          </cell>
        </row>
        <row r="2575">
          <cell r="A2575">
            <v>3035169044</v>
          </cell>
          <cell r="B2575" t="str">
            <v>Sample Rejected</v>
          </cell>
          <cell r="C2575">
            <v>42728.734464780093</v>
          </cell>
        </row>
        <row r="2576">
          <cell r="A2576">
            <v>3035174020</v>
          </cell>
          <cell r="B2576" t="str">
            <v>Sample Rejected</v>
          </cell>
          <cell r="C2576">
            <v>42728.734464780093</v>
          </cell>
        </row>
        <row r="2577">
          <cell r="A2577">
            <v>3035113510</v>
          </cell>
          <cell r="B2577" t="str">
            <v>Sample Rejected</v>
          </cell>
          <cell r="C2577">
            <v>42728.734464780093</v>
          </cell>
        </row>
        <row r="2578">
          <cell r="A2578">
            <v>3035165593</v>
          </cell>
          <cell r="B2578" t="str">
            <v>Sample Rejected</v>
          </cell>
          <cell r="C2578">
            <v>42728.734464780093</v>
          </cell>
        </row>
        <row r="2579">
          <cell r="A2579">
            <v>3035165089</v>
          </cell>
          <cell r="B2579" t="str">
            <v>Sample Rejected</v>
          </cell>
          <cell r="C2579">
            <v>42728.734464780093</v>
          </cell>
        </row>
        <row r="2580">
          <cell r="A2580">
            <v>3035165071</v>
          </cell>
          <cell r="B2580" t="str">
            <v>Sample Rejected</v>
          </cell>
          <cell r="C2580">
            <v>42728.734464780093</v>
          </cell>
        </row>
        <row r="2581">
          <cell r="A2581">
            <v>3035170342</v>
          </cell>
          <cell r="B2581" t="str">
            <v>Sample Rejected</v>
          </cell>
          <cell r="C2581">
            <v>42728.734464780093</v>
          </cell>
        </row>
        <row r="2582">
          <cell r="A2582">
            <v>3035166778</v>
          </cell>
          <cell r="B2582" t="str">
            <v>Sample Rejected</v>
          </cell>
          <cell r="C2582">
            <v>42728.734464780093</v>
          </cell>
        </row>
        <row r="2583">
          <cell r="A2583">
            <v>3035178760</v>
          </cell>
          <cell r="B2583" t="str">
            <v>Sample Rejected</v>
          </cell>
          <cell r="C2583">
            <v>42728.734464780093</v>
          </cell>
        </row>
        <row r="2584">
          <cell r="A2584">
            <v>3035170068</v>
          </cell>
          <cell r="B2584" t="str">
            <v>Sample Rejected</v>
          </cell>
          <cell r="C2584">
            <v>42728.734464780093</v>
          </cell>
        </row>
        <row r="2585">
          <cell r="A2585">
            <v>3035176423</v>
          </cell>
          <cell r="B2585" t="str">
            <v>Sample Rejected</v>
          </cell>
          <cell r="C2585">
            <v>42728.734464780093</v>
          </cell>
        </row>
        <row r="2586">
          <cell r="A2586">
            <v>3035172266</v>
          </cell>
          <cell r="B2586" t="str">
            <v>Sample Rejected</v>
          </cell>
          <cell r="C2586">
            <v>42728.734464780093</v>
          </cell>
        </row>
        <row r="2587">
          <cell r="A2587">
            <v>3035172875</v>
          </cell>
          <cell r="B2587" t="str">
            <v>Sample Rejected</v>
          </cell>
          <cell r="C2587">
            <v>42728.734464780093</v>
          </cell>
        </row>
        <row r="2588">
          <cell r="A2588">
            <v>3035166127</v>
          </cell>
          <cell r="B2588" t="str">
            <v>Sample Rejected</v>
          </cell>
          <cell r="C2588">
            <v>42728.734464780093</v>
          </cell>
        </row>
        <row r="2589">
          <cell r="A2589">
            <v>3035165930</v>
          </cell>
          <cell r="B2589" t="str">
            <v>Sample Rejected</v>
          </cell>
          <cell r="C2589">
            <v>42728.734464780093</v>
          </cell>
        </row>
        <row r="2590">
          <cell r="A2590">
            <v>3035178911</v>
          </cell>
          <cell r="B2590" t="str">
            <v>Sample Rejected</v>
          </cell>
          <cell r="C2590">
            <v>42728.734464780093</v>
          </cell>
        </row>
        <row r="2591">
          <cell r="A2591">
            <v>3035168945</v>
          </cell>
          <cell r="B2591" t="str">
            <v>Sample Rejected</v>
          </cell>
          <cell r="C2591">
            <v>42728.734464780093</v>
          </cell>
        </row>
        <row r="2592">
          <cell r="A2592">
            <v>3035170691</v>
          </cell>
          <cell r="B2592" t="str">
            <v>Sample Rejected</v>
          </cell>
          <cell r="C2592">
            <v>42728.734464780093</v>
          </cell>
        </row>
        <row r="2593">
          <cell r="A2593">
            <v>3035166978</v>
          </cell>
          <cell r="B2593" t="str">
            <v>Sample Rejected</v>
          </cell>
          <cell r="C2593">
            <v>42728.734464780093</v>
          </cell>
        </row>
        <row r="2594">
          <cell r="A2594">
            <v>3034982025</v>
          </cell>
          <cell r="B2594" t="str">
            <v>Sample Rejected</v>
          </cell>
          <cell r="C2594">
            <v>42728.734464780093</v>
          </cell>
        </row>
        <row r="2595">
          <cell r="A2595">
            <v>3035168465</v>
          </cell>
          <cell r="B2595" t="str">
            <v>Sample Rejected</v>
          </cell>
          <cell r="C2595">
            <v>42728.734464780093</v>
          </cell>
        </row>
        <row r="2596">
          <cell r="A2596">
            <v>3035144168</v>
          </cell>
          <cell r="B2596" t="str">
            <v>Sample Rejected</v>
          </cell>
          <cell r="C2596">
            <v>42728.734464780093</v>
          </cell>
        </row>
        <row r="2597">
          <cell r="A2597">
            <v>3035143883</v>
          </cell>
          <cell r="B2597" t="str">
            <v>Sample Rejected</v>
          </cell>
          <cell r="C2597">
            <v>42728.734464780093</v>
          </cell>
        </row>
        <row r="2598">
          <cell r="A2598">
            <v>3035141682</v>
          </cell>
          <cell r="B2598" t="str">
            <v>Sample Rejected</v>
          </cell>
          <cell r="C2598">
            <v>42728.734464780093</v>
          </cell>
        </row>
        <row r="2599">
          <cell r="A2599">
            <v>3035167839</v>
          </cell>
          <cell r="B2599" t="str">
            <v>Sample Rejected</v>
          </cell>
          <cell r="C2599">
            <v>42728.734464780093</v>
          </cell>
        </row>
        <row r="2600">
          <cell r="A2600">
            <v>3035118829</v>
          </cell>
          <cell r="B2600" t="str">
            <v>Sample Rejected</v>
          </cell>
          <cell r="C2600">
            <v>42728.734464780093</v>
          </cell>
        </row>
        <row r="2601">
          <cell r="A2601">
            <v>3035141857</v>
          </cell>
          <cell r="B2601" t="str">
            <v>Sample Rejected</v>
          </cell>
          <cell r="C2601">
            <v>42728.734464780093</v>
          </cell>
        </row>
        <row r="2602">
          <cell r="A2602">
            <v>3035170154</v>
          </cell>
          <cell r="B2602" t="str">
            <v>Sample Rejected</v>
          </cell>
          <cell r="C2602">
            <v>42728.734464780093</v>
          </cell>
        </row>
        <row r="2603">
          <cell r="A2603">
            <v>3035164893</v>
          </cell>
          <cell r="B2603" t="str">
            <v>Sample Rejected</v>
          </cell>
          <cell r="C2603">
            <v>42728.734464780093</v>
          </cell>
        </row>
        <row r="2604">
          <cell r="A2604">
            <v>3035176148</v>
          </cell>
          <cell r="B2604" t="str">
            <v>Sample Rejected</v>
          </cell>
          <cell r="C2604">
            <v>42728.734464780093</v>
          </cell>
        </row>
        <row r="2605">
          <cell r="A2605">
            <v>3035167926</v>
          </cell>
          <cell r="B2605" t="str">
            <v>Sample Rejected</v>
          </cell>
          <cell r="C2605">
            <v>42728.734464780093</v>
          </cell>
        </row>
        <row r="2606">
          <cell r="A2606">
            <v>3035170876</v>
          </cell>
          <cell r="B2606" t="str">
            <v>Sample Rejected</v>
          </cell>
          <cell r="C2606">
            <v>42728.734464780093</v>
          </cell>
        </row>
        <row r="2607">
          <cell r="A2607">
            <v>3035174744</v>
          </cell>
          <cell r="B2607" t="str">
            <v>Sample Rejected</v>
          </cell>
          <cell r="C2607">
            <v>42728.734464780093</v>
          </cell>
        </row>
        <row r="2608">
          <cell r="A2608">
            <v>3035165798</v>
          </cell>
          <cell r="B2608" t="str">
            <v>Sample Rejected</v>
          </cell>
          <cell r="C2608">
            <v>42728.734464780093</v>
          </cell>
        </row>
        <row r="2609">
          <cell r="A2609">
            <v>3035163461</v>
          </cell>
          <cell r="B2609" t="str">
            <v>Sample Rejected</v>
          </cell>
          <cell r="C2609">
            <v>42728.734464780093</v>
          </cell>
        </row>
        <row r="2610">
          <cell r="A2610">
            <v>3035168558</v>
          </cell>
          <cell r="B2610" t="str">
            <v>Sample Rejected</v>
          </cell>
          <cell r="C2610">
            <v>42728.734464780093</v>
          </cell>
        </row>
        <row r="2611">
          <cell r="A2611">
            <v>3035167182</v>
          </cell>
          <cell r="B2611" t="str">
            <v>Sample Rejected</v>
          </cell>
          <cell r="C2611">
            <v>42728.734464780093</v>
          </cell>
        </row>
        <row r="2612">
          <cell r="A2612">
            <v>3035173538</v>
          </cell>
          <cell r="B2612" t="str">
            <v>Sample Rejected</v>
          </cell>
          <cell r="C2612">
            <v>42728.734464780093</v>
          </cell>
        </row>
        <row r="2613">
          <cell r="A2613">
            <v>3035166071</v>
          </cell>
          <cell r="B2613" t="str">
            <v>Sample Rejected</v>
          </cell>
          <cell r="C2613">
            <v>42728.734464780093</v>
          </cell>
        </row>
        <row r="2614">
          <cell r="A2614">
            <v>3035175120</v>
          </cell>
          <cell r="B2614" t="str">
            <v>Sample Rejected</v>
          </cell>
          <cell r="C2614">
            <v>42728.734464780093</v>
          </cell>
        </row>
        <row r="2615">
          <cell r="A2615">
            <v>3035171219</v>
          </cell>
          <cell r="B2615" t="str">
            <v>Sample Rejected</v>
          </cell>
          <cell r="C2615">
            <v>42728.734464780093</v>
          </cell>
        </row>
        <row r="2616">
          <cell r="A2616">
            <v>3035075282</v>
          </cell>
          <cell r="B2616" t="str">
            <v>Sample Rejected</v>
          </cell>
          <cell r="C2616">
            <v>42728.734464780093</v>
          </cell>
        </row>
        <row r="2617">
          <cell r="A2617">
            <v>3035170000</v>
          </cell>
          <cell r="B2617" t="str">
            <v>Sample Rejected</v>
          </cell>
          <cell r="C2617">
            <v>42728.734464780093</v>
          </cell>
        </row>
        <row r="2618">
          <cell r="A2618">
            <v>3035143241</v>
          </cell>
          <cell r="B2618" t="str">
            <v>Sample Rejected</v>
          </cell>
          <cell r="C2618">
            <v>42728.734464780093</v>
          </cell>
        </row>
        <row r="2619">
          <cell r="A2619">
            <v>3035176720</v>
          </cell>
          <cell r="B2619" t="str">
            <v>Sample Rejected</v>
          </cell>
          <cell r="C2619">
            <v>42728.734464780093</v>
          </cell>
        </row>
        <row r="2620">
          <cell r="A2620">
            <v>3035175296</v>
          </cell>
          <cell r="B2620" t="str">
            <v>Sample Rejected</v>
          </cell>
          <cell r="C2620">
            <v>42728.734464780093</v>
          </cell>
        </row>
        <row r="2621">
          <cell r="A2621">
            <v>3035169002</v>
          </cell>
          <cell r="B2621" t="str">
            <v>Sample Rejected</v>
          </cell>
          <cell r="C2621">
            <v>42728.734464780093</v>
          </cell>
        </row>
        <row r="2622">
          <cell r="A2622">
            <v>3035144419</v>
          </cell>
          <cell r="B2622" t="str">
            <v>Sample Rejected</v>
          </cell>
          <cell r="C2622">
            <v>42728.734464780093</v>
          </cell>
        </row>
        <row r="2623">
          <cell r="A2623">
            <v>3035166589</v>
          </cell>
          <cell r="B2623" t="str">
            <v>Sample Rejected</v>
          </cell>
          <cell r="C2623">
            <v>42728.734464780093</v>
          </cell>
        </row>
        <row r="2624">
          <cell r="A2624">
            <v>3035099619</v>
          </cell>
          <cell r="B2624" t="str">
            <v>Sample Rejected</v>
          </cell>
          <cell r="C2624">
            <v>42728.734464780093</v>
          </cell>
        </row>
        <row r="2625">
          <cell r="A2625">
            <v>3035037875</v>
          </cell>
          <cell r="B2625" t="str">
            <v>Sample Rejected</v>
          </cell>
          <cell r="C2625">
            <v>42728.734464780093</v>
          </cell>
        </row>
        <row r="2626">
          <cell r="A2626">
            <v>3035164581</v>
          </cell>
          <cell r="B2626" t="str">
            <v>Sample Rejected</v>
          </cell>
          <cell r="C2626">
            <v>42728.734464780093</v>
          </cell>
        </row>
        <row r="2627">
          <cell r="A2627">
            <v>3035166098</v>
          </cell>
          <cell r="B2627" t="str">
            <v>Sample Rejected</v>
          </cell>
          <cell r="C2627">
            <v>42728.734464780093</v>
          </cell>
        </row>
        <row r="2628">
          <cell r="A2628">
            <v>3035165440</v>
          </cell>
          <cell r="B2628" t="str">
            <v>Sample Rejected</v>
          </cell>
          <cell r="C2628">
            <v>42728.734464780093</v>
          </cell>
        </row>
        <row r="2629">
          <cell r="A2629">
            <v>3035146199</v>
          </cell>
          <cell r="B2629" t="str">
            <v>Sample Rejected</v>
          </cell>
          <cell r="C2629">
            <v>42728.734464780093</v>
          </cell>
        </row>
        <row r="2630">
          <cell r="A2630">
            <v>3035166650</v>
          </cell>
          <cell r="B2630" t="str">
            <v>Sample Rejected</v>
          </cell>
          <cell r="C2630">
            <v>42728.734464780093</v>
          </cell>
        </row>
        <row r="2631">
          <cell r="A2631">
            <v>3034819748</v>
          </cell>
          <cell r="B2631" t="str">
            <v>Sample Rejected</v>
          </cell>
          <cell r="C2631">
            <v>42728.734464780093</v>
          </cell>
        </row>
        <row r="2632">
          <cell r="A2632">
            <v>3035170646</v>
          </cell>
          <cell r="B2632" t="str">
            <v>Sample Rejected</v>
          </cell>
          <cell r="C2632">
            <v>42728.734464780093</v>
          </cell>
        </row>
        <row r="2633">
          <cell r="A2633">
            <v>3035166183</v>
          </cell>
          <cell r="B2633" t="str">
            <v>Sample Rejected</v>
          </cell>
          <cell r="C2633">
            <v>42728.734464780093</v>
          </cell>
        </row>
        <row r="2634">
          <cell r="A2634">
            <v>3035164965</v>
          </cell>
          <cell r="B2634" t="str">
            <v>Sample Rejected</v>
          </cell>
          <cell r="C2634">
            <v>42728.734464780093</v>
          </cell>
        </row>
        <row r="2635">
          <cell r="A2635">
            <v>3035173079</v>
          </cell>
          <cell r="B2635" t="str">
            <v>Sample Rejected</v>
          </cell>
          <cell r="C2635">
            <v>42728.734464780093</v>
          </cell>
        </row>
        <row r="2636">
          <cell r="A2636">
            <v>3035169017</v>
          </cell>
          <cell r="B2636" t="str">
            <v>Sample Rejected</v>
          </cell>
          <cell r="C2636">
            <v>42728.734464780093</v>
          </cell>
        </row>
        <row r="2637">
          <cell r="A2637">
            <v>3035167246</v>
          </cell>
          <cell r="B2637" t="str">
            <v>Sample Rejected</v>
          </cell>
          <cell r="C2637">
            <v>42728.734464780093</v>
          </cell>
        </row>
        <row r="2638">
          <cell r="A2638">
            <v>3035192947</v>
          </cell>
          <cell r="B2638" t="str">
            <v>Sample Rejected</v>
          </cell>
          <cell r="C2638">
            <v>42729.734399733796</v>
          </cell>
        </row>
        <row r="2639">
          <cell r="A2639">
            <v>3035193555</v>
          </cell>
          <cell r="B2639" t="str">
            <v>Sample Rejected</v>
          </cell>
          <cell r="C2639">
            <v>42729.734399733796</v>
          </cell>
        </row>
        <row r="2640">
          <cell r="A2640">
            <v>3035198086</v>
          </cell>
          <cell r="B2640" t="str">
            <v>Sample Rejected</v>
          </cell>
          <cell r="C2640">
            <v>42729.734399733796</v>
          </cell>
        </row>
        <row r="2641">
          <cell r="A2641">
            <v>3035207269</v>
          </cell>
          <cell r="B2641" t="str">
            <v>Sample Rejected</v>
          </cell>
          <cell r="C2641">
            <v>42729.734399733796</v>
          </cell>
        </row>
        <row r="2642">
          <cell r="A2642">
            <v>3035199032</v>
          </cell>
          <cell r="B2642" t="str">
            <v>Sample Rejected</v>
          </cell>
          <cell r="C2642">
            <v>42729.734399733796</v>
          </cell>
        </row>
        <row r="2643">
          <cell r="A2643">
            <v>3035203980</v>
          </cell>
          <cell r="B2643" t="str">
            <v>Sample Rejected</v>
          </cell>
          <cell r="C2643">
            <v>42729.734399733796</v>
          </cell>
        </row>
        <row r="2644">
          <cell r="A2644">
            <v>3035200245</v>
          </cell>
          <cell r="B2644" t="str">
            <v>Sample Rejected</v>
          </cell>
          <cell r="C2644">
            <v>42729.734399733796</v>
          </cell>
        </row>
        <row r="2645">
          <cell r="A2645">
            <v>3035200434</v>
          </cell>
          <cell r="B2645" t="str">
            <v>Sample Rejected</v>
          </cell>
          <cell r="C2645">
            <v>42729.734399733796</v>
          </cell>
        </row>
        <row r="2646">
          <cell r="A2646">
            <v>3035192627</v>
          </cell>
          <cell r="B2646" t="str">
            <v>Sample Rejected</v>
          </cell>
          <cell r="C2646">
            <v>42729.734399733796</v>
          </cell>
        </row>
        <row r="2647">
          <cell r="A2647">
            <v>3035201102</v>
          </cell>
          <cell r="B2647" t="str">
            <v>Sample Rejected</v>
          </cell>
          <cell r="C2647">
            <v>42729.734399733796</v>
          </cell>
        </row>
        <row r="2648">
          <cell r="A2648">
            <v>3035195028</v>
          </cell>
          <cell r="B2648" t="str">
            <v>Sample Rejected</v>
          </cell>
          <cell r="C2648">
            <v>42729.734399733796</v>
          </cell>
        </row>
        <row r="2649">
          <cell r="A2649">
            <v>3035165250</v>
          </cell>
          <cell r="B2649" t="str">
            <v>Sample Rejected</v>
          </cell>
          <cell r="C2649">
            <v>42729.734399733796</v>
          </cell>
        </row>
        <row r="2650">
          <cell r="A2650">
            <v>3035194886</v>
          </cell>
          <cell r="B2650" t="str">
            <v>Sample Rejected</v>
          </cell>
          <cell r="C2650">
            <v>42729.734399733796</v>
          </cell>
        </row>
        <row r="2651">
          <cell r="A2651">
            <v>3035142902</v>
          </cell>
          <cell r="B2651" t="str">
            <v>Sample Rejected</v>
          </cell>
          <cell r="C2651">
            <v>42729.734399733796</v>
          </cell>
        </row>
        <row r="2652">
          <cell r="A2652">
            <v>3035198426</v>
          </cell>
          <cell r="B2652" t="str">
            <v>Sample Rejected</v>
          </cell>
          <cell r="C2652">
            <v>42729.734399733796</v>
          </cell>
        </row>
        <row r="2653">
          <cell r="A2653">
            <v>3035195294</v>
          </cell>
          <cell r="B2653" t="str">
            <v>Sample Rejected</v>
          </cell>
          <cell r="C2653">
            <v>42729.734399733796</v>
          </cell>
        </row>
        <row r="2654">
          <cell r="A2654">
            <v>3035198703</v>
          </cell>
          <cell r="B2654" t="str">
            <v>Sample Rejected</v>
          </cell>
          <cell r="C2654">
            <v>42729.734399733796</v>
          </cell>
        </row>
        <row r="2655">
          <cell r="A2655">
            <v>3035200505</v>
          </cell>
          <cell r="B2655" t="str">
            <v>Sample Rejected</v>
          </cell>
          <cell r="C2655">
            <v>42729.734399733796</v>
          </cell>
        </row>
        <row r="2656">
          <cell r="A2656">
            <v>3035202118</v>
          </cell>
          <cell r="B2656" t="str">
            <v>Sample Rejected</v>
          </cell>
          <cell r="C2656">
            <v>42729.734399733796</v>
          </cell>
        </row>
        <row r="2657">
          <cell r="A2657">
            <v>3035138280</v>
          </cell>
          <cell r="B2657" t="str">
            <v>Sample Rejected</v>
          </cell>
          <cell r="C2657">
            <v>42729.734399733796</v>
          </cell>
        </row>
        <row r="2658">
          <cell r="A2658">
            <v>3035200604</v>
          </cell>
          <cell r="B2658" t="str">
            <v>Sample Rejected</v>
          </cell>
          <cell r="C2658">
            <v>42729.734399733796</v>
          </cell>
        </row>
        <row r="2659">
          <cell r="A2659">
            <v>3035193511</v>
          </cell>
          <cell r="B2659" t="str">
            <v>Sample Rejected</v>
          </cell>
          <cell r="C2659">
            <v>42729.734399733796</v>
          </cell>
        </row>
        <row r="2660">
          <cell r="A2660">
            <v>3035101905</v>
          </cell>
          <cell r="B2660" t="str">
            <v>Sample Rejected</v>
          </cell>
          <cell r="C2660">
            <v>42729.734399733796</v>
          </cell>
        </row>
        <row r="2661">
          <cell r="A2661">
            <v>3035193524</v>
          </cell>
          <cell r="B2661" t="str">
            <v>Sample Rejected</v>
          </cell>
          <cell r="C2661">
            <v>42729.734399733796</v>
          </cell>
        </row>
        <row r="2662">
          <cell r="A2662">
            <v>3035194397</v>
          </cell>
          <cell r="B2662" t="str">
            <v>Sample Rejected</v>
          </cell>
          <cell r="C2662">
            <v>42729.734399733796</v>
          </cell>
        </row>
        <row r="2663">
          <cell r="A2663">
            <v>3035171455</v>
          </cell>
          <cell r="B2663" t="str">
            <v>Sample Rejected</v>
          </cell>
          <cell r="C2663">
            <v>42729.734399733796</v>
          </cell>
        </row>
        <row r="2664">
          <cell r="A2664">
            <v>3035175985</v>
          </cell>
          <cell r="B2664" t="str">
            <v>Sample Rejected</v>
          </cell>
          <cell r="C2664">
            <v>42729.734399733796</v>
          </cell>
        </row>
        <row r="2665">
          <cell r="A2665">
            <v>3035176489</v>
          </cell>
          <cell r="B2665" t="str">
            <v>Sample Rejected</v>
          </cell>
          <cell r="C2665">
            <v>42729.734399733796</v>
          </cell>
        </row>
        <row r="2666">
          <cell r="A2666">
            <v>3035192846</v>
          </cell>
          <cell r="B2666" t="str">
            <v>Sample Rejected</v>
          </cell>
          <cell r="C2666">
            <v>42729.734399733796</v>
          </cell>
        </row>
        <row r="2667">
          <cell r="A2667">
            <v>3035179584</v>
          </cell>
          <cell r="B2667" t="str">
            <v>Sample Rejected</v>
          </cell>
          <cell r="C2667">
            <v>42729.734399733796</v>
          </cell>
        </row>
        <row r="2668">
          <cell r="A2668">
            <v>3035173959</v>
          </cell>
          <cell r="B2668" t="str">
            <v>Sample Rejected</v>
          </cell>
          <cell r="C2668">
            <v>42729.734399733796</v>
          </cell>
        </row>
        <row r="2669">
          <cell r="A2669">
            <v>3035203748</v>
          </cell>
          <cell r="B2669" t="str">
            <v>Sample Rejected</v>
          </cell>
          <cell r="C2669">
            <v>42729.734399733796</v>
          </cell>
        </row>
        <row r="2670">
          <cell r="A2670">
            <v>3035194702</v>
          </cell>
          <cell r="B2670" t="str">
            <v>Sample Rejected</v>
          </cell>
          <cell r="C2670">
            <v>42729.734399733796</v>
          </cell>
        </row>
        <row r="2671">
          <cell r="A2671">
            <v>3035181404</v>
          </cell>
          <cell r="B2671" t="str">
            <v>Sample Rejected</v>
          </cell>
          <cell r="C2671">
            <v>42729.734399733796</v>
          </cell>
        </row>
        <row r="2672">
          <cell r="A2672">
            <v>3035191790</v>
          </cell>
          <cell r="B2672" t="str">
            <v>Sample Rejected</v>
          </cell>
          <cell r="C2672">
            <v>42729.734399733796</v>
          </cell>
        </row>
        <row r="2673">
          <cell r="A2673">
            <v>3035117901</v>
          </cell>
          <cell r="B2673" t="str">
            <v>Sample Rejected</v>
          </cell>
          <cell r="C2673">
            <v>42729.734399733796</v>
          </cell>
        </row>
        <row r="2674">
          <cell r="A2674">
            <v>3035193064</v>
          </cell>
          <cell r="B2674" t="str">
            <v>Sample Rejected</v>
          </cell>
          <cell r="C2674">
            <v>42729.734399733796</v>
          </cell>
        </row>
        <row r="2675">
          <cell r="A2675">
            <v>3035168570</v>
          </cell>
          <cell r="B2675" t="str">
            <v>Sample Rejected</v>
          </cell>
          <cell r="C2675">
            <v>42729.734399733796</v>
          </cell>
        </row>
        <row r="2676">
          <cell r="A2676">
            <v>3035198291</v>
          </cell>
          <cell r="B2676" t="str">
            <v>Sample Rejected</v>
          </cell>
          <cell r="C2676">
            <v>42729.734399733796</v>
          </cell>
        </row>
        <row r="2677">
          <cell r="A2677">
            <v>3035193048</v>
          </cell>
          <cell r="B2677" t="str">
            <v>Sample Rejected</v>
          </cell>
          <cell r="C2677">
            <v>42729.734399733796</v>
          </cell>
        </row>
        <row r="2678">
          <cell r="A2678">
            <v>3035194376</v>
          </cell>
          <cell r="B2678" t="str">
            <v>Sample Rejected</v>
          </cell>
          <cell r="C2678">
            <v>42729.734399733796</v>
          </cell>
        </row>
        <row r="2679">
          <cell r="A2679">
            <v>3035193231</v>
          </cell>
          <cell r="B2679" t="str">
            <v>Sample Rejected</v>
          </cell>
          <cell r="C2679">
            <v>42729.734399733796</v>
          </cell>
        </row>
        <row r="2680">
          <cell r="A2680">
            <v>3035139681</v>
          </cell>
          <cell r="B2680" t="str">
            <v>Sample Rejected</v>
          </cell>
          <cell r="C2680">
            <v>42729.734399733796</v>
          </cell>
        </row>
        <row r="2681">
          <cell r="A2681">
            <v>3035166015</v>
          </cell>
          <cell r="B2681" t="str">
            <v>Sample Rejected</v>
          </cell>
          <cell r="C2681">
            <v>42729.734399733796</v>
          </cell>
        </row>
        <row r="2682">
          <cell r="A2682">
            <v>3035075419</v>
          </cell>
          <cell r="B2682" t="str">
            <v>Sample Rejected</v>
          </cell>
          <cell r="C2682">
            <v>42729.734399733796</v>
          </cell>
        </row>
        <row r="2683">
          <cell r="A2683">
            <v>3035194638</v>
          </cell>
          <cell r="B2683" t="str">
            <v>Sample Rejected</v>
          </cell>
          <cell r="C2683">
            <v>42729.734399733796</v>
          </cell>
        </row>
        <row r="2684">
          <cell r="A2684">
            <v>3035207446</v>
          </cell>
          <cell r="B2684" t="str">
            <v>Sample Rejected</v>
          </cell>
          <cell r="C2684">
            <v>42729.734399733796</v>
          </cell>
        </row>
        <row r="2685">
          <cell r="A2685">
            <v>3035069651</v>
          </cell>
          <cell r="B2685" t="str">
            <v>Sample Rejected</v>
          </cell>
          <cell r="C2685">
            <v>42729.734399733796</v>
          </cell>
        </row>
        <row r="2686">
          <cell r="A2686">
            <v>3035195192</v>
          </cell>
          <cell r="B2686" t="str">
            <v>Sample Rejected</v>
          </cell>
          <cell r="C2686">
            <v>42729.734399733796</v>
          </cell>
        </row>
        <row r="2687">
          <cell r="A2687">
            <v>3035177734</v>
          </cell>
          <cell r="B2687" t="str">
            <v>Sample Rejected</v>
          </cell>
          <cell r="C2687">
            <v>42729.734399733796</v>
          </cell>
        </row>
        <row r="2688">
          <cell r="A2688">
            <v>3035193147</v>
          </cell>
          <cell r="B2688" t="str">
            <v>Sample Rejected</v>
          </cell>
          <cell r="C2688">
            <v>42729.734399733796</v>
          </cell>
        </row>
        <row r="2689">
          <cell r="A2689">
            <v>3035204272</v>
          </cell>
          <cell r="B2689" t="str">
            <v>Sample Rejected</v>
          </cell>
          <cell r="C2689">
            <v>42729.734399733796</v>
          </cell>
        </row>
        <row r="2690">
          <cell r="A2690">
            <v>3035168714</v>
          </cell>
          <cell r="B2690" t="str">
            <v>Sample Rejected</v>
          </cell>
          <cell r="C2690">
            <v>42729.734399733796</v>
          </cell>
        </row>
        <row r="2691">
          <cell r="A2691">
            <v>3035199668</v>
          </cell>
          <cell r="B2691" t="str">
            <v>Sample Rejected</v>
          </cell>
          <cell r="C2691">
            <v>42729.734399733796</v>
          </cell>
        </row>
        <row r="2692">
          <cell r="A2692">
            <v>3035202457</v>
          </cell>
          <cell r="B2692" t="str">
            <v>Sample Rejected</v>
          </cell>
          <cell r="C2692">
            <v>42729.734399733796</v>
          </cell>
        </row>
        <row r="2693">
          <cell r="A2693">
            <v>3035205815</v>
          </cell>
          <cell r="B2693" t="str">
            <v>Sample Rejected</v>
          </cell>
          <cell r="C2693">
            <v>42729.734399733796</v>
          </cell>
        </row>
        <row r="2694">
          <cell r="A2694">
            <v>3035206162</v>
          </cell>
          <cell r="B2694" t="str">
            <v>Sample Rejected</v>
          </cell>
          <cell r="C2694">
            <v>42729.734399733796</v>
          </cell>
        </row>
        <row r="2695">
          <cell r="A2695">
            <v>3035132896</v>
          </cell>
          <cell r="B2695" t="str">
            <v>Sample Rejected</v>
          </cell>
          <cell r="C2695">
            <v>42729.734399733796</v>
          </cell>
        </row>
        <row r="2696">
          <cell r="A2696">
            <v>3035182301</v>
          </cell>
          <cell r="B2696" t="str">
            <v>Sample Rejected</v>
          </cell>
          <cell r="C2696">
            <v>42729.734399733796</v>
          </cell>
        </row>
        <row r="2697">
          <cell r="A2697">
            <v>3035192572</v>
          </cell>
          <cell r="B2697" t="str">
            <v>Sample Rejected</v>
          </cell>
          <cell r="C2697">
            <v>42729.734399733796</v>
          </cell>
        </row>
        <row r="2698">
          <cell r="A2698">
            <v>3035200298</v>
          </cell>
          <cell r="B2698" t="str">
            <v>Sample Rejected</v>
          </cell>
          <cell r="C2698">
            <v>42729.734399733796</v>
          </cell>
        </row>
        <row r="2699">
          <cell r="A2699">
            <v>3035194300</v>
          </cell>
          <cell r="B2699" t="str">
            <v>Sample Rejected</v>
          </cell>
          <cell r="C2699">
            <v>42729.734399733796</v>
          </cell>
        </row>
        <row r="2700">
          <cell r="A2700">
            <v>3035163030</v>
          </cell>
          <cell r="B2700" t="str">
            <v>Sample Rejected</v>
          </cell>
          <cell r="C2700">
            <v>42729.734399733796</v>
          </cell>
        </row>
        <row r="2701">
          <cell r="A2701">
            <v>3035206751</v>
          </cell>
          <cell r="B2701" t="str">
            <v>Sample Rejected</v>
          </cell>
          <cell r="C2701">
            <v>42729.734399733796</v>
          </cell>
        </row>
        <row r="2702">
          <cell r="A2702">
            <v>3035198816</v>
          </cell>
          <cell r="B2702" t="str">
            <v>Sample Rejected</v>
          </cell>
          <cell r="C2702">
            <v>42729.734399733796</v>
          </cell>
        </row>
        <row r="2703">
          <cell r="A2703">
            <v>3035204138</v>
          </cell>
          <cell r="B2703" t="str">
            <v>Sample Rejected</v>
          </cell>
          <cell r="C2703">
            <v>42729.734399733796</v>
          </cell>
        </row>
        <row r="2704">
          <cell r="A2704">
            <v>3035205114</v>
          </cell>
          <cell r="B2704" t="str">
            <v>Sample Rejected</v>
          </cell>
          <cell r="C2704">
            <v>42729.734399733796</v>
          </cell>
        </row>
        <row r="2705">
          <cell r="A2705">
            <v>3035165595</v>
          </cell>
          <cell r="B2705" t="str">
            <v>Sample Rejected</v>
          </cell>
          <cell r="C2705">
            <v>42729.734399733796</v>
          </cell>
        </row>
        <row r="2706">
          <cell r="A2706">
            <v>3035200223</v>
          </cell>
          <cell r="B2706" t="str">
            <v>Sample Rejected</v>
          </cell>
          <cell r="C2706">
            <v>42729.734399733796</v>
          </cell>
        </row>
        <row r="2707">
          <cell r="A2707">
            <v>3035197052</v>
          </cell>
          <cell r="B2707" t="str">
            <v>Sample Rejected</v>
          </cell>
          <cell r="C2707">
            <v>42729.734399733796</v>
          </cell>
        </row>
        <row r="2708">
          <cell r="A2708">
            <v>3035192257</v>
          </cell>
          <cell r="B2708" t="str">
            <v>Sample Rejected</v>
          </cell>
          <cell r="C2708">
            <v>42729.734399733796</v>
          </cell>
        </row>
        <row r="2709">
          <cell r="A2709">
            <v>3035177336</v>
          </cell>
          <cell r="B2709" t="str">
            <v>Sample Rejected</v>
          </cell>
          <cell r="C2709">
            <v>42729.734399733796</v>
          </cell>
        </row>
        <row r="2710">
          <cell r="A2710">
            <v>3035193441</v>
          </cell>
          <cell r="B2710" t="str">
            <v>Sample Rejected</v>
          </cell>
          <cell r="C2710">
            <v>42729.734399733796</v>
          </cell>
        </row>
        <row r="2711">
          <cell r="A2711">
            <v>3035178377</v>
          </cell>
          <cell r="B2711" t="str">
            <v>Sample Rejected</v>
          </cell>
          <cell r="C2711">
            <v>42729.734399733796</v>
          </cell>
        </row>
        <row r="2712">
          <cell r="A2712">
            <v>3035200575</v>
          </cell>
          <cell r="B2712" t="str">
            <v>Sample Rejected</v>
          </cell>
          <cell r="C2712">
            <v>42729.734399733796</v>
          </cell>
        </row>
        <row r="2713">
          <cell r="A2713">
            <v>3035140188</v>
          </cell>
          <cell r="B2713" t="str">
            <v>Sample Rejected</v>
          </cell>
          <cell r="C2713">
            <v>42729.734399733796</v>
          </cell>
        </row>
        <row r="2714">
          <cell r="A2714">
            <v>3035198855</v>
          </cell>
          <cell r="B2714" t="str">
            <v>Sample Rejected</v>
          </cell>
          <cell r="C2714">
            <v>42729.734399733796</v>
          </cell>
        </row>
        <row r="2715">
          <cell r="A2715">
            <v>3034867687</v>
          </cell>
          <cell r="B2715" t="str">
            <v>Sample Rejected</v>
          </cell>
          <cell r="C2715">
            <v>42729.734399733796</v>
          </cell>
        </row>
        <row r="2716">
          <cell r="A2716">
            <v>3034986276</v>
          </cell>
          <cell r="B2716" t="str">
            <v>Sample Rejected</v>
          </cell>
          <cell r="C2716">
            <v>42729.734399733796</v>
          </cell>
        </row>
        <row r="2717">
          <cell r="A2717">
            <v>3035181272</v>
          </cell>
          <cell r="B2717" t="str">
            <v>Sample Rejected</v>
          </cell>
          <cell r="C2717">
            <v>42729.734399733796</v>
          </cell>
        </row>
        <row r="2718">
          <cell r="A2718">
            <v>3035195574</v>
          </cell>
          <cell r="B2718" t="str">
            <v>Sample Rejected</v>
          </cell>
          <cell r="C2718">
            <v>42729.734399733796</v>
          </cell>
        </row>
        <row r="2719">
          <cell r="A2719">
            <v>3035136893</v>
          </cell>
          <cell r="B2719" t="str">
            <v>Sample Rejected</v>
          </cell>
          <cell r="C2719">
            <v>42729.734399733796</v>
          </cell>
        </row>
        <row r="2720">
          <cell r="A2720">
            <v>3035203154</v>
          </cell>
          <cell r="B2720" t="str">
            <v>Sample Rejected</v>
          </cell>
          <cell r="C2720">
            <v>42729.734399733796</v>
          </cell>
        </row>
        <row r="2721">
          <cell r="A2721">
            <v>3035193872</v>
          </cell>
          <cell r="B2721" t="str">
            <v>Sample Rejected</v>
          </cell>
          <cell r="C2721">
            <v>42729.734399733796</v>
          </cell>
        </row>
        <row r="2722">
          <cell r="A2722">
            <v>3035172612</v>
          </cell>
          <cell r="B2722" t="str">
            <v>Sample Rejected</v>
          </cell>
          <cell r="C2722">
            <v>42729.734399733796</v>
          </cell>
        </row>
        <row r="2723">
          <cell r="A2723">
            <v>3035171147</v>
          </cell>
          <cell r="B2723" t="str">
            <v>Sample Rejected</v>
          </cell>
          <cell r="C2723">
            <v>42729.734399733796</v>
          </cell>
        </row>
        <row r="2724">
          <cell r="A2724">
            <v>3035233752</v>
          </cell>
          <cell r="B2724" t="str">
            <v>Sample Rejected</v>
          </cell>
          <cell r="C2724">
            <v>42732.736728124997</v>
          </cell>
        </row>
        <row r="2725">
          <cell r="A2725">
            <v>3035215989</v>
          </cell>
          <cell r="B2725" t="str">
            <v>Sample Rejected</v>
          </cell>
          <cell r="C2725">
            <v>42730.74507326389</v>
          </cell>
        </row>
        <row r="2726">
          <cell r="A2726">
            <v>3035214257</v>
          </cell>
          <cell r="B2726" t="str">
            <v>Sample Rejected</v>
          </cell>
          <cell r="C2726">
            <v>42730.74507326389</v>
          </cell>
        </row>
        <row r="2727">
          <cell r="A2727">
            <v>3034985720</v>
          </cell>
          <cell r="B2727" t="str">
            <v>Sample Rejected</v>
          </cell>
          <cell r="C2727">
            <v>42732.736728124997</v>
          </cell>
        </row>
        <row r="2728">
          <cell r="A2728">
            <v>3035037843</v>
          </cell>
          <cell r="B2728" t="str">
            <v>Sample Rejected</v>
          </cell>
          <cell r="C2728">
            <v>42732.736728124997</v>
          </cell>
        </row>
        <row r="2729">
          <cell r="A2729">
            <v>3035237517</v>
          </cell>
          <cell r="B2729" t="str">
            <v>Sample Rejected</v>
          </cell>
          <cell r="C2729">
            <v>42732.736728124997</v>
          </cell>
        </row>
        <row r="2730">
          <cell r="A2730">
            <v>3034981277</v>
          </cell>
          <cell r="B2730" t="str">
            <v>Sample Rejected</v>
          </cell>
          <cell r="C2730">
            <v>42723.734847997686</v>
          </cell>
        </row>
        <row r="2731">
          <cell r="A2731">
            <v>3034982608</v>
          </cell>
          <cell r="B2731" t="str">
            <v>Sample Rejected</v>
          </cell>
          <cell r="C2731">
            <v>42723.734847997686</v>
          </cell>
        </row>
        <row r="2732">
          <cell r="A2732">
            <v>3034940313</v>
          </cell>
          <cell r="B2732" t="str">
            <v>Sample Rejected</v>
          </cell>
          <cell r="C2732">
            <v>42723.734847997686</v>
          </cell>
        </row>
        <row r="2733">
          <cell r="A2733">
            <v>3034979503</v>
          </cell>
          <cell r="B2733" t="str">
            <v>Sample Rejected</v>
          </cell>
          <cell r="C2733">
            <v>42723.734847997686</v>
          </cell>
        </row>
        <row r="2734">
          <cell r="A2734">
            <v>3034982146</v>
          </cell>
          <cell r="B2734" t="str">
            <v>Sample Rejected</v>
          </cell>
          <cell r="C2734">
            <v>42723.734847997686</v>
          </cell>
        </row>
        <row r="2735">
          <cell r="A2735">
            <v>3034986264</v>
          </cell>
          <cell r="B2735" t="str">
            <v>Sample Rejected</v>
          </cell>
          <cell r="C2735">
            <v>42723.734847997686</v>
          </cell>
        </row>
        <row r="2736">
          <cell r="A2736">
            <v>3034981312</v>
          </cell>
          <cell r="B2736" t="str">
            <v>Sample Rejected</v>
          </cell>
          <cell r="C2736">
            <v>42723.734847997686</v>
          </cell>
        </row>
        <row r="2737">
          <cell r="A2737">
            <v>3034983427</v>
          </cell>
          <cell r="B2737" t="str">
            <v>Sample Rejected</v>
          </cell>
          <cell r="C2737">
            <v>42723.734847997686</v>
          </cell>
        </row>
        <row r="2738">
          <cell r="A2738">
            <v>3034982145</v>
          </cell>
          <cell r="B2738" t="str">
            <v>Sample Rejected</v>
          </cell>
          <cell r="C2738">
            <v>42723.734847997686</v>
          </cell>
        </row>
        <row r="2739">
          <cell r="A2739">
            <v>3034986959</v>
          </cell>
          <cell r="B2739" t="str">
            <v>Sample Rejected</v>
          </cell>
          <cell r="C2739">
            <v>42723.734847997686</v>
          </cell>
        </row>
        <row r="2740">
          <cell r="A2740">
            <v>3034984769</v>
          </cell>
          <cell r="B2740" t="str">
            <v>Sample Rejected</v>
          </cell>
          <cell r="C2740">
            <v>42723.734847997686</v>
          </cell>
        </row>
        <row r="2741">
          <cell r="A2741">
            <v>3034981138</v>
          </cell>
          <cell r="B2741" t="str">
            <v>Sample Rejected</v>
          </cell>
          <cell r="C2741">
            <v>42723.734847997686</v>
          </cell>
        </row>
        <row r="2742">
          <cell r="A2742">
            <v>3034981542</v>
          </cell>
          <cell r="B2742" t="str">
            <v>Sample Rejected</v>
          </cell>
          <cell r="C2742">
            <v>42723.734847997686</v>
          </cell>
        </row>
        <row r="2743">
          <cell r="A2743">
            <v>3034981625</v>
          </cell>
          <cell r="B2743" t="str">
            <v>Sample Rejected</v>
          </cell>
          <cell r="C2743">
            <v>42723.734847997686</v>
          </cell>
        </row>
        <row r="2744">
          <cell r="A2744">
            <v>3034987605</v>
          </cell>
          <cell r="B2744" t="str">
            <v>Sample Rejected</v>
          </cell>
          <cell r="C2744">
            <v>42723.734847997686</v>
          </cell>
        </row>
        <row r="2745">
          <cell r="A2745">
            <v>3035030306</v>
          </cell>
          <cell r="B2745" t="str">
            <v>Sample Rejected</v>
          </cell>
          <cell r="C2745">
            <v>42723.734847997686</v>
          </cell>
        </row>
        <row r="2746">
          <cell r="A2746">
            <v>3034989765</v>
          </cell>
          <cell r="B2746" t="str">
            <v>Sample Rejected</v>
          </cell>
          <cell r="C2746">
            <v>42723.734847997686</v>
          </cell>
        </row>
        <row r="2747">
          <cell r="A2747">
            <v>3034917869</v>
          </cell>
          <cell r="B2747" t="str">
            <v>Sample Rejected</v>
          </cell>
          <cell r="C2747">
            <v>42723.734847997686</v>
          </cell>
        </row>
        <row r="2748">
          <cell r="A2748">
            <v>3034982434</v>
          </cell>
          <cell r="B2748" t="str">
            <v>Sample Rejected</v>
          </cell>
          <cell r="C2748">
            <v>42723.734847997686</v>
          </cell>
        </row>
        <row r="2749">
          <cell r="A2749">
            <v>3034788378</v>
          </cell>
          <cell r="B2749" t="str">
            <v>Sample Rejected</v>
          </cell>
          <cell r="C2749">
            <v>42723.734847997686</v>
          </cell>
        </row>
        <row r="2750">
          <cell r="A2750">
            <v>3034912315</v>
          </cell>
          <cell r="B2750" t="str">
            <v>Sample Rejected</v>
          </cell>
          <cell r="C2750">
            <v>42723.734847997686</v>
          </cell>
        </row>
        <row r="2751">
          <cell r="A2751">
            <v>3034982421</v>
          </cell>
          <cell r="B2751" t="str">
            <v>Sample Rejected</v>
          </cell>
          <cell r="C2751">
            <v>42723.734847997686</v>
          </cell>
        </row>
        <row r="2752">
          <cell r="A2752">
            <v>3034991430</v>
          </cell>
          <cell r="B2752" t="str">
            <v>Sample Rejected</v>
          </cell>
          <cell r="C2752">
            <v>42723.734847997686</v>
          </cell>
        </row>
        <row r="2753">
          <cell r="A2753">
            <v>3035036487</v>
          </cell>
          <cell r="B2753" t="str">
            <v>Sample Rejected</v>
          </cell>
          <cell r="C2753">
            <v>42723.734847997686</v>
          </cell>
        </row>
        <row r="2754">
          <cell r="A2754">
            <v>3034986880</v>
          </cell>
          <cell r="B2754" t="str">
            <v>Sample Rejected</v>
          </cell>
          <cell r="C2754">
            <v>42723.734847997686</v>
          </cell>
        </row>
        <row r="2755">
          <cell r="A2755">
            <v>3034983089</v>
          </cell>
          <cell r="B2755" t="str">
            <v>Sample Rejected</v>
          </cell>
          <cell r="C2755">
            <v>42723.734847997686</v>
          </cell>
        </row>
        <row r="2756">
          <cell r="A2756">
            <v>3034991730</v>
          </cell>
          <cell r="B2756" t="str">
            <v>Sample Rejected</v>
          </cell>
          <cell r="C2756">
            <v>42723.734847997686</v>
          </cell>
        </row>
        <row r="2757">
          <cell r="A2757">
            <v>3034983291</v>
          </cell>
          <cell r="B2757" t="str">
            <v>Sample Rejected</v>
          </cell>
          <cell r="C2757">
            <v>42723.734847997686</v>
          </cell>
        </row>
        <row r="2758">
          <cell r="A2758">
            <v>3034986460</v>
          </cell>
          <cell r="B2758" t="str">
            <v>Sample Rejected</v>
          </cell>
          <cell r="C2758">
            <v>42723.734847997686</v>
          </cell>
        </row>
        <row r="2759">
          <cell r="A2759">
            <v>3034780517</v>
          </cell>
          <cell r="B2759" t="str">
            <v>Sample Rejected</v>
          </cell>
          <cell r="C2759">
            <v>42723.734847997686</v>
          </cell>
        </row>
        <row r="2760">
          <cell r="A2760">
            <v>3034982046</v>
          </cell>
          <cell r="B2760" t="str">
            <v>Sample Rejected</v>
          </cell>
          <cell r="C2760">
            <v>42723.734847997686</v>
          </cell>
        </row>
        <row r="2761">
          <cell r="A2761">
            <v>3034985898</v>
          </cell>
          <cell r="B2761" t="str">
            <v>Sample Rejected</v>
          </cell>
          <cell r="C2761">
            <v>42723.734847997686</v>
          </cell>
        </row>
        <row r="2762">
          <cell r="A2762">
            <v>3034983485</v>
          </cell>
          <cell r="B2762" t="str">
            <v>Sample Rejected</v>
          </cell>
          <cell r="C2762">
            <v>42723.734847997686</v>
          </cell>
        </row>
        <row r="2763">
          <cell r="A2763">
            <v>3034985164</v>
          </cell>
          <cell r="B2763" t="str">
            <v>Sample Rejected</v>
          </cell>
          <cell r="C2763">
            <v>42723.734847997686</v>
          </cell>
        </row>
        <row r="2764">
          <cell r="A2764">
            <v>3034980497</v>
          </cell>
          <cell r="B2764" t="str">
            <v>Sample Rejected</v>
          </cell>
          <cell r="C2764">
            <v>42723.734847997686</v>
          </cell>
        </row>
        <row r="2765">
          <cell r="A2765">
            <v>3035032335</v>
          </cell>
          <cell r="B2765" t="str">
            <v>Sample Rejected</v>
          </cell>
          <cell r="C2765">
            <v>42723.734847997686</v>
          </cell>
        </row>
        <row r="2766">
          <cell r="A2766">
            <v>3034986086</v>
          </cell>
          <cell r="B2766" t="str">
            <v>Sample Rejected</v>
          </cell>
          <cell r="C2766">
            <v>42723.734847997686</v>
          </cell>
        </row>
        <row r="2767">
          <cell r="A2767">
            <v>3034991530</v>
          </cell>
          <cell r="B2767" t="str">
            <v>Sample Rejected</v>
          </cell>
          <cell r="C2767">
            <v>42723.734847997686</v>
          </cell>
        </row>
        <row r="2768">
          <cell r="A2768">
            <v>3034985227</v>
          </cell>
          <cell r="B2768" t="str">
            <v>Sample Rejected</v>
          </cell>
          <cell r="C2768">
            <v>42723.734847997686</v>
          </cell>
        </row>
        <row r="2769">
          <cell r="A2769">
            <v>3034988838</v>
          </cell>
          <cell r="B2769" t="str">
            <v>Sample Rejected</v>
          </cell>
          <cell r="C2769">
            <v>42723.734847997686</v>
          </cell>
        </row>
        <row r="2770">
          <cell r="A2770">
            <v>3034981615</v>
          </cell>
          <cell r="B2770" t="str">
            <v>Sample Rejected</v>
          </cell>
          <cell r="C2770">
            <v>42723.734847997686</v>
          </cell>
        </row>
        <row r="2771">
          <cell r="A2771">
            <v>3034981441</v>
          </cell>
          <cell r="B2771" t="str">
            <v>Sample Rejected</v>
          </cell>
          <cell r="C2771">
            <v>42723.734847997686</v>
          </cell>
        </row>
        <row r="2772">
          <cell r="A2772">
            <v>3034986475</v>
          </cell>
          <cell r="B2772" t="str">
            <v>Sample Rejected</v>
          </cell>
          <cell r="C2772">
            <v>42723.734847997686</v>
          </cell>
        </row>
        <row r="2773">
          <cell r="A2773">
            <v>3034990375</v>
          </cell>
          <cell r="B2773" t="str">
            <v>Sample Rejected</v>
          </cell>
          <cell r="C2773">
            <v>42723.734847997686</v>
          </cell>
        </row>
        <row r="2774">
          <cell r="A2774">
            <v>3034981884</v>
          </cell>
          <cell r="B2774" t="str">
            <v>Sample Rejected</v>
          </cell>
          <cell r="C2774">
            <v>42723.734847997686</v>
          </cell>
        </row>
        <row r="2775">
          <cell r="A2775">
            <v>3034986987</v>
          </cell>
          <cell r="B2775" t="str">
            <v>Sample Rejected</v>
          </cell>
          <cell r="C2775">
            <v>42723.734847997686</v>
          </cell>
        </row>
        <row r="2776">
          <cell r="A2776">
            <v>3034987484</v>
          </cell>
          <cell r="B2776" t="str">
            <v>Sample Rejected</v>
          </cell>
          <cell r="C2776">
            <v>42723.734847997686</v>
          </cell>
        </row>
        <row r="2777">
          <cell r="A2777">
            <v>3034990778</v>
          </cell>
          <cell r="B2777" t="str">
            <v>Sample Rejected</v>
          </cell>
          <cell r="C2777">
            <v>42723.734847997686</v>
          </cell>
        </row>
        <row r="2778">
          <cell r="A2778">
            <v>3034990262</v>
          </cell>
          <cell r="B2778" t="str">
            <v>Sample Rejected</v>
          </cell>
          <cell r="C2778">
            <v>42723.734847997686</v>
          </cell>
        </row>
        <row r="2779">
          <cell r="A2779">
            <v>3034991393</v>
          </cell>
          <cell r="B2779" t="str">
            <v>Sample Rejected</v>
          </cell>
          <cell r="C2779">
            <v>42723.734847997686</v>
          </cell>
        </row>
        <row r="2780">
          <cell r="A2780">
            <v>3034980731</v>
          </cell>
          <cell r="B2780" t="str">
            <v>Sample Rejected</v>
          </cell>
          <cell r="C2780">
            <v>42723.734847997686</v>
          </cell>
        </row>
        <row r="2781">
          <cell r="A2781">
            <v>3034598722</v>
          </cell>
          <cell r="B2781" t="str">
            <v>Sample Rejected</v>
          </cell>
          <cell r="C2781">
            <v>42723.734847997686</v>
          </cell>
        </row>
        <row r="2782">
          <cell r="A2782">
            <v>3034988785</v>
          </cell>
          <cell r="B2782" t="str">
            <v>Sample Rejected</v>
          </cell>
          <cell r="C2782">
            <v>42723.734847997686</v>
          </cell>
        </row>
        <row r="2783">
          <cell r="A2783">
            <v>3034980867</v>
          </cell>
          <cell r="B2783" t="str">
            <v>Sample Rejected</v>
          </cell>
          <cell r="C2783">
            <v>42723.734847997686</v>
          </cell>
        </row>
        <row r="2784">
          <cell r="A2784">
            <v>3034938367</v>
          </cell>
          <cell r="B2784" t="str">
            <v>Sample Rejected</v>
          </cell>
          <cell r="C2784">
            <v>42723.734847997686</v>
          </cell>
        </row>
        <row r="2785">
          <cell r="A2785">
            <v>3034983246</v>
          </cell>
          <cell r="B2785" t="str">
            <v>Sample Rejected</v>
          </cell>
          <cell r="C2785">
            <v>42723.734847997686</v>
          </cell>
        </row>
        <row r="2786">
          <cell r="A2786">
            <v>3034980615</v>
          </cell>
          <cell r="B2786" t="str">
            <v>Sample Rejected</v>
          </cell>
          <cell r="C2786">
            <v>42723.734847997686</v>
          </cell>
        </row>
        <row r="2787">
          <cell r="A2787">
            <v>3035038525</v>
          </cell>
          <cell r="B2787" t="str">
            <v>Sample Rejected</v>
          </cell>
          <cell r="C2787">
            <v>42723.734847997686</v>
          </cell>
        </row>
        <row r="2788">
          <cell r="A2788">
            <v>3034985181</v>
          </cell>
          <cell r="B2788" t="str">
            <v>Sample Rejected</v>
          </cell>
          <cell r="C2788">
            <v>42723.734847997686</v>
          </cell>
        </row>
        <row r="2789">
          <cell r="A2789">
            <v>3034972131</v>
          </cell>
          <cell r="B2789" t="str">
            <v>Sample Rejected</v>
          </cell>
          <cell r="C2789">
            <v>42723.734847997686</v>
          </cell>
        </row>
        <row r="2790">
          <cell r="A2790">
            <v>3034983787</v>
          </cell>
          <cell r="B2790" t="str">
            <v>Sample Rejected</v>
          </cell>
          <cell r="C2790">
            <v>42723.734847997686</v>
          </cell>
        </row>
        <row r="2791">
          <cell r="A2791">
            <v>3035003530</v>
          </cell>
          <cell r="B2791" t="str">
            <v>Sample Rejected</v>
          </cell>
          <cell r="C2791">
            <v>42722.734715543978</v>
          </cell>
        </row>
        <row r="2792">
          <cell r="A2792">
            <v>3035011189</v>
          </cell>
          <cell r="B2792" t="str">
            <v>Sample Rejected</v>
          </cell>
          <cell r="C2792">
            <v>42722.734715543978</v>
          </cell>
        </row>
        <row r="2793">
          <cell r="A2793">
            <v>3035006875</v>
          </cell>
          <cell r="B2793" t="str">
            <v>Sample Rejected</v>
          </cell>
          <cell r="C2793">
            <v>42722.734715543978</v>
          </cell>
        </row>
        <row r="2794">
          <cell r="A2794">
            <v>3034666985</v>
          </cell>
          <cell r="B2794" t="str">
            <v>Sample Rejected</v>
          </cell>
          <cell r="C2794">
            <v>42722.734715543978</v>
          </cell>
        </row>
        <row r="2795">
          <cell r="A2795">
            <v>3035012268</v>
          </cell>
          <cell r="B2795" t="str">
            <v>Sample Rejected</v>
          </cell>
          <cell r="C2795">
            <v>42722.734715543978</v>
          </cell>
        </row>
        <row r="2796">
          <cell r="A2796">
            <v>3034698510</v>
          </cell>
          <cell r="B2796" t="str">
            <v>Sample Rejected</v>
          </cell>
          <cell r="C2796">
            <v>42722.734715543978</v>
          </cell>
        </row>
        <row r="2797">
          <cell r="A2797">
            <v>3035004519</v>
          </cell>
          <cell r="B2797" t="str">
            <v>Sample Rejected</v>
          </cell>
          <cell r="C2797">
            <v>42722.734715543978</v>
          </cell>
        </row>
        <row r="2798">
          <cell r="A2798">
            <v>3035005843</v>
          </cell>
          <cell r="B2798" t="str">
            <v>Sample Rejected</v>
          </cell>
          <cell r="C2798">
            <v>42722.734715543978</v>
          </cell>
        </row>
        <row r="2799">
          <cell r="A2799">
            <v>3034922992</v>
          </cell>
          <cell r="B2799" t="str">
            <v>Sample Rejected</v>
          </cell>
          <cell r="C2799">
            <v>42722.734715543978</v>
          </cell>
        </row>
        <row r="2800">
          <cell r="A2800">
            <v>3035004652</v>
          </cell>
          <cell r="B2800" t="str">
            <v>Sample Rejected</v>
          </cell>
          <cell r="C2800">
            <v>42722.734715543978</v>
          </cell>
        </row>
        <row r="2801">
          <cell r="A2801">
            <v>3034908481</v>
          </cell>
          <cell r="B2801" t="str">
            <v>Sample Rejected</v>
          </cell>
          <cell r="C2801">
            <v>42722.734715543978</v>
          </cell>
        </row>
        <row r="2802">
          <cell r="A2802">
            <v>3034986628</v>
          </cell>
          <cell r="B2802" t="str">
            <v>Sample Rejected</v>
          </cell>
          <cell r="C2802">
            <v>42723.734847997686</v>
          </cell>
        </row>
        <row r="2803">
          <cell r="A2803">
            <v>3034984762</v>
          </cell>
          <cell r="B2803" t="str">
            <v>Sample Rejected</v>
          </cell>
          <cell r="C2803">
            <v>42723.734847997686</v>
          </cell>
        </row>
        <row r="2804">
          <cell r="A2804">
            <v>3034980670</v>
          </cell>
          <cell r="B2804" t="str">
            <v>Sample Rejected</v>
          </cell>
          <cell r="C2804">
            <v>42723.734847997686</v>
          </cell>
        </row>
        <row r="2805">
          <cell r="A2805">
            <v>3034949472</v>
          </cell>
          <cell r="B2805" t="str">
            <v>Sample Rejected</v>
          </cell>
          <cell r="C2805">
            <v>42723.734847997686</v>
          </cell>
        </row>
        <row r="2806">
          <cell r="A2806">
            <v>3034987174</v>
          </cell>
          <cell r="B2806" t="str">
            <v>Sample Rejected</v>
          </cell>
          <cell r="C2806">
            <v>42723.734847997686</v>
          </cell>
        </row>
        <row r="2807">
          <cell r="A2807">
            <v>3034989940</v>
          </cell>
          <cell r="B2807" t="str">
            <v>Sample Rejected</v>
          </cell>
          <cell r="C2807">
            <v>42723.734847997686</v>
          </cell>
        </row>
        <row r="2808">
          <cell r="A2808">
            <v>3034920975</v>
          </cell>
          <cell r="B2808" t="str">
            <v>Sample Rejected</v>
          </cell>
          <cell r="C2808">
            <v>42723.734847997686</v>
          </cell>
        </row>
        <row r="2809">
          <cell r="A2809">
            <v>3034983937</v>
          </cell>
          <cell r="B2809" t="str">
            <v>Sample Rejected</v>
          </cell>
          <cell r="C2809">
            <v>42723.734847997686</v>
          </cell>
        </row>
        <row r="2810">
          <cell r="A2810">
            <v>3034900858</v>
          </cell>
          <cell r="B2810" t="str">
            <v>Sample Rejected</v>
          </cell>
          <cell r="C2810">
            <v>42723.734847997686</v>
          </cell>
        </row>
        <row r="2811">
          <cell r="A2811">
            <v>3034954271</v>
          </cell>
          <cell r="B2811" t="str">
            <v>Sample Rejected</v>
          </cell>
          <cell r="C2811">
            <v>42722.734735763886</v>
          </cell>
        </row>
        <row r="2812">
          <cell r="A2812">
            <v>3034989886</v>
          </cell>
          <cell r="B2812" t="str">
            <v>Sample Rejected</v>
          </cell>
          <cell r="C2812">
            <v>42723.734847997686</v>
          </cell>
        </row>
        <row r="2813">
          <cell r="A2813">
            <v>3035005317</v>
          </cell>
          <cell r="B2813" t="str">
            <v>Sample Rejected</v>
          </cell>
          <cell r="C2813">
            <v>42722.734715543978</v>
          </cell>
        </row>
        <row r="2814">
          <cell r="A2814">
            <v>3035005875</v>
          </cell>
          <cell r="B2814" t="str">
            <v>Sample Rejected</v>
          </cell>
          <cell r="C2814">
            <v>42722.734715543978</v>
          </cell>
        </row>
        <row r="2815">
          <cell r="A2815">
            <v>3035012580</v>
          </cell>
          <cell r="B2815" t="str">
            <v>Sample Rejected</v>
          </cell>
          <cell r="C2815">
            <v>42722.734715543978</v>
          </cell>
        </row>
        <row r="2816">
          <cell r="A2816">
            <v>3034973925</v>
          </cell>
          <cell r="B2816" t="str">
            <v>Sample Rejected</v>
          </cell>
          <cell r="C2816">
            <v>42722.734715543978</v>
          </cell>
        </row>
        <row r="2817">
          <cell r="A2817">
            <v>3034973804</v>
          </cell>
          <cell r="B2817" t="str">
            <v>Sample Rejected</v>
          </cell>
          <cell r="C2817">
            <v>42722.734715543978</v>
          </cell>
        </row>
        <row r="2818">
          <cell r="A2818">
            <v>3035011700</v>
          </cell>
          <cell r="B2818" t="str">
            <v>Sample Rejected</v>
          </cell>
          <cell r="C2818">
            <v>42722.734715543978</v>
          </cell>
        </row>
        <row r="2819">
          <cell r="A2819">
            <v>3034955024</v>
          </cell>
          <cell r="B2819" t="str">
            <v>Sample Rejected</v>
          </cell>
          <cell r="C2819">
            <v>42722.734715543978</v>
          </cell>
        </row>
        <row r="2820">
          <cell r="A2820">
            <v>3034955078</v>
          </cell>
          <cell r="B2820" t="str">
            <v>Sample Rejected</v>
          </cell>
          <cell r="C2820">
            <v>42722.734715543978</v>
          </cell>
        </row>
        <row r="2821">
          <cell r="A2821">
            <v>3034955089</v>
          </cell>
          <cell r="B2821" t="str">
            <v>Sample Rejected</v>
          </cell>
          <cell r="C2821">
            <v>42722.734715543978</v>
          </cell>
        </row>
        <row r="2822">
          <cell r="A2822">
            <v>3034955102</v>
          </cell>
          <cell r="B2822" t="str">
            <v>Sample Rejected</v>
          </cell>
          <cell r="C2822">
            <v>42722.734715543978</v>
          </cell>
        </row>
        <row r="2823">
          <cell r="A2823">
            <v>3034955127</v>
          </cell>
          <cell r="B2823" t="str">
            <v>Sample Rejected</v>
          </cell>
          <cell r="C2823">
            <v>42722.734715543978</v>
          </cell>
        </row>
        <row r="2824">
          <cell r="A2824">
            <v>3034955150</v>
          </cell>
          <cell r="B2824" t="str">
            <v>Sample Rejected</v>
          </cell>
          <cell r="C2824">
            <v>42722.734715543978</v>
          </cell>
        </row>
        <row r="2825">
          <cell r="A2825">
            <v>3034955690</v>
          </cell>
          <cell r="B2825" t="str">
            <v>Sample Rejected</v>
          </cell>
          <cell r="C2825">
            <v>42722.734715543978</v>
          </cell>
        </row>
        <row r="2826">
          <cell r="A2826">
            <v>3034953331</v>
          </cell>
          <cell r="B2826" t="str">
            <v>Sample Rejected</v>
          </cell>
          <cell r="C2826">
            <v>42722.734715543978</v>
          </cell>
        </row>
        <row r="2827">
          <cell r="A2827">
            <v>3034953397</v>
          </cell>
          <cell r="B2827" t="str">
            <v>Sample Rejected</v>
          </cell>
          <cell r="C2827">
            <v>42722.734715543978</v>
          </cell>
        </row>
        <row r="2828">
          <cell r="A2828">
            <v>3034953422</v>
          </cell>
          <cell r="B2828" t="str">
            <v>Sample Rejected</v>
          </cell>
          <cell r="C2828">
            <v>42722.734715543978</v>
          </cell>
        </row>
        <row r="2829">
          <cell r="A2829">
            <v>3034953480</v>
          </cell>
          <cell r="B2829" t="str">
            <v>Sample Rejected</v>
          </cell>
          <cell r="C2829">
            <v>42722.734715543978</v>
          </cell>
        </row>
        <row r="2830">
          <cell r="A2830">
            <v>3034953509</v>
          </cell>
          <cell r="B2830" t="str">
            <v>Sample Rejected</v>
          </cell>
          <cell r="C2830">
            <v>42722.734715543978</v>
          </cell>
        </row>
        <row r="2831">
          <cell r="A2831">
            <v>3034953516</v>
          </cell>
          <cell r="B2831" t="str">
            <v>Sample Rejected</v>
          </cell>
          <cell r="C2831">
            <v>42722.734715543978</v>
          </cell>
        </row>
        <row r="2832">
          <cell r="A2832">
            <v>3034953558</v>
          </cell>
          <cell r="B2832" t="str">
            <v>Sample Rejected</v>
          </cell>
          <cell r="C2832">
            <v>42722.734715543978</v>
          </cell>
        </row>
        <row r="2833">
          <cell r="A2833">
            <v>3034902389</v>
          </cell>
          <cell r="B2833" t="str">
            <v>Sample Rejected</v>
          </cell>
          <cell r="C2833">
            <v>42722.734715543978</v>
          </cell>
        </row>
        <row r="2834">
          <cell r="A2834">
            <v>3035012856</v>
          </cell>
          <cell r="B2834" t="str">
            <v>Sample Rejected</v>
          </cell>
          <cell r="C2834">
            <v>42722.734715543978</v>
          </cell>
        </row>
        <row r="2835">
          <cell r="A2835">
            <v>3035008219</v>
          </cell>
          <cell r="B2835" t="str">
            <v>Sample Rejected</v>
          </cell>
          <cell r="C2835">
            <v>42722.734715543978</v>
          </cell>
        </row>
        <row r="2836">
          <cell r="A2836">
            <v>3035005717</v>
          </cell>
          <cell r="B2836" t="str">
            <v>Sample Rejected</v>
          </cell>
          <cell r="C2836">
            <v>42722.734715543978</v>
          </cell>
        </row>
        <row r="2837">
          <cell r="A2837">
            <v>3035005814</v>
          </cell>
          <cell r="B2837" t="str">
            <v>Sample Rejected</v>
          </cell>
          <cell r="C2837">
            <v>42722.734715543978</v>
          </cell>
        </row>
        <row r="2838">
          <cell r="A2838">
            <v>3035005681</v>
          </cell>
          <cell r="B2838" t="str">
            <v>Sample Rejected</v>
          </cell>
          <cell r="C2838">
            <v>42722.734715543978</v>
          </cell>
        </row>
        <row r="2839">
          <cell r="A2839">
            <v>3034951240</v>
          </cell>
          <cell r="B2839" t="str">
            <v>Sample Rejected</v>
          </cell>
          <cell r="C2839">
            <v>42722.734715543978</v>
          </cell>
        </row>
        <row r="2840">
          <cell r="A2840">
            <v>3035003252</v>
          </cell>
          <cell r="B2840" t="str">
            <v>Sample Rejected</v>
          </cell>
          <cell r="C2840">
            <v>42722.734715543978</v>
          </cell>
        </row>
        <row r="2841">
          <cell r="A2841">
            <v>3035014896</v>
          </cell>
          <cell r="B2841" t="str">
            <v>Sample Rejected</v>
          </cell>
          <cell r="C2841">
            <v>42722.734715543978</v>
          </cell>
        </row>
        <row r="2842">
          <cell r="A2842">
            <v>3035006719</v>
          </cell>
          <cell r="B2842" t="str">
            <v>Sample Rejected</v>
          </cell>
          <cell r="C2842">
            <v>42722.734715543978</v>
          </cell>
        </row>
        <row r="2843">
          <cell r="A2843">
            <v>3034820008</v>
          </cell>
          <cell r="B2843" t="str">
            <v>Sample Rejected</v>
          </cell>
          <cell r="C2843">
            <v>42722.734715543978</v>
          </cell>
        </row>
        <row r="2844">
          <cell r="A2844">
            <v>3034901274</v>
          </cell>
          <cell r="B2844" t="str">
            <v>Sample Rejected</v>
          </cell>
          <cell r="C2844">
            <v>42722.734715543978</v>
          </cell>
        </row>
        <row r="2845">
          <cell r="A2845">
            <v>3035019391</v>
          </cell>
          <cell r="B2845" t="str">
            <v>Sample Rejected</v>
          </cell>
          <cell r="C2845">
            <v>42722.734715543978</v>
          </cell>
        </row>
        <row r="2846">
          <cell r="A2846">
            <v>3034799409</v>
          </cell>
          <cell r="B2846" t="str">
            <v>Sample Rejected</v>
          </cell>
          <cell r="C2846">
            <v>42722.734715543978</v>
          </cell>
        </row>
        <row r="2847">
          <cell r="A2847">
            <v>3035004801</v>
          </cell>
          <cell r="B2847" t="str">
            <v>Sample Rejected</v>
          </cell>
          <cell r="C2847">
            <v>42722.734715543978</v>
          </cell>
        </row>
        <row r="2848">
          <cell r="A2848">
            <v>3034768565</v>
          </cell>
          <cell r="B2848" t="str">
            <v>Sample Rejected</v>
          </cell>
          <cell r="C2848">
            <v>42722.734715543978</v>
          </cell>
        </row>
        <row r="2849">
          <cell r="A2849">
            <v>3035019160</v>
          </cell>
          <cell r="B2849" t="str">
            <v>Sample Rejected</v>
          </cell>
          <cell r="C2849">
            <v>42722.734715543978</v>
          </cell>
        </row>
        <row r="2850">
          <cell r="A2850">
            <v>3035008927</v>
          </cell>
          <cell r="B2850" t="str">
            <v>Sample Rejected</v>
          </cell>
          <cell r="C2850">
            <v>42722.734715543978</v>
          </cell>
        </row>
        <row r="2851">
          <cell r="A2851">
            <v>3035005253</v>
          </cell>
          <cell r="B2851" t="str">
            <v>Sample Rejected</v>
          </cell>
          <cell r="C2851">
            <v>42722.734715543978</v>
          </cell>
        </row>
        <row r="2852">
          <cell r="A2852">
            <v>3035016971</v>
          </cell>
          <cell r="B2852" t="str">
            <v>Sample Rejected</v>
          </cell>
          <cell r="C2852">
            <v>42722.734715543978</v>
          </cell>
        </row>
        <row r="2853">
          <cell r="A2853">
            <v>3035018713</v>
          </cell>
          <cell r="B2853" t="str">
            <v>Sample Rejected</v>
          </cell>
          <cell r="C2853">
            <v>42722.734715543978</v>
          </cell>
        </row>
        <row r="2854">
          <cell r="A2854">
            <v>3035005686</v>
          </cell>
          <cell r="B2854" t="str">
            <v>Sample Rejected</v>
          </cell>
          <cell r="C2854">
            <v>42722.734715543978</v>
          </cell>
        </row>
        <row r="2855">
          <cell r="A2855">
            <v>3035005613</v>
          </cell>
          <cell r="B2855" t="str">
            <v>Sample Rejected</v>
          </cell>
          <cell r="C2855">
            <v>42722.734715543978</v>
          </cell>
        </row>
        <row r="2856">
          <cell r="A2856">
            <v>3035017507</v>
          </cell>
          <cell r="B2856" t="str">
            <v>Sample Rejected</v>
          </cell>
          <cell r="C2856">
            <v>42722.734715543978</v>
          </cell>
        </row>
        <row r="2857">
          <cell r="A2857">
            <v>3035004866</v>
          </cell>
          <cell r="B2857" t="str">
            <v>Sample Rejected</v>
          </cell>
          <cell r="C2857">
            <v>42722.734715543978</v>
          </cell>
        </row>
        <row r="2858">
          <cell r="A2858">
            <v>3035017071</v>
          </cell>
          <cell r="B2858" t="str">
            <v>Sample Rejected</v>
          </cell>
          <cell r="C2858">
            <v>42722.734715543978</v>
          </cell>
        </row>
        <row r="2859">
          <cell r="A2859">
            <v>3035014824</v>
          </cell>
          <cell r="B2859" t="str">
            <v>Sample Rejected</v>
          </cell>
          <cell r="C2859">
            <v>42722.734715543978</v>
          </cell>
        </row>
        <row r="2860">
          <cell r="A2860">
            <v>3035017653</v>
          </cell>
          <cell r="B2860" t="str">
            <v>Sample Rejected</v>
          </cell>
          <cell r="C2860">
            <v>42722.734715543978</v>
          </cell>
        </row>
        <row r="2861">
          <cell r="A2861">
            <v>3034766794</v>
          </cell>
          <cell r="B2861" t="str">
            <v>Sample Rejected</v>
          </cell>
          <cell r="C2861">
            <v>42722.734715543978</v>
          </cell>
        </row>
        <row r="2862">
          <cell r="A2862">
            <v>3035007642</v>
          </cell>
          <cell r="B2862" t="str">
            <v>Sample Rejected</v>
          </cell>
          <cell r="C2862">
            <v>42722.734715543978</v>
          </cell>
        </row>
        <row r="2863">
          <cell r="A2863">
            <v>3035004004</v>
          </cell>
          <cell r="B2863" t="str">
            <v>Sample Rejected</v>
          </cell>
          <cell r="C2863">
            <v>42722.734715543978</v>
          </cell>
        </row>
        <row r="2864">
          <cell r="A2864">
            <v>3034984312</v>
          </cell>
          <cell r="B2864" t="str">
            <v>Sample Rejected</v>
          </cell>
          <cell r="C2864">
            <v>42722.734715543978</v>
          </cell>
        </row>
        <row r="2865">
          <cell r="A2865">
            <v>3035006524</v>
          </cell>
          <cell r="B2865" t="str">
            <v>Sample Rejected</v>
          </cell>
          <cell r="C2865">
            <v>42722.734715543978</v>
          </cell>
        </row>
        <row r="2866">
          <cell r="A2866">
            <v>3035007703</v>
          </cell>
          <cell r="B2866" t="str">
            <v>Sample Rejected</v>
          </cell>
          <cell r="C2866">
            <v>42722.734715543978</v>
          </cell>
        </row>
        <row r="2867">
          <cell r="A2867">
            <v>3035005899</v>
          </cell>
          <cell r="B2867" t="str">
            <v>Sample Rejected</v>
          </cell>
          <cell r="C2867">
            <v>42722.734715543978</v>
          </cell>
        </row>
        <row r="2868">
          <cell r="A2868">
            <v>3034978543</v>
          </cell>
          <cell r="B2868" t="str">
            <v>Sample Rejected</v>
          </cell>
          <cell r="C2868">
            <v>42722.734715543978</v>
          </cell>
        </row>
        <row r="2869">
          <cell r="A2869">
            <v>3034874127</v>
          </cell>
          <cell r="B2869" t="str">
            <v>Sample Rejected</v>
          </cell>
          <cell r="C2869">
            <v>42722.734715543978</v>
          </cell>
        </row>
        <row r="2870">
          <cell r="A2870">
            <v>3035020850</v>
          </cell>
          <cell r="B2870" t="str">
            <v>Sample Rejected</v>
          </cell>
          <cell r="C2870">
            <v>42722.734715543978</v>
          </cell>
        </row>
        <row r="2871">
          <cell r="A2871">
            <v>3034972519</v>
          </cell>
          <cell r="B2871" t="str">
            <v>Sample Rejected</v>
          </cell>
          <cell r="C2871">
            <v>42722.734715543978</v>
          </cell>
        </row>
        <row r="2872">
          <cell r="A2872">
            <v>3035005438</v>
          </cell>
          <cell r="B2872" t="str">
            <v>Sample Rejected</v>
          </cell>
          <cell r="C2872">
            <v>42722.734715543978</v>
          </cell>
        </row>
        <row r="2873">
          <cell r="A2873">
            <v>3034904507</v>
          </cell>
          <cell r="B2873" t="str">
            <v>Sample Rejected</v>
          </cell>
          <cell r="C2873">
            <v>42722.734715543978</v>
          </cell>
        </row>
        <row r="2874">
          <cell r="A2874">
            <v>3034709087</v>
          </cell>
          <cell r="B2874" t="str">
            <v>Sample Rejected</v>
          </cell>
          <cell r="C2874">
            <v>42722.734715543978</v>
          </cell>
        </row>
        <row r="2875">
          <cell r="A2875">
            <v>3035012431</v>
          </cell>
          <cell r="B2875" t="str">
            <v>Sample Rejected</v>
          </cell>
          <cell r="C2875">
            <v>42722.734715543978</v>
          </cell>
        </row>
        <row r="2876">
          <cell r="A2876">
            <v>3035005769</v>
          </cell>
          <cell r="B2876" t="str">
            <v>Sample Rejected</v>
          </cell>
          <cell r="C2876">
            <v>42722.734715543978</v>
          </cell>
        </row>
        <row r="2877">
          <cell r="A2877">
            <v>3035009402</v>
          </cell>
          <cell r="B2877" t="str">
            <v>Sample Rejected</v>
          </cell>
          <cell r="C2877">
            <v>42722.734715543978</v>
          </cell>
        </row>
        <row r="2878">
          <cell r="A2878">
            <v>3034918695</v>
          </cell>
          <cell r="B2878" t="str">
            <v>Sample Rejected</v>
          </cell>
          <cell r="C2878">
            <v>42722.734715543978</v>
          </cell>
        </row>
        <row r="2879">
          <cell r="A2879">
            <v>3035017282</v>
          </cell>
          <cell r="B2879" t="str">
            <v>Sample Rejected</v>
          </cell>
          <cell r="C2879">
            <v>42722.734715543978</v>
          </cell>
        </row>
        <row r="2880">
          <cell r="A2880">
            <v>3035012834</v>
          </cell>
          <cell r="B2880" t="str">
            <v>Sample Rejected</v>
          </cell>
          <cell r="C2880">
            <v>42722.734715543978</v>
          </cell>
        </row>
        <row r="2881">
          <cell r="A2881">
            <v>3034940304</v>
          </cell>
          <cell r="B2881" t="str">
            <v>Sample Rejected</v>
          </cell>
          <cell r="C2881">
            <v>42722.734715543978</v>
          </cell>
        </row>
        <row r="2882">
          <cell r="A2882">
            <v>3035009945</v>
          </cell>
          <cell r="B2882" t="str">
            <v>Sample Rejected</v>
          </cell>
          <cell r="C2882">
            <v>42722.734715543978</v>
          </cell>
        </row>
        <row r="2883">
          <cell r="A2883">
            <v>3034701140</v>
          </cell>
          <cell r="B2883" t="str">
            <v>Sample Rejected</v>
          </cell>
          <cell r="C2883">
            <v>42722.734715543978</v>
          </cell>
        </row>
        <row r="2884">
          <cell r="A2884">
            <v>3035011401</v>
          </cell>
          <cell r="B2884" t="str">
            <v>Sample Rejected</v>
          </cell>
          <cell r="C2884">
            <v>42722.734715543978</v>
          </cell>
        </row>
        <row r="2885">
          <cell r="A2885">
            <v>3034877267</v>
          </cell>
          <cell r="B2885" t="str">
            <v>Sample Rejected</v>
          </cell>
          <cell r="C2885">
            <v>42722.734715543978</v>
          </cell>
        </row>
        <row r="2886">
          <cell r="A2886">
            <v>3034972577</v>
          </cell>
          <cell r="B2886" t="str">
            <v>Sample Rejected</v>
          </cell>
          <cell r="C2886">
            <v>42722.734715543978</v>
          </cell>
        </row>
        <row r="2887">
          <cell r="A2887">
            <v>3034916068</v>
          </cell>
          <cell r="B2887" t="str">
            <v>Sample Rejected</v>
          </cell>
          <cell r="C2887">
            <v>42722.734715543978</v>
          </cell>
        </row>
        <row r="2888">
          <cell r="A2888">
            <v>3034983507</v>
          </cell>
          <cell r="B2888" t="str">
            <v>Sample Rejected</v>
          </cell>
          <cell r="C2888">
            <v>42722.734715543978</v>
          </cell>
        </row>
        <row r="2889">
          <cell r="A2889">
            <v>3035015366</v>
          </cell>
          <cell r="B2889" t="str">
            <v>Sample Rejected</v>
          </cell>
          <cell r="C2889">
            <v>42722.734715543978</v>
          </cell>
        </row>
        <row r="2890">
          <cell r="A2890">
            <v>3035011358</v>
          </cell>
          <cell r="B2890" t="str">
            <v>Sample Rejected</v>
          </cell>
          <cell r="C2890">
            <v>42722.734715543978</v>
          </cell>
        </row>
        <row r="2891">
          <cell r="A2891">
            <v>3034862775</v>
          </cell>
          <cell r="B2891" t="str">
            <v>Sample Rejected</v>
          </cell>
          <cell r="C2891">
            <v>42722.734715543978</v>
          </cell>
        </row>
        <row r="2892">
          <cell r="A2892">
            <v>3035013805</v>
          </cell>
          <cell r="B2892" t="str">
            <v>Sample Rejected</v>
          </cell>
          <cell r="C2892">
            <v>42722.734715543978</v>
          </cell>
        </row>
        <row r="2893">
          <cell r="A2893">
            <v>3035017718</v>
          </cell>
          <cell r="B2893" t="str">
            <v>Sample Rejected</v>
          </cell>
          <cell r="C2893">
            <v>42722.734715543978</v>
          </cell>
        </row>
        <row r="2894">
          <cell r="A2894">
            <v>3035011618</v>
          </cell>
          <cell r="B2894" t="str">
            <v>Sample Rejected</v>
          </cell>
          <cell r="C2894">
            <v>42722.734715543978</v>
          </cell>
        </row>
        <row r="2895">
          <cell r="A2895">
            <v>3035007598</v>
          </cell>
          <cell r="B2895" t="str">
            <v>Sample Rejected</v>
          </cell>
          <cell r="C2895">
            <v>42722.734715543978</v>
          </cell>
        </row>
        <row r="2896">
          <cell r="A2896">
            <v>3035012062</v>
          </cell>
          <cell r="B2896" t="str">
            <v>Sample Rejected</v>
          </cell>
          <cell r="C2896">
            <v>42722.734715543978</v>
          </cell>
        </row>
        <row r="2897">
          <cell r="A2897">
            <v>3035010623</v>
          </cell>
          <cell r="B2897" t="str">
            <v>Sample Rejected</v>
          </cell>
          <cell r="C2897">
            <v>42722.734715543978</v>
          </cell>
        </row>
        <row r="2898">
          <cell r="A2898">
            <v>3035003497</v>
          </cell>
          <cell r="B2898" t="str">
            <v>Sample Rejected</v>
          </cell>
          <cell r="C2898">
            <v>42722.734715543978</v>
          </cell>
        </row>
        <row r="2899">
          <cell r="A2899">
            <v>3034949741</v>
          </cell>
          <cell r="B2899" t="str">
            <v>Sample Rejected</v>
          </cell>
          <cell r="C2899">
            <v>42722.734715543978</v>
          </cell>
        </row>
        <row r="2900">
          <cell r="A2900">
            <v>3035010561</v>
          </cell>
          <cell r="B2900" t="str">
            <v>Sample Rejected</v>
          </cell>
          <cell r="C2900">
            <v>42722.734715543978</v>
          </cell>
        </row>
        <row r="2901">
          <cell r="A2901">
            <v>3035011059</v>
          </cell>
          <cell r="B2901" t="str">
            <v>Sample Rejected</v>
          </cell>
          <cell r="C2901">
            <v>42722.734715543978</v>
          </cell>
        </row>
        <row r="2902">
          <cell r="A2902">
            <v>3035014214</v>
          </cell>
          <cell r="B2902" t="str">
            <v>Sample Rejected</v>
          </cell>
          <cell r="C2902">
            <v>42722.734715543978</v>
          </cell>
        </row>
        <row r="2903">
          <cell r="A2903">
            <v>3035005778</v>
          </cell>
          <cell r="B2903" t="str">
            <v>Sample Rejected</v>
          </cell>
          <cell r="C2903">
            <v>42722.734715543978</v>
          </cell>
        </row>
        <row r="2904">
          <cell r="A2904">
            <v>3034870350</v>
          </cell>
          <cell r="B2904" t="str">
            <v>Sample Rejected</v>
          </cell>
          <cell r="C2904">
            <v>42722.734715543978</v>
          </cell>
        </row>
        <row r="2905">
          <cell r="A2905">
            <v>3035005797</v>
          </cell>
          <cell r="B2905" t="str">
            <v>Sample Rejected</v>
          </cell>
          <cell r="C2905">
            <v>42722.734715543978</v>
          </cell>
        </row>
        <row r="2906">
          <cell r="A2906">
            <v>3035014632</v>
          </cell>
          <cell r="B2906" t="str">
            <v>Sample Rejected</v>
          </cell>
          <cell r="C2906">
            <v>42722.734715543978</v>
          </cell>
        </row>
        <row r="2907">
          <cell r="A2907">
            <v>3035007709</v>
          </cell>
          <cell r="B2907" t="str">
            <v>Sample Rejected</v>
          </cell>
          <cell r="C2907">
            <v>42722.734715543978</v>
          </cell>
        </row>
        <row r="2908">
          <cell r="A2908">
            <v>3035009094</v>
          </cell>
          <cell r="B2908" t="str">
            <v>Sample Rejected</v>
          </cell>
          <cell r="C2908">
            <v>42722.734715543978</v>
          </cell>
        </row>
        <row r="2909">
          <cell r="A2909">
            <v>3034939142</v>
          </cell>
          <cell r="B2909" t="str">
            <v>Sample Rejected</v>
          </cell>
          <cell r="C2909">
            <v>42722.734715543978</v>
          </cell>
        </row>
        <row r="2910">
          <cell r="A2910">
            <v>3035012117</v>
          </cell>
          <cell r="B2910" t="str">
            <v>Sample Rejected</v>
          </cell>
          <cell r="C2910">
            <v>42722.734715543978</v>
          </cell>
        </row>
        <row r="2911">
          <cell r="A2911">
            <v>3035006247</v>
          </cell>
          <cell r="B2911" t="str">
            <v>Sample Rejected</v>
          </cell>
          <cell r="C2911">
            <v>42722.734715543978</v>
          </cell>
        </row>
        <row r="2912">
          <cell r="A2912">
            <v>3035077019</v>
          </cell>
          <cell r="B2912" t="str">
            <v>Sample Rejected</v>
          </cell>
          <cell r="C2912">
            <v>42725.734927546298</v>
          </cell>
        </row>
        <row r="2913">
          <cell r="A2913">
            <v>3035075131</v>
          </cell>
          <cell r="B2913" t="str">
            <v>Sample Rejected</v>
          </cell>
          <cell r="C2913">
            <v>42725.734927546298</v>
          </cell>
        </row>
        <row r="2914">
          <cell r="A2914">
            <v>3035070633</v>
          </cell>
          <cell r="B2914" t="str">
            <v>Sample Rejected</v>
          </cell>
          <cell r="C2914">
            <v>42725.734927546298</v>
          </cell>
        </row>
        <row r="2915">
          <cell r="A2915">
            <v>3035010712</v>
          </cell>
          <cell r="B2915" t="str">
            <v>Sample Rejected</v>
          </cell>
          <cell r="C2915">
            <v>42725.734927546298</v>
          </cell>
        </row>
        <row r="2916">
          <cell r="A2916">
            <v>3035066182</v>
          </cell>
          <cell r="B2916" t="str">
            <v>Sample Rejected</v>
          </cell>
          <cell r="C2916">
            <v>42725.734927546298</v>
          </cell>
        </row>
        <row r="2917">
          <cell r="A2917">
            <v>3035064537</v>
          </cell>
          <cell r="B2917" t="str">
            <v>Sample Rejected</v>
          </cell>
          <cell r="C2917">
            <v>42725.734927546298</v>
          </cell>
        </row>
        <row r="2918">
          <cell r="A2918">
            <v>3035007330</v>
          </cell>
          <cell r="B2918" t="str">
            <v>Sample Rejected</v>
          </cell>
          <cell r="C2918">
            <v>42725.734927546298</v>
          </cell>
        </row>
        <row r="2919">
          <cell r="A2919">
            <v>3035073849</v>
          </cell>
          <cell r="B2919" t="str">
            <v>Sample Rejected</v>
          </cell>
          <cell r="C2919">
            <v>42725.734927546298</v>
          </cell>
        </row>
        <row r="2920">
          <cell r="A2920">
            <v>3035064070</v>
          </cell>
          <cell r="B2920" t="str">
            <v>Sample Rejected</v>
          </cell>
          <cell r="C2920">
            <v>42725.734927546298</v>
          </cell>
        </row>
        <row r="2921">
          <cell r="A2921">
            <v>3035064583</v>
          </cell>
          <cell r="B2921" t="str">
            <v>Sample Rejected</v>
          </cell>
          <cell r="C2921">
            <v>42725.734927546298</v>
          </cell>
        </row>
        <row r="2922">
          <cell r="A2922">
            <v>3035038902</v>
          </cell>
          <cell r="B2922" t="str">
            <v>Sample Rejected</v>
          </cell>
          <cell r="C2922">
            <v>42725.734927546298</v>
          </cell>
        </row>
        <row r="2923">
          <cell r="A2923">
            <v>3035065466</v>
          </cell>
          <cell r="B2923" t="str">
            <v>Sample Rejected</v>
          </cell>
          <cell r="C2923">
            <v>42725.734927546298</v>
          </cell>
        </row>
        <row r="2924">
          <cell r="A2924">
            <v>3035018437</v>
          </cell>
          <cell r="B2924" t="str">
            <v>Sample Rejected</v>
          </cell>
          <cell r="C2924">
            <v>42725.734927546298</v>
          </cell>
        </row>
        <row r="2925">
          <cell r="A2925">
            <v>3035062060</v>
          </cell>
          <cell r="B2925" t="str">
            <v>Sample Rejected</v>
          </cell>
          <cell r="C2925">
            <v>42725.734927546298</v>
          </cell>
        </row>
        <row r="2926">
          <cell r="A2926">
            <v>3035074359</v>
          </cell>
          <cell r="B2926" t="str">
            <v>Sample Rejected</v>
          </cell>
          <cell r="C2926">
            <v>42725.734927546298</v>
          </cell>
        </row>
        <row r="2927">
          <cell r="A2927">
            <v>3035003481</v>
          </cell>
          <cell r="B2927" t="str">
            <v>Sample Rejected</v>
          </cell>
          <cell r="C2927">
            <v>42725.734927546298</v>
          </cell>
        </row>
        <row r="2928">
          <cell r="A2928">
            <v>3035079231</v>
          </cell>
          <cell r="B2928" t="str">
            <v>Sample Rejected</v>
          </cell>
          <cell r="C2928">
            <v>42725.734927546298</v>
          </cell>
        </row>
        <row r="2929">
          <cell r="A2929">
            <v>3035082190</v>
          </cell>
          <cell r="B2929" t="str">
            <v>Sample Rejected</v>
          </cell>
          <cell r="C2929">
            <v>42725.734927546298</v>
          </cell>
        </row>
        <row r="2930">
          <cell r="A2930">
            <v>3035081356</v>
          </cell>
          <cell r="B2930" t="str">
            <v>Sample Rejected</v>
          </cell>
          <cell r="C2930">
            <v>42725.734927546298</v>
          </cell>
        </row>
        <row r="2931">
          <cell r="A2931">
            <v>3035063572</v>
          </cell>
          <cell r="B2931" t="str">
            <v>Sample Rejected</v>
          </cell>
          <cell r="C2931">
            <v>42725.734927546298</v>
          </cell>
        </row>
        <row r="2932">
          <cell r="A2932">
            <v>3035064922</v>
          </cell>
          <cell r="B2932" t="str">
            <v>Sample Rejected</v>
          </cell>
          <cell r="C2932">
            <v>42725.734927546298</v>
          </cell>
        </row>
        <row r="2933">
          <cell r="A2933">
            <v>3035066411</v>
          </cell>
          <cell r="B2933" t="str">
            <v>Sample Rejected</v>
          </cell>
          <cell r="C2933">
            <v>42725.734927546298</v>
          </cell>
        </row>
        <row r="2934">
          <cell r="A2934">
            <v>3035077267</v>
          </cell>
          <cell r="B2934" t="str">
            <v>Sample Rejected</v>
          </cell>
          <cell r="C2934">
            <v>42725.734927546298</v>
          </cell>
        </row>
        <row r="2935">
          <cell r="A2935">
            <v>3035065429</v>
          </cell>
          <cell r="B2935" t="str">
            <v>Sample Rejected</v>
          </cell>
          <cell r="C2935">
            <v>42725.734927546298</v>
          </cell>
        </row>
        <row r="2936">
          <cell r="A2936">
            <v>3035076713</v>
          </cell>
          <cell r="B2936" t="str">
            <v>Sample Rejected</v>
          </cell>
          <cell r="C2936">
            <v>42725.734927546298</v>
          </cell>
        </row>
        <row r="2937">
          <cell r="A2937">
            <v>3034881954</v>
          </cell>
          <cell r="B2937" t="str">
            <v>Sample Rejected</v>
          </cell>
          <cell r="C2937">
            <v>42725.734927546298</v>
          </cell>
        </row>
        <row r="2938">
          <cell r="A2938">
            <v>3035068483</v>
          </cell>
          <cell r="B2938" t="str">
            <v>Sample Rejected</v>
          </cell>
          <cell r="C2938">
            <v>42725.734927546298</v>
          </cell>
        </row>
        <row r="2939">
          <cell r="A2939">
            <v>3035064226</v>
          </cell>
          <cell r="B2939" t="str">
            <v>Sample Rejected</v>
          </cell>
          <cell r="C2939">
            <v>42725.734927546298</v>
          </cell>
        </row>
        <row r="2940">
          <cell r="A2940">
            <v>3035077509</v>
          </cell>
          <cell r="B2940" t="str">
            <v>Sample Rejected</v>
          </cell>
          <cell r="C2940">
            <v>42725.734927546298</v>
          </cell>
        </row>
        <row r="2941">
          <cell r="A2941">
            <v>3035062937</v>
          </cell>
          <cell r="B2941" t="str">
            <v>Sample Rejected</v>
          </cell>
          <cell r="C2941">
            <v>42725.734927546298</v>
          </cell>
        </row>
        <row r="2942">
          <cell r="A2942">
            <v>3035016240</v>
          </cell>
          <cell r="B2942" t="str">
            <v>Sample Rejected</v>
          </cell>
          <cell r="C2942">
            <v>42725.734927546298</v>
          </cell>
        </row>
        <row r="2943">
          <cell r="A2943">
            <v>3035081150</v>
          </cell>
          <cell r="B2943" t="str">
            <v>Sample Rejected</v>
          </cell>
          <cell r="C2943">
            <v>42725.734927546298</v>
          </cell>
        </row>
        <row r="2944">
          <cell r="A2944">
            <v>3035079449</v>
          </cell>
          <cell r="B2944" t="str">
            <v>Sample Rejected</v>
          </cell>
          <cell r="C2944">
            <v>42725.734927546298</v>
          </cell>
        </row>
        <row r="2945">
          <cell r="A2945">
            <v>3035080252</v>
          </cell>
          <cell r="B2945" t="str">
            <v>Sample Rejected</v>
          </cell>
          <cell r="C2945">
            <v>42725.734927546298</v>
          </cell>
        </row>
        <row r="2946">
          <cell r="A2946">
            <v>3035062306</v>
          </cell>
          <cell r="B2946" t="str">
            <v>Sample Rejected</v>
          </cell>
          <cell r="C2946">
            <v>42725.734927546298</v>
          </cell>
        </row>
        <row r="2947">
          <cell r="A2947">
            <v>3035068206</v>
          </cell>
          <cell r="B2947" t="str">
            <v>Sample Rejected</v>
          </cell>
          <cell r="C2947">
            <v>42725.734927546298</v>
          </cell>
        </row>
        <row r="2948">
          <cell r="A2948">
            <v>3035078067</v>
          </cell>
          <cell r="B2948" t="str">
            <v>Sample Rejected</v>
          </cell>
          <cell r="C2948">
            <v>42725.734927546298</v>
          </cell>
        </row>
        <row r="2949">
          <cell r="A2949">
            <v>3034802739</v>
          </cell>
          <cell r="B2949" t="str">
            <v>Sample Rejected</v>
          </cell>
          <cell r="C2949">
            <v>42725.734927546298</v>
          </cell>
        </row>
        <row r="2950">
          <cell r="A2950">
            <v>3035064243</v>
          </cell>
          <cell r="B2950" t="str">
            <v>Sample Rejected</v>
          </cell>
          <cell r="C2950">
            <v>42725.734927546298</v>
          </cell>
        </row>
        <row r="2951">
          <cell r="A2951">
            <v>3035067455</v>
          </cell>
          <cell r="B2951" t="str">
            <v>Sample Rejected</v>
          </cell>
          <cell r="C2951">
            <v>42725.734927546298</v>
          </cell>
        </row>
        <row r="2952">
          <cell r="A2952">
            <v>3035073872</v>
          </cell>
          <cell r="B2952" t="str">
            <v>Sample Rejected</v>
          </cell>
          <cell r="C2952">
            <v>42725.734927546298</v>
          </cell>
        </row>
        <row r="2953">
          <cell r="A2953">
            <v>3035067981</v>
          </cell>
          <cell r="B2953" t="str">
            <v>Sample Rejected</v>
          </cell>
          <cell r="C2953">
            <v>42725.734927546298</v>
          </cell>
        </row>
        <row r="2954">
          <cell r="A2954">
            <v>3034948535</v>
          </cell>
          <cell r="B2954" t="str">
            <v>Sample Rejected</v>
          </cell>
          <cell r="C2954">
            <v>42725.734927546298</v>
          </cell>
        </row>
        <row r="2955">
          <cell r="A2955">
            <v>3035067089</v>
          </cell>
          <cell r="B2955" t="str">
            <v>Sample Rejected</v>
          </cell>
          <cell r="C2955">
            <v>42725.734927546298</v>
          </cell>
        </row>
        <row r="2956">
          <cell r="A2956">
            <v>3035078674</v>
          </cell>
          <cell r="B2956" t="str">
            <v>Sample Rejected</v>
          </cell>
          <cell r="C2956">
            <v>42725.734927546298</v>
          </cell>
        </row>
        <row r="2957">
          <cell r="A2957">
            <v>3034986015</v>
          </cell>
          <cell r="B2957" t="str">
            <v>Sample Rejected</v>
          </cell>
          <cell r="C2957">
            <v>42725.734927546298</v>
          </cell>
        </row>
        <row r="2958">
          <cell r="A2958">
            <v>3035073235</v>
          </cell>
          <cell r="B2958" t="str">
            <v>Sample Rejected</v>
          </cell>
          <cell r="C2958">
            <v>42725.734927546298</v>
          </cell>
        </row>
        <row r="2959">
          <cell r="A2959">
            <v>3035084852</v>
          </cell>
          <cell r="B2959" t="str">
            <v>Sample Rejected</v>
          </cell>
          <cell r="C2959">
            <v>42725.734927546298</v>
          </cell>
        </row>
        <row r="2960">
          <cell r="A2960">
            <v>3035077066</v>
          </cell>
          <cell r="B2960" t="str">
            <v>Sample Rejected</v>
          </cell>
          <cell r="C2960">
            <v>42725.734927546298</v>
          </cell>
        </row>
        <row r="2961">
          <cell r="A2961">
            <v>3035064372</v>
          </cell>
          <cell r="B2961" t="str">
            <v>Sample Rejected</v>
          </cell>
          <cell r="C2961">
            <v>42725.734927546298</v>
          </cell>
        </row>
        <row r="2962">
          <cell r="A2962">
            <v>3035077911</v>
          </cell>
          <cell r="B2962" t="str">
            <v>Sample Rejected</v>
          </cell>
          <cell r="C2962">
            <v>42725.734927546298</v>
          </cell>
        </row>
        <row r="2963">
          <cell r="A2963">
            <v>3035074440</v>
          </cell>
          <cell r="B2963" t="str">
            <v>Sample Rejected</v>
          </cell>
          <cell r="C2963">
            <v>42725.734927546298</v>
          </cell>
        </row>
        <row r="2964">
          <cell r="A2964">
            <v>3035065987</v>
          </cell>
          <cell r="B2964" t="str">
            <v>Sample Rejected</v>
          </cell>
          <cell r="C2964">
            <v>42725.734927546298</v>
          </cell>
        </row>
        <row r="2965">
          <cell r="A2965">
            <v>3035074520</v>
          </cell>
          <cell r="B2965" t="str">
            <v>Sample Rejected</v>
          </cell>
          <cell r="C2965">
            <v>42725.734927546298</v>
          </cell>
        </row>
        <row r="2966">
          <cell r="A2966">
            <v>3035066275</v>
          </cell>
          <cell r="B2966" t="str">
            <v>Sample Rejected</v>
          </cell>
          <cell r="C2966">
            <v>42725.734927546298</v>
          </cell>
        </row>
        <row r="2967">
          <cell r="A2967">
            <v>3035074626</v>
          </cell>
          <cell r="B2967" t="str">
            <v>Sample Rejected</v>
          </cell>
          <cell r="C2967">
            <v>42725.734927546298</v>
          </cell>
        </row>
        <row r="2968">
          <cell r="A2968">
            <v>3034980076</v>
          </cell>
          <cell r="B2968" t="str">
            <v>Sample Rejected</v>
          </cell>
          <cell r="C2968">
            <v>42725.734927546298</v>
          </cell>
        </row>
        <row r="2969">
          <cell r="A2969">
            <v>3035076223</v>
          </cell>
          <cell r="B2969" t="str">
            <v>Sample Rejected</v>
          </cell>
          <cell r="C2969">
            <v>42725.734927546298</v>
          </cell>
        </row>
        <row r="2970">
          <cell r="A2970">
            <v>3035083778</v>
          </cell>
          <cell r="B2970" t="str">
            <v>Sample Rejected</v>
          </cell>
          <cell r="C2970">
            <v>42725.734927546298</v>
          </cell>
        </row>
        <row r="2971">
          <cell r="A2971">
            <v>3035062301</v>
          </cell>
          <cell r="B2971" t="str">
            <v>Sample Rejected</v>
          </cell>
          <cell r="C2971">
            <v>42725.734927546298</v>
          </cell>
        </row>
        <row r="2972">
          <cell r="A2972">
            <v>3034709135</v>
          </cell>
          <cell r="B2972" t="str">
            <v>Sample Rejected</v>
          </cell>
          <cell r="C2972">
            <v>42725.734927546298</v>
          </cell>
        </row>
        <row r="2973">
          <cell r="A2973">
            <v>3035074997</v>
          </cell>
          <cell r="B2973" t="str">
            <v>Sample Rejected</v>
          </cell>
          <cell r="C2973">
            <v>42725.734927546298</v>
          </cell>
        </row>
        <row r="2974">
          <cell r="A2974">
            <v>3035083512</v>
          </cell>
          <cell r="B2974" t="str">
            <v>Sample Rejected</v>
          </cell>
          <cell r="C2974">
            <v>42725.734927546298</v>
          </cell>
        </row>
        <row r="2975">
          <cell r="A2975">
            <v>3035064706</v>
          </cell>
          <cell r="B2975" t="str">
            <v>Sample Rejected</v>
          </cell>
          <cell r="C2975">
            <v>42725.734927546298</v>
          </cell>
        </row>
        <row r="2976">
          <cell r="A2976">
            <v>3035065080</v>
          </cell>
          <cell r="B2976" t="str">
            <v>Sample Rejected</v>
          </cell>
          <cell r="C2976">
            <v>42725.734927546298</v>
          </cell>
        </row>
        <row r="2977">
          <cell r="A2977">
            <v>3035079967</v>
          </cell>
          <cell r="B2977" t="str">
            <v>Sample Rejected</v>
          </cell>
          <cell r="C2977">
            <v>42725.734927546298</v>
          </cell>
        </row>
        <row r="2978">
          <cell r="A2978">
            <v>3035070848</v>
          </cell>
          <cell r="B2978" t="str">
            <v>Sample Rejected</v>
          </cell>
          <cell r="C2978">
            <v>42725.734927546298</v>
          </cell>
        </row>
        <row r="2979">
          <cell r="A2979">
            <v>3035079063</v>
          </cell>
          <cell r="B2979" t="str">
            <v>Sample Rejected</v>
          </cell>
          <cell r="C2979">
            <v>42725.734927546298</v>
          </cell>
        </row>
        <row r="2980">
          <cell r="A2980">
            <v>3035074989</v>
          </cell>
          <cell r="B2980" t="str">
            <v>Sample Rejected</v>
          </cell>
          <cell r="C2980">
            <v>42725.734927546298</v>
          </cell>
        </row>
        <row r="2981">
          <cell r="A2981">
            <v>3035030526</v>
          </cell>
          <cell r="B2981" t="str">
            <v>Sample Rejected</v>
          </cell>
          <cell r="C2981">
            <v>42725.734927546298</v>
          </cell>
        </row>
        <row r="2982">
          <cell r="A2982">
            <v>3035081535</v>
          </cell>
          <cell r="B2982" t="str">
            <v>Sample Rejected</v>
          </cell>
          <cell r="C2982">
            <v>42725.734927546298</v>
          </cell>
        </row>
        <row r="2983">
          <cell r="A2983">
            <v>3035074910</v>
          </cell>
          <cell r="B2983" t="str">
            <v>Sample Rejected</v>
          </cell>
          <cell r="C2983">
            <v>42725.734927546298</v>
          </cell>
        </row>
        <row r="2984">
          <cell r="A2984">
            <v>3035066263</v>
          </cell>
          <cell r="B2984" t="str">
            <v>Sample Rejected</v>
          </cell>
          <cell r="C2984">
            <v>42725.734927546298</v>
          </cell>
        </row>
        <row r="2985">
          <cell r="A2985">
            <v>3035073769</v>
          </cell>
          <cell r="B2985" t="str">
            <v>Sample Rejected</v>
          </cell>
          <cell r="C2985">
            <v>42725.734927546298</v>
          </cell>
        </row>
        <row r="2986">
          <cell r="A2986">
            <v>3035067077</v>
          </cell>
          <cell r="B2986" t="str">
            <v>Sample Rejected</v>
          </cell>
          <cell r="C2986">
            <v>42725.734927546298</v>
          </cell>
        </row>
        <row r="2987">
          <cell r="A2987">
            <v>3035068078</v>
          </cell>
          <cell r="B2987" t="str">
            <v>Sample Rejected</v>
          </cell>
          <cell r="C2987">
            <v>42725.734927546298</v>
          </cell>
        </row>
        <row r="2988">
          <cell r="A2988">
            <v>3035077556</v>
          </cell>
          <cell r="B2988" t="str">
            <v>Sample Rejected</v>
          </cell>
          <cell r="C2988">
            <v>42725.734927546298</v>
          </cell>
        </row>
        <row r="2989">
          <cell r="A2989">
            <v>3035077569</v>
          </cell>
          <cell r="B2989" t="str">
            <v>Sample Rejected</v>
          </cell>
          <cell r="C2989">
            <v>42725.734927546298</v>
          </cell>
        </row>
        <row r="2990">
          <cell r="A2990">
            <v>3035063571</v>
          </cell>
          <cell r="B2990" t="str">
            <v>Sample Rejected</v>
          </cell>
          <cell r="C2990">
            <v>42725.734927546298</v>
          </cell>
        </row>
        <row r="2991">
          <cell r="A2991">
            <v>3035067985</v>
          </cell>
          <cell r="B2991" t="str">
            <v>Sample Rejected</v>
          </cell>
          <cell r="C2991">
            <v>42725.734927546298</v>
          </cell>
        </row>
        <row r="2992">
          <cell r="A2992">
            <v>3035083506</v>
          </cell>
          <cell r="B2992" t="str">
            <v>Sample Rejected</v>
          </cell>
          <cell r="C2992">
            <v>42725.734927546298</v>
          </cell>
        </row>
        <row r="2993">
          <cell r="A2993">
            <v>3035064952</v>
          </cell>
          <cell r="B2993" t="str">
            <v>Sample Rejected</v>
          </cell>
          <cell r="C2993">
            <v>42725.734927546298</v>
          </cell>
        </row>
        <row r="2994">
          <cell r="A2994">
            <v>3035073596</v>
          </cell>
          <cell r="B2994" t="str">
            <v>Sample Rejected</v>
          </cell>
          <cell r="C2994">
            <v>42725.734927546298</v>
          </cell>
        </row>
        <row r="2995">
          <cell r="A2995">
            <v>3035080908</v>
          </cell>
          <cell r="B2995" t="str">
            <v>Sample Rejected</v>
          </cell>
          <cell r="C2995">
            <v>42725.734927546298</v>
          </cell>
        </row>
        <row r="2996">
          <cell r="A2996">
            <v>3035067518</v>
          </cell>
          <cell r="B2996" t="str">
            <v>Sample Rejected</v>
          </cell>
          <cell r="C2996">
            <v>42725.734927546298</v>
          </cell>
        </row>
        <row r="2997">
          <cell r="A2997">
            <v>3035065174</v>
          </cell>
          <cell r="B2997" t="str">
            <v>Sample Rejected</v>
          </cell>
          <cell r="C2997">
            <v>42725.734927546298</v>
          </cell>
        </row>
        <row r="2998">
          <cell r="A2998">
            <v>3035064719</v>
          </cell>
          <cell r="B2998" t="str">
            <v>Sample Rejected</v>
          </cell>
          <cell r="C2998">
            <v>42725.734927546298</v>
          </cell>
        </row>
        <row r="2999">
          <cell r="A2999">
            <v>3034878896</v>
          </cell>
          <cell r="B2999" t="str">
            <v>Sample Rejected</v>
          </cell>
          <cell r="C2999">
            <v>42725.734927546298</v>
          </cell>
        </row>
        <row r="3000">
          <cell r="A3000">
            <v>3035067421</v>
          </cell>
          <cell r="B3000" t="str">
            <v>Sample Rejected</v>
          </cell>
          <cell r="C3000">
            <v>42725.734927546298</v>
          </cell>
        </row>
        <row r="3001">
          <cell r="A3001">
            <v>3034693129</v>
          </cell>
          <cell r="B3001" t="str">
            <v>Sample Rejected</v>
          </cell>
          <cell r="C3001">
            <v>42725.734927546298</v>
          </cell>
        </row>
        <row r="3002">
          <cell r="A3002">
            <v>3035069639</v>
          </cell>
          <cell r="B3002" t="str">
            <v>Sample Rejected</v>
          </cell>
          <cell r="C3002">
            <v>42725.734927546298</v>
          </cell>
        </row>
        <row r="3003">
          <cell r="A3003">
            <v>3035068526</v>
          </cell>
          <cell r="B3003" t="str">
            <v>Sample Rejected</v>
          </cell>
          <cell r="C3003">
            <v>42725.734927546298</v>
          </cell>
        </row>
        <row r="3004">
          <cell r="A3004">
            <v>3035077200</v>
          </cell>
          <cell r="B3004" t="str">
            <v>Sample Rejected</v>
          </cell>
          <cell r="C3004">
            <v>42725.734927546298</v>
          </cell>
        </row>
        <row r="3005">
          <cell r="A3005">
            <v>3035079122</v>
          </cell>
          <cell r="B3005" t="str">
            <v>Sample Rejected</v>
          </cell>
          <cell r="C3005">
            <v>42725.734927546298</v>
          </cell>
        </row>
        <row r="3006">
          <cell r="A3006">
            <v>3035067720</v>
          </cell>
          <cell r="B3006" t="str">
            <v>Sample Rejected</v>
          </cell>
          <cell r="C3006">
            <v>42725.734927546298</v>
          </cell>
        </row>
        <row r="3007">
          <cell r="A3007">
            <v>3035063032</v>
          </cell>
          <cell r="B3007" t="str">
            <v>Sample Rejected</v>
          </cell>
          <cell r="C3007">
            <v>42725.734927546298</v>
          </cell>
        </row>
        <row r="3008">
          <cell r="A3008">
            <v>3035065065</v>
          </cell>
          <cell r="B3008" t="str">
            <v>Sample Rejected</v>
          </cell>
          <cell r="C3008">
            <v>42725.734927546298</v>
          </cell>
        </row>
        <row r="3009">
          <cell r="A3009">
            <v>3035072962</v>
          </cell>
          <cell r="B3009" t="str">
            <v>Sample Rejected</v>
          </cell>
          <cell r="C3009">
            <v>42725.734927546298</v>
          </cell>
        </row>
        <row r="3010">
          <cell r="A3010">
            <v>3034983683</v>
          </cell>
          <cell r="B3010" t="str">
            <v>Sample Rejected</v>
          </cell>
          <cell r="C3010">
            <v>42725.734927546298</v>
          </cell>
        </row>
        <row r="3011">
          <cell r="A3011">
            <v>3035065177</v>
          </cell>
          <cell r="B3011" t="str">
            <v>Sample Rejected</v>
          </cell>
          <cell r="C3011">
            <v>42725.734927546298</v>
          </cell>
        </row>
        <row r="3012">
          <cell r="A3012">
            <v>3035063641</v>
          </cell>
          <cell r="B3012" t="str">
            <v>Sample Rejected</v>
          </cell>
          <cell r="C3012">
            <v>42725.734927546298</v>
          </cell>
        </row>
        <row r="3013">
          <cell r="A3013">
            <v>3035074781</v>
          </cell>
          <cell r="B3013" t="str">
            <v>Sample Rejected</v>
          </cell>
          <cell r="C3013">
            <v>42725.734927546298</v>
          </cell>
        </row>
        <row r="3014">
          <cell r="A3014">
            <v>3035064272</v>
          </cell>
          <cell r="B3014" t="str">
            <v>Sample Rejected</v>
          </cell>
          <cell r="C3014">
            <v>42725.734927546298</v>
          </cell>
        </row>
        <row r="3015">
          <cell r="A3015">
            <v>3035069917</v>
          </cell>
          <cell r="B3015" t="str">
            <v>Sample Rejected</v>
          </cell>
          <cell r="C3015">
            <v>42725.734927546298</v>
          </cell>
        </row>
        <row r="3016">
          <cell r="A3016">
            <v>3035063793</v>
          </cell>
          <cell r="B3016" t="str">
            <v>Sample Rejected</v>
          </cell>
          <cell r="C3016">
            <v>42725.734927546298</v>
          </cell>
        </row>
        <row r="3017">
          <cell r="A3017">
            <v>3034879090</v>
          </cell>
          <cell r="B3017" t="str">
            <v>Sample Rejected</v>
          </cell>
          <cell r="C3017">
            <v>42725.734927546298</v>
          </cell>
        </row>
        <row r="3018">
          <cell r="A3018">
            <v>3034987145</v>
          </cell>
          <cell r="B3018" t="str">
            <v>Sample Rejected</v>
          </cell>
          <cell r="C3018">
            <v>42725.734927546298</v>
          </cell>
        </row>
        <row r="3019">
          <cell r="A3019">
            <v>3035076640</v>
          </cell>
          <cell r="B3019" t="str">
            <v>Sample Rejected</v>
          </cell>
          <cell r="C3019">
            <v>42725.734927546298</v>
          </cell>
        </row>
        <row r="3020">
          <cell r="A3020">
            <v>3035064592</v>
          </cell>
          <cell r="B3020" t="str">
            <v>Sample Rejected</v>
          </cell>
          <cell r="C3020">
            <v>42725.734927546298</v>
          </cell>
        </row>
        <row r="3021">
          <cell r="A3021">
            <v>3035082443</v>
          </cell>
          <cell r="B3021" t="str">
            <v>Sample Rejected</v>
          </cell>
          <cell r="C3021">
            <v>42725.734927546298</v>
          </cell>
        </row>
        <row r="3022">
          <cell r="A3022">
            <v>3035075813</v>
          </cell>
          <cell r="B3022" t="str">
            <v>Sample Rejected</v>
          </cell>
          <cell r="C3022">
            <v>42725.734927546298</v>
          </cell>
        </row>
        <row r="3023">
          <cell r="A3023">
            <v>3034982991</v>
          </cell>
          <cell r="B3023" t="str">
            <v>Sample Rejected</v>
          </cell>
          <cell r="C3023">
            <v>42725.734927546298</v>
          </cell>
        </row>
        <row r="3024">
          <cell r="A3024">
            <v>3035064191</v>
          </cell>
          <cell r="B3024" t="str">
            <v>Sample Rejected</v>
          </cell>
          <cell r="C3024">
            <v>42725.734927546298</v>
          </cell>
        </row>
        <row r="3025">
          <cell r="A3025">
            <v>3035064420</v>
          </cell>
          <cell r="B3025" t="str">
            <v>Sample Rejected</v>
          </cell>
          <cell r="C3025">
            <v>42725.734927546298</v>
          </cell>
        </row>
        <row r="3026">
          <cell r="A3026">
            <v>3035070137</v>
          </cell>
          <cell r="B3026" t="str">
            <v>Sample Rejected</v>
          </cell>
          <cell r="C3026">
            <v>42725.734927546298</v>
          </cell>
        </row>
        <row r="3027">
          <cell r="A3027">
            <v>3035080114</v>
          </cell>
          <cell r="B3027" t="str">
            <v>Sample Rejected</v>
          </cell>
          <cell r="C3027">
            <v>42725.734927546298</v>
          </cell>
        </row>
        <row r="3028">
          <cell r="A3028">
            <v>3034717703</v>
          </cell>
          <cell r="B3028" t="str">
            <v>Sample Rejected</v>
          </cell>
          <cell r="C3028">
            <v>42725.734927546298</v>
          </cell>
        </row>
        <row r="3029">
          <cell r="A3029">
            <v>3035085173</v>
          </cell>
          <cell r="B3029" t="str">
            <v>Sample Rejected</v>
          </cell>
          <cell r="C3029">
            <v>42725.734927546298</v>
          </cell>
        </row>
        <row r="3030">
          <cell r="A3030">
            <v>3035073707</v>
          </cell>
          <cell r="B3030" t="str">
            <v>Sample Rejected</v>
          </cell>
          <cell r="C3030">
            <v>42725.734927546298</v>
          </cell>
        </row>
        <row r="3031">
          <cell r="A3031">
            <v>3034989302</v>
          </cell>
          <cell r="B3031" t="str">
            <v>Sample Rejected</v>
          </cell>
          <cell r="C3031">
            <v>42725.734927546298</v>
          </cell>
        </row>
        <row r="3032">
          <cell r="A3032">
            <v>3035078740</v>
          </cell>
          <cell r="B3032" t="str">
            <v>Sample Rejected</v>
          </cell>
          <cell r="C3032">
            <v>42725.734927546298</v>
          </cell>
        </row>
        <row r="3033">
          <cell r="A3033">
            <v>3034669018</v>
          </cell>
          <cell r="B3033" t="str">
            <v>Sample Rejected</v>
          </cell>
          <cell r="C3033">
            <v>42725.734927546298</v>
          </cell>
        </row>
        <row r="3034">
          <cell r="A3034">
            <v>3035083121</v>
          </cell>
          <cell r="B3034" t="str">
            <v>Sample Rejected</v>
          </cell>
          <cell r="C3034">
            <v>42725.734927546298</v>
          </cell>
        </row>
        <row r="3035">
          <cell r="A3035">
            <v>3035069696</v>
          </cell>
          <cell r="B3035" t="str">
            <v>Sample Rejected</v>
          </cell>
          <cell r="C3035">
            <v>42725.734927546298</v>
          </cell>
        </row>
        <row r="3036">
          <cell r="A3036">
            <v>3035067614</v>
          </cell>
          <cell r="B3036" t="str">
            <v>Sample Rejected</v>
          </cell>
          <cell r="C3036">
            <v>42725.734927546298</v>
          </cell>
        </row>
        <row r="3037">
          <cell r="A3037">
            <v>3035067448</v>
          </cell>
          <cell r="B3037" t="str">
            <v>Sample Rejected</v>
          </cell>
          <cell r="C3037">
            <v>42725.734927546298</v>
          </cell>
        </row>
        <row r="3038">
          <cell r="A3038">
            <v>3034988053</v>
          </cell>
          <cell r="B3038" t="str">
            <v>Sample Rejected</v>
          </cell>
          <cell r="C3038">
            <v>42725.734927546298</v>
          </cell>
        </row>
        <row r="3039">
          <cell r="A3039">
            <v>3035077661</v>
          </cell>
          <cell r="B3039" t="str">
            <v>Sample Rejected</v>
          </cell>
          <cell r="C3039">
            <v>42725.734927546298</v>
          </cell>
        </row>
        <row r="3040">
          <cell r="A3040">
            <v>3034987460</v>
          </cell>
          <cell r="B3040" t="str">
            <v>Sample Rejected</v>
          </cell>
          <cell r="C3040">
            <v>42725.734927546298</v>
          </cell>
        </row>
        <row r="3041">
          <cell r="A3041">
            <v>3035064058</v>
          </cell>
          <cell r="B3041" t="str">
            <v>Sample Rejected</v>
          </cell>
          <cell r="C3041">
            <v>42725.734927546298</v>
          </cell>
        </row>
        <row r="3042">
          <cell r="A3042">
            <v>3035074888</v>
          </cell>
          <cell r="B3042" t="str">
            <v>Sample Rejected</v>
          </cell>
          <cell r="C3042">
            <v>42725.734927546298</v>
          </cell>
        </row>
        <row r="3043">
          <cell r="A3043">
            <v>3035069339</v>
          </cell>
          <cell r="B3043" t="str">
            <v>Sample Rejected</v>
          </cell>
          <cell r="C3043">
            <v>42725.734927546298</v>
          </cell>
        </row>
        <row r="3044">
          <cell r="A3044">
            <v>3034950849</v>
          </cell>
          <cell r="B3044" t="str">
            <v>Sample Rejected</v>
          </cell>
          <cell r="C3044">
            <v>42725.734927546298</v>
          </cell>
        </row>
        <row r="3045">
          <cell r="A3045">
            <v>3035066350</v>
          </cell>
          <cell r="B3045" t="str">
            <v>Sample Rejected</v>
          </cell>
          <cell r="C3045">
            <v>42725.734927546298</v>
          </cell>
        </row>
        <row r="3046">
          <cell r="A3046">
            <v>3035069150</v>
          </cell>
          <cell r="B3046" t="str">
            <v>Sample Rejected</v>
          </cell>
          <cell r="C3046">
            <v>42725.734927546298</v>
          </cell>
        </row>
        <row r="3047">
          <cell r="A3047">
            <v>3035083730</v>
          </cell>
          <cell r="B3047" t="str">
            <v>Sample Rejected</v>
          </cell>
          <cell r="C3047">
            <v>42725.734927546298</v>
          </cell>
        </row>
        <row r="3048">
          <cell r="A3048">
            <v>3035080450</v>
          </cell>
          <cell r="B3048" t="str">
            <v>Sample Rejected</v>
          </cell>
          <cell r="C3048">
            <v>42725.734927546298</v>
          </cell>
        </row>
        <row r="3049">
          <cell r="A3049">
            <v>3035033708</v>
          </cell>
          <cell r="B3049" t="str">
            <v>Sample Rejected</v>
          </cell>
          <cell r="C3049">
            <v>42723.734847997686</v>
          </cell>
        </row>
        <row r="3050">
          <cell r="A3050">
            <v>3035006398</v>
          </cell>
          <cell r="B3050" t="str">
            <v>Sample Rejected</v>
          </cell>
          <cell r="C3050">
            <v>42723.734847997686</v>
          </cell>
        </row>
        <row r="3051">
          <cell r="A3051">
            <v>3035030458</v>
          </cell>
          <cell r="B3051" t="str">
            <v>Sample Rejected</v>
          </cell>
          <cell r="C3051">
            <v>42723.734847997686</v>
          </cell>
        </row>
        <row r="3052">
          <cell r="A3052">
            <v>3035031515</v>
          </cell>
          <cell r="B3052" t="str">
            <v>Sample Rejected</v>
          </cell>
          <cell r="C3052">
            <v>42723.734847997686</v>
          </cell>
        </row>
        <row r="3053">
          <cell r="A3053">
            <v>3035034904</v>
          </cell>
          <cell r="B3053" t="str">
            <v>Sample Rejected</v>
          </cell>
          <cell r="C3053">
            <v>42723.734847997686</v>
          </cell>
        </row>
        <row r="3054">
          <cell r="A3054">
            <v>3035036757</v>
          </cell>
          <cell r="B3054" t="str">
            <v>Sample Rejected</v>
          </cell>
          <cell r="C3054">
            <v>42723.734847997686</v>
          </cell>
        </row>
        <row r="3055">
          <cell r="A3055">
            <v>3035038014</v>
          </cell>
          <cell r="B3055" t="str">
            <v>Sample Rejected</v>
          </cell>
          <cell r="C3055">
            <v>42723.734847997686</v>
          </cell>
        </row>
        <row r="3056">
          <cell r="A3056">
            <v>3035030231</v>
          </cell>
          <cell r="B3056" t="str">
            <v>Sample Rejected</v>
          </cell>
          <cell r="C3056">
            <v>42723.734847997686</v>
          </cell>
        </row>
        <row r="3057">
          <cell r="A3057">
            <v>3035030158</v>
          </cell>
          <cell r="B3057" t="str">
            <v>Sample Rejected</v>
          </cell>
          <cell r="C3057">
            <v>42723.734847997686</v>
          </cell>
        </row>
        <row r="3058">
          <cell r="A3058">
            <v>3035034096</v>
          </cell>
          <cell r="B3058" t="str">
            <v>Sample Rejected</v>
          </cell>
          <cell r="C3058">
            <v>42723.734847997686</v>
          </cell>
        </row>
        <row r="3059">
          <cell r="A3059">
            <v>3035034949</v>
          </cell>
          <cell r="B3059" t="str">
            <v>Sample Rejected</v>
          </cell>
          <cell r="C3059">
            <v>42723.734847997686</v>
          </cell>
        </row>
        <row r="3060">
          <cell r="A3060">
            <v>3035036524</v>
          </cell>
          <cell r="B3060" t="str">
            <v>Sample Rejected</v>
          </cell>
          <cell r="C3060">
            <v>42723.734847997686</v>
          </cell>
        </row>
        <row r="3061">
          <cell r="A3061">
            <v>3035032829</v>
          </cell>
          <cell r="B3061" t="str">
            <v>Sample Rejected</v>
          </cell>
          <cell r="C3061">
            <v>42723.734847997686</v>
          </cell>
        </row>
        <row r="3062">
          <cell r="A3062">
            <v>3035029897</v>
          </cell>
          <cell r="B3062" t="str">
            <v>Sample Rejected</v>
          </cell>
          <cell r="C3062">
            <v>42723.734847997686</v>
          </cell>
        </row>
        <row r="3063">
          <cell r="A3063">
            <v>3035034839</v>
          </cell>
          <cell r="B3063" t="str">
            <v>Sample Rejected</v>
          </cell>
          <cell r="C3063">
            <v>42723.734847997686</v>
          </cell>
        </row>
        <row r="3064">
          <cell r="A3064">
            <v>3035033973</v>
          </cell>
          <cell r="B3064" t="str">
            <v>Sample Rejected</v>
          </cell>
          <cell r="C3064">
            <v>42723.734847997686</v>
          </cell>
        </row>
        <row r="3065">
          <cell r="A3065">
            <v>3034981185</v>
          </cell>
          <cell r="B3065" t="str">
            <v>Sample Rejected</v>
          </cell>
          <cell r="C3065">
            <v>42723.734847997686</v>
          </cell>
        </row>
        <row r="3066">
          <cell r="A3066">
            <v>3034748929</v>
          </cell>
          <cell r="B3066" t="str">
            <v>Sample Rejected</v>
          </cell>
          <cell r="C3066">
            <v>42723.734847997686</v>
          </cell>
        </row>
        <row r="3067">
          <cell r="A3067">
            <v>3034982076</v>
          </cell>
          <cell r="B3067" t="str">
            <v>Sample Rejected</v>
          </cell>
          <cell r="C3067">
            <v>42723.734847997686</v>
          </cell>
        </row>
        <row r="3068">
          <cell r="A3068">
            <v>3034769855</v>
          </cell>
          <cell r="B3068" t="str">
            <v>Sample Rejected</v>
          </cell>
          <cell r="C3068">
            <v>42715.735337696759</v>
          </cell>
        </row>
        <row r="3069">
          <cell r="A3069">
            <v>3034808243</v>
          </cell>
          <cell r="B3069" t="str">
            <v>Sample Rejected</v>
          </cell>
          <cell r="C3069">
            <v>42715.735337696759</v>
          </cell>
        </row>
        <row r="3070">
          <cell r="A3070">
            <v>3034809513</v>
          </cell>
          <cell r="B3070" t="str">
            <v>Sample Rejected</v>
          </cell>
          <cell r="C3070">
            <v>42715.735337696759</v>
          </cell>
        </row>
        <row r="3071">
          <cell r="A3071">
            <v>3034810885</v>
          </cell>
          <cell r="B3071" t="str">
            <v>Sample Rejected</v>
          </cell>
          <cell r="C3071">
            <v>42715.735337696759</v>
          </cell>
        </row>
        <row r="3072">
          <cell r="A3072">
            <v>3034811087</v>
          </cell>
          <cell r="B3072" t="str">
            <v>Sample Rejected</v>
          </cell>
          <cell r="C3072">
            <v>42715.735337696759</v>
          </cell>
        </row>
        <row r="3073">
          <cell r="A3073">
            <v>3034701486</v>
          </cell>
          <cell r="B3073" t="str">
            <v>Sample Rejected</v>
          </cell>
          <cell r="C3073">
            <v>42715.735337696759</v>
          </cell>
        </row>
        <row r="3074">
          <cell r="A3074">
            <v>3034800878</v>
          </cell>
          <cell r="B3074" t="str">
            <v>Sample Rejected</v>
          </cell>
          <cell r="C3074">
            <v>42715.735337696759</v>
          </cell>
        </row>
        <row r="3075">
          <cell r="A3075">
            <v>3034800760</v>
          </cell>
          <cell r="B3075" t="str">
            <v>Sample Rejected</v>
          </cell>
          <cell r="C3075">
            <v>42715.735337696759</v>
          </cell>
        </row>
        <row r="3076">
          <cell r="A3076">
            <v>3034806329</v>
          </cell>
          <cell r="B3076" t="str">
            <v>Sample Rejected</v>
          </cell>
          <cell r="C3076">
            <v>42715.735337696759</v>
          </cell>
        </row>
        <row r="3077">
          <cell r="A3077">
            <v>3034801988</v>
          </cell>
          <cell r="B3077" t="str">
            <v>Sample Rejected</v>
          </cell>
          <cell r="C3077">
            <v>42715.735337696759</v>
          </cell>
        </row>
        <row r="3078">
          <cell r="A3078">
            <v>3034802958</v>
          </cell>
          <cell r="B3078" t="str">
            <v>Sample Rejected</v>
          </cell>
          <cell r="C3078">
            <v>42715.735337696759</v>
          </cell>
        </row>
        <row r="3079">
          <cell r="A3079">
            <v>3034810628</v>
          </cell>
          <cell r="B3079" t="str">
            <v>Sample Rejected</v>
          </cell>
          <cell r="C3079">
            <v>42715.735337696759</v>
          </cell>
        </row>
        <row r="3080">
          <cell r="A3080">
            <v>3034810199</v>
          </cell>
          <cell r="B3080" t="str">
            <v>Sample Rejected</v>
          </cell>
          <cell r="C3080">
            <v>42715.735337696759</v>
          </cell>
        </row>
        <row r="3081">
          <cell r="A3081">
            <v>3034803267</v>
          </cell>
          <cell r="B3081" t="str">
            <v>Sample Rejected</v>
          </cell>
          <cell r="C3081">
            <v>42715.735337696759</v>
          </cell>
        </row>
        <row r="3082">
          <cell r="A3082">
            <v>3034809725</v>
          </cell>
          <cell r="B3082" t="str">
            <v>Sample Rejected</v>
          </cell>
          <cell r="C3082">
            <v>42715.735337696759</v>
          </cell>
        </row>
        <row r="3083">
          <cell r="A3083">
            <v>3034801067</v>
          </cell>
          <cell r="B3083" t="str">
            <v>Sample Rejected</v>
          </cell>
          <cell r="C3083">
            <v>42715.735337696759</v>
          </cell>
        </row>
        <row r="3084">
          <cell r="A3084">
            <v>3034771928</v>
          </cell>
          <cell r="B3084" t="str">
            <v>Sample Rejected</v>
          </cell>
          <cell r="C3084">
            <v>42715.735337696759</v>
          </cell>
        </row>
        <row r="3085">
          <cell r="A3085">
            <v>3034769295</v>
          </cell>
          <cell r="B3085" t="str">
            <v>Sample Rejected</v>
          </cell>
          <cell r="C3085">
            <v>42715.735337696759</v>
          </cell>
        </row>
        <row r="3086">
          <cell r="A3086">
            <v>3034655951</v>
          </cell>
          <cell r="B3086" t="str">
            <v>Sample Rejected</v>
          </cell>
          <cell r="C3086">
            <v>42715.735337696759</v>
          </cell>
        </row>
        <row r="3087">
          <cell r="A3087">
            <v>3034785736</v>
          </cell>
          <cell r="B3087" t="str">
            <v>Sample Rejected</v>
          </cell>
          <cell r="C3087">
            <v>42715.735337696759</v>
          </cell>
        </row>
        <row r="3088">
          <cell r="A3088">
            <v>3034829815</v>
          </cell>
          <cell r="B3088" t="str">
            <v>Sample Rejected</v>
          </cell>
          <cell r="C3088">
            <v>42716.73400196759</v>
          </cell>
        </row>
        <row r="3089">
          <cell r="A3089">
            <v>3034828952</v>
          </cell>
          <cell r="B3089" t="str">
            <v>Sample Rejected</v>
          </cell>
          <cell r="C3089">
            <v>42716.73400196759</v>
          </cell>
        </row>
        <row r="3090">
          <cell r="A3090">
            <v>3034834861</v>
          </cell>
          <cell r="B3090" t="str">
            <v>Sample Rejected</v>
          </cell>
          <cell r="C3090">
            <v>42716.73400196759</v>
          </cell>
        </row>
        <row r="3091">
          <cell r="A3091">
            <v>3034783547</v>
          </cell>
          <cell r="B3091" t="str">
            <v>Sample Rejected</v>
          </cell>
          <cell r="C3091">
            <v>42716.73400196759</v>
          </cell>
        </row>
        <row r="3092">
          <cell r="A3092">
            <v>3034828742</v>
          </cell>
          <cell r="B3092" t="str">
            <v>Sample Rejected</v>
          </cell>
          <cell r="C3092">
            <v>42716.73400196759</v>
          </cell>
        </row>
        <row r="3093">
          <cell r="A3093">
            <v>3034833220</v>
          </cell>
          <cell r="B3093" t="str">
            <v>Sample Rejected</v>
          </cell>
          <cell r="C3093">
            <v>42716.73400196759</v>
          </cell>
        </row>
        <row r="3094">
          <cell r="A3094">
            <v>3034833541</v>
          </cell>
          <cell r="B3094" t="str">
            <v>Sample Rejected</v>
          </cell>
          <cell r="C3094">
            <v>42716.73400196759</v>
          </cell>
        </row>
        <row r="3095">
          <cell r="A3095">
            <v>3034819481</v>
          </cell>
          <cell r="B3095" t="str">
            <v>Sample Rejected</v>
          </cell>
          <cell r="C3095">
            <v>42716.73400196759</v>
          </cell>
        </row>
        <row r="3096">
          <cell r="A3096">
            <v>3034827651</v>
          </cell>
          <cell r="B3096" t="str">
            <v>Sample Rejected</v>
          </cell>
          <cell r="C3096">
            <v>42716.73400196759</v>
          </cell>
        </row>
        <row r="3097">
          <cell r="A3097">
            <v>3034831860</v>
          </cell>
          <cell r="B3097" t="str">
            <v>Sample Rejected</v>
          </cell>
          <cell r="C3097">
            <v>42716.73400196759</v>
          </cell>
        </row>
        <row r="3098">
          <cell r="A3098">
            <v>3034653613</v>
          </cell>
          <cell r="B3098" t="str">
            <v>Sample Rejected</v>
          </cell>
          <cell r="C3098">
            <v>42716.73400196759</v>
          </cell>
        </row>
        <row r="3099">
          <cell r="A3099">
            <v>3034827761</v>
          </cell>
          <cell r="B3099" t="str">
            <v>Sample Rejected</v>
          </cell>
          <cell r="C3099">
            <v>42716.73400196759</v>
          </cell>
        </row>
        <row r="3100">
          <cell r="A3100">
            <v>3034827987</v>
          </cell>
          <cell r="B3100" t="str">
            <v>Sample Rejected</v>
          </cell>
          <cell r="C3100">
            <v>42716.73400196759</v>
          </cell>
        </row>
        <row r="3101">
          <cell r="A3101">
            <v>3034827909</v>
          </cell>
          <cell r="B3101" t="str">
            <v>Sample Rejected</v>
          </cell>
          <cell r="C3101">
            <v>42716.73400196759</v>
          </cell>
        </row>
        <row r="3102">
          <cell r="A3102">
            <v>3034830814</v>
          </cell>
          <cell r="B3102" t="str">
            <v>Sample Rejected</v>
          </cell>
          <cell r="C3102">
            <v>42716.73400196759</v>
          </cell>
        </row>
        <row r="3103">
          <cell r="A3103">
            <v>3034828762</v>
          </cell>
          <cell r="B3103" t="str">
            <v>Sample Rejected</v>
          </cell>
          <cell r="C3103">
            <v>42716.73400196759</v>
          </cell>
        </row>
        <row r="3104">
          <cell r="A3104">
            <v>3034827540</v>
          </cell>
          <cell r="B3104" t="str">
            <v>Sample Rejected</v>
          </cell>
          <cell r="C3104">
            <v>42716.73400196759</v>
          </cell>
        </row>
        <row r="3105">
          <cell r="A3105">
            <v>3034828179</v>
          </cell>
          <cell r="B3105" t="str">
            <v>Sample Rejected</v>
          </cell>
          <cell r="C3105">
            <v>42716.73400196759</v>
          </cell>
        </row>
        <row r="3106">
          <cell r="A3106">
            <v>3034830786</v>
          </cell>
          <cell r="B3106" t="str">
            <v>Sample Rejected</v>
          </cell>
          <cell r="C3106">
            <v>42716.73400196759</v>
          </cell>
        </row>
        <row r="3107">
          <cell r="A3107">
            <v>3034829819</v>
          </cell>
          <cell r="B3107" t="str">
            <v>Sample Rejected</v>
          </cell>
          <cell r="C3107">
            <v>42716.73400196759</v>
          </cell>
        </row>
        <row r="3108">
          <cell r="A3108">
            <v>3034806657</v>
          </cell>
          <cell r="B3108" t="str">
            <v>Sample Rejected</v>
          </cell>
          <cell r="C3108">
            <v>42716.73400196759</v>
          </cell>
        </row>
        <row r="3109">
          <cell r="A3109">
            <v>3034830443</v>
          </cell>
          <cell r="B3109" t="str">
            <v>Sample Rejected</v>
          </cell>
          <cell r="C3109">
            <v>42716.73400196759</v>
          </cell>
        </row>
        <row r="3110">
          <cell r="A3110">
            <v>3034820067</v>
          </cell>
          <cell r="B3110" t="str">
            <v>Sample Rejected</v>
          </cell>
          <cell r="C3110">
            <v>42715.735337696759</v>
          </cell>
        </row>
        <row r="3111">
          <cell r="A3111">
            <v>3034801905</v>
          </cell>
          <cell r="B3111" t="str">
            <v>Sample Rejected</v>
          </cell>
          <cell r="C3111">
            <v>42715.735337696759</v>
          </cell>
        </row>
        <row r="3112">
          <cell r="A3112">
            <v>3034807785</v>
          </cell>
          <cell r="B3112" t="str">
            <v>Sample Rejected</v>
          </cell>
          <cell r="C3112">
            <v>42715.735337696759</v>
          </cell>
        </row>
        <row r="3113">
          <cell r="A3113">
            <v>3034806127</v>
          </cell>
          <cell r="B3113" t="str">
            <v>Sample Rejected</v>
          </cell>
          <cell r="C3113">
            <v>42715.735337696759</v>
          </cell>
        </row>
        <row r="3114">
          <cell r="A3114">
            <v>3034787049</v>
          </cell>
          <cell r="B3114" t="str">
            <v>Sample Rejected</v>
          </cell>
          <cell r="C3114">
            <v>42715.735337696759</v>
          </cell>
        </row>
        <row r="3115">
          <cell r="A3115">
            <v>3034608850</v>
          </cell>
          <cell r="B3115" t="str">
            <v>Sample Rejected</v>
          </cell>
          <cell r="C3115">
            <v>42715.735337696759</v>
          </cell>
        </row>
        <row r="3116">
          <cell r="A3116">
            <v>3034593641</v>
          </cell>
          <cell r="B3116" t="str">
            <v>Sample Rejected</v>
          </cell>
          <cell r="C3116">
            <v>42715.735337696759</v>
          </cell>
        </row>
        <row r="3117">
          <cell r="A3117">
            <v>3034816633</v>
          </cell>
          <cell r="B3117" t="str">
            <v>Sample Rejected</v>
          </cell>
          <cell r="C3117">
            <v>42715.735337696759</v>
          </cell>
        </row>
        <row r="3118">
          <cell r="A3118">
            <v>3034777080</v>
          </cell>
          <cell r="B3118" t="str">
            <v>Sample Rejected</v>
          </cell>
          <cell r="C3118">
            <v>42715.735337696759</v>
          </cell>
        </row>
        <row r="3119">
          <cell r="A3119">
            <v>3034800540</v>
          </cell>
          <cell r="B3119" t="str">
            <v>Sample Rejected</v>
          </cell>
          <cell r="C3119">
            <v>42715.735337696759</v>
          </cell>
        </row>
        <row r="3120">
          <cell r="A3120">
            <v>3034814838</v>
          </cell>
          <cell r="B3120" t="str">
            <v>Sample Rejected</v>
          </cell>
          <cell r="C3120">
            <v>42715.735337696759</v>
          </cell>
        </row>
        <row r="3121">
          <cell r="A3121">
            <v>3034779328</v>
          </cell>
          <cell r="B3121" t="str">
            <v>Sample Rejected</v>
          </cell>
          <cell r="C3121">
            <v>42715.735337696759</v>
          </cell>
        </row>
        <row r="3122">
          <cell r="A3122">
            <v>3034769995</v>
          </cell>
          <cell r="B3122" t="str">
            <v>Sample Rejected</v>
          </cell>
          <cell r="C3122">
            <v>42715.735337696759</v>
          </cell>
        </row>
        <row r="3123">
          <cell r="A3123">
            <v>3034800978</v>
          </cell>
          <cell r="B3123" t="str">
            <v>Sample Rejected</v>
          </cell>
          <cell r="C3123">
            <v>42715.735337696759</v>
          </cell>
        </row>
        <row r="3124">
          <cell r="A3124">
            <v>3034813693</v>
          </cell>
          <cell r="B3124" t="str">
            <v>Sample Rejected</v>
          </cell>
          <cell r="C3124">
            <v>42715.735337696759</v>
          </cell>
        </row>
        <row r="3125">
          <cell r="A3125">
            <v>3034803805</v>
          </cell>
          <cell r="B3125" t="str">
            <v>Sample Rejected</v>
          </cell>
          <cell r="C3125">
            <v>42715.735337696759</v>
          </cell>
        </row>
        <row r="3126">
          <cell r="A3126">
            <v>3034799129</v>
          </cell>
          <cell r="B3126" t="str">
            <v>Sample Rejected</v>
          </cell>
          <cell r="C3126">
            <v>42715.735337696759</v>
          </cell>
        </row>
        <row r="3127">
          <cell r="A3127">
            <v>3034733216</v>
          </cell>
          <cell r="B3127" t="str">
            <v>Sample Rejected</v>
          </cell>
          <cell r="C3127">
            <v>42715.735337696759</v>
          </cell>
        </row>
        <row r="3128">
          <cell r="A3128">
            <v>3034803142</v>
          </cell>
          <cell r="B3128" t="str">
            <v>Sample Rejected</v>
          </cell>
          <cell r="C3128">
            <v>42715.735337696759</v>
          </cell>
        </row>
        <row r="3129">
          <cell r="A3129">
            <v>3034801119</v>
          </cell>
          <cell r="B3129" t="str">
            <v>Sample Rejected</v>
          </cell>
          <cell r="C3129">
            <v>42715.735337696759</v>
          </cell>
        </row>
        <row r="3130">
          <cell r="A3130">
            <v>3034804639</v>
          </cell>
          <cell r="B3130" t="str">
            <v>Sample Rejected</v>
          </cell>
          <cell r="C3130">
            <v>42715.735337696759</v>
          </cell>
        </row>
        <row r="3131">
          <cell r="A3131">
            <v>3034803127</v>
          </cell>
          <cell r="B3131" t="str">
            <v>Sample Rejected</v>
          </cell>
          <cell r="C3131">
            <v>42715.735337696759</v>
          </cell>
        </row>
        <row r="3132">
          <cell r="A3132">
            <v>3034810716</v>
          </cell>
          <cell r="B3132" t="str">
            <v>Sample Rejected</v>
          </cell>
          <cell r="C3132">
            <v>42715.735337696759</v>
          </cell>
        </row>
        <row r="3133">
          <cell r="A3133">
            <v>3034813239</v>
          </cell>
          <cell r="B3133" t="str">
            <v>Sample Rejected</v>
          </cell>
          <cell r="C3133">
            <v>42715.735337696759</v>
          </cell>
        </row>
        <row r="3134">
          <cell r="A3134">
            <v>3034818814</v>
          </cell>
          <cell r="B3134" t="str">
            <v>Sample Rejected</v>
          </cell>
          <cell r="C3134">
            <v>42715.735337696759</v>
          </cell>
        </row>
        <row r="3135">
          <cell r="A3135">
            <v>3034780242</v>
          </cell>
          <cell r="B3135" t="str">
            <v>Sample Rejected</v>
          </cell>
          <cell r="C3135">
            <v>42715.735337696759</v>
          </cell>
        </row>
        <row r="3136">
          <cell r="A3136">
            <v>3034799980</v>
          </cell>
          <cell r="B3136" t="str">
            <v>Sample Rejected</v>
          </cell>
          <cell r="C3136">
            <v>42715.735337696759</v>
          </cell>
        </row>
        <row r="3137">
          <cell r="A3137">
            <v>3034701190</v>
          </cell>
          <cell r="B3137" t="str">
            <v>Sample Rejected</v>
          </cell>
          <cell r="C3137">
            <v>42715.735337696759</v>
          </cell>
        </row>
        <row r="3138">
          <cell r="A3138">
            <v>3034663438</v>
          </cell>
          <cell r="B3138" t="str">
            <v>Sample Rejected</v>
          </cell>
          <cell r="C3138">
            <v>42715.735337696759</v>
          </cell>
        </row>
        <row r="3139">
          <cell r="A3139">
            <v>3034801149</v>
          </cell>
          <cell r="B3139" t="str">
            <v>Sample Rejected</v>
          </cell>
          <cell r="C3139">
            <v>42715.735337696759</v>
          </cell>
        </row>
        <row r="3140">
          <cell r="A3140">
            <v>3034746078</v>
          </cell>
          <cell r="B3140" t="str">
            <v>Sample Rejected</v>
          </cell>
          <cell r="C3140">
            <v>42715.735337696759</v>
          </cell>
        </row>
        <row r="3141">
          <cell r="A3141">
            <v>3034809277</v>
          </cell>
          <cell r="B3141" t="str">
            <v>Sample Rejected</v>
          </cell>
          <cell r="C3141">
            <v>42715.735337696759</v>
          </cell>
        </row>
        <row r="3142">
          <cell r="A3142">
            <v>3034814651</v>
          </cell>
          <cell r="B3142" t="str">
            <v>Sample Rejected</v>
          </cell>
          <cell r="C3142">
            <v>42715.735337696759</v>
          </cell>
        </row>
        <row r="3143">
          <cell r="A3143">
            <v>3034817787</v>
          </cell>
          <cell r="B3143" t="str">
            <v>Sample Rejected</v>
          </cell>
          <cell r="C3143">
            <v>42715.735337696759</v>
          </cell>
        </row>
        <row r="3144">
          <cell r="A3144">
            <v>3034594992</v>
          </cell>
          <cell r="B3144" t="str">
            <v>Sample Rejected</v>
          </cell>
          <cell r="C3144">
            <v>42715.735337696759</v>
          </cell>
        </row>
        <row r="3145">
          <cell r="A3145">
            <v>3034809652</v>
          </cell>
          <cell r="B3145" t="str">
            <v>Sample Rejected</v>
          </cell>
          <cell r="C3145">
            <v>42715.735337696759</v>
          </cell>
        </row>
        <row r="3146">
          <cell r="A3146">
            <v>3034769880</v>
          </cell>
          <cell r="B3146" t="str">
            <v>Sample Rejected</v>
          </cell>
          <cell r="C3146">
            <v>42715.735337696759</v>
          </cell>
        </row>
        <row r="3147">
          <cell r="A3147">
            <v>3034787565</v>
          </cell>
          <cell r="B3147" t="str">
            <v>Sample Rejected</v>
          </cell>
          <cell r="C3147">
            <v>42715.735337696759</v>
          </cell>
        </row>
        <row r="3148">
          <cell r="A3148">
            <v>3034810604</v>
          </cell>
          <cell r="B3148" t="str">
            <v>Sample Rejected</v>
          </cell>
          <cell r="C3148">
            <v>42715.735337696759</v>
          </cell>
        </row>
        <row r="3149">
          <cell r="A3149">
            <v>3034807701</v>
          </cell>
          <cell r="B3149" t="str">
            <v>Sample Rejected</v>
          </cell>
          <cell r="C3149">
            <v>42715.735337696759</v>
          </cell>
        </row>
        <row r="3150">
          <cell r="A3150">
            <v>3034802563</v>
          </cell>
          <cell r="B3150" t="str">
            <v>Sample Rejected</v>
          </cell>
          <cell r="C3150">
            <v>42715.735337696759</v>
          </cell>
        </row>
        <row r="3151">
          <cell r="A3151">
            <v>3034807279</v>
          </cell>
          <cell r="B3151" t="str">
            <v>Sample Rejected</v>
          </cell>
          <cell r="C3151">
            <v>42715.735337696759</v>
          </cell>
        </row>
        <row r="3152">
          <cell r="A3152">
            <v>3034651287</v>
          </cell>
          <cell r="B3152" t="str">
            <v>Sample Rejected</v>
          </cell>
          <cell r="C3152">
            <v>42715.735337696759</v>
          </cell>
        </row>
        <row r="3153">
          <cell r="A3153">
            <v>3034710968</v>
          </cell>
          <cell r="B3153" t="str">
            <v>Sample Rejected</v>
          </cell>
          <cell r="C3153">
            <v>42715.735337696759</v>
          </cell>
        </row>
        <row r="3154">
          <cell r="A3154">
            <v>3034811884</v>
          </cell>
          <cell r="B3154" t="str">
            <v>Sample Rejected</v>
          </cell>
          <cell r="C3154">
            <v>42715.735337696759</v>
          </cell>
        </row>
        <row r="3155">
          <cell r="A3155">
            <v>3034803166</v>
          </cell>
          <cell r="B3155" t="str">
            <v>Sample Rejected</v>
          </cell>
          <cell r="C3155">
            <v>42715.735337696759</v>
          </cell>
        </row>
        <row r="3156">
          <cell r="A3156">
            <v>3034811439</v>
          </cell>
          <cell r="B3156" t="str">
            <v>Sample Rejected</v>
          </cell>
          <cell r="C3156">
            <v>42715.735337696759</v>
          </cell>
        </row>
        <row r="3157">
          <cell r="A3157">
            <v>3034810197</v>
          </cell>
          <cell r="B3157" t="str">
            <v>Sample Rejected</v>
          </cell>
          <cell r="C3157">
            <v>42715.735337696759</v>
          </cell>
        </row>
        <row r="3158">
          <cell r="A3158">
            <v>3034802288</v>
          </cell>
          <cell r="B3158" t="str">
            <v>Sample Rejected</v>
          </cell>
          <cell r="C3158">
            <v>42715.735337696759</v>
          </cell>
        </row>
        <row r="3159">
          <cell r="A3159">
            <v>3034531364</v>
          </cell>
          <cell r="B3159" t="str">
            <v>Sample Rejected</v>
          </cell>
          <cell r="C3159">
            <v>42715.735337696759</v>
          </cell>
        </row>
        <row r="3160">
          <cell r="A3160">
            <v>3034694133</v>
          </cell>
          <cell r="B3160" t="str">
            <v>Sample Rejected</v>
          </cell>
          <cell r="C3160">
            <v>42715.735337696759</v>
          </cell>
        </row>
        <row r="3161">
          <cell r="A3161">
            <v>3034806721</v>
          </cell>
          <cell r="B3161" t="str">
            <v>Sample Rejected</v>
          </cell>
          <cell r="C3161">
            <v>42715.735337696759</v>
          </cell>
        </row>
        <row r="3162">
          <cell r="A3162">
            <v>3034809158</v>
          </cell>
          <cell r="B3162" t="str">
            <v>Sample Rejected</v>
          </cell>
          <cell r="C3162">
            <v>42715.735337696759</v>
          </cell>
        </row>
        <row r="3163">
          <cell r="A3163">
            <v>3034810289</v>
          </cell>
          <cell r="B3163" t="str">
            <v>Sample Rejected</v>
          </cell>
          <cell r="C3163">
            <v>42715.735337696759</v>
          </cell>
        </row>
        <row r="3164">
          <cell r="A3164">
            <v>3034809844</v>
          </cell>
          <cell r="B3164" t="str">
            <v>Sample Rejected</v>
          </cell>
          <cell r="C3164">
            <v>42715.735337696759</v>
          </cell>
        </row>
        <row r="3165">
          <cell r="A3165">
            <v>3034782732</v>
          </cell>
          <cell r="B3165" t="str">
            <v>Sample Rejected</v>
          </cell>
          <cell r="C3165">
            <v>42715.735337696759</v>
          </cell>
        </row>
        <row r="3166">
          <cell r="A3166">
            <v>3034780722</v>
          </cell>
          <cell r="B3166" t="str">
            <v>Sample Rejected</v>
          </cell>
          <cell r="C3166">
            <v>42715.735337696759</v>
          </cell>
        </row>
        <row r="3167">
          <cell r="A3167">
            <v>3034816538</v>
          </cell>
          <cell r="B3167" t="str">
            <v>Sample Rejected</v>
          </cell>
          <cell r="C3167">
            <v>42715.735337696759</v>
          </cell>
        </row>
        <row r="3168">
          <cell r="A3168">
            <v>3034817415</v>
          </cell>
          <cell r="B3168" t="str">
            <v>Sample Rejected</v>
          </cell>
          <cell r="C3168">
            <v>42715.735337696759</v>
          </cell>
        </row>
        <row r="3169">
          <cell r="A3169">
            <v>3034698924</v>
          </cell>
          <cell r="B3169" t="str">
            <v>Sample Rejected</v>
          </cell>
          <cell r="C3169">
            <v>42715.735337696759</v>
          </cell>
        </row>
        <row r="3170">
          <cell r="A3170">
            <v>3034803365</v>
          </cell>
          <cell r="B3170" t="str">
            <v>Sample Rejected</v>
          </cell>
          <cell r="C3170">
            <v>42715.735337696759</v>
          </cell>
        </row>
        <row r="3171">
          <cell r="A3171">
            <v>3034817204</v>
          </cell>
          <cell r="B3171" t="str">
            <v>Sample Rejected</v>
          </cell>
          <cell r="C3171">
            <v>42715.735337696759</v>
          </cell>
        </row>
        <row r="3172">
          <cell r="A3172">
            <v>3034814288</v>
          </cell>
          <cell r="B3172" t="str">
            <v>Sample Rejected</v>
          </cell>
          <cell r="C3172">
            <v>42715.735337696759</v>
          </cell>
        </row>
        <row r="3173">
          <cell r="A3173">
            <v>3034601844</v>
          </cell>
          <cell r="B3173" t="str">
            <v>Sample Rejected</v>
          </cell>
          <cell r="C3173">
            <v>42715.735337696759</v>
          </cell>
        </row>
        <row r="3174">
          <cell r="A3174">
            <v>3034801117</v>
          </cell>
          <cell r="B3174" t="str">
            <v>Sample Rejected</v>
          </cell>
          <cell r="C3174">
            <v>42715.735337696759</v>
          </cell>
        </row>
        <row r="3175">
          <cell r="A3175">
            <v>3034809562</v>
          </cell>
          <cell r="B3175" t="str">
            <v>Sample Rejected</v>
          </cell>
          <cell r="C3175">
            <v>42715.735337696759</v>
          </cell>
        </row>
        <row r="3176">
          <cell r="A3176">
            <v>3034812510</v>
          </cell>
          <cell r="B3176" t="str">
            <v>Sample Rejected</v>
          </cell>
          <cell r="C3176">
            <v>42715.735337696759</v>
          </cell>
        </row>
        <row r="3177">
          <cell r="A3177">
            <v>3034811647</v>
          </cell>
          <cell r="B3177" t="str">
            <v>Sample Rejected</v>
          </cell>
          <cell r="C3177">
            <v>42715.735337696759</v>
          </cell>
        </row>
        <row r="3178">
          <cell r="A3178">
            <v>3034810096</v>
          </cell>
          <cell r="B3178" t="str">
            <v>Sample Rejected</v>
          </cell>
          <cell r="C3178">
            <v>42715.735337696759</v>
          </cell>
        </row>
        <row r="3179">
          <cell r="A3179">
            <v>3034802247</v>
          </cell>
          <cell r="B3179" t="str">
            <v>Sample Rejected</v>
          </cell>
          <cell r="C3179">
            <v>42715.735337696759</v>
          </cell>
        </row>
        <row r="3180">
          <cell r="A3180">
            <v>3034814313</v>
          </cell>
          <cell r="B3180" t="str">
            <v>Sample Rejected</v>
          </cell>
          <cell r="C3180">
            <v>42715.735337696759</v>
          </cell>
        </row>
        <row r="3181">
          <cell r="A3181">
            <v>3034776977</v>
          </cell>
          <cell r="B3181" t="str">
            <v>Sample Rejected</v>
          </cell>
          <cell r="C3181">
            <v>42715.735337696759</v>
          </cell>
        </row>
        <row r="3182">
          <cell r="A3182">
            <v>3034768259</v>
          </cell>
          <cell r="B3182" t="str">
            <v>Sample Rejected</v>
          </cell>
          <cell r="C3182">
            <v>42715.735337696759</v>
          </cell>
        </row>
        <row r="3183">
          <cell r="A3183">
            <v>3034709255</v>
          </cell>
          <cell r="B3183" t="str">
            <v>Sample Rejected</v>
          </cell>
          <cell r="C3183">
            <v>42715.735337696759</v>
          </cell>
        </row>
        <row r="3184">
          <cell r="A3184">
            <v>3034778923</v>
          </cell>
          <cell r="B3184" t="str">
            <v>Sample Rejected</v>
          </cell>
          <cell r="C3184">
            <v>42715.735337696759</v>
          </cell>
        </row>
        <row r="3185">
          <cell r="A3185">
            <v>3034799236</v>
          </cell>
          <cell r="B3185" t="str">
            <v>Sample Rejected</v>
          </cell>
          <cell r="C3185">
            <v>42715.735337696759</v>
          </cell>
        </row>
        <row r="3186">
          <cell r="A3186">
            <v>3034819974</v>
          </cell>
          <cell r="B3186" t="str">
            <v>Sample Rejected</v>
          </cell>
          <cell r="C3186">
            <v>42715.735337696759</v>
          </cell>
        </row>
        <row r="3187">
          <cell r="A3187">
            <v>3034778476</v>
          </cell>
          <cell r="B3187" t="str">
            <v>Sample Rejected</v>
          </cell>
          <cell r="C3187">
            <v>42715.735337696759</v>
          </cell>
        </row>
        <row r="3188">
          <cell r="A3188">
            <v>3034775160</v>
          </cell>
          <cell r="B3188" t="str">
            <v>Sample Rejected</v>
          </cell>
          <cell r="C3188">
            <v>42715.735337696759</v>
          </cell>
        </row>
        <row r="3189">
          <cell r="A3189">
            <v>3034813633</v>
          </cell>
          <cell r="B3189" t="str">
            <v>Sample Rejected</v>
          </cell>
          <cell r="C3189">
            <v>42715.735337696759</v>
          </cell>
        </row>
        <row r="3190">
          <cell r="A3190">
            <v>3034805304</v>
          </cell>
          <cell r="B3190" t="str">
            <v>Sample Rejected</v>
          </cell>
          <cell r="C3190">
            <v>42715.735337696759</v>
          </cell>
        </row>
        <row r="3191">
          <cell r="A3191">
            <v>3034716037</v>
          </cell>
          <cell r="B3191" t="str">
            <v>Sample Rejected</v>
          </cell>
          <cell r="C3191">
            <v>42715.735337696759</v>
          </cell>
        </row>
        <row r="3192">
          <cell r="A3192">
            <v>3034748853</v>
          </cell>
          <cell r="B3192" t="str">
            <v>Sample Rejected</v>
          </cell>
          <cell r="C3192">
            <v>42715.735337696759</v>
          </cell>
        </row>
        <row r="3193">
          <cell r="A3193">
            <v>3034799229</v>
          </cell>
          <cell r="B3193" t="str">
            <v>Sample Rejected</v>
          </cell>
          <cell r="C3193">
            <v>42715.735337696759</v>
          </cell>
        </row>
        <row r="3194">
          <cell r="A3194">
            <v>3034800885</v>
          </cell>
          <cell r="B3194" t="str">
            <v>Sample Rejected</v>
          </cell>
          <cell r="C3194">
            <v>42715.735337696759</v>
          </cell>
        </row>
        <row r="3195">
          <cell r="A3195">
            <v>3034743156</v>
          </cell>
          <cell r="B3195" t="str">
            <v>Sample Rejected</v>
          </cell>
          <cell r="C3195">
            <v>42715.735337696759</v>
          </cell>
        </row>
        <row r="3196">
          <cell r="A3196">
            <v>3034770489</v>
          </cell>
          <cell r="B3196" t="str">
            <v>Sample Rejected</v>
          </cell>
          <cell r="C3196">
            <v>42715.735337696759</v>
          </cell>
        </row>
        <row r="3197">
          <cell r="A3197">
            <v>3034777879</v>
          </cell>
          <cell r="B3197" t="str">
            <v>Sample Rejected</v>
          </cell>
          <cell r="C3197">
            <v>42715.735337696759</v>
          </cell>
        </row>
        <row r="3198">
          <cell r="A3198">
            <v>3034802463</v>
          </cell>
          <cell r="B3198" t="str">
            <v>Sample Rejected</v>
          </cell>
          <cell r="C3198">
            <v>42715.735337696759</v>
          </cell>
        </row>
        <row r="3199">
          <cell r="A3199">
            <v>3034813844</v>
          </cell>
          <cell r="B3199" t="str">
            <v>Sample Rejected</v>
          </cell>
          <cell r="C3199">
            <v>42715.735337696759</v>
          </cell>
        </row>
        <row r="3200">
          <cell r="A3200">
            <v>3034813004</v>
          </cell>
          <cell r="B3200" t="str">
            <v>Sample Rejected</v>
          </cell>
          <cell r="C3200">
            <v>42715.735337696759</v>
          </cell>
        </row>
        <row r="3201">
          <cell r="A3201">
            <v>3034800853</v>
          </cell>
          <cell r="B3201" t="str">
            <v>Sample Rejected</v>
          </cell>
          <cell r="C3201">
            <v>42715.735337696759</v>
          </cell>
        </row>
        <row r="3202">
          <cell r="A3202">
            <v>3034338684</v>
          </cell>
          <cell r="B3202" t="str">
            <v>Sample Rejected</v>
          </cell>
          <cell r="C3202">
            <v>42715.735337696759</v>
          </cell>
        </row>
        <row r="3203">
          <cell r="A3203">
            <v>3034621398</v>
          </cell>
          <cell r="B3203" t="str">
            <v>Sample Rejected</v>
          </cell>
          <cell r="C3203">
            <v>42715.735337696759</v>
          </cell>
        </row>
        <row r="3204">
          <cell r="A3204">
            <v>3034811855</v>
          </cell>
          <cell r="B3204" t="str">
            <v>Sample Rejected</v>
          </cell>
          <cell r="C3204">
            <v>42715.735337696759</v>
          </cell>
        </row>
        <row r="3205">
          <cell r="A3205">
            <v>3034808470</v>
          </cell>
          <cell r="B3205" t="str">
            <v>Sample Rejected</v>
          </cell>
          <cell r="C3205">
            <v>42715.735337696759</v>
          </cell>
        </row>
        <row r="3206">
          <cell r="A3206">
            <v>3034801297</v>
          </cell>
          <cell r="B3206" t="str">
            <v>Sample Rejected</v>
          </cell>
          <cell r="C3206">
            <v>42715.735337696759</v>
          </cell>
        </row>
        <row r="3207">
          <cell r="A3207">
            <v>3034807076</v>
          </cell>
          <cell r="B3207" t="str">
            <v>Sample Rejected</v>
          </cell>
          <cell r="C3207">
            <v>42715.735337696759</v>
          </cell>
        </row>
        <row r="3208">
          <cell r="A3208">
            <v>3034812479</v>
          </cell>
          <cell r="B3208" t="str">
            <v>Sample Rejected</v>
          </cell>
          <cell r="C3208">
            <v>42715.735337696759</v>
          </cell>
        </row>
        <row r="3209">
          <cell r="A3209">
            <v>3034817794</v>
          </cell>
          <cell r="B3209" t="str">
            <v>Sample Rejected</v>
          </cell>
          <cell r="C3209">
            <v>42715.735337696759</v>
          </cell>
        </row>
        <row r="3210">
          <cell r="A3210">
            <v>3034810858</v>
          </cell>
          <cell r="B3210" t="str">
            <v>Sample Rejected</v>
          </cell>
          <cell r="C3210">
            <v>42715.735337696759</v>
          </cell>
        </row>
        <row r="3211">
          <cell r="A3211">
            <v>3034817095</v>
          </cell>
          <cell r="B3211" t="str">
            <v>Sample Rejected</v>
          </cell>
          <cell r="C3211">
            <v>42715.735337696759</v>
          </cell>
        </row>
        <row r="3212">
          <cell r="A3212">
            <v>3034808299</v>
          </cell>
          <cell r="B3212" t="str">
            <v>Sample Rejected</v>
          </cell>
          <cell r="C3212">
            <v>42715.735337696759</v>
          </cell>
        </row>
        <row r="3213">
          <cell r="A3213">
            <v>3034810876</v>
          </cell>
          <cell r="B3213" t="str">
            <v>Sample Rejected</v>
          </cell>
          <cell r="C3213">
            <v>42715.735337696759</v>
          </cell>
        </row>
        <row r="3214">
          <cell r="A3214">
            <v>3034812456</v>
          </cell>
          <cell r="B3214" t="str">
            <v>Sample Rejected</v>
          </cell>
          <cell r="C3214">
            <v>42715.735337696759</v>
          </cell>
        </row>
        <row r="3215">
          <cell r="A3215">
            <v>3034810772</v>
          </cell>
          <cell r="B3215" t="str">
            <v>Sample Rejected</v>
          </cell>
          <cell r="C3215">
            <v>42715.735337696759</v>
          </cell>
        </row>
        <row r="3216">
          <cell r="A3216">
            <v>3034935786</v>
          </cell>
          <cell r="B3216" t="str">
            <v>Sample Rejected</v>
          </cell>
          <cell r="C3216">
            <v>42720.7400221875</v>
          </cell>
        </row>
        <row r="3217">
          <cell r="A3217">
            <v>3034938798</v>
          </cell>
          <cell r="B3217" t="str">
            <v>Sample Rejected</v>
          </cell>
          <cell r="C3217">
            <v>42720.7400221875</v>
          </cell>
        </row>
        <row r="3218">
          <cell r="A3218">
            <v>3034950791</v>
          </cell>
          <cell r="B3218" t="str">
            <v>Sample Rejected</v>
          </cell>
          <cell r="C3218">
            <v>42720.7400221875</v>
          </cell>
        </row>
        <row r="3219">
          <cell r="A3219">
            <v>3034943194</v>
          </cell>
          <cell r="B3219" t="str">
            <v>Sample Rejected</v>
          </cell>
          <cell r="C3219">
            <v>42720.7400221875</v>
          </cell>
        </row>
        <row r="3220">
          <cell r="A3220">
            <v>3034902962</v>
          </cell>
          <cell r="B3220" t="str">
            <v>Sample Rejected</v>
          </cell>
          <cell r="C3220">
            <v>42720.7400221875</v>
          </cell>
        </row>
        <row r="3221">
          <cell r="A3221">
            <v>3034937912</v>
          </cell>
          <cell r="B3221" t="str">
            <v>Sample Rejected</v>
          </cell>
          <cell r="C3221">
            <v>42720.7400221875</v>
          </cell>
        </row>
        <row r="3222">
          <cell r="A3222">
            <v>3034654860</v>
          </cell>
          <cell r="B3222" t="str">
            <v>Sample Rejected</v>
          </cell>
          <cell r="C3222">
            <v>42720.7400221875</v>
          </cell>
        </row>
        <row r="3223">
          <cell r="A3223">
            <v>3034939673</v>
          </cell>
          <cell r="B3223" t="str">
            <v>Sample Rejected</v>
          </cell>
          <cell r="C3223">
            <v>42720.7400221875</v>
          </cell>
        </row>
        <row r="3224">
          <cell r="A3224">
            <v>3034950750</v>
          </cell>
          <cell r="B3224" t="str">
            <v>Sample Rejected</v>
          </cell>
          <cell r="C3224">
            <v>42720.7400221875</v>
          </cell>
        </row>
        <row r="3225">
          <cell r="A3225">
            <v>3034945732</v>
          </cell>
          <cell r="B3225" t="str">
            <v>Sample Rejected</v>
          </cell>
          <cell r="C3225">
            <v>42720.7400221875</v>
          </cell>
        </row>
        <row r="3226">
          <cell r="A3226">
            <v>3034936788</v>
          </cell>
          <cell r="B3226" t="str">
            <v>Sample Rejected</v>
          </cell>
          <cell r="C3226">
            <v>42720.7400221875</v>
          </cell>
        </row>
        <row r="3227">
          <cell r="A3227">
            <v>3034949842</v>
          </cell>
          <cell r="B3227" t="str">
            <v>Sample Rejected</v>
          </cell>
          <cell r="C3227">
            <v>42720.7400221875</v>
          </cell>
        </row>
        <row r="3228">
          <cell r="A3228">
            <v>3034875026</v>
          </cell>
          <cell r="B3228" t="str">
            <v>Sample Rejected</v>
          </cell>
          <cell r="C3228">
            <v>42720.7400221875</v>
          </cell>
        </row>
        <row r="3229">
          <cell r="A3229">
            <v>3034942649</v>
          </cell>
          <cell r="B3229" t="str">
            <v>Sample Rejected</v>
          </cell>
          <cell r="C3229">
            <v>42720.7400221875</v>
          </cell>
        </row>
        <row r="3230">
          <cell r="A3230">
            <v>3034914758</v>
          </cell>
          <cell r="B3230" t="str">
            <v>Sample Rejected</v>
          </cell>
          <cell r="C3230">
            <v>42720.7400221875</v>
          </cell>
        </row>
        <row r="3231">
          <cell r="A3231">
            <v>3034945279</v>
          </cell>
          <cell r="B3231" t="str">
            <v>Sample Rejected</v>
          </cell>
          <cell r="C3231">
            <v>42720.7400221875</v>
          </cell>
        </row>
        <row r="3232">
          <cell r="A3232">
            <v>3034899731</v>
          </cell>
          <cell r="B3232" t="str">
            <v>Sample Rejected</v>
          </cell>
          <cell r="C3232">
            <v>42720.7400221875</v>
          </cell>
        </row>
        <row r="3233">
          <cell r="A3233">
            <v>3034935158</v>
          </cell>
          <cell r="B3233" t="str">
            <v>Sample Rejected</v>
          </cell>
          <cell r="C3233">
            <v>42720.7400221875</v>
          </cell>
        </row>
        <row r="3234">
          <cell r="A3234">
            <v>3034741703</v>
          </cell>
          <cell r="B3234" t="str">
            <v>Sample Rejected</v>
          </cell>
          <cell r="C3234">
            <v>42720.7400221875</v>
          </cell>
        </row>
        <row r="3235">
          <cell r="A3235">
            <v>3034944434</v>
          </cell>
          <cell r="B3235" t="str">
            <v>Sample Rejected</v>
          </cell>
          <cell r="C3235">
            <v>42720.7400221875</v>
          </cell>
        </row>
        <row r="3236">
          <cell r="A3236">
            <v>3034949545</v>
          </cell>
          <cell r="B3236" t="str">
            <v>Sample Rejected</v>
          </cell>
          <cell r="C3236">
            <v>42720.7400221875</v>
          </cell>
        </row>
        <row r="3237">
          <cell r="A3237">
            <v>3034951381</v>
          </cell>
          <cell r="B3237" t="str">
            <v>Sample Rejected</v>
          </cell>
          <cell r="C3237">
            <v>42720.7400221875</v>
          </cell>
        </row>
        <row r="3238">
          <cell r="A3238">
            <v>3034951441</v>
          </cell>
          <cell r="B3238" t="str">
            <v>Sample Rejected</v>
          </cell>
          <cell r="C3238">
            <v>42720.7400221875</v>
          </cell>
        </row>
        <row r="3239">
          <cell r="A3239">
            <v>3034911424</v>
          </cell>
          <cell r="B3239" t="str">
            <v>Sample Rejected</v>
          </cell>
          <cell r="C3239">
            <v>42720.7400221875</v>
          </cell>
        </row>
        <row r="3240">
          <cell r="A3240">
            <v>3034870768</v>
          </cell>
          <cell r="B3240" t="str">
            <v>Sample Rejected</v>
          </cell>
          <cell r="C3240">
            <v>42720.7400221875</v>
          </cell>
        </row>
        <row r="3241">
          <cell r="A3241">
            <v>3034939987</v>
          </cell>
          <cell r="B3241" t="str">
            <v>Sample Rejected</v>
          </cell>
          <cell r="C3241">
            <v>42720.7400221875</v>
          </cell>
        </row>
        <row r="3242">
          <cell r="A3242">
            <v>3034863732</v>
          </cell>
          <cell r="B3242" t="str">
            <v>Sample Rejected</v>
          </cell>
          <cell r="C3242">
            <v>42720.7400221875</v>
          </cell>
        </row>
        <row r="3243">
          <cell r="A3243">
            <v>3034946260</v>
          </cell>
          <cell r="B3243" t="str">
            <v>Sample Rejected</v>
          </cell>
          <cell r="C3243">
            <v>42720.7400221875</v>
          </cell>
        </row>
        <row r="3244">
          <cell r="A3244">
            <v>3034937757</v>
          </cell>
          <cell r="B3244" t="str">
            <v>Sample Rejected</v>
          </cell>
          <cell r="C3244">
            <v>42720.7400221875</v>
          </cell>
        </row>
        <row r="3245">
          <cell r="A3245">
            <v>3034864145</v>
          </cell>
          <cell r="B3245" t="str">
            <v>Sample Rejected</v>
          </cell>
          <cell r="C3245">
            <v>42720.7400221875</v>
          </cell>
        </row>
        <row r="3246">
          <cell r="A3246">
            <v>3034956653</v>
          </cell>
          <cell r="B3246" t="str">
            <v>Sample Rejected</v>
          </cell>
          <cell r="C3246">
            <v>42720.7400221875</v>
          </cell>
        </row>
        <row r="3247">
          <cell r="A3247">
            <v>3034940144</v>
          </cell>
          <cell r="B3247" t="str">
            <v>Sample Rejected</v>
          </cell>
          <cell r="C3247">
            <v>42720.7400221875</v>
          </cell>
        </row>
        <row r="3248">
          <cell r="A3248">
            <v>3034957597</v>
          </cell>
          <cell r="B3248" t="str">
            <v>Sample Rejected</v>
          </cell>
          <cell r="C3248">
            <v>42720.7400221875</v>
          </cell>
        </row>
        <row r="3249">
          <cell r="A3249">
            <v>3034954762</v>
          </cell>
          <cell r="B3249" t="str">
            <v>Sample Rejected</v>
          </cell>
          <cell r="C3249">
            <v>42720.7400221875</v>
          </cell>
        </row>
        <row r="3250">
          <cell r="A3250">
            <v>3034947796</v>
          </cell>
          <cell r="B3250" t="str">
            <v>Sample Rejected</v>
          </cell>
          <cell r="C3250">
            <v>42720.7400221875</v>
          </cell>
        </row>
        <row r="3251">
          <cell r="A3251">
            <v>3034948301</v>
          </cell>
          <cell r="B3251" t="str">
            <v>Sample Rejected</v>
          </cell>
          <cell r="C3251">
            <v>42720.7400221875</v>
          </cell>
        </row>
        <row r="3252">
          <cell r="A3252">
            <v>3034944969</v>
          </cell>
          <cell r="B3252" t="str">
            <v>Sample Rejected</v>
          </cell>
          <cell r="C3252">
            <v>42720.7400221875</v>
          </cell>
        </row>
        <row r="3253">
          <cell r="A3253">
            <v>3034882628</v>
          </cell>
          <cell r="B3253" t="str">
            <v>Sample Rejected</v>
          </cell>
          <cell r="C3253">
            <v>42720.7400221875</v>
          </cell>
        </row>
        <row r="3254">
          <cell r="A3254">
            <v>3034952586</v>
          </cell>
          <cell r="B3254" t="str">
            <v>Sample Rejected</v>
          </cell>
          <cell r="C3254">
            <v>42720.7400221875</v>
          </cell>
        </row>
        <row r="3255">
          <cell r="A3255">
            <v>3034949342</v>
          </cell>
          <cell r="B3255" t="str">
            <v>Sample Rejected</v>
          </cell>
          <cell r="C3255">
            <v>42720.7400221875</v>
          </cell>
        </row>
        <row r="3256">
          <cell r="A3256">
            <v>3034751503</v>
          </cell>
          <cell r="B3256" t="str">
            <v>Sample Rejected</v>
          </cell>
          <cell r="C3256">
            <v>42720.7400221875</v>
          </cell>
        </row>
        <row r="3257">
          <cell r="A3257">
            <v>3034937847</v>
          </cell>
          <cell r="B3257" t="str">
            <v>Sample Rejected</v>
          </cell>
          <cell r="C3257">
            <v>42720.7400221875</v>
          </cell>
        </row>
        <row r="3258">
          <cell r="A3258">
            <v>3034913546</v>
          </cell>
          <cell r="B3258" t="str">
            <v>Sample Rejected</v>
          </cell>
          <cell r="C3258">
            <v>42720.7400221875</v>
          </cell>
        </row>
        <row r="3259">
          <cell r="A3259">
            <v>3034938082</v>
          </cell>
          <cell r="B3259" t="str">
            <v>Sample Rejected</v>
          </cell>
          <cell r="C3259">
            <v>42720.7400221875</v>
          </cell>
        </row>
        <row r="3260">
          <cell r="A3260">
            <v>3034827547</v>
          </cell>
          <cell r="B3260" t="str">
            <v>Sample Rejected</v>
          </cell>
          <cell r="C3260">
            <v>42716.73400196759</v>
          </cell>
        </row>
        <row r="3261">
          <cell r="A3261">
            <v>3034955982</v>
          </cell>
          <cell r="B3261" t="str">
            <v>Sample Rejected</v>
          </cell>
          <cell r="C3261">
            <v>42720.7400221875</v>
          </cell>
        </row>
        <row r="3262">
          <cell r="A3262">
            <v>3034939544</v>
          </cell>
          <cell r="B3262" t="str">
            <v>Sample Rejected</v>
          </cell>
          <cell r="C3262">
            <v>42720.7400221875</v>
          </cell>
        </row>
        <row r="3263">
          <cell r="A3263">
            <v>3034862673</v>
          </cell>
          <cell r="B3263" t="str">
            <v>Sample Rejected</v>
          </cell>
          <cell r="C3263">
            <v>42718.735660682869</v>
          </cell>
        </row>
        <row r="3264">
          <cell r="A3264">
            <v>3034828732</v>
          </cell>
          <cell r="B3264" t="str">
            <v>Sample Rejected</v>
          </cell>
          <cell r="C3264">
            <v>42716.73400196759</v>
          </cell>
        </row>
        <row r="3265">
          <cell r="A3265">
            <v>3034828200</v>
          </cell>
          <cell r="B3265" t="str">
            <v>Sample Rejected</v>
          </cell>
          <cell r="C3265">
            <v>42716.73400196759</v>
          </cell>
        </row>
        <row r="3266">
          <cell r="A3266">
            <v>3034738588</v>
          </cell>
          <cell r="B3266" t="str">
            <v>Sample Rejected</v>
          </cell>
          <cell r="C3266">
            <v>42716.73400196759</v>
          </cell>
        </row>
        <row r="3267">
          <cell r="A3267">
            <v>3034801739</v>
          </cell>
          <cell r="B3267" t="str">
            <v>Sample Rejected</v>
          </cell>
          <cell r="C3267">
            <v>42716.73400196759</v>
          </cell>
        </row>
        <row r="3268">
          <cell r="A3268">
            <v>3034832143</v>
          </cell>
          <cell r="B3268" t="str">
            <v>Sample Rejected</v>
          </cell>
          <cell r="C3268">
            <v>42716.73400196759</v>
          </cell>
        </row>
        <row r="3269">
          <cell r="A3269">
            <v>3034828327</v>
          </cell>
          <cell r="B3269" t="str">
            <v>Sample Rejected</v>
          </cell>
          <cell r="C3269">
            <v>42716.73400196759</v>
          </cell>
        </row>
        <row r="3270">
          <cell r="A3270">
            <v>3034818279</v>
          </cell>
          <cell r="B3270" t="str">
            <v>Sample Rejected</v>
          </cell>
          <cell r="C3270">
            <v>42716.73400196759</v>
          </cell>
        </row>
        <row r="3271">
          <cell r="A3271">
            <v>3034835721</v>
          </cell>
          <cell r="B3271" t="str">
            <v>Sample Rejected</v>
          </cell>
          <cell r="C3271">
            <v>42716.73400196759</v>
          </cell>
        </row>
        <row r="3272">
          <cell r="A3272">
            <v>3034829806</v>
          </cell>
          <cell r="B3272" t="str">
            <v>Sample Rejected</v>
          </cell>
          <cell r="C3272">
            <v>42716.73400196759</v>
          </cell>
        </row>
        <row r="3273">
          <cell r="A3273">
            <v>3034833689</v>
          </cell>
          <cell r="B3273" t="str">
            <v>Sample Rejected</v>
          </cell>
          <cell r="C3273">
            <v>42716.73400196759</v>
          </cell>
        </row>
        <row r="3274">
          <cell r="A3274">
            <v>3034828561</v>
          </cell>
          <cell r="B3274" t="str">
            <v>Sample Rejected</v>
          </cell>
          <cell r="C3274">
            <v>42716.73400196759</v>
          </cell>
        </row>
        <row r="3275">
          <cell r="A3275">
            <v>3034829995</v>
          </cell>
          <cell r="B3275" t="str">
            <v>Sample Rejected</v>
          </cell>
          <cell r="C3275">
            <v>42716.73400196759</v>
          </cell>
        </row>
        <row r="3276">
          <cell r="A3276">
            <v>3034565003</v>
          </cell>
          <cell r="B3276" t="str">
            <v>Sample Rejected</v>
          </cell>
          <cell r="C3276">
            <v>42716.73400196759</v>
          </cell>
        </row>
        <row r="3277">
          <cell r="A3277">
            <v>3034808023</v>
          </cell>
          <cell r="B3277" t="str">
            <v>Sample Rejected</v>
          </cell>
          <cell r="C3277">
            <v>42716.73400196759</v>
          </cell>
        </row>
        <row r="3278">
          <cell r="A3278">
            <v>3034828886</v>
          </cell>
          <cell r="B3278" t="str">
            <v>Sample Rejected</v>
          </cell>
          <cell r="C3278">
            <v>42716.73400196759</v>
          </cell>
        </row>
        <row r="3279">
          <cell r="A3279">
            <v>3034827986</v>
          </cell>
          <cell r="B3279" t="str">
            <v>Sample Rejected</v>
          </cell>
          <cell r="C3279">
            <v>42716.73400196759</v>
          </cell>
        </row>
        <row r="3280">
          <cell r="A3280">
            <v>3034742029</v>
          </cell>
          <cell r="B3280" t="str">
            <v>Sample Rejected</v>
          </cell>
          <cell r="C3280">
            <v>42716.73400196759</v>
          </cell>
        </row>
        <row r="3281">
          <cell r="A3281">
            <v>3034836063</v>
          </cell>
          <cell r="B3281" t="str">
            <v>Sample Rejected</v>
          </cell>
          <cell r="C3281">
            <v>42716.73400196759</v>
          </cell>
        </row>
        <row r="3282">
          <cell r="A3282">
            <v>3034829147</v>
          </cell>
          <cell r="B3282" t="str">
            <v>Sample Rejected</v>
          </cell>
          <cell r="C3282">
            <v>42716.73400196759</v>
          </cell>
        </row>
        <row r="3283">
          <cell r="A3283">
            <v>3034704363</v>
          </cell>
          <cell r="B3283" t="str">
            <v>Sample Rejected</v>
          </cell>
          <cell r="C3283">
            <v>42716.73400196759</v>
          </cell>
        </row>
        <row r="3284">
          <cell r="A3284">
            <v>3034820109</v>
          </cell>
          <cell r="B3284" t="str">
            <v>Sample Rejected</v>
          </cell>
          <cell r="C3284">
            <v>42716.73400196759</v>
          </cell>
        </row>
        <row r="3285">
          <cell r="A3285">
            <v>3034831837</v>
          </cell>
          <cell r="B3285" t="str">
            <v>Sample Rejected</v>
          </cell>
          <cell r="C3285">
            <v>42716.73400196759</v>
          </cell>
        </row>
        <row r="3286">
          <cell r="A3286">
            <v>3034821088</v>
          </cell>
          <cell r="B3286" t="str">
            <v>Sample Rejected</v>
          </cell>
          <cell r="C3286">
            <v>42716.73400196759</v>
          </cell>
        </row>
        <row r="3287">
          <cell r="A3287">
            <v>3034828687</v>
          </cell>
          <cell r="B3287" t="str">
            <v>Sample Rejected</v>
          </cell>
          <cell r="C3287">
            <v>42716.73400196759</v>
          </cell>
        </row>
        <row r="3288">
          <cell r="A3288">
            <v>3034910846</v>
          </cell>
          <cell r="B3288" t="str">
            <v>Sample Rejected</v>
          </cell>
          <cell r="C3288">
            <v>42720.7400221875</v>
          </cell>
        </row>
        <row r="3289">
          <cell r="A3289">
            <v>3034911267</v>
          </cell>
          <cell r="B3289" t="str">
            <v>Sample Rejected</v>
          </cell>
          <cell r="C3289">
            <v>42720.7400221875</v>
          </cell>
        </row>
        <row r="3290">
          <cell r="A3290">
            <v>3034906439</v>
          </cell>
          <cell r="B3290" t="str">
            <v>Sample Rejected</v>
          </cell>
          <cell r="C3290">
            <v>42720.7400221875</v>
          </cell>
        </row>
        <row r="3291">
          <cell r="A3291">
            <v>3034903049</v>
          </cell>
          <cell r="B3291" t="str">
            <v>Sample Rejected</v>
          </cell>
          <cell r="C3291">
            <v>42720.7400221875</v>
          </cell>
        </row>
        <row r="3292">
          <cell r="A3292">
            <v>3034902502</v>
          </cell>
          <cell r="B3292" t="str">
            <v>Sample Rejected</v>
          </cell>
          <cell r="C3292">
            <v>42720.7400221875</v>
          </cell>
        </row>
        <row r="3293">
          <cell r="A3293">
            <v>3034901149</v>
          </cell>
          <cell r="B3293" t="str">
            <v>Sample Rejected</v>
          </cell>
          <cell r="C3293">
            <v>42720.7400221875</v>
          </cell>
        </row>
        <row r="3294">
          <cell r="A3294">
            <v>3034804012</v>
          </cell>
          <cell r="B3294" t="str">
            <v>Sample Rejected</v>
          </cell>
          <cell r="C3294">
            <v>42720.7400221875</v>
          </cell>
        </row>
        <row r="3295">
          <cell r="A3295">
            <v>3034881424</v>
          </cell>
          <cell r="B3295" t="str">
            <v>Sample Rejected</v>
          </cell>
          <cell r="C3295">
            <v>42720.7400221875</v>
          </cell>
        </row>
        <row r="3296">
          <cell r="A3296">
            <v>3034865419</v>
          </cell>
          <cell r="B3296" t="str">
            <v>Sample Rejected</v>
          </cell>
          <cell r="C3296">
            <v>42720.7400221875</v>
          </cell>
        </row>
        <row r="3297">
          <cell r="A3297">
            <v>3034591970</v>
          </cell>
          <cell r="B3297" t="str">
            <v>Sample Rejected</v>
          </cell>
          <cell r="C3297">
            <v>42720.7400221875</v>
          </cell>
        </row>
        <row r="3298">
          <cell r="A3298">
            <v>3034901224</v>
          </cell>
          <cell r="B3298" t="str">
            <v>Sample Rejected</v>
          </cell>
          <cell r="C3298">
            <v>42720.7400221875</v>
          </cell>
        </row>
        <row r="3299">
          <cell r="A3299">
            <v>3034938197</v>
          </cell>
          <cell r="B3299" t="str">
            <v>Sample Rejected</v>
          </cell>
          <cell r="C3299">
            <v>42720.7400221875</v>
          </cell>
        </row>
        <row r="3300">
          <cell r="A3300">
            <v>3034956071</v>
          </cell>
          <cell r="B3300" t="str">
            <v>Sample Rejected</v>
          </cell>
          <cell r="C3300">
            <v>42720.7400221875</v>
          </cell>
        </row>
        <row r="3301">
          <cell r="A3301">
            <v>3034935347</v>
          </cell>
          <cell r="B3301" t="str">
            <v>Sample Rejected</v>
          </cell>
          <cell r="C3301">
            <v>42720.7400221875</v>
          </cell>
        </row>
        <row r="3302">
          <cell r="A3302">
            <v>3034908045</v>
          </cell>
          <cell r="B3302" t="str">
            <v>Sample Rejected</v>
          </cell>
          <cell r="C3302">
            <v>42720.7400221875</v>
          </cell>
        </row>
        <row r="3303">
          <cell r="A3303">
            <v>3034907688</v>
          </cell>
          <cell r="B3303" t="str">
            <v>Sample Rejected</v>
          </cell>
          <cell r="C3303">
            <v>42720.7400221875</v>
          </cell>
        </row>
        <row r="3304">
          <cell r="A3304">
            <v>3034916511</v>
          </cell>
          <cell r="B3304" t="str">
            <v>Sample Rejected</v>
          </cell>
          <cell r="C3304">
            <v>42720.7400221875</v>
          </cell>
        </row>
        <row r="3305">
          <cell r="A3305">
            <v>3034809156</v>
          </cell>
          <cell r="B3305" t="str">
            <v>Sample Rejected</v>
          </cell>
          <cell r="C3305">
            <v>42720.7400221875</v>
          </cell>
        </row>
        <row r="3306">
          <cell r="A3306">
            <v>3034939137</v>
          </cell>
          <cell r="B3306" t="str">
            <v>Sample Rejected</v>
          </cell>
          <cell r="C3306">
            <v>42720.7400221875</v>
          </cell>
        </row>
        <row r="3307">
          <cell r="A3307">
            <v>3034883385</v>
          </cell>
          <cell r="B3307" t="str">
            <v>Sample Rejected</v>
          </cell>
          <cell r="C3307">
            <v>42720.7400221875</v>
          </cell>
        </row>
        <row r="3308">
          <cell r="A3308">
            <v>3034905313</v>
          </cell>
          <cell r="B3308" t="str">
            <v>Sample Rejected</v>
          </cell>
          <cell r="C3308">
            <v>42720.7400221875</v>
          </cell>
        </row>
        <row r="3309">
          <cell r="A3309">
            <v>3034904815</v>
          </cell>
          <cell r="B3309" t="str">
            <v>Sample Rejected</v>
          </cell>
          <cell r="C3309">
            <v>42720.7400221875</v>
          </cell>
        </row>
        <row r="3310">
          <cell r="A3310">
            <v>3034908693</v>
          </cell>
          <cell r="B3310" t="str">
            <v>Sample Rejected</v>
          </cell>
          <cell r="C3310">
            <v>42720.7400221875</v>
          </cell>
        </row>
        <row r="3311">
          <cell r="A3311">
            <v>3034923135</v>
          </cell>
          <cell r="B3311" t="str">
            <v>Sample Rejected</v>
          </cell>
          <cell r="C3311">
            <v>42720.7400221875</v>
          </cell>
        </row>
        <row r="3312">
          <cell r="A3312">
            <v>3034909904</v>
          </cell>
          <cell r="B3312" t="str">
            <v>Sample Rejected</v>
          </cell>
          <cell r="C3312">
            <v>42720.7400221875</v>
          </cell>
        </row>
        <row r="3313">
          <cell r="A3313">
            <v>3034836891</v>
          </cell>
          <cell r="B3313" t="str">
            <v>Sample Rejected</v>
          </cell>
          <cell r="C3313">
            <v>42720.7400221875</v>
          </cell>
        </row>
        <row r="3314">
          <cell r="A3314">
            <v>3034877407</v>
          </cell>
          <cell r="B3314" t="str">
            <v>Sample Rejected</v>
          </cell>
          <cell r="C3314">
            <v>42720.7400221875</v>
          </cell>
        </row>
        <row r="3315">
          <cell r="A3315">
            <v>3034901044</v>
          </cell>
          <cell r="B3315" t="str">
            <v>Sample Rejected</v>
          </cell>
          <cell r="C3315">
            <v>42720.7400221875</v>
          </cell>
        </row>
        <row r="3316">
          <cell r="A3316">
            <v>3034905788</v>
          </cell>
          <cell r="B3316" t="str">
            <v>Sample Rejected</v>
          </cell>
          <cell r="C3316">
            <v>42720.7400221875</v>
          </cell>
        </row>
        <row r="3317">
          <cell r="A3317">
            <v>3034940834</v>
          </cell>
          <cell r="B3317" t="str">
            <v>Sample Rejected</v>
          </cell>
          <cell r="C3317">
            <v>42720.7400221875</v>
          </cell>
        </row>
        <row r="3318">
          <cell r="A3318">
            <v>3034778764</v>
          </cell>
          <cell r="B3318" t="str">
            <v>Sample Rejected</v>
          </cell>
          <cell r="C3318">
            <v>42720.7400221875</v>
          </cell>
        </row>
        <row r="3319">
          <cell r="A3319">
            <v>3034902042</v>
          </cell>
          <cell r="B3319" t="str">
            <v>Sample Rejected</v>
          </cell>
          <cell r="C3319">
            <v>42720.7400221875</v>
          </cell>
        </row>
        <row r="3320">
          <cell r="A3320">
            <v>3034951303</v>
          </cell>
          <cell r="B3320" t="str">
            <v>Sample Rejected</v>
          </cell>
          <cell r="C3320">
            <v>42720.7400221875</v>
          </cell>
        </row>
        <row r="3321">
          <cell r="A3321">
            <v>3034941674</v>
          </cell>
          <cell r="B3321" t="str">
            <v>Sample Rejected</v>
          </cell>
          <cell r="C3321">
            <v>42720.7400221875</v>
          </cell>
        </row>
        <row r="3322">
          <cell r="A3322">
            <v>3034916339</v>
          </cell>
          <cell r="B3322" t="str">
            <v>Sample Rejected</v>
          </cell>
          <cell r="C3322">
            <v>42720.7400221875</v>
          </cell>
        </row>
        <row r="3323">
          <cell r="A3323">
            <v>3034912902</v>
          </cell>
          <cell r="B3323" t="str">
            <v>Sample Rejected</v>
          </cell>
          <cell r="C3323">
            <v>42720.7400221875</v>
          </cell>
        </row>
        <row r="3324">
          <cell r="A3324">
            <v>3034881470</v>
          </cell>
          <cell r="B3324" t="str">
            <v>Sample Rejected</v>
          </cell>
          <cell r="C3324">
            <v>42720.7400221875</v>
          </cell>
        </row>
        <row r="3325">
          <cell r="A3325">
            <v>3034947858</v>
          </cell>
          <cell r="B3325" t="str">
            <v>Sample Rejected</v>
          </cell>
          <cell r="C3325">
            <v>42720.7400221875</v>
          </cell>
        </row>
        <row r="3326">
          <cell r="A3326">
            <v>3034937525</v>
          </cell>
          <cell r="B3326" t="str">
            <v>Sample Rejected</v>
          </cell>
          <cell r="C3326">
            <v>42720.7400221875</v>
          </cell>
        </row>
        <row r="3327">
          <cell r="A3327">
            <v>3034938004</v>
          </cell>
          <cell r="B3327" t="str">
            <v>Sample Rejected</v>
          </cell>
          <cell r="C3327">
            <v>42720.7400221875</v>
          </cell>
        </row>
        <row r="3328">
          <cell r="A3328">
            <v>3034902929</v>
          </cell>
          <cell r="B3328" t="str">
            <v>Sample Rejected</v>
          </cell>
          <cell r="C3328">
            <v>42720.7400221875</v>
          </cell>
        </row>
        <row r="3329">
          <cell r="A3329">
            <v>3034938324</v>
          </cell>
          <cell r="B3329" t="str">
            <v>Sample Rejected</v>
          </cell>
          <cell r="C3329">
            <v>42720.7400221875</v>
          </cell>
        </row>
        <row r="3330">
          <cell r="A3330">
            <v>3034885335</v>
          </cell>
          <cell r="B3330" t="str">
            <v>Sample Rejected</v>
          </cell>
          <cell r="C3330">
            <v>42720.7400221875</v>
          </cell>
        </row>
        <row r="3331">
          <cell r="A3331">
            <v>3034873247</v>
          </cell>
          <cell r="B3331" t="str">
            <v>Sample Rejected</v>
          </cell>
          <cell r="C3331">
            <v>42720.7400221875</v>
          </cell>
        </row>
        <row r="3332">
          <cell r="A3332">
            <v>3034937323</v>
          </cell>
          <cell r="B3332" t="str">
            <v>Sample Rejected</v>
          </cell>
          <cell r="C3332">
            <v>42720.7400221875</v>
          </cell>
        </row>
        <row r="3333">
          <cell r="A3333">
            <v>3034950566</v>
          </cell>
          <cell r="B3333" t="str">
            <v>Sample Rejected</v>
          </cell>
          <cell r="C3333">
            <v>42720.7400221875</v>
          </cell>
        </row>
        <row r="3334">
          <cell r="A3334">
            <v>3034945322</v>
          </cell>
          <cell r="B3334" t="str">
            <v>Sample Rejected</v>
          </cell>
          <cell r="C3334">
            <v>42720.7400221875</v>
          </cell>
        </row>
        <row r="3335">
          <cell r="A3335">
            <v>3034956949</v>
          </cell>
          <cell r="B3335" t="str">
            <v>Sample Rejected</v>
          </cell>
          <cell r="C3335">
            <v>42720.7400221875</v>
          </cell>
        </row>
        <row r="3336">
          <cell r="A3336">
            <v>3034941064</v>
          </cell>
          <cell r="B3336" t="str">
            <v>Sample Rejected</v>
          </cell>
          <cell r="C3336">
            <v>42720.7400221875</v>
          </cell>
        </row>
        <row r="3337">
          <cell r="A3337">
            <v>3034923476</v>
          </cell>
          <cell r="B3337" t="str">
            <v>Sample Rejected</v>
          </cell>
          <cell r="C3337">
            <v>42720.7400221875</v>
          </cell>
        </row>
        <row r="3338">
          <cell r="A3338">
            <v>3034957963</v>
          </cell>
          <cell r="B3338" t="str">
            <v>Sample Rejected</v>
          </cell>
          <cell r="C3338">
            <v>42720.7400221875</v>
          </cell>
        </row>
        <row r="3339">
          <cell r="A3339">
            <v>3034905620</v>
          </cell>
          <cell r="B3339" t="str">
            <v>Sample Rejected</v>
          </cell>
          <cell r="C3339">
            <v>42720.7400221875</v>
          </cell>
        </row>
        <row r="3340">
          <cell r="A3340">
            <v>3034882729</v>
          </cell>
          <cell r="B3340" t="str">
            <v>Sample Rejected</v>
          </cell>
          <cell r="C3340">
            <v>42720.7400221875</v>
          </cell>
        </row>
        <row r="3341">
          <cell r="A3341">
            <v>3034903030</v>
          </cell>
          <cell r="B3341" t="str">
            <v>Sample Rejected</v>
          </cell>
          <cell r="C3341">
            <v>42720.7400221875</v>
          </cell>
        </row>
        <row r="3342">
          <cell r="A3342">
            <v>3034743307</v>
          </cell>
          <cell r="B3342" t="str">
            <v>Sample Rejected</v>
          </cell>
          <cell r="C3342">
            <v>42720.7400221875</v>
          </cell>
        </row>
        <row r="3343">
          <cell r="A3343">
            <v>3034900751</v>
          </cell>
          <cell r="B3343" t="str">
            <v>Sample Rejected</v>
          </cell>
          <cell r="C3343">
            <v>42720.7400221875</v>
          </cell>
        </row>
        <row r="3344">
          <cell r="A3344">
            <v>3034901324</v>
          </cell>
          <cell r="B3344" t="str">
            <v>Sample Rejected</v>
          </cell>
          <cell r="C3344">
            <v>42720.7400221875</v>
          </cell>
        </row>
        <row r="3345">
          <cell r="A3345">
            <v>3034900681</v>
          </cell>
          <cell r="B3345" t="str">
            <v>Sample Rejected</v>
          </cell>
          <cell r="C3345">
            <v>42720.7400221875</v>
          </cell>
        </row>
        <row r="3346">
          <cell r="A3346">
            <v>3034907549</v>
          </cell>
          <cell r="B3346" t="str">
            <v>Sample Rejected</v>
          </cell>
          <cell r="C3346">
            <v>42720.7400221875</v>
          </cell>
        </row>
        <row r="3347">
          <cell r="A3347">
            <v>3034606960</v>
          </cell>
          <cell r="B3347" t="str">
            <v>Sample Rejected</v>
          </cell>
          <cell r="C3347">
            <v>42720.7400221875</v>
          </cell>
        </row>
        <row r="3348">
          <cell r="A3348">
            <v>3034901872</v>
          </cell>
          <cell r="B3348" t="str">
            <v>Sample Rejected</v>
          </cell>
          <cell r="C3348">
            <v>42720.7400221875</v>
          </cell>
        </row>
        <row r="3349">
          <cell r="A3349">
            <v>3034913736</v>
          </cell>
          <cell r="B3349" t="str">
            <v>Sample Rejected</v>
          </cell>
          <cell r="C3349">
            <v>42720.7400221875</v>
          </cell>
        </row>
        <row r="3350">
          <cell r="A3350">
            <v>3034908087</v>
          </cell>
          <cell r="B3350" t="str">
            <v>Sample Rejected</v>
          </cell>
          <cell r="C3350">
            <v>42720.7400221875</v>
          </cell>
        </row>
        <row r="3351">
          <cell r="A3351">
            <v>3034879280</v>
          </cell>
          <cell r="B3351" t="str">
            <v>Sample Rejected</v>
          </cell>
          <cell r="C3351">
            <v>42720.7400221875</v>
          </cell>
        </row>
        <row r="3352">
          <cell r="A3352">
            <v>3034915503</v>
          </cell>
          <cell r="B3352" t="str">
            <v>Sample Rejected</v>
          </cell>
          <cell r="C3352">
            <v>42720.7400221875</v>
          </cell>
        </row>
        <row r="3353">
          <cell r="A3353">
            <v>3034912938</v>
          </cell>
          <cell r="B3353" t="str">
            <v>Sample Rejected</v>
          </cell>
          <cell r="C3353">
            <v>42720.7400221875</v>
          </cell>
        </row>
        <row r="3354">
          <cell r="A3354">
            <v>3034902233</v>
          </cell>
          <cell r="B3354" t="str">
            <v>Sample Rejected</v>
          </cell>
          <cell r="C3354">
            <v>42720.7400221875</v>
          </cell>
        </row>
        <row r="3355">
          <cell r="A3355">
            <v>3034828048</v>
          </cell>
          <cell r="B3355" t="str">
            <v>Sample Rejected</v>
          </cell>
          <cell r="C3355">
            <v>42720.7400221875</v>
          </cell>
        </row>
        <row r="3356">
          <cell r="A3356">
            <v>3034918954</v>
          </cell>
          <cell r="B3356" t="str">
            <v>Sample Rejected</v>
          </cell>
          <cell r="C3356">
            <v>42720.7400221875</v>
          </cell>
        </row>
        <row r="3357">
          <cell r="A3357">
            <v>3034534578</v>
          </cell>
          <cell r="B3357" t="str">
            <v>Sample Rejected</v>
          </cell>
          <cell r="C3357">
            <v>42720.7400221875</v>
          </cell>
        </row>
        <row r="3358">
          <cell r="A3358">
            <v>3034747201</v>
          </cell>
          <cell r="B3358" t="str">
            <v>Sample Rejected</v>
          </cell>
          <cell r="C3358">
            <v>42720.7400221875</v>
          </cell>
        </row>
        <row r="3359">
          <cell r="A3359">
            <v>3034909489</v>
          </cell>
          <cell r="B3359" t="str">
            <v>Sample Rejected</v>
          </cell>
          <cell r="C3359">
            <v>42720.7400221875</v>
          </cell>
        </row>
        <row r="3360">
          <cell r="A3360">
            <v>3034902317</v>
          </cell>
          <cell r="B3360" t="str">
            <v>Sample Rejected</v>
          </cell>
          <cell r="C3360">
            <v>42720.7400221875</v>
          </cell>
        </row>
        <row r="3361">
          <cell r="A3361">
            <v>3034900804</v>
          </cell>
          <cell r="B3361" t="str">
            <v>Sample Rejected</v>
          </cell>
          <cell r="C3361">
            <v>42720.7400221875</v>
          </cell>
        </row>
        <row r="3362">
          <cell r="A3362">
            <v>3034876165</v>
          </cell>
          <cell r="B3362" t="str">
            <v>Sample Rejected</v>
          </cell>
          <cell r="C3362">
            <v>42720.7400221875</v>
          </cell>
        </row>
        <row r="3363">
          <cell r="A3363">
            <v>3034742499</v>
          </cell>
          <cell r="B3363" t="str">
            <v>Sample Rejected</v>
          </cell>
          <cell r="C3363">
            <v>42720.7400221875</v>
          </cell>
        </row>
        <row r="3364">
          <cell r="A3364">
            <v>3034864540</v>
          </cell>
          <cell r="B3364" t="str">
            <v>Sample Rejected</v>
          </cell>
          <cell r="C3364">
            <v>42720.7400221875</v>
          </cell>
        </row>
        <row r="3365">
          <cell r="A3365">
            <v>3034920580</v>
          </cell>
          <cell r="B3365" t="str">
            <v>Sample Rejected</v>
          </cell>
          <cell r="C3365">
            <v>42720.7400221875</v>
          </cell>
        </row>
        <row r="3366">
          <cell r="A3366">
            <v>3034703296</v>
          </cell>
          <cell r="B3366" t="str">
            <v>Sample Rejected</v>
          </cell>
          <cell r="C3366">
            <v>42720.7400221875</v>
          </cell>
        </row>
        <row r="3367">
          <cell r="A3367">
            <v>3034910230</v>
          </cell>
          <cell r="B3367" t="str">
            <v>Sample Rejected</v>
          </cell>
          <cell r="C3367">
            <v>42720.7400221875</v>
          </cell>
        </row>
        <row r="3368">
          <cell r="A3368">
            <v>3034913573</v>
          </cell>
          <cell r="B3368" t="str">
            <v>Sample Rejected</v>
          </cell>
          <cell r="C3368">
            <v>42720.7400221875</v>
          </cell>
        </row>
        <row r="3369">
          <cell r="A3369">
            <v>3034939954</v>
          </cell>
          <cell r="B3369" t="str">
            <v>Sample Rejected</v>
          </cell>
          <cell r="C3369">
            <v>42720.7400221875</v>
          </cell>
        </row>
        <row r="3370">
          <cell r="A3370">
            <v>3034900426</v>
          </cell>
          <cell r="B3370" t="str">
            <v>Sample Rejected</v>
          </cell>
          <cell r="C3370">
            <v>42720.7400221875</v>
          </cell>
        </row>
        <row r="3371">
          <cell r="A3371">
            <v>3034886079</v>
          </cell>
          <cell r="B3371" t="str">
            <v>Sample Rejected</v>
          </cell>
          <cell r="C3371">
            <v>42720.7400221875</v>
          </cell>
        </row>
        <row r="3372">
          <cell r="A3372">
            <v>3034914796</v>
          </cell>
          <cell r="B3372" t="str">
            <v>Sample Rejected</v>
          </cell>
          <cell r="C3372">
            <v>42720.7400221875</v>
          </cell>
        </row>
        <row r="3373">
          <cell r="A3373">
            <v>3034909789</v>
          </cell>
          <cell r="B3373" t="str">
            <v>Sample Rejected</v>
          </cell>
          <cell r="C3373">
            <v>42720.7400221875</v>
          </cell>
        </row>
        <row r="3374">
          <cell r="A3374">
            <v>3034911538</v>
          </cell>
          <cell r="B3374" t="str">
            <v>Sample Rejected</v>
          </cell>
          <cell r="C3374">
            <v>42720.7400221875</v>
          </cell>
        </row>
        <row r="3375">
          <cell r="A3375">
            <v>3034922361</v>
          </cell>
          <cell r="B3375" t="str">
            <v>Sample Rejected</v>
          </cell>
          <cell r="C3375">
            <v>42720.7400221875</v>
          </cell>
        </row>
        <row r="3376">
          <cell r="A3376">
            <v>3034914601</v>
          </cell>
          <cell r="B3376" t="str">
            <v>Sample Rejected</v>
          </cell>
          <cell r="C3376">
            <v>42720.7400221875</v>
          </cell>
        </row>
        <row r="3377">
          <cell r="A3377">
            <v>3034905982</v>
          </cell>
          <cell r="B3377" t="str">
            <v>Sample Rejected</v>
          </cell>
          <cell r="C3377">
            <v>42720.7400221875</v>
          </cell>
        </row>
        <row r="3378">
          <cell r="A3378">
            <v>3034905460</v>
          </cell>
          <cell r="B3378" t="str">
            <v>Sample Rejected</v>
          </cell>
          <cell r="C3378">
            <v>42720.7400221875</v>
          </cell>
        </row>
        <row r="3379">
          <cell r="A3379">
            <v>3034916137</v>
          </cell>
          <cell r="B3379" t="str">
            <v>Sample Rejected</v>
          </cell>
          <cell r="C3379">
            <v>42720.7400221875</v>
          </cell>
        </row>
        <row r="3380">
          <cell r="A3380">
            <v>3034911510</v>
          </cell>
          <cell r="B3380" t="str">
            <v>Sample Rejected</v>
          </cell>
          <cell r="C3380">
            <v>42720.7400221875</v>
          </cell>
        </row>
        <row r="3381">
          <cell r="A3381">
            <v>3034913337</v>
          </cell>
          <cell r="B3381" t="str">
            <v>Sample Rejected</v>
          </cell>
          <cell r="C3381">
            <v>42720.7400221875</v>
          </cell>
        </row>
        <row r="3382">
          <cell r="A3382">
            <v>3034919931</v>
          </cell>
          <cell r="B3382" t="str">
            <v>Sample Rejected</v>
          </cell>
          <cell r="C3382">
            <v>42720.7400221875</v>
          </cell>
        </row>
        <row r="3383">
          <cell r="A3383">
            <v>3034904251</v>
          </cell>
          <cell r="B3383" t="str">
            <v>Sample Rejected</v>
          </cell>
          <cell r="C3383">
            <v>42720.7400221875</v>
          </cell>
        </row>
        <row r="3384">
          <cell r="A3384">
            <v>3034905419</v>
          </cell>
          <cell r="B3384" t="str">
            <v>Sample Rejected</v>
          </cell>
          <cell r="C3384">
            <v>42720.7400221875</v>
          </cell>
        </row>
        <row r="3385">
          <cell r="A3385">
            <v>3034902754</v>
          </cell>
          <cell r="B3385" t="str">
            <v>Sample Rejected</v>
          </cell>
          <cell r="C3385">
            <v>42720.7400221875</v>
          </cell>
        </row>
        <row r="3386">
          <cell r="A3386">
            <v>3034916896</v>
          </cell>
          <cell r="B3386" t="str">
            <v>Sample Rejected</v>
          </cell>
          <cell r="C3386">
            <v>42720.7400221875</v>
          </cell>
        </row>
        <row r="3387">
          <cell r="A3387">
            <v>3034746736</v>
          </cell>
          <cell r="B3387" t="str">
            <v>Sample Rejected</v>
          </cell>
          <cell r="C3387">
            <v>42720.7400221875</v>
          </cell>
        </row>
        <row r="3388">
          <cell r="A3388">
            <v>3034705780</v>
          </cell>
          <cell r="B3388" t="str">
            <v>Sample Rejected</v>
          </cell>
          <cell r="C3388">
            <v>42720.7400221875</v>
          </cell>
        </row>
        <row r="3389">
          <cell r="A3389">
            <v>3034800898</v>
          </cell>
          <cell r="B3389" t="str">
            <v>Sample Rejected</v>
          </cell>
          <cell r="C3389">
            <v>42720.7400221875</v>
          </cell>
        </row>
        <row r="3390">
          <cell r="A3390">
            <v>3034866555</v>
          </cell>
          <cell r="B3390" t="str">
            <v>Sample Rejected</v>
          </cell>
          <cell r="C3390">
            <v>42720.7400221875</v>
          </cell>
        </row>
        <row r="3391">
          <cell r="A3391">
            <v>3034907212</v>
          </cell>
          <cell r="B3391" t="str">
            <v>Sample Rejected</v>
          </cell>
          <cell r="C3391">
            <v>42720.7400221875</v>
          </cell>
        </row>
        <row r="3392">
          <cell r="A3392">
            <v>3034878867</v>
          </cell>
          <cell r="B3392" t="str">
            <v>Sample Rejected</v>
          </cell>
          <cell r="C3392">
            <v>42720.7400221875</v>
          </cell>
        </row>
        <row r="3393">
          <cell r="A3393">
            <v>3034865791</v>
          </cell>
          <cell r="B3393" t="str">
            <v>Sample Rejected</v>
          </cell>
          <cell r="C3393">
            <v>42720.7400221875</v>
          </cell>
        </row>
        <row r="3394">
          <cell r="A3394">
            <v>3034942456</v>
          </cell>
          <cell r="B3394" t="str">
            <v>Sample Rejected</v>
          </cell>
          <cell r="C3394">
            <v>42720.7400221875</v>
          </cell>
        </row>
        <row r="3395">
          <cell r="A3395">
            <v>3034938717</v>
          </cell>
          <cell r="B3395" t="str">
            <v>Sample Rejected</v>
          </cell>
          <cell r="C3395">
            <v>42720.7400221875</v>
          </cell>
        </row>
        <row r="3396">
          <cell r="A3396">
            <v>3034879570</v>
          </cell>
          <cell r="B3396" t="str">
            <v>Sample Rejected</v>
          </cell>
          <cell r="C3396">
            <v>42720.7400221875</v>
          </cell>
        </row>
        <row r="3397">
          <cell r="A3397">
            <v>3034877869</v>
          </cell>
          <cell r="B3397" t="str">
            <v>Sample Rejected</v>
          </cell>
          <cell r="C3397">
            <v>42720.7400221875</v>
          </cell>
        </row>
        <row r="3398">
          <cell r="A3398">
            <v>3034879601</v>
          </cell>
          <cell r="B3398" t="str">
            <v>Sample Rejected</v>
          </cell>
          <cell r="C3398">
            <v>42720.7400221875</v>
          </cell>
        </row>
        <row r="3399">
          <cell r="A3399">
            <v>3034948284</v>
          </cell>
          <cell r="B3399" t="str">
            <v>Sample Rejected</v>
          </cell>
          <cell r="C3399">
            <v>42720.7400221875</v>
          </cell>
        </row>
        <row r="3400">
          <cell r="A3400">
            <v>3034862468</v>
          </cell>
          <cell r="B3400" t="str">
            <v>Sample Rejected</v>
          </cell>
          <cell r="C3400">
            <v>42720.7400221875</v>
          </cell>
        </row>
        <row r="3401">
          <cell r="A3401">
            <v>3034938705</v>
          </cell>
          <cell r="B3401" t="str">
            <v>Sample Rejected</v>
          </cell>
          <cell r="C3401">
            <v>42720.7400221875</v>
          </cell>
        </row>
        <row r="3402">
          <cell r="A3402">
            <v>3034863281</v>
          </cell>
          <cell r="B3402" t="str">
            <v>Sample Rejected</v>
          </cell>
          <cell r="C3402">
            <v>42720.7400221875</v>
          </cell>
        </row>
        <row r="3403">
          <cell r="A3403">
            <v>3034876784</v>
          </cell>
          <cell r="B3403" t="str">
            <v>Sample Rejected</v>
          </cell>
          <cell r="C3403">
            <v>42720.7400221875</v>
          </cell>
        </row>
        <row r="3404">
          <cell r="A3404">
            <v>3034865047</v>
          </cell>
          <cell r="B3404" t="str">
            <v>Sample Rejected</v>
          </cell>
          <cell r="C3404">
            <v>42720.7400221875</v>
          </cell>
        </row>
        <row r="3405">
          <cell r="A3405">
            <v>3034864824</v>
          </cell>
          <cell r="B3405" t="str">
            <v>Sample Rejected</v>
          </cell>
          <cell r="C3405">
            <v>42720.7400221875</v>
          </cell>
        </row>
        <row r="3406">
          <cell r="A3406">
            <v>3034865778</v>
          </cell>
          <cell r="B3406" t="str">
            <v>Sample Rejected</v>
          </cell>
          <cell r="C3406">
            <v>42720.7400221875</v>
          </cell>
        </row>
        <row r="3407">
          <cell r="A3407">
            <v>3034879054</v>
          </cell>
          <cell r="B3407" t="str">
            <v>Sample Rejected</v>
          </cell>
          <cell r="C3407">
            <v>42720.7400221875</v>
          </cell>
        </row>
        <row r="3408">
          <cell r="A3408">
            <v>3034865958</v>
          </cell>
          <cell r="B3408" t="str">
            <v>Sample Rejected</v>
          </cell>
          <cell r="C3408">
            <v>42720.7400221875</v>
          </cell>
        </row>
        <row r="3409">
          <cell r="A3409">
            <v>3034871196</v>
          </cell>
          <cell r="B3409" t="str">
            <v>Sample Rejected</v>
          </cell>
          <cell r="C3409">
            <v>42720.7400221875</v>
          </cell>
        </row>
        <row r="3410">
          <cell r="A3410">
            <v>3034861945</v>
          </cell>
          <cell r="B3410" t="str">
            <v>Sample Rejected</v>
          </cell>
          <cell r="C3410">
            <v>42720.7400221875</v>
          </cell>
        </row>
        <row r="3411">
          <cell r="A3411">
            <v>3034828205</v>
          </cell>
          <cell r="B3411" t="str">
            <v>Sample Rejected</v>
          </cell>
          <cell r="C3411">
            <v>42720.7400221875</v>
          </cell>
        </row>
        <row r="3412">
          <cell r="A3412">
            <v>3034864060</v>
          </cell>
          <cell r="B3412" t="str">
            <v>Sample Rejected</v>
          </cell>
          <cell r="C3412">
            <v>42720.7400221875</v>
          </cell>
        </row>
        <row r="3413">
          <cell r="A3413">
            <v>3034801755</v>
          </cell>
          <cell r="B3413" t="str">
            <v>Sample Rejected</v>
          </cell>
          <cell r="C3413">
            <v>42720.7400221875</v>
          </cell>
        </row>
        <row r="3414">
          <cell r="A3414">
            <v>3034862132</v>
          </cell>
          <cell r="B3414" t="str">
            <v>Sample Rejected</v>
          </cell>
          <cell r="C3414">
            <v>42720.7400221875</v>
          </cell>
        </row>
        <row r="3415">
          <cell r="A3415">
            <v>3034877996</v>
          </cell>
          <cell r="B3415" t="str">
            <v>Sample Rejected</v>
          </cell>
          <cell r="C3415">
            <v>42720.7400221875</v>
          </cell>
        </row>
        <row r="3416">
          <cell r="A3416">
            <v>3034916437</v>
          </cell>
          <cell r="B3416" t="str">
            <v>Sample Rejected</v>
          </cell>
          <cell r="C3416">
            <v>42720.7400221875</v>
          </cell>
        </row>
        <row r="3417">
          <cell r="A3417">
            <v>3034862875</v>
          </cell>
          <cell r="B3417" t="str">
            <v>Sample Rejected</v>
          </cell>
          <cell r="C3417">
            <v>42720.7400221875</v>
          </cell>
        </row>
        <row r="3418">
          <cell r="A3418">
            <v>3034872382</v>
          </cell>
          <cell r="B3418" t="str">
            <v>Sample Rejected</v>
          </cell>
          <cell r="C3418">
            <v>42720.7400221875</v>
          </cell>
        </row>
        <row r="3419">
          <cell r="A3419">
            <v>3034872870</v>
          </cell>
          <cell r="B3419" t="str">
            <v>Sample Rejected</v>
          </cell>
          <cell r="C3419">
            <v>42720.7400221875</v>
          </cell>
        </row>
        <row r="3420">
          <cell r="A3420">
            <v>3034877051</v>
          </cell>
          <cell r="B3420" t="str">
            <v>Sample Rejected</v>
          </cell>
          <cell r="C3420">
            <v>42720.7400221875</v>
          </cell>
        </row>
        <row r="3421">
          <cell r="A3421">
            <v>3034873691</v>
          </cell>
          <cell r="B3421" t="str">
            <v>Sample Rejected</v>
          </cell>
          <cell r="C3421">
            <v>42720.7400221875</v>
          </cell>
        </row>
        <row r="3422">
          <cell r="A3422">
            <v>3034883575</v>
          </cell>
          <cell r="B3422" t="str">
            <v>Sample Rejected</v>
          </cell>
          <cell r="C3422">
            <v>42720.7400221875</v>
          </cell>
        </row>
        <row r="3423">
          <cell r="A3423">
            <v>3034875496</v>
          </cell>
          <cell r="B3423" t="str">
            <v>Sample Rejected</v>
          </cell>
          <cell r="C3423">
            <v>42720.7400221875</v>
          </cell>
        </row>
        <row r="3424">
          <cell r="A3424">
            <v>3034867175</v>
          </cell>
          <cell r="B3424" t="str">
            <v>Sample Rejected</v>
          </cell>
          <cell r="C3424">
            <v>42720.7400221875</v>
          </cell>
        </row>
        <row r="3425">
          <cell r="A3425">
            <v>3034882915</v>
          </cell>
          <cell r="B3425" t="str">
            <v>Sample Rejected</v>
          </cell>
          <cell r="C3425">
            <v>42720.7400221875</v>
          </cell>
        </row>
        <row r="3426">
          <cell r="A3426">
            <v>3034882671</v>
          </cell>
          <cell r="B3426" t="str">
            <v>Sample Rejected</v>
          </cell>
          <cell r="C3426">
            <v>42720.7400221875</v>
          </cell>
        </row>
        <row r="3427">
          <cell r="A3427">
            <v>3034873601</v>
          </cell>
          <cell r="B3427" t="str">
            <v>Sample Rejected</v>
          </cell>
          <cell r="C3427">
            <v>42720.7400221875</v>
          </cell>
        </row>
        <row r="3428">
          <cell r="A3428">
            <v>3034698416</v>
          </cell>
          <cell r="B3428" t="str">
            <v>Sample Rejected</v>
          </cell>
          <cell r="C3428">
            <v>42720.7400221875</v>
          </cell>
        </row>
        <row r="3429">
          <cell r="A3429">
            <v>3034877759</v>
          </cell>
          <cell r="B3429" t="str">
            <v>Sample Rejected</v>
          </cell>
          <cell r="C3429">
            <v>42720.7400221875</v>
          </cell>
        </row>
        <row r="3430">
          <cell r="A3430">
            <v>3034872430</v>
          </cell>
          <cell r="B3430" t="str">
            <v>Sample Rejected</v>
          </cell>
          <cell r="C3430">
            <v>42720.7400221875</v>
          </cell>
        </row>
        <row r="3431">
          <cell r="A3431">
            <v>3034875018</v>
          </cell>
          <cell r="B3431" t="str">
            <v>Sample Rejected</v>
          </cell>
          <cell r="C3431">
            <v>42720.7400221875</v>
          </cell>
        </row>
        <row r="3432">
          <cell r="A3432">
            <v>3034879775</v>
          </cell>
          <cell r="B3432" t="str">
            <v>Sample Rejected</v>
          </cell>
          <cell r="C3432">
            <v>42720.7400221875</v>
          </cell>
        </row>
        <row r="3433">
          <cell r="A3433">
            <v>3034864424</v>
          </cell>
          <cell r="B3433" t="str">
            <v>Sample Rejected</v>
          </cell>
          <cell r="C3433">
            <v>42720.7400221875</v>
          </cell>
        </row>
        <row r="3434">
          <cell r="A3434">
            <v>3034731841</v>
          </cell>
          <cell r="B3434" t="str">
            <v>Sample Rejected</v>
          </cell>
          <cell r="C3434">
            <v>42720.7400221875</v>
          </cell>
        </row>
        <row r="3435">
          <cell r="A3435">
            <v>3034784136</v>
          </cell>
          <cell r="B3435" t="str">
            <v>Sample Rejected</v>
          </cell>
          <cell r="C3435">
            <v>42720.7400221875</v>
          </cell>
        </row>
        <row r="3436">
          <cell r="A3436">
            <v>3034944966</v>
          </cell>
          <cell r="B3436" t="str">
            <v>Sample Rejected</v>
          </cell>
          <cell r="C3436">
            <v>42720.7400221875</v>
          </cell>
        </row>
        <row r="3437">
          <cell r="A3437">
            <v>3034884917</v>
          </cell>
          <cell r="B3437" t="str">
            <v>Sample Rejected</v>
          </cell>
          <cell r="C3437">
            <v>42720.7400221875</v>
          </cell>
        </row>
        <row r="3438">
          <cell r="A3438">
            <v>3034884805</v>
          </cell>
          <cell r="B3438" t="str">
            <v>Sample Rejected</v>
          </cell>
          <cell r="C3438">
            <v>42720.7400221875</v>
          </cell>
        </row>
        <row r="3439">
          <cell r="A3439">
            <v>3034860910</v>
          </cell>
          <cell r="B3439" t="str">
            <v>Sample Rejected</v>
          </cell>
          <cell r="C3439">
            <v>42720.7400221875</v>
          </cell>
        </row>
        <row r="3440">
          <cell r="A3440">
            <v>3034865938</v>
          </cell>
          <cell r="B3440" t="str">
            <v>Sample Rejected</v>
          </cell>
          <cell r="C3440">
            <v>42720.7400221875</v>
          </cell>
        </row>
        <row r="3441">
          <cell r="A3441">
            <v>3034884380</v>
          </cell>
          <cell r="B3441" t="str">
            <v>Sample Rejected</v>
          </cell>
          <cell r="C3441">
            <v>42720.7400221875</v>
          </cell>
        </row>
        <row r="3442">
          <cell r="A3442">
            <v>3034882358</v>
          </cell>
          <cell r="B3442" t="str">
            <v>Sample Rejected</v>
          </cell>
          <cell r="C3442">
            <v>42720.7400221875</v>
          </cell>
        </row>
        <row r="3443">
          <cell r="A3443">
            <v>3034880717</v>
          </cell>
          <cell r="B3443" t="str">
            <v>Sample Rejected</v>
          </cell>
          <cell r="C3443">
            <v>42720.7400221875</v>
          </cell>
        </row>
        <row r="3444">
          <cell r="A3444">
            <v>3034865120</v>
          </cell>
          <cell r="B3444" t="str">
            <v>Sample Rejected</v>
          </cell>
          <cell r="C3444">
            <v>42720.7400221875</v>
          </cell>
        </row>
        <row r="3445">
          <cell r="A3445">
            <v>3034876027</v>
          </cell>
          <cell r="B3445" t="str">
            <v>Sample Rejected</v>
          </cell>
          <cell r="C3445">
            <v>42720.7400221875</v>
          </cell>
        </row>
        <row r="3446">
          <cell r="A3446">
            <v>3034871060</v>
          </cell>
          <cell r="B3446" t="str">
            <v>Sample Rejected</v>
          </cell>
          <cell r="C3446">
            <v>42720.7400221875</v>
          </cell>
        </row>
        <row r="3447">
          <cell r="A3447">
            <v>3034863373</v>
          </cell>
          <cell r="B3447" t="str">
            <v>Sample Rejected</v>
          </cell>
          <cell r="C3447">
            <v>42720.7400221875</v>
          </cell>
        </row>
        <row r="3448">
          <cell r="A3448">
            <v>3034661799</v>
          </cell>
          <cell r="B3448" t="str">
            <v>Sample Rejected</v>
          </cell>
          <cell r="C3448">
            <v>42720.7400221875</v>
          </cell>
        </row>
        <row r="3449">
          <cell r="A3449">
            <v>3034873779</v>
          </cell>
          <cell r="B3449" t="str">
            <v>Sample Rejected</v>
          </cell>
          <cell r="C3449">
            <v>42720.7400221875</v>
          </cell>
        </row>
        <row r="3450">
          <cell r="A3450">
            <v>3034878269</v>
          </cell>
          <cell r="B3450" t="str">
            <v>Sample Rejected</v>
          </cell>
          <cell r="C3450">
            <v>42720.7400221875</v>
          </cell>
        </row>
        <row r="3451">
          <cell r="A3451">
            <v>3034915595</v>
          </cell>
          <cell r="B3451" t="str">
            <v>Sample Rejected</v>
          </cell>
          <cell r="C3451">
            <v>42720.7400221875</v>
          </cell>
        </row>
        <row r="3452">
          <cell r="A3452">
            <v>3034865141</v>
          </cell>
          <cell r="B3452" t="str">
            <v>Sample Rejected</v>
          </cell>
          <cell r="C3452">
            <v>42720.7400221875</v>
          </cell>
        </row>
        <row r="3453">
          <cell r="A3453">
            <v>3034864638</v>
          </cell>
          <cell r="B3453" t="str">
            <v>Sample Rejected</v>
          </cell>
          <cell r="C3453">
            <v>42720.7400221875</v>
          </cell>
        </row>
        <row r="3454">
          <cell r="A3454">
            <v>3034836641</v>
          </cell>
          <cell r="B3454" t="str">
            <v>Sample Rejected</v>
          </cell>
          <cell r="C3454">
            <v>42720.7400221875</v>
          </cell>
        </row>
        <row r="3455">
          <cell r="A3455">
            <v>3034558027</v>
          </cell>
          <cell r="B3455" t="str">
            <v>Sample Rejected</v>
          </cell>
          <cell r="C3455">
            <v>42720.7400221875</v>
          </cell>
        </row>
        <row r="3456">
          <cell r="A3456">
            <v>3034876456</v>
          </cell>
          <cell r="B3456" t="str">
            <v>Sample Rejected</v>
          </cell>
          <cell r="C3456">
            <v>42720.7400221875</v>
          </cell>
        </row>
        <row r="3457">
          <cell r="A3457">
            <v>3034651261</v>
          </cell>
          <cell r="B3457" t="str">
            <v>Sample Rejected</v>
          </cell>
          <cell r="C3457">
            <v>42720.7400221875</v>
          </cell>
        </row>
        <row r="3458">
          <cell r="A3458">
            <v>3034866028</v>
          </cell>
          <cell r="B3458" t="str">
            <v>Sample Rejected</v>
          </cell>
          <cell r="C3458">
            <v>42720.7400221875</v>
          </cell>
        </row>
        <row r="3459">
          <cell r="A3459">
            <v>3034914561</v>
          </cell>
          <cell r="B3459" t="str">
            <v>Sample Rejected</v>
          </cell>
          <cell r="C3459">
            <v>42720.7400221875</v>
          </cell>
        </row>
        <row r="3460">
          <cell r="A3460">
            <v>3034867038</v>
          </cell>
          <cell r="B3460" t="str">
            <v>Sample Rejected</v>
          </cell>
          <cell r="C3460">
            <v>42720.7400221875</v>
          </cell>
        </row>
        <row r="3461">
          <cell r="A3461">
            <v>3034865954</v>
          </cell>
          <cell r="B3461" t="str">
            <v>Sample Rejected</v>
          </cell>
          <cell r="C3461">
            <v>42720.7400221875</v>
          </cell>
        </row>
        <row r="3462">
          <cell r="A3462">
            <v>3034874343</v>
          </cell>
          <cell r="B3462" t="str">
            <v>Sample Rejected</v>
          </cell>
          <cell r="C3462">
            <v>42720.7400221875</v>
          </cell>
        </row>
        <row r="3463">
          <cell r="A3463">
            <v>3034880999</v>
          </cell>
          <cell r="B3463" t="str">
            <v>Sample Rejected</v>
          </cell>
          <cell r="C3463">
            <v>42720.7400221875</v>
          </cell>
        </row>
        <row r="3464">
          <cell r="A3464">
            <v>3034879254</v>
          </cell>
          <cell r="B3464" t="str">
            <v>Sample Rejected</v>
          </cell>
          <cell r="C3464">
            <v>42720.7400221875</v>
          </cell>
        </row>
        <row r="3465">
          <cell r="A3465">
            <v>3034866368</v>
          </cell>
          <cell r="B3465" t="str">
            <v>Sample Rejected</v>
          </cell>
          <cell r="C3465">
            <v>42720.7400221875</v>
          </cell>
        </row>
        <row r="3466">
          <cell r="A3466">
            <v>3034874672</v>
          </cell>
          <cell r="B3466" t="str">
            <v>Sample Rejected</v>
          </cell>
          <cell r="C3466">
            <v>42720.7400221875</v>
          </cell>
        </row>
        <row r="3467">
          <cell r="A3467">
            <v>3034869184</v>
          </cell>
          <cell r="B3467" t="str">
            <v>Sample Rejected</v>
          </cell>
          <cell r="C3467">
            <v>42720.7400221875</v>
          </cell>
        </row>
        <row r="3468">
          <cell r="A3468">
            <v>3034653504</v>
          </cell>
          <cell r="B3468" t="str">
            <v>Sample Rejected</v>
          </cell>
          <cell r="C3468">
            <v>42720.7400221875</v>
          </cell>
        </row>
        <row r="3469">
          <cell r="A3469">
            <v>3034872442</v>
          </cell>
          <cell r="B3469" t="str">
            <v>Sample Rejected</v>
          </cell>
          <cell r="C3469">
            <v>42720.7400221875</v>
          </cell>
        </row>
        <row r="3470">
          <cell r="A3470">
            <v>3034869651</v>
          </cell>
          <cell r="B3470" t="str">
            <v>Sample Rejected</v>
          </cell>
          <cell r="C3470">
            <v>42720.7400221875</v>
          </cell>
        </row>
        <row r="3471">
          <cell r="A3471">
            <v>3034874809</v>
          </cell>
          <cell r="B3471" t="str">
            <v>Sample Rejected</v>
          </cell>
          <cell r="C3471">
            <v>42720.7400221875</v>
          </cell>
        </row>
        <row r="3472">
          <cell r="A3472">
            <v>3034881360</v>
          </cell>
          <cell r="B3472" t="str">
            <v>Sample Rejected</v>
          </cell>
          <cell r="C3472">
            <v>42720.7400221875</v>
          </cell>
        </row>
        <row r="3473">
          <cell r="A3473">
            <v>3034867255</v>
          </cell>
          <cell r="B3473" t="str">
            <v>Sample Rejected</v>
          </cell>
          <cell r="C3473">
            <v>42720.7400221875</v>
          </cell>
        </row>
        <row r="3474">
          <cell r="A3474">
            <v>3034874078</v>
          </cell>
          <cell r="B3474" t="str">
            <v>Sample Rejected</v>
          </cell>
          <cell r="C3474">
            <v>42720.7400221875</v>
          </cell>
        </row>
        <row r="3475">
          <cell r="A3475">
            <v>3034813013</v>
          </cell>
          <cell r="B3475" t="str">
            <v>Sample Rejected</v>
          </cell>
          <cell r="C3475">
            <v>42720.7400221875</v>
          </cell>
        </row>
        <row r="3476">
          <cell r="A3476">
            <v>3034865341</v>
          </cell>
          <cell r="B3476" t="str">
            <v>Sample Rejected</v>
          </cell>
          <cell r="C3476">
            <v>42720.7400221875</v>
          </cell>
        </row>
        <row r="3477">
          <cell r="A3477">
            <v>3034862227</v>
          </cell>
          <cell r="B3477" t="str">
            <v>Sample Rejected</v>
          </cell>
          <cell r="C3477">
            <v>42720.7400221875</v>
          </cell>
        </row>
        <row r="3478">
          <cell r="A3478">
            <v>3034864671</v>
          </cell>
          <cell r="B3478" t="str">
            <v>Sample Rejected</v>
          </cell>
          <cell r="C3478">
            <v>42720.7400221875</v>
          </cell>
        </row>
        <row r="3479">
          <cell r="A3479">
            <v>3034862453</v>
          </cell>
          <cell r="B3479" t="str">
            <v>Sample Rejected</v>
          </cell>
          <cell r="C3479">
            <v>42720.7400221875</v>
          </cell>
        </row>
        <row r="3480">
          <cell r="A3480">
            <v>3034865006</v>
          </cell>
          <cell r="B3480" t="str">
            <v>Sample Rejected</v>
          </cell>
          <cell r="C3480">
            <v>42720.7400221875</v>
          </cell>
        </row>
        <row r="3481">
          <cell r="A3481">
            <v>3034863480</v>
          </cell>
          <cell r="B3481" t="str">
            <v>Sample Rejected</v>
          </cell>
          <cell r="C3481">
            <v>42720.7400221875</v>
          </cell>
        </row>
        <row r="3482">
          <cell r="A3482">
            <v>3034876731</v>
          </cell>
          <cell r="B3482" t="str">
            <v>Sample Rejected</v>
          </cell>
          <cell r="C3482">
            <v>42720.7400221875</v>
          </cell>
        </row>
        <row r="3483">
          <cell r="A3483">
            <v>3034882797</v>
          </cell>
          <cell r="B3483" t="str">
            <v>Sample Rejected</v>
          </cell>
          <cell r="C3483">
            <v>42720.7400221875</v>
          </cell>
        </row>
        <row r="3484">
          <cell r="A3484">
            <v>3034865568</v>
          </cell>
          <cell r="B3484" t="str">
            <v>Sample Rejected</v>
          </cell>
          <cell r="C3484">
            <v>42720.7400221875</v>
          </cell>
        </row>
        <row r="3485">
          <cell r="A3485">
            <v>3034656457</v>
          </cell>
          <cell r="B3485" t="str">
            <v>Sample Rejected</v>
          </cell>
          <cell r="C3485">
            <v>42720.7400221875</v>
          </cell>
        </row>
        <row r="3486">
          <cell r="A3486">
            <v>3034879359</v>
          </cell>
          <cell r="B3486" t="str">
            <v>Sample Rejected</v>
          </cell>
          <cell r="C3486">
            <v>42720.7400221875</v>
          </cell>
        </row>
        <row r="3487">
          <cell r="A3487">
            <v>3034863455</v>
          </cell>
          <cell r="B3487" t="str">
            <v>Sample Rejected</v>
          </cell>
          <cell r="C3487">
            <v>42720.7400221875</v>
          </cell>
        </row>
        <row r="3488">
          <cell r="A3488">
            <v>3034819533</v>
          </cell>
          <cell r="B3488" t="str">
            <v>Sample Rejected</v>
          </cell>
          <cell r="C3488">
            <v>42720.7400221875</v>
          </cell>
        </row>
        <row r="3489">
          <cell r="A3489">
            <v>3034871874</v>
          </cell>
          <cell r="B3489" t="str">
            <v>Sample Rejected</v>
          </cell>
          <cell r="C3489">
            <v>42720.7400221875</v>
          </cell>
        </row>
        <row r="3490">
          <cell r="A3490">
            <v>3034869456</v>
          </cell>
          <cell r="B3490" t="str">
            <v>Sample Rejected</v>
          </cell>
          <cell r="C3490">
            <v>42720.7400221875</v>
          </cell>
        </row>
        <row r="3491">
          <cell r="A3491">
            <v>3034876832</v>
          </cell>
          <cell r="B3491" t="str">
            <v>Sample Rejected</v>
          </cell>
          <cell r="C3491">
            <v>42720.7400221875</v>
          </cell>
        </row>
        <row r="3492">
          <cell r="A3492">
            <v>3034863731</v>
          </cell>
          <cell r="B3492" t="str">
            <v>Sample Rejected</v>
          </cell>
          <cell r="C3492">
            <v>42720.7400221875</v>
          </cell>
        </row>
        <row r="3493">
          <cell r="A3493">
            <v>3034881208</v>
          </cell>
          <cell r="B3493" t="str">
            <v>Sample Rejected</v>
          </cell>
          <cell r="C3493">
            <v>42720.7400221875</v>
          </cell>
        </row>
        <row r="3494">
          <cell r="A3494">
            <v>3034938258</v>
          </cell>
          <cell r="B3494" t="str">
            <v>Sample Rejected</v>
          </cell>
          <cell r="C3494">
            <v>42720.7400221875</v>
          </cell>
        </row>
        <row r="3495">
          <cell r="A3495">
            <v>3034945622</v>
          </cell>
          <cell r="B3495" t="str">
            <v>Sample Rejected</v>
          </cell>
          <cell r="C3495">
            <v>42720.7400221875</v>
          </cell>
        </row>
        <row r="3496">
          <cell r="A3496">
            <v>3034920398</v>
          </cell>
          <cell r="B3496" t="str">
            <v>Sample Rejected</v>
          </cell>
          <cell r="C3496">
            <v>42720.7400221875</v>
          </cell>
        </row>
        <row r="3497">
          <cell r="A3497">
            <v>3034666868</v>
          </cell>
          <cell r="B3497" t="str">
            <v>Sample Rejected</v>
          </cell>
          <cell r="C3497">
            <v>42720.7400221875</v>
          </cell>
        </row>
        <row r="3498">
          <cell r="A3498">
            <v>3034899959</v>
          </cell>
          <cell r="B3498" t="str">
            <v>Sample Rejected</v>
          </cell>
          <cell r="C3498">
            <v>42720.7400221875</v>
          </cell>
        </row>
        <row r="3499">
          <cell r="A3499">
            <v>3034900277</v>
          </cell>
          <cell r="B3499" t="str">
            <v>Sample Rejected</v>
          </cell>
          <cell r="C3499">
            <v>42720.7400221875</v>
          </cell>
        </row>
        <row r="3500">
          <cell r="A3500">
            <v>3034913880</v>
          </cell>
          <cell r="B3500" t="str">
            <v>Sample Rejected</v>
          </cell>
          <cell r="C3500">
            <v>42720.7400221875</v>
          </cell>
        </row>
        <row r="3501">
          <cell r="A3501">
            <v>3034904199</v>
          </cell>
          <cell r="B3501" t="str">
            <v>Sample Rejected</v>
          </cell>
          <cell r="C3501">
            <v>42720.7400221875</v>
          </cell>
        </row>
        <row r="3502">
          <cell r="A3502">
            <v>3034915950</v>
          </cell>
          <cell r="B3502" t="str">
            <v>Sample Rejected</v>
          </cell>
          <cell r="C3502">
            <v>42720.7400221875</v>
          </cell>
        </row>
        <row r="3503">
          <cell r="A3503">
            <v>3034868037</v>
          </cell>
          <cell r="B3503" t="str">
            <v>Sample Rejected</v>
          </cell>
          <cell r="C3503">
            <v>42720.7400221875</v>
          </cell>
        </row>
        <row r="3504">
          <cell r="A3504">
            <v>3034900466</v>
          </cell>
          <cell r="B3504" t="str">
            <v>Sample Rejected</v>
          </cell>
          <cell r="C3504">
            <v>42720.7400221875</v>
          </cell>
        </row>
        <row r="3505">
          <cell r="A3505">
            <v>3034908089</v>
          </cell>
          <cell r="B3505" t="str">
            <v>Sample Rejected</v>
          </cell>
          <cell r="C3505">
            <v>42720.7400221875</v>
          </cell>
        </row>
        <row r="3506">
          <cell r="A3506">
            <v>3034904327</v>
          </cell>
          <cell r="B3506" t="str">
            <v>Sample Rejected</v>
          </cell>
          <cell r="C3506">
            <v>42720.7400221875</v>
          </cell>
        </row>
        <row r="3507">
          <cell r="A3507">
            <v>3034912507</v>
          </cell>
          <cell r="B3507" t="str">
            <v>Sample Rejected</v>
          </cell>
          <cell r="C3507">
            <v>42720.7400221875</v>
          </cell>
        </row>
        <row r="3508">
          <cell r="A3508">
            <v>3034901659</v>
          </cell>
          <cell r="B3508" t="str">
            <v>Sample Rejected</v>
          </cell>
          <cell r="C3508">
            <v>42720.7400221875</v>
          </cell>
        </row>
        <row r="3509">
          <cell r="A3509">
            <v>3034937040</v>
          </cell>
          <cell r="B3509" t="str">
            <v>Sample Rejected</v>
          </cell>
          <cell r="C3509">
            <v>42720.7400221875</v>
          </cell>
        </row>
        <row r="3510">
          <cell r="A3510">
            <v>3034864477</v>
          </cell>
          <cell r="B3510" t="str">
            <v>Sample Rejected</v>
          </cell>
          <cell r="C3510">
            <v>42720.7400221875</v>
          </cell>
        </row>
        <row r="3511">
          <cell r="A3511">
            <v>3034263139</v>
          </cell>
          <cell r="B3511" t="str">
            <v>Sample Rejected</v>
          </cell>
          <cell r="C3511">
            <v>42720.7400221875</v>
          </cell>
        </row>
        <row r="3512">
          <cell r="A3512">
            <v>3034916161</v>
          </cell>
          <cell r="B3512" t="str">
            <v>Sample Rejected</v>
          </cell>
          <cell r="C3512">
            <v>42720.7400221875</v>
          </cell>
        </row>
        <row r="3513">
          <cell r="A3513">
            <v>3034902236</v>
          </cell>
          <cell r="B3513" t="str">
            <v>Sample Rejected</v>
          </cell>
          <cell r="C3513">
            <v>42720.7400221875</v>
          </cell>
        </row>
        <row r="3514">
          <cell r="A3514">
            <v>3034920769</v>
          </cell>
          <cell r="B3514" t="str">
            <v>Sample Rejected</v>
          </cell>
          <cell r="C3514">
            <v>42720.7400221875</v>
          </cell>
        </row>
        <row r="3515">
          <cell r="A3515">
            <v>3034912750</v>
          </cell>
          <cell r="B3515" t="str">
            <v>Sample Rejected</v>
          </cell>
          <cell r="C3515">
            <v>42720.7400221875</v>
          </cell>
        </row>
        <row r="3516">
          <cell r="A3516">
            <v>3034918655</v>
          </cell>
          <cell r="B3516" t="str">
            <v>Sample Rejected</v>
          </cell>
          <cell r="C3516">
            <v>42720.7400221875</v>
          </cell>
        </row>
        <row r="3517">
          <cell r="A3517">
            <v>3034805297</v>
          </cell>
          <cell r="B3517" t="str">
            <v>Sample Rejected</v>
          </cell>
          <cell r="C3517">
            <v>42720.7400221875</v>
          </cell>
        </row>
        <row r="3518">
          <cell r="A3518">
            <v>3034907528</v>
          </cell>
          <cell r="B3518" t="str">
            <v>Sample Rejected</v>
          </cell>
          <cell r="C3518">
            <v>42720.7400221875</v>
          </cell>
        </row>
        <row r="3519">
          <cell r="A3519">
            <v>3034911062</v>
          </cell>
          <cell r="B3519" t="str">
            <v>Sample Rejected</v>
          </cell>
          <cell r="C3519">
            <v>42720.7400221875</v>
          </cell>
        </row>
        <row r="3520">
          <cell r="A3520">
            <v>3034937813</v>
          </cell>
          <cell r="B3520" t="str">
            <v>Sample Rejected</v>
          </cell>
          <cell r="C3520">
            <v>42720.7400221875</v>
          </cell>
        </row>
        <row r="3521">
          <cell r="A3521">
            <v>3034914721</v>
          </cell>
          <cell r="B3521" t="str">
            <v>Sample Rejected</v>
          </cell>
          <cell r="C3521">
            <v>42720.7400221875</v>
          </cell>
        </row>
        <row r="3522">
          <cell r="A3522">
            <v>3034908926</v>
          </cell>
          <cell r="B3522" t="str">
            <v>Sample Rejected</v>
          </cell>
          <cell r="C3522">
            <v>42720.7400221875</v>
          </cell>
        </row>
        <row r="3523">
          <cell r="A3523">
            <v>3034915551</v>
          </cell>
          <cell r="B3523" t="str">
            <v>Sample Rejected</v>
          </cell>
          <cell r="C3523">
            <v>42720.7400221875</v>
          </cell>
        </row>
        <row r="3524">
          <cell r="A3524">
            <v>3034914931</v>
          </cell>
          <cell r="B3524" t="str">
            <v>Sample Rejected</v>
          </cell>
          <cell r="C3524">
            <v>42720.7400221875</v>
          </cell>
        </row>
        <row r="3525">
          <cell r="A3525">
            <v>3034904374</v>
          </cell>
          <cell r="B3525" t="str">
            <v>Sample Rejected</v>
          </cell>
          <cell r="C3525">
            <v>42720.7400221875</v>
          </cell>
        </row>
        <row r="3526">
          <cell r="A3526">
            <v>3034912824</v>
          </cell>
          <cell r="B3526" t="str">
            <v>Sample Rejected</v>
          </cell>
          <cell r="C3526">
            <v>42720.7400221875</v>
          </cell>
        </row>
        <row r="3527">
          <cell r="A3527">
            <v>3034914169</v>
          </cell>
          <cell r="B3527" t="str">
            <v>Sample Rejected</v>
          </cell>
          <cell r="C3527">
            <v>42720.7400221875</v>
          </cell>
        </row>
        <row r="3528">
          <cell r="A3528">
            <v>3034919483</v>
          </cell>
          <cell r="B3528" t="str">
            <v>Sample Rejected</v>
          </cell>
          <cell r="C3528">
            <v>42720.7400221875</v>
          </cell>
        </row>
        <row r="3529">
          <cell r="A3529">
            <v>3034915303</v>
          </cell>
          <cell r="B3529" t="str">
            <v>Sample Rejected</v>
          </cell>
          <cell r="C3529">
            <v>42720.7400221875</v>
          </cell>
        </row>
        <row r="3530">
          <cell r="A3530">
            <v>3034941780</v>
          </cell>
          <cell r="B3530" t="str">
            <v>Sample Rejected</v>
          </cell>
          <cell r="C3530">
            <v>42720.7400221875</v>
          </cell>
        </row>
        <row r="3531">
          <cell r="A3531">
            <v>3034903821</v>
          </cell>
          <cell r="B3531" t="str">
            <v>Sample Rejected</v>
          </cell>
          <cell r="C3531">
            <v>42720.7400221875</v>
          </cell>
        </row>
        <row r="3532">
          <cell r="A3532">
            <v>3034916569</v>
          </cell>
          <cell r="B3532" t="str">
            <v>Sample Rejected</v>
          </cell>
          <cell r="C3532">
            <v>42720.7400221875</v>
          </cell>
        </row>
        <row r="3533">
          <cell r="A3533">
            <v>3034905391</v>
          </cell>
          <cell r="B3533" t="str">
            <v>Sample Rejected</v>
          </cell>
          <cell r="C3533">
            <v>42720.7400221875</v>
          </cell>
        </row>
        <row r="3534">
          <cell r="A3534">
            <v>3034903159</v>
          </cell>
          <cell r="B3534" t="str">
            <v>Sample Rejected</v>
          </cell>
          <cell r="C3534">
            <v>42720.7400221875</v>
          </cell>
        </row>
        <row r="3535">
          <cell r="A3535">
            <v>3034860515</v>
          </cell>
          <cell r="B3535" t="str">
            <v>Sample Rejected</v>
          </cell>
          <cell r="C3535">
            <v>42720.7400221875</v>
          </cell>
        </row>
        <row r="3536">
          <cell r="A3536">
            <v>3034914518</v>
          </cell>
          <cell r="B3536" t="str">
            <v>Sample Rejected</v>
          </cell>
          <cell r="C3536">
            <v>42720.7400221875</v>
          </cell>
        </row>
        <row r="3537">
          <cell r="A3537">
            <v>3034906415</v>
          </cell>
          <cell r="B3537" t="str">
            <v>Sample Rejected</v>
          </cell>
          <cell r="C3537">
            <v>42720.7400221875</v>
          </cell>
        </row>
        <row r="3538">
          <cell r="A3538">
            <v>3034916783</v>
          </cell>
          <cell r="B3538" t="str">
            <v>Sample Rejected</v>
          </cell>
          <cell r="C3538">
            <v>42720.7400221875</v>
          </cell>
        </row>
        <row r="3539">
          <cell r="A3539">
            <v>3034909348</v>
          </cell>
          <cell r="B3539" t="str">
            <v>Sample Rejected</v>
          </cell>
          <cell r="C3539">
            <v>42720.7400221875</v>
          </cell>
        </row>
        <row r="3540">
          <cell r="A3540">
            <v>3034912476</v>
          </cell>
          <cell r="B3540" t="str">
            <v>Sample Rejected</v>
          </cell>
          <cell r="C3540">
            <v>42720.7400221875</v>
          </cell>
        </row>
        <row r="3541">
          <cell r="A3541">
            <v>3034918040</v>
          </cell>
          <cell r="B3541" t="str">
            <v>Sample Rejected</v>
          </cell>
          <cell r="C3541">
            <v>42720.7400221875</v>
          </cell>
        </row>
        <row r="3542">
          <cell r="A3542">
            <v>3034902366</v>
          </cell>
          <cell r="B3542" t="str">
            <v>Sample Rejected</v>
          </cell>
          <cell r="C3542">
            <v>42720.7400221875</v>
          </cell>
        </row>
        <row r="3543">
          <cell r="A3543">
            <v>3034904259</v>
          </cell>
          <cell r="B3543" t="str">
            <v>Sample Rejected</v>
          </cell>
          <cell r="C3543">
            <v>42720.7400221875</v>
          </cell>
        </row>
        <row r="3544">
          <cell r="A3544">
            <v>3034913674</v>
          </cell>
          <cell r="B3544" t="str">
            <v>Sample Rejected</v>
          </cell>
          <cell r="C3544">
            <v>42720.7400221875</v>
          </cell>
        </row>
        <row r="3545">
          <cell r="A3545">
            <v>3034910457</v>
          </cell>
          <cell r="B3545" t="str">
            <v>Sample Rejected</v>
          </cell>
          <cell r="C3545">
            <v>42720.7400221875</v>
          </cell>
        </row>
        <row r="3546">
          <cell r="A3546">
            <v>3034769173</v>
          </cell>
          <cell r="B3546" t="str">
            <v>Sample Rejected</v>
          </cell>
          <cell r="C3546">
            <v>42720.7400221875</v>
          </cell>
        </row>
        <row r="3547">
          <cell r="A3547">
            <v>3034906536</v>
          </cell>
          <cell r="B3547" t="str">
            <v>Sample Rejected</v>
          </cell>
          <cell r="C3547">
            <v>42720.7400221875</v>
          </cell>
        </row>
        <row r="3548">
          <cell r="A3548">
            <v>3034912603</v>
          </cell>
          <cell r="B3548" t="str">
            <v>Sample Rejected</v>
          </cell>
          <cell r="C3548">
            <v>42720.7400221875</v>
          </cell>
        </row>
        <row r="3549">
          <cell r="A3549">
            <v>3034943280</v>
          </cell>
          <cell r="B3549" t="str">
            <v>Sample Rejected</v>
          </cell>
          <cell r="C3549">
            <v>42720.7400221875</v>
          </cell>
        </row>
        <row r="3550">
          <cell r="A3550">
            <v>3034945155</v>
          </cell>
          <cell r="B3550" t="str">
            <v>Sample Rejected</v>
          </cell>
          <cell r="C3550">
            <v>42720.7400221875</v>
          </cell>
        </row>
        <row r="3551">
          <cell r="A3551">
            <v>3034808257</v>
          </cell>
          <cell r="B3551" t="str">
            <v>Sample Rejected</v>
          </cell>
          <cell r="C3551">
            <v>42720.7400221875</v>
          </cell>
        </row>
        <row r="3552">
          <cell r="A3552">
            <v>3034904339</v>
          </cell>
          <cell r="B3552" t="str">
            <v>Sample Rejected</v>
          </cell>
          <cell r="C3552">
            <v>42720.7400221875</v>
          </cell>
        </row>
        <row r="3553">
          <cell r="A3553">
            <v>3034902463</v>
          </cell>
          <cell r="B3553" t="str">
            <v>Sample Rejected</v>
          </cell>
          <cell r="C3553">
            <v>42720.7400221875</v>
          </cell>
        </row>
        <row r="3554">
          <cell r="A3554">
            <v>3034906424</v>
          </cell>
          <cell r="B3554" t="str">
            <v>Sample Rejected</v>
          </cell>
          <cell r="C3554">
            <v>42720.7400221875</v>
          </cell>
        </row>
        <row r="3555">
          <cell r="A3555">
            <v>3034713648</v>
          </cell>
          <cell r="B3555" t="str">
            <v>Sample Rejected</v>
          </cell>
          <cell r="C3555">
            <v>42720.7400221875</v>
          </cell>
        </row>
        <row r="3556">
          <cell r="A3556">
            <v>3034903352</v>
          </cell>
          <cell r="B3556" t="str">
            <v>Sample Rejected</v>
          </cell>
          <cell r="C3556">
            <v>42720.7400221875</v>
          </cell>
        </row>
        <row r="3557">
          <cell r="A3557">
            <v>3034938931</v>
          </cell>
          <cell r="B3557" t="str">
            <v>Sample Rejected</v>
          </cell>
          <cell r="C3557">
            <v>42720.7400221875</v>
          </cell>
        </row>
        <row r="3558">
          <cell r="A3558">
            <v>3034901300</v>
          </cell>
          <cell r="B3558" t="str">
            <v>Sample Rejected</v>
          </cell>
          <cell r="C3558">
            <v>42720.7400221875</v>
          </cell>
        </row>
        <row r="3559">
          <cell r="A3559">
            <v>3034901704</v>
          </cell>
          <cell r="B3559" t="str">
            <v>Sample Rejected</v>
          </cell>
          <cell r="C3559">
            <v>42720.7400221875</v>
          </cell>
        </row>
        <row r="3560">
          <cell r="A3560">
            <v>3034906192</v>
          </cell>
          <cell r="B3560" t="str">
            <v>Sample Rejected</v>
          </cell>
          <cell r="C3560">
            <v>42720.7400221875</v>
          </cell>
        </row>
        <row r="3561">
          <cell r="A3561">
            <v>3034902403</v>
          </cell>
          <cell r="B3561" t="str">
            <v>Sample Rejected</v>
          </cell>
          <cell r="C3561">
            <v>42720.7400221875</v>
          </cell>
        </row>
        <row r="3562">
          <cell r="A3562">
            <v>3034901644</v>
          </cell>
          <cell r="B3562" t="str">
            <v>Sample Rejected</v>
          </cell>
          <cell r="C3562">
            <v>42720.7400221875</v>
          </cell>
        </row>
        <row r="3563">
          <cell r="A3563">
            <v>3034742695</v>
          </cell>
          <cell r="B3563" t="str">
            <v>Sample Rejected</v>
          </cell>
          <cell r="C3563">
            <v>42720.7400221875</v>
          </cell>
        </row>
        <row r="3564">
          <cell r="A3564">
            <v>3034901811</v>
          </cell>
          <cell r="B3564" t="str">
            <v>Sample Rejected</v>
          </cell>
          <cell r="C3564">
            <v>42720.7400221875</v>
          </cell>
        </row>
        <row r="3565">
          <cell r="A3565">
            <v>3034866254</v>
          </cell>
          <cell r="B3565" t="str">
            <v>Sample Rejected</v>
          </cell>
          <cell r="C3565">
            <v>42720.7400221875</v>
          </cell>
        </row>
        <row r="3566">
          <cell r="A3566">
            <v>3034901776</v>
          </cell>
          <cell r="B3566" t="str">
            <v>Sample Rejected</v>
          </cell>
          <cell r="C3566">
            <v>42720.7400221875</v>
          </cell>
        </row>
        <row r="3567">
          <cell r="A3567">
            <v>3034900435</v>
          </cell>
          <cell r="B3567" t="str">
            <v>Sample Rejected</v>
          </cell>
          <cell r="C3567">
            <v>42720.7400221875</v>
          </cell>
        </row>
        <row r="3568">
          <cell r="A3568">
            <v>3034947230</v>
          </cell>
          <cell r="B3568" t="str">
            <v>Sample Rejected</v>
          </cell>
          <cell r="C3568">
            <v>42720.7400221875</v>
          </cell>
        </row>
        <row r="3569">
          <cell r="A3569">
            <v>3034922118</v>
          </cell>
          <cell r="B3569" t="str">
            <v>Sample Rejected</v>
          </cell>
          <cell r="C3569">
            <v>42720.7400221875</v>
          </cell>
        </row>
        <row r="3570">
          <cell r="A3570">
            <v>3034900278</v>
          </cell>
          <cell r="B3570" t="str">
            <v>Sample Rejected</v>
          </cell>
          <cell r="C3570">
            <v>42720.7400221875</v>
          </cell>
        </row>
        <row r="3571">
          <cell r="A3571">
            <v>3034902487</v>
          </cell>
          <cell r="B3571" t="str">
            <v>Sample Rejected</v>
          </cell>
          <cell r="C3571">
            <v>42720.7400221875</v>
          </cell>
        </row>
        <row r="3572">
          <cell r="A3572">
            <v>3034906294</v>
          </cell>
          <cell r="B3572" t="str">
            <v>Sample Rejected</v>
          </cell>
          <cell r="C3572">
            <v>42720.7400221875</v>
          </cell>
        </row>
        <row r="3573">
          <cell r="A3573">
            <v>3034906513</v>
          </cell>
          <cell r="B3573" t="str">
            <v>Sample Rejected</v>
          </cell>
          <cell r="C3573">
            <v>42720.7400221875</v>
          </cell>
        </row>
        <row r="3574">
          <cell r="A3574">
            <v>3034902352</v>
          </cell>
          <cell r="B3574" t="str">
            <v>Sample Rejected</v>
          </cell>
          <cell r="C3574">
            <v>42720.7400221875</v>
          </cell>
        </row>
        <row r="3575">
          <cell r="A3575">
            <v>3034903274</v>
          </cell>
          <cell r="B3575" t="str">
            <v>Sample Rejected</v>
          </cell>
          <cell r="C3575">
            <v>42720.7400221875</v>
          </cell>
        </row>
        <row r="3576">
          <cell r="A3576">
            <v>3034902313</v>
          </cell>
          <cell r="B3576" t="str">
            <v>Sample Rejected</v>
          </cell>
          <cell r="C3576">
            <v>42720.7400221875</v>
          </cell>
        </row>
        <row r="3577">
          <cell r="A3577">
            <v>3034948387</v>
          </cell>
          <cell r="B3577" t="str">
            <v>Sample Rejected</v>
          </cell>
          <cell r="C3577">
            <v>42720.7400221875</v>
          </cell>
        </row>
        <row r="3578">
          <cell r="A3578">
            <v>3034912672</v>
          </cell>
          <cell r="B3578" t="str">
            <v>Sample Rejected</v>
          </cell>
          <cell r="C3578">
            <v>42720.7400221875</v>
          </cell>
        </row>
        <row r="3579">
          <cell r="A3579">
            <v>3034919628</v>
          </cell>
          <cell r="B3579" t="str">
            <v>Sample Rejected</v>
          </cell>
          <cell r="C3579">
            <v>42720.7400221875</v>
          </cell>
        </row>
        <row r="3580">
          <cell r="A3580">
            <v>3034884800</v>
          </cell>
          <cell r="B3580" t="str">
            <v>Sample Rejected</v>
          </cell>
          <cell r="C3580">
            <v>42720.7400221875</v>
          </cell>
        </row>
        <row r="3581">
          <cell r="A3581">
            <v>3034903555</v>
          </cell>
          <cell r="B3581" t="str">
            <v>Sample Rejected</v>
          </cell>
          <cell r="C3581">
            <v>42720.7400221875</v>
          </cell>
        </row>
        <row r="3582">
          <cell r="A3582">
            <v>3034908778</v>
          </cell>
          <cell r="B3582" t="str">
            <v>Sample Rejected</v>
          </cell>
          <cell r="C3582">
            <v>42720.7400221875</v>
          </cell>
        </row>
        <row r="3583">
          <cell r="A3583">
            <v>3034911839</v>
          </cell>
          <cell r="B3583" t="str">
            <v>Sample Rejected</v>
          </cell>
          <cell r="C3583">
            <v>42720.7400221875</v>
          </cell>
        </row>
        <row r="3584">
          <cell r="A3584">
            <v>3034913030</v>
          </cell>
          <cell r="B3584" t="str">
            <v>Sample Rejected</v>
          </cell>
          <cell r="C3584">
            <v>42720.7400221875</v>
          </cell>
        </row>
        <row r="3585">
          <cell r="A3585">
            <v>3034915168</v>
          </cell>
          <cell r="B3585" t="str">
            <v>Sample Rejected</v>
          </cell>
          <cell r="C3585">
            <v>42720.7400221875</v>
          </cell>
        </row>
        <row r="3586">
          <cell r="A3586">
            <v>3034617345</v>
          </cell>
          <cell r="B3586" t="str">
            <v>Sample Rejected</v>
          </cell>
          <cell r="C3586">
            <v>42720.7400221875</v>
          </cell>
        </row>
        <row r="3587">
          <cell r="A3587">
            <v>3034671858</v>
          </cell>
          <cell r="B3587" t="str">
            <v>Sample Rejected</v>
          </cell>
          <cell r="C3587">
            <v>42720.7400221875</v>
          </cell>
        </row>
        <row r="3588">
          <cell r="A3588">
            <v>3034910840</v>
          </cell>
          <cell r="B3588" t="str">
            <v>Sample Rejected</v>
          </cell>
          <cell r="C3588">
            <v>42720.7400221875</v>
          </cell>
        </row>
        <row r="3589">
          <cell r="A3589">
            <v>3034875304</v>
          </cell>
          <cell r="B3589" t="str">
            <v>Sample Rejected</v>
          </cell>
          <cell r="C3589">
            <v>42720.7400221875</v>
          </cell>
        </row>
        <row r="3590">
          <cell r="A3590">
            <v>3034902454</v>
          </cell>
          <cell r="B3590" t="str">
            <v>Sample Rejected</v>
          </cell>
          <cell r="C3590">
            <v>42720.7400221875</v>
          </cell>
        </row>
        <row r="3591">
          <cell r="A3591">
            <v>3034907570</v>
          </cell>
          <cell r="B3591" t="str">
            <v>Sample Rejected</v>
          </cell>
          <cell r="C3591">
            <v>42720.7400221875</v>
          </cell>
        </row>
        <row r="3592">
          <cell r="A3592">
            <v>3034912932</v>
          </cell>
          <cell r="B3592" t="str">
            <v>Sample Rejected</v>
          </cell>
          <cell r="C3592">
            <v>42720.7400221875</v>
          </cell>
        </row>
        <row r="3593">
          <cell r="A3593">
            <v>3034812383</v>
          </cell>
          <cell r="B3593" t="str">
            <v>Sample Rejected</v>
          </cell>
          <cell r="C3593">
            <v>42720.7400221875</v>
          </cell>
        </row>
        <row r="3594">
          <cell r="A3594">
            <v>3034868905</v>
          </cell>
          <cell r="B3594" t="str">
            <v>Sample Rejected</v>
          </cell>
          <cell r="C3594">
            <v>42720.7400221875</v>
          </cell>
        </row>
        <row r="3595">
          <cell r="A3595">
            <v>3034869174</v>
          </cell>
          <cell r="B3595" t="str">
            <v>Sample Rejected</v>
          </cell>
          <cell r="C3595">
            <v>42720.7400221875</v>
          </cell>
        </row>
        <row r="3596">
          <cell r="A3596">
            <v>3034867928</v>
          </cell>
          <cell r="B3596" t="str">
            <v>Sample Rejected</v>
          </cell>
          <cell r="C3596">
            <v>42720.7400221875</v>
          </cell>
        </row>
        <row r="3597">
          <cell r="A3597">
            <v>3034877984</v>
          </cell>
          <cell r="B3597" t="str">
            <v>Sample Rejected</v>
          </cell>
          <cell r="C3597">
            <v>42720.7400221875</v>
          </cell>
        </row>
        <row r="3598">
          <cell r="A3598">
            <v>3034877790</v>
          </cell>
          <cell r="B3598" t="str">
            <v>Sample Rejected</v>
          </cell>
          <cell r="C3598">
            <v>42720.7400221875</v>
          </cell>
        </row>
        <row r="3599">
          <cell r="A3599">
            <v>3034873837</v>
          </cell>
          <cell r="B3599" t="str">
            <v>Sample Rejected</v>
          </cell>
          <cell r="C3599">
            <v>42720.7400221875</v>
          </cell>
        </row>
        <row r="3600">
          <cell r="A3600">
            <v>3034949377</v>
          </cell>
          <cell r="B3600" t="str">
            <v>Sample Rejected</v>
          </cell>
          <cell r="C3600">
            <v>42720.7400221875</v>
          </cell>
        </row>
        <row r="3601">
          <cell r="A3601">
            <v>3034878046</v>
          </cell>
          <cell r="B3601" t="str">
            <v>Sample Rejected</v>
          </cell>
          <cell r="C3601">
            <v>42720.7400221875</v>
          </cell>
        </row>
        <row r="3602">
          <cell r="A3602">
            <v>3034946645</v>
          </cell>
          <cell r="B3602" t="str">
            <v>Sample Rejected</v>
          </cell>
          <cell r="C3602">
            <v>42720.7400221875</v>
          </cell>
        </row>
        <row r="3603">
          <cell r="A3603">
            <v>3034951065</v>
          </cell>
          <cell r="B3603" t="str">
            <v>Sample Rejected</v>
          </cell>
          <cell r="C3603">
            <v>42720.7400221875</v>
          </cell>
        </row>
        <row r="3604">
          <cell r="A3604">
            <v>3034943749</v>
          </cell>
          <cell r="B3604" t="str">
            <v>Sample Rejected</v>
          </cell>
          <cell r="C3604">
            <v>42720.7400221875</v>
          </cell>
        </row>
        <row r="3605">
          <cell r="A3605">
            <v>3034947918</v>
          </cell>
          <cell r="B3605" t="str">
            <v>Sample Rejected</v>
          </cell>
          <cell r="C3605">
            <v>42720.7400221875</v>
          </cell>
        </row>
        <row r="3606">
          <cell r="A3606">
            <v>3034884284</v>
          </cell>
          <cell r="B3606" t="str">
            <v>Sample Rejected</v>
          </cell>
          <cell r="C3606">
            <v>42720.7400221875</v>
          </cell>
        </row>
        <row r="3607">
          <cell r="A3607">
            <v>3034863639</v>
          </cell>
          <cell r="B3607" t="str">
            <v>Sample Rejected</v>
          </cell>
          <cell r="C3607">
            <v>42720.7400221875</v>
          </cell>
        </row>
        <row r="3608">
          <cell r="A3608">
            <v>3034875711</v>
          </cell>
          <cell r="B3608" t="str">
            <v>Sample Rejected</v>
          </cell>
          <cell r="C3608">
            <v>42720.7400221875</v>
          </cell>
        </row>
        <row r="3609">
          <cell r="A3609">
            <v>3034869659</v>
          </cell>
          <cell r="B3609" t="str">
            <v>Sample Rejected</v>
          </cell>
          <cell r="C3609">
            <v>42720.7400221875</v>
          </cell>
        </row>
        <row r="3610">
          <cell r="A3610">
            <v>3034941547</v>
          </cell>
          <cell r="B3610" t="str">
            <v>Sample Rejected</v>
          </cell>
          <cell r="C3610">
            <v>42720.7400221875</v>
          </cell>
        </row>
        <row r="3611">
          <cell r="A3611">
            <v>3034872901</v>
          </cell>
          <cell r="B3611" t="str">
            <v>Sample Rejected</v>
          </cell>
          <cell r="C3611">
            <v>42720.7400221875</v>
          </cell>
        </row>
        <row r="3612">
          <cell r="A3612">
            <v>3034875829</v>
          </cell>
          <cell r="B3612" t="str">
            <v>Sample Rejected</v>
          </cell>
          <cell r="C3612">
            <v>42720.7400221875</v>
          </cell>
        </row>
        <row r="3613">
          <cell r="A3613">
            <v>3034951323</v>
          </cell>
          <cell r="B3613" t="str">
            <v>Sample Rejected</v>
          </cell>
          <cell r="C3613">
            <v>42720.7400221875</v>
          </cell>
        </row>
        <row r="3614">
          <cell r="A3614">
            <v>3034950960</v>
          </cell>
          <cell r="B3614" t="str">
            <v>Sample Rejected</v>
          </cell>
          <cell r="C3614">
            <v>42720.7400221875</v>
          </cell>
        </row>
        <row r="3615">
          <cell r="A3615">
            <v>3034953701</v>
          </cell>
          <cell r="B3615" t="str">
            <v>Sample Rejected</v>
          </cell>
          <cell r="C3615">
            <v>42720.7400221875</v>
          </cell>
        </row>
        <row r="3616">
          <cell r="A3616">
            <v>3034768355</v>
          </cell>
          <cell r="B3616" t="str">
            <v>Sample Rejected</v>
          </cell>
          <cell r="C3616">
            <v>42720.7400221875</v>
          </cell>
        </row>
        <row r="3617">
          <cell r="A3617">
            <v>3034886945</v>
          </cell>
          <cell r="B3617" t="str">
            <v>Sample Rejected</v>
          </cell>
          <cell r="C3617">
            <v>42720.7400221875</v>
          </cell>
        </row>
        <row r="3618">
          <cell r="A3618">
            <v>3034945314</v>
          </cell>
          <cell r="B3618" t="str">
            <v>Sample Rejected</v>
          </cell>
          <cell r="C3618">
            <v>42720.7400221875</v>
          </cell>
        </row>
        <row r="3619">
          <cell r="A3619">
            <v>3034864235</v>
          </cell>
          <cell r="B3619" t="str">
            <v>Sample Rejected</v>
          </cell>
          <cell r="C3619">
            <v>42720.7400221875</v>
          </cell>
        </row>
        <row r="3620">
          <cell r="A3620">
            <v>3034940870</v>
          </cell>
          <cell r="B3620" t="str">
            <v>Sample Rejected</v>
          </cell>
          <cell r="C3620">
            <v>42720.7400221875</v>
          </cell>
        </row>
        <row r="3621">
          <cell r="A3621">
            <v>3034770893</v>
          </cell>
          <cell r="B3621" t="str">
            <v>Sample Rejected</v>
          </cell>
          <cell r="C3621">
            <v>42720.7400221875</v>
          </cell>
        </row>
        <row r="3622">
          <cell r="A3622">
            <v>3034945162</v>
          </cell>
          <cell r="B3622" t="str">
            <v>Sample Rejected</v>
          </cell>
          <cell r="C3622">
            <v>42720.7400221875</v>
          </cell>
        </row>
        <row r="3623">
          <cell r="A3623">
            <v>3034941273</v>
          </cell>
          <cell r="B3623" t="str">
            <v>Sample Rejected</v>
          </cell>
          <cell r="C3623">
            <v>42720.7400221875</v>
          </cell>
        </row>
        <row r="3624">
          <cell r="A3624">
            <v>3034866016</v>
          </cell>
          <cell r="B3624" t="str">
            <v>Sample Rejected</v>
          </cell>
          <cell r="C3624">
            <v>42720.7400221875</v>
          </cell>
        </row>
        <row r="3625">
          <cell r="A3625">
            <v>3034865457</v>
          </cell>
          <cell r="B3625" t="str">
            <v>Sample Rejected</v>
          </cell>
          <cell r="C3625">
            <v>42720.7400221875</v>
          </cell>
        </row>
        <row r="3626">
          <cell r="A3626">
            <v>3034866505</v>
          </cell>
          <cell r="B3626" t="str">
            <v>Sample Rejected</v>
          </cell>
          <cell r="C3626">
            <v>42720.7400221875</v>
          </cell>
        </row>
        <row r="3627">
          <cell r="A3627">
            <v>3034883251</v>
          </cell>
          <cell r="B3627" t="str">
            <v>Sample Rejected</v>
          </cell>
          <cell r="C3627">
            <v>42720.7400221875</v>
          </cell>
        </row>
        <row r="3628">
          <cell r="A3628">
            <v>3034864197</v>
          </cell>
          <cell r="B3628" t="str">
            <v>Sample Rejected</v>
          </cell>
          <cell r="C3628">
            <v>42720.7400221875</v>
          </cell>
        </row>
        <row r="3629">
          <cell r="A3629">
            <v>3034878251</v>
          </cell>
          <cell r="B3629" t="str">
            <v>Sample Rejected</v>
          </cell>
          <cell r="C3629">
            <v>42720.7400221875</v>
          </cell>
        </row>
        <row r="3630">
          <cell r="A3630">
            <v>3034874772</v>
          </cell>
          <cell r="B3630" t="str">
            <v>Sample Rejected</v>
          </cell>
          <cell r="C3630">
            <v>42720.7400221875</v>
          </cell>
        </row>
        <row r="3631">
          <cell r="A3631">
            <v>3034868691</v>
          </cell>
          <cell r="B3631" t="str">
            <v>Sample Rejected</v>
          </cell>
          <cell r="C3631">
            <v>42720.7400221875</v>
          </cell>
        </row>
        <row r="3632">
          <cell r="A3632">
            <v>3034878657</v>
          </cell>
          <cell r="B3632" t="str">
            <v>Sample Rejected</v>
          </cell>
          <cell r="C3632">
            <v>42720.7400221875</v>
          </cell>
        </row>
        <row r="3633">
          <cell r="A3633">
            <v>3034702208</v>
          </cell>
          <cell r="B3633" t="str">
            <v>Sample Rejected</v>
          </cell>
          <cell r="C3633">
            <v>42720.7400221875</v>
          </cell>
        </row>
        <row r="3634">
          <cell r="A3634">
            <v>3034940302</v>
          </cell>
          <cell r="B3634" t="str">
            <v>Sample Rejected</v>
          </cell>
          <cell r="C3634">
            <v>42720.7400221875</v>
          </cell>
        </row>
        <row r="3635">
          <cell r="A3635">
            <v>3034861379</v>
          </cell>
          <cell r="B3635" t="str">
            <v>Sample Rejected</v>
          </cell>
          <cell r="C3635">
            <v>42720.7400221875</v>
          </cell>
        </row>
        <row r="3636">
          <cell r="A3636">
            <v>3034872774</v>
          </cell>
          <cell r="B3636" t="str">
            <v>Sample Rejected</v>
          </cell>
          <cell r="C3636">
            <v>42720.7400221875</v>
          </cell>
        </row>
        <row r="3637">
          <cell r="A3637">
            <v>3034667799</v>
          </cell>
          <cell r="B3637" t="str">
            <v>Sample Rejected</v>
          </cell>
          <cell r="C3637">
            <v>42720.7400221875</v>
          </cell>
        </row>
        <row r="3638">
          <cell r="A3638">
            <v>3034882817</v>
          </cell>
          <cell r="B3638" t="str">
            <v>Sample Rejected</v>
          </cell>
          <cell r="C3638">
            <v>42720.7400221875</v>
          </cell>
        </row>
        <row r="3639">
          <cell r="A3639">
            <v>3034867267</v>
          </cell>
          <cell r="B3639" t="str">
            <v>Sample Rejected</v>
          </cell>
          <cell r="C3639">
            <v>42720.7400221875</v>
          </cell>
        </row>
        <row r="3640">
          <cell r="A3640">
            <v>3034844787</v>
          </cell>
          <cell r="B3640" t="str">
            <v>Sample Rejected</v>
          </cell>
          <cell r="C3640">
            <v>42720.7400221875</v>
          </cell>
        </row>
        <row r="3641">
          <cell r="A3641">
            <v>3034845504</v>
          </cell>
          <cell r="B3641" t="str">
            <v>Sample Rejected</v>
          </cell>
          <cell r="C3641">
            <v>42720.7400221875</v>
          </cell>
        </row>
        <row r="3642">
          <cell r="A3642">
            <v>3034845289</v>
          </cell>
          <cell r="B3642" t="str">
            <v>Sample Rejected</v>
          </cell>
          <cell r="C3642">
            <v>42720.7400221875</v>
          </cell>
        </row>
        <row r="3643">
          <cell r="A3643">
            <v>3034866529</v>
          </cell>
          <cell r="B3643" t="str">
            <v>Sample Rejected</v>
          </cell>
          <cell r="C3643">
            <v>42720.7400221875</v>
          </cell>
        </row>
        <row r="3644">
          <cell r="A3644">
            <v>3034878390</v>
          </cell>
          <cell r="B3644" t="str">
            <v>Sample Rejected</v>
          </cell>
          <cell r="C3644">
            <v>42720.7400221875</v>
          </cell>
        </row>
        <row r="3645">
          <cell r="A3645">
            <v>3034872046</v>
          </cell>
          <cell r="B3645" t="str">
            <v>Sample Rejected</v>
          </cell>
          <cell r="C3645">
            <v>42720.7400221875</v>
          </cell>
        </row>
        <row r="3646">
          <cell r="A3646">
            <v>3034886359</v>
          </cell>
          <cell r="B3646" t="str">
            <v>Sample Rejected</v>
          </cell>
          <cell r="C3646">
            <v>42720.7400221875</v>
          </cell>
        </row>
        <row r="3647">
          <cell r="A3647">
            <v>3034663983</v>
          </cell>
          <cell r="B3647" t="str">
            <v>Sample Rejected</v>
          </cell>
          <cell r="C3647">
            <v>42720.7400221875</v>
          </cell>
        </row>
        <row r="3648">
          <cell r="A3648">
            <v>3034876802</v>
          </cell>
          <cell r="B3648" t="str">
            <v>Sample Rejected</v>
          </cell>
          <cell r="C3648">
            <v>42720.7400221875</v>
          </cell>
        </row>
        <row r="3649">
          <cell r="A3649">
            <v>3034864711</v>
          </cell>
          <cell r="B3649" t="str">
            <v>Sample Rejected</v>
          </cell>
          <cell r="C3649">
            <v>42720.7400221875</v>
          </cell>
        </row>
        <row r="3650">
          <cell r="A3650">
            <v>3034828639</v>
          </cell>
          <cell r="B3650" t="str">
            <v>Sample Rejected</v>
          </cell>
          <cell r="C3650">
            <v>42720.7400221875</v>
          </cell>
        </row>
        <row r="3651">
          <cell r="A3651">
            <v>3034866405</v>
          </cell>
          <cell r="B3651" t="str">
            <v>Sample Rejected</v>
          </cell>
          <cell r="C3651">
            <v>42720.7400221875</v>
          </cell>
        </row>
        <row r="3652">
          <cell r="A3652">
            <v>3034866059</v>
          </cell>
          <cell r="B3652" t="str">
            <v>Sample Rejected</v>
          </cell>
          <cell r="C3652">
            <v>42720.7400221875</v>
          </cell>
        </row>
        <row r="3653">
          <cell r="A3653">
            <v>3034870752</v>
          </cell>
          <cell r="B3653" t="str">
            <v>Sample Rejected</v>
          </cell>
          <cell r="C3653">
            <v>42720.7400221875</v>
          </cell>
        </row>
        <row r="3654">
          <cell r="A3654">
            <v>3034801096</v>
          </cell>
          <cell r="B3654" t="str">
            <v>Sample Rejected</v>
          </cell>
          <cell r="C3654">
            <v>42720.7400221875</v>
          </cell>
        </row>
        <row r="3655">
          <cell r="A3655">
            <v>3034873060</v>
          </cell>
          <cell r="B3655" t="str">
            <v>Sample Rejected</v>
          </cell>
          <cell r="C3655">
            <v>42720.7400221875</v>
          </cell>
        </row>
        <row r="3656">
          <cell r="A3656">
            <v>3034872302</v>
          </cell>
          <cell r="B3656" t="str">
            <v>Sample Rejected</v>
          </cell>
          <cell r="C3656">
            <v>42720.7400221875</v>
          </cell>
        </row>
        <row r="3657">
          <cell r="A3657">
            <v>3034946144</v>
          </cell>
          <cell r="B3657" t="str">
            <v>Sample Rejected</v>
          </cell>
          <cell r="C3657">
            <v>42720.7400221875</v>
          </cell>
        </row>
        <row r="3658">
          <cell r="A3658">
            <v>3034939239</v>
          </cell>
          <cell r="B3658" t="str">
            <v>Sample Rejected</v>
          </cell>
          <cell r="C3658">
            <v>42720.7400221875</v>
          </cell>
        </row>
        <row r="3659">
          <cell r="A3659">
            <v>3034861206</v>
          </cell>
          <cell r="B3659" t="str">
            <v>Sample Rejected</v>
          </cell>
          <cell r="C3659">
            <v>42720.7400221875</v>
          </cell>
        </row>
        <row r="3660">
          <cell r="A3660">
            <v>3034864097</v>
          </cell>
          <cell r="B3660" t="str">
            <v>Sample Rejected</v>
          </cell>
          <cell r="C3660">
            <v>42720.7400221875</v>
          </cell>
        </row>
        <row r="3661">
          <cell r="A3661">
            <v>3034880591</v>
          </cell>
          <cell r="B3661" t="str">
            <v>Sample Rejected</v>
          </cell>
          <cell r="C3661">
            <v>42720.7400221875</v>
          </cell>
        </row>
        <row r="3662">
          <cell r="A3662">
            <v>3034712813</v>
          </cell>
          <cell r="B3662" t="str">
            <v>Sample Rejected</v>
          </cell>
          <cell r="C3662">
            <v>42720.7400221875</v>
          </cell>
        </row>
        <row r="3663">
          <cell r="A3663">
            <v>3034876012</v>
          </cell>
          <cell r="B3663" t="str">
            <v>Sample Rejected</v>
          </cell>
          <cell r="C3663">
            <v>42720.7400221875</v>
          </cell>
        </row>
        <row r="3664">
          <cell r="A3664">
            <v>3034862959</v>
          </cell>
          <cell r="B3664" t="str">
            <v>Sample Rejected</v>
          </cell>
          <cell r="C3664">
            <v>42720.7400221875</v>
          </cell>
        </row>
        <row r="3665">
          <cell r="A3665">
            <v>3034877955</v>
          </cell>
          <cell r="B3665" t="str">
            <v>Sample Rejected</v>
          </cell>
          <cell r="C3665">
            <v>42720.7400221875</v>
          </cell>
        </row>
        <row r="3666">
          <cell r="A3666">
            <v>3034877584</v>
          </cell>
          <cell r="B3666" t="str">
            <v>Sample Rejected</v>
          </cell>
          <cell r="C3666">
            <v>42720.7400221875</v>
          </cell>
        </row>
        <row r="3667">
          <cell r="A3667">
            <v>3034864528</v>
          </cell>
          <cell r="B3667" t="str">
            <v>Sample Rejected</v>
          </cell>
          <cell r="C3667">
            <v>42720.7400221875</v>
          </cell>
        </row>
        <row r="3668">
          <cell r="A3668">
            <v>3034879342</v>
          </cell>
          <cell r="B3668" t="str">
            <v>Sample Rejected</v>
          </cell>
          <cell r="C3668">
            <v>42720.7400221875</v>
          </cell>
        </row>
        <row r="3669">
          <cell r="A3669">
            <v>3034336100</v>
          </cell>
          <cell r="B3669" t="str">
            <v>Sample Rejected</v>
          </cell>
          <cell r="C3669">
            <v>42720.7400221875</v>
          </cell>
        </row>
        <row r="3670">
          <cell r="A3670">
            <v>3034943119</v>
          </cell>
          <cell r="B3670" t="str">
            <v>Sample Rejected</v>
          </cell>
          <cell r="C3670">
            <v>42720.7400221875</v>
          </cell>
        </row>
        <row r="3671">
          <cell r="A3671">
            <v>3034872611</v>
          </cell>
          <cell r="B3671" t="str">
            <v>Sample Rejected</v>
          </cell>
          <cell r="C3671">
            <v>42720.7400221875</v>
          </cell>
        </row>
        <row r="3672">
          <cell r="A3672">
            <v>3034814176</v>
          </cell>
          <cell r="B3672" t="str">
            <v>Sample Rejected</v>
          </cell>
          <cell r="C3672">
            <v>42720.7400221875</v>
          </cell>
        </row>
        <row r="3673">
          <cell r="A3673">
            <v>3034870109</v>
          </cell>
          <cell r="B3673" t="str">
            <v>Sample Rejected</v>
          </cell>
          <cell r="C3673">
            <v>42720.7400221875</v>
          </cell>
        </row>
        <row r="3674">
          <cell r="A3674">
            <v>3034876851</v>
          </cell>
          <cell r="B3674" t="str">
            <v>Sample Rejected</v>
          </cell>
          <cell r="C3674">
            <v>42720.7400221875</v>
          </cell>
        </row>
        <row r="3675">
          <cell r="A3675">
            <v>3034814771</v>
          </cell>
          <cell r="B3675" t="str">
            <v>Sample Rejected</v>
          </cell>
          <cell r="C3675">
            <v>42720.7400221875</v>
          </cell>
        </row>
        <row r="3676">
          <cell r="A3676">
            <v>3034862985</v>
          </cell>
          <cell r="B3676" t="str">
            <v>Sample Rejected</v>
          </cell>
          <cell r="C3676">
            <v>42720.7400221875</v>
          </cell>
        </row>
        <row r="3677">
          <cell r="A3677">
            <v>3034867938</v>
          </cell>
          <cell r="B3677" t="str">
            <v>Sample Rejected</v>
          </cell>
          <cell r="C3677">
            <v>42720.7400221875</v>
          </cell>
        </row>
        <row r="3678">
          <cell r="A3678">
            <v>3034877661</v>
          </cell>
          <cell r="B3678" t="str">
            <v>Sample Rejected</v>
          </cell>
          <cell r="C3678">
            <v>42720.7400221875</v>
          </cell>
        </row>
        <row r="3679">
          <cell r="A3679">
            <v>3034816183</v>
          </cell>
          <cell r="B3679" t="str">
            <v>Sample Rejected</v>
          </cell>
          <cell r="C3679">
            <v>42720.7400221875</v>
          </cell>
        </row>
        <row r="3680">
          <cell r="A3680">
            <v>3034872392</v>
          </cell>
          <cell r="B3680" t="str">
            <v>Sample Rejected</v>
          </cell>
          <cell r="C3680">
            <v>42720.7400221875</v>
          </cell>
        </row>
        <row r="3681">
          <cell r="A3681">
            <v>3034877960</v>
          </cell>
          <cell r="B3681" t="str">
            <v>Sample Rejected</v>
          </cell>
          <cell r="C3681">
            <v>42720.7400221875</v>
          </cell>
        </row>
        <row r="3682">
          <cell r="A3682">
            <v>3034878632</v>
          </cell>
          <cell r="B3682" t="str">
            <v>Sample Rejected</v>
          </cell>
          <cell r="C3682">
            <v>42720.7400221875</v>
          </cell>
        </row>
        <row r="3683">
          <cell r="A3683">
            <v>3034878937</v>
          </cell>
          <cell r="B3683" t="str">
            <v>Sample Rejected</v>
          </cell>
          <cell r="C3683">
            <v>42720.7400221875</v>
          </cell>
        </row>
        <row r="3684">
          <cell r="A3684">
            <v>3034863127</v>
          </cell>
          <cell r="B3684" t="str">
            <v>Sample Rejected</v>
          </cell>
          <cell r="C3684">
            <v>42720.7400221875</v>
          </cell>
        </row>
        <row r="3685">
          <cell r="A3685">
            <v>3034938574</v>
          </cell>
          <cell r="B3685" t="str">
            <v>Sample Rejected</v>
          </cell>
          <cell r="C3685">
            <v>42720.7400221875</v>
          </cell>
        </row>
        <row r="3686">
          <cell r="A3686">
            <v>3034938083</v>
          </cell>
          <cell r="B3686" t="str">
            <v>Sample Rejected</v>
          </cell>
          <cell r="C3686">
            <v>42720.7400221875</v>
          </cell>
        </row>
        <row r="3687">
          <cell r="A3687">
            <v>3034938533</v>
          </cell>
          <cell r="B3687" t="str">
            <v>Sample Rejected</v>
          </cell>
          <cell r="C3687">
            <v>42720.7400221875</v>
          </cell>
        </row>
        <row r="3688">
          <cell r="A3688">
            <v>3034799317</v>
          </cell>
          <cell r="B3688" t="str">
            <v>Sample Rejected</v>
          </cell>
          <cell r="C3688">
            <v>42720.7400221875</v>
          </cell>
        </row>
        <row r="3689">
          <cell r="A3689">
            <v>3034949353</v>
          </cell>
          <cell r="B3689" t="str">
            <v>Sample Rejected</v>
          </cell>
          <cell r="C3689">
            <v>42720.7400221875</v>
          </cell>
        </row>
        <row r="3690">
          <cell r="A3690">
            <v>3034950475</v>
          </cell>
          <cell r="B3690" t="str">
            <v>Sample Rejected</v>
          </cell>
          <cell r="C3690">
            <v>42720.7400221875</v>
          </cell>
        </row>
        <row r="3691">
          <cell r="A3691">
            <v>3035003839</v>
          </cell>
          <cell r="B3691" t="str">
            <v>Sample Rejected</v>
          </cell>
          <cell r="C3691">
            <v>42722.734715543978</v>
          </cell>
        </row>
        <row r="3692">
          <cell r="A3692">
            <v>3034271313</v>
          </cell>
          <cell r="B3692" t="str">
            <v>Sample Rejected</v>
          </cell>
          <cell r="C3692">
            <v>42722.734715543978</v>
          </cell>
        </row>
        <row r="3693">
          <cell r="A3693">
            <v>3035015380</v>
          </cell>
          <cell r="B3693" t="str">
            <v>Sample Rejected</v>
          </cell>
          <cell r="C3693">
            <v>42722.734715543978</v>
          </cell>
        </row>
        <row r="3694">
          <cell r="A3694">
            <v>3035012842</v>
          </cell>
          <cell r="B3694" t="str">
            <v>Sample Rejected</v>
          </cell>
          <cell r="C3694">
            <v>42722.734715543978</v>
          </cell>
        </row>
        <row r="3695">
          <cell r="A3695">
            <v>3034971345</v>
          </cell>
          <cell r="B3695" t="str">
            <v>Sample Rejected</v>
          </cell>
          <cell r="C3695">
            <v>42722.734715543978</v>
          </cell>
        </row>
        <row r="3696">
          <cell r="A3696">
            <v>3035008729</v>
          </cell>
          <cell r="B3696" t="str">
            <v>Sample Rejected</v>
          </cell>
          <cell r="C3696">
            <v>42722.734715543978</v>
          </cell>
        </row>
        <row r="3697">
          <cell r="A3697">
            <v>3034974612</v>
          </cell>
          <cell r="B3697" t="str">
            <v>Sample Rejected</v>
          </cell>
          <cell r="C3697">
            <v>42722.734715543978</v>
          </cell>
        </row>
        <row r="3698">
          <cell r="A3698">
            <v>3035014353</v>
          </cell>
          <cell r="B3698" t="str">
            <v>Sample Rejected</v>
          </cell>
          <cell r="C3698">
            <v>42722.734715543978</v>
          </cell>
        </row>
        <row r="3699">
          <cell r="A3699">
            <v>3035006018</v>
          </cell>
          <cell r="B3699" t="str">
            <v>Sample Rejected</v>
          </cell>
          <cell r="C3699">
            <v>42722.734715543978</v>
          </cell>
        </row>
        <row r="3700">
          <cell r="A3700">
            <v>3035006516</v>
          </cell>
          <cell r="B3700" t="str">
            <v>Sample Rejected</v>
          </cell>
          <cell r="C3700">
            <v>42722.734715543978</v>
          </cell>
        </row>
        <row r="3701">
          <cell r="A3701">
            <v>3035022478</v>
          </cell>
          <cell r="B3701" t="str">
            <v>Sample Rejected</v>
          </cell>
          <cell r="C3701">
            <v>42722.734715543978</v>
          </cell>
        </row>
        <row r="3702">
          <cell r="A3702">
            <v>3035013792</v>
          </cell>
          <cell r="B3702" t="str">
            <v>Sample Rejected</v>
          </cell>
          <cell r="C3702">
            <v>42722.734715543978</v>
          </cell>
        </row>
        <row r="3703">
          <cell r="A3703">
            <v>3035014284</v>
          </cell>
          <cell r="B3703" t="str">
            <v>Sample Rejected</v>
          </cell>
          <cell r="C3703">
            <v>42722.734715543978</v>
          </cell>
        </row>
        <row r="3704">
          <cell r="A3704">
            <v>3035009097</v>
          </cell>
          <cell r="B3704" t="str">
            <v>Sample Rejected</v>
          </cell>
          <cell r="C3704">
            <v>42722.734715543978</v>
          </cell>
        </row>
        <row r="3705">
          <cell r="A3705">
            <v>3035013802</v>
          </cell>
          <cell r="B3705" t="str">
            <v>Sample Rejected</v>
          </cell>
          <cell r="C3705">
            <v>42722.734715543978</v>
          </cell>
        </row>
        <row r="3706">
          <cell r="A3706">
            <v>3035009947</v>
          </cell>
          <cell r="B3706" t="str">
            <v>Sample Rejected</v>
          </cell>
          <cell r="C3706">
            <v>42722.734715543978</v>
          </cell>
        </row>
        <row r="3707">
          <cell r="A3707">
            <v>3035003434</v>
          </cell>
          <cell r="B3707" t="str">
            <v>Sample Rejected</v>
          </cell>
          <cell r="C3707">
            <v>42722.734715543978</v>
          </cell>
        </row>
        <row r="3708">
          <cell r="A3708">
            <v>3034876481</v>
          </cell>
          <cell r="B3708" t="str">
            <v>Sample Rejected</v>
          </cell>
          <cell r="C3708">
            <v>42722.734715543978</v>
          </cell>
        </row>
        <row r="3709">
          <cell r="A3709">
            <v>3035010494</v>
          </cell>
          <cell r="B3709" t="str">
            <v>Sample Rejected</v>
          </cell>
          <cell r="C3709">
            <v>42722.734715543978</v>
          </cell>
        </row>
        <row r="3710">
          <cell r="A3710">
            <v>3034920137</v>
          </cell>
          <cell r="B3710" t="str">
            <v>Sample Rejected</v>
          </cell>
          <cell r="C3710">
            <v>42722.734715543978</v>
          </cell>
        </row>
        <row r="3711">
          <cell r="A3711">
            <v>3034949553</v>
          </cell>
          <cell r="B3711" t="str">
            <v>Sample Rejected</v>
          </cell>
          <cell r="C3711">
            <v>42722.734715543978</v>
          </cell>
        </row>
        <row r="3712">
          <cell r="A3712">
            <v>3035015301</v>
          </cell>
          <cell r="B3712" t="str">
            <v>Sample Rejected</v>
          </cell>
          <cell r="C3712">
            <v>42722.734715543978</v>
          </cell>
        </row>
        <row r="3713">
          <cell r="A3713">
            <v>3035004934</v>
          </cell>
          <cell r="B3713" t="str">
            <v>Sample Rejected</v>
          </cell>
          <cell r="C3713">
            <v>42722.734715543978</v>
          </cell>
        </row>
        <row r="3714">
          <cell r="A3714">
            <v>3035010037</v>
          </cell>
          <cell r="B3714" t="str">
            <v>Sample Rejected</v>
          </cell>
          <cell r="C3714">
            <v>42722.734715543978</v>
          </cell>
        </row>
        <row r="3715">
          <cell r="A3715">
            <v>3034531187</v>
          </cell>
          <cell r="B3715" t="str">
            <v>Sample Rejected</v>
          </cell>
          <cell r="C3715">
            <v>42722.734715543978</v>
          </cell>
        </row>
        <row r="3716">
          <cell r="A3716">
            <v>3035004848</v>
          </cell>
          <cell r="B3716" t="str">
            <v>Sample Rejected</v>
          </cell>
          <cell r="C3716">
            <v>42722.734715543978</v>
          </cell>
        </row>
        <row r="3717">
          <cell r="A3717">
            <v>3035008093</v>
          </cell>
          <cell r="B3717" t="str">
            <v>Sample Rejected</v>
          </cell>
          <cell r="C3717">
            <v>42722.734715543978</v>
          </cell>
        </row>
        <row r="3718">
          <cell r="A3718">
            <v>3035003540</v>
          </cell>
          <cell r="B3718" t="str">
            <v>Sample Rejected</v>
          </cell>
          <cell r="C3718">
            <v>42722.734715543978</v>
          </cell>
        </row>
        <row r="3719">
          <cell r="A3719">
            <v>3034875307</v>
          </cell>
          <cell r="B3719" t="str">
            <v>Sample Rejected</v>
          </cell>
          <cell r="C3719">
            <v>42722.734715543978</v>
          </cell>
        </row>
        <row r="3720">
          <cell r="A3720">
            <v>3035004709</v>
          </cell>
          <cell r="B3720" t="str">
            <v>Sample Rejected</v>
          </cell>
          <cell r="C3720">
            <v>42722.734715543978</v>
          </cell>
        </row>
        <row r="3721">
          <cell r="A3721">
            <v>3034864310</v>
          </cell>
          <cell r="B3721" t="str">
            <v>Sample Rejected</v>
          </cell>
          <cell r="C3721">
            <v>42722.734715543978</v>
          </cell>
        </row>
        <row r="3722">
          <cell r="A3722">
            <v>3035004650</v>
          </cell>
          <cell r="B3722" t="str">
            <v>Sample Rejected</v>
          </cell>
          <cell r="C3722">
            <v>42722.734715543978</v>
          </cell>
        </row>
        <row r="3723">
          <cell r="A3723">
            <v>3034767305</v>
          </cell>
          <cell r="B3723" t="str">
            <v>Sample Rejected</v>
          </cell>
          <cell r="C3723">
            <v>42722.734715543978</v>
          </cell>
        </row>
        <row r="3724">
          <cell r="A3724">
            <v>3035015172</v>
          </cell>
          <cell r="B3724" t="str">
            <v>Sample Rejected</v>
          </cell>
          <cell r="C3724">
            <v>42722.734715543978</v>
          </cell>
        </row>
        <row r="3725">
          <cell r="A3725">
            <v>3034903789</v>
          </cell>
          <cell r="B3725" t="str">
            <v>Sample Rejected</v>
          </cell>
          <cell r="C3725">
            <v>42722.734715543978</v>
          </cell>
        </row>
        <row r="3726">
          <cell r="A3726">
            <v>3035016668</v>
          </cell>
          <cell r="B3726" t="str">
            <v>Sample Rejected</v>
          </cell>
          <cell r="C3726">
            <v>42722.734715543978</v>
          </cell>
        </row>
        <row r="3727">
          <cell r="A3727">
            <v>3035005121</v>
          </cell>
          <cell r="B3727" t="str">
            <v>Sample Rejected</v>
          </cell>
          <cell r="C3727">
            <v>42722.734715543978</v>
          </cell>
        </row>
        <row r="3728">
          <cell r="A3728">
            <v>3034672402</v>
          </cell>
          <cell r="B3728" t="str">
            <v>Sample Rejected</v>
          </cell>
          <cell r="C3728">
            <v>42722.734715543978</v>
          </cell>
        </row>
        <row r="3729">
          <cell r="A3729">
            <v>3034781267</v>
          </cell>
          <cell r="B3729" t="str">
            <v>Sample Rejected</v>
          </cell>
          <cell r="C3729">
            <v>42722.734715543978</v>
          </cell>
        </row>
        <row r="3730">
          <cell r="A3730">
            <v>3035005151</v>
          </cell>
          <cell r="B3730" t="str">
            <v>Sample Rejected</v>
          </cell>
          <cell r="C3730">
            <v>42722.734715543978</v>
          </cell>
        </row>
        <row r="3731">
          <cell r="A3731">
            <v>3034983287</v>
          </cell>
          <cell r="B3731" t="str">
            <v>Sample Rejected</v>
          </cell>
          <cell r="C3731">
            <v>42722.734715543978</v>
          </cell>
        </row>
        <row r="3732">
          <cell r="A3732">
            <v>3035005468</v>
          </cell>
          <cell r="B3732" t="str">
            <v>Sample Rejected</v>
          </cell>
          <cell r="C3732">
            <v>42722.734715543978</v>
          </cell>
        </row>
        <row r="3733">
          <cell r="A3733">
            <v>3035016338</v>
          </cell>
          <cell r="B3733" t="str">
            <v>Sample Rejected</v>
          </cell>
          <cell r="C3733">
            <v>42722.734715543978</v>
          </cell>
        </row>
        <row r="3734">
          <cell r="A3734">
            <v>3035004779</v>
          </cell>
          <cell r="B3734" t="str">
            <v>Sample Rejected</v>
          </cell>
          <cell r="C3734">
            <v>42722.734715543978</v>
          </cell>
        </row>
        <row r="3735">
          <cell r="A3735">
            <v>3035004955</v>
          </cell>
          <cell r="B3735" t="str">
            <v>Sample Rejected</v>
          </cell>
          <cell r="C3735">
            <v>42722.734715543978</v>
          </cell>
        </row>
        <row r="3736">
          <cell r="A3736">
            <v>3035004502</v>
          </cell>
          <cell r="B3736" t="str">
            <v>Sample Rejected</v>
          </cell>
          <cell r="C3736">
            <v>42722.734715543978</v>
          </cell>
        </row>
        <row r="3737">
          <cell r="A3737">
            <v>3035010695</v>
          </cell>
          <cell r="B3737" t="str">
            <v>Sample Rejected</v>
          </cell>
          <cell r="C3737">
            <v>42722.734715543978</v>
          </cell>
        </row>
        <row r="3738">
          <cell r="A3738">
            <v>3034949895</v>
          </cell>
          <cell r="B3738" t="str">
            <v>Sample Rejected</v>
          </cell>
          <cell r="C3738">
            <v>42720.7400221875</v>
          </cell>
        </row>
        <row r="3739">
          <cell r="A3739">
            <v>3034946503</v>
          </cell>
          <cell r="B3739" t="str">
            <v>Sample Rejected</v>
          </cell>
          <cell r="C3739">
            <v>42720.7400221875</v>
          </cell>
        </row>
        <row r="3740">
          <cell r="A3740">
            <v>3034867071</v>
          </cell>
          <cell r="B3740" t="str">
            <v>Sample Rejected</v>
          </cell>
          <cell r="C3740">
            <v>42720.7400221875</v>
          </cell>
        </row>
        <row r="3741">
          <cell r="A3741">
            <v>3034938222</v>
          </cell>
          <cell r="B3741" t="str">
            <v>Sample Rejected</v>
          </cell>
          <cell r="C3741">
            <v>42720.7400221875</v>
          </cell>
        </row>
        <row r="3742">
          <cell r="A3742">
            <v>3034938246</v>
          </cell>
          <cell r="B3742" t="str">
            <v>Sample Rejected</v>
          </cell>
          <cell r="C3742">
            <v>42720.7400221875</v>
          </cell>
        </row>
        <row r="3743">
          <cell r="A3743">
            <v>3034938329</v>
          </cell>
          <cell r="B3743" t="str">
            <v>Sample Rejected</v>
          </cell>
          <cell r="C3743">
            <v>42720.7400221875</v>
          </cell>
        </row>
        <row r="3744">
          <cell r="A3744">
            <v>3034799865</v>
          </cell>
          <cell r="B3744" t="str">
            <v>Sample Rejected</v>
          </cell>
          <cell r="C3744">
            <v>42720.7400221875</v>
          </cell>
        </row>
        <row r="3745">
          <cell r="A3745">
            <v>3034717589</v>
          </cell>
          <cell r="B3745" t="str">
            <v>Sample Rejected</v>
          </cell>
          <cell r="C3745">
            <v>42720.7400221875</v>
          </cell>
        </row>
        <row r="3746">
          <cell r="A3746">
            <v>3034940276</v>
          </cell>
          <cell r="B3746" t="str">
            <v>Sample Rejected</v>
          </cell>
          <cell r="C3746">
            <v>42720.7400221875</v>
          </cell>
        </row>
        <row r="3747">
          <cell r="A3747">
            <v>3034951877</v>
          </cell>
          <cell r="B3747" t="str">
            <v>Sample Rejected</v>
          </cell>
          <cell r="C3747">
            <v>42720.7400221875</v>
          </cell>
        </row>
        <row r="3748">
          <cell r="A3748">
            <v>3034900747</v>
          </cell>
          <cell r="B3748" t="str">
            <v>Sample Rejected</v>
          </cell>
          <cell r="C3748">
            <v>42720.7400221875</v>
          </cell>
        </row>
        <row r="3749">
          <cell r="A3749">
            <v>3034939538</v>
          </cell>
          <cell r="B3749" t="str">
            <v>Sample Rejected</v>
          </cell>
          <cell r="C3749">
            <v>42720.7400221875</v>
          </cell>
        </row>
        <row r="3750">
          <cell r="A3750">
            <v>3034948049</v>
          </cell>
          <cell r="B3750" t="str">
            <v>Sample Rejected</v>
          </cell>
          <cell r="C3750">
            <v>42720.7400221875</v>
          </cell>
        </row>
        <row r="3751">
          <cell r="A3751">
            <v>3034948704</v>
          </cell>
          <cell r="B3751" t="str">
            <v>Sample Rejected</v>
          </cell>
          <cell r="C3751">
            <v>42720.7400221875</v>
          </cell>
        </row>
        <row r="3752">
          <cell r="A3752">
            <v>3034804586</v>
          </cell>
          <cell r="B3752" t="str">
            <v>Sample Rejected</v>
          </cell>
          <cell r="C3752">
            <v>42720.7400221875</v>
          </cell>
        </row>
        <row r="3753">
          <cell r="A3753">
            <v>3034950198</v>
          </cell>
          <cell r="B3753" t="str">
            <v>Sample Rejected</v>
          </cell>
          <cell r="C3753">
            <v>42720.7400221875</v>
          </cell>
        </row>
        <row r="3754">
          <cell r="A3754">
            <v>3034563993</v>
          </cell>
          <cell r="B3754" t="str">
            <v>Sample Rejected</v>
          </cell>
          <cell r="C3754">
            <v>42720.7400221875</v>
          </cell>
        </row>
        <row r="3755">
          <cell r="A3755">
            <v>3034945809</v>
          </cell>
          <cell r="B3755" t="str">
            <v>Sample Rejected</v>
          </cell>
          <cell r="C3755">
            <v>42720.7400221875</v>
          </cell>
        </row>
        <row r="3756">
          <cell r="A3756">
            <v>3034883290</v>
          </cell>
          <cell r="B3756" t="str">
            <v>Sample Rejected</v>
          </cell>
          <cell r="C3756">
            <v>42720.7400221875</v>
          </cell>
        </row>
        <row r="3757">
          <cell r="A3757">
            <v>3034950812</v>
          </cell>
          <cell r="B3757" t="str">
            <v>Sample Rejected</v>
          </cell>
          <cell r="C3757">
            <v>42720.7400221875</v>
          </cell>
        </row>
        <row r="3758">
          <cell r="A3758">
            <v>3034866509</v>
          </cell>
          <cell r="B3758" t="str">
            <v>Sample Rejected</v>
          </cell>
          <cell r="C3758">
            <v>42720.7400221875</v>
          </cell>
        </row>
        <row r="3759">
          <cell r="A3759">
            <v>3034769023</v>
          </cell>
          <cell r="B3759" t="str">
            <v>Sample Rejected</v>
          </cell>
          <cell r="C3759">
            <v>42720.7400221875</v>
          </cell>
        </row>
        <row r="3760">
          <cell r="A3760">
            <v>3034945488</v>
          </cell>
          <cell r="B3760" t="str">
            <v>Sample Rejected</v>
          </cell>
          <cell r="C3760">
            <v>42720.7400221875</v>
          </cell>
        </row>
        <row r="3761">
          <cell r="A3761">
            <v>3034957087</v>
          </cell>
          <cell r="B3761" t="str">
            <v>Sample Rejected</v>
          </cell>
          <cell r="C3761">
            <v>42720.7400221875</v>
          </cell>
        </row>
        <row r="3762">
          <cell r="A3762">
            <v>3034947938</v>
          </cell>
          <cell r="B3762" t="str">
            <v>Sample Rejected</v>
          </cell>
          <cell r="C3762">
            <v>42720.7400221875</v>
          </cell>
        </row>
        <row r="3763">
          <cell r="A3763">
            <v>3034939177</v>
          </cell>
          <cell r="B3763" t="str">
            <v>Sample Rejected</v>
          </cell>
          <cell r="C3763">
            <v>42720.7400221875</v>
          </cell>
        </row>
        <row r="3764">
          <cell r="A3764">
            <v>3034905976</v>
          </cell>
          <cell r="B3764" t="str">
            <v>Sample Rejected</v>
          </cell>
          <cell r="C3764">
            <v>42720.7400221875</v>
          </cell>
        </row>
        <row r="3765">
          <cell r="A3765">
            <v>3034953673</v>
          </cell>
          <cell r="B3765" t="str">
            <v>Sample Rejected</v>
          </cell>
          <cell r="C3765">
            <v>42720.7400221875</v>
          </cell>
        </row>
        <row r="3766">
          <cell r="A3766">
            <v>3034948160</v>
          </cell>
          <cell r="B3766" t="str">
            <v>Sample Rejected</v>
          </cell>
          <cell r="C3766">
            <v>42720.7400221875</v>
          </cell>
        </row>
        <row r="3767">
          <cell r="A3767">
            <v>3034828890</v>
          </cell>
          <cell r="B3767" t="str">
            <v>Sample Rejected</v>
          </cell>
          <cell r="C3767">
            <v>42720.7400221875</v>
          </cell>
        </row>
        <row r="3768">
          <cell r="A3768">
            <v>3034939209</v>
          </cell>
          <cell r="B3768" t="str">
            <v>Sample Rejected</v>
          </cell>
          <cell r="C3768">
            <v>42720.7400221875</v>
          </cell>
        </row>
        <row r="3769">
          <cell r="A3769">
            <v>3034877273</v>
          </cell>
          <cell r="B3769" t="str">
            <v>Sample Rejected</v>
          </cell>
          <cell r="C3769">
            <v>42720.740082870368</v>
          </cell>
        </row>
        <row r="3770">
          <cell r="A3770">
            <v>3034125100</v>
          </cell>
          <cell r="B3770" t="str">
            <v>Sample Rejected</v>
          </cell>
          <cell r="C3770">
            <v>42720.740082870368</v>
          </cell>
        </row>
        <row r="3771">
          <cell r="A3771">
            <v>3034917704</v>
          </cell>
          <cell r="B3771" t="str">
            <v>Sample Rejected</v>
          </cell>
          <cell r="C3771">
            <v>42722.734715543978</v>
          </cell>
        </row>
        <row r="3772">
          <cell r="A3772">
            <v>3035009231</v>
          </cell>
          <cell r="B3772" t="str">
            <v>Sample Rejected</v>
          </cell>
          <cell r="C3772">
            <v>42722.734715543978</v>
          </cell>
        </row>
        <row r="3773">
          <cell r="A3773">
            <v>3035008523</v>
          </cell>
          <cell r="B3773" t="str">
            <v>Sample Rejected</v>
          </cell>
          <cell r="C3773">
            <v>42722.734715543978</v>
          </cell>
        </row>
        <row r="3774">
          <cell r="A3774">
            <v>3034971190</v>
          </cell>
          <cell r="B3774" t="str">
            <v>Sample Rejected</v>
          </cell>
          <cell r="C3774">
            <v>42721.735890937503</v>
          </cell>
        </row>
        <row r="3775">
          <cell r="A3775">
            <v>3035470844</v>
          </cell>
          <cell r="B3775" t="str">
            <v>Sample Rejected</v>
          </cell>
          <cell r="C3775">
            <v>42741.73704378472</v>
          </cell>
        </row>
        <row r="3776">
          <cell r="A3776">
            <v>3035484178</v>
          </cell>
          <cell r="B3776" t="str">
            <v>Sample Rejected</v>
          </cell>
          <cell r="C3776">
            <v>42741.73704378472</v>
          </cell>
        </row>
        <row r="3777">
          <cell r="A3777">
            <v>3035108733</v>
          </cell>
          <cell r="B3777" t="str">
            <v>Sample Rejected</v>
          </cell>
          <cell r="C3777">
            <v>42741.73704378472</v>
          </cell>
        </row>
        <row r="3778">
          <cell r="A3778">
            <v>3035447236</v>
          </cell>
          <cell r="B3778" t="str">
            <v>Sample Rejected</v>
          </cell>
          <cell r="C3778">
            <v>42741.73704378472</v>
          </cell>
        </row>
        <row r="3779">
          <cell r="A3779">
            <v>3035469542</v>
          </cell>
          <cell r="B3779" t="str">
            <v>Sample Rejected</v>
          </cell>
          <cell r="C3779">
            <v>42741.73704378472</v>
          </cell>
        </row>
        <row r="3780">
          <cell r="A3780">
            <v>3035261113</v>
          </cell>
          <cell r="B3780" t="str">
            <v>Sample Rejected</v>
          </cell>
          <cell r="C3780">
            <v>42741.73704378472</v>
          </cell>
        </row>
        <row r="3781">
          <cell r="A3781">
            <v>3035471300</v>
          </cell>
          <cell r="B3781" t="str">
            <v>Sample Rejected</v>
          </cell>
          <cell r="C3781">
            <v>42741.73704378472</v>
          </cell>
        </row>
        <row r="3782">
          <cell r="A3782">
            <v>3035445965</v>
          </cell>
          <cell r="B3782" t="str">
            <v>Sample Rejected</v>
          </cell>
          <cell r="C3782">
            <v>42741.73704378472</v>
          </cell>
        </row>
        <row r="3783">
          <cell r="A3783">
            <v>3035435852</v>
          </cell>
          <cell r="B3783" t="str">
            <v>Sample Rejected</v>
          </cell>
          <cell r="C3783">
            <v>42741.73704378472</v>
          </cell>
        </row>
        <row r="3784">
          <cell r="A3784">
            <v>3035481228</v>
          </cell>
          <cell r="B3784" t="str">
            <v>Sample Rejected</v>
          </cell>
          <cell r="C3784">
            <v>42741.73704378472</v>
          </cell>
        </row>
        <row r="3785">
          <cell r="A3785">
            <v>3035470687</v>
          </cell>
          <cell r="B3785" t="str">
            <v>Sample Rejected</v>
          </cell>
          <cell r="C3785">
            <v>42741.73704378472</v>
          </cell>
        </row>
        <row r="3786">
          <cell r="A3786">
            <v>3035482453</v>
          </cell>
          <cell r="B3786" t="str">
            <v>Sample Rejected</v>
          </cell>
          <cell r="C3786">
            <v>42741.73704378472</v>
          </cell>
        </row>
        <row r="3787">
          <cell r="A3787">
            <v>3035492298</v>
          </cell>
          <cell r="B3787" t="str">
            <v>Sample Rejected</v>
          </cell>
          <cell r="C3787">
            <v>42741.73704378472</v>
          </cell>
        </row>
        <row r="3788">
          <cell r="A3788">
            <v>3035470169</v>
          </cell>
          <cell r="B3788" t="str">
            <v>Sample Rejected</v>
          </cell>
          <cell r="C3788">
            <v>42741.73704378472</v>
          </cell>
        </row>
        <row r="3789">
          <cell r="A3789">
            <v>3035469587</v>
          </cell>
          <cell r="B3789" t="str">
            <v>Sample Rejected</v>
          </cell>
          <cell r="C3789">
            <v>42741.73704378472</v>
          </cell>
        </row>
        <row r="3790">
          <cell r="A3790">
            <v>3035473503</v>
          </cell>
          <cell r="B3790" t="str">
            <v>Sample Rejected</v>
          </cell>
          <cell r="C3790">
            <v>42741.73704378472</v>
          </cell>
        </row>
        <row r="3791">
          <cell r="A3791">
            <v>3035467644</v>
          </cell>
          <cell r="B3791" t="str">
            <v>Sample Rejected</v>
          </cell>
          <cell r="C3791">
            <v>42741.73704378472</v>
          </cell>
        </row>
        <row r="3792">
          <cell r="A3792">
            <v>3035480357</v>
          </cell>
          <cell r="B3792" t="str">
            <v>Sample Rejected</v>
          </cell>
          <cell r="C3792">
            <v>42741.73704378472</v>
          </cell>
        </row>
        <row r="3793">
          <cell r="A3793">
            <v>3035478662</v>
          </cell>
          <cell r="B3793" t="str">
            <v>Sample Rejected</v>
          </cell>
          <cell r="C3793">
            <v>42741.73704378472</v>
          </cell>
        </row>
        <row r="3794">
          <cell r="A3794">
            <v>3035469506</v>
          </cell>
          <cell r="B3794" t="str">
            <v>Sample Rejected</v>
          </cell>
          <cell r="C3794">
            <v>42741.73704378472</v>
          </cell>
        </row>
        <row r="3795">
          <cell r="A3795">
            <v>3035469872</v>
          </cell>
          <cell r="B3795" t="str">
            <v>Sample Rejected</v>
          </cell>
          <cell r="C3795">
            <v>42741.73704378472</v>
          </cell>
        </row>
        <row r="3796">
          <cell r="A3796">
            <v>3035441417</v>
          </cell>
          <cell r="B3796" t="str">
            <v>Sample Rejected</v>
          </cell>
          <cell r="C3796">
            <v>42741.73704378472</v>
          </cell>
        </row>
        <row r="3797">
          <cell r="A3797">
            <v>3035432966</v>
          </cell>
          <cell r="B3797" t="str">
            <v>Sample Rejected</v>
          </cell>
          <cell r="C3797">
            <v>42741.73704378472</v>
          </cell>
        </row>
        <row r="3798">
          <cell r="A3798">
            <v>3035477155</v>
          </cell>
          <cell r="B3798" t="str">
            <v>Sample Rejected</v>
          </cell>
          <cell r="C3798">
            <v>42741.73704378472</v>
          </cell>
        </row>
        <row r="3799">
          <cell r="A3799">
            <v>3035480563</v>
          </cell>
          <cell r="B3799" t="str">
            <v>Sample Rejected</v>
          </cell>
          <cell r="C3799">
            <v>42741.73704378472</v>
          </cell>
        </row>
        <row r="3800">
          <cell r="A3800">
            <v>3035436258</v>
          </cell>
          <cell r="B3800" t="str">
            <v>Sample Rejected</v>
          </cell>
          <cell r="C3800">
            <v>42740.737851504629</v>
          </cell>
        </row>
        <row r="3801">
          <cell r="A3801">
            <v>3035398945</v>
          </cell>
          <cell r="B3801" t="str">
            <v>Sample Rejected</v>
          </cell>
          <cell r="C3801">
            <v>42740.737851504629</v>
          </cell>
        </row>
        <row r="3802">
          <cell r="A3802">
            <v>3035477867</v>
          </cell>
          <cell r="B3802" t="str">
            <v>Sample Rejected</v>
          </cell>
          <cell r="C3802">
            <v>42741.73704378472</v>
          </cell>
        </row>
        <row r="3803">
          <cell r="A3803">
            <v>3035473195</v>
          </cell>
          <cell r="B3803" t="str">
            <v>Sample Rejected</v>
          </cell>
          <cell r="C3803">
            <v>42741.73704378472</v>
          </cell>
        </row>
        <row r="3804">
          <cell r="A3804">
            <v>3035477377</v>
          </cell>
          <cell r="B3804" t="str">
            <v>Sample Rejected</v>
          </cell>
          <cell r="C3804">
            <v>42741.73704378472</v>
          </cell>
        </row>
        <row r="3805">
          <cell r="A3805">
            <v>3035486009</v>
          </cell>
          <cell r="B3805" t="str">
            <v>Sample Rejected</v>
          </cell>
          <cell r="C3805">
            <v>42741.73704378472</v>
          </cell>
        </row>
        <row r="3806">
          <cell r="A3806">
            <v>3035471853</v>
          </cell>
          <cell r="B3806" t="str">
            <v>Sample Rejected</v>
          </cell>
          <cell r="C3806">
            <v>42741.73704378472</v>
          </cell>
        </row>
        <row r="3807">
          <cell r="A3807">
            <v>3035470624</v>
          </cell>
          <cell r="B3807" t="str">
            <v>Sample Rejected</v>
          </cell>
          <cell r="C3807">
            <v>42741.73704378472</v>
          </cell>
        </row>
        <row r="3808">
          <cell r="A3808">
            <v>3035476476</v>
          </cell>
          <cell r="B3808" t="str">
            <v>Sample Rejected</v>
          </cell>
          <cell r="C3808">
            <v>42741.73704378472</v>
          </cell>
        </row>
        <row r="3809">
          <cell r="A3809">
            <v>3035361596</v>
          </cell>
          <cell r="B3809" t="str">
            <v>Sample Rejected</v>
          </cell>
          <cell r="C3809">
            <v>42741.73704378472</v>
          </cell>
        </row>
        <row r="3810">
          <cell r="A3810">
            <v>3035412443</v>
          </cell>
          <cell r="B3810" t="str">
            <v>Sample Rejected</v>
          </cell>
          <cell r="C3810">
            <v>42740.737851504629</v>
          </cell>
        </row>
        <row r="3811">
          <cell r="A3811">
            <v>3035443154</v>
          </cell>
          <cell r="B3811" t="str">
            <v>Sample Rejected</v>
          </cell>
          <cell r="C3811">
            <v>42740.737851504629</v>
          </cell>
        </row>
        <row r="3812">
          <cell r="A3812">
            <v>3035444983</v>
          </cell>
          <cell r="B3812" t="str">
            <v>Sample Rejected</v>
          </cell>
          <cell r="C3812">
            <v>42740.737851504629</v>
          </cell>
        </row>
        <row r="3813">
          <cell r="A3813">
            <v>3035450763</v>
          </cell>
          <cell r="B3813" t="str">
            <v>Sample Rejected</v>
          </cell>
          <cell r="C3813">
            <v>42740.737851504629</v>
          </cell>
        </row>
        <row r="3814">
          <cell r="A3814">
            <v>3035439396</v>
          </cell>
          <cell r="B3814" t="str">
            <v>Sample Rejected</v>
          </cell>
          <cell r="C3814">
            <v>42740.737851504629</v>
          </cell>
        </row>
        <row r="3815">
          <cell r="A3815">
            <v>3035433409</v>
          </cell>
          <cell r="B3815" t="str">
            <v>Sample Rejected</v>
          </cell>
          <cell r="C3815">
            <v>42740.737851504629</v>
          </cell>
        </row>
        <row r="3816">
          <cell r="A3816">
            <v>3034868978</v>
          </cell>
          <cell r="B3816" t="str">
            <v>Sample Rejected</v>
          </cell>
          <cell r="C3816">
            <v>42740.737851504629</v>
          </cell>
        </row>
        <row r="3817">
          <cell r="A3817">
            <v>3035433629</v>
          </cell>
          <cell r="B3817" t="str">
            <v>Sample Rejected</v>
          </cell>
          <cell r="C3817">
            <v>42740.737851504629</v>
          </cell>
        </row>
        <row r="3818">
          <cell r="A3818">
            <v>3035451008</v>
          </cell>
          <cell r="B3818" t="str">
            <v>Sample Rejected</v>
          </cell>
          <cell r="C3818">
            <v>42740.737851504629</v>
          </cell>
        </row>
        <row r="3819">
          <cell r="A3819">
            <v>3035443993</v>
          </cell>
          <cell r="B3819" t="str">
            <v>Sample Rejected</v>
          </cell>
          <cell r="C3819">
            <v>42740.737851504629</v>
          </cell>
        </row>
        <row r="3820">
          <cell r="A3820">
            <v>3035443313</v>
          </cell>
          <cell r="B3820" t="str">
            <v>Sample Rejected</v>
          </cell>
          <cell r="C3820">
            <v>42740.737851504629</v>
          </cell>
        </row>
        <row r="3821">
          <cell r="A3821">
            <v>3035446978</v>
          </cell>
          <cell r="B3821" t="str">
            <v>Sample Rejected</v>
          </cell>
          <cell r="C3821">
            <v>42740.737851504629</v>
          </cell>
        </row>
        <row r="3822">
          <cell r="A3822">
            <v>3035433302</v>
          </cell>
          <cell r="B3822" t="str">
            <v>Sample Rejected</v>
          </cell>
          <cell r="C3822">
            <v>42740.737851504629</v>
          </cell>
        </row>
        <row r="3823">
          <cell r="A3823">
            <v>3035439135</v>
          </cell>
          <cell r="B3823" t="str">
            <v>Sample Rejected</v>
          </cell>
          <cell r="C3823">
            <v>42740.737851504629</v>
          </cell>
        </row>
        <row r="3824">
          <cell r="A3824">
            <v>3035440373</v>
          </cell>
          <cell r="B3824" t="str">
            <v>Sample Rejected</v>
          </cell>
          <cell r="C3824">
            <v>42740.737851504629</v>
          </cell>
        </row>
        <row r="3825">
          <cell r="A3825">
            <v>3035437798</v>
          </cell>
          <cell r="B3825" t="str">
            <v>Sample Rejected</v>
          </cell>
          <cell r="C3825">
            <v>42740.737851504629</v>
          </cell>
        </row>
        <row r="3826">
          <cell r="A3826">
            <v>3035434672</v>
          </cell>
          <cell r="B3826" t="str">
            <v>Sample Rejected</v>
          </cell>
          <cell r="C3826">
            <v>42740.737851504629</v>
          </cell>
        </row>
        <row r="3827">
          <cell r="A3827">
            <v>3035440255</v>
          </cell>
          <cell r="B3827" t="str">
            <v>Sample Rejected</v>
          </cell>
          <cell r="C3827">
            <v>42740.737851504629</v>
          </cell>
        </row>
        <row r="3828">
          <cell r="A3828">
            <v>3035453207</v>
          </cell>
          <cell r="B3828" t="str">
            <v>Sample Rejected</v>
          </cell>
          <cell r="C3828">
            <v>42740.737851504629</v>
          </cell>
        </row>
        <row r="3829">
          <cell r="A3829">
            <v>3035436135</v>
          </cell>
          <cell r="B3829" t="str">
            <v>Sample Rejected</v>
          </cell>
          <cell r="C3829">
            <v>42740.737851504629</v>
          </cell>
        </row>
        <row r="3830">
          <cell r="A3830">
            <v>3035435395</v>
          </cell>
          <cell r="B3830" t="str">
            <v>Sample Rejected</v>
          </cell>
          <cell r="C3830">
            <v>42740.737851504629</v>
          </cell>
        </row>
        <row r="3831">
          <cell r="A3831">
            <v>3035447659</v>
          </cell>
          <cell r="B3831" t="str">
            <v>Sample Rejected</v>
          </cell>
          <cell r="C3831">
            <v>42740.737851504629</v>
          </cell>
        </row>
        <row r="3832">
          <cell r="A3832">
            <v>3035442117</v>
          </cell>
          <cell r="B3832" t="str">
            <v>Sample Rejected</v>
          </cell>
          <cell r="C3832">
            <v>42740.737851504629</v>
          </cell>
        </row>
        <row r="3833">
          <cell r="A3833">
            <v>3035444908</v>
          </cell>
          <cell r="B3833" t="str">
            <v>Sample Rejected</v>
          </cell>
          <cell r="C3833">
            <v>42740.737851504629</v>
          </cell>
        </row>
        <row r="3834">
          <cell r="A3834">
            <v>3035435080</v>
          </cell>
          <cell r="B3834" t="str">
            <v>Sample Rejected</v>
          </cell>
          <cell r="C3834">
            <v>42740.737851504629</v>
          </cell>
        </row>
        <row r="3835">
          <cell r="A3835">
            <v>3035440669</v>
          </cell>
          <cell r="B3835" t="str">
            <v>Sample Rejected</v>
          </cell>
          <cell r="C3835">
            <v>42740.737851504629</v>
          </cell>
        </row>
        <row r="3836">
          <cell r="A3836">
            <v>3035442707</v>
          </cell>
          <cell r="B3836" t="str">
            <v>Sample Rejected</v>
          </cell>
          <cell r="C3836">
            <v>42740.737851504629</v>
          </cell>
        </row>
        <row r="3837">
          <cell r="A3837">
            <v>3035440880</v>
          </cell>
          <cell r="B3837" t="str">
            <v>Sample Rejected</v>
          </cell>
          <cell r="C3837">
            <v>42740.737851504629</v>
          </cell>
        </row>
        <row r="3838">
          <cell r="A3838">
            <v>3035430714</v>
          </cell>
          <cell r="B3838" t="str">
            <v>Sample Rejected</v>
          </cell>
          <cell r="C3838">
            <v>42740.737851504629</v>
          </cell>
        </row>
        <row r="3839">
          <cell r="A3839">
            <v>3035430231</v>
          </cell>
          <cell r="B3839" t="str">
            <v>Sample Rejected</v>
          </cell>
          <cell r="C3839">
            <v>42740.737851504629</v>
          </cell>
        </row>
        <row r="3840">
          <cell r="A3840">
            <v>3035438305</v>
          </cell>
          <cell r="B3840" t="str">
            <v>Sample Rejected</v>
          </cell>
          <cell r="C3840">
            <v>42740.737851504629</v>
          </cell>
        </row>
        <row r="3841">
          <cell r="A3841">
            <v>3035444018</v>
          </cell>
          <cell r="B3841" t="str">
            <v>Sample Rejected</v>
          </cell>
          <cell r="C3841">
            <v>42740.737851504629</v>
          </cell>
        </row>
        <row r="3842">
          <cell r="A3842">
            <v>3035429927</v>
          </cell>
          <cell r="B3842" t="str">
            <v>Sample Rejected</v>
          </cell>
          <cell r="C3842">
            <v>42740.737851504629</v>
          </cell>
        </row>
        <row r="3843">
          <cell r="A3843">
            <v>3035447902</v>
          </cell>
          <cell r="B3843" t="str">
            <v>Sample Rejected</v>
          </cell>
          <cell r="C3843">
            <v>42740.737851504629</v>
          </cell>
        </row>
        <row r="3844">
          <cell r="A3844">
            <v>3035435956</v>
          </cell>
          <cell r="B3844" t="str">
            <v>Sample Rejected</v>
          </cell>
          <cell r="C3844">
            <v>42740.737851504629</v>
          </cell>
        </row>
        <row r="3845">
          <cell r="A3845">
            <v>3035443443</v>
          </cell>
          <cell r="B3845" t="str">
            <v>Sample Rejected</v>
          </cell>
          <cell r="C3845">
            <v>42740.737851504629</v>
          </cell>
        </row>
        <row r="3846">
          <cell r="A3846">
            <v>3035404759</v>
          </cell>
          <cell r="B3846" t="str">
            <v>Sample Rejected</v>
          </cell>
          <cell r="C3846">
            <v>42740.737851504629</v>
          </cell>
        </row>
        <row r="3847">
          <cell r="A3847">
            <v>3035439240</v>
          </cell>
          <cell r="B3847" t="str">
            <v>Sample Rejected</v>
          </cell>
          <cell r="C3847">
            <v>42740.737851504629</v>
          </cell>
        </row>
        <row r="3848">
          <cell r="A3848">
            <v>3035414296</v>
          </cell>
          <cell r="B3848" t="str">
            <v>Sample Rejected</v>
          </cell>
          <cell r="C3848">
            <v>42740.737851504629</v>
          </cell>
        </row>
        <row r="3849">
          <cell r="A3849">
            <v>3035431140</v>
          </cell>
          <cell r="B3849" t="str">
            <v>Sample Rejected</v>
          </cell>
          <cell r="C3849">
            <v>42740.737851504629</v>
          </cell>
        </row>
        <row r="3850">
          <cell r="A3850">
            <v>3035430458</v>
          </cell>
          <cell r="B3850" t="str">
            <v>Sample Rejected</v>
          </cell>
          <cell r="C3850">
            <v>42740.737851504629</v>
          </cell>
        </row>
        <row r="3851">
          <cell r="A3851">
            <v>3035451196</v>
          </cell>
          <cell r="B3851" t="str">
            <v>Sample Rejected</v>
          </cell>
          <cell r="C3851">
            <v>42740.737851504629</v>
          </cell>
        </row>
        <row r="3852">
          <cell r="A3852">
            <v>3035433565</v>
          </cell>
          <cell r="B3852" t="str">
            <v>Sample Rejected</v>
          </cell>
          <cell r="C3852">
            <v>42740.737851504629</v>
          </cell>
        </row>
        <row r="3853">
          <cell r="A3853">
            <v>3035430729</v>
          </cell>
          <cell r="B3853" t="str">
            <v>Sample Rejected</v>
          </cell>
          <cell r="C3853">
            <v>42740.737851504629</v>
          </cell>
        </row>
        <row r="3854">
          <cell r="A3854">
            <v>3035430633</v>
          </cell>
          <cell r="B3854" t="str">
            <v>Sample Rejected</v>
          </cell>
          <cell r="C3854">
            <v>42740.737851504629</v>
          </cell>
        </row>
        <row r="3855">
          <cell r="A3855">
            <v>3035436350</v>
          </cell>
          <cell r="B3855" t="str">
            <v>Sample Rejected</v>
          </cell>
          <cell r="C3855">
            <v>42740.737851504629</v>
          </cell>
        </row>
        <row r="3856">
          <cell r="A3856">
            <v>3035445222</v>
          </cell>
          <cell r="B3856" t="str">
            <v>Sample Rejected</v>
          </cell>
          <cell r="C3856">
            <v>42740.737851504629</v>
          </cell>
        </row>
        <row r="3857">
          <cell r="A3857">
            <v>3035435838</v>
          </cell>
          <cell r="B3857" t="str">
            <v>Sample Rejected</v>
          </cell>
          <cell r="C3857">
            <v>42740.737851504629</v>
          </cell>
        </row>
        <row r="3858">
          <cell r="A3858">
            <v>3035442000</v>
          </cell>
          <cell r="B3858" t="str">
            <v>Sample Rejected</v>
          </cell>
          <cell r="C3858">
            <v>42740.737851504629</v>
          </cell>
        </row>
        <row r="3859">
          <cell r="A3859">
            <v>3035435396</v>
          </cell>
          <cell r="B3859" t="str">
            <v>Sample Rejected</v>
          </cell>
          <cell r="C3859">
            <v>42740.737851504629</v>
          </cell>
        </row>
        <row r="3860">
          <cell r="A3860">
            <v>3035439421</v>
          </cell>
          <cell r="B3860" t="str">
            <v>Sample Rejected</v>
          </cell>
          <cell r="C3860">
            <v>42740.737851504629</v>
          </cell>
        </row>
        <row r="3861">
          <cell r="A3861">
            <v>3035437164</v>
          </cell>
          <cell r="B3861" t="str">
            <v>Sample Rejected</v>
          </cell>
          <cell r="C3861">
            <v>42740.737851504629</v>
          </cell>
        </row>
        <row r="3862">
          <cell r="A3862">
            <v>3035407414</v>
          </cell>
          <cell r="B3862" t="str">
            <v>Sample Rejected</v>
          </cell>
          <cell r="C3862">
            <v>42740.737851504629</v>
          </cell>
        </row>
        <row r="3863">
          <cell r="A3863">
            <v>3035442147</v>
          </cell>
          <cell r="B3863" t="str">
            <v>Sample Rejected</v>
          </cell>
          <cell r="C3863">
            <v>42740.737851504629</v>
          </cell>
        </row>
        <row r="3864">
          <cell r="A3864">
            <v>3035449939</v>
          </cell>
          <cell r="B3864" t="str">
            <v>Sample Rejected</v>
          </cell>
          <cell r="C3864">
            <v>42740.737851504629</v>
          </cell>
        </row>
        <row r="3865">
          <cell r="A3865">
            <v>3035451718</v>
          </cell>
          <cell r="B3865" t="str">
            <v>Sample Rejected</v>
          </cell>
          <cell r="C3865">
            <v>42740.737851504629</v>
          </cell>
        </row>
        <row r="3866">
          <cell r="A3866">
            <v>3035440798</v>
          </cell>
          <cell r="B3866" t="str">
            <v>Sample Rejected</v>
          </cell>
          <cell r="C3866">
            <v>42740.737851504629</v>
          </cell>
        </row>
        <row r="3867">
          <cell r="A3867">
            <v>3035433485</v>
          </cell>
          <cell r="B3867" t="str">
            <v>Sample Rejected</v>
          </cell>
          <cell r="C3867">
            <v>42740.737851504629</v>
          </cell>
        </row>
        <row r="3868">
          <cell r="A3868">
            <v>3035433341</v>
          </cell>
          <cell r="B3868" t="str">
            <v>Sample Rejected</v>
          </cell>
          <cell r="C3868">
            <v>42740.737851504629</v>
          </cell>
        </row>
        <row r="3869">
          <cell r="A3869">
            <v>3035448554</v>
          </cell>
          <cell r="B3869" t="str">
            <v>Sample Rejected</v>
          </cell>
          <cell r="C3869">
            <v>42740.737851504629</v>
          </cell>
        </row>
        <row r="3870">
          <cell r="A3870">
            <v>3035436075</v>
          </cell>
          <cell r="B3870" t="str">
            <v>Sample Rejected</v>
          </cell>
          <cell r="C3870">
            <v>42740.737851504629</v>
          </cell>
        </row>
        <row r="3871">
          <cell r="A3871">
            <v>3035434148</v>
          </cell>
          <cell r="B3871" t="str">
            <v>Sample Rejected</v>
          </cell>
          <cell r="C3871">
            <v>42740.737851504629</v>
          </cell>
        </row>
        <row r="3872">
          <cell r="A3872">
            <v>3035434680</v>
          </cell>
          <cell r="B3872" t="str">
            <v>Sample Rejected</v>
          </cell>
          <cell r="C3872">
            <v>42740.737851504629</v>
          </cell>
        </row>
        <row r="3873">
          <cell r="A3873">
            <v>3035448984</v>
          </cell>
          <cell r="B3873" t="str">
            <v>Sample Rejected</v>
          </cell>
          <cell r="C3873">
            <v>42740.737851504629</v>
          </cell>
        </row>
        <row r="3874">
          <cell r="A3874">
            <v>3035430855</v>
          </cell>
          <cell r="B3874" t="str">
            <v>Sample Rejected</v>
          </cell>
          <cell r="C3874">
            <v>42740.737851504629</v>
          </cell>
        </row>
        <row r="3875">
          <cell r="A3875">
            <v>3035432887</v>
          </cell>
          <cell r="B3875" t="str">
            <v>Sample Rejected</v>
          </cell>
          <cell r="C3875">
            <v>42740.737851504629</v>
          </cell>
        </row>
        <row r="3876">
          <cell r="A3876">
            <v>3035399109</v>
          </cell>
          <cell r="B3876" t="str">
            <v>Sample Rejected</v>
          </cell>
          <cell r="C3876">
            <v>42740.737851504629</v>
          </cell>
        </row>
        <row r="3877">
          <cell r="A3877">
            <v>3035435133</v>
          </cell>
          <cell r="B3877" t="str">
            <v>Sample Rejected</v>
          </cell>
          <cell r="C3877">
            <v>42740.737851504629</v>
          </cell>
        </row>
        <row r="3878">
          <cell r="A3878">
            <v>3035436917</v>
          </cell>
          <cell r="B3878" t="str">
            <v>Sample Rejected</v>
          </cell>
          <cell r="C3878">
            <v>42740.737851504629</v>
          </cell>
        </row>
        <row r="3879">
          <cell r="A3879">
            <v>3035452736</v>
          </cell>
          <cell r="B3879" t="str">
            <v>Sample Rejected</v>
          </cell>
          <cell r="C3879">
            <v>42740.737851504629</v>
          </cell>
        </row>
        <row r="3880">
          <cell r="A3880">
            <v>3035433824</v>
          </cell>
          <cell r="B3880" t="str">
            <v>Sample Rejected</v>
          </cell>
          <cell r="C3880">
            <v>42740.737851504629</v>
          </cell>
        </row>
        <row r="3881">
          <cell r="A3881">
            <v>3035291837</v>
          </cell>
          <cell r="B3881" t="str">
            <v>Sample Rejected</v>
          </cell>
          <cell r="C3881">
            <v>42740.737851504629</v>
          </cell>
        </row>
        <row r="3882">
          <cell r="A3882">
            <v>3035446490</v>
          </cell>
          <cell r="B3882" t="str">
            <v>Sample Rejected</v>
          </cell>
          <cell r="C3882">
            <v>42740.737851504629</v>
          </cell>
        </row>
        <row r="3883">
          <cell r="A3883">
            <v>3035431398</v>
          </cell>
          <cell r="B3883" t="str">
            <v>Sample Rejected</v>
          </cell>
          <cell r="C3883">
            <v>42740.737851504629</v>
          </cell>
        </row>
        <row r="3884">
          <cell r="A3884">
            <v>3035400488</v>
          </cell>
          <cell r="B3884" t="str">
            <v>Sample Rejected</v>
          </cell>
          <cell r="C3884">
            <v>42740.737851504629</v>
          </cell>
        </row>
        <row r="3885">
          <cell r="A3885">
            <v>3035435500</v>
          </cell>
          <cell r="B3885" t="str">
            <v>Sample Rejected</v>
          </cell>
          <cell r="C3885">
            <v>42740.737851504629</v>
          </cell>
        </row>
        <row r="3886">
          <cell r="A3886">
            <v>3035441982</v>
          </cell>
          <cell r="B3886" t="str">
            <v>Sample Rejected</v>
          </cell>
          <cell r="C3886">
            <v>42740.737851504629</v>
          </cell>
        </row>
        <row r="3887">
          <cell r="A3887">
            <v>3035436262</v>
          </cell>
          <cell r="B3887" t="str">
            <v>Sample Rejected</v>
          </cell>
          <cell r="C3887">
            <v>42740.737851504629</v>
          </cell>
        </row>
        <row r="3888">
          <cell r="A3888">
            <v>3035449384</v>
          </cell>
          <cell r="B3888" t="str">
            <v>Sample Rejected</v>
          </cell>
          <cell r="C3888">
            <v>42740.737851504629</v>
          </cell>
        </row>
        <row r="3889">
          <cell r="A3889">
            <v>3035436600</v>
          </cell>
          <cell r="B3889" t="str">
            <v>Sample Rejected</v>
          </cell>
          <cell r="C3889">
            <v>42740.737851504629</v>
          </cell>
        </row>
        <row r="3890">
          <cell r="A3890">
            <v>3035431969</v>
          </cell>
          <cell r="B3890" t="str">
            <v>Sample Rejected</v>
          </cell>
          <cell r="C3890">
            <v>42740.737851504629</v>
          </cell>
        </row>
        <row r="3891">
          <cell r="A3891">
            <v>3035438438</v>
          </cell>
          <cell r="B3891" t="str">
            <v>Sample Rejected</v>
          </cell>
          <cell r="C3891">
            <v>42740.737851504629</v>
          </cell>
        </row>
        <row r="3892">
          <cell r="A3892">
            <v>3035434129</v>
          </cell>
          <cell r="B3892" t="str">
            <v>Sample Rejected</v>
          </cell>
          <cell r="C3892">
            <v>42740.737851504629</v>
          </cell>
        </row>
        <row r="3893">
          <cell r="A3893">
            <v>3035434510</v>
          </cell>
          <cell r="B3893" t="str">
            <v>Sample Rejected</v>
          </cell>
          <cell r="C3893">
            <v>42740.737851504629</v>
          </cell>
        </row>
        <row r="3894">
          <cell r="A3894">
            <v>3035431412</v>
          </cell>
          <cell r="B3894" t="str">
            <v>Sample Rejected</v>
          </cell>
          <cell r="C3894">
            <v>42740.737851504629</v>
          </cell>
        </row>
        <row r="3895">
          <cell r="A3895">
            <v>3035332919</v>
          </cell>
          <cell r="B3895" t="str">
            <v>Sample Rejected</v>
          </cell>
          <cell r="C3895">
            <v>42740.737851504629</v>
          </cell>
        </row>
        <row r="3896">
          <cell r="A3896">
            <v>3035365046</v>
          </cell>
          <cell r="B3896" t="str">
            <v>Sample Rejected</v>
          </cell>
          <cell r="C3896">
            <v>42740.737851504629</v>
          </cell>
        </row>
        <row r="3897">
          <cell r="A3897">
            <v>3035445620</v>
          </cell>
          <cell r="B3897" t="str">
            <v>Sample Rejected</v>
          </cell>
          <cell r="C3897">
            <v>42740.737851504629</v>
          </cell>
        </row>
        <row r="3898">
          <cell r="A3898">
            <v>3035441697</v>
          </cell>
          <cell r="B3898" t="str">
            <v>Sample Rejected</v>
          </cell>
          <cell r="C3898">
            <v>42740.737851504629</v>
          </cell>
        </row>
        <row r="3899">
          <cell r="A3899">
            <v>3035432021</v>
          </cell>
          <cell r="B3899" t="str">
            <v>Sample Rejected</v>
          </cell>
          <cell r="C3899">
            <v>42740.737851504629</v>
          </cell>
        </row>
        <row r="3900">
          <cell r="A3900">
            <v>3035450084</v>
          </cell>
          <cell r="B3900" t="str">
            <v>Sample Rejected</v>
          </cell>
          <cell r="C3900">
            <v>42740.737851504629</v>
          </cell>
        </row>
        <row r="3901">
          <cell r="A3901">
            <v>3035431872</v>
          </cell>
          <cell r="B3901" t="str">
            <v>Sample Rejected</v>
          </cell>
          <cell r="C3901">
            <v>42740.737851504629</v>
          </cell>
        </row>
        <row r="3902">
          <cell r="A3902">
            <v>3035441848</v>
          </cell>
          <cell r="B3902" t="str">
            <v>Sample Rejected</v>
          </cell>
          <cell r="C3902">
            <v>42740.737851504629</v>
          </cell>
        </row>
        <row r="3903">
          <cell r="A3903">
            <v>3035445242</v>
          </cell>
          <cell r="B3903" t="str">
            <v>Sample Rejected</v>
          </cell>
          <cell r="C3903">
            <v>42740.737851504629</v>
          </cell>
        </row>
        <row r="3904">
          <cell r="A3904">
            <v>3035433690</v>
          </cell>
          <cell r="B3904" t="str">
            <v>Sample Rejected</v>
          </cell>
          <cell r="C3904">
            <v>42740.737851504629</v>
          </cell>
        </row>
        <row r="3905">
          <cell r="A3905">
            <v>3035114474</v>
          </cell>
          <cell r="B3905" t="str">
            <v>Sample Rejected</v>
          </cell>
          <cell r="C3905">
            <v>42740.737851504629</v>
          </cell>
        </row>
        <row r="3906">
          <cell r="A3906">
            <v>3035445460</v>
          </cell>
          <cell r="B3906" t="str">
            <v>Sample Rejected</v>
          </cell>
          <cell r="C3906">
            <v>42740.737851504629</v>
          </cell>
        </row>
        <row r="3907">
          <cell r="A3907">
            <v>3035433828</v>
          </cell>
          <cell r="B3907" t="str">
            <v>Sample Rejected</v>
          </cell>
          <cell r="C3907">
            <v>42740.737851504629</v>
          </cell>
        </row>
        <row r="3908">
          <cell r="A3908">
            <v>3035432329</v>
          </cell>
          <cell r="B3908" t="str">
            <v>Sample Rejected</v>
          </cell>
          <cell r="C3908">
            <v>42740.737851504629</v>
          </cell>
        </row>
        <row r="3909">
          <cell r="A3909">
            <v>3035432662</v>
          </cell>
          <cell r="B3909" t="str">
            <v>Sample Rejected</v>
          </cell>
          <cell r="C3909">
            <v>42740.737851504629</v>
          </cell>
        </row>
        <row r="3910">
          <cell r="A3910">
            <v>3035416298</v>
          </cell>
          <cell r="B3910" t="str">
            <v>Sample Rejected</v>
          </cell>
          <cell r="C3910">
            <v>42740.737851504629</v>
          </cell>
        </row>
        <row r="3911">
          <cell r="A3911">
            <v>3035451106</v>
          </cell>
          <cell r="B3911" t="str">
            <v>Sample Rejected</v>
          </cell>
          <cell r="C3911">
            <v>42740.737851504629</v>
          </cell>
        </row>
        <row r="3912">
          <cell r="A3912">
            <v>3035356896</v>
          </cell>
          <cell r="B3912" t="str">
            <v>Sample Rejected</v>
          </cell>
          <cell r="C3912">
            <v>42740.737851504629</v>
          </cell>
        </row>
        <row r="3913">
          <cell r="A3913">
            <v>3035443216</v>
          </cell>
          <cell r="B3913" t="str">
            <v>Sample Rejected</v>
          </cell>
          <cell r="C3913">
            <v>42740.737851504629</v>
          </cell>
        </row>
        <row r="3914">
          <cell r="A3914">
            <v>3035432520</v>
          </cell>
          <cell r="B3914" t="str">
            <v>Sample Rejected</v>
          </cell>
          <cell r="C3914">
            <v>42740.737851504629</v>
          </cell>
        </row>
        <row r="3915">
          <cell r="A3915">
            <v>3035442099</v>
          </cell>
          <cell r="B3915" t="str">
            <v>Sample Rejected</v>
          </cell>
          <cell r="C3915">
            <v>42740.737851504629</v>
          </cell>
        </row>
        <row r="3916">
          <cell r="A3916">
            <v>3035431475</v>
          </cell>
          <cell r="B3916" t="str">
            <v>Sample Rejected</v>
          </cell>
          <cell r="C3916">
            <v>42740.737851504629</v>
          </cell>
        </row>
        <row r="3917">
          <cell r="A3917">
            <v>3035341681</v>
          </cell>
          <cell r="B3917" t="str">
            <v>Sample Rejected</v>
          </cell>
          <cell r="C3917">
            <v>42740.737851504629</v>
          </cell>
        </row>
        <row r="3918">
          <cell r="A3918">
            <v>3035433503</v>
          </cell>
          <cell r="B3918" t="str">
            <v>Sample Rejected</v>
          </cell>
          <cell r="C3918">
            <v>42740.737851504629</v>
          </cell>
        </row>
        <row r="3919">
          <cell r="A3919">
            <v>3035404127</v>
          </cell>
          <cell r="B3919" t="str">
            <v>Sample Rejected</v>
          </cell>
          <cell r="C3919">
            <v>42740.737851504629</v>
          </cell>
        </row>
        <row r="3920">
          <cell r="A3920">
            <v>3035433626</v>
          </cell>
          <cell r="B3920" t="str">
            <v>Sample Rejected</v>
          </cell>
          <cell r="C3920">
            <v>42740.737851504629</v>
          </cell>
        </row>
        <row r="3921">
          <cell r="A3921">
            <v>3035431345</v>
          </cell>
          <cell r="B3921" t="str">
            <v>Sample Rejected</v>
          </cell>
          <cell r="C3921">
            <v>42740.737851504629</v>
          </cell>
        </row>
        <row r="3922">
          <cell r="A3922">
            <v>3035446261</v>
          </cell>
          <cell r="B3922" t="str">
            <v>Sample Rejected</v>
          </cell>
          <cell r="C3922">
            <v>42740.737851504629</v>
          </cell>
        </row>
        <row r="3923">
          <cell r="A3923">
            <v>3035433547</v>
          </cell>
          <cell r="B3923" t="str">
            <v>Sample Rejected</v>
          </cell>
          <cell r="C3923">
            <v>42740.737851504629</v>
          </cell>
        </row>
        <row r="3924">
          <cell r="A3924">
            <v>3035439034</v>
          </cell>
          <cell r="B3924" t="str">
            <v>Sample Rejected</v>
          </cell>
          <cell r="C3924">
            <v>42740.737851504629</v>
          </cell>
        </row>
        <row r="3925">
          <cell r="A3925">
            <v>3035327970</v>
          </cell>
          <cell r="B3925" t="str">
            <v>Sample Rejected</v>
          </cell>
          <cell r="C3925">
            <v>42740.737851504629</v>
          </cell>
        </row>
        <row r="3926">
          <cell r="A3926">
            <v>3035434220</v>
          </cell>
          <cell r="B3926" t="str">
            <v>Sample Rejected</v>
          </cell>
          <cell r="C3926">
            <v>42740.737851504629</v>
          </cell>
        </row>
        <row r="3927">
          <cell r="A3927">
            <v>3035450162</v>
          </cell>
          <cell r="B3927" t="str">
            <v>Sample Rejected</v>
          </cell>
          <cell r="C3927">
            <v>42740.737851504629</v>
          </cell>
        </row>
        <row r="3928">
          <cell r="A3928">
            <v>3035435656</v>
          </cell>
          <cell r="B3928" t="str">
            <v>Sample Rejected</v>
          </cell>
          <cell r="C3928">
            <v>42740.737851504629</v>
          </cell>
        </row>
        <row r="3929">
          <cell r="A3929">
            <v>3035446592</v>
          </cell>
          <cell r="B3929" t="str">
            <v>Sample Rejected</v>
          </cell>
          <cell r="C3929">
            <v>42740.737851504629</v>
          </cell>
        </row>
        <row r="3930">
          <cell r="A3930">
            <v>3035401045</v>
          </cell>
          <cell r="B3930" t="str">
            <v>Sample Rejected</v>
          </cell>
          <cell r="C3930">
            <v>42740.737851504629</v>
          </cell>
        </row>
        <row r="3931">
          <cell r="A3931">
            <v>3035431322</v>
          </cell>
          <cell r="B3931" t="str">
            <v>Sample Rejected</v>
          </cell>
          <cell r="C3931">
            <v>42740.737851504629</v>
          </cell>
        </row>
        <row r="3932">
          <cell r="A3932">
            <v>3035449014</v>
          </cell>
          <cell r="B3932" t="str">
            <v>Sample Rejected</v>
          </cell>
          <cell r="C3932">
            <v>42740.737851504629</v>
          </cell>
        </row>
        <row r="3933">
          <cell r="A3933">
            <v>3035442875</v>
          </cell>
          <cell r="B3933" t="str">
            <v>Sample Rejected</v>
          </cell>
          <cell r="C3933">
            <v>42740.737851504629</v>
          </cell>
        </row>
        <row r="3934">
          <cell r="A3934">
            <v>3035437283</v>
          </cell>
          <cell r="B3934" t="str">
            <v>Sample Rejected</v>
          </cell>
          <cell r="C3934">
            <v>42740.737851504629</v>
          </cell>
        </row>
        <row r="3935">
          <cell r="A3935">
            <v>3035413937</v>
          </cell>
          <cell r="B3935" t="str">
            <v>Sample Rejected</v>
          </cell>
          <cell r="C3935">
            <v>42740.737851504629</v>
          </cell>
        </row>
        <row r="3936">
          <cell r="A3936">
            <v>3035444828</v>
          </cell>
          <cell r="B3936" t="str">
            <v>Sample Rejected</v>
          </cell>
          <cell r="C3936">
            <v>42740.737851504629</v>
          </cell>
        </row>
        <row r="3937">
          <cell r="A3937">
            <v>3035441530</v>
          </cell>
          <cell r="B3937" t="str">
            <v>Sample Rejected</v>
          </cell>
          <cell r="C3937">
            <v>42740.737851504629</v>
          </cell>
        </row>
        <row r="3938">
          <cell r="A3938">
            <v>3035452853</v>
          </cell>
          <cell r="B3938" t="str">
            <v>Sample Rejected</v>
          </cell>
          <cell r="C3938">
            <v>42740.737851504629</v>
          </cell>
        </row>
        <row r="3939">
          <cell r="A3939">
            <v>3035432722</v>
          </cell>
          <cell r="B3939" t="str">
            <v>Sample Rejected</v>
          </cell>
          <cell r="C3939">
            <v>42740.737851504629</v>
          </cell>
        </row>
        <row r="3940">
          <cell r="A3940">
            <v>3035452547</v>
          </cell>
          <cell r="B3940" t="str">
            <v>Sample Rejected</v>
          </cell>
          <cell r="C3940">
            <v>42740.737851504629</v>
          </cell>
        </row>
        <row r="3941">
          <cell r="A3941">
            <v>3035330309</v>
          </cell>
          <cell r="B3941" t="str">
            <v>Sample Rejected</v>
          </cell>
          <cell r="C3941">
            <v>42740.737851504629</v>
          </cell>
        </row>
        <row r="3942">
          <cell r="A3942">
            <v>3035431746</v>
          </cell>
          <cell r="B3942" t="str">
            <v>Sample Rejected</v>
          </cell>
          <cell r="C3942">
            <v>42740.737851504629</v>
          </cell>
        </row>
        <row r="3943">
          <cell r="A3943">
            <v>3035433442</v>
          </cell>
          <cell r="B3943" t="str">
            <v>Sample Rejected</v>
          </cell>
          <cell r="C3943">
            <v>42740.737851504629</v>
          </cell>
        </row>
        <row r="3944">
          <cell r="A3944">
            <v>3035453241</v>
          </cell>
          <cell r="B3944" t="str">
            <v>Sample Rejected</v>
          </cell>
          <cell r="C3944">
            <v>42740.737851504629</v>
          </cell>
        </row>
        <row r="3945">
          <cell r="A3945">
            <v>3035449467</v>
          </cell>
          <cell r="B3945" t="str">
            <v>Sample Rejected</v>
          </cell>
          <cell r="C3945">
            <v>42740.737851504629</v>
          </cell>
        </row>
        <row r="3946">
          <cell r="A3946">
            <v>3035445072</v>
          </cell>
          <cell r="B3946" t="str">
            <v>Sample Rejected</v>
          </cell>
          <cell r="C3946">
            <v>42740.737851504629</v>
          </cell>
        </row>
        <row r="3947">
          <cell r="A3947">
            <v>3035438359</v>
          </cell>
          <cell r="B3947" t="str">
            <v>Sample Rejected</v>
          </cell>
          <cell r="C3947">
            <v>42740.737851504629</v>
          </cell>
        </row>
        <row r="3948">
          <cell r="A3948">
            <v>3035453462</v>
          </cell>
          <cell r="B3948" t="str">
            <v>Sample Rejected</v>
          </cell>
          <cell r="C3948">
            <v>42740.737851504629</v>
          </cell>
        </row>
        <row r="3949">
          <cell r="A3949">
            <v>3035299308</v>
          </cell>
          <cell r="B3949" t="str">
            <v>Sample Rejected</v>
          </cell>
          <cell r="C3949">
            <v>42740.737851504629</v>
          </cell>
        </row>
        <row r="3950">
          <cell r="A3950">
            <v>3035433381</v>
          </cell>
          <cell r="B3950" t="str">
            <v>Sample Rejected</v>
          </cell>
          <cell r="C3950">
            <v>42740.737851504629</v>
          </cell>
        </row>
        <row r="3951">
          <cell r="A3951">
            <v>3035416025</v>
          </cell>
          <cell r="B3951" t="str">
            <v>Sample Rejected</v>
          </cell>
          <cell r="C3951">
            <v>42740.737851504629</v>
          </cell>
        </row>
        <row r="3952">
          <cell r="A3952">
            <v>3035430225</v>
          </cell>
          <cell r="B3952" t="str">
            <v>Sample Rejected</v>
          </cell>
          <cell r="C3952">
            <v>42740.737851504629</v>
          </cell>
        </row>
        <row r="3953">
          <cell r="A3953">
            <v>3035406879</v>
          </cell>
          <cell r="B3953" t="str">
            <v>Sample Rejected</v>
          </cell>
          <cell r="C3953">
            <v>42739.737655902776</v>
          </cell>
        </row>
        <row r="3954">
          <cell r="A3954">
            <v>3035451290</v>
          </cell>
          <cell r="B3954" t="str">
            <v>Sample Rejected</v>
          </cell>
          <cell r="C3954">
            <v>42740.737851504629</v>
          </cell>
        </row>
        <row r="3955">
          <cell r="A3955">
            <v>3035431731</v>
          </cell>
          <cell r="B3955" t="str">
            <v>Sample Rejected</v>
          </cell>
          <cell r="C3955">
            <v>42740.737851504629</v>
          </cell>
        </row>
        <row r="3956">
          <cell r="A3956">
            <v>3035434614</v>
          </cell>
          <cell r="B3956" t="str">
            <v>Sample Rejected</v>
          </cell>
          <cell r="C3956">
            <v>42740.737851504629</v>
          </cell>
        </row>
        <row r="3957">
          <cell r="A3957">
            <v>3035454600</v>
          </cell>
          <cell r="B3957" t="str">
            <v>Sample Rejected</v>
          </cell>
          <cell r="C3957">
            <v>42740.737851504629</v>
          </cell>
        </row>
        <row r="3958">
          <cell r="A3958">
            <v>3035448691</v>
          </cell>
          <cell r="B3958" t="str">
            <v>Sample Rejected</v>
          </cell>
          <cell r="C3958">
            <v>42740.737851504629</v>
          </cell>
        </row>
        <row r="3959">
          <cell r="A3959">
            <v>3035263279</v>
          </cell>
          <cell r="B3959" t="str">
            <v>Sample Rejected</v>
          </cell>
          <cell r="C3959">
            <v>42739.737638969906</v>
          </cell>
        </row>
        <row r="3960">
          <cell r="A3960">
            <v>3035414301</v>
          </cell>
          <cell r="B3960" t="str">
            <v>Sample Rejected</v>
          </cell>
          <cell r="C3960">
            <v>42739.737638969906</v>
          </cell>
        </row>
        <row r="3961">
          <cell r="A3961">
            <v>3035360027</v>
          </cell>
          <cell r="B3961" t="str">
            <v>Sample Rejected</v>
          </cell>
          <cell r="C3961">
            <v>42739.737638969906</v>
          </cell>
        </row>
        <row r="3962">
          <cell r="A3962">
            <v>3035400649</v>
          </cell>
          <cell r="B3962" t="str">
            <v>Sample Rejected</v>
          </cell>
          <cell r="C3962">
            <v>42739.737638969906</v>
          </cell>
        </row>
        <row r="3963">
          <cell r="A3963">
            <v>3035405194</v>
          </cell>
          <cell r="B3963" t="str">
            <v>Sample Rejected</v>
          </cell>
          <cell r="C3963">
            <v>42739.737638969906</v>
          </cell>
        </row>
        <row r="3964">
          <cell r="A3964">
            <v>3035413040</v>
          </cell>
          <cell r="B3964" t="str">
            <v>Sample Rejected</v>
          </cell>
          <cell r="C3964">
            <v>42739.737638969906</v>
          </cell>
        </row>
        <row r="3965">
          <cell r="A3965">
            <v>3035323932</v>
          </cell>
          <cell r="B3965" t="str">
            <v>Sample Rejected</v>
          </cell>
          <cell r="C3965">
            <v>42739.737638969906</v>
          </cell>
        </row>
        <row r="3966">
          <cell r="A3966">
            <v>3035409432</v>
          </cell>
          <cell r="B3966" t="str">
            <v>Sample Rejected</v>
          </cell>
          <cell r="C3966">
            <v>42739.737638969906</v>
          </cell>
        </row>
        <row r="3967">
          <cell r="A3967">
            <v>3035409997</v>
          </cell>
          <cell r="B3967" t="str">
            <v>Sample Rejected</v>
          </cell>
          <cell r="C3967">
            <v>42739.737638969906</v>
          </cell>
        </row>
        <row r="3968">
          <cell r="A3968">
            <v>3035397839</v>
          </cell>
          <cell r="B3968" t="str">
            <v>Sample Rejected</v>
          </cell>
          <cell r="C3968">
            <v>42739.737638969906</v>
          </cell>
        </row>
        <row r="3969">
          <cell r="A3969">
            <v>3035403738</v>
          </cell>
          <cell r="B3969" t="str">
            <v>Sample Rejected</v>
          </cell>
          <cell r="C3969">
            <v>42739.737638969906</v>
          </cell>
        </row>
        <row r="3970">
          <cell r="A3970">
            <v>3035164341</v>
          </cell>
          <cell r="B3970" t="str">
            <v>Sample Rejected</v>
          </cell>
          <cell r="C3970">
            <v>42739.737638969906</v>
          </cell>
        </row>
        <row r="3971">
          <cell r="A3971">
            <v>3035406061</v>
          </cell>
          <cell r="B3971" t="str">
            <v>Sample Rejected</v>
          </cell>
          <cell r="C3971">
            <v>42739.737638969906</v>
          </cell>
        </row>
        <row r="3972">
          <cell r="A3972">
            <v>3035405836</v>
          </cell>
          <cell r="B3972" t="str">
            <v>Sample Rejected</v>
          </cell>
          <cell r="C3972">
            <v>42739.737638969906</v>
          </cell>
        </row>
        <row r="3973">
          <cell r="A3973">
            <v>3035400152</v>
          </cell>
          <cell r="B3973" t="str">
            <v>Sample Rejected</v>
          </cell>
          <cell r="C3973">
            <v>42739.737638969906</v>
          </cell>
        </row>
        <row r="3974">
          <cell r="A3974">
            <v>3035409591</v>
          </cell>
          <cell r="B3974" t="str">
            <v>Sample Rejected</v>
          </cell>
          <cell r="C3974">
            <v>42739.737638969906</v>
          </cell>
        </row>
        <row r="3975">
          <cell r="A3975">
            <v>3035398260</v>
          </cell>
          <cell r="B3975" t="str">
            <v>Sample Rejected</v>
          </cell>
          <cell r="C3975">
            <v>42739.737638969906</v>
          </cell>
        </row>
        <row r="3976">
          <cell r="A3976">
            <v>3035403296</v>
          </cell>
          <cell r="B3976" t="str">
            <v>Sample Rejected</v>
          </cell>
          <cell r="C3976">
            <v>42739.737638969906</v>
          </cell>
        </row>
        <row r="3977">
          <cell r="A3977">
            <v>3035400396</v>
          </cell>
          <cell r="B3977" t="str">
            <v>Sample Rejected</v>
          </cell>
          <cell r="C3977">
            <v>42739.737638969906</v>
          </cell>
        </row>
        <row r="3978">
          <cell r="A3978">
            <v>3035400429</v>
          </cell>
          <cell r="B3978" t="str">
            <v>Sample Rejected</v>
          </cell>
          <cell r="C3978">
            <v>42739.737638969906</v>
          </cell>
        </row>
        <row r="3979">
          <cell r="A3979">
            <v>3035399112</v>
          </cell>
          <cell r="B3979" t="str">
            <v>Sample Rejected</v>
          </cell>
          <cell r="C3979">
            <v>42739.737638969906</v>
          </cell>
        </row>
        <row r="3980">
          <cell r="A3980">
            <v>3035401769</v>
          </cell>
          <cell r="B3980" t="str">
            <v>Sample Rejected</v>
          </cell>
          <cell r="C3980">
            <v>42739.737638969906</v>
          </cell>
        </row>
        <row r="3981">
          <cell r="A3981">
            <v>3035408281</v>
          </cell>
          <cell r="B3981" t="str">
            <v>Sample Rejected</v>
          </cell>
          <cell r="C3981">
            <v>42739.737638969906</v>
          </cell>
        </row>
        <row r="3982">
          <cell r="A3982">
            <v>3035406253</v>
          </cell>
          <cell r="B3982" t="str">
            <v>Sample Rejected</v>
          </cell>
          <cell r="C3982">
            <v>42739.737638969906</v>
          </cell>
        </row>
        <row r="3983">
          <cell r="A3983">
            <v>3035409523</v>
          </cell>
          <cell r="B3983" t="str">
            <v>Sample Rejected</v>
          </cell>
          <cell r="C3983">
            <v>42739.737638969906</v>
          </cell>
        </row>
        <row r="3984">
          <cell r="A3984">
            <v>3035412934</v>
          </cell>
          <cell r="B3984" t="str">
            <v>Sample Rejected</v>
          </cell>
          <cell r="C3984">
            <v>42739.737638969906</v>
          </cell>
        </row>
        <row r="3985">
          <cell r="A3985">
            <v>3035400523</v>
          </cell>
          <cell r="B3985" t="str">
            <v>Sample Rejected</v>
          </cell>
          <cell r="C3985">
            <v>42739.737638969906</v>
          </cell>
        </row>
        <row r="3986">
          <cell r="A3986">
            <v>3035410066</v>
          </cell>
          <cell r="B3986" t="str">
            <v>Sample Rejected</v>
          </cell>
          <cell r="C3986">
            <v>42739.737638969906</v>
          </cell>
        </row>
        <row r="3987">
          <cell r="A3987">
            <v>3035412212</v>
          </cell>
          <cell r="B3987" t="str">
            <v>Sample Rejected</v>
          </cell>
          <cell r="C3987">
            <v>42739.737638969906</v>
          </cell>
        </row>
        <row r="3988">
          <cell r="A3988">
            <v>3035398301</v>
          </cell>
          <cell r="B3988" t="str">
            <v>Sample Rejected</v>
          </cell>
          <cell r="C3988">
            <v>42739.737638969906</v>
          </cell>
        </row>
        <row r="3989">
          <cell r="A3989">
            <v>3035414986</v>
          </cell>
          <cell r="B3989" t="str">
            <v>Sample Rejected</v>
          </cell>
          <cell r="C3989">
            <v>42739.737638969906</v>
          </cell>
        </row>
        <row r="3990">
          <cell r="A3990">
            <v>3035406573</v>
          </cell>
          <cell r="B3990" t="str">
            <v>Sample Rejected</v>
          </cell>
          <cell r="C3990">
            <v>42739.737638969906</v>
          </cell>
        </row>
        <row r="3991">
          <cell r="A3991">
            <v>3035401333</v>
          </cell>
          <cell r="B3991" t="str">
            <v>Sample Rejected</v>
          </cell>
          <cell r="C3991">
            <v>42739.737638969906</v>
          </cell>
        </row>
        <row r="3992">
          <cell r="A3992">
            <v>3035400658</v>
          </cell>
          <cell r="B3992" t="str">
            <v>Sample Rejected</v>
          </cell>
          <cell r="C3992">
            <v>42739.737638969906</v>
          </cell>
        </row>
        <row r="3993">
          <cell r="A3993">
            <v>3035410469</v>
          </cell>
          <cell r="B3993" t="str">
            <v>Sample Rejected</v>
          </cell>
          <cell r="C3993">
            <v>42739.737638969906</v>
          </cell>
        </row>
        <row r="3994">
          <cell r="A3994">
            <v>3035410928</v>
          </cell>
          <cell r="B3994" t="str">
            <v>Sample Rejected</v>
          </cell>
          <cell r="C3994">
            <v>42739.737638969906</v>
          </cell>
        </row>
        <row r="3995">
          <cell r="A3995">
            <v>3035400275</v>
          </cell>
          <cell r="B3995" t="str">
            <v>Sample Rejected</v>
          </cell>
          <cell r="C3995">
            <v>42739.737638969906</v>
          </cell>
        </row>
        <row r="3996">
          <cell r="A3996">
            <v>3035398661</v>
          </cell>
          <cell r="B3996" t="str">
            <v>Sample Rejected</v>
          </cell>
          <cell r="C3996">
            <v>42739.737638969906</v>
          </cell>
        </row>
        <row r="3997">
          <cell r="A3997">
            <v>3035361141</v>
          </cell>
          <cell r="B3997" t="str">
            <v>Sample Rejected</v>
          </cell>
          <cell r="C3997">
            <v>42739.737638969906</v>
          </cell>
        </row>
        <row r="3998">
          <cell r="A3998">
            <v>3035399453</v>
          </cell>
          <cell r="B3998" t="str">
            <v>Sample Rejected</v>
          </cell>
          <cell r="C3998">
            <v>42739.737638969906</v>
          </cell>
        </row>
        <row r="3999">
          <cell r="A3999">
            <v>3035398800</v>
          </cell>
          <cell r="B3999" t="str">
            <v>Sample Rejected</v>
          </cell>
          <cell r="C3999">
            <v>42739.737638969906</v>
          </cell>
        </row>
        <row r="4000">
          <cell r="A4000">
            <v>3035400168</v>
          </cell>
          <cell r="B4000" t="str">
            <v>Sample Rejected</v>
          </cell>
          <cell r="C4000">
            <v>42739.737638969906</v>
          </cell>
        </row>
        <row r="4001">
          <cell r="A4001">
            <v>3035302963</v>
          </cell>
          <cell r="B4001" t="str">
            <v>Sample Rejected</v>
          </cell>
          <cell r="C4001">
            <v>42739.737638969906</v>
          </cell>
        </row>
        <row r="4002">
          <cell r="A4002">
            <v>3035403440</v>
          </cell>
          <cell r="B4002" t="str">
            <v>Sample Rejected</v>
          </cell>
          <cell r="C4002">
            <v>42739.737638969906</v>
          </cell>
        </row>
        <row r="4003">
          <cell r="A4003">
            <v>3035399663</v>
          </cell>
          <cell r="B4003" t="str">
            <v>Sample Rejected</v>
          </cell>
          <cell r="C4003">
            <v>42739.737638969906</v>
          </cell>
        </row>
        <row r="4004">
          <cell r="A4004">
            <v>3035402636</v>
          </cell>
          <cell r="B4004" t="str">
            <v>Sample Rejected</v>
          </cell>
          <cell r="C4004">
            <v>42739.737638969906</v>
          </cell>
        </row>
        <row r="4005">
          <cell r="A4005">
            <v>3035413318</v>
          </cell>
          <cell r="B4005" t="str">
            <v>Sample Rejected</v>
          </cell>
          <cell r="C4005">
            <v>42739.737638969906</v>
          </cell>
        </row>
        <row r="4006">
          <cell r="A4006">
            <v>3035327786</v>
          </cell>
          <cell r="B4006" t="str">
            <v>Sample Rejected</v>
          </cell>
          <cell r="C4006">
            <v>42739.737638969906</v>
          </cell>
        </row>
        <row r="4007">
          <cell r="A4007">
            <v>3035404704</v>
          </cell>
          <cell r="B4007" t="str">
            <v>Sample Rejected</v>
          </cell>
          <cell r="C4007">
            <v>42739.737638969906</v>
          </cell>
        </row>
        <row r="4008">
          <cell r="A4008">
            <v>3035403795</v>
          </cell>
          <cell r="B4008" t="str">
            <v>Sample Rejected</v>
          </cell>
          <cell r="C4008">
            <v>42739.737638969906</v>
          </cell>
        </row>
        <row r="4009">
          <cell r="A4009">
            <v>3035412313</v>
          </cell>
          <cell r="B4009" t="str">
            <v>Sample Rejected</v>
          </cell>
          <cell r="C4009">
            <v>42739.737638969906</v>
          </cell>
        </row>
        <row r="4010">
          <cell r="A4010">
            <v>3035412162</v>
          </cell>
          <cell r="B4010" t="str">
            <v>Sample Rejected</v>
          </cell>
          <cell r="C4010">
            <v>42739.737638969906</v>
          </cell>
        </row>
        <row r="4011">
          <cell r="A4011">
            <v>3035401619</v>
          </cell>
          <cell r="B4011" t="str">
            <v>Sample Rejected</v>
          </cell>
          <cell r="C4011">
            <v>42739.737638969906</v>
          </cell>
        </row>
        <row r="4012">
          <cell r="A4012">
            <v>3035413717</v>
          </cell>
          <cell r="B4012" t="str">
            <v>Sample Rejected</v>
          </cell>
          <cell r="C4012">
            <v>42739.737638969906</v>
          </cell>
        </row>
        <row r="4013">
          <cell r="A4013">
            <v>3035404059</v>
          </cell>
          <cell r="B4013" t="str">
            <v>Sample Rejected</v>
          </cell>
          <cell r="C4013">
            <v>42739.737638969906</v>
          </cell>
        </row>
        <row r="4014">
          <cell r="A4014">
            <v>3035410416</v>
          </cell>
          <cell r="B4014" t="str">
            <v>Sample Rejected</v>
          </cell>
          <cell r="C4014">
            <v>42739.737638969906</v>
          </cell>
        </row>
        <row r="4015">
          <cell r="A4015">
            <v>3035405026</v>
          </cell>
          <cell r="B4015" t="str">
            <v>Sample Rejected</v>
          </cell>
          <cell r="C4015">
            <v>42739.737638969906</v>
          </cell>
        </row>
        <row r="4016">
          <cell r="A4016">
            <v>3035411595</v>
          </cell>
          <cell r="B4016" t="str">
            <v>Sample Rejected</v>
          </cell>
          <cell r="C4016">
            <v>42739.737638969906</v>
          </cell>
        </row>
        <row r="4017">
          <cell r="A4017">
            <v>3035414417</v>
          </cell>
          <cell r="B4017" t="str">
            <v>Sample Rejected</v>
          </cell>
          <cell r="C4017">
            <v>42739.737638969906</v>
          </cell>
        </row>
        <row r="4018">
          <cell r="A4018">
            <v>3035300922</v>
          </cell>
          <cell r="B4018" t="str">
            <v>Sample Rejected</v>
          </cell>
          <cell r="C4018">
            <v>42739.737638969906</v>
          </cell>
        </row>
        <row r="4019">
          <cell r="A4019">
            <v>3035412369</v>
          </cell>
          <cell r="B4019" t="str">
            <v>Sample Rejected</v>
          </cell>
          <cell r="C4019">
            <v>42739.737638969906</v>
          </cell>
        </row>
        <row r="4020">
          <cell r="A4020">
            <v>3035403080</v>
          </cell>
          <cell r="B4020" t="str">
            <v>Sample Rejected</v>
          </cell>
          <cell r="C4020">
            <v>42739.737638969906</v>
          </cell>
        </row>
        <row r="4021">
          <cell r="A4021">
            <v>3035364253</v>
          </cell>
          <cell r="B4021" t="str">
            <v>Sample Rejected</v>
          </cell>
          <cell r="C4021">
            <v>42739.737638969906</v>
          </cell>
        </row>
        <row r="4022">
          <cell r="A4022">
            <v>3035402220</v>
          </cell>
          <cell r="B4022" t="str">
            <v>Sample Rejected</v>
          </cell>
          <cell r="C4022">
            <v>42739.737638969906</v>
          </cell>
        </row>
        <row r="4023">
          <cell r="A4023">
            <v>3035297481</v>
          </cell>
          <cell r="B4023" t="str">
            <v>Sample Rejected</v>
          </cell>
          <cell r="C4023">
            <v>42739.737638969906</v>
          </cell>
        </row>
        <row r="4024">
          <cell r="A4024">
            <v>3035411190</v>
          </cell>
          <cell r="B4024" t="str">
            <v>Sample Rejected</v>
          </cell>
          <cell r="C4024">
            <v>42739.737638969906</v>
          </cell>
        </row>
        <row r="4025">
          <cell r="A4025">
            <v>3035405410</v>
          </cell>
          <cell r="B4025" t="str">
            <v>Sample Rejected</v>
          </cell>
          <cell r="C4025">
            <v>42739.737638969906</v>
          </cell>
        </row>
        <row r="4026">
          <cell r="A4026">
            <v>3035408233</v>
          </cell>
          <cell r="B4026" t="str">
            <v>Sample Rejected</v>
          </cell>
          <cell r="C4026">
            <v>42739.737638969906</v>
          </cell>
        </row>
        <row r="4027">
          <cell r="A4027">
            <v>3035398455</v>
          </cell>
          <cell r="B4027" t="str">
            <v>Sample Rejected</v>
          </cell>
          <cell r="C4027">
            <v>42739.737638969906</v>
          </cell>
        </row>
        <row r="4028">
          <cell r="A4028">
            <v>3035398609</v>
          </cell>
          <cell r="B4028" t="str">
            <v>Sample Rejected</v>
          </cell>
          <cell r="C4028">
            <v>42739.737638969906</v>
          </cell>
        </row>
        <row r="4029">
          <cell r="A4029">
            <v>3035413753</v>
          </cell>
          <cell r="B4029" t="str">
            <v>Sample Rejected</v>
          </cell>
          <cell r="C4029">
            <v>42739.737638969906</v>
          </cell>
        </row>
        <row r="4030">
          <cell r="A4030">
            <v>3035400627</v>
          </cell>
          <cell r="B4030" t="str">
            <v>Sample Rejected</v>
          </cell>
          <cell r="C4030">
            <v>42739.737638969906</v>
          </cell>
        </row>
        <row r="4031">
          <cell r="A4031">
            <v>3035372326</v>
          </cell>
          <cell r="B4031" t="str">
            <v>Sample Rejected</v>
          </cell>
          <cell r="C4031">
            <v>42739.737638969906</v>
          </cell>
        </row>
        <row r="4032">
          <cell r="A4032">
            <v>3035402347</v>
          </cell>
          <cell r="B4032" t="str">
            <v>Sample Rejected</v>
          </cell>
          <cell r="C4032">
            <v>42739.737638969906</v>
          </cell>
        </row>
        <row r="4033">
          <cell r="A4033">
            <v>3035400037</v>
          </cell>
          <cell r="B4033" t="str">
            <v>Sample Rejected</v>
          </cell>
          <cell r="C4033">
            <v>42739.737638969906</v>
          </cell>
        </row>
        <row r="4034">
          <cell r="A4034">
            <v>3035329333</v>
          </cell>
          <cell r="B4034" t="str">
            <v>Sample Rejected</v>
          </cell>
          <cell r="C4034">
            <v>42739.737638969906</v>
          </cell>
        </row>
        <row r="4035">
          <cell r="A4035">
            <v>3035398426</v>
          </cell>
          <cell r="B4035" t="str">
            <v>Sample Rejected</v>
          </cell>
          <cell r="C4035">
            <v>42739.737638969906</v>
          </cell>
        </row>
        <row r="4036">
          <cell r="A4036">
            <v>3035401600</v>
          </cell>
          <cell r="B4036" t="str">
            <v>Sample Rejected</v>
          </cell>
          <cell r="C4036">
            <v>42739.737638969906</v>
          </cell>
        </row>
        <row r="4037">
          <cell r="A4037">
            <v>3035332637</v>
          </cell>
          <cell r="B4037" t="str">
            <v>Sample Rejected</v>
          </cell>
          <cell r="C4037">
            <v>42739.737638969906</v>
          </cell>
        </row>
        <row r="4038">
          <cell r="A4038">
            <v>3035402697</v>
          </cell>
          <cell r="B4038" t="str">
            <v>Sample Rejected</v>
          </cell>
          <cell r="C4038">
            <v>42739.737638969906</v>
          </cell>
        </row>
        <row r="4039">
          <cell r="A4039">
            <v>3035408379</v>
          </cell>
          <cell r="B4039" t="str">
            <v>Sample Rejected</v>
          </cell>
          <cell r="C4039">
            <v>42739.737638969906</v>
          </cell>
        </row>
        <row r="4040">
          <cell r="A4040">
            <v>3035411559</v>
          </cell>
          <cell r="B4040" t="str">
            <v>Sample Rejected</v>
          </cell>
          <cell r="C4040">
            <v>42739.737638969906</v>
          </cell>
        </row>
        <row r="4041">
          <cell r="A4041">
            <v>3035405734</v>
          </cell>
          <cell r="B4041" t="str">
            <v>Sample Rejected</v>
          </cell>
          <cell r="C4041">
            <v>42739.737638969906</v>
          </cell>
        </row>
        <row r="4042">
          <cell r="A4042">
            <v>3035399682</v>
          </cell>
          <cell r="B4042" t="str">
            <v>Sample Rejected</v>
          </cell>
          <cell r="C4042">
            <v>42739.737638969906</v>
          </cell>
        </row>
        <row r="4043">
          <cell r="A4043">
            <v>3035338748</v>
          </cell>
          <cell r="B4043" t="str">
            <v>Sample Rejected</v>
          </cell>
          <cell r="C4043">
            <v>42737.733986539351</v>
          </cell>
        </row>
        <row r="4044">
          <cell r="A4044">
            <v>3035359664</v>
          </cell>
          <cell r="B4044" t="str">
            <v>Sample Rejected</v>
          </cell>
          <cell r="C4044">
            <v>42736.734471099538</v>
          </cell>
        </row>
        <row r="4045">
          <cell r="A4045">
            <v>3035368252</v>
          </cell>
          <cell r="B4045" t="str">
            <v>Sample Rejected</v>
          </cell>
          <cell r="C4045">
            <v>42736.734471099538</v>
          </cell>
        </row>
        <row r="4046">
          <cell r="A4046">
            <v>3035379745</v>
          </cell>
          <cell r="B4046" t="str">
            <v>Sample Rejected</v>
          </cell>
          <cell r="C4046">
            <v>42737.733986539351</v>
          </cell>
        </row>
        <row r="4047">
          <cell r="A4047">
            <v>3035407523</v>
          </cell>
          <cell r="B4047" t="str">
            <v>Sample Rejected</v>
          </cell>
          <cell r="C4047">
            <v>42739.737638969906</v>
          </cell>
        </row>
        <row r="4048">
          <cell r="A4048">
            <v>3035400624</v>
          </cell>
          <cell r="B4048" t="str">
            <v>Sample Rejected</v>
          </cell>
          <cell r="C4048">
            <v>42739.737638969906</v>
          </cell>
        </row>
        <row r="4049">
          <cell r="A4049">
            <v>3035233573</v>
          </cell>
          <cell r="B4049" t="str">
            <v>Sample Rejected</v>
          </cell>
          <cell r="C4049">
            <v>42739.737638969906</v>
          </cell>
        </row>
        <row r="4050">
          <cell r="A4050">
            <v>3035398827</v>
          </cell>
          <cell r="B4050" t="str">
            <v>Sample Rejected</v>
          </cell>
          <cell r="C4050">
            <v>42739.737638969906</v>
          </cell>
        </row>
        <row r="4051">
          <cell r="A4051">
            <v>3035414206</v>
          </cell>
          <cell r="B4051" t="str">
            <v>Sample Rejected</v>
          </cell>
          <cell r="C4051">
            <v>42739.737638969906</v>
          </cell>
        </row>
        <row r="4052">
          <cell r="A4052">
            <v>3035414682</v>
          </cell>
          <cell r="B4052" t="str">
            <v>Sample Rejected</v>
          </cell>
          <cell r="C4052">
            <v>42739.737638969906</v>
          </cell>
        </row>
        <row r="4053">
          <cell r="A4053">
            <v>3035397832</v>
          </cell>
          <cell r="B4053" t="str">
            <v>Sample Rejected</v>
          </cell>
          <cell r="C4053">
            <v>42739.737638969906</v>
          </cell>
        </row>
        <row r="4054">
          <cell r="A4054">
            <v>3035407771</v>
          </cell>
          <cell r="B4054" t="str">
            <v>Sample Rejected</v>
          </cell>
          <cell r="C4054">
            <v>42739.737638969906</v>
          </cell>
        </row>
        <row r="4055">
          <cell r="A4055">
            <v>3035411774</v>
          </cell>
          <cell r="B4055" t="str">
            <v>Sample Rejected</v>
          </cell>
          <cell r="C4055">
            <v>42739.737638969906</v>
          </cell>
        </row>
        <row r="4056">
          <cell r="A4056">
            <v>3035405344</v>
          </cell>
          <cell r="B4056" t="str">
            <v>Sample Rejected</v>
          </cell>
          <cell r="C4056">
            <v>42739.737638969906</v>
          </cell>
        </row>
        <row r="4057">
          <cell r="A4057">
            <v>3035405737</v>
          </cell>
          <cell r="B4057" t="str">
            <v>Sample Rejected</v>
          </cell>
          <cell r="C4057">
            <v>42739.737638969906</v>
          </cell>
        </row>
        <row r="4058">
          <cell r="A4058">
            <v>3035408133</v>
          </cell>
          <cell r="B4058" t="str">
            <v>Sample Rejected</v>
          </cell>
          <cell r="C4058">
            <v>42739.737638969906</v>
          </cell>
        </row>
        <row r="4059">
          <cell r="A4059">
            <v>3035406116</v>
          </cell>
          <cell r="B4059" t="str">
            <v>Sample Rejected</v>
          </cell>
          <cell r="C4059">
            <v>42739.737638969906</v>
          </cell>
        </row>
        <row r="4060">
          <cell r="A4060">
            <v>3035370844</v>
          </cell>
          <cell r="B4060" t="str">
            <v>Sample Rejected</v>
          </cell>
          <cell r="C4060">
            <v>42736.734471099538</v>
          </cell>
        </row>
        <row r="4061">
          <cell r="A4061">
            <v>3035366026</v>
          </cell>
          <cell r="B4061" t="str">
            <v>Sample Rejected</v>
          </cell>
          <cell r="C4061">
            <v>42736.734471099538</v>
          </cell>
        </row>
        <row r="4062">
          <cell r="A4062">
            <v>3035361865</v>
          </cell>
          <cell r="B4062" t="str">
            <v>Sample Rejected</v>
          </cell>
          <cell r="C4062">
            <v>42736.734471099538</v>
          </cell>
        </row>
        <row r="4063">
          <cell r="A4063">
            <v>3035366051</v>
          </cell>
          <cell r="B4063" t="str">
            <v>Sample Rejected</v>
          </cell>
          <cell r="C4063">
            <v>42736.734471099538</v>
          </cell>
        </row>
        <row r="4064">
          <cell r="A4064">
            <v>3035362744</v>
          </cell>
          <cell r="B4064" t="str">
            <v>Sample Rejected</v>
          </cell>
          <cell r="C4064">
            <v>42736.734471099538</v>
          </cell>
        </row>
        <row r="4065">
          <cell r="A4065">
            <v>3035356970</v>
          </cell>
          <cell r="B4065" t="str">
            <v>Sample Rejected</v>
          </cell>
          <cell r="C4065">
            <v>42736.734471099538</v>
          </cell>
        </row>
        <row r="4066">
          <cell r="A4066">
            <v>3035330315</v>
          </cell>
          <cell r="B4066" t="str">
            <v>Sample Rejected</v>
          </cell>
          <cell r="C4066">
            <v>42736.734471099538</v>
          </cell>
        </row>
        <row r="4067">
          <cell r="A4067">
            <v>3035365368</v>
          </cell>
          <cell r="B4067" t="str">
            <v>Sample Rejected</v>
          </cell>
          <cell r="C4067">
            <v>42736.734471099538</v>
          </cell>
        </row>
        <row r="4068">
          <cell r="A4068">
            <v>3035362195</v>
          </cell>
          <cell r="B4068" t="str">
            <v>Sample Rejected</v>
          </cell>
          <cell r="C4068">
            <v>42736.734471099538</v>
          </cell>
        </row>
        <row r="4069">
          <cell r="A4069">
            <v>3035354722</v>
          </cell>
          <cell r="B4069" t="str">
            <v>Sample Rejected</v>
          </cell>
          <cell r="C4069">
            <v>42736.734471099538</v>
          </cell>
        </row>
        <row r="4070">
          <cell r="A4070">
            <v>3035240225</v>
          </cell>
          <cell r="B4070" t="str">
            <v>Sample Rejected</v>
          </cell>
          <cell r="C4070">
            <v>42736.734471099538</v>
          </cell>
        </row>
        <row r="4071">
          <cell r="A4071">
            <v>3035340150</v>
          </cell>
          <cell r="B4071" t="str">
            <v>Sample Rejected</v>
          </cell>
          <cell r="C4071">
            <v>42736.734471099538</v>
          </cell>
        </row>
        <row r="4072">
          <cell r="A4072">
            <v>3035355216</v>
          </cell>
          <cell r="B4072" t="str">
            <v>Sample Rejected</v>
          </cell>
          <cell r="C4072">
            <v>42736.734471099538</v>
          </cell>
        </row>
        <row r="4073">
          <cell r="A4073">
            <v>3035076549</v>
          </cell>
          <cell r="B4073" t="str">
            <v>Sample Rejected</v>
          </cell>
          <cell r="C4073">
            <v>42736.734471099538</v>
          </cell>
        </row>
        <row r="4074">
          <cell r="A4074">
            <v>3035355711</v>
          </cell>
          <cell r="B4074" t="str">
            <v>Sample Rejected</v>
          </cell>
          <cell r="C4074">
            <v>42736.734471099538</v>
          </cell>
        </row>
        <row r="4075">
          <cell r="A4075">
            <v>3035356279</v>
          </cell>
          <cell r="B4075" t="str">
            <v>Sample Rejected</v>
          </cell>
          <cell r="C4075">
            <v>42736.734471099538</v>
          </cell>
        </row>
        <row r="4076">
          <cell r="A4076">
            <v>3035365676</v>
          </cell>
          <cell r="B4076" t="str">
            <v>Sample Rejected</v>
          </cell>
          <cell r="C4076">
            <v>42736.734471099538</v>
          </cell>
        </row>
        <row r="4077">
          <cell r="A4077">
            <v>3035354748</v>
          </cell>
          <cell r="B4077" t="str">
            <v>Sample Rejected</v>
          </cell>
          <cell r="C4077">
            <v>42736.734471099538</v>
          </cell>
        </row>
        <row r="4078">
          <cell r="A4078">
            <v>3035358574</v>
          </cell>
          <cell r="B4078" t="str">
            <v>Sample Rejected</v>
          </cell>
          <cell r="C4078">
            <v>42736.734471099538</v>
          </cell>
        </row>
        <row r="4079">
          <cell r="A4079">
            <v>3035326363</v>
          </cell>
          <cell r="B4079" t="str">
            <v>Sample Rejected</v>
          </cell>
          <cell r="C4079">
            <v>42736.734471099538</v>
          </cell>
        </row>
        <row r="4080">
          <cell r="A4080">
            <v>3035356486</v>
          </cell>
          <cell r="B4080" t="str">
            <v>Sample Rejected</v>
          </cell>
          <cell r="C4080">
            <v>42736.734471099538</v>
          </cell>
        </row>
        <row r="4081">
          <cell r="A4081">
            <v>3035328606</v>
          </cell>
          <cell r="B4081" t="str">
            <v>Sample Rejected</v>
          </cell>
          <cell r="C4081">
            <v>42736.734471099538</v>
          </cell>
        </row>
        <row r="4082">
          <cell r="A4082">
            <v>3035333901</v>
          </cell>
          <cell r="B4082" t="str">
            <v>Sample Rejected</v>
          </cell>
          <cell r="C4082">
            <v>42736.734471099538</v>
          </cell>
        </row>
        <row r="4083">
          <cell r="A4083">
            <v>3035364014</v>
          </cell>
          <cell r="B4083" t="str">
            <v>Sample Rejected</v>
          </cell>
          <cell r="C4083">
            <v>42736.734471099538</v>
          </cell>
        </row>
        <row r="4084">
          <cell r="A4084">
            <v>3035307264</v>
          </cell>
          <cell r="B4084" t="str">
            <v>Sample Rejected</v>
          </cell>
          <cell r="C4084">
            <v>42736.734471099538</v>
          </cell>
        </row>
        <row r="4085">
          <cell r="A4085">
            <v>3035356860</v>
          </cell>
          <cell r="B4085" t="str">
            <v>Sample Rejected</v>
          </cell>
          <cell r="C4085">
            <v>42736.734471099538</v>
          </cell>
        </row>
        <row r="4086">
          <cell r="A4086">
            <v>3035356183</v>
          </cell>
          <cell r="B4086" t="str">
            <v>Sample Rejected</v>
          </cell>
          <cell r="C4086">
            <v>42736.734471099538</v>
          </cell>
        </row>
        <row r="4087">
          <cell r="A4087">
            <v>3035356522</v>
          </cell>
          <cell r="B4087" t="str">
            <v>Sample Rejected</v>
          </cell>
          <cell r="C4087">
            <v>42736.734471099538</v>
          </cell>
        </row>
        <row r="4088">
          <cell r="A4088">
            <v>3035358876</v>
          </cell>
          <cell r="B4088" t="str">
            <v>Sample Rejected</v>
          </cell>
          <cell r="C4088">
            <v>42736.734471099538</v>
          </cell>
        </row>
        <row r="4089">
          <cell r="A4089">
            <v>3035324495</v>
          </cell>
          <cell r="B4089" t="str">
            <v>Sample Rejected</v>
          </cell>
          <cell r="C4089">
            <v>42736.734471099538</v>
          </cell>
        </row>
        <row r="4090">
          <cell r="A4090">
            <v>3035356293</v>
          </cell>
          <cell r="B4090" t="str">
            <v>Sample Rejected</v>
          </cell>
          <cell r="C4090">
            <v>42736.734471099538</v>
          </cell>
        </row>
        <row r="4091">
          <cell r="A4091">
            <v>3035364682</v>
          </cell>
          <cell r="B4091" t="str">
            <v>Sample Rejected</v>
          </cell>
          <cell r="C4091">
            <v>42736.734471099538</v>
          </cell>
        </row>
        <row r="4092">
          <cell r="A4092">
            <v>3035335698</v>
          </cell>
          <cell r="B4092" t="str">
            <v>Sample Rejected</v>
          </cell>
          <cell r="C4092">
            <v>42736.734471099538</v>
          </cell>
        </row>
        <row r="4093">
          <cell r="A4093">
            <v>3035294289</v>
          </cell>
          <cell r="B4093" t="str">
            <v>Sample Rejected</v>
          </cell>
          <cell r="C4093">
            <v>42736.734471099538</v>
          </cell>
        </row>
        <row r="4094">
          <cell r="A4094">
            <v>3035104175</v>
          </cell>
          <cell r="B4094" t="str">
            <v>Sample Rejected</v>
          </cell>
          <cell r="C4094">
            <v>42736.734471099538</v>
          </cell>
        </row>
        <row r="4095">
          <cell r="A4095">
            <v>3035368143</v>
          </cell>
          <cell r="B4095" t="str">
            <v>Sample Rejected</v>
          </cell>
          <cell r="C4095">
            <v>42736.734471099538</v>
          </cell>
        </row>
        <row r="4096">
          <cell r="A4096">
            <v>3035363964</v>
          </cell>
          <cell r="B4096" t="str">
            <v>Sample Rejected</v>
          </cell>
          <cell r="C4096">
            <v>42736.734471099538</v>
          </cell>
        </row>
        <row r="4097">
          <cell r="A4097">
            <v>3035338139</v>
          </cell>
          <cell r="B4097" t="str">
            <v>Sample Rejected</v>
          </cell>
          <cell r="C4097">
            <v>42736.734471099538</v>
          </cell>
        </row>
        <row r="4098">
          <cell r="A4098">
            <v>3035364280</v>
          </cell>
          <cell r="B4098" t="str">
            <v>Sample Rejected</v>
          </cell>
          <cell r="C4098">
            <v>42736.734471099538</v>
          </cell>
        </row>
        <row r="4099">
          <cell r="A4099">
            <v>3035357343</v>
          </cell>
          <cell r="B4099" t="str">
            <v>Sample Rejected</v>
          </cell>
          <cell r="C4099">
            <v>42736.734471099538</v>
          </cell>
        </row>
        <row r="4100">
          <cell r="A4100">
            <v>3035133147</v>
          </cell>
          <cell r="B4100" t="str">
            <v>Sample Rejected</v>
          </cell>
          <cell r="C4100">
            <v>42736.734471099538</v>
          </cell>
        </row>
        <row r="4101">
          <cell r="A4101">
            <v>3035355858</v>
          </cell>
          <cell r="B4101" t="str">
            <v>Sample Rejected</v>
          </cell>
          <cell r="C4101">
            <v>42736.734471099538</v>
          </cell>
        </row>
        <row r="4102">
          <cell r="A4102">
            <v>3035365473</v>
          </cell>
          <cell r="B4102" t="str">
            <v>Sample Rejected</v>
          </cell>
          <cell r="C4102">
            <v>42736.734471099538</v>
          </cell>
        </row>
        <row r="4103">
          <cell r="A4103">
            <v>3035358944</v>
          </cell>
          <cell r="B4103" t="str">
            <v>Sample Rejected</v>
          </cell>
          <cell r="C4103">
            <v>42736.734471099538</v>
          </cell>
        </row>
        <row r="4104">
          <cell r="A4104">
            <v>3035231864</v>
          </cell>
          <cell r="B4104" t="str">
            <v>Sample Rejected</v>
          </cell>
          <cell r="C4104">
            <v>42737.733986539351</v>
          </cell>
        </row>
        <row r="4105">
          <cell r="A4105">
            <v>3035379696</v>
          </cell>
          <cell r="B4105" t="str">
            <v>Sample Rejected</v>
          </cell>
          <cell r="C4105">
            <v>42737.733986539351</v>
          </cell>
        </row>
        <row r="4106">
          <cell r="A4106">
            <v>3035356505</v>
          </cell>
          <cell r="B4106" t="str">
            <v>Sample Rejected</v>
          </cell>
          <cell r="C4106">
            <v>42736.734471099538</v>
          </cell>
        </row>
        <row r="4107">
          <cell r="A4107">
            <v>3035360236</v>
          </cell>
          <cell r="B4107" t="str">
            <v>Sample Rejected</v>
          </cell>
          <cell r="C4107">
            <v>42736.734471099538</v>
          </cell>
        </row>
        <row r="4108">
          <cell r="A4108">
            <v>3035356219</v>
          </cell>
          <cell r="B4108" t="str">
            <v>Sample Rejected</v>
          </cell>
          <cell r="C4108">
            <v>42736.734471099538</v>
          </cell>
        </row>
        <row r="4109">
          <cell r="A4109">
            <v>3035271837</v>
          </cell>
          <cell r="B4109" t="str">
            <v>Sample Rejected</v>
          </cell>
          <cell r="C4109">
            <v>42736.734471099538</v>
          </cell>
        </row>
        <row r="4110">
          <cell r="A4110">
            <v>3035356436</v>
          </cell>
          <cell r="B4110" t="str">
            <v>Sample Rejected</v>
          </cell>
          <cell r="C4110">
            <v>42736.734471099538</v>
          </cell>
        </row>
        <row r="4111">
          <cell r="A4111">
            <v>3035337230</v>
          </cell>
          <cell r="B4111" t="str">
            <v>Sample Rejected</v>
          </cell>
          <cell r="C4111">
            <v>42735.736799421298</v>
          </cell>
        </row>
        <row r="4112">
          <cell r="A4112">
            <v>3035338523</v>
          </cell>
          <cell r="B4112" t="str">
            <v>Sample Rejected</v>
          </cell>
          <cell r="C4112">
            <v>42735.736799421298</v>
          </cell>
        </row>
        <row r="4113">
          <cell r="A4113">
            <v>3035331153</v>
          </cell>
          <cell r="B4113" t="str">
            <v>Sample Rejected</v>
          </cell>
          <cell r="C4113">
            <v>42735.736799421298</v>
          </cell>
        </row>
        <row r="4114">
          <cell r="A4114">
            <v>3035232846</v>
          </cell>
          <cell r="B4114" t="str">
            <v>Sample Rejected</v>
          </cell>
          <cell r="C4114">
            <v>42735.736799421298</v>
          </cell>
        </row>
        <row r="4115">
          <cell r="A4115">
            <v>3035332708</v>
          </cell>
          <cell r="B4115" t="str">
            <v>Sample Rejected</v>
          </cell>
          <cell r="C4115">
            <v>42735.736799421298</v>
          </cell>
        </row>
        <row r="4116">
          <cell r="A4116">
            <v>3035338251</v>
          </cell>
          <cell r="B4116" t="str">
            <v>Sample Rejected</v>
          </cell>
          <cell r="C4116">
            <v>42735.736799421298</v>
          </cell>
        </row>
        <row r="4117">
          <cell r="A4117">
            <v>3035326598</v>
          </cell>
          <cell r="B4117" t="str">
            <v>Sample Rejected</v>
          </cell>
          <cell r="C4117">
            <v>42735.736799421298</v>
          </cell>
        </row>
        <row r="4118">
          <cell r="A4118">
            <v>3035237156</v>
          </cell>
          <cell r="B4118" t="str">
            <v>Sample Rejected</v>
          </cell>
          <cell r="C4118">
            <v>42735.736799421298</v>
          </cell>
        </row>
        <row r="4119">
          <cell r="A4119">
            <v>3035324672</v>
          </cell>
          <cell r="B4119" t="str">
            <v>Sample Rejected</v>
          </cell>
          <cell r="C4119">
            <v>42735.736799421298</v>
          </cell>
        </row>
        <row r="4120">
          <cell r="A4120">
            <v>3035335825</v>
          </cell>
          <cell r="B4120" t="str">
            <v>Sample Rejected</v>
          </cell>
          <cell r="C4120">
            <v>42735.736799421298</v>
          </cell>
        </row>
        <row r="4121">
          <cell r="A4121">
            <v>3035326308</v>
          </cell>
          <cell r="B4121" t="str">
            <v>Sample Rejected</v>
          </cell>
          <cell r="C4121">
            <v>42735.736799421298</v>
          </cell>
        </row>
        <row r="4122">
          <cell r="A4122">
            <v>3035324688</v>
          </cell>
          <cell r="B4122" t="str">
            <v>Sample Rejected</v>
          </cell>
          <cell r="C4122">
            <v>42735.736799421298</v>
          </cell>
        </row>
        <row r="4123">
          <cell r="A4123">
            <v>3035327249</v>
          </cell>
          <cell r="B4123" t="str">
            <v>Sample Rejected</v>
          </cell>
          <cell r="C4123">
            <v>42735.736799421298</v>
          </cell>
        </row>
        <row r="4124">
          <cell r="A4124">
            <v>3035325403</v>
          </cell>
          <cell r="B4124" t="str">
            <v>Sample Rejected</v>
          </cell>
          <cell r="C4124">
            <v>42735.736799421298</v>
          </cell>
        </row>
        <row r="4125">
          <cell r="A4125">
            <v>3035326401</v>
          </cell>
          <cell r="B4125" t="str">
            <v>Sample Rejected</v>
          </cell>
          <cell r="C4125">
            <v>42735.736799421298</v>
          </cell>
        </row>
        <row r="4126">
          <cell r="A4126">
            <v>3035332111</v>
          </cell>
          <cell r="B4126" t="str">
            <v>Sample Rejected</v>
          </cell>
          <cell r="C4126">
            <v>42735.736799421298</v>
          </cell>
        </row>
        <row r="4127">
          <cell r="A4127">
            <v>3035325203</v>
          </cell>
          <cell r="B4127" t="str">
            <v>Sample Rejected</v>
          </cell>
          <cell r="C4127">
            <v>42735.736799421298</v>
          </cell>
        </row>
        <row r="4128">
          <cell r="A4128">
            <v>3035326894</v>
          </cell>
          <cell r="B4128" t="str">
            <v>Sample Rejected</v>
          </cell>
          <cell r="C4128">
            <v>42735.736799421298</v>
          </cell>
        </row>
        <row r="4129">
          <cell r="A4129">
            <v>3035326245</v>
          </cell>
          <cell r="B4129" t="str">
            <v>Sample Rejected</v>
          </cell>
          <cell r="C4129">
            <v>42735.736799421298</v>
          </cell>
        </row>
        <row r="4130">
          <cell r="A4130">
            <v>3035333732</v>
          </cell>
          <cell r="B4130" t="str">
            <v>Sample Rejected</v>
          </cell>
          <cell r="C4130">
            <v>42735.736799421298</v>
          </cell>
        </row>
        <row r="4131">
          <cell r="A4131">
            <v>3035323128</v>
          </cell>
          <cell r="B4131" t="str">
            <v>Sample Rejected</v>
          </cell>
          <cell r="C4131">
            <v>42735.736799421298</v>
          </cell>
        </row>
        <row r="4132">
          <cell r="A4132">
            <v>3035326830</v>
          </cell>
          <cell r="B4132" t="str">
            <v>Sample Rejected</v>
          </cell>
          <cell r="C4132">
            <v>42735.736799421298</v>
          </cell>
        </row>
        <row r="4133">
          <cell r="A4133">
            <v>3034516053</v>
          </cell>
          <cell r="B4133" t="str">
            <v>Sample Rejected</v>
          </cell>
          <cell r="C4133">
            <v>42735.736825925924</v>
          </cell>
        </row>
        <row r="4134">
          <cell r="A4134">
            <v>3035108405</v>
          </cell>
          <cell r="B4134" t="str">
            <v>Sample Rejected</v>
          </cell>
          <cell r="C4134">
            <v>42735.736825925924</v>
          </cell>
        </row>
        <row r="4135">
          <cell r="A4135">
            <v>3035272719</v>
          </cell>
          <cell r="B4135" t="str">
            <v>Sample Rejected</v>
          </cell>
          <cell r="C4135">
            <v>42735.736799421298</v>
          </cell>
        </row>
        <row r="4136">
          <cell r="A4136">
            <v>3035329308</v>
          </cell>
          <cell r="B4136" t="str">
            <v>Sample Rejected</v>
          </cell>
          <cell r="C4136">
            <v>42735.736799421298</v>
          </cell>
        </row>
        <row r="4137">
          <cell r="A4137">
            <v>3035301490</v>
          </cell>
          <cell r="B4137" t="str">
            <v>Sample Rejected</v>
          </cell>
          <cell r="C4137">
            <v>42735.736799421298</v>
          </cell>
        </row>
        <row r="4138">
          <cell r="A4138">
            <v>3035329504</v>
          </cell>
          <cell r="B4138" t="str">
            <v>Sample Rejected</v>
          </cell>
          <cell r="C4138">
            <v>42735.736799421298</v>
          </cell>
        </row>
        <row r="4139">
          <cell r="A4139">
            <v>3035334343</v>
          </cell>
          <cell r="B4139" t="str">
            <v>Sample Rejected</v>
          </cell>
          <cell r="C4139">
            <v>42735.736799421298</v>
          </cell>
        </row>
        <row r="4140">
          <cell r="A4140">
            <v>3035267044</v>
          </cell>
          <cell r="B4140" t="str">
            <v>Sample Rejected</v>
          </cell>
          <cell r="C4140">
            <v>42735.736799421298</v>
          </cell>
        </row>
        <row r="4141">
          <cell r="A4141">
            <v>3035333568</v>
          </cell>
          <cell r="B4141" t="str">
            <v>Sample Rejected</v>
          </cell>
          <cell r="C4141">
            <v>42735.736799421298</v>
          </cell>
        </row>
        <row r="4142">
          <cell r="A4142">
            <v>3035308849</v>
          </cell>
          <cell r="B4142" t="str">
            <v>Sample Rejected</v>
          </cell>
          <cell r="C4142">
            <v>42735.736799421298</v>
          </cell>
        </row>
        <row r="4143">
          <cell r="A4143">
            <v>3035325082</v>
          </cell>
          <cell r="B4143" t="str">
            <v>Sample Rejected</v>
          </cell>
          <cell r="C4143">
            <v>42735.736799421298</v>
          </cell>
        </row>
        <row r="4144">
          <cell r="A4144">
            <v>3035344266</v>
          </cell>
          <cell r="B4144" t="str">
            <v>Sample Rejected</v>
          </cell>
          <cell r="C4144">
            <v>42735.736799421298</v>
          </cell>
        </row>
        <row r="4145">
          <cell r="A4145">
            <v>3035197941</v>
          </cell>
          <cell r="B4145" t="str">
            <v>Sample Rejected</v>
          </cell>
          <cell r="C4145">
            <v>42735.736799421298</v>
          </cell>
        </row>
        <row r="4146">
          <cell r="A4146">
            <v>3035326698</v>
          </cell>
          <cell r="B4146" t="str">
            <v>Sample Rejected</v>
          </cell>
          <cell r="C4146">
            <v>42735.736799421298</v>
          </cell>
        </row>
        <row r="4147">
          <cell r="A4147">
            <v>3035331787</v>
          </cell>
          <cell r="B4147" t="str">
            <v>Sample Rejected</v>
          </cell>
          <cell r="C4147">
            <v>42735.736799421298</v>
          </cell>
        </row>
        <row r="4148">
          <cell r="A4148">
            <v>3035338289</v>
          </cell>
          <cell r="B4148" t="str">
            <v>Sample Rejected</v>
          </cell>
          <cell r="C4148">
            <v>42735.736799421298</v>
          </cell>
        </row>
        <row r="4149">
          <cell r="A4149">
            <v>3035243352</v>
          </cell>
          <cell r="B4149" t="str">
            <v>Sample Rejected</v>
          </cell>
          <cell r="C4149">
            <v>42735.736799421298</v>
          </cell>
        </row>
        <row r="4150">
          <cell r="A4150">
            <v>3035331652</v>
          </cell>
          <cell r="B4150" t="str">
            <v>Sample Rejected</v>
          </cell>
          <cell r="C4150">
            <v>42735.736799421298</v>
          </cell>
        </row>
        <row r="4151">
          <cell r="A4151">
            <v>3035341950</v>
          </cell>
          <cell r="B4151" t="str">
            <v>Sample Rejected</v>
          </cell>
          <cell r="C4151">
            <v>42735.736799421298</v>
          </cell>
        </row>
        <row r="4152">
          <cell r="A4152">
            <v>3035330303</v>
          </cell>
          <cell r="B4152" t="str">
            <v>Sample Rejected</v>
          </cell>
          <cell r="C4152">
            <v>42735.736799421298</v>
          </cell>
        </row>
        <row r="4153">
          <cell r="A4153">
            <v>3035324600</v>
          </cell>
          <cell r="B4153" t="str">
            <v>Sample Rejected</v>
          </cell>
          <cell r="C4153">
            <v>42735.736799421298</v>
          </cell>
        </row>
        <row r="4154">
          <cell r="A4154">
            <v>3035334697</v>
          </cell>
          <cell r="B4154" t="str">
            <v>Sample Rejected</v>
          </cell>
          <cell r="C4154">
            <v>42735.736799421298</v>
          </cell>
        </row>
        <row r="4155">
          <cell r="A4155">
            <v>3035328416</v>
          </cell>
          <cell r="B4155" t="str">
            <v>Sample Rejected</v>
          </cell>
          <cell r="C4155">
            <v>42735.736799421298</v>
          </cell>
        </row>
        <row r="4156">
          <cell r="A4156">
            <v>3035327109</v>
          </cell>
          <cell r="B4156" t="str">
            <v>Sample Rejected</v>
          </cell>
          <cell r="C4156">
            <v>42735.736799421298</v>
          </cell>
        </row>
        <row r="4157">
          <cell r="A4157">
            <v>3035325284</v>
          </cell>
          <cell r="B4157" t="str">
            <v>Sample Rejected</v>
          </cell>
          <cell r="C4157">
            <v>42735.736799421298</v>
          </cell>
        </row>
        <row r="4158">
          <cell r="A4158">
            <v>3035326126</v>
          </cell>
          <cell r="B4158" t="str">
            <v>Sample Rejected</v>
          </cell>
          <cell r="C4158">
            <v>42735.736799421298</v>
          </cell>
        </row>
        <row r="4159">
          <cell r="A4159">
            <v>3035342576</v>
          </cell>
          <cell r="B4159" t="str">
            <v>Sample Rejected</v>
          </cell>
          <cell r="C4159">
            <v>42735.736799421298</v>
          </cell>
        </row>
        <row r="4160">
          <cell r="A4160">
            <v>3035120904</v>
          </cell>
          <cell r="B4160" t="str">
            <v>Sample Rejected</v>
          </cell>
          <cell r="C4160">
            <v>42732.736728124997</v>
          </cell>
        </row>
        <row r="4161">
          <cell r="A4161">
            <v>3035233112</v>
          </cell>
          <cell r="B4161" t="str">
            <v>Sample Rejected</v>
          </cell>
          <cell r="C4161">
            <v>42732.736728124997</v>
          </cell>
        </row>
        <row r="4162">
          <cell r="A4162">
            <v>3035237643</v>
          </cell>
          <cell r="B4162" t="str">
            <v>Sample Rejected</v>
          </cell>
          <cell r="C4162">
            <v>42732.736728124997</v>
          </cell>
        </row>
        <row r="4163">
          <cell r="A4163">
            <v>3035242065</v>
          </cell>
          <cell r="B4163" t="str">
            <v>Sample Rejected</v>
          </cell>
          <cell r="C4163">
            <v>42732.736728124997</v>
          </cell>
        </row>
        <row r="4164">
          <cell r="A4164">
            <v>3035234943</v>
          </cell>
          <cell r="B4164" t="str">
            <v>Sample Rejected</v>
          </cell>
          <cell r="C4164">
            <v>42732.736728124997</v>
          </cell>
        </row>
        <row r="4165">
          <cell r="A4165">
            <v>3035231434</v>
          </cell>
          <cell r="B4165" t="str">
            <v>Sample Rejected</v>
          </cell>
          <cell r="C4165">
            <v>42732.736728124997</v>
          </cell>
        </row>
        <row r="4166">
          <cell r="A4166">
            <v>3035194653</v>
          </cell>
          <cell r="B4166" t="str">
            <v>Sample Rejected</v>
          </cell>
          <cell r="C4166">
            <v>42732.736728124997</v>
          </cell>
        </row>
        <row r="4167">
          <cell r="A4167">
            <v>3035232363</v>
          </cell>
          <cell r="B4167" t="str">
            <v>Sample Rejected</v>
          </cell>
          <cell r="C4167">
            <v>42732.736728124997</v>
          </cell>
        </row>
        <row r="4168">
          <cell r="A4168">
            <v>3035242920</v>
          </cell>
          <cell r="B4168" t="str">
            <v>Sample Rejected</v>
          </cell>
          <cell r="C4168">
            <v>42732.736728124997</v>
          </cell>
        </row>
        <row r="4169">
          <cell r="A4169">
            <v>3035247335</v>
          </cell>
          <cell r="B4169" t="str">
            <v>Sample Rejected</v>
          </cell>
          <cell r="C4169">
            <v>42732.736728124997</v>
          </cell>
        </row>
        <row r="4170">
          <cell r="A4170">
            <v>3034974056</v>
          </cell>
          <cell r="B4170" t="str">
            <v>Sample Rejected</v>
          </cell>
          <cell r="C4170">
            <v>42732.736728124997</v>
          </cell>
        </row>
        <row r="4171">
          <cell r="A4171">
            <v>3035243336</v>
          </cell>
          <cell r="B4171" t="str">
            <v>Sample Rejected</v>
          </cell>
          <cell r="C4171">
            <v>42732.736728124997</v>
          </cell>
        </row>
        <row r="4172">
          <cell r="A4172">
            <v>3035243548</v>
          </cell>
          <cell r="B4172" t="str">
            <v>Sample Rejected</v>
          </cell>
          <cell r="C4172">
            <v>42732.736728124997</v>
          </cell>
        </row>
        <row r="4173">
          <cell r="A4173">
            <v>3035236674</v>
          </cell>
          <cell r="B4173" t="str">
            <v>Sample Rejected</v>
          </cell>
          <cell r="C4173">
            <v>42732.736728124997</v>
          </cell>
        </row>
        <row r="4174">
          <cell r="A4174">
            <v>3035231882</v>
          </cell>
          <cell r="B4174" t="str">
            <v>Sample Rejected</v>
          </cell>
          <cell r="C4174">
            <v>42732.736728124997</v>
          </cell>
        </row>
        <row r="4175">
          <cell r="A4175">
            <v>3035232416</v>
          </cell>
          <cell r="B4175" t="str">
            <v>Sample Rejected</v>
          </cell>
          <cell r="C4175">
            <v>42732.736728124997</v>
          </cell>
        </row>
        <row r="4176">
          <cell r="A4176">
            <v>3035237385</v>
          </cell>
          <cell r="B4176" t="str">
            <v>Sample Rejected</v>
          </cell>
          <cell r="C4176">
            <v>42732.736728124997</v>
          </cell>
        </row>
        <row r="4177">
          <cell r="A4177">
            <v>3035109071</v>
          </cell>
          <cell r="B4177" t="str">
            <v>Sample Rejected</v>
          </cell>
          <cell r="C4177">
            <v>42732.736728124997</v>
          </cell>
        </row>
        <row r="4178">
          <cell r="A4178">
            <v>3035231052</v>
          </cell>
          <cell r="B4178" t="str">
            <v>Sample Rejected</v>
          </cell>
          <cell r="C4178">
            <v>42732.736728124997</v>
          </cell>
        </row>
        <row r="4179">
          <cell r="A4179">
            <v>3035238409</v>
          </cell>
          <cell r="B4179" t="str">
            <v>Sample Rejected</v>
          </cell>
          <cell r="C4179">
            <v>42732.736728124997</v>
          </cell>
        </row>
        <row r="4180">
          <cell r="A4180">
            <v>3035232287</v>
          </cell>
          <cell r="B4180" t="str">
            <v>Sample Rejected</v>
          </cell>
          <cell r="C4180">
            <v>42732.736728124997</v>
          </cell>
        </row>
        <row r="4181">
          <cell r="A4181">
            <v>3035241440</v>
          </cell>
          <cell r="B4181" t="str">
            <v>Sample Rejected</v>
          </cell>
          <cell r="C4181">
            <v>42732.736728124997</v>
          </cell>
        </row>
        <row r="4182">
          <cell r="A4182">
            <v>3035231602</v>
          </cell>
          <cell r="B4182" t="str">
            <v>Sample Rejected</v>
          </cell>
          <cell r="C4182">
            <v>42732.736728124997</v>
          </cell>
        </row>
        <row r="4183">
          <cell r="A4183">
            <v>3035232403</v>
          </cell>
          <cell r="B4183" t="str">
            <v>Sample Rejected</v>
          </cell>
          <cell r="C4183">
            <v>42732.736728124997</v>
          </cell>
        </row>
        <row r="4184">
          <cell r="A4184">
            <v>3035232244</v>
          </cell>
          <cell r="B4184" t="str">
            <v>Sample Rejected</v>
          </cell>
          <cell r="C4184">
            <v>42732.736728124997</v>
          </cell>
        </row>
        <row r="4185">
          <cell r="A4185">
            <v>3035242292</v>
          </cell>
          <cell r="B4185" t="str">
            <v>Sample Rejected</v>
          </cell>
          <cell r="C4185">
            <v>42732.736728124997</v>
          </cell>
        </row>
        <row r="4186">
          <cell r="A4186">
            <v>3035233895</v>
          </cell>
          <cell r="B4186" t="str">
            <v>Sample Rejected</v>
          </cell>
          <cell r="C4186">
            <v>42732.736728124997</v>
          </cell>
        </row>
        <row r="4187">
          <cell r="A4187">
            <v>3035076500</v>
          </cell>
          <cell r="B4187" t="str">
            <v>Sample Rejected</v>
          </cell>
          <cell r="C4187">
            <v>42732.736728124997</v>
          </cell>
        </row>
        <row r="4188">
          <cell r="A4188">
            <v>3035236460</v>
          </cell>
          <cell r="B4188" t="str">
            <v>Sample Rejected</v>
          </cell>
          <cell r="C4188">
            <v>42732.736728124997</v>
          </cell>
        </row>
        <row r="4189">
          <cell r="A4189">
            <v>3035231885</v>
          </cell>
          <cell r="B4189" t="str">
            <v>Sample Rejected</v>
          </cell>
          <cell r="C4189">
            <v>42732.736728124997</v>
          </cell>
        </row>
        <row r="4190">
          <cell r="A4190">
            <v>3035237799</v>
          </cell>
          <cell r="B4190" t="str">
            <v>Sample Rejected</v>
          </cell>
          <cell r="C4190">
            <v>42732.736728124997</v>
          </cell>
        </row>
        <row r="4191">
          <cell r="A4191">
            <v>3035235259</v>
          </cell>
          <cell r="B4191" t="str">
            <v>Sample Rejected</v>
          </cell>
          <cell r="C4191">
            <v>42732.736728124997</v>
          </cell>
        </row>
        <row r="4192">
          <cell r="A4192">
            <v>3035202559</v>
          </cell>
          <cell r="B4192" t="str">
            <v>Sample Rejected</v>
          </cell>
          <cell r="C4192">
            <v>42732.736728124997</v>
          </cell>
        </row>
        <row r="4193">
          <cell r="A4193">
            <v>3035241940</v>
          </cell>
          <cell r="B4193" t="str">
            <v>Sample Rejected</v>
          </cell>
          <cell r="C4193">
            <v>42732.736728124997</v>
          </cell>
        </row>
        <row r="4194">
          <cell r="A4194">
            <v>3035231078</v>
          </cell>
          <cell r="B4194" t="str">
            <v>Sample Rejected</v>
          </cell>
          <cell r="C4194">
            <v>42732.736728124997</v>
          </cell>
        </row>
        <row r="4195">
          <cell r="A4195">
            <v>3035233545</v>
          </cell>
          <cell r="B4195" t="str">
            <v>Sample Rejected</v>
          </cell>
          <cell r="C4195">
            <v>42732.736728124997</v>
          </cell>
        </row>
        <row r="4196">
          <cell r="A4196">
            <v>3035236417</v>
          </cell>
          <cell r="B4196" t="str">
            <v>Sample Rejected</v>
          </cell>
          <cell r="C4196">
            <v>42732.736728124997</v>
          </cell>
        </row>
        <row r="4197">
          <cell r="A4197">
            <v>3035241603</v>
          </cell>
          <cell r="B4197" t="str">
            <v>Sample Rejected</v>
          </cell>
          <cell r="C4197">
            <v>42732.736728124997</v>
          </cell>
        </row>
        <row r="4198">
          <cell r="A4198">
            <v>3035230959</v>
          </cell>
          <cell r="B4198" t="str">
            <v>Sample Rejected</v>
          </cell>
          <cell r="C4198">
            <v>42732.736728124997</v>
          </cell>
        </row>
        <row r="4199">
          <cell r="A4199">
            <v>3035236930</v>
          </cell>
          <cell r="B4199" t="str">
            <v>Sample Rejected</v>
          </cell>
          <cell r="C4199">
            <v>42732.736728124997</v>
          </cell>
        </row>
        <row r="4200">
          <cell r="A4200">
            <v>3035231835</v>
          </cell>
          <cell r="B4200" t="str">
            <v>Sample Rejected</v>
          </cell>
          <cell r="C4200">
            <v>42732.736728124997</v>
          </cell>
        </row>
        <row r="4201">
          <cell r="A4201">
            <v>3035179279</v>
          </cell>
          <cell r="B4201" t="str">
            <v>Sample Rejected</v>
          </cell>
          <cell r="C4201">
            <v>42732.736728124997</v>
          </cell>
        </row>
        <row r="4202">
          <cell r="A4202">
            <v>3035233528</v>
          </cell>
          <cell r="B4202" t="str">
            <v>Sample Rejected</v>
          </cell>
          <cell r="C4202">
            <v>42732.736728124997</v>
          </cell>
        </row>
        <row r="4203">
          <cell r="A4203">
            <v>3035184615</v>
          </cell>
          <cell r="B4203" t="str">
            <v>Sample Rejected</v>
          </cell>
          <cell r="C4203">
            <v>42732.736728124997</v>
          </cell>
        </row>
        <row r="4204">
          <cell r="A4204">
            <v>3035184679</v>
          </cell>
          <cell r="B4204" t="str">
            <v>Sample Rejected</v>
          </cell>
          <cell r="C4204">
            <v>42732.736728124997</v>
          </cell>
        </row>
        <row r="4205">
          <cell r="A4205">
            <v>3035233803</v>
          </cell>
          <cell r="B4205" t="str">
            <v>Sample Rejected</v>
          </cell>
          <cell r="C4205">
            <v>42732.736728124997</v>
          </cell>
        </row>
        <row r="4206">
          <cell r="A4206">
            <v>3035242399</v>
          </cell>
          <cell r="B4206" t="str">
            <v>Sample Rejected</v>
          </cell>
          <cell r="C4206">
            <v>42732.736728124997</v>
          </cell>
        </row>
        <row r="4207">
          <cell r="A4207">
            <v>3035240698</v>
          </cell>
          <cell r="B4207" t="str">
            <v>Sample Rejected</v>
          </cell>
          <cell r="C4207">
            <v>42732.736728124997</v>
          </cell>
        </row>
        <row r="4208">
          <cell r="A4208">
            <v>3035234847</v>
          </cell>
          <cell r="B4208" t="str">
            <v>Sample Rejected</v>
          </cell>
          <cell r="C4208">
            <v>42732.736728124997</v>
          </cell>
        </row>
        <row r="4209">
          <cell r="A4209">
            <v>3035231693</v>
          </cell>
          <cell r="B4209" t="str">
            <v>Sample Rejected</v>
          </cell>
          <cell r="C4209">
            <v>42732.736728124997</v>
          </cell>
        </row>
        <row r="4210">
          <cell r="A4210">
            <v>3035241048</v>
          </cell>
          <cell r="B4210" t="str">
            <v>Sample Rejected</v>
          </cell>
          <cell r="C4210">
            <v>42732.736728124997</v>
          </cell>
        </row>
        <row r="4211">
          <cell r="A4211">
            <v>3035064561</v>
          </cell>
          <cell r="B4211" t="str">
            <v>Sample Rejected</v>
          </cell>
          <cell r="C4211">
            <v>42732.736728124997</v>
          </cell>
        </row>
        <row r="4212">
          <cell r="A4212">
            <v>3035238542</v>
          </cell>
          <cell r="B4212" t="str">
            <v>Sample Rejected</v>
          </cell>
          <cell r="C4212">
            <v>42732.736728124997</v>
          </cell>
        </row>
        <row r="4213">
          <cell r="A4213">
            <v>3035197068</v>
          </cell>
          <cell r="B4213" t="str">
            <v>Sample Rejected</v>
          </cell>
          <cell r="C4213">
            <v>42732.736728124997</v>
          </cell>
        </row>
        <row r="4214">
          <cell r="A4214">
            <v>3035151786</v>
          </cell>
          <cell r="B4214" t="str">
            <v>Sample Rejected</v>
          </cell>
          <cell r="C4214">
            <v>42732.736728124997</v>
          </cell>
        </row>
        <row r="4215">
          <cell r="A4215">
            <v>3035232980</v>
          </cell>
          <cell r="B4215" t="str">
            <v>Sample Rejected</v>
          </cell>
          <cell r="C4215">
            <v>42732.736728124997</v>
          </cell>
        </row>
        <row r="4216">
          <cell r="A4216">
            <v>3035246755</v>
          </cell>
          <cell r="B4216" t="str">
            <v>Sample Rejected</v>
          </cell>
          <cell r="C4216">
            <v>42732.736728124997</v>
          </cell>
        </row>
        <row r="4217">
          <cell r="A4217">
            <v>3035232732</v>
          </cell>
          <cell r="B4217" t="str">
            <v>Sample Rejected</v>
          </cell>
          <cell r="C4217">
            <v>42732.736728124997</v>
          </cell>
        </row>
        <row r="4218">
          <cell r="A4218">
            <v>3035234152</v>
          </cell>
          <cell r="B4218" t="str">
            <v>Sample Rejected</v>
          </cell>
          <cell r="C4218">
            <v>42732.736728124997</v>
          </cell>
        </row>
        <row r="4219">
          <cell r="A4219">
            <v>3035240683</v>
          </cell>
          <cell r="B4219" t="str">
            <v>Sample Rejected</v>
          </cell>
          <cell r="C4219">
            <v>42732.736728124997</v>
          </cell>
        </row>
        <row r="4220">
          <cell r="A4220">
            <v>3035244662</v>
          </cell>
          <cell r="B4220" t="str">
            <v>Sample Rejected</v>
          </cell>
          <cell r="C4220">
            <v>42732.736728124997</v>
          </cell>
        </row>
        <row r="4221">
          <cell r="A4221">
            <v>3035236551</v>
          </cell>
          <cell r="B4221" t="str">
            <v>Sample Rejected</v>
          </cell>
          <cell r="C4221">
            <v>42732.736728124997</v>
          </cell>
        </row>
        <row r="4222">
          <cell r="A4222">
            <v>3035240558</v>
          </cell>
          <cell r="B4222" t="str">
            <v>Sample Rejected</v>
          </cell>
          <cell r="C4222">
            <v>42732.736728124997</v>
          </cell>
        </row>
        <row r="4223">
          <cell r="A4223">
            <v>3035240060</v>
          </cell>
          <cell r="B4223" t="str">
            <v>Sample Rejected</v>
          </cell>
          <cell r="C4223">
            <v>42732.736728124997</v>
          </cell>
        </row>
        <row r="4224">
          <cell r="A4224">
            <v>3035236161</v>
          </cell>
          <cell r="B4224" t="str">
            <v>Sample Rejected</v>
          </cell>
          <cell r="C4224">
            <v>42732.736728124997</v>
          </cell>
        </row>
        <row r="4225">
          <cell r="A4225">
            <v>3035234721</v>
          </cell>
          <cell r="B4225" t="str">
            <v>Sample Rejected</v>
          </cell>
          <cell r="C4225">
            <v>42732.736728124997</v>
          </cell>
        </row>
        <row r="4226">
          <cell r="A4226">
            <v>3035237580</v>
          </cell>
          <cell r="B4226" t="str">
            <v>Sample Rejected</v>
          </cell>
          <cell r="C4226">
            <v>42732.736728124997</v>
          </cell>
        </row>
        <row r="4227">
          <cell r="A4227">
            <v>3035133124</v>
          </cell>
          <cell r="B4227" t="str">
            <v>Sample Rejected</v>
          </cell>
          <cell r="C4227">
            <v>42732.736728124997</v>
          </cell>
        </row>
        <row r="4228">
          <cell r="A4228">
            <v>3035194327</v>
          </cell>
          <cell r="B4228" t="str">
            <v>Sample Rejected</v>
          </cell>
          <cell r="C4228">
            <v>42732.736728124997</v>
          </cell>
        </row>
        <row r="4229">
          <cell r="A4229">
            <v>3035232676</v>
          </cell>
          <cell r="B4229" t="str">
            <v>Sample Rejected</v>
          </cell>
          <cell r="C4229">
            <v>42732.736728124997</v>
          </cell>
        </row>
        <row r="4230">
          <cell r="A4230">
            <v>3035232862</v>
          </cell>
          <cell r="B4230" t="str">
            <v>Sample Rejected</v>
          </cell>
          <cell r="C4230">
            <v>42732.736728124997</v>
          </cell>
        </row>
        <row r="4231">
          <cell r="A4231">
            <v>3035231334</v>
          </cell>
          <cell r="B4231" t="str">
            <v>Sample Rejected</v>
          </cell>
          <cell r="C4231">
            <v>42732.736728124997</v>
          </cell>
        </row>
        <row r="4232">
          <cell r="A4232">
            <v>3035240217</v>
          </cell>
          <cell r="B4232" t="str">
            <v>Sample Rejected</v>
          </cell>
          <cell r="C4232">
            <v>42732.736728124997</v>
          </cell>
        </row>
        <row r="4233">
          <cell r="A4233">
            <v>3035232583</v>
          </cell>
          <cell r="B4233" t="str">
            <v>Sample Rejected</v>
          </cell>
          <cell r="C4233">
            <v>42732.736728124997</v>
          </cell>
        </row>
        <row r="4234">
          <cell r="A4234">
            <v>3035234121</v>
          </cell>
          <cell r="B4234" t="str">
            <v>Sample Rejected</v>
          </cell>
          <cell r="C4234">
            <v>42732.736728124997</v>
          </cell>
        </row>
        <row r="4235">
          <cell r="A4235">
            <v>3035004281</v>
          </cell>
          <cell r="B4235" t="str">
            <v>Sample Rejected</v>
          </cell>
          <cell r="C4235">
            <v>42732.736728124997</v>
          </cell>
        </row>
        <row r="4236">
          <cell r="A4236">
            <v>3035241172</v>
          </cell>
          <cell r="B4236" t="str">
            <v>Sample Rejected</v>
          </cell>
          <cell r="C4236">
            <v>42732.736728124997</v>
          </cell>
        </row>
        <row r="4237">
          <cell r="A4237">
            <v>3035234748</v>
          </cell>
          <cell r="B4237" t="str">
            <v>Sample Rejected</v>
          </cell>
          <cell r="C4237">
            <v>42732.736728124997</v>
          </cell>
        </row>
        <row r="4238">
          <cell r="A4238">
            <v>3035102021</v>
          </cell>
          <cell r="B4238" t="str">
            <v>Sample Rejected</v>
          </cell>
          <cell r="C4238">
            <v>42732.736728124997</v>
          </cell>
        </row>
        <row r="4239">
          <cell r="A4239">
            <v>3035232512</v>
          </cell>
          <cell r="B4239" t="str">
            <v>Sample Rejected</v>
          </cell>
          <cell r="C4239">
            <v>42732.736728124997</v>
          </cell>
        </row>
        <row r="4240">
          <cell r="A4240">
            <v>3035233222</v>
          </cell>
          <cell r="B4240" t="str">
            <v>Sample Rejected</v>
          </cell>
          <cell r="C4240">
            <v>42732.736728124997</v>
          </cell>
        </row>
        <row r="4241">
          <cell r="A4241">
            <v>3035238732</v>
          </cell>
          <cell r="B4241" t="str">
            <v>Sample Rejected</v>
          </cell>
          <cell r="C4241">
            <v>42732.736728124997</v>
          </cell>
        </row>
        <row r="4242">
          <cell r="A4242">
            <v>3035231747</v>
          </cell>
          <cell r="B4242" t="str">
            <v>Sample Rejected</v>
          </cell>
          <cell r="C4242">
            <v>42732.736728124997</v>
          </cell>
        </row>
        <row r="4243">
          <cell r="A4243">
            <v>3035167430</v>
          </cell>
          <cell r="B4243" t="str">
            <v>Sample Rejected</v>
          </cell>
          <cell r="C4243">
            <v>42732.736728124997</v>
          </cell>
        </row>
        <row r="4244">
          <cell r="A4244">
            <v>3035146167</v>
          </cell>
          <cell r="B4244" t="str">
            <v>Sample Rejected</v>
          </cell>
          <cell r="C4244">
            <v>42732.736728124997</v>
          </cell>
        </row>
        <row r="4245">
          <cell r="A4245">
            <v>3035233248</v>
          </cell>
          <cell r="B4245" t="str">
            <v>Sample Rejected</v>
          </cell>
          <cell r="C4245">
            <v>42732.736728124997</v>
          </cell>
        </row>
        <row r="4246">
          <cell r="A4246">
            <v>3035168191</v>
          </cell>
          <cell r="B4246" t="str">
            <v>Sample Rejected</v>
          </cell>
          <cell r="C4246">
            <v>42732.736728124997</v>
          </cell>
        </row>
        <row r="4247">
          <cell r="A4247">
            <v>3035236672</v>
          </cell>
          <cell r="B4247" t="str">
            <v>Sample Rejected</v>
          </cell>
          <cell r="C4247">
            <v>42732.736728124997</v>
          </cell>
        </row>
        <row r="4248">
          <cell r="A4248">
            <v>3035242048</v>
          </cell>
          <cell r="B4248" t="str">
            <v>Sample Rejected</v>
          </cell>
          <cell r="C4248">
            <v>42732.736728124997</v>
          </cell>
        </row>
        <row r="4249">
          <cell r="A4249">
            <v>3035237983</v>
          </cell>
          <cell r="B4249" t="str">
            <v>Sample Rejected</v>
          </cell>
          <cell r="C4249">
            <v>42732.736728124997</v>
          </cell>
        </row>
        <row r="4250">
          <cell r="A4250">
            <v>3035247267</v>
          </cell>
          <cell r="B4250" t="str">
            <v>Sample Rejected</v>
          </cell>
          <cell r="C4250">
            <v>42732.736728124997</v>
          </cell>
        </row>
        <row r="4251">
          <cell r="A4251">
            <v>3035230839</v>
          </cell>
          <cell r="B4251" t="str">
            <v>Sample Rejected</v>
          </cell>
          <cell r="C4251">
            <v>42732.736728124997</v>
          </cell>
        </row>
        <row r="4252">
          <cell r="A4252">
            <v>3035196781</v>
          </cell>
          <cell r="B4252" t="str">
            <v>Sample Rejected</v>
          </cell>
          <cell r="C4252">
            <v>42732.736728124997</v>
          </cell>
        </row>
        <row r="4253">
          <cell r="A4253">
            <v>3035242180</v>
          </cell>
          <cell r="B4253" t="str">
            <v>Sample Rejected</v>
          </cell>
          <cell r="C4253">
            <v>42732.736728124997</v>
          </cell>
        </row>
        <row r="4254">
          <cell r="A4254">
            <v>3035193778</v>
          </cell>
          <cell r="B4254" t="str">
            <v>Sample Rejected</v>
          </cell>
          <cell r="C4254">
            <v>42732.736728124997</v>
          </cell>
        </row>
        <row r="4255">
          <cell r="A4255">
            <v>3035231385</v>
          </cell>
          <cell r="B4255" t="str">
            <v>Sample Rejected</v>
          </cell>
          <cell r="C4255">
            <v>42732.736728124997</v>
          </cell>
        </row>
        <row r="4256">
          <cell r="A4256">
            <v>3035233136</v>
          </cell>
          <cell r="B4256" t="str">
            <v>Sample Rejected</v>
          </cell>
          <cell r="C4256">
            <v>42732.736728124997</v>
          </cell>
        </row>
        <row r="4257">
          <cell r="A4257">
            <v>3035010364</v>
          </cell>
          <cell r="B4257" t="str">
            <v>Sample Rejected</v>
          </cell>
          <cell r="C4257">
            <v>42732.736728124997</v>
          </cell>
        </row>
        <row r="4258">
          <cell r="A4258">
            <v>3035193625</v>
          </cell>
          <cell r="B4258" t="str">
            <v>Sample Rejected</v>
          </cell>
          <cell r="C4258">
            <v>42732.736728124997</v>
          </cell>
        </row>
        <row r="4259">
          <cell r="A4259">
            <v>3035236747</v>
          </cell>
          <cell r="B4259" t="str">
            <v>Sample Rejected</v>
          </cell>
          <cell r="C4259">
            <v>42732.736728124997</v>
          </cell>
        </row>
        <row r="4260">
          <cell r="A4260">
            <v>3035200706</v>
          </cell>
          <cell r="B4260" t="str">
            <v>Sample Rejected</v>
          </cell>
          <cell r="C4260">
            <v>42732.736728124997</v>
          </cell>
        </row>
        <row r="4261">
          <cell r="A4261">
            <v>3035232532</v>
          </cell>
          <cell r="B4261" t="str">
            <v>Sample Rejected</v>
          </cell>
          <cell r="C4261">
            <v>42732.736728124997</v>
          </cell>
        </row>
        <row r="4262">
          <cell r="A4262">
            <v>3035233016</v>
          </cell>
          <cell r="B4262" t="str">
            <v>Sample Rejected</v>
          </cell>
          <cell r="C4262">
            <v>42732.736728124997</v>
          </cell>
        </row>
        <row r="4263">
          <cell r="A4263">
            <v>3035232547</v>
          </cell>
          <cell r="B4263" t="str">
            <v>Sample Rejected</v>
          </cell>
          <cell r="C4263">
            <v>42732.736728124997</v>
          </cell>
        </row>
        <row r="4264">
          <cell r="A4264">
            <v>3035259477</v>
          </cell>
          <cell r="B4264" t="str">
            <v>Sample Rejected</v>
          </cell>
          <cell r="C4264">
            <v>42733.736311956018</v>
          </cell>
        </row>
        <row r="4265">
          <cell r="A4265">
            <v>3035272770</v>
          </cell>
          <cell r="B4265" t="str">
            <v>Sample Rejected</v>
          </cell>
          <cell r="C4265">
            <v>42733.736311956018</v>
          </cell>
        </row>
        <row r="4266">
          <cell r="A4266">
            <v>3035260786</v>
          </cell>
          <cell r="B4266" t="str">
            <v>Sample Rejected</v>
          </cell>
          <cell r="C4266">
            <v>42733.736311956018</v>
          </cell>
        </row>
        <row r="4267">
          <cell r="A4267">
            <v>3035259479</v>
          </cell>
          <cell r="B4267" t="str">
            <v>Sample Rejected</v>
          </cell>
          <cell r="C4267">
            <v>42733.736311956018</v>
          </cell>
        </row>
        <row r="4268">
          <cell r="A4268">
            <v>3035260244</v>
          </cell>
          <cell r="B4268" t="str">
            <v>Sample Rejected</v>
          </cell>
          <cell r="C4268">
            <v>42733.736311956018</v>
          </cell>
        </row>
        <row r="4269">
          <cell r="A4269">
            <v>3035273657</v>
          </cell>
          <cell r="B4269" t="str">
            <v>Sample Rejected</v>
          </cell>
          <cell r="C4269">
            <v>42733.736311956018</v>
          </cell>
        </row>
        <row r="4270">
          <cell r="A4270">
            <v>3035030380</v>
          </cell>
          <cell r="B4270" t="str">
            <v>Sample Rejected</v>
          </cell>
          <cell r="C4270">
            <v>42733.736311956018</v>
          </cell>
        </row>
        <row r="4271">
          <cell r="A4271">
            <v>3035273781</v>
          </cell>
          <cell r="B4271" t="str">
            <v>Sample Rejected</v>
          </cell>
          <cell r="C4271">
            <v>42733.736311956018</v>
          </cell>
        </row>
        <row r="4272">
          <cell r="A4272">
            <v>3035213290</v>
          </cell>
          <cell r="B4272" t="str">
            <v>Sample Rejected</v>
          </cell>
          <cell r="C4272">
            <v>42733.736311956018</v>
          </cell>
        </row>
        <row r="4273">
          <cell r="A4273">
            <v>3034972341</v>
          </cell>
          <cell r="B4273" t="str">
            <v>Sample Rejected</v>
          </cell>
          <cell r="C4273">
            <v>42733.736311956018</v>
          </cell>
        </row>
        <row r="4274">
          <cell r="A4274">
            <v>3035262378</v>
          </cell>
          <cell r="B4274" t="str">
            <v>Sample Rejected</v>
          </cell>
          <cell r="C4274">
            <v>42733.736311956018</v>
          </cell>
        </row>
        <row r="4275">
          <cell r="A4275">
            <v>3035194538</v>
          </cell>
          <cell r="B4275" t="str">
            <v>Sample Rejected</v>
          </cell>
          <cell r="C4275">
            <v>42733.736311956018</v>
          </cell>
        </row>
        <row r="4276">
          <cell r="A4276">
            <v>3035277634</v>
          </cell>
          <cell r="B4276" t="str">
            <v>Sample Rejected</v>
          </cell>
          <cell r="C4276">
            <v>42733.736311956018</v>
          </cell>
        </row>
        <row r="4277">
          <cell r="A4277">
            <v>3035232012</v>
          </cell>
          <cell r="B4277" t="str">
            <v>Sample Rejected</v>
          </cell>
          <cell r="C4277">
            <v>42733.736311956018</v>
          </cell>
        </row>
        <row r="4278">
          <cell r="A4278">
            <v>3035268338</v>
          </cell>
          <cell r="B4278" t="str">
            <v>Sample Rejected</v>
          </cell>
          <cell r="C4278">
            <v>42733.736311956018</v>
          </cell>
        </row>
        <row r="4279">
          <cell r="A4279">
            <v>3035267214</v>
          </cell>
          <cell r="B4279" t="str">
            <v>Sample Rejected</v>
          </cell>
          <cell r="C4279">
            <v>42733.736311956018</v>
          </cell>
        </row>
        <row r="4280">
          <cell r="A4280">
            <v>3035198532</v>
          </cell>
          <cell r="B4280" t="str">
            <v>Sample Rejected</v>
          </cell>
          <cell r="C4280">
            <v>42733.736311956018</v>
          </cell>
        </row>
        <row r="4281">
          <cell r="A4281">
            <v>3035260221</v>
          </cell>
          <cell r="B4281" t="str">
            <v>Sample Rejected</v>
          </cell>
          <cell r="C4281">
            <v>42733.736311956018</v>
          </cell>
        </row>
        <row r="4282">
          <cell r="A4282">
            <v>3035260570</v>
          </cell>
          <cell r="B4282" t="str">
            <v>Sample Rejected</v>
          </cell>
          <cell r="C4282">
            <v>42733.736311956018</v>
          </cell>
        </row>
        <row r="4283">
          <cell r="A4283">
            <v>3035239735</v>
          </cell>
          <cell r="B4283" t="str">
            <v>Sample Rejected</v>
          </cell>
          <cell r="C4283">
            <v>42733.736311956018</v>
          </cell>
        </row>
        <row r="4284">
          <cell r="A4284">
            <v>3035259171</v>
          </cell>
          <cell r="B4284" t="str">
            <v>Sample Rejected</v>
          </cell>
          <cell r="C4284">
            <v>42733.736311956018</v>
          </cell>
        </row>
        <row r="4285">
          <cell r="A4285">
            <v>3035263081</v>
          </cell>
          <cell r="B4285" t="str">
            <v>Sample Rejected</v>
          </cell>
          <cell r="C4285">
            <v>42733.736311956018</v>
          </cell>
        </row>
        <row r="4286">
          <cell r="A4286">
            <v>3035259080</v>
          </cell>
          <cell r="B4286" t="str">
            <v>Sample Rejected</v>
          </cell>
          <cell r="C4286">
            <v>42733.736311956018</v>
          </cell>
        </row>
        <row r="4287">
          <cell r="A4287">
            <v>3035260200</v>
          </cell>
          <cell r="B4287" t="str">
            <v>Sample Rejected</v>
          </cell>
          <cell r="C4287">
            <v>42733.736311956018</v>
          </cell>
        </row>
        <row r="4288">
          <cell r="A4288">
            <v>3035243481</v>
          </cell>
          <cell r="B4288" t="str">
            <v>Sample Rejected</v>
          </cell>
          <cell r="C4288">
            <v>42733.736311956018</v>
          </cell>
        </row>
        <row r="4289">
          <cell r="A4289">
            <v>3035268936</v>
          </cell>
          <cell r="B4289" t="str">
            <v>Sample Rejected</v>
          </cell>
          <cell r="C4289">
            <v>42733.736311956018</v>
          </cell>
        </row>
        <row r="4290">
          <cell r="A4290">
            <v>3035268080</v>
          </cell>
          <cell r="B4290" t="str">
            <v>Sample Rejected</v>
          </cell>
          <cell r="C4290">
            <v>42733.736311956018</v>
          </cell>
        </row>
        <row r="4291">
          <cell r="A4291">
            <v>3035262592</v>
          </cell>
          <cell r="B4291" t="str">
            <v>Sample Rejected</v>
          </cell>
          <cell r="C4291">
            <v>42733.736311956018</v>
          </cell>
        </row>
        <row r="4292">
          <cell r="A4292">
            <v>3035266735</v>
          </cell>
          <cell r="B4292" t="str">
            <v>Sample Rejected</v>
          </cell>
          <cell r="C4292">
            <v>42733.736311956018</v>
          </cell>
        </row>
        <row r="4293">
          <cell r="A4293">
            <v>3035266811</v>
          </cell>
          <cell r="B4293" t="str">
            <v>Sample Rejected</v>
          </cell>
          <cell r="C4293">
            <v>42733.736311956018</v>
          </cell>
        </row>
        <row r="4294">
          <cell r="A4294">
            <v>3035271451</v>
          </cell>
          <cell r="B4294" t="str">
            <v>Sample Rejected</v>
          </cell>
          <cell r="C4294">
            <v>42733.736311956018</v>
          </cell>
        </row>
        <row r="4295">
          <cell r="A4295">
            <v>3035264014</v>
          </cell>
          <cell r="B4295" t="str">
            <v>Sample Rejected</v>
          </cell>
          <cell r="C4295">
            <v>42733.736311956018</v>
          </cell>
        </row>
        <row r="4296">
          <cell r="A4296">
            <v>3035259379</v>
          </cell>
          <cell r="B4296" t="str">
            <v>Sample Rejected</v>
          </cell>
          <cell r="C4296">
            <v>42733.736311956018</v>
          </cell>
        </row>
        <row r="4297">
          <cell r="A4297">
            <v>3035259834</v>
          </cell>
          <cell r="B4297" t="str">
            <v>Sample Rejected</v>
          </cell>
          <cell r="C4297">
            <v>42733.736311956018</v>
          </cell>
        </row>
        <row r="4298">
          <cell r="A4298">
            <v>3035269938</v>
          </cell>
          <cell r="B4298" t="str">
            <v>Sample Rejected</v>
          </cell>
          <cell r="C4298">
            <v>42733.736311956018</v>
          </cell>
        </row>
        <row r="4299">
          <cell r="A4299">
            <v>3035261246</v>
          </cell>
          <cell r="B4299" t="str">
            <v>Sample Rejected</v>
          </cell>
          <cell r="C4299">
            <v>42733.736311956018</v>
          </cell>
        </row>
        <row r="4300">
          <cell r="A4300">
            <v>3035268714</v>
          </cell>
          <cell r="B4300" t="str">
            <v>Sample Rejected</v>
          </cell>
          <cell r="C4300">
            <v>42733.736311956018</v>
          </cell>
        </row>
        <row r="4301">
          <cell r="A4301">
            <v>3035272867</v>
          </cell>
          <cell r="B4301" t="str">
            <v>Sample Rejected</v>
          </cell>
          <cell r="C4301">
            <v>42733.736311956018</v>
          </cell>
        </row>
        <row r="4302">
          <cell r="A4302">
            <v>3035170143</v>
          </cell>
          <cell r="B4302" t="str">
            <v>Sample Rejected</v>
          </cell>
          <cell r="C4302">
            <v>42733.736311956018</v>
          </cell>
        </row>
        <row r="4303">
          <cell r="A4303">
            <v>3035260429</v>
          </cell>
          <cell r="B4303" t="str">
            <v>Sample Rejected</v>
          </cell>
          <cell r="C4303">
            <v>42733.736311956018</v>
          </cell>
        </row>
        <row r="4304">
          <cell r="A4304">
            <v>3035272013</v>
          </cell>
          <cell r="B4304" t="str">
            <v>Sample Rejected</v>
          </cell>
          <cell r="C4304">
            <v>42733.736311956018</v>
          </cell>
        </row>
        <row r="4305">
          <cell r="A4305">
            <v>3035261003</v>
          </cell>
          <cell r="B4305" t="str">
            <v>Sample Rejected</v>
          </cell>
          <cell r="C4305">
            <v>42733.736311956018</v>
          </cell>
        </row>
        <row r="4306">
          <cell r="A4306">
            <v>3035277815</v>
          </cell>
          <cell r="B4306" t="str">
            <v>Sample Rejected</v>
          </cell>
          <cell r="C4306">
            <v>42733.736311956018</v>
          </cell>
        </row>
        <row r="4307">
          <cell r="A4307">
            <v>3035264109</v>
          </cell>
          <cell r="B4307" t="str">
            <v>Sample Rejected</v>
          </cell>
          <cell r="C4307">
            <v>42733.736311956018</v>
          </cell>
        </row>
        <row r="4308">
          <cell r="A4308">
            <v>3035266337</v>
          </cell>
          <cell r="B4308" t="str">
            <v>Sample Rejected</v>
          </cell>
          <cell r="C4308">
            <v>42733.736311956018</v>
          </cell>
        </row>
        <row r="4309">
          <cell r="A4309">
            <v>3035243400</v>
          </cell>
          <cell r="B4309" t="str">
            <v>Sample Rejected</v>
          </cell>
          <cell r="C4309">
            <v>42733.736311956018</v>
          </cell>
        </row>
        <row r="4310">
          <cell r="A4310">
            <v>3035270518</v>
          </cell>
          <cell r="B4310" t="str">
            <v>Sample Rejected</v>
          </cell>
          <cell r="C4310">
            <v>42733.736311956018</v>
          </cell>
        </row>
        <row r="4311">
          <cell r="A4311">
            <v>3035274767</v>
          </cell>
          <cell r="B4311" t="str">
            <v>Sample Rejected</v>
          </cell>
          <cell r="C4311">
            <v>42733.736311956018</v>
          </cell>
        </row>
        <row r="4312">
          <cell r="A4312">
            <v>3035264843</v>
          </cell>
          <cell r="B4312" t="str">
            <v>Sample Rejected</v>
          </cell>
          <cell r="C4312">
            <v>42733.736311956018</v>
          </cell>
        </row>
        <row r="4313">
          <cell r="A4313">
            <v>3035270073</v>
          </cell>
          <cell r="B4313" t="str">
            <v>Sample Rejected</v>
          </cell>
          <cell r="C4313">
            <v>42733.736311956018</v>
          </cell>
        </row>
        <row r="4314">
          <cell r="A4314">
            <v>3035271014</v>
          </cell>
          <cell r="B4314" t="str">
            <v>Sample Rejected</v>
          </cell>
          <cell r="C4314">
            <v>42733.736311956018</v>
          </cell>
        </row>
        <row r="4315">
          <cell r="A4315">
            <v>3035271642</v>
          </cell>
          <cell r="B4315" t="str">
            <v>Sample Rejected</v>
          </cell>
          <cell r="C4315">
            <v>42733.736311956018</v>
          </cell>
        </row>
        <row r="4316">
          <cell r="A4316">
            <v>3035277806</v>
          </cell>
          <cell r="B4316" t="str">
            <v>Sample Rejected</v>
          </cell>
          <cell r="C4316">
            <v>42733.736311956018</v>
          </cell>
        </row>
        <row r="4317">
          <cell r="A4317">
            <v>3035270211</v>
          </cell>
          <cell r="B4317" t="str">
            <v>Sample Rejected</v>
          </cell>
          <cell r="C4317">
            <v>42733.736311956018</v>
          </cell>
        </row>
        <row r="4318">
          <cell r="A4318">
            <v>3035260305</v>
          </cell>
          <cell r="B4318" t="str">
            <v>Sample Rejected</v>
          </cell>
          <cell r="C4318">
            <v>42733.736311956018</v>
          </cell>
        </row>
        <row r="4319">
          <cell r="A4319">
            <v>3035275632</v>
          </cell>
          <cell r="B4319" t="str">
            <v>Sample Rejected</v>
          </cell>
          <cell r="C4319">
            <v>42733.736311956018</v>
          </cell>
        </row>
        <row r="4320">
          <cell r="A4320">
            <v>3035271174</v>
          </cell>
          <cell r="B4320" t="str">
            <v>Sample Rejected</v>
          </cell>
          <cell r="C4320">
            <v>42733.736311956018</v>
          </cell>
        </row>
        <row r="4321">
          <cell r="A4321">
            <v>3035267968</v>
          </cell>
          <cell r="B4321" t="str">
            <v>Sample Rejected</v>
          </cell>
          <cell r="C4321">
            <v>42733.736311956018</v>
          </cell>
        </row>
        <row r="4322">
          <cell r="A4322">
            <v>3035262623</v>
          </cell>
          <cell r="B4322" t="str">
            <v>Sample Rejected</v>
          </cell>
          <cell r="C4322">
            <v>42733.736311956018</v>
          </cell>
        </row>
        <row r="4323">
          <cell r="A4323">
            <v>3035260887</v>
          </cell>
          <cell r="B4323" t="str">
            <v>Sample Rejected</v>
          </cell>
          <cell r="C4323">
            <v>42733.736311956018</v>
          </cell>
        </row>
        <row r="4324">
          <cell r="A4324">
            <v>3035269336</v>
          </cell>
          <cell r="B4324" t="str">
            <v>Sample Rejected</v>
          </cell>
          <cell r="C4324">
            <v>42733.736311956018</v>
          </cell>
        </row>
        <row r="4325">
          <cell r="A4325">
            <v>3035274219</v>
          </cell>
          <cell r="B4325" t="str">
            <v>Sample Rejected</v>
          </cell>
          <cell r="C4325">
            <v>42733.736311956018</v>
          </cell>
        </row>
        <row r="4326">
          <cell r="A4326">
            <v>3035272488</v>
          </cell>
          <cell r="B4326" t="str">
            <v>Sample Rejected</v>
          </cell>
          <cell r="C4326">
            <v>42733.736311956018</v>
          </cell>
        </row>
        <row r="4327">
          <cell r="A4327">
            <v>3035269735</v>
          </cell>
          <cell r="B4327" t="str">
            <v>Sample Rejected</v>
          </cell>
          <cell r="C4327">
            <v>42733.736311956018</v>
          </cell>
        </row>
        <row r="4328">
          <cell r="A4328">
            <v>3035259881</v>
          </cell>
          <cell r="B4328" t="str">
            <v>Sample Rejected</v>
          </cell>
          <cell r="C4328">
            <v>42733.736311956018</v>
          </cell>
        </row>
        <row r="4329">
          <cell r="A4329">
            <v>3035262548</v>
          </cell>
          <cell r="B4329" t="str">
            <v>Sample Rejected</v>
          </cell>
          <cell r="C4329">
            <v>42733.736311956018</v>
          </cell>
        </row>
        <row r="4330">
          <cell r="A4330">
            <v>3035262509</v>
          </cell>
          <cell r="B4330" t="str">
            <v>Sample Rejected</v>
          </cell>
          <cell r="C4330">
            <v>42733.736311956018</v>
          </cell>
        </row>
        <row r="4331">
          <cell r="A4331">
            <v>3035236016</v>
          </cell>
          <cell r="B4331" t="str">
            <v>Sample Rejected</v>
          </cell>
          <cell r="C4331">
            <v>42733.736311956018</v>
          </cell>
        </row>
        <row r="4332">
          <cell r="A4332">
            <v>3035267113</v>
          </cell>
          <cell r="B4332" t="str">
            <v>Sample Rejected</v>
          </cell>
          <cell r="C4332">
            <v>42733.736311956018</v>
          </cell>
        </row>
        <row r="4333">
          <cell r="A4333">
            <v>3035270554</v>
          </cell>
          <cell r="B4333" t="str">
            <v>Sample Rejected</v>
          </cell>
          <cell r="C4333">
            <v>42733.736311956018</v>
          </cell>
        </row>
        <row r="4334">
          <cell r="A4334">
            <v>3035263037</v>
          </cell>
          <cell r="B4334" t="str">
            <v>Sample Rejected</v>
          </cell>
          <cell r="C4334">
            <v>42733.736311956018</v>
          </cell>
        </row>
        <row r="4335">
          <cell r="A4335">
            <v>3035263099</v>
          </cell>
          <cell r="B4335" t="str">
            <v>Sample Rejected</v>
          </cell>
          <cell r="C4335">
            <v>42733.736311956018</v>
          </cell>
        </row>
        <row r="4336">
          <cell r="A4336">
            <v>3035259888</v>
          </cell>
          <cell r="B4336" t="str">
            <v>Sample Rejected</v>
          </cell>
          <cell r="C4336">
            <v>42733.736311956018</v>
          </cell>
        </row>
        <row r="4337">
          <cell r="A4337">
            <v>3035244639</v>
          </cell>
          <cell r="B4337" t="str">
            <v>Sample Rejected</v>
          </cell>
          <cell r="C4337">
            <v>42733.736311956018</v>
          </cell>
        </row>
        <row r="4338">
          <cell r="A4338">
            <v>3035275513</v>
          </cell>
          <cell r="B4338" t="str">
            <v>Sample Rejected</v>
          </cell>
          <cell r="C4338">
            <v>42733.736311956018</v>
          </cell>
        </row>
        <row r="4339">
          <cell r="A4339">
            <v>3035260113</v>
          </cell>
          <cell r="B4339" t="str">
            <v>Sample Rejected</v>
          </cell>
          <cell r="C4339">
            <v>42733.736311956018</v>
          </cell>
        </row>
        <row r="4340">
          <cell r="A4340">
            <v>3035260841</v>
          </cell>
          <cell r="B4340" t="str">
            <v>Sample Rejected</v>
          </cell>
          <cell r="C4340">
            <v>42733.736311956018</v>
          </cell>
        </row>
        <row r="4341">
          <cell r="A4341">
            <v>3035275163</v>
          </cell>
          <cell r="B4341" t="str">
            <v>Sample Rejected</v>
          </cell>
          <cell r="C4341">
            <v>42733.736311956018</v>
          </cell>
        </row>
        <row r="4342">
          <cell r="A4342">
            <v>3035267013</v>
          </cell>
          <cell r="B4342" t="str">
            <v>Sample Rejected</v>
          </cell>
          <cell r="C4342">
            <v>42733.736311956018</v>
          </cell>
        </row>
        <row r="4343">
          <cell r="A4343">
            <v>3035257861</v>
          </cell>
          <cell r="B4343" t="str">
            <v>Sample Rejected</v>
          </cell>
          <cell r="C4343">
            <v>42733.736311956018</v>
          </cell>
        </row>
        <row r="4344">
          <cell r="A4344">
            <v>3035266517</v>
          </cell>
          <cell r="B4344" t="str">
            <v>Sample Rejected</v>
          </cell>
          <cell r="C4344">
            <v>42733.736311956018</v>
          </cell>
        </row>
        <row r="4345">
          <cell r="A4345">
            <v>3035272941</v>
          </cell>
          <cell r="B4345" t="str">
            <v>Sample Rejected</v>
          </cell>
          <cell r="C4345">
            <v>42733.736311956018</v>
          </cell>
        </row>
        <row r="4346">
          <cell r="A4346">
            <v>3035271248</v>
          </cell>
          <cell r="B4346" t="str">
            <v>Sample Rejected</v>
          </cell>
          <cell r="C4346">
            <v>42733.736311956018</v>
          </cell>
        </row>
        <row r="4347">
          <cell r="A4347">
            <v>3035260222</v>
          </cell>
          <cell r="B4347" t="str">
            <v>Sample Rejected</v>
          </cell>
          <cell r="C4347">
            <v>42733.736311956018</v>
          </cell>
        </row>
        <row r="4348">
          <cell r="A4348">
            <v>3035178497</v>
          </cell>
          <cell r="B4348" t="str">
            <v>Sample Rejected</v>
          </cell>
          <cell r="C4348">
            <v>42733.736311956018</v>
          </cell>
        </row>
        <row r="4349">
          <cell r="A4349">
            <v>3035271001</v>
          </cell>
          <cell r="B4349" t="str">
            <v>Sample Rejected</v>
          </cell>
          <cell r="C4349">
            <v>42733.736311956018</v>
          </cell>
        </row>
        <row r="4350">
          <cell r="A4350">
            <v>3035063698</v>
          </cell>
          <cell r="B4350" t="str">
            <v>Sample Rejected</v>
          </cell>
          <cell r="C4350">
            <v>42733.736311956018</v>
          </cell>
        </row>
        <row r="4351">
          <cell r="A4351">
            <v>3035274018</v>
          </cell>
          <cell r="B4351" t="str">
            <v>Sample Rejected</v>
          </cell>
          <cell r="C4351">
            <v>42734.736929016202</v>
          </cell>
        </row>
        <row r="4352">
          <cell r="A4352">
            <v>3035306650</v>
          </cell>
          <cell r="B4352" t="str">
            <v>Sample Rejected</v>
          </cell>
          <cell r="C4352">
            <v>42734.736929016202</v>
          </cell>
        </row>
        <row r="4353">
          <cell r="A4353">
            <v>3035291058</v>
          </cell>
          <cell r="B4353" t="str">
            <v>Sample Rejected</v>
          </cell>
          <cell r="C4353">
            <v>42734.736929016202</v>
          </cell>
        </row>
        <row r="4354">
          <cell r="A4354">
            <v>3035299912</v>
          </cell>
          <cell r="B4354" t="str">
            <v>Sample Rejected</v>
          </cell>
          <cell r="C4354">
            <v>42734.736929016202</v>
          </cell>
        </row>
        <row r="4355">
          <cell r="A4355">
            <v>3035292432</v>
          </cell>
          <cell r="B4355" t="str">
            <v>Sample Rejected</v>
          </cell>
          <cell r="C4355">
            <v>42734.736929016202</v>
          </cell>
        </row>
        <row r="4356">
          <cell r="A4356">
            <v>3035295884</v>
          </cell>
          <cell r="B4356" t="str">
            <v>Sample Rejected</v>
          </cell>
          <cell r="C4356">
            <v>42734.736929016202</v>
          </cell>
        </row>
        <row r="4357">
          <cell r="A4357">
            <v>3035231416</v>
          </cell>
          <cell r="B4357" t="str">
            <v>Sample Rejected</v>
          </cell>
          <cell r="C4357">
            <v>42734.736929016202</v>
          </cell>
        </row>
        <row r="4358">
          <cell r="A4358">
            <v>3035301564</v>
          </cell>
          <cell r="B4358" t="str">
            <v>Sample Rejected</v>
          </cell>
          <cell r="C4358">
            <v>42734.736929016202</v>
          </cell>
        </row>
        <row r="4359">
          <cell r="A4359">
            <v>3035265299</v>
          </cell>
          <cell r="B4359" t="str">
            <v>Sample Rejected</v>
          </cell>
          <cell r="C4359">
            <v>42734.736929016202</v>
          </cell>
        </row>
        <row r="4360">
          <cell r="A4360">
            <v>3035102573</v>
          </cell>
          <cell r="B4360" t="str">
            <v>Sample Rejected</v>
          </cell>
          <cell r="C4360">
            <v>42734.736929016202</v>
          </cell>
        </row>
        <row r="4361">
          <cell r="A4361">
            <v>3035102737</v>
          </cell>
          <cell r="B4361" t="str">
            <v>Sample Rejected</v>
          </cell>
          <cell r="C4361">
            <v>42734.736929016202</v>
          </cell>
        </row>
        <row r="4362">
          <cell r="A4362">
            <v>3035309883</v>
          </cell>
          <cell r="B4362" t="str">
            <v>Sample Rejected</v>
          </cell>
          <cell r="C4362">
            <v>42734.736929016202</v>
          </cell>
        </row>
        <row r="4363">
          <cell r="A4363">
            <v>3035307323</v>
          </cell>
          <cell r="B4363" t="str">
            <v>Sample Rejected</v>
          </cell>
          <cell r="C4363">
            <v>42734.736929016202</v>
          </cell>
        </row>
        <row r="4364">
          <cell r="A4364">
            <v>3035303959</v>
          </cell>
          <cell r="B4364" t="str">
            <v>Sample Rejected</v>
          </cell>
          <cell r="C4364">
            <v>42734.736929016202</v>
          </cell>
        </row>
        <row r="4365">
          <cell r="A4365">
            <v>3035291794</v>
          </cell>
          <cell r="B4365" t="str">
            <v>Sample Rejected</v>
          </cell>
          <cell r="C4365">
            <v>42734.736929016202</v>
          </cell>
        </row>
        <row r="4366">
          <cell r="A4366">
            <v>3035303268</v>
          </cell>
          <cell r="B4366" t="str">
            <v>Sample Rejected</v>
          </cell>
          <cell r="C4366">
            <v>42734.736929016202</v>
          </cell>
        </row>
        <row r="4367">
          <cell r="A4367">
            <v>3035304999</v>
          </cell>
          <cell r="B4367" t="str">
            <v>Sample Rejected</v>
          </cell>
          <cell r="C4367">
            <v>42734.736929016202</v>
          </cell>
        </row>
        <row r="4368">
          <cell r="A4368">
            <v>3035299352</v>
          </cell>
          <cell r="B4368" t="str">
            <v>Sample Rejected</v>
          </cell>
          <cell r="C4368">
            <v>42734.736929016202</v>
          </cell>
        </row>
        <row r="4369">
          <cell r="A4369">
            <v>3035298137</v>
          </cell>
          <cell r="B4369" t="str">
            <v>Sample Rejected</v>
          </cell>
          <cell r="C4369">
            <v>42734.736929016202</v>
          </cell>
        </row>
        <row r="4370">
          <cell r="A4370">
            <v>3035261688</v>
          </cell>
          <cell r="B4370" t="str">
            <v>Sample Rejected</v>
          </cell>
          <cell r="C4370">
            <v>42734.736929016202</v>
          </cell>
        </row>
        <row r="4371">
          <cell r="A4371">
            <v>3035292507</v>
          </cell>
          <cell r="B4371" t="str">
            <v>Sample Rejected</v>
          </cell>
          <cell r="C4371">
            <v>42734.736929016202</v>
          </cell>
        </row>
        <row r="4372">
          <cell r="A4372">
            <v>3035306213</v>
          </cell>
          <cell r="B4372" t="str">
            <v>Sample Rejected</v>
          </cell>
          <cell r="C4372">
            <v>42734.736929016202</v>
          </cell>
        </row>
        <row r="4373">
          <cell r="A4373">
            <v>3035295498</v>
          </cell>
          <cell r="B4373" t="str">
            <v>Sample Rejected</v>
          </cell>
          <cell r="C4373">
            <v>42734.736929016202</v>
          </cell>
        </row>
        <row r="4374">
          <cell r="A4374">
            <v>3035292641</v>
          </cell>
          <cell r="B4374" t="str">
            <v>Sample Rejected</v>
          </cell>
          <cell r="C4374">
            <v>42734.736929016202</v>
          </cell>
        </row>
        <row r="4375">
          <cell r="A4375">
            <v>3035303301</v>
          </cell>
          <cell r="B4375" t="str">
            <v>Sample Rejected</v>
          </cell>
          <cell r="C4375">
            <v>42734.736929016202</v>
          </cell>
        </row>
        <row r="4376">
          <cell r="A4376">
            <v>3035300616</v>
          </cell>
          <cell r="B4376" t="str">
            <v>Sample Rejected</v>
          </cell>
          <cell r="C4376">
            <v>42734.736929016202</v>
          </cell>
        </row>
        <row r="4377">
          <cell r="A4377">
            <v>3035302597</v>
          </cell>
          <cell r="B4377" t="str">
            <v>Sample Rejected</v>
          </cell>
          <cell r="C4377">
            <v>42734.736929016202</v>
          </cell>
        </row>
        <row r="4378">
          <cell r="A4378">
            <v>3035306649</v>
          </cell>
          <cell r="B4378" t="str">
            <v>Sample Rejected</v>
          </cell>
          <cell r="C4378">
            <v>42734.736929016202</v>
          </cell>
        </row>
        <row r="4379">
          <cell r="A4379">
            <v>3035291725</v>
          </cell>
          <cell r="B4379" t="str">
            <v>Sample Rejected</v>
          </cell>
          <cell r="C4379">
            <v>42734.736929016202</v>
          </cell>
        </row>
        <row r="4380">
          <cell r="A4380">
            <v>3035297941</v>
          </cell>
          <cell r="B4380" t="str">
            <v>Sample Rejected</v>
          </cell>
          <cell r="C4380">
            <v>42734.736929016202</v>
          </cell>
        </row>
        <row r="4381">
          <cell r="A4381">
            <v>3035309462</v>
          </cell>
          <cell r="B4381" t="str">
            <v>Sample Rejected</v>
          </cell>
          <cell r="C4381">
            <v>42734.736929016202</v>
          </cell>
        </row>
        <row r="4382">
          <cell r="A4382">
            <v>3035179365</v>
          </cell>
          <cell r="B4382" t="str">
            <v>Sample Rejected</v>
          </cell>
          <cell r="C4382">
            <v>42734.736929016202</v>
          </cell>
        </row>
        <row r="4383">
          <cell r="A4383">
            <v>3035232062</v>
          </cell>
          <cell r="B4383" t="str">
            <v>Sample Rejected</v>
          </cell>
          <cell r="C4383">
            <v>42734.736929016202</v>
          </cell>
        </row>
        <row r="4384">
          <cell r="A4384">
            <v>3035291331</v>
          </cell>
          <cell r="B4384" t="str">
            <v>Sample Rejected</v>
          </cell>
          <cell r="C4384">
            <v>42734.736929016202</v>
          </cell>
        </row>
        <row r="4385">
          <cell r="A4385">
            <v>3035292296</v>
          </cell>
          <cell r="B4385" t="str">
            <v>Sample Rejected</v>
          </cell>
          <cell r="C4385">
            <v>42734.736929016202</v>
          </cell>
        </row>
        <row r="4386">
          <cell r="A4386">
            <v>3035292644</v>
          </cell>
          <cell r="B4386" t="str">
            <v>Sample Rejected</v>
          </cell>
          <cell r="C4386">
            <v>42734.736929016202</v>
          </cell>
        </row>
        <row r="4387">
          <cell r="A4387">
            <v>3035293338</v>
          </cell>
          <cell r="B4387" t="str">
            <v>Sample Rejected</v>
          </cell>
          <cell r="C4387">
            <v>42734.736929016202</v>
          </cell>
        </row>
        <row r="4388">
          <cell r="A4388">
            <v>3035293236</v>
          </cell>
          <cell r="B4388" t="str">
            <v>Sample Rejected</v>
          </cell>
          <cell r="C4388">
            <v>42734.736929016202</v>
          </cell>
        </row>
        <row r="4389">
          <cell r="A4389">
            <v>3035299426</v>
          </cell>
          <cell r="B4389" t="str">
            <v>Sample Rejected</v>
          </cell>
          <cell r="C4389">
            <v>42734.736929016202</v>
          </cell>
        </row>
        <row r="4390">
          <cell r="A4390">
            <v>3035312136</v>
          </cell>
          <cell r="B4390" t="str">
            <v>Sample Rejected</v>
          </cell>
          <cell r="C4390">
            <v>42734.736929016202</v>
          </cell>
        </row>
        <row r="4391">
          <cell r="A4391">
            <v>3035302097</v>
          </cell>
          <cell r="B4391" t="str">
            <v>Sample Rejected</v>
          </cell>
          <cell r="C4391">
            <v>42734.736929016202</v>
          </cell>
        </row>
        <row r="4392">
          <cell r="A4392">
            <v>3035309728</v>
          </cell>
          <cell r="B4392" t="str">
            <v>Sample Rejected</v>
          </cell>
          <cell r="C4392">
            <v>42734.736929016202</v>
          </cell>
        </row>
        <row r="4393">
          <cell r="A4393">
            <v>3035305908</v>
          </cell>
          <cell r="B4393" t="str">
            <v>Sample Rejected</v>
          </cell>
          <cell r="C4393">
            <v>42734.736929016202</v>
          </cell>
        </row>
        <row r="4394">
          <cell r="A4394">
            <v>3035301612</v>
          </cell>
          <cell r="B4394" t="str">
            <v>Sample Rejected</v>
          </cell>
          <cell r="C4394">
            <v>42734.736929016202</v>
          </cell>
        </row>
        <row r="4395">
          <cell r="A4395">
            <v>3035292102</v>
          </cell>
          <cell r="B4395" t="str">
            <v>Sample Rejected</v>
          </cell>
          <cell r="C4395">
            <v>42734.736929016202</v>
          </cell>
        </row>
        <row r="4396">
          <cell r="A4396">
            <v>3035293467</v>
          </cell>
          <cell r="B4396" t="str">
            <v>Sample Rejected</v>
          </cell>
          <cell r="C4396">
            <v>42734.736929016202</v>
          </cell>
        </row>
        <row r="4397">
          <cell r="A4397">
            <v>3035294401</v>
          </cell>
          <cell r="B4397" t="str">
            <v>Sample Rejected</v>
          </cell>
          <cell r="C4397">
            <v>42734.736929016202</v>
          </cell>
        </row>
        <row r="4398">
          <cell r="A4398">
            <v>3035290724</v>
          </cell>
          <cell r="B4398" t="str">
            <v>Sample Rejected</v>
          </cell>
          <cell r="C4398">
            <v>42734.736929016202</v>
          </cell>
        </row>
        <row r="4399">
          <cell r="A4399">
            <v>3035242190</v>
          </cell>
          <cell r="B4399" t="str">
            <v>Sample Rejected</v>
          </cell>
          <cell r="C4399">
            <v>42733.736311956018</v>
          </cell>
        </row>
        <row r="4400">
          <cell r="A4400">
            <v>3035269701</v>
          </cell>
          <cell r="B4400" t="str">
            <v>Sample Rejected</v>
          </cell>
          <cell r="C4400">
            <v>42733.736311956018</v>
          </cell>
        </row>
        <row r="4401">
          <cell r="A4401">
            <v>3035261151</v>
          </cell>
          <cell r="B4401" t="str">
            <v>Sample Rejected</v>
          </cell>
          <cell r="C4401">
            <v>42733.736311956018</v>
          </cell>
        </row>
        <row r="4402">
          <cell r="A4402">
            <v>3035277511</v>
          </cell>
          <cell r="B4402" t="str">
            <v>Sample Rejected</v>
          </cell>
          <cell r="C4402">
            <v>42733.736311956018</v>
          </cell>
        </row>
        <row r="4403">
          <cell r="A4403">
            <v>3035259496</v>
          </cell>
          <cell r="B4403" t="str">
            <v>Sample Rejected</v>
          </cell>
          <cell r="C4403">
            <v>42733.736311956018</v>
          </cell>
        </row>
        <row r="4404">
          <cell r="A4404">
            <v>3035261520</v>
          </cell>
          <cell r="B4404" t="str">
            <v>Sample Rejected</v>
          </cell>
          <cell r="C4404">
            <v>42733.736311956018</v>
          </cell>
        </row>
        <row r="4405">
          <cell r="A4405">
            <v>3035273183</v>
          </cell>
          <cell r="B4405" t="str">
            <v>Sample Rejected</v>
          </cell>
          <cell r="C4405">
            <v>42733.736311956018</v>
          </cell>
        </row>
        <row r="4406">
          <cell r="A4406">
            <v>3035267994</v>
          </cell>
          <cell r="B4406" t="str">
            <v>Sample Rejected</v>
          </cell>
          <cell r="C4406">
            <v>42733.736311956018</v>
          </cell>
        </row>
        <row r="4407">
          <cell r="A4407">
            <v>3035275748</v>
          </cell>
          <cell r="B4407" t="str">
            <v>Sample Rejected</v>
          </cell>
          <cell r="C4407">
            <v>42733.736311956018</v>
          </cell>
        </row>
        <row r="4408">
          <cell r="A4408">
            <v>3035259666</v>
          </cell>
          <cell r="B4408" t="str">
            <v>Sample Rejected</v>
          </cell>
          <cell r="C4408">
            <v>42733.736311956018</v>
          </cell>
        </row>
        <row r="4409">
          <cell r="A4409">
            <v>3035276355</v>
          </cell>
          <cell r="B4409" t="str">
            <v>Sample Rejected</v>
          </cell>
          <cell r="C4409">
            <v>42733.736311956018</v>
          </cell>
        </row>
        <row r="4410">
          <cell r="A4410">
            <v>3035260929</v>
          </cell>
          <cell r="B4410" t="str">
            <v>Sample Rejected</v>
          </cell>
          <cell r="C4410">
            <v>42733.736311956018</v>
          </cell>
        </row>
        <row r="4411">
          <cell r="A4411">
            <v>3035114341</v>
          </cell>
          <cell r="B4411" t="str">
            <v>Sample Rejected</v>
          </cell>
          <cell r="C4411">
            <v>42733.736311956018</v>
          </cell>
        </row>
        <row r="4412">
          <cell r="A4412">
            <v>3035231612</v>
          </cell>
          <cell r="B4412" t="str">
            <v>Sample Rejected</v>
          </cell>
          <cell r="C4412">
            <v>42733.736311956018</v>
          </cell>
        </row>
        <row r="4413">
          <cell r="A4413">
            <v>3035272257</v>
          </cell>
          <cell r="B4413" t="str">
            <v>Sample Rejected</v>
          </cell>
          <cell r="C4413">
            <v>42733.736311956018</v>
          </cell>
        </row>
        <row r="4414">
          <cell r="A4414">
            <v>3035101735</v>
          </cell>
          <cell r="B4414" t="str">
            <v>Sample Rejected</v>
          </cell>
          <cell r="C4414">
            <v>42733.736311956018</v>
          </cell>
        </row>
        <row r="4415">
          <cell r="A4415">
            <v>3035258484</v>
          </cell>
          <cell r="B4415" t="str">
            <v>Sample Rejected</v>
          </cell>
          <cell r="C4415">
            <v>42733.736311956018</v>
          </cell>
        </row>
        <row r="4416">
          <cell r="A4416">
            <v>3035238031</v>
          </cell>
          <cell r="B4416" t="str">
            <v>Sample Rejected</v>
          </cell>
          <cell r="C4416">
            <v>42733.736311956018</v>
          </cell>
        </row>
        <row r="4417">
          <cell r="A4417">
            <v>3035232382</v>
          </cell>
          <cell r="B4417" t="str">
            <v>Sample Rejected</v>
          </cell>
          <cell r="C4417">
            <v>42733.736311956018</v>
          </cell>
        </row>
        <row r="4418">
          <cell r="A4418">
            <v>3035141675</v>
          </cell>
          <cell r="B4418" t="str">
            <v>Sample Rejected</v>
          </cell>
          <cell r="C4418">
            <v>42733.736311956018</v>
          </cell>
        </row>
        <row r="4419">
          <cell r="A4419">
            <v>3035265906</v>
          </cell>
          <cell r="B4419" t="str">
            <v>Sample Rejected</v>
          </cell>
          <cell r="C4419">
            <v>42733.736311956018</v>
          </cell>
        </row>
        <row r="4420">
          <cell r="A4420">
            <v>3035259775</v>
          </cell>
          <cell r="B4420" t="str">
            <v>Sample Rejected</v>
          </cell>
          <cell r="C4420">
            <v>42733.736311956018</v>
          </cell>
        </row>
        <row r="4421">
          <cell r="A4421">
            <v>3035291101</v>
          </cell>
          <cell r="B4421" t="str">
            <v>Sample Rejected</v>
          </cell>
          <cell r="C4421">
            <v>42734.736929016202</v>
          </cell>
        </row>
        <row r="4422">
          <cell r="A4422">
            <v>3035303133</v>
          </cell>
          <cell r="B4422" t="str">
            <v>Sample Rejected</v>
          </cell>
          <cell r="C4422">
            <v>42734.736929016202</v>
          </cell>
        </row>
        <row r="4423">
          <cell r="A4423">
            <v>3035266838</v>
          </cell>
          <cell r="B4423" t="str">
            <v>Sample Rejected</v>
          </cell>
          <cell r="C4423">
            <v>42734.736929016202</v>
          </cell>
        </row>
        <row r="4424">
          <cell r="A4424">
            <v>3035269108</v>
          </cell>
          <cell r="B4424" t="str">
            <v>Sample Rejected</v>
          </cell>
          <cell r="C4424">
            <v>42733.736311956018</v>
          </cell>
        </row>
        <row r="4425">
          <cell r="A4425">
            <v>3035243867</v>
          </cell>
          <cell r="B4425" t="str">
            <v>Sample Rejected</v>
          </cell>
          <cell r="C4425">
            <v>42733.736311956018</v>
          </cell>
        </row>
        <row r="4426">
          <cell r="A4426">
            <v>3035259071</v>
          </cell>
          <cell r="B4426" t="str">
            <v>Sample Rejected</v>
          </cell>
          <cell r="C4426">
            <v>42733.736311956018</v>
          </cell>
        </row>
        <row r="4427">
          <cell r="A4427">
            <v>3035270257</v>
          </cell>
          <cell r="B4427" t="str">
            <v>Sample Rejected</v>
          </cell>
          <cell r="C4427">
            <v>42733.736311956018</v>
          </cell>
        </row>
        <row r="4428">
          <cell r="A4428">
            <v>3035234020</v>
          </cell>
          <cell r="B4428" t="str">
            <v>Sample Rejected</v>
          </cell>
          <cell r="C4428">
            <v>42733.736311956018</v>
          </cell>
        </row>
        <row r="4429">
          <cell r="A4429">
            <v>3035271765</v>
          </cell>
          <cell r="B4429" t="str">
            <v>Sample Rejected</v>
          </cell>
          <cell r="C4429">
            <v>42733.736311956018</v>
          </cell>
        </row>
        <row r="4430">
          <cell r="A4430">
            <v>3035261595</v>
          </cell>
          <cell r="B4430" t="str">
            <v>Sample Rejected</v>
          </cell>
          <cell r="C4430">
            <v>42733.736311956018</v>
          </cell>
        </row>
        <row r="4431">
          <cell r="A4431">
            <v>3035260534</v>
          </cell>
          <cell r="B4431" t="str">
            <v>Sample Rejected</v>
          </cell>
          <cell r="C4431">
            <v>42733.736311956018</v>
          </cell>
        </row>
        <row r="4432">
          <cell r="A4432">
            <v>3035271981</v>
          </cell>
          <cell r="B4432" t="str">
            <v>Sample Rejected</v>
          </cell>
          <cell r="C4432">
            <v>42734.736929016202</v>
          </cell>
        </row>
        <row r="4433">
          <cell r="A4433">
            <v>3035271941</v>
          </cell>
          <cell r="B4433" t="str">
            <v>Sample Rejected</v>
          </cell>
          <cell r="C4433">
            <v>42734.736929016202</v>
          </cell>
        </row>
        <row r="4434">
          <cell r="A4434">
            <v>3035264040</v>
          </cell>
          <cell r="B4434" t="str">
            <v>Sample Rejected</v>
          </cell>
          <cell r="C4434">
            <v>42734.736929016202</v>
          </cell>
        </row>
        <row r="4435">
          <cell r="A4435">
            <v>3035296588</v>
          </cell>
          <cell r="B4435" t="str">
            <v>Sample Rejected</v>
          </cell>
          <cell r="C4435">
            <v>42734.736929016202</v>
          </cell>
        </row>
        <row r="4436">
          <cell r="A4436">
            <v>3035304538</v>
          </cell>
          <cell r="B4436" t="str">
            <v>Sample Rejected</v>
          </cell>
          <cell r="C4436">
            <v>42734.736929016202</v>
          </cell>
        </row>
        <row r="4437">
          <cell r="A4437">
            <v>3035302616</v>
          </cell>
          <cell r="B4437" t="str">
            <v>Sample Rejected</v>
          </cell>
          <cell r="C4437">
            <v>42734.736929016202</v>
          </cell>
        </row>
        <row r="4438">
          <cell r="A4438">
            <v>3035304741</v>
          </cell>
          <cell r="B4438" t="str">
            <v>Sample Rejected</v>
          </cell>
          <cell r="C4438">
            <v>42734.736929016202</v>
          </cell>
        </row>
        <row r="4439">
          <cell r="A4439">
            <v>3035311730</v>
          </cell>
          <cell r="B4439" t="str">
            <v>Sample Rejected</v>
          </cell>
          <cell r="C4439">
            <v>42734.736929016202</v>
          </cell>
        </row>
        <row r="4440">
          <cell r="A4440">
            <v>3035167811</v>
          </cell>
          <cell r="B4440" t="str">
            <v>Sample Rejected</v>
          </cell>
          <cell r="C4440">
            <v>42734.736929016202</v>
          </cell>
        </row>
        <row r="4441">
          <cell r="A4441">
            <v>3035202364</v>
          </cell>
          <cell r="B4441" t="str">
            <v>Sample Rejected</v>
          </cell>
          <cell r="C4441">
            <v>42734.736929016202</v>
          </cell>
        </row>
        <row r="4442">
          <cell r="A4442">
            <v>3035300612</v>
          </cell>
          <cell r="B4442" t="str">
            <v>Sample Rejected</v>
          </cell>
          <cell r="C4442">
            <v>42734.736929016202</v>
          </cell>
        </row>
        <row r="4443">
          <cell r="A4443">
            <v>3035297249</v>
          </cell>
          <cell r="B4443" t="str">
            <v>Sample Rejected</v>
          </cell>
          <cell r="C4443">
            <v>42734.736929016202</v>
          </cell>
        </row>
        <row r="4444">
          <cell r="A4444">
            <v>3035305870</v>
          </cell>
          <cell r="B4444" t="str">
            <v>Sample Rejected</v>
          </cell>
          <cell r="C4444">
            <v>42734.736929016202</v>
          </cell>
        </row>
        <row r="4445">
          <cell r="A4445">
            <v>3035302365</v>
          </cell>
          <cell r="B4445" t="str">
            <v>Sample Rejected</v>
          </cell>
          <cell r="C4445">
            <v>42734.736929016202</v>
          </cell>
        </row>
        <row r="4446">
          <cell r="A4446">
            <v>3035297910</v>
          </cell>
          <cell r="B4446" t="str">
            <v>Sample Rejected</v>
          </cell>
          <cell r="C4446">
            <v>42734.736929016202</v>
          </cell>
        </row>
        <row r="4447">
          <cell r="A4447">
            <v>3035201314</v>
          </cell>
          <cell r="B4447" t="str">
            <v>Sample Rejected</v>
          </cell>
          <cell r="C4447">
            <v>42735.736799421298</v>
          </cell>
        </row>
        <row r="4448">
          <cell r="A4448">
            <v>3035324701</v>
          </cell>
          <cell r="B4448" t="str">
            <v>Sample Rejected</v>
          </cell>
          <cell r="C4448">
            <v>42735.736799421298</v>
          </cell>
        </row>
        <row r="4449">
          <cell r="A4449">
            <v>3035325252</v>
          </cell>
          <cell r="B4449" t="str">
            <v>Sample Rejected</v>
          </cell>
          <cell r="C4449">
            <v>42735.736799421298</v>
          </cell>
        </row>
        <row r="4450">
          <cell r="A4450">
            <v>3035299472</v>
          </cell>
          <cell r="B4450" t="str">
            <v>Sample Rejected</v>
          </cell>
          <cell r="C4450">
            <v>42735.736799421298</v>
          </cell>
        </row>
        <row r="4451">
          <cell r="A4451">
            <v>3035325499</v>
          </cell>
          <cell r="B4451" t="str">
            <v>Sample Rejected</v>
          </cell>
          <cell r="C4451">
            <v>42735.736799421298</v>
          </cell>
        </row>
        <row r="4452">
          <cell r="A4452">
            <v>3035311543</v>
          </cell>
          <cell r="B4452" t="str">
            <v>Sample Rejected</v>
          </cell>
          <cell r="C4452">
            <v>42735.736799421298</v>
          </cell>
        </row>
        <row r="4453">
          <cell r="A4453">
            <v>3035339564</v>
          </cell>
          <cell r="B4453" t="str">
            <v>Sample Rejected</v>
          </cell>
          <cell r="C4453">
            <v>42735.736799421298</v>
          </cell>
        </row>
        <row r="4454">
          <cell r="A4454">
            <v>3035341325</v>
          </cell>
          <cell r="B4454" t="str">
            <v>Sample Rejected</v>
          </cell>
          <cell r="C4454">
            <v>42735.736799421298</v>
          </cell>
        </row>
        <row r="4455">
          <cell r="A4455">
            <v>3035324459</v>
          </cell>
          <cell r="B4455" t="str">
            <v>Sample Rejected</v>
          </cell>
          <cell r="C4455">
            <v>42735.736799421298</v>
          </cell>
        </row>
        <row r="4456">
          <cell r="A4456">
            <v>3035326691</v>
          </cell>
          <cell r="B4456" t="str">
            <v>Sample Rejected</v>
          </cell>
          <cell r="C4456">
            <v>42735.736799421298</v>
          </cell>
        </row>
        <row r="4457">
          <cell r="A4457">
            <v>3035292158</v>
          </cell>
          <cell r="B4457" t="str">
            <v>Sample Rejected</v>
          </cell>
          <cell r="C4457">
            <v>42735.736799421298</v>
          </cell>
        </row>
        <row r="4458">
          <cell r="A4458">
            <v>3035333675</v>
          </cell>
          <cell r="B4458" t="str">
            <v>Sample Rejected</v>
          </cell>
          <cell r="C4458">
            <v>42735.736799421298</v>
          </cell>
        </row>
        <row r="4459">
          <cell r="A4459">
            <v>3035328272</v>
          </cell>
          <cell r="B4459" t="str">
            <v>Sample Rejected</v>
          </cell>
          <cell r="C4459">
            <v>42735.736799421298</v>
          </cell>
        </row>
        <row r="4460">
          <cell r="A4460">
            <v>3035334883</v>
          </cell>
          <cell r="B4460" t="str">
            <v>Sample Rejected</v>
          </cell>
          <cell r="C4460">
            <v>42735.736799421298</v>
          </cell>
        </row>
        <row r="4461">
          <cell r="A4461">
            <v>3035325676</v>
          </cell>
          <cell r="B4461" t="str">
            <v>Sample Rejected</v>
          </cell>
          <cell r="C4461">
            <v>42735.736799421298</v>
          </cell>
        </row>
        <row r="4462">
          <cell r="A4462">
            <v>3035324057</v>
          </cell>
          <cell r="B4462" t="str">
            <v>Sample Rejected</v>
          </cell>
          <cell r="C4462">
            <v>42735.736799421298</v>
          </cell>
        </row>
        <row r="4463">
          <cell r="A4463">
            <v>3035325798</v>
          </cell>
          <cell r="B4463" t="str">
            <v>Sample Rejected</v>
          </cell>
          <cell r="C4463">
            <v>42735.736799421298</v>
          </cell>
        </row>
        <row r="4464">
          <cell r="A4464">
            <v>3035333696</v>
          </cell>
          <cell r="B4464" t="str">
            <v>Sample Rejected</v>
          </cell>
          <cell r="C4464">
            <v>42735.736799421298</v>
          </cell>
        </row>
        <row r="4465">
          <cell r="A4465">
            <v>3035325176</v>
          </cell>
          <cell r="B4465" t="str">
            <v>Sample Rejected</v>
          </cell>
          <cell r="C4465">
            <v>42735.736799421298</v>
          </cell>
        </row>
        <row r="4466">
          <cell r="A4466">
            <v>3035326217</v>
          </cell>
          <cell r="B4466" t="str">
            <v>Sample Rejected</v>
          </cell>
          <cell r="C4466">
            <v>42735.736799421298</v>
          </cell>
        </row>
        <row r="4467">
          <cell r="A4467">
            <v>3035337188</v>
          </cell>
          <cell r="B4467" t="str">
            <v>Sample Rejected</v>
          </cell>
          <cell r="C4467">
            <v>42735.736799421298</v>
          </cell>
        </row>
        <row r="4468">
          <cell r="A4468">
            <v>3035277967</v>
          </cell>
          <cell r="B4468" t="str">
            <v>Sample Rejected</v>
          </cell>
          <cell r="C4468">
            <v>42735.736799421298</v>
          </cell>
        </row>
        <row r="4469">
          <cell r="A4469">
            <v>3035332304</v>
          </cell>
          <cell r="B4469" t="str">
            <v>Sample Rejected</v>
          </cell>
          <cell r="C4469">
            <v>42735.736799421298</v>
          </cell>
        </row>
        <row r="4470">
          <cell r="A4470">
            <v>3035329455</v>
          </cell>
          <cell r="B4470" t="str">
            <v>Sample Rejected</v>
          </cell>
          <cell r="C4470">
            <v>42735.736799421298</v>
          </cell>
        </row>
        <row r="4471">
          <cell r="A4471">
            <v>3035323161</v>
          </cell>
          <cell r="B4471" t="str">
            <v>Sample Rejected</v>
          </cell>
          <cell r="C4471">
            <v>42735.736799421298</v>
          </cell>
        </row>
        <row r="4472">
          <cell r="A4472">
            <v>3035325267</v>
          </cell>
          <cell r="B4472" t="str">
            <v>Sample Rejected</v>
          </cell>
          <cell r="C4472">
            <v>42735.736799421298</v>
          </cell>
        </row>
        <row r="4473">
          <cell r="A4473">
            <v>3035341987</v>
          </cell>
          <cell r="B4473" t="str">
            <v>Sample Rejected</v>
          </cell>
          <cell r="C4473">
            <v>42735.736799421298</v>
          </cell>
        </row>
        <row r="4474">
          <cell r="A4474">
            <v>3035324707</v>
          </cell>
          <cell r="B4474" t="str">
            <v>Sample Rejected</v>
          </cell>
          <cell r="C4474">
            <v>42735.736799421298</v>
          </cell>
        </row>
        <row r="4475">
          <cell r="A4475">
            <v>3035325037</v>
          </cell>
          <cell r="B4475" t="str">
            <v>Sample Rejected</v>
          </cell>
          <cell r="C4475">
            <v>42735.736799421298</v>
          </cell>
        </row>
        <row r="4476">
          <cell r="A4476">
            <v>3035326977</v>
          </cell>
          <cell r="B4476" t="str">
            <v>Sample Rejected</v>
          </cell>
          <cell r="C4476">
            <v>42735.736799421298</v>
          </cell>
        </row>
        <row r="4477">
          <cell r="A4477">
            <v>3035327088</v>
          </cell>
          <cell r="B4477" t="str">
            <v>Sample Rejected</v>
          </cell>
          <cell r="C4477">
            <v>42735.736799421298</v>
          </cell>
        </row>
        <row r="4478">
          <cell r="A4478">
            <v>3035138047</v>
          </cell>
          <cell r="B4478" t="str">
            <v>Sample Rejected</v>
          </cell>
          <cell r="C4478">
            <v>42735.736799421298</v>
          </cell>
        </row>
        <row r="4479">
          <cell r="A4479">
            <v>3035325835</v>
          </cell>
          <cell r="B4479" t="str">
            <v>Sample Rejected</v>
          </cell>
          <cell r="C4479">
            <v>42735.736799421298</v>
          </cell>
        </row>
        <row r="4480">
          <cell r="A4480">
            <v>3035325279</v>
          </cell>
          <cell r="B4480" t="str">
            <v>Sample Rejected</v>
          </cell>
          <cell r="C4480">
            <v>42735.736799421298</v>
          </cell>
        </row>
        <row r="4481">
          <cell r="A4481">
            <v>3035336067</v>
          </cell>
          <cell r="B4481" t="str">
            <v>Sample Rejected</v>
          </cell>
          <cell r="C4481">
            <v>42735.736799421298</v>
          </cell>
        </row>
        <row r="4482">
          <cell r="A4482">
            <v>3035331663</v>
          </cell>
          <cell r="B4482" t="str">
            <v>Sample Rejected</v>
          </cell>
          <cell r="C4482">
            <v>42735.736799421298</v>
          </cell>
        </row>
        <row r="4483">
          <cell r="A4483">
            <v>3035326122</v>
          </cell>
          <cell r="B4483" t="str">
            <v>Sample Rejected</v>
          </cell>
          <cell r="C4483">
            <v>42735.736799421298</v>
          </cell>
        </row>
        <row r="4484">
          <cell r="A4484">
            <v>3035324162</v>
          </cell>
          <cell r="B4484" t="str">
            <v>Sample Rejected</v>
          </cell>
          <cell r="C4484">
            <v>42735.736799421298</v>
          </cell>
        </row>
        <row r="4485">
          <cell r="A4485">
            <v>3035298055</v>
          </cell>
          <cell r="B4485" t="str">
            <v>Sample Rejected</v>
          </cell>
          <cell r="C4485">
            <v>42735.736799421298</v>
          </cell>
        </row>
        <row r="4486">
          <cell r="A4486">
            <v>3035304761</v>
          </cell>
          <cell r="B4486" t="str">
            <v>Sample Rejected</v>
          </cell>
          <cell r="C4486">
            <v>42735.736799421298</v>
          </cell>
        </row>
        <row r="4487">
          <cell r="A4487">
            <v>3035327356</v>
          </cell>
          <cell r="B4487" t="str">
            <v>Sample Rejected</v>
          </cell>
          <cell r="C4487">
            <v>42735.736799421298</v>
          </cell>
        </row>
        <row r="4488">
          <cell r="A4488">
            <v>3035335580</v>
          </cell>
          <cell r="B4488" t="str">
            <v>Sample Rejected</v>
          </cell>
          <cell r="C4488">
            <v>42735.736799421298</v>
          </cell>
        </row>
        <row r="4489">
          <cell r="A4489">
            <v>3035337042</v>
          </cell>
          <cell r="B4489" t="str">
            <v>Sample Rejected</v>
          </cell>
          <cell r="C4489">
            <v>42735.736799421298</v>
          </cell>
        </row>
        <row r="4490">
          <cell r="A4490">
            <v>3035328141</v>
          </cell>
          <cell r="B4490" t="str">
            <v>Sample Rejected</v>
          </cell>
          <cell r="C4490">
            <v>42735.736799421298</v>
          </cell>
        </row>
        <row r="4491">
          <cell r="A4491">
            <v>3035326792</v>
          </cell>
          <cell r="B4491" t="str">
            <v>Sample Rejected</v>
          </cell>
          <cell r="C4491">
            <v>42735.736799421298</v>
          </cell>
        </row>
        <row r="4492">
          <cell r="A4492">
            <v>3035311898</v>
          </cell>
          <cell r="B4492" t="str">
            <v>Sample Rejected</v>
          </cell>
          <cell r="C4492">
            <v>42735.736799421298</v>
          </cell>
        </row>
        <row r="4493">
          <cell r="A4493">
            <v>3035305045</v>
          </cell>
          <cell r="B4493" t="str">
            <v>Sample Rejected</v>
          </cell>
          <cell r="C4493">
            <v>42735.736799421298</v>
          </cell>
        </row>
        <row r="4494">
          <cell r="A4494">
            <v>3035334547</v>
          </cell>
          <cell r="B4494" t="str">
            <v>Sample Rejected</v>
          </cell>
          <cell r="C4494">
            <v>42735.736799421298</v>
          </cell>
        </row>
        <row r="4495">
          <cell r="A4495">
            <v>3035304911</v>
          </cell>
          <cell r="B4495" t="str">
            <v>Sample Rejected</v>
          </cell>
          <cell r="C4495">
            <v>42734.736929016202</v>
          </cell>
        </row>
        <row r="4496">
          <cell r="A4496">
            <v>3035239130</v>
          </cell>
          <cell r="B4496" t="str">
            <v>Sample Rejected</v>
          </cell>
          <cell r="C4496">
            <v>42734.736947418984</v>
          </cell>
        </row>
        <row r="4497">
          <cell r="A4497">
            <v>3035264889</v>
          </cell>
          <cell r="B4497" t="str">
            <v>Sample Rejected</v>
          </cell>
          <cell r="C4497">
            <v>42734.736929016202</v>
          </cell>
        </row>
        <row r="4498">
          <cell r="A4498">
            <v>3035305059</v>
          </cell>
          <cell r="B4498" t="str">
            <v>Sample Rejected</v>
          </cell>
          <cell r="C4498">
            <v>42734.736929016202</v>
          </cell>
        </row>
        <row r="4499">
          <cell r="A4499">
            <v>3035297132</v>
          </cell>
          <cell r="B4499" t="str">
            <v>Sample Rejected</v>
          </cell>
          <cell r="C4499">
            <v>42734.736929016202</v>
          </cell>
        </row>
        <row r="4500">
          <cell r="A4500">
            <v>3035297884</v>
          </cell>
          <cell r="B4500" t="str">
            <v>Sample Rejected</v>
          </cell>
          <cell r="C4500">
            <v>42734.736929016202</v>
          </cell>
        </row>
        <row r="4501">
          <cell r="A4501">
            <v>3035294276</v>
          </cell>
          <cell r="B4501" t="str">
            <v>Sample Rejected</v>
          </cell>
          <cell r="C4501">
            <v>42734.736929016202</v>
          </cell>
        </row>
        <row r="4502">
          <cell r="A4502">
            <v>3035293718</v>
          </cell>
          <cell r="B4502" t="str">
            <v>Sample Rejected</v>
          </cell>
          <cell r="C4502">
            <v>42734.736929016202</v>
          </cell>
        </row>
        <row r="4503">
          <cell r="A4503">
            <v>3035291844</v>
          </cell>
          <cell r="B4503" t="str">
            <v>Sample Rejected</v>
          </cell>
          <cell r="C4503">
            <v>42734.736929016202</v>
          </cell>
        </row>
        <row r="4504">
          <cell r="A4504">
            <v>3035292938</v>
          </cell>
          <cell r="B4504" t="str">
            <v>Sample Rejected</v>
          </cell>
          <cell r="C4504">
            <v>42734.736929016202</v>
          </cell>
        </row>
        <row r="4505">
          <cell r="A4505">
            <v>3035310129</v>
          </cell>
          <cell r="B4505" t="str">
            <v>Sample Rejected</v>
          </cell>
          <cell r="C4505">
            <v>42734.736929016202</v>
          </cell>
        </row>
        <row r="4506">
          <cell r="A4506">
            <v>3035301085</v>
          </cell>
          <cell r="B4506" t="str">
            <v>Sample Rejected</v>
          </cell>
          <cell r="C4506">
            <v>42734.736929016202</v>
          </cell>
        </row>
        <row r="4507">
          <cell r="A4507">
            <v>3035300053</v>
          </cell>
          <cell r="B4507" t="str">
            <v>Sample Rejected</v>
          </cell>
          <cell r="C4507">
            <v>42734.736929016202</v>
          </cell>
        </row>
        <row r="4508">
          <cell r="A4508">
            <v>3035075657</v>
          </cell>
          <cell r="B4508" t="str">
            <v>Sample Rejected</v>
          </cell>
          <cell r="C4508">
            <v>42734.736929016202</v>
          </cell>
        </row>
        <row r="4509">
          <cell r="A4509">
            <v>3035298320</v>
          </cell>
          <cell r="B4509" t="str">
            <v>Sample Rejected</v>
          </cell>
          <cell r="C4509">
            <v>42734.736929016202</v>
          </cell>
        </row>
        <row r="4510">
          <cell r="A4510">
            <v>3035259263</v>
          </cell>
          <cell r="B4510" t="str">
            <v>Sample Rejected</v>
          </cell>
          <cell r="C4510">
            <v>42734.736929016202</v>
          </cell>
        </row>
        <row r="4511">
          <cell r="A4511">
            <v>3035304375</v>
          </cell>
          <cell r="B4511" t="str">
            <v>Sample Rejected</v>
          </cell>
          <cell r="C4511">
            <v>42734.736929016202</v>
          </cell>
        </row>
        <row r="4512">
          <cell r="A4512">
            <v>3035234613</v>
          </cell>
          <cell r="B4512" t="str">
            <v>Sample Rejected</v>
          </cell>
          <cell r="C4512">
            <v>42734.736929016202</v>
          </cell>
        </row>
        <row r="4513">
          <cell r="A4513">
            <v>3035195538</v>
          </cell>
          <cell r="B4513" t="str">
            <v>Sample Rejected</v>
          </cell>
          <cell r="C4513">
            <v>42734.736929016202</v>
          </cell>
        </row>
        <row r="4514">
          <cell r="A4514">
            <v>3035139325</v>
          </cell>
          <cell r="B4514" t="str">
            <v>Sample Rejected</v>
          </cell>
          <cell r="C4514">
            <v>42734.736929016202</v>
          </cell>
        </row>
        <row r="4515">
          <cell r="A4515">
            <v>3035296819</v>
          </cell>
          <cell r="B4515" t="str">
            <v>Sample Rejected</v>
          </cell>
          <cell r="C4515">
            <v>42734.736929016202</v>
          </cell>
        </row>
        <row r="4516">
          <cell r="A4516">
            <v>3035297577</v>
          </cell>
          <cell r="B4516" t="str">
            <v>Sample Rejected</v>
          </cell>
          <cell r="C4516">
            <v>42734.736929016202</v>
          </cell>
        </row>
        <row r="4517">
          <cell r="A4517">
            <v>3035305194</v>
          </cell>
          <cell r="B4517" t="str">
            <v>Sample Rejected</v>
          </cell>
          <cell r="C4517">
            <v>42734.736929016202</v>
          </cell>
        </row>
        <row r="4518">
          <cell r="A4518">
            <v>3035305247</v>
          </cell>
          <cell r="B4518" t="str">
            <v>Sample Rejected</v>
          </cell>
          <cell r="C4518">
            <v>42734.736929016202</v>
          </cell>
        </row>
        <row r="4519">
          <cell r="A4519">
            <v>3035260622</v>
          </cell>
          <cell r="B4519" t="str">
            <v>Sample Rejected</v>
          </cell>
          <cell r="C4519">
            <v>42734.736929016202</v>
          </cell>
        </row>
        <row r="4520">
          <cell r="A4520">
            <v>3035297999</v>
          </cell>
          <cell r="B4520" t="str">
            <v>Sample Rejected</v>
          </cell>
          <cell r="C4520">
            <v>42734.736929016202</v>
          </cell>
        </row>
        <row r="4521">
          <cell r="A4521">
            <v>3035268007</v>
          </cell>
          <cell r="B4521" t="str">
            <v>Sample Rejected</v>
          </cell>
          <cell r="C4521">
            <v>42734.736929016202</v>
          </cell>
        </row>
        <row r="4522">
          <cell r="A4522">
            <v>3035274304</v>
          </cell>
          <cell r="B4522" t="str">
            <v>Sample Rejected</v>
          </cell>
          <cell r="C4522">
            <v>42734.736929016202</v>
          </cell>
        </row>
        <row r="4523">
          <cell r="A4523">
            <v>3035290230</v>
          </cell>
          <cell r="B4523" t="str">
            <v>Sample Rejected</v>
          </cell>
          <cell r="C4523">
            <v>42734.736929016202</v>
          </cell>
        </row>
        <row r="4524">
          <cell r="A4524">
            <v>3035267587</v>
          </cell>
          <cell r="B4524" t="str">
            <v>Sample Rejected</v>
          </cell>
          <cell r="C4524">
            <v>42734.736929016202</v>
          </cell>
        </row>
        <row r="4525">
          <cell r="A4525">
            <v>3035310750</v>
          </cell>
          <cell r="B4525" t="str">
            <v>Sample Rejected</v>
          </cell>
          <cell r="C4525">
            <v>42734.736929016202</v>
          </cell>
        </row>
        <row r="4526">
          <cell r="A4526">
            <v>3035311402</v>
          </cell>
          <cell r="B4526" t="str">
            <v>Sample Rejected</v>
          </cell>
          <cell r="C4526">
            <v>42734.736929016202</v>
          </cell>
        </row>
        <row r="4527">
          <cell r="A4527">
            <v>3035140381</v>
          </cell>
          <cell r="B4527" t="str">
            <v>Sample Rejected</v>
          </cell>
          <cell r="C4527">
            <v>42734.736929016202</v>
          </cell>
        </row>
        <row r="4528">
          <cell r="A4528">
            <v>3035066265</v>
          </cell>
          <cell r="B4528" t="str">
            <v>Sample Rejected</v>
          </cell>
          <cell r="C4528">
            <v>42734.736929016202</v>
          </cell>
        </row>
        <row r="4529">
          <cell r="A4529">
            <v>3035302983</v>
          </cell>
          <cell r="B4529" t="str">
            <v>Sample Rejected</v>
          </cell>
          <cell r="C4529">
            <v>42734.736929016202</v>
          </cell>
        </row>
        <row r="4530">
          <cell r="A4530">
            <v>3035302596</v>
          </cell>
          <cell r="B4530" t="str">
            <v>Sample Rejected</v>
          </cell>
          <cell r="C4530">
            <v>42734.736929016202</v>
          </cell>
        </row>
        <row r="4531">
          <cell r="A4531">
            <v>3035291991</v>
          </cell>
          <cell r="B4531" t="str">
            <v>Sample Rejected</v>
          </cell>
          <cell r="C4531">
            <v>42734.736929016202</v>
          </cell>
        </row>
        <row r="4532">
          <cell r="A4532">
            <v>3035297600</v>
          </cell>
          <cell r="B4532" t="str">
            <v>Sample Rejected</v>
          </cell>
          <cell r="C4532">
            <v>42734.736929016202</v>
          </cell>
        </row>
        <row r="4533">
          <cell r="A4533">
            <v>3035297693</v>
          </cell>
          <cell r="B4533" t="str">
            <v>Sample Rejected</v>
          </cell>
          <cell r="C4533">
            <v>42734.736929016202</v>
          </cell>
        </row>
        <row r="4534">
          <cell r="A4534">
            <v>3035298385</v>
          </cell>
          <cell r="B4534" t="str">
            <v>Sample Rejected</v>
          </cell>
          <cell r="C4534">
            <v>42734.736929016202</v>
          </cell>
        </row>
        <row r="4535">
          <cell r="A4535">
            <v>3035302171</v>
          </cell>
          <cell r="B4535" t="str">
            <v>Sample Rejected</v>
          </cell>
          <cell r="C4535">
            <v>42734.736929016202</v>
          </cell>
        </row>
        <row r="4536">
          <cell r="A4536">
            <v>3035302713</v>
          </cell>
          <cell r="B4536" t="str">
            <v>Sample Rejected</v>
          </cell>
          <cell r="C4536">
            <v>42734.736929016202</v>
          </cell>
        </row>
        <row r="4537">
          <cell r="A4537">
            <v>3035294642</v>
          </cell>
          <cell r="B4537" t="str">
            <v>Sample Rejected</v>
          </cell>
          <cell r="C4537">
            <v>42734.736929016202</v>
          </cell>
        </row>
        <row r="4538">
          <cell r="A4538">
            <v>3035293265</v>
          </cell>
          <cell r="B4538" t="str">
            <v>Sample Rejected</v>
          </cell>
          <cell r="C4538">
            <v>42734.736929016202</v>
          </cell>
        </row>
        <row r="4539">
          <cell r="A4539">
            <v>3035292406</v>
          </cell>
          <cell r="B4539" t="str">
            <v>Sample Rejected</v>
          </cell>
          <cell r="C4539">
            <v>42734.736929016202</v>
          </cell>
        </row>
        <row r="4540">
          <cell r="A4540">
            <v>3035262215</v>
          </cell>
          <cell r="B4540" t="str">
            <v>Sample Rejected</v>
          </cell>
          <cell r="C4540">
            <v>42734.736929016202</v>
          </cell>
        </row>
        <row r="4541">
          <cell r="A4541">
            <v>3035296417</v>
          </cell>
          <cell r="B4541" t="str">
            <v>Sample Rejected</v>
          </cell>
          <cell r="C4541">
            <v>42734.736929016202</v>
          </cell>
        </row>
        <row r="4542">
          <cell r="A4542">
            <v>3035303901</v>
          </cell>
          <cell r="B4542" t="str">
            <v>Sample Rejected</v>
          </cell>
          <cell r="C4542">
            <v>42734.736929016202</v>
          </cell>
        </row>
        <row r="4543">
          <cell r="A4543">
            <v>3035302790</v>
          </cell>
          <cell r="B4543" t="str">
            <v>Sample Rejected</v>
          </cell>
          <cell r="C4543">
            <v>42734.736929016202</v>
          </cell>
        </row>
        <row r="4544">
          <cell r="A4544">
            <v>3035294993</v>
          </cell>
          <cell r="B4544" t="str">
            <v>Sample Rejected</v>
          </cell>
          <cell r="C4544">
            <v>42734.736929016202</v>
          </cell>
        </row>
        <row r="4545">
          <cell r="A4545">
            <v>3035305312</v>
          </cell>
          <cell r="B4545" t="str">
            <v>Sample Rejected</v>
          </cell>
          <cell r="C4545">
            <v>42734.736929016202</v>
          </cell>
        </row>
        <row r="4546">
          <cell r="A4546">
            <v>3035641803</v>
          </cell>
          <cell r="B4546" t="str">
            <v>Sample Rejected</v>
          </cell>
          <cell r="C4546">
            <v>42747.737639085652</v>
          </cell>
        </row>
        <row r="4547">
          <cell r="A4547">
            <v>3035681931</v>
          </cell>
          <cell r="B4547" t="str">
            <v>Sample Rejected</v>
          </cell>
          <cell r="C4547">
            <v>42748.738471724537</v>
          </cell>
        </row>
        <row r="4548">
          <cell r="A4548">
            <v>3035691549</v>
          </cell>
          <cell r="B4548" t="str">
            <v>Sample Rejected</v>
          </cell>
          <cell r="C4548">
            <v>42748.738471724537</v>
          </cell>
        </row>
        <row r="4549">
          <cell r="A4549">
            <v>3035692775</v>
          </cell>
          <cell r="B4549" t="str">
            <v>Sample Rejected</v>
          </cell>
          <cell r="C4549">
            <v>42748.738471724537</v>
          </cell>
        </row>
        <row r="4550">
          <cell r="A4550">
            <v>3035689925</v>
          </cell>
          <cell r="B4550" t="str">
            <v>Sample Rejected</v>
          </cell>
          <cell r="C4550">
            <v>42748.738471724537</v>
          </cell>
        </row>
        <row r="4551">
          <cell r="A4551">
            <v>3035679342</v>
          </cell>
          <cell r="B4551" t="str">
            <v>Sample Rejected</v>
          </cell>
          <cell r="C4551">
            <v>42748.738471724537</v>
          </cell>
        </row>
        <row r="4552">
          <cell r="A4552">
            <v>3035658275</v>
          </cell>
          <cell r="B4552" t="str">
            <v>Sample Rejected</v>
          </cell>
          <cell r="C4552">
            <v>42747.737639085652</v>
          </cell>
        </row>
        <row r="4553">
          <cell r="A4553">
            <v>3035555987</v>
          </cell>
          <cell r="B4553" t="str">
            <v>Sample Rejected</v>
          </cell>
          <cell r="C4553">
            <v>42747.737639085652</v>
          </cell>
        </row>
        <row r="4554">
          <cell r="A4554">
            <v>3035554320</v>
          </cell>
          <cell r="B4554" t="str">
            <v>Sample Rejected</v>
          </cell>
          <cell r="C4554">
            <v>42747.737639085652</v>
          </cell>
        </row>
        <row r="4555">
          <cell r="A4555">
            <v>3035602106</v>
          </cell>
          <cell r="B4555" t="str">
            <v>Sample Rejected</v>
          </cell>
          <cell r="C4555">
            <v>42747.737639085652</v>
          </cell>
        </row>
        <row r="4556">
          <cell r="A4556">
            <v>3035644320</v>
          </cell>
          <cell r="B4556" t="str">
            <v>Sample Rejected</v>
          </cell>
          <cell r="C4556">
            <v>42747.737639085652</v>
          </cell>
        </row>
        <row r="4557">
          <cell r="A4557">
            <v>3035690324</v>
          </cell>
          <cell r="B4557" t="str">
            <v>Sample Rejected</v>
          </cell>
          <cell r="C4557">
            <v>42748.738471724537</v>
          </cell>
        </row>
        <row r="4558">
          <cell r="A4558">
            <v>3035691337</v>
          </cell>
          <cell r="B4558" t="str">
            <v>Sample Rejected</v>
          </cell>
          <cell r="C4558">
            <v>42748.738471724537</v>
          </cell>
        </row>
        <row r="4559">
          <cell r="A4559">
            <v>3035678572</v>
          </cell>
          <cell r="B4559" t="str">
            <v>Sample Rejected</v>
          </cell>
          <cell r="C4559">
            <v>42748.738471724537</v>
          </cell>
        </row>
        <row r="4560">
          <cell r="A4560">
            <v>3035678133</v>
          </cell>
          <cell r="B4560" t="str">
            <v>Sample Rejected</v>
          </cell>
          <cell r="C4560">
            <v>42748.738471724537</v>
          </cell>
        </row>
        <row r="4561">
          <cell r="A4561">
            <v>3035550828</v>
          </cell>
          <cell r="B4561" t="str">
            <v>Sample Rejected</v>
          </cell>
          <cell r="C4561">
            <v>42748.738471724537</v>
          </cell>
        </row>
        <row r="4562">
          <cell r="A4562">
            <v>3035689774</v>
          </cell>
          <cell r="B4562" t="str">
            <v>Sample Rejected</v>
          </cell>
          <cell r="C4562">
            <v>42748.738471724537</v>
          </cell>
        </row>
        <row r="4563">
          <cell r="A4563">
            <v>3035690119</v>
          </cell>
          <cell r="B4563" t="str">
            <v>Sample Rejected</v>
          </cell>
          <cell r="C4563">
            <v>42748.738471724537</v>
          </cell>
        </row>
        <row r="4564">
          <cell r="A4564">
            <v>3035650983</v>
          </cell>
          <cell r="B4564" t="str">
            <v>Sample Rejected</v>
          </cell>
          <cell r="C4564">
            <v>42748.738471724537</v>
          </cell>
        </row>
        <row r="4565">
          <cell r="A4565">
            <v>3035677859</v>
          </cell>
          <cell r="B4565" t="str">
            <v>Sample Rejected</v>
          </cell>
          <cell r="C4565">
            <v>42748.738471724537</v>
          </cell>
        </row>
        <row r="4566">
          <cell r="A4566">
            <v>3035653643</v>
          </cell>
          <cell r="B4566" t="str">
            <v>Sample Rejected</v>
          </cell>
          <cell r="C4566">
            <v>42747.737639085652</v>
          </cell>
        </row>
        <row r="4567">
          <cell r="A4567">
            <v>3035662250</v>
          </cell>
          <cell r="B4567" t="str">
            <v>Sample Rejected</v>
          </cell>
          <cell r="C4567">
            <v>42747.737639085652</v>
          </cell>
        </row>
        <row r="4568">
          <cell r="A4568">
            <v>3035650782</v>
          </cell>
          <cell r="B4568" t="str">
            <v>Sample Rejected</v>
          </cell>
          <cell r="C4568">
            <v>42747.737639085652</v>
          </cell>
        </row>
        <row r="4569">
          <cell r="A4569">
            <v>3035641338</v>
          </cell>
          <cell r="B4569" t="str">
            <v>Sample Rejected</v>
          </cell>
          <cell r="C4569">
            <v>42747.737639085652</v>
          </cell>
        </row>
        <row r="4570">
          <cell r="A4570">
            <v>3035653063</v>
          </cell>
          <cell r="B4570" t="str">
            <v>Sample Rejected</v>
          </cell>
          <cell r="C4570">
            <v>42747.737639085652</v>
          </cell>
        </row>
        <row r="4571">
          <cell r="A4571">
            <v>3035602505</v>
          </cell>
          <cell r="B4571" t="str">
            <v>Sample Rejected</v>
          </cell>
          <cell r="C4571">
            <v>42747.737639085652</v>
          </cell>
        </row>
        <row r="4572">
          <cell r="A4572">
            <v>3035644102</v>
          </cell>
          <cell r="B4572" t="str">
            <v>Sample Rejected</v>
          </cell>
          <cell r="C4572">
            <v>42747.737639085652</v>
          </cell>
        </row>
        <row r="4573">
          <cell r="A4573">
            <v>3035651077</v>
          </cell>
          <cell r="B4573" t="str">
            <v>Sample Rejected</v>
          </cell>
          <cell r="C4573">
            <v>42747.737639085652</v>
          </cell>
        </row>
        <row r="4574">
          <cell r="A4574">
            <v>3035650123</v>
          </cell>
          <cell r="B4574" t="str">
            <v>Sample Rejected</v>
          </cell>
          <cell r="C4574">
            <v>42747.737639085652</v>
          </cell>
        </row>
        <row r="4575">
          <cell r="A4575">
            <v>3035643998</v>
          </cell>
          <cell r="B4575" t="str">
            <v>Sample Rejected</v>
          </cell>
          <cell r="C4575">
            <v>42747.737639085652</v>
          </cell>
        </row>
        <row r="4576">
          <cell r="A4576">
            <v>3035645349</v>
          </cell>
          <cell r="B4576" t="str">
            <v>Sample Rejected</v>
          </cell>
          <cell r="C4576">
            <v>42747.737639085652</v>
          </cell>
        </row>
        <row r="4577">
          <cell r="A4577">
            <v>3035619752</v>
          </cell>
          <cell r="B4577" t="str">
            <v>Sample Rejected</v>
          </cell>
          <cell r="C4577">
            <v>42747.737639085652</v>
          </cell>
        </row>
        <row r="4578">
          <cell r="A4578">
            <v>3035559730</v>
          </cell>
          <cell r="B4578" t="str">
            <v>Sample Rejected</v>
          </cell>
          <cell r="C4578">
            <v>42747.737639085652</v>
          </cell>
        </row>
        <row r="4579">
          <cell r="A4579">
            <v>3035642510</v>
          </cell>
          <cell r="B4579" t="str">
            <v>Sample Rejected</v>
          </cell>
          <cell r="C4579">
            <v>42747.737639085652</v>
          </cell>
        </row>
        <row r="4580">
          <cell r="A4580">
            <v>3035547303</v>
          </cell>
          <cell r="B4580" t="str">
            <v>Sample Rejected</v>
          </cell>
          <cell r="C4580">
            <v>42747.737639085652</v>
          </cell>
        </row>
        <row r="4581">
          <cell r="A4581">
            <v>3035647366</v>
          </cell>
          <cell r="B4581" t="str">
            <v>Sample Rejected</v>
          </cell>
          <cell r="C4581">
            <v>42747.737639085652</v>
          </cell>
        </row>
        <row r="4582">
          <cell r="A4582">
            <v>3035653889</v>
          </cell>
          <cell r="B4582" t="str">
            <v>Sample Rejected</v>
          </cell>
          <cell r="C4582">
            <v>42747.737639085652</v>
          </cell>
        </row>
        <row r="4583">
          <cell r="A4583">
            <v>3035614255</v>
          </cell>
          <cell r="B4583" t="str">
            <v>Sample Rejected</v>
          </cell>
          <cell r="C4583">
            <v>42747.737639085652</v>
          </cell>
        </row>
        <row r="4584">
          <cell r="A4584">
            <v>3035646129</v>
          </cell>
          <cell r="B4584" t="str">
            <v>Sample Rejected</v>
          </cell>
          <cell r="C4584">
            <v>42747.737639085652</v>
          </cell>
        </row>
        <row r="4585">
          <cell r="A4585">
            <v>3035655801</v>
          </cell>
          <cell r="B4585" t="str">
            <v>Sample Rejected</v>
          </cell>
          <cell r="C4585">
            <v>42747.737639085652</v>
          </cell>
        </row>
        <row r="4586">
          <cell r="A4586">
            <v>3035652354</v>
          </cell>
          <cell r="B4586" t="str">
            <v>Sample Rejected</v>
          </cell>
          <cell r="C4586">
            <v>42747.737639085652</v>
          </cell>
        </row>
        <row r="4587">
          <cell r="A4587">
            <v>3035652805</v>
          </cell>
          <cell r="B4587" t="str">
            <v>Sample Rejected</v>
          </cell>
          <cell r="C4587">
            <v>42747.737639085652</v>
          </cell>
        </row>
        <row r="4588">
          <cell r="A4588">
            <v>3035646581</v>
          </cell>
          <cell r="B4588" t="str">
            <v>Sample Rejected</v>
          </cell>
          <cell r="C4588">
            <v>42747.737639085652</v>
          </cell>
        </row>
        <row r="4589">
          <cell r="A4589">
            <v>3035645435</v>
          </cell>
          <cell r="B4589" t="str">
            <v>Sample Rejected</v>
          </cell>
          <cell r="C4589">
            <v>42747.737639085652</v>
          </cell>
        </row>
        <row r="4590">
          <cell r="A4590">
            <v>3035648780</v>
          </cell>
          <cell r="B4590" t="str">
            <v>Sample Rejected</v>
          </cell>
          <cell r="C4590">
            <v>42747.737639085652</v>
          </cell>
        </row>
        <row r="4591">
          <cell r="A4591">
            <v>3035649799</v>
          </cell>
          <cell r="B4591" t="str">
            <v>Sample Rejected</v>
          </cell>
          <cell r="C4591">
            <v>42747.737639085652</v>
          </cell>
        </row>
        <row r="4592">
          <cell r="A4592">
            <v>3035650977</v>
          </cell>
          <cell r="B4592" t="str">
            <v>Sample Rejected</v>
          </cell>
          <cell r="C4592">
            <v>42747.737639085652</v>
          </cell>
        </row>
        <row r="4593">
          <cell r="A4593">
            <v>3035651949</v>
          </cell>
          <cell r="B4593" t="str">
            <v>Sample Rejected</v>
          </cell>
          <cell r="C4593">
            <v>42747.737639085652</v>
          </cell>
        </row>
        <row r="4594">
          <cell r="A4594">
            <v>3035641818</v>
          </cell>
          <cell r="B4594" t="str">
            <v>Sample Rejected</v>
          </cell>
          <cell r="C4594">
            <v>42747.737639085652</v>
          </cell>
        </row>
        <row r="4595">
          <cell r="A4595">
            <v>3035646094</v>
          </cell>
          <cell r="B4595" t="str">
            <v>Sample Rejected</v>
          </cell>
          <cell r="C4595">
            <v>42747.737639085652</v>
          </cell>
        </row>
        <row r="4596">
          <cell r="A4596">
            <v>3035644058</v>
          </cell>
          <cell r="B4596" t="str">
            <v>Sample Rejected</v>
          </cell>
          <cell r="C4596">
            <v>42747.737639085652</v>
          </cell>
        </row>
        <row r="4597">
          <cell r="A4597">
            <v>3035518008</v>
          </cell>
          <cell r="B4597" t="str">
            <v>Sample Rejected</v>
          </cell>
          <cell r="C4597">
            <v>42747.737639085652</v>
          </cell>
        </row>
        <row r="4598">
          <cell r="A4598">
            <v>3035655327</v>
          </cell>
          <cell r="B4598" t="str">
            <v>Sample Rejected</v>
          </cell>
          <cell r="C4598">
            <v>42747.737639085652</v>
          </cell>
        </row>
        <row r="4599">
          <cell r="A4599">
            <v>3035648016</v>
          </cell>
          <cell r="B4599" t="str">
            <v>Sample Rejected</v>
          </cell>
          <cell r="C4599">
            <v>42747.737639085652</v>
          </cell>
        </row>
        <row r="4600">
          <cell r="A4600">
            <v>3035656949</v>
          </cell>
          <cell r="B4600" t="str">
            <v>Sample Rejected</v>
          </cell>
          <cell r="C4600">
            <v>42747.737639085652</v>
          </cell>
        </row>
        <row r="4601">
          <cell r="A4601">
            <v>3035658010</v>
          </cell>
          <cell r="B4601" t="str">
            <v>Sample Rejected</v>
          </cell>
          <cell r="C4601">
            <v>42747.737639085652</v>
          </cell>
        </row>
        <row r="4602">
          <cell r="A4602">
            <v>3035663463</v>
          </cell>
          <cell r="B4602" t="str">
            <v>Sample Rejected</v>
          </cell>
          <cell r="C4602">
            <v>42747.737639085652</v>
          </cell>
        </row>
        <row r="4603">
          <cell r="A4603">
            <v>3035653924</v>
          </cell>
          <cell r="B4603" t="str">
            <v>Sample Rejected</v>
          </cell>
          <cell r="C4603">
            <v>42747.737639085652</v>
          </cell>
        </row>
        <row r="4604">
          <cell r="A4604">
            <v>3035645224</v>
          </cell>
          <cell r="B4604" t="str">
            <v>Sample Rejected</v>
          </cell>
          <cell r="C4604">
            <v>42747.737639085652</v>
          </cell>
        </row>
        <row r="4605">
          <cell r="A4605">
            <v>3035645030</v>
          </cell>
          <cell r="B4605" t="str">
            <v>Sample Rejected</v>
          </cell>
          <cell r="C4605">
            <v>42747.737639085652</v>
          </cell>
        </row>
        <row r="4606">
          <cell r="A4606">
            <v>3035655714</v>
          </cell>
          <cell r="B4606" t="str">
            <v>Sample Rejected</v>
          </cell>
          <cell r="C4606">
            <v>42747.737639085652</v>
          </cell>
        </row>
        <row r="4607">
          <cell r="A4607">
            <v>3035652248</v>
          </cell>
          <cell r="B4607" t="str">
            <v>Sample Rejected</v>
          </cell>
          <cell r="C4607">
            <v>42747.737639085652</v>
          </cell>
        </row>
        <row r="4608">
          <cell r="A4608">
            <v>3035645677</v>
          </cell>
          <cell r="B4608" t="str">
            <v>Sample Rejected</v>
          </cell>
          <cell r="C4608">
            <v>42747.737639085652</v>
          </cell>
        </row>
        <row r="4609">
          <cell r="A4609">
            <v>3035643313</v>
          </cell>
          <cell r="B4609" t="str">
            <v>Sample Rejected</v>
          </cell>
          <cell r="C4609">
            <v>42747.737639085652</v>
          </cell>
        </row>
        <row r="4610">
          <cell r="A4610">
            <v>3035645276</v>
          </cell>
          <cell r="B4610" t="str">
            <v>Sample Rejected</v>
          </cell>
          <cell r="C4610">
            <v>42747.737639085652</v>
          </cell>
        </row>
        <row r="4611">
          <cell r="A4611">
            <v>3035643934</v>
          </cell>
          <cell r="B4611" t="str">
            <v>Sample Rejected</v>
          </cell>
          <cell r="C4611">
            <v>42747.737639085652</v>
          </cell>
        </row>
        <row r="4612">
          <cell r="A4612">
            <v>3035649532</v>
          </cell>
          <cell r="B4612" t="str">
            <v>Sample Rejected</v>
          </cell>
          <cell r="C4612">
            <v>42747.737639085652</v>
          </cell>
        </row>
        <row r="4613">
          <cell r="A4613">
            <v>3035649438</v>
          </cell>
          <cell r="B4613" t="str">
            <v>Sample Rejected</v>
          </cell>
          <cell r="C4613">
            <v>42747.737639085652</v>
          </cell>
        </row>
        <row r="4614">
          <cell r="A4614">
            <v>3035649964</v>
          </cell>
          <cell r="B4614" t="str">
            <v>Sample Rejected</v>
          </cell>
          <cell r="C4614">
            <v>42747.737639085652</v>
          </cell>
        </row>
        <row r="4615">
          <cell r="A4615">
            <v>3035642239</v>
          </cell>
          <cell r="B4615" t="str">
            <v>Sample Rejected</v>
          </cell>
          <cell r="C4615">
            <v>42747.737639085652</v>
          </cell>
        </row>
        <row r="4616">
          <cell r="A4616">
            <v>3035656115</v>
          </cell>
          <cell r="B4616" t="str">
            <v>Sample Rejected</v>
          </cell>
          <cell r="C4616">
            <v>42747.737639085652</v>
          </cell>
        </row>
        <row r="4617">
          <cell r="A4617">
            <v>3035651296</v>
          </cell>
          <cell r="B4617" t="str">
            <v>Sample Rejected</v>
          </cell>
          <cell r="C4617">
            <v>42747.737639085652</v>
          </cell>
        </row>
        <row r="4618">
          <cell r="A4618">
            <v>3035521448</v>
          </cell>
          <cell r="B4618" t="str">
            <v>Sample Rejected</v>
          </cell>
          <cell r="C4618">
            <v>42747.737639085652</v>
          </cell>
        </row>
        <row r="4619">
          <cell r="A4619">
            <v>3035643209</v>
          </cell>
          <cell r="B4619" t="str">
            <v>Sample Rejected</v>
          </cell>
          <cell r="C4619">
            <v>42747.737639085652</v>
          </cell>
        </row>
        <row r="4620">
          <cell r="A4620">
            <v>3035651827</v>
          </cell>
          <cell r="B4620" t="str">
            <v>Sample Rejected</v>
          </cell>
          <cell r="C4620">
            <v>42747.737639085652</v>
          </cell>
        </row>
        <row r="4621">
          <cell r="A4621">
            <v>3035641482</v>
          </cell>
          <cell r="B4621" t="str">
            <v>Sample Rejected</v>
          </cell>
          <cell r="C4621">
            <v>42747.737639085652</v>
          </cell>
        </row>
        <row r="4622">
          <cell r="A4622">
            <v>3035643528</v>
          </cell>
          <cell r="B4622" t="str">
            <v>Sample Rejected</v>
          </cell>
          <cell r="C4622">
            <v>42747.737639085652</v>
          </cell>
        </row>
        <row r="4623">
          <cell r="A4623">
            <v>3035645274</v>
          </cell>
          <cell r="B4623" t="str">
            <v>Sample Rejected</v>
          </cell>
          <cell r="C4623">
            <v>42747.737639085652</v>
          </cell>
        </row>
        <row r="4624">
          <cell r="A4624">
            <v>3035479239</v>
          </cell>
          <cell r="B4624" t="str">
            <v>Sample Rejected</v>
          </cell>
          <cell r="C4624">
            <v>42747.737639085652</v>
          </cell>
        </row>
        <row r="4625">
          <cell r="A4625">
            <v>3035645866</v>
          </cell>
          <cell r="B4625" t="str">
            <v>Sample Rejected</v>
          </cell>
          <cell r="C4625">
            <v>42747.737639085652</v>
          </cell>
        </row>
        <row r="4626">
          <cell r="A4626">
            <v>3035655815</v>
          </cell>
          <cell r="B4626" t="str">
            <v>Sample Rejected</v>
          </cell>
          <cell r="C4626">
            <v>42747.737639085652</v>
          </cell>
        </row>
        <row r="4627">
          <cell r="A4627">
            <v>3035646683</v>
          </cell>
          <cell r="B4627" t="str">
            <v>Sample Rejected</v>
          </cell>
          <cell r="C4627">
            <v>42747.737639085652</v>
          </cell>
        </row>
        <row r="4628">
          <cell r="A4628">
            <v>3035651873</v>
          </cell>
          <cell r="B4628" t="str">
            <v>Sample Rejected</v>
          </cell>
          <cell r="C4628">
            <v>42747.737639085652</v>
          </cell>
        </row>
        <row r="4629">
          <cell r="A4629">
            <v>3035642363</v>
          </cell>
          <cell r="B4629" t="str">
            <v>Sample Rejected</v>
          </cell>
          <cell r="C4629">
            <v>42747.737639085652</v>
          </cell>
        </row>
        <row r="4630">
          <cell r="A4630">
            <v>3035664146</v>
          </cell>
          <cell r="B4630" t="str">
            <v>Sample Rejected</v>
          </cell>
          <cell r="C4630">
            <v>42747.737639085652</v>
          </cell>
        </row>
        <row r="4631">
          <cell r="A4631">
            <v>3035644039</v>
          </cell>
          <cell r="B4631" t="str">
            <v>Sample Rejected</v>
          </cell>
          <cell r="C4631">
            <v>42747.737639085652</v>
          </cell>
        </row>
        <row r="4632">
          <cell r="A4632">
            <v>3035652963</v>
          </cell>
          <cell r="B4632" t="str">
            <v>Sample Rejected</v>
          </cell>
          <cell r="C4632">
            <v>42747.737639085652</v>
          </cell>
        </row>
        <row r="4633">
          <cell r="A4633">
            <v>3035606155</v>
          </cell>
          <cell r="B4633" t="str">
            <v>Sample Rejected</v>
          </cell>
          <cell r="C4633">
            <v>42747.737639085652</v>
          </cell>
        </row>
        <row r="4634">
          <cell r="A4634">
            <v>3035648168</v>
          </cell>
          <cell r="B4634" t="str">
            <v>Sample Rejected</v>
          </cell>
          <cell r="C4634">
            <v>42747.737639085652</v>
          </cell>
        </row>
        <row r="4635">
          <cell r="A4635">
            <v>3035651574</v>
          </cell>
          <cell r="B4635" t="str">
            <v>Sample Rejected</v>
          </cell>
          <cell r="C4635">
            <v>42747.737639085652</v>
          </cell>
        </row>
        <row r="4636">
          <cell r="A4636">
            <v>3035645100</v>
          </cell>
          <cell r="B4636" t="str">
            <v>Sample Rejected</v>
          </cell>
          <cell r="C4636">
            <v>42747.737639085652</v>
          </cell>
        </row>
        <row r="4637">
          <cell r="A4637">
            <v>3035648284</v>
          </cell>
          <cell r="B4637" t="str">
            <v>Sample Rejected</v>
          </cell>
          <cell r="C4637">
            <v>42747.737639085652</v>
          </cell>
        </row>
        <row r="4638">
          <cell r="A4638">
            <v>3035640830</v>
          </cell>
          <cell r="B4638" t="str">
            <v>Sample Rejected</v>
          </cell>
          <cell r="C4638">
            <v>42747.737639085652</v>
          </cell>
        </row>
        <row r="4639">
          <cell r="A4639">
            <v>3035609734</v>
          </cell>
          <cell r="B4639" t="str">
            <v>Sample Rejected</v>
          </cell>
          <cell r="C4639">
            <v>42747.737639085652</v>
          </cell>
        </row>
        <row r="4640">
          <cell r="A4640">
            <v>3035645835</v>
          </cell>
          <cell r="B4640" t="str">
            <v>Sample Rejected</v>
          </cell>
          <cell r="C4640">
            <v>42747.737639085652</v>
          </cell>
        </row>
        <row r="4641">
          <cell r="A4641">
            <v>3035659032</v>
          </cell>
          <cell r="B4641" t="str">
            <v>Sample Rejected</v>
          </cell>
          <cell r="C4641">
            <v>42747.737639085652</v>
          </cell>
        </row>
        <row r="4642">
          <cell r="A4642">
            <v>3035662367</v>
          </cell>
          <cell r="B4642" t="str">
            <v>Sample Rejected</v>
          </cell>
          <cell r="C4642">
            <v>42747.737639085652</v>
          </cell>
        </row>
        <row r="4643">
          <cell r="A4643">
            <v>3035655333</v>
          </cell>
          <cell r="B4643" t="str">
            <v>Sample Rejected</v>
          </cell>
          <cell r="C4643">
            <v>42747.737639085652</v>
          </cell>
        </row>
        <row r="4644">
          <cell r="A4644">
            <v>3035651895</v>
          </cell>
          <cell r="B4644" t="str">
            <v>Sample Rejected</v>
          </cell>
          <cell r="C4644">
            <v>42747.737639085652</v>
          </cell>
        </row>
        <row r="4645">
          <cell r="A4645">
            <v>3035656952</v>
          </cell>
          <cell r="B4645" t="str">
            <v>Sample Rejected</v>
          </cell>
          <cell r="C4645">
            <v>42747.737639085652</v>
          </cell>
        </row>
        <row r="4646">
          <cell r="A4646">
            <v>3035642605</v>
          </cell>
          <cell r="B4646" t="str">
            <v>Sample Rejected</v>
          </cell>
          <cell r="C4646">
            <v>42747.737639085652</v>
          </cell>
        </row>
        <row r="4647">
          <cell r="A4647">
            <v>3035641950</v>
          </cell>
          <cell r="B4647" t="str">
            <v>Sample Rejected</v>
          </cell>
          <cell r="C4647">
            <v>42747.737639085652</v>
          </cell>
        </row>
        <row r="4648">
          <cell r="A4648">
            <v>3035625656</v>
          </cell>
          <cell r="B4648" t="str">
            <v>Sample Rejected</v>
          </cell>
          <cell r="C4648">
            <v>42747.737639085652</v>
          </cell>
        </row>
        <row r="4649">
          <cell r="A4649">
            <v>3035649471</v>
          </cell>
          <cell r="B4649" t="str">
            <v>Sample Rejected</v>
          </cell>
          <cell r="C4649">
            <v>42747.737639085652</v>
          </cell>
        </row>
        <row r="4650">
          <cell r="A4650">
            <v>3035655725</v>
          </cell>
          <cell r="B4650" t="str">
            <v>Sample Rejected</v>
          </cell>
          <cell r="C4650">
            <v>42747.737639085652</v>
          </cell>
        </row>
        <row r="4651">
          <cell r="A4651">
            <v>3035651750</v>
          </cell>
          <cell r="B4651" t="str">
            <v>Sample Rejected</v>
          </cell>
          <cell r="C4651">
            <v>42747.737639085652</v>
          </cell>
        </row>
        <row r="4652">
          <cell r="A4652">
            <v>3035644890</v>
          </cell>
          <cell r="B4652" t="str">
            <v>Sample Rejected</v>
          </cell>
          <cell r="C4652">
            <v>42747.737639085652</v>
          </cell>
        </row>
        <row r="4653">
          <cell r="A4653">
            <v>3035653555</v>
          </cell>
          <cell r="B4653" t="str">
            <v>Sample Rejected</v>
          </cell>
          <cell r="C4653">
            <v>42747.737639085652</v>
          </cell>
        </row>
        <row r="4654">
          <cell r="A4654">
            <v>3035360387</v>
          </cell>
          <cell r="B4654" t="str">
            <v>Sample Rejected</v>
          </cell>
          <cell r="C4654">
            <v>42747.737639085652</v>
          </cell>
        </row>
        <row r="4655">
          <cell r="A4655">
            <v>3035649290</v>
          </cell>
          <cell r="B4655" t="str">
            <v>Sample Rejected</v>
          </cell>
          <cell r="C4655">
            <v>42747.737639085652</v>
          </cell>
        </row>
        <row r="4656">
          <cell r="A4656">
            <v>3035641334</v>
          </cell>
          <cell r="B4656" t="str">
            <v>Sample Rejected</v>
          </cell>
          <cell r="C4656">
            <v>42747.737639085652</v>
          </cell>
        </row>
        <row r="4657">
          <cell r="A4657">
            <v>3035644571</v>
          </cell>
          <cell r="B4657" t="str">
            <v>Sample Rejected</v>
          </cell>
          <cell r="C4657">
            <v>42747.737639085652</v>
          </cell>
        </row>
        <row r="4658">
          <cell r="A4658">
            <v>3035664401</v>
          </cell>
          <cell r="B4658" t="str">
            <v>Sample Rejected</v>
          </cell>
          <cell r="C4658">
            <v>42747.737639085652</v>
          </cell>
        </row>
        <row r="4659">
          <cell r="A4659">
            <v>3035662403</v>
          </cell>
          <cell r="B4659" t="str">
            <v>Sample Rejected</v>
          </cell>
          <cell r="C4659">
            <v>42747.737639085652</v>
          </cell>
        </row>
        <row r="4660">
          <cell r="A4660">
            <v>3035654061</v>
          </cell>
          <cell r="B4660" t="str">
            <v>Sample Rejected</v>
          </cell>
          <cell r="C4660">
            <v>42747.737639085652</v>
          </cell>
        </row>
        <row r="4661">
          <cell r="A4661">
            <v>3035647005</v>
          </cell>
          <cell r="B4661" t="str">
            <v>Sample Rejected</v>
          </cell>
          <cell r="C4661">
            <v>42747.737639085652</v>
          </cell>
        </row>
        <row r="4662">
          <cell r="A4662">
            <v>3035645538</v>
          </cell>
          <cell r="B4662" t="str">
            <v>Sample Rejected</v>
          </cell>
          <cell r="C4662">
            <v>42747.737639085652</v>
          </cell>
        </row>
        <row r="4663">
          <cell r="A4663">
            <v>3035641397</v>
          </cell>
          <cell r="B4663" t="str">
            <v>Sample Rejected</v>
          </cell>
          <cell r="C4663">
            <v>42747.737639085652</v>
          </cell>
        </row>
        <row r="4664">
          <cell r="A4664">
            <v>3035656480</v>
          </cell>
          <cell r="B4664" t="str">
            <v>Sample Rejected</v>
          </cell>
          <cell r="C4664">
            <v>42747.737639085652</v>
          </cell>
        </row>
        <row r="4665">
          <cell r="A4665">
            <v>3035659523</v>
          </cell>
          <cell r="B4665" t="str">
            <v>Sample Rejected</v>
          </cell>
          <cell r="C4665">
            <v>42747.737639085652</v>
          </cell>
        </row>
        <row r="4666">
          <cell r="A4666">
            <v>3035644143</v>
          </cell>
          <cell r="B4666" t="str">
            <v>Sample Rejected</v>
          </cell>
          <cell r="C4666">
            <v>42747.737639085652</v>
          </cell>
        </row>
        <row r="4667">
          <cell r="A4667">
            <v>3035641153</v>
          </cell>
          <cell r="B4667" t="str">
            <v>Sample Rejected</v>
          </cell>
          <cell r="C4667">
            <v>42747.737639085652</v>
          </cell>
        </row>
        <row r="4668">
          <cell r="A4668">
            <v>3035639730</v>
          </cell>
          <cell r="B4668" t="str">
            <v>Sample Rejected</v>
          </cell>
          <cell r="C4668">
            <v>42747.737639085652</v>
          </cell>
        </row>
        <row r="4669">
          <cell r="A4669">
            <v>3035571793</v>
          </cell>
          <cell r="B4669" t="str">
            <v>Sample Rejected</v>
          </cell>
          <cell r="C4669">
            <v>42747.737639085652</v>
          </cell>
        </row>
        <row r="4670">
          <cell r="A4670">
            <v>3035640560</v>
          </cell>
          <cell r="B4670" t="str">
            <v>Sample Rejected</v>
          </cell>
          <cell r="C4670">
            <v>42747.737639085652</v>
          </cell>
        </row>
        <row r="4671">
          <cell r="A4671">
            <v>3035659787</v>
          </cell>
          <cell r="B4671" t="str">
            <v>Sample Rejected</v>
          </cell>
          <cell r="C4671">
            <v>42747.737639085652</v>
          </cell>
        </row>
        <row r="4672">
          <cell r="A4672">
            <v>3035640960</v>
          </cell>
          <cell r="B4672" t="str">
            <v>Sample Rejected</v>
          </cell>
          <cell r="C4672">
            <v>42747.737639085652</v>
          </cell>
        </row>
        <row r="4673">
          <cell r="A4673">
            <v>3035662194</v>
          </cell>
          <cell r="B4673" t="str">
            <v>Sample Rejected</v>
          </cell>
          <cell r="C4673">
            <v>42747.737639085652</v>
          </cell>
        </row>
        <row r="4674">
          <cell r="A4674">
            <v>3035652326</v>
          </cell>
          <cell r="B4674" t="str">
            <v>Sample Rejected</v>
          </cell>
          <cell r="C4674">
            <v>42747.737639085652</v>
          </cell>
        </row>
        <row r="4675">
          <cell r="A4675">
            <v>3035641701</v>
          </cell>
          <cell r="B4675" t="str">
            <v>Sample Rejected</v>
          </cell>
          <cell r="C4675">
            <v>42747.737639085652</v>
          </cell>
        </row>
        <row r="4676">
          <cell r="A4676">
            <v>3035660706</v>
          </cell>
          <cell r="B4676" t="str">
            <v>Sample Rejected</v>
          </cell>
          <cell r="C4676">
            <v>42747.737639085652</v>
          </cell>
        </row>
        <row r="4677">
          <cell r="A4677">
            <v>3035644238</v>
          </cell>
          <cell r="B4677" t="str">
            <v>Sample Rejected</v>
          </cell>
          <cell r="C4677">
            <v>42747.737639085652</v>
          </cell>
        </row>
        <row r="4678">
          <cell r="A4678">
            <v>3035643385</v>
          </cell>
          <cell r="B4678" t="str">
            <v>Sample Rejected</v>
          </cell>
          <cell r="C4678">
            <v>42747.737639085652</v>
          </cell>
        </row>
        <row r="4679">
          <cell r="A4679">
            <v>3035330417</v>
          </cell>
          <cell r="B4679" t="str">
            <v>Sample Rejected</v>
          </cell>
          <cell r="C4679">
            <v>42747.737639085652</v>
          </cell>
        </row>
        <row r="4680">
          <cell r="A4680">
            <v>3035642893</v>
          </cell>
          <cell r="B4680" t="str">
            <v>Sample Rejected</v>
          </cell>
          <cell r="C4680">
            <v>42747.737639085652</v>
          </cell>
        </row>
        <row r="4681">
          <cell r="A4681">
            <v>3035654129</v>
          </cell>
          <cell r="B4681" t="str">
            <v>Sample Rejected</v>
          </cell>
          <cell r="C4681">
            <v>42747.737639085652</v>
          </cell>
        </row>
        <row r="4682">
          <cell r="A4682">
            <v>3035642512</v>
          </cell>
          <cell r="B4682" t="str">
            <v>Sample Rejected</v>
          </cell>
          <cell r="C4682">
            <v>42747.737639085652</v>
          </cell>
        </row>
        <row r="4683">
          <cell r="A4683">
            <v>3035639988</v>
          </cell>
          <cell r="B4683" t="str">
            <v>Sample Rejected</v>
          </cell>
          <cell r="C4683">
            <v>42747.737639085652</v>
          </cell>
        </row>
        <row r="4684">
          <cell r="A4684">
            <v>3035658694</v>
          </cell>
          <cell r="B4684" t="str">
            <v>Sample Rejected</v>
          </cell>
          <cell r="C4684">
            <v>42747.737639085652</v>
          </cell>
        </row>
        <row r="4685">
          <cell r="A4685">
            <v>3035655939</v>
          </cell>
          <cell r="B4685" t="str">
            <v>Sample Rejected</v>
          </cell>
          <cell r="C4685">
            <v>42747.737639085652</v>
          </cell>
        </row>
        <row r="4686">
          <cell r="A4686">
            <v>3035649617</v>
          </cell>
          <cell r="B4686" t="str">
            <v>Sample Rejected</v>
          </cell>
          <cell r="C4686">
            <v>42747.737639085652</v>
          </cell>
        </row>
        <row r="4687">
          <cell r="A4687">
            <v>3035643532</v>
          </cell>
          <cell r="B4687" t="str">
            <v>Sample Rejected</v>
          </cell>
          <cell r="C4687">
            <v>42747.737639085652</v>
          </cell>
        </row>
        <row r="4688">
          <cell r="A4688">
            <v>3035652939</v>
          </cell>
          <cell r="B4688" t="str">
            <v>Sample Rejected</v>
          </cell>
          <cell r="C4688">
            <v>42747.737639085652</v>
          </cell>
        </row>
        <row r="4689">
          <cell r="A4689">
            <v>3035661456</v>
          </cell>
          <cell r="B4689" t="str">
            <v>Sample Rejected</v>
          </cell>
          <cell r="C4689">
            <v>42747.737639085652</v>
          </cell>
        </row>
        <row r="4690">
          <cell r="A4690">
            <v>3035619815</v>
          </cell>
          <cell r="B4690" t="str">
            <v>Sample Rejected</v>
          </cell>
          <cell r="C4690">
            <v>42747.737639085652</v>
          </cell>
        </row>
        <row r="4691">
          <cell r="A4691">
            <v>3035643303</v>
          </cell>
          <cell r="B4691" t="str">
            <v>Sample Rejected</v>
          </cell>
          <cell r="C4691">
            <v>42747.737639085652</v>
          </cell>
        </row>
        <row r="4692">
          <cell r="A4692">
            <v>3035608986</v>
          </cell>
          <cell r="B4692" t="str">
            <v>Sample Rejected</v>
          </cell>
          <cell r="C4692">
            <v>42747.737639085652</v>
          </cell>
        </row>
        <row r="4693">
          <cell r="A4693">
            <v>3035654416</v>
          </cell>
          <cell r="B4693" t="str">
            <v>Sample Rejected</v>
          </cell>
          <cell r="C4693">
            <v>42747.737639085652</v>
          </cell>
        </row>
        <row r="4694">
          <cell r="A4694">
            <v>3035659135</v>
          </cell>
          <cell r="B4694" t="str">
            <v>Sample Rejected</v>
          </cell>
          <cell r="C4694">
            <v>42747.737639085652</v>
          </cell>
        </row>
        <row r="4695">
          <cell r="A4695">
            <v>3035661980</v>
          </cell>
          <cell r="B4695" t="str">
            <v>Sample Rejected</v>
          </cell>
          <cell r="C4695">
            <v>42747.737639085652</v>
          </cell>
        </row>
        <row r="4696">
          <cell r="A4696">
            <v>3035651711</v>
          </cell>
          <cell r="B4696" t="str">
            <v>Sample Rejected</v>
          </cell>
          <cell r="C4696">
            <v>42747.737639085652</v>
          </cell>
        </row>
        <row r="4697">
          <cell r="A4697">
            <v>3035645780</v>
          </cell>
          <cell r="B4697" t="str">
            <v>Sample Rejected</v>
          </cell>
          <cell r="C4697">
            <v>42747.737639085652</v>
          </cell>
        </row>
        <row r="4698">
          <cell r="A4698">
            <v>3035643447</v>
          </cell>
          <cell r="B4698" t="str">
            <v>Sample Rejected</v>
          </cell>
          <cell r="C4698">
            <v>42747.737639085652</v>
          </cell>
        </row>
        <row r="4699">
          <cell r="A4699">
            <v>3035646792</v>
          </cell>
          <cell r="B4699" t="str">
            <v>Sample Rejected</v>
          </cell>
          <cell r="C4699">
            <v>42747.737639085652</v>
          </cell>
        </row>
        <row r="4700">
          <cell r="A4700">
            <v>3035657942</v>
          </cell>
          <cell r="B4700" t="str">
            <v>Sample Rejected</v>
          </cell>
          <cell r="C4700">
            <v>42747.737639085652</v>
          </cell>
        </row>
        <row r="4701">
          <cell r="A4701">
            <v>3035654649</v>
          </cell>
          <cell r="B4701" t="str">
            <v>Sample Rejected</v>
          </cell>
          <cell r="C4701">
            <v>42747.737639085652</v>
          </cell>
        </row>
        <row r="4702">
          <cell r="A4702">
            <v>3035605043</v>
          </cell>
          <cell r="B4702" t="str">
            <v>Sample Rejected</v>
          </cell>
          <cell r="C4702">
            <v>42747.737639085652</v>
          </cell>
        </row>
        <row r="4703">
          <cell r="A4703">
            <v>3035407522</v>
          </cell>
          <cell r="B4703" t="str">
            <v>Sample Rejected</v>
          </cell>
          <cell r="C4703">
            <v>42747.737639085652</v>
          </cell>
        </row>
        <row r="4704">
          <cell r="A4704">
            <v>3035648390</v>
          </cell>
          <cell r="B4704" t="str">
            <v>Sample Rejected</v>
          </cell>
          <cell r="C4704">
            <v>42747.737639085652</v>
          </cell>
        </row>
        <row r="4705">
          <cell r="A4705">
            <v>3035654659</v>
          </cell>
          <cell r="B4705" t="str">
            <v>Sample Rejected</v>
          </cell>
          <cell r="C4705">
            <v>42747.737639085652</v>
          </cell>
        </row>
        <row r="4706">
          <cell r="A4706">
            <v>3035540494</v>
          </cell>
          <cell r="B4706" t="str">
            <v>Sample Rejected</v>
          </cell>
          <cell r="C4706">
            <v>42747.737639085652</v>
          </cell>
        </row>
        <row r="4707">
          <cell r="A4707">
            <v>3035656139</v>
          </cell>
          <cell r="B4707" t="str">
            <v>Sample Rejected</v>
          </cell>
          <cell r="C4707">
            <v>42747.737639085652</v>
          </cell>
        </row>
        <row r="4708">
          <cell r="A4708">
            <v>3035602749</v>
          </cell>
          <cell r="B4708" t="str">
            <v>Sample Rejected</v>
          </cell>
          <cell r="C4708">
            <v>42747.737639085652</v>
          </cell>
        </row>
        <row r="4709">
          <cell r="A4709">
            <v>3035651936</v>
          </cell>
          <cell r="B4709" t="str">
            <v>Sample Rejected</v>
          </cell>
          <cell r="C4709">
            <v>42747.737639085652</v>
          </cell>
        </row>
        <row r="4710">
          <cell r="A4710">
            <v>3035656733</v>
          </cell>
          <cell r="B4710" t="str">
            <v>Sample Rejected</v>
          </cell>
          <cell r="C4710">
            <v>42747.737639085652</v>
          </cell>
        </row>
        <row r="4711">
          <cell r="A4711">
            <v>3035652094</v>
          </cell>
          <cell r="B4711" t="str">
            <v>Sample Rejected</v>
          </cell>
          <cell r="C4711">
            <v>42747.737639085652</v>
          </cell>
        </row>
        <row r="4712">
          <cell r="A4712">
            <v>3035651106</v>
          </cell>
          <cell r="B4712" t="str">
            <v>Sample Rejected</v>
          </cell>
          <cell r="C4712">
            <v>42747.737639085652</v>
          </cell>
        </row>
        <row r="4713">
          <cell r="A4713">
            <v>3035646260</v>
          </cell>
          <cell r="B4713" t="str">
            <v>Sample Rejected</v>
          </cell>
          <cell r="C4713">
            <v>42747.737639085652</v>
          </cell>
        </row>
        <row r="4714">
          <cell r="A4714">
            <v>3035660996</v>
          </cell>
          <cell r="B4714" t="str">
            <v>Sample Rejected</v>
          </cell>
          <cell r="C4714">
            <v>42747.737639085652</v>
          </cell>
        </row>
        <row r="4715">
          <cell r="A4715">
            <v>3035641200</v>
          </cell>
          <cell r="B4715" t="str">
            <v>Sample Rejected</v>
          </cell>
          <cell r="C4715">
            <v>42747.737639085652</v>
          </cell>
        </row>
        <row r="4716">
          <cell r="A4716">
            <v>3035641296</v>
          </cell>
          <cell r="B4716" t="str">
            <v>Sample Rejected</v>
          </cell>
          <cell r="C4716">
            <v>42747.737639085652</v>
          </cell>
        </row>
        <row r="4717">
          <cell r="A4717">
            <v>3035657050</v>
          </cell>
          <cell r="B4717" t="str">
            <v>Sample Rejected</v>
          </cell>
          <cell r="C4717">
            <v>42747.737639085652</v>
          </cell>
        </row>
        <row r="4718">
          <cell r="A4718">
            <v>3035654594</v>
          </cell>
          <cell r="B4718" t="str">
            <v>Sample Rejected</v>
          </cell>
          <cell r="C4718">
            <v>42747.737639085652</v>
          </cell>
        </row>
        <row r="4719">
          <cell r="A4719">
            <v>3035655592</v>
          </cell>
          <cell r="B4719" t="str">
            <v>Sample Rejected</v>
          </cell>
          <cell r="C4719">
            <v>42747.737639085652</v>
          </cell>
        </row>
        <row r="4720">
          <cell r="A4720">
            <v>3035650324</v>
          </cell>
          <cell r="B4720" t="str">
            <v>Sample Rejected</v>
          </cell>
          <cell r="C4720">
            <v>42747.737639085652</v>
          </cell>
        </row>
        <row r="4721">
          <cell r="A4721">
            <v>3035654800</v>
          </cell>
          <cell r="B4721" t="str">
            <v>Sample Rejected</v>
          </cell>
          <cell r="C4721">
            <v>42747.737639085652</v>
          </cell>
        </row>
        <row r="4722">
          <cell r="A4722">
            <v>3035651600</v>
          </cell>
          <cell r="B4722" t="str">
            <v>Sample Rejected</v>
          </cell>
          <cell r="C4722">
            <v>42747.737639085652</v>
          </cell>
        </row>
        <row r="4723">
          <cell r="A4723">
            <v>3035643957</v>
          </cell>
          <cell r="B4723" t="str">
            <v>Sample Rejected</v>
          </cell>
          <cell r="C4723">
            <v>42747.737639085652</v>
          </cell>
        </row>
        <row r="4724">
          <cell r="A4724">
            <v>3035518017</v>
          </cell>
          <cell r="B4724" t="str">
            <v>Sample Rejected</v>
          </cell>
          <cell r="C4724">
            <v>42747.737639085652</v>
          </cell>
        </row>
        <row r="4725">
          <cell r="A4725">
            <v>3035659444</v>
          </cell>
          <cell r="B4725" t="str">
            <v>Sample Rejected</v>
          </cell>
          <cell r="C4725">
            <v>42747.737639085652</v>
          </cell>
        </row>
        <row r="4726">
          <cell r="A4726">
            <v>3035645242</v>
          </cell>
          <cell r="B4726" t="str">
            <v>Sample Rejected</v>
          </cell>
          <cell r="C4726">
            <v>42747.737639085652</v>
          </cell>
        </row>
        <row r="4727">
          <cell r="A4727">
            <v>3035657583</v>
          </cell>
          <cell r="B4727" t="str">
            <v>Sample Rejected</v>
          </cell>
          <cell r="C4727">
            <v>42747.737639085652</v>
          </cell>
        </row>
        <row r="4728">
          <cell r="A4728">
            <v>3035652278</v>
          </cell>
          <cell r="B4728" t="str">
            <v>Sample Rejected</v>
          </cell>
          <cell r="C4728">
            <v>42747.737639085652</v>
          </cell>
        </row>
        <row r="4729">
          <cell r="A4729">
            <v>3034978299</v>
          </cell>
          <cell r="B4729" t="str">
            <v>Sample Rejected</v>
          </cell>
          <cell r="C4729">
            <v>42747.737639085652</v>
          </cell>
        </row>
        <row r="4730">
          <cell r="A4730">
            <v>3035616002</v>
          </cell>
          <cell r="B4730" t="str">
            <v>Sample Rejected</v>
          </cell>
          <cell r="C4730">
            <v>42747.737639085652</v>
          </cell>
        </row>
        <row r="4731">
          <cell r="A4731">
            <v>3035616882</v>
          </cell>
          <cell r="B4731" t="str">
            <v>Sample Rejected</v>
          </cell>
          <cell r="C4731">
            <v>42747.737639085652</v>
          </cell>
        </row>
        <row r="4732">
          <cell r="A4732">
            <v>3035659774</v>
          </cell>
          <cell r="B4732" t="str">
            <v>Sample Rejected</v>
          </cell>
          <cell r="C4732">
            <v>42747.737639085652</v>
          </cell>
        </row>
        <row r="4733">
          <cell r="A4733">
            <v>3035552395</v>
          </cell>
          <cell r="B4733" t="str">
            <v>Sample Rejected</v>
          </cell>
          <cell r="C4733">
            <v>42747.737639085652</v>
          </cell>
        </row>
        <row r="4734">
          <cell r="A4734">
            <v>3035540381</v>
          </cell>
          <cell r="B4734" t="str">
            <v>Sample Rejected</v>
          </cell>
          <cell r="C4734">
            <v>42747.737639085652</v>
          </cell>
        </row>
        <row r="4735">
          <cell r="A4735">
            <v>3035660781</v>
          </cell>
          <cell r="B4735" t="str">
            <v>Sample Rejected</v>
          </cell>
          <cell r="C4735">
            <v>42747.737639085652</v>
          </cell>
        </row>
        <row r="4736">
          <cell r="A4736">
            <v>3035646973</v>
          </cell>
          <cell r="B4736" t="str">
            <v>Sample Rejected</v>
          </cell>
          <cell r="C4736">
            <v>42747.737639085652</v>
          </cell>
        </row>
        <row r="4737">
          <cell r="A4737">
            <v>3035646429</v>
          </cell>
          <cell r="B4737" t="str">
            <v>Sample Rejected</v>
          </cell>
          <cell r="C4737">
            <v>42747.737639085652</v>
          </cell>
        </row>
        <row r="4738">
          <cell r="A4738">
            <v>3035653914</v>
          </cell>
          <cell r="B4738" t="str">
            <v>Sample Rejected</v>
          </cell>
          <cell r="C4738">
            <v>42747.737639085652</v>
          </cell>
        </row>
        <row r="4739">
          <cell r="A4739">
            <v>3035661638</v>
          </cell>
          <cell r="B4739" t="str">
            <v>Sample Rejected</v>
          </cell>
          <cell r="C4739">
            <v>42747.737639085652</v>
          </cell>
        </row>
        <row r="4740">
          <cell r="A4740">
            <v>3035662792</v>
          </cell>
          <cell r="B4740" t="str">
            <v>Sample Rejected</v>
          </cell>
          <cell r="C4740">
            <v>42747.737639085652</v>
          </cell>
        </row>
        <row r="4741">
          <cell r="A4741">
            <v>3035649072</v>
          </cell>
          <cell r="B4741" t="str">
            <v>Sample Rejected</v>
          </cell>
          <cell r="C4741">
            <v>42747.737639085652</v>
          </cell>
        </row>
        <row r="4742">
          <cell r="A4742">
            <v>3035611560</v>
          </cell>
          <cell r="B4742" t="str">
            <v>Sample Rejected</v>
          </cell>
          <cell r="C4742">
            <v>42746.737756446761</v>
          </cell>
        </row>
        <row r="4743">
          <cell r="A4743">
            <v>3035618906</v>
          </cell>
          <cell r="B4743" t="str">
            <v>Sample Rejected</v>
          </cell>
          <cell r="C4743">
            <v>42746.737756446761</v>
          </cell>
        </row>
        <row r="4744">
          <cell r="A4744">
            <v>3035605596</v>
          </cell>
          <cell r="B4744" t="str">
            <v>Sample Rejected</v>
          </cell>
          <cell r="C4744">
            <v>42746.737756446761</v>
          </cell>
        </row>
        <row r="4745">
          <cell r="A4745">
            <v>3035602549</v>
          </cell>
          <cell r="B4745" t="str">
            <v>Sample Rejected</v>
          </cell>
          <cell r="C4745">
            <v>42746.737756446761</v>
          </cell>
        </row>
        <row r="4746">
          <cell r="A4746">
            <v>3035618298</v>
          </cell>
          <cell r="B4746" t="str">
            <v>Sample Rejected</v>
          </cell>
          <cell r="C4746">
            <v>42746.737756446761</v>
          </cell>
        </row>
        <row r="4747">
          <cell r="A4747">
            <v>3035620861</v>
          </cell>
          <cell r="B4747" t="str">
            <v>Sample Rejected</v>
          </cell>
          <cell r="C4747">
            <v>42746.737756446761</v>
          </cell>
        </row>
        <row r="4748">
          <cell r="A4748">
            <v>3035602147</v>
          </cell>
          <cell r="B4748" t="str">
            <v>Sample Rejected</v>
          </cell>
          <cell r="C4748">
            <v>42746.737756446761</v>
          </cell>
        </row>
        <row r="4749">
          <cell r="A4749">
            <v>3035616940</v>
          </cell>
          <cell r="B4749" t="str">
            <v>Sample Rejected</v>
          </cell>
          <cell r="C4749">
            <v>42746.737756446761</v>
          </cell>
        </row>
        <row r="4750">
          <cell r="A4750">
            <v>3035605038</v>
          </cell>
          <cell r="B4750" t="str">
            <v>Sample Rejected</v>
          </cell>
          <cell r="C4750">
            <v>42746.737756446761</v>
          </cell>
        </row>
        <row r="4751">
          <cell r="A4751">
            <v>3035612119</v>
          </cell>
          <cell r="B4751" t="str">
            <v>Sample Rejected</v>
          </cell>
          <cell r="C4751">
            <v>42746.737756446761</v>
          </cell>
        </row>
        <row r="4752">
          <cell r="A4752">
            <v>3035625005</v>
          </cell>
          <cell r="B4752" t="str">
            <v>Sample Rejected</v>
          </cell>
          <cell r="C4752">
            <v>42746.737756446761</v>
          </cell>
        </row>
        <row r="4753">
          <cell r="A4753">
            <v>3035469943</v>
          </cell>
          <cell r="B4753" t="str">
            <v>Sample Rejected</v>
          </cell>
          <cell r="C4753">
            <v>42746.737756446761</v>
          </cell>
        </row>
        <row r="4754">
          <cell r="A4754">
            <v>3035613154</v>
          </cell>
          <cell r="B4754" t="str">
            <v>Sample Rejected</v>
          </cell>
          <cell r="C4754">
            <v>42746.737756446761</v>
          </cell>
        </row>
        <row r="4755">
          <cell r="A4755">
            <v>3035618902</v>
          </cell>
          <cell r="B4755" t="str">
            <v>Sample Rejected</v>
          </cell>
          <cell r="C4755">
            <v>42746.737756446761</v>
          </cell>
        </row>
        <row r="4756">
          <cell r="A4756">
            <v>3035613320</v>
          </cell>
          <cell r="B4756" t="str">
            <v>Sample Rejected</v>
          </cell>
          <cell r="C4756">
            <v>42746.737756446761</v>
          </cell>
        </row>
        <row r="4757">
          <cell r="A4757">
            <v>3035571064</v>
          </cell>
          <cell r="B4757" t="str">
            <v>Sample Rejected</v>
          </cell>
          <cell r="C4757">
            <v>42746.737756446761</v>
          </cell>
        </row>
        <row r="4758">
          <cell r="A4758">
            <v>3035602887</v>
          </cell>
          <cell r="B4758" t="str">
            <v>Sample Rejected</v>
          </cell>
          <cell r="C4758">
            <v>42746.737756446761</v>
          </cell>
        </row>
        <row r="4759">
          <cell r="A4759">
            <v>3035615470</v>
          </cell>
          <cell r="B4759" t="str">
            <v>Sample Rejected</v>
          </cell>
          <cell r="C4759">
            <v>42746.737756446761</v>
          </cell>
        </row>
        <row r="4760">
          <cell r="A4760">
            <v>3035602956</v>
          </cell>
          <cell r="B4760" t="str">
            <v>Sample Rejected</v>
          </cell>
          <cell r="C4760">
            <v>42746.737756446761</v>
          </cell>
        </row>
        <row r="4761">
          <cell r="A4761">
            <v>3035609199</v>
          </cell>
          <cell r="B4761" t="str">
            <v>Sample Rejected</v>
          </cell>
          <cell r="C4761">
            <v>42746.737756446761</v>
          </cell>
        </row>
        <row r="4762">
          <cell r="A4762">
            <v>3035602838</v>
          </cell>
          <cell r="B4762" t="str">
            <v>Sample Rejected</v>
          </cell>
          <cell r="C4762">
            <v>42746.737756446761</v>
          </cell>
        </row>
        <row r="4763">
          <cell r="A4763">
            <v>3035607641</v>
          </cell>
          <cell r="B4763" t="str">
            <v>Sample Rejected</v>
          </cell>
          <cell r="C4763">
            <v>42746.737756446761</v>
          </cell>
        </row>
        <row r="4764">
          <cell r="A4764">
            <v>3035602697</v>
          </cell>
          <cell r="B4764" t="str">
            <v>Sample Rejected</v>
          </cell>
          <cell r="C4764">
            <v>42746.737756446761</v>
          </cell>
        </row>
        <row r="4765">
          <cell r="A4765">
            <v>3035573680</v>
          </cell>
          <cell r="B4765" t="str">
            <v>Sample Rejected</v>
          </cell>
          <cell r="C4765">
            <v>42746.737756446761</v>
          </cell>
        </row>
        <row r="4766">
          <cell r="A4766">
            <v>3035603907</v>
          </cell>
          <cell r="B4766" t="str">
            <v>Sample Rejected</v>
          </cell>
          <cell r="C4766">
            <v>42746.737756446761</v>
          </cell>
        </row>
        <row r="4767">
          <cell r="A4767">
            <v>3035571801</v>
          </cell>
          <cell r="B4767" t="str">
            <v>Sample Rejected</v>
          </cell>
          <cell r="C4767">
            <v>42746.737756446761</v>
          </cell>
        </row>
        <row r="4768">
          <cell r="A4768">
            <v>3035602222</v>
          </cell>
          <cell r="B4768" t="str">
            <v>Sample Rejected</v>
          </cell>
          <cell r="C4768">
            <v>42746.737756446761</v>
          </cell>
        </row>
        <row r="4769">
          <cell r="A4769">
            <v>3035602045</v>
          </cell>
          <cell r="B4769" t="str">
            <v>Sample Rejected</v>
          </cell>
          <cell r="C4769">
            <v>42746.737756446761</v>
          </cell>
        </row>
        <row r="4770">
          <cell r="A4770">
            <v>3035601006</v>
          </cell>
          <cell r="B4770" t="str">
            <v>Sample Rejected</v>
          </cell>
          <cell r="C4770">
            <v>42746.737756446761</v>
          </cell>
        </row>
        <row r="4771">
          <cell r="A4771">
            <v>3035625928</v>
          </cell>
          <cell r="B4771" t="str">
            <v>Sample Rejected</v>
          </cell>
          <cell r="C4771">
            <v>42746.737756446761</v>
          </cell>
        </row>
        <row r="4772">
          <cell r="A4772">
            <v>3035601965</v>
          </cell>
          <cell r="B4772" t="str">
            <v>Sample Rejected</v>
          </cell>
          <cell r="C4772">
            <v>42746.737756446761</v>
          </cell>
        </row>
        <row r="4773">
          <cell r="A4773">
            <v>3035601360</v>
          </cell>
          <cell r="B4773" t="str">
            <v>Sample Rejected</v>
          </cell>
          <cell r="C4773">
            <v>42746.737756446761</v>
          </cell>
        </row>
        <row r="4774">
          <cell r="A4774">
            <v>3035603141</v>
          </cell>
          <cell r="B4774" t="str">
            <v>Sample Rejected</v>
          </cell>
          <cell r="C4774">
            <v>42746.737756446761</v>
          </cell>
        </row>
        <row r="4775">
          <cell r="A4775">
            <v>3035604427</v>
          </cell>
          <cell r="B4775" t="str">
            <v>Sample Rejected</v>
          </cell>
          <cell r="C4775">
            <v>42746.737756446761</v>
          </cell>
        </row>
        <row r="4776">
          <cell r="A4776">
            <v>3035604578</v>
          </cell>
          <cell r="B4776" t="str">
            <v>Sample Rejected</v>
          </cell>
          <cell r="C4776">
            <v>42746.737756446761</v>
          </cell>
        </row>
        <row r="4777">
          <cell r="A4777">
            <v>3035624311</v>
          </cell>
          <cell r="B4777" t="str">
            <v>Sample Rejected</v>
          </cell>
          <cell r="C4777">
            <v>42746.737756446761</v>
          </cell>
        </row>
        <row r="4778">
          <cell r="A4778">
            <v>3035609400</v>
          </cell>
          <cell r="B4778" t="str">
            <v>Sample Rejected</v>
          </cell>
          <cell r="C4778">
            <v>42746.737756446761</v>
          </cell>
        </row>
        <row r="4779">
          <cell r="A4779">
            <v>3035609455</v>
          </cell>
          <cell r="B4779" t="str">
            <v>Sample Rejected</v>
          </cell>
          <cell r="C4779">
            <v>42746.737756446761</v>
          </cell>
        </row>
        <row r="4780">
          <cell r="A4780">
            <v>3035621261</v>
          </cell>
          <cell r="B4780" t="str">
            <v>Sample Rejected</v>
          </cell>
          <cell r="C4780">
            <v>42746.737756446761</v>
          </cell>
        </row>
        <row r="4781">
          <cell r="A4781">
            <v>3035605715</v>
          </cell>
          <cell r="B4781" t="str">
            <v>Sample Rejected</v>
          </cell>
          <cell r="C4781">
            <v>42746.737756446761</v>
          </cell>
        </row>
        <row r="4782">
          <cell r="A4782">
            <v>3035413911</v>
          </cell>
          <cell r="B4782" t="str">
            <v>Sample Rejected</v>
          </cell>
          <cell r="C4782">
            <v>42746.737756446761</v>
          </cell>
        </row>
        <row r="4783">
          <cell r="A4783">
            <v>3035607678</v>
          </cell>
          <cell r="B4783" t="str">
            <v>Sample Rejected</v>
          </cell>
          <cell r="C4783">
            <v>42746.737756446761</v>
          </cell>
        </row>
        <row r="4784">
          <cell r="A4784">
            <v>3035606177</v>
          </cell>
          <cell r="B4784" t="str">
            <v>Sample Rejected</v>
          </cell>
          <cell r="C4784">
            <v>42746.737756446761</v>
          </cell>
        </row>
        <row r="4785">
          <cell r="A4785">
            <v>3035602686</v>
          </cell>
          <cell r="B4785" t="str">
            <v>Sample Rejected</v>
          </cell>
          <cell r="C4785">
            <v>42746.737756446761</v>
          </cell>
        </row>
        <row r="4786">
          <cell r="A4786">
            <v>3035625739</v>
          </cell>
          <cell r="B4786" t="str">
            <v>Sample Rejected</v>
          </cell>
          <cell r="C4786">
            <v>42746.737756446761</v>
          </cell>
        </row>
        <row r="4787">
          <cell r="A4787">
            <v>3035551878</v>
          </cell>
          <cell r="B4787" t="str">
            <v>Sample Rejected</v>
          </cell>
          <cell r="C4787">
            <v>42746.737756446761</v>
          </cell>
        </row>
        <row r="4788">
          <cell r="A4788">
            <v>3035605954</v>
          </cell>
          <cell r="B4788" t="str">
            <v>Sample Rejected</v>
          </cell>
          <cell r="C4788">
            <v>42746.737756446761</v>
          </cell>
        </row>
        <row r="4789">
          <cell r="A4789">
            <v>3035614772</v>
          </cell>
          <cell r="B4789" t="str">
            <v>Sample Rejected</v>
          </cell>
          <cell r="C4789">
            <v>42746.737756446761</v>
          </cell>
        </row>
        <row r="4790">
          <cell r="A4790">
            <v>3035574652</v>
          </cell>
          <cell r="B4790" t="str">
            <v>Sample Rejected</v>
          </cell>
          <cell r="C4790">
            <v>42746.737756446761</v>
          </cell>
        </row>
        <row r="4791">
          <cell r="A4791">
            <v>3035574934</v>
          </cell>
          <cell r="B4791" t="str">
            <v>Sample Rejected</v>
          </cell>
          <cell r="C4791">
            <v>42746.737756446761</v>
          </cell>
        </row>
        <row r="4792">
          <cell r="A4792">
            <v>3035617603</v>
          </cell>
          <cell r="B4792" t="str">
            <v>Sample Rejected</v>
          </cell>
          <cell r="C4792">
            <v>42746.737756446761</v>
          </cell>
        </row>
        <row r="4793">
          <cell r="A4793">
            <v>3035606261</v>
          </cell>
          <cell r="B4793" t="str">
            <v>Sample Rejected</v>
          </cell>
          <cell r="C4793">
            <v>42746.737756446761</v>
          </cell>
        </row>
        <row r="4794">
          <cell r="A4794">
            <v>3035610872</v>
          </cell>
          <cell r="B4794" t="str">
            <v>Sample Rejected</v>
          </cell>
          <cell r="C4794">
            <v>42746.737756446761</v>
          </cell>
        </row>
        <row r="4795">
          <cell r="A4795">
            <v>3035603759</v>
          </cell>
          <cell r="B4795" t="str">
            <v>Sample Rejected</v>
          </cell>
          <cell r="C4795">
            <v>42746.737756446761</v>
          </cell>
        </row>
        <row r="4796">
          <cell r="A4796">
            <v>3035270064</v>
          </cell>
          <cell r="B4796" t="str">
            <v>Sample Rejected</v>
          </cell>
          <cell r="C4796">
            <v>42746.737756446761</v>
          </cell>
        </row>
        <row r="4797">
          <cell r="A4797">
            <v>3035558414</v>
          </cell>
          <cell r="B4797" t="str">
            <v>Sample Rejected</v>
          </cell>
          <cell r="C4797">
            <v>42746.737756446761</v>
          </cell>
        </row>
        <row r="4798">
          <cell r="A4798">
            <v>3035621357</v>
          </cell>
          <cell r="B4798" t="str">
            <v>Sample Rejected</v>
          </cell>
          <cell r="C4798">
            <v>42746.737756446761</v>
          </cell>
        </row>
        <row r="4799">
          <cell r="A4799">
            <v>3035613062</v>
          </cell>
          <cell r="B4799" t="str">
            <v>Sample Rejected</v>
          </cell>
          <cell r="C4799">
            <v>42746.737756446761</v>
          </cell>
        </row>
        <row r="4800">
          <cell r="A4800">
            <v>3035617244</v>
          </cell>
          <cell r="B4800" t="str">
            <v>Sample Rejected</v>
          </cell>
          <cell r="C4800">
            <v>42746.737756446761</v>
          </cell>
        </row>
        <row r="4801">
          <cell r="A4801">
            <v>3035607400</v>
          </cell>
          <cell r="B4801" t="str">
            <v>Sample Rejected</v>
          </cell>
          <cell r="C4801">
            <v>42746.737756446761</v>
          </cell>
        </row>
        <row r="4802">
          <cell r="A4802">
            <v>3035600793</v>
          </cell>
          <cell r="B4802" t="str">
            <v>Sample Rejected</v>
          </cell>
          <cell r="C4802">
            <v>42746.737756446761</v>
          </cell>
        </row>
        <row r="4803">
          <cell r="A4803">
            <v>3035602377</v>
          </cell>
          <cell r="B4803" t="str">
            <v>Sample Rejected</v>
          </cell>
          <cell r="C4803">
            <v>42746.737756446761</v>
          </cell>
        </row>
        <row r="4804">
          <cell r="A4804">
            <v>3035601107</v>
          </cell>
          <cell r="B4804" t="str">
            <v>Sample Rejected</v>
          </cell>
          <cell r="C4804">
            <v>42746.737756446761</v>
          </cell>
        </row>
        <row r="4805">
          <cell r="A4805">
            <v>3035609086</v>
          </cell>
          <cell r="B4805" t="str">
            <v>Sample Rejected</v>
          </cell>
          <cell r="C4805">
            <v>42746.737756446761</v>
          </cell>
        </row>
        <row r="4806">
          <cell r="A4806">
            <v>3035621045</v>
          </cell>
          <cell r="B4806" t="str">
            <v>Sample Rejected</v>
          </cell>
          <cell r="C4806">
            <v>42746.737756446761</v>
          </cell>
        </row>
        <row r="4807">
          <cell r="A4807">
            <v>3035603659</v>
          </cell>
          <cell r="B4807" t="str">
            <v>Sample Rejected</v>
          </cell>
          <cell r="C4807">
            <v>42746.737756446761</v>
          </cell>
        </row>
        <row r="4808">
          <cell r="A4808">
            <v>3035539918</v>
          </cell>
          <cell r="B4808" t="str">
            <v>Sample Rejected</v>
          </cell>
          <cell r="C4808">
            <v>42746.737756446761</v>
          </cell>
        </row>
        <row r="4809">
          <cell r="A4809">
            <v>3035613714</v>
          </cell>
          <cell r="B4809" t="str">
            <v>Sample Rejected</v>
          </cell>
          <cell r="C4809">
            <v>42746.737756446761</v>
          </cell>
        </row>
        <row r="4810">
          <cell r="A4810">
            <v>3035568186</v>
          </cell>
          <cell r="B4810" t="str">
            <v>Sample Rejected</v>
          </cell>
          <cell r="C4810">
            <v>42746.737756446761</v>
          </cell>
        </row>
        <row r="4811">
          <cell r="A4811">
            <v>3035619525</v>
          </cell>
          <cell r="B4811" t="str">
            <v>Sample Rejected</v>
          </cell>
          <cell r="C4811">
            <v>42746.737756446761</v>
          </cell>
        </row>
        <row r="4812">
          <cell r="A4812">
            <v>3035569708</v>
          </cell>
          <cell r="B4812" t="str">
            <v>Sample Rejected</v>
          </cell>
          <cell r="C4812">
            <v>42746.737756446761</v>
          </cell>
        </row>
        <row r="4813">
          <cell r="A4813">
            <v>3035606168</v>
          </cell>
          <cell r="B4813" t="str">
            <v>Sample Rejected</v>
          </cell>
          <cell r="C4813">
            <v>42746.737756446761</v>
          </cell>
        </row>
        <row r="4814">
          <cell r="A4814">
            <v>3035517257</v>
          </cell>
          <cell r="B4814" t="str">
            <v>Sample Rejected</v>
          </cell>
          <cell r="C4814">
            <v>42746.737756446761</v>
          </cell>
        </row>
        <row r="4815">
          <cell r="A4815">
            <v>3035550937</v>
          </cell>
          <cell r="B4815" t="str">
            <v>Sample Rejected</v>
          </cell>
          <cell r="C4815">
            <v>42746.737756446761</v>
          </cell>
        </row>
        <row r="4816">
          <cell r="A4816">
            <v>3035613789</v>
          </cell>
          <cell r="B4816" t="str">
            <v>Sample Rejected</v>
          </cell>
          <cell r="C4816">
            <v>42746.737756446761</v>
          </cell>
        </row>
        <row r="4817">
          <cell r="A4817">
            <v>3035603263</v>
          </cell>
          <cell r="B4817" t="str">
            <v>Sample Rejected</v>
          </cell>
          <cell r="C4817">
            <v>42746.737756446761</v>
          </cell>
        </row>
        <row r="4818">
          <cell r="A4818">
            <v>3035519071</v>
          </cell>
          <cell r="B4818" t="str">
            <v>Sample Rejected</v>
          </cell>
          <cell r="C4818">
            <v>42746.737756446761</v>
          </cell>
        </row>
        <row r="4819">
          <cell r="A4819">
            <v>3035601341</v>
          </cell>
          <cell r="B4819" t="str">
            <v>Sample Rejected</v>
          </cell>
          <cell r="C4819">
            <v>42746.737756446761</v>
          </cell>
        </row>
        <row r="4820">
          <cell r="A4820">
            <v>3035618058</v>
          </cell>
          <cell r="B4820" t="str">
            <v>Sample Rejected</v>
          </cell>
          <cell r="C4820">
            <v>42746.737756446761</v>
          </cell>
        </row>
        <row r="4821">
          <cell r="A4821">
            <v>3035607926</v>
          </cell>
          <cell r="B4821" t="str">
            <v>Sample Rejected</v>
          </cell>
          <cell r="C4821">
            <v>42746.737756446761</v>
          </cell>
        </row>
        <row r="4822">
          <cell r="A4822">
            <v>3035601240</v>
          </cell>
          <cell r="B4822" t="str">
            <v>Sample Rejected</v>
          </cell>
          <cell r="C4822">
            <v>42746.737756446761</v>
          </cell>
        </row>
        <row r="4823">
          <cell r="A4823">
            <v>3035605291</v>
          </cell>
          <cell r="B4823" t="str">
            <v>Sample Rejected</v>
          </cell>
          <cell r="C4823">
            <v>42746.737756446761</v>
          </cell>
        </row>
        <row r="4824">
          <cell r="A4824">
            <v>3035619214</v>
          </cell>
          <cell r="B4824" t="str">
            <v>Sample Rejected</v>
          </cell>
          <cell r="C4824">
            <v>42746.737756446761</v>
          </cell>
        </row>
        <row r="4825">
          <cell r="A4825">
            <v>3035603894</v>
          </cell>
          <cell r="B4825" t="str">
            <v>Sample Rejected</v>
          </cell>
          <cell r="C4825">
            <v>42746.737756446761</v>
          </cell>
        </row>
        <row r="4826">
          <cell r="A4826">
            <v>3035518116</v>
          </cell>
          <cell r="B4826" t="str">
            <v>Sample Rejected</v>
          </cell>
          <cell r="C4826">
            <v>42746.737756446761</v>
          </cell>
        </row>
        <row r="4827">
          <cell r="A4827">
            <v>3035603781</v>
          </cell>
          <cell r="B4827" t="str">
            <v>Sample Rejected</v>
          </cell>
          <cell r="C4827">
            <v>42746.737756446761</v>
          </cell>
        </row>
        <row r="4828">
          <cell r="A4828">
            <v>3035621962</v>
          </cell>
          <cell r="B4828" t="str">
            <v>Sample Rejected</v>
          </cell>
          <cell r="C4828">
            <v>42746.737756446761</v>
          </cell>
        </row>
        <row r="4829">
          <cell r="A4829">
            <v>3035602831</v>
          </cell>
          <cell r="B4829" t="str">
            <v>Sample Rejected</v>
          </cell>
          <cell r="C4829">
            <v>42746.737756446761</v>
          </cell>
        </row>
        <row r="4830">
          <cell r="A4830">
            <v>3035604574</v>
          </cell>
          <cell r="B4830" t="str">
            <v>Sample Rejected</v>
          </cell>
          <cell r="C4830">
            <v>42746.737756446761</v>
          </cell>
        </row>
        <row r="4831">
          <cell r="A4831">
            <v>3035621893</v>
          </cell>
          <cell r="B4831" t="str">
            <v>Sample Rejected</v>
          </cell>
          <cell r="C4831">
            <v>42746.737756446761</v>
          </cell>
        </row>
        <row r="4832">
          <cell r="A4832">
            <v>3035605746</v>
          </cell>
          <cell r="B4832" t="str">
            <v>Sample Rejected</v>
          </cell>
          <cell r="C4832">
            <v>42746.737756446761</v>
          </cell>
        </row>
        <row r="4833">
          <cell r="A4833">
            <v>3035615355</v>
          </cell>
          <cell r="B4833" t="str">
            <v>Sample Rejected</v>
          </cell>
          <cell r="C4833">
            <v>42746.737756446761</v>
          </cell>
        </row>
        <row r="4834">
          <cell r="A4834">
            <v>3035603503</v>
          </cell>
          <cell r="B4834" t="str">
            <v>Sample Rejected</v>
          </cell>
          <cell r="C4834">
            <v>42746.737756446761</v>
          </cell>
        </row>
        <row r="4835">
          <cell r="A4835">
            <v>3035614996</v>
          </cell>
          <cell r="B4835" t="str">
            <v>Sample Rejected</v>
          </cell>
          <cell r="C4835">
            <v>42746.737756446761</v>
          </cell>
        </row>
        <row r="4836">
          <cell r="A4836">
            <v>3035615102</v>
          </cell>
          <cell r="B4836" t="str">
            <v>Sample Rejected</v>
          </cell>
          <cell r="C4836">
            <v>42746.737756446761</v>
          </cell>
        </row>
        <row r="4837">
          <cell r="A4837">
            <v>3035608166</v>
          </cell>
          <cell r="B4837" t="str">
            <v>Sample Rejected</v>
          </cell>
          <cell r="C4837">
            <v>42746.737756446761</v>
          </cell>
        </row>
        <row r="4838">
          <cell r="A4838">
            <v>3035615554</v>
          </cell>
          <cell r="B4838" t="str">
            <v>Sample Rejected</v>
          </cell>
          <cell r="C4838">
            <v>42746.737756446761</v>
          </cell>
        </row>
        <row r="4839">
          <cell r="A4839">
            <v>3035489902</v>
          </cell>
          <cell r="B4839" t="str">
            <v>Sample Rejected</v>
          </cell>
          <cell r="C4839">
            <v>42746.737756446761</v>
          </cell>
        </row>
        <row r="4840">
          <cell r="A4840">
            <v>3035613849</v>
          </cell>
          <cell r="B4840" t="str">
            <v>Sample Rejected</v>
          </cell>
          <cell r="C4840">
            <v>42746.737756446761</v>
          </cell>
        </row>
        <row r="4841">
          <cell r="A4841">
            <v>3035613640</v>
          </cell>
          <cell r="B4841" t="str">
            <v>Sample Rejected</v>
          </cell>
          <cell r="C4841">
            <v>42746.737756446761</v>
          </cell>
        </row>
        <row r="4842">
          <cell r="A4842">
            <v>3035617907</v>
          </cell>
          <cell r="B4842" t="str">
            <v>Sample Rejected</v>
          </cell>
          <cell r="C4842">
            <v>42746.737756446761</v>
          </cell>
        </row>
        <row r="4843">
          <cell r="A4843">
            <v>3035624895</v>
          </cell>
          <cell r="B4843" t="str">
            <v>Sample Rejected</v>
          </cell>
          <cell r="C4843">
            <v>42746.737756446761</v>
          </cell>
        </row>
        <row r="4844">
          <cell r="A4844">
            <v>3035610294</v>
          </cell>
          <cell r="B4844" t="str">
            <v>Sample Rejected</v>
          </cell>
          <cell r="C4844">
            <v>42746.737756446761</v>
          </cell>
        </row>
        <row r="4845">
          <cell r="A4845">
            <v>3035301889</v>
          </cell>
          <cell r="B4845" t="str">
            <v>Sample Rejected</v>
          </cell>
          <cell r="C4845">
            <v>42746.737756446761</v>
          </cell>
        </row>
        <row r="4846">
          <cell r="A4846">
            <v>3035604310</v>
          </cell>
          <cell r="B4846" t="str">
            <v>Sample Rejected</v>
          </cell>
          <cell r="C4846">
            <v>42746.737756446761</v>
          </cell>
        </row>
        <row r="4847">
          <cell r="A4847">
            <v>3035610017</v>
          </cell>
          <cell r="B4847" t="str">
            <v>Sample Rejected</v>
          </cell>
          <cell r="C4847">
            <v>42746.737756446761</v>
          </cell>
        </row>
        <row r="4848">
          <cell r="A4848">
            <v>3035613746</v>
          </cell>
          <cell r="B4848" t="str">
            <v>Sample Rejected</v>
          </cell>
          <cell r="C4848">
            <v>42746.737756446761</v>
          </cell>
        </row>
        <row r="4849">
          <cell r="A4849">
            <v>3035606464</v>
          </cell>
          <cell r="B4849" t="str">
            <v>Sample Rejected</v>
          </cell>
          <cell r="C4849">
            <v>42746.737756446761</v>
          </cell>
        </row>
        <row r="4850">
          <cell r="A4850">
            <v>3035607865</v>
          </cell>
          <cell r="B4850" t="str">
            <v>Sample Rejected</v>
          </cell>
          <cell r="C4850">
            <v>42746.737756446761</v>
          </cell>
        </row>
        <row r="4851">
          <cell r="A4851">
            <v>3035602744</v>
          </cell>
          <cell r="B4851" t="str">
            <v>Sample Rejected</v>
          </cell>
          <cell r="C4851">
            <v>42746.737756446761</v>
          </cell>
        </row>
        <row r="4852">
          <cell r="A4852">
            <v>3035625712</v>
          </cell>
          <cell r="B4852" t="str">
            <v>Sample Rejected</v>
          </cell>
          <cell r="C4852">
            <v>42746.737756446761</v>
          </cell>
        </row>
        <row r="4853">
          <cell r="A4853">
            <v>3035430828</v>
          </cell>
          <cell r="B4853" t="str">
            <v>Sample Rejected</v>
          </cell>
          <cell r="C4853">
            <v>42746.737756446761</v>
          </cell>
        </row>
        <row r="4854">
          <cell r="A4854">
            <v>3035619452</v>
          </cell>
          <cell r="B4854" t="str">
            <v>Sample Rejected</v>
          </cell>
          <cell r="C4854">
            <v>42746.737756446761</v>
          </cell>
        </row>
        <row r="4855">
          <cell r="A4855">
            <v>3035605092</v>
          </cell>
          <cell r="B4855" t="str">
            <v>Sample Rejected</v>
          </cell>
          <cell r="C4855">
            <v>42746.737756446761</v>
          </cell>
        </row>
        <row r="4856">
          <cell r="A4856">
            <v>3035605131</v>
          </cell>
          <cell r="B4856" t="str">
            <v>Sample Rejected</v>
          </cell>
          <cell r="C4856">
            <v>42746.737756446761</v>
          </cell>
        </row>
        <row r="4857">
          <cell r="A4857">
            <v>3035606480</v>
          </cell>
          <cell r="B4857" t="str">
            <v>Sample Rejected</v>
          </cell>
          <cell r="C4857">
            <v>42746.737756446761</v>
          </cell>
        </row>
        <row r="4858">
          <cell r="A4858">
            <v>3035568155</v>
          </cell>
          <cell r="B4858" t="str">
            <v>Sample Rejected</v>
          </cell>
          <cell r="C4858">
            <v>42746.737756446761</v>
          </cell>
        </row>
        <row r="4859">
          <cell r="A4859">
            <v>3035542881</v>
          </cell>
          <cell r="B4859" t="str">
            <v>Sample Rejected</v>
          </cell>
          <cell r="C4859">
            <v>42746.737756446761</v>
          </cell>
        </row>
        <row r="4860">
          <cell r="A4860">
            <v>3035619520</v>
          </cell>
          <cell r="B4860" t="str">
            <v>Sample Rejected</v>
          </cell>
          <cell r="C4860">
            <v>42746.737756446761</v>
          </cell>
        </row>
        <row r="4861">
          <cell r="A4861">
            <v>3035616238</v>
          </cell>
          <cell r="B4861" t="str">
            <v>Sample Rejected</v>
          </cell>
          <cell r="C4861">
            <v>42746.737756446761</v>
          </cell>
        </row>
        <row r="4862">
          <cell r="A4862">
            <v>3035602596</v>
          </cell>
          <cell r="B4862" t="str">
            <v>Sample Rejected</v>
          </cell>
          <cell r="C4862">
            <v>42746.737756446761</v>
          </cell>
        </row>
        <row r="4863">
          <cell r="A4863">
            <v>3035604394</v>
          </cell>
          <cell r="B4863" t="str">
            <v>Sample Rejected</v>
          </cell>
          <cell r="C4863">
            <v>42746.737756446761</v>
          </cell>
        </row>
        <row r="4864">
          <cell r="A4864">
            <v>3035618380</v>
          </cell>
          <cell r="B4864" t="str">
            <v>Sample Rejected</v>
          </cell>
          <cell r="C4864">
            <v>42746.737756446761</v>
          </cell>
        </row>
        <row r="4865">
          <cell r="A4865">
            <v>3035471372</v>
          </cell>
          <cell r="B4865" t="str">
            <v>Sample Rejected</v>
          </cell>
          <cell r="C4865">
            <v>42746.737756446761</v>
          </cell>
        </row>
        <row r="4866">
          <cell r="A4866">
            <v>3035603682</v>
          </cell>
          <cell r="B4866" t="str">
            <v>Sample Rejected</v>
          </cell>
          <cell r="C4866">
            <v>42746.737756446761</v>
          </cell>
        </row>
        <row r="4867">
          <cell r="A4867">
            <v>3035615851</v>
          </cell>
          <cell r="B4867" t="str">
            <v>Sample Rejected</v>
          </cell>
          <cell r="C4867">
            <v>42746.737756446761</v>
          </cell>
        </row>
        <row r="4868">
          <cell r="A4868">
            <v>3035601956</v>
          </cell>
          <cell r="B4868" t="str">
            <v>Sample Rejected</v>
          </cell>
          <cell r="C4868">
            <v>42746.737756446761</v>
          </cell>
        </row>
        <row r="4869">
          <cell r="A4869">
            <v>3035618093</v>
          </cell>
          <cell r="B4869" t="str">
            <v>Sample Rejected</v>
          </cell>
          <cell r="C4869">
            <v>42746.737756446761</v>
          </cell>
        </row>
        <row r="4870">
          <cell r="A4870">
            <v>3035603221</v>
          </cell>
          <cell r="B4870" t="str">
            <v>Sample Rejected</v>
          </cell>
          <cell r="C4870">
            <v>42746.737756446761</v>
          </cell>
        </row>
        <row r="4871">
          <cell r="A4871">
            <v>3035613622</v>
          </cell>
          <cell r="B4871" t="str">
            <v>Sample Rejected</v>
          </cell>
          <cell r="C4871">
            <v>42746.737756446761</v>
          </cell>
        </row>
        <row r="4872">
          <cell r="A4872">
            <v>3035617617</v>
          </cell>
          <cell r="B4872" t="str">
            <v>Sample Rejected</v>
          </cell>
          <cell r="C4872">
            <v>42746.737756446761</v>
          </cell>
        </row>
        <row r="4873">
          <cell r="A4873">
            <v>3035619104</v>
          </cell>
          <cell r="B4873" t="str">
            <v>Sample Rejected</v>
          </cell>
          <cell r="C4873">
            <v>42746.737756446761</v>
          </cell>
        </row>
        <row r="4874">
          <cell r="A4874">
            <v>3035612179</v>
          </cell>
          <cell r="B4874" t="str">
            <v>Sample Rejected</v>
          </cell>
          <cell r="C4874">
            <v>42746.737756446761</v>
          </cell>
        </row>
        <row r="4875">
          <cell r="A4875">
            <v>3035568437</v>
          </cell>
          <cell r="B4875" t="str">
            <v>Sample Rejected</v>
          </cell>
          <cell r="C4875">
            <v>42746.737756446761</v>
          </cell>
        </row>
        <row r="4876">
          <cell r="A4876">
            <v>3035612493</v>
          </cell>
          <cell r="B4876" t="str">
            <v>Sample Rejected</v>
          </cell>
          <cell r="C4876">
            <v>42746.737756446761</v>
          </cell>
        </row>
        <row r="4877">
          <cell r="A4877">
            <v>3035550289</v>
          </cell>
          <cell r="B4877" t="str">
            <v>Sample Rejected</v>
          </cell>
          <cell r="C4877">
            <v>42746.737756446761</v>
          </cell>
        </row>
        <row r="4878">
          <cell r="A4878">
            <v>3035601212</v>
          </cell>
          <cell r="B4878" t="str">
            <v>Sample Rejected</v>
          </cell>
          <cell r="C4878">
            <v>42746.737756446761</v>
          </cell>
        </row>
        <row r="4879">
          <cell r="A4879">
            <v>3035527215</v>
          </cell>
          <cell r="B4879" t="str">
            <v>Sample Rejected</v>
          </cell>
          <cell r="C4879">
            <v>42746.737756446761</v>
          </cell>
        </row>
        <row r="4880">
          <cell r="A4880">
            <v>3035607281</v>
          </cell>
          <cell r="B4880" t="str">
            <v>Sample Rejected</v>
          </cell>
          <cell r="C4880">
            <v>42746.737756446761</v>
          </cell>
        </row>
        <row r="4881">
          <cell r="A4881">
            <v>3035602431</v>
          </cell>
          <cell r="B4881" t="str">
            <v>Sample Rejected</v>
          </cell>
          <cell r="C4881">
            <v>42746.737756446761</v>
          </cell>
        </row>
        <row r="4882">
          <cell r="A4882">
            <v>3035609124</v>
          </cell>
          <cell r="B4882" t="str">
            <v>Sample Rejected</v>
          </cell>
          <cell r="C4882">
            <v>42746.737756446761</v>
          </cell>
        </row>
        <row r="4883">
          <cell r="A4883">
            <v>3035527131</v>
          </cell>
          <cell r="B4883" t="str">
            <v>Sample Rejected</v>
          </cell>
          <cell r="C4883">
            <v>42746.737756446761</v>
          </cell>
        </row>
        <row r="4884">
          <cell r="A4884">
            <v>3035617258</v>
          </cell>
          <cell r="B4884" t="str">
            <v>Sample Rejected</v>
          </cell>
          <cell r="C4884">
            <v>42746.737756446761</v>
          </cell>
        </row>
        <row r="4885">
          <cell r="A4885">
            <v>3035522577</v>
          </cell>
          <cell r="B4885" t="str">
            <v>Sample Rejected</v>
          </cell>
          <cell r="C4885">
            <v>42746.737756446761</v>
          </cell>
        </row>
        <row r="4886">
          <cell r="A4886">
            <v>3035610384</v>
          </cell>
          <cell r="B4886" t="str">
            <v>Sample Rejected</v>
          </cell>
          <cell r="C4886">
            <v>42746.737756446761</v>
          </cell>
        </row>
        <row r="4887">
          <cell r="A4887">
            <v>3035610034</v>
          </cell>
          <cell r="B4887" t="str">
            <v>Sample Rejected</v>
          </cell>
          <cell r="C4887">
            <v>42746.737756446761</v>
          </cell>
        </row>
        <row r="4888">
          <cell r="A4888">
            <v>3035621600</v>
          </cell>
          <cell r="B4888" t="str">
            <v>Sample Rejected</v>
          </cell>
          <cell r="C4888">
            <v>42746.737756446761</v>
          </cell>
        </row>
        <row r="4889">
          <cell r="A4889">
            <v>3035605133</v>
          </cell>
          <cell r="B4889" t="str">
            <v>Sample Rejected</v>
          </cell>
          <cell r="C4889">
            <v>42746.737756446761</v>
          </cell>
        </row>
        <row r="4890">
          <cell r="A4890">
            <v>3035623597</v>
          </cell>
          <cell r="B4890" t="str">
            <v>Sample Rejected</v>
          </cell>
          <cell r="C4890">
            <v>42746.737756446761</v>
          </cell>
        </row>
        <row r="4891">
          <cell r="A4891">
            <v>3035624361</v>
          </cell>
          <cell r="B4891" t="str">
            <v>Sample Rejected</v>
          </cell>
          <cell r="C4891">
            <v>42746.737756446761</v>
          </cell>
        </row>
        <row r="4892">
          <cell r="A4892">
            <v>3035605044</v>
          </cell>
          <cell r="B4892" t="str">
            <v>Sample Rejected</v>
          </cell>
          <cell r="C4892">
            <v>42746.737756446761</v>
          </cell>
        </row>
        <row r="4893">
          <cell r="A4893">
            <v>3035601281</v>
          </cell>
          <cell r="B4893" t="str">
            <v>Sample Rejected</v>
          </cell>
          <cell r="C4893">
            <v>42746.737756446761</v>
          </cell>
        </row>
        <row r="4894">
          <cell r="A4894">
            <v>3035611637</v>
          </cell>
          <cell r="B4894" t="str">
            <v>Sample Rejected</v>
          </cell>
          <cell r="C4894">
            <v>42746.737756446761</v>
          </cell>
        </row>
        <row r="4895">
          <cell r="A4895">
            <v>3035608546</v>
          </cell>
          <cell r="B4895" t="str">
            <v>Sample Rejected</v>
          </cell>
          <cell r="C4895">
            <v>42746.737756446761</v>
          </cell>
        </row>
        <row r="4896">
          <cell r="A4896">
            <v>3035611564</v>
          </cell>
          <cell r="B4896" t="str">
            <v>Sample Rejected</v>
          </cell>
          <cell r="C4896">
            <v>42746.737756446761</v>
          </cell>
        </row>
        <row r="4897">
          <cell r="A4897">
            <v>3035542258</v>
          </cell>
          <cell r="B4897" t="str">
            <v>Sample Rejected</v>
          </cell>
          <cell r="C4897">
            <v>42746.737756446761</v>
          </cell>
        </row>
        <row r="4898">
          <cell r="A4898">
            <v>3035613284</v>
          </cell>
          <cell r="B4898" t="str">
            <v>Sample Rejected</v>
          </cell>
          <cell r="C4898">
            <v>42746.737756446761</v>
          </cell>
        </row>
        <row r="4899">
          <cell r="A4899">
            <v>3035615961</v>
          </cell>
          <cell r="B4899" t="str">
            <v>Sample Rejected</v>
          </cell>
          <cell r="C4899">
            <v>42746.737756446761</v>
          </cell>
        </row>
        <row r="4900">
          <cell r="A4900">
            <v>3035621954</v>
          </cell>
          <cell r="B4900" t="str">
            <v>Sample Rejected</v>
          </cell>
          <cell r="C4900">
            <v>42746.737756446761</v>
          </cell>
        </row>
        <row r="4901">
          <cell r="A4901">
            <v>3035572417</v>
          </cell>
          <cell r="B4901" t="str">
            <v>Sample Rejected</v>
          </cell>
          <cell r="C4901">
            <v>42746.737756446761</v>
          </cell>
        </row>
        <row r="4902">
          <cell r="A4902">
            <v>3035542451</v>
          </cell>
          <cell r="B4902" t="str">
            <v>Sample Rejected</v>
          </cell>
          <cell r="C4902">
            <v>42746.737756446761</v>
          </cell>
        </row>
        <row r="4903">
          <cell r="A4903">
            <v>3035616783</v>
          </cell>
          <cell r="B4903" t="str">
            <v>Sample Rejected</v>
          </cell>
          <cell r="C4903">
            <v>42746.737756446761</v>
          </cell>
        </row>
        <row r="4904">
          <cell r="A4904">
            <v>3035604444</v>
          </cell>
          <cell r="B4904" t="str">
            <v>Sample Rejected</v>
          </cell>
          <cell r="C4904">
            <v>42746.737756446761</v>
          </cell>
        </row>
        <row r="4905">
          <cell r="A4905">
            <v>3035573559</v>
          </cell>
          <cell r="B4905" t="str">
            <v>Sample Rejected</v>
          </cell>
          <cell r="C4905">
            <v>42746.737756446761</v>
          </cell>
        </row>
        <row r="4906">
          <cell r="A4906">
            <v>3035621019</v>
          </cell>
          <cell r="B4906" t="str">
            <v>Sample Rejected</v>
          </cell>
          <cell r="C4906">
            <v>42746.737756446761</v>
          </cell>
        </row>
        <row r="4907">
          <cell r="A4907">
            <v>3035617418</v>
          </cell>
          <cell r="B4907" t="str">
            <v>Sample Rejected</v>
          </cell>
          <cell r="C4907">
            <v>42746.737756446761</v>
          </cell>
        </row>
        <row r="4908">
          <cell r="A4908">
            <v>3035544558</v>
          </cell>
          <cell r="B4908" t="str">
            <v>Sample Rejected</v>
          </cell>
          <cell r="C4908">
            <v>42746.737756446761</v>
          </cell>
        </row>
        <row r="4909">
          <cell r="A4909">
            <v>3035609892</v>
          </cell>
          <cell r="B4909" t="str">
            <v>Sample Rejected</v>
          </cell>
          <cell r="C4909">
            <v>42746.737756446761</v>
          </cell>
        </row>
        <row r="4910">
          <cell r="A4910">
            <v>3035621064</v>
          </cell>
          <cell r="B4910" t="str">
            <v>Sample Rejected</v>
          </cell>
          <cell r="C4910">
            <v>42746.737756446761</v>
          </cell>
        </row>
        <row r="4911">
          <cell r="A4911">
            <v>3035605161</v>
          </cell>
          <cell r="B4911" t="str">
            <v>Sample Rejected</v>
          </cell>
          <cell r="C4911">
            <v>42746.737756446761</v>
          </cell>
        </row>
        <row r="4912">
          <cell r="A4912">
            <v>3035506247</v>
          </cell>
          <cell r="B4912" t="str">
            <v>Sample Rejected</v>
          </cell>
          <cell r="C4912">
            <v>42746.737756446761</v>
          </cell>
        </row>
        <row r="4913">
          <cell r="A4913">
            <v>3035567638</v>
          </cell>
          <cell r="B4913" t="str">
            <v>Sample Rejected</v>
          </cell>
          <cell r="C4913">
            <v>42744.734167210649</v>
          </cell>
        </row>
        <row r="4914">
          <cell r="A4914">
            <v>3035568535</v>
          </cell>
          <cell r="B4914" t="str">
            <v>Sample Rejected</v>
          </cell>
          <cell r="C4914">
            <v>42744.734167210649</v>
          </cell>
        </row>
        <row r="4915">
          <cell r="A4915">
            <v>3035568296</v>
          </cell>
          <cell r="B4915" t="str">
            <v>Sample Rejected</v>
          </cell>
          <cell r="C4915">
            <v>42744.734167210649</v>
          </cell>
        </row>
        <row r="4916">
          <cell r="A4916">
            <v>3035571679</v>
          </cell>
          <cell r="B4916" t="str">
            <v>Sample Rejected</v>
          </cell>
          <cell r="C4916">
            <v>42744.734167210649</v>
          </cell>
        </row>
        <row r="4917">
          <cell r="A4917">
            <v>3035572890</v>
          </cell>
          <cell r="B4917" t="str">
            <v>Sample Rejected</v>
          </cell>
          <cell r="C4917">
            <v>42744.734167210649</v>
          </cell>
        </row>
        <row r="4918">
          <cell r="A4918">
            <v>3035568372</v>
          </cell>
          <cell r="B4918" t="str">
            <v>Sample Rejected</v>
          </cell>
          <cell r="C4918">
            <v>42744.734167210649</v>
          </cell>
        </row>
        <row r="4919">
          <cell r="A4919">
            <v>3035568472</v>
          </cell>
          <cell r="B4919" t="str">
            <v>Sample Rejected</v>
          </cell>
          <cell r="C4919">
            <v>42744.734167210649</v>
          </cell>
        </row>
        <row r="4920">
          <cell r="A4920">
            <v>3035513410</v>
          </cell>
          <cell r="B4920" t="str">
            <v>Sample Rejected</v>
          </cell>
          <cell r="C4920">
            <v>42744.734167210649</v>
          </cell>
        </row>
        <row r="4921">
          <cell r="A4921">
            <v>3035524522</v>
          </cell>
          <cell r="B4921" t="str">
            <v>Sample Rejected</v>
          </cell>
          <cell r="C4921">
            <v>42744.734167210649</v>
          </cell>
        </row>
        <row r="4922">
          <cell r="A4922">
            <v>3035570381</v>
          </cell>
          <cell r="B4922" t="str">
            <v>Sample Rejected</v>
          </cell>
          <cell r="C4922">
            <v>42744.734167210649</v>
          </cell>
        </row>
        <row r="4923">
          <cell r="A4923">
            <v>3035568237</v>
          </cell>
          <cell r="B4923" t="str">
            <v>Sample Rejected</v>
          </cell>
          <cell r="C4923">
            <v>42744.734167210649</v>
          </cell>
        </row>
        <row r="4924">
          <cell r="A4924">
            <v>3035569071</v>
          </cell>
          <cell r="B4924" t="str">
            <v>Sample Rejected</v>
          </cell>
          <cell r="C4924">
            <v>42744.734167210649</v>
          </cell>
        </row>
        <row r="4925">
          <cell r="A4925">
            <v>3035568017</v>
          </cell>
          <cell r="B4925" t="str">
            <v>Sample Rejected</v>
          </cell>
          <cell r="C4925">
            <v>42744.734167210649</v>
          </cell>
        </row>
        <row r="4926">
          <cell r="A4926">
            <v>3035570056</v>
          </cell>
          <cell r="B4926" t="str">
            <v>Sample Rejected</v>
          </cell>
          <cell r="C4926">
            <v>42744.734167210649</v>
          </cell>
        </row>
        <row r="4927">
          <cell r="A4927">
            <v>3035568127</v>
          </cell>
          <cell r="B4927" t="str">
            <v>Sample Rejected</v>
          </cell>
          <cell r="C4927">
            <v>42744.734167210649</v>
          </cell>
        </row>
        <row r="4928">
          <cell r="A4928">
            <v>3035567838</v>
          </cell>
          <cell r="B4928" t="str">
            <v>Sample Rejected</v>
          </cell>
          <cell r="C4928">
            <v>42744.734167210649</v>
          </cell>
        </row>
        <row r="4929">
          <cell r="A4929">
            <v>3035480914</v>
          </cell>
          <cell r="B4929" t="str">
            <v>Sample Rejected</v>
          </cell>
          <cell r="C4929">
            <v>42741.73704378472</v>
          </cell>
        </row>
        <row r="4930">
          <cell r="A4930">
            <v>3035477086</v>
          </cell>
          <cell r="B4930" t="str">
            <v>Sample Rejected</v>
          </cell>
          <cell r="C4930">
            <v>42741.73704378472</v>
          </cell>
        </row>
        <row r="4931">
          <cell r="A4931">
            <v>3035407894</v>
          </cell>
          <cell r="B4931" t="str">
            <v>Sample Rejected</v>
          </cell>
          <cell r="C4931">
            <v>42741.73704378472</v>
          </cell>
        </row>
        <row r="4932">
          <cell r="A4932">
            <v>3035488035</v>
          </cell>
          <cell r="B4932" t="str">
            <v>Sample Rejected</v>
          </cell>
          <cell r="C4932">
            <v>42741.73704378472</v>
          </cell>
        </row>
        <row r="4933">
          <cell r="A4933">
            <v>3035469626</v>
          </cell>
          <cell r="B4933" t="str">
            <v>Sample Rejected</v>
          </cell>
          <cell r="C4933">
            <v>42741.73704378472</v>
          </cell>
        </row>
        <row r="4934">
          <cell r="A4934">
            <v>3035470524</v>
          </cell>
          <cell r="B4934" t="str">
            <v>Sample Rejected</v>
          </cell>
          <cell r="C4934">
            <v>42741.73704378472</v>
          </cell>
        </row>
        <row r="4935">
          <cell r="A4935">
            <v>3035486155</v>
          </cell>
          <cell r="B4935" t="str">
            <v>Sample Rejected</v>
          </cell>
          <cell r="C4935">
            <v>42741.73704378472</v>
          </cell>
        </row>
        <row r="4936">
          <cell r="A4936">
            <v>3035479327</v>
          </cell>
          <cell r="B4936" t="str">
            <v>Sample Rejected</v>
          </cell>
          <cell r="C4936">
            <v>42741.73704378472</v>
          </cell>
        </row>
        <row r="4937">
          <cell r="A4937">
            <v>3035469026</v>
          </cell>
          <cell r="B4937" t="str">
            <v>Sample Rejected</v>
          </cell>
          <cell r="C4937">
            <v>42741.73704378472</v>
          </cell>
        </row>
        <row r="4938">
          <cell r="A4938">
            <v>3035474556</v>
          </cell>
          <cell r="B4938" t="str">
            <v>Sample Rejected</v>
          </cell>
          <cell r="C4938">
            <v>42741.73704378472</v>
          </cell>
        </row>
        <row r="4939">
          <cell r="A4939">
            <v>3035476169</v>
          </cell>
          <cell r="B4939" t="str">
            <v>Sample Rejected</v>
          </cell>
          <cell r="C4939">
            <v>42741.73704378472</v>
          </cell>
        </row>
        <row r="4940">
          <cell r="A4940">
            <v>3035478090</v>
          </cell>
          <cell r="B4940" t="str">
            <v>Sample Rejected</v>
          </cell>
          <cell r="C4940">
            <v>42741.73704378472</v>
          </cell>
        </row>
        <row r="4941">
          <cell r="A4941">
            <v>3035475112</v>
          </cell>
          <cell r="B4941" t="str">
            <v>Sample Rejected</v>
          </cell>
          <cell r="C4941">
            <v>42741.73704378472</v>
          </cell>
        </row>
        <row r="4942">
          <cell r="A4942">
            <v>3035482385</v>
          </cell>
          <cell r="B4942" t="str">
            <v>Sample Rejected</v>
          </cell>
          <cell r="C4942">
            <v>42741.73704378472</v>
          </cell>
        </row>
        <row r="4943">
          <cell r="A4943">
            <v>3035471513</v>
          </cell>
          <cell r="B4943" t="str">
            <v>Sample Rejected</v>
          </cell>
          <cell r="C4943">
            <v>42741.73704378472</v>
          </cell>
        </row>
        <row r="4944">
          <cell r="A4944">
            <v>3035474540</v>
          </cell>
          <cell r="B4944" t="str">
            <v>Sample Rejected</v>
          </cell>
          <cell r="C4944">
            <v>42741.73704378472</v>
          </cell>
        </row>
        <row r="4945">
          <cell r="A4945">
            <v>3035485249</v>
          </cell>
          <cell r="B4945" t="str">
            <v>Sample Rejected</v>
          </cell>
          <cell r="C4945">
            <v>42741.73704378472</v>
          </cell>
        </row>
        <row r="4946">
          <cell r="A4946">
            <v>3035434463</v>
          </cell>
          <cell r="B4946" t="str">
            <v>Sample Rejected</v>
          </cell>
          <cell r="C4946">
            <v>42741.73704378472</v>
          </cell>
        </row>
        <row r="4947">
          <cell r="A4947">
            <v>3035479661</v>
          </cell>
          <cell r="B4947" t="str">
            <v>Sample Rejected</v>
          </cell>
          <cell r="C4947">
            <v>42741.73704378472</v>
          </cell>
        </row>
        <row r="4948">
          <cell r="A4948">
            <v>3035470519</v>
          </cell>
          <cell r="B4948" t="str">
            <v>Sample Rejected</v>
          </cell>
          <cell r="C4948">
            <v>42741.73704378472</v>
          </cell>
        </row>
        <row r="4949">
          <cell r="A4949">
            <v>3035468593</v>
          </cell>
          <cell r="B4949" t="str">
            <v>Sample Rejected</v>
          </cell>
          <cell r="C4949">
            <v>42741.73704378472</v>
          </cell>
        </row>
        <row r="4950">
          <cell r="A4950">
            <v>3035484828</v>
          </cell>
          <cell r="B4950" t="str">
            <v>Sample Rejected</v>
          </cell>
          <cell r="C4950">
            <v>42741.73704378472</v>
          </cell>
        </row>
        <row r="4951">
          <cell r="A4951">
            <v>3035482344</v>
          </cell>
          <cell r="B4951" t="str">
            <v>Sample Rejected</v>
          </cell>
          <cell r="C4951">
            <v>42741.73704378472</v>
          </cell>
        </row>
        <row r="4952">
          <cell r="A4952">
            <v>3035359465</v>
          </cell>
          <cell r="B4952" t="str">
            <v>Sample Rejected</v>
          </cell>
          <cell r="C4952">
            <v>42741.73704378472</v>
          </cell>
        </row>
        <row r="4953">
          <cell r="A4953">
            <v>3035470981</v>
          </cell>
          <cell r="B4953" t="str">
            <v>Sample Rejected</v>
          </cell>
          <cell r="C4953">
            <v>42741.73704378472</v>
          </cell>
        </row>
        <row r="4954">
          <cell r="A4954">
            <v>3035469685</v>
          </cell>
          <cell r="B4954" t="str">
            <v>Sample Rejected</v>
          </cell>
          <cell r="C4954">
            <v>42741.73704378472</v>
          </cell>
        </row>
        <row r="4955">
          <cell r="A4955">
            <v>3035474147</v>
          </cell>
          <cell r="B4955" t="str">
            <v>Sample Rejected</v>
          </cell>
          <cell r="C4955">
            <v>42741.73704378472</v>
          </cell>
        </row>
        <row r="4956">
          <cell r="A4956">
            <v>3035475113</v>
          </cell>
          <cell r="B4956" t="str">
            <v>Sample Rejected</v>
          </cell>
          <cell r="C4956">
            <v>42741.73704378472</v>
          </cell>
        </row>
        <row r="4957">
          <cell r="A4957">
            <v>3035468702</v>
          </cell>
          <cell r="B4957" t="str">
            <v>Sample Rejected</v>
          </cell>
          <cell r="C4957">
            <v>42741.73704378472</v>
          </cell>
        </row>
        <row r="4958">
          <cell r="A4958">
            <v>3035469760</v>
          </cell>
          <cell r="B4958" t="str">
            <v>Sample Rejected</v>
          </cell>
          <cell r="C4958">
            <v>42741.73704378472</v>
          </cell>
        </row>
        <row r="4959">
          <cell r="A4959">
            <v>3035490330</v>
          </cell>
          <cell r="B4959" t="str">
            <v>Sample Rejected</v>
          </cell>
          <cell r="C4959">
            <v>42741.73704378472</v>
          </cell>
        </row>
        <row r="4960">
          <cell r="A4960">
            <v>3035472104</v>
          </cell>
          <cell r="B4960" t="str">
            <v>Sample Rejected</v>
          </cell>
          <cell r="C4960">
            <v>42741.73704378472</v>
          </cell>
        </row>
        <row r="4961">
          <cell r="A4961">
            <v>3035484970</v>
          </cell>
          <cell r="B4961" t="str">
            <v>Sample Rejected</v>
          </cell>
          <cell r="C4961">
            <v>42741.73704378472</v>
          </cell>
        </row>
        <row r="4962">
          <cell r="A4962">
            <v>3035436611</v>
          </cell>
          <cell r="B4962" t="str">
            <v>Sample Rejected</v>
          </cell>
          <cell r="C4962">
            <v>42741.73704378472</v>
          </cell>
        </row>
        <row r="4963">
          <cell r="A4963">
            <v>3035484179</v>
          </cell>
          <cell r="B4963" t="str">
            <v>Sample Rejected</v>
          </cell>
          <cell r="C4963">
            <v>42741.73704378472</v>
          </cell>
        </row>
        <row r="4964">
          <cell r="A4964">
            <v>3035490061</v>
          </cell>
          <cell r="B4964" t="str">
            <v>Sample Rejected</v>
          </cell>
          <cell r="C4964">
            <v>42741.73704378472</v>
          </cell>
        </row>
        <row r="4965">
          <cell r="A4965">
            <v>3035470515</v>
          </cell>
          <cell r="B4965" t="str">
            <v>Sample Rejected</v>
          </cell>
          <cell r="C4965">
            <v>42741.73704378472</v>
          </cell>
        </row>
        <row r="4966">
          <cell r="A4966">
            <v>3035475836</v>
          </cell>
          <cell r="B4966" t="str">
            <v>Sample Rejected</v>
          </cell>
          <cell r="C4966">
            <v>42741.73704378472</v>
          </cell>
        </row>
        <row r="4967">
          <cell r="A4967">
            <v>3035401768</v>
          </cell>
          <cell r="B4967" t="str">
            <v>Sample Rejected</v>
          </cell>
          <cell r="C4967">
            <v>42741.73704378472</v>
          </cell>
        </row>
        <row r="4968">
          <cell r="A4968">
            <v>3035476520</v>
          </cell>
          <cell r="B4968" t="str">
            <v>Sample Rejected</v>
          </cell>
          <cell r="C4968">
            <v>42741.73704378472</v>
          </cell>
        </row>
        <row r="4969">
          <cell r="A4969">
            <v>3035433974</v>
          </cell>
          <cell r="B4969" t="str">
            <v>Sample Rejected</v>
          </cell>
          <cell r="C4969">
            <v>42741.73704378472</v>
          </cell>
        </row>
        <row r="4970">
          <cell r="A4970">
            <v>3035468604</v>
          </cell>
          <cell r="B4970" t="str">
            <v>Sample Rejected</v>
          </cell>
          <cell r="C4970">
            <v>42741.73704378472</v>
          </cell>
        </row>
        <row r="4971">
          <cell r="A4971">
            <v>3035480879</v>
          </cell>
          <cell r="B4971" t="str">
            <v>Sample Rejected</v>
          </cell>
          <cell r="C4971">
            <v>42741.73704378472</v>
          </cell>
        </row>
        <row r="4972">
          <cell r="A4972">
            <v>3035476479</v>
          </cell>
          <cell r="B4972" t="str">
            <v>Sample Rejected</v>
          </cell>
          <cell r="C4972">
            <v>42741.73704378472</v>
          </cell>
        </row>
        <row r="4973">
          <cell r="A4973">
            <v>3035469774</v>
          </cell>
          <cell r="B4973" t="str">
            <v>Sample Rejected</v>
          </cell>
          <cell r="C4973">
            <v>42741.73704378472</v>
          </cell>
        </row>
        <row r="4974">
          <cell r="A4974">
            <v>3035469239</v>
          </cell>
          <cell r="B4974" t="str">
            <v>Sample Rejected</v>
          </cell>
          <cell r="C4974">
            <v>42741.73704378472</v>
          </cell>
        </row>
        <row r="4975">
          <cell r="A4975">
            <v>3035473749</v>
          </cell>
          <cell r="B4975" t="str">
            <v>Sample Rejected</v>
          </cell>
          <cell r="C4975">
            <v>42741.73704378472</v>
          </cell>
        </row>
        <row r="4976">
          <cell r="A4976">
            <v>3035474693</v>
          </cell>
          <cell r="B4976" t="str">
            <v>Sample Rejected</v>
          </cell>
          <cell r="C4976">
            <v>42741.73704378472</v>
          </cell>
        </row>
        <row r="4977">
          <cell r="A4977">
            <v>3035480310</v>
          </cell>
          <cell r="B4977" t="str">
            <v>Sample Rejected</v>
          </cell>
          <cell r="C4977">
            <v>42741.73704378472</v>
          </cell>
        </row>
        <row r="4978">
          <cell r="A4978">
            <v>3035485414</v>
          </cell>
          <cell r="B4978" t="str">
            <v>Sample Rejected</v>
          </cell>
          <cell r="C4978">
            <v>42741.73704378472</v>
          </cell>
        </row>
        <row r="4979">
          <cell r="A4979">
            <v>3035482309</v>
          </cell>
          <cell r="B4979" t="str">
            <v>Sample Rejected</v>
          </cell>
          <cell r="C4979">
            <v>42741.73704378472</v>
          </cell>
        </row>
        <row r="4980">
          <cell r="A4980">
            <v>3035478436</v>
          </cell>
          <cell r="B4980" t="str">
            <v>Sample Rejected</v>
          </cell>
          <cell r="C4980">
            <v>42741.73704378472</v>
          </cell>
        </row>
        <row r="4981">
          <cell r="A4981">
            <v>3035406777</v>
          </cell>
          <cell r="B4981" t="str">
            <v>Sample Rejected</v>
          </cell>
          <cell r="C4981">
            <v>42741.73704378472</v>
          </cell>
        </row>
        <row r="4982">
          <cell r="A4982">
            <v>3035487354</v>
          </cell>
          <cell r="B4982" t="str">
            <v>Sample Rejected</v>
          </cell>
          <cell r="C4982">
            <v>42741.73704378472</v>
          </cell>
        </row>
        <row r="4983">
          <cell r="A4983">
            <v>3035472066</v>
          </cell>
          <cell r="B4983" t="str">
            <v>Sample Rejected</v>
          </cell>
          <cell r="C4983">
            <v>42741.73704378472</v>
          </cell>
        </row>
        <row r="4984">
          <cell r="A4984">
            <v>3035471310</v>
          </cell>
          <cell r="B4984" t="str">
            <v>Sample Rejected</v>
          </cell>
          <cell r="C4984">
            <v>42741.73704378472</v>
          </cell>
        </row>
        <row r="4985">
          <cell r="A4985">
            <v>3035488928</v>
          </cell>
          <cell r="B4985" t="str">
            <v>Sample Rejected</v>
          </cell>
          <cell r="C4985">
            <v>42741.73704378472</v>
          </cell>
        </row>
        <row r="4986">
          <cell r="A4986">
            <v>3035292506</v>
          </cell>
          <cell r="B4986" t="str">
            <v>Sample Rejected</v>
          </cell>
          <cell r="C4986">
            <v>42741.73704378472</v>
          </cell>
        </row>
        <row r="4987">
          <cell r="A4987">
            <v>3035469299</v>
          </cell>
          <cell r="B4987" t="str">
            <v>Sample Rejected</v>
          </cell>
          <cell r="C4987">
            <v>42741.73704378472</v>
          </cell>
        </row>
        <row r="4988">
          <cell r="A4988">
            <v>3035471215</v>
          </cell>
          <cell r="B4988" t="str">
            <v>Sample Rejected</v>
          </cell>
          <cell r="C4988">
            <v>42741.73704378472</v>
          </cell>
        </row>
        <row r="4989">
          <cell r="A4989">
            <v>3035475930</v>
          </cell>
          <cell r="B4989" t="str">
            <v>Sample Rejected</v>
          </cell>
          <cell r="C4989">
            <v>42741.73704378472</v>
          </cell>
        </row>
        <row r="4990">
          <cell r="A4990">
            <v>3035469055</v>
          </cell>
          <cell r="B4990" t="str">
            <v>Sample Rejected</v>
          </cell>
          <cell r="C4990">
            <v>42741.73704378472</v>
          </cell>
        </row>
        <row r="4991">
          <cell r="A4991">
            <v>3035475447</v>
          </cell>
          <cell r="B4991" t="str">
            <v>Sample Rejected</v>
          </cell>
          <cell r="C4991">
            <v>42741.73704378472</v>
          </cell>
        </row>
        <row r="4992">
          <cell r="A4992">
            <v>3035474126</v>
          </cell>
          <cell r="B4992" t="str">
            <v>Sample Rejected</v>
          </cell>
          <cell r="C4992">
            <v>42741.73704378472</v>
          </cell>
        </row>
        <row r="4993">
          <cell r="A4993">
            <v>3035484404</v>
          </cell>
          <cell r="B4993" t="str">
            <v>Sample Rejected</v>
          </cell>
          <cell r="C4993">
            <v>42741.73704378472</v>
          </cell>
        </row>
        <row r="4994">
          <cell r="A4994">
            <v>3035469066</v>
          </cell>
          <cell r="B4994" t="str">
            <v>Sample Rejected</v>
          </cell>
          <cell r="C4994">
            <v>42741.73704378472</v>
          </cell>
        </row>
        <row r="4995">
          <cell r="A4995">
            <v>3035484905</v>
          </cell>
          <cell r="B4995" t="str">
            <v>Sample Rejected</v>
          </cell>
          <cell r="C4995">
            <v>42741.73704378472</v>
          </cell>
        </row>
        <row r="4996">
          <cell r="A4996">
            <v>3035484157</v>
          </cell>
          <cell r="B4996" t="str">
            <v>Sample Rejected</v>
          </cell>
          <cell r="C4996">
            <v>42741.73704378472</v>
          </cell>
        </row>
        <row r="4997">
          <cell r="A4997">
            <v>3035475230</v>
          </cell>
          <cell r="B4997" t="str">
            <v>Sample Rejected</v>
          </cell>
          <cell r="C4997">
            <v>42741.73704378472</v>
          </cell>
        </row>
        <row r="4998">
          <cell r="A4998">
            <v>3035432585</v>
          </cell>
          <cell r="B4998" t="str">
            <v>Sample Rejected</v>
          </cell>
          <cell r="C4998">
            <v>42741.73704378472</v>
          </cell>
        </row>
        <row r="4999">
          <cell r="A4999">
            <v>3035482212</v>
          </cell>
          <cell r="B4999" t="str">
            <v>Sample Rejected</v>
          </cell>
          <cell r="C4999">
            <v>42741.73704378472</v>
          </cell>
        </row>
        <row r="5000">
          <cell r="A5000">
            <v>3035480746</v>
          </cell>
          <cell r="B5000" t="str">
            <v>Sample Rejected</v>
          </cell>
          <cell r="C5000">
            <v>42741.73704378472</v>
          </cell>
        </row>
        <row r="5001">
          <cell r="A5001">
            <v>3035471379</v>
          </cell>
          <cell r="B5001" t="str">
            <v>Sample Rejected</v>
          </cell>
          <cell r="C5001">
            <v>42741.73704378472</v>
          </cell>
        </row>
        <row r="5002">
          <cell r="A5002">
            <v>3035469154</v>
          </cell>
          <cell r="B5002" t="str">
            <v>Sample Rejected</v>
          </cell>
          <cell r="C5002">
            <v>42741.73704378472</v>
          </cell>
        </row>
        <row r="5003">
          <cell r="A5003">
            <v>3035476983</v>
          </cell>
          <cell r="B5003" t="str">
            <v>Sample Rejected</v>
          </cell>
          <cell r="C5003">
            <v>42741.73704378472</v>
          </cell>
        </row>
        <row r="5004">
          <cell r="A5004">
            <v>3035470751</v>
          </cell>
          <cell r="B5004" t="str">
            <v>Sample Rejected</v>
          </cell>
          <cell r="C5004">
            <v>42741.73704378472</v>
          </cell>
        </row>
        <row r="5005">
          <cell r="A5005">
            <v>3035483600</v>
          </cell>
          <cell r="B5005" t="str">
            <v>Sample Rejected</v>
          </cell>
          <cell r="C5005">
            <v>42741.73704378472</v>
          </cell>
        </row>
        <row r="5006">
          <cell r="A5006">
            <v>3035449230</v>
          </cell>
          <cell r="B5006" t="str">
            <v>Sample Rejected</v>
          </cell>
          <cell r="C5006">
            <v>42741.73704378472</v>
          </cell>
        </row>
        <row r="5007">
          <cell r="A5007">
            <v>3035470496</v>
          </cell>
          <cell r="B5007" t="str">
            <v>Sample Rejected</v>
          </cell>
          <cell r="C5007">
            <v>42741.73704378472</v>
          </cell>
        </row>
        <row r="5008">
          <cell r="A5008">
            <v>3035478273</v>
          </cell>
          <cell r="B5008" t="str">
            <v>Sample Rejected</v>
          </cell>
          <cell r="C5008">
            <v>42741.73704378472</v>
          </cell>
        </row>
        <row r="5009">
          <cell r="A5009">
            <v>3035455509</v>
          </cell>
          <cell r="B5009" t="str">
            <v>Sample Rejected</v>
          </cell>
          <cell r="C5009">
            <v>42741.73704378472</v>
          </cell>
        </row>
        <row r="5010">
          <cell r="A5010">
            <v>3035479452</v>
          </cell>
          <cell r="B5010" t="str">
            <v>Sample Rejected</v>
          </cell>
          <cell r="C5010">
            <v>42741.73704378472</v>
          </cell>
        </row>
        <row r="5011">
          <cell r="A5011">
            <v>3035473670</v>
          </cell>
          <cell r="B5011" t="str">
            <v>Sample Rejected</v>
          </cell>
          <cell r="C5011">
            <v>42741.73704378472</v>
          </cell>
        </row>
        <row r="5012">
          <cell r="A5012">
            <v>3035440126</v>
          </cell>
          <cell r="B5012" t="str">
            <v>Sample Rejected</v>
          </cell>
          <cell r="C5012">
            <v>42741.73704378472</v>
          </cell>
        </row>
        <row r="5013">
          <cell r="A5013">
            <v>3035476712</v>
          </cell>
          <cell r="B5013" t="str">
            <v>Sample Rejected</v>
          </cell>
          <cell r="C5013">
            <v>42741.73704378472</v>
          </cell>
        </row>
        <row r="5014">
          <cell r="A5014">
            <v>3035472015</v>
          </cell>
          <cell r="B5014" t="str">
            <v>Sample Rejected</v>
          </cell>
          <cell r="C5014">
            <v>42741.73704378472</v>
          </cell>
        </row>
        <row r="5015">
          <cell r="A5015">
            <v>3035487116</v>
          </cell>
          <cell r="B5015" t="str">
            <v>Sample Rejected</v>
          </cell>
          <cell r="C5015">
            <v>42741.73704378472</v>
          </cell>
        </row>
        <row r="5016">
          <cell r="A5016">
            <v>3035449689</v>
          </cell>
          <cell r="B5016" t="str">
            <v>Sample Rejected</v>
          </cell>
          <cell r="C5016">
            <v>42741.73704378472</v>
          </cell>
        </row>
        <row r="5017">
          <cell r="A5017">
            <v>3035472304</v>
          </cell>
          <cell r="B5017" t="str">
            <v>Sample Rejected</v>
          </cell>
          <cell r="C5017">
            <v>42741.73704378472</v>
          </cell>
        </row>
        <row r="5018">
          <cell r="A5018">
            <v>3035478071</v>
          </cell>
          <cell r="B5018" t="str">
            <v>Sample Rejected</v>
          </cell>
          <cell r="C5018">
            <v>42741.73704378472</v>
          </cell>
        </row>
        <row r="5019">
          <cell r="A5019">
            <v>3035455611</v>
          </cell>
          <cell r="B5019" t="str">
            <v>Sample Rejected</v>
          </cell>
          <cell r="C5019">
            <v>42741.73704378472</v>
          </cell>
        </row>
        <row r="5020">
          <cell r="A5020">
            <v>3035416307</v>
          </cell>
          <cell r="B5020" t="str">
            <v>Sample Rejected</v>
          </cell>
          <cell r="C5020">
            <v>42741.73704378472</v>
          </cell>
        </row>
        <row r="5021">
          <cell r="A5021">
            <v>3035484385</v>
          </cell>
          <cell r="B5021" t="str">
            <v>Sample Rejected</v>
          </cell>
          <cell r="C5021">
            <v>42741.73704378472</v>
          </cell>
        </row>
        <row r="5022">
          <cell r="A5022">
            <v>3035469260</v>
          </cell>
          <cell r="B5022" t="str">
            <v>Sample Rejected</v>
          </cell>
          <cell r="C5022">
            <v>42741.73704378472</v>
          </cell>
        </row>
        <row r="5023">
          <cell r="A5023">
            <v>3035471354</v>
          </cell>
          <cell r="B5023" t="str">
            <v>Sample Rejected</v>
          </cell>
          <cell r="C5023">
            <v>42741.73704378472</v>
          </cell>
        </row>
        <row r="5024">
          <cell r="A5024">
            <v>3035512406</v>
          </cell>
          <cell r="B5024" t="str">
            <v>Sample Rejected</v>
          </cell>
          <cell r="C5024">
            <v>42742.73709116898</v>
          </cell>
        </row>
        <row r="5025">
          <cell r="A5025">
            <v>3035507256</v>
          </cell>
          <cell r="B5025" t="str">
            <v>Sample Rejected</v>
          </cell>
          <cell r="C5025">
            <v>42742.73709116898</v>
          </cell>
        </row>
        <row r="5026">
          <cell r="A5026">
            <v>3035511849</v>
          </cell>
          <cell r="B5026" t="str">
            <v>Sample Rejected</v>
          </cell>
          <cell r="C5026">
            <v>42742.73709116898</v>
          </cell>
        </row>
        <row r="5027">
          <cell r="A5027">
            <v>3035517988</v>
          </cell>
          <cell r="B5027" t="str">
            <v>Sample Rejected</v>
          </cell>
          <cell r="C5027">
            <v>42742.73709116898</v>
          </cell>
        </row>
        <row r="5028">
          <cell r="A5028">
            <v>3035518897</v>
          </cell>
          <cell r="B5028" t="str">
            <v>Sample Rejected</v>
          </cell>
          <cell r="C5028">
            <v>42742.73709116898</v>
          </cell>
        </row>
        <row r="5029">
          <cell r="A5029">
            <v>3035516258</v>
          </cell>
          <cell r="B5029" t="str">
            <v>Sample Rejected</v>
          </cell>
          <cell r="C5029">
            <v>42742.73709116898</v>
          </cell>
        </row>
        <row r="5030">
          <cell r="A5030">
            <v>3035510288</v>
          </cell>
          <cell r="B5030" t="str">
            <v>Sample Rejected</v>
          </cell>
          <cell r="C5030">
            <v>42742.73709116898</v>
          </cell>
        </row>
        <row r="5031">
          <cell r="A5031">
            <v>3035511437</v>
          </cell>
          <cell r="B5031" t="str">
            <v>Sample Rejected</v>
          </cell>
          <cell r="C5031">
            <v>42742.73709116898</v>
          </cell>
        </row>
        <row r="5032">
          <cell r="A5032">
            <v>3035515740</v>
          </cell>
          <cell r="B5032" t="str">
            <v>Sample Rejected</v>
          </cell>
          <cell r="C5032">
            <v>42742.73709116898</v>
          </cell>
        </row>
        <row r="5033">
          <cell r="A5033">
            <v>3035507657</v>
          </cell>
          <cell r="B5033" t="str">
            <v>Sample Rejected</v>
          </cell>
          <cell r="C5033">
            <v>42742.73709116898</v>
          </cell>
        </row>
        <row r="5034">
          <cell r="A5034">
            <v>3035512210</v>
          </cell>
          <cell r="B5034" t="str">
            <v>Sample Rejected</v>
          </cell>
          <cell r="C5034">
            <v>42742.73709116898</v>
          </cell>
        </row>
        <row r="5035">
          <cell r="A5035">
            <v>3035513544</v>
          </cell>
          <cell r="B5035" t="str">
            <v>Sample Rejected</v>
          </cell>
          <cell r="C5035">
            <v>42742.73709116898</v>
          </cell>
        </row>
        <row r="5036">
          <cell r="A5036">
            <v>3035521632</v>
          </cell>
          <cell r="B5036" t="str">
            <v>Sample Rejected</v>
          </cell>
          <cell r="C5036">
            <v>42742.73709116898</v>
          </cell>
        </row>
        <row r="5037">
          <cell r="A5037">
            <v>3035518784</v>
          </cell>
          <cell r="B5037" t="str">
            <v>Sample Rejected</v>
          </cell>
          <cell r="C5037">
            <v>42742.73709116898</v>
          </cell>
        </row>
        <row r="5038">
          <cell r="A5038">
            <v>3035509694</v>
          </cell>
          <cell r="B5038" t="str">
            <v>Sample Rejected</v>
          </cell>
          <cell r="C5038">
            <v>42742.73709116898</v>
          </cell>
        </row>
        <row r="5039">
          <cell r="A5039">
            <v>3035430609</v>
          </cell>
          <cell r="B5039" t="str">
            <v>Sample Rejected</v>
          </cell>
          <cell r="C5039">
            <v>42742.73709116898</v>
          </cell>
        </row>
        <row r="5040">
          <cell r="A5040">
            <v>3035510440</v>
          </cell>
          <cell r="B5040" t="str">
            <v>Sample Rejected</v>
          </cell>
          <cell r="C5040">
            <v>42742.73709116898</v>
          </cell>
        </row>
        <row r="5041">
          <cell r="A5041">
            <v>3035508530</v>
          </cell>
          <cell r="B5041" t="str">
            <v>Sample Rejected</v>
          </cell>
          <cell r="C5041">
            <v>42742.73709116898</v>
          </cell>
        </row>
        <row r="5042">
          <cell r="A5042">
            <v>3035506990</v>
          </cell>
          <cell r="B5042" t="str">
            <v>Sample Rejected</v>
          </cell>
          <cell r="C5042">
            <v>42742.73709116898</v>
          </cell>
        </row>
        <row r="5043">
          <cell r="A5043">
            <v>3035506213</v>
          </cell>
          <cell r="B5043" t="str">
            <v>Sample Rejected</v>
          </cell>
          <cell r="C5043">
            <v>42742.73709116898</v>
          </cell>
        </row>
        <row r="5044">
          <cell r="A5044">
            <v>3035515391</v>
          </cell>
          <cell r="B5044" t="str">
            <v>Sample Rejected</v>
          </cell>
          <cell r="C5044">
            <v>42742.73709116898</v>
          </cell>
        </row>
        <row r="5045">
          <cell r="A5045">
            <v>3035509622</v>
          </cell>
          <cell r="B5045" t="str">
            <v>Sample Rejected</v>
          </cell>
          <cell r="C5045">
            <v>42742.73709116898</v>
          </cell>
        </row>
        <row r="5046">
          <cell r="A5046">
            <v>3035507400</v>
          </cell>
          <cell r="B5046" t="str">
            <v>Sample Rejected</v>
          </cell>
          <cell r="C5046">
            <v>42742.73709116898</v>
          </cell>
        </row>
        <row r="5047">
          <cell r="A5047">
            <v>3035516710</v>
          </cell>
          <cell r="B5047" t="str">
            <v>Sample Rejected</v>
          </cell>
          <cell r="C5047">
            <v>42742.73709116898</v>
          </cell>
        </row>
        <row r="5048">
          <cell r="A5048">
            <v>3035519627</v>
          </cell>
          <cell r="B5048" t="str">
            <v>Sample Rejected</v>
          </cell>
          <cell r="C5048">
            <v>42742.73709116898</v>
          </cell>
        </row>
        <row r="5049">
          <cell r="A5049">
            <v>3035476036</v>
          </cell>
          <cell r="B5049" t="str">
            <v>Sample Rejected</v>
          </cell>
          <cell r="C5049">
            <v>42742.73709116898</v>
          </cell>
        </row>
        <row r="5050">
          <cell r="A5050">
            <v>3035525152</v>
          </cell>
          <cell r="B5050" t="str">
            <v>Sample Rejected</v>
          </cell>
          <cell r="C5050">
            <v>42742.73709116898</v>
          </cell>
        </row>
        <row r="5051">
          <cell r="A5051">
            <v>3035508595</v>
          </cell>
          <cell r="B5051" t="str">
            <v>Sample Rejected</v>
          </cell>
          <cell r="C5051">
            <v>42742.73709116898</v>
          </cell>
        </row>
        <row r="5052">
          <cell r="A5052">
            <v>3035520519</v>
          </cell>
          <cell r="B5052" t="str">
            <v>Sample Rejected</v>
          </cell>
          <cell r="C5052">
            <v>42742.73709116898</v>
          </cell>
        </row>
        <row r="5053">
          <cell r="A5053">
            <v>3035518946</v>
          </cell>
          <cell r="B5053" t="str">
            <v>Sample Rejected</v>
          </cell>
          <cell r="C5053">
            <v>42742.73709116898</v>
          </cell>
        </row>
        <row r="5054">
          <cell r="A5054">
            <v>3035483059</v>
          </cell>
          <cell r="B5054" t="str">
            <v>Sample Rejected</v>
          </cell>
          <cell r="C5054">
            <v>42742.73709116898</v>
          </cell>
        </row>
        <row r="5055">
          <cell r="A5055">
            <v>3035408780</v>
          </cell>
          <cell r="B5055" t="str">
            <v>Sample Rejected</v>
          </cell>
          <cell r="C5055">
            <v>42742.73709116898</v>
          </cell>
        </row>
        <row r="5056">
          <cell r="A5056">
            <v>3035519750</v>
          </cell>
          <cell r="B5056" t="str">
            <v>Sample Rejected</v>
          </cell>
          <cell r="C5056">
            <v>42742.73709116898</v>
          </cell>
        </row>
        <row r="5057">
          <cell r="A5057">
            <v>3035514498</v>
          </cell>
          <cell r="B5057" t="str">
            <v>Sample Rejected</v>
          </cell>
          <cell r="C5057">
            <v>42742.73709116898</v>
          </cell>
        </row>
        <row r="5058">
          <cell r="A5058">
            <v>3035512996</v>
          </cell>
          <cell r="B5058" t="str">
            <v>Sample Rejected</v>
          </cell>
          <cell r="C5058">
            <v>42742.73709116898</v>
          </cell>
        </row>
        <row r="5059">
          <cell r="A5059">
            <v>3035520338</v>
          </cell>
          <cell r="B5059" t="str">
            <v>Sample Rejected</v>
          </cell>
          <cell r="C5059">
            <v>42742.73709116898</v>
          </cell>
        </row>
        <row r="5060">
          <cell r="A5060">
            <v>3035524496</v>
          </cell>
          <cell r="B5060" t="str">
            <v>Sample Rejected</v>
          </cell>
          <cell r="C5060">
            <v>42742.73709116898</v>
          </cell>
        </row>
        <row r="5061">
          <cell r="A5061">
            <v>3035519700</v>
          </cell>
          <cell r="B5061" t="str">
            <v>Sample Rejected</v>
          </cell>
          <cell r="C5061">
            <v>42742.73709116898</v>
          </cell>
        </row>
        <row r="5062">
          <cell r="A5062">
            <v>3035507854</v>
          </cell>
          <cell r="B5062" t="str">
            <v>Sample Rejected</v>
          </cell>
          <cell r="C5062">
            <v>42742.73709116898</v>
          </cell>
        </row>
        <row r="5063">
          <cell r="A5063">
            <v>3035520561</v>
          </cell>
          <cell r="B5063" t="str">
            <v>Sample Rejected</v>
          </cell>
          <cell r="C5063">
            <v>42742.73709116898</v>
          </cell>
        </row>
        <row r="5064">
          <cell r="A5064">
            <v>3035483612</v>
          </cell>
          <cell r="B5064" t="str">
            <v>Sample Rejected</v>
          </cell>
          <cell r="C5064">
            <v>42742.73709116898</v>
          </cell>
        </row>
        <row r="5065">
          <cell r="A5065">
            <v>3035515697</v>
          </cell>
          <cell r="B5065" t="str">
            <v>Sample Rejected</v>
          </cell>
          <cell r="C5065">
            <v>42742.73709116898</v>
          </cell>
        </row>
        <row r="5066">
          <cell r="A5066">
            <v>3035519486</v>
          </cell>
          <cell r="B5066" t="str">
            <v>Sample Rejected</v>
          </cell>
          <cell r="C5066">
            <v>42742.73709116898</v>
          </cell>
        </row>
        <row r="5067">
          <cell r="A5067">
            <v>3035508131</v>
          </cell>
          <cell r="B5067" t="str">
            <v>Sample Rejected</v>
          </cell>
          <cell r="C5067">
            <v>42742.73709116898</v>
          </cell>
        </row>
        <row r="5068">
          <cell r="A5068">
            <v>3035433184</v>
          </cell>
          <cell r="B5068" t="str">
            <v>Sample Rejected</v>
          </cell>
          <cell r="C5068">
            <v>42742.73709116898</v>
          </cell>
        </row>
        <row r="5069">
          <cell r="A5069">
            <v>3034950416</v>
          </cell>
          <cell r="B5069" t="str">
            <v>Sample Rejected</v>
          </cell>
          <cell r="C5069">
            <v>42742.73709116898</v>
          </cell>
        </row>
        <row r="5070">
          <cell r="A5070">
            <v>3035507818</v>
          </cell>
          <cell r="B5070" t="str">
            <v>Sample Rejected</v>
          </cell>
          <cell r="C5070">
            <v>42742.73709116898</v>
          </cell>
        </row>
        <row r="5071">
          <cell r="A5071">
            <v>3035489708</v>
          </cell>
          <cell r="B5071" t="str">
            <v>Sample Rejected</v>
          </cell>
          <cell r="C5071">
            <v>42742.73709116898</v>
          </cell>
        </row>
        <row r="5072">
          <cell r="A5072">
            <v>3035492257</v>
          </cell>
          <cell r="B5072" t="str">
            <v>Sample Rejected</v>
          </cell>
          <cell r="C5072">
            <v>42741.73704378472</v>
          </cell>
        </row>
        <row r="5073">
          <cell r="A5073">
            <v>3035470845</v>
          </cell>
          <cell r="B5073" t="str">
            <v>Sample Rejected</v>
          </cell>
          <cell r="C5073">
            <v>42741.73704378472</v>
          </cell>
        </row>
        <row r="5074">
          <cell r="A5074">
            <v>3035462291</v>
          </cell>
          <cell r="B5074" t="str">
            <v>Sample Rejected</v>
          </cell>
          <cell r="C5074">
            <v>42741.73704378472</v>
          </cell>
        </row>
        <row r="5075">
          <cell r="A5075">
            <v>3035367687</v>
          </cell>
          <cell r="B5075" t="str">
            <v>Sample Rejected</v>
          </cell>
          <cell r="C5075">
            <v>42741.73704378472</v>
          </cell>
        </row>
        <row r="5076">
          <cell r="A5076">
            <v>3035469719</v>
          </cell>
          <cell r="B5076" t="str">
            <v>Sample Rejected</v>
          </cell>
          <cell r="C5076">
            <v>42741.73704378472</v>
          </cell>
        </row>
        <row r="5077">
          <cell r="A5077">
            <v>3035482448</v>
          </cell>
          <cell r="B5077" t="str">
            <v>Sample Rejected</v>
          </cell>
          <cell r="C5077">
            <v>42741.73704378472</v>
          </cell>
        </row>
        <row r="5078">
          <cell r="A5078">
            <v>3035408806</v>
          </cell>
          <cell r="B5078" t="str">
            <v>Sample Rejected</v>
          </cell>
          <cell r="C5078">
            <v>42741.73704378472</v>
          </cell>
        </row>
        <row r="5079">
          <cell r="A5079">
            <v>3035470346</v>
          </cell>
          <cell r="B5079" t="str">
            <v>Sample Rejected</v>
          </cell>
          <cell r="C5079">
            <v>42741.73704378472</v>
          </cell>
        </row>
        <row r="5080">
          <cell r="A5080">
            <v>3035482292</v>
          </cell>
          <cell r="B5080" t="str">
            <v>Sample Rejected</v>
          </cell>
          <cell r="C5080">
            <v>42741.73704378472</v>
          </cell>
        </row>
        <row r="5081">
          <cell r="A5081">
            <v>3035471732</v>
          </cell>
          <cell r="B5081" t="str">
            <v>Sample Rejected</v>
          </cell>
          <cell r="C5081">
            <v>42741.73704378472</v>
          </cell>
        </row>
        <row r="5082">
          <cell r="A5082">
            <v>3035474053</v>
          </cell>
          <cell r="B5082" t="str">
            <v>Sample Rejected</v>
          </cell>
          <cell r="C5082">
            <v>42741.73704378472</v>
          </cell>
        </row>
        <row r="5083">
          <cell r="A5083">
            <v>3035469903</v>
          </cell>
          <cell r="B5083" t="str">
            <v>Sample Rejected</v>
          </cell>
          <cell r="C5083">
            <v>42741.73704378472</v>
          </cell>
        </row>
        <row r="5084">
          <cell r="A5084">
            <v>3035259215</v>
          </cell>
          <cell r="B5084" t="str">
            <v>Sample Rejected</v>
          </cell>
          <cell r="C5084">
            <v>42741.73704378472</v>
          </cell>
        </row>
        <row r="5085">
          <cell r="A5085">
            <v>3035482253</v>
          </cell>
          <cell r="B5085" t="str">
            <v>Sample Rejected</v>
          </cell>
          <cell r="C5085">
            <v>42741.73704378472</v>
          </cell>
        </row>
        <row r="5086">
          <cell r="A5086">
            <v>3035469900</v>
          </cell>
          <cell r="B5086" t="str">
            <v>Sample Rejected</v>
          </cell>
          <cell r="C5086">
            <v>42741.73704378472</v>
          </cell>
        </row>
        <row r="5087">
          <cell r="A5087">
            <v>3035484478</v>
          </cell>
          <cell r="B5087" t="str">
            <v>Sample Rejected</v>
          </cell>
          <cell r="C5087">
            <v>42741.73704378472</v>
          </cell>
        </row>
        <row r="5088">
          <cell r="A5088">
            <v>3035481923</v>
          </cell>
          <cell r="B5088" t="str">
            <v>Sample Rejected</v>
          </cell>
          <cell r="C5088">
            <v>42741.73704378472</v>
          </cell>
        </row>
        <row r="5089">
          <cell r="A5089">
            <v>3035437745</v>
          </cell>
          <cell r="B5089" t="str">
            <v>Sample Rejected</v>
          </cell>
          <cell r="C5089">
            <v>42741.73704378472</v>
          </cell>
        </row>
        <row r="5090">
          <cell r="A5090">
            <v>3035486258</v>
          </cell>
          <cell r="B5090" t="str">
            <v>Sample Rejected</v>
          </cell>
          <cell r="C5090">
            <v>42741.73704378472</v>
          </cell>
        </row>
        <row r="5091">
          <cell r="A5091">
            <v>3035473018</v>
          </cell>
          <cell r="B5091" t="str">
            <v>Sample Rejected</v>
          </cell>
          <cell r="C5091">
            <v>42741.73704378472</v>
          </cell>
        </row>
        <row r="5092">
          <cell r="A5092">
            <v>3035472167</v>
          </cell>
          <cell r="B5092" t="str">
            <v>Sample Rejected</v>
          </cell>
          <cell r="C5092">
            <v>42741.73704378472</v>
          </cell>
        </row>
        <row r="5093">
          <cell r="A5093">
            <v>3035468557</v>
          </cell>
          <cell r="B5093" t="str">
            <v>Sample Rejected</v>
          </cell>
          <cell r="C5093">
            <v>42741.73704378472</v>
          </cell>
        </row>
        <row r="5094">
          <cell r="A5094">
            <v>3035470906</v>
          </cell>
          <cell r="B5094" t="str">
            <v>Sample Rejected</v>
          </cell>
          <cell r="C5094">
            <v>42741.73704378472</v>
          </cell>
        </row>
        <row r="5095">
          <cell r="A5095">
            <v>3035473618</v>
          </cell>
          <cell r="B5095" t="str">
            <v>Sample Rejected</v>
          </cell>
          <cell r="C5095">
            <v>42741.73704378472</v>
          </cell>
        </row>
        <row r="5096">
          <cell r="A5096">
            <v>3035469673</v>
          </cell>
          <cell r="B5096" t="str">
            <v>Sample Rejected</v>
          </cell>
          <cell r="C5096">
            <v>42741.73704378472</v>
          </cell>
        </row>
        <row r="5097">
          <cell r="A5097">
            <v>3035447916</v>
          </cell>
          <cell r="B5097" t="str">
            <v>Sample Rejected</v>
          </cell>
          <cell r="C5097">
            <v>42741.73704378472</v>
          </cell>
        </row>
        <row r="5098">
          <cell r="A5098">
            <v>3035473168</v>
          </cell>
          <cell r="B5098" t="str">
            <v>Sample Rejected</v>
          </cell>
          <cell r="C5098">
            <v>42741.73704378472</v>
          </cell>
        </row>
        <row r="5099">
          <cell r="A5099">
            <v>3035480460</v>
          </cell>
          <cell r="B5099" t="str">
            <v>Sample Rejected</v>
          </cell>
          <cell r="C5099">
            <v>42741.73704378472</v>
          </cell>
        </row>
        <row r="5100">
          <cell r="A5100">
            <v>3035469578</v>
          </cell>
          <cell r="B5100" t="str">
            <v>Sample Rejected</v>
          </cell>
          <cell r="C5100">
            <v>42741.73704378472</v>
          </cell>
        </row>
        <row r="5101">
          <cell r="A5101">
            <v>3035471605</v>
          </cell>
          <cell r="B5101" t="str">
            <v>Sample Rejected</v>
          </cell>
          <cell r="C5101">
            <v>42741.73704378472</v>
          </cell>
        </row>
        <row r="5102">
          <cell r="A5102">
            <v>3035511152</v>
          </cell>
          <cell r="B5102" t="str">
            <v>Sample Rejected</v>
          </cell>
          <cell r="C5102">
            <v>42742.73709116898</v>
          </cell>
        </row>
        <row r="5103">
          <cell r="A5103">
            <v>3035507739</v>
          </cell>
          <cell r="B5103" t="str">
            <v>Sample Rejected</v>
          </cell>
          <cell r="C5103">
            <v>42742.73709116898</v>
          </cell>
        </row>
        <row r="5104">
          <cell r="A5104">
            <v>3035511349</v>
          </cell>
          <cell r="B5104" t="str">
            <v>Sample Rejected</v>
          </cell>
          <cell r="C5104">
            <v>42742.73709116898</v>
          </cell>
        </row>
        <row r="5105">
          <cell r="A5105">
            <v>3035507162</v>
          </cell>
          <cell r="B5105" t="str">
            <v>Sample Rejected</v>
          </cell>
          <cell r="C5105">
            <v>42742.73709116898</v>
          </cell>
        </row>
        <row r="5106">
          <cell r="A5106">
            <v>3035517502</v>
          </cell>
          <cell r="B5106" t="str">
            <v>Sample Rejected</v>
          </cell>
          <cell r="C5106">
            <v>42742.73709116898</v>
          </cell>
        </row>
        <row r="5107">
          <cell r="A5107">
            <v>3035472316</v>
          </cell>
          <cell r="B5107" t="str">
            <v>Sample Rejected</v>
          </cell>
          <cell r="C5107">
            <v>42742.73709116898</v>
          </cell>
        </row>
        <row r="5108">
          <cell r="A5108">
            <v>3035509009</v>
          </cell>
          <cell r="B5108" t="str">
            <v>Sample Rejected</v>
          </cell>
          <cell r="C5108">
            <v>42742.73709116898</v>
          </cell>
        </row>
        <row r="5109">
          <cell r="A5109">
            <v>3035528209</v>
          </cell>
          <cell r="B5109" t="str">
            <v>Sample Rejected</v>
          </cell>
          <cell r="C5109">
            <v>42742.73709116898</v>
          </cell>
        </row>
        <row r="5110">
          <cell r="A5110">
            <v>3035515526</v>
          </cell>
          <cell r="B5110" t="str">
            <v>Sample Rejected</v>
          </cell>
          <cell r="C5110">
            <v>42742.73709116898</v>
          </cell>
        </row>
        <row r="5111">
          <cell r="A5111">
            <v>3035524152</v>
          </cell>
          <cell r="B5111" t="str">
            <v>Sample Rejected</v>
          </cell>
          <cell r="C5111">
            <v>42742.73709116898</v>
          </cell>
        </row>
        <row r="5112">
          <cell r="A5112">
            <v>3035415347</v>
          </cell>
          <cell r="B5112" t="str">
            <v>Sample Rejected</v>
          </cell>
          <cell r="C5112">
            <v>42742.73709116898</v>
          </cell>
        </row>
        <row r="5113">
          <cell r="A5113">
            <v>3035521494</v>
          </cell>
          <cell r="B5113" t="str">
            <v>Sample Rejected</v>
          </cell>
          <cell r="C5113">
            <v>42742.73709116898</v>
          </cell>
        </row>
        <row r="5114">
          <cell r="A5114">
            <v>3035514915</v>
          </cell>
          <cell r="B5114" t="str">
            <v>Sample Rejected</v>
          </cell>
          <cell r="C5114">
            <v>42742.73709116898</v>
          </cell>
        </row>
        <row r="5115">
          <cell r="A5115">
            <v>3035517921</v>
          </cell>
          <cell r="B5115" t="str">
            <v>Sample Rejected</v>
          </cell>
          <cell r="C5115">
            <v>42742.73709116898</v>
          </cell>
        </row>
        <row r="5116">
          <cell r="A5116">
            <v>3035513466</v>
          </cell>
          <cell r="B5116" t="str">
            <v>Sample Rejected</v>
          </cell>
          <cell r="C5116">
            <v>42742.73709116898</v>
          </cell>
        </row>
        <row r="5117">
          <cell r="A5117">
            <v>3035509789</v>
          </cell>
          <cell r="B5117" t="str">
            <v>Sample Rejected</v>
          </cell>
          <cell r="C5117">
            <v>42742.73709116898</v>
          </cell>
        </row>
        <row r="5118">
          <cell r="A5118">
            <v>3035513555</v>
          </cell>
          <cell r="B5118" t="str">
            <v>Sample Rejected</v>
          </cell>
          <cell r="C5118">
            <v>42742.73709116898</v>
          </cell>
        </row>
        <row r="5119">
          <cell r="A5119">
            <v>3035523541</v>
          </cell>
          <cell r="B5119" t="str">
            <v>Sample Rejected</v>
          </cell>
          <cell r="C5119">
            <v>42742.73709116898</v>
          </cell>
        </row>
        <row r="5120">
          <cell r="A5120">
            <v>3035508287</v>
          </cell>
          <cell r="B5120" t="str">
            <v>Sample Rejected</v>
          </cell>
          <cell r="C5120">
            <v>42742.73709116898</v>
          </cell>
        </row>
        <row r="5121">
          <cell r="A5121">
            <v>3035333801</v>
          </cell>
          <cell r="B5121" t="str">
            <v>Sample Rejected</v>
          </cell>
          <cell r="C5121">
            <v>42742.73709116898</v>
          </cell>
        </row>
        <row r="5122">
          <cell r="A5122">
            <v>3035510768</v>
          </cell>
          <cell r="B5122" t="str">
            <v>Sample Rejected</v>
          </cell>
          <cell r="C5122">
            <v>42742.73709116898</v>
          </cell>
        </row>
        <row r="5123">
          <cell r="A5123">
            <v>3035233215</v>
          </cell>
          <cell r="B5123" t="str">
            <v>Sample Rejected</v>
          </cell>
          <cell r="C5123">
            <v>42741.737065358793</v>
          </cell>
        </row>
        <row r="5124">
          <cell r="A5124">
            <v>3035508932</v>
          </cell>
          <cell r="B5124" t="str">
            <v>Sample Rejected</v>
          </cell>
          <cell r="C5124">
            <v>42742.73709116898</v>
          </cell>
        </row>
        <row r="5125">
          <cell r="A5125">
            <v>3035506201</v>
          </cell>
          <cell r="B5125" t="str">
            <v>Sample Rejected</v>
          </cell>
          <cell r="C5125">
            <v>42742.73709116898</v>
          </cell>
        </row>
        <row r="5126">
          <cell r="A5126">
            <v>3035552480</v>
          </cell>
          <cell r="B5126" t="str">
            <v>Sample Rejected</v>
          </cell>
          <cell r="C5126">
            <v>42743.735176273149</v>
          </cell>
        </row>
        <row r="5127">
          <cell r="A5127">
            <v>3035541368</v>
          </cell>
          <cell r="B5127" t="str">
            <v>Sample Rejected</v>
          </cell>
          <cell r="C5127">
            <v>42743.735176273149</v>
          </cell>
        </row>
        <row r="5128">
          <cell r="A5128">
            <v>3035355683</v>
          </cell>
          <cell r="B5128" t="str">
            <v>Sample Rejected</v>
          </cell>
          <cell r="C5128">
            <v>42743.735176273149</v>
          </cell>
        </row>
        <row r="5129">
          <cell r="A5129">
            <v>3035553167</v>
          </cell>
          <cell r="B5129" t="str">
            <v>Sample Rejected</v>
          </cell>
          <cell r="C5129">
            <v>42743.735176273149</v>
          </cell>
        </row>
        <row r="5130">
          <cell r="A5130">
            <v>3035541781</v>
          </cell>
          <cell r="B5130" t="str">
            <v>Sample Rejected</v>
          </cell>
          <cell r="C5130">
            <v>42743.735176273149</v>
          </cell>
        </row>
        <row r="5131">
          <cell r="A5131">
            <v>3035548794</v>
          </cell>
          <cell r="B5131" t="str">
            <v>Sample Rejected</v>
          </cell>
          <cell r="C5131">
            <v>42743.735176273149</v>
          </cell>
        </row>
        <row r="5132">
          <cell r="A5132">
            <v>3035479634</v>
          </cell>
          <cell r="B5132" t="str">
            <v>Sample Rejected</v>
          </cell>
          <cell r="C5132">
            <v>42743.735176273149</v>
          </cell>
        </row>
        <row r="5133">
          <cell r="A5133">
            <v>3035542542</v>
          </cell>
          <cell r="B5133" t="str">
            <v>Sample Rejected</v>
          </cell>
          <cell r="C5133">
            <v>42743.735176273149</v>
          </cell>
        </row>
        <row r="5134">
          <cell r="A5134">
            <v>3035508691</v>
          </cell>
          <cell r="B5134" t="str">
            <v>Sample Rejected</v>
          </cell>
          <cell r="C5134">
            <v>42743.735176273149</v>
          </cell>
        </row>
        <row r="5135">
          <cell r="A5135">
            <v>3035541669</v>
          </cell>
          <cell r="B5135" t="str">
            <v>Sample Rejected</v>
          </cell>
          <cell r="C5135">
            <v>42743.735176273149</v>
          </cell>
        </row>
        <row r="5136">
          <cell r="A5136">
            <v>3035557527</v>
          </cell>
          <cell r="B5136" t="str">
            <v>Sample Rejected</v>
          </cell>
          <cell r="C5136">
            <v>42743.735176273149</v>
          </cell>
        </row>
        <row r="5137">
          <cell r="A5137">
            <v>3035557337</v>
          </cell>
          <cell r="B5137" t="str">
            <v>Sample Rejected</v>
          </cell>
          <cell r="C5137">
            <v>42743.735176273149</v>
          </cell>
        </row>
        <row r="5138">
          <cell r="A5138">
            <v>3035541907</v>
          </cell>
          <cell r="B5138" t="str">
            <v>Sample Rejected</v>
          </cell>
          <cell r="C5138">
            <v>42743.735176273149</v>
          </cell>
        </row>
        <row r="5139">
          <cell r="A5139">
            <v>3035556507</v>
          </cell>
          <cell r="B5139" t="str">
            <v>Sample Rejected</v>
          </cell>
          <cell r="C5139">
            <v>42743.735176273149</v>
          </cell>
        </row>
        <row r="5140">
          <cell r="A5140">
            <v>3035548659</v>
          </cell>
          <cell r="B5140" t="str">
            <v>Sample Rejected</v>
          </cell>
          <cell r="C5140">
            <v>42743.735176273149</v>
          </cell>
        </row>
        <row r="5141">
          <cell r="A5141">
            <v>3035541908</v>
          </cell>
          <cell r="B5141" t="str">
            <v>Sample Rejected</v>
          </cell>
          <cell r="C5141">
            <v>42743.735176273149</v>
          </cell>
        </row>
        <row r="5142">
          <cell r="A5142">
            <v>3035369023</v>
          </cell>
          <cell r="B5142" t="str">
            <v>Sample Rejected</v>
          </cell>
          <cell r="C5142">
            <v>42744.734167210649</v>
          </cell>
        </row>
        <row r="5143">
          <cell r="A5143">
            <v>3035548778</v>
          </cell>
          <cell r="B5143" t="str">
            <v>Sample Rejected</v>
          </cell>
          <cell r="C5143">
            <v>42743.735176273149</v>
          </cell>
        </row>
        <row r="5144">
          <cell r="A5144">
            <v>3035552176</v>
          </cell>
          <cell r="B5144" t="str">
            <v>Sample Rejected</v>
          </cell>
          <cell r="C5144">
            <v>42743.735176273149</v>
          </cell>
        </row>
        <row r="5145">
          <cell r="A5145">
            <v>3035576244</v>
          </cell>
          <cell r="B5145" t="str">
            <v>Sample Rejected</v>
          </cell>
          <cell r="C5145">
            <v>42744.734167210649</v>
          </cell>
        </row>
        <row r="5146">
          <cell r="A5146">
            <v>3035568069</v>
          </cell>
          <cell r="B5146" t="str">
            <v>Sample Rejected</v>
          </cell>
          <cell r="C5146">
            <v>42744.734167210649</v>
          </cell>
        </row>
        <row r="5147">
          <cell r="A5147">
            <v>3035545571</v>
          </cell>
          <cell r="B5147" t="str">
            <v>Sample Rejected</v>
          </cell>
          <cell r="C5147">
            <v>42743.735176273149</v>
          </cell>
        </row>
        <row r="5148">
          <cell r="A5148">
            <v>3035553027</v>
          </cell>
          <cell r="B5148" t="str">
            <v>Sample Rejected</v>
          </cell>
          <cell r="C5148">
            <v>42743.735176273149</v>
          </cell>
        </row>
        <row r="5149">
          <cell r="A5149">
            <v>3035557575</v>
          </cell>
          <cell r="B5149" t="str">
            <v>Sample Rejected</v>
          </cell>
          <cell r="C5149">
            <v>42743.735176273149</v>
          </cell>
        </row>
        <row r="5150">
          <cell r="A5150">
            <v>3035549211</v>
          </cell>
          <cell r="B5150" t="str">
            <v>Sample Rejected</v>
          </cell>
          <cell r="C5150">
            <v>42743.735176273149</v>
          </cell>
        </row>
        <row r="5151">
          <cell r="A5151">
            <v>3035549618</v>
          </cell>
          <cell r="B5151" t="str">
            <v>Sample Rejected</v>
          </cell>
          <cell r="C5151">
            <v>42743.735176273149</v>
          </cell>
        </row>
        <row r="5152">
          <cell r="A5152">
            <v>3035544291</v>
          </cell>
          <cell r="B5152" t="str">
            <v>Sample Rejected</v>
          </cell>
          <cell r="C5152">
            <v>42743.735176273149</v>
          </cell>
        </row>
        <row r="5153">
          <cell r="A5153">
            <v>3035506949</v>
          </cell>
          <cell r="B5153" t="str">
            <v>Sample Rejected</v>
          </cell>
          <cell r="C5153">
            <v>42743.735176273149</v>
          </cell>
        </row>
        <row r="5154">
          <cell r="A5154">
            <v>3035550243</v>
          </cell>
          <cell r="B5154" t="str">
            <v>Sample Rejected</v>
          </cell>
          <cell r="C5154">
            <v>42743.735176273149</v>
          </cell>
        </row>
        <row r="5155">
          <cell r="A5155">
            <v>3035551510</v>
          </cell>
          <cell r="B5155" t="str">
            <v>Sample Rejected</v>
          </cell>
          <cell r="C5155">
            <v>42743.735176273149</v>
          </cell>
        </row>
        <row r="5156">
          <cell r="A5156">
            <v>3035542518</v>
          </cell>
          <cell r="B5156" t="str">
            <v>Sample Rejected</v>
          </cell>
          <cell r="C5156">
            <v>42743.735176273149</v>
          </cell>
        </row>
        <row r="5157">
          <cell r="A5157">
            <v>3035542673</v>
          </cell>
          <cell r="B5157" t="str">
            <v>Sample Rejected</v>
          </cell>
          <cell r="C5157">
            <v>42743.735176273149</v>
          </cell>
        </row>
        <row r="5158">
          <cell r="A5158">
            <v>3035545520</v>
          </cell>
          <cell r="B5158" t="str">
            <v>Sample Rejected</v>
          </cell>
          <cell r="C5158">
            <v>42743.735176273149</v>
          </cell>
        </row>
        <row r="5159">
          <cell r="A5159">
            <v>3035479202</v>
          </cell>
          <cell r="B5159" t="str">
            <v>Sample Rejected</v>
          </cell>
          <cell r="C5159">
            <v>42743.735176273149</v>
          </cell>
        </row>
        <row r="5160">
          <cell r="A5160">
            <v>3035469302</v>
          </cell>
          <cell r="B5160" t="str">
            <v>Sample Rejected</v>
          </cell>
          <cell r="C5160">
            <v>42743.735176273149</v>
          </cell>
        </row>
        <row r="5161">
          <cell r="A5161">
            <v>3035547645</v>
          </cell>
          <cell r="B5161" t="str">
            <v>Sample Rejected</v>
          </cell>
          <cell r="C5161">
            <v>42743.735176273149</v>
          </cell>
        </row>
        <row r="5162">
          <cell r="A5162">
            <v>3035541051</v>
          </cell>
          <cell r="B5162" t="str">
            <v>Sample Rejected</v>
          </cell>
          <cell r="C5162">
            <v>42743.735176273149</v>
          </cell>
        </row>
        <row r="5163">
          <cell r="A5163">
            <v>3035541653</v>
          </cell>
          <cell r="B5163" t="str">
            <v>Sample Rejected</v>
          </cell>
          <cell r="C5163">
            <v>42743.735176273149</v>
          </cell>
        </row>
        <row r="5164">
          <cell r="A5164">
            <v>3035552271</v>
          </cell>
          <cell r="B5164" t="str">
            <v>Sample Rejected</v>
          </cell>
          <cell r="C5164">
            <v>42743.735176273149</v>
          </cell>
        </row>
        <row r="5165">
          <cell r="A5165">
            <v>3035547614</v>
          </cell>
          <cell r="B5165" t="str">
            <v>Sample Rejected</v>
          </cell>
          <cell r="C5165">
            <v>42743.735176273149</v>
          </cell>
        </row>
        <row r="5166">
          <cell r="A5166">
            <v>3035441018</v>
          </cell>
          <cell r="B5166" t="str">
            <v>Sample Rejected</v>
          </cell>
          <cell r="C5166">
            <v>42743.735176273149</v>
          </cell>
        </row>
        <row r="5167">
          <cell r="A5167">
            <v>3035547756</v>
          </cell>
          <cell r="B5167" t="str">
            <v>Sample Rejected</v>
          </cell>
          <cell r="C5167">
            <v>42743.735176273149</v>
          </cell>
        </row>
        <row r="5168">
          <cell r="A5168">
            <v>3035337046</v>
          </cell>
          <cell r="B5168" t="str">
            <v>Sample Rejected</v>
          </cell>
          <cell r="C5168">
            <v>42743.735176273149</v>
          </cell>
        </row>
        <row r="5169">
          <cell r="A5169">
            <v>3035546536</v>
          </cell>
          <cell r="B5169" t="str">
            <v>Sample Rejected</v>
          </cell>
          <cell r="C5169">
            <v>42743.735176273149</v>
          </cell>
        </row>
        <row r="5170">
          <cell r="A5170">
            <v>3035541149</v>
          </cell>
          <cell r="B5170" t="str">
            <v>Sample Rejected</v>
          </cell>
          <cell r="C5170">
            <v>42743.735176273149</v>
          </cell>
        </row>
        <row r="5171">
          <cell r="A5171">
            <v>3035557690</v>
          </cell>
          <cell r="B5171" t="str">
            <v>Sample Rejected</v>
          </cell>
          <cell r="C5171">
            <v>42743.735176273149</v>
          </cell>
        </row>
        <row r="5172">
          <cell r="A5172">
            <v>3035522673</v>
          </cell>
          <cell r="B5172" t="str">
            <v>Sample Rejected</v>
          </cell>
          <cell r="C5172">
            <v>42743.735176273149</v>
          </cell>
        </row>
        <row r="5173">
          <cell r="A5173">
            <v>3035546972</v>
          </cell>
          <cell r="B5173" t="str">
            <v>Sample Rejected</v>
          </cell>
          <cell r="C5173">
            <v>42743.735176273149</v>
          </cell>
        </row>
        <row r="5174">
          <cell r="A5174">
            <v>3035544501</v>
          </cell>
          <cell r="B5174" t="str">
            <v>Sample Rejected</v>
          </cell>
          <cell r="C5174">
            <v>42743.735176273149</v>
          </cell>
        </row>
        <row r="5175">
          <cell r="A5175">
            <v>3035555768</v>
          </cell>
          <cell r="B5175" t="str">
            <v>Sample Rejected</v>
          </cell>
          <cell r="C5175">
            <v>42743.735176273149</v>
          </cell>
        </row>
        <row r="5176">
          <cell r="A5176">
            <v>3035449360</v>
          </cell>
          <cell r="B5176" t="str">
            <v>Sample Rejected</v>
          </cell>
          <cell r="C5176">
            <v>42743.735176273149</v>
          </cell>
        </row>
        <row r="5177">
          <cell r="A5177">
            <v>3035557075</v>
          </cell>
          <cell r="B5177" t="str">
            <v>Sample Rejected</v>
          </cell>
          <cell r="C5177">
            <v>42743.735176273149</v>
          </cell>
        </row>
        <row r="5178">
          <cell r="A5178">
            <v>3035542297</v>
          </cell>
          <cell r="B5178" t="str">
            <v>Sample Rejected</v>
          </cell>
          <cell r="C5178">
            <v>42743.735176273149</v>
          </cell>
        </row>
        <row r="5179">
          <cell r="A5179">
            <v>3035542110</v>
          </cell>
          <cell r="B5179" t="str">
            <v>Sample Rejected</v>
          </cell>
          <cell r="C5179">
            <v>42743.735176273149</v>
          </cell>
        </row>
        <row r="5180">
          <cell r="A5180">
            <v>3035548260</v>
          </cell>
          <cell r="B5180" t="str">
            <v>Sample Rejected</v>
          </cell>
          <cell r="C5180">
            <v>42743.735176273149</v>
          </cell>
        </row>
        <row r="5181">
          <cell r="A5181">
            <v>3035554254</v>
          </cell>
          <cell r="B5181" t="str">
            <v>Sample Rejected</v>
          </cell>
          <cell r="C5181">
            <v>42743.735176273149</v>
          </cell>
        </row>
        <row r="5182">
          <cell r="A5182">
            <v>3035548604</v>
          </cell>
          <cell r="B5182" t="str">
            <v>Sample Rejected</v>
          </cell>
          <cell r="C5182">
            <v>42743.735176273149</v>
          </cell>
        </row>
        <row r="5183">
          <cell r="A5183">
            <v>3035545181</v>
          </cell>
          <cell r="B5183" t="str">
            <v>Sample Rejected</v>
          </cell>
          <cell r="C5183">
            <v>42743.735176273149</v>
          </cell>
        </row>
        <row r="5184">
          <cell r="A5184">
            <v>3035553146</v>
          </cell>
          <cell r="B5184" t="str">
            <v>Sample Rejected</v>
          </cell>
          <cell r="C5184">
            <v>42743.735176273149</v>
          </cell>
        </row>
        <row r="5185">
          <cell r="A5185">
            <v>3035508612</v>
          </cell>
          <cell r="B5185" t="str">
            <v>Sample Rejected</v>
          </cell>
          <cell r="C5185">
            <v>42743.735176273149</v>
          </cell>
        </row>
        <row r="5186">
          <cell r="A5186">
            <v>3035557438</v>
          </cell>
          <cell r="B5186" t="str">
            <v>Sample Rejected</v>
          </cell>
          <cell r="C5186">
            <v>42743.735176273149</v>
          </cell>
        </row>
        <row r="5187">
          <cell r="A5187">
            <v>3035527635</v>
          </cell>
          <cell r="B5187" t="str">
            <v>Sample Rejected</v>
          </cell>
          <cell r="C5187">
            <v>42743.735176273149</v>
          </cell>
        </row>
        <row r="5188">
          <cell r="A5188">
            <v>3035541847</v>
          </cell>
          <cell r="B5188" t="str">
            <v>Sample Rejected</v>
          </cell>
          <cell r="C5188">
            <v>42743.735176273149</v>
          </cell>
        </row>
        <row r="5189">
          <cell r="A5189">
            <v>3035542255</v>
          </cell>
          <cell r="B5189" t="str">
            <v>Sample Rejected</v>
          </cell>
          <cell r="C5189">
            <v>42743.735176273149</v>
          </cell>
        </row>
        <row r="5190">
          <cell r="A5190">
            <v>3035487761</v>
          </cell>
          <cell r="B5190" t="str">
            <v>Sample Rejected</v>
          </cell>
          <cell r="C5190">
            <v>42743.735176273149</v>
          </cell>
        </row>
        <row r="5191">
          <cell r="A5191">
            <v>3035547535</v>
          </cell>
          <cell r="B5191" t="str">
            <v>Sample Rejected</v>
          </cell>
          <cell r="C5191">
            <v>42743.735176273149</v>
          </cell>
        </row>
        <row r="5192">
          <cell r="A5192">
            <v>3035541936</v>
          </cell>
          <cell r="B5192" t="str">
            <v>Sample Rejected</v>
          </cell>
          <cell r="C5192">
            <v>42743.735176273149</v>
          </cell>
        </row>
        <row r="5193">
          <cell r="A5193">
            <v>3035549768</v>
          </cell>
          <cell r="B5193" t="str">
            <v>Sample Rejected</v>
          </cell>
          <cell r="C5193">
            <v>42743.735176273149</v>
          </cell>
        </row>
        <row r="5194">
          <cell r="A5194">
            <v>3035522592</v>
          </cell>
          <cell r="B5194" t="str">
            <v>Sample Rejected</v>
          </cell>
          <cell r="C5194">
            <v>42743.735176273149</v>
          </cell>
        </row>
        <row r="5195">
          <cell r="A5195">
            <v>3035544795</v>
          </cell>
          <cell r="B5195" t="str">
            <v>Sample Rejected</v>
          </cell>
          <cell r="C5195">
            <v>42743.735176273149</v>
          </cell>
        </row>
        <row r="5196">
          <cell r="A5196">
            <v>3035548523</v>
          </cell>
          <cell r="B5196" t="str">
            <v>Sample Rejected</v>
          </cell>
          <cell r="C5196">
            <v>42743.735176273149</v>
          </cell>
        </row>
        <row r="5197">
          <cell r="A5197">
            <v>3035553100</v>
          </cell>
          <cell r="B5197" t="str">
            <v>Sample Rejected</v>
          </cell>
          <cell r="C5197">
            <v>42743.735176273149</v>
          </cell>
        </row>
        <row r="5198">
          <cell r="A5198">
            <v>3035478587</v>
          </cell>
          <cell r="B5198" t="str">
            <v>Sample Rejected</v>
          </cell>
          <cell r="C5198">
            <v>42743.735176273149</v>
          </cell>
        </row>
        <row r="5199">
          <cell r="A5199">
            <v>3035541932</v>
          </cell>
          <cell r="B5199" t="str">
            <v>Sample Rejected</v>
          </cell>
          <cell r="C5199">
            <v>42743.735176273149</v>
          </cell>
        </row>
        <row r="5200">
          <cell r="A5200">
            <v>3035541896</v>
          </cell>
          <cell r="B5200" t="str">
            <v>Sample Rejected</v>
          </cell>
          <cell r="C5200">
            <v>42743.735176273149</v>
          </cell>
        </row>
        <row r="5201">
          <cell r="A5201">
            <v>3035542799</v>
          </cell>
          <cell r="B5201" t="str">
            <v>Sample Rejected</v>
          </cell>
          <cell r="C5201">
            <v>42743.735176273149</v>
          </cell>
        </row>
        <row r="5202">
          <cell r="A5202">
            <v>3035542967</v>
          </cell>
          <cell r="B5202" t="str">
            <v>Sample Rejected</v>
          </cell>
          <cell r="C5202">
            <v>42743.735176273149</v>
          </cell>
        </row>
        <row r="5203">
          <cell r="A5203">
            <v>3035541528</v>
          </cell>
          <cell r="B5203" t="str">
            <v>Sample Rejected</v>
          </cell>
          <cell r="C5203">
            <v>42743.735176273149</v>
          </cell>
        </row>
        <row r="5204">
          <cell r="A5204">
            <v>3035543760</v>
          </cell>
          <cell r="B5204" t="str">
            <v>Sample Rejected</v>
          </cell>
          <cell r="C5204">
            <v>42743.735176273149</v>
          </cell>
        </row>
        <row r="5205">
          <cell r="A5205">
            <v>3035541880</v>
          </cell>
          <cell r="B5205" t="str">
            <v>Sample Rejected</v>
          </cell>
          <cell r="C5205">
            <v>42743.735176273149</v>
          </cell>
        </row>
        <row r="5206">
          <cell r="A5206">
            <v>3035542628</v>
          </cell>
          <cell r="B5206" t="str">
            <v>Sample Rejected</v>
          </cell>
          <cell r="C5206">
            <v>42743.735176273149</v>
          </cell>
        </row>
        <row r="5207">
          <cell r="A5207">
            <v>3035509951</v>
          </cell>
          <cell r="B5207" t="str">
            <v>Sample Rejected</v>
          </cell>
          <cell r="C5207">
            <v>42743.735176273149</v>
          </cell>
        </row>
        <row r="5208">
          <cell r="A5208">
            <v>3035557741</v>
          </cell>
          <cell r="B5208" t="str">
            <v>Sample Rejected</v>
          </cell>
          <cell r="C5208">
            <v>42743.735176273149</v>
          </cell>
        </row>
        <row r="5209">
          <cell r="A5209">
            <v>3035554772</v>
          </cell>
          <cell r="B5209" t="str">
            <v>Sample Rejected</v>
          </cell>
          <cell r="C5209">
            <v>42743.735176273149</v>
          </cell>
        </row>
        <row r="5210">
          <cell r="A5210">
            <v>3035546160</v>
          </cell>
          <cell r="B5210" t="str">
            <v>Sample Rejected</v>
          </cell>
          <cell r="C5210">
            <v>42743.735176273149</v>
          </cell>
        </row>
        <row r="5211">
          <cell r="A5211">
            <v>3035541426</v>
          </cell>
          <cell r="B5211" t="str">
            <v>Sample Rejected</v>
          </cell>
          <cell r="C5211">
            <v>42743.735176273149</v>
          </cell>
        </row>
        <row r="5212">
          <cell r="A5212">
            <v>3035470385</v>
          </cell>
          <cell r="B5212" t="str">
            <v>Sample Rejected</v>
          </cell>
          <cell r="C5212">
            <v>42743.735176273149</v>
          </cell>
        </row>
        <row r="5213">
          <cell r="A5213">
            <v>3035541468</v>
          </cell>
          <cell r="B5213" t="str">
            <v>Sample Rejected</v>
          </cell>
          <cell r="C5213">
            <v>42743.735176273149</v>
          </cell>
        </row>
        <row r="5214">
          <cell r="A5214">
            <v>3035551727</v>
          </cell>
          <cell r="B5214" t="str">
            <v>Sample Rejected</v>
          </cell>
          <cell r="C5214">
            <v>42743.735176273149</v>
          </cell>
        </row>
        <row r="5215">
          <cell r="A5215">
            <v>3035545460</v>
          </cell>
          <cell r="B5215" t="str">
            <v>Sample Rejected</v>
          </cell>
          <cell r="C5215">
            <v>42743.735176273149</v>
          </cell>
        </row>
        <row r="5216">
          <cell r="A5216">
            <v>3035470278</v>
          </cell>
          <cell r="B5216" t="str">
            <v>Sample Rejected</v>
          </cell>
          <cell r="C5216">
            <v>42743.735176273149</v>
          </cell>
        </row>
        <row r="5217">
          <cell r="A5217">
            <v>3035552147</v>
          </cell>
          <cell r="B5217" t="str">
            <v>Sample Rejected</v>
          </cell>
          <cell r="C5217">
            <v>42743.735176273149</v>
          </cell>
        </row>
        <row r="5218">
          <cell r="A5218">
            <v>3035554781</v>
          </cell>
          <cell r="B5218" t="str">
            <v>Sample Rejected</v>
          </cell>
          <cell r="C5218">
            <v>42743.735176273149</v>
          </cell>
        </row>
        <row r="5219">
          <cell r="A5219">
            <v>3035522952</v>
          </cell>
          <cell r="B5219" t="str">
            <v>Sample Rejected</v>
          </cell>
          <cell r="C5219">
            <v>42743.735176273149</v>
          </cell>
        </row>
        <row r="5220">
          <cell r="A5220">
            <v>3035547856</v>
          </cell>
          <cell r="B5220" t="str">
            <v>Sample Rejected</v>
          </cell>
          <cell r="C5220">
            <v>42743.735176273149</v>
          </cell>
        </row>
        <row r="5221">
          <cell r="A5221">
            <v>3035544863</v>
          </cell>
          <cell r="B5221" t="str">
            <v>Sample Rejected</v>
          </cell>
          <cell r="C5221">
            <v>42743.735176273149</v>
          </cell>
        </row>
        <row r="5222">
          <cell r="A5222">
            <v>3035511622</v>
          </cell>
          <cell r="B5222" t="str">
            <v>Sample Rejected</v>
          </cell>
          <cell r="C5222">
            <v>42743.735176273149</v>
          </cell>
        </row>
        <row r="5223">
          <cell r="A5223">
            <v>3035542272</v>
          </cell>
          <cell r="B5223" t="str">
            <v>Sample Rejected</v>
          </cell>
          <cell r="C5223">
            <v>42743.735176273149</v>
          </cell>
        </row>
        <row r="5224">
          <cell r="A5224">
            <v>3035545191</v>
          </cell>
          <cell r="B5224" t="str">
            <v>Sample Rejected</v>
          </cell>
          <cell r="C5224">
            <v>42743.735176273149</v>
          </cell>
        </row>
        <row r="5225">
          <cell r="A5225">
            <v>3035541273</v>
          </cell>
          <cell r="B5225" t="str">
            <v>Sample Rejected</v>
          </cell>
          <cell r="C5225">
            <v>42743.735176273149</v>
          </cell>
        </row>
        <row r="5226">
          <cell r="A5226">
            <v>3035469501</v>
          </cell>
          <cell r="B5226" t="str">
            <v>Sample Rejected</v>
          </cell>
          <cell r="C5226">
            <v>42742.73709116898</v>
          </cell>
        </row>
        <row r="5227">
          <cell r="A5227">
            <v>3035521481</v>
          </cell>
          <cell r="B5227" t="str">
            <v>Sample Rejected</v>
          </cell>
          <cell r="C5227">
            <v>42742.73709116898</v>
          </cell>
        </row>
        <row r="5228">
          <cell r="A5228">
            <v>3035511901</v>
          </cell>
          <cell r="B5228" t="str">
            <v>Sample Rejected</v>
          </cell>
          <cell r="C5228">
            <v>42742.73709116898</v>
          </cell>
        </row>
        <row r="5229">
          <cell r="A5229">
            <v>3035488887</v>
          </cell>
          <cell r="B5229" t="str">
            <v>Sample Rejected</v>
          </cell>
          <cell r="C5229">
            <v>42742.73709116898</v>
          </cell>
        </row>
        <row r="5230">
          <cell r="A5230">
            <v>3035507123</v>
          </cell>
          <cell r="B5230" t="str">
            <v>Sample Rejected</v>
          </cell>
          <cell r="C5230">
            <v>42742.73709116898</v>
          </cell>
        </row>
        <row r="5231">
          <cell r="A5231">
            <v>3035480756</v>
          </cell>
          <cell r="B5231" t="str">
            <v>Sample Rejected</v>
          </cell>
          <cell r="C5231">
            <v>42742.73709116898</v>
          </cell>
        </row>
        <row r="5232">
          <cell r="A5232">
            <v>3035480206</v>
          </cell>
          <cell r="B5232" t="str">
            <v>Sample Rejected</v>
          </cell>
          <cell r="C5232">
            <v>42742.73709116898</v>
          </cell>
        </row>
        <row r="5233">
          <cell r="A5233">
            <v>3035527309</v>
          </cell>
          <cell r="B5233" t="str">
            <v>Sample Rejected</v>
          </cell>
          <cell r="C5233">
            <v>42742.73709116898</v>
          </cell>
        </row>
        <row r="5234">
          <cell r="A5234">
            <v>3035512100</v>
          </cell>
          <cell r="B5234" t="str">
            <v>Sample Rejected</v>
          </cell>
          <cell r="C5234">
            <v>42742.73709116898</v>
          </cell>
        </row>
        <row r="5235">
          <cell r="A5235">
            <v>3035525804</v>
          </cell>
          <cell r="B5235" t="str">
            <v>Sample Rejected</v>
          </cell>
          <cell r="C5235">
            <v>42742.73709116898</v>
          </cell>
        </row>
        <row r="5236">
          <cell r="A5236">
            <v>3035524738</v>
          </cell>
          <cell r="B5236" t="str">
            <v>Sample Rejected</v>
          </cell>
          <cell r="C5236">
            <v>42742.73709116898</v>
          </cell>
        </row>
        <row r="5237">
          <cell r="A5237">
            <v>3035504255</v>
          </cell>
          <cell r="B5237" t="str">
            <v>Sample Rejected</v>
          </cell>
          <cell r="C5237">
            <v>42742.73709116898</v>
          </cell>
        </row>
        <row r="5238">
          <cell r="A5238">
            <v>3035511611</v>
          </cell>
          <cell r="B5238" t="str">
            <v>Sample Rejected</v>
          </cell>
          <cell r="C5238">
            <v>42742.73709116898</v>
          </cell>
        </row>
        <row r="5239">
          <cell r="A5239">
            <v>3035511218</v>
          </cell>
          <cell r="B5239" t="str">
            <v>Sample Rejected</v>
          </cell>
          <cell r="C5239">
            <v>42742.73709116898</v>
          </cell>
        </row>
        <row r="5240">
          <cell r="A5240">
            <v>3035509114</v>
          </cell>
          <cell r="B5240" t="str">
            <v>Sample Rejected</v>
          </cell>
          <cell r="C5240">
            <v>42742.73709116898</v>
          </cell>
        </row>
        <row r="5241">
          <cell r="A5241">
            <v>3035519176</v>
          </cell>
          <cell r="B5241" t="str">
            <v>Sample Rejected</v>
          </cell>
          <cell r="C5241">
            <v>42742.73709116898</v>
          </cell>
        </row>
        <row r="5242">
          <cell r="A5242">
            <v>3035519559</v>
          </cell>
          <cell r="B5242" t="str">
            <v>Sample Rejected</v>
          </cell>
          <cell r="C5242">
            <v>42742.73709116898</v>
          </cell>
        </row>
        <row r="5243">
          <cell r="A5243">
            <v>3035507840</v>
          </cell>
          <cell r="B5243" t="str">
            <v>Sample Rejected</v>
          </cell>
          <cell r="C5243">
            <v>42742.73709116898</v>
          </cell>
        </row>
        <row r="5244">
          <cell r="A5244">
            <v>3035509943</v>
          </cell>
          <cell r="B5244" t="str">
            <v>Sample Rejected</v>
          </cell>
          <cell r="C5244">
            <v>42742.73709116898</v>
          </cell>
        </row>
        <row r="5245">
          <cell r="A5245">
            <v>3035484692</v>
          </cell>
          <cell r="B5245" t="str">
            <v>Sample Rejected</v>
          </cell>
          <cell r="C5245">
            <v>42742.73709116898</v>
          </cell>
        </row>
        <row r="5246">
          <cell r="A5246">
            <v>3035509533</v>
          </cell>
          <cell r="B5246" t="str">
            <v>Sample Rejected</v>
          </cell>
          <cell r="C5246">
            <v>42742.73709116898</v>
          </cell>
        </row>
        <row r="5247">
          <cell r="A5247">
            <v>3035510708</v>
          </cell>
          <cell r="B5247" t="str">
            <v>Sample Rejected</v>
          </cell>
          <cell r="C5247">
            <v>42742.73709116898</v>
          </cell>
        </row>
        <row r="5248">
          <cell r="A5248">
            <v>3035512804</v>
          </cell>
          <cell r="B5248" t="str">
            <v>Sample Rejected</v>
          </cell>
          <cell r="C5248">
            <v>42742.73709116898</v>
          </cell>
        </row>
        <row r="5249">
          <cell r="A5249">
            <v>3035443289</v>
          </cell>
          <cell r="B5249" t="str">
            <v>Sample Rejected</v>
          </cell>
          <cell r="C5249">
            <v>42742.73709116898</v>
          </cell>
        </row>
        <row r="5250">
          <cell r="A5250">
            <v>3035435800</v>
          </cell>
          <cell r="B5250" t="str">
            <v>Sample Rejected</v>
          </cell>
          <cell r="C5250">
            <v>42742.73709116898</v>
          </cell>
        </row>
        <row r="5251">
          <cell r="A5251">
            <v>3035507410</v>
          </cell>
          <cell r="B5251" t="str">
            <v>Sample Rejected</v>
          </cell>
          <cell r="C5251">
            <v>42742.73709116898</v>
          </cell>
        </row>
        <row r="5252">
          <cell r="A5252">
            <v>3035506906</v>
          </cell>
          <cell r="B5252" t="str">
            <v>Sample Rejected</v>
          </cell>
          <cell r="C5252">
            <v>42742.73709116898</v>
          </cell>
        </row>
        <row r="5253">
          <cell r="A5253">
            <v>3035519389</v>
          </cell>
          <cell r="B5253" t="str">
            <v>Sample Rejected</v>
          </cell>
          <cell r="C5253">
            <v>42742.73709116898</v>
          </cell>
        </row>
        <row r="5254">
          <cell r="A5254">
            <v>3035483837</v>
          </cell>
          <cell r="B5254" t="str">
            <v>Sample Rejected</v>
          </cell>
          <cell r="C5254">
            <v>42742.73709116898</v>
          </cell>
        </row>
        <row r="5255">
          <cell r="A5255">
            <v>3035512060</v>
          </cell>
          <cell r="B5255" t="str">
            <v>Sample Rejected</v>
          </cell>
          <cell r="C5255">
            <v>42742.73709116898</v>
          </cell>
        </row>
        <row r="5256">
          <cell r="A5256">
            <v>3035524442</v>
          </cell>
          <cell r="B5256" t="str">
            <v>Sample Rejected</v>
          </cell>
          <cell r="C5256">
            <v>42742.73709116898</v>
          </cell>
        </row>
        <row r="5257">
          <cell r="A5257">
            <v>3035517314</v>
          </cell>
          <cell r="B5257" t="str">
            <v>Sample Rejected</v>
          </cell>
          <cell r="C5257">
            <v>42742.73709116898</v>
          </cell>
        </row>
        <row r="5258">
          <cell r="A5258">
            <v>3035515280</v>
          </cell>
          <cell r="B5258" t="str">
            <v>Sample Rejected</v>
          </cell>
          <cell r="C5258">
            <v>42742.73709116898</v>
          </cell>
        </row>
        <row r="5259">
          <cell r="A5259">
            <v>3035511139</v>
          </cell>
          <cell r="B5259" t="str">
            <v>Sample Rejected</v>
          </cell>
          <cell r="C5259">
            <v>42742.73709116898</v>
          </cell>
        </row>
        <row r="5260">
          <cell r="A5260">
            <v>3035473682</v>
          </cell>
          <cell r="B5260" t="str">
            <v>Sample Rejected</v>
          </cell>
          <cell r="C5260">
            <v>42742.73709116898</v>
          </cell>
        </row>
        <row r="5261">
          <cell r="A5261">
            <v>3035508544</v>
          </cell>
          <cell r="B5261" t="str">
            <v>Sample Rejected</v>
          </cell>
          <cell r="C5261">
            <v>42742.73709116898</v>
          </cell>
        </row>
        <row r="5262">
          <cell r="A5262">
            <v>3035528710</v>
          </cell>
          <cell r="B5262" t="str">
            <v>Sample Rejected</v>
          </cell>
          <cell r="C5262">
            <v>42742.73709116898</v>
          </cell>
        </row>
        <row r="5263">
          <cell r="A5263">
            <v>3035507058</v>
          </cell>
          <cell r="B5263" t="str">
            <v>Sample Rejected</v>
          </cell>
          <cell r="C5263">
            <v>42742.73709116898</v>
          </cell>
        </row>
        <row r="5264">
          <cell r="A5264">
            <v>3035526429</v>
          </cell>
          <cell r="B5264" t="str">
            <v>Sample Rejected</v>
          </cell>
          <cell r="C5264">
            <v>42742.73709116898</v>
          </cell>
        </row>
        <row r="5265">
          <cell r="A5265">
            <v>3035509748</v>
          </cell>
          <cell r="B5265" t="str">
            <v>Sample Rejected</v>
          </cell>
          <cell r="C5265">
            <v>42742.73709116898</v>
          </cell>
        </row>
        <row r="5266">
          <cell r="A5266">
            <v>3035510934</v>
          </cell>
          <cell r="B5266" t="str">
            <v>Sample Rejected</v>
          </cell>
          <cell r="C5266">
            <v>42742.73709116898</v>
          </cell>
        </row>
        <row r="5267">
          <cell r="A5267">
            <v>3035508360</v>
          </cell>
          <cell r="B5267" t="str">
            <v>Sample Rejected</v>
          </cell>
          <cell r="C5267">
            <v>42742.73709116898</v>
          </cell>
        </row>
        <row r="5268">
          <cell r="A5268">
            <v>3035454972</v>
          </cell>
          <cell r="B5268" t="str">
            <v>Sample Rejected</v>
          </cell>
          <cell r="C5268">
            <v>42742.73709116898</v>
          </cell>
        </row>
        <row r="5269">
          <cell r="A5269">
            <v>3035526767</v>
          </cell>
          <cell r="B5269" t="str">
            <v>Sample Rejected</v>
          </cell>
          <cell r="C5269">
            <v>42742.73709116898</v>
          </cell>
        </row>
        <row r="5270">
          <cell r="A5270">
            <v>3035508514</v>
          </cell>
          <cell r="B5270" t="str">
            <v>Sample Rejected</v>
          </cell>
          <cell r="C5270">
            <v>42742.73709116898</v>
          </cell>
        </row>
        <row r="5271">
          <cell r="A5271">
            <v>3035516201</v>
          </cell>
          <cell r="B5271" t="str">
            <v>Sample Rejected</v>
          </cell>
          <cell r="C5271">
            <v>42742.73709116898</v>
          </cell>
        </row>
        <row r="5272">
          <cell r="A5272">
            <v>3035516811</v>
          </cell>
          <cell r="B5272" t="str">
            <v>Sample Rejected</v>
          </cell>
          <cell r="C5272">
            <v>42742.73709116898</v>
          </cell>
        </row>
        <row r="5273">
          <cell r="A5273">
            <v>3035305505</v>
          </cell>
          <cell r="B5273" t="str">
            <v>Sample Rejected</v>
          </cell>
          <cell r="C5273">
            <v>42742.73709116898</v>
          </cell>
        </row>
        <row r="5274">
          <cell r="A5274">
            <v>3035509981</v>
          </cell>
          <cell r="B5274" t="str">
            <v>Sample Rejected</v>
          </cell>
          <cell r="C5274">
            <v>42742.73709116898</v>
          </cell>
        </row>
        <row r="5275">
          <cell r="A5275">
            <v>3035522517</v>
          </cell>
          <cell r="B5275" t="str">
            <v>Sample Rejected</v>
          </cell>
          <cell r="C5275">
            <v>42742.73709116898</v>
          </cell>
        </row>
        <row r="5276">
          <cell r="A5276">
            <v>3035520617</v>
          </cell>
          <cell r="B5276" t="str">
            <v>Sample Rejected</v>
          </cell>
          <cell r="C5276">
            <v>42742.73709116898</v>
          </cell>
        </row>
        <row r="5277">
          <cell r="A5277">
            <v>3035508828</v>
          </cell>
          <cell r="B5277" t="str">
            <v>Sample Rejected</v>
          </cell>
          <cell r="C5277">
            <v>42742.73709116898</v>
          </cell>
        </row>
        <row r="5278">
          <cell r="A5278">
            <v>3035482614</v>
          </cell>
          <cell r="B5278" t="str">
            <v>Sample Rejected</v>
          </cell>
          <cell r="C5278">
            <v>42743.735176273149</v>
          </cell>
        </row>
        <row r="5279">
          <cell r="A5279">
            <v>3035547451</v>
          </cell>
          <cell r="B5279" t="str">
            <v>Sample Rejected</v>
          </cell>
          <cell r="C5279">
            <v>42743.735176273149</v>
          </cell>
        </row>
        <row r="5280">
          <cell r="A5280">
            <v>3035555424</v>
          </cell>
          <cell r="B5280" t="str">
            <v>Sample Rejected</v>
          </cell>
          <cell r="C5280">
            <v>42743.735176273149</v>
          </cell>
        </row>
        <row r="5281">
          <cell r="A5281">
            <v>3035525848</v>
          </cell>
          <cell r="B5281" t="str">
            <v>Sample Rejected</v>
          </cell>
          <cell r="C5281">
            <v>42743.735176273149</v>
          </cell>
        </row>
        <row r="5282">
          <cell r="A5282">
            <v>3035550207</v>
          </cell>
          <cell r="B5282" t="str">
            <v>Sample Rejected</v>
          </cell>
          <cell r="C5282">
            <v>42743.735176273149</v>
          </cell>
        </row>
        <row r="5283">
          <cell r="A5283">
            <v>3035554646</v>
          </cell>
          <cell r="B5283" t="str">
            <v>Sample Rejected</v>
          </cell>
          <cell r="C5283">
            <v>42743.735176273149</v>
          </cell>
        </row>
        <row r="5284">
          <cell r="A5284">
            <v>3035522814</v>
          </cell>
          <cell r="B5284" t="str">
            <v>Sample Rejected</v>
          </cell>
          <cell r="C5284">
            <v>42743.735176273149</v>
          </cell>
        </row>
        <row r="5285">
          <cell r="A5285">
            <v>3035545168</v>
          </cell>
          <cell r="B5285" t="str">
            <v>Sample Rejected</v>
          </cell>
          <cell r="C5285">
            <v>42743.735176273149</v>
          </cell>
        </row>
        <row r="5286">
          <cell r="A5286">
            <v>3035551309</v>
          </cell>
          <cell r="B5286" t="str">
            <v>Sample Rejected</v>
          </cell>
          <cell r="C5286">
            <v>42743.735176273149</v>
          </cell>
        </row>
        <row r="5287">
          <cell r="A5287">
            <v>3035519503</v>
          </cell>
          <cell r="B5287" t="str">
            <v>Sample Rejected</v>
          </cell>
          <cell r="C5287">
            <v>42743.735176273149</v>
          </cell>
        </row>
        <row r="5288">
          <cell r="A5288">
            <v>3035518383</v>
          </cell>
          <cell r="B5288" t="str">
            <v>Sample Rejected</v>
          </cell>
          <cell r="C5288">
            <v>42742.73709116898</v>
          </cell>
        </row>
        <row r="5289">
          <cell r="A5289">
            <v>3035516865</v>
          </cell>
          <cell r="B5289" t="str">
            <v>Sample Rejected</v>
          </cell>
          <cell r="C5289">
            <v>42742.73709116898</v>
          </cell>
        </row>
        <row r="5290">
          <cell r="A5290">
            <v>3035508248</v>
          </cell>
          <cell r="B5290" t="str">
            <v>Sample Rejected</v>
          </cell>
          <cell r="C5290">
            <v>42742.73709116898</v>
          </cell>
        </row>
        <row r="5291">
          <cell r="A5291">
            <v>3035505140</v>
          </cell>
          <cell r="B5291" t="str">
            <v>Sample Rejected</v>
          </cell>
          <cell r="C5291">
            <v>42742.73709116898</v>
          </cell>
        </row>
        <row r="5292">
          <cell r="A5292">
            <v>3035518934</v>
          </cell>
          <cell r="B5292" t="str">
            <v>Sample Rejected</v>
          </cell>
          <cell r="C5292">
            <v>42742.73709116898</v>
          </cell>
        </row>
        <row r="5293">
          <cell r="A5293">
            <v>3035507353</v>
          </cell>
          <cell r="B5293" t="str">
            <v>Sample Rejected</v>
          </cell>
          <cell r="C5293">
            <v>42742.737116122684</v>
          </cell>
        </row>
        <row r="5294">
          <cell r="A5294">
            <v>3035548469</v>
          </cell>
          <cell r="B5294" t="str">
            <v>Sample Rejected</v>
          </cell>
          <cell r="C5294">
            <v>42743.735176273149</v>
          </cell>
        </row>
        <row r="5295">
          <cell r="A5295">
            <v>3035542216</v>
          </cell>
          <cell r="B5295" t="str">
            <v>Sample Rejected</v>
          </cell>
          <cell r="C5295">
            <v>42743.735176273149</v>
          </cell>
        </row>
        <row r="5296">
          <cell r="A5296">
            <v>3035550363</v>
          </cell>
          <cell r="B5296" t="str">
            <v>Sample Rejected</v>
          </cell>
          <cell r="C5296">
            <v>42743.735176273149</v>
          </cell>
        </row>
        <row r="5297">
          <cell r="A5297">
            <v>3035542370</v>
          </cell>
          <cell r="B5297" t="str">
            <v>Sample Rejected</v>
          </cell>
          <cell r="C5297">
            <v>42743.735176273149</v>
          </cell>
        </row>
        <row r="5298">
          <cell r="A5298">
            <v>3035544639</v>
          </cell>
          <cell r="B5298" t="str">
            <v>Sample Rejected</v>
          </cell>
          <cell r="C5298">
            <v>42743.735176273149</v>
          </cell>
        </row>
        <row r="5299">
          <cell r="A5299">
            <v>3035507965</v>
          </cell>
          <cell r="B5299" t="str">
            <v>Sample Rejected</v>
          </cell>
          <cell r="C5299">
            <v>42743.735176273149</v>
          </cell>
        </row>
        <row r="5300">
          <cell r="A5300">
            <v>3035521712</v>
          </cell>
          <cell r="B5300" t="str">
            <v>Sample Rejected</v>
          </cell>
          <cell r="C5300">
            <v>42743.735176273149</v>
          </cell>
        </row>
        <row r="5301">
          <cell r="A5301">
            <v>3035541112</v>
          </cell>
          <cell r="B5301" t="str">
            <v>Sample Rejected</v>
          </cell>
          <cell r="C5301">
            <v>42743.735176273149</v>
          </cell>
        </row>
        <row r="5302">
          <cell r="A5302">
            <v>3035553718</v>
          </cell>
          <cell r="B5302" t="str">
            <v>Sample Rejected</v>
          </cell>
          <cell r="C5302">
            <v>42743.735176273149</v>
          </cell>
        </row>
        <row r="5303">
          <cell r="A5303">
            <v>3035559405</v>
          </cell>
          <cell r="B5303" t="str">
            <v>Sample Rejected</v>
          </cell>
          <cell r="C5303">
            <v>42743.735176273149</v>
          </cell>
        </row>
        <row r="5304">
          <cell r="A5304">
            <v>3035541211</v>
          </cell>
          <cell r="B5304" t="str">
            <v>Sample Rejected</v>
          </cell>
          <cell r="C5304">
            <v>42743.735176273149</v>
          </cell>
        </row>
        <row r="5305">
          <cell r="A5305">
            <v>3035556058</v>
          </cell>
          <cell r="B5305" t="str">
            <v>Sample Rejected</v>
          </cell>
          <cell r="C5305">
            <v>42743.735176273149</v>
          </cell>
        </row>
        <row r="5306">
          <cell r="A5306">
            <v>3035541978</v>
          </cell>
          <cell r="B5306" t="str">
            <v>Sample Rejected</v>
          </cell>
          <cell r="C5306">
            <v>42743.735176273149</v>
          </cell>
        </row>
        <row r="5307">
          <cell r="A5307">
            <v>3035556603</v>
          </cell>
          <cell r="B5307" t="str">
            <v>Sample Rejected</v>
          </cell>
          <cell r="C5307">
            <v>42743.735176273149</v>
          </cell>
        </row>
        <row r="5308">
          <cell r="A5308">
            <v>3035560622</v>
          </cell>
          <cell r="B5308" t="str">
            <v>Sample Rejected</v>
          </cell>
          <cell r="C5308">
            <v>42743.735176273149</v>
          </cell>
        </row>
        <row r="5309">
          <cell r="A5309">
            <v>3035542278</v>
          </cell>
          <cell r="B5309" t="str">
            <v>Sample Rejected</v>
          </cell>
          <cell r="C5309">
            <v>42743.735176273149</v>
          </cell>
        </row>
        <row r="5310">
          <cell r="A5310">
            <v>3035541320</v>
          </cell>
          <cell r="B5310" t="str">
            <v>Sample Rejected</v>
          </cell>
          <cell r="C5310">
            <v>42743.735176273149</v>
          </cell>
        </row>
        <row r="5311">
          <cell r="A5311">
            <v>3035516332</v>
          </cell>
          <cell r="B5311" t="str">
            <v>Sample Rejected</v>
          </cell>
          <cell r="C5311">
            <v>42743.735176273149</v>
          </cell>
        </row>
        <row r="5312">
          <cell r="A5312">
            <v>3035548051</v>
          </cell>
          <cell r="B5312" t="str">
            <v>Sample Rejected</v>
          </cell>
          <cell r="C5312">
            <v>42743.735176273149</v>
          </cell>
        </row>
        <row r="5313">
          <cell r="A5313">
            <v>3035543742</v>
          </cell>
          <cell r="B5313" t="str">
            <v>Sample Rejected</v>
          </cell>
          <cell r="C5313">
            <v>42743.735176273149</v>
          </cell>
        </row>
        <row r="5314">
          <cell r="A5314">
            <v>3035543806</v>
          </cell>
          <cell r="B5314" t="str">
            <v>Sample Rejected</v>
          </cell>
          <cell r="C5314">
            <v>42743.735176273149</v>
          </cell>
        </row>
        <row r="5315">
          <cell r="A5315">
            <v>3035550719</v>
          </cell>
          <cell r="B5315" t="str">
            <v>Sample Rejected</v>
          </cell>
          <cell r="C5315">
            <v>42743.735176273149</v>
          </cell>
        </row>
        <row r="5316">
          <cell r="A5316">
            <v>3035549807</v>
          </cell>
          <cell r="B5316" t="str">
            <v>Sample Rejected</v>
          </cell>
          <cell r="C5316">
            <v>42743.735176273149</v>
          </cell>
        </row>
        <row r="5317">
          <cell r="A5317">
            <v>3035551988</v>
          </cell>
          <cell r="B5317" t="str">
            <v>Sample Rejected</v>
          </cell>
          <cell r="C5317">
            <v>42743.735176273149</v>
          </cell>
        </row>
        <row r="5318">
          <cell r="A5318">
            <v>3035475076</v>
          </cell>
          <cell r="B5318" t="str">
            <v>Sample Rejected</v>
          </cell>
          <cell r="C5318">
            <v>42743.735176273149</v>
          </cell>
        </row>
        <row r="5319">
          <cell r="A5319">
            <v>3035523835</v>
          </cell>
          <cell r="B5319" t="str">
            <v>Sample Rejected</v>
          </cell>
          <cell r="C5319">
            <v>42743.735176273149</v>
          </cell>
        </row>
        <row r="5320">
          <cell r="A5320">
            <v>3035542196</v>
          </cell>
          <cell r="B5320" t="str">
            <v>Sample Rejected</v>
          </cell>
          <cell r="C5320">
            <v>42743.735176273149</v>
          </cell>
        </row>
        <row r="5321">
          <cell r="A5321">
            <v>3035529488</v>
          </cell>
          <cell r="B5321" t="str">
            <v>Sample Rejected</v>
          </cell>
          <cell r="C5321">
            <v>42743.735176273149</v>
          </cell>
        </row>
        <row r="5322">
          <cell r="A5322">
            <v>3035543683</v>
          </cell>
          <cell r="B5322" t="str">
            <v>Sample Rejected</v>
          </cell>
          <cell r="C5322">
            <v>42743.735176273149</v>
          </cell>
        </row>
        <row r="5323">
          <cell r="A5323">
            <v>3035724101</v>
          </cell>
          <cell r="B5323" t="str">
            <v>Sample Rejected</v>
          </cell>
          <cell r="C5323">
            <v>42749.737991238428</v>
          </cell>
        </row>
        <row r="5324">
          <cell r="A5324">
            <v>3035712847</v>
          </cell>
          <cell r="B5324" t="str">
            <v>Sample Rejected</v>
          </cell>
          <cell r="C5324">
            <v>42749.737991238428</v>
          </cell>
        </row>
        <row r="5325">
          <cell r="A5325">
            <v>3035725609</v>
          </cell>
          <cell r="B5325" t="str">
            <v>Sample Rejected</v>
          </cell>
          <cell r="C5325">
            <v>42749.737991238428</v>
          </cell>
        </row>
        <row r="5326">
          <cell r="A5326">
            <v>3035727412</v>
          </cell>
          <cell r="B5326" t="str">
            <v>Sample Rejected</v>
          </cell>
          <cell r="C5326">
            <v>42749.737991238428</v>
          </cell>
        </row>
        <row r="5327">
          <cell r="A5327">
            <v>3035727042</v>
          </cell>
          <cell r="B5327" t="str">
            <v>Sample Rejected</v>
          </cell>
          <cell r="C5327">
            <v>42749.737991238428</v>
          </cell>
        </row>
        <row r="5328">
          <cell r="A5328">
            <v>3035726197</v>
          </cell>
          <cell r="B5328" t="str">
            <v>Sample Rejected</v>
          </cell>
          <cell r="C5328">
            <v>42749.737991238428</v>
          </cell>
        </row>
        <row r="5329">
          <cell r="A5329">
            <v>3035717633</v>
          </cell>
          <cell r="B5329" t="str">
            <v>Sample Rejected</v>
          </cell>
          <cell r="C5329">
            <v>42749.737991238428</v>
          </cell>
        </row>
        <row r="5330">
          <cell r="A5330">
            <v>3035714223</v>
          </cell>
          <cell r="B5330" t="str">
            <v>Sample Rejected</v>
          </cell>
          <cell r="C5330">
            <v>42749.737991238428</v>
          </cell>
        </row>
        <row r="5331">
          <cell r="A5331">
            <v>3035715015</v>
          </cell>
          <cell r="B5331" t="str">
            <v>Sample Rejected</v>
          </cell>
          <cell r="C5331">
            <v>42749.737991238428</v>
          </cell>
        </row>
        <row r="5332">
          <cell r="A5332">
            <v>3035719672</v>
          </cell>
          <cell r="B5332" t="str">
            <v>Sample Rejected</v>
          </cell>
          <cell r="C5332">
            <v>42749.737991238428</v>
          </cell>
        </row>
        <row r="5333">
          <cell r="A5333">
            <v>3035603059</v>
          </cell>
          <cell r="B5333" t="str">
            <v>Sample Rejected</v>
          </cell>
          <cell r="C5333">
            <v>42749.737991238428</v>
          </cell>
        </row>
        <row r="5334">
          <cell r="A5334">
            <v>3035650083</v>
          </cell>
          <cell r="B5334" t="str">
            <v>Sample Rejected</v>
          </cell>
          <cell r="C5334">
            <v>42749.737991238428</v>
          </cell>
        </row>
        <row r="5335">
          <cell r="A5335">
            <v>3035723842</v>
          </cell>
          <cell r="B5335" t="str">
            <v>Sample Rejected</v>
          </cell>
          <cell r="C5335">
            <v>42749.737991238428</v>
          </cell>
        </row>
        <row r="5336">
          <cell r="A5336">
            <v>3035684596</v>
          </cell>
          <cell r="B5336" t="str">
            <v>Sample Rejected</v>
          </cell>
          <cell r="C5336">
            <v>42749.737991238428</v>
          </cell>
        </row>
        <row r="5337">
          <cell r="A5337">
            <v>3035711934</v>
          </cell>
          <cell r="B5337" t="str">
            <v>Sample Rejected</v>
          </cell>
          <cell r="C5337">
            <v>42749.737991238428</v>
          </cell>
        </row>
        <row r="5338">
          <cell r="A5338">
            <v>3035714777</v>
          </cell>
          <cell r="B5338" t="str">
            <v>Sample Rejected</v>
          </cell>
          <cell r="C5338">
            <v>42749.737991238428</v>
          </cell>
        </row>
        <row r="5339">
          <cell r="A5339">
            <v>3035711913</v>
          </cell>
          <cell r="B5339" t="str">
            <v>Sample Rejected</v>
          </cell>
          <cell r="C5339">
            <v>42749.737991238428</v>
          </cell>
        </row>
        <row r="5340">
          <cell r="A5340">
            <v>3035715198</v>
          </cell>
          <cell r="B5340" t="str">
            <v>Sample Rejected</v>
          </cell>
          <cell r="C5340">
            <v>42749.737991238428</v>
          </cell>
        </row>
        <row r="5341">
          <cell r="A5341">
            <v>3035724734</v>
          </cell>
          <cell r="B5341" t="str">
            <v>Sample Rejected</v>
          </cell>
          <cell r="C5341">
            <v>42749.737991238428</v>
          </cell>
        </row>
        <row r="5342">
          <cell r="A5342">
            <v>3035721934</v>
          </cell>
          <cell r="B5342" t="str">
            <v>Sample Rejected</v>
          </cell>
          <cell r="C5342">
            <v>42749.737991238428</v>
          </cell>
        </row>
        <row r="5343">
          <cell r="A5343">
            <v>3035727396</v>
          </cell>
          <cell r="B5343" t="str">
            <v>Sample Rejected</v>
          </cell>
          <cell r="C5343">
            <v>42749.737991238428</v>
          </cell>
        </row>
        <row r="5344">
          <cell r="A5344">
            <v>3035715529</v>
          </cell>
          <cell r="B5344" t="str">
            <v>Sample Rejected</v>
          </cell>
          <cell r="C5344">
            <v>42749.737991238428</v>
          </cell>
        </row>
        <row r="5345">
          <cell r="A5345">
            <v>3035724949</v>
          </cell>
          <cell r="B5345" t="str">
            <v>Sample Rejected</v>
          </cell>
          <cell r="C5345">
            <v>42749.737991238428</v>
          </cell>
        </row>
        <row r="5346">
          <cell r="A5346">
            <v>3035714849</v>
          </cell>
          <cell r="B5346" t="str">
            <v>Sample Rejected</v>
          </cell>
          <cell r="C5346">
            <v>42749.737991238428</v>
          </cell>
        </row>
        <row r="5347">
          <cell r="A5347">
            <v>3035713550</v>
          </cell>
          <cell r="B5347" t="str">
            <v>Sample Rejected</v>
          </cell>
          <cell r="C5347">
            <v>42749.737991238428</v>
          </cell>
        </row>
        <row r="5348">
          <cell r="A5348">
            <v>3035713632</v>
          </cell>
          <cell r="B5348" t="str">
            <v>Sample Rejected</v>
          </cell>
          <cell r="C5348">
            <v>42749.737991238428</v>
          </cell>
        </row>
        <row r="5349">
          <cell r="A5349">
            <v>3035726238</v>
          </cell>
          <cell r="B5349" t="str">
            <v>Sample Rejected</v>
          </cell>
          <cell r="C5349">
            <v>42749.737991238428</v>
          </cell>
        </row>
        <row r="5350">
          <cell r="A5350">
            <v>3035692301</v>
          </cell>
          <cell r="B5350" t="str">
            <v>Sample Rejected</v>
          </cell>
          <cell r="C5350">
            <v>42749.737991238428</v>
          </cell>
        </row>
        <row r="5351">
          <cell r="A5351">
            <v>3035718526</v>
          </cell>
          <cell r="B5351" t="str">
            <v>Sample Rejected</v>
          </cell>
          <cell r="C5351">
            <v>42749.737991238428</v>
          </cell>
        </row>
        <row r="5352">
          <cell r="A5352">
            <v>3035729895</v>
          </cell>
          <cell r="B5352" t="str">
            <v>Sample Rejected</v>
          </cell>
          <cell r="C5352">
            <v>42749.737991238428</v>
          </cell>
        </row>
        <row r="5353">
          <cell r="A5353">
            <v>3035718007</v>
          </cell>
          <cell r="B5353" t="str">
            <v>Sample Rejected</v>
          </cell>
          <cell r="C5353">
            <v>42749.737991238428</v>
          </cell>
        </row>
        <row r="5354">
          <cell r="A5354">
            <v>3035734710</v>
          </cell>
          <cell r="B5354" t="str">
            <v>Sample Rejected</v>
          </cell>
          <cell r="C5354">
            <v>42749.737991238428</v>
          </cell>
        </row>
        <row r="5355">
          <cell r="A5355">
            <v>3035723931</v>
          </cell>
          <cell r="B5355" t="str">
            <v>Sample Rejected</v>
          </cell>
          <cell r="C5355">
            <v>42749.737991238428</v>
          </cell>
        </row>
        <row r="5356">
          <cell r="A5356">
            <v>3035721912</v>
          </cell>
          <cell r="B5356" t="str">
            <v>Sample Rejected</v>
          </cell>
          <cell r="C5356">
            <v>42749.737991238428</v>
          </cell>
        </row>
        <row r="5357">
          <cell r="A5357">
            <v>3035718735</v>
          </cell>
          <cell r="B5357" t="str">
            <v>Sample Rejected</v>
          </cell>
          <cell r="C5357">
            <v>42749.737991238428</v>
          </cell>
        </row>
        <row r="5358">
          <cell r="A5358">
            <v>3035714963</v>
          </cell>
          <cell r="B5358" t="str">
            <v>Sample Rejected</v>
          </cell>
          <cell r="C5358">
            <v>42749.737991238428</v>
          </cell>
        </row>
        <row r="5359">
          <cell r="A5359">
            <v>3035683464</v>
          </cell>
          <cell r="B5359" t="str">
            <v>Sample Rejected</v>
          </cell>
          <cell r="C5359">
            <v>42749.737991238428</v>
          </cell>
        </row>
        <row r="5360">
          <cell r="A5360">
            <v>3035679349</v>
          </cell>
          <cell r="B5360" t="str">
            <v>Sample Rejected</v>
          </cell>
          <cell r="C5360">
            <v>42749.737991238428</v>
          </cell>
        </row>
        <row r="5361">
          <cell r="A5361">
            <v>3035713720</v>
          </cell>
          <cell r="B5361" t="str">
            <v>Sample Rejected</v>
          </cell>
          <cell r="C5361">
            <v>42749.737991238428</v>
          </cell>
        </row>
        <row r="5362">
          <cell r="A5362">
            <v>3035727188</v>
          </cell>
          <cell r="B5362" t="str">
            <v>Sample Rejected</v>
          </cell>
          <cell r="C5362">
            <v>42749.737991238428</v>
          </cell>
        </row>
        <row r="5363">
          <cell r="A5363">
            <v>3035725698</v>
          </cell>
          <cell r="B5363" t="str">
            <v>Sample Rejected</v>
          </cell>
          <cell r="C5363">
            <v>42749.737991238428</v>
          </cell>
        </row>
        <row r="5364">
          <cell r="A5364">
            <v>3035681760</v>
          </cell>
          <cell r="B5364" t="str">
            <v>Sample Rejected</v>
          </cell>
          <cell r="C5364">
            <v>42749.737991238428</v>
          </cell>
        </row>
        <row r="5365">
          <cell r="A5365">
            <v>3035617227</v>
          </cell>
          <cell r="B5365" t="str">
            <v>Sample Rejected</v>
          </cell>
          <cell r="C5365">
            <v>42749.737991238428</v>
          </cell>
        </row>
        <row r="5366">
          <cell r="A5366">
            <v>3035658802</v>
          </cell>
          <cell r="B5366" t="str">
            <v>Sample Rejected</v>
          </cell>
          <cell r="C5366">
            <v>42749.737991238428</v>
          </cell>
        </row>
        <row r="5367">
          <cell r="A5367">
            <v>3035712722</v>
          </cell>
          <cell r="B5367" t="str">
            <v>Sample Rejected</v>
          </cell>
          <cell r="C5367">
            <v>42749.737991238428</v>
          </cell>
        </row>
        <row r="5368">
          <cell r="A5368">
            <v>3035643840</v>
          </cell>
          <cell r="B5368" t="str">
            <v>Sample Rejected</v>
          </cell>
          <cell r="C5368">
            <v>42749.737991238428</v>
          </cell>
        </row>
        <row r="5369">
          <cell r="A5369">
            <v>3035724961</v>
          </cell>
          <cell r="B5369" t="str">
            <v>Sample Rejected</v>
          </cell>
          <cell r="C5369">
            <v>42749.737991238428</v>
          </cell>
        </row>
        <row r="5370">
          <cell r="A5370">
            <v>3035721232</v>
          </cell>
          <cell r="B5370" t="str">
            <v>Sample Rejected</v>
          </cell>
          <cell r="C5370">
            <v>42749.737991238428</v>
          </cell>
        </row>
        <row r="5371">
          <cell r="A5371">
            <v>3035715646</v>
          </cell>
          <cell r="B5371" t="str">
            <v>Sample Rejected</v>
          </cell>
          <cell r="C5371">
            <v>42749.737991238428</v>
          </cell>
        </row>
        <row r="5372">
          <cell r="A5372">
            <v>3035715509</v>
          </cell>
          <cell r="B5372" t="str">
            <v>Sample Rejected</v>
          </cell>
          <cell r="C5372">
            <v>42749.737991238428</v>
          </cell>
        </row>
        <row r="5373">
          <cell r="A5373">
            <v>3035717953</v>
          </cell>
          <cell r="B5373" t="str">
            <v>Sample Rejected</v>
          </cell>
          <cell r="C5373">
            <v>42749.737991238428</v>
          </cell>
        </row>
        <row r="5374">
          <cell r="A5374">
            <v>3035613701</v>
          </cell>
          <cell r="B5374" t="str">
            <v>Sample Rejected</v>
          </cell>
          <cell r="C5374">
            <v>42749.737991238428</v>
          </cell>
        </row>
        <row r="5375">
          <cell r="A5375">
            <v>3035715402</v>
          </cell>
          <cell r="B5375" t="str">
            <v>Sample Rejected</v>
          </cell>
          <cell r="C5375">
            <v>42749.737991238428</v>
          </cell>
        </row>
        <row r="5376">
          <cell r="A5376">
            <v>3035725364</v>
          </cell>
          <cell r="B5376" t="str">
            <v>Sample Rejected</v>
          </cell>
          <cell r="C5376">
            <v>42749.737991238428</v>
          </cell>
        </row>
        <row r="5377">
          <cell r="A5377">
            <v>3035716194</v>
          </cell>
          <cell r="B5377" t="str">
            <v>Sample Rejected</v>
          </cell>
          <cell r="C5377">
            <v>42749.737991238428</v>
          </cell>
        </row>
        <row r="5378">
          <cell r="A5378">
            <v>3035688640</v>
          </cell>
          <cell r="B5378" t="str">
            <v>Sample Rejected</v>
          </cell>
          <cell r="C5378">
            <v>42749.737991238428</v>
          </cell>
        </row>
        <row r="5379">
          <cell r="A5379">
            <v>3035682434</v>
          </cell>
          <cell r="B5379" t="str">
            <v>Sample Rejected</v>
          </cell>
          <cell r="C5379">
            <v>42748.738471724537</v>
          </cell>
        </row>
        <row r="5380">
          <cell r="A5380">
            <v>3035604081</v>
          </cell>
          <cell r="B5380" t="str">
            <v>Sample Rejected</v>
          </cell>
          <cell r="C5380">
            <v>42748.738471724537</v>
          </cell>
        </row>
        <row r="5381">
          <cell r="A5381">
            <v>3035677459</v>
          </cell>
          <cell r="B5381" t="str">
            <v>Sample Rejected</v>
          </cell>
          <cell r="C5381">
            <v>42748.738471724537</v>
          </cell>
        </row>
        <row r="5382">
          <cell r="A5382">
            <v>3035681011</v>
          </cell>
          <cell r="B5382" t="str">
            <v>Sample Rejected</v>
          </cell>
          <cell r="C5382">
            <v>42748.738471724537</v>
          </cell>
        </row>
        <row r="5383">
          <cell r="A5383">
            <v>3035689382</v>
          </cell>
          <cell r="B5383" t="str">
            <v>Sample Rejected</v>
          </cell>
          <cell r="C5383">
            <v>42748.738471724537</v>
          </cell>
        </row>
        <row r="5384">
          <cell r="A5384">
            <v>3035679775</v>
          </cell>
          <cell r="B5384" t="str">
            <v>Sample Rejected</v>
          </cell>
          <cell r="C5384">
            <v>42748.738471724537</v>
          </cell>
        </row>
        <row r="5385">
          <cell r="A5385">
            <v>3035693931</v>
          </cell>
          <cell r="B5385" t="str">
            <v>Sample Rejected</v>
          </cell>
          <cell r="C5385">
            <v>42748.738471724537</v>
          </cell>
        </row>
        <row r="5386">
          <cell r="A5386">
            <v>3035679001</v>
          </cell>
          <cell r="B5386" t="str">
            <v>Sample Rejected</v>
          </cell>
          <cell r="C5386">
            <v>42748.738471724537</v>
          </cell>
        </row>
        <row r="5387">
          <cell r="A5387">
            <v>3035676161</v>
          </cell>
          <cell r="B5387" t="str">
            <v>Sample Rejected</v>
          </cell>
          <cell r="C5387">
            <v>42748.738471724537</v>
          </cell>
        </row>
        <row r="5388">
          <cell r="A5388">
            <v>3035681122</v>
          </cell>
          <cell r="B5388" t="str">
            <v>Sample Rejected</v>
          </cell>
          <cell r="C5388">
            <v>42748.738471724537</v>
          </cell>
        </row>
        <row r="5389">
          <cell r="A5389">
            <v>3035688787</v>
          </cell>
          <cell r="B5389" t="str">
            <v>Sample Rejected</v>
          </cell>
          <cell r="C5389">
            <v>42748.738471724537</v>
          </cell>
        </row>
        <row r="5390">
          <cell r="A5390">
            <v>3035678337</v>
          </cell>
          <cell r="B5390" t="str">
            <v>Sample Rejected</v>
          </cell>
          <cell r="C5390">
            <v>42748.738471724537</v>
          </cell>
        </row>
        <row r="5391">
          <cell r="A5391">
            <v>3035680778</v>
          </cell>
          <cell r="B5391" t="str">
            <v>Sample Rejected</v>
          </cell>
          <cell r="C5391">
            <v>42748.738471724537</v>
          </cell>
        </row>
        <row r="5392">
          <cell r="A5392">
            <v>3035676538</v>
          </cell>
          <cell r="B5392" t="str">
            <v>Sample Rejected</v>
          </cell>
          <cell r="C5392">
            <v>42748.738471724537</v>
          </cell>
        </row>
        <row r="5393">
          <cell r="A5393">
            <v>3035678556</v>
          </cell>
          <cell r="B5393" t="str">
            <v>Sample Rejected</v>
          </cell>
          <cell r="C5393">
            <v>42748.738471724537</v>
          </cell>
        </row>
        <row r="5394">
          <cell r="A5394">
            <v>3035679020</v>
          </cell>
          <cell r="B5394" t="str">
            <v>Sample Rejected</v>
          </cell>
          <cell r="C5394">
            <v>42748.738471724537</v>
          </cell>
        </row>
        <row r="5395">
          <cell r="A5395">
            <v>3035324397</v>
          </cell>
          <cell r="B5395" t="str">
            <v>Sample Rejected</v>
          </cell>
          <cell r="C5395">
            <v>42748.738471724537</v>
          </cell>
        </row>
        <row r="5396">
          <cell r="A5396">
            <v>3035682107</v>
          </cell>
          <cell r="B5396" t="str">
            <v>Sample Rejected</v>
          </cell>
          <cell r="C5396">
            <v>42748.738471724537</v>
          </cell>
        </row>
        <row r="5397">
          <cell r="A5397">
            <v>3035686053</v>
          </cell>
          <cell r="B5397" t="str">
            <v>Sample Rejected</v>
          </cell>
          <cell r="C5397">
            <v>42748.738471724537</v>
          </cell>
        </row>
        <row r="5398">
          <cell r="A5398">
            <v>3035688644</v>
          </cell>
          <cell r="B5398" t="str">
            <v>Sample Rejected</v>
          </cell>
          <cell r="C5398">
            <v>42748.738471724537</v>
          </cell>
        </row>
        <row r="5399">
          <cell r="A5399">
            <v>3035680945</v>
          </cell>
          <cell r="B5399" t="str">
            <v>Sample Rejected</v>
          </cell>
          <cell r="C5399">
            <v>42748.738471724537</v>
          </cell>
        </row>
        <row r="5400">
          <cell r="A5400">
            <v>3035678647</v>
          </cell>
          <cell r="B5400" t="str">
            <v>Sample Rejected</v>
          </cell>
          <cell r="C5400">
            <v>42748.738471724537</v>
          </cell>
        </row>
        <row r="5401">
          <cell r="A5401">
            <v>3035677961</v>
          </cell>
          <cell r="B5401" t="str">
            <v>Sample Rejected</v>
          </cell>
          <cell r="C5401">
            <v>42748.738471724537</v>
          </cell>
        </row>
        <row r="5402">
          <cell r="A5402">
            <v>3035650439</v>
          </cell>
          <cell r="B5402" t="str">
            <v>Sample Rejected</v>
          </cell>
          <cell r="C5402">
            <v>42748.738471724537</v>
          </cell>
        </row>
        <row r="5403">
          <cell r="A5403">
            <v>3035691978</v>
          </cell>
          <cell r="B5403" t="str">
            <v>Sample Rejected</v>
          </cell>
          <cell r="C5403">
            <v>42748.738471724537</v>
          </cell>
        </row>
        <row r="5404">
          <cell r="A5404">
            <v>3035677356</v>
          </cell>
          <cell r="B5404" t="str">
            <v>Sample Rejected</v>
          </cell>
          <cell r="C5404">
            <v>42748.738471724537</v>
          </cell>
        </row>
        <row r="5405">
          <cell r="A5405">
            <v>3035679755</v>
          </cell>
          <cell r="B5405" t="str">
            <v>Sample Rejected</v>
          </cell>
          <cell r="C5405">
            <v>42748.738471724537</v>
          </cell>
        </row>
        <row r="5406">
          <cell r="A5406">
            <v>3035688975</v>
          </cell>
          <cell r="B5406" t="str">
            <v>Sample Rejected</v>
          </cell>
          <cell r="C5406">
            <v>42748.738471724537</v>
          </cell>
        </row>
        <row r="5407">
          <cell r="A5407">
            <v>3035698153</v>
          </cell>
          <cell r="B5407" t="str">
            <v>Sample Rejected</v>
          </cell>
          <cell r="C5407">
            <v>42748.738471724537</v>
          </cell>
        </row>
        <row r="5408">
          <cell r="A5408">
            <v>3035699193</v>
          </cell>
          <cell r="B5408" t="str">
            <v>Sample Rejected</v>
          </cell>
          <cell r="C5408">
            <v>42748.738471724537</v>
          </cell>
        </row>
        <row r="5409">
          <cell r="A5409">
            <v>3035698377</v>
          </cell>
          <cell r="B5409" t="str">
            <v>Sample Rejected</v>
          </cell>
          <cell r="C5409">
            <v>42748.738471724537</v>
          </cell>
        </row>
        <row r="5410">
          <cell r="A5410">
            <v>3035689237</v>
          </cell>
          <cell r="B5410" t="str">
            <v>Sample Rejected</v>
          </cell>
          <cell r="C5410">
            <v>42748.738471724537</v>
          </cell>
        </row>
        <row r="5411">
          <cell r="A5411">
            <v>3035683904</v>
          </cell>
          <cell r="B5411" t="str">
            <v>Sample Rejected</v>
          </cell>
          <cell r="C5411">
            <v>42748.738471724537</v>
          </cell>
        </row>
        <row r="5412">
          <cell r="A5412">
            <v>3035687530</v>
          </cell>
          <cell r="B5412" t="str">
            <v>Sample Rejected</v>
          </cell>
          <cell r="C5412">
            <v>42748.738471724537</v>
          </cell>
        </row>
        <row r="5413">
          <cell r="A5413">
            <v>3035692659</v>
          </cell>
          <cell r="B5413" t="str">
            <v>Sample Rejected</v>
          </cell>
          <cell r="C5413">
            <v>42748.738471724537</v>
          </cell>
        </row>
        <row r="5414">
          <cell r="A5414">
            <v>3035693312</v>
          </cell>
          <cell r="B5414" t="str">
            <v>Sample Rejected</v>
          </cell>
          <cell r="C5414">
            <v>42748.738471724537</v>
          </cell>
        </row>
        <row r="5415">
          <cell r="A5415">
            <v>3035679194</v>
          </cell>
          <cell r="B5415" t="str">
            <v>Sample Rejected</v>
          </cell>
          <cell r="C5415">
            <v>42748.738471724537</v>
          </cell>
        </row>
        <row r="5416">
          <cell r="A5416">
            <v>3035680349</v>
          </cell>
          <cell r="B5416" t="str">
            <v>Sample Rejected</v>
          </cell>
          <cell r="C5416">
            <v>42748.738471724537</v>
          </cell>
        </row>
        <row r="5417">
          <cell r="A5417">
            <v>3035548470</v>
          </cell>
          <cell r="B5417" t="str">
            <v>Sample Rejected</v>
          </cell>
          <cell r="C5417">
            <v>42748.738471724537</v>
          </cell>
        </row>
        <row r="5418">
          <cell r="A5418">
            <v>3035681427</v>
          </cell>
          <cell r="B5418" t="str">
            <v>Sample Rejected</v>
          </cell>
          <cell r="C5418">
            <v>42748.738471724537</v>
          </cell>
        </row>
        <row r="5419">
          <cell r="A5419">
            <v>3035677316</v>
          </cell>
          <cell r="B5419" t="str">
            <v>Sample Rejected</v>
          </cell>
          <cell r="C5419">
            <v>42748.738471724537</v>
          </cell>
        </row>
        <row r="5420">
          <cell r="A5420">
            <v>3035679857</v>
          </cell>
          <cell r="B5420" t="str">
            <v>Sample Rejected</v>
          </cell>
          <cell r="C5420">
            <v>42748.738471724537</v>
          </cell>
        </row>
        <row r="5421">
          <cell r="A5421">
            <v>3035690999</v>
          </cell>
          <cell r="B5421" t="str">
            <v>Sample Rejected</v>
          </cell>
          <cell r="C5421">
            <v>42748.738471724537</v>
          </cell>
        </row>
        <row r="5422">
          <cell r="A5422">
            <v>3035664453</v>
          </cell>
          <cell r="B5422" t="str">
            <v>Sample Rejected</v>
          </cell>
          <cell r="C5422">
            <v>42748.738471724537</v>
          </cell>
        </row>
        <row r="5423">
          <cell r="A5423">
            <v>3035696424</v>
          </cell>
          <cell r="B5423" t="str">
            <v>Sample Rejected</v>
          </cell>
          <cell r="C5423">
            <v>42748.738471724537</v>
          </cell>
        </row>
        <row r="5424">
          <cell r="A5424">
            <v>3035688595</v>
          </cell>
          <cell r="B5424" t="str">
            <v>Sample Rejected</v>
          </cell>
          <cell r="C5424">
            <v>42748.738471724537</v>
          </cell>
        </row>
        <row r="5425">
          <cell r="A5425">
            <v>3035680749</v>
          </cell>
          <cell r="B5425" t="str">
            <v>Sample Rejected</v>
          </cell>
          <cell r="C5425">
            <v>42748.738471724537</v>
          </cell>
        </row>
        <row r="5426">
          <cell r="A5426">
            <v>3035603935</v>
          </cell>
          <cell r="B5426" t="str">
            <v>Sample Rejected</v>
          </cell>
          <cell r="C5426">
            <v>42748.738491053242</v>
          </cell>
        </row>
        <row r="5427">
          <cell r="A5427">
            <v>3035642845</v>
          </cell>
          <cell r="B5427" t="str">
            <v>Sample Rejected</v>
          </cell>
          <cell r="C5427">
            <v>42748.738471724537</v>
          </cell>
        </row>
        <row r="5428">
          <cell r="A5428">
            <v>3035697501</v>
          </cell>
          <cell r="B5428" t="str">
            <v>Sample Rejected</v>
          </cell>
          <cell r="C5428">
            <v>42748.738471724537</v>
          </cell>
        </row>
        <row r="5429">
          <cell r="A5429">
            <v>3035605135</v>
          </cell>
          <cell r="B5429" t="str">
            <v>Sample Rejected</v>
          </cell>
          <cell r="C5429">
            <v>42748.738471724537</v>
          </cell>
        </row>
        <row r="5430">
          <cell r="A5430">
            <v>3035560622</v>
          </cell>
          <cell r="B5430" t="str">
            <v>Sample Rejected</v>
          </cell>
          <cell r="C5430">
            <v>42748.738471724537</v>
          </cell>
        </row>
        <row r="5431">
          <cell r="A5431">
            <v>3035695504</v>
          </cell>
          <cell r="B5431" t="str">
            <v>Sample Rejected</v>
          </cell>
          <cell r="C5431">
            <v>42748.738471724537</v>
          </cell>
        </row>
        <row r="5432">
          <cell r="A5432">
            <v>3035688939</v>
          </cell>
          <cell r="B5432" t="str">
            <v>Sample Rejected</v>
          </cell>
          <cell r="C5432">
            <v>42748.738471724537</v>
          </cell>
        </row>
        <row r="5433">
          <cell r="A5433">
            <v>3035678373</v>
          </cell>
          <cell r="B5433" t="str">
            <v>Sample Rejected</v>
          </cell>
          <cell r="C5433">
            <v>42748.738471724537</v>
          </cell>
        </row>
        <row r="5434">
          <cell r="A5434">
            <v>3035691054</v>
          </cell>
          <cell r="B5434" t="str">
            <v>Sample Rejected</v>
          </cell>
          <cell r="C5434">
            <v>42748.738471724537</v>
          </cell>
        </row>
        <row r="5435">
          <cell r="A5435">
            <v>3035682259</v>
          </cell>
          <cell r="B5435" t="str">
            <v>Sample Rejected</v>
          </cell>
          <cell r="C5435">
            <v>42748.738471724537</v>
          </cell>
        </row>
        <row r="5436">
          <cell r="A5436">
            <v>3035686302</v>
          </cell>
          <cell r="B5436" t="str">
            <v>Sample Rejected</v>
          </cell>
          <cell r="C5436">
            <v>42748.738471724537</v>
          </cell>
        </row>
        <row r="5437">
          <cell r="A5437">
            <v>3035645489</v>
          </cell>
          <cell r="B5437" t="str">
            <v>Sample Rejected</v>
          </cell>
          <cell r="C5437">
            <v>42748.738471724537</v>
          </cell>
        </row>
        <row r="5438">
          <cell r="A5438">
            <v>3035542809</v>
          </cell>
          <cell r="B5438" t="str">
            <v>Sample Rejected</v>
          </cell>
          <cell r="C5438">
            <v>42748.738471724537</v>
          </cell>
        </row>
        <row r="5439">
          <cell r="A5439">
            <v>3035696479</v>
          </cell>
          <cell r="B5439" t="str">
            <v>Sample Rejected</v>
          </cell>
          <cell r="C5439">
            <v>42748.738471724537</v>
          </cell>
        </row>
        <row r="5440">
          <cell r="A5440">
            <v>3035682291</v>
          </cell>
          <cell r="B5440" t="str">
            <v>Sample Rejected</v>
          </cell>
          <cell r="C5440">
            <v>42748.738471724537</v>
          </cell>
        </row>
        <row r="5441">
          <cell r="A5441">
            <v>3035656552</v>
          </cell>
          <cell r="B5441" t="str">
            <v>Sample Rejected</v>
          </cell>
          <cell r="C5441">
            <v>42748.738471724537</v>
          </cell>
        </row>
        <row r="5442">
          <cell r="A5442">
            <v>3035697231</v>
          </cell>
          <cell r="B5442" t="str">
            <v>Sample Rejected</v>
          </cell>
          <cell r="C5442">
            <v>42748.738471724537</v>
          </cell>
        </row>
        <row r="5443">
          <cell r="A5443">
            <v>3035520402</v>
          </cell>
          <cell r="B5443" t="str">
            <v>Sample Rejected</v>
          </cell>
          <cell r="C5443">
            <v>42748.738471724537</v>
          </cell>
        </row>
        <row r="5444">
          <cell r="A5444">
            <v>3035684406</v>
          </cell>
          <cell r="B5444" t="str">
            <v>Sample Rejected</v>
          </cell>
          <cell r="C5444">
            <v>42748.738471724537</v>
          </cell>
        </row>
        <row r="5445">
          <cell r="A5445">
            <v>3035677117</v>
          </cell>
          <cell r="B5445" t="str">
            <v>Sample Rejected</v>
          </cell>
          <cell r="C5445">
            <v>42748.738471724537</v>
          </cell>
        </row>
        <row r="5446">
          <cell r="A5446">
            <v>3035605727</v>
          </cell>
          <cell r="B5446" t="str">
            <v>Sample Rejected</v>
          </cell>
          <cell r="C5446">
            <v>42748.738471724537</v>
          </cell>
        </row>
        <row r="5447">
          <cell r="A5447">
            <v>3035693949</v>
          </cell>
          <cell r="B5447" t="str">
            <v>Sample Rejected</v>
          </cell>
          <cell r="C5447">
            <v>42748.738471724537</v>
          </cell>
        </row>
        <row r="5448">
          <cell r="A5448">
            <v>3035698994</v>
          </cell>
          <cell r="B5448" t="str">
            <v>Sample Rejected</v>
          </cell>
          <cell r="C5448">
            <v>42748.738471724537</v>
          </cell>
        </row>
        <row r="5449">
          <cell r="A5449">
            <v>3035677139</v>
          </cell>
          <cell r="B5449" t="str">
            <v>Sample Rejected</v>
          </cell>
          <cell r="C5449">
            <v>42748.738471724537</v>
          </cell>
        </row>
        <row r="5450">
          <cell r="A5450">
            <v>3035685802</v>
          </cell>
          <cell r="B5450" t="str">
            <v>Sample Rejected</v>
          </cell>
          <cell r="C5450">
            <v>42748.738471724537</v>
          </cell>
        </row>
        <row r="5451">
          <cell r="A5451">
            <v>3035689204</v>
          </cell>
          <cell r="B5451" t="str">
            <v>Sample Rejected</v>
          </cell>
          <cell r="C5451">
            <v>42748.738471724537</v>
          </cell>
        </row>
        <row r="5452">
          <cell r="A5452">
            <v>3035646245</v>
          </cell>
          <cell r="B5452" t="str">
            <v>Sample Rejected</v>
          </cell>
          <cell r="C5452">
            <v>42748.738471724537</v>
          </cell>
        </row>
        <row r="5453">
          <cell r="A5453">
            <v>3035651751</v>
          </cell>
          <cell r="B5453" t="str">
            <v>Sample Rejected</v>
          </cell>
          <cell r="C5453">
            <v>42748.738471724537</v>
          </cell>
        </row>
        <row r="5454">
          <cell r="A5454">
            <v>3035543602</v>
          </cell>
          <cell r="B5454" t="str">
            <v>Sample Rejected</v>
          </cell>
          <cell r="C5454">
            <v>42748.738471724537</v>
          </cell>
        </row>
        <row r="5455">
          <cell r="A5455">
            <v>3035688014</v>
          </cell>
          <cell r="B5455" t="str">
            <v>Sample Rejected</v>
          </cell>
          <cell r="C5455">
            <v>42748.738471724537</v>
          </cell>
        </row>
        <row r="5456">
          <cell r="A5456">
            <v>3035686965</v>
          </cell>
          <cell r="B5456" t="str">
            <v>Sample Rejected</v>
          </cell>
          <cell r="C5456">
            <v>42748.738471724537</v>
          </cell>
        </row>
        <row r="5457">
          <cell r="A5457">
            <v>3035684887</v>
          </cell>
          <cell r="B5457" t="str">
            <v>Sample Rejected</v>
          </cell>
          <cell r="C5457">
            <v>42748.738471724537</v>
          </cell>
        </row>
        <row r="5458">
          <cell r="A5458">
            <v>3035617224</v>
          </cell>
          <cell r="B5458" t="str">
            <v>Sample Rejected</v>
          </cell>
          <cell r="C5458">
            <v>42748.738471724537</v>
          </cell>
        </row>
        <row r="5459">
          <cell r="A5459">
            <v>3035568988</v>
          </cell>
          <cell r="B5459" t="str">
            <v>Sample Rejected</v>
          </cell>
          <cell r="C5459">
            <v>42748.738471724537</v>
          </cell>
        </row>
        <row r="5460">
          <cell r="A5460">
            <v>3035696442</v>
          </cell>
          <cell r="B5460" t="str">
            <v>Sample Rejected</v>
          </cell>
          <cell r="C5460">
            <v>42748.738471724537</v>
          </cell>
        </row>
        <row r="5461">
          <cell r="A5461">
            <v>3035680338</v>
          </cell>
          <cell r="B5461" t="str">
            <v>Sample Rejected</v>
          </cell>
          <cell r="C5461">
            <v>42748.738471724537</v>
          </cell>
        </row>
        <row r="5462">
          <cell r="A5462">
            <v>3035677791</v>
          </cell>
          <cell r="B5462" t="str">
            <v>Sample Rejected</v>
          </cell>
          <cell r="C5462">
            <v>42748.738471724537</v>
          </cell>
        </row>
        <row r="5463">
          <cell r="A5463">
            <v>3035686179</v>
          </cell>
          <cell r="B5463" t="str">
            <v>Sample Rejected</v>
          </cell>
          <cell r="C5463">
            <v>42748.738471724537</v>
          </cell>
        </row>
        <row r="5464">
          <cell r="A5464">
            <v>3035689811</v>
          </cell>
          <cell r="B5464" t="str">
            <v>Sample Rejected</v>
          </cell>
          <cell r="C5464">
            <v>42748.738471724537</v>
          </cell>
        </row>
        <row r="5465">
          <cell r="A5465">
            <v>3035683618</v>
          </cell>
          <cell r="B5465" t="str">
            <v>Sample Rejected</v>
          </cell>
          <cell r="C5465">
            <v>42748.738471724537</v>
          </cell>
        </row>
        <row r="5466">
          <cell r="A5466">
            <v>3035655663</v>
          </cell>
          <cell r="B5466" t="str">
            <v>Sample Rejected</v>
          </cell>
          <cell r="C5466">
            <v>42748.738471724537</v>
          </cell>
        </row>
        <row r="5467">
          <cell r="A5467">
            <v>3035655636</v>
          </cell>
          <cell r="B5467" t="str">
            <v>Sample Rejected</v>
          </cell>
          <cell r="C5467">
            <v>42748.738471724537</v>
          </cell>
        </row>
        <row r="5468">
          <cell r="A5468">
            <v>3035683114</v>
          </cell>
          <cell r="B5468" t="str">
            <v>Sample Rejected</v>
          </cell>
          <cell r="C5468">
            <v>42748.738471724537</v>
          </cell>
        </row>
        <row r="5469">
          <cell r="A5469">
            <v>3035680248</v>
          </cell>
          <cell r="B5469" t="str">
            <v>Sample Rejected</v>
          </cell>
          <cell r="C5469">
            <v>42748.738471724537</v>
          </cell>
        </row>
        <row r="5470">
          <cell r="A5470">
            <v>3035436017</v>
          </cell>
          <cell r="B5470" t="str">
            <v>Sample Rejected</v>
          </cell>
          <cell r="C5470">
            <v>42748.738471724537</v>
          </cell>
        </row>
        <row r="5471">
          <cell r="A5471">
            <v>3035678581</v>
          </cell>
          <cell r="B5471" t="str">
            <v>Sample Rejected</v>
          </cell>
          <cell r="C5471">
            <v>42748.738471724537</v>
          </cell>
        </row>
        <row r="5472">
          <cell r="A5472">
            <v>3035687249</v>
          </cell>
          <cell r="B5472" t="str">
            <v>Sample Rejected</v>
          </cell>
          <cell r="C5472">
            <v>42748.738471724537</v>
          </cell>
        </row>
        <row r="5473">
          <cell r="A5473">
            <v>3035680497</v>
          </cell>
          <cell r="B5473" t="str">
            <v>Sample Rejected</v>
          </cell>
          <cell r="C5473">
            <v>42748.738471724537</v>
          </cell>
        </row>
        <row r="5474">
          <cell r="A5474">
            <v>3035678185</v>
          </cell>
          <cell r="B5474" t="str">
            <v>Sample Rejected</v>
          </cell>
          <cell r="C5474">
            <v>42748.738471724537</v>
          </cell>
        </row>
        <row r="5475">
          <cell r="A5475">
            <v>3035695466</v>
          </cell>
          <cell r="B5475" t="str">
            <v>Sample Rejected</v>
          </cell>
          <cell r="C5475">
            <v>42748.738471724537</v>
          </cell>
        </row>
        <row r="5476">
          <cell r="A5476">
            <v>3035680247</v>
          </cell>
          <cell r="B5476" t="str">
            <v>Sample Rejected</v>
          </cell>
          <cell r="C5476">
            <v>42748.738471724537</v>
          </cell>
        </row>
        <row r="5477">
          <cell r="A5477">
            <v>3035642674</v>
          </cell>
          <cell r="B5477" t="str">
            <v>Sample Rejected</v>
          </cell>
          <cell r="C5477">
            <v>42748.738471724537</v>
          </cell>
        </row>
        <row r="5478">
          <cell r="A5478">
            <v>3035693273</v>
          </cell>
          <cell r="B5478" t="str">
            <v>Sample Rejected</v>
          </cell>
          <cell r="C5478">
            <v>42748.738471724537</v>
          </cell>
        </row>
        <row r="5479">
          <cell r="A5479">
            <v>3035657183</v>
          </cell>
          <cell r="B5479" t="str">
            <v>Sample Rejected</v>
          </cell>
          <cell r="C5479">
            <v>42748.738471724537</v>
          </cell>
        </row>
        <row r="5480">
          <cell r="A5480">
            <v>3035690816</v>
          </cell>
          <cell r="B5480" t="str">
            <v>Sample Rejected</v>
          </cell>
          <cell r="C5480">
            <v>42748.738471724537</v>
          </cell>
        </row>
        <row r="5481">
          <cell r="A5481">
            <v>3035697071</v>
          </cell>
          <cell r="B5481" t="str">
            <v>Sample Rejected</v>
          </cell>
          <cell r="C5481">
            <v>42748.738471724537</v>
          </cell>
        </row>
        <row r="5482">
          <cell r="A5482">
            <v>3035684295</v>
          </cell>
          <cell r="B5482" t="str">
            <v>Sample Rejected</v>
          </cell>
          <cell r="C5482">
            <v>42748.738471724537</v>
          </cell>
        </row>
        <row r="5483">
          <cell r="A5483">
            <v>3035678268</v>
          </cell>
          <cell r="B5483" t="str">
            <v>Sample Rejected</v>
          </cell>
          <cell r="C5483">
            <v>42748.738471724537</v>
          </cell>
        </row>
        <row r="5484">
          <cell r="A5484">
            <v>3035687610</v>
          </cell>
          <cell r="B5484" t="str">
            <v>Sample Rejected</v>
          </cell>
          <cell r="C5484">
            <v>42748.738471724537</v>
          </cell>
        </row>
        <row r="5485">
          <cell r="A5485">
            <v>3035656226</v>
          </cell>
          <cell r="B5485" t="str">
            <v>Sample Rejected</v>
          </cell>
          <cell r="C5485">
            <v>42748.738471724537</v>
          </cell>
        </row>
        <row r="5486">
          <cell r="A5486">
            <v>3035694541</v>
          </cell>
          <cell r="B5486" t="str">
            <v>Sample Rejected</v>
          </cell>
          <cell r="C5486">
            <v>42748.738471724537</v>
          </cell>
        </row>
        <row r="5487">
          <cell r="A5487">
            <v>3035680437</v>
          </cell>
          <cell r="B5487" t="str">
            <v>Sample Rejected</v>
          </cell>
          <cell r="C5487">
            <v>42748.738471724537</v>
          </cell>
        </row>
        <row r="5488">
          <cell r="A5488">
            <v>3035695508</v>
          </cell>
          <cell r="B5488" t="str">
            <v>Sample Rejected</v>
          </cell>
          <cell r="C5488">
            <v>42748.738471724537</v>
          </cell>
        </row>
        <row r="5489">
          <cell r="A5489">
            <v>3035691034</v>
          </cell>
          <cell r="B5489" t="str">
            <v>Sample Rejected</v>
          </cell>
          <cell r="C5489">
            <v>42748.738471724537</v>
          </cell>
        </row>
        <row r="5490">
          <cell r="A5490">
            <v>3035677106</v>
          </cell>
          <cell r="B5490" t="str">
            <v>Sample Rejected</v>
          </cell>
          <cell r="C5490">
            <v>42748.738471724537</v>
          </cell>
        </row>
        <row r="5491">
          <cell r="A5491">
            <v>3035682600</v>
          </cell>
          <cell r="B5491" t="str">
            <v>Sample Rejected</v>
          </cell>
          <cell r="C5491">
            <v>42748.738471724537</v>
          </cell>
        </row>
        <row r="5492">
          <cell r="A5492">
            <v>3035700032</v>
          </cell>
          <cell r="B5492" t="str">
            <v>Sample Rejected</v>
          </cell>
          <cell r="C5492">
            <v>42748.738471724537</v>
          </cell>
        </row>
        <row r="5493">
          <cell r="A5493">
            <v>3035681326</v>
          </cell>
          <cell r="B5493" t="str">
            <v>Sample Rejected</v>
          </cell>
          <cell r="C5493">
            <v>42748.738471724537</v>
          </cell>
        </row>
        <row r="5494">
          <cell r="A5494">
            <v>3035681525</v>
          </cell>
          <cell r="B5494" t="str">
            <v>Sample Rejected</v>
          </cell>
          <cell r="C5494">
            <v>42748.738471724537</v>
          </cell>
        </row>
        <row r="5495">
          <cell r="A5495">
            <v>3035678962</v>
          </cell>
          <cell r="B5495" t="str">
            <v>Sample Rejected</v>
          </cell>
          <cell r="C5495">
            <v>42748.738471724537</v>
          </cell>
        </row>
        <row r="5496">
          <cell r="A5496">
            <v>3035678569</v>
          </cell>
          <cell r="B5496" t="str">
            <v>Sample Rejected</v>
          </cell>
          <cell r="C5496">
            <v>42748.738471724537</v>
          </cell>
        </row>
        <row r="5497">
          <cell r="A5497">
            <v>3035658381</v>
          </cell>
          <cell r="B5497" t="str">
            <v>Sample Rejected</v>
          </cell>
          <cell r="C5497">
            <v>42748.738471724537</v>
          </cell>
        </row>
        <row r="5498">
          <cell r="A5498">
            <v>3035653748</v>
          </cell>
          <cell r="B5498" t="str">
            <v>Sample Rejected</v>
          </cell>
          <cell r="C5498">
            <v>42748.738471724537</v>
          </cell>
        </row>
        <row r="5499">
          <cell r="A5499">
            <v>3035653568</v>
          </cell>
          <cell r="B5499" t="str">
            <v>Sample Rejected</v>
          </cell>
          <cell r="C5499">
            <v>42748.738471724537</v>
          </cell>
        </row>
        <row r="5500">
          <cell r="A5500">
            <v>3035686873</v>
          </cell>
          <cell r="B5500" t="str">
            <v>Sample Rejected</v>
          </cell>
          <cell r="C5500">
            <v>42748.738471724537</v>
          </cell>
        </row>
        <row r="5501">
          <cell r="A5501">
            <v>3035694264</v>
          </cell>
          <cell r="B5501" t="str">
            <v>Sample Rejected</v>
          </cell>
          <cell r="C5501">
            <v>42748.738471724537</v>
          </cell>
        </row>
        <row r="5502">
          <cell r="A5502">
            <v>3035658928</v>
          </cell>
          <cell r="B5502" t="str">
            <v>Sample Rejected</v>
          </cell>
          <cell r="C5502">
            <v>42748.738471724537</v>
          </cell>
        </row>
        <row r="5503">
          <cell r="A5503">
            <v>3035682616</v>
          </cell>
          <cell r="B5503" t="str">
            <v>Sample Rejected</v>
          </cell>
          <cell r="C5503">
            <v>42748.738471724537</v>
          </cell>
        </row>
        <row r="5504">
          <cell r="A5504">
            <v>3035610161</v>
          </cell>
          <cell r="B5504" t="str">
            <v>Sample Rejected</v>
          </cell>
          <cell r="C5504">
            <v>42748.738471724537</v>
          </cell>
        </row>
        <row r="5505">
          <cell r="A5505">
            <v>3035694434</v>
          </cell>
          <cell r="B5505" t="str">
            <v>Sample Rejected</v>
          </cell>
          <cell r="C5505">
            <v>42748.738471724537</v>
          </cell>
        </row>
        <row r="5506">
          <cell r="A5506">
            <v>3035697055</v>
          </cell>
          <cell r="B5506" t="str">
            <v>Sample Rejected</v>
          </cell>
          <cell r="C5506">
            <v>42748.738471724537</v>
          </cell>
        </row>
        <row r="5507">
          <cell r="A5507">
            <v>3035683872</v>
          </cell>
          <cell r="B5507" t="str">
            <v>Sample Rejected</v>
          </cell>
          <cell r="C5507">
            <v>42748.738471724537</v>
          </cell>
        </row>
        <row r="5508">
          <cell r="A5508">
            <v>3035693834</v>
          </cell>
          <cell r="B5508" t="str">
            <v>Sample Rejected</v>
          </cell>
          <cell r="C5508">
            <v>42748.738471724537</v>
          </cell>
        </row>
        <row r="5509">
          <cell r="A5509">
            <v>3035683840</v>
          </cell>
          <cell r="B5509" t="str">
            <v>Sample Rejected</v>
          </cell>
          <cell r="C5509">
            <v>42748.738471724537</v>
          </cell>
        </row>
        <row r="5510">
          <cell r="A5510">
            <v>3035682056</v>
          </cell>
          <cell r="B5510" t="str">
            <v>Sample Rejected</v>
          </cell>
          <cell r="C5510">
            <v>42748.738471724537</v>
          </cell>
        </row>
        <row r="5511">
          <cell r="A5511">
            <v>3035679207</v>
          </cell>
          <cell r="B5511" t="str">
            <v>Sample Rejected</v>
          </cell>
          <cell r="C5511">
            <v>42748.738471724537</v>
          </cell>
        </row>
        <row r="5512">
          <cell r="A5512">
            <v>3035691392</v>
          </cell>
          <cell r="B5512" t="str">
            <v>Sample Rejected</v>
          </cell>
          <cell r="C5512">
            <v>42748.738471724537</v>
          </cell>
        </row>
        <row r="5513">
          <cell r="A5513">
            <v>3035689745</v>
          </cell>
          <cell r="B5513" t="str">
            <v>Sample Rejected</v>
          </cell>
          <cell r="C5513">
            <v>42748.738471724537</v>
          </cell>
        </row>
        <row r="5514">
          <cell r="A5514">
            <v>3035692457</v>
          </cell>
          <cell r="B5514" t="str">
            <v>Sample Rejected</v>
          </cell>
          <cell r="C5514">
            <v>42748.738471724537</v>
          </cell>
        </row>
        <row r="5515">
          <cell r="A5515">
            <v>3035691803</v>
          </cell>
          <cell r="B5515" t="str">
            <v>Sample Rejected</v>
          </cell>
          <cell r="C5515">
            <v>42748.738471724537</v>
          </cell>
        </row>
        <row r="5516">
          <cell r="A5516">
            <v>3035678700</v>
          </cell>
          <cell r="B5516" t="str">
            <v>Sample Rejected</v>
          </cell>
          <cell r="C5516">
            <v>42748.738471724537</v>
          </cell>
        </row>
        <row r="5517">
          <cell r="A5517">
            <v>3035683337</v>
          </cell>
          <cell r="B5517" t="str">
            <v>Sample Rejected</v>
          </cell>
          <cell r="C5517">
            <v>42748.738471724537</v>
          </cell>
        </row>
        <row r="5518">
          <cell r="A5518">
            <v>3035690347</v>
          </cell>
          <cell r="B5518" t="str">
            <v>Sample Rejected</v>
          </cell>
          <cell r="C5518">
            <v>42748.738471724537</v>
          </cell>
        </row>
        <row r="5519">
          <cell r="A5519">
            <v>3035678290</v>
          </cell>
          <cell r="B5519" t="str">
            <v>Sample Rejected</v>
          </cell>
          <cell r="C5519">
            <v>42748.738471724537</v>
          </cell>
        </row>
        <row r="5520">
          <cell r="A5520">
            <v>3035687516</v>
          </cell>
          <cell r="B5520" t="str">
            <v>Sample Rejected</v>
          </cell>
          <cell r="C5520">
            <v>42748.738471724537</v>
          </cell>
        </row>
        <row r="5521">
          <cell r="A5521">
            <v>3035654548</v>
          </cell>
          <cell r="B5521" t="str">
            <v>Sample Rejected</v>
          </cell>
          <cell r="C5521">
            <v>42748.738471724537</v>
          </cell>
        </row>
        <row r="5522">
          <cell r="A5522">
            <v>3035680929</v>
          </cell>
          <cell r="B5522" t="str">
            <v>Sample Rejected</v>
          </cell>
          <cell r="C5522">
            <v>42748.738471724537</v>
          </cell>
        </row>
        <row r="5523">
          <cell r="A5523">
            <v>3035697531</v>
          </cell>
          <cell r="B5523" t="str">
            <v>Sample Rejected</v>
          </cell>
          <cell r="C5523">
            <v>42748.738471724537</v>
          </cell>
        </row>
        <row r="5524">
          <cell r="A5524">
            <v>3035691385</v>
          </cell>
          <cell r="B5524" t="str">
            <v>Sample Rejected</v>
          </cell>
          <cell r="C5524">
            <v>42748.738471724537</v>
          </cell>
        </row>
        <row r="5525">
          <cell r="A5525">
            <v>3035688262</v>
          </cell>
          <cell r="B5525" t="str">
            <v>Sample Rejected</v>
          </cell>
          <cell r="C5525">
            <v>42748.738471724537</v>
          </cell>
        </row>
        <row r="5526">
          <cell r="A5526">
            <v>3035626409</v>
          </cell>
          <cell r="B5526" t="str">
            <v>Sample Rejected</v>
          </cell>
          <cell r="C5526">
            <v>42750.735881944442</v>
          </cell>
        </row>
        <row r="5527">
          <cell r="A5527">
            <v>3035756812</v>
          </cell>
          <cell r="B5527" t="str">
            <v>Sample Rejected</v>
          </cell>
          <cell r="C5527">
            <v>42750.735881944442</v>
          </cell>
        </row>
        <row r="5528">
          <cell r="A5528">
            <v>3035758301</v>
          </cell>
          <cell r="B5528" t="str">
            <v>Sample Rejected</v>
          </cell>
          <cell r="C5528">
            <v>42750.735881944442</v>
          </cell>
        </row>
        <row r="5529">
          <cell r="A5529">
            <v>3035713979</v>
          </cell>
          <cell r="B5529" t="str">
            <v>Sample Rejected</v>
          </cell>
          <cell r="C5529">
            <v>42750.735881944442</v>
          </cell>
        </row>
        <row r="5530">
          <cell r="A5530">
            <v>3035761464</v>
          </cell>
          <cell r="B5530" t="str">
            <v>Sample Rejected</v>
          </cell>
          <cell r="C5530">
            <v>42750.735881944442</v>
          </cell>
        </row>
        <row r="5531">
          <cell r="A5531">
            <v>3035760035</v>
          </cell>
          <cell r="B5531" t="str">
            <v>Sample Rejected</v>
          </cell>
          <cell r="C5531">
            <v>42750.735881944442</v>
          </cell>
        </row>
        <row r="5532">
          <cell r="A5532">
            <v>3035747790</v>
          </cell>
          <cell r="B5532" t="str">
            <v>Sample Rejected</v>
          </cell>
          <cell r="C5532">
            <v>42750.735881944442</v>
          </cell>
        </row>
        <row r="5533">
          <cell r="A5533">
            <v>3035724541</v>
          </cell>
          <cell r="B5533" t="str">
            <v>Sample Rejected</v>
          </cell>
          <cell r="C5533">
            <v>42750.735881944442</v>
          </cell>
        </row>
        <row r="5534">
          <cell r="A5534">
            <v>3035758566</v>
          </cell>
          <cell r="B5534" t="str">
            <v>Sample Rejected</v>
          </cell>
          <cell r="C5534">
            <v>42750.735881944442</v>
          </cell>
        </row>
        <row r="5535">
          <cell r="A5535">
            <v>3035760742</v>
          </cell>
          <cell r="B5535" t="str">
            <v>Sample Rejected</v>
          </cell>
          <cell r="C5535">
            <v>42750.735881944442</v>
          </cell>
        </row>
        <row r="5536">
          <cell r="A5536">
            <v>3035756951</v>
          </cell>
          <cell r="B5536" t="str">
            <v>Sample Rejected</v>
          </cell>
          <cell r="C5536">
            <v>42750.735881944442</v>
          </cell>
        </row>
        <row r="5537">
          <cell r="A5537">
            <v>3035726906</v>
          </cell>
          <cell r="B5537" t="str">
            <v>Sample Rejected</v>
          </cell>
          <cell r="C5537">
            <v>42750.735881944442</v>
          </cell>
        </row>
        <row r="5538">
          <cell r="A5538">
            <v>3035747815</v>
          </cell>
          <cell r="B5538" t="str">
            <v>Sample Rejected</v>
          </cell>
          <cell r="C5538">
            <v>42750.735881944442</v>
          </cell>
        </row>
        <row r="5539">
          <cell r="A5539">
            <v>3035749001</v>
          </cell>
          <cell r="B5539" t="str">
            <v>Sample Rejected</v>
          </cell>
          <cell r="C5539">
            <v>42750.735881944442</v>
          </cell>
        </row>
        <row r="5540">
          <cell r="A5540">
            <v>3035746901</v>
          </cell>
          <cell r="B5540" t="str">
            <v>Sample Rejected</v>
          </cell>
          <cell r="C5540">
            <v>42750.735881944442</v>
          </cell>
        </row>
        <row r="5541">
          <cell r="A5541">
            <v>3035750661</v>
          </cell>
          <cell r="B5541" t="str">
            <v>Sample Rejected</v>
          </cell>
          <cell r="C5541">
            <v>42750.735881944442</v>
          </cell>
        </row>
        <row r="5542">
          <cell r="A5542">
            <v>3035749829</v>
          </cell>
          <cell r="B5542" t="str">
            <v>Sample Rejected</v>
          </cell>
          <cell r="C5542">
            <v>42750.735881944442</v>
          </cell>
        </row>
        <row r="5543">
          <cell r="A5543">
            <v>3035750579</v>
          </cell>
          <cell r="B5543" t="str">
            <v>Sample Rejected</v>
          </cell>
          <cell r="C5543">
            <v>42750.735881944442</v>
          </cell>
        </row>
        <row r="5544">
          <cell r="A5544">
            <v>3035604564</v>
          </cell>
          <cell r="B5544" t="str">
            <v>Sample Rejected</v>
          </cell>
          <cell r="C5544">
            <v>42750.735881944442</v>
          </cell>
        </row>
        <row r="5545">
          <cell r="A5545">
            <v>3035648883</v>
          </cell>
          <cell r="B5545" t="str">
            <v>Sample Rejected</v>
          </cell>
          <cell r="C5545">
            <v>42750.735881944442</v>
          </cell>
        </row>
        <row r="5546">
          <cell r="A5546">
            <v>3035760944</v>
          </cell>
          <cell r="B5546" t="str">
            <v>Sample Rejected</v>
          </cell>
          <cell r="C5546">
            <v>42750.735881944442</v>
          </cell>
        </row>
        <row r="5547">
          <cell r="A5547">
            <v>3035756983</v>
          </cell>
          <cell r="B5547" t="str">
            <v>Sample Rejected</v>
          </cell>
          <cell r="C5547">
            <v>42750.735881944442</v>
          </cell>
        </row>
        <row r="5548">
          <cell r="A5548">
            <v>3035750824</v>
          </cell>
          <cell r="B5548" t="str">
            <v>Sample Rejected</v>
          </cell>
          <cell r="C5548">
            <v>42750.735881944442</v>
          </cell>
        </row>
        <row r="5549">
          <cell r="A5549">
            <v>3035746015</v>
          </cell>
          <cell r="B5549" t="str">
            <v>Sample Rejected</v>
          </cell>
          <cell r="C5549">
            <v>42750.735881944442</v>
          </cell>
        </row>
        <row r="5550">
          <cell r="A5550">
            <v>3035757887</v>
          </cell>
          <cell r="B5550" t="str">
            <v>Sample Rejected</v>
          </cell>
          <cell r="C5550">
            <v>42750.735881944442</v>
          </cell>
        </row>
        <row r="5551">
          <cell r="A5551">
            <v>3035756766</v>
          </cell>
          <cell r="B5551" t="str">
            <v>Sample Rejected</v>
          </cell>
          <cell r="C5551">
            <v>42750.735881944442</v>
          </cell>
        </row>
        <row r="5552">
          <cell r="A5552">
            <v>3035759405</v>
          </cell>
          <cell r="B5552" t="str">
            <v>Sample Rejected</v>
          </cell>
          <cell r="C5552">
            <v>42750.735881944442</v>
          </cell>
        </row>
        <row r="5553">
          <cell r="A5553">
            <v>3035745965</v>
          </cell>
          <cell r="B5553" t="str">
            <v>Sample Rejected</v>
          </cell>
          <cell r="C5553">
            <v>42750.735881944442</v>
          </cell>
        </row>
        <row r="5554">
          <cell r="A5554">
            <v>3035749187</v>
          </cell>
          <cell r="B5554" t="str">
            <v>Sample Rejected</v>
          </cell>
          <cell r="C5554">
            <v>42750.735881944442</v>
          </cell>
        </row>
        <row r="5555">
          <cell r="A5555">
            <v>3035746563</v>
          </cell>
          <cell r="B5555" t="str">
            <v>Sample Rejected</v>
          </cell>
          <cell r="C5555">
            <v>42750.735881944442</v>
          </cell>
        </row>
        <row r="5556">
          <cell r="A5556">
            <v>3035656834</v>
          </cell>
          <cell r="B5556" t="str">
            <v>Sample Rejected</v>
          </cell>
          <cell r="C5556">
            <v>42750.735881944442</v>
          </cell>
        </row>
        <row r="5557">
          <cell r="A5557">
            <v>3035747421</v>
          </cell>
          <cell r="B5557" t="str">
            <v>Sample Rejected</v>
          </cell>
          <cell r="C5557">
            <v>42750.735881944442</v>
          </cell>
        </row>
        <row r="5558">
          <cell r="A5558">
            <v>3035747746</v>
          </cell>
          <cell r="B5558" t="str">
            <v>Sample Rejected</v>
          </cell>
          <cell r="C5558">
            <v>42750.735881944442</v>
          </cell>
        </row>
        <row r="5559">
          <cell r="A5559">
            <v>3035751827</v>
          </cell>
          <cell r="B5559" t="str">
            <v>Sample Rejected</v>
          </cell>
          <cell r="C5559">
            <v>42750.735881944442</v>
          </cell>
        </row>
        <row r="5560">
          <cell r="A5560">
            <v>3035728545</v>
          </cell>
          <cell r="B5560" t="str">
            <v>Sample Rejected</v>
          </cell>
          <cell r="C5560">
            <v>42750.735881944442</v>
          </cell>
        </row>
        <row r="5561">
          <cell r="A5561">
            <v>3035749133</v>
          </cell>
          <cell r="B5561" t="str">
            <v>Sample Rejected</v>
          </cell>
          <cell r="C5561">
            <v>42750.735881944442</v>
          </cell>
        </row>
        <row r="5562">
          <cell r="A5562">
            <v>3035756257</v>
          </cell>
          <cell r="B5562" t="str">
            <v>Sample Rejected</v>
          </cell>
          <cell r="C5562">
            <v>42750.735881944442</v>
          </cell>
        </row>
        <row r="5563">
          <cell r="A5563">
            <v>3035759421</v>
          </cell>
          <cell r="B5563" t="str">
            <v>Sample Rejected</v>
          </cell>
          <cell r="C5563">
            <v>42750.735881944442</v>
          </cell>
        </row>
        <row r="5564">
          <cell r="A5564">
            <v>3035722808</v>
          </cell>
          <cell r="B5564" t="str">
            <v>Sample Rejected</v>
          </cell>
          <cell r="C5564">
            <v>42750.735881944442</v>
          </cell>
        </row>
        <row r="5565">
          <cell r="A5565">
            <v>3035753832</v>
          </cell>
          <cell r="B5565" t="str">
            <v>Sample Rejected</v>
          </cell>
          <cell r="C5565">
            <v>42750.735881944442</v>
          </cell>
        </row>
        <row r="5566">
          <cell r="A5566">
            <v>3035757775</v>
          </cell>
          <cell r="B5566" t="str">
            <v>Sample Rejected</v>
          </cell>
          <cell r="C5566">
            <v>42750.735881944442</v>
          </cell>
        </row>
        <row r="5567">
          <cell r="A5567">
            <v>3035746605</v>
          </cell>
          <cell r="B5567" t="str">
            <v>Sample Rejected</v>
          </cell>
          <cell r="C5567">
            <v>42750.735881944442</v>
          </cell>
        </row>
        <row r="5568">
          <cell r="A5568">
            <v>3035746767</v>
          </cell>
          <cell r="B5568" t="str">
            <v>Sample Rejected</v>
          </cell>
          <cell r="C5568">
            <v>42750.735881944442</v>
          </cell>
        </row>
        <row r="5569">
          <cell r="A5569">
            <v>3035753686</v>
          </cell>
          <cell r="B5569" t="str">
            <v>Sample Rejected</v>
          </cell>
          <cell r="C5569">
            <v>42750.735881944442</v>
          </cell>
        </row>
        <row r="5570">
          <cell r="A5570">
            <v>3035728029</v>
          </cell>
          <cell r="B5570" t="str">
            <v>Sample Rejected</v>
          </cell>
          <cell r="C5570">
            <v>42750.735881944442</v>
          </cell>
        </row>
        <row r="5571">
          <cell r="A5571">
            <v>3035751847</v>
          </cell>
          <cell r="B5571" t="str">
            <v>Sample Rejected</v>
          </cell>
          <cell r="C5571">
            <v>42750.735881944442</v>
          </cell>
        </row>
        <row r="5572">
          <cell r="A5572">
            <v>3035749502</v>
          </cell>
          <cell r="B5572" t="str">
            <v>Sample Rejected</v>
          </cell>
          <cell r="C5572">
            <v>42750.735881944442</v>
          </cell>
        </row>
        <row r="5573">
          <cell r="A5573">
            <v>3035756453</v>
          </cell>
          <cell r="B5573" t="str">
            <v>Sample Rejected</v>
          </cell>
          <cell r="C5573">
            <v>42750.735881944442</v>
          </cell>
        </row>
        <row r="5574">
          <cell r="A5574">
            <v>3035749296</v>
          </cell>
          <cell r="B5574" t="str">
            <v>Sample Rejected</v>
          </cell>
          <cell r="C5574">
            <v>42750.735881944442</v>
          </cell>
        </row>
        <row r="5575">
          <cell r="A5575">
            <v>3035751687</v>
          </cell>
          <cell r="B5575" t="str">
            <v>Sample Rejected</v>
          </cell>
          <cell r="C5575">
            <v>42750.735881944442</v>
          </cell>
        </row>
        <row r="5576">
          <cell r="A5576">
            <v>3035760016</v>
          </cell>
          <cell r="B5576" t="str">
            <v>Sample Rejected</v>
          </cell>
          <cell r="C5576">
            <v>42750.735881944442</v>
          </cell>
        </row>
        <row r="5577">
          <cell r="A5577">
            <v>3035753728</v>
          </cell>
          <cell r="B5577" t="str">
            <v>Sample Rejected</v>
          </cell>
          <cell r="C5577">
            <v>42750.735881944442</v>
          </cell>
        </row>
        <row r="5578">
          <cell r="A5578">
            <v>3035548716</v>
          </cell>
          <cell r="B5578" t="str">
            <v>Sample Rejected</v>
          </cell>
          <cell r="C5578">
            <v>42750.735881944442</v>
          </cell>
        </row>
        <row r="5579">
          <cell r="A5579">
            <v>3035759851</v>
          </cell>
          <cell r="B5579" t="str">
            <v>Sample Rejected</v>
          </cell>
          <cell r="C5579">
            <v>42750.735881944442</v>
          </cell>
        </row>
        <row r="5580">
          <cell r="A5580">
            <v>3035692825</v>
          </cell>
          <cell r="B5580" t="str">
            <v>Sample Rejected</v>
          </cell>
          <cell r="C5580">
            <v>42750.735881944442</v>
          </cell>
        </row>
        <row r="5581">
          <cell r="A5581">
            <v>3035551342</v>
          </cell>
          <cell r="B5581" t="str">
            <v>Sample Rejected</v>
          </cell>
          <cell r="C5581">
            <v>42750.735881944442</v>
          </cell>
        </row>
        <row r="5582">
          <cell r="A5582">
            <v>3035747448</v>
          </cell>
          <cell r="B5582" t="str">
            <v>Sample Rejected</v>
          </cell>
          <cell r="C5582">
            <v>42750.735881944442</v>
          </cell>
        </row>
        <row r="5583">
          <cell r="A5583">
            <v>3035748552</v>
          </cell>
          <cell r="B5583" t="str">
            <v>Sample Rejected</v>
          </cell>
          <cell r="C5583">
            <v>42750.735881944442</v>
          </cell>
        </row>
        <row r="5584">
          <cell r="A5584">
            <v>3035759398</v>
          </cell>
          <cell r="B5584" t="str">
            <v>Sample Rejected</v>
          </cell>
          <cell r="C5584">
            <v>42750.735881944442</v>
          </cell>
        </row>
        <row r="5585">
          <cell r="A5585">
            <v>3035748836</v>
          </cell>
          <cell r="B5585" t="str">
            <v>Sample Rejected</v>
          </cell>
          <cell r="C5585">
            <v>42750.735881944442</v>
          </cell>
        </row>
        <row r="5586">
          <cell r="A5586">
            <v>3035692412</v>
          </cell>
          <cell r="B5586" t="str">
            <v>Sample Rejected</v>
          </cell>
          <cell r="C5586">
            <v>42750.735881944442</v>
          </cell>
        </row>
        <row r="5587">
          <cell r="A5587">
            <v>3035722540</v>
          </cell>
          <cell r="B5587" t="str">
            <v>Sample Rejected</v>
          </cell>
          <cell r="C5587">
            <v>42750.735881944442</v>
          </cell>
        </row>
        <row r="5588">
          <cell r="A5588">
            <v>3035764018</v>
          </cell>
          <cell r="B5588" t="str">
            <v>Sample Rejected</v>
          </cell>
          <cell r="C5588">
            <v>42750.735881944442</v>
          </cell>
        </row>
        <row r="5589">
          <cell r="A5589">
            <v>3035746915</v>
          </cell>
          <cell r="B5589" t="str">
            <v>Sample Rejected</v>
          </cell>
          <cell r="C5589">
            <v>42750.735881944442</v>
          </cell>
        </row>
        <row r="5590">
          <cell r="A5590">
            <v>3035748654</v>
          </cell>
          <cell r="B5590" t="str">
            <v>Sample Rejected</v>
          </cell>
          <cell r="C5590">
            <v>42750.735881944442</v>
          </cell>
        </row>
        <row r="5591">
          <cell r="A5591">
            <v>3035759563</v>
          </cell>
          <cell r="B5591" t="str">
            <v>Sample Rejected</v>
          </cell>
          <cell r="C5591">
            <v>42750.735881944442</v>
          </cell>
        </row>
        <row r="5592">
          <cell r="A5592">
            <v>3035759936</v>
          </cell>
          <cell r="B5592" t="str">
            <v>Sample Rejected</v>
          </cell>
          <cell r="C5592">
            <v>42750.735881944442</v>
          </cell>
        </row>
        <row r="5593">
          <cell r="A5593">
            <v>3035751349</v>
          </cell>
          <cell r="B5593" t="str">
            <v>Sample Rejected</v>
          </cell>
          <cell r="C5593">
            <v>42750.735881944442</v>
          </cell>
        </row>
        <row r="5594">
          <cell r="A5594">
            <v>3035747490</v>
          </cell>
          <cell r="B5594" t="str">
            <v>Sample Rejected</v>
          </cell>
          <cell r="C5594">
            <v>42750.735881944442</v>
          </cell>
        </row>
        <row r="5595">
          <cell r="A5595">
            <v>3035750253</v>
          </cell>
          <cell r="B5595" t="str">
            <v>Sample Rejected</v>
          </cell>
          <cell r="C5595">
            <v>42750.735881944442</v>
          </cell>
        </row>
        <row r="5596">
          <cell r="A5596">
            <v>3035751771</v>
          </cell>
          <cell r="B5596" t="str">
            <v>Sample Rejected</v>
          </cell>
          <cell r="C5596">
            <v>42750.735881944442</v>
          </cell>
        </row>
        <row r="5597">
          <cell r="A5597">
            <v>3035765142</v>
          </cell>
          <cell r="B5597" t="str">
            <v>Sample Rejected</v>
          </cell>
          <cell r="C5597">
            <v>42750.735881944442</v>
          </cell>
        </row>
        <row r="5598">
          <cell r="A5598">
            <v>3035754301</v>
          </cell>
          <cell r="B5598" t="str">
            <v>Sample Rejected</v>
          </cell>
          <cell r="C5598">
            <v>42750.735881944442</v>
          </cell>
        </row>
        <row r="5599">
          <cell r="A5599">
            <v>3035759381</v>
          </cell>
          <cell r="B5599" t="str">
            <v>Sample Rejected</v>
          </cell>
          <cell r="C5599">
            <v>42750.735881944442</v>
          </cell>
        </row>
        <row r="5600">
          <cell r="A5600">
            <v>3035762475</v>
          </cell>
          <cell r="B5600" t="str">
            <v>Sample Rejected</v>
          </cell>
          <cell r="C5600">
            <v>42750.735881944442</v>
          </cell>
        </row>
        <row r="5601">
          <cell r="A5601">
            <v>3035689525</v>
          </cell>
          <cell r="B5601" t="str">
            <v>Sample Rejected</v>
          </cell>
          <cell r="C5601">
            <v>42750.735881944442</v>
          </cell>
        </row>
        <row r="5602">
          <cell r="A5602">
            <v>3035756341</v>
          </cell>
          <cell r="B5602" t="str">
            <v>Sample Rejected</v>
          </cell>
          <cell r="C5602">
            <v>42750.735881944442</v>
          </cell>
        </row>
        <row r="5603">
          <cell r="A5603">
            <v>3035759652</v>
          </cell>
          <cell r="B5603" t="str">
            <v>Sample Rejected</v>
          </cell>
          <cell r="C5603">
            <v>42750.735881944442</v>
          </cell>
        </row>
        <row r="5604">
          <cell r="A5604">
            <v>3035750359</v>
          </cell>
          <cell r="B5604" t="str">
            <v>Sample Rejected</v>
          </cell>
          <cell r="C5604">
            <v>42750.735881944442</v>
          </cell>
        </row>
        <row r="5605">
          <cell r="A5605">
            <v>3035748908</v>
          </cell>
          <cell r="B5605" t="str">
            <v>Sample Rejected</v>
          </cell>
          <cell r="C5605">
            <v>42750.735881944442</v>
          </cell>
        </row>
        <row r="5606">
          <cell r="A5606">
            <v>3035757538</v>
          </cell>
          <cell r="B5606" t="str">
            <v>Sample Rejected</v>
          </cell>
          <cell r="C5606">
            <v>42750.735881944442</v>
          </cell>
        </row>
        <row r="5607">
          <cell r="A5607">
            <v>3035752599</v>
          </cell>
          <cell r="B5607" t="str">
            <v>Sample Rejected</v>
          </cell>
          <cell r="C5607">
            <v>42750.735881944442</v>
          </cell>
        </row>
        <row r="5608">
          <cell r="A5608">
            <v>3035752925</v>
          </cell>
          <cell r="B5608" t="str">
            <v>Sample Rejected</v>
          </cell>
          <cell r="C5608">
            <v>42750.735881944442</v>
          </cell>
        </row>
        <row r="5609">
          <cell r="A5609">
            <v>3035746256</v>
          </cell>
          <cell r="B5609" t="str">
            <v>Sample Rejected</v>
          </cell>
          <cell r="C5609">
            <v>42750.735881944442</v>
          </cell>
        </row>
        <row r="5610">
          <cell r="A5610">
            <v>3035747499</v>
          </cell>
          <cell r="B5610" t="str">
            <v>Sample Rejected</v>
          </cell>
          <cell r="C5610">
            <v>42750.735881944442</v>
          </cell>
        </row>
        <row r="5611">
          <cell r="A5611">
            <v>3035759486</v>
          </cell>
          <cell r="B5611" t="str">
            <v>Sample Rejected</v>
          </cell>
          <cell r="C5611">
            <v>42750.735881944442</v>
          </cell>
        </row>
        <row r="5612">
          <cell r="A5612">
            <v>3035746313</v>
          </cell>
          <cell r="B5612" t="str">
            <v>Sample Rejected</v>
          </cell>
          <cell r="C5612">
            <v>42750.735881944442</v>
          </cell>
        </row>
        <row r="5613">
          <cell r="A5613">
            <v>3035755516</v>
          </cell>
          <cell r="B5613" t="str">
            <v>Sample Rejected</v>
          </cell>
          <cell r="C5613">
            <v>42750.735881944442</v>
          </cell>
        </row>
        <row r="5614">
          <cell r="A5614">
            <v>3035765357</v>
          </cell>
          <cell r="B5614" t="str">
            <v>Sample Rejected</v>
          </cell>
          <cell r="C5614">
            <v>42750.735881944442</v>
          </cell>
        </row>
        <row r="5615">
          <cell r="A5615">
            <v>3035761670</v>
          </cell>
          <cell r="B5615" t="str">
            <v>Sample Rejected</v>
          </cell>
          <cell r="C5615">
            <v>42750.735881944442</v>
          </cell>
        </row>
        <row r="5616">
          <cell r="A5616">
            <v>3035696501</v>
          </cell>
          <cell r="B5616" t="str">
            <v>Sample Rejected</v>
          </cell>
          <cell r="C5616">
            <v>42749.737991238428</v>
          </cell>
        </row>
        <row r="5617">
          <cell r="A5617">
            <v>3035725525</v>
          </cell>
          <cell r="B5617" t="str">
            <v>Sample Rejected</v>
          </cell>
          <cell r="C5617">
            <v>42749.737991238428</v>
          </cell>
        </row>
        <row r="5618">
          <cell r="A5618">
            <v>3035722973</v>
          </cell>
          <cell r="B5618" t="str">
            <v>Sample Rejected</v>
          </cell>
          <cell r="C5618">
            <v>42749.737991238428</v>
          </cell>
        </row>
        <row r="5619">
          <cell r="A5619">
            <v>3035728616</v>
          </cell>
          <cell r="B5619" t="str">
            <v>Sample Rejected</v>
          </cell>
          <cell r="C5619">
            <v>42749.737991238428</v>
          </cell>
        </row>
        <row r="5620">
          <cell r="A5620">
            <v>3035722656</v>
          </cell>
          <cell r="B5620" t="str">
            <v>Sample Rejected</v>
          </cell>
          <cell r="C5620">
            <v>42749.737991238428</v>
          </cell>
        </row>
        <row r="5621">
          <cell r="A5621">
            <v>3035716277</v>
          </cell>
          <cell r="B5621" t="str">
            <v>Sample Rejected</v>
          </cell>
          <cell r="C5621">
            <v>42749.737991238428</v>
          </cell>
        </row>
        <row r="5622">
          <cell r="A5622">
            <v>3035723048</v>
          </cell>
          <cell r="B5622" t="str">
            <v>Sample Rejected</v>
          </cell>
          <cell r="C5622">
            <v>42749.737991238428</v>
          </cell>
        </row>
        <row r="5623">
          <cell r="A5623">
            <v>3035714494</v>
          </cell>
          <cell r="B5623" t="str">
            <v>Sample Rejected</v>
          </cell>
          <cell r="C5623">
            <v>42749.737991238428</v>
          </cell>
        </row>
        <row r="5624">
          <cell r="A5624">
            <v>3035726480</v>
          </cell>
          <cell r="B5624" t="str">
            <v>Sample Rejected</v>
          </cell>
          <cell r="C5624">
            <v>42749.737991238428</v>
          </cell>
        </row>
        <row r="5625">
          <cell r="A5625">
            <v>3035726927</v>
          </cell>
          <cell r="B5625" t="str">
            <v>Sample Rejected</v>
          </cell>
          <cell r="C5625">
            <v>42749.737991238428</v>
          </cell>
        </row>
        <row r="5626">
          <cell r="A5626">
            <v>3035686301</v>
          </cell>
          <cell r="B5626" t="str">
            <v>Sample Rejected</v>
          </cell>
          <cell r="C5626">
            <v>42749.737991238428</v>
          </cell>
        </row>
        <row r="5627">
          <cell r="A5627">
            <v>3035720646</v>
          </cell>
          <cell r="B5627" t="str">
            <v>Sample Rejected</v>
          </cell>
          <cell r="C5627">
            <v>42749.737991238428</v>
          </cell>
        </row>
        <row r="5628">
          <cell r="A5628">
            <v>3035730142</v>
          </cell>
          <cell r="B5628" t="str">
            <v>Sample Rejected</v>
          </cell>
          <cell r="C5628">
            <v>42749.737991238428</v>
          </cell>
        </row>
        <row r="5629">
          <cell r="A5629">
            <v>3035722097</v>
          </cell>
          <cell r="B5629" t="str">
            <v>Sample Rejected</v>
          </cell>
          <cell r="C5629">
            <v>42749.737991238428</v>
          </cell>
        </row>
        <row r="5630">
          <cell r="A5630">
            <v>3035714898</v>
          </cell>
          <cell r="B5630" t="str">
            <v>Sample Rejected</v>
          </cell>
          <cell r="C5630">
            <v>42749.737991238428</v>
          </cell>
        </row>
        <row r="5631">
          <cell r="A5631">
            <v>3035722084</v>
          </cell>
          <cell r="B5631" t="str">
            <v>Sample Rejected</v>
          </cell>
          <cell r="C5631">
            <v>42749.737991238428</v>
          </cell>
        </row>
        <row r="5632">
          <cell r="A5632">
            <v>3035714899</v>
          </cell>
          <cell r="B5632" t="str">
            <v>Sample Rejected</v>
          </cell>
          <cell r="C5632">
            <v>42749.737991238428</v>
          </cell>
        </row>
        <row r="5633">
          <cell r="A5633">
            <v>3035717141</v>
          </cell>
          <cell r="B5633" t="str">
            <v>Sample Rejected</v>
          </cell>
          <cell r="C5633">
            <v>42749.737991238428</v>
          </cell>
        </row>
        <row r="5634">
          <cell r="A5634">
            <v>3035713156</v>
          </cell>
          <cell r="B5634" t="str">
            <v>Sample Rejected</v>
          </cell>
          <cell r="C5634">
            <v>42749.737991238428</v>
          </cell>
        </row>
        <row r="5635">
          <cell r="A5635">
            <v>3035436630</v>
          </cell>
          <cell r="B5635" t="str">
            <v>Sample Rejected</v>
          </cell>
          <cell r="C5635">
            <v>42749.737991238428</v>
          </cell>
        </row>
        <row r="5636">
          <cell r="A5636">
            <v>3035726796</v>
          </cell>
          <cell r="B5636" t="str">
            <v>Sample Rejected</v>
          </cell>
          <cell r="C5636">
            <v>42749.737991238428</v>
          </cell>
        </row>
        <row r="5637">
          <cell r="A5637">
            <v>3035720155</v>
          </cell>
          <cell r="B5637" t="str">
            <v>Sample Rejected</v>
          </cell>
          <cell r="C5637">
            <v>42749.737991238428</v>
          </cell>
        </row>
        <row r="5638">
          <cell r="A5638">
            <v>3035728120</v>
          </cell>
          <cell r="B5638" t="str">
            <v>Sample Rejected</v>
          </cell>
          <cell r="C5638">
            <v>42749.737991238428</v>
          </cell>
        </row>
        <row r="5639">
          <cell r="A5639">
            <v>3035441598</v>
          </cell>
          <cell r="B5639" t="str">
            <v>Sample Rejected</v>
          </cell>
          <cell r="C5639">
            <v>42749.737991238428</v>
          </cell>
        </row>
        <row r="5640">
          <cell r="A5640">
            <v>3035722720</v>
          </cell>
          <cell r="B5640" t="str">
            <v>Sample Rejected</v>
          </cell>
          <cell r="C5640">
            <v>42749.737991238428</v>
          </cell>
        </row>
        <row r="5641">
          <cell r="A5641">
            <v>3035699542</v>
          </cell>
          <cell r="B5641" t="str">
            <v>Sample Rejected</v>
          </cell>
          <cell r="C5641">
            <v>42749.737991238428</v>
          </cell>
        </row>
        <row r="5642">
          <cell r="A5642">
            <v>3035722813</v>
          </cell>
          <cell r="B5642" t="str">
            <v>Sample Rejected</v>
          </cell>
          <cell r="C5642">
            <v>42749.737991238428</v>
          </cell>
        </row>
        <row r="5643">
          <cell r="A5643">
            <v>3035714349</v>
          </cell>
          <cell r="B5643" t="str">
            <v>Sample Rejected</v>
          </cell>
          <cell r="C5643">
            <v>42749.737991238428</v>
          </cell>
        </row>
        <row r="5644">
          <cell r="A5644">
            <v>3035714321</v>
          </cell>
          <cell r="B5644" t="str">
            <v>Sample Rejected</v>
          </cell>
          <cell r="C5644">
            <v>42749.737991238428</v>
          </cell>
        </row>
        <row r="5645">
          <cell r="A5645">
            <v>3035720341</v>
          </cell>
          <cell r="B5645" t="str">
            <v>Sample Rejected</v>
          </cell>
          <cell r="C5645">
            <v>42749.737991238428</v>
          </cell>
        </row>
        <row r="5646">
          <cell r="A5646">
            <v>3035656720</v>
          </cell>
          <cell r="B5646" t="str">
            <v>Sample Rejected</v>
          </cell>
          <cell r="C5646">
            <v>42749.737991238428</v>
          </cell>
        </row>
        <row r="5647">
          <cell r="A5647">
            <v>3035716175</v>
          </cell>
          <cell r="B5647" t="str">
            <v>Sample Rejected</v>
          </cell>
          <cell r="C5647">
            <v>42749.737991238428</v>
          </cell>
        </row>
        <row r="5648">
          <cell r="A5648">
            <v>3035714173</v>
          </cell>
          <cell r="B5648" t="str">
            <v>Sample Rejected</v>
          </cell>
          <cell r="C5648">
            <v>42749.737991238428</v>
          </cell>
        </row>
        <row r="5649">
          <cell r="A5649">
            <v>3035730451</v>
          </cell>
          <cell r="B5649" t="str">
            <v>Sample Rejected</v>
          </cell>
          <cell r="C5649">
            <v>42749.737991238428</v>
          </cell>
        </row>
        <row r="5650">
          <cell r="A5650">
            <v>3035723886</v>
          </cell>
          <cell r="B5650" t="str">
            <v>Sample Rejected</v>
          </cell>
          <cell r="C5650">
            <v>42749.737991238428</v>
          </cell>
        </row>
        <row r="5651">
          <cell r="A5651">
            <v>3035723804</v>
          </cell>
          <cell r="B5651" t="str">
            <v>Sample Rejected</v>
          </cell>
          <cell r="C5651">
            <v>42749.737991238428</v>
          </cell>
        </row>
        <row r="5652">
          <cell r="A5652">
            <v>3035715577</v>
          </cell>
          <cell r="B5652" t="str">
            <v>Sample Rejected</v>
          </cell>
          <cell r="C5652">
            <v>42749.737991238428</v>
          </cell>
        </row>
        <row r="5653">
          <cell r="A5653">
            <v>3035712125</v>
          </cell>
          <cell r="B5653" t="str">
            <v>Sample Rejected</v>
          </cell>
          <cell r="C5653">
            <v>42749.737991238428</v>
          </cell>
        </row>
        <row r="5654">
          <cell r="A5654">
            <v>3035721027</v>
          </cell>
          <cell r="B5654" t="str">
            <v>Sample Rejected</v>
          </cell>
          <cell r="C5654">
            <v>42749.737991238428</v>
          </cell>
        </row>
        <row r="5655">
          <cell r="A5655">
            <v>3035682011</v>
          </cell>
          <cell r="B5655" t="str">
            <v>Sample Rejected</v>
          </cell>
          <cell r="C5655">
            <v>42749.737991238428</v>
          </cell>
        </row>
        <row r="5656">
          <cell r="A5656">
            <v>3035722211</v>
          </cell>
          <cell r="B5656" t="str">
            <v>Sample Rejected</v>
          </cell>
          <cell r="C5656">
            <v>42749.737991238428</v>
          </cell>
        </row>
        <row r="5657">
          <cell r="A5657">
            <v>3035733000</v>
          </cell>
          <cell r="B5657" t="str">
            <v>Sample Rejected</v>
          </cell>
          <cell r="C5657">
            <v>42749.737991238428</v>
          </cell>
        </row>
        <row r="5658">
          <cell r="A5658">
            <v>3035712918</v>
          </cell>
          <cell r="B5658" t="str">
            <v>Sample Rejected</v>
          </cell>
          <cell r="C5658">
            <v>42749.737991238428</v>
          </cell>
        </row>
        <row r="5659">
          <cell r="A5659">
            <v>3035663049</v>
          </cell>
          <cell r="B5659" t="str">
            <v>Sample Rejected</v>
          </cell>
          <cell r="C5659">
            <v>42749.737991238428</v>
          </cell>
        </row>
        <row r="5660">
          <cell r="A5660">
            <v>3035662989</v>
          </cell>
          <cell r="B5660" t="str">
            <v>Sample Rejected</v>
          </cell>
          <cell r="C5660">
            <v>42749.737991238428</v>
          </cell>
        </row>
        <row r="5661">
          <cell r="A5661">
            <v>3035713572</v>
          </cell>
          <cell r="B5661" t="str">
            <v>Sample Rejected</v>
          </cell>
          <cell r="C5661">
            <v>42749.737991238428</v>
          </cell>
        </row>
        <row r="5662">
          <cell r="A5662">
            <v>3035693563</v>
          </cell>
          <cell r="B5662" t="str">
            <v>Sample Rejected</v>
          </cell>
          <cell r="C5662">
            <v>42749.737991238428</v>
          </cell>
        </row>
        <row r="5663">
          <cell r="A5663">
            <v>3035721937</v>
          </cell>
          <cell r="B5663" t="str">
            <v>Sample Rejected</v>
          </cell>
          <cell r="C5663">
            <v>42749.737991238428</v>
          </cell>
        </row>
        <row r="5664">
          <cell r="A5664">
            <v>3035687315</v>
          </cell>
          <cell r="B5664" t="str">
            <v>Sample Rejected</v>
          </cell>
          <cell r="C5664">
            <v>42749.737991238428</v>
          </cell>
        </row>
        <row r="5665">
          <cell r="A5665">
            <v>3035714028</v>
          </cell>
          <cell r="B5665" t="str">
            <v>Sample Rejected</v>
          </cell>
          <cell r="C5665">
            <v>42749.737991238428</v>
          </cell>
        </row>
        <row r="5666">
          <cell r="A5666">
            <v>3035661446</v>
          </cell>
          <cell r="B5666" t="str">
            <v>Sample Rejected</v>
          </cell>
          <cell r="C5666">
            <v>42749.737991238428</v>
          </cell>
        </row>
        <row r="5667">
          <cell r="A5667">
            <v>3035723289</v>
          </cell>
          <cell r="B5667" t="str">
            <v>Sample Rejected</v>
          </cell>
          <cell r="C5667">
            <v>42749.737991238428</v>
          </cell>
        </row>
        <row r="5668">
          <cell r="A5668">
            <v>3035715279</v>
          </cell>
          <cell r="B5668" t="str">
            <v>Sample Rejected</v>
          </cell>
          <cell r="C5668">
            <v>42749.737991238428</v>
          </cell>
        </row>
        <row r="5669">
          <cell r="A5669">
            <v>3035728384</v>
          </cell>
          <cell r="B5669" t="str">
            <v>Sample Rejected</v>
          </cell>
          <cell r="C5669">
            <v>42749.737991238428</v>
          </cell>
        </row>
        <row r="5670">
          <cell r="A5670">
            <v>3035683341</v>
          </cell>
          <cell r="B5670" t="str">
            <v>Sample Rejected</v>
          </cell>
          <cell r="C5670">
            <v>42749.737991238428</v>
          </cell>
        </row>
        <row r="5671">
          <cell r="A5671">
            <v>3035729697</v>
          </cell>
          <cell r="B5671" t="str">
            <v>Sample Rejected</v>
          </cell>
          <cell r="C5671">
            <v>42749.737991238428</v>
          </cell>
        </row>
        <row r="5672">
          <cell r="A5672">
            <v>3035713503</v>
          </cell>
          <cell r="B5672" t="str">
            <v>Sample Rejected</v>
          </cell>
          <cell r="C5672">
            <v>42749.737991238428</v>
          </cell>
        </row>
        <row r="5673">
          <cell r="A5673">
            <v>3035716787</v>
          </cell>
          <cell r="B5673" t="str">
            <v>Sample Rejected</v>
          </cell>
          <cell r="C5673">
            <v>42749.737991238428</v>
          </cell>
        </row>
        <row r="5674">
          <cell r="A5674">
            <v>3035714202</v>
          </cell>
          <cell r="B5674" t="str">
            <v>Sample Rejected</v>
          </cell>
          <cell r="C5674">
            <v>42749.737991238428</v>
          </cell>
        </row>
        <row r="5675">
          <cell r="A5675">
            <v>3035653943</v>
          </cell>
          <cell r="B5675" t="str">
            <v>Sample Rejected</v>
          </cell>
          <cell r="C5675">
            <v>42749.737991238428</v>
          </cell>
        </row>
        <row r="5676">
          <cell r="A5676">
            <v>3035725597</v>
          </cell>
          <cell r="B5676" t="str">
            <v>Sample Rejected</v>
          </cell>
          <cell r="C5676">
            <v>42749.737991238428</v>
          </cell>
        </row>
        <row r="5677">
          <cell r="A5677">
            <v>3035620440</v>
          </cell>
          <cell r="B5677" t="str">
            <v>Sample Rejected</v>
          </cell>
          <cell r="C5677">
            <v>42749.737991238428</v>
          </cell>
        </row>
        <row r="5678">
          <cell r="A5678">
            <v>3035715121</v>
          </cell>
          <cell r="B5678" t="str">
            <v>Sample Rejected</v>
          </cell>
          <cell r="C5678">
            <v>42749.737991238428</v>
          </cell>
        </row>
        <row r="5679">
          <cell r="A5679">
            <v>3035720247</v>
          </cell>
          <cell r="B5679" t="str">
            <v>Sample Rejected</v>
          </cell>
          <cell r="C5679">
            <v>42749.737991238428</v>
          </cell>
        </row>
        <row r="5680">
          <cell r="A5680">
            <v>3035724775</v>
          </cell>
          <cell r="B5680" t="str">
            <v>Sample Rejected</v>
          </cell>
          <cell r="C5680">
            <v>42749.737991238428</v>
          </cell>
        </row>
        <row r="5681">
          <cell r="A5681">
            <v>3035718648</v>
          </cell>
          <cell r="B5681" t="str">
            <v>Sample Rejected</v>
          </cell>
          <cell r="C5681">
            <v>42749.737991238428</v>
          </cell>
        </row>
        <row r="5682">
          <cell r="A5682">
            <v>3035713833</v>
          </cell>
          <cell r="B5682" t="str">
            <v>Sample Rejected</v>
          </cell>
          <cell r="C5682">
            <v>42749.737991238428</v>
          </cell>
        </row>
        <row r="5683">
          <cell r="A5683">
            <v>3035662728</v>
          </cell>
          <cell r="B5683" t="str">
            <v>Sample Rejected</v>
          </cell>
          <cell r="C5683">
            <v>42749.737991238428</v>
          </cell>
        </row>
        <row r="5684">
          <cell r="A5684">
            <v>3035715200</v>
          </cell>
          <cell r="B5684" t="str">
            <v>Sample Rejected</v>
          </cell>
          <cell r="C5684">
            <v>42749.737991238428</v>
          </cell>
        </row>
        <row r="5685">
          <cell r="A5685">
            <v>3035713970</v>
          </cell>
          <cell r="B5685" t="str">
            <v>Sample Rejected</v>
          </cell>
          <cell r="C5685">
            <v>42749.737991238428</v>
          </cell>
        </row>
        <row r="5686">
          <cell r="A5686">
            <v>3035720723</v>
          </cell>
          <cell r="B5686" t="str">
            <v>Sample Rejected</v>
          </cell>
          <cell r="C5686">
            <v>42749.737991238428</v>
          </cell>
        </row>
        <row r="5687">
          <cell r="A5687">
            <v>3035715090</v>
          </cell>
          <cell r="B5687" t="str">
            <v>Sample Rejected</v>
          </cell>
          <cell r="C5687">
            <v>42749.737991238428</v>
          </cell>
        </row>
        <row r="5688">
          <cell r="A5688">
            <v>3035723669</v>
          </cell>
          <cell r="B5688" t="str">
            <v>Sample Rejected</v>
          </cell>
          <cell r="C5688">
            <v>42749.737991238428</v>
          </cell>
        </row>
        <row r="5689">
          <cell r="A5689">
            <v>3035717781</v>
          </cell>
          <cell r="B5689" t="str">
            <v>Sample Rejected</v>
          </cell>
          <cell r="C5689">
            <v>42749.737991238428</v>
          </cell>
        </row>
        <row r="5690">
          <cell r="A5690">
            <v>3035715657</v>
          </cell>
          <cell r="B5690" t="str">
            <v>Sample Rejected</v>
          </cell>
          <cell r="C5690">
            <v>42749.737991238428</v>
          </cell>
        </row>
        <row r="5691">
          <cell r="A5691">
            <v>3035644987</v>
          </cell>
          <cell r="B5691" t="str">
            <v>Sample Rejected</v>
          </cell>
          <cell r="C5691">
            <v>42749.737991238428</v>
          </cell>
        </row>
        <row r="5692">
          <cell r="A5692">
            <v>3035716741</v>
          </cell>
          <cell r="B5692" t="str">
            <v>Sample Rejected</v>
          </cell>
          <cell r="C5692">
            <v>42749.737991238428</v>
          </cell>
        </row>
        <row r="5693">
          <cell r="A5693">
            <v>3035722264</v>
          </cell>
          <cell r="B5693" t="str">
            <v>Sample Rejected</v>
          </cell>
          <cell r="C5693">
            <v>42749.737991238428</v>
          </cell>
        </row>
        <row r="5694">
          <cell r="A5694">
            <v>3035715866</v>
          </cell>
          <cell r="B5694" t="str">
            <v>Sample Rejected</v>
          </cell>
          <cell r="C5694">
            <v>42749.737991238428</v>
          </cell>
        </row>
        <row r="5695">
          <cell r="A5695">
            <v>3035731612</v>
          </cell>
          <cell r="B5695" t="str">
            <v>Sample Rejected</v>
          </cell>
          <cell r="C5695">
            <v>42749.737991238428</v>
          </cell>
        </row>
        <row r="5696">
          <cell r="A5696">
            <v>3035481307</v>
          </cell>
          <cell r="B5696" t="str">
            <v>Sample Rejected</v>
          </cell>
          <cell r="C5696">
            <v>42749.737991238428</v>
          </cell>
        </row>
        <row r="5697">
          <cell r="A5697">
            <v>3035716505</v>
          </cell>
          <cell r="B5697" t="str">
            <v>Sample Rejected</v>
          </cell>
          <cell r="C5697">
            <v>42749.737991238428</v>
          </cell>
        </row>
        <row r="5698">
          <cell r="A5698">
            <v>3035716024</v>
          </cell>
          <cell r="B5698" t="str">
            <v>Sample Rejected</v>
          </cell>
          <cell r="C5698">
            <v>42749.737991238428</v>
          </cell>
        </row>
        <row r="5699">
          <cell r="A5699">
            <v>3035713863</v>
          </cell>
          <cell r="B5699" t="str">
            <v>Sample Rejected</v>
          </cell>
          <cell r="C5699">
            <v>42749.737991238428</v>
          </cell>
        </row>
        <row r="5700">
          <cell r="A5700">
            <v>3035446052</v>
          </cell>
          <cell r="B5700" t="str">
            <v>Sample Rejected</v>
          </cell>
          <cell r="C5700">
            <v>42749.737991238428</v>
          </cell>
        </row>
        <row r="5701">
          <cell r="A5701">
            <v>3035717269</v>
          </cell>
          <cell r="B5701" t="str">
            <v>Sample Rejected</v>
          </cell>
          <cell r="C5701">
            <v>42749.737991238428</v>
          </cell>
        </row>
        <row r="5702">
          <cell r="A5702">
            <v>3035693311</v>
          </cell>
          <cell r="B5702" t="str">
            <v>Sample Rejected</v>
          </cell>
          <cell r="C5702">
            <v>42749.737991238428</v>
          </cell>
        </row>
        <row r="5703">
          <cell r="A5703">
            <v>3035721604</v>
          </cell>
          <cell r="B5703" t="str">
            <v>Sample Rejected</v>
          </cell>
          <cell r="C5703">
            <v>42749.737991238428</v>
          </cell>
        </row>
        <row r="5704">
          <cell r="A5704">
            <v>3035715173</v>
          </cell>
          <cell r="B5704" t="str">
            <v>Sample Rejected</v>
          </cell>
          <cell r="C5704">
            <v>42749.737991238428</v>
          </cell>
        </row>
        <row r="5705">
          <cell r="A5705">
            <v>3035603065</v>
          </cell>
          <cell r="B5705" t="str">
            <v>Sample Rejected</v>
          </cell>
          <cell r="C5705">
            <v>42749.737991238428</v>
          </cell>
        </row>
        <row r="5706">
          <cell r="A5706">
            <v>3035713963</v>
          </cell>
          <cell r="B5706" t="str">
            <v>Sample Rejected</v>
          </cell>
          <cell r="C5706">
            <v>42749.737991238428</v>
          </cell>
        </row>
        <row r="5707">
          <cell r="A5707">
            <v>3035747403</v>
          </cell>
          <cell r="B5707" t="str">
            <v>Sample Rejected</v>
          </cell>
          <cell r="C5707">
            <v>42750.735881944442</v>
          </cell>
        </row>
        <row r="5708">
          <cell r="A5708">
            <v>3035719135</v>
          </cell>
          <cell r="B5708" t="str">
            <v>Sample Rejected</v>
          </cell>
          <cell r="C5708">
            <v>42749.738012581016</v>
          </cell>
        </row>
        <row r="5709">
          <cell r="A5709">
            <v>3035751882</v>
          </cell>
          <cell r="B5709" t="str">
            <v>Sample Rejected</v>
          </cell>
          <cell r="C5709">
            <v>42750.735881944442</v>
          </cell>
        </row>
        <row r="5710">
          <cell r="A5710">
            <v>3035753466</v>
          </cell>
          <cell r="B5710" t="str">
            <v>Sample Rejected</v>
          </cell>
          <cell r="C5710">
            <v>42750.735881944442</v>
          </cell>
        </row>
        <row r="5711">
          <cell r="A5711">
            <v>3035747915</v>
          </cell>
          <cell r="B5711" t="str">
            <v>Sample Rejected</v>
          </cell>
          <cell r="C5711">
            <v>42750.735881944442</v>
          </cell>
        </row>
        <row r="5712">
          <cell r="A5712">
            <v>3035751308</v>
          </cell>
          <cell r="B5712" t="str">
            <v>Sample Rejected</v>
          </cell>
          <cell r="C5712">
            <v>42750.735881944442</v>
          </cell>
        </row>
        <row r="5713">
          <cell r="A5713">
            <v>3035757202</v>
          </cell>
          <cell r="B5713" t="str">
            <v>Sample Rejected</v>
          </cell>
          <cell r="C5713">
            <v>42750.735881944442</v>
          </cell>
        </row>
        <row r="5714">
          <cell r="A5714">
            <v>3035747072</v>
          </cell>
          <cell r="B5714" t="str">
            <v>Sample Rejected</v>
          </cell>
          <cell r="C5714">
            <v>42750.735881944442</v>
          </cell>
        </row>
        <row r="5715">
          <cell r="A5715">
            <v>3035747178</v>
          </cell>
          <cell r="B5715" t="str">
            <v>Sample Rejected</v>
          </cell>
          <cell r="C5715">
            <v>42750.735881944442</v>
          </cell>
        </row>
        <row r="5716">
          <cell r="A5716">
            <v>3035758295</v>
          </cell>
          <cell r="B5716" t="str">
            <v>Sample Rejected</v>
          </cell>
          <cell r="C5716">
            <v>42750.735881944442</v>
          </cell>
        </row>
        <row r="5717">
          <cell r="A5717">
            <v>3035751579</v>
          </cell>
          <cell r="B5717" t="str">
            <v>Sample Rejected</v>
          </cell>
          <cell r="C5717">
            <v>42750.735881944442</v>
          </cell>
        </row>
        <row r="5718">
          <cell r="A5718">
            <v>3035655365</v>
          </cell>
          <cell r="B5718" t="str">
            <v>Sample Rejected</v>
          </cell>
          <cell r="C5718">
            <v>42750.735881944442</v>
          </cell>
        </row>
        <row r="5719">
          <cell r="A5719">
            <v>3035753785</v>
          </cell>
          <cell r="B5719" t="str">
            <v>Sample Rejected</v>
          </cell>
          <cell r="C5719">
            <v>42754.737961145831</v>
          </cell>
        </row>
        <row r="5720">
          <cell r="A5720">
            <v>3035808610</v>
          </cell>
          <cell r="B5720" t="str">
            <v>Sample Rejected</v>
          </cell>
          <cell r="C5720">
            <v>42754.737961145831</v>
          </cell>
        </row>
        <row r="5721">
          <cell r="A5721">
            <v>3035751917</v>
          </cell>
          <cell r="B5721" t="str">
            <v>Sample Rejected</v>
          </cell>
          <cell r="C5721">
            <v>42754.737961145831</v>
          </cell>
        </row>
        <row r="5722">
          <cell r="A5722">
            <v>3035845846</v>
          </cell>
          <cell r="B5722" t="str">
            <v>Sample Rejected</v>
          </cell>
          <cell r="C5722">
            <v>42754.737961145831</v>
          </cell>
        </row>
        <row r="5723">
          <cell r="A5723">
            <v>3035861474</v>
          </cell>
          <cell r="B5723" t="str">
            <v>Sample Rejected</v>
          </cell>
          <cell r="C5723">
            <v>42754.737961145831</v>
          </cell>
        </row>
        <row r="5724">
          <cell r="A5724">
            <v>3035845700</v>
          </cell>
          <cell r="B5724" t="str">
            <v>Sample Rejected</v>
          </cell>
          <cell r="C5724">
            <v>42754.737961145831</v>
          </cell>
        </row>
        <row r="5725">
          <cell r="A5725">
            <v>3035847225</v>
          </cell>
          <cell r="B5725" t="str">
            <v>Sample Rejected</v>
          </cell>
          <cell r="C5725">
            <v>42754.737961145831</v>
          </cell>
        </row>
        <row r="5726">
          <cell r="A5726">
            <v>3035546141</v>
          </cell>
          <cell r="B5726" t="str">
            <v>Sample Rejected</v>
          </cell>
          <cell r="C5726">
            <v>42754.737961145831</v>
          </cell>
        </row>
        <row r="5727">
          <cell r="A5727">
            <v>3035865053</v>
          </cell>
          <cell r="B5727" t="str">
            <v>Sample Rejected</v>
          </cell>
          <cell r="C5727">
            <v>42754.737961145831</v>
          </cell>
        </row>
        <row r="5728">
          <cell r="A5728">
            <v>3035852247</v>
          </cell>
          <cell r="B5728" t="str">
            <v>Sample Rejected</v>
          </cell>
          <cell r="C5728">
            <v>42754.737961145831</v>
          </cell>
        </row>
        <row r="5729">
          <cell r="A5729">
            <v>3035853518</v>
          </cell>
          <cell r="B5729" t="str">
            <v>Sample Rejected</v>
          </cell>
          <cell r="C5729">
            <v>42754.737961145831</v>
          </cell>
        </row>
        <row r="5730">
          <cell r="A5730">
            <v>3035727314</v>
          </cell>
          <cell r="B5730" t="str">
            <v>Sample Rejected</v>
          </cell>
          <cell r="C5730">
            <v>42754.737961145831</v>
          </cell>
        </row>
        <row r="5731">
          <cell r="A5731">
            <v>3035815056</v>
          </cell>
          <cell r="B5731" t="str">
            <v>Sample Rejected</v>
          </cell>
          <cell r="C5731">
            <v>42754.737961145831</v>
          </cell>
        </row>
        <row r="5732">
          <cell r="A5732">
            <v>3035850689</v>
          </cell>
          <cell r="B5732" t="str">
            <v>Sample Rejected</v>
          </cell>
          <cell r="C5732">
            <v>42754.737961145831</v>
          </cell>
        </row>
        <row r="5733">
          <cell r="A5733">
            <v>3035844452</v>
          </cell>
          <cell r="B5733" t="str">
            <v>Sample Rejected</v>
          </cell>
          <cell r="C5733">
            <v>42754.737961145831</v>
          </cell>
        </row>
        <row r="5734">
          <cell r="A5734">
            <v>3035852490</v>
          </cell>
          <cell r="B5734" t="str">
            <v>Sample Rejected</v>
          </cell>
          <cell r="C5734">
            <v>42754.737961145831</v>
          </cell>
        </row>
        <row r="5735">
          <cell r="A5735">
            <v>3035845069</v>
          </cell>
          <cell r="B5735" t="str">
            <v>Sample Rejected</v>
          </cell>
          <cell r="C5735">
            <v>42754.737961145831</v>
          </cell>
        </row>
        <row r="5736">
          <cell r="A5736">
            <v>3035844628</v>
          </cell>
          <cell r="B5736" t="str">
            <v>Sample Rejected</v>
          </cell>
          <cell r="C5736">
            <v>42754.737961145831</v>
          </cell>
        </row>
        <row r="5737">
          <cell r="A5737">
            <v>3035851617</v>
          </cell>
          <cell r="B5737" t="str">
            <v>Sample Rejected</v>
          </cell>
          <cell r="C5737">
            <v>42754.737961145831</v>
          </cell>
        </row>
        <row r="5738">
          <cell r="A5738">
            <v>3035845757</v>
          </cell>
          <cell r="B5738" t="str">
            <v>Sample Rejected</v>
          </cell>
          <cell r="C5738">
            <v>42754.737961145831</v>
          </cell>
        </row>
        <row r="5739">
          <cell r="A5739">
            <v>3035864900</v>
          </cell>
          <cell r="B5739" t="str">
            <v>Sample Rejected</v>
          </cell>
          <cell r="C5739">
            <v>42754.737961145831</v>
          </cell>
        </row>
        <row r="5740">
          <cell r="A5740">
            <v>3035854395</v>
          </cell>
          <cell r="B5740" t="str">
            <v>Sample Rejected</v>
          </cell>
          <cell r="C5740">
            <v>42754.737961145831</v>
          </cell>
        </row>
        <row r="5741">
          <cell r="A5741">
            <v>3035807454</v>
          </cell>
          <cell r="B5741" t="str">
            <v>Sample Rejected</v>
          </cell>
          <cell r="C5741">
            <v>42754.737961145831</v>
          </cell>
        </row>
        <row r="5742">
          <cell r="A5742">
            <v>3035849529</v>
          </cell>
          <cell r="B5742" t="str">
            <v>Sample Rejected</v>
          </cell>
          <cell r="C5742">
            <v>42754.737961145831</v>
          </cell>
        </row>
        <row r="5743">
          <cell r="A5743">
            <v>3035843280</v>
          </cell>
          <cell r="B5743" t="str">
            <v>Sample Rejected</v>
          </cell>
          <cell r="C5743">
            <v>42754.737961145831</v>
          </cell>
        </row>
        <row r="5744">
          <cell r="A5744">
            <v>3035867674</v>
          </cell>
          <cell r="B5744" t="str">
            <v>Sample Rejected</v>
          </cell>
          <cell r="C5744">
            <v>42754.737961145831</v>
          </cell>
        </row>
        <row r="5745">
          <cell r="A5745">
            <v>3035844959</v>
          </cell>
          <cell r="B5745" t="str">
            <v>Sample Rejected</v>
          </cell>
          <cell r="C5745">
            <v>42754.737961145831</v>
          </cell>
        </row>
        <row r="5746">
          <cell r="A5746">
            <v>3035843449</v>
          </cell>
          <cell r="B5746" t="str">
            <v>Sample Rejected</v>
          </cell>
          <cell r="C5746">
            <v>42754.737961145831</v>
          </cell>
        </row>
        <row r="5747">
          <cell r="A5747">
            <v>3035844636</v>
          </cell>
          <cell r="B5747" t="str">
            <v>Sample Rejected</v>
          </cell>
          <cell r="C5747">
            <v>42754.737961145831</v>
          </cell>
        </row>
        <row r="5748">
          <cell r="A5748">
            <v>3035809450</v>
          </cell>
          <cell r="B5748" t="str">
            <v>Sample Rejected</v>
          </cell>
          <cell r="C5748">
            <v>42754.737961145831</v>
          </cell>
        </row>
        <row r="5749">
          <cell r="A5749">
            <v>3035846854</v>
          </cell>
          <cell r="B5749" t="str">
            <v>Sample Rejected</v>
          </cell>
          <cell r="C5749">
            <v>42754.737961145831</v>
          </cell>
        </row>
        <row r="5750">
          <cell r="A5750">
            <v>3035853794</v>
          </cell>
          <cell r="B5750" t="str">
            <v>Sample Rejected</v>
          </cell>
          <cell r="C5750">
            <v>42754.737961145831</v>
          </cell>
        </row>
        <row r="5751">
          <cell r="A5751">
            <v>3035843565</v>
          </cell>
          <cell r="B5751" t="str">
            <v>Sample Rejected</v>
          </cell>
          <cell r="C5751">
            <v>42754.737961145831</v>
          </cell>
        </row>
        <row r="5752">
          <cell r="A5752">
            <v>3035817583</v>
          </cell>
          <cell r="B5752" t="str">
            <v>Sample Rejected</v>
          </cell>
          <cell r="C5752">
            <v>42754.737961145831</v>
          </cell>
        </row>
        <row r="5753">
          <cell r="A5753">
            <v>3035844318</v>
          </cell>
          <cell r="B5753" t="str">
            <v>Sample Rejected</v>
          </cell>
          <cell r="C5753">
            <v>42754.737961145831</v>
          </cell>
        </row>
        <row r="5754">
          <cell r="A5754">
            <v>3035820867</v>
          </cell>
          <cell r="B5754" t="str">
            <v>Sample Rejected</v>
          </cell>
          <cell r="C5754">
            <v>42754.737961145831</v>
          </cell>
        </row>
        <row r="5755">
          <cell r="A5755">
            <v>3035853946</v>
          </cell>
          <cell r="B5755" t="str">
            <v>Sample Rejected</v>
          </cell>
          <cell r="C5755">
            <v>42754.737961145831</v>
          </cell>
        </row>
        <row r="5756">
          <cell r="A5756">
            <v>3035863345</v>
          </cell>
          <cell r="B5756" t="str">
            <v>Sample Rejected</v>
          </cell>
          <cell r="C5756">
            <v>42754.737961145831</v>
          </cell>
        </row>
        <row r="5757">
          <cell r="A5757">
            <v>3035749038</v>
          </cell>
          <cell r="B5757" t="str">
            <v>Sample Rejected</v>
          </cell>
          <cell r="C5757">
            <v>42754.737961145831</v>
          </cell>
        </row>
        <row r="5758">
          <cell r="A5758">
            <v>3035806836</v>
          </cell>
          <cell r="B5758" t="str">
            <v>Sample Rejected</v>
          </cell>
          <cell r="C5758">
            <v>42754.737961145831</v>
          </cell>
        </row>
        <row r="5759">
          <cell r="A5759">
            <v>3035850663</v>
          </cell>
          <cell r="B5759" t="str">
            <v>Sample Rejected</v>
          </cell>
          <cell r="C5759">
            <v>42754.737961145831</v>
          </cell>
        </row>
        <row r="5760">
          <cell r="A5760">
            <v>3035861860</v>
          </cell>
          <cell r="B5760" t="str">
            <v>Sample Rejected</v>
          </cell>
          <cell r="C5760">
            <v>42754.737961145831</v>
          </cell>
        </row>
        <row r="5761">
          <cell r="A5761">
            <v>3035849439</v>
          </cell>
          <cell r="B5761" t="str">
            <v>Sample Rejected</v>
          </cell>
          <cell r="C5761">
            <v>42754.737961145831</v>
          </cell>
        </row>
        <row r="5762">
          <cell r="A5762">
            <v>3035859443</v>
          </cell>
          <cell r="B5762" t="str">
            <v>Sample Rejected</v>
          </cell>
          <cell r="C5762">
            <v>42754.737961145831</v>
          </cell>
        </row>
        <row r="5763">
          <cell r="A5763">
            <v>3035752087</v>
          </cell>
          <cell r="B5763" t="str">
            <v>Sample Rejected</v>
          </cell>
          <cell r="C5763">
            <v>42754.737961145831</v>
          </cell>
        </row>
        <row r="5764">
          <cell r="A5764">
            <v>3035826589</v>
          </cell>
          <cell r="B5764" t="str">
            <v>Sample Rejected</v>
          </cell>
          <cell r="C5764">
            <v>42754.737961145831</v>
          </cell>
        </row>
        <row r="5765">
          <cell r="A5765">
            <v>3035811640</v>
          </cell>
          <cell r="B5765" t="str">
            <v>Sample Rejected</v>
          </cell>
          <cell r="C5765">
            <v>42754.737961145831</v>
          </cell>
        </row>
        <row r="5766">
          <cell r="A5766">
            <v>3035856184</v>
          </cell>
          <cell r="B5766" t="str">
            <v>Sample Rejected</v>
          </cell>
          <cell r="C5766">
            <v>42754.737961145831</v>
          </cell>
        </row>
        <row r="5767">
          <cell r="A5767">
            <v>3035859896</v>
          </cell>
          <cell r="B5767" t="str">
            <v>Sample Rejected</v>
          </cell>
          <cell r="C5767">
            <v>42754.737961145831</v>
          </cell>
        </row>
        <row r="5768">
          <cell r="A5768">
            <v>3035845001</v>
          </cell>
          <cell r="B5768" t="str">
            <v>Sample Rejected</v>
          </cell>
          <cell r="C5768">
            <v>42754.737961145831</v>
          </cell>
        </row>
        <row r="5769">
          <cell r="A5769">
            <v>3035852714</v>
          </cell>
          <cell r="B5769" t="str">
            <v>Sample Rejected</v>
          </cell>
          <cell r="C5769">
            <v>42754.737961145831</v>
          </cell>
        </row>
        <row r="5770">
          <cell r="A5770">
            <v>3035853769</v>
          </cell>
          <cell r="B5770" t="str">
            <v>Sample Rejected</v>
          </cell>
          <cell r="C5770">
            <v>42754.737961145831</v>
          </cell>
        </row>
        <row r="5771">
          <cell r="A5771">
            <v>3035856729</v>
          </cell>
          <cell r="B5771" t="str">
            <v>Sample Rejected</v>
          </cell>
          <cell r="C5771">
            <v>42754.737961145831</v>
          </cell>
        </row>
        <row r="5772">
          <cell r="A5772">
            <v>3035844911</v>
          </cell>
          <cell r="B5772" t="str">
            <v>Sample Rejected</v>
          </cell>
          <cell r="C5772">
            <v>42754.737961145831</v>
          </cell>
        </row>
        <row r="5773">
          <cell r="A5773">
            <v>3035815887</v>
          </cell>
          <cell r="B5773" t="str">
            <v>Sample Rejected</v>
          </cell>
          <cell r="C5773">
            <v>42754.737961145831</v>
          </cell>
        </row>
        <row r="5774">
          <cell r="A5774">
            <v>3035860697</v>
          </cell>
          <cell r="B5774" t="str">
            <v>Sample Rejected</v>
          </cell>
          <cell r="C5774">
            <v>42754.737961145831</v>
          </cell>
        </row>
        <row r="5775">
          <cell r="A5775">
            <v>3035818840</v>
          </cell>
          <cell r="B5775" t="str">
            <v>Sample Rejected</v>
          </cell>
          <cell r="C5775">
            <v>42754.737961145831</v>
          </cell>
        </row>
        <row r="5776">
          <cell r="A5776">
            <v>3035853263</v>
          </cell>
          <cell r="B5776" t="str">
            <v>Sample Rejected</v>
          </cell>
          <cell r="C5776">
            <v>42754.737961145831</v>
          </cell>
        </row>
        <row r="5777">
          <cell r="A5777">
            <v>3035847254</v>
          </cell>
          <cell r="B5777" t="str">
            <v>Sample Rejected</v>
          </cell>
          <cell r="C5777">
            <v>42754.737961145831</v>
          </cell>
        </row>
        <row r="5778">
          <cell r="A5778">
            <v>3035732028</v>
          </cell>
          <cell r="B5778" t="str">
            <v>Sample Rejected</v>
          </cell>
          <cell r="C5778">
            <v>42754.737961145831</v>
          </cell>
        </row>
        <row r="5779">
          <cell r="A5779">
            <v>3035506721</v>
          </cell>
          <cell r="B5779" t="str">
            <v>Sample Rejected</v>
          </cell>
          <cell r="C5779">
            <v>42754.737961145831</v>
          </cell>
        </row>
        <row r="5780">
          <cell r="A5780">
            <v>3035865266</v>
          </cell>
          <cell r="B5780" t="str">
            <v>Sample Rejected</v>
          </cell>
          <cell r="C5780">
            <v>42754.737961145831</v>
          </cell>
        </row>
        <row r="5781">
          <cell r="A5781">
            <v>3035816662</v>
          </cell>
          <cell r="B5781" t="str">
            <v>Sample Rejected</v>
          </cell>
          <cell r="C5781">
            <v>42754.737961145831</v>
          </cell>
        </row>
        <row r="5782">
          <cell r="A5782">
            <v>3035846996</v>
          </cell>
          <cell r="B5782" t="str">
            <v>Sample Rejected</v>
          </cell>
          <cell r="C5782">
            <v>42754.737961145831</v>
          </cell>
        </row>
        <row r="5783">
          <cell r="A5783">
            <v>3035862138</v>
          </cell>
          <cell r="B5783" t="str">
            <v>Sample Rejected</v>
          </cell>
          <cell r="C5783">
            <v>42754.737961145831</v>
          </cell>
        </row>
        <row r="5784">
          <cell r="A5784">
            <v>3035853731</v>
          </cell>
          <cell r="B5784" t="str">
            <v>Sample Rejected</v>
          </cell>
          <cell r="C5784">
            <v>42754.737961145831</v>
          </cell>
        </row>
        <row r="5785">
          <cell r="A5785">
            <v>3035850048</v>
          </cell>
          <cell r="B5785" t="str">
            <v>Sample Rejected</v>
          </cell>
          <cell r="C5785">
            <v>42754.737961145831</v>
          </cell>
        </row>
        <row r="5786">
          <cell r="A5786">
            <v>3035843163</v>
          </cell>
          <cell r="B5786" t="str">
            <v>Sample Rejected</v>
          </cell>
          <cell r="C5786">
            <v>42754.737961145831</v>
          </cell>
        </row>
        <row r="5787">
          <cell r="A5787">
            <v>3035691263</v>
          </cell>
          <cell r="B5787" t="str">
            <v>Sample Rejected</v>
          </cell>
          <cell r="C5787">
            <v>42754.737961145831</v>
          </cell>
        </row>
        <row r="5788">
          <cell r="A5788">
            <v>3035847930</v>
          </cell>
          <cell r="B5788" t="str">
            <v>Sample Rejected</v>
          </cell>
          <cell r="C5788">
            <v>42754.737961145831</v>
          </cell>
        </row>
        <row r="5789">
          <cell r="A5789">
            <v>3035812417</v>
          </cell>
          <cell r="B5789" t="str">
            <v>Sample Rejected</v>
          </cell>
          <cell r="C5789">
            <v>42754.737961145831</v>
          </cell>
        </row>
        <row r="5790">
          <cell r="A5790">
            <v>3035819868</v>
          </cell>
          <cell r="B5790" t="str">
            <v>Sample Rejected</v>
          </cell>
          <cell r="C5790">
            <v>42754.737961145831</v>
          </cell>
        </row>
        <row r="5791">
          <cell r="A5791">
            <v>3035856759</v>
          </cell>
          <cell r="B5791" t="str">
            <v>Sample Rejected</v>
          </cell>
          <cell r="C5791">
            <v>42754.737961145831</v>
          </cell>
        </row>
        <row r="5792">
          <cell r="A5792">
            <v>3035773635</v>
          </cell>
          <cell r="B5792" t="str">
            <v>Sample Rejected</v>
          </cell>
          <cell r="C5792">
            <v>42754.737961145831</v>
          </cell>
        </row>
        <row r="5793">
          <cell r="A5793">
            <v>3035715984</v>
          </cell>
          <cell r="B5793" t="str">
            <v>Sample Rejected</v>
          </cell>
          <cell r="C5793">
            <v>42754.737961145831</v>
          </cell>
        </row>
        <row r="5794">
          <cell r="A5794">
            <v>3035844793</v>
          </cell>
          <cell r="B5794" t="str">
            <v>Sample Rejected</v>
          </cell>
          <cell r="C5794">
            <v>42754.737961145831</v>
          </cell>
        </row>
        <row r="5795">
          <cell r="A5795">
            <v>3035857411</v>
          </cell>
          <cell r="B5795" t="str">
            <v>Sample Rejected</v>
          </cell>
          <cell r="C5795">
            <v>42754.737961145831</v>
          </cell>
        </row>
        <row r="5796">
          <cell r="A5796">
            <v>3035859689</v>
          </cell>
          <cell r="B5796" t="str">
            <v>Sample Rejected</v>
          </cell>
          <cell r="C5796">
            <v>42754.737961145831</v>
          </cell>
        </row>
        <row r="5797">
          <cell r="A5797">
            <v>3035854604</v>
          </cell>
          <cell r="B5797" t="str">
            <v>Sample Rejected</v>
          </cell>
          <cell r="C5797">
            <v>42754.737961145831</v>
          </cell>
        </row>
        <row r="5798">
          <cell r="A5798">
            <v>3035680576</v>
          </cell>
          <cell r="B5798" t="str">
            <v>Sample Rejected</v>
          </cell>
          <cell r="C5798">
            <v>42754.737961145831</v>
          </cell>
        </row>
        <row r="5799">
          <cell r="A5799">
            <v>3035851793</v>
          </cell>
          <cell r="B5799" t="str">
            <v>Sample Rejected</v>
          </cell>
          <cell r="C5799">
            <v>42754.737961145831</v>
          </cell>
        </row>
        <row r="5800">
          <cell r="A5800">
            <v>3035850953</v>
          </cell>
          <cell r="B5800" t="str">
            <v>Sample Rejected</v>
          </cell>
          <cell r="C5800">
            <v>42754.737961145831</v>
          </cell>
        </row>
        <row r="5801">
          <cell r="A5801">
            <v>3035643267</v>
          </cell>
          <cell r="B5801" t="str">
            <v>Sample Rejected</v>
          </cell>
          <cell r="C5801">
            <v>42754.737961145831</v>
          </cell>
        </row>
        <row r="5802">
          <cell r="A5802">
            <v>3035858211</v>
          </cell>
          <cell r="B5802" t="str">
            <v>Sample Rejected</v>
          </cell>
          <cell r="C5802">
            <v>42754.737961145831</v>
          </cell>
        </row>
        <row r="5803">
          <cell r="A5803">
            <v>3035513528</v>
          </cell>
          <cell r="B5803" t="str">
            <v>Sample Rejected</v>
          </cell>
          <cell r="C5803">
            <v>42754.737961145831</v>
          </cell>
        </row>
        <row r="5804">
          <cell r="A5804">
            <v>3035846795</v>
          </cell>
          <cell r="B5804" t="str">
            <v>Sample Rejected</v>
          </cell>
          <cell r="C5804">
            <v>42754.737961145831</v>
          </cell>
        </row>
        <row r="5805">
          <cell r="A5805">
            <v>3035716960</v>
          </cell>
          <cell r="B5805" t="str">
            <v>Sample Rejected</v>
          </cell>
          <cell r="C5805">
            <v>42754.737961145831</v>
          </cell>
        </row>
        <row r="5806">
          <cell r="A5806">
            <v>3035806019</v>
          </cell>
          <cell r="B5806" t="str">
            <v>Sample Rejected</v>
          </cell>
          <cell r="C5806">
            <v>42754.737961145831</v>
          </cell>
        </row>
        <row r="5807">
          <cell r="A5807">
            <v>3035754345</v>
          </cell>
          <cell r="B5807" t="str">
            <v>Sample Rejected</v>
          </cell>
          <cell r="C5807">
            <v>42754.737961145831</v>
          </cell>
        </row>
        <row r="5808">
          <cell r="A5808">
            <v>3035854662</v>
          </cell>
          <cell r="B5808" t="str">
            <v>Sample Rejected</v>
          </cell>
          <cell r="C5808">
            <v>42754.737961145831</v>
          </cell>
        </row>
        <row r="5809">
          <cell r="A5809">
            <v>3035865641</v>
          </cell>
          <cell r="B5809" t="str">
            <v>Sample Rejected</v>
          </cell>
          <cell r="C5809">
            <v>42754.737961145831</v>
          </cell>
        </row>
        <row r="5810">
          <cell r="A5810">
            <v>3035826168</v>
          </cell>
          <cell r="B5810" t="str">
            <v>Sample Rejected</v>
          </cell>
          <cell r="C5810">
            <v>42754.737988923611</v>
          </cell>
        </row>
        <row r="5811">
          <cell r="A5811">
            <v>3035826866</v>
          </cell>
          <cell r="B5811" t="str">
            <v>Sample Rejected</v>
          </cell>
          <cell r="C5811">
            <v>42754.737961145831</v>
          </cell>
        </row>
        <row r="5812">
          <cell r="A5812">
            <v>3035845339</v>
          </cell>
          <cell r="B5812" t="str">
            <v>Sample Rejected</v>
          </cell>
          <cell r="C5812">
            <v>42754.737961145831</v>
          </cell>
        </row>
        <row r="5813">
          <cell r="A5813">
            <v>3035716176</v>
          </cell>
          <cell r="B5813" t="str">
            <v>Sample Rejected</v>
          </cell>
          <cell r="C5813">
            <v>42753.738214849538</v>
          </cell>
        </row>
        <row r="5814">
          <cell r="A5814">
            <v>3035807956</v>
          </cell>
          <cell r="B5814" t="str">
            <v>Sample Rejected</v>
          </cell>
          <cell r="C5814">
            <v>42753.738214849538</v>
          </cell>
        </row>
        <row r="5815">
          <cell r="A5815">
            <v>3035432015</v>
          </cell>
          <cell r="B5815" t="str">
            <v>Sample Rejected</v>
          </cell>
          <cell r="C5815">
            <v>42753.738214849538</v>
          </cell>
        </row>
        <row r="5816">
          <cell r="A5816">
            <v>3035825773</v>
          </cell>
          <cell r="B5816" t="str">
            <v>Sample Rejected</v>
          </cell>
          <cell r="C5816">
            <v>42753.738214849538</v>
          </cell>
        </row>
        <row r="5817">
          <cell r="A5817">
            <v>3035808053</v>
          </cell>
          <cell r="B5817" t="str">
            <v>Sample Rejected</v>
          </cell>
          <cell r="C5817">
            <v>42753.738214849538</v>
          </cell>
        </row>
        <row r="5818">
          <cell r="A5818">
            <v>3035690337</v>
          </cell>
          <cell r="B5818" t="str">
            <v>Sample Rejected</v>
          </cell>
          <cell r="C5818">
            <v>42753.738214849538</v>
          </cell>
        </row>
        <row r="5819">
          <cell r="A5819">
            <v>3035772914</v>
          </cell>
          <cell r="B5819" t="str">
            <v>Sample Rejected</v>
          </cell>
          <cell r="C5819">
            <v>42753.738214849538</v>
          </cell>
        </row>
        <row r="5820">
          <cell r="A5820">
            <v>3035823971</v>
          </cell>
          <cell r="B5820" t="str">
            <v>Sample Rejected</v>
          </cell>
          <cell r="C5820">
            <v>42753.738214849538</v>
          </cell>
        </row>
        <row r="5821">
          <cell r="A5821">
            <v>3035809939</v>
          </cell>
          <cell r="B5821" t="str">
            <v>Sample Rejected</v>
          </cell>
          <cell r="C5821">
            <v>42753.738214849538</v>
          </cell>
        </row>
        <row r="5822">
          <cell r="A5822">
            <v>3035602748</v>
          </cell>
          <cell r="B5822" t="str">
            <v>Sample Rejected</v>
          </cell>
          <cell r="C5822">
            <v>42753.738214849538</v>
          </cell>
        </row>
        <row r="5823">
          <cell r="A5823">
            <v>3035775300</v>
          </cell>
          <cell r="B5823" t="str">
            <v>Sample Rejected</v>
          </cell>
          <cell r="C5823">
            <v>42753.738214849538</v>
          </cell>
        </row>
        <row r="5824">
          <cell r="A5824">
            <v>3035824955</v>
          </cell>
          <cell r="B5824" t="str">
            <v>Sample Rejected</v>
          </cell>
          <cell r="C5824">
            <v>42753.738214849538</v>
          </cell>
        </row>
        <row r="5825">
          <cell r="A5825">
            <v>3035809231</v>
          </cell>
          <cell r="B5825" t="str">
            <v>Sample Rejected</v>
          </cell>
          <cell r="C5825">
            <v>42753.738214849538</v>
          </cell>
        </row>
        <row r="5826">
          <cell r="A5826">
            <v>3035811262</v>
          </cell>
          <cell r="B5826" t="str">
            <v>Sample Rejected</v>
          </cell>
          <cell r="C5826">
            <v>42753.738214849538</v>
          </cell>
        </row>
        <row r="5827">
          <cell r="A5827">
            <v>3035722885</v>
          </cell>
          <cell r="B5827" t="str">
            <v>Sample Rejected</v>
          </cell>
          <cell r="C5827">
            <v>42753.738214849538</v>
          </cell>
        </row>
        <row r="5828">
          <cell r="A5828">
            <v>3035820609</v>
          </cell>
          <cell r="B5828" t="str">
            <v>Sample Rejected</v>
          </cell>
          <cell r="C5828">
            <v>42753.738214849538</v>
          </cell>
        </row>
        <row r="5829">
          <cell r="A5829">
            <v>3035809814</v>
          </cell>
          <cell r="B5829" t="str">
            <v>Sample Rejected</v>
          </cell>
          <cell r="C5829">
            <v>42753.738214849538</v>
          </cell>
        </row>
        <row r="5830">
          <cell r="A5830">
            <v>3035680652</v>
          </cell>
          <cell r="B5830" t="str">
            <v>Sample Rejected</v>
          </cell>
          <cell r="C5830">
            <v>42753.738214849538</v>
          </cell>
        </row>
        <row r="5831">
          <cell r="A5831">
            <v>3035808190</v>
          </cell>
          <cell r="B5831" t="str">
            <v>Sample Rejected</v>
          </cell>
          <cell r="C5831">
            <v>42753.738214849538</v>
          </cell>
        </row>
        <row r="5832">
          <cell r="A5832">
            <v>3035656899</v>
          </cell>
          <cell r="B5832" t="str">
            <v>Sample Rejected</v>
          </cell>
          <cell r="C5832">
            <v>42753.738214849538</v>
          </cell>
        </row>
        <row r="5833">
          <cell r="A5833">
            <v>3035809945</v>
          </cell>
          <cell r="B5833" t="str">
            <v>Sample Rejected</v>
          </cell>
          <cell r="C5833">
            <v>42753.738214849538</v>
          </cell>
        </row>
        <row r="5834">
          <cell r="A5834">
            <v>3035822288</v>
          </cell>
          <cell r="B5834" t="str">
            <v>Sample Rejected</v>
          </cell>
          <cell r="C5834">
            <v>42753.738214849538</v>
          </cell>
        </row>
        <row r="5835">
          <cell r="A5835">
            <v>3035814760</v>
          </cell>
          <cell r="B5835" t="str">
            <v>Sample Rejected</v>
          </cell>
          <cell r="C5835">
            <v>42753.738214849538</v>
          </cell>
        </row>
        <row r="5836">
          <cell r="A5836">
            <v>3035773579</v>
          </cell>
          <cell r="B5836" t="str">
            <v>Sample Rejected</v>
          </cell>
          <cell r="C5836">
            <v>42753.738214849538</v>
          </cell>
        </row>
        <row r="5837">
          <cell r="A5837">
            <v>3035816450</v>
          </cell>
          <cell r="B5837" t="str">
            <v>Sample Rejected</v>
          </cell>
          <cell r="C5837">
            <v>42753.738214849538</v>
          </cell>
        </row>
        <row r="5838">
          <cell r="A5838">
            <v>3035809059</v>
          </cell>
          <cell r="B5838" t="str">
            <v>Sample Rejected</v>
          </cell>
          <cell r="C5838">
            <v>42753.738214849538</v>
          </cell>
        </row>
        <row r="5839">
          <cell r="A5839">
            <v>3035810519</v>
          </cell>
          <cell r="B5839" t="str">
            <v>Sample Rejected</v>
          </cell>
          <cell r="C5839">
            <v>42753.738214849538</v>
          </cell>
        </row>
        <row r="5840">
          <cell r="A5840">
            <v>3035805780</v>
          </cell>
          <cell r="B5840" t="str">
            <v>Sample Rejected</v>
          </cell>
          <cell r="C5840">
            <v>42753.738214849538</v>
          </cell>
        </row>
        <row r="5841">
          <cell r="A5841">
            <v>3035810770</v>
          </cell>
          <cell r="B5841" t="str">
            <v>Sample Rejected</v>
          </cell>
          <cell r="C5841">
            <v>42753.738214849538</v>
          </cell>
        </row>
        <row r="5842">
          <cell r="A5842">
            <v>3035810390</v>
          </cell>
          <cell r="B5842" t="str">
            <v>Sample Rejected</v>
          </cell>
          <cell r="C5842">
            <v>42753.738214849538</v>
          </cell>
        </row>
        <row r="5843">
          <cell r="A5843">
            <v>3035808417</v>
          </cell>
          <cell r="B5843" t="str">
            <v>Sample Rejected</v>
          </cell>
          <cell r="C5843">
            <v>42753.738214849538</v>
          </cell>
        </row>
        <row r="5844">
          <cell r="A5844">
            <v>3035773160</v>
          </cell>
          <cell r="B5844" t="str">
            <v>Sample Rejected</v>
          </cell>
          <cell r="C5844">
            <v>42751.734828043984</v>
          </cell>
        </row>
        <row r="5845">
          <cell r="A5845">
            <v>3035727075</v>
          </cell>
          <cell r="B5845" t="str">
            <v>Sample Rejected</v>
          </cell>
          <cell r="C5845">
            <v>42751.734828043984</v>
          </cell>
        </row>
        <row r="5846">
          <cell r="A5846">
            <v>3035775429</v>
          </cell>
          <cell r="B5846" t="str">
            <v>Sample Rejected</v>
          </cell>
          <cell r="C5846">
            <v>42751.734828043984</v>
          </cell>
        </row>
        <row r="5847">
          <cell r="A5847">
            <v>3035773666</v>
          </cell>
          <cell r="B5847" t="str">
            <v>Sample Rejected</v>
          </cell>
          <cell r="C5847">
            <v>42751.734828043984</v>
          </cell>
        </row>
        <row r="5848">
          <cell r="A5848">
            <v>3035774052</v>
          </cell>
          <cell r="B5848" t="str">
            <v>Sample Rejected</v>
          </cell>
          <cell r="C5848">
            <v>42751.734828043984</v>
          </cell>
        </row>
        <row r="5849">
          <cell r="A5849">
            <v>3035773306</v>
          </cell>
          <cell r="B5849" t="str">
            <v>Sample Rejected</v>
          </cell>
          <cell r="C5849">
            <v>42751.734828043984</v>
          </cell>
        </row>
        <row r="5850">
          <cell r="A5850">
            <v>3035772779</v>
          </cell>
          <cell r="B5850" t="str">
            <v>Sample Rejected</v>
          </cell>
          <cell r="C5850">
            <v>42751.734828043984</v>
          </cell>
        </row>
        <row r="5851">
          <cell r="A5851">
            <v>3035773471</v>
          </cell>
          <cell r="B5851" t="str">
            <v>Sample Rejected</v>
          </cell>
          <cell r="C5851">
            <v>42751.734828043984</v>
          </cell>
        </row>
        <row r="5852">
          <cell r="A5852">
            <v>3035773178</v>
          </cell>
          <cell r="B5852" t="str">
            <v>Sample Rejected</v>
          </cell>
          <cell r="C5852">
            <v>42751.734828043984</v>
          </cell>
        </row>
        <row r="5853">
          <cell r="A5853">
            <v>3035781072</v>
          </cell>
          <cell r="B5853" t="str">
            <v>Sample Rejected</v>
          </cell>
          <cell r="C5853">
            <v>42751.734828043984</v>
          </cell>
        </row>
        <row r="5854">
          <cell r="A5854">
            <v>3035774757</v>
          </cell>
          <cell r="B5854" t="str">
            <v>Sample Rejected</v>
          </cell>
          <cell r="C5854">
            <v>42751.734828043984</v>
          </cell>
        </row>
        <row r="5855">
          <cell r="A5855">
            <v>3035773531</v>
          </cell>
          <cell r="B5855" t="str">
            <v>Sample Rejected</v>
          </cell>
          <cell r="C5855">
            <v>42751.734828043984</v>
          </cell>
        </row>
        <row r="5856">
          <cell r="A5856">
            <v>3035773514</v>
          </cell>
          <cell r="B5856" t="str">
            <v>Sample Rejected</v>
          </cell>
          <cell r="C5856">
            <v>42751.734828043984</v>
          </cell>
        </row>
        <row r="5857">
          <cell r="A5857">
            <v>3035756261</v>
          </cell>
          <cell r="B5857" t="str">
            <v>Sample Rejected</v>
          </cell>
          <cell r="C5857">
            <v>42753.738214849538</v>
          </cell>
        </row>
        <row r="5858">
          <cell r="A5858">
            <v>3035761516</v>
          </cell>
          <cell r="B5858" t="str">
            <v>Sample Rejected</v>
          </cell>
          <cell r="C5858">
            <v>42753.738214849538</v>
          </cell>
        </row>
        <row r="5859">
          <cell r="A5859">
            <v>3035751490</v>
          </cell>
          <cell r="B5859" t="str">
            <v>Sample Rejected</v>
          </cell>
          <cell r="C5859">
            <v>42750.735881944442</v>
          </cell>
        </row>
        <row r="5860">
          <cell r="A5860">
            <v>3035749389</v>
          </cell>
          <cell r="B5860" t="str">
            <v>Sample Rejected</v>
          </cell>
          <cell r="C5860">
            <v>42750.735881944442</v>
          </cell>
        </row>
        <row r="5861">
          <cell r="A5861">
            <v>3035746676</v>
          </cell>
          <cell r="B5861" t="str">
            <v>Sample Rejected</v>
          </cell>
          <cell r="C5861">
            <v>42750.735881944442</v>
          </cell>
        </row>
        <row r="5862">
          <cell r="A5862">
            <v>3035754775</v>
          </cell>
          <cell r="B5862" t="str">
            <v>Sample Rejected</v>
          </cell>
          <cell r="C5862">
            <v>42750.735881944442</v>
          </cell>
        </row>
        <row r="5863">
          <cell r="A5863">
            <v>3034935293</v>
          </cell>
          <cell r="B5863" t="str">
            <v>Sample Rejected</v>
          </cell>
          <cell r="C5863">
            <v>42750.735900613428</v>
          </cell>
        </row>
        <row r="5864">
          <cell r="A5864">
            <v>3035760617</v>
          </cell>
          <cell r="B5864" t="str">
            <v>Sample Rejected</v>
          </cell>
          <cell r="C5864">
            <v>42750.735881944442</v>
          </cell>
        </row>
        <row r="5865">
          <cell r="A5865">
            <v>3035747236</v>
          </cell>
          <cell r="B5865" t="str">
            <v>Sample Rejected</v>
          </cell>
          <cell r="C5865">
            <v>42750.735881944442</v>
          </cell>
        </row>
        <row r="5866">
          <cell r="A5866">
            <v>3035776844</v>
          </cell>
          <cell r="B5866" t="str">
            <v>Sample Rejected</v>
          </cell>
          <cell r="C5866">
            <v>42751.734828043984</v>
          </cell>
        </row>
        <row r="5867">
          <cell r="A5867">
            <v>3035681165</v>
          </cell>
          <cell r="B5867" t="str">
            <v>Sample Rejected</v>
          </cell>
          <cell r="C5867">
            <v>42751.734828043984</v>
          </cell>
        </row>
        <row r="5868">
          <cell r="A5868">
            <v>3035776625</v>
          </cell>
          <cell r="B5868" t="str">
            <v>Sample Rejected</v>
          </cell>
          <cell r="C5868">
            <v>42751.734828043984</v>
          </cell>
        </row>
        <row r="5869">
          <cell r="A5869">
            <v>3035756896</v>
          </cell>
          <cell r="B5869" t="str">
            <v>Sample Rejected</v>
          </cell>
          <cell r="C5869">
            <v>42750.735881944442</v>
          </cell>
        </row>
        <row r="5870">
          <cell r="A5870">
            <v>3035779653</v>
          </cell>
          <cell r="B5870" t="str">
            <v>Sample Rejected</v>
          </cell>
          <cell r="C5870">
            <v>42751.734828043984</v>
          </cell>
        </row>
        <row r="5871">
          <cell r="A5871">
            <v>3035773583</v>
          </cell>
          <cell r="B5871" t="str">
            <v>Sample Rejected</v>
          </cell>
          <cell r="C5871">
            <v>42751.734828043984</v>
          </cell>
        </row>
        <row r="5872">
          <cell r="A5872">
            <v>3035775004</v>
          </cell>
          <cell r="B5872" t="str">
            <v>Sample Rejected</v>
          </cell>
          <cell r="C5872">
            <v>42751.734828043984</v>
          </cell>
        </row>
        <row r="5873">
          <cell r="A5873">
            <v>3035772739</v>
          </cell>
          <cell r="B5873" t="str">
            <v>Sample Rejected</v>
          </cell>
          <cell r="C5873">
            <v>42751.734828043984</v>
          </cell>
        </row>
        <row r="5874">
          <cell r="A5874">
            <v>3035773361</v>
          </cell>
          <cell r="B5874" t="str">
            <v>Sample Rejected</v>
          </cell>
          <cell r="C5874">
            <v>42751.734828043984</v>
          </cell>
        </row>
        <row r="5875">
          <cell r="A5875">
            <v>3035775569</v>
          </cell>
          <cell r="B5875" t="str">
            <v>Sample Rejected</v>
          </cell>
          <cell r="C5875">
            <v>42751.734828043984</v>
          </cell>
        </row>
        <row r="5876">
          <cell r="A5876">
            <v>3035753392</v>
          </cell>
          <cell r="B5876" t="str">
            <v>Sample Rejected</v>
          </cell>
          <cell r="C5876">
            <v>42751.734828043984</v>
          </cell>
        </row>
        <row r="5877">
          <cell r="A5877">
            <v>3035773092</v>
          </cell>
          <cell r="B5877" t="str">
            <v>Sample Rejected</v>
          </cell>
          <cell r="C5877">
            <v>42751.734828043984</v>
          </cell>
        </row>
        <row r="5878">
          <cell r="A5878">
            <v>3035773701</v>
          </cell>
          <cell r="B5878" t="str">
            <v>Sample Rejected</v>
          </cell>
          <cell r="C5878">
            <v>42751.734828043984</v>
          </cell>
        </row>
        <row r="5879">
          <cell r="A5879">
            <v>3035774876</v>
          </cell>
          <cell r="B5879" t="str">
            <v>Sample Rejected</v>
          </cell>
          <cell r="C5879">
            <v>42751.734828043984</v>
          </cell>
        </row>
        <row r="5880">
          <cell r="A5880">
            <v>3035756801</v>
          </cell>
          <cell r="B5880" t="str">
            <v>Sample Rejected</v>
          </cell>
          <cell r="C5880">
            <v>42750.735881944442</v>
          </cell>
        </row>
        <row r="5881">
          <cell r="A5881">
            <v>3035541616</v>
          </cell>
          <cell r="B5881" t="str">
            <v>Sample Rejected</v>
          </cell>
          <cell r="C5881">
            <v>42750.735881944442</v>
          </cell>
        </row>
        <row r="5882">
          <cell r="A5882">
            <v>3035546138</v>
          </cell>
          <cell r="B5882" t="str">
            <v>Sample Rejected</v>
          </cell>
          <cell r="C5882">
            <v>42750.735881944442</v>
          </cell>
        </row>
        <row r="5883">
          <cell r="A5883">
            <v>3035754622</v>
          </cell>
          <cell r="B5883" t="str">
            <v>Sample Rejected</v>
          </cell>
          <cell r="C5883">
            <v>42750.735881944442</v>
          </cell>
        </row>
        <row r="5884">
          <cell r="A5884">
            <v>3035762524</v>
          </cell>
          <cell r="B5884" t="str">
            <v>Sample Rejected</v>
          </cell>
          <cell r="C5884">
            <v>42750.735881944442</v>
          </cell>
        </row>
        <row r="5885">
          <cell r="A5885">
            <v>3035748018</v>
          </cell>
          <cell r="B5885" t="str">
            <v>Sample Rejected</v>
          </cell>
          <cell r="C5885">
            <v>42750.735881944442</v>
          </cell>
        </row>
        <row r="5886">
          <cell r="A5886">
            <v>3035723858</v>
          </cell>
          <cell r="B5886" t="str">
            <v>Sample Rejected</v>
          </cell>
          <cell r="C5886">
            <v>42750.735881944442</v>
          </cell>
        </row>
        <row r="5887">
          <cell r="A5887">
            <v>3035760488</v>
          </cell>
          <cell r="B5887" t="str">
            <v>Sample Rejected</v>
          </cell>
          <cell r="C5887">
            <v>42750.735881944442</v>
          </cell>
        </row>
        <row r="5888">
          <cell r="A5888">
            <v>3035757710</v>
          </cell>
          <cell r="B5888" t="str">
            <v>Sample Rejected</v>
          </cell>
          <cell r="C5888">
            <v>42750.735881944442</v>
          </cell>
        </row>
        <row r="5889">
          <cell r="A5889">
            <v>3035653922</v>
          </cell>
          <cell r="B5889" t="str">
            <v>Sample Rejected</v>
          </cell>
          <cell r="C5889">
            <v>42750.735881944442</v>
          </cell>
        </row>
        <row r="5890">
          <cell r="A5890">
            <v>3035751010</v>
          </cell>
          <cell r="B5890" t="str">
            <v>Sample Rejected</v>
          </cell>
          <cell r="C5890">
            <v>42750.735881944442</v>
          </cell>
        </row>
        <row r="5891">
          <cell r="A5891">
            <v>3035757342</v>
          </cell>
          <cell r="B5891" t="str">
            <v>Sample Rejected</v>
          </cell>
          <cell r="C5891">
            <v>42750.735881944442</v>
          </cell>
        </row>
        <row r="5892">
          <cell r="A5892">
            <v>3035754157</v>
          </cell>
          <cell r="B5892" t="str">
            <v>Sample Rejected</v>
          </cell>
          <cell r="C5892">
            <v>42750.735881944442</v>
          </cell>
        </row>
        <row r="5893">
          <cell r="A5893">
            <v>3035754964</v>
          </cell>
          <cell r="B5893" t="str">
            <v>Sample Rejected</v>
          </cell>
          <cell r="C5893">
            <v>42750.735881944442</v>
          </cell>
        </row>
        <row r="5894">
          <cell r="A5894">
            <v>3035749329</v>
          </cell>
          <cell r="B5894" t="str">
            <v>Sample Rejected</v>
          </cell>
          <cell r="C5894">
            <v>42750.735881944442</v>
          </cell>
        </row>
        <row r="5895">
          <cell r="A5895">
            <v>3035375887</v>
          </cell>
          <cell r="B5895" t="str">
            <v>Sample Rejected</v>
          </cell>
          <cell r="C5895">
            <v>42750.735881944442</v>
          </cell>
        </row>
        <row r="5896">
          <cell r="A5896">
            <v>3035376015</v>
          </cell>
          <cell r="B5896" t="str">
            <v>Sample Rejected</v>
          </cell>
          <cell r="C5896">
            <v>42750.735881944442</v>
          </cell>
        </row>
        <row r="5897">
          <cell r="A5897">
            <v>3035754713</v>
          </cell>
          <cell r="B5897" t="str">
            <v>Sample Rejected</v>
          </cell>
          <cell r="C5897">
            <v>42750.735881944442</v>
          </cell>
        </row>
        <row r="5898">
          <cell r="A5898">
            <v>3035753871</v>
          </cell>
          <cell r="B5898" t="str">
            <v>Sample Rejected</v>
          </cell>
          <cell r="C5898">
            <v>42750.735881944442</v>
          </cell>
        </row>
        <row r="5899">
          <cell r="A5899">
            <v>3035646817</v>
          </cell>
          <cell r="B5899" t="str">
            <v>Sample Rejected</v>
          </cell>
          <cell r="C5899">
            <v>42750.735881944442</v>
          </cell>
        </row>
        <row r="5900">
          <cell r="A5900">
            <v>3035713860</v>
          </cell>
          <cell r="B5900" t="str">
            <v>Sample Rejected</v>
          </cell>
          <cell r="C5900">
            <v>42750.735881944442</v>
          </cell>
        </row>
        <row r="5901">
          <cell r="A5901">
            <v>3035747668</v>
          </cell>
          <cell r="B5901" t="str">
            <v>Sample Rejected</v>
          </cell>
          <cell r="C5901">
            <v>42750.735881944442</v>
          </cell>
        </row>
        <row r="5902">
          <cell r="A5902">
            <v>3035748523</v>
          </cell>
          <cell r="B5902" t="str">
            <v>Sample Rejected</v>
          </cell>
          <cell r="C5902">
            <v>42750.735881944442</v>
          </cell>
        </row>
        <row r="5903">
          <cell r="A5903">
            <v>3035761024</v>
          </cell>
          <cell r="B5903" t="str">
            <v>Sample Rejected</v>
          </cell>
          <cell r="C5903">
            <v>42750.735881944442</v>
          </cell>
        </row>
        <row r="5904">
          <cell r="A5904">
            <v>3035757182</v>
          </cell>
          <cell r="B5904" t="str">
            <v>Sample Rejected</v>
          </cell>
          <cell r="C5904">
            <v>42750.735881944442</v>
          </cell>
        </row>
        <row r="5905">
          <cell r="A5905">
            <v>3035725220</v>
          </cell>
          <cell r="B5905" t="str">
            <v>Sample Rejected</v>
          </cell>
          <cell r="C5905">
            <v>42750.735881944442</v>
          </cell>
        </row>
        <row r="5906">
          <cell r="A5906">
            <v>3035749156</v>
          </cell>
          <cell r="B5906" t="str">
            <v>Sample Rejected</v>
          </cell>
          <cell r="C5906">
            <v>42750.735881944442</v>
          </cell>
        </row>
        <row r="5907">
          <cell r="A5907">
            <v>3035748900</v>
          </cell>
          <cell r="B5907" t="str">
            <v>Sample Rejected</v>
          </cell>
          <cell r="C5907">
            <v>42750.735881944442</v>
          </cell>
        </row>
        <row r="5908">
          <cell r="A5908">
            <v>3035822181</v>
          </cell>
          <cell r="B5908" t="str">
            <v>Sample Rejected</v>
          </cell>
          <cell r="C5908">
            <v>42753.738214849538</v>
          </cell>
        </row>
        <row r="5909">
          <cell r="A5909">
            <v>3035821419</v>
          </cell>
          <cell r="B5909" t="str">
            <v>Sample Rejected</v>
          </cell>
          <cell r="C5909">
            <v>42753.738214849538</v>
          </cell>
        </row>
        <row r="5910">
          <cell r="A5910">
            <v>3035810910</v>
          </cell>
          <cell r="B5910" t="str">
            <v>Sample Rejected</v>
          </cell>
          <cell r="C5910">
            <v>42753.738214849538</v>
          </cell>
        </row>
        <row r="5911">
          <cell r="A5911">
            <v>3035817201</v>
          </cell>
          <cell r="B5911" t="str">
            <v>Sample Rejected</v>
          </cell>
          <cell r="C5911">
            <v>42753.738214849538</v>
          </cell>
        </row>
        <row r="5912">
          <cell r="A5912">
            <v>3035813053</v>
          </cell>
          <cell r="B5912" t="str">
            <v>Sample Rejected</v>
          </cell>
          <cell r="C5912">
            <v>42753.738214849538</v>
          </cell>
        </row>
        <row r="5913">
          <cell r="A5913">
            <v>3035823818</v>
          </cell>
          <cell r="B5913" t="str">
            <v>Sample Rejected</v>
          </cell>
          <cell r="C5913">
            <v>42753.738214849538</v>
          </cell>
        </row>
        <row r="5914">
          <cell r="A5914">
            <v>3035808648</v>
          </cell>
          <cell r="B5914" t="str">
            <v>Sample Rejected</v>
          </cell>
          <cell r="C5914">
            <v>42753.738214849538</v>
          </cell>
        </row>
        <row r="5915">
          <cell r="A5915">
            <v>3035806509</v>
          </cell>
          <cell r="B5915" t="str">
            <v>Sample Rejected</v>
          </cell>
          <cell r="C5915">
            <v>42753.738214849538</v>
          </cell>
        </row>
        <row r="5916">
          <cell r="A5916">
            <v>3035806811</v>
          </cell>
          <cell r="B5916" t="str">
            <v>Sample Rejected</v>
          </cell>
          <cell r="C5916">
            <v>42753.738214849538</v>
          </cell>
        </row>
        <row r="5917">
          <cell r="A5917">
            <v>3035780035</v>
          </cell>
          <cell r="B5917" t="str">
            <v>Sample Rejected</v>
          </cell>
          <cell r="C5917">
            <v>42753.738214849538</v>
          </cell>
        </row>
        <row r="5918">
          <cell r="A5918">
            <v>3035807673</v>
          </cell>
          <cell r="B5918" t="str">
            <v>Sample Rejected</v>
          </cell>
          <cell r="C5918">
            <v>42753.738214849538</v>
          </cell>
        </row>
        <row r="5919">
          <cell r="A5919">
            <v>3035715294</v>
          </cell>
          <cell r="B5919" t="str">
            <v>Sample Rejected</v>
          </cell>
          <cell r="C5919">
            <v>42753.738214849538</v>
          </cell>
        </row>
        <row r="5920">
          <cell r="A5920">
            <v>3035773882</v>
          </cell>
          <cell r="B5920" t="str">
            <v>Sample Rejected</v>
          </cell>
          <cell r="C5920">
            <v>42753.738214849538</v>
          </cell>
        </row>
        <row r="5921">
          <cell r="A5921">
            <v>3035811179</v>
          </cell>
          <cell r="B5921" t="str">
            <v>Sample Rejected</v>
          </cell>
          <cell r="C5921">
            <v>42753.738214849538</v>
          </cell>
        </row>
        <row r="5922">
          <cell r="A5922">
            <v>3035811821</v>
          </cell>
          <cell r="B5922" t="str">
            <v>Sample Rejected</v>
          </cell>
          <cell r="C5922">
            <v>42753.738214849538</v>
          </cell>
        </row>
        <row r="5923">
          <cell r="A5923">
            <v>3035817699</v>
          </cell>
          <cell r="B5923" t="str">
            <v>Sample Rejected</v>
          </cell>
          <cell r="C5923">
            <v>42753.738214849538</v>
          </cell>
        </row>
        <row r="5924">
          <cell r="A5924">
            <v>3035435297</v>
          </cell>
          <cell r="B5924" t="str">
            <v>Sample Rejected</v>
          </cell>
          <cell r="C5924">
            <v>42753.738214849538</v>
          </cell>
        </row>
        <row r="5925">
          <cell r="A5925">
            <v>3035808534</v>
          </cell>
          <cell r="B5925" t="str">
            <v>Sample Rejected</v>
          </cell>
          <cell r="C5925">
            <v>42753.738214849538</v>
          </cell>
        </row>
        <row r="5926">
          <cell r="A5926">
            <v>3035820230</v>
          </cell>
          <cell r="B5926" t="str">
            <v>Sample Rejected</v>
          </cell>
          <cell r="C5926">
            <v>42753.738214849538</v>
          </cell>
        </row>
        <row r="5927">
          <cell r="A5927">
            <v>3035721324</v>
          </cell>
          <cell r="B5927" t="str">
            <v>Sample Rejected</v>
          </cell>
          <cell r="C5927">
            <v>42753.738214849538</v>
          </cell>
        </row>
        <row r="5928">
          <cell r="A5928">
            <v>3035809356</v>
          </cell>
          <cell r="B5928" t="str">
            <v>Sample Rejected</v>
          </cell>
          <cell r="C5928">
            <v>42753.738214849538</v>
          </cell>
        </row>
        <row r="5929">
          <cell r="A5929">
            <v>3035731455</v>
          </cell>
          <cell r="B5929" t="str">
            <v>Sample Rejected</v>
          </cell>
          <cell r="C5929">
            <v>42753.738214849538</v>
          </cell>
        </row>
        <row r="5930">
          <cell r="A5930">
            <v>3035809595</v>
          </cell>
          <cell r="B5930" t="str">
            <v>Sample Rejected</v>
          </cell>
          <cell r="C5930">
            <v>42753.738214849538</v>
          </cell>
        </row>
        <row r="5931">
          <cell r="A5931">
            <v>3035519000</v>
          </cell>
          <cell r="B5931" t="str">
            <v>Sample Rejected</v>
          </cell>
          <cell r="C5931">
            <v>42753.738214849538</v>
          </cell>
        </row>
        <row r="5932">
          <cell r="A5932">
            <v>3035616765</v>
          </cell>
          <cell r="B5932" t="str">
            <v>Sample Rejected</v>
          </cell>
          <cell r="C5932">
            <v>42753.738214849538</v>
          </cell>
        </row>
        <row r="5933">
          <cell r="A5933">
            <v>3035807255</v>
          </cell>
          <cell r="B5933" t="str">
            <v>Sample Rejected</v>
          </cell>
          <cell r="C5933">
            <v>42753.738214849538</v>
          </cell>
        </row>
        <row r="5934">
          <cell r="A5934">
            <v>3035775564</v>
          </cell>
          <cell r="B5934" t="str">
            <v>Sample Rejected</v>
          </cell>
          <cell r="C5934">
            <v>42753.738214849538</v>
          </cell>
        </row>
        <row r="5935">
          <cell r="A5935">
            <v>3035807883</v>
          </cell>
          <cell r="B5935" t="str">
            <v>Sample Rejected</v>
          </cell>
          <cell r="C5935">
            <v>42753.738214849538</v>
          </cell>
        </row>
        <row r="5936">
          <cell r="A5936">
            <v>3035825129</v>
          </cell>
          <cell r="B5936" t="str">
            <v>Sample Rejected</v>
          </cell>
          <cell r="C5936">
            <v>42753.738214849538</v>
          </cell>
        </row>
        <row r="5937">
          <cell r="A5937">
            <v>3035808516</v>
          </cell>
          <cell r="B5937" t="str">
            <v>Sample Rejected</v>
          </cell>
          <cell r="C5937">
            <v>42753.738214849538</v>
          </cell>
        </row>
        <row r="5938">
          <cell r="A5938">
            <v>3035821339</v>
          </cell>
          <cell r="B5938" t="str">
            <v>Sample Rejected</v>
          </cell>
          <cell r="C5938">
            <v>42753.738214849538</v>
          </cell>
        </row>
        <row r="5939">
          <cell r="A5939">
            <v>3035747605</v>
          </cell>
          <cell r="B5939" t="str">
            <v>Sample Rejected</v>
          </cell>
          <cell r="C5939">
            <v>42753.738214849538</v>
          </cell>
        </row>
        <row r="5940">
          <cell r="A5940">
            <v>3035809492</v>
          </cell>
          <cell r="B5940" t="str">
            <v>Sample Rejected</v>
          </cell>
          <cell r="C5940">
            <v>42753.738214849538</v>
          </cell>
        </row>
        <row r="5941">
          <cell r="A5941">
            <v>3035755862</v>
          </cell>
          <cell r="B5941" t="str">
            <v>Sample Rejected</v>
          </cell>
          <cell r="C5941">
            <v>42753.738214849538</v>
          </cell>
        </row>
        <row r="5942">
          <cell r="A5942">
            <v>3035807986</v>
          </cell>
          <cell r="B5942" t="str">
            <v>Sample Rejected</v>
          </cell>
          <cell r="C5942">
            <v>42753.738214849538</v>
          </cell>
        </row>
        <row r="5943">
          <cell r="A5943">
            <v>3035805992</v>
          </cell>
          <cell r="B5943" t="str">
            <v>Sample Rejected</v>
          </cell>
          <cell r="C5943">
            <v>42753.738214849538</v>
          </cell>
        </row>
        <row r="5944">
          <cell r="A5944">
            <v>3035808352</v>
          </cell>
          <cell r="B5944" t="str">
            <v>Sample Rejected</v>
          </cell>
          <cell r="C5944">
            <v>42753.738214849538</v>
          </cell>
        </row>
        <row r="5945">
          <cell r="A5945">
            <v>3035808090</v>
          </cell>
          <cell r="B5945" t="str">
            <v>Sample Rejected</v>
          </cell>
          <cell r="C5945">
            <v>42753.738214849538</v>
          </cell>
        </row>
        <row r="5946">
          <cell r="A5946">
            <v>3035830445</v>
          </cell>
          <cell r="B5946" t="str">
            <v>Sample Rejected</v>
          </cell>
          <cell r="C5946">
            <v>42753.738214849538</v>
          </cell>
        </row>
        <row r="5947">
          <cell r="A5947">
            <v>3035807148</v>
          </cell>
          <cell r="B5947" t="str">
            <v>Sample Rejected</v>
          </cell>
          <cell r="C5947">
            <v>42753.738214849538</v>
          </cell>
        </row>
        <row r="5948">
          <cell r="A5948">
            <v>3035713013</v>
          </cell>
          <cell r="B5948" t="str">
            <v>Sample Rejected</v>
          </cell>
          <cell r="C5948">
            <v>42753.738214849538</v>
          </cell>
        </row>
        <row r="5949">
          <cell r="A5949">
            <v>3035808133</v>
          </cell>
          <cell r="B5949" t="str">
            <v>Sample Rejected</v>
          </cell>
          <cell r="C5949">
            <v>42753.738214849538</v>
          </cell>
        </row>
        <row r="5950">
          <cell r="A5950">
            <v>3035811097</v>
          </cell>
          <cell r="B5950" t="str">
            <v>Sample Rejected</v>
          </cell>
          <cell r="C5950">
            <v>42753.738214849538</v>
          </cell>
        </row>
        <row r="5951">
          <cell r="A5951">
            <v>3035815267</v>
          </cell>
          <cell r="B5951" t="str">
            <v>Sample Rejected</v>
          </cell>
          <cell r="C5951">
            <v>42753.738214849538</v>
          </cell>
        </row>
        <row r="5952">
          <cell r="A5952">
            <v>3035648274</v>
          </cell>
          <cell r="B5952" t="str">
            <v>Sample Rejected</v>
          </cell>
          <cell r="C5952">
            <v>42753.738214849538</v>
          </cell>
        </row>
        <row r="5953">
          <cell r="A5953">
            <v>3035813435</v>
          </cell>
          <cell r="B5953" t="str">
            <v>Sample Rejected</v>
          </cell>
          <cell r="C5953">
            <v>42753.738214849538</v>
          </cell>
        </row>
        <row r="5954">
          <cell r="A5954">
            <v>3035806469</v>
          </cell>
          <cell r="B5954" t="str">
            <v>Sample Rejected</v>
          </cell>
          <cell r="C5954">
            <v>42753.738214849538</v>
          </cell>
        </row>
        <row r="5955">
          <cell r="A5955">
            <v>3035827594</v>
          </cell>
          <cell r="B5955" t="str">
            <v>Sample Rejected</v>
          </cell>
          <cell r="C5955">
            <v>42753.738214849538</v>
          </cell>
        </row>
        <row r="5956">
          <cell r="A5956">
            <v>3035749962</v>
          </cell>
          <cell r="B5956" t="str">
            <v>Sample Rejected</v>
          </cell>
          <cell r="C5956">
            <v>42753.738214849538</v>
          </cell>
        </row>
        <row r="5957">
          <cell r="A5957">
            <v>3035715546</v>
          </cell>
          <cell r="B5957" t="str">
            <v>Sample Rejected</v>
          </cell>
          <cell r="C5957">
            <v>42753.738214849538</v>
          </cell>
        </row>
        <row r="5958">
          <cell r="A5958">
            <v>3035685171</v>
          </cell>
          <cell r="B5958" t="str">
            <v>Sample Rejected</v>
          </cell>
          <cell r="C5958">
            <v>42753.738214849538</v>
          </cell>
        </row>
        <row r="5959">
          <cell r="A5959">
            <v>3035725919</v>
          </cell>
          <cell r="B5959" t="str">
            <v>Sample Rejected</v>
          </cell>
          <cell r="C5959">
            <v>42753.738214849538</v>
          </cell>
        </row>
        <row r="5960">
          <cell r="A5960">
            <v>3035686939</v>
          </cell>
          <cell r="B5960" t="str">
            <v>Sample Rejected</v>
          </cell>
          <cell r="C5960">
            <v>42753.738214849538</v>
          </cell>
        </row>
        <row r="5961">
          <cell r="A5961">
            <v>3035806685</v>
          </cell>
          <cell r="B5961" t="str">
            <v>Sample Rejected</v>
          </cell>
          <cell r="C5961">
            <v>42753.738214849538</v>
          </cell>
        </row>
        <row r="5962">
          <cell r="A5962">
            <v>3035676809</v>
          </cell>
          <cell r="B5962" t="str">
            <v>Sample Rejected</v>
          </cell>
          <cell r="C5962">
            <v>42753.738235613426</v>
          </cell>
        </row>
        <row r="5963">
          <cell r="A5963">
            <v>3035807005</v>
          </cell>
          <cell r="B5963" t="str">
            <v>Sample Rejected</v>
          </cell>
          <cell r="C5963">
            <v>42754.737961145831</v>
          </cell>
        </row>
        <row r="5964">
          <cell r="A5964">
            <v>3035853503</v>
          </cell>
          <cell r="B5964" t="str">
            <v>Sample Rejected</v>
          </cell>
          <cell r="C5964">
            <v>42754.737961145831</v>
          </cell>
        </row>
        <row r="5965">
          <cell r="A5965">
            <v>3035858719</v>
          </cell>
          <cell r="B5965" t="str">
            <v>Sample Rejected</v>
          </cell>
          <cell r="C5965">
            <v>42754.737961145831</v>
          </cell>
        </row>
        <row r="5966">
          <cell r="A5966">
            <v>3035750014</v>
          </cell>
          <cell r="B5966" t="str">
            <v>Sample Rejected</v>
          </cell>
          <cell r="C5966">
            <v>42754.737961145831</v>
          </cell>
        </row>
        <row r="5967">
          <cell r="A5967">
            <v>3035859851</v>
          </cell>
          <cell r="B5967" t="str">
            <v>Sample Rejected</v>
          </cell>
          <cell r="C5967">
            <v>42754.737961145831</v>
          </cell>
        </row>
        <row r="5968">
          <cell r="A5968">
            <v>3035857166</v>
          </cell>
          <cell r="B5968" t="str">
            <v>Sample Rejected</v>
          </cell>
          <cell r="C5968">
            <v>42754.737961145831</v>
          </cell>
        </row>
        <row r="5969">
          <cell r="A5969">
            <v>3035720593</v>
          </cell>
          <cell r="B5969" t="str">
            <v>Sample Rejected</v>
          </cell>
          <cell r="C5969">
            <v>42754.737961145831</v>
          </cell>
        </row>
        <row r="5970">
          <cell r="A5970">
            <v>3035716442</v>
          </cell>
          <cell r="B5970" t="str">
            <v>Sample Rejected</v>
          </cell>
          <cell r="C5970">
            <v>42754.737961145831</v>
          </cell>
        </row>
        <row r="5971">
          <cell r="A5971">
            <v>3035810559</v>
          </cell>
          <cell r="B5971" t="str">
            <v>Sample Rejected</v>
          </cell>
          <cell r="C5971">
            <v>42754.737961145831</v>
          </cell>
        </row>
        <row r="5972">
          <cell r="A5972">
            <v>3035852100</v>
          </cell>
          <cell r="B5972" t="str">
            <v>Sample Rejected</v>
          </cell>
          <cell r="C5972">
            <v>42754.737961145831</v>
          </cell>
        </row>
        <row r="5973">
          <cell r="A5973">
            <v>3035850539</v>
          </cell>
          <cell r="B5973" t="str">
            <v>Sample Rejected</v>
          </cell>
          <cell r="C5973">
            <v>42754.737961145831</v>
          </cell>
        </row>
        <row r="5974">
          <cell r="A5974">
            <v>3035435200</v>
          </cell>
          <cell r="B5974" t="str">
            <v>Sample Rejected</v>
          </cell>
          <cell r="C5974">
            <v>42754.737961145831</v>
          </cell>
        </row>
        <row r="5975">
          <cell r="A5975">
            <v>3035844632</v>
          </cell>
          <cell r="B5975" t="str">
            <v>Sample Rejected</v>
          </cell>
          <cell r="C5975">
            <v>42754.737961145831</v>
          </cell>
        </row>
        <row r="5976">
          <cell r="A5976">
            <v>3035853439</v>
          </cell>
          <cell r="B5976" t="str">
            <v>Sample Rejected</v>
          </cell>
          <cell r="C5976">
            <v>42754.737961145831</v>
          </cell>
        </row>
        <row r="5977">
          <cell r="A5977">
            <v>3035844562</v>
          </cell>
          <cell r="B5977" t="str">
            <v>Sample Rejected</v>
          </cell>
          <cell r="C5977">
            <v>42754.737961145831</v>
          </cell>
        </row>
        <row r="5978">
          <cell r="A5978">
            <v>3035847363</v>
          </cell>
          <cell r="B5978" t="str">
            <v>Sample Rejected</v>
          </cell>
          <cell r="C5978">
            <v>42754.737961145831</v>
          </cell>
        </row>
        <row r="5979">
          <cell r="A5979">
            <v>3035806144</v>
          </cell>
          <cell r="B5979" t="str">
            <v>Sample Rejected</v>
          </cell>
          <cell r="C5979">
            <v>42754.737961145831</v>
          </cell>
        </row>
        <row r="5980">
          <cell r="A5980">
            <v>3035850626</v>
          </cell>
          <cell r="B5980" t="str">
            <v>Sample Rejected</v>
          </cell>
          <cell r="C5980">
            <v>42754.737961145831</v>
          </cell>
        </row>
        <row r="5981">
          <cell r="A5981">
            <v>3035773487</v>
          </cell>
          <cell r="B5981" t="str">
            <v>Sample Rejected</v>
          </cell>
          <cell r="C5981">
            <v>42754.737961145831</v>
          </cell>
        </row>
        <row r="5982">
          <cell r="A5982">
            <v>3035846459</v>
          </cell>
          <cell r="B5982" t="str">
            <v>Sample Rejected</v>
          </cell>
          <cell r="C5982">
            <v>42754.737961145831</v>
          </cell>
        </row>
        <row r="5983">
          <cell r="A5983">
            <v>3035847406</v>
          </cell>
          <cell r="B5983" t="str">
            <v>Sample Rejected</v>
          </cell>
          <cell r="C5983">
            <v>42754.737961145831</v>
          </cell>
        </row>
        <row r="5984">
          <cell r="A5984">
            <v>3035811789</v>
          </cell>
          <cell r="B5984" t="str">
            <v>Suspended</v>
          </cell>
          <cell r="C5984">
            <v>42753.738214849538</v>
          </cell>
        </row>
        <row r="5985">
          <cell r="A5985">
            <v>3035446381</v>
          </cell>
          <cell r="B5985" t="str">
            <v>Suspended</v>
          </cell>
          <cell r="C5985">
            <v>42746.737756446761</v>
          </cell>
        </row>
        <row r="5986">
          <cell r="A5986">
            <v>3035266614</v>
          </cell>
          <cell r="B5986" t="str">
            <v>Suspended</v>
          </cell>
          <cell r="C5986">
            <v>42736.734471099538</v>
          </cell>
        </row>
        <row r="5987">
          <cell r="A5987">
            <v>3035203217</v>
          </cell>
          <cell r="B5987" t="str">
            <v>Suspended</v>
          </cell>
          <cell r="C5987">
            <v>42729.734399733796</v>
          </cell>
        </row>
      </sheetData>
      <sheetData sheetId="3" refreshError="1"/>
      <sheetData sheetId="4">
        <row r="1">
          <cell r="A1" t="str">
            <v>4X</v>
          </cell>
          <cell r="B1" t="str">
            <v>IPG</v>
          </cell>
        </row>
        <row r="2">
          <cell r="A2" t="str">
            <v>SB</v>
          </cell>
          <cell r="B2" t="str">
            <v>IPG</v>
          </cell>
        </row>
        <row r="3">
          <cell r="A3">
            <v>83</v>
          </cell>
          <cell r="B3" t="str">
            <v>IPG</v>
          </cell>
        </row>
        <row r="4">
          <cell r="A4" t="str">
            <v>2A</v>
          </cell>
          <cell r="B4" t="str">
            <v>IPG</v>
          </cell>
        </row>
        <row r="5">
          <cell r="A5" t="str">
            <v>2B</v>
          </cell>
          <cell r="B5" t="str">
            <v>IPG</v>
          </cell>
        </row>
        <row r="6">
          <cell r="A6" t="str">
            <v>2N</v>
          </cell>
          <cell r="B6" t="str">
            <v>IPG</v>
          </cell>
        </row>
        <row r="7">
          <cell r="A7" t="str">
            <v>2Q</v>
          </cell>
          <cell r="B7" t="str">
            <v>IPG</v>
          </cell>
        </row>
        <row r="8">
          <cell r="A8" t="str">
            <v>5M</v>
          </cell>
          <cell r="B8" t="str">
            <v>IPG</v>
          </cell>
        </row>
        <row r="9">
          <cell r="A9" t="str">
            <v>7T</v>
          </cell>
          <cell r="B9" t="str">
            <v>IPG</v>
          </cell>
        </row>
        <row r="10">
          <cell r="A10" t="str">
            <v>C2</v>
          </cell>
          <cell r="B10" t="str">
            <v>IPG</v>
          </cell>
        </row>
        <row r="11">
          <cell r="A11" t="str">
            <v>DL</v>
          </cell>
          <cell r="B11" t="str">
            <v>IPG</v>
          </cell>
        </row>
        <row r="12">
          <cell r="A12" t="str">
            <v>DU</v>
          </cell>
          <cell r="B12" t="str">
            <v>IPG</v>
          </cell>
        </row>
        <row r="13">
          <cell r="A13" t="str">
            <v>K5</v>
          </cell>
          <cell r="B13" t="str">
            <v>IPG</v>
          </cell>
        </row>
        <row r="14">
          <cell r="A14" t="str">
            <v>KN</v>
          </cell>
          <cell r="B14" t="str">
            <v>IPG</v>
          </cell>
        </row>
        <row r="15">
          <cell r="A15" t="str">
            <v>KP</v>
          </cell>
          <cell r="B15" t="str">
            <v>IPG</v>
          </cell>
        </row>
        <row r="16">
          <cell r="A16" t="str">
            <v>2G</v>
          </cell>
          <cell r="B16" t="str">
            <v>PSG</v>
          </cell>
        </row>
        <row r="17">
          <cell r="A17" t="str">
            <v>2H</v>
          </cell>
          <cell r="B17" t="str">
            <v>PSG</v>
          </cell>
        </row>
        <row r="18">
          <cell r="A18" t="str">
            <v>6J</v>
          </cell>
          <cell r="B18" t="str">
            <v>PSG</v>
          </cell>
        </row>
        <row r="19">
          <cell r="A19" t="str">
            <v>9G</v>
          </cell>
          <cell r="B19" t="str">
            <v>PSG</v>
          </cell>
        </row>
        <row r="20">
          <cell r="A20" t="str">
            <v>KV</v>
          </cell>
          <cell r="B20" t="str">
            <v>PSG</v>
          </cell>
        </row>
        <row r="21">
          <cell r="A21" t="str">
            <v>#</v>
          </cell>
          <cell r="B21" t="str">
            <v>IPG</v>
          </cell>
        </row>
        <row r="22">
          <cell r="A22" t="str">
            <v>5I</v>
          </cell>
          <cell r="B22" t="str">
            <v>IPG</v>
          </cell>
        </row>
        <row r="23">
          <cell r="A23" t="str">
            <v>3Y</v>
          </cell>
          <cell r="B23" t="str">
            <v>IPG</v>
          </cell>
        </row>
        <row r="24">
          <cell r="A24" t="str">
            <v>6V</v>
          </cell>
          <cell r="B24" t="str">
            <v>PSG</v>
          </cell>
        </row>
        <row r="25">
          <cell r="A25" t="str">
            <v>6X</v>
          </cell>
          <cell r="B25" t="str">
            <v>PSG</v>
          </cell>
        </row>
        <row r="26">
          <cell r="A26" t="str">
            <v>7S</v>
          </cell>
          <cell r="B26" t="str">
            <v>PSG</v>
          </cell>
        </row>
        <row r="27">
          <cell r="A27" t="str">
            <v>7V</v>
          </cell>
          <cell r="B27" t="str">
            <v>PSG</v>
          </cell>
        </row>
        <row r="28">
          <cell r="A28" t="str">
            <v>8A</v>
          </cell>
          <cell r="B28" t="str">
            <v>PSG</v>
          </cell>
        </row>
        <row r="29">
          <cell r="A29" t="str">
            <v>4H</v>
          </cell>
          <cell r="B29" t="str">
            <v>IPG</v>
          </cell>
        </row>
        <row r="30">
          <cell r="A30" t="str">
            <v>4T</v>
          </cell>
          <cell r="B30" t="str">
            <v>PSG</v>
          </cell>
        </row>
        <row r="31">
          <cell r="A31" t="str">
            <v>6U</v>
          </cell>
          <cell r="B31" t="str">
            <v>PSG</v>
          </cell>
        </row>
        <row r="32">
          <cell r="A32" t="str">
            <v>EZ</v>
          </cell>
          <cell r="B32" t="str">
            <v>PSG</v>
          </cell>
        </row>
      </sheetData>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id="4" name="tblVIRARAM_PESQUISA" displayName="tblVIRARAM_PESQUISA" ref="A3:U191" totalsRowShown="0" headerRowDxfId="104" dataDxfId="103">
  <sortState ref="A4:V314">
    <sortCondition ref="D3:D183"/>
  </sortState>
  <tableColumns count="21">
    <tableColumn id="1" name="CASE ID" dataDxfId="102"/>
    <tableColumn id="2" name="SKILL DO CASO" dataDxfId="101"/>
    <tableColumn id="21" name="Encerramento do Caso" dataDxfId="100"/>
    <tableColumn id="3" name="Envio da Pesquisa" dataDxfId="99"/>
    <tableColumn id="4" name="CREATED BY AGENT NAME" dataDxfId="98"/>
    <tableColumn id="5" name="CHANGED BY AGENT NAME" dataDxfId="97"/>
    <tableColumn id="6" name="FCR SISTEMICO" dataDxfId="96"/>
    <tableColumn id="7" name="SUPERVISOR" dataDxfId="95"/>
    <tableColumn id="8" name="NOME DO AGENTE " dataDxfId="94"/>
    <tableColumn id="9" name="TIPO DE CONTATO" dataDxfId="93"/>
    <tableColumn id="10" name="OBERVAÇÃO DE CONTATO" dataDxfId="92"/>
    <tableColumn id="20" name="DATA / HORA DA TRATATIVA" dataDxfId="91"/>
    <tableColumn id="11" name="CALL BACK CONTATO 1" dataDxfId="90"/>
    <tableColumn id="12" name="CALL BACK CONTATO 2" dataDxfId="89"/>
    <tableColumn id="13" name="CALL BACK CONTATO 3" dataDxfId="88"/>
    <tableColumn id="14" name="Return Time" dataDxfId="87"/>
    <tableColumn id="15" name="DIA | PESQUISA RECEBIDA" dataDxfId="86"/>
    <tableColumn id="16" name="Q2 - Problem Resolved" dataDxfId="85">
      <calculatedColumnFormula>IFERROR(INDEX(QUALIDADE,MATCH(tblVIRARAM_PESQUISA[[#This Row],[CASE ID]],PROTOCOLO_PESQUISAS,0),MATCH(tblVIRARAM_PESQUISA[[#Headers],[Q2 - Problem Resolved]],QUALIDADE_CAB,0)), "-")</calculatedColumnFormula>
    </tableColumn>
    <tableColumn id="17" name="Q3 - First Time Fix" dataDxfId="84">
      <calculatedColumnFormula>IFERROR(INDEX(QUALIDADE,MATCH(tblVIRARAM_PESQUISA[[#This Row],[CASE ID]],PROTOCOLO_PESQUISAS,0),MATCH(tblVIRARAM_PESQUISA[[#Headers],[Q3 - First Time Fix]],QUALIDADE_CAB,0)), "-")</calculatedColumnFormula>
    </tableColumn>
    <tableColumn id="18" name="Promoters" dataDxfId="83">
      <calculatedColumnFormula>IFERROR(INDEX(QUALIDADE,MATCH(tblVIRARAM_PESQUISA[[#This Row],[CASE ID]],PROTOCOLO_PESQUISAS,0),MATCH(tblVIRARAM_PESQUISA[[#Headers],[Promoters]],QUALIDADE_CAB,0)), "-")</calculatedColumnFormula>
    </tableColumn>
    <tableColumn id="19" name="Detractors" dataDxfId="82">
      <calculatedColumnFormula>IFERROR(INDEX(QUALIDADE,MATCH(tblVIRARAM_PESQUISA[[#This Row],[CASE ID]],PROTOCOLO_PESQUISAS,0),MATCH(tblVIRARAM_PESQUISA[[#Headers],[Detractors]],QUALIDADE_CAB,0)), "-")</calculatedColumnFormula>
    </tableColumn>
  </tableColumns>
  <tableStyleInfo name="TableStyleLight10" showFirstColumn="0" showLastColumn="0" showRowStripes="1" showColumnStripes="0"/>
</table>
</file>

<file path=xl/tables/table2.xml><?xml version="1.0" encoding="utf-8"?>
<table xmlns="http://schemas.openxmlformats.org/spreadsheetml/2006/main" id="2" name="tblPRINTERS" displayName="tblPRINTERS" ref="A3:Q411" headerRowDxfId="81" dataDxfId="80" totalsRowDxfId="78" tableBorderDxfId="79">
  <autoFilter ref="A3:Q411">
    <filterColumn colId="3">
      <filters>
        <dateGroupItem year="2017" month="1" day="19" dateTimeGrouping="day"/>
      </filters>
    </filterColumn>
    <filterColumn colId="12">
      <filters>
        <filter val="Sem contato"/>
      </filters>
    </filterColumn>
  </autoFilter>
  <sortState ref="A4:Q411">
    <sortCondition descending="1" ref="D3:D411"/>
  </sortState>
  <tableColumns count="17">
    <tableColumn id="1" name="CASE ID" dataDxfId="77" totalsRowDxfId="76"/>
    <tableColumn id="2" name="SKILL DO CASO" dataDxfId="75"/>
    <tableColumn id="17" name="Encerramento do Caso" dataDxfId="74"/>
    <tableColumn id="3" name="Envio da Pesquisa" dataDxfId="73" totalsRowDxfId="72"/>
    <tableColumn id="4" name="CREATED BY AGENT NAME" dataDxfId="71" totalsRowDxfId="70"/>
    <tableColumn id="5" name="CHANGED BY AGENT NAME" dataDxfId="69" totalsRowDxfId="68"/>
    <tableColumn id="6" name="FCR SISTEMICO" dataDxfId="67" totalsRowDxfId="66"/>
    <tableColumn id="7" name="SUPERVISOR" dataDxfId="65" totalsRowDxfId="64"/>
    <tableColumn id="8" name="NOME DO AGENTE " dataDxfId="63" totalsRowDxfId="62"/>
    <tableColumn id="9" name="TIPO DE CONTATO" dataDxfId="61" totalsRowDxfId="60"/>
    <tableColumn id="10" name="OBERVAÇÃO DE CONTATO" dataDxfId="59" totalsRowDxfId="58"/>
    <tableColumn id="16" name="DATA / HORA DA TRATATIVA" dataDxfId="57" totalsRowDxfId="56"/>
    <tableColumn id="11" name="tratativa" dataDxfId="55" totalsRowDxfId="54">
      <calculatedColumnFormula>IFERROR(INDEX(BASE,MATCH(tblPRINTERS[[#This Row],[CASE ID]],BASE_CASOS,0),MATCH(tblPRINTERS[[#Headers],[tratativa]],BASE_CAB,0)),"Retornar com prioridade")</calculatedColumnFormula>
    </tableColumn>
    <tableColumn id="12" name="Observação" dataDxfId="53" totalsRowDxfId="52">
      <calculatedColumnFormula>IFERROR(INDEX(BASE,MATCH(tblPRINTERS[[#This Row],[CASE ID]],BASE_CASOS,0),MATCH(tblPRINTERS[[#Headers],[Observação]],BASE_CAB,0)),"-")</calculatedColumnFormula>
    </tableColumn>
    <tableColumn id="13" name="Observação Calback" dataDxfId="51" totalsRowDxfId="50">
      <calculatedColumnFormula>IFERROR(INDEX(BASE,MATCH(tblPRINTERS[[#This Row],[CASE ID]],BASE_CASOS,0),MATCH(tblPRINTERS[[#Headers],[Observação Calback]],BASE_CAB,0)),"-")</calculatedColumnFormula>
    </tableColumn>
    <tableColumn id="14" name="DATA | PESQUISA RECEBIDA" dataDxfId="49" totalsRowDxfId="48">
      <calculatedColumnFormula>IF(ISERROR(INDEX(QUALIDADE,MATCH(tblPRINTERS[[#This Row],[CASE ID]],PROTOCOLO_PESQUISAS,0),MATCH("Return Time",QUALIDADE_CAB,0)))=FALSE,INDEX(QUALIDADE,MATCH(tblPRINTERS[[#This Row],[CASE ID]],PROTOCOLO_PESQUISAS,0),MATCH("Return Time",QUALIDADE_CAB,0)),"")</calculatedColumnFormula>
    </tableColumn>
    <tableColumn id="15" name="DIA | PESQUISA RECEBIDA" dataDxfId="47" totalsRowDxfId="46">
      <calculatedColumnFormula>IF(tblPRINTERS[[#This Row],[DATA | PESQUISA RECEBIDA]]="","",PROPER(TEXT(tblPRINTERS[[#This Row],[DATA | PESQUISA RECEBIDA]],"DDDD")))</calculatedColumnFormula>
    </tableColumn>
  </tableColumns>
  <tableStyleInfo name="TableStyleLight13" showFirstColumn="0" showLastColumn="0" showRowStripes="1" showColumnStripes="0"/>
</table>
</file>

<file path=xl/tables/table3.xml><?xml version="1.0" encoding="utf-8"?>
<table xmlns="http://schemas.openxmlformats.org/spreadsheetml/2006/main" id="1" name="tbLOG" displayName="tbLOG" ref="A1:H3392" totalsRowShown="0" headerRowDxfId="45" dataDxfId="44">
  <tableColumns count="8">
    <tableColumn id="1" name="DATA/HORA" dataDxfId="43"/>
    <tableColumn id="8" name="MÊS" dataDxfId="42">
      <calculatedColumnFormula>PROPER(TEXT(tbLOG[[#This Row],[DATA/HORA]],"mmmm"))</calculatedColumnFormula>
    </tableColumn>
    <tableColumn id="7" name="DIA DA SEMANA" dataDxfId="41">
      <calculatedColumnFormula>PROPER(TEXT(tbLOG[[#This Row],[DATA/HORA]],"dddd"))</calculatedColumnFormula>
    </tableColumn>
    <tableColumn id="2" name="LOGIN" dataDxfId="40"/>
    <tableColumn id="5" name="AGENTE" dataDxfId="39">
      <calculatedColumnFormula>IFERROR(VLOOKUP(tbLOG[[#This Row],[LOGIN]],tbMAPA[#All],2,0), "Não localizado")</calculatedColumnFormula>
    </tableColumn>
    <tableColumn id="6" name="LEADER" dataDxfId="38">
      <calculatedColumnFormula>IFERROR(VLOOKUP(tbLOG[[#This Row],[LOGIN]],tbMAPA[#All],3,0), "Não localizado")</calculatedColumnFormula>
    </tableColumn>
    <tableColumn id="3" name="COMPUTADOR" dataDxfId="37"/>
    <tableColumn id="4" name="AÇÃO" dataDxfId="36"/>
  </tableColumns>
  <tableStyleInfo name="TableStyleMedium2" showFirstColumn="0" showLastColumn="0" showRowStripes="1" showColumnStripes="0"/>
</table>
</file>

<file path=xl/tables/table4.xml><?xml version="1.0" encoding="utf-8"?>
<table xmlns="http://schemas.openxmlformats.org/spreadsheetml/2006/main" id="3" name="tbMAPA" displayName="tbMAPA" ref="K1:M155" totalsRowShown="0" headerRowDxfId="35" dataDxfId="34">
  <tableColumns count="3">
    <tableColumn id="1" name="NETWORK" dataDxfId="33"/>
    <tableColumn id="2" name="Name" dataDxfId="32"/>
    <tableColumn id="3" name="Leader" dataDxfId="31"/>
  </tableColumns>
  <tableStyleInfo name="TableStyleMedium2" showFirstColumn="0" showLastColumn="0" showRowStripes="1" showColumnStripes="0"/>
</table>
</file>

<file path=xl/tables/table5.xml><?xml version="1.0" encoding="utf-8"?>
<table xmlns="http://schemas.openxmlformats.org/spreadsheetml/2006/main" id="5" name="tblLISTAS" displayName="tblLISTAS" ref="A1:B16" totalsRowShown="0" headerRowDxfId="30" dataDxfId="29">
  <sortState ref="A2:B15">
    <sortCondition ref="A1:A15"/>
  </sortState>
  <tableColumns count="2">
    <tableColumn id="1" name="AGENTES" dataDxfId="28"/>
    <tableColumn id="2" name="TIPO DE CONTATO" dataDxfId="27"/>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CESSO"/>
  <dimension ref="B1:T6"/>
  <sheetViews>
    <sheetView showGridLines="0" showRowColHeaders="0" workbookViewId="0">
      <selection activeCell="B2" sqref="B2:T6"/>
    </sheetView>
  </sheetViews>
  <sheetFormatPr defaultRowHeight="15"/>
  <cols>
    <col min="1" max="16384" width="9.140625" style="32"/>
  </cols>
  <sheetData>
    <row r="1" spans="2:20" ht="15.75" thickBot="1"/>
    <row r="2" spans="2:20">
      <c r="B2" s="91" t="s">
        <v>296</v>
      </c>
      <c r="C2" s="92"/>
      <c r="D2" s="92"/>
      <c r="E2" s="92"/>
      <c r="F2" s="92"/>
      <c r="G2" s="92"/>
      <c r="H2" s="92"/>
      <c r="I2" s="92"/>
      <c r="J2" s="92"/>
      <c r="K2" s="92"/>
      <c r="L2" s="92"/>
      <c r="M2" s="92"/>
      <c r="N2" s="92"/>
      <c r="O2" s="92"/>
      <c r="P2" s="92"/>
      <c r="Q2" s="92"/>
      <c r="R2" s="92"/>
      <c r="S2" s="92"/>
      <c r="T2" s="93"/>
    </row>
    <row r="3" spans="2:20">
      <c r="B3" s="94"/>
      <c r="C3" s="95"/>
      <c r="D3" s="95"/>
      <c r="E3" s="95"/>
      <c r="F3" s="95"/>
      <c r="G3" s="95"/>
      <c r="H3" s="95"/>
      <c r="I3" s="95"/>
      <c r="J3" s="95"/>
      <c r="K3" s="95"/>
      <c r="L3" s="95"/>
      <c r="M3" s="95"/>
      <c r="N3" s="95"/>
      <c r="O3" s="95"/>
      <c r="P3" s="95"/>
      <c r="Q3" s="95"/>
      <c r="R3" s="95"/>
      <c r="S3" s="95"/>
      <c r="T3" s="96"/>
    </row>
    <row r="4" spans="2:20">
      <c r="B4" s="94"/>
      <c r="C4" s="95"/>
      <c r="D4" s="95"/>
      <c r="E4" s="95"/>
      <c r="F4" s="95"/>
      <c r="G4" s="95"/>
      <c r="H4" s="95"/>
      <c r="I4" s="95"/>
      <c r="J4" s="95"/>
      <c r="K4" s="95"/>
      <c r="L4" s="95"/>
      <c r="M4" s="95"/>
      <c r="N4" s="95"/>
      <c r="O4" s="95"/>
      <c r="P4" s="95"/>
      <c r="Q4" s="95"/>
      <c r="R4" s="95"/>
      <c r="S4" s="95"/>
      <c r="T4" s="96"/>
    </row>
    <row r="5" spans="2:20">
      <c r="B5" s="94"/>
      <c r="C5" s="95"/>
      <c r="D5" s="95"/>
      <c r="E5" s="95"/>
      <c r="F5" s="95"/>
      <c r="G5" s="95"/>
      <c r="H5" s="95"/>
      <c r="I5" s="95"/>
      <c r="J5" s="95"/>
      <c r="K5" s="95"/>
      <c r="L5" s="95"/>
      <c r="M5" s="95"/>
      <c r="N5" s="95"/>
      <c r="O5" s="95"/>
      <c r="P5" s="95"/>
      <c r="Q5" s="95"/>
      <c r="R5" s="95"/>
      <c r="S5" s="95"/>
      <c r="T5" s="96"/>
    </row>
    <row r="6" spans="2:20" ht="15.75" thickBot="1">
      <c r="B6" s="97"/>
      <c r="C6" s="98"/>
      <c r="D6" s="98"/>
      <c r="E6" s="98"/>
      <c r="F6" s="98"/>
      <c r="G6" s="98"/>
      <c r="H6" s="98"/>
      <c r="I6" s="98"/>
      <c r="J6" s="98"/>
      <c r="K6" s="98"/>
      <c r="L6" s="98"/>
      <c r="M6" s="98"/>
      <c r="N6" s="98"/>
      <c r="O6" s="98"/>
      <c r="P6" s="98"/>
      <c r="Q6" s="98"/>
      <c r="R6" s="98"/>
      <c r="S6" s="98"/>
      <c r="T6" s="99"/>
    </row>
  </sheetData>
  <mergeCells count="1">
    <mergeCell ref="B2:T6"/>
  </mergeCells>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me"/>
  <dimension ref="B1:XFC1048573"/>
  <sheetViews>
    <sheetView showGridLines="0" zoomScale="80" zoomScaleNormal="80" workbookViewId="0">
      <selection activeCell="G17" sqref="G17"/>
    </sheetView>
  </sheetViews>
  <sheetFormatPr defaultColWidth="9.140625" defaultRowHeight="15"/>
  <cols>
    <col min="1" max="1" width="2" style="3" customWidth="1"/>
    <col min="2" max="2" width="36.7109375" style="3" bestFit="1" customWidth="1"/>
    <col min="3" max="3" width="8.85546875" style="3" bestFit="1" customWidth="1"/>
    <col min="4" max="5" width="10.140625" style="3" bestFit="1" customWidth="1"/>
    <col min="6" max="6" width="16.28515625" style="3" hidden="1" customWidth="1"/>
    <col min="7" max="7" width="17.7109375" style="3" bestFit="1" customWidth="1"/>
    <col min="8" max="8" width="10.140625" style="3" bestFit="1" customWidth="1"/>
    <col min="9" max="9" width="8.85546875" style="3" bestFit="1" customWidth="1"/>
    <col min="10" max="11" width="10.140625" style="3" bestFit="1" customWidth="1"/>
    <col min="12" max="12" width="16.28515625" style="3" hidden="1" customWidth="1"/>
    <col min="13" max="13" width="17.7109375" style="3" bestFit="1" customWidth="1"/>
    <col min="14" max="14" width="14.85546875" style="3" bestFit="1" customWidth="1"/>
    <col min="15" max="15" width="23.42578125" style="3" bestFit="1" customWidth="1"/>
    <col min="16" max="16" width="20.7109375" style="3" bestFit="1" customWidth="1"/>
    <col min="17" max="17" width="29.28515625" style="3" bestFit="1" customWidth="1"/>
    <col min="18" max="18" width="26.5703125" style="3" bestFit="1" customWidth="1"/>
    <col min="19" max="21" width="9.140625" style="3" customWidth="1"/>
    <col min="22" max="16384" width="9.140625" style="3"/>
  </cols>
  <sheetData>
    <row r="1" spans="2:18">
      <c r="B1" s="37"/>
    </row>
    <row r="3" spans="2:18" ht="20.25">
      <c r="Q3" s="46" t="s">
        <v>824</v>
      </c>
      <c r="R3" s="47" t="s">
        <v>825</v>
      </c>
    </row>
    <row r="4" spans="2:18" ht="20.25">
      <c r="Q4" s="48" t="s">
        <v>301</v>
      </c>
      <c r="R4" s="49">
        <v>0.745</v>
      </c>
    </row>
    <row r="5" spans="2:18" ht="20.25">
      <c r="Q5" s="48" t="s">
        <v>822</v>
      </c>
      <c r="R5" s="49">
        <v>0.91</v>
      </c>
    </row>
    <row r="6" spans="2:18" ht="20.25">
      <c r="Q6" s="48" t="s">
        <v>823</v>
      </c>
      <c r="R6" s="49">
        <v>0.72</v>
      </c>
    </row>
    <row r="7" spans="2:18" ht="20.25">
      <c r="Q7" s="50" t="s">
        <v>833</v>
      </c>
      <c r="R7" s="51">
        <v>8.5000000000000006E-2</v>
      </c>
    </row>
    <row r="15" spans="2:18" ht="15.75">
      <c r="B15" s="103" t="s">
        <v>1590</v>
      </c>
      <c r="C15" s="105" t="s">
        <v>304</v>
      </c>
      <c r="D15" s="106"/>
      <c r="E15" s="106"/>
      <c r="F15" s="106"/>
      <c r="G15" s="106"/>
      <c r="H15" s="107"/>
      <c r="I15" s="100" t="s">
        <v>303</v>
      </c>
      <c r="J15" s="101"/>
      <c r="K15" s="101"/>
      <c r="L15" s="101"/>
      <c r="M15" s="101"/>
      <c r="N15" s="102"/>
      <c r="O15" s="100" t="s">
        <v>830</v>
      </c>
      <c r="P15" s="101"/>
      <c r="Q15" s="101"/>
      <c r="R15" s="102"/>
    </row>
    <row r="16" spans="2:18" ht="18.75" customHeight="1">
      <c r="B16" s="104"/>
      <c r="C16" s="57" t="s">
        <v>3247</v>
      </c>
      <c r="D16" s="57" t="s">
        <v>822</v>
      </c>
      <c r="E16" s="57" t="s">
        <v>301</v>
      </c>
      <c r="F16" s="57" t="s">
        <v>826</v>
      </c>
      <c r="G16" s="57" t="s">
        <v>827</v>
      </c>
      <c r="H16" s="58" t="s">
        <v>823</v>
      </c>
      <c r="I16" s="59" t="s">
        <v>3247</v>
      </c>
      <c r="J16" s="60" t="s">
        <v>822</v>
      </c>
      <c r="K16" s="60" t="s">
        <v>301</v>
      </c>
      <c r="L16" s="60" t="s">
        <v>826</v>
      </c>
      <c r="M16" s="60" t="s">
        <v>827</v>
      </c>
      <c r="N16" s="61" t="s">
        <v>823</v>
      </c>
      <c r="O16" s="58" t="s">
        <v>831</v>
      </c>
      <c r="P16" s="59" t="s">
        <v>828</v>
      </c>
      <c r="Q16" s="58" t="s">
        <v>832</v>
      </c>
      <c r="R16" s="81" t="s">
        <v>829</v>
      </c>
    </row>
    <row r="17" spans="2:18 16383:16383" s="39" customFormat="1" ht="16.5">
      <c r="B17" s="82" t="s">
        <v>9</v>
      </c>
      <c r="C17" s="62">
        <f>IF(COUNTIFS(tblVIRARAM_PESQUISA[[#All],[SUPERVISOR]],HOME!B17,tblVIRARAM_PESQUISA[[#All],[TIPO DE CONTATO]],HOME!$C$15)=0,"-",COUNTIFS(tblVIRARAM_PESQUISA[[#All],[SUPERVISOR]],HOME!B17,tblVIRARAM_PESQUISA[[#All],[TIPO DE CONTATO]],HOME!$C$15))</f>
        <v>34</v>
      </c>
      <c r="D17" s="63">
        <f>IFERROR(COUNTIFS(tblVIRARAM_PESQUISA[[#All],[SUPERVISOR]],HOME!B17,tblVIRARAM_PESQUISA[[#All],[Q2 - Problem Resolved]],1,tblVIRARAM_PESQUISA[[#All],[TIPO DE CONTATO]],HOME!$C$15) /C17, "-")</f>
        <v>1</v>
      </c>
      <c r="E17" s="63">
        <f>IFERROR(COUNTIFS(tblVIRARAM_PESQUISA[[#All],[SUPERVISOR]],HOME!B17,tblVIRARAM_PESQUISA[[#All],[Q3 - First Time Fix]],1,tblVIRARAM_PESQUISA[[#All],[TIPO DE CONTATO]],HOME!$C$15) /C17, "-")</f>
        <v>0.88235294117647056</v>
      </c>
      <c r="F17" s="63">
        <f>IFERROR(COUNTIFS(tblVIRARAM_PESQUISA[[#All],[SUPERVISOR]],HOME!B17,tblVIRARAM_PESQUISA[[#All],[Promoters]],1,tblVIRARAM_PESQUISA[[#All],[TIPO DE CONTATO]],HOME!$C$15) /C17, "-")</f>
        <v>0.8529411764705882</v>
      </c>
      <c r="G17" s="63">
        <f>IFERROR(COUNTIFS(tblVIRARAM_PESQUISA[[#All],[SUPERVISOR]],HOME!B17,tblVIRARAM_PESQUISA[[#All],[Detractors]],1,tblVIRARAM_PESQUISA[[#All],[TIPO DE CONTATO]],HOME!$C$15) /C17, "-")</f>
        <v>8.8235294117647065E-2</v>
      </c>
      <c r="H17" s="64">
        <f>IFERROR(F17-G17, "-")</f>
        <v>0.76470588235294112</v>
      </c>
      <c r="I17" s="65">
        <f>IF(COUNTIFS(tblVIRARAM_PESQUISA[[#All],[SUPERVISOR]],HOME!B17,tblVIRARAM_PESQUISA[[#All],[TIPO DE CONTATO]],HOME!$I$15)=0,"-",COUNTIFS(tblVIRARAM_PESQUISA[[#All],[SUPERVISOR]],HOME!B17,tblVIRARAM_PESQUISA[[#All],[TIPO DE CONTATO]],HOME!$I$15))</f>
        <v>15</v>
      </c>
      <c r="J17" s="63">
        <f>IFERROR(COUNTIFS(tblVIRARAM_PESQUISA[[#All],[SUPERVISOR]],HOME!B17,tblVIRARAM_PESQUISA[[#All],[Q2 - Problem Resolved]],1,tblVIRARAM_PESQUISA[[#All],[TIPO DE CONTATO]],HOME!$I$15) /I17,"-")</f>
        <v>0.93333333333333335</v>
      </c>
      <c r="K17" s="63">
        <f>IFERROR(COUNTIFS(tblVIRARAM_PESQUISA[[#All],[SUPERVISOR]],HOME!B17,tblVIRARAM_PESQUISA[[#All],[Q3 - First Time Fix]],1,tblVIRARAM_PESQUISA[[#All],[TIPO DE CONTATO]],HOME!$I$15) /I17,"-")</f>
        <v>0.73333333333333328</v>
      </c>
      <c r="L17" s="63">
        <f>IFERROR(COUNTIFS(tblVIRARAM_PESQUISA[[#All],[SUPERVISOR]],HOME!B17,tblVIRARAM_PESQUISA[[#All],[Promoters]],1,tblVIRARAM_PESQUISA[[#All],[TIPO DE CONTATO]],HOME!$I$15) /I17,"-")</f>
        <v>0.8</v>
      </c>
      <c r="M17" s="63">
        <f>IFERROR(COUNTIFS(tblVIRARAM_PESQUISA[[#All],[SUPERVISOR]],HOME!B17,tblVIRARAM_PESQUISA[[#All],[Detractors]],1,tblVIRARAM_PESQUISA[[#All],[TIPO DE CONTATO]],HOME!$I$15) /I17,"-")</f>
        <v>6.6666666666666666E-2</v>
      </c>
      <c r="N17" s="64">
        <f>IFERROR(L17-M17, "-")</f>
        <v>0.73333333333333339</v>
      </c>
      <c r="O17" s="66">
        <f>IF(COUNTIFS(tblPRINTERS[TIPO DE CONTATO],HOME!$C$15,tblPRINTERS[SUPERVISOR],HOME!B17)=0,"-",COUNTIFS(tblPRINTERS[TIPO DE CONTATO],HOME!$C$15,tblPRINTERS[SUPERVISOR],HOME!B17))</f>
        <v>41</v>
      </c>
      <c r="P17" s="67">
        <f>IFERROR(O17/COUNTIFS(tblPRINTERS[[#All],[SUPERVISOR]],HOME!B17),"-")</f>
        <v>0.39805825242718446</v>
      </c>
      <c r="Q17" s="68">
        <f>IF(COUNTIFS(tblPRINTERS[TIPO DE CONTATO],HOME!$I$15,tblPRINTERS[SUPERVISOR],HOME!B17)=0,"-",COUNTIFS(tblPRINTERS[TIPO DE CONTATO],HOME!$I$15,tblPRINTERS[SUPERVISOR],HOME!B17))</f>
        <v>45</v>
      </c>
      <c r="R17" s="69">
        <f>IFERROR(Q17/COUNTIFS(tblPRINTERS[[#All],[SUPERVISOR]],HOME!B17),"-")</f>
        <v>0.43689320388349512</v>
      </c>
      <c r="XFC17" s="40"/>
    </row>
    <row r="18" spans="2:18 16383:16383" s="39" customFormat="1" ht="18.75" customHeight="1">
      <c r="B18" s="70" t="s">
        <v>23</v>
      </c>
      <c r="C18" s="62">
        <f>IF(COUNTIFS(tblVIRARAM_PESQUISA[[#All],[SUPERVISOR]],HOME!B18,tblVIRARAM_PESQUISA[[#All],[TIPO DE CONTATO]],HOME!$C$15)=0,"-",COUNTIFS(tblVIRARAM_PESQUISA[[#All],[SUPERVISOR]],HOME!B18,tblVIRARAM_PESQUISA[[#All],[TIPO DE CONTATO]],HOME!$C$15))</f>
        <v>37</v>
      </c>
      <c r="D18" s="63">
        <f>IFERROR(COUNTIFS(tblVIRARAM_PESQUISA[[#All],[SUPERVISOR]],HOME!B18,tblVIRARAM_PESQUISA[[#All],[Q2 - Problem Resolved]],1,tblVIRARAM_PESQUISA[[#All],[TIPO DE CONTATO]],HOME!$C$15) /C18, "-")</f>
        <v>0.86486486486486491</v>
      </c>
      <c r="E18" s="63">
        <f>IFERROR(COUNTIFS(tblVIRARAM_PESQUISA[[#All],[SUPERVISOR]],HOME!B18,tblVIRARAM_PESQUISA[[#All],[Q3 - First Time Fix]],1,tblVIRARAM_PESQUISA[[#All],[TIPO DE CONTATO]],HOME!$C$15) /C18, "-")</f>
        <v>0.72972972972972971</v>
      </c>
      <c r="F18" s="63">
        <f>IFERROR(COUNTIFS(tblVIRARAM_PESQUISA[[#All],[SUPERVISOR]],HOME!B18,tblVIRARAM_PESQUISA[[#All],[Promoters]],1,tblVIRARAM_PESQUISA[[#All],[TIPO DE CONTATO]],HOME!$C$15) /C18, "-")</f>
        <v>0.86486486486486491</v>
      </c>
      <c r="G18" s="63">
        <f>IFERROR(COUNTIFS(tblVIRARAM_PESQUISA[[#All],[SUPERVISOR]],HOME!B18,tblVIRARAM_PESQUISA[[#All],[Detractors]],1,tblVIRARAM_PESQUISA[[#All],[TIPO DE CONTATO]],HOME!$C$15) /C18, "-")</f>
        <v>5.4054054054054057E-2</v>
      </c>
      <c r="H18" s="64">
        <f>IFERROR(F18-G18, "-")</f>
        <v>0.81081081081081086</v>
      </c>
      <c r="I18" s="65">
        <f>IF(COUNTIFS(tblVIRARAM_PESQUISA[[#All],[SUPERVISOR]],HOME!B18,tblVIRARAM_PESQUISA[[#All],[TIPO DE CONTATO]],HOME!$I$15)=0,"-",COUNTIFS(tblVIRARAM_PESQUISA[[#All],[SUPERVISOR]],HOME!B18,tblVIRARAM_PESQUISA[[#All],[TIPO DE CONTATO]],HOME!$I$15))</f>
        <v>13</v>
      </c>
      <c r="J18" s="63">
        <f>IFERROR(COUNTIFS(tblVIRARAM_PESQUISA[[#All],[SUPERVISOR]],HOME!B18,tblVIRARAM_PESQUISA[[#All],[Q2 - Problem Resolved]],1,tblVIRARAM_PESQUISA[[#All],[TIPO DE CONTATO]],HOME!$I$15) /I18,"-")</f>
        <v>0.84615384615384615</v>
      </c>
      <c r="K18" s="63">
        <f>IFERROR(COUNTIFS(tblVIRARAM_PESQUISA[[#All],[SUPERVISOR]],HOME!B18,tblVIRARAM_PESQUISA[[#All],[Q3 - First Time Fix]],1,tblVIRARAM_PESQUISA[[#All],[TIPO DE CONTATO]],HOME!$I$15) /I18,"-")</f>
        <v>0.61538461538461542</v>
      </c>
      <c r="L18" s="63">
        <f>IFERROR(COUNTIFS(tblVIRARAM_PESQUISA[[#All],[SUPERVISOR]],HOME!B18,tblVIRARAM_PESQUISA[[#All],[Promoters]],1,tblVIRARAM_PESQUISA[[#All],[TIPO DE CONTATO]],HOME!$I$15) /I18,"-")</f>
        <v>0.84615384615384615</v>
      </c>
      <c r="M18" s="63">
        <f>IFERROR(COUNTIFS(tblVIRARAM_PESQUISA[[#All],[SUPERVISOR]],HOME!B18,tblVIRARAM_PESQUISA[[#All],[Detractors]],1,tblVIRARAM_PESQUISA[[#All],[TIPO DE CONTATO]],HOME!$I$15) /I18,"-")</f>
        <v>7.6923076923076927E-2</v>
      </c>
      <c r="N18" s="64">
        <f>IFERROR(L18-M18, "-")</f>
        <v>0.76923076923076916</v>
      </c>
      <c r="O18" s="66">
        <f>IF(COUNTIFS(tblPRINTERS[TIPO DE CONTATO],HOME!$C$15,tblPRINTERS[SUPERVISOR],HOME!B18)=0,"-",COUNTIFS(tblPRINTERS[TIPO DE CONTATO],HOME!$C$15,tblPRINTERS[SUPERVISOR],HOME!B18))</f>
        <v>52</v>
      </c>
      <c r="P18" s="67">
        <f>IFERROR(O18/COUNTIFS(tblPRINTERS[[#All],[SUPERVISOR]],HOME!B18),"-")</f>
        <v>0.47272727272727272</v>
      </c>
      <c r="Q18" s="68">
        <f>IF(COUNTIFS(tblPRINTERS[TIPO DE CONTATO],HOME!$I$15,tblPRINTERS[SUPERVISOR],HOME!B18)=0,"-",COUNTIFS(tblPRINTERS[TIPO DE CONTATO],HOME!$I$15,tblPRINTERS[SUPERVISOR],HOME!B18))</f>
        <v>46</v>
      </c>
      <c r="R18" s="69">
        <f>IFERROR(Q18/COUNTIFS(tblPRINTERS[[#All],[SUPERVISOR]],HOME!B18),"-")</f>
        <v>0.41818181818181815</v>
      </c>
    </row>
    <row r="19" spans="2:18 16383:16383" s="39" customFormat="1" ht="16.5">
      <c r="B19" s="70" t="s">
        <v>39</v>
      </c>
      <c r="C19" s="62">
        <f>IF(COUNTIFS(tblVIRARAM_PESQUISA[[#All],[SUPERVISOR]],HOME!B19,tblVIRARAM_PESQUISA[[#All],[TIPO DE CONTATO]],HOME!$C$15)=0,"-",COUNTIFS(tblVIRARAM_PESQUISA[[#All],[SUPERVISOR]],HOME!B19,tblVIRARAM_PESQUISA[[#All],[TIPO DE CONTATO]],HOME!$C$15))</f>
        <v>11</v>
      </c>
      <c r="D19" s="63">
        <f>IFERROR(COUNTIFS(tblVIRARAM_PESQUISA[[#All],[SUPERVISOR]],HOME!B19,tblVIRARAM_PESQUISA[[#All],[Q2 - Problem Resolved]],1,tblVIRARAM_PESQUISA[[#All],[TIPO DE CONTATO]],HOME!$C$15) /C19, "-")</f>
        <v>1</v>
      </c>
      <c r="E19" s="63">
        <f>IFERROR(COUNTIFS(tblVIRARAM_PESQUISA[[#All],[SUPERVISOR]],HOME!B19,tblVIRARAM_PESQUISA[[#All],[Q3 - First Time Fix]],1,tblVIRARAM_PESQUISA[[#All],[TIPO DE CONTATO]],HOME!$C$15) /C19, "-")</f>
        <v>1</v>
      </c>
      <c r="F19" s="63">
        <f>IFERROR(COUNTIFS(tblVIRARAM_PESQUISA[[#All],[SUPERVISOR]],HOME!B19,tblVIRARAM_PESQUISA[[#All],[Promoters]],1,tblVIRARAM_PESQUISA[[#All],[TIPO DE CONTATO]],HOME!$C$15) /C19, "-")</f>
        <v>1</v>
      </c>
      <c r="G19" s="63">
        <f>IFERROR(COUNTIFS(tblVIRARAM_PESQUISA[[#All],[SUPERVISOR]],HOME!B19,tblVIRARAM_PESQUISA[[#All],[Detractors]],1,tblVIRARAM_PESQUISA[[#All],[TIPO DE CONTATO]],HOME!$C$15) /C19, "-")</f>
        <v>0</v>
      </c>
      <c r="H19" s="64">
        <f>IFERROR(F19-G19, "-")</f>
        <v>1</v>
      </c>
      <c r="I19" s="65">
        <f>IF(COUNTIFS(tblVIRARAM_PESQUISA[[#All],[SUPERVISOR]],HOME!B19,tblVIRARAM_PESQUISA[[#All],[TIPO DE CONTATO]],HOME!$I$15)=0,"-",COUNTIFS(tblVIRARAM_PESQUISA[[#All],[SUPERVISOR]],HOME!B19,tblVIRARAM_PESQUISA[[#All],[TIPO DE CONTATO]],HOME!$I$15))</f>
        <v>4</v>
      </c>
      <c r="J19" s="63">
        <f>IFERROR(COUNTIFS(tblVIRARAM_PESQUISA[[#All],[SUPERVISOR]],HOME!B19,tblVIRARAM_PESQUISA[[#All],[Q2 - Problem Resolved]],1,tblVIRARAM_PESQUISA[[#All],[TIPO DE CONTATO]],HOME!$I$15) /I19,"-")</f>
        <v>1</v>
      </c>
      <c r="K19" s="63">
        <f>IFERROR(COUNTIFS(tblVIRARAM_PESQUISA[[#All],[SUPERVISOR]],HOME!B19,tblVIRARAM_PESQUISA[[#All],[Q3 - First Time Fix]],1,tblVIRARAM_PESQUISA[[#All],[TIPO DE CONTATO]],HOME!$I$15) /I19,"-")</f>
        <v>1</v>
      </c>
      <c r="L19" s="63">
        <f>IFERROR(COUNTIFS(tblVIRARAM_PESQUISA[[#All],[SUPERVISOR]],HOME!B19,tblVIRARAM_PESQUISA[[#All],[Promoters]],1,tblVIRARAM_PESQUISA[[#All],[TIPO DE CONTATO]],HOME!$I$15) /I19,"-")</f>
        <v>1</v>
      </c>
      <c r="M19" s="63">
        <f>IFERROR(COUNTIFS(tblVIRARAM_PESQUISA[[#All],[SUPERVISOR]],HOME!B19,tblVIRARAM_PESQUISA[[#All],[Detractors]],1,tblVIRARAM_PESQUISA[[#All],[TIPO DE CONTATO]],HOME!$I$15) /I19,"-")</f>
        <v>0</v>
      </c>
      <c r="N19" s="64">
        <f>IFERROR(L19-M19, "-")</f>
        <v>1</v>
      </c>
      <c r="O19" s="66">
        <f>IF(COUNTIFS(tblPRINTERS[TIPO DE CONTATO],HOME!$C$15,tblPRINTERS[SUPERVISOR],HOME!B19)=0,"-",COUNTIFS(tblPRINTERS[TIPO DE CONTATO],HOME!$C$15,tblPRINTERS[SUPERVISOR],HOME!B19))</f>
        <v>10</v>
      </c>
      <c r="P19" s="67">
        <f>IFERROR(O19/COUNTIFS(tblPRINTERS[[#All],[SUPERVISOR]],HOME!B19),"-")</f>
        <v>0.29411764705882354</v>
      </c>
      <c r="Q19" s="68">
        <f>IF(COUNTIFS(tblPRINTERS[TIPO DE CONTATO],HOME!$I$15,tblPRINTERS[SUPERVISOR],HOME!B19)=0,"-",COUNTIFS(tblPRINTERS[TIPO DE CONTATO],HOME!$I$15,tblPRINTERS[SUPERVISOR],HOME!B19))</f>
        <v>18</v>
      </c>
      <c r="R19" s="69">
        <f>IFERROR(Q19/COUNTIFS(tblPRINTERS[[#All],[SUPERVISOR]],HOME!B19),"-")</f>
        <v>0.52941176470588236</v>
      </c>
    </row>
    <row r="20" spans="2:18 16383:16383" s="39" customFormat="1" ht="18.75" customHeight="1">
      <c r="B20" s="70" t="s">
        <v>31</v>
      </c>
      <c r="C20" s="62">
        <f>IF(COUNTIFS(tblVIRARAM_PESQUISA[[#All],[SUPERVISOR]],HOME!B20,tblVIRARAM_PESQUISA[[#All],[TIPO DE CONTATO]],HOME!$C$15)=0,"-",COUNTIFS(tblVIRARAM_PESQUISA[[#All],[SUPERVISOR]],HOME!B20,tblVIRARAM_PESQUISA[[#All],[TIPO DE CONTATO]],HOME!$C$15))</f>
        <v>21</v>
      </c>
      <c r="D20" s="63">
        <f>IFERROR(COUNTIFS(tblVIRARAM_PESQUISA[[#All],[SUPERVISOR]],HOME!B20,tblVIRARAM_PESQUISA[[#All],[Q2 - Problem Resolved]],1,tblVIRARAM_PESQUISA[[#All],[TIPO DE CONTATO]],HOME!$C$15) /C20, "-")</f>
        <v>1</v>
      </c>
      <c r="E20" s="63">
        <f>IFERROR(COUNTIFS(tblVIRARAM_PESQUISA[[#All],[SUPERVISOR]],HOME!B20,tblVIRARAM_PESQUISA[[#All],[Q3 - First Time Fix]],1,tblVIRARAM_PESQUISA[[#All],[TIPO DE CONTATO]],HOME!$C$15) /C20, "-")</f>
        <v>0.8571428571428571</v>
      </c>
      <c r="F20" s="63">
        <f>IFERROR(COUNTIFS(tblVIRARAM_PESQUISA[[#All],[SUPERVISOR]],HOME!B20,tblVIRARAM_PESQUISA[[#All],[Promoters]],1,tblVIRARAM_PESQUISA[[#All],[TIPO DE CONTATO]],HOME!$C$15) /C20, "-")</f>
        <v>0.80952380952380953</v>
      </c>
      <c r="G20" s="63">
        <f>IFERROR(COUNTIFS(tblVIRARAM_PESQUISA[[#All],[SUPERVISOR]],HOME!B20,tblVIRARAM_PESQUISA[[#All],[Detractors]],1,tblVIRARAM_PESQUISA[[#All],[TIPO DE CONTATO]],HOME!$C$15) /C20, "-")</f>
        <v>4.7619047619047616E-2</v>
      </c>
      <c r="H20" s="64">
        <f>IFERROR(F20-G20, "-")</f>
        <v>0.76190476190476186</v>
      </c>
      <c r="I20" s="65">
        <f>IF(COUNTIFS(tblVIRARAM_PESQUISA[[#All],[SUPERVISOR]],HOME!B20,tblVIRARAM_PESQUISA[[#All],[TIPO DE CONTATO]],HOME!$I$15)=0,"-",COUNTIFS(tblVIRARAM_PESQUISA[[#All],[SUPERVISOR]],HOME!B20,tblVIRARAM_PESQUISA[[#All],[TIPO DE CONTATO]],HOME!$I$15))</f>
        <v>7</v>
      </c>
      <c r="J20" s="63">
        <f>IFERROR(COUNTIFS(tblVIRARAM_PESQUISA[[#All],[SUPERVISOR]],HOME!B20,tblVIRARAM_PESQUISA[[#All],[Q2 - Problem Resolved]],1,tblVIRARAM_PESQUISA[[#All],[TIPO DE CONTATO]],HOME!$I$15) /I20,"-")</f>
        <v>0.8571428571428571</v>
      </c>
      <c r="K20" s="63">
        <f>IFERROR(COUNTIFS(tblVIRARAM_PESQUISA[[#All],[SUPERVISOR]],HOME!B20,tblVIRARAM_PESQUISA[[#All],[Q3 - First Time Fix]],1,tblVIRARAM_PESQUISA[[#All],[TIPO DE CONTATO]],HOME!$I$15) /I20,"-")</f>
        <v>0.2857142857142857</v>
      </c>
      <c r="L20" s="63">
        <f>IFERROR(COUNTIFS(tblVIRARAM_PESQUISA[[#All],[SUPERVISOR]],HOME!B20,tblVIRARAM_PESQUISA[[#All],[Promoters]],1,tblVIRARAM_PESQUISA[[#All],[TIPO DE CONTATO]],HOME!$I$15) /I20,"-")</f>
        <v>0.5714285714285714</v>
      </c>
      <c r="M20" s="63">
        <f>IFERROR(COUNTIFS(tblVIRARAM_PESQUISA[[#All],[SUPERVISOR]],HOME!B20,tblVIRARAM_PESQUISA[[#All],[Detractors]],1,tblVIRARAM_PESQUISA[[#All],[TIPO DE CONTATO]],HOME!$I$15) /I20,"-")</f>
        <v>0.2857142857142857</v>
      </c>
      <c r="N20" s="64">
        <f>IFERROR(L20-M20, "-")</f>
        <v>0.2857142857142857</v>
      </c>
      <c r="O20" s="66">
        <f>IF(COUNTIFS(tblPRINTERS[TIPO DE CONTATO],HOME!$C$15,tblPRINTERS[SUPERVISOR],HOME!B20)=0,"-",COUNTIFS(tblPRINTERS[TIPO DE CONTATO],HOME!$C$15,tblPRINTERS[SUPERVISOR],HOME!B20))</f>
        <v>19</v>
      </c>
      <c r="P20" s="67">
        <f>IFERROR(O20/COUNTIFS(tblPRINTERS[[#All],[SUPERVISOR]],HOME!B20),"-")</f>
        <v>0.37254901960784315</v>
      </c>
      <c r="Q20" s="68">
        <f>IF(COUNTIFS(tblPRINTERS[TIPO DE CONTATO],HOME!$I$15,tblPRINTERS[SUPERVISOR],HOME!B20)=0,"-",COUNTIFS(tblPRINTERS[TIPO DE CONTATO],HOME!$I$15,tblPRINTERS[SUPERVISOR],HOME!B20))</f>
        <v>21</v>
      </c>
      <c r="R20" s="69">
        <f>IFERROR(Q20/COUNTIFS(tblPRINTERS[[#All],[SUPERVISOR]],HOME!B20),"-")</f>
        <v>0.41176470588235292</v>
      </c>
    </row>
    <row r="21" spans="2:18 16383:16383" s="41" customFormat="1" ht="18">
      <c r="B21" s="71" t="s">
        <v>821</v>
      </c>
      <c r="C21" s="72">
        <f>IF(COUNTIFS(tblVIRARAM_PESQUISA[[#All],[TIPO DE CONTATO]],HOME!$C$15)=0,"-",COUNTIFS(tblVIRARAM_PESQUISA[[#All],[TIPO DE CONTATO]],HOME!$C$15))</f>
        <v>131</v>
      </c>
      <c r="D21" s="73">
        <f>IFERROR(COUNTIFS(tblVIRARAM_PESQUISA[[#All],[Q2 - Problem Resolved]],1,tblVIRARAM_PESQUISA[[#All],[TIPO DE CONTATO]],HOME!$C$15) /C21,"-")</f>
        <v>0.94656488549618323</v>
      </c>
      <c r="E21" s="73">
        <f>IFERROR(COUNTIFS(tblVIRARAM_PESQUISA[[#All],[Q3 - First Time Fix]],1,tblVIRARAM_PESQUISA[[#All],[TIPO DE CONTATO]],HOME!$C$15) /C21, "-")</f>
        <v>0.80152671755725191</v>
      </c>
      <c r="F21" s="73">
        <f>IFERROR(COUNTIFS(tblVIRARAM_PESQUISA[[#All],[Promoters]],1,tblVIRARAM_PESQUISA[[#All],[TIPO DE CONTATO]],HOME!$C$15) /C21, "-")</f>
        <v>0.86259541984732824</v>
      </c>
      <c r="G21" s="73">
        <f>IFERROR(COUNTIFS(tblVIRARAM_PESQUISA[[#All],[Detractors]],1,tblVIRARAM_PESQUISA[[#All],[TIPO DE CONTATO]],HOME!$C$15) /C21, "-")</f>
        <v>5.3435114503816793E-2</v>
      </c>
      <c r="H21" s="74">
        <f>IFERROR(F21-G21, "-")</f>
        <v>0.80916030534351147</v>
      </c>
      <c r="I21" s="75">
        <f>IF(COUNTIFS(tblVIRARAM_PESQUISA[[#All],[TIPO DE CONTATO]],HOME!$I$15)=0,"-",COUNTIFS(tblVIRARAM_PESQUISA[[#All],[TIPO DE CONTATO]],HOME!$I$15))</f>
        <v>57</v>
      </c>
      <c r="J21" s="73">
        <f>IFERROR(COUNTIFS(tblVIRARAM_PESQUISA[[#All],[Q2 - Problem Resolved]],1,tblVIRARAM_PESQUISA[[#All],[TIPO DE CONTATO]],HOME!$I$15) /I21,"-")</f>
        <v>0.89473684210526316</v>
      </c>
      <c r="K21" s="73">
        <f>IFERROR(COUNTIFS(tblVIRARAM_PESQUISA[[#All],[Q2 - Problem Resolved]],1,tblVIRARAM_PESQUISA[[#All],[TIPO DE CONTATO]],HOME!$I$15) /I21,"-")</f>
        <v>0.89473684210526316</v>
      </c>
      <c r="L21" s="73">
        <f>IFERROR(COUNTIFS(tblVIRARAM_PESQUISA[[#All],[Promoters]],1,tblVIRARAM_PESQUISA[[#All],[TIPO DE CONTATO]],HOME!$I$15) /I21,"-")</f>
        <v>0.77192982456140347</v>
      </c>
      <c r="M21" s="73">
        <f>IFERROR(COUNTIFS(tblVIRARAM_PESQUISA[[#All],[Detractors]],1,tblVIRARAM_PESQUISA[[#All],[TIPO DE CONTATO]],HOME!$I$15) /I21,"-")</f>
        <v>8.771929824561403E-2</v>
      </c>
      <c r="N21" s="74">
        <f>IFERROR(L21-M21, "-")</f>
        <v>0.68421052631578938</v>
      </c>
      <c r="O21" s="76">
        <f>IF(COUNTIFS(tblPRINTERS[TIPO DE CONTATO],HOME!$C$15)=0,"-",COUNTIFS(tblPRINTERS[TIPO DE CONTATO],HOME!$C$15))</f>
        <v>158</v>
      </c>
      <c r="P21" s="77">
        <f>IFERROR(O21/COUNTA(PRINTERS!$A$5:$A$1048576),"-")</f>
        <v>0.3882063882063882</v>
      </c>
      <c r="Q21" s="78">
        <f>IF(COUNTIFS(tblPRINTERS[TIPO DE CONTATO],HOME!$I$15)=0,"-",COUNTIFS(tblPRINTERS[TIPO DE CONTATO],HOME!$I$15))</f>
        <v>185</v>
      </c>
      <c r="R21" s="79">
        <f>IFERROR(Q21/COUNTA(PRINTERS!$A$5:$A$1048576),"-")</f>
        <v>0.45454545454545453</v>
      </c>
    </row>
    <row r="22" spans="2:18 16383:16383" ht="18.75" customHeight="1">
      <c r="B22" s="83"/>
      <c r="C22" s="84"/>
      <c r="D22" s="84"/>
      <c r="E22" s="84"/>
      <c r="F22" s="84"/>
      <c r="G22" s="84"/>
      <c r="H22" s="84"/>
      <c r="I22" s="84"/>
      <c r="J22" s="84"/>
      <c r="K22" s="84"/>
      <c r="L22" s="84"/>
      <c r="M22" s="84"/>
      <c r="N22" s="84"/>
      <c r="O22" s="84"/>
      <c r="P22" s="84"/>
      <c r="Q22" s="84"/>
      <c r="R22" s="85"/>
    </row>
    <row r="23" spans="2:18 16383:16383" ht="15.75">
      <c r="B23" s="103" t="s">
        <v>808</v>
      </c>
      <c r="C23" s="105" t="s">
        <v>304</v>
      </c>
      <c r="D23" s="106"/>
      <c r="E23" s="106"/>
      <c r="F23" s="106"/>
      <c r="G23" s="106"/>
      <c r="H23" s="107"/>
      <c r="I23" s="100" t="s">
        <v>303</v>
      </c>
      <c r="J23" s="101"/>
      <c r="K23" s="101"/>
      <c r="L23" s="101"/>
      <c r="M23" s="101"/>
      <c r="N23" s="102"/>
      <c r="O23" s="100" t="s">
        <v>830</v>
      </c>
      <c r="P23" s="101"/>
      <c r="Q23" s="101"/>
      <c r="R23" s="102"/>
    </row>
    <row r="24" spans="2:18 16383:16383" ht="15.75">
      <c r="B24" s="104"/>
      <c r="C24" s="57" t="s">
        <v>3247</v>
      </c>
      <c r="D24" s="57" t="s">
        <v>822</v>
      </c>
      <c r="E24" s="57" t="s">
        <v>301</v>
      </c>
      <c r="F24" s="57" t="s">
        <v>826</v>
      </c>
      <c r="G24" s="57" t="s">
        <v>827</v>
      </c>
      <c r="H24" s="58" t="s">
        <v>823</v>
      </c>
      <c r="I24" s="59" t="s">
        <v>3247</v>
      </c>
      <c r="J24" s="60" t="s">
        <v>822</v>
      </c>
      <c r="K24" s="60" t="s">
        <v>301</v>
      </c>
      <c r="L24" s="60" t="s">
        <v>826</v>
      </c>
      <c r="M24" s="60" t="s">
        <v>827</v>
      </c>
      <c r="N24" s="61" t="s">
        <v>823</v>
      </c>
      <c r="O24" s="58" t="s">
        <v>831</v>
      </c>
      <c r="P24" s="59" t="s">
        <v>828</v>
      </c>
      <c r="Q24" s="58" t="s">
        <v>832</v>
      </c>
      <c r="R24" s="81" t="s">
        <v>829</v>
      </c>
    </row>
    <row r="25" spans="2:18 16383:16383">
      <c r="B25" s="80" t="s">
        <v>817</v>
      </c>
      <c r="C25" s="62">
        <f>IF(COUNTIFS(tblVIRARAM_PESQUISA[[#All],[NOME DO AGENTE ]],HOME!B25,tblVIRARAM_PESQUISA[[#All],[TIPO DE CONTATO]],HOME!$C$23)=0,"-",COUNTIFS(tblVIRARAM_PESQUISA[[#All],[NOME DO AGENTE ]],HOME!B25,tblVIRARAM_PESQUISA[[#All],[TIPO DE CONTATO]],HOME!$C$23))</f>
        <v>117</v>
      </c>
      <c r="D25" s="63">
        <f>IFERROR(COUNTIFS(tblVIRARAM_PESQUISA[[#All],[NOME DO AGENTE ]],HOME!B25,tblVIRARAM_PESQUISA[[#All],[Q2 - Problem Resolved]],1,tblVIRARAM_PESQUISA[[#All],[TIPO DE CONTATO]],HOME!$C$23) /C25,"-")</f>
        <v>0.94017094017094016</v>
      </c>
      <c r="E25" s="63">
        <f>IFERROR(COUNTIFS(tblVIRARAM_PESQUISA[[#All],[NOME DO AGENTE ]],HOME!B25,tblVIRARAM_PESQUISA[[#All],[Q3 - First Time Fix]],1,tblVIRARAM_PESQUISA[[#All],[TIPO DE CONTATO]],HOME!$C$23) /C25,"-")</f>
        <v>0.78632478632478631</v>
      </c>
      <c r="F25" s="63">
        <f>IFERROR(COUNTIFS(tblVIRARAM_PESQUISA[[#All],[NOME DO AGENTE ]],HOME!B25,tblVIRARAM_PESQUISA[[#All],[Promoters]],1,tblVIRARAM_PESQUISA[[#All],[TIPO DE CONTATO]],HOME!$C$23) /C25,"-")</f>
        <v>0.84615384615384615</v>
      </c>
      <c r="G25" s="63">
        <f>IFERROR(COUNTIFS(tblVIRARAM_PESQUISA[[#All],[NOME DO AGENTE ]],HOME!B25,tblVIRARAM_PESQUISA[[#All],[Detractors]],1,tblVIRARAM_PESQUISA[[#All],[TIPO DE CONTATO]],HOME!$C$23) /C25,"-")</f>
        <v>5.9829059829059832E-2</v>
      </c>
      <c r="H25" s="64">
        <f>IFERROR(F25-G25, "-")</f>
        <v>0.78632478632478631</v>
      </c>
      <c r="I25" s="65">
        <f>IF(COUNTIFS(tblVIRARAM_PESQUISA[[#All],[NOME DO AGENTE ]],HOME!B25,tblVIRARAM_PESQUISA[[#All],[TIPO DE CONTATO]],HOME!$I$23)=0,"-",COUNTIFS(tblVIRARAM_PESQUISA[[#All],[NOME DO AGENTE ]],HOME!B25,tblVIRARAM_PESQUISA[[#All],[TIPO DE CONTATO]],HOME!$I$23))</f>
        <v>39</v>
      </c>
      <c r="J25" s="63">
        <f>IFERROR(COUNTIFS(tblVIRARAM_PESQUISA[[#All],[NOME DO AGENTE ]],HOME!B25,tblVIRARAM_PESQUISA[[#All],[Q2 - Problem Resolved]],1,tblVIRARAM_PESQUISA[[#All],[TIPO DE CONTATO]],HOME!$I$23) /I25,"-")</f>
        <v>0.92307692307692313</v>
      </c>
      <c r="K25" s="63">
        <f>IFERROR(COUNTIFS(tblVIRARAM_PESQUISA[[#All],[NOME DO AGENTE ]],HOME!B25,tblVIRARAM_PESQUISA[[#All],[Q3 - First Time Fix]],1,tblVIRARAM_PESQUISA[[#All],[TIPO DE CONTATO]],HOME!$I$23) /I25,"-")</f>
        <v>0.74358974358974361</v>
      </c>
      <c r="L25" s="63">
        <f>IFERROR(COUNTIFS(tblVIRARAM_PESQUISA[[#All],[NOME DO AGENTE ]],HOME!B25,tblVIRARAM_PESQUISA[[#All],[Promoters]],1,tblVIRARAM_PESQUISA[[#All],[TIPO DE CONTATO]],HOME!$I$23) /I25,"-")</f>
        <v>0.76923076923076927</v>
      </c>
      <c r="M25" s="63">
        <f>IFERROR(COUNTIFS(tblVIRARAM_PESQUISA[[#All],[NOME DO AGENTE ]],HOME!B25,tblVIRARAM_PESQUISA[[#All],[Detractors]],1,tblVIRARAM_PESQUISA[[#All],[TIPO DE CONTATO]],HOME!$I$23) /I25,"-")</f>
        <v>5.128205128205128E-2</v>
      </c>
      <c r="N25" s="64">
        <f>IFERROR(L25-M25, "-")</f>
        <v>0.71794871794871795</v>
      </c>
      <c r="O25" s="66">
        <f>IF(COUNTIFS(tblPRINTERS[TIPO DE CONTATO],HOME!$C$23,tblPRINTERS[[NOME DO AGENTE ]],HOME!B25)=0,"-",COUNTIFS(tblPRINTERS[TIPO DE CONTATO],HOME!$C$23,tblPRINTERS[[NOME DO AGENTE ]],HOME!B25))</f>
        <v>133</v>
      </c>
      <c r="P25" s="67">
        <f>IFERROR(O25/COUNTIFS(tblPRINTERS[[#All],[NOME DO AGENTE ]],HOME!B25),"-")</f>
        <v>0.46503496503496505</v>
      </c>
      <c r="Q25" s="68">
        <f>IF(COUNTIFS(tblPRINTERS[TIPO DE CONTATO],HOME!$I$23,tblPRINTERS[[NOME DO AGENTE ]],HOME!B25)=0,"-",COUNTIFS(tblPRINTERS[TIPO DE CONTATO],HOME!$I$15,tblPRINTERS[[NOME DO AGENTE ]],HOME!B25))</f>
        <v>152</v>
      </c>
      <c r="R25" s="69">
        <f>IFERROR(Q25/COUNTIFS(tblPRINTERS[[#All],[NOME DO AGENTE ]],HOME!B25),"-")</f>
        <v>0.53146853146853146</v>
      </c>
    </row>
    <row r="1048573" spans="3:3">
      <c r="C1048573" s="38"/>
    </row>
  </sheetData>
  <sheetProtection password="B681" sheet="1" objects="1" scenarios="1"/>
  <mergeCells count="8">
    <mergeCell ref="O15:R15"/>
    <mergeCell ref="B23:B24"/>
    <mergeCell ref="C23:H23"/>
    <mergeCell ref="I23:N23"/>
    <mergeCell ref="O23:R23"/>
    <mergeCell ref="B15:B16"/>
    <mergeCell ref="C15:H15"/>
    <mergeCell ref="I15:N15"/>
  </mergeCells>
  <conditionalFormatting sqref="J21:K21 D17:D21 J17:J20 D25 J25">
    <cfRule type="expression" dxfId="26" priority="349">
      <formula>D17&lt;$R$5</formula>
    </cfRule>
    <cfRule type="expression" dxfId="25" priority="350">
      <formula>D17&gt;=$R$5</formula>
    </cfRule>
  </conditionalFormatting>
  <conditionalFormatting sqref="E17:E21 K17:K20 E25 K25">
    <cfRule type="expression" dxfId="24" priority="359">
      <formula>E17&lt;$R$4</formula>
    </cfRule>
    <cfRule type="expression" dxfId="23" priority="360">
      <formula>E17&gt;=$R$4</formula>
    </cfRule>
  </conditionalFormatting>
  <conditionalFormatting sqref="G17:G21 M17:M21 G25 M25">
    <cfRule type="expression" dxfId="22" priority="367">
      <formula>G17&gt;$R$7</formula>
    </cfRule>
    <cfRule type="expression" dxfId="21" priority="368">
      <formula>G17&lt;=$R$7</formula>
    </cfRule>
  </conditionalFormatting>
  <conditionalFormatting sqref="H17:H21 N17:N21 H25 N25">
    <cfRule type="expression" dxfId="20" priority="375">
      <formula>H17&lt;$R$6</formula>
    </cfRule>
    <cfRule type="expression" dxfId="19" priority="376">
      <formula>H17&gt;=$R$6</formula>
    </cfRule>
  </conditionalFormatting>
  <dataValidations count="1">
    <dataValidation type="list" allowBlank="1" showInputMessage="1" showErrorMessage="1" sqref="B25">
      <formula1>AGENTES_LISTA</formula1>
    </dataValidation>
  </dataValidations>
  <pageMargins left="0.511811024" right="0.511811024" top="0.78740157499999996" bottom="0.78740157499999996" header="0.31496062000000002" footer="0.31496062000000002"/>
  <pageSetup paperSize="0" orientation="portrait" horizontalDpi="0" verticalDpi="0" copies="0"/>
  <ignoredErrors>
    <ignoredError sqref="Q17:Q21 Q25" 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5:V1360"/>
  <sheetViews>
    <sheetView showGridLines="0" zoomScale="80" zoomScaleNormal="80" workbookViewId="0">
      <selection activeCell="A946" sqref="A946:V1360"/>
    </sheetView>
  </sheetViews>
  <sheetFormatPr defaultRowHeight="15"/>
  <cols>
    <col min="1" max="1" width="19.85546875" style="1" bestFit="1" customWidth="1"/>
    <col min="2" max="2" width="19.42578125" style="2" bestFit="1" customWidth="1"/>
    <col min="3" max="3" width="14.42578125" style="2" bestFit="1" customWidth="1"/>
    <col min="4" max="4" width="12" style="1" bestFit="1" customWidth="1"/>
    <col min="5" max="5" width="32.28515625" style="1" bestFit="1" customWidth="1"/>
    <col min="6" max="6" width="11.28515625" style="1" bestFit="1" customWidth="1"/>
    <col min="7" max="7" width="37.42578125" style="1" bestFit="1" customWidth="1"/>
    <col min="8" max="8" width="12.28515625" style="1" bestFit="1" customWidth="1"/>
    <col min="9" max="9" width="37.42578125" style="1" bestFit="1" customWidth="1"/>
    <col min="10" max="10" width="3.85546875" style="1" bestFit="1" customWidth="1"/>
    <col min="11" max="11" width="16.42578125" style="1" bestFit="1" customWidth="1"/>
    <col min="12" max="12" width="8.5703125" style="1" bestFit="1" customWidth="1"/>
    <col min="13" max="13" width="38.140625" style="1" bestFit="1" customWidth="1"/>
    <col min="14" max="14" width="42.28515625" style="1" bestFit="1" customWidth="1"/>
    <col min="15" max="15" width="251.28515625" style="1" bestFit="1" customWidth="1"/>
    <col min="16" max="16" width="8.5703125" style="1" bestFit="1" customWidth="1"/>
    <col min="17" max="17" width="13" style="1" bestFit="1" customWidth="1"/>
    <col min="18" max="18" width="9.85546875" style="1" bestFit="1" customWidth="1"/>
    <col min="19" max="19" width="18.7109375" style="1" bestFit="1" customWidth="1"/>
    <col min="20" max="20" width="102.140625" style="1" bestFit="1" customWidth="1"/>
    <col min="21" max="21" width="12" style="1" bestFit="1" customWidth="1"/>
    <col min="22" max="22" width="115" style="1" bestFit="1" customWidth="1"/>
    <col min="23" max="16384" width="9.140625" style="1"/>
  </cols>
  <sheetData>
    <row r="5" spans="1:19">
      <c r="A5" s="3" t="s">
        <v>164</v>
      </c>
      <c r="B5" s="31" t="s">
        <v>165</v>
      </c>
      <c r="C5" s="31" t="s">
        <v>166</v>
      </c>
      <c r="D5" s="3" t="s">
        <v>167</v>
      </c>
      <c r="E5" s="3" t="s">
        <v>168</v>
      </c>
      <c r="F5" s="3" t="s">
        <v>169</v>
      </c>
      <c r="G5" s="3" t="s">
        <v>170</v>
      </c>
      <c r="H5" s="3" t="s">
        <v>171</v>
      </c>
      <c r="I5" s="3" t="s">
        <v>172</v>
      </c>
      <c r="J5" s="3" t="s">
        <v>918</v>
      </c>
      <c r="K5" s="3" t="s">
        <v>2973</v>
      </c>
      <c r="L5" s="3" t="s">
        <v>173</v>
      </c>
      <c r="M5" s="3" t="s">
        <v>919</v>
      </c>
      <c r="N5" s="3" t="s">
        <v>174</v>
      </c>
      <c r="O5" s="3" t="s">
        <v>175</v>
      </c>
      <c r="P5" s="3" t="s">
        <v>176</v>
      </c>
      <c r="Q5" s="31" t="s">
        <v>177</v>
      </c>
      <c r="R5" s="3" t="s">
        <v>2974</v>
      </c>
      <c r="S5" s="3" t="s">
        <v>2975</v>
      </c>
    </row>
    <row r="6" spans="1:19">
      <c r="A6" s="3" t="s">
        <v>164</v>
      </c>
      <c r="B6" s="31" t="s">
        <v>165</v>
      </c>
      <c r="C6" s="31" t="s">
        <v>166</v>
      </c>
      <c r="D6" s="3" t="s">
        <v>167</v>
      </c>
      <c r="E6" s="3" t="s">
        <v>168</v>
      </c>
      <c r="F6" s="3" t="s">
        <v>169</v>
      </c>
      <c r="G6" s="3" t="s">
        <v>170</v>
      </c>
      <c r="H6" s="3" t="s">
        <v>171</v>
      </c>
      <c r="I6" s="3" t="s">
        <v>172</v>
      </c>
      <c r="J6" s="3" t="s">
        <v>918</v>
      </c>
      <c r="K6" s="3" t="s">
        <v>2973</v>
      </c>
      <c r="L6" s="3" t="s">
        <v>173</v>
      </c>
      <c r="M6" s="3" t="s">
        <v>919</v>
      </c>
      <c r="N6" s="3" t="s">
        <v>174</v>
      </c>
      <c r="O6" s="3" t="s">
        <v>175</v>
      </c>
      <c r="P6" s="3" t="s">
        <v>176</v>
      </c>
      <c r="Q6" s="31" t="s">
        <v>177</v>
      </c>
      <c r="R6" s="3" t="s">
        <v>2974</v>
      </c>
      <c r="S6" s="3" t="s">
        <v>2975</v>
      </c>
    </row>
    <row r="7" spans="1:19">
      <c r="A7" s="3" t="s">
        <v>865</v>
      </c>
      <c r="B7" s="31">
        <v>42740.737851504629</v>
      </c>
      <c r="C7" s="31">
        <v>42738.371527777781</v>
      </c>
      <c r="D7" s="3">
        <v>3035430453</v>
      </c>
      <c r="E7" s="3" t="s">
        <v>9</v>
      </c>
      <c r="F7" s="3" t="s">
        <v>101</v>
      </c>
      <c r="G7" s="3" t="s">
        <v>102</v>
      </c>
      <c r="H7" s="3" t="s">
        <v>101</v>
      </c>
      <c r="I7" s="3" t="s">
        <v>102</v>
      </c>
      <c r="J7" s="3" t="s">
        <v>69</v>
      </c>
      <c r="K7" s="3" t="s">
        <v>2976</v>
      </c>
      <c r="L7" s="3" t="s">
        <v>866</v>
      </c>
      <c r="M7" s="3" t="s">
        <v>59</v>
      </c>
      <c r="N7" s="3" t="s">
        <v>60</v>
      </c>
      <c r="O7" s="3" t="s">
        <v>147</v>
      </c>
      <c r="P7" s="3" t="s">
        <v>875</v>
      </c>
      <c r="Q7" s="31">
        <v>42739</v>
      </c>
      <c r="R7" s="3" t="s">
        <v>62</v>
      </c>
      <c r="S7" s="3" t="s">
        <v>62</v>
      </c>
    </row>
    <row r="8" spans="1:19">
      <c r="A8" s="3" t="s">
        <v>877</v>
      </c>
      <c r="B8" s="31">
        <v>42743.735176273149</v>
      </c>
      <c r="C8" s="31">
        <v>42741.502083333333</v>
      </c>
      <c r="D8" s="3">
        <v>3035543030</v>
      </c>
      <c r="E8" s="3" t="s">
        <v>9</v>
      </c>
      <c r="F8" s="3" t="s">
        <v>101</v>
      </c>
      <c r="G8" s="3" t="s">
        <v>102</v>
      </c>
      <c r="H8" s="3" t="s">
        <v>101</v>
      </c>
      <c r="I8" s="3" t="s">
        <v>102</v>
      </c>
      <c r="J8" s="3" t="s">
        <v>69</v>
      </c>
      <c r="K8" s="3" t="s">
        <v>2976</v>
      </c>
      <c r="L8" s="3" t="s">
        <v>871</v>
      </c>
      <c r="M8" s="3" t="s">
        <v>84</v>
      </c>
      <c r="N8" s="3" t="s">
        <v>85</v>
      </c>
      <c r="O8" s="3" t="s">
        <v>233</v>
      </c>
      <c r="P8" s="3" t="s">
        <v>875</v>
      </c>
      <c r="Q8" s="31">
        <v>42742</v>
      </c>
      <c r="R8" s="3" t="s">
        <v>62</v>
      </c>
      <c r="S8" s="3" t="s">
        <v>62</v>
      </c>
    </row>
    <row r="9" spans="1:19">
      <c r="A9" s="3" t="s">
        <v>865</v>
      </c>
      <c r="B9" s="31">
        <v>42740.737851504629</v>
      </c>
      <c r="C9" s="31">
        <v>42738.385416666664</v>
      </c>
      <c r="D9" s="3">
        <v>3035292787</v>
      </c>
      <c r="E9" s="3" t="s">
        <v>273</v>
      </c>
      <c r="F9" s="3" t="s">
        <v>909</v>
      </c>
      <c r="G9" s="3" t="s">
        <v>313</v>
      </c>
      <c r="H9" s="3" t="s">
        <v>115</v>
      </c>
      <c r="I9" s="3" t="s">
        <v>116</v>
      </c>
      <c r="J9" s="3" t="s">
        <v>58</v>
      </c>
      <c r="K9" s="3" t="s">
        <v>2977</v>
      </c>
      <c r="L9" s="3" t="s">
        <v>866</v>
      </c>
      <c r="M9" s="3" t="s">
        <v>70</v>
      </c>
      <c r="N9" s="3" t="s">
        <v>71</v>
      </c>
      <c r="O9" s="3" t="s">
        <v>905</v>
      </c>
      <c r="P9" s="3" t="s">
        <v>875</v>
      </c>
      <c r="Q9" s="31">
        <v>42739</v>
      </c>
      <c r="R9" s="3" t="s">
        <v>62</v>
      </c>
      <c r="S9" s="3" t="s">
        <v>529</v>
      </c>
    </row>
    <row r="10" spans="1:19">
      <c r="A10" s="3" t="s">
        <v>877</v>
      </c>
      <c r="B10" s="31">
        <v>42740.737851504629</v>
      </c>
      <c r="C10" s="31">
        <v>42738.397222222222</v>
      </c>
      <c r="D10" s="3">
        <v>3035294170</v>
      </c>
      <c r="E10" s="3" t="s">
        <v>273</v>
      </c>
      <c r="F10" s="3" t="s">
        <v>853</v>
      </c>
      <c r="G10" s="3" t="s">
        <v>267</v>
      </c>
      <c r="H10" s="3" t="s">
        <v>115</v>
      </c>
      <c r="I10" s="3" t="s">
        <v>116</v>
      </c>
      <c r="J10" s="3" t="s">
        <v>58</v>
      </c>
      <c r="K10" s="3" t="s">
        <v>2977</v>
      </c>
      <c r="L10" s="3" t="s">
        <v>871</v>
      </c>
      <c r="M10" s="3" t="s">
        <v>84</v>
      </c>
      <c r="N10" s="3" t="s">
        <v>85</v>
      </c>
      <c r="O10" s="3" t="s">
        <v>233</v>
      </c>
      <c r="P10" s="3" t="s">
        <v>875</v>
      </c>
      <c r="Q10" s="31">
        <v>42739</v>
      </c>
      <c r="R10" s="3" t="s">
        <v>62</v>
      </c>
      <c r="S10" s="3" t="s">
        <v>529</v>
      </c>
    </row>
    <row r="11" spans="1:19">
      <c r="A11" s="3" t="s">
        <v>865</v>
      </c>
      <c r="B11" s="31">
        <v>42740.737851504629</v>
      </c>
      <c r="C11" s="31">
        <v>42738.412499999999</v>
      </c>
      <c r="D11" s="3">
        <v>3035431242</v>
      </c>
      <c r="E11" s="3" t="s">
        <v>2978</v>
      </c>
      <c r="F11" s="3" t="s">
        <v>256</v>
      </c>
      <c r="G11" s="3" t="s">
        <v>879</v>
      </c>
      <c r="H11" s="3" t="s">
        <v>56</v>
      </c>
      <c r="I11" s="3" t="s">
        <v>57</v>
      </c>
      <c r="J11" s="3" t="s">
        <v>99</v>
      </c>
      <c r="K11" s="3" t="s">
        <v>2976</v>
      </c>
      <c r="L11" s="3" t="s">
        <v>866</v>
      </c>
      <c r="M11" s="3" t="s">
        <v>59</v>
      </c>
      <c r="N11" s="3" t="s">
        <v>60</v>
      </c>
      <c r="O11" s="3" t="s">
        <v>147</v>
      </c>
      <c r="P11" s="3" t="s">
        <v>875</v>
      </c>
      <c r="Q11" s="31">
        <v>42739</v>
      </c>
      <c r="R11" s="3" t="s">
        <v>62</v>
      </c>
      <c r="S11" s="3" t="s">
        <v>62</v>
      </c>
    </row>
    <row r="12" spans="1:19">
      <c r="A12" s="3" t="s">
        <v>877</v>
      </c>
      <c r="B12" s="31">
        <v>42740.737851504629</v>
      </c>
      <c r="C12" s="31">
        <v>42738.424305555556</v>
      </c>
      <c r="D12" s="3">
        <v>3035430858</v>
      </c>
      <c r="E12" s="3" t="s">
        <v>9</v>
      </c>
      <c r="F12" s="3" t="s">
        <v>158</v>
      </c>
      <c r="G12" s="3" t="s">
        <v>159</v>
      </c>
      <c r="H12" s="3" t="s">
        <v>202</v>
      </c>
      <c r="I12" s="3" t="s">
        <v>203</v>
      </c>
      <c r="J12" s="3" t="s">
        <v>69</v>
      </c>
      <c r="K12" s="3" t="s">
        <v>2976</v>
      </c>
      <c r="L12" s="3" t="s">
        <v>866</v>
      </c>
      <c r="M12" s="3" t="s">
        <v>70</v>
      </c>
      <c r="N12" s="3" t="s">
        <v>71</v>
      </c>
      <c r="O12" s="3" t="s">
        <v>2979</v>
      </c>
      <c r="P12" s="3" t="s">
        <v>875</v>
      </c>
      <c r="Q12" s="31">
        <v>42739</v>
      </c>
      <c r="R12" s="3" t="s">
        <v>62</v>
      </c>
      <c r="S12" s="3" t="s">
        <v>62</v>
      </c>
    </row>
    <row r="13" spans="1:19">
      <c r="A13" s="3" t="s">
        <v>868</v>
      </c>
      <c r="B13" s="31">
        <v>42740.737851504629</v>
      </c>
      <c r="C13" s="31">
        <v>42738.446527777778</v>
      </c>
      <c r="D13" s="3">
        <v>3035432401</v>
      </c>
      <c r="E13" s="3" t="s">
        <v>9</v>
      </c>
      <c r="F13" s="3" t="s">
        <v>56</v>
      </c>
      <c r="G13" s="3" t="s">
        <v>57</v>
      </c>
      <c r="H13" s="3" t="s">
        <v>56</v>
      </c>
      <c r="I13" s="3" t="s">
        <v>57</v>
      </c>
      <c r="J13" s="3" t="s">
        <v>69</v>
      </c>
      <c r="K13" s="3" t="s">
        <v>2976</v>
      </c>
      <c r="L13" s="3" t="s">
        <v>871</v>
      </c>
      <c r="M13" s="3" t="s">
        <v>84</v>
      </c>
      <c r="N13" s="3" t="s">
        <v>85</v>
      </c>
      <c r="O13" s="3" t="s">
        <v>233</v>
      </c>
      <c r="P13" s="3" t="s">
        <v>875</v>
      </c>
      <c r="Q13" s="31">
        <v>42739</v>
      </c>
      <c r="R13" s="3" t="s">
        <v>62</v>
      </c>
      <c r="S13" s="3" t="s">
        <v>62</v>
      </c>
    </row>
    <row r="14" spans="1:19">
      <c r="A14" s="3" t="s">
        <v>865</v>
      </c>
      <c r="B14" s="31">
        <v>42740.737851504629</v>
      </c>
      <c r="C14" s="31">
        <v>42738.446527777778</v>
      </c>
      <c r="D14" s="3">
        <v>3035404846</v>
      </c>
      <c r="E14" s="3" t="s">
        <v>31</v>
      </c>
      <c r="F14" s="3" t="s">
        <v>852</v>
      </c>
      <c r="G14" s="3" t="s">
        <v>197</v>
      </c>
      <c r="H14" s="3" t="s">
        <v>206</v>
      </c>
      <c r="I14" s="3" t="s">
        <v>207</v>
      </c>
      <c r="J14" s="3" t="s">
        <v>97</v>
      </c>
      <c r="K14" s="3" t="s">
        <v>2977</v>
      </c>
      <c r="L14" s="3" t="s">
        <v>866</v>
      </c>
      <c r="M14" s="3" t="s">
        <v>70</v>
      </c>
      <c r="N14" s="3" t="s">
        <v>71</v>
      </c>
      <c r="O14" s="3" t="s">
        <v>2980</v>
      </c>
      <c r="P14" s="3" t="s">
        <v>875</v>
      </c>
      <c r="Q14" s="31">
        <v>42744</v>
      </c>
      <c r="R14" s="3" t="s">
        <v>62</v>
      </c>
      <c r="S14" s="3" t="s">
        <v>92</v>
      </c>
    </row>
    <row r="15" spans="1:19">
      <c r="A15" s="3" t="s">
        <v>865</v>
      </c>
      <c r="B15" s="31">
        <v>42740.737851504629</v>
      </c>
      <c r="C15" s="31">
        <v>42738.452777777777</v>
      </c>
      <c r="D15" s="3">
        <v>3035432646</v>
      </c>
      <c r="E15" s="3" t="s">
        <v>23</v>
      </c>
      <c r="F15" s="3" t="s">
        <v>160</v>
      </c>
      <c r="G15" s="3" t="s">
        <v>161</v>
      </c>
      <c r="H15" s="3" t="s">
        <v>160</v>
      </c>
      <c r="I15" s="3" t="s">
        <v>161</v>
      </c>
      <c r="J15" s="3" t="s">
        <v>69</v>
      </c>
      <c r="K15" s="3" t="s">
        <v>2976</v>
      </c>
      <c r="L15" s="3" t="s">
        <v>866</v>
      </c>
      <c r="M15" s="3" t="s">
        <v>59</v>
      </c>
      <c r="N15" s="3" t="s">
        <v>60</v>
      </c>
      <c r="O15" s="3" t="s">
        <v>147</v>
      </c>
      <c r="P15" s="3" t="s">
        <v>875</v>
      </c>
      <c r="Q15" s="31">
        <v>42739</v>
      </c>
      <c r="R15" s="3" t="s">
        <v>62</v>
      </c>
      <c r="S15" s="3" t="s">
        <v>62</v>
      </c>
    </row>
    <row r="16" spans="1:19">
      <c r="A16" s="3" t="s">
        <v>868</v>
      </c>
      <c r="B16" s="31">
        <v>42740.737851504629</v>
      </c>
      <c r="C16" s="31">
        <v>42738.457638888889</v>
      </c>
      <c r="D16" s="3">
        <v>3035331079</v>
      </c>
      <c r="E16" s="3" t="s">
        <v>2978</v>
      </c>
      <c r="F16" s="3" t="s">
        <v>256</v>
      </c>
      <c r="G16" s="3" t="s">
        <v>879</v>
      </c>
      <c r="H16" s="3" t="s">
        <v>142</v>
      </c>
      <c r="I16" s="3" t="s">
        <v>143</v>
      </c>
      <c r="J16" s="3" t="s">
        <v>97</v>
      </c>
      <c r="K16" s="3" t="s">
        <v>2977</v>
      </c>
      <c r="L16" s="3" t="s">
        <v>866</v>
      </c>
      <c r="M16" s="3" t="s">
        <v>59</v>
      </c>
      <c r="N16" s="3" t="s">
        <v>60</v>
      </c>
      <c r="O16" s="3" t="s">
        <v>147</v>
      </c>
      <c r="P16" s="3" t="s">
        <v>875</v>
      </c>
      <c r="Q16" s="31">
        <v>42739</v>
      </c>
      <c r="R16" s="3" t="s">
        <v>62</v>
      </c>
      <c r="S16" s="3" t="s">
        <v>1355</v>
      </c>
    </row>
    <row r="17" spans="1:19">
      <c r="A17" s="3" t="s">
        <v>868</v>
      </c>
      <c r="B17" s="31">
        <v>42740.737851504629</v>
      </c>
      <c r="C17" s="31">
        <v>42738.479166666664</v>
      </c>
      <c r="D17" s="3">
        <v>3035433395</v>
      </c>
      <c r="E17" s="3" t="s">
        <v>9</v>
      </c>
      <c r="F17" s="3" t="s">
        <v>158</v>
      </c>
      <c r="G17" s="3" t="s">
        <v>159</v>
      </c>
      <c r="H17" s="3" t="s">
        <v>158</v>
      </c>
      <c r="I17" s="3" t="s">
        <v>159</v>
      </c>
      <c r="J17" s="3" t="s">
        <v>69</v>
      </c>
      <c r="K17" s="3" t="s">
        <v>2976</v>
      </c>
      <c r="L17" s="3" t="s">
        <v>866</v>
      </c>
      <c r="M17" s="3" t="s">
        <v>70</v>
      </c>
      <c r="N17" s="3" t="s">
        <v>71</v>
      </c>
      <c r="O17" s="3" t="s">
        <v>2981</v>
      </c>
      <c r="P17" s="3" t="s">
        <v>875</v>
      </c>
      <c r="Q17" s="31">
        <v>42739</v>
      </c>
      <c r="R17" s="3" t="s">
        <v>62</v>
      </c>
      <c r="S17" s="3" t="s">
        <v>62</v>
      </c>
    </row>
    <row r="18" spans="1:19">
      <c r="A18" s="3" t="s">
        <v>877</v>
      </c>
      <c r="B18" s="31">
        <v>42740.737851504629</v>
      </c>
      <c r="C18" s="31">
        <v>42738.48333333333</v>
      </c>
      <c r="D18" s="3">
        <v>3035433649</v>
      </c>
      <c r="E18" s="3" t="s">
        <v>9</v>
      </c>
      <c r="F18" s="3" t="s">
        <v>107</v>
      </c>
      <c r="G18" s="3" t="s">
        <v>108</v>
      </c>
      <c r="H18" s="3" t="s">
        <v>107</v>
      </c>
      <c r="I18" s="3" t="s">
        <v>108</v>
      </c>
      <c r="J18" s="3" t="s">
        <v>69</v>
      </c>
      <c r="K18" s="3" t="s">
        <v>2976</v>
      </c>
      <c r="L18" s="3" t="s">
        <v>871</v>
      </c>
      <c r="M18" s="3" t="s">
        <v>84</v>
      </c>
      <c r="N18" s="3" t="s">
        <v>85</v>
      </c>
      <c r="O18" s="3" t="s">
        <v>322</v>
      </c>
      <c r="P18" s="3" t="s">
        <v>875</v>
      </c>
      <c r="Q18" s="31">
        <v>42739</v>
      </c>
      <c r="R18" s="3" t="s">
        <v>62</v>
      </c>
      <c r="S18" s="3" t="s">
        <v>62</v>
      </c>
    </row>
    <row r="19" spans="1:19">
      <c r="A19" s="3" t="s">
        <v>865</v>
      </c>
      <c r="B19" s="31">
        <v>42740.737851504629</v>
      </c>
      <c r="C19" s="31">
        <v>42738.492361111108</v>
      </c>
      <c r="D19" s="3">
        <v>3035433934</v>
      </c>
      <c r="E19" s="3" t="s">
        <v>9</v>
      </c>
      <c r="F19" s="3" t="s">
        <v>80</v>
      </c>
      <c r="G19" s="3" t="s">
        <v>81</v>
      </c>
      <c r="H19" s="3" t="s">
        <v>80</v>
      </c>
      <c r="I19" s="3" t="s">
        <v>81</v>
      </c>
      <c r="J19" s="3" t="s">
        <v>99</v>
      </c>
      <c r="K19" s="3" t="s">
        <v>2976</v>
      </c>
      <c r="L19" s="3" t="s">
        <v>866</v>
      </c>
      <c r="M19" s="3" t="s">
        <v>59</v>
      </c>
      <c r="N19" s="3" t="s">
        <v>60</v>
      </c>
      <c r="O19" s="3" t="s">
        <v>147</v>
      </c>
      <c r="P19" s="3" t="s">
        <v>875</v>
      </c>
      <c r="Q19" s="31">
        <v>42739</v>
      </c>
      <c r="R19" s="3" t="s">
        <v>62</v>
      </c>
      <c r="S19" s="3" t="s">
        <v>62</v>
      </c>
    </row>
    <row r="20" spans="1:19">
      <c r="A20" s="3" t="s">
        <v>865</v>
      </c>
      <c r="B20" s="31">
        <v>42740.737851504629</v>
      </c>
      <c r="C20" s="31">
        <v>42738.499305555553</v>
      </c>
      <c r="D20" s="3">
        <v>3035408935</v>
      </c>
      <c r="E20" s="3" t="s">
        <v>9</v>
      </c>
      <c r="F20" s="3" t="s">
        <v>67</v>
      </c>
      <c r="G20" s="3" t="s">
        <v>68</v>
      </c>
      <c r="H20" s="3" t="s">
        <v>89</v>
      </c>
      <c r="I20" s="3" t="s">
        <v>90</v>
      </c>
      <c r="J20" s="3" t="s">
        <v>58</v>
      </c>
      <c r="K20" s="3" t="s">
        <v>2977</v>
      </c>
      <c r="L20" s="3" t="s">
        <v>866</v>
      </c>
      <c r="M20" s="3" t="s">
        <v>70</v>
      </c>
      <c r="N20" s="3" t="s">
        <v>71</v>
      </c>
      <c r="O20" s="3" t="s">
        <v>904</v>
      </c>
      <c r="P20" s="3" t="s">
        <v>875</v>
      </c>
      <c r="Q20" s="31">
        <v>42739</v>
      </c>
      <c r="R20" s="3" t="s">
        <v>62</v>
      </c>
      <c r="S20" s="3" t="s">
        <v>529</v>
      </c>
    </row>
    <row r="21" spans="1:19">
      <c r="A21" s="3" t="s">
        <v>865</v>
      </c>
      <c r="B21" s="31">
        <v>42740.737851504629</v>
      </c>
      <c r="C21" s="31">
        <v>42738.650694444441</v>
      </c>
      <c r="D21" s="3">
        <v>3035442101</v>
      </c>
      <c r="E21" s="3" t="s">
        <v>23</v>
      </c>
      <c r="F21" s="3" t="s">
        <v>154</v>
      </c>
      <c r="G21" s="3" t="s">
        <v>155</v>
      </c>
      <c r="H21" s="3" t="s">
        <v>154</v>
      </c>
      <c r="I21" s="3" t="s">
        <v>155</v>
      </c>
      <c r="J21" s="3" t="s">
        <v>58</v>
      </c>
      <c r="K21" s="3" t="s">
        <v>2976</v>
      </c>
      <c r="L21" s="3" t="s">
        <v>866</v>
      </c>
      <c r="M21" s="3" t="s">
        <v>70</v>
      </c>
      <c r="N21" s="3" t="s">
        <v>71</v>
      </c>
      <c r="O21" s="3" t="s">
        <v>851</v>
      </c>
      <c r="P21" s="3" t="s">
        <v>875</v>
      </c>
      <c r="Q21" s="31">
        <v>42744</v>
      </c>
      <c r="R21" s="3" t="s">
        <v>62</v>
      </c>
      <c r="S21" s="3" t="s">
        <v>62</v>
      </c>
    </row>
    <row r="22" spans="1:19">
      <c r="A22" s="3" t="s">
        <v>873</v>
      </c>
      <c r="B22" s="31">
        <v>42740.737851504629</v>
      </c>
      <c r="C22" s="31">
        <v>42738.506944444445</v>
      </c>
      <c r="D22" s="3">
        <v>3035434614</v>
      </c>
      <c r="E22" s="3" t="s">
        <v>23</v>
      </c>
      <c r="F22" s="3" t="s">
        <v>160</v>
      </c>
      <c r="G22" s="3" t="s">
        <v>161</v>
      </c>
      <c r="H22" s="3" t="s">
        <v>160</v>
      </c>
      <c r="I22" s="3" t="s">
        <v>161</v>
      </c>
      <c r="J22" s="3" t="s">
        <v>69</v>
      </c>
      <c r="K22" s="3" t="s">
        <v>2976</v>
      </c>
      <c r="L22" s="3" t="s">
        <v>871</v>
      </c>
      <c r="M22" s="3" t="s">
        <v>84</v>
      </c>
      <c r="N22" s="3" t="s">
        <v>85</v>
      </c>
      <c r="O22" s="3" t="s">
        <v>2982</v>
      </c>
      <c r="P22" s="3" t="s">
        <v>875</v>
      </c>
      <c r="Q22" s="31">
        <v>42739</v>
      </c>
      <c r="R22" s="3" t="s">
        <v>62</v>
      </c>
      <c r="S22" s="3" t="s">
        <v>62</v>
      </c>
    </row>
    <row r="23" spans="1:19">
      <c r="A23" s="3" t="s">
        <v>877</v>
      </c>
      <c r="B23" s="31">
        <v>42740.737851504629</v>
      </c>
      <c r="C23" s="31">
        <v>42738.509722222225</v>
      </c>
      <c r="D23" s="3">
        <v>3035434744</v>
      </c>
      <c r="E23" s="3" t="s">
        <v>9</v>
      </c>
      <c r="F23" s="3" t="s">
        <v>158</v>
      </c>
      <c r="G23" s="3" t="s">
        <v>159</v>
      </c>
      <c r="H23" s="3" t="s">
        <v>158</v>
      </c>
      <c r="I23" s="3" t="s">
        <v>159</v>
      </c>
      <c r="J23" s="3" t="s">
        <v>69</v>
      </c>
      <c r="K23" s="3" t="s">
        <v>2976</v>
      </c>
      <c r="L23" s="3" t="s">
        <v>871</v>
      </c>
      <c r="M23" s="3" t="s">
        <v>901</v>
      </c>
      <c r="N23" s="3" t="s">
        <v>323</v>
      </c>
      <c r="O23" s="3" t="s">
        <v>2983</v>
      </c>
      <c r="P23" s="3" t="s">
        <v>875</v>
      </c>
      <c r="Q23" s="31">
        <v>42739</v>
      </c>
      <c r="R23" s="3" t="s">
        <v>62</v>
      </c>
      <c r="S23" s="3" t="s">
        <v>62</v>
      </c>
    </row>
    <row r="24" spans="1:19">
      <c r="A24" s="3" t="s">
        <v>877</v>
      </c>
      <c r="B24" s="31">
        <v>42740.737851504629</v>
      </c>
      <c r="C24" s="31">
        <v>42738.515277777777</v>
      </c>
      <c r="D24" s="3">
        <v>3035292206</v>
      </c>
      <c r="E24" s="3" t="s">
        <v>9</v>
      </c>
      <c r="F24" s="3" t="s">
        <v>80</v>
      </c>
      <c r="G24" s="3" t="s">
        <v>81</v>
      </c>
      <c r="H24" s="3" t="s">
        <v>89</v>
      </c>
      <c r="I24" s="3" t="s">
        <v>90</v>
      </c>
      <c r="J24" s="3" t="s">
        <v>69</v>
      </c>
      <c r="K24" s="3" t="s">
        <v>2977</v>
      </c>
      <c r="L24" s="3" t="s">
        <v>866</v>
      </c>
      <c r="M24" s="3" t="s">
        <v>59</v>
      </c>
      <c r="N24" s="3" t="s">
        <v>60</v>
      </c>
      <c r="O24" s="3" t="s">
        <v>147</v>
      </c>
      <c r="P24" s="3" t="s">
        <v>875</v>
      </c>
      <c r="Q24" s="31">
        <v>42739</v>
      </c>
      <c r="R24" s="3" t="s">
        <v>62</v>
      </c>
      <c r="S24" s="3" t="s">
        <v>529</v>
      </c>
    </row>
    <row r="25" spans="1:19">
      <c r="A25" s="3" t="s">
        <v>865</v>
      </c>
      <c r="B25" s="31">
        <v>42741.73704378472</v>
      </c>
      <c r="C25" s="31">
        <v>42739.465277777781</v>
      </c>
      <c r="D25" s="3">
        <v>3035232633</v>
      </c>
      <c r="E25" s="3" t="s">
        <v>273</v>
      </c>
      <c r="F25" s="3" t="s">
        <v>259</v>
      </c>
      <c r="G25" s="3" t="s">
        <v>260</v>
      </c>
      <c r="H25" s="3" t="s">
        <v>115</v>
      </c>
      <c r="I25" s="3" t="s">
        <v>116</v>
      </c>
      <c r="J25" s="3" t="s">
        <v>79</v>
      </c>
      <c r="K25" s="3" t="s">
        <v>2977</v>
      </c>
      <c r="L25" s="3" t="s">
        <v>866</v>
      </c>
      <c r="M25" s="3" t="s">
        <v>70</v>
      </c>
      <c r="N25" s="3" t="s">
        <v>71</v>
      </c>
      <c r="O25" s="3" t="s">
        <v>2984</v>
      </c>
      <c r="P25" s="3" t="s">
        <v>875</v>
      </c>
      <c r="Q25" s="31">
        <v>42744</v>
      </c>
      <c r="R25" s="3" t="s">
        <v>62</v>
      </c>
      <c r="S25" s="3" t="s">
        <v>529</v>
      </c>
    </row>
    <row r="26" spans="1:19">
      <c r="A26" s="3" t="s">
        <v>877</v>
      </c>
      <c r="B26" s="31">
        <v>42743.735176273149</v>
      </c>
      <c r="C26" s="31">
        <v>42741.658333333333</v>
      </c>
      <c r="D26" s="3">
        <v>3035550109</v>
      </c>
      <c r="E26" s="3" t="s">
        <v>273</v>
      </c>
      <c r="F26" s="3" t="s">
        <v>141</v>
      </c>
      <c r="G26" s="3" t="s">
        <v>560</v>
      </c>
      <c r="H26" s="3" t="s">
        <v>141</v>
      </c>
      <c r="I26" s="3" t="s">
        <v>560</v>
      </c>
      <c r="J26" s="3" t="s">
        <v>79</v>
      </c>
      <c r="K26" s="3" t="s">
        <v>2977</v>
      </c>
      <c r="L26" s="3" t="s">
        <v>871</v>
      </c>
      <c r="M26" s="3" t="s">
        <v>84</v>
      </c>
      <c r="N26" s="3" t="s">
        <v>85</v>
      </c>
      <c r="O26" s="3" t="s">
        <v>233</v>
      </c>
      <c r="P26" s="3" t="s">
        <v>875</v>
      </c>
      <c r="Q26" s="31">
        <v>42742</v>
      </c>
      <c r="R26" s="3" t="s">
        <v>62</v>
      </c>
      <c r="S26" s="3" t="s">
        <v>2985</v>
      </c>
    </row>
    <row r="27" spans="1:19">
      <c r="A27" s="3" t="s">
        <v>873</v>
      </c>
      <c r="B27" s="31">
        <v>42739.737655902776</v>
      </c>
      <c r="C27" s="31">
        <v>42738.540277777778</v>
      </c>
      <c r="D27" s="3">
        <v>3035406879</v>
      </c>
      <c r="E27" s="3" t="s">
        <v>31</v>
      </c>
      <c r="F27" s="3" t="s">
        <v>113</v>
      </c>
      <c r="G27" s="3" t="s">
        <v>114</v>
      </c>
      <c r="H27" s="3" t="s">
        <v>2986</v>
      </c>
      <c r="I27" s="3" t="s">
        <v>645</v>
      </c>
      <c r="J27" s="3" t="s">
        <v>58</v>
      </c>
      <c r="K27" s="3" t="s">
        <v>2977</v>
      </c>
      <c r="L27" s="3" t="s">
        <v>871</v>
      </c>
      <c r="M27" s="3" t="s">
        <v>65</v>
      </c>
      <c r="N27" s="3" t="s">
        <v>66</v>
      </c>
      <c r="O27" s="3" t="s">
        <v>65</v>
      </c>
      <c r="P27" s="3" t="s">
        <v>875</v>
      </c>
      <c r="Q27" s="31">
        <v>42739</v>
      </c>
      <c r="R27" s="3" t="s">
        <v>62</v>
      </c>
      <c r="S27" s="3" t="s">
        <v>65</v>
      </c>
    </row>
    <row r="28" spans="1:19">
      <c r="A28" s="3" t="s">
        <v>868</v>
      </c>
      <c r="B28" s="31">
        <v>42740.737851504629</v>
      </c>
      <c r="C28" s="31">
        <v>42738.563888888886</v>
      </c>
      <c r="D28" s="3">
        <v>3035437532</v>
      </c>
      <c r="E28" s="3" t="s">
        <v>9</v>
      </c>
      <c r="F28" s="3" t="s">
        <v>56</v>
      </c>
      <c r="G28" s="3" t="s">
        <v>57</v>
      </c>
      <c r="H28" s="3" t="s">
        <v>56</v>
      </c>
      <c r="I28" s="3" t="s">
        <v>57</v>
      </c>
      <c r="J28" s="3" t="s">
        <v>69</v>
      </c>
      <c r="K28" s="3" t="s">
        <v>2976</v>
      </c>
      <c r="L28" s="3" t="s">
        <v>871</v>
      </c>
      <c r="M28" s="3" t="s">
        <v>84</v>
      </c>
      <c r="N28" s="3" t="s">
        <v>85</v>
      </c>
      <c r="O28" s="3" t="s">
        <v>233</v>
      </c>
      <c r="P28" s="3" t="s">
        <v>875</v>
      </c>
      <c r="Q28" s="31">
        <v>42739</v>
      </c>
      <c r="R28" s="3" t="s">
        <v>62</v>
      </c>
      <c r="S28" s="3" t="s">
        <v>62</v>
      </c>
    </row>
    <row r="29" spans="1:19">
      <c r="A29" s="3" t="s">
        <v>877</v>
      </c>
      <c r="B29" s="31">
        <v>42740.737851504629</v>
      </c>
      <c r="C29" s="31">
        <v>42738.569444444445</v>
      </c>
      <c r="D29" s="3">
        <v>3035437359</v>
      </c>
      <c r="E29" s="3" t="s">
        <v>31</v>
      </c>
      <c r="F29" s="3" t="s">
        <v>145</v>
      </c>
      <c r="G29" s="3" t="s">
        <v>146</v>
      </c>
      <c r="H29" s="3" t="s">
        <v>145</v>
      </c>
      <c r="I29" s="3" t="s">
        <v>146</v>
      </c>
      <c r="J29" s="3" t="s">
        <v>98</v>
      </c>
      <c r="K29" s="3" t="s">
        <v>2977</v>
      </c>
      <c r="L29" s="3" t="s">
        <v>866</v>
      </c>
      <c r="M29" s="3" t="s">
        <v>70</v>
      </c>
      <c r="N29" s="3" t="s">
        <v>71</v>
      </c>
      <c r="O29" s="3" t="s">
        <v>2987</v>
      </c>
      <c r="P29" s="3" t="s">
        <v>875</v>
      </c>
      <c r="Q29" s="31">
        <v>42739</v>
      </c>
      <c r="R29" s="3" t="s">
        <v>62</v>
      </c>
      <c r="S29" s="3" t="s">
        <v>92</v>
      </c>
    </row>
    <row r="30" spans="1:19">
      <c r="A30" s="3" t="s">
        <v>865</v>
      </c>
      <c r="B30" s="31">
        <v>42741.73704378472</v>
      </c>
      <c r="C30" s="31">
        <v>42739.768055555556</v>
      </c>
      <c r="D30" s="3">
        <v>3035486015</v>
      </c>
      <c r="E30" s="3" t="s">
        <v>39</v>
      </c>
      <c r="F30" s="3" t="s">
        <v>248</v>
      </c>
      <c r="G30" s="3" t="s">
        <v>249</v>
      </c>
      <c r="H30" s="3" t="s">
        <v>248</v>
      </c>
      <c r="I30" s="3" t="s">
        <v>249</v>
      </c>
      <c r="J30" s="3" t="s">
        <v>69</v>
      </c>
      <c r="K30" s="3" t="s">
        <v>2977</v>
      </c>
      <c r="L30" s="3" t="s">
        <v>866</v>
      </c>
      <c r="M30" s="3" t="s">
        <v>70</v>
      </c>
      <c r="N30" s="3" t="s">
        <v>71</v>
      </c>
      <c r="O30" s="3" t="s">
        <v>2980</v>
      </c>
      <c r="P30" s="3" t="s">
        <v>875</v>
      </c>
      <c r="Q30" s="31">
        <v>42744</v>
      </c>
      <c r="R30" s="3" t="s">
        <v>62</v>
      </c>
      <c r="S30" s="3" t="s">
        <v>92</v>
      </c>
    </row>
    <row r="31" spans="1:19">
      <c r="A31" s="3" t="s">
        <v>868</v>
      </c>
      <c r="B31" s="31">
        <v>42740.737851504629</v>
      </c>
      <c r="C31" s="31">
        <v>42738.572222222225</v>
      </c>
      <c r="D31" s="3">
        <v>3035437788</v>
      </c>
      <c r="E31" s="3" t="s">
        <v>9</v>
      </c>
      <c r="F31" s="3" t="s">
        <v>80</v>
      </c>
      <c r="G31" s="3" t="s">
        <v>81</v>
      </c>
      <c r="H31" s="3" t="s">
        <v>80</v>
      </c>
      <c r="I31" s="3" t="s">
        <v>81</v>
      </c>
      <c r="J31" s="3" t="s">
        <v>69</v>
      </c>
      <c r="K31" s="3" t="s">
        <v>2976</v>
      </c>
      <c r="L31" s="3" t="s">
        <v>871</v>
      </c>
      <c r="M31" s="3" t="s">
        <v>84</v>
      </c>
      <c r="N31" s="3" t="s">
        <v>85</v>
      </c>
      <c r="O31" s="3" t="s">
        <v>322</v>
      </c>
      <c r="P31" s="3" t="s">
        <v>875</v>
      </c>
      <c r="Q31" s="31">
        <v>42739</v>
      </c>
      <c r="R31" s="3" t="s">
        <v>62</v>
      </c>
      <c r="S31" s="3" t="s">
        <v>62</v>
      </c>
    </row>
    <row r="32" spans="1:19">
      <c r="A32" s="3" t="s">
        <v>865</v>
      </c>
      <c r="B32" s="31">
        <v>42740.737851504629</v>
      </c>
      <c r="C32" s="31">
        <v>42738.579861111109</v>
      </c>
      <c r="D32" s="3">
        <v>3035430616</v>
      </c>
      <c r="E32" s="3" t="s">
        <v>31</v>
      </c>
      <c r="F32" s="3" t="s">
        <v>219</v>
      </c>
      <c r="G32" s="3" t="s">
        <v>220</v>
      </c>
      <c r="H32" s="3" t="s">
        <v>252</v>
      </c>
      <c r="I32" s="3" t="s">
        <v>870</v>
      </c>
      <c r="J32" s="3" t="s">
        <v>98</v>
      </c>
      <c r="K32" s="3" t="s">
        <v>2977</v>
      </c>
      <c r="L32" s="3" t="s">
        <v>866</v>
      </c>
      <c r="M32" s="3" t="s">
        <v>59</v>
      </c>
      <c r="N32" s="3" t="s">
        <v>60</v>
      </c>
      <c r="O32" s="3" t="s">
        <v>147</v>
      </c>
      <c r="P32" s="3" t="s">
        <v>875</v>
      </c>
      <c r="Q32" s="31">
        <v>42739</v>
      </c>
      <c r="R32" s="3" t="s">
        <v>62</v>
      </c>
      <c r="S32" s="3" t="s">
        <v>2985</v>
      </c>
    </row>
    <row r="33" spans="1:19">
      <c r="A33" s="3" t="s">
        <v>865</v>
      </c>
      <c r="B33" s="31">
        <v>42741.73704378472</v>
      </c>
      <c r="C33" s="31">
        <v>42739.803472222222</v>
      </c>
      <c r="D33" s="3">
        <v>3035487309</v>
      </c>
      <c r="E33" s="3" t="s">
        <v>23</v>
      </c>
      <c r="F33" s="3" t="s">
        <v>186</v>
      </c>
      <c r="G33" s="3" t="s">
        <v>187</v>
      </c>
      <c r="H33" s="3" t="s">
        <v>186</v>
      </c>
      <c r="I33" s="3" t="s">
        <v>187</v>
      </c>
      <c r="J33" s="3" t="s">
        <v>69</v>
      </c>
      <c r="K33" s="3" t="s">
        <v>2976</v>
      </c>
      <c r="L33" s="3" t="s">
        <v>866</v>
      </c>
      <c r="M33" s="3" t="s">
        <v>70</v>
      </c>
      <c r="N33" s="3" t="s">
        <v>71</v>
      </c>
      <c r="O33" s="3" t="s">
        <v>904</v>
      </c>
      <c r="P33" s="3" t="s">
        <v>875</v>
      </c>
      <c r="Q33" s="31">
        <v>42744</v>
      </c>
      <c r="R33" s="3" t="s">
        <v>62</v>
      </c>
      <c r="S33" s="3" t="s">
        <v>62</v>
      </c>
    </row>
    <row r="34" spans="1:19">
      <c r="A34" s="3" t="s">
        <v>873</v>
      </c>
      <c r="B34" s="31">
        <v>42740.737851504629</v>
      </c>
      <c r="C34" s="31">
        <v>42738.594444444447</v>
      </c>
      <c r="D34" s="3">
        <v>3035439135</v>
      </c>
      <c r="E34" s="3" t="s">
        <v>9</v>
      </c>
      <c r="F34" s="3" t="s">
        <v>80</v>
      </c>
      <c r="G34" s="3" t="s">
        <v>81</v>
      </c>
      <c r="H34" s="3" t="s">
        <v>80</v>
      </c>
      <c r="I34" s="3" t="s">
        <v>81</v>
      </c>
      <c r="J34" s="3" t="s">
        <v>69</v>
      </c>
      <c r="K34" s="3" t="s">
        <v>2976</v>
      </c>
      <c r="L34" s="3" t="s">
        <v>866</v>
      </c>
      <c r="M34" s="3" t="s">
        <v>59</v>
      </c>
      <c r="N34" s="3" t="s">
        <v>60</v>
      </c>
      <c r="O34" s="3" t="s">
        <v>147</v>
      </c>
      <c r="P34" s="3" t="s">
        <v>875</v>
      </c>
      <c r="Q34" s="31">
        <v>42739</v>
      </c>
      <c r="R34" s="3" t="s">
        <v>62</v>
      </c>
      <c r="S34" s="3" t="s">
        <v>62</v>
      </c>
    </row>
    <row r="35" spans="1:19">
      <c r="A35" s="3" t="s">
        <v>865</v>
      </c>
      <c r="B35" s="31">
        <v>42741.73704378472</v>
      </c>
      <c r="C35" s="31">
        <v>42739.825694444444</v>
      </c>
      <c r="D35" s="3">
        <v>3035172415</v>
      </c>
      <c r="E35" s="3" t="s">
        <v>23</v>
      </c>
      <c r="F35" s="3" t="s">
        <v>183</v>
      </c>
      <c r="G35" s="3" t="s">
        <v>184</v>
      </c>
      <c r="H35" s="3" t="s">
        <v>139</v>
      </c>
      <c r="I35" s="3" t="s">
        <v>140</v>
      </c>
      <c r="J35" s="3" t="s">
        <v>58</v>
      </c>
      <c r="K35" s="3" t="s">
        <v>2977</v>
      </c>
      <c r="L35" s="3" t="s">
        <v>866</v>
      </c>
      <c r="M35" s="3" t="s">
        <v>70</v>
      </c>
      <c r="N35" s="3" t="s">
        <v>71</v>
      </c>
      <c r="O35" s="3" t="s">
        <v>851</v>
      </c>
      <c r="P35" s="3" t="s">
        <v>875</v>
      </c>
      <c r="Q35" s="31">
        <v>42744</v>
      </c>
      <c r="R35" s="3" t="s">
        <v>62</v>
      </c>
      <c r="S35" s="3" t="s">
        <v>529</v>
      </c>
    </row>
    <row r="36" spans="1:19">
      <c r="A36" s="3" t="s">
        <v>877</v>
      </c>
      <c r="B36" s="31">
        <v>42740.737851504629</v>
      </c>
      <c r="C36" s="31">
        <v>42738.607638888891</v>
      </c>
      <c r="D36" s="3">
        <v>3035399497</v>
      </c>
      <c r="E36" s="3" t="s">
        <v>23</v>
      </c>
      <c r="F36" s="3" t="s">
        <v>137</v>
      </c>
      <c r="G36" s="3" t="s">
        <v>138</v>
      </c>
      <c r="H36" s="3" t="s">
        <v>139</v>
      </c>
      <c r="I36" s="3" t="s">
        <v>140</v>
      </c>
      <c r="J36" s="3" t="s">
        <v>69</v>
      </c>
      <c r="K36" s="3" t="s">
        <v>2977</v>
      </c>
      <c r="L36" s="3" t="s">
        <v>871</v>
      </c>
      <c r="M36" s="3" t="s">
        <v>84</v>
      </c>
      <c r="N36" s="3" t="s">
        <v>85</v>
      </c>
      <c r="O36" s="3" t="s">
        <v>233</v>
      </c>
      <c r="P36" s="3" t="s">
        <v>875</v>
      </c>
      <c r="Q36" s="31">
        <v>42739</v>
      </c>
      <c r="R36" s="3" t="s">
        <v>62</v>
      </c>
      <c r="S36" s="3" t="s">
        <v>529</v>
      </c>
    </row>
    <row r="37" spans="1:19">
      <c r="A37" s="3" t="s">
        <v>865</v>
      </c>
      <c r="B37" s="31">
        <v>42741.73704378472</v>
      </c>
      <c r="C37" s="31">
        <v>42739.865972222222</v>
      </c>
      <c r="D37" s="3">
        <v>3035490737</v>
      </c>
      <c r="E37" s="3" t="s">
        <v>23</v>
      </c>
      <c r="F37" s="3" t="s">
        <v>179</v>
      </c>
      <c r="G37" s="3" t="s">
        <v>180</v>
      </c>
      <c r="H37" s="3" t="s">
        <v>179</v>
      </c>
      <c r="I37" s="3" t="s">
        <v>180</v>
      </c>
      <c r="J37" s="3" t="s">
        <v>69</v>
      </c>
      <c r="K37" s="3" t="s">
        <v>2976</v>
      </c>
      <c r="L37" s="3" t="s">
        <v>866</v>
      </c>
      <c r="M37" s="3" t="s">
        <v>70</v>
      </c>
      <c r="N37" s="3" t="s">
        <v>71</v>
      </c>
      <c r="O37" s="3" t="s">
        <v>2988</v>
      </c>
      <c r="P37" s="3" t="s">
        <v>875</v>
      </c>
      <c r="Q37" s="31">
        <v>42744</v>
      </c>
      <c r="R37" s="3" t="s">
        <v>62</v>
      </c>
      <c r="S37" s="3" t="s">
        <v>62</v>
      </c>
    </row>
    <row r="38" spans="1:19">
      <c r="A38" s="3" t="s">
        <v>877</v>
      </c>
      <c r="B38" s="31">
        <v>42743.735176273149</v>
      </c>
      <c r="C38" s="31">
        <v>42741.695833333331</v>
      </c>
      <c r="D38" s="3">
        <v>3035507108</v>
      </c>
      <c r="E38" s="3" t="s">
        <v>9</v>
      </c>
      <c r="F38" s="3" t="s">
        <v>107</v>
      </c>
      <c r="G38" s="3" t="s">
        <v>108</v>
      </c>
      <c r="H38" s="3" t="s">
        <v>82</v>
      </c>
      <c r="I38" s="3" t="s">
        <v>83</v>
      </c>
      <c r="J38" s="3" t="s">
        <v>69</v>
      </c>
      <c r="K38" s="3" t="s">
        <v>2976</v>
      </c>
      <c r="L38" s="3" t="s">
        <v>871</v>
      </c>
      <c r="M38" s="3" t="s">
        <v>84</v>
      </c>
      <c r="N38" s="3" t="s">
        <v>85</v>
      </c>
      <c r="O38" s="3" t="s">
        <v>233</v>
      </c>
      <c r="P38" s="3" t="s">
        <v>875</v>
      </c>
      <c r="Q38" s="31">
        <v>42742</v>
      </c>
      <c r="R38" s="3" t="s">
        <v>62</v>
      </c>
      <c r="S38" s="3" t="s">
        <v>62</v>
      </c>
    </row>
    <row r="39" spans="1:19">
      <c r="A39" s="3" t="s">
        <v>865</v>
      </c>
      <c r="B39" s="31">
        <v>42740.737851504629</v>
      </c>
      <c r="C39" s="31">
        <v>42738.615277777775</v>
      </c>
      <c r="D39" s="3">
        <v>3035336918</v>
      </c>
      <c r="E39" s="3" t="s">
        <v>23</v>
      </c>
      <c r="F39" s="3" t="s">
        <v>135</v>
      </c>
      <c r="G39" s="3" t="s">
        <v>136</v>
      </c>
      <c r="H39" s="3" t="s">
        <v>139</v>
      </c>
      <c r="I39" s="3" t="s">
        <v>140</v>
      </c>
      <c r="J39" s="3" t="s">
        <v>69</v>
      </c>
      <c r="K39" s="3" t="s">
        <v>2977</v>
      </c>
      <c r="L39" s="3" t="s">
        <v>866</v>
      </c>
      <c r="M39" s="3" t="s">
        <v>59</v>
      </c>
      <c r="N39" s="3" t="s">
        <v>60</v>
      </c>
      <c r="O39" s="3" t="s">
        <v>61</v>
      </c>
      <c r="P39" s="3" t="s">
        <v>869</v>
      </c>
      <c r="Q39" s="31">
        <v>42739</v>
      </c>
      <c r="R39" s="3" t="s">
        <v>62</v>
      </c>
      <c r="S39" s="3" t="s">
        <v>529</v>
      </c>
    </row>
    <row r="40" spans="1:19">
      <c r="A40" s="3" t="s">
        <v>865</v>
      </c>
      <c r="B40" s="31">
        <v>42742.73709116898</v>
      </c>
      <c r="C40" s="31">
        <v>42740.539583333331</v>
      </c>
      <c r="D40" s="3">
        <v>3035408953</v>
      </c>
      <c r="E40" s="3" t="s">
        <v>273</v>
      </c>
      <c r="F40" s="3" t="s">
        <v>854</v>
      </c>
      <c r="G40" s="3" t="s">
        <v>846</v>
      </c>
      <c r="H40" s="3" t="s">
        <v>115</v>
      </c>
      <c r="I40" s="3" t="s">
        <v>116</v>
      </c>
      <c r="J40" s="3" t="s">
        <v>69</v>
      </c>
      <c r="K40" s="3" t="s">
        <v>2977</v>
      </c>
      <c r="L40" s="3" t="s">
        <v>866</v>
      </c>
      <c r="M40" s="3" t="s">
        <v>70</v>
      </c>
      <c r="N40" s="3" t="s">
        <v>71</v>
      </c>
      <c r="O40" s="3" t="s">
        <v>2989</v>
      </c>
      <c r="P40" s="3" t="s">
        <v>875</v>
      </c>
      <c r="Q40" s="31">
        <v>42744</v>
      </c>
      <c r="R40" s="3" t="s">
        <v>62</v>
      </c>
      <c r="S40" s="3" t="s">
        <v>529</v>
      </c>
    </row>
    <row r="41" spans="1:19">
      <c r="A41" s="3" t="s">
        <v>877</v>
      </c>
      <c r="B41" s="31">
        <v>42743.735176273149</v>
      </c>
      <c r="C41" s="31">
        <v>42741.78402777778</v>
      </c>
      <c r="D41" s="3">
        <v>3035554097</v>
      </c>
      <c r="E41" s="3" t="s">
        <v>23</v>
      </c>
      <c r="F41" s="3" t="s">
        <v>186</v>
      </c>
      <c r="G41" s="3" t="s">
        <v>187</v>
      </c>
      <c r="H41" s="3" t="s">
        <v>186</v>
      </c>
      <c r="I41" s="3" t="s">
        <v>187</v>
      </c>
      <c r="J41" s="3" t="s">
        <v>69</v>
      </c>
      <c r="K41" s="3" t="s">
        <v>2976</v>
      </c>
      <c r="L41" s="3" t="s">
        <v>871</v>
      </c>
      <c r="M41" s="3" t="s">
        <v>84</v>
      </c>
      <c r="N41" s="3" t="s">
        <v>85</v>
      </c>
      <c r="O41" s="3" t="s">
        <v>2990</v>
      </c>
      <c r="P41" s="3" t="s">
        <v>875</v>
      </c>
      <c r="Q41" s="31">
        <v>42742</v>
      </c>
      <c r="R41" s="3" t="s">
        <v>62</v>
      </c>
      <c r="S41" s="3" t="s">
        <v>62</v>
      </c>
    </row>
    <row r="42" spans="1:19">
      <c r="A42" s="3" t="s">
        <v>877</v>
      </c>
      <c r="B42" s="31">
        <v>42744.734167210649</v>
      </c>
      <c r="C42" s="31">
        <v>42742.670138888891</v>
      </c>
      <c r="D42" s="3">
        <v>3035571946</v>
      </c>
      <c r="E42" s="3" t="s">
        <v>31</v>
      </c>
      <c r="F42" s="3" t="s">
        <v>223</v>
      </c>
      <c r="G42" s="3" t="s">
        <v>224</v>
      </c>
      <c r="H42" s="3" t="s">
        <v>223</v>
      </c>
      <c r="I42" s="3" t="s">
        <v>224</v>
      </c>
      <c r="J42" s="3" t="s">
        <v>69</v>
      </c>
      <c r="K42" s="3" t="s">
        <v>2977</v>
      </c>
      <c r="L42" s="3" t="s">
        <v>871</v>
      </c>
      <c r="M42" s="3" t="s">
        <v>84</v>
      </c>
      <c r="N42" s="3" t="s">
        <v>85</v>
      </c>
      <c r="O42" s="3" t="s">
        <v>917</v>
      </c>
      <c r="P42" s="3" t="s">
        <v>875</v>
      </c>
      <c r="Q42" s="31">
        <v>42744</v>
      </c>
      <c r="R42" s="3" t="s">
        <v>62</v>
      </c>
      <c r="S42" s="3" t="s">
        <v>92</v>
      </c>
    </row>
    <row r="43" spans="1:19">
      <c r="A43" s="3" t="s">
        <v>877</v>
      </c>
      <c r="B43" s="31">
        <v>42746.737756446761</v>
      </c>
      <c r="C43" s="31">
        <v>42744.367361111108</v>
      </c>
      <c r="D43" s="3">
        <v>3035601291</v>
      </c>
      <c r="E43" s="3" t="s">
        <v>9</v>
      </c>
      <c r="F43" s="3" t="s">
        <v>101</v>
      </c>
      <c r="G43" s="3" t="s">
        <v>102</v>
      </c>
      <c r="H43" s="3" t="s">
        <v>101</v>
      </c>
      <c r="I43" s="3" t="s">
        <v>102</v>
      </c>
      <c r="J43" s="3" t="s">
        <v>58</v>
      </c>
      <c r="K43" s="3" t="s">
        <v>2976</v>
      </c>
      <c r="L43" s="3" t="s">
        <v>871</v>
      </c>
      <c r="M43" s="3" t="s">
        <v>84</v>
      </c>
      <c r="N43" s="3" t="s">
        <v>85</v>
      </c>
      <c r="O43" s="3" t="s">
        <v>907</v>
      </c>
      <c r="P43" s="3" t="s">
        <v>875</v>
      </c>
      <c r="Q43" s="31">
        <v>42745</v>
      </c>
      <c r="R43" s="3" t="s">
        <v>62</v>
      </c>
      <c r="S43" s="3" t="s">
        <v>62</v>
      </c>
    </row>
    <row r="44" spans="1:19">
      <c r="A44" s="3" t="s">
        <v>877</v>
      </c>
      <c r="B44" s="31">
        <v>42746.737756446761</v>
      </c>
      <c r="C44" s="31">
        <v>42744.48541666667</v>
      </c>
      <c r="D44" s="3">
        <v>3035604947</v>
      </c>
      <c r="E44" s="3" t="s">
        <v>39</v>
      </c>
      <c r="F44" s="3" t="s">
        <v>236</v>
      </c>
      <c r="G44" s="3" t="s">
        <v>237</v>
      </c>
      <c r="H44" s="3" t="s">
        <v>236</v>
      </c>
      <c r="I44" s="3" t="s">
        <v>237</v>
      </c>
      <c r="J44" s="3" t="s">
        <v>98</v>
      </c>
      <c r="K44" s="3" t="s">
        <v>2977</v>
      </c>
      <c r="L44" s="3" t="s">
        <v>866</v>
      </c>
      <c r="M44" s="3" t="s">
        <v>70</v>
      </c>
      <c r="N44" s="3" t="s">
        <v>71</v>
      </c>
      <c r="O44" s="3" t="s">
        <v>2991</v>
      </c>
      <c r="P44" s="3" t="s">
        <v>875</v>
      </c>
      <c r="Q44" s="31">
        <v>42745</v>
      </c>
      <c r="R44" s="3" t="s">
        <v>62</v>
      </c>
      <c r="S44" s="3" t="s">
        <v>92</v>
      </c>
    </row>
    <row r="45" spans="1:19">
      <c r="A45" s="3" t="s">
        <v>877</v>
      </c>
      <c r="B45" s="31">
        <v>42746.737756446761</v>
      </c>
      <c r="C45" s="31">
        <v>42744.496527777781</v>
      </c>
      <c r="D45" s="3">
        <v>3035605439</v>
      </c>
      <c r="E45" s="3" t="s">
        <v>9</v>
      </c>
      <c r="F45" s="3" t="s">
        <v>158</v>
      </c>
      <c r="G45" s="3" t="s">
        <v>159</v>
      </c>
      <c r="H45" s="3" t="s">
        <v>158</v>
      </c>
      <c r="I45" s="3" t="s">
        <v>159</v>
      </c>
      <c r="J45" s="3" t="s">
        <v>69</v>
      </c>
      <c r="K45" s="3" t="s">
        <v>2976</v>
      </c>
      <c r="L45" s="3" t="s">
        <v>871</v>
      </c>
      <c r="M45" s="3" t="s">
        <v>84</v>
      </c>
      <c r="N45" s="3" t="s">
        <v>85</v>
      </c>
      <c r="O45" s="3" t="s">
        <v>233</v>
      </c>
      <c r="P45" s="3" t="s">
        <v>875</v>
      </c>
      <c r="Q45" s="31">
        <v>42745</v>
      </c>
      <c r="R45" s="3" t="s">
        <v>62</v>
      </c>
      <c r="S45" s="3" t="s">
        <v>62</v>
      </c>
    </row>
    <row r="46" spans="1:19">
      <c r="A46" s="3" t="s">
        <v>865</v>
      </c>
      <c r="B46" s="31">
        <v>42740.737851504629</v>
      </c>
      <c r="C46" s="31">
        <v>42738.676388888889</v>
      </c>
      <c r="D46" s="3">
        <v>3035443285</v>
      </c>
      <c r="E46" s="3" t="s">
        <v>273</v>
      </c>
      <c r="F46" s="3" t="s">
        <v>265</v>
      </c>
      <c r="G46" s="3" t="s">
        <v>266</v>
      </c>
      <c r="H46" s="3" t="s">
        <v>115</v>
      </c>
      <c r="I46" s="3" t="s">
        <v>116</v>
      </c>
      <c r="J46" s="3" t="s">
        <v>98</v>
      </c>
      <c r="K46" s="3" t="s">
        <v>2977</v>
      </c>
      <c r="L46" s="3" t="s">
        <v>866</v>
      </c>
      <c r="M46" s="3" t="s">
        <v>59</v>
      </c>
      <c r="N46" s="3" t="s">
        <v>60</v>
      </c>
      <c r="O46" s="3" t="s">
        <v>61</v>
      </c>
      <c r="P46" s="3" t="s">
        <v>869</v>
      </c>
      <c r="Q46" s="31">
        <v>42739</v>
      </c>
      <c r="R46" s="3" t="s">
        <v>62</v>
      </c>
      <c r="S46" s="3" t="s">
        <v>529</v>
      </c>
    </row>
    <row r="47" spans="1:19">
      <c r="A47" s="3" t="s">
        <v>877</v>
      </c>
      <c r="B47" s="31">
        <v>42746.737756446761</v>
      </c>
      <c r="C47" s="31">
        <v>42744.540277777778</v>
      </c>
      <c r="D47" s="3">
        <v>3035607306</v>
      </c>
      <c r="E47" s="3" t="s">
        <v>9</v>
      </c>
      <c r="F47" s="3" t="s">
        <v>87</v>
      </c>
      <c r="G47" s="3" t="s">
        <v>88</v>
      </c>
      <c r="H47" s="3" t="s">
        <v>87</v>
      </c>
      <c r="I47" s="3" t="s">
        <v>88</v>
      </c>
      <c r="J47" s="3" t="s">
        <v>69</v>
      </c>
      <c r="K47" s="3" t="s">
        <v>2976</v>
      </c>
      <c r="L47" s="3" t="s">
        <v>866</v>
      </c>
      <c r="M47" s="3" t="s">
        <v>59</v>
      </c>
      <c r="N47" s="3" t="s">
        <v>60</v>
      </c>
      <c r="O47" s="3" t="s">
        <v>147</v>
      </c>
      <c r="P47" s="3" t="s">
        <v>875</v>
      </c>
      <c r="Q47" s="31">
        <v>42745</v>
      </c>
      <c r="R47" s="3" t="s">
        <v>62</v>
      </c>
      <c r="S47" s="3" t="s">
        <v>62</v>
      </c>
    </row>
    <row r="48" spans="1:19">
      <c r="A48" s="3" t="s">
        <v>868</v>
      </c>
      <c r="B48" s="31">
        <v>42740.737851504629</v>
      </c>
      <c r="C48" s="31">
        <v>42738.688194444447</v>
      </c>
      <c r="D48" s="3">
        <v>3035443197</v>
      </c>
      <c r="E48" s="3" t="s">
        <v>23</v>
      </c>
      <c r="F48" s="3" t="s">
        <v>186</v>
      </c>
      <c r="G48" s="3" t="s">
        <v>187</v>
      </c>
      <c r="H48" s="3" t="s">
        <v>186</v>
      </c>
      <c r="I48" s="3" t="s">
        <v>187</v>
      </c>
      <c r="J48" s="3" t="s">
        <v>69</v>
      </c>
      <c r="K48" s="3" t="s">
        <v>2976</v>
      </c>
      <c r="L48" s="3" t="s">
        <v>871</v>
      </c>
      <c r="M48" s="3" t="s">
        <v>84</v>
      </c>
      <c r="N48" s="3" t="s">
        <v>85</v>
      </c>
      <c r="O48" s="3" t="s">
        <v>2992</v>
      </c>
      <c r="P48" s="3" t="s">
        <v>869</v>
      </c>
      <c r="Q48" s="31">
        <v>42739</v>
      </c>
      <c r="R48" s="3" t="s">
        <v>62</v>
      </c>
      <c r="S48" s="3" t="s">
        <v>62</v>
      </c>
    </row>
    <row r="49" spans="1:19">
      <c r="A49" s="3" t="s">
        <v>865</v>
      </c>
      <c r="B49" s="31">
        <v>42741.73704378472</v>
      </c>
      <c r="C49" s="31">
        <v>42739.412499999999</v>
      </c>
      <c r="D49" s="3">
        <v>3035431663</v>
      </c>
      <c r="E49" s="3" t="s">
        <v>31</v>
      </c>
      <c r="F49" s="3" t="s">
        <v>156</v>
      </c>
      <c r="G49" s="3" t="s">
        <v>157</v>
      </c>
      <c r="H49" s="3" t="s">
        <v>209</v>
      </c>
      <c r="I49" s="3" t="s">
        <v>210</v>
      </c>
      <c r="J49" s="3" t="s">
        <v>99</v>
      </c>
      <c r="K49" s="3" t="s">
        <v>2977</v>
      </c>
      <c r="L49" s="3" t="s">
        <v>866</v>
      </c>
      <c r="M49" s="3" t="s">
        <v>70</v>
      </c>
      <c r="N49" s="3" t="s">
        <v>886</v>
      </c>
      <c r="O49" s="3" t="s">
        <v>2993</v>
      </c>
      <c r="P49" s="3" t="s">
        <v>875</v>
      </c>
      <c r="Q49" s="31">
        <v>42744</v>
      </c>
      <c r="R49" s="3" t="s">
        <v>62</v>
      </c>
      <c r="S49" s="3" t="s">
        <v>529</v>
      </c>
    </row>
    <row r="50" spans="1:19">
      <c r="A50" s="3" t="s">
        <v>865</v>
      </c>
      <c r="B50" s="31">
        <v>42741.73704378472</v>
      </c>
      <c r="C50" s="31">
        <v>42739.443055555559</v>
      </c>
      <c r="D50" s="3">
        <v>3035432998</v>
      </c>
      <c r="E50" s="3" t="s">
        <v>31</v>
      </c>
      <c r="F50" s="3" t="s">
        <v>852</v>
      </c>
      <c r="G50" s="3" t="s">
        <v>197</v>
      </c>
      <c r="H50" s="3" t="s">
        <v>209</v>
      </c>
      <c r="I50" s="3" t="s">
        <v>210</v>
      </c>
      <c r="J50" s="3" t="s">
        <v>69</v>
      </c>
      <c r="K50" s="3" t="s">
        <v>2977</v>
      </c>
      <c r="L50" s="3" t="s">
        <v>866</v>
      </c>
      <c r="M50" s="3" t="s">
        <v>70</v>
      </c>
      <c r="N50" s="3" t="s">
        <v>75</v>
      </c>
      <c r="O50" s="3" t="s">
        <v>2993</v>
      </c>
      <c r="P50" s="3" t="s">
        <v>875</v>
      </c>
      <c r="Q50" s="31">
        <v>42744</v>
      </c>
      <c r="R50" s="3" t="s">
        <v>62</v>
      </c>
      <c r="S50" s="3" t="s">
        <v>529</v>
      </c>
    </row>
    <row r="51" spans="1:19">
      <c r="A51" s="3" t="s">
        <v>865</v>
      </c>
      <c r="B51" s="31">
        <v>42740.737851504629</v>
      </c>
      <c r="C51" s="31">
        <v>42738.692361111112</v>
      </c>
      <c r="D51" s="3">
        <v>3035444491</v>
      </c>
      <c r="E51" s="3" t="s">
        <v>23</v>
      </c>
      <c r="F51" s="3" t="s">
        <v>154</v>
      </c>
      <c r="G51" s="3" t="s">
        <v>155</v>
      </c>
      <c r="H51" s="3" t="s">
        <v>154</v>
      </c>
      <c r="I51" s="3" t="s">
        <v>155</v>
      </c>
      <c r="J51" s="3" t="s">
        <v>69</v>
      </c>
      <c r="K51" s="3" t="s">
        <v>2976</v>
      </c>
      <c r="L51" s="3" t="s">
        <v>866</v>
      </c>
      <c r="M51" s="3" t="s">
        <v>70</v>
      </c>
      <c r="N51" s="3" t="s">
        <v>71</v>
      </c>
      <c r="O51" s="3" t="s">
        <v>72</v>
      </c>
      <c r="P51" s="3" t="s">
        <v>869</v>
      </c>
      <c r="Q51" s="31">
        <v>42739</v>
      </c>
      <c r="R51" s="3" t="s">
        <v>62</v>
      </c>
      <c r="S51" s="3" t="s">
        <v>62</v>
      </c>
    </row>
    <row r="52" spans="1:19">
      <c r="A52" s="3" t="s">
        <v>868</v>
      </c>
      <c r="B52" s="31">
        <v>42740.737851504629</v>
      </c>
      <c r="C52" s="31">
        <v>42738.696527777778</v>
      </c>
      <c r="D52" s="3">
        <v>3035443646</v>
      </c>
      <c r="E52" s="3" t="s">
        <v>9</v>
      </c>
      <c r="F52" s="3" t="s">
        <v>67</v>
      </c>
      <c r="G52" s="3" t="s">
        <v>68</v>
      </c>
      <c r="H52" s="3" t="s">
        <v>67</v>
      </c>
      <c r="I52" s="3" t="s">
        <v>68</v>
      </c>
      <c r="J52" s="3" t="s">
        <v>69</v>
      </c>
      <c r="K52" s="3" t="s">
        <v>2976</v>
      </c>
      <c r="L52" s="3" t="s">
        <v>866</v>
      </c>
      <c r="M52" s="3" t="s">
        <v>59</v>
      </c>
      <c r="N52" s="3" t="s">
        <v>60</v>
      </c>
      <c r="O52" s="3" t="s">
        <v>61</v>
      </c>
      <c r="P52" s="3" t="s">
        <v>869</v>
      </c>
      <c r="Q52" s="31">
        <v>42739</v>
      </c>
      <c r="R52" s="3" t="s">
        <v>62</v>
      </c>
      <c r="S52" s="3" t="s">
        <v>62</v>
      </c>
    </row>
    <row r="53" spans="1:19">
      <c r="A53" s="3" t="s">
        <v>877</v>
      </c>
      <c r="B53" s="31">
        <v>42740.737851504629</v>
      </c>
      <c r="C53" s="31">
        <v>42738.699305555558</v>
      </c>
      <c r="D53" s="3">
        <v>3035336183</v>
      </c>
      <c r="E53" s="3" t="s">
        <v>39</v>
      </c>
      <c r="F53" s="3" t="s">
        <v>240</v>
      </c>
      <c r="G53" s="3" t="s">
        <v>241</v>
      </c>
      <c r="H53" s="3" t="s">
        <v>238</v>
      </c>
      <c r="I53" s="3" t="s">
        <v>239</v>
      </c>
      <c r="J53" s="3" t="s">
        <v>69</v>
      </c>
      <c r="K53" s="3" t="s">
        <v>2977</v>
      </c>
      <c r="L53" s="3" t="s">
        <v>871</v>
      </c>
      <c r="M53" s="3" t="s">
        <v>84</v>
      </c>
      <c r="N53" s="3" t="s">
        <v>85</v>
      </c>
      <c r="O53" s="3" t="s">
        <v>86</v>
      </c>
      <c r="P53" s="3" t="s">
        <v>869</v>
      </c>
      <c r="Q53" s="31">
        <v>42739</v>
      </c>
      <c r="R53" s="3" t="s">
        <v>62</v>
      </c>
      <c r="S53" s="3" t="s">
        <v>529</v>
      </c>
    </row>
    <row r="54" spans="1:19">
      <c r="A54" s="3" t="s">
        <v>868</v>
      </c>
      <c r="B54" s="31">
        <v>42740.737851504629</v>
      </c>
      <c r="C54" s="31">
        <v>42738.704861111109</v>
      </c>
      <c r="D54" s="3">
        <v>3035445203</v>
      </c>
      <c r="E54" s="3" t="s">
        <v>23</v>
      </c>
      <c r="F54" s="3" t="s">
        <v>137</v>
      </c>
      <c r="G54" s="3" t="s">
        <v>138</v>
      </c>
      <c r="H54" s="3" t="s">
        <v>137</v>
      </c>
      <c r="I54" s="3" t="s">
        <v>138</v>
      </c>
      <c r="J54" s="3" t="s">
        <v>69</v>
      </c>
      <c r="K54" s="3" t="s">
        <v>2976</v>
      </c>
      <c r="L54" s="3" t="s">
        <v>866</v>
      </c>
      <c r="M54" s="3" t="s">
        <v>59</v>
      </c>
      <c r="N54" s="3" t="s">
        <v>60</v>
      </c>
      <c r="O54" s="3" t="s">
        <v>61</v>
      </c>
      <c r="P54" s="3" t="s">
        <v>869</v>
      </c>
      <c r="Q54" s="31">
        <v>42739</v>
      </c>
      <c r="R54" s="3" t="s">
        <v>62</v>
      </c>
      <c r="S54" s="3" t="s">
        <v>62</v>
      </c>
    </row>
    <row r="55" spans="1:19">
      <c r="A55" s="3" t="s">
        <v>868</v>
      </c>
      <c r="B55" s="31">
        <v>42740.737851504629</v>
      </c>
      <c r="C55" s="31">
        <v>42738.708333333336</v>
      </c>
      <c r="D55" s="3">
        <v>3035445327</v>
      </c>
      <c r="E55" s="3" t="s">
        <v>23</v>
      </c>
      <c r="F55" s="3" t="s">
        <v>179</v>
      </c>
      <c r="G55" s="3" t="s">
        <v>180</v>
      </c>
      <c r="H55" s="3" t="s">
        <v>179</v>
      </c>
      <c r="I55" s="3" t="s">
        <v>180</v>
      </c>
      <c r="J55" s="3" t="s">
        <v>69</v>
      </c>
      <c r="K55" s="3" t="s">
        <v>2976</v>
      </c>
      <c r="L55" s="3" t="s">
        <v>871</v>
      </c>
      <c r="M55" s="3" t="s">
        <v>84</v>
      </c>
      <c r="N55" s="3" t="s">
        <v>85</v>
      </c>
      <c r="O55" s="3" t="s">
        <v>86</v>
      </c>
      <c r="P55" s="3" t="s">
        <v>869</v>
      </c>
      <c r="Q55" s="31">
        <v>42739</v>
      </c>
      <c r="R55" s="3" t="s">
        <v>62</v>
      </c>
      <c r="S55" s="3" t="s">
        <v>62</v>
      </c>
    </row>
    <row r="56" spans="1:19">
      <c r="A56" s="3" t="s">
        <v>865</v>
      </c>
      <c r="B56" s="31">
        <v>42741.73704378472</v>
      </c>
      <c r="C56" s="31">
        <v>42739.458333333336</v>
      </c>
      <c r="D56" s="3">
        <v>3035470476</v>
      </c>
      <c r="E56" s="3" t="s">
        <v>9</v>
      </c>
      <c r="F56" s="3" t="s">
        <v>101</v>
      </c>
      <c r="G56" s="3" t="s">
        <v>102</v>
      </c>
      <c r="H56" s="3" t="s">
        <v>101</v>
      </c>
      <c r="I56" s="3" t="s">
        <v>102</v>
      </c>
      <c r="J56" s="3" t="s">
        <v>69</v>
      </c>
      <c r="K56" s="3" t="s">
        <v>2976</v>
      </c>
      <c r="L56" s="3" t="s">
        <v>915</v>
      </c>
      <c r="M56" s="3" t="s">
        <v>70</v>
      </c>
      <c r="N56" s="3" t="s">
        <v>75</v>
      </c>
      <c r="O56" s="3" t="s">
        <v>2994</v>
      </c>
      <c r="P56" s="3" t="s">
        <v>875</v>
      </c>
      <c r="Q56" s="31">
        <v>42744</v>
      </c>
      <c r="R56" s="3" t="s">
        <v>62</v>
      </c>
      <c r="S56" s="3" t="s">
        <v>62</v>
      </c>
    </row>
    <row r="57" spans="1:19">
      <c r="A57" s="3" t="s">
        <v>877</v>
      </c>
      <c r="B57" s="31">
        <v>42746.737756446761</v>
      </c>
      <c r="C57" s="31">
        <v>42744.54791666667</v>
      </c>
      <c r="D57" s="3">
        <v>3035607918</v>
      </c>
      <c r="E57" s="3" t="s">
        <v>9</v>
      </c>
      <c r="F57" s="3" t="s">
        <v>94</v>
      </c>
      <c r="G57" s="3" t="s">
        <v>95</v>
      </c>
      <c r="H57" s="3" t="s">
        <v>94</v>
      </c>
      <c r="I57" s="3" t="s">
        <v>95</v>
      </c>
      <c r="J57" s="3" t="s">
        <v>58</v>
      </c>
      <c r="K57" s="3" t="s">
        <v>2976</v>
      </c>
      <c r="L57" s="3" t="s">
        <v>871</v>
      </c>
      <c r="M57" s="3" t="s">
        <v>84</v>
      </c>
      <c r="N57" s="3" t="s">
        <v>85</v>
      </c>
      <c r="O57" s="3" t="s">
        <v>322</v>
      </c>
      <c r="P57" s="3" t="s">
        <v>875</v>
      </c>
      <c r="Q57" s="31">
        <v>42745</v>
      </c>
      <c r="R57" s="3" t="s">
        <v>62</v>
      </c>
      <c r="S57" s="3" t="s">
        <v>62</v>
      </c>
    </row>
    <row r="58" spans="1:19">
      <c r="A58" s="3" t="s">
        <v>868</v>
      </c>
      <c r="B58" s="31">
        <v>42740.737851504629</v>
      </c>
      <c r="C58" s="31">
        <v>42738.742361111108</v>
      </c>
      <c r="D58" s="3">
        <v>3035446990</v>
      </c>
      <c r="E58" s="3" t="s">
        <v>9</v>
      </c>
      <c r="F58" s="3" t="s">
        <v>111</v>
      </c>
      <c r="G58" s="3" t="s">
        <v>112</v>
      </c>
      <c r="H58" s="3" t="s">
        <v>111</v>
      </c>
      <c r="I58" s="3" t="s">
        <v>112</v>
      </c>
      <c r="J58" s="3" t="s">
        <v>69</v>
      </c>
      <c r="K58" s="3" t="s">
        <v>2976</v>
      </c>
      <c r="L58" s="3" t="s">
        <v>871</v>
      </c>
      <c r="M58" s="3" t="s">
        <v>84</v>
      </c>
      <c r="N58" s="3" t="s">
        <v>85</v>
      </c>
      <c r="O58" s="3" t="s">
        <v>86</v>
      </c>
      <c r="P58" s="3" t="s">
        <v>869</v>
      </c>
      <c r="Q58" s="31">
        <v>42739</v>
      </c>
      <c r="R58" s="3" t="s">
        <v>62</v>
      </c>
      <c r="S58" s="3" t="s">
        <v>62</v>
      </c>
    </row>
    <row r="59" spans="1:19">
      <c r="A59" s="3" t="s">
        <v>865</v>
      </c>
      <c r="B59" s="31">
        <v>42740.737851504629</v>
      </c>
      <c r="C59" s="31">
        <v>42738.76458333333</v>
      </c>
      <c r="D59" s="3">
        <v>3035302046</v>
      </c>
      <c r="E59" s="3" t="s">
        <v>23</v>
      </c>
      <c r="F59" s="3" t="s">
        <v>160</v>
      </c>
      <c r="G59" s="3" t="s">
        <v>161</v>
      </c>
      <c r="H59" s="3" t="s">
        <v>119</v>
      </c>
      <c r="I59" s="3" t="s">
        <v>120</v>
      </c>
      <c r="J59" s="3" t="s">
        <v>69</v>
      </c>
      <c r="K59" s="3" t="s">
        <v>2976</v>
      </c>
      <c r="L59" s="3" t="s">
        <v>866</v>
      </c>
      <c r="M59" s="3" t="s">
        <v>70</v>
      </c>
      <c r="N59" s="3" t="s">
        <v>75</v>
      </c>
      <c r="O59" s="3" t="s">
        <v>76</v>
      </c>
      <c r="P59" s="3" t="s">
        <v>869</v>
      </c>
      <c r="Q59" s="31">
        <v>42739</v>
      </c>
      <c r="R59" s="3" t="s">
        <v>62</v>
      </c>
      <c r="S59" s="3" t="s">
        <v>62</v>
      </c>
    </row>
    <row r="60" spans="1:19">
      <c r="A60" s="3" t="s">
        <v>877</v>
      </c>
      <c r="B60" s="31">
        <v>42740.737851504629</v>
      </c>
      <c r="C60" s="31">
        <v>42738.783333333333</v>
      </c>
      <c r="D60" s="3">
        <v>3035449376</v>
      </c>
      <c r="E60" s="3" t="s">
        <v>23</v>
      </c>
      <c r="F60" s="3" t="s">
        <v>862</v>
      </c>
      <c r="G60" s="3" t="s">
        <v>624</v>
      </c>
      <c r="H60" s="3" t="s">
        <v>862</v>
      </c>
      <c r="I60" s="3" t="s">
        <v>624</v>
      </c>
      <c r="J60" s="3" t="s">
        <v>97</v>
      </c>
      <c r="K60" s="3" t="s">
        <v>2976</v>
      </c>
      <c r="L60" s="3" t="s">
        <v>871</v>
      </c>
      <c r="M60" s="3" t="s">
        <v>84</v>
      </c>
      <c r="N60" s="3" t="s">
        <v>85</v>
      </c>
      <c r="O60" s="3" t="s">
        <v>86</v>
      </c>
      <c r="P60" s="3" t="s">
        <v>869</v>
      </c>
      <c r="Q60" s="31">
        <v>42739</v>
      </c>
      <c r="R60" s="3" t="s">
        <v>62</v>
      </c>
      <c r="S60" s="3" t="s">
        <v>62</v>
      </c>
    </row>
    <row r="61" spans="1:19">
      <c r="A61" s="3" t="s">
        <v>877</v>
      </c>
      <c r="B61" s="31">
        <v>42746.737756446761</v>
      </c>
      <c r="C61" s="31">
        <v>42744.577777777777</v>
      </c>
      <c r="D61" s="3">
        <v>3035508820</v>
      </c>
      <c r="E61" s="3" t="s">
        <v>9</v>
      </c>
      <c r="F61" s="3" t="s">
        <v>111</v>
      </c>
      <c r="G61" s="3" t="s">
        <v>112</v>
      </c>
      <c r="H61" s="3" t="s">
        <v>82</v>
      </c>
      <c r="I61" s="3" t="s">
        <v>83</v>
      </c>
      <c r="J61" s="3" t="s">
        <v>98</v>
      </c>
      <c r="K61" s="3" t="s">
        <v>2976</v>
      </c>
      <c r="L61" s="3" t="s">
        <v>866</v>
      </c>
      <c r="M61" s="3" t="s">
        <v>59</v>
      </c>
      <c r="N61" s="3" t="s">
        <v>60</v>
      </c>
      <c r="O61" s="3" t="s">
        <v>147</v>
      </c>
      <c r="P61" s="3" t="s">
        <v>875</v>
      </c>
      <c r="Q61" s="31">
        <v>42745</v>
      </c>
      <c r="R61" s="3" t="s">
        <v>62</v>
      </c>
      <c r="S61" s="3" t="s">
        <v>62</v>
      </c>
    </row>
    <row r="62" spans="1:19">
      <c r="A62" s="3" t="s">
        <v>865</v>
      </c>
      <c r="B62" s="31">
        <v>42740.737851504629</v>
      </c>
      <c r="C62" s="31">
        <v>42738.845833333333</v>
      </c>
      <c r="D62" s="3">
        <v>3035452023</v>
      </c>
      <c r="E62" s="3" t="s">
        <v>23</v>
      </c>
      <c r="F62" s="3" t="s">
        <v>119</v>
      </c>
      <c r="G62" s="3" t="s">
        <v>120</v>
      </c>
      <c r="H62" s="3" t="s">
        <v>119</v>
      </c>
      <c r="I62" s="3" t="s">
        <v>120</v>
      </c>
      <c r="J62" s="3" t="s">
        <v>58</v>
      </c>
      <c r="K62" s="3" t="s">
        <v>2976</v>
      </c>
      <c r="L62" s="3" t="s">
        <v>866</v>
      </c>
      <c r="M62" s="3" t="s">
        <v>70</v>
      </c>
      <c r="N62" s="3" t="s">
        <v>71</v>
      </c>
      <c r="O62" s="3" t="s">
        <v>72</v>
      </c>
      <c r="P62" s="3" t="s">
        <v>869</v>
      </c>
      <c r="Q62" s="31">
        <v>42739</v>
      </c>
      <c r="R62" s="3" t="s">
        <v>62</v>
      </c>
      <c r="S62" s="3" t="s">
        <v>62</v>
      </c>
    </row>
    <row r="63" spans="1:19">
      <c r="A63" s="3" t="s">
        <v>865</v>
      </c>
      <c r="B63" s="31">
        <v>42740.737851504629</v>
      </c>
      <c r="C63" s="31">
        <v>42738.848611111112</v>
      </c>
      <c r="D63" s="3">
        <v>3035452294</v>
      </c>
      <c r="E63" s="3" t="s">
        <v>23</v>
      </c>
      <c r="F63" s="3" t="s">
        <v>862</v>
      </c>
      <c r="G63" s="3" t="s">
        <v>624</v>
      </c>
      <c r="H63" s="3" t="s">
        <v>862</v>
      </c>
      <c r="I63" s="3" t="s">
        <v>624</v>
      </c>
      <c r="J63" s="3" t="s">
        <v>69</v>
      </c>
      <c r="K63" s="3" t="s">
        <v>2976</v>
      </c>
      <c r="L63" s="3" t="s">
        <v>866</v>
      </c>
      <c r="M63" s="3" t="s">
        <v>59</v>
      </c>
      <c r="N63" s="3" t="s">
        <v>60</v>
      </c>
      <c r="O63" s="3" t="s">
        <v>61</v>
      </c>
      <c r="P63" s="3" t="s">
        <v>869</v>
      </c>
      <c r="Q63" s="31">
        <v>42739</v>
      </c>
      <c r="R63" s="3" t="s">
        <v>62</v>
      </c>
      <c r="S63" s="3" t="s">
        <v>62</v>
      </c>
    </row>
    <row r="64" spans="1:19">
      <c r="A64" s="3" t="s">
        <v>877</v>
      </c>
      <c r="B64" s="31">
        <v>42740.737851504629</v>
      </c>
      <c r="C64" s="31">
        <v>42738.881944444445</v>
      </c>
      <c r="D64" s="3">
        <v>3035409292</v>
      </c>
      <c r="E64" s="3" t="s">
        <v>23</v>
      </c>
      <c r="F64" s="3" t="s">
        <v>179</v>
      </c>
      <c r="G64" s="3" t="s">
        <v>180</v>
      </c>
      <c r="H64" s="3" t="s">
        <v>139</v>
      </c>
      <c r="I64" s="3" t="s">
        <v>140</v>
      </c>
      <c r="J64" s="3" t="s">
        <v>69</v>
      </c>
      <c r="K64" s="3" t="s">
        <v>2977</v>
      </c>
      <c r="L64" s="3" t="s">
        <v>866</v>
      </c>
      <c r="M64" s="3" t="s">
        <v>70</v>
      </c>
      <c r="N64" s="3" t="s">
        <v>75</v>
      </c>
      <c r="O64" s="3" t="s">
        <v>76</v>
      </c>
      <c r="P64" s="3" t="s">
        <v>869</v>
      </c>
      <c r="Q64" s="31">
        <v>42739</v>
      </c>
      <c r="R64" s="3" t="s">
        <v>62</v>
      </c>
      <c r="S64" s="3" t="s">
        <v>529</v>
      </c>
    </row>
    <row r="65" spans="1:19">
      <c r="A65" s="3" t="s">
        <v>865</v>
      </c>
      <c r="B65" s="31">
        <v>42740.737851504629</v>
      </c>
      <c r="C65" s="31">
        <v>42738.912499999999</v>
      </c>
      <c r="D65" s="3">
        <v>3035455316</v>
      </c>
      <c r="E65" s="3" t="s">
        <v>23</v>
      </c>
      <c r="F65" s="3" t="s">
        <v>129</v>
      </c>
      <c r="G65" s="3" t="s">
        <v>130</v>
      </c>
      <c r="H65" s="3" t="s">
        <v>129</v>
      </c>
      <c r="I65" s="3" t="s">
        <v>130</v>
      </c>
      <c r="J65" s="3" t="s">
        <v>69</v>
      </c>
      <c r="K65" s="3" t="s">
        <v>2976</v>
      </c>
      <c r="L65" s="3" t="s">
        <v>866</v>
      </c>
      <c r="M65" s="3" t="s">
        <v>70</v>
      </c>
      <c r="N65" s="3" t="s">
        <v>75</v>
      </c>
      <c r="O65" s="3" t="s">
        <v>76</v>
      </c>
      <c r="P65" s="3" t="s">
        <v>869</v>
      </c>
      <c r="Q65" s="31">
        <v>42739</v>
      </c>
      <c r="R65" s="3" t="s">
        <v>62</v>
      </c>
      <c r="S65" s="3" t="s">
        <v>62</v>
      </c>
    </row>
    <row r="66" spans="1:19">
      <c r="A66" s="3" t="s">
        <v>865</v>
      </c>
      <c r="B66" s="31">
        <v>42740.737851504629</v>
      </c>
      <c r="C66" s="31">
        <v>42738.506249999999</v>
      </c>
      <c r="D66" s="3">
        <v>3035434531</v>
      </c>
      <c r="E66" s="3" t="s">
        <v>23</v>
      </c>
      <c r="F66" s="3" t="s">
        <v>183</v>
      </c>
      <c r="G66" s="3" t="s">
        <v>184</v>
      </c>
      <c r="H66" s="3" t="s">
        <v>183</v>
      </c>
      <c r="I66" s="3" t="s">
        <v>184</v>
      </c>
      <c r="J66" s="3" t="s">
        <v>69</v>
      </c>
      <c r="K66" s="3" t="s">
        <v>2976</v>
      </c>
      <c r="L66" s="3" t="s">
        <v>915</v>
      </c>
      <c r="M66" s="3" t="s">
        <v>59</v>
      </c>
      <c r="N66" s="3" t="s">
        <v>60</v>
      </c>
      <c r="O66" s="3" t="s">
        <v>147</v>
      </c>
      <c r="P66" s="3" t="s">
        <v>875</v>
      </c>
      <c r="Q66" s="31">
        <v>42744</v>
      </c>
      <c r="R66" s="3" t="s">
        <v>62</v>
      </c>
      <c r="S66" s="3" t="s">
        <v>62</v>
      </c>
    </row>
    <row r="67" spans="1:19">
      <c r="A67" s="3" t="s">
        <v>868</v>
      </c>
      <c r="B67" s="31">
        <v>42741.73704378472</v>
      </c>
      <c r="C67" s="31">
        <v>42739.410416666666</v>
      </c>
      <c r="D67" s="3">
        <v>3035469097</v>
      </c>
      <c r="E67" s="3" t="e">
        <v>#N/A</v>
      </c>
      <c r="F67" s="3" t="s">
        <v>889</v>
      </c>
      <c r="G67" s="3" t="e">
        <v>#N/A</v>
      </c>
      <c r="H67" s="3" t="s">
        <v>889</v>
      </c>
      <c r="I67" s="3" t="e">
        <v>#N/A</v>
      </c>
      <c r="J67" s="3" t="s">
        <v>69</v>
      </c>
      <c r="K67" s="3" t="s">
        <v>2977</v>
      </c>
      <c r="L67" s="3" t="s">
        <v>871</v>
      </c>
      <c r="M67" s="3" t="s">
        <v>84</v>
      </c>
      <c r="N67" s="3" t="s">
        <v>85</v>
      </c>
      <c r="O67" s="3" t="s">
        <v>233</v>
      </c>
      <c r="P67" s="3" t="s">
        <v>875</v>
      </c>
      <c r="Q67" s="31">
        <v>42740</v>
      </c>
      <c r="R67" s="3" t="s">
        <v>62</v>
      </c>
      <c r="S67" s="3" t="s">
        <v>2143</v>
      </c>
    </row>
    <row r="68" spans="1:19">
      <c r="A68" s="3" t="s">
        <v>868</v>
      </c>
      <c r="B68" s="31">
        <v>42741.73704378472</v>
      </c>
      <c r="C68" s="31">
        <v>42739.61041666667</v>
      </c>
      <c r="D68" s="3">
        <v>3035477903</v>
      </c>
      <c r="E68" s="3" t="s">
        <v>9</v>
      </c>
      <c r="F68" s="3" t="s">
        <v>94</v>
      </c>
      <c r="G68" s="3" t="s">
        <v>95</v>
      </c>
      <c r="H68" s="3" t="s">
        <v>94</v>
      </c>
      <c r="I68" s="3" t="s">
        <v>95</v>
      </c>
      <c r="J68" s="3" t="s">
        <v>69</v>
      </c>
      <c r="K68" s="3" t="s">
        <v>2976</v>
      </c>
      <c r="L68" s="3" t="s">
        <v>866</v>
      </c>
      <c r="M68" s="3" t="s">
        <v>59</v>
      </c>
      <c r="N68" s="3" t="s">
        <v>60</v>
      </c>
      <c r="O68" s="3" t="s">
        <v>147</v>
      </c>
      <c r="P68" s="3" t="s">
        <v>875</v>
      </c>
      <c r="Q68" s="31">
        <v>42744</v>
      </c>
      <c r="R68" s="3" t="s">
        <v>62</v>
      </c>
      <c r="S68" s="3" t="s">
        <v>62</v>
      </c>
    </row>
    <row r="69" spans="1:19">
      <c r="A69" s="3" t="s">
        <v>865</v>
      </c>
      <c r="B69" s="31">
        <v>42741.73704378472</v>
      </c>
      <c r="C69" s="31">
        <v>42739.681944444441</v>
      </c>
      <c r="D69" s="3">
        <v>3035481391</v>
      </c>
      <c r="E69" s="3" t="s">
        <v>9</v>
      </c>
      <c r="F69" s="3" t="s">
        <v>133</v>
      </c>
      <c r="G69" s="3" t="s">
        <v>134</v>
      </c>
      <c r="H69" s="3" t="s">
        <v>133</v>
      </c>
      <c r="I69" s="3" t="s">
        <v>134</v>
      </c>
      <c r="J69" s="3" t="s">
        <v>98</v>
      </c>
      <c r="K69" s="3" t="s">
        <v>2976</v>
      </c>
      <c r="L69" s="3" t="s">
        <v>866</v>
      </c>
      <c r="M69" s="3" t="s">
        <v>59</v>
      </c>
      <c r="N69" s="3" t="s">
        <v>60</v>
      </c>
      <c r="O69" s="3" t="s">
        <v>147</v>
      </c>
      <c r="P69" s="3" t="s">
        <v>875</v>
      </c>
      <c r="Q69" s="31">
        <v>42744</v>
      </c>
      <c r="R69" s="3" t="s">
        <v>62</v>
      </c>
      <c r="S69" s="3" t="s">
        <v>62</v>
      </c>
    </row>
    <row r="70" spans="1:19">
      <c r="A70" s="3" t="s">
        <v>868</v>
      </c>
      <c r="B70" s="31">
        <v>42742.73709116898</v>
      </c>
      <c r="C70" s="31">
        <v>42740.574999999997</v>
      </c>
      <c r="D70" s="3">
        <v>3035510359</v>
      </c>
      <c r="E70" s="3" t="s">
        <v>9</v>
      </c>
      <c r="F70" s="3" t="s">
        <v>111</v>
      </c>
      <c r="G70" s="3" t="s">
        <v>112</v>
      </c>
      <c r="H70" s="3" t="s">
        <v>137</v>
      </c>
      <c r="I70" s="3" t="s">
        <v>138</v>
      </c>
      <c r="J70" s="3" t="s">
        <v>58</v>
      </c>
      <c r="K70" s="3" t="s">
        <v>2976</v>
      </c>
      <c r="L70" s="3" t="s">
        <v>866</v>
      </c>
      <c r="M70" s="3" t="s">
        <v>59</v>
      </c>
      <c r="N70" s="3" t="s">
        <v>60</v>
      </c>
      <c r="O70" s="3" t="s">
        <v>147</v>
      </c>
      <c r="P70" s="3" t="s">
        <v>875</v>
      </c>
      <c r="Q70" s="31">
        <v>42744</v>
      </c>
      <c r="R70" s="3" t="s">
        <v>62</v>
      </c>
      <c r="S70" s="3" t="s">
        <v>62</v>
      </c>
    </row>
    <row r="71" spans="1:19">
      <c r="A71" s="3" t="s">
        <v>865</v>
      </c>
      <c r="B71" s="31">
        <v>42742.73709116898</v>
      </c>
      <c r="C71" s="31">
        <v>42740.575694444444</v>
      </c>
      <c r="D71" s="3">
        <v>3035509640</v>
      </c>
      <c r="E71" s="3" t="s">
        <v>9</v>
      </c>
      <c r="F71" s="3" t="s">
        <v>87</v>
      </c>
      <c r="G71" s="3" t="s">
        <v>88</v>
      </c>
      <c r="H71" s="3" t="s">
        <v>87</v>
      </c>
      <c r="I71" s="3" t="s">
        <v>88</v>
      </c>
      <c r="J71" s="3" t="s">
        <v>99</v>
      </c>
      <c r="K71" s="3" t="s">
        <v>2976</v>
      </c>
      <c r="L71" s="3" t="s">
        <v>866</v>
      </c>
      <c r="M71" s="3" t="s">
        <v>59</v>
      </c>
      <c r="N71" s="3" t="s">
        <v>60</v>
      </c>
      <c r="O71" s="3" t="s">
        <v>147</v>
      </c>
      <c r="P71" s="3" t="s">
        <v>875</v>
      </c>
      <c r="Q71" s="31">
        <v>42744</v>
      </c>
      <c r="R71" s="3" t="s">
        <v>62</v>
      </c>
      <c r="S71" s="3" t="s">
        <v>62</v>
      </c>
    </row>
    <row r="72" spans="1:19">
      <c r="A72" s="3" t="s">
        <v>877</v>
      </c>
      <c r="B72" s="31">
        <v>42746.737756446761</v>
      </c>
      <c r="C72" s="31">
        <v>42744.600694444445</v>
      </c>
      <c r="D72" s="3">
        <v>3035544685</v>
      </c>
      <c r="E72" s="3" t="s">
        <v>273</v>
      </c>
      <c r="F72" s="3" t="s">
        <v>153</v>
      </c>
      <c r="G72" s="3" t="s">
        <v>892</v>
      </c>
      <c r="H72" s="3" t="s">
        <v>56</v>
      </c>
      <c r="I72" s="3" t="s">
        <v>57</v>
      </c>
      <c r="J72" s="3" t="s">
        <v>99</v>
      </c>
      <c r="K72" s="3" t="s">
        <v>2976</v>
      </c>
      <c r="L72" s="3" t="s">
        <v>871</v>
      </c>
      <c r="M72" s="3" t="s">
        <v>84</v>
      </c>
      <c r="N72" s="3" t="s">
        <v>85</v>
      </c>
      <c r="O72" s="3" t="s">
        <v>895</v>
      </c>
      <c r="P72" s="3" t="s">
        <v>875</v>
      </c>
      <c r="Q72" s="31">
        <v>42745</v>
      </c>
      <c r="R72" s="3" t="s">
        <v>62</v>
      </c>
      <c r="S72" s="3" t="s">
        <v>62</v>
      </c>
    </row>
    <row r="73" spans="1:19">
      <c r="A73" s="3" t="s">
        <v>877</v>
      </c>
      <c r="B73" s="31">
        <v>42746.737756446761</v>
      </c>
      <c r="C73" s="31">
        <v>42744.645833333336</v>
      </c>
      <c r="D73" s="3">
        <v>3035613842</v>
      </c>
      <c r="E73" s="3" t="s">
        <v>9</v>
      </c>
      <c r="F73" s="3" t="s">
        <v>109</v>
      </c>
      <c r="G73" s="3" t="s">
        <v>110</v>
      </c>
      <c r="H73" s="3" t="s">
        <v>109</v>
      </c>
      <c r="I73" s="3" t="s">
        <v>110</v>
      </c>
      <c r="J73" s="3" t="s">
        <v>69</v>
      </c>
      <c r="K73" s="3" t="s">
        <v>2976</v>
      </c>
      <c r="L73" s="3" t="s">
        <v>866</v>
      </c>
      <c r="M73" s="3" t="s">
        <v>59</v>
      </c>
      <c r="N73" s="3" t="s">
        <v>60</v>
      </c>
      <c r="O73" s="3" t="s">
        <v>147</v>
      </c>
      <c r="P73" s="3" t="s">
        <v>875</v>
      </c>
      <c r="Q73" s="31">
        <v>42745</v>
      </c>
      <c r="R73" s="3" t="s">
        <v>62</v>
      </c>
      <c r="S73" s="3" t="s">
        <v>62</v>
      </c>
    </row>
    <row r="74" spans="1:19">
      <c r="A74" s="3" t="s">
        <v>877</v>
      </c>
      <c r="B74" s="31">
        <v>42746.737756446761</v>
      </c>
      <c r="C74" s="31">
        <v>42744.688194444447</v>
      </c>
      <c r="D74" s="3">
        <v>3035616099</v>
      </c>
      <c r="E74" s="3" t="s">
        <v>31</v>
      </c>
      <c r="F74" s="3" t="s">
        <v>202</v>
      </c>
      <c r="G74" s="3" t="s">
        <v>203</v>
      </c>
      <c r="H74" s="3" t="s">
        <v>202</v>
      </c>
      <c r="I74" s="3" t="s">
        <v>203</v>
      </c>
      <c r="J74" s="3" t="s">
        <v>97</v>
      </c>
      <c r="K74" s="3" t="s">
        <v>2976</v>
      </c>
      <c r="L74" s="3" t="s">
        <v>871</v>
      </c>
      <c r="M74" s="3" t="s">
        <v>84</v>
      </c>
      <c r="N74" s="3" t="s">
        <v>85</v>
      </c>
      <c r="O74" s="3" t="s">
        <v>2995</v>
      </c>
      <c r="P74" s="3" t="s">
        <v>875</v>
      </c>
      <c r="Q74" s="31">
        <v>42745</v>
      </c>
      <c r="R74" s="3" t="s">
        <v>62</v>
      </c>
      <c r="S74" s="3" t="s">
        <v>62</v>
      </c>
    </row>
    <row r="75" spans="1:19">
      <c r="A75" s="3" t="s">
        <v>873</v>
      </c>
      <c r="B75" s="31">
        <v>42741.73704378472</v>
      </c>
      <c r="C75" s="31">
        <v>42739.544444444444</v>
      </c>
      <c r="D75" s="3">
        <v>3035474147</v>
      </c>
      <c r="E75" s="3" t="s">
        <v>9</v>
      </c>
      <c r="F75" s="3" t="s">
        <v>87</v>
      </c>
      <c r="G75" s="3" t="s">
        <v>88</v>
      </c>
      <c r="H75" s="3" t="s">
        <v>87</v>
      </c>
      <c r="I75" s="3" t="s">
        <v>88</v>
      </c>
      <c r="J75" s="3" t="s">
        <v>69</v>
      </c>
      <c r="K75" s="3" t="s">
        <v>2976</v>
      </c>
      <c r="L75" s="3" t="s">
        <v>871</v>
      </c>
      <c r="M75" s="3" t="s">
        <v>84</v>
      </c>
      <c r="N75" s="3" t="s">
        <v>85</v>
      </c>
      <c r="O75" s="3" t="s">
        <v>233</v>
      </c>
      <c r="P75" s="3" t="s">
        <v>875</v>
      </c>
      <c r="Q75" s="31">
        <v>42740</v>
      </c>
      <c r="R75" s="3" t="s">
        <v>62</v>
      </c>
      <c r="S75" s="3" t="s">
        <v>62</v>
      </c>
    </row>
    <row r="76" spans="1:19">
      <c r="A76" s="3" t="s">
        <v>877</v>
      </c>
      <c r="B76" s="31">
        <v>42746.737756446761</v>
      </c>
      <c r="C76" s="31">
        <v>42744.801388888889</v>
      </c>
      <c r="D76" s="3">
        <v>3035555026</v>
      </c>
      <c r="E76" s="3" t="s">
        <v>23</v>
      </c>
      <c r="F76" s="3" t="s">
        <v>135</v>
      </c>
      <c r="G76" s="3" t="s">
        <v>136</v>
      </c>
      <c r="H76" s="3" t="s">
        <v>139</v>
      </c>
      <c r="I76" s="3" t="s">
        <v>140</v>
      </c>
      <c r="J76" s="3" t="s">
        <v>69</v>
      </c>
      <c r="K76" s="3" t="s">
        <v>2977</v>
      </c>
      <c r="L76" s="3" t="s">
        <v>871</v>
      </c>
      <c r="M76" s="3" t="s">
        <v>84</v>
      </c>
      <c r="N76" s="3" t="s">
        <v>85</v>
      </c>
      <c r="O76" s="3" t="s">
        <v>2996</v>
      </c>
      <c r="P76" s="3" t="s">
        <v>876</v>
      </c>
      <c r="Q76" s="31">
        <v>42745</v>
      </c>
      <c r="R76" s="3" t="s">
        <v>62</v>
      </c>
      <c r="S76" s="3" t="s">
        <v>529</v>
      </c>
    </row>
    <row r="77" spans="1:19">
      <c r="A77" s="3" t="s">
        <v>868</v>
      </c>
      <c r="B77" s="31">
        <v>42743.735176273149</v>
      </c>
      <c r="C77" s="31">
        <v>42741.57708333333</v>
      </c>
      <c r="D77" s="3">
        <v>3035513063</v>
      </c>
      <c r="E77" s="3" t="s">
        <v>31</v>
      </c>
      <c r="F77" s="3" t="s">
        <v>202</v>
      </c>
      <c r="G77" s="3" t="s">
        <v>203</v>
      </c>
      <c r="H77" s="3" t="s">
        <v>209</v>
      </c>
      <c r="I77" s="3" t="s">
        <v>210</v>
      </c>
      <c r="J77" s="3" t="s">
        <v>58</v>
      </c>
      <c r="K77" s="3" t="s">
        <v>2977</v>
      </c>
      <c r="L77" s="3" t="s">
        <v>866</v>
      </c>
      <c r="M77" s="3" t="s">
        <v>70</v>
      </c>
      <c r="N77" s="3" t="s">
        <v>75</v>
      </c>
      <c r="O77" s="3" t="s">
        <v>2997</v>
      </c>
      <c r="P77" s="3" t="s">
        <v>875</v>
      </c>
      <c r="Q77" s="31">
        <v>42744</v>
      </c>
      <c r="R77" s="3" t="s">
        <v>62</v>
      </c>
      <c r="S77" s="3" t="s">
        <v>529</v>
      </c>
    </row>
    <row r="78" spans="1:19">
      <c r="A78" s="3" t="s">
        <v>868</v>
      </c>
      <c r="B78" s="31">
        <v>42743.735176273149</v>
      </c>
      <c r="C78" s="31">
        <v>42741.599999999999</v>
      </c>
      <c r="D78" s="3">
        <v>3035547143</v>
      </c>
      <c r="E78" s="3" t="s">
        <v>9</v>
      </c>
      <c r="F78" s="3" t="s">
        <v>111</v>
      </c>
      <c r="G78" s="3" t="s">
        <v>112</v>
      </c>
      <c r="H78" s="3" t="s">
        <v>111</v>
      </c>
      <c r="I78" s="3" t="s">
        <v>112</v>
      </c>
      <c r="J78" s="3" t="s">
        <v>69</v>
      </c>
      <c r="K78" s="3" t="s">
        <v>2976</v>
      </c>
      <c r="L78" s="3" t="s">
        <v>866</v>
      </c>
      <c r="M78" s="3" t="s">
        <v>59</v>
      </c>
      <c r="N78" s="3" t="s">
        <v>60</v>
      </c>
      <c r="O78" s="3" t="s">
        <v>147</v>
      </c>
      <c r="P78" s="3" t="s">
        <v>875</v>
      </c>
      <c r="Q78" s="31">
        <v>42744</v>
      </c>
      <c r="R78" s="3" t="s">
        <v>62</v>
      </c>
      <c r="S78" s="3" t="s">
        <v>62</v>
      </c>
    </row>
    <row r="79" spans="1:19">
      <c r="A79" s="3" t="s">
        <v>868</v>
      </c>
      <c r="B79" s="31">
        <v>42743.735176273149</v>
      </c>
      <c r="C79" s="31">
        <v>42741.636111111111</v>
      </c>
      <c r="D79" s="3">
        <v>3035547664</v>
      </c>
      <c r="E79" s="3" t="s">
        <v>23</v>
      </c>
      <c r="F79" s="3" t="s">
        <v>119</v>
      </c>
      <c r="G79" s="3" t="s">
        <v>120</v>
      </c>
      <c r="H79" s="3" t="s">
        <v>119</v>
      </c>
      <c r="I79" s="3" t="s">
        <v>120</v>
      </c>
      <c r="J79" s="3" t="s">
        <v>69</v>
      </c>
      <c r="K79" s="3" t="s">
        <v>2976</v>
      </c>
      <c r="L79" s="3" t="s">
        <v>866</v>
      </c>
      <c r="M79" s="3" t="s">
        <v>59</v>
      </c>
      <c r="N79" s="3" t="s">
        <v>60</v>
      </c>
      <c r="O79" s="3" t="s">
        <v>147</v>
      </c>
      <c r="P79" s="3" t="s">
        <v>875</v>
      </c>
      <c r="Q79" s="31">
        <v>42744</v>
      </c>
      <c r="R79" s="3" t="s">
        <v>62</v>
      </c>
      <c r="S79" s="3" t="s">
        <v>62</v>
      </c>
    </row>
    <row r="80" spans="1:19">
      <c r="A80" s="3" t="s">
        <v>868</v>
      </c>
      <c r="B80" s="31">
        <v>42743.735176273149</v>
      </c>
      <c r="C80" s="31">
        <v>42741.759027777778</v>
      </c>
      <c r="D80" s="3">
        <v>3035554876</v>
      </c>
      <c r="E80" s="3" t="s">
        <v>23</v>
      </c>
      <c r="F80" s="3" t="s">
        <v>154</v>
      </c>
      <c r="G80" s="3" t="s">
        <v>155</v>
      </c>
      <c r="H80" s="3" t="s">
        <v>154</v>
      </c>
      <c r="I80" s="3" t="s">
        <v>155</v>
      </c>
      <c r="J80" s="3" t="s">
        <v>69</v>
      </c>
      <c r="K80" s="3" t="s">
        <v>2976</v>
      </c>
      <c r="L80" s="3" t="s">
        <v>866</v>
      </c>
      <c r="M80" s="3" t="s">
        <v>59</v>
      </c>
      <c r="N80" s="3" t="s">
        <v>60</v>
      </c>
      <c r="O80" s="3" t="s">
        <v>147</v>
      </c>
      <c r="P80" s="3" t="s">
        <v>875</v>
      </c>
      <c r="Q80" s="31">
        <v>42744</v>
      </c>
      <c r="R80" s="3" t="s">
        <v>62</v>
      </c>
      <c r="S80" s="3" t="s">
        <v>62</v>
      </c>
    </row>
    <row r="81" spans="1:19">
      <c r="A81" s="3" t="s">
        <v>865</v>
      </c>
      <c r="B81" s="31">
        <v>42741.73704378472</v>
      </c>
      <c r="C81" s="31">
        <v>42739.588888888888</v>
      </c>
      <c r="D81" s="3">
        <v>3035437792</v>
      </c>
      <c r="E81" s="3" t="s">
        <v>31</v>
      </c>
      <c r="F81" s="3" t="s">
        <v>852</v>
      </c>
      <c r="G81" s="3" t="s">
        <v>197</v>
      </c>
      <c r="H81" s="3" t="s">
        <v>209</v>
      </c>
      <c r="I81" s="3" t="s">
        <v>210</v>
      </c>
      <c r="J81" s="3" t="s">
        <v>69</v>
      </c>
      <c r="K81" s="3" t="s">
        <v>2977</v>
      </c>
      <c r="L81" s="3" t="s">
        <v>871</v>
      </c>
      <c r="M81" s="3" t="s">
        <v>84</v>
      </c>
      <c r="N81" s="3" t="s">
        <v>85</v>
      </c>
      <c r="O81" s="3" t="s">
        <v>2998</v>
      </c>
      <c r="P81" s="3" t="s">
        <v>875</v>
      </c>
      <c r="Q81" s="31">
        <v>42740</v>
      </c>
      <c r="R81" s="3" t="s">
        <v>62</v>
      </c>
      <c r="S81" s="3" t="s">
        <v>529</v>
      </c>
    </row>
    <row r="82" spans="1:19">
      <c r="A82" s="3" t="s">
        <v>868</v>
      </c>
      <c r="B82" s="31">
        <v>42744.734167210649</v>
      </c>
      <c r="C82" s="31">
        <v>42742.581250000003</v>
      </c>
      <c r="D82" s="3">
        <v>3035569745</v>
      </c>
      <c r="E82" s="3" t="s">
        <v>31</v>
      </c>
      <c r="F82" s="3" t="s">
        <v>223</v>
      </c>
      <c r="G82" s="3" t="s">
        <v>224</v>
      </c>
      <c r="H82" s="3" t="s">
        <v>223</v>
      </c>
      <c r="I82" s="3" t="s">
        <v>224</v>
      </c>
      <c r="J82" s="3" t="s">
        <v>69</v>
      </c>
      <c r="K82" s="3" t="s">
        <v>2977</v>
      </c>
      <c r="L82" s="3" t="s">
        <v>866</v>
      </c>
      <c r="M82" s="3" t="s">
        <v>59</v>
      </c>
      <c r="N82" s="3" t="s">
        <v>60</v>
      </c>
      <c r="O82" s="3" t="s">
        <v>147</v>
      </c>
      <c r="P82" s="3" t="s">
        <v>875</v>
      </c>
      <c r="Q82" s="31">
        <v>42744</v>
      </c>
      <c r="R82" s="3" t="s">
        <v>62</v>
      </c>
      <c r="S82" s="3" t="s">
        <v>92</v>
      </c>
    </row>
    <row r="83" spans="1:19">
      <c r="A83" s="3" t="s">
        <v>865</v>
      </c>
      <c r="B83" s="31">
        <v>42741.73704378472</v>
      </c>
      <c r="C83" s="31">
        <v>42739.401388888888</v>
      </c>
      <c r="D83" s="3">
        <v>3035468818</v>
      </c>
      <c r="E83" s="3" t="s">
        <v>9</v>
      </c>
      <c r="F83" s="3" t="s">
        <v>94</v>
      </c>
      <c r="G83" s="3" t="s">
        <v>95</v>
      </c>
      <c r="H83" s="3" t="s">
        <v>94</v>
      </c>
      <c r="I83" s="3" t="s">
        <v>95</v>
      </c>
      <c r="J83" s="3" t="s">
        <v>97</v>
      </c>
      <c r="K83" s="3" t="s">
        <v>2976</v>
      </c>
      <c r="L83" s="3" t="s">
        <v>866</v>
      </c>
      <c r="M83" s="3" t="s">
        <v>59</v>
      </c>
      <c r="N83" s="3" t="s">
        <v>60</v>
      </c>
      <c r="O83" s="3" t="s">
        <v>147</v>
      </c>
      <c r="P83" s="3" t="s">
        <v>875</v>
      </c>
      <c r="Q83" s="31">
        <v>42740</v>
      </c>
      <c r="R83" s="3" t="s">
        <v>62</v>
      </c>
      <c r="S83" s="3" t="s">
        <v>62</v>
      </c>
    </row>
    <row r="84" spans="1:19">
      <c r="A84" s="3" t="s">
        <v>865</v>
      </c>
      <c r="B84" s="31">
        <v>42741.73704378472</v>
      </c>
      <c r="C84" s="31">
        <v>42739.423611111109</v>
      </c>
      <c r="D84" s="3">
        <v>3035430639</v>
      </c>
      <c r="E84" s="3" t="s">
        <v>31</v>
      </c>
      <c r="F84" s="3" t="s">
        <v>202</v>
      </c>
      <c r="G84" s="3" t="s">
        <v>203</v>
      </c>
      <c r="H84" s="3" t="s">
        <v>209</v>
      </c>
      <c r="I84" s="3" t="s">
        <v>210</v>
      </c>
      <c r="J84" s="3" t="s">
        <v>69</v>
      </c>
      <c r="K84" s="3" t="s">
        <v>2977</v>
      </c>
      <c r="L84" s="3" t="s">
        <v>866</v>
      </c>
      <c r="M84" s="3" t="s">
        <v>70</v>
      </c>
      <c r="N84" s="3" t="s">
        <v>75</v>
      </c>
      <c r="O84" s="3" t="s">
        <v>2999</v>
      </c>
      <c r="P84" s="3" t="s">
        <v>875</v>
      </c>
      <c r="Q84" s="31">
        <v>42740</v>
      </c>
      <c r="R84" s="3" t="s">
        <v>62</v>
      </c>
      <c r="S84" s="3" t="s">
        <v>529</v>
      </c>
    </row>
    <row r="85" spans="1:19">
      <c r="A85" s="3" t="s">
        <v>865</v>
      </c>
      <c r="B85" s="31">
        <v>42741.73704378472</v>
      </c>
      <c r="C85" s="31">
        <v>42739.427777777775</v>
      </c>
      <c r="D85" s="3">
        <v>3035469625</v>
      </c>
      <c r="E85" s="3" t="s">
        <v>9</v>
      </c>
      <c r="F85" s="3" t="s">
        <v>56</v>
      </c>
      <c r="G85" s="3" t="s">
        <v>57</v>
      </c>
      <c r="H85" s="3" t="s">
        <v>56</v>
      </c>
      <c r="I85" s="3" t="s">
        <v>57</v>
      </c>
      <c r="J85" s="3" t="s">
        <v>69</v>
      </c>
      <c r="K85" s="3" t="s">
        <v>2976</v>
      </c>
      <c r="L85" s="3" t="s">
        <v>866</v>
      </c>
      <c r="M85" s="3" t="s">
        <v>59</v>
      </c>
      <c r="N85" s="3" t="s">
        <v>60</v>
      </c>
      <c r="O85" s="3" t="s">
        <v>147</v>
      </c>
      <c r="P85" s="3" t="s">
        <v>875</v>
      </c>
      <c r="Q85" s="31">
        <v>42740</v>
      </c>
      <c r="R85" s="3" t="s">
        <v>62</v>
      </c>
      <c r="S85" s="3" t="s">
        <v>62</v>
      </c>
    </row>
    <row r="86" spans="1:19">
      <c r="A86" s="3" t="s">
        <v>868</v>
      </c>
      <c r="B86" s="31">
        <v>42741.73704378472</v>
      </c>
      <c r="C86" s="31">
        <v>42739.434027777781</v>
      </c>
      <c r="D86" s="3">
        <v>3035469853</v>
      </c>
      <c r="E86" s="3" t="s">
        <v>9</v>
      </c>
      <c r="F86" s="3" t="s">
        <v>87</v>
      </c>
      <c r="G86" s="3" t="s">
        <v>88</v>
      </c>
      <c r="H86" s="3" t="s">
        <v>87</v>
      </c>
      <c r="I86" s="3" t="s">
        <v>88</v>
      </c>
      <c r="J86" s="3" t="s">
        <v>69</v>
      </c>
      <c r="K86" s="3" t="s">
        <v>2976</v>
      </c>
      <c r="L86" s="3" t="s">
        <v>866</v>
      </c>
      <c r="M86" s="3" t="s">
        <v>59</v>
      </c>
      <c r="N86" s="3" t="s">
        <v>60</v>
      </c>
      <c r="O86" s="3" t="s">
        <v>147</v>
      </c>
      <c r="P86" s="3" t="s">
        <v>875</v>
      </c>
      <c r="Q86" s="31">
        <v>42740</v>
      </c>
      <c r="R86" s="3" t="s">
        <v>62</v>
      </c>
      <c r="S86" s="3" t="s">
        <v>62</v>
      </c>
    </row>
    <row r="87" spans="1:19">
      <c r="A87" s="3" t="s">
        <v>868</v>
      </c>
      <c r="B87" s="31">
        <v>42741.73704378472</v>
      </c>
      <c r="C87" s="31">
        <v>42739.435416666667</v>
      </c>
      <c r="D87" s="3">
        <v>3035469849</v>
      </c>
      <c r="E87" s="3" t="s">
        <v>273</v>
      </c>
      <c r="F87" s="3" t="s">
        <v>262</v>
      </c>
      <c r="G87" s="3" t="s">
        <v>874</v>
      </c>
      <c r="H87" s="3" t="s">
        <v>262</v>
      </c>
      <c r="I87" s="3" t="s">
        <v>874</v>
      </c>
      <c r="J87" s="3" t="s">
        <v>144</v>
      </c>
      <c r="K87" s="3" t="s">
        <v>2977</v>
      </c>
      <c r="L87" s="3" t="s">
        <v>866</v>
      </c>
      <c r="M87" s="3" t="s">
        <v>59</v>
      </c>
      <c r="N87" s="3" t="s">
        <v>60</v>
      </c>
      <c r="O87" s="3" t="s">
        <v>147</v>
      </c>
      <c r="P87" s="3" t="s">
        <v>875</v>
      </c>
      <c r="Q87" s="31">
        <v>42740</v>
      </c>
      <c r="R87" s="3" t="s">
        <v>62</v>
      </c>
      <c r="S87" s="3" t="s">
        <v>2985</v>
      </c>
    </row>
    <row r="88" spans="1:19">
      <c r="A88" s="3" t="s">
        <v>873</v>
      </c>
      <c r="B88" s="31">
        <v>42741.73704378472</v>
      </c>
      <c r="C88" s="31">
        <v>42739.45416666667</v>
      </c>
      <c r="D88" s="3">
        <v>3035470346</v>
      </c>
      <c r="E88" s="3" t="s">
        <v>9</v>
      </c>
      <c r="F88" s="3" t="s">
        <v>73</v>
      </c>
      <c r="G88" s="3" t="s">
        <v>74</v>
      </c>
      <c r="H88" s="3" t="s">
        <v>73</v>
      </c>
      <c r="I88" s="3" t="s">
        <v>74</v>
      </c>
      <c r="J88" s="3" t="s">
        <v>69</v>
      </c>
      <c r="K88" s="3" t="s">
        <v>2976</v>
      </c>
      <c r="L88" s="3" t="s">
        <v>866</v>
      </c>
      <c r="M88" s="3" t="s">
        <v>70</v>
      </c>
      <c r="N88" s="3" t="s">
        <v>71</v>
      </c>
      <c r="O88" s="3" t="s">
        <v>903</v>
      </c>
      <c r="P88" s="3" t="s">
        <v>875</v>
      </c>
      <c r="Q88" s="31">
        <v>42740</v>
      </c>
      <c r="R88" s="3" t="s">
        <v>62</v>
      </c>
      <c r="S88" s="3" t="s">
        <v>62</v>
      </c>
    </row>
    <row r="89" spans="1:19">
      <c r="A89" s="3" t="s">
        <v>865</v>
      </c>
      <c r="B89" s="31">
        <v>42741.73704378472</v>
      </c>
      <c r="C89" s="31">
        <v>42739.459722222222</v>
      </c>
      <c r="D89" s="3">
        <v>3035200908</v>
      </c>
      <c r="E89" s="3" t="s">
        <v>273</v>
      </c>
      <c r="F89" s="3" t="s">
        <v>909</v>
      </c>
      <c r="G89" s="3" t="s">
        <v>313</v>
      </c>
      <c r="H89" s="3" t="s">
        <v>115</v>
      </c>
      <c r="I89" s="3" t="s">
        <v>116</v>
      </c>
      <c r="J89" s="3" t="s">
        <v>69</v>
      </c>
      <c r="K89" s="3" t="s">
        <v>2977</v>
      </c>
      <c r="L89" s="3" t="s">
        <v>866</v>
      </c>
      <c r="M89" s="3" t="s">
        <v>59</v>
      </c>
      <c r="N89" s="3" t="s">
        <v>60</v>
      </c>
      <c r="O89" s="3" t="s">
        <v>147</v>
      </c>
      <c r="P89" s="3" t="s">
        <v>875</v>
      </c>
      <c r="Q89" s="31">
        <v>42740</v>
      </c>
      <c r="R89" s="3" t="s">
        <v>62</v>
      </c>
      <c r="S89" s="3" t="s">
        <v>529</v>
      </c>
    </row>
    <row r="90" spans="1:19">
      <c r="A90" s="3" t="s">
        <v>865</v>
      </c>
      <c r="B90" s="31">
        <v>42741.73704378472</v>
      </c>
      <c r="C90" s="31">
        <v>42739.461805555555</v>
      </c>
      <c r="D90" s="3">
        <v>3035470233</v>
      </c>
      <c r="E90" s="3" t="s">
        <v>9</v>
      </c>
      <c r="F90" s="3" t="s">
        <v>133</v>
      </c>
      <c r="G90" s="3" t="s">
        <v>134</v>
      </c>
      <c r="H90" s="3" t="s">
        <v>133</v>
      </c>
      <c r="I90" s="3" t="s">
        <v>134</v>
      </c>
      <c r="J90" s="3" t="s">
        <v>98</v>
      </c>
      <c r="K90" s="3" t="s">
        <v>2976</v>
      </c>
      <c r="L90" s="3" t="s">
        <v>866</v>
      </c>
      <c r="M90" s="3" t="s">
        <v>59</v>
      </c>
      <c r="N90" s="3" t="s">
        <v>60</v>
      </c>
      <c r="O90" s="3" t="s">
        <v>147</v>
      </c>
      <c r="P90" s="3" t="s">
        <v>875</v>
      </c>
      <c r="Q90" s="31">
        <v>42740</v>
      </c>
      <c r="R90" s="3" t="s">
        <v>62</v>
      </c>
      <c r="S90" s="3" t="s">
        <v>62</v>
      </c>
    </row>
    <row r="91" spans="1:19">
      <c r="A91" s="3" t="s">
        <v>877</v>
      </c>
      <c r="B91" s="31">
        <v>42741.73704378472</v>
      </c>
      <c r="C91" s="31">
        <v>42739.465277777781</v>
      </c>
      <c r="D91" s="3">
        <v>3035470194</v>
      </c>
      <c r="E91" s="3" t="s">
        <v>9</v>
      </c>
      <c r="F91" s="3" t="s">
        <v>80</v>
      </c>
      <c r="G91" s="3" t="s">
        <v>81</v>
      </c>
      <c r="H91" s="3" t="s">
        <v>80</v>
      </c>
      <c r="I91" s="3" t="s">
        <v>81</v>
      </c>
      <c r="J91" s="3" t="s">
        <v>99</v>
      </c>
      <c r="K91" s="3" t="s">
        <v>2976</v>
      </c>
      <c r="L91" s="3" t="s">
        <v>866</v>
      </c>
      <c r="M91" s="3" t="s">
        <v>59</v>
      </c>
      <c r="N91" s="3" t="s">
        <v>60</v>
      </c>
      <c r="O91" s="3" t="s">
        <v>3000</v>
      </c>
      <c r="P91" s="3" t="s">
        <v>875</v>
      </c>
      <c r="Q91" s="31">
        <v>42740</v>
      </c>
      <c r="R91" s="3" t="s">
        <v>62</v>
      </c>
      <c r="S91" s="3" t="s">
        <v>62</v>
      </c>
    </row>
    <row r="92" spans="1:19">
      <c r="A92" s="3" t="s">
        <v>865</v>
      </c>
      <c r="B92" s="31">
        <v>42741.73704378472</v>
      </c>
      <c r="C92" s="31">
        <v>42739.488194444442</v>
      </c>
      <c r="D92" s="3">
        <v>3035471252</v>
      </c>
      <c r="E92" s="3" t="s">
        <v>9</v>
      </c>
      <c r="F92" s="3" t="s">
        <v>111</v>
      </c>
      <c r="G92" s="3" t="s">
        <v>112</v>
      </c>
      <c r="H92" s="3" t="s">
        <v>111</v>
      </c>
      <c r="I92" s="3" t="s">
        <v>112</v>
      </c>
      <c r="J92" s="3" t="s">
        <v>69</v>
      </c>
      <c r="K92" s="3" t="s">
        <v>2976</v>
      </c>
      <c r="L92" s="3" t="s">
        <v>866</v>
      </c>
      <c r="M92" s="3" t="s">
        <v>59</v>
      </c>
      <c r="N92" s="3" t="s">
        <v>60</v>
      </c>
      <c r="O92" s="3" t="s">
        <v>147</v>
      </c>
      <c r="P92" s="3" t="s">
        <v>875</v>
      </c>
      <c r="Q92" s="31">
        <v>42740</v>
      </c>
      <c r="R92" s="3" t="s">
        <v>62</v>
      </c>
      <c r="S92" s="3" t="s">
        <v>62</v>
      </c>
    </row>
    <row r="93" spans="1:19">
      <c r="A93" s="3" t="s">
        <v>868</v>
      </c>
      <c r="B93" s="31">
        <v>42741.73704378472</v>
      </c>
      <c r="C93" s="31">
        <v>42739.494444444441</v>
      </c>
      <c r="D93" s="3">
        <v>3035471678</v>
      </c>
      <c r="E93" s="3" t="s">
        <v>9</v>
      </c>
      <c r="F93" s="3" t="s">
        <v>158</v>
      </c>
      <c r="G93" s="3" t="s">
        <v>159</v>
      </c>
      <c r="H93" s="3" t="s">
        <v>158</v>
      </c>
      <c r="I93" s="3" t="s">
        <v>159</v>
      </c>
      <c r="J93" s="3" t="s">
        <v>69</v>
      </c>
      <c r="K93" s="3" t="s">
        <v>2976</v>
      </c>
      <c r="L93" s="3" t="s">
        <v>866</v>
      </c>
      <c r="M93" s="3" t="s">
        <v>59</v>
      </c>
      <c r="N93" s="3" t="s">
        <v>60</v>
      </c>
      <c r="O93" s="3" t="s">
        <v>147</v>
      </c>
      <c r="P93" s="3" t="s">
        <v>875</v>
      </c>
      <c r="Q93" s="31">
        <v>42741</v>
      </c>
      <c r="R93" s="3" t="s">
        <v>62</v>
      </c>
      <c r="S93" s="3" t="s">
        <v>62</v>
      </c>
    </row>
    <row r="94" spans="1:19">
      <c r="A94" s="3" t="s">
        <v>873</v>
      </c>
      <c r="B94" s="31">
        <v>42741.73704378472</v>
      </c>
      <c r="C94" s="31">
        <v>42739.499305555553</v>
      </c>
      <c r="D94" s="3">
        <v>3035471853</v>
      </c>
      <c r="E94" s="3" t="s">
        <v>9</v>
      </c>
      <c r="F94" s="3" t="s">
        <v>109</v>
      </c>
      <c r="G94" s="3" t="s">
        <v>110</v>
      </c>
      <c r="H94" s="3" t="s">
        <v>109</v>
      </c>
      <c r="I94" s="3" t="s">
        <v>110</v>
      </c>
      <c r="J94" s="3" t="s">
        <v>69</v>
      </c>
      <c r="K94" s="3" t="s">
        <v>2976</v>
      </c>
      <c r="L94" s="3" t="s">
        <v>866</v>
      </c>
      <c r="M94" s="3" t="s">
        <v>59</v>
      </c>
      <c r="N94" s="3" t="s">
        <v>60</v>
      </c>
      <c r="O94" s="3" t="s">
        <v>147</v>
      </c>
      <c r="P94" s="3" t="s">
        <v>875</v>
      </c>
      <c r="Q94" s="31">
        <v>42740</v>
      </c>
      <c r="R94" s="3" t="s">
        <v>62</v>
      </c>
      <c r="S94" s="3" t="s">
        <v>62</v>
      </c>
    </row>
    <row r="95" spans="1:19">
      <c r="A95" s="3" t="s">
        <v>865</v>
      </c>
      <c r="B95" s="31">
        <v>42741.73704378472</v>
      </c>
      <c r="C95" s="31">
        <v>42739.504166666666</v>
      </c>
      <c r="D95" s="3">
        <v>3035433043</v>
      </c>
      <c r="E95" s="3" t="s">
        <v>273</v>
      </c>
      <c r="F95" s="3" t="s">
        <v>265</v>
      </c>
      <c r="G95" s="3" t="s">
        <v>266</v>
      </c>
      <c r="H95" s="3" t="s">
        <v>115</v>
      </c>
      <c r="I95" s="3" t="s">
        <v>116</v>
      </c>
      <c r="J95" s="3" t="s">
        <v>144</v>
      </c>
      <c r="K95" s="3" t="s">
        <v>2977</v>
      </c>
      <c r="L95" s="3" t="s">
        <v>866</v>
      </c>
      <c r="M95" s="3" t="s">
        <v>59</v>
      </c>
      <c r="N95" s="3" t="s">
        <v>60</v>
      </c>
      <c r="O95" s="3" t="s">
        <v>147</v>
      </c>
      <c r="P95" s="3" t="s">
        <v>875</v>
      </c>
      <c r="Q95" s="31">
        <v>42740</v>
      </c>
      <c r="R95" s="3" t="s">
        <v>62</v>
      </c>
      <c r="S95" s="3" t="s">
        <v>529</v>
      </c>
    </row>
    <row r="96" spans="1:19">
      <c r="A96" s="3" t="s">
        <v>865</v>
      </c>
      <c r="B96" s="31">
        <v>42741.73704378472</v>
      </c>
      <c r="C96" s="31">
        <v>42739.518750000003</v>
      </c>
      <c r="D96" s="3">
        <v>3035472766</v>
      </c>
      <c r="E96" s="3" t="s">
        <v>23</v>
      </c>
      <c r="F96" s="3" t="s">
        <v>137</v>
      </c>
      <c r="G96" s="3" t="s">
        <v>138</v>
      </c>
      <c r="H96" s="3" t="s">
        <v>137</v>
      </c>
      <c r="I96" s="3" t="s">
        <v>138</v>
      </c>
      <c r="J96" s="3" t="s">
        <v>69</v>
      </c>
      <c r="K96" s="3" t="s">
        <v>2976</v>
      </c>
      <c r="L96" s="3" t="s">
        <v>866</v>
      </c>
      <c r="M96" s="3" t="s">
        <v>70</v>
      </c>
      <c r="N96" s="3" t="s">
        <v>71</v>
      </c>
      <c r="O96" s="3" t="s">
        <v>903</v>
      </c>
      <c r="P96" s="3" t="s">
        <v>875</v>
      </c>
      <c r="Q96" s="31">
        <v>42740</v>
      </c>
      <c r="R96" s="3" t="s">
        <v>62</v>
      </c>
      <c r="S96" s="3" t="s">
        <v>62</v>
      </c>
    </row>
    <row r="97" spans="1:19">
      <c r="A97" s="3" t="s">
        <v>868</v>
      </c>
      <c r="B97" s="31">
        <v>42741.73704378472</v>
      </c>
      <c r="C97" s="31">
        <v>42739.536111111112</v>
      </c>
      <c r="D97" s="3">
        <v>3035472100</v>
      </c>
      <c r="E97" s="3" t="s">
        <v>273</v>
      </c>
      <c r="F97" s="3" t="s">
        <v>259</v>
      </c>
      <c r="G97" s="3" t="s">
        <v>260</v>
      </c>
      <c r="H97" s="3" t="s">
        <v>259</v>
      </c>
      <c r="I97" s="3" t="s">
        <v>260</v>
      </c>
      <c r="J97" s="3" t="s">
        <v>144</v>
      </c>
      <c r="K97" s="3" t="s">
        <v>2977</v>
      </c>
      <c r="L97" s="3" t="s">
        <v>866</v>
      </c>
      <c r="M97" s="3" t="s">
        <v>59</v>
      </c>
      <c r="N97" s="3" t="s">
        <v>60</v>
      </c>
      <c r="O97" s="3" t="s">
        <v>147</v>
      </c>
      <c r="P97" s="3" t="s">
        <v>875</v>
      </c>
      <c r="Q97" s="31">
        <v>42740</v>
      </c>
      <c r="R97" s="3" t="s">
        <v>62</v>
      </c>
      <c r="S97" s="3" t="s">
        <v>2985</v>
      </c>
    </row>
    <row r="98" spans="1:19">
      <c r="A98" s="3" t="s">
        <v>868</v>
      </c>
      <c r="B98" s="31">
        <v>42741.73704378472</v>
      </c>
      <c r="C98" s="31">
        <v>42739.539583333331</v>
      </c>
      <c r="D98" s="3">
        <v>3035472073</v>
      </c>
      <c r="E98" s="3" t="s">
        <v>9</v>
      </c>
      <c r="F98" s="3" t="s">
        <v>56</v>
      </c>
      <c r="G98" s="3" t="s">
        <v>57</v>
      </c>
      <c r="H98" s="3" t="s">
        <v>56</v>
      </c>
      <c r="I98" s="3" t="s">
        <v>57</v>
      </c>
      <c r="J98" s="3" t="s">
        <v>69</v>
      </c>
      <c r="K98" s="3" t="s">
        <v>2976</v>
      </c>
      <c r="L98" s="3" t="s">
        <v>866</v>
      </c>
      <c r="M98" s="3" t="s">
        <v>59</v>
      </c>
      <c r="N98" s="3" t="s">
        <v>60</v>
      </c>
      <c r="O98" s="3" t="s">
        <v>147</v>
      </c>
      <c r="P98" s="3" t="s">
        <v>875</v>
      </c>
      <c r="Q98" s="31">
        <v>42740</v>
      </c>
      <c r="R98" s="3" t="s">
        <v>62</v>
      </c>
      <c r="S98" s="3" t="s">
        <v>62</v>
      </c>
    </row>
    <row r="99" spans="1:19">
      <c r="A99" s="3" t="s">
        <v>868</v>
      </c>
      <c r="B99" s="31">
        <v>42741.73704378472</v>
      </c>
      <c r="C99" s="31">
        <v>42739.540277777778</v>
      </c>
      <c r="D99" s="3">
        <v>3035473954</v>
      </c>
      <c r="E99" s="3" t="s">
        <v>9</v>
      </c>
      <c r="F99" s="3" t="s">
        <v>158</v>
      </c>
      <c r="G99" s="3" t="s">
        <v>159</v>
      </c>
      <c r="H99" s="3" t="s">
        <v>158</v>
      </c>
      <c r="I99" s="3" t="s">
        <v>159</v>
      </c>
      <c r="J99" s="3" t="s">
        <v>69</v>
      </c>
      <c r="K99" s="3" t="s">
        <v>2976</v>
      </c>
      <c r="L99" s="3" t="s">
        <v>866</v>
      </c>
      <c r="M99" s="3" t="s">
        <v>59</v>
      </c>
      <c r="N99" s="3" t="s">
        <v>60</v>
      </c>
      <c r="O99" s="3" t="s">
        <v>3001</v>
      </c>
      <c r="P99" s="3" t="s">
        <v>875</v>
      </c>
      <c r="Q99" s="31">
        <v>42740</v>
      </c>
      <c r="R99" s="3" t="s">
        <v>62</v>
      </c>
      <c r="S99" s="3" t="s">
        <v>62</v>
      </c>
    </row>
    <row r="100" spans="1:19">
      <c r="A100" s="3" t="s">
        <v>865</v>
      </c>
      <c r="B100" s="31">
        <v>42741.73704378472</v>
      </c>
      <c r="C100" s="31">
        <v>42739.565972222219</v>
      </c>
      <c r="D100" s="3">
        <v>3035475198</v>
      </c>
      <c r="E100" s="3" t="s">
        <v>23</v>
      </c>
      <c r="F100" s="3" t="s">
        <v>135</v>
      </c>
      <c r="G100" s="3" t="s">
        <v>136</v>
      </c>
      <c r="H100" s="3" t="s">
        <v>135</v>
      </c>
      <c r="I100" s="3" t="s">
        <v>136</v>
      </c>
      <c r="J100" s="3" t="s">
        <v>69</v>
      </c>
      <c r="K100" s="3" t="s">
        <v>2976</v>
      </c>
      <c r="L100" s="3" t="s">
        <v>866</v>
      </c>
      <c r="M100" s="3" t="s">
        <v>59</v>
      </c>
      <c r="N100" s="3" t="s">
        <v>60</v>
      </c>
      <c r="O100" s="3" t="s">
        <v>147</v>
      </c>
      <c r="P100" s="3" t="s">
        <v>875</v>
      </c>
      <c r="Q100" s="31">
        <v>42740</v>
      </c>
      <c r="R100" s="3" t="s">
        <v>62</v>
      </c>
      <c r="S100" s="3" t="s">
        <v>62</v>
      </c>
    </row>
    <row r="101" spans="1:19">
      <c r="A101" s="3" t="s">
        <v>868</v>
      </c>
      <c r="B101" s="31">
        <v>42741.73704378472</v>
      </c>
      <c r="C101" s="31">
        <v>42739.597916666666</v>
      </c>
      <c r="D101" s="3">
        <v>3035477049</v>
      </c>
      <c r="E101" s="3" t="s">
        <v>23</v>
      </c>
      <c r="F101" s="3" t="s">
        <v>137</v>
      </c>
      <c r="G101" s="3" t="s">
        <v>138</v>
      </c>
      <c r="H101" s="3" t="s">
        <v>137</v>
      </c>
      <c r="I101" s="3" t="s">
        <v>138</v>
      </c>
      <c r="J101" s="3" t="s">
        <v>69</v>
      </c>
      <c r="K101" s="3" t="s">
        <v>2976</v>
      </c>
      <c r="L101" s="3" t="s">
        <v>866</v>
      </c>
      <c r="M101" s="3" t="s">
        <v>59</v>
      </c>
      <c r="N101" s="3" t="s">
        <v>60</v>
      </c>
      <c r="O101" s="3" t="s">
        <v>147</v>
      </c>
      <c r="P101" s="3" t="s">
        <v>875</v>
      </c>
      <c r="Q101" s="31">
        <v>42740</v>
      </c>
      <c r="R101" s="3" t="s">
        <v>62</v>
      </c>
      <c r="S101" s="3" t="s">
        <v>62</v>
      </c>
    </row>
    <row r="102" spans="1:19">
      <c r="A102" s="3" t="s">
        <v>868</v>
      </c>
      <c r="B102" s="31">
        <v>42741.73704378472</v>
      </c>
      <c r="C102" s="31">
        <v>42739.598611111112</v>
      </c>
      <c r="D102" s="3">
        <v>3035477235</v>
      </c>
      <c r="E102" s="3" t="s">
        <v>9</v>
      </c>
      <c r="F102" s="3" t="s">
        <v>109</v>
      </c>
      <c r="G102" s="3" t="s">
        <v>110</v>
      </c>
      <c r="H102" s="3" t="s">
        <v>109</v>
      </c>
      <c r="I102" s="3" t="s">
        <v>110</v>
      </c>
      <c r="J102" s="3" t="s">
        <v>69</v>
      </c>
      <c r="K102" s="3" t="s">
        <v>2976</v>
      </c>
      <c r="L102" s="3" t="s">
        <v>866</v>
      </c>
      <c r="M102" s="3" t="s">
        <v>70</v>
      </c>
      <c r="N102" s="3" t="s">
        <v>71</v>
      </c>
      <c r="O102" s="3" t="s">
        <v>913</v>
      </c>
      <c r="P102" s="3" t="s">
        <v>875</v>
      </c>
      <c r="Q102" s="31">
        <v>42740</v>
      </c>
      <c r="R102" s="3" t="s">
        <v>62</v>
      </c>
      <c r="S102" s="3" t="s">
        <v>62</v>
      </c>
    </row>
    <row r="103" spans="1:19">
      <c r="A103" s="3" t="s">
        <v>868</v>
      </c>
      <c r="B103" s="31">
        <v>42741.73704378472</v>
      </c>
      <c r="C103" s="31">
        <v>42739.603472222225</v>
      </c>
      <c r="D103" s="3">
        <v>3035477043</v>
      </c>
      <c r="E103" s="3" t="s">
        <v>31</v>
      </c>
      <c r="F103" s="3" t="s">
        <v>227</v>
      </c>
      <c r="G103" s="3" t="s">
        <v>228</v>
      </c>
      <c r="H103" s="3" t="s">
        <v>227</v>
      </c>
      <c r="I103" s="3" t="s">
        <v>228</v>
      </c>
      <c r="J103" s="3" t="s">
        <v>69</v>
      </c>
      <c r="K103" s="3" t="s">
        <v>2977</v>
      </c>
      <c r="L103" s="3" t="s">
        <v>866</v>
      </c>
      <c r="M103" s="3" t="s">
        <v>59</v>
      </c>
      <c r="N103" s="3" t="s">
        <v>60</v>
      </c>
      <c r="O103" s="3" t="s">
        <v>147</v>
      </c>
      <c r="P103" s="3" t="s">
        <v>875</v>
      </c>
      <c r="Q103" s="31">
        <v>42740</v>
      </c>
      <c r="R103" s="3" t="s">
        <v>62</v>
      </c>
      <c r="S103" s="3" t="s">
        <v>92</v>
      </c>
    </row>
    <row r="104" spans="1:19">
      <c r="A104" s="3" t="s">
        <v>868</v>
      </c>
      <c r="B104" s="31">
        <v>42744.734167210649</v>
      </c>
      <c r="C104" s="31">
        <v>42742.597222222219</v>
      </c>
      <c r="D104" s="3">
        <v>3035570136</v>
      </c>
      <c r="E104" s="3" t="s">
        <v>39</v>
      </c>
      <c r="F104" s="3" t="s">
        <v>248</v>
      </c>
      <c r="G104" s="3" t="s">
        <v>249</v>
      </c>
      <c r="H104" s="3" t="s">
        <v>248</v>
      </c>
      <c r="I104" s="3" t="s">
        <v>249</v>
      </c>
      <c r="J104" s="3" t="s">
        <v>97</v>
      </c>
      <c r="K104" s="3" t="s">
        <v>2977</v>
      </c>
      <c r="L104" s="3" t="s">
        <v>866</v>
      </c>
      <c r="M104" s="3" t="s">
        <v>59</v>
      </c>
      <c r="N104" s="3" t="s">
        <v>60</v>
      </c>
      <c r="O104" s="3" t="s">
        <v>147</v>
      </c>
      <c r="P104" s="3" t="s">
        <v>875</v>
      </c>
      <c r="Q104" s="31">
        <v>42744</v>
      </c>
      <c r="R104" s="3" t="s">
        <v>62</v>
      </c>
      <c r="S104" s="3" t="s">
        <v>92</v>
      </c>
    </row>
    <row r="105" spans="1:19">
      <c r="A105" s="3" t="s">
        <v>865</v>
      </c>
      <c r="B105" s="31">
        <v>42741.73704378472</v>
      </c>
      <c r="C105" s="31">
        <v>42739.632638888892</v>
      </c>
      <c r="D105" s="3">
        <v>3035479209</v>
      </c>
      <c r="E105" s="3" t="s">
        <v>9</v>
      </c>
      <c r="F105" s="3" t="s">
        <v>94</v>
      </c>
      <c r="G105" s="3" t="s">
        <v>95</v>
      </c>
      <c r="H105" s="3" t="s">
        <v>94</v>
      </c>
      <c r="I105" s="3" t="s">
        <v>95</v>
      </c>
      <c r="J105" s="3" t="s">
        <v>69</v>
      </c>
      <c r="K105" s="3" t="s">
        <v>2976</v>
      </c>
      <c r="L105" s="3" t="s">
        <v>866</v>
      </c>
      <c r="M105" s="3" t="s">
        <v>901</v>
      </c>
      <c r="N105" s="3" t="s">
        <v>897</v>
      </c>
      <c r="O105" s="3" t="s">
        <v>3002</v>
      </c>
      <c r="P105" s="3" t="s">
        <v>875</v>
      </c>
      <c r="Q105" s="31">
        <v>42740</v>
      </c>
      <c r="R105" s="3" t="s">
        <v>62</v>
      </c>
      <c r="S105" s="3" t="s">
        <v>62</v>
      </c>
    </row>
    <row r="106" spans="1:19">
      <c r="A106" s="3" t="s">
        <v>865</v>
      </c>
      <c r="B106" s="31">
        <v>42741.73704378472</v>
      </c>
      <c r="C106" s="31">
        <v>42739.636111111111</v>
      </c>
      <c r="D106" s="3">
        <v>3035479253</v>
      </c>
      <c r="E106" s="3" t="s">
        <v>273</v>
      </c>
      <c r="F106" s="3" t="s">
        <v>259</v>
      </c>
      <c r="G106" s="3" t="s">
        <v>260</v>
      </c>
      <c r="H106" s="3" t="s">
        <v>259</v>
      </c>
      <c r="I106" s="3" t="s">
        <v>260</v>
      </c>
      <c r="J106" s="3" t="s">
        <v>98</v>
      </c>
      <c r="K106" s="3" t="s">
        <v>2977</v>
      </c>
      <c r="L106" s="3" t="s">
        <v>871</v>
      </c>
      <c r="M106" s="3" t="s">
        <v>84</v>
      </c>
      <c r="N106" s="3" t="s">
        <v>85</v>
      </c>
      <c r="O106" s="3" t="s">
        <v>3003</v>
      </c>
      <c r="P106" s="3" t="s">
        <v>875</v>
      </c>
      <c r="Q106" s="31">
        <v>42740</v>
      </c>
      <c r="R106" s="3" t="s">
        <v>62</v>
      </c>
      <c r="S106" s="3" t="s">
        <v>2985</v>
      </c>
    </row>
    <row r="107" spans="1:19">
      <c r="A107" s="3" t="s">
        <v>865</v>
      </c>
      <c r="B107" s="31">
        <v>42741.73704378472</v>
      </c>
      <c r="C107" s="31">
        <v>42739.648611111108</v>
      </c>
      <c r="D107" s="3">
        <v>3035479865</v>
      </c>
      <c r="E107" s="3" t="s">
        <v>31</v>
      </c>
      <c r="F107" s="3" t="s">
        <v>202</v>
      </c>
      <c r="G107" s="3" t="s">
        <v>203</v>
      </c>
      <c r="H107" s="3" t="s">
        <v>202</v>
      </c>
      <c r="I107" s="3" t="s">
        <v>203</v>
      </c>
      <c r="J107" s="3" t="s">
        <v>69</v>
      </c>
      <c r="K107" s="3" t="s">
        <v>2976</v>
      </c>
      <c r="L107" s="3" t="s">
        <v>871</v>
      </c>
      <c r="M107" s="3" t="s">
        <v>84</v>
      </c>
      <c r="N107" s="3" t="s">
        <v>85</v>
      </c>
      <c r="O107" s="3" t="s">
        <v>3004</v>
      </c>
      <c r="P107" s="3" t="s">
        <v>875</v>
      </c>
      <c r="Q107" s="31">
        <v>42740</v>
      </c>
      <c r="R107" s="3" t="s">
        <v>62</v>
      </c>
      <c r="S107" s="3" t="s">
        <v>62</v>
      </c>
    </row>
    <row r="108" spans="1:19">
      <c r="A108" s="3" t="s">
        <v>868</v>
      </c>
      <c r="B108" s="31">
        <v>42744.734167210649</v>
      </c>
      <c r="C108" s="31">
        <v>42742.718055555553</v>
      </c>
      <c r="D108" s="3">
        <v>3035571963</v>
      </c>
      <c r="E108" s="3" t="s">
        <v>23</v>
      </c>
      <c r="F108" s="3" t="s">
        <v>191</v>
      </c>
      <c r="G108" s="3" t="s">
        <v>192</v>
      </c>
      <c r="H108" s="3" t="s">
        <v>191</v>
      </c>
      <c r="I108" s="3" t="s">
        <v>192</v>
      </c>
      <c r="J108" s="3" t="s">
        <v>97</v>
      </c>
      <c r="K108" s="3" t="s">
        <v>2976</v>
      </c>
      <c r="L108" s="3" t="s">
        <v>866</v>
      </c>
      <c r="M108" s="3" t="s">
        <v>59</v>
      </c>
      <c r="N108" s="3" t="s">
        <v>60</v>
      </c>
      <c r="O108" s="3" t="s">
        <v>147</v>
      </c>
      <c r="P108" s="3" t="s">
        <v>875</v>
      </c>
      <c r="Q108" s="31">
        <v>42744</v>
      </c>
      <c r="R108" s="3" t="s">
        <v>62</v>
      </c>
      <c r="S108" s="3" t="s">
        <v>62</v>
      </c>
    </row>
    <row r="109" spans="1:19">
      <c r="A109" s="3" t="s">
        <v>877</v>
      </c>
      <c r="B109" s="31">
        <v>42741.73704378472</v>
      </c>
      <c r="C109" s="31">
        <v>42739.67291666667</v>
      </c>
      <c r="D109" s="3">
        <v>3035481385</v>
      </c>
      <c r="E109" s="3" t="s">
        <v>23</v>
      </c>
      <c r="F109" s="3" t="s">
        <v>137</v>
      </c>
      <c r="G109" s="3" t="s">
        <v>138</v>
      </c>
      <c r="H109" s="3" t="s">
        <v>137</v>
      </c>
      <c r="I109" s="3" t="s">
        <v>138</v>
      </c>
      <c r="J109" s="3" t="s">
        <v>69</v>
      </c>
      <c r="K109" s="3" t="s">
        <v>2976</v>
      </c>
      <c r="L109" s="3" t="s">
        <v>871</v>
      </c>
      <c r="M109" s="3" t="s">
        <v>84</v>
      </c>
      <c r="N109" s="3" t="s">
        <v>85</v>
      </c>
      <c r="O109" s="3" t="s">
        <v>3005</v>
      </c>
      <c r="P109" s="3" t="s">
        <v>875</v>
      </c>
      <c r="Q109" s="31">
        <v>42740</v>
      </c>
      <c r="R109" s="3" t="s">
        <v>62</v>
      </c>
      <c r="S109" s="3" t="s">
        <v>62</v>
      </c>
    </row>
    <row r="110" spans="1:19">
      <c r="A110" s="3" t="s">
        <v>865</v>
      </c>
      <c r="B110" s="31">
        <v>42741.73704378472</v>
      </c>
      <c r="C110" s="31">
        <v>42739.679861111108</v>
      </c>
      <c r="D110" s="3">
        <v>3035480906</v>
      </c>
      <c r="E110" s="3" t="e">
        <v>#N/A</v>
      </c>
      <c r="F110" s="3" t="s">
        <v>889</v>
      </c>
      <c r="G110" s="3" t="e">
        <v>#N/A</v>
      </c>
      <c r="H110" s="3" t="s">
        <v>889</v>
      </c>
      <c r="I110" s="3" t="e">
        <v>#N/A</v>
      </c>
      <c r="J110" s="3" t="s">
        <v>69</v>
      </c>
      <c r="K110" s="3" t="s">
        <v>2977</v>
      </c>
      <c r="L110" s="3" t="s">
        <v>866</v>
      </c>
      <c r="M110" s="3" t="s">
        <v>70</v>
      </c>
      <c r="N110" s="3" t="s">
        <v>71</v>
      </c>
      <c r="O110" s="3" t="s">
        <v>3006</v>
      </c>
      <c r="P110" s="3" t="s">
        <v>875</v>
      </c>
      <c r="Q110" s="31">
        <v>42740</v>
      </c>
      <c r="R110" s="3" t="s">
        <v>62</v>
      </c>
      <c r="S110" s="3" t="s">
        <v>2143</v>
      </c>
    </row>
    <row r="111" spans="1:19">
      <c r="A111" s="3" t="s">
        <v>868</v>
      </c>
      <c r="B111" s="31">
        <v>42743.735176273149</v>
      </c>
      <c r="C111" s="31">
        <v>42741.443749999999</v>
      </c>
      <c r="D111" s="3">
        <v>3035541726</v>
      </c>
      <c r="E111" s="3" t="s">
        <v>9</v>
      </c>
      <c r="F111" s="3" t="s">
        <v>56</v>
      </c>
      <c r="G111" s="3" t="s">
        <v>57</v>
      </c>
      <c r="H111" s="3" t="s">
        <v>56</v>
      </c>
      <c r="I111" s="3" t="s">
        <v>57</v>
      </c>
      <c r="J111" s="3" t="s">
        <v>69</v>
      </c>
      <c r="K111" s="3" t="s">
        <v>2976</v>
      </c>
      <c r="L111" s="3" t="s">
        <v>866</v>
      </c>
      <c r="M111" s="3" t="s">
        <v>59</v>
      </c>
      <c r="N111" s="3" t="s">
        <v>60</v>
      </c>
      <c r="O111" s="3" t="s">
        <v>147</v>
      </c>
      <c r="P111" s="3" t="s">
        <v>875</v>
      </c>
      <c r="Q111" s="31">
        <v>42742</v>
      </c>
      <c r="R111" s="3" t="s">
        <v>62</v>
      </c>
      <c r="S111" s="3" t="s">
        <v>62</v>
      </c>
    </row>
    <row r="112" spans="1:19">
      <c r="A112" s="3" t="s">
        <v>865</v>
      </c>
      <c r="B112" s="31">
        <v>42741.73704378472</v>
      </c>
      <c r="C112" s="31">
        <v>42739.684027777781</v>
      </c>
      <c r="D112" s="3">
        <v>3035481857</v>
      </c>
      <c r="E112" s="3" t="s">
        <v>31</v>
      </c>
      <c r="F112" s="3" t="s">
        <v>852</v>
      </c>
      <c r="G112" s="3" t="s">
        <v>197</v>
      </c>
      <c r="H112" s="3" t="s">
        <v>852</v>
      </c>
      <c r="I112" s="3" t="s">
        <v>197</v>
      </c>
      <c r="J112" s="3" t="s">
        <v>69</v>
      </c>
      <c r="K112" s="3" t="s">
        <v>2976</v>
      </c>
      <c r="L112" s="3" t="s">
        <v>866</v>
      </c>
      <c r="M112" s="3" t="s">
        <v>59</v>
      </c>
      <c r="N112" s="3" t="s">
        <v>60</v>
      </c>
      <c r="O112" s="3" t="s">
        <v>147</v>
      </c>
      <c r="P112" s="3" t="s">
        <v>875</v>
      </c>
      <c r="Q112" s="31">
        <v>42740</v>
      </c>
      <c r="R112" s="3" t="s">
        <v>62</v>
      </c>
      <c r="S112" s="3" t="s">
        <v>62</v>
      </c>
    </row>
    <row r="113" spans="1:19">
      <c r="A113" s="3" t="s">
        <v>873</v>
      </c>
      <c r="B113" s="31">
        <v>42741.73704378472</v>
      </c>
      <c r="C113" s="31">
        <v>42739.68472222222</v>
      </c>
      <c r="D113" s="3">
        <v>3035440126</v>
      </c>
      <c r="E113" s="3" t="s">
        <v>23</v>
      </c>
      <c r="F113" s="3" t="s">
        <v>135</v>
      </c>
      <c r="G113" s="3" t="s">
        <v>136</v>
      </c>
      <c r="H113" s="3" t="s">
        <v>139</v>
      </c>
      <c r="I113" s="3" t="s">
        <v>140</v>
      </c>
      <c r="J113" s="3" t="s">
        <v>69</v>
      </c>
      <c r="K113" s="3" t="s">
        <v>2977</v>
      </c>
      <c r="L113" s="3" t="s">
        <v>866</v>
      </c>
      <c r="M113" s="3" t="s">
        <v>59</v>
      </c>
      <c r="N113" s="3" t="s">
        <v>60</v>
      </c>
      <c r="O113" s="3" t="s">
        <v>147</v>
      </c>
      <c r="P113" s="3" t="s">
        <v>875</v>
      </c>
      <c r="Q113" s="31">
        <v>42740</v>
      </c>
      <c r="R113" s="3" t="s">
        <v>62</v>
      </c>
      <c r="S113" s="3" t="s">
        <v>529</v>
      </c>
    </row>
    <row r="114" spans="1:19">
      <c r="A114" s="3" t="s">
        <v>868</v>
      </c>
      <c r="B114" s="31">
        <v>42743.735176273149</v>
      </c>
      <c r="C114" s="31">
        <v>42741.468055555553</v>
      </c>
      <c r="D114" s="3">
        <v>3035542047</v>
      </c>
      <c r="E114" s="3" t="s">
        <v>9</v>
      </c>
      <c r="F114" s="3" t="s">
        <v>56</v>
      </c>
      <c r="G114" s="3" t="s">
        <v>57</v>
      </c>
      <c r="H114" s="3" t="s">
        <v>56</v>
      </c>
      <c r="I114" s="3" t="s">
        <v>57</v>
      </c>
      <c r="J114" s="3" t="s">
        <v>69</v>
      </c>
      <c r="K114" s="3" t="s">
        <v>2976</v>
      </c>
      <c r="L114" s="3" t="s">
        <v>866</v>
      </c>
      <c r="M114" s="3" t="s">
        <v>59</v>
      </c>
      <c r="N114" s="3" t="s">
        <v>60</v>
      </c>
      <c r="O114" s="3" t="s">
        <v>147</v>
      </c>
      <c r="P114" s="3" t="s">
        <v>875</v>
      </c>
      <c r="Q114" s="31">
        <v>42742</v>
      </c>
      <c r="R114" s="3" t="s">
        <v>62</v>
      </c>
      <c r="S114" s="3" t="s">
        <v>62</v>
      </c>
    </row>
    <row r="115" spans="1:19">
      <c r="A115" s="3" t="s">
        <v>877</v>
      </c>
      <c r="B115" s="31">
        <v>42741.73704378472</v>
      </c>
      <c r="C115" s="31">
        <v>42739.694444444445</v>
      </c>
      <c r="D115" s="3">
        <v>3035482361</v>
      </c>
      <c r="E115" s="3" t="s">
        <v>23</v>
      </c>
      <c r="F115" s="3" t="s">
        <v>179</v>
      </c>
      <c r="G115" s="3" t="s">
        <v>180</v>
      </c>
      <c r="H115" s="3" t="s">
        <v>179</v>
      </c>
      <c r="I115" s="3" t="s">
        <v>180</v>
      </c>
      <c r="J115" s="3" t="s">
        <v>58</v>
      </c>
      <c r="K115" s="3" t="s">
        <v>2976</v>
      </c>
      <c r="L115" s="3" t="s">
        <v>871</v>
      </c>
      <c r="M115" s="3" t="s">
        <v>84</v>
      </c>
      <c r="N115" s="3" t="s">
        <v>85</v>
      </c>
      <c r="O115" s="3" t="s">
        <v>233</v>
      </c>
      <c r="P115" s="3" t="s">
        <v>875</v>
      </c>
      <c r="Q115" s="31">
        <v>42740</v>
      </c>
      <c r="R115" s="3" t="s">
        <v>62</v>
      </c>
      <c r="S115" s="3" t="s">
        <v>62</v>
      </c>
    </row>
    <row r="116" spans="1:19">
      <c r="A116" s="3" t="s">
        <v>873</v>
      </c>
      <c r="B116" s="31">
        <v>42741.73704378472</v>
      </c>
      <c r="C116" s="31">
        <v>42739.696527777778</v>
      </c>
      <c r="D116" s="3">
        <v>3035482453</v>
      </c>
      <c r="E116" s="3" t="s">
        <v>23</v>
      </c>
      <c r="F116" s="3" t="s">
        <v>160</v>
      </c>
      <c r="G116" s="3" t="s">
        <v>161</v>
      </c>
      <c r="H116" s="3" t="s">
        <v>160</v>
      </c>
      <c r="I116" s="3" t="s">
        <v>161</v>
      </c>
      <c r="J116" s="3" t="s">
        <v>97</v>
      </c>
      <c r="K116" s="3" t="s">
        <v>2976</v>
      </c>
      <c r="L116" s="3" t="s">
        <v>871</v>
      </c>
      <c r="M116" s="3" t="s">
        <v>84</v>
      </c>
      <c r="N116" s="3" t="s">
        <v>85</v>
      </c>
      <c r="O116" s="3" t="s">
        <v>233</v>
      </c>
      <c r="P116" s="3" t="s">
        <v>875</v>
      </c>
      <c r="Q116" s="31">
        <v>42740</v>
      </c>
      <c r="R116" s="3" t="s">
        <v>62</v>
      </c>
      <c r="S116" s="3" t="s">
        <v>62</v>
      </c>
    </row>
    <row r="117" spans="1:19">
      <c r="A117" s="3" t="s">
        <v>868</v>
      </c>
      <c r="B117" s="31">
        <v>42743.735176273149</v>
      </c>
      <c r="C117" s="31">
        <v>42741.469444444447</v>
      </c>
      <c r="D117" s="3">
        <v>3035475580</v>
      </c>
      <c r="E117" s="3" t="s">
        <v>2978</v>
      </c>
      <c r="F117" s="3" t="s">
        <v>256</v>
      </c>
      <c r="G117" s="3" t="s">
        <v>879</v>
      </c>
      <c r="H117" s="3" t="s">
        <v>142</v>
      </c>
      <c r="I117" s="3" t="s">
        <v>143</v>
      </c>
      <c r="J117" s="3" t="s">
        <v>98</v>
      </c>
      <c r="K117" s="3" t="s">
        <v>2977</v>
      </c>
      <c r="L117" s="3" t="s">
        <v>866</v>
      </c>
      <c r="M117" s="3" t="s">
        <v>59</v>
      </c>
      <c r="N117" s="3" t="s">
        <v>60</v>
      </c>
      <c r="O117" s="3" t="s">
        <v>147</v>
      </c>
      <c r="P117" s="3" t="s">
        <v>875</v>
      </c>
      <c r="Q117" s="31">
        <v>42742</v>
      </c>
      <c r="R117" s="3" t="s">
        <v>62</v>
      </c>
      <c r="S117" s="3" t="s">
        <v>1355</v>
      </c>
    </row>
    <row r="118" spans="1:19">
      <c r="A118" s="3" t="s">
        <v>868</v>
      </c>
      <c r="B118" s="31">
        <v>42743.735176273149</v>
      </c>
      <c r="C118" s="31">
        <v>42741.474305555559</v>
      </c>
      <c r="D118" s="3">
        <v>3035542316</v>
      </c>
      <c r="E118" s="3" t="s">
        <v>9</v>
      </c>
      <c r="F118" s="3" t="s">
        <v>56</v>
      </c>
      <c r="G118" s="3" t="s">
        <v>57</v>
      </c>
      <c r="H118" s="3" t="s">
        <v>56</v>
      </c>
      <c r="I118" s="3" t="s">
        <v>57</v>
      </c>
      <c r="J118" s="3" t="s">
        <v>69</v>
      </c>
      <c r="K118" s="3" t="s">
        <v>2976</v>
      </c>
      <c r="L118" s="3" t="s">
        <v>866</v>
      </c>
      <c r="M118" s="3" t="s">
        <v>59</v>
      </c>
      <c r="N118" s="3" t="s">
        <v>60</v>
      </c>
      <c r="O118" s="3" t="s">
        <v>147</v>
      </c>
      <c r="P118" s="3" t="s">
        <v>875</v>
      </c>
      <c r="Q118" s="31">
        <v>42742</v>
      </c>
      <c r="R118" s="3" t="s">
        <v>62</v>
      </c>
      <c r="S118" s="3" t="s">
        <v>62</v>
      </c>
    </row>
    <row r="119" spans="1:19">
      <c r="A119" s="3" t="s">
        <v>865</v>
      </c>
      <c r="B119" s="31">
        <v>42741.73704378472</v>
      </c>
      <c r="C119" s="31">
        <v>42739.701388888891</v>
      </c>
      <c r="D119" s="3">
        <v>3035241465</v>
      </c>
      <c r="E119" s="3" t="s">
        <v>31</v>
      </c>
      <c r="F119" s="3" t="s">
        <v>852</v>
      </c>
      <c r="G119" s="3" t="s">
        <v>197</v>
      </c>
      <c r="H119" s="3" t="s">
        <v>850</v>
      </c>
      <c r="I119" s="3" t="s">
        <v>208</v>
      </c>
      <c r="J119" s="3" t="s">
        <v>58</v>
      </c>
      <c r="K119" s="3" t="s">
        <v>2977</v>
      </c>
      <c r="L119" s="3" t="s">
        <v>866</v>
      </c>
      <c r="M119" s="3" t="s">
        <v>70</v>
      </c>
      <c r="N119" s="3" t="s">
        <v>71</v>
      </c>
      <c r="O119" s="3" t="s">
        <v>903</v>
      </c>
      <c r="P119" s="3" t="s">
        <v>875</v>
      </c>
      <c r="Q119" s="31">
        <v>42740</v>
      </c>
      <c r="R119" s="3" t="s">
        <v>62</v>
      </c>
      <c r="S119" s="3" t="s">
        <v>3007</v>
      </c>
    </row>
    <row r="120" spans="1:19">
      <c r="A120" s="3" t="s">
        <v>868</v>
      </c>
      <c r="B120" s="31">
        <v>42741.73704378472</v>
      </c>
      <c r="C120" s="31">
        <v>42739.704861111109</v>
      </c>
      <c r="D120" s="3">
        <v>3035482677</v>
      </c>
      <c r="E120" s="3" t="s">
        <v>39</v>
      </c>
      <c r="F120" s="3" t="s">
        <v>234</v>
      </c>
      <c r="G120" s="3" t="s">
        <v>235</v>
      </c>
      <c r="H120" s="3" t="s">
        <v>234</v>
      </c>
      <c r="I120" s="3" t="s">
        <v>235</v>
      </c>
      <c r="J120" s="3" t="s">
        <v>79</v>
      </c>
      <c r="K120" s="3" t="s">
        <v>2977</v>
      </c>
      <c r="L120" s="3" t="s">
        <v>871</v>
      </c>
      <c r="M120" s="3" t="s">
        <v>84</v>
      </c>
      <c r="N120" s="3" t="s">
        <v>85</v>
      </c>
      <c r="O120" s="3" t="s">
        <v>3008</v>
      </c>
      <c r="P120" s="3" t="s">
        <v>876</v>
      </c>
      <c r="Q120" s="31">
        <v>42740</v>
      </c>
      <c r="R120" s="3" t="s">
        <v>62</v>
      </c>
      <c r="S120" s="3" t="s">
        <v>92</v>
      </c>
    </row>
    <row r="121" spans="1:19">
      <c r="A121" s="3" t="s">
        <v>868</v>
      </c>
      <c r="B121" s="31">
        <v>42741.73704378472</v>
      </c>
      <c r="C121" s="31">
        <v>42739.713888888888</v>
      </c>
      <c r="D121" s="3">
        <v>3035482880</v>
      </c>
      <c r="E121" s="3" t="s">
        <v>23</v>
      </c>
      <c r="F121" s="3" t="s">
        <v>179</v>
      </c>
      <c r="G121" s="3" t="s">
        <v>180</v>
      </c>
      <c r="H121" s="3" t="s">
        <v>179</v>
      </c>
      <c r="I121" s="3" t="s">
        <v>180</v>
      </c>
      <c r="J121" s="3" t="s">
        <v>69</v>
      </c>
      <c r="K121" s="3" t="s">
        <v>2976</v>
      </c>
      <c r="L121" s="3" t="s">
        <v>866</v>
      </c>
      <c r="M121" s="3" t="s">
        <v>59</v>
      </c>
      <c r="N121" s="3" t="s">
        <v>60</v>
      </c>
      <c r="O121" s="3" t="s">
        <v>59</v>
      </c>
      <c r="P121" s="3" t="s">
        <v>876</v>
      </c>
      <c r="Q121" s="31">
        <v>42740</v>
      </c>
      <c r="R121" s="3" t="s">
        <v>62</v>
      </c>
      <c r="S121" s="3" t="s">
        <v>62</v>
      </c>
    </row>
    <row r="122" spans="1:19">
      <c r="A122" s="3" t="s">
        <v>868</v>
      </c>
      <c r="B122" s="31">
        <v>42743.735176273149</v>
      </c>
      <c r="C122" s="31">
        <v>42741.522222222222</v>
      </c>
      <c r="D122" s="3">
        <v>3035543749</v>
      </c>
      <c r="E122" s="3" t="s">
        <v>31</v>
      </c>
      <c r="F122" s="3" t="s">
        <v>202</v>
      </c>
      <c r="G122" s="3" t="s">
        <v>203</v>
      </c>
      <c r="H122" s="3" t="s">
        <v>202</v>
      </c>
      <c r="I122" s="3" t="s">
        <v>203</v>
      </c>
      <c r="J122" s="3" t="s">
        <v>69</v>
      </c>
      <c r="K122" s="3" t="s">
        <v>2976</v>
      </c>
      <c r="L122" s="3" t="s">
        <v>866</v>
      </c>
      <c r="M122" s="3" t="s">
        <v>59</v>
      </c>
      <c r="N122" s="3" t="s">
        <v>60</v>
      </c>
      <c r="O122" s="3" t="s">
        <v>147</v>
      </c>
      <c r="P122" s="3" t="s">
        <v>875</v>
      </c>
      <c r="Q122" s="31">
        <v>42742</v>
      </c>
      <c r="R122" s="3" t="s">
        <v>62</v>
      </c>
      <c r="S122" s="3" t="s">
        <v>62</v>
      </c>
    </row>
    <row r="123" spans="1:19">
      <c r="A123" s="3" t="s">
        <v>865</v>
      </c>
      <c r="B123" s="31">
        <v>42741.73704378472</v>
      </c>
      <c r="C123" s="31">
        <v>42739.744444444441</v>
      </c>
      <c r="D123" s="3">
        <v>3035484662</v>
      </c>
      <c r="E123" s="3" t="s">
        <v>23</v>
      </c>
      <c r="F123" s="3" t="s">
        <v>154</v>
      </c>
      <c r="G123" s="3" t="s">
        <v>155</v>
      </c>
      <c r="H123" s="3" t="s">
        <v>154</v>
      </c>
      <c r="I123" s="3" t="s">
        <v>155</v>
      </c>
      <c r="J123" s="3" t="s">
        <v>79</v>
      </c>
      <c r="K123" s="3" t="s">
        <v>2976</v>
      </c>
      <c r="L123" s="3" t="s">
        <v>866</v>
      </c>
      <c r="M123" s="3" t="s">
        <v>59</v>
      </c>
      <c r="N123" s="3" t="s">
        <v>60</v>
      </c>
      <c r="O123" s="3" t="s">
        <v>3009</v>
      </c>
      <c r="P123" s="3" t="s">
        <v>876</v>
      </c>
      <c r="Q123" s="31">
        <v>42740</v>
      </c>
      <c r="R123" s="3" t="s">
        <v>62</v>
      </c>
      <c r="S123" s="3" t="s">
        <v>62</v>
      </c>
    </row>
    <row r="124" spans="1:19">
      <c r="A124" s="3" t="s">
        <v>868</v>
      </c>
      <c r="B124" s="31">
        <v>42741.73704378472</v>
      </c>
      <c r="C124" s="31">
        <v>42739.745833333334</v>
      </c>
      <c r="D124" s="3">
        <v>3035484967</v>
      </c>
      <c r="E124" s="3" t="s">
        <v>9</v>
      </c>
      <c r="F124" s="3" t="s">
        <v>109</v>
      </c>
      <c r="G124" s="3" t="s">
        <v>110</v>
      </c>
      <c r="H124" s="3" t="s">
        <v>109</v>
      </c>
      <c r="I124" s="3" t="s">
        <v>110</v>
      </c>
      <c r="J124" s="3" t="s">
        <v>69</v>
      </c>
      <c r="K124" s="3" t="s">
        <v>2976</v>
      </c>
      <c r="L124" s="3" t="s">
        <v>866</v>
      </c>
      <c r="M124" s="3" t="s">
        <v>59</v>
      </c>
      <c r="N124" s="3" t="s">
        <v>60</v>
      </c>
      <c r="O124" s="3" t="s">
        <v>3009</v>
      </c>
      <c r="P124" s="3" t="s">
        <v>876</v>
      </c>
      <c r="Q124" s="31">
        <v>42740</v>
      </c>
      <c r="R124" s="3" t="s">
        <v>62</v>
      </c>
      <c r="S124" s="3" t="s">
        <v>62</v>
      </c>
    </row>
    <row r="125" spans="1:19">
      <c r="A125" s="3" t="s">
        <v>865</v>
      </c>
      <c r="B125" s="31">
        <v>42740.737851504629</v>
      </c>
      <c r="C125" s="31">
        <v>42738.534722222219</v>
      </c>
      <c r="D125" s="3">
        <v>3035435723</v>
      </c>
      <c r="E125" s="3" t="s">
        <v>273</v>
      </c>
      <c r="F125" s="3" t="s">
        <v>261</v>
      </c>
      <c r="G125" s="3" t="s">
        <v>311</v>
      </c>
      <c r="H125" s="3" t="s">
        <v>261</v>
      </c>
      <c r="I125" s="3" t="s">
        <v>311</v>
      </c>
      <c r="J125" s="3" t="s">
        <v>144</v>
      </c>
      <c r="K125" s="3" t="s">
        <v>2977</v>
      </c>
      <c r="L125" s="3" t="s">
        <v>871</v>
      </c>
      <c r="M125" s="3" t="s">
        <v>84</v>
      </c>
      <c r="N125" s="3" t="s">
        <v>85</v>
      </c>
      <c r="O125" s="3" t="s">
        <v>233</v>
      </c>
      <c r="P125" s="3" t="s">
        <v>875</v>
      </c>
      <c r="Q125" s="31">
        <v>42744</v>
      </c>
      <c r="R125" s="3" t="s">
        <v>62</v>
      </c>
      <c r="S125" s="3" t="s">
        <v>2985</v>
      </c>
    </row>
    <row r="126" spans="1:19">
      <c r="A126" s="3" t="s">
        <v>865</v>
      </c>
      <c r="B126" s="31">
        <v>42740.737851504629</v>
      </c>
      <c r="C126" s="31">
        <v>42738.570833333331</v>
      </c>
      <c r="D126" s="3">
        <v>3035437477</v>
      </c>
      <c r="E126" s="3" t="s">
        <v>273</v>
      </c>
      <c r="F126" s="3" t="s">
        <v>258</v>
      </c>
      <c r="G126" s="3" t="s">
        <v>327</v>
      </c>
      <c r="H126" s="3" t="s">
        <v>258</v>
      </c>
      <c r="I126" s="3" t="s">
        <v>327</v>
      </c>
      <c r="J126" s="3" t="s">
        <v>69</v>
      </c>
      <c r="K126" s="3" t="s">
        <v>2977</v>
      </c>
      <c r="L126" s="3" t="s">
        <v>871</v>
      </c>
      <c r="M126" s="3" t="s">
        <v>84</v>
      </c>
      <c r="N126" s="3" t="s">
        <v>881</v>
      </c>
      <c r="O126" s="3" t="s">
        <v>936</v>
      </c>
      <c r="P126" s="3" t="s">
        <v>876</v>
      </c>
      <c r="Q126" s="31">
        <v>42746</v>
      </c>
      <c r="R126" s="3" t="s">
        <v>62</v>
      </c>
      <c r="S126" s="3" t="s">
        <v>2985</v>
      </c>
    </row>
    <row r="127" spans="1:19">
      <c r="A127" s="3" t="s">
        <v>865</v>
      </c>
      <c r="B127" s="31">
        <v>42740.737851504629</v>
      </c>
      <c r="C127" s="31">
        <v>42738.580555555556</v>
      </c>
      <c r="D127" s="3">
        <v>3035438069</v>
      </c>
      <c r="E127" s="3" t="s">
        <v>9</v>
      </c>
      <c r="F127" s="3" t="s">
        <v>111</v>
      </c>
      <c r="G127" s="3" t="s">
        <v>112</v>
      </c>
      <c r="H127" s="3" t="s">
        <v>111</v>
      </c>
      <c r="I127" s="3" t="s">
        <v>112</v>
      </c>
      <c r="J127" s="3" t="s">
        <v>69</v>
      </c>
      <c r="K127" s="3" t="s">
        <v>2976</v>
      </c>
      <c r="L127" s="3" t="s">
        <v>871</v>
      </c>
      <c r="M127" s="3" t="s">
        <v>84</v>
      </c>
      <c r="N127" s="3" t="s">
        <v>85</v>
      </c>
      <c r="O127" s="3" t="s">
        <v>3010</v>
      </c>
      <c r="P127" s="3" t="s">
        <v>875</v>
      </c>
      <c r="Q127" s="31">
        <v>42744</v>
      </c>
      <c r="R127" s="3" t="s">
        <v>62</v>
      </c>
      <c r="S127" s="3" t="s">
        <v>62</v>
      </c>
    </row>
    <row r="128" spans="1:19">
      <c r="A128" s="3" t="s">
        <v>865</v>
      </c>
      <c r="B128" s="31">
        <v>42740.737851504629</v>
      </c>
      <c r="C128" s="31">
        <v>42738.598611111112</v>
      </c>
      <c r="D128" s="3">
        <v>3035438094</v>
      </c>
      <c r="E128" s="3" t="s">
        <v>273</v>
      </c>
      <c r="F128" s="3" t="s">
        <v>261</v>
      </c>
      <c r="G128" s="3" t="s">
        <v>311</v>
      </c>
      <c r="H128" s="3" t="s">
        <v>261</v>
      </c>
      <c r="I128" s="3" t="s">
        <v>311</v>
      </c>
      <c r="J128" s="3" t="s">
        <v>98</v>
      </c>
      <c r="K128" s="3" t="s">
        <v>2977</v>
      </c>
      <c r="L128" s="3" t="s">
        <v>866</v>
      </c>
      <c r="M128" s="3" t="s">
        <v>59</v>
      </c>
      <c r="N128" s="3" t="s">
        <v>60</v>
      </c>
      <c r="O128" s="3" t="s">
        <v>59</v>
      </c>
      <c r="P128" s="3" t="s">
        <v>876</v>
      </c>
      <c r="Q128" s="31">
        <v>42746</v>
      </c>
      <c r="R128" s="3" t="s">
        <v>62</v>
      </c>
      <c r="S128" s="3" t="s">
        <v>2985</v>
      </c>
    </row>
    <row r="129" spans="1:19">
      <c r="A129" s="3" t="s">
        <v>865</v>
      </c>
      <c r="B129" s="31">
        <v>42740.737851504629</v>
      </c>
      <c r="C129" s="31">
        <v>42738.61041666667</v>
      </c>
      <c r="D129" s="3">
        <v>3035440003</v>
      </c>
      <c r="E129" s="3" t="s">
        <v>9</v>
      </c>
      <c r="F129" s="3" t="s">
        <v>133</v>
      </c>
      <c r="G129" s="3" t="s">
        <v>134</v>
      </c>
      <c r="H129" s="3" t="s">
        <v>133</v>
      </c>
      <c r="I129" s="3" t="s">
        <v>134</v>
      </c>
      <c r="J129" s="3" t="s">
        <v>69</v>
      </c>
      <c r="K129" s="3" t="s">
        <v>2976</v>
      </c>
      <c r="L129" s="3" t="s">
        <v>871</v>
      </c>
      <c r="M129" s="3" t="s">
        <v>84</v>
      </c>
      <c r="N129" s="3" t="s">
        <v>85</v>
      </c>
      <c r="O129" s="3" t="s">
        <v>86</v>
      </c>
      <c r="P129" s="3" t="s">
        <v>876</v>
      </c>
      <c r="Q129" s="31">
        <v>42746</v>
      </c>
      <c r="R129" s="3" t="s">
        <v>62</v>
      </c>
      <c r="S129" s="3" t="s">
        <v>62</v>
      </c>
    </row>
    <row r="130" spans="1:19">
      <c r="A130" s="3" t="s">
        <v>877</v>
      </c>
      <c r="B130" s="31">
        <v>42741.73704378472</v>
      </c>
      <c r="C130" s="31">
        <v>42739.811111111114</v>
      </c>
      <c r="D130" s="3">
        <v>3035271300</v>
      </c>
      <c r="E130" s="3" t="s">
        <v>23</v>
      </c>
      <c r="F130" s="3" t="s">
        <v>149</v>
      </c>
      <c r="G130" s="3" t="s">
        <v>150</v>
      </c>
      <c r="H130" s="3" t="s">
        <v>139</v>
      </c>
      <c r="I130" s="3" t="s">
        <v>140</v>
      </c>
      <c r="J130" s="3" t="s">
        <v>69</v>
      </c>
      <c r="K130" s="3" t="s">
        <v>2977</v>
      </c>
      <c r="L130" s="3" t="s">
        <v>871</v>
      </c>
      <c r="M130" s="3" t="s">
        <v>84</v>
      </c>
      <c r="N130" s="3" t="s">
        <v>85</v>
      </c>
      <c r="O130" s="3" t="s">
        <v>84</v>
      </c>
      <c r="P130" s="3" t="s">
        <v>876</v>
      </c>
      <c r="Q130" s="31">
        <v>42740</v>
      </c>
      <c r="R130" s="3" t="s">
        <v>62</v>
      </c>
      <c r="S130" s="3" t="s">
        <v>529</v>
      </c>
    </row>
    <row r="131" spans="1:19">
      <c r="A131" s="3" t="s">
        <v>877</v>
      </c>
      <c r="B131" s="31">
        <v>42741.73704378472</v>
      </c>
      <c r="C131" s="31">
        <v>42739.8125</v>
      </c>
      <c r="D131" s="3">
        <v>3035440512</v>
      </c>
      <c r="E131" s="3" t="s">
        <v>39</v>
      </c>
      <c r="F131" s="3" t="s">
        <v>240</v>
      </c>
      <c r="G131" s="3" t="s">
        <v>241</v>
      </c>
      <c r="H131" s="3" t="s">
        <v>238</v>
      </c>
      <c r="I131" s="3" t="s">
        <v>239</v>
      </c>
      <c r="J131" s="3" t="s">
        <v>58</v>
      </c>
      <c r="K131" s="3" t="s">
        <v>2977</v>
      </c>
      <c r="L131" s="3" t="s">
        <v>871</v>
      </c>
      <c r="M131" s="3" t="s">
        <v>84</v>
      </c>
      <c r="N131" s="3" t="s">
        <v>85</v>
      </c>
      <c r="O131" s="3" t="s">
        <v>233</v>
      </c>
      <c r="P131" s="3" t="s">
        <v>875</v>
      </c>
      <c r="Q131" s="31">
        <v>42740</v>
      </c>
      <c r="R131" s="3" t="s">
        <v>62</v>
      </c>
      <c r="S131" s="3" t="s">
        <v>529</v>
      </c>
    </row>
    <row r="132" spans="1:19">
      <c r="A132" s="3" t="s">
        <v>868</v>
      </c>
      <c r="B132" s="31">
        <v>42741.73704378472</v>
      </c>
      <c r="C132" s="31">
        <v>42739.818749999999</v>
      </c>
      <c r="D132" s="3">
        <v>3035365542</v>
      </c>
      <c r="E132" s="3" t="s">
        <v>23</v>
      </c>
      <c r="F132" s="3" t="s">
        <v>129</v>
      </c>
      <c r="G132" s="3" t="s">
        <v>130</v>
      </c>
      <c r="H132" s="3" t="s">
        <v>139</v>
      </c>
      <c r="I132" s="3" t="s">
        <v>140</v>
      </c>
      <c r="J132" s="3" t="s">
        <v>99</v>
      </c>
      <c r="K132" s="3" t="s">
        <v>2977</v>
      </c>
      <c r="L132" s="3" t="s">
        <v>866</v>
      </c>
      <c r="M132" s="3" t="s">
        <v>70</v>
      </c>
      <c r="N132" s="3" t="s">
        <v>75</v>
      </c>
      <c r="O132" s="3" t="s">
        <v>3011</v>
      </c>
      <c r="P132" s="3" t="s">
        <v>875</v>
      </c>
      <c r="Q132" s="31">
        <v>42740</v>
      </c>
      <c r="R132" s="3" t="s">
        <v>62</v>
      </c>
      <c r="S132" s="3" t="s">
        <v>529</v>
      </c>
    </row>
    <row r="133" spans="1:19">
      <c r="A133" s="3" t="s">
        <v>865</v>
      </c>
      <c r="B133" s="31">
        <v>42740.737851504629</v>
      </c>
      <c r="C133" s="31">
        <v>42738.62222222222</v>
      </c>
      <c r="D133" s="3">
        <v>3035440103</v>
      </c>
      <c r="E133" s="3" t="s">
        <v>23</v>
      </c>
      <c r="F133" s="3" t="s">
        <v>119</v>
      </c>
      <c r="G133" s="3" t="s">
        <v>120</v>
      </c>
      <c r="H133" s="3" t="s">
        <v>119</v>
      </c>
      <c r="I133" s="3" t="s">
        <v>120</v>
      </c>
      <c r="J133" s="3" t="s">
        <v>69</v>
      </c>
      <c r="K133" s="3" t="s">
        <v>2976</v>
      </c>
      <c r="L133" s="3" t="s">
        <v>871</v>
      </c>
      <c r="M133" s="3" t="s">
        <v>84</v>
      </c>
      <c r="N133" s="3" t="s">
        <v>85</v>
      </c>
      <c r="O133" s="3" t="s">
        <v>86</v>
      </c>
      <c r="P133" s="3" t="s">
        <v>876</v>
      </c>
      <c r="Q133" s="31">
        <v>42746</v>
      </c>
      <c r="R133" s="3" t="s">
        <v>62</v>
      </c>
      <c r="S133" s="3" t="s">
        <v>62</v>
      </c>
    </row>
    <row r="134" spans="1:19">
      <c r="A134" s="3" t="s">
        <v>865</v>
      </c>
      <c r="B134" s="31">
        <v>42740.737851504629</v>
      </c>
      <c r="C134" s="31">
        <v>42738.664583333331</v>
      </c>
      <c r="D134" s="3">
        <v>3035443163</v>
      </c>
      <c r="E134" s="3" t="s">
        <v>23</v>
      </c>
      <c r="F134" s="3" t="s">
        <v>149</v>
      </c>
      <c r="G134" s="3" t="s">
        <v>150</v>
      </c>
      <c r="H134" s="3" t="s">
        <v>149</v>
      </c>
      <c r="I134" s="3" t="s">
        <v>150</v>
      </c>
      <c r="J134" s="3" t="s">
        <v>79</v>
      </c>
      <c r="K134" s="3" t="s">
        <v>2976</v>
      </c>
      <c r="L134" s="3" t="s">
        <v>871</v>
      </c>
      <c r="M134" s="3" t="s">
        <v>84</v>
      </c>
      <c r="N134" s="3" t="s">
        <v>85</v>
      </c>
      <c r="O134" s="3" t="s">
        <v>2990</v>
      </c>
      <c r="P134" s="3" t="s">
        <v>875</v>
      </c>
      <c r="Q134" s="31">
        <v>42744</v>
      </c>
      <c r="R134" s="3" t="s">
        <v>62</v>
      </c>
      <c r="S134" s="3" t="s">
        <v>62</v>
      </c>
    </row>
    <row r="135" spans="1:19">
      <c r="A135" s="3" t="s">
        <v>865</v>
      </c>
      <c r="B135" s="31">
        <v>42740.737851504629</v>
      </c>
      <c r="C135" s="31">
        <v>42738.680555555555</v>
      </c>
      <c r="D135" s="3">
        <v>3035216165</v>
      </c>
      <c r="E135" s="3" t="s">
        <v>23</v>
      </c>
      <c r="F135" s="3" t="s">
        <v>186</v>
      </c>
      <c r="G135" s="3" t="s">
        <v>187</v>
      </c>
      <c r="H135" s="3" t="s">
        <v>139</v>
      </c>
      <c r="I135" s="3" t="s">
        <v>140</v>
      </c>
      <c r="J135" s="3" t="s">
        <v>58</v>
      </c>
      <c r="K135" s="3" t="s">
        <v>2977</v>
      </c>
      <c r="L135" s="3" t="s">
        <v>871</v>
      </c>
      <c r="M135" s="3" t="s">
        <v>84</v>
      </c>
      <c r="N135" s="3" t="s">
        <v>85</v>
      </c>
      <c r="O135" s="3" t="s">
        <v>105</v>
      </c>
      <c r="P135" s="3" t="s">
        <v>876</v>
      </c>
      <c r="Q135" s="31">
        <v>42746</v>
      </c>
      <c r="R135" s="3" t="s">
        <v>62</v>
      </c>
      <c r="S135" s="3" t="s">
        <v>529</v>
      </c>
    </row>
    <row r="136" spans="1:19">
      <c r="A136" s="3" t="s">
        <v>865</v>
      </c>
      <c r="B136" s="31">
        <v>42741.73704378472</v>
      </c>
      <c r="C136" s="31">
        <v>42739.880555555559</v>
      </c>
      <c r="D136" s="3">
        <v>3035491073</v>
      </c>
      <c r="E136" s="3" t="s">
        <v>23</v>
      </c>
      <c r="F136" s="3" t="s">
        <v>129</v>
      </c>
      <c r="G136" s="3" t="s">
        <v>130</v>
      </c>
      <c r="H136" s="3" t="s">
        <v>129</v>
      </c>
      <c r="I136" s="3" t="s">
        <v>130</v>
      </c>
      <c r="J136" s="3" t="s">
        <v>58</v>
      </c>
      <c r="K136" s="3" t="s">
        <v>2976</v>
      </c>
      <c r="L136" s="3" t="s">
        <v>866</v>
      </c>
      <c r="M136" s="3" t="s">
        <v>70</v>
      </c>
      <c r="N136" s="3" t="s">
        <v>71</v>
      </c>
      <c r="O136" s="3" t="s">
        <v>3012</v>
      </c>
      <c r="P136" s="3" t="s">
        <v>875</v>
      </c>
      <c r="Q136" s="31">
        <v>42740</v>
      </c>
      <c r="R136" s="3" t="s">
        <v>62</v>
      </c>
      <c r="S136" s="3" t="s">
        <v>62</v>
      </c>
    </row>
    <row r="137" spans="1:19">
      <c r="A137" s="3" t="s">
        <v>873</v>
      </c>
      <c r="B137" s="31">
        <v>42741.73704378472</v>
      </c>
      <c r="C137" s="31">
        <v>42739.881944444445</v>
      </c>
      <c r="D137" s="3">
        <v>3035490330</v>
      </c>
      <c r="E137" s="3" t="s">
        <v>23</v>
      </c>
      <c r="F137" s="3" t="s">
        <v>186</v>
      </c>
      <c r="G137" s="3" t="s">
        <v>187</v>
      </c>
      <c r="H137" s="3" t="s">
        <v>186</v>
      </c>
      <c r="I137" s="3" t="s">
        <v>187</v>
      </c>
      <c r="J137" s="3" t="s">
        <v>69</v>
      </c>
      <c r="K137" s="3" t="s">
        <v>2976</v>
      </c>
      <c r="L137" s="3" t="s">
        <v>866</v>
      </c>
      <c r="M137" s="3" t="s">
        <v>70</v>
      </c>
      <c r="N137" s="3" t="s">
        <v>71</v>
      </c>
      <c r="O137" s="3" t="s">
        <v>3013</v>
      </c>
      <c r="P137" s="3" t="s">
        <v>875</v>
      </c>
      <c r="Q137" s="31">
        <v>42740</v>
      </c>
      <c r="R137" s="3" t="s">
        <v>62</v>
      </c>
      <c r="S137" s="3" t="s">
        <v>62</v>
      </c>
    </row>
    <row r="138" spans="1:19">
      <c r="A138" s="3" t="s">
        <v>868</v>
      </c>
      <c r="B138" s="31">
        <v>42743.735176273149</v>
      </c>
      <c r="C138" s="31">
        <v>42741.731249999997</v>
      </c>
      <c r="D138" s="3">
        <v>3035553407</v>
      </c>
      <c r="E138" s="3" t="s">
        <v>23</v>
      </c>
      <c r="F138" s="3" t="s">
        <v>191</v>
      </c>
      <c r="G138" s="3" t="s">
        <v>192</v>
      </c>
      <c r="H138" s="3" t="s">
        <v>191</v>
      </c>
      <c r="I138" s="3" t="s">
        <v>192</v>
      </c>
      <c r="J138" s="3" t="s">
        <v>69</v>
      </c>
      <c r="K138" s="3" t="s">
        <v>2976</v>
      </c>
      <c r="L138" s="3" t="s">
        <v>866</v>
      </c>
      <c r="M138" s="3" t="s">
        <v>59</v>
      </c>
      <c r="N138" s="3" t="s">
        <v>60</v>
      </c>
      <c r="O138" s="3" t="s">
        <v>3014</v>
      </c>
      <c r="P138" s="3" t="s">
        <v>875</v>
      </c>
      <c r="Q138" s="31">
        <v>42742</v>
      </c>
      <c r="R138" s="3" t="s">
        <v>62</v>
      </c>
      <c r="S138" s="3" t="s">
        <v>62</v>
      </c>
    </row>
    <row r="139" spans="1:19">
      <c r="A139" s="3" t="s">
        <v>877</v>
      </c>
      <c r="B139" s="31">
        <v>42742.73709116898</v>
      </c>
      <c r="C139" s="31">
        <v>42740.413888888892</v>
      </c>
      <c r="D139" s="3">
        <v>3035471628</v>
      </c>
      <c r="E139" s="3" t="s">
        <v>273</v>
      </c>
      <c r="F139" s="3" t="s">
        <v>890</v>
      </c>
      <c r="G139" s="3" t="s">
        <v>891</v>
      </c>
      <c r="H139" s="3" t="s">
        <v>115</v>
      </c>
      <c r="I139" s="3" t="s">
        <v>116</v>
      </c>
      <c r="J139" s="3" t="s">
        <v>98</v>
      </c>
      <c r="K139" s="3" t="s">
        <v>2977</v>
      </c>
      <c r="L139" s="3" t="s">
        <v>871</v>
      </c>
      <c r="M139" s="3" t="s">
        <v>84</v>
      </c>
      <c r="N139" s="3" t="s">
        <v>85</v>
      </c>
      <c r="O139" s="3" t="s">
        <v>233</v>
      </c>
      <c r="P139" s="3" t="s">
        <v>875</v>
      </c>
      <c r="Q139" s="31">
        <v>42741</v>
      </c>
      <c r="R139" s="3" t="s">
        <v>62</v>
      </c>
      <c r="S139" s="3" t="s">
        <v>529</v>
      </c>
    </row>
    <row r="140" spans="1:19">
      <c r="A140" s="3" t="s">
        <v>868</v>
      </c>
      <c r="B140" s="31">
        <v>42743.735176273149</v>
      </c>
      <c r="C140" s="31">
        <v>42741.808333333334</v>
      </c>
      <c r="D140" s="3">
        <v>3035556883</v>
      </c>
      <c r="E140" s="3" t="s">
        <v>23</v>
      </c>
      <c r="F140" s="3" t="s">
        <v>129</v>
      </c>
      <c r="G140" s="3" t="s">
        <v>130</v>
      </c>
      <c r="H140" s="3" t="s">
        <v>129</v>
      </c>
      <c r="I140" s="3" t="s">
        <v>130</v>
      </c>
      <c r="J140" s="3" t="s">
        <v>69</v>
      </c>
      <c r="K140" s="3" t="s">
        <v>2976</v>
      </c>
      <c r="L140" s="3" t="s">
        <v>866</v>
      </c>
      <c r="M140" s="3" t="s">
        <v>59</v>
      </c>
      <c r="N140" s="3" t="s">
        <v>60</v>
      </c>
      <c r="O140" s="3" t="s">
        <v>147</v>
      </c>
      <c r="P140" s="3" t="s">
        <v>875</v>
      </c>
      <c r="Q140" s="31">
        <v>42742</v>
      </c>
      <c r="R140" s="3" t="s">
        <v>62</v>
      </c>
      <c r="S140" s="3" t="s">
        <v>62</v>
      </c>
    </row>
    <row r="141" spans="1:19">
      <c r="A141" s="3" t="s">
        <v>873</v>
      </c>
      <c r="B141" s="31">
        <v>42739.737655902776</v>
      </c>
      <c r="C141" s="31">
        <v>42740.419444444444</v>
      </c>
      <c r="D141" s="3">
        <v>3035406879</v>
      </c>
      <c r="E141" s="3" t="s">
        <v>31</v>
      </c>
      <c r="F141" s="3" t="s">
        <v>113</v>
      </c>
      <c r="G141" s="3" t="s">
        <v>114</v>
      </c>
      <c r="H141" s="3" t="s">
        <v>2986</v>
      </c>
      <c r="I141" s="3" t="s">
        <v>645</v>
      </c>
      <c r="J141" s="3" t="s">
        <v>58</v>
      </c>
      <c r="K141" s="3" t="s">
        <v>2977</v>
      </c>
      <c r="L141" s="3" t="s">
        <v>871</v>
      </c>
      <c r="M141" s="3" t="s">
        <v>84</v>
      </c>
      <c r="N141" s="3" t="s">
        <v>85</v>
      </c>
      <c r="O141" s="3" t="s">
        <v>233</v>
      </c>
      <c r="P141" s="3" t="s">
        <v>875</v>
      </c>
      <c r="Q141" s="31">
        <v>42745</v>
      </c>
      <c r="R141" s="3" t="s">
        <v>62</v>
      </c>
      <c r="S141" s="3" t="s">
        <v>65</v>
      </c>
    </row>
    <row r="142" spans="1:19">
      <c r="A142" s="3" t="s">
        <v>868</v>
      </c>
      <c r="B142" s="31">
        <v>42741.737065358793</v>
      </c>
      <c r="C142" s="31">
        <v>42740.420138888891</v>
      </c>
      <c r="D142" s="3">
        <v>3035435590</v>
      </c>
      <c r="E142" s="3" t="s">
        <v>31</v>
      </c>
      <c r="F142" s="3" t="s">
        <v>852</v>
      </c>
      <c r="G142" s="3" t="s">
        <v>197</v>
      </c>
      <c r="H142" s="3" t="s">
        <v>2986</v>
      </c>
      <c r="I142" s="3" t="s">
        <v>645</v>
      </c>
      <c r="J142" s="3" t="s">
        <v>79</v>
      </c>
      <c r="K142" s="3" t="s">
        <v>2977</v>
      </c>
      <c r="L142" s="3" t="s">
        <v>871</v>
      </c>
      <c r="M142" s="3" t="s">
        <v>65</v>
      </c>
      <c r="N142" s="3" t="s">
        <v>66</v>
      </c>
      <c r="O142" s="3" t="s">
        <v>65</v>
      </c>
      <c r="P142" s="3" t="s">
        <v>875</v>
      </c>
      <c r="Q142" s="31">
        <v>42741</v>
      </c>
      <c r="R142" s="3" t="s">
        <v>62</v>
      </c>
      <c r="S142" s="3" t="s">
        <v>65</v>
      </c>
    </row>
    <row r="143" spans="1:19">
      <c r="A143" s="3" t="s">
        <v>868</v>
      </c>
      <c r="B143" s="31">
        <v>42742.73709116898</v>
      </c>
      <c r="C143" s="31">
        <v>42740.425694444442</v>
      </c>
      <c r="D143" s="3">
        <v>3035506352</v>
      </c>
      <c r="E143" s="3" t="s">
        <v>9</v>
      </c>
      <c r="F143" s="3" t="s">
        <v>80</v>
      </c>
      <c r="G143" s="3" t="s">
        <v>81</v>
      </c>
      <c r="H143" s="3" t="s">
        <v>80</v>
      </c>
      <c r="I143" s="3" t="s">
        <v>81</v>
      </c>
      <c r="J143" s="3" t="s">
        <v>69</v>
      </c>
      <c r="K143" s="3" t="s">
        <v>2976</v>
      </c>
      <c r="L143" s="3" t="s">
        <v>871</v>
      </c>
      <c r="M143" s="3" t="s">
        <v>84</v>
      </c>
      <c r="N143" s="3" t="s">
        <v>85</v>
      </c>
      <c r="O143" s="3" t="s">
        <v>322</v>
      </c>
      <c r="P143" s="3" t="s">
        <v>875</v>
      </c>
      <c r="Q143" s="31">
        <v>42741</v>
      </c>
      <c r="R143" s="3" t="s">
        <v>62</v>
      </c>
      <c r="S143" s="3" t="s">
        <v>62</v>
      </c>
    </row>
    <row r="144" spans="1:19">
      <c r="A144" s="3" t="s">
        <v>868</v>
      </c>
      <c r="B144" s="31">
        <v>42743.735176273149</v>
      </c>
      <c r="C144" s="31">
        <v>42741.897222222222</v>
      </c>
      <c r="D144" s="3">
        <v>3035560442</v>
      </c>
      <c r="E144" s="3" t="s">
        <v>23</v>
      </c>
      <c r="F144" s="3" t="s">
        <v>131</v>
      </c>
      <c r="G144" s="3" t="s">
        <v>132</v>
      </c>
      <c r="H144" s="3" t="s">
        <v>131</v>
      </c>
      <c r="I144" s="3" t="s">
        <v>132</v>
      </c>
      <c r="J144" s="3" t="s">
        <v>69</v>
      </c>
      <c r="K144" s="3" t="s">
        <v>2976</v>
      </c>
      <c r="L144" s="3" t="s">
        <v>866</v>
      </c>
      <c r="M144" s="3" t="s">
        <v>59</v>
      </c>
      <c r="N144" s="3" t="s">
        <v>60</v>
      </c>
      <c r="O144" s="3" t="s">
        <v>147</v>
      </c>
      <c r="P144" s="3" t="s">
        <v>875</v>
      </c>
      <c r="Q144" s="31">
        <v>42742</v>
      </c>
      <c r="R144" s="3" t="s">
        <v>62</v>
      </c>
      <c r="S144" s="3" t="s">
        <v>62</v>
      </c>
    </row>
    <row r="145" spans="1:19">
      <c r="A145" s="3" t="s">
        <v>868</v>
      </c>
      <c r="B145" s="31">
        <v>42743.735176273149</v>
      </c>
      <c r="C145" s="31">
        <v>42741.718055555553</v>
      </c>
      <c r="D145" s="3">
        <v>3035552971</v>
      </c>
      <c r="E145" s="3" t="s">
        <v>39</v>
      </c>
      <c r="F145" s="3" t="s">
        <v>244</v>
      </c>
      <c r="G145" s="3" t="s">
        <v>245</v>
      </c>
      <c r="H145" s="3" t="s">
        <v>244</v>
      </c>
      <c r="I145" s="3" t="s">
        <v>245</v>
      </c>
      <c r="J145" s="3" t="s">
        <v>69</v>
      </c>
      <c r="K145" s="3" t="s">
        <v>2977</v>
      </c>
      <c r="L145" s="3" t="s">
        <v>871</v>
      </c>
      <c r="M145" s="3" t="s">
        <v>84</v>
      </c>
      <c r="N145" s="3" t="s">
        <v>85</v>
      </c>
      <c r="O145" s="3" t="s">
        <v>322</v>
      </c>
      <c r="P145" s="3" t="s">
        <v>875</v>
      </c>
      <c r="Q145" s="31">
        <v>42744</v>
      </c>
      <c r="R145" s="3" t="s">
        <v>62</v>
      </c>
      <c r="S145" s="3" t="s">
        <v>92</v>
      </c>
    </row>
    <row r="146" spans="1:19">
      <c r="A146" s="3" t="s">
        <v>868</v>
      </c>
      <c r="B146" s="31">
        <v>42742.73709116898</v>
      </c>
      <c r="C146" s="31">
        <v>42740.475694444445</v>
      </c>
      <c r="D146" s="3">
        <v>3035508375</v>
      </c>
      <c r="E146" s="3" t="s">
        <v>23</v>
      </c>
      <c r="F146" s="3" t="s">
        <v>160</v>
      </c>
      <c r="G146" s="3" t="s">
        <v>161</v>
      </c>
      <c r="H146" s="3" t="s">
        <v>160</v>
      </c>
      <c r="I146" s="3" t="s">
        <v>161</v>
      </c>
      <c r="J146" s="3" t="s">
        <v>69</v>
      </c>
      <c r="K146" s="3" t="s">
        <v>2976</v>
      </c>
      <c r="L146" s="3" t="s">
        <v>871</v>
      </c>
      <c r="M146" s="3" t="s">
        <v>84</v>
      </c>
      <c r="N146" s="3" t="s">
        <v>85</v>
      </c>
      <c r="O146" s="3" t="s">
        <v>233</v>
      </c>
      <c r="P146" s="3" t="s">
        <v>875</v>
      </c>
      <c r="Q146" s="31">
        <v>42741</v>
      </c>
      <c r="R146" s="3" t="s">
        <v>62</v>
      </c>
      <c r="S146" s="3" t="s">
        <v>62</v>
      </c>
    </row>
    <row r="147" spans="1:19">
      <c r="A147" s="3" t="s">
        <v>865</v>
      </c>
      <c r="B147" s="31">
        <v>42742.73709116898</v>
      </c>
      <c r="C147" s="31">
        <v>42740.507638888892</v>
      </c>
      <c r="D147" s="3">
        <v>3035509495</v>
      </c>
      <c r="E147" s="3" t="s">
        <v>9</v>
      </c>
      <c r="F147" s="3" t="s">
        <v>158</v>
      </c>
      <c r="G147" s="3" t="s">
        <v>159</v>
      </c>
      <c r="H147" s="3" t="s">
        <v>158</v>
      </c>
      <c r="I147" s="3" t="s">
        <v>159</v>
      </c>
      <c r="J147" s="3" t="s">
        <v>69</v>
      </c>
      <c r="K147" s="3" t="s">
        <v>2976</v>
      </c>
      <c r="L147" s="3" t="s">
        <v>866</v>
      </c>
      <c r="M147" s="3" t="s">
        <v>59</v>
      </c>
      <c r="N147" s="3" t="s">
        <v>60</v>
      </c>
      <c r="O147" s="3" t="s">
        <v>59</v>
      </c>
      <c r="P147" s="3" t="s">
        <v>876</v>
      </c>
      <c r="Q147" s="31">
        <v>42746</v>
      </c>
      <c r="R147" s="3" t="s">
        <v>62</v>
      </c>
      <c r="S147" s="3" t="s">
        <v>62</v>
      </c>
    </row>
    <row r="148" spans="1:19">
      <c r="A148" s="3" t="s">
        <v>865</v>
      </c>
      <c r="B148" s="31">
        <v>42740.737851504629</v>
      </c>
      <c r="C148" s="31">
        <v>42738.689583333333</v>
      </c>
      <c r="D148" s="3">
        <v>3035444421</v>
      </c>
      <c r="E148" s="3" t="s">
        <v>31</v>
      </c>
      <c r="F148" s="3" t="s">
        <v>852</v>
      </c>
      <c r="G148" s="3" t="s">
        <v>197</v>
      </c>
      <c r="H148" s="3" t="s">
        <v>852</v>
      </c>
      <c r="I148" s="3" t="s">
        <v>197</v>
      </c>
      <c r="J148" s="3" t="s">
        <v>69</v>
      </c>
      <c r="K148" s="3" t="s">
        <v>2976</v>
      </c>
      <c r="L148" s="3" t="s">
        <v>871</v>
      </c>
      <c r="M148" s="3" t="s">
        <v>84</v>
      </c>
      <c r="N148" s="3" t="s">
        <v>85</v>
      </c>
      <c r="O148" s="3" t="s">
        <v>86</v>
      </c>
      <c r="P148" s="3" t="s">
        <v>876</v>
      </c>
      <c r="Q148" s="31">
        <v>42746</v>
      </c>
      <c r="R148" s="3" t="s">
        <v>62</v>
      </c>
      <c r="S148" s="3" t="s">
        <v>62</v>
      </c>
    </row>
    <row r="149" spans="1:19">
      <c r="A149" s="3" t="s">
        <v>868</v>
      </c>
      <c r="B149" s="31">
        <v>42740.737851504629</v>
      </c>
      <c r="C149" s="31">
        <v>42738.708333333336</v>
      </c>
      <c r="D149" s="3">
        <v>3035445402</v>
      </c>
      <c r="E149" s="3" t="s">
        <v>23</v>
      </c>
      <c r="F149" s="3" t="s">
        <v>149</v>
      </c>
      <c r="G149" s="3" t="s">
        <v>150</v>
      </c>
      <c r="H149" s="3" t="s">
        <v>149</v>
      </c>
      <c r="I149" s="3" t="s">
        <v>150</v>
      </c>
      <c r="J149" s="3" t="s">
        <v>69</v>
      </c>
      <c r="K149" s="3" t="s">
        <v>2976</v>
      </c>
      <c r="L149" s="3" t="s">
        <v>871</v>
      </c>
      <c r="M149" s="3" t="s">
        <v>84</v>
      </c>
      <c r="N149" s="3" t="s">
        <v>85</v>
      </c>
      <c r="O149" s="3" t="s">
        <v>3015</v>
      </c>
      <c r="P149" s="3" t="s">
        <v>875</v>
      </c>
      <c r="Q149" s="31">
        <v>42744</v>
      </c>
      <c r="R149" s="3" t="s">
        <v>62</v>
      </c>
      <c r="S149" s="3" t="s">
        <v>62</v>
      </c>
    </row>
    <row r="150" spans="1:19">
      <c r="A150" s="3" t="s">
        <v>865</v>
      </c>
      <c r="B150" s="31">
        <v>42740.737851504629</v>
      </c>
      <c r="C150" s="31">
        <v>42738.716666666667</v>
      </c>
      <c r="D150" s="3">
        <v>3035445828</v>
      </c>
      <c r="E150" s="3" t="s">
        <v>23</v>
      </c>
      <c r="F150" s="3" t="s">
        <v>186</v>
      </c>
      <c r="G150" s="3" t="s">
        <v>187</v>
      </c>
      <c r="H150" s="3" t="s">
        <v>186</v>
      </c>
      <c r="I150" s="3" t="s">
        <v>187</v>
      </c>
      <c r="J150" s="3" t="s">
        <v>58</v>
      </c>
      <c r="K150" s="3" t="s">
        <v>2976</v>
      </c>
      <c r="L150" s="3" t="s">
        <v>871</v>
      </c>
      <c r="M150" s="3" t="s">
        <v>84</v>
      </c>
      <c r="N150" s="3" t="s">
        <v>85</v>
      </c>
      <c r="O150" s="3" t="s">
        <v>86</v>
      </c>
      <c r="P150" s="3" t="s">
        <v>876</v>
      </c>
      <c r="Q150" s="31">
        <v>42746</v>
      </c>
      <c r="R150" s="3" t="s">
        <v>62</v>
      </c>
      <c r="S150" s="3" t="s">
        <v>62</v>
      </c>
    </row>
    <row r="151" spans="1:19">
      <c r="A151" s="3" t="s">
        <v>865</v>
      </c>
      <c r="B151" s="31">
        <v>42742.73709116898</v>
      </c>
      <c r="C151" s="31">
        <v>42740.554166666669</v>
      </c>
      <c r="D151" s="3">
        <v>3035298878</v>
      </c>
      <c r="E151" s="3" t="s">
        <v>273</v>
      </c>
      <c r="F151" s="3" t="s">
        <v>269</v>
      </c>
      <c r="G151" s="3" t="s">
        <v>270</v>
      </c>
      <c r="H151" s="3" t="s">
        <v>115</v>
      </c>
      <c r="I151" s="3" t="s">
        <v>116</v>
      </c>
      <c r="J151" s="3" t="s">
        <v>144</v>
      </c>
      <c r="K151" s="3" t="s">
        <v>2977</v>
      </c>
      <c r="L151" s="3" t="s">
        <v>871</v>
      </c>
      <c r="M151" s="3" t="s">
        <v>84</v>
      </c>
      <c r="N151" s="3" t="s">
        <v>85</v>
      </c>
      <c r="O151" s="3" t="s">
        <v>3016</v>
      </c>
      <c r="P151" s="3" t="s">
        <v>875</v>
      </c>
      <c r="Q151" s="31">
        <v>42741</v>
      </c>
      <c r="R151" s="3" t="s">
        <v>62</v>
      </c>
      <c r="S151" s="3" t="s">
        <v>529</v>
      </c>
    </row>
    <row r="152" spans="1:19">
      <c r="A152" s="3" t="s">
        <v>896</v>
      </c>
      <c r="B152" s="31">
        <v>42742.73709116898</v>
      </c>
      <c r="C152" s="31">
        <v>42740.563194444447</v>
      </c>
      <c r="D152" s="3">
        <v>3035476159</v>
      </c>
      <c r="E152" s="3" t="s">
        <v>9</v>
      </c>
      <c r="F152" s="3" t="s">
        <v>111</v>
      </c>
      <c r="G152" s="3" t="s">
        <v>112</v>
      </c>
      <c r="H152" s="3" t="s">
        <v>82</v>
      </c>
      <c r="I152" s="3" t="s">
        <v>83</v>
      </c>
      <c r="J152" s="3" t="s">
        <v>69</v>
      </c>
      <c r="K152" s="3" t="s">
        <v>2976</v>
      </c>
      <c r="L152" s="3" t="s">
        <v>871</v>
      </c>
      <c r="M152" s="3" t="s">
        <v>901</v>
      </c>
      <c r="N152" s="3" t="s">
        <v>323</v>
      </c>
      <c r="O152" s="3" t="s">
        <v>902</v>
      </c>
      <c r="P152" s="3" t="s">
        <v>875</v>
      </c>
      <c r="Q152" s="31">
        <v>42741</v>
      </c>
      <c r="R152" s="3" t="s">
        <v>62</v>
      </c>
      <c r="S152" s="3" t="s">
        <v>62</v>
      </c>
    </row>
    <row r="153" spans="1:19">
      <c r="A153" s="3" t="s">
        <v>865</v>
      </c>
      <c r="B153" s="31">
        <v>42734.736929016202</v>
      </c>
      <c r="C153" s="31">
        <v>42738.824999999997</v>
      </c>
      <c r="D153" s="3">
        <v>3034989763</v>
      </c>
      <c r="E153" s="3" t="s">
        <v>23</v>
      </c>
      <c r="F153" s="3" t="s">
        <v>186</v>
      </c>
      <c r="G153" s="3" t="s">
        <v>187</v>
      </c>
      <c r="H153" s="3" t="s">
        <v>139</v>
      </c>
      <c r="I153" s="3" t="s">
        <v>140</v>
      </c>
      <c r="J153" s="3" t="s">
        <v>58</v>
      </c>
      <c r="K153" s="3" t="s">
        <v>2977</v>
      </c>
      <c r="L153" s="3" t="s">
        <v>871</v>
      </c>
      <c r="M153" s="3" t="s">
        <v>84</v>
      </c>
      <c r="N153" s="3" t="s">
        <v>85</v>
      </c>
      <c r="O153" s="3" t="s">
        <v>3017</v>
      </c>
      <c r="P153" s="3" t="s">
        <v>875</v>
      </c>
      <c r="Q153" s="31">
        <v>42744</v>
      </c>
      <c r="R153" s="3" t="s">
        <v>62</v>
      </c>
      <c r="S153" s="3" t="s">
        <v>529</v>
      </c>
    </row>
    <row r="154" spans="1:19">
      <c r="A154" s="3" t="s">
        <v>865</v>
      </c>
      <c r="B154" s="31">
        <v>42740.737851504629</v>
      </c>
      <c r="C154" s="31">
        <v>42738.691666666666</v>
      </c>
      <c r="D154" s="3">
        <v>3035333619</v>
      </c>
      <c r="E154" s="3" t="s">
        <v>273</v>
      </c>
      <c r="F154" s="3" t="s">
        <v>269</v>
      </c>
      <c r="G154" s="3" t="s">
        <v>270</v>
      </c>
      <c r="H154" s="3" t="s">
        <v>115</v>
      </c>
      <c r="I154" s="3" t="s">
        <v>116</v>
      </c>
      <c r="J154" s="3" t="s">
        <v>144</v>
      </c>
      <c r="K154" s="3" t="s">
        <v>2977</v>
      </c>
      <c r="L154" s="3" t="s">
        <v>871</v>
      </c>
      <c r="M154" s="3" t="s">
        <v>84</v>
      </c>
      <c r="N154" s="3" t="s">
        <v>85</v>
      </c>
      <c r="O154" s="3" t="s">
        <v>911</v>
      </c>
      <c r="P154" s="3" t="s">
        <v>875</v>
      </c>
      <c r="Q154" s="31">
        <v>42744</v>
      </c>
      <c r="R154" s="3" t="s">
        <v>62</v>
      </c>
      <c r="S154" s="3" t="s">
        <v>529</v>
      </c>
    </row>
    <row r="155" spans="1:19">
      <c r="A155" s="3" t="s">
        <v>865</v>
      </c>
      <c r="B155" s="31">
        <v>42741.73704378472</v>
      </c>
      <c r="C155" s="31">
        <v>42739.390277777777</v>
      </c>
      <c r="D155" s="3">
        <v>3035468592</v>
      </c>
      <c r="E155" s="3" t="s">
        <v>9</v>
      </c>
      <c r="F155" s="3" t="s">
        <v>133</v>
      </c>
      <c r="G155" s="3" t="s">
        <v>134</v>
      </c>
      <c r="H155" s="3" t="s">
        <v>133</v>
      </c>
      <c r="I155" s="3" t="s">
        <v>134</v>
      </c>
      <c r="J155" s="3" t="s">
        <v>98</v>
      </c>
      <c r="K155" s="3" t="s">
        <v>2976</v>
      </c>
      <c r="L155" s="3" t="s">
        <v>871</v>
      </c>
      <c r="M155" s="3" t="s">
        <v>84</v>
      </c>
      <c r="N155" s="3" t="s">
        <v>85</v>
      </c>
      <c r="O155" s="3" t="s">
        <v>233</v>
      </c>
      <c r="P155" s="3" t="s">
        <v>875</v>
      </c>
      <c r="Q155" s="31">
        <v>42744</v>
      </c>
      <c r="R155" s="3" t="s">
        <v>62</v>
      </c>
      <c r="S155" s="3" t="s">
        <v>62</v>
      </c>
    </row>
    <row r="156" spans="1:19">
      <c r="A156" s="3" t="s">
        <v>865</v>
      </c>
      <c r="B156" s="31">
        <v>42741.73704378472</v>
      </c>
      <c r="C156" s="31">
        <v>42739.415972222225</v>
      </c>
      <c r="D156" s="3">
        <v>3035469263</v>
      </c>
      <c r="E156" s="3" t="s">
        <v>9</v>
      </c>
      <c r="F156" s="3" t="s">
        <v>133</v>
      </c>
      <c r="G156" s="3" t="s">
        <v>134</v>
      </c>
      <c r="H156" s="3" t="s">
        <v>133</v>
      </c>
      <c r="I156" s="3" t="s">
        <v>134</v>
      </c>
      <c r="J156" s="3" t="s">
        <v>69</v>
      </c>
      <c r="K156" s="3" t="s">
        <v>2976</v>
      </c>
      <c r="L156" s="3" t="s">
        <v>866</v>
      </c>
      <c r="M156" s="3" t="s">
        <v>70</v>
      </c>
      <c r="N156" s="3" t="s">
        <v>71</v>
      </c>
      <c r="O156" s="3" t="s">
        <v>930</v>
      </c>
      <c r="P156" s="3" t="s">
        <v>876</v>
      </c>
      <c r="Q156" s="31">
        <v>42746</v>
      </c>
      <c r="R156" s="3" t="s">
        <v>62</v>
      </c>
      <c r="S156" s="3" t="s">
        <v>62</v>
      </c>
    </row>
    <row r="157" spans="1:19">
      <c r="A157" s="3" t="s">
        <v>865</v>
      </c>
      <c r="B157" s="31">
        <v>42733.736311956018</v>
      </c>
      <c r="C157" s="31">
        <v>42739.484722222223</v>
      </c>
      <c r="D157" s="3">
        <v>3034947683</v>
      </c>
      <c r="E157" s="3" t="s">
        <v>2978</v>
      </c>
      <c r="F157" s="3" t="s">
        <v>256</v>
      </c>
      <c r="G157" s="3" t="s">
        <v>879</v>
      </c>
      <c r="H157" s="3" t="s">
        <v>857</v>
      </c>
      <c r="I157" s="3" t="s">
        <v>934</v>
      </c>
      <c r="J157" s="3" t="s">
        <v>3018</v>
      </c>
      <c r="K157" s="3" t="s">
        <v>2977</v>
      </c>
      <c r="L157" s="3" t="s">
        <v>871</v>
      </c>
      <c r="M157" s="3" t="s">
        <v>84</v>
      </c>
      <c r="N157" s="3" t="s">
        <v>85</v>
      </c>
      <c r="O157" s="3" t="s">
        <v>233</v>
      </c>
      <c r="P157" s="3" t="s">
        <v>875</v>
      </c>
      <c r="Q157" s="31">
        <v>42744</v>
      </c>
      <c r="R157" s="3" t="s">
        <v>2143</v>
      </c>
      <c r="S157" s="3" t="s">
        <v>3019</v>
      </c>
    </row>
    <row r="158" spans="1:19">
      <c r="A158" s="3" t="s">
        <v>865</v>
      </c>
      <c r="B158" s="31">
        <v>42742.73709116898</v>
      </c>
      <c r="C158" s="31">
        <v>42740.607638888891</v>
      </c>
      <c r="D158" s="3">
        <v>3035513271</v>
      </c>
      <c r="E158" s="3" t="s">
        <v>273</v>
      </c>
      <c r="F158" s="3" t="s">
        <v>258</v>
      </c>
      <c r="G158" s="3" t="s">
        <v>327</v>
      </c>
      <c r="H158" s="3" t="s">
        <v>153</v>
      </c>
      <c r="I158" s="3" t="s">
        <v>892</v>
      </c>
      <c r="J158" s="3" t="s">
        <v>98</v>
      </c>
      <c r="K158" s="3" t="s">
        <v>2977</v>
      </c>
      <c r="L158" s="3" t="s">
        <v>866</v>
      </c>
      <c r="M158" s="3" t="s">
        <v>59</v>
      </c>
      <c r="N158" s="3" t="s">
        <v>60</v>
      </c>
      <c r="O158" s="3" t="s">
        <v>147</v>
      </c>
      <c r="P158" s="3" t="s">
        <v>875</v>
      </c>
      <c r="Q158" s="31">
        <v>42751</v>
      </c>
      <c r="R158" s="3" t="s">
        <v>62</v>
      </c>
      <c r="S158" s="3" t="s">
        <v>2985</v>
      </c>
    </row>
    <row r="159" spans="1:19">
      <c r="A159" s="3" t="s">
        <v>877</v>
      </c>
      <c r="B159" s="31">
        <v>42742.73709116898</v>
      </c>
      <c r="C159" s="31">
        <v>42740.616666666669</v>
      </c>
      <c r="D159" s="3">
        <v>3035514870</v>
      </c>
      <c r="E159" s="3" t="s">
        <v>9</v>
      </c>
      <c r="F159" s="3" t="s">
        <v>133</v>
      </c>
      <c r="G159" s="3" t="s">
        <v>134</v>
      </c>
      <c r="H159" s="3" t="s">
        <v>133</v>
      </c>
      <c r="I159" s="3" t="s">
        <v>134</v>
      </c>
      <c r="J159" s="3" t="s">
        <v>97</v>
      </c>
      <c r="K159" s="3" t="s">
        <v>2976</v>
      </c>
      <c r="L159" s="3" t="s">
        <v>871</v>
      </c>
      <c r="M159" s="3" t="s">
        <v>84</v>
      </c>
      <c r="N159" s="3" t="s">
        <v>85</v>
      </c>
      <c r="O159" s="3" t="s">
        <v>233</v>
      </c>
      <c r="P159" s="3" t="s">
        <v>875</v>
      </c>
      <c r="Q159" s="31">
        <v>42741</v>
      </c>
      <c r="R159" s="3" t="s">
        <v>62</v>
      </c>
      <c r="S159" s="3" t="s">
        <v>62</v>
      </c>
    </row>
    <row r="160" spans="1:19">
      <c r="A160" s="3" t="s">
        <v>868</v>
      </c>
      <c r="B160" s="31">
        <v>42743.735176273149</v>
      </c>
      <c r="C160" s="31">
        <v>42741.74722222222</v>
      </c>
      <c r="D160" s="3">
        <v>3035554086</v>
      </c>
      <c r="E160" s="3" t="s">
        <v>273</v>
      </c>
      <c r="F160" s="3" t="s">
        <v>854</v>
      </c>
      <c r="G160" s="3" t="s">
        <v>846</v>
      </c>
      <c r="H160" s="3" t="s">
        <v>854</v>
      </c>
      <c r="I160" s="3" t="s">
        <v>846</v>
      </c>
      <c r="J160" s="3" t="s">
        <v>98</v>
      </c>
      <c r="K160" s="3" t="s">
        <v>2977</v>
      </c>
      <c r="L160" s="3" t="s">
        <v>871</v>
      </c>
      <c r="M160" s="3" t="s">
        <v>844</v>
      </c>
      <c r="N160" s="3" t="s">
        <v>845</v>
      </c>
      <c r="O160" s="3" t="s">
        <v>882</v>
      </c>
      <c r="P160" s="3" t="s">
        <v>875</v>
      </c>
      <c r="Q160" s="31">
        <v>42744</v>
      </c>
      <c r="R160" s="3" t="s">
        <v>62</v>
      </c>
      <c r="S160" s="3" t="s">
        <v>2985</v>
      </c>
    </row>
    <row r="161" spans="1:19">
      <c r="A161" s="3" t="s">
        <v>868</v>
      </c>
      <c r="B161" s="31">
        <v>42742.73709116898</v>
      </c>
      <c r="C161" s="31">
        <v>42740.64166666667</v>
      </c>
      <c r="D161" s="3">
        <v>3035511643</v>
      </c>
      <c r="E161" s="3" t="s">
        <v>273</v>
      </c>
      <c r="F161" s="3" t="s">
        <v>259</v>
      </c>
      <c r="G161" s="3" t="s">
        <v>260</v>
      </c>
      <c r="H161" s="3" t="s">
        <v>259</v>
      </c>
      <c r="I161" s="3" t="s">
        <v>260</v>
      </c>
      <c r="J161" s="3" t="s">
        <v>144</v>
      </c>
      <c r="K161" s="3" t="s">
        <v>2977</v>
      </c>
      <c r="L161" s="3" t="s">
        <v>866</v>
      </c>
      <c r="M161" s="3" t="s">
        <v>59</v>
      </c>
      <c r="N161" s="3" t="s">
        <v>60</v>
      </c>
      <c r="O161" s="3" t="s">
        <v>922</v>
      </c>
      <c r="P161" s="3" t="s">
        <v>876</v>
      </c>
      <c r="Q161" s="31">
        <v>42742</v>
      </c>
      <c r="R161" s="3" t="s">
        <v>62</v>
      </c>
      <c r="S161" s="3" t="s">
        <v>2985</v>
      </c>
    </row>
    <row r="162" spans="1:19">
      <c r="A162" s="3" t="s">
        <v>865</v>
      </c>
      <c r="B162" s="31">
        <v>42742.73709116898</v>
      </c>
      <c r="C162" s="31">
        <v>42740.654166666667</v>
      </c>
      <c r="D162" s="3">
        <v>3035472293</v>
      </c>
      <c r="E162" s="3" t="s">
        <v>23</v>
      </c>
      <c r="F162" s="3" t="s">
        <v>160</v>
      </c>
      <c r="G162" s="3" t="s">
        <v>161</v>
      </c>
      <c r="H162" s="3" t="s">
        <v>139</v>
      </c>
      <c r="I162" s="3" t="s">
        <v>140</v>
      </c>
      <c r="J162" s="3" t="s">
        <v>98</v>
      </c>
      <c r="K162" s="3" t="s">
        <v>2977</v>
      </c>
      <c r="L162" s="3" t="s">
        <v>866</v>
      </c>
      <c r="M162" s="3" t="s">
        <v>70</v>
      </c>
      <c r="N162" s="3" t="s">
        <v>71</v>
      </c>
      <c r="O162" s="3" t="s">
        <v>851</v>
      </c>
      <c r="P162" s="3" t="s">
        <v>875</v>
      </c>
      <c r="Q162" s="31">
        <v>42751</v>
      </c>
      <c r="R162" s="3" t="s">
        <v>62</v>
      </c>
      <c r="S162" s="3" t="s">
        <v>529</v>
      </c>
    </row>
    <row r="163" spans="1:19">
      <c r="A163" s="3" t="s">
        <v>865</v>
      </c>
      <c r="B163" s="31">
        <v>42742.73709116898</v>
      </c>
      <c r="C163" s="31">
        <v>42740.669444444444</v>
      </c>
      <c r="D163" s="3">
        <v>3035517801</v>
      </c>
      <c r="E163" s="3" t="s">
        <v>31</v>
      </c>
      <c r="F163" s="3" t="s">
        <v>113</v>
      </c>
      <c r="G163" s="3" t="s">
        <v>114</v>
      </c>
      <c r="H163" s="3" t="s">
        <v>113</v>
      </c>
      <c r="I163" s="3" t="s">
        <v>114</v>
      </c>
      <c r="J163" s="3" t="s">
        <v>69</v>
      </c>
      <c r="K163" s="3" t="s">
        <v>2976</v>
      </c>
      <c r="L163" s="3" t="s">
        <v>871</v>
      </c>
      <c r="M163" s="3" t="s">
        <v>84</v>
      </c>
      <c r="N163" s="3" t="s">
        <v>85</v>
      </c>
      <c r="O163" s="3" t="s">
        <v>322</v>
      </c>
      <c r="P163" s="3" t="s">
        <v>875</v>
      </c>
      <c r="Q163" s="31">
        <v>42751</v>
      </c>
      <c r="R163" s="3" t="s">
        <v>62</v>
      </c>
      <c r="S163" s="3" t="s">
        <v>62</v>
      </c>
    </row>
    <row r="164" spans="1:19">
      <c r="A164" s="3" t="s">
        <v>868</v>
      </c>
      <c r="B164" s="31">
        <v>42742.73709116898</v>
      </c>
      <c r="C164" s="31">
        <v>42740.679861111108</v>
      </c>
      <c r="D164" s="3">
        <v>3035518314</v>
      </c>
      <c r="E164" s="3" t="s">
        <v>23</v>
      </c>
      <c r="F164" s="3" t="s">
        <v>186</v>
      </c>
      <c r="G164" s="3" t="s">
        <v>187</v>
      </c>
      <c r="H164" s="3" t="s">
        <v>186</v>
      </c>
      <c r="I164" s="3" t="s">
        <v>187</v>
      </c>
      <c r="J164" s="3" t="s">
        <v>69</v>
      </c>
      <c r="K164" s="3" t="s">
        <v>2976</v>
      </c>
      <c r="L164" s="3" t="s">
        <v>871</v>
      </c>
      <c r="M164" s="3" t="s">
        <v>84</v>
      </c>
      <c r="N164" s="3" t="s">
        <v>85</v>
      </c>
      <c r="O164" s="3" t="s">
        <v>233</v>
      </c>
      <c r="P164" s="3" t="s">
        <v>875</v>
      </c>
      <c r="Q164" s="31">
        <v>42741</v>
      </c>
      <c r="R164" s="3" t="s">
        <v>62</v>
      </c>
      <c r="S164" s="3" t="s">
        <v>62</v>
      </c>
    </row>
    <row r="165" spans="1:19">
      <c r="A165" s="3" t="s">
        <v>868</v>
      </c>
      <c r="B165" s="31">
        <v>42742.73709116898</v>
      </c>
      <c r="C165" s="31">
        <v>42740.710416666669</v>
      </c>
      <c r="D165" s="3">
        <v>3035519950</v>
      </c>
      <c r="E165" s="3" t="s">
        <v>9</v>
      </c>
      <c r="F165" s="3" t="s">
        <v>67</v>
      </c>
      <c r="G165" s="3" t="s">
        <v>68</v>
      </c>
      <c r="H165" s="3" t="s">
        <v>67</v>
      </c>
      <c r="I165" s="3" t="s">
        <v>68</v>
      </c>
      <c r="J165" s="3" t="s">
        <v>69</v>
      </c>
      <c r="K165" s="3" t="s">
        <v>2976</v>
      </c>
      <c r="L165" s="3" t="s">
        <v>871</v>
      </c>
      <c r="M165" s="3" t="s">
        <v>84</v>
      </c>
      <c r="N165" s="3" t="s">
        <v>85</v>
      </c>
      <c r="O165" s="3" t="s">
        <v>233</v>
      </c>
      <c r="P165" s="3" t="s">
        <v>875</v>
      </c>
      <c r="Q165" s="31">
        <v>42741</v>
      </c>
      <c r="R165" s="3" t="s">
        <v>62</v>
      </c>
      <c r="S165" s="3" t="s">
        <v>62</v>
      </c>
    </row>
    <row r="166" spans="1:19">
      <c r="A166" s="3" t="s">
        <v>868</v>
      </c>
      <c r="B166" s="31">
        <v>42744.734167210649</v>
      </c>
      <c r="C166" s="31">
        <v>42742.763194444444</v>
      </c>
      <c r="D166" s="3">
        <v>3035523555</v>
      </c>
      <c r="E166" s="3" t="s">
        <v>23</v>
      </c>
      <c r="F166" s="3" t="s">
        <v>149</v>
      </c>
      <c r="G166" s="3" t="s">
        <v>150</v>
      </c>
      <c r="H166" s="3" t="s">
        <v>119</v>
      </c>
      <c r="I166" s="3" t="s">
        <v>120</v>
      </c>
      <c r="J166" s="3" t="s">
        <v>97</v>
      </c>
      <c r="K166" s="3" t="s">
        <v>2976</v>
      </c>
      <c r="L166" s="3" t="s">
        <v>866</v>
      </c>
      <c r="M166" s="3" t="s">
        <v>59</v>
      </c>
      <c r="N166" s="3" t="s">
        <v>60</v>
      </c>
      <c r="O166" s="3" t="s">
        <v>59</v>
      </c>
      <c r="P166" s="3" t="s">
        <v>876</v>
      </c>
      <c r="Q166" s="31">
        <v>42744</v>
      </c>
      <c r="R166" s="3" t="s">
        <v>62</v>
      </c>
      <c r="S166" s="3" t="s">
        <v>62</v>
      </c>
    </row>
    <row r="167" spans="1:19">
      <c r="A167" s="3" t="s">
        <v>865</v>
      </c>
      <c r="B167" s="31">
        <v>42742.73709116898</v>
      </c>
      <c r="C167" s="31">
        <v>42740.728472222225</v>
      </c>
      <c r="D167" s="3">
        <v>3035520790</v>
      </c>
      <c r="E167" s="3" t="s">
        <v>23</v>
      </c>
      <c r="F167" s="3" t="s">
        <v>160</v>
      </c>
      <c r="G167" s="3" t="s">
        <v>161</v>
      </c>
      <c r="H167" s="3" t="s">
        <v>160</v>
      </c>
      <c r="I167" s="3" t="s">
        <v>161</v>
      </c>
      <c r="J167" s="3" t="s">
        <v>69</v>
      </c>
      <c r="K167" s="3" t="s">
        <v>2976</v>
      </c>
      <c r="L167" s="3" t="s">
        <v>871</v>
      </c>
      <c r="M167" s="3" t="s">
        <v>84</v>
      </c>
      <c r="N167" s="3" t="s">
        <v>85</v>
      </c>
      <c r="O167" s="3" t="s">
        <v>233</v>
      </c>
      <c r="P167" s="3" t="s">
        <v>875</v>
      </c>
      <c r="Q167" s="31">
        <v>42751</v>
      </c>
      <c r="R167" s="3" t="s">
        <v>62</v>
      </c>
      <c r="S167" s="3" t="s">
        <v>62</v>
      </c>
    </row>
    <row r="168" spans="1:19">
      <c r="A168" s="3" t="s">
        <v>865</v>
      </c>
      <c r="B168" s="31">
        <v>42742.73709116898</v>
      </c>
      <c r="C168" s="31">
        <v>42740.734722222223</v>
      </c>
      <c r="D168" s="3">
        <v>3035520928</v>
      </c>
      <c r="E168" s="3" t="s">
        <v>23</v>
      </c>
      <c r="F168" s="3" t="s">
        <v>129</v>
      </c>
      <c r="G168" s="3" t="s">
        <v>130</v>
      </c>
      <c r="H168" s="3" t="s">
        <v>129</v>
      </c>
      <c r="I168" s="3" t="s">
        <v>130</v>
      </c>
      <c r="J168" s="3" t="s">
        <v>58</v>
      </c>
      <c r="K168" s="3" t="s">
        <v>2976</v>
      </c>
      <c r="L168" s="3" t="s">
        <v>866</v>
      </c>
      <c r="M168" s="3" t="s">
        <v>59</v>
      </c>
      <c r="N168" s="3" t="s">
        <v>60</v>
      </c>
      <c r="O168" s="3" t="s">
        <v>147</v>
      </c>
      <c r="P168" s="3" t="s">
        <v>875</v>
      </c>
      <c r="Q168" s="31">
        <v>42751</v>
      </c>
      <c r="R168" s="3" t="s">
        <v>62</v>
      </c>
      <c r="S168" s="3" t="s">
        <v>62</v>
      </c>
    </row>
    <row r="169" spans="1:19">
      <c r="A169" s="3" t="s">
        <v>865</v>
      </c>
      <c r="B169" s="31">
        <v>42742.73709116898</v>
      </c>
      <c r="C169" s="31">
        <v>42740.747916666667</v>
      </c>
      <c r="D169" s="3">
        <v>3035486592</v>
      </c>
      <c r="E169" s="3" t="s">
        <v>23</v>
      </c>
      <c r="F169" s="3" t="s">
        <v>149</v>
      </c>
      <c r="G169" s="3" t="s">
        <v>150</v>
      </c>
      <c r="H169" s="3" t="s">
        <v>139</v>
      </c>
      <c r="I169" s="3" t="s">
        <v>140</v>
      </c>
      <c r="J169" s="3" t="s">
        <v>97</v>
      </c>
      <c r="K169" s="3" t="s">
        <v>2977</v>
      </c>
      <c r="L169" s="3" t="s">
        <v>871</v>
      </c>
      <c r="M169" s="3" t="s">
        <v>84</v>
      </c>
      <c r="N169" s="3" t="s">
        <v>85</v>
      </c>
      <c r="O169" s="3" t="s">
        <v>3638</v>
      </c>
      <c r="P169" s="3" t="s">
        <v>875</v>
      </c>
      <c r="Q169" s="31">
        <v>42751</v>
      </c>
      <c r="R169" s="3" t="s">
        <v>62</v>
      </c>
      <c r="S169" s="3" t="s">
        <v>529</v>
      </c>
    </row>
    <row r="170" spans="1:19">
      <c r="A170" s="3" t="s">
        <v>865</v>
      </c>
      <c r="B170" s="31">
        <v>42742.73709116898</v>
      </c>
      <c r="C170" s="31">
        <v>42740.748611111114</v>
      </c>
      <c r="D170" s="3">
        <v>3035521925</v>
      </c>
      <c r="E170" s="3" t="s">
        <v>273</v>
      </c>
      <c r="F170" s="3" t="s">
        <v>141</v>
      </c>
      <c r="G170" s="3" t="s">
        <v>560</v>
      </c>
      <c r="H170" s="3" t="s">
        <v>141</v>
      </c>
      <c r="I170" s="3" t="s">
        <v>560</v>
      </c>
      <c r="J170" s="3" t="s">
        <v>69</v>
      </c>
      <c r="K170" s="3" t="s">
        <v>2977</v>
      </c>
      <c r="L170" s="3" t="s">
        <v>866</v>
      </c>
      <c r="M170" s="3" t="s">
        <v>70</v>
      </c>
      <c r="N170" s="3" t="s">
        <v>71</v>
      </c>
      <c r="O170" s="3" t="s">
        <v>3639</v>
      </c>
      <c r="P170" s="3" t="s">
        <v>875</v>
      </c>
      <c r="Q170" s="31">
        <v>42751</v>
      </c>
      <c r="R170" s="3" t="s">
        <v>62</v>
      </c>
      <c r="S170" s="3" t="s">
        <v>2985</v>
      </c>
    </row>
    <row r="171" spans="1:19">
      <c r="A171" s="3" t="s">
        <v>877</v>
      </c>
      <c r="B171" s="31">
        <v>42742.73709116898</v>
      </c>
      <c r="C171" s="31">
        <v>42740.758333333331</v>
      </c>
      <c r="D171" s="3">
        <v>3035521066</v>
      </c>
      <c r="E171" s="3" t="s">
        <v>273</v>
      </c>
      <c r="F171" s="3" t="s">
        <v>909</v>
      </c>
      <c r="G171" s="3" t="s">
        <v>313</v>
      </c>
      <c r="H171" s="3" t="s">
        <v>909</v>
      </c>
      <c r="I171" s="3" t="s">
        <v>313</v>
      </c>
      <c r="J171" s="3" t="s">
        <v>144</v>
      </c>
      <c r="K171" s="3" t="s">
        <v>2977</v>
      </c>
      <c r="L171" s="3" t="s">
        <v>871</v>
      </c>
      <c r="M171" s="3" t="s">
        <v>84</v>
      </c>
      <c r="N171" s="3" t="s">
        <v>85</v>
      </c>
      <c r="O171" s="3" t="s">
        <v>255</v>
      </c>
      <c r="P171" s="3" t="s">
        <v>875</v>
      </c>
      <c r="Q171" s="31">
        <v>42741</v>
      </c>
      <c r="R171" s="3" t="s">
        <v>62</v>
      </c>
      <c r="S171" s="3" t="s">
        <v>2985</v>
      </c>
    </row>
    <row r="172" spans="1:19">
      <c r="A172" s="3" t="s">
        <v>868</v>
      </c>
      <c r="B172" s="31">
        <v>42742.73709116898</v>
      </c>
      <c r="C172" s="31">
        <v>42740.786111111112</v>
      </c>
      <c r="D172" s="3">
        <v>3035523608</v>
      </c>
      <c r="E172" s="3" t="s">
        <v>39</v>
      </c>
      <c r="F172" s="3" t="s">
        <v>248</v>
      </c>
      <c r="G172" s="3" t="s">
        <v>249</v>
      </c>
      <c r="H172" s="3" t="s">
        <v>248</v>
      </c>
      <c r="I172" s="3" t="s">
        <v>249</v>
      </c>
      <c r="J172" s="3" t="s">
        <v>69</v>
      </c>
      <c r="K172" s="3" t="s">
        <v>2977</v>
      </c>
      <c r="L172" s="3" t="s">
        <v>871</v>
      </c>
      <c r="M172" s="3" t="s">
        <v>84</v>
      </c>
      <c r="N172" s="3" t="s">
        <v>85</v>
      </c>
      <c r="O172" s="3" t="s">
        <v>233</v>
      </c>
      <c r="P172" s="3" t="s">
        <v>875</v>
      </c>
      <c r="Q172" s="31">
        <v>42741</v>
      </c>
      <c r="R172" s="3" t="s">
        <v>62</v>
      </c>
      <c r="S172" s="3" t="s">
        <v>92</v>
      </c>
    </row>
    <row r="173" spans="1:19">
      <c r="A173" s="3" t="s">
        <v>865</v>
      </c>
      <c r="B173" s="31">
        <v>42742.73709116898</v>
      </c>
      <c r="C173" s="31">
        <v>42740.807638888888</v>
      </c>
      <c r="D173" s="3">
        <v>3035524843</v>
      </c>
      <c r="E173" s="3" t="s">
        <v>23</v>
      </c>
      <c r="F173" s="3" t="s">
        <v>149</v>
      </c>
      <c r="G173" s="3" t="s">
        <v>150</v>
      </c>
      <c r="H173" s="3" t="s">
        <v>149</v>
      </c>
      <c r="I173" s="3" t="s">
        <v>150</v>
      </c>
      <c r="J173" s="3" t="s">
        <v>69</v>
      </c>
      <c r="K173" s="3" t="s">
        <v>2976</v>
      </c>
      <c r="L173" s="3" t="s">
        <v>866</v>
      </c>
      <c r="M173" s="3" t="s">
        <v>70</v>
      </c>
      <c r="N173" s="3" t="s">
        <v>71</v>
      </c>
      <c r="O173" s="3" t="s">
        <v>2988</v>
      </c>
      <c r="P173" s="3" t="s">
        <v>875</v>
      </c>
      <c r="Q173" s="31">
        <v>42751</v>
      </c>
      <c r="R173" s="3" t="s">
        <v>62</v>
      </c>
      <c r="S173" s="3" t="s">
        <v>62</v>
      </c>
    </row>
    <row r="174" spans="1:19">
      <c r="A174" s="3" t="s">
        <v>868</v>
      </c>
      <c r="B174" s="31">
        <v>42742.73709116898</v>
      </c>
      <c r="C174" s="31">
        <v>42740.895138888889</v>
      </c>
      <c r="D174" s="3">
        <v>3035528701</v>
      </c>
      <c r="E174" s="3" t="s">
        <v>39</v>
      </c>
      <c r="F174" s="3" t="s">
        <v>231</v>
      </c>
      <c r="G174" s="3" t="s">
        <v>232</v>
      </c>
      <c r="H174" s="3" t="s">
        <v>231</v>
      </c>
      <c r="I174" s="3" t="s">
        <v>232</v>
      </c>
      <c r="J174" s="3" t="s">
        <v>69</v>
      </c>
      <c r="K174" s="3" t="s">
        <v>2977</v>
      </c>
      <c r="L174" s="3" t="s">
        <v>871</v>
      </c>
      <c r="M174" s="3" t="s">
        <v>84</v>
      </c>
      <c r="N174" s="3" t="s">
        <v>85</v>
      </c>
      <c r="O174" s="3" t="s">
        <v>3021</v>
      </c>
      <c r="P174" s="3" t="s">
        <v>875</v>
      </c>
      <c r="Q174" s="31">
        <v>42741</v>
      </c>
      <c r="R174" s="3" t="s">
        <v>62</v>
      </c>
      <c r="S174" s="3" t="s">
        <v>92</v>
      </c>
    </row>
    <row r="175" spans="1:19">
      <c r="A175" s="3" t="s">
        <v>865</v>
      </c>
      <c r="B175" s="31">
        <v>42742.73709116898</v>
      </c>
      <c r="C175" s="31">
        <v>42740.912499999999</v>
      </c>
      <c r="D175" s="3">
        <v>3035528849</v>
      </c>
      <c r="E175" s="3" t="s">
        <v>23</v>
      </c>
      <c r="F175" s="3" t="s">
        <v>186</v>
      </c>
      <c r="G175" s="3" t="s">
        <v>187</v>
      </c>
      <c r="H175" s="3" t="s">
        <v>186</v>
      </c>
      <c r="I175" s="3" t="s">
        <v>187</v>
      </c>
      <c r="J175" s="3" t="s">
        <v>97</v>
      </c>
      <c r="K175" s="3" t="s">
        <v>2976</v>
      </c>
      <c r="L175" s="3" t="s">
        <v>871</v>
      </c>
      <c r="M175" s="3" t="s">
        <v>84</v>
      </c>
      <c r="N175" s="3" t="s">
        <v>85</v>
      </c>
      <c r="O175" s="3" t="s">
        <v>233</v>
      </c>
      <c r="P175" s="3" t="s">
        <v>875</v>
      </c>
      <c r="Q175" s="31">
        <v>42751</v>
      </c>
      <c r="R175" s="3" t="s">
        <v>62</v>
      </c>
      <c r="S175" s="3" t="s">
        <v>62</v>
      </c>
    </row>
    <row r="176" spans="1:19">
      <c r="A176" s="3" t="s">
        <v>868</v>
      </c>
      <c r="B176" s="31">
        <v>42742.73709116898</v>
      </c>
      <c r="C176" s="31">
        <v>42740.422222222223</v>
      </c>
      <c r="D176" s="3">
        <v>3035356226</v>
      </c>
      <c r="E176" s="3" t="s">
        <v>9</v>
      </c>
      <c r="F176" s="3" t="s">
        <v>111</v>
      </c>
      <c r="G176" s="3" t="s">
        <v>112</v>
      </c>
      <c r="H176" s="3" t="s">
        <v>82</v>
      </c>
      <c r="I176" s="3" t="s">
        <v>83</v>
      </c>
      <c r="J176" s="3" t="s">
        <v>58</v>
      </c>
      <c r="K176" s="3" t="s">
        <v>2976</v>
      </c>
      <c r="L176" s="3" t="s">
        <v>866</v>
      </c>
      <c r="M176" s="3" t="s">
        <v>59</v>
      </c>
      <c r="N176" s="3" t="s">
        <v>60</v>
      </c>
      <c r="O176" s="3" t="s">
        <v>147</v>
      </c>
      <c r="P176" s="3" t="s">
        <v>875</v>
      </c>
      <c r="Q176" s="31">
        <v>42741</v>
      </c>
      <c r="R176" s="3" t="s">
        <v>62</v>
      </c>
      <c r="S176" s="3" t="s">
        <v>62</v>
      </c>
    </row>
    <row r="177" spans="1:19">
      <c r="A177" s="3" t="s">
        <v>865</v>
      </c>
      <c r="B177" s="31">
        <v>42742.73709116898</v>
      </c>
      <c r="C177" s="31">
        <v>42740.429166666669</v>
      </c>
      <c r="D177" s="3">
        <v>3035433907</v>
      </c>
      <c r="E177" s="3" t="s">
        <v>9</v>
      </c>
      <c r="F177" s="3" t="s">
        <v>133</v>
      </c>
      <c r="G177" s="3" t="s">
        <v>134</v>
      </c>
      <c r="H177" s="3" t="s">
        <v>82</v>
      </c>
      <c r="I177" s="3" t="s">
        <v>83</v>
      </c>
      <c r="J177" s="3" t="s">
        <v>69</v>
      </c>
      <c r="K177" s="3" t="s">
        <v>2976</v>
      </c>
      <c r="L177" s="3" t="s">
        <v>866</v>
      </c>
      <c r="M177" s="3" t="s">
        <v>59</v>
      </c>
      <c r="N177" s="3" t="s">
        <v>60</v>
      </c>
      <c r="O177" s="3" t="s">
        <v>147</v>
      </c>
      <c r="P177" s="3" t="s">
        <v>875</v>
      </c>
      <c r="Q177" s="31">
        <v>42741</v>
      </c>
      <c r="R177" s="3" t="s">
        <v>62</v>
      </c>
      <c r="S177" s="3" t="s">
        <v>62</v>
      </c>
    </row>
    <row r="178" spans="1:19">
      <c r="A178" s="3" t="s">
        <v>868</v>
      </c>
      <c r="B178" s="31">
        <v>42742.73709116898</v>
      </c>
      <c r="C178" s="31">
        <v>42740.432638888888</v>
      </c>
      <c r="D178" s="3">
        <v>3035507129</v>
      </c>
      <c r="E178" s="3" t="s">
        <v>273</v>
      </c>
      <c r="F178" s="3" t="s">
        <v>265</v>
      </c>
      <c r="G178" s="3" t="s">
        <v>266</v>
      </c>
      <c r="H178" s="3" t="s">
        <v>265</v>
      </c>
      <c r="I178" s="3" t="s">
        <v>266</v>
      </c>
      <c r="J178" s="3" t="s">
        <v>98</v>
      </c>
      <c r="K178" s="3" t="s">
        <v>2977</v>
      </c>
      <c r="L178" s="3" t="s">
        <v>866</v>
      </c>
      <c r="M178" s="3" t="s">
        <v>70</v>
      </c>
      <c r="N178" s="3" t="s">
        <v>71</v>
      </c>
      <c r="O178" s="3" t="s">
        <v>3022</v>
      </c>
      <c r="P178" s="3" t="s">
        <v>875</v>
      </c>
      <c r="Q178" s="31">
        <v>42741</v>
      </c>
      <c r="R178" s="3" t="s">
        <v>62</v>
      </c>
      <c r="S178" s="3" t="s">
        <v>2985</v>
      </c>
    </row>
    <row r="179" spans="1:19">
      <c r="A179" s="3" t="s">
        <v>868</v>
      </c>
      <c r="B179" s="31">
        <v>42746.737756446761</v>
      </c>
      <c r="C179" s="31">
        <v>42744.660416666666</v>
      </c>
      <c r="D179" s="3">
        <v>3035451540</v>
      </c>
      <c r="E179" s="3" t="s">
        <v>23</v>
      </c>
      <c r="F179" s="3" t="s">
        <v>154</v>
      </c>
      <c r="G179" s="3" t="s">
        <v>155</v>
      </c>
      <c r="H179" s="3" t="s">
        <v>139</v>
      </c>
      <c r="I179" s="3" t="s">
        <v>140</v>
      </c>
      <c r="J179" s="3" t="s">
        <v>69</v>
      </c>
      <c r="K179" s="3" t="s">
        <v>2977</v>
      </c>
      <c r="L179" s="3" t="s">
        <v>866</v>
      </c>
      <c r="M179" s="3" t="s">
        <v>901</v>
      </c>
      <c r="N179" s="3" t="s">
        <v>897</v>
      </c>
      <c r="O179" s="3" t="s">
        <v>3023</v>
      </c>
      <c r="P179" s="3" t="s">
        <v>875</v>
      </c>
      <c r="Q179" s="31">
        <v>42745</v>
      </c>
      <c r="R179" s="3" t="s">
        <v>62</v>
      </c>
      <c r="S179" s="3" t="s">
        <v>529</v>
      </c>
    </row>
    <row r="180" spans="1:19">
      <c r="A180" s="3" t="s">
        <v>868</v>
      </c>
      <c r="B180" s="31">
        <v>42742.73709116898</v>
      </c>
      <c r="C180" s="31">
        <v>42740.438888888886</v>
      </c>
      <c r="D180" s="3">
        <v>3035507050</v>
      </c>
      <c r="E180" s="3" t="s">
        <v>31</v>
      </c>
      <c r="F180" s="3" t="s">
        <v>227</v>
      </c>
      <c r="G180" s="3" t="s">
        <v>228</v>
      </c>
      <c r="H180" s="3" t="s">
        <v>227</v>
      </c>
      <c r="I180" s="3" t="s">
        <v>228</v>
      </c>
      <c r="J180" s="3" t="s">
        <v>69</v>
      </c>
      <c r="K180" s="3" t="s">
        <v>2977</v>
      </c>
      <c r="L180" s="3" t="s">
        <v>866</v>
      </c>
      <c r="M180" s="3" t="s">
        <v>59</v>
      </c>
      <c r="N180" s="3" t="s">
        <v>60</v>
      </c>
      <c r="O180" s="3" t="s">
        <v>147</v>
      </c>
      <c r="P180" s="3" t="s">
        <v>875</v>
      </c>
      <c r="Q180" s="31">
        <v>42741</v>
      </c>
      <c r="R180" s="3" t="s">
        <v>62</v>
      </c>
      <c r="S180" s="3" t="s">
        <v>92</v>
      </c>
    </row>
    <row r="181" spans="1:19">
      <c r="A181" s="3" t="s">
        <v>873</v>
      </c>
      <c r="B181" s="31">
        <v>42742.73709116898</v>
      </c>
      <c r="C181" s="31">
        <v>42740.450694444444</v>
      </c>
      <c r="D181" s="3">
        <v>3035507657</v>
      </c>
      <c r="E181" s="3" t="s">
        <v>31</v>
      </c>
      <c r="F181" s="3" t="s">
        <v>202</v>
      </c>
      <c r="G181" s="3" t="s">
        <v>203</v>
      </c>
      <c r="H181" s="3" t="s">
        <v>202</v>
      </c>
      <c r="I181" s="3" t="s">
        <v>203</v>
      </c>
      <c r="J181" s="3" t="s">
        <v>99</v>
      </c>
      <c r="K181" s="3" t="s">
        <v>2976</v>
      </c>
      <c r="L181" s="3" t="s">
        <v>866</v>
      </c>
      <c r="M181" s="3" t="s">
        <v>70</v>
      </c>
      <c r="N181" s="3" t="s">
        <v>71</v>
      </c>
      <c r="O181" s="3" t="s">
        <v>3024</v>
      </c>
      <c r="P181" s="3" t="s">
        <v>875</v>
      </c>
      <c r="Q181" s="31">
        <v>42741</v>
      </c>
      <c r="R181" s="3" t="s">
        <v>62</v>
      </c>
      <c r="S181" s="3" t="s">
        <v>62</v>
      </c>
    </row>
    <row r="182" spans="1:19">
      <c r="A182" s="3" t="s">
        <v>868</v>
      </c>
      <c r="B182" s="31">
        <v>42742.73709116898</v>
      </c>
      <c r="C182" s="31">
        <v>42740.451388888891</v>
      </c>
      <c r="D182" s="3">
        <v>3035507266</v>
      </c>
      <c r="E182" s="3" t="s">
        <v>273</v>
      </c>
      <c r="F182" s="3" t="s">
        <v>259</v>
      </c>
      <c r="G182" s="3" t="s">
        <v>260</v>
      </c>
      <c r="H182" s="3" t="s">
        <v>259</v>
      </c>
      <c r="I182" s="3" t="s">
        <v>260</v>
      </c>
      <c r="J182" s="3" t="s">
        <v>69</v>
      </c>
      <c r="K182" s="3" t="s">
        <v>2977</v>
      </c>
      <c r="L182" s="3" t="s">
        <v>866</v>
      </c>
      <c r="M182" s="3" t="s">
        <v>59</v>
      </c>
      <c r="N182" s="3" t="s">
        <v>60</v>
      </c>
      <c r="O182" s="3" t="s">
        <v>147</v>
      </c>
      <c r="P182" s="3" t="s">
        <v>875</v>
      </c>
      <c r="Q182" s="31">
        <v>42741</v>
      </c>
      <c r="R182" s="3" t="s">
        <v>62</v>
      </c>
      <c r="S182" s="3" t="s">
        <v>2985</v>
      </c>
    </row>
    <row r="183" spans="1:19">
      <c r="A183" s="3" t="s">
        <v>868</v>
      </c>
      <c r="B183" s="31">
        <v>42742.73709116898</v>
      </c>
      <c r="C183" s="31">
        <v>42740.475694444445</v>
      </c>
      <c r="D183" s="3">
        <v>3035508258</v>
      </c>
      <c r="E183" s="3" t="s">
        <v>273</v>
      </c>
      <c r="F183" s="3" t="s">
        <v>259</v>
      </c>
      <c r="G183" s="3" t="s">
        <v>260</v>
      </c>
      <c r="H183" s="3" t="s">
        <v>259</v>
      </c>
      <c r="I183" s="3" t="s">
        <v>260</v>
      </c>
      <c r="J183" s="3" t="s">
        <v>98</v>
      </c>
      <c r="K183" s="3" t="s">
        <v>2977</v>
      </c>
      <c r="L183" s="3" t="s">
        <v>866</v>
      </c>
      <c r="M183" s="3" t="s">
        <v>59</v>
      </c>
      <c r="N183" s="3" t="s">
        <v>60</v>
      </c>
      <c r="O183" s="3" t="s">
        <v>147</v>
      </c>
      <c r="P183" s="3" t="s">
        <v>875</v>
      </c>
      <c r="Q183" s="31">
        <v>42741</v>
      </c>
      <c r="R183" s="3" t="s">
        <v>62</v>
      </c>
      <c r="S183" s="3" t="s">
        <v>2985</v>
      </c>
    </row>
    <row r="184" spans="1:19">
      <c r="A184" s="3" t="s">
        <v>865</v>
      </c>
      <c r="B184" s="31">
        <v>42742.73709116898</v>
      </c>
      <c r="C184" s="31">
        <v>42740.511805555558</v>
      </c>
      <c r="D184" s="3">
        <v>3035509181</v>
      </c>
      <c r="E184" s="3" t="s">
        <v>31</v>
      </c>
      <c r="F184" s="3" t="s">
        <v>3025</v>
      </c>
      <c r="G184" s="3" t="s">
        <v>3026</v>
      </c>
      <c r="H184" s="3" t="s">
        <v>3025</v>
      </c>
      <c r="I184" s="3" t="s">
        <v>3026</v>
      </c>
      <c r="J184" s="3" t="s">
        <v>58</v>
      </c>
      <c r="K184" s="3" t="s">
        <v>2976</v>
      </c>
      <c r="L184" s="3" t="s">
        <v>866</v>
      </c>
      <c r="M184" s="3" t="s">
        <v>59</v>
      </c>
      <c r="N184" s="3" t="s">
        <v>60</v>
      </c>
      <c r="O184" s="3" t="s">
        <v>147</v>
      </c>
      <c r="P184" s="3" t="s">
        <v>875</v>
      </c>
      <c r="Q184" s="31">
        <v>42741</v>
      </c>
      <c r="R184" s="3" t="s">
        <v>62</v>
      </c>
      <c r="S184" s="3" t="s">
        <v>62</v>
      </c>
    </row>
    <row r="185" spans="1:19">
      <c r="A185" s="3" t="s">
        <v>873</v>
      </c>
      <c r="B185" s="31">
        <v>42742.73709116898</v>
      </c>
      <c r="C185" s="31">
        <v>42740.538888888892</v>
      </c>
      <c r="D185" s="3">
        <v>3035510768</v>
      </c>
      <c r="E185" s="3" t="s">
        <v>31</v>
      </c>
      <c r="F185" s="3" t="s">
        <v>852</v>
      </c>
      <c r="G185" s="3" t="s">
        <v>197</v>
      </c>
      <c r="H185" s="3" t="s">
        <v>852</v>
      </c>
      <c r="I185" s="3" t="s">
        <v>197</v>
      </c>
      <c r="J185" s="3" t="s">
        <v>144</v>
      </c>
      <c r="K185" s="3" t="s">
        <v>2976</v>
      </c>
      <c r="L185" s="3" t="s">
        <v>866</v>
      </c>
      <c r="M185" s="3" t="s">
        <v>59</v>
      </c>
      <c r="N185" s="3" t="s">
        <v>60</v>
      </c>
      <c r="O185" s="3" t="s">
        <v>147</v>
      </c>
      <c r="P185" s="3" t="s">
        <v>875</v>
      </c>
      <c r="Q185" s="31">
        <v>42741</v>
      </c>
      <c r="R185" s="3" t="s">
        <v>62</v>
      </c>
      <c r="S185" s="3" t="s">
        <v>62</v>
      </c>
    </row>
    <row r="186" spans="1:19">
      <c r="A186" s="3" t="s">
        <v>865</v>
      </c>
      <c r="B186" s="31">
        <v>42742.73709116898</v>
      </c>
      <c r="C186" s="31">
        <v>42740.609027777777</v>
      </c>
      <c r="D186" s="3">
        <v>3035512106</v>
      </c>
      <c r="E186" s="3" t="e">
        <v>#N/A</v>
      </c>
      <c r="F186" s="3" t="s">
        <v>889</v>
      </c>
      <c r="G186" s="3" t="e">
        <v>#N/A</v>
      </c>
      <c r="H186" s="3" t="s">
        <v>889</v>
      </c>
      <c r="I186" s="3" t="e">
        <v>#N/A</v>
      </c>
      <c r="J186" s="3" t="s">
        <v>69</v>
      </c>
      <c r="K186" s="3" t="s">
        <v>2977</v>
      </c>
      <c r="L186" s="3" t="s">
        <v>866</v>
      </c>
      <c r="M186" s="3" t="s">
        <v>70</v>
      </c>
      <c r="N186" s="3" t="s">
        <v>71</v>
      </c>
      <c r="O186" s="3" t="s">
        <v>3024</v>
      </c>
      <c r="P186" s="3" t="s">
        <v>875</v>
      </c>
      <c r="Q186" s="31">
        <v>42741</v>
      </c>
      <c r="R186" s="3" t="s">
        <v>62</v>
      </c>
      <c r="S186" s="3" t="s">
        <v>2143</v>
      </c>
    </row>
    <row r="187" spans="1:19">
      <c r="A187" s="3" t="s">
        <v>877</v>
      </c>
      <c r="B187" s="31">
        <v>42742.73709116898</v>
      </c>
      <c r="C187" s="31">
        <v>42740.675000000003</v>
      </c>
      <c r="D187" s="3">
        <v>3035517566</v>
      </c>
      <c r="E187" s="3" t="s">
        <v>23</v>
      </c>
      <c r="F187" s="3" t="s">
        <v>862</v>
      </c>
      <c r="G187" s="3" t="s">
        <v>624</v>
      </c>
      <c r="H187" s="3" t="s">
        <v>862</v>
      </c>
      <c r="I187" s="3" t="s">
        <v>624</v>
      </c>
      <c r="J187" s="3" t="s">
        <v>79</v>
      </c>
      <c r="K187" s="3" t="s">
        <v>2976</v>
      </c>
      <c r="L187" s="3" t="s">
        <v>866</v>
      </c>
      <c r="M187" s="3" t="s">
        <v>70</v>
      </c>
      <c r="N187" s="3" t="s">
        <v>71</v>
      </c>
      <c r="O187" s="3" t="s">
        <v>3027</v>
      </c>
      <c r="P187" s="3" t="s">
        <v>875</v>
      </c>
      <c r="Q187" s="31">
        <v>42741</v>
      </c>
      <c r="R187" s="3" t="s">
        <v>62</v>
      </c>
      <c r="S187" s="3" t="s">
        <v>62</v>
      </c>
    </row>
    <row r="188" spans="1:19">
      <c r="A188" s="3" t="s">
        <v>873</v>
      </c>
      <c r="B188" s="31">
        <v>42742.73709116898</v>
      </c>
      <c r="C188" s="31">
        <v>42740.702777777777</v>
      </c>
      <c r="D188" s="3">
        <v>3035519389</v>
      </c>
      <c r="E188" s="3" t="s">
        <v>23</v>
      </c>
      <c r="F188" s="3" t="s">
        <v>160</v>
      </c>
      <c r="G188" s="3" t="s">
        <v>161</v>
      </c>
      <c r="H188" s="3" t="s">
        <v>160</v>
      </c>
      <c r="I188" s="3" t="s">
        <v>161</v>
      </c>
      <c r="J188" s="3" t="s">
        <v>69</v>
      </c>
      <c r="K188" s="3" t="s">
        <v>2976</v>
      </c>
      <c r="L188" s="3" t="s">
        <v>866</v>
      </c>
      <c r="M188" s="3" t="s">
        <v>70</v>
      </c>
      <c r="N188" s="3" t="s">
        <v>71</v>
      </c>
      <c r="O188" s="3" t="s">
        <v>3022</v>
      </c>
      <c r="P188" s="3" t="s">
        <v>875</v>
      </c>
      <c r="Q188" s="31">
        <v>42741</v>
      </c>
      <c r="R188" s="3" t="s">
        <v>62</v>
      </c>
      <c r="S188" s="3" t="s">
        <v>62</v>
      </c>
    </row>
    <row r="189" spans="1:19">
      <c r="A189" s="3" t="s">
        <v>868</v>
      </c>
      <c r="B189" s="31">
        <v>42742.73709116898</v>
      </c>
      <c r="C189" s="31">
        <v>42740.705555555556</v>
      </c>
      <c r="D189" s="3">
        <v>3035519653</v>
      </c>
      <c r="E189" s="3" t="s">
        <v>23</v>
      </c>
      <c r="F189" s="3" t="s">
        <v>179</v>
      </c>
      <c r="G189" s="3" t="s">
        <v>180</v>
      </c>
      <c r="H189" s="3" t="s">
        <v>179</v>
      </c>
      <c r="I189" s="3" t="s">
        <v>180</v>
      </c>
      <c r="J189" s="3" t="s">
        <v>69</v>
      </c>
      <c r="K189" s="3" t="s">
        <v>2976</v>
      </c>
      <c r="L189" s="3" t="s">
        <v>866</v>
      </c>
      <c r="M189" s="3" t="s">
        <v>59</v>
      </c>
      <c r="N189" s="3" t="s">
        <v>60</v>
      </c>
      <c r="O189" s="3" t="s">
        <v>147</v>
      </c>
      <c r="P189" s="3" t="s">
        <v>875</v>
      </c>
      <c r="Q189" s="31">
        <v>42741</v>
      </c>
      <c r="R189" s="3" t="s">
        <v>62</v>
      </c>
      <c r="S189" s="3" t="s">
        <v>62</v>
      </c>
    </row>
    <row r="190" spans="1:19">
      <c r="A190" s="3" t="s">
        <v>877</v>
      </c>
      <c r="B190" s="31">
        <v>42742.73709116898</v>
      </c>
      <c r="C190" s="31">
        <v>42740.717361111114</v>
      </c>
      <c r="D190" s="3">
        <v>3035239354</v>
      </c>
      <c r="E190" s="3" t="s">
        <v>23</v>
      </c>
      <c r="F190" s="3" t="s">
        <v>186</v>
      </c>
      <c r="G190" s="3" t="s">
        <v>187</v>
      </c>
      <c r="H190" s="3" t="s">
        <v>139</v>
      </c>
      <c r="I190" s="3" t="s">
        <v>140</v>
      </c>
      <c r="J190" s="3" t="s">
        <v>69</v>
      </c>
      <c r="K190" s="3" t="s">
        <v>2977</v>
      </c>
      <c r="L190" s="3" t="s">
        <v>866</v>
      </c>
      <c r="M190" s="3" t="s">
        <v>59</v>
      </c>
      <c r="N190" s="3" t="s">
        <v>60</v>
      </c>
      <c r="O190" s="3" t="s">
        <v>147</v>
      </c>
      <c r="P190" s="3" t="s">
        <v>875</v>
      </c>
      <c r="Q190" s="31">
        <v>42741</v>
      </c>
      <c r="R190" s="3" t="s">
        <v>62</v>
      </c>
      <c r="S190" s="3" t="s">
        <v>529</v>
      </c>
    </row>
    <row r="191" spans="1:19">
      <c r="A191" s="3" t="s">
        <v>877</v>
      </c>
      <c r="B191" s="31">
        <v>42742.73709116898</v>
      </c>
      <c r="C191" s="31">
        <v>42740.731944444444</v>
      </c>
      <c r="D191" s="3">
        <v>3035484966</v>
      </c>
      <c r="E191" s="3" t="s">
        <v>23</v>
      </c>
      <c r="F191" s="3" t="s">
        <v>135</v>
      </c>
      <c r="G191" s="3" t="s">
        <v>136</v>
      </c>
      <c r="H191" s="3" t="s">
        <v>139</v>
      </c>
      <c r="I191" s="3" t="s">
        <v>140</v>
      </c>
      <c r="J191" s="3" t="s">
        <v>58</v>
      </c>
      <c r="K191" s="3" t="s">
        <v>2977</v>
      </c>
      <c r="L191" s="3" t="s">
        <v>866</v>
      </c>
      <c r="M191" s="3" t="s">
        <v>70</v>
      </c>
      <c r="N191" s="3" t="s">
        <v>71</v>
      </c>
      <c r="O191" s="3" t="s">
        <v>3022</v>
      </c>
      <c r="P191" s="3" t="s">
        <v>875</v>
      </c>
      <c r="Q191" s="31">
        <v>42741</v>
      </c>
      <c r="R191" s="3" t="s">
        <v>62</v>
      </c>
      <c r="S191" s="3" t="s">
        <v>529</v>
      </c>
    </row>
    <row r="192" spans="1:19">
      <c r="A192" s="3" t="s">
        <v>873</v>
      </c>
      <c r="B192" s="31">
        <v>42742.73709116898</v>
      </c>
      <c r="C192" s="31">
        <v>42740.740972222222</v>
      </c>
      <c r="D192" s="3">
        <v>3035521481</v>
      </c>
      <c r="E192" s="3" t="s">
        <v>23</v>
      </c>
      <c r="F192" s="3" t="s">
        <v>135</v>
      </c>
      <c r="G192" s="3" t="s">
        <v>136</v>
      </c>
      <c r="H192" s="3" t="s">
        <v>135</v>
      </c>
      <c r="I192" s="3" t="s">
        <v>136</v>
      </c>
      <c r="J192" s="3" t="s">
        <v>58</v>
      </c>
      <c r="K192" s="3" t="s">
        <v>2976</v>
      </c>
      <c r="L192" s="3" t="s">
        <v>866</v>
      </c>
      <c r="M192" s="3" t="s">
        <v>70</v>
      </c>
      <c r="N192" s="3" t="s">
        <v>71</v>
      </c>
      <c r="O192" s="3" t="s">
        <v>3028</v>
      </c>
      <c r="P192" s="3" t="s">
        <v>875</v>
      </c>
      <c r="Q192" s="31">
        <v>42741</v>
      </c>
      <c r="R192" s="3" t="s">
        <v>62</v>
      </c>
      <c r="S192" s="3" t="s">
        <v>62</v>
      </c>
    </row>
    <row r="193" spans="1:19">
      <c r="A193" s="3" t="s">
        <v>873</v>
      </c>
      <c r="B193" s="31">
        <v>42742.73709116898</v>
      </c>
      <c r="C193" s="31">
        <v>42740.749305555553</v>
      </c>
      <c r="D193" s="3">
        <v>3035521632</v>
      </c>
      <c r="E193" s="3" t="s">
        <v>23</v>
      </c>
      <c r="F193" s="3" t="s">
        <v>119</v>
      </c>
      <c r="G193" s="3" t="s">
        <v>120</v>
      </c>
      <c r="H193" s="3" t="s">
        <v>119</v>
      </c>
      <c r="I193" s="3" t="s">
        <v>120</v>
      </c>
      <c r="J193" s="3" t="s">
        <v>69</v>
      </c>
      <c r="K193" s="3" t="s">
        <v>2976</v>
      </c>
      <c r="L193" s="3" t="s">
        <v>866</v>
      </c>
      <c r="M193" s="3" t="s">
        <v>59</v>
      </c>
      <c r="N193" s="3" t="s">
        <v>60</v>
      </c>
      <c r="O193" s="3" t="s">
        <v>147</v>
      </c>
      <c r="P193" s="3" t="s">
        <v>875</v>
      </c>
      <c r="Q193" s="31">
        <v>42741</v>
      </c>
      <c r="R193" s="3" t="s">
        <v>62</v>
      </c>
      <c r="S193" s="3" t="s">
        <v>62</v>
      </c>
    </row>
    <row r="194" spans="1:19">
      <c r="A194" s="3" t="s">
        <v>877</v>
      </c>
      <c r="B194" s="31">
        <v>42742.73709116898</v>
      </c>
      <c r="C194" s="31">
        <v>42740.822916666664</v>
      </c>
      <c r="D194" s="3">
        <v>3035525123</v>
      </c>
      <c r="E194" s="3" t="s">
        <v>23</v>
      </c>
      <c r="F194" s="3" t="s">
        <v>149</v>
      </c>
      <c r="G194" s="3" t="s">
        <v>150</v>
      </c>
      <c r="H194" s="3" t="s">
        <v>149</v>
      </c>
      <c r="I194" s="3" t="s">
        <v>150</v>
      </c>
      <c r="J194" s="3" t="s">
        <v>58</v>
      </c>
      <c r="K194" s="3" t="s">
        <v>2976</v>
      </c>
      <c r="L194" s="3" t="s">
        <v>866</v>
      </c>
      <c r="M194" s="3" t="s">
        <v>70</v>
      </c>
      <c r="N194" s="3" t="s">
        <v>71</v>
      </c>
      <c r="O194" s="3" t="s">
        <v>851</v>
      </c>
      <c r="P194" s="3" t="s">
        <v>875</v>
      </c>
      <c r="Q194" s="31">
        <v>42741</v>
      </c>
      <c r="R194" s="3" t="s">
        <v>62</v>
      </c>
      <c r="S194" s="3" t="s">
        <v>62</v>
      </c>
    </row>
    <row r="195" spans="1:19">
      <c r="A195" s="3" t="s">
        <v>865</v>
      </c>
      <c r="B195" s="31">
        <v>42742.73709116898</v>
      </c>
      <c r="C195" s="31">
        <v>42740.85</v>
      </c>
      <c r="D195" s="3">
        <v>3035526712</v>
      </c>
      <c r="E195" s="3" t="s">
        <v>23</v>
      </c>
      <c r="F195" s="3" t="s">
        <v>119</v>
      </c>
      <c r="G195" s="3" t="s">
        <v>120</v>
      </c>
      <c r="H195" s="3" t="s">
        <v>119</v>
      </c>
      <c r="I195" s="3" t="s">
        <v>120</v>
      </c>
      <c r="J195" s="3" t="s">
        <v>69</v>
      </c>
      <c r="K195" s="3" t="s">
        <v>2976</v>
      </c>
      <c r="L195" s="3" t="s">
        <v>866</v>
      </c>
      <c r="M195" s="3" t="s">
        <v>59</v>
      </c>
      <c r="N195" s="3" t="s">
        <v>60</v>
      </c>
      <c r="O195" s="3" t="s">
        <v>147</v>
      </c>
      <c r="P195" s="3" t="s">
        <v>875</v>
      </c>
      <c r="Q195" s="31">
        <v>42741</v>
      </c>
      <c r="R195" s="3" t="s">
        <v>62</v>
      </c>
      <c r="S195" s="3" t="s">
        <v>62</v>
      </c>
    </row>
    <row r="196" spans="1:19">
      <c r="A196" s="3" t="s">
        <v>896</v>
      </c>
      <c r="B196" s="31">
        <v>42743.735176273149</v>
      </c>
      <c r="C196" s="31">
        <v>42741.598611111112</v>
      </c>
      <c r="D196" s="3">
        <v>3035547148</v>
      </c>
      <c r="E196" s="3" t="s">
        <v>273</v>
      </c>
      <c r="F196" s="3" t="s">
        <v>258</v>
      </c>
      <c r="G196" s="3" t="s">
        <v>327</v>
      </c>
      <c r="H196" s="3" t="s">
        <v>258</v>
      </c>
      <c r="I196" s="3" t="s">
        <v>327</v>
      </c>
      <c r="J196" s="3" t="s">
        <v>69</v>
      </c>
      <c r="K196" s="3" t="s">
        <v>2977</v>
      </c>
      <c r="L196" s="3" t="s">
        <v>871</v>
      </c>
      <c r="M196" s="3" t="s">
        <v>84</v>
      </c>
      <c r="N196" s="3" t="s">
        <v>85</v>
      </c>
      <c r="O196" s="3" t="s">
        <v>233</v>
      </c>
      <c r="P196" s="3" t="s">
        <v>875</v>
      </c>
      <c r="Q196" s="31">
        <v>42742</v>
      </c>
      <c r="R196" s="3" t="s">
        <v>62</v>
      </c>
      <c r="S196" s="3" t="s">
        <v>2985</v>
      </c>
    </row>
    <row r="197" spans="1:19">
      <c r="A197" s="3" t="s">
        <v>865</v>
      </c>
      <c r="B197" s="31">
        <v>42743.735176273149</v>
      </c>
      <c r="C197" s="31">
        <v>42741.598611111112</v>
      </c>
      <c r="D197" s="3">
        <v>3035545413</v>
      </c>
      <c r="E197" s="3" t="s">
        <v>273</v>
      </c>
      <c r="F197" s="3" t="s">
        <v>259</v>
      </c>
      <c r="G197" s="3" t="s">
        <v>260</v>
      </c>
      <c r="H197" s="3" t="s">
        <v>259</v>
      </c>
      <c r="I197" s="3" t="s">
        <v>260</v>
      </c>
      <c r="J197" s="3" t="s">
        <v>144</v>
      </c>
      <c r="K197" s="3" t="s">
        <v>2977</v>
      </c>
      <c r="L197" s="3" t="s">
        <v>866</v>
      </c>
      <c r="M197" s="3" t="s">
        <v>70</v>
      </c>
      <c r="N197" s="3" t="s">
        <v>71</v>
      </c>
      <c r="O197" s="3" t="s">
        <v>3012</v>
      </c>
      <c r="P197" s="3" t="s">
        <v>875</v>
      </c>
      <c r="Q197" s="31">
        <v>42744</v>
      </c>
      <c r="R197" s="3" t="s">
        <v>62</v>
      </c>
      <c r="S197" s="3" t="s">
        <v>2985</v>
      </c>
    </row>
    <row r="198" spans="1:19">
      <c r="A198" s="3" t="s">
        <v>865</v>
      </c>
      <c r="B198" s="31">
        <v>42743.735176273149</v>
      </c>
      <c r="C198" s="31">
        <v>42741.644444444442</v>
      </c>
      <c r="D198" s="3">
        <v>3035549199</v>
      </c>
      <c r="E198" s="3" t="s">
        <v>9</v>
      </c>
      <c r="F198" s="3" t="s">
        <v>67</v>
      </c>
      <c r="G198" s="3" t="s">
        <v>68</v>
      </c>
      <c r="H198" s="3" t="s">
        <v>67</v>
      </c>
      <c r="I198" s="3" t="s">
        <v>68</v>
      </c>
      <c r="J198" s="3" t="s">
        <v>69</v>
      </c>
      <c r="K198" s="3" t="s">
        <v>2976</v>
      </c>
      <c r="L198" s="3" t="s">
        <v>866</v>
      </c>
      <c r="M198" s="3" t="s">
        <v>70</v>
      </c>
      <c r="N198" s="3" t="s">
        <v>71</v>
      </c>
      <c r="O198" s="3" t="s">
        <v>3029</v>
      </c>
      <c r="P198" s="3" t="s">
        <v>875</v>
      </c>
      <c r="Q198" s="31">
        <v>42744</v>
      </c>
      <c r="R198" s="3" t="s">
        <v>62</v>
      </c>
      <c r="S198" s="3" t="s">
        <v>62</v>
      </c>
    </row>
    <row r="199" spans="1:19">
      <c r="A199" s="3" t="s">
        <v>865</v>
      </c>
      <c r="B199" s="31">
        <v>42743.735176273149</v>
      </c>
      <c r="C199" s="31">
        <v>42741.734027777777</v>
      </c>
      <c r="D199" s="3">
        <v>3035553627</v>
      </c>
      <c r="E199" s="3" t="s">
        <v>23</v>
      </c>
      <c r="F199" s="3" t="s">
        <v>135</v>
      </c>
      <c r="G199" s="3" t="s">
        <v>136</v>
      </c>
      <c r="H199" s="3" t="s">
        <v>135</v>
      </c>
      <c r="I199" s="3" t="s">
        <v>136</v>
      </c>
      <c r="J199" s="3" t="s">
        <v>97</v>
      </c>
      <c r="K199" s="3" t="s">
        <v>2976</v>
      </c>
      <c r="L199" s="3" t="s">
        <v>866</v>
      </c>
      <c r="M199" s="3" t="s">
        <v>70</v>
      </c>
      <c r="N199" s="3" t="s">
        <v>71</v>
      </c>
      <c r="O199" s="3" t="s">
        <v>3030</v>
      </c>
      <c r="P199" s="3" t="s">
        <v>875</v>
      </c>
      <c r="Q199" s="31">
        <v>42744</v>
      </c>
      <c r="R199" s="3" t="s">
        <v>62</v>
      </c>
      <c r="S199" s="3" t="s">
        <v>62</v>
      </c>
    </row>
    <row r="200" spans="1:19">
      <c r="A200" s="3" t="s">
        <v>865</v>
      </c>
      <c r="B200" s="31">
        <v>42743.735176273149</v>
      </c>
      <c r="C200" s="31">
        <v>42741.492361111108</v>
      </c>
      <c r="D200" s="3">
        <v>3035542777</v>
      </c>
      <c r="E200" s="3" t="s">
        <v>9</v>
      </c>
      <c r="F200" s="3" t="s">
        <v>94</v>
      </c>
      <c r="G200" s="3" t="s">
        <v>95</v>
      </c>
      <c r="H200" s="3" t="s">
        <v>94</v>
      </c>
      <c r="I200" s="3" t="s">
        <v>95</v>
      </c>
      <c r="J200" s="3" t="s">
        <v>69</v>
      </c>
      <c r="K200" s="3" t="s">
        <v>2976</v>
      </c>
      <c r="L200" s="3" t="s">
        <v>866</v>
      </c>
      <c r="M200" s="3" t="s">
        <v>70</v>
      </c>
      <c r="N200" s="3" t="s">
        <v>75</v>
      </c>
      <c r="O200" s="3" t="s">
        <v>3031</v>
      </c>
      <c r="P200" s="3" t="s">
        <v>875</v>
      </c>
      <c r="Q200" s="31">
        <v>42744</v>
      </c>
      <c r="R200" s="3" t="s">
        <v>62</v>
      </c>
      <c r="S200" s="3" t="s">
        <v>62</v>
      </c>
    </row>
    <row r="201" spans="1:19">
      <c r="A201" s="3" t="s">
        <v>865</v>
      </c>
      <c r="B201" s="31">
        <v>42743.735176273149</v>
      </c>
      <c r="C201" s="31">
        <v>42741.554166666669</v>
      </c>
      <c r="D201" s="3">
        <v>3035542752</v>
      </c>
      <c r="E201" s="3" t="s">
        <v>273</v>
      </c>
      <c r="F201" s="3" t="s">
        <v>261</v>
      </c>
      <c r="G201" s="3" t="s">
        <v>311</v>
      </c>
      <c r="H201" s="3" t="s">
        <v>261</v>
      </c>
      <c r="I201" s="3" t="s">
        <v>311</v>
      </c>
      <c r="J201" s="3" t="s">
        <v>144</v>
      </c>
      <c r="K201" s="3" t="s">
        <v>2977</v>
      </c>
      <c r="L201" s="3" t="s">
        <v>866</v>
      </c>
      <c r="M201" s="3" t="s">
        <v>59</v>
      </c>
      <c r="N201" s="3" t="s">
        <v>60</v>
      </c>
      <c r="O201" s="3" t="s">
        <v>147</v>
      </c>
      <c r="P201" s="3" t="s">
        <v>875</v>
      </c>
      <c r="Q201" s="31">
        <v>42744</v>
      </c>
      <c r="R201" s="3" t="s">
        <v>62</v>
      </c>
      <c r="S201" s="3" t="s">
        <v>2985</v>
      </c>
    </row>
    <row r="202" spans="1:19">
      <c r="A202" s="3" t="s">
        <v>865</v>
      </c>
      <c r="B202" s="31">
        <v>42744.734167210649</v>
      </c>
      <c r="C202" s="31">
        <v>42742.46875</v>
      </c>
      <c r="D202" s="3">
        <v>3035568256</v>
      </c>
      <c r="E202" s="3" t="s">
        <v>9</v>
      </c>
      <c r="F202" s="3" t="s">
        <v>56</v>
      </c>
      <c r="G202" s="3" t="s">
        <v>57</v>
      </c>
      <c r="H202" s="3" t="s">
        <v>56</v>
      </c>
      <c r="I202" s="3" t="s">
        <v>57</v>
      </c>
      <c r="J202" s="3" t="s">
        <v>79</v>
      </c>
      <c r="K202" s="3" t="s">
        <v>2976</v>
      </c>
      <c r="L202" s="3" t="s">
        <v>866</v>
      </c>
      <c r="M202" s="3" t="s">
        <v>59</v>
      </c>
      <c r="N202" s="3" t="s">
        <v>60</v>
      </c>
      <c r="O202" s="3" t="s">
        <v>147</v>
      </c>
      <c r="P202" s="3" t="s">
        <v>875</v>
      </c>
      <c r="Q202" s="31">
        <v>42744</v>
      </c>
      <c r="R202" s="3" t="s">
        <v>62</v>
      </c>
      <c r="S202" s="3" t="s">
        <v>62</v>
      </c>
    </row>
    <row r="203" spans="1:19">
      <c r="A203" s="3" t="s">
        <v>868</v>
      </c>
      <c r="B203" s="31">
        <v>42744.734167210649</v>
      </c>
      <c r="C203" s="31">
        <v>42742.53125</v>
      </c>
      <c r="D203" s="3">
        <v>3035568456</v>
      </c>
      <c r="E203" s="3" t="s">
        <v>31</v>
      </c>
      <c r="F203" s="3" t="s">
        <v>200</v>
      </c>
      <c r="G203" s="3" t="s">
        <v>201</v>
      </c>
      <c r="H203" s="3" t="s">
        <v>137</v>
      </c>
      <c r="I203" s="3" t="s">
        <v>138</v>
      </c>
      <c r="J203" s="3" t="s">
        <v>69</v>
      </c>
      <c r="K203" s="3" t="s">
        <v>2976</v>
      </c>
      <c r="L203" s="3" t="s">
        <v>866</v>
      </c>
      <c r="M203" s="3" t="s">
        <v>59</v>
      </c>
      <c r="N203" s="3" t="s">
        <v>60</v>
      </c>
      <c r="O203" s="3" t="s">
        <v>147</v>
      </c>
      <c r="P203" s="3" t="s">
        <v>875</v>
      </c>
      <c r="Q203" s="31">
        <v>42744</v>
      </c>
      <c r="R203" s="3" t="s">
        <v>62</v>
      </c>
      <c r="S203" s="3" t="s">
        <v>62</v>
      </c>
    </row>
    <row r="204" spans="1:19">
      <c r="A204" s="3" t="s">
        <v>865</v>
      </c>
      <c r="B204" s="31">
        <v>42744.734167210649</v>
      </c>
      <c r="C204" s="31">
        <v>42742.709722222222</v>
      </c>
      <c r="D204" s="3">
        <v>3035554737</v>
      </c>
      <c r="E204" s="3" t="s">
        <v>23</v>
      </c>
      <c r="F204" s="3" t="s">
        <v>119</v>
      </c>
      <c r="G204" s="3" t="s">
        <v>120</v>
      </c>
      <c r="H204" s="3" t="s">
        <v>119</v>
      </c>
      <c r="I204" s="3" t="s">
        <v>120</v>
      </c>
      <c r="J204" s="3" t="s">
        <v>69</v>
      </c>
      <c r="K204" s="3" t="s">
        <v>2976</v>
      </c>
      <c r="L204" s="3" t="s">
        <v>866</v>
      </c>
      <c r="M204" s="3" t="s">
        <v>59</v>
      </c>
      <c r="N204" s="3" t="s">
        <v>60</v>
      </c>
      <c r="O204" s="3" t="s">
        <v>147</v>
      </c>
      <c r="P204" s="3" t="s">
        <v>875</v>
      </c>
      <c r="Q204" s="31">
        <v>42744</v>
      </c>
      <c r="R204" s="3" t="s">
        <v>62</v>
      </c>
      <c r="S204" s="3" t="s">
        <v>62</v>
      </c>
    </row>
    <row r="205" spans="1:19">
      <c r="A205" s="3" t="s">
        <v>865</v>
      </c>
      <c r="B205" s="31">
        <v>42741.73704378472</v>
      </c>
      <c r="C205" s="31">
        <v>42739.515277777777</v>
      </c>
      <c r="D205" s="3">
        <v>3035472599</v>
      </c>
      <c r="E205" s="3" t="s">
        <v>23</v>
      </c>
      <c r="F205" s="3" t="s">
        <v>135</v>
      </c>
      <c r="G205" s="3" t="s">
        <v>136</v>
      </c>
      <c r="H205" s="3" t="s">
        <v>135</v>
      </c>
      <c r="I205" s="3" t="s">
        <v>136</v>
      </c>
      <c r="J205" s="3" t="s">
        <v>99</v>
      </c>
      <c r="K205" s="3" t="s">
        <v>2976</v>
      </c>
      <c r="L205" s="3" t="s">
        <v>871</v>
      </c>
      <c r="M205" s="3" t="s">
        <v>84</v>
      </c>
      <c r="N205" s="3" t="s">
        <v>85</v>
      </c>
      <c r="O205" s="3" t="s">
        <v>233</v>
      </c>
      <c r="P205" s="3" t="s">
        <v>875</v>
      </c>
      <c r="Q205" s="31">
        <v>42744</v>
      </c>
      <c r="R205" s="3" t="s">
        <v>62</v>
      </c>
      <c r="S205" s="3" t="s">
        <v>62</v>
      </c>
    </row>
    <row r="206" spans="1:19">
      <c r="A206" s="3" t="s">
        <v>868</v>
      </c>
      <c r="B206" s="31">
        <v>42743.735176273149</v>
      </c>
      <c r="C206" s="31">
        <v>42741.351388888892</v>
      </c>
      <c r="D206" s="3">
        <v>3035539881</v>
      </c>
      <c r="E206" s="3" t="s">
        <v>9</v>
      </c>
      <c r="F206" s="3" t="s">
        <v>56</v>
      </c>
      <c r="G206" s="3" t="s">
        <v>57</v>
      </c>
      <c r="H206" s="3" t="s">
        <v>56</v>
      </c>
      <c r="I206" s="3" t="s">
        <v>57</v>
      </c>
      <c r="J206" s="3" t="s">
        <v>69</v>
      </c>
      <c r="K206" s="3" t="s">
        <v>2976</v>
      </c>
      <c r="L206" s="3" t="s">
        <v>871</v>
      </c>
      <c r="M206" s="3" t="s">
        <v>84</v>
      </c>
      <c r="N206" s="3" t="s">
        <v>85</v>
      </c>
      <c r="O206" s="3" t="s">
        <v>233</v>
      </c>
      <c r="P206" s="3" t="s">
        <v>875</v>
      </c>
      <c r="Q206" s="31">
        <v>42747</v>
      </c>
      <c r="R206" s="3" t="s">
        <v>62</v>
      </c>
      <c r="S206" s="3" t="s">
        <v>62</v>
      </c>
    </row>
    <row r="207" spans="1:19">
      <c r="A207" s="3" t="s">
        <v>865</v>
      </c>
      <c r="B207" s="31">
        <v>42743.735176273149</v>
      </c>
      <c r="C207" s="31">
        <v>42741.402777777781</v>
      </c>
      <c r="D207" s="3">
        <v>3035436398</v>
      </c>
      <c r="E207" s="3" t="s">
        <v>273</v>
      </c>
      <c r="F207" s="3" t="s">
        <v>854</v>
      </c>
      <c r="G207" s="3" t="s">
        <v>846</v>
      </c>
      <c r="H207" s="3" t="s">
        <v>115</v>
      </c>
      <c r="I207" s="3" t="s">
        <v>116</v>
      </c>
      <c r="J207" s="3" t="s">
        <v>69</v>
      </c>
      <c r="K207" s="3" t="s">
        <v>2977</v>
      </c>
      <c r="L207" s="3" t="s">
        <v>871</v>
      </c>
      <c r="M207" s="3" t="s">
        <v>84</v>
      </c>
      <c r="N207" s="3" t="s">
        <v>85</v>
      </c>
      <c r="O207" s="3" t="s">
        <v>233</v>
      </c>
      <c r="P207" s="3" t="s">
        <v>875</v>
      </c>
      <c r="Q207" s="31">
        <v>42753</v>
      </c>
      <c r="R207" s="3" t="s">
        <v>62</v>
      </c>
      <c r="S207" s="3" t="s">
        <v>529</v>
      </c>
    </row>
    <row r="208" spans="1:19">
      <c r="A208" s="3" t="s">
        <v>865</v>
      </c>
      <c r="B208" s="31">
        <v>42743.735176273149</v>
      </c>
      <c r="C208" s="31">
        <v>42741.439583333333</v>
      </c>
      <c r="D208" s="3">
        <v>3035541285</v>
      </c>
      <c r="E208" s="3" t="s">
        <v>9</v>
      </c>
      <c r="F208" s="3" t="s">
        <v>107</v>
      </c>
      <c r="G208" s="3" t="s">
        <v>108</v>
      </c>
      <c r="H208" s="3" t="s">
        <v>107</v>
      </c>
      <c r="I208" s="3" t="s">
        <v>108</v>
      </c>
      <c r="J208" s="3" t="s">
        <v>58</v>
      </c>
      <c r="K208" s="3" t="s">
        <v>2976</v>
      </c>
      <c r="L208" s="3" t="s">
        <v>866</v>
      </c>
      <c r="M208" s="3" t="s">
        <v>59</v>
      </c>
      <c r="N208" s="3" t="s">
        <v>60</v>
      </c>
      <c r="O208" s="3" t="s">
        <v>147</v>
      </c>
      <c r="P208" s="3" t="s">
        <v>875</v>
      </c>
      <c r="Q208" s="31">
        <v>42747</v>
      </c>
      <c r="R208" s="3" t="s">
        <v>62</v>
      </c>
      <c r="S208" s="3" t="s">
        <v>62</v>
      </c>
    </row>
    <row r="209" spans="1:19">
      <c r="A209" s="3" t="s">
        <v>865</v>
      </c>
      <c r="B209" s="31">
        <v>42741.73704378472</v>
      </c>
      <c r="C209" s="31">
        <v>42739.594444444447</v>
      </c>
      <c r="D209" s="3">
        <v>3035476868</v>
      </c>
      <c r="E209" s="3" t="s">
        <v>23</v>
      </c>
      <c r="F209" s="3" t="s">
        <v>862</v>
      </c>
      <c r="G209" s="3" t="s">
        <v>624</v>
      </c>
      <c r="H209" s="3" t="s">
        <v>862</v>
      </c>
      <c r="I209" s="3" t="s">
        <v>624</v>
      </c>
      <c r="J209" s="3" t="s">
        <v>69</v>
      </c>
      <c r="K209" s="3" t="s">
        <v>2976</v>
      </c>
      <c r="L209" s="3" t="s">
        <v>871</v>
      </c>
      <c r="M209" s="3" t="s">
        <v>844</v>
      </c>
      <c r="N209" s="3" t="s">
        <v>845</v>
      </c>
      <c r="O209" s="3" t="s">
        <v>882</v>
      </c>
      <c r="P209" s="3" t="s">
        <v>875</v>
      </c>
      <c r="Q209" s="31">
        <v>42744</v>
      </c>
      <c r="R209" s="3" t="s">
        <v>62</v>
      </c>
      <c r="S209" s="3" t="s">
        <v>62</v>
      </c>
    </row>
    <row r="210" spans="1:19">
      <c r="A210" s="3" t="s">
        <v>865</v>
      </c>
      <c r="B210" s="31">
        <v>42743.735176273149</v>
      </c>
      <c r="C210" s="31">
        <v>42741.637499999997</v>
      </c>
      <c r="D210" s="3">
        <v>3035549076</v>
      </c>
      <c r="E210" s="3" t="s">
        <v>273</v>
      </c>
      <c r="F210" s="3" t="s">
        <v>261</v>
      </c>
      <c r="G210" s="3" t="s">
        <v>311</v>
      </c>
      <c r="H210" s="3" t="s">
        <v>261</v>
      </c>
      <c r="I210" s="3" t="s">
        <v>311</v>
      </c>
      <c r="J210" s="3" t="s">
        <v>98</v>
      </c>
      <c r="K210" s="3" t="s">
        <v>2977</v>
      </c>
      <c r="L210" s="3" t="s">
        <v>866</v>
      </c>
      <c r="M210" s="3" t="s">
        <v>70</v>
      </c>
      <c r="N210" s="3" t="s">
        <v>71</v>
      </c>
      <c r="O210" s="3" t="s">
        <v>903</v>
      </c>
      <c r="P210" s="3" t="s">
        <v>875</v>
      </c>
      <c r="Q210" s="31">
        <v>42742</v>
      </c>
      <c r="R210" s="3" t="s">
        <v>62</v>
      </c>
      <c r="S210" s="3" t="s">
        <v>2985</v>
      </c>
    </row>
    <row r="211" spans="1:19">
      <c r="A211" s="3" t="s">
        <v>865</v>
      </c>
      <c r="B211" s="31">
        <v>42741.73704378472</v>
      </c>
      <c r="C211" s="31">
        <v>42739.668749999997</v>
      </c>
      <c r="D211" s="3">
        <v>3035175005</v>
      </c>
      <c r="E211" s="3" t="s">
        <v>23</v>
      </c>
      <c r="F211" s="3" t="s">
        <v>129</v>
      </c>
      <c r="G211" s="3" t="s">
        <v>130</v>
      </c>
      <c r="H211" s="3" t="s">
        <v>139</v>
      </c>
      <c r="I211" s="3" t="s">
        <v>140</v>
      </c>
      <c r="J211" s="3" t="s">
        <v>69</v>
      </c>
      <c r="K211" s="3" t="s">
        <v>2977</v>
      </c>
      <c r="L211" s="3" t="s">
        <v>871</v>
      </c>
      <c r="M211" s="3" t="s">
        <v>84</v>
      </c>
      <c r="N211" s="3" t="s">
        <v>85</v>
      </c>
      <c r="O211" s="3" t="s">
        <v>233</v>
      </c>
      <c r="P211" s="3" t="s">
        <v>875</v>
      </c>
      <c r="Q211" s="31">
        <v>42744</v>
      </c>
      <c r="R211" s="3" t="s">
        <v>62</v>
      </c>
      <c r="S211" s="3" t="s">
        <v>529</v>
      </c>
    </row>
    <row r="212" spans="1:19">
      <c r="A212" s="3" t="s">
        <v>865</v>
      </c>
      <c r="B212" s="31">
        <v>42741.73704378472</v>
      </c>
      <c r="C212" s="31">
        <v>42739.69027777778</v>
      </c>
      <c r="D212" s="3">
        <v>3035482183</v>
      </c>
      <c r="E212" s="3" t="s">
        <v>23</v>
      </c>
      <c r="F212" s="3" t="s">
        <v>186</v>
      </c>
      <c r="G212" s="3" t="s">
        <v>187</v>
      </c>
      <c r="H212" s="3" t="s">
        <v>186</v>
      </c>
      <c r="I212" s="3" t="s">
        <v>187</v>
      </c>
      <c r="J212" s="3" t="s">
        <v>69</v>
      </c>
      <c r="K212" s="3" t="s">
        <v>2976</v>
      </c>
      <c r="L212" s="3" t="s">
        <v>871</v>
      </c>
      <c r="M212" s="3" t="s">
        <v>84</v>
      </c>
      <c r="N212" s="3" t="s">
        <v>85</v>
      </c>
      <c r="O212" s="3" t="s">
        <v>3032</v>
      </c>
      <c r="P212" s="3" t="s">
        <v>875</v>
      </c>
      <c r="Q212" s="31">
        <v>42744</v>
      </c>
      <c r="R212" s="3" t="s">
        <v>62</v>
      </c>
      <c r="S212" s="3" t="s">
        <v>62</v>
      </c>
    </row>
    <row r="213" spans="1:19">
      <c r="A213" s="3" t="s">
        <v>865</v>
      </c>
      <c r="B213" s="31">
        <v>42743.735176273149</v>
      </c>
      <c r="C213" s="31">
        <v>42741.453472222223</v>
      </c>
      <c r="D213" s="3">
        <v>3035479027</v>
      </c>
      <c r="E213" s="3" t="s">
        <v>31</v>
      </c>
      <c r="F213" s="3" t="s">
        <v>852</v>
      </c>
      <c r="G213" s="3" t="s">
        <v>197</v>
      </c>
      <c r="H213" s="3" t="s">
        <v>209</v>
      </c>
      <c r="I213" s="3" t="s">
        <v>210</v>
      </c>
      <c r="J213" s="3" t="s">
        <v>58</v>
      </c>
      <c r="K213" s="3" t="s">
        <v>2977</v>
      </c>
      <c r="L213" s="3" t="s">
        <v>871</v>
      </c>
      <c r="M213" s="3" t="s">
        <v>84</v>
      </c>
      <c r="N213" s="3" t="s">
        <v>85</v>
      </c>
      <c r="O213" s="3" t="s">
        <v>233</v>
      </c>
      <c r="P213" s="3" t="s">
        <v>875</v>
      </c>
      <c r="Q213" s="31">
        <v>42753</v>
      </c>
      <c r="R213" s="3" t="s">
        <v>62</v>
      </c>
      <c r="S213" s="3" t="s">
        <v>529</v>
      </c>
    </row>
    <row r="214" spans="1:19">
      <c r="A214" s="3" t="s">
        <v>868</v>
      </c>
      <c r="B214" s="31">
        <v>42743.735176273149</v>
      </c>
      <c r="C214" s="31">
        <v>42741.470833333333</v>
      </c>
      <c r="D214" s="3">
        <v>3035542145</v>
      </c>
      <c r="E214" s="3" t="s">
        <v>9</v>
      </c>
      <c r="F214" s="3" t="s">
        <v>80</v>
      </c>
      <c r="G214" s="3" t="s">
        <v>81</v>
      </c>
      <c r="H214" s="3" t="s">
        <v>80</v>
      </c>
      <c r="I214" s="3" t="s">
        <v>81</v>
      </c>
      <c r="J214" s="3" t="s">
        <v>69</v>
      </c>
      <c r="K214" s="3" t="s">
        <v>2976</v>
      </c>
      <c r="L214" s="3" t="s">
        <v>871</v>
      </c>
      <c r="M214" s="3" t="s">
        <v>84</v>
      </c>
      <c r="N214" s="3" t="s">
        <v>85</v>
      </c>
      <c r="O214" s="3" t="s">
        <v>911</v>
      </c>
      <c r="P214" s="3" t="s">
        <v>875</v>
      </c>
      <c r="Q214" s="31">
        <v>42747</v>
      </c>
      <c r="R214" s="3" t="s">
        <v>62</v>
      </c>
      <c r="S214" s="3" t="s">
        <v>62</v>
      </c>
    </row>
    <row r="215" spans="1:19">
      <c r="A215" s="3" t="s">
        <v>865</v>
      </c>
      <c r="B215" s="31">
        <v>42741.73704378472</v>
      </c>
      <c r="C215" s="31">
        <v>42739.7</v>
      </c>
      <c r="D215" s="3">
        <v>3035482494</v>
      </c>
      <c r="E215" s="3" t="s">
        <v>39</v>
      </c>
      <c r="F215" s="3" t="s">
        <v>246</v>
      </c>
      <c r="G215" s="3" t="s">
        <v>247</v>
      </c>
      <c r="H215" s="3" t="s">
        <v>246</v>
      </c>
      <c r="I215" s="3" t="s">
        <v>247</v>
      </c>
      <c r="J215" s="3" t="s">
        <v>69</v>
      </c>
      <c r="K215" s="3" t="s">
        <v>2977</v>
      </c>
      <c r="L215" s="3" t="s">
        <v>871</v>
      </c>
      <c r="M215" s="3" t="s">
        <v>84</v>
      </c>
      <c r="N215" s="3" t="s">
        <v>85</v>
      </c>
      <c r="O215" s="3" t="s">
        <v>233</v>
      </c>
      <c r="P215" s="3" t="s">
        <v>875</v>
      </c>
      <c r="Q215" s="31">
        <v>42744</v>
      </c>
      <c r="R215" s="3" t="s">
        <v>62</v>
      </c>
      <c r="S215" s="3" t="s">
        <v>92</v>
      </c>
    </row>
    <row r="216" spans="1:19">
      <c r="A216" s="3" t="s">
        <v>865</v>
      </c>
      <c r="B216" s="31">
        <v>42741.73704378472</v>
      </c>
      <c r="C216" s="31">
        <v>42739.736111111109</v>
      </c>
      <c r="D216" s="3">
        <v>3035484471</v>
      </c>
      <c r="E216" s="3" t="s">
        <v>31</v>
      </c>
      <c r="F216" s="3" t="s">
        <v>852</v>
      </c>
      <c r="G216" s="3" t="s">
        <v>197</v>
      </c>
      <c r="H216" s="3" t="s">
        <v>852</v>
      </c>
      <c r="I216" s="3" t="s">
        <v>197</v>
      </c>
      <c r="J216" s="3" t="s">
        <v>97</v>
      </c>
      <c r="K216" s="3" t="s">
        <v>2976</v>
      </c>
      <c r="L216" s="3" t="s">
        <v>871</v>
      </c>
      <c r="M216" s="3" t="s">
        <v>84</v>
      </c>
      <c r="N216" s="3" t="s">
        <v>881</v>
      </c>
      <c r="O216" s="3" t="s">
        <v>3033</v>
      </c>
      <c r="P216" s="3" t="s">
        <v>875</v>
      </c>
      <c r="Q216" s="31">
        <v>42744</v>
      </c>
      <c r="R216" s="3" t="s">
        <v>62</v>
      </c>
      <c r="S216" s="3" t="s">
        <v>62</v>
      </c>
    </row>
    <row r="217" spans="1:19">
      <c r="A217" s="3" t="s">
        <v>865</v>
      </c>
      <c r="B217" s="31">
        <v>42741.73704378472</v>
      </c>
      <c r="C217" s="31">
        <v>42739.753472222219</v>
      </c>
      <c r="D217" s="3">
        <v>3035485325</v>
      </c>
      <c r="E217" s="3" t="s">
        <v>23</v>
      </c>
      <c r="F217" s="3" t="s">
        <v>862</v>
      </c>
      <c r="G217" s="3" t="s">
        <v>624</v>
      </c>
      <c r="H217" s="3" t="s">
        <v>862</v>
      </c>
      <c r="I217" s="3" t="s">
        <v>624</v>
      </c>
      <c r="J217" s="3" t="s">
        <v>69</v>
      </c>
      <c r="K217" s="3" t="s">
        <v>2976</v>
      </c>
      <c r="L217" s="3" t="s">
        <v>871</v>
      </c>
      <c r="M217" s="3" t="s">
        <v>84</v>
      </c>
      <c r="N217" s="3" t="s">
        <v>85</v>
      </c>
      <c r="O217" s="3" t="s">
        <v>925</v>
      </c>
      <c r="P217" s="3" t="s">
        <v>875</v>
      </c>
      <c r="Q217" s="31">
        <v>42744</v>
      </c>
      <c r="R217" s="3" t="s">
        <v>62</v>
      </c>
      <c r="S217" s="3" t="s">
        <v>62</v>
      </c>
    </row>
    <row r="218" spans="1:19">
      <c r="A218" s="3" t="s">
        <v>865</v>
      </c>
      <c r="B218" s="31">
        <v>42741.73704378472</v>
      </c>
      <c r="C218" s="31">
        <v>42739.803472222222</v>
      </c>
      <c r="D218" s="3">
        <v>3035452010</v>
      </c>
      <c r="E218" s="3" t="s">
        <v>39</v>
      </c>
      <c r="F218" s="3" t="s">
        <v>248</v>
      </c>
      <c r="G218" s="3" t="s">
        <v>249</v>
      </c>
      <c r="H218" s="3" t="s">
        <v>238</v>
      </c>
      <c r="I218" s="3" t="s">
        <v>239</v>
      </c>
      <c r="J218" s="3" t="s">
        <v>69</v>
      </c>
      <c r="K218" s="3" t="s">
        <v>2977</v>
      </c>
      <c r="L218" s="3" t="s">
        <v>871</v>
      </c>
      <c r="M218" s="3" t="s">
        <v>84</v>
      </c>
      <c r="N218" s="3" t="s">
        <v>85</v>
      </c>
      <c r="O218" s="3" t="s">
        <v>84</v>
      </c>
      <c r="P218" s="3" t="s">
        <v>875</v>
      </c>
      <c r="Q218" s="31">
        <v>42744</v>
      </c>
      <c r="R218" s="3" t="s">
        <v>62</v>
      </c>
      <c r="S218" s="3" t="s">
        <v>529</v>
      </c>
    </row>
    <row r="219" spans="1:19">
      <c r="A219" s="3" t="s">
        <v>868</v>
      </c>
      <c r="B219" s="31">
        <v>42741.73704378472</v>
      </c>
      <c r="C219" s="31">
        <v>42739.804861111108</v>
      </c>
      <c r="D219" s="3">
        <v>3035487225</v>
      </c>
      <c r="E219" s="3" t="s">
        <v>23</v>
      </c>
      <c r="F219" s="3" t="s">
        <v>119</v>
      </c>
      <c r="G219" s="3" t="s">
        <v>120</v>
      </c>
      <c r="H219" s="3" t="s">
        <v>119</v>
      </c>
      <c r="I219" s="3" t="s">
        <v>120</v>
      </c>
      <c r="J219" s="3" t="s">
        <v>69</v>
      </c>
      <c r="K219" s="3" t="s">
        <v>2976</v>
      </c>
      <c r="L219" s="3" t="s">
        <v>871</v>
      </c>
      <c r="M219" s="3" t="s">
        <v>84</v>
      </c>
      <c r="N219" s="3" t="s">
        <v>85</v>
      </c>
      <c r="O219" s="3" t="s">
        <v>84</v>
      </c>
      <c r="P219" s="3" t="s">
        <v>875</v>
      </c>
      <c r="Q219" s="31">
        <v>42744</v>
      </c>
      <c r="R219" s="3" t="s">
        <v>62</v>
      </c>
      <c r="S219" s="3" t="s">
        <v>62</v>
      </c>
    </row>
    <row r="220" spans="1:19">
      <c r="A220" s="3" t="s">
        <v>865</v>
      </c>
      <c r="B220" s="31">
        <v>42741.73704378472</v>
      </c>
      <c r="C220" s="31">
        <v>42739.821527777778</v>
      </c>
      <c r="D220" s="3">
        <v>3035488726</v>
      </c>
      <c r="E220" s="3" t="s">
        <v>39</v>
      </c>
      <c r="F220" s="3" t="s">
        <v>248</v>
      </c>
      <c r="G220" s="3" t="s">
        <v>249</v>
      </c>
      <c r="H220" s="3" t="s">
        <v>248</v>
      </c>
      <c r="I220" s="3" t="s">
        <v>249</v>
      </c>
      <c r="J220" s="3" t="s">
        <v>58</v>
      </c>
      <c r="K220" s="3" t="s">
        <v>2977</v>
      </c>
      <c r="L220" s="3" t="s">
        <v>871</v>
      </c>
      <c r="M220" s="3" t="s">
        <v>84</v>
      </c>
      <c r="N220" s="3" t="s">
        <v>85</v>
      </c>
      <c r="O220" s="3" t="s">
        <v>233</v>
      </c>
      <c r="P220" s="3" t="s">
        <v>875</v>
      </c>
      <c r="Q220" s="31">
        <v>42744</v>
      </c>
      <c r="R220" s="3" t="s">
        <v>62</v>
      </c>
      <c r="S220" s="3" t="s">
        <v>92</v>
      </c>
    </row>
    <row r="221" spans="1:19">
      <c r="A221" s="3" t="s">
        <v>865</v>
      </c>
      <c r="B221" s="31">
        <v>42742.73709116898</v>
      </c>
      <c r="C221" s="31">
        <v>42740.507638888892</v>
      </c>
      <c r="D221" s="3">
        <v>3035509577</v>
      </c>
      <c r="E221" s="3" t="s">
        <v>273</v>
      </c>
      <c r="F221" s="3" t="s">
        <v>890</v>
      </c>
      <c r="G221" s="3" t="s">
        <v>891</v>
      </c>
      <c r="H221" s="3" t="s">
        <v>890</v>
      </c>
      <c r="I221" s="3" t="s">
        <v>891</v>
      </c>
      <c r="J221" s="3" t="s">
        <v>97</v>
      </c>
      <c r="K221" s="3" t="s">
        <v>2977</v>
      </c>
      <c r="L221" s="3" t="s">
        <v>871</v>
      </c>
      <c r="M221" s="3" t="s">
        <v>84</v>
      </c>
      <c r="N221" s="3" t="s">
        <v>85</v>
      </c>
      <c r="O221" s="3" t="s">
        <v>233</v>
      </c>
      <c r="P221" s="3" t="s">
        <v>875</v>
      </c>
      <c r="Q221" s="31">
        <v>42751</v>
      </c>
      <c r="R221" s="3" t="s">
        <v>62</v>
      </c>
      <c r="S221" s="3" t="s">
        <v>2985</v>
      </c>
    </row>
    <row r="222" spans="1:19">
      <c r="A222" s="3" t="s">
        <v>865</v>
      </c>
      <c r="B222" s="31">
        <v>42743.735176273149</v>
      </c>
      <c r="C222" s="31">
        <v>42741.474305555559</v>
      </c>
      <c r="D222" s="3">
        <v>3035470989</v>
      </c>
      <c r="E222" s="3" t="s">
        <v>2978</v>
      </c>
      <c r="F222" s="3" t="s">
        <v>256</v>
      </c>
      <c r="G222" s="3" t="s">
        <v>879</v>
      </c>
      <c r="H222" s="3" t="s">
        <v>142</v>
      </c>
      <c r="I222" s="3" t="s">
        <v>143</v>
      </c>
      <c r="J222" s="3" t="s">
        <v>98</v>
      </c>
      <c r="K222" s="3" t="s">
        <v>2977</v>
      </c>
      <c r="L222" s="3" t="s">
        <v>871</v>
      </c>
      <c r="M222" s="3" t="s">
        <v>84</v>
      </c>
      <c r="N222" s="3" t="s">
        <v>85</v>
      </c>
      <c r="O222" s="3" t="s">
        <v>233</v>
      </c>
      <c r="P222" s="3" t="s">
        <v>875</v>
      </c>
      <c r="Q222" s="31">
        <v>42753</v>
      </c>
      <c r="R222" s="3" t="s">
        <v>62</v>
      </c>
      <c r="S222" s="3" t="s">
        <v>1355</v>
      </c>
    </row>
    <row r="223" spans="1:19">
      <c r="A223" s="3" t="s">
        <v>865</v>
      </c>
      <c r="B223" s="31">
        <v>42742.73709116898</v>
      </c>
      <c r="C223" s="31">
        <v>42740.525694444441</v>
      </c>
      <c r="D223" s="3">
        <v>3035510090</v>
      </c>
      <c r="E223" s="3" t="s">
        <v>273</v>
      </c>
      <c r="F223" s="3" t="s">
        <v>141</v>
      </c>
      <c r="G223" s="3" t="s">
        <v>560</v>
      </c>
      <c r="H223" s="3" t="s">
        <v>141</v>
      </c>
      <c r="I223" s="3" t="s">
        <v>560</v>
      </c>
      <c r="J223" s="3" t="s">
        <v>69</v>
      </c>
      <c r="K223" s="3" t="s">
        <v>2977</v>
      </c>
      <c r="L223" s="3" t="s">
        <v>866</v>
      </c>
      <c r="M223" s="3" t="s">
        <v>59</v>
      </c>
      <c r="N223" s="3" t="s">
        <v>60</v>
      </c>
      <c r="O223" s="3" t="s">
        <v>147</v>
      </c>
      <c r="P223" s="3" t="s">
        <v>875</v>
      </c>
      <c r="Q223" s="31">
        <v>42751</v>
      </c>
      <c r="R223" s="3" t="s">
        <v>62</v>
      </c>
      <c r="S223" s="3" t="s">
        <v>2985</v>
      </c>
    </row>
    <row r="224" spans="1:19">
      <c r="A224" s="3" t="s">
        <v>868</v>
      </c>
      <c r="B224" s="31">
        <v>42742.73709116898</v>
      </c>
      <c r="C224" s="31">
        <v>42740.565972222219</v>
      </c>
      <c r="D224" s="3">
        <v>3035511175</v>
      </c>
      <c r="E224" s="3" t="s">
        <v>9</v>
      </c>
      <c r="F224" s="3" t="s">
        <v>67</v>
      </c>
      <c r="G224" s="3" t="s">
        <v>68</v>
      </c>
      <c r="H224" s="3" t="s">
        <v>67</v>
      </c>
      <c r="I224" s="3" t="s">
        <v>68</v>
      </c>
      <c r="J224" s="3" t="s">
        <v>69</v>
      </c>
      <c r="K224" s="3" t="s">
        <v>2976</v>
      </c>
      <c r="L224" s="3" t="s">
        <v>871</v>
      </c>
      <c r="M224" s="3" t="s">
        <v>84</v>
      </c>
      <c r="N224" s="3" t="s">
        <v>85</v>
      </c>
      <c r="O224" s="3" t="s">
        <v>233</v>
      </c>
      <c r="P224" s="3" t="s">
        <v>875</v>
      </c>
      <c r="Q224" s="31">
        <v>42744</v>
      </c>
      <c r="R224" s="3" t="s">
        <v>62</v>
      </c>
      <c r="S224" s="3" t="s">
        <v>62</v>
      </c>
    </row>
    <row r="225" spans="1:19">
      <c r="A225" s="3" t="s">
        <v>865</v>
      </c>
      <c r="B225" s="31">
        <v>42742.73709116898</v>
      </c>
      <c r="C225" s="31">
        <v>42740.583333333336</v>
      </c>
      <c r="D225" s="3">
        <v>3035512332</v>
      </c>
      <c r="E225" s="3" t="s">
        <v>9</v>
      </c>
      <c r="F225" s="3" t="s">
        <v>111</v>
      </c>
      <c r="G225" s="3" t="s">
        <v>112</v>
      </c>
      <c r="H225" s="3" t="s">
        <v>111</v>
      </c>
      <c r="I225" s="3" t="s">
        <v>112</v>
      </c>
      <c r="J225" s="3" t="s">
        <v>69</v>
      </c>
      <c r="K225" s="3" t="s">
        <v>2976</v>
      </c>
      <c r="L225" s="3" t="s">
        <v>871</v>
      </c>
      <c r="M225" s="3" t="s">
        <v>84</v>
      </c>
      <c r="N225" s="3" t="s">
        <v>85</v>
      </c>
      <c r="O225" s="3" t="s">
        <v>233</v>
      </c>
      <c r="P225" s="3" t="s">
        <v>875</v>
      </c>
      <c r="Q225" s="31">
        <v>42751</v>
      </c>
      <c r="R225" s="3" t="s">
        <v>62</v>
      </c>
      <c r="S225" s="3" t="s">
        <v>62</v>
      </c>
    </row>
    <row r="226" spans="1:19">
      <c r="A226" s="3" t="s">
        <v>865</v>
      </c>
      <c r="B226" s="31">
        <v>42743.735176273149</v>
      </c>
      <c r="C226" s="31">
        <v>42741.561805555553</v>
      </c>
      <c r="D226" s="3">
        <v>3035545336</v>
      </c>
      <c r="E226" s="3" t="s">
        <v>273</v>
      </c>
      <c r="F226" s="3" t="s">
        <v>265</v>
      </c>
      <c r="G226" s="3" t="s">
        <v>266</v>
      </c>
      <c r="H226" s="3" t="s">
        <v>265</v>
      </c>
      <c r="I226" s="3" t="s">
        <v>266</v>
      </c>
      <c r="J226" s="3" t="s">
        <v>144</v>
      </c>
      <c r="K226" s="3" t="s">
        <v>2977</v>
      </c>
      <c r="L226" s="3" t="s">
        <v>871</v>
      </c>
      <c r="M226" s="3" t="s">
        <v>84</v>
      </c>
      <c r="N226" s="3" t="s">
        <v>85</v>
      </c>
      <c r="O226" s="3" t="s">
        <v>3020</v>
      </c>
      <c r="P226" s="3" t="s">
        <v>875</v>
      </c>
      <c r="Q226" s="31">
        <v>42753</v>
      </c>
      <c r="R226" s="3" t="s">
        <v>62</v>
      </c>
      <c r="S226" s="3" t="s">
        <v>2985</v>
      </c>
    </row>
    <row r="227" spans="1:19">
      <c r="A227" s="3" t="s">
        <v>865</v>
      </c>
      <c r="B227" s="31">
        <v>42742.73709116898</v>
      </c>
      <c r="C227" s="31">
        <v>42740.584027777775</v>
      </c>
      <c r="D227" s="3">
        <v>3035361871</v>
      </c>
      <c r="E227" s="3" t="s">
        <v>273</v>
      </c>
      <c r="F227" s="3" t="s">
        <v>252</v>
      </c>
      <c r="G227" s="3" t="s">
        <v>870</v>
      </c>
      <c r="H227" s="3" t="s">
        <v>115</v>
      </c>
      <c r="I227" s="3" t="s">
        <v>116</v>
      </c>
      <c r="J227" s="3" t="s">
        <v>98</v>
      </c>
      <c r="K227" s="3" t="s">
        <v>2977</v>
      </c>
      <c r="L227" s="3" t="s">
        <v>871</v>
      </c>
      <c r="M227" s="3" t="s">
        <v>84</v>
      </c>
      <c r="N227" s="3" t="s">
        <v>85</v>
      </c>
      <c r="O227" s="3" t="s">
        <v>233</v>
      </c>
      <c r="P227" s="3" t="s">
        <v>875</v>
      </c>
      <c r="Q227" s="31">
        <v>42751</v>
      </c>
      <c r="R227" s="3" t="s">
        <v>62</v>
      </c>
      <c r="S227" s="3" t="s">
        <v>529</v>
      </c>
    </row>
    <row r="228" spans="1:19">
      <c r="A228" s="3" t="s">
        <v>865</v>
      </c>
      <c r="B228" s="31">
        <v>42743.735176273149</v>
      </c>
      <c r="C228" s="31">
        <v>42741.583333333336</v>
      </c>
      <c r="D228" s="3">
        <v>3035546229</v>
      </c>
      <c r="E228" s="3" t="s">
        <v>9</v>
      </c>
      <c r="F228" s="3" t="s">
        <v>111</v>
      </c>
      <c r="G228" s="3" t="s">
        <v>112</v>
      </c>
      <c r="H228" s="3" t="s">
        <v>111</v>
      </c>
      <c r="I228" s="3" t="s">
        <v>112</v>
      </c>
      <c r="J228" s="3" t="s">
        <v>58</v>
      </c>
      <c r="K228" s="3" t="s">
        <v>2976</v>
      </c>
      <c r="L228" s="3" t="s">
        <v>866</v>
      </c>
      <c r="M228" s="3" t="s">
        <v>59</v>
      </c>
      <c r="N228" s="3" t="s">
        <v>60</v>
      </c>
      <c r="O228" s="3" t="s">
        <v>147</v>
      </c>
      <c r="P228" s="3" t="s">
        <v>875</v>
      </c>
      <c r="Q228" s="31">
        <v>42747</v>
      </c>
      <c r="R228" s="3" t="s">
        <v>62</v>
      </c>
      <c r="S228" s="3" t="s">
        <v>62</v>
      </c>
    </row>
    <row r="229" spans="1:19">
      <c r="A229" s="3" t="s">
        <v>865</v>
      </c>
      <c r="B229" s="31">
        <v>42743.735176273149</v>
      </c>
      <c r="C229" s="31">
        <v>42741.586111111108</v>
      </c>
      <c r="D229" s="3">
        <v>3035546459</v>
      </c>
      <c r="E229" s="3" t="s">
        <v>9</v>
      </c>
      <c r="F229" s="3" t="s">
        <v>73</v>
      </c>
      <c r="G229" s="3" t="s">
        <v>74</v>
      </c>
      <c r="H229" s="3" t="s">
        <v>73</v>
      </c>
      <c r="I229" s="3" t="s">
        <v>74</v>
      </c>
      <c r="J229" s="3" t="s">
        <v>69</v>
      </c>
      <c r="K229" s="3" t="s">
        <v>2976</v>
      </c>
      <c r="L229" s="3" t="s">
        <v>871</v>
      </c>
      <c r="M229" s="3" t="s">
        <v>84</v>
      </c>
      <c r="N229" s="3" t="s">
        <v>85</v>
      </c>
      <c r="O229" s="3" t="s">
        <v>912</v>
      </c>
      <c r="P229" s="3" t="s">
        <v>875</v>
      </c>
      <c r="Q229" s="31">
        <v>42751</v>
      </c>
      <c r="R229" s="3" t="s">
        <v>62</v>
      </c>
      <c r="S229" s="3" t="s">
        <v>62</v>
      </c>
    </row>
    <row r="230" spans="1:19">
      <c r="A230" s="3" t="s">
        <v>868</v>
      </c>
      <c r="B230" s="31">
        <v>42743.735176273149</v>
      </c>
      <c r="C230" s="31">
        <v>42741.736111111109</v>
      </c>
      <c r="D230" s="3">
        <v>3035552540</v>
      </c>
      <c r="E230" s="3" t="s">
        <v>39</v>
      </c>
      <c r="F230" s="3" t="s">
        <v>248</v>
      </c>
      <c r="G230" s="3" t="s">
        <v>249</v>
      </c>
      <c r="H230" s="3" t="s">
        <v>248</v>
      </c>
      <c r="I230" s="3" t="s">
        <v>249</v>
      </c>
      <c r="J230" s="3" t="s">
        <v>69</v>
      </c>
      <c r="K230" s="3" t="s">
        <v>2977</v>
      </c>
      <c r="L230" s="3" t="s">
        <v>866</v>
      </c>
      <c r="M230" s="3" t="s">
        <v>59</v>
      </c>
      <c r="N230" s="3" t="s">
        <v>60</v>
      </c>
      <c r="O230" s="3" t="s">
        <v>147</v>
      </c>
      <c r="P230" s="3" t="s">
        <v>875</v>
      </c>
      <c r="Q230" s="31">
        <v>42742</v>
      </c>
      <c r="R230" s="3" t="s">
        <v>62</v>
      </c>
      <c r="S230" s="3" t="s">
        <v>92</v>
      </c>
    </row>
    <row r="231" spans="1:19">
      <c r="A231" s="3" t="s">
        <v>865</v>
      </c>
      <c r="B231" s="31">
        <v>42743.735176273149</v>
      </c>
      <c r="C231" s="31">
        <v>42741.59652777778</v>
      </c>
      <c r="D231" s="3">
        <v>3035435684</v>
      </c>
      <c r="E231" s="3" t="s">
        <v>23</v>
      </c>
      <c r="F231" s="3" t="s">
        <v>183</v>
      </c>
      <c r="G231" s="3" t="s">
        <v>184</v>
      </c>
      <c r="H231" s="3" t="s">
        <v>139</v>
      </c>
      <c r="I231" s="3" t="s">
        <v>140</v>
      </c>
      <c r="J231" s="3" t="s">
        <v>69</v>
      </c>
      <c r="K231" s="3" t="s">
        <v>2977</v>
      </c>
      <c r="L231" s="3" t="s">
        <v>866</v>
      </c>
      <c r="M231" s="3" t="s">
        <v>70</v>
      </c>
      <c r="N231" s="3" t="s">
        <v>71</v>
      </c>
      <c r="O231" s="3" t="s">
        <v>884</v>
      </c>
      <c r="P231" s="3" t="s">
        <v>875</v>
      </c>
      <c r="Q231" s="31">
        <v>42747</v>
      </c>
      <c r="R231" s="3" t="s">
        <v>62</v>
      </c>
      <c r="S231" s="3" t="s">
        <v>529</v>
      </c>
    </row>
    <row r="232" spans="1:19">
      <c r="A232" s="3" t="s">
        <v>865</v>
      </c>
      <c r="B232" s="31">
        <v>42743.735176273149</v>
      </c>
      <c r="C232" s="31">
        <v>42741.613888888889</v>
      </c>
      <c r="D232" s="3">
        <v>3035442835</v>
      </c>
      <c r="E232" s="3" t="s">
        <v>23</v>
      </c>
      <c r="F232" s="3" t="s">
        <v>862</v>
      </c>
      <c r="G232" s="3" t="s">
        <v>624</v>
      </c>
      <c r="H232" s="3" t="s">
        <v>139</v>
      </c>
      <c r="I232" s="3" t="s">
        <v>140</v>
      </c>
      <c r="J232" s="3" t="s">
        <v>98</v>
      </c>
      <c r="K232" s="3" t="s">
        <v>2977</v>
      </c>
      <c r="L232" s="3" t="s">
        <v>871</v>
      </c>
      <c r="M232" s="3" t="s">
        <v>84</v>
      </c>
      <c r="N232" s="3" t="s">
        <v>85</v>
      </c>
      <c r="O232" s="3" t="s">
        <v>3034</v>
      </c>
      <c r="P232" s="3" t="s">
        <v>875</v>
      </c>
      <c r="Q232" s="31">
        <v>42744</v>
      </c>
      <c r="R232" s="3" t="s">
        <v>62</v>
      </c>
      <c r="S232" s="3" t="s">
        <v>529</v>
      </c>
    </row>
    <row r="233" spans="1:19">
      <c r="A233" s="3" t="s">
        <v>865</v>
      </c>
      <c r="B233" s="31">
        <v>42743.735176273149</v>
      </c>
      <c r="C233" s="31">
        <v>42741.826388888891</v>
      </c>
      <c r="D233" s="3">
        <v>3035480587</v>
      </c>
      <c r="E233" s="3" t="s">
        <v>39</v>
      </c>
      <c r="F233" s="3" t="s">
        <v>234</v>
      </c>
      <c r="G233" s="3" t="s">
        <v>235</v>
      </c>
      <c r="H233" s="3" t="s">
        <v>238</v>
      </c>
      <c r="I233" s="3" t="s">
        <v>239</v>
      </c>
      <c r="J233" s="3" t="s">
        <v>69</v>
      </c>
      <c r="K233" s="3" t="s">
        <v>2977</v>
      </c>
      <c r="L233" s="3" t="s">
        <v>866</v>
      </c>
      <c r="M233" s="3" t="s">
        <v>70</v>
      </c>
      <c r="N233" s="3" t="s">
        <v>71</v>
      </c>
      <c r="O233" s="3" t="s">
        <v>855</v>
      </c>
      <c r="P233" s="3" t="s">
        <v>875</v>
      </c>
      <c r="Q233" s="31">
        <v>42742</v>
      </c>
      <c r="R233" s="3" t="s">
        <v>62</v>
      </c>
      <c r="S233" s="3" t="s">
        <v>529</v>
      </c>
    </row>
    <row r="234" spans="1:19">
      <c r="A234" s="3" t="s">
        <v>868</v>
      </c>
      <c r="B234" s="31">
        <v>42743.735176273149</v>
      </c>
      <c r="C234" s="31">
        <v>42741.645833333336</v>
      </c>
      <c r="D234" s="3">
        <v>3035549488</v>
      </c>
      <c r="E234" s="3" t="s">
        <v>23</v>
      </c>
      <c r="F234" s="3" t="s">
        <v>862</v>
      </c>
      <c r="G234" s="3" t="s">
        <v>624</v>
      </c>
      <c r="H234" s="3" t="s">
        <v>862</v>
      </c>
      <c r="I234" s="3" t="s">
        <v>624</v>
      </c>
      <c r="J234" s="3" t="s">
        <v>69</v>
      </c>
      <c r="K234" s="3" t="s">
        <v>2976</v>
      </c>
      <c r="L234" s="3" t="s">
        <v>871</v>
      </c>
      <c r="M234" s="3" t="s">
        <v>84</v>
      </c>
      <c r="N234" s="3" t="s">
        <v>85</v>
      </c>
      <c r="O234" s="3" t="s">
        <v>3035</v>
      </c>
      <c r="P234" s="3" t="s">
        <v>875</v>
      </c>
      <c r="Q234" s="31">
        <v>42751</v>
      </c>
      <c r="R234" s="3" t="s">
        <v>62</v>
      </c>
      <c r="S234" s="3" t="s">
        <v>62</v>
      </c>
    </row>
    <row r="235" spans="1:19">
      <c r="A235" s="3" t="s">
        <v>865</v>
      </c>
      <c r="B235" s="31">
        <v>42743.735176273149</v>
      </c>
      <c r="C235" s="31">
        <v>42741.65902777778</v>
      </c>
      <c r="D235" s="3">
        <v>3035312099</v>
      </c>
      <c r="E235" s="3" t="s">
        <v>23</v>
      </c>
      <c r="F235" s="3" t="s">
        <v>131</v>
      </c>
      <c r="G235" s="3" t="s">
        <v>132</v>
      </c>
      <c r="H235" s="3" t="s">
        <v>139</v>
      </c>
      <c r="I235" s="3" t="s">
        <v>140</v>
      </c>
      <c r="J235" s="3" t="s">
        <v>58</v>
      </c>
      <c r="K235" s="3" t="s">
        <v>2977</v>
      </c>
      <c r="L235" s="3" t="s">
        <v>871</v>
      </c>
      <c r="M235" s="3" t="s">
        <v>84</v>
      </c>
      <c r="N235" s="3" t="s">
        <v>85</v>
      </c>
      <c r="O235" s="3" t="s">
        <v>3036</v>
      </c>
      <c r="P235" s="3" t="s">
        <v>875</v>
      </c>
      <c r="Q235" s="31">
        <v>42744</v>
      </c>
      <c r="R235" s="3" t="s">
        <v>62</v>
      </c>
      <c r="S235" s="3" t="s">
        <v>529</v>
      </c>
    </row>
    <row r="236" spans="1:19">
      <c r="A236" s="3" t="s">
        <v>868</v>
      </c>
      <c r="B236" s="31">
        <v>42743.735176273149</v>
      </c>
      <c r="C236" s="31">
        <v>42741.711805555555</v>
      </c>
      <c r="D236" s="3">
        <v>3035518233</v>
      </c>
      <c r="E236" s="3" t="s">
        <v>23</v>
      </c>
      <c r="F236" s="3" t="s">
        <v>137</v>
      </c>
      <c r="G236" s="3" t="s">
        <v>138</v>
      </c>
      <c r="H236" s="3" t="s">
        <v>139</v>
      </c>
      <c r="I236" s="3" t="s">
        <v>140</v>
      </c>
      <c r="J236" s="3" t="s">
        <v>69</v>
      </c>
      <c r="K236" s="3" t="s">
        <v>2977</v>
      </c>
      <c r="L236" s="3" t="s">
        <v>871</v>
      </c>
      <c r="M236" s="3" t="s">
        <v>84</v>
      </c>
      <c r="N236" s="3" t="s">
        <v>85</v>
      </c>
      <c r="O236" s="3" t="s">
        <v>911</v>
      </c>
      <c r="P236" s="3" t="s">
        <v>875</v>
      </c>
      <c r="Q236" s="31">
        <v>42747</v>
      </c>
      <c r="R236" s="3" t="s">
        <v>62</v>
      </c>
      <c r="S236" s="3" t="s">
        <v>529</v>
      </c>
    </row>
    <row r="237" spans="1:19">
      <c r="A237" s="3" t="s">
        <v>865</v>
      </c>
      <c r="B237" s="31">
        <v>42743.735176273149</v>
      </c>
      <c r="C237" s="31">
        <v>42741.727777777778</v>
      </c>
      <c r="D237" s="3">
        <v>3035553274</v>
      </c>
      <c r="E237" s="3" t="s">
        <v>9</v>
      </c>
      <c r="F237" s="3" t="s">
        <v>67</v>
      </c>
      <c r="G237" s="3" t="s">
        <v>68</v>
      </c>
      <c r="H237" s="3" t="s">
        <v>67</v>
      </c>
      <c r="I237" s="3" t="s">
        <v>68</v>
      </c>
      <c r="J237" s="3" t="s">
        <v>69</v>
      </c>
      <c r="K237" s="3" t="s">
        <v>2976</v>
      </c>
      <c r="L237" s="3" t="s">
        <v>871</v>
      </c>
      <c r="M237" s="3" t="s">
        <v>84</v>
      </c>
      <c r="N237" s="3" t="s">
        <v>85</v>
      </c>
      <c r="O237" s="3" t="s">
        <v>233</v>
      </c>
      <c r="P237" s="3" t="s">
        <v>875</v>
      </c>
      <c r="Q237" s="31">
        <v>42753</v>
      </c>
      <c r="R237" s="3" t="s">
        <v>62</v>
      </c>
      <c r="S237" s="3" t="s">
        <v>62</v>
      </c>
    </row>
    <row r="238" spans="1:19">
      <c r="A238" s="3" t="s">
        <v>865</v>
      </c>
      <c r="B238" s="31">
        <v>42744.734167210649</v>
      </c>
      <c r="C238" s="31">
        <v>42742.624305555553</v>
      </c>
      <c r="D238" s="3">
        <v>3035273881</v>
      </c>
      <c r="E238" s="3" t="s">
        <v>39</v>
      </c>
      <c r="F238" s="3" t="s">
        <v>244</v>
      </c>
      <c r="G238" s="3" t="s">
        <v>245</v>
      </c>
      <c r="H238" s="3" t="s">
        <v>244</v>
      </c>
      <c r="I238" s="3" t="s">
        <v>245</v>
      </c>
      <c r="J238" s="3" t="s">
        <v>69</v>
      </c>
      <c r="K238" s="3" t="s">
        <v>2977</v>
      </c>
      <c r="L238" s="3" t="s">
        <v>871</v>
      </c>
      <c r="M238" s="3" t="s">
        <v>84</v>
      </c>
      <c r="N238" s="3" t="s">
        <v>85</v>
      </c>
      <c r="O238" s="3" t="s">
        <v>233</v>
      </c>
      <c r="P238" s="3" t="s">
        <v>875</v>
      </c>
      <c r="Q238" s="31">
        <v>42753</v>
      </c>
      <c r="R238" s="3" t="s">
        <v>62</v>
      </c>
      <c r="S238" s="3" t="s">
        <v>92</v>
      </c>
    </row>
    <row r="239" spans="1:19">
      <c r="A239" s="3" t="s">
        <v>865</v>
      </c>
      <c r="B239" s="31">
        <v>42744.734167210649</v>
      </c>
      <c r="C239" s="31">
        <v>42742.676388888889</v>
      </c>
      <c r="D239" s="3">
        <v>3035572130</v>
      </c>
      <c r="E239" s="3" t="s">
        <v>23</v>
      </c>
      <c r="F239" s="3" t="s">
        <v>129</v>
      </c>
      <c r="G239" s="3" t="s">
        <v>130</v>
      </c>
      <c r="H239" s="3" t="s">
        <v>129</v>
      </c>
      <c r="I239" s="3" t="s">
        <v>130</v>
      </c>
      <c r="J239" s="3" t="s">
        <v>69</v>
      </c>
      <c r="K239" s="3" t="s">
        <v>2976</v>
      </c>
      <c r="L239" s="3" t="s">
        <v>866</v>
      </c>
      <c r="M239" s="3" t="s">
        <v>59</v>
      </c>
      <c r="N239" s="3" t="s">
        <v>60</v>
      </c>
      <c r="O239" s="3" t="s">
        <v>147</v>
      </c>
      <c r="P239" s="3" t="s">
        <v>875</v>
      </c>
      <c r="Q239" s="31">
        <v>42751</v>
      </c>
      <c r="R239" s="3" t="s">
        <v>62</v>
      </c>
      <c r="S239" s="3" t="s">
        <v>62</v>
      </c>
    </row>
    <row r="240" spans="1:19">
      <c r="A240" s="3" t="s">
        <v>865</v>
      </c>
      <c r="B240" s="31">
        <v>42744.734167210649</v>
      </c>
      <c r="C240" s="31">
        <v>42742.697916666664</v>
      </c>
      <c r="D240" s="3">
        <v>3035571660</v>
      </c>
      <c r="E240" s="3" t="s">
        <v>23</v>
      </c>
      <c r="F240" s="3" t="s">
        <v>119</v>
      </c>
      <c r="G240" s="3" t="s">
        <v>120</v>
      </c>
      <c r="H240" s="3" t="s">
        <v>119</v>
      </c>
      <c r="I240" s="3" t="s">
        <v>120</v>
      </c>
      <c r="J240" s="3" t="s">
        <v>69</v>
      </c>
      <c r="K240" s="3" t="s">
        <v>2976</v>
      </c>
      <c r="L240" s="3" t="s">
        <v>866</v>
      </c>
      <c r="M240" s="3" t="s">
        <v>59</v>
      </c>
      <c r="N240" s="3" t="s">
        <v>60</v>
      </c>
      <c r="O240" s="3" t="s">
        <v>147</v>
      </c>
      <c r="P240" s="3" t="s">
        <v>875</v>
      </c>
      <c r="Q240" s="31">
        <v>42747</v>
      </c>
      <c r="R240" s="3" t="s">
        <v>62</v>
      </c>
      <c r="S240" s="3" t="s">
        <v>62</v>
      </c>
    </row>
    <row r="241" spans="1:19">
      <c r="A241" s="3" t="s">
        <v>865</v>
      </c>
      <c r="B241" s="31">
        <v>42744.734167210649</v>
      </c>
      <c r="C241" s="31">
        <v>42742.712500000001</v>
      </c>
      <c r="D241" s="3">
        <v>3035573100</v>
      </c>
      <c r="E241" s="3" t="s">
        <v>39</v>
      </c>
      <c r="F241" s="3" t="s">
        <v>225</v>
      </c>
      <c r="G241" s="3" t="s">
        <v>226</v>
      </c>
      <c r="H241" s="3" t="s">
        <v>225</v>
      </c>
      <c r="I241" s="3" t="s">
        <v>226</v>
      </c>
      <c r="J241" s="3" t="s">
        <v>69</v>
      </c>
      <c r="K241" s="3" t="s">
        <v>2977</v>
      </c>
      <c r="L241" s="3" t="s">
        <v>871</v>
      </c>
      <c r="M241" s="3" t="s">
        <v>84</v>
      </c>
      <c r="N241" s="3" t="s">
        <v>85</v>
      </c>
      <c r="O241" s="3" t="s">
        <v>3020</v>
      </c>
      <c r="P241" s="3" t="s">
        <v>875</v>
      </c>
      <c r="Q241" s="31">
        <v>42753</v>
      </c>
      <c r="R241" s="3" t="s">
        <v>62</v>
      </c>
      <c r="S241" s="3" t="s">
        <v>92</v>
      </c>
    </row>
    <row r="242" spans="1:19">
      <c r="A242" s="3" t="s">
        <v>865</v>
      </c>
      <c r="B242" s="31">
        <v>42744.734167210649</v>
      </c>
      <c r="C242" s="31">
        <v>42742.769444444442</v>
      </c>
      <c r="D242" s="3">
        <v>3035517860</v>
      </c>
      <c r="E242" s="3" t="s">
        <v>23</v>
      </c>
      <c r="F242" s="3" t="s">
        <v>183</v>
      </c>
      <c r="G242" s="3" t="s">
        <v>184</v>
      </c>
      <c r="H242" s="3" t="s">
        <v>119</v>
      </c>
      <c r="I242" s="3" t="s">
        <v>120</v>
      </c>
      <c r="J242" s="3" t="s">
        <v>69</v>
      </c>
      <c r="K242" s="3" t="s">
        <v>2976</v>
      </c>
      <c r="L242" s="3" t="s">
        <v>871</v>
      </c>
      <c r="M242" s="3" t="s">
        <v>84</v>
      </c>
      <c r="N242" s="3" t="s">
        <v>85</v>
      </c>
      <c r="O242" s="3" t="s">
        <v>3640</v>
      </c>
      <c r="P242" s="3" t="s">
        <v>875</v>
      </c>
      <c r="Q242" s="31">
        <v>42751</v>
      </c>
      <c r="R242" s="3" t="s">
        <v>62</v>
      </c>
      <c r="S242" s="3" t="s">
        <v>62</v>
      </c>
    </row>
    <row r="243" spans="1:19">
      <c r="A243" s="3" t="s">
        <v>865</v>
      </c>
      <c r="B243" s="31">
        <v>42746.737756446761</v>
      </c>
      <c r="C243" s="31">
        <v>42744.378472222219</v>
      </c>
      <c r="D243" s="3">
        <v>3035601708</v>
      </c>
      <c r="E243" s="3" t="s">
        <v>31</v>
      </c>
      <c r="F243" s="3" t="s">
        <v>202</v>
      </c>
      <c r="G243" s="3" t="s">
        <v>203</v>
      </c>
      <c r="H243" s="3" t="s">
        <v>202</v>
      </c>
      <c r="I243" s="3" t="s">
        <v>203</v>
      </c>
      <c r="J243" s="3" t="s">
        <v>69</v>
      </c>
      <c r="K243" s="3" t="s">
        <v>2976</v>
      </c>
      <c r="L243" s="3" t="s">
        <v>871</v>
      </c>
      <c r="M243" s="3" t="s">
        <v>84</v>
      </c>
      <c r="N243" s="3" t="s">
        <v>85</v>
      </c>
      <c r="O243" s="3" t="s">
        <v>233</v>
      </c>
      <c r="P243" s="3" t="s">
        <v>875</v>
      </c>
      <c r="Q243" s="31">
        <v>42747</v>
      </c>
      <c r="R243" s="3" t="s">
        <v>62</v>
      </c>
      <c r="S243" s="3" t="s">
        <v>62</v>
      </c>
    </row>
    <row r="244" spans="1:19">
      <c r="A244" s="3" t="s">
        <v>865</v>
      </c>
      <c r="B244" s="31">
        <v>42746.737756446761</v>
      </c>
      <c r="C244" s="31">
        <v>42744.394444444442</v>
      </c>
      <c r="D244" s="3">
        <v>3035602179</v>
      </c>
      <c r="E244" s="3" t="s">
        <v>9</v>
      </c>
      <c r="F244" s="3" t="s">
        <v>73</v>
      </c>
      <c r="G244" s="3" t="s">
        <v>74</v>
      </c>
      <c r="H244" s="3" t="s">
        <v>73</v>
      </c>
      <c r="I244" s="3" t="s">
        <v>74</v>
      </c>
      <c r="J244" s="3" t="s">
        <v>69</v>
      </c>
      <c r="K244" s="3" t="s">
        <v>2976</v>
      </c>
      <c r="L244" s="3" t="s">
        <v>866</v>
      </c>
      <c r="M244" s="3" t="s">
        <v>59</v>
      </c>
      <c r="N244" s="3" t="s">
        <v>60</v>
      </c>
      <c r="O244" s="3" t="s">
        <v>147</v>
      </c>
      <c r="P244" s="3" t="s">
        <v>875</v>
      </c>
      <c r="Q244" s="31">
        <v>42747</v>
      </c>
      <c r="R244" s="3" t="s">
        <v>62</v>
      </c>
      <c r="S244" s="3" t="s">
        <v>62</v>
      </c>
    </row>
    <row r="245" spans="1:19">
      <c r="A245" s="3" t="s">
        <v>868</v>
      </c>
      <c r="B245" s="31">
        <v>42746.737756446761</v>
      </c>
      <c r="C245" s="31">
        <v>42744.400694444441</v>
      </c>
      <c r="D245" s="3">
        <v>3035602096</v>
      </c>
      <c r="E245" s="3" t="s">
        <v>9</v>
      </c>
      <c r="F245" s="3" t="s">
        <v>101</v>
      </c>
      <c r="G245" s="3" t="s">
        <v>102</v>
      </c>
      <c r="H245" s="3" t="s">
        <v>101</v>
      </c>
      <c r="I245" s="3" t="s">
        <v>102</v>
      </c>
      <c r="J245" s="3" t="s">
        <v>69</v>
      </c>
      <c r="K245" s="3" t="s">
        <v>2976</v>
      </c>
      <c r="L245" s="3" t="s">
        <v>866</v>
      </c>
      <c r="M245" s="3" t="s">
        <v>70</v>
      </c>
      <c r="N245" s="3" t="s">
        <v>71</v>
      </c>
      <c r="O245" s="3" t="s">
        <v>3037</v>
      </c>
      <c r="P245" s="3" t="s">
        <v>875</v>
      </c>
      <c r="Q245" s="31">
        <v>42745</v>
      </c>
      <c r="R245" s="3" t="s">
        <v>62</v>
      </c>
      <c r="S245" s="3" t="s">
        <v>62</v>
      </c>
    </row>
    <row r="246" spans="1:19">
      <c r="A246" s="3" t="s">
        <v>865</v>
      </c>
      <c r="B246" s="31">
        <v>42746.737756446761</v>
      </c>
      <c r="C246" s="31">
        <v>42744.402083333334</v>
      </c>
      <c r="D246" s="3">
        <v>3035528378</v>
      </c>
      <c r="E246" s="3" t="s">
        <v>2978</v>
      </c>
      <c r="F246" s="3" t="s">
        <v>256</v>
      </c>
      <c r="G246" s="3" t="s">
        <v>879</v>
      </c>
      <c r="H246" s="3" t="s">
        <v>142</v>
      </c>
      <c r="I246" s="3" t="s">
        <v>143</v>
      </c>
      <c r="J246" s="3" t="s">
        <v>58</v>
      </c>
      <c r="K246" s="3" t="s">
        <v>2977</v>
      </c>
      <c r="L246" s="3" t="s">
        <v>866</v>
      </c>
      <c r="M246" s="3" t="s">
        <v>844</v>
      </c>
      <c r="N246" s="3" t="s">
        <v>845</v>
      </c>
      <c r="O246" s="3" t="s">
        <v>3038</v>
      </c>
      <c r="P246" s="3" t="s">
        <v>875</v>
      </c>
      <c r="Q246" s="31">
        <v>42745</v>
      </c>
      <c r="R246" s="3" t="s">
        <v>62</v>
      </c>
      <c r="S246" s="3" t="s">
        <v>1355</v>
      </c>
    </row>
    <row r="247" spans="1:19">
      <c r="A247" s="3" t="s">
        <v>868</v>
      </c>
      <c r="B247" s="31">
        <v>42746.737756446761</v>
      </c>
      <c r="C247" s="31">
        <v>42744.412499999999</v>
      </c>
      <c r="D247" s="3">
        <v>3035527508</v>
      </c>
      <c r="E247" s="3" t="s">
        <v>2978</v>
      </c>
      <c r="F247" s="3" t="s">
        <v>256</v>
      </c>
      <c r="G247" s="3" t="s">
        <v>879</v>
      </c>
      <c r="H247" s="3" t="s">
        <v>142</v>
      </c>
      <c r="I247" s="3" t="s">
        <v>143</v>
      </c>
      <c r="J247" s="3" t="s">
        <v>58</v>
      </c>
      <c r="K247" s="3" t="s">
        <v>2977</v>
      </c>
      <c r="L247" s="3" t="s">
        <v>871</v>
      </c>
      <c r="M247" s="3" t="s">
        <v>84</v>
      </c>
      <c r="N247" s="3" t="s">
        <v>85</v>
      </c>
      <c r="O247" s="3" t="s">
        <v>233</v>
      </c>
      <c r="P247" s="3" t="s">
        <v>875</v>
      </c>
      <c r="Q247" s="31">
        <v>42747</v>
      </c>
      <c r="R247" s="3" t="s">
        <v>62</v>
      </c>
      <c r="S247" s="3" t="s">
        <v>1355</v>
      </c>
    </row>
    <row r="248" spans="1:19">
      <c r="A248" s="3" t="s">
        <v>865</v>
      </c>
      <c r="B248" s="31">
        <v>42746.737756446761</v>
      </c>
      <c r="C248" s="31">
        <v>42744.425000000003</v>
      </c>
      <c r="D248" s="3">
        <v>3035443071</v>
      </c>
      <c r="E248" s="3" t="s">
        <v>273</v>
      </c>
      <c r="F248" s="3" t="s">
        <v>261</v>
      </c>
      <c r="G248" s="3" t="s">
        <v>311</v>
      </c>
      <c r="H248" s="3" t="s">
        <v>115</v>
      </c>
      <c r="I248" s="3" t="s">
        <v>116</v>
      </c>
      <c r="J248" s="3" t="s">
        <v>98</v>
      </c>
      <c r="K248" s="3" t="s">
        <v>2977</v>
      </c>
      <c r="L248" s="3" t="s">
        <v>866</v>
      </c>
      <c r="M248" s="3" t="s">
        <v>59</v>
      </c>
      <c r="N248" s="3" t="s">
        <v>60</v>
      </c>
      <c r="O248" s="3" t="s">
        <v>147</v>
      </c>
      <c r="P248" s="3" t="s">
        <v>875</v>
      </c>
      <c r="Q248" s="31">
        <v>42745</v>
      </c>
      <c r="R248" s="3" t="s">
        <v>62</v>
      </c>
      <c r="S248" s="3" t="s">
        <v>529</v>
      </c>
    </row>
    <row r="249" spans="1:19">
      <c r="A249" s="3" t="s">
        <v>865</v>
      </c>
      <c r="B249" s="31">
        <v>42746.737756446761</v>
      </c>
      <c r="C249" s="31">
        <v>42744.427777777775</v>
      </c>
      <c r="D249" s="3">
        <v>3035399091</v>
      </c>
      <c r="E249" s="3" t="s">
        <v>9</v>
      </c>
      <c r="F249" s="3" t="s">
        <v>158</v>
      </c>
      <c r="G249" s="3" t="s">
        <v>159</v>
      </c>
      <c r="H249" s="3" t="s">
        <v>158</v>
      </c>
      <c r="I249" s="3" t="s">
        <v>159</v>
      </c>
      <c r="J249" s="3" t="s">
        <v>69</v>
      </c>
      <c r="K249" s="3" t="s">
        <v>2976</v>
      </c>
      <c r="L249" s="3" t="s">
        <v>871</v>
      </c>
      <c r="M249" s="3" t="s">
        <v>84</v>
      </c>
      <c r="N249" s="3" t="s">
        <v>85</v>
      </c>
      <c r="O249" s="3" t="s">
        <v>3039</v>
      </c>
      <c r="P249" s="3" t="s">
        <v>875</v>
      </c>
      <c r="Q249" s="31">
        <v>42745</v>
      </c>
      <c r="R249" s="3" t="s">
        <v>62</v>
      </c>
      <c r="S249" s="3" t="s">
        <v>62</v>
      </c>
    </row>
    <row r="250" spans="1:19">
      <c r="A250" s="3" t="s">
        <v>865</v>
      </c>
      <c r="B250" s="31">
        <v>42746.737756446761</v>
      </c>
      <c r="C250" s="31">
        <v>42744.431250000001</v>
      </c>
      <c r="D250" s="3">
        <v>3035603239</v>
      </c>
      <c r="E250" s="3" t="s">
        <v>9</v>
      </c>
      <c r="F250" s="3" t="s">
        <v>133</v>
      </c>
      <c r="G250" s="3" t="s">
        <v>134</v>
      </c>
      <c r="H250" s="3" t="s">
        <v>133</v>
      </c>
      <c r="I250" s="3" t="s">
        <v>134</v>
      </c>
      <c r="J250" s="3" t="s">
        <v>144</v>
      </c>
      <c r="K250" s="3" t="s">
        <v>2976</v>
      </c>
      <c r="L250" s="3" t="s">
        <v>866</v>
      </c>
      <c r="M250" s="3" t="s">
        <v>59</v>
      </c>
      <c r="N250" s="3" t="s">
        <v>60</v>
      </c>
      <c r="O250" s="3" t="s">
        <v>147</v>
      </c>
      <c r="P250" s="3" t="s">
        <v>875</v>
      </c>
      <c r="Q250" s="31">
        <v>42745</v>
      </c>
      <c r="R250" s="3" t="s">
        <v>62</v>
      </c>
      <c r="S250" s="3" t="s">
        <v>62</v>
      </c>
    </row>
    <row r="251" spans="1:19">
      <c r="A251" s="3" t="s">
        <v>865</v>
      </c>
      <c r="B251" s="31">
        <v>42746.737756446761</v>
      </c>
      <c r="C251" s="31">
        <v>42744.431944444441</v>
      </c>
      <c r="D251" s="3">
        <v>3035295041</v>
      </c>
      <c r="E251" s="3" t="s">
        <v>273</v>
      </c>
      <c r="F251" s="3" t="s">
        <v>259</v>
      </c>
      <c r="G251" s="3" t="s">
        <v>260</v>
      </c>
      <c r="H251" s="3" t="s">
        <v>115</v>
      </c>
      <c r="I251" s="3" t="s">
        <v>116</v>
      </c>
      <c r="J251" s="3" t="s">
        <v>69</v>
      </c>
      <c r="K251" s="3" t="s">
        <v>2977</v>
      </c>
      <c r="L251" s="3" t="s">
        <v>871</v>
      </c>
      <c r="M251" s="3" t="s">
        <v>84</v>
      </c>
      <c r="N251" s="3" t="s">
        <v>85</v>
      </c>
      <c r="O251" s="3" t="s">
        <v>3040</v>
      </c>
      <c r="P251" s="3" t="s">
        <v>875</v>
      </c>
      <c r="Q251" s="31">
        <v>42745</v>
      </c>
      <c r="R251" s="3" t="s">
        <v>62</v>
      </c>
      <c r="S251" s="3" t="s">
        <v>529</v>
      </c>
    </row>
    <row r="252" spans="1:19">
      <c r="A252" s="3" t="s">
        <v>865</v>
      </c>
      <c r="B252" s="31">
        <v>42746.737756446761</v>
      </c>
      <c r="C252" s="31">
        <v>42744.436805555553</v>
      </c>
      <c r="D252" s="3">
        <v>3035603429</v>
      </c>
      <c r="E252" s="3" t="s">
        <v>9</v>
      </c>
      <c r="F252" s="3" t="s">
        <v>94</v>
      </c>
      <c r="G252" s="3" t="s">
        <v>95</v>
      </c>
      <c r="H252" s="3" t="s">
        <v>94</v>
      </c>
      <c r="I252" s="3" t="s">
        <v>95</v>
      </c>
      <c r="J252" s="3" t="s">
        <v>58</v>
      </c>
      <c r="K252" s="3" t="s">
        <v>2976</v>
      </c>
      <c r="L252" s="3" t="s">
        <v>866</v>
      </c>
      <c r="M252" s="3" t="s">
        <v>59</v>
      </c>
      <c r="N252" s="3" t="s">
        <v>60</v>
      </c>
      <c r="O252" s="3" t="s">
        <v>147</v>
      </c>
      <c r="P252" s="3" t="s">
        <v>875</v>
      </c>
      <c r="Q252" s="31">
        <v>42745</v>
      </c>
      <c r="R252" s="3" t="s">
        <v>62</v>
      </c>
      <c r="S252" s="3" t="s">
        <v>62</v>
      </c>
    </row>
    <row r="253" spans="1:19">
      <c r="A253" s="3" t="s">
        <v>865</v>
      </c>
      <c r="B253" s="31">
        <v>42746.737756446761</v>
      </c>
      <c r="C253" s="31">
        <v>42744.443055555559</v>
      </c>
      <c r="D253" s="3">
        <v>3035602898</v>
      </c>
      <c r="E253" s="3" t="s">
        <v>273</v>
      </c>
      <c r="F253" s="3" t="s">
        <v>259</v>
      </c>
      <c r="G253" s="3" t="s">
        <v>260</v>
      </c>
      <c r="H253" s="3" t="s">
        <v>259</v>
      </c>
      <c r="I253" s="3" t="s">
        <v>260</v>
      </c>
      <c r="J253" s="3" t="s">
        <v>69</v>
      </c>
      <c r="K253" s="3" t="s">
        <v>2977</v>
      </c>
      <c r="L253" s="3" t="s">
        <v>866</v>
      </c>
      <c r="M253" s="3" t="s">
        <v>70</v>
      </c>
      <c r="N253" s="3" t="s">
        <v>71</v>
      </c>
      <c r="O253" s="3" t="s">
        <v>3041</v>
      </c>
      <c r="P253" s="3" t="s">
        <v>875</v>
      </c>
      <c r="Q253" s="31">
        <v>42745</v>
      </c>
      <c r="R253" s="3" t="s">
        <v>62</v>
      </c>
      <c r="S253" s="3" t="s">
        <v>2985</v>
      </c>
    </row>
    <row r="254" spans="1:19">
      <c r="A254" s="3" t="s">
        <v>865</v>
      </c>
      <c r="B254" s="31">
        <v>42746.737756446761</v>
      </c>
      <c r="C254" s="31">
        <v>42744.443055555559</v>
      </c>
      <c r="D254" s="3">
        <v>3035505328</v>
      </c>
      <c r="E254" s="3" t="s">
        <v>273</v>
      </c>
      <c r="F254" s="3" t="s">
        <v>265</v>
      </c>
      <c r="G254" s="3" t="s">
        <v>266</v>
      </c>
      <c r="H254" s="3" t="s">
        <v>115</v>
      </c>
      <c r="I254" s="3" t="s">
        <v>116</v>
      </c>
      <c r="J254" s="3" t="s">
        <v>144</v>
      </c>
      <c r="K254" s="3" t="s">
        <v>2977</v>
      </c>
      <c r="L254" s="3" t="s">
        <v>866</v>
      </c>
      <c r="M254" s="3" t="s">
        <v>70</v>
      </c>
      <c r="N254" s="3" t="s">
        <v>71</v>
      </c>
      <c r="O254" s="3" t="s">
        <v>3042</v>
      </c>
      <c r="P254" s="3" t="s">
        <v>875</v>
      </c>
      <c r="Q254" s="31">
        <v>42745</v>
      </c>
      <c r="R254" s="3" t="s">
        <v>62</v>
      </c>
      <c r="S254" s="3" t="s">
        <v>529</v>
      </c>
    </row>
    <row r="255" spans="1:19">
      <c r="A255" s="3" t="s">
        <v>868</v>
      </c>
      <c r="B255" s="31">
        <v>42746.737756446761</v>
      </c>
      <c r="C255" s="31">
        <v>42744.445138888892</v>
      </c>
      <c r="D255" s="3">
        <v>3035602678</v>
      </c>
      <c r="E255" s="3" t="s">
        <v>31</v>
      </c>
      <c r="F255" s="3" t="s">
        <v>3043</v>
      </c>
      <c r="G255" s="3" t="s">
        <v>3044</v>
      </c>
      <c r="H255" s="3" t="s">
        <v>3043</v>
      </c>
      <c r="I255" s="3" t="s">
        <v>3044</v>
      </c>
      <c r="J255" s="3" t="s">
        <v>97</v>
      </c>
      <c r="K255" s="3" t="s">
        <v>2976</v>
      </c>
      <c r="L255" s="3" t="s">
        <v>866</v>
      </c>
      <c r="M255" s="3" t="s">
        <v>59</v>
      </c>
      <c r="N255" s="3" t="s">
        <v>60</v>
      </c>
      <c r="O255" s="3" t="s">
        <v>147</v>
      </c>
      <c r="P255" s="3" t="s">
        <v>875</v>
      </c>
      <c r="Q255" s="31">
        <v>42745</v>
      </c>
      <c r="R255" s="3" t="s">
        <v>62</v>
      </c>
      <c r="S255" s="3" t="s">
        <v>62</v>
      </c>
    </row>
    <row r="256" spans="1:19">
      <c r="A256" s="3" t="s">
        <v>868</v>
      </c>
      <c r="B256" s="31">
        <v>42746.737756446761</v>
      </c>
      <c r="C256" s="31">
        <v>42744.447916666664</v>
      </c>
      <c r="D256" s="3">
        <v>3035603743</v>
      </c>
      <c r="E256" s="3" t="s">
        <v>273</v>
      </c>
      <c r="F256" s="3" t="s">
        <v>262</v>
      </c>
      <c r="G256" s="3" t="s">
        <v>874</v>
      </c>
      <c r="H256" s="3" t="s">
        <v>262</v>
      </c>
      <c r="I256" s="3" t="s">
        <v>874</v>
      </c>
      <c r="J256" s="3" t="s">
        <v>98</v>
      </c>
      <c r="K256" s="3" t="s">
        <v>2977</v>
      </c>
      <c r="L256" s="3" t="s">
        <v>871</v>
      </c>
      <c r="M256" s="3" t="s">
        <v>84</v>
      </c>
      <c r="N256" s="3" t="s">
        <v>85</v>
      </c>
      <c r="O256" s="3" t="s">
        <v>233</v>
      </c>
      <c r="P256" s="3" t="s">
        <v>875</v>
      </c>
      <c r="Q256" s="31">
        <v>42745</v>
      </c>
      <c r="R256" s="3" t="s">
        <v>62</v>
      </c>
      <c r="S256" s="3" t="s">
        <v>2985</v>
      </c>
    </row>
    <row r="257" spans="1:19">
      <c r="A257" s="3" t="s">
        <v>865</v>
      </c>
      <c r="B257" s="31">
        <v>42746.737756446761</v>
      </c>
      <c r="C257" s="31">
        <v>42744.447916666664</v>
      </c>
      <c r="D257" s="3">
        <v>3035603520</v>
      </c>
      <c r="E257" s="3" t="s">
        <v>9</v>
      </c>
      <c r="F257" s="3" t="s">
        <v>101</v>
      </c>
      <c r="G257" s="3" t="s">
        <v>102</v>
      </c>
      <c r="H257" s="3" t="s">
        <v>101</v>
      </c>
      <c r="I257" s="3" t="s">
        <v>102</v>
      </c>
      <c r="J257" s="3" t="s">
        <v>69</v>
      </c>
      <c r="K257" s="3" t="s">
        <v>2976</v>
      </c>
      <c r="L257" s="3" t="s">
        <v>866</v>
      </c>
      <c r="M257" s="3" t="s">
        <v>70</v>
      </c>
      <c r="N257" s="3" t="s">
        <v>71</v>
      </c>
      <c r="O257" s="3" t="s">
        <v>894</v>
      </c>
      <c r="P257" s="3" t="s">
        <v>875</v>
      </c>
      <c r="Q257" s="31">
        <v>42745</v>
      </c>
      <c r="R257" s="3" t="s">
        <v>62</v>
      </c>
      <c r="S257" s="3" t="s">
        <v>62</v>
      </c>
    </row>
    <row r="258" spans="1:19">
      <c r="A258" s="3" t="s">
        <v>865</v>
      </c>
      <c r="B258" s="31">
        <v>42746.737756446761</v>
      </c>
      <c r="C258" s="31">
        <v>42744.449305555558</v>
      </c>
      <c r="D258" s="3">
        <v>3035442691</v>
      </c>
      <c r="E258" s="3" t="e">
        <v>#N/A</v>
      </c>
      <c r="F258" s="3" t="s">
        <v>889</v>
      </c>
      <c r="G258" s="3" t="e">
        <v>#N/A</v>
      </c>
      <c r="H258" s="3" t="s">
        <v>115</v>
      </c>
      <c r="I258" s="3" t="s">
        <v>116</v>
      </c>
      <c r="J258" s="3" t="s">
        <v>98</v>
      </c>
      <c r="K258" s="3" t="s">
        <v>2977</v>
      </c>
      <c r="L258" s="3" t="s">
        <v>871</v>
      </c>
      <c r="M258" s="3" t="s">
        <v>84</v>
      </c>
      <c r="N258" s="3" t="s">
        <v>85</v>
      </c>
      <c r="O258" s="3" t="s">
        <v>233</v>
      </c>
      <c r="P258" s="3" t="s">
        <v>875</v>
      </c>
      <c r="Q258" s="31">
        <v>42745</v>
      </c>
      <c r="R258" s="3" t="s">
        <v>62</v>
      </c>
      <c r="S258" s="3" t="s">
        <v>529</v>
      </c>
    </row>
    <row r="259" spans="1:19">
      <c r="A259" s="3" t="s">
        <v>868</v>
      </c>
      <c r="B259" s="31">
        <v>42746.737756446761</v>
      </c>
      <c r="C259" s="31">
        <v>42744.451388888891</v>
      </c>
      <c r="D259" s="3">
        <v>3035603631</v>
      </c>
      <c r="E259" s="3" t="s">
        <v>273</v>
      </c>
      <c r="F259" s="3" t="s">
        <v>141</v>
      </c>
      <c r="G259" s="3" t="s">
        <v>560</v>
      </c>
      <c r="H259" s="3" t="s">
        <v>141</v>
      </c>
      <c r="I259" s="3" t="s">
        <v>560</v>
      </c>
      <c r="J259" s="3" t="s">
        <v>98</v>
      </c>
      <c r="K259" s="3" t="s">
        <v>2977</v>
      </c>
      <c r="L259" s="3" t="s">
        <v>866</v>
      </c>
      <c r="M259" s="3" t="s">
        <v>59</v>
      </c>
      <c r="N259" s="3" t="s">
        <v>60</v>
      </c>
      <c r="O259" s="3" t="s">
        <v>147</v>
      </c>
      <c r="P259" s="3" t="s">
        <v>875</v>
      </c>
      <c r="Q259" s="31">
        <v>42745</v>
      </c>
      <c r="R259" s="3" t="s">
        <v>62</v>
      </c>
      <c r="S259" s="3" t="s">
        <v>2985</v>
      </c>
    </row>
    <row r="260" spans="1:19">
      <c r="A260" s="3" t="s">
        <v>868</v>
      </c>
      <c r="B260" s="31">
        <v>42746.737756446761</v>
      </c>
      <c r="C260" s="31">
        <v>42744.466666666667</v>
      </c>
      <c r="D260" s="3">
        <v>3035604027</v>
      </c>
      <c r="E260" s="3" t="s">
        <v>9</v>
      </c>
      <c r="F260" s="3" t="s">
        <v>87</v>
      </c>
      <c r="G260" s="3" t="s">
        <v>88</v>
      </c>
      <c r="H260" s="3" t="s">
        <v>87</v>
      </c>
      <c r="I260" s="3" t="s">
        <v>88</v>
      </c>
      <c r="J260" s="3" t="s">
        <v>97</v>
      </c>
      <c r="K260" s="3" t="s">
        <v>2976</v>
      </c>
      <c r="L260" s="3" t="s">
        <v>866</v>
      </c>
      <c r="M260" s="3" t="s">
        <v>70</v>
      </c>
      <c r="N260" s="3" t="s">
        <v>71</v>
      </c>
      <c r="O260" s="3" t="s">
        <v>3045</v>
      </c>
      <c r="P260" s="3" t="s">
        <v>875</v>
      </c>
      <c r="Q260" s="31">
        <v>42745</v>
      </c>
      <c r="R260" s="3" t="s">
        <v>62</v>
      </c>
      <c r="S260" s="3" t="s">
        <v>62</v>
      </c>
    </row>
    <row r="261" spans="1:19">
      <c r="A261" s="3" t="s">
        <v>868</v>
      </c>
      <c r="B261" s="31">
        <v>42746.737756446761</v>
      </c>
      <c r="C261" s="31">
        <v>42744.466666666667</v>
      </c>
      <c r="D261" s="3">
        <v>3035604213</v>
      </c>
      <c r="E261" s="3" t="e">
        <v>#N/A</v>
      </c>
      <c r="F261" s="3" t="s">
        <v>889</v>
      </c>
      <c r="G261" s="3" t="e">
        <v>#N/A</v>
      </c>
      <c r="H261" s="3" t="s">
        <v>889</v>
      </c>
      <c r="I261" s="3" t="e">
        <v>#N/A</v>
      </c>
      <c r="J261" s="3" t="s">
        <v>58</v>
      </c>
      <c r="K261" s="3" t="s">
        <v>2977</v>
      </c>
      <c r="L261" s="3" t="s">
        <v>866</v>
      </c>
      <c r="M261" s="3" t="s">
        <v>59</v>
      </c>
      <c r="N261" s="3" t="s">
        <v>60</v>
      </c>
      <c r="O261" s="3" t="s">
        <v>147</v>
      </c>
      <c r="P261" s="3" t="s">
        <v>875</v>
      </c>
      <c r="Q261" s="31">
        <v>42745</v>
      </c>
      <c r="R261" s="3" t="s">
        <v>62</v>
      </c>
      <c r="S261" s="3" t="s">
        <v>2143</v>
      </c>
    </row>
    <row r="262" spans="1:19">
      <c r="A262" s="3" t="s">
        <v>868</v>
      </c>
      <c r="B262" s="31">
        <v>42746.737756446761</v>
      </c>
      <c r="C262" s="31">
        <v>42744.470138888886</v>
      </c>
      <c r="D262" s="3">
        <v>3035604453</v>
      </c>
      <c r="E262" s="3" t="s">
        <v>9</v>
      </c>
      <c r="F262" s="3" t="s">
        <v>158</v>
      </c>
      <c r="G262" s="3" t="s">
        <v>159</v>
      </c>
      <c r="H262" s="3" t="s">
        <v>158</v>
      </c>
      <c r="I262" s="3" t="s">
        <v>159</v>
      </c>
      <c r="J262" s="3" t="s">
        <v>69</v>
      </c>
      <c r="K262" s="3" t="s">
        <v>2976</v>
      </c>
      <c r="L262" s="3" t="s">
        <v>871</v>
      </c>
      <c r="M262" s="3" t="s">
        <v>84</v>
      </c>
      <c r="N262" s="3" t="s">
        <v>85</v>
      </c>
      <c r="O262" s="3" t="s">
        <v>322</v>
      </c>
      <c r="P262" s="3" t="s">
        <v>875</v>
      </c>
      <c r="Q262" s="31">
        <v>42745</v>
      </c>
      <c r="R262" s="3" t="s">
        <v>62</v>
      </c>
      <c r="S262" s="3" t="s">
        <v>62</v>
      </c>
    </row>
    <row r="263" spans="1:19">
      <c r="A263" s="3" t="s">
        <v>865</v>
      </c>
      <c r="B263" s="31">
        <v>42746.737756446761</v>
      </c>
      <c r="C263" s="31">
        <v>42744.47152777778</v>
      </c>
      <c r="D263" s="3">
        <v>3035604421</v>
      </c>
      <c r="E263" s="3" t="s">
        <v>9</v>
      </c>
      <c r="F263" s="3" t="s">
        <v>56</v>
      </c>
      <c r="G263" s="3" t="s">
        <v>57</v>
      </c>
      <c r="H263" s="3" t="s">
        <v>56</v>
      </c>
      <c r="I263" s="3" t="s">
        <v>57</v>
      </c>
      <c r="J263" s="3" t="s">
        <v>69</v>
      </c>
      <c r="K263" s="3" t="s">
        <v>2976</v>
      </c>
      <c r="L263" s="3" t="s">
        <v>871</v>
      </c>
      <c r="M263" s="3" t="s">
        <v>84</v>
      </c>
      <c r="N263" s="3" t="s">
        <v>85</v>
      </c>
      <c r="O263" s="3" t="s">
        <v>895</v>
      </c>
      <c r="P263" s="3" t="s">
        <v>875</v>
      </c>
      <c r="Q263" s="31">
        <v>42745</v>
      </c>
      <c r="R263" s="3" t="s">
        <v>62</v>
      </c>
      <c r="S263" s="3" t="s">
        <v>62</v>
      </c>
    </row>
    <row r="264" spans="1:19">
      <c r="A264" s="3" t="s">
        <v>865</v>
      </c>
      <c r="B264" s="31">
        <v>42746.737756446761</v>
      </c>
      <c r="C264" s="31">
        <v>42744.472916666666</v>
      </c>
      <c r="D264" s="3">
        <v>3035604345</v>
      </c>
      <c r="E264" s="3" t="s">
        <v>31</v>
      </c>
      <c r="F264" s="3" t="s">
        <v>852</v>
      </c>
      <c r="G264" s="3" t="s">
        <v>197</v>
      </c>
      <c r="H264" s="3" t="s">
        <v>852</v>
      </c>
      <c r="I264" s="3" t="s">
        <v>197</v>
      </c>
      <c r="J264" s="3" t="s">
        <v>69</v>
      </c>
      <c r="K264" s="3" t="s">
        <v>2976</v>
      </c>
      <c r="L264" s="3" t="s">
        <v>871</v>
      </c>
      <c r="M264" s="3" t="s">
        <v>84</v>
      </c>
      <c r="N264" s="3" t="s">
        <v>85</v>
      </c>
      <c r="O264" s="3" t="s">
        <v>3046</v>
      </c>
      <c r="P264" s="3" t="s">
        <v>875</v>
      </c>
      <c r="Q264" s="31">
        <v>42745</v>
      </c>
      <c r="R264" s="3" t="s">
        <v>62</v>
      </c>
      <c r="S264" s="3" t="s">
        <v>62</v>
      </c>
    </row>
    <row r="265" spans="1:19">
      <c r="A265" s="3" t="s">
        <v>868</v>
      </c>
      <c r="B265" s="31">
        <v>42746.737756446761</v>
      </c>
      <c r="C265" s="31">
        <v>42744.474999999999</v>
      </c>
      <c r="D265" s="3">
        <v>3035604204</v>
      </c>
      <c r="E265" s="3" t="s">
        <v>31</v>
      </c>
      <c r="F265" s="3" t="s">
        <v>3043</v>
      </c>
      <c r="G265" s="3" t="s">
        <v>3044</v>
      </c>
      <c r="H265" s="3" t="s">
        <v>3043</v>
      </c>
      <c r="I265" s="3" t="s">
        <v>3044</v>
      </c>
      <c r="J265" s="3" t="s">
        <v>69</v>
      </c>
      <c r="K265" s="3" t="s">
        <v>2976</v>
      </c>
      <c r="L265" s="3" t="s">
        <v>871</v>
      </c>
      <c r="M265" s="3" t="s">
        <v>84</v>
      </c>
      <c r="N265" s="3" t="s">
        <v>85</v>
      </c>
      <c r="O265" s="3" t="s">
        <v>233</v>
      </c>
      <c r="P265" s="3" t="s">
        <v>875</v>
      </c>
      <c r="Q265" s="31">
        <v>42745</v>
      </c>
      <c r="R265" s="3" t="s">
        <v>62</v>
      </c>
      <c r="S265" s="3" t="s">
        <v>62</v>
      </c>
    </row>
    <row r="266" spans="1:19">
      <c r="A266" s="3" t="s">
        <v>865</v>
      </c>
      <c r="B266" s="31">
        <v>42746.737756446761</v>
      </c>
      <c r="C266" s="31">
        <v>42744.476388888892</v>
      </c>
      <c r="D266" s="3">
        <v>3035604564</v>
      </c>
      <c r="E266" s="3" t="s">
        <v>9</v>
      </c>
      <c r="F266" s="3" t="s">
        <v>101</v>
      </c>
      <c r="G266" s="3" t="s">
        <v>102</v>
      </c>
      <c r="H266" s="3" t="s">
        <v>101</v>
      </c>
      <c r="I266" s="3" t="s">
        <v>102</v>
      </c>
      <c r="J266" s="3" t="s">
        <v>69</v>
      </c>
      <c r="K266" s="3" t="s">
        <v>2976</v>
      </c>
      <c r="L266" s="3" t="s">
        <v>866</v>
      </c>
      <c r="M266" s="3" t="s">
        <v>59</v>
      </c>
      <c r="N266" s="3" t="s">
        <v>60</v>
      </c>
      <c r="O266" s="3" t="s">
        <v>147</v>
      </c>
      <c r="P266" s="3" t="s">
        <v>875</v>
      </c>
      <c r="Q266" s="31">
        <v>42745</v>
      </c>
      <c r="R266" s="3" t="s">
        <v>62</v>
      </c>
      <c r="S266" s="3" t="s">
        <v>62</v>
      </c>
    </row>
    <row r="267" spans="1:19">
      <c r="A267" s="3" t="s">
        <v>865</v>
      </c>
      <c r="B267" s="31">
        <v>42746.737756446761</v>
      </c>
      <c r="C267" s="31">
        <v>42744.481249999997</v>
      </c>
      <c r="D267" s="3">
        <v>3035338288</v>
      </c>
      <c r="E267" s="3" t="s">
        <v>273</v>
      </c>
      <c r="F267" s="3" t="s">
        <v>261</v>
      </c>
      <c r="G267" s="3" t="s">
        <v>311</v>
      </c>
      <c r="H267" s="3" t="s">
        <v>115</v>
      </c>
      <c r="I267" s="3" t="s">
        <v>116</v>
      </c>
      <c r="J267" s="3" t="s">
        <v>144</v>
      </c>
      <c r="K267" s="3" t="s">
        <v>2977</v>
      </c>
      <c r="L267" s="3" t="s">
        <v>866</v>
      </c>
      <c r="M267" s="3" t="s">
        <v>70</v>
      </c>
      <c r="N267" s="3" t="s">
        <v>71</v>
      </c>
      <c r="O267" s="3" t="s">
        <v>3012</v>
      </c>
      <c r="P267" s="3" t="s">
        <v>875</v>
      </c>
      <c r="Q267" s="31">
        <v>42745</v>
      </c>
      <c r="R267" s="3" t="s">
        <v>62</v>
      </c>
      <c r="S267" s="3" t="s">
        <v>529</v>
      </c>
    </row>
    <row r="268" spans="1:19">
      <c r="A268" s="3" t="s">
        <v>865</v>
      </c>
      <c r="B268" s="31">
        <v>42746.737756446761</v>
      </c>
      <c r="C268" s="31">
        <v>42744.486805555556</v>
      </c>
      <c r="D268" s="3">
        <v>3035514874</v>
      </c>
      <c r="E268" s="3" t="s">
        <v>273</v>
      </c>
      <c r="F268" s="3" t="s">
        <v>141</v>
      </c>
      <c r="G268" s="3" t="s">
        <v>560</v>
      </c>
      <c r="H268" s="3" t="s">
        <v>115</v>
      </c>
      <c r="I268" s="3" t="s">
        <v>116</v>
      </c>
      <c r="J268" s="3" t="s">
        <v>98</v>
      </c>
      <c r="K268" s="3" t="s">
        <v>2977</v>
      </c>
      <c r="L268" s="3" t="s">
        <v>871</v>
      </c>
      <c r="M268" s="3" t="s">
        <v>844</v>
      </c>
      <c r="N268" s="3" t="s">
        <v>897</v>
      </c>
      <c r="O268" s="3" t="s">
        <v>3047</v>
      </c>
      <c r="P268" s="3" t="s">
        <v>875</v>
      </c>
      <c r="Q268" s="31">
        <v>42745</v>
      </c>
      <c r="R268" s="3" t="s">
        <v>62</v>
      </c>
      <c r="S268" s="3" t="s">
        <v>529</v>
      </c>
    </row>
    <row r="269" spans="1:19">
      <c r="A269" s="3" t="s">
        <v>865</v>
      </c>
      <c r="B269" s="31">
        <v>42746.737756446761</v>
      </c>
      <c r="C269" s="31">
        <v>42744.497916666667</v>
      </c>
      <c r="D269" s="3">
        <v>3035605482</v>
      </c>
      <c r="E269" s="3" t="s">
        <v>31</v>
      </c>
      <c r="F269" s="3" t="s">
        <v>216</v>
      </c>
      <c r="G269" s="3" t="s">
        <v>217</v>
      </c>
      <c r="H269" s="3" t="s">
        <v>216</v>
      </c>
      <c r="I269" s="3" t="s">
        <v>217</v>
      </c>
      <c r="J269" s="3" t="s">
        <v>69</v>
      </c>
      <c r="K269" s="3" t="s">
        <v>2977</v>
      </c>
      <c r="L269" s="3" t="s">
        <v>871</v>
      </c>
      <c r="M269" s="3" t="s">
        <v>84</v>
      </c>
      <c r="N269" s="3" t="s">
        <v>85</v>
      </c>
      <c r="O269" s="3" t="s">
        <v>233</v>
      </c>
      <c r="P269" s="3" t="s">
        <v>875</v>
      </c>
      <c r="Q269" s="31">
        <v>42745</v>
      </c>
      <c r="R269" s="3" t="s">
        <v>62</v>
      </c>
      <c r="S269" s="3" t="s">
        <v>92</v>
      </c>
    </row>
    <row r="270" spans="1:19">
      <c r="A270" s="3" t="s">
        <v>865</v>
      </c>
      <c r="B270" s="31">
        <v>42746.737756446761</v>
      </c>
      <c r="C270" s="31">
        <v>42744.499305555553</v>
      </c>
      <c r="D270" s="3">
        <v>3035520412</v>
      </c>
      <c r="E270" s="3" t="s">
        <v>273</v>
      </c>
      <c r="F270" s="3" t="s">
        <v>890</v>
      </c>
      <c r="G270" s="3" t="s">
        <v>891</v>
      </c>
      <c r="H270" s="3" t="s">
        <v>115</v>
      </c>
      <c r="I270" s="3" t="s">
        <v>116</v>
      </c>
      <c r="J270" s="3" t="s">
        <v>58</v>
      </c>
      <c r="K270" s="3" t="s">
        <v>2977</v>
      </c>
      <c r="L270" s="3" t="s">
        <v>871</v>
      </c>
      <c r="M270" s="3" t="s">
        <v>84</v>
      </c>
      <c r="N270" s="3" t="s">
        <v>85</v>
      </c>
      <c r="O270" s="3" t="s">
        <v>233</v>
      </c>
      <c r="P270" s="3" t="s">
        <v>875</v>
      </c>
      <c r="Q270" s="31">
        <v>42745</v>
      </c>
      <c r="R270" s="3" t="s">
        <v>62</v>
      </c>
      <c r="S270" s="3" t="s">
        <v>529</v>
      </c>
    </row>
    <row r="271" spans="1:19">
      <c r="A271" s="3" t="s">
        <v>868</v>
      </c>
      <c r="B271" s="31">
        <v>42746.737756446761</v>
      </c>
      <c r="C271" s="31">
        <v>42744.510416666664</v>
      </c>
      <c r="D271" s="3">
        <v>3035506760</v>
      </c>
      <c r="E271" s="3" t="s">
        <v>2978</v>
      </c>
      <c r="F271" s="3" t="s">
        <v>256</v>
      </c>
      <c r="G271" s="3" t="s">
        <v>879</v>
      </c>
      <c r="H271" s="3" t="s">
        <v>142</v>
      </c>
      <c r="I271" s="3" t="s">
        <v>143</v>
      </c>
      <c r="J271" s="3" t="s">
        <v>98</v>
      </c>
      <c r="K271" s="3" t="s">
        <v>2977</v>
      </c>
      <c r="L271" s="3" t="s">
        <v>866</v>
      </c>
      <c r="M271" s="3" t="s">
        <v>59</v>
      </c>
      <c r="N271" s="3" t="s">
        <v>60</v>
      </c>
      <c r="O271" s="3" t="s">
        <v>147</v>
      </c>
      <c r="P271" s="3" t="s">
        <v>875</v>
      </c>
      <c r="Q271" s="31">
        <v>42745</v>
      </c>
      <c r="R271" s="3" t="s">
        <v>62</v>
      </c>
      <c r="S271" s="3" t="s">
        <v>1355</v>
      </c>
    </row>
    <row r="272" spans="1:19">
      <c r="A272" s="3" t="s">
        <v>865</v>
      </c>
      <c r="B272" s="31">
        <v>42746.737756446761</v>
      </c>
      <c r="C272" s="31">
        <v>42744.510416666664</v>
      </c>
      <c r="D272" s="3">
        <v>3035605986</v>
      </c>
      <c r="E272" s="3" t="s">
        <v>31</v>
      </c>
      <c r="F272" s="3" t="s">
        <v>202</v>
      </c>
      <c r="G272" s="3" t="s">
        <v>203</v>
      </c>
      <c r="H272" s="3" t="s">
        <v>202</v>
      </c>
      <c r="I272" s="3" t="s">
        <v>203</v>
      </c>
      <c r="J272" s="3" t="s">
        <v>69</v>
      </c>
      <c r="K272" s="3" t="s">
        <v>2976</v>
      </c>
      <c r="L272" s="3" t="s">
        <v>866</v>
      </c>
      <c r="M272" s="3" t="s">
        <v>70</v>
      </c>
      <c r="N272" s="3" t="s">
        <v>71</v>
      </c>
      <c r="O272" s="3" t="s">
        <v>3048</v>
      </c>
      <c r="P272" s="3" t="s">
        <v>875</v>
      </c>
      <c r="Q272" s="31">
        <v>42745</v>
      </c>
      <c r="R272" s="3" t="s">
        <v>62</v>
      </c>
      <c r="S272" s="3" t="s">
        <v>62</v>
      </c>
    </row>
    <row r="273" spans="1:19">
      <c r="A273" s="3" t="s">
        <v>865</v>
      </c>
      <c r="B273" s="31">
        <v>42746.737756446761</v>
      </c>
      <c r="C273" s="31">
        <v>42744.522916666669</v>
      </c>
      <c r="D273" s="3">
        <v>3035606628</v>
      </c>
      <c r="E273" s="3" t="s">
        <v>9</v>
      </c>
      <c r="F273" s="3" t="s">
        <v>107</v>
      </c>
      <c r="G273" s="3" t="s">
        <v>108</v>
      </c>
      <c r="H273" s="3" t="s">
        <v>107</v>
      </c>
      <c r="I273" s="3" t="s">
        <v>108</v>
      </c>
      <c r="J273" s="3" t="s">
        <v>69</v>
      </c>
      <c r="K273" s="3" t="s">
        <v>2976</v>
      </c>
      <c r="L273" s="3" t="s">
        <v>866</v>
      </c>
      <c r="M273" s="3" t="s">
        <v>59</v>
      </c>
      <c r="N273" s="3" t="s">
        <v>60</v>
      </c>
      <c r="O273" s="3" t="s">
        <v>147</v>
      </c>
      <c r="P273" s="3" t="s">
        <v>875</v>
      </c>
      <c r="Q273" s="31">
        <v>42745</v>
      </c>
      <c r="R273" s="3" t="s">
        <v>62</v>
      </c>
      <c r="S273" s="3" t="s">
        <v>62</v>
      </c>
    </row>
    <row r="274" spans="1:19">
      <c r="A274" s="3" t="s">
        <v>865</v>
      </c>
      <c r="B274" s="31">
        <v>42746.737756446761</v>
      </c>
      <c r="C274" s="31">
        <v>42744.534722222219</v>
      </c>
      <c r="D274" s="3">
        <v>3035607199</v>
      </c>
      <c r="E274" s="3" t="s">
        <v>23</v>
      </c>
      <c r="F274" s="3" t="s">
        <v>135</v>
      </c>
      <c r="G274" s="3" t="s">
        <v>136</v>
      </c>
      <c r="H274" s="3" t="s">
        <v>135</v>
      </c>
      <c r="I274" s="3" t="s">
        <v>136</v>
      </c>
      <c r="J274" s="3" t="s">
        <v>58</v>
      </c>
      <c r="K274" s="3" t="s">
        <v>2976</v>
      </c>
      <c r="L274" s="3" t="s">
        <v>871</v>
      </c>
      <c r="M274" s="3" t="s">
        <v>84</v>
      </c>
      <c r="N274" s="3" t="s">
        <v>85</v>
      </c>
      <c r="O274" s="3" t="s">
        <v>233</v>
      </c>
      <c r="P274" s="3" t="s">
        <v>875</v>
      </c>
      <c r="Q274" s="31">
        <v>42745</v>
      </c>
      <c r="R274" s="3" t="s">
        <v>62</v>
      </c>
      <c r="S274" s="3" t="s">
        <v>62</v>
      </c>
    </row>
    <row r="275" spans="1:19">
      <c r="A275" s="3" t="s">
        <v>865</v>
      </c>
      <c r="B275" s="31">
        <v>42746.737756446761</v>
      </c>
      <c r="C275" s="31">
        <v>42744.539583333331</v>
      </c>
      <c r="D275" s="3">
        <v>3035607456</v>
      </c>
      <c r="E275" s="3" t="s">
        <v>31</v>
      </c>
      <c r="F275" s="3" t="s">
        <v>216</v>
      </c>
      <c r="G275" s="3" t="s">
        <v>217</v>
      </c>
      <c r="H275" s="3" t="s">
        <v>216</v>
      </c>
      <c r="I275" s="3" t="s">
        <v>217</v>
      </c>
      <c r="J275" s="3" t="s">
        <v>69</v>
      </c>
      <c r="K275" s="3" t="s">
        <v>2977</v>
      </c>
      <c r="L275" s="3" t="s">
        <v>871</v>
      </c>
      <c r="M275" s="3" t="s">
        <v>84</v>
      </c>
      <c r="N275" s="3" t="s">
        <v>85</v>
      </c>
      <c r="O275" s="3" t="s">
        <v>233</v>
      </c>
      <c r="P275" s="3" t="s">
        <v>875</v>
      </c>
      <c r="Q275" s="31">
        <v>42745</v>
      </c>
      <c r="R275" s="3" t="s">
        <v>62</v>
      </c>
      <c r="S275" s="3" t="s">
        <v>92</v>
      </c>
    </row>
    <row r="276" spans="1:19">
      <c r="A276" s="3" t="s">
        <v>868</v>
      </c>
      <c r="B276" s="31">
        <v>42746.737756446761</v>
      </c>
      <c r="C276" s="31">
        <v>42744.539583333331</v>
      </c>
      <c r="D276" s="3">
        <v>3035607150</v>
      </c>
      <c r="E276" s="3" t="s">
        <v>273</v>
      </c>
      <c r="F276" s="3" t="s">
        <v>259</v>
      </c>
      <c r="G276" s="3" t="s">
        <v>260</v>
      </c>
      <c r="H276" s="3" t="s">
        <v>259</v>
      </c>
      <c r="I276" s="3" t="s">
        <v>260</v>
      </c>
      <c r="J276" s="3" t="s">
        <v>69</v>
      </c>
      <c r="K276" s="3" t="s">
        <v>2977</v>
      </c>
      <c r="L276" s="3" t="s">
        <v>866</v>
      </c>
      <c r="M276" s="3" t="s">
        <v>59</v>
      </c>
      <c r="N276" s="3" t="s">
        <v>60</v>
      </c>
      <c r="O276" s="3" t="s">
        <v>147</v>
      </c>
      <c r="P276" s="3" t="s">
        <v>875</v>
      </c>
      <c r="Q276" s="31">
        <v>42745</v>
      </c>
      <c r="R276" s="3" t="s">
        <v>62</v>
      </c>
      <c r="S276" s="3" t="s">
        <v>2985</v>
      </c>
    </row>
    <row r="277" spans="1:19">
      <c r="A277" s="3" t="s">
        <v>865</v>
      </c>
      <c r="B277" s="31">
        <v>42746.737756446761</v>
      </c>
      <c r="C277" s="31">
        <v>42744.540277777778</v>
      </c>
      <c r="D277" s="3">
        <v>3035607401</v>
      </c>
      <c r="E277" s="3" t="s">
        <v>31</v>
      </c>
      <c r="F277" s="3" t="s">
        <v>145</v>
      </c>
      <c r="G277" s="3" t="s">
        <v>146</v>
      </c>
      <c r="H277" s="3" t="s">
        <v>145</v>
      </c>
      <c r="I277" s="3" t="s">
        <v>146</v>
      </c>
      <c r="J277" s="3" t="s">
        <v>69</v>
      </c>
      <c r="K277" s="3" t="s">
        <v>2977</v>
      </c>
      <c r="L277" s="3" t="s">
        <v>871</v>
      </c>
      <c r="M277" s="3" t="s">
        <v>84</v>
      </c>
      <c r="N277" s="3" t="s">
        <v>85</v>
      </c>
      <c r="O277" s="3" t="s">
        <v>233</v>
      </c>
      <c r="P277" s="3" t="s">
        <v>875</v>
      </c>
      <c r="Q277" s="31">
        <v>42745</v>
      </c>
      <c r="R277" s="3" t="s">
        <v>62</v>
      </c>
      <c r="S277" s="3" t="s">
        <v>92</v>
      </c>
    </row>
    <row r="278" spans="1:19">
      <c r="A278" s="3" t="s">
        <v>865</v>
      </c>
      <c r="B278" s="31">
        <v>42746.737756446761</v>
      </c>
      <c r="C278" s="31">
        <v>42744.558333333334</v>
      </c>
      <c r="D278" s="3">
        <v>3035552528</v>
      </c>
      <c r="E278" s="3" t="s">
        <v>9</v>
      </c>
      <c r="F278" s="3" t="s">
        <v>111</v>
      </c>
      <c r="G278" s="3" t="s">
        <v>112</v>
      </c>
      <c r="H278" s="3" t="s">
        <v>82</v>
      </c>
      <c r="I278" s="3" t="s">
        <v>83</v>
      </c>
      <c r="J278" s="3" t="s">
        <v>69</v>
      </c>
      <c r="K278" s="3" t="s">
        <v>2976</v>
      </c>
      <c r="L278" s="3" t="s">
        <v>871</v>
      </c>
      <c r="M278" s="3" t="s">
        <v>84</v>
      </c>
      <c r="N278" s="3" t="s">
        <v>85</v>
      </c>
      <c r="O278" s="3" t="s">
        <v>233</v>
      </c>
      <c r="P278" s="3" t="s">
        <v>875</v>
      </c>
      <c r="Q278" s="31">
        <v>42745</v>
      </c>
      <c r="R278" s="3" t="s">
        <v>62</v>
      </c>
      <c r="S278" s="3" t="s">
        <v>62</v>
      </c>
    </row>
    <row r="279" spans="1:19">
      <c r="A279" s="3" t="s">
        <v>865</v>
      </c>
      <c r="B279" s="31">
        <v>42746.737756446761</v>
      </c>
      <c r="C279" s="31">
        <v>42744.568055555559</v>
      </c>
      <c r="D279" s="3">
        <v>3035608733</v>
      </c>
      <c r="E279" s="3" t="s">
        <v>31</v>
      </c>
      <c r="F279" s="3" t="s">
        <v>3043</v>
      </c>
      <c r="G279" s="3" t="s">
        <v>3044</v>
      </c>
      <c r="H279" s="3" t="s">
        <v>3043</v>
      </c>
      <c r="I279" s="3" t="s">
        <v>3044</v>
      </c>
      <c r="J279" s="3" t="s">
        <v>69</v>
      </c>
      <c r="K279" s="3" t="s">
        <v>2976</v>
      </c>
      <c r="L279" s="3" t="s">
        <v>871</v>
      </c>
      <c r="M279" s="3" t="s">
        <v>84</v>
      </c>
      <c r="N279" s="3" t="s">
        <v>85</v>
      </c>
      <c r="O279" s="3" t="s">
        <v>233</v>
      </c>
      <c r="P279" s="3" t="s">
        <v>875</v>
      </c>
      <c r="Q279" s="31">
        <v>42745</v>
      </c>
      <c r="R279" s="3" t="s">
        <v>62</v>
      </c>
      <c r="S279" s="3" t="s">
        <v>62</v>
      </c>
    </row>
    <row r="280" spans="1:19">
      <c r="A280" s="3" t="s">
        <v>865</v>
      </c>
      <c r="B280" s="31">
        <v>42746.737756446761</v>
      </c>
      <c r="C280" s="31">
        <v>42744.590277777781</v>
      </c>
      <c r="D280" s="3">
        <v>3035610402</v>
      </c>
      <c r="E280" s="3" t="s">
        <v>9</v>
      </c>
      <c r="F280" s="3" t="s">
        <v>94</v>
      </c>
      <c r="G280" s="3" t="s">
        <v>95</v>
      </c>
      <c r="H280" s="3" t="s">
        <v>94</v>
      </c>
      <c r="I280" s="3" t="s">
        <v>95</v>
      </c>
      <c r="J280" s="3" t="s">
        <v>69</v>
      </c>
      <c r="K280" s="3" t="s">
        <v>2976</v>
      </c>
      <c r="L280" s="3" t="s">
        <v>871</v>
      </c>
      <c r="M280" s="3" t="s">
        <v>84</v>
      </c>
      <c r="N280" s="3" t="s">
        <v>85</v>
      </c>
      <c r="O280" s="3" t="s">
        <v>233</v>
      </c>
      <c r="P280" s="3" t="s">
        <v>875</v>
      </c>
      <c r="Q280" s="31">
        <v>42745</v>
      </c>
      <c r="R280" s="3" t="s">
        <v>62</v>
      </c>
      <c r="S280" s="3" t="s">
        <v>62</v>
      </c>
    </row>
    <row r="281" spans="1:19">
      <c r="A281" s="3" t="s">
        <v>865</v>
      </c>
      <c r="B281" s="31">
        <v>42746.737756446761</v>
      </c>
      <c r="C281" s="31">
        <v>42744.606249999997</v>
      </c>
      <c r="D281" s="3">
        <v>3035611253</v>
      </c>
      <c r="E281" s="3" t="s">
        <v>9</v>
      </c>
      <c r="F281" s="3" t="s">
        <v>111</v>
      </c>
      <c r="G281" s="3" t="s">
        <v>112</v>
      </c>
      <c r="H281" s="3" t="s">
        <v>111</v>
      </c>
      <c r="I281" s="3" t="s">
        <v>112</v>
      </c>
      <c r="J281" s="3" t="s">
        <v>79</v>
      </c>
      <c r="K281" s="3" t="s">
        <v>2976</v>
      </c>
      <c r="L281" s="3" t="s">
        <v>866</v>
      </c>
      <c r="M281" s="3" t="s">
        <v>70</v>
      </c>
      <c r="N281" s="3" t="s">
        <v>71</v>
      </c>
      <c r="O281" s="3" t="s">
        <v>3049</v>
      </c>
      <c r="P281" s="3" t="s">
        <v>875</v>
      </c>
      <c r="Q281" s="31">
        <v>42745</v>
      </c>
      <c r="R281" s="3" t="s">
        <v>62</v>
      </c>
      <c r="S281" s="3" t="s">
        <v>62</v>
      </c>
    </row>
    <row r="282" spans="1:19">
      <c r="A282" s="3" t="s">
        <v>865</v>
      </c>
      <c r="B282" s="31">
        <v>42746.737756446761</v>
      </c>
      <c r="C282" s="31">
        <v>42744.606249999997</v>
      </c>
      <c r="D282" s="3">
        <v>3035611226</v>
      </c>
      <c r="E282" s="3" t="s">
        <v>31</v>
      </c>
      <c r="F282" s="3" t="s">
        <v>852</v>
      </c>
      <c r="G282" s="3" t="s">
        <v>197</v>
      </c>
      <c r="H282" s="3" t="s">
        <v>852</v>
      </c>
      <c r="I282" s="3" t="s">
        <v>197</v>
      </c>
      <c r="J282" s="3" t="s">
        <v>69</v>
      </c>
      <c r="K282" s="3" t="s">
        <v>2976</v>
      </c>
      <c r="L282" s="3" t="s">
        <v>866</v>
      </c>
      <c r="M282" s="3" t="s">
        <v>70</v>
      </c>
      <c r="N282" s="3" t="s">
        <v>71</v>
      </c>
      <c r="O282" s="3" t="s">
        <v>3050</v>
      </c>
      <c r="P282" s="3" t="s">
        <v>875</v>
      </c>
      <c r="Q282" s="31">
        <v>42745</v>
      </c>
      <c r="R282" s="3" t="s">
        <v>62</v>
      </c>
      <c r="S282" s="3" t="s">
        <v>62</v>
      </c>
    </row>
    <row r="283" spans="1:19">
      <c r="A283" s="3" t="s">
        <v>868</v>
      </c>
      <c r="B283" s="31">
        <v>42746.737756446761</v>
      </c>
      <c r="C283" s="31">
        <v>42744.619444444441</v>
      </c>
      <c r="D283" s="3">
        <v>3035611905</v>
      </c>
      <c r="E283" s="3" t="s">
        <v>31</v>
      </c>
      <c r="F283" s="3" t="s">
        <v>113</v>
      </c>
      <c r="G283" s="3" t="s">
        <v>114</v>
      </c>
      <c r="H283" s="3" t="s">
        <v>113</v>
      </c>
      <c r="I283" s="3" t="s">
        <v>114</v>
      </c>
      <c r="J283" s="3" t="s">
        <v>97</v>
      </c>
      <c r="K283" s="3" t="s">
        <v>2976</v>
      </c>
      <c r="L283" s="3" t="s">
        <v>866</v>
      </c>
      <c r="M283" s="3" t="s">
        <v>59</v>
      </c>
      <c r="N283" s="3" t="s">
        <v>60</v>
      </c>
      <c r="O283" s="3" t="s">
        <v>147</v>
      </c>
      <c r="P283" s="3" t="s">
        <v>875</v>
      </c>
      <c r="Q283" s="31">
        <v>42745</v>
      </c>
      <c r="R283" s="3" t="s">
        <v>62</v>
      </c>
      <c r="S283" s="3" t="s">
        <v>62</v>
      </c>
    </row>
    <row r="284" spans="1:19">
      <c r="A284" s="3" t="s">
        <v>865</v>
      </c>
      <c r="B284" s="31">
        <v>42746.737756446761</v>
      </c>
      <c r="C284" s="31">
        <v>42744.623611111114</v>
      </c>
      <c r="D284" s="3">
        <v>3035477797</v>
      </c>
      <c r="E284" s="3" t="s">
        <v>23</v>
      </c>
      <c r="F284" s="3" t="s">
        <v>119</v>
      </c>
      <c r="G284" s="3" t="s">
        <v>120</v>
      </c>
      <c r="H284" s="3" t="s">
        <v>139</v>
      </c>
      <c r="I284" s="3" t="s">
        <v>140</v>
      </c>
      <c r="J284" s="3" t="s">
        <v>69</v>
      </c>
      <c r="K284" s="3" t="s">
        <v>2977</v>
      </c>
      <c r="L284" s="3" t="s">
        <v>866</v>
      </c>
      <c r="M284" s="3" t="s">
        <v>59</v>
      </c>
      <c r="N284" s="3" t="s">
        <v>60</v>
      </c>
      <c r="O284" s="3" t="s">
        <v>147</v>
      </c>
      <c r="P284" s="3" t="s">
        <v>875</v>
      </c>
      <c r="Q284" s="31">
        <v>42745</v>
      </c>
      <c r="R284" s="3" t="s">
        <v>62</v>
      </c>
      <c r="S284" s="3" t="s">
        <v>529</v>
      </c>
    </row>
    <row r="285" spans="1:19">
      <c r="A285" s="3" t="s">
        <v>865</v>
      </c>
      <c r="B285" s="31">
        <v>42746.737756446761</v>
      </c>
      <c r="C285" s="31">
        <v>42744.629166666666</v>
      </c>
      <c r="D285" s="3">
        <v>3035612387</v>
      </c>
      <c r="E285" s="3" t="s">
        <v>23</v>
      </c>
      <c r="F285" s="3" t="s">
        <v>183</v>
      </c>
      <c r="G285" s="3" t="s">
        <v>184</v>
      </c>
      <c r="H285" s="3" t="s">
        <v>183</v>
      </c>
      <c r="I285" s="3" t="s">
        <v>184</v>
      </c>
      <c r="J285" s="3" t="s">
        <v>79</v>
      </c>
      <c r="K285" s="3" t="s">
        <v>2976</v>
      </c>
      <c r="L285" s="3" t="s">
        <v>866</v>
      </c>
      <c r="M285" s="3" t="s">
        <v>70</v>
      </c>
      <c r="N285" s="3" t="s">
        <v>897</v>
      </c>
      <c r="O285" s="3" t="s">
        <v>3016</v>
      </c>
      <c r="P285" s="3" t="s">
        <v>875</v>
      </c>
      <c r="Q285" s="31">
        <v>42745</v>
      </c>
      <c r="R285" s="3" t="s">
        <v>62</v>
      </c>
      <c r="S285" s="3" t="s">
        <v>62</v>
      </c>
    </row>
    <row r="286" spans="1:19">
      <c r="A286" s="3" t="s">
        <v>868</v>
      </c>
      <c r="B286" s="31">
        <v>42746.737756446761</v>
      </c>
      <c r="C286" s="31">
        <v>42744.631944444445</v>
      </c>
      <c r="D286" s="3">
        <v>3035607864</v>
      </c>
      <c r="E286" s="3" t="s">
        <v>273</v>
      </c>
      <c r="F286" s="3" t="s">
        <v>259</v>
      </c>
      <c r="G286" s="3" t="s">
        <v>260</v>
      </c>
      <c r="H286" s="3" t="s">
        <v>259</v>
      </c>
      <c r="I286" s="3" t="s">
        <v>260</v>
      </c>
      <c r="J286" s="3" t="s">
        <v>69</v>
      </c>
      <c r="K286" s="3" t="s">
        <v>2977</v>
      </c>
      <c r="L286" s="3" t="s">
        <v>866</v>
      </c>
      <c r="M286" s="3" t="s">
        <v>59</v>
      </c>
      <c r="N286" s="3" t="s">
        <v>60</v>
      </c>
      <c r="O286" s="3" t="s">
        <v>147</v>
      </c>
      <c r="P286" s="3" t="s">
        <v>875</v>
      </c>
      <c r="Q286" s="31">
        <v>42745</v>
      </c>
      <c r="R286" s="3" t="s">
        <v>62</v>
      </c>
      <c r="S286" s="3" t="s">
        <v>2985</v>
      </c>
    </row>
    <row r="287" spans="1:19">
      <c r="A287" s="3" t="s">
        <v>868</v>
      </c>
      <c r="B287" s="31">
        <v>42746.737756446761</v>
      </c>
      <c r="C287" s="31">
        <v>42744.652777777781</v>
      </c>
      <c r="D287" s="3">
        <v>3035613680</v>
      </c>
      <c r="E287" s="3" t="s">
        <v>273</v>
      </c>
      <c r="F287" s="3" t="s">
        <v>153</v>
      </c>
      <c r="G287" s="3" t="s">
        <v>892</v>
      </c>
      <c r="H287" s="3" t="s">
        <v>153</v>
      </c>
      <c r="I287" s="3" t="s">
        <v>892</v>
      </c>
      <c r="J287" s="3" t="s">
        <v>69</v>
      </c>
      <c r="K287" s="3" t="s">
        <v>2977</v>
      </c>
      <c r="L287" s="3" t="s">
        <v>871</v>
      </c>
      <c r="M287" s="3" t="s">
        <v>84</v>
      </c>
      <c r="N287" s="3" t="s">
        <v>85</v>
      </c>
      <c r="O287" s="3" t="s">
        <v>233</v>
      </c>
      <c r="P287" s="3" t="s">
        <v>875</v>
      </c>
      <c r="Q287" s="31">
        <v>42745</v>
      </c>
      <c r="R287" s="3" t="s">
        <v>62</v>
      </c>
      <c r="S287" s="3" t="s">
        <v>2985</v>
      </c>
    </row>
    <row r="288" spans="1:19">
      <c r="A288" s="3" t="s">
        <v>868</v>
      </c>
      <c r="B288" s="31">
        <v>42746.737756446761</v>
      </c>
      <c r="C288" s="31">
        <v>42744.65347222222</v>
      </c>
      <c r="D288" s="3">
        <v>3035613784</v>
      </c>
      <c r="E288" s="3" t="s">
        <v>273</v>
      </c>
      <c r="F288" s="3" t="s">
        <v>909</v>
      </c>
      <c r="G288" s="3" t="s">
        <v>313</v>
      </c>
      <c r="H288" s="3" t="s">
        <v>909</v>
      </c>
      <c r="I288" s="3" t="s">
        <v>313</v>
      </c>
      <c r="J288" s="3" t="s">
        <v>69</v>
      </c>
      <c r="K288" s="3" t="s">
        <v>2977</v>
      </c>
      <c r="L288" s="3" t="s">
        <v>871</v>
      </c>
      <c r="M288" s="3" t="s">
        <v>84</v>
      </c>
      <c r="N288" s="3" t="s">
        <v>85</v>
      </c>
      <c r="O288" s="3" t="s">
        <v>322</v>
      </c>
      <c r="P288" s="3" t="s">
        <v>875</v>
      </c>
      <c r="Q288" s="31">
        <v>42745</v>
      </c>
      <c r="R288" s="3" t="s">
        <v>62</v>
      </c>
      <c r="S288" s="3" t="s">
        <v>2985</v>
      </c>
    </row>
    <row r="289" spans="1:19">
      <c r="A289" s="3" t="s">
        <v>865</v>
      </c>
      <c r="B289" s="31">
        <v>42746.737756446761</v>
      </c>
      <c r="C289" s="31">
        <v>42744.655555555553</v>
      </c>
      <c r="D289" s="3">
        <v>3035614298</v>
      </c>
      <c r="E289" s="3" t="s">
        <v>273</v>
      </c>
      <c r="F289" s="3" t="s">
        <v>262</v>
      </c>
      <c r="G289" s="3" t="s">
        <v>874</v>
      </c>
      <c r="H289" s="3" t="s">
        <v>262</v>
      </c>
      <c r="I289" s="3" t="s">
        <v>874</v>
      </c>
      <c r="J289" s="3" t="s">
        <v>98</v>
      </c>
      <c r="K289" s="3" t="s">
        <v>2977</v>
      </c>
      <c r="L289" s="3" t="s">
        <v>871</v>
      </c>
      <c r="M289" s="3" t="s">
        <v>84</v>
      </c>
      <c r="N289" s="3" t="s">
        <v>85</v>
      </c>
      <c r="O289" s="3" t="s">
        <v>326</v>
      </c>
      <c r="P289" s="3" t="s">
        <v>875</v>
      </c>
      <c r="Q289" s="31">
        <v>42745</v>
      </c>
      <c r="R289" s="3" t="s">
        <v>62</v>
      </c>
      <c r="S289" s="3" t="s">
        <v>2985</v>
      </c>
    </row>
    <row r="290" spans="1:19">
      <c r="A290" s="3" t="s">
        <v>865</v>
      </c>
      <c r="B290" s="31">
        <v>42746.737756446761</v>
      </c>
      <c r="C290" s="31">
        <v>42744.656944444447</v>
      </c>
      <c r="D290" s="3">
        <v>3035614408</v>
      </c>
      <c r="E290" s="3" t="s">
        <v>273</v>
      </c>
      <c r="F290" s="3" t="s">
        <v>253</v>
      </c>
      <c r="G290" s="3" t="s">
        <v>254</v>
      </c>
      <c r="H290" s="3" t="s">
        <v>253</v>
      </c>
      <c r="I290" s="3" t="s">
        <v>254</v>
      </c>
      <c r="J290" s="3" t="s">
        <v>69</v>
      </c>
      <c r="K290" s="3" t="s">
        <v>2977</v>
      </c>
      <c r="L290" s="3" t="s">
        <v>866</v>
      </c>
      <c r="M290" s="3" t="s">
        <v>70</v>
      </c>
      <c r="N290" s="3" t="s">
        <v>71</v>
      </c>
      <c r="O290" s="3" t="s">
        <v>851</v>
      </c>
      <c r="P290" s="3" t="s">
        <v>875</v>
      </c>
      <c r="Q290" s="31">
        <v>42745</v>
      </c>
      <c r="R290" s="3" t="s">
        <v>62</v>
      </c>
      <c r="S290" s="3" t="s">
        <v>2985</v>
      </c>
    </row>
    <row r="291" spans="1:19">
      <c r="A291" s="3" t="s">
        <v>868</v>
      </c>
      <c r="B291" s="31">
        <v>42746.737756446761</v>
      </c>
      <c r="C291" s="31">
        <v>42744.665972222225</v>
      </c>
      <c r="D291" s="3">
        <v>3035614804</v>
      </c>
      <c r="E291" s="3" t="s">
        <v>23</v>
      </c>
      <c r="F291" s="3" t="s">
        <v>129</v>
      </c>
      <c r="G291" s="3" t="s">
        <v>130</v>
      </c>
      <c r="H291" s="3" t="s">
        <v>129</v>
      </c>
      <c r="I291" s="3" t="s">
        <v>130</v>
      </c>
      <c r="J291" s="3" t="s">
        <v>69</v>
      </c>
      <c r="K291" s="3" t="s">
        <v>2976</v>
      </c>
      <c r="L291" s="3" t="s">
        <v>866</v>
      </c>
      <c r="M291" s="3" t="s">
        <v>59</v>
      </c>
      <c r="N291" s="3" t="s">
        <v>60</v>
      </c>
      <c r="O291" s="3" t="s">
        <v>147</v>
      </c>
      <c r="P291" s="3" t="s">
        <v>875</v>
      </c>
      <c r="Q291" s="31">
        <v>42745</v>
      </c>
      <c r="R291" s="3" t="s">
        <v>62</v>
      </c>
      <c r="S291" s="3" t="s">
        <v>62</v>
      </c>
    </row>
    <row r="292" spans="1:19">
      <c r="A292" s="3" t="s">
        <v>868</v>
      </c>
      <c r="B292" s="31">
        <v>42746.737756446761</v>
      </c>
      <c r="C292" s="31">
        <v>42744.695833333331</v>
      </c>
      <c r="D292" s="3">
        <v>3035616253</v>
      </c>
      <c r="E292" s="3" t="s">
        <v>9</v>
      </c>
      <c r="F292" s="3" t="s">
        <v>111</v>
      </c>
      <c r="G292" s="3" t="s">
        <v>112</v>
      </c>
      <c r="H292" s="3" t="s">
        <v>111</v>
      </c>
      <c r="I292" s="3" t="s">
        <v>112</v>
      </c>
      <c r="J292" s="3" t="s">
        <v>69</v>
      </c>
      <c r="K292" s="3" t="s">
        <v>2976</v>
      </c>
      <c r="L292" s="3" t="s">
        <v>871</v>
      </c>
      <c r="M292" s="3" t="s">
        <v>84</v>
      </c>
      <c r="N292" s="3" t="s">
        <v>85</v>
      </c>
      <c r="O292" s="3" t="s">
        <v>233</v>
      </c>
      <c r="P292" s="3" t="s">
        <v>875</v>
      </c>
      <c r="Q292" s="31">
        <v>42745</v>
      </c>
      <c r="R292" s="3" t="s">
        <v>62</v>
      </c>
      <c r="S292" s="3" t="s">
        <v>62</v>
      </c>
    </row>
    <row r="293" spans="1:19">
      <c r="A293" s="3" t="s">
        <v>868</v>
      </c>
      <c r="B293" s="31">
        <v>42746.737756446761</v>
      </c>
      <c r="C293" s="31">
        <v>42744.704861111109</v>
      </c>
      <c r="D293" s="3">
        <v>3035617032</v>
      </c>
      <c r="E293" s="3" t="s">
        <v>39</v>
      </c>
      <c r="F293" s="3" t="s">
        <v>244</v>
      </c>
      <c r="G293" s="3" t="s">
        <v>245</v>
      </c>
      <c r="H293" s="3" t="s">
        <v>244</v>
      </c>
      <c r="I293" s="3" t="s">
        <v>245</v>
      </c>
      <c r="J293" s="3" t="s">
        <v>58</v>
      </c>
      <c r="K293" s="3" t="s">
        <v>2977</v>
      </c>
      <c r="L293" s="3" t="s">
        <v>866</v>
      </c>
      <c r="M293" s="3" t="s">
        <v>59</v>
      </c>
      <c r="N293" s="3" t="s">
        <v>60</v>
      </c>
      <c r="O293" s="3" t="s">
        <v>147</v>
      </c>
      <c r="P293" s="3" t="s">
        <v>875</v>
      </c>
      <c r="Q293" s="31">
        <v>42745</v>
      </c>
      <c r="R293" s="3" t="s">
        <v>62</v>
      </c>
      <c r="S293" s="3" t="s">
        <v>92</v>
      </c>
    </row>
    <row r="294" spans="1:19">
      <c r="A294" s="3" t="s">
        <v>865</v>
      </c>
      <c r="B294" s="31">
        <v>42746.737756446761</v>
      </c>
      <c r="C294" s="31">
        <v>42744.707638888889</v>
      </c>
      <c r="D294" s="3">
        <v>3035615812</v>
      </c>
      <c r="E294" s="3" t="s">
        <v>23</v>
      </c>
      <c r="F294" s="3" t="s">
        <v>129</v>
      </c>
      <c r="G294" s="3" t="s">
        <v>130</v>
      </c>
      <c r="H294" s="3" t="s">
        <v>129</v>
      </c>
      <c r="I294" s="3" t="s">
        <v>130</v>
      </c>
      <c r="J294" s="3" t="s">
        <v>69</v>
      </c>
      <c r="K294" s="3" t="s">
        <v>2976</v>
      </c>
      <c r="L294" s="3" t="s">
        <v>871</v>
      </c>
      <c r="M294" s="3" t="s">
        <v>84</v>
      </c>
      <c r="N294" s="3" t="s">
        <v>881</v>
      </c>
      <c r="O294" s="3" t="s">
        <v>928</v>
      </c>
      <c r="P294" s="3" t="s">
        <v>876</v>
      </c>
      <c r="Q294" s="31">
        <v>42745</v>
      </c>
      <c r="R294" s="3" t="s">
        <v>62</v>
      </c>
      <c r="S294" s="3" t="s">
        <v>62</v>
      </c>
    </row>
    <row r="295" spans="1:19">
      <c r="A295" s="3" t="s">
        <v>868</v>
      </c>
      <c r="B295" s="31">
        <v>42746.737756446761</v>
      </c>
      <c r="C295" s="31">
        <v>42744.713888888888</v>
      </c>
      <c r="D295" s="3">
        <v>3035556491</v>
      </c>
      <c r="E295" s="3" t="s">
        <v>23</v>
      </c>
      <c r="F295" s="3" t="s">
        <v>129</v>
      </c>
      <c r="G295" s="3" t="s">
        <v>130</v>
      </c>
      <c r="H295" s="3" t="s">
        <v>3051</v>
      </c>
      <c r="I295" s="3" t="s">
        <v>563</v>
      </c>
      <c r="J295" s="3" t="s">
        <v>99</v>
      </c>
      <c r="K295" s="3" t="s">
        <v>2977</v>
      </c>
      <c r="L295" s="3" t="s">
        <v>866</v>
      </c>
      <c r="M295" s="3" t="s">
        <v>59</v>
      </c>
      <c r="N295" s="3" t="s">
        <v>60</v>
      </c>
      <c r="O295" s="3" t="s">
        <v>182</v>
      </c>
      <c r="P295" s="3" t="s">
        <v>876</v>
      </c>
      <c r="Q295" s="31">
        <v>42745</v>
      </c>
      <c r="R295" s="3" t="s">
        <v>62</v>
      </c>
      <c r="S295" s="3" t="s">
        <v>3007</v>
      </c>
    </row>
    <row r="296" spans="1:19">
      <c r="A296" s="3" t="s">
        <v>865</v>
      </c>
      <c r="B296" s="31">
        <v>42746.737756446761</v>
      </c>
      <c r="C296" s="31">
        <v>42744.71597222222</v>
      </c>
      <c r="D296" s="3">
        <v>3035617601</v>
      </c>
      <c r="E296" s="3" t="s">
        <v>23</v>
      </c>
      <c r="F296" s="3" t="s">
        <v>154</v>
      </c>
      <c r="G296" s="3" t="s">
        <v>155</v>
      </c>
      <c r="H296" s="3" t="s">
        <v>154</v>
      </c>
      <c r="I296" s="3" t="s">
        <v>155</v>
      </c>
      <c r="J296" s="3" t="s">
        <v>97</v>
      </c>
      <c r="K296" s="3" t="s">
        <v>2976</v>
      </c>
      <c r="L296" s="3" t="s">
        <v>866</v>
      </c>
      <c r="M296" s="3" t="s">
        <v>59</v>
      </c>
      <c r="N296" s="3" t="s">
        <v>60</v>
      </c>
      <c r="O296" s="3" t="s">
        <v>182</v>
      </c>
      <c r="P296" s="3" t="s">
        <v>876</v>
      </c>
      <c r="Q296" s="31">
        <v>42745</v>
      </c>
      <c r="R296" s="3" t="s">
        <v>62</v>
      </c>
      <c r="S296" s="3" t="s">
        <v>62</v>
      </c>
    </row>
    <row r="297" spans="1:19">
      <c r="A297" s="3" t="s">
        <v>865</v>
      </c>
      <c r="B297" s="31">
        <v>42746.737756446761</v>
      </c>
      <c r="C297" s="31">
        <v>42744.719444444447</v>
      </c>
      <c r="D297" s="3">
        <v>3035616513</v>
      </c>
      <c r="E297" s="3" t="s">
        <v>273</v>
      </c>
      <c r="F297" s="3" t="s">
        <v>854</v>
      </c>
      <c r="G297" s="3" t="s">
        <v>846</v>
      </c>
      <c r="H297" s="3" t="s">
        <v>854</v>
      </c>
      <c r="I297" s="3" t="s">
        <v>846</v>
      </c>
      <c r="J297" s="3" t="s">
        <v>144</v>
      </c>
      <c r="K297" s="3" t="s">
        <v>2977</v>
      </c>
      <c r="L297" s="3" t="s">
        <v>866</v>
      </c>
      <c r="M297" s="3" t="s">
        <v>70</v>
      </c>
      <c r="N297" s="3" t="s">
        <v>71</v>
      </c>
      <c r="O297" s="3" t="s">
        <v>3052</v>
      </c>
      <c r="P297" s="3" t="s">
        <v>876</v>
      </c>
      <c r="Q297" s="31">
        <v>42745</v>
      </c>
      <c r="R297" s="3" t="s">
        <v>62</v>
      </c>
      <c r="S297" s="3" t="s">
        <v>2985</v>
      </c>
    </row>
    <row r="298" spans="1:19">
      <c r="A298" s="3" t="s">
        <v>865</v>
      </c>
      <c r="B298" s="31">
        <v>42746.737756446761</v>
      </c>
      <c r="C298" s="31">
        <v>42744.734722222223</v>
      </c>
      <c r="D298" s="3">
        <v>3035437632</v>
      </c>
      <c r="E298" s="3" t="s">
        <v>23</v>
      </c>
      <c r="F298" s="3" t="s">
        <v>183</v>
      </c>
      <c r="G298" s="3" t="s">
        <v>184</v>
      </c>
      <c r="H298" s="3" t="s">
        <v>139</v>
      </c>
      <c r="I298" s="3" t="s">
        <v>140</v>
      </c>
      <c r="J298" s="3" t="s">
        <v>69</v>
      </c>
      <c r="K298" s="3" t="s">
        <v>2977</v>
      </c>
      <c r="L298" s="3" t="s">
        <v>866</v>
      </c>
      <c r="M298" s="3" t="s">
        <v>59</v>
      </c>
      <c r="N298" s="3" t="s">
        <v>60</v>
      </c>
      <c r="O298" s="3" t="s">
        <v>3053</v>
      </c>
      <c r="P298" s="3" t="s">
        <v>876</v>
      </c>
      <c r="Q298" s="31">
        <v>42745</v>
      </c>
      <c r="R298" s="3" t="s">
        <v>62</v>
      </c>
      <c r="S298" s="3" t="s">
        <v>529</v>
      </c>
    </row>
    <row r="299" spans="1:19">
      <c r="A299" s="3" t="s">
        <v>865</v>
      </c>
      <c r="B299" s="31">
        <v>42746.737756446761</v>
      </c>
      <c r="C299" s="31">
        <v>42744.738888888889</v>
      </c>
      <c r="D299" s="3">
        <v>3035526713</v>
      </c>
      <c r="E299" s="3" t="s">
        <v>23</v>
      </c>
      <c r="F299" s="3" t="s">
        <v>131</v>
      </c>
      <c r="G299" s="3" t="s">
        <v>132</v>
      </c>
      <c r="H299" s="3" t="s">
        <v>139</v>
      </c>
      <c r="I299" s="3" t="s">
        <v>140</v>
      </c>
      <c r="J299" s="3" t="s">
        <v>69</v>
      </c>
      <c r="K299" s="3" t="s">
        <v>2977</v>
      </c>
      <c r="L299" s="3" t="s">
        <v>871</v>
      </c>
      <c r="M299" s="3" t="s">
        <v>84</v>
      </c>
      <c r="N299" s="3" t="s">
        <v>85</v>
      </c>
      <c r="O299" s="3" t="s">
        <v>84</v>
      </c>
      <c r="P299" s="3" t="s">
        <v>876</v>
      </c>
      <c r="Q299" s="31">
        <v>42745</v>
      </c>
      <c r="R299" s="3" t="s">
        <v>62</v>
      </c>
      <c r="S299" s="3" t="s">
        <v>529</v>
      </c>
    </row>
    <row r="300" spans="1:19">
      <c r="A300" s="3" t="s">
        <v>868</v>
      </c>
      <c r="B300" s="31">
        <v>42746.737756446761</v>
      </c>
      <c r="C300" s="31">
        <v>42744.753472222219</v>
      </c>
      <c r="D300" s="3">
        <v>3035618982</v>
      </c>
      <c r="E300" s="3" t="s">
        <v>23</v>
      </c>
      <c r="F300" s="3" t="s">
        <v>119</v>
      </c>
      <c r="G300" s="3" t="s">
        <v>120</v>
      </c>
      <c r="H300" s="3" t="s">
        <v>119</v>
      </c>
      <c r="I300" s="3" t="s">
        <v>120</v>
      </c>
      <c r="J300" s="3" t="s">
        <v>69</v>
      </c>
      <c r="K300" s="3" t="s">
        <v>2976</v>
      </c>
      <c r="L300" s="3" t="s">
        <v>871</v>
      </c>
      <c r="M300" s="3" t="s">
        <v>84</v>
      </c>
      <c r="N300" s="3" t="s">
        <v>85</v>
      </c>
      <c r="O300" s="3" t="s">
        <v>935</v>
      </c>
      <c r="P300" s="3" t="s">
        <v>876</v>
      </c>
      <c r="Q300" s="31">
        <v>42745</v>
      </c>
      <c r="R300" s="3" t="s">
        <v>62</v>
      </c>
      <c r="S300" s="3" t="s">
        <v>62</v>
      </c>
    </row>
    <row r="301" spans="1:19">
      <c r="A301" s="3" t="s">
        <v>868</v>
      </c>
      <c r="B301" s="31">
        <v>42746.737756446761</v>
      </c>
      <c r="C301" s="31">
        <v>42744.763194444444</v>
      </c>
      <c r="D301" s="3">
        <v>3035620204</v>
      </c>
      <c r="E301" s="3" t="s">
        <v>39</v>
      </c>
      <c r="F301" s="3" t="s">
        <v>244</v>
      </c>
      <c r="G301" s="3" t="s">
        <v>245</v>
      </c>
      <c r="H301" s="3" t="s">
        <v>244</v>
      </c>
      <c r="I301" s="3" t="s">
        <v>245</v>
      </c>
      <c r="J301" s="3" t="s">
        <v>69</v>
      </c>
      <c r="K301" s="3" t="s">
        <v>2977</v>
      </c>
      <c r="L301" s="3" t="s">
        <v>871</v>
      </c>
      <c r="M301" s="3" t="s">
        <v>84</v>
      </c>
      <c r="N301" s="3" t="s">
        <v>85</v>
      </c>
      <c r="O301" s="3" t="s">
        <v>925</v>
      </c>
      <c r="P301" s="3" t="s">
        <v>876</v>
      </c>
      <c r="Q301" s="31">
        <v>42745</v>
      </c>
      <c r="R301" s="3" t="s">
        <v>62</v>
      </c>
      <c r="S301" s="3" t="s">
        <v>92</v>
      </c>
    </row>
    <row r="302" spans="1:19">
      <c r="A302" s="3" t="s">
        <v>868</v>
      </c>
      <c r="B302" s="31">
        <v>42746.737756446761</v>
      </c>
      <c r="C302" s="31">
        <v>42744.769444444442</v>
      </c>
      <c r="D302" s="3">
        <v>3035620454</v>
      </c>
      <c r="E302" s="3" t="s">
        <v>23</v>
      </c>
      <c r="F302" s="3" t="s">
        <v>862</v>
      </c>
      <c r="G302" s="3" t="s">
        <v>624</v>
      </c>
      <c r="H302" s="3" t="s">
        <v>862</v>
      </c>
      <c r="I302" s="3" t="s">
        <v>624</v>
      </c>
      <c r="J302" s="3" t="s">
        <v>69</v>
      </c>
      <c r="K302" s="3" t="s">
        <v>2976</v>
      </c>
      <c r="L302" s="3" t="s">
        <v>871</v>
      </c>
      <c r="M302" s="3" t="s">
        <v>84</v>
      </c>
      <c r="N302" s="3" t="s">
        <v>881</v>
      </c>
      <c r="O302" s="3" t="s">
        <v>3054</v>
      </c>
      <c r="P302" s="3" t="s">
        <v>876</v>
      </c>
      <c r="Q302" s="31">
        <v>42745</v>
      </c>
      <c r="R302" s="3" t="s">
        <v>62</v>
      </c>
      <c r="S302" s="3" t="s">
        <v>62</v>
      </c>
    </row>
    <row r="303" spans="1:19">
      <c r="A303" s="3" t="s">
        <v>868</v>
      </c>
      <c r="B303" s="31">
        <v>42746.737756446761</v>
      </c>
      <c r="C303" s="31">
        <v>42744.786111111112</v>
      </c>
      <c r="D303" s="3">
        <v>3035618334</v>
      </c>
      <c r="E303" s="3" t="s">
        <v>39</v>
      </c>
      <c r="F303" s="3" t="s">
        <v>231</v>
      </c>
      <c r="G303" s="3" t="s">
        <v>232</v>
      </c>
      <c r="H303" s="3" t="s">
        <v>231</v>
      </c>
      <c r="I303" s="3" t="s">
        <v>232</v>
      </c>
      <c r="J303" s="3" t="s">
        <v>97</v>
      </c>
      <c r="K303" s="3" t="s">
        <v>2977</v>
      </c>
      <c r="L303" s="3" t="s">
        <v>866</v>
      </c>
      <c r="M303" s="3" t="s">
        <v>59</v>
      </c>
      <c r="N303" s="3" t="s">
        <v>60</v>
      </c>
      <c r="O303" s="3" t="s">
        <v>59</v>
      </c>
      <c r="P303" s="3" t="s">
        <v>876</v>
      </c>
      <c r="Q303" s="31">
        <v>42745</v>
      </c>
      <c r="R303" s="3" t="s">
        <v>62</v>
      </c>
      <c r="S303" s="3" t="s">
        <v>92</v>
      </c>
    </row>
    <row r="304" spans="1:19">
      <c r="A304" s="3" t="s">
        <v>868</v>
      </c>
      <c r="B304" s="31">
        <v>42746.737756446761</v>
      </c>
      <c r="C304" s="31">
        <v>42744.806944444441</v>
      </c>
      <c r="D304" s="3">
        <v>3035450059</v>
      </c>
      <c r="E304" s="3" t="s">
        <v>23</v>
      </c>
      <c r="F304" s="3" t="s">
        <v>149</v>
      </c>
      <c r="G304" s="3" t="s">
        <v>150</v>
      </c>
      <c r="H304" s="3" t="s">
        <v>139</v>
      </c>
      <c r="I304" s="3" t="s">
        <v>140</v>
      </c>
      <c r="J304" s="3" t="s">
        <v>79</v>
      </c>
      <c r="K304" s="3" t="s">
        <v>2977</v>
      </c>
      <c r="L304" s="3" t="s">
        <v>871</v>
      </c>
      <c r="M304" s="3" t="s">
        <v>84</v>
      </c>
      <c r="N304" s="3" t="s">
        <v>85</v>
      </c>
      <c r="O304" s="3" t="s">
        <v>925</v>
      </c>
      <c r="P304" s="3" t="s">
        <v>876</v>
      </c>
      <c r="Q304" s="31">
        <v>42745</v>
      </c>
      <c r="R304" s="3" t="s">
        <v>62</v>
      </c>
      <c r="S304" s="3" t="s">
        <v>529</v>
      </c>
    </row>
    <row r="305" spans="1:19">
      <c r="A305" s="3" t="s">
        <v>865</v>
      </c>
      <c r="B305" s="31">
        <v>42746.737756446761</v>
      </c>
      <c r="C305" s="31">
        <v>42744.807638888888</v>
      </c>
      <c r="D305" s="3">
        <v>3035622487</v>
      </c>
      <c r="E305" s="3" t="s">
        <v>23</v>
      </c>
      <c r="F305" s="3" t="s">
        <v>149</v>
      </c>
      <c r="G305" s="3" t="s">
        <v>150</v>
      </c>
      <c r="H305" s="3" t="s">
        <v>149</v>
      </c>
      <c r="I305" s="3" t="s">
        <v>150</v>
      </c>
      <c r="J305" s="3" t="s">
        <v>69</v>
      </c>
      <c r="K305" s="3" t="s">
        <v>2976</v>
      </c>
      <c r="L305" s="3" t="s">
        <v>871</v>
      </c>
      <c r="M305" s="3" t="s">
        <v>84</v>
      </c>
      <c r="N305" s="3" t="s">
        <v>85</v>
      </c>
      <c r="O305" s="3" t="s">
        <v>925</v>
      </c>
      <c r="P305" s="3" t="s">
        <v>876</v>
      </c>
      <c r="Q305" s="31">
        <v>42745</v>
      </c>
      <c r="R305" s="3" t="s">
        <v>62</v>
      </c>
      <c r="S305" s="3" t="s">
        <v>62</v>
      </c>
    </row>
    <row r="306" spans="1:19">
      <c r="A306" s="3" t="s">
        <v>868</v>
      </c>
      <c r="B306" s="31">
        <v>42746.737756446761</v>
      </c>
      <c r="C306" s="31">
        <v>42744.813888888886</v>
      </c>
      <c r="D306" s="3">
        <v>3035558730</v>
      </c>
      <c r="E306" s="3" t="s">
        <v>23</v>
      </c>
      <c r="F306" s="3" t="s">
        <v>149</v>
      </c>
      <c r="G306" s="3" t="s">
        <v>150</v>
      </c>
      <c r="H306" s="3" t="s">
        <v>139</v>
      </c>
      <c r="I306" s="3" t="s">
        <v>140</v>
      </c>
      <c r="J306" s="3" t="s">
        <v>69</v>
      </c>
      <c r="K306" s="3" t="s">
        <v>2977</v>
      </c>
      <c r="L306" s="3" t="s">
        <v>871</v>
      </c>
      <c r="M306" s="3" t="s">
        <v>84</v>
      </c>
      <c r="N306" s="3" t="s">
        <v>85</v>
      </c>
      <c r="O306" s="3" t="s">
        <v>84</v>
      </c>
      <c r="P306" s="3" t="s">
        <v>876</v>
      </c>
      <c r="Q306" s="31">
        <v>42745</v>
      </c>
      <c r="R306" s="3" t="s">
        <v>62</v>
      </c>
      <c r="S306" s="3" t="s">
        <v>529</v>
      </c>
    </row>
    <row r="307" spans="1:19">
      <c r="A307" s="3" t="s">
        <v>868</v>
      </c>
      <c r="B307" s="31">
        <v>42746.737756446761</v>
      </c>
      <c r="C307" s="31">
        <v>42744.820138888892</v>
      </c>
      <c r="D307" s="3">
        <v>3035472145</v>
      </c>
      <c r="E307" s="3" t="s">
        <v>23</v>
      </c>
      <c r="F307" s="3" t="s">
        <v>183</v>
      </c>
      <c r="G307" s="3" t="s">
        <v>184</v>
      </c>
      <c r="H307" s="3" t="s">
        <v>139</v>
      </c>
      <c r="I307" s="3" t="s">
        <v>140</v>
      </c>
      <c r="J307" s="3" t="s">
        <v>69</v>
      </c>
      <c r="K307" s="3" t="s">
        <v>2977</v>
      </c>
      <c r="L307" s="3" t="s">
        <v>871</v>
      </c>
      <c r="M307" s="3" t="s">
        <v>84</v>
      </c>
      <c r="N307" s="3" t="s">
        <v>85</v>
      </c>
      <c r="O307" s="3" t="s">
        <v>925</v>
      </c>
      <c r="P307" s="3" t="s">
        <v>876</v>
      </c>
      <c r="Q307" s="31">
        <v>42745</v>
      </c>
      <c r="R307" s="3" t="s">
        <v>62</v>
      </c>
      <c r="S307" s="3" t="s">
        <v>529</v>
      </c>
    </row>
    <row r="308" spans="1:19">
      <c r="A308" s="3" t="s">
        <v>868</v>
      </c>
      <c r="B308" s="31">
        <v>42746.737756446761</v>
      </c>
      <c r="C308" s="31">
        <v>42744.821527777778</v>
      </c>
      <c r="D308" s="3">
        <v>3035623302</v>
      </c>
      <c r="E308" s="3" t="s">
        <v>23</v>
      </c>
      <c r="F308" s="3" t="s">
        <v>154</v>
      </c>
      <c r="G308" s="3" t="s">
        <v>155</v>
      </c>
      <c r="H308" s="3" t="s">
        <v>154</v>
      </c>
      <c r="I308" s="3" t="s">
        <v>155</v>
      </c>
      <c r="J308" s="3" t="s">
        <v>99</v>
      </c>
      <c r="K308" s="3" t="s">
        <v>2976</v>
      </c>
      <c r="L308" s="3" t="s">
        <v>866</v>
      </c>
      <c r="M308" s="3" t="s">
        <v>59</v>
      </c>
      <c r="N308" s="3" t="s">
        <v>60</v>
      </c>
      <c r="O308" s="3" t="s">
        <v>922</v>
      </c>
      <c r="P308" s="3" t="s">
        <v>876</v>
      </c>
      <c r="Q308" s="31">
        <v>42745</v>
      </c>
      <c r="R308" s="3" t="s">
        <v>62</v>
      </c>
      <c r="S308" s="3" t="s">
        <v>62</v>
      </c>
    </row>
    <row r="309" spans="1:19">
      <c r="A309" s="3" t="s">
        <v>868</v>
      </c>
      <c r="B309" s="31">
        <v>42746.737756446761</v>
      </c>
      <c r="C309" s="31">
        <v>42744.863888888889</v>
      </c>
      <c r="D309" s="3">
        <v>3035625421</v>
      </c>
      <c r="E309" s="3" t="s">
        <v>39</v>
      </c>
      <c r="F309" s="3" t="s">
        <v>248</v>
      </c>
      <c r="G309" s="3" t="s">
        <v>249</v>
      </c>
      <c r="H309" s="3" t="s">
        <v>248</v>
      </c>
      <c r="I309" s="3" t="s">
        <v>249</v>
      </c>
      <c r="J309" s="3" t="s">
        <v>69</v>
      </c>
      <c r="K309" s="3" t="s">
        <v>2977</v>
      </c>
      <c r="L309" s="3" t="s">
        <v>866</v>
      </c>
      <c r="M309" s="3" t="s">
        <v>59</v>
      </c>
      <c r="N309" s="3" t="s">
        <v>60</v>
      </c>
      <c r="O309" s="3" t="s">
        <v>922</v>
      </c>
      <c r="P309" s="3" t="s">
        <v>876</v>
      </c>
      <c r="Q309" s="31">
        <v>42745</v>
      </c>
      <c r="R309" s="3" t="s">
        <v>62</v>
      </c>
      <c r="S309" s="3" t="s">
        <v>92</v>
      </c>
    </row>
    <row r="310" spans="1:19">
      <c r="A310" s="3" t="s">
        <v>868</v>
      </c>
      <c r="B310" s="31">
        <v>42746.737756446761</v>
      </c>
      <c r="C310" s="31">
        <v>42744.875694444447</v>
      </c>
      <c r="D310" s="3">
        <v>3035624891</v>
      </c>
      <c r="E310" s="3" t="s">
        <v>23</v>
      </c>
      <c r="F310" s="3" t="s">
        <v>129</v>
      </c>
      <c r="G310" s="3" t="s">
        <v>130</v>
      </c>
      <c r="H310" s="3" t="s">
        <v>129</v>
      </c>
      <c r="I310" s="3" t="s">
        <v>130</v>
      </c>
      <c r="J310" s="3" t="s">
        <v>69</v>
      </c>
      <c r="K310" s="3" t="s">
        <v>2976</v>
      </c>
      <c r="L310" s="3" t="s">
        <v>871</v>
      </c>
      <c r="M310" s="3" t="s">
        <v>84</v>
      </c>
      <c r="N310" s="3" t="s">
        <v>85</v>
      </c>
      <c r="O310" s="3" t="s">
        <v>925</v>
      </c>
      <c r="P310" s="3" t="s">
        <v>876</v>
      </c>
      <c r="Q310" s="31">
        <v>42745</v>
      </c>
      <c r="R310" s="3" t="s">
        <v>62</v>
      </c>
      <c r="S310" s="3" t="s">
        <v>62</v>
      </c>
    </row>
    <row r="311" spans="1:19">
      <c r="A311" s="3" t="s">
        <v>873</v>
      </c>
      <c r="B311" s="31">
        <v>42743.735176273149</v>
      </c>
      <c r="C311" s="31">
        <v>42741.425000000003</v>
      </c>
      <c r="D311" s="3">
        <v>3035541211</v>
      </c>
      <c r="E311" s="3" t="s">
        <v>9</v>
      </c>
      <c r="F311" s="3" t="s">
        <v>101</v>
      </c>
      <c r="G311" s="3" t="s">
        <v>102</v>
      </c>
      <c r="H311" s="3" t="s">
        <v>101</v>
      </c>
      <c r="I311" s="3" t="s">
        <v>102</v>
      </c>
      <c r="J311" s="3" t="s">
        <v>69</v>
      </c>
      <c r="K311" s="3" t="s">
        <v>2976</v>
      </c>
      <c r="L311" s="3" t="s">
        <v>866</v>
      </c>
      <c r="M311" s="3" t="s">
        <v>59</v>
      </c>
      <c r="N311" s="3" t="s">
        <v>60</v>
      </c>
      <c r="O311" s="3" t="s">
        <v>147</v>
      </c>
      <c r="P311" s="3" t="s">
        <v>875</v>
      </c>
      <c r="Q311" s="31">
        <v>42742</v>
      </c>
      <c r="R311" s="3" t="s">
        <v>62</v>
      </c>
      <c r="S311" s="3" t="s">
        <v>62</v>
      </c>
    </row>
    <row r="312" spans="1:19">
      <c r="A312" s="3" t="s">
        <v>873</v>
      </c>
      <c r="B312" s="31">
        <v>42743.735176273149</v>
      </c>
      <c r="C312" s="31">
        <v>42741.434027777781</v>
      </c>
      <c r="D312" s="3">
        <v>3035521712</v>
      </c>
      <c r="E312" s="3" t="s">
        <v>273</v>
      </c>
      <c r="F312" s="3" t="s">
        <v>259</v>
      </c>
      <c r="G312" s="3" t="s">
        <v>260</v>
      </c>
      <c r="H312" s="3" t="s">
        <v>889</v>
      </c>
      <c r="I312" s="3" t="e">
        <v>#N/A</v>
      </c>
      <c r="J312" s="3" t="s">
        <v>98</v>
      </c>
      <c r="K312" s="3" t="s">
        <v>2977</v>
      </c>
      <c r="L312" s="3" t="s">
        <v>871</v>
      </c>
      <c r="M312" s="3" t="s">
        <v>84</v>
      </c>
      <c r="N312" s="3" t="s">
        <v>85</v>
      </c>
      <c r="O312" s="3" t="s">
        <v>233</v>
      </c>
      <c r="P312" s="3" t="s">
        <v>875</v>
      </c>
      <c r="Q312" s="31">
        <v>42742</v>
      </c>
      <c r="R312" s="3" t="s">
        <v>62</v>
      </c>
      <c r="S312" s="3" t="s">
        <v>2143</v>
      </c>
    </row>
    <row r="313" spans="1:19">
      <c r="A313" s="3" t="s">
        <v>873</v>
      </c>
      <c r="B313" s="31">
        <v>42743.735176273149</v>
      </c>
      <c r="C313" s="31">
        <v>42741.468055555553</v>
      </c>
      <c r="D313" s="3">
        <v>3035542196</v>
      </c>
      <c r="E313" s="3" t="s">
        <v>9</v>
      </c>
      <c r="F313" s="3" t="s">
        <v>109</v>
      </c>
      <c r="G313" s="3" t="s">
        <v>110</v>
      </c>
      <c r="H313" s="3" t="s">
        <v>109</v>
      </c>
      <c r="I313" s="3" t="s">
        <v>110</v>
      </c>
      <c r="J313" s="3" t="s">
        <v>97</v>
      </c>
      <c r="K313" s="3" t="s">
        <v>2976</v>
      </c>
      <c r="L313" s="3" t="s">
        <v>871</v>
      </c>
      <c r="M313" s="3" t="s">
        <v>84</v>
      </c>
      <c r="N313" s="3" t="s">
        <v>85</v>
      </c>
      <c r="O313" s="3" t="s">
        <v>3055</v>
      </c>
      <c r="P313" s="3" t="s">
        <v>875</v>
      </c>
      <c r="Q313" s="31">
        <v>42742</v>
      </c>
      <c r="R313" s="3" t="s">
        <v>62</v>
      </c>
      <c r="S313" s="3" t="s">
        <v>62</v>
      </c>
    </row>
    <row r="314" spans="1:19">
      <c r="A314" s="3" t="s">
        <v>873</v>
      </c>
      <c r="B314" s="31">
        <v>42743.735176273149</v>
      </c>
      <c r="C314" s="31">
        <v>42741.822222222225</v>
      </c>
      <c r="D314" s="3">
        <v>3035557075</v>
      </c>
      <c r="E314" s="3" t="s">
        <v>23</v>
      </c>
      <c r="F314" s="3" t="s">
        <v>131</v>
      </c>
      <c r="G314" s="3" t="s">
        <v>132</v>
      </c>
      <c r="H314" s="3" t="s">
        <v>131</v>
      </c>
      <c r="I314" s="3" t="s">
        <v>132</v>
      </c>
      <c r="J314" s="3" t="s">
        <v>69</v>
      </c>
      <c r="K314" s="3" t="s">
        <v>2976</v>
      </c>
      <c r="L314" s="3" t="s">
        <v>866</v>
      </c>
      <c r="M314" s="3" t="s">
        <v>70</v>
      </c>
      <c r="N314" s="3" t="s">
        <v>71</v>
      </c>
      <c r="O314" s="3" t="s">
        <v>3046</v>
      </c>
      <c r="P314" s="3" t="s">
        <v>875</v>
      </c>
      <c r="Q314" s="31">
        <v>42742</v>
      </c>
      <c r="R314" s="3" t="s">
        <v>62</v>
      </c>
      <c r="S314" s="3" t="s">
        <v>62</v>
      </c>
    </row>
    <row r="315" spans="1:19">
      <c r="A315" s="3" t="s">
        <v>873</v>
      </c>
      <c r="B315" s="31">
        <v>42746.737756446761</v>
      </c>
      <c r="C315" s="31">
        <v>42744.367361111108</v>
      </c>
      <c r="D315" s="3">
        <v>3035601360</v>
      </c>
      <c r="E315" s="3" t="s">
        <v>31</v>
      </c>
      <c r="F315" s="3" t="s">
        <v>219</v>
      </c>
      <c r="G315" s="3" t="s">
        <v>220</v>
      </c>
      <c r="H315" s="3" t="s">
        <v>219</v>
      </c>
      <c r="I315" s="3" t="s">
        <v>220</v>
      </c>
      <c r="J315" s="3" t="s">
        <v>79</v>
      </c>
      <c r="K315" s="3" t="s">
        <v>2977</v>
      </c>
      <c r="L315" s="3" t="s">
        <v>866</v>
      </c>
      <c r="M315" s="3" t="s">
        <v>59</v>
      </c>
      <c r="N315" s="3" t="s">
        <v>60</v>
      </c>
      <c r="O315" s="3" t="s">
        <v>147</v>
      </c>
      <c r="P315" s="3" t="s">
        <v>875</v>
      </c>
      <c r="Q315" s="31">
        <v>42745</v>
      </c>
      <c r="R315" s="3" t="s">
        <v>62</v>
      </c>
      <c r="S315" s="3" t="s">
        <v>92</v>
      </c>
    </row>
    <row r="316" spans="1:19">
      <c r="A316" s="3" t="s">
        <v>873</v>
      </c>
      <c r="B316" s="31">
        <v>42746.737756446761</v>
      </c>
      <c r="C316" s="31">
        <v>42744.490277777775</v>
      </c>
      <c r="D316" s="3">
        <v>3035605133</v>
      </c>
      <c r="E316" s="3" t="s">
        <v>31</v>
      </c>
      <c r="F316" s="3" t="s">
        <v>145</v>
      </c>
      <c r="G316" s="3" t="s">
        <v>146</v>
      </c>
      <c r="H316" s="3" t="s">
        <v>145</v>
      </c>
      <c r="I316" s="3" t="s">
        <v>146</v>
      </c>
      <c r="J316" s="3" t="s">
        <v>69</v>
      </c>
      <c r="K316" s="3" t="s">
        <v>2977</v>
      </c>
      <c r="L316" s="3" t="s">
        <v>871</v>
      </c>
      <c r="M316" s="3" t="s">
        <v>84</v>
      </c>
      <c r="N316" s="3" t="s">
        <v>85</v>
      </c>
      <c r="O316" s="3" t="s">
        <v>912</v>
      </c>
      <c r="P316" s="3" t="s">
        <v>875</v>
      </c>
      <c r="Q316" s="31">
        <v>42745</v>
      </c>
      <c r="R316" s="3" t="s">
        <v>62</v>
      </c>
      <c r="S316" s="3" t="s">
        <v>92</v>
      </c>
    </row>
    <row r="317" spans="1:19">
      <c r="A317" s="3" t="s">
        <v>873</v>
      </c>
      <c r="B317" s="31">
        <v>42746.737756446761</v>
      </c>
      <c r="C317" s="31">
        <v>42744.545138888891</v>
      </c>
      <c r="D317" s="3">
        <v>3035607678</v>
      </c>
      <c r="E317" s="3" t="s">
        <v>9</v>
      </c>
      <c r="F317" s="3" t="s">
        <v>111</v>
      </c>
      <c r="G317" s="3" t="s">
        <v>112</v>
      </c>
      <c r="H317" s="3" t="s">
        <v>111</v>
      </c>
      <c r="I317" s="3" t="s">
        <v>112</v>
      </c>
      <c r="J317" s="3" t="s">
        <v>69</v>
      </c>
      <c r="K317" s="3" t="s">
        <v>2976</v>
      </c>
      <c r="L317" s="3" t="s">
        <v>871</v>
      </c>
      <c r="M317" s="3" t="s">
        <v>84</v>
      </c>
      <c r="N317" s="3" t="s">
        <v>85</v>
      </c>
      <c r="O317" s="3" t="s">
        <v>233</v>
      </c>
      <c r="P317" s="3" t="s">
        <v>875</v>
      </c>
      <c r="Q317" s="31">
        <v>42745</v>
      </c>
      <c r="R317" s="3" t="s">
        <v>62</v>
      </c>
      <c r="S317" s="3" t="s">
        <v>62</v>
      </c>
    </row>
    <row r="318" spans="1:19">
      <c r="A318" s="3" t="s">
        <v>873</v>
      </c>
      <c r="B318" s="31">
        <v>42746.737756446761</v>
      </c>
      <c r="C318" s="31">
        <v>42744.802777777775</v>
      </c>
      <c r="D318" s="3">
        <v>3035621962</v>
      </c>
      <c r="E318" s="3" t="s">
        <v>23</v>
      </c>
      <c r="F318" s="3" t="s">
        <v>129</v>
      </c>
      <c r="G318" s="3" t="s">
        <v>130</v>
      </c>
      <c r="H318" s="3" t="s">
        <v>129</v>
      </c>
      <c r="I318" s="3" t="s">
        <v>130</v>
      </c>
      <c r="J318" s="3" t="s">
        <v>97</v>
      </c>
      <c r="K318" s="3" t="s">
        <v>2976</v>
      </c>
      <c r="L318" s="3" t="s">
        <v>866</v>
      </c>
      <c r="M318" s="3" t="s">
        <v>59</v>
      </c>
      <c r="N318" s="3" t="s">
        <v>60</v>
      </c>
      <c r="O318" s="3" t="s">
        <v>59</v>
      </c>
      <c r="P318" s="3" t="s">
        <v>876</v>
      </c>
      <c r="Q318" s="31">
        <v>42745</v>
      </c>
      <c r="R318" s="3" t="s">
        <v>62</v>
      </c>
      <c r="S318" s="3" t="s">
        <v>62</v>
      </c>
    </row>
    <row r="319" spans="1:19">
      <c r="A319" s="3" t="s">
        <v>1212</v>
      </c>
      <c r="B319" s="31">
        <v>42746.737756446761</v>
      </c>
      <c r="C319" s="31">
        <v>42744.426388888889</v>
      </c>
      <c r="D319" s="3">
        <v>3035446381</v>
      </c>
      <c r="E319" s="3" t="s">
        <v>273</v>
      </c>
      <c r="F319" s="3" t="s">
        <v>853</v>
      </c>
      <c r="G319" s="3" t="s">
        <v>267</v>
      </c>
      <c r="H319" s="3" t="s">
        <v>115</v>
      </c>
      <c r="I319" s="3" t="s">
        <v>116</v>
      </c>
      <c r="J319" s="3" t="s">
        <v>98</v>
      </c>
      <c r="K319" s="3" t="s">
        <v>2977</v>
      </c>
      <c r="L319" s="3" t="s">
        <v>871</v>
      </c>
      <c r="M319" s="3" t="s">
        <v>84</v>
      </c>
      <c r="N319" s="3" t="s">
        <v>85</v>
      </c>
      <c r="O319" s="3" t="s">
        <v>3056</v>
      </c>
      <c r="P319" s="3" t="s">
        <v>875</v>
      </c>
      <c r="Q319" s="31">
        <v>42745</v>
      </c>
      <c r="R319" s="3" t="s">
        <v>62</v>
      </c>
      <c r="S319" s="3" t="s">
        <v>529</v>
      </c>
    </row>
    <row r="320" spans="1:19">
      <c r="A320" s="3" t="s">
        <v>865</v>
      </c>
      <c r="B320" s="31">
        <v>42749.737991238428</v>
      </c>
      <c r="C320" s="31">
        <v>42747.401388888888</v>
      </c>
      <c r="D320" s="3">
        <v>3035542595</v>
      </c>
      <c r="E320" s="3" t="s">
        <v>273</v>
      </c>
      <c r="F320" s="3" t="s">
        <v>258</v>
      </c>
      <c r="G320" s="3" t="s">
        <v>327</v>
      </c>
      <c r="H320" s="3" t="s">
        <v>115</v>
      </c>
      <c r="I320" s="3" t="s">
        <v>116</v>
      </c>
      <c r="J320" s="3" t="s">
        <v>144</v>
      </c>
      <c r="K320" s="3" t="s">
        <v>2977</v>
      </c>
      <c r="L320" s="3" t="s">
        <v>866</v>
      </c>
      <c r="M320" s="3" t="s">
        <v>70</v>
      </c>
      <c r="N320" s="3" t="s">
        <v>71</v>
      </c>
      <c r="O320" s="3" t="s">
        <v>3067</v>
      </c>
      <c r="P320" s="3" t="s">
        <v>872</v>
      </c>
      <c r="Q320" s="31">
        <v>42752</v>
      </c>
      <c r="R320" s="3" t="s">
        <v>62</v>
      </c>
      <c r="S320" s="3" t="s">
        <v>529</v>
      </c>
    </row>
    <row r="321" spans="1:19">
      <c r="A321" s="3" t="e">
        <v>#N/A</v>
      </c>
      <c r="B321" s="31" t="e">
        <v>#N/A</v>
      </c>
      <c r="C321" s="31">
        <v>42738.539583333331</v>
      </c>
      <c r="D321" s="3">
        <v>3035408171</v>
      </c>
      <c r="E321" s="3" t="s">
        <v>39</v>
      </c>
      <c r="F321" s="3" t="s">
        <v>248</v>
      </c>
      <c r="G321" s="3" t="s">
        <v>249</v>
      </c>
      <c r="H321" s="3" t="s">
        <v>2986</v>
      </c>
      <c r="I321" s="3" t="s">
        <v>645</v>
      </c>
      <c r="J321" s="3" t="s">
        <v>58</v>
      </c>
      <c r="K321" s="3" t="s">
        <v>2977</v>
      </c>
      <c r="L321" s="3" t="s">
        <v>871</v>
      </c>
      <c r="M321" s="3" t="s">
        <v>65</v>
      </c>
      <c r="N321" s="3" t="s">
        <v>66</v>
      </c>
      <c r="O321" s="3" t="s">
        <v>65</v>
      </c>
      <c r="P321" s="3" t="s">
        <v>875</v>
      </c>
      <c r="Q321" s="31">
        <v>42739</v>
      </c>
      <c r="R321" s="3" t="s">
        <v>62</v>
      </c>
      <c r="S321" s="3" t="s">
        <v>65</v>
      </c>
    </row>
    <row r="322" spans="1:19">
      <c r="A322" s="3" t="e">
        <v>#N/A</v>
      </c>
      <c r="B322" s="31" t="e">
        <v>#N/A</v>
      </c>
      <c r="C322" s="31">
        <v>42738.613194444442</v>
      </c>
      <c r="D322" s="3">
        <v>3035260021</v>
      </c>
      <c r="E322" s="3" t="s">
        <v>31</v>
      </c>
      <c r="F322" s="3" t="s">
        <v>188</v>
      </c>
      <c r="G322" s="3" t="s">
        <v>189</v>
      </c>
      <c r="H322" s="3" t="s">
        <v>103</v>
      </c>
      <c r="I322" s="3" t="s">
        <v>104</v>
      </c>
      <c r="J322" s="3" t="s">
        <v>69</v>
      </c>
      <c r="K322" s="3" t="s">
        <v>2977</v>
      </c>
      <c r="L322" s="3" t="s">
        <v>871</v>
      </c>
      <c r="M322" s="3" t="s">
        <v>65</v>
      </c>
      <c r="N322" s="3" t="s">
        <v>66</v>
      </c>
      <c r="O322" s="3" t="s">
        <v>65</v>
      </c>
      <c r="P322" s="3" t="s">
        <v>869</v>
      </c>
      <c r="Q322" s="31">
        <v>42739</v>
      </c>
      <c r="R322" s="3" t="s">
        <v>62</v>
      </c>
      <c r="S322" s="3" t="s">
        <v>65</v>
      </c>
    </row>
    <row r="323" spans="1:19">
      <c r="A323" s="3" t="e">
        <v>#N/A</v>
      </c>
      <c r="B323" s="31" t="e">
        <v>#N/A</v>
      </c>
      <c r="C323" s="31">
        <v>42738.636111111111</v>
      </c>
      <c r="D323" s="3">
        <v>3035265784</v>
      </c>
      <c r="E323" s="3" t="s">
        <v>23</v>
      </c>
      <c r="F323" s="3" t="s">
        <v>193</v>
      </c>
      <c r="G323" s="3" t="s">
        <v>194</v>
      </c>
      <c r="H323" s="3" t="s">
        <v>2986</v>
      </c>
      <c r="I323" s="3" t="s">
        <v>645</v>
      </c>
      <c r="J323" s="3" t="s">
        <v>58</v>
      </c>
      <c r="K323" s="3" t="s">
        <v>2977</v>
      </c>
      <c r="L323" s="3" t="s">
        <v>871</v>
      </c>
      <c r="M323" s="3" t="s">
        <v>65</v>
      </c>
      <c r="N323" s="3" t="s">
        <v>66</v>
      </c>
      <c r="O323" s="3" t="s">
        <v>65</v>
      </c>
      <c r="P323" s="3" t="s">
        <v>869</v>
      </c>
      <c r="Q323" s="31">
        <v>42739</v>
      </c>
      <c r="R323" s="3" t="s">
        <v>62</v>
      </c>
      <c r="S323" s="3" t="s">
        <v>65</v>
      </c>
    </row>
    <row r="324" spans="1:19">
      <c r="A324" s="3" t="e">
        <v>#N/A</v>
      </c>
      <c r="B324" s="31" t="e">
        <v>#N/A</v>
      </c>
      <c r="C324" s="31">
        <v>42738.645138888889</v>
      </c>
      <c r="D324" s="3">
        <v>3035238402</v>
      </c>
      <c r="E324" s="3" t="s">
        <v>9</v>
      </c>
      <c r="F324" s="3" t="s">
        <v>87</v>
      </c>
      <c r="G324" s="3" t="s">
        <v>88</v>
      </c>
      <c r="H324" s="3" t="s">
        <v>2986</v>
      </c>
      <c r="I324" s="3" t="s">
        <v>645</v>
      </c>
      <c r="J324" s="3" t="s">
        <v>69</v>
      </c>
      <c r="K324" s="3" t="s">
        <v>2977</v>
      </c>
      <c r="L324" s="3" t="s">
        <v>871</v>
      </c>
      <c r="M324" s="3" t="s">
        <v>65</v>
      </c>
      <c r="N324" s="3" t="s">
        <v>66</v>
      </c>
      <c r="O324" s="3" t="s">
        <v>65</v>
      </c>
      <c r="P324" s="3" t="s">
        <v>869</v>
      </c>
      <c r="Q324" s="31">
        <v>42739</v>
      </c>
      <c r="R324" s="3" t="s">
        <v>62</v>
      </c>
      <c r="S324" s="3" t="s">
        <v>65</v>
      </c>
    </row>
    <row r="325" spans="1:19">
      <c r="A325" s="3" t="e">
        <v>#N/A</v>
      </c>
      <c r="B325" s="31" t="e">
        <v>#N/A</v>
      </c>
      <c r="C325" s="31">
        <v>42738.656944444447</v>
      </c>
      <c r="D325" s="3">
        <v>3035199567</v>
      </c>
      <c r="E325" s="3" t="s">
        <v>2978</v>
      </c>
      <c r="F325" s="3" t="s">
        <v>256</v>
      </c>
      <c r="G325" s="3" t="s">
        <v>879</v>
      </c>
      <c r="H325" s="3" t="s">
        <v>2986</v>
      </c>
      <c r="I325" s="3" t="s">
        <v>645</v>
      </c>
      <c r="J325" s="3" t="s">
        <v>58</v>
      </c>
      <c r="K325" s="3" t="s">
        <v>2977</v>
      </c>
      <c r="L325" s="3" t="s">
        <v>871</v>
      </c>
      <c r="M325" s="3" t="s">
        <v>65</v>
      </c>
      <c r="N325" s="3" t="s">
        <v>66</v>
      </c>
      <c r="O325" s="3" t="s">
        <v>65</v>
      </c>
      <c r="P325" s="3" t="s">
        <v>869</v>
      </c>
      <c r="Q325" s="31">
        <v>42739</v>
      </c>
      <c r="R325" s="3" t="s">
        <v>62</v>
      </c>
      <c r="S325" s="3" t="s">
        <v>65</v>
      </c>
    </row>
    <row r="326" spans="1:19">
      <c r="A326" s="3" t="e">
        <v>#N/A</v>
      </c>
      <c r="B326" s="31" t="e">
        <v>#N/A</v>
      </c>
      <c r="C326" s="31">
        <v>42739.581250000003</v>
      </c>
      <c r="D326" s="3">
        <v>3035369922</v>
      </c>
      <c r="E326" s="3" t="s">
        <v>2978</v>
      </c>
      <c r="F326" s="3" t="s">
        <v>256</v>
      </c>
      <c r="G326" s="3" t="s">
        <v>879</v>
      </c>
      <c r="H326" s="3" t="s">
        <v>142</v>
      </c>
      <c r="I326" s="3" t="s">
        <v>143</v>
      </c>
      <c r="J326" s="3" t="s">
        <v>58</v>
      </c>
      <c r="K326" s="3" t="s">
        <v>2977</v>
      </c>
      <c r="L326" s="3" t="s">
        <v>871</v>
      </c>
      <c r="M326" s="3" t="s">
        <v>901</v>
      </c>
      <c r="N326" s="3" t="s">
        <v>897</v>
      </c>
      <c r="O326" s="3" t="s">
        <v>906</v>
      </c>
      <c r="P326" s="3" t="s">
        <v>875</v>
      </c>
      <c r="Q326" s="31">
        <v>42740</v>
      </c>
      <c r="R326" s="3" t="s">
        <v>62</v>
      </c>
      <c r="S326" s="3" t="s">
        <v>1355</v>
      </c>
    </row>
    <row r="327" spans="1:19">
      <c r="A327" s="3" t="e">
        <v>#N/A</v>
      </c>
      <c r="B327" s="31" t="e">
        <v>#N/A</v>
      </c>
      <c r="C327" s="31">
        <v>42739.582638888889</v>
      </c>
      <c r="D327" s="3">
        <v>3035472762</v>
      </c>
      <c r="E327" s="3" t="s">
        <v>9</v>
      </c>
      <c r="F327" s="3" t="s">
        <v>80</v>
      </c>
      <c r="G327" s="3" t="s">
        <v>81</v>
      </c>
      <c r="H327" s="3" t="s">
        <v>878</v>
      </c>
      <c r="I327" s="3" t="s">
        <v>148</v>
      </c>
      <c r="J327" s="3" t="s">
        <v>58</v>
      </c>
      <c r="K327" s="3" t="s">
        <v>2977</v>
      </c>
      <c r="L327" s="3" t="s">
        <v>871</v>
      </c>
      <c r="M327" s="3" t="s">
        <v>65</v>
      </c>
      <c r="N327" s="3" t="s">
        <v>66</v>
      </c>
      <c r="O327" s="3" t="s">
        <v>65</v>
      </c>
      <c r="P327" s="3" t="s">
        <v>875</v>
      </c>
      <c r="Q327" s="31">
        <v>42740</v>
      </c>
      <c r="R327" s="3" t="s">
        <v>62</v>
      </c>
      <c r="S327" s="3" t="s">
        <v>65</v>
      </c>
    </row>
    <row r="328" spans="1:19">
      <c r="A328" s="3" t="e">
        <v>#N/A</v>
      </c>
      <c r="B328" s="31" t="e">
        <v>#N/A</v>
      </c>
      <c r="C328" s="31">
        <v>42739.582638888889</v>
      </c>
      <c r="D328" s="3">
        <v>3035364641</v>
      </c>
      <c r="E328" s="3" t="s">
        <v>2978</v>
      </c>
      <c r="F328" s="3" t="s">
        <v>256</v>
      </c>
      <c r="G328" s="3" t="s">
        <v>879</v>
      </c>
      <c r="H328" s="3" t="s">
        <v>142</v>
      </c>
      <c r="I328" s="3" t="s">
        <v>143</v>
      </c>
      <c r="J328" s="3" t="s">
        <v>79</v>
      </c>
      <c r="K328" s="3" t="s">
        <v>2977</v>
      </c>
      <c r="L328" s="3" t="s">
        <v>871</v>
      </c>
      <c r="M328" s="3" t="s">
        <v>901</v>
      </c>
      <c r="N328" s="3" t="s">
        <v>897</v>
      </c>
      <c r="O328" s="3" t="s">
        <v>906</v>
      </c>
      <c r="P328" s="3" t="s">
        <v>875</v>
      </c>
      <c r="Q328" s="31">
        <v>42740</v>
      </c>
      <c r="R328" s="3" t="s">
        <v>62</v>
      </c>
      <c r="S328" s="3" t="s">
        <v>1355</v>
      </c>
    </row>
    <row r="329" spans="1:19">
      <c r="A329" s="3" t="e">
        <v>#N/A</v>
      </c>
      <c r="B329" s="31" t="e">
        <v>#N/A</v>
      </c>
      <c r="C329" s="31">
        <v>42739.584027777775</v>
      </c>
      <c r="D329" s="3">
        <v>3035448370</v>
      </c>
      <c r="E329" s="3" t="s">
        <v>23</v>
      </c>
      <c r="F329" s="3" t="s">
        <v>129</v>
      </c>
      <c r="G329" s="3" t="s">
        <v>130</v>
      </c>
      <c r="H329" s="3" t="s">
        <v>103</v>
      </c>
      <c r="I329" s="3" t="s">
        <v>104</v>
      </c>
      <c r="J329" s="3" t="s">
        <v>58</v>
      </c>
      <c r="K329" s="3" t="s">
        <v>2977</v>
      </c>
      <c r="L329" s="3" t="s">
        <v>871</v>
      </c>
      <c r="M329" s="3" t="s">
        <v>65</v>
      </c>
      <c r="N329" s="3" t="s">
        <v>66</v>
      </c>
      <c r="O329" s="3" t="s">
        <v>65</v>
      </c>
      <c r="P329" s="3" t="s">
        <v>875</v>
      </c>
      <c r="Q329" s="31">
        <v>42740</v>
      </c>
      <c r="R329" s="3" t="s">
        <v>62</v>
      </c>
      <c r="S329" s="3" t="s">
        <v>65</v>
      </c>
    </row>
    <row r="330" spans="1:19">
      <c r="A330" s="3" t="e">
        <v>#N/A</v>
      </c>
      <c r="B330" s="31" t="e">
        <v>#N/A</v>
      </c>
      <c r="C330" s="31">
        <v>42739.584722222222</v>
      </c>
      <c r="D330" s="3">
        <v>3035360739</v>
      </c>
      <c r="E330" s="3" t="s">
        <v>2978</v>
      </c>
      <c r="F330" s="3" t="s">
        <v>256</v>
      </c>
      <c r="G330" s="3" t="s">
        <v>879</v>
      </c>
      <c r="H330" s="3" t="s">
        <v>142</v>
      </c>
      <c r="I330" s="3" t="s">
        <v>143</v>
      </c>
      <c r="J330" s="3" t="s">
        <v>144</v>
      </c>
      <c r="K330" s="3" t="s">
        <v>2977</v>
      </c>
      <c r="L330" s="3" t="s">
        <v>871</v>
      </c>
      <c r="M330" s="3" t="s">
        <v>901</v>
      </c>
      <c r="N330" s="3" t="s">
        <v>897</v>
      </c>
      <c r="O330" s="3" t="s">
        <v>906</v>
      </c>
      <c r="P330" s="3" t="s">
        <v>875</v>
      </c>
      <c r="Q330" s="31">
        <v>42740</v>
      </c>
      <c r="R330" s="3" t="s">
        <v>62</v>
      </c>
      <c r="S330" s="3" t="s">
        <v>1355</v>
      </c>
    </row>
    <row r="331" spans="1:19">
      <c r="A331" s="3" t="e">
        <v>#N/A</v>
      </c>
      <c r="B331" s="31" t="e">
        <v>#N/A</v>
      </c>
      <c r="C331" s="31">
        <v>42739.698611111111</v>
      </c>
      <c r="D331" s="3">
        <v>3035473679</v>
      </c>
      <c r="E331" s="3" t="s">
        <v>204</v>
      </c>
      <c r="F331" s="3" t="s">
        <v>900</v>
      </c>
      <c r="G331" s="3" t="s">
        <v>602</v>
      </c>
      <c r="H331" s="3" t="s">
        <v>883</v>
      </c>
      <c r="I331" s="3" t="s">
        <v>96</v>
      </c>
      <c r="J331" s="3" t="s">
        <v>99</v>
      </c>
      <c r="K331" s="3" t="s">
        <v>2977</v>
      </c>
      <c r="L331" s="3" t="s">
        <v>871</v>
      </c>
      <c r="M331" s="3" t="s">
        <v>65</v>
      </c>
      <c r="N331" s="3" t="s">
        <v>66</v>
      </c>
      <c r="O331" s="3" t="s">
        <v>65</v>
      </c>
      <c r="P331" s="3" t="s">
        <v>875</v>
      </c>
      <c r="Q331" s="31">
        <v>42740</v>
      </c>
      <c r="R331" s="3" t="s">
        <v>62</v>
      </c>
      <c r="S331" s="3" t="s">
        <v>65</v>
      </c>
    </row>
    <row r="332" spans="1:19">
      <c r="A332" s="3" t="e">
        <v>#N/A</v>
      </c>
      <c r="B332" s="31" t="e">
        <v>#N/A</v>
      </c>
      <c r="C332" s="31">
        <v>42740.377083333333</v>
      </c>
      <c r="D332" s="3">
        <v>3035406839</v>
      </c>
      <c r="E332" s="3" t="s">
        <v>9</v>
      </c>
      <c r="F332" s="3" t="s">
        <v>133</v>
      </c>
      <c r="G332" s="3" t="s">
        <v>134</v>
      </c>
      <c r="H332" s="3" t="s">
        <v>883</v>
      </c>
      <c r="I332" s="3" t="s">
        <v>96</v>
      </c>
      <c r="J332" s="3" t="s">
        <v>58</v>
      </c>
      <c r="K332" s="3" t="s">
        <v>2977</v>
      </c>
      <c r="L332" s="3" t="s">
        <v>871</v>
      </c>
      <c r="M332" s="3" t="s">
        <v>65</v>
      </c>
      <c r="N332" s="3" t="s">
        <v>66</v>
      </c>
      <c r="O332" s="3" t="s">
        <v>65</v>
      </c>
      <c r="P332" s="3" t="s">
        <v>875</v>
      </c>
      <c r="Q332" s="31">
        <v>42741</v>
      </c>
      <c r="R332" s="3" t="s">
        <v>62</v>
      </c>
      <c r="S332" s="3" t="s">
        <v>65</v>
      </c>
    </row>
    <row r="333" spans="1:19">
      <c r="A333" s="3" t="e">
        <v>#N/A</v>
      </c>
      <c r="B333" s="31" t="e">
        <v>#N/A</v>
      </c>
      <c r="C333" s="31">
        <v>42740.418749999997</v>
      </c>
      <c r="D333" s="3">
        <v>3035408171</v>
      </c>
      <c r="E333" s="3" t="s">
        <v>39</v>
      </c>
      <c r="F333" s="3" t="s">
        <v>248</v>
      </c>
      <c r="G333" s="3" t="s">
        <v>249</v>
      </c>
      <c r="H333" s="3" t="s">
        <v>2986</v>
      </c>
      <c r="I333" s="3" t="s">
        <v>645</v>
      </c>
      <c r="J333" s="3" t="s">
        <v>58</v>
      </c>
      <c r="K333" s="3" t="s">
        <v>2977</v>
      </c>
      <c r="L333" s="3" t="s">
        <v>871</v>
      </c>
      <c r="M333" s="3" t="s">
        <v>65</v>
      </c>
      <c r="N333" s="3" t="s">
        <v>66</v>
      </c>
      <c r="O333" s="3" t="s">
        <v>65</v>
      </c>
      <c r="P333" s="3" t="s">
        <v>875</v>
      </c>
      <c r="Q333" s="31">
        <v>42741</v>
      </c>
      <c r="R333" s="3" t="s">
        <v>62</v>
      </c>
      <c r="S333" s="3" t="s">
        <v>65</v>
      </c>
    </row>
    <row r="334" spans="1:19">
      <c r="A334" s="3" t="e">
        <v>#N/A</v>
      </c>
      <c r="B334" s="31" t="e">
        <v>#N/A</v>
      </c>
      <c r="C334" s="31">
        <v>42740.4375</v>
      </c>
      <c r="D334" s="3">
        <v>3035400059</v>
      </c>
      <c r="E334" s="3" t="s">
        <v>9</v>
      </c>
      <c r="F334" s="3" t="s">
        <v>111</v>
      </c>
      <c r="G334" s="3" t="s">
        <v>112</v>
      </c>
      <c r="H334" s="3" t="s">
        <v>883</v>
      </c>
      <c r="I334" s="3" t="s">
        <v>96</v>
      </c>
      <c r="J334" s="3" t="s">
        <v>58</v>
      </c>
      <c r="K334" s="3" t="s">
        <v>2977</v>
      </c>
      <c r="L334" s="3" t="s">
        <v>871</v>
      </c>
      <c r="M334" s="3" t="s">
        <v>65</v>
      </c>
      <c r="N334" s="3" t="s">
        <v>66</v>
      </c>
      <c r="O334" s="3" t="s">
        <v>880</v>
      </c>
      <c r="P334" s="3" t="s">
        <v>875</v>
      </c>
      <c r="Q334" s="31">
        <v>42741</v>
      </c>
      <c r="R334" s="3" t="s">
        <v>62</v>
      </c>
      <c r="S334" s="3" t="s">
        <v>65</v>
      </c>
    </row>
    <row r="335" spans="1:19">
      <c r="A335" s="3" t="e">
        <v>#N/A</v>
      </c>
      <c r="B335" s="31" t="e">
        <v>#N/A</v>
      </c>
      <c r="C335" s="31">
        <v>42740.447916666664</v>
      </c>
      <c r="D335" s="3">
        <v>3035291222</v>
      </c>
      <c r="E335" s="3" t="s">
        <v>204</v>
      </c>
      <c r="F335" s="3" t="s">
        <v>103</v>
      </c>
      <c r="G335" s="3" t="s">
        <v>104</v>
      </c>
      <c r="H335" s="3" t="s">
        <v>103</v>
      </c>
      <c r="I335" s="3" t="s">
        <v>104</v>
      </c>
      <c r="J335" s="3" t="s">
        <v>58</v>
      </c>
      <c r="K335" s="3" t="s">
        <v>2977</v>
      </c>
      <c r="L335" s="3" t="s">
        <v>871</v>
      </c>
      <c r="M335" s="3" t="s">
        <v>65</v>
      </c>
      <c r="N335" s="3" t="s">
        <v>66</v>
      </c>
      <c r="O335" s="3" t="s">
        <v>65</v>
      </c>
      <c r="P335" s="3" t="s">
        <v>875</v>
      </c>
      <c r="Q335" s="31">
        <v>42741</v>
      </c>
      <c r="R335" s="3" t="s">
        <v>62</v>
      </c>
      <c r="S335" s="3" t="s">
        <v>65</v>
      </c>
    </row>
    <row r="336" spans="1:19">
      <c r="A336" s="3" t="e">
        <v>#N/A</v>
      </c>
      <c r="B336" s="31" t="e">
        <v>#N/A</v>
      </c>
      <c r="C336" s="31">
        <v>42740.618750000001</v>
      </c>
      <c r="D336" s="3">
        <v>3035133863</v>
      </c>
      <c r="E336" s="3" t="s">
        <v>31</v>
      </c>
      <c r="F336" s="3" t="s">
        <v>852</v>
      </c>
      <c r="G336" s="3" t="s">
        <v>197</v>
      </c>
      <c r="H336" s="3" t="s">
        <v>883</v>
      </c>
      <c r="I336" s="3" t="s">
        <v>96</v>
      </c>
      <c r="J336" s="3" t="s">
        <v>79</v>
      </c>
      <c r="K336" s="3" t="s">
        <v>2977</v>
      </c>
      <c r="L336" s="3" t="s">
        <v>871</v>
      </c>
      <c r="M336" s="3" t="s">
        <v>65</v>
      </c>
      <c r="N336" s="3" t="s">
        <v>66</v>
      </c>
      <c r="O336" s="3" t="s">
        <v>65</v>
      </c>
      <c r="P336" s="3" t="s">
        <v>875</v>
      </c>
      <c r="Q336" s="31">
        <v>42741</v>
      </c>
      <c r="R336" s="3" t="s">
        <v>62</v>
      </c>
      <c r="S336" s="3" t="s">
        <v>65</v>
      </c>
    </row>
    <row r="337" spans="1:19">
      <c r="A337" s="3" t="e">
        <v>#N/A</v>
      </c>
      <c r="B337" s="31" t="e">
        <v>#N/A</v>
      </c>
      <c r="C337" s="31">
        <v>42740.716666666667</v>
      </c>
      <c r="D337" s="3">
        <v>3035232027</v>
      </c>
      <c r="E337" s="3" t="s">
        <v>31</v>
      </c>
      <c r="F337" s="3" t="s">
        <v>852</v>
      </c>
      <c r="G337" s="3" t="s">
        <v>197</v>
      </c>
      <c r="H337" s="3" t="s">
        <v>2986</v>
      </c>
      <c r="I337" s="3" t="s">
        <v>645</v>
      </c>
      <c r="J337" s="3" t="s">
        <v>58</v>
      </c>
      <c r="K337" s="3" t="s">
        <v>2977</v>
      </c>
      <c r="L337" s="3" t="s">
        <v>871</v>
      </c>
      <c r="M337" s="3" t="s">
        <v>65</v>
      </c>
      <c r="N337" s="3" t="s">
        <v>66</v>
      </c>
      <c r="O337" s="3" t="s">
        <v>65</v>
      </c>
      <c r="P337" s="3" t="s">
        <v>875</v>
      </c>
      <c r="Q337" s="31">
        <v>42741</v>
      </c>
      <c r="R337" s="3" t="s">
        <v>62</v>
      </c>
      <c r="S337" s="3" t="s">
        <v>65</v>
      </c>
    </row>
    <row r="338" spans="1:19">
      <c r="A338" s="3" t="e">
        <v>#N/A</v>
      </c>
      <c r="B338" s="31" t="e">
        <v>#N/A</v>
      </c>
      <c r="C338" s="31">
        <v>42740.435416666667</v>
      </c>
      <c r="D338" s="3">
        <v>3035469740</v>
      </c>
      <c r="E338" s="3" t="s">
        <v>31</v>
      </c>
      <c r="F338" s="3" t="s">
        <v>202</v>
      </c>
      <c r="G338" s="3" t="s">
        <v>203</v>
      </c>
      <c r="H338" s="3" t="s">
        <v>63</v>
      </c>
      <c r="I338" s="3" t="s">
        <v>64</v>
      </c>
      <c r="J338" s="3" t="s">
        <v>58</v>
      </c>
      <c r="K338" s="3" t="s">
        <v>2977</v>
      </c>
      <c r="L338" s="3" t="s">
        <v>866</v>
      </c>
      <c r="M338" s="3" t="s">
        <v>65</v>
      </c>
      <c r="N338" s="3" t="s">
        <v>66</v>
      </c>
      <c r="O338" s="3" t="s">
        <v>880</v>
      </c>
      <c r="P338" s="3" t="s">
        <v>875</v>
      </c>
      <c r="Q338" s="31">
        <v>42741</v>
      </c>
      <c r="R338" s="3" t="s">
        <v>62</v>
      </c>
      <c r="S338" s="3" t="s">
        <v>65</v>
      </c>
    </row>
    <row r="339" spans="1:19">
      <c r="A339" s="3" t="e">
        <v>#N/A</v>
      </c>
      <c r="B339" s="31" t="e">
        <v>#N/A</v>
      </c>
      <c r="C339" s="31">
        <v>42741.400694444441</v>
      </c>
      <c r="D339" s="3">
        <v>3035193662</v>
      </c>
      <c r="E339" s="3" t="s">
        <v>31</v>
      </c>
      <c r="F339" s="3" t="s">
        <v>852</v>
      </c>
      <c r="G339" s="3" t="s">
        <v>197</v>
      </c>
      <c r="H339" s="3" t="s">
        <v>883</v>
      </c>
      <c r="I339" s="3" t="s">
        <v>96</v>
      </c>
      <c r="J339" s="3" t="s">
        <v>58</v>
      </c>
      <c r="K339" s="3" t="s">
        <v>2977</v>
      </c>
      <c r="L339" s="3" t="s">
        <v>871</v>
      </c>
      <c r="M339" s="3" t="s">
        <v>65</v>
      </c>
      <c r="N339" s="3" t="s">
        <v>66</v>
      </c>
      <c r="O339" s="3" t="s">
        <v>65</v>
      </c>
      <c r="P339" s="3" t="s">
        <v>875</v>
      </c>
      <c r="Q339" s="31">
        <v>42742</v>
      </c>
      <c r="R339" s="3" t="s">
        <v>62</v>
      </c>
      <c r="S339" s="3" t="s">
        <v>65</v>
      </c>
    </row>
    <row r="340" spans="1:19">
      <c r="A340" s="3" t="e">
        <v>#N/A</v>
      </c>
      <c r="B340" s="31" t="e">
        <v>#N/A</v>
      </c>
      <c r="C340" s="31">
        <v>42741.410416666666</v>
      </c>
      <c r="D340" s="3">
        <v>3035113623</v>
      </c>
      <c r="E340" s="3" t="s">
        <v>273</v>
      </c>
      <c r="F340" s="3" t="s">
        <v>261</v>
      </c>
      <c r="G340" s="3" t="s">
        <v>311</v>
      </c>
      <c r="H340" s="3" t="s">
        <v>63</v>
      </c>
      <c r="I340" s="3" t="s">
        <v>64</v>
      </c>
      <c r="J340" s="3" t="s">
        <v>58</v>
      </c>
      <c r="K340" s="3" t="s">
        <v>2977</v>
      </c>
      <c r="L340" s="3" t="s">
        <v>871</v>
      </c>
      <c r="M340" s="3" t="s">
        <v>65</v>
      </c>
      <c r="N340" s="3" t="s">
        <v>66</v>
      </c>
      <c r="O340" s="3" t="s">
        <v>65</v>
      </c>
      <c r="P340" s="3" t="s">
        <v>875</v>
      </c>
      <c r="Q340" s="31">
        <v>42742</v>
      </c>
      <c r="R340" s="3" t="s">
        <v>62</v>
      </c>
      <c r="S340" s="3" t="s">
        <v>65</v>
      </c>
    </row>
    <row r="341" spans="1:19">
      <c r="A341" s="3" t="e">
        <v>#N/A</v>
      </c>
      <c r="B341" s="31" t="e">
        <v>#N/A</v>
      </c>
      <c r="C341" s="31">
        <v>42741.426388888889</v>
      </c>
      <c r="D341" s="3">
        <v>3035520173</v>
      </c>
      <c r="E341" s="3" t="s">
        <v>23</v>
      </c>
      <c r="F341" s="3" t="s">
        <v>149</v>
      </c>
      <c r="G341" s="3" t="s">
        <v>150</v>
      </c>
      <c r="H341" s="3" t="s">
        <v>883</v>
      </c>
      <c r="I341" s="3" t="s">
        <v>96</v>
      </c>
      <c r="J341" s="3" t="s">
        <v>69</v>
      </c>
      <c r="K341" s="3" t="s">
        <v>2977</v>
      </c>
      <c r="L341" s="3" t="s">
        <v>871</v>
      </c>
      <c r="M341" s="3" t="s">
        <v>65</v>
      </c>
      <c r="N341" s="3" t="s">
        <v>66</v>
      </c>
      <c r="O341" s="3" t="s">
        <v>65</v>
      </c>
      <c r="P341" s="3" t="s">
        <v>875</v>
      </c>
      <c r="Q341" s="31">
        <v>42742</v>
      </c>
      <c r="R341" s="3" t="s">
        <v>62</v>
      </c>
      <c r="S341" s="3" t="s">
        <v>65</v>
      </c>
    </row>
    <row r="342" spans="1:19">
      <c r="A342" s="3" t="e">
        <v>#N/A</v>
      </c>
      <c r="B342" s="31" t="e">
        <v>#N/A</v>
      </c>
      <c r="C342" s="31">
        <v>42741.673611111109</v>
      </c>
      <c r="D342" s="3">
        <v>3035231298</v>
      </c>
      <c r="E342" s="3" t="s">
        <v>9</v>
      </c>
      <c r="F342" s="3" t="s">
        <v>73</v>
      </c>
      <c r="G342" s="3" t="s">
        <v>74</v>
      </c>
      <c r="H342" s="3" t="s">
        <v>2986</v>
      </c>
      <c r="I342" s="3" t="s">
        <v>645</v>
      </c>
      <c r="J342" s="3" t="s">
        <v>97</v>
      </c>
      <c r="K342" s="3" t="s">
        <v>2977</v>
      </c>
      <c r="L342" s="3" t="s">
        <v>871</v>
      </c>
      <c r="M342" s="3" t="s">
        <v>65</v>
      </c>
      <c r="N342" s="3" t="s">
        <v>66</v>
      </c>
      <c r="O342" s="3" t="s">
        <v>65</v>
      </c>
      <c r="P342" s="3" t="s">
        <v>875</v>
      </c>
      <c r="Q342" s="31">
        <v>42742</v>
      </c>
      <c r="R342" s="3" t="s">
        <v>62</v>
      </c>
      <c r="S342" s="3" t="s">
        <v>65</v>
      </c>
    </row>
    <row r="343" spans="1:19">
      <c r="A343" s="3" t="e">
        <v>#N/A</v>
      </c>
      <c r="B343" s="31" t="e">
        <v>#N/A</v>
      </c>
      <c r="C343" s="31">
        <v>42744.375694444447</v>
      </c>
      <c r="D343" s="3">
        <v>3035355965</v>
      </c>
      <c r="E343" s="3" t="s">
        <v>9</v>
      </c>
      <c r="F343" s="3" t="s">
        <v>80</v>
      </c>
      <c r="G343" s="3" t="s">
        <v>81</v>
      </c>
      <c r="H343" s="3" t="s">
        <v>63</v>
      </c>
      <c r="I343" s="3" t="s">
        <v>64</v>
      </c>
      <c r="J343" s="3" t="s">
        <v>58</v>
      </c>
      <c r="K343" s="3" t="s">
        <v>2977</v>
      </c>
      <c r="L343" s="3" t="s">
        <v>871</v>
      </c>
      <c r="M343" s="3" t="s">
        <v>65</v>
      </c>
      <c r="N343" s="3" t="s">
        <v>66</v>
      </c>
      <c r="O343" s="3" t="s">
        <v>65</v>
      </c>
      <c r="P343" s="3" t="s">
        <v>875</v>
      </c>
      <c r="Q343" s="31">
        <v>42745</v>
      </c>
      <c r="R343" s="3" t="s">
        <v>62</v>
      </c>
      <c r="S343" s="3" t="s">
        <v>65</v>
      </c>
    </row>
    <row r="344" spans="1:19">
      <c r="A344" s="3" t="e">
        <v>#N/A</v>
      </c>
      <c r="B344" s="31" t="e">
        <v>#N/A</v>
      </c>
      <c r="C344" s="31">
        <v>42744.395833333336</v>
      </c>
      <c r="D344" s="3">
        <v>3035101281</v>
      </c>
      <c r="E344" s="3" t="s">
        <v>9</v>
      </c>
      <c r="F344" s="3" t="s">
        <v>124</v>
      </c>
      <c r="G344" s="3" t="s">
        <v>125</v>
      </c>
      <c r="H344" s="3" t="s">
        <v>151</v>
      </c>
      <c r="I344" s="3" t="s">
        <v>152</v>
      </c>
      <c r="J344" s="3" t="s">
        <v>58</v>
      </c>
      <c r="K344" s="3" t="s">
        <v>2977</v>
      </c>
      <c r="L344" s="3" t="s">
        <v>871</v>
      </c>
      <c r="M344" s="3" t="s">
        <v>65</v>
      </c>
      <c r="N344" s="3" t="s">
        <v>66</v>
      </c>
      <c r="O344" s="3" t="s">
        <v>65</v>
      </c>
      <c r="P344" s="3" t="s">
        <v>875</v>
      </c>
      <c r="Q344" s="31">
        <v>42745</v>
      </c>
      <c r="R344" s="3" t="s">
        <v>62</v>
      </c>
      <c r="S344" s="3" t="s">
        <v>65</v>
      </c>
    </row>
    <row r="345" spans="1:19">
      <c r="A345" s="3" t="e">
        <v>#N/A</v>
      </c>
      <c r="B345" s="31" t="e">
        <v>#N/A</v>
      </c>
      <c r="C345" s="31">
        <v>42744.405555555553</v>
      </c>
      <c r="D345" s="3">
        <v>3035101359</v>
      </c>
      <c r="E345" s="3" t="s">
        <v>23</v>
      </c>
      <c r="F345" s="3" t="s">
        <v>160</v>
      </c>
      <c r="G345" s="3" t="s">
        <v>161</v>
      </c>
      <c r="H345" s="3" t="s">
        <v>151</v>
      </c>
      <c r="I345" s="3" t="s">
        <v>152</v>
      </c>
      <c r="J345" s="3" t="s">
        <v>58</v>
      </c>
      <c r="K345" s="3" t="s">
        <v>2977</v>
      </c>
      <c r="L345" s="3" t="s">
        <v>871</v>
      </c>
      <c r="M345" s="3" t="s">
        <v>65</v>
      </c>
      <c r="N345" s="3" t="s">
        <v>66</v>
      </c>
      <c r="O345" s="3" t="s">
        <v>65</v>
      </c>
      <c r="P345" s="3" t="s">
        <v>875</v>
      </c>
      <c r="Q345" s="31">
        <v>42745</v>
      </c>
      <c r="R345" s="3" t="s">
        <v>62</v>
      </c>
      <c r="S345" s="3" t="s">
        <v>65</v>
      </c>
    </row>
    <row r="346" spans="1:19">
      <c r="A346" s="3" t="e">
        <v>#N/A</v>
      </c>
      <c r="B346" s="31" t="e">
        <v>#N/A</v>
      </c>
      <c r="C346" s="31">
        <v>42744.405555555553</v>
      </c>
      <c r="D346" s="3">
        <v>3035205122</v>
      </c>
      <c r="E346" s="3" t="s">
        <v>23</v>
      </c>
      <c r="F346" s="3" t="s">
        <v>186</v>
      </c>
      <c r="G346" s="3" t="s">
        <v>187</v>
      </c>
      <c r="H346" s="3" t="s">
        <v>63</v>
      </c>
      <c r="I346" s="3" t="s">
        <v>64</v>
      </c>
      <c r="J346" s="3" t="s">
        <v>58</v>
      </c>
      <c r="K346" s="3" t="s">
        <v>2977</v>
      </c>
      <c r="L346" s="3" t="s">
        <v>871</v>
      </c>
      <c r="M346" s="3" t="s">
        <v>65</v>
      </c>
      <c r="N346" s="3" t="s">
        <v>66</v>
      </c>
      <c r="O346" s="3" t="s">
        <v>65</v>
      </c>
      <c r="P346" s="3" t="s">
        <v>875</v>
      </c>
      <c r="Q346" s="31">
        <v>42745</v>
      </c>
      <c r="R346" s="3" t="s">
        <v>62</v>
      </c>
      <c r="S346" s="3" t="s">
        <v>65</v>
      </c>
    </row>
    <row r="347" spans="1:19">
      <c r="A347" s="3" t="e">
        <v>#N/A</v>
      </c>
      <c r="B347" s="31" t="e">
        <v>#N/A</v>
      </c>
      <c r="C347" s="31">
        <v>42744.418055555558</v>
      </c>
      <c r="D347" s="3">
        <v>3035172767</v>
      </c>
      <c r="E347" s="3" t="s">
        <v>9</v>
      </c>
      <c r="F347" s="3" t="s">
        <v>67</v>
      </c>
      <c r="G347" s="3" t="s">
        <v>68</v>
      </c>
      <c r="H347" s="3" t="s">
        <v>2986</v>
      </c>
      <c r="I347" s="3" t="s">
        <v>645</v>
      </c>
      <c r="J347" s="3" t="s">
        <v>69</v>
      </c>
      <c r="K347" s="3" t="s">
        <v>2977</v>
      </c>
      <c r="L347" s="3" t="s">
        <v>871</v>
      </c>
      <c r="M347" s="3" t="s">
        <v>65</v>
      </c>
      <c r="N347" s="3" t="s">
        <v>66</v>
      </c>
      <c r="O347" s="3" t="s">
        <v>65</v>
      </c>
      <c r="P347" s="3" t="s">
        <v>875</v>
      </c>
      <c r="Q347" s="31">
        <v>42745</v>
      </c>
      <c r="R347" s="3" t="s">
        <v>62</v>
      </c>
      <c r="S347" s="3" t="s">
        <v>65</v>
      </c>
    </row>
    <row r="348" spans="1:19">
      <c r="A348" s="3" t="e">
        <v>#N/A</v>
      </c>
      <c r="B348" s="31" t="e">
        <v>#N/A</v>
      </c>
      <c r="C348" s="31">
        <v>42744.456944444442</v>
      </c>
      <c r="D348" s="3">
        <v>3035175700</v>
      </c>
      <c r="E348" s="3" t="s">
        <v>23</v>
      </c>
      <c r="F348" s="3" t="s">
        <v>198</v>
      </c>
      <c r="G348" s="3" t="s">
        <v>199</v>
      </c>
      <c r="H348" s="3" t="s">
        <v>3058</v>
      </c>
      <c r="I348" s="3" t="s">
        <v>632</v>
      </c>
      <c r="J348" s="3" t="s">
        <v>58</v>
      </c>
      <c r="K348" s="3" t="s">
        <v>2977</v>
      </c>
      <c r="L348" s="3" t="s">
        <v>871</v>
      </c>
      <c r="M348" s="3" t="s">
        <v>65</v>
      </c>
      <c r="N348" s="3" t="s">
        <v>66</v>
      </c>
      <c r="O348" s="3" t="s">
        <v>65</v>
      </c>
      <c r="P348" s="3" t="s">
        <v>875</v>
      </c>
      <c r="Q348" s="31">
        <v>42745</v>
      </c>
      <c r="R348" s="3" t="s">
        <v>62</v>
      </c>
      <c r="S348" s="3" t="s">
        <v>3059</v>
      </c>
    </row>
    <row r="349" spans="1:19">
      <c r="A349" s="3" t="e">
        <v>#N/A</v>
      </c>
      <c r="B349" s="31" t="e">
        <v>#N/A</v>
      </c>
      <c r="C349" s="31">
        <v>42744.569444444445</v>
      </c>
      <c r="D349" s="3">
        <v>3035239146</v>
      </c>
      <c r="E349" s="3" t="s">
        <v>9</v>
      </c>
      <c r="F349" s="3" t="s">
        <v>67</v>
      </c>
      <c r="G349" s="3" t="s">
        <v>68</v>
      </c>
      <c r="H349" s="3" t="s">
        <v>63</v>
      </c>
      <c r="I349" s="3" t="s">
        <v>64</v>
      </c>
      <c r="J349" s="3" t="s">
        <v>58</v>
      </c>
      <c r="K349" s="3" t="s">
        <v>2977</v>
      </c>
      <c r="L349" s="3" t="s">
        <v>871</v>
      </c>
      <c r="M349" s="3" t="s">
        <v>65</v>
      </c>
      <c r="N349" s="3" t="s">
        <v>66</v>
      </c>
      <c r="O349" s="3" t="s">
        <v>65</v>
      </c>
      <c r="P349" s="3" t="s">
        <v>875</v>
      </c>
      <c r="Q349" s="31">
        <v>42745</v>
      </c>
      <c r="R349" s="3" t="s">
        <v>62</v>
      </c>
      <c r="S349" s="3" t="s">
        <v>65</v>
      </c>
    </row>
    <row r="350" spans="1:19">
      <c r="A350" s="3" t="e">
        <v>#N/A</v>
      </c>
      <c r="B350" s="31" t="e">
        <v>#N/A</v>
      </c>
      <c r="C350" s="31">
        <v>42744.592361111114</v>
      </c>
      <c r="D350" s="3">
        <v>3035264456</v>
      </c>
      <c r="E350" s="3" t="s">
        <v>273</v>
      </c>
      <c r="F350" s="3" t="s">
        <v>258</v>
      </c>
      <c r="G350" s="3" t="s">
        <v>327</v>
      </c>
      <c r="H350" s="3" t="s">
        <v>878</v>
      </c>
      <c r="I350" s="3" t="s">
        <v>148</v>
      </c>
      <c r="J350" s="3" t="s">
        <v>98</v>
      </c>
      <c r="K350" s="3" t="s">
        <v>2977</v>
      </c>
      <c r="L350" s="3" t="s">
        <v>871</v>
      </c>
      <c r="M350" s="3" t="s">
        <v>65</v>
      </c>
      <c r="N350" s="3" t="s">
        <v>66</v>
      </c>
      <c r="O350" s="3" t="s">
        <v>65</v>
      </c>
      <c r="P350" s="3" t="s">
        <v>875</v>
      </c>
      <c r="Q350" s="31">
        <v>42745</v>
      </c>
      <c r="R350" s="3" t="s">
        <v>62</v>
      </c>
      <c r="S350" s="3" t="s">
        <v>65</v>
      </c>
    </row>
    <row r="351" spans="1:19">
      <c r="A351" s="3" t="e">
        <v>#N/A</v>
      </c>
      <c r="B351" s="31" t="e">
        <v>#N/A</v>
      </c>
      <c r="C351" s="31">
        <v>42744.59652777778</v>
      </c>
      <c r="D351" s="3">
        <v>3035518319</v>
      </c>
      <c r="E351" s="3" t="s">
        <v>23</v>
      </c>
      <c r="F351" s="3" t="s">
        <v>131</v>
      </c>
      <c r="G351" s="3" t="s">
        <v>132</v>
      </c>
      <c r="H351" s="3" t="s">
        <v>2986</v>
      </c>
      <c r="I351" s="3" t="s">
        <v>645</v>
      </c>
      <c r="J351" s="3" t="s">
        <v>58</v>
      </c>
      <c r="K351" s="3" t="s">
        <v>2977</v>
      </c>
      <c r="L351" s="3" t="s">
        <v>871</v>
      </c>
      <c r="M351" s="3" t="s">
        <v>65</v>
      </c>
      <c r="N351" s="3" t="s">
        <v>66</v>
      </c>
      <c r="O351" s="3" t="s">
        <v>65</v>
      </c>
      <c r="P351" s="3" t="s">
        <v>875</v>
      </c>
      <c r="Q351" s="31">
        <v>42745</v>
      </c>
      <c r="R351" s="3" t="s">
        <v>62</v>
      </c>
      <c r="S351" s="3" t="s">
        <v>65</v>
      </c>
    </row>
    <row r="352" spans="1:19">
      <c r="A352" s="3" t="e">
        <v>#N/A</v>
      </c>
      <c r="B352" s="31" t="e">
        <v>#N/A</v>
      </c>
      <c r="C352" s="31">
        <v>42744.725694444445</v>
      </c>
      <c r="D352" s="3">
        <v>3035605575</v>
      </c>
      <c r="E352" s="3" t="s">
        <v>31</v>
      </c>
      <c r="F352" s="3" t="s">
        <v>852</v>
      </c>
      <c r="G352" s="3" t="s">
        <v>197</v>
      </c>
      <c r="H352" s="3" t="s">
        <v>878</v>
      </c>
      <c r="I352" s="3" t="s">
        <v>148</v>
      </c>
      <c r="J352" s="3" t="s">
        <v>58</v>
      </c>
      <c r="K352" s="3" t="s">
        <v>2977</v>
      </c>
      <c r="L352" s="3" t="s">
        <v>871</v>
      </c>
      <c r="M352" s="3" t="s">
        <v>65</v>
      </c>
      <c r="N352" s="3" t="s">
        <v>66</v>
      </c>
      <c r="O352" s="3" t="s">
        <v>65</v>
      </c>
      <c r="P352" s="3" t="s">
        <v>876</v>
      </c>
      <c r="Q352" s="31">
        <v>42745</v>
      </c>
      <c r="R352" s="3" t="s">
        <v>62</v>
      </c>
      <c r="S352" s="3" t="s">
        <v>65</v>
      </c>
    </row>
    <row r="353" spans="1:19">
      <c r="A353" s="3" t="s">
        <v>873</v>
      </c>
      <c r="B353" s="31">
        <v>42747.737639085652</v>
      </c>
      <c r="C353" s="31">
        <v>42745.356249999997</v>
      </c>
      <c r="D353" s="3">
        <v>3035330417</v>
      </c>
      <c r="E353" s="3" t="s">
        <v>2978</v>
      </c>
      <c r="F353" s="3" t="s">
        <v>256</v>
      </c>
      <c r="G353" s="3" t="s">
        <v>879</v>
      </c>
      <c r="H353" s="3" t="s">
        <v>864</v>
      </c>
      <c r="I353" s="3" t="s">
        <v>613</v>
      </c>
      <c r="J353" s="3" t="s">
        <v>144</v>
      </c>
      <c r="K353" s="3" t="s">
        <v>2977</v>
      </c>
      <c r="L353" s="3" t="s">
        <v>871</v>
      </c>
      <c r="M353" s="3" t="s">
        <v>84</v>
      </c>
      <c r="N353" s="3" t="s">
        <v>85</v>
      </c>
      <c r="O353" s="3" t="s">
        <v>3060</v>
      </c>
      <c r="P353" s="3" t="s">
        <v>875</v>
      </c>
      <c r="Q353" s="31">
        <v>42746</v>
      </c>
      <c r="R353" s="3" t="s">
        <v>62</v>
      </c>
      <c r="S353" s="3" t="s">
        <v>548</v>
      </c>
    </row>
    <row r="354" spans="1:19">
      <c r="A354" s="3" t="e">
        <v>#N/A</v>
      </c>
      <c r="B354" s="31" t="e">
        <v>#N/A</v>
      </c>
      <c r="C354" s="31">
        <v>42745.370833333334</v>
      </c>
      <c r="D354" s="3">
        <v>3035277106</v>
      </c>
      <c r="E354" s="3" t="s">
        <v>23</v>
      </c>
      <c r="F354" s="3" t="s">
        <v>186</v>
      </c>
      <c r="G354" s="3" t="s">
        <v>187</v>
      </c>
      <c r="H354" s="3" t="s">
        <v>151</v>
      </c>
      <c r="I354" s="3" t="s">
        <v>152</v>
      </c>
      <c r="J354" s="3" t="s">
        <v>58</v>
      </c>
      <c r="K354" s="3" t="s">
        <v>2977</v>
      </c>
      <c r="L354" s="3" t="s">
        <v>871</v>
      </c>
      <c r="M354" s="3" t="s">
        <v>65</v>
      </c>
      <c r="N354" s="3" t="s">
        <v>66</v>
      </c>
      <c r="O354" s="3" t="s">
        <v>65</v>
      </c>
      <c r="P354" s="3" t="s">
        <v>875</v>
      </c>
      <c r="Q354" s="31">
        <v>42746</v>
      </c>
      <c r="R354" s="3" t="s">
        <v>62</v>
      </c>
      <c r="S354" s="3" t="s">
        <v>65</v>
      </c>
    </row>
    <row r="355" spans="1:19">
      <c r="A355" s="3" t="s">
        <v>865</v>
      </c>
      <c r="B355" s="31">
        <v>42747.737639085652</v>
      </c>
      <c r="C355" s="31">
        <v>42745.387499999997</v>
      </c>
      <c r="D355" s="3">
        <v>3035640864</v>
      </c>
      <c r="E355" s="3" t="e">
        <v>#N/A</v>
      </c>
      <c r="F355" s="3" t="s">
        <v>889</v>
      </c>
      <c r="G355" s="3" t="e">
        <v>#N/A</v>
      </c>
      <c r="H355" s="3" t="s">
        <v>889</v>
      </c>
      <c r="I355" s="3" t="e">
        <v>#N/A</v>
      </c>
      <c r="J355" s="3" t="s">
        <v>98</v>
      </c>
      <c r="K355" s="3" t="s">
        <v>2977</v>
      </c>
      <c r="L355" s="3" t="s">
        <v>866</v>
      </c>
      <c r="M355" s="3" t="s">
        <v>70</v>
      </c>
      <c r="N355" s="3" t="s">
        <v>71</v>
      </c>
      <c r="O355" s="3" t="s">
        <v>3622</v>
      </c>
      <c r="P355" s="3" t="s">
        <v>872</v>
      </c>
      <c r="Q355" s="31">
        <v>42751</v>
      </c>
      <c r="R355" s="3" t="s">
        <v>62</v>
      </c>
      <c r="S355" s="3" t="s">
        <v>2143</v>
      </c>
    </row>
    <row r="356" spans="1:19">
      <c r="A356" s="3" t="e">
        <v>#N/A</v>
      </c>
      <c r="B356" s="31" t="e">
        <v>#N/A</v>
      </c>
      <c r="C356" s="31">
        <v>42745.39166666667</v>
      </c>
      <c r="D356" s="3">
        <v>3035244290</v>
      </c>
      <c r="E356" s="3" t="s">
        <v>23</v>
      </c>
      <c r="F356" s="3" t="s">
        <v>179</v>
      </c>
      <c r="G356" s="3" t="s">
        <v>180</v>
      </c>
      <c r="H356" s="3" t="s">
        <v>151</v>
      </c>
      <c r="I356" s="3" t="s">
        <v>152</v>
      </c>
      <c r="J356" s="3" t="s">
        <v>58</v>
      </c>
      <c r="K356" s="3" t="s">
        <v>2977</v>
      </c>
      <c r="L356" s="3" t="s">
        <v>871</v>
      </c>
      <c r="M356" s="3" t="s">
        <v>65</v>
      </c>
      <c r="N356" s="3" t="s">
        <v>66</v>
      </c>
      <c r="O356" s="3" t="s">
        <v>65</v>
      </c>
      <c r="P356" s="3" t="s">
        <v>875</v>
      </c>
      <c r="Q356" s="31">
        <v>42746</v>
      </c>
      <c r="R356" s="3" t="s">
        <v>62</v>
      </c>
      <c r="S356" s="3" t="s">
        <v>65</v>
      </c>
    </row>
    <row r="357" spans="1:19">
      <c r="A357" s="3" t="e">
        <v>#N/A</v>
      </c>
      <c r="B357" s="31" t="e">
        <v>#N/A</v>
      </c>
      <c r="C357" s="31">
        <v>42745.392361111109</v>
      </c>
      <c r="D357" s="3">
        <v>3035520173</v>
      </c>
      <c r="E357" s="3" t="s">
        <v>23</v>
      </c>
      <c r="F357" s="3" t="s">
        <v>149</v>
      </c>
      <c r="G357" s="3" t="s">
        <v>150</v>
      </c>
      <c r="H357" s="3" t="s">
        <v>883</v>
      </c>
      <c r="I357" s="3" t="s">
        <v>96</v>
      </c>
      <c r="J357" s="3" t="s">
        <v>69</v>
      </c>
      <c r="K357" s="3" t="s">
        <v>2977</v>
      </c>
      <c r="L357" s="3" t="s">
        <v>871</v>
      </c>
      <c r="M357" s="3" t="s">
        <v>65</v>
      </c>
      <c r="N357" s="3" t="s">
        <v>66</v>
      </c>
      <c r="O357" s="3" t="s">
        <v>65</v>
      </c>
      <c r="P357" s="3" t="s">
        <v>875</v>
      </c>
      <c r="Q357" s="31">
        <v>42746</v>
      </c>
      <c r="R357" s="3" t="s">
        <v>62</v>
      </c>
      <c r="S357" s="3" t="s">
        <v>65</v>
      </c>
    </row>
    <row r="358" spans="1:19">
      <c r="A358" s="3" t="e">
        <v>#N/A</v>
      </c>
      <c r="B358" s="31" t="e">
        <v>#N/A</v>
      </c>
      <c r="C358" s="31">
        <v>42745.398611111108</v>
      </c>
      <c r="D358" s="3">
        <v>3035510203</v>
      </c>
      <c r="E358" s="3" t="s">
        <v>23</v>
      </c>
      <c r="F358" s="3" t="s">
        <v>135</v>
      </c>
      <c r="G358" s="3" t="s">
        <v>136</v>
      </c>
      <c r="H358" s="3" t="s">
        <v>883</v>
      </c>
      <c r="I358" s="3" t="s">
        <v>96</v>
      </c>
      <c r="J358" s="3" t="s">
        <v>79</v>
      </c>
      <c r="K358" s="3" t="s">
        <v>2977</v>
      </c>
      <c r="L358" s="3" t="s">
        <v>871</v>
      </c>
      <c r="M358" s="3" t="s">
        <v>65</v>
      </c>
      <c r="N358" s="3" t="s">
        <v>66</v>
      </c>
      <c r="O358" s="3" t="s">
        <v>65</v>
      </c>
      <c r="P358" s="3" t="s">
        <v>875</v>
      </c>
      <c r="Q358" s="31">
        <v>42746</v>
      </c>
      <c r="R358" s="3" t="s">
        <v>62</v>
      </c>
      <c r="S358" s="3" t="s">
        <v>65</v>
      </c>
    </row>
    <row r="359" spans="1:19">
      <c r="A359" s="3" t="s">
        <v>865</v>
      </c>
      <c r="B359" s="31">
        <v>42747.737639085652</v>
      </c>
      <c r="C359" s="31">
        <v>42745.406944444447</v>
      </c>
      <c r="D359" s="3">
        <v>3035641527</v>
      </c>
      <c r="E359" s="3" t="s">
        <v>9</v>
      </c>
      <c r="F359" s="3" t="s">
        <v>73</v>
      </c>
      <c r="G359" s="3" t="s">
        <v>74</v>
      </c>
      <c r="H359" s="3" t="s">
        <v>73</v>
      </c>
      <c r="I359" s="3" t="s">
        <v>74</v>
      </c>
      <c r="J359" s="3" t="s">
        <v>58</v>
      </c>
      <c r="K359" s="3" t="s">
        <v>2976</v>
      </c>
      <c r="L359" s="3" t="s">
        <v>866</v>
      </c>
      <c r="M359" s="3" t="s">
        <v>70</v>
      </c>
      <c r="N359" s="3" t="s">
        <v>71</v>
      </c>
      <c r="O359" s="3" t="s">
        <v>3623</v>
      </c>
      <c r="P359" s="3" t="s">
        <v>872</v>
      </c>
      <c r="Q359" s="31">
        <v>42751</v>
      </c>
      <c r="R359" s="3" t="s">
        <v>62</v>
      </c>
      <c r="S359" s="3" t="s">
        <v>62</v>
      </c>
    </row>
    <row r="360" spans="1:19">
      <c r="A360" s="3" t="e">
        <v>#N/A</v>
      </c>
      <c r="B360" s="31" t="e">
        <v>#N/A</v>
      </c>
      <c r="C360" s="31">
        <v>42745.411111111112</v>
      </c>
      <c r="D360" s="3">
        <v>3035262869</v>
      </c>
      <c r="E360" s="3" t="s">
        <v>9</v>
      </c>
      <c r="F360" s="3" t="s">
        <v>67</v>
      </c>
      <c r="G360" s="3" t="s">
        <v>68</v>
      </c>
      <c r="H360" s="3" t="s">
        <v>883</v>
      </c>
      <c r="I360" s="3" t="s">
        <v>96</v>
      </c>
      <c r="J360" s="3" t="s">
        <v>58</v>
      </c>
      <c r="K360" s="3" t="s">
        <v>2977</v>
      </c>
      <c r="L360" s="3" t="s">
        <v>871</v>
      </c>
      <c r="M360" s="3" t="s">
        <v>65</v>
      </c>
      <c r="N360" s="3" t="s">
        <v>66</v>
      </c>
      <c r="O360" s="3" t="s">
        <v>65</v>
      </c>
      <c r="P360" s="3" t="s">
        <v>875</v>
      </c>
      <c r="Q360" s="31">
        <v>42746</v>
      </c>
      <c r="R360" s="3" t="s">
        <v>62</v>
      </c>
      <c r="S360" s="3" t="s">
        <v>65</v>
      </c>
    </row>
    <row r="361" spans="1:19">
      <c r="A361" s="3" t="e">
        <v>#N/A</v>
      </c>
      <c r="B361" s="31" t="e">
        <v>#N/A</v>
      </c>
      <c r="C361" s="31">
        <v>42745.421527777777</v>
      </c>
      <c r="D361" s="3">
        <v>3035408312</v>
      </c>
      <c r="E361" s="3" t="s">
        <v>23</v>
      </c>
      <c r="F361" s="3" t="s">
        <v>137</v>
      </c>
      <c r="G361" s="3" t="s">
        <v>138</v>
      </c>
      <c r="H361" s="3" t="s">
        <v>878</v>
      </c>
      <c r="I361" s="3" t="s">
        <v>148</v>
      </c>
      <c r="J361" s="3" t="s">
        <v>58</v>
      </c>
      <c r="K361" s="3" t="s">
        <v>2977</v>
      </c>
      <c r="L361" s="3" t="s">
        <v>871</v>
      </c>
      <c r="M361" s="3" t="s">
        <v>65</v>
      </c>
      <c r="N361" s="3" t="s">
        <v>66</v>
      </c>
      <c r="O361" s="3" t="s">
        <v>65</v>
      </c>
      <c r="P361" s="3" t="s">
        <v>875</v>
      </c>
      <c r="Q361" s="31">
        <v>42746</v>
      </c>
      <c r="R361" s="3" t="s">
        <v>62</v>
      </c>
      <c r="S361" s="3" t="s">
        <v>65</v>
      </c>
    </row>
    <row r="362" spans="1:19">
      <c r="A362" s="3" t="s">
        <v>868</v>
      </c>
      <c r="B362" s="31">
        <v>42747.737639085652</v>
      </c>
      <c r="C362" s="31">
        <v>42745.423611111109</v>
      </c>
      <c r="D362" s="3">
        <v>3035641920</v>
      </c>
      <c r="E362" s="3" t="s">
        <v>9</v>
      </c>
      <c r="F362" s="3" t="s">
        <v>87</v>
      </c>
      <c r="G362" s="3" t="s">
        <v>88</v>
      </c>
      <c r="H362" s="3" t="s">
        <v>87</v>
      </c>
      <c r="I362" s="3" t="s">
        <v>88</v>
      </c>
      <c r="J362" s="3" t="s">
        <v>58</v>
      </c>
      <c r="K362" s="3" t="s">
        <v>2976</v>
      </c>
      <c r="L362" s="3" t="s">
        <v>871</v>
      </c>
      <c r="M362" s="3" t="s">
        <v>84</v>
      </c>
      <c r="N362" s="3" t="s">
        <v>85</v>
      </c>
      <c r="O362" s="3" t="s">
        <v>3061</v>
      </c>
      <c r="P362" s="3" t="s">
        <v>875</v>
      </c>
      <c r="Q362" s="31">
        <v>42746</v>
      </c>
      <c r="R362" s="3" t="s">
        <v>62</v>
      </c>
      <c r="S362" s="3" t="s">
        <v>62</v>
      </c>
    </row>
    <row r="363" spans="1:19">
      <c r="A363" s="3" t="e">
        <v>#N/A</v>
      </c>
      <c r="B363" s="31" t="e">
        <v>#N/A</v>
      </c>
      <c r="C363" s="31">
        <v>42745.443749999999</v>
      </c>
      <c r="D363" s="3">
        <v>3035511632</v>
      </c>
      <c r="E363" s="3" t="s">
        <v>204</v>
      </c>
      <c r="F363" s="3" t="s">
        <v>103</v>
      </c>
      <c r="G363" s="3" t="s">
        <v>104</v>
      </c>
      <c r="H363" s="3" t="s">
        <v>103</v>
      </c>
      <c r="I363" s="3" t="s">
        <v>104</v>
      </c>
      <c r="J363" s="3" t="s">
        <v>69</v>
      </c>
      <c r="K363" s="3" t="s">
        <v>2977</v>
      </c>
      <c r="L363" s="3" t="s">
        <v>871</v>
      </c>
      <c r="M363" s="3" t="s">
        <v>65</v>
      </c>
      <c r="N363" s="3" t="s">
        <v>66</v>
      </c>
      <c r="O363" s="3" t="s">
        <v>65</v>
      </c>
      <c r="P363" s="3" t="s">
        <v>875</v>
      </c>
      <c r="Q363" s="31">
        <v>42746</v>
      </c>
      <c r="R363" s="3" t="s">
        <v>62</v>
      </c>
      <c r="S363" s="3" t="s">
        <v>65</v>
      </c>
    </row>
    <row r="364" spans="1:19">
      <c r="A364" s="3" t="s">
        <v>877</v>
      </c>
      <c r="B364" s="31">
        <v>42747.737639085652</v>
      </c>
      <c r="C364" s="31">
        <v>42745.443749999999</v>
      </c>
      <c r="D364" s="3">
        <v>3035508130</v>
      </c>
      <c r="E364" s="3" t="s">
        <v>273</v>
      </c>
      <c r="F364" s="3" t="s">
        <v>141</v>
      </c>
      <c r="G364" s="3" t="s">
        <v>560</v>
      </c>
      <c r="H364" s="3" t="s">
        <v>115</v>
      </c>
      <c r="I364" s="3" t="s">
        <v>116</v>
      </c>
      <c r="J364" s="3" t="s">
        <v>144</v>
      </c>
      <c r="K364" s="3" t="s">
        <v>2977</v>
      </c>
      <c r="L364" s="3" t="s">
        <v>871</v>
      </c>
      <c r="M364" s="3" t="s">
        <v>84</v>
      </c>
      <c r="N364" s="3" t="s">
        <v>85</v>
      </c>
      <c r="O364" s="3" t="s">
        <v>322</v>
      </c>
      <c r="P364" s="3" t="s">
        <v>875</v>
      </c>
      <c r="Q364" s="31">
        <v>42746</v>
      </c>
      <c r="R364" s="3" t="s">
        <v>62</v>
      </c>
      <c r="S364" s="3" t="s">
        <v>529</v>
      </c>
    </row>
    <row r="365" spans="1:19">
      <c r="A365" s="3" t="e">
        <v>#N/A</v>
      </c>
      <c r="B365" s="31" t="e">
        <v>#N/A</v>
      </c>
      <c r="C365" s="31">
        <v>42745.445138888892</v>
      </c>
      <c r="D365" s="3">
        <v>3035233283</v>
      </c>
      <c r="E365" s="3" t="s">
        <v>9</v>
      </c>
      <c r="F365" s="3" t="s">
        <v>101</v>
      </c>
      <c r="G365" s="3" t="s">
        <v>102</v>
      </c>
      <c r="H365" s="3" t="s">
        <v>63</v>
      </c>
      <c r="I365" s="3" t="s">
        <v>64</v>
      </c>
      <c r="J365" s="3" t="s">
        <v>58</v>
      </c>
      <c r="K365" s="3" t="s">
        <v>2977</v>
      </c>
      <c r="L365" s="3" t="s">
        <v>871</v>
      </c>
      <c r="M365" s="3" t="s">
        <v>65</v>
      </c>
      <c r="N365" s="3" t="s">
        <v>66</v>
      </c>
      <c r="O365" s="3" t="s">
        <v>65</v>
      </c>
      <c r="P365" s="3" t="s">
        <v>875</v>
      </c>
      <c r="Q365" s="31">
        <v>42746</v>
      </c>
      <c r="R365" s="3" t="s">
        <v>62</v>
      </c>
      <c r="S365" s="3" t="s">
        <v>65</v>
      </c>
    </row>
    <row r="366" spans="1:19">
      <c r="A366" s="3" t="s">
        <v>865</v>
      </c>
      <c r="B366" s="31">
        <v>42747.737639085652</v>
      </c>
      <c r="C366" s="31">
        <v>42745.447916666664</v>
      </c>
      <c r="D366" s="3">
        <v>3035642562</v>
      </c>
      <c r="E366" s="3" t="s">
        <v>31</v>
      </c>
      <c r="F366" s="3" t="s">
        <v>216</v>
      </c>
      <c r="G366" s="3" t="s">
        <v>217</v>
      </c>
      <c r="H366" s="3" t="s">
        <v>216</v>
      </c>
      <c r="I366" s="3" t="s">
        <v>217</v>
      </c>
      <c r="J366" s="3" t="s">
        <v>97</v>
      </c>
      <c r="K366" s="3" t="s">
        <v>2977</v>
      </c>
      <c r="L366" s="3" t="s">
        <v>866</v>
      </c>
      <c r="M366" s="3" t="s">
        <v>70</v>
      </c>
      <c r="N366" s="3" t="s">
        <v>71</v>
      </c>
      <c r="O366" s="3" t="s">
        <v>3622</v>
      </c>
      <c r="P366" s="3" t="s">
        <v>872</v>
      </c>
      <c r="Q366" s="31">
        <v>42751</v>
      </c>
      <c r="R366" s="3" t="s">
        <v>62</v>
      </c>
      <c r="S366" s="3" t="s">
        <v>92</v>
      </c>
    </row>
    <row r="367" spans="1:19">
      <c r="A367" s="3" t="s">
        <v>868</v>
      </c>
      <c r="B367" s="31">
        <v>42747.737639085652</v>
      </c>
      <c r="C367" s="31">
        <v>42745.45416666667</v>
      </c>
      <c r="D367" s="3">
        <v>3035430218</v>
      </c>
      <c r="E367" s="3" t="s">
        <v>2978</v>
      </c>
      <c r="F367" s="3" t="s">
        <v>256</v>
      </c>
      <c r="G367" s="3" t="s">
        <v>879</v>
      </c>
      <c r="H367" s="3" t="s">
        <v>82</v>
      </c>
      <c r="I367" s="3" t="s">
        <v>83</v>
      </c>
      <c r="J367" s="3" t="s">
        <v>98</v>
      </c>
      <c r="K367" s="3" t="s">
        <v>2976</v>
      </c>
      <c r="L367" s="3" t="s">
        <v>871</v>
      </c>
      <c r="M367" s="3" t="s">
        <v>84</v>
      </c>
      <c r="N367" s="3" t="s">
        <v>85</v>
      </c>
      <c r="O367" s="3" t="s">
        <v>3062</v>
      </c>
      <c r="P367" s="3" t="s">
        <v>875</v>
      </c>
      <c r="Q367" s="31">
        <v>42746</v>
      </c>
      <c r="R367" s="3" t="s">
        <v>62</v>
      </c>
      <c r="S367" s="3" t="s">
        <v>62</v>
      </c>
    </row>
    <row r="368" spans="1:19">
      <c r="A368" s="3" t="s">
        <v>865</v>
      </c>
      <c r="B368" s="31">
        <v>42747.737639085652</v>
      </c>
      <c r="C368" s="31">
        <v>42745.459027777775</v>
      </c>
      <c r="D368" s="3">
        <v>3035641630</v>
      </c>
      <c r="E368" s="3" t="s">
        <v>31</v>
      </c>
      <c r="F368" s="3" t="s">
        <v>213</v>
      </c>
      <c r="G368" s="3" t="s">
        <v>214</v>
      </c>
      <c r="H368" s="3" t="s">
        <v>213</v>
      </c>
      <c r="I368" s="3" t="s">
        <v>214</v>
      </c>
      <c r="J368" s="3" t="s">
        <v>69</v>
      </c>
      <c r="K368" s="3" t="s">
        <v>2977</v>
      </c>
      <c r="L368" s="3" t="s">
        <v>871</v>
      </c>
      <c r="M368" s="3" t="s">
        <v>84</v>
      </c>
      <c r="N368" s="3" t="s">
        <v>85</v>
      </c>
      <c r="O368" s="3" t="s">
        <v>233</v>
      </c>
      <c r="P368" s="3" t="s">
        <v>872</v>
      </c>
      <c r="Q368" s="31">
        <v>42751</v>
      </c>
      <c r="R368" s="3" t="s">
        <v>62</v>
      </c>
      <c r="S368" s="3" t="s">
        <v>92</v>
      </c>
    </row>
    <row r="369" spans="1:19">
      <c r="A369" s="3" t="s">
        <v>877</v>
      </c>
      <c r="B369" s="31">
        <v>42747.737639085652</v>
      </c>
      <c r="C369" s="31">
        <v>42745.478472222225</v>
      </c>
      <c r="D369" s="3">
        <v>3035642854</v>
      </c>
      <c r="E369" s="3" t="s">
        <v>9</v>
      </c>
      <c r="F369" s="3" t="s">
        <v>67</v>
      </c>
      <c r="G369" s="3" t="s">
        <v>68</v>
      </c>
      <c r="H369" s="3" t="s">
        <v>67</v>
      </c>
      <c r="I369" s="3" t="s">
        <v>68</v>
      </c>
      <c r="J369" s="3" t="s">
        <v>69</v>
      </c>
      <c r="K369" s="3" t="s">
        <v>2976</v>
      </c>
      <c r="L369" s="3" t="s">
        <v>871</v>
      </c>
      <c r="M369" s="3" t="s">
        <v>84</v>
      </c>
      <c r="N369" s="3" t="s">
        <v>85</v>
      </c>
      <c r="O369" s="3" t="s">
        <v>3063</v>
      </c>
      <c r="P369" s="3" t="s">
        <v>875</v>
      </c>
      <c r="Q369" s="31">
        <v>42746</v>
      </c>
      <c r="R369" s="3" t="s">
        <v>62</v>
      </c>
      <c r="S369" s="3" t="s">
        <v>62</v>
      </c>
    </row>
    <row r="370" spans="1:19">
      <c r="A370" s="3" t="s">
        <v>865</v>
      </c>
      <c r="B370" s="31">
        <v>42747.737639085652</v>
      </c>
      <c r="C370" s="31">
        <v>42745.481944444444</v>
      </c>
      <c r="D370" s="3">
        <v>3035642233</v>
      </c>
      <c r="E370" s="3" t="s">
        <v>273</v>
      </c>
      <c r="F370" s="3" t="s">
        <v>259</v>
      </c>
      <c r="G370" s="3" t="s">
        <v>260</v>
      </c>
      <c r="H370" s="3" t="s">
        <v>259</v>
      </c>
      <c r="I370" s="3" t="s">
        <v>260</v>
      </c>
      <c r="J370" s="3" t="s">
        <v>98</v>
      </c>
      <c r="K370" s="3" t="s">
        <v>2977</v>
      </c>
      <c r="L370" s="3" t="s">
        <v>871</v>
      </c>
      <c r="M370" s="3" t="s">
        <v>84</v>
      </c>
      <c r="N370" s="3" t="s">
        <v>85</v>
      </c>
      <c r="O370" s="3" t="s">
        <v>3064</v>
      </c>
      <c r="P370" s="3" t="s">
        <v>875</v>
      </c>
      <c r="Q370" s="31">
        <v>42746</v>
      </c>
      <c r="R370" s="3" t="s">
        <v>62</v>
      </c>
      <c r="S370" s="3" t="s">
        <v>2985</v>
      </c>
    </row>
    <row r="371" spans="1:19">
      <c r="A371" s="3" t="s">
        <v>865</v>
      </c>
      <c r="B371" s="31">
        <v>42747.737639085652</v>
      </c>
      <c r="C371" s="31">
        <v>42745.513194444444</v>
      </c>
      <c r="D371" s="3">
        <v>3035605901</v>
      </c>
      <c r="E371" s="3" t="s">
        <v>9</v>
      </c>
      <c r="F371" s="3" t="s">
        <v>101</v>
      </c>
      <c r="G371" s="3" t="s">
        <v>102</v>
      </c>
      <c r="H371" s="3" t="s">
        <v>82</v>
      </c>
      <c r="I371" s="3" t="s">
        <v>83</v>
      </c>
      <c r="J371" s="3" t="s">
        <v>97</v>
      </c>
      <c r="K371" s="3" t="s">
        <v>2976</v>
      </c>
      <c r="L371" s="3" t="s">
        <v>866</v>
      </c>
      <c r="M371" s="3" t="s">
        <v>70</v>
      </c>
      <c r="N371" s="3" t="s">
        <v>71</v>
      </c>
      <c r="O371" s="3" t="s">
        <v>3622</v>
      </c>
      <c r="P371" s="3" t="s">
        <v>872</v>
      </c>
      <c r="Q371" s="31">
        <v>42751</v>
      </c>
      <c r="R371" s="3" t="s">
        <v>62</v>
      </c>
      <c r="S371" s="3" t="s">
        <v>62</v>
      </c>
    </row>
    <row r="372" spans="1:19">
      <c r="A372" s="3" t="s">
        <v>865</v>
      </c>
      <c r="B372" s="31">
        <v>42747.737639085652</v>
      </c>
      <c r="C372" s="31">
        <v>42745.513888888891</v>
      </c>
      <c r="D372" s="3">
        <v>3035644279</v>
      </c>
      <c r="E372" s="3" t="s">
        <v>9</v>
      </c>
      <c r="F372" s="3" t="s">
        <v>107</v>
      </c>
      <c r="G372" s="3" t="s">
        <v>108</v>
      </c>
      <c r="H372" s="3" t="s">
        <v>107</v>
      </c>
      <c r="I372" s="3" t="s">
        <v>108</v>
      </c>
      <c r="J372" s="3" t="s">
        <v>58</v>
      </c>
      <c r="K372" s="3" t="s">
        <v>2976</v>
      </c>
      <c r="L372" s="3" t="s">
        <v>871</v>
      </c>
      <c r="M372" s="3" t="s">
        <v>84</v>
      </c>
      <c r="N372" s="3" t="s">
        <v>85</v>
      </c>
      <c r="O372" s="3" t="s">
        <v>916</v>
      </c>
      <c r="P372" s="3" t="s">
        <v>872</v>
      </c>
      <c r="Q372" s="31">
        <v>42751</v>
      </c>
      <c r="R372" s="3" t="s">
        <v>62</v>
      </c>
      <c r="S372" s="3" t="s">
        <v>62</v>
      </c>
    </row>
    <row r="373" spans="1:19">
      <c r="A373" s="3" t="s">
        <v>868</v>
      </c>
      <c r="B373" s="31">
        <v>42747.737639085652</v>
      </c>
      <c r="C373" s="31">
        <v>42745.515277777777</v>
      </c>
      <c r="D373" s="3">
        <v>3035644540</v>
      </c>
      <c r="E373" s="3" t="s">
        <v>31</v>
      </c>
      <c r="F373" s="3" t="s">
        <v>206</v>
      </c>
      <c r="G373" s="3" t="s">
        <v>207</v>
      </c>
      <c r="H373" s="3" t="s">
        <v>206</v>
      </c>
      <c r="I373" s="3" t="s">
        <v>207</v>
      </c>
      <c r="J373" s="3" t="s">
        <v>69</v>
      </c>
      <c r="K373" s="3" t="s">
        <v>2977</v>
      </c>
      <c r="L373" s="3" t="s">
        <v>871</v>
      </c>
      <c r="M373" s="3" t="s">
        <v>84</v>
      </c>
      <c r="N373" s="3" t="s">
        <v>85</v>
      </c>
      <c r="O373" s="3" t="s">
        <v>322</v>
      </c>
      <c r="P373" s="3" t="s">
        <v>872</v>
      </c>
      <c r="Q373" s="31">
        <v>42751</v>
      </c>
      <c r="R373" s="3" t="s">
        <v>62</v>
      </c>
      <c r="S373" s="3" t="s">
        <v>92</v>
      </c>
    </row>
    <row r="374" spans="1:19">
      <c r="A374" s="3" t="s">
        <v>865</v>
      </c>
      <c r="B374" s="31">
        <v>42747.737639085652</v>
      </c>
      <c r="C374" s="31">
        <v>42745.520833333336</v>
      </c>
      <c r="D374" s="3">
        <v>3035645207</v>
      </c>
      <c r="E374" s="3" t="s">
        <v>9</v>
      </c>
      <c r="F374" s="3" t="s">
        <v>73</v>
      </c>
      <c r="G374" s="3" t="s">
        <v>74</v>
      </c>
      <c r="H374" s="3" t="s">
        <v>73</v>
      </c>
      <c r="I374" s="3" t="s">
        <v>74</v>
      </c>
      <c r="J374" s="3" t="s">
        <v>97</v>
      </c>
      <c r="K374" s="3" t="s">
        <v>2976</v>
      </c>
      <c r="L374" s="3" t="s">
        <v>871</v>
      </c>
      <c r="M374" s="3" t="s">
        <v>84</v>
      </c>
      <c r="N374" s="3" t="s">
        <v>85</v>
      </c>
      <c r="O374" s="3" t="s">
        <v>888</v>
      </c>
      <c r="P374" s="3" t="s">
        <v>872</v>
      </c>
      <c r="Q374" s="31">
        <v>42751</v>
      </c>
      <c r="R374" s="3" t="s">
        <v>62</v>
      </c>
      <c r="S374" s="3" t="s">
        <v>62</v>
      </c>
    </row>
    <row r="375" spans="1:19">
      <c r="A375" s="3" t="s">
        <v>865</v>
      </c>
      <c r="B375" s="31">
        <v>42747.737639085652</v>
      </c>
      <c r="C375" s="31">
        <v>42745.522916666669</v>
      </c>
      <c r="D375" s="3">
        <v>3035645280</v>
      </c>
      <c r="E375" s="3" t="s">
        <v>31</v>
      </c>
      <c r="F375" s="3" t="s">
        <v>202</v>
      </c>
      <c r="G375" s="3" t="s">
        <v>203</v>
      </c>
      <c r="H375" s="3" t="s">
        <v>202</v>
      </c>
      <c r="I375" s="3" t="s">
        <v>203</v>
      </c>
      <c r="J375" s="3" t="s">
        <v>69</v>
      </c>
      <c r="K375" s="3" t="s">
        <v>2976</v>
      </c>
      <c r="L375" s="3" t="s">
        <v>866</v>
      </c>
      <c r="M375" s="3" t="s">
        <v>70</v>
      </c>
      <c r="N375" s="3" t="s">
        <v>71</v>
      </c>
      <c r="O375" s="3" t="s">
        <v>3079</v>
      </c>
      <c r="P375" s="3" t="s">
        <v>872</v>
      </c>
      <c r="Q375" s="31">
        <v>42751</v>
      </c>
      <c r="R375" s="3" t="s">
        <v>62</v>
      </c>
      <c r="S375" s="3" t="s">
        <v>62</v>
      </c>
    </row>
    <row r="376" spans="1:19">
      <c r="A376" s="3" t="s">
        <v>865</v>
      </c>
      <c r="B376" s="31">
        <v>42747.737639085652</v>
      </c>
      <c r="C376" s="31">
        <v>42745.530555555553</v>
      </c>
      <c r="D376" s="3">
        <v>3035541808</v>
      </c>
      <c r="E376" s="3" t="s">
        <v>31</v>
      </c>
      <c r="F376" s="3" t="s">
        <v>852</v>
      </c>
      <c r="G376" s="3" t="s">
        <v>197</v>
      </c>
      <c r="H376" s="3" t="s">
        <v>209</v>
      </c>
      <c r="I376" s="3" t="s">
        <v>210</v>
      </c>
      <c r="J376" s="3" t="s">
        <v>69</v>
      </c>
      <c r="K376" s="3" t="s">
        <v>2977</v>
      </c>
      <c r="L376" s="3" t="s">
        <v>866</v>
      </c>
      <c r="M376" s="3" t="s">
        <v>70</v>
      </c>
      <c r="N376" s="3" t="s">
        <v>71</v>
      </c>
      <c r="O376" s="3" t="s">
        <v>3067</v>
      </c>
      <c r="P376" s="3" t="s">
        <v>872</v>
      </c>
      <c r="Q376" s="31">
        <v>42751</v>
      </c>
      <c r="R376" s="3" t="s">
        <v>62</v>
      </c>
      <c r="S376" s="3" t="s">
        <v>529</v>
      </c>
    </row>
    <row r="377" spans="1:19">
      <c r="A377" s="3" t="s">
        <v>865</v>
      </c>
      <c r="B377" s="31">
        <v>42747.737639085652</v>
      </c>
      <c r="C377" s="31">
        <v>42745.531944444447</v>
      </c>
      <c r="D377" s="3">
        <v>3035645047</v>
      </c>
      <c r="E377" s="3" t="s">
        <v>31</v>
      </c>
      <c r="F377" s="3" t="s">
        <v>227</v>
      </c>
      <c r="G377" s="3" t="s">
        <v>228</v>
      </c>
      <c r="H377" s="3" t="s">
        <v>227</v>
      </c>
      <c r="I377" s="3" t="s">
        <v>228</v>
      </c>
      <c r="J377" s="3" t="s">
        <v>69</v>
      </c>
      <c r="K377" s="3" t="s">
        <v>2977</v>
      </c>
      <c r="L377" s="3" t="s">
        <v>871</v>
      </c>
      <c r="M377" s="3" t="s">
        <v>84</v>
      </c>
      <c r="N377" s="3" t="s">
        <v>85</v>
      </c>
      <c r="O377" s="3" t="s">
        <v>3061</v>
      </c>
      <c r="P377" s="3" t="s">
        <v>875</v>
      </c>
      <c r="Q377" s="31">
        <v>42747</v>
      </c>
      <c r="R377" s="3" t="s">
        <v>62</v>
      </c>
      <c r="S377" s="3" t="s">
        <v>92</v>
      </c>
    </row>
    <row r="378" spans="1:19">
      <c r="A378" s="3" t="s">
        <v>868</v>
      </c>
      <c r="B378" s="31">
        <v>42747.737639085652</v>
      </c>
      <c r="C378" s="31">
        <v>42745.536111111112</v>
      </c>
      <c r="D378" s="3">
        <v>3035645772</v>
      </c>
      <c r="E378" s="3" t="s">
        <v>31</v>
      </c>
      <c r="F378" s="3" t="s">
        <v>3043</v>
      </c>
      <c r="G378" s="3" t="s">
        <v>3044</v>
      </c>
      <c r="H378" s="3" t="s">
        <v>3043</v>
      </c>
      <c r="I378" s="3" t="s">
        <v>3044</v>
      </c>
      <c r="J378" s="3" t="s">
        <v>3065</v>
      </c>
      <c r="K378" s="3" t="s">
        <v>2977</v>
      </c>
      <c r="L378" s="3" t="s">
        <v>871</v>
      </c>
      <c r="M378" s="3" t="s">
        <v>84</v>
      </c>
      <c r="N378" s="3" t="s">
        <v>85</v>
      </c>
      <c r="O378" s="3" t="s">
        <v>3066</v>
      </c>
      <c r="P378" s="3" t="s">
        <v>875</v>
      </c>
      <c r="Q378" s="31">
        <v>42747</v>
      </c>
      <c r="R378" s="3" t="s">
        <v>2143</v>
      </c>
      <c r="S378" s="3" t="s">
        <v>62</v>
      </c>
    </row>
    <row r="379" spans="1:19">
      <c r="A379" s="3" t="e">
        <v>#N/A</v>
      </c>
      <c r="B379" s="31" t="e">
        <v>#N/A</v>
      </c>
      <c r="C379" s="31">
        <v>42745.54583333333</v>
      </c>
      <c r="D379" s="3">
        <v>3035072384</v>
      </c>
      <c r="E379" s="3" t="s">
        <v>31</v>
      </c>
      <c r="F379" s="3" t="s">
        <v>145</v>
      </c>
      <c r="G379" s="3" t="s">
        <v>146</v>
      </c>
      <c r="H379" s="3" t="s">
        <v>103</v>
      </c>
      <c r="I379" s="3" t="s">
        <v>104</v>
      </c>
      <c r="J379" s="3" t="s">
        <v>99</v>
      </c>
      <c r="K379" s="3" t="s">
        <v>2977</v>
      </c>
      <c r="L379" s="3" t="s">
        <v>871</v>
      </c>
      <c r="M379" s="3" t="s">
        <v>65</v>
      </c>
      <c r="N379" s="3" t="s">
        <v>66</v>
      </c>
      <c r="O379" s="3" t="s">
        <v>65</v>
      </c>
      <c r="P379" s="3" t="s">
        <v>875</v>
      </c>
      <c r="Q379" s="31">
        <v>42746</v>
      </c>
      <c r="R379" s="3" t="s">
        <v>62</v>
      </c>
      <c r="S379" s="3" t="s">
        <v>65</v>
      </c>
    </row>
    <row r="380" spans="1:19">
      <c r="A380" s="3" t="s">
        <v>865</v>
      </c>
      <c r="B380" s="31">
        <v>42747.737639085652</v>
      </c>
      <c r="C380" s="31">
        <v>42745.548611111109</v>
      </c>
      <c r="D380" s="3">
        <v>3035646460</v>
      </c>
      <c r="E380" s="3" t="s">
        <v>273</v>
      </c>
      <c r="F380" s="3" t="s">
        <v>854</v>
      </c>
      <c r="G380" s="3" t="s">
        <v>846</v>
      </c>
      <c r="H380" s="3" t="s">
        <v>854</v>
      </c>
      <c r="I380" s="3" t="s">
        <v>846</v>
      </c>
      <c r="J380" s="3" t="s">
        <v>98</v>
      </c>
      <c r="K380" s="3" t="s">
        <v>2977</v>
      </c>
      <c r="L380" s="3" t="s">
        <v>866</v>
      </c>
      <c r="M380" s="3" t="s">
        <v>70</v>
      </c>
      <c r="N380" s="3" t="s">
        <v>71</v>
      </c>
      <c r="O380" s="3" t="s">
        <v>3067</v>
      </c>
      <c r="P380" s="3" t="s">
        <v>872</v>
      </c>
      <c r="Q380" s="31">
        <v>42747</v>
      </c>
      <c r="R380" s="3" t="s">
        <v>62</v>
      </c>
      <c r="S380" s="3" t="s">
        <v>2985</v>
      </c>
    </row>
    <row r="381" spans="1:19">
      <c r="A381" s="3" t="s">
        <v>873</v>
      </c>
      <c r="B381" s="31">
        <v>42747.737639085652</v>
      </c>
      <c r="C381" s="31">
        <v>42745.55972222222</v>
      </c>
      <c r="D381" s="3">
        <v>3035647005</v>
      </c>
      <c r="E381" s="3" t="s">
        <v>9</v>
      </c>
      <c r="F381" s="3" t="s">
        <v>87</v>
      </c>
      <c r="G381" s="3" t="s">
        <v>88</v>
      </c>
      <c r="H381" s="3" t="s">
        <v>87</v>
      </c>
      <c r="I381" s="3" t="s">
        <v>88</v>
      </c>
      <c r="J381" s="3" t="s">
        <v>58</v>
      </c>
      <c r="K381" s="3" t="s">
        <v>2976</v>
      </c>
      <c r="L381" s="3" t="s">
        <v>871</v>
      </c>
      <c r="M381" s="3" t="s">
        <v>84</v>
      </c>
      <c r="N381" s="3" t="s">
        <v>85</v>
      </c>
      <c r="O381" s="3" t="s">
        <v>233</v>
      </c>
      <c r="P381" s="3" t="s">
        <v>875</v>
      </c>
      <c r="Q381" s="31">
        <v>42747</v>
      </c>
      <c r="R381" s="3" t="s">
        <v>62</v>
      </c>
      <c r="S381" s="3" t="s">
        <v>62</v>
      </c>
    </row>
    <row r="382" spans="1:19">
      <c r="A382" s="3" t="e">
        <v>#N/A</v>
      </c>
      <c r="B382" s="31" t="e">
        <v>#N/A</v>
      </c>
      <c r="C382" s="31">
        <v>42745.566666666666</v>
      </c>
      <c r="D382" s="3">
        <v>3035434783</v>
      </c>
      <c r="E382" s="3" t="s">
        <v>31</v>
      </c>
      <c r="F382" s="3" t="s">
        <v>113</v>
      </c>
      <c r="G382" s="3" t="s">
        <v>114</v>
      </c>
      <c r="H382" s="3" t="s">
        <v>151</v>
      </c>
      <c r="I382" s="3" t="s">
        <v>152</v>
      </c>
      <c r="J382" s="3" t="s">
        <v>58</v>
      </c>
      <c r="K382" s="3" t="s">
        <v>2977</v>
      </c>
      <c r="L382" s="3" t="s">
        <v>871</v>
      </c>
      <c r="M382" s="3" t="s">
        <v>65</v>
      </c>
      <c r="N382" s="3" t="s">
        <v>66</v>
      </c>
      <c r="O382" s="3" t="s">
        <v>65</v>
      </c>
      <c r="P382" s="3" t="s">
        <v>875</v>
      </c>
      <c r="Q382" s="31">
        <v>42746</v>
      </c>
      <c r="R382" s="3" t="s">
        <v>62</v>
      </c>
      <c r="S382" s="3" t="s">
        <v>65</v>
      </c>
    </row>
    <row r="383" spans="1:19">
      <c r="A383" s="3" t="s">
        <v>877</v>
      </c>
      <c r="B383" s="31">
        <v>42747.737639085652</v>
      </c>
      <c r="C383" s="31">
        <v>42745.568749999999</v>
      </c>
      <c r="D383" s="3">
        <v>3035614261</v>
      </c>
      <c r="E383" s="3" t="s">
        <v>31</v>
      </c>
      <c r="F383" s="3" t="s">
        <v>113</v>
      </c>
      <c r="G383" s="3" t="s">
        <v>114</v>
      </c>
      <c r="H383" s="3" t="s">
        <v>206</v>
      </c>
      <c r="I383" s="3" t="s">
        <v>207</v>
      </c>
      <c r="J383" s="3" t="s">
        <v>69</v>
      </c>
      <c r="K383" s="3" t="s">
        <v>2977</v>
      </c>
      <c r="L383" s="3" t="s">
        <v>866</v>
      </c>
      <c r="M383" s="3" t="s">
        <v>70</v>
      </c>
      <c r="N383" s="3" t="s">
        <v>71</v>
      </c>
      <c r="O383" s="3" t="s">
        <v>3068</v>
      </c>
      <c r="P383" s="3" t="s">
        <v>872</v>
      </c>
      <c r="Q383" s="31">
        <v>42747</v>
      </c>
      <c r="R383" s="3" t="s">
        <v>62</v>
      </c>
      <c r="S383" s="3" t="s">
        <v>92</v>
      </c>
    </row>
    <row r="384" spans="1:19">
      <c r="A384" s="3" t="e">
        <v>#N/A</v>
      </c>
      <c r="B384" s="31" t="e">
        <v>#N/A</v>
      </c>
      <c r="C384" s="31">
        <v>42745.592361111114</v>
      </c>
      <c r="D384" s="3">
        <v>3035619168</v>
      </c>
      <c r="E384" s="3" t="s">
        <v>23</v>
      </c>
      <c r="F384" s="3" t="s">
        <v>186</v>
      </c>
      <c r="G384" s="3" t="s">
        <v>187</v>
      </c>
      <c r="H384" s="3" t="s">
        <v>151</v>
      </c>
      <c r="I384" s="3" t="s">
        <v>152</v>
      </c>
      <c r="J384" s="3" t="s">
        <v>99</v>
      </c>
      <c r="K384" s="3" t="s">
        <v>2977</v>
      </c>
      <c r="L384" s="3" t="s">
        <v>871</v>
      </c>
      <c r="M384" s="3" t="s">
        <v>65</v>
      </c>
      <c r="N384" s="3" t="s">
        <v>66</v>
      </c>
      <c r="O384" s="3" t="s">
        <v>65</v>
      </c>
      <c r="P384" s="3" t="s">
        <v>875</v>
      </c>
      <c r="Q384" s="31">
        <v>42746</v>
      </c>
      <c r="R384" s="3" t="s">
        <v>62</v>
      </c>
      <c r="S384" s="3" t="s">
        <v>65</v>
      </c>
    </row>
    <row r="385" spans="1:19">
      <c r="A385" s="3" t="e">
        <v>#N/A</v>
      </c>
      <c r="B385" s="31" t="e">
        <v>#N/A</v>
      </c>
      <c r="C385" s="31">
        <v>42745.64166666667</v>
      </c>
      <c r="D385" s="3">
        <v>3035612248</v>
      </c>
      <c r="E385" s="3" t="s">
        <v>9</v>
      </c>
      <c r="F385" s="3" t="s">
        <v>111</v>
      </c>
      <c r="G385" s="3" t="s">
        <v>112</v>
      </c>
      <c r="H385" s="3" t="s">
        <v>151</v>
      </c>
      <c r="I385" s="3" t="s">
        <v>152</v>
      </c>
      <c r="J385" s="3" t="s">
        <v>79</v>
      </c>
      <c r="K385" s="3" t="s">
        <v>2977</v>
      </c>
      <c r="L385" s="3" t="s">
        <v>871</v>
      </c>
      <c r="M385" s="3" t="s">
        <v>65</v>
      </c>
      <c r="N385" s="3" t="s">
        <v>66</v>
      </c>
      <c r="O385" s="3" t="s">
        <v>65</v>
      </c>
      <c r="P385" s="3" t="s">
        <v>875</v>
      </c>
      <c r="Q385" s="31">
        <v>42746</v>
      </c>
      <c r="R385" s="3" t="s">
        <v>62</v>
      </c>
      <c r="S385" s="3" t="s">
        <v>65</v>
      </c>
    </row>
    <row r="386" spans="1:19">
      <c r="A386" s="3" t="s">
        <v>865</v>
      </c>
      <c r="B386" s="31">
        <v>42747.737639085652</v>
      </c>
      <c r="C386" s="31">
        <v>42745.679166666669</v>
      </c>
      <c r="D386" s="3">
        <v>3035653413</v>
      </c>
      <c r="E386" s="3" t="s">
        <v>273</v>
      </c>
      <c r="F386" s="3" t="s">
        <v>258</v>
      </c>
      <c r="G386" s="3" t="s">
        <v>327</v>
      </c>
      <c r="H386" s="3" t="s">
        <v>258</v>
      </c>
      <c r="I386" s="3" t="s">
        <v>327</v>
      </c>
      <c r="J386" s="3" t="s">
        <v>144</v>
      </c>
      <c r="K386" s="3" t="s">
        <v>2977</v>
      </c>
      <c r="L386" s="3" t="s">
        <v>871</v>
      </c>
      <c r="M386" s="3" t="s">
        <v>84</v>
      </c>
      <c r="N386" s="3" t="s">
        <v>85</v>
      </c>
      <c r="O386" s="3" t="s">
        <v>233</v>
      </c>
      <c r="P386" s="3" t="s">
        <v>872</v>
      </c>
      <c r="Q386" s="31">
        <v>42751</v>
      </c>
      <c r="R386" s="3" t="s">
        <v>62</v>
      </c>
      <c r="S386" s="3" t="s">
        <v>2985</v>
      </c>
    </row>
    <row r="387" spans="1:19">
      <c r="A387" s="3" t="s">
        <v>877</v>
      </c>
      <c r="B387" s="31">
        <v>42747.737639085652</v>
      </c>
      <c r="C387" s="31">
        <v>42745.70208333333</v>
      </c>
      <c r="D387" s="3">
        <v>3035654754</v>
      </c>
      <c r="E387" s="3" t="s">
        <v>39</v>
      </c>
      <c r="F387" s="3" t="s">
        <v>244</v>
      </c>
      <c r="G387" s="3" t="s">
        <v>245</v>
      </c>
      <c r="H387" s="3" t="s">
        <v>244</v>
      </c>
      <c r="I387" s="3" t="s">
        <v>245</v>
      </c>
      <c r="J387" s="3" t="s">
        <v>69</v>
      </c>
      <c r="K387" s="3" t="s">
        <v>2977</v>
      </c>
      <c r="L387" s="3" t="s">
        <v>871</v>
      </c>
      <c r="M387" s="3" t="s">
        <v>84</v>
      </c>
      <c r="N387" s="3" t="s">
        <v>85</v>
      </c>
      <c r="O387" s="3" t="s">
        <v>3069</v>
      </c>
      <c r="P387" s="3" t="s">
        <v>875</v>
      </c>
      <c r="Q387" s="31">
        <v>42747</v>
      </c>
      <c r="R387" s="3" t="s">
        <v>62</v>
      </c>
      <c r="S387" s="3" t="s">
        <v>92</v>
      </c>
    </row>
    <row r="388" spans="1:19">
      <c r="A388" s="3" t="s">
        <v>865</v>
      </c>
      <c r="B388" s="31">
        <v>42747.737639085652</v>
      </c>
      <c r="C388" s="31">
        <v>42745.709027777775</v>
      </c>
      <c r="D388" s="3">
        <v>3035468351</v>
      </c>
      <c r="E388" s="3" t="s">
        <v>9</v>
      </c>
      <c r="F388" s="3" t="s">
        <v>73</v>
      </c>
      <c r="G388" s="3" t="s">
        <v>74</v>
      </c>
      <c r="H388" s="3" t="s">
        <v>82</v>
      </c>
      <c r="I388" s="3" t="s">
        <v>83</v>
      </c>
      <c r="J388" s="3" t="s">
        <v>69</v>
      </c>
      <c r="K388" s="3" t="s">
        <v>2976</v>
      </c>
      <c r="L388" s="3" t="s">
        <v>866</v>
      </c>
      <c r="M388" s="3" t="s">
        <v>59</v>
      </c>
      <c r="N388" s="3" t="s">
        <v>60</v>
      </c>
      <c r="O388" s="3" t="s">
        <v>147</v>
      </c>
      <c r="P388" s="3" t="s">
        <v>872</v>
      </c>
      <c r="Q388" s="31">
        <v>42751</v>
      </c>
      <c r="R388" s="3" t="s">
        <v>62</v>
      </c>
      <c r="S388" s="3" t="s">
        <v>62</v>
      </c>
    </row>
    <row r="389" spans="1:19">
      <c r="A389" s="3" t="s">
        <v>865</v>
      </c>
      <c r="B389" s="31">
        <v>42747.737639085652</v>
      </c>
      <c r="C389" s="31">
        <v>42745.712500000001</v>
      </c>
      <c r="D389" s="3">
        <v>3035654764</v>
      </c>
      <c r="E389" s="3" t="s">
        <v>39</v>
      </c>
      <c r="F389" s="3" t="s">
        <v>236</v>
      </c>
      <c r="G389" s="3" t="s">
        <v>237</v>
      </c>
      <c r="H389" s="3" t="s">
        <v>236</v>
      </c>
      <c r="I389" s="3" t="s">
        <v>237</v>
      </c>
      <c r="J389" s="3" t="s">
        <v>69</v>
      </c>
      <c r="K389" s="3" t="s">
        <v>2977</v>
      </c>
      <c r="L389" s="3" t="s">
        <v>871</v>
      </c>
      <c r="M389" s="3" t="s">
        <v>84</v>
      </c>
      <c r="N389" s="3" t="s">
        <v>85</v>
      </c>
      <c r="O389" s="3" t="s">
        <v>322</v>
      </c>
      <c r="P389" s="3" t="s">
        <v>872</v>
      </c>
      <c r="Q389" s="31">
        <v>42751</v>
      </c>
      <c r="R389" s="3" t="s">
        <v>62</v>
      </c>
      <c r="S389" s="3" t="s">
        <v>92</v>
      </c>
    </row>
    <row r="390" spans="1:19">
      <c r="A390" s="3" t="s">
        <v>865</v>
      </c>
      <c r="B390" s="31">
        <v>42747.737639085652</v>
      </c>
      <c r="C390" s="31">
        <v>42745.724305555559</v>
      </c>
      <c r="D390" s="3">
        <v>3035654749</v>
      </c>
      <c r="E390" s="3" t="s">
        <v>39</v>
      </c>
      <c r="F390" s="3" t="s">
        <v>248</v>
      </c>
      <c r="G390" s="3" t="s">
        <v>249</v>
      </c>
      <c r="H390" s="3" t="s">
        <v>248</v>
      </c>
      <c r="I390" s="3" t="s">
        <v>249</v>
      </c>
      <c r="J390" s="3" t="s">
        <v>69</v>
      </c>
      <c r="K390" s="3" t="s">
        <v>2977</v>
      </c>
      <c r="L390" s="3" t="s">
        <v>866</v>
      </c>
      <c r="M390" s="3" t="s">
        <v>59</v>
      </c>
      <c r="N390" s="3" t="s">
        <v>60</v>
      </c>
      <c r="O390" s="3" t="s">
        <v>147</v>
      </c>
      <c r="P390" s="3" t="s">
        <v>875</v>
      </c>
      <c r="Q390" s="31">
        <v>42748</v>
      </c>
      <c r="R390" s="3" t="s">
        <v>62</v>
      </c>
      <c r="S390" s="3" t="s">
        <v>92</v>
      </c>
    </row>
    <row r="391" spans="1:19">
      <c r="A391" s="3" t="s">
        <v>877</v>
      </c>
      <c r="B391" s="31">
        <v>42747.737639085652</v>
      </c>
      <c r="C391" s="31">
        <v>42745.726388888892</v>
      </c>
      <c r="D391" s="3">
        <v>3035655890</v>
      </c>
      <c r="E391" s="3" t="s">
        <v>23</v>
      </c>
      <c r="F391" s="3" t="s">
        <v>129</v>
      </c>
      <c r="G391" s="3" t="s">
        <v>130</v>
      </c>
      <c r="H391" s="3" t="s">
        <v>129</v>
      </c>
      <c r="I391" s="3" t="s">
        <v>130</v>
      </c>
      <c r="J391" s="3" t="s">
        <v>69</v>
      </c>
      <c r="K391" s="3" t="s">
        <v>2976</v>
      </c>
      <c r="L391" s="3" t="s">
        <v>866</v>
      </c>
      <c r="M391" s="3" t="s">
        <v>59</v>
      </c>
      <c r="N391" s="3" t="s">
        <v>60</v>
      </c>
      <c r="O391" s="3" t="s">
        <v>147</v>
      </c>
      <c r="P391" s="3" t="s">
        <v>875</v>
      </c>
      <c r="Q391" s="31">
        <v>42747</v>
      </c>
      <c r="R391" s="3" t="s">
        <v>62</v>
      </c>
      <c r="S391" s="3" t="s">
        <v>62</v>
      </c>
    </row>
    <row r="392" spans="1:19">
      <c r="A392" s="3" t="s">
        <v>865</v>
      </c>
      <c r="B392" s="31">
        <v>42747.737639085652</v>
      </c>
      <c r="C392" s="31">
        <v>42745.740972222222</v>
      </c>
      <c r="D392" s="3">
        <v>3035656690</v>
      </c>
      <c r="E392" s="3" t="s">
        <v>23</v>
      </c>
      <c r="F392" s="3" t="s">
        <v>186</v>
      </c>
      <c r="G392" s="3" t="s">
        <v>187</v>
      </c>
      <c r="H392" s="3" t="s">
        <v>186</v>
      </c>
      <c r="I392" s="3" t="s">
        <v>187</v>
      </c>
      <c r="J392" s="3" t="s">
        <v>69</v>
      </c>
      <c r="K392" s="3" t="s">
        <v>2976</v>
      </c>
      <c r="L392" s="3" t="s">
        <v>871</v>
      </c>
      <c r="M392" s="3" t="s">
        <v>84</v>
      </c>
      <c r="N392" s="3" t="s">
        <v>85</v>
      </c>
      <c r="O392" s="3" t="s">
        <v>233</v>
      </c>
      <c r="P392" s="3" t="s">
        <v>872</v>
      </c>
      <c r="Q392" s="31">
        <v>42751</v>
      </c>
      <c r="R392" s="3" t="s">
        <v>62</v>
      </c>
      <c r="S392" s="3" t="s">
        <v>62</v>
      </c>
    </row>
    <row r="393" spans="1:19">
      <c r="A393" s="3" t="s">
        <v>865</v>
      </c>
      <c r="B393" s="31">
        <v>42747.737639085652</v>
      </c>
      <c r="C393" s="31">
        <v>42745.802083333336</v>
      </c>
      <c r="D393" s="3">
        <v>3035657818</v>
      </c>
      <c r="E393" s="3" t="s">
        <v>39</v>
      </c>
      <c r="F393" s="3" t="s">
        <v>248</v>
      </c>
      <c r="G393" s="3" t="s">
        <v>249</v>
      </c>
      <c r="H393" s="3" t="s">
        <v>119</v>
      </c>
      <c r="I393" s="3" t="s">
        <v>120</v>
      </c>
      <c r="J393" s="3" t="s">
        <v>69</v>
      </c>
      <c r="K393" s="3" t="s">
        <v>2976</v>
      </c>
      <c r="L393" s="3" t="s">
        <v>871</v>
      </c>
      <c r="M393" s="3" t="s">
        <v>84</v>
      </c>
      <c r="N393" s="3" t="s">
        <v>85</v>
      </c>
      <c r="O393" s="3" t="s">
        <v>908</v>
      </c>
      <c r="P393" s="3" t="s">
        <v>872</v>
      </c>
      <c r="Q393" s="31">
        <v>42751</v>
      </c>
      <c r="R393" s="3" t="s">
        <v>62</v>
      </c>
      <c r="S393" s="3" t="s">
        <v>62</v>
      </c>
    </row>
    <row r="394" spans="1:19">
      <c r="A394" s="3" t="s">
        <v>865</v>
      </c>
      <c r="B394" s="31">
        <v>42747.737639085652</v>
      </c>
      <c r="C394" s="31">
        <v>42745.813194444447</v>
      </c>
      <c r="D394" s="3">
        <v>3035660479</v>
      </c>
      <c r="E394" s="3" t="s">
        <v>23</v>
      </c>
      <c r="F394" s="3" t="s">
        <v>149</v>
      </c>
      <c r="G394" s="3" t="s">
        <v>150</v>
      </c>
      <c r="H394" s="3" t="s">
        <v>149</v>
      </c>
      <c r="I394" s="3" t="s">
        <v>150</v>
      </c>
      <c r="J394" s="3" t="s">
        <v>69</v>
      </c>
      <c r="K394" s="3" t="s">
        <v>2976</v>
      </c>
      <c r="L394" s="3" t="s">
        <v>871</v>
      </c>
      <c r="M394" s="3" t="s">
        <v>84</v>
      </c>
      <c r="N394" s="3" t="s">
        <v>85</v>
      </c>
      <c r="O394" s="3" t="s">
        <v>322</v>
      </c>
      <c r="P394" s="3" t="s">
        <v>872</v>
      </c>
      <c r="Q394" s="31">
        <v>42751</v>
      </c>
      <c r="R394" s="3" t="s">
        <v>62</v>
      </c>
      <c r="S394" s="3" t="s">
        <v>62</v>
      </c>
    </row>
    <row r="395" spans="1:19">
      <c r="A395" s="3" t="s">
        <v>873</v>
      </c>
      <c r="B395" s="31">
        <v>42747.737639085652</v>
      </c>
      <c r="C395" s="31">
        <v>42745.848611111112</v>
      </c>
      <c r="D395" s="3">
        <v>3035662194</v>
      </c>
      <c r="E395" s="3" t="s">
        <v>39</v>
      </c>
      <c r="F395" s="3" t="s">
        <v>244</v>
      </c>
      <c r="G395" s="3" t="s">
        <v>245</v>
      </c>
      <c r="H395" s="3" t="s">
        <v>244</v>
      </c>
      <c r="I395" s="3" t="s">
        <v>245</v>
      </c>
      <c r="J395" s="3" t="s">
        <v>69</v>
      </c>
      <c r="K395" s="3" t="s">
        <v>2977</v>
      </c>
      <c r="L395" s="3" t="s">
        <v>866</v>
      </c>
      <c r="M395" s="3" t="s">
        <v>70</v>
      </c>
      <c r="N395" s="3" t="s">
        <v>71</v>
      </c>
      <c r="O395" s="3" t="s">
        <v>3070</v>
      </c>
      <c r="P395" s="3" t="s">
        <v>875</v>
      </c>
      <c r="Q395" s="31">
        <v>42747</v>
      </c>
      <c r="R395" s="3" t="s">
        <v>62</v>
      </c>
      <c r="S395" s="3" t="s">
        <v>92</v>
      </c>
    </row>
    <row r="396" spans="1:19">
      <c r="A396" s="3" t="s">
        <v>873</v>
      </c>
      <c r="B396" s="31">
        <v>42747.737639085652</v>
      </c>
      <c r="C396" s="31">
        <v>42745.856944444444</v>
      </c>
      <c r="D396" s="3">
        <v>3035656733</v>
      </c>
      <c r="E396" s="3" t="s">
        <v>39</v>
      </c>
      <c r="F396" s="3" t="s">
        <v>236</v>
      </c>
      <c r="G396" s="3" t="s">
        <v>237</v>
      </c>
      <c r="H396" s="3" t="s">
        <v>230</v>
      </c>
      <c r="I396" s="3" t="e">
        <v>#N/A</v>
      </c>
      <c r="J396" s="3" t="s">
        <v>99</v>
      </c>
      <c r="K396" s="3" t="s">
        <v>2977</v>
      </c>
      <c r="L396" s="3" t="s">
        <v>871</v>
      </c>
      <c r="M396" s="3" t="s">
        <v>901</v>
      </c>
      <c r="N396" s="3" t="s">
        <v>323</v>
      </c>
      <c r="O396" s="3" t="s">
        <v>3071</v>
      </c>
      <c r="P396" s="3" t="s">
        <v>875</v>
      </c>
      <c r="Q396" s="31">
        <v>42746</v>
      </c>
      <c r="R396" s="3" t="s">
        <v>62</v>
      </c>
      <c r="S396" s="3" t="s">
        <v>2143</v>
      </c>
    </row>
    <row r="397" spans="1:19">
      <c r="A397" s="3" t="s">
        <v>868</v>
      </c>
      <c r="B397" s="31">
        <v>42747.737639085652</v>
      </c>
      <c r="C397" s="31">
        <v>42745.386111111111</v>
      </c>
      <c r="D397" s="3">
        <v>3035640938</v>
      </c>
      <c r="E397" s="3" t="s">
        <v>9</v>
      </c>
      <c r="F397" s="3" t="s">
        <v>73</v>
      </c>
      <c r="G397" s="3" t="s">
        <v>74</v>
      </c>
      <c r="H397" s="3" t="s">
        <v>73</v>
      </c>
      <c r="I397" s="3" t="s">
        <v>74</v>
      </c>
      <c r="J397" s="3" t="s">
        <v>69</v>
      </c>
      <c r="K397" s="3" t="s">
        <v>2976</v>
      </c>
      <c r="L397" s="3" t="s">
        <v>866</v>
      </c>
      <c r="M397" s="3" t="s">
        <v>59</v>
      </c>
      <c r="N397" s="3" t="s">
        <v>60</v>
      </c>
      <c r="O397" s="3" t="s">
        <v>147</v>
      </c>
      <c r="P397" s="3" t="s">
        <v>875</v>
      </c>
      <c r="Q397" s="31">
        <v>42746</v>
      </c>
      <c r="R397" s="3" t="s">
        <v>62</v>
      </c>
      <c r="S397" s="3" t="s">
        <v>62</v>
      </c>
    </row>
    <row r="398" spans="1:19">
      <c r="A398" s="3" t="s">
        <v>865</v>
      </c>
      <c r="B398" s="31">
        <v>42747.737639085652</v>
      </c>
      <c r="C398" s="31">
        <v>42745.407638888886</v>
      </c>
      <c r="D398" s="3">
        <v>3035641190</v>
      </c>
      <c r="E398" s="3" t="s">
        <v>31</v>
      </c>
      <c r="F398" s="3" t="s">
        <v>156</v>
      </c>
      <c r="G398" s="3" t="s">
        <v>157</v>
      </c>
      <c r="H398" s="3" t="s">
        <v>156</v>
      </c>
      <c r="I398" s="3" t="s">
        <v>157</v>
      </c>
      <c r="J398" s="3" t="s">
        <v>69</v>
      </c>
      <c r="K398" s="3" t="s">
        <v>2977</v>
      </c>
      <c r="L398" s="3" t="s">
        <v>866</v>
      </c>
      <c r="M398" s="3" t="s">
        <v>70</v>
      </c>
      <c r="N398" s="3" t="s">
        <v>71</v>
      </c>
      <c r="O398" s="3" t="s">
        <v>904</v>
      </c>
      <c r="P398" s="3" t="s">
        <v>875</v>
      </c>
      <c r="Q398" s="31">
        <v>42746</v>
      </c>
      <c r="R398" s="3" t="s">
        <v>62</v>
      </c>
      <c r="S398" s="3" t="s">
        <v>92</v>
      </c>
    </row>
    <row r="399" spans="1:19">
      <c r="A399" s="3" t="s">
        <v>865</v>
      </c>
      <c r="B399" s="31">
        <v>42747.737639085652</v>
      </c>
      <c r="C399" s="31">
        <v>42745.408333333333</v>
      </c>
      <c r="D399" s="3">
        <v>3035641561</v>
      </c>
      <c r="E399" s="3" t="s">
        <v>9</v>
      </c>
      <c r="F399" s="3" t="s">
        <v>101</v>
      </c>
      <c r="G399" s="3" t="s">
        <v>102</v>
      </c>
      <c r="H399" s="3" t="s">
        <v>101</v>
      </c>
      <c r="I399" s="3" t="s">
        <v>102</v>
      </c>
      <c r="J399" s="3" t="s">
        <v>99</v>
      </c>
      <c r="K399" s="3" t="s">
        <v>2976</v>
      </c>
      <c r="L399" s="3" t="s">
        <v>866</v>
      </c>
      <c r="M399" s="3" t="s">
        <v>70</v>
      </c>
      <c r="N399" s="3" t="s">
        <v>71</v>
      </c>
      <c r="O399" s="3" t="s">
        <v>2998</v>
      </c>
      <c r="P399" s="3" t="s">
        <v>875</v>
      </c>
      <c r="Q399" s="31">
        <v>42746</v>
      </c>
      <c r="R399" s="3" t="s">
        <v>62</v>
      </c>
      <c r="S399" s="3" t="s">
        <v>62</v>
      </c>
    </row>
    <row r="400" spans="1:19">
      <c r="A400" s="3" t="s">
        <v>877</v>
      </c>
      <c r="B400" s="31">
        <v>42747.737639085652</v>
      </c>
      <c r="C400" s="31">
        <v>42745.430555555555</v>
      </c>
      <c r="D400" s="3">
        <v>3035642168</v>
      </c>
      <c r="E400" s="3" t="s">
        <v>9</v>
      </c>
      <c r="F400" s="3" t="s">
        <v>158</v>
      </c>
      <c r="G400" s="3" t="s">
        <v>159</v>
      </c>
      <c r="H400" s="3" t="s">
        <v>158</v>
      </c>
      <c r="I400" s="3" t="s">
        <v>159</v>
      </c>
      <c r="J400" s="3" t="s">
        <v>69</v>
      </c>
      <c r="K400" s="3" t="s">
        <v>2976</v>
      </c>
      <c r="L400" s="3" t="s">
        <v>866</v>
      </c>
      <c r="M400" s="3" t="s">
        <v>59</v>
      </c>
      <c r="N400" s="3" t="s">
        <v>60</v>
      </c>
      <c r="O400" s="3" t="s">
        <v>147</v>
      </c>
      <c r="P400" s="3" t="s">
        <v>875</v>
      </c>
      <c r="Q400" s="31">
        <v>42746</v>
      </c>
      <c r="R400" s="3" t="s">
        <v>62</v>
      </c>
      <c r="S400" s="3" t="s">
        <v>62</v>
      </c>
    </row>
    <row r="401" spans="1:19">
      <c r="A401" s="3" t="s">
        <v>877</v>
      </c>
      <c r="B401" s="31">
        <v>42747.737639085652</v>
      </c>
      <c r="C401" s="31">
        <v>42745.435416666667</v>
      </c>
      <c r="D401" s="3">
        <v>3035642298</v>
      </c>
      <c r="E401" s="3" t="s">
        <v>31</v>
      </c>
      <c r="F401" s="3" t="s">
        <v>202</v>
      </c>
      <c r="G401" s="3" t="s">
        <v>203</v>
      </c>
      <c r="H401" s="3" t="s">
        <v>202</v>
      </c>
      <c r="I401" s="3" t="s">
        <v>203</v>
      </c>
      <c r="J401" s="3" t="s">
        <v>69</v>
      </c>
      <c r="K401" s="3" t="s">
        <v>2976</v>
      </c>
      <c r="L401" s="3" t="s">
        <v>866</v>
      </c>
      <c r="M401" s="3" t="s">
        <v>59</v>
      </c>
      <c r="N401" s="3" t="s">
        <v>60</v>
      </c>
      <c r="O401" s="3" t="s">
        <v>147</v>
      </c>
      <c r="P401" s="3" t="s">
        <v>875</v>
      </c>
      <c r="Q401" s="31">
        <v>42746</v>
      </c>
      <c r="R401" s="3" t="s">
        <v>62</v>
      </c>
      <c r="S401" s="3" t="s">
        <v>62</v>
      </c>
    </row>
    <row r="402" spans="1:19">
      <c r="A402" s="3" t="s">
        <v>868</v>
      </c>
      <c r="B402" s="31">
        <v>42747.737639085652</v>
      </c>
      <c r="C402" s="31">
        <v>42745.449305555558</v>
      </c>
      <c r="D402" s="3">
        <v>3035642348</v>
      </c>
      <c r="E402" s="3" t="s">
        <v>9</v>
      </c>
      <c r="F402" s="3" t="s">
        <v>101</v>
      </c>
      <c r="G402" s="3" t="s">
        <v>102</v>
      </c>
      <c r="H402" s="3" t="s">
        <v>101</v>
      </c>
      <c r="I402" s="3" t="s">
        <v>102</v>
      </c>
      <c r="J402" s="3" t="s">
        <v>69</v>
      </c>
      <c r="K402" s="3" t="s">
        <v>2976</v>
      </c>
      <c r="L402" s="3" t="s">
        <v>866</v>
      </c>
      <c r="M402" s="3" t="s">
        <v>59</v>
      </c>
      <c r="N402" s="3" t="s">
        <v>60</v>
      </c>
      <c r="O402" s="3" t="s">
        <v>147</v>
      </c>
      <c r="P402" s="3" t="s">
        <v>875</v>
      </c>
      <c r="Q402" s="31">
        <v>42746</v>
      </c>
      <c r="R402" s="3" t="s">
        <v>62</v>
      </c>
      <c r="S402" s="3" t="s">
        <v>62</v>
      </c>
    </row>
    <row r="403" spans="1:19">
      <c r="A403" s="3" t="s">
        <v>877</v>
      </c>
      <c r="B403" s="31">
        <v>42747.737639085652</v>
      </c>
      <c r="C403" s="31">
        <v>42745.472222222219</v>
      </c>
      <c r="D403" s="3">
        <v>3035643044</v>
      </c>
      <c r="E403" s="3" t="s">
        <v>31</v>
      </c>
      <c r="F403" s="3" t="s">
        <v>852</v>
      </c>
      <c r="G403" s="3" t="s">
        <v>197</v>
      </c>
      <c r="H403" s="3" t="s">
        <v>852</v>
      </c>
      <c r="I403" s="3" t="s">
        <v>197</v>
      </c>
      <c r="J403" s="3" t="s">
        <v>69</v>
      </c>
      <c r="K403" s="3" t="s">
        <v>2976</v>
      </c>
      <c r="L403" s="3" t="s">
        <v>866</v>
      </c>
      <c r="M403" s="3" t="s">
        <v>70</v>
      </c>
      <c r="N403" s="3" t="s">
        <v>75</v>
      </c>
      <c r="O403" s="3" t="s">
        <v>3072</v>
      </c>
      <c r="P403" s="3" t="s">
        <v>875</v>
      </c>
      <c r="Q403" s="31">
        <v>42746</v>
      </c>
      <c r="R403" s="3" t="s">
        <v>62</v>
      </c>
      <c r="S403" s="3" t="s">
        <v>62</v>
      </c>
    </row>
    <row r="404" spans="1:19">
      <c r="A404" s="3" t="s">
        <v>873</v>
      </c>
      <c r="B404" s="31">
        <v>42747.737639085652</v>
      </c>
      <c r="C404" s="31">
        <v>42745.496527777781</v>
      </c>
      <c r="D404" s="3">
        <v>3035619752</v>
      </c>
      <c r="E404" s="3" t="s">
        <v>273</v>
      </c>
      <c r="F404" s="3" t="s">
        <v>854</v>
      </c>
      <c r="G404" s="3" t="s">
        <v>846</v>
      </c>
      <c r="H404" s="3" t="s">
        <v>115</v>
      </c>
      <c r="I404" s="3" t="s">
        <v>116</v>
      </c>
      <c r="J404" s="3" t="s">
        <v>98</v>
      </c>
      <c r="K404" s="3" t="s">
        <v>2977</v>
      </c>
      <c r="L404" s="3" t="s">
        <v>866</v>
      </c>
      <c r="M404" s="3" t="s">
        <v>70</v>
      </c>
      <c r="N404" s="3" t="s">
        <v>71</v>
      </c>
      <c r="O404" s="3" t="s">
        <v>851</v>
      </c>
      <c r="P404" s="3" t="s">
        <v>875</v>
      </c>
      <c r="Q404" s="31">
        <v>42746</v>
      </c>
      <c r="R404" s="3" t="s">
        <v>62</v>
      </c>
      <c r="S404" s="3" t="s">
        <v>529</v>
      </c>
    </row>
    <row r="405" spans="1:19">
      <c r="A405" s="3" t="s">
        <v>877</v>
      </c>
      <c r="B405" s="31">
        <v>42747.737639085652</v>
      </c>
      <c r="C405" s="31">
        <v>42745.509027777778</v>
      </c>
      <c r="D405" s="3">
        <v>3035542541</v>
      </c>
      <c r="E405" s="3" t="s">
        <v>31</v>
      </c>
      <c r="F405" s="3" t="s">
        <v>221</v>
      </c>
      <c r="G405" s="3" t="s">
        <v>222</v>
      </c>
      <c r="H405" s="3" t="s">
        <v>209</v>
      </c>
      <c r="I405" s="3" t="s">
        <v>210</v>
      </c>
      <c r="J405" s="3" t="s">
        <v>69</v>
      </c>
      <c r="K405" s="3" t="s">
        <v>2977</v>
      </c>
      <c r="L405" s="3" t="s">
        <v>866</v>
      </c>
      <c r="M405" s="3" t="s">
        <v>59</v>
      </c>
      <c r="N405" s="3" t="s">
        <v>60</v>
      </c>
      <c r="O405" s="3" t="s">
        <v>147</v>
      </c>
      <c r="P405" s="3" t="s">
        <v>875</v>
      </c>
      <c r="Q405" s="31">
        <v>42746</v>
      </c>
      <c r="R405" s="3" t="s">
        <v>62</v>
      </c>
      <c r="S405" s="3" t="s">
        <v>529</v>
      </c>
    </row>
    <row r="406" spans="1:19">
      <c r="A406" s="3" t="s">
        <v>868</v>
      </c>
      <c r="B406" s="31">
        <v>42747.737639085652</v>
      </c>
      <c r="C406" s="31">
        <v>42745.515277777777</v>
      </c>
      <c r="D406" s="3">
        <v>3035643750</v>
      </c>
      <c r="E406" s="3" t="s">
        <v>31</v>
      </c>
      <c r="F406" s="3" t="s">
        <v>852</v>
      </c>
      <c r="G406" s="3" t="s">
        <v>197</v>
      </c>
      <c r="H406" s="3" t="s">
        <v>852</v>
      </c>
      <c r="I406" s="3" t="s">
        <v>197</v>
      </c>
      <c r="J406" s="3" t="s">
        <v>69</v>
      </c>
      <c r="K406" s="3" t="s">
        <v>2976</v>
      </c>
      <c r="L406" s="3" t="s">
        <v>866</v>
      </c>
      <c r="M406" s="3" t="s">
        <v>59</v>
      </c>
      <c r="N406" s="3" t="s">
        <v>60</v>
      </c>
      <c r="O406" s="3" t="s">
        <v>147</v>
      </c>
      <c r="P406" s="3" t="s">
        <v>875</v>
      </c>
      <c r="Q406" s="31">
        <v>42746</v>
      </c>
      <c r="R406" s="3" t="s">
        <v>62</v>
      </c>
      <c r="S406" s="3" t="s">
        <v>62</v>
      </c>
    </row>
    <row r="407" spans="1:19">
      <c r="A407" s="3" t="s">
        <v>865</v>
      </c>
      <c r="B407" s="31">
        <v>42747.737639085652</v>
      </c>
      <c r="C407" s="31">
        <v>42745.522916666669</v>
      </c>
      <c r="D407" s="3">
        <v>3035448859</v>
      </c>
      <c r="E407" s="3" t="s">
        <v>273</v>
      </c>
      <c r="F407" s="3" t="s">
        <v>854</v>
      </c>
      <c r="G407" s="3" t="s">
        <v>846</v>
      </c>
      <c r="H407" s="3" t="s">
        <v>115</v>
      </c>
      <c r="I407" s="3" t="s">
        <v>116</v>
      </c>
      <c r="J407" s="3" t="s">
        <v>98</v>
      </c>
      <c r="K407" s="3" t="s">
        <v>2977</v>
      </c>
      <c r="L407" s="3" t="s">
        <v>866</v>
      </c>
      <c r="M407" s="3" t="s">
        <v>70</v>
      </c>
      <c r="N407" s="3" t="s">
        <v>71</v>
      </c>
      <c r="O407" s="3" t="s">
        <v>884</v>
      </c>
      <c r="P407" s="3" t="s">
        <v>875</v>
      </c>
      <c r="Q407" s="31">
        <v>42746</v>
      </c>
      <c r="R407" s="3" t="s">
        <v>62</v>
      </c>
      <c r="S407" s="3" t="s">
        <v>529</v>
      </c>
    </row>
    <row r="408" spans="1:19">
      <c r="A408" s="3" t="s">
        <v>873</v>
      </c>
      <c r="B408" s="31">
        <v>42747.737639085652</v>
      </c>
      <c r="C408" s="31">
        <v>42745.530555555553</v>
      </c>
      <c r="D408" s="3">
        <v>3035547303</v>
      </c>
      <c r="E408" s="3" t="s">
        <v>9</v>
      </c>
      <c r="F408" s="3" t="s">
        <v>133</v>
      </c>
      <c r="G408" s="3" t="s">
        <v>134</v>
      </c>
      <c r="H408" s="3" t="s">
        <v>82</v>
      </c>
      <c r="I408" s="3" t="s">
        <v>83</v>
      </c>
      <c r="J408" s="3" t="s">
        <v>144</v>
      </c>
      <c r="K408" s="3" t="s">
        <v>2976</v>
      </c>
      <c r="L408" s="3" t="s">
        <v>866</v>
      </c>
      <c r="M408" s="3" t="s">
        <v>70</v>
      </c>
      <c r="N408" s="3" t="s">
        <v>71</v>
      </c>
      <c r="O408" s="3" t="s">
        <v>2988</v>
      </c>
      <c r="P408" s="3" t="s">
        <v>875</v>
      </c>
      <c r="Q408" s="31">
        <v>42746</v>
      </c>
      <c r="R408" s="3" t="s">
        <v>62</v>
      </c>
      <c r="S408" s="3" t="s">
        <v>62</v>
      </c>
    </row>
    <row r="409" spans="1:19">
      <c r="A409" s="3" t="s">
        <v>873</v>
      </c>
      <c r="B409" s="31">
        <v>42747.737639085652</v>
      </c>
      <c r="C409" s="31">
        <v>42745.56527777778</v>
      </c>
      <c r="D409" s="3">
        <v>3035647366</v>
      </c>
      <c r="E409" s="3" t="s">
        <v>31</v>
      </c>
      <c r="F409" s="3" t="s">
        <v>852</v>
      </c>
      <c r="G409" s="3" t="s">
        <v>197</v>
      </c>
      <c r="H409" s="3" t="s">
        <v>852</v>
      </c>
      <c r="I409" s="3" t="s">
        <v>197</v>
      </c>
      <c r="J409" s="3" t="s">
        <v>69</v>
      </c>
      <c r="K409" s="3" t="s">
        <v>2976</v>
      </c>
      <c r="L409" s="3" t="s">
        <v>866</v>
      </c>
      <c r="M409" s="3" t="s">
        <v>70</v>
      </c>
      <c r="N409" s="3" t="s">
        <v>71</v>
      </c>
      <c r="O409" s="3" t="s">
        <v>910</v>
      </c>
      <c r="P409" s="3" t="s">
        <v>875</v>
      </c>
      <c r="Q409" s="31">
        <v>42746</v>
      </c>
      <c r="R409" s="3" t="s">
        <v>62</v>
      </c>
      <c r="S409" s="3" t="s">
        <v>62</v>
      </c>
    </row>
    <row r="410" spans="1:19">
      <c r="A410" s="3" t="s">
        <v>868</v>
      </c>
      <c r="B410" s="31">
        <v>42747.737639085652</v>
      </c>
      <c r="C410" s="31">
        <v>42745.565972222219</v>
      </c>
      <c r="D410" s="3">
        <v>3035647410</v>
      </c>
      <c r="E410" s="3" t="s">
        <v>23</v>
      </c>
      <c r="F410" s="3" t="s">
        <v>137</v>
      </c>
      <c r="G410" s="3" t="s">
        <v>138</v>
      </c>
      <c r="H410" s="3" t="s">
        <v>137</v>
      </c>
      <c r="I410" s="3" t="s">
        <v>138</v>
      </c>
      <c r="J410" s="3" t="s">
        <v>69</v>
      </c>
      <c r="K410" s="3" t="s">
        <v>2976</v>
      </c>
      <c r="L410" s="3" t="s">
        <v>866</v>
      </c>
      <c r="M410" s="3" t="s">
        <v>59</v>
      </c>
      <c r="N410" s="3" t="s">
        <v>60</v>
      </c>
      <c r="O410" s="3" t="s">
        <v>147</v>
      </c>
      <c r="P410" s="3" t="s">
        <v>875</v>
      </c>
      <c r="Q410" s="31">
        <v>42746</v>
      </c>
      <c r="R410" s="3" t="s">
        <v>62</v>
      </c>
      <c r="S410" s="3" t="s">
        <v>62</v>
      </c>
    </row>
    <row r="411" spans="1:19">
      <c r="A411" s="3" t="s">
        <v>868</v>
      </c>
      <c r="B411" s="31">
        <v>42747.737639085652</v>
      </c>
      <c r="C411" s="31">
        <v>42745.572916666664</v>
      </c>
      <c r="D411" s="3">
        <v>3035647784</v>
      </c>
      <c r="E411" s="3" t="s">
        <v>23</v>
      </c>
      <c r="F411" s="3" t="s">
        <v>135</v>
      </c>
      <c r="G411" s="3" t="s">
        <v>136</v>
      </c>
      <c r="H411" s="3" t="s">
        <v>135</v>
      </c>
      <c r="I411" s="3" t="s">
        <v>136</v>
      </c>
      <c r="J411" s="3" t="s">
        <v>69</v>
      </c>
      <c r="K411" s="3" t="s">
        <v>2976</v>
      </c>
      <c r="L411" s="3" t="s">
        <v>866</v>
      </c>
      <c r="M411" s="3" t="s">
        <v>59</v>
      </c>
      <c r="N411" s="3" t="s">
        <v>60</v>
      </c>
      <c r="O411" s="3" t="s">
        <v>147</v>
      </c>
      <c r="P411" s="3" t="s">
        <v>875</v>
      </c>
      <c r="Q411" s="31">
        <v>42746</v>
      </c>
      <c r="R411" s="3" t="s">
        <v>62</v>
      </c>
      <c r="S411" s="3" t="s">
        <v>62</v>
      </c>
    </row>
    <row r="412" spans="1:19">
      <c r="A412" s="3" t="s">
        <v>868</v>
      </c>
      <c r="B412" s="31">
        <v>42747.737639085652</v>
      </c>
      <c r="C412" s="31">
        <v>42745.592361111114</v>
      </c>
      <c r="D412" s="3">
        <v>3035648910</v>
      </c>
      <c r="E412" s="3" t="s">
        <v>9</v>
      </c>
      <c r="F412" s="3" t="s">
        <v>80</v>
      </c>
      <c r="G412" s="3" t="s">
        <v>81</v>
      </c>
      <c r="H412" s="3" t="s">
        <v>80</v>
      </c>
      <c r="I412" s="3" t="s">
        <v>81</v>
      </c>
      <c r="J412" s="3" t="s">
        <v>69</v>
      </c>
      <c r="K412" s="3" t="s">
        <v>2976</v>
      </c>
      <c r="L412" s="3" t="s">
        <v>866</v>
      </c>
      <c r="M412" s="3" t="s">
        <v>59</v>
      </c>
      <c r="N412" s="3" t="s">
        <v>60</v>
      </c>
      <c r="O412" s="3" t="s">
        <v>147</v>
      </c>
      <c r="P412" s="3" t="s">
        <v>875</v>
      </c>
      <c r="Q412" s="31">
        <v>42746</v>
      </c>
      <c r="R412" s="3" t="s">
        <v>62</v>
      </c>
      <c r="S412" s="3" t="s">
        <v>62</v>
      </c>
    </row>
    <row r="413" spans="1:19">
      <c r="A413" s="3" t="s">
        <v>868</v>
      </c>
      <c r="B413" s="31">
        <v>42747.737639085652</v>
      </c>
      <c r="C413" s="31">
        <v>42745.615972222222</v>
      </c>
      <c r="D413" s="3">
        <v>3035650172</v>
      </c>
      <c r="E413" s="3" t="s">
        <v>9</v>
      </c>
      <c r="F413" s="3" t="s">
        <v>87</v>
      </c>
      <c r="G413" s="3" t="s">
        <v>88</v>
      </c>
      <c r="H413" s="3" t="s">
        <v>87</v>
      </c>
      <c r="I413" s="3" t="s">
        <v>88</v>
      </c>
      <c r="J413" s="3" t="s">
        <v>69</v>
      </c>
      <c r="K413" s="3" t="s">
        <v>2976</v>
      </c>
      <c r="L413" s="3" t="s">
        <v>866</v>
      </c>
      <c r="M413" s="3" t="s">
        <v>59</v>
      </c>
      <c r="N413" s="3" t="s">
        <v>60</v>
      </c>
      <c r="O413" s="3" t="s">
        <v>147</v>
      </c>
      <c r="P413" s="3" t="s">
        <v>875</v>
      </c>
      <c r="Q413" s="31">
        <v>42746</v>
      </c>
      <c r="R413" s="3" t="s">
        <v>62</v>
      </c>
      <c r="S413" s="3" t="s">
        <v>62</v>
      </c>
    </row>
    <row r="414" spans="1:19">
      <c r="A414" s="3" t="s">
        <v>868</v>
      </c>
      <c r="B414" s="31">
        <v>42747.737639085652</v>
      </c>
      <c r="C414" s="31">
        <v>42745.622916666667</v>
      </c>
      <c r="D414" s="3">
        <v>3035650167</v>
      </c>
      <c r="E414" s="3" t="s">
        <v>31</v>
      </c>
      <c r="F414" s="3" t="s">
        <v>156</v>
      </c>
      <c r="G414" s="3" t="s">
        <v>157</v>
      </c>
      <c r="H414" s="3" t="s">
        <v>156</v>
      </c>
      <c r="I414" s="3" t="s">
        <v>157</v>
      </c>
      <c r="J414" s="3" t="s">
        <v>69</v>
      </c>
      <c r="K414" s="3" t="s">
        <v>2977</v>
      </c>
      <c r="L414" s="3" t="s">
        <v>866</v>
      </c>
      <c r="M414" s="3" t="s">
        <v>70</v>
      </c>
      <c r="N414" s="3" t="s">
        <v>71</v>
      </c>
      <c r="O414" s="3" t="s">
        <v>3046</v>
      </c>
      <c r="P414" s="3" t="s">
        <v>875</v>
      </c>
      <c r="Q414" s="31">
        <v>42746</v>
      </c>
      <c r="R414" s="3" t="s">
        <v>62</v>
      </c>
      <c r="S414" s="3" t="s">
        <v>92</v>
      </c>
    </row>
    <row r="415" spans="1:19">
      <c r="A415" s="3" t="s">
        <v>868</v>
      </c>
      <c r="B415" s="31">
        <v>42747.737639085652</v>
      </c>
      <c r="C415" s="31">
        <v>42745.626388888886</v>
      </c>
      <c r="D415" s="3">
        <v>3035605264</v>
      </c>
      <c r="E415" s="3" t="s">
        <v>39</v>
      </c>
      <c r="F415" s="3" t="s">
        <v>236</v>
      </c>
      <c r="G415" s="3" t="s">
        <v>237</v>
      </c>
      <c r="H415" s="3" t="s">
        <v>238</v>
      </c>
      <c r="I415" s="3" t="s">
        <v>239</v>
      </c>
      <c r="J415" s="3" t="s">
        <v>69</v>
      </c>
      <c r="K415" s="3" t="s">
        <v>2977</v>
      </c>
      <c r="L415" s="3" t="s">
        <v>866</v>
      </c>
      <c r="M415" s="3" t="s">
        <v>70</v>
      </c>
      <c r="N415" s="3" t="s">
        <v>71</v>
      </c>
      <c r="O415" s="3" t="s">
        <v>894</v>
      </c>
      <c r="P415" s="3" t="s">
        <v>875</v>
      </c>
      <c r="Q415" s="31">
        <v>42746</v>
      </c>
      <c r="R415" s="3" t="s">
        <v>62</v>
      </c>
      <c r="S415" s="3" t="s">
        <v>529</v>
      </c>
    </row>
    <row r="416" spans="1:19">
      <c r="A416" s="3" t="s">
        <v>868</v>
      </c>
      <c r="B416" s="31">
        <v>42747.737639085652</v>
      </c>
      <c r="C416" s="31">
        <v>42745.630555555559</v>
      </c>
      <c r="D416" s="3">
        <v>3035650530</v>
      </c>
      <c r="E416" s="3" t="s">
        <v>23</v>
      </c>
      <c r="F416" s="3" t="s">
        <v>149</v>
      </c>
      <c r="G416" s="3" t="s">
        <v>150</v>
      </c>
      <c r="H416" s="3" t="s">
        <v>149</v>
      </c>
      <c r="I416" s="3" t="s">
        <v>150</v>
      </c>
      <c r="J416" s="3" t="s">
        <v>69</v>
      </c>
      <c r="K416" s="3" t="s">
        <v>2976</v>
      </c>
      <c r="L416" s="3" t="s">
        <v>866</v>
      </c>
      <c r="M416" s="3" t="s">
        <v>59</v>
      </c>
      <c r="N416" s="3" t="s">
        <v>60</v>
      </c>
      <c r="O416" s="3" t="s">
        <v>147</v>
      </c>
      <c r="P416" s="3" t="s">
        <v>875</v>
      </c>
      <c r="Q416" s="31">
        <v>42746</v>
      </c>
      <c r="R416" s="3" t="s">
        <v>62</v>
      </c>
      <c r="S416" s="3" t="s">
        <v>62</v>
      </c>
    </row>
    <row r="417" spans="1:19">
      <c r="A417" s="3" t="s">
        <v>868</v>
      </c>
      <c r="B417" s="31">
        <v>42747.737639085652</v>
      </c>
      <c r="C417" s="31">
        <v>42745.635416666664</v>
      </c>
      <c r="D417" s="3">
        <v>3035611596</v>
      </c>
      <c r="E417" s="3" t="s">
        <v>9</v>
      </c>
      <c r="F417" s="3" t="s">
        <v>73</v>
      </c>
      <c r="G417" s="3" t="s">
        <v>74</v>
      </c>
      <c r="H417" s="3" t="s">
        <v>82</v>
      </c>
      <c r="I417" s="3" t="s">
        <v>83</v>
      </c>
      <c r="J417" s="3" t="s">
        <v>69</v>
      </c>
      <c r="K417" s="3" t="s">
        <v>2976</v>
      </c>
      <c r="L417" s="3" t="s">
        <v>866</v>
      </c>
      <c r="M417" s="3" t="s">
        <v>59</v>
      </c>
      <c r="N417" s="3" t="s">
        <v>60</v>
      </c>
      <c r="O417" s="3" t="s">
        <v>3073</v>
      </c>
      <c r="P417" s="3" t="s">
        <v>875</v>
      </c>
      <c r="Q417" s="31">
        <v>42746</v>
      </c>
      <c r="R417" s="3" t="s">
        <v>62</v>
      </c>
      <c r="S417" s="3" t="s">
        <v>62</v>
      </c>
    </row>
    <row r="418" spans="1:19">
      <c r="A418" s="3" t="s">
        <v>873</v>
      </c>
      <c r="B418" s="31">
        <v>42747.737639085652</v>
      </c>
      <c r="C418" s="31">
        <v>42745.636111111111</v>
      </c>
      <c r="D418" s="3">
        <v>3035651106</v>
      </c>
      <c r="E418" s="3" t="s">
        <v>23</v>
      </c>
      <c r="F418" s="3" t="s">
        <v>119</v>
      </c>
      <c r="G418" s="3" t="s">
        <v>120</v>
      </c>
      <c r="H418" s="3" t="s">
        <v>119</v>
      </c>
      <c r="I418" s="3" t="s">
        <v>120</v>
      </c>
      <c r="J418" s="3" t="s">
        <v>99</v>
      </c>
      <c r="K418" s="3" t="s">
        <v>2976</v>
      </c>
      <c r="L418" s="3" t="s">
        <v>866</v>
      </c>
      <c r="M418" s="3" t="s">
        <v>70</v>
      </c>
      <c r="N418" s="3" t="s">
        <v>75</v>
      </c>
      <c r="O418" s="3" t="s">
        <v>3074</v>
      </c>
      <c r="P418" s="3" t="s">
        <v>875</v>
      </c>
      <c r="Q418" s="31">
        <v>42746</v>
      </c>
      <c r="R418" s="3" t="s">
        <v>62</v>
      </c>
      <c r="S418" s="3" t="s">
        <v>62</v>
      </c>
    </row>
    <row r="419" spans="1:19">
      <c r="A419" s="3" t="s">
        <v>865</v>
      </c>
      <c r="B419" s="31">
        <v>42747.737639085652</v>
      </c>
      <c r="C419" s="31">
        <v>42745.661805555559</v>
      </c>
      <c r="D419" s="3">
        <v>3035652658</v>
      </c>
      <c r="E419" s="3" t="s">
        <v>31</v>
      </c>
      <c r="F419" s="3" t="s">
        <v>852</v>
      </c>
      <c r="G419" s="3" t="s">
        <v>197</v>
      </c>
      <c r="H419" s="3" t="s">
        <v>852</v>
      </c>
      <c r="I419" s="3" t="s">
        <v>197</v>
      </c>
      <c r="J419" s="3" t="s">
        <v>69</v>
      </c>
      <c r="K419" s="3" t="s">
        <v>2976</v>
      </c>
      <c r="L419" s="3" t="s">
        <v>866</v>
      </c>
      <c r="M419" s="3" t="s">
        <v>59</v>
      </c>
      <c r="N419" s="3" t="s">
        <v>60</v>
      </c>
      <c r="O419" s="3" t="s">
        <v>147</v>
      </c>
      <c r="P419" s="3" t="s">
        <v>875</v>
      </c>
      <c r="Q419" s="31">
        <v>42746</v>
      </c>
      <c r="R419" s="3" t="s">
        <v>62</v>
      </c>
      <c r="S419" s="3" t="s">
        <v>62</v>
      </c>
    </row>
    <row r="420" spans="1:19">
      <c r="A420" s="3" t="s">
        <v>865</v>
      </c>
      <c r="B420" s="31">
        <v>42747.737639085652</v>
      </c>
      <c r="C420" s="31">
        <v>42745.662499999999</v>
      </c>
      <c r="D420" s="3">
        <v>3035651516</v>
      </c>
      <c r="E420" s="3" t="s">
        <v>39</v>
      </c>
      <c r="F420" s="3" t="s">
        <v>231</v>
      </c>
      <c r="G420" s="3" t="s">
        <v>232</v>
      </c>
      <c r="H420" s="3" t="s">
        <v>231</v>
      </c>
      <c r="I420" s="3" t="s">
        <v>232</v>
      </c>
      <c r="J420" s="3" t="s">
        <v>69</v>
      </c>
      <c r="K420" s="3" t="s">
        <v>2977</v>
      </c>
      <c r="L420" s="3" t="s">
        <v>866</v>
      </c>
      <c r="M420" s="3" t="s">
        <v>59</v>
      </c>
      <c r="N420" s="3" t="s">
        <v>60</v>
      </c>
      <c r="O420" s="3" t="s">
        <v>3075</v>
      </c>
      <c r="P420" s="3" t="s">
        <v>875</v>
      </c>
      <c r="Q420" s="31">
        <v>42746</v>
      </c>
      <c r="R420" s="3" t="s">
        <v>62</v>
      </c>
      <c r="S420" s="3" t="s">
        <v>92</v>
      </c>
    </row>
    <row r="421" spans="1:19">
      <c r="A421" s="3" t="s">
        <v>877</v>
      </c>
      <c r="B421" s="31">
        <v>42747.737639085652</v>
      </c>
      <c r="C421" s="31">
        <v>42745.663194444445</v>
      </c>
      <c r="D421" s="3">
        <v>3035615156</v>
      </c>
      <c r="E421" s="3" t="s">
        <v>23</v>
      </c>
      <c r="F421" s="3" t="s">
        <v>183</v>
      </c>
      <c r="G421" s="3" t="s">
        <v>184</v>
      </c>
      <c r="H421" s="3" t="s">
        <v>139</v>
      </c>
      <c r="I421" s="3" t="s">
        <v>140</v>
      </c>
      <c r="J421" s="3" t="s">
        <v>69</v>
      </c>
      <c r="K421" s="3" t="s">
        <v>2977</v>
      </c>
      <c r="L421" s="3" t="s">
        <v>866</v>
      </c>
      <c r="M421" s="3" t="s">
        <v>59</v>
      </c>
      <c r="N421" s="3" t="s">
        <v>60</v>
      </c>
      <c r="O421" s="3" t="s">
        <v>147</v>
      </c>
      <c r="P421" s="3" t="s">
        <v>875</v>
      </c>
      <c r="Q421" s="31">
        <v>42746</v>
      </c>
      <c r="R421" s="3" t="s">
        <v>62</v>
      </c>
      <c r="S421" s="3" t="s">
        <v>529</v>
      </c>
    </row>
    <row r="422" spans="1:19">
      <c r="A422" s="3" t="s">
        <v>865</v>
      </c>
      <c r="B422" s="31">
        <v>42747.737639085652</v>
      </c>
      <c r="C422" s="31">
        <v>42745.671527777777</v>
      </c>
      <c r="D422" s="3">
        <v>3035653105</v>
      </c>
      <c r="E422" s="3" t="s">
        <v>9</v>
      </c>
      <c r="F422" s="3" t="s">
        <v>133</v>
      </c>
      <c r="G422" s="3" t="s">
        <v>134</v>
      </c>
      <c r="H422" s="3" t="s">
        <v>133</v>
      </c>
      <c r="I422" s="3" t="s">
        <v>134</v>
      </c>
      <c r="J422" s="3" t="s">
        <v>98</v>
      </c>
      <c r="K422" s="3" t="s">
        <v>2976</v>
      </c>
      <c r="L422" s="3" t="s">
        <v>866</v>
      </c>
      <c r="M422" s="3" t="s">
        <v>59</v>
      </c>
      <c r="N422" s="3" t="s">
        <v>60</v>
      </c>
      <c r="O422" s="3" t="s">
        <v>147</v>
      </c>
      <c r="P422" s="3" t="s">
        <v>875</v>
      </c>
      <c r="Q422" s="31">
        <v>42746</v>
      </c>
      <c r="R422" s="3" t="s">
        <v>62</v>
      </c>
      <c r="S422" s="3" t="s">
        <v>62</v>
      </c>
    </row>
    <row r="423" spans="1:19">
      <c r="A423" s="3" t="s">
        <v>868</v>
      </c>
      <c r="B423" s="31">
        <v>42747.737639085652</v>
      </c>
      <c r="C423" s="31">
        <v>42745.677777777775</v>
      </c>
      <c r="D423" s="3">
        <v>3035571430</v>
      </c>
      <c r="E423" s="3" t="s">
        <v>2978</v>
      </c>
      <c r="F423" s="3" t="s">
        <v>256</v>
      </c>
      <c r="G423" s="3" t="s">
        <v>879</v>
      </c>
      <c r="H423" s="3" t="s">
        <v>142</v>
      </c>
      <c r="I423" s="3" t="s">
        <v>143</v>
      </c>
      <c r="J423" s="3" t="s">
        <v>69</v>
      </c>
      <c r="K423" s="3" t="s">
        <v>2977</v>
      </c>
      <c r="L423" s="3" t="s">
        <v>866</v>
      </c>
      <c r="M423" s="3" t="s">
        <v>59</v>
      </c>
      <c r="N423" s="3" t="s">
        <v>60</v>
      </c>
      <c r="O423" s="3" t="s">
        <v>147</v>
      </c>
      <c r="P423" s="3" t="s">
        <v>875</v>
      </c>
      <c r="Q423" s="31">
        <v>42746</v>
      </c>
      <c r="R423" s="3" t="s">
        <v>62</v>
      </c>
      <c r="S423" s="3" t="s">
        <v>1355</v>
      </c>
    </row>
    <row r="424" spans="1:19">
      <c r="A424" s="3" t="s">
        <v>873</v>
      </c>
      <c r="B424" s="31">
        <v>42747.737639085652</v>
      </c>
      <c r="C424" s="31">
        <v>42745.68472222222</v>
      </c>
      <c r="D424" s="3">
        <v>3035653643</v>
      </c>
      <c r="E424" s="3" t="s">
        <v>39</v>
      </c>
      <c r="F424" s="3" t="s">
        <v>246</v>
      </c>
      <c r="G424" s="3" t="s">
        <v>247</v>
      </c>
      <c r="H424" s="3" t="s">
        <v>246</v>
      </c>
      <c r="I424" s="3" t="s">
        <v>247</v>
      </c>
      <c r="J424" s="3" t="s">
        <v>69</v>
      </c>
      <c r="K424" s="3" t="s">
        <v>2977</v>
      </c>
      <c r="L424" s="3" t="s">
        <v>866</v>
      </c>
      <c r="M424" s="3" t="s">
        <v>59</v>
      </c>
      <c r="N424" s="3" t="s">
        <v>60</v>
      </c>
      <c r="O424" s="3" t="s">
        <v>147</v>
      </c>
      <c r="P424" s="3" t="s">
        <v>875</v>
      </c>
      <c r="Q424" s="31">
        <v>42746</v>
      </c>
      <c r="R424" s="3" t="s">
        <v>62</v>
      </c>
      <c r="S424" s="3" t="s">
        <v>92</v>
      </c>
    </row>
    <row r="425" spans="1:19">
      <c r="A425" s="3" t="s">
        <v>868</v>
      </c>
      <c r="B425" s="31">
        <v>42747.737639085652</v>
      </c>
      <c r="C425" s="31">
        <v>42745.690972222219</v>
      </c>
      <c r="D425" s="3">
        <v>3035654191</v>
      </c>
      <c r="E425" s="3" t="s">
        <v>39</v>
      </c>
      <c r="F425" s="3" t="s">
        <v>246</v>
      </c>
      <c r="G425" s="3" t="s">
        <v>247</v>
      </c>
      <c r="H425" s="3" t="s">
        <v>246</v>
      </c>
      <c r="I425" s="3" t="s">
        <v>247</v>
      </c>
      <c r="J425" s="3" t="s">
        <v>69</v>
      </c>
      <c r="K425" s="3" t="s">
        <v>2977</v>
      </c>
      <c r="L425" s="3" t="s">
        <v>866</v>
      </c>
      <c r="M425" s="3" t="s">
        <v>59</v>
      </c>
      <c r="N425" s="3" t="s">
        <v>60</v>
      </c>
      <c r="O425" s="3" t="s">
        <v>3076</v>
      </c>
      <c r="P425" s="3" t="s">
        <v>875</v>
      </c>
      <c r="Q425" s="31">
        <v>42746</v>
      </c>
      <c r="R425" s="3" t="s">
        <v>62</v>
      </c>
      <c r="S425" s="3" t="s">
        <v>92</v>
      </c>
    </row>
    <row r="426" spans="1:19">
      <c r="A426" s="3" t="s">
        <v>868</v>
      </c>
      <c r="B426" s="31">
        <v>42747.737639085652</v>
      </c>
      <c r="C426" s="31">
        <v>42745.716666666667</v>
      </c>
      <c r="D426" s="3">
        <v>3035655460</v>
      </c>
      <c r="E426" s="3" t="e">
        <v>#N/A</v>
      </c>
      <c r="F426" s="3" t="s">
        <v>889</v>
      </c>
      <c r="G426" s="3" t="e">
        <v>#N/A</v>
      </c>
      <c r="H426" s="3" t="s">
        <v>889</v>
      </c>
      <c r="I426" s="3" t="e">
        <v>#N/A</v>
      </c>
      <c r="J426" s="3" t="s">
        <v>98</v>
      </c>
      <c r="K426" s="3" t="s">
        <v>2977</v>
      </c>
      <c r="L426" s="3" t="s">
        <v>866</v>
      </c>
      <c r="M426" s="3" t="s">
        <v>59</v>
      </c>
      <c r="N426" s="3" t="s">
        <v>60</v>
      </c>
      <c r="O426" s="3" t="s">
        <v>147</v>
      </c>
      <c r="P426" s="3" t="s">
        <v>875</v>
      </c>
      <c r="Q426" s="31">
        <v>42746</v>
      </c>
      <c r="R426" s="3" t="s">
        <v>62</v>
      </c>
      <c r="S426" s="3" t="s">
        <v>2143</v>
      </c>
    </row>
    <row r="427" spans="1:19">
      <c r="A427" s="3" t="s">
        <v>868</v>
      </c>
      <c r="B427" s="31">
        <v>42747.737639085652</v>
      </c>
      <c r="C427" s="31">
        <v>42745.73541666667</v>
      </c>
      <c r="D427" s="3">
        <v>3035656451</v>
      </c>
      <c r="E427" s="3" t="s">
        <v>23</v>
      </c>
      <c r="F427" s="3" t="s">
        <v>154</v>
      </c>
      <c r="G427" s="3" t="s">
        <v>155</v>
      </c>
      <c r="H427" s="3" t="s">
        <v>154</v>
      </c>
      <c r="I427" s="3" t="s">
        <v>155</v>
      </c>
      <c r="J427" s="3" t="s">
        <v>69</v>
      </c>
      <c r="K427" s="3" t="s">
        <v>2976</v>
      </c>
      <c r="L427" s="3" t="s">
        <v>866</v>
      </c>
      <c r="M427" s="3" t="s">
        <v>59</v>
      </c>
      <c r="N427" s="3" t="s">
        <v>60</v>
      </c>
      <c r="O427" s="3" t="s">
        <v>147</v>
      </c>
      <c r="P427" s="3" t="s">
        <v>875</v>
      </c>
      <c r="Q427" s="31">
        <v>42746</v>
      </c>
      <c r="R427" s="3" t="s">
        <v>62</v>
      </c>
      <c r="S427" s="3" t="s">
        <v>62</v>
      </c>
    </row>
    <row r="428" spans="1:19">
      <c r="A428" s="3" t="s">
        <v>868</v>
      </c>
      <c r="B428" s="31">
        <v>42747.737639085652</v>
      </c>
      <c r="C428" s="31">
        <v>42745.74722222222</v>
      </c>
      <c r="D428" s="3">
        <v>3035656263</v>
      </c>
      <c r="E428" s="3" t="s">
        <v>273</v>
      </c>
      <c r="F428" s="3" t="s">
        <v>854</v>
      </c>
      <c r="G428" s="3" t="s">
        <v>846</v>
      </c>
      <c r="H428" s="3" t="s">
        <v>854</v>
      </c>
      <c r="I428" s="3" t="s">
        <v>846</v>
      </c>
      <c r="J428" s="3" t="s">
        <v>144</v>
      </c>
      <c r="K428" s="3" t="s">
        <v>2977</v>
      </c>
      <c r="L428" s="3" t="s">
        <v>866</v>
      </c>
      <c r="M428" s="3" t="s">
        <v>59</v>
      </c>
      <c r="N428" s="3" t="s">
        <v>60</v>
      </c>
      <c r="O428" s="3" t="s">
        <v>147</v>
      </c>
      <c r="P428" s="3" t="s">
        <v>875</v>
      </c>
      <c r="Q428" s="31">
        <v>42746</v>
      </c>
      <c r="R428" s="3" t="s">
        <v>62</v>
      </c>
      <c r="S428" s="3" t="s">
        <v>2985</v>
      </c>
    </row>
    <row r="429" spans="1:19">
      <c r="A429" s="3" t="s">
        <v>868</v>
      </c>
      <c r="B429" s="31">
        <v>42747.737639085652</v>
      </c>
      <c r="C429" s="31">
        <v>42745.756944444445</v>
      </c>
      <c r="D429" s="3">
        <v>3035657632</v>
      </c>
      <c r="E429" s="3" t="s">
        <v>23</v>
      </c>
      <c r="F429" s="3" t="s">
        <v>129</v>
      </c>
      <c r="G429" s="3" t="s">
        <v>130</v>
      </c>
      <c r="H429" s="3" t="s">
        <v>129</v>
      </c>
      <c r="I429" s="3" t="s">
        <v>130</v>
      </c>
      <c r="J429" s="3" t="s">
        <v>69</v>
      </c>
      <c r="K429" s="3" t="s">
        <v>2976</v>
      </c>
      <c r="L429" s="3" t="s">
        <v>866</v>
      </c>
      <c r="M429" s="3" t="s">
        <v>59</v>
      </c>
      <c r="N429" s="3" t="s">
        <v>60</v>
      </c>
      <c r="O429" s="3" t="s">
        <v>147</v>
      </c>
      <c r="P429" s="3" t="s">
        <v>875</v>
      </c>
      <c r="Q429" s="31">
        <v>42746</v>
      </c>
      <c r="R429" s="3" t="s">
        <v>62</v>
      </c>
      <c r="S429" s="3" t="s">
        <v>62</v>
      </c>
    </row>
    <row r="430" spans="1:19">
      <c r="A430" s="3" t="s">
        <v>868</v>
      </c>
      <c r="B430" s="31">
        <v>42747.737639085652</v>
      </c>
      <c r="C430" s="31">
        <v>42745.822222222225</v>
      </c>
      <c r="D430" s="3">
        <v>3035660117</v>
      </c>
      <c r="E430" s="3" t="s">
        <v>39</v>
      </c>
      <c r="F430" s="3" t="s">
        <v>225</v>
      </c>
      <c r="G430" s="3" t="s">
        <v>226</v>
      </c>
      <c r="H430" s="3" t="s">
        <v>225</v>
      </c>
      <c r="I430" s="3" t="s">
        <v>226</v>
      </c>
      <c r="J430" s="3" t="s">
        <v>99</v>
      </c>
      <c r="K430" s="3" t="s">
        <v>2977</v>
      </c>
      <c r="L430" s="3" t="s">
        <v>866</v>
      </c>
      <c r="M430" s="3" t="s">
        <v>59</v>
      </c>
      <c r="N430" s="3" t="s">
        <v>60</v>
      </c>
      <c r="O430" s="3" t="s">
        <v>147</v>
      </c>
      <c r="P430" s="3" t="s">
        <v>875</v>
      </c>
      <c r="Q430" s="31">
        <v>42746</v>
      </c>
      <c r="R430" s="3" t="s">
        <v>62</v>
      </c>
      <c r="S430" s="3" t="s">
        <v>92</v>
      </c>
    </row>
    <row r="431" spans="1:19">
      <c r="A431" s="3" t="s">
        <v>868</v>
      </c>
      <c r="B431" s="31">
        <v>42747.737639085652</v>
      </c>
      <c r="C431" s="31">
        <v>42745.912499999999</v>
      </c>
      <c r="D431" s="3">
        <v>3035508579</v>
      </c>
      <c r="E431" s="3" t="s">
        <v>273</v>
      </c>
      <c r="F431" s="3" t="s">
        <v>153</v>
      </c>
      <c r="G431" s="3" t="s">
        <v>892</v>
      </c>
      <c r="H431" s="3" t="s">
        <v>236</v>
      </c>
      <c r="I431" s="3" t="s">
        <v>237</v>
      </c>
      <c r="J431" s="3" t="s">
        <v>69</v>
      </c>
      <c r="K431" s="3" t="s">
        <v>2977</v>
      </c>
      <c r="L431" s="3" t="s">
        <v>866</v>
      </c>
      <c r="M431" s="3" t="s">
        <v>59</v>
      </c>
      <c r="N431" s="3" t="s">
        <v>60</v>
      </c>
      <c r="O431" s="3" t="s">
        <v>147</v>
      </c>
      <c r="P431" s="3" t="s">
        <v>875</v>
      </c>
      <c r="Q431" s="31">
        <v>42746</v>
      </c>
      <c r="R431" s="3" t="s">
        <v>62</v>
      </c>
      <c r="S431" s="3" t="s">
        <v>92</v>
      </c>
    </row>
    <row r="432" spans="1:19">
      <c r="A432" s="3" t="s">
        <v>865</v>
      </c>
      <c r="B432" s="31">
        <v>42747.737639085652</v>
      </c>
      <c r="C432" s="31">
        <v>42745.912499999999</v>
      </c>
      <c r="D432" s="3">
        <v>3035664613</v>
      </c>
      <c r="E432" s="3" t="s">
        <v>23</v>
      </c>
      <c r="F432" s="3" t="s">
        <v>129</v>
      </c>
      <c r="G432" s="3" t="s">
        <v>130</v>
      </c>
      <c r="H432" s="3" t="s">
        <v>129</v>
      </c>
      <c r="I432" s="3" t="s">
        <v>130</v>
      </c>
      <c r="J432" s="3" t="s">
        <v>58</v>
      </c>
      <c r="K432" s="3" t="s">
        <v>2976</v>
      </c>
      <c r="L432" s="3" t="s">
        <v>866</v>
      </c>
      <c r="M432" s="3" t="s">
        <v>70</v>
      </c>
      <c r="N432" s="3" t="s">
        <v>71</v>
      </c>
      <c r="O432" s="3" t="s">
        <v>3046</v>
      </c>
      <c r="P432" s="3" t="s">
        <v>875</v>
      </c>
      <c r="Q432" s="31">
        <v>42746</v>
      </c>
      <c r="R432" s="3" t="s">
        <v>62</v>
      </c>
      <c r="S432" s="3" t="s">
        <v>62</v>
      </c>
    </row>
    <row r="433" spans="1:19">
      <c r="A433" s="3" t="s">
        <v>896</v>
      </c>
      <c r="B433" s="31">
        <v>42748.738471724537</v>
      </c>
      <c r="C433" s="31">
        <v>42746.38958333333</v>
      </c>
      <c r="D433" s="3">
        <v>3035677220</v>
      </c>
      <c r="E433" s="3" t="s">
        <v>9</v>
      </c>
      <c r="F433" s="3" t="s">
        <v>107</v>
      </c>
      <c r="G433" s="3" t="s">
        <v>108</v>
      </c>
      <c r="H433" s="3" t="s">
        <v>107</v>
      </c>
      <c r="I433" s="3" t="s">
        <v>108</v>
      </c>
      <c r="J433" s="3" t="s">
        <v>97</v>
      </c>
      <c r="K433" s="3" t="s">
        <v>2976</v>
      </c>
      <c r="L433" s="3" t="s">
        <v>871</v>
      </c>
      <c r="M433" s="3" t="s">
        <v>84</v>
      </c>
      <c r="N433" s="3" t="s">
        <v>85</v>
      </c>
      <c r="O433" s="3" t="s">
        <v>3077</v>
      </c>
      <c r="P433" s="3" t="s">
        <v>872</v>
      </c>
      <c r="Q433" s="31">
        <v>42747</v>
      </c>
      <c r="R433" s="3" t="s">
        <v>62</v>
      </c>
      <c r="S433" s="3" t="s">
        <v>62</v>
      </c>
    </row>
    <row r="434" spans="1:19">
      <c r="A434" s="3" t="s">
        <v>877</v>
      </c>
      <c r="B434" s="31">
        <v>42748.738471724537</v>
      </c>
      <c r="C434" s="31">
        <v>42746.417361111111</v>
      </c>
      <c r="D434" s="3">
        <v>3035677967</v>
      </c>
      <c r="E434" s="3" t="s">
        <v>9</v>
      </c>
      <c r="F434" s="3" t="s">
        <v>101</v>
      </c>
      <c r="G434" s="3" t="s">
        <v>102</v>
      </c>
      <c r="H434" s="3" t="s">
        <v>101</v>
      </c>
      <c r="I434" s="3" t="s">
        <v>102</v>
      </c>
      <c r="J434" s="3" t="s">
        <v>69</v>
      </c>
      <c r="K434" s="3" t="s">
        <v>2976</v>
      </c>
      <c r="L434" s="3" t="s">
        <v>871</v>
      </c>
      <c r="M434" s="3" t="s">
        <v>84</v>
      </c>
      <c r="N434" s="3" t="s">
        <v>85</v>
      </c>
      <c r="O434" s="3" t="s">
        <v>268</v>
      </c>
      <c r="P434" s="3" t="s">
        <v>875</v>
      </c>
      <c r="Q434" s="31">
        <v>42748</v>
      </c>
      <c r="R434" s="3" t="s">
        <v>62</v>
      </c>
      <c r="S434" s="3" t="s">
        <v>62</v>
      </c>
    </row>
    <row r="435" spans="1:19">
      <c r="A435" s="3" t="s">
        <v>865</v>
      </c>
      <c r="B435" s="31">
        <v>42748.738471724537</v>
      </c>
      <c r="C435" s="31">
        <v>42746.424305555556</v>
      </c>
      <c r="D435" s="3">
        <v>3035467513</v>
      </c>
      <c r="E435" s="3" t="s">
        <v>9</v>
      </c>
      <c r="F435" s="3" t="s">
        <v>101</v>
      </c>
      <c r="G435" s="3" t="s">
        <v>102</v>
      </c>
      <c r="H435" s="3" t="s">
        <v>82</v>
      </c>
      <c r="I435" s="3" t="s">
        <v>83</v>
      </c>
      <c r="J435" s="3" t="s">
        <v>79</v>
      </c>
      <c r="K435" s="3" t="s">
        <v>2976</v>
      </c>
      <c r="L435" s="3" t="s">
        <v>866</v>
      </c>
      <c r="M435" s="3" t="s">
        <v>70</v>
      </c>
      <c r="N435" s="3" t="s">
        <v>71</v>
      </c>
      <c r="O435" s="3" t="s">
        <v>3641</v>
      </c>
      <c r="P435" s="3" t="s">
        <v>872</v>
      </c>
      <c r="Q435" s="31">
        <v>42752</v>
      </c>
      <c r="R435" s="3" t="s">
        <v>62</v>
      </c>
      <c r="S435" s="3" t="s">
        <v>62</v>
      </c>
    </row>
    <row r="436" spans="1:19">
      <c r="A436" s="3" t="s">
        <v>868</v>
      </c>
      <c r="B436" s="31">
        <v>42748.738471724537</v>
      </c>
      <c r="C436" s="31">
        <v>42746.427777777775</v>
      </c>
      <c r="D436" s="3">
        <v>3035602891</v>
      </c>
      <c r="E436" s="3" t="s">
        <v>2978</v>
      </c>
      <c r="F436" s="3" t="s">
        <v>256</v>
      </c>
      <c r="G436" s="3" t="s">
        <v>879</v>
      </c>
      <c r="H436" s="3" t="s">
        <v>142</v>
      </c>
      <c r="I436" s="3" t="s">
        <v>143</v>
      </c>
      <c r="J436" s="3" t="s">
        <v>69</v>
      </c>
      <c r="K436" s="3" t="s">
        <v>2977</v>
      </c>
      <c r="L436" s="3" t="s">
        <v>866</v>
      </c>
      <c r="M436" s="3" t="s">
        <v>59</v>
      </c>
      <c r="N436" s="3" t="s">
        <v>60</v>
      </c>
      <c r="O436" s="3" t="s">
        <v>147</v>
      </c>
      <c r="P436" s="3" t="s">
        <v>872</v>
      </c>
      <c r="Q436" s="31">
        <v>42747</v>
      </c>
      <c r="R436" s="3" t="s">
        <v>62</v>
      </c>
      <c r="S436" s="3" t="s">
        <v>1355</v>
      </c>
    </row>
    <row r="437" spans="1:19">
      <c r="A437" s="3" t="s">
        <v>868</v>
      </c>
      <c r="B437" s="31">
        <v>42748.738471724537</v>
      </c>
      <c r="C437" s="31">
        <v>42746.433333333334</v>
      </c>
      <c r="D437" s="3">
        <v>3035678359</v>
      </c>
      <c r="E437" s="3" t="s">
        <v>9</v>
      </c>
      <c r="F437" s="3" t="s">
        <v>67</v>
      </c>
      <c r="G437" s="3" t="s">
        <v>68</v>
      </c>
      <c r="H437" s="3" t="s">
        <v>67</v>
      </c>
      <c r="I437" s="3" t="s">
        <v>68</v>
      </c>
      <c r="J437" s="3" t="s">
        <v>69</v>
      </c>
      <c r="K437" s="3" t="s">
        <v>2976</v>
      </c>
      <c r="L437" s="3" t="s">
        <v>866</v>
      </c>
      <c r="M437" s="3" t="s">
        <v>59</v>
      </c>
      <c r="N437" s="3" t="s">
        <v>60</v>
      </c>
      <c r="O437" s="3" t="s">
        <v>147</v>
      </c>
      <c r="P437" s="3" t="s">
        <v>872</v>
      </c>
      <c r="Q437" s="31">
        <v>42747</v>
      </c>
      <c r="R437" s="3" t="s">
        <v>62</v>
      </c>
      <c r="S437" s="3" t="s">
        <v>62</v>
      </c>
    </row>
    <row r="438" spans="1:19">
      <c r="A438" s="3" t="s">
        <v>877</v>
      </c>
      <c r="B438" s="31">
        <v>42748.738471724537</v>
      </c>
      <c r="C438" s="31">
        <v>42746.445138888892</v>
      </c>
      <c r="D438" s="3">
        <v>3035678579</v>
      </c>
      <c r="E438" s="3" t="s">
        <v>31</v>
      </c>
      <c r="F438" s="3" t="s">
        <v>202</v>
      </c>
      <c r="G438" s="3" t="s">
        <v>203</v>
      </c>
      <c r="H438" s="3" t="s">
        <v>202</v>
      </c>
      <c r="I438" s="3" t="s">
        <v>203</v>
      </c>
      <c r="J438" s="3" t="s">
        <v>69</v>
      </c>
      <c r="K438" s="3" t="s">
        <v>2976</v>
      </c>
      <c r="L438" s="3" t="s">
        <v>871</v>
      </c>
      <c r="M438" s="3" t="s">
        <v>84</v>
      </c>
      <c r="N438" s="3" t="s">
        <v>85</v>
      </c>
      <c r="O438" s="3" t="s">
        <v>3078</v>
      </c>
      <c r="P438" s="3" t="s">
        <v>875</v>
      </c>
      <c r="Q438" s="31">
        <v>42748</v>
      </c>
      <c r="R438" s="3" t="s">
        <v>62</v>
      </c>
      <c r="S438" s="3" t="s">
        <v>62</v>
      </c>
    </row>
    <row r="439" spans="1:19">
      <c r="A439" s="3" t="s">
        <v>865</v>
      </c>
      <c r="B439" s="31">
        <v>42748.738471724537</v>
      </c>
      <c r="C439" s="31">
        <v>42746.445138888892</v>
      </c>
      <c r="D439" s="3">
        <v>3035645000</v>
      </c>
      <c r="E439" s="3" t="s">
        <v>273</v>
      </c>
      <c r="F439" s="3" t="s">
        <v>261</v>
      </c>
      <c r="G439" s="3" t="s">
        <v>311</v>
      </c>
      <c r="H439" s="3" t="s">
        <v>115</v>
      </c>
      <c r="I439" s="3" t="s">
        <v>116</v>
      </c>
      <c r="J439" s="3" t="s">
        <v>144</v>
      </c>
      <c r="K439" s="3" t="s">
        <v>2977</v>
      </c>
      <c r="L439" s="3" t="s">
        <v>866</v>
      </c>
      <c r="M439" s="3" t="s">
        <v>70</v>
      </c>
      <c r="N439" s="3" t="s">
        <v>71</v>
      </c>
      <c r="O439" s="3" t="s">
        <v>3079</v>
      </c>
      <c r="P439" s="3" t="s">
        <v>872</v>
      </c>
      <c r="Q439" s="31">
        <v>42747</v>
      </c>
      <c r="R439" s="3" t="s">
        <v>62</v>
      </c>
      <c r="S439" s="3" t="s">
        <v>529</v>
      </c>
    </row>
    <row r="440" spans="1:19">
      <c r="A440" s="3" t="s">
        <v>865</v>
      </c>
      <c r="B440" s="31">
        <v>42748.738471724537</v>
      </c>
      <c r="C440" s="31">
        <v>42746.451388888891</v>
      </c>
      <c r="D440" s="3">
        <v>3035514674</v>
      </c>
      <c r="E440" s="3" t="s">
        <v>9</v>
      </c>
      <c r="F440" s="3" t="s">
        <v>111</v>
      </c>
      <c r="G440" s="3" t="s">
        <v>112</v>
      </c>
      <c r="H440" s="3" t="s">
        <v>82</v>
      </c>
      <c r="I440" s="3" t="s">
        <v>83</v>
      </c>
      <c r="J440" s="3" t="s">
        <v>99</v>
      </c>
      <c r="K440" s="3" t="s">
        <v>2976</v>
      </c>
      <c r="L440" s="3" t="s">
        <v>866</v>
      </c>
      <c r="M440" s="3" t="s">
        <v>70</v>
      </c>
      <c r="N440" s="3" t="s">
        <v>71</v>
      </c>
      <c r="O440" s="3" t="s">
        <v>3080</v>
      </c>
      <c r="P440" s="3" t="s">
        <v>872</v>
      </c>
      <c r="Q440" s="31">
        <v>42747</v>
      </c>
      <c r="R440" s="3" t="s">
        <v>62</v>
      </c>
      <c r="S440" s="3" t="s">
        <v>62</v>
      </c>
    </row>
    <row r="441" spans="1:19">
      <c r="A441" s="3" t="e">
        <v>#N/A</v>
      </c>
      <c r="B441" s="31" t="e">
        <v>#N/A</v>
      </c>
      <c r="C441" s="31">
        <v>42746.457638888889</v>
      </c>
      <c r="D441" s="3">
        <v>3035343115</v>
      </c>
      <c r="E441" s="3" t="s">
        <v>23</v>
      </c>
      <c r="F441" s="3" t="s">
        <v>191</v>
      </c>
      <c r="G441" s="3" t="s">
        <v>192</v>
      </c>
      <c r="H441" s="3" t="s">
        <v>103</v>
      </c>
      <c r="I441" s="3" t="s">
        <v>104</v>
      </c>
      <c r="J441" s="3" t="s">
        <v>58</v>
      </c>
      <c r="K441" s="3" t="s">
        <v>2977</v>
      </c>
      <c r="L441" s="3" t="s">
        <v>871</v>
      </c>
      <c r="M441" s="3" t="s">
        <v>84</v>
      </c>
      <c r="N441" s="3" t="s">
        <v>66</v>
      </c>
      <c r="O441" s="3" t="s">
        <v>268</v>
      </c>
      <c r="P441" s="3" t="s">
        <v>872</v>
      </c>
      <c r="Q441" s="31">
        <v>42747</v>
      </c>
      <c r="R441" s="3" t="s">
        <v>62</v>
      </c>
      <c r="S441" s="3" t="s">
        <v>65</v>
      </c>
    </row>
    <row r="442" spans="1:19">
      <c r="A442" s="3" t="s">
        <v>868</v>
      </c>
      <c r="B442" s="31">
        <v>42748.738471724537</v>
      </c>
      <c r="C442" s="31">
        <v>42746.460416666669</v>
      </c>
      <c r="D442" s="3">
        <v>3035678329</v>
      </c>
      <c r="E442" s="3" t="s">
        <v>273</v>
      </c>
      <c r="F442" s="3" t="s">
        <v>259</v>
      </c>
      <c r="G442" s="3" t="s">
        <v>260</v>
      </c>
      <c r="H442" s="3" t="s">
        <v>259</v>
      </c>
      <c r="I442" s="3" t="s">
        <v>260</v>
      </c>
      <c r="J442" s="3" t="s">
        <v>58</v>
      </c>
      <c r="K442" s="3" t="s">
        <v>2977</v>
      </c>
      <c r="L442" s="3" t="s">
        <v>866</v>
      </c>
      <c r="M442" s="3" t="s">
        <v>59</v>
      </c>
      <c r="N442" s="3" t="s">
        <v>60</v>
      </c>
      <c r="O442" s="3" t="s">
        <v>147</v>
      </c>
      <c r="P442" s="3" t="s">
        <v>875</v>
      </c>
      <c r="Q442" s="31">
        <v>42748</v>
      </c>
      <c r="R442" s="3" t="s">
        <v>62</v>
      </c>
      <c r="S442" s="3" t="s">
        <v>2985</v>
      </c>
    </row>
    <row r="443" spans="1:19">
      <c r="A443" s="3" t="s">
        <v>868</v>
      </c>
      <c r="B443" s="31">
        <v>42748.738471724537</v>
      </c>
      <c r="C443" s="31">
        <v>42746.462500000001</v>
      </c>
      <c r="D443" s="3">
        <v>3035679027</v>
      </c>
      <c r="E443" s="3" t="s">
        <v>23</v>
      </c>
      <c r="F443" s="3" t="s">
        <v>154</v>
      </c>
      <c r="G443" s="3" t="s">
        <v>155</v>
      </c>
      <c r="H443" s="3" t="s">
        <v>154</v>
      </c>
      <c r="I443" s="3" t="s">
        <v>155</v>
      </c>
      <c r="J443" s="3" t="s">
        <v>69</v>
      </c>
      <c r="K443" s="3" t="s">
        <v>2976</v>
      </c>
      <c r="L443" s="3" t="s">
        <v>871</v>
      </c>
      <c r="M443" s="3" t="s">
        <v>84</v>
      </c>
      <c r="N443" s="3" t="s">
        <v>85</v>
      </c>
      <c r="O443" s="3" t="s">
        <v>268</v>
      </c>
      <c r="P443" s="3" t="s">
        <v>875</v>
      </c>
      <c r="Q443" s="31">
        <v>42748</v>
      </c>
      <c r="R443" s="3" t="s">
        <v>62</v>
      </c>
      <c r="S443" s="3" t="s">
        <v>62</v>
      </c>
    </row>
    <row r="444" spans="1:19">
      <c r="A444" s="3" t="s">
        <v>868</v>
      </c>
      <c r="B444" s="31">
        <v>42748.738471724537</v>
      </c>
      <c r="C444" s="31">
        <v>42746.464583333334</v>
      </c>
      <c r="D444" s="3">
        <v>3035678648</v>
      </c>
      <c r="E444" s="3" t="s">
        <v>273</v>
      </c>
      <c r="F444" s="3" t="s">
        <v>909</v>
      </c>
      <c r="G444" s="3" t="s">
        <v>313</v>
      </c>
      <c r="H444" s="3" t="s">
        <v>909</v>
      </c>
      <c r="I444" s="3" t="s">
        <v>313</v>
      </c>
      <c r="J444" s="3" t="s">
        <v>69</v>
      </c>
      <c r="K444" s="3" t="s">
        <v>2977</v>
      </c>
      <c r="L444" s="3" t="s">
        <v>866</v>
      </c>
      <c r="M444" s="3" t="s">
        <v>70</v>
      </c>
      <c r="N444" s="3" t="s">
        <v>71</v>
      </c>
      <c r="O444" s="3" t="s">
        <v>3067</v>
      </c>
      <c r="P444" s="3" t="s">
        <v>872</v>
      </c>
      <c r="Q444" s="31">
        <v>42752</v>
      </c>
      <c r="R444" s="3" t="s">
        <v>62</v>
      </c>
      <c r="S444" s="3" t="s">
        <v>2985</v>
      </c>
    </row>
    <row r="445" spans="1:19">
      <c r="A445" s="3" t="s">
        <v>868</v>
      </c>
      <c r="B445" s="31">
        <v>42748.738471724537</v>
      </c>
      <c r="C445" s="31">
        <v>42746.472916666666</v>
      </c>
      <c r="D445" s="3">
        <v>3035679456</v>
      </c>
      <c r="E445" s="3" t="s">
        <v>9</v>
      </c>
      <c r="F445" s="3" t="s">
        <v>56</v>
      </c>
      <c r="G445" s="3" t="s">
        <v>57</v>
      </c>
      <c r="H445" s="3" t="s">
        <v>56</v>
      </c>
      <c r="I445" s="3" t="s">
        <v>57</v>
      </c>
      <c r="J445" s="3" t="s">
        <v>69</v>
      </c>
      <c r="K445" s="3" t="s">
        <v>2976</v>
      </c>
      <c r="L445" s="3" t="s">
        <v>866</v>
      </c>
      <c r="M445" s="3" t="s">
        <v>59</v>
      </c>
      <c r="N445" s="3" t="s">
        <v>60</v>
      </c>
      <c r="O445" s="3" t="s">
        <v>147</v>
      </c>
      <c r="P445" s="3" t="s">
        <v>872</v>
      </c>
      <c r="Q445" s="31">
        <v>42747</v>
      </c>
      <c r="R445" s="3" t="s">
        <v>62</v>
      </c>
      <c r="S445" s="3" t="s">
        <v>62</v>
      </c>
    </row>
    <row r="446" spans="1:19">
      <c r="A446" s="3" t="s">
        <v>868</v>
      </c>
      <c r="B446" s="31">
        <v>42748.738471724537</v>
      </c>
      <c r="C446" s="31">
        <v>42746.48333333333</v>
      </c>
      <c r="D446" s="3">
        <v>3035616947</v>
      </c>
      <c r="E446" s="3" t="s">
        <v>2978</v>
      </c>
      <c r="F446" s="3" t="s">
        <v>256</v>
      </c>
      <c r="G446" s="3" t="s">
        <v>879</v>
      </c>
      <c r="H446" s="3" t="s">
        <v>142</v>
      </c>
      <c r="I446" s="3" t="s">
        <v>143</v>
      </c>
      <c r="J446" s="3" t="s">
        <v>69</v>
      </c>
      <c r="K446" s="3" t="s">
        <v>2977</v>
      </c>
      <c r="L446" s="3" t="s">
        <v>866</v>
      </c>
      <c r="M446" s="3" t="s">
        <v>59</v>
      </c>
      <c r="N446" s="3" t="s">
        <v>60</v>
      </c>
      <c r="O446" s="3" t="s">
        <v>147</v>
      </c>
      <c r="P446" s="3" t="s">
        <v>872</v>
      </c>
      <c r="Q446" s="31">
        <v>42747</v>
      </c>
      <c r="R446" s="3" t="s">
        <v>62</v>
      </c>
      <c r="S446" s="3" t="s">
        <v>1355</v>
      </c>
    </row>
    <row r="447" spans="1:19">
      <c r="A447" s="3" t="s">
        <v>868</v>
      </c>
      <c r="B447" s="31">
        <v>42748.738471724537</v>
      </c>
      <c r="C447" s="31">
        <v>42746.487500000003</v>
      </c>
      <c r="D447" s="3">
        <v>3035679970</v>
      </c>
      <c r="E447" s="3" t="s">
        <v>31</v>
      </c>
      <c r="F447" s="3" t="s">
        <v>113</v>
      </c>
      <c r="G447" s="3" t="s">
        <v>114</v>
      </c>
      <c r="H447" s="3" t="s">
        <v>113</v>
      </c>
      <c r="I447" s="3" t="s">
        <v>114</v>
      </c>
      <c r="J447" s="3" t="s">
        <v>69</v>
      </c>
      <c r="K447" s="3" t="s">
        <v>2976</v>
      </c>
      <c r="L447" s="3" t="s">
        <v>866</v>
      </c>
      <c r="M447" s="3" t="s">
        <v>59</v>
      </c>
      <c r="N447" s="3" t="s">
        <v>60</v>
      </c>
      <c r="O447" s="3" t="s">
        <v>147</v>
      </c>
      <c r="P447" s="3" t="s">
        <v>875</v>
      </c>
      <c r="Q447" s="31">
        <v>42748</v>
      </c>
      <c r="R447" s="3" t="s">
        <v>62</v>
      </c>
      <c r="S447" s="3" t="s">
        <v>62</v>
      </c>
    </row>
    <row r="448" spans="1:19">
      <c r="A448" s="3" t="s">
        <v>865</v>
      </c>
      <c r="B448" s="31">
        <v>42748.738471724537</v>
      </c>
      <c r="C448" s="31">
        <v>42746.489583333336</v>
      </c>
      <c r="D448" s="3">
        <v>3035680094</v>
      </c>
      <c r="E448" s="3" t="s">
        <v>273</v>
      </c>
      <c r="F448" s="3" t="s">
        <v>265</v>
      </c>
      <c r="G448" s="3" t="s">
        <v>266</v>
      </c>
      <c r="H448" s="3" t="s">
        <v>265</v>
      </c>
      <c r="I448" s="3" t="s">
        <v>266</v>
      </c>
      <c r="J448" s="3" t="s">
        <v>144</v>
      </c>
      <c r="K448" s="3" t="s">
        <v>2977</v>
      </c>
      <c r="L448" s="3" t="s">
        <v>866</v>
      </c>
      <c r="M448" s="3" t="s">
        <v>70</v>
      </c>
      <c r="N448" s="3" t="s">
        <v>71</v>
      </c>
      <c r="O448" s="3" t="s">
        <v>3080</v>
      </c>
      <c r="P448" s="3" t="s">
        <v>872</v>
      </c>
      <c r="Q448" s="31">
        <v>42747</v>
      </c>
      <c r="R448" s="3" t="s">
        <v>62</v>
      </c>
      <c r="S448" s="3" t="s">
        <v>2985</v>
      </c>
    </row>
    <row r="449" spans="1:19">
      <c r="A449" s="3" t="s">
        <v>873</v>
      </c>
      <c r="B449" s="31">
        <v>42748.738471724537</v>
      </c>
      <c r="C449" s="31">
        <v>42746.494444444441</v>
      </c>
      <c r="D449" s="3">
        <v>3035680247</v>
      </c>
      <c r="E449" s="3" t="s">
        <v>273</v>
      </c>
      <c r="F449" s="3" t="s">
        <v>854</v>
      </c>
      <c r="G449" s="3" t="s">
        <v>846</v>
      </c>
      <c r="H449" s="3" t="s">
        <v>854</v>
      </c>
      <c r="I449" s="3" t="s">
        <v>846</v>
      </c>
      <c r="J449" s="3" t="s">
        <v>97</v>
      </c>
      <c r="K449" s="3" t="s">
        <v>2977</v>
      </c>
      <c r="L449" s="3" t="s">
        <v>871</v>
      </c>
      <c r="M449" s="3" t="s">
        <v>84</v>
      </c>
      <c r="N449" s="3" t="s">
        <v>85</v>
      </c>
      <c r="O449" s="3" t="s">
        <v>888</v>
      </c>
      <c r="P449" s="3" t="s">
        <v>875</v>
      </c>
      <c r="Q449" s="31">
        <v>42748</v>
      </c>
      <c r="R449" s="3" t="s">
        <v>62</v>
      </c>
      <c r="S449" s="3" t="s">
        <v>2985</v>
      </c>
    </row>
    <row r="450" spans="1:19">
      <c r="A450" s="3" t="s">
        <v>865</v>
      </c>
      <c r="B450" s="31">
        <v>42748.738471724537</v>
      </c>
      <c r="C450" s="31">
        <v>42746.49722222222</v>
      </c>
      <c r="D450" s="3">
        <v>3035680382</v>
      </c>
      <c r="E450" s="3" t="s">
        <v>31</v>
      </c>
      <c r="F450" s="3" t="s">
        <v>213</v>
      </c>
      <c r="G450" s="3" t="s">
        <v>214</v>
      </c>
      <c r="H450" s="3" t="s">
        <v>213</v>
      </c>
      <c r="I450" s="3" t="s">
        <v>214</v>
      </c>
      <c r="J450" s="3" t="s">
        <v>58</v>
      </c>
      <c r="K450" s="3" t="s">
        <v>2977</v>
      </c>
      <c r="L450" s="3" t="s">
        <v>866</v>
      </c>
      <c r="M450" s="3" t="s">
        <v>70</v>
      </c>
      <c r="N450" s="3" t="s">
        <v>71</v>
      </c>
      <c r="O450" s="3" t="s">
        <v>3067</v>
      </c>
      <c r="P450" s="3" t="s">
        <v>872</v>
      </c>
      <c r="Q450" s="31">
        <v>42747</v>
      </c>
      <c r="R450" s="3" t="s">
        <v>62</v>
      </c>
      <c r="S450" s="3" t="s">
        <v>92</v>
      </c>
    </row>
    <row r="451" spans="1:19">
      <c r="A451" s="3" t="s">
        <v>865</v>
      </c>
      <c r="B451" s="31">
        <v>42748.738471724537</v>
      </c>
      <c r="C451" s="31">
        <v>42746.498611111114</v>
      </c>
      <c r="D451" s="3">
        <v>3035650603</v>
      </c>
      <c r="E451" s="3" t="s">
        <v>9</v>
      </c>
      <c r="F451" s="3" t="s">
        <v>94</v>
      </c>
      <c r="G451" s="3" t="s">
        <v>95</v>
      </c>
      <c r="H451" s="3" t="s">
        <v>80</v>
      </c>
      <c r="I451" s="3" t="s">
        <v>81</v>
      </c>
      <c r="J451" s="3" t="s">
        <v>58</v>
      </c>
      <c r="K451" s="3" t="s">
        <v>2976</v>
      </c>
      <c r="L451" s="3" t="s">
        <v>866</v>
      </c>
      <c r="M451" s="3" t="s">
        <v>70</v>
      </c>
      <c r="N451" s="3" t="s">
        <v>71</v>
      </c>
      <c r="O451" s="3" t="s">
        <v>2984</v>
      </c>
      <c r="P451" s="3" t="s">
        <v>872</v>
      </c>
      <c r="Q451" s="31">
        <v>42747</v>
      </c>
      <c r="R451" s="3" t="s">
        <v>62</v>
      </c>
      <c r="S451" s="3" t="s">
        <v>62</v>
      </c>
    </row>
    <row r="452" spans="1:19">
      <c r="A452" s="3" t="s">
        <v>865</v>
      </c>
      <c r="B452" s="31">
        <v>42748.738471724537</v>
      </c>
      <c r="C452" s="31">
        <v>42746.498611111114</v>
      </c>
      <c r="D452" s="3">
        <v>3035680415</v>
      </c>
      <c r="E452" s="3" t="s">
        <v>23</v>
      </c>
      <c r="F452" s="3" t="s">
        <v>183</v>
      </c>
      <c r="G452" s="3" t="s">
        <v>184</v>
      </c>
      <c r="H452" s="3" t="s">
        <v>183</v>
      </c>
      <c r="I452" s="3" t="s">
        <v>184</v>
      </c>
      <c r="J452" s="3" t="s">
        <v>69</v>
      </c>
      <c r="K452" s="3" t="s">
        <v>2976</v>
      </c>
      <c r="L452" s="3" t="s">
        <v>866</v>
      </c>
      <c r="M452" s="3" t="s">
        <v>59</v>
      </c>
      <c r="N452" s="3" t="s">
        <v>60</v>
      </c>
      <c r="O452" s="3" t="s">
        <v>147</v>
      </c>
      <c r="P452" s="3" t="s">
        <v>872</v>
      </c>
      <c r="Q452" s="31">
        <v>42753</v>
      </c>
      <c r="R452" s="3" t="s">
        <v>62</v>
      </c>
      <c r="S452" s="3" t="s">
        <v>62</v>
      </c>
    </row>
    <row r="453" spans="1:19">
      <c r="A453" s="3" t="s">
        <v>877</v>
      </c>
      <c r="B453" s="31">
        <v>42748.738471724537</v>
      </c>
      <c r="C453" s="31">
        <v>42746.504166666666</v>
      </c>
      <c r="D453" s="3">
        <v>3035677036</v>
      </c>
      <c r="E453" s="3" t="s">
        <v>9</v>
      </c>
      <c r="F453" s="3" t="s">
        <v>133</v>
      </c>
      <c r="G453" s="3" t="s">
        <v>134</v>
      </c>
      <c r="H453" s="3" t="s">
        <v>133</v>
      </c>
      <c r="I453" s="3" t="s">
        <v>134</v>
      </c>
      <c r="J453" s="3" t="s">
        <v>98</v>
      </c>
      <c r="K453" s="3" t="s">
        <v>2976</v>
      </c>
      <c r="L453" s="3" t="s">
        <v>866</v>
      </c>
      <c r="M453" s="3" t="s">
        <v>70</v>
      </c>
      <c r="N453" s="3" t="s">
        <v>71</v>
      </c>
      <c r="O453" s="3" t="s">
        <v>3081</v>
      </c>
      <c r="P453" s="3" t="s">
        <v>872</v>
      </c>
      <c r="Q453" s="31">
        <v>42747</v>
      </c>
      <c r="R453" s="3" t="s">
        <v>62</v>
      </c>
      <c r="S453" s="3" t="s">
        <v>62</v>
      </c>
    </row>
    <row r="454" spans="1:19">
      <c r="A454" s="3" t="s">
        <v>868</v>
      </c>
      <c r="B454" s="31">
        <v>42748.738471724537</v>
      </c>
      <c r="C454" s="31">
        <v>42746.524305555555</v>
      </c>
      <c r="D454" s="3">
        <v>3035645853</v>
      </c>
      <c r="E454" s="3" t="s">
        <v>9</v>
      </c>
      <c r="F454" s="3" t="s">
        <v>109</v>
      </c>
      <c r="G454" s="3" t="s">
        <v>110</v>
      </c>
      <c r="H454" s="3" t="s">
        <v>82</v>
      </c>
      <c r="I454" s="3" t="s">
        <v>83</v>
      </c>
      <c r="J454" s="3" t="s">
        <v>58</v>
      </c>
      <c r="K454" s="3" t="s">
        <v>2976</v>
      </c>
      <c r="L454" s="3" t="s">
        <v>871</v>
      </c>
      <c r="M454" s="3" t="s">
        <v>84</v>
      </c>
      <c r="N454" s="3" t="s">
        <v>85</v>
      </c>
      <c r="O454" s="3" t="s">
        <v>888</v>
      </c>
      <c r="P454" s="3" t="s">
        <v>875</v>
      </c>
      <c r="Q454" s="31">
        <v>42748</v>
      </c>
      <c r="R454" s="3" t="s">
        <v>62</v>
      </c>
      <c r="S454" s="3" t="s">
        <v>62</v>
      </c>
    </row>
    <row r="455" spans="1:19">
      <c r="A455" s="3" t="e">
        <v>#N/A</v>
      </c>
      <c r="B455" s="31" t="e">
        <v>#N/A</v>
      </c>
      <c r="C455" s="31">
        <v>42746.524305555555</v>
      </c>
      <c r="D455" s="3">
        <v>3035553817</v>
      </c>
      <c r="E455" s="3" t="s">
        <v>23</v>
      </c>
      <c r="F455" s="3" t="s">
        <v>119</v>
      </c>
      <c r="G455" s="3" t="s">
        <v>120</v>
      </c>
      <c r="H455" s="3" t="s">
        <v>151</v>
      </c>
      <c r="I455" s="3" t="s">
        <v>152</v>
      </c>
      <c r="J455" s="3" t="s">
        <v>99</v>
      </c>
      <c r="K455" s="3" t="s">
        <v>2977</v>
      </c>
      <c r="L455" s="3" t="s">
        <v>866</v>
      </c>
      <c r="M455" s="3" t="s">
        <v>70</v>
      </c>
      <c r="N455" s="3" t="s">
        <v>71</v>
      </c>
      <c r="O455" s="3" t="s">
        <v>899</v>
      </c>
      <c r="P455" s="3" t="s">
        <v>872</v>
      </c>
      <c r="Q455" s="31">
        <v>42747</v>
      </c>
      <c r="R455" s="3" t="s">
        <v>62</v>
      </c>
      <c r="S455" s="3" t="s">
        <v>65</v>
      </c>
    </row>
    <row r="456" spans="1:19">
      <c r="A456" s="3" t="s">
        <v>865</v>
      </c>
      <c r="B456" s="31">
        <v>42748.738471724537</v>
      </c>
      <c r="C456" s="31">
        <v>42746.536111111112</v>
      </c>
      <c r="D456" s="3">
        <v>3035681920</v>
      </c>
      <c r="E456" s="3" t="e">
        <v>#N/A</v>
      </c>
      <c r="F456" s="3" t="s">
        <v>889</v>
      </c>
      <c r="G456" s="3" t="e">
        <v>#N/A</v>
      </c>
      <c r="H456" s="3" t="s">
        <v>889</v>
      </c>
      <c r="I456" s="3" t="e">
        <v>#N/A</v>
      </c>
      <c r="J456" s="3" t="s">
        <v>69</v>
      </c>
      <c r="K456" s="3" t="s">
        <v>2977</v>
      </c>
      <c r="L456" s="3" t="s">
        <v>866</v>
      </c>
      <c r="M456" s="3" t="s">
        <v>70</v>
      </c>
      <c r="N456" s="3" t="s">
        <v>71</v>
      </c>
      <c r="O456" s="3" t="s">
        <v>3079</v>
      </c>
      <c r="P456" s="3" t="s">
        <v>872</v>
      </c>
      <c r="Q456" s="31">
        <v>42747</v>
      </c>
      <c r="R456" s="3" t="s">
        <v>62</v>
      </c>
      <c r="S456" s="3" t="s">
        <v>2143</v>
      </c>
    </row>
    <row r="457" spans="1:19">
      <c r="A457" s="3" t="s">
        <v>865</v>
      </c>
      <c r="B457" s="31">
        <v>42748.738471724537</v>
      </c>
      <c r="C457" s="31">
        <v>42746.537499999999</v>
      </c>
      <c r="D457" s="3">
        <v>3035682190</v>
      </c>
      <c r="E457" s="3" t="s">
        <v>9</v>
      </c>
      <c r="F457" s="3" t="s">
        <v>158</v>
      </c>
      <c r="G457" s="3" t="s">
        <v>159</v>
      </c>
      <c r="H457" s="3" t="s">
        <v>158</v>
      </c>
      <c r="I457" s="3" t="s">
        <v>159</v>
      </c>
      <c r="J457" s="3" t="s">
        <v>69</v>
      </c>
      <c r="K457" s="3" t="s">
        <v>2976</v>
      </c>
      <c r="L457" s="3" t="s">
        <v>866</v>
      </c>
      <c r="M457" s="3" t="s">
        <v>59</v>
      </c>
      <c r="N457" s="3" t="s">
        <v>60</v>
      </c>
      <c r="O457" s="3" t="s">
        <v>147</v>
      </c>
      <c r="P457" s="3" t="s">
        <v>875</v>
      </c>
      <c r="Q457" s="31">
        <v>42748</v>
      </c>
      <c r="R457" s="3" t="s">
        <v>62</v>
      </c>
      <c r="S457" s="3" t="s">
        <v>62</v>
      </c>
    </row>
    <row r="458" spans="1:19">
      <c r="A458" s="3" t="s">
        <v>868</v>
      </c>
      <c r="B458" s="31">
        <v>42748.738471724537</v>
      </c>
      <c r="C458" s="31">
        <v>42746.539583333331</v>
      </c>
      <c r="D458" s="3">
        <v>3035681702</v>
      </c>
      <c r="E458" s="3" t="s">
        <v>273</v>
      </c>
      <c r="F458" s="3" t="s">
        <v>854</v>
      </c>
      <c r="G458" s="3" t="s">
        <v>846</v>
      </c>
      <c r="H458" s="3" t="s">
        <v>854</v>
      </c>
      <c r="I458" s="3" t="s">
        <v>846</v>
      </c>
      <c r="J458" s="3" t="s">
        <v>144</v>
      </c>
      <c r="K458" s="3" t="s">
        <v>2977</v>
      </c>
      <c r="L458" s="3" t="s">
        <v>866</v>
      </c>
      <c r="M458" s="3" t="s">
        <v>59</v>
      </c>
      <c r="N458" s="3" t="s">
        <v>60</v>
      </c>
      <c r="O458" s="3" t="s">
        <v>147</v>
      </c>
      <c r="P458" s="3" t="s">
        <v>875</v>
      </c>
      <c r="Q458" s="31">
        <v>42748</v>
      </c>
      <c r="R458" s="3" t="s">
        <v>62</v>
      </c>
      <c r="S458" s="3" t="s">
        <v>2985</v>
      </c>
    </row>
    <row r="459" spans="1:19">
      <c r="A459" s="3" t="s">
        <v>865</v>
      </c>
      <c r="B459" s="31">
        <v>42748.738471724537</v>
      </c>
      <c r="C459" s="31">
        <v>42746.54583333333</v>
      </c>
      <c r="D459" s="3">
        <v>3035682519</v>
      </c>
      <c r="E459" s="3" t="s">
        <v>273</v>
      </c>
      <c r="F459" s="3" t="s">
        <v>253</v>
      </c>
      <c r="G459" s="3" t="s">
        <v>254</v>
      </c>
      <c r="H459" s="3" t="s">
        <v>253</v>
      </c>
      <c r="I459" s="3" t="s">
        <v>254</v>
      </c>
      <c r="J459" s="3" t="s">
        <v>144</v>
      </c>
      <c r="K459" s="3" t="s">
        <v>2977</v>
      </c>
      <c r="L459" s="3" t="s">
        <v>866</v>
      </c>
      <c r="M459" s="3" t="s">
        <v>70</v>
      </c>
      <c r="N459" s="3" t="s">
        <v>71</v>
      </c>
      <c r="O459" s="3" t="s">
        <v>3082</v>
      </c>
      <c r="P459" s="3" t="s">
        <v>872</v>
      </c>
      <c r="Q459" s="31">
        <v>42747</v>
      </c>
      <c r="R459" s="3" t="s">
        <v>62</v>
      </c>
      <c r="S459" s="3" t="s">
        <v>2985</v>
      </c>
    </row>
    <row r="460" spans="1:19">
      <c r="A460" s="3" t="s">
        <v>868</v>
      </c>
      <c r="B460" s="31">
        <v>42748.738471724537</v>
      </c>
      <c r="C460" s="31">
        <v>42746.551388888889</v>
      </c>
      <c r="D460" s="3">
        <v>3035641678</v>
      </c>
      <c r="E460" s="3" t="s">
        <v>2978</v>
      </c>
      <c r="F460" s="3" t="s">
        <v>256</v>
      </c>
      <c r="G460" s="3" t="s">
        <v>879</v>
      </c>
      <c r="H460" s="3" t="s">
        <v>142</v>
      </c>
      <c r="I460" s="3" t="s">
        <v>143</v>
      </c>
      <c r="J460" s="3" t="s">
        <v>58</v>
      </c>
      <c r="K460" s="3" t="s">
        <v>2977</v>
      </c>
      <c r="L460" s="3" t="s">
        <v>871</v>
      </c>
      <c r="M460" s="3" t="s">
        <v>84</v>
      </c>
      <c r="N460" s="3" t="s">
        <v>85</v>
      </c>
      <c r="O460" s="3" t="s">
        <v>268</v>
      </c>
      <c r="P460" s="3" t="s">
        <v>872</v>
      </c>
      <c r="Q460" s="31">
        <v>42753</v>
      </c>
      <c r="R460" s="3" t="s">
        <v>62</v>
      </c>
      <c r="S460" s="3" t="s">
        <v>1355</v>
      </c>
    </row>
    <row r="461" spans="1:19">
      <c r="A461" s="3" t="s">
        <v>865</v>
      </c>
      <c r="B461" s="31">
        <v>42748.738471724537</v>
      </c>
      <c r="C461" s="31">
        <v>42746.563888888886</v>
      </c>
      <c r="D461" s="3">
        <v>3035683443</v>
      </c>
      <c r="E461" s="3" t="s">
        <v>23</v>
      </c>
      <c r="F461" s="3" t="s">
        <v>137</v>
      </c>
      <c r="G461" s="3" t="s">
        <v>138</v>
      </c>
      <c r="H461" s="3" t="s">
        <v>137</v>
      </c>
      <c r="I461" s="3" t="s">
        <v>138</v>
      </c>
      <c r="J461" s="3" t="s">
        <v>69</v>
      </c>
      <c r="K461" s="3" t="s">
        <v>2976</v>
      </c>
      <c r="L461" s="3" t="s">
        <v>871</v>
      </c>
      <c r="M461" s="3" t="s">
        <v>84</v>
      </c>
      <c r="N461" s="3" t="s">
        <v>85</v>
      </c>
      <c r="O461" s="3" t="s">
        <v>268</v>
      </c>
      <c r="P461" s="3" t="s">
        <v>872</v>
      </c>
      <c r="Q461" s="31">
        <v>42753</v>
      </c>
      <c r="R461" s="3" t="s">
        <v>62</v>
      </c>
      <c r="S461" s="3" t="s">
        <v>62</v>
      </c>
    </row>
    <row r="462" spans="1:19">
      <c r="A462" s="3" t="s">
        <v>865</v>
      </c>
      <c r="B462" s="31">
        <v>42748.738471724537</v>
      </c>
      <c r="C462" s="31">
        <v>42746.567361111112</v>
      </c>
      <c r="D462" s="3">
        <v>3035683011</v>
      </c>
      <c r="E462" s="3" t="s">
        <v>23</v>
      </c>
      <c r="F462" s="3" t="s">
        <v>183</v>
      </c>
      <c r="G462" s="3" t="s">
        <v>184</v>
      </c>
      <c r="H462" s="3" t="s">
        <v>183</v>
      </c>
      <c r="I462" s="3" t="s">
        <v>184</v>
      </c>
      <c r="J462" s="3" t="s">
        <v>69</v>
      </c>
      <c r="K462" s="3" t="s">
        <v>2976</v>
      </c>
      <c r="L462" s="3" t="s">
        <v>866</v>
      </c>
      <c r="M462" s="3" t="s">
        <v>59</v>
      </c>
      <c r="N462" s="3" t="s">
        <v>60</v>
      </c>
      <c r="O462" s="3" t="s">
        <v>147</v>
      </c>
      <c r="P462" s="3" t="s">
        <v>872</v>
      </c>
      <c r="Q462" s="31">
        <v>42747</v>
      </c>
      <c r="R462" s="3" t="s">
        <v>62</v>
      </c>
      <c r="S462" s="3" t="s">
        <v>62</v>
      </c>
    </row>
    <row r="463" spans="1:19">
      <c r="A463" s="3" t="s">
        <v>868</v>
      </c>
      <c r="B463" s="31">
        <v>42748.738471724537</v>
      </c>
      <c r="C463" s="31">
        <v>42746.571527777778</v>
      </c>
      <c r="D463" s="3">
        <v>3035683925</v>
      </c>
      <c r="E463" s="3" t="s">
        <v>9</v>
      </c>
      <c r="F463" s="3" t="s">
        <v>158</v>
      </c>
      <c r="G463" s="3" t="s">
        <v>159</v>
      </c>
      <c r="H463" s="3" t="s">
        <v>158</v>
      </c>
      <c r="I463" s="3" t="s">
        <v>159</v>
      </c>
      <c r="J463" s="3" t="s">
        <v>69</v>
      </c>
      <c r="K463" s="3" t="s">
        <v>2976</v>
      </c>
      <c r="L463" s="3" t="s">
        <v>866</v>
      </c>
      <c r="M463" s="3" t="s">
        <v>59</v>
      </c>
      <c r="N463" s="3" t="s">
        <v>60</v>
      </c>
      <c r="O463" s="3" t="s">
        <v>147</v>
      </c>
      <c r="P463" s="3" t="s">
        <v>875</v>
      </c>
      <c r="Q463" s="31">
        <v>42747</v>
      </c>
      <c r="R463" s="3" t="s">
        <v>62</v>
      </c>
      <c r="S463" s="3" t="s">
        <v>62</v>
      </c>
    </row>
    <row r="464" spans="1:19">
      <c r="A464" s="3" t="s">
        <v>868</v>
      </c>
      <c r="B464" s="31">
        <v>42748.738471724537</v>
      </c>
      <c r="C464" s="31">
        <v>42746.581944444442</v>
      </c>
      <c r="D464" s="3">
        <v>3035684373</v>
      </c>
      <c r="E464" s="3" t="s">
        <v>31</v>
      </c>
      <c r="F464" s="3" t="s">
        <v>223</v>
      </c>
      <c r="G464" s="3" t="s">
        <v>224</v>
      </c>
      <c r="H464" s="3" t="s">
        <v>223</v>
      </c>
      <c r="I464" s="3" t="s">
        <v>224</v>
      </c>
      <c r="J464" s="3" t="s">
        <v>97</v>
      </c>
      <c r="K464" s="3" t="s">
        <v>2977</v>
      </c>
      <c r="L464" s="3" t="s">
        <v>866</v>
      </c>
      <c r="M464" s="3" t="s">
        <v>59</v>
      </c>
      <c r="N464" s="3" t="s">
        <v>60</v>
      </c>
      <c r="O464" s="3" t="s">
        <v>147</v>
      </c>
      <c r="P464" s="3" t="s">
        <v>875</v>
      </c>
      <c r="Q464" s="31">
        <v>42747</v>
      </c>
      <c r="R464" s="3" t="s">
        <v>62</v>
      </c>
      <c r="S464" s="3" t="s">
        <v>92</v>
      </c>
    </row>
    <row r="465" spans="1:19">
      <c r="A465" s="3" t="s">
        <v>865</v>
      </c>
      <c r="B465" s="31">
        <v>42748.738471724537</v>
      </c>
      <c r="C465" s="31">
        <v>42746.594444444447</v>
      </c>
      <c r="D465" s="3">
        <v>3035684686</v>
      </c>
      <c r="E465" s="3" t="s">
        <v>273</v>
      </c>
      <c r="F465" s="3" t="s">
        <v>909</v>
      </c>
      <c r="G465" s="3" t="s">
        <v>313</v>
      </c>
      <c r="H465" s="3" t="s">
        <v>909</v>
      </c>
      <c r="I465" s="3" t="s">
        <v>313</v>
      </c>
      <c r="J465" s="3" t="s">
        <v>144</v>
      </c>
      <c r="K465" s="3" t="s">
        <v>2977</v>
      </c>
      <c r="L465" s="3" t="s">
        <v>866</v>
      </c>
      <c r="M465" s="3" t="s">
        <v>59</v>
      </c>
      <c r="N465" s="3" t="s">
        <v>60</v>
      </c>
      <c r="O465" s="3" t="s">
        <v>147</v>
      </c>
      <c r="P465" s="3" t="s">
        <v>875</v>
      </c>
      <c r="Q465" s="31">
        <v>42748</v>
      </c>
      <c r="R465" s="3" t="s">
        <v>62</v>
      </c>
      <c r="S465" s="3" t="s">
        <v>2985</v>
      </c>
    </row>
    <row r="466" spans="1:19">
      <c r="A466" s="3" t="s">
        <v>868</v>
      </c>
      <c r="B466" s="31">
        <v>42748.738471724537</v>
      </c>
      <c r="C466" s="31">
        <v>42746.59652777778</v>
      </c>
      <c r="D466" s="3">
        <v>3035684931</v>
      </c>
      <c r="E466" s="3" t="s">
        <v>9</v>
      </c>
      <c r="F466" s="3" t="s">
        <v>56</v>
      </c>
      <c r="G466" s="3" t="s">
        <v>57</v>
      </c>
      <c r="H466" s="3" t="s">
        <v>56</v>
      </c>
      <c r="I466" s="3" t="s">
        <v>57</v>
      </c>
      <c r="J466" s="3" t="s">
        <v>99</v>
      </c>
      <c r="K466" s="3" t="s">
        <v>2976</v>
      </c>
      <c r="L466" s="3" t="s">
        <v>871</v>
      </c>
      <c r="M466" s="3" t="s">
        <v>84</v>
      </c>
      <c r="N466" s="3" t="s">
        <v>85</v>
      </c>
      <c r="O466" s="3" t="s">
        <v>233</v>
      </c>
      <c r="P466" s="3" t="s">
        <v>875</v>
      </c>
      <c r="Q466" s="31">
        <v>42748</v>
      </c>
      <c r="R466" s="3" t="s">
        <v>62</v>
      </c>
      <c r="S466" s="3" t="s">
        <v>62</v>
      </c>
    </row>
    <row r="467" spans="1:19">
      <c r="A467" s="3" t="s">
        <v>868</v>
      </c>
      <c r="B467" s="31">
        <v>42748.738471724537</v>
      </c>
      <c r="C467" s="31">
        <v>42746.605555555558</v>
      </c>
      <c r="D467" s="3">
        <v>3035519405</v>
      </c>
      <c r="E467" s="3" t="s">
        <v>273</v>
      </c>
      <c r="F467" s="3" t="s">
        <v>261</v>
      </c>
      <c r="G467" s="3" t="s">
        <v>311</v>
      </c>
      <c r="H467" s="3" t="s">
        <v>115</v>
      </c>
      <c r="I467" s="3" t="s">
        <v>116</v>
      </c>
      <c r="J467" s="3" t="s">
        <v>98</v>
      </c>
      <c r="K467" s="3" t="s">
        <v>2977</v>
      </c>
      <c r="L467" s="3" t="s">
        <v>866</v>
      </c>
      <c r="M467" s="3" t="s">
        <v>59</v>
      </c>
      <c r="N467" s="3" t="s">
        <v>60</v>
      </c>
      <c r="O467" s="3" t="s">
        <v>147</v>
      </c>
      <c r="P467" s="3" t="s">
        <v>875</v>
      </c>
      <c r="Q467" s="31">
        <v>42747</v>
      </c>
      <c r="R467" s="3" t="s">
        <v>62</v>
      </c>
      <c r="S467" s="3" t="s">
        <v>529</v>
      </c>
    </row>
    <row r="468" spans="1:19">
      <c r="A468" s="3" t="s">
        <v>865</v>
      </c>
      <c r="B468" s="31">
        <v>42748.738471724537</v>
      </c>
      <c r="C468" s="31">
        <v>42746.619444444441</v>
      </c>
      <c r="D468" s="3">
        <v>3035446643</v>
      </c>
      <c r="E468" s="3" t="s">
        <v>23</v>
      </c>
      <c r="F468" s="3" t="s">
        <v>135</v>
      </c>
      <c r="G468" s="3" t="s">
        <v>136</v>
      </c>
      <c r="H468" s="3" t="s">
        <v>139</v>
      </c>
      <c r="I468" s="3" t="s">
        <v>140</v>
      </c>
      <c r="J468" s="3" t="s">
        <v>69</v>
      </c>
      <c r="K468" s="3" t="s">
        <v>2977</v>
      </c>
      <c r="L468" s="3" t="s">
        <v>871</v>
      </c>
      <c r="M468" s="3" t="s">
        <v>84</v>
      </c>
      <c r="N468" s="3" t="s">
        <v>85</v>
      </c>
      <c r="O468" s="3" t="s">
        <v>916</v>
      </c>
      <c r="P468" s="3" t="s">
        <v>872</v>
      </c>
      <c r="Q468" s="31">
        <v>42753</v>
      </c>
      <c r="R468" s="3" t="s">
        <v>62</v>
      </c>
      <c r="S468" s="3" t="s">
        <v>529</v>
      </c>
    </row>
    <row r="469" spans="1:19">
      <c r="A469" s="3" t="s">
        <v>865</v>
      </c>
      <c r="B469" s="31">
        <v>42748.738471724537</v>
      </c>
      <c r="C469" s="31">
        <v>42746.625694444447</v>
      </c>
      <c r="D469" s="3">
        <v>3035642622</v>
      </c>
      <c r="E469" s="3" t="s">
        <v>273</v>
      </c>
      <c r="F469" s="3" t="s">
        <v>265</v>
      </c>
      <c r="G469" s="3" t="s">
        <v>266</v>
      </c>
      <c r="H469" s="3" t="s">
        <v>889</v>
      </c>
      <c r="I469" s="3" t="e">
        <v>#N/A</v>
      </c>
      <c r="J469" s="3" t="s">
        <v>98</v>
      </c>
      <c r="K469" s="3" t="s">
        <v>2977</v>
      </c>
      <c r="L469" s="3" t="s">
        <v>866</v>
      </c>
      <c r="M469" s="3" t="s">
        <v>70</v>
      </c>
      <c r="N469" s="3" t="s">
        <v>71</v>
      </c>
      <c r="O469" s="3" t="s">
        <v>3642</v>
      </c>
      <c r="P469" s="3" t="s">
        <v>872</v>
      </c>
      <c r="Q469" s="31">
        <v>42751</v>
      </c>
      <c r="R469" s="3" t="s">
        <v>62</v>
      </c>
      <c r="S469" s="3" t="s">
        <v>2143</v>
      </c>
    </row>
    <row r="470" spans="1:19">
      <c r="A470" s="3" t="s">
        <v>868</v>
      </c>
      <c r="B470" s="31">
        <v>42748.738471724537</v>
      </c>
      <c r="C470" s="31">
        <v>42746.628472222219</v>
      </c>
      <c r="D470" s="3">
        <v>3035686308</v>
      </c>
      <c r="E470" s="3" t="s">
        <v>23</v>
      </c>
      <c r="F470" s="3" t="s">
        <v>149</v>
      </c>
      <c r="G470" s="3" t="s">
        <v>150</v>
      </c>
      <c r="H470" s="3" t="s">
        <v>149</v>
      </c>
      <c r="I470" s="3" t="s">
        <v>150</v>
      </c>
      <c r="J470" s="3" t="s">
        <v>69</v>
      </c>
      <c r="K470" s="3" t="s">
        <v>2976</v>
      </c>
      <c r="L470" s="3" t="s">
        <v>866</v>
      </c>
      <c r="M470" s="3" t="s">
        <v>59</v>
      </c>
      <c r="N470" s="3" t="s">
        <v>60</v>
      </c>
      <c r="O470" s="3" t="s">
        <v>147</v>
      </c>
      <c r="P470" s="3" t="s">
        <v>875</v>
      </c>
      <c r="Q470" s="31">
        <v>42747</v>
      </c>
      <c r="R470" s="3" t="s">
        <v>62</v>
      </c>
      <c r="S470" s="3" t="s">
        <v>62</v>
      </c>
    </row>
    <row r="471" spans="1:19">
      <c r="A471" s="3" t="s">
        <v>868</v>
      </c>
      <c r="B471" s="31">
        <v>42748.738471724537</v>
      </c>
      <c r="C471" s="31">
        <v>42746.631944444445</v>
      </c>
      <c r="D471" s="3">
        <v>3035686031</v>
      </c>
      <c r="E471" s="3" t="s">
        <v>9</v>
      </c>
      <c r="F471" s="3" t="s">
        <v>133</v>
      </c>
      <c r="G471" s="3" t="s">
        <v>134</v>
      </c>
      <c r="H471" s="3" t="s">
        <v>133</v>
      </c>
      <c r="I471" s="3" t="s">
        <v>134</v>
      </c>
      <c r="J471" s="3" t="s">
        <v>98</v>
      </c>
      <c r="K471" s="3" t="s">
        <v>2976</v>
      </c>
      <c r="L471" s="3" t="s">
        <v>866</v>
      </c>
      <c r="M471" s="3" t="s">
        <v>59</v>
      </c>
      <c r="N471" s="3" t="s">
        <v>60</v>
      </c>
      <c r="O471" s="3" t="s">
        <v>147</v>
      </c>
      <c r="P471" s="3" t="s">
        <v>872</v>
      </c>
      <c r="Q471" s="31">
        <v>42751</v>
      </c>
      <c r="R471" s="3" t="s">
        <v>62</v>
      </c>
      <c r="S471" s="3" t="s">
        <v>62</v>
      </c>
    </row>
    <row r="472" spans="1:19">
      <c r="A472" s="3" t="s">
        <v>865</v>
      </c>
      <c r="B472" s="31">
        <v>42748.738471724537</v>
      </c>
      <c r="C472" s="31">
        <v>42746.640277777777</v>
      </c>
      <c r="D472" s="3">
        <v>3035543148</v>
      </c>
      <c r="E472" s="3" t="s">
        <v>9</v>
      </c>
      <c r="F472" s="3" t="s">
        <v>111</v>
      </c>
      <c r="G472" s="3" t="s">
        <v>112</v>
      </c>
      <c r="H472" s="3" t="s">
        <v>89</v>
      </c>
      <c r="I472" s="3" t="s">
        <v>90</v>
      </c>
      <c r="J472" s="3" t="s">
        <v>99</v>
      </c>
      <c r="K472" s="3" t="s">
        <v>2977</v>
      </c>
      <c r="L472" s="3" t="s">
        <v>866</v>
      </c>
      <c r="M472" s="3" t="s">
        <v>70</v>
      </c>
      <c r="N472" s="3" t="s">
        <v>71</v>
      </c>
      <c r="O472" s="3" t="s">
        <v>3083</v>
      </c>
      <c r="P472" s="3" t="s">
        <v>875</v>
      </c>
      <c r="Q472" s="31">
        <v>42747</v>
      </c>
      <c r="R472" s="3" t="s">
        <v>62</v>
      </c>
      <c r="S472" s="3" t="s">
        <v>529</v>
      </c>
    </row>
    <row r="473" spans="1:19">
      <c r="A473" s="3" t="s">
        <v>868</v>
      </c>
      <c r="B473" s="31">
        <v>42748.738471724537</v>
      </c>
      <c r="C473" s="31">
        <v>42746.64166666667</v>
      </c>
      <c r="D473" s="3">
        <v>3035687753</v>
      </c>
      <c r="E473" s="3" t="s">
        <v>39</v>
      </c>
      <c r="F473" s="3" t="s">
        <v>246</v>
      </c>
      <c r="G473" s="3" t="s">
        <v>247</v>
      </c>
      <c r="H473" s="3" t="s">
        <v>246</v>
      </c>
      <c r="I473" s="3" t="s">
        <v>247</v>
      </c>
      <c r="J473" s="3" t="s">
        <v>69</v>
      </c>
      <c r="K473" s="3" t="s">
        <v>2977</v>
      </c>
      <c r="L473" s="3" t="s">
        <v>866</v>
      </c>
      <c r="M473" s="3" t="s">
        <v>59</v>
      </c>
      <c r="N473" s="3" t="s">
        <v>60</v>
      </c>
      <c r="O473" s="3" t="s">
        <v>147</v>
      </c>
      <c r="P473" s="3" t="s">
        <v>875</v>
      </c>
      <c r="Q473" s="31">
        <v>42747</v>
      </c>
      <c r="R473" s="3" t="s">
        <v>62</v>
      </c>
      <c r="S473" s="3" t="s">
        <v>92</v>
      </c>
    </row>
    <row r="474" spans="1:19">
      <c r="A474" s="3" t="s">
        <v>865</v>
      </c>
      <c r="B474" s="31">
        <v>42748.738471724537</v>
      </c>
      <c r="C474" s="31">
        <v>42746.645833333336</v>
      </c>
      <c r="D474" s="3">
        <v>3035686621</v>
      </c>
      <c r="E474" s="3" t="s">
        <v>9</v>
      </c>
      <c r="F474" s="3" t="s">
        <v>111</v>
      </c>
      <c r="G474" s="3" t="s">
        <v>112</v>
      </c>
      <c r="H474" s="3" t="s">
        <v>111</v>
      </c>
      <c r="I474" s="3" t="s">
        <v>112</v>
      </c>
      <c r="J474" s="3" t="s">
        <v>97</v>
      </c>
      <c r="K474" s="3" t="s">
        <v>2976</v>
      </c>
      <c r="L474" s="3" t="s">
        <v>871</v>
      </c>
      <c r="M474" s="3" t="s">
        <v>84</v>
      </c>
      <c r="N474" s="3" t="s">
        <v>85</v>
      </c>
      <c r="O474" s="3" t="s">
        <v>3084</v>
      </c>
      <c r="P474" s="3" t="s">
        <v>875</v>
      </c>
      <c r="Q474" s="31">
        <v>42748</v>
      </c>
      <c r="R474" s="3" t="s">
        <v>62</v>
      </c>
      <c r="S474" s="3" t="s">
        <v>62</v>
      </c>
    </row>
    <row r="475" spans="1:19">
      <c r="A475" s="3" t="s">
        <v>865</v>
      </c>
      <c r="B475" s="31">
        <v>42748.738471724537</v>
      </c>
      <c r="C475" s="31">
        <v>42746.647916666669</v>
      </c>
      <c r="D475" s="3">
        <v>3035682795</v>
      </c>
      <c r="E475" s="3" t="s">
        <v>273</v>
      </c>
      <c r="F475" s="3" t="s">
        <v>265</v>
      </c>
      <c r="G475" s="3" t="s">
        <v>266</v>
      </c>
      <c r="H475" s="3" t="s">
        <v>265</v>
      </c>
      <c r="I475" s="3" t="s">
        <v>266</v>
      </c>
      <c r="J475" s="3" t="s">
        <v>69</v>
      </c>
      <c r="K475" s="3" t="s">
        <v>2977</v>
      </c>
      <c r="L475" s="3" t="s">
        <v>871</v>
      </c>
      <c r="M475" s="3" t="s">
        <v>84</v>
      </c>
      <c r="N475" s="3" t="s">
        <v>85</v>
      </c>
      <c r="O475" s="3" t="s">
        <v>322</v>
      </c>
      <c r="P475" s="3" t="s">
        <v>872</v>
      </c>
      <c r="Q475" s="31">
        <v>42753</v>
      </c>
      <c r="R475" s="3" t="s">
        <v>62</v>
      </c>
      <c r="S475" s="3" t="s">
        <v>2985</v>
      </c>
    </row>
    <row r="476" spans="1:19">
      <c r="A476" s="3" t="s">
        <v>868</v>
      </c>
      <c r="B476" s="31">
        <v>42748.738471724537</v>
      </c>
      <c r="C476" s="31">
        <v>42746.654166666667</v>
      </c>
      <c r="D476" s="3">
        <v>3035688405</v>
      </c>
      <c r="E476" s="3" t="s">
        <v>39</v>
      </c>
      <c r="F476" s="3" t="s">
        <v>246</v>
      </c>
      <c r="G476" s="3" t="s">
        <v>247</v>
      </c>
      <c r="H476" s="3" t="s">
        <v>246</v>
      </c>
      <c r="I476" s="3" t="s">
        <v>247</v>
      </c>
      <c r="J476" s="3" t="s">
        <v>69</v>
      </c>
      <c r="K476" s="3" t="s">
        <v>2977</v>
      </c>
      <c r="L476" s="3" t="s">
        <v>866</v>
      </c>
      <c r="M476" s="3" t="s">
        <v>59</v>
      </c>
      <c r="N476" s="3" t="s">
        <v>60</v>
      </c>
      <c r="O476" s="3" t="s">
        <v>147</v>
      </c>
      <c r="P476" s="3" t="s">
        <v>875</v>
      </c>
      <c r="Q476" s="31">
        <v>42748</v>
      </c>
      <c r="R476" s="3" t="s">
        <v>62</v>
      </c>
      <c r="S476" s="3" t="s">
        <v>92</v>
      </c>
    </row>
    <row r="477" spans="1:19">
      <c r="A477" s="3" t="s">
        <v>868</v>
      </c>
      <c r="B477" s="31">
        <v>42748.738471724537</v>
      </c>
      <c r="C477" s="31">
        <v>42746.660416666666</v>
      </c>
      <c r="D477" s="3">
        <v>3035688638</v>
      </c>
      <c r="E477" s="3" t="s">
        <v>39</v>
      </c>
      <c r="F477" s="3" t="s">
        <v>244</v>
      </c>
      <c r="G477" s="3" t="s">
        <v>245</v>
      </c>
      <c r="H477" s="3" t="s">
        <v>244</v>
      </c>
      <c r="I477" s="3" t="s">
        <v>245</v>
      </c>
      <c r="J477" s="3" t="s">
        <v>58</v>
      </c>
      <c r="K477" s="3" t="s">
        <v>2977</v>
      </c>
      <c r="L477" s="3" t="s">
        <v>866</v>
      </c>
      <c r="M477" s="3" t="s">
        <v>59</v>
      </c>
      <c r="N477" s="3" t="s">
        <v>60</v>
      </c>
      <c r="O477" s="3" t="s">
        <v>147</v>
      </c>
      <c r="P477" s="3" t="s">
        <v>875</v>
      </c>
      <c r="Q477" s="31">
        <v>42747</v>
      </c>
      <c r="R477" s="3" t="s">
        <v>62</v>
      </c>
      <c r="S477" s="3" t="s">
        <v>92</v>
      </c>
    </row>
    <row r="478" spans="1:19">
      <c r="A478" s="3" t="s">
        <v>865</v>
      </c>
      <c r="B478" s="31">
        <v>42748.738471724537</v>
      </c>
      <c r="C478" s="31">
        <v>42746.670138888891</v>
      </c>
      <c r="D478" s="3">
        <v>3035689099</v>
      </c>
      <c r="E478" s="3" t="s">
        <v>9</v>
      </c>
      <c r="F478" s="3" t="s">
        <v>111</v>
      </c>
      <c r="G478" s="3" t="s">
        <v>112</v>
      </c>
      <c r="H478" s="3" t="s">
        <v>111</v>
      </c>
      <c r="I478" s="3" t="s">
        <v>112</v>
      </c>
      <c r="J478" s="3" t="s">
        <v>58</v>
      </c>
      <c r="K478" s="3" t="s">
        <v>2976</v>
      </c>
      <c r="L478" s="3" t="s">
        <v>866</v>
      </c>
      <c r="M478" s="3" t="s">
        <v>59</v>
      </c>
      <c r="N478" s="3" t="s">
        <v>60</v>
      </c>
      <c r="O478" s="3" t="s">
        <v>147</v>
      </c>
      <c r="P478" s="3" t="s">
        <v>875</v>
      </c>
      <c r="Q478" s="31">
        <v>42747</v>
      </c>
      <c r="R478" s="3" t="s">
        <v>62</v>
      </c>
      <c r="S478" s="3" t="s">
        <v>62</v>
      </c>
    </row>
    <row r="479" spans="1:19">
      <c r="A479" s="3" t="s">
        <v>865</v>
      </c>
      <c r="B479" s="31">
        <v>42748.738471724537</v>
      </c>
      <c r="C479" s="31">
        <v>42746.677083333336</v>
      </c>
      <c r="D479" s="3">
        <v>3035689457</v>
      </c>
      <c r="E479" s="3" t="s">
        <v>39</v>
      </c>
      <c r="F479" s="3" t="s">
        <v>248</v>
      </c>
      <c r="G479" s="3" t="s">
        <v>249</v>
      </c>
      <c r="H479" s="3" t="s">
        <v>248</v>
      </c>
      <c r="I479" s="3" t="s">
        <v>249</v>
      </c>
      <c r="J479" s="3" t="s">
        <v>69</v>
      </c>
      <c r="K479" s="3" t="s">
        <v>2977</v>
      </c>
      <c r="L479" s="3" t="s">
        <v>866</v>
      </c>
      <c r="M479" s="3" t="s">
        <v>59</v>
      </c>
      <c r="N479" s="3" t="s">
        <v>60</v>
      </c>
      <c r="O479" s="3" t="s">
        <v>147</v>
      </c>
      <c r="P479" s="3" t="s">
        <v>875</v>
      </c>
      <c r="Q479" s="31">
        <v>42748</v>
      </c>
      <c r="R479" s="3" t="s">
        <v>62</v>
      </c>
      <c r="S479" s="3" t="s">
        <v>92</v>
      </c>
    </row>
    <row r="480" spans="1:19">
      <c r="A480" s="3" t="s">
        <v>865</v>
      </c>
      <c r="B480" s="31">
        <v>42748.738471724537</v>
      </c>
      <c r="C480" s="31">
        <v>42746.693055555559</v>
      </c>
      <c r="D480" s="3">
        <v>3035690175</v>
      </c>
      <c r="E480" s="3" t="s">
        <v>23</v>
      </c>
      <c r="F480" s="3" t="s">
        <v>862</v>
      </c>
      <c r="G480" s="3" t="s">
        <v>624</v>
      </c>
      <c r="H480" s="3" t="s">
        <v>862</v>
      </c>
      <c r="I480" s="3" t="s">
        <v>624</v>
      </c>
      <c r="J480" s="3" t="s">
        <v>69</v>
      </c>
      <c r="K480" s="3" t="s">
        <v>2976</v>
      </c>
      <c r="L480" s="3" t="s">
        <v>866</v>
      </c>
      <c r="M480" s="3" t="s">
        <v>70</v>
      </c>
      <c r="N480" s="3" t="s">
        <v>71</v>
      </c>
      <c r="O480" s="3" t="s">
        <v>3085</v>
      </c>
      <c r="P480" s="3" t="s">
        <v>875</v>
      </c>
      <c r="Q480" s="31">
        <v>42747</v>
      </c>
      <c r="R480" s="3" t="s">
        <v>62</v>
      </c>
      <c r="S480" s="3" t="s">
        <v>62</v>
      </c>
    </row>
    <row r="481" spans="1:19">
      <c r="A481" s="3" t="s">
        <v>865</v>
      </c>
      <c r="B481" s="31">
        <v>42748.738471724537</v>
      </c>
      <c r="C481" s="31">
        <v>42746.695138888892</v>
      </c>
      <c r="D481" s="3">
        <v>3035690328</v>
      </c>
      <c r="E481" s="3" t="s">
        <v>273</v>
      </c>
      <c r="F481" s="3" t="s">
        <v>258</v>
      </c>
      <c r="G481" s="3" t="s">
        <v>327</v>
      </c>
      <c r="H481" s="3" t="s">
        <v>258</v>
      </c>
      <c r="I481" s="3" t="s">
        <v>327</v>
      </c>
      <c r="J481" s="3" t="s">
        <v>69</v>
      </c>
      <c r="K481" s="3" t="s">
        <v>2977</v>
      </c>
      <c r="L481" s="3" t="s">
        <v>866</v>
      </c>
      <c r="M481" s="3" t="s">
        <v>70</v>
      </c>
      <c r="N481" s="3" t="s">
        <v>71</v>
      </c>
      <c r="O481" s="3" t="s">
        <v>3067</v>
      </c>
      <c r="P481" s="3" t="s">
        <v>872</v>
      </c>
      <c r="Q481" s="31">
        <v>42751</v>
      </c>
      <c r="R481" s="3" t="s">
        <v>62</v>
      </c>
      <c r="S481" s="3" t="s">
        <v>2985</v>
      </c>
    </row>
    <row r="482" spans="1:19">
      <c r="A482" s="3" t="s">
        <v>877</v>
      </c>
      <c r="B482" s="31">
        <v>42748.738471724537</v>
      </c>
      <c r="C482" s="31">
        <v>42746.70416666667</v>
      </c>
      <c r="D482" s="3">
        <v>3035690736</v>
      </c>
      <c r="E482" s="3" t="s">
        <v>23</v>
      </c>
      <c r="F482" s="3" t="s">
        <v>186</v>
      </c>
      <c r="G482" s="3" t="s">
        <v>187</v>
      </c>
      <c r="H482" s="3" t="s">
        <v>186</v>
      </c>
      <c r="I482" s="3" t="s">
        <v>187</v>
      </c>
      <c r="J482" s="3" t="s">
        <v>69</v>
      </c>
      <c r="K482" s="3" t="s">
        <v>2976</v>
      </c>
      <c r="L482" s="3" t="s">
        <v>871</v>
      </c>
      <c r="M482" s="3" t="s">
        <v>84</v>
      </c>
      <c r="N482" s="3" t="s">
        <v>85</v>
      </c>
      <c r="O482" s="3" t="s">
        <v>233</v>
      </c>
      <c r="P482" s="3" t="s">
        <v>875</v>
      </c>
      <c r="Q482" s="31">
        <v>42748</v>
      </c>
      <c r="R482" s="3" t="s">
        <v>62</v>
      </c>
      <c r="S482" s="3" t="s">
        <v>62</v>
      </c>
    </row>
    <row r="483" spans="1:19">
      <c r="A483" s="3" t="s">
        <v>865</v>
      </c>
      <c r="B483" s="31">
        <v>42748.738471724537</v>
      </c>
      <c r="C483" s="31">
        <v>42746.72152777778</v>
      </c>
      <c r="D483" s="3">
        <v>3035690581</v>
      </c>
      <c r="E483" s="3" t="s">
        <v>31</v>
      </c>
      <c r="F483" s="3" t="s">
        <v>227</v>
      </c>
      <c r="G483" s="3" t="s">
        <v>228</v>
      </c>
      <c r="H483" s="3" t="s">
        <v>227</v>
      </c>
      <c r="I483" s="3" t="s">
        <v>228</v>
      </c>
      <c r="J483" s="3" t="s">
        <v>98</v>
      </c>
      <c r="K483" s="3" t="s">
        <v>2977</v>
      </c>
      <c r="L483" s="3" t="s">
        <v>866</v>
      </c>
      <c r="M483" s="3" t="s">
        <v>59</v>
      </c>
      <c r="N483" s="3" t="s">
        <v>60</v>
      </c>
      <c r="O483" s="3" t="s">
        <v>147</v>
      </c>
      <c r="P483" s="3" t="s">
        <v>875</v>
      </c>
      <c r="Q483" s="31">
        <v>42748</v>
      </c>
      <c r="R483" s="3" t="s">
        <v>62</v>
      </c>
      <c r="S483" s="3" t="s">
        <v>92</v>
      </c>
    </row>
    <row r="484" spans="1:19">
      <c r="A484" s="3" t="s">
        <v>865</v>
      </c>
      <c r="B484" s="31">
        <v>42748.738471724537</v>
      </c>
      <c r="C484" s="31">
        <v>42746.75</v>
      </c>
      <c r="D484" s="3">
        <v>3035692675</v>
      </c>
      <c r="E484" s="3" t="s">
        <v>23</v>
      </c>
      <c r="F484" s="3" t="s">
        <v>119</v>
      </c>
      <c r="G484" s="3" t="s">
        <v>120</v>
      </c>
      <c r="H484" s="3" t="s">
        <v>119</v>
      </c>
      <c r="I484" s="3" t="s">
        <v>120</v>
      </c>
      <c r="J484" s="3" t="s">
        <v>69</v>
      </c>
      <c r="K484" s="3" t="s">
        <v>2976</v>
      </c>
      <c r="L484" s="3" t="s">
        <v>866</v>
      </c>
      <c r="M484" s="3" t="s">
        <v>59</v>
      </c>
      <c r="N484" s="3" t="s">
        <v>60</v>
      </c>
      <c r="O484" s="3" t="s">
        <v>147</v>
      </c>
      <c r="P484" s="3" t="s">
        <v>875</v>
      </c>
      <c r="Q484" s="31">
        <v>42747</v>
      </c>
      <c r="R484" s="3" t="s">
        <v>62</v>
      </c>
      <c r="S484" s="3" t="s">
        <v>62</v>
      </c>
    </row>
    <row r="485" spans="1:19">
      <c r="A485" s="3" t="s">
        <v>865</v>
      </c>
      <c r="B485" s="31">
        <v>42748.738471724537</v>
      </c>
      <c r="C485" s="31">
        <v>42746.763888888891</v>
      </c>
      <c r="D485" s="3">
        <v>3035693640</v>
      </c>
      <c r="E485" s="3" t="s">
        <v>23</v>
      </c>
      <c r="F485" s="3" t="s">
        <v>131</v>
      </c>
      <c r="G485" s="3" t="s">
        <v>132</v>
      </c>
      <c r="H485" s="3" t="s">
        <v>131</v>
      </c>
      <c r="I485" s="3" t="s">
        <v>132</v>
      </c>
      <c r="J485" s="3" t="s">
        <v>69</v>
      </c>
      <c r="K485" s="3" t="s">
        <v>2976</v>
      </c>
      <c r="L485" s="3" t="s">
        <v>866</v>
      </c>
      <c r="M485" s="3" t="s">
        <v>59</v>
      </c>
      <c r="N485" s="3" t="s">
        <v>60</v>
      </c>
      <c r="O485" s="3" t="s">
        <v>147</v>
      </c>
      <c r="P485" s="3" t="s">
        <v>875</v>
      </c>
      <c r="Q485" s="31">
        <v>42747</v>
      </c>
      <c r="R485" s="3" t="s">
        <v>62</v>
      </c>
      <c r="S485" s="3" t="s">
        <v>62</v>
      </c>
    </row>
    <row r="486" spans="1:19">
      <c r="A486" s="3" t="s">
        <v>865</v>
      </c>
      <c r="B486" s="31">
        <v>42748.738471724537</v>
      </c>
      <c r="C486" s="31">
        <v>42746.768055555556</v>
      </c>
      <c r="D486" s="3">
        <v>3035692110</v>
      </c>
      <c r="E486" s="3" t="s">
        <v>273</v>
      </c>
      <c r="F486" s="3" t="s">
        <v>263</v>
      </c>
      <c r="G486" s="3" t="s">
        <v>264</v>
      </c>
      <c r="H486" s="3" t="s">
        <v>263</v>
      </c>
      <c r="I486" s="3" t="s">
        <v>264</v>
      </c>
      <c r="J486" s="3" t="s">
        <v>69</v>
      </c>
      <c r="K486" s="3" t="s">
        <v>2977</v>
      </c>
      <c r="L486" s="3" t="s">
        <v>871</v>
      </c>
      <c r="M486" s="3" t="s">
        <v>84</v>
      </c>
      <c r="N486" s="3" t="s">
        <v>85</v>
      </c>
      <c r="O486" s="3" t="s">
        <v>322</v>
      </c>
      <c r="P486" s="3" t="s">
        <v>872</v>
      </c>
      <c r="Q486" s="31">
        <v>42753</v>
      </c>
      <c r="R486" s="3" t="s">
        <v>62</v>
      </c>
      <c r="S486" s="3" t="s">
        <v>2985</v>
      </c>
    </row>
    <row r="487" spans="1:19">
      <c r="A487" s="3" t="s">
        <v>877</v>
      </c>
      <c r="B487" s="31">
        <v>42748.738471724537</v>
      </c>
      <c r="C487" s="31">
        <v>42746.769444444442</v>
      </c>
      <c r="D487" s="3">
        <v>3035693916</v>
      </c>
      <c r="E487" s="3" t="s">
        <v>273</v>
      </c>
      <c r="F487" s="3" t="s">
        <v>141</v>
      </c>
      <c r="G487" s="3" t="s">
        <v>560</v>
      </c>
      <c r="H487" s="3" t="s">
        <v>141</v>
      </c>
      <c r="I487" s="3" t="s">
        <v>560</v>
      </c>
      <c r="J487" s="3" t="s">
        <v>144</v>
      </c>
      <c r="K487" s="3" t="s">
        <v>2977</v>
      </c>
      <c r="L487" s="3" t="s">
        <v>866</v>
      </c>
      <c r="M487" s="3" t="s">
        <v>70</v>
      </c>
      <c r="N487" s="3" t="s">
        <v>71</v>
      </c>
      <c r="O487" s="3" t="s">
        <v>3086</v>
      </c>
      <c r="P487" s="3" t="s">
        <v>875</v>
      </c>
      <c r="Q487" s="31">
        <v>42747</v>
      </c>
      <c r="R487" s="3" t="s">
        <v>62</v>
      </c>
      <c r="S487" s="3" t="s">
        <v>2985</v>
      </c>
    </row>
    <row r="488" spans="1:19">
      <c r="A488" s="3" t="s">
        <v>865</v>
      </c>
      <c r="B488" s="31">
        <v>42748.738471724537</v>
      </c>
      <c r="C488" s="31">
        <v>42746.78402777778</v>
      </c>
      <c r="D488" s="3">
        <v>3035694655</v>
      </c>
      <c r="E488" s="3" t="s">
        <v>273</v>
      </c>
      <c r="F488" s="3" t="s">
        <v>854</v>
      </c>
      <c r="G488" s="3" t="s">
        <v>846</v>
      </c>
      <c r="H488" s="3" t="s">
        <v>854</v>
      </c>
      <c r="I488" s="3" t="s">
        <v>846</v>
      </c>
      <c r="J488" s="3" t="s">
        <v>144</v>
      </c>
      <c r="K488" s="3" t="s">
        <v>2977</v>
      </c>
      <c r="L488" s="3" t="s">
        <v>866</v>
      </c>
      <c r="M488" s="3" t="s">
        <v>59</v>
      </c>
      <c r="N488" s="3" t="s">
        <v>60</v>
      </c>
      <c r="O488" s="3" t="s">
        <v>147</v>
      </c>
      <c r="P488" s="3" t="s">
        <v>875</v>
      </c>
      <c r="Q488" s="31">
        <v>42747</v>
      </c>
      <c r="R488" s="3" t="s">
        <v>62</v>
      </c>
      <c r="S488" s="3" t="s">
        <v>2985</v>
      </c>
    </row>
    <row r="489" spans="1:19">
      <c r="A489" s="3" t="s">
        <v>865</v>
      </c>
      <c r="B489" s="31">
        <v>42748.738471724537</v>
      </c>
      <c r="C489" s="31">
        <v>42746.8125</v>
      </c>
      <c r="D489" s="3">
        <v>3035692371</v>
      </c>
      <c r="E489" s="3" t="s">
        <v>39</v>
      </c>
      <c r="F489" s="3" t="s">
        <v>236</v>
      </c>
      <c r="G489" s="3" t="s">
        <v>237</v>
      </c>
      <c r="H489" s="3" t="s">
        <v>236</v>
      </c>
      <c r="I489" s="3" t="s">
        <v>237</v>
      </c>
      <c r="J489" s="3" t="s">
        <v>69</v>
      </c>
      <c r="K489" s="3" t="s">
        <v>2977</v>
      </c>
      <c r="L489" s="3" t="s">
        <v>866</v>
      </c>
      <c r="M489" s="3" t="s">
        <v>70</v>
      </c>
      <c r="N489" s="3" t="s">
        <v>71</v>
      </c>
      <c r="O489" s="3" t="s">
        <v>3067</v>
      </c>
      <c r="P489" s="3" t="s">
        <v>872</v>
      </c>
      <c r="Q489" s="31">
        <v>42751</v>
      </c>
      <c r="R489" s="3" t="s">
        <v>62</v>
      </c>
      <c r="S489" s="3" t="s">
        <v>92</v>
      </c>
    </row>
    <row r="490" spans="1:19">
      <c r="A490" s="3" t="s">
        <v>865</v>
      </c>
      <c r="B490" s="31">
        <v>42748.738471724537</v>
      </c>
      <c r="C490" s="31">
        <v>42746.81527777778</v>
      </c>
      <c r="D490" s="3">
        <v>3035690243</v>
      </c>
      <c r="E490" s="3" t="s">
        <v>39</v>
      </c>
      <c r="F490" s="3" t="s">
        <v>248</v>
      </c>
      <c r="G490" s="3" t="s">
        <v>249</v>
      </c>
      <c r="H490" s="3" t="s">
        <v>248</v>
      </c>
      <c r="I490" s="3" t="s">
        <v>249</v>
      </c>
      <c r="J490" s="3" t="s">
        <v>69</v>
      </c>
      <c r="K490" s="3" t="s">
        <v>2977</v>
      </c>
      <c r="L490" s="3" t="s">
        <v>866</v>
      </c>
      <c r="M490" s="3" t="s">
        <v>59</v>
      </c>
      <c r="N490" s="3" t="s">
        <v>60</v>
      </c>
      <c r="O490" s="3" t="s">
        <v>147</v>
      </c>
      <c r="P490" s="3" t="s">
        <v>875</v>
      </c>
      <c r="Q490" s="31">
        <v>42748</v>
      </c>
      <c r="R490" s="3" t="s">
        <v>62</v>
      </c>
      <c r="S490" s="3" t="s">
        <v>92</v>
      </c>
    </row>
    <row r="491" spans="1:19">
      <c r="A491" s="3" t="s">
        <v>865</v>
      </c>
      <c r="B491" s="31">
        <v>42748.738471724537</v>
      </c>
      <c r="C491" s="31">
        <v>42746.822222222225</v>
      </c>
      <c r="D491" s="3">
        <v>3035691823</v>
      </c>
      <c r="E491" s="3" t="s">
        <v>23</v>
      </c>
      <c r="F491" s="3" t="s">
        <v>129</v>
      </c>
      <c r="G491" s="3" t="s">
        <v>130</v>
      </c>
      <c r="H491" s="3" t="s">
        <v>139</v>
      </c>
      <c r="I491" s="3" t="s">
        <v>140</v>
      </c>
      <c r="J491" s="3" t="s">
        <v>58</v>
      </c>
      <c r="K491" s="3" t="s">
        <v>2977</v>
      </c>
      <c r="L491" s="3" t="s">
        <v>866</v>
      </c>
      <c r="M491" s="3" t="s">
        <v>70</v>
      </c>
      <c r="N491" s="3" t="s">
        <v>71</v>
      </c>
      <c r="O491" s="3" t="s">
        <v>884</v>
      </c>
      <c r="P491" s="3" t="s">
        <v>875</v>
      </c>
      <c r="Q491" s="31">
        <v>42747</v>
      </c>
      <c r="R491" s="3" t="s">
        <v>62</v>
      </c>
      <c r="S491" s="3" t="s">
        <v>529</v>
      </c>
    </row>
    <row r="492" spans="1:19">
      <c r="A492" s="3" t="s">
        <v>865</v>
      </c>
      <c r="B492" s="31">
        <v>42748.738471724537</v>
      </c>
      <c r="C492" s="31">
        <v>42746.910416666666</v>
      </c>
      <c r="D492" s="3">
        <v>3035700162</v>
      </c>
      <c r="E492" s="3" t="s">
        <v>23</v>
      </c>
      <c r="F492" s="3" t="s">
        <v>179</v>
      </c>
      <c r="G492" s="3" t="s">
        <v>180</v>
      </c>
      <c r="H492" s="3" t="s">
        <v>179</v>
      </c>
      <c r="I492" s="3" t="s">
        <v>180</v>
      </c>
      <c r="J492" s="3" t="s">
        <v>69</v>
      </c>
      <c r="K492" s="3" t="s">
        <v>2976</v>
      </c>
      <c r="L492" s="3" t="s">
        <v>866</v>
      </c>
      <c r="M492" s="3" t="s">
        <v>59</v>
      </c>
      <c r="N492" s="3" t="s">
        <v>60</v>
      </c>
      <c r="O492" s="3" t="s">
        <v>147</v>
      </c>
      <c r="P492" s="3" t="s">
        <v>875</v>
      </c>
      <c r="Q492" s="31">
        <v>42747</v>
      </c>
      <c r="R492" s="3" t="s">
        <v>62</v>
      </c>
      <c r="S492" s="3" t="s">
        <v>62</v>
      </c>
    </row>
    <row r="493" spans="1:19">
      <c r="A493" s="3" t="e">
        <v>#N/A</v>
      </c>
      <c r="B493" s="31" t="e">
        <v>#N/A</v>
      </c>
      <c r="C493" s="31">
        <v>42747.398611111108</v>
      </c>
      <c r="D493" s="3">
        <v>3035467524</v>
      </c>
      <c r="E493" s="3" t="s">
        <v>9</v>
      </c>
      <c r="F493" s="3" t="s">
        <v>56</v>
      </c>
      <c r="G493" s="3" t="s">
        <v>57</v>
      </c>
      <c r="H493" s="3" t="s">
        <v>883</v>
      </c>
      <c r="I493" s="3" t="s">
        <v>96</v>
      </c>
      <c r="J493" s="3" t="s">
        <v>69</v>
      </c>
      <c r="K493" s="3" t="s">
        <v>2977</v>
      </c>
      <c r="L493" s="3" t="s">
        <v>871</v>
      </c>
      <c r="M493" s="3" t="s">
        <v>65</v>
      </c>
      <c r="N493" s="3" t="s">
        <v>66</v>
      </c>
      <c r="O493" s="3" t="s">
        <v>66</v>
      </c>
      <c r="P493" s="3" t="s">
        <v>872</v>
      </c>
      <c r="Q493" s="31">
        <v>42748</v>
      </c>
      <c r="R493" s="3" t="s">
        <v>62</v>
      </c>
      <c r="S493" s="3" t="s">
        <v>65</v>
      </c>
    </row>
    <row r="494" spans="1:19">
      <c r="A494" s="3" t="s">
        <v>865</v>
      </c>
      <c r="B494" s="31">
        <v>42749.737991238428</v>
      </c>
      <c r="C494" s="31">
        <v>42747.545138888891</v>
      </c>
      <c r="D494" s="3">
        <v>3035643894</v>
      </c>
      <c r="E494" s="3" t="s">
        <v>31</v>
      </c>
      <c r="F494" s="3" t="s">
        <v>3043</v>
      </c>
      <c r="G494" s="3" t="s">
        <v>3044</v>
      </c>
      <c r="H494" s="3" t="s">
        <v>209</v>
      </c>
      <c r="I494" s="3" t="s">
        <v>210</v>
      </c>
      <c r="J494" s="3" t="s">
        <v>69</v>
      </c>
      <c r="K494" s="3" t="s">
        <v>2977</v>
      </c>
      <c r="L494" s="3" t="s">
        <v>871</v>
      </c>
      <c r="M494" s="3" t="s">
        <v>84</v>
      </c>
      <c r="N494" s="3" t="s">
        <v>85</v>
      </c>
      <c r="O494" s="3" t="s">
        <v>893</v>
      </c>
      <c r="P494" s="3" t="s">
        <v>875</v>
      </c>
      <c r="Q494" s="31">
        <v>42754</v>
      </c>
      <c r="R494" s="3" t="s">
        <v>62</v>
      </c>
      <c r="S494" s="3" t="s">
        <v>529</v>
      </c>
    </row>
    <row r="495" spans="1:19">
      <c r="A495" s="3" t="s">
        <v>865</v>
      </c>
      <c r="B495" s="31">
        <v>42749.737991238428</v>
      </c>
      <c r="C495" s="31">
        <v>42747.415972222225</v>
      </c>
      <c r="D495" s="3">
        <v>3035713500</v>
      </c>
      <c r="E495" s="3" t="s">
        <v>9</v>
      </c>
      <c r="F495" s="3" t="s">
        <v>101</v>
      </c>
      <c r="G495" s="3" t="s">
        <v>102</v>
      </c>
      <c r="H495" s="3" t="s">
        <v>101</v>
      </c>
      <c r="I495" s="3" t="s">
        <v>102</v>
      </c>
      <c r="J495" s="3" t="s">
        <v>69</v>
      </c>
      <c r="K495" s="3" t="s">
        <v>2976</v>
      </c>
      <c r="L495" s="3" t="s">
        <v>866</v>
      </c>
      <c r="M495" s="3" t="s">
        <v>59</v>
      </c>
      <c r="N495" s="3" t="s">
        <v>60</v>
      </c>
      <c r="O495" s="3" t="s">
        <v>147</v>
      </c>
      <c r="P495" s="3" t="s">
        <v>872</v>
      </c>
      <c r="Q495" s="31">
        <v>42751</v>
      </c>
      <c r="R495" s="3" t="s">
        <v>62</v>
      </c>
      <c r="S495" s="3" t="s">
        <v>62</v>
      </c>
    </row>
    <row r="496" spans="1:19">
      <c r="A496" s="3" t="s">
        <v>868</v>
      </c>
      <c r="B496" s="31">
        <v>42749.737991238428</v>
      </c>
      <c r="C496" s="31">
        <v>42747.439583333333</v>
      </c>
      <c r="D496" s="3">
        <v>3035714034</v>
      </c>
      <c r="E496" s="3" t="s">
        <v>31</v>
      </c>
      <c r="F496" s="3" t="s">
        <v>223</v>
      </c>
      <c r="G496" s="3" t="s">
        <v>224</v>
      </c>
      <c r="H496" s="3" t="s">
        <v>223</v>
      </c>
      <c r="I496" s="3" t="s">
        <v>224</v>
      </c>
      <c r="J496" s="3" t="s">
        <v>69</v>
      </c>
      <c r="K496" s="3" t="s">
        <v>2977</v>
      </c>
      <c r="L496" s="3" t="s">
        <v>866</v>
      </c>
      <c r="M496" s="3" t="s">
        <v>59</v>
      </c>
      <c r="N496" s="3" t="s">
        <v>60</v>
      </c>
      <c r="O496" s="3" t="s">
        <v>147</v>
      </c>
      <c r="P496" s="3" t="s">
        <v>872</v>
      </c>
      <c r="Q496" s="31">
        <v>42748</v>
      </c>
      <c r="R496" s="3" t="s">
        <v>62</v>
      </c>
      <c r="S496" s="3" t="s">
        <v>92</v>
      </c>
    </row>
    <row r="497" spans="1:19">
      <c r="A497" s="3" t="s">
        <v>865</v>
      </c>
      <c r="B497" s="31">
        <v>42749.737991238428</v>
      </c>
      <c r="C497" s="31">
        <v>42747.459722222222</v>
      </c>
      <c r="D497" s="3">
        <v>3035714417</v>
      </c>
      <c r="E497" s="3" t="s">
        <v>31</v>
      </c>
      <c r="F497" s="3" t="s">
        <v>200</v>
      </c>
      <c r="G497" s="3" t="s">
        <v>201</v>
      </c>
      <c r="H497" s="3" t="s">
        <v>200</v>
      </c>
      <c r="I497" s="3" t="s">
        <v>201</v>
      </c>
      <c r="J497" s="3" t="s">
        <v>99</v>
      </c>
      <c r="K497" s="3" t="s">
        <v>2977</v>
      </c>
      <c r="L497" s="3" t="s">
        <v>866</v>
      </c>
      <c r="M497" s="3" t="s">
        <v>59</v>
      </c>
      <c r="N497" s="3" t="s">
        <v>60</v>
      </c>
      <c r="O497" s="3" t="s">
        <v>147</v>
      </c>
      <c r="P497" s="3" t="s">
        <v>872</v>
      </c>
      <c r="Q497" s="31">
        <v>42748</v>
      </c>
      <c r="R497" s="3" t="s">
        <v>62</v>
      </c>
      <c r="S497" s="3" t="s">
        <v>92</v>
      </c>
    </row>
    <row r="498" spans="1:19">
      <c r="A498" s="3" t="s">
        <v>868</v>
      </c>
      <c r="B498" s="31">
        <v>42749.737991238428</v>
      </c>
      <c r="C498" s="31">
        <v>42747.459722222222</v>
      </c>
      <c r="D498" s="3">
        <v>3035714571</v>
      </c>
      <c r="E498" s="3" t="s">
        <v>9</v>
      </c>
      <c r="F498" s="3" t="s">
        <v>73</v>
      </c>
      <c r="G498" s="3" t="s">
        <v>74</v>
      </c>
      <c r="H498" s="3" t="s">
        <v>73</v>
      </c>
      <c r="I498" s="3" t="s">
        <v>74</v>
      </c>
      <c r="J498" s="3" t="s">
        <v>69</v>
      </c>
      <c r="K498" s="3" t="s">
        <v>2976</v>
      </c>
      <c r="L498" s="3" t="s">
        <v>871</v>
      </c>
      <c r="M498" s="3" t="s">
        <v>84</v>
      </c>
      <c r="N498" s="3" t="s">
        <v>85</v>
      </c>
      <c r="O498" s="3" t="s">
        <v>3087</v>
      </c>
      <c r="P498" s="3" t="s">
        <v>872</v>
      </c>
      <c r="Q498" s="31">
        <v>42748</v>
      </c>
      <c r="R498" s="3" t="s">
        <v>62</v>
      </c>
      <c r="S498" s="3" t="s">
        <v>62</v>
      </c>
    </row>
    <row r="499" spans="1:19">
      <c r="A499" s="3" t="s">
        <v>865</v>
      </c>
      <c r="B499" s="31">
        <v>42749.737991238428</v>
      </c>
      <c r="C499" s="31">
        <v>42747.463888888888</v>
      </c>
      <c r="D499" s="3">
        <v>3035679157</v>
      </c>
      <c r="E499" s="3" t="s">
        <v>31</v>
      </c>
      <c r="F499" s="3" t="s">
        <v>156</v>
      </c>
      <c r="G499" s="3" t="s">
        <v>157</v>
      </c>
      <c r="H499" s="3" t="s">
        <v>209</v>
      </c>
      <c r="I499" s="3" t="s">
        <v>210</v>
      </c>
      <c r="J499" s="3" t="s">
        <v>97</v>
      </c>
      <c r="K499" s="3" t="s">
        <v>2977</v>
      </c>
      <c r="L499" s="3" t="s">
        <v>866</v>
      </c>
      <c r="M499" s="3" t="s">
        <v>70</v>
      </c>
      <c r="N499" s="3" t="s">
        <v>71</v>
      </c>
      <c r="O499" s="3" t="s">
        <v>3067</v>
      </c>
      <c r="P499" s="3" t="s">
        <v>872</v>
      </c>
      <c r="Q499" s="31">
        <v>42748</v>
      </c>
      <c r="R499" s="3" t="s">
        <v>62</v>
      </c>
      <c r="S499" s="3" t="s">
        <v>529</v>
      </c>
    </row>
    <row r="500" spans="1:19">
      <c r="A500" s="3" t="s">
        <v>873</v>
      </c>
      <c r="B500" s="31">
        <v>42749.737991238428</v>
      </c>
      <c r="C500" s="31">
        <v>42747.467361111114</v>
      </c>
      <c r="D500" s="3">
        <v>3035714777</v>
      </c>
      <c r="E500" s="3" t="s">
        <v>9</v>
      </c>
      <c r="F500" s="3" t="s">
        <v>107</v>
      </c>
      <c r="G500" s="3" t="s">
        <v>108</v>
      </c>
      <c r="H500" s="3" t="s">
        <v>107</v>
      </c>
      <c r="I500" s="3" t="s">
        <v>108</v>
      </c>
      <c r="J500" s="3" t="s">
        <v>69</v>
      </c>
      <c r="K500" s="3" t="s">
        <v>2976</v>
      </c>
      <c r="L500" s="3" t="s">
        <v>871</v>
      </c>
      <c r="M500" s="3" t="s">
        <v>84</v>
      </c>
      <c r="N500" s="3" t="s">
        <v>85</v>
      </c>
      <c r="O500" s="3" t="s">
        <v>3087</v>
      </c>
      <c r="P500" s="3" t="s">
        <v>872</v>
      </c>
      <c r="Q500" s="31">
        <v>42748</v>
      </c>
      <c r="R500" s="3" t="s">
        <v>62</v>
      </c>
      <c r="S500" s="3" t="s">
        <v>62</v>
      </c>
    </row>
    <row r="501" spans="1:19">
      <c r="A501" s="3" t="s">
        <v>877</v>
      </c>
      <c r="B501" s="31">
        <v>42749.737991238428</v>
      </c>
      <c r="C501" s="31">
        <v>42747.479166666664</v>
      </c>
      <c r="D501" s="3">
        <v>3035715129</v>
      </c>
      <c r="E501" s="3" t="s">
        <v>9</v>
      </c>
      <c r="F501" s="3" t="s">
        <v>87</v>
      </c>
      <c r="G501" s="3" t="s">
        <v>88</v>
      </c>
      <c r="H501" s="3" t="s">
        <v>87</v>
      </c>
      <c r="I501" s="3" t="s">
        <v>88</v>
      </c>
      <c r="J501" s="3" t="s">
        <v>69</v>
      </c>
      <c r="K501" s="3" t="s">
        <v>2976</v>
      </c>
      <c r="L501" s="3" t="s">
        <v>866</v>
      </c>
      <c r="M501" s="3" t="s">
        <v>70</v>
      </c>
      <c r="N501" s="3" t="s">
        <v>71</v>
      </c>
      <c r="O501" s="3" t="s">
        <v>3079</v>
      </c>
      <c r="P501" s="3" t="s">
        <v>872</v>
      </c>
      <c r="Q501" s="31">
        <v>42748</v>
      </c>
      <c r="R501" s="3" t="s">
        <v>62</v>
      </c>
      <c r="S501" s="3" t="s">
        <v>62</v>
      </c>
    </row>
    <row r="502" spans="1:19">
      <c r="A502" s="3" t="e">
        <v>#N/A</v>
      </c>
      <c r="B502" s="31" t="e">
        <v>#N/A</v>
      </c>
      <c r="C502" s="31">
        <v>42747.481944444444</v>
      </c>
      <c r="D502" s="3">
        <v>3035270797</v>
      </c>
      <c r="E502" s="3" t="s">
        <v>39</v>
      </c>
      <c r="F502" s="3" t="s">
        <v>242</v>
      </c>
      <c r="G502" s="3" t="s">
        <v>243</v>
      </c>
      <c r="H502" s="3" t="s">
        <v>103</v>
      </c>
      <c r="I502" s="3" t="s">
        <v>104</v>
      </c>
      <c r="J502" s="3" t="s">
        <v>99</v>
      </c>
      <c r="K502" s="3" t="s">
        <v>2977</v>
      </c>
      <c r="L502" s="3" t="s">
        <v>866</v>
      </c>
      <c r="M502" s="3" t="s">
        <v>70</v>
      </c>
      <c r="N502" s="3" t="s">
        <v>66</v>
      </c>
      <c r="O502" s="3" t="s">
        <v>66</v>
      </c>
      <c r="P502" s="3" t="s">
        <v>872</v>
      </c>
      <c r="Q502" s="31">
        <v>42748</v>
      </c>
      <c r="R502" s="3" t="s">
        <v>62</v>
      </c>
      <c r="S502" s="3" t="s">
        <v>65</v>
      </c>
    </row>
    <row r="503" spans="1:19">
      <c r="A503" s="3" t="s">
        <v>865</v>
      </c>
      <c r="B503" s="31">
        <v>42749.737991238428</v>
      </c>
      <c r="C503" s="31">
        <v>42747.488888888889</v>
      </c>
      <c r="D503" s="3">
        <v>3035714351</v>
      </c>
      <c r="E503" s="3" t="s">
        <v>9</v>
      </c>
      <c r="F503" s="3" t="s">
        <v>94</v>
      </c>
      <c r="G503" s="3" t="s">
        <v>95</v>
      </c>
      <c r="H503" s="3" t="s">
        <v>94</v>
      </c>
      <c r="I503" s="3" t="s">
        <v>95</v>
      </c>
      <c r="J503" s="3" t="s">
        <v>58</v>
      </c>
      <c r="K503" s="3" t="s">
        <v>2976</v>
      </c>
      <c r="L503" s="3" t="s">
        <v>866</v>
      </c>
      <c r="M503" s="3" t="s">
        <v>59</v>
      </c>
      <c r="N503" s="3" t="s">
        <v>60</v>
      </c>
      <c r="O503" s="3" t="s">
        <v>147</v>
      </c>
      <c r="P503" s="3" t="s">
        <v>872</v>
      </c>
      <c r="Q503" s="31">
        <v>42748</v>
      </c>
      <c r="R503" s="3" t="s">
        <v>62</v>
      </c>
      <c r="S503" s="3" t="s">
        <v>62</v>
      </c>
    </row>
    <row r="504" spans="1:19">
      <c r="A504" s="3" t="s">
        <v>868</v>
      </c>
      <c r="B504" s="31">
        <v>42749.737991238428</v>
      </c>
      <c r="C504" s="31">
        <v>42747.492361111108</v>
      </c>
      <c r="D504" s="3">
        <v>3035715381</v>
      </c>
      <c r="E504" s="3" t="s">
        <v>273</v>
      </c>
      <c r="F504" s="3" t="s">
        <v>262</v>
      </c>
      <c r="G504" s="3" t="s">
        <v>874</v>
      </c>
      <c r="H504" s="3" t="s">
        <v>262</v>
      </c>
      <c r="I504" s="3" t="s">
        <v>874</v>
      </c>
      <c r="J504" s="3" t="s">
        <v>98</v>
      </c>
      <c r="K504" s="3" t="s">
        <v>2977</v>
      </c>
      <c r="L504" s="3" t="s">
        <v>866</v>
      </c>
      <c r="M504" s="3" t="s">
        <v>59</v>
      </c>
      <c r="N504" s="3" t="s">
        <v>60</v>
      </c>
      <c r="O504" s="3" t="s">
        <v>147</v>
      </c>
      <c r="P504" s="3" t="s">
        <v>872</v>
      </c>
      <c r="Q504" s="31">
        <v>42748</v>
      </c>
      <c r="R504" s="3" t="s">
        <v>62</v>
      </c>
      <c r="S504" s="3" t="s">
        <v>2985</v>
      </c>
    </row>
    <row r="505" spans="1:19">
      <c r="A505" s="3" t="s">
        <v>873</v>
      </c>
      <c r="B505" s="31">
        <v>42749.737991238428</v>
      </c>
      <c r="C505" s="31">
        <v>42747.503472222219</v>
      </c>
      <c r="D505" s="3">
        <v>3035715866</v>
      </c>
      <c r="E505" s="3" t="s">
        <v>23</v>
      </c>
      <c r="F505" s="3" t="s">
        <v>154</v>
      </c>
      <c r="G505" s="3" t="s">
        <v>155</v>
      </c>
      <c r="H505" s="3" t="s">
        <v>154</v>
      </c>
      <c r="I505" s="3" t="s">
        <v>155</v>
      </c>
      <c r="J505" s="3" t="s">
        <v>69</v>
      </c>
      <c r="K505" s="3" t="s">
        <v>2976</v>
      </c>
      <c r="L505" s="3" t="s">
        <v>866</v>
      </c>
      <c r="M505" s="3" t="s">
        <v>70</v>
      </c>
      <c r="N505" s="3" t="s">
        <v>71</v>
      </c>
      <c r="O505" s="3" t="s">
        <v>3079</v>
      </c>
      <c r="P505" s="3" t="s">
        <v>872</v>
      </c>
      <c r="Q505" s="31">
        <v>42748</v>
      </c>
      <c r="R505" s="3" t="s">
        <v>62</v>
      </c>
      <c r="S505" s="3" t="s">
        <v>62</v>
      </c>
    </row>
    <row r="506" spans="1:19">
      <c r="A506" s="3" t="s">
        <v>865</v>
      </c>
      <c r="B506" s="31">
        <v>42749.737991238428</v>
      </c>
      <c r="C506" s="31">
        <v>42747.513194444444</v>
      </c>
      <c r="D506" s="3">
        <v>3035715394</v>
      </c>
      <c r="E506" s="3" t="s">
        <v>9</v>
      </c>
      <c r="F506" s="3" t="s">
        <v>111</v>
      </c>
      <c r="G506" s="3" t="s">
        <v>112</v>
      </c>
      <c r="H506" s="3" t="s">
        <v>111</v>
      </c>
      <c r="I506" s="3" t="s">
        <v>112</v>
      </c>
      <c r="J506" s="3" t="s">
        <v>79</v>
      </c>
      <c r="K506" s="3" t="s">
        <v>2976</v>
      </c>
      <c r="L506" s="3" t="s">
        <v>866</v>
      </c>
      <c r="M506" s="3" t="s">
        <v>59</v>
      </c>
      <c r="N506" s="3" t="s">
        <v>60</v>
      </c>
      <c r="O506" s="3" t="s">
        <v>147</v>
      </c>
      <c r="P506" s="3" t="s">
        <v>872</v>
      </c>
      <c r="Q506" s="31">
        <v>42748</v>
      </c>
      <c r="R506" s="3" t="s">
        <v>62</v>
      </c>
      <c r="S506" s="3" t="s">
        <v>62</v>
      </c>
    </row>
    <row r="507" spans="1:19">
      <c r="A507" s="3" t="s">
        <v>868</v>
      </c>
      <c r="B507" s="31">
        <v>42749.737991238428</v>
      </c>
      <c r="C507" s="31">
        <v>42747.518750000003</v>
      </c>
      <c r="D507" s="3">
        <v>3035716228</v>
      </c>
      <c r="E507" s="3" t="s">
        <v>23</v>
      </c>
      <c r="F507" s="3" t="s">
        <v>135</v>
      </c>
      <c r="G507" s="3" t="s">
        <v>136</v>
      </c>
      <c r="H507" s="3" t="s">
        <v>135</v>
      </c>
      <c r="I507" s="3" t="s">
        <v>136</v>
      </c>
      <c r="J507" s="3" t="s">
        <v>69</v>
      </c>
      <c r="K507" s="3" t="s">
        <v>2976</v>
      </c>
      <c r="L507" s="3" t="s">
        <v>866</v>
      </c>
      <c r="M507" s="3" t="s">
        <v>59</v>
      </c>
      <c r="N507" s="3" t="s">
        <v>60</v>
      </c>
      <c r="O507" s="3" t="s">
        <v>147</v>
      </c>
      <c r="P507" s="3" t="s">
        <v>872</v>
      </c>
      <c r="Q507" s="31">
        <v>42748</v>
      </c>
      <c r="R507" s="3" t="s">
        <v>62</v>
      </c>
      <c r="S507" s="3" t="s">
        <v>62</v>
      </c>
    </row>
    <row r="508" spans="1:19">
      <c r="A508" s="3" t="s">
        <v>873</v>
      </c>
      <c r="B508" s="31">
        <v>42749.737991238428</v>
      </c>
      <c r="C508" s="31">
        <v>42747.519444444442</v>
      </c>
      <c r="D508" s="3">
        <v>3035715646</v>
      </c>
      <c r="E508" s="3" t="s">
        <v>23</v>
      </c>
      <c r="F508" s="3" t="s">
        <v>137</v>
      </c>
      <c r="G508" s="3" t="s">
        <v>138</v>
      </c>
      <c r="H508" s="3" t="s">
        <v>137</v>
      </c>
      <c r="I508" s="3" t="s">
        <v>138</v>
      </c>
      <c r="J508" s="3" t="s">
        <v>69</v>
      </c>
      <c r="K508" s="3" t="s">
        <v>2976</v>
      </c>
      <c r="L508" s="3" t="s">
        <v>866</v>
      </c>
      <c r="M508" s="3" t="s">
        <v>59</v>
      </c>
      <c r="N508" s="3" t="s">
        <v>60</v>
      </c>
      <c r="O508" s="3" t="s">
        <v>147</v>
      </c>
      <c r="P508" s="3" t="s">
        <v>872</v>
      </c>
      <c r="Q508" s="31">
        <v>42748</v>
      </c>
      <c r="R508" s="3" t="s">
        <v>62</v>
      </c>
      <c r="S508" s="3" t="s">
        <v>62</v>
      </c>
    </row>
    <row r="509" spans="1:19">
      <c r="A509" s="3" t="e">
        <v>#N/A</v>
      </c>
      <c r="B509" s="31" t="e">
        <v>#N/A</v>
      </c>
      <c r="C509" s="31">
        <v>42747.523611111108</v>
      </c>
      <c r="D509" s="3">
        <v>3035473679</v>
      </c>
      <c r="E509" s="3" t="s">
        <v>204</v>
      </c>
      <c r="F509" s="3" t="s">
        <v>900</v>
      </c>
      <c r="G509" s="3" t="s">
        <v>602</v>
      </c>
      <c r="H509" s="3" t="s">
        <v>883</v>
      </c>
      <c r="I509" s="3" t="s">
        <v>96</v>
      </c>
      <c r="J509" s="3" t="s">
        <v>99</v>
      </c>
      <c r="K509" s="3" t="s">
        <v>2977</v>
      </c>
      <c r="L509" s="3" t="s">
        <v>866</v>
      </c>
      <c r="M509" s="3" t="s">
        <v>70</v>
      </c>
      <c r="N509" s="3" t="s">
        <v>71</v>
      </c>
      <c r="O509" s="3" t="s">
        <v>3088</v>
      </c>
      <c r="P509" s="3" t="s">
        <v>872</v>
      </c>
      <c r="Q509" s="31">
        <v>42748</v>
      </c>
      <c r="R509" s="3" t="s">
        <v>62</v>
      </c>
      <c r="S509" s="3" t="s">
        <v>65</v>
      </c>
    </row>
    <row r="510" spans="1:19">
      <c r="A510" s="3" t="e">
        <v>#N/A</v>
      </c>
      <c r="B510" s="31" t="e">
        <v>#N/A</v>
      </c>
      <c r="C510" s="31">
        <v>42747.529861111114</v>
      </c>
      <c r="D510" s="3">
        <v>3034062814</v>
      </c>
      <c r="E510" s="3" t="s">
        <v>23</v>
      </c>
      <c r="F510" s="3" t="s">
        <v>186</v>
      </c>
      <c r="G510" s="3" t="s">
        <v>187</v>
      </c>
      <c r="H510" s="3" t="s">
        <v>63</v>
      </c>
      <c r="I510" s="3" t="s">
        <v>64</v>
      </c>
      <c r="J510" s="3" t="s">
        <v>99</v>
      </c>
      <c r="K510" s="3" t="s">
        <v>2977</v>
      </c>
      <c r="L510" s="3" t="s">
        <v>871</v>
      </c>
      <c r="M510" s="3" t="s">
        <v>65</v>
      </c>
      <c r="N510" s="3" t="s">
        <v>66</v>
      </c>
      <c r="O510" s="3" t="s">
        <v>66</v>
      </c>
      <c r="P510" s="3" t="s">
        <v>872</v>
      </c>
      <c r="Q510" s="31">
        <v>42748</v>
      </c>
      <c r="R510" s="3" t="s">
        <v>62</v>
      </c>
      <c r="S510" s="3" t="s">
        <v>65</v>
      </c>
    </row>
    <row r="511" spans="1:19">
      <c r="A511" s="3" t="s">
        <v>868</v>
      </c>
      <c r="B511" s="31">
        <v>42749.737991238428</v>
      </c>
      <c r="C511" s="31">
        <v>42747.544444444444</v>
      </c>
      <c r="D511" s="3">
        <v>3035716294</v>
      </c>
      <c r="E511" s="3" t="s">
        <v>273</v>
      </c>
      <c r="F511" s="3" t="s">
        <v>259</v>
      </c>
      <c r="G511" s="3" t="s">
        <v>260</v>
      </c>
      <c r="H511" s="3" t="s">
        <v>259</v>
      </c>
      <c r="I511" s="3" t="s">
        <v>260</v>
      </c>
      <c r="J511" s="3" t="s">
        <v>98</v>
      </c>
      <c r="K511" s="3" t="s">
        <v>2977</v>
      </c>
      <c r="L511" s="3" t="s">
        <v>866</v>
      </c>
      <c r="M511" s="3" t="s">
        <v>59</v>
      </c>
      <c r="N511" s="3" t="s">
        <v>60</v>
      </c>
      <c r="O511" s="3" t="s">
        <v>147</v>
      </c>
      <c r="P511" s="3" t="s">
        <v>872</v>
      </c>
      <c r="Q511" s="31">
        <v>42748</v>
      </c>
      <c r="R511" s="3" t="s">
        <v>62</v>
      </c>
      <c r="S511" s="3" t="s">
        <v>2985</v>
      </c>
    </row>
    <row r="512" spans="1:19">
      <c r="A512" s="3" t="s">
        <v>865</v>
      </c>
      <c r="B512" s="31">
        <v>42749.737991238428</v>
      </c>
      <c r="C512" s="31">
        <v>42747.571527777778</v>
      </c>
      <c r="D512" s="3">
        <v>3035718430</v>
      </c>
      <c r="E512" s="3" t="s">
        <v>31</v>
      </c>
      <c r="F512" s="3" t="s">
        <v>202</v>
      </c>
      <c r="G512" s="3" t="s">
        <v>203</v>
      </c>
      <c r="H512" s="3" t="s">
        <v>202</v>
      </c>
      <c r="I512" s="3" t="s">
        <v>203</v>
      </c>
      <c r="J512" s="3" t="s">
        <v>69</v>
      </c>
      <c r="K512" s="3" t="s">
        <v>2976</v>
      </c>
      <c r="L512" s="3" t="s">
        <v>871</v>
      </c>
      <c r="M512" s="3" t="s">
        <v>84</v>
      </c>
      <c r="N512" s="3" t="s">
        <v>85</v>
      </c>
      <c r="O512" s="3" t="s">
        <v>888</v>
      </c>
      <c r="P512" s="3" t="s">
        <v>875</v>
      </c>
      <c r="Q512" s="31">
        <v>42754</v>
      </c>
      <c r="R512" s="3" t="s">
        <v>62</v>
      </c>
      <c r="S512" s="3" t="s">
        <v>62</v>
      </c>
    </row>
    <row r="513" spans="1:19">
      <c r="A513" s="3" t="s">
        <v>865</v>
      </c>
      <c r="B513" s="31">
        <v>42749.737991238428</v>
      </c>
      <c r="C513" s="31">
        <v>42747.546527777777</v>
      </c>
      <c r="D513" s="3">
        <v>3035717565</v>
      </c>
      <c r="E513" s="3" t="s">
        <v>23</v>
      </c>
      <c r="F513" s="3" t="s">
        <v>135</v>
      </c>
      <c r="G513" s="3" t="s">
        <v>136</v>
      </c>
      <c r="H513" s="3" t="s">
        <v>135</v>
      </c>
      <c r="I513" s="3" t="s">
        <v>136</v>
      </c>
      <c r="J513" s="3" t="s">
        <v>69</v>
      </c>
      <c r="K513" s="3" t="s">
        <v>2976</v>
      </c>
      <c r="L513" s="3" t="s">
        <v>866</v>
      </c>
      <c r="M513" s="3" t="s">
        <v>59</v>
      </c>
      <c r="N513" s="3" t="s">
        <v>60</v>
      </c>
      <c r="O513" s="3" t="s">
        <v>147</v>
      </c>
      <c r="P513" s="3" t="s">
        <v>872</v>
      </c>
      <c r="Q513" s="31">
        <v>42748</v>
      </c>
      <c r="R513" s="3" t="s">
        <v>62</v>
      </c>
      <c r="S513" s="3" t="s">
        <v>62</v>
      </c>
    </row>
    <row r="514" spans="1:19">
      <c r="A514" s="3" t="s">
        <v>868</v>
      </c>
      <c r="B514" s="31">
        <v>42749.737991238428</v>
      </c>
      <c r="C514" s="31">
        <v>42747.54791666667</v>
      </c>
      <c r="D514" s="3">
        <v>3035717778</v>
      </c>
      <c r="E514" s="3" t="s">
        <v>31</v>
      </c>
      <c r="F514" s="3" t="s">
        <v>200</v>
      </c>
      <c r="G514" s="3" t="s">
        <v>201</v>
      </c>
      <c r="H514" s="3" t="s">
        <v>200</v>
      </c>
      <c r="I514" s="3" t="s">
        <v>201</v>
      </c>
      <c r="J514" s="3" t="s">
        <v>69</v>
      </c>
      <c r="K514" s="3" t="s">
        <v>2977</v>
      </c>
      <c r="L514" s="3" t="s">
        <v>871</v>
      </c>
      <c r="M514" s="3" t="s">
        <v>84</v>
      </c>
      <c r="N514" s="3" t="s">
        <v>85</v>
      </c>
      <c r="O514" s="3" t="s">
        <v>888</v>
      </c>
      <c r="P514" s="3" t="s">
        <v>872</v>
      </c>
      <c r="Q514" s="31">
        <v>42751</v>
      </c>
      <c r="R514" s="3" t="s">
        <v>62</v>
      </c>
      <c r="S514" s="3" t="s">
        <v>92</v>
      </c>
    </row>
    <row r="515" spans="1:19">
      <c r="A515" s="3" t="s">
        <v>865</v>
      </c>
      <c r="B515" s="31">
        <v>42749.737991238428</v>
      </c>
      <c r="C515" s="31">
        <v>42747.557638888888</v>
      </c>
      <c r="D515" s="3">
        <v>3035718129</v>
      </c>
      <c r="E515" s="3" t="s">
        <v>31</v>
      </c>
      <c r="F515" s="3" t="s">
        <v>223</v>
      </c>
      <c r="G515" s="3" t="s">
        <v>224</v>
      </c>
      <c r="H515" s="3" t="s">
        <v>223</v>
      </c>
      <c r="I515" s="3" t="s">
        <v>224</v>
      </c>
      <c r="J515" s="3" t="s">
        <v>69</v>
      </c>
      <c r="K515" s="3" t="s">
        <v>2977</v>
      </c>
      <c r="L515" s="3" t="s">
        <v>866</v>
      </c>
      <c r="M515" s="3" t="s">
        <v>59</v>
      </c>
      <c r="N515" s="3" t="s">
        <v>60</v>
      </c>
      <c r="O515" s="3" t="s">
        <v>147</v>
      </c>
      <c r="P515" s="3" t="s">
        <v>872</v>
      </c>
      <c r="Q515" s="31">
        <v>42748</v>
      </c>
      <c r="R515" s="3" t="s">
        <v>62</v>
      </c>
      <c r="S515" s="3" t="s">
        <v>92</v>
      </c>
    </row>
    <row r="516" spans="1:19">
      <c r="A516" s="3" t="s">
        <v>865</v>
      </c>
      <c r="B516" s="31">
        <v>42749.737991238428</v>
      </c>
      <c r="C516" s="31">
        <v>42747.561111111114</v>
      </c>
      <c r="D516" s="3">
        <v>3035718390</v>
      </c>
      <c r="E516" s="3" t="s">
        <v>31</v>
      </c>
      <c r="F516" s="3" t="s">
        <v>113</v>
      </c>
      <c r="G516" s="3" t="s">
        <v>114</v>
      </c>
      <c r="H516" s="3" t="s">
        <v>113</v>
      </c>
      <c r="I516" s="3" t="s">
        <v>114</v>
      </c>
      <c r="J516" s="3" t="s">
        <v>69</v>
      </c>
      <c r="K516" s="3" t="s">
        <v>2976</v>
      </c>
      <c r="L516" s="3" t="s">
        <v>866</v>
      </c>
      <c r="M516" s="3" t="s">
        <v>59</v>
      </c>
      <c r="N516" s="3" t="s">
        <v>60</v>
      </c>
      <c r="O516" s="3" t="s">
        <v>147</v>
      </c>
      <c r="P516" s="3" t="s">
        <v>872</v>
      </c>
      <c r="Q516" s="31">
        <v>42748</v>
      </c>
      <c r="R516" s="3" t="s">
        <v>62</v>
      </c>
      <c r="S516" s="3" t="s">
        <v>62</v>
      </c>
    </row>
    <row r="517" spans="1:19">
      <c r="A517" s="3" t="s">
        <v>877</v>
      </c>
      <c r="B517" s="31">
        <v>42749.737991238428</v>
      </c>
      <c r="C517" s="31">
        <v>42747.56527777778</v>
      </c>
      <c r="D517" s="3">
        <v>3035716463</v>
      </c>
      <c r="E517" s="3" t="s">
        <v>9</v>
      </c>
      <c r="F517" s="3" t="s">
        <v>107</v>
      </c>
      <c r="G517" s="3" t="s">
        <v>108</v>
      </c>
      <c r="H517" s="3" t="s">
        <v>107</v>
      </c>
      <c r="I517" s="3" t="s">
        <v>108</v>
      </c>
      <c r="J517" s="3" t="s">
        <v>69</v>
      </c>
      <c r="K517" s="3" t="s">
        <v>2976</v>
      </c>
      <c r="L517" s="3" t="s">
        <v>866</v>
      </c>
      <c r="M517" s="3" t="s">
        <v>59</v>
      </c>
      <c r="N517" s="3" t="s">
        <v>60</v>
      </c>
      <c r="O517" s="3" t="s">
        <v>147</v>
      </c>
      <c r="P517" s="3" t="s">
        <v>872</v>
      </c>
      <c r="Q517" s="31">
        <v>42748</v>
      </c>
      <c r="R517" s="3" t="s">
        <v>62</v>
      </c>
      <c r="S517" s="3" t="s">
        <v>62</v>
      </c>
    </row>
    <row r="518" spans="1:19">
      <c r="A518" s="3" t="e">
        <v>#N/A</v>
      </c>
      <c r="B518" s="31" t="e">
        <v>#N/A</v>
      </c>
      <c r="C518" s="31">
        <v>42747.565972222219</v>
      </c>
      <c r="D518" s="3">
        <v>3035477327</v>
      </c>
      <c r="E518" s="3" t="s">
        <v>204</v>
      </c>
      <c r="F518" s="3" t="s">
        <v>900</v>
      </c>
      <c r="G518" s="3" t="s">
        <v>602</v>
      </c>
      <c r="H518" s="3" t="s">
        <v>63</v>
      </c>
      <c r="I518" s="3" t="s">
        <v>64</v>
      </c>
      <c r="J518" s="3" t="s">
        <v>99</v>
      </c>
      <c r="K518" s="3" t="s">
        <v>2977</v>
      </c>
      <c r="L518" s="3" t="s">
        <v>871</v>
      </c>
      <c r="M518" s="3" t="s">
        <v>65</v>
      </c>
      <c r="N518" s="3" t="s">
        <v>66</v>
      </c>
      <c r="O518" s="3" t="s">
        <v>66</v>
      </c>
      <c r="P518" s="3" t="s">
        <v>872</v>
      </c>
      <c r="Q518" s="31">
        <v>42748</v>
      </c>
      <c r="R518" s="3" t="s">
        <v>62</v>
      </c>
      <c r="S518" s="3" t="s">
        <v>65</v>
      </c>
    </row>
    <row r="519" spans="1:19">
      <c r="A519" s="3" t="s">
        <v>865</v>
      </c>
      <c r="B519" s="31">
        <v>42749.737991238428</v>
      </c>
      <c r="C519" s="31">
        <v>42747.576388888891</v>
      </c>
      <c r="D519" s="3">
        <v>3035681574</v>
      </c>
      <c r="E519" s="3" t="s">
        <v>273</v>
      </c>
      <c r="F519" s="3" t="s">
        <v>153</v>
      </c>
      <c r="G519" s="3" t="s">
        <v>892</v>
      </c>
      <c r="H519" s="3" t="s">
        <v>115</v>
      </c>
      <c r="I519" s="3" t="s">
        <v>116</v>
      </c>
      <c r="J519" s="3" t="s">
        <v>69</v>
      </c>
      <c r="K519" s="3" t="s">
        <v>2977</v>
      </c>
      <c r="L519" s="3" t="s">
        <v>866</v>
      </c>
      <c r="M519" s="3" t="s">
        <v>70</v>
      </c>
      <c r="N519" s="3" t="s">
        <v>71</v>
      </c>
      <c r="O519" s="3" t="s">
        <v>3067</v>
      </c>
      <c r="P519" s="3" t="s">
        <v>872</v>
      </c>
      <c r="Q519" s="31">
        <v>42752</v>
      </c>
      <c r="R519" s="3" t="s">
        <v>62</v>
      </c>
      <c r="S519" s="3" t="s">
        <v>529</v>
      </c>
    </row>
    <row r="520" spans="1:19">
      <c r="A520" s="3" t="s">
        <v>877</v>
      </c>
      <c r="B520" s="31">
        <v>42749.737991238428</v>
      </c>
      <c r="C520" s="31">
        <v>42747.572916666664</v>
      </c>
      <c r="D520" s="3">
        <v>3035719071</v>
      </c>
      <c r="E520" s="3" t="s">
        <v>9</v>
      </c>
      <c r="F520" s="3" t="s">
        <v>111</v>
      </c>
      <c r="G520" s="3" t="s">
        <v>112</v>
      </c>
      <c r="H520" s="3" t="s">
        <v>111</v>
      </c>
      <c r="I520" s="3" t="s">
        <v>112</v>
      </c>
      <c r="J520" s="3" t="s">
        <v>69</v>
      </c>
      <c r="K520" s="3" t="s">
        <v>2976</v>
      </c>
      <c r="L520" s="3" t="s">
        <v>866</v>
      </c>
      <c r="M520" s="3" t="s">
        <v>59</v>
      </c>
      <c r="N520" s="3" t="s">
        <v>60</v>
      </c>
      <c r="O520" s="3" t="s">
        <v>147</v>
      </c>
      <c r="P520" s="3" t="s">
        <v>872</v>
      </c>
      <c r="Q520" s="31">
        <v>42748</v>
      </c>
      <c r="R520" s="3" t="s">
        <v>62</v>
      </c>
      <c r="S520" s="3" t="s">
        <v>62</v>
      </c>
    </row>
    <row r="521" spans="1:19">
      <c r="A521" s="3" t="s">
        <v>865</v>
      </c>
      <c r="B521" s="31">
        <v>42749.737991238428</v>
      </c>
      <c r="C521" s="31">
        <v>42747.575694444444</v>
      </c>
      <c r="D521" s="3">
        <v>3035719213</v>
      </c>
      <c r="E521" s="3" t="s">
        <v>9</v>
      </c>
      <c r="F521" s="3" t="s">
        <v>158</v>
      </c>
      <c r="G521" s="3" t="s">
        <v>159</v>
      </c>
      <c r="H521" s="3" t="s">
        <v>158</v>
      </c>
      <c r="I521" s="3" t="s">
        <v>159</v>
      </c>
      <c r="J521" s="3" t="s">
        <v>69</v>
      </c>
      <c r="K521" s="3" t="s">
        <v>2976</v>
      </c>
      <c r="L521" s="3" t="s">
        <v>866</v>
      </c>
      <c r="M521" s="3" t="s">
        <v>59</v>
      </c>
      <c r="N521" s="3" t="s">
        <v>60</v>
      </c>
      <c r="O521" s="3" t="s">
        <v>147</v>
      </c>
      <c r="P521" s="3" t="s">
        <v>872</v>
      </c>
      <c r="Q521" s="31">
        <v>42748</v>
      </c>
      <c r="R521" s="3" t="s">
        <v>62</v>
      </c>
      <c r="S521" s="3" t="s">
        <v>62</v>
      </c>
    </row>
    <row r="522" spans="1:19">
      <c r="A522" s="3" t="s">
        <v>865</v>
      </c>
      <c r="B522" s="31">
        <v>42749.737991238428</v>
      </c>
      <c r="C522" s="31">
        <v>42747.674305555556</v>
      </c>
      <c r="D522" s="3">
        <v>3035724473</v>
      </c>
      <c r="E522" s="3" t="s">
        <v>31</v>
      </c>
      <c r="F522" s="3" t="s">
        <v>113</v>
      </c>
      <c r="G522" s="3" t="s">
        <v>114</v>
      </c>
      <c r="H522" s="3" t="s">
        <v>113</v>
      </c>
      <c r="I522" s="3" t="s">
        <v>114</v>
      </c>
      <c r="J522" s="3" t="s">
        <v>69</v>
      </c>
      <c r="K522" s="3" t="s">
        <v>2976</v>
      </c>
      <c r="L522" s="3" t="s">
        <v>866</v>
      </c>
      <c r="M522" s="3" t="s">
        <v>59</v>
      </c>
      <c r="N522" s="3" t="s">
        <v>60</v>
      </c>
      <c r="O522" s="3" t="s">
        <v>147</v>
      </c>
      <c r="P522" s="3" t="s">
        <v>875</v>
      </c>
      <c r="Q522" s="31">
        <v>42752</v>
      </c>
      <c r="R522" s="3" t="s">
        <v>62</v>
      </c>
      <c r="S522" s="3" t="s">
        <v>62</v>
      </c>
    </row>
    <row r="523" spans="1:19">
      <c r="A523" s="3" t="s">
        <v>877</v>
      </c>
      <c r="B523" s="31">
        <v>42749.737991238428</v>
      </c>
      <c r="C523" s="31">
        <v>42747.57708333333</v>
      </c>
      <c r="D523" s="3">
        <v>3035620284</v>
      </c>
      <c r="E523" s="3" t="s">
        <v>23</v>
      </c>
      <c r="F523" s="3" t="s">
        <v>129</v>
      </c>
      <c r="G523" s="3" t="s">
        <v>130</v>
      </c>
      <c r="H523" s="3" t="s">
        <v>3051</v>
      </c>
      <c r="I523" s="3" t="s">
        <v>563</v>
      </c>
      <c r="J523" s="3" t="s">
        <v>69</v>
      </c>
      <c r="K523" s="3" t="s">
        <v>2977</v>
      </c>
      <c r="L523" s="3" t="s">
        <v>866</v>
      </c>
      <c r="M523" s="3" t="s">
        <v>70</v>
      </c>
      <c r="N523" s="3" t="s">
        <v>71</v>
      </c>
      <c r="O523" s="3" t="s">
        <v>898</v>
      </c>
      <c r="P523" s="3" t="s">
        <v>872</v>
      </c>
      <c r="Q523" s="31">
        <v>42748</v>
      </c>
      <c r="R523" s="3" t="s">
        <v>62</v>
      </c>
      <c r="S523" s="3" t="s">
        <v>3007</v>
      </c>
    </row>
    <row r="524" spans="1:19">
      <c r="A524" s="3" t="s">
        <v>865</v>
      </c>
      <c r="B524" s="31">
        <v>42749.737991238428</v>
      </c>
      <c r="C524" s="31">
        <v>42747.585416666669</v>
      </c>
      <c r="D524" s="3">
        <v>3035719657</v>
      </c>
      <c r="E524" s="3" t="s">
        <v>23</v>
      </c>
      <c r="F524" s="3" t="s">
        <v>183</v>
      </c>
      <c r="G524" s="3" t="s">
        <v>184</v>
      </c>
      <c r="H524" s="3" t="s">
        <v>183</v>
      </c>
      <c r="I524" s="3" t="s">
        <v>184</v>
      </c>
      <c r="J524" s="3" t="s">
        <v>69</v>
      </c>
      <c r="K524" s="3" t="s">
        <v>2976</v>
      </c>
      <c r="L524" s="3" t="s">
        <v>866</v>
      </c>
      <c r="M524" s="3" t="s">
        <v>59</v>
      </c>
      <c r="N524" s="3" t="s">
        <v>60</v>
      </c>
      <c r="O524" s="3" t="s">
        <v>147</v>
      </c>
      <c r="P524" s="3" t="s">
        <v>872</v>
      </c>
      <c r="Q524" s="31">
        <v>42748</v>
      </c>
      <c r="R524" s="3" t="s">
        <v>62</v>
      </c>
      <c r="S524" s="3" t="s">
        <v>62</v>
      </c>
    </row>
    <row r="525" spans="1:19">
      <c r="A525" s="3" t="s">
        <v>873</v>
      </c>
      <c r="B525" s="31">
        <v>42749.737991238428</v>
      </c>
      <c r="C525" s="31">
        <v>42747.602083333331</v>
      </c>
      <c r="D525" s="3">
        <v>3035716787</v>
      </c>
      <c r="E525" s="3" t="s">
        <v>31</v>
      </c>
      <c r="F525" s="3" t="s">
        <v>213</v>
      </c>
      <c r="G525" s="3" t="s">
        <v>214</v>
      </c>
      <c r="H525" s="3" t="s">
        <v>87</v>
      </c>
      <c r="I525" s="3" t="s">
        <v>88</v>
      </c>
      <c r="J525" s="3" t="s">
        <v>69</v>
      </c>
      <c r="K525" s="3" t="s">
        <v>2976</v>
      </c>
      <c r="L525" s="3" t="s">
        <v>866</v>
      </c>
      <c r="M525" s="3" t="s">
        <v>70</v>
      </c>
      <c r="N525" s="3" t="s">
        <v>71</v>
      </c>
      <c r="O525" s="3" t="s">
        <v>3080</v>
      </c>
      <c r="P525" s="3" t="s">
        <v>872</v>
      </c>
      <c r="Q525" s="31">
        <v>42748</v>
      </c>
      <c r="R525" s="3" t="s">
        <v>62</v>
      </c>
      <c r="S525" s="3" t="s">
        <v>62</v>
      </c>
    </row>
    <row r="526" spans="1:19">
      <c r="A526" s="3" t="s">
        <v>865</v>
      </c>
      <c r="B526" s="31">
        <v>42749.737991238428</v>
      </c>
      <c r="C526" s="31">
        <v>42747.616666666669</v>
      </c>
      <c r="D526" s="3">
        <v>3035721541</v>
      </c>
      <c r="E526" s="3" t="s">
        <v>9</v>
      </c>
      <c r="F526" s="3" t="s">
        <v>133</v>
      </c>
      <c r="G526" s="3" t="s">
        <v>134</v>
      </c>
      <c r="H526" s="3" t="s">
        <v>133</v>
      </c>
      <c r="I526" s="3" t="s">
        <v>134</v>
      </c>
      <c r="J526" s="3" t="s">
        <v>144</v>
      </c>
      <c r="K526" s="3" t="s">
        <v>2976</v>
      </c>
      <c r="L526" s="3" t="s">
        <v>866</v>
      </c>
      <c r="M526" s="3" t="s">
        <v>59</v>
      </c>
      <c r="N526" s="3" t="s">
        <v>60</v>
      </c>
      <c r="O526" s="3" t="s">
        <v>147</v>
      </c>
      <c r="P526" s="3" t="s">
        <v>872</v>
      </c>
      <c r="Q526" s="31">
        <v>42748</v>
      </c>
      <c r="R526" s="3" t="s">
        <v>62</v>
      </c>
      <c r="S526" s="3" t="s">
        <v>62</v>
      </c>
    </row>
    <row r="527" spans="1:19">
      <c r="A527" s="3" t="s">
        <v>865</v>
      </c>
      <c r="B527" s="31">
        <v>42749.737991238428</v>
      </c>
      <c r="C527" s="31">
        <v>42747.621527777781</v>
      </c>
      <c r="D527" s="3">
        <v>3035682126</v>
      </c>
      <c r="E527" s="3" t="s">
        <v>273</v>
      </c>
      <c r="F527" s="3" t="s">
        <v>890</v>
      </c>
      <c r="G527" s="3" t="s">
        <v>891</v>
      </c>
      <c r="H527" s="3" t="s">
        <v>890</v>
      </c>
      <c r="I527" s="3" t="s">
        <v>891</v>
      </c>
      <c r="J527" s="3" t="s">
        <v>69</v>
      </c>
      <c r="K527" s="3" t="s">
        <v>2977</v>
      </c>
      <c r="L527" s="3" t="s">
        <v>866</v>
      </c>
      <c r="M527" s="3" t="s">
        <v>70</v>
      </c>
      <c r="N527" s="3" t="s">
        <v>71</v>
      </c>
      <c r="O527" s="3" t="s">
        <v>3067</v>
      </c>
      <c r="P527" s="3" t="s">
        <v>872</v>
      </c>
      <c r="Q527" s="31">
        <v>42751</v>
      </c>
      <c r="R527" s="3" t="s">
        <v>62</v>
      </c>
      <c r="S527" s="3" t="s">
        <v>2985</v>
      </c>
    </row>
    <row r="528" spans="1:19">
      <c r="A528" s="3" t="s">
        <v>877</v>
      </c>
      <c r="B528" s="31">
        <v>42749.737991238428</v>
      </c>
      <c r="C528" s="31">
        <v>42747.623611111114</v>
      </c>
      <c r="D528" s="3">
        <v>3035622339</v>
      </c>
      <c r="E528" s="3" t="s">
        <v>39</v>
      </c>
      <c r="F528" s="3" t="s">
        <v>231</v>
      </c>
      <c r="G528" s="3" t="s">
        <v>232</v>
      </c>
      <c r="H528" s="3" t="s">
        <v>238</v>
      </c>
      <c r="I528" s="3" t="s">
        <v>239</v>
      </c>
      <c r="J528" s="3" t="s">
        <v>69</v>
      </c>
      <c r="K528" s="3" t="s">
        <v>2977</v>
      </c>
      <c r="L528" s="3" t="s">
        <v>866</v>
      </c>
      <c r="M528" s="3" t="s">
        <v>70</v>
      </c>
      <c r="N528" s="3" t="s">
        <v>71</v>
      </c>
      <c r="O528" s="3" t="s">
        <v>3067</v>
      </c>
      <c r="P528" s="3" t="s">
        <v>872</v>
      </c>
      <c r="Q528" s="31">
        <v>42748</v>
      </c>
      <c r="R528" s="3" t="s">
        <v>62</v>
      </c>
      <c r="S528" s="3" t="s">
        <v>529</v>
      </c>
    </row>
    <row r="529" spans="1:19">
      <c r="A529" s="3" t="s">
        <v>865</v>
      </c>
      <c r="B529" s="31">
        <v>42749.737991238428</v>
      </c>
      <c r="C529" s="31">
        <v>42747.625694444447</v>
      </c>
      <c r="D529" s="3">
        <v>3035514890</v>
      </c>
      <c r="E529" s="3" t="s">
        <v>204</v>
      </c>
      <c r="F529" s="3" t="s">
        <v>3089</v>
      </c>
      <c r="G529" s="3" t="s">
        <v>638</v>
      </c>
      <c r="H529" s="3" t="s">
        <v>3089</v>
      </c>
      <c r="I529" s="3" t="s">
        <v>638</v>
      </c>
      <c r="J529" s="3" t="s">
        <v>58</v>
      </c>
      <c r="K529" s="3" t="s">
        <v>2977</v>
      </c>
      <c r="L529" s="3" t="s">
        <v>866</v>
      </c>
      <c r="M529" s="3" t="s">
        <v>70</v>
      </c>
      <c r="N529" s="3" t="s">
        <v>71</v>
      </c>
      <c r="O529" s="3" t="s">
        <v>851</v>
      </c>
      <c r="P529" s="3" t="s">
        <v>3090</v>
      </c>
      <c r="Q529" s="31">
        <v>42748</v>
      </c>
      <c r="R529" s="3" t="s">
        <v>62</v>
      </c>
      <c r="S529" s="3" t="s">
        <v>3091</v>
      </c>
    </row>
    <row r="530" spans="1:19">
      <c r="A530" s="3" t="s">
        <v>868</v>
      </c>
      <c r="B530" s="31">
        <v>42749.737991238428</v>
      </c>
      <c r="C530" s="31">
        <v>42747.632638888892</v>
      </c>
      <c r="D530" s="3">
        <v>3035722396</v>
      </c>
      <c r="E530" s="3" t="s">
        <v>31</v>
      </c>
      <c r="F530" s="3" t="s">
        <v>202</v>
      </c>
      <c r="G530" s="3" t="s">
        <v>203</v>
      </c>
      <c r="H530" s="3" t="s">
        <v>202</v>
      </c>
      <c r="I530" s="3" t="s">
        <v>203</v>
      </c>
      <c r="J530" s="3" t="s">
        <v>69</v>
      </c>
      <c r="K530" s="3" t="s">
        <v>2976</v>
      </c>
      <c r="L530" s="3" t="s">
        <v>866</v>
      </c>
      <c r="M530" s="3" t="s">
        <v>59</v>
      </c>
      <c r="N530" s="3" t="s">
        <v>60</v>
      </c>
      <c r="O530" s="3" t="s">
        <v>147</v>
      </c>
      <c r="P530" s="3" t="s">
        <v>3090</v>
      </c>
      <c r="Q530" s="31">
        <v>42748</v>
      </c>
      <c r="R530" s="3" t="s">
        <v>62</v>
      </c>
      <c r="S530" s="3" t="s">
        <v>62</v>
      </c>
    </row>
    <row r="531" spans="1:19">
      <c r="A531" s="3" t="s">
        <v>865</v>
      </c>
      <c r="B531" s="31">
        <v>42749.737991238428</v>
      </c>
      <c r="C531" s="31">
        <v>42747.686111111114</v>
      </c>
      <c r="D531" s="3">
        <v>3035724962</v>
      </c>
      <c r="E531" s="3" t="s">
        <v>23</v>
      </c>
      <c r="F531" s="3" t="s">
        <v>179</v>
      </c>
      <c r="G531" s="3" t="s">
        <v>180</v>
      </c>
      <c r="H531" s="3" t="s">
        <v>179</v>
      </c>
      <c r="I531" s="3" t="s">
        <v>180</v>
      </c>
      <c r="J531" s="3" t="s">
        <v>99</v>
      </c>
      <c r="K531" s="3" t="s">
        <v>2976</v>
      </c>
      <c r="L531" s="3" t="s">
        <v>866</v>
      </c>
      <c r="M531" s="3" t="s">
        <v>70</v>
      </c>
      <c r="N531" s="3" t="s">
        <v>71</v>
      </c>
      <c r="O531" s="3" t="s">
        <v>3067</v>
      </c>
      <c r="P531" s="3" t="s">
        <v>872</v>
      </c>
      <c r="Q531" s="31">
        <v>42753</v>
      </c>
      <c r="R531" s="3" t="s">
        <v>62</v>
      </c>
      <c r="S531" s="3" t="s">
        <v>62</v>
      </c>
    </row>
    <row r="532" spans="1:19">
      <c r="A532" s="3" t="s">
        <v>865</v>
      </c>
      <c r="B532" s="31">
        <v>42749.737991238428</v>
      </c>
      <c r="C532" s="31">
        <v>42747.686805555553</v>
      </c>
      <c r="D532" s="3">
        <v>3035725128</v>
      </c>
      <c r="E532" s="3" t="s">
        <v>39</v>
      </c>
      <c r="F532" s="3" t="s">
        <v>236</v>
      </c>
      <c r="G532" s="3" t="s">
        <v>237</v>
      </c>
      <c r="H532" s="3" t="s">
        <v>236</v>
      </c>
      <c r="I532" s="3" t="s">
        <v>237</v>
      </c>
      <c r="J532" s="3" t="s">
        <v>69</v>
      </c>
      <c r="K532" s="3" t="s">
        <v>2977</v>
      </c>
      <c r="L532" s="3" t="s">
        <v>866</v>
      </c>
      <c r="M532" s="3" t="s">
        <v>59</v>
      </c>
      <c r="N532" s="3" t="s">
        <v>60</v>
      </c>
      <c r="O532" s="3" t="s">
        <v>147</v>
      </c>
      <c r="P532" s="3" t="s">
        <v>875</v>
      </c>
      <c r="Q532" s="31">
        <v>42752</v>
      </c>
      <c r="R532" s="3" t="s">
        <v>62</v>
      </c>
      <c r="S532" s="3" t="s">
        <v>92</v>
      </c>
    </row>
    <row r="533" spans="1:19">
      <c r="A533" s="3" t="s">
        <v>868</v>
      </c>
      <c r="B533" s="31">
        <v>42749.737991238428</v>
      </c>
      <c r="C533" s="31">
        <v>42747.707638888889</v>
      </c>
      <c r="D533" s="3">
        <v>3035688643</v>
      </c>
      <c r="E533" s="3" t="s">
        <v>273</v>
      </c>
      <c r="F533" s="3" t="s">
        <v>909</v>
      </c>
      <c r="G533" s="3" t="s">
        <v>313</v>
      </c>
      <c r="H533" s="3" t="s">
        <v>115</v>
      </c>
      <c r="I533" s="3" t="s">
        <v>116</v>
      </c>
      <c r="J533" s="3" t="s">
        <v>69</v>
      </c>
      <c r="K533" s="3" t="s">
        <v>2977</v>
      </c>
      <c r="L533" s="3" t="s">
        <v>866</v>
      </c>
      <c r="M533" s="3" t="s">
        <v>844</v>
      </c>
      <c r="N533" s="3" t="s">
        <v>845</v>
      </c>
      <c r="O533" s="3" t="s">
        <v>845</v>
      </c>
      <c r="P533" s="3" t="s">
        <v>872</v>
      </c>
      <c r="Q533" s="31">
        <v>42752</v>
      </c>
      <c r="R533" s="3" t="s">
        <v>62</v>
      </c>
      <c r="S533" s="3" t="s">
        <v>529</v>
      </c>
    </row>
    <row r="534" spans="1:19">
      <c r="A534" s="3" t="s">
        <v>868</v>
      </c>
      <c r="B534" s="31">
        <v>42749.737991238428</v>
      </c>
      <c r="C534" s="31">
        <v>42747.638194444444</v>
      </c>
      <c r="D534" s="3">
        <v>3035722739</v>
      </c>
      <c r="E534" s="3" t="s">
        <v>31</v>
      </c>
      <c r="F534" s="3" t="s">
        <v>113</v>
      </c>
      <c r="G534" s="3" t="s">
        <v>114</v>
      </c>
      <c r="H534" s="3" t="s">
        <v>113</v>
      </c>
      <c r="I534" s="3" t="s">
        <v>114</v>
      </c>
      <c r="J534" s="3" t="s">
        <v>69</v>
      </c>
      <c r="K534" s="3" t="s">
        <v>2976</v>
      </c>
      <c r="L534" s="3" t="s">
        <v>866</v>
      </c>
      <c r="M534" s="3" t="s">
        <v>59</v>
      </c>
      <c r="N534" s="3" t="s">
        <v>60</v>
      </c>
      <c r="O534" s="3" t="s">
        <v>147</v>
      </c>
      <c r="P534" s="3" t="s">
        <v>3090</v>
      </c>
      <c r="Q534" s="31">
        <v>42748</v>
      </c>
      <c r="R534" s="3" t="s">
        <v>62</v>
      </c>
      <c r="S534" s="3" t="s">
        <v>62</v>
      </c>
    </row>
    <row r="535" spans="1:19">
      <c r="A535" s="3" t="s">
        <v>868</v>
      </c>
      <c r="B535" s="31">
        <v>42749.737991238428</v>
      </c>
      <c r="C535" s="31">
        <v>42747.63958333333</v>
      </c>
      <c r="D535" s="3">
        <v>3035721716</v>
      </c>
      <c r="E535" s="3" t="s">
        <v>23</v>
      </c>
      <c r="F535" s="3" t="s">
        <v>119</v>
      </c>
      <c r="G535" s="3" t="s">
        <v>120</v>
      </c>
      <c r="H535" s="3" t="s">
        <v>119</v>
      </c>
      <c r="I535" s="3" t="s">
        <v>120</v>
      </c>
      <c r="J535" s="3" t="s">
        <v>97</v>
      </c>
      <c r="K535" s="3" t="s">
        <v>2976</v>
      </c>
      <c r="L535" s="3" t="s">
        <v>866</v>
      </c>
      <c r="M535" s="3" t="s">
        <v>59</v>
      </c>
      <c r="N535" s="3" t="s">
        <v>60</v>
      </c>
      <c r="O535" s="3" t="s">
        <v>147</v>
      </c>
      <c r="P535" s="3" t="s">
        <v>3090</v>
      </c>
      <c r="Q535" s="31">
        <v>42748</v>
      </c>
      <c r="R535" s="3" t="s">
        <v>62</v>
      </c>
      <c r="S535" s="3" t="s">
        <v>62</v>
      </c>
    </row>
    <row r="536" spans="1:19">
      <c r="A536" s="3" t="s">
        <v>868</v>
      </c>
      <c r="B536" s="31">
        <v>42749.737991238428</v>
      </c>
      <c r="C536" s="31">
        <v>42747.640277777777</v>
      </c>
      <c r="D536" s="3">
        <v>3035722668</v>
      </c>
      <c r="E536" s="3" t="s">
        <v>273</v>
      </c>
      <c r="F536" s="3" t="s">
        <v>259</v>
      </c>
      <c r="G536" s="3" t="s">
        <v>260</v>
      </c>
      <c r="H536" s="3" t="s">
        <v>259</v>
      </c>
      <c r="I536" s="3" t="s">
        <v>260</v>
      </c>
      <c r="J536" s="3" t="s">
        <v>98</v>
      </c>
      <c r="K536" s="3" t="s">
        <v>2977</v>
      </c>
      <c r="L536" s="3" t="s">
        <v>866</v>
      </c>
      <c r="M536" s="3" t="s">
        <v>59</v>
      </c>
      <c r="N536" s="3" t="s">
        <v>60</v>
      </c>
      <c r="O536" s="3" t="s">
        <v>147</v>
      </c>
      <c r="P536" s="3" t="s">
        <v>3090</v>
      </c>
      <c r="Q536" s="31">
        <v>42748</v>
      </c>
      <c r="R536" s="3" t="s">
        <v>62</v>
      </c>
      <c r="S536" s="3" t="s">
        <v>2985</v>
      </c>
    </row>
    <row r="537" spans="1:19">
      <c r="A537" s="3" t="s">
        <v>865</v>
      </c>
      <c r="B537" s="31">
        <v>42749.737991238428</v>
      </c>
      <c r="C537" s="31">
        <v>42747.734027777777</v>
      </c>
      <c r="D537" s="3">
        <v>3035727347</v>
      </c>
      <c r="E537" s="3" t="s">
        <v>9</v>
      </c>
      <c r="F537" s="3" t="s">
        <v>109</v>
      </c>
      <c r="G537" s="3" t="s">
        <v>110</v>
      </c>
      <c r="H537" s="3" t="s">
        <v>109</v>
      </c>
      <c r="I537" s="3" t="s">
        <v>110</v>
      </c>
      <c r="J537" s="3" t="s">
        <v>69</v>
      </c>
      <c r="K537" s="3" t="s">
        <v>2976</v>
      </c>
      <c r="L537" s="3" t="s">
        <v>871</v>
      </c>
      <c r="M537" s="3" t="s">
        <v>84</v>
      </c>
      <c r="N537" s="3" t="s">
        <v>85</v>
      </c>
      <c r="O537" s="3" t="s">
        <v>233</v>
      </c>
      <c r="P537" s="3" t="s">
        <v>875</v>
      </c>
      <c r="Q537" s="31">
        <v>42754</v>
      </c>
      <c r="R537" s="3" t="s">
        <v>62</v>
      </c>
      <c r="S537" s="3" t="s">
        <v>62</v>
      </c>
    </row>
    <row r="538" spans="1:19">
      <c r="A538" s="3" t="s">
        <v>865</v>
      </c>
      <c r="B538" s="31">
        <v>42749.737991238428</v>
      </c>
      <c r="C538" s="31">
        <v>42747.737500000003</v>
      </c>
      <c r="D538" s="3">
        <v>3035726709</v>
      </c>
      <c r="E538" s="3" t="s">
        <v>9</v>
      </c>
      <c r="F538" s="3" t="s">
        <v>67</v>
      </c>
      <c r="G538" s="3" t="s">
        <v>68</v>
      </c>
      <c r="H538" s="3" t="s">
        <v>67</v>
      </c>
      <c r="I538" s="3" t="s">
        <v>68</v>
      </c>
      <c r="J538" s="3" t="s">
        <v>69</v>
      </c>
      <c r="K538" s="3" t="s">
        <v>2976</v>
      </c>
      <c r="L538" s="3" t="s">
        <v>871</v>
      </c>
      <c r="M538" s="3" t="s">
        <v>84</v>
      </c>
      <c r="N538" s="3" t="s">
        <v>85</v>
      </c>
      <c r="O538" s="3" t="s">
        <v>268</v>
      </c>
      <c r="P538" s="3" t="s">
        <v>875</v>
      </c>
      <c r="Q538" s="31">
        <v>42754</v>
      </c>
      <c r="R538" s="3" t="s">
        <v>62</v>
      </c>
      <c r="S538" s="3" t="s">
        <v>62</v>
      </c>
    </row>
    <row r="539" spans="1:19">
      <c r="A539" s="3" t="s">
        <v>865</v>
      </c>
      <c r="B539" s="31">
        <v>42749.737991238428</v>
      </c>
      <c r="C539" s="31">
        <v>42747.749305555553</v>
      </c>
      <c r="D539" s="3">
        <v>3035727996</v>
      </c>
      <c r="E539" s="3" t="s">
        <v>23</v>
      </c>
      <c r="F539" s="3" t="s">
        <v>179</v>
      </c>
      <c r="G539" s="3" t="s">
        <v>180</v>
      </c>
      <c r="H539" s="3" t="s">
        <v>179</v>
      </c>
      <c r="I539" s="3" t="s">
        <v>180</v>
      </c>
      <c r="J539" s="3" t="s">
        <v>97</v>
      </c>
      <c r="K539" s="3" t="s">
        <v>2976</v>
      </c>
      <c r="L539" s="3" t="s">
        <v>871</v>
      </c>
      <c r="M539" s="3" t="s">
        <v>84</v>
      </c>
      <c r="N539" s="3" t="s">
        <v>85</v>
      </c>
      <c r="O539" s="3" t="s">
        <v>233</v>
      </c>
      <c r="P539" s="3" t="s">
        <v>875</v>
      </c>
      <c r="Q539" s="31">
        <v>42754</v>
      </c>
      <c r="R539" s="3" t="s">
        <v>62</v>
      </c>
      <c r="S539" s="3" t="s">
        <v>62</v>
      </c>
    </row>
    <row r="540" spans="1:19">
      <c r="A540" s="3" t="s">
        <v>868</v>
      </c>
      <c r="B540" s="31">
        <v>42749.737991238428</v>
      </c>
      <c r="C540" s="31">
        <v>42747.875694444447</v>
      </c>
      <c r="D540" s="3">
        <v>3035733708</v>
      </c>
      <c r="E540" s="3" t="s">
        <v>39</v>
      </c>
      <c r="F540" s="3" t="s">
        <v>248</v>
      </c>
      <c r="G540" s="3" t="s">
        <v>249</v>
      </c>
      <c r="H540" s="3" t="s">
        <v>248</v>
      </c>
      <c r="I540" s="3" t="s">
        <v>249</v>
      </c>
      <c r="J540" s="3" t="s">
        <v>69</v>
      </c>
      <c r="K540" s="3" t="s">
        <v>2977</v>
      </c>
      <c r="L540" s="3" t="s">
        <v>871</v>
      </c>
      <c r="M540" s="3" t="s">
        <v>84</v>
      </c>
      <c r="N540" s="3" t="s">
        <v>85</v>
      </c>
      <c r="O540" s="3" t="s">
        <v>322</v>
      </c>
      <c r="P540" s="3" t="s">
        <v>872</v>
      </c>
      <c r="Q540" s="31">
        <v>42753</v>
      </c>
      <c r="R540" s="3" t="s">
        <v>62</v>
      </c>
      <c r="S540" s="3" t="s">
        <v>92</v>
      </c>
    </row>
    <row r="541" spans="1:19">
      <c r="A541" s="3" t="s">
        <v>865</v>
      </c>
      <c r="B541" s="31">
        <v>42749.737991238428</v>
      </c>
      <c r="C541" s="31">
        <v>42747.648611111108</v>
      </c>
      <c r="D541" s="3">
        <v>3035722983</v>
      </c>
      <c r="E541" s="3" t="s">
        <v>23</v>
      </c>
      <c r="F541" s="3" t="s">
        <v>137</v>
      </c>
      <c r="G541" s="3" t="s">
        <v>138</v>
      </c>
      <c r="H541" s="3" t="s">
        <v>137</v>
      </c>
      <c r="I541" s="3" t="s">
        <v>138</v>
      </c>
      <c r="J541" s="3" t="s">
        <v>69</v>
      </c>
      <c r="K541" s="3" t="s">
        <v>2976</v>
      </c>
      <c r="L541" s="3" t="s">
        <v>866</v>
      </c>
      <c r="M541" s="3" t="s">
        <v>59</v>
      </c>
      <c r="N541" s="3" t="s">
        <v>60</v>
      </c>
      <c r="O541" s="3" t="s">
        <v>147</v>
      </c>
      <c r="P541" s="3" t="s">
        <v>872</v>
      </c>
      <c r="Q541" s="31">
        <v>42751</v>
      </c>
      <c r="R541" s="3" t="s">
        <v>62</v>
      </c>
      <c r="S541" s="3" t="s">
        <v>62</v>
      </c>
    </row>
    <row r="542" spans="1:19">
      <c r="A542" s="3" t="s">
        <v>877</v>
      </c>
      <c r="B542" s="31">
        <v>42749.737991238428</v>
      </c>
      <c r="C542" s="31">
        <v>42747.667361111111</v>
      </c>
      <c r="D542" s="3">
        <v>3035724084</v>
      </c>
      <c r="E542" s="3" t="s">
        <v>273</v>
      </c>
      <c r="F542" s="3" t="s">
        <v>263</v>
      </c>
      <c r="G542" s="3" t="s">
        <v>264</v>
      </c>
      <c r="H542" s="3" t="s">
        <v>263</v>
      </c>
      <c r="I542" s="3" t="s">
        <v>264</v>
      </c>
      <c r="J542" s="3" t="s">
        <v>69</v>
      </c>
      <c r="K542" s="3" t="s">
        <v>2977</v>
      </c>
      <c r="L542" s="3" t="s">
        <v>871</v>
      </c>
      <c r="M542" s="3" t="s">
        <v>84</v>
      </c>
      <c r="N542" s="3" t="s">
        <v>85</v>
      </c>
      <c r="O542" s="3" t="s">
        <v>322</v>
      </c>
      <c r="P542" s="3" t="s">
        <v>3090</v>
      </c>
      <c r="Q542" s="31">
        <v>42748</v>
      </c>
      <c r="R542" s="3" t="s">
        <v>62</v>
      </c>
      <c r="S542" s="3" t="s">
        <v>2985</v>
      </c>
    </row>
    <row r="543" spans="1:19">
      <c r="A543" s="3" t="s">
        <v>868</v>
      </c>
      <c r="B543" s="31">
        <v>42749.737991238428</v>
      </c>
      <c r="C543" s="31">
        <v>42747.668749999997</v>
      </c>
      <c r="D543" s="3">
        <v>3035722349</v>
      </c>
      <c r="E543" s="3" t="s">
        <v>273</v>
      </c>
      <c r="F543" s="3" t="s">
        <v>153</v>
      </c>
      <c r="G543" s="3" t="s">
        <v>892</v>
      </c>
      <c r="H543" s="3" t="s">
        <v>153</v>
      </c>
      <c r="I543" s="3" t="s">
        <v>892</v>
      </c>
      <c r="J543" s="3" t="s">
        <v>69</v>
      </c>
      <c r="K543" s="3" t="s">
        <v>2977</v>
      </c>
      <c r="L543" s="3" t="s">
        <v>866</v>
      </c>
      <c r="M543" s="3" t="s">
        <v>70</v>
      </c>
      <c r="N543" s="3" t="s">
        <v>71</v>
      </c>
      <c r="O543" s="3" t="s">
        <v>3092</v>
      </c>
      <c r="P543" s="3" t="s">
        <v>3090</v>
      </c>
      <c r="Q543" s="31">
        <v>42748</v>
      </c>
      <c r="R543" s="3" t="s">
        <v>62</v>
      </c>
      <c r="S543" s="3" t="s">
        <v>2985</v>
      </c>
    </row>
    <row r="544" spans="1:19">
      <c r="A544" s="3" t="s">
        <v>877</v>
      </c>
      <c r="B544" s="31">
        <v>42749.737991238428</v>
      </c>
      <c r="C544" s="31">
        <v>42747.668749999997</v>
      </c>
      <c r="D544" s="3">
        <v>3035685355</v>
      </c>
      <c r="E544" s="3" t="s">
        <v>39</v>
      </c>
      <c r="F544" s="3" t="s">
        <v>240</v>
      </c>
      <c r="G544" s="3" t="s">
        <v>241</v>
      </c>
      <c r="H544" s="3" t="s">
        <v>238</v>
      </c>
      <c r="I544" s="3" t="s">
        <v>239</v>
      </c>
      <c r="J544" s="3" t="s">
        <v>98</v>
      </c>
      <c r="K544" s="3" t="s">
        <v>2977</v>
      </c>
      <c r="L544" s="3" t="s">
        <v>866</v>
      </c>
      <c r="M544" s="3" t="s">
        <v>70</v>
      </c>
      <c r="N544" s="3" t="s">
        <v>85</v>
      </c>
      <c r="O544" s="3" t="s">
        <v>3093</v>
      </c>
      <c r="P544" s="3" t="s">
        <v>3090</v>
      </c>
      <c r="Q544" s="31">
        <v>42748</v>
      </c>
      <c r="R544" s="3" t="s">
        <v>62</v>
      </c>
      <c r="S544" s="3" t="s">
        <v>529</v>
      </c>
    </row>
    <row r="545" spans="1:19">
      <c r="A545" s="3" t="s">
        <v>865</v>
      </c>
      <c r="B545" s="31">
        <v>42750.735881944442</v>
      </c>
      <c r="C545" s="31">
        <v>42748.488194444442</v>
      </c>
      <c r="D545" s="3">
        <v>3035680917</v>
      </c>
      <c r="E545" s="3" t="s">
        <v>31</v>
      </c>
      <c r="F545" s="3" t="s">
        <v>213</v>
      </c>
      <c r="G545" s="3" t="s">
        <v>214</v>
      </c>
      <c r="H545" s="3" t="s">
        <v>209</v>
      </c>
      <c r="I545" s="3" t="s">
        <v>210</v>
      </c>
      <c r="J545" s="3" t="s">
        <v>58</v>
      </c>
      <c r="K545" s="3" t="s">
        <v>2977</v>
      </c>
      <c r="L545" s="3" t="s">
        <v>871</v>
      </c>
      <c r="M545" s="3" t="s">
        <v>84</v>
      </c>
      <c r="N545" s="3" t="s">
        <v>85</v>
      </c>
      <c r="O545" s="3" t="s">
        <v>888</v>
      </c>
      <c r="P545" s="3" t="s">
        <v>875</v>
      </c>
      <c r="Q545" s="31">
        <v>42754</v>
      </c>
      <c r="R545" s="3" t="s">
        <v>62</v>
      </c>
      <c r="S545" s="3" t="s">
        <v>529</v>
      </c>
    </row>
    <row r="546" spans="1:19">
      <c r="A546" s="3" t="s">
        <v>868</v>
      </c>
      <c r="B546" s="31">
        <v>42749.737991238428</v>
      </c>
      <c r="C546" s="31">
        <v>42747.68472222222</v>
      </c>
      <c r="D546" s="3">
        <v>3035434049</v>
      </c>
      <c r="E546" s="3" t="s">
        <v>9</v>
      </c>
      <c r="F546" s="3" t="s">
        <v>82</v>
      </c>
      <c r="G546" s="3" t="s">
        <v>83</v>
      </c>
      <c r="H546" s="3" t="s">
        <v>82</v>
      </c>
      <c r="I546" s="3" t="s">
        <v>83</v>
      </c>
      <c r="J546" s="3" t="s">
        <v>98</v>
      </c>
      <c r="K546" s="3" t="s">
        <v>2976</v>
      </c>
      <c r="L546" s="3" t="s">
        <v>866</v>
      </c>
      <c r="M546" s="3" t="s">
        <v>59</v>
      </c>
      <c r="N546" s="3" t="s">
        <v>60</v>
      </c>
      <c r="O546" s="3" t="s">
        <v>147</v>
      </c>
      <c r="P546" s="3" t="s">
        <v>872</v>
      </c>
      <c r="Q546" s="31">
        <v>42751</v>
      </c>
      <c r="R546" s="3" t="s">
        <v>62</v>
      </c>
      <c r="S546" s="3" t="s">
        <v>62</v>
      </c>
    </row>
    <row r="547" spans="1:19">
      <c r="A547" s="3" t="s">
        <v>873</v>
      </c>
      <c r="B547" s="31">
        <v>42749.737991238428</v>
      </c>
      <c r="C547" s="31">
        <v>42747.685416666667</v>
      </c>
      <c r="D547" s="3">
        <v>3035724961</v>
      </c>
      <c r="E547" s="3" t="s">
        <v>9</v>
      </c>
      <c r="F547" s="3" t="s">
        <v>67</v>
      </c>
      <c r="G547" s="3" t="s">
        <v>68</v>
      </c>
      <c r="H547" s="3" t="s">
        <v>67</v>
      </c>
      <c r="I547" s="3" t="s">
        <v>68</v>
      </c>
      <c r="J547" s="3" t="s">
        <v>58</v>
      </c>
      <c r="K547" s="3" t="s">
        <v>2976</v>
      </c>
      <c r="L547" s="3" t="s">
        <v>866</v>
      </c>
      <c r="M547" s="3" t="s">
        <v>70</v>
      </c>
      <c r="N547" s="3" t="s">
        <v>71</v>
      </c>
      <c r="O547" s="3" t="s">
        <v>3094</v>
      </c>
      <c r="P547" s="3" t="s">
        <v>3090</v>
      </c>
      <c r="Q547" s="31">
        <v>42748</v>
      </c>
      <c r="R547" s="3" t="s">
        <v>62</v>
      </c>
      <c r="S547" s="3" t="s">
        <v>62</v>
      </c>
    </row>
    <row r="548" spans="1:19">
      <c r="A548" s="3" t="s">
        <v>868</v>
      </c>
      <c r="B548" s="31">
        <v>42750.735881944442</v>
      </c>
      <c r="C548" s="31">
        <v>42748.500694444447</v>
      </c>
      <c r="D548" s="3">
        <v>3035749341</v>
      </c>
      <c r="E548" s="3" t="s">
        <v>9</v>
      </c>
      <c r="F548" s="3" t="s">
        <v>111</v>
      </c>
      <c r="G548" s="3" t="s">
        <v>112</v>
      </c>
      <c r="H548" s="3" t="s">
        <v>111</v>
      </c>
      <c r="I548" s="3" t="s">
        <v>112</v>
      </c>
      <c r="J548" s="3" t="s">
        <v>69</v>
      </c>
      <c r="K548" s="3" t="s">
        <v>2976</v>
      </c>
      <c r="L548" s="3" t="s">
        <v>866</v>
      </c>
      <c r="M548" s="3" t="s">
        <v>59</v>
      </c>
      <c r="N548" s="3" t="s">
        <v>60</v>
      </c>
      <c r="O548" s="3" t="s">
        <v>147</v>
      </c>
      <c r="P548" s="3" t="s">
        <v>875</v>
      </c>
      <c r="Q548" s="31">
        <v>42752</v>
      </c>
      <c r="R548" s="3" t="s">
        <v>62</v>
      </c>
      <c r="S548" s="3" t="s">
        <v>62</v>
      </c>
    </row>
    <row r="549" spans="1:19">
      <c r="A549" s="3" t="s">
        <v>865</v>
      </c>
      <c r="B549" s="31">
        <v>42750.735881944442</v>
      </c>
      <c r="C549" s="31">
        <v>42748.500694444447</v>
      </c>
      <c r="D549" s="3">
        <v>3035749495</v>
      </c>
      <c r="E549" s="3" t="s">
        <v>31</v>
      </c>
      <c r="F549" s="3" t="s">
        <v>202</v>
      </c>
      <c r="G549" s="3" t="s">
        <v>203</v>
      </c>
      <c r="H549" s="3" t="s">
        <v>202</v>
      </c>
      <c r="I549" s="3" t="s">
        <v>203</v>
      </c>
      <c r="J549" s="3" t="s">
        <v>69</v>
      </c>
      <c r="K549" s="3" t="s">
        <v>2976</v>
      </c>
      <c r="L549" s="3" t="s">
        <v>871</v>
      </c>
      <c r="M549" s="3" t="s">
        <v>84</v>
      </c>
      <c r="N549" s="3" t="s">
        <v>85</v>
      </c>
      <c r="O549" s="3" t="s">
        <v>888</v>
      </c>
      <c r="P549" s="3" t="s">
        <v>875</v>
      </c>
      <c r="Q549" s="31">
        <v>42754</v>
      </c>
      <c r="R549" s="3" t="s">
        <v>62</v>
      </c>
      <c r="S549" s="3" t="s">
        <v>62</v>
      </c>
    </row>
    <row r="550" spans="1:19">
      <c r="A550" s="3" t="s">
        <v>865</v>
      </c>
      <c r="B550" s="31">
        <v>42749.737991238428</v>
      </c>
      <c r="C550" s="31">
        <v>42747.693749999999</v>
      </c>
      <c r="D550" s="3">
        <v>3035604026</v>
      </c>
      <c r="E550" s="3" t="s">
        <v>31</v>
      </c>
      <c r="F550" s="3" t="s">
        <v>852</v>
      </c>
      <c r="G550" s="3" t="s">
        <v>197</v>
      </c>
      <c r="H550" s="3" t="s">
        <v>209</v>
      </c>
      <c r="I550" s="3" t="s">
        <v>210</v>
      </c>
      <c r="J550" s="3" t="s">
        <v>69</v>
      </c>
      <c r="K550" s="3" t="s">
        <v>2977</v>
      </c>
      <c r="L550" s="3" t="s">
        <v>866</v>
      </c>
      <c r="M550" s="3" t="s">
        <v>70</v>
      </c>
      <c r="N550" s="3" t="s">
        <v>71</v>
      </c>
      <c r="O550" s="3" t="s">
        <v>913</v>
      </c>
      <c r="P550" s="3" t="s">
        <v>3090</v>
      </c>
      <c r="Q550" s="31">
        <v>42748</v>
      </c>
      <c r="R550" s="3" t="s">
        <v>62</v>
      </c>
      <c r="S550" s="3" t="s">
        <v>529</v>
      </c>
    </row>
    <row r="551" spans="1:19">
      <c r="A551" s="3" t="s">
        <v>865</v>
      </c>
      <c r="B551" s="31">
        <v>42749.737991238428</v>
      </c>
      <c r="C551" s="31">
        <v>42747.70208333333</v>
      </c>
      <c r="D551" s="3">
        <v>3035725566</v>
      </c>
      <c r="E551" s="3" t="s">
        <v>9</v>
      </c>
      <c r="F551" s="3" t="s">
        <v>133</v>
      </c>
      <c r="G551" s="3" t="s">
        <v>134</v>
      </c>
      <c r="H551" s="3" t="s">
        <v>133</v>
      </c>
      <c r="I551" s="3" t="s">
        <v>134</v>
      </c>
      <c r="J551" s="3" t="s">
        <v>144</v>
      </c>
      <c r="K551" s="3" t="s">
        <v>2976</v>
      </c>
      <c r="L551" s="3" t="s">
        <v>866</v>
      </c>
      <c r="M551" s="3" t="s">
        <v>59</v>
      </c>
      <c r="N551" s="3" t="s">
        <v>60</v>
      </c>
      <c r="O551" s="3" t="s">
        <v>147</v>
      </c>
      <c r="P551" s="3" t="s">
        <v>3090</v>
      </c>
      <c r="Q551" s="31">
        <v>42748</v>
      </c>
      <c r="R551" s="3" t="s">
        <v>62</v>
      </c>
      <c r="S551" s="3" t="s">
        <v>62</v>
      </c>
    </row>
    <row r="552" spans="1:19">
      <c r="A552" s="3" t="s">
        <v>865</v>
      </c>
      <c r="B552" s="31">
        <v>42750.735881944442</v>
      </c>
      <c r="C552" s="31">
        <v>42748.508333333331</v>
      </c>
      <c r="D552" s="3">
        <v>3035749481</v>
      </c>
      <c r="E552" s="3" t="s">
        <v>273</v>
      </c>
      <c r="F552" s="3" t="s">
        <v>253</v>
      </c>
      <c r="G552" s="3" t="s">
        <v>254</v>
      </c>
      <c r="H552" s="3" t="s">
        <v>253</v>
      </c>
      <c r="I552" s="3" t="s">
        <v>254</v>
      </c>
      <c r="J552" s="3" t="s">
        <v>98</v>
      </c>
      <c r="K552" s="3" t="s">
        <v>2977</v>
      </c>
      <c r="L552" s="3" t="s">
        <v>871</v>
      </c>
      <c r="M552" s="3" t="s">
        <v>84</v>
      </c>
      <c r="N552" s="3" t="s">
        <v>85</v>
      </c>
      <c r="O552" s="3" t="s">
        <v>888</v>
      </c>
      <c r="P552" s="3" t="s">
        <v>875</v>
      </c>
      <c r="Q552" s="31">
        <v>42754</v>
      </c>
      <c r="R552" s="3" t="s">
        <v>62</v>
      </c>
      <c r="S552" s="3" t="s">
        <v>2985</v>
      </c>
    </row>
    <row r="553" spans="1:19">
      <c r="A553" s="3" t="s">
        <v>865</v>
      </c>
      <c r="B553" s="31">
        <v>42749.737991238428</v>
      </c>
      <c r="C553" s="31">
        <v>42747.710416666669</v>
      </c>
      <c r="D553" s="3">
        <v>3035543458</v>
      </c>
      <c r="E553" s="3" t="s">
        <v>9</v>
      </c>
      <c r="F553" s="3" t="s">
        <v>67</v>
      </c>
      <c r="G553" s="3" t="s">
        <v>68</v>
      </c>
      <c r="H553" s="3" t="s">
        <v>82</v>
      </c>
      <c r="I553" s="3" t="s">
        <v>83</v>
      </c>
      <c r="J553" s="3" t="s">
        <v>58</v>
      </c>
      <c r="K553" s="3" t="s">
        <v>2976</v>
      </c>
      <c r="L553" s="3" t="s">
        <v>871</v>
      </c>
      <c r="M553" s="3" t="s">
        <v>65</v>
      </c>
      <c r="N553" s="3" t="s">
        <v>66</v>
      </c>
      <c r="O553" s="3" t="s">
        <v>880</v>
      </c>
      <c r="P553" s="3" t="s">
        <v>3090</v>
      </c>
      <c r="Q553" s="31">
        <v>42748</v>
      </c>
      <c r="R553" s="3" t="s">
        <v>62</v>
      </c>
      <c r="S553" s="3" t="s">
        <v>62</v>
      </c>
    </row>
    <row r="554" spans="1:19">
      <c r="A554" s="3" t="s">
        <v>865</v>
      </c>
      <c r="B554" s="31">
        <v>42750.735881944442</v>
      </c>
      <c r="C554" s="31">
        <v>42748.545138888891</v>
      </c>
      <c r="D554" s="3">
        <v>3035691258</v>
      </c>
      <c r="E554" s="3" t="s">
        <v>9</v>
      </c>
      <c r="F554" s="3" t="s">
        <v>67</v>
      </c>
      <c r="G554" s="3" t="s">
        <v>68</v>
      </c>
      <c r="H554" s="3" t="s">
        <v>82</v>
      </c>
      <c r="I554" s="3" t="s">
        <v>83</v>
      </c>
      <c r="J554" s="3" t="s">
        <v>69</v>
      </c>
      <c r="K554" s="3" t="s">
        <v>2976</v>
      </c>
      <c r="L554" s="3" t="s">
        <v>866</v>
      </c>
      <c r="M554" s="3" t="s">
        <v>70</v>
      </c>
      <c r="N554" s="3" t="s">
        <v>71</v>
      </c>
      <c r="O554" s="3" t="s">
        <v>4230</v>
      </c>
      <c r="P554" s="3" t="s">
        <v>872</v>
      </c>
      <c r="Q554" s="31">
        <v>42753</v>
      </c>
      <c r="R554" s="3" t="s">
        <v>62</v>
      </c>
      <c r="S554" s="3" t="s">
        <v>62</v>
      </c>
    </row>
    <row r="555" spans="1:19">
      <c r="A555" s="3" t="s">
        <v>865</v>
      </c>
      <c r="B555" s="31">
        <v>42750.735881944442</v>
      </c>
      <c r="C555" s="31">
        <v>42748.576388888891</v>
      </c>
      <c r="D555" s="3">
        <v>3035752385</v>
      </c>
      <c r="E555" s="3" t="s">
        <v>31</v>
      </c>
      <c r="F555" s="3" t="s">
        <v>200</v>
      </c>
      <c r="G555" s="3" t="s">
        <v>201</v>
      </c>
      <c r="H555" s="3" t="s">
        <v>200</v>
      </c>
      <c r="I555" s="3" t="s">
        <v>201</v>
      </c>
      <c r="J555" s="3" t="s">
        <v>69</v>
      </c>
      <c r="K555" s="3" t="s">
        <v>2977</v>
      </c>
      <c r="L555" s="3" t="s">
        <v>866</v>
      </c>
      <c r="M555" s="3" t="s">
        <v>70</v>
      </c>
      <c r="N555" s="3" t="s">
        <v>71</v>
      </c>
      <c r="O555" s="3" t="s">
        <v>4208</v>
      </c>
      <c r="P555" s="3" t="s">
        <v>875</v>
      </c>
      <c r="Q555" s="31">
        <v>42752</v>
      </c>
      <c r="R555" s="3" t="s">
        <v>62</v>
      </c>
      <c r="S555" s="3" t="s">
        <v>92</v>
      </c>
    </row>
    <row r="556" spans="1:19">
      <c r="A556" s="3" t="s">
        <v>865</v>
      </c>
      <c r="B556" s="31">
        <v>42750.735881944442</v>
      </c>
      <c r="C556" s="31">
        <v>42748.581250000003</v>
      </c>
      <c r="D556" s="3">
        <v>3035751658</v>
      </c>
      <c r="E556" s="3" t="s">
        <v>39</v>
      </c>
      <c r="F556" s="3" t="s">
        <v>234</v>
      </c>
      <c r="G556" s="3" t="s">
        <v>235</v>
      </c>
      <c r="H556" s="3" t="s">
        <v>234</v>
      </c>
      <c r="I556" s="3" t="s">
        <v>235</v>
      </c>
      <c r="J556" s="3" t="s">
        <v>58</v>
      </c>
      <c r="K556" s="3" t="s">
        <v>2977</v>
      </c>
      <c r="L556" s="3" t="s">
        <v>871</v>
      </c>
      <c r="M556" s="3" t="s">
        <v>84</v>
      </c>
      <c r="N556" s="3" t="s">
        <v>85</v>
      </c>
      <c r="O556" s="3" t="s">
        <v>3648</v>
      </c>
      <c r="P556" s="3" t="s">
        <v>867</v>
      </c>
      <c r="Q556" s="31">
        <v>42751</v>
      </c>
      <c r="R556" s="3" t="s">
        <v>62</v>
      </c>
      <c r="S556" s="3" t="s">
        <v>92</v>
      </c>
    </row>
    <row r="557" spans="1:19">
      <c r="A557" s="3" t="s">
        <v>873</v>
      </c>
      <c r="B557" s="31">
        <v>42749.738012581016</v>
      </c>
      <c r="C557" s="31">
        <v>42747.751388888886</v>
      </c>
      <c r="D557" s="3">
        <v>3035719135</v>
      </c>
      <c r="E557" s="3" t="s">
        <v>9</v>
      </c>
      <c r="F557" s="3" t="s">
        <v>67</v>
      </c>
      <c r="G557" s="3" t="s">
        <v>68</v>
      </c>
      <c r="H557" s="3" t="s">
        <v>2986</v>
      </c>
      <c r="I557" s="3" t="s">
        <v>645</v>
      </c>
      <c r="J557" s="3" t="s">
        <v>58</v>
      </c>
      <c r="K557" s="3" t="s">
        <v>2977</v>
      </c>
      <c r="L557" s="3" t="s">
        <v>871</v>
      </c>
      <c r="M557" s="3" t="s">
        <v>65</v>
      </c>
      <c r="N557" s="3" t="s">
        <v>66</v>
      </c>
      <c r="O557" s="3" t="s">
        <v>880</v>
      </c>
      <c r="P557" s="3" t="s">
        <v>3090</v>
      </c>
      <c r="Q557" s="31">
        <v>42748</v>
      </c>
      <c r="R557" s="3" t="s">
        <v>62</v>
      </c>
      <c r="S557" s="3" t="s">
        <v>65</v>
      </c>
    </row>
    <row r="558" spans="1:19">
      <c r="A558" s="3" t="s">
        <v>868</v>
      </c>
      <c r="B558" s="31">
        <v>42749.737991238428</v>
      </c>
      <c r="C558" s="31">
        <v>42747.756944444445</v>
      </c>
      <c r="D558" s="3">
        <v>3035728264</v>
      </c>
      <c r="E558" s="3" t="s">
        <v>23</v>
      </c>
      <c r="F558" s="3" t="s">
        <v>135</v>
      </c>
      <c r="G558" s="3" t="s">
        <v>136</v>
      </c>
      <c r="H558" s="3" t="s">
        <v>135</v>
      </c>
      <c r="I558" s="3" t="s">
        <v>136</v>
      </c>
      <c r="J558" s="3" t="s">
        <v>69</v>
      </c>
      <c r="K558" s="3" t="s">
        <v>2976</v>
      </c>
      <c r="L558" s="3" t="s">
        <v>866</v>
      </c>
      <c r="M558" s="3" t="s">
        <v>70</v>
      </c>
      <c r="N558" s="3" t="s">
        <v>75</v>
      </c>
      <c r="O558" s="3" t="s">
        <v>3095</v>
      </c>
      <c r="P558" s="3" t="s">
        <v>3090</v>
      </c>
      <c r="Q558" s="31">
        <v>42748</v>
      </c>
      <c r="R558" s="3" t="s">
        <v>62</v>
      </c>
      <c r="S558" s="3" t="s">
        <v>62</v>
      </c>
    </row>
    <row r="559" spans="1:19">
      <c r="A559" s="3" t="s">
        <v>868</v>
      </c>
      <c r="B559" s="31">
        <v>42749.737991238428</v>
      </c>
      <c r="C559" s="31">
        <v>42747.777777777781</v>
      </c>
      <c r="D559" s="3">
        <v>3035728168</v>
      </c>
      <c r="E559" s="3" t="s">
        <v>273</v>
      </c>
      <c r="F559" s="3" t="s">
        <v>854</v>
      </c>
      <c r="G559" s="3" t="s">
        <v>846</v>
      </c>
      <c r="H559" s="3" t="s">
        <v>854</v>
      </c>
      <c r="I559" s="3" t="s">
        <v>846</v>
      </c>
      <c r="J559" s="3" t="s">
        <v>98</v>
      </c>
      <c r="K559" s="3" t="s">
        <v>2977</v>
      </c>
      <c r="L559" s="3" t="s">
        <v>866</v>
      </c>
      <c r="M559" s="3" t="s">
        <v>59</v>
      </c>
      <c r="N559" s="3" t="s">
        <v>60</v>
      </c>
      <c r="O559" s="3" t="s">
        <v>147</v>
      </c>
      <c r="P559" s="3" t="s">
        <v>3090</v>
      </c>
      <c r="Q559" s="31">
        <v>42748</v>
      </c>
      <c r="R559" s="3" t="s">
        <v>62</v>
      </c>
      <c r="S559" s="3" t="s">
        <v>2985</v>
      </c>
    </row>
    <row r="560" spans="1:19">
      <c r="A560" s="3" t="s">
        <v>868</v>
      </c>
      <c r="B560" s="31">
        <v>42749.737991238428</v>
      </c>
      <c r="C560" s="31">
        <v>42747.834027777775</v>
      </c>
      <c r="D560" s="3">
        <v>3035689410</v>
      </c>
      <c r="E560" s="3" t="s">
        <v>23</v>
      </c>
      <c r="F560" s="3" t="s">
        <v>129</v>
      </c>
      <c r="G560" s="3" t="s">
        <v>130</v>
      </c>
      <c r="H560" s="3" t="s">
        <v>139</v>
      </c>
      <c r="I560" s="3" t="s">
        <v>140</v>
      </c>
      <c r="J560" s="3" t="s">
        <v>97</v>
      </c>
      <c r="K560" s="3" t="s">
        <v>2977</v>
      </c>
      <c r="L560" s="3" t="s">
        <v>866</v>
      </c>
      <c r="M560" s="3" t="s">
        <v>59</v>
      </c>
      <c r="N560" s="3" t="s">
        <v>60</v>
      </c>
      <c r="O560" s="3" t="s">
        <v>147</v>
      </c>
      <c r="P560" s="3" t="s">
        <v>3090</v>
      </c>
      <c r="Q560" s="31">
        <v>42748</v>
      </c>
      <c r="R560" s="3" t="s">
        <v>62</v>
      </c>
      <c r="S560" s="3" t="s">
        <v>529</v>
      </c>
    </row>
    <row r="561" spans="1:19">
      <c r="A561" s="3" t="s">
        <v>865</v>
      </c>
      <c r="B561" s="31">
        <v>42750.735881944442</v>
      </c>
      <c r="C561" s="31">
        <v>42748.659722222219</v>
      </c>
      <c r="D561" s="3">
        <v>3035756262</v>
      </c>
      <c r="E561" s="3" t="e">
        <v>#N/A</v>
      </c>
      <c r="F561" s="3" t="s">
        <v>889</v>
      </c>
      <c r="G561" s="3" t="e">
        <v>#N/A</v>
      </c>
      <c r="H561" s="3" t="s">
        <v>889</v>
      </c>
      <c r="I561" s="3" t="e">
        <v>#N/A</v>
      </c>
      <c r="J561" s="3" t="s">
        <v>58</v>
      </c>
      <c r="K561" s="3" t="s">
        <v>2977</v>
      </c>
      <c r="L561" s="3" t="s">
        <v>871</v>
      </c>
      <c r="M561" s="3" t="s">
        <v>84</v>
      </c>
      <c r="N561" s="3" t="s">
        <v>85</v>
      </c>
      <c r="O561" s="3" t="s">
        <v>4238</v>
      </c>
      <c r="P561" s="3" t="s">
        <v>872</v>
      </c>
      <c r="Q561" s="31">
        <v>42753</v>
      </c>
      <c r="R561" s="3" t="s">
        <v>62</v>
      </c>
      <c r="S561" s="3" t="s">
        <v>2143</v>
      </c>
    </row>
    <row r="562" spans="1:19">
      <c r="A562" s="3" t="s">
        <v>868</v>
      </c>
      <c r="B562" s="31">
        <v>42749.737991238428</v>
      </c>
      <c r="C562" s="31">
        <v>42747.913194444445</v>
      </c>
      <c r="D562" s="3">
        <v>3035735067</v>
      </c>
      <c r="E562" s="3" t="s">
        <v>23</v>
      </c>
      <c r="F562" s="3" t="s">
        <v>129</v>
      </c>
      <c r="G562" s="3" t="s">
        <v>130</v>
      </c>
      <c r="H562" s="3" t="s">
        <v>129</v>
      </c>
      <c r="I562" s="3" t="s">
        <v>130</v>
      </c>
      <c r="J562" s="3" t="s">
        <v>69</v>
      </c>
      <c r="K562" s="3" t="s">
        <v>2976</v>
      </c>
      <c r="L562" s="3" t="s">
        <v>866</v>
      </c>
      <c r="M562" s="3" t="s">
        <v>59</v>
      </c>
      <c r="N562" s="3" t="s">
        <v>60</v>
      </c>
      <c r="O562" s="3" t="s">
        <v>147</v>
      </c>
      <c r="P562" s="3" t="s">
        <v>3090</v>
      </c>
      <c r="Q562" s="31">
        <v>42748</v>
      </c>
      <c r="R562" s="3" t="s">
        <v>62</v>
      </c>
      <c r="S562" s="3" t="s">
        <v>62</v>
      </c>
    </row>
    <row r="563" spans="1:19">
      <c r="A563" s="3" t="s">
        <v>868</v>
      </c>
      <c r="B563" s="31">
        <v>42749.737991238428</v>
      </c>
      <c r="C563" s="31">
        <v>42747.913888888892</v>
      </c>
      <c r="D563" s="3">
        <v>3035735119</v>
      </c>
      <c r="E563" s="3" t="s">
        <v>23</v>
      </c>
      <c r="F563" s="3" t="s">
        <v>186</v>
      </c>
      <c r="G563" s="3" t="s">
        <v>187</v>
      </c>
      <c r="H563" s="3" t="s">
        <v>186</v>
      </c>
      <c r="I563" s="3" t="s">
        <v>187</v>
      </c>
      <c r="J563" s="3" t="s">
        <v>69</v>
      </c>
      <c r="K563" s="3" t="s">
        <v>2976</v>
      </c>
      <c r="L563" s="3" t="s">
        <v>866</v>
      </c>
      <c r="M563" s="3" t="s">
        <v>59</v>
      </c>
      <c r="N563" s="3" t="s">
        <v>60</v>
      </c>
      <c r="O563" s="3" t="s">
        <v>147</v>
      </c>
      <c r="P563" s="3" t="s">
        <v>3090</v>
      </c>
      <c r="Q563" s="31">
        <v>42748</v>
      </c>
      <c r="R563" s="3" t="s">
        <v>62</v>
      </c>
      <c r="S563" s="3" t="s">
        <v>62</v>
      </c>
    </row>
    <row r="564" spans="1:19">
      <c r="A564" s="3" t="e">
        <v>#N/A</v>
      </c>
      <c r="B564" s="31" t="e">
        <v>#N/A</v>
      </c>
      <c r="C564" s="31">
        <v>42748.356944444444</v>
      </c>
      <c r="D564" s="3">
        <v>3035508919</v>
      </c>
      <c r="E564" s="3" t="e">
        <v>#N/A</v>
      </c>
      <c r="F564" s="3" t="s">
        <v>889</v>
      </c>
      <c r="G564" s="3" t="e">
        <v>#N/A</v>
      </c>
      <c r="H564" s="3" t="s">
        <v>103</v>
      </c>
      <c r="I564" s="3" t="s">
        <v>104</v>
      </c>
      <c r="J564" s="3" t="s">
        <v>58</v>
      </c>
      <c r="K564" s="3" t="s">
        <v>2977</v>
      </c>
      <c r="L564" s="3" t="s">
        <v>866</v>
      </c>
      <c r="M564" s="3" t="s">
        <v>70</v>
      </c>
      <c r="N564" s="3" t="s">
        <v>66</v>
      </c>
      <c r="O564" s="3" t="s">
        <v>66</v>
      </c>
      <c r="P564" s="3" t="s">
        <v>872</v>
      </c>
      <c r="Q564" s="31">
        <v>42749</v>
      </c>
      <c r="R564" s="3" t="s">
        <v>62</v>
      </c>
      <c r="S564" s="3" t="s">
        <v>65</v>
      </c>
    </row>
    <row r="565" spans="1:19">
      <c r="A565" s="3" t="s">
        <v>865</v>
      </c>
      <c r="B565" s="31">
        <v>42750.735881944442</v>
      </c>
      <c r="C565" s="31">
        <v>42748.388888888891</v>
      </c>
      <c r="D565" s="3">
        <v>3035746472</v>
      </c>
      <c r="E565" s="3" t="s">
        <v>39</v>
      </c>
      <c r="F565" s="3" t="s">
        <v>240</v>
      </c>
      <c r="G565" s="3" t="s">
        <v>241</v>
      </c>
      <c r="H565" s="3" t="s">
        <v>240</v>
      </c>
      <c r="I565" s="3" t="s">
        <v>241</v>
      </c>
      <c r="J565" s="3" t="s">
        <v>69</v>
      </c>
      <c r="K565" s="3" t="s">
        <v>2977</v>
      </c>
      <c r="L565" s="3" t="s">
        <v>866</v>
      </c>
      <c r="M565" s="3" t="s">
        <v>59</v>
      </c>
      <c r="N565" s="3" t="s">
        <v>60</v>
      </c>
      <c r="O565" s="3" t="s">
        <v>147</v>
      </c>
      <c r="P565" s="3" t="s">
        <v>872</v>
      </c>
      <c r="Q565" s="31">
        <v>42749</v>
      </c>
      <c r="R565" s="3" t="s">
        <v>62</v>
      </c>
      <c r="S565" s="3" t="s">
        <v>92</v>
      </c>
    </row>
    <row r="566" spans="1:19">
      <c r="A566" s="3" t="e">
        <v>#N/A</v>
      </c>
      <c r="B566" s="31" t="e">
        <v>#N/A</v>
      </c>
      <c r="C566" s="31">
        <v>42748.39166666667</v>
      </c>
      <c r="D566" s="3">
        <v>3035291567</v>
      </c>
      <c r="E566" s="3" t="s">
        <v>273</v>
      </c>
      <c r="F566" s="3" t="s">
        <v>253</v>
      </c>
      <c r="G566" s="3" t="s">
        <v>254</v>
      </c>
      <c r="H566" s="3" t="s">
        <v>63</v>
      </c>
      <c r="I566" s="3" t="s">
        <v>64</v>
      </c>
      <c r="J566" s="3" t="s">
        <v>144</v>
      </c>
      <c r="K566" s="3" t="s">
        <v>2977</v>
      </c>
      <c r="L566" s="3" t="s">
        <v>866</v>
      </c>
      <c r="M566" s="3" t="s">
        <v>70</v>
      </c>
      <c r="N566" s="3" t="s">
        <v>66</v>
      </c>
      <c r="O566" s="3" t="s">
        <v>66</v>
      </c>
      <c r="P566" s="3" t="s">
        <v>872</v>
      </c>
      <c r="Q566" s="31">
        <v>42749</v>
      </c>
      <c r="R566" s="3" t="s">
        <v>62</v>
      </c>
      <c r="S566" s="3" t="s">
        <v>65</v>
      </c>
    </row>
    <row r="567" spans="1:19">
      <c r="A567" s="3" t="s">
        <v>865</v>
      </c>
      <c r="B567" s="31">
        <v>42750.735881944442</v>
      </c>
      <c r="C567" s="31">
        <v>42748.42083333333</v>
      </c>
      <c r="D567" s="3">
        <v>3035604866</v>
      </c>
      <c r="E567" s="3" t="s">
        <v>9</v>
      </c>
      <c r="F567" s="3" t="s">
        <v>133</v>
      </c>
      <c r="G567" s="3" t="s">
        <v>134</v>
      </c>
      <c r="H567" s="3" t="s">
        <v>82</v>
      </c>
      <c r="I567" s="3" t="s">
        <v>83</v>
      </c>
      <c r="J567" s="3" t="s">
        <v>69</v>
      </c>
      <c r="K567" s="3" t="s">
        <v>2976</v>
      </c>
      <c r="L567" s="3" t="s">
        <v>866</v>
      </c>
      <c r="M567" s="3" t="s">
        <v>70</v>
      </c>
      <c r="N567" s="3" t="s">
        <v>71</v>
      </c>
      <c r="O567" s="3" t="s">
        <v>3080</v>
      </c>
      <c r="P567" s="3" t="s">
        <v>872</v>
      </c>
      <c r="Q567" s="31">
        <v>42751</v>
      </c>
      <c r="R567" s="3" t="s">
        <v>62</v>
      </c>
      <c r="S567" s="3" t="s">
        <v>62</v>
      </c>
    </row>
    <row r="568" spans="1:19">
      <c r="A568" s="3" t="s">
        <v>865</v>
      </c>
      <c r="B568" s="31">
        <v>42750.735881944442</v>
      </c>
      <c r="C568" s="31">
        <v>42748.427777777775</v>
      </c>
      <c r="D568" s="3">
        <v>3035713369</v>
      </c>
      <c r="E568" s="3" t="s">
        <v>31</v>
      </c>
      <c r="F568" s="3" t="s">
        <v>202</v>
      </c>
      <c r="G568" s="3" t="s">
        <v>203</v>
      </c>
      <c r="H568" s="3" t="s">
        <v>209</v>
      </c>
      <c r="I568" s="3" t="s">
        <v>210</v>
      </c>
      <c r="J568" s="3" t="s">
        <v>97</v>
      </c>
      <c r="K568" s="3" t="s">
        <v>2977</v>
      </c>
      <c r="L568" s="3" t="s">
        <v>866</v>
      </c>
      <c r="M568" s="3" t="s">
        <v>70</v>
      </c>
      <c r="N568" s="3" t="s">
        <v>71</v>
      </c>
      <c r="O568" s="3" t="s">
        <v>3080</v>
      </c>
      <c r="P568" s="3" t="s">
        <v>872</v>
      </c>
      <c r="Q568" s="31">
        <v>42751</v>
      </c>
      <c r="R568" s="3" t="s">
        <v>62</v>
      </c>
      <c r="S568" s="3" t="s">
        <v>529</v>
      </c>
    </row>
    <row r="569" spans="1:19">
      <c r="A569" s="3" t="s">
        <v>868</v>
      </c>
      <c r="B569" s="31">
        <v>42750.735881944442</v>
      </c>
      <c r="C569" s="31">
        <v>42748.428472222222</v>
      </c>
      <c r="D569" s="3">
        <v>3035747577</v>
      </c>
      <c r="E569" s="3" t="s">
        <v>31</v>
      </c>
      <c r="F569" s="3" t="s">
        <v>202</v>
      </c>
      <c r="G569" s="3" t="s">
        <v>203</v>
      </c>
      <c r="H569" s="3" t="s">
        <v>202</v>
      </c>
      <c r="I569" s="3" t="s">
        <v>203</v>
      </c>
      <c r="J569" s="3" t="s">
        <v>79</v>
      </c>
      <c r="K569" s="3" t="s">
        <v>2976</v>
      </c>
      <c r="L569" s="3" t="s">
        <v>866</v>
      </c>
      <c r="M569" s="3" t="s">
        <v>59</v>
      </c>
      <c r="N569" s="3" t="s">
        <v>60</v>
      </c>
      <c r="O569" s="3" t="s">
        <v>147</v>
      </c>
      <c r="P569" s="3" t="s">
        <v>872</v>
      </c>
      <c r="Q569" s="31">
        <v>42749</v>
      </c>
      <c r="R569" s="3" t="s">
        <v>62</v>
      </c>
      <c r="S569" s="3" t="s">
        <v>62</v>
      </c>
    </row>
    <row r="570" spans="1:19">
      <c r="A570" s="3" t="s">
        <v>873</v>
      </c>
      <c r="B570" s="31">
        <v>42750.735881944442</v>
      </c>
      <c r="C570" s="31">
        <v>42748.431250000001</v>
      </c>
      <c r="D570" s="3">
        <v>3035747236</v>
      </c>
      <c r="E570" s="3" t="s">
        <v>31</v>
      </c>
      <c r="F570" s="3" t="s">
        <v>206</v>
      </c>
      <c r="G570" s="3" t="s">
        <v>207</v>
      </c>
      <c r="H570" s="3" t="s">
        <v>206</v>
      </c>
      <c r="I570" s="3" t="s">
        <v>207</v>
      </c>
      <c r="J570" s="3" t="s">
        <v>69</v>
      </c>
      <c r="K570" s="3" t="s">
        <v>2977</v>
      </c>
      <c r="L570" s="3" t="s">
        <v>866</v>
      </c>
      <c r="M570" s="3" t="s">
        <v>844</v>
      </c>
      <c r="N570" s="3" t="s">
        <v>845</v>
      </c>
      <c r="O570" s="3" t="s">
        <v>845</v>
      </c>
      <c r="P570" s="3" t="s">
        <v>872</v>
      </c>
      <c r="Q570" s="31">
        <v>42749</v>
      </c>
      <c r="R570" s="3" t="s">
        <v>62</v>
      </c>
      <c r="S570" s="3" t="s">
        <v>92</v>
      </c>
    </row>
    <row r="571" spans="1:19">
      <c r="A571" s="3" t="s">
        <v>868</v>
      </c>
      <c r="B571" s="31">
        <v>42750.735881944442</v>
      </c>
      <c r="C571" s="31">
        <v>42748.434027777781</v>
      </c>
      <c r="D571" s="3">
        <v>3035747702</v>
      </c>
      <c r="E571" s="3" t="s">
        <v>9</v>
      </c>
      <c r="F571" s="3" t="s">
        <v>67</v>
      </c>
      <c r="G571" s="3" t="s">
        <v>68</v>
      </c>
      <c r="H571" s="3" t="s">
        <v>67</v>
      </c>
      <c r="I571" s="3" t="s">
        <v>68</v>
      </c>
      <c r="J571" s="3" t="s">
        <v>69</v>
      </c>
      <c r="K571" s="3" t="s">
        <v>2976</v>
      </c>
      <c r="L571" s="3" t="s">
        <v>866</v>
      </c>
      <c r="M571" s="3" t="s">
        <v>59</v>
      </c>
      <c r="N571" s="3" t="s">
        <v>60</v>
      </c>
      <c r="O571" s="3" t="s">
        <v>147</v>
      </c>
      <c r="P571" s="3" t="s">
        <v>872</v>
      </c>
      <c r="Q571" s="31">
        <v>42749</v>
      </c>
      <c r="R571" s="3" t="s">
        <v>62</v>
      </c>
      <c r="S571" s="3" t="s">
        <v>62</v>
      </c>
    </row>
    <row r="572" spans="1:19">
      <c r="A572" s="3" t="s">
        <v>877</v>
      </c>
      <c r="B572" s="31">
        <v>42750.735881944442</v>
      </c>
      <c r="C572" s="31">
        <v>42748.435416666667</v>
      </c>
      <c r="D572" s="3">
        <v>3035642689</v>
      </c>
      <c r="E572" s="3" t="s">
        <v>9</v>
      </c>
      <c r="F572" s="3" t="s">
        <v>109</v>
      </c>
      <c r="G572" s="3" t="s">
        <v>110</v>
      </c>
      <c r="H572" s="3" t="s">
        <v>82</v>
      </c>
      <c r="I572" s="3" t="s">
        <v>83</v>
      </c>
      <c r="J572" s="3" t="s">
        <v>58</v>
      </c>
      <c r="K572" s="3" t="s">
        <v>2976</v>
      </c>
      <c r="L572" s="3" t="s">
        <v>866</v>
      </c>
      <c r="M572" s="3" t="s">
        <v>70</v>
      </c>
      <c r="N572" s="3" t="s">
        <v>71</v>
      </c>
      <c r="O572" s="3" t="s">
        <v>3079</v>
      </c>
      <c r="P572" s="3" t="s">
        <v>872</v>
      </c>
      <c r="Q572" s="31">
        <v>42749</v>
      </c>
      <c r="R572" s="3" t="s">
        <v>62</v>
      </c>
      <c r="S572" s="3" t="s">
        <v>62</v>
      </c>
    </row>
    <row r="573" spans="1:19">
      <c r="A573" s="3" t="s">
        <v>865</v>
      </c>
      <c r="B573" s="31">
        <v>42750.735881944442</v>
      </c>
      <c r="C573" s="31">
        <v>42748.440972222219</v>
      </c>
      <c r="D573" s="3">
        <v>3035747835</v>
      </c>
      <c r="E573" s="3" t="s">
        <v>9</v>
      </c>
      <c r="F573" s="3" t="s">
        <v>94</v>
      </c>
      <c r="G573" s="3" t="s">
        <v>95</v>
      </c>
      <c r="H573" s="3" t="s">
        <v>94</v>
      </c>
      <c r="I573" s="3" t="s">
        <v>95</v>
      </c>
      <c r="J573" s="3" t="s">
        <v>58</v>
      </c>
      <c r="K573" s="3" t="s">
        <v>2976</v>
      </c>
      <c r="L573" s="3" t="s">
        <v>866</v>
      </c>
      <c r="M573" s="3" t="s">
        <v>59</v>
      </c>
      <c r="N573" s="3" t="s">
        <v>60</v>
      </c>
      <c r="O573" s="3" t="s">
        <v>147</v>
      </c>
      <c r="P573" s="3" t="s">
        <v>872</v>
      </c>
      <c r="Q573" s="31">
        <v>42749</v>
      </c>
      <c r="R573" s="3" t="s">
        <v>62</v>
      </c>
      <c r="S573" s="3" t="s">
        <v>62</v>
      </c>
    </row>
    <row r="574" spans="1:19">
      <c r="A574" s="3" t="s">
        <v>877</v>
      </c>
      <c r="B574" s="31">
        <v>42750.735881944442</v>
      </c>
      <c r="C574" s="31">
        <v>42748.443749999999</v>
      </c>
      <c r="D574" s="3">
        <v>3035655788</v>
      </c>
      <c r="E574" s="3" t="s">
        <v>9</v>
      </c>
      <c r="F574" s="3" t="s">
        <v>109</v>
      </c>
      <c r="G574" s="3" t="s">
        <v>110</v>
      </c>
      <c r="H574" s="3" t="s">
        <v>82</v>
      </c>
      <c r="I574" s="3" t="s">
        <v>83</v>
      </c>
      <c r="J574" s="3" t="s">
        <v>97</v>
      </c>
      <c r="K574" s="3" t="s">
        <v>2976</v>
      </c>
      <c r="L574" s="3" t="s">
        <v>871</v>
      </c>
      <c r="M574" s="3" t="s">
        <v>84</v>
      </c>
      <c r="N574" s="3" t="s">
        <v>85</v>
      </c>
      <c r="O574" s="3" t="s">
        <v>888</v>
      </c>
      <c r="P574" s="3" t="s">
        <v>872</v>
      </c>
      <c r="Q574" s="31">
        <v>42749</v>
      </c>
      <c r="R574" s="3" t="s">
        <v>62</v>
      </c>
      <c r="S574" s="3" t="s">
        <v>62</v>
      </c>
    </row>
    <row r="575" spans="1:19">
      <c r="A575" s="3" t="s">
        <v>877</v>
      </c>
      <c r="B575" s="31">
        <v>42750.735881944442</v>
      </c>
      <c r="C575" s="31">
        <v>42748.445138888892</v>
      </c>
      <c r="D575" s="3">
        <v>3035747955</v>
      </c>
      <c r="E575" s="3" t="s">
        <v>31</v>
      </c>
      <c r="F575" s="3" t="s">
        <v>145</v>
      </c>
      <c r="G575" s="3" t="s">
        <v>146</v>
      </c>
      <c r="H575" s="3" t="s">
        <v>145</v>
      </c>
      <c r="I575" s="3" t="s">
        <v>146</v>
      </c>
      <c r="J575" s="3" t="s">
        <v>58</v>
      </c>
      <c r="K575" s="3" t="s">
        <v>2977</v>
      </c>
      <c r="L575" s="3" t="s">
        <v>866</v>
      </c>
      <c r="M575" s="3" t="s">
        <v>70</v>
      </c>
      <c r="N575" s="3" t="s">
        <v>71</v>
      </c>
      <c r="O575" s="3" t="s">
        <v>3593</v>
      </c>
      <c r="P575" s="3" t="s">
        <v>872</v>
      </c>
      <c r="Q575" s="31">
        <v>42749</v>
      </c>
      <c r="R575" s="3" t="s">
        <v>62</v>
      </c>
      <c r="S575" s="3" t="s">
        <v>92</v>
      </c>
    </row>
    <row r="576" spans="1:19">
      <c r="A576" s="3" t="s">
        <v>873</v>
      </c>
      <c r="B576" s="31">
        <v>42750.735881944442</v>
      </c>
      <c r="C576" s="31">
        <v>42748.447222222225</v>
      </c>
      <c r="D576" s="3">
        <v>3035746313</v>
      </c>
      <c r="E576" s="3" t="s">
        <v>31</v>
      </c>
      <c r="F576" s="3" t="s">
        <v>206</v>
      </c>
      <c r="G576" s="3" t="s">
        <v>207</v>
      </c>
      <c r="H576" s="3" t="s">
        <v>206</v>
      </c>
      <c r="I576" s="3" t="s">
        <v>207</v>
      </c>
      <c r="J576" s="3" t="s">
        <v>79</v>
      </c>
      <c r="K576" s="3" t="s">
        <v>2977</v>
      </c>
      <c r="L576" s="3" t="s">
        <v>871</v>
      </c>
      <c r="M576" s="3" t="s">
        <v>84</v>
      </c>
      <c r="N576" s="3" t="s">
        <v>85</v>
      </c>
      <c r="O576" s="3" t="s">
        <v>888</v>
      </c>
      <c r="P576" s="3" t="s">
        <v>872</v>
      </c>
      <c r="Q576" s="31">
        <v>42749</v>
      </c>
      <c r="R576" s="3" t="s">
        <v>62</v>
      </c>
      <c r="S576" s="3" t="s">
        <v>92</v>
      </c>
    </row>
    <row r="577" spans="1:19">
      <c r="A577" s="3" t="s">
        <v>873</v>
      </c>
      <c r="B577" s="31">
        <v>42750.735881944442</v>
      </c>
      <c r="C577" s="31">
        <v>42748.449305555558</v>
      </c>
      <c r="D577" s="3">
        <v>3035748018</v>
      </c>
      <c r="E577" s="3" t="s">
        <v>9</v>
      </c>
      <c r="F577" s="3" t="s">
        <v>111</v>
      </c>
      <c r="G577" s="3" t="s">
        <v>112</v>
      </c>
      <c r="H577" s="3" t="s">
        <v>111</v>
      </c>
      <c r="I577" s="3" t="s">
        <v>112</v>
      </c>
      <c r="J577" s="3" t="s">
        <v>58</v>
      </c>
      <c r="K577" s="3" t="s">
        <v>2976</v>
      </c>
      <c r="L577" s="3" t="s">
        <v>871</v>
      </c>
      <c r="M577" s="3" t="s">
        <v>84</v>
      </c>
      <c r="N577" s="3" t="s">
        <v>85</v>
      </c>
      <c r="O577" s="3" t="s">
        <v>3594</v>
      </c>
      <c r="P577" s="3" t="s">
        <v>872</v>
      </c>
      <c r="Q577" s="31">
        <v>42749</v>
      </c>
      <c r="R577" s="3" t="s">
        <v>62</v>
      </c>
      <c r="S577" s="3" t="s">
        <v>62</v>
      </c>
    </row>
    <row r="578" spans="1:19">
      <c r="A578" s="3" t="s">
        <v>865</v>
      </c>
      <c r="B578" s="31">
        <v>42750.735881944442</v>
      </c>
      <c r="C578" s="31">
        <v>42748.451388888891</v>
      </c>
      <c r="D578" s="3">
        <v>3035747753</v>
      </c>
      <c r="E578" s="3" t="s">
        <v>31</v>
      </c>
      <c r="F578" s="3" t="s">
        <v>219</v>
      </c>
      <c r="G578" s="3" t="s">
        <v>220</v>
      </c>
      <c r="H578" s="3" t="s">
        <v>219</v>
      </c>
      <c r="I578" s="3" t="s">
        <v>220</v>
      </c>
      <c r="J578" s="3" t="s">
        <v>69</v>
      </c>
      <c r="K578" s="3" t="s">
        <v>2977</v>
      </c>
      <c r="L578" s="3" t="s">
        <v>866</v>
      </c>
      <c r="M578" s="3" t="s">
        <v>59</v>
      </c>
      <c r="N578" s="3" t="s">
        <v>60</v>
      </c>
      <c r="O578" s="3" t="s">
        <v>147</v>
      </c>
      <c r="P578" s="3" t="s">
        <v>872</v>
      </c>
      <c r="Q578" s="31">
        <v>42749</v>
      </c>
      <c r="R578" s="3" t="s">
        <v>62</v>
      </c>
      <c r="S578" s="3" t="s">
        <v>92</v>
      </c>
    </row>
    <row r="579" spans="1:19">
      <c r="A579" s="3" t="s">
        <v>865</v>
      </c>
      <c r="B579" s="31">
        <v>42750.735881944442</v>
      </c>
      <c r="C579" s="31">
        <v>42748.454861111109</v>
      </c>
      <c r="D579" s="3">
        <v>3035686664</v>
      </c>
      <c r="E579" s="3" t="s">
        <v>273</v>
      </c>
      <c r="F579" s="3" t="s">
        <v>265</v>
      </c>
      <c r="G579" s="3" t="s">
        <v>266</v>
      </c>
      <c r="H579" s="3" t="s">
        <v>115</v>
      </c>
      <c r="I579" s="3" t="s">
        <v>116</v>
      </c>
      <c r="J579" s="3" t="s">
        <v>144</v>
      </c>
      <c r="K579" s="3" t="s">
        <v>2977</v>
      </c>
      <c r="L579" s="3" t="s">
        <v>866</v>
      </c>
      <c r="M579" s="3" t="s">
        <v>70</v>
      </c>
      <c r="N579" s="3" t="s">
        <v>71</v>
      </c>
      <c r="O579" s="3" t="s">
        <v>888</v>
      </c>
      <c r="P579" s="3" t="s">
        <v>872</v>
      </c>
      <c r="Q579" s="31">
        <v>42749</v>
      </c>
      <c r="R579" s="3" t="s">
        <v>62</v>
      </c>
      <c r="S579" s="3" t="s">
        <v>529</v>
      </c>
    </row>
    <row r="580" spans="1:19">
      <c r="A580" s="3" t="s">
        <v>865</v>
      </c>
      <c r="B580" s="31">
        <v>42750.735881944442</v>
      </c>
      <c r="C580" s="31">
        <v>42748.475694444445</v>
      </c>
      <c r="D580" s="3">
        <v>3035748700</v>
      </c>
      <c r="E580" s="3" t="s">
        <v>9</v>
      </c>
      <c r="F580" s="3" t="s">
        <v>67</v>
      </c>
      <c r="G580" s="3" t="s">
        <v>68</v>
      </c>
      <c r="H580" s="3" t="s">
        <v>67</v>
      </c>
      <c r="I580" s="3" t="s">
        <v>68</v>
      </c>
      <c r="J580" s="3" t="s">
        <v>99</v>
      </c>
      <c r="K580" s="3" t="s">
        <v>2976</v>
      </c>
      <c r="L580" s="3" t="s">
        <v>866</v>
      </c>
      <c r="M580" s="3" t="s">
        <v>59</v>
      </c>
      <c r="N580" s="3" t="s">
        <v>60</v>
      </c>
      <c r="O580" s="3" t="s">
        <v>147</v>
      </c>
      <c r="P580" s="3" t="s">
        <v>872</v>
      </c>
      <c r="Q580" s="31">
        <v>42749</v>
      </c>
      <c r="R580" s="3" t="s">
        <v>62</v>
      </c>
      <c r="S580" s="3" t="s">
        <v>62</v>
      </c>
    </row>
    <row r="581" spans="1:19">
      <c r="A581" s="3" t="s">
        <v>868</v>
      </c>
      <c r="B581" s="31">
        <v>42750.735881944442</v>
      </c>
      <c r="C581" s="31">
        <v>42748.480555555558</v>
      </c>
      <c r="D581" s="3">
        <v>3035748728</v>
      </c>
      <c r="E581" s="3" t="s">
        <v>9</v>
      </c>
      <c r="F581" s="3" t="s">
        <v>107</v>
      </c>
      <c r="G581" s="3" t="s">
        <v>108</v>
      </c>
      <c r="H581" s="3" t="s">
        <v>107</v>
      </c>
      <c r="I581" s="3" t="s">
        <v>108</v>
      </c>
      <c r="J581" s="3" t="s">
        <v>58</v>
      </c>
      <c r="K581" s="3" t="s">
        <v>2976</v>
      </c>
      <c r="L581" s="3" t="s">
        <v>866</v>
      </c>
      <c r="M581" s="3" t="s">
        <v>59</v>
      </c>
      <c r="N581" s="3" t="s">
        <v>60</v>
      </c>
      <c r="O581" s="3" t="s">
        <v>147</v>
      </c>
      <c r="P581" s="3" t="s">
        <v>872</v>
      </c>
      <c r="Q581" s="31">
        <v>42751</v>
      </c>
      <c r="R581" s="3" t="s">
        <v>62</v>
      </c>
      <c r="S581" s="3" t="s">
        <v>62</v>
      </c>
    </row>
    <row r="582" spans="1:19">
      <c r="A582" s="3" t="s">
        <v>865</v>
      </c>
      <c r="B582" s="31">
        <v>42750.735881944442</v>
      </c>
      <c r="C582" s="31">
        <v>42748.666666666664</v>
      </c>
      <c r="D582" s="3">
        <v>3035756221</v>
      </c>
      <c r="E582" s="3" t="s">
        <v>9</v>
      </c>
      <c r="F582" s="3" t="s">
        <v>133</v>
      </c>
      <c r="G582" s="3" t="s">
        <v>134</v>
      </c>
      <c r="H582" s="3" t="s">
        <v>133</v>
      </c>
      <c r="I582" s="3" t="s">
        <v>134</v>
      </c>
      <c r="J582" s="3" t="s">
        <v>69</v>
      </c>
      <c r="K582" s="3" t="s">
        <v>2976</v>
      </c>
      <c r="L582" s="3" t="s">
        <v>871</v>
      </c>
      <c r="M582" s="3" t="s">
        <v>84</v>
      </c>
      <c r="N582" s="3" t="s">
        <v>85</v>
      </c>
      <c r="O582" s="3" t="s">
        <v>3649</v>
      </c>
      <c r="P582" s="3" t="s">
        <v>875</v>
      </c>
      <c r="Q582" s="31">
        <v>42754</v>
      </c>
      <c r="R582" s="3" t="s">
        <v>62</v>
      </c>
      <c r="S582" s="3" t="s">
        <v>62</v>
      </c>
    </row>
    <row r="583" spans="1:19">
      <c r="A583" s="3" t="s">
        <v>868</v>
      </c>
      <c r="B583" s="31">
        <v>42750.735881944442</v>
      </c>
      <c r="C583" s="31">
        <v>42748.491666666669</v>
      </c>
      <c r="D583" s="3">
        <v>3035748909</v>
      </c>
      <c r="E583" s="3" t="s">
        <v>9</v>
      </c>
      <c r="F583" s="3" t="s">
        <v>101</v>
      </c>
      <c r="G583" s="3" t="s">
        <v>102</v>
      </c>
      <c r="H583" s="3" t="s">
        <v>101</v>
      </c>
      <c r="I583" s="3" t="s">
        <v>102</v>
      </c>
      <c r="J583" s="3" t="s">
        <v>69</v>
      </c>
      <c r="K583" s="3" t="s">
        <v>2976</v>
      </c>
      <c r="L583" s="3" t="s">
        <v>866</v>
      </c>
      <c r="M583" s="3" t="s">
        <v>59</v>
      </c>
      <c r="N583" s="3" t="s">
        <v>60</v>
      </c>
      <c r="O583" s="3" t="s">
        <v>147</v>
      </c>
      <c r="P583" s="3" t="s">
        <v>872</v>
      </c>
      <c r="Q583" s="31">
        <v>42749</v>
      </c>
      <c r="R583" s="3" t="s">
        <v>62</v>
      </c>
      <c r="S583" s="3" t="s">
        <v>62</v>
      </c>
    </row>
    <row r="584" spans="1:19">
      <c r="A584" s="3" t="s">
        <v>868</v>
      </c>
      <c r="B584" s="31">
        <v>42750.735881944442</v>
      </c>
      <c r="C584" s="31">
        <v>42748.493750000001</v>
      </c>
      <c r="D584" s="3">
        <v>3035748750</v>
      </c>
      <c r="E584" s="3" t="s">
        <v>31</v>
      </c>
      <c r="F584" s="3" t="s">
        <v>227</v>
      </c>
      <c r="G584" s="3" t="s">
        <v>228</v>
      </c>
      <c r="H584" s="3" t="s">
        <v>227</v>
      </c>
      <c r="I584" s="3" t="s">
        <v>228</v>
      </c>
      <c r="J584" s="3" t="s">
        <v>69</v>
      </c>
      <c r="K584" s="3" t="s">
        <v>2977</v>
      </c>
      <c r="L584" s="3" t="s">
        <v>866</v>
      </c>
      <c r="M584" s="3" t="s">
        <v>59</v>
      </c>
      <c r="N584" s="3" t="s">
        <v>60</v>
      </c>
      <c r="O584" s="3" t="s">
        <v>147</v>
      </c>
      <c r="P584" s="3" t="s">
        <v>872</v>
      </c>
      <c r="Q584" s="31">
        <v>42749</v>
      </c>
      <c r="R584" s="3" t="s">
        <v>62</v>
      </c>
      <c r="S584" s="3" t="s">
        <v>92</v>
      </c>
    </row>
    <row r="585" spans="1:19">
      <c r="A585" s="3" t="s">
        <v>873</v>
      </c>
      <c r="B585" s="31">
        <v>42750.735881944442</v>
      </c>
      <c r="C585" s="31">
        <v>42748.49722222222</v>
      </c>
      <c r="D585" s="3">
        <v>3035749187</v>
      </c>
      <c r="E585" s="3" t="s">
        <v>31</v>
      </c>
      <c r="F585" s="3" t="s">
        <v>200</v>
      </c>
      <c r="G585" s="3" t="s">
        <v>201</v>
      </c>
      <c r="H585" s="3" t="s">
        <v>200</v>
      </c>
      <c r="I585" s="3" t="s">
        <v>201</v>
      </c>
      <c r="J585" s="3" t="s">
        <v>69</v>
      </c>
      <c r="K585" s="3" t="s">
        <v>2977</v>
      </c>
      <c r="L585" s="3" t="s">
        <v>866</v>
      </c>
      <c r="M585" s="3" t="s">
        <v>59</v>
      </c>
      <c r="N585" s="3" t="s">
        <v>60</v>
      </c>
      <c r="O585" s="3" t="s">
        <v>147</v>
      </c>
      <c r="P585" s="3" t="s">
        <v>872</v>
      </c>
      <c r="Q585" s="31">
        <v>42749</v>
      </c>
      <c r="R585" s="3" t="s">
        <v>62</v>
      </c>
      <c r="S585" s="3" t="s">
        <v>92</v>
      </c>
    </row>
    <row r="586" spans="1:19">
      <c r="A586" s="3" t="s">
        <v>868</v>
      </c>
      <c r="B586" s="31">
        <v>42750.735881944442</v>
      </c>
      <c r="C586" s="31">
        <v>42748.499305555553</v>
      </c>
      <c r="D586" s="3">
        <v>3035749473</v>
      </c>
      <c r="E586" s="3" t="s">
        <v>31</v>
      </c>
      <c r="F586" s="3" t="s">
        <v>113</v>
      </c>
      <c r="G586" s="3" t="s">
        <v>114</v>
      </c>
      <c r="H586" s="3" t="s">
        <v>113</v>
      </c>
      <c r="I586" s="3" t="s">
        <v>114</v>
      </c>
      <c r="J586" s="3" t="s">
        <v>97</v>
      </c>
      <c r="K586" s="3" t="s">
        <v>2976</v>
      </c>
      <c r="L586" s="3" t="s">
        <v>866</v>
      </c>
      <c r="M586" s="3" t="s">
        <v>59</v>
      </c>
      <c r="N586" s="3" t="s">
        <v>60</v>
      </c>
      <c r="O586" s="3" t="s">
        <v>147</v>
      </c>
      <c r="P586" s="3" t="s">
        <v>872</v>
      </c>
      <c r="Q586" s="31">
        <v>42749</v>
      </c>
      <c r="R586" s="3" t="s">
        <v>62</v>
      </c>
      <c r="S586" s="3" t="s">
        <v>62</v>
      </c>
    </row>
    <row r="587" spans="1:19">
      <c r="A587" s="3" t="s">
        <v>865</v>
      </c>
      <c r="B587" s="31">
        <v>42750.735881944442</v>
      </c>
      <c r="C587" s="31">
        <v>42748.675000000003</v>
      </c>
      <c r="D587" s="3">
        <v>3035606430</v>
      </c>
      <c r="E587" s="3" t="s">
        <v>9</v>
      </c>
      <c r="F587" s="3" t="s">
        <v>133</v>
      </c>
      <c r="G587" s="3" t="s">
        <v>134</v>
      </c>
      <c r="H587" s="3" t="s">
        <v>82</v>
      </c>
      <c r="I587" s="3" t="s">
        <v>83</v>
      </c>
      <c r="J587" s="3" t="s">
        <v>69</v>
      </c>
      <c r="K587" s="3" t="s">
        <v>2976</v>
      </c>
      <c r="L587" s="3" t="s">
        <v>871</v>
      </c>
      <c r="M587" s="3" t="s">
        <v>84</v>
      </c>
      <c r="N587" s="3" t="s">
        <v>85</v>
      </c>
      <c r="O587" s="3" t="s">
        <v>233</v>
      </c>
      <c r="P587" s="3" t="s">
        <v>875</v>
      </c>
      <c r="Q587" s="31">
        <v>42754</v>
      </c>
      <c r="R587" s="3" t="s">
        <v>62</v>
      </c>
      <c r="S587" s="3" t="s">
        <v>62</v>
      </c>
    </row>
    <row r="588" spans="1:19">
      <c r="A588" s="3" t="s">
        <v>865</v>
      </c>
      <c r="B588" s="31">
        <v>42749.737991238428</v>
      </c>
      <c r="C588" s="31">
        <v>42748.738888888889</v>
      </c>
      <c r="D588" s="3">
        <v>3035361582</v>
      </c>
      <c r="E588" s="3" t="s">
        <v>9</v>
      </c>
      <c r="F588" s="3" t="s">
        <v>67</v>
      </c>
      <c r="G588" s="3" t="s">
        <v>68</v>
      </c>
      <c r="H588" s="3" t="s">
        <v>82</v>
      </c>
      <c r="I588" s="3" t="s">
        <v>83</v>
      </c>
      <c r="J588" s="3" t="s">
        <v>69</v>
      </c>
      <c r="K588" s="3" t="s">
        <v>2976</v>
      </c>
      <c r="L588" s="3" t="s">
        <v>871</v>
      </c>
      <c r="M588" s="3" t="s">
        <v>84</v>
      </c>
      <c r="N588" s="3" t="s">
        <v>85</v>
      </c>
      <c r="O588" s="3" t="s">
        <v>268</v>
      </c>
      <c r="P588" s="3" t="s">
        <v>875</v>
      </c>
      <c r="Q588" s="31">
        <v>42754</v>
      </c>
      <c r="R588" s="3" t="s">
        <v>62</v>
      </c>
      <c r="S588" s="3" t="s">
        <v>62</v>
      </c>
    </row>
    <row r="589" spans="1:19">
      <c r="A589" s="3" t="s">
        <v>865</v>
      </c>
      <c r="B589" s="31">
        <v>42750.735881944442</v>
      </c>
      <c r="C589" s="31">
        <v>42748.50277777778</v>
      </c>
      <c r="D589" s="3">
        <v>3035749423</v>
      </c>
      <c r="E589" s="3" t="s">
        <v>9</v>
      </c>
      <c r="F589" s="3" t="s">
        <v>94</v>
      </c>
      <c r="G589" s="3" t="s">
        <v>95</v>
      </c>
      <c r="H589" s="3" t="s">
        <v>94</v>
      </c>
      <c r="I589" s="3" t="s">
        <v>95</v>
      </c>
      <c r="J589" s="3" t="s">
        <v>98</v>
      </c>
      <c r="K589" s="3" t="s">
        <v>2976</v>
      </c>
      <c r="L589" s="3" t="s">
        <v>866</v>
      </c>
      <c r="M589" s="3" t="s">
        <v>70</v>
      </c>
      <c r="N589" s="3" t="s">
        <v>71</v>
      </c>
      <c r="O589" s="3" t="s">
        <v>3643</v>
      </c>
      <c r="P589" s="3" t="s">
        <v>867</v>
      </c>
      <c r="Q589" s="31">
        <v>42751</v>
      </c>
      <c r="R589" s="3" t="s">
        <v>62</v>
      </c>
      <c r="S589" s="3" t="s">
        <v>62</v>
      </c>
    </row>
    <row r="590" spans="1:19">
      <c r="A590" s="3" t="s">
        <v>865</v>
      </c>
      <c r="B590" s="31">
        <v>42751.734828043984</v>
      </c>
      <c r="C590" s="31">
        <v>42749.449305555558</v>
      </c>
      <c r="D590" s="3">
        <v>3035773155</v>
      </c>
      <c r="E590" s="3" t="s">
        <v>23</v>
      </c>
      <c r="F590" s="3" t="s">
        <v>183</v>
      </c>
      <c r="G590" s="3" t="s">
        <v>184</v>
      </c>
      <c r="H590" s="3" t="s">
        <v>183</v>
      </c>
      <c r="I590" s="3" t="s">
        <v>184</v>
      </c>
      <c r="J590" s="3" t="s">
        <v>69</v>
      </c>
      <c r="K590" s="3" t="s">
        <v>2976</v>
      </c>
      <c r="L590" s="3" t="s">
        <v>871</v>
      </c>
      <c r="M590" s="3" t="s">
        <v>84</v>
      </c>
      <c r="N590" s="3" t="s">
        <v>85</v>
      </c>
      <c r="O590" s="3" t="s">
        <v>233</v>
      </c>
      <c r="P590" s="3" t="s">
        <v>3090</v>
      </c>
      <c r="Q590" s="31">
        <v>42754</v>
      </c>
      <c r="R590" s="3" t="s">
        <v>62</v>
      </c>
      <c r="S590" s="3" t="s">
        <v>62</v>
      </c>
    </row>
    <row r="591" spans="1:19">
      <c r="A591" s="3" t="s">
        <v>877</v>
      </c>
      <c r="B591" s="31">
        <v>42750.735881944442</v>
      </c>
      <c r="C591" s="31">
        <v>42748.509027777778</v>
      </c>
      <c r="D591" s="3">
        <v>3035747053</v>
      </c>
      <c r="E591" s="3" t="s">
        <v>31</v>
      </c>
      <c r="F591" s="3" t="s">
        <v>3043</v>
      </c>
      <c r="G591" s="3" t="s">
        <v>3044</v>
      </c>
      <c r="H591" s="3" t="s">
        <v>3043</v>
      </c>
      <c r="I591" s="3" t="s">
        <v>3044</v>
      </c>
      <c r="J591" s="3" t="s">
        <v>69</v>
      </c>
      <c r="K591" s="3" t="s">
        <v>2976</v>
      </c>
      <c r="L591" s="3" t="s">
        <v>871</v>
      </c>
      <c r="M591" s="3" t="s">
        <v>84</v>
      </c>
      <c r="N591" s="3" t="s">
        <v>85</v>
      </c>
      <c r="O591" s="3" t="s">
        <v>888</v>
      </c>
      <c r="P591" s="3" t="s">
        <v>872</v>
      </c>
      <c r="Q591" s="31">
        <v>42749</v>
      </c>
      <c r="R591" s="3" t="s">
        <v>62</v>
      </c>
      <c r="S591" s="3" t="s">
        <v>62</v>
      </c>
    </row>
    <row r="592" spans="1:19">
      <c r="A592" s="3" t="s">
        <v>877</v>
      </c>
      <c r="B592" s="31">
        <v>42750.735881944442</v>
      </c>
      <c r="C592" s="31">
        <v>42748.522222222222</v>
      </c>
      <c r="D592" s="3">
        <v>3035750285</v>
      </c>
      <c r="E592" s="3" t="s">
        <v>9</v>
      </c>
      <c r="F592" s="3" t="s">
        <v>111</v>
      </c>
      <c r="G592" s="3" t="s">
        <v>112</v>
      </c>
      <c r="H592" s="3" t="s">
        <v>111</v>
      </c>
      <c r="I592" s="3" t="s">
        <v>112</v>
      </c>
      <c r="J592" s="3" t="s">
        <v>69</v>
      </c>
      <c r="K592" s="3" t="s">
        <v>2976</v>
      </c>
      <c r="L592" s="3" t="s">
        <v>871</v>
      </c>
      <c r="M592" s="3" t="s">
        <v>84</v>
      </c>
      <c r="N592" s="3" t="s">
        <v>85</v>
      </c>
      <c r="O592" s="3" t="s">
        <v>888</v>
      </c>
      <c r="P592" s="3" t="s">
        <v>872</v>
      </c>
      <c r="Q592" s="31">
        <v>42749</v>
      </c>
      <c r="R592" s="3" t="s">
        <v>62</v>
      </c>
      <c r="S592" s="3" t="s">
        <v>62</v>
      </c>
    </row>
    <row r="593" spans="1:19">
      <c r="A593" s="3" t="s">
        <v>868</v>
      </c>
      <c r="B593" s="31">
        <v>42750.735881944442</v>
      </c>
      <c r="C593" s="31">
        <v>42748.537499999999</v>
      </c>
      <c r="D593" s="3">
        <v>3035748734</v>
      </c>
      <c r="E593" s="3" t="s">
        <v>31</v>
      </c>
      <c r="F593" s="3" t="s">
        <v>219</v>
      </c>
      <c r="G593" s="3" t="s">
        <v>220</v>
      </c>
      <c r="H593" s="3" t="s">
        <v>219</v>
      </c>
      <c r="I593" s="3" t="s">
        <v>220</v>
      </c>
      <c r="J593" s="3" t="s">
        <v>69</v>
      </c>
      <c r="K593" s="3" t="s">
        <v>2977</v>
      </c>
      <c r="L593" s="3" t="s">
        <v>871</v>
      </c>
      <c r="M593" s="3" t="s">
        <v>84</v>
      </c>
      <c r="N593" s="3" t="s">
        <v>85</v>
      </c>
      <c r="O593" s="3" t="s">
        <v>3644</v>
      </c>
      <c r="P593" s="3" t="s">
        <v>867</v>
      </c>
      <c r="Q593" s="31">
        <v>42751</v>
      </c>
      <c r="R593" s="3" t="s">
        <v>62</v>
      </c>
      <c r="S593" s="3" t="s">
        <v>92</v>
      </c>
    </row>
    <row r="594" spans="1:19">
      <c r="A594" s="3" t="s">
        <v>865</v>
      </c>
      <c r="B594" s="31">
        <v>42750.735881944442</v>
      </c>
      <c r="C594" s="31">
        <v>42748.538194444445</v>
      </c>
      <c r="D594" s="3">
        <v>3035750329</v>
      </c>
      <c r="E594" s="3" t="s">
        <v>9</v>
      </c>
      <c r="F594" s="3" t="s">
        <v>158</v>
      </c>
      <c r="G594" s="3" t="s">
        <v>159</v>
      </c>
      <c r="H594" s="3" t="s">
        <v>158</v>
      </c>
      <c r="I594" s="3" t="s">
        <v>159</v>
      </c>
      <c r="J594" s="3" t="s">
        <v>69</v>
      </c>
      <c r="K594" s="3" t="s">
        <v>2976</v>
      </c>
      <c r="L594" s="3" t="s">
        <v>866</v>
      </c>
      <c r="M594" s="3" t="s">
        <v>70</v>
      </c>
      <c r="N594" s="3" t="s">
        <v>71</v>
      </c>
      <c r="O594" s="3" t="s">
        <v>3067</v>
      </c>
      <c r="P594" s="3" t="s">
        <v>872</v>
      </c>
      <c r="Q594" s="31">
        <v>42749</v>
      </c>
      <c r="R594" s="3" t="s">
        <v>62</v>
      </c>
      <c r="S594" s="3" t="s">
        <v>62</v>
      </c>
    </row>
    <row r="595" spans="1:19">
      <c r="A595" s="3" t="s">
        <v>865</v>
      </c>
      <c r="B595" s="31">
        <v>42751.734828043984</v>
      </c>
      <c r="C595" s="31">
        <v>42749.575694444444</v>
      </c>
      <c r="D595" s="3">
        <v>3035774739</v>
      </c>
      <c r="E595" s="3" t="s">
        <v>31</v>
      </c>
      <c r="F595" s="3" t="s">
        <v>113</v>
      </c>
      <c r="G595" s="3" t="s">
        <v>114</v>
      </c>
      <c r="H595" s="3" t="s">
        <v>113</v>
      </c>
      <c r="I595" s="3" t="s">
        <v>114</v>
      </c>
      <c r="J595" s="3" t="s">
        <v>69</v>
      </c>
      <c r="K595" s="3" t="s">
        <v>2976</v>
      </c>
      <c r="L595" s="3" t="s">
        <v>871</v>
      </c>
      <c r="M595" s="3" t="s">
        <v>84</v>
      </c>
      <c r="N595" s="3" t="s">
        <v>85</v>
      </c>
      <c r="O595" s="3" t="s">
        <v>3625</v>
      </c>
      <c r="P595" s="3" t="s">
        <v>875</v>
      </c>
      <c r="Q595" s="31">
        <v>42754</v>
      </c>
      <c r="R595" s="3" t="s">
        <v>62</v>
      </c>
      <c r="S595" s="3" t="s">
        <v>62</v>
      </c>
    </row>
    <row r="596" spans="1:19">
      <c r="A596" s="3" t="s">
        <v>868</v>
      </c>
      <c r="B596" s="31">
        <v>42750.735881944442</v>
      </c>
      <c r="C596" s="31">
        <v>42748.547222222223</v>
      </c>
      <c r="D596" s="3">
        <v>3035751035</v>
      </c>
      <c r="E596" s="3" t="s">
        <v>31</v>
      </c>
      <c r="F596" s="3" t="s">
        <v>200</v>
      </c>
      <c r="G596" s="3" t="s">
        <v>201</v>
      </c>
      <c r="H596" s="3" t="s">
        <v>200</v>
      </c>
      <c r="I596" s="3" t="s">
        <v>201</v>
      </c>
      <c r="J596" s="3" t="s">
        <v>79</v>
      </c>
      <c r="K596" s="3" t="s">
        <v>2977</v>
      </c>
      <c r="L596" s="3" t="s">
        <v>866</v>
      </c>
      <c r="M596" s="3" t="s">
        <v>59</v>
      </c>
      <c r="N596" s="3" t="s">
        <v>60</v>
      </c>
      <c r="O596" s="3" t="s">
        <v>147</v>
      </c>
      <c r="P596" s="3" t="s">
        <v>872</v>
      </c>
      <c r="Q596" s="31">
        <v>42749</v>
      </c>
      <c r="R596" s="3" t="s">
        <v>62</v>
      </c>
      <c r="S596" s="3" t="s">
        <v>92</v>
      </c>
    </row>
    <row r="597" spans="1:19">
      <c r="A597" s="3" t="s">
        <v>877</v>
      </c>
      <c r="B597" s="31">
        <v>42750.735881944442</v>
      </c>
      <c r="C597" s="31">
        <v>42748.55</v>
      </c>
      <c r="D597" s="3">
        <v>3035728139</v>
      </c>
      <c r="E597" s="3" t="s">
        <v>273</v>
      </c>
      <c r="F597" s="3" t="s">
        <v>141</v>
      </c>
      <c r="G597" s="3" t="s">
        <v>560</v>
      </c>
      <c r="H597" s="3" t="s">
        <v>141</v>
      </c>
      <c r="I597" s="3" t="s">
        <v>560</v>
      </c>
      <c r="J597" s="3" t="s">
        <v>98</v>
      </c>
      <c r="K597" s="3" t="s">
        <v>2977</v>
      </c>
      <c r="L597" s="3" t="s">
        <v>871</v>
      </c>
      <c r="M597" s="3" t="s">
        <v>84</v>
      </c>
      <c r="N597" s="3" t="s">
        <v>85</v>
      </c>
      <c r="O597" s="3" t="s">
        <v>268</v>
      </c>
      <c r="P597" s="3" t="s">
        <v>872</v>
      </c>
      <c r="Q597" s="31">
        <v>42749</v>
      </c>
      <c r="R597" s="3" t="s">
        <v>62</v>
      </c>
      <c r="S597" s="3" t="s">
        <v>2985</v>
      </c>
    </row>
    <row r="598" spans="1:19">
      <c r="A598" s="3" t="s">
        <v>865</v>
      </c>
      <c r="B598" s="31">
        <v>42750.735881944442</v>
      </c>
      <c r="C598" s="31">
        <v>42748.551388888889</v>
      </c>
      <c r="D598" s="3">
        <v>3035544654</v>
      </c>
      <c r="E598" s="3" t="s">
        <v>273</v>
      </c>
      <c r="F598" s="3" t="s">
        <v>253</v>
      </c>
      <c r="G598" s="3" t="s">
        <v>254</v>
      </c>
      <c r="H598" s="3" t="s">
        <v>115</v>
      </c>
      <c r="I598" s="3" t="s">
        <v>116</v>
      </c>
      <c r="J598" s="3" t="s">
        <v>98</v>
      </c>
      <c r="K598" s="3" t="s">
        <v>2977</v>
      </c>
      <c r="L598" s="3" t="s">
        <v>866</v>
      </c>
      <c r="M598" s="3" t="s">
        <v>70</v>
      </c>
      <c r="N598" s="3" t="s">
        <v>71</v>
      </c>
      <c r="O598" s="3" t="s">
        <v>3645</v>
      </c>
      <c r="P598" s="3" t="s">
        <v>867</v>
      </c>
      <c r="Q598" s="31">
        <v>42751</v>
      </c>
      <c r="R598" s="3" t="s">
        <v>62</v>
      </c>
      <c r="S598" s="3" t="s">
        <v>529</v>
      </c>
    </row>
    <row r="599" spans="1:19">
      <c r="A599" s="3" t="s">
        <v>868</v>
      </c>
      <c r="B599" s="31">
        <v>42750.735881944442</v>
      </c>
      <c r="C599" s="31">
        <v>42748.556250000001</v>
      </c>
      <c r="D599" s="3">
        <v>3035751709</v>
      </c>
      <c r="E599" s="3" t="s">
        <v>23</v>
      </c>
      <c r="F599" s="3" t="s">
        <v>862</v>
      </c>
      <c r="G599" s="3" t="s">
        <v>624</v>
      </c>
      <c r="H599" s="3" t="s">
        <v>862</v>
      </c>
      <c r="I599" s="3" t="s">
        <v>624</v>
      </c>
      <c r="J599" s="3" t="s">
        <v>69</v>
      </c>
      <c r="K599" s="3" t="s">
        <v>2976</v>
      </c>
      <c r="L599" s="3" t="s">
        <v>866</v>
      </c>
      <c r="M599" s="3" t="s">
        <v>59</v>
      </c>
      <c r="N599" s="3" t="s">
        <v>60</v>
      </c>
      <c r="O599" s="3" t="s">
        <v>147</v>
      </c>
      <c r="P599" s="3" t="s">
        <v>872</v>
      </c>
      <c r="Q599" s="31">
        <v>42749</v>
      </c>
      <c r="R599" s="3" t="s">
        <v>62</v>
      </c>
      <c r="S599" s="3" t="s">
        <v>62</v>
      </c>
    </row>
    <row r="600" spans="1:19">
      <c r="A600" s="3" t="s">
        <v>873</v>
      </c>
      <c r="B600" s="31">
        <v>42750.735881944442</v>
      </c>
      <c r="C600" s="31">
        <v>42748.558333333334</v>
      </c>
      <c r="D600" s="3">
        <v>3035751847</v>
      </c>
      <c r="E600" s="3" t="s">
        <v>23</v>
      </c>
      <c r="F600" s="3" t="s">
        <v>137</v>
      </c>
      <c r="G600" s="3" t="s">
        <v>138</v>
      </c>
      <c r="H600" s="3" t="s">
        <v>137</v>
      </c>
      <c r="I600" s="3" t="s">
        <v>138</v>
      </c>
      <c r="J600" s="3" t="s">
        <v>58</v>
      </c>
      <c r="K600" s="3" t="s">
        <v>2976</v>
      </c>
      <c r="L600" s="3" t="s">
        <v>871</v>
      </c>
      <c r="M600" s="3" t="s">
        <v>84</v>
      </c>
      <c r="N600" s="3" t="s">
        <v>85</v>
      </c>
      <c r="O600" s="3" t="s">
        <v>888</v>
      </c>
      <c r="P600" s="3" t="s">
        <v>872</v>
      </c>
      <c r="Q600" s="31">
        <v>42749</v>
      </c>
      <c r="R600" s="3" t="s">
        <v>62</v>
      </c>
      <c r="S600" s="3" t="s">
        <v>62</v>
      </c>
    </row>
    <row r="601" spans="1:19">
      <c r="A601" s="3" t="s">
        <v>865</v>
      </c>
      <c r="B601" s="31">
        <v>42750.735881944442</v>
      </c>
      <c r="C601" s="31">
        <v>42748.561111111114</v>
      </c>
      <c r="D601" s="3">
        <v>3035718800</v>
      </c>
      <c r="E601" s="3" t="s">
        <v>23</v>
      </c>
      <c r="F601" s="3" t="s">
        <v>137</v>
      </c>
      <c r="G601" s="3" t="s">
        <v>138</v>
      </c>
      <c r="H601" s="3" t="s">
        <v>139</v>
      </c>
      <c r="I601" s="3" t="s">
        <v>140</v>
      </c>
      <c r="J601" s="3" t="s">
        <v>58</v>
      </c>
      <c r="K601" s="3" t="s">
        <v>2977</v>
      </c>
      <c r="L601" s="3" t="s">
        <v>866</v>
      </c>
      <c r="M601" s="3" t="s">
        <v>70</v>
      </c>
      <c r="N601" s="3" t="s">
        <v>71</v>
      </c>
      <c r="O601" s="3" t="s">
        <v>3646</v>
      </c>
      <c r="P601" s="3" t="s">
        <v>867</v>
      </c>
      <c r="Q601" s="31">
        <v>42751</v>
      </c>
      <c r="R601" s="3" t="s">
        <v>62</v>
      </c>
      <c r="S601" s="3" t="s">
        <v>529</v>
      </c>
    </row>
    <row r="602" spans="1:19">
      <c r="A602" s="3" t="s">
        <v>868</v>
      </c>
      <c r="B602" s="31">
        <v>42750.735881944442</v>
      </c>
      <c r="C602" s="31">
        <v>42748.563194444447</v>
      </c>
      <c r="D602" s="3">
        <v>3035544764</v>
      </c>
      <c r="E602" s="3" t="s">
        <v>9</v>
      </c>
      <c r="F602" s="3" t="s">
        <v>158</v>
      </c>
      <c r="G602" s="3" t="s">
        <v>159</v>
      </c>
      <c r="H602" s="3" t="s">
        <v>158</v>
      </c>
      <c r="I602" s="3" t="s">
        <v>159</v>
      </c>
      <c r="J602" s="3" t="s">
        <v>58</v>
      </c>
      <c r="K602" s="3" t="s">
        <v>2976</v>
      </c>
      <c r="L602" s="3" t="s">
        <v>866</v>
      </c>
      <c r="M602" s="3" t="s">
        <v>70</v>
      </c>
      <c r="N602" s="3" t="s">
        <v>71</v>
      </c>
      <c r="O602" s="3" t="s">
        <v>3647</v>
      </c>
      <c r="P602" s="3" t="s">
        <v>867</v>
      </c>
      <c r="Q602" s="31">
        <v>42751</v>
      </c>
      <c r="R602" s="3" t="s">
        <v>62</v>
      </c>
      <c r="S602" s="3" t="s">
        <v>62</v>
      </c>
    </row>
    <row r="603" spans="1:19">
      <c r="A603" s="3" t="s">
        <v>868</v>
      </c>
      <c r="B603" s="31">
        <v>42750.735881944442</v>
      </c>
      <c r="C603" s="31">
        <v>42748.56527777778</v>
      </c>
      <c r="D603" s="3">
        <v>3035751120</v>
      </c>
      <c r="E603" s="3" t="s">
        <v>273</v>
      </c>
      <c r="F603" s="3" t="s">
        <v>259</v>
      </c>
      <c r="G603" s="3" t="s">
        <v>260</v>
      </c>
      <c r="H603" s="3" t="s">
        <v>259</v>
      </c>
      <c r="I603" s="3" t="s">
        <v>260</v>
      </c>
      <c r="J603" s="3" t="s">
        <v>98</v>
      </c>
      <c r="K603" s="3" t="s">
        <v>2977</v>
      </c>
      <c r="L603" s="3" t="s">
        <v>871</v>
      </c>
      <c r="M603" s="3" t="s">
        <v>84</v>
      </c>
      <c r="N603" s="3" t="s">
        <v>85</v>
      </c>
      <c r="O603" s="3" t="s">
        <v>233</v>
      </c>
      <c r="P603" s="3" t="s">
        <v>867</v>
      </c>
      <c r="Q603" s="31">
        <v>42751</v>
      </c>
      <c r="R603" s="3" t="s">
        <v>62</v>
      </c>
      <c r="S603" s="3" t="s">
        <v>2985</v>
      </c>
    </row>
    <row r="604" spans="1:19">
      <c r="A604" s="3" t="s">
        <v>865</v>
      </c>
      <c r="B604" s="31">
        <v>42751.734828043984</v>
      </c>
      <c r="C604" s="31">
        <v>42749.74722222222</v>
      </c>
      <c r="D604" s="3">
        <v>3035779143</v>
      </c>
      <c r="E604" s="3" t="s">
        <v>39</v>
      </c>
      <c r="F604" s="3" t="s">
        <v>248</v>
      </c>
      <c r="G604" s="3" t="s">
        <v>249</v>
      </c>
      <c r="H604" s="3" t="s">
        <v>248</v>
      </c>
      <c r="I604" s="3" t="s">
        <v>249</v>
      </c>
      <c r="J604" s="3" t="s">
        <v>69</v>
      </c>
      <c r="K604" s="3" t="s">
        <v>2977</v>
      </c>
      <c r="L604" s="3" t="s">
        <v>866</v>
      </c>
      <c r="M604" s="3" t="s">
        <v>59</v>
      </c>
      <c r="N604" s="3" t="s">
        <v>60</v>
      </c>
      <c r="O604" s="3" t="s">
        <v>147</v>
      </c>
      <c r="P604" s="3" t="s">
        <v>875</v>
      </c>
      <c r="Q604" s="31">
        <v>42754</v>
      </c>
      <c r="R604" s="3" t="s">
        <v>62</v>
      </c>
      <c r="S604" s="3" t="s">
        <v>92</v>
      </c>
    </row>
    <row r="605" spans="1:19">
      <c r="A605" s="3" t="s">
        <v>868</v>
      </c>
      <c r="B605" s="31">
        <v>42750.735881944442</v>
      </c>
      <c r="C605" s="31">
        <v>42748.581250000003</v>
      </c>
      <c r="D605" s="3">
        <v>3035752895</v>
      </c>
      <c r="E605" s="3" t="s">
        <v>9</v>
      </c>
      <c r="F605" s="3" t="s">
        <v>111</v>
      </c>
      <c r="G605" s="3" t="s">
        <v>112</v>
      </c>
      <c r="H605" s="3" t="s">
        <v>111</v>
      </c>
      <c r="I605" s="3" t="s">
        <v>112</v>
      </c>
      <c r="J605" s="3" t="s">
        <v>58</v>
      </c>
      <c r="K605" s="3" t="s">
        <v>2976</v>
      </c>
      <c r="L605" s="3" t="s">
        <v>866</v>
      </c>
      <c r="M605" s="3" t="s">
        <v>59</v>
      </c>
      <c r="N605" s="3" t="s">
        <v>60</v>
      </c>
      <c r="O605" s="3" t="s">
        <v>147</v>
      </c>
      <c r="P605" s="3" t="s">
        <v>3090</v>
      </c>
      <c r="Q605" s="31">
        <v>42749</v>
      </c>
      <c r="R605" s="3" t="s">
        <v>62</v>
      </c>
      <c r="S605" s="3" t="s">
        <v>62</v>
      </c>
    </row>
    <row r="606" spans="1:19">
      <c r="A606" s="3" t="e">
        <v>#N/A</v>
      </c>
      <c r="B606" s="31" t="e">
        <v>#N/A</v>
      </c>
      <c r="C606" s="31">
        <v>42738.382638888892</v>
      </c>
      <c r="D606" s="3">
        <v>3035314615</v>
      </c>
      <c r="E606" s="3" t="s">
        <v>2978</v>
      </c>
      <c r="F606" s="3" t="s">
        <v>256</v>
      </c>
      <c r="G606" s="3" t="s">
        <v>879</v>
      </c>
      <c r="H606" s="3" t="s">
        <v>142</v>
      </c>
      <c r="I606" s="3" t="s">
        <v>143</v>
      </c>
      <c r="J606" s="3" t="s">
        <v>98</v>
      </c>
      <c r="K606" s="3" t="s">
        <v>2977</v>
      </c>
      <c r="L606" s="3" t="s">
        <v>871</v>
      </c>
      <c r="M606" s="3" t="s">
        <v>84</v>
      </c>
      <c r="N606" s="3" t="s">
        <v>85</v>
      </c>
      <c r="O606" s="3" t="s">
        <v>3057</v>
      </c>
      <c r="P606" s="3" t="s">
        <v>875</v>
      </c>
      <c r="Q606" s="31">
        <v>42739</v>
      </c>
      <c r="R606" s="3" t="s">
        <v>62</v>
      </c>
      <c r="S606" s="3" t="s">
        <v>1355</v>
      </c>
    </row>
    <row r="607" spans="1:19">
      <c r="A607" s="3" t="s">
        <v>877</v>
      </c>
      <c r="B607" s="31">
        <v>42750.735881944442</v>
      </c>
      <c r="C607" s="31">
        <v>42748.589583333334</v>
      </c>
      <c r="D607" s="3">
        <v>3035724323</v>
      </c>
      <c r="E607" s="3" t="s">
        <v>23</v>
      </c>
      <c r="F607" s="3" t="s">
        <v>186</v>
      </c>
      <c r="G607" s="3" t="s">
        <v>187</v>
      </c>
      <c r="H607" s="3" t="s">
        <v>139</v>
      </c>
      <c r="I607" s="3" t="s">
        <v>140</v>
      </c>
      <c r="J607" s="3" t="s">
        <v>69</v>
      </c>
      <c r="K607" s="3" t="s">
        <v>2977</v>
      </c>
      <c r="L607" s="3" t="s">
        <v>871</v>
      </c>
      <c r="M607" s="3" t="s">
        <v>84</v>
      </c>
      <c r="N607" s="3" t="s">
        <v>85</v>
      </c>
      <c r="O607" s="3" t="s">
        <v>233</v>
      </c>
      <c r="P607" s="3" t="s">
        <v>3090</v>
      </c>
      <c r="Q607" s="31">
        <v>42749</v>
      </c>
      <c r="R607" s="3" t="s">
        <v>62</v>
      </c>
      <c r="S607" s="3" t="s">
        <v>529</v>
      </c>
    </row>
    <row r="608" spans="1:19">
      <c r="A608" s="3" t="s">
        <v>868</v>
      </c>
      <c r="B608" s="31">
        <v>42750.735881944442</v>
      </c>
      <c r="C608" s="31">
        <v>42748.590277777781</v>
      </c>
      <c r="D608" s="3">
        <v>3035752674</v>
      </c>
      <c r="E608" s="3" t="s">
        <v>9</v>
      </c>
      <c r="F608" s="3" t="s">
        <v>158</v>
      </c>
      <c r="G608" s="3" t="s">
        <v>159</v>
      </c>
      <c r="H608" s="3" t="s">
        <v>158</v>
      </c>
      <c r="I608" s="3" t="s">
        <v>159</v>
      </c>
      <c r="J608" s="3" t="s">
        <v>3595</v>
      </c>
      <c r="K608" s="3" t="s">
        <v>2977</v>
      </c>
      <c r="L608" s="3" t="s">
        <v>866</v>
      </c>
      <c r="M608" s="3" t="s">
        <v>59</v>
      </c>
      <c r="N608" s="3" t="s">
        <v>60</v>
      </c>
      <c r="O608" s="3" t="s">
        <v>147</v>
      </c>
      <c r="P608" s="3" t="s">
        <v>3090</v>
      </c>
      <c r="Q608" s="31">
        <v>42749</v>
      </c>
      <c r="R608" s="3" t="s">
        <v>2143</v>
      </c>
      <c r="S608" s="3" t="s">
        <v>62</v>
      </c>
    </row>
    <row r="609" spans="1:19">
      <c r="A609" s="3" t="e">
        <v>#N/A</v>
      </c>
      <c r="B609" s="31" t="e">
        <v>#N/A</v>
      </c>
      <c r="C609" s="31">
        <v>42748.6</v>
      </c>
      <c r="D609" s="3">
        <v>3035750241</v>
      </c>
      <c r="E609" s="3" t="s">
        <v>31</v>
      </c>
      <c r="F609" s="3" t="s">
        <v>213</v>
      </c>
      <c r="G609" s="3" t="s">
        <v>214</v>
      </c>
      <c r="H609" s="3" t="s">
        <v>63</v>
      </c>
      <c r="I609" s="3" t="s">
        <v>64</v>
      </c>
      <c r="J609" s="3" t="s">
        <v>99</v>
      </c>
      <c r="K609" s="3" t="s">
        <v>2977</v>
      </c>
      <c r="L609" s="3" t="s">
        <v>871</v>
      </c>
      <c r="M609" s="3" t="s">
        <v>65</v>
      </c>
      <c r="N609" s="3" t="s">
        <v>66</v>
      </c>
      <c r="O609" s="3" t="s">
        <v>880</v>
      </c>
      <c r="P609" s="3" t="s">
        <v>3090</v>
      </c>
      <c r="Q609" s="31">
        <v>42749</v>
      </c>
      <c r="R609" s="3" t="s">
        <v>62</v>
      </c>
      <c r="S609" s="3" t="s">
        <v>65</v>
      </c>
    </row>
    <row r="610" spans="1:19">
      <c r="A610" s="3" t="s">
        <v>873</v>
      </c>
      <c r="B610" s="31">
        <v>42750.735881944442</v>
      </c>
      <c r="C610" s="31">
        <v>42748.603472222225</v>
      </c>
      <c r="D610" s="3">
        <v>3035753871</v>
      </c>
      <c r="E610" s="3" t="s">
        <v>273</v>
      </c>
      <c r="F610" s="3" t="s">
        <v>854</v>
      </c>
      <c r="G610" s="3" t="s">
        <v>846</v>
      </c>
      <c r="H610" s="3" t="s">
        <v>854</v>
      </c>
      <c r="I610" s="3" t="s">
        <v>846</v>
      </c>
      <c r="J610" s="3" t="s">
        <v>69</v>
      </c>
      <c r="K610" s="3" t="s">
        <v>2977</v>
      </c>
      <c r="L610" s="3" t="s">
        <v>866</v>
      </c>
      <c r="M610" s="3" t="s">
        <v>70</v>
      </c>
      <c r="N610" s="3" t="s">
        <v>75</v>
      </c>
      <c r="O610" s="3" t="s">
        <v>3596</v>
      </c>
      <c r="P610" s="3" t="s">
        <v>3090</v>
      </c>
      <c r="Q610" s="31">
        <v>42749</v>
      </c>
      <c r="R610" s="3" t="s">
        <v>62</v>
      </c>
      <c r="S610" s="3" t="s">
        <v>2985</v>
      </c>
    </row>
    <row r="611" spans="1:19">
      <c r="A611" s="3" t="s">
        <v>868</v>
      </c>
      <c r="B611" s="31">
        <v>42750.735881944442</v>
      </c>
      <c r="C611" s="31">
        <v>42748.615277777775</v>
      </c>
      <c r="D611" s="3">
        <v>3035750965</v>
      </c>
      <c r="E611" s="3" t="s">
        <v>273</v>
      </c>
      <c r="F611" s="3" t="s">
        <v>261</v>
      </c>
      <c r="G611" s="3" t="s">
        <v>311</v>
      </c>
      <c r="H611" s="3" t="s">
        <v>261</v>
      </c>
      <c r="I611" s="3" t="s">
        <v>311</v>
      </c>
      <c r="J611" s="3" t="s">
        <v>144</v>
      </c>
      <c r="K611" s="3" t="s">
        <v>2977</v>
      </c>
      <c r="L611" s="3" t="s">
        <v>866</v>
      </c>
      <c r="M611" s="3" t="s">
        <v>59</v>
      </c>
      <c r="N611" s="3" t="s">
        <v>60</v>
      </c>
      <c r="O611" s="3" t="s">
        <v>147</v>
      </c>
      <c r="P611" s="3" t="s">
        <v>3090</v>
      </c>
      <c r="Q611" s="31">
        <v>42749</v>
      </c>
      <c r="R611" s="3" t="s">
        <v>62</v>
      </c>
      <c r="S611" s="3" t="s">
        <v>2985</v>
      </c>
    </row>
    <row r="612" spans="1:19">
      <c r="A612" s="3" t="s">
        <v>865</v>
      </c>
      <c r="B612" s="31">
        <v>42746.737756446761</v>
      </c>
      <c r="C612" s="31">
        <v>42748.623611111114</v>
      </c>
      <c r="D612" s="3">
        <v>3035604564</v>
      </c>
      <c r="E612" s="3" t="s">
        <v>9</v>
      </c>
      <c r="F612" s="3" t="s">
        <v>101</v>
      </c>
      <c r="G612" s="3" t="s">
        <v>102</v>
      </c>
      <c r="H612" s="3" t="s">
        <v>3597</v>
      </c>
      <c r="I612" s="3" t="s">
        <v>617</v>
      </c>
      <c r="J612" s="3" t="s">
        <v>69</v>
      </c>
      <c r="K612" s="3" t="s">
        <v>2977</v>
      </c>
      <c r="L612" s="3" t="s">
        <v>866</v>
      </c>
      <c r="M612" s="3" t="s">
        <v>59</v>
      </c>
      <c r="N612" s="3" t="s">
        <v>60</v>
      </c>
      <c r="O612" s="3" t="s">
        <v>229</v>
      </c>
      <c r="P612" s="3" t="s">
        <v>867</v>
      </c>
      <c r="Q612" s="31">
        <v>42751</v>
      </c>
      <c r="R612" s="3" t="s">
        <v>62</v>
      </c>
      <c r="S612" s="3" t="s">
        <v>3598</v>
      </c>
    </row>
    <row r="613" spans="1:19">
      <c r="A613" s="3" t="s">
        <v>877</v>
      </c>
      <c r="B613" s="31">
        <v>42750.735881944442</v>
      </c>
      <c r="C613" s="31">
        <v>42748.640277777777</v>
      </c>
      <c r="D613" s="3">
        <v>3035755775</v>
      </c>
      <c r="E613" s="3" t="s">
        <v>31</v>
      </c>
      <c r="F613" s="3" t="s">
        <v>202</v>
      </c>
      <c r="G613" s="3" t="s">
        <v>203</v>
      </c>
      <c r="H613" s="3" t="s">
        <v>202</v>
      </c>
      <c r="I613" s="3" t="s">
        <v>203</v>
      </c>
      <c r="J613" s="3" t="s">
        <v>69</v>
      </c>
      <c r="K613" s="3" t="s">
        <v>2976</v>
      </c>
      <c r="L613" s="3" t="s">
        <v>871</v>
      </c>
      <c r="M613" s="3" t="s">
        <v>84</v>
      </c>
      <c r="N613" s="3" t="s">
        <v>85</v>
      </c>
      <c r="O613" s="3" t="s">
        <v>233</v>
      </c>
      <c r="P613" s="3" t="s">
        <v>3090</v>
      </c>
      <c r="Q613" s="31">
        <v>42749</v>
      </c>
      <c r="R613" s="3" t="s">
        <v>62</v>
      </c>
      <c r="S613" s="3" t="s">
        <v>62</v>
      </c>
    </row>
    <row r="614" spans="1:19">
      <c r="A614" s="3" t="s">
        <v>868</v>
      </c>
      <c r="B614" s="31">
        <v>42750.735881944442</v>
      </c>
      <c r="C614" s="31">
        <v>42748.651388888888</v>
      </c>
      <c r="D614" s="3">
        <v>3035756179</v>
      </c>
      <c r="E614" s="3" t="s">
        <v>23</v>
      </c>
      <c r="F614" s="3" t="s">
        <v>862</v>
      </c>
      <c r="G614" s="3" t="s">
        <v>624</v>
      </c>
      <c r="H614" s="3" t="s">
        <v>862</v>
      </c>
      <c r="I614" s="3" t="s">
        <v>624</v>
      </c>
      <c r="J614" s="3" t="s">
        <v>69</v>
      </c>
      <c r="K614" s="3" t="s">
        <v>2976</v>
      </c>
      <c r="L614" s="3" t="s">
        <v>871</v>
      </c>
      <c r="M614" s="3" t="s">
        <v>84</v>
      </c>
      <c r="N614" s="3" t="s">
        <v>85</v>
      </c>
      <c r="O614" s="3" t="s">
        <v>233</v>
      </c>
      <c r="P614" s="3" t="s">
        <v>867</v>
      </c>
      <c r="Q614" s="31">
        <v>42751</v>
      </c>
      <c r="R614" s="3" t="s">
        <v>62</v>
      </c>
      <c r="S614" s="3" t="s">
        <v>62</v>
      </c>
    </row>
    <row r="615" spans="1:19">
      <c r="A615" s="3" t="e">
        <v>#N/A</v>
      </c>
      <c r="B615" s="31" t="e">
        <v>#N/A</v>
      </c>
      <c r="C615" s="31">
        <v>42747.634722222225</v>
      </c>
      <c r="D615" s="3">
        <v>3035498640</v>
      </c>
      <c r="E615" s="3" t="s">
        <v>2978</v>
      </c>
      <c r="F615" s="3" t="s">
        <v>256</v>
      </c>
      <c r="G615" s="3" t="s">
        <v>879</v>
      </c>
      <c r="H615" s="3" t="s">
        <v>142</v>
      </c>
      <c r="I615" s="3" t="s">
        <v>143</v>
      </c>
      <c r="J615" s="3" t="s">
        <v>98</v>
      </c>
      <c r="K615" s="3" t="s">
        <v>2977</v>
      </c>
      <c r="L615" s="3" t="s">
        <v>871</v>
      </c>
      <c r="M615" s="3" t="s">
        <v>84</v>
      </c>
      <c r="N615" s="3" t="s">
        <v>85</v>
      </c>
      <c r="O615" s="3" t="s">
        <v>906</v>
      </c>
      <c r="P615" s="3" t="s">
        <v>3090</v>
      </c>
      <c r="Q615" s="31">
        <v>42748</v>
      </c>
      <c r="R615" s="3" t="s">
        <v>62</v>
      </c>
      <c r="S615" s="3" t="s">
        <v>1355</v>
      </c>
    </row>
    <row r="616" spans="1:19">
      <c r="A616" s="3" t="e">
        <v>#N/A</v>
      </c>
      <c r="B616" s="31" t="e">
        <v>#N/A</v>
      </c>
      <c r="C616" s="31">
        <v>42748.661805555559</v>
      </c>
      <c r="D616" s="3">
        <v>3035517189</v>
      </c>
      <c r="E616" s="3" t="s">
        <v>204</v>
      </c>
      <c r="F616" s="3" t="s">
        <v>900</v>
      </c>
      <c r="G616" s="3" t="s">
        <v>602</v>
      </c>
      <c r="H616" s="3" t="s">
        <v>2986</v>
      </c>
      <c r="I616" s="3" t="s">
        <v>645</v>
      </c>
      <c r="J616" s="3" t="s">
        <v>99</v>
      </c>
      <c r="K616" s="3" t="s">
        <v>2977</v>
      </c>
      <c r="L616" s="3" t="s">
        <v>871</v>
      </c>
      <c r="M616" s="3" t="s">
        <v>65</v>
      </c>
      <c r="N616" s="3" t="s">
        <v>66</v>
      </c>
      <c r="O616" s="3" t="s">
        <v>880</v>
      </c>
      <c r="P616" s="3" t="s">
        <v>3090</v>
      </c>
      <c r="Q616" s="31">
        <v>42749</v>
      </c>
      <c r="R616" s="3" t="s">
        <v>62</v>
      </c>
      <c r="S616" s="3" t="s">
        <v>65</v>
      </c>
    </row>
    <row r="617" spans="1:19">
      <c r="A617" s="3" t="e">
        <v>#N/A</v>
      </c>
      <c r="B617" s="31" t="e">
        <v>#N/A</v>
      </c>
      <c r="C617" s="31">
        <v>42747.636111111111</v>
      </c>
      <c r="D617" s="3">
        <v>3035499064</v>
      </c>
      <c r="E617" s="3" t="s">
        <v>2978</v>
      </c>
      <c r="F617" s="3" t="s">
        <v>256</v>
      </c>
      <c r="G617" s="3" t="s">
        <v>879</v>
      </c>
      <c r="H617" s="3" t="s">
        <v>142</v>
      </c>
      <c r="I617" s="3" t="s">
        <v>143</v>
      </c>
      <c r="J617" s="3" t="s">
        <v>144</v>
      </c>
      <c r="K617" s="3" t="s">
        <v>2977</v>
      </c>
      <c r="L617" s="3" t="s">
        <v>871</v>
      </c>
      <c r="M617" s="3" t="s">
        <v>84</v>
      </c>
      <c r="N617" s="3" t="s">
        <v>85</v>
      </c>
      <c r="O617" s="3" t="s">
        <v>906</v>
      </c>
      <c r="P617" s="3" t="s">
        <v>3090</v>
      </c>
      <c r="Q617" s="31">
        <v>42748</v>
      </c>
      <c r="R617" s="3" t="s">
        <v>62</v>
      </c>
      <c r="S617" s="3" t="s">
        <v>1355</v>
      </c>
    </row>
    <row r="618" spans="1:19">
      <c r="A618" s="3" t="s">
        <v>896</v>
      </c>
      <c r="B618" s="31">
        <v>42750.735881944442</v>
      </c>
      <c r="C618" s="31">
        <v>42748.671527777777</v>
      </c>
      <c r="D618" s="3">
        <v>3035718040</v>
      </c>
      <c r="E618" s="3" t="s">
        <v>273</v>
      </c>
      <c r="F618" s="3" t="s">
        <v>153</v>
      </c>
      <c r="G618" s="3" t="s">
        <v>892</v>
      </c>
      <c r="H618" s="3" t="s">
        <v>115</v>
      </c>
      <c r="I618" s="3" t="s">
        <v>116</v>
      </c>
      <c r="J618" s="3" t="s">
        <v>69</v>
      </c>
      <c r="K618" s="3" t="s">
        <v>2977</v>
      </c>
      <c r="L618" s="3" t="s">
        <v>871</v>
      </c>
      <c r="M618" s="3" t="s">
        <v>901</v>
      </c>
      <c r="N618" s="3" t="s">
        <v>323</v>
      </c>
      <c r="O618" s="3" t="s">
        <v>902</v>
      </c>
      <c r="P618" s="3" t="s">
        <v>3090</v>
      </c>
      <c r="Q618" s="31">
        <v>42749</v>
      </c>
      <c r="R618" s="3" t="s">
        <v>62</v>
      </c>
      <c r="S618" s="3" t="s">
        <v>529</v>
      </c>
    </row>
    <row r="619" spans="1:19">
      <c r="A619" s="3" t="s">
        <v>877</v>
      </c>
      <c r="B619" s="31">
        <v>42750.735881944442</v>
      </c>
      <c r="C619" s="31">
        <v>42748.67291666667</v>
      </c>
      <c r="D619" s="3">
        <v>3035726936</v>
      </c>
      <c r="E619" s="3" t="s">
        <v>23</v>
      </c>
      <c r="F619" s="3" t="s">
        <v>862</v>
      </c>
      <c r="G619" s="3" t="s">
        <v>624</v>
      </c>
      <c r="H619" s="3" t="s">
        <v>139</v>
      </c>
      <c r="I619" s="3" t="s">
        <v>140</v>
      </c>
      <c r="J619" s="3" t="s">
        <v>99</v>
      </c>
      <c r="K619" s="3" t="s">
        <v>2977</v>
      </c>
      <c r="L619" s="3" t="s">
        <v>871</v>
      </c>
      <c r="M619" s="3" t="s">
        <v>84</v>
      </c>
      <c r="N619" s="3" t="s">
        <v>85</v>
      </c>
      <c r="O619" s="3" t="s">
        <v>233</v>
      </c>
      <c r="P619" s="3" t="s">
        <v>3090</v>
      </c>
      <c r="Q619" s="31">
        <v>42749</v>
      </c>
      <c r="R619" s="3" t="s">
        <v>62</v>
      </c>
      <c r="S619" s="3" t="s">
        <v>529</v>
      </c>
    </row>
    <row r="620" spans="1:19">
      <c r="A620" s="3" t="e">
        <v>#N/A</v>
      </c>
      <c r="B620" s="31" t="e">
        <v>#N/A</v>
      </c>
      <c r="C620" s="31">
        <v>42747.638194444444</v>
      </c>
      <c r="D620" s="3">
        <v>3035499386</v>
      </c>
      <c r="E620" s="3" t="s">
        <v>2978</v>
      </c>
      <c r="F620" s="3" t="s">
        <v>256</v>
      </c>
      <c r="G620" s="3" t="s">
        <v>879</v>
      </c>
      <c r="H620" s="3" t="s">
        <v>142</v>
      </c>
      <c r="I620" s="3" t="s">
        <v>143</v>
      </c>
      <c r="J620" s="3" t="s">
        <v>144</v>
      </c>
      <c r="K620" s="3" t="s">
        <v>2977</v>
      </c>
      <c r="L620" s="3" t="s">
        <v>871</v>
      </c>
      <c r="M620" s="3" t="s">
        <v>84</v>
      </c>
      <c r="N620" s="3" t="s">
        <v>85</v>
      </c>
      <c r="O620" s="3" t="s">
        <v>906</v>
      </c>
      <c r="P620" s="3" t="s">
        <v>3090</v>
      </c>
      <c r="Q620" s="31">
        <v>42748</v>
      </c>
      <c r="R620" s="3" t="s">
        <v>62</v>
      </c>
      <c r="S620" s="3" t="s">
        <v>1355</v>
      </c>
    </row>
    <row r="621" spans="1:19">
      <c r="A621" s="3" t="s">
        <v>873</v>
      </c>
      <c r="B621" s="31">
        <v>42750.735881944442</v>
      </c>
      <c r="C621" s="31">
        <v>42748.675000000003</v>
      </c>
      <c r="D621" s="3">
        <v>3035757202</v>
      </c>
      <c r="E621" s="3" t="s">
        <v>23</v>
      </c>
      <c r="F621" s="3" t="s">
        <v>183</v>
      </c>
      <c r="G621" s="3" t="s">
        <v>184</v>
      </c>
      <c r="H621" s="3" t="s">
        <v>183</v>
      </c>
      <c r="I621" s="3" t="s">
        <v>184</v>
      </c>
      <c r="J621" s="3" t="s">
        <v>69</v>
      </c>
      <c r="K621" s="3" t="s">
        <v>2976</v>
      </c>
      <c r="L621" s="3" t="s">
        <v>871</v>
      </c>
      <c r="M621" s="3" t="s">
        <v>84</v>
      </c>
      <c r="N621" s="3" t="s">
        <v>85</v>
      </c>
      <c r="O621" s="3" t="s">
        <v>233</v>
      </c>
      <c r="P621" s="3" t="s">
        <v>3090</v>
      </c>
      <c r="Q621" s="31">
        <v>42749</v>
      </c>
      <c r="R621" s="3" t="s">
        <v>62</v>
      </c>
      <c r="S621" s="3" t="s">
        <v>62</v>
      </c>
    </row>
    <row r="622" spans="1:19">
      <c r="A622" s="3" t="s">
        <v>865</v>
      </c>
      <c r="B622" s="31">
        <v>42750.735881944442</v>
      </c>
      <c r="C622" s="31">
        <v>42748.675000000003</v>
      </c>
      <c r="D622" s="3">
        <v>3035724997</v>
      </c>
      <c r="E622" s="3" t="s">
        <v>273</v>
      </c>
      <c r="F622" s="3" t="s">
        <v>259</v>
      </c>
      <c r="G622" s="3" t="s">
        <v>260</v>
      </c>
      <c r="H622" s="3" t="s">
        <v>115</v>
      </c>
      <c r="I622" s="3" t="s">
        <v>116</v>
      </c>
      <c r="J622" s="3" t="s">
        <v>69</v>
      </c>
      <c r="K622" s="3" t="s">
        <v>2977</v>
      </c>
      <c r="L622" s="3" t="s">
        <v>866</v>
      </c>
      <c r="M622" s="3" t="s">
        <v>59</v>
      </c>
      <c r="N622" s="3" t="s">
        <v>60</v>
      </c>
      <c r="O622" s="3" t="s">
        <v>123</v>
      </c>
      <c r="P622" s="3" t="s">
        <v>867</v>
      </c>
      <c r="Q622" s="31">
        <v>42751</v>
      </c>
      <c r="R622" s="3" t="s">
        <v>62</v>
      </c>
      <c r="S622" s="3" t="s">
        <v>529</v>
      </c>
    </row>
    <row r="623" spans="1:19">
      <c r="A623" s="3" t="s">
        <v>868</v>
      </c>
      <c r="B623" s="31">
        <v>42750.735881944442</v>
      </c>
      <c r="C623" s="31">
        <v>42748.681944444441</v>
      </c>
      <c r="D623" s="3">
        <v>3035757620</v>
      </c>
      <c r="E623" s="3" t="s">
        <v>31</v>
      </c>
      <c r="F623" s="3" t="s">
        <v>113</v>
      </c>
      <c r="G623" s="3" t="s">
        <v>114</v>
      </c>
      <c r="H623" s="3" t="s">
        <v>113</v>
      </c>
      <c r="I623" s="3" t="s">
        <v>114</v>
      </c>
      <c r="J623" s="3" t="s">
        <v>69</v>
      </c>
      <c r="K623" s="3" t="s">
        <v>2976</v>
      </c>
      <c r="L623" s="3" t="s">
        <v>866</v>
      </c>
      <c r="M623" s="3" t="s">
        <v>59</v>
      </c>
      <c r="N623" s="3" t="s">
        <v>60</v>
      </c>
      <c r="O623" s="3" t="s">
        <v>3650</v>
      </c>
      <c r="P623" s="3" t="s">
        <v>867</v>
      </c>
      <c r="Q623" s="31">
        <v>42751</v>
      </c>
      <c r="R623" s="3" t="s">
        <v>62</v>
      </c>
      <c r="S623" s="3" t="s">
        <v>62</v>
      </c>
    </row>
    <row r="624" spans="1:19">
      <c r="A624" s="3" t="s">
        <v>877</v>
      </c>
      <c r="B624" s="31">
        <v>42750.735881944442</v>
      </c>
      <c r="C624" s="31">
        <v>42748.697916666664</v>
      </c>
      <c r="D624" s="3">
        <v>3035757925</v>
      </c>
      <c r="E624" s="3" t="s">
        <v>39</v>
      </c>
      <c r="F624" s="3" t="s">
        <v>236</v>
      </c>
      <c r="G624" s="3" t="s">
        <v>237</v>
      </c>
      <c r="H624" s="3" t="s">
        <v>236</v>
      </c>
      <c r="I624" s="3" t="s">
        <v>237</v>
      </c>
      <c r="J624" s="3" t="s">
        <v>69</v>
      </c>
      <c r="K624" s="3" t="s">
        <v>2977</v>
      </c>
      <c r="L624" s="3" t="s">
        <v>866</v>
      </c>
      <c r="M624" s="3" t="s">
        <v>59</v>
      </c>
      <c r="N624" s="3" t="s">
        <v>60</v>
      </c>
      <c r="O624" s="3" t="s">
        <v>147</v>
      </c>
      <c r="P624" s="3" t="s">
        <v>3090</v>
      </c>
      <c r="Q624" s="31">
        <v>42749</v>
      </c>
      <c r="R624" s="3" t="s">
        <v>62</v>
      </c>
      <c r="S624" s="3" t="s">
        <v>92</v>
      </c>
    </row>
    <row r="625" spans="1:19">
      <c r="A625" s="3" t="s">
        <v>865</v>
      </c>
      <c r="B625" s="31">
        <v>42750.735881944442</v>
      </c>
      <c r="C625" s="31">
        <v>42748.71597222222</v>
      </c>
      <c r="D625" s="3">
        <v>3035758826</v>
      </c>
      <c r="E625" s="3" t="s">
        <v>273</v>
      </c>
      <c r="F625" s="3" t="s">
        <v>909</v>
      </c>
      <c r="G625" s="3" t="s">
        <v>313</v>
      </c>
      <c r="H625" s="3" t="s">
        <v>909</v>
      </c>
      <c r="I625" s="3" t="s">
        <v>313</v>
      </c>
      <c r="J625" s="3" t="s">
        <v>144</v>
      </c>
      <c r="K625" s="3" t="s">
        <v>2977</v>
      </c>
      <c r="L625" s="3" t="s">
        <v>866</v>
      </c>
      <c r="M625" s="3" t="s">
        <v>59</v>
      </c>
      <c r="N625" s="3" t="s">
        <v>60</v>
      </c>
      <c r="O625" s="3" t="s">
        <v>147</v>
      </c>
      <c r="P625" s="3" t="s">
        <v>3090</v>
      </c>
      <c r="Q625" s="31">
        <v>42749</v>
      </c>
      <c r="R625" s="3" t="s">
        <v>62</v>
      </c>
      <c r="S625" s="3" t="s">
        <v>2985</v>
      </c>
    </row>
    <row r="626" spans="1:19">
      <c r="A626" s="3" t="s">
        <v>865</v>
      </c>
      <c r="B626" s="31">
        <v>42750.735881944442</v>
      </c>
      <c r="C626" s="31">
        <v>42748.717361111114</v>
      </c>
      <c r="D626" s="3">
        <v>3035519769</v>
      </c>
      <c r="E626" s="3" t="e">
        <v>#N/A</v>
      </c>
      <c r="F626" s="3" t="s">
        <v>889</v>
      </c>
      <c r="G626" s="3" t="e">
        <v>#N/A</v>
      </c>
      <c r="H626" s="3" t="s">
        <v>115</v>
      </c>
      <c r="I626" s="3" t="s">
        <v>116</v>
      </c>
      <c r="J626" s="3" t="s">
        <v>3599</v>
      </c>
      <c r="K626" s="3" t="s">
        <v>2977</v>
      </c>
      <c r="L626" s="3" t="s">
        <v>866</v>
      </c>
      <c r="M626" s="3" t="s">
        <v>70</v>
      </c>
      <c r="N626" s="3" t="s">
        <v>71</v>
      </c>
      <c r="O626" s="3" t="s">
        <v>3600</v>
      </c>
      <c r="P626" s="3" t="s">
        <v>3090</v>
      </c>
      <c r="Q626" s="31">
        <v>42749</v>
      </c>
      <c r="R626" s="3" t="s">
        <v>62</v>
      </c>
      <c r="S626" s="3" t="s">
        <v>529</v>
      </c>
    </row>
    <row r="627" spans="1:19">
      <c r="A627" s="3" t="s">
        <v>865</v>
      </c>
      <c r="B627" s="31">
        <v>42750.735900613428</v>
      </c>
      <c r="C627" s="31">
        <v>42748.718055555553</v>
      </c>
      <c r="D627" s="3">
        <v>3035757528</v>
      </c>
      <c r="E627" s="3" t="s">
        <v>23</v>
      </c>
      <c r="F627" s="3" t="s">
        <v>154</v>
      </c>
      <c r="G627" s="3" t="s">
        <v>155</v>
      </c>
      <c r="H627" s="3" t="s">
        <v>878</v>
      </c>
      <c r="I627" s="3" t="s">
        <v>148</v>
      </c>
      <c r="J627" s="3" t="s">
        <v>69</v>
      </c>
      <c r="K627" s="3" t="s">
        <v>2977</v>
      </c>
      <c r="L627" s="3" t="s">
        <v>871</v>
      </c>
      <c r="M627" s="3" t="s">
        <v>65</v>
      </c>
      <c r="N627" s="3" t="s">
        <v>66</v>
      </c>
      <c r="O627" s="3" t="s">
        <v>880</v>
      </c>
      <c r="P627" s="3" t="s">
        <v>3090</v>
      </c>
      <c r="Q627" s="31">
        <v>42749</v>
      </c>
      <c r="R627" s="3" t="s">
        <v>62</v>
      </c>
      <c r="S627" s="3" t="s">
        <v>65</v>
      </c>
    </row>
    <row r="628" spans="1:19">
      <c r="A628" s="3" t="s">
        <v>868</v>
      </c>
      <c r="B628" s="31">
        <v>42750.735881944442</v>
      </c>
      <c r="C628" s="31">
        <v>42748.723611111112</v>
      </c>
      <c r="D628" s="3">
        <v>3035481247</v>
      </c>
      <c r="E628" s="3" t="s">
        <v>23</v>
      </c>
      <c r="F628" s="3" t="s">
        <v>131</v>
      </c>
      <c r="G628" s="3" t="s">
        <v>132</v>
      </c>
      <c r="H628" s="3" t="s">
        <v>139</v>
      </c>
      <c r="I628" s="3" t="s">
        <v>140</v>
      </c>
      <c r="J628" s="3" t="s">
        <v>97</v>
      </c>
      <c r="K628" s="3" t="s">
        <v>2977</v>
      </c>
      <c r="L628" s="3" t="s">
        <v>866</v>
      </c>
      <c r="M628" s="3" t="s">
        <v>59</v>
      </c>
      <c r="N628" s="3" t="s">
        <v>60</v>
      </c>
      <c r="O628" s="3" t="s">
        <v>147</v>
      </c>
      <c r="P628" s="3" t="s">
        <v>3090</v>
      </c>
      <c r="Q628" s="31">
        <v>42749</v>
      </c>
      <c r="R628" s="3" t="s">
        <v>62</v>
      </c>
      <c r="S628" s="3" t="s">
        <v>529</v>
      </c>
    </row>
    <row r="629" spans="1:19">
      <c r="A629" s="3" t="s">
        <v>868</v>
      </c>
      <c r="B629" s="31">
        <v>42750.735881944442</v>
      </c>
      <c r="C629" s="31">
        <v>42748.727777777778</v>
      </c>
      <c r="D629" s="3">
        <v>3035759367</v>
      </c>
      <c r="E629" s="3" t="s">
        <v>23</v>
      </c>
      <c r="F629" s="3" t="s">
        <v>154</v>
      </c>
      <c r="G629" s="3" t="s">
        <v>155</v>
      </c>
      <c r="H629" s="3" t="s">
        <v>154</v>
      </c>
      <c r="I629" s="3" t="s">
        <v>155</v>
      </c>
      <c r="J629" s="3" t="s">
        <v>69</v>
      </c>
      <c r="K629" s="3" t="s">
        <v>2976</v>
      </c>
      <c r="L629" s="3" t="s">
        <v>866</v>
      </c>
      <c r="M629" s="3" t="s">
        <v>59</v>
      </c>
      <c r="N629" s="3" t="s">
        <v>60</v>
      </c>
      <c r="O629" s="3" t="s">
        <v>147</v>
      </c>
      <c r="P629" s="3" t="s">
        <v>3090</v>
      </c>
      <c r="Q629" s="31">
        <v>42749</v>
      </c>
      <c r="R629" s="3" t="s">
        <v>62</v>
      </c>
      <c r="S629" s="3" t="s">
        <v>62</v>
      </c>
    </row>
    <row r="630" spans="1:19">
      <c r="A630" s="3" t="s">
        <v>868</v>
      </c>
      <c r="B630" s="31">
        <v>42750.735881944442</v>
      </c>
      <c r="C630" s="31">
        <v>42748.727777777778</v>
      </c>
      <c r="D630" s="3">
        <v>3035758970</v>
      </c>
      <c r="E630" s="3" t="s">
        <v>273</v>
      </c>
      <c r="F630" s="3" t="s">
        <v>854</v>
      </c>
      <c r="G630" s="3" t="s">
        <v>846</v>
      </c>
      <c r="H630" s="3" t="s">
        <v>854</v>
      </c>
      <c r="I630" s="3" t="s">
        <v>846</v>
      </c>
      <c r="J630" s="3" t="s">
        <v>69</v>
      </c>
      <c r="K630" s="3" t="s">
        <v>2977</v>
      </c>
      <c r="L630" s="3" t="s">
        <v>866</v>
      </c>
      <c r="M630" s="3" t="s">
        <v>59</v>
      </c>
      <c r="N630" s="3" t="s">
        <v>60</v>
      </c>
      <c r="O630" s="3" t="s">
        <v>147</v>
      </c>
      <c r="P630" s="3" t="s">
        <v>3090</v>
      </c>
      <c r="Q630" s="31">
        <v>42749</v>
      </c>
      <c r="R630" s="3" t="s">
        <v>62</v>
      </c>
      <c r="S630" s="3" t="s">
        <v>2985</v>
      </c>
    </row>
    <row r="631" spans="1:19">
      <c r="A631" s="3" t="s">
        <v>868</v>
      </c>
      <c r="B631" s="31">
        <v>42750.735881944442</v>
      </c>
      <c r="C631" s="31">
        <v>42748.73333333333</v>
      </c>
      <c r="D631" s="3">
        <v>3035680170</v>
      </c>
      <c r="E631" s="3" t="s">
        <v>9</v>
      </c>
      <c r="F631" s="3" t="s">
        <v>56</v>
      </c>
      <c r="G631" s="3" t="s">
        <v>57</v>
      </c>
      <c r="H631" s="3" t="s">
        <v>82</v>
      </c>
      <c r="I631" s="3" t="s">
        <v>83</v>
      </c>
      <c r="J631" s="3" t="s">
        <v>69</v>
      </c>
      <c r="K631" s="3" t="s">
        <v>2976</v>
      </c>
      <c r="L631" s="3" t="s">
        <v>866</v>
      </c>
      <c r="M631" s="3" t="s">
        <v>59</v>
      </c>
      <c r="N631" s="3" t="s">
        <v>60</v>
      </c>
      <c r="O631" s="3" t="s">
        <v>147</v>
      </c>
      <c r="P631" s="3" t="s">
        <v>3090</v>
      </c>
      <c r="Q631" s="31">
        <v>42749</v>
      </c>
      <c r="R631" s="3" t="s">
        <v>62</v>
      </c>
      <c r="S631" s="3" t="s">
        <v>62</v>
      </c>
    </row>
    <row r="632" spans="1:19">
      <c r="A632" s="3" t="s">
        <v>865</v>
      </c>
      <c r="B632" s="31">
        <v>42750.735881944442</v>
      </c>
      <c r="C632" s="31">
        <v>42748.736111111109</v>
      </c>
      <c r="D632" s="3">
        <v>3035758904</v>
      </c>
      <c r="E632" s="3" t="e">
        <v>#N/A</v>
      </c>
      <c r="F632" s="3" t="s">
        <v>889</v>
      </c>
      <c r="G632" s="3" t="e">
        <v>#N/A</v>
      </c>
      <c r="H632" s="3" t="s">
        <v>889</v>
      </c>
      <c r="I632" s="3" t="e">
        <v>#N/A</v>
      </c>
      <c r="J632" s="3" t="s">
        <v>97</v>
      </c>
      <c r="K632" s="3" t="s">
        <v>2977</v>
      </c>
      <c r="L632" s="3" t="s">
        <v>866</v>
      </c>
      <c r="M632" s="3" t="s">
        <v>59</v>
      </c>
      <c r="N632" s="3" t="s">
        <v>60</v>
      </c>
      <c r="O632" s="3" t="s">
        <v>147</v>
      </c>
      <c r="P632" s="3" t="s">
        <v>3090</v>
      </c>
      <c r="Q632" s="31">
        <v>42749</v>
      </c>
      <c r="R632" s="3" t="s">
        <v>62</v>
      </c>
      <c r="S632" s="3" t="s">
        <v>2143</v>
      </c>
    </row>
    <row r="633" spans="1:19">
      <c r="A633" s="3" t="s">
        <v>865</v>
      </c>
      <c r="B633" s="31">
        <v>42750.735881944442</v>
      </c>
      <c r="C633" s="31">
        <v>42748.738194444442</v>
      </c>
      <c r="D633" s="3">
        <v>3035759889</v>
      </c>
      <c r="E633" s="3" t="s">
        <v>23</v>
      </c>
      <c r="F633" s="3" t="s">
        <v>862</v>
      </c>
      <c r="G633" s="3" t="s">
        <v>624</v>
      </c>
      <c r="H633" s="3" t="s">
        <v>862</v>
      </c>
      <c r="I633" s="3" t="s">
        <v>624</v>
      </c>
      <c r="J633" s="3" t="s">
        <v>69</v>
      </c>
      <c r="K633" s="3" t="s">
        <v>2976</v>
      </c>
      <c r="L633" s="3" t="s">
        <v>866</v>
      </c>
      <c r="M633" s="3" t="s">
        <v>59</v>
      </c>
      <c r="N633" s="3" t="s">
        <v>60</v>
      </c>
      <c r="O633" s="3" t="s">
        <v>3651</v>
      </c>
      <c r="P633" s="3" t="s">
        <v>867</v>
      </c>
      <c r="Q633" s="31">
        <v>42751</v>
      </c>
      <c r="R633" s="3" t="s">
        <v>62</v>
      </c>
      <c r="S633" s="3" t="s">
        <v>62</v>
      </c>
    </row>
    <row r="634" spans="1:19">
      <c r="A634" s="3" t="e">
        <v>#N/A</v>
      </c>
      <c r="B634" s="31" t="e">
        <v>#N/A</v>
      </c>
      <c r="C634" s="31">
        <v>42747.64166666667</v>
      </c>
      <c r="D634" s="3">
        <v>3035528863</v>
      </c>
      <c r="E634" s="3" t="s">
        <v>2978</v>
      </c>
      <c r="F634" s="3" t="s">
        <v>256</v>
      </c>
      <c r="G634" s="3" t="s">
        <v>879</v>
      </c>
      <c r="H634" s="3" t="s">
        <v>142</v>
      </c>
      <c r="I634" s="3" t="s">
        <v>143</v>
      </c>
      <c r="J634" s="3" t="s">
        <v>58</v>
      </c>
      <c r="K634" s="3" t="s">
        <v>2977</v>
      </c>
      <c r="L634" s="3" t="s">
        <v>871</v>
      </c>
      <c r="M634" s="3" t="s">
        <v>84</v>
      </c>
      <c r="N634" s="3" t="s">
        <v>85</v>
      </c>
      <c r="O634" s="3" t="s">
        <v>906</v>
      </c>
      <c r="P634" s="3" t="s">
        <v>3090</v>
      </c>
      <c r="Q634" s="31">
        <v>42748</v>
      </c>
      <c r="R634" s="3" t="s">
        <v>62</v>
      </c>
      <c r="S634" s="3" t="s">
        <v>1355</v>
      </c>
    </row>
    <row r="635" spans="1:19">
      <c r="A635" s="3" t="s">
        <v>877</v>
      </c>
      <c r="B635" s="31">
        <v>42750.735881944442</v>
      </c>
      <c r="C635" s="31">
        <v>42748.741666666669</v>
      </c>
      <c r="D635" s="3">
        <v>3035759791</v>
      </c>
      <c r="E635" s="3" t="s">
        <v>23</v>
      </c>
      <c r="F635" s="3" t="s">
        <v>129</v>
      </c>
      <c r="G635" s="3" t="s">
        <v>130</v>
      </c>
      <c r="H635" s="3" t="s">
        <v>129</v>
      </c>
      <c r="I635" s="3" t="s">
        <v>130</v>
      </c>
      <c r="J635" s="3" t="s">
        <v>69</v>
      </c>
      <c r="K635" s="3" t="s">
        <v>2976</v>
      </c>
      <c r="L635" s="3" t="s">
        <v>866</v>
      </c>
      <c r="M635" s="3" t="s">
        <v>59</v>
      </c>
      <c r="N635" s="3" t="s">
        <v>60</v>
      </c>
      <c r="O635" s="3" t="s">
        <v>147</v>
      </c>
      <c r="P635" s="3" t="s">
        <v>3090</v>
      </c>
      <c r="Q635" s="31">
        <v>42749</v>
      </c>
      <c r="R635" s="3" t="s">
        <v>62</v>
      </c>
      <c r="S635" s="3" t="s">
        <v>62</v>
      </c>
    </row>
    <row r="636" spans="1:19">
      <c r="A636" s="3" t="s">
        <v>877</v>
      </c>
      <c r="B636" s="31">
        <v>42750.735881944442</v>
      </c>
      <c r="C636" s="31">
        <v>42748.750694444447</v>
      </c>
      <c r="D636" s="3">
        <v>3035758450</v>
      </c>
      <c r="E636" s="3" t="s">
        <v>39</v>
      </c>
      <c r="F636" s="3" t="s">
        <v>231</v>
      </c>
      <c r="G636" s="3" t="s">
        <v>232</v>
      </c>
      <c r="H636" s="3" t="s">
        <v>231</v>
      </c>
      <c r="I636" s="3" t="s">
        <v>232</v>
      </c>
      <c r="J636" s="3" t="s">
        <v>69</v>
      </c>
      <c r="K636" s="3" t="s">
        <v>2977</v>
      </c>
      <c r="L636" s="3" t="s">
        <v>866</v>
      </c>
      <c r="M636" s="3" t="s">
        <v>59</v>
      </c>
      <c r="N636" s="3" t="s">
        <v>60</v>
      </c>
      <c r="O636" s="3" t="s">
        <v>147</v>
      </c>
      <c r="P636" s="3" t="s">
        <v>3090</v>
      </c>
      <c r="Q636" s="31">
        <v>42749</v>
      </c>
      <c r="R636" s="3" t="s">
        <v>62</v>
      </c>
      <c r="S636" s="3" t="s">
        <v>92</v>
      </c>
    </row>
    <row r="637" spans="1:19">
      <c r="A637" s="3" t="s">
        <v>865</v>
      </c>
      <c r="B637" s="31">
        <v>42750.735881944442</v>
      </c>
      <c r="C637" s="31">
        <v>42748.829861111109</v>
      </c>
      <c r="D637" s="3">
        <v>3035754408</v>
      </c>
      <c r="E637" s="3" t="s">
        <v>31</v>
      </c>
      <c r="F637" s="3" t="s">
        <v>156</v>
      </c>
      <c r="G637" s="3" t="s">
        <v>157</v>
      </c>
      <c r="H637" s="3" t="s">
        <v>248</v>
      </c>
      <c r="I637" s="3" t="s">
        <v>249</v>
      </c>
      <c r="J637" s="3" t="s">
        <v>69</v>
      </c>
      <c r="K637" s="3" t="s">
        <v>2977</v>
      </c>
      <c r="L637" s="3" t="s">
        <v>866</v>
      </c>
      <c r="M637" s="3" t="s">
        <v>59</v>
      </c>
      <c r="N637" s="3" t="s">
        <v>60</v>
      </c>
      <c r="O637" s="3" t="s">
        <v>147</v>
      </c>
      <c r="P637" s="3" t="s">
        <v>3090</v>
      </c>
      <c r="Q637" s="31">
        <v>42749</v>
      </c>
      <c r="R637" s="3" t="s">
        <v>62</v>
      </c>
      <c r="S637" s="3" t="s">
        <v>92</v>
      </c>
    </row>
    <row r="638" spans="1:19">
      <c r="A638" s="3" t="s">
        <v>865</v>
      </c>
      <c r="B638" s="31">
        <v>42750.735881944442</v>
      </c>
      <c r="C638" s="31">
        <v>42748.841666666667</v>
      </c>
      <c r="D638" s="3">
        <v>3035762877</v>
      </c>
      <c r="E638" s="3" t="s">
        <v>39</v>
      </c>
      <c r="F638" s="3" t="s">
        <v>246</v>
      </c>
      <c r="G638" s="3" t="s">
        <v>247</v>
      </c>
      <c r="H638" s="3" t="s">
        <v>246</v>
      </c>
      <c r="I638" s="3" t="s">
        <v>247</v>
      </c>
      <c r="J638" s="3" t="s">
        <v>58</v>
      </c>
      <c r="K638" s="3" t="s">
        <v>2977</v>
      </c>
      <c r="L638" s="3" t="s">
        <v>866</v>
      </c>
      <c r="M638" s="3" t="s">
        <v>70</v>
      </c>
      <c r="N638" s="3" t="s">
        <v>71</v>
      </c>
      <c r="O638" s="3" t="s">
        <v>851</v>
      </c>
      <c r="P638" s="3" t="s">
        <v>3090</v>
      </c>
      <c r="Q638" s="31">
        <v>42749</v>
      </c>
      <c r="R638" s="3" t="s">
        <v>62</v>
      </c>
      <c r="S638" s="3" t="s">
        <v>92</v>
      </c>
    </row>
    <row r="639" spans="1:19">
      <c r="A639" s="3" t="s">
        <v>868</v>
      </c>
      <c r="B639" s="31">
        <v>42750.735881944442</v>
      </c>
      <c r="C639" s="31">
        <v>42748.897222222222</v>
      </c>
      <c r="D639" s="3">
        <v>3035766068</v>
      </c>
      <c r="E639" s="3" t="s">
        <v>39</v>
      </c>
      <c r="F639" s="3" t="s">
        <v>248</v>
      </c>
      <c r="G639" s="3" t="s">
        <v>249</v>
      </c>
      <c r="H639" s="3" t="s">
        <v>248</v>
      </c>
      <c r="I639" s="3" t="s">
        <v>249</v>
      </c>
      <c r="J639" s="3" t="s">
        <v>69</v>
      </c>
      <c r="K639" s="3" t="s">
        <v>2977</v>
      </c>
      <c r="L639" s="3" t="s">
        <v>871</v>
      </c>
      <c r="M639" s="3" t="s">
        <v>84</v>
      </c>
      <c r="N639" s="3" t="s">
        <v>85</v>
      </c>
      <c r="O639" s="3" t="s">
        <v>3652</v>
      </c>
      <c r="P639" s="3" t="s">
        <v>867</v>
      </c>
      <c r="Q639" s="31">
        <v>42751</v>
      </c>
      <c r="R639" s="3" t="s">
        <v>62</v>
      </c>
      <c r="S639" s="3" t="s">
        <v>92</v>
      </c>
    </row>
    <row r="640" spans="1:19">
      <c r="A640" s="3" t="s">
        <v>868</v>
      </c>
      <c r="B640" s="31">
        <v>42750.735881944442</v>
      </c>
      <c r="C640" s="31">
        <v>42748.915972222225</v>
      </c>
      <c r="D640" s="3">
        <v>3035766764</v>
      </c>
      <c r="E640" s="3" t="s">
        <v>39</v>
      </c>
      <c r="F640" s="3" t="s">
        <v>250</v>
      </c>
      <c r="G640" s="3" t="s">
        <v>251</v>
      </c>
      <c r="H640" s="3" t="s">
        <v>250</v>
      </c>
      <c r="I640" s="3" t="s">
        <v>251</v>
      </c>
      <c r="J640" s="3" t="s">
        <v>69</v>
      </c>
      <c r="K640" s="3" t="s">
        <v>2977</v>
      </c>
      <c r="L640" s="3" t="s">
        <v>866</v>
      </c>
      <c r="M640" s="3" t="s">
        <v>59</v>
      </c>
      <c r="N640" s="3" t="s">
        <v>60</v>
      </c>
      <c r="O640" s="3" t="s">
        <v>123</v>
      </c>
      <c r="P640" s="3" t="s">
        <v>867</v>
      </c>
      <c r="Q640" s="31">
        <v>42751</v>
      </c>
      <c r="R640" s="3" t="s">
        <v>62</v>
      </c>
      <c r="S640" s="3" t="s">
        <v>92</v>
      </c>
    </row>
    <row r="641" spans="1:19">
      <c r="A641" s="3" t="s">
        <v>868</v>
      </c>
      <c r="B641" s="31">
        <v>42751.734828043984</v>
      </c>
      <c r="C641" s="31">
        <v>42749.448611111111</v>
      </c>
      <c r="D641" s="3">
        <v>3035773132</v>
      </c>
      <c r="E641" s="3" t="s">
        <v>31</v>
      </c>
      <c r="F641" s="3" t="s">
        <v>223</v>
      </c>
      <c r="G641" s="3" t="s">
        <v>224</v>
      </c>
      <c r="H641" s="3" t="s">
        <v>223</v>
      </c>
      <c r="I641" s="3" t="s">
        <v>224</v>
      </c>
      <c r="J641" s="3" t="s">
        <v>69</v>
      </c>
      <c r="K641" s="3" t="s">
        <v>2977</v>
      </c>
      <c r="L641" s="3" t="s">
        <v>866</v>
      </c>
      <c r="M641" s="3" t="s">
        <v>59</v>
      </c>
      <c r="N641" s="3" t="s">
        <v>60</v>
      </c>
      <c r="O641" s="3" t="s">
        <v>147</v>
      </c>
      <c r="P641" s="3" t="s">
        <v>3090</v>
      </c>
      <c r="Q641" s="31">
        <v>42751</v>
      </c>
      <c r="R641" s="3" t="s">
        <v>62</v>
      </c>
      <c r="S641" s="3" t="s">
        <v>92</v>
      </c>
    </row>
    <row r="642" spans="1:19">
      <c r="A642" s="3" t="e">
        <v>#N/A</v>
      </c>
      <c r="B642" s="31" t="e">
        <v>#N/A</v>
      </c>
      <c r="C642" s="31">
        <v>42747.643750000003</v>
      </c>
      <c r="D642" s="3">
        <v>3035545491</v>
      </c>
      <c r="E642" s="3" t="s">
        <v>2978</v>
      </c>
      <c r="F642" s="3" t="s">
        <v>256</v>
      </c>
      <c r="G642" s="3" t="s">
        <v>879</v>
      </c>
      <c r="H642" s="3" t="s">
        <v>142</v>
      </c>
      <c r="I642" s="3" t="s">
        <v>143</v>
      </c>
      <c r="J642" s="3" t="s">
        <v>69</v>
      </c>
      <c r="K642" s="3" t="s">
        <v>2977</v>
      </c>
      <c r="L642" s="3" t="s">
        <v>871</v>
      </c>
      <c r="M642" s="3" t="s">
        <v>84</v>
      </c>
      <c r="N642" s="3" t="s">
        <v>85</v>
      </c>
      <c r="O642" s="3" t="s">
        <v>906</v>
      </c>
      <c r="P642" s="3" t="s">
        <v>3090</v>
      </c>
      <c r="Q642" s="31">
        <v>42748</v>
      </c>
      <c r="R642" s="3" t="s">
        <v>62</v>
      </c>
      <c r="S642" s="3" t="s">
        <v>1355</v>
      </c>
    </row>
    <row r="643" spans="1:19">
      <c r="A643" s="3" t="s">
        <v>873</v>
      </c>
      <c r="B643" s="31">
        <v>42751.734828043984</v>
      </c>
      <c r="C643" s="31">
        <v>42749.498611111114</v>
      </c>
      <c r="D643" s="3">
        <v>3035773471</v>
      </c>
      <c r="E643" s="3" t="s">
        <v>9</v>
      </c>
      <c r="F643" s="3" t="s">
        <v>158</v>
      </c>
      <c r="G643" s="3" t="s">
        <v>159</v>
      </c>
      <c r="H643" s="3" t="s">
        <v>158</v>
      </c>
      <c r="I643" s="3" t="s">
        <v>159</v>
      </c>
      <c r="J643" s="3" t="s">
        <v>98</v>
      </c>
      <c r="K643" s="3" t="s">
        <v>2976</v>
      </c>
      <c r="L643" s="3" t="s">
        <v>866</v>
      </c>
      <c r="M643" s="3" t="s">
        <v>59</v>
      </c>
      <c r="N643" s="3" t="s">
        <v>60</v>
      </c>
      <c r="O643" s="3" t="s">
        <v>147</v>
      </c>
      <c r="P643" s="3" t="s">
        <v>3090</v>
      </c>
      <c r="Q643" s="31">
        <v>42751</v>
      </c>
      <c r="R643" s="3" t="s">
        <v>62</v>
      </c>
      <c r="S643" s="3" t="s">
        <v>62</v>
      </c>
    </row>
    <row r="644" spans="1:19">
      <c r="A644" s="3" t="s">
        <v>873</v>
      </c>
      <c r="B644" s="31">
        <v>42751.734828043984</v>
      </c>
      <c r="C644" s="31">
        <v>42749.506249999999</v>
      </c>
      <c r="D644" s="3">
        <v>3035773531</v>
      </c>
      <c r="E644" s="3" t="s">
        <v>23</v>
      </c>
      <c r="F644" s="3" t="s">
        <v>183</v>
      </c>
      <c r="G644" s="3" t="s">
        <v>184</v>
      </c>
      <c r="H644" s="3" t="s">
        <v>183</v>
      </c>
      <c r="I644" s="3" t="s">
        <v>184</v>
      </c>
      <c r="J644" s="3" t="s">
        <v>69</v>
      </c>
      <c r="K644" s="3" t="s">
        <v>2976</v>
      </c>
      <c r="L644" s="3" t="s">
        <v>866</v>
      </c>
      <c r="M644" s="3" t="s">
        <v>70</v>
      </c>
      <c r="N644" s="3" t="s">
        <v>75</v>
      </c>
      <c r="O644" s="3" t="s">
        <v>3653</v>
      </c>
      <c r="P644" s="3" t="s">
        <v>3090</v>
      </c>
      <c r="Q644" s="31">
        <v>42751</v>
      </c>
      <c r="R644" s="3" t="s">
        <v>62</v>
      </c>
      <c r="S644" s="3" t="s">
        <v>62</v>
      </c>
    </row>
    <row r="645" spans="1:19">
      <c r="A645" s="3" t="s">
        <v>873</v>
      </c>
      <c r="B645" s="31">
        <v>42751.734828043984</v>
      </c>
      <c r="C645" s="31">
        <v>42749.521527777775</v>
      </c>
      <c r="D645" s="3">
        <v>3035773514</v>
      </c>
      <c r="E645" s="3" t="s">
        <v>31</v>
      </c>
      <c r="F645" s="3" t="s">
        <v>223</v>
      </c>
      <c r="G645" s="3" t="s">
        <v>224</v>
      </c>
      <c r="H645" s="3" t="s">
        <v>223</v>
      </c>
      <c r="I645" s="3" t="s">
        <v>224</v>
      </c>
      <c r="J645" s="3" t="s">
        <v>69</v>
      </c>
      <c r="K645" s="3" t="s">
        <v>2977</v>
      </c>
      <c r="L645" s="3" t="s">
        <v>866</v>
      </c>
      <c r="M645" s="3" t="s">
        <v>70</v>
      </c>
      <c r="N645" s="3" t="s">
        <v>75</v>
      </c>
      <c r="O645" s="3" t="s">
        <v>3624</v>
      </c>
      <c r="P645" s="3" t="s">
        <v>3090</v>
      </c>
      <c r="Q645" s="31">
        <v>42751</v>
      </c>
      <c r="R645" s="3" t="s">
        <v>62</v>
      </c>
      <c r="S645" s="3" t="s">
        <v>92</v>
      </c>
    </row>
    <row r="646" spans="1:19">
      <c r="A646" s="3" t="s">
        <v>865</v>
      </c>
      <c r="B646" s="31">
        <v>42751.734828043984</v>
      </c>
      <c r="C646" s="31">
        <v>42749.55</v>
      </c>
      <c r="D646" s="3">
        <v>3035774222</v>
      </c>
      <c r="E646" s="3" t="s">
        <v>23</v>
      </c>
      <c r="F646" s="3" t="s">
        <v>137</v>
      </c>
      <c r="G646" s="3" t="s">
        <v>138</v>
      </c>
      <c r="H646" s="3" t="s">
        <v>137</v>
      </c>
      <c r="I646" s="3" t="s">
        <v>138</v>
      </c>
      <c r="J646" s="3" t="s">
        <v>58</v>
      </c>
      <c r="K646" s="3" t="s">
        <v>2976</v>
      </c>
      <c r="L646" s="3" t="s">
        <v>866</v>
      </c>
      <c r="M646" s="3" t="s">
        <v>59</v>
      </c>
      <c r="N646" s="3" t="s">
        <v>60</v>
      </c>
      <c r="O646" s="3" t="s">
        <v>147</v>
      </c>
      <c r="P646" s="3" t="s">
        <v>3090</v>
      </c>
      <c r="Q646" s="31">
        <v>42751</v>
      </c>
      <c r="R646" s="3" t="s">
        <v>62</v>
      </c>
      <c r="S646" s="3" t="s">
        <v>62</v>
      </c>
    </row>
    <row r="647" spans="1:19">
      <c r="A647" s="3" t="s">
        <v>868</v>
      </c>
      <c r="B647" s="31">
        <v>42751.734828043984</v>
      </c>
      <c r="C647" s="31">
        <v>42749.565972222219</v>
      </c>
      <c r="D647" s="3">
        <v>3035690223</v>
      </c>
      <c r="E647" s="3" t="s">
        <v>9</v>
      </c>
      <c r="F647" s="3" t="s">
        <v>111</v>
      </c>
      <c r="G647" s="3" t="s">
        <v>112</v>
      </c>
      <c r="H647" s="3" t="s">
        <v>73</v>
      </c>
      <c r="I647" s="3" t="s">
        <v>74</v>
      </c>
      <c r="J647" s="3" t="s">
        <v>69</v>
      </c>
      <c r="K647" s="3" t="s">
        <v>2976</v>
      </c>
      <c r="L647" s="3" t="s">
        <v>866</v>
      </c>
      <c r="M647" s="3" t="s">
        <v>59</v>
      </c>
      <c r="N647" s="3" t="s">
        <v>60</v>
      </c>
      <c r="O647" s="3" t="s">
        <v>147</v>
      </c>
      <c r="P647" s="3" t="s">
        <v>3090</v>
      </c>
      <c r="Q647" s="31">
        <v>42751</v>
      </c>
      <c r="R647" s="3" t="s">
        <v>62</v>
      </c>
      <c r="S647" s="3" t="s">
        <v>62</v>
      </c>
    </row>
    <row r="648" spans="1:19">
      <c r="A648" s="3" t="e">
        <v>#N/A</v>
      </c>
      <c r="B648" s="31" t="e">
        <v>#N/A</v>
      </c>
      <c r="C648" s="31">
        <v>42747.645833333336</v>
      </c>
      <c r="D648" s="3">
        <v>3035550844</v>
      </c>
      <c r="E648" s="3" t="s">
        <v>2978</v>
      </c>
      <c r="F648" s="3" t="s">
        <v>256</v>
      </c>
      <c r="G648" s="3" t="s">
        <v>879</v>
      </c>
      <c r="H648" s="3" t="s">
        <v>142</v>
      </c>
      <c r="I648" s="3" t="s">
        <v>143</v>
      </c>
      <c r="J648" s="3" t="s">
        <v>69</v>
      </c>
      <c r="K648" s="3" t="s">
        <v>2977</v>
      </c>
      <c r="L648" s="3" t="s">
        <v>871</v>
      </c>
      <c r="M648" s="3" t="s">
        <v>84</v>
      </c>
      <c r="N648" s="3" t="s">
        <v>85</v>
      </c>
      <c r="O648" s="3" t="s">
        <v>906</v>
      </c>
      <c r="P648" s="3" t="s">
        <v>3090</v>
      </c>
      <c r="Q648" s="31">
        <v>42748</v>
      </c>
      <c r="R648" s="3" t="s">
        <v>62</v>
      </c>
      <c r="S648" s="3" t="s">
        <v>1355</v>
      </c>
    </row>
    <row r="649" spans="1:19">
      <c r="A649" s="3" t="s">
        <v>873</v>
      </c>
      <c r="B649" s="31">
        <v>42751.734828043984</v>
      </c>
      <c r="C649" s="31">
        <v>42749.613194444442</v>
      </c>
      <c r="D649" s="3">
        <v>3035775569</v>
      </c>
      <c r="E649" s="3" t="s">
        <v>9</v>
      </c>
      <c r="F649" s="3" t="s">
        <v>87</v>
      </c>
      <c r="G649" s="3" t="s">
        <v>88</v>
      </c>
      <c r="H649" s="3" t="s">
        <v>87</v>
      </c>
      <c r="I649" s="3" t="s">
        <v>88</v>
      </c>
      <c r="J649" s="3" t="s">
        <v>69</v>
      </c>
      <c r="K649" s="3" t="s">
        <v>2976</v>
      </c>
      <c r="L649" s="3" t="s">
        <v>866</v>
      </c>
      <c r="M649" s="3" t="s">
        <v>70</v>
      </c>
      <c r="N649" s="3" t="s">
        <v>71</v>
      </c>
      <c r="O649" s="3" t="s">
        <v>3626</v>
      </c>
      <c r="P649" s="3" t="s">
        <v>3090</v>
      </c>
      <c r="Q649" s="31">
        <v>42751</v>
      </c>
      <c r="R649" s="3" t="s">
        <v>62</v>
      </c>
      <c r="S649" s="3" t="s">
        <v>62</v>
      </c>
    </row>
    <row r="650" spans="1:19">
      <c r="A650" s="3" t="s">
        <v>865</v>
      </c>
      <c r="B650" s="31">
        <v>42751.734828043984</v>
      </c>
      <c r="C650" s="31">
        <v>42749.689583333333</v>
      </c>
      <c r="D650" s="3">
        <v>3035777176</v>
      </c>
      <c r="E650" s="3" t="s">
        <v>39</v>
      </c>
      <c r="F650" s="3" t="s">
        <v>248</v>
      </c>
      <c r="G650" s="3" t="s">
        <v>249</v>
      </c>
      <c r="H650" s="3" t="s">
        <v>248</v>
      </c>
      <c r="I650" s="3" t="s">
        <v>249</v>
      </c>
      <c r="J650" s="3" t="s">
        <v>58</v>
      </c>
      <c r="K650" s="3" t="s">
        <v>2977</v>
      </c>
      <c r="L650" s="3" t="s">
        <v>866</v>
      </c>
      <c r="M650" s="3" t="s">
        <v>70</v>
      </c>
      <c r="N650" s="3" t="s">
        <v>71</v>
      </c>
      <c r="O650" s="3" t="s">
        <v>3627</v>
      </c>
      <c r="P650" s="3" t="s">
        <v>3090</v>
      </c>
      <c r="Q650" s="31">
        <v>42751</v>
      </c>
      <c r="R650" s="3" t="s">
        <v>62</v>
      </c>
      <c r="S650" s="3" t="s">
        <v>92</v>
      </c>
    </row>
    <row r="651" spans="1:19">
      <c r="A651" s="3" t="s">
        <v>865</v>
      </c>
      <c r="B651" s="31">
        <v>42751.734828043984</v>
      </c>
      <c r="C651" s="31">
        <v>42749.706250000003</v>
      </c>
      <c r="D651" s="3">
        <v>3035777776</v>
      </c>
      <c r="E651" s="3" t="s">
        <v>23</v>
      </c>
      <c r="F651" s="3" t="s">
        <v>179</v>
      </c>
      <c r="G651" s="3" t="s">
        <v>180</v>
      </c>
      <c r="H651" s="3" t="s">
        <v>179</v>
      </c>
      <c r="I651" s="3" t="s">
        <v>180</v>
      </c>
      <c r="J651" s="3" t="s">
        <v>69</v>
      </c>
      <c r="K651" s="3" t="s">
        <v>2976</v>
      </c>
      <c r="L651" s="3" t="s">
        <v>866</v>
      </c>
      <c r="M651" s="3" t="s">
        <v>70</v>
      </c>
      <c r="N651" s="3" t="s">
        <v>75</v>
      </c>
      <c r="O651" s="3" t="s">
        <v>3624</v>
      </c>
      <c r="P651" s="3" t="s">
        <v>3090</v>
      </c>
      <c r="Q651" s="31">
        <v>42751</v>
      </c>
      <c r="R651" s="3" t="s">
        <v>62</v>
      </c>
      <c r="S651" s="3" t="s">
        <v>62</v>
      </c>
    </row>
    <row r="652" spans="1:19">
      <c r="A652" s="3" t="s">
        <v>865</v>
      </c>
      <c r="B652" s="31">
        <v>42751.734828043984</v>
      </c>
      <c r="C652" s="31">
        <v>42749.731944444444</v>
      </c>
      <c r="D652" s="3">
        <v>3035778369</v>
      </c>
      <c r="E652" s="3" t="s">
        <v>23</v>
      </c>
      <c r="F652" s="3" t="s">
        <v>186</v>
      </c>
      <c r="G652" s="3" t="s">
        <v>187</v>
      </c>
      <c r="H652" s="3" t="s">
        <v>186</v>
      </c>
      <c r="I652" s="3" t="s">
        <v>187</v>
      </c>
      <c r="J652" s="3" t="s">
        <v>69</v>
      </c>
      <c r="K652" s="3" t="s">
        <v>2976</v>
      </c>
      <c r="L652" s="3" t="s">
        <v>866</v>
      </c>
      <c r="M652" s="3" t="s">
        <v>70</v>
      </c>
      <c r="N652" s="3" t="s">
        <v>71</v>
      </c>
      <c r="O652" s="3" t="s">
        <v>3628</v>
      </c>
      <c r="P652" s="3" t="s">
        <v>3090</v>
      </c>
      <c r="Q652" s="31">
        <v>42751</v>
      </c>
      <c r="R652" s="3" t="s">
        <v>62</v>
      </c>
      <c r="S652" s="3" t="s">
        <v>62</v>
      </c>
    </row>
    <row r="653" spans="1:19">
      <c r="A653" s="3" t="e">
        <v>#N/A</v>
      </c>
      <c r="B653" s="31" t="e">
        <v>#N/A</v>
      </c>
      <c r="C653" s="31">
        <v>42747.648611111108</v>
      </c>
      <c r="D653" s="3">
        <v>3035641606</v>
      </c>
      <c r="E653" s="3" t="s">
        <v>2978</v>
      </c>
      <c r="F653" s="3" t="s">
        <v>256</v>
      </c>
      <c r="G653" s="3" t="s">
        <v>879</v>
      </c>
      <c r="H653" s="3" t="s">
        <v>142</v>
      </c>
      <c r="I653" s="3" t="s">
        <v>143</v>
      </c>
      <c r="J653" s="3" t="s">
        <v>69</v>
      </c>
      <c r="K653" s="3" t="s">
        <v>2977</v>
      </c>
      <c r="L653" s="3" t="s">
        <v>871</v>
      </c>
      <c r="M653" s="3" t="s">
        <v>84</v>
      </c>
      <c r="N653" s="3" t="s">
        <v>85</v>
      </c>
      <c r="O653" s="3" t="s">
        <v>906</v>
      </c>
      <c r="P653" s="3" t="s">
        <v>3090</v>
      </c>
      <c r="Q653" s="31">
        <v>42748</v>
      </c>
      <c r="R653" s="3" t="s">
        <v>62</v>
      </c>
      <c r="S653" s="3" t="s">
        <v>1355</v>
      </c>
    </row>
    <row r="654" spans="1:19">
      <c r="A654" s="3" t="e">
        <v>#N/A</v>
      </c>
      <c r="B654" s="31" t="e">
        <v>#N/A</v>
      </c>
      <c r="C654" s="31">
        <v>42751.35</v>
      </c>
      <c r="D654" s="3">
        <v>3035481455</v>
      </c>
      <c r="E654" s="3" t="s">
        <v>204</v>
      </c>
      <c r="F654" s="3" t="s">
        <v>103</v>
      </c>
      <c r="G654" s="3" t="s">
        <v>104</v>
      </c>
      <c r="H654" s="3" t="s">
        <v>103</v>
      </c>
      <c r="I654" s="3" t="s">
        <v>104</v>
      </c>
      <c r="J654" s="3" t="s">
        <v>99</v>
      </c>
      <c r="K654" s="3" t="s">
        <v>2977</v>
      </c>
      <c r="L654" s="3" t="s">
        <v>871</v>
      </c>
      <c r="M654" s="3" t="s">
        <v>65</v>
      </c>
      <c r="N654" s="3" t="s">
        <v>66</v>
      </c>
      <c r="O654" s="3" t="s">
        <v>66</v>
      </c>
      <c r="P654" s="3" t="s">
        <v>872</v>
      </c>
      <c r="Q654" s="31">
        <v>42752</v>
      </c>
      <c r="R654" s="3" t="s">
        <v>62</v>
      </c>
      <c r="S654" s="3" t="s">
        <v>65</v>
      </c>
    </row>
    <row r="655" spans="1:19">
      <c r="A655" s="3" t="s">
        <v>877</v>
      </c>
      <c r="B655" s="31">
        <v>42753.738235613426</v>
      </c>
      <c r="C655" s="31">
        <v>42751.36041666667</v>
      </c>
      <c r="D655" s="3">
        <v>3035447535</v>
      </c>
      <c r="E655" s="3" t="s">
        <v>23</v>
      </c>
      <c r="F655" s="3" t="s">
        <v>191</v>
      </c>
      <c r="G655" s="3" t="s">
        <v>192</v>
      </c>
      <c r="H655" s="3" t="s">
        <v>63</v>
      </c>
      <c r="I655" s="3" t="s">
        <v>64</v>
      </c>
      <c r="J655" s="3" t="s">
        <v>58</v>
      </c>
      <c r="K655" s="3" t="s">
        <v>2977</v>
      </c>
      <c r="L655" s="3" t="s">
        <v>866</v>
      </c>
      <c r="M655" s="3" t="s">
        <v>59</v>
      </c>
      <c r="N655" s="3" t="s">
        <v>60</v>
      </c>
      <c r="O655" s="3" t="s">
        <v>147</v>
      </c>
      <c r="P655" s="3" t="s">
        <v>872</v>
      </c>
      <c r="Q655" s="31">
        <v>42752</v>
      </c>
      <c r="R655" s="3" t="s">
        <v>62</v>
      </c>
      <c r="S655" s="3" t="s">
        <v>65</v>
      </c>
    </row>
    <row r="656" spans="1:19">
      <c r="A656" s="3" t="s">
        <v>865</v>
      </c>
      <c r="B656" s="31">
        <v>42753.738235613426</v>
      </c>
      <c r="C656" s="31">
        <v>42751.386805555558</v>
      </c>
      <c r="D656" s="3">
        <v>3035750397</v>
      </c>
      <c r="E656" s="3" t="s">
        <v>23</v>
      </c>
      <c r="F656" s="3" t="s">
        <v>137</v>
      </c>
      <c r="G656" s="3" t="s">
        <v>138</v>
      </c>
      <c r="H656" s="3" t="s">
        <v>103</v>
      </c>
      <c r="I656" s="3" t="s">
        <v>104</v>
      </c>
      <c r="J656" s="3" t="s">
        <v>99</v>
      </c>
      <c r="K656" s="3" t="s">
        <v>2977</v>
      </c>
      <c r="L656" s="3" t="s">
        <v>871</v>
      </c>
      <c r="M656" s="3" t="s">
        <v>65</v>
      </c>
      <c r="N656" s="3" t="s">
        <v>66</v>
      </c>
      <c r="O656" s="3" t="s">
        <v>66</v>
      </c>
      <c r="P656" s="3" t="s">
        <v>872</v>
      </c>
      <c r="Q656" s="31">
        <v>42752</v>
      </c>
      <c r="R656" s="3" t="s">
        <v>62</v>
      </c>
      <c r="S656" s="3" t="s">
        <v>65</v>
      </c>
    </row>
    <row r="657" spans="1:19">
      <c r="A657" s="3" t="s">
        <v>877</v>
      </c>
      <c r="B657" s="31">
        <v>42753.738214849538</v>
      </c>
      <c r="C657" s="31">
        <v>42751.402083333334</v>
      </c>
      <c r="D657" s="3">
        <v>3035806889</v>
      </c>
      <c r="E657" s="3" t="s">
        <v>9</v>
      </c>
      <c r="F657" s="3" t="s">
        <v>101</v>
      </c>
      <c r="G657" s="3" t="s">
        <v>102</v>
      </c>
      <c r="H657" s="3" t="s">
        <v>101</v>
      </c>
      <c r="I657" s="3" t="s">
        <v>102</v>
      </c>
      <c r="J657" s="3" t="s">
        <v>69</v>
      </c>
      <c r="K657" s="3" t="s">
        <v>2976</v>
      </c>
      <c r="L657" s="3" t="s">
        <v>866</v>
      </c>
      <c r="M657" s="3" t="s">
        <v>59</v>
      </c>
      <c r="N657" s="3" t="s">
        <v>60</v>
      </c>
      <c r="O657" s="3" t="s">
        <v>147</v>
      </c>
      <c r="P657" s="3" t="s">
        <v>3090</v>
      </c>
      <c r="Q657" s="31">
        <v>42753</v>
      </c>
      <c r="R657" s="3" t="s">
        <v>62</v>
      </c>
      <c r="S657" s="3" t="s">
        <v>62</v>
      </c>
    </row>
    <row r="658" spans="1:19">
      <c r="A658" s="3" t="s">
        <v>865</v>
      </c>
      <c r="B658" s="31">
        <v>42753.738214849538</v>
      </c>
      <c r="C658" s="31">
        <v>42751.427777777775</v>
      </c>
      <c r="D658" s="3">
        <v>3035807482</v>
      </c>
      <c r="E658" s="3" t="s">
        <v>39</v>
      </c>
      <c r="F658" s="3" t="s">
        <v>246</v>
      </c>
      <c r="G658" s="3" t="s">
        <v>247</v>
      </c>
      <c r="H658" s="3" t="s">
        <v>246</v>
      </c>
      <c r="I658" s="3" t="s">
        <v>247</v>
      </c>
      <c r="J658" s="3" t="s">
        <v>69</v>
      </c>
      <c r="K658" s="3" t="s">
        <v>2977</v>
      </c>
      <c r="L658" s="3" t="s">
        <v>866</v>
      </c>
      <c r="M658" s="3" t="s">
        <v>59</v>
      </c>
      <c r="N658" s="3" t="s">
        <v>60</v>
      </c>
      <c r="O658" s="3" t="s">
        <v>147</v>
      </c>
      <c r="P658" s="3" t="s">
        <v>872</v>
      </c>
      <c r="Q658" s="31">
        <v>42752</v>
      </c>
      <c r="R658" s="3" t="s">
        <v>62</v>
      </c>
      <c r="S658" s="3" t="s">
        <v>92</v>
      </c>
    </row>
    <row r="659" spans="1:19">
      <c r="A659" s="3" t="s">
        <v>868</v>
      </c>
      <c r="B659" s="31">
        <v>42753.738214849538</v>
      </c>
      <c r="C659" s="31">
        <v>42751.434027777781</v>
      </c>
      <c r="D659" s="3">
        <v>3035807686</v>
      </c>
      <c r="E659" s="3" t="s">
        <v>9</v>
      </c>
      <c r="F659" s="3" t="s">
        <v>133</v>
      </c>
      <c r="G659" s="3" t="s">
        <v>134</v>
      </c>
      <c r="H659" s="3" t="s">
        <v>133</v>
      </c>
      <c r="I659" s="3" t="s">
        <v>134</v>
      </c>
      <c r="J659" s="3" t="s">
        <v>79</v>
      </c>
      <c r="K659" s="3" t="s">
        <v>2976</v>
      </c>
      <c r="L659" s="3" t="s">
        <v>866</v>
      </c>
      <c r="M659" s="3" t="s">
        <v>59</v>
      </c>
      <c r="N659" s="3" t="s">
        <v>60</v>
      </c>
      <c r="O659" s="3" t="s">
        <v>147</v>
      </c>
      <c r="P659" s="3" t="s">
        <v>872</v>
      </c>
      <c r="Q659" s="31">
        <v>42752</v>
      </c>
      <c r="R659" s="3" t="s">
        <v>62</v>
      </c>
      <c r="S659" s="3" t="s">
        <v>62</v>
      </c>
    </row>
    <row r="660" spans="1:19">
      <c r="A660" s="3" t="s">
        <v>865</v>
      </c>
      <c r="B660" s="31">
        <v>42753.738214849538</v>
      </c>
      <c r="C660" s="31">
        <v>42751.439583333333</v>
      </c>
      <c r="D660" s="3">
        <v>3035434807</v>
      </c>
      <c r="E660" s="3" t="s">
        <v>9</v>
      </c>
      <c r="F660" s="3" t="s">
        <v>56</v>
      </c>
      <c r="G660" s="3" t="s">
        <v>57</v>
      </c>
      <c r="H660" s="3" t="s">
        <v>82</v>
      </c>
      <c r="I660" s="3" t="s">
        <v>83</v>
      </c>
      <c r="J660" s="3" t="s">
        <v>99</v>
      </c>
      <c r="K660" s="3" t="s">
        <v>2976</v>
      </c>
      <c r="L660" s="3" t="s">
        <v>871</v>
      </c>
      <c r="M660" s="3" t="s">
        <v>84</v>
      </c>
      <c r="N660" s="3" t="s">
        <v>85</v>
      </c>
      <c r="O660" s="3" t="s">
        <v>888</v>
      </c>
      <c r="P660" s="3" t="s">
        <v>3090</v>
      </c>
      <c r="Q660" s="31">
        <v>42754</v>
      </c>
      <c r="R660" s="3" t="s">
        <v>62</v>
      </c>
      <c r="S660" s="3" t="s">
        <v>62</v>
      </c>
    </row>
    <row r="661" spans="1:19">
      <c r="A661" s="3" t="s">
        <v>865</v>
      </c>
      <c r="B661" s="31">
        <v>42753.738214849538</v>
      </c>
      <c r="C661" s="31">
        <v>42751.45416666667</v>
      </c>
      <c r="D661" s="3">
        <v>3035434804</v>
      </c>
      <c r="E661" s="3" t="s">
        <v>9</v>
      </c>
      <c r="F661" s="3" t="s">
        <v>87</v>
      </c>
      <c r="G661" s="3" t="s">
        <v>88</v>
      </c>
      <c r="H661" s="3" t="s">
        <v>73</v>
      </c>
      <c r="I661" s="3" t="s">
        <v>74</v>
      </c>
      <c r="J661" s="3" t="s">
        <v>58</v>
      </c>
      <c r="K661" s="3" t="s">
        <v>2976</v>
      </c>
      <c r="L661" s="3" t="s">
        <v>871</v>
      </c>
      <c r="M661" s="3" t="s">
        <v>84</v>
      </c>
      <c r="N661" s="3" t="s">
        <v>85</v>
      </c>
      <c r="O661" s="3" t="s">
        <v>4006</v>
      </c>
      <c r="P661" s="3" t="s">
        <v>3090</v>
      </c>
      <c r="Q661" s="31">
        <v>42754</v>
      </c>
      <c r="R661" s="3" t="s">
        <v>62</v>
      </c>
      <c r="S661" s="3" t="s">
        <v>62</v>
      </c>
    </row>
    <row r="662" spans="1:19">
      <c r="A662" s="3" t="s">
        <v>865</v>
      </c>
      <c r="B662" s="31">
        <v>42753.738214849538</v>
      </c>
      <c r="C662" s="31">
        <v>42751.456944444442</v>
      </c>
      <c r="D662" s="3">
        <v>3035808178</v>
      </c>
      <c r="E662" s="3" t="s">
        <v>273</v>
      </c>
      <c r="F662" s="3" t="s">
        <v>909</v>
      </c>
      <c r="G662" s="3" t="s">
        <v>313</v>
      </c>
      <c r="H662" s="3" t="s">
        <v>909</v>
      </c>
      <c r="I662" s="3" t="s">
        <v>313</v>
      </c>
      <c r="J662" s="3" t="s">
        <v>144</v>
      </c>
      <c r="K662" s="3" t="s">
        <v>2977</v>
      </c>
      <c r="L662" s="3" t="s">
        <v>871</v>
      </c>
      <c r="M662" s="3" t="s">
        <v>84</v>
      </c>
      <c r="N662" s="3" t="s">
        <v>85</v>
      </c>
      <c r="O662" s="3" t="s">
        <v>268</v>
      </c>
      <c r="P662" s="3" t="s">
        <v>3090</v>
      </c>
      <c r="Q662" s="31">
        <v>42754</v>
      </c>
      <c r="R662" s="3" t="s">
        <v>62</v>
      </c>
      <c r="S662" s="3" t="s">
        <v>2985</v>
      </c>
    </row>
    <row r="663" spans="1:19">
      <c r="A663" s="3" t="s">
        <v>865</v>
      </c>
      <c r="B663" s="31">
        <v>42753.738214849538</v>
      </c>
      <c r="C663" s="31">
        <v>42751.46875</v>
      </c>
      <c r="D663" s="3">
        <v>3035808381</v>
      </c>
      <c r="E663" s="3" t="s">
        <v>23</v>
      </c>
      <c r="F663" s="3" t="s">
        <v>154</v>
      </c>
      <c r="G663" s="3" t="s">
        <v>155</v>
      </c>
      <c r="H663" s="3" t="s">
        <v>154</v>
      </c>
      <c r="I663" s="3" t="s">
        <v>155</v>
      </c>
      <c r="J663" s="3" t="s">
        <v>69</v>
      </c>
      <c r="K663" s="3" t="s">
        <v>2976</v>
      </c>
      <c r="L663" s="3" t="s">
        <v>871</v>
      </c>
      <c r="M663" s="3" t="s">
        <v>84</v>
      </c>
      <c r="N663" s="3" t="s">
        <v>85</v>
      </c>
      <c r="O663" s="3" t="s">
        <v>4401</v>
      </c>
      <c r="P663" s="3" t="s">
        <v>3090</v>
      </c>
      <c r="Q663" s="31">
        <v>42754</v>
      </c>
      <c r="R663" s="3" t="s">
        <v>62</v>
      </c>
      <c r="S663" s="3" t="s">
        <v>62</v>
      </c>
    </row>
    <row r="664" spans="1:19">
      <c r="A664" s="3" t="e">
        <v>#N/A</v>
      </c>
      <c r="B664" s="31" t="e">
        <v>#N/A</v>
      </c>
      <c r="C664" s="31">
        <v>42751.479166666664</v>
      </c>
      <c r="D664" s="3">
        <v>3035474151</v>
      </c>
      <c r="E664" s="3" t="s">
        <v>31</v>
      </c>
      <c r="F664" s="3" t="s">
        <v>219</v>
      </c>
      <c r="G664" s="3" t="s">
        <v>220</v>
      </c>
      <c r="H664" s="3" t="s">
        <v>878</v>
      </c>
      <c r="I664" s="3" t="s">
        <v>148</v>
      </c>
      <c r="J664" s="3" t="s">
        <v>58</v>
      </c>
      <c r="K664" s="3" t="s">
        <v>2977</v>
      </c>
      <c r="L664" s="3" t="s">
        <v>866</v>
      </c>
      <c r="M664" s="3" t="s">
        <v>70</v>
      </c>
      <c r="N664" s="3" t="s">
        <v>66</v>
      </c>
      <c r="O664" s="3" t="s">
        <v>66</v>
      </c>
      <c r="P664" s="3" t="s">
        <v>872</v>
      </c>
      <c r="Q664" s="31">
        <v>42752</v>
      </c>
      <c r="R664" s="3" t="s">
        <v>62</v>
      </c>
      <c r="S664" s="3" t="s">
        <v>65</v>
      </c>
    </row>
    <row r="665" spans="1:19">
      <c r="A665" s="3" t="s">
        <v>865</v>
      </c>
      <c r="B665" s="31">
        <v>42753.738214849538</v>
      </c>
      <c r="C665" s="31">
        <v>42751.481249999997</v>
      </c>
      <c r="D665" s="3">
        <v>3035809299</v>
      </c>
      <c r="E665" s="3" t="s">
        <v>9</v>
      </c>
      <c r="F665" s="3" t="s">
        <v>56</v>
      </c>
      <c r="G665" s="3" t="s">
        <v>57</v>
      </c>
      <c r="H665" s="3" t="s">
        <v>56</v>
      </c>
      <c r="I665" s="3" t="s">
        <v>57</v>
      </c>
      <c r="J665" s="3" t="s">
        <v>58</v>
      </c>
      <c r="K665" s="3" t="s">
        <v>2976</v>
      </c>
      <c r="L665" s="3" t="s">
        <v>866</v>
      </c>
      <c r="M665" s="3" t="s">
        <v>59</v>
      </c>
      <c r="N665" s="3" t="s">
        <v>60</v>
      </c>
      <c r="O665" s="3" t="s">
        <v>147</v>
      </c>
      <c r="P665" s="3" t="s">
        <v>872</v>
      </c>
      <c r="Q665" s="31">
        <v>42752</v>
      </c>
      <c r="R665" s="3" t="s">
        <v>62</v>
      </c>
      <c r="S665" s="3" t="s">
        <v>62</v>
      </c>
    </row>
    <row r="666" spans="1:19">
      <c r="A666" s="3" t="e">
        <v>#N/A</v>
      </c>
      <c r="B666" s="31" t="e">
        <v>#N/A</v>
      </c>
      <c r="C666" s="31">
        <v>42751.488194444442</v>
      </c>
      <c r="D666" s="3">
        <v>3035407363</v>
      </c>
      <c r="E666" s="3" t="s">
        <v>39</v>
      </c>
      <c r="F666" s="3" t="s">
        <v>244</v>
      </c>
      <c r="G666" s="3" t="s">
        <v>245</v>
      </c>
      <c r="H666" s="3" t="s">
        <v>878</v>
      </c>
      <c r="I666" s="3" t="s">
        <v>148</v>
      </c>
      <c r="J666" s="3" t="s">
        <v>99</v>
      </c>
      <c r="K666" s="3" t="s">
        <v>2977</v>
      </c>
      <c r="L666" s="3" t="s">
        <v>866</v>
      </c>
      <c r="M666" s="3" t="s">
        <v>70</v>
      </c>
      <c r="N666" s="3" t="s">
        <v>66</v>
      </c>
      <c r="O666" s="3" t="s">
        <v>66</v>
      </c>
      <c r="P666" s="3" t="s">
        <v>872</v>
      </c>
      <c r="Q666" s="31">
        <v>42752</v>
      </c>
      <c r="R666" s="3" t="s">
        <v>62</v>
      </c>
      <c r="S666" s="3" t="s">
        <v>65</v>
      </c>
    </row>
    <row r="667" spans="1:19">
      <c r="A667" s="3" t="s">
        <v>877</v>
      </c>
      <c r="B667" s="31">
        <v>42753.738214849538</v>
      </c>
      <c r="C667" s="31">
        <v>42751.493055555555</v>
      </c>
      <c r="D667" s="3">
        <v>3035725123</v>
      </c>
      <c r="E667" s="3" t="s">
        <v>273</v>
      </c>
      <c r="F667" s="3" t="s">
        <v>909</v>
      </c>
      <c r="G667" s="3" t="s">
        <v>313</v>
      </c>
      <c r="H667" s="3" t="s">
        <v>115</v>
      </c>
      <c r="I667" s="3" t="s">
        <v>116</v>
      </c>
      <c r="J667" s="3" t="s">
        <v>144</v>
      </c>
      <c r="K667" s="3" t="s">
        <v>2977</v>
      </c>
      <c r="L667" s="3" t="s">
        <v>871</v>
      </c>
      <c r="M667" s="3" t="s">
        <v>84</v>
      </c>
      <c r="N667" s="3" t="s">
        <v>85</v>
      </c>
      <c r="O667" s="3" t="s">
        <v>4007</v>
      </c>
      <c r="P667" s="3" t="s">
        <v>872</v>
      </c>
      <c r="Q667" s="31">
        <v>42752</v>
      </c>
      <c r="R667" s="3" t="s">
        <v>62</v>
      </c>
      <c r="S667" s="3" t="s">
        <v>529</v>
      </c>
    </row>
    <row r="668" spans="1:19">
      <c r="A668" s="3" t="s">
        <v>868</v>
      </c>
      <c r="B668" s="31">
        <v>42753.738214849538</v>
      </c>
      <c r="C668" s="31">
        <v>42751.495833333334</v>
      </c>
      <c r="D668" s="3">
        <v>3035809807</v>
      </c>
      <c r="E668" s="3" t="s">
        <v>9</v>
      </c>
      <c r="F668" s="3" t="s">
        <v>67</v>
      </c>
      <c r="G668" s="3" t="s">
        <v>68</v>
      </c>
      <c r="H668" s="3" t="s">
        <v>67</v>
      </c>
      <c r="I668" s="3" t="s">
        <v>68</v>
      </c>
      <c r="J668" s="3" t="s">
        <v>69</v>
      </c>
      <c r="K668" s="3" t="s">
        <v>2976</v>
      </c>
      <c r="L668" s="3" t="s">
        <v>866</v>
      </c>
      <c r="M668" s="3" t="s">
        <v>59</v>
      </c>
      <c r="N668" s="3" t="s">
        <v>60</v>
      </c>
      <c r="O668" s="3" t="s">
        <v>147</v>
      </c>
      <c r="P668" s="3" t="s">
        <v>872</v>
      </c>
      <c r="Q668" s="31">
        <v>42752</v>
      </c>
      <c r="R668" s="3" t="s">
        <v>62</v>
      </c>
      <c r="S668" s="3" t="s">
        <v>62</v>
      </c>
    </row>
    <row r="669" spans="1:19">
      <c r="A669" s="3" t="s">
        <v>865</v>
      </c>
      <c r="B669" s="31">
        <v>42753.738214849538</v>
      </c>
      <c r="C669" s="31">
        <v>42751.496527777781</v>
      </c>
      <c r="D669" s="3">
        <v>3035809841</v>
      </c>
      <c r="E669" s="3" t="s">
        <v>273</v>
      </c>
      <c r="F669" s="3" t="s">
        <v>261</v>
      </c>
      <c r="G669" s="3" t="s">
        <v>311</v>
      </c>
      <c r="H669" s="3" t="s">
        <v>261</v>
      </c>
      <c r="I669" s="3" t="s">
        <v>311</v>
      </c>
      <c r="J669" s="3" t="s">
        <v>69</v>
      </c>
      <c r="K669" s="3" t="s">
        <v>2977</v>
      </c>
      <c r="L669" s="3" t="s">
        <v>866</v>
      </c>
      <c r="M669" s="3" t="s">
        <v>59</v>
      </c>
      <c r="N669" s="3" t="s">
        <v>60</v>
      </c>
      <c r="O669" s="3" t="s">
        <v>147</v>
      </c>
      <c r="P669" s="3" t="s">
        <v>872</v>
      </c>
      <c r="Q669" s="31">
        <v>42752</v>
      </c>
      <c r="R669" s="3" t="s">
        <v>62</v>
      </c>
      <c r="S669" s="3" t="s">
        <v>2985</v>
      </c>
    </row>
    <row r="670" spans="1:19">
      <c r="A670" s="3" t="s">
        <v>873</v>
      </c>
      <c r="B670" s="31">
        <v>42753.738214849538</v>
      </c>
      <c r="C670" s="31">
        <v>42751.499305555553</v>
      </c>
      <c r="D670" s="3">
        <v>3035809945</v>
      </c>
      <c r="E670" s="3" t="s">
        <v>9</v>
      </c>
      <c r="F670" s="3" t="s">
        <v>109</v>
      </c>
      <c r="G670" s="3" t="s">
        <v>110</v>
      </c>
      <c r="H670" s="3" t="s">
        <v>109</v>
      </c>
      <c r="I670" s="3" t="s">
        <v>110</v>
      </c>
      <c r="J670" s="3" t="s">
        <v>69</v>
      </c>
      <c r="K670" s="3" t="s">
        <v>2976</v>
      </c>
      <c r="L670" s="3" t="s">
        <v>866</v>
      </c>
      <c r="M670" s="3" t="s">
        <v>70</v>
      </c>
      <c r="N670" s="3" t="s">
        <v>71</v>
      </c>
      <c r="O670" s="3" t="s">
        <v>3079</v>
      </c>
      <c r="P670" s="3" t="s">
        <v>872</v>
      </c>
      <c r="Q670" s="31">
        <v>42752</v>
      </c>
      <c r="R670" s="3" t="s">
        <v>62</v>
      </c>
      <c r="S670" s="3" t="s">
        <v>62</v>
      </c>
    </row>
    <row r="671" spans="1:19">
      <c r="A671" s="3" t="s">
        <v>877</v>
      </c>
      <c r="B671" s="31">
        <v>42753.738214849538</v>
      </c>
      <c r="C671" s="31">
        <v>42751.504166666666</v>
      </c>
      <c r="D671" s="3">
        <v>3035714354</v>
      </c>
      <c r="E671" s="3" t="s">
        <v>9</v>
      </c>
      <c r="F671" s="3" t="s">
        <v>67</v>
      </c>
      <c r="G671" s="3" t="s">
        <v>68</v>
      </c>
      <c r="H671" s="3" t="s">
        <v>73</v>
      </c>
      <c r="I671" s="3" t="s">
        <v>74</v>
      </c>
      <c r="J671" s="3" t="s">
        <v>58</v>
      </c>
      <c r="K671" s="3" t="s">
        <v>2976</v>
      </c>
      <c r="L671" s="3" t="s">
        <v>871</v>
      </c>
      <c r="M671" s="3" t="s">
        <v>84</v>
      </c>
      <c r="N671" s="3" t="s">
        <v>85</v>
      </c>
      <c r="O671" s="3" t="s">
        <v>888</v>
      </c>
      <c r="P671" s="3" t="s">
        <v>3090</v>
      </c>
      <c r="Q671" s="31">
        <v>42753</v>
      </c>
      <c r="R671" s="3" t="s">
        <v>62</v>
      </c>
      <c r="S671" s="3" t="s">
        <v>62</v>
      </c>
    </row>
    <row r="672" spans="1:19">
      <c r="A672" s="3" t="s">
        <v>877</v>
      </c>
      <c r="B672" s="31">
        <v>42753.738214849538</v>
      </c>
      <c r="C672" s="31">
        <v>42751.511111111111</v>
      </c>
      <c r="D672" s="3">
        <v>3035773016</v>
      </c>
      <c r="E672" s="3" t="s">
        <v>9</v>
      </c>
      <c r="F672" s="3" t="s">
        <v>158</v>
      </c>
      <c r="G672" s="3" t="s">
        <v>159</v>
      </c>
      <c r="H672" s="3" t="s">
        <v>82</v>
      </c>
      <c r="I672" s="3" t="s">
        <v>83</v>
      </c>
      <c r="J672" s="3" t="s">
        <v>69</v>
      </c>
      <c r="K672" s="3" t="s">
        <v>2976</v>
      </c>
      <c r="L672" s="3" t="s">
        <v>866</v>
      </c>
      <c r="M672" s="3" t="s">
        <v>70</v>
      </c>
      <c r="N672" s="3" t="s">
        <v>71</v>
      </c>
      <c r="O672" s="3" t="s">
        <v>3079</v>
      </c>
      <c r="P672" s="3" t="s">
        <v>872</v>
      </c>
      <c r="Q672" s="31">
        <v>42752</v>
      </c>
      <c r="R672" s="3" t="s">
        <v>62</v>
      </c>
      <c r="S672" s="3" t="s">
        <v>62</v>
      </c>
    </row>
    <row r="673" spans="1:19">
      <c r="A673" s="3" t="e">
        <v>#N/A</v>
      </c>
      <c r="B673" s="31" t="e">
        <v>#N/A</v>
      </c>
      <c r="C673" s="31">
        <v>42751.511111111111</v>
      </c>
      <c r="D673" s="3">
        <v>3035519236</v>
      </c>
      <c r="E673" s="3" t="s">
        <v>23</v>
      </c>
      <c r="F673" s="3" t="s">
        <v>186</v>
      </c>
      <c r="G673" s="3" t="s">
        <v>187</v>
      </c>
      <c r="H673" s="3" t="s">
        <v>103</v>
      </c>
      <c r="I673" s="3" t="s">
        <v>104</v>
      </c>
      <c r="J673" s="3" t="s">
        <v>69</v>
      </c>
      <c r="K673" s="3" t="s">
        <v>2977</v>
      </c>
      <c r="L673" s="3" t="s">
        <v>866</v>
      </c>
      <c r="M673" s="3" t="s">
        <v>59</v>
      </c>
      <c r="N673" s="3" t="s">
        <v>66</v>
      </c>
      <c r="O673" s="3" t="s">
        <v>147</v>
      </c>
      <c r="P673" s="3" t="s">
        <v>872</v>
      </c>
      <c r="Q673" s="31">
        <v>42752</v>
      </c>
      <c r="R673" s="3" t="s">
        <v>62</v>
      </c>
      <c r="S673" s="3" t="s">
        <v>65</v>
      </c>
    </row>
    <row r="674" spans="1:19">
      <c r="A674" s="3" t="s">
        <v>868</v>
      </c>
      <c r="B674" s="31">
        <v>42753.738214849538</v>
      </c>
      <c r="C674" s="31">
        <v>42751.511805555558</v>
      </c>
      <c r="D674" s="3">
        <v>3035810541</v>
      </c>
      <c r="E674" s="3" t="s">
        <v>31</v>
      </c>
      <c r="F674" s="3" t="s">
        <v>200</v>
      </c>
      <c r="G674" s="3" t="s">
        <v>201</v>
      </c>
      <c r="H674" s="3" t="s">
        <v>200</v>
      </c>
      <c r="I674" s="3" t="s">
        <v>201</v>
      </c>
      <c r="J674" s="3" t="s">
        <v>69</v>
      </c>
      <c r="K674" s="3" t="s">
        <v>2977</v>
      </c>
      <c r="L674" s="3" t="s">
        <v>866</v>
      </c>
      <c r="M674" s="3" t="s">
        <v>59</v>
      </c>
      <c r="N674" s="3" t="s">
        <v>60</v>
      </c>
      <c r="O674" s="3" t="s">
        <v>147</v>
      </c>
      <c r="P674" s="3" t="s">
        <v>872</v>
      </c>
      <c r="Q674" s="31">
        <v>42752</v>
      </c>
      <c r="R674" s="3" t="s">
        <v>62</v>
      </c>
      <c r="S674" s="3" t="s">
        <v>92</v>
      </c>
    </row>
    <row r="675" spans="1:19">
      <c r="A675" s="3" t="s">
        <v>868</v>
      </c>
      <c r="B675" s="31">
        <v>42753.738214849538</v>
      </c>
      <c r="C675" s="31">
        <v>42751.513888888891</v>
      </c>
      <c r="D675" s="3">
        <v>3035760734</v>
      </c>
      <c r="E675" s="3" t="s">
        <v>2978</v>
      </c>
      <c r="F675" s="3" t="s">
        <v>256</v>
      </c>
      <c r="G675" s="3" t="s">
        <v>879</v>
      </c>
      <c r="H675" s="3" t="s">
        <v>142</v>
      </c>
      <c r="I675" s="3" t="s">
        <v>143</v>
      </c>
      <c r="J675" s="3" t="s">
        <v>58</v>
      </c>
      <c r="K675" s="3" t="s">
        <v>2977</v>
      </c>
      <c r="L675" s="3" t="s">
        <v>866</v>
      </c>
      <c r="M675" s="3" t="s">
        <v>59</v>
      </c>
      <c r="N675" s="3" t="s">
        <v>60</v>
      </c>
      <c r="O675" s="3" t="s">
        <v>147</v>
      </c>
      <c r="P675" s="3" t="s">
        <v>872</v>
      </c>
      <c r="Q675" s="31">
        <v>42752</v>
      </c>
      <c r="R675" s="3" t="s">
        <v>62</v>
      </c>
      <c r="S675" s="3" t="s">
        <v>1355</v>
      </c>
    </row>
    <row r="676" spans="1:19">
      <c r="A676" s="3" t="s">
        <v>865</v>
      </c>
      <c r="B676" s="31">
        <v>42753.738214849538</v>
      </c>
      <c r="C676" s="31">
        <v>42751.513888888891</v>
      </c>
      <c r="D676" s="3">
        <v>3035642876</v>
      </c>
      <c r="E676" s="3" t="s">
        <v>31</v>
      </c>
      <c r="F676" s="3" t="s">
        <v>156</v>
      </c>
      <c r="G676" s="3" t="s">
        <v>157</v>
      </c>
      <c r="H676" s="3" t="s">
        <v>209</v>
      </c>
      <c r="I676" s="3" t="s">
        <v>210</v>
      </c>
      <c r="J676" s="3" t="s">
        <v>69</v>
      </c>
      <c r="K676" s="3" t="s">
        <v>2977</v>
      </c>
      <c r="L676" s="3" t="s">
        <v>866</v>
      </c>
      <c r="M676" s="3" t="s">
        <v>70</v>
      </c>
      <c r="N676" s="3" t="s">
        <v>71</v>
      </c>
      <c r="O676" s="3" t="s">
        <v>3067</v>
      </c>
      <c r="P676" s="3" t="s">
        <v>872</v>
      </c>
      <c r="Q676" s="31">
        <v>42752</v>
      </c>
      <c r="R676" s="3" t="s">
        <v>62</v>
      </c>
      <c r="S676" s="3" t="s">
        <v>529</v>
      </c>
    </row>
    <row r="677" spans="1:19">
      <c r="A677" s="3" t="s">
        <v>865</v>
      </c>
      <c r="B677" s="31">
        <v>42753.738214849538</v>
      </c>
      <c r="C677" s="31">
        <v>42751.51458333333</v>
      </c>
      <c r="D677" s="3">
        <v>3035810567</v>
      </c>
      <c r="E677" s="3" t="s">
        <v>23</v>
      </c>
      <c r="F677" s="3" t="s">
        <v>137</v>
      </c>
      <c r="G677" s="3" t="s">
        <v>138</v>
      </c>
      <c r="H677" s="3" t="s">
        <v>137</v>
      </c>
      <c r="I677" s="3" t="s">
        <v>138</v>
      </c>
      <c r="J677" s="3" t="s">
        <v>69</v>
      </c>
      <c r="K677" s="3" t="s">
        <v>2976</v>
      </c>
      <c r="L677" s="3" t="s">
        <v>871</v>
      </c>
      <c r="M677" s="3" t="s">
        <v>84</v>
      </c>
      <c r="N677" s="3" t="s">
        <v>85</v>
      </c>
      <c r="O677" s="3" t="s">
        <v>4239</v>
      </c>
      <c r="P677" s="3" t="s">
        <v>3090</v>
      </c>
      <c r="Q677" s="31">
        <v>42754</v>
      </c>
      <c r="R677" s="3" t="s">
        <v>62</v>
      </c>
      <c r="S677" s="3" t="s">
        <v>62</v>
      </c>
    </row>
    <row r="678" spans="1:19">
      <c r="A678" s="3" t="s">
        <v>865</v>
      </c>
      <c r="B678" s="31">
        <v>42753.738214849538</v>
      </c>
      <c r="C678" s="31">
        <v>42751.51458333333</v>
      </c>
      <c r="D678" s="3">
        <v>3035808709</v>
      </c>
      <c r="E678" s="3" t="s">
        <v>273</v>
      </c>
      <c r="F678" s="3" t="s">
        <v>854</v>
      </c>
      <c r="G678" s="3" t="s">
        <v>846</v>
      </c>
      <c r="H678" s="3" t="s">
        <v>854</v>
      </c>
      <c r="I678" s="3" t="s">
        <v>846</v>
      </c>
      <c r="J678" s="3" t="s">
        <v>98</v>
      </c>
      <c r="K678" s="3" t="s">
        <v>2977</v>
      </c>
      <c r="L678" s="3" t="s">
        <v>866</v>
      </c>
      <c r="M678" s="3" t="s">
        <v>59</v>
      </c>
      <c r="N678" s="3" t="s">
        <v>60</v>
      </c>
      <c r="O678" s="3" t="s">
        <v>147</v>
      </c>
      <c r="P678" s="3" t="s">
        <v>872</v>
      </c>
      <c r="Q678" s="31">
        <v>42752</v>
      </c>
      <c r="R678" s="3" t="s">
        <v>62</v>
      </c>
      <c r="S678" s="3" t="s">
        <v>2985</v>
      </c>
    </row>
    <row r="679" spans="1:19">
      <c r="A679" s="3" t="s">
        <v>873</v>
      </c>
      <c r="B679" s="31">
        <v>42753.738214849538</v>
      </c>
      <c r="C679" s="31">
        <v>42751.515277777777</v>
      </c>
      <c r="D679" s="3">
        <v>3035810519</v>
      </c>
      <c r="E679" s="3" t="s">
        <v>9</v>
      </c>
      <c r="F679" s="3" t="s">
        <v>94</v>
      </c>
      <c r="G679" s="3" t="s">
        <v>95</v>
      </c>
      <c r="H679" s="3" t="s">
        <v>94</v>
      </c>
      <c r="I679" s="3" t="s">
        <v>95</v>
      </c>
      <c r="J679" s="3" t="s">
        <v>69</v>
      </c>
      <c r="K679" s="3" t="s">
        <v>2976</v>
      </c>
      <c r="L679" s="3" t="s">
        <v>866</v>
      </c>
      <c r="M679" s="3" t="s">
        <v>70</v>
      </c>
      <c r="N679" s="3" t="s">
        <v>75</v>
      </c>
      <c r="O679" s="3" t="s">
        <v>4240</v>
      </c>
      <c r="P679" s="3" t="s">
        <v>3090</v>
      </c>
      <c r="Q679" s="31">
        <v>42753</v>
      </c>
      <c r="R679" s="3" t="s">
        <v>62</v>
      </c>
      <c r="S679" s="3" t="s">
        <v>62</v>
      </c>
    </row>
    <row r="680" spans="1:19">
      <c r="A680" s="3" t="s">
        <v>873</v>
      </c>
      <c r="B680" s="31">
        <v>42753.738214849538</v>
      </c>
      <c r="C680" s="31">
        <v>42751.521527777775</v>
      </c>
      <c r="D680" s="3">
        <v>3035810770</v>
      </c>
      <c r="E680" s="3" t="s">
        <v>9</v>
      </c>
      <c r="F680" s="3" t="s">
        <v>56</v>
      </c>
      <c r="G680" s="3" t="s">
        <v>57</v>
      </c>
      <c r="H680" s="3" t="s">
        <v>56</v>
      </c>
      <c r="I680" s="3" t="s">
        <v>57</v>
      </c>
      <c r="J680" s="3" t="s">
        <v>58</v>
      </c>
      <c r="K680" s="3" t="s">
        <v>2976</v>
      </c>
      <c r="L680" s="3" t="s">
        <v>866</v>
      </c>
      <c r="M680" s="3" t="s">
        <v>59</v>
      </c>
      <c r="N680" s="3" t="s">
        <v>60</v>
      </c>
      <c r="O680" s="3" t="s">
        <v>147</v>
      </c>
      <c r="P680" s="3" t="s">
        <v>872</v>
      </c>
      <c r="Q680" s="31">
        <v>42752</v>
      </c>
      <c r="R680" s="3" t="s">
        <v>62</v>
      </c>
      <c r="S680" s="3" t="s">
        <v>62</v>
      </c>
    </row>
    <row r="681" spans="1:19">
      <c r="A681" s="3" t="s">
        <v>865</v>
      </c>
      <c r="B681" s="31">
        <v>42753.738214849538</v>
      </c>
      <c r="C681" s="31">
        <v>42751.527083333334</v>
      </c>
      <c r="D681" s="3">
        <v>3035782665</v>
      </c>
      <c r="E681" s="3" t="s">
        <v>2978</v>
      </c>
      <c r="F681" s="3" t="s">
        <v>256</v>
      </c>
      <c r="G681" s="3" t="s">
        <v>879</v>
      </c>
      <c r="H681" s="3" t="s">
        <v>142</v>
      </c>
      <c r="I681" s="3" t="s">
        <v>143</v>
      </c>
      <c r="J681" s="3" t="s">
        <v>69</v>
      </c>
      <c r="K681" s="3" t="s">
        <v>2977</v>
      </c>
      <c r="L681" s="3" t="s">
        <v>866</v>
      </c>
      <c r="M681" s="3" t="s">
        <v>59</v>
      </c>
      <c r="N681" s="3" t="s">
        <v>60</v>
      </c>
      <c r="O681" s="3" t="s">
        <v>147</v>
      </c>
      <c r="P681" s="3" t="s">
        <v>872</v>
      </c>
      <c r="Q681" s="31">
        <v>42752</v>
      </c>
      <c r="R681" s="3" t="s">
        <v>62</v>
      </c>
      <c r="S681" s="3" t="s">
        <v>1355</v>
      </c>
    </row>
    <row r="682" spans="1:19">
      <c r="A682" s="3" t="s">
        <v>868</v>
      </c>
      <c r="B682" s="31">
        <v>42753.738214849538</v>
      </c>
      <c r="C682" s="31">
        <v>42751.537499999999</v>
      </c>
      <c r="D682" s="3">
        <v>3035811754</v>
      </c>
      <c r="E682" s="3" t="s">
        <v>9</v>
      </c>
      <c r="F682" s="3" t="s">
        <v>158</v>
      </c>
      <c r="G682" s="3" t="s">
        <v>159</v>
      </c>
      <c r="H682" s="3" t="s">
        <v>158</v>
      </c>
      <c r="I682" s="3" t="s">
        <v>159</v>
      </c>
      <c r="J682" s="3" t="s">
        <v>69</v>
      </c>
      <c r="K682" s="3" t="s">
        <v>2976</v>
      </c>
      <c r="L682" s="3" t="s">
        <v>866</v>
      </c>
      <c r="M682" s="3" t="s">
        <v>59</v>
      </c>
      <c r="N682" s="3" t="s">
        <v>60</v>
      </c>
      <c r="O682" s="3" t="s">
        <v>147</v>
      </c>
      <c r="P682" s="3" t="s">
        <v>3090</v>
      </c>
      <c r="Q682" s="31">
        <v>42753</v>
      </c>
      <c r="R682" s="3" t="s">
        <v>62</v>
      </c>
      <c r="S682" s="3" t="s">
        <v>62</v>
      </c>
    </row>
    <row r="683" spans="1:19">
      <c r="A683" s="3" t="s">
        <v>1212</v>
      </c>
      <c r="B683" s="31">
        <v>42753.738214849538</v>
      </c>
      <c r="C683" s="31">
        <v>42751.539583333331</v>
      </c>
      <c r="D683" s="3">
        <v>3035811789</v>
      </c>
      <c r="E683" s="3" t="s">
        <v>9</v>
      </c>
      <c r="F683" s="3" t="s">
        <v>107</v>
      </c>
      <c r="G683" s="3" t="s">
        <v>108</v>
      </c>
      <c r="H683" s="3" t="s">
        <v>107</v>
      </c>
      <c r="I683" s="3" t="s">
        <v>108</v>
      </c>
      <c r="J683" s="3" t="s">
        <v>69</v>
      </c>
      <c r="K683" s="3" t="s">
        <v>2976</v>
      </c>
      <c r="L683" s="3" t="s">
        <v>866</v>
      </c>
      <c r="M683" s="3" t="s">
        <v>70</v>
      </c>
      <c r="N683" s="3" t="s">
        <v>71</v>
      </c>
      <c r="O683" s="3" t="s">
        <v>3067</v>
      </c>
      <c r="P683" s="3" t="s">
        <v>872</v>
      </c>
      <c r="Q683" s="31">
        <v>42752</v>
      </c>
      <c r="R683" s="3" t="s">
        <v>62</v>
      </c>
      <c r="S683" s="3" t="s">
        <v>62</v>
      </c>
    </row>
    <row r="684" spans="1:19">
      <c r="A684" s="3" t="e">
        <v>#N/A</v>
      </c>
      <c r="B684" s="31" t="e">
        <v>#N/A</v>
      </c>
      <c r="C684" s="31">
        <v>42751.540277777778</v>
      </c>
      <c r="D684" s="3">
        <v>3035691763</v>
      </c>
      <c r="E684" s="3" t="s">
        <v>9</v>
      </c>
      <c r="F684" s="3" t="s">
        <v>67</v>
      </c>
      <c r="G684" s="3" t="s">
        <v>68</v>
      </c>
      <c r="H684" s="3" t="s">
        <v>151</v>
      </c>
      <c r="I684" s="3" t="s">
        <v>152</v>
      </c>
      <c r="J684" s="3" t="s">
        <v>58</v>
      </c>
      <c r="K684" s="3" t="s">
        <v>2977</v>
      </c>
      <c r="L684" s="3" t="s">
        <v>866</v>
      </c>
      <c r="M684" s="3" t="s">
        <v>70</v>
      </c>
      <c r="N684" s="3" t="s">
        <v>66</v>
      </c>
      <c r="O684" s="3" t="s">
        <v>66</v>
      </c>
      <c r="P684" s="3" t="s">
        <v>872</v>
      </c>
      <c r="Q684" s="31">
        <v>42752</v>
      </c>
      <c r="R684" s="3" t="s">
        <v>62</v>
      </c>
      <c r="S684" s="3" t="s">
        <v>65</v>
      </c>
    </row>
    <row r="685" spans="1:19">
      <c r="A685" s="3" t="s">
        <v>865</v>
      </c>
      <c r="B685" s="31">
        <v>42753.738214849538</v>
      </c>
      <c r="C685" s="31">
        <v>42751.540972222225</v>
      </c>
      <c r="D685" s="3">
        <v>3035780075</v>
      </c>
      <c r="E685" s="3" t="s">
        <v>2978</v>
      </c>
      <c r="F685" s="3" t="s">
        <v>256</v>
      </c>
      <c r="G685" s="3" t="s">
        <v>879</v>
      </c>
      <c r="H685" s="3" t="s">
        <v>142</v>
      </c>
      <c r="I685" s="3" t="s">
        <v>143</v>
      </c>
      <c r="J685" s="3" t="s">
        <v>69</v>
      </c>
      <c r="K685" s="3" t="s">
        <v>2977</v>
      </c>
      <c r="L685" s="3" t="s">
        <v>871</v>
      </c>
      <c r="M685" s="3" t="s">
        <v>84</v>
      </c>
      <c r="N685" s="3" t="s">
        <v>85</v>
      </c>
      <c r="O685" s="3" t="s">
        <v>4009</v>
      </c>
      <c r="P685" s="3" t="s">
        <v>872</v>
      </c>
      <c r="Q685" s="31">
        <v>42752</v>
      </c>
      <c r="R685" s="3" t="s">
        <v>62</v>
      </c>
      <c r="S685" s="3" t="s">
        <v>1355</v>
      </c>
    </row>
    <row r="686" spans="1:19">
      <c r="A686" s="3" t="s">
        <v>865</v>
      </c>
      <c r="B686" s="31">
        <v>42753.738214849538</v>
      </c>
      <c r="C686" s="31">
        <v>42751.54791666667</v>
      </c>
      <c r="D686" s="3">
        <v>3035645094</v>
      </c>
      <c r="E686" s="3" t="s">
        <v>31</v>
      </c>
      <c r="F686" s="3" t="s">
        <v>156</v>
      </c>
      <c r="G686" s="3" t="s">
        <v>157</v>
      </c>
      <c r="H686" s="3" t="s">
        <v>209</v>
      </c>
      <c r="I686" s="3" t="s">
        <v>210</v>
      </c>
      <c r="J686" s="3" t="s">
        <v>69</v>
      </c>
      <c r="K686" s="3" t="s">
        <v>2977</v>
      </c>
      <c r="L686" s="3" t="s">
        <v>866</v>
      </c>
      <c r="M686" s="3" t="s">
        <v>70</v>
      </c>
      <c r="N686" s="3" t="s">
        <v>71</v>
      </c>
      <c r="O686" s="3" t="s">
        <v>3641</v>
      </c>
      <c r="P686" s="3" t="s">
        <v>872</v>
      </c>
      <c r="Q686" s="31">
        <v>42752</v>
      </c>
      <c r="R686" s="3" t="s">
        <v>62</v>
      </c>
      <c r="S686" s="3" t="s">
        <v>529</v>
      </c>
    </row>
    <row r="687" spans="1:19">
      <c r="A687" s="3" t="s">
        <v>865</v>
      </c>
      <c r="B687" s="31">
        <v>42753.738214849538</v>
      </c>
      <c r="C687" s="31">
        <v>42751.551388888889</v>
      </c>
      <c r="D687" s="3">
        <v>3035812159</v>
      </c>
      <c r="E687" s="3" t="s">
        <v>273</v>
      </c>
      <c r="F687" s="3" t="s">
        <v>909</v>
      </c>
      <c r="G687" s="3" t="s">
        <v>313</v>
      </c>
      <c r="H687" s="3" t="s">
        <v>909</v>
      </c>
      <c r="I687" s="3" t="s">
        <v>313</v>
      </c>
      <c r="J687" s="3" t="s">
        <v>79</v>
      </c>
      <c r="K687" s="3" t="s">
        <v>2977</v>
      </c>
      <c r="L687" s="3" t="s">
        <v>866</v>
      </c>
      <c r="M687" s="3" t="s">
        <v>70</v>
      </c>
      <c r="N687" s="3" t="s">
        <v>71</v>
      </c>
      <c r="O687" s="3" t="s">
        <v>3079</v>
      </c>
      <c r="P687" s="3" t="s">
        <v>872</v>
      </c>
      <c r="Q687" s="31">
        <v>42752</v>
      </c>
      <c r="R687" s="3" t="s">
        <v>62</v>
      </c>
      <c r="S687" s="3" t="s">
        <v>2985</v>
      </c>
    </row>
    <row r="688" spans="1:19">
      <c r="A688" s="3" t="s">
        <v>873</v>
      </c>
      <c r="B688" s="31">
        <v>42753.738214849538</v>
      </c>
      <c r="C688" s="31">
        <v>42751.554166666669</v>
      </c>
      <c r="D688" s="3">
        <v>3035749962</v>
      </c>
      <c r="E688" s="3" t="s">
        <v>273</v>
      </c>
      <c r="F688" s="3" t="s">
        <v>258</v>
      </c>
      <c r="G688" s="3" t="s">
        <v>327</v>
      </c>
      <c r="H688" s="3" t="s">
        <v>3051</v>
      </c>
      <c r="I688" s="3" t="s">
        <v>563</v>
      </c>
      <c r="J688" s="3" t="s">
        <v>98</v>
      </c>
      <c r="K688" s="3" t="s">
        <v>2977</v>
      </c>
      <c r="L688" s="3" t="s">
        <v>871</v>
      </c>
      <c r="M688" s="3" t="s">
        <v>84</v>
      </c>
      <c r="N688" s="3" t="s">
        <v>85</v>
      </c>
      <c r="O688" s="3" t="s">
        <v>4008</v>
      </c>
      <c r="P688" s="3" t="s">
        <v>3090</v>
      </c>
      <c r="Q688" s="31">
        <v>42753</v>
      </c>
      <c r="R688" s="3" t="s">
        <v>62</v>
      </c>
      <c r="S688" s="3" t="s">
        <v>3007</v>
      </c>
    </row>
    <row r="689" spans="1:19">
      <c r="A689" s="3" t="s">
        <v>865</v>
      </c>
      <c r="B689" s="31">
        <v>42753.738214849538</v>
      </c>
      <c r="C689" s="31">
        <v>42751.558333333334</v>
      </c>
      <c r="D689" s="3">
        <v>3035641285</v>
      </c>
      <c r="E689" s="3" t="s">
        <v>9</v>
      </c>
      <c r="F689" s="3" t="s">
        <v>80</v>
      </c>
      <c r="G689" s="3" t="s">
        <v>81</v>
      </c>
      <c r="H689" s="3" t="s">
        <v>82</v>
      </c>
      <c r="I689" s="3" t="s">
        <v>83</v>
      </c>
      <c r="J689" s="3" t="s">
        <v>69</v>
      </c>
      <c r="K689" s="3" t="s">
        <v>2976</v>
      </c>
      <c r="L689" s="3" t="s">
        <v>866</v>
      </c>
      <c r="M689" s="3" t="s">
        <v>70</v>
      </c>
      <c r="N689" s="3" t="s">
        <v>71</v>
      </c>
      <c r="O689" s="3" t="s">
        <v>3067</v>
      </c>
      <c r="P689" s="3" t="s">
        <v>872</v>
      </c>
      <c r="Q689" s="31">
        <v>42752</v>
      </c>
      <c r="R689" s="3" t="s">
        <v>62</v>
      </c>
      <c r="S689" s="3" t="s">
        <v>62</v>
      </c>
    </row>
    <row r="690" spans="1:19">
      <c r="A690" s="3" t="s">
        <v>877</v>
      </c>
      <c r="B690" s="31">
        <v>42753.738214849538</v>
      </c>
      <c r="C690" s="31">
        <v>42751.56527777778</v>
      </c>
      <c r="D690" s="3">
        <v>3035757139</v>
      </c>
      <c r="E690" s="3" t="s">
        <v>273</v>
      </c>
      <c r="F690" s="3" t="s">
        <v>890</v>
      </c>
      <c r="G690" s="3" t="s">
        <v>891</v>
      </c>
      <c r="H690" s="3" t="s">
        <v>115</v>
      </c>
      <c r="I690" s="3" t="s">
        <v>116</v>
      </c>
      <c r="J690" s="3" t="s">
        <v>69</v>
      </c>
      <c r="K690" s="3" t="s">
        <v>2977</v>
      </c>
      <c r="L690" s="3" t="s">
        <v>871</v>
      </c>
      <c r="M690" s="3" t="s">
        <v>84</v>
      </c>
      <c r="N690" s="3" t="s">
        <v>85</v>
      </c>
      <c r="O690" s="3" t="s">
        <v>4010</v>
      </c>
      <c r="P690" s="3" t="s">
        <v>3090</v>
      </c>
      <c r="Q690" s="31">
        <v>42753</v>
      </c>
      <c r="R690" s="3" t="s">
        <v>62</v>
      </c>
      <c r="S690" s="3" t="s">
        <v>529</v>
      </c>
    </row>
    <row r="691" spans="1:19">
      <c r="A691" s="3" t="s">
        <v>868</v>
      </c>
      <c r="B691" s="31">
        <v>42753.738214849538</v>
      </c>
      <c r="C691" s="31">
        <v>42751.56527777778</v>
      </c>
      <c r="D691" s="3">
        <v>3035812205</v>
      </c>
      <c r="E691" s="3" t="s">
        <v>23</v>
      </c>
      <c r="F691" s="3" t="s">
        <v>179</v>
      </c>
      <c r="G691" s="3" t="s">
        <v>180</v>
      </c>
      <c r="H691" s="3" t="s">
        <v>179</v>
      </c>
      <c r="I691" s="3" t="s">
        <v>180</v>
      </c>
      <c r="J691" s="3" t="s">
        <v>58</v>
      </c>
      <c r="K691" s="3" t="s">
        <v>2976</v>
      </c>
      <c r="L691" s="3" t="s">
        <v>866</v>
      </c>
      <c r="M691" s="3" t="s">
        <v>59</v>
      </c>
      <c r="N691" s="3" t="s">
        <v>60</v>
      </c>
      <c r="O691" s="3" t="s">
        <v>147</v>
      </c>
      <c r="P691" s="3" t="s">
        <v>872</v>
      </c>
      <c r="Q691" s="31">
        <v>42752</v>
      </c>
      <c r="R691" s="3" t="s">
        <v>62</v>
      </c>
      <c r="S691" s="3" t="s">
        <v>62</v>
      </c>
    </row>
    <row r="692" spans="1:19">
      <c r="A692" s="3" t="s">
        <v>865</v>
      </c>
      <c r="B692" s="31">
        <v>42753.738214849538</v>
      </c>
      <c r="C692" s="31">
        <v>42751.566666666666</v>
      </c>
      <c r="D692" s="3">
        <v>3035433628</v>
      </c>
      <c r="E692" s="3" t="s">
        <v>2978</v>
      </c>
      <c r="F692" s="3" t="s">
        <v>256</v>
      </c>
      <c r="G692" s="3" t="s">
        <v>879</v>
      </c>
      <c r="H692" s="3" t="s">
        <v>82</v>
      </c>
      <c r="I692" s="3" t="s">
        <v>83</v>
      </c>
      <c r="J692" s="3" t="s">
        <v>69</v>
      </c>
      <c r="K692" s="3" t="s">
        <v>2976</v>
      </c>
      <c r="L692" s="3" t="s">
        <v>871</v>
      </c>
      <c r="M692" s="3" t="s">
        <v>84</v>
      </c>
      <c r="N692" s="3" t="s">
        <v>85</v>
      </c>
      <c r="O692" s="3" t="s">
        <v>893</v>
      </c>
      <c r="P692" s="3" t="s">
        <v>872</v>
      </c>
      <c r="Q692" s="31">
        <v>42752</v>
      </c>
      <c r="R692" s="3" t="s">
        <v>62</v>
      </c>
      <c r="S692" s="3" t="s">
        <v>62</v>
      </c>
    </row>
    <row r="693" spans="1:19">
      <c r="A693" s="3" t="s">
        <v>877</v>
      </c>
      <c r="B693" s="31">
        <v>42753.738214849538</v>
      </c>
      <c r="C693" s="31">
        <v>42751.567361111112</v>
      </c>
      <c r="D693" s="3">
        <v>3035723764</v>
      </c>
      <c r="E693" s="3" t="s">
        <v>23</v>
      </c>
      <c r="F693" s="3" t="s">
        <v>183</v>
      </c>
      <c r="G693" s="3" t="s">
        <v>184</v>
      </c>
      <c r="H693" s="3" t="s">
        <v>183</v>
      </c>
      <c r="I693" s="3" t="s">
        <v>184</v>
      </c>
      <c r="J693" s="3" t="s">
        <v>99</v>
      </c>
      <c r="K693" s="3" t="s">
        <v>2976</v>
      </c>
      <c r="L693" s="3" t="s">
        <v>871</v>
      </c>
      <c r="M693" s="3" t="s">
        <v>84</v>
      </c>
      <c r="N693" s="3" t="s">
        <v>85</v>
      </c>
      <c r="O693" s="3" t="s">
        <v>3625</v>
      </c>
      <c r="P693" s="3" t="s">
        <v>875</v>
      </c>
      <c r="Q693" s="31">
        <v>42752</v>
      </c>
      <c r="R693" s="3" t="s">
        <v>62</v>
      </c>
      <c r="S693" s="3" t="s">
        <v>62</v>
      </c>
    </row>
    <row r="694" spans="1:19">
      <c r="A694" s="3" t="s">
        <v>865</v>
      </c>
      <c r="B694" s="31">
        <v>42753.738214849538</v>
      </c>
      <c r="C694" s="31">
        <v>42751.568749999999</v>
      </c>
      <c r="D694" s="3">
        <v>3035679569</v>
      </c>
      <c r="E694" s="3" t="s">
        <v>9</v>
      </c>
      <c r="F694" s="3" t="s">
        <v>101</v>
      </c>
      <c r="G694" s="3" t="s">
        <v>102</v>
      </c>
      <c r="H694" s="3" t="s">
        <v>73</v>
      </c>
      <c r="I694" s="3" t="s">
        <v>74</v>
      </c>
      <c r="J694" s="3" t="s">
        <v>69</v>
      </c>
      <c r="K694" s="3" t="s">
        <v>2976</v>
      </c>
      <c r="L694" s="3" t="s">
        <v>866</v>
      </c>
      <c r="M694" s="3" t="s">
        <v>70</v>
      </c>
      <c r="N694" s="3" t="s">
        <v>75</v>
      </c>
      <c r="O694" s="3" t="s">
        <v>4011</v>
      </c>
      <c r="P694" s="3" t="s">
        <v>875</v>
      </c>
      <c r="Q694" s="31">
        <v>42752</v>
      </c>
      <c r="R694" s="3" t="s">
        <v>62</v>
      </c>
      <c r="S694" s="3" t="s">
        <v>62</v>
      </c>
    </row>
    <row r="695" spans="1:19">
      <c r="A695" s="3" t="s">
        <v>865</v>
      </c>
      <c r="B695" s="31">
        <v>42753.738214849538</v>
      </c>
      <c r="C695" s="31">
        <v>42751.569444444445</v>
      </c>
      <c r="D695" s="3">
        <v>3035812591</v>
      </c>
      <c r="E695" s="3" t="s">
        <v>9</v>
      </c>
      <c r="F695" s="3" t="s">
        <v>101</v>
      </c>
      <c r="G695" s="3" t="s">
        <v>102</v>
      </c>
      <c r="H695" s="3" t="s">
        <v>101</v>
      </c>
      <c r="I695" s="3" t="s">
        <v>102</v>
      </c>
      <c r="J695" s="3" t="s">
        <v>69</v>
      </c>
      <c r="K695" s="3" t="s">
        <v>2976</v>
      </c>
      <c r="L695" s="3" t="s">
        <v>866</v>
      </c>
      <c r="M695" s="3" t="s">
        <v>70</v>
      </c>
      <c r="N695" s="3" t="s">
        <v>71</v>
      </c>
      <c r="O695" s="3" t="s">
        <v>4241</v>
      </c>
      <c r="P695" s="3" t="s">
        <v>3090</v>
      </c>
      <c r="Q695" s="31">
        <v>42753</v>
      </c>
      <c r="R695" s="3" t="s">
        <v>62</v>
      </c>
      <c r="S695" s="3" t="s">
        <v>62</v>
      </c>
    </row>
    <row r="696" spans="1:19">
      <c r="A696" s="3" t="s">
        <v>865</v>
      </c>
      <c r="B696" s="31">
        <v>42753.738214849538</v>
      </c>
      <c r="C696" s="31">
        <v>42751.572222222225</v>
      </c>
      <c r="D696" s="3">
        <v>3035644842</v>
      </c>
      <c r="E696" s="3" t="s">
        <v>9</v>
      </c>
      <c r="F696" s="3" t="s">
        <v>111</v>
      </c>
      <c r="G696" s="3" t="s">
        <v>112</v>
      </c>
      <c r="H696" s="3" t="s">
        <v>82</v>
      </c>
      <c r="I696" s="3" t="s">
        <v>83</v>
      </c>
      <c r="J696" s="3" t="s">
        <v>69</v>
      </c>
      <c r="K696" s="3" t="s">
        <v>2976</v>
      </c>
      <c r="L696" s="3" t="s">
        <v>866</v>
      </c>
      <c r="M696" s="3" t="s">
        <v>70</v>
      </c>
      <c r="N696" s="3" t="s">
        <v>886</v>
      </c>
      <c r="O696" s="3" t="s">
        <v>4242</v>
      </c>
      <c r="P696" s="3" t="s">
        <v>875</v>
      </c>
      <c r="Q696" s="31">
        <v>42753</v>
      </c>
      <c r="R696" s="3" t="s">
        <v>62</v>
      </c>
      <c r="S696" s="3" t="s">
        <v>62</v>
      </c>
    </row>
    <row r="697" spans="1:19">
      <c r="A697" s="3" t="s">
        <v>865</v>
      </c>
      <c r="B697" s="31">
        <v>42753.738214849538</v>
      </c>
      <c r="C697" s="31">
        <v>42751.574999999997</v>
      </c>
      <c r="D697" s="3">
        <v>3035649248</v>
      </c>
      <c r="E697" s="3" t="s">
        <v>9</v>
      </c>
      <c r="F697" s="3" t="s">
        <v>56</v>
      </c>
      <c r="G697" s="3" t="s">
        <v>57</v>
      </c>
      <c r="H697" s="3" t="s">
        <v>82</v>
      </c>
      <c r="I697" s="3" t="s">
        <v>83</v>
      </c>
      <c r="J697" s="3" t="s">
        <v>58</v>
      </c>
      <c r="K697" s="3" t="s">
        <v>2976</v>
      </c>
      <c r="L697" s="3" t="s">
        <v>866</v>
      </c>
      <c r="M697" s="3" t="s">
        <v>59</v>
      </c>
      <c r="N697" s="3" t="s">
        <v>60</v>
      </c>
      <c r="O697" s="3" t="s">
        <v>147</v>
      </c>
      <c r="P697" s="3" t="s">
        <v>3090</v>
      </c>
      <c r="Q697" s="31">
        <v>42753</v>
      </c>
      <c r="R697" s="3" t="s">
        <v>62</v>
      </c>
      <c r="S697" s="3" t="s">
        <v>62</v>
      </c>
    </row>
    <row r="698" spans="1:19">
      <c r="A698" s="3" t="s">
        <v>865</v>
      </c>
      <c r="B698" s="31">
        <v>42753.738214849538</v>
      </c>
      <c r="C698" s="31">
        <v>42751.580555555556</v>
      </c>
      <c r="D698" s="3">
        <v>3035813080</v>
      </c>
      <c r="E698" s="3" t="s">
        <v>273</v>
      </c>
      <c r="F698" s="3" t="s">
        <v>909</v>
      </c>
      <c r="G698" s="3" t="s">
        <v>313</v>
      </c>
      <c r="H698" s="3" t="s">
        <v>909</v>
      </c>
      <c r="I698" s="3" t="s">
        <v>313</v>
      </c>
      <c r="J698" s="3" t="s">
        <v>69</v>
      </c>
      <c r="K698" s="3" t="s">
        <v>2977</v>
      </c>
      <c r="L698" s="3" t="s">
        <v>866</v>
      </c>
      <c r="M698" s="3" t="s">
        <v>70</v>
      </c>
      <c r="N698" s="3" t="s">
        <v>71</v>
      </c>
      <c r="O698" s="3" t="s">
        <v>4012</v>
      </c>
      <c r="P698" s="3" t="s">
        <v>875</v>
      </c>
      <c r="Q698" s="31">
        <v>42752</v>
      </c>
      <c r="R698" s="3" t="s">
        <v>62</v>
      </c>
      <c r="S698" s="3" t="s">
        <v>2985</v>
      </c>
    </row>
    <row r="699" spans="1:19">
      <c r="A699" s="3" t="s">
        <v>877</v>
      </c>
      <c r="B699" s="31">
        <v>42753.738214849538</v>
      </c>
      <c r="C699" s="31">
        <v>42751.581250000003</v>
      </c>
      <c r="D699" s="3">
        <v>3035808731</v>
      </c>
      <c r="E699" s="3" t="s">
        <v>31</v>
      </c>
      <c r="F699" s="3" t="s">
        <v>219</v>
      </c>
      <c r="G699" s="3" t="s">
        <v>220</v>
      </c>
      <c r="H699" s="3" t="s">
        <v>219</v>
      </c>
      <c r="I699" s="3" t="s">
        <v>220</v>
      </c>
      <c r="J699" s="3" t="s">
        <v>58</v>
      </c>
      <c r="K699" s="3" t="s">
        <v>2977</v>
      </c>
      <c r="L699" s="3" t="s">
        <v>871</v>
      </c>
      <c r="M699" s="3" t="s">
        <v>84</v>
      </c>
      <c r="N699" s="3" t="s">
        <v>85</v>
      </c>
      <c r="O699" s="3" t="s">
        <v>233</v>
      </c>
      <c r="P699" s="3" t="s">
        <v>3090</v>
      </c>
      <c r="Q699" s="31">
        <v>42753</v>
      </c>
      <c r="R699" s="3" t="s">
        <v>62</v>
      </c>
      <c r="S699" s="3" t="s">
        <v>92</v>
      </c>
    </row>
    <row r="700" spans="1:19">
      <c r="A700" s="3" t="s">
        <v>865</v>
      </c>
      <c r="B700" s="31">
        <v>42753.738214849538</v>
      </c>
      <c r="C700" s="31">
        <v>42751.59375</v>
      </c>
      <c r="D700" s="3">
        <v>3035815111</v>
      </c>
      <c r="E700" s="3" t="s">
        <v>273</v>
      </c>
      <c r="F700" s="3" t="s">
        <v>153</v>
      </c>
      <c r="G700" s="3" t="s">
        <v>892</v>
      </c>
      <c r="H700" s="3" t="s">
        <v>153</v>
      </c>
      <c r="I700" s="3" t="s">
        <v>892</v>
      </c>
      <c r="J700" s="3" t="s">
        <v>69</v>
      </c>
      <c r="K700" s="3" t="s">
        <v>2977</v>
      </c>
      <c r="L700" s="3" t="s">
        <v>866</v>
      </c>
      <c r="M700" s="3" t="s">
        <v>59</v>
      </c>
      <c r="N700" s="3" t="s">
        <v>60</v>
      </c>
      <c r="O700" s="3" t="s">
        <v>4243</v>
      </c>
      <c r="P700" s="3" t="s">
        <v>3090</v>
      </c>
      <c r="Q700" s="31">
        <v>42753</v>
      </c>
      <c r="R700" s="3" t="s">
        <v>62</v>
      </c>
      <c r="S700" s="3" t="s">
        <v>2985</v>
      </c>
    </row>
    <row r="701" spans="1:19">
      <c r="A701" s="3" t="s">
        <v>865</v>
      </c>
      <c r="B701" s="31">
        <v>42753.738235613426</v>
      </c>
      <c r="C701" s="31">
        <v>42751.602083333331</v>
      </c>
      <c r="D701" s="3">
        <v>3035508636</v>
      </c>
      <c r="E701" s="3" t="s">
        <v>273</v>
      </c>
      <c r="F701" s="3" t="s">
        <v>261</v>
      </c>
      <c r="G701" s="3" t="s">
        <v>311</v>
      </c>
      <c r="H701" s="3" t="s">
        <v>103</v>
      </c>
      <c r="I701" s="3" t="s">
        <v>104</v>
      </c>
      <c r="J701" s="3" t="s">
        <v>144</v>
      </c>
      <c r="K701" s="3" t="s">
        <v>2977</v>
      </c>
      <c r="L701" s="3" t="s">
        <v>871</v>
      </c>
      <c r="M701" s="3" t="s">
        <v>65</v>
      </c>
      <c r="N701" s="3" t="s">
        <v>66</v>
      </c>
      <c r="O701" s="3" t="s">
        <v>880</v>
      </c>
      <c r="P701" s="3" t="s">
        <v>875</v>
      </c>
      <c r="Q701" s="31">
        <v>42752</v>
      </c>
      <c r="R701" s="3" t="s">
        <v>62</v>
      </c>
      <c r="S701" s="3" t="s">
        <v>65</v>
      </c>
    </row>
    <row r="702" spans="1:19">
      <c r="A702" s="3" t="s">
        <v>865</v>
      </c>
      <c r="B702" s="31">
        <v>42753.738214849538</v>
      </c>
      <c r="C702" s="31">
        <v>42751.604166666664</v>
      </c>
      <c r="D702" s="3">
        <v>3035750621</v>
      </c>
      <c r="E702" s="3" t="s">
        <v>23</v>
      </c>
      <c r="F702" s="3" t="s">
        <v>149</v>
      </c>
      <c r="G702" s="3" t="s">
        <v>150</v>
      </c>
      <c r="H702" s="3" t="s">
        <v>139</v>
      </c>
      <c r="I702" s="3" t="s">
        <v>140</v>
      </c>
      <c r="J702" s="3" t="s">
        <v>69</v>
      </c>
      <c r="K702" s="3" t="s">
        <v>2977</v>
      </c>
      <c r="L702" s="3" t="s">
        <v>866</v>
      </c>
      <c r="M702" s="3" t="s">
        <v>59</v>
      </c>
      <c r="N702" s="3" t="s">
        <v>60</v>
      </c>
      <c r="O702" s="3" t="s">
        <v>147</v>
      </c>
      <c r="P702" s="3" t="s">
        <v>875</v>
      </c>
      <c r="Q702" s="31">
        <v>42752</v>
      </c>
      <c r="R702" s="3" t="s">
        <v>62</v>
      </c>
      <c r="S702" s="3" t="s">
        <v>529</v>
      </c>
    </row>
    <row r="703" spans="1:19">
      <c r="A703" s="3" t="s">
        <v>873</v>
      </c>
      <c r="B703" s="31">
        <v>42753.738235613426</v>
      </c>
      <c r="C703" s="31">
        <v>42751.617361111108</v>
      </c>
      <c r="D703" s="3">
        <v>3035676809</v>
      </c>
      <c r="E703" s="3" t="s">
        <v>9</v>
      </c>
      <c r="F703" s="3" t="s">
        <v>56</v>
      </c>
      <c r="G703" s="3" t="s">
        <v>57</v>
      </c>
      <c r="H703" s="3" t="s">
        <v>63</v>
      </c>
      <c r="I703" s="3" t="s">
        <v>64</v>
      </c>
      <c r="J703" s="3" t="s">
        <v>58</v>
      </c>
      <c r="K703" s="3" t="s">
        <v>2977</v>
      </c>
      <c r="L703" s="3" t="s">
        <v>871</v>
      </c>
      <c r="M703" s="3" t="s">
        <v>65</v>
      </c>
      <c r="N703" s="3" t="s">
        <v>66</v>
      </c>
      <c r="O703" s="3" t="s">
        <v>880</v>
      </c>
      <c r="P703" s="3" t="s">
        <v>875</v>
      </c>
      <c r="Q703" s="31">
        <v>42752</v>
      </c>
      <c r="R703" s="3" t="s">
        <v>62</v>
      </c>
      <c r="S703" s="3" t="s">
        <v>65</v>
      </c>
    </row>
    <row r="704" spans="1:19">
      <c r="A704" s="3" t="s">
        <v>865</v>
      </c>
      <c r="B704" s="31">
        <v>42753.738214849538</v>
      </c>
      <c r="C704" s="31">
        <v>42751.623611111114</v>
      </c>
      <c r="D704" s="3">
        <v>3035816825</v>
      </c>
      <c r="E704" s="3" t="s">
        <v>39</v>
      </c>
      <c r="F704" s="3" t="s">
        <v>248</v>
      </c>
      <c r="G704" s="3" t="s">
        <v>249</v>
      </c>
      <c r="H704" s="3" t="s">
        <v>248</v>
      </c>
      <c r="I704" s="3" t="s">
        <v>249</v>
      </c>
      <c r="J704" s="3" t="s">
        <v>69</v>
      </c>
      <c r="K704" s="3" t="s">
        <v>2977</v>
      </c>
      <c r="L704" s="3" t="s">
        <v>866</v>
      </c>
      <c r="M704" s="3" t="s">
        <v>59</v>
      </c>
      <c r="N704" s="3" t="s">
        <v>60</v>
      </c>
      <c r="O704" s="3" t="s">
        <v>147</v>
      </c>
      <c r="P704" s="3" t="s">
        <v>875</v>
      </c>
      <c r="Q704" s="31">
        <v>42752</v>
      </c>
      <c r="R704" s="3" t="s">
        <v>62</v>
      </c>
      <c r="S704" s="3" t="s">
        <v>92</v>
      </c>
    </row>
    <row r="705" spans="1:19">
      <c r="A705" s="3" t="s">
        <v>868</v>
      </c>
      <c r="B705" s="31">
        <v>42753.738214849538</v>
      </c>
      <c r="C705" s="31">
        <v>42751.637499999997</v>
      </c>
      <c r="D705" s="3">
        <v>3035817523</v>
      </c>
      <c r="E705" s="3" t="s">
        <v>9</v>
      </c>
      <c r="F705" s="3" t="s">
        <v>133</v>
      </c>
      <c r="G705" s="3" t="s">
        <v>134</v>
      </c>
      <c r="H705" s="3" t="s">
        <v>133</v>
      </c>
      <c r="I705" s="3" t="s">
        <v>134</v>
      </c>
      <c r="J705" s="3" t="s">
        <v>144</v>
      </c>
      <c r="K705" s="3" t="s">
        <v>2976</v>
      </c>
      <c r="L705" s="3" t="s">
        <v>866</v>
      </c>
      <c r="M705" s="3" t="s">
        <v>59</v>
      </c>
      <c r="N705" s="3" t="s">
        <v>60</v>
      </c>
      <c r="O705" s="3" t="s">
        <v>147</v>
      </c>
      <c r="P705" s="3" t="s">
        <v>875</v>
      </c>
      <c r="Q705" s="31">
        <v>42753</v>
      </c>
      <c r="R705" s="3" t="s">
        <v>62</v>
      </c>
      <c r="S705" s="3" t="s">
        <v>62</v>
      </c>
    </row>
    <row r="706" spans="1:19">
      <c r="A706" s="3" t="s">
        <v>865</v>
      </c>
      <c r="B706" s="31">
        <v>42753.738214849538</v>
      </c>
      <c r="C706" s="31">
        <v>42751.647222222222</v>
      </c>
      <c r="D706" s="3">
        <v>3035818108</v>
      </c>
      <c r="E706" s="3" t="s">
        <v>273</v>
      </c>
      <c r="F706" s="3" t="s">
        <v>261</v>
      </c>
      <c r="G706" s="3" t="s">
        <v>311</v>
      </c>
      <c r="H706" s="3" t="s">
        <v>261</v>
      </c>
      <c r="I706" s="3" t="s">
        <v>311</v>
      </c>
      <c r="J706" s="3" t="s">
        <v>144</v>
      </c>
      <c r="K706" s="3" t="s">
        <v>2977</v>
      </c>
      <c r="L706" s="3" t="s">
        <v>871</v>
      </c>
      <c r="M706" s="3" t="s">
        <v>84</v>
      </c>
      <c r="N706" s="3" t="s">
        <v>85</v>
      </c>
      <c r="O706" s="3" t="s">
        <v>233</v>
      </c>
      <c r="P706" s="3" t="s">
        <v>3090</v>
      </c>
      <c r="Q706" s="31">
        <v>42754</v>
      </c>
      <c r="R706" s="3" t="s">
        <v>62</v>
      </c>
      <c r="S706" s="3" t="s">
        <v>2985</v>
      </c>
    </row>
    <row r="707" spans="1:19">
      <c r="A707" s="3" t="s">
        <v>865</v>
      </c>
      <c r="B707" s="31">
        <v>42753.738214849538</v>
      </c>
      <c r="C707" s="31">
        <v>42751.654861111114</v>
      </c>
      <c r="D707" s="3">
        <v>3035659866</v>
      </c>
      <c r="E707" s="3" t="s">
        <v>23</v>
      </c>
      <c r="F707" s="3" t="s">
        <v>149</v>
      </c>
      <c r="G707" s="3" t="s">
        <v>150</v>
      </c>
      <c r="H707" s="3" t="s">
        <v>139</v>
      </c>
      <c r="I707" s="3" t="s">
        <v>140</v>
      </c>
      <c r="J707" s="3" t="s">
        <v>69</v>
      </c>
      <c r="K707" s="3" t="s">
        <v>2977</v>
      </c>
      <c r="L707" s="3" t="s">
        <v>866</v>
      </c>
      <c r="M707" s="3" t="s">
        <v>59</v>
      </c>
      <c r="N707" s="3" t="s">
        <v>60</v>
      </c>
      <c r="O707" s="3" t="s">
        <v>147</v>
      </c>
      <c r="P707" s="3" t="s">
        <v>875</v>
      </c>
      <c r="Q707" s="31">
        <v>42752</v>
      </c>
      <c r="R707" s="3" t="s">
        <v>62</v>
      </c>
      <c r="S707" s="3" t="s">
        <v>529</v>
      </c>
    </row>
    <row r="708" spans="1:19">
      <c r="A708" s="3" t="e">
        <v>#N/A</v>
      </c>
      <c r="B708" s="31" t="e">
        <v>#N/A</v>
      </c>
      <c r="C708" s="31">
        <v>42751.655555555553</v>
      </c>
      <c r="D708" s="3">
        <v>3035548322</v>
      </c>
      <c r="E708" s="3" t="s">
        <v>23</v>
      </c>
      <c r="F708" s="3" t="s">
        <v>183</v>
      </c>
      <c r="G708" s="3" t="s">
        <v>184</v>
      </c>
      <c r="H708" s="3" t="s">
        <v>883</v>
      </c>
      <c r="I708" s="3" t="s">
        <v>96</v>
      </c>
      <c r="J708" s="3" t="s">
        <v>99</v>
      </c>
      <c r="K708" s="3" t="s">
        <v>2977</v>
      </c>
      <c r="L708" s="3" t="s">
        <v>871</v>
      </c>
      <c r="M708" s="3" t="s">
        <v>65</v>
      </c>
      <c r="N708" s="3" t="s">
        <v>66</v>
      </c>
      <c r="O708" s="3" t="s">
        <v>880</v>
      </c>
      <c r="P708" s="3" t="s">
        <v>875</v>
      </c>
      <c r="Q708" s="31">
        <v>42752</v>
      </c>
      <c r="R708" s="3" t="s">
        <v>62</v>
      </c>
      <c r="S708" s="3" t="s">
        <v>65</v>
      </c>
    </row>
    <row r="709" spans="1:19">
      <c r="A709" s="3" t="e">
        <v>#N/A</v>
      </c>
      <c r="B709" s="31" t="e">
        <v>#N/A</v>
      </c>
      <c r="C709" s="31">
        <v>42751.65902777778</v>
      </c>
      <c r="D709" s="3">
        <v>3035515910</v>
      </c>
      <c r="E709" s="3" t="s">
        <v>204</v>
      </c>
      <c r="F709" s="3" t="s">
        <v>900</v>
      </c>
      <c r="G709" s="3" t="s">
        <v>602</v>
      </c>
      <c r="H709" s="3" t="s">
        <v>883</v>
      </c>
      <c r="I709" s="3" t="s">
        <v>96</v>
      </c>
      <c r="J709" s="3" t="s">
        <v>99</v>
      </c>
      <c r="K709" s="3" t="s">
        <v>2977</v>
      </c>
      <c r="L709" s="3" t="s">
        <v>871</v>
      </c>
      <c r="M709" s="3" t="s">
        <v>65</v>
      </c>
      <c r="N709" s="3" t="s">
        <v>66</v>
      </c>
      <c r="O709" s="3" t="s">
        <v>880</v>
      </c>
      <c r="P709" s="3" t="s">
        <v>875</v>
      </c>
      <c r="Q709" s="31">
        <v>42752</v>
      </c>
      <c r="R709" s="3" t="s">
        <v>62</v>
      </c>
      <c r="S709" s="3" t="s">
        <v>65</v>
      </c>
    </row>
    <row r="710" spans="1:19">
      <c r="A710" s="3" t="s">
        <v>865</v>
      </c>
      <c r="B710" s="31">
        <v>42753.738214849538</v>
      </c>
      <c r="C710" s="31">
        <v>42751.659722222219</v>
      </c>
      <c r="D710" s="3">
        <v>3035818744</v>
      </c>
      <c r="E710" s="3" t="s">
        <v>23</v>
      </c>
      <c r="F710" s="3" t="s">
        <v>137</v>
      </c>
      <c r="G710" s="3" t="s">
        <v>138</v>
      </c>
      <c r="H710" s="3" t="s">
        <v>137</v>
      </c>
      <c r="I710" s="3" t="s">
        <v>138</v>
      </c>
      <c r="J710" s="3" t="s">
        <v>69</v>
      </c>
      <c r="K710" s="3" t="s">
        <v>2976</v>
      </c>
      <c r="L710" s="3" t="s">
        <v>866</v>
      </c>
      <c r="M710" s="3" t="s">
        <v>59</v>
      </c>
      <c r="N710" s="3" t="s">
        <v>60</v>
      </c>
      <c r="O710" s="3" t="s">
        <v>147</v>
      </c>
      <c r="P710" s="3" t="s">
        <v>875</v>
      </c>
      <c r="Q710" s="31">
        <v>42752</v>
      </c>
      <c r="R710" s="3" t="s">
        <v>62</v>
      </c>
      <c r="S710" s="3" t="s">
        <v>62</v>
      </c>
    </row>
    <row r="711" spans="1:19">
      <c r="A711" s="3" t="s">
        <v>865</v>
      </c>
      <c r="B711" s="31">
        <v>42753.738214849538</v>
      </c>
      <c r="C711" s="31">
        <v>42751.666666666664</v>
      </c>
      <c r="D711" s="3">
        <v>3035819111</v>
      </c>
      <c r="E711" s="3" t="s">
        <v>23</v>
      </c>
      <c r="F711" s="3" t="s">
        <v>129</v>
      </c>
      <c r="G711" s="3" t="s">
        <v>130</v>
      </c>
      <c r="H711" s="3" t="s">
        <v>129</v>
      </c>
      <c r="I711" s="3" t="s">
        <v>130</v>
      </c>
      <c r="J711" s="3" t="s">
        <v>69</v>
      </c>
      <c r="K711" s="3" t="s">
        <v>2976</v>
      </c>
      <c r="L711" s="3" t="s">
        <v>866</v>
      </c>
      <c r="M711" s="3" t="s">
        <v>59</v>
      </c>
      <c r="N711" s="3" t="s">
        <v>60</v>
      </c>
      <c r="O711" s="3" t="s">
        <v>147</v>
      </c>
      <c r="P711" s="3" t="s">
        <v>3090</v>
      </c>
      <c r="Q711" s="31">
        <v>42754</v>
      </c>
      <c r="R711" s="3" t="s">
        <v>62</v>
      </c>
      <c r="S711" s="3" t="s">
        <v>62</v>
      </c>
    </row>
    <row r="712" spans="1:19">
      <c r="A712" s="3" t="s">
        <v>865</v>
      </c>
      <c r="B712" s="31">
        <v>42753.738214849538</v>
      </c>
      <c r="C712" s="31">
        <v>42751.67291666667</v>
      </c>
      <c r="D712" s="3">
        <v>3035809720</v>
      </c>
      <c r="E712" s="3" t="s">
        <v>39</v>
      </c>
      <c r="F712" s="3" t="s">
        <v>231</v>
      </c>
      <c r="G712" s="3" t="s">
        <v>232</v>
      </c>
      <c r="H712" s="3" t="s">
        <v>3750</v>
      </c>
      <c r="I712" s="3" t="s">
        <v>598</v>
      </c>
      <c r="J712" s="3" t="s">
        <v>99</v>
      </c>
      <c r="K712" s="3" t="s">
        <v>2977</v>
      </c>
      <c r="L712" s="3" t="s">
        <v>871</v>
      </c>
      <c r="M712" s="3" t="s">
        <v>84</v>
      </c>
      <c r="N712" s="3" t="s">
        <v>85</v>
      </c>
      <c r="O712" s="3" t="s">
        <v>233</v>
      </c>
      <c r="P712" s="3" t="s">
        <v>3090</v>
      </c>
      <c r="Q712" s="31">
        <v>42754</v>
      </c>
      <c r="R712" s="3" t="s">
        <v>62</v>
      </c>
      <c r="S712" s="3" t="s">
        <v>548</v>
      </c>
    </row>
    <row r="713" spans="1:19">
      <c r="A713" s="3" t="s">
        <v>865</v>
      </c>
      <c r="B713" s="31">
        <v>42753.738214849538</v>
      </c>
      <c r="C713" s="31">
        <v>42751.674305555556</v>
      </c>
      <c r="D713" s="3">
        <v>3035616849</v>
      </c>
      <c r="E713" s="3" t="s">
        <v>273</v>
      </c>
      <c r="F713" s="3" t="s">
        <v>259</v>
      </c>
      <c r="G713" s="3" t="s">
        <v>260</v>
      </c>
      <c r="H713" s="3" t="s">
        <v>115</v>
      </c>
      <c r="I713" s="3" t="s">
        <v>116</v>
      </c>
      <c r="J713" s="3" t="s">
        <v>144</v>
      </c>
      <c r="K713" s="3" t="s">
        <v>2977</v>
      </c>
      <c r="L713" s="3" t="s">
        <v>866</v>
      </c>
      <c r="M713" s="3" t="s">
        <v>70</v>
      </c>
      <c r="N713" s="3" t="s">
        <v>71</v>
      </c>
      <c r="O713" s="3" t="s">
        <v>4013</v>
      </c>
      <c r="P713" s="3" t="s">
        <v>875</v>
      </c>
      <c r="Q713" s="31">
        <v>42752</v>
      </c>
      <c r="R713" s="3" t="s">
        <v>62</v>
      </c>
      <c r="S713" s="3" t="s">
        <v>529</v>
      </c>
    </row>
    <row r="714" spans="1:19">
      <c r="A714" s="3" t="s">
        <v>877</v>
      </c>
      <c r="B714" s="31">
        <v>42753.738214849538</v>
      </c>
      <c r="C714" s="31">
        <v>42751.675694444442</v>
      </c>
      <c r="D714" s="3">
        <v>3035679125</v>
      </c>
      <c r="E714" s="3" t="s">
        <v>273</v>
      </c>
      <c r="F714" s="3" t="s">
        <v>265</v>
      </c>
      <c r="G714" s="3" t="s">
        <v>266</v>
      </c>
      <c r="H714" s="3" t="s">
        <v>115</v>
      </c>
      <c r="I714" s="3" t="s">
        <v>116</v>
      </c>
      <c r="J714" s="3" t="s">
        <v>58</v>
      </c>
      <c r="K714" s="3" t="s">
        <v>2977</v>
      </c>
      <c r="L714" s="3" t="s">
        <v>866</v>
      </c>
      <c r="M714" s="3" t="s">
        <v>70</v>
      </c>
      <c r="N714" s="3" t="s">
        <v>71</v>
      </c>
      <c r="O714" s="3" t="s">
        <v>4244</v>
      </c>
      <c r="P714" s="3" t="s">
        <v>875</v>
      </c>
      <c r="Q714" s="31">
        <v>42753</v>
      </c>
      <c r="R714" s="3" t="s">
        <v>62</v>
      </c>
      <c r="S714" s="3" t="s">
        <v>529</v>
      </c>
    </row>
    <row r="715" spans="1:19">
      <c r="A715" s="3" t="s">
        <v>868</v>
      </c>
      <c r="B715" s="31">
        <v>42753.738214849538</v>
      </c>
      <c r="C715" s="31">
        <v>42751.678472222222</v>
      </c>
      <c r="D715" s="3">
        <v>3035819774</v>
      </c>
      <c r="E715" s="3" t="s">
        <v>31</v>
      </c>
      <c r="F715" s="3" t="s">
        <v>113</v>
      </c>
      <c r="G715" s="3" t="s">
        <v>114</v>
      </c>
      <c r="H715" s="3" t="s">
        <v>113</v>
      </c>
      <c r="I715" s="3" t="s">
        <v>114</v>
      </c>
      <c r="J715" s="3" t="s">
        <v>97</v>
      </c>
      <c r="K715" s="3" t="s">
        <v>2976</v>
      </c>
      <c r="L715" s="3" t="s">
        <v>866</v>
      </c>
      <c r="M715" s="3" t="s">
        <v>59</v>
      </c>
      <c r="N715" s="3" t="s">
        <v>60</v>
      </c>
      <c r="O715" s="3" t="s">
        <v>147</v>
      </c>
      <c r="P715" s="3" t="s">
        <v>875</v>
      </c>
      <c r="Q715" s="31">
        <v>42752</v>
      </c>
      <c r="R715" s="3" t="s">
        <v>62</v>
      </c>
      <c r="S715" s="3" t="s">
        <v>62</v>
      </c>
    </row>
    <row r="716" spans="1:19">
      <c r="A716" s="3" t="s">
        <v>873</v>
      </c>
      <c r="B716" s="31">
        <v>42753.738214849538</v>
      </c>
      <c r="C716" s="31">
        <v>42751.681250000001</v>
      </c>
      <c r="D716" s="3">
        <v>3035432015</v>
      </c>
      <c r="E716" s="3" t="s">
        <v>9</v>
      </c>
      <c r="F716" s="3" t="s">
        <v>87</v>
      </c>
      <c r="G716" s="3" t="s">
        <v>88</v>
      </c>
      <c r="H716" s="3" t="s">
        <v>82</v>
      </c>
      <c r="I716" s="3" t="s">
        <v>83</v>
      </c>
      <c r="J716" s="3" t="s">
        <v>58</v>
      </c>
      <c r="K716" s="3" t="s">
        <v>2976</v>
      </c>
      <c r="L716" s="3" t="s">
        <v>866</v>
      </c>
      <c r="M716" s="3" t="s">
        <v>70</v>
      </c>
      <c r="N716" s="3" t="s">
        <v>71</v>
      </c>
      <c r="O716" s="3" t="s">
        <v>904</v>
      </c>
      <c r="P716" s="3" t="s">
        <v>875</v>
      </c>
      <c r="Q716" s="31">
        <v>42752</v>
      </c>
      <c r="R716" s="3" t="s">
        <v>62</v>
      </c>
      <c r="S716" s="3" t="s">
        <v>62</v>
      </c>
    </row>
    <row r="717" spans="1:19">
      <c r="A717" s="3" t="s">
        <v>865</v>
      </c>
      <c r="B717" s="31">
        <v>42753.738214849538</v>
      </c>
      <c r="C717" s="31">
        <v>42751.694444444445</v>
      </c>
      <c r="D717" s="3">
        <v>3035723204</v>
      </c>
      <c r="E717" s="3" t="s">
        <v>273</v>
      </c>
      <c r="F717" s="3" t="s">
        <v>258</v>
      </c>
      <c r="G717" s="3" t="s">
        <v>327</v>
      </c>
      <c r="H717" s="3" t="s">
        <v>115</v>
      </c>
      <c r="I717" s="3" t="s">
        <v>116</v>
      </c>
      <c r="J717" s="3" t="s">
        <v>98</v>
      </c>
      <c r="K717" s="3" t="s">
        <v>2977</v>
      </c>
      <c r="L717" s="3" t="s">
        <v>871</v>
      </c>
      <c r="M717" s="3" t="s">
        <v>84</v>
      </c>
      <c r="N717" s="3" t="s">
        <v>85</v>
      </c>
      <c r="O717" s="3" t="s">
        <v>233</v>
      </c>
      <c r="P717" s="3" t="s">
        <v>3090</v>
      </c>
      <c r="Q717" s="31">
        <v>42754</v>
      </c>
      <c r="R717" s="3" t="s">
        <v>62</v>
      </c>
      <c r="S717" s="3" t="s">
        <v>529</v>
      </c>
    </row>
    <row r="718" spans="1:19">
      <c r="A718" s="3" t="s">
        <v>865</v>
      </c>
      <c r="B718" s="31">
        <v>42753.738214849538</v>
      </c>
      <c r="C718" s="31">
        <v>42751.720138888886</v>
      </c>
      <c r="D718" s="3">
        <v>3035820345</v>
      </c>
      <c r="E718" s="3" t="s">
        <v>39</v>
      </c>
      <c r="F718" s="3" t="s">
        <v>250</v>
      </c>
      <c r="G718" s="3" t="s">
        <v>251</v>
      </c>
      <c r="H718" s="3" t="s">
        <v>250</v>
      </c>
      <c r="I718" s="3" t="s">
        <v>251</v>
      </c>
      <c r="J718" s="3" t="s">
        <v>69</v>
      </c>
      <c r="K718" s="3" t="s">
        <v>2977</v>
      </c>
      <c r="L718" s="3" t="s">
        <v>871</v>
      </c>
      <c r="M718" s="3" t="s">
        <v>84</v>
      </c>
      <c r="N718" s="3" t="s">
        <v>85</v>
      </c>
      <c r="O718" s="3" t="s">
        <v>233</v>
      </c>
      <c r="P718" s="3" t="s">
        <v>3090</v>
      </c>
      <c r="Q718" s="31">
        <v>42754</v>
      </c>
      <c r="R718" s="3" t="s">
        <v>62</v>
      </c>
      <c r="S718" s="3" t="s">
        <v>92</v>
      </c>
    </row>
    <row r="719" spans="1:19">
      <c r="A719" s="3" t="s">
        <v>865</v>
      </c>
      <c r="B719" s="31">
        <v>42753.738214849538</v>
      </c>
      <c r="C719" s="31">
        <v>42751.737500000003</v>
      </c>
      <c r="D719" s="3">
        <v>3035822764</v>
      </c>
      <c r="E719" s="3" t="s">
        <v>23</v>
      </c>
      <c r="F719" s="3" t="s">
        <v>131</v>
      </c>
      <c r="G719" s="3" t="s">
        <v>132</v>
      </c>
      <c r="H719" s="3" t="s">
        <v>131</v>
      </c>
      <c r="I719" s="3" t="s">
        <v>132</v>
      </c>
      <c r="J719" s="3" t="s">
        <v>69</v>
      </c>
      <c r="K719" s="3" t="s">
        <v>2976</v>
      </c>
      <c r="L719" s="3" t="s">
        <v>871</v>
      </c>
      <c r="M719" s="3" t="s">
        <v>84</v>
      </c>
      <c r="N719" s="3" t="s">
        <v>85</v>
      </c>
      <c r="O719" s="3" t="s">
        <v>4014</v>
      </c>
      <c r="P719" s="3" t="s">
        <v>3090</v>
      </c>
      <c r="Q719" s="31">
        <v>42754</v>
      </c>
      <c r="R719" s="3" t="s">
        <v>62</v>
      </c>
      <c r="S719" s="3" t="s">
        <v>62</v>
      </c>
    </row>
    <row r="720" spans="1:19">
      <c r="A720" s="3" t="s">
        <v>877</v>
      </c>
      <c r="B720" s="31">
        <v>42753.738214849538</v>
      </c>
      <c r="C720" s="31">
        <v>42751.752083333333</v>
      </c>
      <c r="D720" s="3">
        <v>3035822307</v>
      </c>
      <c r="E720" s="3" t="s">
        <v>273</v>
      </c>
      <c r="F720" s="3" t="s">
        <v>259</v>
      </c>
      <c r="G720" s="3" t="s">
        <v>260</v>
      </c>
      <c r="H720" s="3" t="s">
        <v>259</v>
      </c>
      <c r="I720" s="3" t="s">
        <v>260</v>
      </c>
      <c r="J720" s="3" t="s">
        <v>69</v>
      </c>
      <c r="K720" s="3" t="s">
        <v>2977</v>
      </c>
      <c r="L720" s="3" t="s">
        <v>866</v>
      </c>
      <c r="M720" s="3" t="s">
        <v>59</v>
      </c>
      <c r="N720" s="3" t="s">
        <v>60</v>
      </c>
      <c r="O720" s="3" t="s">
        <v>147</v>
      </c>
      <c r="P720" s="3" t="s">
        <v>875</v>
      </c>
      <c r="Q720" s="31">
        <v>42752</v>
      </c>
      <c r="R720" s="3" t="s">
        <v>62</v>
      </c>
      <c r="S720" s="3" t="s">
        <v>2985</v>
      </c>
    </row>
    <row r="721" spans="1:19">
      <c r="A721" s="3" t="s">
        <v>873</v>
      </c>
      <c r="B721" s="31">
        <v>42753.738214849538</v>
      </c>
      <c r="C721" s="31">
        <v>42751.76458333333</v>
      </c>
      <c r="D721" s="3">
        <v>3035823971</v>
      </c>
      <c r="E721" s="3" t="s">
        <v>273</v>
      </c>
      <c r="F721" s="3" t="s">
        <v>909</v>
      </c>
      <c r="G721" s="3" t="s">
        <v>313</v>
      </c>
      <c r="H721" s="3" t="s">
        <v>909</v>
      </c>
      <c r="I721" s="3" t="s">
        <v>313</v>
      </c>
      <c r="J721" s="3" t="s">
        <v>98</v>
      </c>
      <c r="K721" s="3" t="s">
        <v>2977</v>
      </c>
      <c r="L721" s="3" t="s">
        <v>866</v>
      </c>
      <c r="M721" s="3" t="s">
        <v>70</v>
      </c>
      <c r="N721" s="3" t="s">
        <v>71</v>
      </c>
      <c r="O721" s="3" t="s">
        <v>4015</v>
      </c>
      <c r="P721" s="3" t="s">
        <v>875</v>
      </c>
      <c r="Q721" s="31">
        <v>42752</v>
      </c>
      <c r="R721" s="3" t="s">
        <v>62</v>
      </c>
      <c r="S721" s="3" t="s">
        <v>2985</v>
      </c>
    </row>
    <row r="722" spans="1:19">
      <c r="A722" s="3" t="s">
        <v>868</v>
      </c>
      <c r="B722" s="31">
        <v>42753.738214849538</v>
      </c>
      <c r="C722" s="31">
        <v>42751.765277777777</v>
      </c>
      <c r="D722" s="3">
        <v>3035819976</v>
      </c>
      <c r="E722" s="3" t="s">
        <v>2978</v>
      </c>
      <c r="F722" s="3" t="s">
        <v>256</v>
      </c>
      <c r="G722" s="3" t="s">
        <v>879</v>
      </c>
      <c r="H722" s="3" t="s">
        <v>909</v>
      </c>
      <c r="I722" s="3" t="s">
        <v>313</v>
      </c>
      <c r="J722" s="3" t="s">
        <v>98</v>
      </c>
      <c r="K722" s="3" t="s">
        <v>2977</v>
      </c>
      <c r="L722" s="3" t="s">
        <v>866</v>
      </c>
      <c r="M722" s="3" t="s">
        <v>70</v>
      </c>
      <c r="N722" s="3" t="s">
        <v>71</v>
      </c>
      <c r="O722" s="3" t="s">
        <v>4016</v>
      </c>
      <c r="P722" s="3" t="s">
        <v>875</v>
      </c>
      <c r="Q722" s="31">
        <v>42752</v>
      </c>
      <c r="R722" s="3" t="s">
        <v>62</v>
      </c>
      <c r="S722" s="3" t="s">
        <v>2985</v>
      </c>
    </row>
    <row r="723" spans="1:19">
      <c r="A723" s="3" t="s">
        <v>865</v>
      </c>
      <c r="B723" s="31">
        <v>42753.738214849538</v>
      </c>
      <c r="C723" s="31">
        <v>42751.791666666664</v>
      </c>
      <c r="D723" s="3">
        <v>3035825720</v>
      </c>
      <c r="E723" s="3" t="s">
        <v>39</v>
      </c>
      <c r="F723" s="3" t="s">
        <v>244</v>
      </c>
      <c r="G723" s="3" t="s">
        <v>245</v>
      </c>
      <c r="H723" s="3" t="s">
        <v>244</v>
      </c>
      <c r="I723" s="3" t="s">
        <v>245</v>
      </c>
      <c r="J723" s="3" t="s">
        <v>69</v>
      </c>
      <c r="K723" s="3" t="s">
        <v>2977</v>
      </c>
      <c r="L723" s="3" t="s">
        <v>871</v>
      </c>
      <c r="M723" s="3" t="s">
        <v>84</v>
      </c>
      <c r="N723" s="3" t="s">
        <v>85</v>
      </c>
      <c r="O723" s="3" t="s">
        <v>233</v>
      </c>
      <c r="P723" s="3" t="s">
        <v>3090</v>
      </c>
      <c r="Q723" s="31">
        <v>42754</v>
      </c>
      <c r="R723" s="3" t="s">
        <v>62</v>
      </c>
      <c r="S723" s="3" t="s">
        <v>92</v>
      </c>
    </row>
    <row r="724" spans="1:19">
      <c r="A724" s="3" t="s">
        <v>865</v>
      </c>
      <c r="B724" s="31">
        <v>42753.738214849538</v>
      </c>
      <c r="C724" s="31">
        <v>42751.793749999997</v>
      </c>
      <c r="D724" s="3">
        <v>3035824337</v>
      </c>
      <c r="E724" s="3" t="s">
        <v>273</v>
      </c>
      <c r="F724" s="3" t="s">
        <v>263</v>
      </c>
      <c r="G724" s="3" t="s">
        <v>264</v>
      </c>
      <c r="H724" s="3" t="s">
        <v>263</v>
      </c>
      <c r="I724" s="3" t="s">
        <v>264</v>
      </c>
      <c r="J724" s="3" t="s">
        <v>98</v>
      </c>
      <c r="K724" s="3" t="s">
        <v>2977</v>
      </c>
      <c r="L724" s="3" t="s">
        <v>866</v>
      </c>
      <c r="M724" s="3" t="s">
        <v>59</v>
      </c>
      <c r="N724" s="3" t="s">
        <v>60</v>
      </c>
      <c r="O724" s="3" t="s">
        <v>147</v>
      </c>
      <c r="P724" s="3" t="s">
        <v>3090</v>
      </c>
      <c r="Q724" s="31">
        <v>42753</v>
      </c>
      <c r="R724" s="3" t="s">
        <v>62</v>
      </c>
      <c r="S724" s="3" t="s">
        <v>2985</v>
      </c>
    </row>
    <row r="725" spans="1:19">
      <c r="A725" s="3" t="s">
        <v>865</v>
      </c>
      <c r="B725" s="31">
        <v>42753.738214849538</v>
      </c>
      <c r="C725" s="31">
        <v>42751.796527777777</v>
      </c>
      <c r="D725" s="3">
        <v>3035825558</v>
      </c>
      <c r="E725" s="3" t="s">
        <v>23</v>
      </c>
      <c r="F725" s="3" t="s">
        <v>183</v>
      </c>
      <c r="G725" s="3" t="s">
        <v>184</v>
      </c>
      <c r="H725" s="3" t="s">
        <v>183</v>
      </c>
      <c r="I725" s="3" t="s">
        <v>184</v>
      </c>
      <c r="J725" s="3" t="s">
        <v>69</v>
      </c>
      <c r="K725" s="3" t="s">
        <v>2976</v>
      </c>
      <c r="L725" s="3" t="s">
        <v>871</v>
      </c>
      <c r="M725" s="3" t="s">
        <v>84</v>
      </c>
      <c r="N725" s="3" t="s">
        <v>85</v>
      </c>
      <c r="O725" s="3" t="s">
        <v>233</v>
      </c>
      <c r="P725" s="3" t="s">
        <v>3090</v>
      </c>
      <c r="Q725" s="31">
        <v>42754</v>
      </c>
      <c r="R725" s="3" t="s">
        <v>62</v>
      </c>
      <c r="S725" s="3" t="s">
        <v>62</v>
      </c>
    </row>
    <row r="726" spans="1:19">
      <c r="A726" s="3" t="s">
        <v>873</v>
      </c>
      <c r="B726" s="31">
        <v>42753.738214849538</v>
      </c>
      <c r="C726" s="31">
        <v>42751.802083333336</v>
      </c>
      <c r="D726" s="3">
        <v>3035825773</v>
      </c>
      <c r="E726" s="3" t="s">
        <v>31</v>
      </c>
      <c r="F726" s="3" t="s">
        <v>223</v>
      </c>
      <c r="G726" s="3" t="s">
        <v>224</v>
      </c>
      <c r="H726" s="3" t="s">
        <v>223</v>
      </c>
      <c r="I726" s="3" t="s">
        <v>224</v>
      </c>
      <c r="J726" s="3" t="s">
        <v>58</v>
      </c>
      <c r="K726" s="3" t="s">
        <v>2977</v>
      </c>
      <c r="L726" s="3" t="s">
        <v>866</v>
      </c>
      <c r="M726" s="3" t="s">
        <v>59</v>
      </c>
      <c r="N726" s="3" t="s">
        <v>60</v>
      </c>
      <c r="O726" s="3" t="s">
        <v>147</v>
      </c>
      <c r="P726" s="3" t="s">
        <v>875</v>
      </c>
      <c r="Q726" s="31">
        <v>42752</v>
      </c>
      <c r="R726" s="3" t="s">
        <v>62</v>
      </c>
      <c r="S726" s="3" t="s">
        <v>92</v>
      </c>
    </row>
    <row r="727" spans="1:19">
      <c r="A727" s="3" t="s">
        <v>865</v>
      </c>
      <c r="B727" s="31">
        <v>42753.738214849538</v>
      </c>
      <c r="C727" s="31">
        <v>42751.808333333334</v>
      </c>
      <c r="D727" s="3">
        <v>3035826542</v>
      </c>
      <c r="E727" s="3" t="s">
        <v>23</v>
      </c>
      <c r="F727" s="3" t="s">
        <v>131</v>
      </c>
      <c r="G727" s="3" t="s">
        <v>132</v>
      </c>
      <c r="H727" s="3" t="s">
        <v>131</v>
      </c>
      <c r="I727" s="3" t="s">
        <v>132</v>
      </c>
      <c r="J727" s="3" t="s">
        <v>69</v>
      </c>
      <c r="K727" s="3" t="s">
        <v>2976</v>
      </c>
      <c r="L727" s="3" t="s">
        <v>871</v>
      </c>
      <c r="M727" s="3" t="s">
        <v>84</v>
      </c>
      <c r="N727" s="3" t="s">
        <v>85</v>
      </c>
      <c r="O727" s="3" t="s">
        <v>233</v>
      </c>
      <c r="P727" s="3" t="s">
        <v>3090</v>
      </c>
      <c r="Q727" s="31">
        <v>42754</v>
      </c>
      <c r="R727" s="3" t="s">
        <v>62</v>
      </c>
      <c r="S727" s="3" t="s">
        <v>62</v>
      </c>
    </row>
    <row r="728" spans="1:19">
      <c r="A728" s="3" t="s">
        <v>877</v>
      </c>
      <c r="B728" s="31">
        <v>42753.738214849538</v>
      </c>
      <c r="C728" s="31">
        <v>42751.851388888892</v>
      </c>
      <c r="D728" s="3">
        <v>3035519210</v>
      </c>
      <c r="E728" s="3" t="s">
        <v>23</v>
      </c>
      <c r="F728" s="3" t="s">
        <v>119</v>
      </c>
      <c r="G728" s="3" t="s">
        <v>120</v>
      </c>
      <c r="H728" s="3" t="s">
        <v>139</v>
      </c>
      <c r="I728" s="3" t="s">
        <v>140</v>
      </c>
      <c r="J728" s="3" t="s">
        <v>69</v>
      </c>
      <c r="K728" s="3" t="s">
        <v>2977</v>
      </c>
      <c r="L728" s="3" t="s">
        <v>866</v>
      </c>
      <c r="M728" s="3" t="s">
        <v>70</v>
      </c>
      <c r="N728" s="3" t="s">
        <v>71</v>
      </c>
      <c r="O728" s="3" t="s">
        <v>2984</v>
      </c>
      <c r="P728" s="3" t="s">
        <v>875</v>
      </c>
      <c r="Q728" s="31">
        <v>42752</v>
      </c>
      <c r="R728" s="3" t="s">
        <v>62</v>
      </c>
      <c r="S728" s="3" t="s">
        <v>529</v>
      </c>
    </row>
    <row r="729" spans="1:19">
      <c r="A729" s="3" t="s">
        <v>868</v>
      </c>
      <c r="B729" s="31">
        <v>42753.738214849538</v>
      </c>
      <c r="C729" s="31">
        <v>42751.893055555556</v>
      </c>
      <c r="D729" s="3">
        <v>3035830700</v>
      </c>
      <c r="E729" s="3" t="s">
        <v>23</v>
      </c>
      <c r="F729" s="3" t="s">
        <v>4001</v>
      </c>
      <c r="G729" s="3" t="s">
        <v>190</v>
      </c>
      <c r="H729" s="3" t="s">
        <v>4001</v>
      </c>
      <c r="I729" s="3" t="s">
        <v>190</v>
      </c>
      <c r="J729" s="3" t="s">
        <v>79</v>
      </c>
      <c r="K729" s="3" t="s">
        <v>2976</v>
      </c>
      <c r="L729" s="3" t="s">
        <v>866</v>
      </c>
      <c r="M729" s="3" t="s">
        <v>59</v>
      </c>
      <c r="N729" s="3" t="s">
        <v>60</v>
      </c>
      <c r="O729" s="3" t="s">
        <v>147</v>
      </c>
      <c r="P729" s="3" t="s">
        <v>3090</v>
      </c>
      <c r="Q729" s="31">
        <v>42754</v>
      </c>
      <c r="R729" s="3" t="s">
        <v>62</v>
      </c>
      <c r="S729" s="3" t="s">
        <v>62</v>
      </c>
    </row>
    <row r="730" spans="1:19">
      <c r="A730" s="3" t="s">
        <v>865</v>
      </c>
      <c r="B730" s="31">
        <v>42753.738214849538</v>
      </c>
      <c r="C730" s="31">
        <v>42751.912499999999</v>
      </c>
      <c r="D730" s="3">
        <v>3035831428</v>
      </c>
      <c r="E730" s="3" t="s">
        <v>23</v>
      </c>
      <c r="F730" s="3" t="s">
        <v>129</v>
      </c>
      <c r="G730" s="3" t="s">
        <v>130</v>
      </c>
      <c r="H730" s="3" t="s">
        <v>129</v>
      </c>
      <c r="I730" s="3" t="s">
        <v>130</v>
      </c>
      <c r="J730" s="3" t="s">
        <v>69</v>
      </c>
      <c r="K730" s="3" t="s">
        <v>2976</v>
      </c>
      <c r="L730" s="3" t="s">
        <v>866</v>
      </c>
      <c r="M730" s="3" t="s">
        <v>59</v>
      </c>
      <c r="N730" s="3" t="s">
        <v>60</v>
      </c>
      <c r="O730" s="3" t="s">
        <v>147</v>
      </c>
      <c r="P730" s="3" t="s">
        <v>875</v>
      </c>
      <c r="Q730" s="31">
        <v>42752</v>
      </c>
      <c r="R730" s="3" t="s">
        <v>62</v>
      </c>
      <c r="S730" s="3" t="s">
        <v>62</v>
      </c>
    </row>
    <row r="731" spans="1:19">
      <c r="A731" s="3" t="s">
        <v>865</v>
      </c>
      <c r="B731" s="31">
        <v>42754.737961145831</v>
      </c>
      <c r="C731" s="31">
        <v>42751.916666666664</v>
      </c>
      <c r="D731" s="3">
        <v>3035688623</v>
      </c>
      <c r="E731" s="3" t="s">
        <v>23</v>
      </c>
      <c r="F731" s="3" t="s">
        <v>119</v>
      </c>
      <c r="G731" s="3" t="s">
        <v>120</v>
      </c>
      <c r="H731" s="3" t="s">
        <v>139</v>
      </c>
      <c r="I731" s="3" t="s">
        <v>140</v>
      </c>
      <c r="J731" s="3" t="s">
        <v>58</v>
      </c>
      <c r="K731" s="3" t="s">
        <v>2977</v>
      </c>
      <c r="L731" s="3" t="s">
        <v>871</v>
      </c>
      <c r="M731" s="3" t="s">
        <v>84</v>
      </c>
      <c r="N731" s="3" t="s">
        <v>85</v>
      </c>
      <c r="O731" s="3" t="s">
        <v>233</v>
      </c>
      <c r="P731" s="3" t="s">
        <v>875</v>
      </c>
      <c r="Q731" s="31">
        <v>42753</v>
      </c>
      <c r="R731" s="3" t="s">
        <v>62</v>
      </c>
      <c r="S731" s="3" t="s">
        <v>529</v>
      </c>
    </row>
    <row r="732" spans="1:19">
      <c r="A732" s="3" t="s">
        <v>873</v>
      </c>
      <c r="B732" s="31">
        <v>42754.737961145831</v>
      </c>
      <c r="C732" s="31">
        <v>42752.406944444447</v>
      </c>
      <c r="D732" s="3">
        <v>3035844636</v>
      </c>
      <c r="E732" s="3" t="s">
        <v>9</v>
      </c>
      <c r="F732" s="3" t="s">
        <v>101</v>
      </c>
      <c r="G732" s="3" t="s">
        <v>102</v>
      </c>
      <c r="H732" s="3" t="s">
        <v>101</v>
      </c>
      <c r="I732" s="3" t="s">
        <v>102</v>
      </c>
      <c r="J732" s="3" t="s">
        <v>98</v>
      </c>
      <c r="K732" s="3" t="s">
        <v>2976</v>
      </c>
      <c r="L732" s="3" t="s">
        <v>866</v>
      </c>
      <c r="M732" s="3" t="s">
        <v>70</v>
      </c>
      <c r="N732" s="3" t="s">
        <v>75</v>
      </c>
      <c r="O732" s="3" t="s">
        <v>4222</v>
      </c>
      <c r="P732" s="3" t="s">
        <v>875</v>
      </c>
      <c r="Q732" s="31">
        <v>42753</v>
      </c>
      <c r="R732" s="3" t="s">
        <v>62</v>
      </c>
      <c r="S732" s="3" t="s">
        <v>62</v>
      </c>
    </row>
    <row r="733" spans="1:19">
      <c r="A733" s="3" t="s">
        <v>865</v>
      </c>
      <c r="B733" s="31">
        <v>42754.737961145831</v>
      </c>
      <c r="C733" s="31">
        <v>42752.411111111112</v>
      </c>
      <c r="D733" s="3">
        <v>3035809288</v>
      </c>
      <c r="E733" s="3" t="s">
        <v>273</v>
      </c>
      <c r="F733" s="3" t="s">
        <v>259</v>
      </c>
      <c r="G733" s="3" t="s">
        <v>260</v>
      </c>
      <c r="H733" s="3" t="s">
        <v>115</v>
      </c>
      <c r="I733" s="3" t="s">
        <v>116</v>
      </c>
      <c r="J733" s="3" t="s">
        <v>69</v>
      </c>
      <c r="K733" s="3" t="s">
        <v>2977</v>
      </c>
      <c r="L733" s="3" t="s">
        <v>866</v>
      </c>
      <c r="M733" s="3" t="s">
        <v>59</v>
      </c>
      <c r="N733" s="3" t="s">
        <v>60</v>
      </c>
      <c r="O733" s="3" t="s">
        <v>147</v>
      </c>
      <c r="P733" s="3" t="s">
        <v>875</v>
      </c>
      <c r="Q733" s="31">
        <v>42753</v>
      </c>
      <c r="R733" s="3" t="s">
        <v>62</v>
      </c>
      <c r="S733" s="3" t="s">
        <v>529</v>
      </c>
    </row>
    <row r="734" spans="1:19">
      <c r="A734" s="3" t="s">
        <v>873</v>
      </c>
      <c r="B734" s="31">
        <v>42754.737961145831</v>
      </c>
      <c r="C734" s="31">
        <v>42752.434027777781</v>
      </c>
      <c r="D734" s="3">
        <v>3035844632</v>
      </c>
      <c r="E734" s="3" t="s">
        <v>273</v>
      </c>
      <c r="F734" s="3" t="s">
        <v>263</v>
      </c>
      <c r="G734" s="3" t="s">
        <v>264</v>
      </c>
      <c r="H734" s="3" t="s">
        <v>263</v>
      </c>
      <c r="I734" s="3" t="s">
        <v>264</v>
      </c>
      <c r="J734" s="3" t="s">
        <v>98</v>
      </c>
      <c r="K734" s="3" t="s">
        <v>2977</v>
      </c>
      <c r="L734" s="3" t="s">
        <v>866</v>
      </c>
      <c r="M734" s="3" t="s">
        <v>59</v>
      </c>
      <c r="N734" s="3" t="s">
        <v>60</v>
      </c>
      <c r="O734" s="3" t="s">
        <v>147</v>
      </c>
      <c r="P734" s="3" t="s">
        <v>875</v>
      </c>
      <c r="Q734" s="31">
        <v>42753</v>
      </c>
      <c r="R734" s="3" t="s">
        <v>62</v>
      </c>
      <c r="S734" s="3" t="s">
        <v>2985</v>
      </c>
    </row>
    <row r="735" spans="1:19">
      <c r="A735" s="3" t="s">
        <v>865</v>
      </c>
      <c r="B735" s="31">
        <v>42754.737961145831</v>
      </c>
      <c r="C735" s="31">
        <v>42752.476388888892</v>
      </c>
      <c r="D735" s="3">
        <v>3035808973</v>
      </c>
      <c r="E735" s="3" t="s">
        <v>9</v>
      </c>
      <c r="F735" s="3" t="s">
        <v>158</v>
      </c>
      <c r="G735" s="3" t="s">
        <v>159</v>
      </c>
      <c r="H735" s="3" t="s">
        <v>82</v>
      </c>
      <c r="I735" s="3" t="s">
        <v>83</v>
      </c>
      <c r="J735" s="3" t="s">
        <v>69</v>
      </c>
      <c r="K735" s="3" t="s">
        <v>2976</v>
      </c>
      <c r="L735" s="3" t="s">
        <v>866</v>
      </c>
      <c r="M735" s="3" t="s">
        <v>70</v>
      </c>
      <c r="N735" s="3" t="s">
        <v>71</v>
      </c>
      <c r="O735" s="3" t="s">
        <v>4223</v>
      </c>
      <c r="P735" s="3" t="s">
        <v>875</v>
      </c>
      <c r="Q735" s="31">
        <v>42753</v>
      </c>
      <c r="R735" s="3" t="s">
        <v>62</v>
      </c>
      <c r="S735" s="3" t="s">
        <v>62</v>
      </c>
    </row>
    <row r="736" spans="1:19">
      <c r="A736" s="3" t="s">
        <v>865</v>
      </c>
      <c r="B736" s="31">
        <v>42754.737961145831</v>
      </c>
      <c r="C736" s="31">
        <v>42752.486805555556</v>
      </c>
      <c r="D736" s="3">
        <v>3035846701</v>
      </c>
      <c r="E736" s="3" t="s">
        <v>9</v>
      </c>
      <c r="F736" s="3" t="s">
        <v>56</v>
      </c>
      <c r="G736" s="3" t="s">
        <v>57</v>
      </c>
      <c r="H736" s="3" t="s">
        <v>56</v>
      </c>
      <c r="I736" s="3" t="s">
        <v>57</v>
      </c>
      <c r="J736" s="3" t="s">
        <v>69</v>
      </c>
      <c r="K736" s="3" t="s">
        <v>2976</v>
      </c>
      <c r="L736" s="3" t="s">
        <v>866</v>
      </c>
      <c r="M736" s="3" t="s">
        <v>59</v>
      </c>
      <c r="N736" s="3" t="s">
        <v>60</v>
      </c>
      <c r="O736" s="3" t="s">
        <v>147</v>
      </c>
      <c r="P736" s="3" t="s">
        <v>875</v>
      </c>
      <c r="Q736" s="31">
        <v>42753</v>
      </c>
      <c r="R736" s="3" t="s">
        <v>62</v>
      </c>
      <c r="S736" s="3" t="s">
        <v>62</v>
      </c>
    </row>
    <row r="737" spans="1:19">
      <c r="A737" s="3" t="s">
        <v>865</v>
      </c>
      <c r="B737" s="31">
        <v>42754.737961145831</v>
      </c>
      <c r="C737" s="31">
        <v>42752.486805555556</v>
      </c>
      <c r="D737" s="3">
        <v>3035846729</v>
      </c>
      <c r="E737" s="3" t="s">
        <v>23</v>
      </c>
      <c r="F737" s="3" t="s">
        <v>183</v>
      </c>
      <c r="G737" s="3" t="s">
        <v>184</v>
      </c>
      <c r="H737" s="3" t="s">
        <v>183</v>
      </c>
      <c r="I737" s="3" t="s">
        <v>184</v>
      </c>
      <c r="J737" s="3" t="s">
        <v>69</v>
      </c>
      <c r="K737" s="3" t="s">
        <v>2976</v>
      </c>
      <c r="L737" s="3" t="s">
        <v>866</v>
      </c>
      <c r="M737" s="3" t="s">
        <v>59</v>
      </c>
      <c r="N737" s="3" t="s">
        <v>60</v>
      </c>
      <c r="O737" s="3" t="s">
        <v>147</v>
      </c>
      <c r="P737" s="3" t="s">
        <v>875</v>
      </c>
      <c r="Q737" s="31">
        <v>42753</v>
      </c>
      <c r="R737" s="3" t="s">
        <v>62</v>
      </c>
      <c r="S737" s="3" t="s">
        <v>62</v>
      </c>
    </row>
    <row r="738" spans="1:19">
      <c r="A738" s="3" t="s">
        <v>865</v>
      </c>
      <c r="B738" s="31">
        <v>42754.737961145831</v>
      </c>
      <c r="C738" s="31">
        <v>42752.495138888888</v>
      </c>
      <c r="D738" s="3">
        <v>3035823144</v>
      </c>
      <c r="E738" s="3" t="s">
        <v>273</v>
      </c>
      <c r="F738" s="3" t="s">
        <v>263</v>
      </c>
      <c r="G738" s="3" t="s">
        <v>264</v>
      </c>
      <c r="H738" s="3" t="s">
        <v>115</v>
      </c>
      <c r="I738" s="3" t="s">
        <v>116</v>
      </c>
      <c r="J738" s="3" t="s">
        <v>144</v>
      </c>
      <c r="K738" s="3" t="s">
        <v>2977</v>
      </c>
      <c r="L738" s="3" t="s">
        <v>866</v>
      </c>
      <c r="M738" s="3" t="s">
        <v>70</v>
      </c>
      <c r="N738" s="3" t="s">
        <v>71</v>
      </c>
      <c r="O738" s="3" t="s">
        <v>913</v>
      </c>
      <c r="P738" s="3" t="s">
        <v>875</v>
      </c>
      <c r="Q738" s="31">
        <v>42753</v>
      </c>
      <c r="R738" s="3" t="s">
        <v>62</v>
      </c>
      <c r="S738" s="3" t="s">
        <v>529</v>
      </c>
    </row>
    <row r="739" spans="1:19">
      <c r="A739" s="3" t="s">
        <v>865</v>
      </c>
      <c r="B739" s="31">
        <v>42754.737961145831</v>
      </c>
      <c r="C739" s="31">
        <v>42752.560416666667</v>
      </c>
      <c r="D739" s="3">
        <v>3035828533</v>
      </c>
      <c r="E739" s="3" t="s">
        <v>2978</v>
      </c>
      <c r="F739" s="3" t="s">
        <v>256</v>
      </c>
      <c r="G739" s="3" t="s">
        <v>879</v>
      </c>
      <c r="H739" s="3" t="s">
        <v>142</v>
      </c>
      <c r="I739" s="3" t="s">
        <v>143</v>
      </c>
      <c r="J739" s="3" t="s">
        <v>69</v>
      </c>
      <c r="K739" s="3" t="s">
        <v>2977</v>
      </c>
      <c r="L739" s="3" t="s">
        <v>866</v>
      </c>
      <c r="M739" s="3" t="s">
        <v>59</v>
      </c>
      <c r="N739" s="3" t="s">
        <v>60</v>
      </c>
      <c r="O739" s="3" t="s">
        <v>147</v>
      </c>
      <c r="P739" s="3" t="s">
        <v>875</v>
      </c>
      <c r="Q739" s="31">
        <v>42753</v>
      </c>
      <c r="R739" s="3" t="s">
        <v>62</v>
      </c>
      <c r="S739" s="3" t="s">
        <v>1355</v>
      </c>
    </row>
    <row r="740" spans="1:19">
      <c r="A740" s="3" t="s">
        <v>865</v>
      </c>
      <c r="B740" s="31">
        <v>42754.737961145831</v>
      </c>
      <c r="C740" s="31">
        <v>42752.561111111114</v>
      </c>
      <c r="D740" s="3">
        <v>3035850121</v>
      </c>
      <c r="E740" s="3" t="s">
        <v>39</v>
      </c>
      <c r="F740" s="3" t="s">
        <v>248</v>
      </c>
      <c r="G740" s="3" t="s">
        <v>249</v>
      </c>
      <c r="H740" s="3" t="s">
        <v>248</v>
      </c>
      <c r="I740" s="3" t="s">
        <v>249</v>
      </c>
      <c r="J740" s="3" t="s">
        <v>69</v>
      </c>
      <c r="K740" s="3" t="s">
        <v>2977</v>
      </c>
      <c r="L740" s="3" t="s">
        <v>866</v>
      </c>
      <c r="M740" s="3" t="s">
        <v>59</v>
      </c>
      <c r="N740" s="3" t="s">
        <v>60</v>
      </c>
      <c r="O740" s="3" t="s">
        <v>147</v>
      </c>
      <c r="P740" s="3" t="s">
        <v>875</v>
      </c>
      <c r="Q740" s="31">
        <v>42753</v>
      </c>
      <c r="R740" s="3" t="s">
        <v>62</v>
      </c>
      <c r="S740" s="3" t="s">
        <v>92</v>
      </c>
    </row>
    <row r="741" spans="1:19">
      <c r="A741" s="3" t="s">
        <v>865</v>
      </c>
      <c r="B741" s="31">
        <v>42754.737961145831</v>
      </c>
      <c r="C741" s="31">
        <v>42752.5625</v>
      </c>
      <c r="D741" s="3">
        <v>3035850165</v>
      </c>
      <c r="E741" s="3" t="s">
        <v>23</v>
      </c>
      <c r="F741" s="3" t="s">
        <v>135</v>
      </c>
      <c r="G741" s="3" t="s">
        <v>136</v>
      </c>
      <c r="H741" s="3" t="s">
        <v>135</v>
      </c>
      <c r="I741" s="3" t="s">
        <v>136</v>
      </c>
      <c r="J741" s="3" t="s">
        <v>69</v>
      </c>
      <c r="K741" s="3" t="s">
        <v>2976</v>
      </c>
      <c r="L741" s="3" t="s">
        <v>866</v>
      </c>
      <c r="M741" s="3" t="s">
        <v>59</v>
      </c>
      <c r="N741" s="3" t="s">
        <v>60</v>
      </c>
      <c r="O741" s="3" t="s">
        <v>147</v>
      </c>
      <c r="P741" s="3" t="s">
        <v>875</v>
      </c>
      <c r="Q741" s="31">
        <v>42753</v>
      </c>
      <c r="R741" s="3" t="s">
        <v>62</v>
      </c>
      <c r="S741" s="3" t="s">
        <v>62</v>
      </c>
    </row>
    <row r="742" spans="1:19">
      <c r="A742" s="3" t="s">
        <v>865</v>
      </c>
      <c r="B742" s="31">
        <v>42754.737961145831</v>
      </c>
      <c r="C742" s="31">
        <v>42752.590277777781</v>
      </c>
      <c r="D742" s="3">
        <v>3035851757</v>
      </c>
      <c r="E742" s="3" t="s">
        <v>23</v>
      </c>
      <c r="F742" s="3" t="s">
        <v>4001</v>
      </c>
      <c r="G742" s="3" t="s">
        <v>190</v>
      </c>
      <c r="H742" s="3" t="s">
        <v>4001</v>
      </c>
      <c r="I742" s="3" t="s">
        <v>190</v>
      </c>
      <c r="J742" s="3" t="s">
        <v>58</v>
      </c>
      <c r="K742" s="3" t="s">
        <v>2976</v>
      </c>
      <c r="L742" s="3" t="s">
        <v>866</v>
      </c>
      <c r="M742" s="3" t="s">
        <v>70</v>
      </c>
      <c r="N742" s="3" t="s">
        <v>75</v>
      </c>
      <c r="O742" s="3" t="s">
        <v>4224</v>
      </c>
      <c r="P742" s="3" t="s">
        <v>875</v>
      </c>
      <c r="Q742" s="31">
        <v>42753</v>
      </c>
      <c r="R742" s="3" t="s">
        <v>62</v>
      </c>
      <c r="S742" s="3" t="s">
        <v>62</v>
      </c>
    </row>
    <row r="743" spans="1:19">
      <c r="A743" s="3" t="s">
        <v>865</v>
      </c>
      <c r="B743" s="31">
        <v>42754.737961145831</v>
      </c>
      <c r="C743" s="31">
        <v>42752.597222222219</v>
      </c>
      <c r="D743" s="3">
        <v>3035851846</v>
      </c>
      <c r="E743" s="3" t="s">
        <v>9</v>
      </c>
      <c r="F743" s="3" t="s">
        <v>101</v>
      </c>
      <c r="G743" s="3" t="s">
        <v>102</v>
      </c>
      <c r="H743" s="3" t="s">
        <v>101</v>
      </c>
      <c r="I743" s="3" t="s">
        <v>102</v>
      </c>
      <c r="J743" s="3" t="s">
        <v>58</v>
      </c>
      <c r="K743" s="3" t="s">
        <v>2976</v>
      </c>
      <c r="L743" s="3" t="s">
        <v>866</v>
      </c>
      <c r="M743" s="3" t="s">
        <v>70</v>
      </c>
      <c r="N743" s="3" t="s">
        <v>85</v>
      </c>
      <c r="O743" s="3" t="s">
        <v>4225</v>
      </c>
      <c r="P743" s="3" t="s">
        <v>875</v>
      </c>
      <c r="Q743" s="31">
        <v>42753</v>
      </c>
      <c r="R743" s="3" t="s">
        <v>62</v>
      </c>
      <c r="S743" s="3" t="s">
        <v>62</v>
      </c>
    </row>
    <row r="744" spans="1:19">
      <c r="A744" s="3" t="s">
        <v>865</v>
      </c>
      <c r="B744" s="31">
        <v>42754.737961145831</v>
      </c>
      <c r="C744" s="31">
        <v>42752.615972222222</v>
      </c>
      <c r="D744" s="3">
        <v>3035849689</v>
      </c>
      <c r="E744" s="3" t="s">
        <v>23</v>
      </c>
      <c r="F744" s="3" t="s">
        <v>183</v>
      </c>
      <c r="G744" s="3" t="s">
        <v>184</v>
      </c>
      <c r="H744" s="3" t="s">
        <v>67</v>
      </c>
      <c r="I744" s="3" t="s">
        <v>68</v>
      </c>
      <c r="J744" s="3" t="s">
        <v>69</v>
      </c>
      <c r="K744" s="3" t="s">
        <v>2976</v>
      </c>
      <c r="L744" s="3" t="s">
        <v>866</v>
      </c>
      <c r="M744" s="3" t="s">
        <v>70</v>
      </c>
      <c r="N744" s="3" t="s">
        <v>71</v>
      </c>
      <c r="O744" s="3" t="s">
        <v>4226</v>
      </c>
      <c r="P744" s="3" t="s">
        <v>875</v>
      </c>
      <c r="Q744" s="31">
        <v>42753</v>
      </c>
      <c r="R744" s="3" t="s">
        <v>62</v>
      </c>
      <c r="S744" s="3" t="s">
        <v>62</v>
      </c>
    </row>
    <row r="745" spans="1:19">
      <c r="A745" s="3" t="s">
        <v>865</v>
      </c>
      <c r="B745" s="31">
        <v>42754.737988923611</v>
      </c>
      <c r="C745" s="31">
        <v>42752.42083333333</v>
      </c>
      <c r="D745" s="3">
        <v>3035603702</v>
      </c>
      <c r="E745" s="3" t="s">
        <v>31</v>
      </c>
      <c r="F745" s="3" t="s">
        <v>202</v>
      </c>
      <c r="G745" s="3" t="s">
        <v>203</v>
      </c>
      <c r="H745" s="3" t="s">
        <v>883</v>
      </c>
      <c r="I745" s="3" t="s">
        <v>96</v>
      </c>
      <c r="J745" s="3" t="s">
        <v>69</v>
      </c>
      <c r="K745" s="3" t="s">
        <v>2977</v>
      </c>
      <c r="L745" s="3" t="s">
        <v>871</v>
      </c>
      <c r="M745" s="3" t="s">
        <v>65</v>
      </c>
      <c r="N745" s="3" t="s">
        <v>66</v>
      </c>
      <c r="O745" s="3" t="s">
        <v>880</v>
      </c>
      <c r="P745" s="3" t="s">
        <v>875</v>
      </c>
      <c r="Q745" s="31">
        <v>42753</v>
      </c>
      <c r="R745" s="3" t="s">
        <v>62</v>
      </c>
      <c r="S745" s="3" t="s">
        <v>65</v>
      </c>
    </row>
    <row r="746" spans="1:19">
      <c r="A746" s="3" t="s">
        <v>873</v>
      </c>
      <c r="B746" s="31">
        <v>42754.737961145831</v>
      </c>
      <c r="C746" s="31">
        <v>42752.432638888888</v>
      </c>
      <c r="D746" s="3">
        <v>3035809450</v>
      </c>
      <c r="E746" s="3" t="s">
        <v>31</v>
      </c>
      <c r="F746" s="3" t="s">
        <v>202</v>
      </c>
      <c r="G746" s="3" t="s">
        <v>203</v>
      </c>
      <c r="H746" s="3" t="s">
        <v>209</v>
      </c>
      <c r="I746" s="3" t="s">
        <v>210</v>
      </c>
      <c r="J746" s="3" t="s">
        <v>98</v>
      </c>
      <c r="K746" s="3" t="s">
        <v>2977</v>
      </c>
      <c r="L746" s="3" t="s">
        <v>871</v>
      </c>
      <c r="M746" s="3" t="s">
        <v>84</v>
      </c>
      <c r="N746" s="3" t="s">
        <v>85</v>
      </c>
      <c r="O746" s="3" t="s">
        <v>4252</v>
      </c>
      <c r="P746" s="3" t="s">
        <v>872</v>
      </c>
      <c r="Q746" s="31">
        <v>42753</v>
      </c>
      <c r="R746" s="3" t="s">
        <v>62</v>
      </c>
      <c r="S746" s="3" t="s">
        <v>529</v>
      </c>
    </row>
    <row r="747" spans="1:19">
      <c r="A747" s="3" t="s">
        <v>873</v>
      </c>
      <c r="B747" s="31">
        <v>42754.737961145831</v>
      </c>
      <c r="C747" s="31">
        <v>42752.45</v>
      </c>
      <c r="D747" s="3">
        <v>3035845700</v>
      </c>
      <c r="E747" s="3" t="s">
        <v>23</v>
      </c>
      <c r="F747" s="3" t="s">
        <v>160</v>
      </c>
      <c r="G747" s="3" t="s">
        <v>161</v>
      </c>
      <c r="H747" s="3" t="s">
        <v>160</v>
      </c>
      <c r="I747" s="3" t="s">
        <v>161</v>
      </c>
      <c r="J747" s="3" t="s">
        <v>69</v>
      </c>
      <c r="K747" s="3" t="s">
        <v>2976</v>
      </c>
      <c r="L747" s="3" t="s">
        <v>871</v>
      </c>
      <c r="M747" s="3" t="s">
        <v>84</v>
      </c>
      <c r="N747" s="3" t="s">
        <v>85</v>
      </c>
      <c r="O747" s="3" t="s">
        <v>3625</v>
      </c>
      <c r="P747" s="3" t="s">
        <v>872</v>
      </c>
      <c r="Q747" s="31">
        <v>42753</v>
      </c>
      <c r="R747" s="3" t="s">
        <v>62</v>
      </c>
      <c r="S747" s="3" t="s">
        <v>62</v>
      </c>
    </row>
    <row r="748" spans="1:19">
      <c r="A748" s="3" t="s">
        <v>865</v>
      </c>
      <c r="B748" s="31">
        <v>42754.737961145831</v>
      </c>
      <c r="C748" s="31">
        <v>42752.477083333331</v>
      </c>
      <c r="D748" s="3">
        <v>3035846403</v>
      </c>
      <c r="E748" s="3" t="s">
        <v>9</v>
      </c>
      <c r="F748" s="3" t="s">
        <v>109</v>
      </c>
      <c r="G748" s="3" t="s">
        <v>110</v>
      </c>
      <c r="H748" s="3" t="s">
        <v>109</v>
      </c>
      <c r="I748" s="3" t="s">
        <v>110</v>
      </c>
      <c r="J748" s="3" t="s">
        <v>69</v>
      </c>
      <c r="K748" s="3" t="s">
        <v>2976</v>
      </c>
      <c r="L748" s="3" t="s">
        <v>871</v>
      </c>
      <c r="M748" s="3" t="s">
        <v>84</v>
      </c>
      <c r="N748" s="3" t="s">
        <v>85</v>
      </c>
      <c r="O748" s="3" t="s">
        <v>4227</v>
      </c>
      <c r="P748" s="3" t="s">
        <v>875</v>
      </c>
      <c r="Q748" s="31">
        <v>42753</v>
      </c>
      <c r="R748" s="3" t="s">
        <v>62</v>
      </c>
      <c r="S748" s="3" t="s">
        <v>62</v>
      </c>
    </row>
    <row r="749" spans="1:19">
      <c r="A749" s="3" t="s">
        <v>877</v>
      </c>
      <c r="B749" s="31">
        <v>42754.737961145831</v>
      </c>
      <c r="C749" s="31">
        <v>42752.488888888889</v>
      </c>
      <c r="D749" s="3">
        <v>3035846763</v>
      </c>
      <c r="E749" s="3" t="s">
        <v>31</v>
      </c>
      <c r="F749" s="3" t="s">
        <v>202</v>
      </c>
      <c r="G749" s="3" t="s">
        <v>203</v>
      </c>
      <c r="H749" s="3" t="s">
        <v>202</v>
      </c>
      <c r="I749" s="3" t="s">
        <v>203</v>
      </c>
      <c r="J749" s="3" t="s">
        <v>69</v>
      </c>
      <c r="K749" s="3" t="s">
        <v>2976</v>
      </c>
      <c r="L749" s="3" t="s">
        <v>871</v>
      </c>
      <c r="M749" s="3" t="s">
        <v>84</v>
      </c>
      <c r="N749" s="3" t="s">
        <v>85</v>
      </c>
      <c r="O749" s="3" t="s">
        <v>233</v>
      </c>
      <c r="P749" s="3" t="s">
        <v>872</v>
      </c>
      <c r="Q749" s="31">
        <v>42753</v>
      </c>
      <c r="R749" s="3" t="s">
        <v>62</v>
      </c>
      <c r="S749" s="3" t="s">
        <v>62</v>
      </c>
    </row>
    <row r="750" spans="1:19">
      <c r="A750" s="3" t="s">
        <v>865</v>
      </c>
      <c r="B750" s="31">
        <v>42754.737961145831</v>
      </c>
      <c r="C750" s="31">
        <v>42752.489583333336</v>
      </c>
      <c r="D750" s="3">
        <v>3035846849</v>
      </c>
      <c r="E750" s="3" t="s">
        <v>23</v>
      </c>
      <c r="F750" s="3" t="s">
        <v>160</v>
      </c>
      <c r="G750" s="3" t="s">
        <v>161</v>
      </c>
      <c r="H750" s="3" t="s">
        <v>160</v>
      </c>
      <c r="I750" s="3" t="s">
        <v>161</v>
      </c>
      <c r="J750" s="3" t="s">
        <v>69</v>
      </c>
      <c r="K750" s="3" t="s">
        <v>2976</v>
      </c>
      <c r="L750" s="3" t="s">
        <v>871</v>
      </c>
      <c r="M750" s="3" t="s">
        <v>84</v>
      </c>
      <c r="N750" s="3" t="s">
        <v>85</v>
      </c>
      <c r="O750" s="3" t="s">
        <v>233</v>
      </c>
      <c r="P750" s="3" t="s">
        <v>872</v>
      </c>
      <c r="Q750" s="31">
        <v>42753</v>
      </c>
      <c r="R750" s="3" t="s">
        <v>62</v>
      </c>
      <c r="S750" s="3" t="s">
        <v>62</v>
      </c>
    </row>
    <row r="751" spans="1:19">
      <c r="A751" s="3" t="e">
        <v>#N/A</v>
      </c>
      <c r="B751" s="31" t="e">
        <v>#N/A</v>
      </c>
      <c r="C751" s="31">
        <v>42752.513194444444</v>
      </c>
      <c r="D751" s="3">
        <v>3035071959</v>
      </c>
      <c r="E751" s="3" t="s">
        <v>273</v>
      </c>
      <c r="F751" s="3" t="s">
        <v>141</v>
      </c>
      <c r="G751" s="3" t="s">
        <v>560</v>
      </c>
      <c r="H751" s="3" t="s">
        <v>63</v>
      </c>
      <c r="I751" s="3" t="s">
        <v>64</v>
      </c>
      <c r="J751" s="3" t="s">
        <v>98</v>
      </c>
      <c r="K751" s="3" t="s">
        <v>2977</v>
      </c>
      <c r="L751" s="3" t="s">
        <v>871</v>
      </c>
      <c r="M751" s="3" t="s">
        <v>65</v>
      </c>
      <c r="N751" s="3" t="s">
        <v>66</v>
      </c>
      <c r="O751" s="3" t="s">
        <v>880</v>
      </c>
      <c r="P751" s="3" t="s">
        <v>875</v>
      </c>
      <c r="Q751" s="31">
        <v>42753</v>
      </c>
      <c r="R751" s="3" t="s">
        <v>62</v>
      </c>
      <c r="S751" s="3" t="s">
        <v>65</v>
      </c>
    </row>
    <row r="752" spans="1:19">
      <c r="A752" s="3" t="s">
        <v>865</v>
      </c>
      <c r="B752" s="31">
        <v>42754.737961145831</v>
      </c>
      <c r="C752" s="31">
        <v>42752.520138888889</v>
      </c>
      <c r="D752" s="3">
        <v>3035812487</v>
      </c>
      <c r="E752" s="3" t="s">
        <v>31</v>
      </c>
      <c r="F752" s="3" t="s">
        <v>202</v>
      </c>
      <c r="G752" s="3" t="s">
        <v>203</v>
      </c>
      <c r="H752" s="3" t="s">
        <v>209</v>
      </c>
      <c r="I752" s="3" t="s">
        <v>210</v>
      </c>
      <c r="J752" s="3" t="s">
        <v>97</v>
      </c>
      <c r="K752" s="3" t="s">
        <v>2977</v>
      </c>
      <c r="L752" s="3" t="s">
        <v>866</v>
      </c>
      <c r="M752" s="3" t="s">
        <v>70</v>
      </c>
      <c r="N752" s="3" t="s">
        <v>71</v>
      </c>
      <c r="O752" s="3" t="s">
        <v>3067</v>
      </c>
      <c r="P752" s="3" t="s">
        <v>872</v>
      </c>
      <c r="Q752" s="31">
        <v>42753</v>
      </c>
      <c r="R752" s="3" t="s">
        <v>62</v>
      </c>
      <c r="S752" s="3" t="s">
        <v>529</v>
      </c>
    </row>
    <row r="753" spans="1:19">
      <c r="A753" s="3" t="e">
        <v>#N/A</v>
      </c>
      <c r="B753" s="31" t="e">
        <v>#N/A</v>
      </c>
      <c r="C753" s="31">
        <v>42752.523611111108</v>
      </c>
      <c r="D753" s="3">
        <v>3034295820</v>
      </c>
      <c r="E753" s="3" t="s">
        <v>23</v>
      </c>
      <c r="F753" s="3" t="s">
        <v>198</v>
      </c>
      <c r="G753" s="3" t="s">
        <v>199</v>
      </c>
      <c r="H753" s="3" t="s">
        <v>103</v>
      </c>
      <c r="I753" s="3" t="s">
        <v>104</v>
      </c>
      <c r="J753" s="3" t="s">
        <v>58</v>
      </c>
      <c r="K753" s="3" t="s">
        <v>2977</v>
      </c>
      <c r="L753" s="3" t="s">
        <v>871</v>
      </c>
      <c r="M753" s="3" t="s">
        <v>65</v>
      </c>
      <c r="N753" s="3" t="s">
        <v>66</v>
      </c>
      <c r="O753" s="3" t="s">
        <v>880</v>
      </c>
      <c r="P753" s="3" t="s">
        <v>875</v>
      </c>
      <c r="Q753" s="31">
        <v>42753</v>
      </c>
      <c r="R753" s="3" t="s">
        <v>62</v>
      </c>
      <c r="S753" s="3" t="s">
        <v>65</v>
      </c>
    </row>
    <row r="754" spans="1:19">
      <c r="A754" s="3" t="e">
        <v>#N/A</v>
      </c>
      <c r="B754" s="31" t="e">
        <v>#N/A</v>
      </c>
      <c r="C754" s="31">
        <v>42752.538888888892</v>
      </c>
      <c r="D754" s="3">
        <v>3033794367</v>
      </c>
      <c r="E754" s="3" t="s">
        <v>2978</v>
      </c>
      <c r="F754" s="3" t="s">
        <v>256</v>
      </c>
      <c r="G754" s="3" t="s">
        <v>879</v>
      </c>
      <c r="H754" s="3" t="s">
        <v>113</v>
      </c>
      <c r="I754" s="3" t="s">
        <v>114</v>
      </c>
      <c r="J754" s="3" t="s">
        <v>97</v>
      </c>
      <c r="K754" s="3" t="s">
        <v>2976</v>
      </c>
      <c r="L754" s="3" t="s">
        <v>871</v>
      </c>
      <c r="M754" s="3" t="s">
        <v>84</v>
      </c>
      <c r="N754" s="3" t="s">
        <v>85</v>
      </c>
      <c r="O754" s="3" t="s">
        <v>233</v>
      </c>
      <c r="P754" s="3" t="s">
        <v>872</v>
      </c>
      <c r="Q754" s="31">
        <v>42753</v>
      </c>
      <c r="R754" s="3" t="s">
        <v>62</v>
      </c>
      <c r="S754" s="3" t="s">
        <v>62</v>
      </c>
    </row>
    <row r="755" spans="1:19">
      <c r="A755" s="3" t="s">
        <v>865</v>
      </c>
      <c r="B755" s="31">
        <v>42754.737961145831</v>
      </c>
      <c r="C755" s="31">
        <v>42752.54583333333</v>
      </c>
      <c r="D755" s="3">
        <v>3035849366</v>
      </c>
      <c r="E755" s="3" t="s">
        <v>9</v>
      </c>
      <c r="F755" s="3" t="s">
        <v>109</v>
      </c>
      <c r="G755" s="3" t="s">
        <v>110</v>
      </c>
      <c r="H755" s="3" t="s">
        <v>109</v>
      </c>
      <c r="I755" s="3" t="s">
        <v>110</v>
      </c>
      <c r="J755" s="3" t="s">
        <v>69</v>
      </c>
      <c r="K755" s="3" t="s">
        <v>2976</v>
      </c>
      <c r="L755" s="3" t="s">
        <v>871</v>
      </c>
      <c r="M755" s="3" t="s">
        <v>84</v>
      </c>
      <c r="N755" s="3" t="s">
        <v>85</v>
      </c>
      <c r="O755" s="3" t="s">
        <v>233</v>
      </c>
      <c r="P755" s="3" t="s">
        <v>872</v>
      </c>
      <c r="Q755" s="31">
        <v>42753</v>
      </c>
      <c r="R755" s="3" t="s">
        <v>62</v>
      </c>
      <c r="S755" s="3" t="s">
        <v>62</v>
      </c>
    </row>
    <row r="756" spans="1:19">
      <c r="A756" s="3" t="s">
        <v>865</v>
      </c>
      <c r="B756" s="31">
        <v>42754.737961145831</v>
      </c>
      <c r="C756" s="31">
        <v>42752.54791666667</v>
      </c>
      <c r="D756" s="3">
        <v>3035848455</v>
      </c>
      <c r="E756" s="3" t="s">
        <v>23</v>
      </c>
      <c r="F756" s="3" t="s">
        <v>154</v>
      </c>
      <c r="G756" s="3" t="s">
        <v>155</v>
      </c>
      <c r="H756" s="3" t="s">
        <v>154</v>
      </c>
      <c r="I756" s="3" t="s">
        <v>155</v>
      </c>
      <c r="J756" s="3" t="s">
        <v>97</v>
      </c>
      <c r="K756" s="3" t="s">
        <v>2976</v>
      </c>
      <c r="L756" s="3" t="s">
        <v>871</v>
      </c>
      <c r="M756" s="3" t="s">
        <v>84</v>
      </c>
      <c r="N756" s="3" t="s">
        <v>85</v>
      </c>
      <c r="O756" s="3" t="s">
        <v>4228</v>
      </c>
      <c r="P756" s="3" t="s">
        <v>872</v>
      </c>
      <c r="Q756" s="31">
        <v>42753</v>
      </c>
      <c r="R756" s="3" t="s">
        <v>62</v>
      </c>
      <c r="S756" s="3" t="s">
        <v>62</v>
      </c>
    </row>
    <row r="757" spans="1:19">
      <c r="A757" s="3" t="s">
        <v>865</v>
      </c>
      <c r="B757" s="31">
        <v>42754.737961145831</v>
      </c>
      <c r="C757" s="31">
        <v>42752.548611111109</v>
      </c>
      <c r="D757" s="3">
        <v>3035752729</v>
      </c>
      <c r="E757" s="3" t="s">
        <v>2978</v>
      </c>
      <c r="F757" s="3" t="s">
        <v>256</v>
      </c>
      <c r="G757" s="3" t="s">
        <v>879</v>
      </c>
      <c r="H757" s="3" t="s">
        <v>142</v>
      </c>
      <c r="I757" s="3" t="s">
        <v>143</v>
      </c>
      <c r="J757" s="3" t="s">
        <v>69</v>
      </c>
      <c r="K757" s="3" t="s">
        <v>2977</v>
      </c>
      <c r="L757" s="3" t="s">
        <v>866</v>
      </c>
      <c r="M757" s="3" t="s">
        <v>59</v>
      </c>
      <c r="N757" s="3" t="s">
        <v>60</v>
      </c>
      <c r="O757" s="3" t="s">
        <v>147</v>
      </c>
      <c r="P757" s="3" t="s">
        <v>872</v>
      </c>
      <c r="Q757" s="31">
        <v>42753</v>
      </c>
      <c r="R757" s="3" t="s">
        <v>62</v>
      </c>
      <c r="S757" s="3" t="s">
        <v>1355</v>
      </c>
    </row>
    <row r="758" spans="1:19">
      <c r="A758" s="3" t="s">
        <v>865</v>
      </c>
      <c r="B758" s="31">
        <v>42754.737961145831</v>
      </c>
      <c r="C758" s="31">
        <v>42752.567361111112</v>
      </c>
      <c r="D758" s="3">
        <v>3035812169</v>
      </c>
      <c r="E758" s="3" t="s">
        <v>273</v>
      </c>
      <c r="F758" s="3" t="s">
        <v>253</v>
      </c>
      <c r="G758" s="3" t="s">
        <v>254</v>
      </c>
      <c r="H758" s="3" t="s">
        <v>115</v>
      </c>
      <c r="I758" s="3" t="s">
        <v>116</v>
      </c>
      <c r="J758" s="3" t="s">
        <v>97</v>
      </c>
      <c r="K758" s="3" t="s">
        <v>2977</v>
      </c>
      <c r="L758" s="3" t="s">
        <v>871</v>
      </c>
      <c r="M758" s="3" t="s">
        <v>84</v>
      </c>
      <c r="N758" s="3" t="s">
        <v>85</v>
      </c>
      <c r="O758" s="3" t="s">
        <v>4253</v>
      </c>
      <c r="P758" s="3" t="s">
        <v>872</v>
      </c>
      <c r="Q758" s="31">
        <v>42753</v>
      </c>
      <c r="R758" s="3" t="s">
        <v>62</v>
      </c>
      <c r="S758" s="3" t="s">
        <v>529</v>
      </c>
    </row>
    <row r="759" spans="1:19">
      <c r="A759" s="3" t="s">
        <v>865</v>
      </c>
      <c r="B759" s="31">
        <v>42754.737961145831</v>
      </c>
      <c r="C759" s="31">
        <v>42752.570833333331</v>
      </c>
      <c r="D759" s="3">
        <v>3035850733</v>
      </c>
      <c r="E759" s="3" t="s">
        <v>23</v>
      </c>
      <c r="F759" s="3" t="s">
        <v>160</v>
      </c>
      <c r="G759" s="3" t="s">
        <v>161</v>
      </c>
      <c r="H759" s="3" t="s">
        <v>160</v>
      </c>
      <c r="I759" s="3" t="s">
        <v>161</v>
      </c>
      <c r="J759" s="3" t="s">
        <v>69</v>
      </c>
      <c r="K759" s="3" t="s">
        <v>2976</v>
      </c>
      <c r="L759" s="3" t="s">
        <v>866</v>
      </c>
      <c r="M759" s="3" t="s">
        <v>59</v>
      </c>
      <c r="N759" s="3" t="s">
        <v>60</v>
      </c>
      <c r="O759" s="3" t="s">
        <v>147</v>
      </c>
      <c r="P759" s="3" t="s">
        <v>872</v>
      </c>
      <c r="Q759" s="31">
        <v>42753</v>
      </c>
      <c r="R759" s="3" t="s">
        <v>62</v>
      </c>
      <c r="S759" s="3" t="s">
        <v>62</v>
      </c>
    </row>
    <row r="760" spans="1:19">
      <c r="A760" s="3" t="s">
        <v>865</v>
      </c>
      <c r="B760" s="31">
        <v>42754.737961145831</v>
      </c>
      <c r="C760" s="31">
        <v>42752.571527777778</v>
      </c>
      <c r="D760" s="3">
        <v>3035850706</v>
      </c>
      <c r="E760" s="3" t="s">
        <v>31</v>
      </c>
      <c r="F760" s="3" t="s">
        <v>113</v>
      </c>
      <c r="G760" s="3" t="s">
        <v>114</v>
      </c>
      <c r="H760" s="3" t="s">
        <v>113</v>
      </c>
      <c r="I760" s="3" t="s">
        <v>114</v>
      </c>
      <c r="J760" s="3" t="s">
        <v>69</v>
      </c>
      <c r="K760" s="3" t="s">
        <v>2976</v>
      </c>
      <c r="L760" s="3" t="s">
        <v>866</v>
      </c>
      <c r="M760" s="3" t="s">
        <v>59</v>
      </c>
      <c r="N760" s="3" t="s">
        <v>60</v>
      </c>
      <c r="O760" s="3" t="s">
        <v>147</v>
      </c>
      <c r="P760" s="3" t="s">
        <v>872</v>
      </c>
      <c r="Q760" s="31">
        <v>42753</v>
      </c>
      <c r="R760" s="3" t="s">
        <v>62</v>
      </c>
      <c r="S760" s="3" t="s">
        <v>62</v>
      </c>
    </row>
    <row r="761" spans="1:19">
      <c r="A761" s="3" t="s">
        <v>865</v>
      </c>
      <c r="B761" s="31">
        <v>42754.737961145831</v>
      </c>
      <c r="C761" s="31">
        <v>42752.580555555556</v>
      </c>
      <c r="D761" s="3">
        <v>3035851244</v>
      </c>
      <c r="E761" s="3" t="s">
        <v>23</v>
      </c>
      <c r="F761" s="3" t="s">
        <v>137</v>
      </c>
      <c r="G761" s="3" t="s">
        <v>138</v>
      </c>
      <c r="H761" s="3" t="s">
        <v>137</v>
      </c>
      <c r="I761" s="3" t="s">
        <v>138</v>
      </c>
      <c r="J761" s="3" t="s">
        <v>69</v>
      </c>
      <c r="K761" s="3" t="s">
        <v>2976</v>
      </c>
      <c r="L761" s="3" t="s">
        <v>866</v>
      </c>
      <c r="M761" s="3" t="s">
        <v>59</v>
      </c>
      <c r="N761" s="3" t="s">
        <v>60</v>
      </c>
      <c r="O761" s="3" t="s">
        <v>147</v>
      </c>
      <c r="P761" s="3" t="s">
        <v>872</v>
      </c>
      <c r="Q761" s="31">
        <v>42753</v>
      </c>
      <c r="R761" s="3" t="s">
        <v>62</v>
      </c>
      <c r="S761" s="3" t="s">
        <v>62</v>
      </c>
    </row>
    <row r="762" spans="1:19">
      <c r="A762" s="3" t="s">
        <v>877</v>
      </c>
      <c r="B762" s="31">
        <v>42754.737961145831</v>
      </c>
      <c r="C762" s="31">
        <v>42752.618055555555</v>
      </c>
      <c r="D762" s="3">
        <v>3035852660</v>
      </c>
      <c r="E762" s="3" t="s">
        <v>23</v>
      </c>
      <c r="F762" s="3" t="s">
        <v>4001</v>
      </c>
      <c r="G762" s="3" t="s">
        <v>190</v>
      </c>
      <c r="H762" s="3" t="s">
        <v>4001</v>
      </c>
      <c r="I762" s="3" t="s">
        <v>190</v>
      </c>
      <c r="J762" s="3" t="s">
        <v>69</v>
      </c>
      <c r="K762" s="3" t="s">
        <v>2976</v>
      </c>
      <c r="L762" s="3" t="s">
        <v>871</v>
      </c>
      <c r="M762" s="3" t="s">
        <v>84</v>
      </c>
      <c r="N762" s="3" t="s">
        <v>85</v>
      </c>
      <c r="O762" s="3" t="s">
        <v>233</v>
      </c>
      <c r="P762" s="3" t="s">
        <v>875</v>
      </c>
      <c r="Q762" s="31">
        <v>42753</v>
      </c>
      <c r="R762" s="3" t="s">
        <v>62</v>
      </c>
      <c r="S762" s="3" t="s">
        <v>62</v>
      </c>
    </row>
    <row r="763" spans="1:19">
      <c r="A763" s="3" t="s">
        <v>865</v>
      </c>
      <c r="B763" s="31">
        <v>42754.737961145831</v>
      </c>
      <c r="C763" s="31">
        <v>42752.625694444447</v>
      </c>
      <c r="D763" s="3">
        <v>3035853935</v>
      </c>
      <c r="E763" s="3" t="s">
        <v>23</v>
      </c>
      <c r="F763" s="3" t="s">
        <v>137</v>
      </c>
      <c r="G763" s="3" t="s">
        <v>138</v>
      </c>
      <c r="H763" s="3" t="s">
        <v>137</v>
      </c>
      <c r="I763" s="3" t="s">
        <v>138</v>
      </c>
      <c r="J763" s="3" t="s">
        <v>69</v>
      </c>
      <c r="K763" s="3" t="s">
        <v>2976</v>
      </c>
      <c r="L763" s="3" t="s">
        <v>871</v>
      </c>
      <c r="M763" s="3" t="s">
        <v>84</v>
      </c>
      <c r="N763" s="3" t="s">
        <v>85</v>
      </c>
      <c r="O763" s="3" t="s">
        <v>233</v>
      </c>
      <c r="P763" s="3" t="s">
        <v>875</v>
      </c>
      <c r="Q763" s="31">
        <v>42753</v>
      </c>
      <c r="R763" s="3" t="s">
        <v>62</v>
      </c>
      <c r="S763" s="3" t="s">
        <v>62</v>
      </c>
    </row>
    <row r="764" spans="1:19">
      <c r="A764" s="3" t="s">
        <v>865</v>
      </c>
      <c r="B764" s="31">
        <v>42754.737961145831</v>
      </c>
      <c r="C764" s="31">
        <v>42752.632638888892</v>
      </c>
      <c r="D764" s="3">
        <v>3035756937</v>
      </c>
      <c r="E764" s="3" t="s">
        <v>23</v>
      </c>
      <c r="F764" s="3" t="s">
        <v>149</v>
      </c>
      <c r="G764" s="3" t="s">
        <v>150</v>
      </c>
      <c r="H764" s="3" t="s">
        <v>139</v>
      </c>
      <c r="I764" s="3" t="s">
        <v>140</v>
      </c>
      <c r="J764" s="3" t="s">
        <v>69</v>
      </c>
      <c r="K764" s="3" t="s">
        <v>2977</v>
      </c>
      <c r="L764" s="3" t="s">
        <v>871</v>
      </c>
      <c r="M764" s="3" t="s">
        <v>84</v>
      </c>
      <c r="N764" s="3" t="s">
        <v>85</v>
      </c>
      <c r="O764" s="3" t="s">
        <v>888</v>
      </c>
      <c r="P764" s="3" t="s">
        <v>872</v>
      </c>
      <c r="Q764" s="31">
        <v>42753</v>
      </c>
      <c r="R764" s="3" t="s">
        <v>62</v>
      </c>
      <c r="S764" s="3" t="s">
        <v>529</v>
      </c>
    </row>
    <row r="765" spans="1:19">
      <c r="A765" s="3" t="s">
        <v>865</v>
      </c>
      <c r="B765" s="31">
        <v>42754.737961145831</v>
      </c>
      <c r="C765" s="31">
        <v>42752.654166666667</v>
      </c>
      <c r="D765" s="3">
        <v>3035853898</v>
      </c>
      <c r="E765" s="3" t="s">
        <v>31</v>
      </c>
      <c r="F765" s="3" t="s">
        <v>227</v>
      </c>
      <c r="G765" s="3" t="s">
        <v>228</v>
      </c>
      <c r="H765" s="3" t="s">
        <v>227</v>
      </c>
      <c r="I765" s="3" t="s">
        <v>228</v>
      </c>
      <c r="J765" s="3" t="s">
        <v>98</v>
      </c>
      <c r="K765" s="3" t="s">
        <v>2977</v>
      </c>
      <c r="L765" s="3" t="s">
        <v>866</v>
      </c>
      <c r="M765" s="3" t="s">
        <v>70</v>
      </c>
      <c r="N765" s="3" t="s">
        <v>71</v>
      </c>
      <c r="O765" s="3" t="s">
        <v>898</v>
      </c>
      <c r="P765" s="3" t="s">
        <v>872</v>
      </c>
      <c r="Q765" s="31">
        <v>42753</v>
      </c>
      <c r="R765" s="3" t="s">
        <v>62</v>
      </c>
      <c r="S765" s="3" t="s">
        <v>92</v>
      </c>
    </row>
    <row r="766" spans="1:19">
      <c r="A766" s="3" t="s">
        <v>877</v>
      </c>
      <c r="B766" s="31">
        <v>42754.737961145831</v>
      </c>
      <c r="C766" s="31">
        <v>42752.655555555553</v>
      </c>
      <c r="D766" s="3">
        <v>3035855314</v>
      </c>
      <c r="E766" s="3" t="s">
        <v>273</v>
      </c>
      <c r="F766" s="3" t="s">
        <v>265</v>
      </c>
      <c r="G766" s="3" t="s">
        <v>266</v>
      </c>
      <c r="H766" s="3" t="s">
        <v>265</v>
      </c>
      <c r="I766" s="3" t="s">
        <v>266</v>
      </c>
      <c r="J766" s="3" t="s">
        <v>144</v>
      </c>
      <c r="K766" s="3" t="s">
        <v>2977</v>
      </c>
      <c r="L766" s="3" t="s">
        <v>866</v>
      </c>
      <c r="M766" s="3" t="s">
        <v>59</v>
      </c>
      <c r="N766" s="3" t="s">
        <v>60</v>
      </c>
      <c r="O766" s="3" t="s">
        <v>147</v>
      </c>
      <c r="P766" s="3" t="s">
        <v>872</v>
      </c>
      <c r="Q766" s="31">
        <v>42753</v>
      </c>
      <c r="R766" s="3" t="s">
        <v>62</v>
      </c>
      <c r="S766" s="3" t="s">
        <v>2985</v>
      </c>
    </row>
    <row r="767" spans="1:19">
      <c r="A767" s="3" t="s">
        <v>865</v>
      </c>
      <c r="B767" s="31">
        <v>42754.737961145831</v>
      </c>
      <c r="C767" s="31">
        <v>42752.658333333333</v>
      </c>
      <c r="D767" s="3">
        <v>3035813220</v>
      </c>
      <c r="E767" s="3" t="s">
        <v>39</v>
      </c>
      <c r="F767" s="3" t="s">
        <v>231</v>
      </c>
      <c r="G767" s="3" t="s">
        <v>232</v>
      </c>
      <c r="H767" s="3" t="s">
        <v>238</v>
      </c>
      <c r="I767" s="3" t="s">
        <v>239</v>
      </c>
      <c r="J767" s="3" t="s">
        <v>69</v>
      </c>
      <c r="K767" s="3" t="s">
        <v>2977</v>
      </c>
      <c r="L767" s="3" t="s">
        <v>871</v>
      </c>
      <c r="M767" s="3" t="s">
        <v>84</v>
      </c>
      <c r="N767" s="3" t="s">
        <v>85</v>
      </c>
      <c r="O767" s="3" t="s">
        <v>888</v>
      </c>
      <c r="P767" s="3" t="s">
        <v>872</v>
      </c>
      <c r="Q767" s="31">
        <v>42753</v>
      </c>
      <c r="R767" s="3" t="s">
        <v>62</v>
      </c>
      <c r="S767" s="3" t="s">
        <v>529</v>
      </c>
    </row>
    <row r="768" spans="1:19">
      <c r="A768" s="3" t="s">
        <v>877</v>
      </c>
      <c r="B768" s="31">
        <v>42754.737961145831</v>
      </c>
      <c r="C768" s="31">
        <v>42752.663888888892</v>
      </c>
      <c r="D768" s="3">
        <v>3035855799</v>
      </c>
      <c r="E768" s="3" t="s">
        <v>9</v>
      </c>
      <c r="F768" s="3" t="s">
        <v>67</v>
      </c>
      <c r="G768" s="3" t="s">
        <v>68</v>
      </c>
      <c r="H768" s="3" t="s">
        <v>67</v>
      </c>
      <c r="I768" s="3" t="s">
        <v>68</v>
      </c>
      <c r="J768" s="3" t="s">
        <v>69</v>
      </c>
      <c r="K768" s="3" t="s">
        <v>2976</v>
      </c>
      <c r="L768" s="3" t="s">
        <v>871</v>
      </c>
      <c r="M768" s="3" t="s">
        <v>84</v>
      </c>
      <c r="N768" s="3" t="s">
        <v>85</v>
      </c>
      <c r="O768" s="3" t="s">
        <v>888</v>
      </c>
      <c r="P768" s="3" t="s">
        <v>872</v>
      </c>
      <c r="Q768" s="31">
        <v>42753</v>
      </c>
      <c r="R768" s="3" t="s">
        <v>62</v>
      </c>
      <c r="S768" s="3" t="s">
        <v>62</v>
      </c>
    </row>
    <row r="769" spans="1:19">
      <c r="A769" s="3" t="s">
        <v>896</v>
      </c>
      <c r="B769" s="31">
        <v>42754.737961145831</v>
      </c>
      <c r="C769" s="31">
        <v>42752.665972222225</v>
      </c>
      <c r="D769" s="3">
        <v>3035713716</v>
      </c>
      <c r="E769" s="3" t="s">
        <v>273</v>
      </c>
      <c r="F769" s="3" t="s">
        <v>265</v>
      </c>
      <c r="G769" s="3" t="s">
        <v>266</v>
      </c>
      <c r="H769" s="3" t="s">
        <v>115</v>
      </c>
      <c r="I769" s="3" t="s">
        <v>116</v>
      </c>
      <c r="J769" s="3" t="s">
        <v>98</v>
      </c>
      <c r="K769" s="3" t="s">
        <v>2977</v>
      </c>
      <c r="L769" s="3" t="s">
        <v>871</v>
      </c>
      <c r="M769" s="3" t="s">
        <v>84</v>
      </c>
      <c r="N769" s="3" t="s">
        <v>85</v>
      </c>
      <c r="O769" s="3" t="s">
        <v>4229</v>
      </c>
      <c r="P769" s="3" t="s">
        <v>872</v>
      </c>
      <c r="Q769" s="31">
        <v>42753</v>
      </c>
      <c r="R769" s="3" t="s">
        <v>62</v>
      </c>
      <c r="S769" s="3" t="s">
        <v>529</v>
      </c>
    </row>
    <row r="770" spans="1:19">
      <c r="A770" s="3" t="s">
        <v>865</v>
      </c>
      <c r="B770" s="31">
        <v>42754.737961145831</v>
      </c>
      <c r="C770" s="31">
        <v>42752.667361111111</v>
      </c>
      <c r="D770" s="3">
        <v>3035817154</v>
      </c>
      <c r="E770" s="3" t="s">
        <v>31</v>
      </c>
      <c r="F770" s="3" t="s">
        <v>227</v>
      </c>
      <c r="G770" s="3" t="s">
        <v>228</v>
      </c>
      <c r="H770" s="3" t="s">
        <v>115</v>
      </c>
      <c r="I770" s="3" t="s">
        <v>116</v>
      </c>
      <c r="J770" s="3" t="s">
        <v>144</v>
      </c>
      <c r="K770" s="3" t="s">
        <v>2977</v>
      </c>
      <c r="L770" s="3" t="s">
        <v>871</v>
      </c>
      <c r="M770" s="3" t="s">
        <v>84</v>
      </c>
      <c r="N770" s="3" t="s">
        <v>85</v>
      </c>
      <c r="O770" s="3" t="s">
        <v>888</v>
      </c>
      <c r="P770" s="3" t="s">
        <v>872</v>
      </c>
      <c r="Q770" s="31">
        <v>42753</v>
      </c>
      <c r="R770" s="3" t="s">
        <v>62</v>
      </c>
      <c r="S770" s="3" t="s">
        <v>529</v>
      </c>
    </row>
    <row r="771" spans="1:19">
      <c r="A771" s="3" t="s">
        <v>865</v>
      </c>
      <c r="B771" s="31">
        <v>42754.737961145831</v>
      </c>
      <c r="C771" s="31">
        <v>42752.673611111109</v>
      </c>
      <c r="D771" s="3">
        <v>3035856406</v>
      </c>
      <c r="E771" s="3" t="s">
        <v>23</v>
      </c>
      <c r="F771" s="3" t="s">
        <v>137</v>
      </c>
      <c r="G771" s="3" t="s">
        <v>138</v>
      </c>
      <c r="H771" s="3" t="s">
        <v>137</v>
      </c>
      <c r="I771" s="3" t="s">
        <v>138</v>
      </c>
      <c r="J771" s="3" t="s">
        <v>69</v>
      </c>
      <c r="K771" s="3" t="s">
        <v>2976</v>
      </c>
      <c r="L771" s="3" t="s">
        <v>866</v>
      </c>
      <c r="M771" s="3" t="s">
        <v>59</v>
      </c>
      <c r="N771" s="3" t="s">
        <v>60</v>
      </c>
      <c r="O771" s="3" t="s">
        <v>147</v>
      </c>
      <c r="P771" s="3" t="s">
        <v>872</v>
      </c>
      <c r="Q771" s="31">
        <v>42753</v>
      </c>
      <c r="R771" s="3" t="s">
        <v>62</v>
      </c>
      <c r="S771" s="3" t="s">
        <v>62</v>
      </c>
    </row>
    <row r="772" spans="1:19">
      <c r="A772" s="3" t="s">
        <v>873</v>
      </c>
      <c r="B772" s="31">
        <v>42754.737961145831</v>
      </c>
      <c r="C772" s="31">
        <v>42752.684027777781</v>
      </c>
      <c r="D772" s="3">
        <v>3035732028</v>
      </c>
      <c r="E772" s="3" t="s">
        <v>23</v>
      </c>
      <c r="F772" s="3" t="s">
        <v>129</v>
      </c>
      <c r="G772" s="3" t="s">
        <v>130</v>
      </c>
      <c r="H772" s="3" t="s">
        <v>139</v>
      </c>
      <c r="I772" s="3" t="s">
        <v>140</v>
      </c>
      <c r="J772" s="3" t="s">
        <v>99</v>
      </c>
      <c r="K772" s="3" t="s">
        <v>2977</v>
      </c>
      <c r="L772" s="3" t="s">
        <v>871</v>
      </c>
      <c r="M772" s="3" t="s">
        <v>84</v>
      </c>
      <c r="N772" s="3" t="s">
        <v>85</v>
      </c>
      <c r="O772" s="3" t="s">
        <v>888</v>
      </c>
      <c r="P772" s="3" t="s">
        <v>875</v>
      </c>
      <c r="Q772" s="31">
        <v>42754</v>
      </c>
      <c r="R772" s="3" t="s">
        <v>62</v>
      </c>
      <c r="S772" s="3" t="s">
        <v>529</v>
      </c>
    </row>
    <row r="773" spans="1:19">
      <c r="A773" s="3" t="s">
        <v>865</v>
      </c>
      <c r="B773" s="31">
        <v>42754.737961145831</v>
      </c>
      <c r="C773" s="31">
        <v>42752.6875</v>
      </c>
      <c r="D773" s="3">
        <v>3035855948</v>
      </c>
      <c r="E773" s="3" t="s">
        <v>31</v>
      </c>
      <c r="F773" s="3" t="s">
        <v>227</v>
      </c>
      <c r="G773" s="3" t="s">
        <v>228</v>
      </c>
      <c r="H773" s="3" t="s">
        <v>227</v>
      </c>
      <c r="I773" s="3" t="s">
        <v>228</v>
      </c>
      <c r="J773" s="3" t="s">
        <v>69</v>
      </c>
      <c r="K773" s="3" t="s">
        <v>2977</v>
      </c>
      <c r="L773" s="3" t="s">
        <v>866</v>
      </c>
      <c r="M773" s="3" t="s">
        <v>59</v>
      </c>
      <c r="N773" s="3" t="s">
        <v>60</v>
      </c>
      <c r="O773" s="3" t="s">
        <v>147</v>
      </c>
      <c r="P773" s="3" t="s">
        <v>872</v>
      </c>
      <c r="Q773" s="31">
        <v>42753</v>
      </c>
      <c r="R773" s="3" t="s">
        <v>62</v>
      </c>
      <c r="S773" s="3" t="s">
        <v>92</v>
      </c>
    </row>
    <row r="774" spans="1:19">
      <c r="A774" s="3" t="s">
        <v>865</v>
      </c>
      <c r="B774" s="31">
        <v>42754.737961145831</v>
      </c>
      <c r="C774" s="31">
        <v>42752.692361111112</v>
      </c>
      <c r="D774" s="3">
        <v>3035820235</v>
      </c>
      <c r="E774" s="3" t="s">
        <v>31</v>
      </c>
      <c r="F774" s="3" t="s">
        <v>227</v>
      </c>
      <c r="G774" s="3" t="s">
        <v>228</v>
      </c>
      <c r="H774" s="3" t="s">
        <v>115</v>
      </c>
      <c r="I774" s="3" t="s">
        <v>116</v>
      </c>
      <c r="J774" s="3" t="s">
        <v>69</v>
      </c>
      <c r="K774" s="3" t="s">
        <v>2977</v>
      </c>
      <c r="L774" s="3" t="s">
        <v>871</v>
      </c>
      <c r="M774" s="3" t="s">
        <v>84</v>
      </c>
      <c r="N774" s="3" t="s">
        <v>85</v>
      </c>
      <c r="O774" s="3" t="s">
        <v>888</v>
      </c>
      <c r="P774" s="3" t="s">
        <v>3090</v>
      </c>
      <c r="Q774" s="31">
        <v>42754</v>
      </c>
      <c r="R774" s="3" t="s">
        <v>62</v>
      </c>
      <c r="S774" s="3" t="s">
        <v>529</v>
      </c>
    </row>
    <row r="775" spans="1:19">
      <c r="A775" s="3" t="s">
        <v>865</v>
      </c>
      <c r="B775" s="31">
        <v>42754.737961145831</v>
      </c>
      <c r="C775" s="31">
        <v>42752.701388888891</v>
      </c>
      <c r="D775" s="3">
        <v>3035757972</v>
      </c>
      <c r="E775" s="3" t="s">
        <v>273</v>
      </c>
      <c r="F775" s="3" t="s">
        <v>153</v>
      </c>
      <c r="G775" s="3" t="s">
        <v>892</v>
      </c>
      <c r="H775" s="3" t="s">
        <v>115</v>
      </c>
      <c r="I775" s="3" t="s">
        <v>116</v>
      </c>
      <c r="J775" s="3" t="s">
        <v>69</v>
      </c>
      <c r="K775" s="3" t="s">
        <v>2977</v>
      </c>
      <c r="L775" s="3" t="s">
        <v>871</v>
      </c>
      <c r="M775" s="3" t="s">
        <v>84</v>
      </c>
      <c r="N775" s="3" t="s">
        <v>85</v>
      </c>
      <c r="O775" s="3" t="s">
        <v>4402</v>
      </c>
      <c r="P775" s="3" t="s">
        <v>3090</v>
      </c>
      <c r="Q775" s="31">
        <v>42754</v>
      </c>
      <c r="R775" s="3" t="s">
        <v>62</v>
      </c>
      <c r="S775" s="3" t="s">
        <v>529</v>
      </c>
    </row>
    <row r="776" spans="1:19">
      <c r="A776" s="3" t="s">
        <v>877</v>
      </c>
      <c r="B776" s="31">
        <v>42754.737961145831</v>
      </c>
      <c r="C776" s="31">
        <v>42752.70416666667</v>
      </c>
      <c r="D776" s="3">
        <v>3035857311</v>
      </c>
      <c r="E776" s="3" t="s">
        <v>23</v>
      </c>
      <c r="F776" s="3" t="s">
        <v>179</v>
      </c>
      <c r="G776" s="3" t="s">
        <v>180</v>
      </c>
      <c r="H776" s="3" t="s">
        <v>179</v>
      </c>
      <c r="I776" s="3" t="s">
        <v>180</v>
      </c>
      <c r="J776" s="3" t="s">
        <v>69</v>
      </c>
      <c r="K776" s="3" t="s">
        <v>2976</v>
      </c>
      <c r="L776" s="3" t="s">
        <v>866</v>
      </c>
      <c r="M776" s="3" t="s">
        <v>70</v>
      </c>
      <c r="N776" s="3" t="s">
        <v>71</v>
      </c>
      <c r="O776" s="3" t="s">
        <v>3593</v>
      </c>
      <c r="P776" s="3" t="s">
        <v>872</v>
      </c>
      <c r="Q776" s="31">
        <v>42753</v>
      </c>
      <c r="R776" s="3" t="s">
        <v>62</v>
      </c>
      <c r="S776" s="3" t="s">
        <v>62</v>
      </c>
    </row>
    <row r="777" spans="1:19">
      <c r="A777" s="3" t="s">
        <v>868</v>
      </c>
      <c r="B777" s="31">
        <v>42754.737961145831</v>
      </c>
      <c r="C777" s="31">
        <v>42752.713194444441</v>
      </c>
      <c r="D777" s="3">
        <v>3035858468</v>
      </c>
      <c r="E777" s="3" t="s">
        <v>23</v>
      </c>
      <c r="F777" s="3" t="s">
        <v>4001</v>
      </c>
      <c r="G777" s="3" t="s">
        <v>190</v>
      </c>
      <c r="H777" s="3" t="s">
        <v>4001</v>
      </c>
      <c r="I777" s="3" t="s">
        <v>190</v>
      </c>
      <c r="J777" s="3" t="s">
        <v>69</v>
      </c>
      <c r="K777" s="3" t="s">
        <v>2976</v>
      </c>
      <c r="L777" s="3" t="s">
        <v>866</v>
      </c>
      <c r="M777" s="3" t="s">
        <v>59</v>
      </c>
      <c r="N777" s="3" t="s">
        <v>60</v>
      </c>
      <c r="O777" s="3" t="s">
        <v>147</v>
      </c>
      <c r="P777" s="3" t="s">
        <v>872</v>
      </c>
      <c r="Q777" s="31">
        <v>42753</v>
      </c>
      <c r="R777" s="3" t="s">
        <v>62</v>
      </c>
      <c r="S777" s="3" t="s">
        <v>62</v>
      </c>
    </row>
    <row r="778" spans="1:19">
      <c r="A778" s="3" t="s">
        <v>865</v>
      </c>
      <c r="B778" s="31">
        <v>42754.737961145831</v>
      </c>
      <c r="C778" s="31">
        <v>42752.717361111114</v>
      </c>
      <c r="D778" s="3">
        <v>3035858530</v>
      </c>
      <c r="E778" s="3" t="s">
        <v>23</v>
      </c>
      <c r="F778" s="3" t="s">
        <v>135</v>
      </c>
      <c r="G778" s="3" t="s">
        <v>136</v>
      </c>
      <c r="H778" s="3" t="s">
        <v>135</v>
      </c>
      <c r="I778" s="3" t="s">
        <v>136</v>
      </c>
      <c r="J778" s="3" t="s">
        <v>69</v>
      </c>
      <c r="K778" s="3" t="s">
        <v>2976</v>
      </c>
      <c r="L778" s="3" t="s">
        <v>871</v>
      </c>
      <c r="M778" s="3" t="s">
        <v>84</v>
      </c>
      <c r="N778" s="3" t="s">
        <v>85</v>
      </c>
      <c r="O778" s="3" t="s">
        <v>888</v>
      </c>
      <c r="P778" s="3" t="s">
        <v>875</v>
      </c>
      <c r="Q778" s="31">
        <v>42754</v>
      </c>
      <c r="R778" s="3" t="s">
        <v>62</v>
      </c>
      <c r="S778" s="3" t="s">
        <v>62</v>
      </c>
    </row>
    <row r="779" spans="1:19">
      <c r="A779" s="3" t="s">
        <v>865</v>
      </c>
      <c r="B779" s="31">
        <v>42754.737961145831</v>
      </c>
      <c r="C779" s="31">
        <v>42752.722222222219</v>
      </c>
      <c r="D779" s="3">
        <v>3035758274</v>
      </c>
      <c r="E779" s="3" t="s">
        <v>39</v>
      </c>
      <c r="F779" s="3" t="s">
        <v>225</v>
      </c>
      <c r="G779" s="3" t="s">
        <v>226</v>
      </c>
      <c r="H779" s="3" t="s">
        <v>238</v>
      </c>
      <c r="I779" s="3" t="s">
        <v>239</v>
      </c>
      <c r="J779" s="3" t="s">
        <v>69</v>
      </c>
      <c r="K779" s="3" t="s">
        <v>2977</v>
      </c>
      <c r="L779" s="3" t="s">
        <v>866</v>
      </c>
      <c r="M779" s="3" t="s">
        <v>70</v>
      </c>
      <c r="N779" s="3" t="s">
        <v>71</v>
      </c>
      <c r="O779" s="3" t="s">
        <v>3067</v>
      </c>
      <c r="P779" s="3" t="s">
        <v>872</v>
      </c>
      <c r="Q779" s="31">
        <v>42753</v>
      </c>
      <c r="R779" s="3" t="s">
        <v>62</v>
      </c>
      <c r="S779" s="3" t="s">
        <v>529</v>
      </c>
    </row>
    <row r="780" spans="1:19">
      <c r="A780" s="3" t="s">
        <v>865</v>
      </c>
      <c r="B780" s="31">
        <v>42754.737961145831</v>
      </c>
      <c r="C780" s="31">
        <v>42752.724305555559</v>
      </c>
      <c r="D780" s="3">
        <v>3035752524</v>
      </c>
      <c r="E780" s="3" t="s">
        <v>9</v>
      </c>
      <c r="F780" s="3" t="s">
        <v>107</v>
      </c>
      <c r="G780" s="3" t="s">
        <v>108</v>
      </c>
      <c r="H780" s="3" t="s">
        <v>82</v>
      </c>
      <c r="I780" s="3" t="s">
        <v>83</v>
      </c>
      <c r="J780" s="3" t="s">
        <v>69</v>
      </c>
      <c r="K780" s="3" t="s">
        <v>2976</v>
      </c>
      <c r="L780" s="3" t="s">
        <v>871</v>
      </c>
      <c r="M780" s="3" t="s">
        <v>84</v>
      </c>
      <c r="N780" s="3" t="s">
        <v>85</v>
      </c>
      <c r="O780" s="3" t="s">
        <v>4006</v>
      </c>
      <c r="P780" s="3" t="s">
        <v>875</v>
      </c>
      <c r="Q780" s="31">
        <v>42754</v>
      </c>
      <c r="R780" s="3" t="s">
        <v>62</v>
      </c>
      <c r="S780" s="3" t="s">
        <v>62</v>
      </c>
    </row>
    <row r="781" spans="1:19">
      <c r="A781" s="3" t="s">
        <v>865</v>
      </c>
      <c r="B781" s="31">
        <v>42754.737961145831</v>
      </c>
      <c r="C781" s="31">
        <v>42752.729166666664</v>
      </c>
      <c r="D781" s="3">
        <v>3035859205</v>
      </c>
      <c r="E781" s="3" t="s">
        <v>23</v>
      </c>
      <c r="F781" s="3" t="s">
        <v>4001</v>
      </c>
      <c r="G781" s="3" t="s">
        <v>190</v>
      </c>
      <c r="H781" s="3" t="s">
        <v>4001</v>
      </c>
      <c r="I781" s="3" t="s">
        <v>190</v>
      </c>
      <c r="J781" s="3" t="s">
        <v>58</v>
      </c>
      <c r="K781" s="3" t="s">
        <v>2976</v>
      </c>
      <c r="L781" s="3" t="s">
        <v>871</v>
      </c>
      <c r="M781" s="3" t="s">
        <v>84</v>
      </c>
      <c r="N781" s="3" t="s">
        <v>85</v>
      </c>
      <c r="O781" s="3" t="s">
        <v>888</v>
      </c>
      <c r="P781" s="3" t="s">
        <v>875</v>
      </c>
      <c r="Q781" s="31">
        <v>42754</v>
      </c>
      <c r="R781" s="3" t="s">
        <v>62</v>
      </c>
      <c r="S781" s="3" t="s">
        <v>62</v>
      </c>
    </row>
    <row r="782" spans="1:19">
      <c r="A782" s="3" t="s">
        <v>865</v>
      </c>
      <c r="B782" s="31">
        <v>42754.737961145831</v>
      </c>
      <c r="C782" s="31">
        <v>42752.729166666664</v>
      </c>
      <c r="D782" s="3">
        <v>3035723134</v>
      </c>
      <c r="E782" s="3" t="s">
        <v>9</v>
      </c>
      <c r="F782" s="3" t="s">
        <v>133</v>
      </c>
      <c r="G782" s="3" t="s">
        <v>134</v>
      </c>
      <c r="H782" s="3" t="s">
        <v>82</v>
      </c>
      <c r="I782" s="3" t="s">
        <v>83</v>
      </c>
      <c r="J782" s="3" t="s">
        <v>98</v>
      </c>
      <c r="K782" s="3" t="s">
        <v>2976</v>
      </c>
      <c r="L782" s="3" t="s">
        <v>866</v>
      </c>
      <c r="M782" s="3" t="s">
        <v>70</v>
      </c>
      <c r="N782" s="3" t="s">
        <v>71</v>
      </c>
      <c r="O782" s="3" t="s">
        <v>4230</v>
      </c>
      <c r="P782" s="3" t="s">
        <v>872</v>
      </c>
      <c r="Q782" s="31">
        <v>42753</v>
      </c>
      <c r="R782" s="3" t="s">
        <v>62</v>
      </c>
      <c r="S782" s="3" t="s">
        <v>62</v>
      </c>
    </row>
    <row r="783" spans="1:19">
      <c r="A783" s="3" t="s">
        <v>865</v>
      </c>
      <c r="B783" s="31">
        <v>42754.737961145831</v>
      </c>
      <c r="C783" s="31">
        <v>42752.729861111111</v>
      </c>
      <c r="D783" s="3">
        <v>3035857575</v>
      </c>
      <c r="E783" s="3" t="s">
        <v>23</v>
      </c>
      <c r="F783" s="3" t="s">
        <v>186</v>
      </c>
      <c r="G783" s="3" t="s">
        <v>187</v>
      </c>
      <c r="H783" s="3" t="s">
        <v>186</v>
      </c>
      <c r="I783" s="3" t="s">
        <v>187</v>
      </c>
      <c r="J783" s="3" t="s">
        <v>69</v>
      </c>
      <c r="K783" s="3" t="s">
        <v>2976</v>
      </c>
      <c r="L783" s="3" t="s">
        <v>866</v>
      </c>
      <c r="M783" s="3" t="s">
        <v>70</v>
      </c>
      <c r="N783" s="3" t="s">
        <v>71</v>
      </c>
      <c r="O783" s="3" t="s">
        <v>3067</v>
      </c>
      <c r="P783" s="3" t="s">
        <v>872</v>
      </c>
      <c r="Q783" s="31">
        <v>42753</v>
      </c>
      <c r="R783" s="3" t="s">
        <v>62</v>
      </c>
      <c r="S783" s="3" t="s">
        <v>62</v>
      </c>
    </row>
    <row r="784" spans="1:19">
      <c r="A784" s="3" t="s">
        <v>873</v>
      </c>
      <c r="B784" s="31">
        <v>42754.737961145831</v>
      </c>
      <c r="C784" s="31">
        <v>42752.740277777775</v>
      </c>
      <c r="D784" s="3">
        <v>3035856759</v>
      </c>
      <c r="E784" s="3" t="s">
        <v>23</v>
      </c>
      <c r="F784" s="3" t="s">
        <v>119</v>
      </c>
      <c r="G784" s="3" t="s">
        <v>120</v>
      </c>
      <c r="H784" s="3" t="s">
        <v>244</v>
      </c>
      <c r="I784" s="3" t="s">
        <v>245</v>
      </c>
      <c r="J784" s="3" t="s">
        <v>69</v>
      </c>
      <c r="K784" s="3" t="s">
        <v>2977</v>
      </c>
      <c r="L784" s="3" t="s">
        <v>866</v>
      </c>
      <c r="M784" s="3" t="s">
        <v>59</v>
      </c>
      <c r="N784" s="3" t="s">
        <v>60</v>
      </c>
      <c r="O784" s="3" t="s">
        <v>147</v>
      </c>
      <c r="P784" s="3" t="s">
        <v>872</v>
      </c>
      <c r="Q784" s="31">
        <v>42753</v>
      </c>
      <c r="R784" s="3" t="s">
        <v>62</v>
      </c>
      <c r="S784" s="3" t="s">
        <v>92</v>
      </c>
    </row>
    <row r="785" spans="1:19">
      <c r="A785" s="3" t="s">
        <v>865</v>
      </c>
      <c r="B785" s="31">
        <v>42754.737961145831</v>
      </c>
      <c r="C785" s="31">
        <v>42752.742361111108</v>
      </c>
      <c r="D785" s="3">
        <v>3035859966</v>
      </c>
      <c r="E785" s="3" t="s">
        <v>273</v>
      </c>
      <c r="F785" s="3" t="s">
        <v>890</v>
      </c>
      <c r="G785" s="3" t="s">
        <v>891</v>
      </c>
      <c r="H785" s="3" t="s">
        <v>890</v>
      </c>
      <c r="I785" s="3" t="s">
        <v>891</v>
      </c>
      <c r="J785" s="3" t="s">
        <v>69</v>
      </c>
      <c r="K785" s="3" t="s">
        <v>2977</v>
      </c>
      <c r="L785" s="3" t="s">
        <v>871</v>
      </c>
      <c r="M785" s="3" t="s">
        <v>84</v>
      </c>
      <c r="N785" s="3" t="s">
        <v>85</v>
      </c>
      <c r="O785" s="3" t="s">
        <v>268</v>
      </c>
      <c r="P785" s="3" t="s">
        <v>875</v>
      </c>
      <c r="Q785" s="31">
        <v>42754</v>
      </c>
      <c r="R785" s="3" t="s">
        <v>62</v>
      </c>
      <c r="S785" s="3" t="s">
        <v>2985</v>
      </c>
    </row>
    <row r="786" spans="1:19">
      <c r="A786" s="3" t="s">
        <v>865</v>
      </c>
      <c r="B786" s="31">
        <v>42754.737961145831</v>
      </c>
      <c r="C786" s="31">
        <v>42752.743055555555</v>
      </c>
      <c r="D786" s="3">
        <v>3035859948</v>
      </c>
      <c r="E786" s="3" t="s">
        <v>23</v>
      </c>
      <c r="F786" s="3" t="s">
        <v>862</v>
      </c>
      <c r="G786" s="3" t="s">
        <v>624</v>
      </c>
      <c r="H786" s="3" t="s">
        <v>862</v>
      </c>
      <c r="I786" s="3" t="s">
        <v>624</v>
      </c>
      <c r="J786" s="3" t="s">
        <v>79</v>
      </c>
      <c r="K786" s="3" t="s">
        <v>2976</v>
      </c>
      <c r="L786" s="3" t="s">
        <v>866</v>
      </c>
      <c r="M786" s="3" t="s">
        <v>59</v>
      </c>
      <c r="N786" s="3" t="s">
        <v>60</v>
      </c>
      <c r="O786" s="3" t="s">
        <v>147</v>
      </c>
      <c r="P786" s="3" t="s">
        <v>872</v>
      </c>
      <c r="Q786" s="31">
        <v>42753</v>
      </c>
      <c r="R786" s="3" t="s">
        <v>62</v>
      </c>
      <c r="S786" s="3" t="s">
        <v>62</v>
      </c>
    </row>
    <row r="787" spans="1:19">
      <c r="A787" s="3" t="s">
        <v>877</v>
      </c>
      <c r="B787" s="31">
        <v>42754.737961145831</v>
      </c>
      <c r="C787" s="31">
        <v>42752.756249999999</v>
      </c>
      <c r="D787" s="3">
        <v>3035860472</v>
      </c>
      <c r="E787" s="3" t="s">
        <v>23</v>
      </c>
      <c r="F787" s="3" t="s">
        <v>4001</v>
      </c>
      <c r="G787" s="3" t="s">
        <v>190</v>
      </c>
      <c r="H787" s="3" t="s">
        <v>4001</v>
      </c>
      <c r="I787" s="3" t="s">
        <v>190</v>
      </c>
      <c r="J787" s="3" t="s">
        <v>69</v>
      </c>
      <c r="K787" s="3" t="s">
        <v>2976</v>
      </c>
      <c r="L787" s="3" t="s">
        <v>866</v>
      </c>
      <c r="M787" s="3" t="s">
        <v>70</v>
      </c>
      <c r="N787" s="3" t="s">
        <v>71</v>
      </c>
      <c r="O787" s="3" t="s">
        <v>3067</v>
      </c>
      <c r="P787" s="3" t="s">
        <v>872</v>
      </c>
      <c r="Q787" s="31">
        <v>42753</v>
      </c>
      <c r="R787" s="3" t="s">
        <v>62</v>
      </c>
      <c r="S787" s="3" t="s">
        <v>62</v>
      </c>
    </row>
    <row r="788" spans="1:19">
      <c r="A788" s="3" t="s">
        <v>877</v>
      </c>
      <c r="B788" s="31">
        <v>42754.737961145831</v>
      </c>
      <c r="C788" s="31">
        <v>42752.770138888889</v>
      </c>
      <c r="D788" s="3">
        <v>3035808966</v>
      </c>
      <c r="E788" s="3" t="s">
        <v>39</v>
      </c>
      <c r="F788" s="3" t="s">
        <v>240</v>
      </c>
      <c r="G788" s="3" t="s">
        <v>241</v>
      </c>
      <c r="H788" s="3" t="s">
        <v>230</v>
      </c>
      <c r="I788" s="3" t="e">
        <v>#N/A</v>
      </c>
      <c r="J788" s="3" t="s">
        <v>69</v>
      </c>
      <c r="K788" s="3" t="s">
        <v>2977</v>
      </c>
      <c r="L788" s="3" t="s">
        <v>866</v>
      </c>
      <c r="M788" s="3" t="s">
        <v>70</v>
      </c>
      <c r="N788" s="3" t="s">
        <v>71</v>
      </c>
      <c r="O788" s="3" t="s">
        <v>4230</v>
      </c>
      <c r="P788" s="3" t="s">
        <v>872</v>
      </c>
      <c r="Q788" s="31">
        <v>42753</v>
      </c>
      <c r="R788" s="3" t="s">
        <v>62</v>
      </c>
      <c r="S788" s="3" t="s">
        <v>2143</v>
      </c>
    </row>
    <row r="789" spans="1:19">
      <c r="A789" s="3" t="s">
        <v>873</v>
      </c>
      <c r="B789" s="31">
        <v>42754.737961145831</v>
      </c>
      <c r="C789" s="31">
        <v>42752.779861111114</v>
      </c>
      <c r="D789" s="3">
        <v>3035861860</v>
      </c>
      <c r="E789" s="3" t="s">
        <v>23</v>
      </c>
      <c r="F789" s="3" t="s">
        <v>129</v>
      </c>
      <c r="G789" s="3" t="s">
        <v>130</v>
      </c>
      <c r="H789" s="3" t="s">
        <v>129</v>
      </c>
      <c r="I789" s="3" t="s">
        <v>130</v>
      </c>
      <c r="J789" s="3" t="s">
        <v>69</v>
      </c>
      <c r="K789" s="3" t="s">
        <v>2976</v>
      </c>
      <c r="L789" s="3" t="s">
        <v>866</v>
      </c>
      <c r="M789" s="3" t="s">
        <v>59</v>
      </c>
      <c r="N789" s="3" t="s">
        <v>60</v>
      </c>
      <c r="O789" s="3" t="s">
        <v>147</v>
      </c>
      <c r="P789" s="3" t="s">
        <v>875</v>
      </c>
      <c r="Q789" s="31">
        <v>42754</v>
      </c>
      <c r="R789" s="3" t="s">
        <v>62</v>
      </c>
      <c r="S789" s="3" t="s">
        <v>62</v>
      </c>
    </row>
    <row r="790" spans="1:19">
      <c r="A790" s="3" t="s">
        <v>865</v>
      </c>
      <c r="B790" s="31">
        <v>42754.737961145831</v>
      </c>
      <c r="C790" s="31">
        <v>42752.788194444445</v>
      </c>
      <c r="D790" s="3">
        <v>3035862233</v>
      </c>
      <c r="E790" s="3" t="s">
        <v>273</v>
      </c>
      <c r="F790" s="3" t="s">
        <v>263</v>
      </c>
      <c r="G790" s="3" t="s">
        <v>264</v>
      </c>
      <c r="H790" s="3" t="s">
        <v>263</v>
      </c>
      <c r="I790" s="3" t="s">
        <v>264</v>
      </c>
      <c r="J790" s="3" t="s">
        <v>58</v>
      </c>
      <c r="K790" s="3" t="s">
        <v>2977</v>
      </c>
      <c r="L790" s="3" t="s">
        <v>866</v>
      </c>
      <c r="M790" s="3" t="s">
        <v>59</v>
      </c>
      <c r="N790" s="3" t="s">
        <v>60</v>
      </c>
      <c r="O790" s="3" t="s">
        <v>147</v>
      </c>
      <c r="P790" s="3" t="s">
        <v>872</v>
      </c>
      <c r="Q790" s="31">
        <v>42753</v>
      </c>
      <c r="R790" s="3" t="s">
        <v>62</v>
      </c>
      <c r="S790" s="3" t="s">
        <v>2985</v>
      </c>
    </row>
    <row r="791" spans="1:19">
      <c r="A791" s="3" t="s">
        <v>873</v>
      </c>
      <c r="B791" s="31">
        <v>42754.737961145831</v>
      </c>
      <c r="C791" s="31">
        <v>42752.818749999999</v>
      </c>
      <c r="D791" s="3">
        <v>3035863345</v>
      </c>
      <c r="E791" s="3" t="s">
        <v>39</v>
      </c>
      <c r="F791" s="3" t="s">
        <v>236</v>
      </c>
      <c r="G791" s="3" t="s">
        <v>237</v>
      </c>
      <c r="H791" s="3" t="s">
        <v>236</v>
      </c>
      <c r="I791" s="3" t="s">
        <v>237</v>
      </c>
      <c r="J791" s="3" t="s">
        <v>69</v>
      </c>
      <c r="K791" s="3" t="s">
        <v>2977</v>
      </c>
      <c r="L791" s="3" t="s">
        <v>866</v>
      </c>
      <c r="M791" s="3" t="s">
        <v>59</v>
      </c>
      <c r="N791" s="3" t="s">
        <v>60</v>
      </c>
      <c r="O791" s="3" t="s">
        <v>147</v>
      </c>
      <c r="P791" s="3" t="s">
        <v>872</v>
      </c>
      <c r="Q791" s="31">
        <v>42753</v>
      </c>
      <c r="R791" s="3" t="s">
        <v>62</v>
      </c>
      <c r="S791" s="3" t="s">
        <v>92</v>
      </c>
    </row>
    <row r="792" spans="1:19">
      <c r="A792" s="3" t="s">
        <v>865</v>
      </c>
      <c r="B792" s="31">
        <v>42754.737961145831</v>
      </c>
      <c r="C792" s="31">
        <v>42752.824999999997</v>
      </c>
      <c r="D792" s="3">
        <v>3035698995</v>
      </c>
      <c r="E792" s="3" t="s">
        <v>23</v>
      </c>
      <c r="F792" s="3" t="s">
        <v>186</v>
      </c>
      <c r="G792" s="3" t="s">
        <v>187</v>
      </c>
      <c r="H792" s="3" t="s">
        <v>139</v>
      </c>
      <c r="I792" s="3" t="s">
        <v>140</v>
      </c>
      <c r="J792" s="3" t="s">
        <v>69</v>
      </c>
      <c r="K792" s="3" t="s">
        <v>2977</v>
      </c>
      <c r="L792" s="3" t="s">
        <v>871</v>
      </c>
      <c r="M792" s="3" t="s">
        <v>84</v>
      </c>
      <c r="N792" s="3" t="s">
        <v>85</v>
      </c>
      <c r="O792" s="3" t="s">
        <v>268</v>
      </c>
      <c r="P792" s="3" t="s">
        <v>875</v>
      </c>
      <c r="Q792" s="31">
        <v>42754</v>
      </c>
      <c r="R792" s="3" t="s">
        <v>62</v>
      </c>
      <c r="S792" s="3" t="s">
        <v>529</v>
      </c>
    </row>
    <row r="793" spans="1:19">
      <c r="A793" s="3" t="s">
        <v>865</v>
      </c>
      <c r="B793" s="31">
        <v>42754.737961145831</v>
      </c>
      <c r="C793" s="31">
        <v>42752.844444444447</v>
      </c>
      <c r="D793" s="3">
        <v>3035829893</v>
      </c>
      <c r="E793" s="3" t="s">
        <v>39</v>
      </c>
      <c r="F793" s="3" t="s">
        <v>234</v>
      </c>
      <c r="G793" s="3" t="s">
        <v>235</v>
      </c>
      <c r="H793" s="3" t="s">
        <v>230</v>
      </c>
      <c r="I793" s="3" t="e">
        <v>#N/A</v>
      </c>
      <c r="J793" s="3" t="s">
        <v>69</v>
      </c>
      <c r="K793" s="3" t="s">
        <v>2977</v>
      </c>
      <c r="L793" s="3" t="s">
        <v>866</v>
      </c>
      <c r="M793" s="3" t="s">
        <v>70</v>
      </c>
      <c r="N793" s="3" t="s">
        <v>71</v>
      </c>
      <c r="O793" s="3" t="s">
        <v>3067</v>
      </c>
      <c r="P793" s="3" t="s">
        <v>872</v>
      </c>
      <c r="Q793" s="31">
        <v>42753</v>
      </c>
      <c r="R793" s="3" t="s">
        <v>62</v>
      </c>
      <c r="S793" s="3" t="s">
        <v>2143</v>
      </c>
    </row>
    <row r="794" spans="1:19">
      <c r="A794" s="3" t="s">
        <v>865</v>
      </c>
      <c r="B794" s="31">
        <v>42754.737961145831</v>
      </c>
      <c r="C794" s="31">
        <v>42752.856944444444</v>
      </c>
      <c r="D794" s="3">
        <v>3035727484</v>
      </c>
      <c r="E794" s="3" t="s">
        <v>39</v>
      </c>
      <c r="F794" s="3" t="s">
        <v>236</v>
      </c>
      <c r="G794" s="3" t="s">
        <v>237</v>
      </c>
      <c r="H794" s="3" t="s">
        <v>238</v>
      </c>
      <c r="I794" s="3" t="s">
        <v>239</v>
      </c>
      <c r="J794" s="3" t="s">
        <v>97</v>
      </c>
      <c r="K794" s="3" t="s">
        <v>2977</v>
      </c>
      <c r="L794" s="3" t="s">
        <v>871</v>
      </c>
      <c r="M794" s="3" t="s">
        <v>84</v>
      </c>
      <c r="N794" s="3" t="s">
        <v>85</v>
      </c>
      <c r="O794" s="3" t="s">
        <v>268</v>
      </c>
      <c r="P794" s="3" t="s">
        <v>875</v>
      </c>
      <c r="Q794" s="31">
        <v>42754</v>
      </c>
      <c r="R794" s="3" t="s">
        <v>62</v>
      </c>
      <c r="S794" s="3" t="s">
        <v>529</v>
      </c>
    </row>
    <row r="795" spans="1:19">
      <c r="A795" s="3" t="s">
        <v>865</v>
      </c>
      <c r="B795" s="31">
        <v>42754.737961145831</v>
      </c>
      <c r="C795" s="31">
        <v>42752.911805555559</v>
      </c>
      <c r="D795" s="3">
        <v>3035867938</v>
      </c>
      <c r="E795" s="3" t="s">
        <v>23</v>
      </c>
      <c r="F795" s="3" t="s">
        <v>186</v>
      </c>
      <c r="G795" s="3" t="s">
        <v>187</v>
      </c>
      <c r="H795" s="3" t="s">
        <v>186</v>
      </c>
      <c r="I795" s="3" t="s">
        <v>187</v>
      </c>
      <c r="J795" s="3" t="s">
        <v>69</v>
      </c>
      <c r="K795" s="3" t="s">
        <v>2976</v>
      </c>
      <c r="L795" s="3" t="s">
        <v>866</v>
      </c>
      <c r="M795" s="3" t="s">
        <v>59</v>
      </c>
      <c r="N795" s="3" t="s">
        <v>60</v>
      </c>
      <c r="O795" s="3" t="s">
        <v>147</v>
      </c>
      <c r="P795" s="3" t="s">
        <v>872</v>
      </c>
      <c r="Q795" s="31">
        <v>42753</v>
      </c>
      <c r="R795" s="3" t="s">
        <v>62</v>
      </c>
      <c r="S795" s="3" t="s">
        <v>62</v>
      </c>
    </row>
    <row r="796" spans="1:19">
      <c r="A796" s="3" t="e">
        <v>#N/A</v>
      </c>
      <c r="B796" s="31" t="e">
        <v>#N/A</v>
      </c>
      <c r="C796" s="31">
        <v>42753.395833333336</v>
      </c>
      <c r="D796" s="3">
        <v>3035837212</v>
      </c>
      <c r="E796" s="3" t="s">
        <v>2978</v>
      </c>
      <c r="F796" s="3" t="s">
        <v>256</v>
      </c>
      <c r="G796" s="3" t="s">
        <v>879</v>
      </c>
      <c r="H796" s="3" t="s">
        <v>142</v>
      </c>
      <c r="I796" s="3" t="s">
        <v>143</v>
      </c>
      <c r="J796" s="3" t="s">
        <v>58</v>
      </c>
      <c r="K796" s="3" t="s">
        <v>2977</v>
      </c>
      <c r="L796" s="3" t="s">
        <v>871</v>
      </c>
      <c r="M796" s="3" t="s">
        <v>84</v>
      </c>
      <c r="N796" s="3" t="s">
        <v>85</v>
      </c>
      <c r="O796" s="3" t="s">
        <v>3057</v>
      </c>
      <c r="P796" s="3" t="s">
        <v>875</v>
      </c>
      <c r="Q796" s="31">
        <v>42754</v>
      </c>
      <c r="R796" s="3" t="s">
        <v>62</v>
      </c>
      <c r="S796" s="3" t="s">
        <v>1355</v>
      </c>
    </row>
    <row r="797" spans="1:19">
      <c r="A797" s="3" t="e">
        <v>#N/A</v>
      </c>
      <c r="B797" s="31" t="e">
        <v>#N/A</v>
      </c>
      <c r="C797" s="31">
        <v>42753.4</v>
      </c>
      <c r="D797" s="3">
        <v>3035784890</v>
      </c>
      <c r="E797" s="3" t="s">
        <v>2978</v>
      </c>
      <c r="F797" s="3" t="s">
        <v>256</v>
      </c>
      <c r="G797" s="3" t="s">
        <v>879</v>
      </c>
      <c r="H797" s="3" t="s">
        <v>142</v>
      </c>
      <c r="I797" s="3" t="s">
        <v>143</v>
      </c>
      <c r="J797" s="3" t="s">
        <v>99</v>
      </c>
      <c r="K797" s="3" t="s">
        <v>2977</v>
      </c>
      <c r="L797" s="3" t="s">
        <v>871</v>
      </c>
      <c r="M797" s="3" t="s">
        <v>84</v>
      </c>
      <c r="N797" s="3" t="s">
        <v>85</v>
      </c>
      <c r="O797" s="3" t="s">
        <v>3057</v>
      </c>
      <c r="P797" s="3" t="s">
        <v>875</v>
      </c>
      <c r="Q797" s="31">
        <v>42754</v>
      </c>
      <c r="R797" s="3" t="s">
        <v>62</v>
      </c>
      <c r="S797" s="3" t="s">
        <v>1355</v>
      </c>
    </row>
    <row r="798" spans="1:19">
      <c r="A798" s="3" t="e">
        <v>#N/A</v>
      </c>
      <c r="B798" s="31" t="e">
        <v>#N/A</v>
      </c>
      <c r="C798" s="31">
        <v>42753.404166666667</v>
      </c>
      <c r="D798" s="3">
        <v>3035773926</v>
      </c>
      <c r="E798" s="3" t="s">
        <v>2978</v>
      </c>
      <c r="F798" s="3" t="s">
        <v>256</v>
      </c>
      <c r="G798" s="3" t="s">
        <v>879</v>
      </c>
      <c r="H798" s="3" t="s">
        <v>142</v>
      </c>
      <c r="I798" s="3" t="s">
        <v>143</v>
      </c>
      <c r="J798" s="3" t="s">
        <v>99</v>
      </c>
      <c r="K798" s="3" t="s">
        <v>2977</v>
      </c>
      <c r="L798" s="3" t="s">
        <v>871</v>
      </c>
      <c r="M798" s="3" t="s">
        <v>84</v>
      </c>
      <c r="N798" s="3" t="s">
        <v>85</v>
      </c>
      <c r="O798" s="3" t="s">
        <v>3057</v>
      </c>
      <c r="P798" s="3" t="s">
        <v>875</v>
      </c>
      <c r="Q798" s="31">
        <v>42754</v>
      </c>
      <c r="R798" s="3" t="s">
        <v>62</v>
      </c>
      <c r="S798" s="3" t="s">
        <v>1355</v>
      </c>
    </row>
    <row r="799" spans="1:19">
      <c r="A799" s="3" t="e">
        <v>#N/A</v>
      </c>
      <c r="B799" s="31" t="e">
        <v>#N/A</v>
      </c>
      <c r="C799" s="31">
        <v>42753.408333333333</v>
      </c>
      <c r="D799" s="3">
        <v>3035880997</v>
      </c>
      <c r="E799" s="3" t="s">
        <v>31</v>
      </c>
      <c r="F799" s="3" t="s">
        <v>200</v>
      </c>
      <c r="G799" s="3" t="s">
        <v>201</v>
      </c>
      <c r="H799" s="3" t="s">
        <v>200</v>
      </c>
      <c r="I799" s="3" t="s">
        <v>201</v>
      </c>
      <c r="J799" s="3" t="s">
        <v>58</v>
      </c>
      <c r="K799" s="3" t="s">
        <v>2977</v>
      </c>
      <c r="L799" s="3" t="s">
        <v>871</v>
      </c>
      <c r="M799" s="3" t="s">
        <v>84</v>
      </c>
      <c r="N799" s="3" t="s">
        <v>85</v>
      </c>
      <c r="O799" s="3" t="s">
        <v>233</v>
      </c>
      <c r="P799" s="3" t="s">
        <v>872</v>
      </c>
      <c r="Q799" s="31">
        <v>42754</v>
      </c>
      <c r="R799" s="3" t="s">
        <v>62</v>
      </c>
      <c r="S799" s="3" t="s">
        <v>92</v>
      </c>
    </row>
    <row r="800" spans="1:19">
      <c r="A800" s="3" t="e">
        <v>#N/A</v>
      </c>
      <c r="B800" s="31" t="e">
        <v>#N/A</v>
      </c>
      <c r="C800" s="31">
        <v>42753.409722222219</v>
      </c>
      <c r="D800" s="3">
        <v>3035762377</v>
      </c>
      <c r="E800" s="3" t="s">
        <v>2978</v>
      </c>
      <c r="F800" s="3" t="s">
        <v>256</v>
      </c>
      <c r="G800" s="3" t="s">
        <v>879</v>
      </c>
      <c r="H800" s="3" t="s">
        <v>142</v>
      </c>
      <c r="I800" s="3" t="s">
        <v>143</v>
      </c>
      <c r="J800" s="3" t="s">
        <v>98</v>
      </c>
      <c r="K800" s="3" t="s">
        <v>2977</v>
      </c>
      <c r="L800" s="3" t="s">
        <v>871</v>
      </c>
      <c r="M800" s="3" t="s">
        <v>84</v>
      </c>
      <c r="N800" s="3" t="s">
        <v>85</v>
      </c>
      <c r="O800" s="3" t="s">
        <v>3057</v>
      </c>
      <c r="P800" s="3" t="s">
        <v>875</v>
      </c>
      <c r="Q800" s="31">
        <v>42754</v>
      </c>
      <c r="R800" s="3" t="s">
        <v>62</v>
      </c>
      <c r="S800" s="3" t="s">
        <v>1355</v>
      </c>
    </row>
    <row r="801" spans="1:19">
      <c r="A801" s="3" t="e">
        <v>#N/A</v>
      </c>
      <c r="B801" s="31" t="e">
        <v>#N/A</v>
      </c>
      <c r="C801" s="31">
        <v>42753.411805555559</v>
      </c>
      <c r="D801" s="3">
        <v>3035701485</v>
      </c>
      <c r="E801" s="3" t="s">
        <v>2978</v>
      </c>
      <c r="F801" s="3" t="s">
        <v>256</v>
      </c>
      <c r="G801" s="3" t="s">
        <v>879</v>
      </c>
      <c r="H801" s="3" t="s">
        <v>142</v>
      </c>
      <c r="I801" s="3" t="s">
        <v>143</v>
      </c>
      <c r="J801" s="3" t="s">
        <v>69</v>
      </c>
      <c r="K801" s="3" t="s">
        <v>2977</v>
      </c>
      <c r="L801" s="3" t="s">
        <v>871</v>
      </c>
      <c r="M801" s="3" t="s">
        <v>84</v>
      </c>
      <c r="N801" s="3" t="s">
        <v>85</v>
      </c>
      <c r="O801" s="3" t="s">
        <v>3057</v>
      </c>
      <c r="P801" s="3" t="s">
        <v>875</v>
      </c>
      <c r="Q801" s="31">
        <v>42754</v>
      </c>
      <c r="R801" s="3" t="s">
        <v>62</v>
      </c>
      <c r="S801" s="3" t="s">
        <v>1355</v>
      </c>
    </row>
    <row r="802" spans="1:19">
      <c r="A802" s="3" t="e">
        <v>#N/A</v>
      </c>
      <c r="B802" s="31" t="e">
        <v>#N/A</v>
      </c>
      <c r="C802" s="31">
        <v>42753.415277777778</v>
      </c>
      <c r="D802" s="3">
        <v>3035749826</v>
      </c>
      <c r="E802" s="3" t="s">
        <v>273</v>
      </c>
      <c r="F802" s="3" t="s">
        <v>909</v>
      </c>
      <c r="G802" s="3" t="s">
        <v>313</v>
      </c>
      <c r="H802" s="3" t="s">
        <v>115</v>
      </c>
      <c r="I802" s="3" t="s">
        <v>116</v>
      </c>
      <c r="J802" s="3" t="s">
        <v>98</v>
      </c>
      <c r="K802" s="3" t="s">
        <v>2977</v>
      </c>
      <c r="L802" s="3" t="s">
        <v>871</v>
      </c>
      <c r="M802" s="3" t="s">
        <v>84</v>
      </c>
      <c r="N802" s="3" t="s">
        <v>85</v>
      </c>
      <c r="O802" s="3" t="s">
        <v>4403</v>
      </c>
      <c r="P802" s="3" t="s">
        <v>872</v>
      </c>
      <c r="Q802" s="31">
        <v>42754</v>
      </c>
      <c r="R802" s="3" t="s">
        <v>62</v>
      </c>
      <c r="S802" s="3" t="s">
        <v>529</v>
      </c>
    </row>
    <row r="803" spans="1:19">
      <c r="A803" s="3" t="e">
        <v>#N/A</v>
      </c>
      <c r="B803" s="31" t="e">
        <v>#N/A</v>
      </c>
      <c r="C803" s="31">
        <v>42753.433333333334</v>
      </c>
      <c r="D803" s="3">
        <v>3035747638</v>
      </c>
      <c r="E803" s="3" t="e">
        <v>#N/A</v>
      </c>
      <c r="F803" s="3" t="s">
        <v>889</v>
      </c>
      <c r="G803" s="3" t="e">
        <v>#N/A</v>
      </c>
      <c r="H803" s="3" t="s">
        <v>115</v>
      </c>
      <c r="I803" s="3" t="s">
        <v>116</v>
      </c>
      <c r="J803" s="3" t="s">
        <v>3599</v>
      </c>
      <c r="K803" s="3" t="s">
        <v>2977</v>
      </c>
      <c r="L803" s="3" t="s">
        <v>866</v>
      </c>
      <c r="M803" s="3" t="s">
        <v>59</v>
      </c>
      <c r="N803" s="3" t="s">
        <v>60</v>
      </c>
      <c r="O803" s="3" t="s">
        <v>147</v>
      </c>
      <c r="P803" s="3" t="s">
        <v>875</v>
      </c>
      <c r="Q803" s="31">
        <v>42754</v>
      </c>
      <c r="R803" s="3" t="s">
        <v>62</v>
      </c>
      <c r="S803" s="3" t="s">
        <v>529</v>
      </c>
    </row>
    <row r="804" spans="1:19">
      <c r="A804" s="3" t="e">
        <v>#N/A</v>
      </c>
      <c r="B804" s="31" t="e">
        <v>#N/A</v>
      </c>
      <c r="C804" s="31">
        <v>42753.441666666666</v>
      </c>
      <c r="D804" s="3">
        <v>3035881253</v>
      </c>
      <c r="E804" s="3" t="s">
        <v>273</v>
      </c>
      <c r="F804" s="3" t="s">
        <v>259</v>
      </c>
      <c r="G804" s="3" t="s">
        <v>260</v>
      </c>
      <c r="H804" s="3" t="s">
        <v>259</v>
      </c>
      <c r="I804" s="3" t="s">
        <v>260</v>
      </c>
      <c r="J804" s="3" t="s">
        <v>98</v>
      </c>
      <c r="K804" s="3" t="s">
        <v>2977</v>
      </c>
      <c r="L804" s="3" t="s">
        <v>866</v>
      </c>
      <c r="M804" s="3" t="s">
        <v>70</v>
      </c>
      <c r="N804" s="3" t="s">
        <v>71</v>
      </c>
      <c r="O804" s="3" t="s">
        <v>4385</v>
      </c>
      <c r="P804" s="3" t="s">
        <v>875</v>
      </c>
      <c r="Q804" s="31">
        <v>42754</v>
      </c>
      <c r="R804" s="3" t="s">
        <v>62</v>
      </c>
      <c r="S804" s="3" t="s">
        <v>2985</v>
      </c>
    </row>
    <row r="805" spans="1:19">
      <c r="A805" s="3" t="e">
        <v>#N/A</v>
      </c>
      <c r="B805" s="31" t="e">
        <v>#N/A</v>
      </c>
      <c r="C805" s="31">
        <v>42753.444444444445</v>
      </c>
      <c r="D805" s="3">
        <v>3035881859</v>
      </c>
      <c r="E805" s="3" t="s">
        <v>23</v>
      </c>
      <c r="F805" s="3" t="s">
        <v>137</v>
      </c>
      <c r="G805" s="3" t="s">
        <v>138</v>
      </c>
      <c r="H805" s="3" t="s">
        <v>137</v>
      </c>
      <c r="I805" s="3" t="s">
        <v>138</v>
      </c>
      <c r="J805" s="3" t="s">
        <v>69</v>
      </c>
      <c r="K805" s="3" t="s">
        <v>2976</v>
      </c>
      <c r="L805" s="3" t="s">
        <v>871</v>
      </c>
      <c r="M805" s="3" t="s">
        <v>84</v>
      </c>
      <c r="N805" s="3" t="s">
        <v>85</v>
      </c>
      <c r="O805" s="3" t="s">
        <v>322</v>
      </c>
      <c r="P805" s="3" t="s">
        <v>872</v>
      </c>
      <c r="Q805" s="31">
        <v>42754</v>
      </c>
      <c r="R805" s="3" t="s">
        <v>62</v>
      </c>
      <c r="S805" s="3" t="s">
        <v>62</v>
      </c>
    </row>
    <row r="806" spans="1:19">
      <c r="A806" s="3" t="e">
        <v>#N/A</v>
      </c>
      <c r="B806" s="31" t="e">
        <v>#N/A</v>
      </c>
      <c r="C806" s="31">
        <v>42753.447222222225</v>
      </c>
      <c r="D806" s="3">
        <v>3035845236</v>
      </c>
      <c r="E806" s="3" t="s">
        <v>273</v>
      </c>
      <c r="F806" s="3" t="s">
        <v>153</v>
      </c>
      <c r="G806" s="3" t="s">
        <v>892</v>
      </c>
      <c r="H806" s="3" t="s">
        <v>115</v>
      </c>
      <c r="I806" s="3" t="s">
        <v>116</v>
      </c>
      <c r="J806" s="3" t="s">
        <v>58</v>
      </c>
      <c r="K806" s="3" t="s">
        <v>2977</v>
      </c>
      <c r="L806" s="3" t="s">
        <v>866</v>
      </c>
      <c r="M806" s="3" t="s">
        <v>70</v>
      </c>
      <c r="N806" s="3" t="s">
        <v>71</v>
      </c>
      <c r="O806" s="3" t="s">
        <v>3067</v>
      </c>
      <c r="P806" s="3" t="s">
        <v>872</v>
      </c>
      <c r="Q806" s="31">
        <v>42754</v>
      </c>
      <c r="R806" s="3" t="s">
        <v>62</v>
      </c>
      <c r="S806" s="3" t="s">
        <v>529</v>
      </c>
    </row>
    <row r="807" spans="1:19">
      <c r="A807" s="3" t="e">
        <v>#N/A</v>
      </c>
      <c r="B807" s="31" t="e">
        <v>#N/A</v>
      </c>
      <c r="C807" s="31">
        <v>42753.45</v>
      </c>
      <c r="D807" s="3">
        <v>3035774314</v>
      </c>
      <c r="E807" s="3" t="s">
        <v>9</v>
      </c>
      <c r="F807" s="3" t="s">
        <v>94</v>
      </c>
      <c r="G807" s="3" t="s">
        <v>95</v>
      </c>
      <c r="H807" s="3" t="s">
        <v>73</v>
      </c>
      <c r="I807" s="3" t="s">
        <v>74</v>
      </c>
      <c r="J807" s="3" t="s">
        <v>69</v>
      </c>
      <c r="K807" s="3" t="s">
        <v>2976</v>
      </c>
      <c r="L807" s="3" t="s">
        <v>871</v>
      </c>
      <c r="M807" s="3" t="s">
        <v>84</v>
      </c>
      <c r="N807" s="3" t="s">
        <v>85</v>
      </c>
      <c r="O807" s="3" t="s">
        <v>233</v>
      </c>
      <c r="P807" s="3" t="s">
        <v>872</v>
      </c>
      <c r="Q807" s="31">
        <v>42754</v>
      </c>
      <c r="R807" s="3" t="s">
        <v>62</v>
      </c>
      <c r="S807" s="3" t="s">
        <v>62</v>
      </c>
    </row>
    <row r="808" spans="1:19">
      <c r="A808" s="3" t="e">
        <v>#N/A</v>
      </c>
      <c r="B808" s="31" t="e">
        <v>#N/A</v>
      </c>
      <c r="C808" s="31">
        <v>42753.451388888891</v>
      </c>
      <c r="D808" s="3">
        <v>3035747372</v>
      </c>
      <c r="E808" s="3" t="s">
        <v>273</v>
      </c>
      <c r="F808" s="3" t="s">
        <v>261</v>
      </c>
      <c r="G808" s="3" t="s">
        <v>311</v>
      </c>
      <c r="H808" s="3" t="s">
        <v>115</v>
      </c>
      <c r="I808" s="3" t="s">
        <v>116</v>
      </c>
      <c r="J808" s="3" t="s">
        <v>144</v>
      </c>
      <c r="K808" s="3" t="s">
        <v>2977</v>
      </c>
      <c r="L808" s="3" t="s">
        <v>866</v>
      </c>
      <c r="M808" s="3" t="s">
        <v>70</v>
      </c>
      <c r="N808" s="3" t="s">
        <v>75</v>
      </c>
      <c r="O808" s="3" t="s">
        <v>3624</v>
      </c>
      <c r="P808" s="3" t="s">
        <v>875</v>
      </c>
      <c r="Q808" s="31">
        <v>42754</v>
      </c>
      <c r="R808" s="3" t="s">
        <v>62</v>
      </c>
      <c r="S808" s="3" t="s">
        <v>529</v>
      </c>
    </row>
    <row r="809" spans="1:19">
      <c r="A809" s="3" t="e">
        <v>#N/A</v>
      </c>
      <c r="B809" s="31" t="e">
        <v>#N/A</v>
      </c>
      <c r="C809" s="31">
        <v>42753.453472222223</v>
      </c>
      <c r="D809" s="3">
        <v>3035882231</v>
      </c>
      <c r="E809" s="3" t="s">
        <v>9</v>
      </c>
      <c r="F809" s="3" t="s">
        <v>67</v>
      </c>
      <c r="G809" s="3" t="s">
        <v>68</v>
      </c>
      <c r="H809" s="3" t="s">
        <v>67</v>
      </c>
      <c r="I809" s="3" t="s">
        <v>68</v>
      </c>
      <c r="J809" s="3" t="s">
        <v>69</v>
      </c>
      <c r="K809" s="3" t="s">
        <v>2976</v>
      </c>
      <c r="L809" s="3" t="s">
        <v>866</v>
      </c>
      <c r="M809" s="3" t="s">
        <v>59</v>
      </c>
      <c r="N809" s="3" t="s">
        <v>60</v>
      </c>
      <c r="O809" s="3" t="s">
        <v>147</v>
      </c>
      <c r="P809" s="3" t="s">
        <v>875</v>
      </c>
      <c r="Q809" s="31">
        <v>42754</v>
      </c>
      <c r="R809" s="3" t="s">
        <v>62</v>
      </c>
      <c r="S809" s="3" t="s">
        <v>62</v>
      </c>
    </row>
    <row r="810" spans="1:19">
      <c r="A810" s="3" t="e">
        <v>#N/A</v>
      </c>
      <c r="B810" s="31" t="e">
        <v>#N/A</v>
      </c>
      <c r="C810" s="31">
        <v>42753.459722222222</v>
      </c>
      <c r="D810" s="3">
        <v>3035882481</v>
      </c>
      <c r="E810" s="3" t="s">
        <v>9</v>
      </c>
      <c r="F810" s="3" t="s">
        <v>56</v>
      </c>
      <c r="G810" s="3" t="s">
        <v>57</v>
      </c>
      <c r="H810" s="3" t="s">
        <v>56</v>
      </c>
      <c r="I810" s="3" t="s">
        <v>57</v>
      </c>
      <c r="J810" s="3" t="s">
        <v>58</v>
      </c>
      <c r="K810" s="3" t="s">
        <v>2976</v>
      </c>
      <c r="L810" s="3" t="s">
        <v>871</v>
      </c>
      <c r="M810" s="3" t="s">
        <v>84</v>
      </c>
      <c r="N810" s="3" t="s">
        <v>85</v>
      </c>
      <c r="O810" s="3" t="s">
        <v>233</v>
      </c>
      <c r="P810" s="3" t="s">
        <v>872</v>
      </c>
      <c r="Q810" s="31">
        <v>42754</v>
      </c>
      <c r="R810" s="3" t="s">
        <v>62</v>
      </c>
      <c r="S810" s="3" t="s">
        <v>62</v>
      </c>
    </row>
    <row r="811" spans="1:19">
      <c r="A811" s="3" t="e">
        <v>#N/A</v>
      </c>
      <c r="B811" s="31" t="e">
        <v>#N/A</v>
      </c>
      <c r="C811" s="31">
        <v>42753.461805555555</v>
      </c>
      <c r="D811" s="3">
        <v>3035823425</v>
      </c>
      <c r="E811" s="3" t="s">
        <v>9</v>
      </c>
      <c r="F811" s="3" t="s">
        <v>67</v>
      </c>
      <c r="G811" s="3" t="s">
        <v>68</v>
      </c>
      <c r="H811" s="3" t="s">
        <v>73</v>
      </c>
      <c r="I811" s="3" t="s">
        <v>74</v>
      </c>
      <c r="J811" s="3" t="s">
        <v>69</v>
      </c>
      <c r="K811" s="3" t="s">
        <v>2976</v>
      </c>
      <c r="L811" s="3" t="s">
        <v>866</v>
      </c>
      <c r="M811" s="3" t="s">
        <v>59</v>
      </c>
      <c r="N811" s="3" t="s">
        <v>60</v>
      </c>
      <c r="O811" s="3" t="s">
        <v>147</v>
      </c>
      <c r="P811" s="3" t="s">
        <v>875</v>
      </c>
      <c r="Q811" s="31">
        <v>42754</v>
      </c>
      <c r="R811" s="3" t="s">
        <v>62</v>
      </c>
      <c r="S811" s="3" t="s">
        <v>62</v>
      </c>
    </row>
    <row r="812" spans="1:19">
      <c r="A812" s="3" t="e">
        <v>#N/A</v>
      </c>
      <c r="B812" s="31" t="e">
        <v>#N/A</v>
      </c>
      <c r="C812" s="31">
        <v>42753.463194444441</v>
      </c>
      <c r="D812" s="3">
        <v>3035882543</v>
      </c>
      <c r="E812" s="3" t="s">
        <v>39</v>
      </c>
      <c r="F812" s="3" t="s">
        <v>231</v>
      </c>
      <c r="G812" s="3" t="s">
        <v>232</v>
      </c>
      <c r="H812" s="3" t="s">
        <v>231</v>
      </c>
      <c r="I812" s="3" t="s">
        <v>232</v>
      </c>
      <c r="J812" s="3" t="s">
        <v>69</v>
      </c>
      <c r="K812" s="3" t="s">
        <v>2977</v>
      </c>
      <c r="L812" s="3" t="s">
        <v>871</v>
      </c>
      <c r="M812" s="3" t="s">
        <v>84</v>
      </c>
      <c r="N812" s="3" t="s">
        <v>85</v>
      </c>
      <c r="O812" s="3" t="s">
        <v>233</v>
      </c>
      <c r="P812" s="3" t="s">
        <v>872</v>
      </c>
      <c r="Q812" s="31">
        <v>42754</v>
      </c>
      <c r="R812" s="3" t="s">
        <v>62</v>
      </c>
      <c r="S812" s="3" t="s">
        <v>92</v>
      </c>
    </row>
    <row r="813" spans="1:19">
      <c r="A813" s="3" t="e">
        <v>#N/A</v>
      </c>
      <c r="B813" s="31" t="e">
        <v>#N/A</v>
      </c>
      <c r="C813" s="31">
        <v>42753.465277777781</v>
      </c>
      <c r="D813" s="3">
        <v>3035882540</v>
      </c>
      <c r="E813" s="3" t="e">
        <v>#N/A</v>
      </c>
      <c r="F813" s="3" t="s">
        <v>889</v>
      </c>
      <c r="G813" s="3" t="e">
        <v>#N/A</v>
      </c>
      <c r="H813" s="3" t="s">
        <v>889</v>
      </c>
      <c r="I813" s="3" t="e">
        <v>#N/A</v>
      </c>
      <c r="J813" s="3" t="s">
        <v>98</v>
      </c>
      <c r="K813" s="3" t="s">
        <v>2977</v>
      </c>
      <c r="L813" s="3" t="s">
        <v>871</v>
      </c>
      <c r="M813" s="3" t="s">
        <v>84</v>
      </c>
      <c r="N813" s="3" t="s">
        <v>85</v>
      </c>
      <c r="O813" s="3" t="s">
        <v>4404</v>
      </c>
      <c r="P813" s="3" t="s">
        <v>872</v>
      </c>
      <c r="Q813" s="31">
        <v>42754</v>
      </c>
      <c r="R813" s="3" t="s">
        <v>62</v>
      </c>
      <c r="S813" s="3" t="s">
        <v>2143</v>
      </c>
    </row>
    <row r="814" spans="1:19">
      <c r="A814" s="3" t="e">
        <v>#N/A</v>
      </c>
      <c r="B814" s="31" t="e">
        <v>#N/A</v>
      </c>
      <c r="C814" s="31">
        <v>42753.473611111112</v>
      </c>
      <c r="D814" s="3">
        <v>3035641471</v>
      </c>
      <c r="E814" s="3" t="s">
        <v>9</v>
      </c>
      <c r="F814" s="3" t="s">
        <v>158</v>
      </c>
      <c r="G814" s="3" t="s">
        <v>159</v>
      </c>
      <c r="H814" s="3" t="s">
        <v>73</v>
      </c>
      <c r="I814" s="3" t="s">
        <v>74</v>
      </c>
      <c r="J814" s="3" t="s">
        <v>97</v>
      </c>
      <c r="K814" s="3" t="s">
        <v>2976</v>
      </c>
      <c r="L814" s="3" t="s">
        <v>871</v>
      </c>
      <c r="M814" s="3" t="s">
        <v>84</v>
      </c>
      <c r="N814" s="3" t="s">
        <v>85</v>
      </c>
      <c r="O814" s="3" t="s">
        <v>233</v>
      </c>
      <c r="P814" s="3" t="s">
        <v>872</v>
      </c>
      <c r="Q814" s="31">
        <v>42754</v>
      </c>
      <c r="R814" s="3" t="s">
        <v>62</v>
      </c>
      <c r="S814" s="3" t="s">
        <v>62</v>
      </c>
    </row>
    <row r="815" spans="1:19">
      <c r="A815" s="3" t="e">
        <v>#N/A</v>
      </c>
      <c r="B815" s="31" t="e">
        <v>#N/A</v>
      </c>
      <c r="C815" s="31">
        <v>42753.474305555559</v>
      </c>
      <c r="D815" s="3">
        <v>3035847817</v>
      </c>
      <c r="E815" s="3" t="s">
        <v>31</v>
      </c>
      <c r="F815" s="3" t="s">
        <v>227</v>
      </c>
      <c r="G815" s="3" t="s">
        <v>228</v>
      </c>
      <c r="H815" s="3" t="s">
        <v>115</v>
      </c>
      <c r="I815" s="3" t="s">
        <v>116</v>
      </c>
      <c r="J815" s="3" t="s">
        <v>98</v>
      </c>
      <c r="K815" s="3" t="s">
        <v>2977</v>
      </c>
      <c r="L815" s="3" t="s">
        <v>871</v>
      </c>
      <c r="M815" s="3" t="s">
        <v>84</v>
      </c>
      <c r="N815" s="3" t="s">
        <v>85</v>
      </c>
      <c r="O815" s="3" t="s">
        <v>233</v>
      </c>
      <c r="P815" s="3" t="s">
        <v>875</v>
      </c>
      <c r="Q815" s="31">
        <v>42754</v>
      </c>
      <c r="R815" s="3" t="s">
        <v>62</v>
      </c>
      <c r="S815" s="3" t="s">
        <v>529</v>
      </c>
    </row>
    <row r="816" spans="1:19">
      <c r="A816" s="3" t="e">
        <v>#N/A</v>
      </c>
      <c r="B816" s="31" t="e">
        <v>#N/A</v>
      </c>
      <c r="C816" s="31">
        <v>42753.477083333331</v>
      </c>
      <c r="D816" s="3">
        <v>3035641778</v>
      </c>
      <c r="E816" s="3" t="s">
        <v>9</v>
      </c>
      <c r="F816" s="3" t="s">
        <v>94</v>
      </c>
      <c r="G816" s="3" t="s">
        <v>95</v>
      </c>
      <c r="H816" s="3" t="s">
        <v>103</v>
      </c>
      <c r="I816" s="3" t="s">
        <v>104</v>
      </c>
      <c r="J816" s="3" t="s">
        <v>58</v>
      </c>
      <c r="K816" s="3" t="s">
        <v>2977</v>
      </c>
      <c r="L816" s="3" t="s">
        <v>871</v>
      </c>
      <c r="M816" s="3" t="s">
        <v>65</v>
      </c>
      <c r="N816" s="3" t="s">
        <v>66</v>
      </c>
      <c r="O816" s="3" t="s">
        <v>880</v>
      </c>
      <c r="P816" s="3" t="s">
        <v>875</v>
      </c>
      <c r="Q816" s="31">
        <v>42754</v>
      </c>
      <c r="R816" s="3" t="s">
        <v>62</v>
      </c>
      <c r="S816" s="3" t="s">
        <v>65</v>
      </c>
    </row>
    <row r="817" spans="1:19">
      <c r="A817" s="3" t="e">
        <v>#N/A</v>
      </c>
      <c r="B817" s="31" t="e">
        <v>#N/A</v>
      </c>
      <c r="C817" s="31">
        <v>42753.477777777778</v>
      </c>
      <c r="D817" s="3">
        <v>3035651112</v>
      </c>
      <c r="E817" s="3" t="s">
        <v>9</v>
      </c>
      <c r="F817" s="3" t="s">
        <v>94</v>
      </c>
      <c r="G817" s="3" t="s">
        <v>95</v>
      </c>
      <c r="H817" s="3" t="s">
        <v>2986</v>
      </c>
      <c r="I817" s="3" t="s">
        <v>645</v>
      </c>
      <c r="J817" s="3" t="s">
        <v>58</v>
      </c>
      <c r="K817" s="3" t="s">
        <v>2977</v>
      </c>
      <c r="L817" s="3" t="s">
        <v>871</v>
      </c>
      <c r="M817" s="3" t="s">
        <v>65</v>
      </c>
      <c r="N817" s="3" t="s">
        <v>66</v>
      </c>
      <c r="O817" s="3" t="s">
        <v>880</v>
      </c>
      <c r="P817" s="3" t="s">
        <v>875</v>
      </c>
      <c r="Q817" s="31">
        <v>42754</v>
      </c>
      <c r="R817" s="3" t="s">
        <v>62</v>
      </c>
      <c r="S817" s="3" t="s">
        <v>65</v>
      </c>
    </row>
    <row r="818" spans="1:19">
      <c r="A818" s="3" t="e">
        <v>#N/A</v>
      </c>
      <c r="B818" s="31" t="e">
        <v>#N/A</v>
      </c>
      <c r="C818" s="31">
        <v>42753.488194444442</v>
      </c>
      <c r="D818" s="3">
        <v>3035883084</v>
      </c>
      <c r="E818" s="3" t="s">
        <v>23</v>
      </c>
      <c r="F818" s="3" t="s">
        <v>179</v>
      </c>
      <c r="G818" s="3" t="s">
        <v>180</v>
      </c>
      <c r="H818" s="3" t="s">
        <v>179</v>
      </c>
      <c r="I818" s="3" t="s">
        <v>180</v>
      </c>
      <c r="J818" s="3" t="s">
        <v>69</v>
      </c>
      <c r="K818" s="3" t="s">
        <v>2976</v>
      </c>
      <c r="L818" s="3" t="s">
        <v>866</v>
      </c>
      <c r="M818" s="3" t="s">
        <v>70</v>
      </c>
      <c r="N818" s="3" t="s">
        <v>71</v>
      </c>
      <c r="O818" s="3" t="s">
        <v>4386</v>
      </c>
      <c r="P818" s="3" t="s">
        <v>875</v>
      </c>
      <c r="Q818" s="31">
        <v>42754</v>
      </c>
      <c r="R818" s="3" t="s">
        <v>62</v>
      </c>
      <c r="S818" s="3" t="s">
        <v>62</v>
      </c>
    </row>
    <row r="819" spans="1:19">
      <c r="A819" s="3" t="e">
        <v>#N/A</v>
      </c>
      <c r="B819" s="31" t="e">
        <v>#N/A</v>
      </c>
      <c r="C819" s="31">
        <v>42753.494444444441</v>
      </c>
      <c r="D819" s="3">
        <v>3035883575</v>
      </c>
      <c r="E819" s="3" t="s">
        <v>9</v>
      </c>
      <c r="F819" s="3" t="s">
        <v>67</v>
      </c>
      <c r="G819" s="3" t="s">
        <v>68</v>
      </c>
      <c r="H819" s="3" t="s">
        <v>67</v>
      </c>
      <c r="I819" s="3" t="s">
        <v>68</v>
      </c>
      <c r="J819" s="3" t="s">
        <v>69</v>
      </c>
      <c r="K819" s="3" t="s">
        <v>2976</v>
      </c>
      <c r="L819" s="3" t="s">
        <v>871</v>
      </c>
      <c r="M819" s="3" t="s">
        <v>84</v>
      </c>
      <c r="N819" s="3" t="s">
        <v>85</v>
      </c>
      <c r="O819" s="3" t="s">
        <v>233</v>
      </c>
      <c r="P819" s="3" t="s">
        <v>875</v>
      </c>
      <c r="Q819" s="31">
        <v>42754</v>
      </c>
      <c r="R819" s="3" t="s">
        <v>62</v>
      </c>
      <c r="S819" s="3" t="s">
        <v>62</v>
      </c>
    </row>
    <row r="820" spans="1:19">
      <c r="A820" s="3" t="e">
        <v>#N/A</v>
      </c>
      <c r="B820" s="31" t="e">
        <v>#N/A</v>
      </c>
      <c r="C820" s="31">
        <v>42753.495833333334</v>
      </c>
      <c r="D820" s="3">
        <v>3035883618</v>
      </c>
      <c r="E820" s="3" t="s">
        <v>31</v>
      </c>
      <c r="F820" s="3" t="s">
        <v>113</v>
      </c>
      <c r="G820" s="3" t="s">
        <v>114</v>
      </c>
      <c r="H820" s="3" t="s">
        <v>113</v>
      </c>
      <c r="I820" s="3" t="s">
        <v>114</v>
      </c>
      <c r="J820" s="3" t="s">
        <v>69</v>
      </c>
      <c r="K820" s="3" t="s">
        <v>2976</v>
      </c>
      <c r="L820" s="3" t="s">
        <v>871</v>
      </c>
      <c r="M820" s="3" t="s">
        <v>84</v>
      </c>
      <c r="N820" s="3" t="s">
        <v>85</v>
      </c>
      <c r="O820" s="3" t="s">
        <v>233</v>
      </c>
      <c r="P820" s="3" t="s">
        <v>875</v>
      </c>
      <c r="Q820" s="31">
        <v>42754</v>
      </c>
      <c r="R820" s="3" t="s">
        <v>62</v>
      </c>
      <c r="S820" s="3" t="s">
        <v>62</v>
      </c>
    </row>
    <row r="821" spans="1:19">
      <c r="A821" s="3" t="e">
        <v>#N/A</v>
      </c>
      <c r="B821" s="31" t="e">
        <v>#N/A</v>
      </c>
      <c r="C821" s="31">
        <v>42753.503472222219</v>
      </c>
      <c r="D821" s="3">
        <v>3035861586</v>
      </c>
      <c r="E821" s="3" t="s">
        <v>2978</v>
      </c>
      <c r="F821" s="3" t="s">
        <v>256</v>
      </c>
      <c r="G821" s="3" t="s">
        <v>879</v>
      </c>
      <c r="H821" s="3" t="s">
        <v>142</v>
      </c>
      <c r="I821" s="3" t="s">
        <v>143</v>
      </c>
      <c r="J821" s="3" t="s">
        <v>69</v>
      </c>
      <c r="K821" s="3" t="s">
        <v>2977</v>
      </c>
      <c r="L821" s="3" t="s">
        <v>866</v>
      </c>
      <c r="M821" s="3" t="s">
        <v>70</v>
      </c>
      <c r="N821" s="3" t="s">
        <v>75</v>
      </c>
      <c r="O821" s="3" t="s">
        <v>4385</v>
      </c>
      <c r="P821" s="3" t="s">
        <v>875</v>
      </c>
      <c r="Q821" s="31">
        <v>42754</v>
      </c>
      <c r="R821" s="3" t="s">
        <v>62</v>
      </c>
      <c r="S821" s="3" t="s">
        <v>1355</v>
      </c>
    </row>
    <row r="822" spans="1:19">
      <c r="A822" s="3" t="e">
        <v>#N/A</v>
      </c>
      <c r="B822" s="31" t="e">
        <v>#N/A</v>
      </c>
      <c r="C822" s="31">
        <v>42753.520833333336</v>
      </c>
      <c r="D822" s="3">
        <v>3035884533</v>
      </c>
      <c r="E822" s="3" t="s">
        <v>31</v>
      </c>
      <c r="F822" s="3" t="s">
        <v>216</v>
      </c>
      <c r="G822" s="3" t="s">
        <v>217</v>
      </c>
      <c r="H822" s="3" t="s">
        <v>216</v>
      </c>
      <c r="I822" s="3" t="s">
        <v>217</v>
      </c>
      <c r="J822" s="3" t="s">
        <v>69</v>
      </c>
      <c r="K822" s="3" t="s">
        <v>2977</v>
      </c>
      <c r="L822" s="3" t="s">
        <v>866</v>
      </c>
      <c r="M822" s="3" t="s">
        <v>70</v>
      </c>
      <c r="N822" s="3" t="s">
        <v>71</v>
      </c>
      <c r="O822" s="3" t="s">
        <v>4387</v>
      </c>
      <c r="P822" s="3" t="s">
        <v>875</v>
      </c>
      <c r="Q822" s="31">
        <v>42754</v>
      </c>
      <c r="R822" s="3" t="s">
        <v>62</v>
      </c>
      <c r="S822" s="3" t="s">
        <v>92</v>
      </c>
    </row>
    <row r="823" spans="1:19">
      <c r="A823" s="3" t="e">
        <v>#N/A</v>
      </c>
      <c r="B823" s="31" t="e">
        <v>#N/A</v>
      </c>
      <c r="C823" s="31">
        <v>42753.524305555555</v>
      </c>
      <c r="D823" s="3">
        <v>3035808858</v>
      </c>
      <c r="E823" s="3" t="s">
        <v>9</v>
      </c>
      <c r="F823" s="3" t="s">
        <v>109</v>
      </c>
      <c r="G823" s="3" t="s">
        <v>110</v>
      </c>
      <c r="H823" s="3" t="s">
        <v>73</v>
      </c>
      <c r="I823" s="3" t="s">
        <v>74</v>
      </c>
      <c r="J823" s="3" t="s">
        <v>69</v>
      </c>
      <c r="K823" s="3" t="s">
        <v>2976</v>
      </c>
      <c r="L823" s="3" t="s">
        <v>871</v>
      </c>
      <c r="M823" s="3" t="s">
        <v>84</v>
      </c>
      <c r="N823" s="3" t="s">
        <v>85</v>
      </c>
      <c r="O823" s="3" t="s">
        <v>233</v>
      </c>
      <c r="P823" s="3" t="s">
        <v>875</v>
      </c>
      <c r="Q823" s="31">
        <v>42754</v>
      </c>
      <c r="R823" s="3" t="s">
        <v>62</v>
      </c>
      <c r="S823" s="3" t="s">
        <v>62</v>
      </c>
    </row>
    <row r="824" spans="1:19">
      <c r="A824" s="3" t="e">
        <v>#N/A</v>
      </c>
      <c r="B824" s="31" t="e">
        <v>#N/A</v>
      </c>
      <c r="C824" s="31">
        <v>42753.524305555555</v>
      </c>
      <c r="D824" s="3">
        <v>3035884736</v>
      </c>
      <c r="E824" s="3" t="s">
        <v>9</v>
      </c>
      <c r="F824" s="3" t="s">
        <v>109</v>
      </c>
      <c r="G824" s="3" t="s">
        <v>110</v>
      </c>
      <c r="H824" s="3" t="s">
        <v>109</v>
      </c>
      <c r="I824" s="3" t="s">
        <v>110</v>
      </c>
      <c r="J824" s="3" t="s">
        <v>98</v>
      </c>
      <c r="K824" s="3" t="s">
        <v>2976</v>
      </c>
      <c r="L824" s="3" t="s">
        <v>871</v>
      </c>
      <c r="M824" s="3" t="s">
        <v>84</v>
      </c>
      <c r="N824" s="3" t="s">
        <v>85</v>
      </c>
      <c r="O824" s="3" t="s">
        <v>233</v>
      </c>
      <c r="P824" s="3" t="s">
        <v>875</v>
      </c>
      <c r="Q824" s="31">
        <v>42754</v>
      </c>
      <c r="R824" s="3" t="s">
        <v>62</v>
      </c>
      <c r="S824" s="3" t="s">
        <v>62</v>
      </c>
    </row>
    <row r="825" spans="1:19">
      <c r="A825" s="3" t="e">
        <v>#N/A</v>
      </c>
      <c r="B825" s="31" t="e">
        <v>#N/A</v>
      </c>
      <c r="C825" s="31">
        <v>42753.527777777781</v>
      </c>
      <c r="D825" s="3">
        <v>3035884873</v>
      </c>
      <c r="E825" s="3" t="s">
        <v>31</v>
      </c>
      <c r="F825" s="3" t="s">
        <v>223</v>
      </c>
      <c r="G825" s="3" t="s">
        <v>224</v>
      </c>
      <c r="H825" s="3" t="s">
        <v>223</v>
      </c>
      <c r="I825" s="3" t="s">
        <v>224</v>
      </c>
      <c r="J825" s="3" t="s">
        <v>69</v>
      </c>
      <c r="K825" s="3" t="s">
        <v>2977</v>
      </c>
      <c r="L825" s="3" t="s">
        <v>866</v>
      </c>
      <c r="M825" s="3" t="s">
        <v>59</v>
      </c>
      <c r="N825" s="3" t="s">
        <v>60</v>
      </c>
      <c r="O825" s="3" t="s">
        <v>147</v>
      </c>
      <c r="P825" s="3" t="s">
        <v>875</v>
      </c>
      <c r="Q825" s="31">
        <v>42754</v>
      </c>
      <c r="R825" s="3" t="s">
        <v>62</v>
      </c>
      <c r="S825" s="3" t="s">
        <v>92</v>
      </c>
    </row>
    <row r="826" spans="1:19">
      <c r="A826" s="3" t="e">
        <v>#N/A</v>
      </c>
      <c r="B826" s="31" t="e">
        <v>#N/A</v>
      </c>
      <c r="C826" s="31">
        <v>42753.539583333331</v>
      </c>
      <c r="D826" s="3">
        <v>3035885541</v>
      </c>
      <c r="E826" s="3" t="s">
        <v>9</v>
      </c>
      <c r="F826" s="3" t="s">
        <v>111</v>
      </c>
      <c r="G826" s="3" t="s">
        <v>112</v>
      </c>
      <c r="H826" s="3" t="s">
        <v>111</v>
      </c>
      <c r="I826" s="3" t="s">
        <v>112</v>
      </c>
      <c r="J826" s="3" t="s">
        <v>69</v>
      </c>
      <c r="K826" s="3" t="s">
        <v>2976</v>
      </c>
      <c r="L826" s="3" t="s">
        <v>866</v>
      </c>
      <c r="M826" s="3" t="s">
        <v>59</v>
      </c>
      <c r="N826" s="3" t="s">
        <v>60</v>
      </c>
      <c r="O826" s="3" t="s">
        <v>147</v>
      </c>
      <c r="P826" s="3" t="s">
        <v>875</v>
      </c>
      <c r="Q826" s="31">
        <v>42754</v>
      </c>
      <c r="R826" s="3" t="s">
        <v>62</v>
      </c>
      <c r="S826" s="3" t="s">
        <v>62</v>
      </c>
    </row>
    <row r="827" spans="1:19">
      <c r="A827" s="3" t="e">
        <v>#N/A</v>
      </c>
      <c r="B827" s="31" t="e">
        <v>#N/A</v>
      </c>
      <c r="C827" s="31">
        <v>42753.540972222225</v>
      </c>
      <c r="D827" s="3">
        <v>3035885646</v>
      </c>
      <c r="E827" s="3" t="s">
        <v>9</v>
      </c>
      <c r="F827" s="3" t="s">
        <v>109</v>
      </c>
      <c r="G827" s="3" t="s">
        <v>110</v>
      </c>
      <c r="H827" s="3" t="s">
        <v>109</v>
      </c>
      <c r="I827" s="3" t="s">
        <v>110</v>
      </c>
      <c r="J827" s="3" t="s">
        <v>69</v>
      </c>
      <c r="K827" s="3" t="s">
        <v>2976</v>
      </c>
      <c r="L827" s="3" t="s">
        <v>866</v>
      </c>
      <c r="M827" s="3" t="s">
        <v>70</v>
      </c>
      <c r="N827" s="3" t="s">
        <v>71</v>
      </c>
      <c r="O827" s="3" t="s">
        <v>4388</v>
      </c>
      <c r="P827" s="3" t="s">
        <v>875</v>
      </c>
      <c r="Q827" s="31">
        <v>42754</v>
      </c>
      <c r="R827" s="3" t="s">
        <v>62</v>
      </c>
      <c r="S827" s="3" t="s">
        <v>62</v>
      </c>
    </row>
    <row r="828" spans="1:19">
      <c r="A828" s="3" t="e">
        <v>#N/A</v>
      </c>
      <c r="B828" s="31" t="e">
        <v>#N/A</v>
      </c>
      <c r="C828" s="31">
        <v>42753.554861111108</v>
      </c>
      <c r="D828" s="3">
        <v>3035886111</v>
      </c>
      <c r="E828" s="3" t="s">
        <v>23</v>
      </c>
      <c r="F828" s="3" t="s">
        <v>179</v>
      </c>
      <c r="G828" s="3" t="s">
        <v>180</v>
      </c>
      <c r="H828" s="3" t="s">
        <v>179</v>
      </c>
      <c r="I828" s="3" t="s">
        <v>180</v>
      </c>
      <c r="J828" s="3" t="s">
        <v>69</v>
      </c>
      <c r="K828" s="3" t="s">
        <v>2976</v>
      </c>
      <c r="L828" s="3" t="s">
        <v>871</v>
      </c>
      <c r="M828" s="3" t="s">
        <v>84</v>
      </c>
      <c r="N828" s="3" t="s">
        <v>85</v>
      </c>
      <c r="O828" s="3" t="s">
        <v>3046</v>
      </c>
      <c r="P828" s="3" t="s">
        <v>875</v>
      </c>
      <c r="Q828" s="31">
        <v>42754</v>
      </c>
      <c r="R828" s="3" t="s">
        <v>62</v>
      </c>
      <c r="S828" s="3" t="s">
        <v>62</v>
      </c>
    </row>
    <row r="829" spans="1:19">
      <c r="A829" s="3" t="e">
        <v>#N/A</v>
      </c>
      <c r="B829" s="31" t="e">
        <v>#N/A</v>
      </c>
      <c r="C829" s="31">
        <v>42753.560416666667</v>
      </c>
      <c r="D829" s="3">
        <v>3035845590</v>
      </c>
      <c r="E829" s="3" t="s">
        <v>9</v>
      </c>
      <c r="F829" s="3" t="s">
        <v>107</v>
      </c>
      <c r="G829" s="3" t="s">
        <v>108</v>
      </c>
      <c r="H829" s="3" t="s">
        <v>82</v>
      </c>
      <c r="I829" s="3" t="s">
        <v>83</v>
      </c>
      <c r="J829" s="3" t="s">
        <v>58</v>
      </c>
      <c r="K829" s="3" t="s">
        <v>2976</v>
      </c>
      <c r="L829" s="3" t="s">
        <v>871</v>
      </c>
      <c r="M829" s="3" t="s">
        <v>84</v>
      </c>
      <c r="N829" s="3" t="s">
        <v>85</v>
      </c>
      <c r="O829" s="3" t="s">
        <v>233</v>
      </c>
      <c r="P829" s="3" t="s">
        <v>875</v>
      </c>
      <c r="Q829" s="31">
        <v>42754</v>
      </c>
      <c r="R829" s="3" t="s">
        <v>62</v>
      </c>
      <c r="S829" s="3" t="s">
        <v>62</v>
      </c>
    </row>
    <row r="830" spans="1:19">
      <c r="A830" s="3" t="e">
        <v>#N/A</v>
      </c>
      <c r="B830" s="31" t="e">
        <v>#N/A</v>
      </c>
      <c r="C830" s="31">
        <v>42753.560416666667</v>
      </c>
      <c r="D830" s="3">
        <v>3035640581</v>
      </c>
      <c r="E830" s="3" t="s">
        <v>273</v>
      </c>
      <c r="F830" s="3" t="s">
        <v>153</v>
      </c>
      <c r="G830" s="3" t="s">
        <v>892</v>
      </c>
      <c r="H830" s="3" t="s">
        <v>63</v>
      </c>
      <c r="I830" s="3" t="s">
        <v>64</v>
      </c>
      <c r="J830" s="3" t="s">
        <v>99</v>
      </c>
      <c r="K830" s="3" t="s">
        <v>2977</v>
      </c>
      <c r="L830" s="3" t="s">
        <v>871</v>
      </c>
      <c r="M830" s="3" t="s">
        <v>65</v>
      </c>
      <c r="N830" s="3" t="s">
        <v>66</v>
      </c>
      <c r="O830" s="3" t="s">
        <v>880</v>
      </c>
      <c r="P830" s="3" t="s">
        <v>875</v>
      </c>
      <c r="Q830" s="31">
        <v>42754</v>
      </c>
      <c r="R830" s="3" t="s">
        <v>62</v>
      </c>
      <c r="S830" s="3" t="s">
        <v>65</v>
      </c>
    </row>
    <row r="831" spans="1:19">
      <c r="A831" s="3" t="e">
        <v>#N/A</v>
      </c>
      <c r="B831" s="31" t="e">
        <v>#N/A</v>
      </c>
      <c r="C831" s="31">
        <v>42753.561805555553</v>
      </c>
      <c r="D831" s="3">
        <v>3035886012</v>
      </c>
      <c r="E831" s="3" t="s">
        <v>31</v>
      </c>
      <c r="F831" s="3" t="s">
        <v>219</v>
      </c>
      <c r="G831" s="3" t="s">
        <v>220</v>
      </c>
      <c r="H831" s="3" t="s">
        <v>219</v>
      </c>
      <c r="I831" s="3" t="s">
        <v>220</v>
      </c>
      <c r="J831" s="3" t="s">
        <v>69</v>
      </c>
      <c r="K831" s="3" t="s">
        <v>2977</v>
      </c>
      <c r="L831" s="3" t="s">
        <v>866</v>
      </c>
      <c r="M831" s="3" t="s">
        <v>59</v>
      </c>
      <c r="N831" s="3" t="s">
        <v>60</v>
      </c>
      <c r="O831" s="3" t="s">
        <v>147</v>
      </c>
      <c r="P831" s="3" t="s">
        <v>872</v>
      </c>
      <c r="Q831" s="31">
        <v>42754</v>
      </c>
      <c r="R831" s="3" t="s">
        <v>62</v>
      </c>
      <c r="S831" s="3" t="s">
        <v>92</v>
      </c>
    </row>
    <row r="832" spans="1:19">
      <c r="A832" s="3" t="e">
        <v>#N/A</v>
      </c>
      <c r="B832" s="31" t="e">
        <v>#N/A</v>
      </c>
      <c r="C832" s="31">
        <v>42753.563888888886</v>
      </c>
      <c r="D832" s="3">
        <v>3035886091</v>
      </c>
      <c r="E832" s="3" t="s">
        <v>31</v>
      </c>
      <c r="F832" s="3" t="s">
        <v>200</v>
      </c>
      <c r="G832" s="3" t="s">
        <v>201</v>
      </c>
      <c r="H832" s="3" t="s">
        <v>202</v>
      </c>
      <c r="I832" s="3" t="s">
        <v>203</v>
      </c>
      <c r="J832" s="3" t="s">
        <v>58</v>
      </c>
      <c r="K832" s="3" t="s">
        <v>2976</v>
      </c>
      <c r="L832" s="3" t="s">
        <v>866</v>
      </c>
      <c r="M832" s="3" t="s">
        <v>59</v>
      </c>
      <c r="N832" s="3" t="s">
        <v>60</v>
      </c>
      <c r="O832" s="3" t="s">
        <v>147</v>
      </c>
      <c r="P832" s="3" t="s">
        <v>872</v>
      </c>
      <c r="Q832" s="31">
        <v>42754</v>
      </c>
      <c r="R832" s="3" t="s">
        <v>62</v>
      </c>
      <c r="S832" s="3" t="s">
        <v>62</v>
      </c>
    </row>
    <row r="833" spans="1:19">
      <c r="A833" s="3" t="e">
        <v>#N/A</v>
      </c>
      <c r="B833" s="31" t="e">
        <v>#N/A</v>
      </c>
      <c r="C833" s="31">
        <v>42753.566666666666</v>
      </c>
      <c r="D833" s="3">
        <v>3035886339</v>
      </c>
      <c r="E833" s="3" t="s">
        <v>9</v>
      </c>
      <c r="F833" s="3" t="s">
        <v>133</v>
      </c>
      <c r="G833" s="3" t="s">
        <v>134</v>
      </c>
      <c r="H833" s="3" t="s">
        <v>133</v>
      </c>
      <c r="I833" s="3" t="s">
        <v>134</v>
      </c>
      <c r="J833" s="3" t="s">
        <v>58</v>
      </c>
      <c r="K833" s="3" t="s">
        <v>2976</v>
      </c>
      <c r="L833" s="3" t="s">
        <v>866</v>
      </c>
      <c r="M833" s="3" t="s">
        <v>59</v>
      </c>
      <c r="N833" s="3" t="s">
        <v>60</v>
      </c>
      <c r="O833" s="3" t="s">
        <v>147</v>
      </c>
      <c r="P833" s="3" t="s">
        <v>872</v>
      </c>
      <c r="Q833" s="31">
        <v>42754</v>
      </c>
      <c r="R833" s="3" t="s">
        <v>62</v>
      </c>
      <c r="S833" s="3" t="s">
        <v>62</v>
      </c>
    </row>
    <row r="834" spans="1:19">
      <c r="A834" s="3" t="e">
        <v>#N/A</v>
      </c>
      <c r="B834" s="31" t="e">
        <v>#N/A</v>
      </c>
      <c r="C834" s="31">
        <v>42753.570138888892</v>
      </c>
      <c r="D834" s="3">
        <v>3035887056</v>
      </c>
      <c r="E834" s="3" t="s">
        <v>9</v>
      </c>
      <c r="F834" s="3" t="s">
        <v>158</v>
      </c>
      <c r="G834" s="3" t="s">
        <v>159</v>
      </c>
      <c r="H834" s="3" t="s">
        <v>158</v>
      </c>
      <c r="I834" s="3" t="s">
        <v>159</v>
      </c>
      <c r="J834" s="3" t="s">
        <v>69</v>
      </c>
      <c r="K834" s="3" t="s">
        <v>2976</v>
      </c>
      <c r="L834" s="3" t="s">
        <v>866</v>
      </c>
      <c r="M834" s="3" t="s">
        <v>59</v>
      </c>
      <c r="N834" s="3" t="s">
        <v>60</v>
      </c>
      <c r="O834" s="3" t="s">
        <v>4389</v>
      </c>
      <c r="P834" s="3" t="s">
        <v>872</v>
      </c>
      <c r="Q834" s="31">
        <v>42754</v>
      </c>
      <c r="R834" s="3" t="s">
        <v>62</v>
      </c>
      <c r="S834" s="3" t="s">
        <v>62</v>
      </c>
    </row>
    <row r="835" spans="1:19">
      <c r="A835" s="3" t="e">
        <v>#N/A</v>
      </c>
      <c r="B835" s="31" t="e">
        <v>#N/A</v>
      </c>
      <c r="C835" s="31">
        <v>42753.570138888892</v>
      </c>
      <c r="D835" s="3">
        <v>3035885470</v>
      </c>
      <c r="E835" s="3" t="s">
        <v>9</v>
      </c>
      <c r="F835" s="3" t="s">
        <v>67</v>
      </c>
      <c r="G835" s="3" t="s">
        <v>68</v>
      </c>
      <c r="H835" s="3" t="s">
        <v>101</v>
      </c>
      <c r="I835" s="3" t="s">
        <v>102</v>
      </c>
      <c r="J835" s="3" t="s">
        <v>79</v>
      </c>
      <c r="K835" s="3" t="s">
        <v>2976</v>
      </c>
      <c r="L835" s="3" t="s">
        <v>866</v>
      </c>
      <c r="M835" s="3" t="s">
        <v>70</v>
      </c>
      <c r="N835" s="3" t="s">
        <v>71</v>
      </c>
      <c r="O835" s="3" t="s">
        <v>3067</v>
      </c>
      <c r="P835" s="3" t="s">
        <v>872</v>
      </c>
      <c r="Q835" s="31">
        <v>42754</v>
      </c>
      <c r="R835" s="3" t="s">
        <v>62</v>
      </c>
      <c r="S835" s="3" t="s">
        <v>62</v>
      </c>
    </row>
    <row r="836" spans="1:19">
      <c r="A836" s="3" t="e">
        <v>#N/A</v>
      </c>
      <c r="B836" s="31" t="e">
        <v>#N/A</v>
      </c>
      <c r="C836" s="31">
        <v>42753.584027777775</v>
      </c>
      <c r="D836" s="3">
        <v>3035755255</v>
      </c>
      <c r="E836" s="3" t="s">
        <v>9</v>
      </c>
      <c r="F836" s="3" t="s">
        <v>109</v>
      </c>
      <c r="G836" s="3" t="s">
        <v>110</v>
      </c>
      <c r="H836" s="3" t="s">
        <v>73</v>
      </c>
      <c r="I836" s="3" t="s">
        <v>74</v>
      </c>
      <c r="J836" s="3" t="s">
        <v>69</v>
      </c>
      <c r="K836" s="3" t="s">
        <v>2976</v>
      </c>
      <c r="L836" s="3" t="s">
        <v>871</v>
      </c>
      <c r="M836" s="3" t="s">
        <v>84</v>
      </c>
      <c r="N836" s="3" t="s">
        <v>85</v>
      </c>
      <c r="O836" s="3" t="s">
        <v>4390</v>
      </c>
      <c r="P836" s="3" t="s">
        <v>872</v>
      </c>
      <c r="Q836" s="31">
        <v>42754</v>
      </c>
      <c r="R836" s="3" t="s">
        <v>62</v>
      </c>
      <c r="S836" s="3" t="s">
        <v>62</v>
      </c>
    </row>
    <row r="837" spans="1:19">
      <c r="A837" s="3" t="e">
        <v>#N/A</v>
      </c>
      <c r="B837" s="31" t="e">
        <v>#N/A</v>
      </c>
      <c r="C837" s="31">
        <v>42753.587500000001</v>
      </c>
      <c r="D837" s="3">
        <v>3035853195</v>
      </c>
      <c r="E837" s="3" t="s">
        <v>39</v>
      </c>
      <c r="F837" s="3" t="s">
        <v>231</v>
      </c>
      <c r="G837" s="3" t="s">
        <v>232</v>
      </c>
      <c r="H837" s="3" t="s">
        <v>238</v>
      </c>
      <c r="I837" s="3" t="s">
        <v>239</v>
      </c>
      <c r="J837" s="3" t="s">
        <v>69</v>
      </c>
      <c r="K837" s="3" t="s">
        <v>2977</v>
      </c>
      <c r="L837" s="3" t="s">
        <v>871</v>
      </c>
      <c r="M837" s="3" t="s">
        <v>84</v>
      </c>
      <c r="N837" s="3" t="s">
        <v>85</v>
      </c>
      <c r="O837" s="3" t="s">
        <v>888</v>
      </c>
      <c r="P837" s="3" t="s">
        <v>872</v>
      </c>
      <c r="Q837" s="31">
        <v>42754</v>
      </c>
      <c r="R837" s="3" t="s">
        <v>62</v>
      </c>
      <c r="S837" s="3" t="s">
        <v>529</v>
      </c>
    </row>
    <row r="838" spans="1:19">
      <c r="A838" s="3" t="e">
        <v>#N/A</v>
      </c>
      <c r="B838" s="31" t="e">
        <v>#N/A</v>
      </c>
      <c r="C838" s="31">
        <v>42753.592361111114</v>
      </c>
      <c r="D838" s="3">
        <v>3035888164</v>
      </c>
      <c r="E838" s="3" t="s">
        <v>23</v>
      </c>
      <c r="F838" s="3" t="s">
        <v>135</v>
      </c>
      <c r="G838" s="3" t="s">
        <v>136</v>
      </c>
      <c r="H838" s="3" t="s">
        <v>135</v>
      </c>
      <c r="I838" s="3" t="s">
        <v>136</v>
      </c>
      <c r="J838" s="3" t="s">
        <v>144</v>
      </c>
      <c r="K838" s="3" t="s">
        <v>2976</v>
      </c>
      <c r="L838" s="3" t="s">
        <v>871</v>
      </c>
      <c r="M838" s="3" t="s">
        <v>84</v>
      </c>
      <c r="N838" s="3" t="s">
        <v>85</v>
      </c>
      <c r="O838" s="3" t="s">
        <v>4391</v>
      </c>
      <c r="P838" s="3" t="s">
        <v>872</v>
      </c>
      <c r="Q838" s="31">
        <v>42754</v>
      </c>
      <c r="R838" s="3" t="s">
        <v>62</v>
      </c>
      <c r="S838" s="3" t="s">
        <v>62</v>
      </c>
    </row>
    <row r="839" spans="1:19">
      <c r="A839" s="3" t="e">
        <v>#N/A</v>
      </c>
      <c r="B839" s="31" t="e">
        <v>#N/A</v>
      </c>
      <c r="C839" s="31">
        <v>42753.605555555558</v>
      </c>
      <c r="D839" s="3">
        <v>3035811780</v>
      </c>
      <c r="E839" s="3" t="s">
        <v>31</v>
      </c>
      <c r="F839" s="3" t="s">
        <v>3043</v>
      </c>
      <c r="G839" s="3" t="s">
        <v>3044</v>
      </c>
      <c r="H839" s="3" t="s">
        <v>221</v>
      </c>
      <c r="I839" s="3" t="s">
        <v>222</v>
      </c>
      <c r="J839" s="3" t="s">
        <v>99</v>
      </c>
      <c r="K839" s="3" t="s">
        <v>2977</v>
      </c>
      <c r="L839" s="3" t="s">
        <v>866</v>
      </c>
      <c r="M839" s="3" t="s">
        <v>70</v>
      </c>
      <c r="N839" s="3" t="s">
        <v>71</v>
      </c>
      <c r="O839" s="3" t="s">
        <v>3067</v>
      </c>
      <c r="P839" s="3" t="s">
        <v>872</v>
      </c>
      <c r="Q839" s="31">
        <v>42754</v>
      </c>
      <c r="R839" s="3" t="s">
        <v>62</v>
      </c>
      <c r="S839" s="3" t="s">
        <v>92</v>
      </c>
    </row>
    <row r="840" spans="1:19">
      <c r="A840" s="3" t="e">
        <v>#N/A</v>
      </c>
      <c r="B840" s="31" t="e">
        <v>#N/A</v>
      </c>
      <c r="C840" s="31">
        <v>42753.609027777777</v>
      </c>
      <c r="D840" s="3">
        <v>3035889318</v>
      </c>
      <c r="E840" s="3" t="s">
        <v>31</v>
      </c>
      <c r="F840" s="3" t="s">
        <v>213</v>
      </c>
      <c r="G840" s="3" t="s">
        <v>214</v>
      </c>
      <c r="H840" s="3" t="s">
        <v>213</v>
      </c>
      <c r="I840" s="3" t="s">
        <v>214</v>
      </c>
      <c r="J840" s="3" t="s">
        <v>69</v>
      </c>
      <c r="K840" s="3" t="s">
        <v>2977</v>
      </c>
      <c r="L840" s="3" t="s">
        <v>866</v>
      </c>
      <c r="M840" s="3" t="s">
        <v>59</v>
      </c>
      <c r="N840" s="3" t="s">
        <v>60</v>
      </c>
      <c r="O840" s="3" t="s">
        <v>147</v>
      </c>
      <c r="P840" s="3" t="s">
        <v>872</v>
      </c>
      <c r="Q840" s="31">
        <v>42754</v>
      </c>
      <c r="R840" s="3" t="s">
        <v>62</v>
      </c>
      <c r="S840" s="3" t="s">
        <v>92</v>
      </c>
    </row>
    <row r="841" spans="1:19">
      <c r="A841" s="3" t="e">
        <v>#N/A</v>
      </c>
      <c r="B841" s="31" t="e">
        <v>#N/A</v>
      </c>
      <c r="C841" s="31">
        <v>42753.633333333331</v>
      </c>
      <c r="D841" s="3">
        <v>3035890501</v>
      </c>
      <c r="E841" s="3" t="s">
        <v>31</v>
      </c>
      <c r="F841" s="3" t="s">
        <v>113</v>
      </c>
      <c r="G841" s="3" t="s">
        <v>114</v>
      </c>
      <c r="H841" s="3" t="s">
        <v>113</v>
      </c>
      <c r="I841" s="3" t="s">
        <v>114</v>
      </c>
      <c r="J841" s="3" t="s">
        <v>79</v>
      </c>
      <c r="K841" s="3" t="s">
        <v>2976</v>
      </c>
      <c r="L841" s="3" t="s">
        <v>871</v>
      </c>
      <c r="M841" s="3" t="s">
        <v>84</v>
      </c>
      <c r="N841" s="3" t="s">
        <v>85</v>
      </c>
      <c r="O841" s="3" t="s">
        <v>888</v>
      </c>
      <c r="P841" s="3" t="s">
        <v>872</v>
      </c>
      <c r="Q841" s="31">
        <v>42754</v>
      </c>
      <c r="R841" s="3" t="s">
        <v>62</v>
      </c>
      <c r="S841" s="3" t="s">
        <v>62</v>
      </c>
    </row>
    <row r="842" spans="1:19">
      <c r="A842" s="3" t="e">
        <v>#N/A</v>
      </c>
      <c r="B842" s="31" t="e">
        <v>#N/A</v>
      </c>
      <c r="C842" s="31">
        <v>42753.638194444444</v>
      </c>
      <c r="D842" s="3">
        <v>3035890787</v>
      </c>
      <c r="E842" s="3" t="s">
        <v>23</v>
      </c>
      <c r="F842" s="3" t="s">
        <v>4001</v>
      </c>
      <c r="G842" s="3" t="s">
        <v>190</v>
      </c>
      <c r="H842" s="3" t="s">
        <v>4001</v>
      </c>
      <c r="I842" s="3" t="s">
        <v>190</v>
      </c>
      <c r="J842" s="3" t="s">
        <v>58</v>
      </c>
      <c r="K842" s="3" t="s">
        <v>2976</v>
      </c>
      <c r="L842" s="3" t="s">
        <v>866</v>
      </c>
      <c r="M842" s="3" t="s">
        <v>59</v>
      </c>
      <c r="N842" s="3" t="s">
        <v>60</v>
      </c>
      <c r="O842" s="3" t="s">
        <v>147</v>
      </c>
      <c r="P842" s="3" t="s">
        <v>872</v>
      </c>
      <c r="Q842" s="31">
        <v>42754</v>
      </c>
      <c r="R842" s="3" t="s">
        <v>62</v>
      </c>
      <c r="S842" s="3" t="s">
        <v>62</v>
      </c>
    </row>
    <row r="843" spans="1:19">
      <c r="A843" s="3" t="e">
        <v>#N/A</v>
      </c>
      <c r="B843" s="31" t="e">
        <v>#N/A</v>
      </c>
      <c r="C843" s="31">
        <v>42753.63958333333</v>
      </c>
      <c r="D843" s="3">
        <v>3035891020</v>
      </c>
      <c r="E843" s="3" t="s">
        <v>23</v>
      </c>
      <c r="F843" s="3" t="s">
        <v>4001</v>
      </c>
      <c r="G843" s="3" t="s">
        <v>190</v>
      </c>
      <c r="H843" s="3" t="s">
        <v>4001</v>
      </c>
      <c r="I843" s="3" t="s">
        <v>190</v>
      </c>
      <c r="J843" s="3" t="s">
        <v>58</v>
      </c>
      <c r="K843" s="3" t="s">
        <v>2976</v>
      </c>
      <c r="L843" s="3" t="s">
        <v>866</v>
      </c>
      <c r="M843" s="3" t="s">
        <v>59</v>
      </c>
      <c r="N843" s="3" t="s">
        <v>60</v>
      </c>
      <c r="O843" s="3" t="s">
        <v>147</v>
      </c>
      <c r="P843" s="3" t="s">
        <v>872</v>
      </c>
      <c r="Q843" s="31">
        <v>42754</v>
      </c>
      <c r="R843" s="3" t="s">
        <v>62</v>
      </c>
      <c r="S843" s="3" t="s">
        <v>62</v>
      </c>
    </row>
    <row r="844" spans="1:19">
      <c r="A844" s="3" t="e">
        <v>#N/A</v>
      </c>
      <c r="B844" s="31" t="e">
        <v>#N/A</v>
      </c>
      <c r="C844" s="31">
        <v>42753.649305555555</v>
      </c>
      <c r="D844" s="3">
        <v>3035891410</v>
      </c>
      <c r="E844" s="3" t="s">
        <v>39</v>
      </c>
      <c r="F844" s="3" t="s">
        <v>244</v>
      </c>
      <c r="G844" s="3" t="s">
        <v>245</v>
      </c>
      <c r="H844" s="3" t="s">
        <v>244</v>
      </c>
      <c r="I844" s="3" t="s">
        <v>245</v>
      </c>
      <c r="J844" s="3" t="s">
        <v>69</v>
      </c>
      <c r="K844" s="3" t="s">
        <v>2977</v>
      </c>
      <c r="L844" s="3" t="s">
        <v>871</v>
      </c>
      <c r="M844" s="3" t="s">
        <v>84</v>
      </c>
      <c r="N844" s="3" t="s">
        <v>85</v>
      </c>
      <c r="O844" s="3" t="s">
        <v>888</v>
      </c>
      <c r="P844" s="3" t="s">
        <v>872</v>
      </c>
      <c r="Q844" s="31">
        <v>42754</v>
      </c>
      <c r="R844" s="3" t="s">
        <v>62</v>
      </c>
      <c r="S844" s="3" t="s">
        <v>92</v>
      </c>
    </row>
    <row r="845" spans="1:19">
      <c r="A845" s="3" t="e">
        <v>#N/A</v>
      </c>
      <c r="B845" s="31" t="e">
        <v>#N/A</v>
      </c>
      <c r="C845" s="31">
        <v>42753.650694444441</v>
      </c>
      <c r="D845" s="3">
        <v>3035890635</v>
      </c>
      <c r="E845" s="3" t="s">
        <v>39</v>
      </c>
      <c r="F845" s="3" t="s">
        <v>236</v>
      </c>
      <c r="G845" s="3" t="s">
        <v>237</v>
      </c>
      <c r="H845" s="3" t="s">
        <v>236</v>
      </c>
      <c r="I845" s="3" t="s">
        <v>237</v>
      </c>
      <c r="J845" s="3" t="s">
        <v>58</v>
      </c>
      <c r="K845" s="3" t="s">
        <v>2977</v>
      </c>
      <c r="L845" s="3" t="s">
        <v>871</v>
      </c>
      <c r="M845" s="3" t="s">
        <v>84</v>
      </c>
      <c r="N845" s="3" t="s">
        <v>85</v>
      </c>
      <c r="O845" s="3" t="s">
        <v>888</v>
      </c>
      <c r="P845" s="3" t="s">
        <v>872</v>
      </c>
      <c r="Q845" s="31">
        <v>42754</v>
      </c>
      <c r="R845" s="3" t="s">
        <v>62</v>
      </c>
      <c r="S845" s="3" t="s">
        <v>92</v>
      </c>
    </row>
    <row r="846" spans="1:19">
      <c r="A846" s="3" t="e">
        <v>#N/A</v>
      </c>
      <c r="B846" s="31" t="e">
        <v>#N/A</v>
      </c>
      <c r="C846" s="31">
        <v>42753.652777777781</v>
      </c>
      <c r="D846" s="3">
        <v>3035714112</v>
      </c>
      <c r="E846" s="3" t="s">
        <v>31</v>
      </c>
      <c r="F846" s="3" t="s">
        <v>113</v>
      </c>
      <c r="G846" s="3" t="s">
        <v>114</v>
      </c>
      <c r="H846" s="3" t="s">
        <v>209</v>
      </c>
      <c r="I846" s="3" t="s">
        <v>210</v>
      </c>
      <c r="J846" s="3" t="s">
        <v>58</v>
      </c>
      <c r="K846" s="3" t="s">
        <v>2977</v>
      </c>
      <c r="L846" s="3" t="s">
        <v>871</v>
      </c>
      <c r="M846" s="3" t="s">
        <v>84</v>
      </c>
      <c r="N846" s="3" t="s">
        <v>85</v>
      </c>
      <c r="O846" s="3" t="s">
        <v>888</v>
      </c>
      <c r="P846" s="3" t="s">
        <v>872</v>
      </c>
      <c r="Q846" s="31">
        <v>42754</v>
      </c>
      <c r="R846" s="3" t="s">
        <v>62</v>
      </c>
      <c r="S846" s="3" t="s">
        <v>529</v>
      </c>
    </row>
    <row r="847" spans="1:19">
      <c r="A847" s="3" t="e">
        <v>#N/A</v>
      </c>
      <c r="B847" s="31" t="e">
        <v>#N/A</v>
      </c>
      <c r="C847" s="31">
        <v>42753.656944444447</v>
      </c>
      <c r="D847" s="3">
        <v>3035748664</v>
      </c>
      <c r="E847" s="3" t="s">
        <v>9</v>
      </c>
      <c r="F847" s="3" t="s">
        <v>94</v>
      </c>
      <c r="G847" s="3" t="s">
        <v>95</v>
      </c>
      <c r="H847" s="3" t="s">
        <v>82</v>
      </c>
      <c r="I847" s="3" t="s">
        <v>83</v>
      </c>
      <c r="J847" s="3" t="s">
        <v>69</v>
      </c>
      <c r="K847" s="3" t="s">
        <v>2976</v>
      </c>
      <c r="L847" s="3" t="s">
        <v>871</v>
      </c>
      <c r="M847" s="3" t="s">
        <v>84</v>
      </c>
      <c r="N847" s="3" t="s">
        <v>85</v>
      </c>
      <c r="O847" s="3" t="s">
        <v>268</v>
      </c>
      <c r="P847" s="3" t="s">
        <v>872</v>
      </c>
      <c r="Q847" s="31">
        <v>42754</v>
      </c>
      <c r="R847" s="3" t="s">
        <v>62</v>
      </c>
      <c r="S847" s="3" t="s">
        <v>62</v>
      </c>
    </row>
    <row r="848" spans="1:19">
      <c r="A848" s="3" t="e">
        <v>#N/A</v>
      </c>
      <c r="B848" s="31" t="e">
        <v>#N/A</v>
      </c>
      <c r="C848" s="31">
        <v>42753.656944444447</v>
      </c>
      <c r="D848" s="3">
        <v>3035891675</v>
      </c>
      <c r="E848" s="3" t="s">
        <v>23</v>
      </c>
      <c r="F848" s="3" t="s">
        <v>4001</v>
      </c>
      <c r="G848" s="3" t="s">
        <v>190</v>
      </c>
      <c r="H848" s="3" t="s">
        <v>4001</v>
      </c>
      <c r="I848" s="3" t="s">
        <v>190</v>
      </c>
      <c r="J848" s="3" t="s">
        <v>58</v>
      </c>
      <c r="K848" s="3" t="s">
        <v>2976</v>
      </c>
      <c r="L848" s="3" t="s">
        <v>866</v>
      </c>
      <c r="M848" s="3" t="s">
        <v>59</v>
      </c>
      <c r="N848" s="3" t="s">
        <v>60</v>
      </c>
      <c r="O848" s="3" t="s">
        <v>4392</v>
      </c>
      <c r="P848" s="3" t="s">
        <v>872</v>
      </c>
      <c r="Q848" s="31">
        <v>42754</v>
      </c>
      <c r="R848" s="3" t="s">
        <v>62</v>
      </c>
      <c r="S848" s="3" t="s">
        <v>62</v>
      </c>
    </row>
    <row r="849" spans="1:19">
      <c r="A849" s="3" t="e">
        <v>#N/A</v>
      </c>
      <c r="B849" s="31" t="e">
        <v>#N/A</v>
      </c>
      <c r="C849" s="31">
        <v>42753.65902777778</v>
      </c>
      <c r="D849" s="3">
        <v>3035891920</v>
      </c>
      <c r="E849" s="3" t="s">
        <v>23</v>
      </c>
      <c r="F849" s="3" t="s">
        <v>4001</v>
      </c>
      <c r="G849" s="3" t="s">
        <v>190</v>
      </c>
      <c r="H849" s="3" t="s">
        <v>4001</v>
      </c>
      <c r="I849" s="3" t="s">
        <v>190</v>
      </c>
      <c r="J849" s="3" t="s">
        <v>58</v>
      </c>
      <c r="K849" s="3" t="s">
        <v>2976</v>
      </c>
      <c r="L849" s="3" t="s">
        <v>866</v>
      </c>
      <c r="M849" s="3" t="s">
        <v>59</v>
      </c>
      <c r="N849" s="3" t="s">
        <v>60</v>
      </c>
      <c r="O849" s="3" t="s">
        <v>4392</v>
      </c>
      <c r="P849" s="3" t="s">
        <v>872</v>
      </c>
      <c r="Q849" s="31">
        <v>42754</v>
      </c>
      <c r="R849" s="3" t="s">
        <v>62</v>
      </c>
      <c r="S849" s="3" t="s">
        <v>62</v>
      </c>
    </row>
    <row r="850" spans="1:19">
      <c r="A850" s="3" t="e">
        <v>#N/A</v>
      </c>
      <c r="B850" s="31" t="e">
        <v>#N/A</v>
      </c>
      <c r="C850" s="31">
        <v>42753.664583333331</v>
      </c>
      <c r="D850" s="3">
        <v>3035751697</v>
      </c>
      <c r="E850" s="3" t="s">
        <v>9</v>
      </c>
      <c r="F850" s="3" t="s">
        <v>67</v>
      </c>
      <c r="G850" s="3" t="s">
        <v>68</v>
      </c>
      <c r="H850" s="3" t="s">
        <v>82</v>
      </c>
      <c r="I850" s="3" t="s">
        <v>83</v>
      </c>
      <c r="J850" s="3" t="s">
        <v>58</v>
      </c>
      <c r="K850" s="3" t="s">
        <v>2976</v>
      </c>
      <c r="L850" s="3" t="s">
        <v>871</v>
      </c>
      <c r="M850" s="3" t="s">
        <v>84</v>
      </c>
      <c r="N850" s="3" t="s">
        <v>85</v>
      </c>
      <c r="O850" s="3" t="s">
        <v>888</v>
      </c>
      <c r="P850" s="3" t="s">
        <v>872</v>
      </c>
      <c r="Q850" s="31">
        <v>42754</v>
      </c>
      <c r="R850" s="3" t="s">
        <v>62</v>
      </c>
      <c r="S850" s="3" t="s">
        <v>62</v>
      </c>
    </row>
    <row r="851" spans="1:19">
      <c r="A851" s="3" t="e">
        <v>#N/A</v>
      </c>
      <c r="B851" s="31" t="e">
        <v>#N/A</v>
      </c>
      <c r="C851" s="31">
        <v>42753.684027777781</v>
      </c>
      <c r="D851" s="3">
        <v>3035893194</v>
      </c>
      <c r="E851" s="3" t="s">
        <v>23</v>
      </c>
      <c r="F851" s="3" t="s">
        <v>862</v>
      </c>
      <c r="G851" s="3" t="s">
        <v>624</v>
      </c>
      <c r="H851" s="3" t="s">
        <v>862</v>
      </c>
      <c r="I851" s="3" t="s">
        <v>624</v>
      </c>
      <c r="J851" s="3" t="s">
        <v>69</v>
      </c>
      <c r="K851" s="3" t="s">
        <v>2976</v>
      </c>
      <c r="L851" s="3" t="s">
        <v>871</v>
      </c>
      <c r="M851" s="3" t="s">
        <v>84</v>
      </c>
      <c r="N851" s="3" t="s">
        <v>85</v>
      </c>
      <c r="O851" s="3" t="s">
        <v>4393</v>
      </c>
      <c r="P851" s="3" t="s">
        <v>872</v>
      </c>
      <c r="Q851" s="31">
        <v>42754</v>
      </c>
      <c r="R851" s="3" t="s">
        <v>62</v>
      </c>
      <c r="S851" s="3" t="s">
        <v>62</v>
      </c>
    </row>
    <row r="852" spans="1:19">
      <c r="A852" s="3" t="e">
        <v>#N/A</v>
      </c>
      <c r="B852" s="31" t="e">
        <v>#N/A</v>
      </c>
      <c r="C852" s="31">
        <v>42753.684027777781</v>
      </c>
      <c r="D852" s="3">
        <v>3035892867</v>
      </c>
      <c r="E852" s="3" t="s">
        <v>23</v>
      </c>
      <c r="F852" s="3" t="s">
        <v>183</v>
      </c>
      <c r="G852" s="3" t="s">
        <v>184</v>
      </c>
      <c r="H852" s="3" t="s">
        <v>183</v>
      </c>
      <c r="I852" s="3" t="s">
        <v>184</v>
      </c>
      <c r="J852" s="3" t="s">
        <v>99</v>
      </c>
      <c r="K852" s="3" t="s">
        <v>2976</v>
      </c>
      <c r="L852" s="3" t="s">
        <v>866</v>
      </c>
      <c r="M852" s="3" t="s">
        <v>59</v>
      </c>
      <c r="N852" s="3" t="s">
        <v>60</v>
      </c>
      <c r="O852" s="3" t="s">
        <v>147</v>
      </c>
      <c r="P852" s="3" t="s">
        <v>872</v>
      </c>
      <c r="Q852" s="31">
        <v>42754</v>
      </c>
      <c r="R852" s="3" t="s">
        <v>62</v>
      </c>
      <c r="S852" s="3" t="s">
        <v>62</v>
      </c>
    </row>
    <row r="853" spans="1:19">
      <c r="A853" s="3" t="e">
        <v>#N/A</v>
      </c>
      <c r="B853" s="31" t="e">
        <v>#N/A</v>
      </c>
      <c r="C853" s="31">
        <v>42753.685416666667</v>
      </c>
      <c r="D853" s="3">
        <v>3035716516</v>
      </c>
      <c r="E853" s="3" t="s">
        <v>31</v>
      </c>
      <c r="F853" s="3" t="s">
        <v>227</v>
      </c>
      <c r="G853" s="3" t="s">
        <v>228</v>
      </c>
      <c r="H853" s="3" t="s">
        <v>115</v>
      </c>
      <c r="I853" s="3" t="s">
        <v>116</v>
      </c>
      <c r="J853" s="3" t="s">
        <v>98</v>
      </c>
      <c r="K853" s="3" t="s">
        <v>2977</v>
      </c>
      <c r="L853" s="3" t="s">
        <v>871</v>
      </c>
      <c r="M853" s="3" t="s">
        <v>84</v>
      </c>
      <c r="N853" s="3" t="s">
        <v>85</v>
      </c>
      <c r="O853" s="3" t="s">
        <v>888</v>
      </c>
      <c r="P853" s="3" t="s">
        <v>872</v>
      </c>
      <c r="Q853" s="31">
        <v>42754</v>
      </c>
      <c r="R853" s="3" t="s">
        <v>62</v>
      </c>
      <c r="S853" s="3" t="s">
        <v>529</v>
      </c>
    </row>
    <row r="854" spans="1:19">
      <c r="A854" s="3" t="e">
        <v>#N/A</v>
      </c>
      <c r="B854" s="31" t="e">
        <v>#N/A</v>
      </c>
      <c r="C854" s="31">
        <v>42753.688888888886</v>
      </c>
      <c r="D854" s="3">
        <v>3035893427</v>
      </c>
      <c r="E854" s="3" t="s">
        <v>23</v>
      </c>
      <c r="F854" s="3" t="s">
        <v>179</v>
      </c>
      <c r="G854" s="3" t="s">
        <v>180</v>
      </c>
      <c r="H854" s="3" t="s">
        <v>179</v>
      </c>
      <c r="I854" s="3" t="s">
        <v>180</v>
      </c>
      <c r="J854" s="3" t="s">
        <v>69</v>
      </c>
      <c r="K854" s="3" t="s">
        <v>2976</v>
      </c>
      <c r="L854" s="3" t="s">
        <v>866</v>
      </c>
      <c r="M854" s="3" t="s">
        <v>70</v>
      </c>
      <c r="N854" s="3" t="s">
        <v>71</v>
      </c>
      <c r="O854" s="3" t="s">
        <v>3067</v>
      </c>
      <c r="P854" s="3" t="s">
        <v>872</v>
      </c>
      <c r="Q854" s="31">
        <v>42754</v>
      </c>
      <c r="R854" s="3" t="s">
        <v>62</v>
      </c>
      <c r="S854" s="3" t="s">
        <v>62</v>
      </c>
    </row>
    <row r="855" spans="1:19">
      <c r="A855" s="3" t="e">
        <v>#N/A</v>
      </c>
      <c r="B855" s="31" t="e">
        <v>#N/A</v>
      </c>
      <c r="C855" s="31">
        <v>42753.697222222225</v>
      </c>
      <c r="D855" s="3">
        <v>3035893805</v>
      </c>
      <c r="E855" s="3" t="s">
        <v>23</v>
      </c>
      <c r="F855" s="3" t="s">
        <v>137</v>
      </c>
      <c r="G855" s="3" t="s">
        <v>138</v>
      </c>
      <c r="H855" s="3" t="s">
        <v>137</v>
      </c>
      <c r="I855" s="3" t="s">
        <v>138</v>
      </c>
      <c r="J855" s="3" t="s">
        <v>69</v>
      </c>
      <c r="K855" s="3" t="s">
        <v>2976</v>
      </c>
      <c r="L855" s="3" t="s">
        <v>871</v>
      </c>
      <c r="M855" s="3" t="s">
        <v>84</v>
      </c>
      <c r="N855" s="3" t="s">
        <v>85</v>
      </c>
      <c r="O855" s="3" t="s">
        <v>888</v>
      </c>
      <c r="P855" s="3" t="s">
        <v>872</v>
      </c>
      <c r="Q855" s="31">
        <v>42754</v>
      </c>
      <c r="R855" s="3" t="s">
        <v>62</v>
      </c>
      <c r="S855" s="3" t="s">
        <v>62</v>
      </c>
    </row>
    <row r="856" spans="1:19">
      <c r="A856" s="3" t="e">
        <v>#N/A</v>
      </c>
      <c r="B856" s="31" t="e">
        <v>#N/A</v>
      </c>
      <c r="C856" s="31">
        <v>42753.7</v>
      </c>
      <c r="D856" s="3">
        <v>3035893739</v>
      </c>
      <c r="E856" s="3" t="s">
        <v>9</v>
      </c>
      <c r="F856" s="3" t="s">
        <v>111</v>
      </c>
      <c r="G856" s="3" t="s">
        <v>112</v>
      </c>
      <c r="H856" s="3" t="s">
        <v>111</v>
      </c>
      <c r="I856" s="3" t="s">
        <v>112</v>
      </c>
      <c r="J856" s="3" t="s">
        <v>97</v>
      </c>
      <c r="K856" s="3" t="s">
        <v>2976</v>
      </c>
      <c r="L856" s="3" t="s">
        <v>866</v>
      </c>
      <c r="M856" s="3" t="s">
        <v>59</v>
      </c>
      <c r="N856" s="3" t="s">
        <v>60</v>
      </c>
      <c r="O856" s="3" t="s">
        <v>147</v>
      </c>
      <c r="P856" s="3" t="s">
        <v>872</v>
      </c>
      <c r="Q856" s="31">
        <v>42754</v>
      </c>
      <c r="R856" s="3" t="s">
        <v>62</v>
      </c>
      <c r="S856" s="3" t="s">
        <v>62</v>
      </c>
    </row>
    <row r="857" spans="1:19">
      <c r="A857" s="3" t="e">
        <v>#N/A</v>
      </c>
      <c r="B857" s="31" t="e">
        <v>#N/A</v>
      </c>
      <c r="C857" s="31">
        <v>42753.71875</v>
      </c>
      <c r="D857" s="3">
        <v>3035893079</v>
      </c>
      <c r="E857" s="3" t="s">
        <v>23</v>
      </c>
      <c r="F857" s="3" t="s">
        <v>149</v>
      </c>
      <c r="G857" s="3" t="s">
        <v>150</v>
      </c>
      <c r="H857" s="3" t="s">
        <v>149</v>
      </c>
      <c r="I857" s="3" t="s">
        <v>150</v>
      </c>
      <c r="J857" s="3" t="s">
        <v>98</v>
      </c>
      <c r="K857" s="3" t="s">
        <v>2976</v>
      </c>
      <c r="L857" s="3" t="s">
        <v>871</v>
      </c>
      <c r="M857" s="3" t="s">
        <v>84</v>
      </c>
      <c r="N857" s="3" t="s">
        <v>85</v>
      </c>
      <c r="O857" s="3" t="s">
        <v>888</v>
      </c>
      <c r="P857" s="3" t="s">
        <v>872</v>
      </c>
      <c r="Q857" s="31">
        <v>42754</v>
      </c>
      <c r="R857" s="3" t="s">
        <v>62</v>
      </c>
      <c r="S857" s="3" t="s">
        <v>62</v>
      </c>
    </row>
    <row r="858" spans="1:19">
      <c r="A858" s="3" t="e">
        <v>#N/A</v>
      </c>
      <c r="B858" s="31" t="e">
        <v>#N/A</v>
      </c>
      <c r="C858" s="31">
        <v>42753.744444444441</v>
      </c>
      <c r="D858" s="3">
        <v>3035896070</v>
      </c>
      <c r="E858" s="3" t="s">
        <v>39</v>
      </c>
      <c r="F858" s="3" t="s">
        <v>246</v>
      </c>
      <c r="G858" s="3" t="s">
        <v>247</v>
      </c>
      <c r="H858" s="3" t="s">
        <v>246</v>
      </c>
      <c r="I858" s="3" t="s">
        <v>247</v>
      </c>
      <c r="J858" s="3" t="s">
        <v>79</v>
      </c>
      <c r="K858" s="3" t="s">
        <v>2977</v>
      </c>
      <c r="L858" s="3" t="s">
        <v>871</v>
      </c>
      <c r="M858" s="3" t="s">
        <v>84</v>
      </c>
      <c r="N858" s="3" t="s">
        <v>85</v>
      </c>
      <c r="O858" s="3" t="s">
        <v>888</v>
      </c>
      <c r="P858" s="3" t="s">
        <v>872</v>
      </c>
      <c r="Q858" s="31">
        <v>42754</v>
      </c>
      <c r="R858" s="3" t="s">
        <v>62</v>
      </c>
      <c r="S858" s="3" t="s">
        <v>92</v>
      </c>
    </row>
    <row r="859" spans="1:19">
      <c r="A859" s="3" t="e">
        <v>#N/A</v>
      </c>
      <c r="B859" s="31" t="e">
        <v>#N/A</v>
      </c>
      <c r="C859" s="31">
        <v>42753.759027777778</v>
      </c>
      <c r="D859" s="3">
        <v>3035896718</v>
      </c>
      <c r="E859" s="3" t="s">
        <v>23</v>
      </c>
      <c r="F859" s="3" t="s">
        <v>137</v>
      </c>
      <c r="G859" s="3" t="s">
        <v>138</v>
      </c>
      <c r="H859" s="3" t="s">
        <v>137</v>
      </c>
      <c r="I859" s="3" t="s">
        <v>138</v>
      </c>
      <c r="J859" s="3" t="s">
        <v>58</v>
      </c>
      <c r="K859" s="3" t="s">
        <v>2976</v>
      </c>
      <c r="L859" s="3" t="s">
        <v>871</v>
      </c>
      <c r="M859" s="3" t="s">
        <v>84</v>
      </c>
      <c r="N859" s="3" t="s">
        <v>85</v>
      </c>
      <c r="O859" s="3" t="s">
        <v>888</v>
      </c>
      <c r="P859" s="3" t="s">
        <v>872</v>
      </c>
      <c r="Q859" s="31">
        <v>42754</v>
      </c>
      <c r="R859" s="3" t="s">
        <v>62</v>
      </c>
      <c r="S859" s="3" t="s">
        <v>62</v>
      </c>
    </row>
    <row r="860" spans="1:19">
      <c r="A860" s="3" t="e">
        <v>#N/A</v>
      </c>
      <c r="B860" s="31" t="e">
        <v>#N/A</v>
      </c>
      <c r="C860" s="31">
        <v>42753.761805555558</v>
      </c>
      <c r="D860" s="3">
        <v>3035895825</v>
      </c>
      <c r="E860" s="3" t="s">
        <v>23</v>
      </c>
      <c r="F860" s="3" t="s">
        <v>160</v>
      </c>
      <c r="G860" s="3" t="s">
        <v>161</v>
      </c>
      <c r="H860" s="3" t="s">
        <v>244</v>
      </c>
      <c r="I860" s="3" t="s">
        <v>245</v>
      </c>
      <c r="J860" s="3" t="s">
        <v>69</v>
      </c>
      <c r="K860" s="3" t="s">
        <v>2977</v>
      </c>
      <c r="L860" s="3" t="s">
        <v>871</v>
      </c>
      <c r="M860" s="3" t="s">
        <v>84</v>
      </c>
      <c r="N860" s="3" t="s">
        <v>85</v>
      </c>
      <c r="O860" s="3" t="s">
        <v>268</v>
      </c>
      <c r="P860" s="3" t="s">
        <v>872</v>
      </c>
      <c r="Q860" s="31">
        <v>42754</v>
      </c>
      <c r="R860" s="3" t="s">
        <v>62</v>
      </c>
      <c r="S860" s="3" t="s">
        <v>92</v>
      </c>
    </row>
    <row r="861" spans="1:19">
      <c r="A861" s="3" t="e">
        <v>#N/A</v>
      </c>
      <c r="B861" s="31" t="e">
        <v>#N/A</v>
      </c>
      <c r="C861" s="31">
        <v>42753.845138888886</v>
      </c>
      <c r="D861" s="3">
        <v>3035900950</v>
      </c>
      <c r="E861" s="3" t="s">
        <v>23</v>
      </c>
      <c r="F861" s="3" t="s">
        <v>131</v>
      </c>
      <c r="G861" s="3" t="s">
        <v>132</v>
      </c>
      <c r="H861" s="3" t="s">
        <v>131</v>
      </c>
      <c r="I861" s="3" t="s">
        <v>132</v>
      </c>
      <c r="J861" s="3" t="s">
        <v>69</v>
      </c>
      <c r="K861" s="3" t="s">
        <v>2976</v>
      </c>
      <c r="L861" s="3" t="s">
        <v>866</v>
      </c>
      <c r="M861" s="3" t="s">
        <v>59</v>
      </c>
      <c r="N861" s="3" t="s">
        <v>60</v>
      </c>
      <c r="O861" s="3" t="s">
        <v>147</v>
      </c>
      <c r="P861" s="3" t="s">
        <v>872</v>
      </c>
      <c r="Q861" s="31">
        <v>42754</v>
      </c>
      <c r="R861" s="3" t="s">
        <v>62</v>
      </c>
      <c r="S861" s="3" t="s">
        <v>62</v>
      </c>
    </row>
    <row r="862" spans="1:19">
      <c r="A862" s="3" t="e">
        <v>#N/A</v>
      </c>
      <c r="B862" s="31" t="e">
        <v>#N/A</v>
      </c>
      <c r="C862" s="31">
        <v>42753.84652777778</v>
      </c>
      <c r="D862" s="3">
        <v>3035900595</v>
      </c>
      <c r="E862" s="3" t="s">
        <v>23</v>
      </c>
      <c r="F862" s="3" t="s">
        <v>129</v>
      </c>
      <c r="G862" s="3" t="s">
        <v>130</v>
      </c>
      <c r="H862" s="3" t="s">
        <v>129</v>
      </c>
      <c r="I862" s="3" t="s">
        <v>130</v>
      </c>
      <c r="J862" s="3" t="s">
        <v>69</v>
      </c>
      <c r="K862" s="3" t="s">
        <v>2976</v>
      </c>
      <c r="L862" s="3" t="s">
        <v>871</v>
      </c>
      <c r="M862" s="3" t="s">
        <v>84</v>
      </c>
      <c r="N862" s="3" t="s">
        <v>85</v>
      </c>
      <c r="O862" s="3" t="s">
        <v>888</v>
      </c>
      <c r="P862" s="3" t="s">
        <v>872</v>
      </c>
      <c r="Q862" s="31">
        <v>42754</v>
      </c>
      <c r="R862" s="3" t="s">
        <v>62</v>
      </c>
      <c r="S862" s="3" t="s">
        <v>62</v>
      </c>
    </row>
    <row r="863" spans="1:19">
      <c r="A863" s="3" t="e">
        <v>#N/A</v>
      </c>
      <c r="B863" s="31" t="e">
        <v>#N/A</v>
      </c>
      <c r="C863" s="31">
        <v>42753.852777777778</v>
      </c>
      <c r="D863" s="3">
        <v>3035899646</v>
      </c>
      <c r="E863" s="3" t="s">
        <v>23</v>
      </c>
      <c r="F863" s="3" t="s">
        <v>129</v>
      </c>
      <c r="G863" s="3" t="s">
        <v>130</v>
      </c>
      <c r="H863" s="3" t="s">
        <v>4001</v>
      </c>
      <c r="I863" s="3" t="s">
        <v>190</v>
      </c>
      <c r="J863" s="3" t="s">
        <v>69</v>
      </c>
      <c r="K863" s="3" t="s">
        <v>2976</v>
      </c>
      <c r="L863" s="3" t="s">
        <v>866</v>
      </c>
      <c r="M863" s="3" t="s">
        <v>70</v>
      </c>
      <c r="N863" s="3" t="s">
        <v>71</v>
      </c>
      <c r="O863" s="3" t="s">
        <v>3067</v>
      </c>
      <c r="P863" s="3" t="s">
        <v>872</v>
      </c>
      <c r="Q863" s="31">
        <v>42754</v>
      </c>
      <c r="R863" s="3" t="s">
        <v>62</v>
      </c>
      <c r="S863" s="3" t="s">
        <v>62</v>
      </c>
    </row>
    <row r="864" spans="1:19">
      <c r="A864" s="3" t="e">
        <v>#N/A</v>
      </c>
      <c r="B864" s="31" t="e">
        <v>#N/A</v>
      </c>
      <c r="C864" s="31">
        <v>42753.88958333333</v>
      </c>
      <c r="D864" s="3">
        <v>3035513348</v>
      </c>
      <c r="E864" s="3" t="s">
        <v>23</v>
      </c>
      <c r="F864" s="3" t="s">
        <v>183</v>
      </c>
      <c r="G864" s="3" t="s">
        <v>184</v>
      </c>
      <c r="H864" s="3" t="s">
        <v>139</v>
      </c>
      <c r="I864" s="3" t="s">
        <v>140</v>
      </c>
      <c r="J864" s="3" t="s">
        <v>58</v>
      </c>
      <c r="K864" s="3" t="s">
        <v>2977</v>
      </c>
      <c r="L864" s="3" t="s">
        <v>866</v>
      </c>
      <c r="M864" s="3" t="s">
        <v>70</v>
      </c>
      <c r="N864" s="3" t="s">
        <v>71</v>
      </c>
      <c r="O864" s="3" t="s">
        <v>4394</v>
      </c>
      <c r="P864" s="3" t="s">
        <v>872</v>
      </c>
      <c r="Q864" s="31">
        <v>42754</v>
      </c>
      <c r="R864" s="3" t="s">
        <v>62</v>
      </c>
      <c r="S864" s="3" t="s">
        <v>529</v>
      </c>
    </row>
    <row r="865" spans="1:19">
      <c r="A865" s="3" t="e">
        <v>#N/A</v>
      </c>
      <c r="B865" s="31" t="e">
        <v>#N/A</v>
      </c>
      <c r="C865" s="31">
        <v>42753.90902777778</v>
      </c>
      <c r="D865" s="3">
        <v>3035865755</v>
      </c>
      <c r="E865" s="3" t="s">
        <v>39</v>
      </c>
      <c r="F865" s="3" t="s">
        <v>250</v>
      </c>
      <c r="G865" s="3" t="s">
        <v>251</v>
      </c>
      <c r="H865" s="3" t="s">
        <v>238</v>
      </c>
      <c r="I865" s="3" t="s">
        <v>239</v>
      </c>
      <c r="J865" s="3" t="s">
        <v>58</v>
      </c>
      <c r="K865" s="3" t="s">
        <v>2977</v>
      </c>
      <c r="L865" s="3" t="s">
        <v>866</v>
      </c>
      <c r="M865" s="3" t="s">
        <v>59</v>
      </c>
      <c r="N865" s="3" t="s">
        <v>60</v>
      </c>
      <c r="O865" s="3" t="s">
        <v>147</v>
      </c>
      <c r="P865" s="3" t="s">
        <v>872</v>
      </c>
      <c r="Q865" s="31">
        <v>42754</v>
      </c>
      <c r="R865" s="3" t="s">
        <v>62</v>
      </c>
      <c r="S865" s="3" t="s">
        <v>529</v>
      </c>
    </row>
    <row r="866" spans="1:19">
      <c r="A866" s="3" t="e">
        <v>#N/A</v>
      </c>
      <c r="B866" s="31" t="e">
        <v>#N/A</v>
      </c>
      <c r="C866" s="31">
        <v>42754.384722222225</v>
      </c>
      <c r="D866" s="3">
        <v>3035916156</v>
      </c>
      <c r="E866" s="3" t="s">
        <v>9</v>
      </c>
      <c r="F866" s="3" t="s">
        <v>73</v>
      </c>
      <c r="G866" s="3" t="s">
        <v>74</v>
      </c>
      <c r="H866" s="3" t="s">
        <v>73</v>
      </c>
      <c r="I866" s="3" t="s">
        <v>74</v>
      </c>
      <c r="J866" s="3" t="s">
        <v>69</v>
      </c>
      <c r="K866" s="3" t="s">
        <v>2976</v>
      </c>
      <c r="L866" s="3"/>
      <c r="M866" s="3"/>
      <c r="N866" s="3"/>
      <c r="O866" s="3"/>
      <c r="P866" s="3"/>
      <c r="Q866" s="31"/>
      <c r="R866" s="3" t="s">
        <v>62</v>
      </c>
      <c r="S866" s="3" t="s">
        <v>62</v>
      </c>
    </row>
    <row r="867" spans="1:19">
      <c r="A867" s="3" t="e">
        <v>#N/A</v>
      </c>
      <c r="B867" s="31" t="e">
        <v>#N/A</v>
      </c>
      <c r="C867" s="31">
        <v>42754.388194444444</v>
      </c>
      <c r="D867" s="3">
        <v>3035728247</v>
      </c>
      <c r="E867" s="3" t="s">
        <v>273</v>
      </c>
      <c r="F867" s="3" t="s">
        <v>909</v>
      </c>
      <c r="G867" s="3" t="s">
        <v>313</v>
      </c>
      <c r="H867" s="3" t="s">
        <v>115</v>
      </c>
      <c r="I867" s="3" t="s">
        <v>116</v>
      </c>
      <c r="J867" s="3" t="s">
        <v>98</v>
      </c>
      <c r="K867" s="3" t="s">
        <v>2977</v>
      </c>
      <c r="L867" s="3"/>
      <c r="M867" s="3"/>
      <c r="N867" s="3"/>
      <c r="O867" s="3"/>
      <c r="P867" s="3"/>
      <c r="Q867" s="31"/>
      <c r="R867" s="3" t="s">
        <v>62</v>
      </c>
      <c r="S867" s="3" t="s">
        <v>529</v>
      </c>
    </row>
    <row r="868" spans="1:19">
      <c r="A868" s="3" t="e">
        <v>#N/A</v>
      </c>
      <c r="B868" s="31" t="e">
        <v>#N/A</v>
      </c>
      <c r="C868" s="31">
        <v>42754.402777777781</v>
      </c>
      <c r="D868" s="3">
        <v>3035916399</v>
      </c>
      <c r="E868" s="3" t="s">
        <v>273</v>
      </c>
      <c r="F868" s="3" t="s">
        <v>262</v>
      </c>
      <c r="G868" s="3" t="s">
        <v>874</v>
      </c>
      <c r="H868" s="3" t="s">
        <v>262</v>
      </c>
      <c r="I868" s="3" t="s">
        <v>874</v>
      </c>
      <c r="J868" s="3" t="s">
        <v>69</v>
      </c>
      <c r="K868" s="3" t="s">
        <v>2977</v>
      </c>
      <c r="L868" s="3"/>
      <c r="M868" s="3"/>
      <c r="N868" s="3"/>
      <c r="O868" s="3"/>
      <c r="P868" s="3"/>
      <c r="Q868" s="31"/>
      <c r="R868" s="3" t="s">
        <v>62</v>
      </c>
      <c r="S868" s="3" t="s">
        <v>2985</v>
      </c>
    </row>
    <row r="869" spans="1:19">
      <c r="A869" s="3" t="e">
        <v>#N/A</v>
      </c>
      <c r="B869" s="31" t="e">
        <v>#N/A</v>
      </c>
      <c r="C869" s="31">
        <v>42754.407638888886</v>
      </c>
      <c r="D869" s="3">
        <v>3035846311</v>
      </c>
      <c r="E869" s="3" t="s">
        <v>2978</v>
      </c>
      <c r="F869" s="3" t="s">
        <v>256</v>
      </c>
      <c r="G869" s="3" t="s">
        <v>879</v>
      </c>
      <c r="H869" s="3" t="s">
        <v>142</v>
      </c>
      <c r="I869" s="3" t="s">
        <v>143</v>
      </c>
      <c r="J869" s="3" t="s">
        <v>69</v>
      </c>
      <c r="K869" s="3" t="s">
        <v>2977</v>
      </c>
      <c r="L869" s="3"/>
      <c r="M869" s="3"/>
      <c r="N869" s="3"/>
      <c r="O869" s="3"/>
      <c r="P869" s="3"/>
      <c r="Q869" s="31"/>
      <c r="R869" s="3" t="s">
        <v>62</v>
      </c>
      <c r="S869" s="3" t="s">
        <v>1355</v>
      </c>
    </row>
    <row r="870" spans="1:19">
      <c r="A870" s="3" t="e">
        <v>#N/A</v>
      </c>
      <c r="B870" s="31" t="e">
        <v>#N/A</v>
      </c>
      <c r="C870" s="31">
        <v>42754.407638888886</v>
      </c>
      <c r="D870" s="3">
        <v>3035202964</v>
      </c>
      <c r="E870" s="3" t="s">
        <v>23</v>
      </c>
      <c r="F870" s="3" t="s">
        <v>193</v>
      </c>
      <c r="G870" s="3" t="s">
        <v>194</v>
      </c>
      <c r="H870" s="3" t="s">
        <v>63</v>
      </c>
      <c r="I870" s="3" t="s">
        <v>64</v>
      </c>
      <c r="J870" s="3" t="s">
        <v>69</v>
      </c>
      <c r="K870" s="3" t="s">
        <v>2977</v>
      </c>
      <c r="L870" s="3"/>
      <c r="M870" s="3"/>
      <c r="N870" s="3"/>
      <c r="O870" s="3"/>
      <c r="P870" s="3"/>
      <c r="Q870" s="31"/>
      <c r="R870" s="3" t="s">
        <v>62</v>
      </c>
      <c r="S870" s="3" t="s">
        <v>65</v>
      </c>
    </row>
    <row r="871" spans="1:19">
      <c r="A871" s="3" t="e">
        <v>#N/A</v>
      </c>
      <c r="B871" s="31" t="e">
        <v>#N/A</v>
      </c>
      <c r="C871" s="31">
        <v>42754.411805555559</v>
      </c>
      <c r="D871" s="3">
        <v>3035483937</v>
      </c>
      <c r="E871" s="3" t="s">
        <v>23</v>
      </c>
      <c r="F871" s="3" t="s">
        <v>160</v>
      </c>
      <c r="G871" s="3" t="s">
        <v>161</v>
      </c>
      <c r="H871" s="3" t="s">
        <v>63</v>
      </c>
      <c r="I871" s="3" t="s">
        <v>64</v>
      </c>
      <c r="J871" s="3" t="s">
        <v>99</v>
      </c>
      <c r="K871" s="3" t="s">
        <v>2977</v>
      </c>
      <c r="L871" s="3"/>
      <c r="M871" s="3"/>
      <c r="N871" s="3"/>
      <c r="O871" s="3"/>
      <c r="P871" s="3"/>
      <c r="Q871" s="31"/>
      <c r="R871" s="3" t="s">
        <v>62</v>
      </c>
      <c r="S871" s="3" t="s">
        <v>65</v>
      </c>
    </row>
    <row r="872" spans="1:19">
      <c r="A872" s="3" t="e">
        <v>#N/A</v>
      </c>
      <c r="B872" s="31" t="e">
        <v>#N/A</v>
      </c>
      <c r="C872" s="31">
        <v>42754.413194444445</v>
      </c>
      <c r="D872" s="3">
        <v>3035883003</v>
      </c>
      <c r="E872" s="3" t="s">
        <v>273</v>
      </c>
      <c r="F872" s="3" t="s">
        <v>909</v>
      </c>
      <c r="G872" s="3" t="s">
        <v>313</v>
      </c>
      <c r="H872" s="3" t="s">
        <v>115</v>
      </c>
      <c r="I872" s="3" t="s">
        <v>116</v>
      </c>
      <c r="J872" s="3" t="s">
        <v>69</v>
      </c>
      <c r="K872" s="3" t="s">
        <v>2977</v>
      </c>
      <c r="L872" s="3"/>
      <c r="M872" s="3"/>
      <c r="N872" s="3"/>
      <c r="O872" s="3"/>
      <c r="P872" s="3"/>
      <c r="Q872" s="31"/>
      <c r="R872" s="3" t="s">
        <v>62</v>
      </c>
      <c r="S872" s="3" t="s">
        <v>529</v>
      </c>
    </row>
    <row r="873" spans="1:19">
      <c r="A873" s="3" t="e">
        <v>#N/A</v>
      </c>
      <c r="B873" s="31" t="e">
        <v>#N/A</v>
      </c>
      <c r="C873" s="31">
        <v>42754.413888888892</v>
      </c>
      <c r="D873" s="3">
        <v>3035505214</v>
      </c>
      <c r="E873" s="3" t="s">
        <v>271</v>
      </c>
      <c r="F873" s="3" t="s">
        <v>4628</v>
      </c>
      <c r="G873" s="3" t="s">
        <v>272</v>
      </c>
      <c r="H873" s="3" t="s">
        <v>4629</v>
      </c>
      <c r="I873" s="3" t="s">
        <v>284</v>
      </c>
      <c r="J873" s="3" t="s">
        <v>97</v>
      </c>
      <c r="K873" s="3" t="s">
        <v>2977</v>
      </c>
      <c r="L873" s="3"/>
      <c r="M873" s="3"/>
      <c r="N873" s="3"/>
      <c r="O873" s="3"/>
      <c r="P873" s="3"/>
      <c r="Q873" s="31"/>
      <c r="R873" s="3" t="s">
        <v>62</v>
      </c>
      <c r="S873" s="3" t="s">
        <v>548</v>
      </c>
    </row>
    <row r="874" spans="1:19">
      <c r="A874" s="3" t="e">
        <v>#N/A</v>
      </c>
      <c r="B874" s="31" t="e">
        <v>#N/A</v>
      </c>
      <c r="C874" s="31">
        <v>42754.418055555558</v>
      </c>
      <c r="D874" s="3">
        <v>3035004298</v>
      </c>
      <c r="E874" s="3" t="s">
        <v>9</v>
      </c>
      <c r="F874" s="3" t="s">
        <v>77</v>
      </c>
      <c r="G874" s="3" t="s">
        <v>78</v>
      </c>
      <c r="H874" s="3" t="s">
        <v>63</v>
      </c>
      <c r="I874" s="3" t="s">
        <v>64</v>
      </c>
      <c r="J874" s="3" t="s">
        <v>58</v>
      </c>
      <c r="K874" s="3" t="s">
        <v>2977</v>
      </c>
      <c r="L874" s="3"/>
      <c r="M874" s="3"/>
      <c r="N874" s="3"/>
      <c r="O874" s="3"/>
      <c r="P874" s="3"/>
      <c r="Q874" s="31"/>
      <c r="R874" s="3" t="s">
        <v>62</v>
      </c>
      <c r="S874" s="3" t="s">
        <v>65</v>
      </c>
    </row>
    <row r="875" spans="1:19">
      <c r="A875" s="3" t="e">
        <v>#N/A</v>
      </c>
      <c r="B875" s="31" t="e">
        <v>#N/A</v>
      </c>
      <c r="C875" s="31">
        <v>42754.423611111109</v>
      </c>
      <c r="D875" s="3">
        <v>3035679124</v>
      </c>
      <c r="E875" s="3" t="s">
        <v>271</v>
      </c>
      <c r="F875" s="3" t="s">
        <v>282</v>
      </c>
      <c r="G875" s="3" t="s">
        <v>283</v>
      </c>
      <c r="H875" s="3" t="s">
        <v>282</v>
      </c>
      <c r="I875" s="3" t="s">
        <v>283</v>
      </c>
      <c r="J875" s="3" t="s">
        <v>79</v>
      </c>
      <c r="K875" s="3" t="s">
        <v>2977</v>
      </c>
      <c r="L875" s="3"/>
      <c r="M875" s="3"/>
      <c r="N875" s="3"/>
      <c r="O875" s="3"/>
      <c r="P875" s="3"/>
      <c r="Q875" s="31"/>
      <c r="R875" s="3" t="s">
        <v>62</v>
      </c>
      <c r="S875" s="3" t="s">
        <v>548</v>
      </c>
    </row>
    <row r="876" spans="1:19">
      <c r="A876" s="3" t="e">
        <v>#N/A</v>
      </c>
      <c r="B876" s="31" t="e">
        <v>#N/A</v>
      </c>
      <c r="C876" s="31">
        <v>42754.429861111108</v>
      </c>
      <c r="D876" s="3">
        <v>3035821125</v>
      </c>
      <c r="E876" s="3" t="s">
        <v>273</v>
      </c>
      <c r="F876" s="3" t="s">
        <v>259</v>
      </c>
      <c r="G876" s="3" t="s">
        <v>260</v>
      </c>
      <c r="H876" s="3" t="s">
        <v>115</v>
      </c>
      <c r="I876" s="3" t="s">
        <v>116</v>
      </c>
      <c r="J876" s="3" t="s">
        <v>69</v>
      </c>
      <c r="K876" s="3" t="s">
        <v>2977</v>
      </c>
      <c r="L876" s="3"/>
      <c r="M876" s="3"/>
      <c r="N876" s="3"/>
      <c r="O876" s="3"/>
      <c r="P876" s="3"/>
      <c r="Q876" s="31"/>
      <c r="R876" s="3" t="s">
        <v>62</v>
      </c>
      <c r="S876" s="3" t="s">
        <v>529</v>
      </c>
    </row>
    <row r="877" spans="1:19">
      <c r="A877" s="3" t="e">
        <v>#N/A</v>
      </c>
      <c r="B877" s="31" t="e">
        <v>#N/A</v>
      </c>
      <c r="C877" s="31">
        <v>42754.432638888888</v>
      </c>
      <c r="D877" s="3">
        <v>3035748811</v>
      </c>
      <c r="E877" s="3" t="s">
        <v>273</v>
      </c>
      <c r="F877" s="3" t="s">
        <v>262</v>
      </c>
      <c r="G877" s="3" t="s">
        <v>874</v>
      </c>
      <c r="H877" s="3" t="s">
        <v>115</v>
      </c>
      <c r="I877" s="3" t="s">
        <v>116</v>
      </c>
      <c r="J877" s="3" t="s">
        <v>69</v>
      </c>
      <c r="K877" s="3" t="s">
        <v>2977</v>
      </c>
      <c r="L877" s="3"/>
      <c r="M877" s="3"/>
      <c r="N877" s="3"/>
      <c r="O877" s="3"/>
      <c r="P877" s="3"/>
      <c r="Q877" s="31"/>
      <c r="R877" s="3" t="s">
        <v>62</v>
      </c>
      <c r="S877" s="3" t="s">
        <v>529</v>
      </c>
    </row>
    <row r="878" spans="1:19">
      <c r="A878" s="3" t="e">
        <v>#N/A</v>
      </c>
      <c r="B878" s="31" t="e">
        <v>#N/A</v>
      </c>
      <c r="C878" s="31">
        <v>42754.435416666667</v>
      </c>
      <c r="D878" s="3">
        <v>3035917186</v>
      </c>
      <c r="E878" s="3" t="s">
        <v>9</v>
      </c>
      <c r="F878" s="3" t="s">
        <v>101</v>
      </c>
      <c r="G878" s="3" t="s">
        <v>102</v>
      </c>
      <c r="H878" s="3" t="s">
        <v>101</v>
      </c>
      <c r="I878" s="3" t="s">
        <v>102</v>
      </c>
      <c r="J878" s="3" t="s">
        <v>69</v>
      </c>
      <c r="K878" s="3" t="s">
        <v>2976</v>
      </c>
      <c r="L878" s="3"/>
      <c r="M878" s="3"/>
      <c r="N878" s="3"/>
      <c r="O878" s="3"/>
      <c r="P878" s="3"/>
      <c r="Q878" s="31"/>
      <c r="R878" s="3" t="s">
        <v>62</v>
      </c>
      <c r="S878" s="3" t="s">
        <v>62</v>
      </c>
    </row>
    <row r="879" spans="1:19">
      <c r="A879" s="3" t="e">
        <v>#N/A</v>
      </c>
      <c r="B879" s="31" t="e">
        <v>#N/A</v>
      </c>
      <c r="C879" s="31">
        <v>42754.436111111114</v>
      </c>
      <c r="D879" s="3">
        <v>3035917498</v>
      </c>
      <c r="E879" s="3" t="s">
        <v>31</v>
      </c>
      <c r="F879" s="3" t="s">
        <v>113</v>
      </c>
      <c r="G879" s="3" t="s">
        <v>114</v>
      </c>
      <c r="H879" s="3" t="s">
        <v>113</v>
      </c>
      <c r="I879" s="3" t="s">
        <v>114</v>
      </c>
      <c r="J879" s="3" t="s">
        <v>79</v>
      </c>
      <c r="K879" s="3" t="s">
        <v>2976</v>
      </c>
      <c r="L879" s="3"/>
      <c r="M879" s="3"/>
      <c r="N879" s="3"/>
      <c r="O879" s="3"/>
      <c r="P879" s="3"/>
      <c r="Q879" s="31"/>
      <c r="R879" s="3" t="s">
        <v>62</v>
      </c>
      <c r="S879" s="3" t="s">
        <v>62</v>
      </c>
    </row>
    <row r="880" spans="1:19">
      <c r="A880" s="3" t="e">
        <v>#N/A</v>
      </c>
      <c r="B880" s="31" t="e">
        <v>#N/A</v>
      </c>
      <c r="C880" s="31">
        <v>42754.438194444447</v>
      </c>
      <c r="D880" s="3">
        <v>3035917543</v>
      </c>
      <c r="E880" s="3" t="s">
        <v>23</v>
      </c>
      <c r="F880" s="3" t="s">
        <v>137</v>
      </c>
      <c r="G880" s="3" t="s">
        <v>138</v>
      </c>
      <c r="H880" s="3" t="s">
        <v>137</v>
      </c>
      <c r="I880" s="3" t="s">
        <v>138</v>
      </c>
      <c r="J880" s="3" t="s">
        <v>69</v>
      </c>
      <c r="K880" s="3" t="s">
        <v>2976</v>
      </c>
      <c r="L880" s="3"/>
      <c r="M880" s="3"/>
      <c r="N880" s="3"/>
      <c r="O880" s="3"/>
      <c r="P880" s="3"/>
      <c r="Q880" s="31"/>
      <c r="R880" s="3" t="s">
        <v>62</v>
      </c>
      <c r="S880" s="3" t="s">
        <v>62</v>
      </c>
    </row>
    <row r="881" spans="1:19">
      <c r="A881" s="3" t="e">
        <v>#N/A</v>
      </c>
      <c r="B881" s="31" t="e">
        <v>#N/A</v>
      </c>
      <c r="C881" s="31">
        <v>42754.44027777778</v>
      </c>
      <c r="D881" s="3">
        <v>3035917568</v>
      </c>
      <c r="E881" s="3" t="s">
        <v>39</v>
      </c>
      <c r="F881" s="3" t="s">
        <v>248</v>
      </c>
      <c r="G881" s="3" t="s">
        <v>249</v>
      </c>
      <c r="H881" s="3" t="s">
        <v>248</v>
      </c>
      <c r="I881" s="3" t="s">
        <v>249</v>
      </c>
      <c r="J881" s="3" t="s">
        <v>69</v>
      </c>
      <c r="K881" s="3" t="s">
        <v>2977</v>
      </c>
      <c r="L881" s="3"/>
      <c r="M881" s="3"/>
      <c r="N881" s="3"/>
      <c r="O881" s="3"/>
      <c r="P881" s="3"/>
      <c r="Q881" s="31"/>
      <c r="R881" s="3" t="s">
        <v>62</v>
      </c>
      <c r="S881" s="3" t="s">
        <v>92</v>
      </c>
    </row>
    <row r="882" spans="1:19">
      <c r="A882" s="3" t="e">
        <v>#N/A</v>
      </c>
      <c r="B882" s="31" t="e">
        <v>#N/A</v>
      </c>
      <c r="C882" s="31">
        <v>42754.45416666667</v>
      </c>
      <c r="D882" s="3">
        <v>3035885351</v>
      </c>
      <c r="E882" s="3" t="s">
        <v>273</v>
      </c>
      <c r="F882" s="3" t="s">
        <v>259</v>
      </c>
      <c r="G882" s="3" t="s">
        <v>260</v>
      </c>
      <c r="H882" s="3" t="s">
        <v>115</v>
      </c>
      <c r="I882" s="3" t="s">
        <v>116</v>
      </c>
      <c r="J882" s="3" t="s">
        <v>58</v>
      </c>
      <c r="K882" s="3" t="s">
        <v>2977</v>
      </c>
      <c r="L882" s="3"/>
      <c r="M882" s="3"/>
      <c r="N882" s="3"/>
      <c r="O882" s="3"/>
      <c r="P882" s="3"/>
      <c r="Q882" s="31"/>
      <c r="R882" s="3" t="s">
        <v>62</v>
      </c>
      <c r="S882" s="3" t="s">
        <v>529</v>
      </c>
    </row>
    <row r="883" spans="1:19">
      <c r="A883" s="3" t="e">
        <v>#N/A</v>
      </c>
      <c r="B883" s="31" t="e">
        <v>#N/A</v>
      </c>
      <c r="C883" s="31">
        <v>42754.458333333336</v>
      </c>
      <c r="D883" s="3">
        <v>3035883132</v>
      </c>
      <c r="E883" s="3" t="s">
        <v>9</v>
      </c>
      <c r="F883" s="3" t="s">
        <v>107</v>
      </c>
      <c r="G883" s="3" t="s">
        <v>108</v>
      </c>
      <c r="H883" s="3" t="s">
        <v>82</v>
      </c>
      <c r="I883" s="3" t="s">
        <v>83</v>
      </c>
      <c r="J883" s="3" t="s">
        <v>69</v>
      </c>
      <c r="K883" s="3" t="s">
        <v>2976</v>
      </c>
      <c r="L883" s="3"/>
      <c r="M883" s="3"/>
      <c r="N883" s="3"/>
      <c r="O883" s="3"/>
      <c r="P883" s="3"/>
      <c r="Q883" s="31"/>
      <c r="R883" s="3" t="s">
        <v>62</v>
      </c>
      <c r="S883" s="3" t="s">
        <v>62</v>
      </c>
    </row>
    <row r="884" spans="1:19">
      <c r="A884" s="3" t="e">
        <v>#N/A</v>
      </c>
      <c r="B884" s="31" t="e">
        <v>#N/A</v>
      </c>
      <c r="C884" s="31">
        <v>42754.461111111108</v>
      </c>
      <c r="D884" s="3">
        <v>3035918049</v>
      </c>
      <c r="E884" s="3" t="s">
        <v>273</v>
      </c>
      <c r="F884" s="3" t="s">
        <v>258</v>
      </c>
      <c r="G884" s="3" t="s">
        <v>327</v>
      </c>
      <c r="H884" s="3" t="s">
        <v>258</v>
      </c>
      <c r="I884" s="3" t="s">
        <v>327</v>
      </c>
      <c r="J884" s="3" t="s">
        <v>69</v>
      </c>
      <c r="K884" s="3" t="s">
        <v>2977</v>
      </c>
      <c r="L884" s="3"/>
      <c r="M884" s="3"/>
      <c r="N884" s="3"/>
      <c r="O884" s="3"/>
      <c r="P884" s="3"/>
      <c r="Q884" s="31"/>
      <c r="R884" s="3" t="s">
        <v>62</v>
      </c>
      <c r="S884" s="3" t="s">
        <v>2985</v>
      </c>
    </row>
    <row r="885" spans="1:19">
      <c r="A885" s="3" t="e">
        <v>#N/A</v>
      </c>
      <c r="B885" s="31" t="e">
        <v>#N/A</v>
      </c>
      <c r="C885" s="31">
        <v>42754.46875</v>
      </c>
      <c r="D885" s="3">
        <v>3035918013</v>
      </c>
      <c r="E885" s="3" t="s">
        <v>9</v>
      </c>
      <c r="F885" s="3" t="s">
        <v>107</v>
      </c>
      <c r="G885" s="3" t="s">
        <v>108</v>
      </c>
      <c r="H885" s="3" t="s">
        <v>107</v>
      </c>
      <c r="I885" s="3" t="s">
        <v>108</v>
      </c>
      <c r="J885" s="3" t="s">
        <v>69</v>
      </c>
      <c r="K885" s="3" t="s">
        <v>2976</v>
      </c>
      <c r="L885" s="3"/>
      <c r="M885" s="3"/>
      <c r="N885" s="3"/>
      <c r="O885" s="3"/>
      <c r="P885" s="3"/>
      <c r="Q885" s="31"/>
      <c r="R885" s="3" t="s">
        <v>62</v>
      </c>
      <c r="S885" s="3" t="s">
        <v>62</v>
      </c>
    </row>
    <row r="886" spans="1:19">
      <c r="A886" s="3" t="e">
        <v>#N/A</v>
      </c>
      <c r="B886" s="31" t="e">
        <v>#N/A</v>
      </c>
      <c r="C886" s="31">
        <v>42754.472916666666</v>
      </c>
      <c r="D886" s="3">
        <v>3034948852</v>
      </c>
      <c r="E886" s="3" t="s">
        <v>23</v>
      </c>
      <c r="F886" s="3" t="s">
        <v>198</v>
      </c>
      <c r="G886" s="3" t="s">
        <v>199</v>
      </c>
      <c r="H886" s="3" t="s">
        <v>151</v>
      </c>
      <c r="I886" s="3" t="s">
        <v>152</v>
      </c>
      <c r="J886" s="3" t="s">
        <v>99</v>
      </c>
      <c r="K886" s="3" t="s">
        <v>2977</v>
      </c>
      <c r="L886" s="3"/>
      <c r="M886" s="3"/>
      <c r="N886" s="3"/>
      <c r="O886" s="3"/>
      <c r="P886" s="3"/>
      <c r="Q886" s="31"/>
      <c r="R886" s="3" t="s">
        <v>62</v>
      </c>
      <c r="S886" s="3" t="s">
        <v>65</v>
      </c>
    </row>
    <row r="887" spans="1:19">
      <c r="A887" s="3" t="e">
        <v>#N/A</v>
      </c>
      <c r="B887" s="31" t="e">
        <v>#N/A</v>
      </c>
      <c r="C887" s="31">
        <v>42754.481944444444</v>
      </c>
      <c r="D887" s="3">
        <v>3035918897</v>
      </c>
      <c r="E887" s="3" t="s">
        <v>23</v>
      </c>
      <c r="F887" s="3" t="s">
        <v>154</v>
      </c>
      <c r="G887" s="3" t="s">
        <v>155</v>
      </c>
      <c r="H887" s="3" t="s">
        <v>154</v>
      </c>
      <c r="I887" s="3" t="s">
        <v>155</v>
      </c>
      <c r="J887" s="3" t="s">
        <v>69</v>
      </c>
      <c r="K887" s="3" t="s">
        <v>2976</v>
      </c>
      <c r="L887" s="3"/>
      <c r="M887" s="3"/>
      <c r="N887" s="3"/>
      <c r="O887" s="3"/>
      <c r="P887" s="3"/>
      <c r="Q887" s="31"/>
      <c r="R887" s="3" t="s">
        <v>62</v>
      </c>
      <c r="S887" s="3" t="s">
        <v>62</v>
      </c>
    </row>
    <row r="888" spans="1:19">
      <c r="A888" s="3" t="e">
        <v>#N/A</v>
      </c>
      <c r="B888" s="31" t="e">
        <v>#N/A</v>
      </c>
      <c r="C888" s="31">
        <v>42754.487500000003</v>
      </c>
      <c r="D888" s="3">
        <v>3035892752</v>
      </c>
      <c r="E888" s="3" t="s">
        <v>271</v>
      </c>
      <c r="F888" s="3" t="s">
        <v>1731</v>
      </c>
      <c r="G888" s="3" t="s">
        <v>646</v>
      </c>
      <c r="H888" s="3" t="s">
        <v>2986</v>
      </c>
      <c r="I888" s="3" t="s">
        <v>645</v>
      </c>
      <c r="J888" s="3" t="s">
        <v>98</v>
      </c>
      <c r="K888" s="3" t="s">
        <v>2977</v>
      </c>
      <c r="L888" s="3"/>
      <c r="M888" s="3"/>
      <c r="N888" s="3"/>
      <c r="O888" s="3"/>
      <c r="P888" s="3"/>
      <c r="Q888" s="31"/>
      <c r="R888" s="3" t="s">
        <v>62</v>
      </c>
      <c r="S888" s="3" t="s">
        <v>65</v>
      </c>
    </row>
    <row r="889" spans="1:19">
      <c r="A889" s="3" t="e">
        <v>#N/A</v>
      </c>
      <c r="B889" s="31" t="e">
        <v>#N/A</v>
      </c>
      <c r="C889" s="31">
        <v>42754.496527777781</v>
      </c>
      <c r="D889" s="3">
        <v>3035919435</v>
      </c>
      <c r="E889" s="3" t="s">
        <v>23</v>
      </c>
      <c r="F889" s="3" t="s">
        <v>137</v>
      </c>
      <c r="G889" s="3" t="s">
        <v>138</v>
      </c>
      <c r="H889" s="3" t="s">
        <v>137</v>
      </c>
      <c r="I889" s="3" t="s">
        <v>138</v>
      </c>
      <c r="J889" s="3" t="s">
        <v>69</v>
      </c>
      <c r="K889" s="3" t="s">
        <v>2976</v>
      </c>
      <c r="L889" s="3"/>
      <c r="M889" s="3"/>
      <c r="N889" s="3"/>
      <c r="O889" s="3"/>
      <c r="P889" s="3"/>
      <c r="Q889" s="31"/>
      <c r="R889" s="3" t="s">
        <v>62</v>
      </c>
      <c r="S889" s="3" t="s">
        <v>62</v>
      </c>
    </row>
    <row r="890" spans="1:19">
      <c r="A890" s="3" t="e">
        <v>#N/A</v>
      </c>
      <c r="B890" s="31" t="e">
        <v>#N/A</v>
      </c>
      <c r="C890" s="31">
        <v>42754.505555555559</v>
      </c>
      <c r="D890" s="3">
        <v>3035919635</v>
      </c>
      <c r="E890" s="3" t="s">
        <v>9</v>
      </c>
      <c r="F890" s="3" t="s">
        <v>101</v>
      </c>
      <c r="G890" s="3" t="s">
        <v>102</v>
      </c>
      <c r="H890" s="3" t="s">
        <v>101</v>
      </c>
      <c r="I890" s="3" t="s">
        <v>102</v>
      </c>
      <c r="J890" s="3" t="s">
        <v>69</v>
      </c>
      <c r="K890" s="3" t="s">
        <v>2976</v>
      </c>
      <c r="L890" s="3"/>
      <c r="M890" s="3"/>
      <c r="N890" s="3"/>
      <c r="O890" s="3"/>
      <c r="P890" s="3"/>
      <c r="Q890" s="31"/>
      <c r="R890" s="3" t="s">
        <v>62</v>
      </c>
      <c r="S890" s="3" t="s">
        <v>62</v>
      </c>
    </row>
    <row r="891" spans="1:19">
      <c r="A891" s="3" t="e">
        <v>#N/A</v>
      </c>
      <c r="B891" s="31" t="e">
        <v>#N/A</v>
      </c>
      <c r="C891" s="31">
        <v>42754.507638888892</v>
      </c>
      <c r="D891" s="3">
        <v>3035919817</v>
      </c>
      <c r="E891" s="3" t="s">
        <v>31</v>
      </c>
      <c r="F891" s="3" t="s">
        <v>202</v>
      </c>
      <c r="G891" s="3" t="s">
        <v>203</v>
      </c>
      <c r="H891" s="3" t="s">
        <v>202</v>
      </c>
      <c r="I891" s="3" t="s">
        <v>203</v>
      </c>
      <c r="J891" s="3" t="s">
        <v>69</v>
      </c>
      <c r="K891" s="3" t="s">
        <v>2976</v>
      </c>
      <c r="L891" s="3"/>
      <c r="M891" s="3"/>
      <c r="N891" s="3"/>
      <c r="O891" s="3"/>
      <c r="P891" s="3"/>
      <c r="Q891" s="31"/>
      <c r="R891" s="3" t="s">
        <v>62</v>
      </c>
      <c r="S891" s="3" t="s">
        <v>62</v>
      </c>
    </row>
    <row r="892" spans="1:19">
      <c r="A892" s="3" t="e">
        <v>#N/A</v>
      </c>
      <c r="B892" s="31" t="e">
        <v>#N/A</v>
      </c>
      <c r="C892" s="31">
        <v>42754.508333333331</v>
      </c>
      <c r="D892" s="3">
        <v>3035918705</v>
      </c>
      <c r="E892" s="3" t="s">
        <v>39</v>
      </c>
      <c r="F892" s="3" t="s">
        <v>248</v>
      </c>
      <c r="G892" s="3" t="s">
        <v>249</v>
      </c>
      <c r="H892" s="3" t="s">
        <v>248</v>
      </c>
      <c r="I892" s="3" t="s">
        <v>249</v>
      </c>
      <c r="J892" s="3" t="s">
        <v>99</v>
      </c>
      <c r="K892" s="3" t="s">
        <v>2977</v>
      </c>
      <c r="L892" s="3"/>
      <c r="M892" s="3"/>
      <c r="N892" s="3"/>
      <c r="O892" s="3"/>
      <c r="P892" s="3"/>
      <c r="Q892" s="31"/>
      <c r="R892" s="3" t="s">
        <v>62</v>
      </c>
      <c r="S892" s="3" t="s">
        <v>92</v>
      </c>
    </row>
    <row r="893" spans="1:19">
      <c r="A893" s="3" t="e">
        <v>#N/A</v>
      </c>
      <c r="B893" s="31" t="e">
        <v>#N/A</v>
      </c>
      <c r="C893" s="31">
        <v>42754.518055555556</v>
      </c>
      <c r="D893" s="3">
        <v>3035514825</v>
      </c>
      <c r="E893" s="3" t="s">
        <v>23</v>
      </c>
      <c r="F893" s="3" t="s">
        <v>183</v>
      </c>
      <c r="G893" s="3" t="s">
        <v>184</v>
      </c>
      <c r="H893" s="3" t="s">
        <v>878</v>
      </c>
      <c r="I893" s="3" t="s">
        <v>148</v>
      </c>
      <c r="J893" s="3" t="s">
        <v>58</v>
      </c>
      <c r="K893" s="3" t="s">
        <v>2977</v>
      </c>
      <c r="L893" s="3"/>
      <c r="M893" s="3"/>
      <c r="N893" s="3"/>
      <c r="O893" s="3"/>
      <c r="P893" s="3"/>
      <c r="Q893" s="31"/>
      <c r="R893" s="3" t="s">
        <v>62</v>
      </c>
      <c r="S893" s="3" t="s">
        <v>65</v>
      </c>
    </row>
    <row r="894" spans="1:19">
      <c r="A894" s="3" t="e">
        <v>#N/A</v>
      </c>
      <c r="B894" s="31" t="e">
        <v>#N/A</v>
      </c>
      <c r="C894" s="31">
        <v>42754.519444444442</v>
      </c>
      <c r="D894" s="3">
        <v>3035920393</v>
      </c>
      <c r="E894" s="3" t="s">
        <v>31</v>
      </c>
      <c r="F894" s="3" t="s">
        <v>227</v>
      </c>
      <c r="G894" s="3" t="s">
        <v>228</v>
      </c>
      <c r="H894" s="3" t="s">
        <v>227</v>
      </c>
      <c r="I894" s="3" t="s">
        <v>228</v>
      </c>
      <c r="J894" s="3" t="s">
        <v>144</v>
      </c>
      <c r="K894" s="3" t="s">
        <v>2977</v>
      </c>
      <c r="L894" s="3"/>
      <c r="M894" s="3"/>
      <c r="N894" s="3"/>
      <c r="O894" s="3"/>
      <c r="P894" s="3"/>
      <c r="Q894" s="31"/>
      <c r="R894" s="3" t="s">
        <v>62</v>
      </c>
      <c r="S894" s="3" t="s">
        <v>92</v>
      </c>
    </row>
    <row r="895" spans="1:19">
      <c r="A895" s="3" t="e">
        <v>#N/A</v>
      </c>
      <c r="B895" s="31" t="e">
        <v>#N/A</v>
      </c>
      <c r="C895" s="31">
        <v>42754.520833333336</v>
      </c>
      <c r="D895" s="3">
        <v>3035919989</v>
      </c>
      <c r="E895" s="3" t="s">
        <v>31</v>
      </c>
      <c r="F895" s="3" t="s">
        <v>145</v>
      </c>
      <c r="G895" s="3" t="s">
        <v>146</v>
      </c>
      <c r="H895" s="3" t="s">
        <v>145</v>
      </c>
      <c r="I895" s="3" t="s">
        <v>146</v>
      </c>
      <c r="J895" s="3" t="s">
        <v>69</v>
      </c>
      <c r="K895" s="3" t="s">
        <v>2977</v>
      </c>
      <c r="L895" s="3"/>
      <c r="M895" s="3"/>
      <c r="N895" s="3"/>
      <c r="O895" s="3"/>
      <c r="P895" s="3"/>
      <c r="Q895" s="31"/>
      <c r="R895" s="3" t="s">
        <v>62</v>
      </c>
      <c r="S895" s="3" t="s">
        <v>92</v>
      </c>
    </row>
    <row r="896" spans="1:19">
      <c r="A896" s="3" t="e">
        <v>#N/A</v>
      </c>
      <c r="B896" s="31" t="e">
        <v>#N/A</v>
      </c>
      <c r="C896" s="31">
        <v>42754.525000000001</v>
      </c>
      <c r="D896" s="3">
        <v>3035920230</v>
      </c>
      <c r="E896" s="3" t="s">
        <v>273</v>
      </c>
      <c r="F896" s="3" t="s">
        <v>153</v>
      </c>
      <c r="G896" s="3" t="s">
        <v>892</v>
      </c>
      <c r="H896" s="3" t="s">
        <v>153</v>
      </c>
      <c r="I896" s="3" t="s">
        <v>892</v>
      </c>
      <c r="J896" s="3" t="s">
        <v>98</v>
      </c>
      <c r="K896" s="3" t="s">
        <v>2977</v>
      </c>
      <c r="L896" s="3"/>
      <c r="M896" s="3"/>
      <c r="N896" s="3"/>
      <c r="O896" s="3"/>
      <c r="P896" s="3"/>
      <c r="Q896" s="31"/>
      <c r="R896" s="3" t="s">
        <v>62</v>
      </c>
      <c r="S896" s="3" t="s">
        <v>2985</v>
      </c>
    </row>
    <row r="897" spans="1:19">
      <c r="A897" s="3" t="e">
        <v>#N/A</v>
      </c>
      <c r="B897" s="31" t="e">
        <v>#N/A</v>
      </c>
      <c r="C897" s="31">
        <v>42754.536111111112</v>
      </c>
      <c r="D897" s="3">
        <v>3035920491</v>
      </c>
      <c r="E897" s="3" t="s">
        <v>39</v>
      </c>
      <c r="F897" s="3" t="s">
        <v>231</v>
      </c>
      <c r="G897" s="3" t="s">
        <v>232</v>
      </c>
      <c r="H897" s="3" t="s">
        <v>231</v>
      </c>
      <c r="I897" s="3" t="s">
        <v>232</v>
      </c>
      <c r="J897" s="3" t="s">
        <v>69</v>
      </c>
      <c r="K897" s="3" t="s">
        <v>2977</v>
      </c>
      <c r="L897" s="3"/>
      <c r="M897" s="3"/>
      <c r="N897" s="3"/>
      <c r="O897" s="3"/>
      <c r="P897" s="3"/>
      <c r="Q897" s="31"/>
      <c r="R897" s="3" t="s">
        <v>62</v>
      </c>
      <c r="S897" s="3" t="s">
        <v>92</v>
      </c>
    </row>
    <row r="898" spans="1:19">
      <c r="A898" s="3" t="e">
        <v>#N/A</v>
      </c>
      <c r="B898" s="31" t="e">
        <v>#N/A</v>
      </c>
      <c r="C898" s="31">
        <v>42754.543749999997</v>
      </c>
      <c r="D898" s="3">
        <v>3035920873</v>
      </c>
      <c r="E898" s="3" t="s">
        <v>23</v>
      </c>
      <c r="F898" s="3" t="s">
        <v>179</v>
      </c>
      <c r="G898" s="3" t="s">
        <v>180</v>
      </c>
      <c r="H898" s="3" t="s">
        <v>179</v>
      </c>
      <c r="I898" s="3" t="s">
        <v>180</v>
      </c>
      <c r="J898" s="3" t="s">
        <v>69</v>
      </c>
      <c r="K898" s="3" t="s">
        <v>2976</v>
      </c>
      <c r="L898" s="3"/>
      <c r="M898" s="3"/>
      <c r="N898" s="3"/>
      <c r="O898" s="3"/>
      <c r="P898" s="3"/>
      <c r="Q898" s="31"/>
      <c r="R898" s="3" t="s">
        <v>62</v>
      </c>
      <c r="S898" s="3" t="s">
        <v>62</v>
      </c>
    </row>
    <row r="899" spans="1:19">
      <c r="A899" s="3" t="e">
        <v>#N/A</v>
      </c>
      <c r="B899" s="31" t="e">
        <v>#N/A</v>
      </c>
      <c r="C899" s="31">
        <v>42754.544444444444</v>
      </c>
      <c r="D899" s="3">
        <v>3035719054</v>
      </c>
      <c r="E899" s="3" t="s">
        <v>23</v>
      </c>
      <c r="F899" s="3" t="s">
        <v>135</v>
      </c>
      <c r="G899" s="3" t="s">
        <v>136</v>
      </c>
      <c r="H899" s="3" t="s">
        <v>878</v>
      </c>
      <c r="I899" s="3" t="s">
        <v>148</v>
      </c>
      <c r="J899" s="3" t="s">
        <v>69</v>
      </c>
      <c r="K899" s="3" t="s">
        <v>2977</v>
      </c>
      <c r="L899" s="3"/>
      <c r="M899" s="3"/>
      <c r="N899" s="3"/>
      <c r="O899" s="3"/>
      <c r="P899" s="3"/>
      <c r="Q899" s="31"/>
      <c r="R899" s="3" t="s">
        <v>62</v>
      </c>
      <c r="S899" s="3" t="s">
        <v>65</v>
      </c>
    </row>
    <row r="900" spans="1:19">
      <c r="A900" s="3" t="e">
        <v>#N/A</v>
      </c>
      <c r="B900" s="31" t="e">
        <v>#N/A</v>
      </c>
      <c r="C900" s="31">
        <v>42754.555555555555</v>
      </c>
      <c r="D900" s="3">
        <v>3035642993</v>
      </c>
      <c r="E900" s="3" t="s">
        <v>9</v>
      </c>
      <c r="F900" s="3" t="s">
        <v>111</v>
      </c>
      <c r="G900" s="3" t="s">
        <v>112</v>
      </c>
      <c r="H900" s="3" t="s">
        <v>151</v>
      </c>
      <c r="I900" s="3" t="s">
        <v>152</v>
      </c>
      <c r="J900" s="3" t="s">
        <v>58</v>
      </c>
      <c r="K900" s="3" t="s">
        <v>2977</v>
      </c>
      <c r="L900" s="3"/>
      <c r="M900" s="3"/>
      <c r="N900" s="3"/>
      <c r="O900" s="3"/>
      <c r="P900" s="3"/>
      <c r="Q900" s="31"/>
      <c r="R900" s="3" t="s">
        <v>62</v>
      </c>
      <c r="S900" s="3" t="s">
        <v>65</v>
      </c>
    </row>
    <row r="901" spans="1:19">
      <c r="A901" s="3" t="e">
        <v>#N/A</v>
      </c>
      <c r="B901" s="31" t="e">
        <v>#N/A</v>
      </c>
      <c r="C901" s="31">
        <v>42754.556250000001</v>
      </c>
      <c r="D901" s="3">
        <v>3035779872</v>
      </c>
      <c r="E901" s="3" t="s">
        <v>39</v>
      </c>
      <c r="F901" s="3" t="s">
        <v>248</v>
      </c>
      <c r="G901" s="3" t="s">
        <v>249</v>
      </c>
      <c r="H901" s="3" t="s">
        <v>230</v>
      </c>
      <c r="I901" s="3" t="e">
        <v>#N/A</v>
      </c>
      <c r="J901" s="3" t="s">
        <v>58</v>
      </c>
      <c r="K901" s="3" t="s">
        <v>2977</v>
      </c>
      <c r="L901" s="3"/>
      <c r="M901" s="3"/>
      <c r="N901" s="3"/>
      <c r="O901" s="3"/>
      <c r="P901" s="3"/>
      <c r="Q901" s="31"/>
      <c r="R901" s="3" t="s">
        <v>62</v>
      </c>
      <c r="S901" s="3" t="s">
        <v>2143</v>
      </c>
    </row>
    <row r="902" spans="1:19">
      <c r="A902" s="3" t="e">
        <v>#N/A</v>
      </c>
      <c r="B902" s="31" t="e">
        <v>#N/A</v>
      </c>
      <c r="C902" s="31">
        <v>42754.563194444447</v>
      </c>
      <c r="D902" s="3">
        <v>3035921719</v>
      </c>
      <c r="E902" s="3" t="s">
        <v>2978</v>
      </c>
      <c r="F902" s="3" t="s">
        <v>256</v>
      </c>
      <c r="G902" s="3" t="s">
        <v>879</v>
      </c>
      <c r="H902" s="3" t="s">
        <v>101</v>
      </c>
      <c r="I902" s="3" t="s">
        <v>102</v>
      </c>
      <c r="J902" s="3" t="s">
        <v>69</v>
      </c>
      <c r="K902" s="3" t="s">
        <v>2976</v>
      </c>
      <c r="L902" s="3"/>
      <c r="M902" s="3"/>
      <c r="N902" s="3"/>
      <c r="O902" s="3"/>
      <c r="P902" s="3"/>
      <c r="Q902" s="31"/>
      <c r="R902" s="3" t="s">
        <v>62</v>
      </c>
      <c r="S902" s="3" t="s">
        <v>62</v>
      </c>
    </row>
    <row r="903" spans="1:19">
      <c r="A903" s="3" t="e">
        <v>#N/A</v>
      </c>
      <c r="B903" s="31" t="e">
        <v>#N/A</v>
      </c>
      <c r="C903" s="31">
        <v>42754.593055555553</v>
      </c>
      <c r="D903" s="3">
        <v>3035682149</v>
      </c>
      <c r="E903" s="3" t="s">
        <v>2978</v>
      </c>
      <c r="F903" s="3" t="s">
        <v>256</v>
      </c>
      <c r="G903" s="3" t="s">
        <v>879</v>
      </c>
      <c r="H903" s="3" t="s">
        <v>82</v>
      </c>
      <c r="I903" s="3" t="s">
        <v>83</v>
      </c>
      <c r="J903" s="3" t="s">
        <v>58</v>
      </c>
      <c r="K903" s="3" t="s">
        <v>2976</v>
      </c>
      <c r="L903" s="3"/>
      <c r="M903" s="3"/>
      <c r="N903" s="3"/>
      <c r="O903" s="3"/>
      <c r="P903" s="3"/>
      <c r="Q903" s="31"/>
      <c r="R903" s="3" t="s">
        <v>62</v>
      </c>
      <c r="S903" s="3" t="s">
        <v>62</v>
      </c>
    </row>
    <row r="904" spans="1:19">
      <c r="A904" s="3" t="e">
        <v>#N/A</v>
      </c>
      <c r="B904" s="31" t="e">
        <v>#N/A</v>
      </c>
      <c r="C904" s="31">
        <v>42754.595138888886</v>
      </c>
      <c r="D904" s="3">
        <v>3035883625</v>
      </c>
      <c r="E904" s="3" t="s">
        <v>39</v>
      </c>
      <c r="F904" s="3" t="s">
        <v>248</v>
      </c>
      <c r="G904" s="3" t="s">
        <v>249</v>
      </c>
      <c r="H904" s="3" t="s">
        <v>238</v>
      </c>
      <c r="I904" s="3" t="s">
        <v>239</v>
      </c>
      <c r="J904" s="3" t="s">
        <v>97</v>
      </c>
      <c r="K904" s="3" t="s">
        <v>2977</v>
      </c>
      <c r="L904" s="3"/>
      <c r="M904" s="3"/>
      <c r="N904" s="3"/>
      <c r="O904" s="3"/>
      <c r="P904" s="3"/>
      <c r="Q904" s="31"/>
      <c r="R904" s="3" t="s">
        <v>62</v>
      </c>
      <c r="S904" s="3" t="s">
        <v>529</v>
      </c>
    </row>
    <row r="905" spans="1:19">
      <c r="A905" s="3" t="e">
        <v>#N/A</v>
      </c>
      <c r="B905" s="31" t="e">
        <v>#N/A</v>
      </c>
      <c r="C905" s="31">
        <v>42754.613888888889</v>
      </c>
      <c r="D905" s="3">
        <v>3035925161</v>
      </c>
      <c r="E905" s="3" t="s">
        <v>9</v>
      </c>
      <c r="F905" s="3" t="s">
        <v>67</v>
      </c>
      <c r="G905" s="3" t="s">
        <v>68</v>
      </c>
      <c r="H905" s="3" t="s">
        <v>67</v>
      </c>
      <c r="I905" s="3" t="s">
        <v>68</v>
      </c>
      <c r="J905" s="3" t="s">
        <v>97</v>
      </c>
      <c r="K905" s="3" t="s">
        <v>2976</v>
      </c>
      <c r="L905" s="3"/>
      <c r="M905" s="3"/>
      <c r="N905" s="3"/>
      <c r="O905" s="3"/>
      <c r="P905" s="3"/>
      <c r="Q905" s="31"/>
      <c r="R905" s="3" t="s">
        <v>62</v>
      </c>
      <c r="S905" s="3" t="s">
        <v>62</v>
      </c>
    </row>
    <row r="906" spans="1:19">
      <c r="A906" s="3" t="e">
        <v>#N/A</v>
      </c>
      <c r="B906" s="31" t="e">
        <v>#N/A</v>
      </c>
      <c r="C906" s="31">
        <v>42754.615277777775</v>
      </c>
      <c r="D906" s="3">
        <v>3035887447</v>
      </c>
      <c r="E906" s="3" t="s">
        <v>39</v>
      </c>
      <c r="F906" s="3" t="s">
        <v>240</v>
      </c>
      <c r="G906" s="3" t="s">
        <v>241</v>
      </c>
      <c r="H906" s="3" t="s">
        <v>238</v>
      </c>
      <c r="I906" s="3" t="s">
        <v>239</v>
      </c>
      <c r="J906" s="3" t="s">
        <v>58</v>
      </c>
      <c r="K906" s="3" t="s">
        <v>2977</v>
      </c>
      <c r="L906" s="3"/>
      <c r="M906" s="3"/>
      <c r="N906" s="3"/>
      <c r="O906" s="3"/>
      <c r="P906" s="3"/>
      <c r="Q906" s="31"/>
      <c r="R906" s="3" t="s">
        <v>62</v>
      </c>
      <c r="S906" s="3" t="s">
        <v>529</v>
      </c>
    </row>
    <row r="907" spans="1:19">
      <c r="A907" s="3" t="e">
        <v>#N/A</v>
      </c>
      <c r="B907" s="31" t="e">
        <v>#N/A</v>
      </c>
      <c r="C907" s="31">
        <v>42754.62222222222</v>
      </c>
      <c r="D907" s="3">
        <v>3035925718</v>
      </c>
      <c r="E907" s="3" t="s">
        <v>23</v>
      </c>
      <c r="F907" s="3" t="s">
        <v>137</v>
      </c>
      <c r="G907" s="3" t="s">
        <v>138</v>
      </c>
      <c r="H907" s="3" t="s">
        <v>137</v>
      </c>
      <c r="I907" s="3" t="s">
        <v>138</v>
      </c>
      <c r="J907" s="3" t="s">
        <v>69</v>
      </c>
      <c r="K907" s="3" t="s">
        <v>2976</v>
      </c>
      <c r="L907" s="3"/>
      <c r="M907" s="3"/>
      <c r="N907" s="3"/>
      <c r="O907" s="3"/>
      <c r="P907" s="3"/>
      <c r="Q907" s="31"/>
      <c r="R907" s="3" t="s">
        <v>62</v>
      </c>
      <c r="S907" s="3" t="s">
        <v>62</v>
      </c>
    </row>
    <row r="908" spans="1:19">
      <c r="A908" s="3" t="e">
        <v>#N/A</v>
      </c>
      <c r="B908" s="31" t="e">
        <v>#N/A</v>
      </c>
      <c r="C908" s="31">
        <v>42754.62777777778</v>
      </c>
      <c r="D908" s="3">
        <v>3035926172</v>
      </c>
      <c r="E908" s="3" t="s">
        <v>23</v>
      </c>
      <c r="F908" s="3" t="s">
        <v>137</v>
      </c>
      <c r="G908" s="3" t="s">
        <v>138</v>
      </c>
      <c r="H908" s="3" t="s">
        <v>137</v>
      </c>
      <c r="I908" s="3" t="s">
        <v>138</v>
      </c>
      <c r="J908" s="3" t="s">
        <v>69</v>
      </c>
      <c r="K908" s="3" t="s">
        <v>2976</v>
      </c>
      <c r="L908" s="3"/>
      <c r="M908" s="3"/>
      <c r="N908" s="3"/>
      <c r="O908" s="3"/>
      <c r="P908" s="3"/>
      <c r="Q908" s="31"/>
      <c r="R908" s="3" t="s">
        <v>62</v>
      </c>
      <c r="S908" s="3" t="s">
        <v>62</v>
      </c>
    </row>
    <row r="909" spans="1:19">
      <c r="A909" s="3" t="e">
        <v>#N/A</v>
      </c>
      <c r="B909" s="31" t="e">
        <v>#N/A</v>
      </c>
      <c r="C909" s="31">
        <v>42754.62777777778</v>
      </c>
      <c r="D909" s="3">
        <v>3035809271</v>
      </c>
      <c r="E909" s="3" t="s">
        <v>31</v>
      </c>
      <c r="F909" s="3" t="s">
        <v>145</v>
      </c>
      <c r="G909" s="3" t="s">
        <v>146</v>
      </c>
      <c r="H909" s="3" t="s">
        <v>209</v>
      </c>
      <c r="I909" s="3" t="s">
        <v>210</v>
      </c>
      <c r="J909" s="3" t="s">
        <v>97</v>
      </c>
      <c r="K909" s="3" t="s">
        <v>2977</v>
      </c>
      <c r="L909" s="3"/>
      <c r="M909" s="3"/>
      <c r="N909" s="3"/>
      <c r="O909" s="3"/>
      <c r="P909" s="3"/>
      <c r="Q909" s="31"/>
      <c r="R909" s="3" t="s">
        <v>62</v>
      </c>
      <c r="S909" s="3" t="s">
        <v>529</v>
      </c>
    </row>
    <row r="910" spans="1:19">
      <c r="A910" s="3" t="e">
        <v>#N/A</v>
      </c>
      <c r="B910" s="31" t="e">
        <v>#N/A</v>
      </c>
      <c r="C910" s="31">
        <v>42754.629861111112</v>
      </c>
      <c r="D910" s="3">
        <v>3035926289</v>
      </c>
      <c r="E910" s="3" t="s">
        <v>23</v>
      </c>
      <c r="F910" s="3" t="s">
        <v>179</v>
      </c>
      <c r="G910" s="3" t="s">
        <v>180</v>
      </c>
      <c r="H910" s="3" t="s">
        <v>179</v>
      </c>
      <c r="I910" s="3" t="s">
        <v>180</v>
      </c>
      <c r="J910" s="3" t="s">
        <v>79</v>
      </c>
      <c r="K910" s="3" t="s">
        <v>2976</v>
      </c>
      <c r="L910" s="3"/>
      <c r="M910" s="3"/>
      <c r="N910" s="3"/>
      <c r="O910" s="3"/>
      <c r="P910" s="3"/>
      <c r="Q910" s="31"/>
      <c r="R910" s="3" t="s">
        <v>62</v>
      </c>
      <c r="S910" s="3" t="s">
        <v>62</v>
      </c>
    </row>
    <row r="911" spans="1:19">
      <c r="A911" s="3" t="e">
        <v>#N/A</v>
      </c>
      <c r="B911" s="31" t="e">
        <v>#N/A</v>
      </c>
      <c r="C911" s="31">
        <v>42754.636805555558</v>
      </c>
      <c r="D911" s="3">
        <v>3035926084</v>
      </c>
      <c r="E911" s="3" t="s">
        <v>9</v>
      </c>
      <c r="F911" s="3" t="s">
        <v>133</v>
      </c>
      <c r="G911" s="3" t="s">
        <v>134</v>
      </c>
      <c r="H911" s="3" t="s">
        <v>133</v>
      </c>
      <c r="I911" s="3" t="s">
        <v>134</v>
      </c>
      <c r="J911" s="3" t="s">
        <v>99</v>
      </c>
      <c r="K911" s="3" t="s">
        <v>2976</v>
      </c>
      <c r="L911" s="3"/>
      <c r="M911" s="3"/>
      <c r="N911" s="3"/>
      <c r="O911" s="3"/>
      <c r="P911" s="3"/>
      <c r="Q911" s="31"/>
      <c r="R911" s="3" t="s">
        <v>62</v>
      </c>
      <c r="S911" s="3" t="s">
        <v>62</v>
      </c>
    </row>
    <row r="912" spans="1:19">
      <c r="A912" s="3" t="e">
        <v>#N/A</v>
      </c>
      <c r="B912" s="31" t="e">
        <v>#N/A</v>
      </c>
      <c r="C912" s="31">
        <v>42754.638888888891</v>
      </c>
      <c r="D912" s="3">
        <v>3035896838</v>
      </c>
      <c r="E912" s="3" t="s">
        <v>23</v>
      </c>
      <c r="F912" s="3" t="s">
        <v>119</v>
      </c>
      <c r="G912" s="3" t="s">
        <v>120</v>
      </c>
      <c r="H912" s="3" t="s">
        <v>227</v>
      </c>
      <c r="I912" s="3" t="s">
        <v>228</v>
      </c>
      <c r="J912" s="3" t="s">
        <v>98</v>
      </c>
      <c r="K912" s="3" t="s">
        <v>2977</v>
      </c>
      <c r="L912" s="3"/>
      <c r="M912" s="3"/>
      <c r="N912" s="3"/>
      <c r="O912" s="3"/>
      <c r="P912" s="3"/>
      <c r="Q912" s="31"/>
      <c r="R912" s="3" t="s">
        <v>62</v>
      </c>
      <c r="S912" s="3" t="s">
        <v>92</v>
      </c>
    </row>
    <row r="913" spans="1:19">
      <c r="A913" s="3" t="e">
        <v>#N/A</v>
      </c>
      <c r="B913" s="31" t="e">
        <v>#N/A</v>
      </c>
      <c r="C913" s="31">
        <v>42754.640972222223</v>
      </c>
      <c r="D913" s="3">
        <v>3035883497</v>
      </c>
      <c r="E913" s="3" t="s">
        <v>31</v>
      </c>
      <c r="F913" s="3" t="s">
        <v>202</v>
      </c>
      <c r="G913" s="3" t="s">
        <v>203</v>
      </c>
      <c r="H913" s="3" t="s">
        <v>209</v>
      </c>
      <c r="I913" s="3" t="s">
        <v>210</v>
      </c>
      <c r="J913" s="3" t="s">
        <v>79</v>
      </c>
      <c r="K913" s="3" t="s">
        <v>2977</v>
      </c>
      <c r="L913" s="3"/>
      <c r="M913" s="3"/>
      <c r="N913" s="3"/>
      <c r="O913" s="3"/>
      <c r="P913" s="3"/>
      <c r="Q913" s="31"/>
      <c r="R913" s="3" t="s">
        <v>62</v>
      </c>
      <c r="S913" s="3" t="s">
        <v>529</v>
      </c>
    </row>
    <row r="914" spans="1:19">
      <c r="A914" s="3" t="e">
        <v>#N/A</v>
      </c>
      <c r="B914" s="31" t="e">
        <v>#N/A</v>
      </c>
      <c r="C914" s="31">
        <v>42754.644444444442</v>
      </c>
      <c r="D914" s="3">
        <v>3035919430</v>
      </c>
      <c r="E914" s="3" t="s">
        <v>9</v>
      </c>
      <c r="F914" s="3" t="s">
        <v>158</v>
      </c>
      <c r="G914" s="3" t="s">
        <v>159</v>
      </c>
      <c r="H914" s="3" t="s">
        <v>109</v>
      </c>
      <c r="I914" s="3" t="s">
        <v>110</v>
      </c>
      <c r="J914" s="3" t="s">
        <v>69</v>
      </c>
      <c r="K914" s="3" t="s">
        <v>2976</v>
      </c>
      <c r="L914" s="3"/>
      <c r="M914" s="3"/>
      <c r="N914" s="3"/>
      <c r="O914" s="3"/>
      <c r="P914" s="3"/>
      <c r="Q914" s="31"/>
      <c r="R914" s="3" t="s">
        <v>62</v>
      </c>
      <c r="S914" s="3" t="s">
        <v>62</v>
      </c>
    </row>
    <row r="915" spans="1:19">
      <c r="A915" s="3" t="e">
        <v>#N/A</v>
      </c>
      <c r="B915" s="31" t="e">
        <v>#N/A</v>
      </c>
      <c r="C915" s="31">
        <v>42754.668055555558</v>
      </c>
      <c r="D915" s="3">
        <v>3035928098</v>
      </c>
      <c r="E915" s="3" t="s">
        <v>23</v>
      </c>
      <c r="F915" s="3" t="s">
        <v>119</v>
      </c>
      <c r="G915" s="3" t="s">
        <v>120</v>
      </c>
      <c r="H915" s="3" t="s">
        <v>119</v>
      </c>
      <c r="I915" s="3" t="s">
        <v>120</v>
      </c>
      <c r="J915" s="3" t="s">
        <v>69</v>
      </c>
      <c r="K915" s="3" t="s">
        <v>2976</v>
      </c>
      <c r="L915" s="3"/>
      <c r="M915" s="3"/>
      <c r="N915" s="3"/>
      <c r="O915" s="3"/>
      <c r="P915" s="3"/>
      <c r="Q915" s="31"/>
      <c r="R915" s="3" t="s">
        <v>62</v>
      </c>
      <c r="S915" s="3" t="s">
        <v>62</v>
      </c>
    </row>
    <row r="916" spans="1:19">
      <c r="A916" s="3" t="e">
        <v>#N/A</v>
      </c>
      <c r="B916" s="31" t="e">
        <v>#N/A</v>
      </c>
      <c r="C916" s="31">
        <v>42754.668749999997</v>
      </c>
      <c r="D916" s="3">
        <v>3034132552</v>
      </c>
      <c r="E916" s="3" t="s">
        <v>273</v>
      </c>
      <c r="F916" s="3" t="s">
        <v>853</v>
      </c>
      <c r="G916" s="3" t="s">
        <v>267</v>
      </c>
      <c r="H916" s="3" t="s">
        <v>878</v>
      </c>
      <c r="I916" s="3" t="s">
        <v>148</v>
      </c>
      <c r="J916" s="3" t="s">
        <v>99</v>
      </c>
      <c r="K916" s="3" t="s">
        <v>2977</v>
      </c>
      <c r="L916" s="3"/>
      <c r="M916" s="3"/>
      <c r="N916" s="3"/>
      <c r="O916" s="3"/>
      <c r="P916" s="3"/>
      <c r="Q916" s="31"/>
      <c r="R916" s="3" t="s">
        <v>62</v>
      </c>
      <c r="S916" s="3" t="s">
        <v>65</v>
      </c>
    </row>
    <row r="917" spans="1:19">
      <c r="A917" s="3" t="e">
        <v>#N/A</v>
      </c>
      <c r="B917" s="31" t="e">
        <v>#N/A</v>
      </c>
      <c r="C917" s="31">
        <v>42754.669444444444</v>
      </c>
      <c r="D917" s="3">
        <v>3035928048</v>
      </c>
      <c r="E917" s="3" t="s">
        <v>273</v>
      </c>
      <c r="F917" s="3" t="s">
        <v>153</v>
      </c>
      <c r="G917" s="3" t="s">
        <v>892</v>
      </c>
      <c r="H917" s="3" t="s">
        <v>153</v>
      </c>
      <c r="I917" s="3" t="s">
        <v>892</v>
      </c>
      <c r="J917" s="3" t="s">
        <v>69</v>
      </c>
      <c r="K917" s="3" t="s">
        <v>2977</v>
      </c>
      <c r="L917" s="3"/>
      <c r="M917" s="3"/>
      <c r="N917" s="3"/>
      <c r="O917" s="3"/>
      <c r="P917" s="3"/>
      <c r="Q917" s="31"/>
      <c r="R917" s="3" t="s">
        <v>62</v>
      </c>
      <c r="S917" s="3" t="s">
        <v>2985</v>
      </c>
    </row>
    <row r="918" spans="1:19">
      <c r="A918" s="3" t="e">
        <v>#N/A</v>
      </c>
      <c r="B918" s="31" t="e">
        <v>#N/A</v>
      </c>
      <c r="C918" s="31">
        <v>42754.67083333333</v>
      </c>
      <c r="D918" s="3">
        <v>3035889051</v>
      </c>
      <c r="E918" s="3" t="s">
        <v>23</v>
      </c>
      <c r="F918" s="3" t="s">
        <v>179</v>
      </c>
      <c r="G918" s="3" t="s">
        <v>180</v>
      </c>
      <c r="H918" s="3" t="s">
        <v>139</v>
      </c>
      <c r="I918" s="3" t="s">
        <v>140</v>
      </c>
      <c r="J918" s="3" t="s">
        <v>69</v>
      </c>
      <c r="K918" s="3" t="s">
        <v>2977</v>
      </c>
      <c r="L918" s="3"/>
      <c r="M918" s="3"/>
      <c r="N918" s="3"/>
      <c r="O918" s="3"/>
      <c r="P918" s="3"/>
      <c r="Q918" s="31"/>
      <c r="R918" s="3" t="s">
        <v>62</v>
      </c>
      <c r="S918" s="3" t="s">
        <v>529</v>
      </c>
    </row>
    <row r="919" spans="1:19">
      <c r="A919" s="3" t="e">
        <v>#N/A</v>
      </c>
      <c r="B919" s="31" t="e">
        <v>#N/A</v>
      </c>
      <c r="C919" s="31">
        <v>42754.67083333333</v>
      </c>
      <c r="D919" s="3">
        <v>3035928247</v>
      </c>
      <c r="E919" s="3" t="s">
        <v>23</v>
      </c>
      <c r="F919" s="3" t="s">
        <v>183</v>
      </c>
      <c r="G919" s="3" t="s">
        <v>184</v>
      </c>
      <c r="H919" s="3" t="s">
        <v>183</v>
      </c>
      <c r="I919" s="3" t="s">
        <v>184</v>
      </c>
      <c r="J919" s="3" t="s">
        <v>99</v>
      </c>
      <c r="K919" s="3" t="s">
        <v>2976</v>
      </c>
      <c r="L919" s="3"/>
      <c r="M919" s="3"/>
      <c r="N919" s="3"/>
      <c r="O919" s="3"/>
      <c r="P919" s="3"/>
      <c r="Q919" s="31"/>
      <c r="R919" s="3" t="s">
        <v>62</v>
      </c>
      <c r="S919" s="3" t="s">
        <v>62</v>
      </c>
    </row>
    <row r="920" spans="1:19">
      <c r="A920" s="3" t="e">
        <v>#N/A</v>
      </c>
      <c r="B920" s="31" t="e">
        <v>#N/A</v>
      </c>
      <c r="C920" s="31">
        <v>42754.671527777777</v>
      </c>
      <c r="D920" s="3">
        <v>3035927945</v>
      </c>
      <c r="E920" s="3" t="s">
        <v>31</v>
      </c>
      <c r="F920" s="3" t="s">
        <v>145</v>
      </c>
      <c r="G920" s="3" t="s">
        <v>146</v>
      </c>
      <c r="H920" s="3" t="s">
        <v>145</v>
      </c>
      <c r="I920" s="3" t="s">
        <v>146</v>
      </c>
      <c r="J920" s="3" t="s">
        <v>69</v>
      </c>
      <c r="K920" s="3" t="s">
        <v>2977</v>
      </c>
      <c r="L920" s="3"/>
      <c r="M920" s="3"/>
      <c r="N920" s="3"/>
      <c r="O920" s="3"/>
      <c r="P920" s="3"/>
      <c r="Q920" s="31"/>
      <c r="R920" s="3" t="s">
        <v>62</v>
      </c>
      <c r="S920" s="3" t="s">
        <v>92</v>
      </c>
    </row>
    <row r="921" spans="1:19">
      <c r="A921" s="3" t="e">
        <v>#N/A</v>
      </c>
      <c r="B921" s="31" t="e">
        <v>#N/A</v>
      </c>
      <c r="C921" s="31">
        <v>42754.673611111109</v>
      </c>
      <c r="D921" s="3">
        <v>3035696013</v>
      </c>
      <c r="E921" s="3" t="s">
        <v>23</v>
      </c>
      <c r="F921" s="3" t="s">
        <v>131</v>
      </c>
      <c r="G921" s="3" t="s">
        <v>132</v>
      </c>
      <c r="H921" s="3" t="s">
        <v>139</v>
      </c>
      <c r="I921" s="3" t="s">
        <v>140</v>
      </c>
      <c r="J921" s="3" t="s">
        <v>69</v>
      </c>
      <c r="K921" s="3" t="s">
        <v>2977</v>
      </c>
      <c r="L921" s="3"/>
      <c r="M921" s="3"/>
      <c r="N921" s="3"/>
      <c r="O921" s="3"/>
      <c r="P921" s="3"/>
      <c r="Q921" s="31"/>
      <c r="R921" s="3" t="s">
        <v>62</v>
      </c>
      <c r="S921" s="3" t="s">
        <v>529</v>
      </c>
    </row>
    <row r="922" spans="1:19">
      <c r="A922" s="3" t="e">
        <v>#N/A</v>
      </c>
      <c r="B922" s="31" t="e">
        <v>#N/A</v>
      </c>
      <c r="C922" s="31">
        <v>42754.682638888888</v>
      </c>
      <c r="D922" s="3">
        <v>3035928928</v>
      </c>
      <c r="E922" s="3" t="s">
        <v>273</v>
      </c>
      <c r="F922" s="3" t="s">
        <v>258</v>
      </c>
      <c r="G922" s="3" t="s">
        <v>327</v>
      </c>
      <c r="H922" s="3" t="s">
        <v>258</v>
      </c>
      <c r="I922" s="3" t="s">
        <v>327</v>
      </c>
      <c r="J922" s="3" t="s">
        <v>98</v>
      </c>
      <c r="K922" s="3" t="s">
        <v>2977</v>
      </c>
      <c r="L922" s="3"/>
      <c r="M922" s="3"/>
      <c r="N922" s="3"/>
      <c r="O922" s="3"/>
      <c r="P922" s="3"/>
      <c r="Q922" s="31"/>
      <c r="R922" s="3" t="s">
        <v>62</v>
      </c>
      <c r="S922" s="3" t="s">
        <v>2985</v>
      </c>
    </row>
    <row r="923" spans="1:19">
      <c r="A923" s="3" t="e">
        <v>#N/A</v>
      </c>
      <c r="B923" s="31" t="e">
        <v>#N/A</v>
      </c>
      <c r="C923" s="31">
        <v>42754.689583333333</v>
      </c>
      <c r="D923" s="3">
        <v>3035929156</v>
      </c>
      <c r="E923" s="3" t="s">
        <v>23</v>
      </c>
      <c r="F923" s="3" t="s">
        <v>183</v>
      </c>
      <c r="G923" s="3" t="s">
        <v>184</v>
      </c>
      <c r="H923" s="3" t="s">
        <v>183</v>
      </c>
      <c r="I923" s="3" t="s">
        <v>184</v>
      </c>
      <c r="J923" s="3" t="s">
        <v>69</v>
      </c>
      <c r="K923" s="3" t="s">
        <v>2976</v>
      </c>
      <c r="L923" s="3"/>
      <c r="M923" s="3"/>
      <c r="N923" s="3"/>
      <c r="O923" s="3"/>
      <c r="P923" s="3"/>
      <c r="Q923" s="31"/>
      <c r="R923" s="3" t="s">
        <v>62</v>
      </c>
      <c r="S923" s="3" t="s">
        <v>62</v>
      </c>
    </row>
    <row r="924" spans="1:19">
      <c r="A924" s="3" t="e">
        <v>#N/A</v>
      </c>
      <c r="B924" s="31" t="e">
        <v>#N/A</v>
      </c>
      <c r="C924" s="31">
        <v>42754.69027777778</v>
      </c>
      <c r="D924" s="3">
        <v>3035928931</v>
      </c>
      <c r="E924" s="3" t="s">
        <v>9</v>
      </c>
      <c r="F924" s="3" t="s">
        <v>67</v>
      </c>
      <c r="G924" s="3" t="s">
        <v>68</v>
      </c>
      <c r="H924" s="3" t="s">
        <v>67</v>
      </c>
      <c r="I924" s="3" t="s">
        <v>68</v>
      </c>
      <c r="J924" s="3" t="s">
        <v>69</v>
      </c>
      <c r="K924" s="3" t="s">
        <v>2976</v>
      </c>
      <c r="L924" s="3"/>
      <c r="M924" s="3"/>
      <c r="N924" s="3"/>
      <c r="O924" s="3"/>
      <c r="P924" s="3"/>
      <c r="Q924" s="31"/>
      <c r="R924" s="3" t="s">
        <v>62</v>
      </c>
      <c r="S924" s="3" t="s">
        <v>62</v>
      </c>
    </row>
    <row r="925" spans="1:19">
      <c r="A925" s="3" t="e">
        <v>#N/A</v>
      </c>
      <c r="B925" s="31" t="e">
        <v>#N/A</v>
      </c>
      <c r="C925" s="31">
        <v>42754.692361111112</v>
      </c>
      <c r="D925" s="3">
        <v>3035929413</v>
      </c>
      <c r="E925" s="3" t="s">
        <v>23</v>
      </c>
      <c r="F925" s="3" t="s">
        <v>137</v>
      </c>
      <c r="G925" s="3" t="s">
        <v>138</v>
      </c>
      <c r="H925" s="3" t="s">
        <v>137</v>
      </c>
      <c r="I925" s="3" t="s">
        <v>138</v>
      </c>
      <c r="J925" s="3" t="s">
        <v>69</v>
      </c>
      <c r="K925" s="3" t="s">
        <v>2976</v>
      </c>
      <c r="L925" s="3"/>
      <c r="M925" s="3"/>
      <c r="N925" s="3"/>
      <c r="O925" s="3"/>
      <c r="P925" s="3"/>
      <c r="Q925" s="31"/>
      <c r="R925" s="3" t="s">
        <v>62</v>
      </c>
      <c r="S925" s="3" t="s">
        <v>62</v>
      </c>
    </row>
    <row r="926" spans="1:19">
      <c r="A926" s="3" t="e">
        <v>#N/A</v>
      </c>
      <c r="B926" s="31" t="e">
        <v>#N/A</v>
      </c>
      <c r="C926" s="31">
        <v>42754.702777777777</v>
      </c>
      <c r="D926" s="3">
        <v>3035663479</v>
      </c>
      <c r="E926" s="3" t="s">
        <v>23</v>
      </c>
      <c r="F926" s="3" t="s">
        <v>186</v>
      </c>
      <c r="G926" s="3" t="s">
        <v>187</v>
      </c>
      <c r="H926" s="3" t="s">
        <v>186</v>
      </c>
      <c r="I926" s="3" t="s">
        <v>187</v>
      </c>
      <c r="J926" s="3" t="s">
        <v>69</v>
      </c>
      <c r="K926" s="3" t="s">
        <v>2976</v>
      </c>
      <c r="L926" s="3"/>
      <c r="M926" s="3"/>
      <c r="N926" s="3"/>
      <c r="O926" s="3"/>
      <c r="P926" s="3"/>
      <c r="Q926" s="31"/>
      <c r="R926" s="3" t="s">
        <v>62</v>
      </c>
      <c r="S926" s="3" t="s">
        <v>62</v>
      </c>
    </row>
    <row r="927" spans="1:19">
      <c r="A927" s="3" t="e">
        <v>#N/A</v>
      </c>
      <c r="B927" s="31" t="e">
        <v>#N/A</v>
      </c>
      <c r="C927" s="31">
        <v>42754.70416666667</v>
      </c>
      <c r="D927" s="3">
        <v>3035929997</v>
      </c>
      <c r="E927" s="3" t="s">
        <v>23</v>
      </c>
      <c r="F927" s="3" t="s">
        <v>160</v>
      </c>
      <c r="G927" s="3" t="s">
        <v>161</v>
      </c>
      <c r="H927" s="3" t="s">
        <v>160</v>
      </c>
      <c r="I927" s="3" t="s">
        <v>161</v>
      </c>
      <c r="J927" s="3" t="s">
        <v>69</v>
      </c>
      <c r="K927" s="3" t="s">
        <v>2976</v>
      </c>
      <c r="L927" s="3"/>
      <c r="M927" s="3"/>
      <c r="N927" s="3"/>
      <c r="O927" s="3"/>
      <c r="P927" s="3"/>
      <c r="Q927" s="31"/>
      <c r="R927" s="3" t="s">
        <v>62</v>
      </c>
      <c r="S927" s="3" t="s">
        <v>62</v>
      </c>
    </row>
    <row r="928" spans="1:19">
      <c r="A928" s="3" t="e">
        <v>#N/A</v>
      </c>
      <c r="B928" s="31" t="e">
        <v>#N/A</v>
      </c>
      <c r="C928" s="31">
        <v>42754.705555555556</v>
      </c>
      <c r="D928" s="3">
        <v>3035930069</v>
      </c>
      <c r="E928" s="3" t="s">
        <v>23</v>
      </c>
      <c r="F928" s="3" t="s">
        <v>4001</v>
      </c>
      <c r="G928" s="3" t="s">
        <v>190</v>
      </c>
      <c r="H928" s="3" t="s">
        <v>4001</v>
      </c>
      <c r="I928" s="3" t="s">
        <v>190</v>
      </c>
      <c r="J928" s="3" t="s">
        <v>69</v>
      </c>
      <c r="K928" s="3" t="s">
        <v>2976</v>
      </c>
      <c r="L928" s="3"/>
      <c r="M928" s="3"/>
      <c r="N928" s="3"/>
      <c r="O928" s="3"/>
      <c r="P928" s="3"/>
      <c r="Q928" s="31"/>
      <c r="R928" s="3" t="s">
        <v>62</v>
      </c>
      <c r="S928" s="3" t="s">
        <v>62</v>
      </c>
    </row>
    <row r="929" spans="1:19">
      <c r="A929" s="3" t="e">
        <v>#N/A</v>
      </c>
      <c r="B929" s="31" t="e">
        <v>#N/A</v>
      </c>
      <c r="C929" s="31">
        <v>42754.707638888889</v>
      </c>
      <c r="D929" s="3">
        <v>3035765556</v>
      </c>
      <c r="E929" s="3" t="s">
        <v>23</v>
      </c>
      <c r="F929" s="3" t="s">
        <v>129</v>
      </c>
      <c r="G929" s="3" t="s">
        <v>130</v>
      </c>
      <c r="H929" s="3" t="s">
        <v>129</v>
      </c>
      <c r="I929" s="3" t="s">
        <v>130</v>
      </c>
      <c r="J929" s="3" t="s">
        <v>69</v>
      </c>
      <c r="K929" s="3" t="s">
        <v>2976</v>
      </c>
      <c r="L929" s="3"/>
      <c r="M929" s="3"/>
      <c r="N929" s="3"/>
      <c r="O929" s="3"/>
      <c r="P929" s="3"/>
      <c r="Q929" s="31"/>
      <c r="R929" s="3" t="s">
        <v>62</v>
      </c>
      <c r="S929" s="3" t="s">
        <v>62</v>
      </c>
    </row>
    <row r="930" spans="1:19">
      <c r="A930" s="3" t="e">
        <v>#N/A</v>
      </c>
      <c r="B930" s="31" t="e">
        <v>#N/A</v>
      </c>
      <c r="C930" s="31">
        <v>42754.715277777781</v>
      </c>
      <c r="D930" s="3">
        <v>3035930465</v>
      </c>
      <c r="E930" s="3" t="s">
        <v>23</v>
      </c>
      <c r="F930" s="3" t="s">
        <v>135</v>
      </c>
      <c r="G930" s="3" t="s">
        <v>136</v>
      </c>
      <c r="H930" s="3" t="s">
        <v>135</v>
      </c>
      <c r="I930" s="3" t="s">
        <v>136</v>
      </c>
      <c r="J930" s="3" t="s">
        <v>69</v>
      </c>
      <c r="K930" s="3" t="s">
        <v>2976</v>
      </c>
      <c r="L930" s="3"/>
      <c r="M930" s="3"/>
      <c r="N930" s="3"/>
      <c r="O930" s="3"/>
      <c r="P930" s="3"/>
      <c r="Q930" s="31"/>
      <c r="R930" s="3" t="s">
        <v>62</v>
      </c>
      <c r="S930" s="3" t="s">
        <v>62</v>
      </c>
    </row>
    <row r="931" spans="1:19">
      <c r="A931" s="3" t="e">
        <v>#N/A</v>
      </c>
      <c r="B931" s="31" t="e">
        <v>#N/A</v>
      </c>
      <c r="C931" s="31">
        <v>42754.71875</v>
      </c>
      <c r="D931" s="3">
        <v>3035930522</v>
      </c>
      <c r="E931" s="3" t="s">
        <v>23</v>
      </c>
      <c r="F931" s="3" t="s">
        <v>129</v>
      </c>
      <c r="G931" s="3" t="s">
        <v>130</v>
      </c>
      <c r="H931" s="3" t="s">
        <v>129</v>
      </c>
      <c r="I931" s="3" t="s">
        <v>130</v>
      </c>
      <c r="J931" s="3" t="s">
        <v>69</v>
      </c>
      <c r="K931" s="3" t="s">
        <v>2976</v>
      </c>
      <c r="L931" s="3"/>
      <c r="M931" s="3"/>
      <c r="N931" s="3"/>
      <c r="O931" s="3"/>
      <c r="P931" s="3"/>
      <c r="Q931" s="31"/>
      <c r="R931" s="3" t="s">
        <v>62</v>
      </c>
      <c r="S931" s="3" t="s">
        <v>62</v>
      </c>
    </row>
    <row r="932" spans="1:19">
      <c r="A932" s="3" t="e">
        <v>#N/A</v>
      </c>
      <c r="B932" s="31" t="e">
        <v>#N/A</v>
      </c>
      <c r="C932" s="31">
        <v>42754.730555555558</v>
      </c>
      <c r="D932" s="3">
        <v>3035931229</v>
      </c>
      <c r="E932" s="3" t="s">
        <v>39</v>
      </c>
      <c r="F932" s="3" t="s">
        <v>238</v>
      </c>
      <c r="G932" s="3" t="s">
        <v>239</v>
      </c>
      <c r="H932" s="3" t="s">
        <v>238</v>
      </c>
      <c r="I932" s="3" t="s">
        <v>239</v>
      </c>
      <c r="J932" s="3" t="s">
        <v>69</v>
      </c>
      <c r="K932" s="3" t="s">
        <v>2977</v>
      </c>
      <c r="L932" s="3"/>
      <c r="M932" s="3"/>
      <c r="N932" s="3"/>
      <c r="O932" s="3"/>
      <c r="P932" s="3"/>
      <c r="Q932" s="31"/>
      <c r="R932" s="3" t="s">
        <v>62</v>
      </c>
      <c r="S932" s="3" t="s">
        <v>529</v>
      </c>
    </row>
    <row r="933" spans="1:19">
      <c r="A933" s="3" t="e">
        <v>#N/A</v>
      </c>
      <c r="B933" s="31" t="e">
        <v>#N/A</v>
      </c>
      <c r="C933" s="31">
        <v>42754.740277777775</v>
      </c>
      <c r="D933" s="3">
        <v>3035931380</v>
      </c>
      <c r="E933" s="3" t="s">
        <v>39</v>
      </c>
      <c r="F933" s="3" t="s">
        <v>236</v>
      </c>
      <c r="G933" s="3" t="s">
        <v>237</v>
      </c>
      <c r="H933" s="3" t="s">
        <v>236</v>
      </c>
      <c r="I933" s="3" t="s">
        <v>237</v>
      </c>
      <c r="J933" s="3" t="s">
        <v>69</v>
      </c>
      <c r="K933" s="3" t="s">
        <v>2977</v>
      </c>
      <c r="L933" s="3"/>
      <c r="M933" s="3"/>
      <c r="N933" s="3"/>
      <c r="O933" s="3"/>
      <c r="P933" s="3"/>
      <c r="Q933" s="31"/>
      <c r="R933" s="3" t="s">
        <v>62</v>
      </c>
      <c r="S933" s="3" t="s">
        <v>92</v>
      </c>
    </row>
    <row r="934" spans="1:19">
      <c r="A934" s="3" t="e">
        <v>#N/A</v>
      </c>
      <c r="B934" s="31" t="e">
        <v>#N/A</v>
      </c>
      <c r="C934" s="31">
        <v>42754.745138888888</v>
      </c>
      <c r="D934" s="3">
        <v>3035931962</v>
      </c>
      <c r="E934" s="3" t="s">
        <v>23</v>
      </c>
      <c r="F934" s="3" t="s">
        <v>4001</v>
      </c>
      <c r="G934" s="3" t="s">
        <v>190</v>
      </c>
      <c r="H934" s="3" t="s">
        <v>4001</v>
      </c>
      <c r="I934" s="3" t="s">
        <v>190</v>
      </c>
      <c r="J934" s="3" t="s">
        <v>69</v>
      </c>
      <c r="K934" s="3" t="s">
        <v>2976</v>
      </c>
      <c r="L934" s="3"/>
      <c r="M934" s="3"/>
      <c r="N934" s="3"/>
      <c r="O934" s="3"/>
      <c r="P934" s="3"/>
      <c r="Q934" s="31"/>
      <c r="R934" s="3" t="s">
        <v>62</v>
      </c>
      <c r="S934" s="3" t="s">
        <v>62</v>
      </c>
    </row>
    <row r="935" spans="1:19">
      <c r="A935" s="3" t="e">
        <v>#N/A</v>
      </c>
      <c r="B935" s="31" t="e">
        <v>#N/A</v>
      </c>
      <c r="C935" s="31">
        <v>42754.759027777778</v>
      </c>
      <c r="D935" s="3">
        <v>3035932609</v>
      </c>
      <c r="E935" s="3" t="s">
        <v>23</v>
      </c>
      <c r="F935" s="3" t="s">
        <v>160</v>
      </c>
      <c r="G935" s="3" t="s">
        <v>161</v>
      </c>
      <c r="H935" s="3" t="s">
        <v>160</v>
      </c>
      <c r="I935" s="3" t="s">
        <v>161</v>
      </c>
      <c r="J935" s="3" t="s">
        <v>69</v>
      </c>
      <c r="K935" s="3" t="s">
        <v>2976</v>
      </c>
      <c r="L935" s="3"/>
      <c r="M935" s="3"/>
      <c r="N935" s="3"/>
      <c r="O935" s="3"/>
      <c r="P935" s="3"/>
      <c r="Q935" s="31"/>
      <c r="R935" s="3" t="s">
        <v>62</v>
      </c>
      <c r="S935" s="3" t="s">
        <v>62</v>
      </c>
    </row>
    <row r="936" spans="1:19">
      <c r="A936" s="3" t="e">
        <v>#N/A</v>
      </c>
      <c r="B936" s="31" t="e">
        <v>#N/A</v>
      </c>
      <c r="C936" s="31">
        <v>42754.777083333334</v>
      </c>
      <c r="D936" s="3">
        <v>3035933136</v>
      </c>
      <c r="E936" s="3" t="s">
        <v>273</v>
      </c>
      <c r="F936" s="3" t="s">
        <v>141</v>
      </c>
      <c r="G936" s="3" t="s">
        <v>560</v>
      </c>
      <c r="H936" s="3" t="s">
        <v>141</v>
      </c>
      <c r="I936" s="3" t="s">
        <v>560</v>
      </c>
      <c r="J936" s="3" t="s">
        <v>98</v>
      </c>
      <c r="K936" s="3" t="s">
        <v>2977</v>
      </c>
      <c r="L936" s="3"/>
      <c r="M936" s="3"/>
      <c r="N936" s="3"/>
      <c r="O936" s="3"/>
      <c r="P936" s="3"/>
      <c r="Q936" s="31"/>
      <c r="R936" s="3" t="s">
        <v>62</v>
      </c>
      <c r="S936" s="3" t="s">
        <v>2985</v>
      </c>
    </row>
    <row r="937" spans="1:19">
      <c r="A937" s="3" t="e">
        <v>#N/A</v>
      </c>
      <c r="B937" s="31" t="e">
        <v>#N/A</v>
      </c>
      <c r="C937" s="31">
        <v>42754.777083333334</v>
      </c>
      <c r="D937" s="3">
        <v>3035933410</v>
      </c>
      <c r="E937" s="3" t="s">
        <v>23</v>
      </c>
      <c r="F937" s="3" t="s">
        <v>135</v>
      </c>
      <c r="G937" s="3" t="s">
        <v>136</v>
      </c>
      <c r="H937" s="3" t="s">
        <v>135</v>
      </c>
      <c r="I937" s="3" t="s">
        <v>136</v>
      </c>
      <c r="J937" s="3" t="s">
        <v>79</v>
      </c>
      <c r="K937" s="3" t="s">
        <v>2976</v>
      </c>
      <c r="L937" s="3"/>
      <c r="M937" s="3"/>
      <c r="N937" s="3"/>
      <c r="O937" s="3"/>
      <c r="P937" s="3"/>
      <c r="Q937" s="31"/>
      <c r="R937" s="3" t="s">
        <v>62</v>
      </c>
      <c r="S937" s="3" t="s">
        <v>62</v>
      </c>
    </row>
    <row r="938" spans="1:19">
      <c r="A938" s="3" t="e">
        <v>#N/A</v>
      </c>
      <c r="B938" s="31" t="e">
        <v>#N/A</v>
      </c>
      <c r="C938" s="31">
        <v>42754.787499999999</v>
      </c>
      <c r="D938" s="3">
        <v>3035896918</v>
      </c>
      <c r="E938" s="3" t="s">
        <v>39</v>
      </c>
      <c r="F938" s="3" t="s">
        <v>246</v>
      </c>
      <c r="G938" s="3" t="s">
        <v>247</v>
      </c>
      <c r="H938" s="3" t="s">
        <v>238</v>
      </c>
      <c r="I938" s="3" t="s">
        <v>239</v>
      </c>
      <c r="J938" s="3" t="s">
        <v>58</v>
      </c>
      <c r="K938" s="3" t="s">
        <v>2977</v>
      </c>
      <c r="L938" s="3"/>
      <c r="M938" s="3"/>
      <c r="N938" s="3"/>
      <c r="O938" s="3"/>
      <c r="P938" s="3"/>
      <c r="Q938" s="31"/>
      <c r="R938" s="3" t="s">
        <v>62</v>
      </c>
      <c r="S938" s="3" t="s">
        <v>529</v>
      </c>
    </row>
    <row r="939" spans="1:19">
      <c r="A939" s="3" t="e">
        <v>#N/A</v>
      </c>
      <c r="B939" s="31" t="e">
        <v>#N/A</v>
      </c>
      <c r="C939" s="31">
        <v>42754.788194444445</v>
      </c>
      <c r="D939" s="3">
        <v>3035933688</v>
      </c>
      <c r="E939" s="3" t="s">
        <v>31</v>
      </c>
      <c r="F939" s="3" t="s">
        <v>223</v>
      </c>
      <c r="G939" s="3" t="s">
        <v>224</v>
      </c>
      <c r="H939" s="3" t="s">
        <v>223</v>
      </c>
      <c r="I939" s="3" t="s">
        <v>224</v>
      </c>
      <c r="J939" s="3" t="s">
        <v>97</v>
      </c>
      <c r="K939" s="3" t="s">
        <v>2977</v>
      </c>
      <c r="L939" s="3"/>
      <c r="M939" s="3"/>
      <c r="N939" s="3"/>
      <c r="O939" s="3"/>
      <c r="P939" s="3"/>
      <c r="Q939" s="31"/>
      <c r="R939" s="3" t="s">
        <v>62</v>
      </c>
      <c r="S939" s="3" t="s">
        <v>92</v>
      </c>
    </row>
    <row r="940" spans="1:19">
      <c r="A940" s="3" t="e">
        <v>#N/A</v>
      </c>
      <c r="B940" s="31" t="e">
        <v>#N/A</v>
      </c>
      <c r="C940" s="31">
        <v>42754.837500000001</v>
      </c>
      <c r="D940" s="3">
        <v>3035898160</v>
      </c>
      <c r="E940" s="3" t="s">
        <v>39</v>
      </c>
      <c r="F940" s="3" t="s">
        <v>236</v>
      </c>
      <c r="G940" s="3" t="s">
        <v>237</v>
      </c>
      <c r="H940" s="3" t="s">
        <v>230</v>
      </c>
      <c r="I940" s="3" t="e">
        <v>#N/A</v>
      </c>
      <c r="J940" s="3" t="s">
        <v>69</v>
      </c>
      <c r="K940" s="3" t="s">
        <v>2977</v>
      </c>
      <c r="L940" s="3"/>
      <c r="M940" s="3"/>
      <c r="N940" s="3"/>
      <c r="O940" s="3"/>
      <c r="P940" s="3"/>
      <c r="Q940" s="31"/>
      <c r="R940" s="3" t="s">
        <v>62</v>
      </c>
      <c r="S940" s="3" t="s">
        <v>2143</v>
      </c>
    </row>
    <row r="941" spans="1:19">
      <c r="A941" s="3" t="e">
        <v>#N/A</v>
      </c>
      <c r="B941" s="31" t="e">
        <v>#N/A</v>
      </c>
      <c r="C941" s="31">
        <v>42754.838194444441</v>
      </c>
      <c r="D941" s="3">
        <v>3035934858</v>
      </c>
      <c r="E941" s="3" t="s">
        <v>39</v>
      </c>
      <c r="F941" s="3" t="s">
        <v>246</v>
      </c>
      <c r="G941" s="3" t="s">
        <v>247</v>
      </c>
      <c r="H941" s="3" t="s">
        <v>246</v>
      </c>
      <c r="I941" s="3" t="s">
        <v>247</v>
      </c>
      <c r="J941" s="3" t="s">
        <v>69</v>
      </c>
      <c r="K941" s="3" t="s">
        <v>2977</v>
      </c>
      <c r="L941" s="3"/>
      <c r="M941" s="3"/>
      <c r="N941" s="3"/>
      <c r="O941" s="3"/>
      <c r="P941" s="3"/>
      <c r="Q941" s="31"/>
      <c r="R941" s="3" t="s">
        <v>62</v>
      </c>
      <c r="S941" s="3" t="s">
        <v>92</v>
      </c>
    </row>
    <row r="942" spans="1:19">
      <c r="A942" s="3" t="e">
        <v>#N/A</v>
      </c>
      <c r="B942" s="31" t="e">
        <v>#N/A</v>
      </c>
      <c r="C942" s="31">
        <v>42754.859722222223</v>
      </c>
      <c r="D942" s="3">
        <v>3035937287</v>
      </c>
      <c r="E942" s="3" t="s">
        <v>39</v>
      </c>
      <c r="F942" s="3" t="s">
        <v>236</v>
      </c>
      <c r="G942" s="3" t="s">
        <v>237</v>
      </c>
      <c r="H942" s="3" t="s">
        <v>236</v>
      </c>
      <c r="I942" s="3" t="s">
        <v>237</v>
      </c>
      <c r="J942" s="3" t="s">
        <v>69</v>
      </c>
      <c r="K942" s="3" t="s">
        <v>2977</v>
      </c>
      <c r="L942" s="3"/>
      <c r="M942" s="3"/>
      <c r="N942" s="3"/>
      <c r="O942" s="3"/>
      <c r="P942" s="3"/>
      <c r="Q942" s="31"/>
      <c r="R942" s="3" t="s">
        <v>62</v>
      </c>
      <c r="S942" s="3" t="s">
        <v>92</v>
      </c>
    </row>
    <row r="943" spans="1:19">
      <c r="A943" s="3" t="e">
        <v>#N/A</v>
      </c>
      <c r="B943" s="31" t="e">
        <v>#N/A</v>
      </c>
      <c r="C943" s="31">
        <v>42754.883333333331</v>
      </c>
      <c r="D943" s="3">
        <v>3035937750</v>
      </c>
      <c r="E943" s="3" t="s">
        <v>23</v>
      </c>
      <c r="F943" s="3" t="s">
        <v>119</v>
      </c>
      <c r="G943" s="3" t="s">
        <v>120</v>
      </c>
      <c r="H943" s="3" t="s">
        <v>119</v>
      </c>
      <c r="I943" s="3" t="s">
        <v>120</v>
      </c>
      <c r="J943" s="3" t="s">
        <v>69</v>
      </c>
      <c r="K943" s="3" t="s">
        <v>2976</v>
      </c>
      <c r="L943" s="3"/>
      <c r="M943" s="3"/>
      <c r="N943" s="3"/>
      <c r="O943" s="3"/>
      <c r="P943" s="3"/>
      <c r="Q943" s="31"/>
      <c r="R943" s="3" t="s">
        <v>62</v>
      </c>
      <c r="S943" s="3" t="s">
        <v>62</v>
      </c>
    </row>
    <row r="944" spans="1:19">
      <c r="A944" s="3" t="e">
        <v>#N/A</v>
      </c>
      <c r="B944" s="31" t="e">
        <v>#N/A</v>
      </c>
      <c r="C944" s="31">
        <v>42754.918749999997</v>
      </c>
      <c r="D944" s="3">
        <v>3035938485</v>
      </c>
      <c r="E944" s="3" t="s">
        <v>23</v>
      </c>
      <c r="F944" s="3" t="s">
        <v>129</v>
      </c>
      <c r="G944" s="3" t="s">
        <v>130</v>
      </c>
      <c r="H944" s="3" t="s">
        <v>129</v>
      </c>
      <c r="I944" s="3" t="s">
        <v>130</v>
      </c>
      <c r="J944" s="3" t="s">
        <v>69</v>
      </c>
      <c r="K944" s="3" t="s">
        <v>2976</v>
      </c>
      <c r="L944" s="3"/>
      <c r="M944" s="3"/>
      <c r="N944" s="3"/>
      <c r="O944" s="3"/>
      <c r="P944" s="3"/>
      <c r="Q944" s="31"/>
      <c r="R944" s="3" t="s">
        <v>62</v>
      </c>
      <c r="S944" s="3" t="s">
        <v>62</v>
      </c>
    </row>
    <row r="945" spans="1:22">
      <c r="A945" s="3" t="e">
        <v>#N/A</v>
      </c>
      <c r="B945" s="31" t="e">
        <v>#N/A</v>
      </c>
      <c r="C945" s="31">
        <v>42754.920138888891</v>
      </c>
      <c r="D945" s="3">
        <v>3035808062</v>
      </c>
      <c r="E945" s="3" t="s">
        <v>23</v>
      </c>
      <c r="F945" s="3" t="s">
        <v>137</v>
      </c>
      <c r="G945" s="3" t="s">
        <v>138</v>
      </c>
      <c r="H945" s="3" t="s">
        <v>139</v>
      </c>
      <c r="I945" s="3" t="s">
        <v>140</v>
      </c>
      <c r="J945" s="3" t="s">
        <v>79</v>
      </c>
      <c r="K945" s="3" t="s">
        <v>2977</v>
      </c>
      <c r="L945" s="3"/>
      <c r="M945" s="3"/>
      <c r="N945" s="3"/>
      <c r="O945" s="3"/>
      <c r="P945" s="3"/>
      <c r="Q945" s="31"/>
      <c r="R945" s="3" t="s">
        <v>62</v>
      </c>
      <c r="S945" s="3" t="s">
        <v>529</v>
      </c>
    </row>
    <row r="946" spans="1:22">
      <c r="A946" s="3" t="s">
        <v>164</v>
      </c>
      <c r="B946" s="31" t="s">
        <v>165</v>
      </c>
      <c r="C946" s="31" t="s">
        <v>166</v>
      </c>
      <c r="D946" s="3" t="s">
        <v>167</v>
      </c>
      <c r="E946" s="3" t="s">
        <v>168</v>
      </c>
      <c r="F946" s="3" t="s">
        <v>169</v>
      </c>
      <c r="G946" s="3" t="s">
        <v>170</v>
      </c>
      <c r="H946" s="3" t="s">
        <v>171</v>
      </c>
      <c r="I946" s="3" t="s">
        <v>172</v>
      </c>
      <c r="J946" s="3" t="s">
        <v>918</v>
      </c>
      <c r="K946" s="3" t="s">
        <v>2973</v>
      </c>
      <c r="L946" s="3" t="s">
        <v>173</v>
      </c>
      <c r="M946" s="3" t="s">
        <v>919</v>
      </c>
      <c r="N946" s="3" t="s">
        <v>174</v>
      </c>
      <c r="O946" s="3" t="s">
        <v>4405</v>
      </c>
      <c r="P946" s="3" t="s">
        <v>176</v>
      </c>
      <c r="Q946" s="31" t="s">
        <v>177</v>
      </c>
      <c r="R946" s="3" t="s">
        <v>2974</v>
      </c>
      <c r="S946" s="3" t="s">
        <v>2975</v>
      </c>
      <c r="T946" s="3" t="s">
        <v>3096</v>
      </c>
      <c r="U946" s="3" t="s">
        <v>3097</v>
      </c>
      <c r="V946" s="3" t="s">
        <v>3098</v>
      </c>
    </row>
    <row r="947" spans="1:22">
      <c r="A947" s="3" t="str">
        <f>VLOOKUP(D947,[1]Orc!A:B,2,0)</f>
        <v>Completed Surveys</v>
      </c>
      <c r="B947" s="31">
        <f>VLOOKUP(D947,[1]Orc!A:C,3,0)</f>
        <v>42740.737851504629</v>
      </c>
      <c r="C947" s="31">
        <v>42738.556944444441</v>
      </c>
      <c r="D947" s="3">
        <v>3035436859</v>
      </c>
      <c r="E947" s="3" t="s">
        <v>52</v>
      </c>
      <c r="F947" s="3" t="s">
        <v>857</v>
      </c>
      <c r="G947" s="3" t="str">
        <f>VLOOKUP(F947,[1]Mapa!A:B,2,0)</f>
        <v>Takeo Guilheme Mizuno</v>
      </c>
      <c r="H947" s="3" t="s">
        <v>857</v>
      </c>
      <c r="I947" s="3" t="str">
        <f>VLOOKUP(H947,[1]Mapa!A:B,2,0)</f>
        <v>Takeo Guilheme Mizuno</v>
      </c>
      <c r="J947" s="3" t="s">
        <v>100</v>
      </c>
      <c r="K947" s="3" t="str">
        <f t="shared" ref="K947:K1010" si="0">IFERROR(IF(S947=R947,"SKILL IGUAL","SKILL DIFERENTE"),"-")</f>
        <v>SKILL DIFERENTE</v>
      </c>
      <c r="L947" s="3" t="s">
        <v>871</v>
      </c>
      <c r="M947" s="3" t="s">
        <v>84</v>
      </c>
      <c r="N947" s="3" t="s">
        <v>85</v>
      </c>
      <c r="O947" s="3" t="s">
        <v>3099</v>
      </c>
      <c r="P947" s="3" t="s">
        <v>867</v>
      </c>
      <c r="Q947" s="31">
        <v>42744</v>
      </c>
      <c r="R947" s="3" t="str">
        <f>IFERROR(VLOOKUP(J947,[1]PL!A:B,2,0),"")</f>
        <v>PSG</v>
      </c>
      <c r="S947" s="3" t="str">
        <f>IFERROR(VLOOKUP(H947,[1]Mapa!A:D,4,0),"")</f>
        <v>Hpi - Pc</v>
      </c>
      <c r="T947" s="3"/>
      <c r="U947" s="3"/>
      <c r="V947" s="3"/>
    </row>
    <row r="948" spans="1:22">
      <c r="A948" s="3" t="str">
        <f>VLOOKUP(D948,[1]Orc!A:B,2,0)</f>
        <v>Completed Surveys</v>
      </c>
      <c r="B948" s="31">
        <f>VLOOKUP(D948,[1]Orc!A:C,3,0)</f>
        <v>42740.737851504629</v>
      </c>
      <c r="C948" s="31">
        <v>42738.633333333331</v>
      </c>
      <c r="D948" s="3">
        <v>3035327120</v>
      </c>
      <c r="E948" s="3" t="s">
        <v>2978</v>
      </c>
      <c r="F948" s="3" t="s">
        <v>256</v>
      </c>
      <c r="G948" s="3" t="str">
        <f>VLOOKUP(F948,[1]Mapa!A:B,2,0)</f>
        <v>Viviane De Souza Magrini</v>
      </c>
      <c r="H948" s="3" t="s">
        <v>142</v>
      </c>
      <c r="I948" s="3" t="str">
        <f>VLOOKUP(H948,[1]Mapa!A:B,2,0)</f>
        <v>Leandro Querino Nunes</v>
      </c>
      <c r="J948" s="3" t="s">
        <v>93</v>
      </c>
      <c r="K948" s="3" t="str">
        <f t="shared" si="0"/>
        <v>SKILL DIFERENTE</v>
      </c>
      <c r="L948" s="3" t="s">
        <v>866</v>
      </c>
      <c r="M948" s="3" t="s">
        <v>70</v>
      </c>
      <c r="N948" s="3" t="s">
        <v>71</v>
      </c>
      <c r="O948" s="3" t="s">
        <v>3100</v>
      </c>
      <c r="P948" s="3" t="s">
        <v>867</v>
      </c>
      <c r="Q948" s="31">
        <v>42739</v>
      </c>
      <c r="R948" s="3" t="str">
        <f>IFERROR(VLOOKUP(J948,[1]PL!A:B,2,0),"")</f>
        <v>PSG</v>
      </c>
      <c r="S948" s="3" t="str">
        <f>IFERROR(VLOOKUP(H948,[1]Mapa!A:D,4,0),"")</f>
        <v>FUPO SMS</v>
      </c>
      <c r="T948" s="3"/>
      <c r="U948" s="3"/>
      <c r="V948" s="3"/>
    </row>
    <row r="949" spans="1:22">
      <c r="A949" s="3" t="str">
        <f>VLOOKUP(D949,[1]Orc!A:B,2,0)</f>
        <v>Not Responded</v>
      </c>
      <c r="B949" s="31">
        <f>VLOOKUP(D949,[1]Orc!A:C,3,0)</f>
        <v>42740.737851504629</v>
      </c>
      <c r="C949" s="31">
        <v>42738.44027777778</v>
      </c>
      <c r="D949" s="3">
        <v>3035333071</v>
      </c>
      <c r="E949" s="3" t="s">
        <v>2978</v>
      </c>
      <c r="F949" s="3" t="s">
        <v>256</v>
      </c>
      <c r="G949" s="3" t="str">
        <f>VLOOKUP(F949,[1]Mapa!A:B,2,0)</f>
        <v>Viviane De Souza Magrini</v>
      </c>
      <c r="H949" s="3" t="s">
        <v>142</v>
      </c>
      <c r="I949" s="3" t="str">
        <f>VLOOKUP(H949,[1]Mapa!A:B,2,0)</f>
        <v>Leandro Querino Nunes</v>
      </c>
      <c r="J949" s="3" t="s">
        <v>93</v>
      </c>
      <c r="K949" s="3" t="str">
        <f t="shared" si="0"/>
        <v>SKILL DIFERENTE</v>
      </c>
      <c r="L949" s="3" t="s">
        <v>866</v>
      </c>
      <c r="M949" s="3" t="s">
        <v>70</v>
      </c>
      <c r="N949" s="3" t="s">
        <v>71</v>
      </c>
      <c r="O949" s="3" t="s">
        <v>3101</v>
      </c>
      <c r="P949" s="3" t="s">
        <v>876</v>
      </c>
      <c r="Q949" s="31">
        <v>42747</v>
      </c>
      <c r="R949" s="3" t="str">
        <f>IFERROR(VLOOKUP(J949,[1]PL!A:B,2,0),"")</f>
        <v>PSG</v>
      </c>
      <c r="S949" s="3" t="str">
        <f>IFERROR(VLOOKUP(H949,[1]Mapa!A:D,4,0),"")</f>
        <v>FUPO SMS</v>
      </c>
      <c r="T949" s="3"/>
      <c r="U949" s="3"/>
      <c r="V949" s="3"/>
    </row>
    <row r="950" spans="1:22">
      <c r="A950" s="3" t="str">
        <f>VLOOKUP(D950,[1]Orc!A:B,2,0)</f>
        <v>Not Responded</v>
      </c>
      <c r="B950" s="31">
        <f>VLOOKUP(D950,[1]Orc!A:C,3,0)</f>
        <v>42740.737851504629</v>
      </c>
      <c r="C950" s="31">
        <v>42738.45</v>
      </c>
      <c r="D950" s="3">
        <v>3035323438</v>
      </c>
      <c r="E950" s="3" t="s">
        <v>31</v>
      </c>
      <c r="F950" s="3" t="s">
        <v>200</v>
      </c>
      <c r="G950" s="3" t="str">
        <f>VLOOKUP(F950,[1]Mapa!A:B,2,0)</f>
        <v>Washington Silva De Oliveira</v>
      </c>
      <c r="H950" s="3" t="s">
        <v>206</v>
      </c>
      <c r="I950" s="3" t="str">
        <f>VLOOKUP(H950,[1]Mapa!A:B,2,0)</f>
        <v>Alvani Elizabete Aliano de Oliveira</v>
      </c>
      <c r="J950" s="3" t="s">
        <v>100</v>
      </c>
      <c r="K950" s="3" t="str">
        <f t="shared" si="0"/>
        <v>SKILL IGUAL</v>
      </c>
      <c r="L950" s="3" t="s">
        <v>866</v>
      </c>
      <c r="M950" s="3" t="s">
        <v>70</v>
      </c>
      <c r="N950" s="3" t="s">
        <v>75</v>
      </c>
      <c r="O950" s="3" t="s">
        <v>3102</v>
      </c>
      <c r="P950" s="3" t="s">
        <v>867</v>
      </c>
      <c r="Q950" s="31">
        <v>42739</v>
      </c>
      <c r="R950" s="3" t="str">
        <f>IFERROR(VLOOKUP(J950,[1]PL!A:B,2,0),"")</f>
        <v>PSG</v>
      </c>
      <c r="S950" s="3" t="str">
        <f>IFERROR(VLOOKUP(H950,[1]Mapa!A:D,4,0),"")</f>
        <v>PSG</v>
      </c>
      <c r="T950" s="3"/>
      <c r="U950" s="3"/>
      <c r="V950" s="3"/>
    </row>
    <row r="951" spans="1:22">
      <c r="A951" s="3" t="str">
        <f>VLOOKUP(D951,[1]Orc!A:B,2,0)</f>
        <v>Not Responded</v>
      </c>
      <c r="B951" s="31">
        <f>VLOOKUP(D951,[1]Orc!A:C,3,0)</f>
        <v>42740.737851504629</v>
      </c>
      <c r="C951" s="31">
        <v>42738.465277777781</v>
      </c>
      <c r="D951" s="3">
        <v>3035293499</v>
      </c>
      <c r="E951" s="3" t="s">
        <v>31</v>
      </c>
      <c r="F951" s="3" t="s">
        <v>213</v>
      </c>
      <c r="G951" s="3" t="str">
        <f>VLOOKUP(F951,[1]Mapa!A:B,2,0)</f>
        <v>Leonardo Cantilho Maracas</v>
      </c>
      <c r="H951" s="3" t="s">
        <v>206</v>
      </c>
      <c r="I951" s="3" t="str">
        <f>VLOOKUP(H951,[1]Mapa!A:B,2,0)</f>
        <v>Alvani Elizabete Aliano de Oliveira</v>
      </c>
      <c r="J951" s="3" t="s">
        <v>93</v>
      </c>
      <c r="K951" s="3" t="str">
        <f t="shared" si="0"/>
        <v>SKILL IGUAL</v>
      </c>
      <c r="L951" s="3" t="s">
        <v>866</v>
      </c>
      <c r="M951" s="3" t="s">
        <v>70</v>
      </c>
      <c r="N951" s="3" t="s">
        <v>71</v>
      </c>
      <c r="O951" s="3" t="s">
        <v>3103</v>
      </c>
      <c r="P951" s="3" t="s">
        <v>867</v>
      </c>
      <c r="Q951" s="31">
        <v>42745</v>
      </c>
      <c r="R951" s="3" t="str">
        <f>IFERROR(VLOOKUP(J951,[1]PL!A:B,2,0),"")</f>
        <v>PSG</v>
      </c>
      <c r="S951" s="3" t="str">
        <f>IFERROR(VLOOKUP(H951,[1]Mapa!A:D,4,0),"")</f>
        <v>PSG</v>
      </c>
      <c r="T951" s="3"/>
      <c r="U951" s="3" t="s">
        <v>3104</v>
      </c>
      <c r="V951" s="3" t="s">
        <v>867</v>
      </c>
    </row>
    <row r="952" spans="1:22">
      <c r="A952" s="3" t="str">
        <f>VLOOKUP(D952,[1]Orc!A:B,2,0)</f>
        <v>Not Responded</v>
      </c>
      <c r="B952" s="31">
        <f>VLOOKUP(D952,[1]Orc!A:C,3,0)</f>
        <v>42740.737851504629</v>
      </c>
      <c r="C952" s="31">
        <v>42738.474999999999</v>
      </c>
      <c r="D952" s="3">
        <v>3035432506</v>
      </c>
      <c r="E952" s="3" t="s">
        <v>31</v>
      </c>
      <c r="F952" s="3" t="s">
        <v>156</v>
      </c>
      <c r="G952" s="3" t="str">
        <f>VLOOKUP(F952,[1]Mapa!A:B,2,0)</f>
        <v>Felipe Alves Barbosa</v>
      </c>
      <c r="H952" s="3" t="s">
        <v>156</v>
      </c>
      <c r="I952" s="3" t="str">
        <f>VLOOKUP(H952,[1]Mapa!A:B,2,0)</f>
        <v>Felipe Alves Barbosa</v>
      </c>
      <c r="J952" s="3" t="s">
        <v>93</v>
      </c>
      <c r="K952" s="3" t="str">
        <f t="shared" si="0"/>
        <v>SKILL IGUAL</v>
      </c>
      <c r="L952" s="3" t="s">
        <v>866</v>
      </c>
      <c r="M952" s="3" t="s">
        <v>70</v>
      </c>
      <c r="N952" s="3" t="s">
        <v>85</v>
      </c>
      <c r="O952" s="3" t="s">
        <v>3105</v>
      </c>
      <c r="P952" s="3" t="s">
        <v>867</v>
      </c>
      <c r="Q952" s="31">
        <v>42741</v>
      </c>
      <c r="R952" s="3" t="str">
        <f>IFERROR(VLOOKUP(J952,[1]PL!A:B,2,0),"")</f>
        <v>PSG</v>
      </c>
      <c r="S952" s="3" t="str">
        <f>IFERROR(VLOOKUP(H952,[1]Mapa!A:D,4,0),"")</f>
        <v>PSG</v>
      </c>
      <c r="T952" s="3"/>
      <c r="U952" s="3" t="s">
        <v>3106</v>
      </c>
      <c r="V952" s="3"/>
    </row>
    <row r="953" spans="1:22">
      <c r="A953" s="3" t="str">
        <f>VLOOKUP(D953,[1]Orc!A:B,2,0)</f>
        <v>Completed Surveys</v>
      </c>
      <c r="B953" s="31">
        <f>VLOOKUP(D953,[1]Orc!A:C,3,0)</f>
        <v>42740.737851504629</v>
      </c>
      <c r="C953" s="31">
        <v>42738.765972222223</v>
      </c>
      <c r="D953" s="3">
        <v>3035448438</v>
      </c>
      <c r="E953" s="3" t="s">
        <v>39</v>
      </c>
      <c r="F953" s="3" t="s">
        <v>246</v>
      </c>
      <c r="G953" s="3" t="str">
        <f>VLOOKUP(F953,[1]Mapa!A:B,2,0)</f>
        <v>Wellington Da Silva De Oliveira</v>
      </c>
      <c r="H953" s="3" t="s">
        <v>246</v>
      </c>
      <c r="I953" s="3" t="str">
        <f>VLOOKUP(H953,[1]Mapa!A:B,2,0)</f>
        <v>Wellington Da Silva De Oliveira</v>
      </c>
      <c r="J953" s="3" t="s">
        <v>93</v>
      </c>
      <c r="K953" s="3" t="str">
        <f t="shared" si="0"/>
        <v>SKILL IGUAL</v>
      </c>
      <c r="L953" s="3" t="s">
        <v>866</v>
      </c>
      <c r="M953" s="3" t="s">
        <v>59</v>
      </c>
      <c r="N953" s="3" t="s">
        <v>60</v>
      </c>
      <c r="O953" s="3" t="s">
        <v>123</v>
      </c>
      <c r="P953" s="3" t="s">
        <v>867</v>
      </c>
      <c r="Q953" s="31">
        <v>42739</v>
      </c>
      <c r="R953" s="3" t="str">
        <f>IFERROR(VLOOKUP(J953,[1]PL!A:B,2,0),"")</f>
        <v>PSG</v>
      </c>
      <c r="S953" s="3" t="str">
        <f>IFERROR(VLOOKUP(H953,[1]Mapa!A:D,4,0),"")</f>
        <v>PSG</v>
      </c>
      <c r="T953" s="3" t="s">
        <v>3107</v>
      </c>
      <c r="U953" s="3"/>
      <c r="V953" s="3"/>
    </row>
    <row r="954" spans="1:22">
      <c r="A954" s="3" t="str">
        <f>VLOOKUP(D954,[1]Orc!A:B,2,0)</f>
        <v>Completed Surveys</v>
      </c>
      <c r="B954" s="31">
        <f>VLOOKUP(D954,[1]Orc!A:C,3,0)</f>
        <v>42740.737851504629</v>
      </c>
      <c r="C954" s="31">
        <v>42738.768055555556</v>
      </c>
      <c r="D954" s="3">
        <v>3035266780</v>
      </c>
      <c r="E954" s="3" t="s">
        <v>23</v>
      </c>
      <c r="F954" s="3" t="s">
        <v>119</v>
      </c>
      <c r="G954" s="3" t="str">
        <f>VLOOKUP(F954,[1]Mapa!A:B,2,0)</f>
        <v xml:space="preserve">Leandro Ferreira Batista </v>
      </c>
      <c r="H954" s="3" t="s">
        <v>119</v>
      </c>
      <c r="I954" s="3" t="str">
        <f>VLOOKUP(H954,[1]Mapa!A:B,2,0)</f>
        <v xml:space="preserve">Leandro Ferreira Batista </v>
      </c>
      <c r="J954" s="3" t="s">
        <v>93</v>
      </c>
      <c r="K954" s="3" t="str">
        <f t="shared" si="0"/>
        <v>SKILL DIFERENTE</v>
      </c>
      <c r="L954" s="3" t="s">
        <v>871</v>
      </c>
      <c r="M954" s="3" t="s">
        <v>932</v>
      </c>
      <c r="N954" s="3" t="s">
        <v>85</v>
      </c>
      <c r="O954" s="3" t="s">
        <v>3108</v>
      </c>
      <c r="P954" s="3" t="s">
        <v>867</v>
      </c>
      <c r="Q954" s="31">
        <v>42742</v>
      </c>
      <c r="R954" s="3" t="str">
        <f>IFERROR(VLOOKUP(J954,[1]PL!A:B,2,0),"")</f>
        <v>PSG</v>
      </c>
      <c r="S954" s="3" t="str">
        <f>IFERROR(VLOOKUP(H954,[1]Mapa!A:D,4,0),"")</f>
        <v>IPG</v>
      </c>
      <c r="T954" s="3"/>
      <c r="U954" s="3"/>
      <c r="V954" s="3"/>
    </row>
    <row r="955" spans="1:22">
      <c r="A955" s="3" t="str">
        <f>VLOOKUP(D955,[1]Orc!A:B,2,0)</f>
        <v>Not Responded</v>
      </c>
      <c r="B955" s="31">
        <f>VLOOKUP(D955,[1]Orc!A:C,3,0)</f>
        <v>42740.737851504629</v>
      </c>
      <c r="C955" s="31">
        <v>42738.579861111109</v>
      </c>
      <c r="D955" s="3">
        <v>3035435839</v>
      </c>
      <c r="E955" s="3" t="s">
        <v>2978</v>
      </c>
      <c r="F955" s="3" t="s">
        <v>256</v>
      </c>
      <c r="G955" s="3" t="str">
        <f>VLOOKUP(F955,[1]Mapa!A:B,2,0)</f>
        <v>Viviane De Souza Magrini</v>
      </c>
      <c r="H955" s="3" t="s">
        <v>926</v>
      </c>
      <c r="I955" s="3" t="str">
        <f>VLOOKUP(H955,[1]Mapa!A:B,2,0)</f>
        <v>Lazaro Barbosa De Oliveira</v>
      </c>
      <c r="J955" s="3" t="s">
        <v>93</v>
      </c>
      <c r="K955" s="3" t="str">
        <f t="shared" si="0"/>
        <v>SKILL DIFERENTE</v>
      </c>
      <c r="L955" s="3" t="s">
        <v>866</v>
      </c>
      <c r="M955" s="3" t="s">
        <v>70</v>
      </c>
      <c r="N955" s="3" t="s">
        <v>71</v>
      </c>
      <c r="O955" s="3" t="s">
        <v>3109</v>
      </c>
      <c r="P955" s="3" t="s">
        <v>867</v>
      </c>
      <c r="Q955" s="31">
        <v>42742</v>
      </c>
      <c r="R955" s="3" t="str">
        <f>IFERROR(VLOOKUP(J955,[1]PL!A:B,2,0),"")</f>
        <v>PSG</v>
      </c>
      <c r="S955" s="3" t="str">
        <f>IFERROR(VLOOKUP(H955,[1]Mapa!A:D,4,0),"")</f>
        <v>Hpi - Pc</v>
      </c>
      <c r="T955" s="3"/>
      <c r="U955" s="3" t="s">
        <v>3110</v>
      </c>
      <c r="V955" s="3"/>
    </row>
    <row r="956" spans="1:22">
      <c r="A956" s="3" t="str">
        <f>VLOOKUP(D956,[1]Orc!A:B,2,0)</f>
        <v>Completed Surveys</v>
      </c>
      <c r="B956" s="31">
        <f>VLOOKUP(D956,[1]Orc!A:C,3,0)</f>
        <v>42740.737851504629</v>
      </c>
      <c r="C956" s="31">
        <v>42738.82708333333</v>
      </c>
      <c r="D956" s="3">
        <v>3035414002</v>
      </c>
      <c r="E956" s="3" t="s">
        <v>39</v>
      </c>
      <c r="F956" s="3" t="s">
        <v>250</v>
      </c>
      <c r="G956" s="3" t="str">
        <f>VLOOKUP(F956,[1]Mapa!A:B,2,0)</f>
        <v>Filipe Augusto Fernandes De Oliveira</v>
      </c>
      <c r="H956" s="3" t="s">
        <v>238</v>
      </c>
      <c r="I956" s="3" t="str">
        <f>VLOOKUP(H956,[1]Mapa!A:B,2,0)</f>
        <v>Fernando Souza De Almeida</v>
      </c>
      <c r="J956" s="3" t="s">
        <v>93</v>
      </c>
      <c r="K956" s="3" t="str">
        <f t="shared" si="0"/>
        <v>SKILL DIFERENTE</v>
      </c>
      <c r="L956" s="3" t="s">
        <v>866</v>
      </c>
      <c r="M956" s="3" t="s">
        <v>59</v>
      </c>
      <c r="N956" s="3" t="s">
        <v>60</v>
      </c>
      <c r="O956" s="3" t="s">
        <v>123</v>
      </c>
      <c r="P956" s="3" t="s">
        <v>867</v>
      </c>
      <c r="Q956" s="31">
        <v>42739</v>
      </c>
      <c r="R956" s="3" t="str">
        <f>IFERROR(VLOOKUP(J956,[1]PL!A:B,2,0),"")</f>
        <v>PSG</v>
      </c>
      <c r="S956" s="3" t="str">
        <f>IFERROR(VLOOKUP(H956,[1]Mapa!A:D,4,0),"")</f>
        <v>FUPOTECH</v>
      </c>
      <c r="T956" s="3"/>
      <c r="U956" s="3"/>
      <c r="V956" s="3"/>
    </row>
    <row r="957" spans="1:22">
      <c r="A957" s="3" t="str">
        <f>VLOOKUP(D957,[1]Orc!A:B,2,0)</f>
        <v>Not Responded</v>
      </c>
      <c r="B957" s="31">
        <f>VLOOKUP(D957,[1]Orc!A:C,3,0)</f>
        <v>42740.737851504629</v>
      </c>
      <c r="C957" s="31">
        <v>42738.593055555553</v>
      </c>
      <c r="D957" s="3">
        <v>3035357507</v>
      </c>
      <c r="E957" s="3" t="s">
        <v>31</v>
      </c>
      <c r="F957" s="3" t="s">
        <v>219</v>
      </c>
      <c r="G957" s="3" t="str">
        <f>VLOOKUP(F957,[1]Mapa!A:B,2,0)</f>
        <v>Rafael Dos Santos</v>
      </c>
      <c r="H957" s="3" t="s">
        <v>206</v>
      </c>
      <c r="I957" s="3" t="str">
        <f>VLOOKUP(H957,[1]Mapa!A:B,2,0)</f>
        <v>Alvani Elizabete Aliano de Oliveira</v>
      </c>
      <c r="J957" s="3" t="s">
        <v>100</v>
      </c>
      <c r="K957" s="3" t="str">
        <f t="shared" si="0"/>
        <v>SKILL IGUAL</v>
      </c>
      <c r="L957" s="3" t="s">
        <v>866</v>
      </c>
      <c r="M957" s="3" t="s">
        <v>59</v>
      </c>
      <c r="N957" s="3" t="s">
        <v>60</v>
      </c>
      <c r="O957" s="3" t="s">
        <v>3111</v>
      </c>
      <c r="P957" s="3" t="s">
        <v>867</v>
      </c>
      <c r="Q957" s="31">
        <v>42739</v>
      </c>
      <c r="R957" s="3" t="str">
        <f>IFERROR(VLOOKUP(J957,[1]PL!A:B,2,0),"")</f>
        <v>PSG</v>
      </c>
      <c r="S957" s="3" t="str">
        <f>IFERROR(VLOOKUP(H957,[1]Mapa!A:D,4,0),"")</f>
        <v>PSG</v>
      </c>
      <c r="T957" s="3" t="s">
        <v>3112</v>
      </c>
      <c r="U957" s="3"/>
      <c r="V957" s="3"/>
    </row>
    <row r="958" spans="1:22">
      <c r="A958" s="3" t="e">
        <f>VLOOKUP(D958,[1]Orc!A:B,2,0)</f>
        <v>#N/A</v>
      </c>
      <c r="B958" s="31" t="e">
        <f>VLOOKUP(D958,[1]Orc!A:C,3,0)</f>
        <v>#N/A</v>
      </c>
      <c r="C958" s="31">
        <v>42738.595138888886</v>
      </c>
      <c r="D958" s="3">
        <v>3034863453</v>
      </c>
      <c r="E958" s="3" t="s">
        <v>31</v>
      </c>
      <c r="F958" s="3" t="s">
        <v>206</v>
      </c>
      <c r="G958" s="3" t="str">
        <f>VLOOKUP(F958,[1]Mapa!A:B,2,0)</f>
        <v>Alvani Elizabete Aliano de Oliveira</v>
      </c>
      <c r="H958" s="3" t="s">
        <v>103</v>
      </c>
      <c r="I958" s="3" t="str">
        <f>VLOOKUP(H958,[1]Mapa!A:B,2,0)</f>
        <v>Anderson Soares Silveira</v>
      </c>
      <c r="J958" s="3" t="s">
        <v>93</v>
      </c>
      <c r="K958" s="3" t="str">
        <f t="shared" si="0"/>
        <v>SKILL DIFERENTE</v>
      </c>
      <c r="L958" s="3" t="s">
        <v>871</v>
      </c>
      <c r="M958" s="3" t="s">
        <v>65</v>
      </c>
      <c r="N958" s="3" t="s">
        <v>66</v>
      </c>
      <c r="O958" s="3" t="s">
        <v>65</v>
      </c>
      <c r="P958" s="3" t="s">
        <v>876</v>
      </c>
      <c r="Q958" s="31">
        <v>42739</v>
      </c>
      <c r="R958" s="3" t="str">
        <f>IFERROR(VLOOKUP(J958,[1]PL!A:B,2,0),"")</f>
        <v>PSG</v>
      </c>
      <c r="S958" s="3" t="str">
        <f>IFERROR(VLOOKUP(H958,[1]Mapa!A:D,4,0),"")</f>
        <v>TCO</v>
      </c>
      <c r="T958" s="3"/>
      <c r="U958" s="3"/>
      <c r="V958" s="3"/>
    </row>
    <row r="959" spans="1:22">
      <c r="A959" s="3" t="str">
        <f>VLOOKUP(D959,[1]Orc!A:B,2,0)</f>
        <v>Completed Surveys</v>
      </c>
      <c r="B959" s="31">
        <f>VLOOKUP(D959,[1]Orc!A:C,3,0)</f>
        <v>42740.737851504629</v>
      </c>
      <c r="C959" s="31">
        <v>42738.850694444445</v>
      </c>
      <c r="D959" s="3">
        <v>3035452814</v>
      </c>
      <c r="E959" s="3" t="s">
        <v>39</v>
      </c>
      <c r="F959" s="3" t="s">
        <v>234</v>
      </c>
      <c r="G959" s="3" t="str">
        <f>VLOOKUP(F959,[1]Mapa!A:B,2,0)</f>
        <v>Levi De Sousa Barros</v>
      </c>
      <c r="H959" s="3" t="s">
        <v>234</v>
      </c>
      <c r="I959" s="3" t="str">
        <f>VLOOKUP(H959,[1]Mapa!A:B,2,0)</f>
        <v>Levi De Sousa Barros</v>
      </c>
      <c r="J959" s="3" t="s">
        <v>100</v>
      </c>
      <c r="K959" s="3" t="str">
        <f t="shared" si="0"/>
        <v>SKILL IGUAL</v>
      </c>
      <c r="L959" s="3" t="s">
        <v>866</v>
      </c>
      <c r="M959" s="3" t="s">
        <v>59</v>
      </c>
      <c r="N959" s="3" t="s">
        <v>60</v>
      </c>
      <c r="O959" s="3" t="s">
        <v>123</v>
      </c>
      <c r="P959" s="3" t="s">
        <v>867</v>
      </c>
      <c r="Q959" s="31">
        <v>42740</v>
      </c>
      <c r="R959" s="3" t="str">
        <f>IFERROR(VLOOKUP(J959,[1]PL!A:B,2,0),"")</f>
        <v>PSG</v>
      </c>
      <c r="S959" s="3" t="str">
        <f>IFERROR(VLOOKUP(H959,[1]Mapa!A:D,4,0),"")</f>
        <v>PSG</v>
      </c>
      <c r="T959" s="3"/>
      <c r="U959" s="3"/>
      <c r="V959" s="3"/>
    </row>
    <row r="960" spans="1:22">
      <c r="A960" s="3" t="str">
        <f>VLOOKUP(D960,[1]Orc!A:B,2,0)</f>
        <v>Not Responded</v>
      </c>
      <c r="B960" s="31">
        <f>VLOOKUP(D960,[1]Orc!A:C,3,0)</f>
        <v>42740.737851504629</v>
      </c>
      <c r="C960" s="31">
        <v>42738.615972222222</v>
      </c>
      <c r="D960" s="3">
        <v>3035440402</v>
      </c>
      <c r="E960" s="3" t="s">
        <v>31</v>
      </c>
      <c r="F960" s="3" t="s">
        <v>145</v>
      </c>
      <c r="G960" s="3" t="str">
        <f>VLOOKUP(F960,[1]Mapa!A:B,2,0)</f>
        <v>Erico Luan de Jesus Silva</v>
      </c>
      <c r="H960" s="3" t="s">
        <v>145</v>
      </c>
      <c r="I960" s="3" t="str">
        <f>VLOOKUP(H960,[1]Mapa!A:B,2,0)</f>
        <v>Erico Luan de Jesus Silva</v>
      </c>
      <c r="J960" s="3" t="s">
        <v>93</v>
      </c>
      <c r="K960" s="3" t="str">
        <f t="shared" si="0"/>
        <v>SKILL IGUAL</v>
      </c>
      <c r="L960" s="3" t="s">
        <v>866</v>
      </c>
      <c r="M960" s="3" t="s">
        <v>70</v>
      </c>
      <c r="N960" s="3" t="s">
        <v>75</v>
      </c>
      <c r="O960" s="3" t="s">
        <v>3113</v>
      </c>
      <c r="P960" s="3" t="s">
        <v>867</v>
      </c>
      <c r="Q960" s="31">
        <v>42739</v>
      </c>
      <c r="R960" s="3" t="str">
        <f>IFERROR(VLOOKUP(J960,[1]PL!A:B,2,0),"")</f>
        <v>PSG</v>
      </c>
      <c r="S960" s="3" t="str">
        <f>IFERROR(VLOOKUP(H960,[1]Mapa!A:D,4,0),"")</f>
        <v>PSG</v>
      </c>
      <c r="T960" s="3"/>
      <c r="U960" s="3"/>
      <c r="V960" s="3"/>
    </row>
    <row r="961" spans="1:22">
      <c r="A961" s="3" t="str">
        <f>VLOOKUP(D961,[1]Orc!A:B,2,0)</f>
        <v>Completed Surveys</v>
      </c>
      <c r="B961" s="31">
        <f>VLOOKUP(D961,[1]Orc!A:C,3,0)</f>
        <v>42741.73704378472</v>
      </c>
      <c r="C961" s="31">
        <v>42739.495833333334</v>
      </c>
      <c r="D961" s="3">
        <v>3035434667</v>
      </c>
      <c r="E961" s="3" t="s">
        <v>31</v>
      </c>
      <c r="F961" s="3" t="s">
        <v>202</v>
      </c>
      <c r="G961" s="3" t="str">
        <f>VLOOKUP(F961,[1]Mapa!A:B,2,0)</f>
        <v>Joao Paulo Yasuda</v>
      </c>
      <c r="H961" s="3" t="s">
        <v>209</v>
      </c>
      <c r="I961" s="3" t="str">
        <f>VLOOKUP(H961,[1]Mapa!A:B,2,0)</f>
        <v>Taina Alexsander Fernandes Pires</v>
      </c>
      <c r="J961" s="3" t="s">
        <v>100</v>
      </c>
      <c r="K961" s="3" t="str">
        <f t="shared" si="0"/>
        <v>SKILL DIFERENTE</v>
      </c>
      <c r="L961" s="3" t="s">
        <v>866</v>
      </c>
      <c r="M961" s="3" t="s">
        <v>59</v>
      </c>
      <c r="N961" s="3" t="s">
        <v>60</v>
      </c>
      <c r="O961" s="3" t="s">
        <v>3114</v>
      </c>
      <c r="P961" s="3" t="s">
        <v>867</v>
      </c>
      <c r="Q961" s="31">
        <v>42740</v>
      </c>
      <c r="R961" s="3" t="str">
        <f>IFERROR(VLOOKUP(J961,[1]PL!A:B,2,0),"")</f>
        <v>PSG</v>
      </c>
      <c r="S961" s="3" t="str">
        <f>IFERROR(VLOOKUP(H961,[1]Mapa!A:D,4,0),"")</f>
        <v>FUPOTECH</v>
      </c>
      <c r="T961" s="3" t="s">
        <v>3115</v>
      </c>
      <c r="U961" s="3"/>
      <c r="V961" s="3"/>
    </row>
    <row r="962" spans="1:22">
      <c r="A962" s="3" t="str">
        <f>VLOOKUP(D962,[1]Orc!A:B,2,0)</f>
        <v>Completed Surveys</v>
      </c>
      <c r="B962" s="31">
        <f>VLOOKUP(D962,[1]Orc!A:C,3,0)</f>
        <v>42741.73704378472</v>
      </c>
      <c r="C962" s="31">
        <v>42739.53402777778</v>
      </c>
      <c r="D962" s="3">
        <v>3035472871</v>
      </c>
      <c r="E962" s="3" t="s">
        <v>31</v>
      </c>
      <c r="F962" s="3" t="s">
        <v>213</v>
      </c>
      <c r="G962" s="3" t="str">
        <f>VLOOKUP(F962,[1]Mapa!A:B,2,0)</f>
        <v>Leonardo Cantilho Maracas</v>
      </c>
      <c r="H962" s="3" t="s">
        <v>213</v>
      </c>
      <c r="I962" s="3" t="str">
        <f>VLOOKUP(H962,[1]Mapa!A:B,2,0)</f>
        <v>Leonardo Cantilho Maracas</v>
      </c>
      <c r="J962" s="3" t="s">
        <v>93</v>
      </c>
      <c r="K962" s="3" t="str">
        <f t="shared" si="0"/>
        <v>SKILL IGUAL</v>
      </c>
      <c r="L962" s="3" t="s">
        <v>866</v>
      </c>
      <c r="M962" s="3" t="s">
        <v>59</v>
      </c>
      <c r="N962" s="3" t="s">
        <v>60</v>
      </c>
      <c r="O962" s="3" t="s">
        <v>3116</v>
      </c>
      <c r="P962" s="3" t="s">
        <v>867</v>
      </c>
      <c r="Q962" s="31">
        <v>42740</v>
      </c>
      <c r="R962" s="3" t="str">
        <f>IFERROR(VLOOKUP(J962,[1]PL!A:B,2,0),"")</f>
        <v>PSG</v>
      </c>
      <c r="S962" s="3" t="str">
        <f>IFERROR(VLOOKUP(H962,[1]Mapa!A:D,4,0),"")</f>
        <v>PSG</v>
      </c>
      <c r="T962" s="3" t="s">
        <v>3117</v>
      </c>
      <c r="U962" s="3"/>
      <c r="V962" s="3"/>
    </row>
    <row r="963" spans="1:22">
      <c r="A963" s="3" t="str">
        <f>VLOOKUP(D963,[1]Orc!A:B,2,0)</f>
        <v>Sample Rejected</v>
      </c>
      <c r="B963" s="31">
        <f>VLOOKUP(D963,[1]Orc!A:C,3,0)</f>
        <v>42740.737851504629</v>
      </c>
      <c r="C963" s="31">
        <v>42738.712500000001</v>
      </c>
      <c r="D963" s="3">
        <v>3035445460</v>
      </c>
      <c r="E963" s="3" t="s">
        <v>39</v>
      </c>
      <c r="F963" s="3" t="s">
        <v>236</v>
      </c>
      <c r="G963" s="3" t="str">
        <f>VLOOKUP(F963,[1]Mapa!A:B,2,0)</f>
        <v>Stefany Aparecida Alexandre De Franca</v>
      </c>
      <c r="H963" s="3" t="s">
        <v>236</v>
      </c>
      <c r="I963" s="3" t="str">
        <f>VLOOKUP(H963,[1]Mapa!A:B,2,0)</f>
        <v>Stefany Aparecida Alexandre De Franca</v>
      </c>
      <c r="J963" s="3" t="s">
        <v>100</v>
      </c>
      <c r="K963" s="3" t="str">
        <f t="shared" si="0"/>
        <v>SKILL IGUAL</v>
      </c>
      <c r="L963" s="3" t="s">
        <v>866</v>
      </c>
      <c r="M963" s="3" t="s">
        <v>70</v>
      </c>
      <c r="N963" s="3" t="s">
        <v>75</v>
      </c>
      <c r="O963" s="3" t="s">
        <v>3118</v>
      </c>
      <c r="P963" s="3" t="s">
        <v>867</v>
      </c>
      <c r="Q963" s="31">
        <v>42739</v>
      </c>
      <c r="R963" s="3" t="str">
        <f>IFERROR(VLOOKUP(J963,[1]PL!A:B,2,0),"")</f>
        <v>PSG</v>
      </c>
      <c r="S963" s="3" t="str">
        <f>IFERROR(VLOOKUP(H963,[1]Mapa!A:D,4,0),"")</f>
        <v>PSG</v>
      </c>
      <c r="T963" s="3"/>
      <c r="U963" s="3"/>
      <c r="V963" s="3"/>
    </row>
    <row r="964" spans="1:22">
      <c r="A964" s="3" t="str">
        <f>VLOOKUP(D964,[1]Orc!A:B,2,0)</f>
        <v>Sample Rejected</v>
      </c>
      <c r="B964" s="31">
        <f>VLOOKUP(D964,[1]Orc!A:C,3,0)</f>
        <v>42740.737851504629</v>
      </c>
      <c r="C964" s="31">
        <v>42738.713194444441</v>
      </c>
      <c r="D964" s="3">
        <v>3035445242</v>
      </c>
      <c r="E964" s="3" t="s">
        <v>39</v>
      </c>
      <c r="F964" s="3" t="s">
        <v>240</v>
      </c>
      <c r="G964" s="3" t="str">
        <f>VLOOKUP(F964,[1]Mapa!A:B,2,0)</f>
        <v>Renato Da Silva Andrade</v>
      </c>
      <c r="H964" s="3" t="s">
        <v>240</v>
      </c>
      <c r="I964" s="3" t="str">
        <f>VLOOKUP(H964,[1]Mapa!A:B,2,0)</f>
        <v>Renato Da Silva Andrade</v>
      </c>
      <c r="J964" s="3" t="s">
        <v>93</v>
      </c>
      <c r="K964" s="3" t="str">
        <f t="shared" si="0"/>
        <v>SKILL IGUAL</v>
      </c>
      <c r="L964" s="3" t="s">
        <v>866</v>
      </c>
      <c r="M964" s="3" t="s">
        <v>59</v>
      </c>
      <c r="N964" s="3" t="s">
        <v>60</v>
      </c>
      <c r="O964" s="3" t="s">
        <v>123</v>
      </c>
      <c r="P964" s="3" t="s">
        <v>867</v>
      </c>
      <c r="Q964" s="31">
        <v>42739</v>
      </c>
      <c r="R964" s="3" t="str">
        <f>IFERROR(VLOOKUP(J964,[1]PL!A:B,2,0),"")</f>
        <v>PSG</v>
      </c>
      <c r="S964" s="3" t="str">
        <f>IFERROR(VLOOKUP(H964,[1]Mapa!A:D,4,0),"")</f>
        <v>PSG</v>
      </c>
      <c r="T964" s="3"/>
      <c r="U964" s="3"/>
      <c r="V964" s="3"/>
    </row>
    <row r="965" spans="1:22">
      <c r="A965" s="3" t="str">
        <f>VLOOKUP(D965,[1]Orc!A:B,2,0)</f>
        <v>Not Responded</v>
      </c>
      <c r="B965" s="31">
        <f>VLOOKUP(D965,[1]Orc!A:C,3,0)</f>
        <v>42740.737851504629</v>
      </c>
      <c r="C965" s="31">
        <v>42738.731249999997</v>
      </c>
      <c r="D965" s="3">
        <v>3035446593</v>
      </c>
      <c r="E965" s="3" t="s">
        <v>39</v>
      </c>
      <c r="F965" s="3" t="s">
        <v>234</v>
      </c>
      <c r="G965" s="3" t="str">
        <f>VLOOKUP(F965,[1]Mapa!A:B,2,0)</f>
        <v>Levi De Sousa Barros</v>
      </c>
      <c r="H965" s="3" t="s">
        <v>234</v>
      </c>
      <c r="I965" s="3" t="str">
        <f>VLOOKUP(H965,[1]Mapa!A:B,2,0)</f>
        <v>Levi De Sousa Barros</v>
      </c>
      <c r="J965" s="3" t="s">
        <v>100</v>
      </c>
      <c r="K965" s="3" t="str">
        <f t="shared" si="0"/>
        <v>SKILL IGUAL</v>
      </c>
      <c r="L965" s="3" t="s">
        <v>866</v>
      </c>
      <c r="M965" s="3" t="s">
        <v>59</v>
      </c>
      <c r="N965" s="3" t="s">
        <v>60</v>
      </c>
      <c r="O965" s="3" t="s">
        <v>218</v>
      </c>
      <c r="P965" s="3" t="s">
        <v>867</v>
      </c>
      <c r="Q965" s="31">
        <v>42739</v>
      </c>
      <c r="R965" s="3" t="str">
        <f>IFERROR(VLOOKUP(J965,[1]PL!A:B,2,0),"")</f>
        <v>PSG</v>
      </c>
      <c r="S965" s="3" t="str">
        <f>IFERROR(VLOOKUP(H965,[1]Mapa!A:D,4,0),"")</f>
        <v>PSG</v>
      </c>
      <c r="T965" s="3" t="s">
        <v>3119</v>
      </c>
      <c r="U965" s="3"/>
      <c r="V965" s="3"/>
    </row>
    <row r="966" spans="1:22">
      <c r="A966" s="3" t="str">
        <f>VLOOKUP(D966,[1]Orc!A:B,2,0)</f>
        <v>Completed Surveys</v>
      </c>
      <c r="B966" s="31">
        <f>VLOOKUP(D966,[1]Orc!A:C,3,0)</f>
        <v>42741.73704378472</v>
      </c>
      <c r="C966" s="31">
        <v>42739.60833333333</v>
      </c>
      <c r="D966" s="3">
        <v>3035477787</v>
      </c>
      <c r="E966" s="3" t="s">
        <v>31</v>
      </c>
      <c r="F966" s="3" t="s">
        <v>213</v>
      </c>
      <c r="G966" s="3" t="str">
        <f>VLOOKUP(F966,[1]Mapa!A:B,2,0)</f>
        <v>Leonardo Cantilho Maracas</v>
      </c>
      <c r="H966" s="3" t="s">
        <v>213</v>
      </c>
      <c r="I966" s="3" t="str">
        <f>VLOOKUP(H966,[1]Mapa!A:B,2,0)</f>
        <v>Leonardo Cantilho Maracas</v>
      </c>
      <c r="J966" s="3" t="s">
        <v>93</v>
      </c>
      <c r="K966" s="3" t="str">
        <f t="shared" si="0"/>
        <v>SKILL IGUAL</v>
      </c>
      <c r="L966" s="3" t="s">
        <v>871</v>
      </c>
      <c r="M966" s="3" t="s">
        <v>84</v>
      </c>
      <c r="N966" s="3" t="s">
        <v>85</v>
      </c>
      <c r="O966" s="3" t="s">
        <v>3120</v>
      </c>
      <c r="P966" s="3" t="s">
        <v>867</v>
      </c>
      <c r="Q966" s="31">
        <v>42740</v>
      </c>
      <c r="R966" s="3" t="str">
        <f>IFERROR(VLOOKUP(J966,[1]PL!A:B,2,0),"")</f>
        <v>PSG</v>
      </c>
      <c r="S966" s="3" t="str">
        <f>IFERROR(VLOOKUP(H966,[1]Mapa!A:D,4,0),"")</f>
        <v>PSG</v>
      </c>
      <c r="T966" s="3"/>
      <c r="U966" s="3"/>
      <c r="V966" s="3"/>
    </row>
    <row r="967" spans="1:22">
      <c r="A967" s="3" t="str">
        <f>VLOOKUP(D967,[1]Orc!A:B,2,0)</f>
        <v>Completed Surveys</v>
      </c>
      <c r="B967" s="31">
        <f>VLOOKUP(D967,[1]Orc!A:C,3,0)</f>
        <v>42742.73709116898</v>
      </c>
      <c r="C967" s="31">
        <v>42740.665277777778</v>
      </c>
      <c r="D967" s="3">
        <v>3035517643</v>
      </c>
      <c r="E967" s="3" t="s">
        <v>39</v>
      </c>
      <c r="F967" s="3" t="s">
        <v>246</v>
      </c>
      <c r="G967" s="3" t="str">
        <f>VLOOKUP(F967,[1]Mapa!A:B,2,0)</f>
        <v>Wellington Da Silva De Oliveira</v>
      </c>
      <c r="H967" s="3" t="s">
        <v>246</v>
      </c>
      <c r="I967" s="3" t="str">
        <f>VLOOKUP(H967,[1]Mapa!A:B,2,0)</f>
        <v>Wellington Da Silva De Oliveira</v>
      </c>
      <c r="J967" s="3" t="s">
        <v>93</v>
      </c>
      <c r="K967" s="3" t="str">
        <f t="shared" si="0"/>
        <v>SKILL IGUAL</v>
      </c>
      <c r="L967" s="3" t="s">
        <v>866</v>
      </c>
      <c r="M967" s="3" t="s">
        <v>59</v>
      </c>
      <c r="N967" s="3" t="s">
        <v>60</v>
      </c>
      <c r="O967" s="3" t="s">
        <v>229</v>
      </c>
      <c r="P967" s="3" t="s">
        <v>867</v>
      </c>
      <c r="Q967" s="31">
        <v>42741</v>
      </c>
      <c r="R967" s="3" t="str">
        <f>IFERROR(VLOOKUP(J967,[1]PL!A:B,2,0),"")</f>
        <v>PSG</v>
      </c>
      <c r="S967" s="3" t="str">
        <f>IFERROR(VLOOKUP(H967,[1]Mapa!A:D,4,0),"")</f>
        <v>PSG</v>
      </c>
      <c r="T967" s="3"/>
      <c r="U967" s="3"/>
      <c r="V967" s="3"/>
    </row>
    <row r="968" spans="1:22">
      <c r="A968" s="3" t="str">
        <f>VLOOKUP(D968,[1]Orc!A:B,2,0)</f>
        <v>Not Responded</v>
      </c>
      <c r="B968" s="31">
        <f>VLOOKUP(D968,[1]Orc!A:C,3,0)</f>
        <v>42740.737851504629</v>
      </c>
      <c r="C968" s="31">
        <v>42738.77847222222</v>
      </c>
      <c r="D968" s="3">
        <v>3035343873</v>
      </c>
      <c r="E968" s="3" t="s">
        <v>39</v>
      </c>
      <c r="F968" s="3" t="s">
        <v>225</v>
      </c>
      <c r="G968" s="3" t="str">
        <f>VLOOKUP(F968,[1]Mapa!A:B,2,0)</f>
        <v>Eduardo Paixao Oliveira</v>
      </c>
      <c r="H968" s="3" t="s">
        <v>238</v>
      </c>
      <c r="I968" s="3" t="str">
        <f>VLOOKUP(H968,[1]Mapa!A:B,2,0)</f>
        <v>Fernando Souza De Almeida</v>
      </c>
      <c r="J968" s="3" t="s">
        <v>93</v>
      </c>
      <c r="K968" s="3" t="str">
        <f t="shared" si="0"/>
        <v>SKILL DIFERENTE</v>
      </c>
      <c r="L968" s="3" t="s">
        <v>866</v>
      </c>
      <c r="M968" s="3" t="s">
        <v>59</v>
      </c>
      <c r="N968" s="3" t="s">
        <v>60</v>
      </c>
      <c r="O968" s="3" t="s">
        <v>3121</v>
      </c>
      <c r="P968" s="3" t="s">
        <v>867</v>
      </c>
      <c r="Q968" s="31">
        <v>42739</v>
      </c>
      <c r="R968" s="3" t="str">
        <f>IFERROR(VLOOKUP(J968,[1]PL!A:B,2,0),"")</f>
        <v>PSG</v>
      </c>
      <c r="S968" s="3" t="str">
        <f>IFERROR(VLOOKUP(H968,[1]Mapa!A:D,4,0),"")</f>
        <v>FUPOTECH</v>
      </c>
      <c r="T968" s="3"/>
      <c r="U968" s="3"/>
      <c r="V968" s="3"/>
    </row>
    <row r="969" spans="1:22">
      <c r="A969" s="3" t="str">
        <f>VLOOKUP(D969,[1]Orc!A:B,2,0)</f>
        <v>Not Responded</v>
      </c>
      <c r="B969" s="31">
        <f>VLOOKUP(D969,[1]Orc!A:C,3,0)</f>
        <v>42740.737851504629</v>
      </c>
      <c r="C969" s="31">
        <v>42738.804861111108</v>
      </c>
      <c r="D969" s="3">
        <v>3035448049</v>
      </c>
      <c r="E969" s="3" t="s">
        <v>39</v>
      </c>
      <c r="F969" s="3" t="s">
        <v>225</v>
      </c>
      <c r="G969" s="3" t="str">
        <f>VLOOKUP(F969,[1]Mapa!A:B,2,0)</f>
        <v>Eduardo Paixao Oliveira</v>
      </c>
      <c r="H969" s="3" t="s">
        <v>129</v>
      </c>
      <c r="I969" s="3" t="str">
        <f>VLOOKUP(H969,[1]Mapa!A:B,2,0)</f>
        <v>Thiago Maciel Lima</v>
      </c>
      <c r="J969" s="3" t="s">
        <v>93</v>
      </c>
      <c r="K969" s="3" t="str">
        <f t="shared" si="0"/>
        <v>SKILL DIFERENTE</v>
      </c>
      <c r="L969" s="3" t="s">
        <v>866</v>
      </c>
      <c r="M969" s="3" t="s">
        <v>70</v>
      </c>
      <c r="N969" s="3" t="s">
        <v>75</v>
      </c>
      <c r="O969" s="3" t="s">
        <v>3122</v>
      </c>
      <c r="P969" s="3" t="s">
        <v>867</v>
      </c>
      <c r="Q969" s="31">
        <v>42739</v>
      </c>
      <c r="R969" s="3" t="str">
        <f>IFERROR(VLOOKUP(J969,[1]PL!A:B,2,0),"")</f>
        <v>PSG</v>
      </c>
      <c r="S969" s="3" t="str">
        <f>IFERROR(VLOOKUP(H969,[1]Mapa!A:D,4,0),"")</f>
        <v>IPG</v>
      </c>
      <c r="T969" s="3"/>
      <c r="U969" s="3"/>
      <c r="V969" s="3"/>
    </row>
    <row r="970" spans="1:22">
      <c r="A970" s="3" t="str">
        <f>VLOOKUP(D970,[1]Orc!A:B,2,0)</f>
        <v>Not Responded</v>
      </c>
      <c r="B970" s="31">
        <f>VLOOKUP(D970,[1]Orc!A:C,3,0)</f>
        <v>42740.737851504629</v>
      </c>
      <c r="C970" s="31">
        <v>42738.824305555558</v>
      </c>
      <c r="D970" s="3">
        <v>3035340946</v>
      </c>
      <c r="E970" s="3" t="s">
        <v>39</v>
      </c>
      <c r="F970" s="3" t="s">
        <v>248</v>
      </c>
      <c r="G970" s="3" t="str">
        <f>VLOOKUP(F970,[1]Mapa!A:B,2,0)</f>
        <v>Mariana Tadim Estevao</v>
      </c>
      <c r="H970" s="3" t="s">
        <v>238</v>
      </c>
      <c r="I970" s="3" t="str">
        <f>VLOOKUP(H970,[1]Mapa!A:B,2,0)</f>
        <v>Fernando Souza De Almeida</v>
      </c>
      <c r="J970" s="3" t="s">
        <v>93</v>
      </c>
      <c r="K970" s="3" t="str">
        <f t="shared" si="0"/>
        <v>SKILL DIFERENTE</v>
      </c>
      <c r="L970" s="3" t="s">
        <v>866</v>
      </c>
      <c r="M970" s="3" t="s">
        <v>59</v>
      </c>
      <c r="N970" s="3" t="s">
        <v>60</v>
      </c>
      <c r="O970" s="3" t="s">
        <v>3123</v>
      </c>
      <c r="P970" s="3" t="s">
        <v>867</v>
      </c>
      <c r="Q970" s="31">
        <v>42742</v>
      </c>
      <c r="R970" s="3" t="str">
        <f>IFERROR(VLOOKUP(J970,[1]PL!A:B,2,0),"")</f>
        <v>PSG</v>
      </c>
      <c r="S970" s="3" t="str">
        <f>IFERROR(VLOOKUP(H970,[1]Mapa!A:D,4,0),"")</f>
        <v>FUPOTECH</v>
      </c>
      <c r="T970" s="3"/>
      <c r="U970" s="3"/>
      <c r="V970" s="3"/>
    </row>
    <row r="971" spans="1:22">
      <c r="A971" s="3" t="str">
        <f>VLOOKUP(D971,[1]Orc!A:B,2,0)</f>
        <v>Completed Surveys</v>
      </c>
      <c r="B971" s="31">
        <f>VLOOKUP(D971,[1]Orc!A:C,3,0)</f>
        <v>42742.73709116898</v>
      </c>
      <c r="C971" s="31">
        <v>42740.711805555555</v>
      </c>
      <c r="D971" s="3">
        <v>3035508049</v>
      </c>
      <c r="E971" s="3" t="s">
        <v>31</v>
      </c>
      <c r="F971" s="3" t="s">
        <v>221</v>
      </c>
      <c r="G971" s="3" t="str">
        <f>VLOOKUP(F971,[1]Mapa!A:B,2,0)</f>
        <v>Fabio Perez Da Silva</v>
      </c>
      <c r="H971" s="3" t="s">
        <v>852</v>
      </c>
      <c r="I971" s="3" t="str">
        <f>VLOOKUP(H971,[1]Mapa!A:B,2,0)</f>
        <v>Paulo Wueliton Horacio Fernandes</v>
      </c>
      <c r="J971" s="3" t="s">
        <v>93</v>
      </c>
      <c r="K971" s="3" t="str">
        <f t="shared" si="0"/>
        <v>SKILL DIFERENTE</v>
      </c>
      <c r="L971" s="3" t="s">
        <v>866</v>
      </c>
      <c r="M971" s="3" t="s">
        <v>59</v>
      </c>
      <c r="N971" s="3" t="s">
        <v>60</v>
      </c>
      <c r="O971" s="3" t="s">
        <v>3124</v>
      </c>
      <c r="P971" s="3" t="s">
        <v>867</v>
      </c>
      <c r="Q971" s="31">
        <v>42745</v>
      </c>
      <c r="R971" s="3" t="str">
        <f>IFERROR(VLOOKUP(J971,[1]PL!A:B,2,0),"")</f>
        <v>PSG</v>
      </c>
      <c r="S971" s="3" t="str">
        <f>IFERROR(VLOOKUP(H971,[1]Mapa!A:D,4,0),"")</f>
        <v>IPG</v>
      </c>
      <c r="T971" s="3"/>
      <c r="U971" s="3"/>
      <c r="V971" s="3" t="s">
        <v>867</v>
      </c>
    </row>
    <row r="972" spans="1:22">
      <c r="A972" s="3" t="str">
        <f>VLOOKUP(D972,[1]Orc!A:B,2,0)</f>
        <v>Completed Surveys</v>
      </c>
      <c r="B972" s="31">
        <f>VLOOKUP(D972,[1]Orc!A:C,3,0)</f>
        <v>42742.73709116898</v>
      </c>
      <c r="C972" s="31">
        <v>42740.871527777781</v>
      </c>
      <c r="D972" s="3">
        <v>3035452705</v>
      </c>
      <c r="E972" s="3" t="s">
        <v>39</v>
      </c>
      <c r="F972" s="3" t="s">
        <v>246</v>
      </c>
      <c r="G972" s="3" t="str">
        <f>VLOOKUP(F972,[1]Mapa!A:B,2,0)</f>
        <v>Wellington Da Silva De Oliveira</v>
      </c>
      <c r="H972" s="3" t="s">
        <v>238</v>
      </c>
      <c r="I972" s="3" t="str">
        <f>VLOOKUP(H972,[1]Mapa!A:B,2,0)</f>
        <v>Fernando Souza De Almeida</v>
      </c>
      <c r="J972" s="3" t="s">
        <v>93</v>
      </c>
      <c r="K972" s="3" t="str">
        <f t="shared" si="0"/>
        <v>SKILL DIFERENTE</v>
      </c>
      <c r="L972" s="3" t="s">
        <v>866</v>
      </c>
      <c r="M972" s="3" t="s">
        <v>59</v>
      </c>
      <c r="N972" s="3" t="s">
        <v>60</v>
      </c>
      <c r="O972" s="3" t="s">
        <v>123</v>
      </c>
      <c r="P972" s="3" t="s">
        <v>867</v>
      </c>
      <c r="Q972" s="31">
        <v>42741</v>
      </c>
      <c r="R972" s="3" t="str">
        <f>IFERROR(VLOOKUP(J972,[1]PL!A:B,2,0),"")</f>
        <v>PSG</v>
      </c>
      <c r="S972" s="3" t="str">
        <f>IFERROR(VLOOKUP(H972,[1]Mapa!A:D,4,0),"")</f>
        <v>FUPOTECH</v>
      </c>
      <c r="T972" s="3"/>
      <c r="U972" s="3"/>
      <c r="V972" s="3"/>
    </row>
    <row r="973" spans="1:22">
      <c r="A973" s="3" t="str">
        <f>VLOOKUP(D973,[1]Orc!A:B,2,0)</f>
        <v>Not Responded</v>
      </c>
      <c r="B973" s="31">
        <f>VLOOKUP(D973,[1]Orc!A:C,3,0)</f>
        <v>42741.73704378472</v>
      </c>
      <c r="C973" s="31">
        <v>42739.382638888892</v>
      </c>
      <c r="D973" s="3">
        <v>3035432013</v>
      </c>
      <c r="E973" s="3" t="s">
        <v>31</v>
      </c>
      <c r="F973" s="3" t="s">
        <v>221</v>
      </c>
      <c r="G973" s="3" t="str">
        <f>VLOOKUP(F973,[1]Mapa!A:B,2,0)</f>
        <v>Fabio Perez Da Silva</v>
      </c>
      <c r="H973" s="3" t="s">
        <v>209</v>
      </c>
      <c r="I973" s="3" t="str">
        <f>VLOOKUP(H973,[1]Mapa!A:B,2,0)</f>
        <v>Taina Alexsander Fernandes Pires</v>
      </c>
      <c r="J973" s="3" t="s">
        <v>100</v>
      </c>
      <c r="K973" s="3" t="str">
        <f t="shared" si="0"/>
        <v>SKILL DIFERENTE</v>
      </c>
      <c r="L973" s="3" t="s">
        <v>866</v>
      </c>
      <c r="M973" s="3" t="s">
        <v>59</v>
      </c>
      <c r="N973" s="3" t="s">
        <v>60</v>
      </c>
      <c r="O973" s="3" t="s">
        <v>3125</v>
      </c>
      <c r="P973" s="3" t="s">
        <v>876</v>
      </c>
      <c r="Q973" s="31">
        <v>42740</v>
      </c>
      <c r="R973" s="3" t="str">
        <f>IFERROR(VLOOKUP(J973,[1]PL!A:B,2,0),"")</f>
        <v>PSG</v>
      </c>
      <c r="S973" s="3" t="str">
        <f>IFERROR(VLOOKUP(H973,[1]Mapa!A:D,4,0),"")</f>
        <v>FUPOTECH</v>
      </c>
      <c r="T973" s="3"/>
      <c r="U973" s="3"/>
      <c r="V973" s="3"/>
    </row>
    <row r="974" spans="1:22">
      <c r="A974" s="3" t="str">
        <f>VLOOKUP(D974,[1]Orc!A:B,2,0)</f>
        <v>Completed Surveys</v>
      </c>
      <c r="B974" s="31">
        <f>VLOOKUP(D974,[1]Orc!A:C,3,0)</f>
        <v>42742.73709116898</v>
      </c>
      <c r="C974" s="31">
        <v>42740.888194444444</v>
      </c>
      <c r="D974" s="3">
        <v>3035528445</v>
      </c>
      <c r="E974" s="3" t="s">
        <v>23</v>
      </c>
      <c r="F974" s="3" t="s">
        <v>179</v>
      </c>
      <c r="G974" s="3" t="str">
        <f>VLOOKUP(F974,[1]Mapa!A:B,2,0)</f>
        <v>Victor Arruda Do Carmo</v>
      </c>
      <c r="H974" s="3" t="s">
        <v>179</v>
      </c>
      <c r="I974" s="3" t="str">
        <f>VLOOKUP(H974,[1]Mapa!A:B,2,0)</f>
        <v>Victor Arruda Do Carmo</v>
      </c>
      <c r="J974" s="3" t="s">
        <v>93</v>
      </c>
      <c r="K974" s="3" t="str">
        <f t="shared" si="0"/>
        <v>SKILL DIFERENTE</v>
      </c>
      <c r="L974" s="3" t="s">
        <v>866</v>
      </c>
      <c r="M974" s="3" t="s">
        <v>59</v>
      </c>
      <c r="N974" s="3" t="s">
        <v>60</v>
      </c>
      <c r="O974" s="3" t="s">
        <v>3126</v>
      </c>
      <c r="P974" s="3" t="s">
        <v>867</v>
      </c>
      <c r="Q974" s="31">
        <v>42741</v>
      </c>
      <c r="R974" s="3" t="str">
        <f>IFERROR(VLOOKUP(J974,[1]PL!A:B,2,0),"")</f>
        <v>PSG</v>
      </c>
      <c r="S974" s="3" t="str">
        <f>IFERROR(VLOOKUP(H974,[1]Mapa!A:D,4,0),"")</f>
        <v>IPG</v>
      </c>
      <c r="T974" s="3"/>
      <c r="U974" s="3"/>
      <c r="V974" s="3"/>
    </row>
    <row r="975" spans="1:22">
      <c r="A975" s="3" t="str">
        <f>VLOOKUP(D975,[1]Orc!A:B,2,0)</f>
        <v>Sample Rejected</v>
      </c>
      <c r="B975" s="31">
        <f>VLOOKUP(D975,[1]Orc!A:C,3,0)</f>
        <v>42741.73704378472</v>
      </c>
      <c r="C975" s="31">
        <v>42739.431250000001</v>
      </c>
      <c r="D975" s="3">
        <v>3035469760</v>
      </c>
      <c r="E975" s="3" t="s">
        <v>31</v>
      </c>
      <c r="F975" s="3" t="s">
        <v>216</v>
      </c>
      <c r="G975" s="3" t="str">
        <f>VLOOKUP(F975,[1]Mapa!A:B,2,0)</f>
        <v>Lucas Almeida Dos Santos</v>
      </c>
      <c r="H975" s="3" t="s">
        <v>216</v>
      </c>
      <c r="I975" s="3" t="str">
        <f>VLOOKUP(H975,[1]Mapa!A:B,2,0)</f>
        <v>Lucas Almeida Dos Santos</v>
      </c>
      <c r="J975" s="3" t="s">
        <v>100</v>
      </c>
      <c r="K975" s="3" t="str">
        <f t="shared" si="0"/>
        <v>SKILL IGUAL</v>
      </c>
      <c r="L975" s="3" t="s">
        <v>866</v>
      </c>
      <c r="M975" s="3" t="s">
        <v>59</v>
      </c>
      <c r="N975" s="3" t="s">
        <v>60</v>
      </c>
      <c r="O975" s="3" t="s">
        <v>59</v>
      </c>
      <c r="P975" s="3" t="s">
        <v>876</v>
      </c>
      <c r="Q975" s="31">
        <v>42740</v>
      </c>
      <c r="R975" s="3" t="str">
        <f>IFERROR(VLOOKUP(J975,[1]PL!A:B,2,0),"")</f>
        <v>PSG</v>
      </c>
      <c r="S975" s="3" t="str">
        <f>IFERROR(VLOOKUP(H975,[1]Mapa!A:D,4,0),"")</f>
        <v>PSG</v>
      </c>
      <c r="T975" s="3"/>
      <c r="U975" s="3"/>
      <c r="V975" s="3"/>
    </row>
    <row r="976" spans="1:22">
      <c r="A976" s="3" t="str">
        <f>VLOOKUP(D976,[1]Orc!A:B,2,0)</f>
        <v>Completed Surveys</v>
      </c>
      <c r="B976" s="31">
        <f>VLOOKUP(D976,[1]Orc!A:C,3,0)</f>
        <v>42742.73709116898</v>
      </c>
      <c r="C976" s="31">
        <v>42740.907638888886</v>
      </c>
      <c r="D976" s="3">
        <v>3035514776</v>
      </c>
      <c r="E976" s="3" t="s">
        <v>23</v>
      </c>
      <c r="F976" s="3" t="s">
        <v>149</v>
      </c>
      <c r="G976" s="3" t="str">
        <f>VLOOKUP(F976,[1]Mapa!A:B,2,0)</f>
        <v>Kaio Victor de Santana</v>
      </c>
      <c r="H976" s="3" t="s">
        <v>139</v>
      </c>
      <c r="I976" s="3" t="str">
        <f>VLOOKUP(H976,[1]Mapa!A:B,2,0)</f>
        <v>Vanderlei Valentim Vieira</v>
      </c>
      <c r="J976" s="3" t="s">
        <v>93</v>
      </c>
      <c r="K976" s="3" t="str">
        <f t="shared" si="0"/>
        <v>SKILL DIFERENTE</v>
      </c>
      <c r="L976" s="3" t="s">
        <v>866</v>
      </c>
      <c r="M976" s="3" t="s">
        <v>70</v>
      </c>
      <c r="N976" s="3" t="s">
        <v>71</v>
      </c>
      <c r="O976" s="3" t="s">
        <v>3127</v>
      </c>
      <c r="P976" s="3" t="s">
        <v>867</v>
      </c>
      <c r="Q976" s="31">
        <v>42741</v>
      </c>
      <c r="R976" s="3" t="str">
        <f>IFERROR(VLOOKUP(J976,[1]PL!A:B,2,0),"")</f>
        <v>PSG</v>
      </c>
      <c r="S976" s="3" t="str">
        <f>IFERROR(VLOOKUP(H976,[1]Mapa!A:D,4,0),"")</f>
        <v>FUPOTECH</v>
      </c>
      <c r="T976" s="3"/>
      <c r="U976" s="3"/>
      <c r="V976" s="3"/>
    </row>
    <row r="977" spans="1:22">
      <c r="A977" s="3" t="str">
        <f>VLOOKUP(D977,[1]Orc!A:B,2,0)</f>
        <v>Sample Rejected</v>
      </c>
      <c r="B977" s="31">
        <f>VLOOKUP(D977,[1]Orc!A:C,3,0)</f>
        <v>42741.73704378472</v>
      </c>
      <c r="C977" s="31">
        <v>42739.481944444444</v>
      </c>
      <c r="D977" s="3">
        <v>3035470844</v>
      </c>
      <c r="E977" s="3" t="s">
        <v>31</v>
      </c>
      <c r="F977" s="3" t="s">
        <v>223</v>
      </c>
      <c r="G977" s="3" t="str">
        <f>VLOOKUP(F977,[1]Mapa!A:B,2,0)</f>
        <v>Daniel Sousa Pinheiro</v>
      </c>
      <c r="H977" s="3" t="s">
        <v>223</v>
      </c>
      <c r="I977" s="3" t="str">
        <f>VLOOKUP(H977,[1]Mapa!A:B,2,0)</f>
        <v>Daniel Sousa Pinheiro</v>
      </c>
      <c r="J977" s="3" t="s">
        <v>93</v>
      </c>
      <c r="K977" s="3" t="str">
        <f t="shared" si="0"/>
        <v>SKILL IGUAL</v>
      </c>
      <c r="L977" s="3" t="s">
        <v>866</v>
      </c>
      <c r="M977" s="3" t="s">
        <v>70</v>
      </c>
      <c r="N977" s="3" t="s">
        <v>71</v>
      </c>
      <c r="O977" s="3" t="s">
        <v>3128</v>
      </c>
      <c r="P977" s="3" t="s">
        <v>867</v>
      </c>
      <c r="Q977" s="31">
        <v>42740</v>
      </c>
      <c r="R977" s="3" t="str">
        <f>IFERROR(VLOOKUP(J977,[1]PL!A:B,2,0),"")</f>
        <v>PSG</v>
      </c>
      <c r="S977" s="3" t="str">
        <f>IFERROR(VLOOKUP(H977,[1]Mapa!A:D,4,0),"")</f>
        <v>PSG</v>
      </c>
      <c r="T977" s="3"/>
      <c r="U977" s="3"/>
      <c r="V977" s="3"/>
    </row>
    <row r="978" spans="1:22">
      <c r="A978" s="3" t="str">
        <f>VLOOKUP(D978,[1]Orc!A:B,2,0)</f>
        <v>Not Responded</v>
      </c>
      <c r="B978" s="31">
        <f>VLOOKUP(D978,[1]Orc!A:C,3,0)</f>
        <v>42741.73704378472</v>
      </c>
      <c r="C978" s="31">
        <v>42739.492361111108</v>
      </c>
      <c r="D978" s="3">
        <v>3035379216</v>
      </c>
      <c r="E978" s="3" t="s">
        <v>31</v>
      </c>
      <c r="F978" s="3" t="s">
        <v>156</v>
      </c>
      <c r="G978" s="3" t="str">
        <f>VLOOKUP(F978,[1]Mapa!A:B,2,0)</f>
        <v>Felipe Alves Barbosa</v>
      </c>
      <c r="H978" s="3" t="s">
        <v>206</v>
      </c>
      <c r="I978" s="3" t="str">
        <f>VLOOKUP(H978,[1]Mapa!A:B,2,0)</f>
        <v>Alvani Elizabete Aliano de Oliveira</v>
      </c>
      <c r="J978" s="3" t="s">
        <v>93</v>
      </c>
      <c r="K978" s="3" t="str">
        <f t="shared" si="0"/>
        <v>SKILL IGUAL</v>
      </c>
      <c r="L978" s="3" t="s">
        <v>866</v>
      </c>
      <c r="M978" s="3" t="s">
        <v>70</v>
      </c>
      <c r="N978" s="3" t="s">
        <v>881</v>
      </c>
      <c r="O978" s="3" t="s">
        <v>923</v>
      </c>
      <c r="P978" s="3" t="s">
        <v>867</v>
      </c>
      <c r="Q978" s="31">
        <v>42741</v>
      </c>
      <c r="R978" s="3" t="str">
        <f>IFERROR(VLOOKUP(J978,[1]PL!A:B,2,0),"")</f>
        <v>PSG</v>
      </c>
      <c r="S978" s="3" t="str">
        <f>IFERROR(VLOOKUP(H978,[1]Mapa!A:D,4,0),"")</f>
        <v>PSG</v>
      </c>
      <c r="T978" s="3"/>
      <c r="U978" s="3"/>
      <c r="V978" s="3"/>
    </row>
    <row r="979" spans="1:22">
      <c r="A979" s="3" t="str">
        <f>VLOOKUP(D979,[1]Orc!A:B,2,0)</f>
        <v>Completed Surveys</v>
      </c>
      <c r="B979" s="31">
        <f>VLOOKUP(D979,[1]Orc!A:C,3,0)</f>
        <v>42743.735176273149</v>
      </c>
      <c r="C979" s="31">
        <v>42741.584722222222</v>
      </c>
      <c r="D979" s="3">
        <v>3035546472</v>
      </c>
      <c r="E979" s="3" t="s">
        <v>31</v>
      </c>
      <c r="F979" s="3" t="s">
        <v>200</v>
      </c>
      <c r="G979" s="3" t="str">
        <f>VLOOKUP(F979,[1]Mapa!A:B,2,0)</f>
        <v>Washington Silva De Oliveira</v>
      </c>
      <c r="H979" s="3" t="s">
        <v>200</v>
      </c>
      <c r="I979" s="3" t="str">
        <f>VLOOKUP(H979,[1]Mapa!A:B,2,0)</f>
        <v>Washington Silva De Oliveira</v>
      </c>
      <c r="J979" s="3" t="s">
        <v>93</v>
      </c>
      <c r="K979" s="3" t="str">
        <f t="shared" si="0"/>
        <v>SKILL IGUAL</v>
      </c>
      <c r="L979" s="3" t="s">
        <v>866</v>
      </c>
      <c r="M979" s="3" t="s">
        <v>59</v>
      </c>
      <c r="N979" s="3" t="s">
        <v>60</v>
      </c>
      <c r="O979" s="3" t="s">
        <v>218</v>
      </c>
      <c r="P979" s="3" t="s">
        <v>867</v>
      </c>
      <c r="Q979" s="31">
        <v>42742</v>
      </c>
      <c r="R979" s="3" t="str">
        <f>IFERROR(VLOOKUP(J979,[1]PL!A:B,2,0),"")</f>
        <v>PSG</v>
      </c>
      <c r="S979" s="3" t="str">
        <f>IFERROR(VLOOKUP(H979,[1]Mapa!A:D,4,0),"")</f>
        <v>PSG</v>
      </c>
      <c r="T979" s="3"/>
      <c r="U979" s="3" t="s">
        <v>3106</v>
      </c>
      <c r="V979" s="3"/>
    </row>
    <row r="980" spans="1:22">
      <c r="A980" s="3" t="str">
        <f>VLOOKUP(D980,[1]Orc!A:B,2,0)</f>
        <v>Sample Rejected</v>
      </c>
      <c r="B980" s="31">
        <f>VLOOKUP(D980,[1]Orc!A:C,3,0)</f>
        <v>42741.73704378472</v>
      </c>
      <c r="C980" s="31">
        <v>42739.509722222225</v>
      </c>
      <c r="D980" s="3">
        <v>3035471354</v>
      </c>
      <c r="E980" s="3" t="s">
        <v>31</v>
      </c>
      <c r="F980" s="3" t="s">
        <v>227</v>
      </c>
      <c r="G980" s="3" t="str">
        <f>VLOOKUP(F980,[1]Mapa!A:B,2,0)</f>
        <v>Bruno Henrique Padua Colella</v>
      </c>
      <c r="H980" s="3" t="s">
        <v>227</v>
      </c>
      <c r="I980" s="3" t="str">
        <f>VLOOKUP(H980,[1]Mapa!A:B,2,0)</f>
        <v>Bruno Henrique Padua Colella</v>
      </c>
      <c r="J980" s="3" t="s">
        <v>93</v>
      </c>
      <c r="K980" s="3" t="str">
        <f t="shared" si="0"/>
        <v>SKILL IGUAL</v>
      </c>
      <c r="L980" s="3" t="s">
        <v>866</v>
      </c>
      <c r="M980" s="3" t="s">
        <v>59</v>
      </c>
      <c r="N980" s="3" t="s">
        <v>60</v>
      </c>
      <c r="O980" s="3" t="s">
        <v>123</v>
      </c>
      <c r="P980" s="3" t="s">
        <v>867</v>
      </c>
      <c r="Q980" s="31">
        <v>42740</v>
      </c>
      <c r="R980" s="3" t="str">
        <f>IFERROR(VLOOKUP(J980,[1]PL!A:B,2,0),"")</f>
        <v>PSG</v>
      </c>
      <c r="S980" s="3" t="str">
        <f>IFERROR(VLOOKUP(H980,[1]Mapa!A:D,4,0),"")</f>
        <v>PSG</v>
      </c>
      <c r="T980" s="3"/>
      <c r="U980" s="3"/>
      <c r="V980" s="3"/>
    </row>
    <row r="981" spans="1:22">
      <c r="A981" s="3" t="str">
        <f>VLOOKUP(D981,[1]Orc!A:B,2,0)</f>
        <v>Not Responded</v>
      </c>
      <c r="B981" s="31">
        <f>VLOOKUP(D981,[1]Orc!A:C,3,0)</f>
        <v>42741.73704378472</v>
      </c>
      <c r="C981" s="31">
        <v>42739.52847222222</v>
      </c>
      <c r="D981" s="3">
        <v>3035431390</v>
      </c>
      <c r="E981" s="3" t="s">
        <v>2978</v>
      </c>
      <c r="F981" s="3" t="s">
        <v>256</v>
      </c>
      <c r="G981" s="3" t="str">
        <f>VLOOKUP(F981,[1]Mapa!A:B,2,0)</f>
        <v>Viviane De Souza Magrini</v>
      </c>
      <c r="H981" s="3" t="s">
        <v>926</v>
      </c>
      <c r="I981" s="3" t="str">
        <f>VLOOKUP(H981,[1]Mapa!A:B,2,0)</f>
        <v>Lazaro Barbosa De Oliveira</v>
      </c>
      <c r="J981" s="3" t="s">
        <v>91</v>
      </c>
      <c r="K981" s="3" t="str">
        <f t="shared" si="0"/>
        <v>SKILL DIFERENTE</v>
      </c>
      <c r="L981" s="3" t="s">
        <v>866</v>
      </c>
      <c r="M981" s="3" t="s">
        <v>59</v>
      </c>
      <c r="N981" s="3" t="s">
        <v>60</v>
      </c>
      <c r="O981" s="3" t="s">
        <v>933</v>
      </c>
      <c r="P981" s="3" t="s">
        <v>867</v>
      </c>
      <c r="Q981" s="31">
        <v>42744</v>
      </c>
      <c r="R981" s="3" t="str">
        <f>IFERROR(VLOOKUP(J981,[1]PL!A:B,2,0),"")</f>
        <v>PSG</v>
      </c>
      <c r="S981" s="3" t="str">
        <f>IFERROR(VLOOKUP(H981,[1]Mapa!A:D,4,0),"")</f>
        <v>Hpi - Pc</v>
      </c>
      <c r="T981" s="3" t="s">
        <v>3654</v>
      </c>
      <c r="U981" s="3"/>
      <c r="V981" s="3"/>
    </row>
    <row r="982" spans="1:22">
      <c r="A982" s="3" t="str">
        <f>VLOOKUP(D982,[1]Orc!A:B,2,0)</f>
        <v>Completed Surveys</v>
      </c>
      <c r="B982" s="31">
        <f>VLOOKUP(D982,[1]Orc!A:C,3,0)</f>
        <v>42743.735176273149</v>
      </c>
      <c r="C982" s="31">
        <v>42741.587500000001</v>
      </c>
      <c r="D982" s="3">
        <v>3035545890</v>
      </c>
      <c r="E982" s="3" t="s">
        <v>31</v>
      </c>
      <c r="F982" s="3" t="s">
        <v>227</v>
      </c>
      <c r="G982" s="3" t="str">
        <f>VLOOKUP(F982,[1]Mapa!A:B,2,0)</f>
        <v>Bruno Henrique Padua Colella</v>
      </c>
      <c r="H982" s="3" t="s">
        <v>227</v>
      </c>
      <c r="I982" s="3" t="str">
        <f>VLOOKUP(H982,[1]Mapa!A:B,2,0)</f>
        <v>Bruno Henrique Padua Colella</v>
      </c>
      <c r="J982" s="3" t="s">
        <v>91</v>
      </c>
      <c r="K982" s="3" t="str">
        <f t="shared" si="0"/>
        <v>SKILL IGUAL</v>
      </c>
      <c r="L982" s="3" t="s">
        <v>866</v>
      </c>
      <c r="M982" s="3" t="s">
        <v>59</v>
      </c>
      <c r="N982" s="3" t="s">
        <v>60</v>
      </c>
      <c r="O982" s="3" t="s">
        <v>218</v>
      </c>
      <c r="P982" s="3" t="s">
        <v>867</v>
      </c>
      <c r="Q982" s="31">
        <v>42742</v>
      </c>
      <c r="R982" s="3" t="str">
        <f>IFERROR(VLOOKUP(J982,[1]PL!A:B,2,0),"")</f>
        <v>PSG</v>
      </c>
      <c r="S982" s="3" t="str">
        <f>IFERROR(VLOOKUP(H982,[1]Mapa!A:D,4,0),"")</f>
        <v>PSG</v>
      </c>
      <c r="T982" s="3"/>
      <c r="U982" s="3"/>
      <c r="V982" s="3"/>
    </row>
    <row r="983" spans="1:22">
      <c r="A983" s="3" t="str">
        <f>VLOOKUP(D983,[1]Orc!A:B,2,0)</f>
        <v>Not Responded</v>
      </c>
      <c r="B983" s="31">
        <f>VLOOKUP(D983,[1]Orc!A:C,3,0)</f>
        <v>42741.73704378472</v>
      </c>
      <c r="C983" s="31">
        <v>42739.53402777778</v>
      </c>
      <c r="D983" s="3">
        <v>3035432447</v>
      </c>
      <c r="E983" s="3" t="s">
        <v>31</v>
      </c>
      <c r="F983" s="3" t="s">
        <v>223</v>
      </c>
      <c r="G983" s="3" t="str">
        <f>VLOOKUP(F983,[1]Mapa!A:B,2,0)</f>
        <v>Daniel Sousa Pinheiro</v>
      </c>
      <c r="H983" s="3" t="s">
        <v>209</v>
      </c>
      <c r="I983" s="3" t="str">
        <f>VLOOKUP(H983,[1]Mapa!A:B,2,0)</f>
        <v>Taina Alexsander Fernandes Pires</v>
      </c>
      <c r="J983" s="3" t="s">
        <v>93</v>
      </c>
      <c r="K983" s="3" t="str">
        <f t="shared" si="0"/>
        <v>SKILL DIFERENTE</v>
      </c>
      <c r="L983" s="3" t="s">
        <v>866</v>
      </c>
      <c r="M983" s="3" t="s">
        <v>70</v>
      </c>
      <c r="N983" s="3" t="s">
        <v>71</v>
      </c>
      <c r="O983" s="3" t="s">
        <v>3129</v>
      </c>
      <c r="P983" s="3" t="s">
        <v>867</v>
      </c>
      <c r="Q983" s="31">
        <v>42741</v>
      </c>
      <c r="R983" s="3" t="str">
        <f>IFERROR(VLOOKUP(J983,[1]PL!A:B,2,0),"")</f>
        <v>PSG</v>
      </c>
      <c r="S983" s="3" t="str">
        <f>IFERROR(VLOOKUP(H983,[1]Mapa!A:D,4,0),"")</f>
        <v>FUPOTECH</v>
      </c>
      <c r="T983" s="3"/>
      <c r="U983" s="3"/>
      <c r="V983" s="3"/>
    </row>
    <row r="984" spans="1:22">
      <c r="A984" s="3" t="str">
        <f>VLOOKUP(D984,[1]Orc!A:B,2,0)</f>
        <v>Completed Surveys</v>
      </c>
      <c r="B984" s="31">
        <f>VLOOKUP(D984,[1]Orc!A:C,3,0)</f>
        <v>42743.735176273149</v>
      </c>
      <c r="C984" s="31">
        <v>42741.743055555555</v>
      </c>
      <c r="D984" s="3">
        <v>3035543597</v>
      </c>
      <c r="E984" s="3" t="s">
        <v>31</v>
      </c>
      <c r="F984" s="3" t="s">
        <v>216</v>
      </c>
      <c r="G984" s="3" t="str">
        <f>VLOOKUP(F984,[1]Mapa!A:B,2,0)</f>
        <v>Lucas Almeida Dos Santos</v>
      </c>
      <c r="H984" s="3" t="s">
        <v>852</v>
      </c>
      <c r="I984" s="3" t="str">
        <f>VLOOKUP(H984,[1]Mapa!A:B,2,0)</f>
        <v>Paulo Wueliton Horacio Fernandes</v>
      </c>
      <c r="J984" s="3" t="s">
        <v>93</v>
      </c>
      <c r="K984" s="3" t="str">
        <f t="shared" si="0"/>
        <v>SKILL DIFERENTE</v>
      </c>
      <c r="L984" s="3" t="s">
        <v>866</v>
      </c>
      <c r="M984" s="3" t="s">
        <v>59</v>
      </c>
      <c r="N984" s="3" t="s">
        <v>60</v>
      </c>
      <c r="O984" s="3" t="s">
        <v>123</v>
      </c>
      <c r="P984" s="3" t="s">
        <v>867</v>
      </c>
      <c r="Q984" s="31">
        <v>42742</v>
      </c>
      <c r="R984" s="3" t="str">
        <f>IFERROR(VLOOKUP(J984,[1]PL!A:B,2,0),"")</f>
        <v>PSG</v>
      </c>
      <c r="S984" s="3" t="str">
        <f>IFERROR(VLOOKUP(H984,[1]Mapa!A:D,4,0),"")</f>
        <v>IPG</v>
      </c>
      <c r="T984" s="3"/>
      <c r="U984" s="3" t="s">
        <v>3104</v>
      </c>
      <c r="V984" s="3"/>
    </row>
    <row r="985" spans="1:22">
      <c r="A985" s="3" t="e">
        <f>VLOOKUP(D985,[1]Orc!A:B,2,0)</f>
        <v>#N/A</v>
      </c>
      <c r="B985" s="31" t="e">
        <f>VLOOKUP(D985,[1]Orc!A:C,3,0)</f>
        <v>#N/A</v>
      </c>
      <c r="C985" s="31">
        <v>42739.564583333333</v>
      </c>
      <c r="D985" s="3">
        <v>3035201267</v>
      </c>
      <c r="E985" s="3" t="s">
        <v>39</v>
      </c>
      <c r="F985" s="3" t="s">
        <v>225</v>
      </c>
      <c r="G985" s="3" t="str">
        <f>VLOOKUP(F985,[1]Mapa!A:B,2,0)</f>
        <v>Eduardo Paixao Oliveira</v>
      </c>
      <c r="H985" s="3" t="s">
        <v>2986</v>
      </c>
      <c r="I985" s="3" t="str">
        <f>VLOOKUP(H985,[1]Mapa!A:B,2,0)</f>
        <v>Patrik Ferreira Araujo</v>
      </c>
      <c r="J985" s="3" t="s">
        <v>93</v>
      </c>
      <c r="K985" s="3" t="str">
        <f t="shared" si="0"/>
        <v>SKILL DIFERENTE</v>
      </c>
      <c r="L985" s="3" t="s">
        <v>871</v>
      </c>
      <c r="M985" s="3" t="s">
        <v>65</v>
      </c>
      <c r="N985" s="3" t="s">
        <v>66</v>
      </c>
      <c r="O985" s="3" t="s">
        <v>65</v>
      </c>
      <c r="P985" s="3" t="s">
        <v>876</v>
      </c>
      <c r="Q985" s="31">
        <v>42740</v>
      </c>
      <c r="R985" s="3" t="str">
        <f>IFERROR(VLOOKUP(J985,[1]PL!A:B,2,0),"")</f>
        <v>PSG</v>
      </c>
      <c r="S985" s="3" t="str">
        <f>IFERROR(VLOOKUP(H985,[1]Mapa!A:D,4,0),"")</f>
        <v>TCO</v>
      </c>
      <c r="T985" s="3"/>
      <c r="U985" s="3"/>
      <c r="V985" s="3"/>
    </row>
    <row r="986" spans="1:22">
      <c r="A986" s="3" t="str">
        <f>VLOOKUP(D986,[1]Orc!A:B,2,0)</f>
        <v>Not Responded</v>
      </c>
      <c r="B986" s="31">
        <f>VLOOKUP(D986,[1]Orc!A:C,3,0)</f>
        <v>42741.73704378472</v>
      </c>
      <c r="C986" s="31">
        <v>42739.569444444445</v>
      </c>
      <c r="D986" s="3">
        <v>3035473498</v>
      </c>
      <c r="E986" s="3" t="s">
        <v>31</v>
      </c>
      <c r="F986" s="3" t="s">
        <v>156</v>
      </c>
      <c r="G986" s="3" t="str">
        <f>VLOOKUP(F986,[1]Mapa!A:B,2,0)</f>
        <v>Felipe Alves Barbosa</v>
      </c>
      <c r="H986" s="3" t="s">
        <v>156</v>
      </c>
      <c r="I986" s="3" t="str">
        <f>VLOOKUP(H986,[1]Mapa!A:B,2,0)</f>
        <v>Felipe Alves Barbosa</v>
      </c>
      <c r="J986" s="3" t="s">
        <v>93</v>
      </c>
      <c r="K986" s="3" t="str">
        <f t="shared" si="0"/>
        <v>SKILL IGUAL</v>
      </c>
      <c r="L986" s="3" t="s">
        <v>866</v>
      </c>
      <c r="M986" s="3" t="s">
        <v>70</v>
      </c>
      <c r="N986" s="3" t="s">
        <v>71</v>
      </c>
      <c r="O986" s="3" t="s">
        <v>3130</v>
      </c>
      <c r="P986" s="3" t="s">
        <v>876</v>
      </c>
      <c r="Q986" s="31">
        <v>42740</v>
      </c>
      <c r="R986" s="3" t="str">
        <f>IFERROR(VLOOKUP(J986,[1]PL!A:B,2,0),"")</f>
        <v>PSG</v>
      </c>
      <c r="S986" s="3" t="str">
        <f>IFERROR(VLOOKUP(H986,[1]Mapa!A:D,4,0),"")</f>
        <v>PSG</v>
      </c>
      <c r="T986" s="3"/>
      <c r="U986" s="3"/>
      <c r="V986" s="3"/>
    </row>
    <row r="987" spans="1:22">
      <c r="A987" s="3" t="str">
        <f>VLOOKUP(D987,[1]Orc!A:B,2,0)</f>
        <v>Sample Rejected</v>
      </c>
      <c r="B987" s="31">
        <f>VLOOKUP(D987,[1]Orc!A:C,3,0)</f>
        <v>42741.73704378472</v>
      </c>
      <c r="C987" s="31">
        <v>42739.578472222223</v>
      </c>
      <c r="D987" s="3">
        <v>3035471379</v>
      </c>
      <c r="E987" s="3" t="s">
        <v>31</v>
      </c>
      <c r="F987" s="3" t="s">
        <v>219</v>
      </c>
      <c r="G987" s="3" t="str">
        <f>VLOOKUP(F987,[1]Mapa!A:B,2,0)</f>
        <v>Rafael Dos Santos</v>
      </c>
      <c r="H987" s="3" t="s">
        <v>219</v>
      </c>
      <c r="I987" s="3" t="str">
        <f>VLOOKUP(H987,[1]Mapa!A:B,2,0)</f>
        <v>Rafael Dos Santos</v>
      </c>
      <c r="J987" s="3" t="s">
        <v>93</v>
      </c>
      <c r="K987" s="3" t="str">
        <f t="shared" si="0"/>
        <v>SKILL IGUAL</v>
      </c>
      <c r="L987" s="3" t="s">
        <v>866</v>
      </c>
      <c r="M987" s="3" t="s">
        <v>59</v>
      </c>
      <c r="N987" s="3" t="s">
        <v>845</v>
      </c>
      <c r="O987" s="3" t="s">
        <v>3131</v>
      </c>
      <c r="P987" s="3" t="s">
        <v>876</v>
      </c>
      <c r="Q987" s="31">
        <v>42740</v>
      </c>
      <c r="R987" s="3" t="str">
        <f>IFERROR(VLOOKUP(J987,[1]PL!A:B,2,0),"")</f>
        <v>PSG</v>
      </c>
      <c r="S987" s="3" t="str">
        <f>IFERROR(VLOOKUP(H987,[1]Mapa!A:D,4,0),"")</f>
        <v>PSG</v>
      </c>
      <c r="T987" s="3"/>
      <c r="U987" s="3"/>
      <c r="V987" s="3"/>
    </row>
    <row r="988" spans="1:22">
      <c r="A988" s="3" t="str">
        <f>VLOOKUP(D988,[1]Orc!A:B,2,0)</f>
        <v>Not Responded</v>
      </c>
      <c r="B988" s="31">
        <f>VLOOKUP(D988,[1]Orc!A:C,3,0)</f>
        <v>42741.73704378472</v>
      </c>
      <c r="C988" s="31">
        <v>42739.663888888892</v>
      </c>
      <c r="D988" s="3">
        <v>3035480771</v>
      </c>
      <c r="E988" s="3" t="s">
        <v>39</v>
      </c>
      <c r="F988" s="3" t="s">
        <v>246</v>
      </c>
      <c r="G988" s="3" t="str">
        <f>VLOOKUP(F988,[1]Mapa!A:B,2,0)</f>
        <v>Wellington Da Silva De Oliveira</v>
      </c>
      <c r="H988" s="3" t="s">
        <v>246</v>
      </c>
      <c r="I988" s="3" t="str">
        <f>VLOOKUP(H988,[1]Mapa!A:B,2,0)</f>
        <v>Wellington Da Silva De Oliveira</v>
      </c>
      <c r="J988" s="3" t="s">
        <v>93</v>
      </c>
      <c r="K988" s="3" t="str">
        <f t="shared" si="0"/>
        <v>SKILL IGUAL</v>
      </c>
      <c r="L988" s="3" t="s">
        <v>866</v>
      </c>
      <c r="M988" s="3" t="s">
        <v>59</v>
      </c>
      <c r="N988" s="3" t="s">
        <v>60</v>
      </c>
      <c r="O988" s="3" t="s">
        <v>924</v>
      </c>
      <c r="P988" s="3" t="s">
        <v>867</v>
      </c>
      <c r="Q988" s="31">
        <v>42740</v>
      </c>
      <c r="R988" s="3" t="str">
        <f>IFERROR(VLOOKUP(J988,[1]PL!A:B,2,0),"")</f>
        <v>PSG</v>
      </c>
      <c r="S988" s="3" t="str">
        <f>IFERROR(VLOOKUP(H988,[1]Mapa!A:D,4,0),"")</f>
        <v>PSG</v>
      </c>
      <c r="T988" s="3" t="s">
        <v>3629</v>
      </c>
      <c r="U988" s="3"/>
      <c r="V988" s="3"/>
    </row>
    <row r="989" spans="1:22">
      <c r="A989" s="3" t="str">
        <f>VLOOKUP(D989,[1]Orc!A:B,2,0)</f>
        <v>Completed Surveys</v>
      </c>
      <c r="B989" s="31">
        <f>VLOOKUP(D989,[1]Orc!A:C,3,0)</f>
        <v>42743.735176273149</v>
      </c>
      <c r="C989" s="31">
        <v>42741.796527777777</v>
      </c>
      <c r="D989" s="3">
        <v>3035556463</v>
      </c>
      <c r="E989" s="3" t="s">
        <v>39</v>
      </c>
      <c r="F989" s="3" t="s">
        <v>250</v>
      </c>
      <c r="G989" s="3" t="str">
        <f>VLOOKUP(F989,[1]Mapa!A:B,2,0)</f>
        <v>Filipe Augusto Fernandes De Oliveira</v>
      </c>
      <c r="H989" s="3" t="s">
        <v>250</v>
      </c>
      <c r="I989" s="3" t="str">
        <f>VLOOKUP(H989,[1]Mapa!A:B,2,0)</f>
        <v>Filipe Augusto Fernandes De Oliveira</v>
      </c>
      <c r="J989" s="3" t="s">
        <v>93</v>
      </c>
      <c r="K989" s="3" t="str">
        <f t="shared" si="0"/>
        <v>SKILL IGUAL</v>
      </c>
      <c r="L989" s="3" t="s">
        <v>866</v>
      </c>
      <c r="M989" s="3" t="s">
        <v>59</v>
      </c>
      <c r="N989" s="3" t="s">
        <v>60</v>
      </c>
      <c r="O989" s="3" t="s">
        <v>3132</v>
      </c>
      <c r="P989" s="3" t="s">
        <v>867</v>
      </c>
      <c r="Q989" s="31">
        <v>42742</v>
      </c>
      <c r="R989" s="3" t="str">
        <f>IFERROR(VLOOKUP(J989,[1]PL!A:B,2,0),"")</f>
        <v>PSG</v>
      </c>
      <c r="S989" s="3" t="str">
        <f>IFERROR(VLOOKUP(H989,[1]Mapa!A:D,4,0),"")</f>
        <v>PSG</v>
      </c>
      <c r="T989" s="3"/>
      <c r="U989" s="3"/>
      <c r="V989" s="3"/>
    </row>
    <row r="990" spans="1:22">
      <c r="A990" s="3" t="str">
        <f>VLOOKUP(D990,[1]Orc!A:B,2,0)</f>
        <v>Not Responded</v>
      </c>
      <c r="B990" s="31">
        <f>VLOOKUP(D990,[1]Orc!A:C,3,0)</f>
        <v>42741.73704378472</v>
      </c>
      <c r="C990" s="31">
        <v>42739.62222222222</v>
      </c>
      <c r="D990" s="3">
        <v>3035478632</v>
      </c>
      <c r="E990" s="3" t="s">
        <v>39</v>
      </c>
      <c r="F990" s="3" t="s">
        <v>244</v>
      </c>
      <c r="G990" s="3" t="str">
        <f>VLOOKUP(F990,[1]Mapa!A:B,2,0)</f>
        <v>Clarina Praxedes Alfredo</v>
      </c>
      <c r="H990" s="3" t="s">
        <v>244</v>
      </c>
      <c r="I990" s="3" t="str">
        <f>VLOOKUP(H990,[1]Mapa!A:B,2,0)</f>
        <v>Clarina Praxedes Alfredo</v>
      </c>
      <c r="J990" s="3" t="s">
        <v>100</v>
      </c>
      <c r="K990" s="3" t="str">
        <f t="shared" si="0"/>
        <v>SKILL IGUAL</v>
      </c>
      <c r="L990" s="3" t="s">
        <v>866</v>
      </c>
      <c r="M990" s="3" t="s">
        <v>70</v>
      </c>
      <c r="N990" s="3" t="s">
        <v>71</v>
      </c>
      <c r="O990" s="3" t="s">
        <v>3133</v>
      </c>
      <c r="P990" s="3" t="s">
        <v>867</v>
      </c>
      <c r="Q990" s="31">
        <v>42740</v>
      </c>
      <c r="R990" s="3" t="str">
        <f>IFERROR(VLOOKUP(J990,[1]PL!A:B,2,0),"")</f>
        <v>PSG</v>
      </c>
      <c r="S990" s="3" t="str">
        <f>IFERROR(VLOOKUP(H990,[1]Mapa!A:D,4,0),"")</f>
        <v>PSG</v>
      </c>
      <c r="T990" s="3"/>
      <c r="U990" s="3"/>
      <c r="V990" s="3"/>
    </row>
    <row r="991" spans="1:22">
      <c r="A991" s="3" t="str">
        <f>VLOOKUP(D991,[1]Orc!A:B,2,0)</f>
        <v>Not Responded</v>
      </c>
      <c r="B991" s="31">
        <f>VLOOKUP(D991,[1]Orc!A:C,3,0)</f>
        <v>42741.73704378472</v>
      </c>
      <c r="C991" s="31">
        <v>42739.647222222222</v>
      </c>
      <c r="D991" s="3">
        <v>3035295518</v>
      </c>
      <c r="E991" s="3" t="s">
        <v>31</v>
      </c>
      <c r="F991" s="3" t="s">
        <v>156</v>
      </c>
      <c r="G991" s="3" t="str">
        <f>VLOOKUP(F991,[1]Mapa!A:B,2,0)</f>
        <v>Felipe Alves Barbosa</v>
      </c>
      <c r="H991" s="3" t="s">
        <v>209</v>
      </c>
      <c r="I991" s="3" t="str">
        <f>VLOOKUP(H991,[1]Mapa!A:B,2,0)</f>
        <v>Taina Alexsander Fernandes Pires</v>
      </c>
      <c r="J991" s="3" t="s">
        <v>93</v>
      </c>
      <c r="K991" s="3" t="str">
        <f t="shared" si="0"/>
        <v>SKILL DIFERENTE</v>
      </c>
      <c r="L991" s="3" t="s">
        <v>866</v>
      </c>
      <c r="M991" s="3" t="s">
        <v>70</v>
      </c>
      <c r="N991" s="3" t="s">
        <v>71</v>
      </c>
      <c r="O991" s="3" t="s">
        <v>3134</v>
      </c>
      <c r="P991" s="3" t="s">
        <v>867</v>
      </c>
      <c r="Q991" s="31">
        <v>42740</v>
      </c>
      <c r="R991" s="3" t="str">
        <f>IFERROR(VLOOKUP(J991,[1]PL!A:B,2,0),"")</f>
        <v>PSG</v>
      </c>
      <c r="S991" s="3" t="str">
        <f>IFERROR(VLOOKUP(H991,[1]Mapa!A:D,4,0),"")</f>
        <v>FUPOTECH</v>
      </c>
      <c r="T991" s="3"/>
      <c r="U991" s="3"/>
      <c r="V991" s="3"/>
    </row>
    <row r="992" spans="1:22">
      <c r="A992" s="3" t="str">
        <f>VLOOKUP(D992,[1]Orc!A:B,2,0)</f>
        <v>Not Responded</v>
      </c>
      <c r="B992" s="31">
        <f>VLOOKUP(D992,[1]Orc!A:C,3,0)</f>
        <v>42741.73704378472</v>
      </c>
      <c r="C992" s="31">
        <v>42739.906944444447</v>
      </c>
      <c r="D992" s="3">
        <v>3035492302</v>
      </c>
      <c r="E992" s="3" t="s">
        <v>39</v>
      </c>
      <c r="F992" s="3" t="s">
        <v>250</v>
      </c>
      <c r="G992" s="3" t="str">
        <f>VLOOKUP(F992,[1]Mapa!A:B,2,0)</f>
        <v>Filipe Augusto Fernandes De Oliveira</v>
      </c>
      <c r="H992" s="3" t="s">
        <v>250</v>
      </c>
      <c r="I992" s="3" t="str">
        <f>VLOOKUP(H992,[1]Mapa!A:B,2,0)</f>
        <v>Filipe Augusto Fernandes De Oliveira</v>
      </c>
      <c r="J992" s="3" t="s">
        <v>93</v>
      </c>
      <c r="K992" s="3" t="str">
        <f t="shared" si="0"/>
        <v>SKILL IGUAL</v>
      </c>
      <c r="L992" s="3" t="s">
        <v>866</v>
      </c>
      <c r="M992" s="3" t="s">
        <v>59</v>
      </c>
      <c r="N992" s="3" t="s">
        <v>60</v>
      </c>
      <c r="O992" s="3" t="s">
        <v>929</v>
      </c>
      <c r="P992" s="3" t="s">
        <v>867</v>
      </c>
      <c r="Q992" s="31">
        <v>42740</v>
      </c>
      <c r="R992" s="3" t="str">
        <f>IFERROR(VLOOKUP(J992,[1]PL!A:B,2,0),"")</f>
        <v>PSG</v>
      </c>
      <c r="S992" s="3" t="str">
        <f>IFERROR(VLOOKUP(H992,[1]Mapa!A:D,4,0),"")</f>
        <v>PSG</v>
      </c>
      <c r="T992" s="3" t="s">
        <v>3631</v>
      </c>
      <c r="U992" s="3"/>
      <c r="V992" s="3"/>
    </row>
    <row r="993" spans="1:22">
      <c r="A993" s="3" t="str">
        <f>VLOOKUP(D993,[1]Orc!A:B,2,0)</f>
        <v>Not Responded</v>
      </c>
      <c r="B993" s="31">
        <f>VLOOKUP(D993,[1]Orc!A:C,3,0)</f>
        <v>42741.737065358793</v>
      </c>
      <c r="C993" s="31">
        <v>42739.678472222222</v>
      </c>
      <c r="D993" s="3">
        <v>3035440630</v>
      </c>
      <c r="E993" s="3" t="s">
        <v>31</v>
      </c>
      <c r="F993" s="3" t="s">
        <v>227</v>
      </c>
      <c r="G993" s="3" t="str">
        <f>VLOOKUP(F993,[1]Mapa!A:B,2,0)</f>
        <v>Bruno Henrique Padua Colella</v>
      </c>
      <c r="H993" s="3" t="s">
        <v>2986</v>
      </c>
      <c r="I993" s="3" t="str">
        <f>VLOOKUP(H993,[1]Mapa!A:B,2,0)</f>
        <v>Patrik Ferreira Araujo</v>
      </c>
      <c r="J993" s="3" t="s">
        <v>93</v>
      </c>
      <c r="K993" s="3" t="str">
        <f t="shared" si="0"/>
        <v>SKILL DIFERENTE</v>
      </c>
      <c r="L993" s="3" t="s">
        <v>871</v>
      </c>
      <c r="M993" s="3" t="s">
        <v>65</v>
      </c>
      <c r="N993" s="3" t="s">
        <v>66</v>
      </c>
      <c r="O993" s="3" t="s">
        <v>3135</v>
      </c>
      <c r="P993" s="3" t="s">
        <v>867</v>
      </c>
      <c r="Q993" s="31">
        <v>42744</v>
      </c>
      <c r="R993" s="3" t="str">
        <f>IFERROR(VLOOKUP(J993,[1]PL!A:B,2,0),"")</f>
        <v>PSG</v>
      </c>
      <c r="S993" s="3" t="str">
        <f>IFERROR(VLOOKUP(H993,[1]Mapa!A:D,4,0),"")</f>
        <v>TCO</v>
      </c>
      <c r="T993" s="3"/>
      <c r="U993" s="3" t="s">
        <v>3110</v>
      </c>
      <c r="V993" s="3"/>
    </row>
    <row r="994" spans="1:22">
      <c r="A994" s="3" t="str">
        <f>VLOOKUP(D994,[1]Orc!A:B,2,0)</f>
        <v>Completed Surveys</v>
      </c>
      <c r="B994" s="31">
        <f>VLOOKUP(D994,[1]Orc!A:C,3,0)</f>
        <v>42743.735176273149</v>
      </c>
      <c r="C994" s="31">
        <v>42741.834027777775</v>
      </c>
      <c r="D994" s="3">
        <v>3035558137</v>
      </c>
      <c r="E994" s="3" t="s">
        <v>39</v>
      </c>
      <c r="F994" s="3" t="s">
        <v>234</v>
      </c>
      <c r="G994" s="3" t="str">
        <f>VLOOKUP(F994,[1]Mapa!A:B,2,0)</f>
        <v>Levi De Sousa Barros</v>
      </c>
      <c r="H994" s="3" t="s">
        <v>234</v>
      </c>
      <c r="I994" s="3" t="str">
        <f>VLOOKUP(H994,[1]Mapa!A:B,2,0)</f>
        <v>Levi De Sousa Barros</v>
      </c>
      <c r="J994" s="3" t="s">
        <v>93</v>
      </c>
      <c r="K994" s="3" t="str">
        <f t="shared" si="0"/>
        <v>SKILL IGUAL</v>
      </c>
      <c r="L994" s="3" t="s">
        <v>866</v>
      </c>
      <c r="M994" s="3" t="s">
        <v>59</v>
      </c>
      <c r="N994" s="3" t="s">
        <v>60</v>
      </c>
      <c r="O994" s="3" t="s">
        <v>922</v>
      </c>
      <c r="P994" s="3" t="s">
        <v>876</v>
      </c>
      <c r="Q994" s="31">
        <v>42744</v>
      </c>
      <c r="R994" s="3" t="str">
        <f>IFERROR(VLOOKUP(J994,[1]PL!A:B,2,0),"")</f>
        <v>PSG</v>
      </c>
      <c r="S994" s="3" t="str">
        <f>IFERROR(VLOOKUP(H994,[1]Mapa!A:D,4,0),"")</f>
        <v>PSG</v>
      </c>
      <c r="T994" s="3"/>
      <c r="U994" s="3"/>
      <c r="V994" s="3"/>
    </row>
    <row r="995" spans="1:22">
      <c r="A995" s="3" t="str">
        <f>VLOOKUP(D995,[1]Orc!A:B,2,0)</f>
        <v>Sample Rejected</v>
      </c>
      <c r="B995" s="31">
        <f>VLOOKUP(D995,[1]Orc!A:C,3,0)</f>
        <v>42741.73704378472</v>
      </c>
      <c r="C995" s="31">
        <v>42739.707638888889</v>
      </c>
      <c r="D995" s="3">
        <v>3035449689</v>
      </c>
      <c r="E995" s="3" t="s">
        <v>39</v>
      </c>
      <c r="F995" s="3" t="s">
        <v>236</v>
      </c>
      <c r="G995" s="3" t="str">
        <f>VLOOKUP(F995,[1]Mapa!A:B,2,0)</f>
        <v>Stefany Aparecida Alexandre De Franca</v>
      </c>
      <c r="H995" s="3" t="s">
        <v>238</v>
      </c>
      <c r="I995" s="3" t="str">
        <f>VLOOKUP(H995,[1]Mapa!A:B,2,0)</f>
        <v>Fernando Souza De Almeida</v>
      </c>
      <c r="J995" s="3" t="s">
        <v>93</v>
      </c>
      <c r="K995" s="3" t="str">
        <f t="shared" si="0"/>
        <v>SKILL DIFERENTE</v>
      </c>
      <c r="L995" s="3" t="s">
        <v>871</v>
      </c>
      <c r="M995" s="3" t="s">
        <v>84</v>
      </c>
      <c r="N995" s="3" t="s">
        <v>85</v>
      </c>
      <c r="O995" s="3" t="s">
        <v>887</v>
      </c>
      <c r="P995" s="3" t="s">
        <v>867</v>
      </c>
      <c r="Q995" s="31">
        <v>42740</v>
      </c>
      <c r="R995" s="3" t="str">
        <f>IFERROR(VLOOKUP(J995,[1]PL!A:B,2,0),"")</f>
        <v>PSG</v>
      </c>
      <c r="S995" s="3" t="str">
        <f>IFERROR(VLOOKUP(H995,[1]Mapa!A:D,4,0),"")</f>
        <v>FUPOTECH</v>
      </c>
      <c r="T995" s="3"/>
      <c r="U995" s="3"/>
      <c r="V995" s="3"/>
    </row>
    <row r="996" spans="1:22">
      <c r="A996" s="3" t="str">
        <f>VLOOKUP(D996,[1]Orc!A:B,2,0)</f>
        <v>Completed Surveys</v>
      </c>
      <c r="B996" s="31">
        <f>VLOOKUP(D996,[1]Orc!A:C,3,0)</f>
        <v>42741.73704378472</v>
      </c>
      <c r="C996" s="31">
        <v>42739.725694444445</v>
      </c>
      <c r="D996" s="3">
        <v>3035480263</v>
      </c>
      <c r="E996" s="3" t="s">
        <v>39</v>
      </c>
      <c r="F996" s="3" t="s">
        <v>236</v>
      </c>
      <c r="G996" s="3" t="str">
        <f>VLOOKUP(F996,[1]Mapa!A:B,2,0)</f>
        <v>Stefany Aparecida Alexandre De Franca</v>
      </c>
      <c r="H996" s="3" t="s">
        <v>236</v>
      </c>
      <c r="I996" s="3" t="str">
        <f>VLOOKUP(H996,[1]Mapa!A:B,2,0)</f>
        <v>Stefany Aparecida Alexandre De Franca</v>
      </c>
      <c r="J996" s="3" t="s">
        <v>93</v>
      </c>
      <c r="K996" s="3" t="str">
        <f t="shared" si="0"/>
        <v>SKILL IGUAL</v>
      </c>
      <c r="L996" s="3" t="s">
        <v>866</v>
      </c>
      <c r="M996" s="3" t="s">
        <v>59</v>
      </c>
      <c r="N996" s="3" t="s">
        <v>60</v>
      </c>
      <c r="O996" s="3" t="s">
        <v>924</v>
      </c>
      <c r="P996" s="3" t="s">
        <v>867</v>
      </c>
      <c r="Q996" s="31">
        <v>42744</v>
      </c>
      <c r="R996" s="3" t="str">
        <f>IFERROR(VLOOKUP(J996,[1]PL!A:B,2,0),"")</f>
        <v>PSG</v>
      </c>
      <c r="S996" s="3" t="str">
        <f>IFERROR(VLOOKUP(H996,[1]Mapa!A:D,4,0),"")</f>
        <v>PSG</v>
      </c>
      <c r="T996" s="3" t="s">
        <v>3630</v>
      </c>
      <c r="U996" s="3"/>
      <c r="V996" s="3"/>
    </row>
    <row r="997" spans="1:22">
      <c r="A997" s="3" t="str">
        <f>VLOOKUP(D997,[1]Orc!A:B,2,0)</f>
        <v>Bounced Back Emails</v>
      </c>
      <c r="B997" s="31">
        <f>VLOOKUP(D997,[1]Orc!A:C,3,0)</f>
        <v>42741.73704378472</v>
      </c>
      <c r="C997" s="31">
        <v>42739.742361111108</v>
      </c>
      <c r="D997" s="3">
        <v>3035447112</v>
      </c>
      <c r="E997" s="3" t="s">
        <v>39</v>
      </c>
      <c r="F997" s="3" t="s">
        <v>231</v>
      </c>
      <c r="G997" s="3" t="str">
        <f>VLOOKUP(F997,[1]Mapa!A:B,2,0)</f>
        <v>Lucas Da Silva Pinto</v>
      </c>
      <c r="H997" s="3" t="s">
        <v>230</v>
      </c>
      <c r="I997" s="3" t="e">
        <f>VLOOKUP(H997,[1]Mapa!A:B,2,0)</f>
        <v>#N/A</v>
      </c>
      <c r="J997" s="3" t="s">
        <v>93</v>
      </c>
      <c r="K997" s="3" t="str">
        <f t="shared" si="0"/>
        <v>SKILL DIFERENTE</v>
      </c>
      <c r="L997" s="3" t="s">
        <v>871</v>
      </c>
      <c r="M997" s="3" t="s">
        <v>84</v>
      </c>
      <c r="N997" s="3" t="s">
        <v>71</v>
      </c>
      <c r="O997" s="3" t="s">
        <v>3136</v>
      </c>
      <c r="P997" s="3" t="s">
        <v>867</v>
      </c>
      <c r="Q997" s="31">
        <v>42740</v>
      </c>
      <c r="R997" s="3" t="str">
        <f>IFERROR(VLOOKUP(J997,[1]PL!A:B,2,0),"")</f>
        <v>PSG</v>
      </c>
      <c r="S997" s="3" t="str">
        <f>IFERROR(VLOOKUP(H997,[1]Mapa!A:D,4,0),"")</f>
        <v/>
      </c>
      <c r="T997" s="3"/>
      <c r="U997" s="3"/>
      <c r="V997" s="3"/>
    </row>
    <row r="998" spans="1:22">
      <c r="A998" s="3" t="str">
        <f>VLOOKUP(D998,[1]Orc!A:B,2,0)</f>
        <v>Bounced Back Emails</v>
      </c>
      <c r="B998" s="31">
        <f>VLOOKUP(D998,[1]Orc!A:C,3,0)</f>
        <v>42733.736311956018</v>
      </c>
      <c r="C998" s="31">
        <v>42739.804861111108</v>
      </c>
      <c r="D998" s="3">
        <v>3034938226</v>
      </c>
      <c r="E998" s="3" t="s">
        <v>23</v>
      </c>
      <c r="F998" s="3" t="s">
        <v>137</v>
      </c>
      <c r="G998" s="3" t="str">
        <f>VLOOKUP(F998,[1]Mapa!A:B,2,0)</f>
        <v>Odonilton Firmino de Moura</v>
      </c>
      <c r="H998" s="3" t="s">
        <v>139</v>
      </c>
      <c r="I998" s="3" t="str">
        <f>VLOOKUP(H998,[1]Mapa!A:B,2,0)</f>
        <v>Vanderlei Valentim Vieira</v>
      </c>
      <c r="J998" s="3" t="s">
        <v>93</v>
      </c>
      <c r="K998" s="3" t="str">
        <f t="shared" si="0"/>
        <v>SKILL DIFERENTE</v>
      </c>
      <c r="L998" s="3" t="s">
        <v>871</v>
      </c>
      <c r="M998" s="3" t="s">
        <v>901</v>
      </c>
      <c r="N998" s="3" t="s">
        <v>897</v>
      </c>
      <c r="O998" s="3" t="s">
        <v>3137</v>
      </c>
      <c r="P998" s="3" t="s">
        <v>867</v>
      </c>
      <c r="Q998" s="31">
        <v>42740</v>
      </c>
      <c r="R998" s="3" t="str">
        <f>IFERROR(VLOOKUP(J998,[1]PL!A:B,2,0),"")</f>
        <v>PSG</v>
      </c>
      <c r="S998" s="3" t="str">
        <f>IFERROR(VLOOKUP(H998,[1]Mapa!A:D,4,0),"")</f>
        <v>FUPOTECH</v>
      </c>
      <c r="T998" s="3"/>
      <c r="U998" s="3"/>
      <c r="V998" s="3"/>
    </row>
    <row r="999" spans="1:22">
      <c r="A999" s="3" t="str">
        <f>VLOOKUP(D999,[1]Orc!A:B,2,0)</f>
        <v>Not Responded</v>
      </c>
      <c r="B999" s="31">
        <f>VLOOKUP(D999,[1]Orc!A:C,3,0)</f>
        <v>42742.73709116898</v>
      </c>
      <c r="C999" s="31">
        <v>42740.576388888891</v>
      </c>
      <c r="D999" s="3">
        <v>3035512743</v>
      </c>
      <c r="E999" s="3" t="s">
        <v>31</v>
      </c>
      <c r="F999" s="3" t="s">
        <v>200</v>
      </c>
      <c r="G999" s="3" t="str">
        <f>VLOOKUP(F999,[1]Mapa!A:B,2,0)</f>
        <v>Washington Silva De Oliveira</v>
      </c>
      <c r="H999" s="3" t="s">
        <v>200</v>
      </c>
      <c r="I999" s="3" t="str">
        <f>VLOOKUP(H999,[1]Mapa!A:B,2,0)</f>
        <v>Washington Silva De Oliveira</v>
      </c>
      <c r="J999" s="3" t="s">
        <v>93</v>
      </c>
      <c r="K999" s="3" t="str">
        <f t="shared" si="0"/>
        <v>SKILL IGUAL</v>
      </c>
      <c r="L999" s="3" t="s">
        <v>866</v>
      </c>
      <c r="M999" s="3" t="s">
        <v>59</v>
      </c>
      <c r="N999" s="3" t="s">
        <v>60</v>
      </c>
      <c r="O999" s="3" t="s">
        <v>3149</v>
      </c>
      <c r="P999" s="3" t="s">
        <v>3141</v>
      </c>
      <c r="Q999" s="31">
        <v>42745</v>
      </c>
      <c r="R999" s="3" t="str">
        <f>IFERROR(VLOOKUP(J999,[1]PL!A:B,2,0),"")</f>
        <v>PSG</v>
      </c>
      <c r="S999" s="3" t="str">
        <f>IFERROR(VLOOKUP(H999,[1]Mapa!A:D,4,0),"")</f>
        <v>PSG</v>
      </c>
      <c r="T999" s="3"/>
      <c r="U999" s="3"/>
      <c r="V999" s="3"/>
    </row>
    <row r="1000" spans="1:22">
      <c r="A1000" s="3" t="str">
        <f>VLOOKUP(D1000,[1]Orc!A:B,2,0)</f>
        <v>Sample Rejected</v>
      </c>
      <c r="B1000" s="31">
        <f>VLOOKUP(D1000,[1]Orc!A:C,3,0)</f>
        <v>42741.73704378472</v>
      </c>
      <c r="C1000" s="31">
        <v>42739.820833333331</v>
      </c>
      <c r="D1000" s="3">
        <v>3035484478</v>
      </c>
      <c r="E1000" s="3" t="s">
        <v>39</v>
      </c>
      <c r="F1000" s="3" t="s">
        <v>234</v>
      </c>
      <c r="G1000" s="3" t="str">
        <f>VLOOKUP(F1000,[1]Mapa!A:B,2,0)</f>
        <v>Levi De Sousa Barros</v>
      </c>
      <c r="H1000" s="3" t="s">
        <v>244</v>
      </c>
      <c r="I1000" s="3" t="str">
        <f>VLOOKUP(H1000,[1]Mapa!A:B,2,0)</f>
        <v>Clarina Praxedes Alfredo</v>
      </c>
      <c r="J1000" s="3" t="s">
        <v>100</v>
      </c>
      <c r="K1000" s="3" t="str">
        <f t="shared" si="0"/>
        <v>SKILL IGUAL</v>
      </c>
      <c r="L1000" s="3" t="s">
        <v>866</v>
      </c>
      <c r="M1000" s="3" t="s">
        <v>59</v>
      </c>
      <c r="N1000" s="3" t="s">
        <v>60</v>
      </c>
      <c r="O1000" s="3" t="s">
        <v>123</v>
      </c>
      <c r="P1000" s="3" t="s">
        <v>867</v>
      </c>
      <c r="Q1000" s="31">
        <v>42740</v>
      </c>
      <c r="R1000" s="3" t="str">
        <f>IFERROR(VLOOKUP(J1000,[1]PL!A:B,2,0),"")</f>
        <v>PSG</v>
      </c>
      <c r="S1000" s="3" t="str">
        <f>IFERROR(VLOOKUP(H1000,[1]Mapa!A:D,4,0),"")</f>
        <v>PSG</v>
      </c>
      <c r="T1000" s="3"/>
      <c r="U1000" s="3"/>
      <c r="V1000" s="3"/>
    </row>
    <row r="1001" spans="1:22">
      <c r="A1001" s="3" t="str">
        <f>VLOOKUP(D1001,[1]Orc!A:B,2,0)</f>
        <v>Sample Rejected</v>
      </c>
      <c r="B1001" s="31">
        <f>VLOOKUP(D1001,[1]Orc!A:C,3,0)</f>
        <v>42741.73704378472</v>
      </c>
      <c r="C1001" s="31">
        <v>42739.902777777781</v>
      </c>
      <c r="D1001" s="3">
        <v>3035492298</v>
      </c>
      <c r="E1001" s="3" t="s">
        <v>39</v>
      </c>
      <c r="F1001" s="3" t="s">
        <v>246</v>
      </c>
      <c r="G1001" s="3" t="str">
        <f>VLOOKUP(F1001,[1]Mapa!A:B,2,0)</f>
        <v>Wellington Da Silva De Oliveira</v>
      </c>
      <c r="H1001" s="3" t="s">
        <v>246</v>
      </c>
      <c r="I1001" s="3" t="str">
        <f>VLOOKUP(H1001,[1]Mapa!A:B,2,0)</f>
        <v>Wellington Da Silva De Oliveira</v>
      </c>
      <c r="J1001" s="3" t="s">
        <v>100</v>
      </c>
      <c r="K1001" s="3" t="str">
        <f t="shared" si="0"/>
        <v>SKILL IGUAL</v>
      </c>
      <c r="L1001" s="3" t="s">
        <v>866</v>
      </c>
      <c r="M1001" s="3" t="s">
        <v>70</v>
      </c>
      <c r="N1001" s="3" t="s">
        <v>75</v>
      </c>
      <c r="O1001" s="3" t="s">
        <v>3138</v>
      </c>
      <c r="P1001" s="3" t="s">
        <v>867</v>
      </c>
      <c r="Q1001" s="31">
        <v>42740</v>
      </c>
      <c r="R1001" s="3" t="str">
        <f>IFERROR(VLOOKUP(J1001,[1]PL!A:B,2,0),"")</f>
        <v>PSG</v>
      </c>
      <c r="S1001" s="3" t="str">
        <f>IFERROR(VLOOKUP(H1001,[1]Mapa!A:D,4,0),"")</f>
        <v>PSG</v>
      </c>
      <c r="T1001" s="3"/>
      <c r="U1001" s="3"/>
      <c r="V1001" s="3"/>
    </row>
    <row r="1002" spans="1:22">
      <c r="A1002" s="3" t="str">
        <f>VLOOKUP(D1002,[1]Orc!A:B,2,0)</f>
        <v>Not Responded</v>
      </c>
      <c r="B1002" s="31">
        <f>VLOOKUP(D1002,[1]Orc!A:C,3,0)</f>
        <v>42742.73709116898</v>
      </c>
      <c r="C1002" s="31">
        <v>42740.605555555558</v>
      </c>
      <c r="D1002" s="3">
        <v>3035415039</v>
      </c>
      <c r="E1002" s="3" t="s">
        <v>39</v>
      </c>
      <c r="F1002" s="3" t="s">
        <v>234</v>
      </c>
      <c r="G1002" s="3" t="str">
        <f>VLOOKUP(F1002,[1]Mapa!A:B,2,0)</f>
        <v>Levi De Sousa Barros</v>
      </c>
      <c r="H1002" s="3" t="s">
        <v>238</v>
      </c>
      <c r="I1002" s="3" t="str">
        <f>VLOOKUP(H1002,[1]Mapa!A:B,2,0)</f>
        <v>Fernando Souza De Almeida</v>
      </c>
      <c r="J1002" s="3" t="s">
        <v>93</v>
      </c>
      <c r="K1002" s="3" t="str">
        <f t="shared" si="0"/>
        <v>SKILL DIFERENTE</v>
      </c>
      <c r="L1002" s="3" t="s">
        <v>866</v>
      </c>
      <c r="M1002" s="3" t="s">
        <v>59</v>
      </c>
      <c r="N1002" s="3" t="s">
        <v>60</v>
      </c>
      <c r="O1002" s="3" t="s">
        <v>123</v>
      </c>
      <c r="P1002" s="3" t="s">
        <v>3141</v>
      </c>
      <c r="Q1002" s="31">
        <v>42748</v>
      </c>
      <c r="R1002" s="3" t="str">
        <f>IFERROR(VLOOKUP(J1002,[1]PL!A:B,2,0),"")</f>
        <v>PSG</v>
      </c>
      <c r="S1002" s="3" t="str">
        <f>IFERROR(VLOOKUP(H1002,[1]Mapa!A:D,4,0),"")</f>
        <v>FUPOTECH</v>
      </c>
      <c r="T1002" s="3"/>
      <c r="U1002" s="3"/>
      <c r="V1002" s="3"/>
    </row>
    <row r="1003" spans="1:22">
      <c r="A1003" s="3" t="str">
        <f>VLOOKUP(D1003,[1]Orc!A:B,2,0)</f>
        <v>Completed Surveys</v>
      </c>
      <c r="B1003" s="31">
        <f>VLOOKUP(D1003,[1]Orc!A:C,3,0)</f>
        <v>42741.73704378472</v>
      </c>
      <c r="C1003" s="31">
        <v>42745.829861111109</v>
      </c>
      <c r="D1003" s="3">
        <v>3035181621</v>
      </c>
      <c r="E1003" s="3" t="s">
        <v>23</v>
      </c>
      <c r="F1003" s="3" t="s">
        <v>179</v>
      </c>
      <c r="G1003" s="3" t="str">
        <f>VLOOKUP(F1003,[1]Mapa!A:B,2,0)</f>
        <v>Victor Arruda Do Carmo</v>
      </c>
      <c r="H1003" s="3" t="s">
        <v>139</v>
      </c>
      <c r="I1003" s="3" t="str">
        <f>VLOOKUP(H1003,[1]Mapa!A:B,2,0)</f>
        <v>Vanderlei Valentim Vieira</v>
      </c>
      <c r="J1003" s="3" t="s">
        <v>93</v>
      </c>
      <c r="K1003" s="3" t="str">
        <f t="shared" si="0"/>
        <v>SKILL DIFERENTE</v>
      </c>
      <c r="L1003" s="3" t="s">
        <v>871</v>
      </c>
      <c r="M1003" s="3" t="s">
        <v>844</v>
      </c>
      <c r="N1003" s="3" t="s">
        <v>845</v>
      </c>
      <c r="O1003" s="3" t="s">
        <v>3139</v>
      </c>
      <c r="P1003" s="3" t="s">
        <v>867</v>
      </c>
      <c r="Q1003" s="31">
        <v>42746</v>
      </c>
      <c r="R1003" s="3" t="str">
        <f>IFERROR(VLOOKUP(J1003,[1]PL!A:B,2,0),"")</f>
        <v>PSG</v>
      </c>
      <c r="S1003" s="3" t="str">
        <f>IFERROR(VLOOKUP(H1003,[1]Mapa!A:D,4,0),"")</f>
        <v>FUPOTECH</v>
      </c>
      <c r="T1003" s="3"/>
      <c r="U1003" s="3"/>
      <c r="V1003" s="3"/>
    </row>
    <row r="1004" spans="1:22">
      <c r="A1004" s="3" t="e">
        <f>VLOOKUP(D1004,[1]Orc!A:B,2,0)</f>
        <v>#N/A</v>
      </c>
      <c r="B1004" s="31" t="e">
        <f>VLOOKUP(D1004,[1]Orc!A:C,3,0)</f>
        <v>#N/A</v>
      </c>
      <c r="C1004" s="31">
        <v>42740.418055555558</v>
      </c>
      <c r="D1004" s="3">
        <v>3035482937</v>
      </c>
      <c r="E1004" s="3" t="s">
        <v>204</v>
      </c>
      <c r="F1004" s="3" t="s">
        <v>900</v>
      </c>
      <c r="G1004" s="3" t="str">
        <f>VLOOKUP(F1004,[1]Mapa!A:B,2,0)</f>
        <v>Fernando De Melo Leite</v>
      </c>
      <c r="H1004" s="3" t="s">
        <v>2986</v>
      </c>
      <c r="I1004" s="3" t="str">
        <f>VLOOKUP(H1004,[1]Mapa!A:B,2,0)</f>
        <v>Patrik Ferreira Araujo</v>
      </c>
      <c r="J1004" s="3" t="s">
        <v>3140</v>
      </c>
      <c r="K1004" s="3" t="str">
        <f t="shared" si="0"/>
        <v>SKILL DIFERENTE</v>
      </c>
      <c r="L1004" s="3" t="s">
        <v>871</v>
      </c>
      <c r="M1004" s="3" t="s">
        <v>65</v>
      </c>
      <c r="N1004" s="3" t="s">
        <v>66</v>
      </c>
      <c r="O1004" s="3" t="s">
        <v>65</v>
      </c>
      <c r="P1004" s="3" t="s">
        <v>876</v>
      </c>
      <c r="Q1004" s="31">
        <v>42741</v>
      </c>
      <c r="R1004" s="3" t="str">
        <f>IFERROR(VLOOKUP(J1004,[1]PL!A:B,2,0),"")</f>
        <v/>
      </c>
      <c r="S1004" s="3" t="str">
        <f>IFERROR(VLOOKUP(H1004,[1]Mapa!A:D,4,0),"")</f>
        <v>TCO</v>
      </c>
      <c r="T1004" s="3"/>
      <c r="U1004" s="3"/>
      <c r="V1004" s="3"/>
    </row>
    <row r="1005" spans="1:22">
      <c r="A1005" s="3" t="str">
        <f>VLOOKUP(D1005,[1]Orc!A:B,2,0)</f>
        <v>Completed Surveys</v>
      </c>
      <c r="B1005" s="31">
        <f>VLOOKUP(D1005,[1]Orc!A:C,3,0)</f>
        <v>42742.73709116898</v>
      </c>
      <c r="C1005" s="31">
        <v>42740.491666666669</v>
      </c>
      <c r="D1005" s="3">
        <v>3035476125</v>
      </c>
      <c r="E1005" s="3" t="s">
        <v>31</v>
      </c>
      <c r="F1005" s="3" t="s">
        <v>221</v>
      </c>
      <c r="G1005" s="3" t="str">
        <f>VLOOKUP(F1005,[1]Mapa!A:B,2,0)</f>
        <v>Fabio Perez Da Silva</v>
      </c>
      <c r="H1005" s="3" t="s">
        <v>209</v>
      </c>
      <c r="I1005" s="3" t="str">
        <f>VLOOKUP(H1005,[1]Mapa!A:B,2,0)</f>
        <v>Taina Alexsander Fernandes Pires</v>
      </c>
      <c r="J1005" s="3" t="s">
        <v>93</v>
      </c>
      <c r="K1005" s="3" t="str">
        <f t="shared" si="0"/>
        <v>SKILL DIFERENTE</v>
      </c>
      <c r="L1005" s="3" t="s">
        <v>866</v>
      </c>
      <c r="M1005" s="3" t="s">
        <v>59</v>
      </c>
      <c r="N1005" s="3" t="s">
        <v>60</v>
      </c>
      <c r="O1005" s="3" t="s">
        <v>218</v>
      </c>
      <c r="P1005" s="3" t="s">
        <v>3141</v>
      </c>
      <c r="Q1005" s="31">
        <v>42744</v>
      </c>
      <c r="R1005" s="3" t="str">
        <f>IFERROR(VLOOKUP(J1005,[1]PL!A:B,2,0),"")</f>
        <v>PSG</v>
      </c>
      <c r="S1005" s="3" t="str">
        <f>IFERROR(VLOOKUP(H1005,[1]Mapa!A:D,4,0),"")</f>
        <v>FUPOTECH</v>
      </c>
      <c r="T1005" s="3"/>
      <c r="U1005" s="3"/>
      <c r="V1005" s="3"/>
    </row>
    <row r="1006" spans="1:22">
      <c r="A1006" s="3" t="str">
        <f>VLOOKUP(D1006,[1]Orc!A:B,2,0)</f>
        <v>Completed Surveys</v>
      </c>
      <c r="B1006" s="31">
        <f>VLOOKUP(D1006,[1]Orc!A:C,3,0)</f>
        <v>42740.737851504629</v>
      </c>
      <c r="C1006" s="31">
        <v>42738.390972222223</v>
      </c>
      <c r="D1006" s="3">
        <v>3035400583</v>
      </c>
      <c r="E1006" s="3" t="s">
        <v>31</v>
      </c>
      <c r="F1006" s="3" t="s">
        <v>219</v>
      </c>
      <c r="G1006" s="3" t="str">
        <f>VLOOKUP(F1006,[1]Mapa!A:B,2,0)</f>
        <v>Rafael Dos Santos</v>
      </c>
      <c r="H1006" s="3" t="s">
        <v>206</v>
      </c>
      <c r="I1006" s="3" t="str">
        <f>VLOOKUP(H1006,[1]Mapa!A:B,2,0)</f>
        <v>Alvani Elizabete Aliano de Oliveira</v>
      </c>
      <c r="J1006" s="3" t="s">
        <v>100</v>
      </c>
      <c r="K1006" s="3" t="str">
        <f t="shared" si="0"/>
        <v>SKILL IGUAL</v>
      </c>
      <c r="L1006" s="3" t="s">
        <v>866</v>
      </c>
      <c r="M1006" s="3" t="s">
        <v>59</v>
      </c>
      <c r="N1006" s="3" t="s">
        <v>60</v>
      </c>
      <c r="O1006" s="3" t="s">
        <v>59</v>
      </c>
      <c r="P1006" s="3" t="s">
        <v>876</v>
      </c>
      <c r="Q1006" s="31">
        <v>42739</v>
      </c>
      <c r="R1006" s="3" t="str">
        <f>IFERROR(VLOOKUP(J1006,[1]PL!A:B,2,0),"")</f>
        <v>PSG</v>
      </c>
      <c r="S1006" s="3" t="str">
        <f>IFERROR(VLOOKUP(H1006,[1]Mapa!A:D,4,0),"")</f>
        <v>PSG</v>
      </c>
      <c r="T1006" s="3"/>
      <c r="U1006" s="3"/>
      <c r="V1006" s="3"/>
    </row>
    <row r="1007" spans="1:22">
      <c r="A1007" s="3" t="e">
        <f>VLOOKUP(D1007,[1]Orc!A:B,2,0)</f>
        <v>#N/A</v>
      </c>
      <c r="B1007" s="31" t="e">
        <f>VLOOKUP(D1007,[1]Orc!A:C,3,0)</f>
        <v>#N/A</v>
      </c>
      <c r="C1007" s="31">
        <v>42740.463194444441</v>
      </c>
      <c r="D1007" s="3">
        <v>3035411274</v>
      </c>
      <c r="E1007" s="3" t="s">
        <v>39</v>
      </c>
      <c r="F1007" s="3" t="s">
        <v>231</v>
      </c>
      <c r="G1007" s="3" t="str">
        <f>VLOOKUP(F1007,[1]Mapa!A:B,2,0)</f>
        <v>Lucas Da Silva Pinto</v>
      </c>
      <c r="H1007" s="3" t="s">
        <v>63</v>
      </c>
      <c r="I1007" s="3" t="str">
        <f>VLOOKUP(H1007,[1]Mapa!A:B,2,0)</f>
        <v>Mauricio Guimaraes Renesto</v>
      </c>
      <c r="J1007" s="3" t="s">
        <v>93</v>
      </c>
      <c r="K1007" s="3" t="str">
        <f t="shared" si="0"/>
        <v>SKILL DIFERENTE</v>
      </c>
      <c r="L1007" s="3" t="s">
        <v>871</v>
      </c>
      <c r="M1007" s="3" t="s">
        <v>65</v>
      </c>
      <c r="N1007" s="3" t="s">
        <v>66</v>
      </c>
      <c r="O1007" s="3" t="s">
        <v>65</v>
      </c>
      <c r="P1007" s="3" t="s">
        <v>876</v>
      </c>
      <c r="Q1007" s="31">
        <v>42741</v>
      </c>
      <c r="R1007" s="3" t="str">
        <f>IFERROR(VLOOKUP(J1007,[1]PL!A:B,2,0),"")</f>
        <v>PSG</v>
      </c>
      <c r="S1007" s="3" t="str">
        <f>IFERROR(VLOOKUP(H1007,[1]Mapa!A:D,4,0),"")</f>
        <v>TCO</v>
      </c>
      <c r="T1007" s="3"/>
      <c r="U1007" s="3"/>
      <c r="V1007" s="3"/>
    </row>
    <row r="1008" spans="1:22">
      <c r="A1008" s="3" t="str">
        <f>VLOOKUP(D1008,[1]Orc!A:B,2,0)</f>
        <v>Not Responded</v>
      </c>
      <c r="B1008" s="31">
        <f>VLOOKUP(D1008,[1]Orc!A:C,3,0)</f>
        <v>42742.73709116898</v>
      </c>
      <c r="C1008" s="31">
        <v>42740.46875</v>
      </c>
      <c r="D1008" s="3">
        <v>3035481301</v>
      </c>
      <c r="E1008" s="3" t="s">
        <v>31</v>
      </c>
      <c r="F1008" s="3" t="s">
        <v>145</v>
      </c>
      <c r="G1008" s="3" t="str">
        <f>VLOOKUP(F1008,[1]Mapa!A:B,2,0)</f>
        <v>Erico Luan de Jesus Silva</v>
      </c>
      <c r="H1008" s="3" t="s">
        <v>209</v>
      </c>
      <c r="I1008" s="3" t="str">
        <f>VLOOKUP(H1008,[1]Mapa!A:B,2,0)</f>
        <v>Taina Alexsander Fernandes Pires</v>
      </c>
      <c r="J1008" s="3" t="s">
        <v>100</v>
      </c>
      <c r="K1008" s="3" t="str">
        <f t="shared" si="0"/>
        <v>SKILL DIFERENTE</v>
      </c>
      <c r="L1008" s="3" t="s">
        <v>866</v>
      </c>
      <c r="M1008" s="3" t="s">
        <v>70</v>
      </c>
      <c r="N1008" s="3" t="s">
        <v>71</v>
      </c>
      <c r="O1008" s="3" t="s">
        <v>3142</v>
      </c>
      <c r="P1008" s="3" t="s">
        <v>867</v>
      </c>
      <c r="Q1008" s="31">
        <v>42745</v>
      </c>
      <c r="R1008" s="3" t="str">
        <f>IFERROR(VLOOKUP(J1008,[1]PL!A:B,2,0),"")</f>
        <v>PSG</v>
      </c>
      <c r="S1008" s="3" t="str">
        <f>IFERROR(VLOOKUP(H1008,[1]Mapa!A:D,4,0),"")</f>
        <v>FUPOTECH</v>
      </c>
      <c r="T1008" s="3"/>
      <c r="U1008" s="3"/>
      <c r="V1008" s="3" t="s">
        <v>867</v>
      </c>
    </row>
    <row r="1009" spans="1:22">
      <c r="A1009" s="3" t="str">
        <f>VLOOKUP(D1009,[1]Orc!A:B,2,0)</f>
        <v>Bounced Back Emails</v>
      </c>
      <c r="B1009" s="31">
        <f>VLOOKUP(D1009,[1]Orc!A:C,3,0)</f>
        <v>42743.735176273149</v>
      </c>
      <c r="C1009" s="31">
        <v>42740.47152777778</v>
      </c>
      <c r="D1009" s="3">
        <v>3035508162</v>
      </c>
      <c r="E1009" s="3" t="s">
        <v>31</v>
      </c>
      <c r="F1009" s="3" t="s">
        <v>200</v>
      </c>
      <c r="G1009" s="3" t="str">
        <f>VLOOKUP(F1009,[1]Mapa!A:B,2,0)</f>
        <v>Washington Silva De Oliveira</v>
      </c>
      <c r="H1009" s="3" t="s">
        <v>200</v>
      </c>
      <c r="I1009" s="3" t="str">
        <f>VLOOKUP(H1009,[1]Mapa!A:B,2,0)</f>
        <v>Washington Silva De Oliveira</v>
      </c>
      <c r="J1009" s="3" t="s">
        <v>100</v>
      </c>
      <c r="K1009" s="3" t="str">
        <f t="shared" si="0"/>
        <v>SKILL IGUAL</v>
      </c>
      <c r="L1009" s="3" t="s">
        <v>866</v>
      </c>
      <c r="M1009" s="3" t="s">
        <v>59</v>
      </c>
      <c r="N1009" s="3" t="s">
        <v>60</v>
      </c>
      <c r="O1009" s="3" t="s">
        <v>3143</v>
      </c>
      <c r="P1009" s="3" t="s">
        <v>876</v>
      </c>
      <c r="Q1009" s="31">
        <v>42741</v>
      </c>
      <c r="R1009" s="3" t="str">
        <f>IFERROR(VLOOKUP(J1009,[1]PL!A:B,2,0),"")</f>
        <v>PSG</v>
      </c>
      <c r="S1009" s="3" t="str">
        <f>IFERROR(VLOOKUP(H1009,[1]Mapa!A:D,4,0),"")</f>
        <v>PSG</v>
      </c>
      <c r="T1009" s="3"/>
      <c r="U1009" s="3"/>
      <c r="V1009" s="3"/>
    </row>
    <row r="1010" spans="1:22">
      <c r="A1010" s="3" t="str">
        <f>VLOOKUP(D1010,[1]Orc!A:B,2,0)</f>
        <v>Completed Surveys</v>
      </c>
      <c r="B1010" s="31">
        <f>VLOOKUP(D1010,[1]Orc!A:C,3,0)</f>
        <v>42740.737851504629</v>
      </c>
      <c r="C1010" s="31">
        <v>42738.412499999999</v>
      </c>
      <c r="D1010" s="3">
        <v>3035431593</v>
      </c>
      <c r="E1010" s="3" t="s">
        <v>31</v>
      </c>
      <c r="F1010" s="3" t="s">
        <v>202</v>
      </c>
      <c r="G1010" s="3" t="str">
        <f>VLOOKUP(F1010,[1]Mapa!A:B,2,0)</f>
        <v>Joao Paulo Yasuda</v>
      </c>
      <c r="H1010" s="3" t="s">
        <v>202</v>
      </c>
      <c r="I1010" s="3" t="str">
        <f>VLOOKUP(H1010,[1]Mapa!A:B,2,0)</f>
        <v>Joao Paulo Yasuda</v>
      </c>
      <c r="J1010" s="3" t="s">
        <v>100</v>
      </c>
      <c r="K1010" s="3" t="str">
        <f t="shared" si="0"/>
        <v>SKILL DIFERENTE</v>
      </c>
      <c r="L1010" s="3" t="s">
        <v>866</v>
      </c>
      <c r="M1010" s="3" t="s">
        <v>59</v>
      </c>
      <c r="N1010" s="3" t="s">
        <v>60</v>
      </c>
      <c r="O1010" s="3" t="s">
        <v>59</v>
      </c>
      <c r="P1010" s="3" t="s">
        <v>876</v>
      </c>
      <c r="Q1010" s="31">
        <v>42739</v>
      </c>
      <c r="R1010" s="3" t="str">
        <f>IFERROR(VLOOKUP(J1010,[1]PL!A:B,2,0),"")</f>
        <v>PSG</v>
      </c>
      <c r="S1010" s="3" t="str">
        <f>IFERROR(VLOOKUP(H1010,[1]Mapa!A:D,4,0),"")</f>
        <v>IPG</v>
      </c>
      <c r="T1010" s="3" t="s">
        <v>3144</v>
      </c>
      <c r="U1010" s="3"/>
      <c r="V1010" s="3"/>
    </row>
    <row r="1011" spans="1:22">
      <c r="A1011" s="3" t="str">
        <f>VLOOKUP(D1011,[1]Orc!A:B,2,0)</f>
        <v>Completed Surveys</v>
      </c>
      <c r="B1011" s="31">
        <f>VLOOKUP(D1011,[1]Orc!A:C,3,0)</f>
        <v>42740.737851504629</v>
      </c>
      <c r="C1011" s="31">
        <v>42738.504861111112</v>
      </c>
      <c r="D1011" s="3">
        <v>3035401367</v>
      </c>
      <c r="E1011" s="3" t="s">
        <v>9</v>
      </c>
      <c r="F1011" s="3" t="s">
        <v>107</v>
      </c>
      <c r="G1011" s="3" t="str">
        <f>VLOOKUP(F1011,[1]Mapa!A:B,2,0)</f>
        <v>Luciana Souza Pereira</v>
      </c>
      <c r="H1011" s="3" t="s">
        <v>89</v>
      </c>
      <c r="I1011" s="3" t="str">
        <f>VLOOKUP(H1011,[1]Mapa!A:B,2,0)</f>
        <v>Ivanildo Cavalcante De Souza Junior</v>
      </c>
      <c r="J1011" s="3" t="s">
        <v>93</v>
      </c>
      <c r="K1011" s="3" t="str">
        <f t="shared" ref="K1011:K1074" si="1">IFERROR(IF(S1011=R1011,"SKILL IGUAL","SKILL DIFERENTE"),"-")</f>
        <v>SKILL DIFERENTE</v>
      </c>
      <c r="L1011" s="3" t="s">
        <v>866</v>
      </c>
      <c r="M1011" s="3" t="s">
        <v>59</v>
      </c>
      <c r="N1011" s="3" t="s">
        <v>60</v>
      </c>
      <c r="O1011" s="3" t="s">
        <v>182</v>
      </c>
      <c r="P1011" s="3" t="s">
        <v>876</v>
      </c>
      <c r="Q1011" s="31">
        <v>42739</v>
      </c>
      <c r="R1011" s="3" t="str">
        <f>IFERROR(VLOOKUP(J1011,[1]PL!A:B,2,0),"")</f>
        <v>PSG</v>
      </c>
      <c r="S1011" s="3" t="str">
        <f>IFERROR(VLOOKUP(H1011,[1]Mapa!A:D,4,0),"")</f>
        <v>FUPOTECH</v>
      </c>
      <c r="T1011" s="3"/>
      <c r="U1011" s="3"/>
      <c r="V1011" s="3"/>
    </row>
    <row r="1012" spans="1:22">
      <c r="A1012" s="3" t="str">
        <f>VLOOKUP(D1012,[1]Orc!A:B,2,0)</f>
        <v>Completed Surveys</v>
      </c>
      <c r="B1012" s="31">
        <f>VLOOKUP(D1012,[1]Orc!A:C,3,0)</f>
        <v>42740.737851504629</v>
      </c>
      <c r="C1012" s="31">
        <v>42738.579861111109</v>
      </c>
      <c r="D1012" s="3">
        <v>3035367594</v>
      </c>
      <c r="E1012" s="3" t="s">
        <v>39</v>
      </c>
      <c r="F1012" s="3" t="s">
        <v>231</v>
      </c>
      <c r="G1012" s="3" t="str">
        <f>VLOOKUP(F1012,[1]Mapa!A:B,2,0)</f>
        <v>Lucas Da Silva Pinto</v>
      </c>
      <c r="H1012" s="3" t="s">
        <v>238</v>
      </c>
      <c r="I1012" s="3" t="str">
        <f>VLOOKUP(H1012,[1]Mapa!A:B,2,0)</f>
        <v>Fernando Souza De Almeida</v>
      </c>
      <c r="J1012" s="3" t="s">
        <v>93</v>
      </c>
      <c r="K1012" s="3" t="str">
        <f t="shared" si="1"/>
        <v>SKILL DIFERENTE</v>
      </c>
      <c r="L1012" s="3" t="s">
        <v>866</v>
      </c>
      <c r="M1012" s="3" t="s">
        <v>59</v>
      </c>
      <c r="N1012" s="3" t="s">
        <v>60</v>
      </c>
      <c r="O1012" s="3" t="s">
        <v>182</v>
      </c>
      <c r="P1012" s="3" t="s">
        <v>876</v>
      </c>
      <c r="Q1012" s="31">
        <v>42739</v>
      </c>
      <c r="R1012" s="3" t="str">
        <f>IFERROR(VLOOKUP(J1012,[1]PL!A:B,2,0),"")</f>
        <v>PSG</v>
      </c>
      <c r="S1012" s="3" t="str">
        <f>IFERROR(VLOOKUP(H1012,[1]Mapa!A:D,4,0),"")</f>
        <v>FUPOTECH</v>
      </c>
      <c r="T1012" s="3"/>
      <c r="U1012" s="3"/>
      <c r="V1012" s="3"/>
    </row>
    <row r="1013" spans="1:22">
      <c r="A1013" s="3" t="str">
        <f>VLOOKUP(D1013,[1]Orc!A:B,2,0)</f>
        <v>Sample Rejected</v>
      </c>
      <c r="B1013" s="31">
        <f>VLOOKUP(D1013,[1]Orc!A:C,3,0)</f>
        <v>42742.73709116898</v>
      </c>
      <c r="C1013" s="31">
        <v>42740.543749999997</v>
      </c>
      <c r="D1013" s="3">
        <v>3035510708</v>
      </c>
      <c r="E1013" s="3" t="s">
        <v>31</v>
      </c>
      <c r="F1013" s="3" t="s">
        <v>216</v>
      </c>
      <c r="G1013" s="3" t="str">
        <f>VLOOKUP(F1013,[1]Mapa!A:B,2,0)</f>
        <v>Lucas Almeida Dos Santos</v>
      </c>
      <c r="H1013" s="3" t="s">
        <v>216</v>
      </c>
      <c r="I1013" s="3" t="str">
        <f>VLOOKUP(H1013,[1]Mapa!A:B,2,0)</f>
        <v>Lucas Almeida Dos Santos</v>
      </c>
      <c r="J1013" s="3" t="s">
        <v>93</v>
      </c>
      <c r="K1013" s="3" t="str">
        <f t="shared" si="1"/>
        <v>SKILL IGUAL</v>
      </c>
      <c r="L1013" s="3" t="s">
        <v>871</v>
      </c>
      <c r="M1013" s="3" t="s">
        <v>932</v>
      </c>
      <c r="N1013" s="3" t="s">
        <v>85</v>
      </c>
      <c r="O1013" s="3" t="s">
        <v>3145</v>
      </c>
      <c r="P1013" s="3" t="s">
        <v>876</v>
      </c>
      <c r="Q1013" s="31">
        <v>42741</v>
      </c>
      <c r="R1013" s="3" t="str">
        <f>IFERROR(VLOOKUP(J1013,[1]PL!A:B,2,0),"")</f>
        <v>PSG</v>
      </c>
      <c r="S1013" s="3" t="str">
        <f>IFERROR(VLOOKUP(H1013,[1]Mapa!A:D,4,0),"")</f>
        <v>PSG</v>
      </c>
      <c r="T1013" s="3"/>
      <c r="U1013" s="3"/>
      <c r="V1013" s="3"/>
    </row>
    <row r="1014" spans="1:22">
      <c r="A1014" s="3" t="str">
        <f>VLOOKUP(D1014,[1]Orc!A:B,2,0)</f>
        <v>Sample Rejected</v>
      </c>
      <c r="B1014" s="31">
        <f>VLOOKUP(D1014,[1]Orc!A:C,3,0)</f>
        <v>42742.73709116898</v>
      </c>
      <c r="C1014" s="31">
        <v>42740.54583333333</v>
      </c>
      <c r="D1014" s="3">
        <v>3035511152</v>
      </c>
      <c r="E1014" s="3" t="s">
        <v>9</v>
      </c>
      <c r="F1014" s="3" t="s">
        <v>94</v>
      </c>
      <c r="G1014" s="3" t="str">
        <f>VLOOKUP(F1014,[1]Mapa!A:B,2,0)</f>
        <v>Henrique Eulalio De Sousa</v>
      </c>
      <c r="H1014" s="3" t="s">
        <v>94</v>
      </c>
      <c r="I1014" s="3" t="str">
        <f>VLOOKUP(H1014,[1]Mapa!A:B,2,0)</f>
        <v>Henrique Eulalio De Sousa</v>
      </c>
      <c r="J1014" s="3" t="s">
        <v>93</v>
      </c>
      <c r="K1014" s="3" t="str">
        <f t="shared" si="1"/>
        <v>SKILL DIFERENTE</v>
      </c>
      <c r="L1014" s="3" t="s">
        <v>871</v>
      </c>
      <c r="M1014" s="3" t="s">
        <v>932</v>
      </c>
      <c r="N1014" s="3" t="s">
        <v>881</v>
      </c>
      <c r="O1014" s="3" t="s">
        <v>3146</v>
      </c>
      <c r="P1014" s="3" t="s">
        <v>876</v>
      </c>
      <c r="Q1014" s="31">
        <v>42741</v>
      </c>
      <c r="R1014" s="3" t="str">
        <f>IFERROR(VLOOKUP(J1014,[1]PL!A:B,2,0),"")</f>
        <v>PSG</v>
      </c>
      <c r="S1014" s="3" t="str">
        <f>IFERROR(VLOOKUP(H1014,[1]Mapa!A:D,4,0),"")</f>
        <v>IPG</v>
      </c>
      <c r="T1014" s="3"/>
      <c r="U1014" s="3"/>
      <c r="V1014" s="3"/>
    </row>
    <row r="1015" spans="1:22">
      <c r="A1015" s="3" t="e">
        <f>VLOOKUP(D1015,[1]Orc!A:B,2,0)</f>
        <v>#N/A</v>
      </c>
      <c r="B1015" s="31" t="e">
        <f>VLOOKUP(D1015,[1]Orc!A:C,3,0)</f>
        <v>#N/A</v>
      </c>
      <c r="C1015" s="31">
        <v>42740.556944444441</v>
      </c>
      <c r="D1015" s="3">
        <v>3035133770</v>
      </c>
      <c r="E1015" s="3" t="s">
        <v>31</v>
      </c>
      <c r="F1015" s="3" t="s">
        <v>145</v>
      </c>
      <c r="G1015" s="3" t="str">
        <f>VLOOKUP(F1015,[1]Mapa!A:B,2,0)</f>
        <v>Erico Luan de Jesus Silva</v>
      </c>
      <c r="H1015" s="3" t="s">
        <v>151</v>
      </c>
      <c r="I1015" s="3" t="str">
        <f>VLOOKUP(H1015,[1]Mapa!A:B,2,0)</f>
        <v>Gilmar Alves Gomes</v>
      </c>
      <c r="J1015" s="3" t="s">
        <v>100</v>
      </c>
      <c r="K1015" s="3" t="str">
        <f t="shared" si="1"/>
        <v>SKILL DIFERENTE</v>
      </c>
      <c r="L1015" s="3" t="s">
        <v>871</v>
      </c>
      <c r="M1015" s="3" t="s">
        <v>65</v>
      </c>
      <c r="N1015" s="3" t="s">
        <v>66</v>
      </c>
      <c r="O1015" s="3" t="s">
        <v>65</v>
      </c>
      <c r="P1015" s="3" t="s">
        <v>876</v>
      </c>
      <c r="Q1015" s="31">
        <v>42741</v>
      </c>
      <c r="R1015" s="3" t="str">
        <f>IFERROR(VLOOKUP(J1015,[1]PL!A:B,2,0),"")</f>
        <v>PSG</v>
      </c>
      <c r="S1015" s="3" t="str">
        <f>IFERROR(VLOOKUP(H1015,[1]Mapa!A:D,4,0),"")</f>
        <v>TCO</v>
      </c>
      <c r="T1015" s="3"/>
      <c r="U1015" s="3"/>
      <c r="V1015" s="3"/>
    </row>
    <row r="1016" spans="1:22">
      <c r="A1016" s="3" t="str">
        <f>VLOOKUP(D1016,[1]Orc!A:B,2,0)</f>
        <v>Completed Surveys</v>
      </c>
      <c r="B1016" s="31">
        <f>VLOOKUP(D1016,[1]Orc!A:C,3,0)</f>
        <v>42742.73709116898</v>
      </c>
      <c r="C1016" s="31">
        <v>42740.566666666666</v>
      </c>
      <c r="D1016" s="3">
        <v>3035484884</v>
      </c>
      <c r="E1016" s="3" t="s">
        <v>39</v>
      </c>
      <c r="F1016" s="3" t="s">
        <v>225</v>
      </c>
      <c r="G1016" s="3" t="str">
        <f>VLOOKUP(F1016,[1]Mapa!A:B,2,0)</f>
        <v>Eduardo Paixao Oliveira</v>
      </c>
      <c r="H1016" s="3" t="s">
        <v>238</v>
      </c>
      <c r="I1016" s="3" t="str">
        <f>VLOOKUP(H1016,[1]Mapa!A:B,2,0)</f>
        <v>Fernando Souza De Almeida</v>
      </c>
      <c r="J1016" s="3" t="s">
        <v>93</v>
      </c>
      <c r="K1016" s="3" t="str">
        <f t="shared" si="1"/>
        <v>SKILL DIFERENTE</v>
      </c>
      <c r="L1016" s="3" t="s">
        <v>866</v>
      </c>
      <c r="M1016" s="3" t="s">
        <v>59</v>
      </c>
      <c r="N1016" s="3" t="s">
        <v>60</v>
      </c>
      <c r="O1016" s="3" t="s">
        <v>3147</v>
      </c>
      <c r="P1016" s="3" t="s">
        <v>3141</v>
      </c>
      <c r="Q1016" s="31">
        <v>42748</v>
      </c>
      <c r="R1016" s="3" t="str">
        <f>IFERROR(VLOOKUP(J1016,[1]PL!A:B,2,0),"")</f>
        <v>PSG</v>
      </c>
      <c r="S1016" s="3" t="str">
        <f>IFERROR(VLOOKUP(H1016,[1]Mapa!A:D,4,0),"")</f>
        <v>FUPOTECH</v>
      </c>
      <c r="T1016" s="3"/>
      <c r="U1016" s="3" t="s">
        <v>3148</v>
      </c>
      <c r="V1016" s="3"/>
    </row>
    <row r="1017" spans="1:22">
      <c r="A1017" s="3" t="str">
        <f>VLOOKUP(D1017,[1]Orc!A:B,2,0)</f>
        <v>Not Responded</v>
      </c>
      <c r="B1017" s="31">
        <f>VLOOKUP(D1017,[1]Orc!A:C,3,0)</f>
        <v>42742.73709116898</v>
      </c>
      <c r="C1017" s="31">
        <v>42740.688888888886</v>
      </c>
      <c r="D1017" s="3">
        <v>3035484571</v>
      </c>
      <c r="E1017" s="3" t="s">
        <v>39</v>
      </c>
      <c r="F1017" s="3" t="s">
        <v>250</v>
      </c>
      <c r="G1017" s="3" t="str">
        <f>VLOOKUP(F1017,[1]Mapa!A:B,2,0)</f>
        <v>Filipe Augusto Fernandes De Oliveira</v>
      </c>
      <c r="H1017" s="3" t="s">
        <v>238</v>
      </c>
      <c r="I1017" s="3" t="str">
        <f>VLOOKUP(H1017,[1]Mapa!A:B,2,0)</f>
        <v>Fernando Souza De Almeida</v>
      </c>
      <c r="J1017" s="3" t="s">
        <v>100</v>
      </c>
      <c r="K1017" s="3" t="str">
        <f t="shared" si="1"/>
        <v>SKILL DIFERENTE</v>
      </c>
      <c r="L1017" s="3" t="s">
        <v>866</v>
      </c>
      <c r="M1017" s="3" t="s">
        <v>59</v>
      </c>
      <c r="N1017" s="3" t="s">
        <v>60</v>
      </c>
      <c r="O1017" s="3" t="s">
        <v>59</v>
      </c>
      <c r="P1017" s="3" t="s">
        <v>876</v>
      </c>
      <c r="Q1017" s="31">
        <v>42744</v>
      </c>
      <c r="R1017" s="3" t="str">
        <f>IFERROR(VLOOKUP(J1017,[1]PL!A:B,2,0),"")</f>
        <v>PSG</v>
      </c>
      <c r="S1017" s="3" t="str">
        <f>IFERROR(VLOOKUP(H1017,[1]Mapa!A:D,4,0),"")</f>
        <v>FUPOTECH</v>
      </c>
      <c r="T1017" s="3" t="s">
        <v>3655</v>
      </c>
      <c r="U1017" s="3"/>
      <c r="V1017" s="3"/>
    </row>
    <row r="1018" spans="1:22">
      <c r="A1018" s="3" t="str">
        <f>VLOOKUP(D1018,[1]Orc!A:B,2,0)</f>
        <v>Bounced Back Emails</v>
      </c>
      <c r="B1018" s="31">
        <f>VLOOKUP(D1018,[1]Orc!A:C,3,0)</f>
        <v>42742.73709116898</v>
      </c>
      <c r="C1018" s="31">
        <v>42740.584027777775</v>
      </c>
      <c r="D1018" s="3">
        <v>3035265402</v>
      </c>
      <c r="E1018" s="3" t="s">
        <v>39</v>
      </c>
      <c r="F1018" s="3" t="s">
        <v>240</v>
      </c>
      <c r="G1018" s="3" t="str">
        <f>VLOOKUP(F1018,[1]Mapa!A:B,2,0)</f>
        <v>Renato Da Silva Andrade</v>
      </c>
      <c r="H1018" s="3" t="s">
        <v>230</v>
      </c>
      <c r="I1018" s="3" t="e">
        <f>VLOOKUP(H1018,[1]Mapa!A:B,2,0)</f>
        <v>#N/A</v>
      </c>
      <c r="J1018" s="3" t="s">
        <v>93</v>
      </c>
      <c r="K1018" s="3" t="str">
        <f t="shared" si="1"/>
        <v>SKILL DIFERENTE</v>
      </c>
      <c r="L1018" s="3" t="s">
        <v>871</v>
      </c>
      <c r="M1018" s="3" t="s">
        <v>932</v>
      </c>
      <c r="N1018" s="3" t="s">
        <v>85</v>
      </c>
      <c r="O1018" s="3" t="s">
        <v>3150</v>
      </c>
      <c r="P1018" s="3" t="s">
        <v>876</v>
      </c>
      <c r="Q1018" s="31">
        <v>42741</v>
      </c>
      <c r="R1018" s="3" t="str">
        <f>IFERROR(VLOOKUP(J1018,[1]PL!A:B,2,0),"")</f>
        <v>PSG</v>
      </c>
      <c r="S1018" s="3" t="str">
        <f>IFERROR(VLOOKUP(H1018,[1]Mapa!A:D,4,0),"")</f>
        <v/>
      </c>
      <c r="T1018" s="3"/>
      <c r="U1018" s="3"/>
      <c r="V1018" s="3"/>
    </row>
    <row r="1019" spans="1:22">
      <c r="A1019" s="3" t="str">
        <f>VLOOKUP(D1019,[1]Orc!A:B,2,0)</f>
        <v>Not Responded</v>
      </c>
      <c r="B1019" s="31">
        <f>VLOOKUP(D1019,[1]Orc!A:C,3,0)</f>
        <v>42742.73709116898</v>
      </c>
      <c r="C1019" s="31">
        <v>42740.711805555555</v>
      </c>
      <c r="D1019" s="3">
        <v>3035520028</v>
      </c>
      <c r="E1019" s="3" t="s">
        <v>39</v>
      </c>
      <c r="F1019" s="3" t="s">
        <v>246</v>
      </c>
      <c r="G1019" s="3" t="str">
        <f>VLOOKUP(F1019,[1]Mapa!A:B,2,0)</f>
        <v>Wellington Da Silva De Oliveira</v>
      </c>
      <c r="H1019" s="3" t="s">
        <v>246</v>
      </c>
      <c r="I1019" s="3" t="str">
        <f>VLOOKUP(H1019,[1]Mapa!A:B,2,0)</f>
        <v>Wellington Da Silva De Oliveira</v>
      </c>
      <c r="J1019" s="3" t="s">
        <v>100</v>
      </c>
      <c r="K1019" s="3" t="str">
        <f t="shared" si="1"/>
        <v>SKILL IGUAL</v>
      </c>
      <c r="L1019" s="3" t="s">
        <v>866</v>
      </c>
      <c r="M1019" s="3" t="s">
        <v>59</v>
      </c>
      <c r="N1019" s="3" t="s">
        <v>60</v>
      </c>
      <c r="O1019" s="3" t="s">
        <v>123</v>
      </c>
      <c r="P1019" s="3" t="s">
        <v>867</v>
      </c>
      <c r="Q1019" s="31">
        <v>42747</v>
      </c>
      <c r="R1019" s="3" t="str">
        <f>IFERROR(VLOOKUP(J1019,[1]PL!A:B,2,0),"")</f>
        <v>PSG</v>
      </c>
      <c r="S1019" s="3" t="str">
        <f>IFERROR(VLOOKUP(H1019,[1]Mapa!A:D,4,0),"")</f>
        <v>PSG</v>
      </c>
      <c r="T1019" s="3"/>
      <c r="U1019" s="3"/>
      <c r="V1019" s="3"/>
    </row>
    <row r="1020" spans="1:22">
      <c r="A1020" s="3" t="str">
        <f>VLOOKUP(D1020,[1]Orc!A:B,2,0)</f>
        <v>Completed Surveys</v>
      </c>
      <c r="B1020" s="31">
        <f>VLOOKUP(D1020,[1]Orc!A:C,3,0)</f>
        <v>42740.737851504629</v>
      </c>
      <c r="C1020" s="31">
        <v>42738.604166666664</v>
      </c>
      <c r="D1020" s="3">
        <v>3035438302</v>
      </c>
      <c r="E1020" s="3" t="s">
        <v>39</v>
      </c>
      <c r="F1020" s="3" t="s">
        <v>240</v>
      </c>
      <c r="G1020" s="3" t="str">
        <f>VLOOKUP(F1020,[1]Mapa!A:B,2,0)</f>
        <v>Renato Da Silva Andrade</v>
      </c>
      <c r="H1020" s="3" t="s">
        <v>240</v>
      </c>
      <c r="I1020" s="3" t="str">
        <f>VLOOKUP(H1020,[1]Mapa!A:B,2,0)</f>
        <v>Renato Da Silva Andrade</v>
      </c>
      <c r="J1020" s="3" t="s">
        <v>100</v>
      </c>
      <c r="K1020" s="3" t="str">
        <f t="shared" si="1"/>
        <v>SKILL IGUAL</v>
      </c>
      <c r="L1020" s="3" t="s">
        <v>866</v>
      </c>
      <c r="M1020" s="3" t="s">
        <v>59</v>
      </c>
      <c r="N1020" s="3" t="s">
        <v>60</v>
      </c>
      <c r="O1020" s="3" t="s">
        <v>182</v>
      </c>
      <c r="P1020" s="3" t="s">
        <v>876</v>
      </c>
      <c r="Q1020" s="31">
        <v>42739</v>
      </c>
      <c r="R1020" s="3" t="str">
        <f>IFERROR(VLOOKUP(J1020,[1]PL!A:B,2,0),"")</f>
        <v>PSG</v>
      </c>
      <c r="S1020" s="3" t="str">
        <f>IFERROR(VLOOKUP(H1020,[1]Mapa!A:D,4,0),"")</f>
        <v>PSG</v>
      </c>
      <c r="T1020" s="3"/>
      <c r="U1020" s="3"/>
      <c r="V1020" s="3"/>
    </row>
    <row r="1021" spans="1:22">
      <c r="A1021" s="3" t="e">
        <f>VLOOKUP(D1021,[1]Orc!A:B,2,0)</f>
        <v>#N/A</v>
      </c>
      <c r="B1021" s="31" t="e">
        <f>VLOOKUP(D1021,[1]Orc!A:C,3,0)</f>
        <v>#N/A</v>
      </c>
      <c r="C1021" s="31">
        <v>42740.620138888888</v>
      </c>
      <c r="D1021" s="3">
        <v>3035433063</v>
      </c>
      <c r="E1021" s="3" t="s">
        <v>204</v>
      </c>
      <c r="F1021" s="3" t="s">
        <v>103</v>
      </c>
      <c r="G1021" s="3" t="str">
        <f>VLOOKUP(F1021,[1]Mapa!A:B,2,0)</f>
        <v>Anderson Soares Silveira</v>
      </c>
      <c r="H1021" s="3" t="s">
        <v>103</v>
      </c>
      <c r="I1021" s="3" t="str">
        <f>VLOOKUP(H1021,[1]Mapa!A:B,2,0)</f>
        <v>Anderson Soares Silveira</v>
      </c>
      <c r="J1021" s="3" t="s">
        <v>100</v>
      </c>
      <c r="K1021" s="3" t="str">
        <f t="shared" si="1"/>
        <v>SKILL DIFERENTE</v>
      </c>
      <c r="L1021" s="3" t="s">
        <v>871</v>
      </c>
      <c r="M1021" s="3" t="s">
        <v>65</v>
      </c>
      <c r="N1021" s="3" t="s">
        <v>66</v>
      </c>
      <c r="O1021" s="3" t="s">
        <v>885</v>
      </c>
      <c r="P1021" s="3" t="s">
        <v>3141</v>
      </c>
      <c r="Q1021" s="31">
        <v>42744</v>
      </c>
      <c r="R1021" s="3" t="str">
        <f>IFERROR(VLOOKUP(J1021,[1]PL!A:B,2,0),"")</f>
        <v>PSG</v>
      </c>
      <c r="S1021" s="3" t="str">
        <f>IFERROR(VLOOKUP(H1021,[1]Mapa!A:D,4,0),"")</f>
        <v>TCO</v>
      </c>
      <c r="T1021" s="3"/>
      <c r="U1021" s="3"/>
      <c r="V1021" s="3"/>
    </row>
    <row r="1022" spans="1:22">
      <c r="A1022" s="3" t="str">
        <f>VLOOKUP(D1022,[1]Orc!A:B,2,0)</f>
        <v>Not Responded</v>
      </c>
      <c r="B1022" s="31">
        <f>VLOOKUP(D1022,[1]Orc!A:C,3,0)</f>
        <v>42742.737116122684</v>
      </c>
      <c r="C1022" s="31">
        <v>42740.625</v>
      </c>
      <c r="D1022" s="3">
        <v>3035470541</v>
      </c>
      <c r="E1022" s="3" t="s">
        <v>31</v>
      </c>
      <c r="F1022" s="3" t="s">
        <v>219</v>
      </c>
      <c r="G1022" s="3" t="str">
        <f>VLOOKUP(F1022,[1]Mapa!A:B,2,0)</f>
        <v>Rafael Dos Santos</v>
      </c>
      <c r="H1022" s="3" t="s">
        <v>63</v>
      </c>
      <c r="I1022" s="3" t="str">
        <f>VLOOKUP(H1022,[1]Mapa!A:B,2,0)</f>
        <v>Mauricio Guimaraes Renesto</v>
      </c>
      <c r="J1022" s="3" t="s">
        <v>93</v>
      </c>
      <c r="K1022" s="3" t="str">
        <f t="shared" si="1"/>
        <v>SKILL DIFERENTE</v>
      </c>
      <c r="L1022" s="3" t="s">
        <v>871</v>
      </c>
      <c r="M1022" s="3" t="s">
        <v>65</v>
      </c>
      <c r="N1022" s="3" t="s">
        <v>66</v>
      </c>
      <c r="O1022" s="3" t="s">
        <v>885</v>
      </c>
      <c r="P1022" s="3" t="s">
        <v>867</v>
      </c>
      <c r="Q1022" s="31">
        <v>42752</v>
      </c>
      <c r="R1022" s="3" t="str">
        <f>IFERROR(VLOOKUP(J1022,[1]PL!A:B,2,0),"")</f>
        <v>PSG</v>
      </c>
      <c r="S1022" s="3" t="str">
        <f>IFERROR(VLOOKUP(H1022,[1]Mapa!A:D,4,0),"")</f>
        <v>TCO</v>
      </c>
      <c r="T1022" s="3"/>
      <c r="U1022" s="3"/>
      <c r="V1022" s="3"/>
    </row>
    <row r="1023" spans="1:22">
      <c r="A1023" s="3" t="str">
        <f>VLOOKUP(D1023,[1]Orc!A:B,2,0)</f>
        <v>Not Responded</v>
      </c>
      <c r="B1023" s="31">
        <f>VLOOKUP(D1023,[1]Orc!A:C,3,0)</f>
        <v>42742.73709116898</v>
      </c>
      <c r="C1023" s="31">
        <v>42740.625694444447</v>
      </c>
      <c r="D1023" s="3">
        <v>3035515442</v>
      </c>
      <c r="E1023" s="3" t="s">
        <v>39</v>
      </c>
      <c r="F1023" s="3" t="s">
        <v>234</v>
      </c>
      <c r="G1023" s="3" t="str">
        <f>VLOOKUP(F1023,[1]Mapa!A:B,2,0)</f>
        <v>Levi De Sousa Barros</v>
      </c>
      <c r="H1023" s="3" t="s">
        <v>234</v>
      </c>
      <c r="I1023" s="3" t="str">
        <f>VLOOKUP(H1023,[1]Mapa!A:B,2,0)</f>
        <v>Levi De Sousa Barros</v>
      </c>
      <c r="J1023" s="3" t="s">
        <v>100</v>
      </c>
      <c r="K1023" s="3" t="str">
        <f t="shared" si="1"/>
        <v>SKILL IGUAL</v>
      </c>
      <c r="L1023" s="3" t="s">
        <v>866</v>
      </c>
      <c r="M1023" s="3" t="s">
        <v>70</v>
      </c>
      <c r="N1023" s="3" t="s">
        <v>75</v>
      </c>
      <c r="O1023" s="3" t="s">
        <v>3151</v>
      </c>
      <c r="P1023" s="3" t="s">
        <v>867</v>
      </c>
      <c r="Q1023" s="31">
        <v>42744</v>
      </c>
      <c r="R1023" s="3" t="str">
        <f>IFERROR(VLOOKUP(J1023,[1]PL!A:B,2,0),"")</f>
        <v>PSG</v>
      </c>
      <c r="S1023" s="3" t="str">
        <f>IFERROR(VLOOKUP(H1023,[1]Mapa!A:D,4,0),"")</f>
        <v>PSG</v>
      </c>
      <c r="T1023" s="3"/>
      <c r="U1023" s="3"/>
      <c r="V1023" s="3"/>
    </row>
    <row r="1024" spans="1:22">
      <c r="A1024" s="3" t="str">
        <f>VLOOKUP(D1024,[1]Orc!A:B,2,0)</f>
        <v>Not Responded</v>
      </c>
      <c r="B1024" s="31">
        <f>VLOOKUP(D1024,[1]Orc!A:C,3,0)</f>
        <v>42742.73709116898</v>
      </c>
      <c r="C1024" s="31">
        <v>42740.626388888886</v>
      </c>
      <c r="D1024" s="3">
        <v>3035470475</v>
      </c>
      <c r="E1024" s="3" t="s">
        <v>31</v>
      </c>
      <c r="F1024" s="3" t="s">
        <v>113</v>
      </c>
      <c r="G1024" s="3" t="str">
        <f>VLOOKUP(F1024,[1]Mapa!A:B,2,0)</f>
        <v>Daniel Dantas De Oliveira</v>
      </c>
      <c r="H1024" s="3" t="s">
        <v>227</v>
      </c>
      <c r="I1024" s="3" t="str">
        <f>VLOOKUP(H1024,[1]Mapa!A:B,2,0)</f>
        <v>Bruno Henrique Padua Colella</v>
      </c>
      <c r="J1024" s="3" t="s">
        <v>93</v>
      </c>
      <c r="K1024" s="3" t="str">
        <f t="shared" si="1"/>
        <v>SKILL IGUAL</v>
      </c>
      <c r="L1024" s="3" t="s">
        <v>866</v>
      </c>
      <c r="M1024" s="3" t="s">
        <v>70</v>
      </c>
      <c r="N1024" s="3" t="s">
        <v>71</v>
      </c>
      <c r="O1024" s="3" t="s">
        <v>3152</v>
      </c>
      <c r="P1024" s="3" t="s">
        <v>867</v>
      </c>
      <c r="Q1024" s="31">
        <v>42741</v>
      </c>
      <c r="R1024" s="3" t="str">
        <f>IFERROR(VLOOKUP(J1024,[1]PL!A:B,2,0),"")</f>
        <v>PSG</v>
      </c>
      <c r="S1024" s="3" t="str">
        <f>IFERROR(VLOOKUP(H1024,[1]Mapa!A:D,4,0),"")</f>
        <v>PSG</v>
      </c>
      <c r="T1024" s="3"/>
      <c r="U1024" s="3"/>
      <c r="V1024" s="3"/>
    </row>
    <row r="1025" spans="1:22">
      <c r="A1025" s="3" t="e">
        <f>VLOOKUP(D1025,[1]Orc!A:B,2,0)</f>
        <v>#N/A</v>
      </c>
      <c r="B1025" s="31" t="e">
        <f>VLOOKUP(D1025,[1]Orc!A:C,3,0)</f>
        <v>#N/A</v>
      </c>
      <c r="C1025" s="31">
        <v>42740.75277777778</v>
      </c>
      <c r="D1025" s="3">
        <v>3035069318</v>
      </c>
      <c r="E1025" s="3" t="s">
        <v>23</v>
      </c>
      <c r="F1025" s="3" t="s">
        <v>183</v>
      </c>
      <c r="G1025" s="3" t="str">
        <f>VLOOKUP(F1025,[1]Mapa!A:B,2,0)</f>
        <v>Janio Vinicius Inacio Custodio</v>
      </c>
      <c r="H1025" s="3" t="s">
        <v>2986</v>
      </c>
      <c r="I1025" s="3" t="str">
        <f>VLOOKUP(H1025,[1]Mapa!A:B,2,0)</f>
        <v>Patrik Ferreira Araujo</v>
      </c>
      <c r="J1025" s="3" t="s">
        <v>91</v>
      </c>
      <c r="K1025" s="3" t="str">
        <f t="shared" si="1"/>
        <v>SKILL DIFERENTE</v>
      </c>
      <c r="L1025" s="3" t="s">
        <v>866</v>
      </c>
      <c r="M1025" s="3" t="s">
        <v>59</v>
      </c>
      <c r="N1025" s="3" t="s">
        <v>60</v>
      </c>
      <c r="O1025" s="3" t="s">
        <v>3159</v>
      </c>
      <c r="P1025" s="3" t="s">
        <v>867</v>
      </c>
      <c r="Q1025" s="31">
        <v>42741</v>
      </c>
      <c r="R1025" s="3" t="str">
        <f>IFERROR(VLOOKUP(J1025,[1]PL!A:B,2,0),"")</f>
        <v>PSG</v>
      </c>
      <c r="S1025" s="3" t="str">
        <f>IFERROR(VLOOKUP(H1025,[1]Mapa!A:D,4,0),"")</f>
        <v>TCO</v>
      </c>
      <c r="T1025" s="3"/>
      <c r="U1025" s="3"/>
      <c r="V1025" s="3"/>
    </row>
    <row r="1026" spans="1:22">
      <c r="A1026" s="3" t="str">
        <f>VLOOKUP(D1026,[1]Orc!A:B,2,0)</f>
        <v>Completed Surveys</v>
      </c>
      <c r="B1026" s="31">
        <f>VLOOKUP(D1026,[1]Orc!A:C,3,0)</f>
        <v>42742.73709116898</v>
      </c>
      <c r="C1026" s="31">
        <v>42740.65625</v>
      </c>
      <c r="D1026" s="3">
        <v>3035407500</v>
      </c>
      <c r="E1026" s="3" t="s">
        <v>39</v>
      </c>
      <c r="F1026" s="3" t="s">
        <v>236</v>
      </c>
      <c r="G1026" s="3" t="str">
        <f>VLOOKUP(F1026,[1]Mapa!A:B,2,0)</f>
        <v>Stefany Aparecida Alexandre De Franca</v>
      </c>
      <c r="H1026" s="3" t="s">
        <v>227</v>
      </c>
      <c r="I1026" s="3" t="str">
        <f>VLOOKUP(H1026,[1]Mapa!A:B,2,0)</f>
        <v>Bruno Henrique Padua Colella</v>
      </c>
      <c r="J1026" s="3" t="s">
        <v>100</v>
      </c>
      <c r="K1026" s="3" t="str">
        <f t="shared" si="1"/>
        <v>SKILL IGUAL</v>
      </c>
      <c r="L1026" s="3" t="s">
        <v>866</v>
      </c>
      <c r="M1026" s="3" t="s">
        <v>70</v>
      </c>
      <c r="N1026" s="3" t="s">
        <v>71</v>
      </c>
      <c r="O1026" s="3" t="s">
        <v>3153</v>
      </c>
      <c r="P1026" s="3" t="s">
        <v>867</v>
      </c>
      <c r="Q1026" s="31">
        <v>42741</v>
      </c>
      <c r="R1026" s="3" t="str">
        <f>IFERROR(VLOOKUP(J1026,[1]PL!A:B,2,0),"")</f>
        <v>PSG</v>
      </c>
      <c r="S1026" s="3" t="str">
        <f>IFERROR(VLOOKUP(H1026,[1]Mapa!A:D,4,0),"")</f>
        <v>PSG</v>
      </c>
      <c r="T1026" s="3"/>
      <c r="U1026" s="3"/>
      <c r="V1026" s="3"/>
    </row>
    <row r="1027" spans="1:22">
      <c r="A1027" s="3" t="str">
        <f>VLOOKUP(D1027,[1]Orc!A:B,2,0)</f>
        <v>Completed Surveys</v>
      </c>
      <c r="B1027" s="31">
        <f>VLOOKUP(D1027,[1]Orc!A:C,3,0)</f>
        <v>42740.737851504629</v>
      </c>
      <c r="C1027" s="31">
        <v>42738.697222222225</v>
      </c>
      <c r="D1027" s="3">
        <v>3035431604</v>
      </c>
      <c r="E1027" s="3" t="s">
        <v>39</v>
      </c>
      <c r="F1027" s="3" t="s">
        <v>240</v>
      </c>
      <c r="G1027" s="3" t="str">
        <f>VLOOKUP(F1027,[1]Mapa!A:B,2,0)</f>
        <v>Renato Da Silva Andrade</v>
      </c>
      <c r="H1027" s="3" t="s">
        <v>238</v>
      </c>
      <c r="I1027" s="3" t="str">
        <f>VLOOKUP(H1027,[1]Mapa!A:B,2,0)</f>
        <v>Fernando Souza De Almeida</v>
      </c>
      <c r="J1027" s="3" t="s">
        <v>93</v>
      </c>
      <c r="K1027" s="3" t="str">
        <f t="shared" si="1"/>
        <v>SKILL DIFERENTE</v>
      </c>
      <c r="L1027" s="3" t="s">
        <v>866</v>
      </c>
      <c r="M1027" s="3" t="s">
        <v>59</v>
      </c>
      <c r="N1027" s="3" t="s">
        <v>60</v>
      </c>
      <c r="O1027" s="3" t="s">
        <v>59</v>
      </c>
      <c r="P1027" s="3" t="s">
        <v>876</v>
      </c>
      <c r="Q1027" s="31">
        <v>42739</v>
      </c>
      <c r="R1027" s="3" t="str">
        <f>IFERROR(VLOOKUP(J1027,[1]PL!A:B,2,0),"")</f>
        <v>PSG</v>
      </c>
      <c r="S1027" s="3" t="str">
        <f>IFERROR(VLOOKUP(H1027,[1]Mapa!A:D,4,0),"")</f>
        <v>FUPOTECH</v>
      </c>
      <c r="T1027" s="3"/>
      <c r="U1027" s="3"/>
      <c r="V1027" s="3"/>
    </row>
    <row r="1028" spans="1:22">
      <c r="A1028" s="3" t="str">
        <f>VLOOKUP(D1028,[1]Orc!A:B,2,0)</f>
        <v>Not Responded</v>
      </c>
      <c r="B1028" s="31">
        <f>VLOOKUP(D1028,[1]Orc!A:C,3,0)</f>
        <v>42742.73709116898</v>
      </c>
      <c r="C1028" s="31">
        <v>42740.662499999999</v>
      </c>
      <c r="D1028" s="3">
        <v>3035517346</v>
      </c>
      <c r="E1028" s="3" t="s">
        <v>31</v>
      </c>
      <c r="F1028" s="3" t="s">
        <v>145</v>
      </c>
      <c r="G1028" s="3" t="str">
        <f>VLOOKUP(F1028,[1]Mapa!A:B,2,0)</f>
        <v>Erico Luan de Jesus Silva</v>
      </c>
      <c r="H1028" s="3" t="s">
        <v>145</v>
      </c>
      <c r="I1028" s="3" t="str">
        <f>VLOOKUP(H1028,[1]Mapa!A:B,2,0)</f>
        <v>Erico Luan de Jesus Silva</v>
      </c>
      <c r="J1028" s="3" t="s">
        <v>93</v>
      </c>
      <c r="K1028" s="3" t="str">
        <f t="shared" si="1"/>
        <v>SKILL IGUAL</v>
      </c>
      <c r="L1028" s="3" t="s">
        <v>866</v>
      </c>
      <c r="M1028" s="3" t="s">
        <v>70</v>
      </c>
      <c r="N1028" s="3" t="s">
        <v>71</v>
      </c>
      <c r="O1028" s="3" t="s">
        <v>3154</v>
      </c>
      <c r="P1028" s="3" t="s">
        <v>867</v>
      </c>
      <c r="Q1028" s="31">
        <v>42741</v>
      </c>
      <c r="R1028" s="3" t="str">
        <f>IFERROR(VLOOKUP(J1028,[1]PL!A:B,2,0),"")</f>
        <v>PSG</v>
      </c>
      <c r="S1028" s="3" t="str">
        <f>IFERROR(VLOOKUP(H1028,[1]Mapa!A:D,4,0),"")</f>
        <v>PSG</v>
      </c>
      <c r="T1028" s="3"/>
      <c r="U1028" s="3"/>
      <c r="V1028" s="3"/>
    </row>
    <row r="1029" spans="1:22">
      <c r="A1029" s="3" t="str">
        <f>VLOOKUP(D1029,[1]Orc!A:B,2,0)</f>
        <v>Completed Surveys</v>
      </c>
      <c r="B1029" s="31">
        <f>VLOOKUP(D1029,[1]Orc!A:C,3,0)</f>
        <v>42741.73704378472</v>
      </c>
      <c r="C1029" s="31">
        <v>42739.401388888888</v>
      </c>
      <c r="D1029" s="3">
        <v>3035436310</v>
      </c>
      <c r="E1029" s="3" t="s">
        <v>31</v>
      </c>
      <c r="F1029" s="3" t="s">
        <v>223</v>
      </c>
      <c r="G1029" s="3" t="str">
        <f>VLOOKUP(F1029,[1]Mapa!A:B,2,0)</f>
        <v>Daniel Sousa Pinheiro</v>
      </c>
      <c r="H1029" s="3" t="s">
        <v>209</v>
      </c>
      <c r="I1029" s="3" t="str">
        <f>VLOOKUP(H1029,[1]Mapa!A:B,2,0)</f>
        <v>Taina Alexsander Fernandes Pires</v>
      </c>
      <c r="J1029" s="3" t="s">
        <v>93</v>
      </c>
      <c r="K1029" s="3" t="str">
        <f t="shared" si="1"/>
        <v>SKILL DIFERENTE</v>
      </c>
      <c r="L1029" s="3" t="s">
        <v>866</v>
      </c>
      <c r="M1029" s="3" t="s">
        <v>59</v>
      </c>
      <c r="N1029" s="3" t="s">
        <v>60</v>
      </c>
      <c r="O1029" s="3" t="s">
        <v>182</v>
      </c>
      <c r="P1029" s="3" t="s">
        <v>876</v>
      </c>
      <c r="Q1029" s="31">
        <v>42740</v>
      </c>
      <c r="R1029" s="3" t="str">
        <f>IFERROR(VLOOKUP(J1029,[1]PL!A:B,2,0),"")</f>
        <v>PSG</v>
      </c>
      <c r="S1029" s="3" t="str">
        <f>IFERROR(VLOOKUP(H1029,[1]Mapa!A:D,4,0),"")</f>
        <v>FUPOTECH</v>
      </c>
      <c r="T1029" s="3"/>
      <c r="U1029" s="3"/>
      <c r="V1029" s="3"/>
    </row>
    <row r="1030" spans="1:22">
      <c r="A1030" s="3" t="str">
        <f>VLOOKUP(D1030,[1]Orc!A:B,2,0)</f>
        <v>Completed Surveys</v>
      </c>
      <c r="B1030" s="31">
        <f>VLOOKUP(D1030,[1]Orc!A:C,3,0)</f>
        <v>42741.73704378472</v>
      </c>
      <c r="C1030" s="31">
        <v>42739.466666666667</v>
      </c>
      <c r="D1030" s="3">
        <v>3035470149</v>
      </c>
      <c r="E1030" s="3" t="s">
        <v>31</v>
      </c>
      <c r="F1030" s="3" t="s">
        <v>852</v>
      </c>
      <c r="G1030" s="3" t="str">
        <f>VLOOKUP(F1030,[1]Mapa!A:B,2,0)</f>
        <v>Paulo Wueliton Horacio Fernandes</v>
      </c>
      <c r="H1030" s="3" t="s">
        <v>227</v>
      </c>
      <c r="I1030" s="3" t="str">
        <f>VLOOKUP(H1030,[1]Mapa!A:B,2,0)</f>
        <v>Bruno Henrique Padua Colella</v>
      </c>
      <c r="J1030" s="3" t="s">
        <v>93</v>
      </c>
      <c r="K1030" s="3" t="str">
        <f t="shared" si="1"/>
        <v>SKILL IGUAL</v>
      </c>
      <c r="L1030" s="3" t="s">
        <v>866</v>
      </c>
      <c r="M1030" s="3" t="s">
        <v>59</v>
      </c>
      <c r="N1030" s="3" t="s">
        <v>60</v>
      </c>
      <c r="O1030" s="3" t="s">
        <v>59</v>
      </c>
      <c r="P1030" s="3" t="s">
        <v>876</v>
      </c>
      <c r="Q1030" s="31">
        <v>42740</v>
      </c>
      <c r="R1030" s="3" t="str">
        <f>IFERROR(VLOOKUP(J1030,[1]PL!A:B,2,0),"")</f>
        <v>PSG</v>
      </c>
      <c r="S1030" s="3" t="str">
        <f>IFERROR(VLOOKUP(H1030,[1]Mapa!A:D,4,0),"")</f>
        <v>PSG</v>
      </c>
      <c r="T1030" s="3" t="s">
        <v>3155</v>
      </c>
      <c r="U1030" s="3"/>
      <c r="V1030" s="3"/>
    </row>
    <row r="1031" spans="1:22">
      <c r="A1031" s="3" t="str">
        <f>VLOOKUP(D1031,[1]Orc!A:B,2,0)</f>
        <v>Not Responded</v>
      </c>
      <c r="B1031" s="31">
        <f>VLOOKUP(D1031,[1]Orc!A:C,3,0)</f>
        <v>42743.735176273149</v>
      </c>
      <c r="C1031" s="31">
        <v>42741.585416666669</v>
      </c>
      <c r="D1031" s="3">
        <v>3035521603</v>
      </c>
      <c r="E1031" s="3" t="s">
        <v>39</v>
      </c>
      <c r="F1031" s="3" t="s">
        <v>225</v>
      </c>
      <c r="G1031" s="3" t="str">
        <f>VLOOKUP(F1031,[1]Mapa!A:B,2,0)</f>
        <v>Eduardo Paixao Oliveira</v>
      </c>
      <c r="H1031" s="3" t="s">
        <v>238</v>
      </c>
      <c r="I1031" s="3" t="str">
        <f>VLOOKUP(H1031,[1]Mapa!A:B,2,0)</f>
        <v>Fernando Souza De Almeida</v>
      </c>
      <c r="J1031" s="3" t="s">
        <v>93</v>
      </c>
      <c r="K1031" s="3" t="str">
        <f t="shared" si="1"/>
        <v>SKILL DIFERENTE</v>
      </c>
      <c r="L1031" s="3" t="s">
        <v>866</v>
      </c>
      <c r="M1031" s="3" t="s">
        <v>59</v>
      </c>
      <c r="N1031" s="3" t="s">
        <v>60</v>
      </c>
      <c r="O1031" s="3" t="s">
        <v>3170</v>
      </c>
      <c r="P1031" s="3" t="s">
        <v>867</v>
      </c>
      <c r="Q1031" s="31">
        <v>42746</v>
      </c>
      <c r="R1031" s="3" t="str">
        <f>IFERROR(VLOOKUP(J1031,[1]PL!A:B,2,0),"")</f>
        <v>PSG</v>
      </c>
      <c r="S1031" s="3" t="str">
        <f>IFERROR(VLOOKUP(H1031,[1]Mapa!A:D,4,0),"")</f>
        <v>FUPOTECH</v>
      </c>
      <c r="T1031" s="3"/>
      <c r="U1031" s="3"/>
      <c r="V1031" s="3"/>
    </row>
    <row r="1032" spans="1:22">
      <c r="A1032" s="3" t="str">
        <f>VLOOKUP(D1032,[1]Orc!A:B,2,0)</f>
        <v>Sample Rejected</v>
      </c>
      <c r="B1032" s="31">
        <f>VLOOKUP(D1032,[1]Orc!A:C,3,0)</f>
        <v>42742.73709116898</v>
      </c>
      <c r="C1032" s="31">
        <v>42740.692361111112</v>
      </c>
      <c r="D1032" s="3">
        <v>3035518946</v>
      </c>
      <c r="E1032" s="3" t="s">
        <v>39</v>
      </c>
      <c r="F1032" s="3" t="s">
        <v>250</v>
      </c>
      <c r="G1032" s="3" t="str">
        <f>VLOOKUP(F1032,[1]Mapa!A:B,2,0)</f>
        <v>Filipe Augusto Fernandes De Oliveira</v>
      </c>
      <c r="H1032" s="3" t="s">
        <v>250</v>
      </c>
      <c r="I1032" s="3" t="str">
        <f>VLOOKUP(H1032,[1]Mapa!A:B,2,0)</f>
        <v>Filipe Augusto Fernandes De Oliveira</v>
      </c>
      <c r="J1032" s="3" t="s">
        <v>93</v>
      </c>
      <c r="K1032" s="3" t="str">
        <f t="shared" si="1"/>
        <v>SKILL IGUAL</v>
      </c>
      <c r="L1032" s="3" t="s">
        <v>871</v>
      </c>
      <c r="M1032" s="3" t="s">
        <v>84</v>
      </c>
      <c r="N1032" s="3" t="s">
        <v>85</v>
      </c>
      <c r="O1032" s="3" t="s">
        <v>887</v>
      </c>
      <c r="P1032" s="3" t="s">
        <v>867</v>
      </c>
      <c r="Q1032" s="31">
        <v>42741</v>
      </c>
      <c r="R1032" s="3" t="str">
        <f>IFERROR(VLOOKUP(J1032,[1]PL!A:B,2,0),"")</f>
        <v>PSG</v>
      </c>
      <c r="S1032" s="3" t="str">
        <f>IFERROR(VLOOKUP(H1032,[1]Mapa!A:D,4,0),"")</f>
        <v>PSG</v>
      </c>
      <c r="T1032" s="3"/>
      <c r="U1032" s="3"/>
      <c r="V1032" s="3"/>
    </row>
    <row r="1033" spans="1:22">
      <c r="A1033" s="3" t="str">
        <f>VLOOKUP(D1033,[1]Orc!A:B,2,0)</f>
        <v>Sample Rejected</v>
      </c>
      <c r="B1033" s="31">
        <f>VLOOKUP(D1033,[1]Orc!A:C,3,0)</f>
        <v>42742.73709116898</v>
      </c>
      <c r="C1033" s="31">
        <v>42740.711111111108</v>
      </c>
      <c r="D1033" s="3">
        <v>3035508595</v>
      </c>
      <c r="E1033" s="3" t="s">
        <v>31</v>
      </c>
      <c r="F1033" s="3" t="s">
        <v>145</v>
      </c>
      <c r="G1033" s="3" t="str">
        <f>VLOOKUP(F1033,[1]Mapa!A:B,2,0)</f>
        <v>Erico Luan de Jesus Silva</v>
      </c>
      <c r="H1033" s="3" t="s">
        <v>852</v>
      </c>
      <c r="I1033" s="3" t="str">
        <f>VLOOKUP(H1033,[1]Mapa!A:B,2,0)</f>
        <v>Paulo Wueliton Horacio Fernandes</v>
      </c>
      <c r="J1033" s="3" t="s">
        <v>100</v>
      </c>
      <c r="K1033" s="3" t="str">
        <f t="shared" si="1"/>
        <v>SKILL DIFERENTE</v>
      </c>
      <c r="L1033" s="3"/>
      <c r="M1033" s="3"/>
      <c r="N1033" s="3"/>
      <c r="O1033" s="3" t="s">
        <v>3156</v>
      </c>
      <c r="P1033" s="3" t="s">
        <v>867</v>
      </c>
      <c r="Q1033" s="31">
        <v>42741</v>
      </c>
      <c r="R1033" s="3" t="str">
        <f>IFERROR(VLOOKUP(J1033,[1]PL!A:B,2,0),"")</f>
        <v>PSG</v>
      </c>
      <c r="S1033" s="3" t="str">
        <f>IFERROR(VLOOKUP(H1033,[1]Mapa!A:D,4,0),"")</f>
        <v>IPG</v>
      </c>
      <c r="T1033" s="3"/>
      <c r="U1033" s="3"/>
      <c r="V1033" s="3"/>
    </row>
    <row r="1034" spans="1:22">
      <c r="A1034" s="3" t="str">
        <f>VLOOKUP(D1034,[1]Orc!A:B,2,0)</f>
        <v>Not Responded</v>
      </c>
      <c r="B1034" s="31">
        <f>VLOOKUP(D1034,[1]Orc!A:C,3,0)</f>
        <v>42743.735176273149</v>
      </c>
      <c r="C1034" s="31">
        <v>42741.618055555555</v>
      </c>
      <c r="D1034" s="3">
        <v>3035505858</v>
      </c>
      <c r="E1034" s="3" t="s">
        <v>31</v>
      </c>
      <c r="F1034" s="3" t="s">
        <v>213</v>
      </c>
      <c r="G1034" s="3" t="str">
        <f>VLOOKUP(F1034,[1]Mapa!A:B,2,0)</f>
        <v>Leonardo Cantilho Maracas</v>
      </c>
      <c r="H1034" s="3" t="s">
        <v>209</v>
      </c>
      <c r="I1034" s="3" t="str">
        <f>VLOOKUP(H1034,[1]Mapa!A:B,2,0)</f>
        <v>Taina Alexsander Fernandes Pires</v>
      </c>
      <c r="J1034" s="3" t="s">
        <v>93</v>
      </c>
      <c r="K1034" s="3" t="str">
        <f t="shared" si="1"/>
        <v>SKILL DIFERENTE</v>
      </c>
      <c r="L1034" s="3" t="s">
        <v>866</v>
      </c>
      <c r="M1034" s="3" t="s">
        <v>59</v>
      </c>
      <c r="N1034" s="3" t="s">
        <v>60</v>
      </c>
      <c r="O1034" s="3" t="s">
        <v>123</v>
      </c>
      <c r="P1034" s="3" t="s">
        <v>867</v>
      </c>
      <c r="Q1034" s="31">
        <v>42742</v>
      </c>
      <c r="R1034" s="3" t="str">
        <f>IFERROR(VLOOKUP(J1034,[1]PL!A:B,2,0),"")</f>
        <v>PSG</v>
      </c>
      <c r="S1034" s="3" t="str">
        <f>IFERROR(VLOOKUP(H1034,[1]Mapa!A:D,4,0),"")</f>
        <v>FUPOTECH</v>
      </c>
      <c r="T1034" s="3"/>
      <c r="U1034" s="3"/>
      <c r="V1034" s="3"/>
    </row>
    <row r="1035" spans="1:22">
      <c r="A1035" s="3" t="str">
        <f>VLOOKUP(D1035,[1]Orc!A:B,2,0)</f>
        <v>Completed Surveys</v>
      </c>
      <c r="B1035" s="31">
        <f>VLOOKUP(D1035,[1]Orc!A:C,3,0)</f>
        <v>42741.73704378472</v>
      </c>
      <c r="C1035" s="31">
        <v>42739.561111111114</v>
      </c>
      <c r="D1035" s="3">
        <v>3035475023</v>
      </c>
      <c r="E1035" s="3" t="s">
        <v>9</v>
      </c>
      <c r="F1035" s="3" t="s">
        <v>73</v>
      </c>
      <c r="G1035" s="3" t="str">
        <f>VLOOKUP(F1035,[1]Mapa!A:B,2,0)</f>
        <v>Jesse Prates Martins</v>
      </c>
      <c r="H1035" s="3" t="s">
        <v>73</v>
      </c>
      <c r="I1035" s="3" t="str">
        <f>VLOOKUP(H1035,[1]Mapa!A:B,2,0)</f>
        <v>Jesse Prates Martins</v>
      </c>
      <c r="J1035" s="3" t="s">
        <v>93</v>
      </c>
      <c r="K1035" s="3" t="str">
        <f t="shared" si="1"/>
        <v>SKILL DIFERENTE</v>
      </c>
      <c r="L1035" s="3" t="s">
        <v>866</v>
      </c>
      <c r="M1035" s="3" t="s">
        <v>59</v>
      </c>
      <c r="N1035" s="3" t="s">
        <v>60</v>
      </c>
      <c r="O1035" s="3" t="s">
        <v>182</v>
      </c>
      <c r="P1035" s="3" t="s">
        <v>876</v>
      </c>
      <c r="Q1035" s="31">
        <v>42740</v>
      </c>
      <c r="R1035" s="3" t="str">
        <f>IFERROR(VLOOKUP(J1035,[1]PL!A:B,2,0),"")</f>
        <v>PSG</v>
      </c>
      <c r="S1035" s="3" t="str">
        <f>IFERROR(VLOOKUP(H1035,[1]Mapa!A:D,4,0),"")</f>
        <v>IPG</v>
      </c>
      <c r="T1035" s="3"/>
      <c r="U1035" s="3"/>
      <c r="V1035" s="3"/>
    </row>
    <row r="1036" spans="1:22">
      <c r="A1036" s="3" t="str">
        <f>VLOOKUP(D1036,[1]Orc!A:B,2,0)</f>
        <v>Completed Surveys</v>
      </c>
      <c r="B1036" s="31">
        <f>VLOOKUP(D1036,[1]Orc!A:C,3,0)</f>
        <v>42742.73709116898</v>
      </c>
      <c r="C1036" s="31">
        <v>42740.717361111114</v>
      </c>
      <c r="D1036" s="3">
        <v>3035520281</v>
      </c>
      <c r="E1036" s="3" t="s">
        <v>39</v>
      </c>
      <c r="F1036" s="3" t="s">
        <v>236</v>
      </c>
      <c r="G1036" s="3" t="str">
        <f>VLOOKUP(F1036,[1]Mapa!A:B,2,0)</f>
        <v>Stefany Aparecida Alexandre De Franca</v>
      </c>
      <c r="H1036" s="3" t="s">
        <v>236</v>
      </c>
      <c r="I1036" s="3" t="str">
        <f>VLOOKUP(H1036,[1]Mapa!A:B,2,0)</f>
        <v>Stefany Aparecida Alexandre De Franca</v>
      </c>
      <c r="J1036" s="3" t="s">
        <v>93</v>
      </c>
      <c r="K1036" s="3" t="str">
        <f t="shared" si="1"/>
        <v>SKILL IGUAL</v>
      </c>
      <c r="L1036" s="3" t="s">
        <v>871</v>
      </c>
      <c r="M1036" s="3" t="s">
        <v>84</v>
      </c>
      <c r="N1036" s="3" t="s">
        <v>3157</v>
      </c>
      <c r="O1036" s="3" t="s">
        <v>3158</v>
      </c>
      <c r="P1036" s="3" t="s">
        <v>867</v>
      </c>
      <c r="Q1036" s="31">
        <v>42746</v>
      </c>
      <c r="R1036" s="3" t="str">
        <f>IFERROR(VLOOKUP(J1036,[1]PL!A:B,2,0),"")</f>
        <v>PSG</v>
      </c>
      <c r="S1036" s="3" t="str">
        <f>IFERROR(VLOOKUP(H1036,[1]Mapa!A:D,4,0),"")</f>
        <v>PSG</v>
      </c>
      <c r="T1036" s="3"/>
      <c r="U1036" s="3"/>
      <c r="V1036" s="3"/>
    </row>
    <row r="1037" spans="1:22">
      <c r="A1037" s="3" t="str">
        <f>VLOOKUP(D1037,[1]Orc!A:B,2,0)</f>
        <v>Not Responded</v>
      </c>
      <c r="B1037" s="31">
        <f>VLOOKUP(D1037,[1]Orc!A:C,3,0)</f>
        <v>42743.735176273149</v>
      </c>
      <c r="C1037" s="31">
        <v>42741.806250000001</v>
      </c>
      <c r="D1037" s="3">
        <v>3035483664</v>
      </c>
      <c r="E1037" s="3" t="s">
        <v>23</v>
      </c>
      <c r="F1037" s="3" t="s">
        <v>129</v>
      </c>
      <c r="G1037" s="3" t="str">
        <f>VLOOKUP(F1037,[1]Mapa!A:B,2,0)</f>
        <v>Thiago Maciel Lima</v>
      </c>
      <c r="H1037" s="3" t="s">
        <v>139</v>
      </c>
      <c r="I1037" s="3" t="str">
        <f>VLOOKUP(H1037,[1]Mapa!A:B,2,0)</f>
        <v>Vanderlei Valentim Vieira</v>
      </c>
      <c r="J1037" s="3" t="s">
        <v>93</v>
      </c>
      <c r="K1037" s="3" t="str">
        <f t="shared" si="1"/>
        <v>SKILL DIFERENTE</v>
      </c>
      <c r="L1037" s="3" t="s">
        <v>866</v>
      </c>
      <c r="M1037" s="3" t="s">
        <v>59</v>
      </c>
      <c r="N1037" s="3" t="s">
        <v>60</v>
      </c>
      <c r="O1037" s="3" t="s">
        <v>123</v>
      </c>
      <c r="P1037" s="3" t="s">
        <v>867</v>
      </c>
      <c r="Q1037" s="31">
        <v>42742</v>
      </c>
      <c r="R1037" s="3" t="str">
        <f>IFERROR(VLOOKUP(J1037,[1]PL!A:B,2,0),"")</f>
        <v>PSG</v>
      </c>
      <c r="S1037" s="3" t="str">
        <f>IFERROR(VLOOKUP(H1037,[1]Mapa!A:D,4,0),"")</f>
        <v>FUPOTECH</v>
      </c>
      <c r="T1037" s="3"/>
      <c r="U1037" s="3" t="s">
        <v>3104</v>
      </c>
      <c r="V1037" s="3"/>
    </row>
    <row r="1038" spans="1:22">
      <c r="A1038" s="3" t="str">
        <f>VLOOKUP(D1038,[1]Orc!A:B,2,0)</f>
        <v>Completed Surveys</v>
      </c>
      <c r="B1038" s="31">
        <f>VLOOKUP(D1038,[1]Orc!A:C,3,0)</f>
        <v>42741.73704378472</v>
      </c>
      <c r="C1038" s="31">
        <v>42739.679166666669</v>
      </c>
      <c r="D1038" s="3">
        <v>3035480368</v>
      </c>
      <c r="E1038" s="3" t="s">
        <v>31</v>
      </c>
      <c r="F1038" s="3" t="s">
        <v>227</v>
      </c>
      <c r="G1038" s="3" t="str">
        <f>VLOOKUP(F1038,[1]Mapa!A:B,2,0)</f>
        <v>Bruno Henrique Padua Colella</v>
      </c>
      <c r="H1038" s="3" t="s">
        <v>227</v>
      </c>
      <c r="I1038" s="3" t="str">
        <f>VLOOKUP(H1038,[1]Mapa!A:B,2,0)</f>
        <v>Bruno Henrique Padua Colella</v>
      </c>
      <c r="J1038" s="3" t="s">
        <v>93</v>
      </c>
      <c r="K1038" s="3" t="str">
        <f t="shared" si="1"/>
        <v>SKILL IGUAL</v>
      </c>
      <c r="L1038" s="3" t="s">
        <v>866</v>
      </c>
      <c r="M1038" s="3" t="s">
        <v>59</v>
      </c>
      <c r="N1038" s="3" t="s">
        <v>60</v>
      </c>
      <c r="O1038" s="3" t="s">
        <v>59</v>
      </c>
      <c r="P1038" s="3" t="s">
        <v>876</v>
      </c>
      <c r="Q1038" s="31">
        <v>42740</v>
      </c>
      <c r="R1038" s="3" t="str">
        <f>IFERROR(VLOOKUP(J1038,[1]PL!A:B,2,0),"")</f>
        <v>PSG</v>
      </c>
      <c r="S1038" s="3" t="str">
        <f>IFERROR(VLOOKUP(H1038,[1]Mapa!A:D,4,0),"")</f>
        <v>PSG</v>
      </c>
      <c r="T1038" s="3"/>
      <c r="U1038" s="3"/>
      <c r="V1038" s="3"/>
    </row>
    <row r="1039" spans="1:22">
      <c r="A1039" s="3" t="str">
        <f>VLOOKUP(D1039,[1]Orc!A:B,2,0)</f>
        <v>Completed Surveys</v>
      </c>
      <c r="B1039" s="31">
        <f>VLOOKUP(D1039,[1]Orc!A:C,3,0)</f>
        <v>42742.73709116898</v>
      </c>
      <c r="C1039" s="31">
        <v>42740.379166666666</v>
      </c>
      <c r="D1039" s="3">
        <v>3035505711</v>
      </c>
      <c r="E1039" s="3" t="s">
        <v>31</v>
      </c>
      <c r="F1039" s="3" t="s">
        <v>216</v>
      </c>
      <c r="G1039" s="3" t="str">
        <f>VLOOKUP(F1039,[1]Mapa!A:B,2,0)</f>
        <v>Lucas Almeida Dos Santos</v>
      </c>
      <c r="H1039" s="3" t="s">
        <v>216</v>
      </c>
      <c r="I1039" s="3" t="str">
        <f>VLOOKUP(H1039,[1]Mapa!A:B,2,0)</f>
        <v>Lucas Almeida Dos Santos</v>
      </c>
      <c r="J1039" s="3" t="s">
        <v>100</v>
      </c>
      <c r="K1039" s="3" t="str">
        <f t="shared" si="1"/>
        <v>SKILL IGUAL</v>
      </c>
      <c r="L1039" s="3" t="s">
        <v>871</v>
      </c>
      <c r="M1039" s="3" t="s">
        <v>84</v>
      </c>
      <c r="N1039" s="3" t="s">
        <v>85</v>
      </c>
      <c r="O1039" s="3" t="s">
        <v>931</v>
      </c>
      <c r="P1039" s="3" t="s">
        <v>876</v>
      </c>
      <c r="Q1039" s="31">
        <v>42741</v>
      </c>
      <c r="R1039" s="3" t="str">
        <f>IFERROR(VLOOKUP(J1039,[1]PL!A:B,2,0),"")</f>
        <v>PSG</v>
      </c>
      <c r="S1039" s="3" t="str">
        <f>IFERROR(VLOOKUP(H1039,[1]Mapa!A:D,4,0),"")</f>
        <v>PSG</v>
      </c>
      <c r="T1039" s="3"/>
      <c r="U1039" s="3"/>
      <c r="V1039" s="3"/>
    </row>
    <row r="1040" spans="1:22">
      <c r="A1040" s="3" t="str">
        <f>VLOOKUP(D1040,[1]Orc!A:B,2,0)</f>
        <v>Completed Surveys</v>
      </c>
      <c r="B1040" s="31">
        <f>VLOOKUP(D1040,[1]Orc!A:C,3,0)</f>
        <v>42742.73709116898</v>
      </c>
      <c r="C1040" s="31">
        <v>42740.425000000003</v>
      </c>
      <c r="D1040" s="3">
        <v>3035469856</v>
      </c>
      <c r="E1040" s="3" t="s">
        <v>31</v>
      </c>
      <c r="F1040" s="3" t="s">
        <v>227</v>
      </c>
      <c r="G1040" s="3" t="str">
        <f>VLOOKUP(F1040,[1]Mapa!A:B,2,0)</f>
        <v>Bruno Henrique Padua Colella</v>
      </c>
      <c r="H1040" s="3" t="s">
        <v>209</v>
      </c>
      <c r="I1040" s="3" t="str">
        <f>VLOOKUP(H1040,[1]Mapa!A:B,2,0)</f>
        <v>Taina Alexsander Fernandes Pires</v>
      </c>
      <c r="J1040" s="3" t="s">
        <v>93</v>
      </c>
      <c r="K1040" s="3" t="str">
        <f t="shared" si="1"/>
        <v>SKILL DIFERENTE</v>
      </c>
      <c r="L1040" s="3" t="s">
        <v>866</v>
      </c>
      <c r="M1040" s="3" t="s">
        <v>59</v>
      </c>
      <c r="N1040" s="3" t="s">
        <v>60</v>
      </c>
      <c r="O1040" s="3" t="s">
        <v>59</v>
      </c>
      <c r="P1040" s="3" t="s">
        <v>876</v>
      </c>
      <c r="Q1040" s="31">
        <v>42741</v>
      </c>
      <c r="R1040" s="3" t="str">
        <f>IFERROR(VLOOKUP(J1040,[1]PL!A:B,2,0),"")</f>
        <v>PSG</v>
      </c>
      <c r="S1040" s="3" t="str">
        <f>IFERROR(VLOOKUP(H1040,[1]Mapa!A:D,4,0),"")</f>
        <v>FUPOTECH</v>
      </c>
      <c r="T1040" s="3" t="s">
        <v>3160</v>
      </c>
      <c r="U1040" s="3"/>
      <c r="V1040" s="3"/>
    </row>
    <row r="1041" spans="1:22">
      <c r="A1041" s="3" t="e">
        <f>VLOOKUP(D1041,[1]Orc!A:B,2,0)</f>
        <v>#N/A</v>
      </c>
      <c r="B1041" s="31" t="e">
        <f>VLOOKUP(D1041,[1]Orc!A:C,3,0)</f>
        <v>#N/A</v>
      </c>
      <c r="C1041" s="31">
        <v>42741.340277777781</v>
      </c>
      <c r="D1041" s="3">
        <v>3035117966</v>
      </c>
      <c r="E1041" s="3" t="s">
        <v>39</v>
      </c>
      <c r="F1041" s="3" t="s">
        <v>248</v>
      </c>
      <c r="G1041" s="3" t="str">
        <f>VLOOKUP(F1041,[1]Mapa!A:B,2,0)</f>
        <v>Mariana Tadim Estevao</v>
      </c>
      <c r="H1041" s="3" t="s">
        <v>103</v>
      </c>
      <c r="I1041" s="3" t="str">
        <f>VLOOKUP(H1041,[1]Mapa!A:B,2,0)</f>
        <v>Anderson Soares Silveira</v>
      </c>
      <c r="J1041" s="3" t="s">
        <v>91</v>
      </c>
      <c r="K1041" s="3" t="str">
        <f t="shared" si="1"/>
        <v>SKILL DIFERENTE</v>
      </c>
      <c r="L1041" s="3" t="s">
        <v>871</v>
      </c>
      <c r="M1041" s="3" t="s">
        <v>65</v>
      </c>
      <c r="N1041" s="3" t="s">
        <v>66</v>
      </c>
      <c r="O1041" s="3" t="s">
        <v>65</v>
      </c>
      <c r="P1041" s="3" t="s">
        <v>876</v>
      </c>
      <c r="Q1041" s="31">
        <v>42742</v>
      </c>
      <c r="R1041" s="3" t="str">
        <f>IFERROR(VLOOKUP(J1041,[1]PL!A:B,2,0),"")</f>
        <v>PSG</v>
      </c>
      <c r="S1041" s="3" t="str">
        <f>IFERROR(VLOOKUP(H1041,[1]Mapa!A:D,4,0),"")</f>
        <v>TCO</v>
      </c>
      <c r="T1041" s="3"/>
      <c r="U1041" s="3"/>
      <c r="V1041" s="3"/>
    </row>
    <row r="1042" spans="1:22">
      <c r="A1042" s="3" t="e">
        <f>VLOOKUP(D1042,[1]Orc!A:B,2,0)</f>
        <v>#N/A</v>
      </c>
      <c r="B1042" s="31" t="e">
        <f>VLOOKUP(D1042,[1]Orc!A:C,3,0)</f>
        <v>#N/A</v>
      </c>
      <c r="C1042" s="31">
        <v>42741.38958333333</v>
      </c>
      <c r="D1042" s="3">
        <v>3035206400</v>
      </c>
      <c r="E1042" s="3" t="s">
        <v>23</v>
      </c>
      <c r="F1042" s="3" t="s">
        <v>139</v>
      </c>
      <c r="G1042" s="3" t="str">
        <f>VLOOKUP(F1042,[1]Mapa!A:B,2,0)</f>
        <v>Vanderlei Valentim Vieira</v>
      </c>
      <c r="H1042" s="3" t="s">
        <v>151</v>
      </c>
      <c r="I1042" s="3" t="str">
        <f>VLOOKUP(H1042,[1]Mapa!A:B,2,0)</f>
        <v>Gilmar Alves Gomes</v>
      </c>
      <c r="J1042" s="3" t="s">
        <v>592</v>
      </c>
      <c r="K1042" s="3" t="str">
        <f t="shared" si="1"/>
        <v>SKILL DIFERENTE</v>
      </c>
      <c r="L1042" s="3" t="s">
        <v>871</v>
      </c>
      <c r="M1042" s="3" t="s">
        <v>65</v>
      </c>
      <c r="N1042" s="3" t="s">
        <v>66</v>
      </c>
      <c r="O1042" s="3" t="s">
        <v>65</v>
      </c>
      <c r="P1042" s="3" t="s">
        <v>876</v>
      </c>
      <c r="Q1042" s="31">
        <v>42742</v>
      </c>
      <c r="R1042" s="3" t="str">
        <f>IFERROR(VLOOKUP(J1042,[1]PL!A:B,2,0),"")</f>
        <v>PSG</v>
      </c>
      <c r="S1042" s="3" t="str">
        <f>IFERROR(VLOOKUP(H1042,[1]Mapa!A:D,4,0),"")</f>
        <v>TCO</v>
      </c>
      <c r="T1042" s="3"/>
      <c r="U1042" s="3"/>
      <c r="V1042" s="3"/>
    </row>
    <row r="1043" spans="1:22">
      <c r="A1043" s="3" t="str">
        <f>VLOOKUP(D1043,[1]Orc!A:B,2,0)</f>
        <v>Completed Surveys</v>
      </c>
      <c r="B1043" s="31">
        <f>VLOOKUP(D1043,[1]Orc!A:C,3,0)</f>
        <v>42742.73709116898</v>
      </c>
      <c r="C1043" s="31">
        <v>42740.443055555559</v>
      </c>
      <c r="D1043" s="3">
        <v>3035470531</v>
      </c>
      <c r="E1043" s="3" t="s">
        <v>31</v>
      </c>
      <c r="F1043" s="3" t="s">
        <v>216</v>
      </c>
      <c r="G1043" s="3" t="str">
        <f>VLOOKUP(F1043,[1]Mapa!A:B,2,0)</f>
        <v>Lucas Almeida Dos Santos</v>
      </c>
      <c r="H1043" s="3" t="s">
        <v>209</v>
      </c>
      <c r="I1043" s="3" t="str">
        <f>VLOOKUP(H1043,[1]Mapa!A:B,2,0)</f>
        <v>Taina Alexsander Fernandes Pires</v>
      </c>
      <c r="J1043" s="3" t="s">
        <v>93</v>
      </c>
      <c r="K1043" s="3" t="str">
        <f t="shared" si="1"/>
        <v>SKILL DIFERENTE</v>
      </c>
      <c r="L1043" s="3" t="s">
        <v>866</v>
      </c>
      <c r="M1043" s="3" t="s">
        <v>59</v>
      </c>
      <c r="N1043" s="3" t="s">
        <v>60</v>
      </c>
      <c r="O1043" s="3" t="s">
        <v>3161</v>
      </c>
      <c r="P1043" s="3" t="s">
        <v>876</v>
      </c>
      <c r="Q1043" s="31">
        <v>42741</v>
      </c>
      <c r="R1043" s="3" t="str">
        <f>IFERROR(VLOOKUP(J1043,[1]PL!A:B,2,0),"")</f>
        <v>PSG</v>
      </c>
      <c r="S1043" s="3" t="str">
        <f>IFERROR(VLOOKUP(H1043,[1]Mapa!A:D,4,0),"")</f>
        <v>FUPOTECH</v>
      </c>
      <c r="T1043" s="3"/>
      <c r="U1043" s="3"/>
      <c r="V1043" s="3"/>
    </row>
    <row r="1044" spans="1:22">
      <c r="A1044" s="3" t="str">
        <f>VLOOKUP(D1044,[1]Orc!A:B,2,0)</f>
        <v>Sample Rejected</v>
      </c>
      <c r="B1044" s="31">
        <f>VLOOKUP(D1044,[1]Orc!A:C,3,0)</f>
        <v>42743.735176273149</v>
      </c>
      <c r="C1044" s="31">
        <v>42741.436111111114</v>
      </c>
      <c r="D1044" s="3">
        <v>3035478587</v>
      </c>
      <c r="E1044" s="3" t="s">
        <v>31</v>
      </c>
      <c r="F1044" s="3" t="s">
        <v>202</v>
      </c>
      <c r="G1044" s="3" t="str">
        <f>VLOOKUP(F1044,[1]Mapa!A:B,2,0)</f>
        <v>Joao Paulo Yasuda</v>
      </c>
      <c r="H1044" s="3" t="s">
        <v>209</v>
      </c>
      <c r="I1044" s="3" t="str">
        <f>VLOOKUP(H1044,[1]Mapa!A:B,2,0)</f>
        <v>Taina Alexsander Fernandes Pires</v>
      </c>
      <c r="J1044" s="3" t="s">
        <v>93</v>
      </c>
      <c r="K1044" s="3" t="str">
        <f t="shared" si="1"/>
        <v>SKILL DIFERENTE</v>
      </c>
      <c r="L1044" s="3" t="s">
        <v>871</v>
      </c>
      <c r="M1044" s="3" t="s">
        <v>84</v>
      </c>
      <c r="N1044" s="3" t="s">
        <v>85</v>
      </c>
      <c r="O1044" s="3" t="s">
        <v>925</v>
      </c>
      <c r="P1044" s="3" t="s">
        <v>876</v>
      </c>
      <c r="Q1044" s="31">
        <v>42742</v>
      </c>
      <c r="R1044" s="3" t="str">
        <f>IFERROR(VLOOKUP(J1044,[1]PL!A:B,2,0),"")</f>
        <v>PSG</v>
      </c>
      <c r="S1044" s="3" t="str">
        <f>IFERROR(VLOOKUP(H1044,[1]Mapa!A:D,4,0),"")</f>
        <v>FUPOTECH</v>
      </c>
      <c r="T1044" s="3"/>
      <c r="U1044" s="3"/>
      <c r="V1044" s="3" t="s">
        <v>876</v>
      </c>
    </row>
    <row r="1045" spans="1:22">
      <c r="A1045" s="3" t="str">
        <f>VLOOKUP(D1045,[1]Orc!A:B,2,0)</f>
        <v>Not Responded</v>
      </c>
      <c r="B1045" s="31">
        <f>VLOOKUP(D1045,[1]Orc!A:C,3,0)</f>
        <v>42743.735176273149</v>
      </c>
      <c r="C1045" s="31">
        <v>42741.441666666666</v>
      </c>
      <c r="D1045" s="3">
        <v>3035541711</v>
      </c>
      <c r="E1045" s="3" t="s">
        <v>31</v>
      </c>
      <c r="F1045" s="3" t="s">
        <v>145</v>
      </c>
      <c r="G1045" s="3" t="str">
        <f>VLOOKUP(F1045,[1]Mapa!A:B,2,0)</f>
        <v>Erico Luan de Jesus Silva</v>
      </c>
      <c r="H1045" s="3" t="s">
        <v>145</v>
      </c>
      <c r="I1045" s="3" t="str">
        <f>VLOOKUP(H1045,[1]Mapa!A:B,2,0)</f>
        <v>Erico Luan de Jesus Silva</v>
      </c>
      <c r="J1045" s="3" t="s">
        <v>93</v>
      </c>
      <c r="K1045" s="3" t="str">
        <f t="shared" si="1"/>
        <v>SKILL IGUAL</v>
      </c>
      <c r="L1045" s="3" t="s">
        <v>866</v>
      </c>
      <c r="M1045" s="3" t="s">
        <v>70</v>
      </c>
      <c r="N1045" s="3" t="s">
        <v>71</v>
      </c>
      <c r="O1045" s="3" t="s">
        <v>3162</v>
      </c>
      <c r="P1045" s="3" t="s">
        <v>867</v>
      </c>
      <c r="Q1045" s="31">
        <v>42746</v>
      </c>
      <c r="R1045" s="3" t="str">
        <f>IFERROR(VLOOKUP(J1045,[1]PL!A:B,2,0),"")</f>
        <v>PSG</v>
      </c>
      <c r="S1045" s="3" t="str">
        <f>IFERROR(VLOOKUP(H1045,[1]Mapa!A:D,4,0),"")</f>
        <v>PSG</v>
      </c>
      <c r="T1045" s="3"/>
      <c r="U1045" s="3"/>
      <c r="V1045" s="3"/>
    </row>
    <row r="1046" spans="1:22">
      <c r="A1046" s="3" t="str">
        <f>VLOOKUP(D1046,[1]Orc!A:B,2,0)</f>
        <v>Completed Surveys</v>
      </c>
      <c r="B1046" s="31">
        <f>VLOOKUP(D1046,[1]Orc!A:C,3,0)</f>
        <v>42742.73709116898</v>
      </c>
      <c r="C1046" s="31">
        <v>42740.472916666666</v>
      </c>
      <c r="D1046" s="3">
        <v>3035508081</v>
      </c>
      <c r="E1046" s="3" t="s">
        <v>52</v>
      </c>
      <c r="F1046" s="3" t="s">
        <v>927</v>
      </c>
      <c r="G1046" s="3" t="str">
        <f>VLOOKUP(F1046,[1]Mapa!A:B,2,0)</f>
        <v>Samuel De Oliveira</v>
      </c>
      <c r="H1046" s="3" t="s">
        <v>927</v>
      </c>
      <c r="I1046" s="3" t="str">
        <f>VLOOKUP(H1046,[1]Mapa!A:B,2,0)</f>
        <v>Samuel De Oliveira</v>
      </c>
      <c r="J1046" s="3" t="s">
        <v>100</v>
      </c>
      <c r="K1046" s="3" t="str">
        <f t="shared" si="1"/>
        <v>SKILL DIFERENTE</v>
      </c>
      <c r="L1046" s="3" t="s">
        <v>866</v>
      </c>
      <c r="M1046" s="3" t="s">
        <v>59</v>
      </c>
      <c r="N1046" s="3" t="s">
        <v>60</v>
      </c>
      <c r="O1046" s="3" t="s">
        <v>59</v>
      </c>
      <c r="P1046" s="3" t="s">
        <v>876</v>
      </c>
      <c r="Q1046" s="31">
        <v>42741</v>
      </c>
      <c r="R1046" s="3" t="str">
        <f>IFERROR(VLOOKUP(J1046,[1]PL!A:B,2,0),"")</f>
        <v>PSG</v>
      </c>
      <c r="S1046" s="3" t="str">
        <f>IFERROR(VLOOKUP(H1046,[1]Mapa!A:D,4,0),"")</f>
        <v>Hpi - Pc</v>
      </c>
      <c r="T1046" s="3" t="s">
        <v>3163</v>
      </c>
      <c r="U1046" s="3"/>
      <c r="V1046" s="3"/>
    </row>
    <row r="1047" spans="1:22">
      <c r="A1047" s="3" t="str">
        <f>VLOOKUP(D1047,[1]Orc!A:B,2,0)</f>
        <v>Sample Rejected</v>
      </c>
      <c r="B1047" s="31">
        <f>VLOOKUP(D1047,[1]Orc!A:C,3,0)</f>
        <v>42743.735176273149</v>
      </c>
      <c r="C1047" s="31">
        <v>42741.447916666664</v>
      </c>
      <c r="D1047" s="3">
        <v>3035508691</v>
      </c>
      <c r="E1047" s="3" t="s">
        <v>31</v>
      </c>
      <c r="F1047" s="3" t="s">
        <v>219</v>
      </c>
      <c r="G1047" s="3" t="str">
        <f>VLOOKUP(F1047,[1]Mapa!A:B,2,0)</f>
        <v>Rafael Dos Santos</v>
      </c>
      <c r="H1047" s="3" t="s">
        <v>209</v>
      </c>
      <c r="I1047" s="3" t="str">
        <f>VLOOKUP(H1047,[1]Mapa!A:B,2,0)</f>
        <v>Taina Alexsander Fernandes Pires</v>
      </c>
      <c r="J1047" s="3" t="s">
        <v>93</v>
      </c>
      <c r="K1047" s="3" t="str">
        <f t="shared" si="1"/>
        <v>SKILL DIFERENTE</v>
      </c>
      <c r="L1047" s="3" t="s">
        <v>871</v>
      </c>
      <c r="M1047" s="3" t="s">
        <v>84</v>
      </c>
      <c r="N1047" s="3" t="s">
        <v>85</v>
      </c>
      <c r="O1047" s="3" t="s">
        <v>925</v>
      </c>
      <c r="P1047" s="3" t="s">
        <v>876</v>
      </c>
      <c r="Q1047" s="31">
        <v>42742</v>
      </c>
      <c r="R1047" s="3" t="str">
        <f>IFERROR(VLOOKUP(J1047,[1]PL!A:B,2,0),"")</f>
        <v>PSG</v>
      </c>
      <c r="S1047" s="3" t="str">
        <f>IFERROR(VLOOKUP(H1047,[1]Mapa!A:D,4,0),"")</f>
        <v>FUPOTECH</v>
      </c>
      <c r="T1047" s="3"/>
      <c r="U1047" s="3"/>
      <c r="V1047" s="3" t="s">
        <v>876</v>
      </c>
    </row>
    <row r="1048" spans="1:22">
      <c r="A1048" s="3" t="str">
        <f>VLOOKUP(D1048,[1]Orc!A:B,2,0)</f>
        <v>Sample Rejected</v>
      </c>
      <c r="B1048" s="31">
        <f>VLOOKUP(D1048,[1]Orc!A:C,3,0)</f>
        <v>42743.735176273149</v>
      </c>
      <c r="C1048" s="31">
        <v>42741.448611111111</v>
      </c>
      <c r="D1048" s="3">
        <v>3035541847</v>
      </c>
      <c r="E1048" s="3" t="s">
        <v>31</v>
      </c>
      <c r="F1048" s="3" t="s">
        <v>200</v>
      </c>
      <c r="G1048" s="3" t="str">
        <f>VLOOKUP(F1048,[1]Mapa!A:B,2,0)</f>
        <v>Washington Silva De Oliveira</v>
      </c>
      <c r="H1048" s="3" t="s">
        <v>200</v>
      </c>
      <c r="I1048" s="3" t="str">
        <f>VLOOKUP(H1048,[1]Mapa!A:B,2,0)</f>
        <v>Washington Silva De Oliveira</v>
      </c>
      <c r="J1048" s="3" t="s">
        <v>93</v>
      </c>
      <c r="K1048" s="3" t="str">
        <f t="shared" si="1"/>
        <v>SKILL IGUAL</v>
      </c>
      <c r="L1048" s="3" t="s">
        <v>866</v>
      </c>
      <c r="M1048" s="3" t="s">
        <v>59</v>
      </c>
      <c r="N1048" s="3" t="s">
        <v>60</v>
      </c>
      <c r="O1048" s="3" t="s">
        <v>59</v>
      </c>
      <c r="P1048" s="3" t="s">
        <v>876</v>
      </c>
      <c r="Q1048" s="31">
        <v>42742</v>
      </c>
      <c r="R1048" s="3" t="str">
        <f>IFERROR(VLOOKUP(J1048,[1]PL!A:B,2,0),"")</f>
        <v>PSG</v>
      </c>
      <c r="S1048" s="3" t="str">
        <f>IFERROR(VLOOKUP(H1048,[1]Mapa!A:D,4,0),"")</f>
        <v>PSG</v>
      </c>
      <c r="T1048" s="3"/>
      <c r="U1048" s="3"/>
      <c r="V1048" s="3"/>
    </row>
    <row r="1049" spans="1:22">
      <c r="A1049" s="3" t="str">
        <f>VLOOKUP(D1049,[1]Orc!A:B,2,0)</f>
        <v>Not Responded</v>
      </c>
      <c r="B1049" s="31">
        <f>VLOOKUP(D1049,[1]Orc!A:C,3,0)</f>
        <v>42743.735176273149</v>
      </c>
      <c r="C1049" s="31">
        <v>42741.461805555555</v>
      </c>
      <c r="D1049" s="3">
        <v>3035470242</v>
      </c>
      <c r="E1049" s="3" t="s">
        <v>52</v>
      </c>
      <c r="F1049" s="3" t="s">
        <v>857</v>
      </c>
      <c r="G1049" s="3" t="str">
        <f>VLOOKUP(F1049,[1]Mapa!A:B,2,0)</f>
        <v>Takeo Guilheme Mizuno</v>
      </c>
      <c r="H1049" s="3" t="s">
        <v>115</v>
      </c>
      <c r="I1049" s="3" t="str">
        <f>VLOOKUP(H1049,[1]Mapa!A:B,2,0)</f>
        <v>Tiago Ferreira da Silva</v>
      </c>
      <c r="J1049" s="3" t="s">
        <v>93</v>
      </c>
      <c r="K1049" s="3" t="str">
        <f t="shared" si="1"/>
        <v>SKILL DIFERENTE</v>
      </c>
      <c r="L1049" s="3" t="s">
        <v>866</v>
      </c>
      <c r="M1049" s="3" t="s">
        <v>70</v>
      </c>
      <c r="N1049" s="3" t="s">
        <v>71</v>
      </c>
      <c r="O1049" s="3" t="s">
        <v>3164</v>
      </c>
      <c r="P1049" s="3" t="s">
        <v>867</v>
      </c>
      <c r="Q1049" s="31">
        <v>42747</v>
      </c>
      <c r="R1049" s="3" t="str">
        <f>IFERROR(VLOOKUP(J1049,[1]PL!A:B,2,0),"")</f>
        <v>PSG</v>
      </c>
      <c r="S1049" s="3" t="str">
        <f>IFERROR(VLOOKUP(H1049,[1]Mapa!A:D,4,0),"")</f>
        <v>FUPOTECH</v>
      </c>
      <c r="T1049" s="3"/>
      <c r="U1049" s="3" t="s">
        <v>3104</v>
      </c>
      <c r="V1049" s="3"/>
    </row>
    <row r="1050" spans="1:22">
      <c r="A1050" s="3" t="str">
        <f>VLOOKUP(D1050,[1]Orc!A:B,2,0)</f>
        <v>Completed Surveys</v>
      </c>
      <c r="B1050" s="31">
        <f>VLOOKUP(D1050,[1]Orc!A:C,3,0)</f>
        <v>42743.735176273149</v>
      </c>
      <c r="C1050" s="31">
        <v>42741.461805555555</v>
      </c>
      <c r="D1050" s="3">
        <v>3035542005</v>
      </c>
      <c r="E1050" s="3" t="s">
        <v>31</v>
      </c>
      <c r="F1050" s="3" t="s">
        <v>200</v>
      </c>
      <c r="G1050" s="3" t="str">
        <f>VLOOKUP(F1050,[1]Mapa!A:B,2,0)</f>
        <v>Washington Silva De Oliveira</v>
      </c>
      <c r="H1050" s="3" t="s">
        <v>200</v>
      </c>
      <c r="I1050" s="3" t="str">
        <f>VLOOKUP(H1050,[1]Mapa!A:B,2,0)</f>
        <v>Washington Silva De Oliveira</v>
      </c>
      <c r="J1050" s="3" t="s">
        <v>100</v>
      </c>
      <c r="K1050" s="3" t="str">
        <f t="shared" si="1"/>
        <v>SKILL IGUAL</v>
      </c>
      <c r="L1050" s="3" t="s">
        <v>866</v>
      </c>
      <c r="M1050" s="3" t="s">
        <v>59</v>
      </c>
      <c r="N1050" s="3" t="s">
        <v>60</v>
      </c>
      <c r="O1050" s="3" t="s">
        <v>123</v>
      </c>
      <c r="P1050" s="3" t="s">
        <v>867</v>
      </c>
      <c r="Q1050" s="31">
        <v>42746</v>
      </c>
      <c r="R1050" s="3" t="str">
        <f>IFERROR(VLOOKUP(J1050,[1]PL!A:B,2,0),"")</f>
        <v>PSG</v>
      </c>
      <c r="S1050" s="3" t="str">
        <f>IFERROR(VLOOKUP(H1050,[1]Mapa!A:D,4,0),"")</f>
        <v>PSG</v>
      </c>
      <c r="T1050" s="3" t="s">
        <v>3165</v>
      </c>
      <c r="U1050" s="3"/>
      <c r="V1050" s="3"/>
    </row>
    <row r="1051" spans="1:22">
      <c r="A1051" s="3" t="str">
        <f>VLOOKUP(D1051,[1]Orc!A:B,2,0)</f>
        <v>Not Responded</v>
      </c>
      <c r="B1051" s="31">
        <f>VLOOKUP(D1051,[1]Orc!A:C,3,0)</f>
        <v>42743.735176273149</v>
      </c>
      <c r="C1051" s="31">
        <v>42741.46597222222</v>
      </c>
      <c r="D1051" s="3">
        <v>3035401448</v>
      </c>
      <c r="E1051" s="3" t="s">
        <v>31</v>
      </c>
      <c r="F1051" s="3" t="s">
        <v>216</v>
      </c>
      <c r="G1051" s="3" t="str">
        <f>VLOOKUP(F1051,[1]Mapa!A:B,2,0)</f>
        <v>Lucas Almeida Dos Santos</v>
      </c>
      <c r="H1051" s="3" t="s">
        <v>209</v>
      </c>
      <c r="I1051" s="3" t="str">
        <f>VLOOKUP(H1051,[1]Mapa!A:B,2,0)</f>
        <v>Taina Alexsander Fernandes Pires</v>
      </c>
      <c r="J1051" s="3" t="s">
        <v>93</v>
      </c>
      <c r="K1051" s="3" t="str">
        <f t="shared" si="1"/>
        <v>SKILL DIFERENTE</v>
      </c>
      <c r="L1051" s="3" t="s">
        <v>866</v>
      </c>
      <c r="M1051" s="3" t="s">
        <v>70</v>
      </c>
      <c r="N1051" s="3" t="s">
        <v>71</v>
      </c>
      <c r="O1051" s="45" t="s">
        <v>3166</v>
      </c>
      <c r="P1051" s="3" t="s">
        <v>867</v>
      </c>
      <c r="Q1051" s="31">
        <v>42745</v>
      </c>
      <c r="R1051" s="3" t="str">
        <f>IFERROR(VLOOKUP(J1051,[1]PL!A:B,2,0),"")</f>
        <v>PSG</v>
      </c>
      <c r="S1051" s="3" t="str">
        <f>IFERROR(VLOOKUP(H1051,[1]Mapa!A:D,4,0),"")</f>
        <v>FUPOTECH</v>
      </c>
      <c r="T1051" s="3"/>
      <c r="U1051" s="3"/>
      <c r="V1051" s="3" t="s">
        <v>867</v>
      </c>
    </row>
    <row r="1052" spans="1:22">
      <c r="A1052" s="3" t="str">
        <f>VLOOKUP(D1052,[1]Orc!A:B,2,0)</f>
        <v>Bounced Back Emails</v>
      </c>
      <c r="B1052" s="31">
        <f>VLOOKUP(D1052,[1]Orc!A:C,3,0)</f>
        <v>42743.735176273149</v>
      </c>
      <c r="C1052" s="31">
        <v>42741.466666666667</v>
      </c>
      <c r="D1052" s="3">
        <v>3035508162</v>
      </c>
      <c r="E1052" s="3" t="s">
        <v>31</v>
      </c>
      <c r="F1052" s="3" t="s">
        <v>200</v>
      </c>
      <c r="G1052" s="3" t="str">
        <f>VLOOKUP(F1052,[1]Mapa!A:B,2,0)</f>
        <v>Washington Silva De Oliveira</v>
      </c>
      <c r="H1052" s="3" t="s">
        <v>195</v>
      </c>
      <c r="I1052" s="3" t="str">
        <f>VLOOKUP(H1052,[1]Mapa!A:B,2,0)</f>
        <v>Davi Teodoro de Jesus</v>
      </c>
      <c r="J1052" s="3" t="s">
        <v>100</v>
      </c>
      <c r="K1052" s="3" t="str">
        <f t="shared" si="1"/>
        <v>SKILL DIFERENTE</v>
      </c>
      <c r="L1052" s="3" t="s">
        <v>866</v>
      </c>
      <c r="M1052" s="3" t="s">
        <v>59</v>
      </c>
      <c r="N1052" s="3" t="s">
        <v>60</v>
      </c>
      <c r="O1052" s="3" t="s">
        <v>182</v>
      </c>
      <c r="P1052" s="3" t="s">
        <v>876</v>
      </c>
      <c r="Q1052" s="31">
        <v>42742</v>
      </c>
      <c r="R1052" s="3" t="str">
        <f>IFERROR(VLOOKUP(J1052,[1]PL!A:B,2,0),"")</f>
        <v>PSG</v>
      </c>
      <c r="S1052" s="3" t="str">
        <f>IFERROR(VLOOKUP(H1052,[1]Mapa!A:D,4,0),"")</f>
        <v>FUPO</v>
      </c>
      <c r="T1052" s="3"/>
      <c r="U1052" s="3"/>
      <c r="V1052" s="3"/>
    </row>
    <row r="1053" spans="1:22">
      <c r="A1053" s="3" t="str">
        <f>VLOOKUP(D1053,[1]Orc!A:B,2,0)</f>
        <v>Not Responded</v>
      </c>
      <c r="B1053" s="31">
        <f>VLOOKUP(D1053,[1]Orc!A:C,3,0)</f>
        <v>42743.735176273149</v>
      </c>
      <c r="C1053" s="31">
        <v>42741.467361111114</v>
      </c>
      <c r="D1053" s="3">
        <v>3035542120</v>
      </c>
      <c r="E1053" s="3" t="s">
        <v>31</v>
      </c>
      <c r="F1053" s="3" t="s">
        <v>223</v>
      </c>
      <c r="G1053" s="3" t="str">
        <f>VLOOKUP(F1053,[1]Mapa!A:B,2,0)</f>
        <v>Daniel Sousa Pinheiro</v>
      </c>
      <c r="H1053" s="3" t="s">
        <v>223</v>
      </c>
      <c r="I1053" s="3" t="str">
        <f>VLOOKUP(H1053,[1]Mapa!A:B,2,0)</f>
        <v>Daniel Sousa Pinheiro</v>
      </c>
      <c r="J1053" s="3" t="s">
        <v>93</v>
      </c>
      <c r="K1053" s="3" t="str">
        <f t="shared" si="1"/>
        <v>SKILL IGUAL</v>
      </c>
      <c r="L1053" s="3" t="s">
        <v>866</v>
      </c>
      <c r="M1053" s="3" t="s">
        <v>70</v>
      </c>
      <c r="N1053" s="3" t="s">
        <v>886</v>
      </c>
      <c r="O1053" s="3" t="s">
        <v>3167</v>
      </c>
      <c r="P1053" s="3" t="s">
        <v>876</v>
      </c>
      <c r="Q1053" s="31">
        <v>42742</v>
      </c>
      <c r="R1053" s="3" t="str">
        <f>IFERROR(VLOOKUP(J1053,[1]PL!A:B,2,0),"")</f>
        <v>PSG</v>
      </c>
      <c r="S1053" s="3" t="str">
        <f>IFERROR(VLOOKUP(H1053,[1]Mapa!A:D,4,0),"")</f>
        <v>PSG</v>
      </c>
      <c r="T1053" s="3"/>
      <c r="U1053" s="3"/>
      <c r="V1053" s="3"/>
    </row>
    <row r="1054" spans="1:22">
      <c r="A1054" s="3" t="str">
        <f>VLOOKUP(D1054,[1]Orc!A:B,2,0)</f>
        <v>Completed Surveys</v>
      </c>
      <c r="B1054" s="31">
        <f>VLOOKUP(D1054,[1]Orc!A:C,3,0)</f>
        <v>42743.735176273149</v>
      </c>
      <c r="C1054" s="31">
        <v>42741.476388888892</v>
      </c>
      <c r="D1054" s="3">
        <v>3035513625</v>
      </c>
      <c r="E1054" s="3" t="s">
        <v>31</v>
      </c>
      <c r="F1054" s="3" t="s">
        <v>219</v>
      </c>
      <c r="G1054" s="3" t="str">
        <f>VLOOKUP(F1054,[1]Mapa!A:B,2,0)</f>
        <v>Rafael Dos Santos</v>
      </c>
      <c r="H1054" s="3" t="s">
        <v>209</v>
      </c>
      <c r="I1054" s="3" t="str">
        <f>VLOOKUP(H1054,[1]Mapa!A:B,2,0)</f>
        <v>Taina Alexsander Fernandes Pires</v>
      </c>
      <c r="J1054" s="3" t="s">
        <v>93</v>
      </c>
      <c r="K1054" s="3" t="str">
        <f t="shared" si="1"/>
        <v>SKILL DIFERENTE</v>
      </c>
      <c r="L1054" s="3" t="s">
        <v>866</v>
      </c>
      <c r="M1054" s="3" t="s">
        <v>59</v>
      </c>
      <c r="N1054" s="3" t="s">
        <v>60</v>
      </c>
      <c r="O1054" s="3" t="s">
        <v>3168</v>
      </c>
      <c r="P1054" s="3" t="s">
        <v>867</v>
      </c>
      <c r="Q1054" s="31">
        <v>42746</v>
      </c>
      <c r="R1054" s="3" t="str">
        <f>IFERROR(VLOOKUP(J1054,[1]PL!A:B,2,0),"")</f>
        <v>PSG</v>
      </c>
      <c r="S1054" s="3" t="str">
        <f>IFERROR(VLOOKUP(H1054,[1]Mapa!A:D,4,0),"")</f>
        <v>FUPOTECH</v>
      </c>
      <c r="T1054" s="3"/>
      <c r="U1054" s="3"/>
      <c r="V1054" s="3"/>
    </row>
    <row r="1055" spans="1:22">
      <c r="A1055" s="3" t="str">
        <f>VLOOKUP(D1055,[1]Orc!A:B,2,0)</f>
        <v>Bounced Back Emails</v>
      </c>
      <c r="B1055" s="31">
        <f>VLOOKUP(D1055,[1]Orc!A:C,3,0)</f>
        <v>42743.735176273149</v>
      </c>
      <c r="C1055" s="31">
        <v>42741.479861111111</v>
      </c>
      <c r="D1055" s="3">
        <v>3035541917</v>
      </c>
      <c r="E1055" s="3" t="s">
        <v>31</v>
      </c>
      <c r="F1055" s="3" t="s">
        <v>227</v>
      </c>
      <c r="G1055" s="3" t="str">
        <f>VLOOKUP(F1055,[1]Mapa!A:B,2,0)</f>
        <v>Bruno Henrique Padua Colella</v>
      </c>
      <c r="H1055" s="3" t="s">
        <v>227</v>
      </c>
      <c r="I1055" s="3" t="str">
        <f>VLOOKUP(H1055,[1]Mapa!A:B,2,0)</f>
        <v>Bruno Henrique Padua Colella</v>
      </c>
      <c r="J1055" s="3" t="s">
        <v>93</v>
      </c>
      <c r="K1055" s="3" t="str">
        <f t="shared" si="1"/>
        <v>SKILL IGUAL</v>
      </c>
      <c r="L1055" s="3" t="s">
        <v>871</v>
      </c>
      <c r="M1055" s="3" t="s">
        <v>932</v>
      </c>
      <c r="N1055" s="3" t="s">
        <v>881</v>
      </c>
      <c r="O1055" s="3" t="s">
        <v>3145</v>
      </c>
      <c r="P1055" s="3" t="s">
        <v>876</v>
      </c>
      <c r="Q1055" s="31">
        <v>42742</v>
      </c>
      <c r="R1055" s="3" t="str">
        <f>IFERROR(VLOOKUP(J1055,[1]PL!A:B,2,0),"")</f>
        <v>PSG</v>
      </c>
      <c r="S1055" s="3" t="str">
        <f>IFERROR(VLOOKUP(H1055,[1]Mapa!A:D,4,0),"")</f>
        <v>PSG</v>
      </c>
      <c r="T1055" s="3"/>
      <c r="U1055" s="3"/>
      <c r="V1055" s="3"/>
    </row>
    <row r="1056" spans="1:22">
      <c r="A1056" s="3" t="str">
        <f>VLOOKUP(D1056,[1]Orc!A:B,2,0)</f>
        <v>Bounced Back Emails</v>
      </c>
      <c r="B1056" s="31">
        <f>VLOOKUP(D1056,[1]Orc!A:C,3,0)</f>
        <v>42743.735176273149</v>
      </c>
      <c r="C1056" s="31">
        <v>42741.527777777781</v>
      </c>
      <c r="D1056" s="3">
        <v>3035543323</v>
      </c>
      <c r="E1056" s="3" t="s">
        <v>39</v>
      </c>
      <c r="F1056" s="3" t="s">
        <v>240</v>
      </c>
      <c r="G1056" s="3" t="str">
        <f>VLOOKUP(F1056,[1]Mapa!A:B,2,0)</f>
        <v>Renato Da Silva Andrade</v>
      </c>
      <c r="H1056" s="3" t="s">
        <v>240</v>
      </c>
      <c r="I1056" s="3" t="str">
        <f>VLOOKUP(H1056,[1]Mapa!A:B,2,0)</f>
        <v>Renato Da Silva Andrade</v>
      </c>
      <c r="J1056" s="3" t="s">
        <v>93</v>
      </c>
      <c r="K1056" s="3" t="str">
        <f t="shared" si="1"/>
        <v>SKILL IGUAL</v>
      </c>
      <c r="L1056" s="3" t="s">
        <v>871</v>
      </c>
      <c r="M1056" s="3" t="s">
        <v>932</v>
      </c>
      <c r="N1056" s="3" t="s">
        <v>85</v>
      </c>
      <c r="O1056" s="3" t="s">
        <v>925</v>
      </c>
      <c r="P1056" s="3" t="s">
        <v>876</v>
      </c>
      <c r="Q1056" s="31">
        <v>42742</v>
      </c>
      <c r="R1056" s="3" t="str">
        <f>IFERROR(VLOOKUP(J1056,[1]PL!A:B,2,0),"")</f>
        <v>PSG</v>
      </c>
      <c r="S1056" s="3" t="str">
        <f>IFERROR(VLOOKUP(H1056,[1]Mapa!A:D,4,0),"")</f>
        <v>PSG</v>
      </c>
      <c r="T1056" s="3"/>
      <c r="U1056" s="3"/>
      <c r="V1056" s="3" t="s">
        <v>876</v>
      </c>
    </row>
    <row r="1057" spans="1:22">
      <c r="A1057" s="3" t="str">
        <f>VLOOKUP(D1057,[1]Orc!A:B,2,0)</f>
        <v>Bounced Back Emails</v>
      </c>
      <c r="B1057" s="31">
        <f>VLOOKUP(D1057,[1]Orc!A:C,3,0)</f>
        <v>42743.735176273149</v>
      </c>
      <c r="C1057" s="31">
        <v>42741.529166666667</v>
      </c>
      <c r="D1057" s="3">
        <v>3035523042</v>
      </c>
      <c r="E1057" s="3" t="s">
        <v>39</v>
      </c>
      <c r="F1057" s="3" t="s">
        <v>246</v>
      </c>
      <c r="G1057" s="3" t="str">
        <f>VLOOKUP(F1057,[1]Mapa!A:B,2,0)</f>
        <v>Wellington Da Silva De Oliveira</v>
      </c>
      <c r="H1057" s="3" t="s">
        <v>230</v>
      </c>
      <c r="I1057" s="3" t="e">
        <f>VLOOKUP(H1057,[1]Mapa!A:B,2,0)</f>
        <v>#N/A</v>
      </c>
      <c r="J1057" s="3" t="s">
        <v>93</v>
      </c>
      <c r="K1057" s="3" t="str">
        <f t="shared" si="1"/>
        <v>SKILL DIFERENTE</v>
      </c>
      <c r="L1057" s="3" t="s">
        <v>871</v>
      </c>
      <c r="M1057" s="3" t="s">
        <v>932</v>
      </c>
      <c r="N1057" s="3" t="s">
        <v>85</v>
      </c>
      <c r="O1057" s="3" t="s">
        <v>84</v>
      </c>
      <c r="P1057" s="3" t="s">
        <v>876</v>
      </c>
      <c r="Q1057" s="31">
        <v>42742</v>
      </c>
      <c r="R1057" s="3" t="str">
        <f>IFERROR(VLOOKUP(J1057,[1]PL!A:B,2,0),"")</f>
        <v>PSG</v>
      </c>
      <c r="S1057" s="3" t="str">
        <f>IFERROR(VLOOKUP(H1057,[1]Mapa!A:D,4,0),"")</f>
        <v/>
      </c>
      <c r="T1057" s="3"/>
      <c r="U1057" s="3"/>
      <c r="V1057" s="3" t="s">
        <v>876</v>
      </c>
    </row>
    <row r="1058" spans="1:22">
      <c r="A1058" s="3" t="str">
        <f>VLOOKUP(D1058,[1]Orc!A:B,2,0)</f>
        <v>Sample Rejected</v>
      </c>
      <c r="B1058" s="31">
        <f>VLOOKUP(D1058,[1]Orc!A:C,3,0)</f>
        <v>42743.735176273149</v>
      </c>
      <c r="C1058" s="31">
        <v>42741.55972222222</v>
      </c>
      <c r="D1058" s="3">
        <v>3035545181</v>
      </c>
      <c r="E1058" s="3" t="s">
        <v>31</v>
      </c>
      <c r="F1058" s="3" t="s">
        <v>200</v>
      </c>
      <c r="G1058" s="3" t="str">
        <f>VLOOKUP(F1058,[1]Mapa!A:B,2,0)</f>
        <v>Washington Silva De Oliveira</v>
      </c>
      <c r="H1058" s="3" t="s">
        <v>200</v>
      </c>
      <c r="I1058" s="3" t="str">
        <f>VLOOKUP(H1058,[1]Mapa!A:B,2,0)</f>
        <v>Washington Silva De Oliveira</v>
      </c>
      <c r="J1058" s="3" t="s">
        <v>93</v>
      </c>
      <c r="K1058" s="3" t="str">
        <f t="shared" si="1"/>
        <v>SKILL IGUAL</v>
      </c>
      <c r="L1058" s="3" t="s">
        <v>871</v>
      </c>
      <c r="M1058" s="3" t="s">
        <v>932</v>
      </c>
      <c r="N1058" s="3" t="s">
        <v>85</v>
      </c>
      <c r="O1058" s="3" t="s">
        <v>84</v>
      </c>
      <c r="P1058" s="3" t="s">
        <v>876</v>
      </c>
      <c r="Q1058" s="31">
        <v>42742</v>
      </c>
      <c r="R1058" s="3" t="str">
        <f>IFERROR(VLOOKUP(J1058,[1]PL!A:B,2,0),"")</f>
        <v>PSG</v>
      </c>
      <c r="S1058" s="3" t="str">
        <f>IFERROR(VLOOKUP(H1058,[1]Mapa!A:D,4,0),"")</f>
        <v>PSG</v>
      </c>
      <c r="T1058" s="3"/>
      <c r="U1058" s="3"/>
      <c r="V1058" s="3" t="s">
        <v>876</v>
      </c>
    </row>
    <row r="1059" spans="1:22">
      <c r="A1059" s="3" t="str">
        <f>VLOOKUP(D1059,[1]Orc!A:B,2,0)</f>
        <v>Completed Surveys</v>
      </c>
      <c r="B1059" s="31">
        <f>VLOOKUP(D1059,[1]Orc!A:C,3,0)</f>
        <v>42742.73709116898</v>
      </c>
      <c r="C1059" s="31">
        <v>42740.50277777778</v>
      </c>
      <c r="D1059" s="3">
        <v>3035434952</v>
      </c>
      <c r="E1059" s="3" t="s">
        <v>31</v>
      </c>
      <c r="F1059" s="3" t="s">
        <v>216</v>
      </c>
      <c r="G1059" s="3" t="str">
        <f>VLOOKUP(F1059,[1]Mapa!A:B,2,0)</f>
        <v>Lucas Almeida Dos Santos</v>
      </c>
      <c r="H1059" s="3" t="s">
        <v>206</v>
      </c>
      <c r="I1059" s="3" t="str">
        <f>VLOOKUP(H1059,[1]Mapa!A:B,2,0)</f>
        <v>Alvani Elizabete Aliano de Oliveira</v>
      </c>
      <c r="J1059" s="3" t="s">
        <v>93</v>
      </c>
      <c r="K1059" s="3" t="str">
        <f t="shared" si="1"/>
        <v>SKILL IGUAL</v>
      </c>
      <c r="L1059" s="3" t="s">
        <v>866</v>
      </c>
      <c r="M1059" s="3" t="s">
        <v>59</v>
      </c>
      <c r="N1059" s="3" t="s">
        <v>60</v>
      </c>
      <c r="O1059" s="3" t="s">
        <v>3169</v>
      </c>
      <c r="P1059" s="3" t="s">
        <v>876</v>
      </c>
      <c r="Q1059" s="31">
        <v>42741</v>
      </c>
      <c r="R1059" s="3" t="str">
        <f>IFERROR(VLOOKUP(J1059,[1]PL!A:B,2,0),"")</f>
        <v>PSG</v>
      </c>
      <c r="S1059" s="3" t="str">
        <f>IFERROR(VLOOKUP(H1059,[1]Mapa!A:D,4,0),"")</f>
        <v>PSG</v>
      </c>
      <c r="T1059" s="3"/>
      <c r="U1059" s="3"/>
      <c r="V1059" s="3"/>
    </row>
    <row r="1060" spans="1:22">
      <c r="A1060" s="3" t="str">
        <f>VLOOKUP(D1060,[1]Orc!A:B,2,0)</f>
        <v>Not Responded</v>
      </c>
      <c r="B1060" s="31">
        <f>VLOOKUP(D1060,[1]Orc!A:C,3,0)</f>
        <v>42744.734167210649</v>
      </c>
      <c r="C1060" s="31">
        <v>42742.739583333336</v>
      </c>
      <c r="D1060" s="3">
        <v>3035527363</v>
      </c>
      <c r="E1060" s="3" t="s">
        <v>39</v>
      </c>
      <c r="F1060" s="3" t="s">
        <v>246</v>
      </c>
      <c r="G1060" s="3" t="str">
        <f>VLOOKUP(F1060,[1]Mapa!A:B,2,0)</f>
        <v>Wellington Da Silva De Oliveira</v>
      </c>
      <c r="H1060" s="3" t="s">
        <v>236</v>
      </c>
      <c r="I1060" s="3" t="str">
        <f>VLOOKUP(H1060,[1]Mapa!A:B,2,0)</f>
        <v>Stefany Aparecida Alexandre De Franca</v>
      </c>
      <c r="J1060" s="3" t="s">
        <v>93</v>
      </c>
      <c r="K1060" s="3" t="str">
        <f t="shared" si="1"/>
        <v>SKILL IGUAL</v>
      </c>
      <c r="L1060" s="3" t="s">
        <v>866</v>
      </c>
      <c r="M1060" s="3" t="s">
        <v>59</v>
      </c>
      <c r="N1060" s="3" t="s">
        <v>60</v>
      </c>
      <c r="O1060" s="3" t="s">
        <v>3602</v>
      </c>
      <c r="P1060" s="3" t="s">
        <v>867</v>
      </c>
      <c r="Q1060" s="31">
        <v>42749</v>
      </c>
      <c r="R1060" s="3" t="str">
        <f>IFERROR(VLOOKUP(J1060,[1]PL!A:B,2,0),"")</f>
        <v>PSG</v>
      </c>
      <c r="S1060" s="3" t="str">
        <f>IFERROR(VLOOKUP(H1060,[1]Mapa!A:D,4,0),"")</f>
        <v>PSG</v>
      </c>
      <c r="T1060" s="3"/>
      <c r="U1060" s="3"/>
      <c r="V1060" s="3"/>
    </row>
    <row r="1061" spans="1:22">
      <c r="A1061" s="3" t="str">
        <f>VLOOKUP(D1061,[1]Orc!A:B,2,0)</f>
        <v>Completed Surveys</v>
      </c>
      <c r="B1061" s="31">
        <f>VLOOKUP(D1061,[1]Orc!A:C,3,0)</f>
        <v>42742.73709116898</v>
      </c>
      <c r="C1061" s="31">
        <v>42740.611111111109</v>
      </c>
      <c r="D1061" s="3">
        <v>3035514556</v>
      </c>
      <c r="E1061" s="3" t="s">
        <v>39</v>
      </c>
      <c r="F1061" s="3" t="s">
        <v>234</v>
      </c>
      <c r="G1061" s="3" t="str">
        <f>VLOOKUP(F1061,[1]Mapa!A:B,2,0)</f>
        <v>Levi De Sousa Barros</v>
      </c>
      <c r="H1061" s="3" t="s">
        <v>234</v>
      </c>
      <c r="I1061" s="3" t="str">
        <f>VLOOKUP(H1061,[1]Mapa!A:B,2,0)</f>
        <v>Levi De Sousa Barros</v>
      </c>
      <c r="J1061" s="3" t="s">
        <v>93</v>
      </c>
      <c r="K1061" s="3" t="str">
        <f t="shared" si="1"/>
        <v>SKILL IGUAL</v>
      </c>
      <c r="L1061" s="3" t="s">
        <v>871</v>
      </c>
      <c r="M1061" s="3" t="s">
        <v>932</v>
      </c>
      <c r="N1061" s="3" t="s">
        <v>85</v>
      </c>
      <c r="O1061" s="3" t="s">
        <v>84</v>
      </c>
      <c r="P1061" s="3" t="s">
        <v>876</v>
      </c>
      <c r="Q1061" s="31">
        <v>42741</v>
      </c>
      <c r="R1061" s="3" t="str">
        <f>IFERROR(VLOOKUP(J1061,[1]PL!A:B,2,0),"")</f>
        <v>PSG</v>
      </c>
      <c r="S1061" s="3" t="str">
        <f>IFERROR(VLOOKUP(H1061,[1]Mapa!A:D,4,0),"")</f>
        <v>PSG</v>
      </c>
      <c r="T1061" s="3"/>
      <c r="U1061" s="3"/>
      <c r="V1061" s="3"/>
    </row>
    <row r="1062" spans="1:22">
      <c r="A1062" s="3" t="str">
        <f>VLOOKUP(D1062,[1]Orc!A:B,2,0)</f>
        <v>Not Responded</v>
      </c>
      <c r="B1062" s="31">
        <f>VLOOKUP(D1062,[1]Orc!A:C,3,0)</f>
        <v>42744.734167210649</v>
      </c>
      <c r="C1062" s="31">
        <v>42742.740277777775</v>
      </c>
      <c r="D1062" s="3">
        <v>3035492771</v>
      </c>
      <c r="E1062" s="3" t="s">
        <v>39</v>
      </c>
      <c r="F1062" s="3" t="s">
        <v>250</v>
      </c>
      <c r="G1062" s="3" t="str">
        <f>VLOOKUP(F1062,[1]Mapa!A:B,2,0)</f>
        <v>Filipe Augusto Fernandes De Oliveira</v>
      </c>
      <c r="H1062" s="3" t="s">
        <v>244</v>
      </c>
      <c r="I1062" s="3" t="str">
        <f>VLOOKUP(H1062,[1]Mapa!A:B,2,0)</f>
        <v>Clarina Praxedes Alfredo</v>
      </c>
      <c r="J1062" s="3" t="s">
        <v>93</v>
      </c>
      <c r="K1062" s="3" t="str">
        <f t="shared" si="1"/>
        <v>SKILL IGUAL</v>
      </c>
      <c r="L1062" s="3" t="s">
        <v>866</v>
      </c>
      <c r="M1062" s="3" t="s">
        <v>59</v>
      </c>
      <c r="N1062" s="3" t="s">
        <v>60</v>
      </c>
      <c r="O1062" s="3" t="s">
        <v>3656</v>
      </c>
      <c r="P1062" s="3" t="s">
        <v>867</v>
      </c>
      <c r="Q1062" s="31">
        <v>42746</v>
      </c>
      <c r="R1062" s="3" t="str">
        <f>IFERROR(VLOOKUP(J1062,[1]PL!A:B,2,0),"")</f>
        <v>PSG</v>
      </c>
      <c r="S1062" s="3" t="str">
        <f>IFERROR(VLOOKUP(H1062,[1]Mapa!A:D,4,0),"")</f>
        <v>PSG</v>
      </c>
      <c r="T1062" s="3" t="s">
        <v>3657</v>
      </c>
      <c r="U1062" s="3"/>
      <c r="V1062" s="3"/>
    </row>
    <row r="1063" spans="1:22">
      <c r="A1063" s="3" t="str">
        <f>VLOOKUP(D1063,[1]Orc!A:B,2,0)</f>
        <v>Not Responded</v>
      </c>
      <c r="B1063" s="31">
        <f>VLOOKUP(D1063,[1]Orc!A:C,3,0)</f>
        <v>42743.735176273149</v>
      </c>
      <c r="C1063" s="31">
        <v>42741.642361111109</v>
      </c>
      <c r="D1063" s="3">
        <v>3035243213</v>
      </c>
      <c r="E1063" s="3" t="s">
        <v>23</v>
      </c>
      <c r="F1063" s="3" t="s">
        <v>179</v>
      </c>
      <c r="G1063" s="3" t="str">
        <f>VLOOKUP(F1063,[1]Mapa!A:B,2,0)</f>
        <v>Victor Arruda Do Carmo</v>
      </c>
      <c r="H1063" s="3" t="s">
        <v>139</v>
      </c>
      <c r="I1063" s="3" t="str">
        <f>VLOOKUP(H1063,[1]Mapa!A:B,2,0)</f>
        <v>Vanderlei Valentim Vieira</v>
      </c>
      <c r="J1063" s="3" t="s">
        <v>93</v>
      </c>
      <c r="K1063" s="3" t="str">
        <f t="shared" si="1"/>
        <v>SKILL DIFERENTE</v>
      </c>
      <c r="L1063" s="3" t="s">
        <v>866</v>
      </c>
      <c r="M1063" s="3" t="s">
        <v>70</v>
      </c>
      <c r="N1063" s="3" t="s">
        <v>71</v>
      </c>
      <c r="O1063" s="3" t="s">
        <v>3171</v>
      </c>
      <c r="P1063" s="3" t="s">
        <v>867</v>
      </c>
      <c r="Q1063" s="31">
        <v>42742</v>
      </c>
      <c r="R1063" s="3" t="str">
        <f>IFERROR(VLOOKUP(J1063,[1]PL!A:B,2,0),"")</f>
        <v>PSG</v>
      </c>
      <c r="S1063" s="3" t="str">
        <f>IFERROR(VLOOKUP(H1063,[1]Mapa!A:D,4,0),"")</f>
        <v>FUPOTECH</v>
      </c>
      <c r="T1063" s="3"/>
      <c r="U1063" s="3" t="s">
        <v>3104</v>
      </c>
      <c r="V1063" s="3"/>
    </row>
    <row r="1064" spans="1:22">
      <c r="A1064" s="3" t="str">
        <f>VLOOKUP(D1064,[1]Orc!A:B,2,0)</f>
        <v>Not Responded</v>
      </c>
      <c r="B1064" s="31">
        <f>VLOOKUP(D1064,[1]Orc!A:C,3,0)</f>
        <v>42743.735176273149</v>
      </c>
      <c r="C1064" s="31">
        <v>42741.711805555555</v>
      </c>
      <c r="D1064" s="3">
        <v>3035480979</v>
      </c>
      <c r="E1064" s="3" t="s">
        <v>39</v>
      </c>
      <c r="F1064" s="3" t="s">
        <v>244</v>
      </c>
      <c r="G1064" s="3" t="str">
        <f>VLOOKUP(F1064,[1]Mapa!A:B,2,0)</f>
        <v>Clarina Praxedes Alfredo</v>
      </c>
      <c r="H1064" s="3" t="s">
        <v>236</v>
      </c>
      <c r="I1064" s="3" t="str">
        <f>VLOOKUP(H1064,[1]Mapa!A:B,2,0)</f>
        <v>Stefany Aparecida Alexandre De Franca</v>
      </c>
      <c r="J1064" s="3" t="s">
        <v>93</v>
      </c>
      <c r="K1064" s="3" t="str">
        <f t="shared" si="1"/>
        <v>SKILL IGUAL</v>
      </c>
      <c r="L1064" s="3" t="s">
        <v>866</v>
      </c>
      <c r="M1064" s="3" t="s">
        <v>70</v>
      </c>
      <c r="N1064" s="3" t="s">
        <v>71</v>
      </c>
      <c r="O1064" s="3" t="s">
        <v>3172</v>
      </c>
      <c r="P1064" s="3" t="s">
        <v>867</v>
      </c>
      <c r="Q1064" s="31">
        <v>42747</v>
      </c>
      <c r="R1064" s="3" t="str">
        <f>IFERROR(VLOOKUP(J1064,[1]PL!A:B,2,0),"")</f>
        <v>PSG</v>
      </c>
      <c r="S1064" s="3" t="str">
        <f>IFERROR(VLOOKUP(H1064,[1]Mapa!A:D,4,0),"")</f>
        <v>PSG</v>
      </c>
      <c r="T1064" s="3"/>
      <c r="U1064" s="3" t="s">
        <v>3104</v>
      </c>
      <c r="V1064" s="3"/>
    </row>
    <row r="1065" spans="1:22">
      <c r="A1065" s="3" t="str">
        <f>VLOOKUP(D1065,[1]Orc!A:B,2,0)</f>
        <v>Sample Rejected</v>
      </c>
      <c r="B1065" s="31">
        <f>VLOOKUP(D1065,[1]Orc!A:C,3,0)</f>
        <v>42743.735176273149</v>
      </c>
      <c r="C1065" s="31">
        <v>42741.730555555558</v>
      </c>
      <c r="D1065" s="3">
        <v>3035553100</v>
      </c>
      <c r="E1065" s="3" t="s">
        <v>39</v>
      </c>
      <c r="F1065" s="3" t="s">
        <v>246</v>
      </c>
      <c r="G1065" s="3" t="str">
        <f>VLOOKUP(F1065,[1]Mapa!A:B,2,0)</f>
        <v>Wellington Da Silva De Oliveira</v>
      </c>
      <c r="H1065" s="3" t="s">
        <v>246</v>
      </c>
      <c r="I1065" s="3" t="str">
        <f>VLOOKUP(H1065,[1]Mapa!A:B,2,0)</f>
        <v>Wellington Da Silva De Oliveira</v>
      </c>
      <c r="J1065" s="3" t="s">
        <v>93</v>
      </c>
      <c r="K1065" s="3" t="str">
        <f t="shared" si="1"/>
        <v>SKILL IGUAL</v>
      </c>
      <c r="L1065" s="3" t="s">
        <v>866</v>
      </c>
      <c r="M1065" s="3" t="s">
        <v>59</v>
      </c>
      <c r="N1065" s="3" t="s">
        <v>60</v>
      </c>
      <c r="O1065" s="3" t="s">
        <v>123</v>
      </c>
      <c r="P1065" s="3" t="s">
        <v>867</v>
      </c>
      <c r="Q1065" s="31">
        <v>42742</v>
      </c>
      <c r="R1065" s="3" t="str">
        <f>IFERROR(VLOOKUP(J1065,[1]PL!A:B,2,0),"")</f>
        <v>PSG</v>
      </c>
      <c r="S1065" s="3" t="str">
        <f>IFERROR(VLOOKUP(H1065,[1]Mapa!A:D,4,0),"")</f>
        <v>PSG</v>
      </c>
      <c r="T1065" s="3"/>
      <c r="U1065" s="3"/>
      <c r="V1065" s="3"/>
    </row>
    <row r="1066" spans="1:22">
      <c r="A1066" s="3" t="str">
        <f>VLOOKUP(D1066,[1]Orc!A:B,2,0)</f>
        <v>Completed Surveys</v>
      </c>
      <c r="B1066" s="31">
        <f>VLOOKUP(D1066,[1]Orc!A:C,3,0)</f>
        <v>42743.735176273149</v>
      </c>
      <c r="C1066" s="31">
        <v>42741.73541666667</v>
      </c>
      <c r="D1066" s="3">
        <v>3035553780</v>
      </c>
      <c r="E1066" s="3" t="s">
        <v>39</v>
      </c>
      <c r="F1066" s="3" t="s">
        <v>234</v>
      </c>
      <c r="G1066" s="3" t="str">
        <f>VLOOKUP(F1066,[1]Mapa!A:B,2,0)</f>
        <v>Levi De Sousa Barros</v>
      </c>
      <c r="H1066" s="3" t="s">
        <v>234</v>
      </c>
      <c r="I1066" s="3" t="str">
        <f>VLOOKUP(H1066,[1]Mapa!A:B,2,0)</f>
        <v>Levi De Sousa Barros</v>
      </c>
      <c r="J1066" s="3" t="s">
        <v>93</v>
      </c>
      <c r="K1066" s="3" t="str">
        <f t="shared" si="1"/>
        <v>SKILL IGUAL</v>
      </c>
      <c r="L1066" s="3" t="s">
        <v>866</v>
      </c>
      <c r="M1066" s="3" t="s">
        <v>59</v>
      </c>
      <c r="N1066" s="3" t="s">
        <v>60</v>
      </c>
      <c r="O1066" s="3" t="s">
        <v>3173</v>
      </c>
      <c r="P1066" s="3" t="s">
        <v>867</v>
      </c>
      <c r="Q1066" s="31">
        <v>42742</v>
      </c>
      <c r="R1066" s="3" t="str">
        <f>IFERROR(VLOOKUP(J1066,[1]PL!A:B,2,0),"")</f>
        <v>PSG</v>
      </c>
      <c r="S1066" s="3" t="str">
        <f>IFERROR(VLOOKUP(H1066,[1]Mapa!A:D,4,0),"")</f>
        <v>PSG</v>
      </c>
      <c r="T1066" s="3"/>
      <c r="U1066" s="3"/>
      <c r="V1066" s="3"/>
    </row>
    <row r="1067" spans="1:22">
      <c r="A1067" s="3" t="str">
        <f>VLOOKUP(D1067,[1]Orc!A:B,2,0)</f>
        <v>Completed Surveys</v>
      </c>
      <c r="B1067" s="31">
        <f>VLOOKUP(D1067,[1]Orc!A:C,3,0)</f>
        <v>42742.73709116898</v>
      </c>
      <c r="C1067" s="31">
        <v>42740.659722222219</v>
      </c>
      <c r="D1067" s="3">
        <v>3035444305</v>
      </c>
      <c r="E1067" s="3" t="s">
        <v>39</v>
      </c>
      <c r="F1067" s="3" t="s">
        <v>231</v>
      </c>
      <c r="G1067" s="3" t="str">
        <f>VLOOKUP(F1067,[1]Mapa!A:B,2,0)</f>
        <v>Lucas Da Silva Pinto</v>
      </c>
      <c r="H1067" s="3" t="s">
        <v>238</v>
      </c>
      <c r="I1067" s="3" t="str">
        <f>VLOOKUP(H1067,[1]Mapa!A:B,2,0)</f>
        <v>Fernando Souza De Almeida</v>
      </c>
      <c r="J1067" s="3" t="s">
        <v>93</v>
      </c>
      <c r="K1067" s="3" t="str">
        <f t="shared" si="1"/>
        <v>SKILL DIFERENTE</v>
      </c>
      <c r="L1067" s="3" t="s">
        <v>866</v>
      </c>
      <c r="M1067" s="3" t="s">
        <v>844</v>
      </c>
      <c r="N1067" s="3" t="s">
        <v>845</v>
      </c>
      <c r="O1067" s="3" t="s">
        <v>3174</v>
      </c>
      <c r="P1067" s="3" t="s">
        <v>876</v>
      </c>
      <c r="Q1067" s="31">
        <v>42744</v>
      </c>
      <c r="R1067" s="3" t="str">
        <f>IFERROR(VLOOKUP(J1067,[1]PL!A:B,2,0),"")</f>
        <v>PSG</v>
      </c>
      <c r="S1067" s="3" t="str">
        <f>IFERROR(VLOOKUP(H1067,[1]Mapa!A:D,4,0),"")</f>
        <v>FUPOTECH</v>
      </c>
      <c r="T1067" s="3"/>
      <c r="U1067" s="3"/>
      <c r="V1067" s="3"/>
    </row>
    <row r="1068" spans="1:22">
      <c r="A1068" s="3" t="str">
        <f>VLOOKUP(D1068,[1]Orc!A:B,2,0)</f>
        <v>Not Responded</v>
      </c>
      <c r="B1068" s="31">
        <f>VLOOKUP(D1068,[1]Orc!A:C,3,0)</f>
        <v>42743.735176273149</v>
      </c>
      <c r="C1068" s="31">
        <v>42741.751388888886</v>
      </c>
      <c r="D1068" s="3">
        <v>3035554515</v>
      </c>
      <c r="E1068" s="3" t="s">
        <v>39</v>
      </c>
      <c r="F1068" s="3" t="s">
        <v>231</v>
      </c>
      <c r="G1068" s="3" t="str">
        <f>VLOOKUP(F1068,[1]Mapa!A:B,2,0)</f>
        <v>Lucas Da Silva Pinto</v>
      </c>
      <c r="H1068" s="3" t="s">
        <v>231</v>
      </c>
      <c r="I1068" s="3" t="str">
        <f>VLOOKUP(H1068,[1]Mapa!A:B,2,0)</f>
        <v>Lucas Da Silva Pinto</v>
      </c>
      <c r="J1068" s="3" t="s">
        <v>93</v>
      </c>
      <c r="K1068" s="3" t="str">
        <f t="shared" si="1"/>
        <v>SKILL IGUAL</v>
      </c>
      <c r="L1068" s="3" t="s">
        <v>866</v>
      </c>
      <c r="M1068" s="3" t="s">
        <v>70</v>
      </c>
      <c r="N1068" s="3" t="s">
        <v>60</v>
      </c>
      <c r="O1068" s="3" t="s">
        <v>3175</v>
      </c>
      <c r="P1068" s="3" t="s">
        <v>876</v>
      </c>
      <c r="Q1068" s="31">
        <v>42744</v>
      </c>
      <c r="R1068" s="3" t="str">
        <f>IFERROR(VLOOKUP(J1068,[1]PL!A:B,2,0),"")</f>
        <v>PSG</v>
      </c>
      <c r="S1068" s="3" t="str">
        <f>IFERROR(VLOOKUP(H1068,[1]Mapa!A:D,4,0),"")</f>
        <v>PSG</v>
      </c>
      <c r="T1068" s="3"/>
      <c r="U1068" s="3" t="s">
        <v>3104</v>
      </c>
      <c r="V1068" s="3"/>
    </row>
    <row r="1069" spans="1:22">
      <c r="A1069" s="3" t="str">
        <f>VLOOKUP(D1069,[1]Orc!A:B,2,0)</f>
        <v>Bounced Back Emails</v>
      </c>
      <c r="B1069" s="31">
        <f>VLOOKUP(D1069,[1]Orc!A:C,3,0)</f>
        <v>42743.735176273149</v>
      </c>
      <c r="C1069" s="31">
        <v>42741.793749999997</v>
      </c>
      <c r="D1069" s="3">
        <v>3035524840</v>
      </c>
      <c r="E1069" s="3" t="s">
        <v>39</v>
      </c>
      <c r="F1069" s="3" t="s">
        <v>244</v>
      </c>
      <c r="G1069" s="3" t="str">
        <f>VLOOKUP(F1069,[1]Mapa!A:B,2,0)</f>
        <v>Clarina Praxedes Alfredo</v>
      </c>
      <c r="H1069" s="3" t="s">
        <v>236</v>
      </c>
      <c r="I1069" s="3" t="str">
        <f>VLOOKUP(H1069,[1]Mapa!A:B,2,0)</f>
        <v>Stefany Aparecida Alexandre De Franca</v>
      </c>
      <c r="J1069" s="3" t="s">
        <v>93</v>
      </c>
      <c r="K1069" s="3" t="str">
        <f t="shared" si="1"/>
        <v>SKILL IGUAL</v>
      </c>
      <c r="L1069" s="3" t="s">
        <v>871</v>
      </c>
      <c r="M1069" s="3" t="s">
        <v>932</v>
      </c>
      <c r="N1069" s="3" t="s">
        <v>85</v>
      </c>
      <c r="O1069" s="3" t="s">
        <v>920</v>
      </c>
      <c r="P1069" s="3" t="s">
        <v>867</v>
      </c>
      <c r="Q1069" s="31">
        <v>42742</v>
      </c>
      <c r="R1069" s="3" t="str">
        <f>IFERROR(VLOOKUP(J1069,[1]PL!A:B,2,0),"")</f>
        <v>PSG</v>
      </c>
      <c r="S1069" s="3" t="str">
        <f>IFERROR(VLOOKUP(H1069,[1]Mapa!A:D,4,0),"")</f>
        <v>PSG</v>
      </c>
      <c r="T1069" s="3"/>
      <c r="U1069" s="3"/>
      <c r="V1069" s="3"/>
    </row>
    <row r="1070" spans="1:22">
      <c r="A1070" s="3" t="str">
        <f>VLOOKUP(D1070,[1]Orc!A:B,2,0)</f>
        <v>Completed Surveys</v>
      </c>
      <c r="B1070" s="31">
        <f>VLOOKUP(D1070,[1]Orc!A:C,3,0)</f>
        <v>42742.73709116898</v>
      </c>
      <c r="C1070" s="31">
        <v>42740.667361111111</v>
      </c>
      <c r="D1070" s="3">
        <v>3035443652</v>
      </c>
      <c r="E1070" s="3" t="s">
        <v>52</v>
      </c>
      <c r="F1070" s="3" t="s">
        <v>857</v>
      </c>
      <c r="G1070" s="3" t="str">
        <f>VLOOKUP(F1070,[1]Mapa!A:B,2,0)</f>
        <v>Takeo Guilheme Mizuno</v>
      </c>
      <c r="H1070" s="3" t="s">
        <v>244</v>
      </c>
      <c r="I1070" s="3" t="str">
        <f>VLOOKUP(H1070,[1]Mapa!A:B,2,0)</f>
        <v>Clarina Praxedes Alfredo</v>
      </c>
      <c r="J1070" s="3" t="s">
        <v>93</v>
      </c>
      <c r="K1070" s="3" t="str">
        <f t="shared" si="1"/>
        <v>SKILL IGUAL</v>
      </c>
      <c r="L1070" s="3" t="s">
        <v>866</v>
      </c>
      <c r="M1070" s="3" t="s">
        <v>59</v>
      </c>
      <c r="N1070" s="3" t="s">
        <v>60</v>
      </c>
      <c r="O1070" s="3" t="s">
        <v>3176</v>
      </c>
      <c r="P1070" s="3" t="s">
        <v>876</v>
      </c>
      <c r="Q1070" s="31">
        <v>42744</v>
      </c>
      <c r="R1070" s="3" t="str">
        <f>IFERROR(VLOOKUP(J1070,[1]PL!A:B,2,0),"")</f>
        <v>PSG</v>
      </c>
      <c r="S1070" s="3" t="str">
        <f>IFERROR(VLOOKUP(H1070,[1]Mapa!A:D,4,0),"")</f>
        <v>PSG</v>
      </c>
      <c r="T1070" s="3"/>
      <c r="U1070" s="3"/>
      <c r="V1070" s="3"/>
    </row>
    <row r="1071" spans="1:22">
      <c r="A1071" s="3" t="str">
        <f>VLOOKUP(D1071,[1]Orc!A:B,2,0)</f>
        <v>Not Responded</v>
      </c>
      <c r="B1071" s="31">
        <f>VLOOKUP(D1071,[1]Orc!A:C,3,0)</f>
        <v>42747.737639085652</v>
      </c>
      <c r="C1071" s="31">
        <v>42744.428472222222</v>
      </c>
      <c r="D1071" s="3">
        <v>3035470040</v>
      </c>
      <c r="E1071" s="3" t="s">
        <v>52</v>
      </c>
      <c r="F1071" s="3" t="s">
        <v>926</v>
      </c>
      <c r="G1071" s="3" t="str">
        <f>VLOOKUP(F1071,[1]Mapa!A:B,2,0)</f>
        <v>Lazaro Barbosa De Oliveira</v>
      </c>
      <c r="H1071" s="3" t="s">
        <v>115</v>
      </c>
      <c r="I1071" s="3" t="str">
        <f>VLOOKUP(H1071,[1]Mapa!A:B,2,0)</f>
        <v>Tiago Ferreira da Silva</v>
      </c>
      <c r="J1071" s="3" t="s">
        <v>100</v>
      </c>
      <c r="K1071" s="3" t="str">
        <f t="shared" si="1"/>
        <v>SKILL DIFERENTE</v>
      </c>
      <c r="L1071" s="3" t="s">
        <v>866</v>
      </c>
      <c r="M1071" s="3" t="s">
        <v>59</v>
      </c>
      <c r="N1071" s="3" t="s">
        <v>60</v>
      </c>
      <c r="O1071" s="3" t="s">
        <v>3188</v>
      </c>
      <c r="P1071" s="3" t="s">
        <v>876</v>
      </c>
      <c r="Q1071" s="31">
        <v>42745</v>
      </c>
      <c r="R1071" s="3" t="str">
        <f>IFERROR(VLOOKUP(J1071,[1]PL!A:B,2,0),"")</f>
        <v>PSG</v>
      </c>
      <c r="S1071" s="3" t="str">
        <f>IFERROR(VLOOKUP(H1071,[1]Mapa!A:D,4,0),"")</f>
        <v>FUPOTECH</v>
      </c>
      <c r="T1071" s="3" t="s">
        <v>3658</v>
      </c>
      <c r="U1071" s="3"/>
      <c r="V1071" s="3"/>
    </row>
    <row r="1072" spans="1:22">
      <c r="A1072" s="3" t="str">
        <f>VLOOKUP(D1072,[1]Orc!A:B,2,0)</f>
        <v>Sample Rejected</v>
      </c>
      <c r="B1072" s="31">
        <f>VLOOKUP(D1072,[1]Orc!A:C,3,0)</f>
        <v>42743.735176273149</v>
      </c>
      <c r="C1072" s="31">
        <v>42741.814583333333</v>
      </c>
      <c r="D1072" s="3">
        <v>3035523835</v>
      </c>
      <c r="E1072" s="3" t="s">
        <v>39</v>
      </c>
      <c r="F1072" s="3" t="s">
        <v>250</v>
      </c>
      <c r="G1072" s="3" t="str">
        <f>VLOOKUP(F1072,[1]Mapa!A:B,2,0)</f>
        <v>Filipe Augusto Fernandes De Oliveira</v>
      </c>
      <c r="H1072" s="3" t="s">
        <v>238</v>
      </c>
      <c r="I1072" s="3" t="str">
        <f>VLOOKUP(H1072,[1]Mapa!A:B,2,0)</f>
        <v>Fernando Souza De Almeida</v>
      </c>
      <c r="J1072" s="3" t="s">
        <v>93</v>
      </c>
      <c r="K1072" s="3" t="str">
        <f t="shared" si="1"/>
        <v>SKILL DIFERENTE</v>
      </c>
      <c r="L1072" s="3" t="s">
        <v>871</v>
      </c>
      <c r="M1072" s="3" t="s">
        <v>84</v>
      </c>
      <c r="N1072" s="3" t="s">
        <v>85</v>
      </c>
      <c r="O1072" s="3" t="s">
        <v>887</v>
      </c>
      <c r="P1072" s="3" t="s">
        <v>867</v>
      </c>
      <c r="Q1072" s="31">
        <v>42742</v>
      </c>
      <c r="R1072" s="3" t="str">
        <f>IFERROR(VLOOKUP(J1072,[1]PL!A:B,2,0),"")</f>
        <v>PSG</v>
      </c>
      <c r="S1072" s="3" t="str">
        <f>IFERROR(VLOOKUP(H1072,[1]Mapa!A:D,4,0),"")</f>
        <v>FUPOTECH</v>
      </c>
      <c r="T1072" s="3"/>
      <c r="U1072" s="3"/>
      <c r="V1072" s="3"/>
    </row>
    <row r="1073" spans="1:22">
      <c r="A1073" s="3" t="str">
        <f>VLOOKUP(D1073,[1]Orc!A:B,2,0)</f>
        <v>Bounced Back Emails</v>
      </c>
      <c r="B1073" s="31">
        <f>VLOOKUP(D1073,[1]Orc!A:C,3,0)</f>
        <v>42743.735176273149</v>
      </c>
      <c r="C1073" s="31">
        <v>42741.825694444444</v>
      </c>
      <c r="D1073" s="3">
        <v>3035526852</v>
      </c>
      <c r="E1073" s="3" t="s">
        <v>39</v>
      </c>
      <c r="F1073" s="3" t="s">
        <v>250</v>
      </c>
      <c r="G1073" s="3" t="str">
        <f>VLOOKUP(F1073,[1]Mapa!A:B,2,0)</f>
        <v>Filipe Augusto Fernandes De Oliveira</v>
      </c>
      <c r="H1073" s="3" t="s">
        <v>238</v>
      </c>
      <c r="I1073" s="3" t="str">
        <f>VLOOKUP(H1073,[1]Mapa!A:B,2,0)</f>
        <v>Fernando Souza De Almeida</v>
      </c>
      <c r="J1073" s="3" t="s">
        <v>93</v>
      </c>
      <c r="K1073" s="3" t="str">
        <f t="shared" si="1"/>
        <v>SKILL DIFERENTE</v>
      </c>
      <c r="L1073" s="3" t="s">
        <v>871</v>
      </c>
      <c r="M1073" s="3" t="s">
        <v>84</v>
      </c>
      <c r="N1073" s="3" t="s">
        <v>85</v>
      </c>
      <c r="O1073" s="3" t="s">
        <v>887</v>
      </c>
      <c r="P1073" s="3" t="s">
        <v>867</v>
      </c>
      <c r="Q1073" s="31">
        <v>42742</v>
      </c>
      <c r="R1073" s="3" t="str">
        <f>IFERROR(VLOOKUP(J1073,[1]PL!A:B,2,0),"")</f>
        <v>PSG</v>
      </c>
      <c r="S1073" s="3" t="str">
        <f>IFERROR(VLOOKUP(H1073,[1]Mapa!A:D,4,0),"")</f>
        <v>FUPOTECH</v>
      </c>
      <c r="T1073" s="3"/>
      <c r="U1073" s="3"/>
      <c r="V1073" s="3"/>
    </row>
    <row r="1074" spans="1:22">
      <c r="A1074" s="3" t="str">
        <f>VLOOKUP(D1074,[1]Orc!A:B,2,0)</f>
        <v>Completed Surveys</v>
      </c>
      <c r="B1074" s="31">
        <f>VLOOKUP(D1074,[1]Orc!A:C,3,0)</f>
        <v>42743.735176273149</v>
      </c>
      <c r="C1074" s="31">
        <v>42741.433333333334</v>
      </c>
      <c r="D1074" s="3">
        <v>3035508708</v>
      </c>
      <c r="E1074" s="3" t="s">
        <v>31</v>
      </c>
      <c r="F1074" s="3" t="s">
        <v>200</v>
      </c>
      <c r="G1074" s="3" t="str">
        <f>VLOOKUP(F1074,[1]Mapa!A:B,2,0)</f>
        <v>Washington Silva De Oliveira</v>
      </c>
      <c r="H1074" s="3" t="s">
        <v>209</v>
      </c>
      <c r="I1074" s="3" t="str">
        <f>VLOOKUP(H1074,[1]Mapa!A:B,2,0)</f>
        <v>Taina Alexsander Fernandes Pires</v>
      </c>
      <c r="J1074" s="3" t="s">
        <v>100</v>
      </c>
      <c r="K1074" s="3" t="str">
        <f t="shared" si="1"/>
        <v>SKILL DIFERENTE</v>
      </c>
      <c r="L1074" s="3" t="s">
        <v>866</v>
      </c>
      <c r="M1074" s="3" t="s">
        <v>59</v>
      </c>
      <c r="N1074" s="3" t="s">
        <v>60</v>
      </c>
      <c r="O1074" s="3" t="s">
        <v>59</v>
      </c>
      <c r="P1074" s="3" t="s">
        <v>876</v>
      </c>
      <c r="Q1074" s="31">
        <v>42742</v>
      </c>
      <c r="R1074" s="3" t="str">
        <f>IFERROR(VLOOKUP(J1074,[1]PL!A:B,2,0),"")</f>
        <v>PSG</v>
      </c>
      <c r="S1074" s="3" t="str">
        <f>IFERROR(VLOOKUP(H1074,[1]Mapa!A:D,4,0),"")</f>
        <v>FUPOTECH</v>
      </c>
      <c r="T1074" s="3"/>
      <c r="U1074" s="3"/>
      <c r="V1074" s="3"/>
    </row>
    <row r="1075" spans="1:22">
      <c r="A1075" s="3" t="str">
        <f>VLOOKUP(D1075,[1]Orc!A:B,2,0)</f>
        <v>Not Responded</v>
      </c>
      <c r="B1075" s="31">
        <f>VLOOKUP(D1075,[1]Orc!A:C,3,0)</f>
        <v>42746.737756446761</v>
      </c>
      <c r="C1075" s="31">
        <v>42744.45208333333</v>
      </c>
      <c r="D1075" s="3">
        <v>3035541616</v>
      </c>
      <c r="E1075" s="3" t="s">
        <v>31</v>
      </c>
      <c r="F1075" s="3" t="s">
        <v>227</v>
      </c>
      <c r="G1075" s="3" t="str">
        <f>VLOOKUP(F1075,[1]Mapa!A:B,2,0)</f>
        <v>Bruno Henrique Padua Colella</v>
      </c>
      <c r="H1075" s="3" t="s">
        <v>209</v>
      </c>
      <c r="I1075" s="3" t="str">
        <f>VLOOKUP(H1075,[1]Mapa!A:B,2,0)</f>
        <v>Taina Alexsander Fernandes Pires</v>
      </c>
      <c r="J1075" s="3" t="s">
        <v>93</v>
      </c>
      <c r="K1075" s="3" t="str">
        <f t="shared" ref="K1075:K1138" si="2">IFERROR(IF(S1075=R1075,"SKILL IGUAL","SKILL DIFERENTE"),"-")</f>
        <v>SKILL DIFERENTE</v>
      </c>
      <c r="L1075" s="3" t="s">
        <v>866</v>
      </c>
      <c r="M1075" s="3" t="s">
        <v>59</v>
      </c>
      <c r="N1075" s="3" t="s">
        <v>60</v>
      </c>
      <c r="O1075" s="3" t="s">
        <v>182</v>
      </c>
      <c r="P1075" s="3" t="s">
        <v>876</v>
      </c>
      <c r="Q1075" s="31">
        <v>42745</v>
      </c>
      <c r="R1075" s="3" t="str">
        <f>IFERROR(VLOOKUP(J1075,[1]PL!A:B,2,0),"")</f>
        <v>PSG</v>
      </c>
      <c r="S1075" s="3" t="str">
        <f>IFERROR(VLOOKUP(H1075,[1]Mapa!A:D,4,0),"")</f>
        <v>FUPOTECH</v>
      </c>
      <c r="T1075" s="3" t="s">
        <v>3190</v>
      </c>
      <c r="U1075" s="3"/>
      <c r="V1075" s="3"/>
    </row>
    <row r="1076" spans="1:22">
      <c r="A1076" s="3" t="str">
        <f>VLOOKUP(D1076,[1]Orc!A:B,2,0)</f>
        <v>Not Responded</v>
      </c>
      <c r="B1076" s="31">
        <f>VLOOKUP(D1076,[1]Orc!A:C,3,0)</f>
        <v>42743.735176273149</v>
      </c>
      <c r="C1076" s="31">
        <v>42741.898611111108</v>
      </c>
      <c r="D1076" s="3">
        <v>3035560076</v>
      </c>
      <c r="E1076" s="3" t="s">
        <v>39</v>
      </c>
      <c r="F1076" s="3" t="s">
        <v>234</v>
      </c>
      <c r="G1076" s="3" t="str">
        <f>VLOOKUP(F1076,[1]Mapa!A:B,2,0)</f>
        <v>Levi De Sousa Barros</v>
      </c>
      <c r="H1076" s="3" t="s">
        <v>234</v>
      </c>
      <c r="I1076" s="3" t="str">
        <f>VLOOKUP(H1076,[1]Mapa!A:B,2,0)</f>
        <v>Levi De Sousa Barros</v>
      </c>
      <c r="J1076" s="3" t="s">
        <v>93</v>
      </c>
      <c r="K1076" s="3" t="str">
        <f t="shared" si="2"/>
        <v>SKILL IGUAL</v>
      </c>
      <c r="L1076" s="3" t="s">
        <v>866</v>
      </c>
      <c r="M1076" s="3" t="s">
        <v>70</v>
      </c>
      <c r="N1076" s="3" t="s">
        <v>71</v>
      </c>
      <c r="O1076" s="3" t="s">
        <v>3177</v>
      </c>
      <c r="P1076" s="3" t="s">
        <v>867</v>
      </c>
      <c r="Q1076" s="31">
        <v>42746</v>
      </c>
      <c r="R1076" s="3" t="str">
        <f>IFERROR(VLOOKUP(J1076,[1]PL!A:B,2,0),"")</f>
        <v>PSG</v>
      </c>
      <c r="S1076" s="3" t="str">
        <f>IFERROR(VLOOKUP(H1076,[1]Mapa!A:D,4,0),"")</f>
        <v>PSG</v>
      </c>
      <c r="T1076" s="3"/>
      <c r="U1076" s="3" t="s">
        <v>3104</v>
      </c>
      <c r="V1076" s="3"/>
    </row>
    <row r="1077" spans="1:22">
      <c r="A1077" s="3" t="str">
        <f>VLOOKUP(D1077,[1]Orc!A:B,2,0)</f>
        <v>Completed Surveys</v>
      </c>
      <c r="B1077" s="31">
        <f>VLOOKUP(D1077,[1]Orc!A:C,3,0)</f>
        <v>42743.735176273149</v>
      </c>
      <c r="C1077" s="31">
        <v>42741.441666666666</v>
      </c>
      <c r="D1077" s="3">
        <v>3035541735</v>
      </c>
      <c r="E1077" s="3" t="s">
        <v>31</v>
      </c>
      <c r="F1077" s="3" t="s">
        <v>213</v>
      </c>
      <c r="G1077" s="3" t="str">
        <f>VLOOKUP(F1077,[1]Mapa!A:B,2,0)</f>
        <v>Leonardo Cantilho Maracas</v>
      </c>
      <c r="H1077" s="3" t="s">
        <v>213</v>
      </c>
      <c r="I1077" s="3" t="str">
        <f>VLOOKUP(H1077,[1]Mapa!A:B,2,0)</f>
        <v>Leonardo Cantilho Maracas</v>
      </c>
      <c r="J1077" s="3" t="s">
        <v>100</v>
      </c>
      <c r="K1077" s="3" t="str">
        <f t="shared" si="2"/>
        <v>SKILL IGUAL</v>
      </c>
      <c r="L1077" s="3" t="s">
        <v>866</v>
      </c>
      <c r="M1077" s="3" t="s">
        <v>59</v>
      </c>
      <c r="N1077" s="3" t="s">
        <v>71</v>
      </c>
      <c r="O1077" s="3" t="s">
        <v>3178</v>
      </c>
      <c r="P1077" s="3" t="s">
        <v>876</v>
      </c>
      <c r="Q1077" s="31">
        <v>42742</v>
      </c>
      <c r="R1077" s="3" t="str">
        <f>IFERROR(VLOOKUP(J1077,[1]PL!A:B,2,0),"")</f>
        <v>PSG</v>
      </c>
      <c r="S1077" s="3" t="str">
        <f>IFERROR(VLOOKUP(H1077,[1]Mapa!A:D,4,0),"")</f>
        <v>PSG</v>
      </c>
      <c r="T1077" s="3"/>
      <c r="U1077" s="3"/>
      <c r="V1077" s="3"/>
    </row>
    <row r="1078" spans="1:22">
      <c r="A1078" s="3" t="str">
        <f>VLOOKUP(D1078,[1]Orc!A:B,2,0)</f>
        <v>Completed Surveys</v>
      </c>
      <c r="B1078" s="31">
        <f>VLOOKUP(D1078,[1]Orc!A:C,3,0)</f>
        <v>42744.734167210649</v>
      </c>
      <c r="C1078" s="31">
        <v>42742.429166666669</v>
      </c>
      <c r="D1078" s="3">
        <v>3035568033</v>
      </c>
      <c r="E1078" s="3" t="s">
        <v>31</v>
      </c>
      <c r="F1078" s="3" t="s">
        <v>213</v>
      </c>
      <c r="G1078" s="3" t="str">
        <f>VLOOKUP(F1078,[1]Mapa!A:B,2,0)</f>
        <v>Leonardo Cantilho Maracas</v>
      </c>
      <c r="H1078" s="3" t="s">
        <v>213</v>
      </c>
      <c r="I1078" s="3" t="str">
        <f>VLOOKUP(H1078,[1]Mapa!A:B,2,0)</f>
        <v>Leonardo Cantilho Maracas</v>
      </c>
      <c r="J1078" s="3" t="s">
        <v>100</v>
      </c>
      <c r="K1078" s="3" t="str">
        <f t="shared" si="2"/>
        <v>SKILL IGUAL</v>
      </c>
      <c r="L1078" s="3" t="s">
        <v>866</v>
      </c>
      <c r="M1078" s="3" t="s">
        <v>59</v>
      </c>
      <c r="N1078" s="3" t="s">
        <v>60</v>
      </c>
      <c r="O1078" s="3" t="s">
        <v>229</v>
      </c>
      <c r="P1078" s="3" t="s">
        <v>867</v>
      </c>
      <c r="Q1078" s="31">
        <v>42745</v>
      </c>
      <c r="R1078" s="3" t="str">
        <f>IFERROR(VLOOKUP(J1078,[1]PL!A:B,2,0),"")</f>
        <v>PSG</v>
      </c>
      <c r="S1078" s="3" t="str">
        <f>IFERROR(VLOOKUP(H1078,[1]Mapa!A:D,4,0),"")</f>
        <v>PSG</v>
      </c>
      <c r="T1078" s="3" t="s">
        <v>3630</v>
      </c>
      <c r="U1078" s="3"/>
      <c r="V1078" s="3"/>
    </row>
    <row r="1079" spans="1:22">
      <c r="A1079" s="3" t="str">
        <f>VLOOKUP(D1079,[1]Orc!A:B,2,0)</f>
        <v>Not Responded</v>
      </c>
      <c r="B1079" s="31">
        <f>VLOOKUP(D1079,[1]Orc!A:C,3,0)</f>
        <v>42746.737756446761</v>
      </c>
      <c r="C1079" s="31">
        <v>42744.522916666669</v>
      </c>
      <c r="D1079" s="3">
        <v>3035569553</v>
      </c>
      <c r="E1079" s="3" t="s">
        <v>31</v>
      </c>
      <c r="F1079" s="3" t="s">
        <v>200</v>
      </c>
      <c r="G1079" s="3" t="str">
        <f>VLOOKUP(F1079,[1]Mapa!A:B,2,0)</f>
        <v>Washington Silva De Oliveira</v>
      </c>
      <c r="H1079" s="3" t="s">
        <v>209</v>
      </c>
      <c r="I1079" s="3" t="str">
        <f>VLOOKUP(H1079,[1]Mapa!A:B,2,0)</f>
        <v>Taina Alexsander Fernandes Pires</v>
      </c>
      <c r="J1079" s="3" t="s">
        <v>100</v>
      </c>
      <c r="K1079" s="3" t="str">
        <f t="shared" si="2"/>
        <v>SKILL DIFERENTE</v>
      </c>
      <c r="L1079" s="3" t="s">
        <v>866</v>
      </c>
      <c r="M1079" s="3" t="s">
        <v>59</v>
      </c>
      <c r="N1079" s="3" t="s">
        <v>60</v>
      </c>
      <c r="O1079" s="3" t="s">
        <v>3603</v>
      </c>
      <c r="P1079" s="3" t="s">
        <v>867</v>
      </c>
      <c r="Q1079" s="31">
        <v>42749</v>
      </c>
      <c r="R1079" s="3" t="str">
        <f>IFERROR(VLOOKUP(J1079,[1]PL!A:B,2,0),"")</f>
        <v>PSG</v>
      </c>
      <c r="S1079" s="3" t="str">
        <f>IFERROR(VLOOKUP(H1079,[1]Mapa!A:D,4,0),"")</f>
        <v>FUPOTECH</v>
      </c>
      <c r="T1079" s="3" t="s">
        <v>4245</v>
      </c>
      <c r="U1079" s="3"/>
      <c r="V1079" s="3"/>
    </row>
    <row r="1080" spans="1:22">
      <c r="A1080" s="3" t="str">
        <f>VLOOKUP(D1080,[1]Orc!A:B,2,0)</f>
        <v>Completed Surveys</v>
      </c>
      <c r="B1080" s="31">
        <f>VLOOKUP(D1080,[1]Orc!A:C,3,0)</f>
        <v>42744.734167210649</v>
      </c>
      <c r="C1080" s="31">
        <v>42742.392361111109</v>
      </c>
      <c r="D1080" s="3">
        <v>3035567802</v>
      </c>
      <c r="E1080" s="3" t="s">
        <v>31</v>
      </c>
      <c r="F1080" s="3" t="s">
        <v>206</v>
      </c>
      <c r="G1080" s="3" t="str">
        <f>VLOOKUP(F1080,[1]Mapa!A:B,2,0)</f>
        <v>Alvani Elizabete Aliano de Oliveira</v>
      </c>
      <c r="H1080" s="3" t="s">
        <v>206</v>
      </c>
      <c r="I1080" s="3" t="str">
        <f>VLOOKUP(H1080,[1]Mapa!A:B,2,0)</f>
        <v>Alvani Elizabete Aliano de Oliveira</v>
      </c>
      <c r="J1080" s="3" t="s">
        <v>93</v>
      </c>
      <c r="K1080" s="3" t="str">
        <f t="shared" si="2"/>
        <v>SKILL IGUAL</v>
      </c>
      <c r="L1080" s="3" t="s">
        <v>866</v>
      </c>
      <c r="M1080" s="3" t="s">
        <v>59</v>
      </c>
      <c r="N1080" s="3" t="s">
        <v>60</v>
      </c>
      <c r="O1080" s="3" t="s">
        <v>3180</v>
      </c>
      <c r="P1080" s="3" t="s">
        <v>876</v>
      </c>
      <c r="Q1080" s="31">
        <v>42744</v>
      </c>
      <c r="R1080" s="3" t="str">
        <f>IFERROR(VLOOKUP(J1080,[1]PL!A:B,2,0),"")</f>
        <v>PSG</v>
      </c>
      <c r="S1080" s="3" t="str">
        <f>IFERROR(VLOOKUP(H1080,[1]Mapa!A:D,4,0),"")</f>
        <v>PSG</v>
      </c>
      <c r="T1080" s="3"/>
      <c r="U1080" s="3"/>
      <c r="V1080" s="3"/>
    </row>
    <row r="1081" spans="1:22">
      <c r="A1081" s="3" t="str">
        <f>VLOOKUP(D1081,[1]Orc!A:B,2,0)</f>
        <v>Not Responded</v>
      </c>
      <c r="B1081" s="31">
        <f>VLOOKUP(D1081,[1]Orc!A:C,3,0)</f>
        <v>42744.734167210649</v>
      </c>
      <c r="C1081" s="31">
        <v>42742.597916666666</v>
      </c>
      <c r="D1081" s="3">
        <v>3035570137</v>
      </c>
      <c r="E1081" s="3" t="s">
        <v>31</v>
      </c>
      <c r="F1081" s="3" t="s">
        <v>113</v>
      </c>
      <c r="G1081" s="3" t="str">
        <f>VLOOKUP(F1081,[1]Mapa!A:B,2,0)</f>
        <v>Daniel Dantas De Oliveira</v>
      </c>
      <c r="H1081" s="3" t="s">
        <v>113</v>
      </c>
      <c r="I1081" s="3" t="str">
        <f>VLOOKUP(H1081,[1]Mapa!A:B,2,0)</f>
        <v>Daniel Dantas De Oliveira</v>
      </c>
      <c r="J1081" s="3" t="s">
        <v>93</v>
      </c>
      <c r="K1081" s="3" t="str">
        <f t="shared" si="2"/>
        <v>SKILL DIFERENTE</v>
      </c>
      <c r="L1081" s="3" t="s">
        <v>866</v>
      </c>
      <c r="M1081" s="3" t="s">
        <v>70</v>
      </c>
      <c r="N1081" s="3" t="s">
        <v>71</v>
      </c>
      <c r="O1081" s="3" t="s">
        <v>3181</v>
      </c>
      <c r="P1081" s="3" t="s">
        <v>876</v>
      </c>
      <c r="Q1081" s="31">
        <v>42744</v>
      </c>
      <c r="R1081" s="3" t="str">
        <f>IFERROR(VLOOKUP(J1081,[1]PL!A:B,2,0),"")</f>
        <v>PSG</v>
      </c>
      <c r="S1081" s="3" t="str">
        <f>IFERROR(VLOOKUP(H1081,[1]Mapa!A:D,4,0),"")</f>
        <v>IPG</v>
      </c>
      <c r="T1081" s="3"/>
      <c r="U1081" s="3"/>
      <c r="V1081" s="3" t="s">
        <v>3182</v>
      </c>
    </row>
    <row r="1082" spans="1:22">
      <c r="A1082" s="3" t="str">
        <f>VLOOKUP(D1082,[1]Orc!A:B,2,0)</f>
        <v>Not Responded</v>
      </c>
      <c r="B1082" s="31">
        <f>VLOOKUP(D1082,[1]Orc!A:C,3,0)</f>
        <v>42744.734167210649</v>
      </c>
      <c r="C1082" s="31">
        <v>42742.618750000001</v>
      </c>
      <c r="D1082" s="3">
        <v>3035271275</v>
      </c>
      <c r="E1082" s="3" t="s">
        <v>39</v>
      </c>
      <c r="F1082" s="3" t="s">
        <v>240</v>
      </c>
      <c r="G1082" s="3" t="str">
        <f>VLOOKUP(F1082,[1]Mapa!A:B,2,0)</f>
        <v>Renato Da Silva Andrade</v>
      </c>
      <c r="H1082" s="3" t="s">
        <v>230</v>
      </c>
      <c r="I1082" s="3" t="e">
        <f>VLOOKUP(H1082,[1]Mapa!A:B,2,0)</f>
        <v>#N/A</v>
      </c>
      <c r="J1082" s="3" t="s">
        <v>93</v>
      </c>
      <c r="K1082" s="3" t="str">
        <f t="shared" si="2"/>
        <v>SKILL DIFERENTE</v>
      </c>
      <c r="L1082" s="3" t="s">
        <v>866</v>
      </c>
      <c r="M1082" s="3" t="s">
        <v>70</v>
      </c>
      <c r="N1082" s="3" t="s">
        <v>75</v>
      </c>
      <c r="O1082" s="3" t="s">
        <v>3183</v>
      </c>
      <c r="P1082" s="3" t="s">
        <v>867</v>
      </c>
      <c r="Q1082" s="31">
        <v>42744</v>
      </c>
      <c r="R1082" s="3" t="str">
        <f>IFERROR(VLOOKUP(J1082,[1]PL!A:B,2,0),"")</f>
        <v>PSG</v>
      </c>
      <c r="S1082" s="3" t="str">
        <f>IFERROR(VLOOKUP(H1082,[1]Mapa!A:D,4,0),"")</f>
        <v/>
      </c>
      <c r="T1082" s="3"/>
      <c r="U1082" s="3"/>
      <c r="V1082" s="3"/>
    </row>
    <row r="1083" spans="1:22">
      <c r="A1083" s="3" t="str">
        <f>VLOOKUP(D1083,[1]Orc!A:B,2,0)</f>
        <v>Completed Surveys</v>
      </c>
      <c r="B1083" s="31">
        <f>VLOOKUP(D1083,[1]Orc!A:C,3,0)</f>
        <v>42744.734167210649</v>
      </c>
      <c r="C1083" s="31">
        <v>42742.629861111112</v>
      </c>
      <c r="D1083" s="3">
        <v>3035411214</v>
      </c>
      <c r="E1083" s="3" t="s">
        <v>39</v>
      </c>
      <c r="F1083" s="3" t="s">
        <v>234</v>
      </c>
      <c r="G1083" s="3" t="str">
        <f>VLOOKUP(F1083,[1]Mapa!A:B,2,0)</f>
        <v>Levi De Sousa Barros</v>
      </c>
      <c r="H1083" s="3" t="s">
        <v>244</v>
      </c>
      <c r="I1083" s="3" t="str">
        <f>VLOOKUP(H1083,[1]Mapa!A:B,2,0)</f>
        <v>Clarina Praxedes Alfredo</v>
      </c>
      <c r="J1083" s="3" t="s">
        <v>93</v>
      </c>
      <c r="K1083" s="3" t="str">
        <f t="shared" si="2"/>
        <v>SKILL IGUAL</v>
      </c>
      <c r="L1083" s="3" t="s">
        <v>866</v>
      </c>
      <c r="M1083" s="3" t="s">
        <v>70</v>
      </c>
      <c r="N1083" s="3" t="s">
        <v>71</v>
      </c>
      <c r="O1083" s="3" t="s">
        <v>3184</v>
      </c>
      <c r="P1083" s="3" t="s">
        <v>867</v>
      </c>
      <c r="Q1083" s="31">
        <v>42746</v>
      </c>
      <c r="R1083" s="3" t="str">
        <f>IFERROR(VLOOKUP(J1083,[1]PL!A:B,2,0),"")</f>
        <v>PSG</v>
      </c>
      <c r="S1083" s="3" t="str">
        <f>IFERROR(VLOOKUP(H1083,[1]Mapa!A:D,4,0),"")</f>
        <v>PSG</v>
      </c>
      <c r="T1083" s="3"/>
      <c r="U1083" s="3"/>
      <c r="V1083" s="3"/>
    </row>
    <row r="1084" spans="1:22">
      <c r="A1084" s="3" t="str">
        <f>VLOOKUP(D1084,[1]Orc!A:B,2,0)</f>
        <v>Not Responded</v>
      </c>
      <c r="B1084" s="31">
        <f>VLOOKUP(D1084,[1]Orc!A:C,3,0)</f>
        <v>42747.737639085652</v>
      </c>
      <c r="C1084" s="31">
        <v>42745.477083333331</v>
      </c>
      <c r="D1084" s="3">
        <v>3035470040</v>
      </c>
      <c r="E1084" s="3" t="s">
        <v>52</v>
      </c>
      <c r="F1084" s="3" t="s">
        <v>926</v>
      </c>
      <c r="G1084" s="3" t="str">
        <f>VLOOKUP(F1084,[1]Mapa!A:B,2,0)</f>
        <v>Lazaro Barbosa De Oliveira</v>
      </c>
      <c r="H1084" s="3" t="s">
        <v>195</v>
      </c>
      <c r="I1084" s="3" t="str">
        <f>VLOOKUP(H1084,[1]Mapa!A:B,2,0)</f>
        <v>Davi Teodoro de Jesus</v>
      </c>
      <c r="J1084" s="3" t="s">
        <v>100</v>
      </c>
      <c r="K1084" s="3" t="str">
        <f t="shared" si="2"/>
        <v>SKILL DIFERENTE</v>
      </c>
      <c r="L1084" s="3" t="s">
        <v>866</v>
      </c>
      <c r="M1084" s="3" t="s">
        <v>59</v>
      </c>
      <c r="N1084" s="3" t="s">
        <v>60</v>
      </c>
      <c r="O1084" s="3" t="s">
        <v>182</v>
      </c>
      <c r="P1084" s="3" t="s">
        <v>876</v>
      </c>
      <c r="Q1084" s="31">
        <v>42746</v>
      </c>
      <c r="R1084" s="3" t="str">
        <f>IFERROR(VLOOKUP(J1084,[1]PL!A:B,2,0),"")</f>
        <v>PSG</v>
      </c>
      <c r="S1084" s="3" t="str">
        <f>IFERROR(VLOOKUP(H1084,[1]Mapa!A:D,4,0),"")</f>
        <v>FUPO</v>
      </c>
      <c r="T1084" s="3"/>
      <c r="U1084" s="3"/>
      <c r="V1084" s="3"/>
    </row>
    <row r="1085" spans="1:22">
      <c r="A1085" s="3" t="str">
        <f>VLOOKUP(D1085,[1]Orc!A:B,2,0)</f>
        <v>Not Responded</v>
      </c>
      <c r="B1085" s="31">
        <f>VLOOKUP(D1085,[1]Orc!A:C,3,0)</f>
        <v>42747.737639085652</v>
      </c>
      <c r="C1085" s="31">
        <v>42745.526388888888</v>
      </c>
      <c r="D1085" s="3">
        <v>3035469164</v>
      </c>
      <c r="E1085" s="3" t="s">
        <v>52</v>
      </c>
      <c r="F1085" s="3" t="s">
        <v>316</v>
      </c>
      <c r="G1085" s="3" t="str">
        <f>VLOOKUP(F1085,[1]Mapa!A:B,2,0)</f>
        <v>Patrik Alexandre Ramos</v>
      </c>
      <c r="H1085" s="3" t="s">
        <v>115</v>
      </c>
      <c r="I1085" s="3" t="str">
        <f>VLOOKUP(H1085,[1]Mapa!A:B,2,0)</f>
        <v>Tiago Ferreira da Silva</v>
      </c>
      <c r="J1085" s="3" t="s">
        <v>93</v>
      </c>
      <c r="K1085" s="3" t="str">
        <f t="shared" si="2"/>
        <v>SKILL DIFERENTE</v>
      </c>
      <c r="L1085" s="3" t="s">
        <v>866</v>
      </c>
      <c r="M1085" s="3" t="s">
        <v>59</v>
      </c>
      <c r="N1085" s="3" t="s">
        <v>60</v>
      </c>
      <c r="O1085" s="3" t="s">
        <v>218</v>
      </c>
      <c r="P1085" s="3" t="s">
        <v>867</v>
      </c>
      <c r="Q1085" s="31">
        <v>42746</v>
      </c>
      <c r="R1085" s="3" t="str">
        <f>IFERROR(VLOOKUP(J1085,[1]PL!A:B,2,0),"")</f>
        <v>PSG</v>
      </c>
      <c r="S1085" s="3" t="str">
        <f>IFERROR(VLOOKUP(H1085,[1]Mapa!A:D,4,0),"")</f>
        <v>FUPOTECH</v>
      </c>
      <c r="T1085" s="3" t="s">
        <v>3632</v>
      </c>
      <c r="U1085" s="3"/>
      <c r="V1085" s="3"/>
    </row>
    <row r="1086" spans="1:22">
      <c r="A1086" s="3" t="str">
        <f>VLOOKUP(D1086,[1]Orc!A:B,2,0)</f>
        <v>Not Responded</v>
      </c>
      <c r="B1086" s="31">
        <f>VLOOKUP(D1086,[1]Orc!A:C,3,0)</f>
        <v>42746.737756446761</v>
      </c>
      <c r="C1086" s="31">
        <v>42744.395138888889</v>
      </c>
      <c r="D1086" s="3">
        <v>3035469301</v>
      </c>
      <c r="E1086" s="3" t="s">
        <v>31</v>
      </c>
      <c r="F1086" s="3" t="s">
        <v>213</v>
      </c>
      <c r="G1086" s="3" t="str">
        <f>VLOOKUP(F1086,[1]Mapa!A:B,2,0)</f>
        <v>Leonardo Cantilho Maracas</v>
      </c>
      <c r="H1086" s="3" t="s">
        <v>209</v>
      </c>
      <c r="I1086" s="3" t="str">
        <f>VLOOKUP(H1086,[1]Mapa!A:B,2,0)</f>
        <v>Taina Alexsander Fernandes Pires</v>
      </c>
      <c r="J1086" s="3" t="s">
        <v>93</v>
      </c>
      <c r="K1086" s="3" t="str">
        <f t="shared" si="2"/>
        <v>SKILL DIFERENTE</v>
      </c>
      <c r="L1086" s="3" t="s">
        <v>866</v>
      </c>
      <c r="M1086" s="3" t="s">
        <v>70</v>
      </c>
      <c r="N1086" s="3" t="s">
        <v>71</v>
      </c>
      <c r="O1086" s="3" t="s">
        <v>3185</v>
      </c>
      <c r="P1086" s="3" t="s">
        <v>876</v>
      </c>
      <c r="Q1086" s="31">
        <v>42745</v>
      </c>
      <c r="R1086" s="3" t="str">
        <f>IFERROR(VLOOKUP(J1086,[1]PL!A:B,2,0),"")</f>
        <v>PSG</v>
      </c>
      <c r="S1086" s="3" t="str">
        <f>IFERROR(VLOOKUP(H1086,[1]Mapa!A:D,4,0),"")</f>
        <v>FUPOTECH</v>
      </c>
      <c r="T1086" s="3"/>
      <c r="U1086" s="3"/>
      <c r="V1086" s="3"/>
    </row>
    <row r="1087" spans="1:22">
      <c r="A1087" s="3" t="str">
        <f>VLOOKUP(D1087,[1]Orc!A:B,2,0)</f>
        <v>Completed Surveys</v>
      </c>
      <c r="B1087" s="31">
        <f>VLOOKUP(D1087,[1]Orc!A:C,3,0)</f>
        <v>42746.737756446761</v>
      </c>
      <c r="C1087" s="31">
        <v>42744.4</v>
      </c>
      <c r="D1087" s="3">
        <v>3035478716</v>
      </c>
      <c r="E1087" s="3" t="s">
        <v>31</v>
      </c>
      <c r="F1087" s="3" t="s">
        <v>227</v>
      </c>
      <c r="G1087" s="3" t="str">
        <f>VLOOKUP(F1087,[1]Mapa!A:B,2,0)</f>
        <v>Bruno Henrique Padua Colella</v>
      </c>
      <c r="H1087" s="3" t="s">
        <v>209</v>
      </c>
      <c r="I1087" s="3" t="str">
        <f>VLOOKUP(H1087,[1]Mapa!A:B,2,0)</f>
        <v>Taina Alexsander Fernandes Pires</v>
      </c>
      <c r="J1087" s="3" t="s">
        <v>93</v>
      </c>
      <c r="K1087" s="3" t="str">
        <f t="shared" si="2"/>
        <v>SKILL DIFERENTE</v>
      </c>
      <c r="L1087" s="3" t="s">
        <v>871</v>
      </c>
      <c r="M1087" s="3" t="s">
        <v>84</v>
      </c>
      <c r="N1087" s="3" t="s">
        <v>881</v>
      </c>
      <c r="O1087" s="3" t="s">
        <v>3186</v>
      </c>
      <c r="P1087" s="3" t="s">
        <v>867</v>
      </c>
      <c r="Q1087" s="31">
        <v>42749</v>
      </c>
      <c r="R1087" s="3" t="str">
        <f>IFERROR(VLOOKUP(J1087,[1]PL!A:B,2,0),"")</f>
        <v>PSG</v>
      </c>
      <c r="S1087" s="3" t="str">
        <f>IFERROR(VLOOKUP(H1087,[1]Mapa!A:D,4,0),"")</f>
        <v>FUPOTECH</v>
      </c>
      <c r="T1087" s="3"/>
      <c r="U1087" s="3"/>
      <c r="V1087" s="3"/>
    </row>
    <row r="1088" spans="1:22">
      <c r="A1088" s="3" t="str">
        <f>VLOOKUP(D1088,[1]Orc!A:B,2,0)</f>
        <v>Not Responded</v>
      </c>
      <c r="B1088" s="31">
        <f>VLOOKUP(D1088,[1]Orc!A:C,3,0)</f>
        <v>42746.737756446761</v>
      </c>
      <c r="C1088" s="31">
        <v>42744.406944444447</v>
      </c>
      <c r="D1088" s="3">
        <v>3035480549</v>
      </c>
      <c r="E1088" s="3" t="s">
        <v>31</v>
      </c>
      <c r="F1088" s="3" t="s">
        <v>223</v>
      </c>
      <c r="G1088" s="3" t="str">
        <f>VLOOKUP(F1088,[1]Mapa!A:B,2,0)</f>
        <v>Daniel Sousa Pinheiro</v>
      </c>
      <c r="H1088" s="3" t="s">
        <v>209</v>
      </c>
      <c r="I1088" s="3" t="str">
        <f>VLOOKUP(H1088,[1]Mapa!A:B,2,0)</f>
        <v>Taina Alexsander Fernandes Pires</v>
      </c>
      <c r="J1088" s="3" t="s">
        <v>93</v>
      </c>
      <c r="K1088" s="3" t="str">
        <f t="shared" si="2"/>
        <v>SKILL DIFERENTE</v>
      </c>
      <c r="L1088" s="3" t="s">
        <v>866</v>
      </c>
      <c r="M1088" s="3" t="s">
        <v>70</v>
      </c>
      <c r="N1088" s="3" t="s">
        <v>71</v>
      </c>
      <c r="O1088" s="3" t="s">
        <v>3187</v>
      </c>
      <c r="P1088" s="3" t="s">
        <v>867</v>
      </c>
      <c r="Q1088" s="31">
        <v>42748</v>
      </c>
      <c r="R1088" s="3" t="str">
        <f>IFERROR(VLOOKUP(J1088,[1]PL!A:B,2,0),"")</f>
        <v>PSG</v>
      </c>
      <c r="S1088" s="3" t="str">
        <f>IFERROR(VLOOKUP(H1088,[1]Mapa!A:D,4,0),"")</f>
        <v>FUPOTECH</v>
      </c>
      <c r="T1088" s="3"/>
      <c r="U1088" s="3" t="s">
        <v>3106</v>
      </c>
      <c r="V1088" s="3"/>
    </row>
    <row r="1089" spans="1:22">
      <c r="A1089" s="3" t="str">
        <f>VLOOKUP(D1089,[1]Orc!A:B,2,0)</f>
        <v>Not Responded</v>
      </c>
      <c r="B1089" s="31">
        <f>VLOOKUP(D1089,[1]Orc!A:C,3,0)</f>
        <v>42747.737639085652</v>
      </c>
      <c r="C1089" s="31">
        <v>42745.543055555558</v>
      </c>
      <c r="D1089" s="3">
        <v>3035542438</v>
      </c>
      <c r="E1089" s="3" t="s">
        <v>9</v>
      </c>
      <c r="F1089" s="3" t="s">
        <v>158</v>
      </c>
      <c r="G1089" s="3" t="str">
        <f>VLOOKUP(F1089,[1]Mapa!A:B,2,0)</f>
        <v>Denyse Souza Santos</v>
      </c>
      <c r="H1089" s="3" t="s">
        <v>82</v>
      </c>
      <c r="I1089" s="3" t="str">
        <f>VLOOKUP(H1089,[1]Mapa!A:B,2,0)</f>
        <v>Jonatas Gomes Tenorio</v>
      </c>
      <c r="J1089" s="3" t="s">
        <v>93</v>
      </c>
      <c r="K1089" s="3" t="str">
        <f t="shared" si="2"/>
        <v>SKILL DIFERENTE</v>
      </c>
      <c r="L1089" s="3" t="s">
        <v>866</v>
      </c>
      <c r="M1089" s="3" t="s">
        <v>59</v>
      </c>
      <c r="N1089" s="3" t="s">
        <v>60</v>
      </c>
      <c r="O1089" s="3" t="s">
        <v>123</v>
      </c>
      <c r="P1089" s="3" t="s">
        <v>867</v>
      </c>
      <c r="Q1089" s="31">
        <v>42749</v>
      </c>
      <c r="R1089" s="3" t="str">
        <f>IFERROR(VLOOKUP(J1089,[1]PL!A:B,2,0),"")</f>
        <v>PSG</v>
      </c>
      <c r="S1089" s="3" t="str">
        <f>IFERROR(VLOOKUP(H1089,[1]Mapa!A:D,4,0),"")</f>
        <v>IPG</v>
      </c>
      <c r="T1089" s="3"/>
      <c r="U1089" s="3"/>
      <c r="V1089" s="3"/>
    </row>
    <row r="1090" spans="1:22">
      <c r="A1090" s="3" t="str">
        <f>VLOOKUP(D1090,[1]Orc!A:B,2,0)</f>
        <v>Not Responded</v>
      </c>
      <c r="B1090" s="31">
        <f>VLOOKUP(D1090,[1]Orc!A:C,3,0)</f>
        <v>42747.737639085652</v>
      </c>
      <c r="C1090" s="31">
        <v>42745.832638888889</v>
      </c>
      <c r="D1090" s="3">
        <v>3035624645</v>
      </c>
      <c r="E1090" s="3" t="s">
        <v>39</v>
      </c>
      <c r="F1090" s="3" t="s">
        <v>248</v>
      </c>
      <c r="G1090" s="3" t="str">
        <f>VLOOKUP(F1090,[1]Mapa!A:B,2,0)</f>
        <v>Mariana Tadim Estevao</v>
      </c>
      <c r="H1090" s="3" t="s">
        <v>230</v>
      </c>
      <c r="I1090" s="3" t="e">
        <f>VLOOKUP(H1090,[1]Mapa!A:B,2,0)</f>
        <v>#N/A</v>
      </c>
      <c r="J1090" s="3" t="s">
        <v>93</v>
      </c>
      <c r="K1090" s="3" t="str">
        <f t="shared" si="2"/>
        <v>SKILL DIFERENTE</v>
      </c>
      <c r="L1090" s="3" t="s">
        <v>866</v>
      </c>
      <c r="M1090" s="3" t="s">
        <v>59</v>
      </c>
      <c r="N1090" s="3" t="s">
        <v>60</v>
      </c>
      <c r="O1090" s="3" t="s">
        <v>3217</v>
      </c>
      <c r="P1090" s="3" t="s">
        <v>867</v>
      </c>
      <c r="Q1090" s="31">
        <v>42746</v>
      </c>
      <c r="R1090" s="3" t="str">
        <f>IFERROR(VLOOKUP(J1090,[1]PL!A:B,2,0),"")</f>
        <v>PSG</v>
      </c>
      <c r="S1090" s="3" t="str">
        <f>IFERROR(VLOOKUP(H1090,[1]Mapa!A:D,4,0),"")</f>
        <v/>
      </c>
      <c r="T1090" s="3" t="s">
        <v>3659</v>
      </c>
      <c r="U1090" s="3"/>
      <c r="V1090" s="3"/>
    </row>
    <row r="1091" spans="1:22">
      <c r="A1091" s="3" t="str">
        <f>VLOOKUP(D1091,[1]Orc!A:B,2,0)</f>
        <v>Not Responded</v>
      </c>
      <c r="B1091" s="31">
        <f>VLOOKUP(D1091,[1]Orc!A:C,3,0)</f>
        <v>42748.738471724537</v>
      </c>
      <c r="C1091" s="31">
        <v>42746.400000000001</v>
      </c>
      <c r="D1091" s="3">
        <v>3035640604</v>
      </c>
      <c r="E1091" s="3" t="s">
        <v>31</v>
      </c>
      <c r="F1091" s="3" t="s">
        <v>221</v>
      </c>
      <c r="G1091" s="3" t="str">
        <f>VLOOKUP(F1091,[1]Mapa!A:B,2,0)</f>
        <v>Fabio Perez Da Silva</v>
      </c>
      <c r="H1091" s="3" t="s">
        <v>209</v>
      </c>
      <c r="I1091" s="3" t="str">
        <f>VLOOKUP(H1091,[1]Mapa!A:B,2,0)</f>
        <v>Taina Alexsander Fernandes Pires</v>
      </c>
      <c r="J1091" s="3" t="s">
        <v>100</v>
      </c>
      <c r="K1091" s="3" t="str">
        <f t="shared" si="2"/>
        <v>SKILL DIFERENTE</v>
      </c>
      <c r="L1091" s="3" t="s">
        <v>866</v>
      </c>
      <c r="M1091" s="3" t="s">
        <v>59</v>
      </c>
      <c r="N1091" s="3" t="s">
        <v>60</v>
      </c>
      <c r="O1091" s="3" t="s">
        <v>3221</v>
      </c>
      <c r="P1091" s="3" t="s">
        <v>876</v>
      </c>
      <c r="Q1091" s="31">
        <v>42747</v>
      </c>
      <c r="R1091" s="3" t="str">
        <f>IFERROR(VLOOKUP(J1091,[1]PL!A:B,2,0),"")</f>
        <v>PSG</v>
      </c>
      <c r="S1091" s="3" t="str">
        <f>IFERROR(VLOOKUP(H1091,[1]Mapa!A:D,4,0),"")</f>
        <v>FUPOTECH</v>
      </c>
      <c r="T1091" s="3"/>
      <c r="U1091" s="3"/>
      <c r="V1091" s="3"/>
    </row>
    <row r="1092" spans="1:22">
      <c r="A1092" s="3" t="str">
        <f>VLOOKUP(D1092,[1]Orc!A:B,2,0)</f>
        <v>Not Responded</v>
      </c>
      <c r="B1092" s="31">
        <f>VLOOKUP(D1092,[1]Orc!A:C,3,0)</f>
        <v>42746.737756446761</v>
      </c>
      <c r="C1092" s="31">
        <v>42744.459722222222</v>
      </c>
      <c r="D1092" s="3">
        <v>3035603602</v>
      </c>
      <c r="E1092" s="3" t="s">
        <v>31</v>
      </c>
      <c r="F1092" s="3" t="s">
        <v>227</v>
      </c>
      <c r="G1092" s="3" t="str">
        <f>VLOOKUP(F1092,[1]Mapa!A:B,2,0)</f>
        <v>Bruno Henrique Padua Colella</v>
      </c>
      <c r="H1092" s="3" t="s">
        <v>227</v>
      </c>
      <c r="I1092" s="3" t="str">
        <f>VLOOKUP(H1092,[1]Mapa!A:B,2,0)</f>
        <v>Bruno Henrique Padua Colella</v>
      </c>
      <c r="J1092" s="3" t="s">
        <v>93</v>
      </c>
      <c r="K1092" s="3" t="str">
        <f t="shared" si="2"/>
        <v>SKILL IGUAL</v>
      </c>
      <c r="L1092" s="3" t="s">
        <v>866</v>
      </c>
      <c r="M1092" s="3" t="s">
        <v>70</v>
      </c>
      <c r="N1092" s="3" t="s">
        <v>60</v>
      </c>
      <c r="O1092" s="3" t="s">
        <v>3191</v>
      </c>
      <c r="P1092" s="3" t="s">
        <v>867</v>
      </c>
      <c r="Q1092" s="31">
        <v>42746</v>
      </c>
      <c r="R1092" s="3" t="str">
        <f>IFERROR(VLOOKUP(J1092,[1]PL!A:B,2,0),"")</f>
        <v>PSG</v>
      </c>
      <c r="S1092" s="3" t="str">
        <f>IFERROR(VLOOKUP(H1092,[1]Mapa!A:D,4,0),"")</f>
        <v>PSG</v>
      </c>
      <c r="T1092" s="3"/>
      <c r="U1092" s="3"/>
      <c r="V1092" s="3"/>
    </row>
    <row r="1093" spans="1:22">
      <c r="A1093" s="3" t="str">
        <f>VLOOKUP(D1093,[1]Orc!A:B,2,0)</f>
        <v>Completed Surveys</v>
      </c>
      <c r="B1093" s="31">
        <f>VLOOKUP(D1093,[1]Orc!A:C,3,0)</f>
        <v>42746.737756446761</v>
      </c>
      <c r="C1093" s="31">
        <v>42744.492361111108</v>
      </c>
      <c r="D1093" s="3">
        <v>3035603243</v>
      </c>
      <c r="E1093" s="3" t="s">
        <v>31</v>
      </c>
      <c r="F1093" s="3" t="s">
        <v>219</v>
      </c>
      <c r="G1093" s="3" t="str">
        <f>VLOOKUP(F1093,[1]Mapa!A:B,2,0)</f>
        <v>Rafael Dos Santos</v>
      </c>
      <c r="H1093" s="3" t="s">
        <v>219</v>
      </c>
      <c r="I1093" s="3" t="str">
        <f>VLOOKUP(H1093,[1]Mapa!A:B,2,0)</f>
        <v>Rafael Dos Santos</v>
      </c>
      <c r="J1093" s="3" t="s">
        <v>93</v>
      </c>
      <c r="K1093" s="3" t="str">
        <f t="shared" si="2"/>
        <v>SKILL IGUAL</v>
      </c>
      <c r="L1093" s="3" t="s">
        <v>866</v>
      </c>
      <c r="M1093" s="3" t="s">
        <v>59</v>
      </c>
      <c r="N1093" s="3" t="s">
        <v>60</v>
      </c>
      <c r="O1093" s="3" t="s">
        <v>229</v>
      </c>
      <c r="P1093" s="3" t="s">
        <v>867</v>
      </c>
      <c r="Q1093" s="31">
        <v>42748</v>
      </c>
      <c r="R1093" s="3" t="str">
        <f>IFERROR(VLOOKUP(J1093,[1]PL!A:B,2,0),"")</f>
        <v>PSG</v>
      </c>
      <c r="S1093" s="3" t="str">
        <f>IFERROR(VLOOKUP(H1093,[1]Mapa!A:D,4,0),"")</f>
        <v>PSG</v>
      </c>
      <c r="T1093" s="3"/>
      <c r="U1093" s="3"/>
      <c r="V1093" s="3"/>
    </row>
    <row r="1094" spans="1:22">
      <c r="A1094" s="3" t="str">
        <f>VLOOKUP(D1094,[1]Orc!A:B,2,0)</f>
        <v>Sample Rejected</v>
      </c>
      <c r="B1094" s="31">
        <f>VLOOKUP(D1094,[1]Orc!A:C,3,0)</f>
        <v>42746.737756446761</v>
      </c>
      <c r="C1094" s="31">
        <v>42744.51666666667</v>
      </c>
      <c r="D1094" s="3">
        <v>3035606261</v>
      </c>
      <c r="E1094" s="3" t="s">
        <v>31</v>
      </c>
      <c r="F1094" s="3" t="s">
        <v>216</v>
      </c>
      <c r="G1094" s="3" t="str">
        <f>VLOOKUP(F1094,[1]Mapa!A:B,2,0)</f>
        <v>Lucas Almeida Dos Santos</v>
      </c>
      <c r="H1094" s="3" t="s">
        <v>216</v>
      </c>
      <c r="I1094" s="3" t="str">
        <f>VLOOKUP(H1094,[1]Mapa!A:B,2,0)</f>
        <v>Lucas Almeida Dos Santos</v>
      </c>
      <c r="J1094" s="3" t="s">
        <v>93</v>
      </c>
      <c r="K1094" s="3" t="str">
        <f t="shared" si="2"/>
        <v>SKILL IGUAL</v>
      </c>
      <c r="L1094" s="3" t="s">
        <v>866</v>
      </c>
      <c r="M1094" s="3" t="s">
        <v>70</v>
      </c>
      <c r="N1094" s="3" t="s">
        <v>71</v>
      </c>
      <c r="O1094" s="3" t="s">
        <v>3192</v>
      </c>
      <c r="P1094" s="3" t="s">
        <v>867</v>
      </c>
      <c r="Q1094" s="31">
        <v>42745</v>
      </c>
      <c r="R1094" s="3" t="str">
        <f>IFERROR(VLOOKUP(J1094,[1]PL!A:B,2,0),"")</f>
        <v>PSG</v>
      </c>
      <c r="S1094" s="3" t="str">
        <f>IFERROR(VLOOKUP(H1094,[1]Mapa!A:D,4,0),"")</f>
        <v>PSG</v>
      </c>
      <c r="T1094" s="3"/>
      <c r="U1094" s="3"/>
      <c r="V1094" s="3"/>
    </row>
    <row r="1095" spans="1:22">
      <c r="A1095" s="3" t="str">
        <f>VLOOKUP(D1095,[1]Orc!A:B,2,0)</f>
        <v>Completed Surveys</v>
      </c>
      <c r="B1095" s="31">
        <f>VLOOKUP(D1095,[1]Orc!A:C,3,0)</f>
        <v>42748.738471724537</v>
      </c>
      <c r="C1095" s="31">
        <v>42746.413194444445</v>
      </c>
      <c r="D1095" s="3">
        <v>3035542013</v>
      </c>
      <c r="E1095" s="3" t="s">
        <v>9</v>
      </c>
      <c r="F1095" s="3" t="s">
        <v>158</v>
      </c>
      <c r="G1095" s="3" t="str">
        <f>VLOOKUP(F1095,[1]Mapa!A:B,2,0)</f>
        <v>Denyse Souza Santos</v>
      </c>
      <c r="H1095" s="3" t="s">
        <v>80</v>
      </c>
      <c r="I1095" s="3" t="str">
        <f>VLOOKUP(H1095,[1]Mapa!A:B,2,0)</f>
        <v>Caroline Amparo Nunes</v>
      </c>
      <c r="J1095" s="3" t="s">
        <v>93</v>
      </c>
      <c r="K1095" s="3" t="str">
        <f t="shared" si="2"/>
        <v>SKILL DIFERENTE</v>
      </c>
      <c r="L1095" s="3" t="s">
        <v>866</v>
      </c>
      <c r="M1095" s="3" t="s">
        <v>59</v>
      </c>
      <c r="N1095" s="3" t="s">
        <v>60</v>
      </c>
      <c r="O1095" s="3" t="s">
        <v>3222</v>
      </c>
      <c r="P1095" s="3" t="s">
        <v>876</v>
      </c>
      <c r="Q1095" s="31">
        <v>42747</v>
      </c>
      <c r="R1095" s="3" t="str">
        <f>IFERROR(VLOOKUP(J1095,[1]PL!A:B,2,0),"")</f>
        <v>PSG</v>
      </c>
      <c r="S1095" s="3" t="str">
        <f>IFERROR(VLOOKUP(H1095,[1]Mapa!A:D,4,0),"")</f>
        <v>IPG</v>
      </c>
      <c r="T1095" s="3" t="s">
        <v>4246</v>
      </c>
      <c r="U1095" s="3"/>
      <c r="V1095" s="3"/>
    </row>
    <row r="1096" spans="1:22">
      <c r="A1096" s="3" t="str">
        <f>VLOOKUP(D1096,[1]Orc!A:B,2,0)</f>
        <v>Completed Surveys</v>
      </c>
      <c r="B1096" s="31">
        <f>VLOOKUP(D1096,[1]Orc!A:C,3,0)</f>
        <v>42746.737756446761</v>
      </c>
      <c r="C1096" s="31">
        <v>42744.540972222225</v>
      </c>
      <c r="D1096" s="3">
        <v>3035606437</v>
      </c>
      <c r="E1096" s="3" t="s">
        <v>39</v>
      </c>
      <c r="F1096" s="3" t="s">
        <v>236</v>
      </c>
      <c r="G1096" s="3" t="str">
        <f>VLOOKUP(F1096,[1]Mapa!A:B,2,0)</f>
        <v>Stefany Aparecida Alexandre De Franca</v>
      </c>
      <c r="H1096" s="3" t="s">
        <v>236</v>
      </c>
      <c r="I1096" s="3" t="str">
        <f>VLOOKUP(H1096,[1]Mapa!A:B,2,0)</f>
        <v>Stefany Aparecida Alexandre De Franca</v>
      </c>
      <c r="J1096" s="3" t="s">
        <v>93</v>
      </c>
      <c r="K1096" s="3" t="str">
        <f t="shared" si="2"/>
        <v>SKILL IGUAL</v>
      </c>
      <c r="L1096" s="3" t="s">
        <v>866</v>
      </c>
      <c r="M1096" s="3" t="s">
        <v>59</v>
      </c>
      <c r="N1096" s="3" t="s">
        <v>60</v>
      </c>
      <c r="O1096" s="3" t="s">
        <v>59</v>
      </c>
      <c r="P1096" s="3" t="s">
        <v>876</v>
      </c>
      <c r="Q1096" s="31">
        <v>42745</v>
      </c>
      <c r="R1096" s="3" t="str">
        <f>IFERROR(VLOOKUP(J1096,[1]PL!A:B,2,0),"")</f>
        <v>PSG</v>
      </c>
      <c r="S1096" s="3" t="str">
        <f>IFERROR(VLOOKUP(H1096,[1]Mapa!A:D,4,0),"")</f>
        <v>PSG</v>
      </c>
      <c r="T1096" s="3" t="s">
        <v>3630</v>
      </c>
      <c r="U1096" s="3"/>
      <c r="V1096" s="3"/>
    </row>
    <row r="1097" spans="1:22">
      <c r="A1097" s="3" t="str">
        <f>VLOOKUP(D1097,[1]Orc!A:B,2,0)</f>
        <v>Not Responded</v>
      </c>
      <c r="B1097" s="31">
        <f>VLOOKUP(D1097,[1]Orc!A:C,3,0)</f>
        <v>42746.737756446761</v>
      </c>
      <c r="C1097" s="31">
        <v>42744.543749999997</v>
      </c>
      <c r="D1097" s="3">
        <v>3035547607</v>
      </c>
      <c r="E1097" s="3" t="s">
        <v>31</v>
      </c>
      <c r="F1097" s="3" t="s">
        <v>156</v>
      </c>
      <c r="G1097" s="3" t="str">
        <f>VLOOKUP(F1097,[1]Mapa!A:B,2,0)</f>
        <v>Felipe Alves Barbosa</v>
      </c>
      <c r="H1097" s="3" t="s">
        <v>209</v>
      </c>
      <c r="I1097" s="3" t="str">
        <f>VLOOKUP(H1097,[1]Mapa!A:B,2,0)</f>
        <v>Taina Alexsander Fernandes Pires</v>
      </c>
      <c r="J1097" s="3" t="s">
        <v>100</v>
      </c>
      <c r="K1097" s="3" t="str">
        <f t="shared" si="2"/>
        <v>SKILL DIFERENTE</v>
      </c>
      <c r="L1097" s="3" t="s">
        <v>866</v>
      </c>
      <c r="M1097" s="3" t="s">
        <v>70</v>
      </c>
      <c r="N1097" s="3" t="s">
        <v>75</v>
      </c>
      <c r="O1097" s="3" t="s">
        <v>3193</v>
      </c>
      <c r="P1097" s="3" t="s">
        <v>3141</v>
      </c>
      <c r="Q1097" s="31">
        <v>42746</v>
      </c>
      <c r="R1097" s="3" t="str">
        <f>IFERROR(VLOOKUP(J1097,[1]PL!A:B,2,0),"")</f>
        <v>PSG</v>
      </c>
      <c r="S1097" s="3" t="str">
        <f>IFERROR(VLOOKUP(H1097,[1]Mapa!A:D,4,0),"")</f>
        <v>FUPOTECH</v>
      </c>
      <c r="T1097" s="3"/>
      <c r="U1097" s="3"/>
      <c r="V1097" s="3"/>
    </row>
    <row r="1098" spans="1:22">
      <c r="A1098" s="3" t="str">
        <f>VLOOKUP(D1098,[1]Orc!A:B,2,0)</f>
        <v>Not Responded</v>
      </c>
      <c r="B1098" s="31">
        <f>VLOOKUP(D1098,[1]Orc!A:C,3,0)</f>
        <v>42746.737756446761</v>
      </c>
      <c r="C1098" s="31">
        <v>42744.556944444441</v>
      </c>
      <c r="D1098" s="3">
        <v>3035549200</v>
      </c>
      <c r="E1098" s="3" t="s">
        <v>31</v>
      </c>
      <c r="F1098" s="3" t="s">
        <v>223</v>
      </c>
      <c r="G1098" s="3" t="str">
        <f>VLOOKUP(F1098,[1]Mapa!A:B,2,0)</f>
        <v>Daniel Sousa Pinheiro</v>
      </c>
      <c r="H1098" s="3" t="s">
        <v>209</v>
      </c>
      <c r="I1098" s="3" t="str">
        <f>VLOOKUP(H1098,[1]Mapa!A:B,2,0)</f>
        <v>Taina Alexsander Fernandes Pires</v>
      </c>
      <c r="J1098" s="3" t="s">
        <v>100</v>
      </c>
      <c r="K1098" s="3" t="str">
        <f t="shared" si="2"/>
        <v>SKILL DIFERENTE</v>
      </c>
      <c r="L1098" s="3" t="s">
        <v>866</v>
      </c>
      <c r="M1098" s="3" t="s">
        <v>70</v>
      </c>
      <c r="N1098" s="3" t="s">
        <v>71</v>
      </c>
      <c r="O1098" s="3" t="s">
        <v>3194</v>
      </c>
      <c r="P1098" s="3" t="s">
        <v>876</v>
      </c>
      <c r="Q1098" s="31">
        <v>42745</v>
      </c>
      <c r="R1098" s="3" t="str">
        <f>IFERROR(VLOOKUP(J1098,[1]PL!A:B,2,0),"")</f>
        <v>PSG</v>
      </c>
      <c r="S1098" s="3" t="str">
        <f>IFERROR(VLOOKUP(H1098,[1]Mapa!A:D,4,0),"")</f>
        <v>FUPOTECH</v>
      </c>
      <c r="T1098" s="3"/>
      <c r="U1098" s="3"/>
      <c r="V1098" s="3"/>
    </row>
    <row r="1099" spans="1:22">
      <c r="A1099" s="3" t="str">
        <f>VLOOKUP(D1099,[1]Orc!A:B,2,0)</f>
        <v>Completed Surveys</v>
      </c>
      <c r="B1099" s="31">
        <f>VLOOKUP(D1099,[1]Orc!A:C,3,0)</f>
        <v>42746.737756446761</v>
      </c>
      <c r="C1099" s="31">
        <v>42744.598611111112</v>
      </c>
      <c r="D1099" s="3">
        <v>3035553960</v>
      </c>
      <c r="E1099" s="3" t="s">
        <v>39</v>
      </c>
      <c r="F1099" s="3" t="s">
        <v>231</v>
      </c>
      <c r="G1099" s="3" t="str">
        <f>VLOOKUP(F1099,[1]Mapa!A:B,2,0)</f>
        <v>Lucas Da Silva Pinto</v>
      </c>
      <c r="H1099" s="3" t="s">
        <v>238</v>
      </c>
      <c r="I1099" s="3" t="str">
        <f>VLOOKUP(H1099,[1]Mapa!A:B,2,0)</f>
        <v>Fernando Souza De Almeida</v>
      </c>
      <c r="J1099" s="3" t="s">
        <v>93</v>
      </c>
      <c r="K1099" s="3" t="str">
        <f t="shared" si="2"/>
        <v>SKILL DIFERENTE</v>
      </c>
      <c r="L1099" s="3" t="s">
        <v>866</v>
      </c>
      <c r="M1099" s="3" t="s">
        <v>59</v>
      </c>
      <c r="N1099" s="3" t="s">
        <v>60</v>
      </c>
      <c r="O1099" s="3" t="s">
        <v>59</v>
      </c>
      <c r="P1099" s="3" t="s">
        <v>876</v>
      </c>
      <c r="Q1099" s="31">
        <v>42745</v>
      </c>
      <c r="R1099" s="3" t="str">
        <f>IFERROR(VLOOKUP(J1099,[1]PL!A:B,2,0),"")</f>
        <v>PSG</v>
      </c>
      <c r="S1099" s="3" t="str">
        <f>IFERROR(VLOOKUP(H1099,[1]Mapa!A:D,4,0),"")</f>
        <v>FUPOTECH</v>
      </c>
      <c r="T1099" s="3"/>
      <c r="U1099" s="3"/>
      <c r="V1099" s="3"/>
    </row>
    <row r="1100" spans="1:22">
      <c r="A1100" s="3" t="str">
        <f>VLOOKUP(D1100,[1]Orc!A:B,2,0)</f>
        <v>Completed Surveys</v>
      </c>
      <c r="B1100" s="31">
        <f>VLOOKUP(D1100,[1]Orc!A:C,3,0)</f>
        <v>42746.737756446761</v>
      </c>
      <c r="C1100" s="31">
        <v>42744.613194444442</v>
      </c>
      <c r="D1100" s="3">
        <v>3035549115</v>
      </c>
      <c r="E1100" s="3" t="s">
        <v>39</v>
      </c>
      <c r="F1100" s="3" t="s">
        <v>246</v>
      </c>
      <c r="G1100" s="3" t="str">
        <f>VLOOKUP(F1100,[1]Mapa!A:B,2,0)</f>
        <v>Wellington Da Silva De Oliveira</v>
      </c>
      <c r="H1100" s="3" t="s">
        <v>238</v>
      </c>
      <c r="I1100" s="3" t="str">
        <f>VLOOKUP(H1100,[1]Mapa!A:B,2,0)</f>
        <v>Fernando Souza De Almeida</v>
      </c>
      <c r="J1100" s="3" t="s">
        <v>93</v>
      </c>
      <c r="K1100" s="3" t="str">
        <f t="shared" si="2"/>
        <v>SKILL DIFERENTE</v>
      </c>
      <c r="L1100" s="3" t="s">
        <v>866</v>
      </c>
      <c r="M1100" s="3" t="s">
        <v>59</v>
      </c>
      <c r="N1100" s="3" t="s">
        <v>60</v>
      </c>
      <c r="O1100" s="3" t="s">
        <v>59</v>
      </c>
      <c r="P1100" s="3" t="s">
        <v>876</v>
      </c>
      <c r="Q1100" s="31">
        <v>42745</v>
      </c>
      <c r="R1100" s="3" t="str">
        <f>IFERROR(VLOOKUP(J1100,[1]PL!A:B,2,0),"")</f>
        <v>PSG</v>
      </c>
      <c r="S1100" s="3" t="str">
        <f>IFERROR(VLOOKUP(H1100,[1]Mapa!A:D,4,0),"")</f>
        <v>FUPOTECH</v>
      </c>
      <c r="T1100" s="3"/>
      <c r="U1100" s="3"/>
      <c r="V1100" s="3"/>
    </row>
    <row r="1101" spans="1:22">
      <c r="A1101" s="3" t="str">
        <f>VLOOKUP(D1101,[1]Orc!A:B,2,0)</f>
        <v>Sample Rejected</v>
      </c>
      <c r="B1101" s="31">
        <f>VLOOKUP(D1101,[1]Orc!A:C,3,0)</f>
        <v>42746.737756446761</v>
      </c>
      <c r="C1101" s="31">
        <v>42744.618055555555</v>
      </c>
      <c r="D1101" s="3">
        <v>3035527215</v>
      </c>
      <c r="E1101" s="3" t="s">
        <v>39</v>
      </c>
      <c r="F1101" s="3" t="s">
        <v>231</v>
      </c>
      <c r="G1101" s="3" t="str">
        <f>VLOOKUP(F1101,[1]Mapa!A:B,2,0)</f>
        <v>Lucas Da Silva Pinto</v>
      </c>
      <c r="H1101" s="3" t="s">
        <v>238</v>
      </c>
      <c r="I1101" s="3" t="str">
        <f>VLOOKUP(H1101,[1]Mapa!A:B,2,0)</f>
        <v>Fernando Souza De Almeida</v>
      </c>
      <c r="J1101" s="3" t="s">
        <v>93</v>
      </c>
      <c r="K1101" s="3" t="str">
        <f t="shared" si="2"/>
        <v>SKILL DIFERENTE</v>
      </c>
      <c r="L1101" s="3" t="s">
        <v>866</v>
      </c>
      <c r="M1101" s="3" t="s">
        <v>59</v>
      </c>
      <c r="N1101" s="3" t="s">
        <v>60</v>
      </c>
      <c r="O1101" s="3" t="s">
        <v>3195</v>
      </c>
      <c r="P1101" s="3" t="s">
        <v>867</v>
      </c>
      <c r="Q1101" s="31">
        <v>42745</v>
      </c>
      <c r="R1101" s="3" t="str">
        <f>IFERROR(VLOOKUP(J1101,[1]PL!A:B,2,0),"")</f>
        <v>PSG</v>
      </c>
      <c r="S1101" s="3" t="str">
        <f>IFERROR(VLOOKUP(H1101,[1]Mapa!A:D,4,0),"")</f>
        <v>FUPOTECH</v>
      </c>
      <c r="T1101" s="3"/>
      <c r="U1101" s="3"/>
      <c r="V1101" s="3"/>
    </row>
    <row r="1102" spans="1:22">
      <c r="A1102" s="3" t="str">
        <f>VLOOKUP(D1102,[1]Orc!A:B,2,0)</f>
        <v>Sample Rejected</v>
      </c>
      <c r="B1102" s="31">
        <f>VLOOKUP(D1102,[1]Orc!A:C,3,0)</f>
        <v>42746.737756446761</v>
      </c>
      <c r="C1102" s="31">
        <v>42744.621527777781</v>
      </c>
      <c r="D1102" s="3">
        <v>3035506247</v>
      </c>
      <c r="E1102" s="3" t="s">
        <v>39</v>
      </c>
      <c r="F1102" s="3" t="s">
        <v>240</v>
      </c>
      <c r="G1102" s="3" t="str">
        <f>VLOOKUP(F1102,[1]Mapa!A:B,2,0)</f>
        <v>Renato Da Silva Andrade</v>
      </c>
      <c r="H1102" s="3" t="s">
        <v>238</v>
      </c>
      <c r="I1102" s="3" t="str">
        <f>VLOOKUP(H1102,[1]Mapa!A:B,2,0)</f>
        <v>Fernando Souza De Almeida</v>
      </c>
      <c r="J1102" s="3" t="s">
        <v>93</v>
      </c>
      <c r="K1102" s="3" t="str">
        <f t="shared" si="2"/>
        <v>SKILL DIFERENTE</v>
      </c>
      <c r="L1102" s="3" t="s">
        <v>866</v>
      </c>
      <c r="M1102" s="3" t="s">
        <v>59</v>
      </c>
      <c r="N1102" s="3" t="s">
        <v>60</v>
      </c>
      <c r="O1102" s="3" t="s">
        <v>3196</v>
      </c>
      <c r="P1102" s="3" t="s">
        <v>867</v>
      </c>
      <c r="Q1102" s="31">
        <v>42746</v>
      </c>
      <c r="R1102" s="3" t="str">
        <f>IFERROR(VLOOKUP(J1102,[1]PL!A:B,2,0),"")</f>
        <v>PSG</v>
      </c>
      <c r="S1102" s="3" t="str">
        <f>IFERROR(VLOOKUP(H1102,[1]Mapa!A:D,4,0),"")</f>
        <v>FUPOTECH</v>
      </c>
      <c r="T1102" s="3"/>
      <c r="U1102" s="3"/>
      <c r="V1102" s="3"/>
    </row>
    <row r="1103" spans="1:22">
      <c r="A1103" s="3" t="e">
        <f>VLOOKUP(D1103,[1]Orc!A:B,2,0)</f>
        <v>#N/A</v>
      </c>
      <c r="B1103" s="31" t="e">
        <f>VLOOKUP(D1103,[1]Orc!A:C,3,0)</f>
        <v>#N/A</v>
      </c>
      <c r="C1103" s="31">
        <v>42744.635416666664</v>
      </c>
      <c r="D1103" s="3">
        <v>3035610636</v>
      </c>
      <c r="E1103" s="3" t="s">
        <v>39</v>
      </c>
      <c r="F1103" s="3" t="s">
        <v>236</v>
      </c>
      <c r="G1103" s="3" t="str">
        <f>VLOOKUP(F1103,[1]Mapa!A:B,2,0)</f>
        <v>Stefany Aparecida Alexandre De Franca</v>
      </c>
      <c r="H1103" s="3" t="s">
        <v>63</v>
      </c>
      <c r="I1103" s="3" t="str">
        <f>VLOOKUP(H1103,[1]Mapa!A:B,2,0)</f>
        <v>Mauricio Guimaraes Renesto</v>
      </c>
      <c r="J1103" s="3" t="s">
        <v>93</v>
      </c>
      <c r="K1103" s="3" t="str">
        <f t="shared" si="2"/>
        <v>SKILL DIFERENTE</v>
      </c>
      <c r="L1103" s="3" t="s">
        <v>871</v>
      </c>
      <c r="M1103" s="3" t="s">
        <v>880</v>
      </c>
      <c r="N1103" s="3" t="s">
        <v>66</v>
      </c>
      <c r="O1103" s="3" t="s">
        <v>885</v>
      </c>
      <c r="P1103" s="3" t="s">
        <v>867</v>
      </c>
      <c r="Q1103" s="31">
        <v>42745</v>
      </c>
      <c r="R1103" s="3" t="str">
        <f>IFERROR(VLOOKUP(J1103,[1]PL!A:B,2,0),"")</f>
        <v>PSG</v>
      </c>
      <c r="S1103" s="3" t="str">
        <f>IFERROR(VLOOKUP(H1103,[1]Mapa!A:D,4,0),"")</f>
        <v>TCO</v>
      </c>
      <c r="T1103" s="3"/>
      <c r="U1103" s="3"/>
      <c r="V1103" s="3"/>
    </row>
    <row r="1104" spans="1:22">
      <c r="A1104" s="3" t="str">
        <f>VLOOKUP(D1104,[1]Orc!A:B,2,0)</f>
        <v>Sample Rejected</v>
      </c>
      <c r="B1104" s="31">
        <f>VLOOKUP(D1104,[1]Orc!A:C,3,0)</f>
        <v>42746.737756446761</v>
      </c>
      <c r="C1104" s="31">
        <v>42744.64166666667</v>
      </c>
      <c r="D1104" s="3">
        <v>3035613622</v>
      </c>
      <c r="E1104" s="3" t="s">
        <v>39</v>
      </c>
      <c r="F1104" s="3" t="s">
        <v>231</v>
      </c>
      <c r="G1104" s="3" t="str">
        <f>VLOOKUP(F1104,[1]Mapa!A:B,2,0)</f>
        <v>Lucas Da Silva Pinto</v>
      </c>
      <c r="H1104" s="3" t="s">
        <v>231</v>
      </c>
      <c r="I1104" s="3" t="str">
        <f>VLOOKUP(H1104,[1]Mapa!A:B,2,0)</f>
        <v>Lucas Da Silva Pinto</v>
      </c>
      <c r="J1104" s="3" t="s">
        <v>100</v>
      </c>
      <c r="K1104" s="3" t="str">
        <f t="shared" si="2"/>
        <v>SKILL IGUAL</v>
      </c>
      <c r="L1104" s="3" t="s">
        <v>866</v>
      </c>
      <c r="M1104" s="3" t="s">
        <v>59</v>
      </c>
      <c r="N1104" s="3" t="s">
        <v>60</v>
      </c>
      <c r="O1104" s="3" t="s">
        <v>3197</v>
      </c>
      <c r="P1104" s="3" t="s">
        <v>867</v>
      </c>
      <c r="Q1104" s="31">
        <v>42745</v>
      </c>
      <c r="R1104" s="3" t="str">
        <f>IFERROR(VLOOKUP(J1104,[1]PL!A:B,2,0),"")</f>
        <v>PSG</v>
      </c>
      <c r="S1104" s="3" t="str">
        <f>IFERROR(VLOOKUP(H1104,[1]Mapa!A:D,4,0),"")</f>
        <v>PSG</v>
      </c>
      <c r="T1104" s="3"/>
      <c r="U1104" s="3"/>
      <c r="V1104" s="3"/>
    </row>
    <row r="1105" spans="1:22">
      <c r="A1105" s="3" t="str">
        <f>VLOOKUP(D1105,[1]Orc!A:B,2,0)</f>
        <v>Not Responded</v>
      </c>
      <c r="B1105" s="31">
        <f>VLOOKUP(D1105,[1]Orc!A:C,3,0)</f>
        <v>42746.737756446761</v>
      </c>
      <c r="C1105" s="31">
        <v>42744.643055555556</v>
      </c>
      <c r="D1105" s="3">
        <v>3035528308</v>
      </c>
      <c r="E1105" s="3" t="s">
        <v>39</v>
      </c>
      <c r="F1105" s="3" t="s">
        <v>225</v>
      </c>
      <c r="G1105" s="3" t="str">
        <f>VLOOKUP(F1105,[1]Mapa!A:B,2,0)</f>
        <v>Eduardo Paixao Oliveira</v>
      </c>
      <c r="H1105" s="3" t="s">
        <v>238</v>
      </c>
      <c r="I1105" s="3" t="str">
        <f>VLOOKUP(H1105,[1]Mapa!A:B,2,0)</f>
        <v>Fernando Souza De Almeida</v>
      </c>
      <c r="J1105" s="3" t="s">
        <v>100</v>
      </c>
      <c r="K1105" s="3" t="str">
        <f t="shared" si="2"/>
        <v>SKILL DIFERENTE</v>
      </c>
      <c r="L1105" s="3" t="s">
        <v>866</v>
      </c>
      <c r="M1105" s="3" t="s">
        <v>70</v>
      </c>
      <c r="N1105" s="3" t="s">
        <v>75</v>
      </c>
      <c r="O1105" s="3" t="s">
        <v>3198</v>
      </c>
      <c r="P1105" s="3" t="s">
        <v>867</v>
      </c>
      <c r="Q1105" s="31">
        <v>42748</v>
      </c>
      <c r="R1105" s="3" t="str">
        <f>IFERROR(VLOOKUP(J1105,[1]PL!A:B,2,0),"")</f>
        <v>PSG</v>
      </c>
      <c r="S1105" s="3" t="str">
        <f>IFERROR(VLOOKUP(H1105,[1]Mapa!A:D,4,0),"")</f>
        <v>FUPOTECH</v>
      </c>
      <c r="T1105" s="3"/>
      <c r="U1105" s="3"/>
      <c r="V1105" s="3"/>
    </row>
    <row r="1106" spans="1:22">
      <c r="A1106" s="3" t="str">
        <f>VLOOKUP(D1106,[1]Orc!A:B,2,0)</f>
        <v>Completed Surveys</v>
      </c>
      <c r="B1106" s="31">
        <f>VLOOKUP(D1106,[1]Orc!A:C,3,0)</f>
        <v>42746.737756446761</v>
      </c>
      <c r="C1106" s="31">
        <v>42744.651388888888</v>
      </c>
      <c r="D1106" s="3">
        <v>3035540890</v>
      </c>
      <c r="E1106" s="3" t="s">
        <v>39</v>
      </c>
      <c r="F1106" s="3" t="s">
        <v>240</v>
      </c>
      <c r="G1106" s="3" t="str">
        <f>VLOOKUP(F1106,[1]Mapa!A:B,2,0)</f>
        <v>Renato Da Silva Andrade</v>
      </c>
      <c r="H1106" s="3" t="s">
        <v>238</v>
      </c>
      <c r="I1106" s="3" t="str">
        <f>VLOOKUP(H1106,[1]Mapa!A:B,2,0)</f>
        <v>Fernando Souza De Almeida</v>
      </c>
      <c r="J1106" s="3" t="s">
        <v>93</v>
      </c>
      <c r="K1106" s="3" t="str">
        <f t="shared" si="2"/>
        <v>SKILL DIFERENTE</v>
      </c>
      <c r="L1106" s="3" t="s">
        <v>866</v>
      </c>
      <c r="M1106" s="3" t="s">
        <v>59</v>
      </c>
      <c r="N1106" s="3" t="s">
        <v>60</v>
      </c>
      <c r="O1106" s="3" t="s">
        <v>123</v>
      </c>
      <c r="P1106" s="3" t="s">
        <v>867</v>
      </c>
      <c r="Q1106" s="31">
        <v>42745</v>
      </c>
      <c r="R1106" s="3" t="str">
        <f>IFERROR(VLOOKUP(J1106,[1]PL!A:B,2,0),"")</f>
        <v>PSG</v>
      </c>
      <c r="S1106" s="3" t="str">
        <f>IFERROR(VLOOKUP(H1106,[1]Mapa!A:D,4,0),"")</f>
        <v>FUPOTECH</v>
      </c>
      <c r="T1106" s="3"/>
      <c r="U1106" s="3"/>
      <c r="V1106" s="3"/>
    </row>
    <row r="1107" spans="1:22">
      <c r="A1107" s="3" t="str">
        <f>VLOOKUP(D1107,[1]Orc!A:B,2,0)</f>
        <v>Not Responded</v>
      </c>
      <c r="B1107" s="31">
        <f>VLOOKUP(D1107,[1]Orc!A:C,3,0)</f>
        <v>42748.738471724537</v>
      </c>
      <c r="C1107" s="31">
        <v>42746.622916666667</v>
      </c>
      <c r="D1107" s="3">
        <v>3035686738</v>
      </c>
      <c r="E1107" s="3" t="s">
        <v>31</v>
      </c>
      <c r="F1107" s="3" t="s">
        <v>223</v>
      </c>
      <c r="G1107" s="3" t="str">
        <f>VLOOKUP(F1107,[1]Mapa!A:B,2,0)</f>
        <v>Daniel Sousa Pinheiro</v>
      </c>
      <c r="H1107" s="3" t="s">
        <v>223</v>
      </c>
      <c r="I1107" s="3" t="str">
        <f>VLOOKUP(H1107,[1]Mapa!A:B,2,0)</f>
        <v>Daniel Sousa Pinheiro</v>
      </c>
      <c r="J1107" s="3" t="s">
        <v>93</v>
      </c>
      <c r="K1107" s="3" t="str">
        <f t="shared" si="2"/>
        <v>SKILL IGUAL</v>
      </c>
      <c r="L1107" s="3" t="s">
        <v>866</v>
      </c>
      <c r="M1107" s="3" t="s">
        <v>59</v>
      </c>
      <c r="N1107" s="3" t="s">
        <v>60</v>
      </c>
      <c r="O1107" s="3" t="s">
        <v>123</v>
      </c>
      <c r="P1107" s="3" t="s">
        <v>867</v>
      </c>
      <c r="Q1107" s="31">
        <v>42747</v>
      </c>
      <c r="R1107" s="3" t="str">
        <f>IFERROR(VLOOKUP(J1107,[1]PL!A:B,2,0),"")</f>
        <v>PSG</v>
      </c>
      <c r="S1107" s="3" t="str">
        <f>IFERROR(VLOOKUP(H1107,[1]Mapa!A:D,4,0),"")</f>
        <v>PSG</v>
      </c>
      <c r="T1107" s="3" t="s">
        <v>3630</v>
      </c>
      <c r="U1107" s="3" t="s">
        <v>3225</v>
      </c>
      <c r="V1107" s="3"/>
    </row>
    <row r="1108" spans="1:22">
      <c r="A1108" s="3" t="str">
        <f>VLOOKUP(D1108,[1]Orc!A:B,2,0)</f>
        <v>Bounced Back Emails</v>
      </c>
      <c r="B1108" s="31">
        <f>VLOOKUP(D1108,[1]Orc!A:C,3,0)</f>
        <v>42746.737756446761</v>
      </c>
      <c r="C1108" s="31">
        <v>42744.65902777778</v>
      </c>
      <c r="D1108" s="3">
        <v>3035524042</v>
      </c>
      <c r="E1108" s="3" t="s">
        <v>39</v>
      </c>
      <c r="F1108" s="3" t="s">
        <v>234</v>
      </c>
      <c r="G1108" s="3" t="str">
        <f>VLOOKUP(F1108,[1]Mapa!A:B,2,0)</f>
        <v>Levi De Sousa Barros</v>
      </c>
      <c r="H1108" s="3" t="s">
        <v>230</v>
      </c>
      <c r="I1108" s="3" t="e">
        <f>VLOOKUP(H1108,[1]Mapa!A:B,2,0)</f>
        <v>#N/A</v>
      </c>
      <c r="J1108" s="3" t="s">
        <v>100</v>
      </c>
      <c r="K1108" s="3" t="str">
        <f t="shared" si="2"/>
        <v>SKILL DIFERENTE</v>
      </c>
      <c r="L1108" s="3" t="s">
        <v>866</v>
      </c>
      <c r="M1108" s="3" t="s">
        <v>70</v>
      </c>
      <c r="N1108" s="3" t="s">
        <v>886</v>
      </c>
      <c r="O1108" s="3" t="s">
        <v>3199</v>
      </c>
      <c r="P1108" s="3" t="s">
        <v>867</v>
      </c>
      <c r="Q1108" s="31">
        <v>42746</v>
      </c>
      <c r="R1108" s="3" t="str">
        <f>IFERROR(VLOOKUP(J1108,[1]PL!A:B,2,0),"")</f>
        <v>PSG</v>
      </c>
      <c r="S1108" s="3" t="str">
        <f>IFERROR(VLOOKUP(H1108,[1]Mapa!A:D,4,0),"")</f>
        <v/>
      </c>
      <c r="T1108" s="3"/>
      <c r="U1108" s="3"/>
      <c r="V1108" s="3"/>
    </row>
    <row r="1109" spans="1:22">
      <c r="A1109" s="3" t="str">
        <f>VLOOKUP(D1109,[1]Orc!A:B,2,0)</f>
        <v>Bounced Back Emails</v>
      </c>
      <c r="B1109" s="31">
        <f>VLOOKUP(D1109,[1]Orc!A:C,3,0)</f>
        <v>42746.737756446761</v>
      </c>
      <c r="C1109" s="31">
        <v>42744.659722222219</v>
      </c>
      <c r="D1109" s="3">
        <v>3035614305</v>
      </c>
      <c r="E1109" s="3" t="s">
        <v>31</v>
      </c>
      <c r="F1109" s="3" t="s">
        <v>223</v>
      </c>
      <c r="G1109" s="3" t="str">
        <f>VLOOKUP(F1109,[1]Mapa!A:B,2,0)</f>
        <v>Daniel Sousa Pinheiro</v>
      </c>
      <c r="H1109" s="3" t="s">
        <v>223</v>
      </c>
      <c r="I1109" s="3" t="str">
        <f>VLOOKUP(H1109,[1]Mapa!A:B,2,0)</f>
        <v>Daniel Sousa Pinheiro</v>
      </c>
      <c r="J1109" s="3" t="s">
        <v>93</v>
      </c>
      <c r="K1109" s="3" t="str">
        <f t="shared" si="2"/>
        <v>SKILL IGUAL</v>
      </c>
      <c r="L1109" s="3" t="s">
        <v>866</v>
      </c>
      <c r="M1109" s="3" t="s">
        <v>59</v>
      </c>
      <c r="N1109" s="3" t="s">
        <v>60</v>
      </c>
      <c r="O1109" s="3" t="s">
        <v>123</v>
      </c>
      <c r="P1109" s="3" t="s">
        <v>867</v>
      </c>
      <c r="Q1109" s="31">
        <v>42745</v>
      </c>
      <c r="R1109" s="3" t="str">
        <f>IFERROR(VLOOKUP(J1109,[1]PL!A:B,2,0),"")</f>
        <v>PSG</v>
      </c>
      <c r="S1109" s="3" t="str">
        <f>IFERROR(VLOOKUP(H1109,[1]Mapa!A:D,4,0),"")</f>
        <v>PSG</v>
      </c>
      <c r="T1109" s="3"/>
      <c r="U1109" s="3" t="s">
        <v>3104</v>
      </c>
      <c r="V1109" s="3"/>
    </row>
    <row r="1110" spans="1:22">
      <c r="A1110" s="3" t="str">
        <f>VLOOKUP(D1110,[1]Orc!A:B,2,0)</f>
        <v>Not Responded</v>
      </c>
      <c r="B1110" s="31">
        <f>VLOOKUP(D1110,[1]Orc!A:C,3,0)</f>
        <v>42746.737756446761</v>
      </c>
      <c r="C1110" s="31">
        <v>42744.665277777778</v>
      </c>
      <c r="D1110" s="3">
        <v>3035614737</v>
      </c>
      <c r="E1110" s="3" t="s">
        <v>39</v>
      </c>
      <c r="F1110" s="3" t="s">
        <v>250</v>
      </c>
      <c r="G1110" s="3" t="str">
        <f>VLOOKUP(F1110,[1]Mapa!A:B,2,0)</f>
        <v>Filipe Augusto Fernandes De Oliveira</v>
      </c>
      <c r="H1110" s="3" t="s">
        <v>250</v>
      </c>
      <c r="I1110" s="3" t="str">
        <f>VLOOKUP(H1110,[1]Mapa!A:B,2,0)</f>
        <v>Filipe Augusto Fernandes De Oliveira</v>
      </c>
      <c r="J1110" s="3" t="s">
        <v>93</v>
      </c>
      <c r="K1110" s="3" t="str">
        <f t="shared" si="2"/>
        <v>SKILL IGUAL</v>
      </c>
      <c r="L1110" s="3" t="s">
        <v>866</v>
      </c>
      <c r="M1110" s="3" t="s">
        <v>70</v>
      </c>
      <c r="N1110" s="3" t="s">
        <v>60</v>
      </c>
      <c r="O1110" s="3" t="s">
        <v>3200</v>
      </c>
      <c r="P1110" s="3" t="s">
        <v>867</v>
      </c>
      <c r="Q1110" s="31">
        <v>42745</v>
      </c>
      <c r="R1110" s="3" t="str">
        <f>IFERROR(VLOOKUP(J1110,[1]PL!A:B,2,0),"")</f>
        <v>PSG</v>
      </c>
      <c r="S1110" s="3" t="str">
        <f>IFERROR(VLOOKUP(H1110,[1]Mapa!A:D,4,0),"")</f>
        <v>PSG</v>
      </c>
      <c r="T1110" s="3"/>
      <c r="U1110" s="3"/>
      <c r="V1110" s="3"/>
    </row>
    <row r="1111" spans="1:22">
      <c r="A1111" s="3" t="str">
        <f>VLOOKUP(D1111,[1]Orc!A:B,2,0)</f>
        <v>Completed Surveys</v>
      </c>
      <c r="B1111" s="31">
        <f>VLOOKUP(D1111,[1]Orc!A:C,3,0)</f>
        <v>42746.737756446761</v>
      </c>
      <c r="C1111" s="31">
        <v>42744.669444444444</v>
      </c>
      <c r="D1111" s="3">
        <v>3035518553</v>
      </c>
      <c r="E1111" s="3" t="s">
        <v>39</v>
      </c>
      <c r="F1111" s="3" t="s">
        <v>250</v>
      </c>
      <c r="G1111" s="3" t="str">
        <f>VLOOKUP(F1111,[1]Mapa!A:B,2,0)</f>
        <v>Filipe Augusto Fernandes De Oliveira</v>
      </c>
      <c r="H1111" s="3" t="s">
        <v>238</v>
      </c>
      <c r="I1111" s="3" t="str">
        <f>VLOOKUP(H1111,[1]Mapa!A:B,2,0)</f>
        <v>Fernando Souza De Almeida</v>
      </c>
      <c r="J1111" s="3" t="s">
        <v>93</v>
      </c>
      <c r="K1111" s="3" t="str">
        <f t="shared" si="2"/>
        <v>SKILL DIFERENTE</v>
      </c>
      <c r="L1111" s="3" t="s">
        <v>866</v>
      </c>
      <c r="M1111" s="3" t="s">
        <v>59</v>
      </c>
      <c r="N1111" s="3" t="s">
        <v>60</v>
      </c>
      <c r="O1111" s="3" t="s">
        <v>3201</v>
      </c>
      <c r="P1111" s="3" t="s">
        <v>867</v>
      </c>
      <c r="Q1111" s="31">
        <v>42745</v>
      </c>
      <c r="R1111" s="3" t="str">
        <f>IFERROR(VLOOKUP(J1111,[1]PL!A:B,2,0),"")</f>
        <v>PSG</v>
      </c>
      <c r="S1111" s="3" t="str">
        <f>IFERROR(VLOOKUP(H1111,[1]Mapa!A:D,4,0),"")</f>
        <v>FUPOTECH</v>
      </c>
      <c r="T1111" s="3"/>
      <c r="U1111" s="3"/>
      <c r="V1111" s="3"/>
    </row>
    <row r="1112" spans="1:22">
      <c r="A1112" s="3" t="str">
        <f>VLOOKUP(D1112,[1]Orc!A:B,2,0)</f>
        <v>Not Responded</v>
      </c>
      <c r="B1112" s="31">
        <f>VLOOKUP(D1112,[1]Orc!A:C,3,0)</f>
        <v>42746.737756446761</v>
      </c>
      <c r="C1112" s="31">
        <v>42744.699305555558</v>
      </c>
      <c r="D1112" s="3">
        <v>3035554669</v>
      </c>
      <c r="E1112" s="3" t="s">
        <v>39</v>
      </c>
      <c r="F1112" s="3" t="s">
        <v>225</v>
      </c>
      <c r="G1112" s="3" t="str">
        <f>VLOOKUP(F1112,[1]Mapa!A:B,2,0)</f>
        <v>Eduardo Paixao Oliveira</v>
      </c>
      <c r="H1112" s="3" t="s">
        <v>238</v>
      </c>
      <c r="I1112" s="3" t="str">
        <f>VLOOKUP(H1112,[1]Mapa!A:B,2,0)</f>
        <v>Fernando Souza De Almeida</v>
      </c>
      <c r="J1112" s="3" t="s">
        <v>93</v>
      </c>
      <c r="K1112" s="3" t="str">
        <f t="shared" si="2"/>
        <v>SKILL DIFERENTE</v>
      </c>
      <c r="L1112" s="3" t="s">
        <v>866</v>
      </c>
      <c r="M1112" s="3" t="s">
        <v>70</v>
      </c>
      <c r="N1112" s="3" t="s">
        <v>71</v>
      </c>
      <c r="O1112" s="3" t="s">
        <v>3202</v>
      </c>
      <c r="P1112" s="3" t="s">
        <v>867</v>
      </c>
      <c r="Q1112" s="31">
        <v>42745</v>
      </c>
      <c r="R1112" s="3" t="str">
        <f>IFERROR(VLOOKUP(J1112,[1]PL!A:B,2,0),"")</f>
        <v>PSG</v>
      </c>
      <c r="S1112" s="3" t="str">
        <f>IFERROR(VLOOKUP(H1112,[1]Mapa!A:D,4,0),"")</f>
        <v>FUPOTECH</v>
      </c>
      <c r="T1112" s="3"/>
      <c r="U1112" s="3"/>
      <c r="V1112" s="3"/>
    </row>
    <row r="1113" spans="1:22">
      <c r="A1113" s="3" t="str">
        <f>VLOOKUP(D1113,[1]Orc!A:B,2,0)</f>
        <v>Not Responded</v>
      </c>
      <c r="B1113" s="31">
        <f>VLOOKUP(D1113,[1]Orc!A:C,3,0)</f>
        <v>42746.737756446761</v>
      </c>
      <c r="C1113" s="31">
        <v>42744.703472222223</v>
      </c>
      <c r="D1113" s="3">
        <v>3035418639</v>
      </c>
      <c r="E1113" s="3" t="s">
        <v>39</v>
      </c>
      <c r="F1113" s="3" t="s">
        <v>234</v>
      </c>
      <c r="G1113" s="3" t="str">
        <f>VLOOKUP(F1113,[1]Mapa!A:B,2,0)</f>
        <v>Levi De Sousa Barros</v>
      </c>
      <c r="H1113" s="3" t="s">
        <v>238</v>
      </c>
      <c r="I1113" s="3" t="str">
        <f>VLOOKUP(H1113,[1]Mapa!A:B,2,0)</f>
        <v>Fernando Souza De Almeida</v>
      </c>
      <c r="J1113" s="3" t="s">
        <v>93</v>
      </c>
      <c r="K1113" s="3" t="str">
        <f t="shared" si="2"/>
        <v>SKILL DIFERENTE</v>
      </c>
      <c r="L1113" s="3" t="s">
        <v>866</v>
      </c>
      <c r="M1113" s="3" t="s">
        <v>70</v>
      </c>
      <c r="N1113" s="3" t="s">
        <v>71</v>
      </c>
      <c r="O1113" s="3" t="s">
        <v>3203</v>
      </c>
      <c r="P1113" s="3" t="s">
        <v>867</v>
      </c>
      <c r="Q1113" s="31">
        <v>42745</v>
      </c>
      <c r="R1113" s="3" t="str">
        <f>IFERROR(VLOOKUP(J1113,[1]PL!A:B,2,0),"")</f>
        <v>PSG</v>
      </c>
      <c r="S1113" s="3" t="str">
        <f>IFERROR(VLOOKUP(H1113,[1]Mapa!A:D,4,0),"")</f>
        <v>FUPOTECH</v>
      </c>
      <c r="T1113" s="3"/>
      <c r="U1113" s="3" t="s">
        <v>3204</v>
      </c>
      <c r="V1113" s="3"/>
    </row>
    <row r="1114" spans="1:22">
      <c r="A1114" s="3" t="str">
        <f>VLOOKUP(D1114,[1]Orc!A:B,2,0)</f>
        <v>Sample Rejected</v>
      </c>
      <c r="B1114" s="31">
        <f>VLOOKUP(D1114,[1]Orc!A:C,3,0)</f>
        <v>42746.737756446761</v>
      </c>
      <c r="C1114" s="31">
        <v>42744.747916666667</v>
      </c>
      <c r="D1114" s="3">
        <v>3035619214</v>
      </c>
      <c r="E1114" s="3" t="s">
        <v>39</v>
      </c>
      <c r="F1114" s="3" t="s">
        <v>225</v>
      </c>
      <c r="G1114" s="3" t="str">
        <f>VLOOKUP(F1114,[1]Mapa!A:B,2,0)</f>
        <v>Eduardo Paixao Oliveira</v>
      </c>
      <c r="H1114" s="3" t="s">
        <v>225</v>
      </c>
      <c r="I1114" s="3" t="str">
        <f>VLOOKUP(H1114,[1]Mapa!A:B,2,0)</f>
        <v>Eduardo Paixao Oliveira</v>
      </c>
      <c r="J1114" s="3" t="s">
        <v>93</v>
      </c>
      <c r="K1114" s="3" t="str">
        <f t="shared" si="2"/>
        <v>SKILL IGUAL</v>
      </c>
      <c r="L1114" s="3" t="s">
        <v>866</v>
      </c>
      <c r="M1114" s="3" t="s">
        <v>59</v>
      </c>
      <c r="N1114" s="3" t="s">
        <v>60</v>
      </c>
      <c r="O1114" s="3" t="s">
        <v>229</v>
      </c>
      <c r="P1114" s="3" t="s">
        <v>867</v>
      </c>
      <c r="Q1114" s="31">
        <v>42745</v>
      </c>
      <c r="R1114" s="3" t="str">
        <f>IFERROR(VLOOKUP(J1114,[1]PL!A:B,2,0),"")</f>
        <v>PSG</v>
      </c>
      <c r="S1114" s="3" t="str">
        <f>IFERROR(VLOOKUP(H1114,[1]Mapa!A:D,4,0),"")</f>
        <v>PSG</v>
      </c>
      <c r="T1114" s="3"/>
      <c r="U1114" s="3"/>
      <c r="V1114" s="3"/>
    </row>
    <row r="1115" spans="1:22">
      <c r="A1115" s="3" t="str">
        <f>VLOOKUP(D1115,[1]Orc!A:B,2,0)</f>
        <v>Bounced Back Emails</v>
      </c>
      <c r="B1115" s="31">
        <f>VLOOKUP(D1115,[1]Orc!A:C,3,0)</f>
        <v>42746.737756446761</v>
      </c>
      <c r="C1115" s="31">
        <v>42744.784722222219</v>
      </c>
      <c r="D1115" s="3">
        <v>3035515300</v>
      </c>
      <c r="E1115" s="3" t="s">
        <v>39</v>
      </c>
      <c r="F1115" s="3" t="s">
        <v>240</v>
      </c>
      <c r="G1115" s="3" t="str">
        <f>VLOOKUP(F1115,[1]Mapa!A:B,2,0)</f>
        <v>Renato Da Silva Andrade</v>
      </c>
      <c r="H1115" s="3" t="s">
        <v>230</v>
      </c>
      <c r="I1115" s="3" t="e">
        <f>VLOOKUP(H1115,[1]Mapa!A:B,2,0)</f>
        <v>#N/A</v>
      </c>
      <c r="J1115" s="3" t="s">
        <v>93</v>
      </c>
      <c r="K1115" s="3" t="str">
        <f t="shared" si="2"/>
        <v>SKILL DIFERENTE</v>
      </c>
      <c r="L1115" s="3" t="s">
        <v>866</v>
      </c>
      <c r="M1115" s="3" t="s">
        <v>59</v>
      </c>
      <c r="N1115" s="3" t="s">
        <v>60</v>
      </c>
      <c r="O1115" s="3" t="s">
        <v>3205</v>
      </c>
      <c r="P1115" s="3" t="s">
        <v>867</v>
      </c>
      <c r="Q1115" s="31">
        <v>42745</v>
      </c>
      <c r="R1115" s="3" t="str">
        <f>IFERROR(VLOOKUP(J1115,[1]PL!A:B,2,0),"")</f>
        <v>PSG</v>
      </c>
      <c r="S1115" s="3" t="str">
        <f>IFERROR(VLOOKUP(H1115,[1]Mapa!A:D,4,0),"")</f>
        <v/>
      </c>
      <c r="T1115" s="3"/>
      <c r="U1115" s="3"/>
      <c r="V1115" s="3"/>
    </row>
    <row r="1116" spans="1:22">
      <c r="A1116" s="3" t="str">
        <f>VLOOKUP(D1116,[1]Orc!A:B,2,0)</f>
        <v>Completed Surveys</v>
      </c>
      <c r="B1116" s="31">
        <f>VLOOKUP(D1116,[1]Orc!A:C,3,0)</f>
        <v>42746.737756446761</v>
      </c>
      <c r="C1116" s="31">
        <v>42744.821527777778</v>
      </c>
      <c r="D1116" s="3">
        <v>3035573935</v>
      </c>
      <c r="E1116" s="3" t="s">
        <v>39</v>
      </c>
      <c r="F1116" s="3" t="s">
        <v>250</v>
      </c>
      <c r="G1116" s="3" t="str">
        <f>VLOOKUP(F1116,[1]Mapa!A:B,2,0)</f>
        <v>Filipe Augusto Fernandes De Oliveira</v>
      </c>
      <c r="H1116" s="3" t="s">
        <v>238</v>
      </c>
      <c r="I1116" s="3" t="str">
        <f>VLOOKUP(H1116,[1]Mapa!A:B,2,0)</f>
        <v>Fernando Souza De Almeida</v>
      </c>
      <c r="J1116" s="3" t="s">
        <v>93</v>
      </c>
      <c r="K1116" s="3" t="str">
        <f t="shared" si="2"/>
        <v>SKILL DIFERENTE</v>
      </c>
      <c r="L1116" s="3" t="s">
        <v>866</v>
      </c>
      <c r="M1116" s="3" t="s">
        <v>59</v>
      </c>
      <c r="N1116" s="3" t="s">
        <v>60</v>
      </c>
      <c r="O1116" s="3" t="s">
        <v>123</v>
      </c>
      <c r="P1116" s="3" t="s">
        <v>867</v>
      </c>
      <c r="Q1116" s="31">
        <v>42745</v>
      </c>
      <c r="R1116" s="3" t="str">
        <f>IFERROR(VLOOKUP(J1116,[1]PL!A:B,2,0),"")</f>
        <v>PSG</v>
      </c>
      <c r="S1116" s="3" t="str">
        <f>IFERROR(VLOOKUP(H1116,[1]Mapa!A:D,4,0),"")</f>
        <v>FUPOTECH</v>
      </c>
      <c r="T1116" s="3"/>
      <c r="U1116" s="3"/>
      <c r="V1116" s="3"/>
    </row>
    <row r="1117" spans="1:22">
      <c r="A1117" s="3" t="str">
        <f>VLOOKUP(D1117,[1]Orc!A:B,2,0)</f>
        <v>Sample Rejected</v>
      </c>
      <c r="B1117" s="31">
        <f>VLOOKUP(D1117,[1]Orc!A:C,3,0)</f>
        <v>42746.737756446761</v>
      </c>
      <c r="C1117" s="31">
        <v>42744.868750000001</v>
      </c>
      <c r="D1117" s="3">
        <v>3035574652</v>
      </c>
      <c r="E1117" s="3" t="s">
        <v>39</v>
      </c>
      <c r="F1117" s="3" t="s">
        <v>231</v>
      </c>
      <c r="G1117" s="3" t="str">
        <f>VLOOKUP(F1117,[1]Mapa!A:B,2,0)</f>
        <v>Lucas Da Silva Pinto</v>
      </c>
      <c r="H1117" s="3" t="s">
        <v>238</v>
      </c>
      <c r="I1117" s="3" t="str">
        <f>VLOOKUP(H1117,[1]Mapa!A:B,2,0)</f>
        <v>Fernando Souza De Almeida</v>
      </c>
      <c r="J1117" s="3" t="s">
        <v>93</v>
      </c>
      <c r="K1117" s="3" t="str">
        <f t="shared" si="2"/>
        <v>SKILL DIFERENTE</v>
      </c>
      <c r="L1117" s="3" t="s">
        <v>866</v>
      </c>
      <c r="M1117" s="3" t="s">
        <v>70</v>
      </c>
      <c r="N1117" s="3" t="s">
        <v>71</v>
      </c>
      <c r="O1117" s="3" t="s">
        <v>3206</v>
      </c>
      <c r="P1117" s="3" t="s">
        <v>867</v>
      </c>
      <c r="Q1117" s="31">
        <v>42745</v>
      </c>
      <c r="R1117" s="3" t="str">
        <f>IFERROR(VLOOKUP(J1117,[1]PL!A:B,2,0),"")</f>
        <v>PSG</v>
      </c>
      <c r="S1117" s="3" t="str">
        <f>IFERROR(VLOOKUP(H1117,[1]Mapa!A:D,4,0),"")</f>
        <v>FUPOTECH</v>
      </c>
      <c r="T1117" s="3"/>
      <c r="U1117" s="3"/>
      <c r="V1117" s="3"/>
    </row>
    <row r="1118" spans="1:22">
      <c r="A1118" s="3" t="str">
        <f>VLOOKUP(D1118,[1]Orc!A:B,2,0)</f>
        <v>Not Responded</v>
      </c>
      <c r="B1118" s="31">
        <f>VLOOKUP(D1118,[1]Orc!A:C,3,0)</f>
        <v>42747.737639085652</v>
      </c>
      <c r="C1118" s="31">
        <v>42745.380555555559</v>
      </c>
      <c r="D1118" s="3">
        <v>3035508026</v>
      </c>
      <c r="E1118" s="3" t="s">
        <v>2978</v>
      </c>
      <c r="F1118" s="3" t="s">
        <v>256</v>
      </c>
      <c r="G1118" s="3" t="str">
        <f>VLOOKUP(F1118,[1]Mapa!A:B,2,0)</f>
        <v>Viviane De Souza Magrini</v>
      </c>
      <c r="H1118" s="3" t="s">
        <v>142</v>
      </c>
      <c r="I1118" s="3" t="str">
        <f>VLOOKUP(H1118,[1]Mapa!A:B,2,0)</f>
        <v>Leandro Querino Nunes</v>
      </c>
      <c r="J1118" s="3" t="s">
        <v>93</v>
      </c>
      <c r="K1118" s="3" t="str">
        <f t="shared" si="2"/>
        <v>SKILL DIFERENTE</v>
      </c>
      <c r="L1118" s="3" t="s">
        <v>866</v>
      </c>
      <c r="M1118" s="3" t="s">
        <v>70</v>
      </c>
      <c r="N1118" s="3" t="s">
        <v>886</v>
      </c>
      <c r="O1118" s="3" t="s">
        <v>3207</v>
      </c>
      <c r="P1118" s="3" t="s">
        <v>876</v>
      </c>
      <c r="Q1118" s="31">
        <v>42746</v>
      </c>
      <c r="R1118" s="3" t="str">
        <f>IFERROR(VLOOKUP(J1118,[1]PL!A:B,2,0),"")</f>
        <v>PSG</v>
      </c>
      <c r="S1118" s="3" t="str">
        <f>IFERROR(VLOOKUP(H1118,[1]Mapa!A:D,4,0),"")</f>
        <v>FUPO SMS</v>
      </c>
      <c r="T1118" s="3"/>
      <c r="U1118" s="3"/>
      <c r="V1118" s="3"/>
    </row>
    <row r="1119" spans="1:22">
      <c r="A1119" s="3" t="str">
        <f>VLOOKUP(D1119,[1]Orc!A:B,2,0)</f>
        <v>Completed Surveys</v>
      </c>
      <c r="B1119" s="31">
        <f>VLOOKUP(D1119,[1]Orc!A:C,3,0)</f>
        <v>42747.737639085652</v>
      </c>
      <c r="C1119" s="31">
        <v>42745.397916666669</v>
      </c>
      <c r="D1119" s="3">
        <v>3035641086</v>
      </c>
      <c r="E1119" s="3" t="s">
        <v>31</v>
      </c>
      <c r="F1119" s="3" t="s">
        <v>200</v>
      </c>
      <c r="G1119" s="3" t="str">
        <f>VLOOKUP(F1119,[1]Mapa!A:B,2,0)</f>
        <v>Washington Silva De Oliveira</v>
      </c>
      <c r="H1119" s="3" t="s">
        <v>200</v>
      </c>
      <c r="I1119" s="3" t="str">
        <f>VLOOKUP(H1119,[1]Mapa!A:B,2,0)</f>
        <v>Washington Silva De Oliveira</v>
      </c>
      <c r="J1119" s="3" t="s">
        <v>100</v>
      </c>
      <c r="K1119" s="3" t="str">
        <f t="shared" si="2"/>
        <v>SKILL IGUAL</v>
      </c>
      <c r="L1119" s="3" t="s">
        <v>866</v>
      </c>
      <c r="M1119" s="3" t="s">
        <v>59</v>
      </c>
      <c r="N1119" s="3" t="s">
        <v>60</v>
      </c>
      <c r="O1119" s="3" t="s">
        <v>123</v>
      </c>
      <c r="P1119" s="3" t="s">
        <v>867</v>
      </c>
      <c r="Q1119" s="31">
        <v>42748</v>
      </c>
      <c r="R1119" s="3" t="str">
        <f>IFERROR(VLOOKUP(J1119,[1]PL!A:B,2,0),"")</f>
        <v>PSG</v>
      </c>
      <c r="S1119" s="3" t="str">
        <f>IFERROR(VLOOKUP(H1119,[1]Mapa!A:D,4,0),"")</f>
        <v>PSG</v>
      </c>
      <c r="T1119" s="3"/>
      <c r="U1119" s="3" t="s">
        <v>3106</v>
      </c>
      <c r="V1119" s="3"/>
    </row>
    <row r="1120" spans="1:22">
      <c r="A1120" s="3" t="str">
        <f>VLOOKUP(D1120,[1]Orc!A:B,2,0)</f>
        <v>Not Responded</v>
      </c>
      <c r="B1120" s="31">
        <f>VLOOKUP(D1120,[1]Orc!A:C,3,0)</f>
        <v>42747.737639085652</v>
      </c>
      <c r="C1120" s="31">
        <v>42745.402083333334</v>
      </c>
      <c r="D1120" s="3">
        <v>3035602913</v>
      </c>
      <c r="E1120" s="3" t="s">
        <v>31</v>
      </c>
      <c r="F1120" s="3" t="s">
        <v>206</v>
      </c>
      <c r="G1120" s="3" t="str">
        <f>VLOOKUP(F1120,[1]Mapa!A:B,2,0)</f>
        <v>Alvani Elizabete Aliano de Oliveira</v>
      </c>
      <c r="H1120" s="3" t="s">
        <v>209</v>
      </c>
      <c r="I1120" s="3" t="str">
        <f>VLOOKUP(H1120,[1]Mapa!A:B,2,0)</f>
        <v>Taina Alexsander Fernandes Pires</v>
      </c>
      <c r="J1120" s="3" t="s">
        <v>100</v>
      </c>
      <c r="K1120" s="3" t="str">
        <f t="shared" si="2"/>
        <v>SKILL DIFERENTE</v>
      </c>
      <c r="L1120" s="3" t="s">
        <v>866</v>
      </c>
      <c r="M1120" s="3" t="s">
        <v>70</v>
      </c>
      <c r="N1120" s="3" t="s">
        <v>71</v>
      </c>
      <c r="O1120" s="3" t="s">
        <v>3208</v>
      </c>
      <c r="P1120" s="3" t="s">
        <v>876</v>
      </c>
      <c r="Q1120" s="31">
        <v>42746</v>
      </c>
      <c r="R1120" s="3" t="str">
        <f>IFERROR(VLOOKUP(J1120,[1]PL!A:B,2,0),"")</f>
        <v>PSG</v>
      </c>
      <c r="S1120" s="3" t="str">
        <f>IFERROR(VLOOKUP(H1120,[1]Mapa!A:D,4,0),"")</f>
        <v>FUPOTECH</v>
      </c>
      <c r="T1120" s="3"/>
      <c r="U1120" s="3"/>
      <c r="V1120" s="3"/>
    </row>
    <row r="1121" spans="1:22">
      <c r="A1121" s="3" t="e">
        <f>VLOOKUP(D1121,[1]Orc!A:B,2,0)</f>
        <v>#N/A</v>
      </c>
      <c r="B1121" s="31" t="e">
        <f>VLOOKUP(D1121,[1]Orc!A:C,3,0)</f>
        <v>#N/A</v>
      </c>
      <c r="C1121" s="31">
        <v>42745.404166666667</v>
      </c>
      <c r="D1121" s="3">
        <v>3035066592</v>
      </c>
      <c r="E1121" s="3" t="s">
        <v>23</v>
      </c>
      <c r="F1121" s="3" t="s">
        <v>137</v>
      </c>
      <c r="G1121" s="3" t="str">
        <f>VLOOKUP(F1121,[1]Mapa!A:B,2,0)</f>
        <v>Odonilton Firmino de Moura</v>
      </c>
      <c r="H1121" s="3" t="s">
        <v>63</v>
      </c>
      <c r="I1121" s="3" t="str">
        <f>VLOOKUP(H1121,[1]Mapa!A:B,2,0)</f>
        <v>Mauricio Guimaraes Renesto</v>
      </c>
      <c r="J1121" s="3" t="s">
        <v>93</v>
      </c>
      <c r="K1121" s="3" t="str">
        <f t="shared" si="2"/>
        <v>SKILL DIFERENTE</v>
      </c>
      <c r="L1121" s="3" t="s">
        <v>871</v>
      </c>
      <c r="M1121" s="3" t="s">
        <v>65</v>
      </c>
      <c r="N1121" s="3" t="s">
        <v>66</v>
      </c>
      <c r="O1121" s="3" t="s">
        <v>65</v>
      </c>
      <c r="P1121" s="3" t="s">
        <v>876</v>
      </c>
      <c r="Q1121" s="31">
        <v>42746</v>
      </c>
      <c r="R1121" s="3" t="str">
        <f>IFERROR(VLOOKUP(J1121,[1]PL!A:B,2,0),"")</f>
        <v>PSG</v>
      </c>
      <c r="S1121" s="3" t="str">
        <f>IFERROR(VLOOKUP(H1121,[1]Mapa!A:D,4,0),"")</f>
        <v>TCO</v>
      </c>
      <c r="T1121" s="3"/>
      <c r="U1121" s="3"/>
      <c r="V1121" s="3"/>
    </row>
    <row r="1122" spans="1:22">
      <c r="A1122" s="3" t="str">
        <f>VLOOKUP(D1122,[1]Orc!A:B,2,0)</f>
        <v>Not Responded</v>
      </c>
      <c r="B1122" s="31">
        <f>VLOOKUP(D1122,[1]Orc!A:C,3,0)</f>
        <v>42747.737639085652</v>
      </c>
      <c r="C1122" s="31">
        <v>42745.413194444445</v>
      </c>
      <c r="D1122" s="3">
        <v>3035603834</v>
      </c>
      <c r="E1122" s="3" t="s">
        <v>31</v>
      </c>
      <c r="F1122" s="3" t="s">
        <v>216</v>
      </c>
      <c r="G1122" s="3" t="str">
        <f>VLOOKUP(F1122,[1]Mapa!A:B,2,0)</f>
        <v>Lucas Almeida Dos Santos</v>
      </c>
      <c r="H1122" s="3" t="s">
        <v>209</v>
      </c>
      <c r="I1122" s="3" t="str">
        <f>VLOOKUP(H1122,[1]Mapa!A:B,2,0)</f>
        <v>Taina Alexsander Fernandes Pires</v>
      </c>
      <c r="J1122" s="3" t="s">
        <v>100</v>
      </c>
      <c r="K1122" s="3" t="str">
        <f t="shared" si="2"/>
        <v>SKILL DIFERENTE</v>
      </c>
      <c r="L1122" s="3" t="s">
        <v>866</v>
      </c>
      <c r="M1122" s="3" t="s">
        <v>70</v>
      </c>
      <c r="N1122" s="3" t="s">
        <v>71</v>
      </c>
      <c r="O1122" s="3" t="s">
        <v>3209</v>
      </c>
      <c r="P1122" s="3" t="s">
        <v>867</v>
      </c>
      <c r="Q1122" s="31">
        <v>42748</v>
      </c>
      <c r="R1122" s="3" t="str">
        <f>IFERROR(VLOOKUP(J1122,[1]PL!A:B,2,0),"")</f>
        <v>PSG</v>
      </c>
      <c r="S1122" s="3" t="str">
        <f>IFERROR(VLOOKUP(H1122,[1]Mapa!A:D,4,0),"")</f>
        <v>FUPOTECH</v>
      </c>
      <c r="T1122" s="3"/>
      <c r="U1122" s="3"/>
      <c r="V1122" s="3"/>
    </row>
    <row r="1123" spans="1:22">
      <c r="A1123" s="3" t="str">
        <f>VLOOKUP(D1123,[1]Orc!A:B,2,0)</f>
        <v>Not Responded</v>
      </c>
      <c r="B1123" s="31">
        <f>VLOOKUP(D1123,[1]Orc!A:C,3,0)</f>
        <v>42747.737639085652</v>
      </c>
      <c r="C1123" s="31">
        <v>42745.438888888886</v>
      </c>
      <c r="D1123" s="3">
        <v>3035603436</v>
      </c>
      <c r="E1123" s="3" t="s">
        <v>31</v>
      </c>
      <c r="F1123" s="3" t="s">
        <v>145</v>
      </c>
      <c r="G1123" s="3" t="str">
        <f>VLOOKUP(F1123,[1]Mapa!A:B,2,0)</f>
        <v>Erico Luan de Jesus Silva</v>
      </c>
      <c r="H1123" s="3" t="s">
        <v>209</v>
      </c>
      <c r="I1123" s="3" t="str">
        <f>VLOOKUP(H1123,[1]Mapa!A:B,2,0)</f>
        <v>Taina Alexsander Fernandes Pires</v>
      </c>
      <c r="J1123" s="3" t="s">
        <v>93</v>
      </c>
      <c r="K1123" s="3" t="str">
        <f t="shared" si="2"/>
        <v>SKILL DIFERENTE</v>
      </c>
      <c r="L1123" s="3" t="s">
        <v>866</v>
      </c>
      <c r="M1123" s="3" t="s">
        <v>70</v>
      </c>
      <c r="N1123" s="3" t="s">
        <v>75</v>
      </c>
      <c r="O1123" s="3" t="s">
        <v>3210</v>
      </c>
      <c r="P1123" s="3" t="s">
        <v>876</v>
      </c>
      <c r="Q1123" s="31">
        <v>42746</v>
      </c>
      <c r="R1123" s="3" t="str">
        <f>IFERROR(VLOOKUP(J1123,[1]PL!A:B,2,0),"")</f>
        <v>PSG</v>
      </c>
      <c r="S1123" s="3" t="str">
        <f>IFERROR(VLOOKUP(H1123,[1]Mapa!A:D,4,0),"")</f>
        <v>FUPOTECH</v>
      </c>
      <c r="T1123" s="3"/>
      <c r="U1123" s="3"/>
      <c r="V1123" s="3"/>
    </row>
    <row r="1124" spans="1:22">
      <c r="A1124" s="3" t="str">
        <f>VLOOKUP(D1124,[1]Orc!A:B,2,0)</f>
        <v>Completed Surveys</v>
      </c>
      <c r="B1124" s="31">
        <f>VLOOKUP(D1124,[1]Orc!A:C,3,0)</f>
        <v>42747.737639085652</v>
      </c>
      <c r="C1124" s="31">
        <v>42745.46597222222</v>
      </c>
      <c r="D1124" s="3">
        <v>3035567614</v>
      </c>
      <c r="E1124" s="3" t="s">
        <v>9</v>
      </c>
      <c r="F1124" s="3" t="s">
        <v>56</v>
      </c>
      <c r="G1124" s="3" t="str">
        <f>VLOOKUP(F1124,[1]Mapa!A:B,2,0)</f>
        <v>Matheus Cardoso Silva</v>
      </c>
      <c r="H1124" s="3" t="s">
        <v>82</v>
      </c>
      <c r="I1124" s="3" t="str">
        <f>VLOOKUP(H1124,[1]Mapa!A:B,2,0)</f>
        <v>Jonatas Gomes Tenorio</v>
      </c>
      <c r="J1124" s="3" t="s">
        <v>100</v>
      </c>
      <c r="K1124" s="3" t="str">
        <f t="shared" si="2"/>
        <v>SKILL DIFERENTE</v>
      </c>
      <c r="L1124" s="3" t="s">
        <v>866</v>
      </c>
      <c r="M1124" s="3" t="s">
        <v>59</v>
      </c>
      <c r="N1124" s="3" t="s">
        <v>60</v>
      </c>
      <c r="O1124" s="3" t="s">
        <v>3604</v>
      </c>
      <c r="P1124" s="3" t="s">
        <v>867</v>
      </c>
      <c r="Q1124" s="31">
        <v>42749</v>
      </c>
      <c r="R1124" s="3" t="str">
        <f>IFERROR(VLOOKUP(J1124,[1]PL!A:B,2,0),"")</f>
        <v>PSG</v>
      </c>
      <c r="S1124" s="3" t="str">
        <f>IFERROR(VLOOKUP(H1124,[1]Mapa!A:D,4,0),"")</f>
        <v>IPG</v>
      </c>
      <c r="T1124" s="3"/>
      <c r="U1124" s="3"/>
      <c r="V1124" s="3"/>
    </row>
    <row r="1125" spans="1:22">
      <c r="A1125" s="3" t="str">
        <f>VLOOKUP(D1125,[1]Orc!A:B,2,0)</f>
        <v>Bounced Back Emails</v>
      </c>
      <c r="B1125" s="31">
        <f>VLOOKUP(D1125,[1]Orc!A:C,3,0)</f>
        <v>42747.737639085652</v>
      </c>
      <c r="C1125" s="31">
        <v>42745.472222222219</v>
      </c>
      <c r="D1125" s="3">
        <v>3035604573</v>
      </c>
      <c r="E1125" s="3" t="s">
        <v>31</v>
      </c>
      <c r="F1125" s="3" t="s">
        <v>221</v>
      </c>
      <c r="G1125" s="3" t="str">
        <f>VLOOKUP(F1125,[1]Mapa!A:B,2,0)</f>
        <v>Fabio Perez Da Silva</v>
      </c>
      <c r="H1125" s="3" t="s">
        <v>209</v>
      </c>
      <c r="I1125" s="3" t="str">
        <f>VLOOKUP(H1125,[1]Mapa!A:B,2,0)</f>
        <v>Taina Alexsander Fernandes Pires</v>
      </c>
      <c r="J1125" s="3" t="s">
        <v>100</v>
      </c>
      <c r="K1125" s="3" t="str">
        <f t="shared" si="2"/>
        <v>SKILL DIFERENTE</v>
      </c>
      <c r="L1125" s="3" t="s">
        <v>866</v>
      </c>
      <c r="M1125" s="3" t="s">
        <v>59</v>
      </c>
      <c r="N1125" s="3" t="s">
        <v>60</v>
      </c>
      <c r="O1125" s="3" t="s">
        <v>3211</v>
      </c>
      <c r="P1125" s="3" t="s">
        <v>876</v>
      </c>
      <c r="Q1125" s="31">
        <v>42746</v>
      </c>
      <c r="R1125" s="3" t="str">
        <f>IFERROR(VLOOKUP(J1125,[1]PL!A:B,2,0),"")</f>
        <v>PSG</v>
      </c>
      <c r="S1125" s="3" t="str">
        <f>IFERROR(VLOOKUP(H1125,[1]Mapa!A:D,4,0),"")</f>
        <v>FUPOTECH</v>
      </c>
      <c r="T1125" s="3"/>
      <c r="U1125" s="3"/>
      <c r="V1125" s="3"/>
    </row>
    <row r="1126" spans="1:22">
      <c r="A1126" s="3" t="str">
        <f>VLOOKUP(D1126,[1]Orc!A:B,2,0)</f>
        <v>Completed Surveys</v>
      </c>
      <c r="B1126" s="31">
        <f>VLOOKUP(D1126,[1]Orc!A:C,3,0)</f>
        <v>42748.738471724537</v>
      </c>
      <c r="C1126" s="31">
        <v>42746.629861111112</v>
      </c>
      <c r="D1126" s="3">
        <v>3035686953</v>
      </c>
      <c r="E1126" s="3" t="s">
        <v>23</v>
      </c>
      <c r="F1126" s="3" t="s">
        <v>119</v>
      </c>
      <c r="G1126" s="3" t="str">
        <f>VLOOKUP(F1126,[1]Mapa!A:B,2,0)</f>
        <v xml:space="preserve">Leandro Ferreira Batista </v>
      </c>
      <c r="H1126" s="3" t="s">
        <v>119</v>
      </c>
      <c r="I1126" s="3" t="str">
        <f>VLOOKUP(H1126,[1]Mapa!A:B,2,0)</f>
        <v xml:space="preserve">Leandro Ferreira Batista </v>
      </c>
      <c r="J1126" s="3" t="s">
        <v>93</v>
      </c>
      <c r="K1126" s="3" t="str">
        <f t="shared" si="2"/>
        <v>SKILL DIFERENTE</v>
      </c>
      <c r="L1126" s="3" t="s">
        <v>866</v>
      </c>
      <c r="M1126" s="3" t="s">
        <v>59</v>
      </c>
      <c r="N1126" s="3" t="s">
        <v>60</v>
      </c>
      <c r="O1126" s="3" t="s">
        <v>123</v>
      </c>
      <c r="P1126" s="3" t="s">
        <v>867</v>
      </c>
      <c r="Q1126" s="31">
        <v>42747</v>
      </c>
      <c r="R1126" s="3" t="str">
        <f>IFERROR(VLOOKUP(J1126,[1]PL!A:B,2,0),"")</f>
        <v>PSG</v>
      </c>
      <c r="S1126" s="3" t="str">
        <f>IFERROR(VLOOKUP(H1126,[1]Mapa!A:D,4,0),"")</f>
        <v>IPG</v>
      </c>
      <c r="T1126" s="3"/>
      <c r="U1126" s="3"/>
      <c r="V1126" s="3"/>
    </row>
    <row r="1127" spans="1:22">
      <c r="A1127" s="3" t="str">
        <f>VLOOKUP(D1127,[1]Orc!A:B,2,0)</f>
        <v>Not Responded</v>
      </c>
      <c r="B1127" s="31">
        <f>VLOOKUP(D1127,[1]Orc!A:C,3,0)</f>
        <v>42747.737639085652</v>
      </c>
      <c r="C1127" s="31">
        <v>42745.490277777775</v>
      </c>
      <c r="D1127" s="3">
        <v>3035608975</v>
      </c>
      <c r="E1127" s="3" t="s">
        <v>31</v>
      </c>
      <c r="F1127" s="3" t="s">
        <v>200</v>
      </c>
      <c r="G1127" s="3" t="str">
        <f>VLOOKUP(F1127,[1]Mapa!A:B,2,0)</f>
        <v>Washington Silva De Oliveira</v>
      </c>
      <c r="H1127" s="3" t="s">
        <v>209</v>
      </c>
      <c r="I1127" s="3" t="str">
        <f>VLOOKUP(H1127,[1]Mapa!A:B,2,0)</f>
        <v>Taina Alexsander Fernandes Pires</v>
      </c>
      <c r="J1127" s="3" t="s">
        <v>93</v>
      </c>
      <c r="K1127" s="3" t="str">
        <f t="shared" si="2"/>
        <v>SKILL DIFERENTE</v>
      </c>
      <c r="L1127" s="3" t="s">
        <v>866</v>
      </c>
      <c r="M1127" s="3" t="s">
        <v>70</v>
      </c>
      <c r="N1127" s="3" t="s">
        <v>71</v>
      </c>
      <c r="O1127" s="3" t="s">
        <v>3212</v>
      </c>
      <c r="P1127" s="3" t="s">
        <v>876</v>
      </c>
      <c r="Q1127" s="31">
        <v>42746</v>
      </c>
      <c r="R1127" s="3" t="str">
        <f>IFERROR(VLOOKUP(J1127,[1]PL!A:B,2,0),"")</f>
        <v>PSG</v>
      </c>
      <c r="S1127" s="3" t="str">
        <f>IFERROR(VLOOKUP(H1127,[1]Mapa!A:D,4,0),"")</f>
        <v>FUPOTECH</v>
      </c>
      <c r="T1127" s="3"/>
      <c r="U1127" s="3"/>
      <c r="V1127" s="3"/>
    </row>
    <row r="1128" spans="1:22">
      <c r="A1128" s="3" t="str">
        <f>VLOOKUP(D1128,[1]Orc!A:B,2,0)</f>
        <v>Not Responded</v>
      </c>
      <c r="B1128" s="31">
        <f>VLOOKUP(D1128,[1]Orc!A:C,3,0)</f>
        <v>42749.737991238428</v>
      </c>
      <c r="C1128" s="31">
        <v>42747.527777777781</v>
      </c>
      <c r="D1128" s="3">
        <v>3035716857</v>
      </c>
      <c r="E1128" s="3" t="s">
        <v>31</v>
      </c>
      <c r="F1128" s="3" t="s">
        <v>223</v>
      </c>
      <c r="G1128" s="3" t="str">
        <f>VLOOKUP(F1128,[1]Mapa!A:B,2,0)</f>
        <v>Daniel Sousa Pinheiro</v>
      </c>
      <c r="H1128" s="3" t="s">
        <v>223</v>
      </c>
      <c r="I1128" s="3" t="str">
        <f>VLOOKUP(H1128,[1]Mapa!A:B,2,0)</f>
        <v>Daniel Sousa Pinheiro</v>
      </c>
      <c r="J1128" s="3" t="s">
        <v>93</v>
      </c>
      <c r="K1128" s="3" t="str">
        <f t="shared" si="2"/>
        <v>SKILL IGUAL</v>
      </c>
      <c r="L1128" s="3" t="s">
        <v>866</v>
      </c>
      <c r="M1128" s="3" t="s">
        <v>59</v>
      </c>
      <c r="N1128" s="3" t="s">
        <v>60</v>
      </c>
      <c r="O1128" s="3" t="s">
        <v>59</v>
      </c>
      <c r="P1128" s="3" t="s">
        <v>876</v>
      </c>
      <c r="Q1128" s="31">
        <v>42748</v>
      </c>
      <c r="R1128" s="3" t="str">
        <f>IFERROR(VLOOKUP(J1128,[1]PL!A:B,2,0),"")</f>
        <v>PSG</v>
      </c>
      <c r="S1128" s="3" t="str">
        <f>IFERROR(VLOOKUP(H1128,[1]Mapa!A:D,4,0),"")</f>
        <v>PSG</v>
      </c>
      <c r="T1128" s="3"/>
      <c r="U1128" s="3"/>
      <c r="V1128" s="3"/>
    </row>
    <row r="1129" spans="1:22">
      <c r="A1129" s="3" t="str">
        <f>VLOOKUP(D1129,[1]Orc!A:B,2,0)</f>
        <v>Completed Surveys</v>
      </c>
      <c r="B1129" s="31">
        <f>VLOOKUP(D1129,[1]Orc!A:C,3,0)</f>
        <v>42749.737991238428</v>
      </c>
      <c r="C1129" s="31">
        <v>42747.59652777778</v>
      </c>
      <c r="D1129" s="3">
        <v>3035718638</v>
      </c>
      <c r="E1129" s="3" t="s">
        <v>31</v>
      </c>
      <c r="F1129" s="3" t="s">
        <v>200</v>
      </c>
      <c r="G1129" s="3" t="str">
        <f>VLOOKUP(F1129,[1]Mapa!A:B,2,0)</f>
        <v>Washington Silva De Oliveira</v>
      </c>
      <c r="H1129" s="3" t="s">
        <v>200</v>
      </c>
      <c r="I1129" s="3" t="str">
        <f>VLOOKUP(H1129,[1]Mapa!A:B,2,0)</f>
        <v>Washington Silva De Oliveira</v>
      </c>
      <c r="J1129" s="3" t="s">
        <v>93</v>
      </c>
      <c r="K1129" s="3" t="str">
        <f t="shared" si="2"/>
        <v>SKILL IGUAL</v>
      </c>
      <c r="L1129" s="3" t="s">
        <v>866</v>
      </c>
      <c r="M1129" s="3" t="s">
        <v>59</v>
      </c>
      <c r="N1129" s="3" t="s">
        <v>60</v>
      </c>
      <c r="O1129" s="3" t="s">
        <v>3235</v>
      </c>
      <c r="P1129" s="3" t="s">
        <v>876</v>
      </c>
      <c r="Q1129" s="31">
        <v>42748</v>
      </c>
      <c r="R1129" s="3" t="str">
        <f>IFERROR(VLOOKUP(J1129,[1]PL!A:B,2,0),"")</f>
        <v>PSG</v>
      </c>
      <c r="S1129" s="3" t="str">
        <f>IFERROR(VLOOKUP(H1129,[1]Mapa!A:D,4,0),"")</f>
        <v>PSG</v>
      </c>
      <c r="T1129" s="3" t="s">
        <v>4247</v>
      </c>
      <c r="U1129" s="3"/>
      <c r="V1129" s="3"/>
    </row>
    <row r="1130" spans="1:22">
      <c r="A1130" s="3" t="str">
        <f>VLOOKUP(D1130,[1]Orc!A:B,2,0)</f>
        <v>Completed Surveys</v>
      </c>
      <c r="B1130" s="31">
        <f>VLOOKUP(D1130,[1]Orc!A:C,3,0)</f>
        <v>42747.737639085652</v>
      </c>
      <c r="C1130" s="31">
        <v>42745.586805555555</v>
      </c>
      <c r="D1130" s="3">
        <v>3035648692</v>
      </c>
      <c r="E1130" s="3" t="s">
        <v>31</v>
      </c>
      <c r="F1130" s="3" t="s">
        <v>213</v>
      </c>
      <c r="G1130" s="3" t="str">
        <f>VLOOKUP(F1130,[1]Mapa!A:B,2,0)</f>
        <v>Leonardo Cantilho Maracas</v>
      </c>
      <c r="H1130" s="3" t="s">
        <v>213</v>
      </c>
      <c r="I1130" s="3" t="str">
        <f>VLOOKUP(H1130,[1]Mapa!A:B,2,0)</f>
        <v>Leonardo Cantilho Maracas</v>
      </c>
      <c r="J1130" s="3" t="s">
        <v>93</v>
      </c>
      <c r="K1130" s="3" t="str">
        <f t="shared" si="2"/>
        <v>SKILL IGUAL</v>
      </c>
      <c r="L1130" s="3" t="s">
        <v>866</v>
      </c>
      <c r="M1130" s="3" t="s">
        <v>59</v>
      </c>
      <c r="N1130" s="3" t="s">
        <v>60</v>
      </c>
      <c r="O1130" s="3" t="s">
        <v>59</v>
      </c>
      <c r="P1130" s="3" t="s">
        <v>876</v>
      </c>
      <c r="Q1130" s="31">
        <v>42746</v>
      </c>
      <c r="R1130" s="3" t="str">
        <f>IFERROR(VLOOKUP(J1130,[1]PL!A:B,2,0),"")</f>
        <v>PSG</v>
      </c>
      <c r="S1130" s="3" t="str">
        <f>IFERROR(VLOOKUP(H1130,[1]Mapa!A:D,4,0),"")</f>
        <v>PSG</v>
      </c>
      <c r="T1130" s="3"/>
      <c r="U1130" s="3"/>
      <c r="V1130" s="3"/>
    </row>
    <row r="1131" spans="1:22">
      <c r="A1131" s="3" t="str">
        <f>VLOOKUP(D1131,[1]Orc!A:B,2,0)</f>
        <v>Not Responded</v>
      </c>
      <c r="B1131" s="31">
        <f>VLOOKUP(D1131,[1]Orc!A:C,3,0)</f>
        <v>42747.737666782406</v>
      </c>
      <c r="C1131" s="31">
        <v>42745.598611111112</v>
      </c>
      <c r="D1131" s="3">
        <v>3035602079</v>
      </c>
      <c r="E1131" s="3" t="s">
        <v>31</v>
      </c>
      <c r="F1131" s="3" t="s">
        <v>156</v>
      </c>
      <c r="G1131" s="3" t="str">
        <f>VLOOKUP(F1131,[1]Mapa!A:B,2,0)</f>
        <v>Felipe Alves Barbosa</v>
      </c>
      <c r="H1131" s="3" t="s">
        <v>63</v>
      </c>
      <c r="I1131" s="3" t="str">
        <f>VLOOKUP(H1131,[1]Mapa!A:B,2,0)</f>
        <v>Mauricio Guimaraes Renesto</v>
      </c>
      <c r="J1131" s="3" t="s">
        <v>93</v>
      </c>
      <c r="K1131" s="3" t="str">
        <f t="shared" si="2"/>
        <v>SKILL DIFERENTE</v>
      </c>
      <c r="L1131" s="3" t="s">
        <v>871</v>
      </c>
      <c r="M1131" s="3" t="s">
        <v>65</v>
      </c>
      <c r="N1131" s="3" t="s">
        <v>66</v>
      </c>
      <c r="O1131" s="3" t="s">
        <v>65</v>
      </c>
      <c r="P1131" s="3" t="s">
        <v>876</v>
      </c>
      <c r="Q1131" s="31">
        <v>42746</v>
      </c>
      <c r="R1131" s="3" t="str">
        <f>IFERROR(VLOOKUP(J1131,[1]PL!A:B,2,0),"")</f>
        <v>PSG</v>
      </c>
      <c r="S1131" s="3" t="str">
        <f>IFERROR(VLOOKUP(H1131,[1]Mapa!A:D,4,0),"")</f>
        <v>TCO</v>
      </c>
      <c r="T1131" s="3"/>
      <c r="U1131" s="3"/>
      <c r="V1131" s="3"/>
    </row>
    <row r="1132" spans="1:22">
      <c r="A1132" s="3" t="str">
        <f>VLOOKUP(D1132,[1]Orc!A:B,2,0)</f>
        <v>Not Responded</v>
      </c>
      <c r="B1132" s="31">
        <f>VLOOKUP(D1132,[1]Orc!A:C,3,0)</f>
        <v>42747.737639085652</v>
      </c>
      <c r="C1132" s="31">
        <v>42745.603472222225</v>
      </c>
      <c r="D1132" s="3">
        <v>3035542359</v>
      </c>
      <c r="E1132" s="3" t="s">
        <v>23</v>
      </c>
      <c r="F1132" s="3" t="s">
        <v>183</v>
      </c>
      <c r="G1132" s="3" t="str">
        <f>VLOOKUP(F1132,[1]Mapa!A:B,2,0)</f>
        <v>Janio Vinicius Inacio Custodio</v>
      </c>
      <c r="H1132" s="3" t="s">
        <v>139</v>
      </c>
      <c r="I1132" s="3" t="str">
        <f>VLOOKUP(H1132,[1]Mapa!A:B,2,0)</f>
        <v>Vanderlei Valentim Vieira</v>
      </c>
      <c r="J1132" s="3" t="s">
        <v>100</v>
      </c>
      <c r="K1132" s="3" t="str">
        <f t="shared" si="2"/>
        <v>SKILL DIFERENTE</v>
      </c>
      <c r="L1132" s="3" t="s">
        <v>866</v>
      </c>
      <c r="M1132" s="3" t="s">
        <v>70</v>
      </c>
      <c r="N1132" s="3" t="s">
        <v>60</v>
      </c>
      <c r="O1132" s="3" t="s">
        <v>3213</v>
      </c>
      <c r="P1132" s="3" t="s">
        <v>867</v>
      </c>
      <c r="Q1132" s="31">
        <v>42748</v>
      </c>
      <c r="R1132" s="3" t="str">
        <f>IFERROR(VLOOKUP(J1132,[1]PL!A:B,2,0),"")</f>
        <v>PSG</v>
      </c>
      <c r="S1132" s="3" t="str">
        <f>IFERROR(VLOOKUP(H1132,[1]Mapa!A:D,4,0),"")</f>
        <v>FUPOTECH</v>
      </c>
      <c r="T1132" s="3"/>
      <c r="U1132" s="3"/>
      <c r="V1132" s="3"/>
    </row>
    <row r="1133" spans="1:22">
      <c r="A1133" s="3" t="str">
        <f>VLOOKUP(D1133,[1]Orc!A:B,2,0)</f>
        <v>Completed Surveys</v>
      </c>
      <c r="B1133" s="31">
        <f>VLOOKUP(D1133,[1]Orc!A:C,3,0)</f>
        <v>42747.737639085652</v>
      </c>
      <c r="C1133" s="31">
        <v>42745.604166666664</v>
      </c>
      <c r="D1133" s="3">
        <v>3035649716</v>
      </c>
      <c r="E1133" s="3" t="s">
        <v>31</v>
      </c>
      <c r="F1133" s="3" t="s">
        <v>219</v>
      </c>
      <c r="G1133" s="3" t="str">
        <f>VLOOKUP(F1133,[1]Mapa!A:B,2,0)</f>
        <v>Rafael Dos Santos</v>
      </c>
      <c r="H1133" s="3" t="s">
        <v>219</v>
      </c>
      <c r="I1133" s="3" t="str">
        <f>VLOOKUP(H1133,[1]Mapa!A:B,2,0)</f>
        <v>Rafael Dos Santos</v>
      </c>
      <c r="J1133" s="3" t="s">
        <v>93</v>
      </c>
      <c r="K1133" s="3" t="str">
        <f t="shared" si="2"/>
        <v>SKILL IGUAL</v>
      </c>
      <c r="L1133" s="3" t="s">
        <v>866</v>
      </c>
      <c r="M1133" s="3" t="s">
        <v>59</v>
      </c>
      <c r="N1133" s="3" t="s">
        <v>60</v>
      </c>
      <c r="O1133" s="3" t="s">
        <v>123</v>
      </c>
      <c r="P1133" s="3" t="s">
        <v>867</v>
      </c>
      <c r="Q1133" s="31">
        <v>42747</v>
      </c>
      <c r="R1133" s="3" t="str">
        <f>IFERROR(VLOOKUP(J1133,[1]PL!A:B,2,0),"")</f>
        <v>PSG</v>
      </c>
      <c r="S1133" s="3" t="str">
        <f>IFERROR(VLOOKUP(H1133,[1]Mapa!A:D,4,0),"")</f>
        <v>PSG</v>
      </c>
      <c r="T1133" s="3"/>
      <c r="U1133" s="3"/>
      <c r="V1133" s="3"/>
    </row>
    <row r="1134" spans="1:22">
      <c r="A1134" s="3" t="str">
        <f>VLOOKUP(D1134,[1]Orc!A:B,2,0)</f>
        <v>Completed Surveys</v>
      </c>
      <c r="B1134" s="31">
        <f>VLOOKUP(D1134,[1]Orc!A:C,3,0)</f>
        <v>42747.737639085652</v>
      </c>
      <c r="C1134" s="31">
        <v>42745.640972222223</v>
      </c>
      <c r="D1134" s="3">
        <v>3035649539</v>
      </c>
      <c r="E1134" s="3" t="s">
        <v>31</v>
      </c>
      <c r="F1134" s="3" t="s">
        <v>223</v>
      </c>
      <c r="G1134" s="3" t="str">
        <f>VLOOKUP(F1134,[1]Mapa!A:B,2,0)</f>
        <v>Daniel Sousa Pinheiro</v>
      </c>
      <c r="H1134" s="3" t="s">
        <v>223</v>
      </c>
      <c r="I1134" s="3" t="str">
        <f>VLOOKUP(H1134,[1]Mapa!A:B,2,0)</f>
        <v>Daniel Sousa Pinheiro</v>
      </c>
      <c r="J1134" s="3" t="s">
        <v>93</v>
      </c>
      <c r="K1134" s="3" t="str">
        <f t="shared" si="2"/>
        <v>SKILL IGUAL</v>
      </c>
      <c r="L1134" s="3" t="s">
        <v>866</v>
      </c>
      <c r="M1134" s="3" t="s">
        <v>59</v>
      </c>
      <c r="N1134" s="3" t="s">
        <v>60</v>
      </c>
      <c r="O1134" s="3" t="s">
        <v>123</v>
      </c>
      <c r="P1134" s="3" t="s">
        <v>867</v>
      </c>
      <c r="Q1134" s="31">
        <v>42746</v>
      </c>
      <c r="R1134" s="3" t="str">
        <f>IFERROR(VLOOKUP(J1134,[1]PL!A:B,2,0),"")</f>
        <v>PSG</v>
      </c>
      <c r="S1134" s="3" t="str">
        <f>IFERROR(VLOOKUP(H1134,[1]Mapa!A:D,4,0),"")</f>
        <v>PSG</v>
      </c>
      <c r="T1134" s="3"/>
      <c r="U1134" s="3"/>
      <c r="V1134" s="3"/>
    </row>
    <row r="1135" spans="1:22">
      <c r="A1135" s="3" t="e">
        <f>VLOOKUP(D1135,[1]Orc!A:B,2,0)</f>
        <v>#N/A</v>
      </c>
      <c r="B1135" s="31" t="e">
        <f>VLOOKUP(D1135,[1]Orc!A:C,3,0)</f>
        <v>#N/A</v>
      </c>
      <c r="C1135" s="31">
        <v>42745.672222222223</v>
      </c>
      <c r="D1135" s="3">
        <v>3035649837</v>
      </c>
      <c r="E1135" s="3" t="s">
        <v>204</v>
      </c>
      <c r="F1135" s="3" t="s">
        <v>3089</v>
      </c>
      <c r="G1135" s="3" t="str">
        <f>VLOOKUP(F1135,[1]Mapa!A:B,2,0)</f>
        <v>Jaqueline De Souza Silva</v>
      </c>
      <c r="H1135" s="3" t="s">
        <v>878</v>
      </c>
      <c r="I1135" s="3" t="str">
        <f>VLOOKUP(H1135,[1]Mapa!A:B,2,0)</f>
        <v>Oliviana Saraiva Almeida</v>
      </c>
      <c r="J1135" s="3" t="s">
        <v>93</v>
      </c>
      <c r="K1135" s="3" t="str">
        <f t="shared" si="2"/>
        <v>SKILL DIFERENTE</v>
      </c>
      <c r="L1135" s="3" t="s">
        <v>871</v>
      </c>
      <c r="M1135" s="3" t="s">
        <v>880</v>
      </c>
      <c r="N1135" s="3" t="s">
        <v>66</v>
      </c>
      <c r="O1135" s="3" t="s">
        <v>880</v>
      </c>
      <c r="P1135" s="3" t="s">
        <v>867</v>
      </c>
      <c r="Q1135" s="31">
        <v>42746</v>
      </c>
      <c r="R1135" s="3" t="str">
        <f>IFERROR(VLOOKUP(J1135,[1]PL!A:B,2,0),"")</f>
        <v>PSG</v>
      </c>
      <c r="S1135" s="3" t="str">
        <f>IFERROR(VLOOKUP(H1135,[1]Mapa!A:D,4,0),"")</f>
        <v>TCO</v>
      </c>
      <c r="T1135" s="3"/>
      <c r="U1135" s="3"/>
      <c r="V1135" s="3"/>
    </row>
    <row r="1136" spans="1:22">
      <c r="A1136" s="3" t="e">
        <f>VLOOKUP(D1136,[1]Orc!A:B,2,0)</f>
        <v>#N/A</v>
      </c>
      <c r="B1136" s="31" t="e">
        <f>VLOOKUP(D1136,[1]Orc!A:C,3,0)</f>
        <v>#N/A</v>
      </c>
      <c r="C1136" s="31">
        <v>42745.681250000001</v>
      </c>
      <c r="D1136" s="3">
        <v>3035619382</v>
      </c>
      <c r="E1136" s="3" t="s">
        <v>39</v>
      </c>
      <c r="F1136" s="3" t="s">
        <v>246</v>
      </c>
      <c r="G1136" s="3" t="str">
        <f>VLOOKUP(F1136,[1]Mapa!A:B,2,0)</f>
        <v>Wellington Da Silva De Oliveira</v>
      </c>
      <c r="H1136" s="3" t="s">
        <v>103</v>
      </c>
      <c r="I1136" s="3" t="str">
        <f>VLOOKUP(H1136,[1]Mapa!A:B,2,0)</f>
        <v>Anderson Soares Silveira</v>
      </c>
      <c r="J1136" s="3" t="s">
        <v>93</v>
      </c>
      <c r="K1136" s="3" t="str">
        <f t="shared" si="2"/>
        <v>SKILL DIFERENTE</v>
      </c>
      <c r="L1136" s="3" t="s">
        <v>871</v>
      </c>
      <c r="M1136" s="3" t="s">
        <v>880</v>
      </c>
      <c r="N1136" s="3" t="s">
        <v>66</v>
      </c>
      <c r="O1136" s="3" t="s">
        <v>880</v>
      </c>
      <c r="P1136" s="3" t="s">
        <v>867</v>
      </c>
      <c r="Q1136" s="31">
        <v>42746</v>
      </c>
      <c r="R1136" s="3" t="str">
        <f>IFERROR(VLOOKUP(J1136,[1]PL!A:B,2,0),"")</f>
        <v>PSG</v>
      </c>
      <c r="S1136" s="3" t="str">
        <f>IFERROR(VLOOKUP(H1136,[1]Mapa!A:D,4,0),"")</f>
        <v>TCO</v>
      </c>
      <c r="T1136" s="3"/>
      <c r="U1136" s="3"/>
      <c r="V1136" s="3"/>
    </row>
    <row r="1137" spans="1:22">
      <c r="A1137" s="3" t="str">
        <f>VLOOKUP(D1137,[1]Orc!A:B,2,0)</f>
        <v>Sample Rejected</v>
      </c>
      <c r="B1137" s="31">
        <f>VLOOKUP(D1137,[1]Orc!A:C,3,0)</f>
        <v>42747.737639085652</v>
      </c>
      <c r="C1137" s="31">
        <v>42745.716666666667</v>
      </c>
      <c r="D1137" s="3">
        <v>3035552395</v>
      </c>
      <c r="E1137" s="3" t="s">
        <v>39</v>
      </c>
      <c r="F1137" s="3" t="s">
        <v>244</v>
      </c>
      <c r="G1137" s="3" t="str">
        <f>VLOOKUP(F1137,[1]Mapa!A:B,2,0)</f>
        <v>Clarina Praxedes Alfredo</v>
      </c>
      <c r="H1137" s="3" t="s">
        <v>238</v>
      </c>
      <c r="I1137" s="3" t="str">
        <f>VLOOKUP(H1137,[1]Mapa!A:B,2,0)</f>
        <v>Fernando Souza De Almeida</v>
      </c>
      <c r="J1137" s="3" t="s">
        <v>93</v>
      </c>
      <c r="K1137" s="3" t="str">
        <f t="shared" si="2"/>
        <v>SKILL DIFERENTE</v>
      </c>
      <c r="L1137" s="3" t="s">
        <v>871</v>
      </c>
      <c r="M1137" s="3" t="s">
        <v>84</v>
      </c>
      <c r="N1137" s="3" t="s">
        <v>85</v>
      </c>
      <c r="O1137" s="3" t="s">
        <v>3214</v>
      </c>
      <c r="P1137" s="3" t="s">
        <v>867</v>
      </c>
      <c r="Q1137" s="31">
        <v>42747</v>
      </c>
      <c r="R1137" s="3" t="str">
        <f>IFERROR(VLOOKUP(J1137,[1]PL!A:B,2,0),"")</f>
        <v>PSG</v>
      </c>
      <c r="S1137" s="3" t="str">
        <f>IFERROR(VLOOKUP(H1137,[1]Mapa!A:D,4,0),"")</f>
        <v>FUPOTECH</v>
      </c>
      <c r="T1137" s="3"/>
      <c r="U1137" s="3"/>
      <c r="V1137" s="3"/>
    </row>
    <row r="1138" spans="1:22">
      <c r="A1138" s="3" t="str">
        <f>VLOOKUP(D1138,[1]Orc!A:B,2,0)</f>
        <v>Not Responded</v>
      </c>
      <c r="B1138" s="31">
        <f>VLOOKUP(D1138,[1]Orc!A:C,3,0)</f>
        <v>42747.737639085652</v>
      </c>
      <c r="C1138" s="31">
        <v>42745.754861111112</v>
      </c>
      <c r="D1138" s="3">
        <v>3035656808</v>
      </c>
      <c r="E1138" s="3" t="s">
        <v>39</v>
      </c>
      <c r="F1138" s="3" t="s">
        <v>250</v>
      </c>
      <c r="G1138" s="3" t="str">
        <f>VLOOKUP(F1138,[1]Mapa!A:B,2,0)</f>
        <v>Filipe Augusto Fernandes De Oliveira</v>
      </c>
      <c r="H1138" s="3" t="s">
        <v>250</v>
      </c>
      <c r="I1138" s="3" t="str">
        <f>VLOOKUP(H1138,[1]Mapa!A:B,2,0)</f>
        <v>Filipe Augusto Fernandes De Oliveira</v>
      </c>
      <c r="J1138" s="3" t="s">
        <v>100</v>
      </c>
      <c r="K1138" s="3" t="str">
        <f t="shared" si="2"/>
        <v>SKILL IGUAL</v>
      </c>
      <c r="L1138" s="3" t="s">
        <v>866</v>
      </c>
      <c r="M1138" s="3" t="s">
        <v>70</v>
      </c>
      <c r="N1138" s="3" t="s">
        <v>71</v>
      </c>
      <c r="O1138" s="3" t="s">
        <v>3215</v>
      </c>
      <c r="P1138" s="3" t="s">
        <v>867</v>
      </c>
      <c r="Q1138" s="31">
        <v>42746</v>
      </c>
      <c r="R1138" s="3" t="str">
        <f>IFERROR(VLOOKUP(J1138,[1]PL!A:B,2,0),"")</f>
        <v>PSG</v>
      </c>
      <c r="S1138" s="3" t="str">
        <f>IFERROR(VLOOKUP(H1138,[1]Mapa!A:D,4,0),"")</f>
        <v>PSG</v>
      </c>
      <c r="T1138" s="3"/>
      <c r="U1138" s="3"/>
      <c r="V1138" s="3"/>
    </row>
    <row r="1139" spans="1:22">
      <c r="A1139" s="3" t="str">
        <f>VLOOKUP(D1139,[1]Orc!A:B,2,0)</f>
        <v>Sample Rejected</v>
      </c>
      <c r="B1139" s="31">
        <f>VLOOKUP(D1139,[1]Orc!A:C,3,0)</f>
        <v>42747.737639085652</v>
      </c>
      <c r="C1139" s="31">
        <v>42745.824305555558</v>
      </c>
      <c r="D1139" s="3">
        <v>3035660706</v>
      </c>
      <c r="E1139" s="3" t="s">
        <v>39</v>
      </c>
      <c r="F1139" s="3" t="s">
        <v>246</v>
      </c>
      <c r="G1139" s="3" t="str">
        <f>VLOOKUP(F1139,[1]Mapa!A:B,2,0)</f>
        <v>Wellington Da Silva De Oliveira</v>
      </c>
      <c r="H1139" s="3" t="s">
        <v>246</v>
      </c>
      <c r="I1139" s="3" t="str">
        <f>VLOOKUP(H1139,[1]Mapa!A:B,2,0)</f>
        <v>Wellington Da Silva De Oliveira</v>
      </c>
      <c r="J1139" s="3" t="s">
        <v>93</v>
      </c>
      <c r="K1139" s="3" t="str">
        <f t="shared" ref="K1139:K1202" si="3">IFERROR(IF(S1139=R1139,"SKILL IGUAL","SKILL DIFERENTE"),"-")</f>
        <v>SKILL IGUAL</v>
      </c>
      <c r="L1139" s="3" t="s">
        <v>866</v>
      </c>
      <c r="M1139" s="3" t="s">
        <v>59</v>
      </c>
      <c r="N1139" s="3" t="s">
        <v>60</v>
      </c>
      <c r="O1139" s="3" t="s">
        <v>123</v>
      </c>
      <c r="P1139" s="3" t="s">
        <v>867</v>
      </c>
      <c r="Q1139" s="31">
        <v>42747</v>
      </c>
      <c r="R1139" s="3" t="str">
        <f>IFERROR(VLOOKUP(J1139,[1]PL!A:B,2,0),"")</f>
        <v>PSG</v>
      </c>
      <c r="S1139" s="3" t="str">
        <f>IFERROR(VLOOKUP(H1139,[1]Mapa!A:D,4,0),"")</f>
        <v>PSG</v>
      </c>
      <c r="T1139" s="3"/>
      <c r="U1139" s="3"/>
      <c r="V1139" s="3"/>
    </row>
    <row r="1140" spans="1:22">
      <c r="A1140" s="3" t="str">
        <f>VLOOKUP(D1140,[1]Orc!A:B,2,0)</f>
        <v>Completed Surveys</v>
      </c>
      <c r="B1140" s="31">
        <f>VLOOKUP(D1140,[1]Orc!A:C,3,0)</f>
        <v>42744.734167210649</v>
      </c>
      <c r="C1140" s="31">
        <v>42742.552083333336</v>
      </c>
      <c r="D1140" s="3">
        <v>3035568991</v>
      </c>
      <c r="E1140" s="3" t="s">
        <v>31</v>
      </c>
      <c r="F1140" s="3" t="s">
        <v>221</v>
      </c>
      <c r="G1140" s="3" t="str">
        <f>VLOOKUP(F1140,[1]Mapa!A:B,2,0)</f>
        <v>Fabio Perez Da Silva</v>
      </c>
      <c r="H1140" s="3" t="s">
        <v>221</v>
      </c>
      <c r="I1140" s="3" t="str">
        <f>VLOOKUP(H1140,[1]Mapa!A:B,2,0)</f>
        <v>Fabio Perez Da Silva</v>
      </c>
      <c r="J1140" s="3" t="s">
        <v>93</v>
      </c>
      <c r="K1140" s="3" t="str">
        <f t="shared" si="3"/>
        <v>SKILL IGUAL</v>
      </c>
      <c r="L1140" s="3" t="s">
        <v>866</v>
      </c>
      <c r="M1140" s="3" t="s">
        <v>59</v>
      </c>
      <c r="N1140" s="3" t="s">
        <v>60</v>
      </c>
      <c r="O1140" s="3" t="s">
        <v>3216</v>
      </c>
      <c r="P1140" s="3" t="s">
        <v>876</v>
      </c>
      <c r="Q1140" s="31">
        <v>42744</v>
      </c>
      <c r="R1140" s="3" t="str">
        <f>IFERROR(VLOOKUP(J1140,[1]PL!A:B,2,0),"")</f>
        <v>PSG</v>
      </c>
      <c r="S1140" s="3" t="str">
        <f>IFERROR(VLOOKUP(H1140,[1]Mapa!A:D,4,0),"")</f>
        <v>PSG</v>
      </c>
      <c r="T1140" s="3"/>
      <c r="U1140" s="3"/>
      <c r="V1140" s="3"/>
    </row>
    <row r="1141" spans="1:22">
      <c r="A1141" s="3" t="str">
        <f>VLOOKUP(D1141,[1]Orc!A:B,2,0)</f>
        <v>Completed Surveys</v>
      </c>
      <c r="B1141" s="31">
        <f>VLOOKUP(D1141,[1]Orc!A:C,3,0)</f>
        <v>42749.737991238428</v>
      </c>
      <c r="C1141" s="31">
        <v>42747.859027777777</v>
      </c>
      <c r="D1141" s="3">
        <v>3035731576</v>
      </c>
      <c r="E1141" s="3" t="s">
        <v>31</v>
      </c>
      <c r="F1141" s="3" t="s">
        <v>156</v>
      </c>
      <c r="G1141" s="3" t="str">
        <f>VLOOKUP(F1141,[1]Mapa!A:B,2,0)</f>
        <v>Felipe Alves Barbosa</v>
      </c>
      <c r="H1141" s="3" t="s">
        <v>156</v>
      </c>
      <c r="I1141" s="3" t="str">
        <f>VLOOKUP(H1141,[1]Mapa!A:B,2,0)</f>
        <v>Felipe Alves Barbosa</v>
      </c>
      <c r="J1141" s="3" t="s">
        <v>93</v>
      </c>
      <c r="K1141" s="3" t="str">
        <f t="shared" si="3"/>
        <v>SKILL IGUAL</v>
      </c>
      <c r="L1141" s="3" t="s">
        <v>866</v>
      </c>
      <c r="M1141" s="3" t="s">
        <v>59</v>
      </c>
      <c r="N1141" s="3" t="s">
        <v>60</v>
      </c>
      <c r="O1141" s="3" t="s">
        <v>4213</v>
      </c>
      <c r="P1141" s="3" t="s">
        <v>867</v>
      </c>
      <c r="Q1141" s="31">
        <v>42752</v>
      </c>
      <c r="R1141" s="3" t="str">
        <f>IFERROR(VLOOKUP(J1141,[1]PL!A:B,2,0),"")</f>
        <v>PSG</v>
      </c>
      <c r="S1141" s="3" t="str">
        <f>IFERROR(VLOOKUP(H1141,[1]Mapa!A:D,4,0),"")</f>
        <v>PSG</v>
      </c>
      <c r="T1141" s="3"/>
      <c r="U1141" s="3"/>
      <c r="V1141" s="3"/>
    </row>
    <row r="1142" spans="1:22">
      <c r="A1142" s="3" t="str">
        <f>VLOOKUP(D1142,[1]Orc!A:B,2,0)</f>
        <v>Completed Surveys</v>
      </c>
      <c r="B1142" s="31">
        <f>VLOOKUP(D1142,[1]Orc!A:C,3,0)</f>
        <v>42747.737639085652</v>
      </c>
      <c r="C1142" s="31">
        <v>42745.840277777781</v>
      </c>
      <c r="D1142" s="3">
        <v>3035623536</v>
      </c>
      <c r="E1142" s="3" t="s">
        <v>39</v>
      </c>
      <c r="F1142" s="3" t="s">
        <v>234</v>
      </c>
      <c r="G1142" s="3" t="str">
        <f>VLOOKUP(F1142,[1]Mapa!A:B,2,0)</f>
        <v>Levi De Sousa Barros</v>
      </c>
      <c r="H1142" s="3" t="s">
        <v>238</v>
      </c>
      <c r="I1142" s="3" t="str">
        <f>VLOOKUP(H1142,[1]Mapa!A:B,2,0)</f>
        <v>Fernando Souza De Almeida</v>
      </c>
      <c r="J1142" s="3" t="s">
        <v>93</v>
      </c>
      <c r="K1142" s="3" t="str">
        <f t="shared" si="3"/>
        <v>SKILL DIFERENTE</v>
      </c>
      <c r="L1142" s="3" t="s">
        <v>866</v>
      </c>
      <c r="M1142" s="3" t="s">
        <v>59</v>
      </c>
      <c r="N1142" s="3" t="s">
        <v>60</v>
      </c>
      <c r="O1142" s="3" t="s">
        <v>229</v>
      </c>
      <c r="P1142" s="3" t="s">
        <v>867</v>
      </c>
      <c r="Q1142" s="31">
        <v>42746</v>
      </c>
      <c r="R1142" s="3" t="str">
        <f>IFERROR(VLOOKUP(J1142,[1]PL!A:B,2,0),"")</f>
        <v>PSG</v>
      </c>
      <c r="S1142" s="3" t="str">
        <f>IFERROR(VLOOKUP(H1142,[1]Mapa!A:D,4,0),"")</f>
        <v>FUPOTECH</v>
      </c>
      <c r="T1142" s="3" t="s">
        <v>3630</v>
      </c>
      <c r="U1142" s="3"/>
      <c r="V1142" s="3"/>
    </row>
    <row r="1143" spans="1:22">
      <c r="A1143" s="3" t="str">
        <f>VLOOKUP(D1143,[1]Orc!A:B,2,0)</f>
        <v>Completed Surveys</v>
      </c>
      <c r="B1143" s="31">
        <f>VLOOKUP(D1143,[1]Orc!A:C,3,0)</f>
        <v>42747.737639085652</v>
      </c>
      <c r="C1143" s="31">
        <v>42745.856944444444</v>
      </c>
      <c r="D1143" s="3">
        <v>3035624165</v>
      </c>
      <c r="E1143" s="3" t="s">
        <v>39</v>
      </c>
      <c r="F1143" s="3" t="s">
        <v>234</v>
      </c>
      <c r="G1143" s="3" t="str">
        <f>VLOOKUP(F1143,[1]Mapa!A:B,2,0)</f>
        <v>Levi De Sousa Barros</v>
      </c>
      <c r="H1143" s="3" t="s">
        <v>238</v>
      </c>
      <c r="I1143" s="3" t="str">
        <f>VLOOKUP(H1143,[1]Mapa!A:B,2,0)</f>
        <v>Fernando Souza De Almeida</v>
      </c>
      <c r="J1143" s="3" t="s">
        <v>93</v>
      </c>
      <c r="K1143" s="3" t="str">
        <f t="shared" si="3"/>
        <v>SKILL DIFERENTE</v>
      </c>
      <c r="L1143" s="3" t="s">
        <v>866</v>
      </c>
      <c r="M1143" s="3" t="s">
        <v>59</v>
      </c>
      <c r="N1143" s="3" t="s">
        <v>60</v>
      </c>
      <c r="O1143" s="3" t="s">
        <v>3218</v>
      </c>
      <c r="P1143" s="3" t="s">
        <v>867</v>
      </c>
      <c r="Q1143" s="31">
        <v>42746</v>
      </c>
      <c r="R1143" s="3" t="str">
        <f>IFERROR(VLOOKUP(J1143,[1]PL!A:B,2,0),"")</f>
        <v>PSG</v>
      </c>
      <c r="S1143" s="3" t="str">
        <f>IFERROR(VLOOKUP(H1143,[1]Mapa!A:D,4,0),"")</f>
        <v>FUPOTECH</v>
      </c>
      <c r="T1143" s="3" t="s">
        <v>3633</v>
      </c>
      <c r="U1143" s="3"/>
      <c r="V1143" s="3"/>
    </row>
    <row r="1144" spans="1:22">
      <c r="A1144" s="3" t="str">
        <f>VLOOKUP(D1144,[1]Orc!A:B,2,0)</f>
        <v>Not Responded</v>
      </c>
      <c r="B1144" s="31">
        <f>VLOOKUP(D1144,[1]Orc!A:C,3,0)</f>
        <v>42747.737639085652</v>
      </c>
      <c r="C1144" s="31">
        <v>42745.874305555553</v>
      </c>
      <c r="D1144" s="3">
        <v>3035627049</v>
      </c>
      <c r="E1144" s="3" t="s">
        <v>39</v>
      </c>
      <c r="F1144" s="3" t="s">
        <v>250</v>
      </c>
      <c r="G1144" s="3" t="str">
        <f>VLOOKUP(F1144,[1]Mapa!A:B,2,0)</f>
        <v>Filipe Augusto Fernandes De Oliveira</v>
      </c>
      <c r="H1144" s="3" t="s">
        <v>238</v>
      </c>
      <c r="I1144" s="3" t="str">
        <f>VLOOKUP(H1144,[1]Mapa!A:B,2,0)</f>
        <v>Fernando Souza De Almeida</v>
      </c>
      <c r="J1144" s="3" t="s">
        <v>100</v>
      </c>
      <c r="K1144" s="3" t="str">
        <f t="shared" si="3"/>
        <v>SKILL DIFERENTE</v>
      </c>
      <c r="L1144" s="3" t="s">
        <v>866</v>
      </c>
      <c r="M1144" s="3" t="s">
        <v>70</v>
      </c>
      <c r="N1144" s="3" t="s">
        <v>71</v>
      </c>
      <c r="O1144" s="3" t="s">
        <v>3605</v>
      </c>
      <c r="P1144" s="3" t="s">
        <v>867</v>
      </c>
      <c r="Q1144" s="31">
        <v>42749</v>
      </c>
      <c r="R1144" s="3" t="str">
        <f>IFERROR(VLOOKUP(J1144,[1]PL!A:B,2,0),"")</f>
        <v>PSG</v>
      </c>
      <c r="S1144" s="3" t="str">
        <f>IFERROR(VLOOKUP(H1144,[1]Mapa!A:D,4,0),"")</f>
        <v>FUPOTECH</v>
      </c>
      <c r="T1144" s="3"/>
      <c r="U1144" s="3"/>
      <c r="V1144" s="3"/>
    </row>
    <row r="1145" spans="1:22">
      <c r="A1145" s="3" t="str">
        <f>VLOOKUP(D1145,[1]Orc!A:B,2,0)</f>
        <v>Sample Rejected</v>
      </c>
      <c r="B1145" s="31">
        <f>VLOOKUP(D1145,[1]Orc!A:C,3,0)</f>
        <v>42748.738471724537</v>
      </c>
      <c r="C1145" s="31">
        <v>42746.390277777777</v>
      </c>
      <c r="D1145" s="3">
        <v>3035646245</v>
      </c>
      <c r="E1145" s="3" t="s">
        <v>9</v>
      </c>
      <c r="F1145" s="3" t="s">
        <v>107</v>
      </c>
      <c r="G1145" s="3" t="str">
        <f>VLOOKUP(F1145,[1]Mapa!A:B,2,0)</f>
        <v>Luciana Souza Pereira</v>
      </c>
      <c r="H1145" s="3" t="s">
        <v>107</v>
      </c>
      <c r="I1145" s="3" t="str">
        <f>VLOOKUP(H1145,[1]Mapa!A:B,2,0)</f>
        <v>Luciana Souza Pereira</v>
      </c>
      <c r="J1145" s="3" t="s">
        <v>93</v>
      </c>
      <c r="K1145" s="3" t="str">
        <f t="shared" si="3"/>
        <v>SKILL DIFERENTE</v>
      </c>
      <c r="L1145" s="3" t="s">
        <v>866</v>
      </c>
      <c r="M1145" s="3" t="s">
        <v>70</v>
      </c>
      <c r="N1145" s="3" t="s">
        <v>71</v>
      </c>
      <c r="O1145" s="3" t="s">
        <v>3219</v>
      </c>
      <c r="P1145" s="3" t="s">
        <v>867</v>
      </c>
      <c r="Q1145" s="31">
        <v>42748</v>
      </c>
      <c r="R1145" s="3" t="str">
        <f>IFERROR(VLOOKUP(J1145,[1]PL!A:B,2,0),"")</f>
        <v>PSG</v>
      </c>
      <c r="S1145" s="3" t="str">
        <f>IFERROR(VLOOKUP(H1145,[1]Mapa!A:D,4,0),"")</f>
        <v>IPG</v>
      </c>
      <c r="T1145" s="3"/>
      <c r="U1145" s="3"/>
      <c r="V1145" s="3"/>
    </row>
    <row r="1146" spans="1:22">
      <c r="A1146" s="3" t="str">
        <f>VLOOKUP(D1146,[1]Orc!A:B,2,0)</f>
        <v>Not Responded</v>
      </c>
      <c r="B1146" s="31">
        <f>VLOOKUP(D1146,[1]Orc!A:C,3,0)</f>
        <v>42748.738471724537</v>
      </c>
      <c r="C1146" s="31">
        <v>42746.390277777777</v>
      </c>
      <c r="D1146" s="3">
        <v>3035677195</v>
      </c>
      <c r="E1146" s="3" t="s">
        <v>31</v>
      </c>
      <c r="F1146" s="3" t="s">
        <v>219</v>
      </c>
      <c r="G1146" s="3" t="str">
        <f>VLOOKUP(F1146,[1]Mapa!A:B,2,0)</f>
        <v>Rafael Dos Santos</v>
      </c>
      <c r="H1146" s="3" t="s">
        <v>219</v>
      </c>
      <c r="I1146" s="3" t="str">
        <f>VLOOKUP(H1146,[1]Mapa!A:B,2,0)</f>
        <v>Rafael Dos Santos</v>
      </c>
      <c r="J1146" s="3" t="s">
        <v>93</v>
      </c>
      <c r="K1146" s="3" t="str">
        <f t="shared" si="3"/>
        <v>SKILL IGUAL</v>
      </c>
      <c r="L1146" s="3" t="s">
        <v>866</v>
      </c>
      <c r="M1146" s="3" t="s">
        <v>70</v>
      </c>
      <c r="N1146" s="3" t="s">
        <v>75</v>
      </c>
      <c r="O1146" s="3" t="s">
        <v>3220</v>
      </c>
      <c r="P1146" s="3" t="s">
        <v>867</v>
      </c>
      <c r="Q1146" s="31">
        <v>42747</v>
      </c>
      <c r="R1146" s="3" t="str">
        <f>IFERROR(VLOOKUP(J1146,[1]PL!A:B,2,0),"")</f>
        <v>PSG</v>
      </c>
      <c r="S1146" s="3" t="str">
        <f>IFERROR(VLOOKUP(H1146,[1]Mapa!A:D,4,0),"")</f>
        <v>PSG</v>
      </c>
      <c r="T1146" s="3"/>
      <c r="U1146" s="3" t="s">
        <v>3148</v>
      </c>
      <c r="V1146" s="3"/>
    </row>
    <row r="1147" spans="1:22">
      <c r="A1147" s="3" t="str">
        <f>VLOOKUP(D1147,[1]Orc!A:B,2,0)</f>
        <v>Completed Surveys</v>
      </c>
      <c r="B1147" s="31">
        <f>VLOOKUP(D1147,[1]Orc!A:C,3,0)</f>
        <v>42750.735881944442</v>
      </c>
      <c r="C1147" s="31">
        <v>42748.420138888891</v>
      </c>
      <c r="D1147" s="3">
        <v>3035746797</v>
      </c>
      <c r="E1147" s="3" t="s">
        <v>31</v>
      </c>
      <c r="F1147" s="3" t="s">
        <v>156</v>
      </c>
      <c r="G1147" s="3" t="str">
        <f>VLOOKUP(F1147,[1]Mapa!A:B,2,0)</f>
        <v>Felipe Alves Barbosa</v>
      </c>
      <c r="H1147" s="3" t="s">
        <v>156</v>
      </c>
      <c r="I1147" s="3" t="str">
        <f>VLOOKUP(H1147,[1]Mapa!A:B,2,0)</f>
        <v>Felipe Alves Barbosa</v>
      </c>
      <c r="J1147" s="3" t="s">
        <v>93</v>
      </c>
      <c r="K1147" s="3" t="str">
        <f t="shared" si="3"/>
        <v>SKILL IGUAL</v>
      </c>
      <c r="L1147" s="3" t="s">
        <v>866</v>
      </c>
      <c r="M1147" s="3" t="s">
        <v>59</v>
      </c>
      <c r="N1147" s="3" t="s">
        <v>60</v>
      </c>
      <c r="O1147" s="3" t="s">
        <v>59</v>
      </c>
      <c r="P1147" s="3" t="s">
        <v>876</v>
      </c>
      <c r="Q1147" s="31">
        <v>42749</v>
      </c>
      <c r="R1147" s="3" t="str">
        <f>IFERROR(VLOOKUP(J1147,[1]PL!A:B,2,0),"")</f>
        <v>PSG</v>
      </c>
      <c r="S1147" s="3" t="str">
        <f>IFERROR(VLOOKUP(H1147,[1]Mapa!A:D,4,0),"")</f>
        <v>PSG</v>
      </c>
      <c r="T1147" s="3" t="s">
        <v>4254</v>
      </c>
      <c r="U1147" s="3"/>
      <c r="V1147" s="3"/>
    </row>
    <row r="1148" spans="1:22">
      <c r="A1148" s="3" t="str">
        <f>VLOOKUP(D1148,[1]Orc!A:B,2,0)</f>
        <v>Not Responded</v>
      </c>
      <c r="B1148" s="31">
        <f>VLOOKUP(D1148,[1]Orc!A:C,3,0)</f>
        <v>42750.735881944442</v>
      </c>
      <c r="C1148" s="31">
        <v>42748.459722222222</v>
      </c>
      <c r="D1148" s="3">
        <v>3035713625</v>
      </c>
      <c r="E1148" s="3" t="s">
        <v>31</v>
      </c>
      <c r="F1148" s="3" t="s">
        <v>219</v>
      </c>
      <c r="G1148" s="3" t="str">
        <f>VLOOKUP(F1148,[1]Mapa!A:B,2,0)</f>
        <v>Rafael Dos Santos</v>
      </c>
      <c r="H1148" s="3" t="s">
        <v>209</v>
      </c>
      <c r="I1148" s="3" t="str">
        <f>VLOOKUP(H1148,[1]Mapa!A:B,2,0)</f>
        <v>Taina Alexsander Fernandes Pires</v>
      </c>
      <c r="J1148" s="3" t="s">
        <v>93</v>
      </c>
      <c r="K1148" s="3" t="str">
        <f t="shared" si="3"/>
        <v>SKILL DIFERENTE</v>
      </c>
      <c r="L1148" s="3" t="s">
        <v>866</v>
      </c>
      <c r="M1148" s="3" t="s">
        <v>59</v>
      </c>
      <c r="N1148" s="3" t="s">
        <v>60</v>
      </c>
      <c r="O1148" s="3" t="s">
        <v>3613</v>
      </c>
      <c r="P1148" s="3" t="s">
        <v>876</v>
      </c>
      <c r="Q1148" s="31">
        <v>42749</v>
      </c>
      <c r="R1148" s="3" t="str">
        <f>IFERROR(VLOOKUP(J1148,[1]PL!A:B,2,0),"")</f>
        <v>PSG</v>
      </c>
      <c r="S1148" s="3" t="str">
        <f>IFERROR(VLOOKUP(H1148,[1]Mapa!A:D,4,0),"")</f>
        <v>FUPOTECH</v>
      </c>
      <c r="T1148" s="3"/>
      <c r="U1148" s="3"/>
      <c r="V1148" s="3"/>
    </row>
    <row r="1149" spans="1:22">
      <c r="A1149" s="3" t="e">
        <f>VLOOKUP(D1149,[1]Orc!A:B,2,0)</f>
        <v>#N/A</v>
      </c>
      <c r="B1149" s="31" t="e">
        <f>VLOOKUP(D1149,[1]Orc!A:C,3,0)</f>
        <v>#N/A</v>
      </c>
      <c r="C1149" s="31">
        <v>42746.438888888886</v>
      </c>
      <c r="D1149" s="3">
        <v>3035430407</v>
      </c>
      <c r="E1149" s="3" t="s">
        <v>9</v>
      </c>
      <c r="F1149" s="3" t="s">
        <v>56</v>
      </c>
      <c r="G1149" s="3" t="str">
        <f>VLOOKUP(F1149,[1]Mapa!A:B,2,0)</f>
        <v>Matheus Cardoso Silva</v>
      </c>
      <c r="H1149" s="3" t="s">
        <v>151</v>
      </c>
      <c r="I1149" s="3" t="str">
        <f>VLOOKUP(H1149,[1]Mapa!A:B,2,0)</f>
        <v>Gilmar Alves Gomes</v>
      </c>
      <c r="J1149" s="3" t="s">
        <v>93</v>
      </c>
      <c r="K1149" s="3" t="str">
        <f t="shared" si="3"/>
        <v>SKILL DIFERENTE</v>
      </c>
      <c r="L1149" s="3" t="s">
        <v>871</v>
      </c>
      <c r="M1149" s="3" t="s">
        <v>65</v>
      </c>
      <c r="N1149" s="3" t="s">
        <v>66</v>
      </c>
      <c r="O1149" s="3" t="s">
        <v>65</v>
      </c>
      <c r="P1149" s="3" t="s">
        <v>876</v>
      </c>
      <c r="Q1149" s="31">
        <v>42747</v>
      </c>
      <c r="R1149" s="3" t="str">
        <f>IFERROR(VLOOKUP(J1149,[1]PL!A:B,2,0),"")</f>
        <v>PSG</v>
      </c>
      <c r="S1149" s="3" t="str">
        <f>IFERROR(VLOOKUP(H1149,[1]Mapa!A:D,4,0),"")</f>
        <v>TCO</v>
      </c>
      <c r="T1149" s="3"/>
      <c r="U1149" s="3"/>
      <c r="V1149" s="3"/>
    </row>
    <row r="1150" spans="1:22">
      <c r="A1150" s="3" t="e">
        <f>VLOOKUP(D1150,[1]Orc!A:B,2,0)</f>
        <v>#N/A</v>
      </c>
      <c r="B1150" s="31" t="e">
        <f>VLOOKUP(D1150,[1]Orc!A:C,3,0)</f>
        <v>#N/A</v>
      </c>
      <c r="C1150" s="31">
        <v>42746.448611111111</v>
      </c>
      <c r="D1150" s="3">
        <v>3035242026</v>
      </c>
      <c r="E1150" s="3" t="s">
        <v>39</v>
      </c>
      <c r="F1150" s="3" t="s">
        <v>231</v>
      </c>
      <c r="G1150" s="3" t="str">
        <f>VLOOKUP(F1150,[1]Mapa!A:B,2,0)</f>
        <v>Lucas Da Silva Pinto</v>
      </c>
      <c r="H1150" s="3" t="s">
        <v>103</v>
      </c>
      <c r="I1150" s="3" t="str">
        <f>VLOOKUP(H1150,[1]Mapa!A:B,2,0)</f>
        <v>Anderson Soares Silveira</v>
      </c>
      <c r="J1150" s="3" t="s">
        <v>91</v>
      </c>
      <c r="K1150" s="3" t="str">
        <f t="shared" si="3"/>
        <v>SKILL DIFERENTE</v>
      </c>
      <c r="L1150" s="3" t="s">
        <v>871</v>
      </c>
      <c r="M1150" s="3" t="s">
        <v>65</v>
      </c>
      <c r="N1150" s="3" t="s">
        <v>66</v>
      </c>
      <c r="O1150" s="3" t="s">
        <v>65</v>
      </c>
      <c r="P1150" s="3" t="s">
        <v>876</v>
      </c>
      <c r="Q1150" s="31">
        <v>42747</v>
      </c>
      <c r="R1150" s="3" t="str">
        <f>IFERROR(VLOOKUP(J1150,[1]PL!A:B,2,0),"")</f>
        <v>PSG</v>
      </c>
      <c r="S1150" s="3" t="str">
        <f>IFERROR(VLOOKUP(H1150,[1]Mapa!A:D,4,0),"")</f>
        <v>TCO</v>
      </c>
      <c r="T1150" s="3"/>
      <c r="U1150" s="3"/>
      <c r="V1150" s="3"/>
    </row>
    <row r="1151" spans="1:22">
      <c r="A1151" s="3" t="str">
        <f>VLOOKUP(D1151,[1]Orc!A:B,2,0)</f>
        <v>Not Responded</v>
      </c>
      <c r="B1151" s="31">
        <f>VLOOKUP(D1151,[1]Orc!A:C,3,0)</f>
        <v>42748.738471724537</v>
      </c>
      <c r="C1151" s="31">
        <v>42746.51666666667</v>
      </c>
      <c r="D1151" s="3">
        <v>3035550732</v>
      </c>
      <c r="E1151" s="3" t="s">
        <v>31</v>
      </c>
      <c r="F1151" s="3" t="s">
        <v>227</v>
      </c>
      <c r="G1151" s="3" t="str">
        <f>VLOOKUP(F1151,[1]Mapa!A:B,2,0)</f>
        <v>Bruno Henrique Padua Colella</v>
      </c>
      <c r="H1151" s="3" t="s">
        <v>209</v>
      </c>
      <c r="I1151" s="3" t="str">
        <f>VLOOKUP(H1151,[1]Mapa!A:B,2,0)</f>
        <v>Taina Alexsander Fernandes Pires</v>
      </c>
      <c r="J1151" s="3" t="s">
        <v>93</v>
      </c>
      <c r="K1151" s="3" t="str">
        <f t="shared" si="3"/>
        <v>SKILL DIFERENTE</v>
      </c>
      <c r="L1151" s="3" t="s">
        <v>866</v>
      </c>
      <c r="M1151" s="3" t="s">
        <v>70</v>
      </c>
      <c r="N1151" s="3" t="s">
        <v>75</v>
      </c>
      <c r="O1151" s="3" t="s">
        <v>3660</v>
      </c>
      <c r="P1151" s="3" t="s">
        <v>876</v>
      </c>
      <c r="Q1151" s="31">
        <v>42751</v>
      </c>
      <c r="R1151" s="3" t="str">
        <f>IFERROR(VLOOKUP(J1151,[1]PL!A:B,2,0),"")</f>
        <v>PSG</v>
      </c>
      <c r="S1151" s="3" t="str">
        <f>IFERROR(VLOOKUP(H1151,[1]Mapa!A:D,4,0),"")</f>
        <v>FUPOTECH</v>
      </c>
      <c r="T1151" s="3"/>
      <c r="U1151" s="3"/>
      <c r="V1151" s="3"/>
    </row>
    <row r="1152" spans="1:22">
      <c r="A1152" s="3" t="str">
        <f>VLOOKUP(D1152,[1]Orc!A:B,2,0)</f>
        <v>Completed Surveys</v>
      </c>
      <c r="B1152" s="31">
        <f>VLOOKUP(D1152,[1]Orc!A:C,3,0)</f>
        <v>42748.738471724537</v>
      </c>
      <c r="C1152" s="31">
        <v>42746.52847222222</v>
      </c>
      <c r="D1152" s="3">
        <v>3035681592</v>
      </c>
      <c r="E1152" s="3" t="s">
        <v>31</v>
      </c>
      <c r="F1152" s="3" t="s">
        <v>200</v>
      </c>
      <c r="G1152" s="3" t="str">
        <f>VLOOKUP(F1152,[1]Mapa!A:B,2,0)</f>
        <v>Washington Silva De Oliveira</v>
      </c>
      <c r="H1152" s="3" t="s">
        <v>200</v>
      </c>
      <c r="I1152" s="3" t="str">
        <f>VLOOKUP(H1152,[1]Mapa!A:B,2,0)</f>
        <v>Washington Silva De Oliveira</v>
      </c>
      <c r="J1152" s="3" t="s">
        <v>93</v>
      </c>
      <c r="K1152" s="3" t="str">
        <f t="shared" si="3"/>
        <v>SKILL IGUAL</v>
      </c>
      <c r="L1152" s="3" t="s">
        <v>866</v>
      </c>
      <c r="M1152" s="3" t="s">
        <v>70</v>
      </c>
      <c r="N1152" s="3" t="s">
        <v>71</v>
      </c>
      <c r="O1152" s="3" t="s">
        <v>3223</v>
      </c>
      <c r="P1152" s="3" t="s">
        <v>876</v>
      </c>
      <c r="Q1152" s="31">
        <v>42747</v>
      </c>
      <c r="R1152" s="3" t="str">
        <f>IFERROR(VLOOKUP(J1152,[1]PL!A:B,2,0),"")</f>
        <v>PSG</v>
      </c>
      <c r="S1152" s="3" t="str">
        <f>IFERROR(VLOOKUP(H1152,[1]Mapa!A:D,4,0),"")</f>
        <v>PSG</v>
      </c>
      <c r="T1152" s="3"/>
      <c r="U1152" s="3"/>
      <c r="V1152" s="3"/>
    </row>
    <row r="1153" spans="1:22">
      <c r="A1153" s="3" t="str">
        <f>VLOOKUP(D1153,[1]Orc!A:B,2,0)</f>
        <v>Completed Surveys</v>
      </c>
      <c r="B1153" s="31">
        <f>VLOOKUP(D1153,[1]Orc!A:C,3,0)</f>
        <v>42748.738471724537</v>
      </c>
      <c r="C1153" s="31">
        <v>42746.54791666667</v>
      </c>
      <c r="D1153" s="3">
        <v>3035680923</v>
      </c>
      <c r="E1153" s="3" t="s">
        <v>39</v>
      </c>
      <c r="F1153" s="3" t="s">
        <v>240</v>
      </c>
      <c r="G1153" s="3" t="str">
        <f>VLOOKUP(F1153,[1]Mapa!A:B,2,0)</f>
        <v>Renato Da Silva Andrade</v>
      </c>
      <c r="H1153" s="3" t="s">
        <v>240</v>
      </c>
      <c r="I1153" s="3" t="str">
        <f>VLOOKUP(H1153,[1]Mapa!A:B,2,0)</f>
        <v>Renato Da Silva Andrade</v>
      </c>
      <c r="J1153" s="3" t="s">
        <v>100</v>
      </c>
      <c r="K1153" s="3" t="str">
        <f t="shared" si="3"/>
        <v>SKILL IGUAL</v>
      </c>
      <c r="L1153" s="3" t="s">
        <v>866</v>
      </c>
      <c r="M1153" s="3" t="s">
        <v>59</v>
      </c>
      <c r="N1153" s="3" t="s">
        <v>60</v>
      </c>
      <c r="O1153" s="3" t="s">
        <v>182</v>
      </c>
      <c r="P1153" s="3" t="s">
        <v>876</v>
      </c>
      <c r="Q1153" s="31">
        <v>42747</v>
      </c>
      <c r="R1153" s="3" t="str">
        <f>IFERROR(VLOOKUP(J1153,[1]PL!A:B,2,0),"")</f>
        <v>PSG</v>
      </c>
      <c r="S1153" s="3" t="str">
        <f>IFERROR(VLOOKUP(H1153,[1]Mapa!A:D,4,0),"")</f>
        <v>PSG</v>
      </c>
      <c r="T1153" s="3" t="s">
        <v>3661</v>
      </c>
      <c r="U1153" s="3" t="s">
        <v>3634</v>
      </c>
      <c r="V1153" s="3"/>
    </row>
    <row r="1154" spans="1:22">
      <c r="A1154" s="3" t="str">
        <f>VLOOKUP(D1154,[1]Orc!A:B,2,0)</f>
        <v>Sample Rejected</v>
      </c>
      <c r="B1154" s="31">
        <f>VLOOKUP(D1154,[1]Orc!A:C,3,0)</f>
        <v>42748.738471724537</v>
      </c>
      <c r="C1154" s="31">
        <v>42746.572916666664</v>
      </c>
      <c r="D1154" s="3">
        <v>3035678581</v>
      </c>
      <c r="E1154" s="3" t="s">
        <v>39</v>
      </c>
      <c r="F1154" s="3" t="s">
        <v>240</v>
      </c>
      <c r="G1154" s="3" t="str">
        <f>VLOOKUP(F1154,[1]Mapa!A:B,2,0)</f>
        <v>Renato Da Silva Andrade</v>
      </c>
      <c r="H1154" s="3" t="s">
        <v>240</v>
      </c>
      <c r="I1154" s="3" t="str">
        <f>VLOOKUP(H1154,[1]Mapa!A:B,2,0)</f>
        <v>Renato Da Silva Andrade</v>
      </c>
      <c r="J1154" s="3" t="s">
        <v>100</v>
      </c>
      <c r="K1154" s="3" t="str">
        <f t="shared" si="3"/>
        <v>SKILL IGUAL</v>
      </c>
      <c r="L1154" s="3" t="s">
        <v>866</v>
      </c>
      <c r="M1154" s="3" t="s">
        <v>59</v>
      </c>
      <c r="N1154" s="3" t="s">
        <v>60</v>
      </c>
      <c r="O1154" s="3" t="s">
        <v>59</v>
      </c>
      <c r="P1154" s="3" t="s">
        <v>876</v>
      </c>
      <c r="Q1154" s="31">
        <v>42747</v>
      </c>
      <c r="R1154" s="3" t="str">
        <f>IFERROR(VLOOKUP(J1154,[1]PL!A:B,2,0),"")</f>
        <v>PSG</v>
      </c>
      <c r="S1154" s="3" t="str">
        <f>IFERROR(VLOOKUP(H1154,[1]Mapa!A:D,4,0),"")</f>
        <v>PSG</v>
      </c>
      <c r="T1154" s="3"/>
      <c r="U1154" s="3"/>
      <c r="V1154" s="3"/>
    </row>
    <row r="1155" spans="1:22">
      <c r="A1155" s="3" t="e">
        <f>VLOOKUP(D1155,[1]Orc!A:B,2,0)</f>
        <v>#N/A</v>
      </c>
      <c r="B1155" s="31" t="e">
        <f>VLOOKUP(D1155,[1]Orc!A:C,3,0)</f>
        <v>#N/A</v>
      </c>
      <c r="C1155" s="31">
        <v>42746.580555555556</v>
      </c>
      <c r="D1155" s="3">
        <v>3035304576</v>
      </c>
      <c r="E1155" s="3" t="s">
        <v>9</v>
      </c>
      <c r="F1155" s="3" t="s">
        <v>67</v>
      </c>
      <c r="G1155" s="3" t="str">
        <f>VLOOKUP(F1155,[1]Mapa!A:B,2,0)</f>
        <v>Vinicius Marques Ferreira Silva</v>
      </c>
      <c r="H1155" s="3" t="s">
        <v>151</v>
      </c>
      <c r="I1155" s="3" t="str">
        <f>VLOOKUP(H1155,[1]Mapa!A:B,2,0)</f>
        <v>Gilmar Alves Gomes</v>
      </c>
      <c r="J1155" s="3" t="s">
        <v>93</v>
      </c>
      <c r="K1155" s="3" t="str">
        <f t="shared" si="3"/>
        <v>SKILL DIFERENTE</v>
      </c>
      <c r="L1155" s="3" t="s">
        <v>871</v>
      </c>
      <c r="M1155" s="3" t="s">
        <v>65</v>
      </c>
      <c r="N1155" s="3" t="s">
        <v>66</v>
      </c>
      <c r="O1155" s="3" t="s">
        <v>65</v>
      </c>
      <c r="P1155" s="3" t="s">
        <v>876</v>
      </c>
      <c r="Q1155" s="31">
        <v>42747</v>
      </c>
      <c r="R1155" s="3" t="str">
        <f>IFERROR(VLOOKUP(J1155,[1]PL!A:B,2,0),"")</f>
        <v>PSG</v>
      </c>
      <c r="S1155" s="3" t="str">
        <f>IFERROR(VLOOKUP(H1155,[1]Mapa!A:D,4,0),"")</f>
        <v>TCO</v>
      </c>
      <c r="T1155" s="3"/>
      <c r="U1155" s="3"/>
      <c r="V1155" s="3"/>
    </row>
    <row r="1156" spans="1:22">
      <c r="A1156" s="3" t="str">
        <f>VLOOKUP(D1156,[1]Orc!A:B,2,0)</f>
        <v>Not Responded</v>
      </c>
      <c r="B1156" s="31">
        <f>VLOOKUP(D1156,[1]Orc!A:C,3,0)</f>
        <v>42750.735881944442</v>
      </c>
      <c r="C1156" s="31">
        <v>42748.499305555553</v>
      </c>
      <c r="D1156" s="3">
        <v>3035642867</v>
      </c>
      <c r="E1156" s="3" t="s">
        <v>31</v>
      </c>
      <c r="F1156" s="3" t="s">
        <v>223</v>
      </c>
      <c r="G1156" s="3" t="str">
        <f>VLOOKUP(F1156,[1]Mapa!A:B,2,0)</f>
        <v>Daniel Sousa Pinheiro</v>
      </c>
      <c r="H1156" s="3" t="s">
        <v>209</v>
      </c>
      <c r="I1156" s="3" t="str">
        <f>VLOOKUP(H1156,[1]Mapa!A:B,2,0)</f>
        <v>Taina Alexsander Fernandes Pires</v>
      </c>
      <c r="J1156" s="3" t="s">
        <v>93</v>
      </c>
      <c r="K1156" s="3" t="str">
        <f t="shared" si="3"/>
        <v>SKILL DIFERENTE</v>
      </c>
      <c r="L1156" s="3" t="s">
        <v>866</v>
      </c>
      <c r="M1156" s="3" t="s">
        <v>59</v>
      </c>
      <c r="N1156" s="3" t="s">
        <v>60</v>
      </c>
      <c r="O1156" s="3" t="s">
        <v>4215</v>
      </c>
      <c r="P1156" s="3" t="s">
        <v>3141</v>
      </c>
      <c r="Q1156" s="31">
        <v>42752</v>
      </c>
      <c r="R1156" s="3" t="str">
        <f>IFERROR(VLOOKUP(J1156,[1]PL!A:B,2,0),"")</f>
        <v>PSG</v>
      </c>
      <c r="S1156" s="3" t="str">
        <f>IFERROR(VLOOKUP(H1156,[1]Mapa!A:D,4,0),"")</f>
        <v>FUPOTECH</v>
      </c>
      <c r="T1156" s="3"/>
      <c r="U1156" s="3"/>
      <c r="V1156" s="3"/>
    </row>
    <row r="1157" spans="1:22">
      <c r="A1157" s="3" t="str">
        <f>VLOOKUP(D1157,[1]Orc!A:B,2,0)</f>
        <v>Not Responded</v>
      </c>
      <c r="B1157" s="31">
        <f>VLOOKUP(D1157,[1]Orc!A:C,3,0)</f>
        <v>42748.738491053242</v>
      </c>
      <c r="C1157" s="31">
        <v>42746.611805555556</v>
      </c>
      <c r="D1157" s="3">
        <v>3035543102</v>
      </c>
      <c r="E1157" s="3" t="s">
        <v>31</v>
      </c>
      <c r="F1157" s="3" t="s">
        <v>206</v>
      </c>
      <c r="G1157" s="3" t="str">
        <f>VLOOKUP(F1157,[1]Mapa!A:B,2,0)</f>
        <v>Alvani Elizabete Aliano de Oliveira</v>
      </c>
      <c r="H1157" s="3" t="s">
        <v>883</v>
      </c>
      <c r="I1157" s="3" t="str">
        <f>VLOOKUP(H1157,[1]Mapa!A:B,2,0)</f>
        <v>Fernando Quintino Tavares</v>
      </c>
      <c r="J1157" s="3" t="s">
        <v>592</v>
      </c>
      <c r="K1157" s="3" t="str">
        <f t="shared" si="3"/>
        <v>SKILL DIFERENTE</v>
      </c>
      <c r="L1157" s="3" t="s">
        <v>871</v>
      </c>
      <c r="M1157" s="3" t="s">
        <v>65</v>
      </c>
      <c r="N1157" s="3" t="s">
        <v>66</v>
      </c>
      <c r="O1157" s="3" t="s">
        <v>65</v>
      </c>
      <c r="P1157" s="3" t="s">
        <v>876</v>
      </c>
      <c r="Q1157" s="31">
        <v>42747</v>
      </c>
      <c r="R1157" s="3" t="str">
        <f>IFERROR(VLOOKUP(J1157,[1]PL!A:B,2,0),"")</f>
        <v>PSG</v>
      </c>
      <c r="S1157" s="3" t="str">
        <f>IFERROR(VLOOKUP(H1157,[1]Mapa!A:D,4,0),"")</f>
        <v>TCO</v>
      </c>
      <c r="T1157" s="3"/>
      <c r="U1157" s="3"/>
      <c r="V1157" s="3"/>
    </row>
    <row r="1158" spans="1:22">
      <c r="A1158" s="3" t="str">
        <f>VLOOKUP(D1158,[1]Orc!A:B,2,0)</f>
        <v>Completed Surveys</v>
      </c>
      <c r="B1158" s="31">
        <f>VLOOKUP(D1158,[1]Orc!A:C,3,0)</f>
        <v>42748.738471724537</v>
      </c>
      <c r="C1158" s="31">
        <v>42746.614583333336</v>
      </c>
      <c r="D1158" s="3">
        <v>3035332711</v>
      </c>
      <c r="E1158" s="3" t="s">
        <v>39</v>
      </c>
      <c r="F1158" s="3" t="s">
        <v>231</v>
      </c>
      <c r="G1158" s="3" t="str">
        <f>VLOOKUP(F1158,[1]Mapa!A:B,2,0)</f>
        <v>Lucas Da Silva Pinto</v>
      </c>
      <c r="H1158" s="3" t="s">
        <v>238</v>
      </c>
      <c r="I1158" s="3" t="str">
        <f>VLOOKUP(H1158,[1]Mapa!A:B,2,0)</f>
        <v>Fernando Souza De Almeida</v>
      </c>
      <c r="J1158" s="3" t="s">
        <v>93</v>
      </c>
      <c r="K1158" s="3" t="str">
        <f t="shared" si="3"/>
        <v>SKILL DIFERENTE</v>
      </c>
      <c r="L1158" s="3" t="s">
        <v>866</v>
      </c>
      <c r="M1158" s="3" t="s">
        <v>70</v>
      </c>
      <c r="N1158" s="3" t="s">
        <v>71</v>
      </c>
      <c r="O1158" s="3" t="s">
        <v>4210</v>
      </c>
      <c r="P1158" s="3" t="s">
        <v>867</v>
      </c>
      <c r="Q1158" s="31">
        <v>42752</v>
      </c>
      <c r="R1158" s="3" t="str">
        <f>IFERROR(VLOOKUP(J1158,[1]PL!A:B,2,0),"")</f>
        <v>PSG</v>
      </c>
      <c r="S1158" s="3" t="str">
        <f>IFERROR(VLOOKUP(H1158,[1]Mapa!A:D,4,0),"")</f>
        <v>FUPOTECH</v>
      </c>
      <c r="T1158" s="3"/>
      <c r="U1158" s="3" t="s">
        <v>3106</v>
      </c>
      <c r="V1158" s="3"/>
    </row>
    <row r="1159" spans="1:22">
      <c r="A1159" s="3" t="str">
        <f>VLOOKUP(D1159,[1]Orc!A:B,2,0)</f>
        <v>Not Responded</v>
      </c>
      <c r="B1159" s="31">
        <f>VLOOKUP(D1159,[1]Orc!A:C,3,0)</f>
        <v>42750.735881944442</v>
      </c>
      <c r="C1159" s="31">
        <v>42748.530555555553</v>
      </c>
      <c r="D1159" s="3">
        <v>3035749877</v>
      </c>
      <c r="E1159" s="3" t="s">
        <v>9</v>
      </c>
      <c r="F1159" s="3" t="s">
        <v>67</v>
      </c>
      <c r="G1159" s="3" t="str">
        <f>VLOOKUP(F1159,[1]Mapa!A:B,2,0)</f>
        <v>Vinicius Marques Ferreira Silva</v>
      </c>
      <c r="H1159" s="3" t="s">
        <v>67</v>
      </c>
      <c r="I1159" s="3" t="str">
        <f>VLOOKUP(H1159,[1]Mapa!A:B,2,0)</f>
        <v>Vinicius Marques Ferreira Silva</v>
      </c>
      <c r="J1159" s="3" t="s">
        <v>93</v>
      </c>
      <c r="K1159" s="3" t="str">
        <f t="shared" si="3"/>
        <v>SKILL DIFERENTE</v>
      </c>
      <c r="L1159" s="3" t="s">
        <v>866</v>
      </c>
      <c r="M1159" s="3" t="s">
        <v>59</v>
      </c>
      <c r="N1159" s="3" t="s">
        <v>60</v>
      </c>
      <c r="O1159" s="3" t="s">
        <v>123</v>
      </c>
      <c r="P1159" s="3" t="s">
        <v>3141</v>
      </c>
      <c r="Q1159" s="31">
        <v>42752</v>
      </c>
      <c r="R1159" s="3" t="str">
        <f>IFERROR(VLOOKUP(J1159,[1]PL!A:B,2,0),"")</f>
        <v>PSG</v>
      </c>
      <c r="S1159" s="3" t="str">
        <f>IFERROR(VLOOKUP(H1159,[1]Mapa!A:D,4,0),"")</f>
        <v>IPG</v>
      </c>
      <c r="T1159" s="3"/>
      <c r="U1159" s="3"/>
      <c r="V1159" s="3"/>
    </row>
    <row r="1160" spans="1:22">
      <c r="A1160" s="3" t="str">
        <f>VLOOKUP(D1160,[1]Orc!A:B,2,0)</f>
        <v>Not Responded</v>
      </c>
      <c r="B1160" s="31">
        <f>VLOOKUP(D1160,[1]Orc!A:C,3,0)</f>
        <v>42750.735881944442</v>
      </c>
      <c r="C1160" s="31">
        <v>42748.581250000003</v>
      </c>
      <c r="D1160" s="3">
        <v>3035752919</v>
      </c>
      <c r="E1160" s="3" t="s">
        <v>9</v>
      </c>
      <c r="F1160" s="3" t="s">
        <v>73</v>
      </c>
      <c r="G1160" s="3" t="str">
        <f>VLOOKUP(F1160,[1]Mapa!A:B,2,0)</f>
        <v>Jesse Prates Martins</v>
      </c>
      <c r="H1160" s="3" t="s">
        <v>73</v>
      </c>
      <c r="I1160" s="3" t="str">
        <f>VLOOKUP(H1160,[1]Mapa!A:B,2,0)</f>
        <v>Jesse Prates Martins</v>
      </c>
      <c r="J1160" s="3" t="s">
        <v>93</v>
      </c>
      <c r="K1160" s="3" t="str">
        <f t="shared" si="3"/>
        <v>SKILL DIFERENTE</v>
      </c>
      <c r="L1160" s="3" t="s">
        <v>866</v>
      </c>
      <c r="M1160" s="3" t="s">
        <v>59</v>
      </c>
      <c r="N1160" s="3" t="s">
        <v>60</v>
      </c>
      <c r="O1160" s="3" t="s">
        <v>123</v>
      </c>
      <c r="P1160" s="3" t="s">
        <v>867</v>
      </c>
      <c r="Q1160" s="31">
        <v>42749</v>
      </c>
      <c r="R1160" s="3" t="str">
        <f>IFERROR(VLOOKUP(J1160,[1]PL!A:B,2,0),"")</f>
        <v>PSG</v>
      </c>
      <c r="S1160" s="3" t="str">
        <f>IFERROR(VLOOKUP(H1160,[1]Mapa!A:D,4,0),"")</f>
        <v>IPG</v>
      </c>
      <c r="T1160" s="3"/>
      <c r="U1160" s="3" t="s">
        <v>3225</v>
      </c>
      <c r="V1160" s="3"/>
    </row>
    <row r="1161" spans="1:22">
      <c r="A1161" s="3" t="str">
        <f>VLOOKUP(D1161,[1]Orc!A:B,2,0)</f>
        <v>Completed Surveys</v>
      </c>
      <c r="B1161" s="31">
        <f>VLOOKUP(D1161,[1]Orc!A:C,3,0)</f>
        <v>42748.738471724537</v>
      </c>
      <c r="C1161" s="31">
        <v>42746.63958333333</v>
      </c>
      <c r="D1161" s="3">
        <v>3035687006</v>
      </c>
      <c r="E1161" s="3" t="s">
        <v>23</v>
      </c>
      <c r="F1161" s="3" t="s">
        <v>183</v>
      </c>
      <c r="G1161" s="3" t="str">
        <f>VLOOKUP(F1161,[1]Mapa!A:B,2,0)</f>
        <v>Janio Vinicius Inacio Custodio</v>
      </c>
      <c r="H1161" s="3" t="s">
        <v>183</v>
      </c>
      <c r="I1161" s="3" t="str">
        <f>VLOOKUP(H1161,[1]Mapa!A:B,2,0)</f>
        <v>Janio Vinicius Inacio Custodio</v>
      </c>
      <c r="J1161" s="3" t="s">
        <v>93</v>
      </c>
      <c r="K1161" s="3" t="str">
        <f t="shared" si="3"/>
        <v>SKILL DIFERENTE</v>
      </c>
      <c r="L1161" s="3" t="s">
        <v>866</v>
      </c>
      <c r="M1161" s="3" t="s">
        <v>59</v>
      </c>
      <c r="N1161" s="3" t="s">
        <v>60</v>
      </c>
      <c r="O1161" s="3" t="s">
        <v>123</v>
      </c>
      <c r="P1161" s="3" t="s">
        <v>867</v>
      </c>
      <c r="Q1161" s="31">
        <v>42747</v>
      </c>
      <c r="R1161" s="3" t="str">
        <f>IFERROR(VLOOKUP(J1161,[1]PL!A:B,2,0),"")</f>
        <v>PSG</v>
      </c>
      <c r="S1161" s="3" t="str">
        <f>IFERROR(VLOOKUP(H1161,[1]Mapa!A:D,4,0),"")</f>
        <v>IPG</v>
      </c>
      <c r="T1161" s="3" t="s">
        <v>3635</v>
      </c>
      <c r="U1161" s="3"/>
      <c r="V1161" s="3"/>
    </row>
    <row r="1162" spans="1:22">
      <c r="A1162" s="3" t="str">
        <f>VLOOKUP(D1162,[1]Orc!A:B,2,0)</f>
        <v>Not Responded</v>
      </c>
      <c r="B1162" s="31">
        <f>VLOOKUP(D1162,[1]Orc!A:C,3,0)</f>
        <v>42748.738471724537</v>
      </c>
      <c r="C1162" s="31">
        <v>42746.649305555555</v>
      </c>
      <c r="D1162" s="3">
        <v>3035651126</v>
      </c>
      <c r="E1162" s="3" t="s">
        <v>39</v>
      </c>
      <c r="F1162" s="3" t="s">
        <v>234</v>
      </c>
      <c r="G1162" s="3" t="str">
        <f>VLOOKUP(F1162,[1]Mapa!A:B,2,0)</f>
        <v>Levi De Sousa Barros</v>
      </c>
      <c r="H1162" s="3" t="s">
        <v>238</v>
      </c>
      <c r="I1162" s="3" t="str">
        <f>VLOOKUP(H1162,[1]Mapa!A:B,2,0)</f>
        <v>Fernando Souza De Almeida</v>
      </c>
      <c r="J1162" s="3" t="s">
        <v>93</v>
      </c>
      <c r="K1162" s="3" t="str">
        <f t="shared" si="3"/>
        <v>SKILL DIFERENTE</v>
      </c>
      <c r="L1162" s="3" t="s">
        <v>866</v>
      </c>
      <c r="M1162" s="3" t="s">
        <v>70</v>
      </c>
      <c r="N1162" s="3" t="s">
        <v>71</v>
      </c>
      <c r="O1162" s="3" t="s">
        <v>3226</v>
      </c>
      <c r="P1162" s="3" t="s">
        <v>867</v>
      </c>
      <c r="Q1162" s="31">
        <v>42747</v>
      </c>
      <c r="R1162" s="3" t="str">
        <f>IFERROR(VLOOKUP(J1162,[1]PL!A:B,2,0),"")</f>
        <v>PSG</v>
      </c>
      <c r="S1162" s="3" t="str">
        <f>IFERROR(VLOOKUP(H1162,[1]Mapa!A:D,4,0),"")</f>
        <v>FUPOTECH</v>
      </c>
      <c r="T1162" s="3"/>
      <c r="U1162" s="3"/>
      <c r="V1162" s="3"/>
    </row>
    <row r="1163" spans="1:22">
      <c r="A1163" s="3" t="str">
        <f>VLOOKUP(D1163,[1]Orc!A:B,2,0)</f>
        <v>Bounced Back Emails</v>
      </c>
      <c r="B1163" s="31">
        <f>VLOOKUP(D1163,[1]Orc!A:C,3,0)</f>
        <v>42748.738471724537</v>
      </c>
      <c r="C1163" s="31">
        <v>42746.657638888886</v>
      </c>
      <c r="D1163" s="3">
        <v>3035655969</v>
      </c>
      <c r="E1163" s="3" t="s">
        <v>39</v>
      </c>
      <c r="F1163" s="3" t="s">
        <v>240</v>
      </c>
      <c r="G1163" s="3" t="str">
        <f>VLOOKUP(F1163,[1]Mapa!A:B,2,0)</f>
        <v>Renato Da Silva Andrade</v>
      </c>
      <c r="H1163" s="3" t="s">
        <v>238</v>
      </c>
      <c r="I1163" s="3" t="str">
        <f>VLOOKUP(H1163,[1]Mapa!A:B,2,0)</f>
        <v>Fernando Souza De Almeida</v>
      </c>
      <c r="J1163" s="3" t="s">
        <v>100</v>
      </c>
      <c r="K1163" s="3" t="str">
        <f t="shared" si="3"/>
        <v>SKILL DIFERENTE</v>
      </c>
      <c r="L1163" s="3" t="s">
        <v>866</v>
      </c>
      <c r="M1163" s="3" t="s">
        <v>59</v>
      </c>
      <c r="N1163" s="3" t="s">
        <v>60</v>
      </c>
      <c r="O1163" s="3" t="s">
        <v>123</v>
      </c>
      <c r="P1163" s="3" t="s">
        <v>867</v>
      </c>
      <c r="Q1163" s="31">
        <v>42747</v>
      </c>
      <c r="R1163" s="3" t="str">
        <f>IFERROR(VLOOKUP(J1163,[1]PL!A:B,2,0),"")</f>
        <v>PSG</v>
      </c>
      <c r="S1163" s="3" t="str">
        <f>IFERROR(VLOOKUP(H1163,[1]Mapa!A:D,4,0),"")</f>
        <v>FUPOTECH</v>
      </c>
      <c r="T1163" s="3"/>
      <c r="U1163" s="3"/>
      <c r="V1163" s="3"/>
    </row>
    <row r="1164" spans="1:22">
      <c r="A1164" s="3" t="str">
        <f>VLOOKUP(D1164,[1]Orc!A:B,2,0)</f>
        <v>Not Responded</v>
      </c>
      <c r="B1164" s="31">
        <f>VLOOKUP(D1164,[1]Orc!A:C,3,0)</f>
        <v>42748.738471724537</v>
      </c>
      <c r="C1164" s="31">
        <v>42746.671527777777</v>
      </c>
      <c r="D1164" s="3">
        <v>3035548591</v>
      </c>
      <c r="E1164" s="3" t="s">
        <v>31</v>
      </c>
      <c r="F1164" s="3" t="s">
        <v>156</v>
      </c>
      <c r="G1164" s="3" t="str">
        <f>VLOOKUP(F1164,[1]Mapa!A:B,2,0)</f>
        <v>Felipe Alves Barbosa</v>
      </c>
      <c r="H1164" s="3" t="s">
        <v>156</v>
      </c>
      <c r="I1164" s="3" t="str">
        <f>VLOOKUP(H1164,[1]Mapa!A:B,2,0)</f>
        <v>Felipe Alves Barbosa</v>
      </c>
      <c r="J1164" s="3" t="s">
        <v>100</v>
      </c>
      <c r="K1164" s="3" t="str">
        <f t="shared" si="3"/>
        <v>SKILL IGUAL</v>
      </c>
      <c r="L1164" s="3" t="s">
        <v>866</v>
      </c>
      <c r="M1164" s="3" t="s">
        <v>70</v>
      </c>
      <c r="N1164" s="3" t="s">
        <v>71</v>
      </c>
      <c r="O1164" s="3" t="s">
        <v>3227</v>
      </c>
      <c r="P1164" s="3" t="s">
        <v>867</v>
      </c>
      <c r="Q1164" s="31">
        <v>42747</v>
      </c>
      <c r="R1164" s="3" t="str">
        <f>IFERROR(VLOOKUP(J1164,[1]PL!A:B,2,0),"")</f>
        <v>PSG</v>
      </c>
      <c r="S1164" s="3" t="str">
        <f>IFERROR(VLOOKUP(H1164,[1]Mapa!A:D,4,0),"")</f>
        <v>PSG</v>
      </c>
      <c r="T1164" s="3"/>
      <c r="U1164" s="3"/>
      <c r="V1164" s="3"/>
    </row>
    <row r="1165" spans="1:22">
      <c r="A1165" s="3" t="str">
        <f>VLOOKUP(D1165,[1]Orc!A:B,2,0)</f>
        <v>Not Responded</v>
      </c>
      <c r="B1165" s="31">
        <f>VLOOKUP(D1165,[1]Orc!A:C,3,0)</f>
        <v>42748.738471724537</v>
      </c>
      <c r="C1165" s="31">
        <v>42746.713888888888</v>
      </c>
      <c r="D1165" s="3">
        <v>3035641043</v>
      </c>
      <c r="E1165" s="3" t="s">
        <v>39</v>
      </c>
      <c r="F1165" s="3" t="s">
        <v>240</v>
      </c>
      <c r="G1165" s="3" t="str">
        <f>VLOOKUP(F1165,[1]Mapa!A:B,2,0)</f>
        <v>Renato Da Silva Andrade</v>
      </c>
      <c r="H1165" s="3" t="s">
        <v>238</v>
      </c>
      <c r="I1165" s="3" t="str">
        <f>VLOOKUP(H1165,[1]Mapa!A:B,2,0)</f>
        <v>Fernando Souza De Almeida</v>
      </c>
      <c r="J1165" s="3" t="s">
        <v>93</v>
      </c>
      <c r="K1165" s="3" t="str">
        <f t="shared" si="3"/>
        <v>SKILL DIFERENTE</v>
      </c>
      <c r="L1165" s="3" t="s">
        <v>866</v>
      </c>
      <c r="M1165" s="3" t="s">
        <v>70</v>
      </c>
      <c r="N1165" s="3" t="s">
        <v>60</v>
      </c>
      <c r="O1165" s="3" t="s">
        <v>3228</v>
      </c>
      <c r="P1165" s="3" t="s">
        <v>867</v>
      </c>
      <c r="Q1165" s="31">
        <v>42747</v>
      </c>
      <c r="R1165" s="3" t="str">
        <f>IFERROR(VLOOKUP(J1165,[1]PL!A:B,2,0),"")</f>
        <v>PSG</v>
      </c>
      <c r="S1165" s="3" t="str">
        <f>IFERROR(VLOOKUP(H1165,[1]Mapa!A:D,4,0),"")</f>
        <v>FUPOTECH</v>
      </c>
      <c r="T1165" s="3"/>
      <c r="U1165" s="3"/>
      <c r="V1165" s="3"/>
    </row>
    <row r="1166" spans="1:22">
      <c r="A1166" s="3" t="str">
        <f>VLOOKUP(D1166,[1]Orc!A:B,2,0)</f>
        <v>Bounced Back Emails</v>
      </c>
      <c r="B1166" s="31">
        <f>VLOOKUP(D1166,[1]Orc!A:C,3,0)</f>
        <v>42748.738471724537</v>
      </c>
      <c r="C1166" s="31">
        <v>42746.718055555553</v>
      </c>
      <c r="D1166" s="3">
        <v>3035545904</v>
      </c>
      <c r="E1166" s="3" t="s">
        <v>39</v>
      </c>
      <c r="F1166" s="3" t="s">
        <v>240</v>
      </c>
      <c r="G1166" s="3" t="str">
        <f>VLOOKUP(F1166,[1]Mapa!A:B,2,0)</f>
        <v>Renato Da Silva Andrade</v>
      </c>
      <c r="H1166" s="3" t="s">
        <v>230</v>
      </c>
      <c r="I1166" s="3" t="e">
        <f>VLOOKUP(H1166,[1]Mapa!A:B,2,0)</f>
        <v>#N/A</v>
      </c>
      <c r="J1166" s="3" t="s">
        <v>100</v>
      </c>
      <c r="K1166" s="3" t="str">
        <f t="shared" si="3"/>
        <v>SKILL DIFERENTE</v>
      </c>
      <c r="L1166" s="3" t="s">
        <v>871</v>
      </c>
      <c r="M1166" s="3" t="s">
        <v>932</v>
      </c>
      <c r="N1166" s="3" t="s">
        <v>85</v>
      </c>
      <c r="O1166" s="3" t="s">
        <v>3229</v>
      </c>
      <c r="P1166" s="3" t="s">
        <v>867</v>
      </c>
      <c r="Q1166" s="31">
        <v>42748</v>
      </c>
      <c r="R1166" s="3" t="str">
        <f>IFERROR(VLOOKUP(J1166,[1]PL!A:B,2,0),"")</f>
        <v>PSG</v>
      </c>
      <c r="S1166" s="3" t="str">
        <f>IFERROR(VLOOKUP(H1166,[1]Mapa!A:D,4,0),"")</f>
        <v/>
      </c>
      <c r="T1166" s="3"/>
      <c r="U1166" s="3"/>
      <c r="V1166" s="3"/>
    </row>
    <row r="1167" spans="1:22">
      <c r="A1167" s="3" t="str">
        <f>VLOOKUP(D1167,[1]Orc!A:B,2,0)</f>
        <v>Sample Rejected</v>
      </c>
      <c r="B1167" s="31">
        <f>VLOOKUP(D1167,[1]Orc!A:C,3,0)</f>
        <v>42748.738471724537</v>
      </c>
      <c r="C1167" s="31">
        <v>42746.775000000001</v>
      </c>
      <c r="D1167" s="3">
        <v>3035694264</v>
      </c>
      <c r="E1167" s="3" t="s">
        <v>39</v>
      </c>
      <c r="F1167" s="3" t="s">
        <v>244</v>
      </c>
      <c r="G1167" s="3" t="str">
        <f>VLOOKUP(F1167,[1]Mapa!A:B,2,0)</f>
        <v>Clarina Praxedes Alfredo</v>
      </c>
      <c r="H1167" s="3" t="s">
        <v>244</v>
      </c>
      <c r="I1167" s="3" t="str">
        <f>VLOOKUP(H1167,[1]Mapa!A:B,2,0)</f>
        <v>Clarina Praxedes Alfredo</v>
      </c>
      <c r="J1167" s="3" t="s">
        <v>93</v>
      </c>
      <c r="K1167" s="3" t="str">
        <f t="shared" si="3"/>
        <v>SKILL IGUAL</v>
      </c>
      <c r="L1167" s="3" t="s">
        <v>866</v>
      </c>
      <c r="M1167" s="3" t="s">
        <v>70</v>
      </c>
      <c r="N1167" s="3" t="s">
        <v>71</v>
      </c>
      <c r="O1167" s="3" t="s">
        <v>3230</v>
      </c>
      <c r="P1167" s="3" t="s">
        <v>867</v>
      </c>
      <c r="Q1167" s="31">
        <v>42747</v>
      </c>
      <c r="R1167" s="3" t="str">
        <f>IFERROR(VLOOKUP(J1167,[1]PL!A:B,2,0),"")</f>
        <v>PSG</v>
      </c>
      <c r="S1167" s="3" t="str">
        <f>IFERROR(VLOOKUP(H1167,[1]Mapa!A:D,4,0),"")</f>
        <v>PSG</v>
      </c>
      <c r="T1167" s="3"/>
      <c r="U1167" s="3"/>
      <c r="V1167" s="3"/>
    </row>
    <row r="1168" spans="1:22">
      <c r="A1168" s="3" t="str">
        <f>VLOOKUP(D1168,[1]Orc!A:B,2,0)</f>
        <v>Not Responded</v>
      </c>
      <c r="B1168" s="31">
        <f>VLOOKUP(D1168,[1]Orc!A:C,3,0)</f>
        <v>42746.737756446761</v>
      </c>
      <c r="C1168" s="31">
        <v>42748.602083333331</v>
      </c>
      <c r="D1168" s="3">
        <v>3035541616</v>
      </c>
      <c r="E1168" s="3" t="s">
        <v>31</v>
      </c>
      <c r="F1168" s="3" t="s">
        <v>227</v>
      </c>
      <c r="G1168" s="3" t="str">
        <f>VLOOKUP(F1168,[1]Mapa!A:B,2,0)</f>
        <v>Bruno Henrique Padua Colella</v>
      </c>
      <c r="H1168" s="3" t="s">
        <v>195</v>
      </c>
      <c r="I1168" s="3" t="str">
        <f>VLOOKUP(H1168,[1]Mapa!A:B,2,0)</f>
        <v>Davi Teodoro de Jesus</v>
      </c>
      <c r="J1168" s="3" t="s">
        <v>93</v>
      </c>
      <c r="K1168" s="3" t="str">
        <f t="shared" si="3"/>
        <v>SKILL DIFERENTE</v>
      </c>
      <c r="L1168" s="3" t="s">
        <v>866</v>
      </c>
      <c r="M1168" s="3" t="s">
        <v>59</v>
      </c>
      <c r="N1168" s="3" t="s">
        <v>60</v>
      </c>
      <c r="O1168" s="3" t="s">
        <v>3618</v>
      </c>
      <c r="P1168" s="3" t="s">
        <v>876</v>
      </c>
      <c r="Q1168" s="31">
        <v>42749</v>
      </c>
      <c r="R1168" s="3" t="str">
        <f>IFERROR(VLOOKUP(J1168,[1]PL!A:B,2,0),"")</f>
        <v>PSG</v>
      </c>
      <c r="S1168" s="3" t="str">
        <f>IFERROR(VLOOKUP(H1168,[1]Mapa!A:D,4,0),"")</f>
        <v>FUPO</v>
      </c>
      <c r="T1168" s="3"/>
      <c r="U1168" s="3"/>
      <c r="V1168" s="3"/>
    </row>
    <row r="1169" spans="1:22">
      <c r="A1169" s="3" t="str">
        <f>VLOOKUP(D1169,[1]Orc!A:B,2,0)</f>
        <v>Completed Surveys</v>
      </c>
      <c r="B1169" s="31">
        <f>VLOOKUP(D1169,[1]Orc!A:C,3,0)</f>
        <v>42748.738471724537</v>
      </c>
      <c r="C1169" s="31">
        <v>42746.804166666669</v>
      </c>
      <c r="D1169" s="3">
        <v>3035695643</v>
      </c>
      <c r="E1169" s="3" t="s">
        <v>39</v>
      </c>
      <c r="F1169" s="3" t="s">
        <v>244</v>
      </c>
      <c r="G1169" s="3" t="str">
        <f>VLOOKUP(F1169,[1]Mapa!A:B,2,0)</f>
        <v>Clarina Praxedes Alfredo</v>
      </c>
      <c r="H1169" s="3" t="s">
        <v>244</v>
      </c>
      <c r="I1169" s="3" t="str">
        <f>VLOOKUP(H1169,[1]Mapa!A:B,2,0)</f>
        <v>Clarina Praxedes Alfredo</v>
      </c>
      <c r="J1169" s="3" t="s">
        <v>93</v>
      </c>
      <c r="K1169" s="3" t="str">
        <f t="shared" si="3"/>
        <v>SKILL IGUAL</v>
      </c>
      <c r="L1169" s="3" t="s">
        <v>866</v>
      </c>
      <c r="M1169" s="3" t="s">
        <v>59</v>
      </c>
      <c r="N1169" s="3" t="s">
        <v>60</v>
      </c>
      <c r="O1169" s="3" t="s">
        <v>3636</v>
      </c>
      <c r="P1169" s="3" t="s">
        <v>867</v>
      </c>
      <c r="Q1169" s="31">
        <v>42751</v>
      </c>
      <c r="R1169" s="3" t="str">
        <f>IFERROR(VLOOKUP(J1169,[1]PL!A:B,2,0),"")</f>
        <v>PSG</v>
      </c>
      <c r="S1169" s="3" t="str">
        <f>IFERROR(VLOOKUP(H1169,[1]Mapa!A:D,4,0),"")</f>
        <v>PSG</v>
      </c>
      <c r="T1169" s="3" t="s">
        <v>3630</v>
      </c>
      <c r="U1169" s="3"/>
      <c r="V1169" s="3"/>
    </row>
    <row r="1170" spans="1:22">
      <c r="A1170" s="3" t="str">
        <f>VLOOKUP(D1170,[1]Orc!A:B,2,0)</f>
        <v>Not Responded</v>
      </c>
      <c r="B1170" s="31">
        <f>VLOOKUP(D1170,[1]Orc!A:C,3,0)</f>
        <v>42749.737991238428</v>
      </c>
      <c r="C1170" s="31">
        <v>42747.402083333334</v>
      </c>
      <c r="D1170" s="3">
        <v>3035713103</v>
      </c>
      <c r="E1170" s="3" t="s">
        <v>31</v>
      </c>
      <c r="F1170" s="3" t="s">
        <v>206</v>
      </c>
      <c r="G1170" s="3" t="str">
        <f>VLOOKUP(F1170,[1]Mapa!A:B,2,0)</f>
        <v>Alvani Elizabete Aliano de Oliveira</v>
      </c>
      <c r="H1170" s="3" t="s">
        <v>206</v>
      </c>
      <c r="I1170" s="3" t="str">
        <f>VLOOKUP(H1170,[1]Mapa!A:B,2,0)</f>
        <v>Alvani Elizabete Aliano de Oliveira</v>
      </c>
      <c r="J1170" s="3" t="s">
        <v>100</v>
      </c>
      <c r="K1170" s="3" t="str">
        <f t="shared" si="3"/>
        <v>SKILL IGUAL</v>
      </c>
      <c r="L1170" s="3" t="s">
        <v>866</v>
      </c>
      <c r="M1170" s="3" t="s">
        <v>70</v>
      </c>
      <c r="N1170" s="3" t="s">
        <v>71</v>
      </c>
      <c r="O1170" s="3" t="s">
        <v>3231</v>
      </c>
      <c r="P1170" s="3" t="s">
        <v>876</v>
      </c>
      <c r="Q1170" s="31">
        <v>42748</v>
      </c>
      <c r="R1170" s="3" t="str">
        <f>IFERROR(VLOOKUP(J1170,[1]PL!A:B,2,0),"")</f>
        <v>PSG</v>
      </c>
      <c r="S1170" s="3" t="str">
        <f>IFERROR(VLOOKUP(H1170,[1]Mapa!A:D,4,0),"")</f>
        <v>PSG</v>
      </c>
      <c r="T1170" s="3"/>
      <c r="U1170" s="3"/>
      <c r="V1170" s="3"/>
    </row>
    <row r="1171" spans="1:22">
      <c r="A1171" s="3" t="str">
        <f>VLOOKUP(D1171,[1]Orc!A:B,2,0)</f>
        <v>Not Responded</v>
      </c>
      <c r="B1171" s="31">
        <f>VLOOKUP(D1171,[1]Orc!A:C,3,0)</f>
        <v>42750.735881944442</v>
      </c>
      <c r="C1171" s="31">
        <v>42748.729166666664</v>
      </c>
      <c r="D1171" s="3">
        <v>3035726561</v>
      </c>
      <c r="E1171" s="3" t="s">
        <v>39</v>
      </c>
      <c r="F1171" s="3" t="s">
        <v>250</v>
      </c>
      <c r="G1171" s="3" t="str">
        <f>VLOOKUP(F1171,[1]Mapa!A:B,2,0)</f>
        <v>Filipe Augusto Fernandes De Oliveira</v>
      </c>
      <c r="H1171" s="3" t="s">
        <v>238</v>
      </c>
      <c r="I1171" s="3" t="str">
        <f>VLOOKUP(H1171,[1]Mapa!A:B,2,0)</f>
        <v>Fernando Souza De Almeida</v>
      </c>
      <c r="J1171" s="3" t="s">
        <v>100</v>
      </c>
      <c r="K1171" s="3" t="str">
        <f t="shared" si="3"/>
        <v>SKILL DIFERENTE</v>
      </c>
      <c r="L1171" s="3" t="s">
        <v>866</v>
      </c>
      <c r="M1171" s="3" t="s">
        <v>59</v>
      </c>
      <c r="N1171" s="3" t="s">
        <v>60</v>
      </c>
      <c r="O1171" s="3" t="s">
        <v>123</v>
      </c>
      <c r="P1171" s="3" t="s">
        <v>867</v>
      </c>
      <c r="Q1171" s="31">
        <v>42749</v>
      </c>
      <c r="R1171" s="3" t="str">
        <f>IFERROR(VLOOKUP(J1171,[1]PL!A:B,2,0),"")</f>
        <v>PSG</v>
      </c>
      <c r="S1171" s="3" t="str">
        <f>IFERROR(VLOOKUP(H1171,[1]Mapa!A:D,4,0),"")</f>
        <v>FUPOTECH</v>
      </c>
      <c r="T1171" s="3" t="s">
        <v>3637</v>
      </c>
      <c r="U1171" s="3" t="s">
        <v>3106</v>
      </c>
      <c r="V1171" s="3"/>
    </row>
    <row r="1172" spans="1:22">
      <c r="A1172" s="3" t="str">
        <f>VLOOKUP(D1172,[1]Orc!A:B,2,0)</f>
        <v>Not Responded</v>
      </c>
      <c r="B1172" s="31">
        <f>VLOOKUP(D1172,[1]Orc!A:C,3,0)</f>
        <v>42749.737991238428</v>
      </c>
      <c r="C1172" s="31">
        <v>42747.474999999999</v>
      </c>
      <c r="D1172" s="3">
        <v>3035625873</v>
      </c>
      <c r="E1172" s="3" t="s">
        <v>31</v>
      </c>
      <c r="F1172" s="3" t="s">
        <v>223</v>
      </c>
      <c r="G1172" s="3" t="str">
        <f>VLOOKUP(F1172,[1]Mapa!A:B,2,0)</f>
        <v>Daniel Sousa Pinheiro</v>
      </c>
      <c r="H1172" s="3" t="s">
        <v>209</v>
      </c>
      <c r="I1172" s="3" t="str">
        <f>VLOOKUP(H1172,[1]Mapa!A:B,2,0)</f>
        <v>Taina Alexsander Fernandes Pires</v>
      </c>
      <c r="J1172" s="3" t="s">
        <v>93</v>
      </c>
      <c r="K1172" s="3" t="str">
        <f t="shared" si="3"/>
        <v>SKILL DIFERENTE</v>
      </c>
      <c r="L1172" s="3" t="s">
        <v>866</v>
      </c>
      <c r="M1172" s="3" t="s">
        <v>70</v>
      </c>
      <c r="N1172" s="3" t="s">
        <v>71</v>
      </c>
      <c r="O1172" s="3" t="s">
        <v>3606</v>
      </c>
      <c r="P1172" s="3" t="s">
        <v>867</v>
      </c>
      <c r="Q1172" s="31">
        <v>42749</v>
      </c>
      <c r="R1172" s="3" t="str">
        <f>IFERROR(VLOOKUP(J1172,[1]PL!A:B,2,0),"")</f>
        <v>PSG</v>
      </c>
      <c r="S1172" s="3" t="str">
        <f>IFERROR(VLOOKUP(H1172,[1]Mapa!A:D,4,0),"")</f>
        <v>FUPOTECH</v>
      </c>
      <c r="T1172" s="3"/>
      <c r="U1172" s="3"/>
      <c r="V1172" s="3"/>
    </row>
    <row r="1173" spans="1:22">
      <c r="A1173" s="3" t="str">
        <f>VLOOKUP(D1173,[1]Orc!A:B,2,0)</f>
        <v>Not Responded</v>
      </c>
      <c r="B1173" s="31">
        <f>VLOOKUP(D1173,[1]Orc!A:C,3,0)</f>
        <v>42749.737991238428</v>
      </c>
      <c r="C1173" s="31">
        <v>42747.481944444444</v>
      </c>
      <c r="D1173" s="3">
        <v>3035682091</v>
      </c>
      <c r="E1173" s="3" t="s">
        <v>31</v>
      </c>
      <c r="F1173" s="3" t="s">
        <v>223</v>
      </c>
      <c r="G1173" s="3" t="str">
        <f>VLOOKUP(F1173,[1]Mapa!A:B,2,0)</f>
        <v>Daniel Sousa Pinheiro</v>
      </c>
      <c r="H1173" s="3" t="s">
        <v>209</v>
      </c>
      <c r="I1173" s="3" t="str">
        <f>VLOOKUP(H1173,[1]Mapa!A:B,2,0)</f>
        <v>Taina Alexsander Fernandes Pires</v>
      </c>
      <c r="J1173" s="3" t="s">
        <v>93</v>
      </c>
      <c r="K1173" s="3" t="str">
        <f t="shared" si="3"/>
        <v>SKILL DIFERENTE</v>
      </c>
      <c r="L1173" s="3" t="s">
        <v>866</v>
      </c>
      <c r="M1173" s="3" t="s">
        <v>70</v>
      </c>
      <c r="N1173" s="3" t="s">
        <v>71</v>
      </c>
      <c r="O1173" s="3" t="s">
        <v>3232</v>
      </c>
      <c r="P1173" s="3" t="s">
        <v>867</v>
      </c>
      <c r="Q1173" s="31">
        <v>42748</v>
      </c>
      <c r="R1173" s="3" t="str">
        <f>IFERROR(VLOOKUP(J1173,[1]PL!A:B,2,0),"")</f>
        <v>PSG</v>
      </c>
      <c r="S1173" s="3" t="str">
        <f>IFERROR(VLOOKUP(H1173,[1]Mapa!A:D,4,0),"")</f>
        <v>FUPOTECH</v>
      </c>
      <c r="T1173" s="3"/>
      <c r="U1173" s="3"/>
      <c r="V1173" s="3"/>
    </row>
    <row r="1174" spans="1:22">
      <c r="A1174" s="3" t="str">
        <f>VLOOKUP(D1174,[1]Orc!A:B,2,0)</f>
        <v>Not Responded</v>
      </c>
      <c r="B1174" s="31">
        <f>VLOOKUP(D1174,[1]Orc!A:C,3,0)</f>
        <v>42751.734828043984</v>
      </c>
      <c r="C1174" s="31">
        <v>42749.803472222222</v>
      </c>
      <c r="D1174" s="3">
        <v>3035779897</v>
      </c>
      <c r="E1174" s="3" t="s">
        <v>23</v>
      </c>
      <c r="F1174" s="3" t="s">
        <v>119</v>
      </c>
      <c r="G1174" s="3" t="str">
        <f>VLOOKUP(F1174,[1]Mapa!A:B,2,0)</f>
        <v xml:space="preserve">Leandro Ferreira Batista </v>
      </c>
      <c r="H1174" s="3" t="s">
        <v>119</v>
      </c>
      <c r="I1174" s="3" t="str">
        <f>VLOOKUP(H1174,[1]Mapa!A:B,2,0)</f>
        <v xml:space="preserve">Leandro Ferreira Batista </v>
      </c>
      <c r="J1174" s="3" t="s">
        <v>93</v>
      </c>
      <c r="K1174" s="3" t="str">
        <f t="shared" si="3"/>
        <v>SKILL DIFERENTE</v>
      </c>
      <c r="L1174" s="3" t="s">
        <v>866</v>
      </c>
      <c r="M1174" s="3" t="s">
        <v>59</v>
      </c>
      <c r="N1174" s="3" t="s">
        <v>60</v>
      </c>
      <c r="O1174" s="3" t="s">
        <v>3667</v>
      </c>
      <c r="P1174" s="3" t="s">
        <v>872</v>
      </c>
      <c r="Q1174" s="31">
        <v>42751</v>
      </c>
      <c r="R1174" s="3" t="str">
        <f>IFERROR(VLOOKUP(J1174,[1]PL!A:B,2,0),"")</f>
        <v>PSG</v>
      </c>
      <c r="S1174" s="3" t="str">
        <f>IFERROR(VLOOKUP(H1174,[1]Mapa!A:D,4,0),"")</f>
        <v>IPG</v>
      </c>
      <c r="T1174" s="3"/>
      <c r="U1174" s="3" t="s">
        <v>3104</v>
      </c>
      <c r="V1174" s="3"/>
    </row>
    <row r="1175" spans="1:22">
      <c r="A1175" s="3" t="e">
        <f>VLOOKUP(D1175,[1]Orc!A:B,2,0)</f>
        <v>#N/A</v>
      </c>
      <c r="B1175" s="31" t="e">
        <f>VLOOKUP(D1175,[1]Orc!A:C,3,0)</f>
        <v>#N/A</v>
      </c>
      <c r="C1175" s="31">
        <v>42751.357638888891</v>
      </c>
      <c r="D1175" s="3">
        <v>3035805482</v>
      </c>
      <c r="E1175" s="3" t="s">
        <v>31</v>
      </c>
      <c r="F1175" s="3" t="s">
        <v>219</v>
      </c>
      <c r="G1175" s="3" t="str">
        <f>VLOOKUP(F1175,[1]Mapa!A:B,2,0)</f>
        <v>Rafael Dos Santos</v>
      </c>
      <c r="H1175" s="3" t="s">
        <v>219</v>
      </c>
      <c r="I1175" s="3" t="str">
        <f>VLOOKUP(H1175,[1]Mapa!A:B,2,0)</f>
        <v>Rafael Dos Santos</v>
      </c>
      <c r="J1175" s="3" t="s">
        <v>93</v>
      </c>
      <c r="K1175" s="3" t="str">
        <f t="shared" si="3"/>
        <v>SKILL IGUAL</v>
      </c>
      <c r="L1175" s="3" t="s">
        <v>866</v>
      </c>
      <c r="M1175" s="3" t="s">
        <v>59</v>
      </c>
      <c r="N1175" s="3" t="s">
        <v>71</v>
      </c>
      <c r="O1175" s="3" t="s">
        <v>4017</v>
      </c>
      <c r="P1175" s="3" t="s">
        <v>876</v>
      </c>
      <c r="Q1175" s="31">
        <v>42752</v>
      </c>
      <c r="R1175" s="3" t="str">
        <f>IFERROR(VLOOKUP(J1175,[1]PL!A:B,2,0),"")</f>
        <v>PSG</v>
      </c>
      <c r="S1175" s="3" t="str">
        <f>IFERROR(VLOOKUP(H1175,[1]Mapa!A:D,4,0),"")</f>
        <v>PSG</v>
      </c>
      <c r="T1175" s="3"/>
      <c r="U1175" s="3"/>
      <c r="V1175" s="3"/>
    </row>
    <row r="1176" spans="1:22">
      <c r="A1176" s="3" t="str">
        <f>VLOOKUP(D1176,[1]Orc!A:B,2,0)</f>
        <v>Completed Surveys</v>
      </c>
      <c r="B1176" s="31">
        <f>VLOOKUP(D1176,[1]Orc!A:C,3,0)</f>
        <v>42749.737991238428</v>
      </c>
      <c r="C1176" s="31">
        <v>42747.543749999997</v>
      </c>
      <c r="D1176" s="3">
        <v>3035717562</v>
      </c>
      <c r="E1176" s="3" t="s">
        <v>23</v>
      </c>
      <c r="F1176" s="3" t="s">
        <v>137</v>
      </c>
      <c r="G1176" s="3" t="str">
        <f>VLOOKUP(F1176,[1]Mapa!A:B,2,0)</f>
        <v>Odonilton Firmino de Moura</v>
      </c>
      <c r="H1176" s="3" t="s">
        <v>137</v>
      </c>
      <c r="I1176" s="3" t="str">
        <f>VLOOKUP(H1176,[1]Mapa!A:B,2,0)</f>
        <v>Odonilton Firmino de Moura</v>
      </c>
      <c r="J1176" s="3" t="s">
        <v>93</v>
      </c>
      <c r="K1176" s="3" t="str">
        <f t="shared" si="3"/>
        <v>SKILL DIFERENTE</v>
      </c>
      <c r="L1176" s="3" t="s">
        <v>866</v>
      </c>
      <c r="M1176" s="3" t="s">
        <v>59</v>
      </c>
      <c r="N1176" s="3" t="s">
        <v>60</v>
      </c>
      <c r="O1176" s="3" t="s">
        <v>3233</v>
      </c>
      <c r="P1176" s="3" t="s">
        <v>876</v>
      </c>
      <c r="Q1176" s="31">
        <v>42748</v>
      </c>
      <c r="R1176" s="3" t="str">
        <f>IFERROR(VLOOKUP(J1176,[1]PL!A:B,2,0),"")</f>
        <v>PSG</v>
      </c>
      <c r="S1176" s="3" t="str">
        <f>IFERROR(VLOOKUP(H1176,[1]Mapa!A:D,4,0),"")</f>
        <v>IPG</v>
      </c>
      <c r="T1176" s="3"/>
      <c r="U1176" s="3"/>
      <c r="V1176" s="3"/>
    </row>
    <row r="1177" spans="1:22">
      <c r="A1177" s="3" t="str">
        <f>VLOOKUP(D1177,[1]Orc!A:B,2,0)</f>
        <v>Completed Surveys</v>
      </c>
      <c r="B1177" s="31">
        <f>VLOOKUP(D1177,[1]Orc!A:C,3,0)</f>
        <v>42753.738214849538</v>
      </c>
      <c r="C1177" s="31">
        <v>42751.409722222219</v>
      </c>
      <c r="D1177" s="3">
        <v>3035807051</v>
      </c>
      <c r="E1177" s="3" t="s">
        <v>31</v>
      </c>
      <c r="F1177" s="3" t="s">
        <v>221</v>
      </c>
      <c r="G1177" s="3" t="str">
        <f>VLOOKUP(F1177,[1]Mapa!A:B,2,0)</f>
        <v>Fabio Perez Da Silva</v>
      </c>
      <c r="H1177" s="3" t="s">
        <v>221</v>
      </c>
      <c r="I1177" s="3" t="str">
        <f>VLOOKUP(H1177,[1]Mapa!A:B,2,0)</f>
        <v>Fabio Perez Da Silva</v>
      </c>
      <c r="J1177" s="3" t="s">
        <v>93</v>
      </c>
      <c r="K1177" s="3" t="str">
        <f t="shared" si="3"/>
        <v>SKILL IGUAL</v>
      </c>
      <c r="L1177" s="3" t="s">
        <v>866</v>
      </c>
      <c r="M1177" s="3" t="s">
        <v>59</v>
      </c>
      <c r="N1177" s="3" t="s">
        <v>60</v>
      </c>
      <c r="O1177" s="3" t="s">
        <v>182</v>
      </c>
      <c r="P1177" s="3" t="s">
        <v>876</v>
      </c>
      <c r="Q1177" s="31">
        <v>42752</v>
      </c>
      <c r="R1177" s="3" t="str">
        <f>IFERROR(VLOOKUP(J1177,[1]PL!A:B,2,0),"")</f>
        <v>PSG</v>
      </c>
      <c r="S1177" s="3" t="str">
        <f>IFERROR(VLOOKUP(H1177,[1]Mapa!A:D,4,0),"")</f>
        <v>PSG</v>
      </c>
      <c r="T1177" s="3"/>
      <c r="U1177" s="3"/>
      <c r="V1177" s="3"/>
    </row>
    <row r="1178" spans="1:22">
      <c r="A1178" s="3" t="str">
        <f>VLOOKUP(D1178,[1]Orc!A:B,2,0)</f>
        <v>Sample Rejected</v>
      </c>
      <c r="B1178" s="31">
        <f>VLOOKUP(D1178,[1]Orc!A:C,3,0)</f>
        <v>42749.737991238428</v>
      </c>
      <c r="C1178" s="31">
        <v>42747.574999999997</v>
      </c>
      <c r="D1178" s="3">
        <v>3035684596</v>
      </c>
      <c r="E1178" s="3" t="s">
        <v>31</v>
      </c>
      <c r="F1178" s="3" t="s">
        <v>219</v>
      </c>
      <c r="G1178" s="3" t="str">
        <f>VLOOKUP(F1178,[1]Mapa!A:B,2,0)</f>
        <v>Rafael Dos Santos</v>
      </c>
      <c r="H1178" s="3" t="s">
        <v>209</v>
      </c>
      <c r="I1178" s="3" t="str">
        <f>VLOOKUP(H1178,[1]Mapa!A:B,2,0)</f>
        <v>Taina Alexsander Fernandes Pires</v>
      </c>
      <c r="J1178" s="3" t="s">
        <v>100</v>
      </c>
      <c r="K1178" s="3" t="str">
        <f t="shared" si="3"/>
        <v>SKILL DIFERENTE</v>
      </c>
      <c r="L1178" s="3" t="s">
        <v>871</v>
      </c>
      <c r="M1178" s="3" t="s">
        <v>84</v>
      </c>
      <c r="N1178" s="3" t="s">
        <v>85</v>
      </c>
      <c r="O1178" s="3" t="s">
        <v>3607</v>
      </c>
      <c r="P1178" s="3" t="s">
        <v>867</v>
      </c>
      <c r="Q1178" s="31">
        <v>42749</v>
      </c>
      <c r="R1178" s="3" t="str">
        <f>IFERROR(VLOOKUP(J1178,[1]PL!A:B,2,0),"")</f>
        <v>PSG</v>
      </c>
      <c r="S1178" s="3" t="str">
        <f>IFERROR(VLOOKUP(H1178,[1]Mapa!A:D,4,0),"")</f>
        <v>FUPOTECH</v>
      </c>
      <c r="T1178" s="3"/>
      <c r="U1178" s="3"/>
      <c r="V1178" s="3"/>
    </row>
    <row r="1179" spans="1:22">
      <c r="A1179" s="3" t="str">
        <f>VLOOKUP(D1179,[1]Orc!A:B,2,0)</f>
        <v>Completed Surveys</v>
      </c>
      <c r="B1179" s="31">
        <f>VLOOKUP(D1179,[1]Orc!A:C,3,0)</f>
        <v>42749.737991238428</v>
      </c>
      <c r="C1179" s="31">
        <v>42747.578472222223</v>
      </c>
      <c r="D1179" s="3">
        <v>3035683352</v>
      </c>
      <c r="E1179" s="3" t="s">
        <v>31</v>
      </c>
      <c r="F1179" s="3" t="s">
        <v>145</v>
      </c>
      <c r="G1179" s="3" t="str">
        <f>VLOOKUP(F1179,[1]Mapa!A:B,2,0)</f>
        <v>Erico Luan de Jesus Silva</v>
      </c>
      <c r="H1179" s="3" t="s">
        <v>213</v>
      </c>
      <c r="I1179" s="3" t="str">
        <f>VLOOKUP(H1179,[1]Mapa!A:B,2,0)</f>
        <v>Leonardo Cantilho Maracas</v>
      </c>
      <c r="J1179" s="3" t="s">
        <v>93</v>
      </c>
      <c r="K1179" s="3" t="str">
        <f t="shared" si="3"/>
        <v>SKILL IGUAL</v>
      </c>
      <c r="L1179" s="3" t="s">
        <v>866</v>
      </c>
      <c r="M1179" s="3" t="s">
        <v>59</v>
      </c>
      <c r="N1179" s="3" t="s">
        <v>60</v>
      </c>
      <c r="O1179" s="3" t="s">
        <v>123</v>
      </c>
      <c r="P1179" s="3" t="s">
        <v>3141</v>
      </c>
      <c r="Q1179" s="31">
        <v>42748</v>
      </c>
      <c r="R1179" s="3" t="str">
        <f>IFERROR(VLOOKUP(J1179,[1]PL!A:B,2,0),"")</f>
        <v>PSG</v>
      </c>
      <c r="S1179" s="3" t="str">
        <f>IFERROR(VLOOKUP(H1179,[1]Mapa!A:D,4,0),"")</f>
        <v>PSG</v>
      </c>
      <c r="T1179" s="3"/>
      <c r="U1179" s="3"/>
      <c r="V1179" s="3"/>
    </row>
    <row r="1180" spans="1:22">
      <c r="A1180" s="3" t="str">
        <f>VLOOKUP(D1180,[1]Orc!A:B,2,0)</f>
        <v>Not Responded</v>
      </c>
      <c r="B1180" s="31">
        <f>VLOOKUP(D1180,[1]Orc!A:C,3,0)</f>
        <v>42753.738214849538</v>
      </c>
      <c r="C1180" s="31">
        <v>42751.415277777778</v>
      </c>
      <c r="D1180" s="3">
        <v>3035807299</v>
      </c>
      <c r="E1180" s="3" t="s">
        <v>9</v>
      </c>
      <c r="F1180" s="3" t="s">
        <v>101</v>
      </c>
      <c r="G1180" s="3" t="str">
        <f>VLOOKUP(F1180,[1]Mapa!A:B,2,0)</f>
        <v>Lais Silva Pereira</v>
      </c>
      <c r="H1180" s="3" t="s">
        <v>101</v>
      </c>
      <c r="I1180" s="3" t="str">
        <f>VLOOKUP(H1180,[1]Mapa!A:B,2,0)</f>
        <v>Lais Silva Pereira</v>
      </c>
      <c r="J1180" s="3" t="s">
        <v>256</v>
      </c>
      <c r="K1180" s="3" t="str">
        <f t="shared" si="3"/>
        <v>SKILL DIFERENTE</v>
      </c>
      <c r="L1180" s="3" t="s">
        <v>866</v>
      </c>
      <c r="M1180" s="3" t="s">
        <v>59</v>
      </c>
      <c r="N1180" s="3" t="s">
        <v>60</v>
      </c>
      <c r="O1180" s="3" t="s">
        <v>4018</v>
      </c>
      <c r="P1180" s="3" t="s">
        <v>876</v>
      </c>
      <c r="Q1180" s="31">
        <v>42752</v>
      </c>
      <c r="R1180" s="3" t="str">
        <f>IFERROR(VLOOKUP(J1180,[1]PL!A:B,2,0),"")</f>
        <v/>
      </c>
      <c r="S1180" s="3" t="str">
        <f>IFERROR(VLOOKUP(H1180,[1]Mapa!A:D,4,0),"")</f>
        <v>IPG</v>
      </c>
      <c r="T1180" s="3"/>
      <c r="U1180" s="3"/>
      <c r="V1180" s="3"/>
    </row>
    <row r="1181" spans="1:22">
      <c r="A1181" s="3" t="str">
        <f>VLOOKUP(D1181,[1]Orc!A:B,2,0)</f>
        <v>Not Responded</v>
      </c>
      <c r="B1181" s="31">
        <f>VLOOKUP(D1181,[1]Orc!A:C,3,0)</f>
        <v>42753.738214849538</v>
      </c>
      <c r="C1181" s="31">
        <v>42751.441666666666</v>
      </c>
      <c r="D1181" s="3">
        <v>3035748771</v>
      </c>
      <c r="E1181" s="3" t="s">
        <v>31</v>
      </c>
      <c r="F1181" s="3" t="s">
        <v>156</v>
      </c>
      <c r="G1181" s="3" t="str">
        <f>VLOOKUP(F1181,[1]Mapa!A:B,2,0)</f>
        <v>Felipe Alves Barbosa</v>
      </c>
      <c r="H1181" s="3" t="s">
        <v>209</v>
      </c>
      <c r="I1181" s="3" t="str">
        <f>VLOOKUP(H1181,[1]Mapa!A:B,2,0)</f>
        <v>Taina Alexsander Fernandes Pires</v>
      </c>
      <c r="J1181" s="3" t="s">
        <v>93</v>
      </c>
      <c r="K1181" s="3" t="str">
        <f t="shared" si="3"/>
        <v>SKILL DIFERENTE</v>
      </c>
      <c r="L1181" s="3" t="s">
        <v>866</v>
      </c>
      <c r="M1181" s="3" t="s">
        <v>59</v>
      </c>
      <c r="N1181" s="3" t="s">
        <v>60</v>
      </c>
      <c r="O1181" s="3" t="s">
        <v>4217</v>
      </c>
      <c r="P1181" s="3" t="s">
        <v>876</v>
      </c>
      <c r="Q1181" s="31">
        <v>42752</v>
      </c>
      <c r="R1181" s="3" t="str">
        <f>IFERROR(VLOOKUP(J1181,[1]PL!A:B,2,0),"")</f>
        <v>PSG</v>
      </c>
      <c r="S1181" s="3" t="str">
        <f>IFERROR(VLOOKUP(H1181,[1]Mapa!A:D,4,0),"")</f>
        <v>FUPOTECH</v>
      </c>
      <c r="T1181" s="3"/>
      <c r="U1181" s="3"/>
      <c r="V1181" s="3"/>
    </row>
    <row r="1182" spans="1:22">
      <c r="A1182" s="3" t="str">
        <f>VLOOKUP(D1182,[1]Orc!A:B,2,0)</f>
        <v>Bounced Back Emails</v>
      </c>
      <c r="B1182" s="31">
        <f>VLOOKUP(D1182,[1]Orc!A:C,3,0)</f>
        <v>42749.737991238428</v>
      </c>
      <c r="C1182" s="31">
        <v>42747.618750000001</v>
      </c>
      <c r="D1182" s="3">
        <v>3035677291</v>
      </c>
      <c r="E1182" s="3" t="s">
        <v>39</v>
      </c>
      <c r="F1182" s="3" t="s">
        <v>240</v>
      </c>
      <c r="G1182" s="3" t="str">
        <f>VLOOKUP(F1182,[1]Mapa!A:B,2,0)</f>
        <v>Renato Da Silva Andrade</v>
      </c>
      <c r="H1182" s="3" t="s">
        <v>238</v>
      </c>
      <c r="I1182" s="3" t="str">
        <f>VLOOKUP(H1182,[1]Mapa!A:B,2,0)</f>
        <v>Fernando Souza De Almeida</v>
      </c>
      <c r="J1182" s="3" t="s">
        <v>93</v>
      </c>
      <c r="K1182" s="3" t="str">
        <f t="shared" si="3"/>
        <v>SKILL DIFERENTE</v>
      </c>
      <c r="L1182" s="3" t="s">
        <v>871</v>
      </c>
      <c r="M1182" s="3" t="s">
        <v>84</v>
      </c>
      <c r="N1182" s="3" t="s">
        <v>85</v>
      </c>
      <c r="O1182" s="3" t="s">
        <v>3608</v>
      </c>
      <c r="P1182" s="3" t="s">
        <v>867</v>
      </c>
      <c r="Q1182" s="31">
        <v>42749</v>
      </c>
      <c r="R1182" s="3" t="str">
        <f>IFERROR(VLOOKUP(J1182,[1]PL!A:B,2,0),"")</f>
        <v>PSG</v>
      </c>
      <c r="S1182" s="3" t="str">
        <f>IFERROR(VLOOKUP(H1182,[1]Mapa!A:D,4,0),"")</f>
        <v>FUPOTECH</v>
      </c>
      <c r="T1182" s="3"/>
      <c r="U1182" s="3"/>
      <c r="V1182" s="3"/>
    </row>
    <row r="1183" spans="1:22">
      <c r="A1183" s="3" t="str">
        <f>VLOOKUP(D1183,[1]Orc!A:B,2,0)</f>
        <v>Completed Surveys</v>
      </c>
      <c r="B1183" s="31">
        <f>VLOOKUP(D1183,[1]Orc!A:C,3,0)</f>
        <v>42749.738012581016</v>
      </c>
      <c r="C1183" s="31">
        <v>42747.624305555553</v>
      </c>
      <c r="D1183" s="3">
        <v>3035653596</v>
      </c>
      <c r="E1183" s="3" t="s">
        <v>39</v>
      </c>
      <c r="F1183" s="3" t="s">
        <v>234</v>
      </c>
      <c r="G1183" s="3" t="str">
        <f>VLOOKUP(F1183,[1]Mapa!A:B,2,0)</f>
        <v>Levi De Sousa Barros</v>
      </c>
      <c r="H1183" s="3" t="s">
        <v>2986</v>
      </c>
      <c r="I1183" s="3" t="str">
        <f>VLOOKUP(H1183,[1]Mapa!A:B,2,0)</f>
        <v>Patrik Ferreira Araujo</v>
      </c>
      <c r="J1183" s="3" t="s">
        <v>91</v>
      </c>
      <c r="K1183" s="3" t="str">
        <f t="shared" si="3"/>
        <v>SKILL DIFERENTE</v>
      </c>
      <c r="L1183" s="3" t="s">
        <v>871</v>
      </c>
      <c r="M1183" s="3" t="s">
        <v>880</v>
      </c>
      <c r="N1183" s="3" t="s">
        <v>66</v>
      </c>
      <c r="O1183" s="3" t="s">
        <v>3609</v>
      </c>
      <c r="P1183" s="3" t="s">
        <v>867</v>
      </c>
      <c r="Q1183" s="31">
        <v>42749</v>
      </c>
      <c r="R1183" s="3" t="str">
        <f>IFERROR(VLOOKUP(J1183,[1]PL!A:B,2,0),"")</f>
        <v>PSG</v>
      </c>
      <c r="S1183" s="3" t="str">
        <f>IFERROR(VLOOKUP(H1183,[1]Mapa!A:D,4,0),"")</f>
        <v>TCO</v>
      </c>
      <c r="T1183" s="3"/>
      <c r="U1183" s="3"/>
      <c r="V1183" s="3"/>
    </row>
    <row r="1184" spans="1:22">
      <c r="A1184" s="3" t="str">
        <f>VLOOKUP(D1184,[1]Orc!A:B,2,0)</f>
        <v>Not Responded</v>
      </c>
      <c r="B1184" s="31">
        <f>VLOOKUP(D1184,[1]Orc!A:C,3,0)</f>
        <v>42753.738214849538</v>
      </c>
      <c r="C1184" s="31">
        <v>42751.477083333331</v>
      </c>
      <c r="D1184" s="3">
        <v>3035809024</v>
      </c>
      <c r="E1184" s="3" t="s">
        <v>39</v>
      </c>
      <c r="F1184" s="3" t="s">
        <v>231</v>
      </c>
      <c r="G1184" s="3" t="str">
        <f>VLOOKUP(F1184,[1]Mapa!A:B,2,0)</f>
        <v>Lucas Da Silva Pinto</v>
      </c>
      <c r="H1184" s="3" t="s">
        <v>231</v>
      </c>
      <c r="I1184" s="3" t="str">
        <f>VLOOKUP(H1184,[1]Mapa!A:B,2,0)</f>
        <v>Lucas Da Silva Pinto</v>
      </c>
      <c r="J1184" s="3" t="s">
        <v>100</v>
      </c>
      <c r="K1184" s="3" t="str">
        <f t="shared" si="3"/>
        <v>SKILL IGUAL</v>
      </c>
      <c r="L1184" s="3" t="s">
        <v>866</v>
      </c>
      <c r="M1184" s="3" t="s">
        <v>59</v>
      </c>
      <c r="N1184" s="3" t="s">
        <v>60</v>
      </c>
      <c r="O1184" s="3" t="s">
        <v>59</v>
      </c>
      <c r="P1184" s="3" t="s">
        <v>876</v>
      </c>
      <c r="Q1184" s="31">
        <v>42752</v>
      </c>
      <c r="R1184" s="3" t="str">
        <f>IFERROR(VLOOKUP(J1184,[1]PL!A:B,2,0),"")</f>
        <v>PSG</v>
      </c>
      <c r="S1184" s="3" t="str">
        <f>IFERROR(VLOOKUP(H1184,[1]Mapa!A:D,4,0),"")</f>
        <v>PSG</v>
      </c>
      <c r="T1184" s="3"/>
      <c r="U1184" s="3"/>
      <c r="V1184" s="3"/>
    </row>
    <row r="1185" spans="1:22">
      <c r="A1185" s="3" t="str">
        <f>VLOOKUP(D1185,[1]Orc!A:B,2,0)</f>
        <v>Not Responded</v>
      </c>
      <c r="B1185" s="31">
        <f>VLOOKUP(D1185,[1]Orc!A:C,3,0)</f>
        <v>42749.737991238428</v>
      </c>
      <c r="C1185" s="31">
        <v>42747.65625</v>
      </c>
      <c r="D1185" s="3">
        <v>3035518999</v>
      </c>
      <c r="E1185" s="3" t="s">
        <v>39</v>
      </c>
      <c r="F1185" s="3" t="s">
        <v>244</v>
      </c>
      <c r="G1185" s="3" t="str">
        <f>VLOOKUP(F1185,[1]Mapa!A:B,2,0)</f>
        <v>Clarina Praxedes Alfredo</v>
      </c>
      <c r="H1185" s="3" t="s">
        <v>238</v>
      </c>
      <c r="I1185" s="3" t="str">
        <f>VLOOKUP(H1185,[1]Mapa!A:B,2,0)</f>
        <v>Fernando Souza De Almeida</v>
      </c>
      <c r="J1185" s="3" t="s">
        <v>93</v>
      </c>
      <c r="K1185" s="3" t="str">
        <f t="shared" si="3"/>
        <v>SKILL DIFERENTE</v>
      </c>
      <c r="L1185" s="3" t="s">
        <v>866</v>
      </c>
      <c r="M1185" s="3" t="s">
        <v>70</v>
      </c>
      <c r="N1185" s="3" t="s">
        <v>71</v>
      </c>
      <c r="O1185" s="3" t="s">
        <v>921</v>
      </c>
      <c r="P1185" s="3" t="s">
        <v>876</v>
      </c>
      <c r="Q1185" s="31">
        <v>42748</v>
      </c>
      <c r="R1185" s="3" t="str">
        <f>IFERROR(VLOOKUP(J1185,[1]PL!A:B,2,0),"")</f>
        <v>PSG</v>
      </c>
      <c r="S1185" s="3" t="str">
        <f>IFERROR(VLOOKUP(H1185,[1]Mapa!A:D,4,0),"")</f>
        <v>FUPOTECH</v>
      </c>
      <c r="T1185" s="3"/>
      <c r="U1185" s="3"/>
      <c r="V1185" s="3"/>
    </row>
    <row r="1186" spans="1:22">
      <c r="A1186" s="3" t="str">
        <f>VLOOKUP(D1186,[1]Orc!A:B,2,0)</f>
        <v>Completed Surveys</v>
      </c>
      <c r="B1186" s="31">
        <f>VLOOKUP(D1186,[1]Orc!A:C,3,0)</f>
        <v>42749.737991238428</v>
      </c>
      <c r="C1186" s="31">
        <v>42747.668055555558</v>
      </c>
      <c r="D1186" s="3">
        <v>3035685604</v>
      </c>
      <c r="E1186" s="3" t="s">
        <v>31</v>
      </c>
      <c r="F1186" s="3" t="s">
        <v>200</v>
      </c>
      <c r="G1186" s="3" t="str">
        <f>VLOOKUP(F1186,[1]Mapa!A:B,2,0)</f>
        <v>Washington Silva De Oliveira</v>
      </c>
      <c r="H1186" s="3" t="s">
        <v>209</v>
      </c>
      <c r="I1186" s="3" t="str">
        <f>VLOOKUP(H1186,[1]Mapa!A:B,2,0)</f>
        <v>Taina Alexsander Fernandes Pires</v>
      </c>
      <c r="J1186" s="3" t="s">
        <v>93</v>
      </c>
      <c r="K1186" s="3" t="str">
        <f t="shared" si="3"/>
        <v>SKILL DIFERENTE</v>
      </c>
      <c r="L1186" s="3" t="s">
        <v>866</v>
      </c>
      <c r="M1186" s="3" t="s">
        <v>59</v>
      </c>
      <c r="N1186" s="3" t="s">
        <v>60</v>
      </c>
      <c r="O1186" s="3" t="s">
        <v>3610</v>
      </c>
      <c r="P1186" s="3" t="s">
        <v>867</v>
      </c>
      <c r="Q1186" s="31">
        <v>42749</v>
      </c>
      <c r="R1186" s="3" t="str">
        <f>IFERROR(VLOOKUP(J1186,[1]PL!A:B,2,0),"")</f>
        <v>PSG</v>
      </c>
      <c r="S1186" s="3" t="str">
        <f>IFERROR(VLOOKUP(H1186,[1]Mapa!A:D,4,0),"")</f>
        <v>FUPOTECH</v>
      </c>
      <c r="T1186" s="3"/>
      <c r="U1186" s="3"/>
      <c r="V1186" s="3"/>
    </row>
    <row r="1187" spans="1:22">
      <c r="A1187" s="3" t="str">
        <f>VLOOKUP(D1187,[1]Orc!A:B,2,0)</f>
        <v>Completed Surveys</v>
      </c>
      <c r="B1187" s="31">
        <f>VLOOKUP(D1187,[1]Orc!A:C,3,0)</f>
        <v>42753.738214849538</v>
      </c>
      <c r="C1187" s="31">
        <v>42751.555555555555</v>
      </c>
      <c r="D1187" s="3">
        <v>3035754362</v>
      </c>
      <c r="E1187" s="3" t="s">
        <v>31</v>
      </c>
      <c r="F1187" s="3" t="s">
        <v>213</v>
      </c>
      <c r="G1187" s="3" t="str">
        <f>VLOOKUP(F1187,[1]Mapa!A:B,2,0)</f>
        <v>Leonardo Cantilho Maracas</v>
      </c>
      <c r="H1187" s="3" t="s">
        <v>209</v>
      </c>
      <c r="I1187" s="3" t="str">
        <f>VLOOKUP(H1187,[1]Mapa!A:B,2,0)</f>
        <v>Taina Alexsander Fernandes Pires</v>
      </c>
      <c r="J1187" s="3" t="s">
        <v>93</v>
      </c>
      <c r="K1187" s="3" t="str">
        <f t="shared" si="3"/>
        <v>SKILL DIFERENTE</v>
      </c>
      <c r="L1187" s="3" t="s">
        <v>866</v>
      </c>
      <c r="M1187" s="3" t="s">
        <v>59</v>
      </c>
      <c r="N1187" s="3" t="s">
        <v>60</v>
      </c>
      <c r="O1187" s="3" t="s">
        <v>59</v>
      </c>
      <c r="P1187" s="3" t="s">
        <v>876</v>
      </c>
      <c r="Q1187" s="31">
        <v>42752</v>
      </c>
      <c r="R1187" s="3" t="str">
        <f>IFERROR(VLOOKUP(J1187,[1]PL!A:B,2,0),"")</f>
        <v>PSG</v>
      </c>
      <c r="S1187" s="3" t="str">
        <f>IFERROR(VLOOKUP(H1187,[1]Mapa!A:D,4,0),"")</f>
        <v>FUPOTECH</v>
      </c>
      <c r="T1187" s="3"/>
      <c r="U1187" s="3"/>
      <c r="V1187" s="3"/>
    </row>
    <row r="1188" spans="1:22">
      <c r="A1188" s="3" t="str">
        <f>VLOOKUP(D1188,[1]Orc!A:B,2,0)</f>
        <v>Not Responded</v>
      </c>
      <c r="B1188" s="31">
        <f>VLOOKUP(D1188,[1]Orc!A:C,3,0)</f>
        <v>42749.737991238428</v>
      </c>
      <c r="C1188" s="31">
        <v>42747.693749999999</v>
      </c>
      <c r="D1188" s="3">
        <v>3035650943</v>
      </c>
      <c r="E1188" s="3" t="s">
        <v>39</v>
      </c>
      <c r="F1188" s="3" t="s">
        <v>246</v>
      </c>
      <c r="G1188" s="3" t="str">
        <f>VLOOKUP(F1188,[1]Mapa!A:B,2,0)</f>
        <v>Wellington Da Silva De Oliveira</v>
      </c>
      <c r="H1188" s="3" t="s">
        <v>238</v>
      </c>
      <c r="I1188" s="3" t="str">
        <f>VLOOKUP(H1188,[1]Mapa!A:B,2,0)</f>
        <v>Fernando Souza De Almeida</v>
      </c>
      <c r="J1188" s="3" t="s">
        <v>93</v>
      </c>
      <c r="K1188" s="3" t="str">
        <f t="shared" si="3"/>
        <v>SKILL DIFERENTE</v>
      </c>
      <c r="L1188" s="3" t="s">
        <v>866</v>
      </c>
      <c r="M1188" s="3" t="s">
        <v>70</v>
      </c>
      <c r="N1188" s="3" t="s">
        <v>71</v>
      </c>
      <c r="O1188" s="3" t="s">
        <v>3236</v>
      </c>
      <c r="P1188" s="3" t="s">
        <v>867</v>
      </c>
      <c r="Q1188" s="31">
        <v>42748</v>
      </c>
      <c r="R1188" s="3" t="str">
        <f>IFERROR(VLOOKUP(J1188,[1]PL!A:B,2,0),"")</f>
        <v>PSG</v>
      </c>
      <c r="S1188" s="3" t="str">
        <f>IFERROR(VLOOKUP(H1188,[1]Mapa!A:D,4,0),"")</f>
        <v>FUPOTECH</v>
      </c>
      <c r="T1188" s="3"/>
      <c r="U1188" s="3"/>
      <c r="V1188" s="3"/>
    </row>
    <row r="1189" spans="1:22">
      <c r="A1189" s="3" t="str">
        <f>VLOOKUP(D1189,[1]Orc!A:B,2,0)</f>
        <v>Bounced Back Emails</v>
      </c>
      <c r="B1189" s="31">
        <f>VLOOKUP(D1189,[1]Orc!A:C,3,0)</f>
        <v>42749.737991238428</v>
      </c>
      <c r="C1189" s="31">
        <v>42747.7</v>
      </c>
      <c r="D1189" s="3">
        <v>3035627907</v>
      </c>
      <c r="E1189" s="3" t="s">
        <v>39</v>
      </c>
      <c r="F1189" s="3" t="s">
        <v>225</v>
      </c>
      <c r="G1189" s="3" t="str">
        <f>VLOOKUP(F1189,[1]Mapa!A:B,2,0)</f>
        <v>Eduardo Paixao Oliveira</v>
      </c>
      <c r="H1189" s="3" t="s">
        <v>230</v>
      </c>
      <c r="I1189" s="3" t="e">
        <f>VLOOKUP(H1189,[1]Mapa!A:B,2,0)</f>
        <v>#N/A</v>
      </c>
      <c r="J1189" s="3" t="s">
        <v>100</v>
      </c>
      <c r="K1189" s="3" t="str">
        <f t="shared" si="3"/>
        <v>SKILL DIFERENTE</v>
      </c>
      <c r="L1189" s="3" t="s">
        <v>866</v>
      </c>
      <c r="M1189" s="3" t="s">
        <v>70</v>
      </c>
      <c r="N1189" s="3" t="s">
        <v>75</v>
      </c>
      <c r="O1189" s="3" t="s">
        <v>3237</v>
      </c>
      <c r="P1189" s="3" t="s">
        <v>867</v>
      </c>
      <c r="Q1189" s="31">
        <v>42748</v>
      </c>
      <c r="R1189" s="3" t="str">
        <f>IFERROR(VLOOKUP(J1189,[1]PL!A:B,2,0),"")</f>
        <v>PSG</v>
      </c>
      <c r="S1189" s="3" t="str">
        <f>IFERROR(VLOOKUP(H1189,[1]Mapa!A:D,4,0),"")</f>
        <v/>
      </c>
      <c r="T1189" s="3"/>
      <c r="U1189" s="3" t="s">
        <v>3106</v>
      </c>
      <c r="V1189" s="3"/>
    </row>
    <row r="1190" spans="1:22">
      <c r="A1190" s="3" t="e">
        <f>VLOOKUP(D1190,[1]Orc!A:B,2,0)</f>
        <v>#N/A</v>
      </c>
      <c r="B1190" s="31" t="e">
        <f>VLOOKUP(D1190,[1]Orc!A:C,3,0)</f>
        <v>#N/A</v>
      </c>
      <c r="C1190" s="31">
        <v>42747.709722222222</v>
      </c>
      <c r="D1190" s="3">
        <v>3035609048</v>
      </c>
      <c r="E1190" s="3" t="s">
        <v>31</v>
      </c>
      <c r="F1190" s="3" t="s">
        <v>206</v>
      </c>
      <c r="G1190" s="3" t="str">
        <f>VLOOKUP(F1190,[1]Mapa!A:B,2,0)</f>
        <v>Alvani Elizabete Aliano de Oliveira</v>
      </c>
      <c r="H1190" s="3" t="s">
        <v>878</v>
      </c>
      <c r="I1190" s="3" t="str">
        <f>VLOOKUP(H1190,[1]Mapa!A:B,2,0)</f>
        <v>Oliviana Saraiva Almeida</v>
      </c>
      <c r="J1190" s="3" t="s">
        <v>93</v>
      </c>
      <c r="K1190" s="3" t="str">
        <f t="shared" si="3"/>
        <v>SKILL DIFERENTE</v>
      </c>
      <c r="L1190" s="3" t="s">
        <v>871</v>
      </c>
      <c r="M1190" s="3" t="s">
        <v>65</v>
      </c>
      <c r="N1190" s="3" t="s">
        <v>66</v>
      </c>
      <c r="O1190" s="3" t="s">
        <v>885</v>
      </c>
      <c r="P1190" s="3" t="s">
        <v>867</v>
      </c>
      <c r="Q1190" s="31">
        <v>42748</v>
      </c>
      <c r="R1190" s="3" t="str">
        <f>IFERROR(VLOOKUP(J1190,[1]PL!A:B,2,0),"")</f>
        <v>PSG</v>
      </c>
      <c r="S1190" s="3" t="str">
        <f>IFERROR(VLOOKUP(H1190,[1]Mapa!A:D,4,0),"")</f>
        <v>TCO</v>
      </c>
      <c r="T1190" s="3"/>
      <c r="U1190" s="3"/>
      <c r="V1190" s="3"/>
    </row>
    <row r="1191" spans="1:22">
      <c r="A1191" s="3" t="str">
        <f>VLOOKUP(D1191,[1]Orc!A:B,2,0)</f>
        <v>Bounced Back Emails</v>
      </c>
      <c r="B1191" s="31">
        <f>VLOOKUP(D1191,[1]Orc!A:C,3,0)</f>
        <v>42749.737991238428</v>
      </c>
      <c r="C1191" s="31">
        <v>42747.720138888886</v>
      </c>
      <c r="D1191" s="3">
        <v>3035725127</v>
      </c>
      <c r="E1191" s="3" t="s">
        <v>39</v>
      </c>
      <c r="F1191" s="3" t="s">
        <v>225</v>
      </c>
      <c r="G1191" s="3" t="str">
        <f>VLOOKUP(F1191,[1]Mapa!A:B,2,0)</f>
        <v>Eduardo Paixao Oliveira</v>
      </c>
      <c r="H1191" s="3" t="s">
        <v>225</v>
      </c>
      <c r="I1191" s="3" t="str">
        <f>VLOOKUP(H1191,[1]Mapa!A:B,2,0)</f>
        <v>Eduardo Paixao Oliveira</v>
      </c>
      <c r="J1191" s="3" t="s">
        <v>93</v>
      </c>
      <c r="K1191" s="3" t="str">
        <f t="shared" si="3"/>
        <v>SKILL IGUAL</v>
      </c>
      <c r="L1191" s="3" t="s">
        <v>871</v>
      </c>
      <c r="M1191" s="3" t="s">
        <v>84</v>
      </c>
      <c r="N1191" s="3" t="s">
        <v>85</v>
      </c>
      <c r="O1191" s="3" t="s">
        <v>3238</v>
      </c>
      <c r="P1191" s="3" t="s">
        <v>867</v>
      </c>
      <c r="Q1191" s="31">
        <v>42748</v>
      </c>
      <c r="R1191" s="3" t="str">
        <f>IFERROR(VLOOKUP(J1191,[1]PL!A:B,2,0),"")</f>
        <v>PSG</v>
      </c>
      <c r="S1191" s="3" t="str">
        <f>IFERROR(VLOOKUP(H1191,[1]Mapa!A:D,4,0),"")</f>
        <v>PSG</v>
      </c>
      <c r="T1191" s="3"/>
      <c r="U1191" s="3"/>
      <c r="V1191" s="3"/>
    </row>
    <row r="1192" spans="1:22">
      <c r="A1192" s="3" t="str">
        <f>VLOOKUP(D1192,[1]Orc!A:B,2,0)</f>
        <v>Completed Surveys</v>
      </c>
      <c r="B1192" s="31">
        <f>VLOOKUP(D1192,[1]Orc!A:C,3,0)</f>
        <v>42749.737991238428</v>
      </c>
      <c r="C1192" s="31">
        <v>42747.785416666666</v>
      </c>
      <c r="D1192" s="3">
        <v>3035555577</v>
      </c>
      <c r="E1192" s="3" t="s">
        <v>39</v>
      </c>
      <c r="F1192" s="3" t="s">
        <v>250</v>
      </c>
      <c r="G1192" s="3" t="str">
        <f>VLOOKUP(F1192,[1]Mapa!A:B,2,0)</f>
        <v>Filipe Augusto Fernandes De Oliveira</v>
      </c>
      <c r="H1192" s="3" t="s">
        <v>238</v>
      </c>
      <c r="I1192" s="3" t="str">
        <f>VLOOKUP(H1192,[1]Mapa!A:B,2,0)</f>
        <v>Fernando Souza De Almeida</v>
      </c>
      <c r="J1192" s="3" t="s">
        <v>93</v>
      </c>
      <c r="K1192" s="3" t="str">
        <f t="shared" si="3"/>
        <v>SKILL DIFERENTE</v>
      </c>
      <c r="L1192" s="3" t="s">
        <v>866</v>
      </c>
      <c r="M1192" s="3" t="s">
        <v>59</v>
      </c>
      <c r="N1192" s="3" t="s">
        <v>60</v>
      </c>
      <c r="O1192" s="3" t="s">
        <v>218</v>
      </c>
      <c r="P1192" s="3" t="s">
        <v>867</v>
      </c>
      <c r="Q1192" s="31">
        <v>42748</v>
      </c>
      <c r="R1192" s="3" t="str">
        <f>IFERROR(VLOOKUP(J1192,[1]PL!A:B,2,0),"")</f>
        <v>PSG</v>
      </c>
      <c r="S1192" s="3" t="str">
        <f>IFERROR(VLOOKUP(H1192,[1]Mapa!A:D,4,0),"")</f>
        <v>FUPOTECH</v>
      </c>
      <c r="T1192" s="3" t="s">
        <v>3637</v>
      </c>
      <c r="U1192" s="3"/>
      <c r="V1192" s="3"/>
    </row>
    <row r="1193" spans="1:22">
      <c r="A1193" s="3" t="str">
        <f>VLOOKUP(D1193,[1]Orc!A:B,2,0)</f>
        <v>Not Responded</v>
      </c>
      <c r="B1193" s="31">
        <f>VLOOKUP(D1193,[1]Orc!A:C,3,0)</f>
        <v>42749.737991238428</v>
      </c>
      <c r="C1193" s="31">
        <v>42747.818749999999</v>
      </c>
      <c r="D1193" s="3">
        <v>3035618192</v>
      </c>
      <c r="E1193" s="3" t="s">
        <v>23</v>
      </c>
      <c r="F1193" s="3" t="s">
        <v>149</v>
      </c>
      <c r="G1193" s="3" t="str">
        <f>VLOOKUP(F1193,[1]Mapa!A:B,2,0)</f>
        <v>Kaio Victor de Santana</v>
      </c>
      <c r="H1193" s="3" t="s">
        <v>139</v>
      </c>
      <c r="I1193" s="3" t="str">
        <f>VLOOKUP(H1193,[1]Mapa!A:B,2,0)</f>
        <v>Vanderlei Valentim Vieira</v>
      </c>
      <c r="J1193" s="3" t="s">
        <v>93</v>
      </c>
      <c r="K1193" s="3" t="str">
        <f t="shared" si="3"/>
        <v>SKILL DIFERENTE</v>
      </c>
      <c r="L1193" s="3" t="s">
        <v>866</v>
      </c>
      <c r="M1193" s="3" t="s">
        <v>70</v>
      </c>
      <c r="N1193" s="3" t="s">
        <v>75</v>
      </c>
      <c r="O1193" s="3" t="s">
        <v>3239</v>
      </c>
      <c r="P1193" s="3" t="s">
        <v>867</v>
      </c>
      <c r="Q1193" s="31">
        <v>42748</v>
      </c>
      <c r="R1193" s="3" t="str">
        <f>IFERROR(VLOOKUP(J1193,[1]PL!A:B,2,0),"")</f>
        <v>PSG</v>
      </c>
      <c r="S1193" s="3" t="str">
        <f>IFERROR(VLOOKUP(H1193,[1]Mapa!A:D,4,0),"")</f>
        <v>FUPOTECH</v>
      </c>
      <c r="T1193" s="3"/>
      <c r="U1193" s="3"/>
      <c r="V1193" s="3"/>
    </row>
    <row r="1194" spans="1:22">
      <c r="A1194" s="3" t="str">
        <f>VLOOKUP(D1194,[1]Orc!A:B,2,0)</f>
        <v>Not Responded</v>
      </c>
      <c r="B1194" s="31">
        <f>VLOOKUP(D1194,[1]Orc!A:C,3,0)</f>
        <v>42749.737991238428</v>
      </c>
      <c r="C1194" s="31">
        <v>42747.827777777777</v>
      </c>
      <c r="D1194" s="3">
        <v>3035615927</v>
      </c>
      <c r="E1194" s="3" t="s">
        <v>23</v>
      </c>
      <c r="F1194" s="3" t="s">
        <v>179</v>
      </c>
      <c r="G1194" s="3" t="str">
        <f>VLOOKUP(F1194,[1]Mapa!A:B,2,0)</f>
        <v>Victor Arruda Do Carmo</v>
      </c>
      <c r="H1194" s="3" t="s">
        <v>139</v>
      </c>
      <c r="I1194" s="3" t="str">
        <f>VLOOKUP(H1194,[1]Mapa!A:B,2,0)</f>
        <v>Vanderlei Valentim Vieira</v>
      </c>
      <c r="J1194" s="3" t="s">
        <v>93</v>
      </c>
      <c r="K1194" s="3" t="str">
        <f t="shared" si="3"/>
        <v>SKILL DIFERENTE</v>
      </c>
      <c r="L1194" s="3" t="s">
        <v>866</v>
      </c>
      <c r="M1194" s="3" t="s">
        <v>70</v>
      </c>
      <c r="N1194" s="3" t="s">
        <v>886</v>
      </c>
      <c r="O1194" s="3" t="s">
        <v>3240</v>
      </c>
      <c r="P1194" s="3" t="s">
        <v>867</v>
      </c>
      <c r="Q1194" s="31">
        <v>42748</v>
      </c>
      <c r="R1194" s="3" t="str">
        <f>IFERROR(VLOOKUP(J1194,[1]PL!A:B,2,0),"")</f>
        <v>PSG</v>
      </c>
      <c r="S1194" s="3" t="str">
        <f>IFERROR(VLOOKUP(H1194,[1]Mapa!A:D,4,0),"")</f>
        <v>FUPOTECH</v>
      </c>
      <c r="T1194" s="3"/>
      <c r="U1194" s="3"/>
      <c r="V1194" s="3"/>
    </row>
    <row r="1195" spans="1:22">
      <c r="A1195" s="3" t="str">
        <f>VLOOKUP(D1195,[1]Orc!A:B,2,0)</f>
        <v>Completed Surveys</v>
      </c>
      <c r="B1195" s="31">
        <f>VLOOKUP(D1195,[1]Orc!A:C,3,0)</f>
        <v>42753.738214849538</v>
      </c>
      <c r="C1195" s="31">
        <v>42751.704861111109</v>
      </c>
      <c r="D1195" s="3">
        <v>3035821113</v>
      </c>
      <c r="E1195" s="3" t="s">
        <v>39</v>
      </c>
      <c r="F1195" s="3" t="s">
        <v>236</v>
      </c>
      <c r="G1195" s="3" t="str">
        <f>VLOOKUP(F1195,[1]Mapa!A:B,2,0)</f>
        <v>Stefany Aparecida Alexandre De Franca</v>
      </c>
      <c r="H1195" s="3" t="s">
        <v>236</v>
      </c>
      <c r="I1195" s="3" t="str">
        <f>VLOOKUP(H1195,[1]Mapa!A:B,2,0)</f>
        <v>Stefany Aparecida Alexandre De Franca</v>
      </c>
      <c r="J1195" s="3" t="s">
        <v>93</v>
      </c>
      <c r="K1195" s="3" t="str">
        <f t="shared" si="3"/>
        <v>SKILL IGUAL</v>
      </c>
      <c r="L1195" s="3" t="s">
        <v>866</v>
      </c>
      <c r="M1195" s="3" t="s">
        <v>59</v>
      </c>
      <c r="N1195" s="3" t="s">
        <v>60</v>
      </c>
      <c r="O1195" s="3" t="s">
        <v>229</v>
      </c>
      <c r="P1195" s="3" t="s">
        <v>867</v>
      </c>
      <c r="Q1195" s="31">
        <v>42752</v>
      </c>
      <c r="R1195" s="3" t="str">
        <f>IFERROR(VLOOKUP(J1195,[1]PL!A:B,2,0),"")</f>
        <v>PSG</v>
      </c>
      <c r="S1195" s="3" t="str">
        <f>IFERROR(VLOOKUP(H1195,[1]Mapa!A:D,4,0),"")</f>
        <v>PSG</v>
      </c>
      <c r="T1195" s="3"/>
      <c r="U1195" s="3"/>
      <c r="V1195" s="3"/>
    </row>
    <row r="1196" spans="1:22">
      <c r="A1196" s="3" t="str">
        <f>VLOOKUP(D1196,[1]Orc!A:B,2,0)</f>
        <v>Sample Rejected</v>
      </c>
      <c r="B1196" s="31">
        <f>VLOOKUP(D1196,[1]Orc!A:C,3,0)</f>
        <v>42749.737991238428</v>
      </c>
      <c r="C1196" s="31">
        <v>42747.87222222222</v>
      </c>
      <c r="D1196" s="3">
        <v>3035696501</v>
      </c>
      <c r="E1196" s="3" t="s">
        <v>39</v>
      </c>
      <c r="F1196" s="3" t="s">
        <v>250</v>
      </c>
      <c r="G1196" s="3" t="str">
        <f>VLOOKUP(F1196,[1]Mapa!A:B,2,0)</f>
        <v>Filipe Augusto Fernandes De Oliveira</v>
      </c>
      <c r="H1196" s="3" t="s">
        <v>238</v>
      </c>
      <c r="I1196" s="3" t="str">
        <f>VLOOKUP(H1196,[1]Mapa!A:B,2,0)</f>
        <v>Fernando Souza De Almeida</v>
      </c>
      <c r="J1196" s="3" t="s">
        <v>93</v>
      </c>
      <c r="K1196" s="3" t="str">
        <f t="shared" si="3"/>
        <v>SKILL DIFERENTE</v>
      </c>
      <c r="L1196" s="3" t="s">
        <v>866</v>
      </c>
      <c r="M1196" s="3" t="s">
        <v>70</v>
      </c>
      <c r="N1196" s="3" t="s">
        <v>75</v>
      </c>
      <c r="O1196" s="3" t="s">
        <v>3241</v>
      </c>
      <c r="P1196" s="3" t="s">
        <v>867</v>
      </c>
      <c r="Q1196" s="31">
        <v>42748</v>
      </c>
      <c r="R1196" s="3" t="str">
        <f>IFERROR(VLOOKUP(J1196,[1]PL!A:B,2,0),"")</f>
        <v>PSG</v>
      </c>
      <c r="S1196" s="3" t="str">
        <f>IFERROR(VLOOKUP(H1196,[1]Mapa!A:D,4,0),"")</f>
        <v>FUPOTECH</v>
      </c>
      <c r="T1196" s="3"/>
      <c r="U1196" s="3"/>
      <c r="V1196" s="3"/>
    </row>
    <row r="1197" spans="1:22">
      <c r="A1197" s="3" t="str">
        <f>VLOOKUP(D1197,[1]Orc!A:B,2,0)</f>
        <v>Not Responded</v>
      </c>
      <c r="B1197" s="31">
        <f>VLOOKUP(D1197,[1]Orc!A:C,3,0)</f>
        <v>42749.737991238428</v>
      </c>
      <c r="C1197" s="31">
        <v>42747.914583333331</v>
      </c>
      <c r="D1197" s="3">
        <v>3035720702</v>
      </c>
      <c r="E1197" s="3" t="s">
        <v>23</v>
      </c>
      <c r="F1197" s="3" t="s">
        <v>135</v>
      </c>
      <c r="G1197" s="3" t="str">
        <f>VLOOKUP(F1197,[1]Mapa!A:B,2,0)</f>
        <v>Bruno Romualdo Dos Santos</v>
      </c>
      <c r="H1197" s="3" t="s">
        <v>139</v>
      </c>
      <c r="I1197" s="3" t="str">
        <f>VLOOKUP(H1197,[1]Mapa!A:B,2,0)</f>
        <v>Vanderlei Valentim Vieira</v>
      </c>
      <c r="J1197" s="3" t="s">
        <v>93</v>
      </c>
      <c r="K1197" s="3" t="str">
        <f t="shared" si="3"/>
        <v>SKILL DIFERENTE</v>
      </c>
      <c r="L1197" s="3" t="s">
        <v>866</v>
      </c>
      <c r="M1197" s="3" t="s">
        <v>70</v>
      </c>
      <c r="N1197" s="3" t="s">
        <v>75</v>
      </c>
      <c r="O1197" s="3" t="s">
        <v>3242</v>
      </c>
      <c r="P1197" s="3" t="s">
        <v>867</v>
      </c>
      <c r="Q1197" s="31">
        <v>42748</v>
      </c>
      <c r="R1197" s="3" t="str">
        <f>IFERROR(VLOOKUP(J1197,[1]PL!A:B,2,0),"")</f>
        <v>PSG</v>
      </c>
      <c r="S1197" s="3" t="str">
        <f>IFERROR(VLOOKUP(H1197,[1]Mapa!A:D,4,0),"")</f>
        <v>FUPOTECH</v>
      </c>
      <c r="T1197" s="3"/>
      <c r="U1197" s="3"/>
      <c r="V1197" s="3"/>
    </row>
    <row r="1198" spans="1:22">
      <c r="A1198" s="3" t="str">
        <f>VLOOKUP(D1198,[1]Orc!A:B,2,0)</f>
        <v>Bounced Back Emails</v>
      </c>
      <c r="B1198" s="31">
        <f>VLOOKUP(D1198,[1]Orc!A:C,3,0)</f>
        <v>42749.737991238428</v>
      </c>
      <c r="C1198" s="31">
        <v>42747.54583333333</v>
      </c>
      <c r="D1198" s="3">
        <v>3035716137</v>
      </c>
      <c r="E1198" s="3" t="e">
        <v>#N/A</v>
      </c>
      <c r="F1198" s="3" t="s">
        <v>230</v>
      </c>
      <c r="G1198" s="3" t="e">
        <f>VLOOKUP(F1198,[1]Mapa!A:B,2,0)</f>
        <v>#N/A</v>
      </c>
      <c r="H1198" s="3" t="s">
        <v>230</v>
      </c>
      <c r="I1198" s="3" t="e">
        <f>VLOOKUP(H1198,[1]Mapa!A:B,2,0)</f>
        <v>#N/A</v>
      </c>
      <c r="J1198" s="3" t="s">
        <v>256</v>
      </c>
      <c r="K1198" s="3" t="str">
        <f t="shared" si="3"/>
        <v>SKILL IGUAL</v>
      </c>
      <c r="L1198" s="3" t="s">
        <v>866</v>
      </c>
      <c r="M1198" s="3" t="s">
        <v>70</v>
      </c>
      <c r="N1198" s="3" t="s">
        <v>71</v>
      </c>
      <c r="O1198" s="3" t="s">
        <v>3243</v>
      </c>
      <c r="P1198" s="3" t="s">
        <v>867</v>
      </c>
      <c r="Q1198" s="31">
        <v>42748</v>
      </c>
      <c r="R1198" s="3" t="str">
        <f>IFERROR(VLOOKUP(J1198,[1]PL!A:B,2,0),"")</f>
        <v/>
      </c>
      <c r="S1198" s="3" t="str">
        <f>IFERROR(VLOOKUP(H1198,[1]Mapa!A:D,4,0),"")</f>
        <v/>
      </c>
      <c r="T1198" s="3"/>
      <c r="U1198" s="3"/>
      <c r="V1198" s="3"/>
    </row>
    <row r="1199" spans="1:22">
      <c r="A1199" s="3" t="str">
        <f>VLOOKUP(D1199,[1]Orc!A:B,2,0)</f>
        <v>Not Responded</v>
      </c>
      <c r="B1199" s="31">
        <f>VLOOKUP(D1199,[1]Orc!A:C,3,0)</f>
        <v>42753.738214849538</v>
      </c>
      <c r="C1199" s="31">
        <v>42751.723611111112</v>
      </c>
      <c r="D1199" s="3">
        <v>3035766748</v>
      </c>
      <c r="E1199" s="3" t="s">
        <v>39</v>
      </c>
      <c r="F1199" s="3" t="s">
        <v>246</v>
      </c>
      <c r="G1199" s="3" t="str">
        <f>VLOOKUP(F1199,[1]Mapa!A:B,2,0)</f>
        <v>Wellington Da Silva De Oliveira</v>
      </c>
      <c r="H1199" s="3" t="s">
        <v>238</v>
      </c>
      <c r="I1199" s="3" t="str">
        <f>VLOOKUP(H1199,[1]Mapa!A:B,2,0)</f>
        <v>Fernando Souza De Almeida</v>
      </c>
      <c r="J1199" s="3" t="s">
        <v>93</v>
      </c>
      <c r="K1199" s="3" t="str">
        <f t="shared" si="3"/>
        <v>SKILL DIFERENTE</v>
      </c>
      <c r="L1199" s="3" t="s">
        <v>866</v>
      </c>
      <c r="M1199" s="3" t="s">
        <v>59</v>
      </c>
      <c r="N1199" s="3" t="s">
        <v>60</v>
      </c>
      <c r="O1199" s="3" t="s">
        <v>123</v>
      </c>
      <c r="P1199" s="3" t="s">
        <v>867</v>
      </c>
      <c r="Q1199" s="31">
        <v>42752</v>
      </c>
      <c r="R1199" s="3" t="str">
        <f>IFERROR(VLOOKUP(J1199,[1]PL!A:B,2,0),"")</f>
        <v>PSG</v>
      </c>
      <c r="S1199" s="3" t="str">
        <f>IFERROR(VLOOKUP(H1199,[1]Mapa!A:D,4,0),"")</f>
        <v>FUPOTECH</v>
      </c>
      <c r="T1199" s="3"/>
      <c r="U1199" s="3"/>
      <c r="V1199" s="3"/>
    </row>
    <row r="1200" spans="1:22">
      <c r="A1200" s="3" t="str">
        <f>VLOOKUP(D1200,[1]Orc!A:B,2,0)</f>
        <v>Bounced Back Emails</v>
      </c>
      <c r="B1200" s="31">
        <f>VLOOKUP(D1200,[1]Orc!A:C,3,0)</f>
        <v>42749.737991238428</v>
      </c>
      <c r="C1200" s="31">
        <v>42747.689583333333</v>
      </c>
      <c r="D1200" s="3">
        <v>3035679271</v>
      </c>
      <c r="E1200" s="3" t="s">
        <v>31</v>
      </c>
      <c r="F1200" s="3" t="s">
        <v>227</v>
      </c>
      <c r="G1200" s="3" t="str">
        <f>VLOOKUP(F1200,[1]Mapa!A:B,2,0)</f>
        <v>Bruno Henrique Padua Colella</v>
      </c>
      <c r="H1200" s="3" t="s">
        <v>227</v>
      </c>
      <c r="I1200" s="3" t="str">
        <f>VLOOKUP(H1200,[1]Mapa!A:B,2,0)</f>
        <v>Bruno Henrique Padua Colella</v>
      </c>
      <c r="J1200" s="3" t="s">
        <v>3245</v>
      </c>
      <c r="K1200" s="3" t="str">
        <f t="shared" si="3"/>
        <v>SKILL DIFERENTE</v>
      </c>
      <c r="L1200" s="3" t="s">
        <v>866</v>
      </c>
      <c r="M1200" s="3" t="s">
        <v>70</v>
      </c>
      <c r="N1200" s="3" t="s">
        <v>71</v>
      </c>
      <c r="O1200" s="3" t="s">
        <v>3246</v>
      </c>
      <c r="P1200" s="3" t="s">
        <v>867</v>
      </c>
      <c r="Q1200" s="31">
        <v>42748</v>
      </c>
      <c r="R1200" s="3" t="str">
        <f>IFERROR(VLOOKUP(J1200,[1]PL!A:B,2,0),"")</f>
        <v/>
      </c>
      <c r="S1200" s="3" t="str">
        <f>IFERROR(VLOOKUP(H1200,[1]Mapa!A:D,4,0),"")</f>
        <v>PSG</v>
      </c>
      <c r="T1200" s="3"/>
      <c r="U1200" s="3"/>
      <c r="V1200" s="3"/>
    </row>
    <row r="1201" spans="1:22">
      <c r="A1201" s="3" t="str">
        <f>VLOOKUP(D1201,[1]Orc!A:B,2,0)</f>
        <v>Not Responded</v>
      </c>
      <c r="B1201" s="31">
        <f>VLOOKUP(D1201,[1]Orc!A:C,3,0)</f>
        <v>42750.735881944442</v>
      </c>
      <c r="C1201" s="31">
        <v>42748.38958333333</v>
      </c>
      <c r="D1201" s="3">
        <v>3035641907</v>
      </c>
      <c r="E1201" s="3" t="s">
        <v>31</v>
      </c>
      <c r="F1201" s="3" t="s">
        <v>227</v>
      </c>
      <c r="G1201" s="3" t="str">
        <f>VLOOKUP(F1201,[1]Mapa!A:B,2,0)</f>
        <v>Bruno Henrique Padua Colella</v>
      </c>
      <c r="H1201" s="3" t="s">
        <v>209</v>
      </c>
      <c r="I1201" s="3" t="str">
        <f>VLOOKUP(H1201,[1]Mapa!A:B,2,0)</f>
        <v>Taina Alexsander Fernandes Pires</v>
      </c>
      <c r="J1201" s="3" t="s">
        <v>93</v>
      </c>
      <c r="K1201" s="3" t="str">
        <f t="shared" si="3"/>
        <v>SKILL DIFERENTE</v>
      </c>
      <c r="L1201" s="3" t="s">
        <v>866</v>
      </c>
      <c r="M1201" s="3" t="s">
        <v>70</v>
      </c>
      <c r="N1201" s="3" t="s">
        <v>71</v>
      </c>
      <c r="O1201" s="3" t="s">
        <v>3611</v>
      </c>
      <c r="P1201" s="3" t="s">
        <v>876</v>
      </c>
      <c r="Q1201" s="31">
        <v>42749</v>
      </c>
      <c r="R1201" s="3" t="str">
        <f>IFERROR(VLOOKUP(J1201,[1]PL!A:B,2,0),"")</f>
        <v>PSG</v>
      </c>
      <c r="S1201" s="3" t="str">
        <f>IFERROR(VLOOKUP(H1201,[1]Mapa!A:D,4,0),"")</f>
        <v>FUPOTECH</v>
      </c>
      <c r="T1201" s="3"/>
      <c r="U1201" s="3"/>
      <c r="V1201" s="3"/>
    </row>
    <row r="1202" spans="1:22">
      <c r="A1202" s="3" t="str">
        <f>VLOOKUP(D1202,[1]Orc!A:B,2,0)</f>
        <v>Not Responded</v>
      </c>
      <c r="B1202" s="31">
        <f>VLOOKUP(D1202,[1]Orc!A:C,3,0)</f>
        <v>42750.735881944442</v>
      </c>
      <c r="C1202" s="31">
        <v>42748.393055555556</v>
      </c>
      <c r="D1202" s="3">
        <v>3035746538</v>
      </c>
      <c r="E1202" s="3" t="s">
        <v>31</v>
      </c>
      <c r="F1202" s="3" t="s">
        <v>200</v>
      </c>
      <c r="G1202" s="3" t="str">
        <f>VLOOKUP(F1202,[1]Mapa!A:B,2,0)</f>
        <v>Washington Silva De Oliveira</v>
      </c>
      <c r="H1202" s="3" t="s">
        <v>200</v>
      </c>
      <c r="I1202" s="3" t="str">
        <f>VLOOKUP(H1202,[1]Mapa!A:B,2,0)</f>
        <v>Washington Silva De Oliveira</v>
      </c>
      <c r="J1202" s="3" t="s">
        <v>93</v>
      </c>
      <c r="K1202" s="3" t="str">
        <f t="shared" si="3"/>
        <v>SKILL IGUAL</v>
      </c>
      <c r="L1202" s="3" t="s">
        <v>866</v>
      </c>
      <c r="M1202" s="3" t="s">
        <v>70</v>
      </c>
      <c r="N1202" s="3" t="s">
        <v>75</v>
      </c>
      <c r="O1202" s="3" t="s">
        <v>3612</v>
      </c>
      <c r="P1202" s="3" t="s">
        <v>876</v>
      </c>
      <c r="Q1202" s="31">
        <v>42749</v>
      </c>
      <c r="R1202" s="3" t="str">
        <f>IFERROR(VLOOKUP(J1202,[1]PL!A:B,2,0),"")</f>
        <v>PSG</v>
      </c>
      <c r="S1202" s="3" t="str">
        <f>IFERROR(VLOOKUP(H1202,[1]Mapa!A:D,4,0),"")</f>
        <v>PSG</v>
      </c>
      <c r="T1202" s="3"/>
      <c r="U1202" s="3"/>
      <c r="V1202" s="3"/>
    </row>
    <row r="1203" spans="1:22">
      <c r="A1203" s="3" t="e">
        <f>VLOOKUP(D1203,[1]Orc!A:B,2,0)</f>
        <v>#N/A</v>
      </c>
      <c r="B1203" s="31" t="e">
        <f>VLOOKUP(D1203,[1]Orc!A:C,3,0)</f>
        <v>#N/A</v>
      </c>
      <c r="C1203" s="31">
        <v>42748.394444444442</v>
      </c>
      <c r="D1203" s="3">
        <v>3035328584</v>
      </c>
      <c r="E1203" s="3" t="s">
        <v>52</v>
      </c>
      <c r="F1203" s="3" t="s">
        <v>316</v>
      </c>
      <c r="G1203" s="3" t="str">
        <f>VLOOKUP(F1203,[1]Mapa!A:B,2,0)</f>
        <v>Patrik Alexandre Ramos</v>
      </c>
      <c r="H1203" s="3" t="s">
        <v>103</v>
      </c>
      <c r="I1203" s="3" t="str">
        <f>VLOOKUP(H1203,[1]Mapa!A:B,2,0)</f>
        <v>Anderson Soares Silveira</v>
      </c>
      <c r="J1203" s="3" t="s">
        <v>93</v>
      </c>
      <c r="K1203" s="3" t="str">
        <f t="shared" ref="K1203:K1266" si="4">IFERROR(IF(S1203=R1203,"SKILL IGUAL","SKILL DIFERENTE"),"-")</f>
        <v>SKILL DIFERENTE</v>
      </c>
      <c r="L1203" s="3" t="s">
        <v>871</v>
      </c>
      <c r="M1203" s="3" t="s">
        <v>65</v>
      </c>
      <c r="N1203" s="3" t="s">
        <v>66</v>
      </c>
      <c r="O1203" s="3" t="s">
        <v>65</v>
      </c>
      <c r="P1203" s="3" t="s">
        <v>876</v>
      </c>
      <c r="Q1203" s="31">
        <v>42749</v>
      </c>
      <c r="R1203" s="3" t="str">
        <f>IFERROR(VLOOKUP(J1203,[1]PL!A:B,2,0),"")</f>
        <v>PSG</v>
      </c>
      <c r="S1203" s="3" t="str">
        <f>IFERROR(VLOOKUP(H1203,[1]Mapa!A:D,4,0),"")</f>
        <v>TCO</v>
      </c>
      <c r="T1203" s="3"/>
      <c r="U1203" s="3"/>
      <c r="V1203" s="3"/>
    </row>
    <row r="1204" spans="1:22">
      <c r="A1204" s="3" t="str">
        <f>VLOOKUP(D1204,[1]Orc!A:B,2,0)</f>
        <v>Completed Surveys</v>
      </c>
      <c r="B1204" s="31">
        <f>VLOOKUP(D1204,[1]Orc!A:C,3,0)</f>
        <v>42750.735881944442</v>
      </c>
      <c r="C1204" s="31">
        <v>42748.398611111108</v>
      </c>
      <c r="D1204" s="3">
        <v>3035647564</v>
      </c>
      <c r="E1204" s="3" t="s">
        <v>31</v>
      </c>
      <c r="F1204" s="3" t="s">
        <v>223</v>
      </c>
      <c r="G1204" s="3" t="str">
        <f>VLOOKUP(F1204,[1]Mapa!A:B,2,0)</f>
        <v>Daniel Sousa Pinheiro</v>
      </c>
      <c r="H1204" s="3" t="s">
        <v>209</v>
      </c>
      <c r="I1204" s="3" t="str">
        <f>VLOOKUP(H1204,[1]Mapa!A:B,2,0)</f>
        <v>Taina Alexsander Fernandes Pires</v>
      </c>
      <c r="J1204" s="3" t="s">
        <v>100</v>
      </c>
      <c r="K1204" s="3" t="str">
        <f t="shared" si="4"/>
        <v>SKILL DIFERENTE</v>
      </c>
      <c r="L1204" s="3" t="s">
        <v>866</v>
      </c>
      <c r="M1204" s="3" t="s">
        <v>59</v>
      </c>
      <c r="N1204" s="3" t="s">
        <v>60</v>
      </c>
      <c r="O1204" s="3" t="s">
        <v>182</v>
      </c>
      <c r="P1204" s="3" t="s">
        <v>876</v>
      </c>
      <c r="Q1204" s="31">
        <v>42751</v>
      </c>
      <c r="R1204" s="3" t="str">
        <f>IFERROR(VLOOKUP(J1204,[1]PL!A:B,2,0),"")</f>
        <v>PSG</v>
      </c>
      <c r="S1204" s="3" t="str">
        <f>IFERROR(VLOOKUP(H1204,[1]Mapa!A:D,4,0),"")</f>
        <v>FUPOTECH</v>
      </c>
      <c r="T1204" s="3"/>
      <c r="U1204" s="3"/>
      <c r="V1204" s="3"/>
    </row>
    <row r="1205" spans="1:22">
      <c r="A1205" s="3" t="str">
        <f>VLOOKUP(D1205,[1]Orc!A:B,2,0)</f>
        <v>Sample Rejected</v>
      </c>
      <c r="B1205" s="31">
        <f>VLOOKUP(D1205,[1]Orc!A:C,3,0)</f>
        <v>42750.735881944442</v>
      </c>
      <c r="C1205" s="31">
        <v>42748.4</v>
      </c>
      <c r="D1205" s="3">
        <v>3035746901</v>
      </c>
      <c r="E1205" s="3" t="s">
        <v>31</v>
      </c>
      <c r="F1205" s="3" t="s">
        <v>213</v>
      </c>
      <c r="G1205" s="3" t="str">
        <f>VLOOKUP(F1205,[1]Mapa!A:B,2,0)</f>
        <v>Leonardo Cantilho Maracas</v>
      </c>
      <c r="H1205" s="3" t="s">
        <v>213</v>
      </c>
      <c r="I1205" s="3" t="str">
        <f>VLOOKUP(H1205,[1]Mapa!A:B,2,0)</f>
        <v>Leonardo Cantilho Maracas</v>
      </c>
      <c r="J1205" s="3" t="s">
        <v>93</v>
      </c>
      <c r="K1205" s="3" t="str">
        <f t="shared" si="4"/>
        <v>SKILL IGUAL</v>
      </c>
      <c r="L1205" s="3" t="s">
        <v>871</v>
      </c>
      <c r="M1205" s="3" t="s">
        <v>932</v>
      </c>
      <c r="N1205" s="3" t="s">
        <v>85</v>
      </c>
      <c r="O1205" s="3" t="s">
        <v>84</v>
      </c>
      <c r="P1205" s="3" t="s">
        <v>876</v>
      </c>
      <c r="Q1205" s="31">
        <v>42749</v>
      </c>
      <c r="R1205" s="3" t="str">
        <f>IFERROR(VLOOKUP(J1205,[1]PL!A:B,2,0),"")</f>
        <v>PSG</v>
      </c>
      <c r="S1205" s="3" t="str">
        <f>IFERROR(VLOOKUP(H1205,[1]Mapa!A:D,4,0),"")</f>
        <v>PSG</v>
      </c>
      <c r="T1205" s="3"/>
      <c r="U1205" s="3"/>
      <c r="V1205" s="3"/>
    </row>
    <row r="1206" spans="1:22">
      <c r="A1206" s="3" t="str">
        <f>VLOOKUP(D1206,[1]Orc!A:B,2,0)</f>
        <v>Not Responded</v>
      </c>
      <c r="B1206" s="31">
        <f>VLOOKUP(D1206,[1]Orc!A:C,3,0)</f>
        <v>42750.735881944442</v>
      </c>
      <c r="C1206" s="31">
        <v>42748.4</v>
      </c>
      <c r="D1206" s="3">
        <v>3035442431</v>
      </c>
      <c r="E1206" s="3" t="s">
        <v>9</v>
      </c>
      <c r="F1206" s="3" t="s">
        <v>111</v>
      </c>
      <c r="G1206" s="3" t="str">
        <f>VLOOKUP(F1206,[1]Mapa!A:B,2,0)</f>
        <v>Zaelly Suerfia Ferreira da Costa</v>
      </c>
      <c r="H1206" s="3" t="s">
        <v>82</v>
      </c>
      <c r="I1206" s="3" t="str">
        <f>VLOOKUP(H1206,[1]Mapa!A:B,2,0)</f>
        <v>Jonatas Gomes Tenorio</v>
      </c>
      <c r="J1206" s="3" t="s">
        <v>93</v>
      </c>
      <c r="K1206" s="3" t="str">
        <f t="shared" si="4"/>
        <v>SKILL DIFERENTE</v>
      </c>
      <c r="L1206" s="3" t="s">
        <v>866</v>
      </c>
      <c r="M1206" s="3" t="s">
        <v>70</v>
      </c>
      <c r="N1206" s="3" t="s">
        <v>71</v>
      </c>
      <c r="O1206" s="3" t="s">
        <v>4214</v>
      </c>
      <c r="P1206" s="3" t="s">
        <v>867</v>
      </c>
      <c r="Q1206" s="31">
        <v>42752</v>
      </c>
      <c r="R1206" s="3" t="str">
        <f>IFERROR(VLOOKUP(J1206,[1]PL!A:B,2,0),"")</f>
        <v>PSG</v>
      </c>
      <c r="S1206" s="3" t="str">
        <f>IFERROR(VLOOKUP(H1206,[1]Mapa!A:D,4,0),"")</f>
        <v>IPG</v>
      </c>
      <c r="T1206" s="3"/>
      <c r="U1206" s="3"/>
      <c r="V1206" s="3"/>
    </row>
    <row r="1207" spans="1:22">
      <c r="A1207" s="3" t="str">
        <f>VLOOKUP(D1207,[1]Orc!A:B,2,0)</f>
        <v>Not Responded</v>
      </c>
      <c r="B1207" s="31">
        <f>VLOOKUP(D1207,[1]Orc!A:C,3,0)</f>
        <v>42750.735881944442</v>
      </c>
      <c r="C1207" s="31">
        <v>42748.40902777778</v>
      </c>
      <c r="D1207" s="3">
        <v>3035473171</v>
      </c>
      <c r="E1207" s="3" t="s">
        <v>9</v>
      </c>
      <c r="F1207" s="3" t="s">
        <v>111</v>
      </c>
      <c r="G1207" s="3" t="str">
        <f>VLOOKUP(F1207,[1]Mapa!A:B,2,0)</f>
        <v>Zaelly Suerfia Ferreira da Costa</v>
      </c>
      <c r="H1207" s="3" t="s">
        <v>82</v>
      </c>
      <c r="I1207" s="3" t="str">
        <f>VLOOKUP(H1207,[1]Mapa!A:B,2,0)</f>
        <v>Jonatas Gomes Tenorio</v>
      </c>
      <c r="J1207" s="3" t="s">
        <v>100</v>
      </c>
      <c r="K1207" s="3" t="str">
        <f t="shared" si="4"/>
        <v>SKILL DIFERENTE</v>
      </c>
      <c r="L1207" s="3" t="s">
        <v>866</v>
      </c>
      <c r="M1207" s="3" t="s">
        <v>70</v>
      </c>
      <c r="N1207" s="3" t="s">
        <v>75</v>
      </c>
      <c r="O1207" s="3" t="s">
        <v>921</v>
      </c>
      <c r="P1207" s="3" t="s">
        <v>876</v>
      </c>
      <c r="Q1207" s="31">
        <v>42749</v>
      </c>
      <c r="R1207" s="3" t="str">
        <f>IFERROR(VLOOKUP(J1207,[1]PL!A:B,2,0),"")</f>
        <v>PSG</v>
      </c>
      <c r="S1207" s="3" t="str">
        <f>IFERROR(VLOOKUP(H1207,[1]Mapa!A:D,4,0),"")</f>
        <v>IPG</v>
      </c>
      <c r="T1207" s="3"/>
      <c r="U1207" s="3"/>
      <c r="V1207" s="3"/>
    </row>
    <row r="1208" spans="1:22">
      <c r="A1208" s="3" t="str">
        <f>VLOOKUP(D1208,[1]Orc!A:B,2,0)</f>
        <v>Not Responded</v>
      </c>
      <c r="B1208" s="31">
        <f>VLOOKUP(D1208,[1]Orc!A:C,3,0)</f>
        <v>42752.736192164353</v>
      </c>
      <c r="C1208" s="31">
        <v>42751.82916666667</v>
      </c>
      <c r="D1208" s="3">
        <v>3035413008</v>
      </c>
      <c r="E1208" s="3" t="s">
        <v>23</v>
      </c>
      <c r="F1208" s="3" t="s">
        <v>191</v>
      </c>
      <c r="G1208" s="3" t="str">
        <f>VLOOKUP(F1208,[1]Mapa!A:B,2,0)</f>
        <v>David Quirino de Melo</v>
      </c>
      <c r="H1208" s="3" t="s">
        <v>139</v>
      </c>
      <c r="I1208" s="3" t="str">
        <f>VLOOKUP(H1208,[1]Mapa!A:B,2,0)</f>
        <v>Vanderlei Valentim Vieira</v>
      </c>
      <c r="J1208" s="3" t="s">
        <v>93</v>
      </c>
      <c r="K1208" s="3" t="str">
        <f t="shared" si="4"/>
        <v>SKILL DIFERENTE</v>
      </c>
      <c r="L1208" s="3" t="s">
        <v>866</v>
      </c>
      <c r="M1208" s="3" t="s">
        <v>59</v>
      </c>
      <c r="N1208" s="3" t="s">
        <v>60</v>
      </c>
      <c r="O1208" s="3" t="s">
        <v>218</v>
      </c>
      <c r="P1208" s="3" t="s">
        <v>867</v>
      </c>
      <c r="Q1208" s="31">
        <v>42752</v>
      </c>
      <c r="R1208" s="3" t="str">
        <f>IFERROR(VLOOKUP(J1208,[1]PL!A:B,2,0),"")</f>
        <v>PSG</v>
      </c>
      <c r="S1208" s="3" t="str">
        <f>IFERROR(VLOOKUP(H1208,[1]Mapa!A:D,4,0),"")</f>
        <v>FUPOTECH</v>
      </c>
      <c r="T1208" s="3"/>
      <c r="U1208" s="3"/>
      <c r="V1208" s="3"/>
    </row>
    <row r="1209" spans="1:22">
      <c r="A1209" s="3" t="str">
        <f>VLOOKUP(D1209,[1]Orc!A:B,2,0)</f>
        <v>Not Responded</v>
      </c>
      <c r="B1209" s="31">
        <f>VLOOKUP(D1209,[1]Orc!A:C,3,0)</f>
        <v>42753.738214849538</v>
      </c>
      <c r="C1209" s="31">
        <v>42751.854166666664</v>
      </c>
      <c r="D1209" s="3">
        <v>3035766333</v>
      </c>
      <c r="E1209" s="3" t="s">
        <v>39</v>
      </c>
      <c r="F1209" s="3" t="s">
        <v>246</v>
      </c>
      <c r="G1209" s="3" t="str">
        <f>VLOOKUP(F1209,[1]Mapa!A:B,2,0)</f>
        <v>Wellington Da Silva De Oliveira</v>
      </c>
      <c r="H1209" s="3" t="s">
        <v>238</v>
      </c>
      <c r="I1209" s="3" t="str">
        <f>VLOOKUP(H1209,[1]Mapa!A:B,2,0)</f>
        <v>Fernando Souza De Almeida</v>
      </c>
      <c r="J1209" s="3" t="s">
        <v>93</v>
      </c>
      <c r="K1209" s="3" t="str">
        <f t="shared" si="4"/>
        <v>SKILL DIFERENTE</v>
      </c>
      <c r="L1209" s="3" t="s">
        <v>866</v>
      </c>
      <c r="M1209" s="3" t="s">
        <v>59</v>
      </c>
      <c r="N1209" s="3" t="s">
        <v>60</v>
      </c>
      <c r="O1209" s="3" t="s">
        <v>218</v>
      </c>
      <c r="P1209" s="3" t="s">
        <v>867</v>
      </c>
      <c r="Q1209" s="31">
        <v>42752</v>
      </c>
      <c r="R1209" s="3" t="str">
        <f>IFERROR(VLOOKUP(J1209,[1]PL!A:B,2,0),"")</f>
        <v>PSG</v>
      </c>
      <c r="S1209" s="3" t="str">
        <f>IFERROR(VLOOKUP(H1209,[1]Mapa!A:D,4,0),"")</f>
        <v>FUPOTECH</v>
      </c>
      <c r="T1209" s="3"/>
      <c r="U1209" s="3"/>
      <c r="V1209" s="3"/>
    </row>
    <row r="1210" spans="1:22">
      <c r="A1210" s="3" t="str">
        <f>VLOOKUP(D1210,[1]Orc!A:B,2,0)</f>
        <v>Completed Surveys</v>
      </c>
      <c r="B1210" s="31">
        <f>VLOOKUP(D1210,[1]Orc!A:C,3,0)</f>
        <v>42753.738214849538</v>
      </c>
      <c r="C1210" s="31">
        <v>42751.857638888891</v>
      </c>
      <c r="D1210" s="3">
        <v>3035621601</v>
      </c>
      <c r="E1210" s="3" t="s">
        <v>39</v>
      </c>
      <c r="F1210" s="3" t="s">
        <v>225</v>
      </c>
      <c r="G1210" s="3" t="str">
        <f>VLOOKUP(F1210,[1]Mapa!A:B,2,0)</f>
        <v>Eduardo Paixao Oliveira</v>
      </c>
      <c r="H1210" s="3" t="s">
        <v>236</v>
      </c>
      <c r="I1210" s="3" t="str">
        <f>VLOOKUP(H1210,[1]Mapa!A:B,2,0)</f>
        <v>Stefany Aparecida Alexandre De Franca</v>
      </c>
      <c r="J1210" s="3" t="s">
        <v>100</v>
      </c>
      <c r="K1210" s="3" t="str">
        <f t="shared" si="4"/>
        <v>SKILL IGUAL</v>
      </c>
      <c r="L1210" s="3" t="s">
        <v>866</v>
      </c>
      <c r="M1210" s="3" t="s">
        <v>59</v>
      </c>
      <c r="N1210" s="3" t="s">
        <v>60</v>
      </c>
      <c r="O1210" s="3" t="s">
        <v>59</v>
      </c>
      <c r="P1210" s="3" t="s">
        <v>867</v>
      </c>
      <c r="Q1210" s="31">
        <v>42752</v>
      </c>
      <c r="R1210" s="3" t="str">
        <f>IFERROR(VLOOKUP(J1210,[1]PL!A:B,2,0),"")</f>
        <v>PSG</v>
      </c>
      <c r="S1210" s="3" t="str">
        <f>IFERROR(VLOOKUP(H1210,[1]Mapa!A:D,4,0),"")</f>
        <v>PSG</v>
      </c>
      <c r="T1210" s="3"/>
      <c r="U1210" s="3"/>
      <c r="V1210" s="3"/>
    </row>
    <row r="1211" spans="1:22">
      <c r="A1211" s="3" t="e">
        <f>VLOOKUP(D1211,[1]Orc!A:B,2,0)</f>
        <v>#N/A</v>
      </c>
      <c r="B1211" s="31" t="e">
        <f>VLOOKUP(D1211,[1]Orc!A:C,3,0)</f>
        <v>#N/A</v>
      </c>
      <c r="C1211" s="31">
        <v>42748.463888888888</v>
      </c>
      <c r="D1211" s="3">
        <v>3035169806</v>
      </c>
      <c r="E1211" s="3" t="s">
        <v>9</v>
      </c>
      <c r="F1211" s="3" t="s">
        <v>158</v>
      </c>
      <c r="G1211" s="3" t="str">
        <f>VLOOKUP(F1211,[1]Mapa!A:B,2,0)</f>
        <v>Denyse Souza Santos</v>
      </c>
      <c r="H1211" s="3" t="s">
        <v>878</v>
      </c>
      <c r="I1211" s="3" t="str">
        <f>VLOOKUP(H1211,[1]Mapa!A:B,2,0)</f>
        <v>Oliviana Saraiva Almeida</v>
      </c>
      <c r="J1211" s="3" t="s">
        <v>100</v>
      </c>
      <c r="K1211" s="3" t="str">
        <f t="shared" si="4"/>
        <v>SKILL DIFERENTE</v>
      </c>
      <c r="L1211" s="3" t="s">
        <v>871</v>
      </c>
      <c r="M1211" s="3" t="s">
        <v>65</v>
      </c>
      <c r="N1211" s="3" t="s">
        <v>66</v>
      </c>
      <c r="O1211" s="3" t="s">
        <v>65</v>
      </c>
      <c r="P1211" s="3" t="s">
        <v>876</v>
      </c>
      <c r="Q1211" s="31">
        <v>42749</v>
      </c>
      <c r="R1211" s="3" t="str">
        <f>IFERROR(VLOOKUP(J1211,[1]PL!A:B,2,0),"")</f>
        <v>PSG</v>
      </c>
      <c r="S1211" s="3" t="str">
        <f>IFERROR(VLOOKUP(H1211,[1]Mapa!A:D,4,0),"")</f>
        <v>TCO</v>
      </c>
      <c r="T1211" s="3"/>
      <c r="U1211" s="3"/>
      <c r="V1211" s="3"/>
    </row>
    <row r="1212" spans="1:22">
      <c r="A1212" s="3" t="str">
        <f>VLOOKUP(D1212,[1]Orc!A:B,2,0)</f>
        <v>Completed Surveys</v>
      </c>
      <c r="B1212" s="31">
        <f>VLOOKUP(D1212,[1]Orc!A:C,3,0)</f>
        <v>42750.735881944442</v>
      </c>
      <c r="C1212" s="31">
        <v>42748.474305555559</v>
      </c>
      <c r="D1212" s="3">
        <v>3035712639</v>
      </c>
      <c r="E1212" s="3" t="s">
        <v>31</v>
      </c>
      <c r="F1212" s="3" t="s">
        <v>221</v>
      </c>
      <c r="G1212" s="3" t="str">
        <f>VLOOKUP(F1212,[1]Mapa!A:B,2,0)</f>
        <v>Fabio Perez Da Silva</v>
      </c>
      <c r="H1212" s="3" t="s">
        <v>209</v>
      </c>
      <c r="I1212" s="3" t="str">
        <f>VLOOKUP(H1212,[1]Mapa!A:B,2,0)</f>
        <v>Taina Alexsander Fernandes Pires</v>
      </c>
      <c r="J1212" s="3" t="s">
        <v>93</v>
      </c>
      <c r="K1212" s="3" t="str">
        <f t="shared" si="4"/>
        <v>SKILL DIFERENTE</v>
      </c>
      <c r="L1212" s="3" t="s">
        <v>866</v>
      </c>
      <c r="M1212" s="3" t="s">
        <v>59</v>
      </c>
      <c r="N1212" s="3" t="s">
        <v>60</v>
      </c>
      <c r="O1212" s="3" t="s">
        <v>3662</v>
      </c>
      <c r="P1212" s="3" t="s">
        <v>876</v>
      </c>
      <c r="Q1212" s="31">
        <v>42751</v>
      </c>
      <c r="R1212" s="3" t="str">
        <f>IFERROR(VLOOKUP(J1212,[1]PL!A:B,2,0),"")</f>
        <v>PSG</v>
      </c>
      <c r="S1212" s="3" t="str">
        <f>IFERROR(VLOOKUP(H1212,[1]Mapa!A:D,4,0),"")</f>
        <v>FUPOTECH</v>
      </c>
      <c r="T1212" s="3"/>
      <c r="U1212" s="3"/>
      <c r="V1212" s="3"/>
    </row>
    <row r="1213" spans="1:22">
      <c r="A1213" s="3" t="str">
        <f>VLOOKUP(D1213,[1]Orc!A:B,2,0)</f>
        <v>Not Responded</v>
      </c>
      <c r="B1213" s="31">
        <f>VLOOKUP(D1213,[1]Orc!A:C,3,0)</f>
        <v>42754.737961145831</v>
      </c>
      <c r="C1213" s="31">
        <v>42752.643750000003</v>
      </c>
      <c r="D1213" s="3">
        <v>3035854872</v>
      </c>
      <c r="E1213" s="3" t="s">
        <v>39</v>
      </c>
      <c r="F1213" s="3" t="s">
        <v>244</v>
      </c>
      <c r="G1213" s="3" t="str">
        <f>VLOOKUP(F1213,[1]Mapa!A:B,2,0)</f>
        <v>Clarina Praxedes Alfredo</v>
      </c>
      <c r="H1213" s="3" t="s">
        <v>244</v>
      </c>
      <c r="I1213" s="3" t="str">
        <f>VLOOKUP(H1213,[1]Mapa!A:B,2,0)</f>
        <v>Clarina Praxedes Alfredo</v>
      </c>
      <c r="J1213" s="3" t="s">
        <v>93</v>
      </c>
      <c r="K1213" s="3" t="str">
        <f t="shared" si="4"/>
        <v>SKILL IGUAL</v>
      </c>
      <c r="L1213" s="3" t="s">
        <v>866</v>
      </c>
      <c r="M1213" s="3" t="s">
        <v>59</v>
      </c>
      <c r="N1213" s="3" t="s">
        <v>60</v>
      </c>
      <c r="O1213" s="3" t="s">
        <v>123</v>
      </c>
      <c r="P1213" s="3" t="s">
        <v>867</v>
      </c>
      <c r="Q1213" s="31">
        <v>42753</v>
      </c>
      <c r="R1213" s="3" t="str">
        <f>IFERROR(VLOOKUP(J1213,[1]PL!A:B,2,0),"")</f>
        <v>PSG</v>
      </c>
      <c r="S1213" s="3" t="str">
        <f>IFERROR(VLOOKUP(H1213,[1]Mapa!A:D,4,0),"")</f>
        <v>PSG</v>
      </c>
      <c r="T1213" s="3"/>
      <c r="U1213" s="3" t="s">
        <v>3189</v>
      </c>
      <c r="V1213" s="3"/>
    </row>
    <row r="1214" spans="1:22">
      <c r="A1214" s="3" t="str">
        <f>VLOOKUP(D1214,[1]Orc!A:B,2,0)</f>
        <v>Sample Rejected</v>
      </c>
      <c r="B1214" s="31">
        <f>VLOOKUP(D1214,[1]Orc!A:C,3,0)</f>
        <v>42750.735881944442</v>
      </c>
      <c r="C1214" s="31">
        <v>42748.502083333333</v>
      </c>
      <c r="D1214" s="3">
        <v>3035749133</v>
      </c>
      <c r="E1214" s="3" t="s">
        <v>31</v>
      </c>
      <c r="F1214" s="3" t="s">
        <v>223</v>
      </c>
      <c r="G1214" s="3" t="str">
        <f>VLOOKUP(F1214,[1]Mapa!A:B,2,0)</f>
        <v>Daniel Sousa Pinheiro</v>
      </c>
      <c r="H1214" s="3" t="s">
        <v>223</v>
      </c>
      <c r="I1214" s="3" t="str">
        <f>VLOOKUP(H1214,[1]Mapa!A:B,2,0)</f>
        <v>Daniel Sousa Pinheiro</v>
      </c>
      <c r="J1214" s="3" t="s">
        <v>93</v>
      </c>
      <c r="K1214" s="3" t="str">
        <f t="shared" si="4"/>
        <v>SKILL IGUAL</v>
      </c>
      <c r="L1214" s="3" t="s">
        <v>866</v>
      </c>
      <c r="M1214" s="3" t="s">
        <v>59</v>
      </c>
      <c r="N1214" s="3" t="s">
        <v>60</v>
      </c>
      <c r="O1214" s="3" t="s">
        <v>3614</v>
      </c>
      <c r="P1214" s="3" t="s">
        <v>876</v>
      </c>
      <c r="Q1214" s="31">
        <v>42749</v>
      </c>
      <c r="R1214" s="3" t="str">
        <f>IFERROR(VLOOKUP(J1214,[1]PL!A:B,2,0),"")</f>
        <v>PSG</v>
      </c>
      <c r="S1214" s="3" t="str">
        <f>IFERROR(VLOOKUP(H1214,[1]Mapa!A:D,4,0),"")</f>
        <v>PSG</v>
      </c>
      <c r="T1214" s="3"/>
      <c r="U1214" s="3"/>
      <c r="V1214" s="3"/>
    </row>
    <row r="1215" spans="1:22">
      <c r="A1215" s="3" t="str">
        <f>VLOOKUP(D1215,[1]Orc!A:B,2,0)</f>
        <v>Not Responded</v>
      </c>
      <c r="B1215" s="31">
        <f>VLOOKUP(D1215,[1]Orc!A:C,3,0)</f>
        <v>42754.737961145831</v>
      </c>
      <c r="C1215" s="31">
        <v>42752.713888888888</v>
      </c>
      <c r="D1215" s="3">
        <v>3035854721</v>
      </c>
      <c r="E1215" s="3" t="s">
        <v>23</v>
      </c>
      <c r="F1215" s="3" t="s">
        <v>183</v>
      </c>
      <c r="G1215" s="3" t="str">
        <f>VLOOKUP(F1215,[1]Mapa!A:B,2,0)</f>
        <v>Janio Vinicius Inacio Custodio</v>
      </c>
      <c r="H1215" s="3" t="s">
        <v>250</v>
      </c>
      <c r="I1215" s="3" t="str">
        <f>VLOOKUP(H1215,[1]Mapa!A:B,2,0)</f>
        <v>Filipe Augusto Fernandes De Oliveira</v>
      </c>
      <c r="J1215" s="3" t="s">
        <v>93</v>
      </c>
      <c r="K1215" s="3" t="str">
        <f t="shared" si="4"/>
        <v>SKILL IGUAL</v>
      </c>
      <c r="L1215" s="3" t="s">
        <v>866</v>
      </c>
      <c r="M1215" s="3" t="s">
        <v>59</v>
      </c>
      <c r="N1215" s="3" t="s">
        <v>60</v>
      </c>
      <c r="O1215" s="3" t="s">
        <v>123</v>
      </c>
      <c r="P1215" s="3" t="s">
        <v>867</v>
      </c>
      <c r="Q1215" s="31">
        <v>42753</v>
      </c>
      <c r="R1215" s="3" t="str">
        <f>IFERROR(VLOOKUP(J1215,[1]PL!A:B,2,0),"")</f>
        <v>PSG</v>
      </c>
      <c r="S1215" s="3" t="str">
        <f>IFERROR(VLOOKUP(H1215,[1]Mapa!A:D,4,0),"")</f>
        <v>PSG</v>
      </c>
      <c r="T1215" s="3"/>
      <c r="U1215" s="3" t="s">
        <v>3189</v>
      </c>
      <c r="V1215" s="3"/>
    </row>
    <row r="1216" spans="1:22">
      <c r="A1216" s="3" t="str">
        <f>VLOOKUP(D1216,[1]Orc!A:B,2,0)</f>
        <v>Sample Rejected</v>
      </c>
      <c r="B1216" s="31">
        <f>VLOOKUP(D1216,[1]Orc!A:C,3,0)</f>
        <v>42750.735881944442</v>
      </c>
      <c r="C1216" s="31">
        <v>42748.53125</v>
      </c>
      <c r="D1216" s="3">
        <v>3035750661</v>
      </c>
      <c r="E1216" s="3" t="s">
        <v>9</v>
      </c>
      <c r="F1216" s="3" t="s">
        <v>67</v>
      </c>
      <c r="G1216" s="3" t="str">
        <f>VLOOKUP(F1216,[1]Mapa!A:B,2,0)</f>
        <v>Vinicius Marques Ferreira Silva</v>
      </c>
      <c r="H1216" s="3" t="s">
        <v>67</v>
      </c>
      <c r="I1216" s="3" t="str">
        <f>VLOOKUP(H1216,[1]Mapa!A:B,2,0)</f>
        <v>Vinicius Marques Ferreira Silva</v>
      </c>
      <c r="J1216" s="3" t="s">
        <v>93</v>
      </c>
      <c r="K1216" s="3" t="str">
        <f t="shared" si="4"/>
        <v>SKILL DIFERENTE</v>
      </c>
      <c r="L1216" s="3" t="s">
        <v>871</v>
      </c>
      <c r="M1216" s="3" t="s">
        <v>932</v>
      </c>
      <c r="N1216" s="3" t="s">
        <v>85</v>
      </c>
      <c r="O1216" s="3" t="s">
        <v>3615</v>
      </c>
      <c r="P1216" s="3" t="s">
        <v>867</v>
      </c>
      <c r="Q1216" s="31">
        <v>42749</v>
      </c>
      <c r="R1216" s="3" t="str">
        <f>IFERROR(VLOOKUP(J1216,[1]PL!A:B,2,0),"")</f>
        <v>PSG</v>
      </c>
      <c r="S1216" s="3" t="str">
        <f>IFERROR(VLOOKUP(H1216,[1]Mapa!A:D,4,0),"")</f>
        <v>IPG</v>
      </c>
      <c r="T1216" s="3"/>
      <c r="U1216" s="3" t="s">
        <v>3106</v>
      </c>
      <c r="V1216" s="3"/>
    </row>
    <row r="1217" spans="1:22">
      <c r="A1217" s="3" t="str">
        <f>VLOOKUP(D1217,[1]Orc!A:B,2,0)</f>
        <v>Bounced Back Emails</v>
      </c>
      <c r="B1217" s="31">
        <f>VLOOKUP(D1217,[1]Orc!A:C,3,0)</f>
        <v>42750.735881944442</v>
      </c>
      <c r="C1217" s="31">
        <v>42748.539583333331</v>
      </c>
      <c r="D1217" s="3">
        <v>3035750319</v>
      </c>
      <c r="E1217" s="3" t="s">
        <v>31</v>
      </c>
      <c r="F1217" s="3" t="s">
        <v>145</v>
      </c>
      <c r="G1217" s="3" t="str">
        <f>VLOOKUP(F1217,[1]Mapa!A:B,2,0)</f>
        <v>Erico Luan de Jesus Silva</v>
      </c>
      <c r="H1217" s="3" t="s">
        <v>145</v>
      </c>
      <c r="I1217" s="3" t="str">
        <f>VLOOKUP(H1217,[1]Mapa!A:B,2,0)</f>
        <v>Erico Luan de Jesus Silva</v>
      </c>
      <c r="J1217" s="3" t="s">
        <v>93</v>
      </c>
      <c r="K1217" s="3" t="str">
        <f t="shared" si="4"/>
        <v>SKILL IGUAL</v>
      </c>
      <c r="L1217" s="3" t="s">
        <v>866</v>
      </c>
      <c r="M1217" s="3" t="s">
        <v>59</v>
      </c>
      <c r="N1217" s="3" t="s">
        <v>60</v>
      </c>
      <c r="O1217" s="3" t="s">
        <v>3616</v>
      </c>
      <c r="P1217" s="3" t="s">
        <v>867</v>
      </c>
      <c r="Q1217" s="31">
        <v>42749</v>
      </c>
      <c r="R1217" s="3" t="str">
        <f>IFERROR(VLOOKUP(J1217,[1]PL!A:B,2,0),"")</f>
        <v>PSG</v>
      </c>
      <c r="S1217" s="3" t="str">
        <f>IFERROR(VLOOKUP(H1217,[1]Mapa!A:D,4,0),"")</f>
        <v>PSG</v>
      </c>
      <c r="T1217" s="3"/>
      <c r="U1217" s="3" t="s">
        <v>3106</v>
      </c>
      <c r="V1217" s="3"/>
    </row>
    <row r="1218" spans="1:22">
      <c r="A1218" s="3" t="str">
        <f>VLOOKUP(D1218,[1]Orc!A:B,2,0)</f>
        <v>Bounced Back Emails</v>
      </c>
      <c r="B1218" s="31">
        <f>VLOOKUP(D1218,[1]Orc!A:C,3,0)</f>
        <v>42750.735881944442</v>
      </c>
      <c r="C1218" s="31">
        <v>42748.573611111111</v>
      </c>
      <c r="D1218" s="3">
        <v>3035445579</v>
      </c>
      <c r="E1218" s="3" t="s">
        <v>39</v>
      </c>
      <c r="F1218" s="3" t="s">
        <v>250</v>
      </c>
      <c r="G1218" s="3" t="str">
        <f>VLOOKUP(F1218,[1]Mapa!A:B,2,0)</f>
        <v>Filipe Augusto Fernandes De Oliveira</v>
      </c>
      <c r="H1218" s="3" t="s">
        <v>238</v>
      </c>
      <c r="I1218" s="3" t="str">
        <f>VLOOKUP(H1218,[1]Mapa!A:B,2,0)</f>
        <v>Fernando Souza De Almeida</v>
      </c>
      <c r="J1218" s="3" t="s">
        <v>93</v>
      </c>
      <c r="K1218" s="3" t="str">
        <f t="shared" si="4"/>
        <v>SKILL DIFERENTE</v>
      </c>
      <c r="L1218" s="3" t="s">
        <v>866</v>
      </c>
      <c r="M1218" s="3" t="s">
        <v>70</v>
      </c>
      <c r="N1218" s="3" t="s">
        <v>71</v>
      </c>
      <c r="O1218" s="3" t="s">
        <v>3617</v>
      </c>
      <c r="P1218" s="3" t="s">
        <v>867</v>
      </c>
      <c r="Q1218" s="31">
        <v>42749</v>
      </c>
      <c r="R1218" s="3" t="str">
        <f>IFERROR(VLOOKUP(J1218,[1]PL!A:B,2,0),"")</f>
        <v>PSG</v>
      </c>
      <c r="S1218" s="3" t="str">
        <f>IFERROR(VLOOKUP(H1218,[1]Mapa!A:D,4,0),"")</f>
        <v>FUPOTECH</v>
      </c>
      <c r="T1218" s="3"/>
      <c r="U1218" s="3" t="s">
        <v>3106</v>
      </c>
      <c r="V1218" s="3"/>
    </row>
    <row r="1219" spans="1:22">
      <c r="A1219" s="3" t="e">
        <f>VLOOKUP(D1219,[1]Orc!A:B,2,0)</f>
        <v>#N/A</v>
      </c>
      <c r="B1219" s="31" t="e">
        <f>VLOOKUP(D1219,[1]Orc!A:C,3,0)</f>
        <v>#N/A</v>
      </c>
      <c r="C1219" s="31">
        <v>42739.579861111109</v>
      </c>
      <c r="D1219" s="3">
        <v>3035375950</v>
      </c>
      <c r="E1219" s="3" t="s">
        <v>2978</v>
      </c>
      <c r="F1219" s="3" t="s">
        <v>256</v>
      </c>
      <c r="G1219" s="3" t="str">
        <f>VLOOKUP(F1219,[1]Mapa!A:B,2,0)</f>
        <v>Viviane De Souza Magrini</v>
      </c>
      <c r="H1219" s="3" t="s">
        <v>142</v>
      </c>
      <c r="I1219" s="3" t="str">
        <f>VLOOKUP(H1219,[1]Mapa!A:B,2,0)</f>
        <v>Leandro Querino Nunes</v>
      </c>
      <c r="J1219" s="3" t="s">
        <v>256</v>
      </c>
      <c r="K1219" s="3" t="str">
        <f t="shared" si="4"/>
        <v>SKILL DIFERENTE</v>
      </c>
      <c r="L1219" s="3" t="s">
        <v>871</v>
      </c>
      <c r="M1219" s="3" t="s">
        <v>84</v>
      </c>
      <c r="N1219" s="3" t="s">
        <v>85</v>
      </c>
      <c r="O1219" s="3" t="s">
        <v>937</v>
      </c>
      <c r="P1219" s="3" t="s">
        <v>867</v>
      </c>
      <c r="Q1219" s="31">
        <v>42741</v>
      </c>
      <c r="R1219" s="3" t="str">
        <f>IFERROR(VLOOKUP(J1219,[1]PL!A:B,2,0),"")</f>
        <v/>
      </c>
      <c r="S1219" s="3" t="str">
        <f>IFERROR(VLOOKUP(H1219,[1]Mapa!A:D,4,0),"")</f>
        <v>FUPO SMS</v>
      </c>
      <c r="T1219" s="3"/>
      <c r="U1219" s="3"/>
      <c r="V1219" s="3"/>
    </row>
    <row r="1220" spans="1:22">
      <c r="A1220" s="3" t="str">
        <f>VLOOKUP(D1220,[1]Orc!A:B,2,0)</f>
        <v>Not Responded</v>
      </c>
      <c r="B1220" s="31">
        <f>VLOOKUP(D1220,[1]Orc!A:C,3,0)</f>
        <v>42741.73704378472</v>
      </c>
      <c r="C1220" s="31">
        <v>42739.81527777778</v>
      </c>
      <c r="D1220" s="3">
        <v>3035488006</v>
      </c>
      <c r="E1220" s="3" t="s">
        <v>39</v>
      </c>
      <c r="F1220" s="3" t="s">
        <v>246</v>
      </c>
      <c r="G1220" s="3" t="str">
        <f>VLOOKUP(F1220,[1]Mapa!A:B,2,0)</f>
        <v>Wellington Da Silva De Oliveira</v>
      </c>
      <c r="H1220" s="3" t="s">
        <v>246</v>
      </c>
      <c r="I1220" s="3" t="str">
        <f>VLOOKUP(H1220,[1]Mapa!A:B,2,0)</f>
        <v>Wellington Da Silva De Oliveira</v>
      </c>
      <c r="J1220" s="3" t="s">
        <v>93</v>
      </c>
      <c r="K1220" s="3" t="str">
        <f t="shared" si="4"/>
        <v>SKILL IGUAL</v>
      </c>
      <c r="L1220" s="3" t="s">
        <v>871</v>
      </c>
      <c r="M1220" s="3" t="s">
        <v>84</v>
      </c>
      <c r="N1220" s="3" t="s">
        <v>85</v>
      </c>
      <c r="O1220" s="3" t="s">
        <v>3601</v>
      </c>
      <c r="P1220" s="3" t="s">
        <v>867</v>
      </c>
      <c r="Q1220" s="31">
        <v>42749</v>
      </c>
      <c r="R1220" s="3" t="str">
        <f>IFERROR(VLOOKUP(J1220,[1]PL!A:B,2,0),"")</f>
        <v>PSG</v>
      </c>
      <c r="S1220" s="3" t="str">
        <f>IFERROR(VLOOKUP(H1220,[1]Mapa!A:D,4,0),"")</f>
        <v>PSG</v>
      </c>
      <c r="T1220" s="3"/>
      <c r="U1220" s="3"/>
      <c r="V1220" s="3"/>
    </row>
    <row r="1221" spans="1:22">
      <c r="A1221" s="3" t="str">
        <f>VLOOKUP(D1221,[1]Orc!A:B,2,0)</f>
        <v>Not Responded</v>
      </c>
      <c r="B1221" s="31">
        <f>VLOOKUP(D1221,[1]Orc!A:C,3,0)</f>
        <v>42750.735881944442</v>
      </c>
      <c r="C1221" s="31">
        <v>42748.631249999999</v>
      </c>
      <c r="D1221" s="3">
        <v>3035695524</v>
      </c>
      <c r="E1221" s="3" t="s">
        <v>23</v>
      </c>
      <c r="F1221" s="3" t="s">
        <v>149</v>
      </c>
      <c r="G1221" s="3" t="str">
        <f>VLOOKUP(F1221,[1]Mapa!A:B,2,0)</f>
        <v>Kaio Victor de Santana</v>
      </c>
      <c r="H1221" s="3" t="s">
        <v>139</v>
      </c>
      <c r="I1221" s="3" t="str">
        <f>VLOOKUP(H1221,[1]Mapa!A:B,2,0)</f>
        <v>Vanderlei Valentim Vieira</v>
      </c>
      <c r="J1221" s="3" t="s">
        <v>93</v>
      </c>
      <c r="K1221" s="3" t="str">
        <f t="shared" si="4"/>
        <v>SKILL DIFERENTE</v>
      </c>
      <c r="L1221" s="3" t="s">
        <v>866</v>
      </c>
      <c r="M1221" s="3" t="s">
        <v>70</v>
      </c>
      <c r="N1221" s="3" t="s">
        <v>71</v>
      </c>
      <c r="O1221" s="3" t="s">
        <v>4216</v>
      </c>
      <c r="P1221" s="3" t="s">
        <v>867</v>
      </c>
      <c r="Q1221" s="31">
        <v>42752</v>
      </c>
      <c r="R1221" s="3" t="str">
        <f>IFERROR(VLOOKUP(J1221,[1]PL!A:B,2,0),"")</f>
        <v>PSG</v>
      </c>
      <c r="S1221" s="3" t="str">
        <f>IFERROR(VLOOKUP(H1221,[1]Mapa!A:D,4,0),"")</f>
        <v>FUPOTECH</v>
      </c>
      <c r="T1221" s="3"/>
      <c r="U1221" s="3"/>
      <c r="V1221" s="3"/>
    </row>
    <row r="1222" spans="1:22">
      <c r="A1222" s="3" t="str">
        <f>VLOOKUP(D1222,[1]Orc!A:B,2,0)</f>
        <v>Completed Surveys</v>
      </c>
      <c r="B1222" s="31">
        <f>VLOOKUP(D1222,[1]Orc!A:C,3,0)</f>
        <v>42750.735881944442</v>
      </c>
      <c r="C1222" s="31">
        <v>42748.663194444445</v>
      </c>
      <c r="D1222" s="3">
        <v>3035732998</v>
      </c>
      <c r="E1222" s="3" t="s">
        <v>39</v>
      </c>
      <c r="F1222" s="3" t="s">
        <v>231</v>
      </c>
      <c r="G1222" s="3" t="str">
        <f>VLOOKUP(F1222,[1]Mapa!A:B,2,0)</f>
        <v>Lucas Da Silva Pinto</v>
      </c>
      <c r="H1222" s="3" t="s">
        <v>238</v>
      </c>
      <c r="I1222" s="3" t="str">
        <f>VLOOKUP(H1222,[1]Mapa!A:B,2,0)</f>
        <v>Fernando Souza De Almeida</v>
      </c>
      <c r="J1222" s="3" t="s">
        <v>93</v>
      </c>
      <c r="K1222" s="3" t="str">
        <f t="shared" si="4"/>
        <v>SKILL DIFERENTE</v>
      </c>
      <c r="L1222" s="3" t="s">
        <v>866</v>
      </c>
      <c r="M1222" s="3" t="s">
        <v>59</v>
      </c>
      <c r="N1222" s="3" t="s">
        <v>60</v>
      </c>
      <c r="O1222" s="3" t="s">
        <v>3604</v>
      </c>
      <c r="P1222" s="3" t="s">
        <v>867</v>
      </c>
      <c r="Q1222" s="31">
        <v>42749</v>
      </c>
      <c r="R1222" s="3" t="str">
        <f>IFERROR(VLOOKUP(J1222,[1]PL!A:B,2,0),"")</f>
        <v>PSG</v>
      </c>
      <c r="S1222" s="3" t="str">
        <f>IFERROR(VLOOKUP(H1222,[1]Mapa!A:D,4,0),"")</f>
        <v>FUPOTECH</v>
      </c>
      <c r="T1222" s="3" t="s">
        <v>3637</v>
      </c>
      <c r="U1222" s="3"/>
      <c r="V1222" s="3"/>
    </row>
    <row r="1223" spans="1:22">
      <c r="A1223" s="3" t="str">
        <f>VLOOKUP(D1223,[1]Orc!A:B,2,0)</f>
        <v>Not Responded</v>
      </c>
      <c r="B1223" s="31">
        <f>VLOOKUP(D1223,[1]Orc!A:C,3,0)</f>
        <v>42750.735881944442</v>
      </c>
      <c r="C1223" s="31">
        <v>42748.679861111108</v>
      </c>
      <c r="D1223" s="3">
        <v>3035757383</v>
      </c>
      <c r="E1223" s="3" t="s">
        <v>39</v>
      </c>
      <c r="F1223" s="3" t="s">
        <v>234</v>
      </c>
      <c r="G1223" s="3" t="str">
        <f>VLOOKUP(F1223,[1]Mapa!A:B,2,0)</f>
        <v>Levi De Sousa Barros</v>
      </c>
      <c r="H1223" s="3" t="s">
        <v>234</v>
      </c>
      <c r="I1223" s="3" t="str">
        <f>VLOOKUP(H1223,[1]Mapa!A:B,2,0)</f>
        <v>Levi De Sousa Barros</v>
      </c>
      <c r="J1223" s="3" t="s">
        <v>100</v>
      </c>
      <c r="K1223" s="3" t="str">
        <f t="shared" si="4"/>
        <v>SKILL IGUAL</v>
      </c>
      <c r="L1223" s="3" t="s">
        <v>866</v>
      </c>
      <c r="M1223" s="3" t="s">
        <v>70</v>
      </c>
      <c r="N1223" s="3" t="s">
        <v>71</v>
      </c>
      <c r="O1223" s="3" t="s">
        <v>3619</v>
      </c>
      <c r="P1223" s="3" t="s">
        <v>867</v>
      </c>
      <c r="Q1223" s="31">
        <v>42749</v>
      </c>
      <c r="R1223" s="3" t="str">
        <f>IFERROR(VLOOKUP(J1223,[1]PL!A:B,2,0),"")</f>
        <v>PSG</v>
      </c>
      <c r="S1223" s="3" t="str">
        <f>IFERROR(VLOOKUP(H1223,[1]Mapa!A:D,4,0),"")</f>
        <v>PSG</v>
      </c>
      <c r="T1223" s="3"/>
      <c r="U1223" s="3"/>
      <c r="V1223" s="3"/>
    </row>
    <row r="1224" spans="1:22">
      <c r="A1224" s="3" t="str">
        <f>VLOOKUP(D1224,[1]Orc!A:B,2,0)</f>
        <v>Not Responded</v>
      </c>
      <c r="B1224" s="31">
        <f>VLOOKUP(D1224,[1]Orc!A:C,3,0)</f>
        <v>42742.73709116898</v>
      </c>
      <c r="C1224" s="31">
        <v>42740.627083333333</v>
      </c>
      <c r="D1224" s="3">
        <v>3035514598</v>
      </c>
      <c r="E1224" s="3" t="s">
        <v>31</v>
      </c>
      <c r="F1224" s="3" t="s">
        <v>156</v>
      </c>
      <c r="G1224" s="3" t="str">
        <f>VLOOKUP(F1224,[1]Mapa!A:B,2,0)</f>
        <v>Felipe Alves Barbosa</v>
      </c>
      <c r="H1224" s="3" t="s">
        <v>156</v>
      </c>
      <c r="I1224" s="3" t="str">
        <f>VLOOKUP(H1224,[1]Mapa!A:B,2,0)</f>
        <v>Felipe Alves Barbosa</v>
      </c>
      <c r="J1224" s="3" t="s">
        <v>93</v>
      </c>
      <c r="K1224" s="3" t="str">
        <f t="shared" si="4"/>
        <v>SKILL IGUAL</v>
      </c>
      <c r="L1224" s="3" t="s">
        <v>871</v>
      </c>
      <c r="M1224" s="3" t="s">
        <v>84</v>
      </c>
      <c r="N1224" s="3" t="s">
        <v>85</v>
      </c>
      <c r="O1224" s="3" t="s">
        <v>887</v>
      </c>
      <c r="P1224" s="3" t="s">
        <v>867</v>
      </c>
      <c r="Q1224" s="31">
        <v>42753</v>
      </c>
      <c r="R1224" s="3" t="str">
        <f>IFERROR(VLOOKUP(J1224,[1]PL!A:B,2,0),"")</f>
        <v>PSG</v>
      </c>
      <c r="S1224" s="3" t="str">
        <f>IFERROR(VLOOKUP(H1224,[1]Mapa!A:D,4,0),"")</f>
        <v>PSG</v>
      </c>
      <c r="T1224" s="3"/>
      <c r="U1224" s="3"/>
      <c r="V1224" s="3"/>
    </row>
    <row r="1225" spans="1:22">
      <c r="A1225" s="3" t="str">
        <f>VLOOKUP(D1225,[1]Orc!A:B,2,0)</f>
        <v>Not Responded</v>
      </c>
      <c r="B1225" s="31">
        <f>VLOOKUP(D1225,[1]Orc!A:C,3,0)</f>
        <v>42750.735881944442</v>
      </c>
      <c r="C1225" s="31">
        <v>42748.751388888886</v>
      </c>
      <c r="D1225" s="3">
        <v>3035721413</v>
      </c>
      <c r="E1225" s="3" t="s">
        <v>39</v>
      </c>
      <c r="F1225" s="3" t="s">
        <v>244</v>
      </c>
      <c r="G1225" s="3" t="str">
        <f>VLOOKUP(F1225,[1]Mapa!A:B,2,0)</f>
        <v>Clarina Praxedes Alfredo</v>
      </c>
      <c r="H1225" s="3" t="s">
        <v>230</v>
      </c>
      <c r="I1225" s="3" t="e">
        <f>VLOOKUP(H1225,[1]Mapa!A:B,2,0)</f>
        <v>#N/A</v>
      </c>
      <c r="J1225" s="3" t="s">
        <v>93</v>
      </c>
      <c r="K1225" s="3" t="str">
        <f t="shared" si="4"/>
        <v>SKILL DIFERENTE</v>
      </c>
      <c r="L1225" s="3" t="s">
        <v>866</v>
      </c>
      <c r="M1225" s="3" t="s">
        <v>70</v>
      </c>
      <c r="N1225" s="3" t="s">
        <v>71</v>
      </c>
      <c r="O1225" s="3" t="s">
        <v>3665</v>
      </c>
      <c r="P1225" s="3" t="s">
        <v>867</v>
      </c>
      <c r="Q1225" s="31">
        <v>42751</v>
      </c>
      <c r="R1225" s="3" t="str">
        <f>IFERROR(VLOOKUP(J1225,[1]PL!A:B,2,0),"")</f>
        <v>PSG</v>
      </c>
      <c r="S1225" s="3" t="str">
        <f>IFERROR(VLOOKUP(H1225,[1]Mapa!A:D,4,0),"")</f>
        <v/>
      </c>
      <c r="T1225" s="3"/>
      <c r="U1225" s="3"/>
      <c r="V1225" s="3"/>
    </row>
    <row r="1226" spans="1:22">
      <c r="A1226" s="3" t="str">
        <f>VLOOKUP(D1226,[1]Orc!A:B,2,0)</f>
        <v>Not Responded</v>
      </c>
      <c r="B1226" s="31">
        <f>VLOOKUP(D1226,[1]Orc!A:C,3,0)</f>
        <v>42743.735176273149</v>
      </c>
      <c r="C1226" s="31">
        <v>42741.863888888889</v>
      </c>
      <c r="D1226" s="3">
        <v>3035240531</v>
      </c>
      <c r="E1226" s="3" t="s">
        <v>39</v>
      </c>
      <c r="F1226" s="3" t="s">
        <v>234</v>
      </c>
      <c r="G1226" s="3" t="str">
        <f>VLOOKUP(F1226,[1]Mapa!A:B,2,0)</f>
        <v>Levi De Sousa Barros</v>
      </c>
      <c r="H1226" s="3" t="s">
        <v>238</v>
      </c>
      <c r="I1226" s="3" t="str">
        <f>VLOOKUP(H1226,[1]Mapa!A:B,2,0)</f>
        <v>Fernando Souza De Almeida</v>
      </c>
      <c r="J1226" s="3" t="s">
        <v>93</v>
      </c>
      <c r="K1226" s="3" t="str">
        <f t="shared" si="4"/>
        <v>SKILL DIFERENTE</v>
      </c>
      <c r="L1226" s="3" t="s">
        <v>871</v>
      </c>
      <c r="M1226" s="3" t="s">
        <v>84</v>
      </c>
      <c r="N1226" s="3" t="s">
        <v>3157</v>
      </c>
      <c r="O1226" s="3" t="s">
        <v>4209</v>
      </c>
      <c r="P1226" s="3" t="s">
        <v>867</v>
      </c>
      <c r="Q1226" s="31">
        <v>42753</v>
      </c>
      <c r="R1226" s="3" t="str">
        <f>IFERROR(VLOOKUP(J1226,[1]PL!A:B,2,0),"")</f>
        <v>PSG</v>
      </c>
      <c r="S1226" s="3" t="str">
        <f>IFERROR(VLOOKUP(H1226,[1]Mapa!A:D,4,0),"")</f>
        <v>FUPOTECH</v>
      </c>
      <c r="T1226" s="3"/>
      <c r="U1226" s="3" t="s">
        <v>3106</v>
      </c>
      <c r="V1226" s="3"/>
    </row>
    <row r="1227" spans="1:22">
      <c r="A1227" s="3" t="str">
        <f>VLOOKUP(D1227,[1]Orc!A:B,2,0)</f>
        <v>Bounced Back Emails</v>
      </c>
      <c r="B1227" s="31">
        <f>VLOOKUP(D1227,[1]Orc!A:C,3,0)</f>
        <v>42750.735881944442</v>
      </c>
      <c r="C1227" s="31">
        <v>42748.847916666666</v>
      </c>
      <c r="D1227" s="3">
        <v>3035656852</v>
      </c>
      <c r="E1227" s="3" t="s">
        <v>39</v>
      </c>
      <c r="F1227" s="3" t="s">
        <v>225</v>
      </c>
      <c r="G1227" s="3" t="str">
        <f>VLOOKUP(F1227,[1]Mapa!A:B,2,0)</f>
        <v>Eduardo Paixao Oliveira</v>
      </c>
      <c r="H1227" s="3" t="s">
        <v>230</v>
      </c>
      <c r="I1227" s="3" t="e">
        <f>VLOOKUP(H1227,[1]Mapa!A:B,2,0)</f>
        <v>#N/A</v>
      </c>
      <c r="J1227" s="3" t="s">
        <v>93</v>
      </c>
      <c r="K1227" s="3" t="str">
        <f t="shared" si="4"/>
        <v>SKILL DIFERENTE</v>
      </c>
      <c r="L1227" s="3" t="s">
        <v>866</v>
      </c>
      <c r="M1227" s="3" t="s">
        <v>70</v>
      </c>
      <c r="N1227" s="3" t="s">
        <v>886</v>
      </c>
      <c r="O1227" s="3" t="s">
        <v>3620</v>
      </c>
      <c r="P1227" s="3" t="s">
        <v>867</v>
      </c>
      <c r="Q1227" s="31">
        <v>42749</v>
      </c>
      <c r="R1227" s="3" t="str">
        <f>IFERROR(VLOOKUP(J1227,[1]PL!A:B,2,0),"")</f>
        <v>PSG</v>
      </c>
      <c r="S1227" s="3" t="str">
        <f>IFERROR(VLOOKUP(H1227,[1]Mapa!A:D,4,0),"")</f>
        <v/>
      </c>
      <c r="T1227" s="3"/>
      <c r="U1227" s="3"/>
      <c r="V1227" s="3"/>
    </row>
    <row r="1228" spans="1:22">
      <c r="A1228" s="3" t="str">
        <f>VLOOKUP(D1228,[1]Orc!A:B,2,0)</f>
        <v>Not Responded</v>
      </c>
      <c r="B1228" s="31">
        <f>VLOOKUP(D1228,[1]Orc!A:C,3,0)</f>
        <v>42744.734167210649</v>
      </c>
      <c r="C1228" s="31">
        <v>42742.48541666667</v>
      </c>
      <c r="D1228" s="3">
        <v>3035568304</v>
      </c>
      <c r="E1228" s="3" t="s">
        <v>31</v>
      </c>
      <c r="F1228" s="3" t="s">
        <v>113</v>
      </c>
      <c r="G1228" s="3" t="str">
        <f>VLOOKUP(F1228,[1]Mapa!A:B,2,0)</f>
        <v>Daniel Dantas De Oliveira</v>
      </c>
      <c r="H1228" s="3" t="s">
        <v>113</v>
      </c>
      <c r="I1228" s="3" t="str">
        <f>VLOOKUP(H1228,[1]Mapa!A:B,2,0)</f>
        <v>Daniel Dantas De Oliveira</v>
      </c>
      <c r="J1228" s="3" t="s">
        <v>93</v>
      </c>
      <c r="K1228" s="3" t="str">
        <f t="shared" si="4"/>
        <v>SKILL DIFERENTE</v>
      </c>
      <c r="L1228" s="3" t="s">
        <v>871</v>
      </c>
      <c r="M1228" s="3" t="s">
        <v>84</v>
      </c>
      <c r="N1228" s="3" t="s">
        <v>85</v>
      </c>
      <c r="O1228" s="3" t="s">
        <v>3179</v>
      </c>
      <c r="P1228" s="3" t="s">
        <v>876</v>
      </c>
      <c r="Q1228" s="31">
        <v>42744</v>
      </c>
      <c r="R1228" s="3" t="str">
        <f>IFERROR(VLOOKUP(J1228,[1]PL!A:B,2,0),"")</f>
        <v>PSG</v>
      </c>
      <c r="S1228" s="3" t="str">
        <f>IFERROR(VLOOKUP(H1228,[1]Mapa!A:D,4,0),"")</f>
        <v>IPG</v>
      </c>
      <c r="T1228" s="3"/>
      <c r="U1228" s="3"/>
      <c r="V1228" s="3"/>
    </row>
    <row r="1229" spans="1:22">
      <c r="A1229" s="3" t="str">
        <f>VLOOKUP(D1229,[1]Orc!A:B,2,0)</f>
        <v>Not Responded</v>
      </c>
      <c r="B1229" s="31">
        <f>VLOOKUP(D1229,[1]Orc!A:C,3,0)</f>
        <v>42751.734828043984</v>
      </c>
      <c r="C1229" s="31">
        <v>42749.469444444447</v>
      </c>
      <c r="D1229" s="3">
        <v>3035773260</v>
      </c>
      <c r="E1229" s="3" t="s">
        <v>31</v>
      </c>
      <c r="F1229" s="3" t="s">
        <v>213</v>
      </c>
      <c r="G1229" s="3" t="str">
        <f>VLOOKUP(F1229,[1]Mapa!A:B,2,0)</f>
        <v>Leonardo Cantilho Maracas</v>
      </c>
      <c r="H1229" s="3" t="s">
        <v>213</v>
      </c>
      <c r="I1229" s="3" t="str">
        <f>VLOOKUP(H1229,[1]Mapa!A:B,2,0)</f>
        <v>Leonardo Cantilho Maracas</v>
      </c>
      <c r="J1229" s="3" t="s">
        <v>100</v>
      </c>
      <c r="K1229" s="3" t="str">
        <f t="shared" si="4"/>
        <v>SKILL IGUAL</v>
      </c>
      <c r="L1229" s="3" t="s">
        <v>866</v>
      </c>
      <c r="M1229" s="3" t="s">
        <v>70</v>
      </c>
      <c r="N1229" s="3" t="s">
        <v>71</v>
      </c>
      <c r="O1229" s="3" t="s">
        <v>3663</v>
      </c>
      <c r="P1229" s="3" t="s">
        <v>876</v>
      </c>
      <c r="Q1229" s="31">
        <v>42751</v>
      </c>
      <c r="R1229" s="3" t="str">
        <f>IFERROR(VLOOKUP(J1229,[1]PL!A:B,2,0),"")</f>
        <v>PSG</v>
      </c>
      <c r="S1229" s="3" t="str">
        <f>IFERROR(VLOOKUP(H1229,[1]Mapa!A:D,4,0),"")</f>
        <v>PSG</v>
      </c>
      <c r="T1229" s="3"/>
      <c r="U1229" s="3"/>
      <c r="V1229" s="3"/>
    </row>
    <row r="1230" spans="1:22">
      <c r="A1230" s="3" t="str">
        <f>VLOOKUP(D1230,[1]Orc!A:B,2,0)</f>
        <v>Completed Surveys</v>
      </c>
      <c r="B1230" s="31">
        <f>VLOOKUP(D1230,[1]Orc!A:C,3,0)</f>
        <v>42751.734828043984</v>
      </c>
      <c r="C1230" s="31">
        <v>42749.579861111109</v>
      </c>
      <c r="D1230" s="3">
        <v>3035774867</v>
      </c>
      <c r="E1230" s="3" t="s">
        <v>31</v>
      </c>
      <c r="F1230" s="3" t="s">
        <v>200</v>
      </c>
      <c r="G1230" s="3" t="str">
        <f>VLOOKUP(F1230,[1]Mapa!A:B,2,0)</f>
        <v>Washington Silva De Oliveira</v>
      </c>
      <c r="H1230" s="3" t="s">
        <v>200</v>
      </c>
      <c r="I1230" s="3" t="str">
        <f>VLOOKUP(H1230,[1]Mapa!A:B,2,0)</f>
        <v>Washington Silva De Oliveira</v>
      </c>
      <c r="J1230" s="3" t="s">
        <v>93</v>
      </c>
      <c r="K1230" s="3" t="str">
        <f t="shared" si="4"/>
        <v>SKILL IGUAL</v>
      </c>
      <c r="L1230" s="3" t="s">
        <v>866</v>
      </c>
      <c r="M1230" s="3" t="s">
        <v>59</v>
      </c>
      <c r="N1230" s="3" t="s">
        <v>60</v>
      </c>
      <c r="O1230" s="3" t="s">
        <v>182</v>
      </c>
      <c r="P1230" s="3" t="s">
        <v>876</v>
      </c>
      <c r="Q1230" s="31">
        <v>42751</v>
      </c>
      <c r="R1230" s="3" t="str">
        <f>IFERROR(VLOOKUP(J1230,[1]PL!A:B,2,0),"")</f>
        <v>PSG</v>
      </c>
      <c r="S1230" s="3" t="str">
        <f>IFERROR(VLOOKUP(H1230,[1]Mapa!A:D,4,0),"")</f>
        <v>PSG</v>
      </c>
      <c r="T1230" s="3"/>
      <c r="U1230" s="3"/>
      <c r="V1230" s="3"/>
    </row>
    <row r="1231" spans="1:22">
      <c r="A1231" s="3" t="str">
        <f>VLOOKUP(D1231,[1]Orc!A:B,2,0)</f>
        <v>Not Responded</v>
      </c>
      <c r="B1231" s="31">
        <f>VLOOKUP(D1231,[1]Orc!A:C,3,0)</f>
        <v>42746.737756446761</v>
      </c>
      <c r="C1231" s="31">
        <v>42744.44027777778</v>
      </c>
      <c r="D1231" s="3">
        <v>3035541993</v>
      </c>
      <c r="E1231" s="3" t="s">
        <v>31</v>
      </c>
      <c r="F1231" s="3" t="s">
        <v>219</v>
      </c>
      <c r="G1231" s="3" t="str">
        <f>VLOOKUP(F1231,[1]Mapa!A:B,2,0)</f>
        <v>Rafael Dos Santos</v>
      </c>
      <c r="H1231" s="3" t="s">
        <v>209</v>
      </c>
      <c r="I1231" s="3" t="str">
        <f>VLOOKUP(H1231,[1]Mapa!A:B,2,0)</f>
        <v>Taina Alexsander Fernandes Pires</v>
      </c>
      <c r="J1231" s="3" t="s">
        <v>93</v>
      </c>
      <c r="K1231" s="3" t="str">
        <f t="shared" si="4"/>
        <v>SKILL DIFERENTE</v>
      </c>
      <c r="L1231" s="3" t="s">
        <v>871</v>
      </c>
      <c r="M1231" s="3" t="s">
        <v>84</v>
      </c>
      <c r="N1231" s="3" t="s">
        <v>85</v>
      </c>
      <c r="O1231" s="3" t="s">
        <v>4248</v>
      </c>
      <c r="P1231" s="3" t="s">
        <v>867</v>
      </c>
      <c r="Q1231" s="31">
        <v>42753</v>
      </c>
      <c r="R1231" s="3" t="str">
        <f>IFERROR(VLOOKUP(J1231,[1]PL!A:B,2,0),"")</f>
        <v>PSG</v>
      </c>
      <c r="S1231" s="3" t="str">
        <f>IFERROR(VLOOKUP(H1231,[1]Mapa!A:D,4,0),"")</f>
        <v>FUPOTECH</v>
      </c>
      <c r="T1231" s="3"/>
      <c r="U1231" s="3" t="s">
        <v>3189</v>
      </c>
      <c r="V1231" s="3"/>
    </row>
    <row r="1232" spans="1:22">
      <c r="A1232" s="3" t="str">
        <f>VLOOKUP(D1232,[1]Orc!A:B,2,0)</f>
        <v>Not Responded</v>
      </c>
      <c r="B1232" s="31">
        <f>VLOOKUP(D1232,[1]Orc!A:C,3,0)</f>
        <v>42746.737756446761</v>
      </c>
      <c r="C1232" s="31">
        <v>42744.657638888886</v>
      </c>
      <c r="D1232" s="3">
        <v>3035560130</v>
      </c>
      <c r="E1232" s="3" t="s">
        <v>39</v>
      </c>
      <c r="F1232" s="3" t="s">
        <v>250</v>
      </c>
      <c r="G1232" s="3" t="str">
        <f>VLOOKUP(F1232,[1]Mapa!A:B,2,0)</f>
        <v>Filipe Augusto Fernandes De Oliveira</v>
      </c>
      <c r="H1232" s="3" t="s">
        <v>230</v>
      </c>
      <c r="I1232" s="3" t="e">
        <f>VLOOKUP(H1232,[1]Mapa!A:B,2,0)</f>
        <v>#N/A</v>
      </c>
      <c r="J1232" s="3" t="s">
        <v>93</v>
      </c>
      <c r="K1232" s="3" t="str">
        <f t="shared" si="4"/>
        <v>SKILL DIFERENTE</v>
      </c>
      <c r="L1232" s="3" t="s">
        <v>871</v>
      </c>
      <c r="M1232" s="3" t="s">
        <v>932</v>
      </c>
      <c r="N1232" s="3" t="s">
        <v>85</v>
      </c>
      <c r="O1232" s="3" t="s">
        <v>887</v>
      </c>
      <c r="P1232" s="3" t="s">
        <v>867</v>
      </c>
      <c r="Q1232" s="31">
        <v>42754</v>
      </c>
      <c r="R1232" s="3" t="str">
        <f>IFERROR(VLOOKUP(J1232,[1]PL!A:B,2,0),"")</f>
        <v>PSG</v>
      </c>
      <c r="S1232" s="3" t="str">
        <f>IFERROR(VLOOKUP(H1232,[1]Mapa!A:D,4,0),"")</f>
        <v/>
      </c>
      <c r="T1232" s="3"/>
      <c r="U1232" s="3"/>
      <c r="V1232" s="3"/>
    </row>
    <row r="1233" spans="1:22">
      <c r="A1233" s="3" t="str">
        <f>VLOOKUP(D1233,[1]Orc!A:B,2,0)</f>
        <v>Not Responded</v>
      </c>
      <c r="B1233" s="31">
        <f>VLOOKUP(D1233,[1]Orc!A:C,3,0)</f>
        <v>42748.738471724537</v>
      </c>
      <c r="C1233" s="31">
        <v>42746.600694444445</v>
      </c>
      <c r="D1233" s="3">
        <v>3035448739</v>
      </c>
      <c r="E1233" s="3" t="s">
        <v>23</v>
      </c>
      <c r="F1233" s="3" t="s">
        <v>154</v>
      </c>
      <c r="G1233" s="3" t="str">
        <f>VLOOKUP(F1233,[1]Mapa!A:B,2,0)</f>
        <v>Reginaldo de Araujo Rosario</v>
      </c>
      <c r="H1233" s="3" t="s">
        <v>139</v>
      </c>
      <c r="I1233" s="3" t="str">
        <f>VLOOKUP(H1233,[1]Mapa!A:B,2,0)</f>
        <v>Vanderlei Valentim Vieira</v>
      </c>
      <c r="J1233" s="3" t="s">
        <v>93</v>
      </c>
      <c r="K1233" s="3" t="str">
        <f t="shared" si="4"/>
        <v>SKILL DIFERENTE</v>
      </c>
      <c r="L1233" s="3" t="s">
        <v>871</v>
      </c>
      <c r="M1233" s="3" t="s">
        <v>932</v>
      </c>
      <c r="N1233" s="3" t="s">
        <v>85</v>
      </c>
      <c r="O1233" s="3" t="s">
        <v>3224</v>
      </c>
      <c r="P1233" s="3" t="s">
        <v>867</v>
      </c>
      <c r="Q1233" s="31">
        <v>42754</v>
      </c>
      <c r="R1233" s="3" t="str">
        <f>IFERROR(VLOOKUP(J1233,[1]PL!A:B,2,0),"")</f>
        <v>PSG</v>
      </c>
      <c r="S1233" s="3" t="str">
        <f>IFERROR(VLOOKUP(H1233,[1]Mapa!A:D,4,0),"")</f>
        <v>FUPOTECH</v>
      </c>
      <c r="T1233" s="3"/>
      <c r="U1233" s="3"/>
      <c r="V1233" s="3"/>
    </row>
    <row r="1234" spans="1:22">
      <c r="A1234" s="3" t="str">
        <f>VLOOKUP(D1234,[1]Orc!A:B,2,0)</f>
        <v>Completed Surveys</v>
      </c>
      <c r="B1234" s="31">
        <f>VLOOKUP(D1234,[1]Orc!A:C,3,0)</f>
        <v>42748.738471724537</v>
      </c>
      <c r="C1234" s="31">
        <v>42746.786111111112</v>
      </c>
      <c r="D1234" s="3">
        <v>3035694137</v>
      </c>
      <c r="E1234" s="3" t="s">
        <v>39</v>
      </c>
      <c r="F1234" s="3" t="s">
        <v>231</v>
      </c>
      <c r="G1234" s="3" t="str">
        <f>VLOOKUP(F1234,[1]Mapa!A:B,2,0)</f>
        <v>Lucas Da Silva Pinto</v>
      </c>
      <c r="H1234" s="3" t="s">
        <v>231</v>
      </c>
      <c r="I1234" s="3" t="str">
        <f>VLOOKUP(H1234,[1]Mapa!A:B,2,0)</f>
        <v>Lucas Da Silva Pinto</v>
      </c>
      <c r="J1234" s="3" t="s">
        <v>93</v>
      </c>
      <c r="K1234" s="3" t="str">
        <f t="shared" si="4"/>
        <v>SKILL IGUAL</v>
      </c>
      <c r="L1234" s="3" t="s">
        <v>866</v>
      </c>
      <c r="M1234" s="3" t="s">
        <v>59</v>
      </c>
      <c r="N1234" s="3" t="s">
        <v>60</v>
      </c>
      <c r="O1234" s="3" t="s">
        <v>4406</v>
      </c>
      <c r="P1234" s="3" t="s">
        <v>867</v>
      </c>
      <c r="Q1234" s="31">
        <v>42754</v>
      </c>
      <c r="R1234" s="3" t="str">
        <f>IFERROR(VLOOKUP(J1234,[1]PL!A:B,2,0),"")</f>
        <v>PSG</v>
      </c>
      <c r="S1234" s="3" t="str">
        <f>IFERROR(VLOOKUP(H1234,[1]Mapa!A:D,4,0),"")</f>
        <v>PSG</v>
      </c>
      <c r="T1234" s="3"/>
      <c r="U1234" s="3"/>
      <c r="V1234" s="3"/>
    </row>
    <row r="1235" spans="1:22">
      <c r="A1235" s="3" t="str">
        <f>VLOOKUP(D1235,[1]Orc!A:B,2,0)</f>
        <v>Not Responded</v>
      </c>
      <c r="B1235" s="31">
        <f>VLOOKUP(D1235,[1]Orc!A:C,3,0)</f>
        <v>42749.737991238428</v>
      </c>
      <c r="C1235" s="31">
        <v>42747.427777777775</v>
      </c>
      <c r="D1235" s="3">
        <v>3035713526</v>
      </c>
      <c r="E1235" s="3" t="s">
        <v>31</v>
      </c>
      <c r="F1235" s="3" t="s">
        <v>200</v>
      </c>
      <c r="G1235" s="3" t="str">
        <f>VLOOKUP(F1235,[1]Mapa!A:B,2,0)</f>
        <v>Washington Silva De Oliveira</v>
      </c>
      <c r="H1235" s="3" t="s">
        <v>200</v>
      </c>
      <c r="I1235" s="3" t="str">
        <f>VLOOKUP(H1235,[1]Mapa!A:B,2,0)</f>
        <v>Washington Silva De Oliveira</v>
      </c>
      <c r="J1235" s="3" t="s">
        <v>93</v>
      </c>
      <c r="K1235" s="3" t="str">
        <f t="shared" si="4"/>
        <v>SKILL IGUAL</v>
      </c>
      <c r="L1235" s="3" t="s">
        <v>871</v>
      </c>
      <c r="M1235" s="3" t="s">
        <v>84</v>
      </c>
      <c r="N1235" s="3" t="s">
        <v>881</v>
      </c>
      <c r="O1235" s="3" t="s">
        <v>4407</v>
      </c>
      <c r="P1235" s="3" t="s">
        <v>867</v>
      </c>
      <c r="Q1235" s="31">
        <v>42754</v>
      </c>
      <c r="R1235" s="3" t="str">
        <f>IFERROR(VLOOKUP(J1235,[1]PL!A:B,2,0),"")</f>
        <v>PSG</v>
      </c>
      <c r="S1235" s="3" t="str">
        <f>IFERROR(VLOOKUP(H1235,[1]Mapa!A:D,4,0),"")</f>
        <v>PSG</v>
      </c>
      <c r="T1235" s="3"/>
      <c r="U1235" s="3"/>
      <c r="V1235" s="3"/>
    </row>
    <row r="1236" spans="1:22">
      <c r="A1236" s="3" t="str">
        <f>VLOOKUP(D1236,[1]Orc!A:B,2,0)</f>
        <v>Not Responded</v>
      </c>
      <c r="B1236" s="31">
        <f>VLOOKUP(D1236,[1]Orc!A:C,3,0)</f>
        <v>42749.737991238428</v>
      </c>
      <c r="C1236" s="31">
        <v>42747.498611111114</v>
      </c>
      <c r="D1236" s="3">
        <v>3035623514</v>
      </c>
      <c r="E1236" s="3" t="s">
        <v>31</v>
      </c>
      <c r="F1236" s="3" t="s">
        <v>223</v>
      </c>
      <c r="G1236" s="3" t="str">
        <f>VLOOKUP(F1236,[1]Mapa!A:B,2,0)</f>
        <v>Daniel Sousa Pinheiro</v>
      </c>
      <c r="H1236" s="3" t="s">
        <v>209</v>
      </c>
      <c r="I1236" s="3" t="str">
        <f>VLOOKUP(H1236,[1]Mapa!A:B,2,0)</f>
        <v>Taina Alexsander Fernandes Pires</v>
      </c>
      <c r="J1236" s="3" t="s">
        <v>93</v>
      </c>
      <c r="K1236" s="3" t="str">
        <f t="shared" si="4"/>
        <v>SKILL DIFERENTE</v>
      </c>
      <c r="L1236" s="3" t="s">
        <v>866</v>
      </c>
      <c r="M1236" s="3" t="s">
        <v>59</v>
      </c>
      <c r="N1236" s="3" t="s">
        <v>60</v>
      </c>
      <c r="O1236" s="3" t="s">
        <v>3149</v>
      </c>
      <c r="P1236" s="3" t="s">
        <v>867</v>
      </c>
      <c r="Q1236" s="31">
        <v>42754</v>
      </c>
      <c r="R1236" s="3" t="str">
        <f>IFERROR(VLOOKUP(J1236,[1]PL!A:B,2,0),"")</f>
        <v>PSG</v>
      </c>
      <c r="S1236" s="3" t="str">
        <f>IFERROR(VLOOKUP(H1236,[1]Mapa!A:D,4,0),"")</f>
        <v>FUPOTECH</v>
      </c>
      <c r="T1236" s="3"/>
      <c r="U1236" s="3" t="s">
        <v>3104</v>
      </c>
      <c r="V1236" s="3"/>
    </row>
    <row r="1237" spans="1:22">
      <c r="A1237" s="3" t="str">
        <f>VLOOKUP(D1237,[1]Orc!A:B,2,0)</f>
        <v>Not Responded</v>
      </c>
      <c r="B1237" s="31">
        <f>VLOOKUP(D1237,[1]Orc!A:C,3,0)</f>
        <v>42749.737991238428</v>
      </c>
      <c r="C1237" s="31">
        <v>42747.54583333333</v>
      </c>
      <c r="D1237" s="3">
        <v>3035443881</v>
      </c>
      <c r="E1237" s="3" t="s">
        <v>52</v>
      </c>
      <c r="F1237" s="3" t="s">
        <v>927</v>
      </c>
      <c r="G1237" s="3" t="str">
        <f>VLOOKUP(F1237,[1]Mapa!A:B,2,0)</f>
        <v>Samuel De Oliveira</v>
      </c>
      <c r="H1237" s="3" t="s">
        <v>115</v>
      </c>
      <c r="I1237" s="3" t="str">
        <f>VLOOKUP(H1237,[1]Mapa!A:B,2,0)</f>
        <v>Tiago Ferreira da Silva</v>
      </c>
      <c r="J1237" s="3" t="s">
        <v>93</v>
      </c>
      <c r="K1237" s="3" t="str">
        <f t="shared" si="4"/>
        <v>SKILL DIFERENTE</v>
      </c>
      <c r="L1237" s="3" t="s">
        <v>871</v>
      </c>
      <c r="M1237" s="3" t="s">
        <v>84</v>
      </c>
      <c r="N1237" s="3" t="s">
        <v>881</v>
      </c>
      <c r="O1237" s="3" t="s">
        <v>4211</v>
      </c>
      <c r="P1237" s="3" t="s">
        <v>867</v>
      </c>
      <c r="Q1237" s="31">
        <v>42754</v>
      </c>
      <c r="R1237" s="3" t="str">
        <f>IFERROR(VLOOKUP(J1237,[1]PL!A:B,2,0),"")</f>
        <v>PSG</v>
      </c>
      <c r="S1237" s="3" t="str">
        <f>IFERROR(VLOOKUP(H1237,[1]Mapa!A:D,4,0),"")</f>
        <v>FUPOTECH</v>
      </c>
      <c r="T1237" s="3"/>
      <c r="U1237" s="3"/>
      <c r="V1237" s="3"/>
    </row>
    <row r="1238" spans="1:22">
      <c r="A1238" s="3" t="e">
        <f>VLOOKUP(D1238,[1]Orc!A:B,2,0)</f>
        <v>#N/A</v>
      </c>
      <c r="B1238" s="31" t="e">
        <f>VLOOKUP(D1238,[1]Orc!A:C,3,0)</f>
        <v>#N/A</v>
      </c>
      <c r="C1238" s="31">
        <v>42747.582638888889</v>
      </c>
      <c r="D1238" s="3">
        <v>3035478559</v>
      </c>
      <c r="E1238" s="3" t="s">
        <v>2978</v>
      </c>
      <c r="F1238" s="3" t="s">
        <v>256</v>
      </c>
      <c r="G1238" s="3" t="str">
        <f>VLOOKUP(F1238,[1]Mapa!A:B,2,0)</f>
        <v>Viviane De Souza Magrini</v>
      </c>
      <c r="H1238" s="3" t="s">
        <v>142</v>
      </c>
      <c r="I1238" s="3" t="str">
        <f>VLOOKUP(H1238,[1]Mapa!A:B,2,0)</f>
        <v>Leandro Querino Nunes</v>
      </c>
      <c r="J1238" s="3" t="s">
        <v>93</v>
      </c>
      <c r="K1238" s="3" t="str">
        <f t="shared" si="4"/>
        <v>SKILL DIFERENTE</v>
      </c>
      <c r="L1238" s="3" t="s">
        <v>871</v>
      </c>
      <c r="M1238" s="3" t="s">
        <v>84</v>
      </c>
      <c r="N1238" s="3" t="s">
        <v>85</v>
      </c>
      <c r="O1238" s="3" t="s">
        <v>3234</v>
      </c>
      <c r="P1238" s="3" t="s">
        <v>876</v>
      </c>
      <c r="Q1238" s="31">
        <v>42748</v>
      </c>
      <c r="R1238" s="3" t="str">
        <f>IFERROR(VLOOKUP(J1238,[1]PL!A:B,2,0),"")</f>
        <v>PSG</v>
      </c>
      <c r="S1238" s="3" t="str">
        <f>IFERROR(VLOOKUP(H1238,[1]Mapa!A:D,4,0),"")</f>
        <v>FUPO SMS</v>
      </c>
      <c r="T1238" s="3"/>
      <c r="U1238" s="3"/>
      <c r="V1238" s="3"/>
    </row>
    <row r="1239" spans="1:22">
      <c r="A1239" s="3" t="e">
        <f>VLOOKUP(D1239,[1]Orc!A:B,2,0)</f>
        <v>#N/A</v>
      </c>
      <c r="B1239" s="31" t="e">
        <f>VLOOKUP(D1239,[1]Orc!A:C,3,0)</f>
        <v>#N/A</v>
      </c>
      <c r="C1239" s="31">
        <v>42747.631944444445</v>
      </c>
      <c r="D1239" s="3">
        <v>3035507970</v>
      </c>
      <c r="E1239" s="3" t="s">
        <v>2978</v>
      </c>
      <c r="F1239" s="3" t="s">
        <v>256</v>
      </c>
      <c r="G1239" s="3" t="str">
        <f>VLOOKUP(F1239,[1]Mapa!A:B,2,0)</f>
        <v>Viviane De Souza Magrini</v>
      </c>
      <c r="H1239" s="3" t="s">
        <v>142</v>
      </c>
      <c r="I1239" s="3" t="str">
        <f>VLOOKUP(H1239,[1]Mapa!A:B,2,0)</f>
        <v>Leandro Querino Nunes</v>
      </c>
      <c r="J1239" s="3" t="s">
        <v>93</v>
      </c>
      <c r="K1239" s="3" t="str">
        <f t="shared" si="4"/>
        <v>SKILL DIFERENTE</v>
      </c>
      <c r="L1239" s="3" t="s">
        <v>871</v>
      </c>
      <c r="M1239" s="3" t="s">
        <v>84</v>
      </c>
      <c r="N1239" s="3" t="s">
        <v>85</v>
      </c>
      <c r="O1239" s="3" t="s">
        <v>3234</v>
      </c>
      <c r="P1239" s="3" t="s">
        <v>876</v>
      </c>
      <c r="Q1239" s="31">
        <v>42748</v>
      </c>
      <c r="R1239" s="3" t="str">
        <f>IFERROR(VLOOKUP(J1239,[1]PL!A:B,2,0),"")</f>
        <v>PSG</v>
      </c>
      <c r="S1239" s="3" t="str">
        <f>IFERROR(VLOOKUP(H1239,[1]Mapa!A:D,4,0),"")</f>
        <v>FUPO SMS</v>
      </c>
      <c r="T1239" s="3"/>
      <c r="U1239" s="3"/>
      <c r="V1239" s="3"/>
    </row>
    <row r="1240" spans="1:22">
      <c r="A1240" s="3" t="str">
        <f>VLOOKUP(D1240,[1]Orc!A:B,2,0)</f>
        <v>Not Responded</v>
      </c>
      <c r="B1240" s="31">
        <f>VLOOKUP(D1240,[1]Orc!A:C,3,0)</f>
        <v>42749.737991238428</v>
      </c>
      <c r="C1240" s="31">
        <v>42747.689583333333</v>
      </c>
      <c r="D1240" s="3">
        <v>3035618294</v>
      </c>
      <c r="E1240" s="3" t="s">
        <v>39</v>
      </c>
      <c r="F1240" s="3" t="s">
        <v>246</v>
      </c>
      <c r="G1240" s="3" t="str">
        <f>VLOOKUP(F1240,[1]Mapa!A:B,2,0)</f>
        <v>Wellington Da Silva De Oliveira</v>
      </c>
      <c r="H1240" s="3" t="s">
        <v>238</v>
      </c>
      <c r="I1240" s="3" t="str">
        <f>VLOOKUP(H1240,[1]Mapa!A:B,2,0)</f>
        <v>Fernando Souza De Almeida</v>
      </c>
      <c r="J1240" s="3" t="s">
        <v>93</v>
      </c>
      <c r="K1240" s="3" t="str">
        <f t="shared" si="4"/>
        <v>SKILL DIFERENTE</v>
      </c>
      <c r="L1240" s="3" t="s">
        <v>871</v>
      </c>
      <c r="M1240" s="3" t="s">
        <v>84</v>
      </c>
      <c r="N1240" s="3" t="s">
        <v>85</v>
      </c>
      <c r="O1240" s="3" t="s">
        <v>4212</v>
      </c>
      <c r="P1240" s="3" t="s">
        <v>867</v>
      </c>
      <c r="Q1240" s="31">
        <v>42753</v>
      </c>
      <c r="R1240" s="3" t="str">
        <f>IFERROR(VLOOKUP(J1240,[1]PL!A:B,2,0),"")</f>
        <v>PSG</v>
      </c>
      <c r="S1240" s="3" t="str">
        <f>IFERROR(VLOOKUP(H1240,[1]Mapa!A:D,4,0),"")</f>
        <v>FUPOTECH</v>
      </c>
      <c r="T1240" s="3"/>
      <c r="U1240" s="3"/>
      <c r="V1240" s="3"/>
    </row>
    <row r="1241" spans="1:22">
      <c r="A1241" s="3" t="e">
        <f>VLOOKUP(D1241,[1]Orc!A:B,2,0)</f>
        <v>#N/A</v>
      </c>
      <c r="B1241" s="31" t="e">
        <f>VLOOKUP(D1241,[1]Orc!A:C,3,0)</f>
        <v>#N/A</v>
      </c>
      <c r="C1241" s="31">
        <v>42747.647222222222</v>
      </c>
      <c r="D1241" s="3">
        <v>3035590544</v>
      </c>
      <c r="E1241" s="3" t="s">
        <v>2978</v>
      </c>
      <c r="F1241" s="3" t="s">
        <v>256</v>
      </c>
      <c r="G1241" s="3" t="str">
        <f>VLOOKUP(F1241,[1]Mapa!A:B,2,0)</f>
        <v>Viviane De Souza Magrini</v>
      </c>
      <c r="H1241" s="3" t="s">
        <v>142</v>
      </c>
      <c r="I1241" s="3" t="str">
        <f>VLOOKUP(H1241,[1]Mapa!A:B,2,0)</f>
        <v>Leandro Querino Nunes</v>
      </c>
      <c r="J1241" s="3" t="s">
        <v>256</v>
      </c>
      <c r="K1241" s="3" t="str">
        <f t="shared" si="4"/>
        <v>SKILL DIFERENTE</v>
      </c>
      <c r="L1241" s="3" t="s">
        <v>871</v>
      </c>
      <c r="M1241" s="3" t="s">
        <v>932</v>
      </c>
      <c r="N1241" s="3" t="s">
        <v>85</v>
      </c>
      <c r="O1241" s="3" t="s">
        <v>3244</v>
      </c>
      <c r="P1241" s="3" t="s">
        <v>867</v>
      </c>
      <c r="Q1241" s="31">
        <v>42754</v>
      </c>
      <c r="R1241" s="3" t="str">
        <f>IFERROR(VLOOKUP(J1241,[1]PL!A:B,2,0),"")</f>
        <v/>
      </c>
      <c r="S1241" s="3" t="str">
        <f>IFERROR(VLOOKUP(H1241,[1]Mapa!A:D,4,0),"")</f>
        <v>FUPO SMS</v>
      </c>
      <c r="T1241" s="3"/>
      <c r="U1241" s="3"/>
      <c r="V1241" s="3"/>
    </row>
    <row r="1242" spans="1:22">
      <c r="A1242" s="3" t="str">
        <f>VLOOKUP(D1242,[1]Orc!A:B,2,0)</f>
        <v>Not Responded</v>
      </c>
      <c r="B1242" s="31">
        <f>VLOOKUP(D1242,[1]Orc!A:C,3,0)</f>
        <v>42750.735881944442</v>
      </c>
      <c r="C1242" s="31">
        <v>42748.45208333333</v>
      </c>
      <c r="D1242" s="3">
        <v>3035649789</v>
      </c>
      <c r="E1242" s="3" t="s">
        <v>31</v>
      </c>
      <c r="F1242" s="3" t="s">
        <v>227</v>
      </c>
      <c r="G1242" s="3" t="str">
        <f>VLOOKUP(F1242,[1]Mapa!A:B,2,0)</f>
        <v>Bruno Henrique Padua Colella</v>
      </c>
      <c r="H1242" s="3" t="s">
        <v>209</v>
      </c>
      <c r="I1242" s="3" t="str">
        <f>VLOOKUP(H1242,[1]Mapa!A:B,2,0)</f>
        <v>Taina Alexsander Fernandes Pires</v>
      </c>
      <c r="J1242" s="3" t="s">
        <v>93</v>
      </c>
      <c r="K1242" s="3" t="str">
        <f t="shared" si="4"/>
        <v>SKILL DIFERENTE</v>
      </c>
      <c r="L1242" s="3" t="s">
        <v>871</v>
      </c>
      <c r="M1242" s="3" t="s">
        <v>932</v>
      </c>
      <c r="N1242" s="3" t="s">
        <v>881</v>
      </c>
      <c r="O1242" s="3" t="s">
        <v>4395</v>
      </c>
      <c r="P1242" s="3" t="s">
        <v>867</v>
      </c>
      <c r="Q1242" s="31">
        <v>42754</v>
      </c>
      <c r="R1242" s="3" t="str">
        <f>IFERROR(VLOOKUP(J1242,[1]PL!A:B,2,0),"")</f>
        <v>PSG</v>
      </c>
      <c r="S1242" s="3" t="str">
        <f>IFERROR(VLOOKUP(H1242,[1]Mapa!A:D,4,0),"")</f>
        <v>FUPOTECH</v>
      </c>
      <c r="T1242" s="3"/>
      <c r="U1242" s="3"/>
      <c r="V1242" s="3"/>
    </row>
    <row r="1243" spans="1:22">
      <c r="A1243" s="3" t="e">
        <f>VLOOKUP(D1243,[1]Orc!A:B,2,0)</f>
        <v>#N/A</v>
      </c>
      <c r="B1243" s="31" t="e">
        <f>VLOOKUP(D1243,[1]Orc!A:C,3,0)</f>
        <v>#N/A</v>
      </c>
      <c r="C1243" s="31">
        <v>42751.470833333333</v>
      </c>
      <c r="D1243" s="3">
        <v>3035517133</v>
      </c>
      <c r="E1243" s="3" t="s">
        <v>39</v>
      </c>
      <c r="F1243" s="3" t="s">
        <v>234</v>
      </c>
      <c r="G1243" s="3" t="str">
        <f>VLOOKUP(F1243,[1]Mapa!A:B,2,0)</f>
        <v>Levi De Sousa Barros</v>
      </c>
      <c r="H1243" s="3" t="s">
        <v>878</v>
      </c>
      <c r="I1243" s="3" t="str">
        <f>VLOOKUP(H1243,[1]Mapa!A:B,2,0)</f>
        <v>Oliviana Saraiva Almeida</v>
      </c>
      <c r="J1243" s="3" t="s">
        <v>592</v>
      </c>
      <c r="K1243" s="3" t="str">
        <f t="shared" si="4"/>
        <v>SKILL DIFERENTE</v>
      </c>
      <c r="L1243" s="3" t="s">
        <v>871</v>
      </c>
      <c r="M1243" s="3" t="s">
        <v>65</v>
      </c>
      <c r="N1243" s="3" t="s">
        <v>66</v>
      </c>
      <c r="O1243" s="3" t="s">
        <v>65</v>
      </c>
      <c r="P1243" s="3" t="s">
        <v>876</v>
      </c>
      <c r="Q1243" s="31">
        <v>42752</v>
      </c>
      <c r="R1243" s="3" t="str">
        <f>IFERROR(VLOOKUP(J1243,[1]PL!A:B,2,0),"")</f>
        <v>PSG</v>
      </c>
      <c r="S1243" s="3" t="str">
        <f>IFERROR(VLOOKUP(H1243,[1]Mapa!A:D,4,0),"")</f>
        <v>TCO</v>
      </c>
      <c r="T1243" s="3"/>
      <c r="U1243" s="3"/>
      <c r="V1243" s="3"/>
    </row>
    <row r="1244" spans="1:22">
      <c r="A1244" s="3" t="str">
        <f>VLOOKUP(D1244,[1]Orc!A:B,2,0)</f>
        <v>Not Responded</v>
      </c>
      <c r="B1244" s="31">
        <f>VLOOKUP(D1244,[1]Orc!A:C,3,0)</f>
        <v>42750.735881944442</v>
      </c>
      <c r="C1244" s="31">
        <v>42748.785416666666</v>
      </c>
      <c r="D1244" s="3">
        <v>3035755130</v>
      </c>
      <c r="E1244" s="3" t="s">
        <v>39</v>
      </c>
      <c r="F1244" s="3" t="s">
        <v>240</v>
      </c>
      <c r="G1244" s="3" t="str">
        <f>VLOOKUP(F1244,[1]Mapa!A:B,2,0)</f>
        <v>Renato Da Silva Andrade</v>
      </c>
      <c r="H1244" s="3" t="s">
        <v>234</v>
      </c>
      <c r="I1244" s="3" t="str">
        <f>VLOOKUP(H1244,[1]Mapa!A:B,2,0)</f>
        <v>Levi De Sousa Barros</v>
      </c>
      <c r="J1244" s="3" t="s">
        <v>93</v>
      </c>
      <c r="K1244" s="3" t="str">
        <f t="shared" si="4"/>
        <v>SKILL IGUAL</v>
      </c>
      <c r="L1244" s="3" t="s">
        <v>871</v>
      </c>
      <c r="M1244" s="3" t="s">
        <v>84</v>
      </c>
      <c r="N1244" s="3" t="s">
        <v>85</v>
      </c>
      <c r="O1244" s="3" t="s">
        <v>887</v>
      </c>
      <c r="P1244" s="3" t="s">
        <v>867</v>
      </c>
      <c r="Q1244" s="31">
        <v>42754</v>
      </c>
      <c r="R1244" s="3" t="str">
        <f>IFERROR(VLOOKUP(J1244,[1]PL!A:B,2,0),"")</f>
        <v>PSG</v>
      </c>
      <c r="S1244" s="3" t="str">
        <f>IFERROR(VLOOKUP(H1244,[1]Mapa!A:D,4,0),"")</f>
        <v>PSG</v>
      </c>
      <c r="T1244" s="3"/>
      <c r="U1244" s="3"/>
      <c r="V1244" s="3"/>
    </row>
    <row r="1245" spans="1:22">
      <c r="A1245" s="3" t="str">
        <f>VLOOKUP(D1245,[1]Orc!A:B,2,0)</f>
        <v>Not Responded</v>
      </c>
      <c r="B1245" s="31">
        <f>VLOOKUP(D1245,[1]Orc!A:C,3,0)</f>
        <v>42751.734828043984</v>
      </c>
      <c r="C1245" s="31">
        <v>42749.467361111114</v>
      </c>
      <c r="D1245" s="3">
        <v>3035773259</v>
      </c>
      <c r="E1245" s="3" t="s">
        <v>31</v>
      </c>
      <c r="F1245" s="3" t="s">
        <v>216</v>
      </c>
      <c r="G1245" s="3" t="str">
        <f>VLOOKUP(F1245,[1]Mapa!A:B,2,0)</f>
        <v>Lucas Almeida Dos Santos</v>
      </c>
      <c r="H1245" s="3" t="s">
        <v>216</v>
      </c>
      <c r="I1245" s="3" t="str">
        <f>VLOOKUP(H1245,[1]Mapa!A:B,2,0)</f>
        <v>Lucas Almeida Dos Santos</v>
      </c>
      <c r="J1245" s="3" t="s">
        <v>100</v>
      </c>
      <c r="K1245" s="3" t="str">
        <f t="shared" si="4"/>
        <v>SKILL IGUAL</v>
      </c>
      <c r="L1245" s="3" t="s">
        <v>871</v>
      </c>
      <c r="M1245" s="3" t="s">
        <v>84</v>
      </c>
      <c r="N1245" s="3" t="s">
        <v>85</v>
      </c>
      <c r="O1245" s="3" t="s">
        <v>3666</v>
      </c>
      <c r="P1245" s="3" t="s">
        <v>867</v>
      </c>
      <c r="Q1245" s="31">
        <v>42754</v>
      </c>
      <c r="R1245" s="3" t="str">
        <f>IFERROR(VLOOKUP(J1245,[1]PL!A:B,2,0),"")</f>
        <v>PSG</v>
      </c>
      <c r="S1245" s="3" t="str">
        <f>IFERROR(VLOOKUP(H1245,[1]Mapa!A:D,4,0),"")</f>
        <v>PSG</v>
      </c>
      <c r="T1245" s="3"/>
      <c r="U1245" s="3"/>
      <c r="V1245" s="3"/>
    </row>
    <row r="1246" spans="1:22">
      <c r="A1246" s="3" t="e">
        <f>VLOOKUP(D1246,[1]Orc!A:B,2,0)</f>
        <v>#N/A</v>
      </c>
      <c r="B1246" s="31" t="e">
        <f>VLOOKUP(D1246,[1]Orc!A:C,3,0)</f>
        <v>#N/A</v>
      </c>
      <c r="C1246" s="31">
        <v>42751.486111111109</v>
      </c>
      <c r="D1246" s="3">
        <v>3035516252</v>
      </c>
      <c r="E1246" s="3" t="s">
        <v>39</v>
      </c>
      <c r="F1246" s="3" t="s">
        <v>246</v>
      </c>
      <c r="G1246" s="3" t="str">
        <f>VLOOKUP(F1246,[1]Mapa!A:B,2,0)</f>
        <v>Wellington Da Silva De Oliveira</v>
      </c>
      <c r="H1246" s="3" t="s">
        <v>878</v>
      </c>
      <c r="I1246" s="3" t="str">
        <f>VLOOKUP(H1246,[1]Mapa!A:B,2,0)</f>
        <v>Oliviana Saraiva Almeida</v>
      </c>
      <c r="J1246" s="3" t="s">
        <v>100</v>
      </c>
      <c r="K1246" s="3" t="str">
        <f t="shared" si="4"/>
        <v>SKILL DIFERENTE</v>
      </c>
      <c r="L1246" s="3" t="s">
        <v>871</v>
      </c>
      <c r="M1246" s="3" t="s">
        <v>65</v>
      </c>
      <c r="N1246" s="3" t="s">
        <v>66</v>
      </c>
      <c r="O1246" s="3" t="s">
        <v>65</v>
      </c>
      <c r="P1246" s="3" t="s">
        <v>876</v>
      </c>
      <c r="Q1246" s="31">
        <v>42752</v>
      </c>
      <c r="R1246" s="3" t="str">
        <f>IFERROR(VLOOKUP(J1246,[1]PL!A:B,2,0),"")</f>
        <v>PSG</v>
      </c>
      <c r="S1246" s="3" t="str">
        <f>IFERROR(VLOOKUP(H1246,[1]Mapa!A:D,4,0),"")</f>
        <v>TCO</v>
      </c>
      <c r="T1246" s="3"/>
      <c r="U1246" s="3"/>
      <c r="V1246" s="3"/>
    </row>
    <row r="1247" spans="1:22">
      <c r="A1247" s="3" t="e">
        <f>VLOOKUP(D1247,[1]Orc!A:B,2,0)</f>
        <v>#N/A</v>
      </c>
      <c r="B1247" s="31" t="e">
        <f>VLOOKUP(D1247,[1]Orc!A:C,3,0)</f>
        <v>#N/A</v>
      </c>
      <c r="C1247" s="31">
        <v>42751.515277777777</v>
      </c>
      <c r="D1247" s="3">
        <v>3035443539</v>
      </c>
      <c r="E1247" s="3" t="s">
        <v>52</v>
      </c>
      <c r="F1247" s="3" t="s">
        <v>4002</v>
      </c>
      <c r="G1247" s="3" t="str">
        <f>VLOOKUP(F1247,[1]Mapa!A:B,2,0)</f>
        <v>Anderson Aparecido de Jesus</v>
      </c>
      <c r="H1247" s="3" t="s">
        <v>103</v>
      </c>
      <c r="I1247" s="3" t="str">
        <f>VLOOKUP(H1247,[1]Mapa!A:B,2,0)</f>
        <v>Anderson Soares Silveira</v>
      </c>
      <c r="J1247" s="3" t="s">
        <v>592</v>
      </c>
      <c r="K1247" s="3" t="str">
        <f t="shared" si="4"/>
        <v>SKILL DIFERENTE</v>
      </c>
      <c r="L1247" s="3" t="s">
        <v>871</v>
      </c>
      <c r="M1247" s="3" t="s">
        <v>65</v>
      </c>
      <c r="N1247" s="3" t="s">
        <v>66</v>
      </c>
      <c r="O1247" s="3" t="s">
        <v>65</v>
      </c>
      <c r="P1247" s="3" t="s">
        <v>876</v>
      </c>
      <c r="Q1247" s="31">
        <v>42752</v>
      </c>
      <c r="R1247" s="3" t="str">
        <f>IFERROR(VLOOKUP(J1247,[1]PL!A:B,2,0),"")</f>
        <v>PSG</v>
      </c>
      <c r="S1247" s="3" t="str">
        <f>IFERROR(VLOOKUP(H1247,[1]Mapa!A:D,4,0),"")</f>
        <v>TCO</v>
      </c>
      <c r="T1247" s="3"/>
      <c r="U1247" s="3"/>
      <c r="V1247" s="3"/>
    </row>
    <row r="1248" spans="1:22">
      <c r="A1248" s="3" t="str">
        <f>VLOOKUP(D1248,[1]Orc!A:B,2,0)</f>
        <v>Not Responded</v>
      </c>
      <c r="B1248" s="31">
        <f>VLOOKUP(D1248,[1]Orc!A:C,3,0)</f>
        <v>42753.738235613426</v>
      </c>
      <c r="C1248" s="31">
        <v>42751.518055555556</v>
      </c>
      <c r="D1248" s="3">
        <v>3035511381</v>
      </c>
      <c r="E1248" s="3" t="s">
        <v>31</v>
      </c>
      <c r="F1248" s="3" t="s">
        <v>223</v>
      </c>
      <c r="G1248" s="3" t="str">
        <f>VLOOKUP(F1248,[1]Mapa!A:B,2,0)</f>
        <v>Daniel Sousa Pinheiro</v>
      </c>
      <c r="H1248" s="3" t="s">
        <v>103</v>
      </c>
      <c r="I1248" s="3" t="str">
        <f>VLOOKUP(H1248,[1]Mapa!A:B,2,0)</f>
        <v>Anderson Soares Silveira</v>
      </c>
      <c r="J1248" s="3" t="s">
        <v>91</v>
      </c>
      <c r="K1248" s="3" t="str">
        <f t="shared" si="4"/>
        <v>SKILL DIFERENTE</v>
      </c>
      <c r="L1248" s="3" t="s">
        <v>871</v>
      </c>
      <c r="M1248" s="3" t="s">
        <v>65</v>
      </c>
      <c r="N1248" s="3" t="s">
        <v>66</v>
      </c>
      <c r="O1248" s="3" t="s">
        <v>65</v>
      </c>
      <c r="P1248" s="3" t="s">
        <v>876</v>
      </c>
      <c r="Q1248" s="31">
        <v>42752</v>
      </c>
      <c r="R1248" s="3" t="str">
        <f>IFERROR(VLOOKUP(J1248,[1]PL!A:B,2,0),"")</f>
        <v>PSG</v>
      </c>
      <c r="S1248" s="3" t="str">
        <f>IFERROR(VLOOKUP(H1248,[1]Mapa!A:D,4,0),"")</f>
        <v>TCO</v>
      </c>
      <c r="T1248" s="3"/>
      <c r="U1248" s="3"/>
      <c r="V1248" s="3"/>
    </row>
    <row r="1249" spans="1:22">
      <c r="A1249" s="3" t="str">
        <f>VLOOKUP(D1249,[1]Orc!A:B,2,0)</f>
        <v>Not Responded</v>
      </c>
      <c r="B1249" s="31">
        <f>VLOOKUP(D1249,[1]Orc!A:C,3,0)</f>
        <v>42751.734828043984</v>
      </c>
      <c r="C1249" s="31">
        <v>42749.606249999997</v>
      </c>
      <c r="D1249" s="3">
        <v>3035775375</v>
      </c>
      <c r="E1249" s="3" t="s">
        <v>31</v>
      </c>
      <c r="F1249" s="3" t="s">
        <v>156</v>
      </c>
      <c r="G1249" s="3" t="str">
        <f>VLOOKUP(F1249,[1]Mapa!A:B,2,0)</f>
        <v>Felipe Alves Barbosa</v>
      </c>
      <c r="H1249" s="3" t="s">
        <v>156</v>
      </c>
      <c r="I1249" s="3" t="str">
        <f>VLOOKUP(H1249,[1]Mapa!A:B,2,0)</f>
        <v>Felipe Alves Barbosa</v>
      </c>
      <c r="J1249" s="3" t="s">
        <v>93</v>
      </c>
      <c r="K1249" s="3" t="str">
        <f t="shared" si="4"/>
        <v>SKILL IGUAL</v>
      </c>
      <c r="L1249" s="3" t="s">
        <v>866</v>
      </c>
      <c r="M1249" s="3" t="s">
        <v>70</v>
      </c>
      <c r="N1249" s="3" t="s">
        <v>60</v>
      </c>
      <c r="O1249" s="3" t="s">
        <v>4231</v>
      </c>
      <c r="P1249" s="3" t="s">
        <v>867</v>
      </c>
      <c r="Q1249" s="31">
        <v>42753</v>
      </c>
      <c r="R1249" s="3" t="str">
        <f>IFERROR(VLOOKUP(J1249,[1]PL!A:B,2,0),"")</f>
        <v>PSG</v>
      </c>
      <c r="S1249" s="3" t="str">
        <f>IFERROR(VLOOKUP(H1249,[1]Mapa!A:D,4,0),"")</f>
        <v>PSG</v>
      </c>
      <c r="T1249" s="3"/>
      <c r="U1249" s="3"/>
      <c r="V1249" s="3"/>
    </row>
    <row r="1250" spans="1:22">
      <c r="A1250" s="3" t="str">
        <f>VLOOKUP(D1250,[1]Orc!A:B,2,0)</f>
        <v>Completed Surveys</v>
      </c>
      <c r="B1250" s="31">
        <f>VLOOKUP(D1250,[1]Orc!A:C,3,0)</f>
        <v>42717.737089236114</v>
      </c>
      <c r="C1250" s="31">
        <v>42751.570833333331</v>
      </c>
      <c r="D1250" s="3">
        <v>3034443763</v>
      </c>
      <c r="E1250" s="3" t="s">
        <v>31</v>
      </c>
      <c r="F1250" s="3" t="s">
        <v>213</v>
      </c>
      <c r="G1250" s="3" t="str">
        <f>VLOOKUP(F1250,[1]Mapa!A:B,2,0)</f>
        <v>Leonardo Cantilho Maracas</v>
      </c>
      <c r="H1250" s="3" t="s">
        <v>103</v>
      </c>
      <c r="I1250" s="3" t="str">
        <f>VLOOKUP(H1250,[1]Mapa!A:B,2,0)</f>
        <v>Anderson Soares Silveira</v>
      </c>
      <c r="J1250" s="3" t="s">
        <v>93</v>
      </c>
      <c r="K1250" s="3" t="str">
        <f t="shared" si="4"/>
        <v>SKILL DIFERENTE</v>
      </c>
      <c r="L1250" s="3" t="s">
        <v>871</v>
      </c>
      <c r="M1250" s="3" t="s">
        <v>65</v>
      </c>
      <c r="N1250" s="3" t="s">
        <v>66</v>
      </c>
      <c r="O1250" s="3" t="s">
        <v>65</v>
      </c>
      <c r="P1250" s="3" t="s">
        <v>876</v>
      </c>
      <c r="Q1250" s="31">
        <v>42752</v>
      </c>
      <c r="R1250" s="3" t="str">
        <f>IFERROR(VLOOKUP(J1250,[1]PL!A:B,2,0),"")</f>
        <v>PSG</v>
      </c>
      <c r="S1250" s="3" t="str">
        <f>IFERROR(VLOOKUP(H1250,[1]Mapa!A:D,4,0),"")</f>
        <v>TCO</v>
      </c>
      <c r="T1250" s="3"/>
      <c r="U1250" s="3"/>
      <c r="V1250" s="3"/>
    </row>
    <row r="1251" spans="1:22">
      <c r="A1251" s="3" t="str">
        <f>VLOOKUP(D1251,[1]Orc!A:B,2,0)</f>
        <v>Sample Rejected</v>
      </c>
      <c r="B1251" s="31">
        <f>VLOOKUP(D1251,[1]Orc!A:C,3,0)</f>
        <v>42753.738214849538</v>
      </c>
      <c r="C1251" s="31">
        <v>42751.633333333331</v>
      </c>
      <c r="D1251" s="3">
        <v>3035686939</v>
      </c>
      <c r="E1251" s="3" t="s">
        <v>31</v>
      </c>
      <c r="F1251" s="3" t="s">
        <v>156</v>
      </c>
      <c r="G1251" s="3" t="str">
        <f>VLOOKUP(F1251,[1]Mapa!A:B,2,0)</f>
        <v>Felipe Alves Barbosa</v>
      </c>
      <c r="H1251" s="3" t="s">
        <v>209</v>
      </c>
      <c r="I1251" s="3" t="str">
        <f>VLOOKUP(H1251,[1]Mapa!A:B,2,0)</f>
        <v>Taina Alexsander Fernandes Pires</v>
      </c>
      <c r="J1251" s="3" t="s">
        <v>93</v>
      </c>
      <c r="K1251" s="3" t="str">
        <f t="shared" si="4"/>
        <v>SKILL DIFERENTE</v>
      </c>
      <c r="L1251" s="3" t="s">
        <v>866</v>
      </c>
      <c r="M1251" s="3" t="s">
        <v>70</v>
      </c>
      <c r="N1251" s="3" t="s">
        <v>75</v>
      </c>
      <c r="O1251" s="3" t="s">
        <v>4218</v>
      </c>
      <c r="P1251" s="3" t="s">
        <v>876</v>
      </c>
      <c r="Q1251" s="31">
        <v>42752</v>
      </c>
      <c r="R1251" s="3" t="str">
        <f>IFERROR(VLOOKUP(J1251,[1]PL!A:B,2,0),"")</f>
        <v>PSG</v>
      </c>
      <c r="S1251" s="3" t="str">
        <f>IFERROR(VLOOKUP(H1251,[1]Mapa!A:D,4,0),"")</f>
        <v>FUPOTECH</v>
      </c>
      <c r="T1251" s="3"/>
      <c r="U1251" s="3"/>
      <c r="V1251" s="3"/>
    </row>
    <row r="1252" spans="1:22">
      <c r="A1252" s="3" t="str">
        <f>VLOOKUP(D1252,[1]Orc!A:B,2,0)</f>
        <v>Not Responded</v>
      </c>
      <c r="B1252" s="31">
        <f>VLOOKUP(D1252,[1]Orc!A:C,3,0)</f>
        <v>42751.734828043984</v>
      </c>
      <c r="C1252" s="31">
        <v>42749.726388888892</v>
      </c>
      <c r="D1252" s="3">
        <v>3035778556</v>
      </c>
      <c r="E1252" s="3" t="s">
        <v>39</v>
      </c>
      <c r="F1252" s="3" t="s">
        <v>244</v>
      </c>
      <c r="G1252" s="3" t="str">
        <f>VLOOKUP(F1252,[1]Mapa!A:B,2,0)</f>
        <v>Clarina Praxedes Alfredo</v>
      </c>
      <c r="H1252" s="3" t="s">
        <v>244</v>
      </c>
      <c r="I1252" s="3" t="str">
        <f>VLOOKUP(H1252,[1]Mapa!A:B,2,0)</f>
        <v>Clarina Praxedes Alfredo</v>
      </c>
      <c r="J1252" s="3" t="s">
        <v>93</v>
      </c>
      <c r="K1252" s="3" t="str">
        <f t="shared" si="4"/>
        <v>SKILL IGUAL</v>
      </c>
      <c r="L1252" s="3" t="s">
        <v>871</v>
      </c>
      <c r="M1252" s="3" t="s">
        <v>84</v>
      </c>
      <c r="N1252" s="3" t="s">
        <v>85</v>
      </c>
      <c r="O1252" s="3" t="s">
        <v>887</v>
      </c>
      <c r="P1252" s="3" t="s">
        <v>867</v>
      </c>
      <c r="Q1252" s="31">
        <v>42754</v>
      </c>
      <c r="R1252" s="3" t="str">
        <f>IFERROR(VLOOKUP(J1252,[1]PL!A:B,2,0),"")</f>
        <v>PSG</v>
      </c>
      <c r="S1252" s="3" t="str">
        <f>IFERROR(VLOOKUP(H1252,[1]Mapa!A:D,4,0),"")</f>
        <v>PSG</v>
      </c>
      <c r="T1252" s="3"/>
      <c r="U1252" s="3"/>
      <c r="V1252" s="3"/>
    </row>
    <row r="1253" spans="1:22">
      <c r="A1253" s="3" t="e">
        <f>VLOOKUP(D1253,[1]Orc!A:B,2,0)</f>
        <v>#N/A</v>
      </c>
      <c r="B1253" s="31" t="e">
        <f>VLOOKUP(D1253,[1]Orc!A:C,3,0)</f>
        <v>#N/A</v>
      </c>
      <c r="C1253" s="31">
        <v>42751.661111111112</v>
      </c>
      <c r="D1253" s="3">
        <v>3034708248</v>
      </c>
      <c r="E1253" s="3" t="s">
        <v>31</v>
      </c>
      <c r="F1253" s="3" t="s">
        <v>227</v>
      </c>
      <c r="G1253" s="3" t="str">
        <f>VLOOKUP(F1253,[1]Mapa!A:B,2,0)</f>
        <v>Bruno Henrique Padua Colella</v>
      </c>
      <c r="H1253" s="3" t="s">
        <v>103</v>
      </c>
      <c r="I1253" s="3" t="str">
        <f>VLOOKUP(H1253,[1]Mapa!A:B,2,0)</f>
        <v>Anderson Soares Silveira</v>
      </c>
      <c r="J1253" s="3" t="s">
        <v>93</v>
      </c>
      <c r="K1253" s="3" t="str">
        <f t="shared" si="4"/>
        <v>SKILL DIFERENTE</v>
      </c>
      <c r="L1253" s="3" t="s">
        <v>871</v>
      </c>
      <c r="M1253" s="3" t="s">
        <v>65</v>
      </c>
      <c r="N1253" s="3" t="s">
        <v>66</v>
      </c>
      <c r="O1253" s="3" t="s">
        <v>4019</v>
      </c>
      <c r="P1253" s="3" t="s">
        <v>867</v>
      </c>
      <c r="Q1253" s="31">
        <v>42752</v>
      </c>
      <c r="R1253" s="3" t="str">
        <f>IFERROR(VLOOKUP(J1253,[1]PL!A:B,2,0),"")</f>
        <v>PSG</v>
      </c>
      <c r="S1253" s="3" t="str">
        <f>IFERROR(VLOOKUP(H1253,[1]Mapa!A:D,4,0),"")</f>
        <v>TCO</v>
      </c>
      <c r="T1253" s="3"/>
      <c r="U1253" s="3"/>
      <c r="V1253" s="3"/>
    </row>
    <row r="1254" spans="1:22">
      <c r="A1254" s="3" t="e">
        <f>VLOOKUP(D1254,[1]Orc!A:B,2,0)</f>
        <v>#N/A</v>
      </c>
      <c r="B1254" s="31" t="e">
        <f>VLOOKUP(D1254,[1]Orc!A:C,3,0)</f>
        <v>#N/A</v>
      </c>
      <c r="C1254" s="31">
        <v>42751.676388888889</v>
      </c>
      <c r="D1254" s="3">
        <v>3035641885</v>
      </c>
      <c r="E1254" s="3" t="s">
        <v>31</v>
      </c>
      <c r="F1254" s="3" t="s">
        <v>206</v>
      </c>
      <c r="G1254" s="3" t="str">
        <f>VLOOKUP(F1254,[1]Mapa!A:B,2,0)</f>
        <v>Alvani Elizabete Aliano de Oliveira</v>
      </c>
      <c r="H1254" s="3" t="s">
        <v>883</v>
      </c>
      <c r="I1254" s="3" t="str">
        <f>VLOOKUP(H1254,[1]Mapa!A:B,2,0)</f>
        <v>Fernando Quintino Tavares</v>
      </c>
      <c r="J1254" s="3" t="s">
        <v>100</v>
      </c>
      <c r="K1254" s="3" t="str">
        <f t="shared" si="4"/>
        <v>SKILL DIFERENTE</v>
      </c>
      <c r="L1254" s="3" t="s">
        <v>871</v>
      </c>
      <c r="M1254" s="3" t="s">
        <v>65</v>
      </c>
      <c r="N1254" s="3" t="s">
        <v>66</v>
      </c>
      <c r="O1254" s="3" t="s">
        <v>4020</v>
      </c>
      <c r="P1254" s="3" t="s">
        <v>867</v>
      </c>
      <c r="Q1254" s="31">
        <v>42752</v>
      </c>
      <c r="R1254" s="3" t="str">
        <f>IFERROR(VLOOKUP(J1254,[1]PL!A:B,2,0),"")</f>
        <v>PSG</v>
      </c>
      <c r="S1254" s="3" t="str">
        <f>IFERROR(VLOOKUP(H1254,[1]Mapa!A:D,4,0),"")</f>
        <v>TCO</v>
      </c>
      <c r="T1254" s="3"/>
      <c r="U1254" s="3"/>
      <c r="V1254" s="3"/>
    </row>
    <row r="1255" spans="1:22">
      <c r="A1255" s="3" t="str">
        <f>VLOOKUP(D1255,[1]Orc!A:B,2,0)</f>
        <v>Completed Surveys</v>
      </c>
      <c r="B1255" s="31">
        <f>VLOOKUP(D1255,[1]Orc!A:C,3,0)</f>
        <v>42751.734828043984</v>
      </c>
      <c r="C1255" s="31">
        <v>42749.821527777778</v>
      </c>
      <c r="D1255" s="3">
        <v>3035780835</v>
      </c>
      <c r="E1255" s="3" t="s">
        <v>39</v>
      </c>
      <c r="F1255" s="3" t="s">
        <v>225</v>
      </c>
      <c r="G1255" s="3" t="str">
        <f>VLOOKUP(F1255,[1]Mapa!A:B,2,0)</f>
        <v>Eduardo Paixao Oliveira</v>
      </c>
      <c r="H1255" s="3" t="s">
        <v>225</v>
      </c>
      <c r="I1255" s="3" t="str">
        <f>VLOOKUP(H1255,[1]Mapa!A:B,2,0)</f>
        <v>Eduardo Paixao Oliveira</v>
      </c>
      <c r="J1255" s="3" t="s">
        <v>100</v>
      </c>
      <c r="K1255" s="3" t="str">
        <f t="shared" si="4"/>
        <v>SKILL IGUAL</v>
      </c>
      <c r="L1255" s="3" t="s">
        <v>871</v>
      </c>
      <c r="M1255" s="3" t="s">
        <v>84</v>
      </c>
      <c r="N1255" s="3" t="s">
        <v>85</v>
      </c>
      <c r="O1255" s="3" t="s">
        <v>4249</v>
      </c>
      <c r="P1255" s="3" t="s">
        <v>867</v>
      </c>
      <c r="Q1255" s="31">
        <v>42753</v>
      </c>
      <c r="R1255" s="3" t="str">
        <f>IFERROR(VLOOKUP(J1255,[1]PL!A:B,2,0),"")</f>
        <v>PSG</v>
      </c>
      <c r="S1255" s="3" t="str">
        <f>IFERROR(VLOOKUP(H1255,[1]Mapa!A:D,4,0),"")</f>
        <v>PSG</v>
      </c>
      <c r="T1255" s="3"/>
      <c r="U1255" s="3"/>
      <c r="V1255" s="3"/>
    </row>
    <row r="1256" spans="1:22">
      <c r="A1256" s="3" t="str">
        <f>VLOOKUP(D1256,[1]Orc!A:B,2,0)</f>
        <v>Not Responded</v>
      </c>
      <c r="B1256" s="31">
        <f>VLOOKUP(D1256,[1]Orc!A:C,3,0)</f>
        <v>42753.738214849538</v>
      </c>
      <c r="C1256" s="31">
        <v>42751.375</v>
      </c>
      <c r="D1256" s="3">
        <v>3035805942</v>
      </c>
      <c r="E1256" s="3" t="e">
        <v>#N/A</v>
      </c>
      <c r="F1256" s="3" t="s">
        <v>230</v>
      </c>
      <c r="G1256" s="3" t="e">
        <f>VLOOKUP(F1256,[1]Mapa!A:B,2,0)</f>
        <v>#N/A</v>
      </c>
      <c r="H1256" s="3" t="s">
        <v>230</v>
      </c>
      <c r="I1256" s="3" t="e">
        <f>VLOOKUP(H1256,[1]Mapa!A:B,2,0)</f>
        <v>#N/A</v>
      </c>
      <c r="J1256" s="3" t="s">
        <v>256</v>
      </c>
      <c r="K1256" s="3" t="str">
        <f t="shared" si="4"/>
        <v>SKILL IGUAL</v>
      </c>
      <c r="L1256" s="3" t="s">
        <v>871</v>
      </c>
      <c r="M1256" s="3" t="s">
        <v>84</v>
      </c>
      <c r="N1256" s="3" t="s">
        <v>85</v>
      </c>
      <c r="O1256" s="3" t="s">
        <v>4250</v>
      </c>
      <c r="P1256" s="3" t="s">
        <v>867</v>
      </c>
      <c r="Q1256" s="31">
        <v>42753</v>
      </c>
      <c r="R1256" s="3" t="str">
        <f>IFERROR(VLOOKUP(J1256,[1]PL!A:B,2,0),"")</f>
        <v/>
      </c>
      <c r="S1256" s="3" t="str">
        <f>IFERROR(VLOOKUP(H1256,[1]Mapa!A:D,4,0),"")</f>
        <v/>
      </c>
      <c r="T1256" s="3"/>
      <c r="U1256" s="3"/>
      <c r="V1256" s="3"/>
    </row>
    <row r="1257" spans="1:22">
      <c r="A1257" s="3" t="str">
        <f>VLOOKUP(D1257,[1]Orc!A:B,2,0)</f>
        <v>Not Responded</v>
      </c>
      <c r="B1257" s="31">
        <f>VLOOKUP(D1257,[1]Orc!A:C,3,0)</f>
        <v>42753.738214849538</v>
      </c>
      <c r="C1257" s="31">
        <v>42751.689583333333</v>
      </c>
      <c r="D1257" s="3">
        <v>3035820121</v>
      </c>
      <c r="E1257" s="3" t="s">
        <v>31</v>
      </c>
      <c r="F1257" s="3" t="s">
        <v>223</v>
      </c>
      <c r="G1257" s="3" t="str">
        <f>VLOOKUP(F1257,[1]Mapa!A:B,2,0)</f>
        <v>Daniel Sousa Pinheiro</v>
      </c>
      <c r="H1257" s="3" t="s">
        <v>223</v>
      </c>
      <c r="I1257" s="3" t="str">
        <f>VLOOKUP(H1257,[1]Mapa!A:B,2,0)</f>
        <v>Daniel Sousa Pinheiro</v>
      </c>
      <c r="J1257" s="3" t="s">
        <v>93</v>
      </c>
      <c r="K1257" s="3" t="str">
        <f t="shared" si="4"/>
        <v>SKILL IGUAL</v>
      </c>
      <c r="L1257" s="3" t="s">
        <v>866</v>
      </c>
      <c r="M1257" s="3" t="s">
        <v>70</v>
      </c>
      <c r="N1257" s="3" t="s">
        <v>71</v>
      </c>
      <c r="O1257" s="3" t="s">
        <v>4021</v>
      </c>
      <c r="P1257" s="3" t="s">
        <v>867</v>
      </c>
      <c r="Q1257" s="31">
        <v>42752</v>
      </c>
      <c r="R1257" s="3" t="str">
        <f>IFERROR(VLOOKUP(J1257,[1]PL!A:B,2,0),"")</f>
        <v>PSG</v>
      </c>
      <c r="S1257" s="3" t="str">
        <f>IFERROR(VLOOKUP(H1257,[1]Mapa!A:D,4,0),"")</f>
        <v>PSG</v>
      </c>
      <c r="T1257" s="3"/>
      <c r="U1257" s="3" t="s">
        <v>3148</v>
      </c>
      <c r="V1257" s="3"/>
    </row>
    <row r="1258" spans="1:22">
      <c r="A1258" s="3" t="str">
        <f>VLOOKUP(D1258,[1]Orc!A:B,2,0)</f>
        <v>Sample Rejected</v>
      </c>
      <c r="B1258" s="31">
        <f>VLOOKUP(D1258,[1]Orc!A:C,3,0)</f>
        <v>42753.738214849538</v>
      </c>
      <c r="C1258" s="31">
        <v>42751.400694444441</v>
      </c>
      <c r="D1258" s="3">
        <v>3035721324</v>
      </c>
      <c r="E1258" s="3" t="s">
        <v>31</v>
      </c>
      <c r="F1258" s="3" t="s">
        <v>213</v>
      </c>
      <c r="G1258" s="3" t="str">
        <f>VLOOKUP(F1258,[1]Mapa!A:B,2,0)</f>
        <v>Leonardo Cantilho Maracas</v>
      </c>
      <c r="H1258" s="3" t="s">
        <v>209</v>
      </c>
      <c r="I1258" s="3" t="str">
        <f>VLOOKUP(H1258,[1]Mapa!A:B,2,0)</f>
        <v>Taina Alexsander Fernandes Pires</v>
      </c>
      <c r="J1258" s="3" t="s">
        <v>93</v>
      </c>
      <c r="K1258" s="3" t="str">
        <f t="shared" si="4"/>
        <v>SKILL DIFERENTE</v>
      </c>
      <c r="L1258" s="3" t="s">
        <v>866</v>
      </c>
      <c r="M1258" s="3" t="s">
        <v>59</v>
      </c>
      <c r="N1258" s="3" t="s">
        <v>60</v>
      </c>
      <c r="O1258" s="3" t="s">
        <v>4232</v>
      </c>
      <c r="P1258" s="3" t="s">
        <v>867</v>
      </c>
      <c r="Q1258" s="31">
        <v>42753</v>
      </c>
      <c r="R1258" s="3" t="str">
        <f>IFERROR(VLOOKUP(J1258,[1]PL!A:B,2,0),"")</f>
        <v>PSG</v>
      </c>
      <c r="S1258" s="3" t="str">
        <f>IFERROR(VLOOKUP(H1258,[1]Mapa!A:D,4,0),"")</f>
        <v>FUPOTECH</v>
      </c>
      <c r="T1258" s="3"/>
      <c r="U1258" s="3"/>
      <c r="V1258" s="3"/>
    </row>
    <row r="1259" spans="1:22">
      <c r="A1259" s="3" t="str">
        <f>VLOOKUP(D1259,[1]Orc!A:B,2,0)</f>
        <v>Not Responded</v>
      </c>
      <c r="B1259" s="31">
        <f>VLOOKUP(D1259,[1]Orc!A:C,3,0)</f>
        <v>42753.738214849538</v>
      </c>
      <c r="C1259" s="31">
        <v>42751.404166666667</v>
      </c>
      <c r="D1259" s="3">
        <v>3035806307</v>
      </c>
      <c r="E1259" s="3" t="e">
        <v>#N/A</v>
      </c>
      <c r="F1259" s="3" t="s">
        <v>230</v>
      </c>
      <c r="G1259" s="3" t="e">
        <f>VLOOKUP(F1259,[1]Mapa!A:B,2,0)</f>
        <v>#N/A</v>
      </c>
      <c r="H1259" s="3" t="s">
        <v>230</v>
      </c>
      <c r="I1259" s="3" t="e">
        <f>VLOOKUP(H1259,[1]Mapa!A:B,2,0)</f>
        <v>#N/A</v>
      </c>
      <c r="J1259" s="3" t="s">
        <v>256</v>
      </c>
      <c r="K1259" s="3" t="str">
        <f t="shared" si="4"/>
        <v>SKILL IGUAL</v>
      </c>
      <c r="L1259" s="3" t="s">
        <v>866</v>
      </c>
      <c r="M1259" s="3" t="s">
        <v>70</v>
      </c>
      <c r="N1259" s="3" t="s">
        <v>71</v>
      </c>
      <c r="O1259" s="3" t="s">
        <v>4396</v>
      </c>
      <c r="P1259" s="3" t="s">
        <v>867</v>
      </c>
      <c r="Q1259" s="31">
        <v>42754</v>
      </c>
      <c r="R1259" s="3" t="str">
        <f>IFERROR(VLOOKUP(J1259,[1]PL!A:B,2,0),"")</f>
        <v/>
      </c>
      <c r="S1259" s="3" t="str">
        <f>IFERROR(VLOOKUP(H1259,[1]Mapa!A:D,4,0),"")</f>
        <v/>
      </c>
      <c r="T1259" s="3"/>
      <c r="U1259" s="3"/>
      <c r="V1259" s="3"/>
    </row>
    <row r="1260" spans="1:22">
      <c r="A1260" s="3" t="str">
        <f>VLOOKUP(D1260,[1]Orc!A:B,2,0)</f>
        <v>Not Responded</v>
      </c>
      <c r="B1260" s="31">
        <f>VLOOKUP(D1260,[1]Orc!A:C,3,0)</f>
        <v>42753.738214849538</v>
      </c>
      <c r="C1260" s="31">
        <v>42751.425000000003</v>
      </c>
      <c r="D1260" s="3">
        <v>3035807080</v>
      </c>
      <c r="E1260" s="3" t="e">
        <v>#N/A</v>
      </c>
      <c r="F1260" s="3" t="s">
        <v>230</v>
      </c>
      <c r="G1260" s="3" t="e">
        <f>VLOOKUP(F1260,[1]Mapa!A:B,2,0)</f>
        <v>#N/A</v>
      </c>
      <c r="H1260" s="3" t="s">
        <v>230</v>
      </c>
      <c r="I1260" s="3" t="e">
        <f>VLOOKUP(H1260,[1]Mapa!A:B,2,0)</f>
        <v>#N/A</v>
      </c>
      <c r="J1260" s="3" t="s">
        <v>256</v>
      </c>
      <c r="K1260" s="3" t="str">
        <f t="shared" si="4"/>
        <v>SKILL IGUAL</v>
      </c>
      <c r="L1260" s="3" t="s">
        <v>871</v>
      </c>
      <c r="M1260" s="3" t="s">
        <v>84</v>
      </c>
      <c r="N1260" s="3" t="s">
        <v>85</v>
      </c>
      <c r="O1260" s="3" t="s">
        <v>4408</v>
      </c>
      <c r="P1260" s="3" t="s">
        <v>867</v>
      </c>
      <c r="Q1260" s="31">
        <v>42754</v>
      </c>
      <c r="R1260" s="3" t="str">
        <f>IFERROR(VLOOKUP(J1260,[1]PL!A:B,2,0),"")</f>
        <v/>
      </c>
      <c r="S1260" s="3" t="str">
        <f>IFERROR(VLOOKUP(H1260,[1]Mapa!A:D,4,0),"")</f>
        <v/>
      </c>
      <c r="T1260" s="3"/>
      <c r="U1260" s="3"/>
      <c r="V1260" s="3"/>
    </row>
    <row r="1261" spans="1:22">
      <c r="A1261" s="3" t="str">
        <f>VLOOKUP(D1261,[1]Orc!A:B,2,0)</f>
        <v>Not Responded</v>
      </c>
      <c r="B1261" s="31">
        <f>VLOOKUP(D1261,[1]Orc!A:C,3,0)</f>
        <v>42753.738214849538</v>
      </c>
      <c r="C1261" s="31">
        <v>42751.47152777778</v>
      </c>
      <c r="D1261" s="3">
        <v>3035808686</v>
      </c>
      <c r="E1261" s="3" t="s">
        <v>31</v>
      </c>
      <c r="F1261" s="3" t="s">
        <v>221</v>
      </c>
      <c r="G1261" s="3" t="str">
        <f>VLOOKUP(F1261,[1]Mapa!A:B,2,0)</f>
        <v>Fabio Perez Da Silva</v>
      </c>
      <c r="H1261" s="3" t="s">
        <v>221</v>
      </c>
      <c r="I1261" s="3" t="str">
        <f>VLOOKUP(H1261,[1]Mapa!A:B,2,0)</f>
        <v>Fabio Perez Da Silva</v>
      </c>
      <c r="J1261" s="3" t="s">
        <v>93</v>
      </c>
      <c r="K1261" s="3" t="str">
        <f t="shared" si="4"/>
        <v>SKILL IGUAL</v>
      </c>
      <c r="L1261" s="3" t="s">
        <v>866</v>
      </c>
      <c r="M1261" s="3" t="s">
        <v>70</v>
      </c>
      <c r="N1261" s="3" t="s">
        <v>60</v>
      </c>
      <c r="O1261" s="3" t="s">
        <v>4409</v>
      </c>
      <c r="P1261" s="3" t="s">
        <v>867</v>
      </c>
      <c r="Q1261" s="31">
        <v>42754</v>
      </c>
      <c r="R1261" s="3" t="str">
        <f>IFERROR(VLOOKUP(J1261,[1]PL!A:B,2,0),"")</f>
        <v>PSG</v>
      </c>
      <c r="S1261" s="3" t="str">
        <f>IFERROR(VLOOKUP(H1261,[1]Mapa!A:D,4,0),"")</f>
        <v>PSG</v>
      </c>
      <c r="T1261" s="3"/>
      <c r="U1261" s="3"/>
      <c r="V1261" s="3"/>
    </row>
    <row r="1262" spans="1:22">
      <c r="A1262" s="3" t="str">
        <f>VLOOKUP(D1262,[1]Orc!A:B,2,0)</f>
        <v>Not Responded</v>
      </c>
      <c r="B1262" s="31">
        <f>VLOOKUP(D1262,[1]Orc!A:C,3,0)</f>
        <v>42753.738214849538</v>
      </c>
      <c r="C1262" s="31">
        <v>42751.651388888888</v>
      </c>
      <c r="D1262" s="3">
        <v>3035818168</v>
      </c>
      <c r="E1262" s="3" t="s">
        <v>39</v>
      </c>
      <c r="F1262" s="3" t="s">
        <v>234</v>
      </c>
      <c r="G1262" s="3" t="str">
        <f>VLOOKUP(F1262,[1]Mapa!A:B,2,0)</f>
        <v>Levi De Sousa Barros</v>
      </c>
      <c r="H1262" s="3" t="s">
        <v>234</v>
      </c>
      <c r="I1262" s="3" t="str">
        <f>VLOOKUP(H1262,[1]Mapa!A:B,2,0)</f>
        <v>Levi De Sousa Barros</v>
      </c>
      <c r="J1262" s="3" t="s">
        <v>100</v>
      </c>
      <c r="K1262" s="3" t="str">
        <f t="shared" si="4"/>
        <v>SKILL IGUAL</v>
      </c>
      <c r="L1262" s="3" t="s">
        <v>866</v>
      </c>
      <c r="M1262" s="3" t="s">
        <v>59</v>
      </c>
      <c r="N1262" s="3" t="s">
        <v>60</v>
      </c>
      <c r="O1262" s="3" t="s">
        <v>229</v>
      </c>
      <c r="P1262" s="3" t="s">
        <v>867</v>
      </c>
      <c r="Q1262" s="31">
        <v>42753</v>
      </c>
      <c r="R1262" s="3" t="str">
        <f>IFERROR(VLOOKUP(J1262,[1]PL!A:B,2,0),"")</f>
        <v>PSG</v>
      </c>
      <c r="S1262" s="3" t="str">
        <f>IFERROR(VLOOKUP(H1262,[1]Mapa!A:D,4,0),"")</f>
        <v>PSG</v>
      </c>
      <c r="T1262" s="3"/>
      <c r="U1262" s="3"/>
      <c r="V1262" s="3"/>
    </row>
    <row r="1263" spans="1:22">
      <c r="A1263" s="3" t="str">
        <f>VLOOKUP(D1263,[1]Orc!A:B,2,0)</f>
        <v>Bounced Back Emails</v>
      </c>
      <c r="B1263" s="31">
        <f>VLOOKUP(D1263,[1]Orc!A:C,3,0)</f>
        <v>42753.738214849538</v>
      </c>
      <c r="C1263" s="31">
        <v>42751.684027777781</v>
      </c>
      <c r="D1263" s="3">
        <v>3035756506</v>
      </c>
      <c r="E1263" s="3" t="s">
        <v>23</v>
      </c>
      <c r="F1263" s="3" t="s">
        <v>119</v>
      </c>
      <c r="G1263" s="3" t="str">
        <f>VLOOKUP(F1263,[1]Mapa!A:B,2,0)</f>
        <v xml:space="preserve">Leandro Ferreira Batista </v>
      </c>
      <c r="H1263" s="3" t="s">
        <v>139</v>
      </c>
      <c r="I1263" s="3" t="str">
        <f>VLOOKUP(H1263,[1]Mapa!A:B,2,0)</f>
        <v>Vanderlei Valentim Vieira</v>
      </c>
      <c r="J1263" s="3" t="s">
        <v>100</v>
      </c>
      <c r="K1263" s="3" t="str">
        <f t="shared" si="4"/>
        <v>SKILL DIFERENTE</v>
      </c>
      <c r="L1263" s="3" t="s">
        <v>871</v>
      </c>
      <c r="M1263" s="3" t="s">
        <v>932</v>
      </c>
      <c r="N1263" s="3" t="s">
        <v>85</v>
      </c>
      <c r="O1263" s="3" t="s">
        <v>887</v>
      </c>
      <c r="P1263" s="3" t="s">
        <v>867</v>
      </c>
      <c r="Q1263" s="31">
        <v>42753</v>
      </c>
      <c r="R1263" s="3" t="str">
        <f>IFERROR(VLOOKUP(J1263,[1]PL!A:B,2,0),"")</f>
        <v>PSG</v>
      </c>
      <c r="S1263" s="3" t="str">
        <f>IFERROR(VLOOKUP(H1263,[1]Mapa!A:D,4,0),"")</f>
        <v>FUPOTECH</v>
      </c>
      <c r="T1263" s="3"/>
      <c r="U1263" s="3" t="s">
        <v>2676</v>
      </c>
      <c r="V1263" s="3"/>
    </row>
    <row r="1264" spans="1:22">
      <c r="A1264" s="3" t="str">
        <f>VLOOKUP(D1264,[1]Orc!A:B,2,0)</f>
        <v>Not Responded</v>
      </c>
      <c r="B1264" s="31">
        <f>VLOOKUP(D1264,[1]Orc!A:C,3,0)</f>
        <v>42753.738214849538</v>
      </c>
      <c r="C1264" s="31">
        <v>42751.818055555559</v>
      </c>
      <c r="D1264" s="3">
        <v>3035732519</v>
      </c>
      <c r="E1264" s="3" t="s">
        <v>23</v>
      </c>
      <c r="F1264" s="3" t="s">
        <v>149</v>
      </c>
      <c r="G1264" s="3" t="str">
        <f>VLOOKUP(F1264,[1]Mapa!A:B,2,0)</f>
        <v>Kaio Victor de Santana</v>
      </c>
      <c r="H1264" s="3" t="s">
        <v>139</v>
      </c>
      <c r="I1264" s="3" t="str">
        <f>VLOOKUP(H1264,[1]Mapa!A:B,2,0)</f>
        <v>Vanderlei Valentim Vieira</v>
      </c>
      <c r="J1264" s="3" t="s">
        <v>93</v>
      </c>
      <c r="K1264" s="3" t="str">
        <f t="shared" si="4"/>
        <v>SKILL DIFERENTE</v>
      </c>
      <c r="L1264" s="3" t="s">
        <v>866</v>
      </c>
      <c r="M1264" s="3" t="s">
        <v>70</v>
      </c>
      <c r="N1264" s="3" t="s">
        <v>75</v>
      </c>
      <c r="O1264" s="3" t="s">
        <v>4022</v>
      </c>
      <c r="P1264" s="3" t="s">
        <v>867</v>
      </c>
      <c r="Q1264" s="31">
        <v>42752</v>
      </c>
      <c r="R1264" s="3" t="str">
        <f>IFERROR(VLOOKUP(J1264,[1]PL!A:B,2,0),"")</f>
        <v>PSG</v>
      </c>
      <c r="S1264" s="3" t="str">
        <f>IFERROR(VLOOKUP(H1264,[1]Mapa!A:D,4,0),"")</f>
        <v>FUPOTECH</v>
      </c>
      <c r="T1264" s="3"/>
      <c r="U1264" s="3"/>
      <c r="V1264" s="3"/>
    </row>
    <row r="1265" spans="1:22">
      <c r="A1265" s="3" t="str">
        <f>VLOOKUP(D1265,[1]Orc!A:B,2,0)</f>
        <v>Bounced Back Emails</v>
      </c>
      <c r="B1265" s="31">
        <f>VLOOKUP(D1265,[1]Orc!A:C,3,0)</f>
        <v>42753.738214849538</v>
      </c>
      <c r="C1265" s="31">
        <v>42751.686805555553</v>
      </c>
      <c r="D1265" s="3">
        <v>3035819203</v>
      </c>
      <c r="E1265" s="3" t="s">
        <v>31</v>
      </c>
      <c r="F1265" s="3" t="s">
        <v>145</v>
      </c>
      <c r="G1265" s="3" t="str">
        <f>VLOOKUP(F1265,[1]Mapa!A:B,2,0)</f>
        <v>Erico Luan de Jesus Silva</v>
      </c>
      <c r="H1265" s="3" t="s">
        <v>145</v>
      </c>
      <c r="I1265" s="3" t="str">
        <f>VLOOKUP(H1265,[1]Mapa!A:B,2,0)</f>
        <v>Erico Luan de Jesus Silva</v>
      </c>
      <c r="J1265" s="3" t="s">
        <v>100</v>
      </c>
      <c r="K1265" s="3" t="str">
        <f t="shared" si="4"/>
        <v>SKILL IGUAL</v>
      </c>
      <c r="L1265" s="3" t="s">
        <v>866</v>
      </c>
      <c r="M1265" s="3" t="s">
        <v>70</v>
      </c>
      <c r="N1265" s="3" t="s">
        <v>71</v>
      </c>
      <c r="O1265" s="3" t="s">
        <v>4233</v>
      </c>
      <c r="P1265" s="3" t="s">
        <v>867</v>
      </c>
      <c r="Q1265" s="31">
        <v>42753</v>
      </c>
      <c r="R1265" s="3" t="str">
        <f>IFERROR(VLOOKUP(J1265,[1]PL!A:B,2,0),"")</f>
        <v>PSG</v>
      </c>
      <c r="S1265" s="3" t="str">
        <f>IFERROR(VLOOKUP(H1265,[1]Mapa!A:D,4,0),"")</f>
        <v>PSG</v>
      </c>
      <c r="T1265" s="3"/>
      <c r="U1265" s="3"/>
      <c r="V1265" s="3"/>
    </row>
    <row r="1266" spans="1:22">
      <c r="A1266" s="3" t="str">
        <f>VLOOKUP(D1266,[1]Orc!A:B,2,0)</f>
        <v>Sample Rejected</v>
      </c>
      <c r="B1266" s="31">
        <f>VLOOKUP(D1266,[1]Orc!A:C,3,0)</f>
        <v>42753.738214849538</v>
      </c>
      <c r="C1266" s="31">
        <v>42751.707638888889</v>
      </c>
      <c r="D1266" s="3">
        <v>3035715294</v>
      </c>
      <c r="E1266" s="3" t="s">
        <v>31</v>
      </c>
      <c r="F1266" s="3" t="s">
        <v>219</v>
      </c>
      <c r="G1266" s="3" t="str">
        <f>VLOOKUP(F1266,[1]Mapa!A:B,2,0)</f>
        <v>Rafael Dos Santos</v>
      </c>
      <c r="H1266" s="3" t="s">
        <v>209</v>
      </c>
      <c r="I1266" s="3" t="str">
        <f>VLOOKUP(H1266,[1]Mapa!A:B,2,0)</f>
        <v>Taina Alexsander Fernandes Pires</v>
      </c>
      <c r="J1266" s="3" t="s">
        <v>93</v>
      </c>
      <c r="K1266" s="3" t="str">
        <f t="shared" si="4"/>
        <v>SKILL DIFERENTE</v>
      </c>
      <c r="L1266" s="3" t="s">
        <v>871</v>
      </c>
      <c r="M1266" s="3" t="s">
        <v>932</v>
      </c>
      <c r="N1266" s="3" t="s">
        <v>85</v>
      </c>
      <c r="O1266" s="3" t="s">
        <v>4234</v>
      </c>
      <c r="P1266" s="3" t="s">
        <v>867</v>
      </c>
      <c r="Q1266" s="31">
        <v>42753</v>
      </c>
      <c r="R1266" s="3" t="str">
        <f>IFERROR(VLOOKUP(J1266,[1]PL!A:B,2,0),"")</f>
        <v>PSG</v>
      </c>
      <c r="S1266" s="3" t="str">
        <f>IFERROR(VLOOKUP(H1266,[1]Mapa!A:D,4,0),"")</f>
        <v>FUPOTECH</v>
      </c>
      <c r="T1266" s="3"/>
      <c r="U1266" s="3"/>
      <c r="V1266" s="3"/>
    </row>
    <row r="1267" spans="1:22">
      <c r="A1267" s="3" t="str">
        <f>VLOOKUP(D1267,[1]Orc!A:B,2,0)</f>
        <v>Completed Surveys</v>
      </c>
      <c r="B1267" s="31">
        <f>VLOOKUP(D1267,[1]Orc!A:C,3,0)</f>
        <v>42753.738214849538</v>
      </c>
      <c r="C1267" s="31">
        <v>42751.711111111108</v>
      </c>
      <c r="D1267" s="3">
        <v>3035813572</v>
      </c>
      <c r="E1267" s="3" t="s">
        <v>31</v>
      </c>
      <c r="F1267" s="3" t="s">
        <v>216</v>
      </c>
      <c r="G1267" s="3" t="str">
        <f>VLOOKUP(F1267,[1]Mapa!A:B,2,0)</f>
        <v>Lucas Almeida Dos Santos</v>
      </c>
      <c r="H1267" s="3" t="s">
        <v>209</v>
      </c>
      <c r="I1267" s="3" t="str">
        <f>VLOOKUP(H1267,[1]Mapa!A:B,2,0)</f>
        <v>Taina Alexsander Fernandes Pires</v>
      </c>
      <c r="J1267" s="3" t="s">
        <v>93</v>
      </c>
      <c r="K1267" s="3" t="str">
        <f t="shared" ref="K1267:K1330" si="5">IFERROR(IF(S1267=R1267,"SKILL IGUAL","SKILL DIFERENTE"),"-")</f>
        <v>SKILL DIFERENTE</v>
      </c>
      <c r="L1267" s="3" t="s">
        <v>866</v>
      </c>
      <c r="M1267" s="3" t="s">
        <v>59</v>
      </c>
      <c r="N1267" s="3" t="s">
        <v>60</v>
      </c>
      <c r="O1267" s="3" t="s">
        <v>4235</v>
      </c>
      <c r="P1267" s="3" t="s">
        <v>867</v>
      </c>
      <c r="Q1267" s="31">
        <v>42753</v>
      </c>
      <c r="R1267" s="3" t="str">
        <f>IFERROR(VLOOKUP(J1267,[1]PL!A:B,2,0),"")</f>
        <v>PSG</v>
      </c>
      <c r="S1267" s="3" t="str">
        <f>IFERROR(VLOOKUP(H1267,[1]Mapa!A:D,4,0),"")</f>
        <v>FUPOTECH</v>
      </c>
      <c r="T1267" s="3"/>
      <c r="U1267" s="3"/>
      <c r="V1267" s="3"/>
    </row>
    <row r="1268" spans="1:22">
      <c r="A1268" s="3" t="str">
        <f>VLOOKUP(D1268,[1]Orc!A:B,2,0)</f>
        <v>No Email Address</v>
      </c>
      <c r="B1268" s="31">
        <f>VLOOKUP(D1268,[1]Orc!A:C,3,0)</f>
        <v>42753.738214849538</v>
      </c>
      <c r="C1268" s="31">
        <v>42751.752083333333</v>
      </c>
      <c r="D1268" s="3">
        <v>3035779266</v>
      </c>
      <c r="E1268" s="3" t="s">
        <v>23</v>
      </c>
      <c r="F1268" s="3" t="s">
        <v>149</v>
      </c>
      <c r="G1268" s="3" t="str">
        <f>VLOOKUP(F1268,[1]Mapa!A:B,2,0)</f>
        <v>Kaio Victor de Santana</v>
      </c>
      <c r="H1268" s="3" t="s">
        <v>139</v>
      </c>
      <c r="I1268" s="3" t="str">
        <f>VLOOKUP(H1268,[1]Mapa!A:B,2,0)</f>
        <v>Vanderlei Valentim Vieira</v>
      </c>
      <c r="J1268" s="3" t="s">
        <v>93</v>
      </c>
      <c r="K1268" s="3" t="str">
        <f t="shared" si="5"/>
        <v>SKILL DIFERENTE</v>
      </c>
      <c r="L1268" s="3" t="s">
        <v>871</v>
      </c>
      <c r="M1268" s="3" t="s">
        <v>932</v>
      </c>
      <c r="N1268" s="3" t="s">
        <v>85</v>
      </c>
      <c r="O1268" s="3" t="s">
        <v>920</v>
      </c>
      <c r="P1268" s="3" t="s">
        <v>867</v>
      </c>
      <c r="Q1268" s="31">
        <v>42753</v>
      </c>
      <c r="R1268" s="3" t="str">
        <f>IFERROR(VLOOKUP(J1268,[1]PL!A:B,2,0),"")</f>
        <v>PSG</v>
      </c>
      <c r="S1268" s="3" t="str">
        <f>IFERROR(VLOOKUP(H1268,[1]Mapa!A:D,4,0),"")</f>
        <v>FUPOTECH</v>
      </c>
      <c r="T1268" s="3"/>
      <c r="U1268" s="3"/>
      <c r="V1268" s="3"/>
    </row>
    <row r="1269" spans="1:22">
      <c r="A1269" s="3" t="str">
        <f>VLOOKUP(D1269,[1]Orc!A:B,2,0)</f>
        <v>Not Responded</v>
      </c>
      <c r="B1269" s="31">
        <f>VLOOKUP(D1269,[1]Orc!A:C,3,0)</f>
        <v>42753.738214849538</v>
      </c>
      <c r="C1269" s="31">
        <v>42751.879861111112</v>
      </c>
      <c r="D1269" s="3">
        <v>3035778476</v>
      </c>
      <c r="E1269" s="3" t="s">
        <v>39</v>
      </c>
      <c r="F1269" s="3" t="s">
        <v>250</v>
      </c>
      <c r="G1269" s="3" t="str">
        <f>VLOOKUP(F1269,[1]Mapa!A:B,2,0)</f>
        <v>Filipe Augusto Fernandes De Oliveira</v>
      </c>
      <c r="H1269" s="3" t="s">
        <v>230</v>
      </c>
      <c r="I1269" s="3" t="e">
        <f>VLOOKUP(H1269,[1]Mapa!A:B,2,0)</f>
        <v>#N/A</v>
      </c>
      <c r="J1269" s="3" t="s">
        <v>100</v>
      </c>
      <c r="K1269" s="3" t="str">
        <f t="shared" si="5"/>
        <v>SKILL DIFERENTE</v>
      </c>
      <c r="L1269" s="3" t="s">
        <v>866</v>
      </c>
      <c r="M1269" s="3" t="s">
        <v>70</v>
      </c>
      <c r="N1269" s="3" t="s">
        <v>71</v>
      </c>
      <c r="O1269" s="3" t="s">
        <v>4023</v>
      </c>
      <c r="P1269" s="3" t="s">
        <v>867</v>
      </c>
      <c r="Q1269" s="31">
        <v>42752</v>
      </c>
      <c r="R1269" s="3" t="str">
        <f>IFERROR(VLOOKUP(J1269,[1]PL!A:B,2,0),"")</f>
        <v>PSG</v>
      </c>
      <c r="S1269" s="3" t="str">
        <f>IFERROR(VLOOKUP(H1269,[1]Mapa!A:D,4,0),"")</f>
        <v/>
      </c>
      <c r="T1269" s="3"/>
      <c r="U1269" s="3"/>
      <c r="V1269" s="3"/>
    </row>
    <row r="1270" spans="1:22">
      <c r="A1270" s="3" t="e">
        <f>VLOOKUP(D1270,[1]Orc!A:B,2,0)</f>
        <v>#N/A</v>
      </c>
      <c r="B1270" s="31" t="e">
        <f>VLOOKUP(D1270,[1]Orc!A:C,3,0)</f>
        <v>#N/A</v>
      </c>
      <c r="C1270" s="31">
        <v>42752.34652777778</v>
      </c>
      <c r="D1270" s="3">
        <v>3035746844</v>
      </c>
      <c r="E1270" s="3" t="s">
        <v>204</v>
      </c>
      <c r="F1270" s="3" t="s">
        <v>103</v>
      </c>
      <c r="G1270" s="3" t="str">
        <f>VLOOKUP(F1270,[1]Mapa!A:B,2,0)</f>
        <v>Anderson Soares Silveira</v>
      </c>
      <c r="H1270" s="3" t="s">
        <v>103</v>
      </c>
      <c r="I1270" s="3" t="str">
        <f>VLOOKUP(H1270,[1]Mapa!A:B,2,0)</f>
        <v>Anderson Soares Silveira</v>
      </c>
      <c r="J1270" s="3" t="s">
        <v>93</v>
      </c>
      <c r="K1270" s="3" t="str">
        <f t="shared" si="5"/>
        <v>SKILL DIFERENTE</v>
      </c>
      <c r="L1270" s="3" t="s">
        <v>871</v>
      </c>
      <c r="M1270" s="3" t="s">
        <v>65</v>
      </c>
      <c r="N1270" s="3" t="s">
        <v>66</v>
      </c>
      <c r="O1270" s="3" t="s">
        <v>65</v>
      </c>
      <c r="P1270" s="3" t="s">
        <v>876</v>
      </c>
      <c r="Q1270" s="31">
        <v>42753</v>
      </c>
      <c r="R1270" s="3" t="str">
        <f>IFERROR(VLOOKUP(J1270,[1]PL!A:B,2,0),"")</f>
        <v>PSG</v>
      </c>
      <c r="S1270" s="3" t="str">
        <f>IFERROR(VLOOKUP(H1270,[1]Mapa!A:D,4,0),"")</f>
        <v>TCO</v>
      </c>
      <c r="T1270" s="3"/>
      <c r="U1270" s="3"/>
      <c r="V1270" s="3"/>
    </row>
    <row r="1271" spans="1:22">
      <c r="A1271" s="3" t="str">
        <f>VLOOKUP(D1271,[1]Orc!A:B,2,0)</f>
        <v>Sample Rejected</v>
      </c>
      <c r="B1271" s="31">
        <f>VLOOKUP(D1271,[1]Orc!A:C,3,0)</f>
        <v>42754.737961145831</v>
      </c>
      <c r="C1271" s="31">
        <v>42752.35833333333</v>
      </c>
      <c r="D1271" s="3">
        <v>3035843280</v>
      </c>
      <c r="E1271" s="3" t="s">
        <v>31</v>
      </c>
      <c r="F1271" s="3" t="s">
        <v>200</v>
      </c>
      <c r="G1271" s="3" t="str">
        <f>VLOOKUP(F1271,[1]Mapa!A:B,2,0)</f>
        <v>Washington Silva De Oliveira</v>
      </c>
      <c r="H1271" s="3" t="s">
        <v>200</v>
      </c>
      <c r="I1271" s="3" t="str">
        <f>VLOOKUP(H1271,[1]Mapa!A:B,2,0)</f>
        <v>Washington Silva De Oliveira</v>
      </c>
      <c r="J1271" s="3" t="s">
        <v>93</v>
      </c>
      <c r="K1271" s="3" t="str">
        <f t="shared" si="5"/>
        <v>SKILL IGUAL</v>
      </c>
      <c r="L1271" s="3" t="s">
        <v>871</v>
      </c>
      <c r="M1271" s="3" t="s">
        <v>84</v>
      </c>
      <c r="N1271" s="3" t="s">
        <v>85</v>
      </c>
      <c r="O1271" s="3" t="s">
        <v>84</v>
      </c>
      <c r="P1271" s="3" t="s">
        <v>867</v>
      </c>
      <c r="Q1271" s="31">
        <v>42754</v>
      </c>
      <c r="R1271" s="3" t="str">
        <f>IFERROR(VLOOKUP(J1271,[1]PL!A:B,2,0),"")</f>
        <v>PSG</v>
      </c>
      <c r="S1271" s="3" t="str">
        <f>IFERROR(VLOOKUP(H1271,[1]Mapa!A:D,4,0),"")</f>
        <v>PSG</v>
      </c>
      <c r="T1271" s="3"/>
      <c r="U1271" s="3"/>
      <c r="V1271" s="3"/>
    </row>
    <row r="1272" spans="1:22">
      <c r="A1272" s="3" t="e">
        <f>VLOOKUP(D1272,[1]Orc!A:B,2,0)</f>
        <v>#N/A</v>
      </c>
      <c r="B1272" s="31" t="e">
        <f>VLOOKUP(D1272,[1]Orc!A:C,3,0)</f>
        <v>#N/A</v>
      </c>
      <c r="C1272" s="31">
        <v>42752.412499999999</v>
      </c>
      <c r="D1272" s="3">
        <v>3035764855</v>
      </c>
      <c r="E1272" s="3" t="s">
        <v>39</v>
      </c>
      <c r="F1272" s="3" t="s">
        <v>231</v>
      </c>
      <c r="G1272" s="3" t="str">
        <f>VLOOKUP(F1272,[1]Mapa!A:B,2,0)</f>
        <v>Lucas Da Silva Pinto</v>
      </c>
      <c r="H1272" s="3" t="s">
        <v>3058</v>
      </c>
      <c r="I1272" s="3" t="str">
        <f>VLOOKUP(H1272,[1]Mapa!A:B,2,0)</f>
        <v>Valeria Amorim Dos Santos</v>
      </c>
      <c r="J1272" s="3" t="s">
        <v>93</v>
      </c>
      <c r="K1272" s="3" t="str">
        <f t="shared" si="5"/>
        <v>SKILL DIFERENTE</v>
      </c>
      <c r="L1272" s="3" t="s">
        <v>871</v>
      </c>
      <c r="M1272" s="3" t="s">
        <v>65</v>
      </c>
      <c r="N1272" s="3" t="s">
        <v>66</v>
      </c>
      <c r="O1272" s="3" t="s">
        <v>65</v>
      </c>
      <c r="P1272" s="3" t="s">
        <v>876</v>
      </c>
      <c r="Q1272" s="31">
        <v>42753</v>
      </c>
      <c r="R1272" s="3" t="str">
        <f>IFERROR(VLOOKUP(J1272,[1]PL!A:B,2,0),"")</f>
        <v>PSG</v>
      </c>
      <c r="S1272" s="3" t="str">
        <f>IFERROR(VLOOKUP(H1272,[1]Mapa!A:D,4,0),"")</f>
        <v>Mídia Social</v>
      </c>
      <c r="T1272" s="3"/>
      <c r="U1272" s="3"/>
      <c r="V1272" s="3"/>
    </row>
    <row r="1273" spans="1:22">
      <c r="A1273" s="3" t="str">
        <f>VLOOKUP(D1273,[1]Orc!A:B,2,0)</f>
        <v>Not Responded</v>
      </c>
      <c r="B1273" s="31">
        <f>VLOOKUP(D1273,[1]Orc!A:C,3,0)</f>
        <v>42754.737961145831</v>
      </c>
      <c r="C1273" s="31">
        <v>42752.445833333331</v>
      </c>
      <c r="D1273" s="3">
        <v>3035845108</v>
      </c>
      <c r="E1273" s="3" t="s">
        <v>31</v>
      </c>
      <c r="F1273" s="3" t="s">
        <v>223</v>
      </c>
      <c r="G1273" s="3" t="str">
        <f>VLOOKUP(F1273,[1]Mapa!A:B,2,0)</f>
        <v>Daniel Sousa Pinheiro</v>
      </c>
      <c r="H1273" s="3" t="s">
        <v>223</v>
      </c>
      <c r="I1273" s="3" t="str">
        <f>VLOOKUP(H1273,[1]Mapa!A:B,2,0)</f>
        <v>Daniel Sousa Pinheiro</v>
      </c>
      <c r="J1273" s="3" t="s">
        <v>93</v>
      </c>
      <c r="K1273" s="3" t="str">
        <f t="shared" si="5"/>
        <v>SKILL IGUAL</v>
      </c>
      <c r="L1273" s="3" t="s">
        <v>866</v>
      </c>
      <c r="M1273" s="3" t="s">
        <v>70</v>
      </c>
      <c r="N1273" s="3" t="s">
        <v>71</v>
      </c>
      <c r="O1273" s="3" t="s">
        <v>4236</v>
      </c>
      <c r="P1273" s="3" t="s">
        <v>876</v>
      </c>
      <c r="Q1273" s="31">
        <v>42753</v>
      </c>
      <c r="R1273" s="3" t="str">
        <f>IFERROR(VLOOKUP(J1273,[1]PL!A:B,2,0),"")</f>
        <v>PSG</v>
      </c>
      <c r="S1273" s="3" t="str">
        <f>IFERROR(VLOOKUP(H1273,[1]Mapa!A:D,4,0),"")</f>
        <v>PSG</v>
      </c>
      <c r="T1273" s="3"/>
      <c r="U1273" s="3"/>
      <c r="V1273" s="3"/>
    </row>
    <row r="1274" spans="1:22">
      <c r="A1274" s="3" t="str">
        <f>VLOOKUP(D1274,[1]Orc!A:B,2,0)</f>
        <v>Bounced Back Emails</v>
      </c>
      <c r="B1274" s="31">
        <f>VLOOKUP(D1274,[1]Orc!A:C,3,0)</f>
        <v>42754.737988923611</v>
      </c>
      <c r="C1274" s="31">
        <v>42752.474999999999</v>
      </c>
      <c r="D1274" s="3">
        <v>3035508642</v>
      </c>
      <c r="E1274" s="3" t="s">
        <v>31</v>
      </c>
      <c r="F1274" s="3" t="s">
        <v>223</v>
      </c>
      <c r="G1274" s="3" t="str">
        <f>VLOOKUP(F1274,[1]Mapa!A:B,2,0)</f>
        <v>Daniel Sousa Pinheiro</v>
      </c>
      <c r="H1274" s="3" t="s">
        <v>2986</v>
      </c>
      <c r="I1274" s="3" t="str">
        <f>VLOOKUP(H1274,[1]Mapa!A:B,2,0)</f>
        <v>Patrik Ferreira Araujo</v>
      </c>
      <c r="J1274" s="3" t="s">
        <v>93</v>
      </c>
      <c r="K1274" s="3" t="str">
        <f t="shared" si="5"/>
        <v>SKILL DIFERENTE</v>
      </c>
      <c r="L1274" s="3" t="s">
        <v>871</v>
      </c>
      <c r="M1274" s="3" t="s">
        <v>65</v>
      </c>
      <c r="N1274" s="3" t="s">
        <v>66</v>
      </c>
      <c r="O1274" s="3" t="s">
        <v>65</v>
      </c>
      <c r="P1274" s="3" t="s">
        <v>876</v>
      </c>
      <c r="Q1274" s="31">
        <v>42753</v>
      </c>
      <c r="R1274" s="3" t="str">
        <f>IFERROR(VLOOKUP(J1274,[1]PL!A:B,2,0),"")</f>
        <v>PSG</v>
      </c>
      <c r="S1274" s="3" t="str">
        <f>IFERROR(VLOOKUP(H1274,[1]Mapa!A:D,4,0),"")</f>
        <v>TCO</v>
      </c>
      <c r="T1274" s="3"/>
      <c r="U1274" s="3"/>
      <c r="V1274" s="3"/>
    </row>
    <row r="1275" spans="1:22">
      <c r="A1275" s="3" t="str">
        <f>VLOOKUP(D1275,[1]Orc!A:B,2,0)</f>
        <v>Sample Rejected</v>
      </c>
      <c r="B1275" s="31">
        <f>VLOOKUP(D1275,[1]Orc!A:C,3,0)</f>
        <v>42754.737988923611</v>
      </c>
      <c r="C1275" s="31">
        <v>42752.509722222225</v>
      </c>
      <c r="D1275" s="3">
        <v>3035826168</v>
      </c>
      <c r="E1275" s="3" t="e">
        <v>#N/A</v>
      </c>
      <c r="F1275" s="3" t="s">
        <v>4219</v>
      </c>
      <c r="G1275" s="3" t="e">
        <f>VLOOKUP(F1275,[1]Mapa!A:B,2,0)</f>
        <v>#N/A</v>
      </c>
      <c r="H1275" s="3" t="s">
        <v>103</v>
      </c>
      <c r="I1275" s="3" t="str">
        <f>VLOOKUP(H1275,[1]Mapa!A:B,2,0)</f>
        <v>Anderson Soares Silveira</v>
      </c>
      <c r="J1275" s="3" t="s">
        <v>93</v>
      </c>
      <c r="K1275" s="3" t="str">
        <f t="shared" si="5"/>
        <v>SKILL DIFERENTE</v>
      </c>
      <c r="L1275" s="3" t="s">
        <v>871</v>
      </c>
      <c r="M1275" s="3" t="s">
        <v>65</v>
      </c>
      <c r="N1275" s="3" t="s">
        <v>66</v>
      </c>
      <c r="O1275" s="3" t="s">
        <v>65</v>
      </c>
      <c r="P1275" s="3" t="s">
        <v>876</v>
      </c>
      <c r="Q1275" s="31">
        <v>42753</v>
      </c>
      <c r="R1275" s="3" t="str">
        <f>IFERROR(VLOOKUP(J1275,[1]PL!A:B,2,0),"")</f>
        <v>PSG</v>
      </c>
      <c r="S1275" s="3" t="str">
        <f>IFERROR(VLOOKUP(H1275,[1]Mapa!A:D,4,0),"")</f>
        <v>TCO</v>
      </c>
      <c r="T1275" s="3"/>
      <c r="U1275" s="3"/>
      <c r="V1275" s="3"/>
    </row>
    <row r="1276" spans="1:22">
      <c r="A1276" s="3" t="str">
        <f>VLOOKUP(D1276,[1]Orc!A:B,2,0)</f>
        <v>Not Responded</v>
      </c>
      <c r="B1276" s="31">
        <f>VLOOKUP(D1276,[1]Orc!A:C,3,0)</f>
        <v>42754.737961145831</v>
      </c>
      <c r="C1276" s="31">
        <v>42752.51458333333</v>
      </c>
      <c r="D1276" s="3">
        <v>3035750371</v>
      </c>
      <c r="E1276" s="3" t="s">
        <v>31</v>
      </c>
      <c r="F1276" s="3" t="s">
        <v>206</v>
      </c>
      <c r="G1276" s="3" t="str">
        <f>VLOOKUP(F1276,[1]Mapa!A:B,2,0)</f>
        <v>Alvani Elizabete Aliano de Oliveira</v>
      </c>
      <c r="H1276" s="3" t="s">
        <v>209</v>
      </c>
      <c r="I1276" s="3" t="str">
        <f>VLOOKUP(H1276,[1]Mapa!A:B,2,0)</f>
        <v>Taina Alexsander Fernandes Pires</v>
      </c>
      <c r="J1276" s="3" t="s">
        <v>93</v>
      </c>
      <c r="K1276" s="3" t="str">
        <f t="shared" si="5"/>
        <v>SKILL DIFERENTE</v>
      </c>
      <c r="L1276" s="3" t="s">
        <v>866</v>
      </c>
      <c r="M1276" s="3" t="s">
        <v>59</v>
      </c>
      <c r="N1276" s="3" t="s">
        <v>60</v>
      </c>
      <c r="O1276" s="3" t="s">
        <v>922</v>
      </c>
      <c r="P1276" s="3" t="s">
        <v>876</v>
      </c>
      <c r="Q1276" s="31">
        <v>42753</v>
      </c>
      <c r="R1276" s="3" t="str">
        <f>IFERROR(VLOOKUP(J1276,[1]PL!A:B,2,0),"")</f>
        <v>PSG</v>
      </c>
      <c r="S1276" s="3" t="str">
        <f>IFERROR(VLOOKUP(H1276,[1]Mapa!A:D,4,0),"")</f>
        <v>FUPOTECH</v>
      </c>
      <c r="T1276" s="3"/>
      <c r="U1276" s="3"/>
      <c r="V1276" s="3"/>
    </row>
    <row r="1277" spans="1:22">
      <c r="A1277" s="3" t="e">
        <f>VLOOKUP(D1277,[1]Orc!A:B,2,0)</f>
        <v>#N/A</v>
      </c>
      <c r="B1277" s="31" t="e">
        <f>VLOOKUP(D1277,[1]Orc!A:C,3,0)</f>
        <v>#N/A</v>
      </c>
      <c r="C1277" s="31">
        <v>42752.525000000001</v>
      </c>
      <c r="D1277" s="3">
        <v>3035433158</v>
      </c>
      <c r="E1277" s="3" t="s">
        <v>31</v>
      </c>
      <c r="F1277" s="3" t="s">
        <v>223</v>
      </c>
      <c r="G1277" s="3" t="str">
        <f>VLOOKUP(F1277,[1]Mapa!A:B,2,0)</f>
        <v>Daniel Sousa Pinheiro</v>
      </c>
      <c r="H1277" s="3" t="s">
        <v>883</v>
      </c>
      <c r="I1277" s="3" t="str">
        <f>VLOOKUP(H1277,[1]Mapa!A:B,2,0)</f>
        <v>Fernando Quintino Tavares</v>
      </c>
      <c r="J1277" s="3" t="s">
        <v>93</v>
      </c>
      <c r="K1277" s="3" t="str">
        <f t="shared" si="5"/>
        <v>SKILL DIFERENTE</v>
      </c>
      <c r="L1277" s="3" t="s">
        <v>871</v>
      </c>
      <c r="M1277" s="3" t="s">
        <v>65</v>
      </c>
      <c r="N1277" s="3" t="s">
        <v>66</v>
      </c>
      <c r="O1277" s="3" t="s">
        <v>65</v>
      </c>
      <c r="P1277" s="3" t="s">
        <v>876</v>
      </c>
      <c r="Q1277" s="31">
        <v>42753</v>
      </c>
      <c r="R1277" s="3" t="str">
        <f>IFERROR(VLOOKUP(J1277,[1]PL!A:B,2,0),"")</f>
        <v>PSG</v>
      </c>
      <c r="S1277" s="3" t="str">
        <f>IFERROR(VLOOKUP(H1277,[1]Mapa!A:D,4,0),"")</f>
        <v>TCO</v>
      </c>
      <c r="T1277" s="3"/>
      <c r="U1277" s="3"/>
      <c r="V1277" s="3"/>
    </row>
    <row r="1278" spans="1:22">
      <c r="A1278" s="3" t="e">
        <f>VLOOKUP(D1278,[1]Orc!A:B,2,0)</f>
        <v>#N/A</v>
      </c>
      <c r="B1278" s="31" t="e">
        <f>VLOOKUP(D1278,[1]Orc!A:C,3,0)</f>
        <v>#N/A</v>
      </c>
      <c r="C1278" s="31">
        <v>42752.546527777777</v>
      </c>
      <c r="D1278" s="3">
        <v>3035268534</v>
      </c>
      <c r="E1278" s="3" t="s">
        <v>9</v>
      </c>
      <c r="F1278" s="3" t="s">
        <v>111</v>
      </c>
      <c r="G1278" s="3" t="str">
        <f>VLOOKUP(F1278,[1]Mapa!A:B,2,0)</f>
        <v>Zaelly Suerfia Ferreira da Costa</v>
      </c>
      <c r="H1278" s="3" t="s">
        <v>878</v>
      </c>
      <c r="I1278" s="3" t="str">
        <f>VLOOKUP(H1278,[1]Mapa!A:B,2,0)</f>
        <v>Oliviana Saraiva Almeida</v>
      </c>
      <c r="J1278" s="3" t="s">
        <v>100</v>
      </c>
      <c r="K1278" s="3" t="str">
        <f t="shared" si="5"/>
        <v>SKILL DIFERENTE</v>
      </c>
      <c r="L1278" s="3" t="s">
        <v>871</v>
      </c>
      <c r="M1278" s="3" t="s">
        <v>65</v>
      </c>
      <c r="N1278" s="3" t="s">
        <v>66</v>
      </c>
      <c r="O1278" s="3" t="s">
        <v>65</v>
      </c>
      <c r="P1278" s="3" t="s">
        <v>876</v>
      </c>
      <c r="Q1278" s="31">
        <v>42753</v>
      </c>
      <c r="R1278" s="3" t="str">
        <f>IFERROR(VLOOKUP(J1278,[1]PL!A:B,2,0),"")</f>
        <v>PSG</v>
      </c>
      <c r="S1278" s="3" t="str">
        <f>IFERROR(VLOOKUP(H1278,[1]Mapa!A:D,4,0),"")</f>
        <v>TCO</v>
      </c>
      <c r="T1278" s="3"/>
      <c r="U1278" s="3"/>
      <c r="V1278" s="3"/>
    </row>
    <row r="1279" spans="1:22">
      <c r="A1279" s="3" t="e">
        <f>VLOOKUP(D1279,[1]Orc!A:B,2,0)</f>
        <v>#N/A</v>
      </c>
      <c r="B1279" s="31" t="e">
        <f>VLOOKUP(D1279,[1]Orc!A:C,3,0)</f>
        <v>#N/A</v>
      </c>
      <c r="C1279" s="31">
        <v>42752.569444444445</v>
      </c>
      <c r="D1279" s="3">
        <v>3035356435</v>
      </c>
      <c r="E1279" s="3" t="s">
        <v>31</v>
      </c>
      <c r="F1279" s="3" t="s">
        <v>156</v>
      </c>
      <c r="G1279" s="3" t="str">
        <f>VLOOKUP(F1279,[1]Mapa!A:B,2,0)</f>
        <v>Felipe Alves Barbosa</v>
      </c>
      <c r="H1279" s="3" t="s">
        <v>2986</v>
      </c>
      <c r="I1279" s="3" t="str">
        <f>VLOOKUP(H1279,[1]Mapa!A:B,2,0)</f>
        <v>Patrik Ferreira Araujo</v>
      </c>
      <c r="J1279" s="3" t="s">
        <v>100</v>
      </c>
      <c r="K1279" s="3" t="str">
        <f t="shared" si="5"/>
        <v>SKILL DIFERENTE</v>
      </c>
      <c r="L1279" s="3" t="s">
        <v>871</v>
      </c>
      <c r="M1279" s="3" t="s">
        <v>65</v>
      </c>
      <c r="N1279" s="3" t="s">
        <v>66</v>
      </c>
      <c r="O1279" s="3" t="s">
        <v>65</v>
      </c>
      <c r="P1279" s="3" t="s">
        <v>876</v>
      </c>
      <c r="Q1279" s="31">
        <v>42753</v>
      </c>
      <c r="R1279" s="3" t="str">
        <f>IFERROR(VLOOKUP(J1279,[1]PL!A:B,2,0),"")</f>
        <v>PSG</v>
      </c>
      <c r="S1279" s="3" t="str">
        <f>IFERROR(VLOOKUP(H1279,[1]Mapa!A:D,4,0),"")</f>
        <v>TCO</v>
      </c>
      <c r="T1279" s="3"/>
      <c r="U1279" s="3"/>
      <c r="V1279" s="3"/>
    </row>
    <row r="1280" spans="1:22">
      <c r="A1280" s="3" t="str">
        <f>VLOOKUP(D1280,[1]Orc!A:B,2,0)</f>
        <v>Not Responded</v>
      </c>
      <c r="B1280" s="31">
        <f>VLOOKUP(D1280,[1]Orc!A:C,3,0)</f>
        <v>42754.737961145831</v>
      </c>
      <c r="C1280" s="31">
        <v>42752.590277777781</v>
      </c>
      <c r="D1280" s="3">
        <v>3035815998</v>
      </c>
      <c r="E1280" s="3" t="s">
        <v>31</v>
      </c>
      <c r="F1280" s="3" t="s">
        <v>145</v>
      </c>
      <c r="G1280" s="3" t="str">
        <f>VLOOKUP(F1280,[1]Mapa!A:B,2,0)</f>
        <v>Erico Luan de Jesus Silva</v>
      </c>
      <c r="H1280" s="3" t="s">
        <v>209</v>
      </c>
      <c r="I1280" s="3" t="str">
        <f>VLOOKUP(H1280,[1]Mapa!A:B,2,0)</f>
        <v>Taina Alexsander Fernandes Pires</v>
      </c>
      <c r="J1280" s="3" t="s">
        <v>93</v>
      </c>
      <c r="K1280" s="3" t="str">
        <f t="shared" si="5"/>
        <v>SKILL DIFERENTE</v>
      </c>
      <c r="L1280" s="3" t="s">
        <v>866</v>
      </c>
      <c r="M1280" s="3" t="s">
        <v>59</v>
      </c>
      <c r="N1280" s="3" t="s">
        <v>60</v>
      </c>
      <c r="O1280" s="3" t="s">
        <v>123</v>
      </c>
      <c r="P1280" s="3" t="s">
        <v>867</v>
      </c>
      <c r="Q1280" s="31">
        <v>42753</v>
      </c>
      <c r="R1280" s="3" t="str">
        <f>IFERROR(VLOOKUP(J1280,[1]PL!A:B,2,0),"")</f>
        <v>PSG</v>
      </c>
      <c r="S1280" s="3" t="str">
        <f>IFERROR(VLOOKUP(H1280,[1]Mapa!A:D,4,0),"")</f>
        <v>FUPOTECH</v>
      </c>
      <c r="T1280" s="3"/>
      <c r="U1280" s="3"/>
      <c r="V1280" s="3"/>
    </row>
    <row r="1281" spans="1:22">
      <c r="A1281" s="3" t="str">
        <f>VLOOKUP(D1281,[1]Orc!A:B,2,0)</f>
        <v>Not Responded</v>
      </c>
      <c r="B1281" s="31">
        <f>VLOOKUP(D1281,[1]Orc!A:C,3,0)</f>
        <v>42753.738214849538</v>
      </c>
      <c r="C1281" s="31">
        <v>42751.759722222225</v>
      </c>
      <c r="D1281" s="3">
        <v>3035823114</v>
      </c>
      <c r="E1281" s="3" t="s">
        <v>39</v>
      </c>
      <c r="F1281" s="3" t="s">
        <v>250</v>
      </c>
      <c r="G1281" s="3" t="str">
        <f>VLOOKUP(F1281,[1]Mapa!A:B,2,0)</f>
        <v>Filipe Augusto Fernandes De Oliveira</v>
      </c>
      <c r="H1281" s="3" t="s">
        <v>250</v>
      </c>
      <c r="I1281" s="3" t="str">
        <f>VLOOKUP(H1281,[1]Mapa!A:B,2,0)</f>
        <v>Filipe Augusto Fernandes De Oliveira</v>
      </c>
      <c r="J1281" s="3" t="s">
        <v>93</v>
      </c>
      <c r="K1281" s="3" t="str">
        <f t="shared" si="5"/>
        <v>SKILL IGUAL</v>
      </c>
      <c r="L1281" s="3" t="s">
        <v>866</v>
      </c>
      <c r="M1281" s="3" t="s">
        <v>59</v>
      </c>
      <c r="N1281" s="3" t="s">
        <v>60</v>
      </c>
      <c r="O1281" s="3" t="s">
        <v>4410</v>
      </c>
      <c r="P1281" s="3" t="s">
        <v>867</v>
      </c>
      <c r="Q1281" s="31">
        <v>42754</v>
      </c>
      <c r="R1281" s="3" t="str">
        <f>IFERROR(VLOOKUP(J1281,[1]PL!A:B,2,0),"")</f>
        <v>PSG</v>
      </c>
      <c r="S1281" s="3" t="str">
        <f>IFERROR(VLOOKUP(H1281,[1]Mapa!A:D,4,0),"")</f>
        <v>PSG</v>
      </c>
      <c r="T1281" s="3"/>
      <c r="U1281" s="3"/>
      <c r="V1281" s="3"/>
    </row>
    <row r="1282" spans="1:22">
      <c r="A1282" s="3" t="str">
        <f>VLOOKUP(D1282,[1]Orc!A:B,2,0)</f>
        <v>Not Responded</v>
      </c>
      <c r="B1282" s="31">
        <f>VLOOKUP(D1282,[1]Orc!A:C,3,0)</f>
        <v>42753.738214849538</v>
      </c>
      <c r="C1282" s="31">
        <v>42751.865972222222</v>
      </c>
      <c r="D1282" s="3">
        <v>3035448033</v>
      </c>
      <c r="E1282" s="3" t="s">
        <v>39</v>
      </c>
      <c r="F1282" s="3" t="s">
        <v>231</v>
      </c>
      <c r="G1282" s="3" t="str">
        <f>VLOOKUP(F1282,[1]Mapa!A:B,2,0)</f>
        <v>Lucas Da Silva Pinto</v>
      </c>
      <c r="H1282" s="3" t="s">
        <v>230</v>
      </c>
      <c r="I1282" s="3" t="e">
        <f>VLOOKUP(H1282,[1]Mapa!A:B,2,0)</f>
        <v>#N/A</v>
      </c>
      <c r="J1282" s="3" t="s">
        <v>93</v>
      </c>
      <c r="K1282" s="3" t="str">
        <f t="shared" si="5"/>
        <v>SKILL DIFERENTE</v>
      </c>
      <c r="L1282" s="3" t="s">
        <v>871</v>
      </c>
      <c r="M1282" s="3" t="s">
        <v>84</v>
      </c>
      <c r="N1282" s="3" t="s">
        <v>85</v>
      </c>
      <c r="O1282" s="3" t="s">
        <v>920</v>
      </c>
      <c r="P1282" s="3" t="s">
        <v>867</v>
      </c>
      <c r="Q1282" s="31">
        <v>42754</v>
      </c>
      <c r="R1282" s="3" t="str">
        <f>IFERROR(VLOOKUP(J1282,[1]PL!A:B,2,0),"")</f>
        <v>PSG</v>
      </c>
      <c r="S1282" s="3" t="str">
        <f>IFERROR(VLOOKUP(H1282,[1]Mapa!A:D,4,0),"")</f>
        <v/>
      </c>
      <c r="T1282" s="3"/>
      <c r="U1282" s="3"/>
      <c r="V1282" s="3"/>
    </row>
    <row r="1283" spans="1:22">
      <c r="A1283" s="3" t="str">
        <f>VLOOKUP(D1283,[1]Orc!A:B,2,0)</f>
        <v>Not Responded</v>
      </c>
      <c r="B1283" s="31">
        <f>VLOOKUP(D1283,[1]Orc!A:C,3,0)</f>
        <v>42754.737961145831</v>
      </c>
      <c r="C1283" s="31">
        <v>42752.650694444441</v>
      </c>
      <c r="D1283" s="3">
        <v>3035809486</v>
      </c>
      <c r="E1283" s="3" t="s">
        <v>39</v>
      </c>
      <c r="F1283" s="3" t="s">
        <v>246</v>
      </c>
      <c r="G1283" s="3" t="str">
        <f>VLOOKUP(F1283,[1]Mapa!A:B,2,0)</f>
        <v>Wellington Da Silva De Oliveira</v>
      </c>
      <c r="H1283" s="3" t="s">
        <v>238</v>
      </c>
      <c r="I1283" s="3" t="str">
        <f>VLOOKUP(H1283,[1]Mapa!A:B,2,0)</f>
        <v>Fernando Souza De Almeida</v>
      </c>
      <c r="J1283" s="3" t="s">
        <v>93</v>
      </c>
      <c r="K1283" s="3" t="str">
        <f t="shared" si="5"/>
        <v>SKILL DIFERENTE</v>
      </c>
      <c r="L1283" s="3" t="s">
        <v>871</v>
      </c>
      <c r="M1283" s="3" t="s">
        <v>84</v>
      </c>
      <c r="N1283" s="3" t="s">
        <v>85</v>
      </c>
      <c r="O1283" s="3" t="s">
        <v>920</v>
      </c>
      <c r="P1283" s="3" t="s">
        <v>867</v>
      </c>
      <c r="Q1283" s="31">
        <v>42754</v>
      </c>
      <c r="R1283" s="3" t="str">
        <f>IFERROR(VLOOKUP(J1283,[1]PL!A:B,2,0),"")</f>
        <v>PSG</v>
      </c>
      <c r="S1283" s="3" t="str">
        <f>IFERROR(VLOOKUP(H1283,[1]Mapa!A:D,4,0),"")</f>
        <v>FUPOTECH</v>
      </c>
      <c r="T1283" s="3"/>
      <c r="U1283" s="3" t="s">
        <v>3106</v>
      </c>
      <c r="V1283" s="3"/>
    </row>
    <row r="1284" spans="1:22">
      <c r="A1284" s="3" t="str">
        <f>VLOOKUP(D1284,[1]Orc!A:B,2,0)</f>
        <v>Not Responded</v>
      </c>
      <c r="B1284" s="31">
        <f>VLOOKUP(D1284,[1]Orc!A:C,3,0)</f>
        <v>42754.737988923611</v>
      </c>
      <c r="C1284" s="31">
        <v>42752.657638888886</v>
      </c>
      <c r="D1284" s="3">
        <v>3035509933</v>
      </c>
      <c r="E1284" s="3" t="s">
        <v>31</v>
      </c>
      <c r="F1284" s="3" t="s">
        <v>145</v>
      </c>
      <c r="G1284" s="3" t="str">
        <f>VLOOKUP(F1284,[1]Mapa!A:B,2,0)</f>
        <v>Erico Luan de Jesus Silva</v>
      </c>
      <c r="H1284" s="3" t="s">
        <v>63</v>
      </c>
      <c r="I1284" s="3" t="str">
        <f>VLOOKUP(H1284,[1]Mapa!A:B,2,0)</f>
        <v>Mauricio Guimaraes Renesto</v>
      </c>
      <c r="J1284" s="3" t="s">
        <v>592</v>
      </c>
      <c r="K1284" s="3" t="str">
        <f t="shared" si="5"/>
        <v>SKILL DIFERENTE</v>
      </c>
      <c r="L1284" s="3" t="s">
        <v>866</v>
      </c>
      <c r="M1284" s="3" t="s">
        <v>65</v>
      </c>
      <c r="N1284" s="3" t="s">
        <v>66</v>
      </c>
      <c r="O1284" s="3" t="s">
        <v>4411</v>
      </c>
      <c r="P1284" s="3" t="s">
        <v>867</v>
      </c>
      <c r="Q1284" s="31">
        <v>42754</v>
      </c>
      <c r="R1284" s="3" t="str">
        <f>IFERROR(VLOOKUP(J1284,[1]PL!A:B,2,0),"")</f>
        <v>PSG</v>
      </c>
      <c r="S1284" s="3" t="str">
        <f>IFERROR(VLOOKUP(H1284,[1]Mapa!A:D,4,0),"")</f>
        <v>TCO</v>
      </c>
      <c r="T1284" s="3"/>
      <c r="U1284" s="3"/>
      <c r="V1284" s="3"/>
    </row>
    <row r="1285" spans="1:22">
      <c r="A1285" s="3" t="str">
        <f>VLOOKUP(D1285,[1]Orc!A:B,2,0)</f>
        <v>Not Responded</v>
      </c>
      <c r="B1285" s="31">
        <f>VLOOKUP(D1285,[1]Orc!A:C,3,0)</f>
        <v>42754.737961145831</v>
      </c>
      <c r="C1285" s="31">
        <v>42752.659722222219</v>
      </c>
      <c r="D1285" s="3">
        <v>3035521774</v>
      </c>
      <c r="E1285" s="3" t="s">
        <v>39</v>
      </c>
      <c r="F1285" s="3" t="s">
        <v>244</v>
      </c>
      <c r="G1285" s="3" t="str">
        <f>VLOOKUP(F1285,[1]Mapa!A:B,2,0)</f>
        <v>Clarina Praxedes Alfredo</v>
      </c>
      <c r="H1285" s="3" t="s">
        <v>238</v>
      </c>
      <c r="I1285" s="3" t="str">
        <f>VLOOKUP(H1285,[1]Mapa!A:B,2,0)</f>
        <v>Fernando Souza De Almeida</v>
      </c>
      <c r="J1285" s="3" t="s">
        <v>93</v>
      </c>
      <c r="K1285" s="3" t="str">
        <f t="shared" si="5"/>
        <v>SKILL DIFERENTE</v>
      </c>
      <c r="L1285" s="3" t="s">
        <v>866</v>
      </c>
      <c r="M1285" s="3" t="s">
        <v>59</v>
      </c>
      <c r="N1285" s="3" t="s">
        <v>60</v>
      </c>
      <c r="O1285" s="3" t="s">
        <v>4251</v>
      </c>
      <c r="P1285" s="3" t="s">
        <v>867</v>
      </c>
      <c r="Q1285" s="31">
        <v>42753</v>
      </c>
      <c r="R1285" s="3" t="str">
        <f>IFERROR(VLOOKUP(J1285,[1]PL!A:B,2,0),"")</f>
        <v>PSG</v>
      </c>
      <c r="S1285" s="3" t="str">
        <f>IFERROR(VLOOKUP(H1285,[1]Mapa!A:D,4,0),"")</f>
        <v>FUPOTECH</v>
      </c>
      <c r="T1285" s="3"/>
      <c r="U1285" s="3"/>
      <c r="V1285" s="3"/>
    </row>
    <row r="1286" spans="1:22">
      <c r="A1286" s="3" t="str">
        <f>VLOOKUP(D1286,[1]Orc!A:B,2,0)</f>
        <v>Not Responded</v>
      </c>
      <c r="B1286" s="31">
        <f>VLOOKUP(D1286,[1]Orc!A:C,3,0)</f>
        <v>42754.737961145831</v>
      </c>
      <c r="C1286" s="31">
        <v>42752.696527777778</v>
      </c>
      <c r="D1286" s="3">
        <v>3035715892</v>
      </c>
      <c r="E1286" s="3" t="s">
        <v>31</v>
      </c>
      <c r="F1286" s="3" t="s">
        <v>3043</v>
      </c>
      <c r="G1286" s="3" t="str">
        <f>VLOOKUP(F1286,[1]Mapa!A:B,2,0)</f>
        <v>Mateus Daniel Amaral Silva</v>
      </c>
      <c r="H1286" s="3" t="s">
        <v>209</v>
      </c>
      <c r="I1286" s="3" t="str">
        <f>VLOOKUP(H1286,[1]Mapa!A:B,2,0)</f>
        <v>Taina Alexsander Fernandes Pires</v>
      </c>
      <c r="J1286" s="3" t="s">
        <v>93</v>
      </c>
      <c r="K1286" s="3" t="str">
        <f t="shared" si="5"/>
        <v>SKILL DIFERENTE</v>
      </c>
      <c r="L1286" s="3" t="s">
        <v>866</v>
      </c>
      <c r="M1286" s="3" t="s">
        <v>70</v>
      </c>
      <c r="N1286" s="3" t="s">
        <v>75</v>
      </c>
      <c r="O1286" s="3" t="s">
        <v>3237</v>
      </c>
      <c r="P1286" s="3" t="s">
        <v>867</v>
      </c>
      <c r="Q1286" s="31">
        <v>42753</v>
      </c>
      <c r="R1286" s="3" t="str">
        <f>IFERROR(VLOOKUP(J1286,[1]PL!A:B,2,0),"")</f>
        <v>PSG</v>
      </c>
      <c r="S1286" s="3" t="str">
        <f>IFERROR(VLOOKUP(H1286,[1]Mapa!A:D,4,0),"")</f>
        <v>FUPOTECH</v>
      </c>
      <c r="T1286" s="3"/>
      <c r="U1286" s="3" t="s">
        <v>3189</v>
      </c>
      <c r="V1286" s="3"/>
    </row>
    <row r="1287" spans="1:22">
      <c r="A1287" s="3" t="e">
        <f>VLOOKUP(D1287,[1]Orc!A:B,2,0)</f>
        <v>#N/A</v>
      </c>
      <c r="B1287" s="31" t="e">
        <f>VLOOKUP(D1287,[1]Orc!A:C,3,0)</f>
        <v>#N/A</v>
      </c>
      <c r="C1287" s="31">
        <v>42752.67083333333</v>
      </c>
      <c r="D1287" s="3">
        <v>3035334762</v>
      </c>
      <c r="E1287" s="3" t="s">
        <v>39</v>
      </c>
      <c r="F1287" s="3" t="s">
        <v>225</v>
      </c>
      <c r="G1287" s="3" t="str">
        <f>VLOOKUP(F1287,[1]Mapa!A:B,2,0)</f>
        <v>Eduardo Paixao Oliveira</v>
      </c>
      <c r="H1287" s="3" t="s">
        <v>2986</v>
      </c>
      <c r="I1287" s="3" t="str">
        <f>VLOOKUP(H1287,[1]Mapa!A:B,2,0)</f>
        <v>Patrik Ferreira Araujo</v>
      </c>
      <c r="J1287" s="3" t="s">
        <v>93</v>
      </c>
      <c r="K1287" s="3" t="str">
        <f t="shared" si="5"/>
        <v>SKILL DIFERENTE</v>
      </c>
      <c r="L1287" s="3" t="s">
        <v>871</v>
      </c>
      <c r="M1287" s="3" t="s">
        <v>65</v>
      </c>
      <c r="N1287" s="3" t="s">
        <v>66</v>
      </c>
      <c r="O1287" s="3" t="s">
        <v>4412</v>
      </c>
      <c r="P1287" s="3" t="s">
        <v>867</v>
      </c>
      <c r="Q1287" s="31">
        <v>42754</v>
      </c>
      <c r="R1287" s="3" t="str">
        <f>IFERROR(VLOOKUP(J1287,[1]PL!A:B,2,0),"")</f>
        <v>PSG</v>
      </c>
      <c r="S1287" s="3" t="str">
        <f>IFERROR(VLOOKUP(H1287,[1]Mapa!A:D,4,0),"")</f>
        <v>TCO</v>
      </c>
      <c r="T1287" s="3"/>
      <c r="U1287" s="3" t="s">
        <v>3110</v>
      </c>
      <c r="V1287" s="3"/>
    </row>
    <row r="1288" spans="1:22">
      <c r="A1288" s="3" t="str">
        <f>VLOOKUP(D1288,[1]Orc!A:B,2,0)</f>
        <v>Not Responded</v>
      </c>
      <c r="B1288" s="31">
        <f>VLOOKUP(D1288,[1]Orc!A:C,3,0)</f>
        <v>42754.737961145831</v>
      </c>
      <c r="C1288" s="31">
        <v>42752.753472222219</v>
      </c>
      <c r="D1288" s="3">
        <v>3035627708</v>
      </c>
      <c r="E1288" s="3" t="s">
        <v>23</v>
      </c>
      <c r="F1288" s="3" t="s">
        <v>179</v>
      </c>
      <c r="G1288" s="3" t="str">
        <f>VLOOKUP(F1288,[1]Mapa!A:B,2,0)</f>
        <v>Victor Arruda Do Carmo</v>
      </c>
      <c r="H1288" s="3" t="s">
        <v>139</v>
      </c>
      <c r="I1288" s="3" t="str">
        <f>VLOOKUP(H1288,[1]Mapa!A:B,2,0)</f>
        <v>Vanderlei Valentim Vieira</v>
      </c>
      <c r="J1288" s="3" t="s">
        <v>93</v>
      </c>
      <c r="K1288" s="3" t="str">
        <f t="shared" si="5"/>
        <v>SKILL DIFERENTE</v>
      </c>
      <c r="L1288" s="3" t="s">
        <v>866</v>
      </c>
      <c r="M1288" s="3" t="s">
        <v>70</v>
      </c>
      <c r="N1288" s="3" t="s">
        <v>71</v>
      </c>
      <c r="O1288" s="3" t="s">
        <v>4237</v>
      </c>
      <c r="P1288" s="3" t="s">
        <v>867</v>
      </c>
      <c r="Q1288" s="31">
        <v>42753</v>
      </c>
      <c r="R1288" s="3" t="str">
        <f>IFERROR(VLOOKUP(J1288,[1]PL!A:B,2,0),"")</f>
        <v>PSG</v>
      </c>
      <c r="S1288" s="3" t="str">
        <f>IFERROR(VLOOKUP(H1288,[1]Mapa!A:D,4,0),"")</f>
        <v>FUPOTECH</v>
      </c>
      <c r="T1288" s="3"/>
      <c r="U1288" s="3" t="s">
        <v>3110</v>
      </c>
      <c r="V1288" s="3"/>
    </row>
    <row r="1289" spans="1:22">
      <c r="A1289" s="3" t="str">
        <f>VLOOKUP(D1289,[1]Orc!A:B,2,0)</f>
        <v>Not Responded</v>
      </c>
      <c r="B1289" s="31">
        <f>VLOOKUP(D1289,[1]Orc!A:C,3,0)</f>
        <v>42754.737961145831</v>
      </c>
      <c r="C1289" s="31">
        <v>42752.821527777778</v>
      </c>
      <c r="D1289" s="3">
        <v>3035659620</v>
      </c>
      <c r="E1289" s="3" t="s">
        <v>39</v>
      </c>
      <c r="F1289" s="3" t="s">
        <v>248</v>
      </c>
      <c r="G1289" s="3" t="str">
        <f>VLOOKUP(F1289,[1]Mapa!A:B,2,0)</f>
        <v>Mariana Tadim Estevao</v>
      </c>
      <c r="H1289" s="3" t="s">
        <v>238</v>
      </c>
      <c r="I1289" s="3" t="str">
        <f>VLOOKUP(H1289,[1]Mapa!A:B,2,0)</f>
        <v>Fernando Souza De Almeida</v>
      </c>
      <c r="J1289" s="3" t="s">
        <v>93</v>
      </c>
      <c r="K1289" s="3" t="str">
        <f t="shared" si="5"/>
        <v>SKILL DIFERENTE</v>
      </c>
      <c r="L1289" s="3" t="s">
        <v>866</v>
      </c>
      <c r="M1289" s="3" t="s">
        <v>70</v>
      </c>
      <c r="N1289" s="3" t="s">
        <v>71</v>
      </c>
      <c r="O1289" s="3" t="s">
        <v>4255</v>
      </c>
      <c r="P1289" s="3" t="s">
        <v>867</v>
      </c>
      <c r="Q1289" s="31">
        <v>42753</v>
      </c>
      <c r="R1289" s="3" t="str">
        <f>IFERROR(VLOOKUP(J1289,[1]PL!A:B,2,0),"")</f>
        <v>PSG</v>
      </c>
      <c r="S1289" s="3" t="str">
        <f>IFERROR(VLOOKUP(H1289,[1]Mapa!A:D,4,0),"")</f>
        <v>FUPOTECH</v>
      </c>
      <c r="T1289" s="3"/>
      <c r="U1289" s="3" t="s">
        <v>3189</v>
      </c>
      <c r="V1289" s="3"/>
    </row>
    <row r="1290" spans="1:22">
      <c r="A1290" s="3" t="str">
        <f>VLOOKUP(D1290,[1]Orc!A:B,2,0)</f>
        <v>Not Responded</v>
      </c>
      <c r="B1290" s="31">
        <f>VLOOKUP(D1290,[1]Orc!A:C,3,0)</f>
        <v>42754.737961145831</v>
      </c>
      <c r="C1290" s="31">
        <v>42752.822916666664</v>
      </c>
      <c r="D1290" s="3">
        <v>3035525716</v>
      </c>
      <c r="E1290" s="3" t="s">
        <v>39</v>
      </c>
      <c r="F1290" s="3" t="s">
        <v>231</v>
      </c>
      <c r="G1290" s="3" t="str">
        <f>VLOOKUP(F1290,[1]Mapa!A:B,2,0)</f>
        <v>Lucas Da Silva Pinto</v>
      </c>
      <c r="H1290" s="3" t="s">
        <v>238</v>
      </c>
      <c r="I1290" s="3" t="str">
        <f>VLOOKUP(H1290,[1]Mapa!A:B,2,0)</f>
        <v>Fernando Souza De Almeida</v>
      </c>
      <c r="J1290" s="3" t="s">
        <v>93</v>
      </c>
      <c r="K1290" s="3" t="str">
        <f t="shared" si="5"/>
        <v>SKILL DIFERENTE</v>
      </c>
      <c r="L1290" s="3" t="s">
        <v>871</v>
      </c>
      <c r="M1290" s="3" t="s">
        <v>84</v>
      </c>
      <c r="N1290" s="3" t="s">
        <v>85</v>
      </c>
      <c r="O1290" s="3" t="s">
        <v>887</v>
      </c>
      <c r="P1290" s="3" t="s">
        <v>867</v>
      </c>
      <c r="Q1290" s="31">
        <v>42754</v>
      </c>
      <c r="R1290" s="3" t="str">
        <f>IFERROR(VLOOKUP(J1290,[1]PL!A:B,2,0),"")</f>
        <v>PSG</v>
      </c>
      <c r="S1290" s="3" t="str">
        <f>IFERROR(VLOOKUP(H1290,[1]Mapa!A:D,4,0),"")</f>
        <v>FUPOTECH</v>
      </c>
      <c r="T1290" s="3"/>
      <c r="U1290" s="3"/>
      <c r="V1290" s="3"/>
    </row>
    <row r="1291" spans="1:22">
      <c r="A1291" s="3" t="str">
        <f>VLOOKUP(D1291,[1]Orc!A:B,2,0)</f>
        <v>Not Responded</v>
      </c>
      <c r="B1291" s="31">
        <f>VLOOKUP(D1291,[1]Orc!A:C,3,0)</f>
        <v>42754.737961145831</v>
      </c>
      <c r="C1291" s="31">
        <v>42752.852777777778</v>
      </c>
      <c r="D1291" s="3">
        <v>3035556999</v>
      </c>
      <c r="E1291" s="3" t="s">
        <v>23</v>
      </c>
      <c r="F1291" s="3" t="s">
        <v>149</v>
      </c>
      <c r="G1291" s="3" t="str">
        <f>VLOOKUP(F1291,[1]Mapa!A:B,2,0)</f>
        <v>Kaio Victor de Santana</v>
      </c>
      <c r="H1291" s="3" t="s">
        <v>139</v>
      </c>
      <c r="I1291" s="3" t="str">
        <f>VLOOKUP(H1291,[1]Mapa!A:B,2,0)</f>
        <v>Vanderlei Valentim Vieira</v>
      </c>
      <c r="J1291" s="3" t="s">
        <v>93</v>
      </c>
      <c r="K1291" s="3" t="str">
        <f t="shared" si="5"/>
        <v>SKILL DIFERENTE</v>
      </c>
      <c r="L1291" s="3" t="s">
        <v>866</v>
      </c>
      <c r="M1291" s="3" t="s">
        <v>59</v>
      </c>
      <c r="N1291" s="3" t="s">
        <v>60</v>
      </c>
      <c r="O1291" s="3" t="s">
        <v>4256</v>
      </c>
      <c r="P1291" s="3" t="s">
        <v>867</v>
      </c>
      <c r="Q1291" s="31">
        <v>42753</v>
      </c>
      <c r="R1291" s="3" t="str">
        <f>IFERROR(VLOOKUP(J1291,[1]PL!A:B,2,0),"")</f>
        <v>PSG</v>
      </c>
      <c r="S1291" s="3" t="str">
        <f>IFERROR(VLOOKUP(H1291,[1]Mapa!A:D,4,0),"")</f>
        <v>FUPOTECH</v>
      </c>
      <c r="T1291" s="3"/>
      <c r="U1291" s="3"/>
      <c r="V1291" s="3"/>
    </row>
    <row r="1292" spans="1:22">
      <c r="A1292" s="3" t="e">
        <f>VLOOKUP(D1292,[1]Orc!A:B,2,0)</f>
        <v>#N/A</v>
      </c>
      <c r="B1292" s="31" t="e">
        <f>VLOOKUP(D1292,[1]Orc!A:C,3,0)</f>
        <v>#N/A</v>
      </c>
      <c r="C1292" s="31">
        <v>42753.351388888892</v>
      </c>
      <c r="D1292" s="3">
        <v>3035231431</v>
      </c>
      <c r="E1292" s="3" t="s">
        <v>52</v>
      </c>
      <c r="F1292" s="3" t="s">
        <v>857</v>
      </c>
      <c r="G1292" s="3" t="str">
        <f>VLOOKUP(F1292,[1]Mapa!A:B,2,0)</f>
        <v>Takeo Guilheme Mizuno</v>
      </c>
      <c r="H1292" s="3" t="s">
        <v>63</v>
      </c>
      <c r="I1292" s="3" t="str">
        <f>VLOOKUP(H1292,[1]Mapa!A:B,2,0)</f>
        <v>Mauricio Guimaraes Renesto</v>
      </c>
      <c r="J1292" s="3" t="s">
        <v>100</v>
      </c>
      <c r="K1292" s="3" t="str">
        <f t="shared" si="5"/>
        <v>SKILL DIFERENTE</v>
      </c>
      <c r="L1292" s="3" t="s">
        <v>871</v>
      </c>
      <c r="M1292" s="3" t="s">
        <v>65</v>
      </c>
      <c r="N1292" s="3" t="s">
        <v>66</v>
      </c>
      <c r="O1292" s="3" t="s">
        <v>65</v>
      </c>
      <c r="P1292" s="3" t="s">
        <v>876</v>
      </c>
      <c r="Q1292" s="31">
        <v>42754</v>
      </c>
      <c r="R1292" s="3" t="str">
        <f>IFERROR(VLOOKUP(J1292,[1]PL!A:B,2,0),"")</f>
        <v>PSG</v>
      </c>
      <c r="S1292" s="3" t="str">
        <f>IFERROR(VLOOKUP(H1292,[1]Mapa!A:D,4,0),"")</f>
        <v>TCO</v>
      </c>
      <c r="T1292" s="3"/>
      <c r="U1292" s="3"/>
      <c r="V1292" s="3"/>
    </row>
    <row r="1293" spans="1:22">
      <c r="A1293" s="3" t="e">
        <f>VLOOKUP(D1293,[1]Orc!A:B,2,0)</f>
        <v>#N/A</v>
      </c>
      <c r="B1293" s="31" t="e">
        <f>VLOOKUP(D1293,[1]Orc!A:C,3,0)</f>
        <v>#N/A</v>
      </c>
      <c r="C1293" s="31">
        <v>42753.384027777778</v>
      </c>
      <c r="D1293" s="3">
        <v>3035880453</v>
      </c>
      <c r="E1293" s="3" t="s">
        <v>9</v>
      </c>
      <c r="F1293" s="3" t="s">
        <v>56</v>
      </c>
      <c r="G1293" s="3" t="str">
        <f>VLOOKUP(F1293,[1]Mapa!A:B,2,0)</f>
        <v>Matheus Cardoso Silva</v>
      </c>
      <c r="H1293" s="3" t="s">
        <v>56</v>
      </c>
      <c r="I1293" s="3" t="str">
        <f>VLOOKUP(H1293,[1]Mapa!A:B,2,0)</f>
        <v>Matheus Cardoso Silva</v>
      </c>
      <c r="J1293" s="3" t="s">
        <v>93</v>
      </c>
      <c r="K1293" s="3" t="str">
        <f t="shared" si="5"/>
        <v>SKILL DIFERENTE</v>
      </c>
      <c r="L1293" s="3" t="s">
        <v>866</v>
      </c>
      <c r="M1293" s="3" t="s">
        <v>70</v>
      </c>
      <c r="N1293" s="3" t="s">
        <v>71</v>
      </c>
      <c r="O1293" s="3" t="s">
        <v>4413</v>
      </c>
      <c r="P1293" s="3" t="s">
        <v>867</v>
      </c>
      <c r="Q1293" s="31">
        <v>42754</v>
      </c>
      <c r="R1293" s="3" t="str">
        <f>IFERROR(VLOOKUP(J1293,[1]PL!A:B,2,0),"")</f>
        <v>PSG</v>
      </c>
      <c r="S1293" s="3" t="str">
        <f>IFERROR(VLOOKUP(H1293,[1]Mapa!A:D,4,0),"")</f>
        <v>IPG</v>
      </c>
      <c r="T1293" s="3"/>
      <c r="U1293" s="3"/>
      <c r="V1293" s="3"/>
    </row>
    <row r="1294" spans="1:22">
      <c r="A1294" s="3" t="e">
        <f>VLOOKUP(D1294,[1]Orc!A:B,2,0)</f>
        <v>#N/A</v>
      </c>
      <c r="B1294" s="31" t="e">
        <f>VLOOKUP(D1294,[1]Orc!A:C,3,0)</f>
        <v>#N/A</v>
      </c>
      <c r="C1294" s="31">
        <v>42753.402083333334</v>
      </c>
      <c r="D1294" s="3">
        <v>3035779626</v>
      </c>
      <c r="E1294" s="3" t="s">
        <v>2978</v>
      </c>
      <c r="F1294" s="3" t="s">
        <v>256</v>
      </c>
      <c r="G1294" s="3" t="str">
        <f>VLOOKUP(F1294,[1]Mapa!A:B,2,0)</f>
        <v>Viviane De Souza Magrini</v>
      </c>
      <c r="H1294" s="3" t="s">
        <v>142</v>
      </c>
      <c r="I1294" s="3" t="str">
        <f>VLOOKUP(H1294,[1]Mapa!A:B,2,0)</f>
        <v>Leandro Querino Nunes</v>
      </c>
      <c r="J1294" s="3" t="s">
        <v>256</v>
      </c>
      <c r="K1294" s="3" t="str">
        <f t="shared" si="5"/>
        <v>SKILL DIFERENTE</v>
      </c>
      <c r="L1294" s="3" t="s">
        <v>871</v>
      </c>
      <c r="M1294" s="3" t="s">
        <v>84</v>
      </c>
      <c r="N1294" s="3" t="s">
        <v>85</v>
      </c>
      <c r="O1294" s="3" t="s">
        <v>3234</v>
      </c>
      <c r="P1294" s="3" t="s">
        <v>876</v>
      </c>
      <c r="Q1294" s="31">
        <v>42754</v>
      </c>
      <c r="R1294" s="3" t="str">
        <f>IFERROR(VLOOKUP(J1294,[1]PL!A:B,2,0),"")</f>
        <v/>
      </c>
      <c r="S1294" s="3" t="str">
        <f>IFERROR(VLOOKUP(H1294,[1]Mapa!A:D,4,0),"")</f>
        <v>FUPO SMS</v>
      </c>
      <c r="T1294" s="3"/>
      <c r="U1294" s="3"/>
      <c r="V1294" s="3"/>
    </row>
    <row r="1295" spans="1:22">
      <c r="A1295" s="3" t="e">
        <f>VLOOKUP(D1295,[1]Orc!A:B,2,0)</f>
        <v>#N/A</v>
      </c>
      <c r="B1295" s="31" t="e">
        <f>VLOOKUP(D1295,[1]Orc!A:C,3,0)</f>
        <v>#N/A</v>
      </c>
      <c r="C1295" s="31">
        <v>42753.406944444447</v>
      </c>
      <c r="D1295" s="3">
        <v>3035604673</v>
      </c>
      <c r="E1295" s="3" t="s">
        <v>9</v>
      </c>
      <c r="F1295" s="3" t="s">
        <v>80</v>
      </c>
      <c r="G1295" s="3" t="str">
        <f>VLOOKUP(F1295,[1]Mapa!A:B,2,0)</f>
        <v>Caroline Amparo Nunes</v>
      </c>
      <c r="H1295" s="3" t="s">
        <v>82</v>
      </c>
      <c r="I1295" s="3" t="str">
        <f>VLOOKUP(H1295,[1]Mapa!A:B,2,0)</f>
        <v>Jonatas Gomes Tenorio</v>
      </c>
      <c r="J1295" s="3" t="s">
        <v>93</v>
      </c>
      <c r="K1295" s="3" t="str">
        <f t="shared" si="5"/>
        <v>SKILL DIFERENTE</v>
      </c>
      <c r="L1295" s="3" t="s">
        <v>871</v>
      </c>
      <c r="M1295" s="3" t="s">
        <v>84</v>
      </c>
      <c r="N1295" s="3" t="s">
        <v>881</v>
      </c>
      <c r="O1295" s="3" t="s">
        <v>4414</v>
      </c>
      <c r="P1295" s="3" t="s">
        <v>876</v>
      </c>
      <c r="Q1295" s="31">
        <v>42754</v>
      </c>
      <c r="R1295" s="3" t="str">
        <f>IFERROR(VLOOKUP(J1295,[1]PL!A:B,2,0),"")</f>
        <v>PSG</v>
      </c>
      <c r="S1295" s="3" t="str">
        <f>IFERROR(VLOOKUP(H1295,[1]Mapa!A:D,4,0),"")</f>
        <v>IPG</v>
      </c>
      <c r="T1295" s="3"/>
      <c r="U1295" s="3"/>
      <c r="V1295" s="3"/>
    </row>
    <row r="1296" spans="1:22">
      <c r="A1296" s="3" t="e">
        <f>VLOOKUP(D1296,[1]Orc!A:B,2,0)</f>
        <v>#N/A</v>
      </c>
      <c r="B1296" s="31" t="e">
        <f>VLOOKUP(D1296,[1]Orc!A:C,3,0)</f>
        <v>#N/A</v>
      </c>
      <c r="C1296" s="31">
        <v>42753.429166666669</v>
      </c>
      <c r="D1296" s="3">
        <v>3035848178</v>
      </c>
      <c r="E1296" s="3" t="s">
        <v>31</v>
      </c>
      <c r="F1296" s="3" t="s">
        <v>156</v>
      </c>
      <c r="G1296" s="3" t="str">
        <f>VLOOKUP(F1296,[1]Mapa!A:B,2,0)</f>
        <v>Felipe Alves Barbosa</v>
      </c>
      <c r="H1296" s="3" t="s">
        <v>209</v>
      </c>
      <c r="I1296" s="3" t="str">
        <f>VLOOKUP(H1296,[1]Mapa!A:B,2,0)</f>
        <v>Taina Alexsander Fernandes Pires</v>
      </c>
      <c r="J1296" s="3" t="s">
        <v>93</v>
      </c>
      <c r="K1296" s="3" t="str">
        <f t="shared" si="5"/>
        <v>SKILL DIFERENTE</v>
      </c>
      <c r="L1296" s="3" t="s">
        <v>866</v>
      </c>
      <c r="M1296" s="3" t="s">
        <v>59</v>
      </c>
      <c r="N1296" s="3" t="s">
        <v>60</v>
      </c>
      <c r="O1296" s="3" t="s">
        <v>182</v>
      </c>
      <c r="P1296" s="3" t="s">
        <v>876</v>
      </c>
      <c r="Q1296" s="31">
        <v>42754</v>
      </c>
      <c r="R1296" s="3" t="str">
        <f>IFERROR(VLOOKUP(J1296,[1]PL!A:B,2,0),"")</f>
        <v>PSG</v>
      </c>
      <c r="S1296" s="3" t="str">
        <f>IFERROR(VLOOKUP(H1296,[1]Mapa!A:D,4,0),"")</f>
        <v>FUPOTECH</v>
      </c>
      <c r="T1296" s="3"/>
      <c r="U1296" s="3"/>
      <c r="V1296" s="3"/>
    </row>
    <row r="1297" spans="1:22">
      <c r="A1297" s="3" t="e">
        <f>VLOOKUP(D1297,[1]Orc!A:B,2,0)</f>
        <v>#N/A</v>
      </c>
      <c r="B1297" s="31" t="e">
        <f>VLOOKUP(D1297,[1]Orc!A:C,3,0)</f>
        <v>#N/A</v>
      </c>
      <c r="C1297" s="31">
        <v>42753.443749999999</v>
      </c>
      <c r="D1297" s="3">
        <v>3035722281</v>
      </c>
      <c r="E1297" s="3" t="s">
        <v>52</v>
      </c>
      <c r="F1297" s="3" t="s">
        <v>316</v>
      </c>
      <c r="G1297" s="3" t="str">
        <f>VLOOKUP(F1297,[1]Mapa!A:B,2,0)</f>
        <v>Patrik Alexandre Ramos</v>
      </c>
      <c r="H1297" s="3" t="s">
        <v>115</v>
      </c>
      <c r="I1297" s="3" t="str">
        <f>VLOOKUP(H1297,[1]Mapa!A:B,2,0)</f>
        <v>Tiago Ferreira da Silva</v>
      </c>
      <c r="J1297" s="3" t="s">
        <v>100</v>
      </c>
      <c r="K1297" s="3" t="str">
        <f t="shared" si="5"/>
        <v>SKILL DIFERENTE</v>
      </c>
      <c r="L1297" s="3" t="s">
        <v>871</v>
      </c>
      <c r="M1297" s="3" t="s">
        <v>84</v>
      </c>
      <c r="N1297" s="3" t="s">
        <v>85</v>
      </c>
      <c r="O1297" s="3" t="s">
        <v>935</v>
      </c>
      <c r="P1297" s="3" t="s">
        <v>876</v>
      </c>
      <c r="Q1297" s="31">
        <v>42754</v>
      </c>
      <c r="R1297" s="3" t="str">
        <f>IFERROR(VLOOKUP(J1297,[1]PL!A:B,2,0),"")</f>
        <v>PSG</v>
      </c>
      <c r="S1297" s="3" t="str">
        <f>IFERROR(VLOOKUP(H1297,[1]Mapa!A:D,4,0),"")</f>
        <v>FUPOTECH</v>
      </c>
      <c r="T1297" s="3"/>
      <c r="U1297" s="3"/>
      <c r="V1297" s="3"/>
    </row>
    <row r="1298" spans="1:22">
      <c r="A1298" s="3" t="e">
        <f>VLOOKUP(D1298,[1]Orc!A:B,2,0)</f>
        <v>#N/A</v>
      </c>
      <c r="B1298" s="31" t="e">
        <f>VLOOKUP(D1298,[1]Orc!A:C,3,0)</f>
        <v>#N/A</v>
      </c>
      <c r="C1298" s="31">
        <v>42753.487500000003</v>
      </c>
      <c r="D1298" s="3">
        <v>3035755615</v>
      </c>
      <c r="E1298" s="3" t="s">
        <v>31</v>
      </c>
      <c r="F1298" s="3" t="s">
        <v>145</v>
      </c>
      <c r="G1298" s="3" t="str">
        <f>VLOOKUP(F1298,[1]Mapa!A:B,2,0)</f>
        <v>Erico Luan de Jesus Silva</v>
      </c>
      <c r="H1298" s="3" t="s">
        <v>209</v>
      </c>
      <c r="I1298" s="3" t="str">
        <f>VLOOKUP(H1298,[1]Mapa!A:B,2,0)</f>
        <v>Taina Alexsander Fernandes Pires</v>
      </c>
      <c r="J1298" s="3" t="s">
        <v>100</v>
      </c>
      <c r="K1298" s="3" t="str">
        <f t="shared" si="5"/>
        <v>SKILL DIFERENTE</v>
      </c>
      <c r="L1298" s="3" t="s">
        <v>871</v>
      </c>
      <c r="M1298" s="3" t="s">
        <v>84</v>
      </c>
      <c r="N1298" s="3" t="s">
        <v>85</v>
      </c>
      <c r="O1298" s="3" t="s">
        <v>925</v>
      </c>
      <c r="P1298" s="3" t="s">
        <v>876</v>
      </c>
      <c r="Q1298" s="31">
        <v>42754</v>
      </c>
      <c r="R1298" s="3" t="str">
        <f>IFERROR(VLOOKUP(J1298,[1]PL!A:B,2,0),"")</f>
        <v>PSG</v>
      </c>
      <c r="S1298" s="3" t="str">
        <f>IFERROR(VLOOKUP(H1298,[1]Mapa!A:D,4,0),"")</f>
        <v>FUPOTECH</v>
      </c>
      <c r="T1298" s="3"/>
      <c r="U1298" s="3"/>
      <c r="V1298" s="3"/>
    </row>
    <row r="1299" spans="1:22">
      <c r="A1299" s="3" t="e">
        <f>VLOOKUP(D1299,[1]Orc!A:B,2,0)</f>
        <v>#N/A</v>
      </c>
      <c r="B1299" s="31" t="e">
        <f>VLOOKUP(D1299,[1]Orc!A:C,3,0)</f>
        <v>#N/A</v>
      </c>
      <c r="C1299" s="31">
        <v>42753.508333333331</v>
      </c>
      <c r="D1299" s="3">
        <v>3035851685</v>
      </c>
      <c r="E1299" s="3" t="s">
        <v>31</v>
      </c>
      <c r="F1299" s="3" t="s">
        <v>145</v>
      </c>
      <c r="G1299" s="3" t="str">
        <f>VLOOKUP(F1299,[1]Mapa!A:B,2,0)</f>
        <v>Erico Luan de Jesus Silva</v>
      </c>
      <c r="H1299" s="3" t="s">
        <v>209</v>
      </c>
      <c r="I1299" s="3" t="str">
        <f>VLOOKUP(H1299,[1]Mapa!A:B,2,0)</f>
        <v>Taina Alexsander Fernandes Pires</v>
      </c>
      <c r="J1299" s="3" t="s">
        <v>93</v>
      </c>
      <c r="K1299" s="3" t="str">
        <f t="shared" si="5"/>
        <v>SKILL DIFERENTE</v>
      </c>
      <c r="L1299" s="3" t="s">
        <v>866</v>
      </c>
      <c r="M1299" s="3" t="s">
        <v>70</v>
      </c>
      <c r="N1299" s="3" t="s">
        <v>71</v>
      </c>
      <c r="O1299" s="3" t="s">
        <v>4415</v>
      </c>
      <c r="P1299" s="3" t="s">
        <v>876</v>
      </c>
      <c r="Q1299" s="31">
        <v>42754</v>
      </c>
      <c r="R1299" s="3" t="str">
        <f>IFERROR(VLOOKUP(J1299,[1]PL!A:B,2,0),"")</f>
        <v>PSG</v>
      </c>
      <c r="S1299" s="3" t="str">
        <f>IFERROR(VLOOKUP(H1299,[1]Mapa!A:D,4,0),"")</f>
        <v>FUPOTECH</v>
      </c>
      <c r="T1299" s="3"/>
      <c r="U1299" s="3"/>
      <c r="V1299" s="3"/>
    </row>
    <row r="1300" spans="1:22">
      <c r="A1300" s="3" t="e">
        <f>VLOOKUP(D1300,[1]Orc!A:B,2,0)</f>
        <v>#N/A</v>
      </c>
      <c r="B1300" s="31" t="e">
        <f>VLOOKUP(D1300,[1]Orc!A:C,3,0)</f>
        <v>#N/A</v>
      </c>
      <c r="C1300" s="31">
        <v>42753.515277777777</v>
      </c>
      <c r="D1300" s="3">
        <v>3035516252</v>
      </c>
      <c r="E1300" s="3" t="s">
        <v>39</v>
      </c>
      <c r="F1300" s="3" t="s">
        <v>246</v>
      </c>
      <c r="G1300" s="3" t="str">
        <f>VLOOKUP(F1300,[1]Mapa!A:B,2,0)</f>
        <v>Wellington Da Silva De Oliveira</v>
      </c>
      <c r="H1300" s="3" t="s">
        <v>1731</v>
      </c>
      <c r="I1300" s="3" t="str">
        <f>VLOOKUP(H1300,[1]Mapa!A:B,2,0)</f>
        <v>Emerson De Lima Franca</v>
      </c>
      <c r="J1300" s="3" t="s">
        <v>100</v>
      </c>
      <c r="K1300" s="3" t="str">
        <f t="shared" si="5"/>
        <v>SKILL DIFERENTE</v>
      </c>
      <c r="L1300" s="3" t="s">
        <v>871</v>
      </c>
      <c r="M1300" s="3" t="s">
        <v>65</v>
      </c>
      <c r="N1300" s="3" t="s">
        <v>66</v>
      </c>
      <c r="O1300" s="3" t="s">
        <v>65</v>
      </c>
      <c r="P1300" s="3" t="s">
        <v>876</v>
      </c>
      <c r="Q1300" s="31">
        <v>42754</v>
      </c>
      <c r="R1300" s="3" t="str">
        <f>IFERROR(VLOOKUP(J1300,[1]PL!A:B,2,0),"")</f>
        <v>PSG</v>
      </c>
      <c r="S1300" s="3" t="str">
        <f>IFERROR(VLOOKUP(H1300,[1]Mapa!A:D,4,0),"")</f>
        <v>TCO</v>
      </c>
      <c r="T1300" s="3"/>
      <c r="U1300" s="3"/>
      <c r="V1300" s="3"/>
    </row>
    <row r="1301" spans="1:22">
      <c r="A1301" s="3" t="e">
        <f>VLOOKUP(D1301,[1]Orc!A:B,2,0)</f>
        <v>#N/A</v>
      </c>
      <c r="B1301" s="31" t="e">
        <f>VLOOKUP(D1301,[1]Orc!A:C,3,0)</f>
        <v>#N/A</v>
      </c>
      <c r="C1301" s="31">
        <v>42753.518055555556</v>
      </c>
      <c r="D1301" s="3">
        <v>3035400632</v>
      </c>
      <c r="E1301" s="3" t="s">
        <v>31</v>
      </c>
      <c r="F1301" s="3" t="s">
        <v>221</v>
      </c>
      <c r="G1301" s="3" t="str">
        <f>VLOOKUP(F1301,[1]Mapa!A:B,2,0)</f>
        <v>Fabio Perez Da Silva</v>
      </c>
      <c r="H1301" s="3" t="s">
        <v>878</v>
      </c>
      <c r="I1301" s="3" t="str">
        <f>VLOOKUP(H1301,[1]Mapa!A:B,2,0)</f>
        <v>Oliviana Saraiva Almeida</v>
      </c>
      <c r="J1301" s="3" t="s">
        <v>93</v>
      </c>
      <c r="K1301" s="3" t="str">
        <f t="shared" si="5"/>
        <v>SKILL DIFERENTE</v>
      </c>
      <c r="L1301" s="3" t="s">
        <v>871</v>
      </c>
      <c r="M1301" s="3" t="s">
        <v>65</v>
      </c>
      <c r="N1301" s="3" t="s">
        <v>66</v>
      </c>
      <c r="O1301" s="3" t="s">
        <v>65</v>
      </c>
      <c r="P1301" s="3" t="s">
        <v>876</v>
      </c>
      <c r="Q1301" s="31">
        <v>42754</v>
      </c>
      <c r="R1301" s="3" t="str">
        <f>IFERROR(VLOOKUP(J1301,[1]PL!A:B,2,0),"")</f>
        <v>PSG</v>
      </c>
      <c r="S1301" s="3" t="str">
        <f>IFERROR(VLOOKUP(H1301,[1]Mapa!A:D,4,0),"")</f>
        <v>TCO</v>
      </c>
      <c r="T1301" s="3"/>
      <c r="U1301" s="3"/>
      <c r="V1301" s="3"/>
    </row>
    <row r="1302" spans="1:22">
      <c r="A1302" s="3" t="e">
        <f>VLOOKUP(D1302,[1]Orc!A:B,2,0)</f>
        <v>#N/A</v>
      </c>
      <c r="B1302" s="31" t="e">
        <f>VLOOKUP(D1302,[1]Orc!A:C,3,0)</f>
        <v>#N/A</v>
      </c>
      <c r="C1302" s="31">
        <v>42753.519444444442</v>
      </c>
      <c r="D1302" s="3">
        <v>3035884625</v>
      </c>
      <c r="E1302" s="3" t="s">
        <v>31</v>
      </c>
      <c r="F1302" s="3" t="s">
        <v>200</v>
      </c>
      <c r="G1302" s="3" t="str">
        <f>VLOOKUP(F1302,[1]Mapa!A:B,2,0)</f>
        <v>Washington Silva De Oliveira</v>
      </c>
      <c r="H1302" s="3" t="s">
        <v>200</v>
      </c>
      <c r="I1302" s="3" t="str">
        <f>VLOOKUP(H1302,[1]Mapa!A:B,2,0)</f>
        <v>Washington Silva De Oliveira</v>
      </c>
      <c r="J1302" s="3" t="s">
        <v>93</v>
      </c>
      <c r="K1302" s="3" t="str">
        <f t="shared" si="5"/>
        <v>SKILL IGUAL</v>
      </c>
      <c r="L1302" s="3" t="s">
        <v>866</v>
      </c>
      <c r="M1302" s="3" t="s">
        <v>70</v>
      </c>
      <c r="N1302" s="3" t="s">
        <v>71</v>
      </c>
      <c r="O1302" s="3" t="s">
        <v>4416</v>
      </c>
      <c r="P1302" s="3" t="s">
        <v>876</v>
      </c>
      <c r="Q1302" s="31">
        <v>42754</v>
      </c>
      <c r="R1302" s="3" t="str">
        <f>IFERROR(VLOOKUP(J1302,[1]PL!A:B,2,0),"")</f>
        <v>PSG</v>
      </c>
      <c r="S1302" s="3" t="str">
        <f>IFERROR(VLOOKUP(H1302,[1]Mapa!A:D,4,0),"")</f>
        <v>PSG</v>
      </c>
      <c r="T1302" s="3"/>
      <c r="U1302" s="3"/>
      <c r="V1302" s="3"/>
    </row>
    <row r="1303" spans="1:22">
      <c r="A1303" s="3" t="e">
        <f>VLOOKUP(D1303,[1]Orc!A:B,2,0)</f>
        <v>#N/A</v>
      </c>
      <c r="B1303" s="31" t="e">
        <f>VLOOKUP(D1303,[1]Orc!A:C,3,0)</f>
        <v>#N/A</v>
      </c>
      <c r="C1303" s="31">
        <v>42753.522222222222</v>
      </c>
      <c r="D1303" s="3">
        <v>3035747451</v>
      </c>
      <c r="E1303" s="3" t="s">
        <v>31</v>
      </c>
      <c r="F1303" s="3" t="s">
        <v>206</v>
      </c>
      <c r="G1303" s="3" t="str">
        <f>VLOOKUP(F1303,[1]Mapa!A:B,2,0)</f>
        <v>Alvani Elizabete Aliano de Oliveira</v>
      </c>
      <c r="H1303" s="3" t="s">
        <v>209</v>
      </c>
      <c r="I1303" s="3" t="str">
        <f>VLOOKUP(H1303,[1]Mapa!A:B,2,0)</f>
        <v>Taina Alexsander Fernandes Pires</v>
      </c>
      <c r="J1303" s="3" t="s">
        <v>93</v>
      </c>
      <c r="K1303" s="3" t="str">
        <f t="shared" si="5"/>
        <v>SKILL DIFERENTE</v>
      </c>
      <c r="L1303" s="3" t="s">
        <v>866</v>
      </c>
      <c r="M1303" s="3" t="s">
        <v>70</v>
      </c>
      <c r="N1303" s="3" t="s">
        <v>71</v>
      </c>
      <c r="O1303" s="3" t="s">
        <v>4417</v>
      </c>
      <c r="P1303" s="3" t="s">
        <v>876</v>
      </c>
      <c r="Q1303" s="31">
        <v>42754</v>
      </c>
      <c r="R1303" s="3" t="str">
        <f>IFERROR(VLOOKUP(J1303,[1]PL!A:B,2,0),"")</f>
        <v>PSG</v>
      </c>
      <c r="S1303" s="3" t="str">
        <f>IFERROR(VLOOKUP(H1303,[1]Mapa!A:D,4,0),"")</f>
        <v>FUPOTECH</v>
      </c>
      <c r="T1303" s="3"/>
      <c r="U1303" s="3"/>
      <c r="V1303" s="3"/>
    </row>
    <row r="1304" spans="1:22">
      <c r="A1304" s="3" t="e">
        <f>VLOOKUP(D1304,[1]Orc!A:B,2,0)</f>
        <v>#N/A</v>
      </c>
      <c r="B1304" s="31" t="e">
        <f>VLOOKUP(D1304,[1]Orc!A:C,3,0)</f>
        <v>#N/A</v>
      </c>
      <c r="C1304" s="31">
        <v>42753.542361111111</v>
      </c>
      <c r="D1304" s="3">
        <v>3035615785</v>
      </c>
      <c r="E1304" s="3" t="s">
        <v>39</v>
      </c>
      <c r="F1304" s="3" t="s">
        <v>250</v>
      </c>
      <c r="G1304" s="3" t="str">
        <f>VLOOKUP(F1304,[1]Mapa!A:B,2,0)</f>
        <v>Filipe Augusto Fernandes De Oliveira</v>
      </c>
      <c r="H1304" s="3" t="s">
        <v>3058</v>
      </c>
      <c r="I1304" s="3" t="str">
        <f>VLOOKUP(H1304,[1]Mapa!A:B,2,0)</f>
        <v>Valeria Amorim Dos Santos</v>
      </c>
      <c r="J1304" s="3" t="s">
        <v>100</v>
      </c>
      <c r="K1304" s="3" t="str">
        <f t="shared" si="5"/>
        <v>SKILL DIFERENTE</v>
      </c>
      <c r="L1304" s="3" t="s">
        <v>871</v>
      </c>
      <c r="M1304" s="3" t="s">
        <v>65</v>
      </c>
      <c r="N1304" s="3" t="s">
        <v>66</v>
      </c>
      <c r="O1304" s="3" t="s">
        <v>65</v>
      </c>
      <c r="P1304" s="3" t="s">
        <v>876</v>
      </c>
      <c r="Q1304" s="31">
        <v>42754</v>
      </c>
      <c r="R1304" s="3" t="str">
        <f>IFERROR(VLOOKUP(J1304,[1]PL!A:B,2,0),"")</f>
        <v>PSG</v>
      </c>
      <c r="S1304" s="3" t="str">
        <f>IFERROR(VLOOKUP(H1304,[1]Mapa!A:D,4,0),"")</f>
        <v>Mídia Social</v>
      </c>
      <c r="T1304" s="3"/>
      <c r="U1304" s="3"/>
      <c r="V1304" s="3"/>
    </row>
    <row r="1305" spans="1:22">
      <c r="A1305" s="3" t="e">
        <f>VLOOKUP(D1305,[1]Orc!A:B,2,0)</f>
        <v>#N/A</v>
      </c>
      <c r="B1305" s="31" t="e">
        <f>VLOOKUP(D1305,[1]Orc!A:C,3,0)</f>
        <v>#N/A</v>
      </c>
      <c r="C1305" s="31">
        <v>42753.604166666664</v>
      </c>
      <c r="D1305" s="3">
        <v>3035751130</v>
      </c>
      <c r="E1305" s="3" t="s">
        <v>31</v>
      </c>
      <c r="F1305" s="3" t="s">
        <v>213</v>
      </c>
      <c r="G1305" s="3" t="str">
        <f>VLOOKUP(F1305,[1]Mapa!A:B,2,0)</f>
        <v>Leonardo Cantilho Maracas</v>
      </c>
      <c r="H1305" s="3" t="s">
        <v>209</v>
      </c>
      <c r="I1305" s="3" t="str">
        <f>VLOOKUP(H1305,[1]Mapa!A:B,2,0)</f>
        <v>Taina Alexsander Fernandes Pires</v>
      </c>
      <c r="J1305" s="3" t="s">
        <v>93</v>
      </c>
      <c r="K1305" s="3" t="str">
        <f t="shared" si="5"/>
        <v>SKILL DIFERENTE</v>
      </c>
      <c r="L1305" s="3" t="s">
        <v>871</v>
      </c>
      <c r="M1305" s="3" t="s">
        <v>84</v>
      </c>
      <c r="N1305" s="3" t="s">
        <v>85</v>
      </c>
      <c r="O1305" s="3" t="s">
        <v>925</v>
      </c>
      <c r="P1305" s="3" t="s">
        <v>876</v>
      </c>
      <c r="Q1305" s="31">
        <v>42754</v>
      </c>
      <c r="R1305" s="3" t="str">
        <f>IFERROR(VLOOKUP(J1305,[1]PL!A:B,2,0),"")</f>
        <v>PSG</v>
      </c>
      <c r="S1305" s="3" t="str">
        <f>IFERROR(VLOOKUP(H1305,[1]Mapa!A:D,4,0),"")</f>
        <v>FUPOTECH</v>
      </c>
      <c r="T1305" s="3"/>
      <c r="U1305" s="3"/>
      <c r="V1305" s="3"/>
    </row>
    <row r="1306" spans="1:22">
      <c r="A1306" s="3" t="e">
        <f>VLOOKUP(D1306,[1]Orc!A:B,2,0)</f>
        <v>#N/A</v>
      </c>
      <c r="B1306" s="31" t="e">
        <f>VLOOKUP(D1306,[1]Orc!A:C,3,0)</f>
        <v>#N/A</v>
      </c>
      <c r="C1306" s="31">
        <v>42753.609027777777</v>
      </c>
      <c r="D1306" s="3">
        <v>3035724618</v>
      </c>
      <c r="E1306" s="3" t="s">
        <v>23</v>
      </c>
      <c r="F1306" s="3" t="s">
        <v>119</v>
      </c>
      <c r="G1306" s="3" t="str">
        <f>VLOOKUP(F1306,[1]Mapa!A:B,2,0)</f>
        <v xml:space="preserve">Leandro Ferreira Batista </v>
      </c>
      <c r="H1306" s="3" t="s">
        <v>139</v>
      </c>
      <c r="I1306" s="3" t="str">
        <f>VLOOKUP(H1306,[1]Mapa!A:B,2,0)</f>
        <v>Vanderlei Valentim Vieira</v>
      </c>
      <c r="J1306" s="3" t="s">
        <v>93</v>
      </c>
      <c r="K1306" s="3" t="str">
        <f t="shared" si="5"/>
        <v>SKILL DIFERENTE</v>
      </c>
      <c r="L1306" s="3" t="s">
        <v>866</v>
      </c>
      <c r="M1306" s="3" t="s">
        <v>70</v>
      </c>
      <c r="N1306" s="3" t="s">
        <v>71</v>
      </c>
      <c r="O1306" s="3" t="s">
        <v>4418</v>
      </c>
      <c r="P1306" s="3" t="s">
        <v>876</v>
      </c>
      <c r="Q1306" s="31">
        <v>42754</v>
      </c>
      <c r="R1306" s="3" t="str">
        <f>IFERROR(VLOOKUP(J1306,[1]PL!A:B,2,0),"")</f>
        <v>PSG</v>
      </c>
      <c r="S1306" s="3" t="str">
        <f>IFERROR(VLOOKUP(H1306,[1]Mapa!A:D,4,0),"")</f>
        <v>FUPOTECH</v>
      </c>
      <c r="T1306" s="3"/>
      <c r="U1306" s="3"/>
      <c r="V1306" s="3"/>
    </row>
    <row r="1307" spans="1:22">
      <c r="A1307" s="3" t="e">
        <f>VLOOKUP(D1307,[1]Orc!A:B,2,0)</f>
        <v>#N/A</v>
      </c>
      <c r="B1307" s="31" t="e">
        <f>VLOOKUP(D1307,[1]Orc!A:C,3,0)</f>
        <v>#N/A</v>
      </c>
      <c r="C1307" s="31">
        <v>42753.625694444447</v>
      </c>
      <c r="D1307" s="3">
        <v>3035884353</v>
      </c>
      <c r="E1307" s="3" t="e">
        <v>#N/A</v>
      </c>
      <c r="F1307" s="3" t="s">
        <v>230</v>
      </c>
      <c r="G1307" s="3" t="e">
        <f>VLOOKUP(F1307,[1]Mapa!A:B,2,0)</f>
        <v>#N/A</v>
      </c>
      <c r="H1307" s="3" t="s">
        <v>230</v>
      </c>
      <c r="I1307" s="3" t="e">
        <f>VLOOKUP(H1307,[1]Mapa!A:B,2,0)</f>
        <v>#N/A</v>
      </c>
      <c r="J1307" s="3" t="s">
        <v>256</v>
      </c>
      <c r="K1307" s="3" t="str">
        <f t="shared" si="5"/>
        <v>SKILL IGUAL</v>
      </c>
      <c r="L1307" s="3" t="s">
        <v>871</v>
      </c>
      <c r="M1307" s="3" t="s">
        <v>84</v>
      </c>
      <c r="N1307" s="3" t="s">
        <v>85</v>
      </c>
      <c r="O1307" s="3" t="s">
        <v>4419</v>
      </c>
      <c r="P1307" s="3" t="s">
        <v>876</v>
      </c>
      <c r="Q1307" s="31">
        <v>42754</v>
      </c>
      <c r="R1307" s="3" t="str">
        <f>IFERROR(VLOOKUP(J1307,[1]PL!A:B,2,0),"")</f>
        <v/>
      </c>
      <c r="S1307" s="3" t="str">
        <f>IFERROR(VLOOKUP(H1307,[1]Mapa!A:D,4,0),"")</f>
        <v/>
      </c>
      <c r="T1307" s="3"/>
      <c r="U1307" s="3"/>
      <c r="V1307" s="3"/>
    </row>
    <row r="1308" spans="1:22">
      <c r="A1308" s="3" t="e">
        <f>VLOOKUP(D1308,[1]Orc!A:B,2,0)</f>
        <v>#N/A</v>
      </c>
      <c r="B1308" s="31" t="e">
        <f>VLOOKUP(D1308,[1]Orc!A:C,3,0)</f>
        <v>#N/A</v>
      </c>
      <c r="C1308" s="31">
        <v>42753.630555555559</v>
      </c>
      <c r="D1308" s="3">
        <v>3035855760</v>
      </c>
      <c r="E1308" s="3" t="s">
        <v>23</v>
      </c>
      <c r="F1308" s="3" t="s">
        <v>862</v>
      </c>
      <c r="G1308" s="3" t="str">
        <f>VLOOKUP(F1308,[1]Mapa!A:B,2,0)</f>
        <v>Caio Eiji Arai</v>
      </c>
      <c r="H1308" s="3" t="s">
        <v>139</v>
      </c>
      <c r="I1308" s="3" t="str">
        <f>VLOOKUP(H1308,[1]Mapa!A:B,2,0)</f>
        <v>Vanderlei Valentim Vieira</v>
      </c>
      <c r="J1308" s="3" t="s">
        <v>93</v>
      </c>
      <c r="K1308" s="3" t="str">
        <f t="shared" si="5"/>
        <v>SKILL DIFERENTE</v>
      </c>
      <c r="L1308" s="3" t="s">
        <v>866</v>
      </c>
      <c r="M1308" s="3" t="s">
        <v>59</v>
      </c>
      <c r="N1308" s="3" t="s">
        <v>60</v>
      </c>
      <c r="O1308" s="3" t="s">
        <v>123</v>
      </c>
      <c r="P1308" s="3" t="s">
        <v>867</v>
      </c>
      <c r="Q1308" s="31">
        <v>42754</v>
      </c>
      <c r="R1308" s="3" t="str">
        <f>IFERROR(VLOOKUP(J1308,[1]PL!A:B,2,0),"")</f>
        <v>PSG</v>
      </c>
      <c r="S1308" s="3" t="str">
        <f>IFERROR(VLOOKUP(H1308,[1]Mapa!A:D,4,0),"")</f>
        <v>FUPOTECH</v>
      </c>
      <c r="T1308" s="3"/>
      <c r="U1308" s="3"/>
      <c r="V1308" s="3"/>
    </row>
    <row r="1309" spans="1:22">
      <c r="A1309" s="3" t="e">
        <f>VLOOKUP(D1309,[1]Orc!A:B,2,0)</f>
        <v>#N/A</v>
      </c>
      <c r="B1309" s="31" t="e">
        <f>VLOOKUP(D1309,[1]Orc!A:C,3,0)</f>
        <v>#N/A</v>
      </c>
      <c r="C1309" s="31">
        <v>42753.636805555558</v>
      </c>
      <c r="D1309" s="3">
        <v>3035857902</v>
      </c>
      <c r="E1309" s="3" t="s">
        <v>39</v>
      </c>
      <c r="F1309" s="3" t="s">
        <v>236</v>
      </c>
      <c r="G1309" s="3" t="str">
        <f>VLOOKUP(F1309,[1]Mapa!A:B,2,0)</f>
        <v>Stefany Aparecida Alexandre De Franca</v>
      </c>
      <c r="H1309" s="3" t="s">
        <v>238</v>
      </c>
      <c r="I1309" s="3" t="str">
        <f>VLOOKUP(H1309,[1]Mapa!A:B,2,0)</f>
        <v>Fernando Souza De Almeida</v>
      </c>
      <c r="J1309" s="3" t="s">
        <v>93</v>
      </c>
      <c r="K1309" s="3" t="str">
        <f t="shared" si="5"/>
        <v>SKILL DIFERENTE</v>
      </c>
      <c r="L1309" s="3" t="s">
        <v>871</v>
      </c>
      <c r="M1309" s="3" t="s">
        <v>84</v>
      </c>
      <c r="N1309" s="3" t="s">
        <v>85</v>
      </c>
      <c r="O1309" s="3" t="s">
        <v>887</v>
      </c>
      <c r="P1309" s="3" t="s">
        <v>867</v>
      </c>
      <c r="Q1309" s="31">
        <v>42754</v>
      </c>
      <c r="R1309" s="3" t="str">
        <f>IFERROR(VLOOKUP(J1309,[1]PL!A:B,2,0),"")</f>
        <v>PSG</v>
      </c>
      <c r="S1309" s="3" t="str">
        <f>IFERROR(VLOOKUP(H1309,[1]Mapa!A:D,4,0),"")</f>
        <v>FUPOTECH</v>
      </c>
      <c r="T1309" s="3"/>
      <c r="U1309" s="3" t="s">
        <v>2676</v>
      </c>
      <c r="V1309" s="3"/>
    </row>
    <row r="1310" spans="1:22">
      <c r="A1310" s="3" t="e">
        <f>VLOOKUP(D1310,[1]Orc!A:B,2,0)</f>
        <v>#N/A</v>
      </c>
      <c r="B1310" s="31" t="e">
        <f>VLOOKUP(D1310,[1]Orc!A:C,3,0)</f>
        <v>#N/A</v>
      </c>
      <c r="C1310" s="31">
        <v>42753.643750000003</v>
      </c>
      <c r="D1310" s="3">
        <v>3035657784</v>
      </c>
      <c r="E1310" s="3" t="s">
        <v>23</v>
      </c>
      <c r="F1310" s="3" t="s">
        <v>154</v>
      </c>
      <c r="G1310" s="3" t="str">
        <f>VLOOKUP(F1310,[1]Mapa!A:B,2,0)</f>
        <v>Reginaldo de Araujo Rosario</v>
      </c>
      <c r="H1310" s="3" t="s">
        <v>139</v>
      </c>
      <c r="I1310" s="3" t="str">
        <f>VLOOKUP(H1310,[1]Mapa!A:B,2,0)</f>
        <v>Vanderlei Valentim Vieira</v>
      </c>
      <c r="J1310" s="3" t="s">
        <v>93</v>
      </c>
      <c r="K1310" s="3" t="str">
        <f t="shared" si="5"/>
        <v>SKILL DIFERENTE</v>
      </c>
      <c r="L1310" s="3" t="s">
        <v>866</v>
      </c>
      <c r="M1310" s="3" t="s">
        <v>59</v>
      </c>
      <c r="N1310" s="3" t="s">
        <v>60</v>
      </c>
      <c r="O1310" s="3" t="s">
        <v>4420</v>
      </c>
      <c r="P1310" s="3" t="s">
        <v>867</v>
      </c>
      <c r="Q1310" s="31">
        <v>42754</v>
      </c>
      <c r="R1310" s="3" t="str">
        <f>IFERROR(VLOOKUP(J1310,[1]PL!A:B,2,0),"")</f>
        <v>PSG</v>
      </c>
      <c r="S1310" s="3" t="str">
        <f>IFERROR(VLOOKUP(H1310,[1]Mapa!A:D,4,0),"")</f>
        <v>FUPOTECH</v>
      </c>
      <c r="T1310" s="3"/>
      <c r="U1310" s="3"/>
      <c r="V1310" s="3"/>
    </row>
    <row r="1311" spans="1:22">
      <c r="A1311" s="3" t="e">
        <f>VLOOKUP(D1311,[1]Orc!A:B,2,0)</f>
        <v>#N/A</v>
      </c>
      <c r="B1311" s="31" t="e">
        <f>VLOOKUP(D1311,[1]Orc!A:C,3,0)</f>
        <v>#N/A</v>
      </c>
      <c r="C1311" s="31">
        <v>42753.657638888886</v>
      </c>
      <c r="D1311" s="3">
        <v>3035891311</v>
      </c>
      <c r="E1311" s="3" t="s">
        <v>23</v>
      </c>
      <c r="F1311" s="3" t="s">
        <v>119</v>
      </c>
      <c r="G1311" s="3" t="str">
        <f>VLOOKUP(F1311,[1]Mapa!A:B,2,0)</f>
        <v xml:space="preserve">Leandro Ferreira Batista </v>
      </c>
      <c r="H1311" s="3" t="s">
        <v>119</v>
      </c>
      <c r="I1311" s="3" t="str">
        <f>VLOOKUP(H1311,[1]Mapa!A:B,2,0)</f>
        <v xml:space="preserve">Leandro Ferreira Batista </v>
      </c>
      <c r="J1311" s="3" t="s">
        <v>93</v>
      </c>
      <c r="K1311" s="3" t="str">
        <f t="shared" si="5"/>
        <v>SKILL DIFERENTE</v>
      </c>
      <c r="L1311" s="3" t="s">
        <v>866</v>
      </c>
      <c r="M1311" s="3" t="s">
        <v>59</v>
      </c>
      <c r="N1311" s="3" t="s">
        <v>60</v>
      </c>
      <c r="O1311" s="3" t="s">
        <v>4382</v>
      </c>
      <c r="P1311" s="3" t="s">
        <v>867</v>
      </c>
      <c r="Q1311" s="31">
        <v>42754</v>
      </c>
      <c r="R1311" s="3" t="str">
        <f>IFERROR(VLOOKUP(J1311,[1]PL!A:B,2,0),"")</f>
        <v>PSG</v>
      </c>
      <c r="S1311" s="3" t="str">
        <f>IFERROR(VLOOKUP(H1311,[1]Mapa!A:D,4,0),"")</f>
        <v>IPG</v>
      </c>
      <c r="T1311" s="3"/>
      <c r="U1311" s="3"/>
      <c r="V1311" s="3"/>
    </row>
    <row r="1312" spans="1:22">
      <c r="A1312" s="3" t="e">
        <f>VLOOKUP(D1312,[1]Orc!A:B,2,0)</f>
        <v>#N/A</v>
      </c>
      <c r="B1312" s="31" t="e">
        <f>VLOOKUP(D1312,[1]Orc!A:C,3,0)</f>
        <v>#N/A</v>
      </c>
      <c r="C1312" s="31">
        <v>42753.659722222219</v>
      </c>
      <c r="D1312" s="3">
        <v>3035891798</v>
      </c>
      <c r="E1312" s="3" t="s">
        <v>31</v>
      </c>
      <c r="F1312" s="3" t="s">
        <v>113</v>
      </c>
      <c r="G1312" s="3" t="str">
        <f>VLOOKUP(F1312,[1]Mapa!A:B,2,0)</f>
        <v>Daniel Dantas De Oliveira</v>
      </c>
      <c r="H1312" s="3" t="s">
        <v>113</v>
      </c>
      <c r="I1312" s="3" t="str">
        <f>VLOOKUP(H1312,[1]Mapa!A:B,2,0)</f>
        <v>Daniel Dantas De Oliveira</v>
      </c>
      <c r="J1312" s="3" t="s">
        <v>93</v>
      </c>
      <c r="K1312" s="3" t="str">
        <f t="shared" si="5"/>
        <v>SKILL DIFERENTE</v>
      </c>
      <c r="L1312" s="3" t="s">
        <v>866</v>
      </c>
      <c r="M1312" s="3" t="s">
        <v>59</v>
      </c>
      <c r="N1312" s="3" t="s">
        <v>60</v>
      </c>
      <c r="O1312" s="3" t="s">
        <v>3218</v>
      </c>
      <c r="P1312" s="3" t="s">
        <v>867</v>
      </c>
      <c r="Q1312" s="31">
        <v>42754</v>
      </c>
      <c r="R1312" s="3" t="str">
        <f>IFERROR(VLOOKUP(J1312,[1]PL!A:B,2,0),"")</f>
        <v>PSG</v>
      </c>
      <c r="S1312" s="3" t="str">
        <f>IFERROR(VLOOKUP(H1312,[1]Mapa!A:D,4,0),"")</f>
        <v>IPG</v>
      </c>
      <c r="T1312" s="3"/>
      <c r="U1312" s="3"/>
      <c r="V1312" s="3"/>
    </row>
    <row r="1313" spans="1:22">
      <c r="A1313" s="3" t="e">
        <f>VLOOKUP(D1313,[1]Orc!A:B,2,0)</f>
        <v>#N/A</v>
      </c>
      <c r="B1313" s="31" t="e">
        <f>VLOOKUP(D1313,[1]Orc!A:C,3,0)</f>
        <v>#N/A</v>
      </c>
      <c r="C1313" s="31">
        <v>42753.663888888892</v>
      </c>
      <c r="D1313" s="3">
        <v>3035889584</v>
      </c>
      <c r="E1313" s="3" t="s">
        <v>31</v>
      </c>
      <c r="F1313" s="3" t="s">
        <v>145</v>
      </c>
      <c r="G1313" s="3" t="str">
        <f>VLOOKUP(F1313,[1]Mapa!A:B,2,0)</f>
        <v>Erico Luan de Jesus Silva</v>
      </c>
      <c r="H1313" s="3" t="s">
        <v>145</v>
      </c>
      <c r="I1313" s="3" t="str">
        <f>VLOOKUP(H1313,[1]Mapa!A:B,2,0)</f>
        <v>Erico Luan de Jesus Silva</v>
      </c>
      <c r="J1313" s="3" t="s">
        <v>93</v>
      </c>
      <c r="K1313" s="3" t="str">
        <f t="shared" si="5"/>
        <v>SKILL IGUAL</v>
      </c>
      <c r="L1313" s="3" t="s">
        <v>866</v>
      </c>
      <c r="M1313" s="3" t="s">
        <v>59</v>
      </c>
      <c r="N1313" s="3" t="s">
        <v>60</v>
      </c>
      <c r="O1313" s="3" t="s">
        <v>4397</v>
      </c>
      <c r="P1313" s="3" t="s">
        <v>867</v>
      </c>
      <c r="Q1313" s="31">
        <v>42754</v>
      </c>
      <c r="R1313" s="3" t="str">
        <f>IFERROR(VLOOKUP(J1313,[1]PL!A:B,2,0),"")</f>
        <v>PSG</v>
      </c>
      <c r="S1313" s="3" t="str">
        <f>IFERROR(VLOOKUP(H1313,[1]Mapa!A:D,4,0),"")</f>
        <v>PSG</v>
      </c>
      <c r="T1313" s="3"/>
      <c r="U1313" s="3"/>
      <c r="V1313" s="3"/>
    </row>
    <row r="1314" spans="1:22">
      <c r="A1314" s="3" t="e">
        <f>VLOOKUP(D1314,[1]Orc!A:B,2,0)</f>
        <v>#N/A</v>
      </c>
      <c r="B1314" s="31" t="e">
        <f>VLOOKUP(D1314,[1]Orc!A:C,3,0)</f>
        <v>#N/A</v>
      </c>
      <c r="C1314" s="31">
        <v>42753.695138888892</v>
      </c>
      <c r="D1314" s="3">
        <v>3035752939</v>
      </c>
      <c r="E1314" s="3" t="s">
        <v>9</v>
      </c>
      <c r="F1314" s="3" t="s">
        <v>56</v>
      </c>
      <c r="G1314" s="3" t="str">
        <f>VLOOKUP(F1314,[1]Mapa!A:B,2,0)</f>
        <v>Matheus Cardoso Silva</v>
      </c>
      <c r="H1314" s="3" t="s">
        <v>82</v>
      </c>
      <c r="I1314" s="3" t="str">
        <f>VLOOKUP(H1314,[1]Mapa!A:B,2,0)</f>
        <v>Jonatas Gomes Tenorio</v>
      </c>
      <c r="J1314" s="3" t="s">
        <v>93</v>
      </c>
      <c r="K1314" s="3" t="str">
        <f t="shared" si="5"/>
        <v>SKILL DIFERENTE</v>
      </c>
      <c r="L1314" s="3" t="s">
        <v>871</v>
      </c>
      <c r="M1314" s="3" t="s">
        <v>932</v>
      </c>
      <c r="N1314" s="3" t="s">
        <v>85</v>
      </c>
      <c r="O1314" s="3" t="s">
        <v>920</v>
      </c>
      <c r="P1314" s="3" t="s">
        <v>867</v>
      </c>
      <c r="Q1314" s="31">
        <v>42754</v>
      </c>
      <c r="R1314" s="3" t="str">
        <f>IFERROR(VLOOKUP(J1314,[1]PL!A:B,2,0),"")</f>
        <v>PSG</v>
      </c>
      <c r="S1314" s="3" t="str">
        <f>IFERROR(VLOOKUP(H1314,[1]Mapa!A:D,4,0),"")</f>
        <v>IPG</v>
      </c>
      <c r="T1314" s="3"/>
      <c r="U1314" s="3"/>
      <c r="V1314" s="3"/>
    </row>
    <row r="1315" spans="1:22">
      <c r="A1315" s="3" t="e">
        <f>VLOOKUP(D1315,[1]Orc!A:B,2,0)</f>
        <v>#N/A</v>
      </c>
      <c r="B1315" s="31" t="e">
        <f>VLOOKUP(D1315,[1]Orc!A:C,3,0)</f>
        <v>#N/A</v>
      </c>
      <c r="C1315" s="31">
        <v>42753.714583333334</v>
      </c>
      <c r="D1315" s="3">
        <v>3035553950</v>
      </c>
      <c r="E1315" s="3" t="s">
        <v>39</v>
      </c>
      <c r="F1315" s="3" t="s">
        <v>244</v>
      </c>
      <c r="G1315" s="3" t="str">
        <f>VLOOKUP(F1315,[1]Mapa!A:B,2,0)</f>
        <v>Clarina Praxedes Alfredo</v>
      </c>
      <c r="H1315" s="3" t="s">
        <v>238</v>
      </c>
      <c r="I1315" s="3" t="str">
        <f>VLOOKUP(H1315,[1]Mapa!A:B,2,0)</f>
        <v>Fernando Souza De Almeida</v>
      </c>
      <c r="J1315" s="3" t="s">
        <v>93</v>
      </c>
      <c r="K1315" s="3" t="str">
        <f t="shared" si="5"/>
        <v>SKILL DIFERENTE</v>
      </c>
      <c r="L1315" s="3" t="s">
        <v>866</v>
      </c>
      <c r="M1315" s="3" t="s">
        <v>70</v>
      </c>
      <c r="N1315" s="3" t="s">
        <v>75</v>
      </c>
      <c r="O1315" s="3" t="s">
        <v>4398</v>
      </c>
      <c r="P1315" s="3" t="s">
        <v>867</v>
      </c>
      <c r="Q1315" s="31">
        <v>42754</v>
      </c>
      <c r="R1315" s="3" t="str">
        <f>IFERROR(VLOOKUP(J1315,[1]PL!A:B,2,0),"")</f>
        <v>PSG</v>
      </c>
      <c r="S1315" s="3" t="str">
        <f>IFERROR(VLOOKUP(H1315,[1]Mapa!A:D,4,0),"")</f>
        <v>FUPOTECH</v>
      </c>
      <c r="T1315" s="3"/>
      <c r="U1315" s="3"/>
      <c r="V1315" s="3"/>
    </row>
    <row r="1316" spans="1:22">
      <c r="A1316" s="3" t="e">
        <f>VLOOKUP(D1316,[1]Orc!A:B,2,0)</f>
        <v>#N/A</v>
      </c>
      <c r="B1316" s="31" t="e">
        <f>VLOOKUP(D1316,[1]Orc!A:C,3,0)</f>
        <v>#N/A</v>
      </c>
      <c r="C1316" s="31">
        <v>42753.720833333333</v>
      </c>
      <c r="D1316" s="3">
        <v>3035726818</v>
      </c>
      <c r="E1316" s="3" t="s">
        <v>39</v>
      </c>
      <c r="F1316" s="3" t="s">
        <v>246</v>
      </c>
      <c r="G1316" s="3" t="str">
        <f>VLOOKUP(F1316,[1]Mapa!A:B,2,0)</f>
        <v>Wellington Da Silva De Oliveira</v>
      </c>
      <c r="H1316" s="3" t="s">
        <v>238</v>
      </c>
      <c r="I1316" s="3" t="str">
        <f>VLOOKUP(H1316,[1]Mapa!A:B,2,0)</f>
        <v>Fernando Souza De Almeida</v>
      </c>
      <c r="J1316" s="3" t="s">
        <v>100</v>
      </c>
      <c r="K1316" s="3" t="str">
        <f t="shared" si="5"/>
        <v>SKILL DIFERENTE</v>
      </c>
      <c r="L1316" s="3" t="s">
        <v>871</v>
      </c>
      <c r="M1316" s="3" t="s">
        <v>932</v>
      </c>
      <c r="N1316" s="3" t="s">
        <v>85</v>
      </c>
      <c r="O1316" s="3" t="s">
        <v>4421</v>
      </c>
      <c r="P1316" s="3" t="s">
        <v>867</v>
      </c>
      <c r="Q1316" s="31">
        <v>42754</v>
      </c>
      <c r="R1316" s="3" t="str">
        <f>IFERROR(VLOOKUP(J1316,[1]PL!A:B,2,0),"")</f>
        <v>PSG</v>
      </c>
      <c r="S1316" s="3" t="str">
        <f>IFERROR(VLOOKUP(H1316,[1]Mapa!A:D,4,0),"")</f>
        <v>FUPOTECH</v>
      </c>
      <c r="T1316" s="3"/>
      <c r="U1316" s="3" t="s">
        <v>3106</v>
      </c>
      <c r="V1316" s="3"/>
    </row>
    <row r="1317" spans="1:22">
      <c r="A1317" s="3" t="e">
        <f>VLOOKUP(D1317,[1]Orc!A:B,2,0)</f>
        <v>#N/A</v>
      </c>
      <c r="B1317" s="31" t="e">
        <f>VLOOKUP(D1317,[1]Orc!A:C,3,0)</f>
        <v>#N/A</v>
      </c>
      <c r="C1317" s="31">
        <v>42753.800694444442</v>
      </c>
      <c r="D1317" s="3">
        <v>3035898814</v>
      </c>
      <c r="E1317" s="3" t="s">
        <v>23</v>
      </c>
      <c r="F1317" s="3" t="s">
        <v>149</v>
      </c>
      <c r="G1317" s="3" t="str">
        <f>VLOOKUP(F1317,[1]Mapa!A:B,2,0)</f>
        <v>Kaio Victor de Santana</v>
      </c>
      <c r="H1317" s="3" t="s">
        <v>149</v>
      </c>
      <c r="I1317" s="3" t="str">
        <f>VLOOKUP(H1317,[1]Mapa!A:B,2,0)</f>
        <v>Kaio Victor de Santana</v>
      </c>
      <c r="J1317" s="3" t="s">
        <v>93</v>
      </c>
      <c r="K1317" s="3" t="str">
        <f t="shared" si="5"/>
        <v>SKILL DIFERENTE</v>
      </c>
      <c r="L1317" s="3" t="s">
        <v>871</v>
      </c>
      <c r="M1317" s="3" t="s">
        <v>932</v>
      </c>
      <c r="N1317" s="3" t="s">
        <v>85</v>
      </c>
      <c r="O1317" s="3" t="s">
        <v>4399</v>
      </c>
      <c r="P1317" s="3" t="s">
        <v>867</v>
      </c>
      <c r="Q1317" s="31">
        <v>42754</v>
      </c>
      <c r="R1317" s="3" t="str">
        <f>IFERROR(VLOOKUP(J1317,[1]PL!A:B,2,0),"")</f>
        <v>PSG</v>
      </c>
      <c r="S1317" s="3" t="str">
        <f>IFERROR(VLOOKUP(H1317,[1]Mapa!A:D,4,0),"")</f>
        <v>IPG</v>
      </c>
      <c r="T1317" s="3"/>
      <c r="U1317" s="3"/>
      <c r="V1317" s="3"/>
    </row>
    <row r="1318" spans="1:22">
      <c r="A1318" s="3" t="e">
        <f>VLOOKUP(D1318,[1]Orc!A:B,2,0)</f>
        <v>#N/A</v>
      </c>
      <c r="B1318" s="31" t="e">
        <f>VLOOKUP(D1318,[1]Orc!A:C,3,0)</f>
        <v>#N/A</v>
      </c>
      <c r="C1318" s="31">
        <v>42753.801388888889</v>
      </c>
      <c r="D1318" s="3">
        <v>3035898808</v>
      </c>
      <c r="E1318" s="3" t="s">
        <v>23</v>
      </c>
      <c r="F1318" s="3" t="s">
        <v>135</v>
      </c>
      <c r="G1318" s="3" t="str">
        <f>VLOOKUP(F1318,[1]Mapa!A:B,2,0)</f>
        <v>Bruno Romualdo Dos Santos</v>
      </c>
      <c r="H1318" s="3" t="s">
        <v>135</v>
      </c>
      <c r="I1318" s="3" t="str">
        <f>VLOOKUP(H1318,[1]Mapa!A:B,2,0)</f>
        <v>Bruno Romualdo Dos Santos</v>
      </c>
      <c r="J1318" s="3" t="s">
        <v>100</v>
      </c>
      <c r="K1318" s="3" t="str">
        <f t="shared" si="5"/>
        <v>SKILL DIFERENTE</v>
      </c>
      <c r="L1318" s="3" t="s">
        <v>866</v>
      </c>
      <c r="M1318" s="3" t="s">
        <v>59</v>
      </c>
      <c r="N1318" s="3" t="s">
        <v>60</v>
      </c>
      <c r="O1318" s="3" t="s">
        <v>123</v>
      </c>
      <c r="P1318" s="3" t="s">
        <v>867</v>
      </c>
      <c r="Q1318" s="31">
        <v>42754</v>
      </c>
      <c r="R1318" s="3" t="str">
        <f>IFERROR(VLOOKUP(J1318,[1]PL!A:B,2,0),"")</f>
        <v>PSG</v>
      </c>
      <c r="S1318" s="3" t="str">
        <f>IFERROR(VLOOKUP(H1318,[1]Mapa!A:D,4,0),"")</f>
        <v>IPG</v>
      </c>
      <c r="T1318" s="3"/>
      <c r="U1318" s="3" t="s">
        <v>3204</v>
      </c>
      <c r="V1318" s="3"/>
    </row>
    <row r="1319" spans="1:22">
      <c r="A1319" s="3" t="e">
        <f>VLOOKUP(D1319,[1]Orc!A:B,2,0)</f>
        <v>#N/A</v>
      </c>
      <c r="B1319" s="31" t="e">
        <f>VLOOKUP(D1319,[1]Orc!A:C,3,0)</f>
        <v>#N/A</v>
      </c>
      <c r="C1319" s="31">
        <v>42753.805555555555</v>
      </c>
      <c r="D1319" s="3">
        <v>3035812850</v>
      </c>
      <c r="E1319" s="3" t="s">
        <v>23</v>
      </c>
      <c r="F1319" s="3" t="s">
        <v>149</v>
      </c>
      <c r="G1319" s="3" t="str">
        <f>VLOOKUP(F1319,[1]Mapa!A:B,2,0)</f>
        <v>Kaio Victor de Santana</v>
      </c>
      <c r="H1319" s="3" t="s">
        <v>139</v>
      </c>
      <c r="I1319" s="3" t="str">
        <f>VLOOKUP(H1319,[1]Mapa!A:B,2,0)</f>
        <v>Vanderlei Valentim Vieira</v>
      </c>
      <c r="J1319" s="3" t="s">
        <v>93</v>
      </c>
      <c r="K1319" s="3" t="str">
        <f t="shared" si="5"/>
        <v>SKILL DIFERENTE</v>
      </c>
      <c r="L1319" s="3" t="s">
        <v>871</v>
      </c>
      <c r="M1319" s="3" t="s">
        <v>84</v>
      </c>
      <c r="N1319" s="3" t="s">
        <v>85</v>
      </c>
      <c r="O1319" s="3" t="s">
        <v>920</v>
      </c>
      <c r="P1319" s="3" t="s">
        <v>867</v>
      </c>
      <c r="Q1319" s="31">
        <v>42754</v>
      </c>
      <c r="R1319" s="3" t="str">
        <f>IFERROR(VLOOKUP(J1319,[1]PL!A:B,2,0),"")</f>
        <v>PSG</v>
      </c>
      <c r="S1319" s="3" t="str">
        <f>IFERROR(VLOOKUP(H1319,[1]Mapa!A:D,4,0),"")</f>
        <v>FUPOTECH</v>
      </c>
      <c r="T1319" s="3"/>
      <c r="U1319" s="3"/>
      <c r="V1319" s="3"/>
    </row>
    <row r="1320" spans="1:22">
      <c r="A1320" s="3" t="e">
        <f>VLOOKUP(D1320,[1]Orc!A:B,2,0)</f>
        <v>#N/A</v>
      </c>
      <c r="B1320" s="31" t="e">
        <f>VLOOKUP(D1320,[1]Orc!A:C,3,0)</f>
        <v>#N/A</v>
      </c>
      <c r="C1320" s="31">
        <v>42753.80972222222</v>
      </c>
      <c r="D1320" s="3">
        <v>3035822543</v>
      </c>
      <c r="E1320" s="3" t="s">
        <v>2978</v>
      </c>
      <c r="F1320" s="3" t="s">
        <v>256</v>
      </c>
      <c r="G1320" s="3" t="str">
        <f>VLOOKUP(F1320,[1]Mapa!A:B,2,0)</f>
        <v>Viviane De Souza Magrini</v>
      </c>
      <c r="H1320" s="3" t="s">
        <v>862</v>
      </c>
      <c r="I1320" s="3" t="str">
        <f>VLOOKUP(H1320,[1]Mapa!A:B,2,0)</f>
        <v>Caio Eiji Arai</v>
      </c>
      <c r="J1320" s="3" t="s">
        <v>4383</v>
      </c>
      <c r="K1320" s="3" t="str">
        <f t="shared" si="5"/>
        <v>SKILL DIFERENTE</v>
      </c>
      <c r="L1320" s="3" t="s">
        <v>866</v>
      </c>
      <c r="M1320" s="3" t="s">
        <v>70</v>
      </c>
      <c r="N1320" s="3" t="s">
        <v>71</v>
      </c>
      <c r="O1320" s="3" t="s">
        <v>4400</v>
      </c>
      <c r="P1320" s="3" t="s">
        <v>867</v>
      </c>
      <c r="Q1320" s="31">
        <v>42754</v>
      </c>
      <c r="R1320" s="3" t="str">
        <f>IFERROR(VLOOKUP(J1320,[1]PL!A:B,2,0),"")</f>
        <v>PSG</v>
      </c>
      <c r="S1320" s="3" t="str">
        <f>IFERROR(VLOOKUP(H1320,[1]Mapa!A:D,4,0),"")</f>
        <v>IPG</v>
      </c>
      <c r="T1320" s="3"/>
      <c r="U1320" s="3"/>
      <c r="V1320" s="3"/>
    </row>
    <row r="1321" spans="1:22">
      <c r="A1321" s="3" t="e">
        <f>VLOOKUP(D1321,[1]Orc!A:B,2,0)</f>
        <v>#N/A</v>
      </c>
      <c r="B1321" s="31" t="e">
        <f>VLOOKUP(D1321,[1]Orc!A:C,3,0)</f>
        <v>#N/A</v>
      </c>
      <c r="C1321" s="31">
        <v>42753.811111111114</v>
      </c>
      <c r="D1321" s="3">
        <v>3035824771</v>
      </c>
      <c r="E1321" s="3" t="s">
        <v>23</v>
      </c>
      <c r="F1321" s="3" t="s">
        <v>119</v>
      </c>
      <c r="G1321" s="3" t="str">
        <f>VLOOKUP(F1321,[1]Mapa!A:B,2,0)</f>
        <v xml:space="preserve">Leandro Ferreira Batista </v>
      </c>
      <c r="H1321" s="3" t="s">
        <v>139</v>
      </c>
      <c r="I1321" s="3" t="str">
        <f>VLOOKUP(H1321,[1]Mapa!A:B,2,0)</f>
        <v>Vanderlei Valentim Vieira</v>
      </c>
      <c r="J1321" s="3" t="s">
        <v>93</v>
      </c>
      <c r="K1321" s="3" t="str">
        <f t="shared" si="5"/>
        <v>SKILL DIFERENTE</v>
      </c>
      <c r="L1321" s="3" t="s">
        <v>866</v>
      </c>
      <c r="M1321" s="3" t="s">
        <v>59</v>
      </c>
      <c r="N1321" s="3" t="s">
        <v>60</v>
      </c>
      <c r="O1321" s="3" t="s">
        <v>123</v>
      </c>
      <c r="P1321" s="3" t="s">
        <v>867</v>
      </c>
      <c r="Q1321" s="31">
        <v>42754</v>
      </c>
      <c r="R1321" s="3" t="str">
        <f>IFERROR(VLOOKUP(J1321,[1]PL!A:B,2,0),"")</f>
        <v>PSG</v>
      </c>
      <c r="S1321" s="3" t="str">
        <f>IFERROR(VLOOKUP(H1321,[1]Mapa!A:D,4,0),"")</f>
        <v>FUPOTECH</v>
      </c>
      <c r="T1321" s="3"/>
      <c r="U1321" s="3"/>
      <c r="V1321" s="3"/>
    </row>
    <row r="1322" spans="1:22">
      <c r="A1322" s="3" t="e">
        <f>VLOOKUP(D1322,[1]Orc!A:B,2,0)</f>
        <v>#N/A</v>
      </c>
      <c r="B1322" s="31" t="e">
        <f>VLOOKUP(D1322,[1]Orc!A:C,3,0)</f>
        <v>#N/A</v>
      </c>
      <c r="C1322" s="31">
        <v>42753.85</v>
      </c>
      <c r="D1322" s="3">
        <v>3035658985</v>
      </c>
      <c r="E1322" s="3" t="s">
        <v>39</v>
      </c>
      <c r="F1322" s="3" t="s">
        <v>234</v>
      </c>
      <c r="G1322" s="3" t="str">
        <f>VLOOKUP(F1322,[1]Mapa!A:B,2,0)</f>
        <v>Levi De Sousa Barros</v>
      </c>
      <c r="H1322" s="3" t="s">
        <v>238</v>
      </c>
      <c r="I1322" s="3" t="str">
        <f>VLOOKUP(H1322,[1]Mapa!A:B,2,0)</f>
        <v>Fernando Souza De Almeida</v>
      </c>
      <c r="J1322" s="3" t="s">
        <v>93</v>
      </c>
      <c r="K1322" s="3" t="str">
        <f t="shared" si="5"/>
        <v>SKILL DIFERENTE</v>
      </c>
      <c r="L1322" s="3" t="s">
        <v>871</v>
      </c>
      <c r="M1322" s="3" t="s">
        <v>932</v>
      </c>
      <c r="N1322" s="3" t="s">
        <v>85</v>
      </c>
      <c r="O1322" s="3" t="s">
        <v>920</v>
      </c>
      <c r="P1322" s="3" t="s">
        <v>867</v>
      </c>
      <c r="Q1322" s="31">
        <v>42754</v>
      </c>
      <c r="R1322" s="3" t="str">
        <f>IFERROR(VLOOKUP(J1322,[1]PL!A:B,2,0),"")</f>
        <v>PSG</v>
      </c>
      <c r="S1322" s="3" t="str">
        <f>IFERROR(VLOOKUP(H1322,[1]Mapa!A:D,4,0),"")</f>
        <v>FUPOTECH</v>
      </c>
      <c r="T1322" s="3"/>
      <c r="U1322" s="3"/>
      <c r="V1322" s="3"/>
    </row>
    <row r="1323" spans="1:22">
      <c r="A1323" s="3" t="e">
        <f>VLOOKUP(D1323,[1]Orc!A:B,2,0)</f>
        <v>#N/A</v>
      </c>
      <c r="B1323" s="31" t="e">
        <f>VLOOKUP(D1323,[1]Orc!A:C,3,0)</f>
        <v>#N/A</v>
      </c>
      <c r="C1323" s="31">
        <v>42754.365972222222</v>
      </c>
      <c r="D1323" s="3">
        <v>3035915711</v>
      </c>
      <c r="E1323" s="3" t="s">
        <v>31</v>
      </c>
      <c r="F1323" s="3" t="s">
        <v>200</v>
      </c>
      <c r="G1323" s="3" t="str">
        <f>VLOOKUP(F1323,[1]Mapa!A:B,2,0)</f>
        <v>Washington Silva De Oliveira</v>
      </c>
      <c r="H1323" s="3" t="s">
        <v>200</v>
      </c>
      <c r="I1323" s="3" t="str">
        <f>VLOOKUP(H1323,[1]Mapa!A:B,2,0)</f>
        <v>Washington Silva De Oliveira</v>
      </c>
      <c r="J1323" s="3" t="s">
        <v>100</v>
      </c>
      <c r="K1323" s="3" t="str">
        <f t="shared" si="5"/>
        <v>SKILL IGUAL</v>
      </c>
      <c r="L1323" s="3"/>
      <c r="M1323" s="3"/>
      <c r="N1323" s="3"/>
      <c r="O1323" s="3"/>
      <c r="P1323" s="3" t="s">
        <v>876</v>
      </c>
      <c r="Q1323" s="31">
        <v>42755</v>
      </c>
      <c r="R1323" s="3" t="str">
        <f>IFERROR(VLOOKUP(J1323,[1]PL!A:B,2,0),"")</f>
        <v>PSG</v>
      </c>
      <c r="S1323" s="3" t="str">
        <f>IFERROR(VLOOKUP(H1323,[1]Mapa!A:D,4,0),"")</f>
        <v>PSG</v>
      </c>
      <c r="T1323" s="3"/>
      <c r="U1323" s="3"/>
      <c r="V1323" s="3"/>
    </row>
    <row r="1324" spans="1:22">
      <c r="A1324" s="3" t="e">
        <f>VLOOKUP(D1324,[1]Orc!A:B,2,0)</f>
        <v>#N/A</v>
      </c>
      <c r="B1324" s="31" t="e">
        <f>VLOOKUP(D1324,[1]Orc!A:C,3,0)</f>
        <v>#N/A</v>
      </c>
      <c r="C1324" s="31">
        <v>42754.404166666667</v>
      </c>
      <c r="D1324" s="3">
        <v>3035729194</v>
      </c>
      <c r="E1324" s="3" t="s">
        <v>52</v>
      </c>
      <c r="F1324" s="3" t="s">
        <v>926</v>
      </c>
      <c r="G1324" s="3" t="str">
        <f>VLOOKUP(F1324,[1]Mapa!A:B,2,0)</f>
        <v>Lazaro Barbosa De Oliveira</v>
      </c>
      <c r="H1324" s="3" t="s">
        <v>115</v>
      </c>
      <c r="I1324" s="3" t="str">
        <f>VLOOKUP(H1324,[1]Mapa!A:B,2,0)</f>
        <v>Tiago Ferreira da Silva</v>
      </c>
      <c r="J1324" s="3" t="s">
        <v>93</v>
      </c>
      <c r="K1324" s="3" t="str">
        <f t="shared" si="5"/>
        <v>SKILL DIFERENTE</v>
      </c>
      <c r="L1324" s="3"/>
      <c r="M1324" s="3"/>
      <c r="N1324" s="3"/>
      <c r="O1324" s="3"/>
      <c r="P1324" s="3" t="s">
        <v>876</v>
      </c>
      <c r="Q1324" s="31">
        <v>42756</v>
      </c>
      <c r="R1324" s="3" t="str">
        <f>IFERROR(VLOOKUP(J1324,[1]PL!A:B,2,0),"")</f>
        <v>PSG</v>
      </c>
      <c r="S1324" s="3" t="str">
        <f>IFERROR(VLOOKUP(H1324,[1]Mapa!A:D,4,0),"")</f>
        <v>FUPOTECH</v>
      </c>
      <c r="T1324" s="3"/>
      <c r="U1324" s="3"/>
      <c r="V1324" s="3"/>
    </row>
    <row r="1325" spans="1:22">
      <c r="A1325" s="3" t="e">
        <f>VLOOKUP(D1325,[1]Orc!A:B,2,0)</f>
        <v>#N/A</v>
      </c>
      <c r="B1325" s="31" t="e">
        <f>VLOOKUP(D1325,[1]Orc!A:C,3,0)</f>
        <v>#N/A</v>
      </c>
      <c r="C1325" s="31">
        <v>42754.408333333333</v>
      </c>
      <c r="D1325" s="3">
        <v>3035849110</v>
      </c>
      <c r="E1325" s="3" t="s">
        <v>31</v>
      </c>
      <c r="F1325" s="3" t="s">
        <v>216</v>
      </c>
      <c r="G1325" s="3" t="str">
        <f>VLOOKUP(F1325,[1]Mapa!A:B,2,0)</f>
        <v>Lucas Almeida Dos Santos</v>
      </c>
      <c r="H1325" s="3" t="s">
        <v>209</v>
      </c>
      <c r="I1325" s="3" t="str">
        <f>VLOOKUP(H1325,[1]Mapa!A:B,2,0)</f>
        <v>Taina Alexsander Fernandes Pires</v>
      </c>
      <c r="J1325" s="3" t="s">
        <v>93</v>
      </c>
      <c r="K1325" s="3" t="str">
        <f t="shared" si="5"/>
        <v>SKILL DIFERENTE</v>
      </c>
      <c r="L1325" s="3"/>
      <c r="M1325" s="3"/>
      <c r="N1325" s="3"/>
      <c r="O1325" s="3"/>
      <c r="P1325" s="3" t="s">
        <v>876</v>
      </c>
      <c r="Q1325" s="31">
        <v>42757</v>
      </c>
      <c r="R1325" s="3" t="str">
        <f>IFERROR(VLOOKUP(J1325,[1]PL!A:B,2,0),"")</f>
        <v>PSG</v>
      </c>
      <c r="S1325" s="3" t="str">
        <f>IFERROR(VLOOKUP(H1325,[1]Mapa!A:D,4,0),"")</f>
        <v>FUPOTECH</v>
      </c>
      <c r="T1325" s="3"/>
      <c r="U1325" s="3"/>
      <c r="V1325" s="3"/>
    </row>
    <row r="1326" spans="1:22">
      <c r="A1326" s="3" t="e">
        <f>VLOOKUP(D1326,[1]Orc!A:B,2,0)</f>
        <v>#N/A</v>
      </c>
      <c r="B1326" s="31" t="e">
        <f>VLOOKUP(D1326,[1]Orc!A:C,3,0)</f>
        <v>#N/A</v>
      </c>
      <c r="C1326" s="31">
        <v>42754.411111111112</v>
      </c>
      <c r="D1326" s="3">
        <v>3035883756</v>
      </c>
      <c r="E1326" s="3" t="s">
        <v>52</v>
      </c>
      <c r="F1326" s="3" t="s">
        <v>4002</v>
      </c>
      <c r="G1326" s="3" t="str">
        <f>VLOOKUP(F1326,[1]Mapa!A:B,2,0)</f>
        <v>Anderson Aparecido de Jesus</v>
      </c>
      <c r="H1326" s="3" t="s">
        <v>115</v>
      </c>
      <c r="I1326" s="3" t="str">
        <f>VLOOKUP(H1326,[1]Mapa!A:B,2,0)</f>
        <v>Tiago Ferreira da Silva</v>
      </c>
      <c r="J1326" s="3" t="s">
        <v>93</v>
      </c>
      <c r="K1326" s="3" t="str">
        <f t="shared" si="5"/>
        <v>SKILL DIFERENTE</v>
      </c>
      <c r="L1326" s="3"/>
      <c r="M1326" s="3"/>
      <c r="N1326" s="3"/>
      <c r="O1326" s="3"/>
      <c r="P1326" s="3" t="s">
        <v>876</v>
      </c>
      <c r="Q1326" s="31">
        <v>42758</v>
      </c>
      <c r="R1326" s="3" t="str">
        <f>IFERROR(VLOOKUP(J1326,[1]PL!A:B,2,0),"")</f>
        <v>PSG</v>
      </c>
      <c r="S1326" s="3" t="str">
        <f>IFERROR(VLOOKUP(H1326,[1]Mapa!A:D,4,0),"")</f>
        <v>FUPOTECH</v>
      </c>
      <c r="T1326" s="3"/>
      <c r="U1326" s="3"/>
      <c r="V1326" s="3"/>
    </row>
    <row r="1327" spans="1:22">
      <c r="A1327" s="3" t="e">
        <f>VLOOKUP(D1327,[1]Orc!A:B,2,0)</f>
        <v>#N/A</v>
      </c>
      <c r="B1327" s="31" t="e">
        <f>VLOOKUP(D1327,[1]Orc!A:C,3,0)</f>
        <v>#N/A</v>
      </c>
      <c r="C1327" s="31">
        <v>42754.426388888889</v>
      </c>
      <c r="D1327" s="3">
        <v>3035067950</v>
      </c>
      <c r="E1327" s="3" t="s">
        <v>271</v>
      </c>
      <c r="F1327" s="3" t="s">
        <v>274</v>
      </c>
      <c r="G1327" s="3" t="str">
        <f>VLOOKUP(F1327,[1]Mapa!A:B,2,0)</f>
        <v>Flavia Helena Teixeira Joaquim</v>
      </c>
      <c r="H1327" s="3" t="s">
        <v>282</v>
      </c>
      <c r="I1327" s="3" t="str">
        <f>VLOOKUP(H1327,[1]Mapa!A:B,2,0)</f>
        <v>Fernanda Silva Nascimento</v>
      </c>
      <c r="J1327" s="3" t="s">
        <v>93</v>
      </c>
      <c r="K1327" s="3" t="str">
        <f t="shared" si="5"/>
        <v>SKILL DIFERENTE</v>
      </c>
      <c r="L1327" s="3"/>
      <c r="M1327" s="3"/>
      <c r="N1327" s="3"/>
      <c r="O1327" s="3"/>
      <c r="P1327" s="3" t="s">
        <v>876</v>
      </c>
      <c r="Q1327" s="31">
        <v>42759</v>
      </c>
      <c r="R1327" s="3" t="str">
        <f>IFERROR(VLOOKUP(J1327,[1]PL!A:B,2,0),"")</f>
        <v>PSG</v>
      </c>
      <c r="S1327" s="3" t="str">
        <f>IFERROR(VLOOKUP(H1327,[1]Mapa!A:D,4,0),"")</f>
        <v>ECR</v>
      </c>
      <c r="T1327" s="3"/>
      <c r="U1327" s="3"/>
      <c r="V1327" s="3"/>
    </row>
    <row r="1328" spans="1:22">
      <c r="A1328" s="3" t="e">
        <f>VLOOKUP(D1328,[1]Orc!A:B,2,0)</f>
        <v>#N/A</v>
      </c>
      <c r="B1328" s="31" t="e">
        <f>VLOOKUP(D1328,[1]Orc!A:C,3,0)</f>
        <v>#N/A</v>
      </c>
      <c r="C1328" s="31">
        <v>42754.430555555555</v>
      </c>
      <c r="D1328" s="3">
        <v>3035917372</v>
      </c>
      <c r="E1328" s="3" t="s">
        <v>9</v>
      </c>
      <c r="F1328" s="3" t="s">
        <v>87</v>
      </c>
      <c r="G1328" s="3" t="str">
        <f>VLOOKUP(F1328,[1]Mapa!A:B,2,0)</f>
        <v>Luiz Fernando dos Santos Ferreira</v>
      </c>
      <c r="H1328" s="3" t="s">
        <v>87</v>
      </c>
      <c r="I1328" s="3" t="str">
        <f>VLOOKUP(H1328,[1]Mapa!A:B,2,0)</f>
        <v>Luiz Fernando dos Santos Ferreira</v>
      </c>
      <c r="J1328" s="3" t="s">
        <v>93</v>
      </c>
      <c r="K1328" s="3" t="str">
        <f t="shared" si="5"/>
        <v>SKILL DIFERENTE</v>
      </c>
      <c r="L1328" s="3"/>
      <c r="M1328" s="3"/>
      <c r="N1328" s="3"/>
      <c r="O1328" s="3"/>
      <c r="P1328" s="3" t="s">
        <v>876</v>
      </c>
      <c r="Q1328" s="31">
        <v>42760</v>
      </c>
      <c r="R1328" s="3" t="str">
        <f>IFERROR(VLOOKUP(J1328,[1]PL!A:B,2,0),"")</f>
        <v>PSG</v>
      </c>
      <c r="S1328" s="3" t="str">
        <f>IFERROR(VLOOKUP(H1328,[1]Mapa!A:D,4,0),"")</f>
        <v>IPG</v>
      </c>
      <c r="T1328" s="3"/>
      <c r="U1328" s="3"/>
      <c r="V1328" s="3"/>
    </row>
    <row r="1329" spans="1:22">
      <c r="A1329" s="3" t="e">
        <f>VLOOKUP(D1329,[1]Orc!A:B,2,0)</f>
        <v>#N/A</v>
      </c>
      <c r="B1329" s="31" t="e">
        <f>VLOOKUP(D1329,[1]Orc!A:C,3,0)</f>
        <v>#N/A</v>
      </c>
      <c r="C1329" s="31">
        <v>42754.457638888889</v>
      </c>
      <c r="D1329" s="3">
        <v>3035615162</v>
      </c>
      <c r="E1329" s="3" t="s">
        <v>31</v>
      </c>
      <c r="F1329" s="3" t="s">
        <v>145</v>
      </c>
      <c r="G1329" s="3" t="str">
        <f>VLOOKUP(F1329,[1]Mapa!A:B,2,0)</f>
        <v>Erico Luan de Jesus Silva</v>
      </c>
      <c r="H1329" s="3" t="s">
        <v>3058</v>
      </c>
      <c r="I1329" s="3" t="str">
        <f>VLOOKUP(H1329,[1]Mapa!A:B,2,0)</f>
        <v>Valeria Amorim Dos Santos</v>
      </c>
      <c r="J1329" s="3" t="s">
        <v>93</v>
      </c>
      <c r="K1329" s="3" t="str">
        <f t="shared" si="5"/>
        <v>SKILL DIFERENTE</v>
      </c>
      <c r="L1329" s="3"/>
      <c r="M1329" s="3"/>
      <c r="N1329" s="3"/>
      <c r="O1329" s="3"/>
      <c r="P1329" s="3" t="s">
        <v>876</v>
      </c>
      <c r="Q1329" s="31">
        <v>42761</v>
      </c>
      <c r="R1329" s="3" t="str">
        <f>IFERROR(VLOOKUP(J1329,[1]PL!A:B,2,0),"")</f>
        <v>PSG</v>
      </c>
      <c r="S1329" s="3" t="str">
        <f>IFERROR(VLOOKUP(H1329,[1]Mapa!A:D,4,0),"")</f>
        <v>Mídia Social</v>
      </c>
      <c r="T1329" s="3"/>
      <c r="U1329" s="3"/>
      <c r="V1329" s="3"/>
    </row>
    <row r="1330" spans="1:22">
      <c r="A1330" s="3" t="e">
        <f>VLOOKUP(D1330,[1]Orc!A:B,2,0)</f>
        <v>#N/A</v>
      </c>
      <c r="B1330" s="31" t="e">
        <f>VLOOKUP(D1330,[1]Orc!A:C,3,0)</f>
        <v>#N/A</v>
      </c>
      <c r="C1330" s="31">
        <v>42754.463194444441</v>
      </c>
      <c r="D1330" s="3">
        <v>3035884720</v>
      </c>
      <c r="E1330" s="3" t="s">
        <v>9</v>
      </c>
      <c r="F1330" s="3" t="s">
        <v>87</v>
      </c>
      <c r="G1330" s="3" t="str">
        <f>VLOOKUP(F1330,[1]Mapa!A:B,2,0)</f>
        <v>Luiz Fernando dos Santos Ferreira</v>
      </c>
      <c r="H1330" s="3" t="s">
        <v>82</v>
      </c>
      <c r="I1330" s="3" t="str">
        <f>VLOOKUP(H1330,[1]Mapa!A:B,2,0)</f>
        <v>Jonatas Gomes Tenorio</v>
      </c>
      <c r="J1330" s="3" t="s">
        <v>93</v>
      </c>
      <c r="K1330" s="3" t="str">
        <f t="shared" si="5"/>
        <v>SKILL DIFERENTE</v>
      </c>
      <c r="L1330" s="3"/>
      <c r="M1330" s="3"/>
      <c r="N1330" s="3"/>
      <c r="O1330" s="3"/>
      <c r="P1330" s="3" t="s">
        <v>876</v>
      </c>
      <c r="Q1330" s="31">
        <v>42762</v>
      </c>
      <c r="R1330" s="3" t="str">
        <f>IFERROR(VLOOKUP(J1330,[1]PL!A:B,2,0),"")</f>
        <v>PSG</v>
      </c>
      <c r="S1330" s="3" t="str">
        <f>IFERROR(VLOOKUP(H1330,[1]Mapa!A:D,4,0),"")</f>
        <v>IPG</v>
      </c>
      <c r="T1330" s="3"/>
      <c r="U1330" s="3"/>
      <c r="V1330" s="3"/>
    </row>
    <row r="1331" spans="1:22">
      <c r="A1331" s="3" t="e">
        <f>VLOOKUP(D1331,[1]Orc!A:B,2,0)</f>
        <v>#N/A</v>
      </c>
      <c r="B1331" s="31" t="e">
        <f>VLOOKUP(D1331,[1]Orc!A:C,3,0)</f>
        <v>#N/A</v>
      </c>
      <c r="C1331" s="31">
        <v>42754.47152777778</v>
      </c>
      <c r="D1331" s="3">
        <v>3035848178</v>
      </c>
      <c r="E1331" s="3" t="s">
        <v>31</v>
      </c>
      <c r="F1331" s="3" t="s">
        <v>156</v>
      </c>
      <c r="G1331" s="3" t="str">
        <f>VLOOKUP(F1331,[1]Mapa!A:B,2,0)</f>
        <v>Felipe Alves Barbosa</v>
      </c>
      <c r="H1331" s="3" t="s">
        <v>195</v>
      </c>
      <c r="I1331" s="3" t="str">
        <f>VLOOKUP(H1331,[1]Mapa!A:B,2,0)</f>
        <v>Davi Teodoro de Jesus</v>
      </c>
      <c r="J1331" s="3" t="s">
        <v>93</v>
      </c>
      <c r="K1331" s="3" t="str">
        <f t="shared" ref="K1331:K1360" si="6">IFERROR(IF(S1331=R1331,"SKILL IGUAL","SKILL DIFERENTE"),"-")</f>
        <v>SKILL DIFERENTE</v>
      </c>
      <c r="L1331" s="3"/>
      <c r="M1331" s="3"/>
      <c r="N1331" s="3"/>
      <c r="O1331" s="3"/>
      <c r="P1331" s="3" t="s">
        <v>876</v>
      </c>
      <c r="Q1331" s="31">
        <v>42763</v>
      </c>
      <c r="R1331" s="3" t="str">
        <f>IFERROR(VLOOKUP(J1331,[1]PL!A:B,2,0),"")</f>
        <v>PSG</v>
      </c>
      <c r="S1331" s="3" t="str">
        <f>IFERROR(VLOOKUP(H1331,[1]Mapa!A:D,4,0),"")</f>
        <v>FUPO</v>
      </c>
      <c r="T1331" s="3"/>
      <c r="U1331" s="3"/>
      <c r="V1331" s="3"/>
    </row>
    <row r="1332" spans="1:22">
      <c r="A1332" s="3" t="e">
        <f>VLOOKUP(D1332,[1]Orc!A:B,2,0)</f>
        <v>#N/A</v>
      </c>
      <c r="B1332" s="31" t="e">
        <f>VLOOKUP(D1332,[1]Orc!A:C,3,0)</f>
        <v>#N/A</v>
      </c>
      <c r="C1332" s="31">
        <v>42754.473611111112</v>
      </c>
      <c r="D1332" s="3">
        <v>3035918453</v>
      </c>
      <c r="E1332" s="3" t="s">
        <v>9</v>
      </c>
      <c r="F1332" s="3" t="s">
        <v>87</v>
      </c>
      <c r="G1332" s="3" t="str">
        <f>VLOOKUP(F1332,[1]Mapa!A:B,2,0)</f>
        <v>Luiz Fernando dos Santos Ferreira</v>
      </c>
      <c r="H1332" s="3" t="s">
        <v>87</v>
      </c>
      <c r="I1332" s="3" t="str">
        <f>VLOOKUP(H1332,[1]Mapa!A:B,2,0)</f>
        <v>Luiz Fernando dos Santos Ferreira</v>
      </c>
      <c r="J1332" s="3" t="s">
        <v>93</v>
      </c>
      <c r="K1332" s="3" t="str">
        <f t="shared" si="6"/>
        <v>SKILL DIFERENTE</v>
      </c>
      <c r="L1332" s="3"/>
      <c r="M1332" s="3"/>
      <c r="N1332" s="3"/>
      <c r="O1332" s="3"/>
      <c r="P1332" s="3" t="s">
        <v>876</v>
      </c>
      <c r="Q1332" s="31">
        <v>42764</v>
      </c>
      <c r="R1332" s="3" t="str">
        <f>IFERROR(VLOOKUP(J1332,[1]PL!A:B,2,0),"")</f>
        <v>PSG</v>
      </c>
      <c r="S1332" s="3" t="str">
        <f>IFERROR(VLOOKUP(H1332,[1]Mapa!A:D,4,0),"")</f>
        <v>IPG</v>
      </c>
      <c r="T1332" s="3"/>
      <c r="U1332" s="3"/>
      <c r="V1332" s="3"/>
    </row>
    <row r="1333" spans="1:22">
      <c r="A1333" s="3" t="e">
        <f>VLOOKUP(D1333,[1]Orc!A:B,2,0)</f>
        <v>#N/A</v>
      </c>
      <c r="B1333" s="31" t="e">
        <f>VLOOKUP(D1333,[1]Orc!A:C,3,0)</f>
        <v>#N/A</v>
      </c>
      <c r="C1333" s="31">
        <v>42754.473611111112</v>
      </c>
      <c r="D1333" s="3">
        <v>3035918603</v>
      </c>
      <c r="E1333" s="3" t="s">
        <v>31</v>
      </c>
      <c r="F1333" s="3" t="s">
        <v>200</v>
      </c>
      <c r="G1333" s="3" t="str">
        <f>VLOOKUP(F1333,[1]Mapa!A:B,2,0)</f>
        <v>Washington Silva De Oliveira</v>
      </c>
      <c r="H1333" s="3" t="s">
        <v>200</v>
      </c>
      <c r="I1333" s="3" t="str">
        <f>VLOOKUP(H1333,[1]Mapa!A:B,2,0)</f>
        <v>Washington Silva De Oliveira</v>
      </c>
      <c r="J1333" s="3" t="s">
        <v>100</v>
      </c>
      <c r="K1333" s="3" t="str">
        <f t="shared" si="6"/>
        <v>SKILL IGUAL</v>
      </c>
      <c r="L1333" s="3"/>
      <c r="M1333" s="3"/>
      <c r="N1333" s="3"/>
      <c r="O1333" s="3"/>
      <c r="P1333" s="3" t="s">
        <v>876</v>
      </c>
      <c r="Q1333" s="31">
        <v>42765</v>
      </c>
      <c r="R1333" s="3" t="str">
        <f>IFERROR(VLOOKUP(J1333,[1]PL!A:B,2,0),"")</f>
        <v>PSG</v>
      </c>
      <c r="S1333" s="3" t="str">
        <f>IFERROR(VLOOKUP(H1333,[1]Mapa!A:D,4,0),"")</f>
        <v>PSG</v>
      </c>
      <c r="T1333" s="3"/>
      <c r="U1333" s="3"/>
      <c r="V1333" s="3"/>
    </row>
    <row r="1334" spans="1:22">
      <c r="A1334" s="3" t="e">
        <f>VLOOKUP(D1334,[1]Orc!A:B,2,0)</f>
        <v>#N/A</v>
      </c>
      <c r="B1334" s="31" t="e">
        <f>VLOOKUP(D1334,[1]Orc!A:C,3,0)</f>
        <v>#N/A</v>
      </c>
      <c r="C1334" s="31">
        <v>42754.476388888892</v>
      </c>
      <c r="D1334" s="3">
        <v>3035649577</v>
      </c>
      <c r="E1334" s="3" t="s">
        <v>271</v>
      </c>
      <c r="F1334" s="3" t="s">
        <v>274</v>
      </c>
      <c r="G1334" s="3" t="str">
        <f>VLOOKUP(F1334,[1]Mapa!A:B,2,0)</f>
        <v>Flavia Helena Teixeira Joaquim</v>
      </c>
      <c r="H1334" s="3" t="s">
        <v>282</v>
      </c>
      <c r="I1334" s="3" t="str">
        <f>VLOOKUP(H1334,[1]Mapa!A:B,2,0)</f>
        <v>Fernanda Silva Nascimento</v>
      </c>
      <c r="J1334" s="3" t="s">
        <v>100</v>
      </c>
      <c r="K1334" s="3" t="str">
        <f t="shared" si="6"/>
        <v>SKILL DIFERENTE</v>
      </c>
      <c r="L1334" s="3"/>
      <c r="M1334" s="3"/>
      <c r="N1334" s="3"/>
      <c r="O1334" s="3"/>
      <c r="P1334" s="3" t="s">
        <v>876</v>
      </c>
      <c r="Q1334" s="31">
        <v>42766</v>
      </c>
      <c r="R1334" s="3" t="str">
        <f>IFERROR(VLOOKUP(J1334,[1]PL!A:B,2,0),"")</f>
        <v>PSG</v>
      </c>
      <c r="S1334" s="3" t="str">
        <f>IFERROR(VLOOKUP(H1334,[1]Mapa!A:D,4,0),"")</f>
        <v>ECR</v>
      </c>
      <c r="T1334" s="3"/>
      <c r="U1334" s="3"/>
      <c r="V1334" s="3"/>
    </row>
    <row r="1335" spans="1:22">
      <c r="A1335" s="3" t="e">
        <f>VLOOKUP(D1335,[1]Orc!A:B,2,0)</f>
        <v>#N/A</v>
      </c>
      <c r="B1335" s="31" t="e">
        <f>VLOOKUP(D1335,[1]Orc!A:C,3,0)</f>
        <v>#N/A</v>
      </c>
      <c r="C1335" s="31">
        <v>42754.48333333333</v>
      </c>
      <c r="D1335" s="3">
        <v>3035895362</v>
      </c>
      <c r="E1335" s="3" t="s">
        <v>9</v>
      </c>
      <c r="F1335" s="3" t="s">
        <v>87</v>
      </c>
      <c r="G1335" s="3" t="str">
        <f>VLOOKUP(F1335,[1]Mapa!A:B,2,0)</f>
        <v>Luiz Fernando dos Santos Ferreira</v>
      </c>
      <c r="H1335" s="3" t="s">
        <v>82</v>
      </c>
      <c r="I1335" s="3" t="str">
        <f>VLOOKUP(H1335,[1]Mapa!A:B,2,0)</f>
        <v>Jonatas Gomes Tenorio</v>
      </c>
      <c r="J1335" s="3" t="s">
        <v>93</v>
      </c>
      <c r="K1335" s="3" t="str">
        <f t="shared" si="6"/>
        <v>SKILL DIFERENTE</v>
      </c>
      <c r="L1335" s="3"/>
      <c r="M1335" s="3"/>
      <c r="N1335" s="3"/>
      <c r="O1335" s="3"/>
      <c r="P1335" s="3" t="s">
        <v>876</v>
      </c>
      <c r="Q1335" s="31">
        <v>42767</v>
      </c>
      <c r="R1335" s="3" t="str">
        <f>IFERROR(VLOOKUP(J1335,[1]PL!A:B,2,0),"")</f>
        <v>PSG</v>
      </c>
      <c r="S1335" s="3" t="str">
        <f>IFERROR(VLOOKUP(H1335,[1]Mapa!A:D,4,0),"")</f>
        <v>IPG</v>
      </c>
      <c r="T1335" s="3"/>
      <c r="U1335" s="3"/>
      <c r="V1335" s="3"/>
    </row>
    <row r="1336" spans="1:22">
      <c r="A1336" s="3" t="e">
        <f>VLOOKUP(D1336,[1]Orc!A:B,2,0)</f>
        <v>#N/A</v>
      </c>
      <c r="B1336" s="31" t="e">
        <f>VLOOKUP(D1336,[1]Orc!A:C,3,0)</f>
        <v>#N/A</v>
      </c>
      <c r="C1336" s="31">
        <v>42754.486111111109</v>
      </c>
      <c r="D1336" s="3">
        <v>3035919041</v>
      </c>
      <c r="E1336" s="3" t="s">
        <v>31</v>
      </c>
      <c r="F1336" s="3" t="s">
        <v>145</v>
      </c>
      <c r="G1336" s="3" t="str">
        <f>VLOOKUP(F1336,[1]Mapa!A:B,2,0)</f>
        <v>Erico Luan de Jesus Silva</v>
      </c>
      <c r="H1336" s="3" t="s">
        <v>145</v>
      </c>
      <c r="I1336" s="3" t="str">
        <f>VLOOKUP(H1336,[1]Mapa!A:B,2,0)</f>
        <v>Erico Luan de Jesus Silva</v>
      </c>
      <c r="J1336" s="3" t="s">
        <v>100</v>
      </c>
      <c r="K1336" s="3" t="str">
        <f t="shared" si="6"/>
        <v>SKILL IGUAL</v>
      </c>
      <c r="L1336" s="3"/>
      <c r="M1336" s="3"/>
      <c r="N1336" s="3"/>
      <c r="O1336" s="3"/>
      <c r="P1336" s="3" t="s">
        <v>876</v>
      </c>
      <c r="Q1336" s="31">
        <v>42768</v>
      </c>
      <c r="R1336" s="3" t="str">
        <f>IFERROR(VLOOKUP(J1336,[1]PL!A:B,2,0),"")</f>
        <v>PSG</v>
      </c>
      <c r="S1336" s="3" t="str">
        <f>IFERROR(VLOOKUP(H1336,[1]Mapa!A:D,4,0),"")</f>
        <v>PSG</v>
      </c>
      <c r="T1336" s="3"/>
      <c r="U1336" s="3"/>
      <c r="V1336" s="3"/>
    </row>
    <row r="1337" spans="1:22">
      <c r="A1337" s="3" t="e">
        <f>VLOOKUP(D1337,[1]Orc!A:B,2,0)</f>
        <v>#N/A</v>
      </c>
      <c r="B1337" s="31" t="e">
        <f>VLOOKUP(D1337,[1]Orc!A:C,3,0)</f>
        <v>#N/A</v>
      </c>
      <c r="C1337" s="31">
        <v>42754.495138888888</v>
      </c>
      <c r="D1337" s="3">
        <v>3035694614</v>
      </c>
      <c r="E1337" s="3" t="s">
        <v>39</v>
      </c>
      <c r="F1337" s="3" t="s">
        <v>246</v>
      </c>
      <c r="G1337" s="3" t="str">
        <f>VLOOKUP(F1337,[1]Mapa!A:B,2,0)</f>
        <v>Wellington Da Silva De Oliveira</v>
      </c>
      <c r="H1337" s="3" t="s">
        <v>883</v>
      </c>
      <c r="I1337" s="3" t="str">
        <f>VLOOKUP(H1337,[1]Mapa!A:B,2,0)</f>
        <v>Fernando Quintino Tavares</v>
      </c>
      <c r="J1337" s="3" t="s">
        <v>93</v>
      </c>
      <c r="K1337" s="3" t="str">
        <f t="shared" si="6"/>
        <v>SKILL DIFERENTE</v>
      </c>
      <c r="L1337" s="3"/>
      <c r="M1337" s="3"/>
      <c r="N1337" s="3"/>
      <c r="O1337" s="3"/>
      <c r="P1337" s="3" t="s">
        <v>876</v>
      </c>
      <c r="Q1337" s="31">
        <v>42769</v>
      </c>
      <c r="R1337" s="3" t="str">
        <f>IFERROR(VLOOKUP(J1337,[1]PL!A:B,2,0),"")</f>
        <v>PSG</v>
      </c>
      <c r="S1337" s="3" t="str">
        <f>IFERROR(VLOOKUP(H1337,[1]Mapa!A:D,4,0),"")</f>
        <v>TCO</v>
      </c>
      <c r="T1337" s="3"/>
      <c r="U1337" s="3"/>
      <c r="V1337" s="3"/>
    </row>
    <row r="1338" spans="1:22">
      <c r="A1338" s="3" t="e">
        <f>VLOOKUP(D1338,[1]Orc!A:B,2,0)</f>
        <v>#N/A</v>
      </c>
      <c r="B1338" s="31" t="e">
        <f>VLOOKUP(D1338,[1]Orc!A:C,3,0)</f>
        <v>#N/A</v>
      </c>
      <c r="C1338" s="31">
        <v>42754.505555555559</v>
      </c>
      <c r="D1338" s="3">
        <v>3035808153</v>
      </c>
      <c r="E1338" s="3" t="e">
        <v>#N/A</v>
      </c>
      <c r="F1338" s="3" t="s">
        <v>230</v>
      </c>
      <c r="G1338" s="3" t="e">
        <f>VLOOKUP(F1338,[1]Mapa!A:B,2,0)</f>
        <v>#N/A</v>
      </c>
      <c r="H1338" s="3" t="s">
        <v>230</v>
      </c>
      <c r="I1338" s="3" t="e">
        <f>VLOOKUP(H1338,[1]Mapa!A:B,2,0)</f>
        <v>#N/A</v>
      </c>
      <c r="J1338" s="3" t="s">
        <v>256</v>
      </c>
      <c r="K1338" s="3" t="str">
        <f t="shared" si="6"/>
        <v>SKILL IGUAL</v>
      </c>
      <c r="L1338" s="3"/>
      <c r="M1338" s="3"/>
      <c r="N1338" s="3"/>
      <c r="O1338" s="3"/>
      <c r="P1338" s="3" t="s">
        <v>876</v>
      </c>
      <c r="Q1338" s="31">
        <v>42770</v>
      </c>
      <c r="R1338" s="3" t="str">
        <f>IFERROR(VLOOKUP(J1338,[1]PL!A:B,2,0),"")</f>
        <v/>
      </c>
      <c r="S1338" s="3" t="str">
        <f>IFERROR(VLOOKUP(H1338,[1]Mapa!A:D,4,0),"")</f>
        <v/>
      </c>
      <c r="T1338" s="3"/>
      <c r="U1338" s="3"/>
      <c r="V1338" s="3"/>
    </row>
    <row r="1339" spans="1:22">
      <c r="A1339" s="3" t="e">
        <f>VLOOKUP(D1339,[1]Orc!A:B,2,0)</f>
        <v>#N/A</v>
      </c>
      <c r="B1339" s="31" t="e">
        <f>VLOOKUP(D1339,[1]Orc!A:C,3,0)</f>
        <v>#N/A</v>
      </c>
      <c r="C1339" s="31">
        <v>42754.505555555559</v>
      </c>
      <c r="D1339" s="3">
        <v>3035811383</v>
      </c>
      <c r="E1339" s="3" t="s">
        <v>31</v>
      </c>
      <c r="F1339" s="3" t="s">
        <v>200</v>
      </c>
      <c r="G1339" s="3" t="str">
        <f>VLOOKUP(F1339,[1]Mapa!A:B,2,0)</f>
        <v>Washington Silva De Oliveira</v>
      </c>
      <c r="H1339" s="3" t="s">
        <v>209</v>
      </c>
      <c r="I1339" s="3" t="str">
        <f>VLOOKUP(H1339,[1]Mapa!A:B,2,0)</f>
        <v>Taina Alexsander Fernandes Pires</v>
      </c>
      <c r="J1339" s="3" t="s">
        <v>100</v>
      </c>
      <c r="K1339" s="3" t="str">
        <f t="shared" si="6"/>
        <v>SKILL DIFERENTE</v>
      </c>
      <c r="L1339" s="3"/>
      <c r="M1339" s="3"/>
      <c r="N1339" s="3"/>
      <c r="O1339" s="3"/>
      <c r="P1339" s="3" t="s">
        <v>876</v>
      </c>
      <c r="Q1339" s="31">
        <v>42771</v>
      </c>
      <c r="R1339" s="3" t="str">
        <f>IFERROR(VLOOKUP(J1339,[1]PL!A:B,2,0),"")</f>
        <v>PSG</v>
      </c>
      <c r="S1339" s="3" t="str">
        <f>IFERROR(VLOOKUP(H1339,[1]Mapa!A:D,4,0),"")</f>
        <v>FUPOTECH</v>
      </c>
      <c r="T1339" s="3"/>
      <c r="U1339" s="3"/>
      <c r="V1339" s="3"/>
    </row>
    <row r="1340" spans="1:22">
      <c r="A1340" s="3" t="e">
        <f>VLOOKUP(D1340,[1]Orc!A:B,2,0)</f>
        <v>#N/A</v>
      </c>
      <c r="B1340" s="31" t="e">
        <f>VLOOKUP(D1340,[1]Orc!A:C,3,0)</f>
        <v>#N/A</v>
      </c>
      <c r="C1340" s="31">
        <v>42754.51458333333</v>
      </c>
      <c r="D1340" s="3">
        <v>3035848207</v>
      </c>
      <c r="E1340" s="3" t="s">
        <v>31</v>
      </c>
      <c r="F1340" s="3" t="s">
        <v>221</v>
      </c>
      <c r="G1340" s="3" t="str">
        <f>VLOOKUP(F1340,[1]Mapa!A:B,2,0)</f>
        <v>Fabio Perez Da Silva</v>
      </c>
      <c r="H1340" s="3" t="s">
        <v>209</v>
      </c>
      <c r="I1340" s="3" t="str">
        <f>VLOOKUP(H1340,[1]Mapa!A:B,2,0)</f>
        <v>Taina Alexsander Fernandes Pires</v>
      </c>
      <c r="J1340" s="3" t="s">
        <v>93</v>
      </c>
      <c r="K1340" s="3" t="str">
        <f t="shared" si="6"/>
        <v>SKILL DIFERENTE</v>
      </c>
      <c r="L1340" s="3"/>
      <c r="M1340" s="3"/>
      <c r="N1340" s="3"/>
      <c r="O1340" s="3"/>
      <c r="P1340" s="3" t="s">
        <v>876</v>
      </c>
      <c r="Q1340" s="31">
        <v>42772</v>
      </c>
      <c r="R1340" s="3" t="str">
        <f>IFERROR(VLOOKUP(J1340,[1]PL!A:B,2,0),"")</f>
        <v>PSG</v>
      </c>
      <c r="S1340" s="3" t="str">
        <f>IFERROR(VLOOKUP(H1340,[1]Mapa!A:D,4,0),"")</f>
        <v>FUPOTECH</v>
      </c>
      <c r="T1340" s="3"/>
      <c r="U1340" s="3"/>
      <c r="V1340" s="3"/>
    </row>
    <row r="1341" spans="1:22">
      <c r="A1341" s="3" t="e">
        <f>VLOOKUP(D1341,[1]Orc!A:B,2,0)</f>
        <v>#N/A</v>
      </c>
      <c r="B1341" s="31" t="e">
        <f>VLOOKUP(D1341,[1]Orc!A:C,3,0)</f>
        <v>#N/A</v>
      </c>
      <c r="C1341" s="31">
        <v>42754.545138888891</v>
      </c>
      <c r="D1341" s="3">
        <v>3035541963</v>
      </c>
      <c r="E1341" s="3" t="s">
        <v>52</v>
      </c>
      <c r="F1341" s="3" t="s">
        <v>856</v>
      </c>
      <c r="G1341" s="3" t="str">
        <f>VLOOKUP(F1341,[1]Mapa!A:B,2,0)</f>
        <v>João Pizato dos Santos</v>
      </c>
      <c r="H1341" s="3" t="s">
        <v>883</v>
      </c>
      <c r="I1341" s="3" t="str">
        <f>VLOOKUP(H1341,[1]Mapa!A:B,2,0)</f>
        <v>Fernando Quintino Tavares</v>
      </c>
      <c r="J1341" s="3" t="s">
        <v>93</v>
      </c>
      <c r="K1341" s="3" t="str">
        <f t="shared" si="6"/>
        <v>SKILL DIFERENTE</v>
      </c>
      <c r="L1341" s="3"/>
      <c r="M1341" s="3"/>
      <c r="N1341" s="3"/>
      <c r="O1341" s="3"/>
      <c r="P1341" s="3" t="s">
        <v>876</v>
      </c>
      <c r="Q1341" s="31">
        <v>42773</v>
      </c>
      <c r="R1341" s="3" t="str">
        <f>IFERROR(VLOOKUP(J1341,[1]PL!A:B,2,0),"")</f>
        <v>PSG</v>
      </c>
      <c r="S1341" s="3" t="str">
        <f>IFERROR(VLOOKUP(H1341,[1]Mapa!A:D,4,0),"")</f>
        <v>TCO</v>
      </c>
      <c r="T1341" s="3"/>
      <c r="U1341" s="3"/>
      <c r="V1341" s="3"/>
    </row>
    <row r="1342" spans="1:22">
      <c r="A1342" s="3" t="e">
        <f>VLOOKUP(D1342,[1]Orc!A:B,2,0)</f>
        <v>#N/A</v>
      </c>
      <c r="B1342" s="31" t="e">
        <f>VLOOKUP(D1342,[1]Orc!A:C,3,0)</f>
        <v>#N/A</v>
      </c>
      <c r="C1342" s="31">
        <v>42754.584027777775</v>
      </c>
      <c r="D1342" s="3">
        <v>3035774905</v>
      </c>
      <c r="E1342" s="3" t="s">
        <v>31</v>
      </c>
      <c r="F1342" s="3" t="s">
        <v>216</v>
      </c>
      <c r="G1342" s="3" t="str">
        <f>VLOOKUP(F1342,[1]Mapa!A:B,2,0)</f>
        <v>Lucas Almeida Dos Santos</v>
      </c>
      <c r="H1342" s="3" t="s">
        <v>209</v>
      </c>
      <c r="I1342" s="3" t="str">
        <f>VLOOKUP(H1342,[1]Mapa!A:B,2,0)</f>
        <v>Taina Alexsander Fernandes Pires</v>
      </c>
      <c r="J1342" s="3" t="s">
        <v>93</v>
      </c>
      <c r="K1342" s="3" t="str">
        <f t="shared" si="6"/>
        <v>SKILL DIFERENTE</v>
      </c>
      <c r="L1342" s="3"/>
      <c r="M1342" s="3"/>
      <c r="N1342" s="3"/>
      <c r="O1342" s="3"/>
      <c r="P1342" s="3" t="s">
        <v>867</v>
      </c>
      <c r="Q1342" s="31">
        <v>42755</v>
      </c>
      <c r="R1342" s="3" t="str">
        <f>IFERROR(VLOOKUP(J1342,[1]PL!A:B,2,0),"")</f>
        <v>PSG</v>
      </c>
      <c r="S1342" s="3" t="str">
        <f>IFERROR(VLOOKUP(H1342,[1]Mapa!A:D,4,0),"")</f>
        <v>FUPOTECH</v>
      </c>
      <c r="T1342" s="3"/>
      <c r="U1342" s="3"/>
      <c r="V1342" s="3"/>
    </row>
    <row r="1343" spans="1:22">
      <c r="A1343" s="3" t="e">
        <f>VLOOKUP(D1343,[1]Orc!A:B,2,0)</f>
        <v>#N/A</v>
      </c>
      <c r="B1343" s="31" t="e">
        <f>VLOOKUP(D1343,[1]Orc!A:C,3,0)</f>
        <v>#N/A</v>
      </c>
      <c r="C1343" s="31">
        <v>42754.586805555555</v>
      </c>
      <c r="D1343" s="3">
        <v>3035679622</v>
      </c>
      <c r="E1343" s="3" t="s">
        <v>39</v>
      </c>
      <c r="F1343" s="3" t="s">
        <v>240</v>
      </c>
      <c r="G1343" s="3" t="str">
        <f>VLOOKUP(F1343,[1]Mapa!A:B,2,0)</f>
        <v>Renato Da Silva Andrade</v>
      </c>
      <c r="H1343" s="3" t="s">
        <v>238</v>
      </c>
      <c r="I1343" s="3" t="str">
        <f>VLOOKUP(H1343,[1]Mapa!A:B,2,0)</f>
        <v>Fernando Souza De Almeida</v>
      </c>
      <c r="J1343" s="3" t="s">
        <v>93</v>
      </c>
      <c r="K1343" s="3" t="str">
        <f t="shared" si="6"/>
        <v>SKILL DIFERENTE</v>
      </c>
      <c r="L1343" s="3"/>
      <c r="M1343" s="3"/>
      <c r="N1343" s="3"/>
      <c r="O1343" s="3"/>
      <c r="P1343" s="3" t="s">
        <v>867</v>
      </c>
      <c r="Q1343" s="31">
        <v>42755</v>
      </c>
      <c r="R1343" s="3" t="str">
        <f>IFERROR(VLOOKUP(J1343,[1]PL!A:B,2,0),"")</f>
        <v>PSG</v>
      </c>
      <c r="S1343" s="3" t="str">
        <f>IFERROR(VLOOKUP(H1343,[1]Mapa!A:D,4,0),"")</f>
        <v>FUPOTECH</v>
      </c>
      <c r="T1343" s="3"/>
      <c r="U1343" s="3"/>
      <c r="V1343" s="3"/>
    </row>
    <row r="1344" spans="1:22">
      <c r="A1344" s="3" t="e">
        <f>VLOOKUP(D1344,[1]Orc!A:B,2,0)</f>
        <v>#N/A</v>
      </c>
      <c r="B1344" s="31" t="e">
        <f>VLOOKUP(D1344,[1]Orc!A:C,3,0)</f>
        <v>#N/A</v>
      </c>
      <c r="C1344" s="31">
        <v>42754.588194444441</v>
      </c>
      <c r="D1344" s="3">
        <v>3035811184</v>
      </c>
      <c r="E1344" s="3" t="s">
        <v>9</v>
      </c>
      <c r="F1344" s="3" t="s">
        <v>87</v>
      </c>
      <c r="G1344" s="3" t="str">
        <f>VLOOKUP(F1344,[1]Mapa!A:B,2,0)</f>
        <v>Luiz Fernando dos Santos Ferreira</v>
      </c>
      <c r="H1344" s="3" t="s">
        <v>82</v>
      </c>
      <c r="I1344" s="3" t="str">
        <f>VLOOKUP(H1344,[1]Mapa!A:B,2,0)</f>
        <v>Jonatas Gomes Tenorio</v>
      </c>
      <c r="J1344" s="3" t="s">
        <v>93</v>
      </c>
      <c r="K1344" s="3" t="str">
        <f t="shared" si="6"/>
        <v>SKILL DIFERENTE</v>
      </c>
      <c r="L1344" s="3"/>
      <c r="M1344" s="3"/>
      <c r="N1344" s="3"/>
      <c r="O1344" s="3"/>
      <c r="P1344" s="3" t="s">
        <v>867</v>
      </c>
      <c r="Q1344" s="31">
        <v>42755</v>
      </c>
      <c r="R1344" s="3" t="str">
        <f>IFERROR(VLOOKUP(J1344,[1]PL!A:B,2,0),"")</f>
        <v>PSG</v>
      </c>
      <c r="S1344" s="3" t="str">
        <f>IFERROR(VLOOKUP(H1344,[1]Mapa!A:D,4,0),"")</f>
        <v>IPG</v>
      </c>
      <c r="T1344" s="3"/>
      <c r="U1344" s="3"/>
      <c r="V1344" s="3"/>
    </row>
    <row r="1345" spans="1:22">
      <c r="A1345" s="3" t="e">
        <f>VLOOKUP(D1345,[1]Orc!A:B,2,0)</f>
        <v>#N/A</v>
      </c>
      <c r="B1345" s="31" t="e">
        <f>VLOOKUP(D1345,[1]Orc!A:C,3,0)</f>
        <v>#N/A</v>
      </c>
      <c r="C1345" s="31">
        <v>42754.645833333336</v>
      </c>
      <c r="D1345" s="3">
        <v>3035849146</v>
      </c>
      <c r="E1345" s="3" t="s">
        <v>52</v>
      </c>
      <c r="F1345" s="3" t="s">
        <v>926</v>
      </c>
      <c r="G1345" s="3" t="str">
        <f>VLOOKUP(F1345,[1]Mapa!A:B,2,0)</f>
        <v>Lazaro Barbosa De Oliveira</v>
      </c>
      <c r="H1345" s="3" t="s">
        <v>115</v>
      </c>
      <c r="I1345" s="3" t="str">
        <f>VLOOKUP(H1345,[1]Mapa!A:B,2,0)</f>
        <v>Tiago Ferreira da Silva</v>
      </c>
      <c r="J1345" s="3" t="s">
        <v>100</v>
      </c>
      <c r="K1345" s="3" t="str">
        <f t="shared" si="6"/>
        <v>SKILL DIFERENTE</v>
      </c>
      <c r="L1345" s="3"/>
      <c r="M1345" s="3"/>
      <c r="N1345" s="3"/>
      <c r="O1345" s="3"/>
      <c r="P1345" s="3" t="s">
        <v>867</v>
      </c>
      <c r="Q1345" s="31">
        <v>42755</v>
      </c>
      <c r="R1345" s="3" t="str">
        <f>IFERROR(VLOOKUP(J1345,[1]PL!A:B,2,0),"")</f>
        <v>PSG</v>
      </c>
      <c r="S1345" s="3" t="str">
        <f>IFERROR(VLOOKUP(H1345,[1]Mapa!A:D,4,0),"")</f>
        <v>FUPOTECH</v>
      </c>
      <c r="T1345" s="3"/>
      <c r="U1345" s="3"/>
      <c r="V1345" s="3"/>
    </row>
    <row r="1346" spans="1:22">
      <c r="A1346" s="3" t="e">
        <f>VLOOKUP(D1346,[1]Orc!A:B,2,0)</f>
        <v>#N/A</v>
      </c>
      <c r="B1346" s="31" t="e">
        <f>VLOOKUP(D1346,[1]Orc!A:C,3,0)</f>
        <v>#N/A</v>
      </c>
      <c r="C1346" s="31">
        <v>42754.645833333336</v>
      </c>
      <c r="D1346" s="3">
        <v>3034661321</v>
      </c>
      <c r="E1346" s="3" t="s">
        <v>9</v>
      </c>
      <c r="F1346" s="3" t="s">
        <v>158</v>
      </c>
      <c r="G1346" s="3" t="str">
        <f>VLOOKUP(F1346,[1]Mapa!A:B,2,0)</f>
        <v>Denyse Souza Santos</v>
      </c>
      <c r="H1346" s="3" t="s">
        <v>63</v>
      </c>
      <c r="I1346" s="3" t="str">
        <f>VLOOKUP(H1346,[1]Mapa!A:B,2,0)</f>
        <v>Mauricio Guimaraes Renesto</v>
      </c>
      <c r="J1346" s="3" t="s">
        <v>93</v>
      </c>
      <c r="K1346" s="3" t="str">
        <f t="shared" si="6"/>
        <v>SKILL DIFERENTE</v>
      </c>
      <c r="L1346" s="3"/>
      <c r="M1346" s="3"/>
      <c r="N1346" s="3"/>
      <c r="O1346" s="3"/>
      <c r="P1346" s="3" t="s">
        <v>867</v>
      </c>
      <c r="Q1346" s="31">
        <v>42755</v>
      </c>
      <c r="R1346" s="3" t="str">
        <f>IFERROR(VLOOKUP(J1346,[1]PL!A:B,2,0),"")</f>
        <v>PSG</v>
      </c>
      <c r="S1346" s="3" t="str">
        <f>IFERROR(VLOOKUP(H1346,[1]Mapa!A:D,4,0),"")</f>
        <v>TCO</v>
      </c>
      <c r="T1346" s="3"/>
      <c r="U1346" s="3"/>
      <c r="V1346" s="3"/>
    </row>
    <row r="1347" spans="1:22">
      <c r="A1347" s="3" t="e">
        <f>VLOOKUP(D1347,[1]Orc!A:B,2,0)</f>
        <v>#N/A</v>
      </c>
      <c r="B1347" s="31" t="e">
        <f>VLOOKUP(D1347,[1]Orc!A:C,3,0)</f>
        <v>#N/A</v>
      </c>
      <c r="C1347" s="31">
        <v>42754.650694444441</v>
      </c>
      <c r="D1347" s="3">
        <v>3035882008</v>
      </c>
      <c r="E1347" s="3" t="s">
        <v>31</v>
      </c>
      <c r="F1347" s="3" t="s">
        <v>206</v>
      </c>
      <c r="G1347" s="3" t="str">
        <f>VLOOKUP(F1347,[1]Mapa!A:B,2,0)</f>
        <v>Alvani Elizabete Aliano de Oliveira</v>
      </c>
      <c r="H1347" s="3" t="s">
        <v>209</v>
      </c>
      <c r="I1347" s="3" t="str">
        <f>VLOOKUP(H1347,[1]Mapa!A:B,2,0)</f>
        <v>Taina Alexsander Fernandes Pires</v>
      </c>
      <c r="J1347" s="3" t="s">
        <v>100</v>
      </c>
      <c r="K1347" s="3" t="str">
        <f t="shared" si="6"/>
        <v>SKILL DIFERENTE</v>
      </c>
      <c r="L1347" s="3"/>
      <c r="M1347" s="3"/>
      <c r="N1347" s="3"/>
      <c r="O1347" s="3"/>
      <c r="P1347" s="3" t="s">
        <v>867</v>
      </c>
      <c r="Q1347" s="31">
        <v>42755</v>
      </c>
      <c r="R1347" s="3" t="str">
        <f>IFERROR(VLOOKUP(J1347,[1]PL!A:B,2,0),"")</f>
        <v>PSG</v>
      </c>
      <c r="S1347" s="3" t="str">
        <f>IFERROR(VLOOKUP(H1347,[1]Mapa!A:D,4,0),"")</f>
        <v>FUPOTECH</v>
      </c>
      <c r="T1347" s="3"/>
      <c r="U1347" s="3"/>
      <c r="V1347" s="3"/>
    </row>
    <row r="1348" spans="1:22">
      <c r="A1348" s="3" t="e">
        <f>VLOOKUP(D1348,[1]Orc!A:B,2,0)</f>
        <v>#N/A</v>
      </c>
      <c r="B1348" s="31" t="e">
        <f>VLOOKUP(D1348,[1]Orc!A:C,3,0)</f>
        <v>#N/A</v>
      </c>
      <c r="C1348" s="31">
        <v>42754.686805555553</v>
      </c>
      <c r="D1348" s="3">
        <v>3035926691</v>
      </c>
      <c r="E1348" s="3" t="s">
        <v>23</v>
      </c>
      <c r="F1348" s="3" t="s">
        <v>149</v>
      </c>
      <c r="G1348" s="3" t="str">
        <f>VLOOKUP(F1348,[1]Mapa!A:B,2,0)</f>
        <v>Kaio Victor de Santana</v>
      </c>
      <c r="H1348" s="3" t="s">
        <v>883</v>
      </c>
      <c r="I1348" s="3" t="str">
        <f>VLOOKUP(H1348,[1]Mapa!A:B,2,0)</f>
        <v>Fernando Quintino Tavares</v>
      </c>
      <c r="J1348" s="3" t="s">
        <v>100</v>
      </c>
      <c r="K1348" s="3" t="str">
        <f t="shared" si="6"/>
        <v>SKILL DIFERENTE</v>
      </c>
      <c r="L1348" s="3"/>
      <c r="M1348" s="3"/>
      <c r="N1348" s="3"/>
      <c r="O1348" s="3"/>
      <c r="P1348" s="3" t="s">
        <v>867</v>
      </c>
      <c r="Q1348" s="31">
        <v>42755</v>
      </c>
      <c r="R1348" s="3" t="str">
        <f>IFERROR(VLOOKUP(J1348,[1]PL!A:B,2,0),"")</f>
        <v>PSG</v>
      </c>
      <c r="S1348" s="3" t="str">
        <f>IFERROR(VLOOKUP(H1348,[1]Mapa!A:D,4,0),"")</f>
        <v>TCO</v>
      </c>
      <c r="T1348" s="3"/>
      <c r="U1348" s="3"/>
      <c r="V1348" s="3"/>
    </row>
    <row r="1349" spans="1:22">
      <c r="A1349" s="3" t="e">
        <f>VLOOKUP(D1349,[1]Orc!A:B,2,0)</f>
        <v>#N/A</v>
      </c>
      <c r="B1349" s="31" t="e">
        <f>VLOOKUP(D1349,[1]Orc!A:C,3,0)</f>
        <v>#N/A</v>
      </c>
      <c r="C1349" s="31">
        <v>42754.704861111109</v>
      </c>
      <c r="D1349" s="3">
        <v>3035918144</v>
      </c>
      <c r="E1349" s="3" t="s">
        <v>31</v>
      </c>
      <c r="F1349" s="3" t="s">
        <v>156</v>
      </c>
      <c r="G1349" s="3" t="str">
        <f>VLOOKUP(F1349,[1]Mapa!A:B,2,0)</f>
        <v>Felipe Alves Barbosa</v>
      </c>
      <c r="H1349" s="3" t="s">
        <v>209</v>
      </c>
      <c r="I1349" s="3" t="str">
        <f>VLOOKUP(H1349,[1]Mapa!A:B,2,0)</f>
        <v>Taina Alexsander Fernandes Pires</v>
      </c>
      <c r="J1349" s="3" t="s">
        <v>93</v>
      </c>
      <c r="K1349" s="3" t="str">
        <f t="shared" si="6"/>
        <v>SKILL DIFERENTE</v>
      </c>
      <c r="L1349" s="3"/>
      <c r="M1349" s="3"/>
      <c r="N1349" s="3"/>
      <c r="O1349" s="3"/>
      <c r="P1349" s="3" t="s">
        <v>867</v>
      </c>
      <c r="Q1349" s="31">
        <v>42755</v>
      </c>
      <c r="R1349" s="3" t="str">
        <f>IFERROR(VLOOKUP(J1349,[1]PL!A:B,2,0),"")</f>
        <v>PSG</v>
      </c>
      <c r="S1349" s="3" t="str">
        <f>IFERROR(VLOOKUP(H1349,[1]Mapa!A:D,4,0),"")</f>
        <v>FUPOTECH</v>
      </c>
      <c r="T1349" s="3"/>
      <c r="U1349" s="3"/>
      <c r="V1349" s="3"/>
    </row>
    <row r="1350" spans="1:22">
      <c r="A1350" s="3" t="e">
        <f>VLOOKUP(D1350,[1]Orc!A:B,2,0)</f>
        <v>#N/A</v>
      </c>
      <c r="B1350" s="31" t="e">
        <f>VLOOKUP(D1350,[1]Orc!A:C,3,0)</f>
        <v>#N/A</v>
      </c>
      <c r="C1350" s="31">
        <v>42754.710416666669</v>
      </c>
      <c r="D1350" s="3">
        <v>3035920446</v>
      </c>
      <c r="E1350" s="3" t="s">
        <v>31</v>
      </c>
      <c r="F1350" s="3" t="s">
        <v>221</v>
      </c>
      <c r="G1350" s="3" t="str">
        <f>VLOOKUP(F1350,[1]Mapa!A:B,2,0)</f>
        <v>Fabio Perez Da Silva</v>
      </c>
      <c r="H1350" s="3" t="s">
        <v>209</v>
      </c>
      <c r="I1350" s="3" t="str">
        <f>VLOOKUP(H1350,[1]Mapa!A:B,2,0)</f>
        <v>Taina Alexsander Fernandes Pires</v>
      </c>
      <c r="J1350" s="3" t="s">
        <v>93</v>
      </c>
      <c r="K1350" s="3" t="str">
        <f t="shared" si="6"/>
        <v>SKILL DIFERENTE</v>
      </c>
      <c r="L1350" s="3"/>
      <c r="M1350" s="3"/>
      <c r="N1350" s="3"/>
      <c r="O1350" s="3"/>
      <c r="P1350" s="3" t="s">
        <v>867</v>
      </c>
      <c r="Q1350" s="31">
        <v>42755</v>
      </c>
      <c r="R1350" s="3" t="str">
        <f>IFERROR(VLOOKUP(J1350,[1]PL!A:B,2,0),"")</f>
        <v>PSG</v>
      </c>
      <c r="S1350" s="3" t="str">
        <f>IFERROR(VLOOKUP(H1350,[1]Mapa!A:D,4,0),"")</f>
        <v>FUPOTECH</v>
      </c>
      <c r="T1350" s="3"/>
      <c r="U1350" s="3"/>
      <c r="V1350" s="3"/>
    </row>
    <row r="1351" spans="1:22">
      <c r="A1351" s="3" t="e">
        <f>VLOOKUP(D1351,[1]Orc!A:B,2,0)</f>
        <v>#N/A</v>
      </c>
      <c r="B1351" s="31" t="e">
        <f>VLOOKUP(D1351,[1]Orc!A:C,3,0)</f>
        <v>#N/A</v>
      </c>
      <c r="C1351" s="31">
        <v>42754.712500000001</v>
      </c>
      <c r="D1351" s="3">
        <v>3035880818</v>
      </c>
      <c r="E1351" s="3" t="s">
        <v>31</v>
      </c>
      <c r="F1351" s="3" t="s">
        <v>156</v>
      </c>
      <c r="G1351" s="3" t="str">
        <f>VLOOKUP(F1351,[1]Mapa!A:B,2,0)</f>
        <v>Felipe Alves Barbosa</v>
      </c>
      <c r="H1351" s="3" t="s">
        <v>209</v>
      </c>
      <c r="I1351" s="3" t="str">
        <f>VLOOKUP(H1351,[1]Mapa!A:B,2,0)</f>
        <v>Taina Alexsander Fernandes Pires</v>
      </c>
      <c r="J1351" s="3" t="s">
        <v>93</v>
      </c>
      <c r="K1351" s="3" t="str">
        <f t="shared" si="6"/>
        <v>SKILL DIFERENTE</v>
      </c>
      <c r="L1351" s="3"/>
      <c r="M1351" s="3"/>
      <c r="N1351" s="3"/>
      <c r="O1351" s="3"/>
      <c r="P1351" s="3" t="s">
        <v>867</v>
      </c>
      <c r="Q1351" s="31">
        <v>42755</v>
      </c>
      <c r="R1351" s="3" t="str">
        <f>IFERROR(VLOOKUP(J1351,[1]PL!A:B,2,0),"")</f>
        <v>PSG</v>
      </c>
      <c r="S1351" s="3" t="str">
        <f>IFERROR(VLOOKUP(H1351,[1]Mapa!A:D,4,0),"")</f>
        <v>FUPOTECH</v>
      </c>
      <c r="T1351" s="3"/>
      <c r="U1351" s="3"/>
      <c r="V1351" s="3"/>
    </row>
    <row r="1352" spans="1:22">
      <c r="A1352" s="3" t="e">
        <f>VLOOKUP(D1352,[1]Orc!A:B,2,0)</f>
        <v>#N/A</v>
      </c>
      <c r="B1352" s="31" t="e">
        <f>VLOOKUP(D1352,[1]Orc!A:C,3,0)</f>
        <v>#N/A</v>
      </c>
      <c r="C1352" s="31">
        <v>42754.71875</v>
      </c>
      <c r="D1352" s="3">
        <v>3035930630</v>
      </c>
      <c r="E1352" s="3" t="s">
        <v>39</v>
      </c>
      <c r="F1352" s="3" t="s">
        <v>250</v>
      </c>
      <c r="G1352" s="3" t="str">
        <f>VLOOKUP(F1352,[1]Mapa!A:B,2,0)</f>
        <v>Filipe Augusto Fernandes De Oliveira</v>
      </c>
      <c r="H1352" s="3" t="s">
        <v>250</v>
      </c>
      <c r="I1352" s="3" t="str">
        <f>VLOOKUP(H1352,[1]Mapa!A:B,2,0)</f>
        <v>Filipe Augusto Fernandes De Oliveira</v>
      </c>
      <c r="J1352" s="3" t="s">
        <v>93</v>
      </c>
      <c r="K1352" s="3" t="str">
        <f t="shared" si="6"/>
        <v>SKILL IGUAL</v>
      </c>
      <c r="L1352" s="3"/>
      <c r="M1352" s="3"/>
      <c r="N1352" s="3"/>
      <c r="O1352" s="3"/>
      <c r="P1352" s="3" t="s">
        <v>867</v>
      </c>
      <c r="Q1352" s="31">
        <v>42755</v>
      </c>
      <c r="R1352" s="3" t="str">
        <f>IFERROR(VLOOKUP(J1352,[1]PL!A:B,2,0),"")</f>
        <v>PSG</v>
      </c>
      <c r="S1352" s="3" t="str">
        <f>IFERROR(VLOOKUP(H1352,[1]Mapa!A:D,4,0),"")</f>
        <v>PSG</v>
      </c>
      <c r="T1352" s="3"/>
      <c r="U1352" s="3"/>
      <c r="V1352" s="3"/>
    </row>
    <row r="1353" spans="1:22">
      <c r="A1353" s="3" t="e">
        <f>VLOOKUP(D1353,[1]Orc!A:B,2,0)</f>
        <v>#N/A</v>
      </c>
      <c r="B1353" s="31" t="e">
        <f>VLOOKUP(D1353,[1]Orc!A:C,3,0)</f>
        <v>#N/A</v>
      </c>
      <c r="C1353" s="31">
        <v>42754.729166666664</v>
      </c>
      <c r="D1353" s="3">
        <v>3035931125</v>
      </c>
      <c r="E1353" s="3" t="s">
        <v>39</v>
      </c>
      <c r="F1353" s="3" t="s">
        <v>246</v>
      </c>
      <c r="G1353" s="3" t="str">
        <f>VLOOKUP(F1353,[1]Mapa!A:B,2,0)</f>
        <v>Wellington Da Silva De Oliveira</v>
      </c>
      <c r="H1353" s="3" t="s">
        <v>246</v>
      </c>
      <c r="I1353" s="3" t="str">
        <f>VLOOKUP(H1353,[1]Mapa!A:B,2,0)</f>
        <v>Wellington Da Silva De Oliveira</v>
      </c>
      <c r="J1353" s="3" t="s">
        <v>93</v>
      </c>
      <c r="K1353" s="3" t="str">
        <f t="shared" si="6"/>
        <v>SKILL IGUAL</v>
      </c>
      <c r="L1353" s="3"/>
      <c r="M1353" s="3"/>
      <c r="N1353" s="3"/>
      <c r="O1353" s="3"/>
      <c r="P1353" s="3" t="s">
        <v>867</v>
      </c>
      <c r="Q1353" s="31">
        <v>42755</v>
      </c>
      <c r="R1353" s="3" t="str">
        <f>IFERROR(VLOOKUP(J1353,[1]PL!A:B,2,0),"")</f>
        <v>PSG</v>
      </c>
      <c r="S1353" s="3" t="str">
        <f>IFERROR(VLOOKUP(H1353,[1]Mapa!A:D,4,0),"")</f>
        <v>PSG</v>
      </c>
      <c r="T1353" s="3"/>
      <c r="U1353" s="3"/>
      <c r="V1353" s="3"/>
    </row>
    <row r="1354" spans="1:22">
      <c r="A1354" s="3" t="e">
        <f>VLOOKUP(D1354,[1]Orc!A:B,2,0)</f>
        <v>#N/A</v>
      </c>
      <c r="B1354" s="31" t="e">
        <f>VLOOKUP(D1354,[1]Orc!A:C,3,0)</f>
        <v>#N/A</v>
      </c>
      <c r="C1354" s="31">
        <v>42754.729166666664</v>
      </c>
      <c r="D1354" s="3">
        <v>3035714763</v>
      </c>
      <c r="E1354" s="3" t="s">
        <v>9</v>
      </c>
      <c r="F1354" s="3" t="s">
        <v>101</v>
      </c>
      <c r="G1354" s="3" t="str">
        <f>VLOOKUP(F1354,[1]Mapa!A:B,2,0)</f>
        <v>Lais Silva Pereira</v>
      </c>
      <c r="H1354" s="3" t="s">
        <v>82</v>
      </c>
      <c r="I1354" s="3" t="str">
        <f>VLOOKUP(H1354,[1]Mapa!A:B,2,0)</f>
        <v>Jonatas Gomes Tenorio</v>
      </c>
      <c r="J1354" s="3" t="s">
        <v>93</v>
      </c>
      <c r="K1354" s="3" t="str">
        <f t="shared" si="6"/>
        <v>SKILL DIFERENTE</v>
      </c>
      <c r="L1354" s="3"/>
      <c r="M1354" s="3"/>
      <c r="N1354" s="3"/>
      <c r="O1354" s="3"/>
      <c r="P1354" s="3" t="s">
        <v>867</v>
      </c>
      <c r="Q1354" s="31">
        <v>42755</v>
      </c>
      <c r="R1354" s="3" t="str">
        <f>IFERROR(VLOOKUP(J1354,[1]PL!A:B,2,0),"")</f>
        <v>PSG</v>
      </c>
      <c r="S1354" s="3" t="str">
        <f>IFERROR(VLOOKUP(H1354,[1]Mapa!A:D,4,0),"")</f>
        <v>IPG</v>
      </c>
      <c r="T1354" s="3"/>
      <c r="U1354" s="3"/>
      <c r="V1354" s="3"/>
    </row>
    <row r="1355" spans="1:22">
      <c r="A1355" s="3" t="e">
        <f>VLOOKUP(D1355,[1]Orc!A:B,2,0)</f>
        <v>#N/A</v>
      </c>
      <c r="B1355" s="31" t="e">
        <f>VLOOKUP(D1355,[1]Orc!A:C,3,0)</f>
        <v>#N/A</v>
      </c>
      <c r="C1355" s="31">
        <v>42754.760416666664</v>
      </c>
      <c r="D1355" s="3">
        <v>3035925720</v>
      </c>
      <c r="E1355" s="3" t="s">
        <v>39</v>
      </c>
      <c r="F1355" s="3" t="s">
        <v>231</v>
      </c>
      <c r="G1355" s="3" t="str">
        <f>VLOOKUP(F1355,[1]Mapa!A:B,2,0)</f>
        <v>Lucas Da Silva Pinto</v>
      </c>
      <c r="H1355" s="3" t="s">
        <v>231</v>
      </c>
      <c r="I1355" s="3" t="str">
        <f>VLOOKUP(H1355,[1]Mapa!A:B,2,0)</f>
        <v>Lucas Da Silva Pinto</v>
      </c>
      <c r="J1355" s="3" t="s">
        <v>93</v>
      </c>
      <c r="K1355" s="3" t="str">
        <f t="shared" si="6"/>
        <v>SKILL IGUAL</v>
      </c>
      <c r="L1355" s="3"/>
      <c r="M1355" s="3"/>
      <c r="N1355" s="3"/>
      <c r="O1355" s="3"/>
      <c r="P1355" s="3" t="s">
        <v>867</v>
      </c>
      <c r="Q1355" s="31">
        <v>42755</v>
      </c>
      <c r="R1355" s="3" t="str">
        <f>IFERROR(VLOOKUP(J1355,[1]PL!A:B,2,0),"")</f>
        <v>PSG</v>
      </c>
      <c r="S1355" s="3" t="str">
        <f>IFERROR(VLOOKUP(H1355,[1]Mapa!A:D,4,0),"")</f>
        <v>PSG</v>
      </c>
      <c r="T1355" s="3"/>
      <c r="U1355" s="3"/>
      <c r="V1355" s="3"/>
    </row>
    <row r="1356" spans="1:22">
      <c r="A1356" s="3" t="e">
        <f>VLOOKUP(D1356,[1]Orc!A:B,2,0)</f>
        <v>#N/A</v>
      </c>
      <c r="B1356" s="31" t="e">
        <f>VLOOKUP(D1356,[1]Orc!A:C,3,0)</f>
        <v>#N/A</v>
      </c>
      <c r="C1356" s="31">
        <v>42754.777083333334</v>
      </c>
      <c r="D1356" s="3">
        <v>3035890391</v>
      </c>
      <c r="E1356" s="3" t="s">
        <v>39</v>
      </c>
      <c r="F1356" s="3" t="s">
        <v>244</v>
      </c>
      <c r="G1356" s="3" t="str">
        <f>VLOOKUP(F1356,[1]Mapa!A:B,2,0)</f>
        <v>Clarina Praxedes Alfredo</v>
      </c>
      <c r="H1356" s="3" t="s">
        <v>238</v>
      </c>
      <c r="I1356" s="3" t="str">
        <f>VLOOKUP(H1356,[1]Mapa!A:B,2,0)</f>
        <v>Fernando Souza De Almeida</v>
      </c>
      <c r="J1356" s="3" t="s">
        <v>93</v>
      </c>
      <c r="K1356" s="3" t="str">
        <f t="shared" si="6"/>
        <v>SKILL DIFERENTE</v>
      </c>
      <c r="L1356" s="3"/>
      <c r="M1356" s="3"/>
      <c r="N1356" s="3"/>
      <c r="O1356" s="3"/>
      <c r="P1356" s="3" t="s">
        <v>867</v>
      </c>
      <c r="Q1356" s="31">
        <v>42755</v>
      </c>
      <c r="R1356" s="3" t="str">
        <f>IFERROR(VLOOKUP(J1356,[1]PL!A:B,2,0),"")</f>
        <v>PSG</v>
      </c>
      <c r="S1356" s="3" t="str">
        <f>IFERROR(VLOOKUP(H1356,[1]Mapa!A:D,4,0),"")</f>
        <v>FUPOTECH</v>
      </c>
      <c r="T1356" s="3"/>
      <c r="U1356" s="3"/>
      <c r="V1356" s="3"/>
    </row>
    <row r="1357" spans="1:22">
      <c r="A1357" s="3" t="e">
        <f>VLOOKUP(D1357,[1]Orc!A:B,2,0)</f>
        <v>#N/A</v>
      </c>
      <c r="B1357" s="31" t="e">
        <f>VLOOKUP(D1357,[1]Orc!A:C,3,0)</f>
        <v>#N/A</v>
      </c>
      <c r="C1357" s="31">
        <v>42754.816666666666</v>
      </c>
      <c r="D1357" s="3">
        <v>3035862667</v>
      </c>
      <c r="E1357" s="3" t="s">
        <v>23</v>
      </c>
      <c r="F1357" s="3" t="s">
        <v>149</v>
      </c>
      <c r="G1357" s="3" t="str">
        <f>VLOOKUP(F1357,[1]Mapa!A:B,2,0)</f>
        <v>Kaio Victor de Santana</v>
      </c>
      <c r="H1357" s="3" t="s">
        <v>139</v>
      </c>
      <c r="I1357" s="3" t="str">
        <f>VLOOKUP(H1357,[1]Mapa!A:B,2,0)</f>
        <v>Vanderlei Valentim Vieira</v>
      </c>
      <c r="J1357" s="3" t="s">
        <v>93</v>
      </c>
      <c r="K1357" s="3" t="str">
        <f t="shared" si="6"/>
        <v>SKILL DIFERENTE</v>
      </c>
      <c r="L1357" s="3"/>
      <c r="M1357" s="3"/>
      <c r="N1357" s="3"/>
      <c r="O1357" s="3"/>
      <c r="P1357" s="3" t="s">
        <v>867</v>
      </c>
      <c r="Q1357" s="31">
        <v>42755</v>
      </c>
      <c r="R1357" s="3" t="str">
        <f>IFERROR(VLOOKUP(J1357,[1]PL!A:B,2,0),"")</f>
        <v>PSG</v>
      </c>
      <c r="S1357" s="3" t="str">
        <f>IFERROR(VLOOKUP(H1357,[1]Mapa!A:D,4,0),"")</f>
        <v>FUPOTECH</v>
      </c>
      <c r="T1357" s="3"/>
      <c r="U1357" s="3"/>
      <c r="V1357" s="3"/>
    </row>
    <row r="1358" spans="1:22">
      <c r="A1358" s="3" t="e">
        <f>VLOOKUP(D1358,[1]Orc!A:B,2,0)</f>
        <v>#N/A</v>
      </c>
      <c r="B1358" s="31" t="e">
        <f>VLOOKUP(D1358,[1]Orc!A:C,3,0)</f>
        <v>#N/A</v>
      </c>
      <c r="C1358" s="31">
        <v>42754.828472222223</v>
      </c>
      <c r="D1358" s="3">
        <v>3035903578</v>
      </c>
      <c r="E1358" s="3" t="s">
        <v>39</v>
      </c>
      <c r="F1358" s="3" t="s">
        <v>246</v>
      </c>
      <c r="G1358" s="3" t="str">
        <f>VLOOKUP(F1358,[1]Mapa!A:B,2,0)</f>
        <v>Wellington Da Silva De Oliveira</v>
      </c>
      <c r="H1358" s="3" t="s">
        <v>238</v>
      </c>
      <c r="I1358" s="3" t="str">
        <f>VLOOKUP(H1358,[1]Mapa!A:B,2,0)</f>
        <v>Fernando Souza De Almeida</v>
      </c>
      <c r="J1358" s="3" t="s">
        <v>93</v>
      </c>
      <c r="K1358" s="3" t="str">
        <f t="shared" si="6"/>
        <v>SKILL DIFERENTE</v>
      </c>
      <c r="L1358" s="3"/>
      <c r="M1358" s="3"/>
      <c r="N1358" s="3"/>
      <c r="O1358" s="3"/>
      <c r="P1358" s="3" t="s">
        <v>867</v>
      </c>
      <c r="Q1358" s="31">
        <v>42755</v>
      </c>
      <c r="R1358" s="3" t="str">
        <f>IFERROR(VLOOKUP(J1358,[1]PL!A:B,2,0),"")</f>
        <v>PSG</v>
      </c>
      <c r="S1358" s="3" t="str">
        <f>IFERROR(VLOOKUP(H1358,[1]Mapa!A:D,4,0),"")</f>
        <v>FUPOTECH</v>
      </c>
      <c r="T1358" s="3"/>
      <c r="U1358" s="3"/>
      <c r="V1358" s="3"/>
    </row>
    <row r="1359" spans="1:22">
      <c r="A1359" s="3" t="e">
        <f>VLOOKUP(D1359,[1]Orc!A:B,2,0)</f>
        <v>#N/A</v>
      </c>
      <c r="B1359" s="31" t="e">
        <f>VLOOKUP(D1359,[1]Orc!A:C,3,0)</f>
        <v>#N/A</v>
      </c>
      <c r="C1359" s="31">
        <v>42754.852777777778</v>
      </c>
      <c r="D1359" s="3">
        <v>3035828606</v>
      </c>
      <c r="E1359" s="3" t="s">
        <v>39</v>
      </c>
      <c r="F1359" s="3" t="s">
        <v>250</v>
      </c>
      <c r="G1359" s="3" t="str">
        <f>VLOOKUP(F1359,[1]Mapa!A:B,2,0)</f>
        <v>Filipe Augusto Fernandes De Oliveira</v>
      </c>
      <c r="H1359" s="3" t="s">
        <v>238</v>
      </c>
      <c r="I1359" s="3" t="str">
        <f>VLOOKUP(H1359,[1]Mapa!A:B,2,0)</f>
        <v>Fernando Souza De Almeida</v>
      </c>
      <c r="J1359" s="3" t="s">
        <v>93</v>
      </c>
      <c r="K1359" s="3" t="str">
        <f t="shared" si="6"/>
        <v>SKILL DIFERENTE</v>
      </c>
      <c r="L1359" s="3"/>
      <c r="M1359" s="3"/>
      <c r="N1359" s="3"/>
      <c r="O1359" s="3"/>
      <c r="P1359" s="3" t="s">
        <v>867</v>
      </c>
      <c r="Q1359" s="31">
        <v>42755</v>
      </c>
      <c r="R1359" s="3" t="str">
        <f>IFERROR(VLOOKUP(J1359,[1]PL!A:B,2,0),"")</f>
        <v>PSG</v>
      </c>
      <c r="S1359" s="3" t="str">
        <f>IFERROR(VLOOKUP(H1359,[1]Mapa!A:D,4,0),"")</f>
        <v>FUPOTECH</v>
      </c>
      <c r="T1359" s="3"/>
      <c r="U1359" s="3"/>
      <c r="V1359" s="3"/>
    </row>
    <row r="1360" spans="1:22">
      <c r="A1360" s="3" t="e">
        <f>VLOOKUP(D1360,[1]Orc!A:B,2,0)</f>
        <v>#N/A</v>
      </c>
      <c r="B1360" s="31" t="e">
        <f>VLOOKUP(D1360,[1]Orc!A:C,3,0)</f>
        <v>#N/A</v>
      </c>
      <c r="C1360" s="31">
        <v>42754.915277777778</v>
      </c>
      <c r="D1360" s="3">
        <v>3035938858</v>
      </c>
      <c r="E1360" s="3" t="s">
        <v>39</v>
      </c>
      <c r="F1360" s="3" t="s">
        <v>225</v>
      </c>
      <c r="G1360" s="3" t="str">
        <f>VLOOKUP(F1360,[1]Mapa!A:B,2,0)</f>
        <v>Eduardo Paixao Oliveira</v>
      </c>
      <c r="H1360" s="3" t="s">
        <v>225</v>
      </c>
      <c r="I1360" s="3" t="str">
        <f>VLOOKUP(H1360,[1]Mapa!A:B,2,0)</f>
        <v>Eduardo Paixao Oliveira</v>
      </c>
      <c r="J1360" s="3" t="s">
        <v>93</v>
      </c>
      <c r="K1360" s="3" t="str">
        <f t="shared" si="6"/>
        <v>SKILL IGUAL</v>
      </c>
      <c r="L1360" s="3"/>
      <c r="M1360" s="3"/>
      <c r="N1360" s="3"/>
      <c r="O1360" s="3"/>
      <c r="P1360" s="3" t="s">
        <v>867</v>
      </c>
      <c r="Q1360" s="31">
        <v>42755</v>
      </c>
      <c r="R1360" s="3" t="str">
        <f>IFERROR(VLOOKUP(J1360,[1]PL!A:B,2,0),"")</f>
        <v>PSG</v>
      </c>
      <c r="S1360" s="3" t="str">
        <f>IFERROR(VLOOKUP(H1360,[1]Mapa!A:D,4,0),"")</f>
        <v>PSG</v>
      </c>
      <c r="T1360" s="3"/>
      <c r="U1360" s="3"/>
      <c r="V1360" s="3"/>
    </row>
  </sheetData>
  <customSheetViews>
    <customSheetView guid="{EBEA62EB-1615-472C-A901-345B29B393D8}" showGridLines="0" topLeftCell="A1766">
      <selection activeCell="A1782" sqref="A1782:S4494"/>
      <pageMargins left="0.511811024" right="0.511811024" top="0.78740157499999996" bottom="0.78740157499999996" header="0.31496062000000002" footer="0.31496062000000002"/>
    </customSheetView>
    <customSheetView guid="{70B8F14D-6932-44B3-9400-8A4AD152727D}" showGridLines="0" topLeftCell="A1766">
      <selection activeCell="A1782" sqref="A1782:S4494"/>
      <pageMargins left="0.511811024" right="0.511811024" top="0.78740157499999996" bottom="0.78740157499999996" header="0.31496062000000002" footer="0.31496062000000002"/>
    </customSheetView>
    <customSheetView guid="{96F581F4-B129-4CE3-9428-62F0C92EC94E}" showGridLines="0">
      <pageMargins left="0.511811024" right="0.511811024" top="0.78740157499999996" bottom="0.78740157499999996" header="0.31496062000000002" footer="0.31496062000000002"/>
    </customSheetView>
    <customSheetView guid="{7DD15FBB-490E-4EC9-92CF-6E4A01345109}" showGridLines="0">
      <pageMargins left="0.511811024" right="0.511811024" top="0.78740157499999996" bottom="0.78740157499999996" header="0.31496062000000002" footer="0.31496062000000002"/>
    </customSheetView>
    <customSheetView guid="{223F82A9-FB85-4B3D-AB4E-D79A2EC17267}" showGridLines="0">
      <pageMargins left="0.511811024" right="0.511811024" top="0.78740157499999996" bottom="0.78740157499999996" header="0.31496062000000002" footer="0.31496062000000002"/>
    </customSheetView>
    <customSheetView guid="{69BA9A2D-1E1C-4A5F-90FA-2A8A3A31A904}" showGridLines="0">
      <pageMargins left="0.511811024" right="0.511811024" top="0.78740157499999996" bottom="0.78740157499999996" header="0.31496062000000002" footer="0.31496062000000002"/>
    </customSheetView>
    <customSheetView guid="{CB1A3827-3EBE-432E-8A98-FADF5D8A722C}" showGridLines="0" topLeftCell="A5">
      <selection activeCell="A5" sqref="A5"/>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3:U191"/>
  <sheetViews>
    <sheetView showGridLines="0" topLeftCell="M1" zoomScale="90" zoomScaleNormal="90" workbookViewId="0">
      <pane ySplit="3" topLeftCell="A174" activePane="bottomLeft" state="frozen"/>
      <selection pane="bottomLeft" activeCell="U180" sqref="U180"/>
    </sheetView>
  </sheetViews>
  <sheetFormatPr defaultColWidth="9.140625" defaultRowHeight="15"/>
  <cols>
    <col min="1" max="1" width="11" style="3" bestFit="1" customWidth="1"/>
    <col min="2" max="2" width="14.42578125" style="3" bestFit="1" customWidth="1"/>
    <col min="3" max="3" width="21.5703125" style="3" bestFit="1" customWidth="1"/>
    <col min="4" max="4" width="17.28515625" style="3" bestFit="1" customWidth="1"/>
    <col min="5" max="6" width="33.85546875" style="3" bestFit="1" customWidth="1"/>
    <col min="7" max="7" width="14.28515625" style="3" bestFit="1" customWidth="1"/>
    <col min="8" max="8" width="32.7109375" style="3" bestFit="1" customWidth="1"/>
    <col min="9" max="9" width="19.140625" style="3" bestFit="1" customWidth="1"/>
    <col min="10" max="10" width="17.7109375" style="3" bestFit="1" customWidth="1"/>
    <col min="11" max="11" width="124.28515625" style="3" bestFit="1" customWidth="1"/>
    <col min="12" max="12" width="27.42578125" style="3" bestFit="1" customWidth="1"/>
    <col min="13" max="13" width="23.28515625" style="3" bestFit="1" customWidth="1"/>
    <col min="14" max="14" width="42" style="3" bestFit="1" customWidth="1"/>
    <col min="15" max="15" width="59.5703125" style="3" bestFit="1" customWidth="1"/>
    <col min="16" max="16" width="12.140625" style="3" bestFit="1" customWidth="1"/>
    <col min="17" max="17" width="24.85546875" style="3" bestFit="1" customWidth="1"/>
    <col min="18" max="18" width="22" style="3" bestFit="1" customWidth="1"/>
    <col min="19" max="19" width="18.5703125" style="3" bestFit="1" customWidth="1"/>
    <col min="20" max="20" width="10.28515625" style="3" bestFit="1" customWidth="1"/>
    <col min="21" max="21" width="10.42578125" style="3" bestFit="1" customWidth="1"/>
    <col min="22" max="26" width="9.140625" style="3"/>
    <col min="27" max="27" width="9.7109375" style="3" bestFit="1" customWidth="1"/>
    <col min="28" max="16384" width="9.140625" style="3"/>
  </cols>
  <sheetData>
    <row r="3" spans="1:21">
      <c r="A3" s="4" t="s">
        <v>0</v>
      </c>
      <c r="B3" s="4" t="s">
        <v>163</v>
      </c>
      <c r="C3" s="4" t="s">
        <v>4257</v>
      </c>
      <c r="D3" s="30" t="s">
        <v>4258</v>
      </c>
      <c r="E3" s="4" t="s">
        <v>1</v>
      </c>
      <c r="F3" s="4" t="s">
        <v>2</v>
      </c>
      <c r="G3" s="4" t="s">
        <v>3</v>
      </c>
      <c r="H3" s="4" t="s">
        <v>4</v>
      </c>
      <c r="I3" s="4" t="s">
        <v>285</v>
      </c>
      <c r="J3" s="4" t="s">
        <v>48</v>
      </c>
      <c r="K3" s="4" t="s">
        <v>293</v>
      </c>
      <c r="L3" s="43" t="s">
        <v>834</v>
      </c>
      <c r="M3" s="3" t="s">
        <v>5</v>
      </c>
      <c r="N3" s="3" t="s">
        <v>6</v>
      </c>
      <c r="O3" s="3" t="s">
        <v>7</v>
      </c>
      <c r="P3" s="33" t="s">
        <v>445</v>
      </c>
      <c r="Q3" s="3" t="s">
        <v>295</v>
      </c>
      <c r="R3" s="3" t="s">
        <v>456</v>
      </c>
      <c r="S3" s="3" t="s">
        <v>457</v>
      </c>
      <c r="T3" s="3" t="s">
        <v>472</v>
      </c>
      <c r="U3" s="3" t="s">
        <v>473</v>
      </c>
    </row>
    <row r="4" spans="1:21">
      <c r="A4" s="3">
        <v>3035356913</v>
      </c>
      <c r="B4" s="3" t="s">
        <v>500</v>
      </c>
      <c r="C4" s="90">
        <v>42734.734471099538</v>
      </c>
      <c r="D4" s="33">
        <v>42736.734471099538</v>
      </c>
      <c r="E4" s="3" t="s">
        <v>19</v>
      </c>
      <c r="F4" s="3" t="s">
        <v>19</v>
      </c>
      <c r="G4" s="3" t="s">
        <v>301</v>
      </c>
      <c r="H4" s="3" t="s">
        <v>9</v>
      </c>
      <c r="I4" s="3" t="s">
        <v>995</v>
      </c>
      <c r="J4" s="3" t="s">
        <v>304</v>
      </c>
      <c r="K4" s="3" t="s">
        <v>996</v>
      </c>
      <c r="L4" s="44">
        <v>42737.520833333336</v>
      </c>
      <c r="M4" s="3">
        <v>0</v>
      </c>
      <c r="N4" s="3">
        <v>0</v>
      </c>
      <c r="O4" s="3">
        <v>0</v>
      </c>
      <c r="P4" s="42">
        <v>42737</v>
      </c>
      <c r="Q4" s="34" t="s">
        <v>1210</v>
      </c>
      <c r="R4" s="34">
        <f>IFERROR(INDEX(QUALIDADE,MATCH(tblVIRARAM_PESQUISA[[#This Row],[CASE ID]],PROTOCOLO_PESQUISAS,0),MATCH(tblVIRARAM_PESQUISA[[#Headers],[Q2 - Problem Resolved]],QUALIDADE_CAB,0)), "-")</f>
        <v>1</v>
      </c>
      <c r="S4" s="34">
        <f>IFERROR(INDEX(QUALIDADE,MATCH(tblVIRARAM_PESQUISA[[#This Row],[CASE ID]],PROTOCOLO_PESQUISAS,0),MATCH(tblVIRARAM_PESQUISA[[#Headers],[Q3 - First Time Fix]],QUALIDADE_CAB,0)), "-")</f>
        <v>1</v>
      </c>
      <c r="T4" s="34">
        <f>IFERROR(INDEX(QUALIDADE,MATCH(tblVIRARAM_PESQUISA[[#This Row],[CASE ID]],PROTOCOLO_PESQUISAS,0),MATCH(tblVIRARAM_PESQUISA[[#Headers],[Promoters]],QUALIDADE_CAB,0)), "-")</f>
        <v>1</v>
      </c>
      <c r="U4" s="34">
        <f>IFERROR(INDEX(QUALIDADE,MATCH(tblVIRARAM_PESQUISA[[#This Row],[CASE ID]],PROTOCOLO_PESQUISAS,0),MATCH(tblVIRARAM_PESQUISA[[#Headers],[Detractors]],QUALIDADE_CAB,0)), "-")</f>
        <v>0</v>
      </c>
    </row>
    <row r="5" spans="1:21">
      <c r="A5" s="3">
        <v>3035366521</v>
      </c>
      <c r="B5" s="3" t="s">
        <v>500</v>
      </c>
      <c r="C5" s="90">
        <v>42734.734471099538</v>
      </c>
      <c r="D5" s="33">
        <v>42736.734471099538</v>
      </c>
      <c r="E5" s="3" t="s">
        <v>37</v>
      </c>
      <c r="F5" s="3" t="s">
        <v>37</v>
      </c>
      <c r="G5" s="3" t="s">
        <v>301</v>
      </c>
      <c r="H5" s="3" t="s">
        <v>39</v>
      </c>
      <c r="I5" s="3" t="s">
        <v>995</v>
      </c>
      <c r="J5" s="3" t="s">
        <v>304</v>
      </c>
      <c r="K5" s="3" t="s">
        <v>996</v>
      </c>
      <c r="L5" s="44">
        <v>42737.53125</v>
      </c>
      <c r="M5" s="3">
        <v>0</v>
      </c>
      <c r="N5" s="3">
        <v>0</v>
      </c>
      <c r="O5" s="3">
        <v>0</v>
      </c>
      <c r="P5" s="42">
        <v>42737</v>
      </c>
      <c r="Q5" s="34" t="s">
        <v>1210</v>
      </c>
      <c r="R5" s="34">
        <f>IFERROR(INDEX(QUALIDADE,MATCH(tblVIRARAM_PESQUISA[[#This Row],[CASE ID]],PROTOCOLO_PESQUISAS,0),MATCH(tblVIRARAM_PESQUISA[[#Headers],[Q2 - Problem Resolved]],QUALIDADE_CAB,0)), "-")</f>
        <v>1</v>
      </c>
      <c r="S5" s="34">
        <f>IFERROR(INDEX(QUALIDADE,MATCH(tblVIRARAM_PESQUISA[[#This Row],[CASE ID]],PROTOCOLO_PESQUISAS,0),MATCH(tblVIRARAM_PESQUISA[[#Headers],[Q3 - First Time Fix]],QUALIDADE_CAB,0)), "-")</f>
        <v>1</v>
      </c>
      <c r="T5" s="34">
        <f>IFERROR(INDEX(QUALIDADE,MATCH(tblVIRARAM_PESQUISA[[#This Row],[CASE ID]],PROTOCOLO_PESQUISAS,0),MATCH(tblVIRARAM_PESQUISA[[#Headers],[Promoters]],QUALIDADE_CAB,0)), "-")</f>
        <v>1</v>
      </c>
      <c r="U5" s="34">
        <f>IFERROR(INDEX(QUALIDADE,MATCH(tblVIRARAM_PESQUISA[[#This Row],[CASE ID]],PROTOCOLO_PESQUISAS,0),MATCH(tblVIRARAM_PESQUISA[[#Headers],[Detractors]],QUALIDADE_CAB,0)), "-")</f>
        <v>0</v>
      </c>
    </row>
    <row r="6" spans="1:21">
      <c r="A6" s="3">
        <v>3035362633</v>
      </c>
      <c r="B6" s="3" t="s">
        <v>500</v>
      </c>
      <c r="C6" s="90">
        <v>42734.734471099538</v>
      </c>
      <c r="D6" s="33">
        <v>42736.734471099538</v>
      </c>
      <c r="E6" s="3" t="s">
        <v>55</v>
      </c>
      <c r="F6" s="3" t="s">
        <v>55</v>
      </c>
      <c r="G6" s="3" t="s">
        <v>301</v>
      </c>
      <c r="H6" s="3" t="s">
        <v>23</v>
      </c>
      <c r="I6" s="3" t="s">
        <v>995</v>
      </c>
      <c r="J6" s="3" t="s">
        <v>303</v>
      </c>
      <c r="K6" s="3" t="s">
        <v>997</v>
      </c>
      <c r="L6" s="44">
        <v>42737.541666666664</v>
      </c>
      <c r="M6" s="3">
        <v>0</v>
      </c>
      <c r="N6" s="3">
        <v>0</v>
      </c>
      <c r="O6" s="3">
        <v>0</v>
      </c>
      <c r="P6" s="42">
        <v>42737</v>
      </c>
      <c r="Q6" s="34" t="s">
        <v>1210</v>
      </c>
      <c r="R6" s="34">
        <f>IFERROR(INDEX(QUALIDADE,MATCH(tblVIRARAM_PESQUISA[[#This Row],[CASE ID]],PROTOCOLO_PESQUISAS,0),MATCH(tblVIRARAM_PESQUISA[[#Headers],[Q2 - Problem Resolved]],QUALIDADE_CAB,0)), "-")</f>
        <v>1</v>
      </c>
      <c r="S6" s="34">
        <f>IFERROR(INDEX(QUALIDADE,MATCH(tblVIRARAM_PESQUISA[[#This Row],[CASE ID]],PROTOCOLO_PESQUISAS,0),MATCH(tblVIRARAM_PESQUISA[[#Headers],[Q3 - First Time Fix]],QUALIDADE_CAB,0)), "-")</f>
        <v>2</v>
      </c>
      <c r="T6" s="34">
        <f>IFERROR(INDEX(QUALIDADE,MATCH(tblVIRARAM_PESQUISA[[#This Row],[CASE ID]],PROTOCOLO_PESQUISAS,0),MATCH(tblVIRARAM_PESQUISA[[#Headers],[Promoters]],QUALIDADE_CAB,0)), "-")</f>
        <v>1</v>
      </c>
      <c r="U6" s="34">
        <f>IFERROR(INDEX(QUALIDADE,MATCH(tblVIRARAM_PESQUISA[[#This Row],[CASE ID]],PROTOCOLO_PESQUISAS,0),MATCH(tblVIRARAM_PESQUISA[[#Headers],[Detractors]],QUALIDADE_CAB,0)), "-")</f>
        <v>0</v>
      </c>
    </row>
    <row r="7" spans="1:21">
      <c r="A7" s="3">
        <v>3035469849</v>
      </c>
      <c r="B7" s="3" t="s">
        <v>500</v>
      </c>
      <c r="C7" s="90">
        <v>42739.73704378472</v>
      </c>
      <c r="D7" s="33">
        <v>42741.73704378472</v>
      </c>
      <c r="E7" s="3" t="s">
        <v>585</v>
      </c>
      <c r="F7" s="3" t="s">
        <v>585</v>
      </c>
      <c r="G7" s="3" t="s">
        <v>301</v>
      </c>
      <c r="H7" s="3" t="s">
        <v>874</v>
      </c>
      <c r="I7" s="3" t="s">
        <v>811</v>
      </c>
      <c r="J7" s="3" t="s">
        <v>303</v>
      </c>
      <c r="K7" s="3" t="s">
        <v>1553</v>
      </c>
      <c r="L7" s="44">
        <v>42742.474305555559</v>
      </c>
      <c r="M7" s="3" t="s">
        <v>866</v>
      </c>
      <c r="N7" s="3" t="s">
        <v>59</v>
      </c>
      <c r="O7" s="3" t="s">
        <v>60</v>
      </c>
      <c r="P7" s="42">
        <v>42742</v>
      </c>
      <c r="Q7" s="34" t="s">
        <v>2136</v>
      </c>
      <c r="R7" s="34">
        <f>IFERROR(INDEX(QUALIDADE,MATCH(tblVIRARAM_PESQUISA[[#This Row],[CASE ID]],PROTOCOLO_PESQUISAS,0),MATCH(tblVIRARAM_PESQUISA[[#Headers],[Q2 - Problem Resolved]],QUALIDADE_CAB,0)), "-")</f>
        <v>1</v>
      </c>
      <c r="S7" s="34">
        <f>IFERROR(INDEX(QUALIDADE,MATCH(tblVIRARAM_PESQUISA[[#This Row],[CASE ID]],PROTOCOLO_PESQUISAS,0),MATCH(tblVIRARAM_PESQUISA[[#Headers],[Q3 - First Time Fix]],QUALIDADE_CAB,0)), "-")</f>
        <v>1</v>
      </c>
      <c r="T7" s="34">
        <f>IFERROR(INDEX(QUALIDADE,MATCH(tblVIRARAM_PESQUISA[[#This Row],[CASE ID]],PROTOCOLO_PESQUISAS,0),MATCH(tblVIRARAM_PESQUISA[[#Headers],[Promoters]],QUALIDADE_CAB,0)), "-")</f>
        <v>1</v>
      </c>
      <c r="U7" s="34">
        <f>IFERROR(INDEX(QUALIDADE,MATCH(tblVIRARAM_PESQUISA[[#This Row],[CASE ID]],PROTOCOLO_PESQUISAS,0),MATCH(tblVIRARAM_PESQUISA[[#Headers],[Detractors]],QUALIDADE_CAB,0)), "-")</f>
        <v>0</v>
      </c>
    </row>
    <row r="8" spans="1:21">
      <c r="A8" s="3">
        <v>3035477043</v>
      </c>
      <c r="B8" s="3" t="s">
        <v>500</v>
      </c>
      <c r="C8" s="90">
        <v>42739.73704378472</v>
      </c>
      <c r="D8" s="33">
        <v>42741.73704378472</v>
      </c>
      <c r="E8" s="3" t="s">
        <v>1423</v>
      </c>
      <c r="F8" s="3" t="s">
        <v>1423</v>
      </c>
      <c r="G8" s="3" t="s">
        <v>301</v>
      </c>
      <c r="H8" s="3" t="s">
        <v>31</v>
      </c>
      <c r="I8" s="3" t="s">
        <v>811</v>
      </c>
      <c r="J8" s="3" t="s">
        <v>304</v>
      </c>
      <c r="K8" s="3" t="s">
        <v>1557</v>
      </c>
      <c r="L8" s="44">
        <v>42742.48541666667</v>
      </c>
      <c r="M8" s="3" t="s">
        <v>866</v>
      </c>
      <c r="N8" s="3" t="s">
        <v>59</v>
      </c>
      <c r="O8" s="3" t="s">
        <v>60</v>
      </c>
      <c r="P8" s="42">
        <v>42742</v>
      </c>
      <c r="Q8" s="34" t="s">
        <v>2136</v>
      </c>
      <c r="R8" s="34">
        <f>IFERROR(INDEX(QUALIDADE,MATCH(tblVIRARAM_PESQUISA[[#This Row],[CASE ID]],PROTOCOLO_PESQUISAS,0),MATCH(tblVIRARAM_PESQUISA[[#Headers],[Q2 - Problem Resolved]],QUALIDADE_CAB,0)), "-")</f>
        <v>1</v>
      </c>
      <c r="S8" s="34">
        <f>IFERROR(INDEX(QUALIDADE,MATCH(tblVIRARAM_PESQUISA[[#This Row],[CASE ID]],PROTOCOLO_PESQUISAS,0),MATCH(tblVIRARAM_PESQUISA[[#Headers],[Q3 - First Time Fix]],QUALIDADE_CAB,0)), "-")</f>
        <v>1</v>
      </c>
      <c r="T8" s="34">
        <f>IFERROR(INDEX(QUALIDADE,MATCH(tblVIRARAM_PESQUISA[[#This Row],[CASE ID]],PROTOCOLO_PESQUISAS,0),MATCH(tblVIRARAM_PESQUISA[[#Headers],[Promoters]],QUALIDADE_CAB,0)), "-")</f>
        <v>1</v>
      </c>
      <c r="U8" s="34">
        <f>IFERROR(INDEX(QUALIDADE,MATCH(tblVIRARAM_PESQUISA[[#This Row],[CASE ID]],PROTOCOLO_PESQUISAS,0),MATCH(tblVIRARAM_PESQUISA[[#Headers],[Detractors]],QUALIDADE_CAB,0)), "-")</f>
        <v>0</v>
      </c>
    </row>
    <row r="9" spans="1:21">
      <c r="A9" s="3">
        <v>3035469097</v>
      </c>
      <c r="B9" s="3" t="s">
        <v>500</v>
      </c>
      <c r="C9" s="90">
        <v>42739.73704378472</v>
      </c>
      <c r="D9" s="33">
        <v>42741.73704378472</v>
      </c>
      <c r="E9" s="3" t="s">
        <v>839</v>
      </c>
      <c r="F9" s="3" t="s">
        <v>839</v>
      </c>
      <c r="G9" s="3" t="s">
        <v>301</v>
      </c>
      <c r="H9" s="3" t="s">
        <v>256</v>
      </c>
      <c r="I9" s="3" t="s">
        <v>811</v>
      </c>
      <c r="J9" s="3" t="s">
        <v>304</v>
      </c>
      <c r="K9" s="3" t="s">
        <v>1558</v>
      </c>
      <c r="L9" s="44">
        <v>42742.488888888889</v>
      </c>
      <c r="M9" s="3" t="s">
        <v>871</v>
      </c>
      <c r="N9" s="3" t="s">
        <v>84</v>
      </c>
      <c r="O9" s="3" t="s">
        <v>85</v>
      </c>
      <c r="P9" s="42">
        <v>42742</v>
      </c>
      <c r="Q9" s="34" t="s">
        <v>2136</v>
      </c>
      <c r="R9" s="34">
        <f>IFERROR(INDEX(QUALIDADE,MATCH(tblVIRARAM_PESQUISA[[#This Row],[CASE ID]],PROTOCOLO_PESQUISAS,0),MATCH(tblVIRARAM_PESQUISA[[#Headers],[Q2 - Problem Resolved]],QUALIDADE_CAB,0)), "-")</f>
        <v>1</v>
      </c>
      <c r="S9" s="34">
        <f>IFERROR(INDEX(QUALIDADE,MATCH(tblVIRARAM_PESQUISA[[#This Row],[CASE ID]],PROTOCOLO_PESQUISAS,0),MATCH(tblVIRARAM_PESQUISA[[#Headers],[Q3 - First Time Fix]],QUALIDADE_CAB,0)), "-")</f>
        <v>1</v>
      </c>
      <c r="T9" s="34">
        <f>IFERROR(INDEX(QUALIDADE,MATCH(tblVIRARAM_PESQUISA[[#This Row],[CASE ID]],PROTOCOLO_PESQUISAS,0),MATCH(tblVIRARAM_PESQUISA[[#Headers],[Promoters]],QUALIDADE_CAB,0)), "-")</f>
        <v>1</v>
      </c>
      <c r="U9" s="34">
        <f>IFERROR(INDEX(QUALIDADE,MATCH(tblVIRARAM_PESQUISA[[#This Row],[CASE ID]],PROTOCOLO_PESQUISAS,0),MATCH(tblVIRARAM_PESQUISA[[#Headers],[Detractors]],QUALIDADE_CAB,0)), "-")</f>
        <v>0</v>
      </c>
    </row>
    <row r="10" spans="1:21">
      <c r="A10" s="3">
        <v>3035471678</v>
      </c>
      <c r="B10" s="3" t="s">
        <v>500</v>
      </c>
      <c r="C10" s="90">
        <v>42739.73704378472</v>
      </c>
      <c r="D10" s="33">
        <v>42741.73704378472</v>
      </c>
      <c r="E10" s="3" t="s">
        <v>28</v>
      </c>
      <c r="F10" s="3" t="s">
        <v>28</v>
      </c>
      <c r="G10" s="3" t="s">
        <v>301</v>
      </c>
      <c r="H10" s="3" t="s">
        <v>23</v>
      </c>
      <c r="I10" s="3" t="s">
        <v>811</v>
      </c>
      <c r="J10" s="3" t="s">
        <v>304</v>
      </c>
      <c r="K10" s="3" t="s">
        <v>1559</v>
      </c>
      <c r="L10" s="44">
        <v>42742.491666666669</v>
      </c>
      <c r="M10" s="3" t="s">
        <v>866</v>
      </c>
      <c r="N10" s="3" t="s">
        <v>59</v>
      </c>
      <c r="O10" s="3" t="s">
        <v>60</v>
      </c>
      <c r="P10" s="42">
        <v>42742</v>
      </c>
      <c r="Q10" s="34" t="s">
        <v>2136</v>
      </c>
      <c r="R10" s="34">
        <f>IFERROR(INDEX(QUALIDADE,MATCH(tblVIRARAM_PESQUISA[[#This Row],[CASE ID]],PROTOCOLO_PESQUISAS,0),MATCH(tblVIRARAM_PESQUISA[[#Headers],[Q2 - Problem Resolved]],QUALIDADE_CAB,0)), "-")</f>
        <v>1</v>
      </c>
      <c r="S10" s="34">
        <f>IFERROR(INDEX(QUALIDADE,MATCH(tblVIRARAM_PESQUISA[[#This Row],[CASE ID]],PROTOCOLO_PESQUISAS,0),MATCH(tblVIRARAM_PESQUISA[[#Headers],[Q3 - First Time Fix]],QUALIDADE_CAB,0)), "-")</f>
        <v>1</v>
      </c>
      <c r="T10" s="34">
        <f>IFERROR(INDEX(QUALIDADE,MATCH(tblVIRARAM_PESQUISA[[#This Row],[CASE ID]],PROTOCOLO_PESQUISAS,0),MATCH(tblVIRARAM_PESQUISA[[#Headers],[Promoters]],QUALIDADE_CAB,0)), "-")</f>
        <v>1</v>
      </c>
      <c r="U10" s="34">
        <f>IFERROR(INDEX(QUALIDADE,MATCH(tblVIRARAM_PESQUISA[[#This Row],[CASE ID]],PROTOCOLO_PESQUISAS,0),MATCH(tblVIRARAM_PESQUISA[[#Headers],[Detractors]],QUALIDADE_CAB,0)), "-")</f>
        <v>0</v>
      </c>
    </row>
    <row r="11" spans="1:21">
      <c r="A11" s="3">
        <v>3035469853</v>
      </c>
      <c r="B11" s="3" t="s">
        <v>500</v>
      </c>
      <c r="C11" s="90">
        <v>42739.73704378472</v>
      </c>
      <c r="D11" s="33">
        <v>42741.73704378472</v>
      </c>
      <c r="E11" s="3" t="s">
        <v>11</v>
      </c>
      <c r="F11" s="3" t="s">
        <v>11</v>
      </c>
      <c r="G11" s="3" t="s">
        <v>301</v>
      </c>
      <c r="H11" s="3" t="s">
        <v>9</v>
      </c>
      <c r="I11" s="3" t="s">
        <v>811</v>
      </c>
      <c r="J11" s="3" t="s">
        <v>304</v>
      </c>
      <c r="K11" s="3" t="s">
        <v>1561</v>
      </c>
      <c r="L11" s="44">
        <v>42742.499305555553</v>
      </c>
      <c r="M11" s="3" t="s">
        <v>866</v>
      </c>
      <c r="N11" s="3" t="s">
        <v>59</v>
      </c>
      <c r="O11" s="3" t="s">
        <v>60</v>
      </c>
      <c r="P11" s="42">
        <v>42742</v>
      </c>
      <c r="Q11" s="34" t="s">
        <v>2136</v>
      </c>
      <c r="R11" s="34">
        <f>IFERROR(INDEX(QUALIDADE,MATCH(tblVIRARAM_PESQUISA[[#This Row],[CASE ID]],PROTOCOLO_PESQUISAS,0),MATCH(tblVIRARAM_PESQUISA[[#Headers],[Q2 - Problem Resolved]],QUALIDADE_CAB,0)), "-")</f>
        <v>1</v>
      </c>
      <c r="S11" s="34">
        <f>IFERROR(INDEX(QUALIDADE,MATCH(tblVIRARAM_PESQUISA[[#This Row],[CASE ID]],PROTOCOLO_PESQUISAS,0),MATCH(tblVIRARAM_PESQUISA[[#Headers],[Q3 - First Time Fix]],QUALIDADE_CAB,0)), "-")</f>
        <v>1</v>
      </c>
      <c r="T11" s="34">
        <f>IFERROR(INDEX(QUALIDADE,MATCH(tblVIRARAM_PESQUISA[[#This Row],[CASE ID]],PROTOCOLO_PESQUISAS,0),MATCH(tblVIRARAM_PESQUISA[[#Headers],[Promoters]],QUALIDADE_CAB,0)), "-")</f>
        <v>1</v>
      </c>
      <c r="U11" s="34">
        <f>IFERROR(INDEX(QUALIDADE,MATCH(tblVIRARAM_PESQUISA[[#This Row],[CASE ID]],PROTOCOLO_PESQUISAS,0),MATCH(tblVIRARAM_PESQUISA[[#Headers],[Detractors]],QUALIDADE_CAB,0)), "-")</f>
        <v>0</v>
      </c>
    </row>
    <row r="12" spans="1:21">
      <c r="A12" s="3">
        <v>3035482677</v>
      </c>
      <c r="B12" s="3" t="s">
        <v>500</v>
      </c>
      <c r="C12" s="90">
        <v>42739.73704378472</v>
      </c>
      <c r="D12" s="33">
        <v>42741.73704378472</v>
      </c>
      <c r="E12" s="3" t="s">
        <v>1288</v>
      </c>
      <c r="F12" s="3" t="s">
        <v>1288</v>
      </c>
      <c r="G12" s="3" t="s">
        <v>301</v>
      </c>
      <c r="H12" s="3" t="s">
        <v>31</v>
      </c>
      <c r="I12" s="3" t="s">
        <v>811</v>
      </c>
      <c r="J12" s="3" t="s">
        <v>303</v>
      </c>
      <c r="K12" s="3" t="s">
        <v>1566</v>
      </c>
      <c r="L12" s="44">
        <v>42742.513888888891</v>
      </c>
      <c r="M12" s="3" t="s">
        <v>871</v>
      </c>
      <c r="N12" s="3" t="s">
        <v>84</v>
      </c>
      <c r="O12" s="3" t="s">
        <v>85</v>
      </c>
      <c r="P12" s="42">
        <v>42742</v>
      </c>
      <c r="Q12" s="34" t="s">
        <v>2136</v>
      </c>
      <c r="R12" s="34">
        <f>IFERROR(INDEX(QUALIDADE,MATCH(tblVIRARAM_PESQUISA[[#This Row],[CASE ID]],PROTOCOLO_PESQUISAS,0),MATCH(tblVIRARAM_PESQUISA[[#Headers],[Q2 - Problem Resolved]],QUALIDADE_CAB,0)), "-")</f>
        <v>1</v>
      </c>
      <c r="S12" s="34">
        <f>IFERROR(INDEX(QUALIDADE,MATCH(tblVIRARAM_PESQUISA[[#This Row],[CASE ID]],PROTOCOLO_PESQUISAS,0),MATCH(tblVIRARAM_PESQUISA[[#Headers],[Q3 - First Time Fix]],QUALIDADE_CAB,0)), "-")</f>
        <v>2</v>
      </c>
      <c r="T12" s="34">
        <f>IFERROR(INDEX(QUALIDADE,MATCH(tblVIRARAM_PESQUISA[[#This Row],[CASE ID]],PROTOCOLO_PESQUISAS,0),MATCH(tblVIRARAM_PESQUISA[[#Headers],[Promoters]],QUALIDADE_CAB,0)), "-")</f>
        <v>0</v>
      </c>
      <c r="U12" s="34">
        <f>IFERROR(INDEX(QUALIDADE,MATCH(tblVIRARAM_PESQUISA[[#This Row],[CASE ID]],PROTOCOLO_PESQUISAS,0),MATCH(tblVIRARAM_PESQUISA[[#Headers],[Detractors]],QUALIDADE_CAB,0)), "-")</f>
        <v>1</v>
      </c>
    </row>
    <row r="13" spans="1:21">
      <c r="A13" s="3">
        <v>3035365542</v>
      </c>
      <c r="B13" s="3" t="s">
        <v>500</v>
      </c>
      <c r="C13" s="90">
        <v>42739.73704378472</v>
      </c>
      <c r="D13" s="33">
        <v>42741.73704378472</v>
      </c>
      <c r="E13" s="3" t="s">
        <v>29</v>
      </c>
      <c r="F13" s="3" t="s">
        <v>47</v>
      </c>
      <c r="G13" s="3" t="s">
        <v>302</v>
      </c>
      <c r="H13" s="3" t="s">
        <v>23</v>
      </c>
      <c r="I13" s="3" t="s">
        <v>811</v>
      </c>
      <c r="J13" s="3" t="s">
        <v>303</v>
      </c>
      <c r="K13" s="3" t="s">
        <v>1576</v>
      </c>
      <c r="L13" s="44">
        <v>42742.570138888892</v>
      </c>
      <c r="M13" s="3" t="s">
        <v>866</v>
      </c>
      <c r="N13" s="3" t="s">
        <v>70</v>
      </c>
      <c r="O13" s="3" t="s">
        <v>75</v>
      </c>
      <c r="P13" s="42">
        <v>42742</v>
      </c>
      <c r="Q13" s="34" t="s">
        <v>2136</v>
      </c>
      <c r="R13" s="34">
        <f>IFERROR(INDEX(QUALIDADE,MATCH(tblVIRARAM_PESQUISA[[#This Row],[CASE ID]],PROTOCOLO_PESQUISAS,0),MATCH(tblVIRARAM_PESQUISA[[#Headers],[Q2 - Problem Resolved]],QUALIDADE_CAB,0)), "-")</f>
        <v>2</v>
      </c>
      <c r="S13" s="34">
        <f>IFERROR(INDEX(QUALIDADE,MATCH(tblVIRARAM_PESQUISA[[#This Row],[CASE ID]],PROTOCOLO_PESQUISAS,0),MATCH(tblVIRARAM_PESQUISA[[#Headers],[Q3 - First Time Fix]],QUALIDADE_CAB,0)), "-")</f>
        <v>2</v>
      </c>
      <c r="T13" s="34">
        <f>IFERROR(INDEX(QUALIDADE,MATCH(tblVIRARAM_PESQUISA[[#This Row],[CASE ID]],PROTOCOLO_PESQUISAS,0),MATCH(tblVIRARAM_PESQUISA[[#Headers],[Promoters]],QUALIDADE_CAB,0)), "-")</f>
        <v>0</v>
      </c>
      <c r="U13" s="34">
        <f>IFERROR(INDEX(QUALIDADE,MATCH(tblVIRARAM_PESQUISA[[#This Row],[CASE ID]],PROTOCOLO_PESQUISAS,0),MATCH(tblVIRARAM_PESQUISA[[#Headers],[Detractors]],QUALIDADE_CAB,0)), "-")</f>
        <v>1</v>
      </c>
    </row>
    <row r="14" spans="1:21">
      <c r="A14" s="3">
        <v>3035482880</v>
      </c>
      <c r="B14" s="3" t="s">
        <v>500</v>
      </c>
      <c r="C14" s="90">
        <v>42739.73704378472</v>
      </c>
      <c r="D14" s="33">
        <v>42741.73704378472</v>
      </c>
      <c r="E14" s="3" t="s">
        <v>30</v>
      </c>
      <c r="F14" s="3" t="s">
        <v>30</v>
      </c>
      <c r="G14" s="3" t="s">
        <v>301</v>
      </c>
      <c r="H14" s="3" t="s">
        <v>23</v>
      </c>
      <c r="I14" s="3" t="s">
        <v>811</v>
      </c>
      <c r="J14" s="3" t="s">
        <v>303</v>
      </c>
      <c r="K14" s="3" t="s">
        <v>1578</v>
      </c>
      <c r="L14" s="44">
        <v>42742.57708333333</v>
      </c>
      <c r="M14" s="3" t="s">
        <v>866</v>
      </c>
      <c r="N14" s="3" t="s">
        <v>59</v>
      </c>
      <c r="O14" s="3" t="s">
        <v>60</v>
      </c>
      <c r="P14" s="42">
        <v>42743</v>
      </c>
      <c r="Q14" s="34" t="s">
        <v>841</v>
      </c>
      <c r="R14" s="34">
        <f>IFERROR(INDEX(QUALIDADE,MATCH(tblVIRARAM_PESQUISA[[#This Row],[CASE ID]],PROTOCOLO_PESQUISAS,0),MATCH(tblVIRARAM_PESQUISA[[#Headers],[Q2 - Problem Resolved]],QUALIDADE_CAB,0)), "-")</f>
        <v>1</v>
      </c>
      <c r="S14" s="34">
        <f>IFERROR(INDEX(QUALIDADE,MATCH(tblVIRARAM_PESQUISA[[#This Row],[CASE ID]],PROTOCOLO_PESQUISAS,0),MATCH(tblVIRARAM_PESQUISA[[#Headers],[Q3 - First Time Fix]],QUALIDADE_CAB,0)), "-")</f>
        <v>1</v>
      </c>
      <c r="T14" s="34">
        <f>IFERROR(INDEX(QUALIDADE,MATCH(tblVIRARAM_PESQUISA[[#This Row],[CASE ID]],PROTOCOLO_PESQUISAS,0),MATCH(tblVIRARAM_PESQUISA[[#Headers],[Promoters]],QUALIDADE_CAB,0)), "-")</f>
        <v>1</v>
      </c>
      <c r="U14" s="34">
        <f>IFERROR(INDEX(QUALIDADE,MATCH(tblVIRARAM_PESQUISA[[#This Row],[CASE ID]],PROTOCOLO_PESQUISAS,0),MATCH(tblVIRARAM_PESQUISA[[#Headers],[Detractors]],QUALIDADE_CAB,0)), "-")</f>
        <v>0</v>
      </c>
    </row>
    <row r="15" spans="1:21">
      <c r="A15" s="3">
        <v>3035472073</v>
      </c>
      <c r="B15" s="3" t="s">
        <v>500</v>
      </c>
      <c r="C15" s="90">
        <v>42739.73704378472</v>
      </c>
      <c r="D15" s="33">
        <v>42741.73704378472</v>
      </c>
      <c r="E15" s="3" t="s">
        <v>13</v>
      </c>
      <c r="F15" s="3" t="s">
        <v>13</v>
      </c>
      <c r="G15" s="3" t="s">
        <v>301</v>
      </c>
      <c r="H15" s="3" t="s">
        <v>9</v>
      </c>
      <c r="I15" s="3" t="s">
        <v>811</v>
      </c>
      <c r="J15" s="3" t="s">
        <v>303</v>
      </c>
      <c r="K15" s="3" t="s">
        <v>939</v>
      </c>
      <c r="L15" s="44">
        <v>42742.599305555559</v>
      </c>
      <c r="M15" s="3" t="s">
        <v>866</v>
      </c>
      <c r="N15" s="3" t="s">
        <v>59</v>
      </c>
      <c r="O15" s="3" t="s">
        <v>60</v>
      </c>
      <c r="P15" s="42">
        <v>42742</v>
      </c>
      <c r="Q15" s="34" t="s">
        <v>2136</v>
      </c>
      <c r="R15" s="34">
        <f>IFERROR(INDEX(QUALIDADE,MATCH(tblVIRARAM_PESQUISA[[#This Row],[CASE ID]],PROTOCOLO_PESQUISAS,0),MATCH(tblVIRARAM_PESQUISA[[#Headers],[Q2 - Problem Resolved]],QUALIDADE_CAB,0)), "-")</f>
        <v>1</v>
      </c>
      <c r="S15" s="34">
        <f>IFERROR(INDEX(QUALIDADE,MATCH(tblVIRARAM_PESQUISA[[#This Row],[CASE ID]],PROTOCOLO_PESQUISAS,0),MATCH(tblVIRARAM_PESQUISA[[#Headers],[Q3 - First Time Fix]],QUALIDADE_CAB,0)), "-")</f>
        <v>1</v>
      </c>
      <c r="T15" s="34">
        <f>IFERROR(INDEX(QUALIDADE,MATCH(tblVIRARAM_PESQUISA[[#This Row],[CASE ID]],PROTOCOLO_PESQUISAS,0),MATCH(tblVIRARAM_PESQUISA[[#Headers],[Promoters]],QUALIDADE_CAB,0)), "-")</f>
        <v>1</v>
      </c>
      <c r="U15" s="34">
        <f>IFERROR(INDEX(QUALIDADE,MATCH(tblVIRARAM_PESQUISA[[#This Row],[CASE ID]],PROTOCOLO_PESQUISAS,0),MATCH(tblVIRARAM_PESQUISA[[#Headers],[Detractors]],QUALIDADE_CAB,0)), "-")</f>
        <v>0</v>
      </c>
    </row>
    <row r="16" spans="1:21">
      <c r="A16" s="3">
        <v>3035262799</v>
      </c>
      <c r="B16" s="3" t="s">
        <v>500</v>
      </c>
      <c r="C16" s="90">
        <v>42737.737638969906</v>
      </c>
      <c r="D16" s="33">
        <v>42739.737638969906</v>
      </c>
      <c r="E16" s="3" t="s">
        <v>54</v>
      </c>
      <c r="F16" s="3" t="s">
        <v>21</v>
      </c>
      <c r="G16" s="3" t="s">
        <v>302</v>
      </c>
      <c r="H16" s="3" t="s">
        <v>273</v>
      </c>
      <c r="I16" s="3" t="s">
        <v>817</v>
      </c>
      <c r="J16" s="3" t="s">
        <v>304</v>
      </c>
      <c r="K16" s="3" t="s">
        <v>307</v>
      </c>
      <c r="L16" s="44">
        <v>42740</v>
      </c>
      <c r="M16" s="3" t="s">
        <v>59</v>
      </c>
      <c r="N16" s="3" t="s">
        <v>60</v>
      </c>
      <c r="O16" s="3" t="s">
        <v>147</v>
      </c>
      <c r="P16" s="42">
        <v>42740</v>
      </c>
      <c r="Q16" s="34" t="s">
        <v>2137</v>
      </c>
      <c r="R16" s="34">
        <f>IFERROR(INDEX(QUALIDADE,MATCH(tblVIRARAM_PESQUISA[[#This Row],[CASE ID]],PROTOCOLO_PESQUISAS,0),MATCH(tblVIRARAM_PESQUISA[[#Headers],[Q2 - Problem Resolved]],QUALIDADE_CAB,0)), "-")</f>
        <v>1</v>
      </c>
      <c r="S16" s="34">
        <f>IFERROR(INDEX(QUALIDADE,MATCH(tblVIRARAM_PESQUISA[[#This Row],[CASE ID]],PROTOCOLO_PESQUISAS,0),MATCH(tblVIRARAM_PESQUISA[[#Headers],[Q3 - First Time Fix]],QUALIDADE_CAB,0)), "-")</f>
        <v>1</v>
      </c>
      <c r="T16" s="34">
        <f>IFERROR(INDEX(QUALIDADE,MATCH(tblVIRARAM_PESQUISA[[#This Row],[CASE ID]],PROTOCOLO_PESQUISAS,0),MATCH(tblVIRARAM_PESQUISA[[#Headers],[Promoters]],QUALIDADE_CAB,0)), "-")</f>
        <v>1</v>
      </c>
      <c r="U16" s="34">
        <f>IFERROR(INDEX(QUALIDADE,MATCH(tblVIRARAM_PESQUISA[[#This Row],[CASE ID]],PROTOCOLO_PESQUISAS,0),MATCH(tblVIRARAM_PESQUISA[[#Headers],[Detractors]],QUALIDADE_CAB,0)), "-")</f>
        <v>0</v>
      </c>
    </row>
    <row r="17" spans="1:21">
      <c r="A17" s="3">
        <v>3035232141</v>
      </c>
      <c r="B17" s="3" t="s">
        <v>500</v>
      </c>
      <c r="C17" s="90">
        <v>42737.737638969906</v>
      </c>
      <c r="D17" s="33">
        <v>42739.737638969906</v>
      </c>
      <c r="E17" s="3" t="s">
        <v>593</v>
      </c>
      <c r="F17" s="3" t="s">
        <v>21</v>
      </c>
      <c r="G17" s="3" t="s">
        <v>302</v>
      </c>
      <c r="H17" s="3" t="s">
        <v>273</v>
      </c>
      <c r="I17" s="3" t="s">
        <v>817</v>
      </c>
      <c r="J17" s="3" t="s">
        <v>303</v>
      </c>
      <c r="K17" s="3" t="s">
        <v>305</v>
      </c>
      <c r="L17" s="44">
        <v>42740</v>
      </c>
      <c r="M17" s="3" t="s">
        <v>84</v>
      </c>
      <c r="N17" s="3" t="s">
        <v>85</v>
      </c>
      <c r="O17" s="3" t="s">
        <v>86</v>
      </c>
      <c r="P17" s="42">
        <v>42740</v>
      </c>
      <c r="Q17" s="34" t="s">
        <v>2137</v>
      </c>
      <c r="R17" s="34">
        <f>IFERROR(INDEX(QUALIDADE,MATCH(tblVIRARAM_PESQUISA[[#This Row],[CASE ID]],PROTOCOLO_PESQUISAS,0),MATCH(tblVIRARAM_PESQUISA[[#Headers],[Q2 - Problem Resolved]],QUALIDADE_CAB,0)), "-")</f>
        <v>1</v>
      </c>
      <c r="S17" s="34">
        <f>IFERROR(INDEX(QUALIDADE,MATCH(tblVIRARAM_PESQUISA[[#This Row],[CASE ID]],PROTOCOLO_PESQUISAS,0),MATCH(tblVIRARAM_PESQUISA[[#Headers],[Q3 - First Time Fix]],QUALIDADE_CAB,0)), "-")</f>
        <v>1</v>
      </c>
      <c r="T17" s="34">
        <f>IFERROR(INDEX(QUALIDADE,MATCH(tblVIRARAM_PESQUISA[[#This Row],[CASE ID]],PROTOCOLO_PESQUISAS,0),MATCH(tblVIRARAM_PESQUISA[[#Headers],[Promoters]],QUALIDADE_CAB,0)), "-")</f>
        <v>1</v>
      </c>
      <c r="U17" s="34">
        <f>IFERROR(INDEX(QUALIDADE,MATCH(tblVIRARAM_PESQUISA[[#This Row],[CASE ID]],PROTOCOLO_PESQUISAS,0),MATCH(tblVIRARAM_PESQUISA[[#Headers],[Detractors]],QUALIDADE_CAB,0)), "-")</f>
        <v>0</v>
      </c>
    </row>
    <row r="18" spans="1:21">
      <c r="A18" s="3">
        <v>3035410733</v>
      </c>
      <c r="B18" s="3" t="s">
        <v>500</v>
      </c>
      <c r="C18" s="90">
        <v>42737.737638969906</v>
      </c>
      <c r="D18" s="33">
        <v>42739.737638969906</v>
      </c>
      <c r="E18" s="3" t="s">
        <v>861</v>
      </c>
      <c r="F18" s="3" t="s">
        <v>861</v>
      </c>
      <c r="G18" s="3" t="s">
        <v>301</v>
      </c>
      <c r="H18" s="3" t="s">
        <v>31</v>
      </c>
      <c r="I18" s="3" t="s">
        <v>817</v>
      </c>
      <c r="J18" s="3" t="s">
        <v>304</v>
      </c>
      <c r="K18" s="3" t="s">
        <v>1531</v>
      </c>
      <c r="L18" s="44">
        <v>42740</v>
      </c>
      <c r="M18" s="3" t="s">
        <v>84</v>
      </c>
      <c r="N18" s="3" t="s">
        <v>85</v>
      </c>
      <c r="O18" s="3" t="s">
        <v>86</v>
      </c>
      <c r="P18" s="42">
        <v>42742</v>
      </c>
      <c r="Q18" s="34" t="s">
        <v>2136</v>
      </c>
      <c r="R18" s="34">
        <f>IFERROR(INDEX(QUALIDADE,MATCH(tblVIRARAM_PESQUISA[[#This Row],[CASE ID]],PROTOCOLO_PESQUISAS,0),MATCH(tblVIRARAM_PESQUISA[[#Headers],[Q2 - Problem Resolved]],QUALIDADE_CAB,0)), "-")</f>
        <v>1</v>
      </c>
      <c r="S18" s="34">
        <f>IFERROR(INDEX(QUALIDADE,MATCH(tblVIRARAM_PESQUISA[[#This Row],[CASE ID]],PROTOCOLO_PESQUISAS,0),MATCH(tblVIRARAM_PESQUISA[[#Headers],[Q3 - First Time Fix]],QUALIDADE_CAB,0)), "-")</f>
        <v>1</v>
      </c>
      <c r="T18" s="34">
        <f>IFERROR(INDEX(QUALIDADE,MATCH(tblVIRARAM_PESQUISA[[#This Row],[CASE ID]],PROTOCOLO_PESQUISAS,0),MATCH(tblVIRARAM_PESQUISA[[#Headers],[Promoters]],QUALIDADE_CAB,0)), "-")</f>
        <v>1</v>
      </c>
      <c r="U18" s="34">
        <f>IFERROR(INDEX(QUALIDADE,MATCH(tblVIRARAM_PESQUISA[[#This Row],[CASE ID]],PROTOCOLO_PESQUISAS,0),MATCH(tblVIRARAM_PESQUISA[[#Headers],[Detractors]],QUALIDADE_CAB,0)), "-")</f>
        <v>0</v>
      </c>
    </row>
    <row r="19" spans="1:21">
      <c r="A19" s="3">
        <v>3035405901</v>
      </c>
      <c r="B19" s="3" t="s">
        <v>500</v>
      </c>
      <c r="C19" s="90">
        <v>42737.737638969906</v>
      </c>
      <c r="D19" s="33">
        <v>42739.737638969906</v>
      </c>
      <c r="E19" s="3" t="s">
        <v>54</v>
      </c>
      <c r="F19" s="3" t="s">
        <v>54</v>
      </c>
      <c r="G19" s="3" t="s">
        <v>301</v>
      </c>
      <c r="H19" s="3" t="s">
        <v>273</v>
      </c>
      <c r="I19" s="3" t="s">
        <v>817</v>
      </c>
      <c r="J19" s="3" t="s">
        <v>304</v>
      </c>
      <c r="K19" s="3" t="s">
        <v>307</v>
      </c>
      <c r="L19" s="44">
        <v>42740</v>
      </c>
      <c r="M19" s="3" t="s">
        <v>59</v>
      </c>
      <c r="N19" s="3" t="s">
        <v>60</v>
      </c>
      <c r="O19" s="3" t="s">
        <v>147</v>
      </c>
      <c r="P19" s="42">
        <v>42740</v>
      </c>
      <c r="Q19" s="34" t="s">
        <v>2137</v>
      </c>
      <c r="R19" s="34">
        <f>IFERROR(INDEX(QUALIDADE,MATCH(tblVIRARAM_PESQUISA[[#This Row],[CASE ID]],PROTOCOLO_PESQUISAS,0),MATCH(tblVIRARAM_PESQUISA[[#Headers],[Q2 - Problem Resolved]],QUALIDADE_CAB,0)), "-")</f>
        <v>1</v>
      </c>
      <c r="S19" s="34">
        <f>IFERROR(INDEX(QUALIDADE,MATCH(tblVIRARAM_PESQUISA[[#This Row],[CASE ID]],PROTOCOLO_PESQUISAS,0),MATCH(tblVIRARAM_PESQUISA[[#Headers],[Q3 - First Time Fix]],QUALIDADE_CAB,0)), "-")</f>
        <v>1</v>
      </c>
      <c r="T19" s="34">
        <f>IFERROR(INDEX(QUALIDADE,MATCH(tblVIRARAM_PESQUISA[[#This Row],[CASE ID]],PROTOCOLO_PESQUISAS,0),MATCH(tblVIRARAM_PESQUISA[[#Headers],[Promoters]],QUALIDADE_CAB,0)), "-")</f>
        <v>1</v>
      </c>
      <c r="U19" s="34">
        <f>IFERROR(INDEX(QUALIDADE,MATCH(tblVIRARAM_PESQUISA[[#This Row],[CASE ID]],PROTOCOLO_PESQUISAS,0),MATCH(tblVIRARAM_PESQUISA[[#Headers],[Detractors]],QUALIDADE_CAB,0)), "-")</f>
        <v>0</v>
      </c>
    </row>
    <row r="20" spans="1:21">
      <c r="A20" s="3">
        <v>3035399057</v>
      </c>
      <c r="B20" s="3" t="s">
        <v>500</v>
      </c>
      <c r="C20" s="90">
        <v>42737.737638969906</v>
      </c>
      <c r="D20" s="33">
        <v>42739.737638969906</v>
      </c>
      <c r="E20" s="3" t="s">
        <v>17</v>
      </c>
      <c r="F20" s="3" t="s">
        <v>17</v>
      </c>
      <c r="G20" s="3" t="s">
        <v>301</v>
      </c>
      <c r="H20" s="3" t="s">
        <v>9</v>
      </c>
      <c r="I20" s="3" t="s">
        <v>817</v>
      </c>
      <c r="J20" s="3" t="s">
        <v>304</v>
      </c>
      <c r="K20" s="3" t="s">
        <v>306</v>
      </c>
      <c r="L20" s="44">
        <v>42740</v>
      </c>
      <c r="M20" s="3">
        <v>0</v>
      </c>
      <c r="N20" s="3">
        <v>0</v>
      </c>
      <c r="O20" s="3" t="s">
        <v>1219</v>
      </c>
      <c r="P20" s="42">
        <v>42740</v>
      </c>
      <c r="Q20" s="34" t="s">
        <v>2137</v>
      </c>
      <c r="R20" s="34">
        <f>IFERROR(INDEX(QUALIDADE,MATCH(tblVIRARAM_PESQUISA[[#This Row],[CASE ID]],PROTOCOLO_PESQUISAS,0),MATCH(tblVIRARAM_PESQUISA[[#Headers],[Q2 - Problem Resolved]],QUALIDADE_CAB,0)), "-")</f>
        <v>1</v>
      </c>
      <c r="S20" s="34">
        <f>IFERROR(INDEX(QUALIDADE,MATCH(tblVIRARAM_PESQUISA[[#This Row],[CASE ID]],PROTOCOLO_PESQUISAS,0),MATCH(tblVIRARAM_PESQUISA[[#Headers],[Q3 - First Time Fix]],QUALIDADE_CAB,0)), "-")</f>
        <v>1</v>
      </c>
      <c r="T20" s="34">
        <f>IFERROR(INDEX(QUALIDADE,MATCH(tblVIRARAM_PESQUISA[[#This Row],[CASE ID]],PROTOCOLO_PESQUISAS,0),MATCH(tblVIRARAM_PESQUISA[[#Headers],[Promoters]],QUALIDADE_CAB,0)), "-")</f>
        <v>0</v>
      </c>
      <c r="U20" s="34">
        <f>IFERROR(INDEX(QUALIDADE,MATCH(tblVIRARAM_PESQUISA[[#This Row],[CASE ID]],PROTOCOLO_PESQUISAS,0),MATCH(tblVIRARAM_PESQUISA[[#Headers],[Detractors]],QUALIDADE_CAB,0)), "-")</f>
        <v>0</v>
      </c>
    </row>
    <row r="21" spans="1:21">
      <c r="A21" s="3">
        <v>3035405137</v>
      </c>
      <c r="B21" s="3" t="s">
        <v>500</v>
      </c>
      <c r="C21" s="90">
        <v>42737.737638969906</v>
      </c>
      <c r="D21" s="33">
        <v>42739.737638969906</v>
      </c>
      <c r="E21" s="3" t="s">
        <v>1525</v>
      </c>
      <c r="F21" s="3" t="s">
        <v>1525</v>
      </c>
      <c r="G21" s="3" t="s">
        <v>301</v>
      </c>
      <c r="H21" s="3" t="s">
        <v>23</v>
      </c>
      <c r="I21" s="3" t="s">
        <v>817</v>
      </c>
      <c r="J21" s="3" t="s">
        <v>304</v>
      </c>
      <c r="K21" s="3" t="s">
        <v>306</v>
      </c>
      <c r="L21" s="44">
        <v>42740</v>
      </c>
      <c r="M21" s="3" t="s">
        <v>59</v>
      </c>
      <c r="N21" s="3" t="s">
        <v>60</v>
      </c>
      <c r="O21" s="3" t="s">
        <v>147</v>
      </c>
      <c r="P21" s="42">
        <v>42740</v>
      </c>
      <c r="Q21" s="34" t="s">
        <v>2137</v>
      </c>
      <c r="R21" s="34">
        <f>IFERROR(INDEX(QUALIDADE,MATCH(tblVIRARAM_PESQUISA[[#This Row],[CASE ID]],PROTOCOLO_PESQUISAS,0),MATCH(tblVIRARAM_PESQUISA[[#Headers],[Q2 - Problem Resolved]],QUALIDADE_CAB,0)), "-")</f>
        <v>1</v>
      </c>
      <c r="S21" s="34">
        <f>IFERROR(INDEX(QUALIDADE,MATCH(tblVIRARAM_PESQUISA[[#This Row],[CASE ID]],PROTOCOLO_PESQUISAS,0),MATCH(tblVIRARAM_PESQUISA[[#Headers],[Q3 - First Time Fix]],QUALIDADE_CAB,0)), "-")</f>
        <v>1</v>
      </c>
      <c r="T21" s="34">
        <f>IFERROR(INDEX(QUALIDADE,MATCH(tblVIRARAM_PESQUISA[[#This Row],[CASE ID]],PROTOCOLO_PESQUISAS,0),MATCH(tblVIRARAM_PESQUISA[[#Headers],[Promoters]],QUALIDADE_CAB,0)), "-")</f>
        <v>1</v>
      </c>
      <c r="U21" s="34">
        <f>IFERROR(INDEX(QUALIDADE,MATCH(tblVIRARAM_PESQUISA[[#This Row],[CASE ID]],PROTOCOLO_PESQUISAS,0),MATCH(tblVIRARAM_PESQUISA[[#Headers],[Detractors]],QUALIDADE_CAB,0)), "-")</f>
        <v>0</v>
      </c>
    </row>
    <row r="22" spans="1:21">
      <c r="A22" s="3">
        <v>3035408716</v>
      </c>
      <c r="B22" s="3" t="s">
        <v>500</v>
      </c>
      <c r="C22" s="90">
        <v>42737.737638969906</v>
      </c>
      <c r="D22" s="33">
        <v>42739.737638969906</v>
      </c>
      <c r="E22" s="3" t="s">
        <v>16</v>
      </c>
      <c r="F22" s="3" t="s">
        <v>16</v>
      </c>
      <c r="G22" s="3" t="s">
        <v>301</v>
      </c>
      <c r="H22" s="3" t="s">
        <v>9</v>
      </c>
      <c r="I22" s="3" t="s">
        <v>817</v>
      </c>
      <c r="J22" s="3" t="s">
        <v>304</v>
      </c>
      <c r="K22" s="3" t="s">
        <v>1380</v>
      </c>
      <c r="L22" s="44">
        <v>42740</v>
      </c>
      <c r="M22" s="3" t="s">
        <v>84</v>
      </c>
      <c r="N22" s="3" t="s">
        <v>85</v>
      </c>
      <c r="O22" s="3" t="s">
        <v>233</v>
      </c>
      <c r="P22" s="42">
        <v>42740</v>
      </c>
      <c r="Q22" s="34" t="s">
        <v>2137</v>
      </c>
      <c r="R22" s="34">
        <f>IFERROR(INDEX(QUALIDADE,MATCH(tblVIRARAM_PESQUISA[[#This Row],[CASE ID]],PROTOCOLO_PESQUISAS,0),MATCH(tblVIRARAM_PESQUISA[[#Headers],[Q2 - Problem Resolved]],QUALIDADE_CAB,0)), "-")</f>
        <v>1</v>
      </c>
      <c r="S22" s="34">
        <f>IFERROR(INDEX(QUALIDADE,MATCH(tblVIRARAM_PESQUISA[[#This Row],[CASE ID]],PROTOCOLO_PESQUISAS,0),MATCH(tblVIRARAM_PESQUISA[[#Headers],[Q3 - First Time Fix]],QUALIDADE_CAB,0)), "-")</f>
        <v>1</v>
      </c>
      <c r="T22" s="34">
        <f>IFERROR(INDEX(QUALIDADE,MATCH(tblVIRARAM_PESQUISA[[#This Row],[CASE ID]],PROTOCOLO_PESQUISAS,0),MATCH(tblVIRARAM_PESQUISA[[#Headers],[Promoters]],QUALIDADE_CAB,0)), "-")</f>
        <v>1</v>
      </c>
      <c r="U22" s="34">
        <f>IFERROR(INDEX(QUALIDADE,MATCH(tblVIRARAM_PESQUISA[[#This Row],[CASE ID]],PROTOCOLO_PESQUISAS,0),MATCH(tblVIRARAM_PESQUISA[[#Headers],[Detractors]],QUALIDADE_CAB,0)), "-")</f>
        <v>0</v>
      </c>
    </row>
    <row r="23" spans="1:21">
      <c r="A23" s="3">
        <v>3035414842</v>
      </c>
      <c r="B23" s="3" t="s">
        <v>500</v>
      </c>
      <c r="C23" s="90">
        <v>42737.737638969906</v>
      </c>
      <c r="D23" s="33">
        <v>42739.737638969906</v>
      </c>
      <c r="E23" s="3" t="s">
        <v>1525</v>
      </c>
      <c r="F23" s="3" t="s">
        <v>1525</v>
      </c>
      <c r="G23" s="3" t="s">
        <v>301</v>
      </c>
      <c r="H23" s="3" t="s">
        <v>23</v>
      </c>
      <c r="I23" s="3" t="s">
        <v>817</v>
      </c>
      <c r="J23" s="3" t="s">
        <v>304</v>
      </c>
      <c r="K23" s="3" t="s">
        <v>306</v>
      </c>
      <c r="L23" s="44">
        <v>42740</v>
      </c>
      <c r="M23" s="3" t="s">
        <v>308</v>
      </c>
      <c r="N23" s="3" t="s">
        <v>256</v>
      </c>
      <c r="O23" s="3" t="s">
        <v>256</v>
      </c>
      <c r="P23" s="42">
        <v>42740</v>
      </c>
      <c r="Q23" s="34" t="s">
        <v>2137</v>
      </c>
      <c r="R23" s="34">
        <f>IFERROR(INDEX(QUALIDADE,MATCH(tblVIRARAM_PESQUISA[[#This Row],[CASE ID]],PROTOCOLO_PESQUISAS,0),MATCH(tblVIRARAM_PESQUISA[[#Headers],[Q2 - Problem Resolved]],QUALIDADE_CAB,0)), "-")</f>
        <v>1</v>
      </c>
      <c r="S23" s="34">
        <f>IFERROR(INDEX(QUALIDADE,MATCH(tblVIRARAM_PESQUISA[[#This Row],[CASE ID]],PROTOCOLO_PESQUISAS,0),MATCH(tblVIRARAM_PESQUISA[[#Headers],[Q3 - First Time Fix]],QUALIDADE_CAB,0)), "-")</f>
        <v>1</v>
      </c>
      <c r="T23" s="34">
        <f>IFERROR(INDEX(QUALIDADE,MATCH(tblVIRARAM_PESQUISA[[#This Row],[CASE ID]],PROTOCOLO_PESQUISAS,0),MATCH(tblVIRARAM_PESQUISA[[#Headers],[Promoters]],QUALIDADE_CAB,0)), "-")</f>
        <v>1</v>
      </c>
      <c r="U23" s="34">
        <f>IFERROR(INDEX(QUALIDADE,MATCH(tblVIRARAM_PESQUISA[[#This Row],[CASE ID]],PROTOCOLO_PESQUISAS,0),MATCH(tblVIRARAM_PESQUISA[[#Headers],[Detractors]],QUALIDADE_CAB,0)), "-")</f>
        <v>0</v>
      </c>
    </row>
    <row r="24" spans="1:21">
      <c r="A24" s="3">
        <v>3035406119</v>
      </c>
      <c r="B24" s="3" t="s">
        <v>500</v>
      </c>
      <c r="C24" s="90">
        <v>42737.737638969906</v>
      </c>
      <c r="D24" s="33">
        <v>42739.737638969906</v>
      </c>
      <c r="E24" s="3" t="s">
        <v>861</v>
      </c>
      <c r="F24" s="3" t="s">
        <v>861</v>
      </c>
      <c r="G24" s="3" t="s">
        <v>301</v>
      </c>
      <c r="H24" s="3" t="s">
        <v>31</v>
      </c>
      <c r="I24" s="3" t="s">
        <v>817</v>
      </c>
      <c r="J24" s="3" t="s">
        <v>304</v>
      </c>
      <c r="K24" s="3" t="s">
        <v>307</v>
      </c>
      <c r="L24" s="44">
        <v>42740</v>
      </c>
      <c r="M24" s="3" t="s">
        <v>308</v>
      </c>
      <c r="N24" s="3" t="s">
        <v>256</v>
      </c>
      <c r="O24" s="3" t="s">
        <v>256</v>
      </c>
      <c r="P24" s="42">
        <v>42741</v>
      </c>
      <c r="Q24" s="34" t="s">
        <v>2138</v>
      </c>
      <c r="R24" s="34">
        <f>IFERROR(INDEX(QUALIDADE,MATCH(tblVIRARAM_PESQUISA[[#This Row],[CASE ID]],PROTOCOLO_PESQUISAS,0),MATCH(tblVIRARAM_PESQUISA[[#Headers],[Q2 - Problem Resolved]],QUALIDADE_CAB,0)), "-")</f>
        <v>1</v>
      </c>
      <c r="S24" s="34">
        <f>IFERROR(INDEX(QUALIDADE,MATCH(tblVIRARAM_PESQUISA[[#This Row],[CASE ID]],PROTOCOLO_PESQUISAS,0),MATCH(tblVIRARAM_PESQUISA[[#Headers],[Q3 - First Time Fix]],QUALIDADE_CAB,0)), "-")</f>
        <v>1</v>
      </c>
      <c r="T24" s="34">
        <f>IFERROR(INDEX(QUALIDADE,MATCH(tblVIRARAM_PESQUISA[[#This Row],[CASE ID]],PROTOCOLO_PESQUISAS,0),MATCH(tblVIRARAM_PESQUISA[[#Headers],[Promoters]],QUALIDADE_CAB,0)), "-")</f>
        <v>0</v>
      </c>
      <c r="U24" s="34">
        <f>IFERROR(INDEX(QUALIDADE,MATCH(tblVIRARAM_PESQUISA[[#This Row],[CASE ID]],PROTOCOLO_PESQUISAS,0),MATCH(tblVIRARAM_PESQUISA[[#Headers],[Detractors]],QUALIDADE_CAB,0)), "-")</f>
        <v>1</v>
      </c>
    </row>
    <row r="25" spans="1:21">
      <c r="A25" s="3">
        <v>3035405386</v>
      </c>
      <c r="B25" s="3" t="s">
        <v>500</v>
      </c>
      <c r="C25" s="90">
        <v>42737.737638969906</v>
      </c>
      <c r="D25" s="33">
        <v>42739.737638969906</v>
      </c>
      <c r="E25" s="3" t="s">
        <v>837</v>
      </c>
      <c r="F25" s="3" t="s">
        <v>837</v>
      </c>
      <c r="G25" s="3" t="s">
        <v>301</v>
      </c>
      <c r="H25" s="3" t="s">
        <v>273</v>
      </c>
      <c r="I25" s="3" t="s">
        <v>817</v>
      </c>
      <c r="J25" s="3" t="s">
        <v>303</v>
      </c>
      <c r="K25" s="3" t="s">
        <v>305</v>
      </c>
      <c r="L25" s="44">
        <v>42740</v>
      </c>
      <c r="M25" s="3" t="s">
        <v>59</v>
      </c>
      <c r="N25" s="3" t="s">
        <v>60</v>
      </c>
      <c r="O25" s="3" t="s">
        <v>147</v>
      </c>
      <c r="P25" s="42">
        <v>42740</v>
      </c>
      <c r="Q25" s="34" t="s">
        <v>2137</v>
      </c>
      <c r="R25" s="34">
        <f>IFERROR(INDEX(QUALIDADE,MATCH(tblVIRARAM_PESQUISA[[#This Row],[CASE ID]],PROTOCOLO_PESQUISAS,0),MATCH(tblVIRARAM_PESQUISA[[#Headers],[Q2 - Problem Resolved]],QUALIDADE_CAB,0)), "-")</f>
        <v>1</v>
      </c>
      <c r="S25" s="34">
        <f>IFERROR(INDEX(QUALIDADE,MATCH(tblVIRARAM_PESQUISA[[#This Row],[CASE ID]],PROTOCOLO_PESQUISAS,0),MATCH(tblVIRARAM_PESQUISA[[#Headers],[Q3 - First Time Fix]],QUALIDADE_CAB,0)), "-")</f>
        <v>1</v>
      </c>
      <c r="T25" s="34">
        <f>IFERROR(INDEX(QUALIDADE,MATCH(tblVIRARAM_PESQUISA[[#This Row],[CASE ID]],PROTOCOLO_PESQUISAS,0),MATCH(tblVIRARAM_PESQUISA[[#Headers],[Promoters]],QUALIDADE_CAB,0)), "-")</f>
        <v>1</v>
      </c>
      <c r="U25" s="34">
        <f>IFERROR(INDEX(QUALIDADE,MATCH(tblVIRARAM_PESQUISA[[#This Row],[CASE ID]],PROTOCOLO_PESQUISAS,0),MATCH(tblVIRARAM_PESQUISA[[#Headers],[Detractors]],QUALIDADE_CAB,0)), "-")</f>
        <v>0</v>
      </c>
    </row>
    <row r="26" spans="1:21">
      <c r="A26" s="3">
        <v>3035234964</v>
      </c>
      <c r="B26" s="3" t="s">
        <v>500</v>
      </c>
      <c r="C26" s="90">
        <v>42737.737638969906</v>
      </c>
      <c r="D26" s="33">
        <v>42739.737638969906</v>
      </c>
      <c r="E26" s="3" t="s">
        <v>54</v>
      </c>
      <c r="F26" s="3" t="s">
        <v>21</v>
      </c>
      <c r="G26" s="3" t="s">
        <v>302</v>
      </c>
      <c r="H26" s="3" t="s">
        <v>273</v>
      </c>
      <c r="I26" s="3" t="s">
        <v>817</v>
      </c>
      <c r="J26" s="3" t="s">
        <v>304</v>
      </c>
      <c r="K26" s="3" t="s">
        <v>307</v>
      </c>
      <c r="L26" s="44">
        <v>42740</v>
      </c>
      <c r="M26" s="3" t="s">
        <v>84</v>
      </c>
      <c r="N26" s="3" t="s">
        <v>85</v>
      </c>
      <c r="O26" s="3" t="s">
        <v>233</v>
      </c>
      <c r="P26" s="42">
        <v>42743</v>
      </c>
      <c r="Q26" s="34" t="s">
        <v>841</v>
      </c>
      <c r="R26" s="34">
        <f>IFERROR(INDEX(QUALIDADE,MATCH(tblVIRARAM_PESQUISA[[#This Row],[CASE ID]],PROTOCOLO_PESQUISAS,0),MATCH(tblVIRARAM_PESQUISA[[#Headers],[Q2 - Problem Resolved]],QUALIDADE_CAB,0)), "-")</f>
        <v>1</v>
      </c>
      <c r="S26" s="34">
        <f>IFERROR(INDEX(QUALIDADE,MATCH(tblVIRARAM_PESQUISA[[#This Row],[CASE ID]],PROTOCOLO_PESQUISAS,0),MATCH(tblVIRARAM_PESQUISA[[#Headers],[Q3 - First Time Fix]],QUALIDADE_CAB,0)), "-")</f>
        <v>2</v>
      </c>
      <c r="T26" s="34">
        <f>IFERROR(INDEX(QUALIDADE,MATCH(tblVIRARAM_PESQUISA[[#This Row],[CASE ID]],PROTOCOLO_PESQUISAS,0),MATCH(tblVIRARAM_PESQUISA[[#Headers],[Promoters]],QUALIDADE_CAB,0)), "-")</f>
        <v>1</v>
      </c>
      <c r="U26" s="34">
        <f>IFERROR(INDEX(QUALIDADE,MATCH(tblVIRARAM_PESQUISA[[#This Row],[CASE ID]],PROTOCOLO_PESQUISAS,0),MATCH(tblVIRARAM_PESQUISA[[#Headers],[Detractors]],QUALIDADE_CAB,0)), "-")</f>
        <v>0</v>
      </c>
    </row>
    <row r="27" spans="1:21">
      <c r="A27" s="3">
        <v>3035234964</v>
      </c>
      <c r="B27" s="3" t="s">
        <v>500</v>
      </c>
      <c r="C27" s="90">
        <v>42737.737638969906</v>
      </c>
      <c r="D27" s="33">
        <v>42739.737638969906</v>
      </c>
      <c r="E27" s="3" t="s">
        <v>25</v>
      </c>
      <c r="F27" s="3" t="s">
        <v>25</v>
      </c>
      <c r="G27" s="3" t="s">
        <v>301</v>
      </c>
      <c r="H27" s="3" t="s">
        <v>23</v>
      </c>
      <c r="I27" s="3" t="s">
        <v>817</v>
      </c>
      <c r="J27" s="3" t="s">
        <v>304</v>
      </c>
      <c r="K27" s="3" t="s">
        <v>307</v>
      </c>
      <c r="L27" s="44">
        <v>42740</v>
      </c>
      <c r="M27" s="3" t="s">
        <v>84</v>
      </c>
      <c r="N27" s="3" t="s">
        <v>85</v>
      </c>
      <c r="O27" s="3" t="s">
        <v>233</v>
      </c>
      <c r="P27" s="42">
        <v>42743</v>
      </c>
      <c r="Q27" s="34" t="s">
        <v>841</v>
      </c>
      <c r="R27" s="34">
        <f>IFERROR(INDEX(QUALIDADE,MATCH(tblVIRARAM_PESQUISA[[#This Row],[CASE ID]],PROTOCOLO_PESQUISAS,0),MATCH(tblVIRARAM_PESQUISA[[#Headers],[Q2 - Problem Resolved]],QUALIDADE_CAB,0)), "-")</f>
        <v>1</v>
      </c>
      <c r="S27" s="34">
        <f>IFERROR(INDEX(QUALIDADE,MATCH(tblVIRARAM_PESQUISA[[#This Row],[CASE ID]],PROTOCOLO_PESQUISAS,0),MATCH(tblVIRARAM_PESQUISA[[#Headers],[Q3 - First Time Fix]],QUALIDADE_CAB,0)), "-")</f>
        <v>2</v>
      </c>
      <c r="T27" s="34">
        <f>IFERROR(INDEX(QUALIDADE,MATCH(tblVIRARAM_PESQUISA[[#This Row],[CASE ID]],PROTOCOLO_PESQUISAS,0),MATCH(tblVIRARAM_PESQUISA[[#Headers],[Promoters]],QUALIDADE_CAB,0)), "-")</f>
        <v>1</v>
      </c>
      <c r="U27" s="34">
        <f>IFERROR(INDEX(QUALIDADE,MATCH(tblVIRARAM_PESQUISA[[#This Row],[CASE ID]],PROTOCOLO_PESQUISAS,0),MATCH(tblVIRARAM_PESQUISA[[#Headers],[Detractors]],QUALIDADE_CAB,0)), "-")</f>
        <v>0</v>
      </c>
    </row>
    <row r="28" spans="1:21">
      <c r="A28" s="3">
        <v>3035167262</v>
      </c>
      <c r="B28" s="3" t="s">
        <v>500</v>
      </c>
      <c r="C28" s="90">
        <v>42737.737638969906</v>
      </c>
      <c r="D28" s="33">
        <v>42739.737638969906</v>
      </c>
      <c r="E28" s="3" t="s">
        <v>54</v>
      </c>
      <c r="F28" s="3" t="s">
        <v>21</v>
      </c>
      <c r="G28" s="3" t="s">
        <v>302</v>
      </c>
      <c r="H28" s="3" t="s">
        <v>273</v>
      </c>
      <c r="I28" s="3" t="s">
        <v>817</v>
      </c>
      <c r="J28" s="3" t="s">
        <v>303</v>
      </c>
      <c r="K28" s="3" t="s">
        <v>1379</v>
      </c>
      <c r="L28" s="44">
        <v>42740</v>
      </c>
      <c r="M28" s="3" t="s">
        <v>59</v>
      </c>
      <c r="N28" s="3" t="s">
        <v>60</v>
      </c>
      <c r="O28" s="3" t="s">
        <v>61</v>
      </c>
      <c r="P28" s="42">
        <v>42741</v>
      </c>
      <c r="Q28" s="34" t="s">
        <v>2138</v>
      </c>
      <c r="R28" s="34">
        <f>IFERROR(INDEX(QUALIDADE,MATCH(tblVIRARAM_PESQUISA[[#This Row],[CASE ID]],PROTOCOLO_PESQUISAS,0),MATCH(tblVIRARAM_PESQUISA[[#Headers],[Q2 - Problem Resolved]],QUALIDADE_CAB,0)), "-")</f>
        <v>1</v>
      </c>
      <c r="S28" s="34">
        <f>IFERROR(INDEX(QUALIDADE,MATCH(tblVIRARAM_PESQUISA[[#This Row],[CASE ID]],PROTOCOLO_PESQUISAS,0),MATCH(tblVIRARAM_PESQUISA[[#Headers],[Q3 - First Time Fix]],QUALIDADE_CAB,0)), "-")</f>
        <v>2</v>
      </c>
      <c r="T28" s="34">
        <f>IFERROR(INDEX(QUALIDADE,MATCH(tblVIRARAM_PESQUISA[[#This Row],[CASE ID]],PROTOCOLO_PESQUISAS,0),MATCH(tblVIRARAM_PESQUISA[[#Headers],[Promoters]],QUALIDADE_CAB,0)), "-")</f>
        <v>0</v>
      </c>
      <c r="U28" s="34">
        <f>IFERROR(INDEX(QUALIDADE,MATCH(tblVIRARAM_PESQUISA[[#This Row],[CASE ID]],PROTOCOLO_PESQUISAS,0),MATCH(tblVIRARAM_PESQUISA[[#Headers],[Detractors]],QUALIDADE_CAB,0)), "-")</f>
        <v>0</v>
      </c>
    </row>
    <row r="29" spans="1:21">
      <c r="A29" s="3">
        <v>3035416685</v>
      </c>
      <c r="B29" s="3" t="s">
        <v>500</v>
      </c>
      <c r="C29" s="90">
        <v>42737.737638969906</v>
      </c>
      <c r="D29" s="33">
        <v>42739.737638969906</v>
      </c>
      <c r="E29" s="3" t="s">
        <v>24</v>
      </c>
      <c r="F29" s="3" t="s">
        <v>24</v>
      </c>
      <c r="G29" s="3" t="s">
        <v>301</v>
      </c>
      <c r="H29" s="3" t="s">
        <v>23</v>
      </c>
      <c r="I29" s="3" t="s">
        <v>817</v>
      </c>
      <c r="J29" s="3" t="s">
        <v>304</v>
      </c>
      <c r="K29" s="3" t="s">
        <v>1529</v>
      </c>
      <c r="L29" s="44">
        <v>42740</v>
      </c>
      <c r="M29" s="3" t="s">
        <v>308</v>
      </c>
      <c r="N29" s="3" t="s">
        <v>256</v>
      </c>
      <c r="O29" s="3" t="s">
        <v>256</v>
      </c>
      <c r="P29" s="42">
        <v>42742</v>
      </c>
      <c r="Q29" s="34" t="s">
        <v>2136</v>
      </c>
      <c r="R29" s="34">
        <f>IFERROR(INDEX(QUALIDADE,MATCH(tblVIRARAM_PESQUISA[[#This Row],[CASE ID]],PROTOCOLO_PESQUISAS,0),MATCH(tblVIRARAM_PESQUISA[[#Headers],[Q2 - Problem Resolved]],QUALIDADE_CAB,0)), "-")</f>
        <v>2</v>
      </c>
      <c r="S29" s="34">
        <f>IFERROR(INDEX(QUALIDADE,MATCH(tblVIRARAM_PESQUISA[[#This Row],[CASE ID]],PROTOCOLO_PESQUISAS,0),MATCH(tblVIRARAM_PESQUISA[[#Headers],[Q3 - First Time Fix]],QUALIDADE_CAB,0)), "-")</f>
        <v>2</v>
      </c>
      <c r="T29" s="34">
        <f>IFERROR(INDEX(QUALIDADE,MATCH(tblVIRARAM_PESQUISA[[#This Row],[CASE ID]],PROTOCOLO_PESQUISAS,0),MATCH(tblVIRARAM_PESQUISA[[#Headers],[Promoters]],QUALIDADE_CAB,0)), "-")</f>
        <v>1</v>
      </c>
      <c r="U29" s="34">
        <f>IFERROR(INDEX(QUALIDADE,MATCH(tblVIRARAM_PESQUISA[[#This Row],[CASE ID]],PROTOCOLO_PESQUISAS,0),MATCH(tblVIRARAM_PESQUISA[[#Headers],[Detractors]],QUALIDADE_CAB,0)), "-")</f>
        <v>0</v>
      </c>
    </row>
    <row r="30" spans="1:21">
      <c r="A30" s="3">
        <v>3035400014</v>
      </c>
      <c r="B30" s="3" t="s">
        <v>500</v>
      </c>
      <c r="C30" s="90">
        <v>42737.737638969906</v>
      </c>
      <c r="D30" s="33">
        <v>42739.737638969906</v>
      </c>
      <c r="E30" s="3" t="s">
        <v>14</v>
      </c>
      <c r="F30" s="3" t="s">
        <v>14</v>
      </c>
      <c r="G30" s="3" t="s">
        <v>301</v>
      </c>
      <c r="H30" s="3" t="s">
        <v>9</v>
      </c>
      <c r="I30" s="3" t="s">
        <v>817</v>
      </c>
      <c r="J30" s="3" t="s">
        <v>304</v>
      </c>
      <c r="K30" s="3" t="s">
        <v>306</v>
      </c>
      <c r="L30" s="44">
        <v>42740</v>
      </c>
      <c r="M30" s="3" t="s">
        <v>84</v>
      </c>
      <c r="N30" s="3" t="s">
        <v>85</v>
      </c>
      <c r="O30" s="3" t="s">
        <v>86</v>
      </c>
      <c r="P30" s="42">
        <v>42740</v>
      </c>
      <c r="Q30" s="34" t="s">
        <v>2137</v>
      </c>
      <c r="R30" s="34">
        <f>IFERROR(INDEX(QUALIDADE,MATCH(tblVIRARAM_PESQUISA[[#This Row],[CASE ID]],PROTOCOLO_PESQUISAS,0),MATCH(tblVIRARAM_PESQUISA[[#Headers],[Q2 - Problem Resolved]],QUALIDADE_CAB,0)), "-")</f>
        <v>1</v>
      </c>
      <c r="S30" s="34">
        <f>IFERROR(INDEX(QUALIDADE,MATCH(tblVIRARAM_PESQUISA[[#This Row],[CASE ID]],PROTOCOLO_PESQUISAS,0),MATCH(tblVIRARAM_PESQUISA[[#Headers],[Q3 - First Time Fix]],QUALIDADE_CAB,0)), "-")</f>
        <v>1</v>
      </c>
      <c r="T30" s="34">
        <f>IFERROR(INDEX(QUALIDADE,MATCH(tblVIRARAM_PESQUISA[[#This Row],[CASE ID]],PROTOCOLO_PESQUISAS,0),MATCH(tblVIRARAM_PESQUISA[[#Headers],[Promoters]],QUALIDADE_CAB,0)), "-")</f>
        <v>1</v>
      </c>
      <c r="U30" s="34">
        <f>IFERROR(INDEX(QUALIDADE,MATCH(tblVIRARAM_PESQUISA[[#This Row],[CASE ID]],PROTOCOLO_PESQUISAS,0),MATCH(tblVIRARAM_PESQUISA[[#Headers],[Detractors]],QUALIDADE_CAB,0)), "-")</f>
        <v>0</v>
      </c>
    </row>
    <row r="31" spans="1:21">
      <c r="A31" s="3">
        <v>3035379132</v>
      </c>
      <c r="B31" s="3" t="s">
        <v>500</v>
      </c>
      <c r="C31" s="90">
        <v>42735.733986539351</v>
      </c>
      <c r="D31" s="33">
        <v>42737.733986539351</v>
      </c>
      <c r="E31" s="3" t="s">
        <v>26</v>
      </c>
      <c r="F31" s="3" t="s">
        <v>26</v>
      </c>
      <c r="G31" s="3" t="s">
        <v>301</v>
      </c>
      <c r="H31" s="3" t="s">
        <v>23</v>
      </c>
      <c r="I31" s="3" t="s">
        <v>817</v>
      </c>
      <c r="J31" s="3" t="s">
        <v>303</v>
      </c>
      <c r="K31" s="3" t="s">
        <v>305</v>
      </c>
      <c r="L31" s="44">
        <v>42739</v>
      </c>
      <c r="M31" s="3" t="s">
        <v>84</v>
      </c>
      <c r="N31" s="3" t="s">
        <v>85</v>
      </c>
      <c r="O31" s="3" t="s">
        <v>1381</v>
      </c>
      <c r="P31" s="42">
        <v>42743</v>
      </c>
      <c r="Q31" s="34" t="s">
        <v>841</v>
      </c>
      <c r="R31" s="34">
        <f>IFERROR(INDEX(QUALIDADE,MATCH(tblVIRARAM_PESQUISA[[#This Row],[CASE ID]],PROTOCOLO_PESQUISAS,0),MATCH(tblVIRARAM_PESQUISA[[#Headers],[Q2 - Problem Resolved]],QUALIDADE_CAB,0)), "-")</f>
        <v>1</v>
      </c>
      <c r="S31" s="34">
        <f>IFERROR(INDEX(QUALIDADE,MATCH(tblVIRARAM_PESQUISA[[#This Row],[CASE ID]],PROTOCOLO_PESQUISAS,0),MATCH(tblVIRARAM_PESQUISA[[#Headers],[Q3 - First Time Fix]],QUALIDADE_CAB,0)), "-")</f>
        <v>1</v>
      </c>
      <c r="T31" s="34">
        <f>IFERROR(INDEX(QUALIDADE,MATCH(tblVIRARAM_PESQUISA[[#This Row],[CASE ID]],PROTOCOLO_PESQUISAS,0),MATCH(tblVIRARAM_PESQUISA[[#Headers],[Promoters]],QUALIDADE_CAB,0)), "-")</f>
        <v>1</v>
      </c>
      <c r="U31" s="34">
        <f>IFERROR(INDEX(QUALIDADE,MATCH(tblVIRARAM_PESQUISA[[#This Row],[CASE ID]],PROTOCOLO_PESQUISAS,0),MATCH(tblVIRARAM_PESQUISA[[#Headers],[Detractors]],QUALIDADE_CAB,0)), "-")</f>
        <v>0</v>
      </c>
    </row>
    <row r="32" spans="1:21">
      <c r="A32" s="3">
        <v>3035472100</v>
      </c>
      <c r="B32" s="3" t="s">
        <v>500</v>
      </c>
      <c r="C32" s="90">
        <v>42739.73704378472</v>
      </c>
      <c r="D32" s="33">
        <v>42741.73704378472</v>
      </c>
      <c r="E32" s="3" t="s">
        <v>54</v>
      </c>
      <c r="F32" s="3" t="s">
        <v>54</v>
      </c>
      <c r="G32" s="3" t="s">
        <v>301</v>
      </c>
      <c r="H32" s="3" t="s">
        <v>260</v>
      </c>
      <c r="I32" s="3" t="s">
        <v>325</v>
      </c>
      <c r="J32" s="3" t="s">
        <v>303</v>
      </c>
      <c r="K32" s="3" t="s">
        <v>3999</v>
      </c>
      <c r="L32" s="44"/>
      <c r="M32" s="3" t="s">
        <v>866</v>
      </c>
      <c r="N32" s="3" t="s">
        <v>59</v>
      </c>
      <c r="O32" s="3" t="s">
        <v>60</v>
      </c>
      <c r="P32" s="42">
        <v>42742</v>
      </c>
      <c r="Q32" s="34" t="s">
        <v>2136</v>
      </c>
      <c r="R32" s="34">
        <f>IFERROR(INDEX(QUALIDADE,MATCH(tblVIRARAM_PESQUISA[[#This Row],[CASE ID]],PROTOCOLO_PESQUISAS,0),MATCH(tblVIRARAM_PESQUISA[[#Headers],[Q2 - Problem Resolved]],QUALIDADE_CAB,0)), "-")</f>
        <v>1</v>
      </c>
      <c r="S32" s="34">
        <f>IFERROR(INDEX(QUALIDADE,MATCH(tblVIRARAM_PESQUISA[[#This Row],[CASE ID]],PROTOCOLO_PESQUISAS,0),MATCH(tblVIRARAM_PESQUISA[[#Headers],[Q3 - First Time Fix]],QUALIDADE_CAB,0)), "-")</f>
        <v>1</v>
      </c>
      <c r="T32" s="34">
        <f>IFERROR(INDEX(QUALIDADE,MATCH(tblVIRARAM_PESQUISA[[#This Row],[CASE ID]],PROTOCOLO_PESQUISAS,0),MATCH(tblVIRARAM_PESQUISA[[#Headers],[Promoters]],QUALIDADE_CAB,0)), "-")</f>
        <v>1</v>
      </c>
      <c r="U32" s="34">
        <f>IFERROR(INDEX(QUALIDADE,MATCH(tblVIRARAM_PESQUISA[[#This Row],[CASE ID]],PROTOCOLO_PESQUISAS,0),MATCH(tblVIRARAM_PESQUISA[[#Headers],[Detractors]],QUALIDADE_CAB,0)), "-")</f>
        <v>0</v>
      </c>
    </row>
    <row r="33" spans="1:21">
      <c r="A33" s="3">
        <v>3035443646</v>
      </c>
      <c r="B33" s="3" t="s">
        <v>500</v>
      </c>
      <c r="C33" s="90">
        <v>42738.737851504629</v>
      </c>
      <c r="D33" s="33">
        <v>42740.737851504629</v>
      </c>
      <c r="E33" s="3" t="s">
        <v>12</v>
      </c>
      <c r="F33" s="3" t="s">
        <v>12</v>
      </c>
      <c r="G33" s="3" t="s">
        <v>301</v>
      </c>
      <c r="H33" s="3" t="s">
        <v>9</v>
      </c>
      <c r="I33" s="3" t="s">
        <v>817</v>
      </c>
      <c r="J33" s="3" t="s">
        <v>304</v>
      </c>
      <c r="K33" s="3" t="s">
        <v>306</v>
      </c>
      <c r="L33" s="44">
        <v>42741</v>
      </c>
      <c r="M33" s="3" t="s">
        <v>866</v>
      </c>
      <c r="N33" s="3" t="s">
        <v>59</v>
      </c>
      <c r="O33" s="3" t="s">
        <v>60</v>
      </c>
      <c r="P33" s="42">
        <v>42741</v>
      </c>
      <c r="Q33" s="34" t="s">
        <v>2138</v>
      </c>
      <c r="R33" s="34">
        <f>IFERROR(INDEX(QUALIDADE,MATCH(tblVIRARAM_PESQUISA[[#This Row],[CASE ID]],PROTOCOLO_PESQUISAS,0),MATCH(tblVIRARAM_PESQUISA[[#Headers],[Q2 - Problem Resolved]],QUALIDADE_CAB,0)), "-")</f>
        <v>1</v>
      </c>
      <c r="S33" s="34">
        <f>IFERROR(INDEX(QUALIDADE,MATCH(tblVIRARAM_PESQUISA[[#This Row],[CASE ID]],PROTOCOLO_PESQUISAS,0),MATCH(tblVIRARAM_PESQUISA[[#Headers],[Q3 - First Time Fix]],QUALIDADE_CAB,0)), "-")</f>
        <v>1</v>
      </c>
      <c r="T33" s="34">
        <f>IFERROR(INDEX(QUALIDADE,MATCH(tblVIRARAM_PESQUISA[[#This Row],[CASE ID]],PROTOCOLO_PESQUISAS,0),MATCH(tblVIRARAM_PESQUISA[[#Headers],[Promoters]],QUALIDADE_CAB,0)), "-")</f>
        <v>1</v>
      </c>
      <c r="U33" s="34">
        <f>IFERROR(INDEX(QUALIDADE,MATCH(tblVIRARAM_PESQUISA[[#This Row],[CASE ID]],PROTOCOLO_PESQUISAS,0),MATCH(tblVIRARAM_PESQUISA[[#Headers],[Detractors]],QUALIDADE_CAB,0)), "-")</f>
        <v>0</v>
      </c>
    </row>
    <row r="34" spans="1:21">
      <c r="A34" s="3">
        <v>3035443197</v>
      </c>
      <c r="B34" s="3" t="s">
        <v>500</v>
      </c>
      <c r="C34" s="90">
        <v>42738.737851504629</v>
      </c>
      <c r="D34" s="33">
        <v>42740.737851504629</v>
      </c>
      <c r="E34" s="3" t="s">
        <v>24</v>
      </c>
      <c r="F34" s="3" t="s">
        <v>24</v>
      </c>
      <c r="G34" s="3" t="s">
        <v>301</v>
      </c>
      <c r="H34" s="3" t="s">
        <v>23</v>
      </c>
      <c r="I34" s="3" t="s">
        <v>817</v>
      </c>
      <c r="J34" s="3" t="s">
        <v>304</v>
      </c>
      <c r="K34" s="3" t="s">
        <v>1380</v>
      </c>
      <c r="L34" s="44">
        <v>42741</v>
      </c>
      <c r="M34" s="3" t="s">
        <v>871</v>
      </c>
      <c r="N34" s="3" t="s">
        <v>84</v>
      </c>
      <c r="O34" s="3" t="s">
        <v>85</v>
      </c>
      <c r="P34" s="42">
        <v>42741</v>
      </c>
      <c r="Q34" s="34" t="s">
        <v>2138</v>
      </c>
      <c r="R34" s="34">
        <f>IFERROR(INDEX(QUALIDADE,MATCH(tblVIRARAM_PESQUISA[[#This Row],[CASE ID]],PROTOCOLO_PESQUISAS,0),MATCH(tblVIRARAM_PESQUISA[[#Headers],[Q2 - Problem Resolved]],QUALIDADE_CAB,0)), "-")</f>
        <v>1</v>
      </c>
      <c r="S34" s="34">
        <f>IFERROR(INDEX(QUALIDADE,MATCH(tblVIRARAM_PESQUISA[[#This Row],[CASE ID]],PROTOCOLO_PESQUISAS,0),MATCH(tblVIRARAM_PESQUISA[[#Headers],[Q3 - First Time Fix]],QUALIDADE_CAB,0)), "-")</f>
        <v>1</v>
      </c>
      <c r="T34" s="34">
        <f>IFERROR(INDEX(QUALIDADE,MATCH(tblVIRARAM_PESQUISA[[#This Row],[CASE ID]],PROTOCOLO_PESQUISAS,0),MATCH(tblVIRARAM_PESQUISA[[#Headers],[Promoters]],QUALIDADE_CAB,0)), "-")</f>
        <v>1</v>
      </c>
      <c r="U34" s="34">
        <f>IFERROR(INDEX(QUALIDADE,MATCH(tblVIRARAM_PESQUISA[[#This Row],[CASE ID]],PROTOCOLO_PESQUISAS,0),MATCH(tblVIRARAM_PESQUISA[[#Headers],[Detractors]],QUALIDADE_CAB,0)), "-")</f>
        <v>0</v>
      </c>
    </row>
    <row r="35" spans="1:21">
      <c r="A35" s="3">
        <v>3035432401</v>
      </c>
      <c r="B35" s="3" t="s">
        <v>500</v>
      </c>
      <c r="C35" s="90">
        <v>42738.737851504629</v>
      </c>
      <c r="D35" s="33">
        <v>42740.737851504629</v>
      </c>
      <c r="E35" s="3" t="s">
        <v>13</v>
      </c>
      <c r="F35" s="3" t="s">
        <v>13</v>
      </c>
      <c r="G35" s="3" t="s">
        <v>301</v>
      </c>
      <c r="H35" s="3" t="s">
        <v>9</v>
      </c>
      <c r="I35" s="3" t="s">
        <v>817</v>
      </c>
      <c r="J35" s="3" t="s">
        <v>304</v>
      </c>
      <c r="K35" s="3" t="s">
        <v>306</v>
      </c>
      <c r="L35" s="44">
        <v>42741</v>
      </c>
      <c r="M35" s="3" t="s">
        <v>871</v>
      </c>
      <c r="N35" s="3" t="s">
        <v>84</v>
      </c>
      <c r="O35" s="3" t="s">
        <v>85</v>
      </c>
      <c r="P35" s="42">
        <v>42741</v>
      </c>
      <c r="Q35" s="34" t="s">
        <v>2138</v>
      </c>
      <c r="R35" s="34">
        <f>IFERROR(INDEX(QUALIDADE,MATCH(tblVIRARAM_PESQUISA[[#This Row],[CASE ID]],PROTOCOLO_PESQUISAS,0),MATCH(tblVIRARAM_PESQUISA[[#Headers],[Q2 - Problem Resolved]],QUALIDADE_CAB,0)), "-")</f>
        <v>1</v>
      </c>
      <c r="S35" s="34">
        <f>IFERROR(INDEX(QUALIDADE,MATCH(tblVIRARAM_PESQUISA[[#This Row],[CASE ID]],PROTOCOLO_PESQUISAS,0),MATCH(tblVIRARAM_PESQUISA[[#Headers],[Q3 - First Time Fix]],QUALIDADE_CAB,0)), "-")</f>
        <v>1</v>
      </c>
      <c r="T35" s="34">
        <f>IFERROR(INDEX(QUALIDADE,MATCH(tblVIRARAM_PESQUISA[[#This Row],[CASE ID]],PROTOCOLO_PESQUISAS,0),MATCH(tblVIRARAM_PESQUISA[[#Headers],[Promoters]],QUALIDADE_CAB,0)), "-")</f>
        <v>1</v>
      </c>
      <c r="U35" s="34">
        <f>IFERROR(INDEX(QUALIDADE,MATCH(tblVIRARAM_PESQUISA[[#This Row],[CASE ID]],PROTOCOLO_PESQUISAS,0),MATCH(tblVIRARAM_PESQUISA[[#Headers],[Detractors]],QUALIDADE_CAB,0)), "-")</f>
        <v>0</v>
      </c>
    </row>
    <row r="36" spans="1:21">
      <c r="A36" s="3">
        <v>3035437532</v>
      </c>
      <c r="B36" s="3" t="s">
        <v>500</v>
      </c>
      <c r="C36" s="90">
        <v>42738.737851504629</v>
      </c>
      <c r="D36" s="33">
        <v>42740.737851504629</v>
      </c>
      <c r="E36" s="3" t="s">
        <v>13</v>
      </c>
      <c r="F36" s="3" t="s">
        <v>13</v>
      </c>
      <c r="G36" s="3" t="s">
        <v>301</v>
      </c>
      <c r="H36" s="3" t="s">
        <v>9</v>
      </c>
      <c r="I36" s="3" t="s">
        <v>817</v>
      </c>
      <c r="J36" s="3" t="s">
        <v>304</v>
      </c>
      <c r="K36" s="3" t="s">
        <v>307</v>
      </c>
      <c r="L36" s="44">
        <v>42741</v>
      </c>
      <c r="M36" s="3" t="s">
        <v>871</v>
      </c>
      <c r="N36" s="3" t="s">
        <v>84</v>
      </c>
      <c r="O36" s="3" t="s">
        <v>85</v>
      </c>
      <c r="P36" s="42">
        <v>42742</v>
      </c>
      <c r="Q36" s="34" t="s">
        <v>2136</v>
      </c>
      <c r="R36" s="34">
        <f>IFERROR(INDEX(QUALIDADE,MATCH(tblVIRARAM_PESQUISA[[#This Row],[CASE ID]],PROTOCOLO_PESQUISAS,0),MATCH(tblVIRARAM_PESQUISA[[#Headers],[Q2 - Problem Resolved]],QUALIDADE_CAB,0)), "-")</f>
        <v>1</v>
      </c>
      <c r="S36" s="34">
        <f>IFERROR(INDEX(QUALIDADE,MATCH(tblVIRARAM_PESQUISA[[#This Row],[CASE ID]],PROTOCOLO_PESQUISAS,0),MATCH(tblVIRARAM_PESQUISA[[#Headers],[Q3 - First Time Fix]],QUALIDADE_CAB,0)), "-")</f>
        <v>1</v>
      </c>
      <c r="T36" s="34">
        <f>IFERROR(INDEX(QUALIDADE,MATCH(tblVIRARAM_PESQUISA[[#This Row],[CASE ID]],PROTOCOLO_PESQUISAS,0),MATCH(tblVIRARAM_PESQUISA[[#Headers],[Promoters]],QUALIDADE_CAB,0)), "-")</f>
        <v>0</v>
      </c>
      <c r="U36" s="34">
        <f>IFERROR(INDEX(QUALIDADE,MATCH(tblVIRARAM_PESQUISA[[#This Row],[CASE ID]],PROTOCOLO_PESQUISAS,0),MATCH(tblVIRARAM_PESQUISA[[#Headers],[Detractors]],QUALIDADE_CAB,0)), "-")</f>
        <v>1</v>
      </c>
    </row>
    <row r="37" spans="1:21">
      <c r="A37" s="3">
        <v>3035445203</v>
      </c>
      <c r="B37" s="3" t="s">
        <v>500</v>
      </c>
      <c r="C37" s="90">
        <v>42738.737851504629</v>
      </c>
      <c r="D37" s="33">
        <v>42740.737851504629</v>
      </c>
      <c r="E37" s="3" t="s">
        <v>55</v>
      </c>
      <c r="F37" s="3" t="s">
        <v>55</v>
      </c>
      <c r="G37" s="3" t="s">
        <v>301</v>
      </c>
      <c r="H37" s="3" t="s">
        <v>23</v>
      </c>
      <c r="I37" s="3" t="s">
        <v>817</v>
      </c>
      <c r="J37" s="3" t="s">
        <v>304</v>
      </c>
      <c r="K37" s="3" t="s">
        <v>1543</v>
      </c>
      <c r="L37" s="44">
        <v>42741</v>
      </c>
      <c r="M37" s="3" t="s">
        <v>866</v>
      </c>
      <c r="N37" s="3" t="s">
        <v>59</v>
      </c>
      <c r="O37" s="3" t="s">
        <v>60</v>
      </c>
      <c r="P37" s="42">
        <v>42742</v>
      </c>
      <c r="Q37" s="34" t="s">
        <v>2136</v>
      </c>
      <c r="R37" s="34">
        <f>IFERROR(INDEX(QUALIDADE,MATCH(tblVIRARAM_PESQUISA[[#This Row],[CASE ID]],PROTOCOLO_PESQUISAS,0),MATCH(tblVIRARAM_PESQUISA[[#Headers],[Q2 - Problem Resolved]],QUALIDADE_CAB,0)), "-")</f>
        <v>1</v>
      </c>
      <c r="S37" s="34">
        <f>IFERROR(INDEX(QUALIDADE,MATCH(tblVIRARAM_PESQUISA[[#This Row],[CASE ID]],PROTOCOLO_PESQUISAS,0),MATCH(tblVIRARAM_PESQUISA[[#Headers],[Q3 - First Time Fix]],QUALIDADE_CAB,0)), "-")</f>
        <v>1</v>
      </c>
      <c r="T37" s="34">
        <f>IFERROR(INDEX(QUALIDADE,MATCH(tblVIRARAM_PESQUISA[[#This Row],[CASE ID]],PROTOCOLO_PESQUISAS,0),MATCH(tblVIRARAM_PESQUISA[[#Headers],[Promoters]],QUALIDADE_CAB,0)), "-")</f>
        <v>1</v>
      </c>
      <c r="U37" s="34">
        <f>IFERROR(INDEX(QUALIDADE,MATCH(tblVIRARAM_PESQUISA[[#This Row],[CASE ID]],PROTOCOLO_PESQUISAS,0),MATCH(tblVIRARAM_PESQUISA[[#Headers],[Detractors]],QUALIDADE_CAB,0)), "-")</f>
        <v>0</v>
      </c>
    </row>
    <row r="38" spans="1:21">
      <c r="A38" s="3">
        <v>3035445327</v>
      </c>
      <c r="B38" s="3" t="s">
        <v>500</v>
      </c>
      <c r="C38" s="90">
        <v>42738.737851504629</v>
      </c>
      <c r="D38" s="33">
        <v>42740.737851504629</v>
      </c>
      <c r="E38" s="3" t="s">
        <v>30</v>
      </c>
      <c r="F38" s="3" t="s">
        <v>30</v>
      </c>
      <c r="G38" s="3" t="s">
        <v>301</v>
      </c>
      <c r="H38" s="3" t="s">
        <v>23</v>
      </c>
      <c r="I38" s="3" t="s">
        <v>817</v>
      </c>
      <c r="J38" s="3" t="s">
        <v>304</v>
      </c>
      <c r="K38" s="3" t="s">
        <v>306</v>
      </c>
      <c r="L38" s="44">
        <v>42741</v>
      </c>
      <c r="M38" s="3" t="s">
        <v>871</v>
      </c>
      <c r="N38" s="3" t="s">
        <v>84</v>
      </c>
      <c r="O38" s="3" t="s">
        <v>85</v>
      </c>
      <c r="P38" s="42">
        <v>42741</v>
      </c>
      <c r="Q38" s="34" t="s">
        <v>2138</v>
      </c>
      <c r="R38" s="34">
        <f>IFERROR(INDEX(QUALIDADE,MATCH(tblVIRARAM_PESQUISA[[#This Row],[CASE ID]],PROTOCOLO_PESQUISAS,0),MATCH(tblVIRARAM_PESQUISA[[#Headers],[Q2 - Problem Resolved]],QUALIDADE_CAB,0)), "-")</f>
        <v>1</v>
      </c>
      <c r="S38" s="34">
        <f>IFERROR(INDEX(QUALIDADE,MATCH(tblVIRARAM_PESQUISA[[#This Row],[CASE ID]],PROTOCOLO_PESQUISAS,0),MATCH(tblVIRARAM_PESQUISA[[#Headers],[Q3 - First Time Fix]],QUALIDADE_CAB,0)), "-")</f>
        <v>1</v>
      </c>
      <c r="T38" s="34">
        <f>IFERROR(INDEX(QUALIDADE,MATCH(tblVIRARAM_PESQUISA[[#This Row],[CASE ID]],PROTOCOLO_PESQUISAS,0),MATCH(tblVIRARAM_PESQUISA[[#Headers],[Promoters]],QUALIDADE_CAB,0)), "-")</f>
        <v>1</v>
      </c>
      <c r="U38" s="34">
        <f>IFERROR(INDEX(QUALIDADE,MATCH(tblVIRARAM_PESQUISA[[#This Row],[CASE ID]],PROTOCOLO_PESQUISAS,0),MATCH(tblVIRARAM_PESQUISA[[#Headers],[Detractors]],QUALIDADE_CAB,0)), "-")</f>
        <v>0</v>
      </c>
    </row>
    <row r="39" spans="1:21">
      <c r="A39" s="3">
        <v>3035437788</v>
      </c>
      <c r="B39" s="3" t="s">
        <v>500</v>
      </c>
      <c r="C39" s="90">
        <v>42738.737851504629</v>
      </c>
      <c r="D39" s="33">
        <v>42740.737851504629</v>
      </c>
      <c r="E39" s="3" t="s">
        <v>8</v>
      </c>
      <c r="F39" s="3" t="s">
        <v>8</v>
      </c>
      <c r="G39" s="3" t="s">
        <v>301</v>
      </c>
      <c r="H39" s="3" t="s">
        <v>9</v>
      </c>
      <c r="I39" s="3" t="s">
        <v>817</v>
      </c>
      <c r="J39" s="3" t="s">
        <v>303</v>
      </c>
      <c r="K39" s="3" t="s">
        <v>305</v>
      </c>
      <c r="L39" s="44">
        <v>42741</v>
      </c>
      <c r="M39" s="3" t="s">
        <v>871</v>
      </c>
      <c r="N39" s="3" t="s">
        <v>84</v>
      </c>
      <c r="O39" s="3" t="s">
        <v>85</v>
      </c>
      <c r="P39" s="42">
        <v>42741</v>
      </c>
      <c r="Q39" s="34" t="s">
        <v>2138</v>
      </c>
      <c r="R39" s="34">
        <f>IFERROR(INDEX(QUALIDADE,MATCH(tblVIRARAM_PESQUISA[[#This Row],[CASE ID]],PROTOCOLO_PESQUISAS,0),MATCH(tblVIRARAM_PESQUISA[[#Headers],[Q2 - Problem Resolved]],QUALIDADE_CAB,0)), "-")</f>
        <v>1</v>
      </c>
      <c r="S39" s="34">
        <f>IFERROR(INDEX(QUALIDADE,MATCH(tblVIRARAM_PESQUISA[[#This Row],[CASE ID]],PROTOCOLO_PESQUISAS,0),MATCH(tblVIRARAM_PESQUISA[[#Headers],[Q3 - First Time Fix]],QUALIDADE_CAB,0)), "-")</f>
        <v>1</v>
      </c>
      <c r="T39" s="34">
        <f>IFERROR(INDEX(QUALIDADE,MATCH(tblVIRARAM_PESQUISA[[#This Row],[CASE ID]],PROTOCOLO_PESQUISAS,0),MATCH(tblVIRARAM_PESQUISA[[#Headers],[Promoters]],QUALIDADE_CAB,0)), "-")</f>
        <v>1</v>
      </c>
      <c r="U39" s="34">
        <f>IFERROR(INDEX(QUALIDADE,MATCH(tblVIRARAM_PESQUISA[[#This Row],[CASE ID]],PROTOCOLO_PESQUISAS,0),MATCH(tblVIRARAM_PESQUISA[[#Headers],[Detractors]],QUALIDADE_CAB,0)), "-")</f>
        <v>0</v>
      </c>
    </row>
    <row r="40" spans="1:21">
      <c r="A40" s="3">
        <v>3035446990</v>
      </c>
      <c r="B40" s="3" t="s">
        <v>500</v>
      </c>
      <c r="C40" s="90">
        <v>42738.737851504629</v>
      </c>
      <c r="D40" s="33">
        <v>42740.737851504629</v>
      </c>
      <c r="E40" s="3" t="s">
        <v>16</v>
      </c>
      <c r="F40" s="3" t="s">
        <v>16</v>
      </c>
      <c r="G40" s="3" t="s">
        <v>301</v>
      </c>
      <c r="H40" s="3" t="s">
        <v>9</v>
      </c>
      <c r="I40" s="3" t="s">
        <v>817</v>
      </c>
      <c r="J40" s="3" t="s">
        <v>304</v>
      </c>
      <c r="K40" s="3" t="s">
        <v>307</v>
      </c>
      <c r="L40" s="44">
        <v>42741</v>
      </c>
      <c r="M40" s="3" t="s">
        <v>871</v>
      </c>
      <c r="N40" s="3" t="s">
        <v>84</v>
      </c>
      <c r="O40" s="3" t="s">
        <v>85</v>
      </c>
      <c r="P40" s="42">
        <v>42741</v>
      </c>
      <c r="Q40" s="34" t="s">
        <v>2138</v>
      </c>
      <c r="R40" s="34">
        <f>IFERROR(INDEX(QUALIDADE,MATCH(tblVIRARAM_PESQUISA[[#This Row],[CASE ID]],PROTOCOLO_PESQUISAS,0),MATCH(tblVIRARAM_PESQUISA[[#Headers],[Q2 - Problem Resolved]],QUALIDADE_CAB,0)), "-")</f>
        <v>1</v>
      </c>
      <c r="S40" s="34">
        <f>IFERROR(INDEX(QUALIDADE,MATCH(tblVIRARAM_PESQUISA[[#This Row],[CASE ID]],PROTOCOLO_PESQUISAS,0),MATCH(tblVIRARAM_PESQUISA[[#Headers],[Q3 - First Time Fix]],QUALIDADE_CAB,0)), "-")</f>
        <v>2</v>
      </c>
      <c r="T40" s="34">
        <f>IFERROR(INDEX(QUALIDADE,MATCH(tblVIRARAM_PESQUISA[[#This Row],[CASE ID]],PROTOCOLO_PESQUISAS,0),MATCH(tblVIRARAM_PESQUISA[[#Headers],[Promoters]],QUALIDADE_CAB,0)), "-")</f>
        <v>1</v>
      </c>
      <c r="U40" s="34">
        <f>IFERROR(INDEX(QUALIDADE,MATCH(tblVIRARAM_PESQUISA[[#This Row],[CASE ID]],PROTOCOLO_PESQUISAS,0),MATCH(tblVIRARAM_PESQUISA[[#Headers],[Detractors]],QUALIDADE_CAB,0)), "-")</f>
        <v>0</v>
      </c>
    </row>
    <row r="41" spans="1:21">
      <c r="A41" s="3">
        <v>3035542316</v>
      </c>
      <c r="B41" s="3" t="s">
        <v>500</v>
      </c>
      <c r="C41" s="90">
        <v>42741.735176273149</v>
      </c>
      <c r="D41" s="33">
        <v>42743.735176273149</v>
      </c>
      <c r="E41" s="3" t="s">
        <v>13</v>
      </c>
      <c r="F41" s="3" t="s">
        <v>13</v>
      </c>
      <c r="G41" s="3" t="s">
        <v>301</v>
      </c>
      <c r="H41" s="3" t="s">
        <v>9</v>
      </c>
      <c r="I41" s="3" t="s">
        <v>817</v>
      </c>
      <c r="J41" s="3" t="s">
        <v>304</v>
      </c>
      <c r="K41" s="3" t="s">
        <v>2146</v>
      </c>
      <c r="L41" s="44">
        <v>42744</v>
      </c>
      <c r="M41" s="3" t="s">
        <v>866</v>
      </c>
      <c r="N41" s="3" t="s">
        <v>59</v>
      </c>
      <c r="O41" s="3" t="s">
        <v>60</v>
      </c>
      <c r="P41" s="42">
        <v>42744</v>
      </c>
      <c r="Q41" s="34" t="s">
        <v>1210</v>
      </c>
      <c r="R41" s="34">
        <f>IFERROR(INDEX(QUALIDADE,MATCH(tblVIRARAM_PESQUISA[[#This Row],[CASE ID]],PROTOCOLO_PESQUISAS,0),MATCH(tblVIRARAM_PESQUISA[[#Headers],[Q2 - Problem Resolved]],QUALIDADE_CAB,0)), "-")</f>
        <v>1</v>
      </c>
      <c r="S41" s="34">
        <f>IFERROR(INDEX(QUALIDADE,MATCH(tblVIRARAM_PESQUISA[[#This Row],[CASE ID]],PROTOCOLO_PESQUISAS,0),MATCH(tblVIRARAM_PESQUISA[[#Headers],[Q3 - First Time Fix]],QUALIDADE_CAB,0)), "-")</f>
        <v>1</v>
      </c>
      <c r="T41" s="34">
        <f>IFERROR(INDEX(QUALIDADE,MATCH(tblVIRARAM_PESQUISA[[#This Row],[CASE ID]],PROTOCOLO_PESQUISAS,0),MATCH(tblVIRARAM_PESQUISA[[#Headers],[Promoters]],QUALIDADE_CAB,0)), "-")</f>
        <v>1</v>
      </c>
      <c r="U41" s="34">
        <f>IFERROR(INDEX(QUALIDADE,MATCH(tblVIRARAM_PESQUISA[[#This Row],[CASE ID]],PROTOCOLO_PESQUISAS,0),MATCH(tblVIRARAM_PESQUISA[[#Headers],[Detractors]],QUALIDADE_CAB,0)), "-")</f>
        <v>0</v>
      </c>
    </row>
    <row r="42" spans="1:21">
      <c r="A42" s="3">
        <v>3035552971</v>
      </c>
      <c r="B42" s="3" t="s">
        <v>500</v>
      </c>
      <c r="C42" s="90">
        <v>42741.735176273149</v>
      </c>
      <c r="D42" s="33">
        <v>42743.735176273149</v>
      </c>
      <c r="E42" s="3" t="s">
        <v>44</v>
      </c>
      <c r="F42" s="3" t="s">
        <v>44</v>
      </c>
      <c r="G42" s="3" t="s">
        <v>301</v>
      </c>
      <c r="H42" s="3" t="s">
        <v>39</v>
      </c>
      <c r="I42" s="3" t="s">
        <v>817</v>
      </c>
      <c r="J42" s="3" t="s">
        <v>303</v>
      </c>
      <c r="K42" s="3" t="s">
        <v>305</v>
      </c>
      <c r="L42" s="44">
        <v>42744</v>
      </c>
      <c r="M42" s="3" t="s">
        <v>871</v>
      </c>
      <c r="N42" s="3" t="s">
        <v>84</v>
      </c>
      <c r="O42" s="3" t="s">
        <v>85</v>
      </c>
      <c r="P42" s="42">
        <v>42744</v>
      </c>
      <c r="Q42" s="34" t="s">
        <v>1210</v>
      </c>
      <c r="R42" s="34">
        <f>IFERROR(INDEX(QUALIDADE,MATCH(tblVIRARAM_PESQUISA[[#This Row],[CASE ID]],PROTOCOLO_PESQUISAS,0),MATCH(tblVIRARAM_PESQUISA[[#Headers],[Q2 - Problem Resolved]],QUALIDADE_CAB,0)), "-")</f>
        <v>1</v>
      </c>
      <c r="S42" s="34">
        <f>IFERROR(INDEX(QUALIDADE,MATCH(tblVIRARAM_PESQUISA[[#This Row],[CASE ID]],PROTOCOLO_PESQUISAS,0),MATCH(tblVIRARAM_PESQUISA[[#Headers],[Q3 - First Time Fix]],QUALIDADE_CAB,0)), "-")</f>
        <v>1</v>
      </c>
      <c r="T42" s="34">
        <f>IFERROR(INDEX(QUALIDADE,MATCH(tblVIRARAM_PESQUISA[[#This Row],[CASE ID]],PROTOCOLO_PESQUISAS,0),MATCH(tblVIRARAM_PESQUISA[[#Headers],[Promoters]],QUALIDADE_CAB,0)), "-")</f>
        <v>1</v>
      </c>
      <c r="U42" s="34">
        <f>IFERROR(INDEX(QUALIDADE,MATCH(tblVIRARAM_PESQUISA[[#This Row],[CASE ID]],PROTOCOLO_PESQUISAS,0),MATCH(tblVIRARAM_PESQUISA[[#Headers],[Detractors]],QUALIDADE_CAB,0)), "-")</f>
        <v>0</v>
      </c>
    </row>
    <row r="43" spans="1:21">
      <c r="A43" s="3">
        <v>3035554876</v>
      </c>
      <c r="B43" s="3" t="s">
        <v>500</v>
      </c>
      <c r="C43" s="90">
        <v>42741.735176273149</v>
      </c>
      <c r="D43" s="33">
        <v>42743.735176273149</v>
      </c>
      <c r="E43" s="3" t="s">
        <v>583</v>
      </c>
      <c r="F43" s="3" t="s">
        <v>583</v>
      </c>
      <c r="G43" s="3" t="s">
        <v>301</v>
      </c>
      <c r="H43" s="3" t="s">
        <v>23</v>
      </c>
      <c r="I43" s="3" t="s">
        <v>817</v>
      </c>
      <c r="J43" s="3" t="s">
        <v>303</v>
      </c>
      <c r="K43" s="3" t="s">
        <v>305</v>
      </c>
      <c r="L43" s="44">
        <v>42744</v>
      </c>
      <c r="M43" s="3" t="s">
        <v>871</v>
      </c>
      <c r="N43" s="3" t="s">
        <v>84</v>
      </c>
      <c r="O43" s="3" t="s">
        <v>85</v>
      </c>
      <c r="P43" s="42">
        <v>42744</v>
      </c>
      <c r="Q43" s="34" t="s">
        <v>1210</v>
      </c>
      <c r="R43" s="34">
        <f>IFERROR(INDEX(QUALIDADE,MATCH(tblVIRARAM_PESQUISA[[#This Row],[CASE ID]],PROTOCOLO_PESQUISAS,0),MATCH(tblVIRARAM_PESQUISA[[#Headers],[Q2 - Problem Resolved]],QUALIDADE_CAB,0)), "-")</f>
        <v>1</v>
      </c>
      <c r="S43" s="34">
        <f>IFERROR(INDEX(QUALIDADE,MATCH(tblVIRARAM_PESQUISA[[#This Row],[CASE ID]],PROTOCOLO_PESQUISAS,0),MATCH(tblVIRARAM_PESQUISA[[#Headers],[Q3 - First Time Fix]],QUALIDADE_CAB,0)), "-")</f>
        <v>1</v>
      </c>
      <c r="T43" s="34">
        <f>IFERROR(INDEX(QUALIDADE,MATCH(tblVIRARAM_PESQUISA[[#This Row],[CASE ID]],PROTOCOLO_PESQUISAS,0),MATCH(tblVIRARAM_PESQUISA[[#Headers],[Promoters]],QUALIDADE_CAB,0)), "-")</f>
        <v>1</v>
      </c>
      <c r="U43" s="34">
        <f>IFERROR(INDEX(QUALIDADE,MATCH(tblVIRARAM_PESQUISA[[#This Row],[CASE ID]],PROTOCOLO_PESQUISAS,0),MATCH(tblVIRARAM_PESQUISA[[#Headers],[Detractors]],QUALIDADE_CAB,0)), "-")</f>
        <v>0</v>
      </c>
    </row>
    <row r="44" spans="1:21">
      <c r="A44" s="3">
        <v>3035542047</v>
      </c>
      <c r="B44" s="3" t="s">
        <v>500</v>
      </c>
      <c r="C44" s="90">
        <v>42741.735176273149</v>
      </c>
      <c r="D44" s="33">
        <v>42743.735176273149</v>
      </c>
      <c r="E44" s="3" t="s">
        <v>13</v>
      </c>
      <c r="F44" s="3" t="s">
        <v>13</v>
      </c>
      <c r="G44" s="3" t="s">
        <v>301</v>
      </c>
      <c r="H44" s="3" t="s">
        <v>9</v>
      </c>
      <c r="I44" s="3" t="s">
        <v>817</v>
      </c>
      <c r="J44" s="3" t="s">
        <v>304</v>
      </c>
      <c r="K44" s="3" t="s">
        <v>306</v>
      </c>
      <c r="L44" s="44">
        <v>42744</v>
      </c>
      <c r="M44" s="3" t="s">
        <v>866</v>
      </c>
      <c r="N44" s="3" t="s">
        <v>59</v>
      </c>
      <c r="O44" s="3" t="s">
        <v>60</v>
      </c>
      <c r="P44" s="42">
        <v>42744</v>
      </c>
      <c r="Q44" s="34" t="s">
        <v>1210</v>
      </c>
      <c r="R44" s="34">
        <f>IFERROR(INDEX(QUALIDADE,MATCH(tblVIRARAM_PESQUISA[[#This Row],[CASE ID]],PROTOCOLO_PESQUISAS,0),MATCH(tblVIRARAM_PESQUISA[[#Headers],[Q2 - Problem Resolved]],QUALIDADE_CAB,0)), "-")</f>
        <v>1</v>
      </c>
      <c r="S44" s="34">
        <f>IFERROR(INDEX(QUALIDADE,MATCH(tblVIRARAM_PESQUISA[[#This Row],[CASE ID]],PROTOCOLO_PESQUISAS,0),MATCH(tblVIRARAM_PESQUISA[[#Headers],[Q3 - First Time Fix]],QUALIDADE_CAB,0)), "-")</f>
        <v>1</v>
      </c>
      <c r="T44" s="34">
        <f>IFERROR(INDEX(QUALIDADE,MATCH(tblVIRARAM_PESQUISA[[#This Row],[CASE ID]],PROTOCOLO_PESQUISAS,0),MATCH(tblVIRARAM_PESQUISA[[#Headers],[Promoters]],QUALIDADE_CAB,0)), "-")</f>
        <v>1</v>
      </c>
      <c r="U44" s="34">
        <f>IFERROR(INDEX(QUALIDADE,MATCH(tblVIRARAM_PESQUISA[[#This Row],[CASE ID]],PROTOCOLO_PESQUISAS,0),MATCH(tblVIRARAM_PESQUISA[[#Headers],[Detractors]],QUALIDADE_CAB,0)), "-")</f>
        <v>0</v>
      </c>
    </row>
    <row r="45" spans="1:21">
      <c r="A45" s="3">
        <v>3035543749</v>
      </c>
      <c r="B45" s="3" t="s">
        <v>500</v>
      </c>
      <c r="C45" s="90">
        <v>42741.735176273149</v>
      </c>
      <c r="D45" s="33">
        <v>42743.735176273149</v>
      </c>
      <c r="E45" s="3" t="s">
        <v>32</v>
      </c>
      <c r="F45" s="3" t="s">
        <v>32</v>
      </c>
      <c r="G45" s="3" t="s">
        <v>301</v>
      </c>
      <c r="H45" s="3" t="s">
        <v>31</v>
      </c>
      <c r="I45" s="3" t="s">
        <v>817</v>
      </c>
      <c r="J45" s="3" t="s">
        <v>304</v>
      </c>
      <c r="K45" s="3" t="s">
        <v>1380</v>
      </c>
      <c r="L45" s="44">
        <v>42744</v>
      </c>
      <c r="M45" s="3" t="s">
        <v>866</v>
      </c>
      <c r="N45" s="3" t="s">
        <v>59</v>
      </c>
      <c r="O45" s="3" t="s">
        <v>60</v>
      </c>
      <c r="P45" s="42">
        <v>42744</v>
      </c>
      <c r="Q45" s="34" t="s">
        <v>1210</v>
      </c>
      <c r="R45" s="34">
        <f>IFERROR(INDEX(QUALIDADE,MATCH(tblVIRARAM_PESQUISA[[#This Row],[CASE ID]],PROTOCOLO_PESQUISAS,0),MATCH(tblVIRARAM_PESQUISA[[#Headers],[Q2 - Problem Resolved]],QUALIDADE_CAB,0)), "-")</f>
        <v>1</v>
      </c>
      <c r="S45" s="34">
        <f>IFERROR(INDEX(QUALIDADE,MATCH(tblVIRARAM_PESQUISA[[#This Row],[CASE ID]],PROTOCOLO_PESQUISAS,0),MATCH(tblVIRARAM_PESQUISA[[#Headers],[Q3 - First Time Fix]],QUALIDADE_CAB,0)), "-")</f>
        <v>1</v>
      </c>
      <c r="T45" s="34">
        <f>IFERROR(INDEX(QUALIDADE,MATCH(tblVIRARAM_PESQUISA[[#This Row],[CASE ID]],PROTOCOLO_PESQUISAS,0),MATCH(tblVIRARAM_PESQUISA[[#Headers],[Promoters]],QUALIDADE_CAB,0)), "-")</f>
        <v>1</v>
      </c>
      <c r="U45" s="34">
        <f>IFERROR(INDEX(QUALIDADE,MATCH(tblVIRARAM_PESQUISA[[#This Row],[CASE ID]],PROTOCOLO_PESQUISAS,0),MATCH(tblVIRARAM_PESQUISA[[#Headers],[Detractors]],QUALIDADE_CAB,0)), "-")</f>
        <v>0</v>
      </c>
    </row>
    <row r="46" spans="1:21">
      <c r="A46" s="3">
        <v>3035556883</v>
      </c>
      <c r="B46" s="3" t="s">
        <v>500</v>
      </c>
      <c r="C46" s="90">
        <v>42741.735176273149</v>
      </c>
      <c r="D46" s="33">
        <v>42743.735176273149</v>
      </c>
      <c r="E46" s="3" t="s">
        <v>29</v>
      </c>
      <c r="F46" s="3" t="s">
        <v>29</v>
      </c>
      <c r="G46" s="3" t="s">
        <v>301</v>
      </c>
      <c r="H46" s="3" t="s">
        <v>23</v>
      </c>
      <c r="I46" s="3" t="s">
        <v>817</v>
      </c>
      <c r="J46" s="3" t="s">
        <v>304</v>
      </c>
      <c r="K46" s="3" t="s">
        <v>307</v>
      </c>
      <c r="L46" s="44">
        <v>42744</v>
      </c>
      <c r="M46" s="3" t="s">
        <v>866</v>
      </c>
      <c r="N46" s="3" t="s">
        <v>59</v>
      </c>
      <c r="O46" s="3" t="s">
        <v>60</v>
      </c>
      <c r="P46" s="42">
        <v>42744</v>
      </c>
      <c r="Q46" s="34" t="s">
        <v>1210</v>
      </c>
      <c r="R46" s="34">
        <f>IFERROR(INDEX(QUALIDADE,MATCH(tblVIRARAM_PESQUISA[[#This Row],[CASE ID]],PROTOCOLO_PESQUISAS,0),MATCH(tblVIRARAM_PESQUISA[[#Headers],[Q2 - Problem Resolved]],QUALIDADE_CAB,0)), "-")</f>
        <v>1</v>
      </c>
      <c r="S46" s="34">
        <f>IFERROR(INDEX(QUALIDADE,MATCH(tblVIRARAM_PESQUISA[[#This Row],[CASE ID]],PROTOCOLO_PESQUISAS,0),MATCH(tblVIRARAM_PESQUISA[[#Headers],[Q3 - First Time Fix]],QUALIDADE_CAB,0)), "-")</f>
        <v>1</v>
      </c>
      <c r="T46" s="34">
        <f>IFERROR(INDEX(QUALIDADE,MATCH(tblVIRARAM_PESQUISA[[#This Row],[CASE ID]],PROTOCOLO_PESQUISAS,0),MATCH(tblVIRARAM_PESQUISA[[#Headers],[Promoters]],QUALIDADE_CAB,0)), "-")</f>
        <v>1</v>
      </c>
      <c r="U46" s="34">
        <f>IFERROR(INDEX(QUALIDADE,MATCH(tblVIRARAM_PESQUISA[[#This Row],[CASE ID]],PROTOCOLO_PESQUISAS,0),MATCH(tblVIRARAM_PESQUISA[[#Headers],[Detractors]],QUALIDADE_CAB,0)), "-")</f>
        <v>0</v>
      </c>
    </row>
    <row r="47" spans="1:21">
      <c r="A47" s="3">
        <v>3035475580</v>
      </c>
      <c r="B47" s="3" t="s">
        <v>500</v>
      </c>
      <c r="C47" s="90">
        <v>42741.735176273149</v>
      </c>
      <c r="D47" s="33">
        <v>42743.735176273149</v>
      </c>
      <c r="E47" s="3" t="s">
        <v>281</v>
      </c>
      <c r="F47" s="3" t="s">
        <v>281</v>
      </c>
      <c r="G47" s="3" t="s">
        <v>301</v>
      </c>
      <c r="H47" s="3" t="s">
        <v>51</v>
      </c>
      <c r="I47" s="3" t="s">
        <v>817</v>
      </c>
      <c r="J47" s="3" t="s">
        <v>304</v>
      </c>
      <c r="K47" s="3" t="s">
        <v>307</v>
      </c>
      <c r="L47" s="44">
        <v>42744</v>
      </c>
      <c r="M47" s="3" t="s">
        <v>866</v>
      </c>
      <c r="N47" s="3" t="s">
        <v>59</v>
      </c>
      <c r="O47" s="3" t="s">
        <v>60</v>
      </c>
      <c r="P47" s="42">
        <v>42744</v>
      </c>
      <c r="Q47" s="34" t="s">
        <v>1210</v>
      </c>
      <c r="R47" s="34">
        <f>IFERROR(INDEX(QUALIDADE,MATCH(tblVIRARAM_PESQUISA[[#This Row],[CASE ID]],PROTOCOLO_PESQUISAS,0),MATCH(tblVIRARAM_PESQUISA[[#Headers],[Q2 - Problem Resolved]],QUALIDADE_CAB,0)), "-")</f>
        <v>2</v>
      </c>
      <c r="S47" s="34">
        <f>IFERROR(INDEX(QUALIDADE,MATCH(tblVIRARAM_PESQUISA[[#This Row],[CASE ID]],PROTOCOLO_PESQUISAS,0),MATCH(tblVIRARAM_PESQUISA[[#Headers],[Q3 - First Time Fix]],QUALIDADE_CAB,0)), "-")</f>
        <v>2</v>
      </c>
      <c r="T47" s="34">
        <f>IFERROR(INDEX(QUALIDADE,MATCH(tblVIRARAM_PESQUISA[[#This Row],[CASE ID]],PROTOCOLO_PESQUISAS,0),MATCH(tblVIRARAM_PESQUISA[[#Headers],[Promoters]],QUALIDADE_CAB,0)), "-")</f>
        <v>1</v>
      </c>
      <c r="U47" s="34">
        <f>IFERROR(INDEX(QUALIDADE,MATCH(tblVIRARAM_PESQUISA[[#This Row],[CASE ID]],PROTOCOLO_PESQUISAS,0),MATCH(tblVIRARAM_PESQUISA[[#Headers],[Detractors]],QUALIDADE_CAB,0)), "-")</f>
        <v>0</v>
      </c>
    </row>
    <row r="48" spans="1:21">
      <c r="A48" s="3">
        <v>3035513063</v>
      </c>
      <c r="B48" s="3" t="s">
        <v>500</v>
      </c>
      <c r="C48" s="90">
        <v>42741.735176273149</v>
      </c>
      <c r="D48" s="33">
        <v>42743.735176273149</v>
      </c>
      <c r="E48" s="3" t="s">
        <v>32</v>
      </c>
      <c r="F48" s="3" t="s">
        <v>33</v>
      </c>
      <c r="G48" s="3" t="s">
        <v>302</v>
      </c>
      <c r="H48" s="3" t="s">
        <v>31</v>
      </c>
      <c r="I48" s="3" t="s">
        <v>817</v>
      </c>
      <c r="J48" s="3" t="s">
        <v>303</v>
      </c>
      <c r="K48" s="3" t="s">
        <v>305</v>
      </c>
      <c r="L48" s="44">
        <v>42744</v>
      </c>
      <c r="M48" s="3" t="s">
        <v>871</v>
      </c>
      <c r="N48" s="3" t="s">
        <v>84</v>
      </c>
      <c r="O48" s="3" t="s">
        <v>85</v>
      </c>
      <c r="P48" s="42">
        <v>42744</v>
      </c>
      <c r="Q48" s="34" t="s">
        <v>1210</v>
      </c>
      <c r="R48" s="34">
        <f>IFERROR(INDEX(QUALIDADE,MATCH(tblVIRARAM_PESQUISA[[#This Row],[CASE ID]],PROTOCOLO_PESQUISAS,0),MATCH(tblVIRARAM_PESQUISA[[#Headers],[Q2 - Problem Resolved]],QUALIDADE_CAB,0)), "-")</f>
        <v>2</v>
      </c>
      <c r="S48" s="34">
        <f>IFERROR(INDEX(QUALIDADE,MATCH(tblVIRARAM_PESQUISA[[#This Row],[CASE ID]],PROTOCOLO_PESQUISAS,0),MATCH(tblVIRARAM_PESQUISA[[#Headers],[Q3 - First Time Fix]],QUALIDADE_CAB,0)), "-")</f>
        <v>2</v>
      </c>
      <c r="T48" s="34">
        <f>IFERROR(INDEX(QUALIDADE,MATCH(tblVIRARAM_PESQUISA[[#This Row],[CASE ID]],PROTOCOLO_PESQUISAS,0),MATCH(tblVIRARAM_PESQUISA[[#Headers],[Promoters]],QUALIDADE_CAB,0)), "-")</f>
        <v>0</v>
      </c>
      <c r="U48" s="34">
        <f>IFERROR(INDEX(QUALIDADE,MATCH(tblVIRARAM_PESQUISA[[#This Row],[CASE ID]],PROTOCOLO_PESQUISAS,0),MATCH(tblVIRARAM_PESQUISA[[#Headers],[Detractors]],QUALIDADE_CAB,0)), "-")</f>
        <v>1</v>
      </c>
    </row>
    <row r="49" spans="1:21">
      <c r="A49" s="3">
        <v>3035554086</v>
      </c>
      <c r="B49" s="3" t="s">
        <v>500</v>
      </c>
      <c r="C49" s="90">
        <v>42741.735176273149</v>
      </c>
      <c r="D49" s="33">
        <v>42743.735176273149</v>
      </c>
      <c r="E49" s="3" t="s">
        <v>846</v>
      </c>
      <c r="F49" s="3" t="s">
        <v>846</v>
      </c>
      <c r="G49" s="3" t="s">
        <v>301</v>
      </c>
      <c r="H49" s="3" t="s">
        <v>273</v>
      </c>
      <c r="I49" s="3" t="s">
        <v>817</v>
      </c>
      <c r="J49" s="3" t="s">
        <v>304</v>
      </c>
      <c r="K49" s="3" t="s">
        <v>306</v>
      </c>
      <c r="L49" s="44">
        <v>42744</v>
      </c>
      <c r="M49" s="3" t="s">
        <v>871</v>
      </c>
      <c r="N49" s="3" t="s">
        <v>84</v>
      </c>
      <c r="O49" s="3" t="s">
        <v>85</v>
      </c>
      <c r="P49" s="42">
        <v>42744</v>
      </c>
      <c r="Q49" s="34" t="s">
        <v>1210</v>
      </c>
      <c r="R49" s="34">
        <f>IFERROR(INDEX(QUALIDADE,MATCH(tblVIRARAM_PESQUISA[[#This Row],[CASE ID]],PROTOCOLO_PESQUISAS,0),MATCH(tblVIRARAM_PESQUISA[[#Headers],[Q2 - Problem Resolved]],QUALIDADE_CAB,0)), "-")</f>
        <v>1</v>
      </c>
      <c r="S49" s="34">
        <f>IFERROR(INDEX(QUALIDADE,MATCH(tblVIRARAM_PESQUISA[[#This Row],[CASE ID]],PROTOCOLO_PESQUISAS,0),MATCH(tblVIRARAM_PESQUISA[[#Headers],[Q3 - First Time Fix]],QUALIDADE_CAB,0)), "-")</f>
        <v>1</v>
      </c>
      <c r="T49" s="34">
        <f>IFERROR(INDEX(QUALIDADE,MATCH(tblVIRARAM_PESQUISA[[#This Row],[CASE ID]],PROTOCOLO_PESQUISAS,0),MATCH(tblVIRARAM_PESQUISA[[#Headers],[Promoters]],QUALIDADE_CAB,0)), "-")</f>
        <v>1</v>
      </c>
      <c r="U49" s="34">
        <f>IFERROR(INDEX(QUALIDADE,MATCH(tblVIRARAM_PESQUISA[[#This Row],[CASE ID]],PROTOCOLO_PESQUISAS,0),MATCH(tblVIRARAM_PESQUISA[[#Headers],[Detractors]],QUALIDADE_CAB,0)), "-")</f>
        <v>0</v>
      </c>
    </row>
    <row r="50" spans="1:21">
      <c r="A50" s="3">
        <v>3035541726</v>
      </c>
      <c r="B50" s="3" t="s">
        <v>500</v>
      </c>
      <c r="C50" s="90">
        <v>42741.735176273149</v>
      </c>
      <c r="D50" s="33">
        <v>42743.735176273149</v>
      </c>
      <c r="E50" s="3" t="s">
        <v>13</v>
      </c>
      <c r="F50" s="3" t="s">
        <v>13</v>
      </c>
      <c r="G50" s="3" t="s">
        <v>301</v>
      </c>
      <c r="H50" s="3" t="s">
        <v>9</v>
      </c>
      <c r="I50" s="3" t="s">
        <v>817</v>
      </c>
      <c r="J50" s="3" t="s">
        <v>304</v>
      </c>
      <c r="K50" s="3" t="s">
        <v>307</v>
      </c>
      <c r="L50" s="44">
        <v>42744</v>
      </c>
      <c r="M50" s="3" t="s">
        <v>866</v>
      </c>
      <c r="N50" s="3" t="s">
        <v>59</v>
      </c>
      <c r="O50" s="3" t="s">
        <v>60</v>
      </c>
      <c r="P50" s="42">
        <v>42744</v>
      </c>
      <c r="Q50" s="34" t="s">
        <v>1210</v>
      </c>
      <c r="R50" s="34">
        <f>IFERROR(INDEX(QUALIDADE,MATCH(tblVIRARAM_PESQUISA[[#This Row],[CASE ID]],PROTOCOLO_PESQUISAS,0),MATCH(tblVIRARAM_PESQUISA[[#Headers],[Q2 - Problem Resolved]],QUALIDADE_CAB,0)), "-")</f>
        <v>1</v>
      </c>
      <c r="S50" s="34">
        <f>IFERROR(INDEX(QUALIDADE,MATCH(tblVIRARAM_PESQUISA[[#This Row],[CASE ID]],PROTOCOLO_PESQUISAS,0),MATCH(tblVIRARAM_PESQUISA[[#Headers],[Q3 - First Time Fix]],QUALIDADE_CAB,0)), "-")</f>
        <v>1</v>
      </c>
      <c r="T50" s="34">
        <f>IFERROR(INDEX(QUALIDADE,MATCH(tblVIRARAM_PESQUISA[[#This Row],[CASE ID]],PROTOCOLO_PESQUISAS,0),MATCH(tblVIRARAM_PESQUISA[[#Headers],[Promoters]],QUALIDADE_CAB,0)), "-")</f>
        <v>1</v>
      </c>
      <c r="U50" s="34">
        <f>IFERROR(INDEX(QUALIDADE,MATCH(tblVIRARAM_PESQUISA[[#This Row],[CASE ID]],PROTOCOLO_PESQUISAS,0),MATCH(tblVIRARAM_PESQUISA[[#Headers],[Detractors]],QUALIDADE_CAB,0)), "-")</f>
        <v>0</v>
      </c>
    </row>
    <row r="51" spans="1:21">
      <c r="A51" s="3">
        <v>3035519653</v>
      </c>
      <c r="B51" s="3" t="s">
        <v>500</v>
      </c>
      <c r="C51" s="90">
        <v>42740.73709116898</v>
      </c>
      <c r="D51" s="33">
        <v>42742.73709116898</v>
      </c>
      <c r="E51" s="3" t="s">
        <v>30</v>
      </c>
      <c r="F51" s="3" t="s">
        <v>30</v>
      </c>
      <c r="G51" s="3" t="s">
        <v>301</v>
      </c>
      <c r="H51" s="3" t="s">
        <v>23</v>
      </c>
      <c r="I51" s="3" t="s">
        <v>817</v>
      </c>
      <c r="J51" s="3" t="s">
        <v>304</v>
      </c>
      <c r="K51" s="3" t="s">
        <v>306</v>
      </c>
      <c r="L51" s="44">
        <v>42744</v>
      </c>
      <c r="M51" s="3" t="s">
        <v>866</v>
      </c>
      <c r="N51" s="3" t="s">
        <v>59</v>
      </c>
      <c r="O51" s="3" t="s">
        <v>60</v>
      </c>
      <c r="P51" s="42">
        <v>42744</v>
      </c>
      <c r="Q51" s="34" t="s">
        <v>1210</v>
      </c>
      <c r="R51" s="34">
        <f>IFERROR(INDEX(QUALIDADE,MATCH(tblVIRARAM_PESQUISA[[#This Row],[CASE ID]],PROTOCOLO_PESQUISAS,0),MATCH(tblVIRARAM_PESQUISA[[#Headers],[Q2 - Problem Resolved]],QUALIDADE_CAB,0)), "-")</f>
        <v>1</v>
      </c>
      <c r="S51" s="34">
        <f>IFERROR(INDEX(QUALIDADE,MATCH(tblVIRARAM_PESQUISA[[#This Row],[CASE ID]],PROTOCOLO_PESQUISAS,0),MATCH(tblVIRARAM_PESQUISA[[#Headers],[Q3 - First Time Fix]],QUALIDADE_CAB,0)), "-")</f>
        <v>1</v>
      </c>
      <c r="T51" s="34">
        <f>IFERROR(INDEX(QUALIDADE,MATCH(tblVIRARAM_PESQUISA[[#This Row],[CASE ID]],PROTOCOLO_PESQUISAS,0),MATCH(tblVIRARAM_PESQUISA[[#Headers],[Promoters]],QUALIDADE_CAB,0)), "-")</f>
        <v>1</v>
      </c>
      <c r="U51" s="34">
        <f>IFERROR(INDEX(QUALIDADE,MATCH(tblVIRARAM_PESQUISA[[#This Row],[CASE ID]],PROTOCOLO_PESQUISAS,0),MATCH(tblVIRARAM_PESQUISA[[#Headers],[Detractors]],QUALIDADE_CAB,0)), "-")</f>
        <v>0</v>
      </c>
    </row>
    <row r="52" spans="1:21">
      <c r="A52" s="3">
        <v>3035356226</v>
      </c>
      <c r="B52" s="3" t="s">
        <v>500</v>
      </c>
      <c r="C52" s="90">
        <v>42740.73709116898</v>
      </c>
      <c r="D52" s="33">
        <v>42742.73709116898</v>
      </c>
      <c r="E52" s="3" t="s">
        <v>16</v>
      </c>
      <c r="F52" s="3" t="s">
        <v>19</v>
      </c>
      <c r="G52" s="3" t="s">
        <v>302</v>
      </c>
      <c r="H52" s="3" t="s">
        <v>9</v>
      </c>
      <c r="I52" s="3" t="s">
        <v>817</v>
      </c>
      <c r="J52" s="3" t="s">
        <v>303</v>
      </c>
      <c r="K52" s="3" t="s">
        <v>2145</v>
      </c>
      <c r="L52" s="44">
        <v>42744</v>
      </c>
      <c r="M52" s="3" t="s">
        <v>866</v>
      </c>
      <c r="N52" s="3" t="s">
        <v>59</v>
      </c>
      <c r="O52" s="3" t="s">
        <v>60</v>
      </c>
      <c r="P52" s="42">
        <v>42744</v>
      </c>
      <c r="Q52" s="34" t="s">
        <v>1210</v>
      </c>
      <c r="R52" s="34">
        <f>IFERROR(INDEX(QUALIDADE,MATCH(tblVIRARAM_PESQUISA[[#This Row],[CASE ID]],PROTOCOLO_PESQUISAS,0),MATCH(tblVIRARAM_PESQUISA[[#Headers],[Q2 - Problem Resolved]],QUALIDADE_CAB,0)), "-")</f>
        <v>1</v>
      </c>
      <c r="S52" s="34">
        <f>IFERROR(INDEX(QUALIDADE,MATCH(tblVIRARAM_PESQUISA[[#This Row],[CASE ID]],PROTOCOLO_PESQUISAS,0),MATCH(tblVIRARAM_PESQUISA[[#Headers],[Q3 - First Time Fix]],QUALIDADE_CAB,0)), "-")</f>
        <v>2</v>
      </c>
      <c r="T52" s="34">
        <f>IFERROR(INDEX(QUALIDADE,MATCH(tblVIRARAM_PESQUISA[[#This Row],[CASE ID]],PROTOCOLO_PESQUISAS,0),MATCH(tblVIRARAM_PESQUISA[[#Headers],[Promoters]],QUALIDADE_CAB,0)), "-")</f>
        <v>1</v>
      </c>
      <c r="U52" s="34">
        <f>IFERROR(INDEX(QUALIDADE,MATCH(tblVIRARAM_PESQUISA[[#This Row],[CASE ID]],PROTOCOLO_PESQUISAS,0),MATCH(tblVIRARAM_PESQUISA[[#Headers],[Detractors]],QUALIDADE_CAB,0)), "-")</f>
        <v>0</v>
      </c>
    </row>
    <row r="53" spans="1:21">
      <c r="A53" s="3">
        <v>3035508258</v>
      </c>
      <c r="B53" s="3" t="s">
        <v>500</v>
      </c>
      <c r="C53" s="90">
        <v>42740.73709116898</v>
      </c>
      <c r="D53" s="33">
        <v>42742.73709116898</v>
      </c>
      <c r="E53" s="3" t="s">
        <v>54</v>
      </c>
      <c r="F53" s="3" t="s">
        <v>54</v>
      </c>
      <c r="G53" s="3" t="s">
        <v>301</v>
      </c>
      <c r="H53" s="3" t="s">
        <v>273</v>
      </c>
      <c r="I53" s="3" t="s">
        <v>817</v>
      </c>
      <c r="J53" s="3" t="s">
        <v>304</v>
      </c>
      <c r="K53" s="3" t="s">
        <v>1380</v>
      </c>
      <c r="L53" s="44">
        <v>42744</v>
      </c>
      <c r="M53" s="3" t="s">
        <v>866</v>
      </c>
      <c r="N53" s="3" t="s">
        <v>59</v>
      </c>
      <c r="O53" s="3" t="s">
        <v>60</v>
      </c>
      <c r="P53" s="42">
        <v>42744</v>
      </c>
      <c r="Q53" s="34" t="s">
        <v>1210</v>
      </c>
      <c r="R53" s="34">
        <f>IFERROR(INDEX(QUALIDADE,MATCH(tblVIRARAM_PESQUISA[[#This Row],[CASE ID]],PROTOCOLO_PESQUISAS,0),MATCH(tblVIRARAM_PESQUISA[[#Headers],[Q2 - Problem Resolved]],QUALIDADE_CAB,0)), "-")</f>
        <v>1</v>
      </c>
      <c r="S53" s="34">
        <f>IFERROR(INDEX(QUALIDADE,MATCH(tblVIRARAM_PESQUISA[[#This Row],[CASE ID]],PROTOCOLO_PESQUISAS,0),MATCH(tblVIRARAM_PESQUISA[[#Headers],[Q3 - First Time Fix]],QUALIDADE_CAB,0)), "-")</f>
        <v>1</v>
      </c>
      <c r="T53" s="34">
        <f>IFERROR(INDEX(QUALIDADE,MATCH(tblVIRARAM_PESQUISA[[#This Row],[CASE ID]],PROTOCOLO_PESQUISAS,0),MATCH(tblVIRARAM_PESQUISA[[#Headers],[Promoters]],QUALIDADE_CAB,0)), "-")</f>
        <v>1</v>
      </c>
      <c r="U53" s="34">
        <f>IFERROR(INDEX(QUALIDADE,MATCH(tblVIRARAM_PESQUISA[[#This Row],[CASE ID]],PROTOCOLO_PESQUISAS,0),MATCH(tblVIRARAM_PESQUISA[[#Headers],[Detractors]],QUALIDADE_CAB,0)), "-")</f>
        <v>0</v>
      </c>
    </row>
    <row r="54" spans="1:21">
      <c r="A54" s="3">
        <v>3035507050</v>
      </c>
      <c r="B54" s="3" t="s">
        <v>500</v>
      </c>
      <c r="C54" s="90">
        <v>42740.73709116898</v>
      </c>
      <c r="D54" s="33">
        <v>42742.73709116898</v>
      </c>
      <c r="E54" s="3" t="s">
        <v>1423</v>
      </c>
      <c r="F54" s="3" t="s">
        <v>1423</v>
      </c>
      <c r="G54" s="3" t="s">
        <v>301</v>
      </c>
      <c r="H54" s="3" t="s">
        <v>31</v>
      </c>
      <c r="I54" s="3" t="s">
        <v>817</v>
      </c>
      <c r="J54" s="3" t="s">
        <v>304</v>
      </c>
      <c r="K54" s="3" t="s">
        <v>306</v>
      </c>
      <c r="L54" s="44">
        <v>42744</v>
      </c>
      <c r="M54" s="3" t="s">
        <v>866</v>
      </c>
      <c r="N54" s="3" t="s">
        <v>59</v>
      </c>
      <c r="O54" s="3" t="s">
        <v>60</v>
      </c>
      <c r="P54" s="42">
        <v>42744</v>
      </c>
      <c r="Q54" s="34" t="s">
        <v>1210</v>
      </c>
      <c r="R54" s="34">
        <f>IFERROR(INDEX(QUALIDADE,MATCH(tblVIRARAM_PESQUISA[[#This Row],[CASE ID]],PROTOCOLO_PESQUISAS,0),MATCH(tblVIRARAM_PESQUISA[[#Headers],[Q2 - Problem Resolved]],QUALIDADE_CAB,0)), "-")</f>
        <v>1</v>
      </c>
      <c r="S54" s="34">
        <f>IFERROR(INDEX(QUALIDADE,MATCH(tblVIRARAM_PESQUISA[[#This Row],[CASE ID]],PROTOCOLO_PESQUISAS,0),MATCH(tblVIRARAM_PESQUISA[[#Headers],[Q3 - First Time Fix]],QUALIDADE_CAB,0)), "-")</f>
        <v>1</v>
      </c>
      <c r="T54" s="34">
        <f>IFERROR(INDEX(QUALIDADE,MATCH(tblVIRARAM_PESQUISA[[#This Row],[CASE ID]],PROTOCOLO_PESQUISAS,0),MATCH(tblVIRARAM_PESQUISA[[#Headers],[Promoters]],QUALIDADE_CAB,0)), "-")</f>
        <v>1</v>
      </c>
      <c r="U54" s="34">
        <f>IFERROR(INDEX(QUALIDADE,MATCH(tblVIRARAM_PESQUISA[[#This Row],[CASE ID]],PROTOCOLO_PESQUISAS,0),MATCH(tblVIRARAM_PESQUISA[[#Headers],[Detractors]],QUALIDADE_CAB,0)), "-")</f>
        <v>0</v>
      </c>
    </row>
    <row r="55" spans="1:21">
      <c r="A55" s="3">
        <v>3035445402</v>
      </c>
      <c r="B55" s="3" t="s">
        <v>500</v>
      </c>
      <c r="C55" s="90">
        <v>42738.737851504629</v>
      </c>
      <c r="D55" s="33">
        <v>42740.737851504629</v>
      </c>
      <c r="E55" s="3" t="s">
        <v>1537</v>
      </c>
      <c r="F55" s="3" t="s">
        <v>1537</v>
      </c>
      <c r="G55" s="3" t="s">
        <v>301</v>
      </c>
      <c r="H55" s="3" t="s">
        <v>23</v>
      </c>
      <c r="I55" s="3" t="s">
        <v>817</v>
      </c>
      <c r="J55" s="3" t="s">
        <v>304</v>
      </c>
      <c r="K55" s="3" t="s">
        <v>1539</v>
      </c>
      <c r="L55" s="44">
        <v>42741</v>
      </c>
      <c r="M55" s="3" t="s">
        <v>871</v>
      </c>
      <c r="N55" s="3" t="s">
        <v>84</v>
      </c>
      <c r="O55" s="3" t="s">
        <v>85</v>
      </c>
      <c r="P55" s="42">
        <v>42744</v>
      </c>
      <c r="Q55" s="34" t="s">
        <v>1210</v>
      </c>
      <c r="R55" s="34">
        <f>IFERROR(INDEX(QUALIDADE,MATCH(tblVIRARAM_PESQUISA[[#This Row],[CASE ID]],PROTOCOLO_PESQUISAS,0),MATCH(tblVIRARAM_PESQUISA[[#Headers],[Q2 - Problem Resolved]],QUALIDADE_CAB,0)), "-")</f>
        <v>2</v>
      </c>
      <c r="S55" s="34">
        <f>IFERROR(INDEX(QUALIDADE,MATCH(tblVIRARAM_PESQUISA[[#This Row],[CASE ID]],PROTOCOLO_PESQUISAS,0),MATCH(tblVIRARAM_PESQUISA[[#Headers],[Q3 - First Time Fix]],QUALIDADE_CAB,0)), "-")</f>
        <v>2</v>
      </c>
      <c r="T55" s="34">
        <f>IFERROR(INDEX(QUALIDADE,MATCH(tblVIRARAM_PESQUISA[[#This Row],[CASE ID]],PROTOCOLO_PESQUISAS,0),MATCH(tblVIRARAM_PESQUISA[[#Headers],[Promoters]],QUALIDADE_CAB,0)), "-")</f>
        <v>0</v>
      </c>
      <c r="U55" s="34">
        <f>IFERROR(INDEX(QUALIDADE,MATCH(tblVIRARAM_PESQUISA[[#This Row],[CASE ID]],PROTOCOLO_PESQUISAS,0),MATCH(tblVIRARAM_PESQUISA[[#Headers],[Detractors]],QUALIDADE_CAB,0)), "-")</f>
        <v>1</v>
      </c>
    </row>
    <row r="56" spans="1:21">
      <c r="A56" s="3">
        <v>3035433395</v>
      </c>
      <c r="B56" s="3" t="s">
        <v>500</v>
      </c>
      <c r="C56" s="90">
        <v>42738.737851504629</v>
      </c>
      <c r="D56" s="33">
        <v>42740.737851504629</v>
      </c>
      <c r="E56" s="3" t="s">
        <v>28</v>
      </c>
      <c r="F56" s="3" t="s">
        <v>28</v>
      </c>
      <c r="G56" s="3" t="s">
        <v>301</v>
      </c>
      <c r="H56" s="3" t="s">
        <v>9</v>
      </c>
      <c r="I56" s="3" t="s">
        <v>817</v>
      </c>
      <c r="J56" s="3" t="s">
        <v>304</v>
      </c>
      <c r="K56" s="3" t="s">
        <v>1546</v>
      </c>
      <c r="L56" s="44">
        <v>42741</v>
      </c>
      <c r="M56" s="3" t="s">
        <v>866</v>
      </c>
      <c r="N56" s="3" t="s">
        <v>70</v>
      </c>
      <c r="O56" s="3" t="s">
        <v>71</v>
      </c>
      <c r="P56" s="42">
        <v>42744</v>
      </c>
      <c r="Q56" s="34" t="s">
        <v>1210</v>
      </c>
      <c r="R56" s="34">
        <f>IFERROR(INDEX(QUALIDADE,MATCH(tblVIRARAM_PESQUISA[[#This Row],[CASE ID]],PROTOCOLO_PESQUISAS,0),MATCH(tblVIRARAM_PESQUISA[[#Headers],[Q2 - Problem Resolved]],QUALIDADE_CAB,0)), "-")</f>
        <v>1</v>
      </c>
      <c r="S56" s="34">
        <f>IFERROR(INDEX(QUALIDADE,MATCH(tblVIRARAM_PESQUISA[[#This Row],[CASE ID]],PROTOCOLO_PESQUISAS,0),MATCH(tblVIRARAM_PESQUISA[[#Headers],[Q3 - First Time Fix]],QUALIDADE_CAB,0)), "-")</f>
        <v>2</v>
      </c>
      <c r="T56" s="34">
        <f>IFERROR(INDEX(QUALIDADE,MATCH(tblVIRARAM_PESQUISA[[#This Row],[CASE ID]],PROTOCOLO_PESQUISAS,0),MATCH(tblVIRARAM_PESQUISA[[#Headers],[Promoters]],QUALIDADE_CAB,0)), "-")</f>
        <v>1</v>
      </c>
      <c r="U56" s="34">
        <f>IFERROR(INDEX(QUALIDADE,MATCH(tblVIRARAM_PESQUISA[[#This Row],[CASE ID]],PROTOCOLO_PESQUISAS,0),MATCH(tblVIRARAM_PESQUISA[[#Headers],[Detractors]],QUALIDADE_CAB,0)), "-")</f>
        <v>0</v>
      </c>
    </row>
    <row r="57" spans="1:21">
      <c r="A57" s="3">
        <v>3035570515</v>
      </c>
      <c r="B57" s="3" t="s">
        <v>500</v>
      </c>
      <c r="C57" s="90">
        <v>42742.734167210649</v>
      </c>
      <c r="D57" s="33">
        <v>42744.734167210649</v>
      </c>
      <c r="E57" s="3" t="s">
        <v>1373</v>
      </c>
      <c r="F57" s="3" t="s">
        <v>46</v>
      </c>
      <c r="G57" s="3" t="s">
        <v>302</v>
      </c>
      <c r="H57" s="3" t="s">
        <v>31</v>
      </c>
      <c r="I57" s="3" t="s">
        <v>817</v>
      </c>
      <c r="J57" s="3" t="s">
        <v>304</v>
      </c>
      <c r="K57" s="3" t="s">
        <v>306</v>
      </c>
      <c r="L57" s="44">
        <v>42379</v>
      </c>
      <c r="M57" s="3" t="s">
        <v>308</v>
      </c>
      <c r="N57" s="3" t="s">
        <v>308</v>
      </c>
      <c r="O57" s="3" t="s">
        <v>308</v>
      </c>
      <c r="P57" s="42">
        <v>42745</v>
      </c>
      <c r="Q57" s="34" t="s">
        <v>1377</v>
      </c>
      <c r="R57" s="34">
        <f>IFERROR(INDEX(QUALIDADE,MATCH(tblVIRARAM_PESQUISA[[#This Row],[CASE ID]],PROTOCOLO_PESQUISAS,0),MATCH(tblVIRARAM_PESQUISA[[#Headers],[Q2 - Problem Resolved]],QUALIDADE_CAB,0)), "-")</f>
        <v>1</v>
      </c>
      <c r="S57" s="34">
        <f>IFERROR(INDEX(QUALIDADE,MATCH(tblVIRARAM_PESQUISA[[#This Row],[CASE ID]],PROTOCOLO_PESQUISAS,0),MATCH(tblVIRARAM_PESQUISA[[#Headers],[Q3 - First Time Fix]],QUALIDADE_CAB,0)), "-")</f>
        <v>2</v>
      </c>
      <c r="T57" s="34">
        <f>IFERROR(INDEX(QUALIDADE,MATCH(tblVIRARAM_PESQUISA[[#This Row],[CASE ID]],PROTOCOLO_PESQUISAS,0),MATCH(tblVIRARAM_PESQUISA[[#Headers],[Promoters]],QUALIDADE_CAB,0)), "-")</f>
        <v>1</v>
      </c>
      <c r="U57" s="34">
        <f>IFERROR(INDEX(QUALIDADE,MATCH(tblVIRARAM_PESQUISA[[#This Row],[CASE ID]],PROTOCOLO_PESQUISAS,0),MATCH(tblVIRARAM_PESQUISA[[#Headers],[Detractors]],QUALIDADE_CAB,0)), "-")</f>
        <v>0</v>
      </c>
    </row>
    <row r="58" spans="1:21">
      <c r="A58" s="3">
        <v>3035569745</v>
      </c>
      <c r="B58" s="3" t="s">
        <v>500</v>
      </c>
      <c r="C58" s="90">
        <v>42742.734167210649</v>
      </c>
      <c r="D58" s="33">
        <v>42744.734167210649</v>
      </c>
      <c r="E58" s="3" t="s">
        <v>36</v>
      </c>
      <c r="F58" s="3" t="s">
        <v>36</v>
      </c>
      <c r="G58" s="3" t="s">
        <v>301</v>
      </c>
      <c r="H58" s="3" t="s">
        <v>31</v>
      </c>
      <c r="I58" s="3" t="s">
        <v>817</v>
      </c>
      <c r="J58" s="3" t="s">
        <v>303</v>
      </c>
      <c r="K58" s="3" t="s">
        <v>305</v>
      </c>
      <c r="L58" s="44">
        <v>42379</v>
      </c>
      <c r="M58" s="3">
        <v>0</v>
      </c>
      <c r="N58" s="3">
        <v>0</v>
      </c>
      <c r="O58" s="3">
        <v>0</v>
      </c>
      <c r="P58" s="42">
        <v>42745</v>
      </c>
      <c r="Q58" s="34" t="s">
        <v>1377</v>
      </c>
      <c r="R58" s="34">
        <f>IFERROR(INDEX(QUALIDADE,MATCH(tblVIRARAM_PESQUISA[[#This Row],[CASE ID]],PROTOCOLO_PESQUISAS,0),MATCH(tblVIRARAM_PESQUISA[[#Headers],[Q2 - Problem Resolved]],QUALIDADE_CAB,0)), "-")</f>
        <v>1</v>
      </c>
      <c r="S58" s="34">
        <f>IFERROR(INDEX(QUALIDADE,MATCH(tblVIRARAM_PESQUISA[[#This Row],[CASE ID]],PROTOCOLO_PESQUISAS,0),MATCH(tblVIRARAM_PESQUISA[[#Headers],[Q3 - First Time Fix]],QUALIDADE_CAB,0)), "-")</f>
        <v>1</v>
      </c>
      <c r="T58" s="34">
        <f>IFERROR(INDEX(QUALIDADE,MATCH(tblVIRARAM_PESQUISA[[#This Row],[CASE ID]],PROTOCOLO_PESQUISAS,0),MATCH(tblVIRARAM_PESQUISA[[#Headers],[Promoters]],QUALIDADE_CAB,0)), "-")</f>
        <v>1</v>
      </c>
      <c r="U58" s="34">
        <f>IFERROR(INDEX(QUALIDADE,MATCH(tblVIRARAM_PESQUISA[[#This Row],[CASE ID]],PROTOCOLO_PESQUISAS,0),MATCH(tblVIRARAM_PESQUISA[[#Headers],[Detractors]],QUALIDADE_CAB,0)), "-")</f>
        <v>0</v>
      </c>
    </row>
    <row r="59" spans="1:21">
      <c r="A59" s="3">
        <v>3035523555</v>
      </c>
      <c r="B59" s="3" t="s">
        <v>500</v>
      </c>
      <c r="C59" s="90">
        <v>42742.734167210649</v>
      </c>
      <c r="D59" s="33">
        <v>42744.734167210649</v>
      </c>
      <c r="E59" s="3" t="s">
        <v>1537</v>
      </c>
      <c r="F59" s="3" t="s">
        <v>27</v>
      </c>
      <c r="G59" s="3" t="s">
        <v>302</v>
      </c>
      <c r="H59" s="3" t="s">
        <v>23</v>
      </c>
      <c r="I59" s="3" t="s">
        <v>817</v>
      </c>
      <c r="J59" s="3" t="s">
        <v>303</v>
      </c>
      <c r="K59" s="3" t="s">
        <v>305</v>
      </c>
      <c r="L59" s="44">
        <v>42379</v>
      </c>
      <c r="M59" s="3" t="s">
        <v>871</v>
      </c>
      <c r="N59" s="3" t="s">
        <v>84</v>
      </c>
      <c r="O59" s="3" t="s">
        <v>85</v>
      </c>
      <c r="P59" s="42">
        <v>42745</v>
      </c>
      <c r="Q59" s="34" t="s">
        <v>1377</v>
      </c>
      <c r="R59" s="34">
        <f>IFERROR(INDEX(QUALIDADE,MATCH(tblVIRARAM_PESQUISA[[#This Row],[CASE ID]],PROTOCOLO_PESQUISAS,0),MATCH(tblVIRARAM_PESQUISA[[#Headers],[Q2 - Problem Resolved]],QUALIDADE_CAB,0)), "-")</f>
        <v>1</v>
      </c>
      <c r="S59" s="34">
        <f>IFERROR(INDEX(QUALIDADE,MATCH(tblVIRARAM_PESQUISA[[#This Row],[CASE ID]],PROTOCOLO_PESQUISAS,0),MATCH(tblVIRARAM_PESQUISA[[#Headers],[Q3 - First Time Fix]],QUALIDADE_CAB,0)), "-")</f>
        <v>1</v>
      </c>
      <c r="T59" s="34">
        <f>IFERROR(INDEX(QUALIDADE,MATCH(tblVIRARAM_PESQUISA[[#This Row],[CASE ID]],PROTOCOLO_PESQUISAS,0),MATCH(tblVIRARAM_PESQUISA[[#Headers],[Promoters]],QUALIDADE_CAB,0)), "-")</f>
        <v>1</v>
      </c>
      <c r="U59" s="34">
        <f>IFERROR(INDEX(QUALIDADE,MATCH(tblVIRARAM_PESQUISA[[#This Row],[CASE ID]],PROTOCOLO_PESQUISAS,0),MATCH(tblVIRARAM_PESQUISA[[#Headers],[Detractors]],QUALIDADE_CAB,0)), "-")</f>
        <v>0</v>
      </c>
    </row>
    <row r="60" spans="1:21">
      <c r="A60" s="3">
        <v>3035571963</v>
      </c>
      <c r="B60" s="3" t="s">
        <v>500</v>
      </c>
      <c r="C60" s="90">
        <v>42742.734167210649</v>
      </c>
      <c r="D60" s="33">
        <v>42744.734167210649</v>
      </c>
      <c r="E60" s="3" t="s">
        <v>2142</v>
      </c>
      <c r="F60" s="3" t="s">
        <v>2142</v>
      </c>
      <c r="G60" s="3" t="s">
        <v>301</v>
      </c>
      <c r="H60" s="3" t="s">
        <v>23</v>
      </c>
      <c r="I60" s="3" t="s">
        <v>817</v>
      </c>
      <c r="J60" s="3" t="s">
        <v>304</v>
      </c>
      <c r="K60" s="3" t="s">
        <v>2466</v>
      </c>
      <c r="L60" s="44">
        <v>42379</v>
      </c>
      <c r="M60" s="3">
        <v>0</v>
      </c>
      <c r="N60" s="3">
        <v>0</v>
      </c>
      <c r="O60" s="3">
        <v>0</v>
      </c>
      <c r="P60" s="42">
        <v>42745</v>
      </c>
      <c r="Q60" s="34" t="s">
        <v>1377</v>
      </c>
      <c r="R60" s="34">
        <f>IFERROR(INDEX(QUALIDADE,MATCH(tblVIRARAM_PESQUISA[[#This Row],[CASE ID]],PROTOCOLO_PESQUISAS,0),MATCH(tblVIRARAM_PESQUISA[[#Headers],[Q2 - Problem Resolved]],QUALIDADE_CAB,0)), "-")</f>
        <v>1</v>
      </c>
      <c r="S60" s="34">
        <f>IFERROR(INDEX(QUALIDADE,MATCH(tblVIRARAM_PESQUISA[[#This Row],[CASE ID]],PROTOCOLO_PESQUISAS,0),MATCH(tblVIRARAM_PESQUISA[[#Headers],[Q3 - First Time Fix]],QUALIDADE_CAB,0)), "-")</f>
        <v>1</v>
      </c>
      <c r="T60" s="34">
        <f>IFERROR(INDEX(QUALIDADE,MATCH(tblVIRARAM_PESQUISA[[#This Row],[CASE ID]],PROTOCOLO_PESQUISAS,0),MATCH(tblVIRARAM_PESQUISA[[#Headers],[Promoters]],QUALIDADE_CAB,0)), "-")</f>
        <v>1</v>
      </c>
      <c r="U60" s="34">
        <f>IFERROR(INDEX(QUALIDADE,MATCH(tblVIRARAM_PESQUISA[[#This Row],[CASE ID]],PROTOCOLO_PESQUISAS,0),MATCH(tblVIRARAM_PESQUISA[[#Headers],[Detractors]],QUALIDADE_CAB,0)), "-")</f>
        <v>0</v>
      </c>
    </row>
    <row r="61" spans="1:21">
      <c r="A61" s="3">
        <v>3035570136</v>
      </c>
      <c r="B61" s="3" t="s">
        <v>500</v>
      </c>
      <c r="C61" s="90">
        <v>42742.734167210649</v>
      </c>
      <c r="D61" s="33">
        <v>42744.734167210649</v>
      </c>
      <c r="E61" s="3" t="s">
        <v>46</v>
      </c>
      <c r="F61" s="3" t="s">
        <v>46</v>
      </c>
      <c r="G61" s="3" t="s">
        <v>301</v>
      </c>
      <c r="H61" s="3" t="s">
        <v>39</v>
      </c>
      <c r="I61" s="3" t="s">
        <v>817</v>
      </c>
      <c r="J61" s="3" t="s">
        <v>304</v>
      </c>
      <c r="K61" s="3" t="s">
        <v>307</v>
      </c>
      <c r="L61" s="44">
        <v>42379</v>
      </c>
      <c r="M61" s="3">
        <v>0</v>
      </c>
      <c r="N61" s="3">
        <v>0</v>
      </c>
      <c r="O61" s="3">
        <v>0</v>
      </c>
      <c r="P61" s="42">
        <v>42745</v>
      </c>
      <c r="Q61" s="34" t="s">
        <v>1377</v>
      </c>
      <c r="R61" s="34">
        <f>IFERROR(INDEX(QUALIDADE,MATCH(tblVIRARAM_PESQUISA[[#This Row],[CASE ID]],PROTOCOLO_PESQUISAS,0),MATCH(tblVIRARAM_PESQUISA[[#Headers],[Q2 - Problem Resolved]],QUALIDADE_CAB,0)), "-")</f>
        <v>1</v>
      </c>
      <c r="S61" s="34">
        <f>IFERROR(INDEX(QUALIDADE,MATCH(tblVIRARAM_PESQUISA[[#This Row],[CASE ID]],PROTOCOLO_PESQUISAS,0),MATCH(tblVIRARAM_PESQUISA[[#Headers],[Q3 - First Time Fix]],QUALIDADE_CAB,0)), "-")</f>
        <v>1</v>
      </c>
      <c r="T61" s="34">
        <f>IFERROR(INDEX(QUALIDADE,MATCH(tblVIRARAM_PESQUISA[[#This Row],[CASE ID]],PROTOCOLO_PESQUISAS,0),MATCH(tblVIRARAM_PESQUISA[[#Headers],[Promoters]],QUALIDADE_CAB,0)), "-")</f>
        <v>1</v>
      </c>
      <c r="U61" s="34">
        <f>IFERROR(INDEX(QUALIDADE,MATCH(tblVIRARAM_PESQUISA[[#This Row],[CASE ID]],PROTOCOLO_PESQUISAS,0),MATCH(tblVIRARAM_PESQUISA[[#Headers],[Detractors]],QUALIDADE_CAB,0)), "-")</f>
        <v>0</v>
      </c>
    </row>
    <row r="62" spans="1:21">
      <c r="A62" s="3">
        <v>3035553407</v>
      </c>
      <c r="B62" s="3" t="s">
        <v>500</v>
      </c>
      <c r="C62" s="90">
        <v>42741.735176273149</v>
      </c>
      <c r="D62" s="33">
        <v>42743.735176273149</v>
      </c>
      <c r="E62" s="3" t="s">
        <v>2142</v>
      </c>
      <c r="F62" s="3" t="s">
        <v>2142</v>
      </c>
      <c r="G62" s="3" t="s">
        <v>301</v>
      </c>
      <c r="H62" s="3" t="s">
        <v>23</v>
      </c>
      <c r="I62" s="3" t="s">
        <v>817</v>
      </c>
      <c r="J62" s="3" t="s">
        <v>304</v>
      </c>
      <c r="K62" s="3" t="s">
        <v>307</v>
      </c>
      <c r="L62" s="44">
        <v>42744</v>
      </c>
      <c r="M62" s="3" t="s">
        <v>866</v>
      </c>
      <c r="N62" s="3" t="s">
        <v>59</v>
      </c>
      <c r="O62" s="3" t="s">
        <v>60</v>
      </c>
      <c r="P62" s="42">
        <v>42745</v>
      </c>
      <c r="Q62" s="34" t="s">
        <v>1377</v>
      </c>
      <c r="R62" s="34">
        <f>IFERROR(INDEX(QUALIDADE,MATCH(tblVIRARAM_PESQUISA[[#This Row],[CASE ID]],PROTOCOLO_PESQUISAS,0),MATCH(tblVIRARAM_PESQUISA[[#Headers],[Q2 - Problem Resolved]],QUALIDADE_CAB,0)), "-")</f>
        <v>1</v>
      </c>
      <c r="S62" s="34">
        <f>IFERROR(INDEX(QUALIDADE,MATCH(tblVIRARAM_PESQUISA[[#This Row],[CASE ID]],PROTOCOLO_PESQUISAS,0),MATCH(tblVIRARAM_PESQUISA[[#Headers],[Q3 - First Time Fix]],QUALIDADE_CAB,0)), "-")</f>
        <v>1</v>
      </c>
      <c r="T62" s="34">
        <f>IFERROR(INDEX(QUALIDADE,MATCH(tblVIRARAM_PESQUISA[[#This Row],[CASE ID]],PROTOCOLO_PESQUISAS,0),MATCH(tblVIRARAM_PESQUISA[[#Headers],[Promoters]],QUALIDADE_CAB,0)), "-")</f>
        <v>1</v>
      </c>
      <c r="U62" s="34">
        <f>IFERROR(INDEX(QUALIDADE,MATCH(tblVIRARAM_PESQUISA[[#This Row],[CASE ID]],PROTOCOLO_PESQUISAS,0),MATCH(tblVIRARAM_PESQUISA[[#Headers],[Detractors]],QUALIDADE_CAB,0)), "-")</f>
        <v>0</v>
      </c>
    </row>
    <row r="63" spans="1:21">
      <c r="A63" s="3">
        <v>3035547143</v>
      </c>
      <c r="B63" s="3" t="s">
        <v>500</v>
      </c>
      <c r="C63" s="90">
        <v>42741.735176273149</v>
      </c>
      <c r="D63" s="33">
        <v>42743.735176273149</v>
      </c>
      <c r="E63" s="3" t="s">
        <v>16</v>
      </c>
      <c r="F63" s="3" t="s">
        <v>16</v>
      </c>
      <c r="G63" s="3" t="s">
        <v>301</v>
      </c>
      <c r="H63" s="3" t="s">
        <v>9</v>
      </c>
      <c r="I63" s="3" t="s">
        <v>817</v>
      </c>
      <c r="J63" s="3" t="s">
        <v>303</v>
      </c>
      <c r="K63" s="3" t="s">
        <v>305</v>
      </c>
      <c r="L63" s="44">
        <v>42744</v>
      </c>
      <c r="M63" s="3" t="s">
        <v>871</v>
      </c>
      <c r="N63" s="3" t="s">
        <v>84</v>
      </c>
      <c r="O63" s="3" t="s">
        <v>85</v>
      </c>
      <c r="P63" s="42">
        <v>42745</v>
      </c>
      <c r="Q63" s="34" t="s">
        <v>1377</v>
      </c>
      <c r="R63" s="34">
        <f>IFERROR(INDEX(QUALIDADE,MATCH(tblVIRARAM_PESQUISA[[#This Row],[CASE ID]],PROTOCOLO_PESQUISAS,0),MATCH(tblVIRARAM_PESQUISA[[#Headers],[Q2 - Problem Resolved]],QUALIDADE_CAB,0)), "-")</f>
        <v>1</v>
      </c>
      <c r="S63" s="34">
        <f>IFERROR(INDEX(QUALIDADE,MATCH(tblVIRARAM_PESQUISA[[#This Row],[CASE ID]],PROTOCOLO_PESQUISAS,0),MATCH(tblVIRARAM_PESQUISA[[#Headers],[Q3 - First Time Fix]],QUALIDADE_CAB,0)), "-")</f>
        <v>1</v>
      </c>
      <c r="T63" s="34">
        <f>IFERROR(INDEX(QUALIDADE,MATCH(tblVIRARAM_PESQUISA[[#This Row],[CASE ID]],PROTOCOLO_PESQUISAS,0),MATCH(tblVIRARAM_PESQUISA[[#Headers],[Promoters]],QUALIDADE_CAB,0)), "-")</f>
        <v>0</v>
      </c>
      <c r="U63" s="34">
        <f>IFERROR(INDEX(QUALIDADE,MATCH(tblVIRARAM_PESQUISA[[#This Row],[CASE ID]],PROTOCOLO_PESQUISAS,0),MATCH(tblVIRARAM_PESQUISA[[#Headers],[Detractors]],QUALIDADE_CAB,0)), "-")</f>
        <v>0</v>
      </c>
    </row>
    <row r="64" spans="1:21">
      <c r="A64" s="3">
        <v>3035507266</v>
      </c>
      <c r="B64" s="3" t="s">
        <v>500</v>
      </c>
      <c r="C64" s="90">
        <v>42740.73709116898</v>
      </c>
      <c r="D64" s="33">
        <v>42742.73709116898</v>
      </c>
      <c r="E64" s="3" t="s">
        <v>54</v>
      </c>
      <c r="F64" s="3" t="s">
        <v>54</v>
      </c>
      <c r="G64" s="3" t="s">
        <v>301</v>
      </c>
      <c r="H64" s="3" t="s">
        <v>273</v>
      </c>
      <c r="I64" s="3" t="s">
        <v>817</v>
      </c>
      <c r="J64" s="3" t="s">
        <v>304</v>
      </c>
      <c r="K64" s="3" t="s">
        <v>307</v>
      </c>
      <c r="L64" s="44">
        <v>42744</v>
      </c>
      <c r="M64" s="3" t="s">
        <v>866</v>
      </c>
      <c r="N64" s="3" t="s">
        <v>59</v>
      </c>
      <c r="O64" s="3" t="s">
        <v>60</v>
      </c>
      <c r="P64" s="42">
        <v>42745</v>
      </c>
      <c r="Q64" s="34" t="s">
        <v>1377</v>
      </c>
      <c r="R64" s="34">
        <f>IFERROR(INDEX(QUALIDADE,MATCH(tblVIRARAM_PESQUISA[[#This Row],[CASE ID]],PROTOCOLO_PESQUISAS,0),MATCH(tblVIRARAM_PESQUISA[[#Headers],[Q2 - Problem Resolved]],QUALIDADE_CAB,0)), "-")</f>
        <v>1</v>
      </c>
      <c r="S64" s="34">
        <f>IFERROR(INDEX(QUALIDADE,MATCH(tblVIRARAM_PESQUISA[[#This Row],[CASE ID]],PROTOCOLO_PESQUISAS,0),MATCH(tblVIRARAM_PESQUISA[[#Headers],[Q3 - First Time Fix]],QUALIDADE_CAB,0)), "-")</f>
        <v>1</v>
      </c>
      <c r="T64" s="34">
        <f>IFERROR(INDEX(QUALIDADE,MATCH(tblVIRARAM_PESQUISA[[#This Row],[CASE ID]],PROTOCOLO_PESQUISAS,0),MATCH(tblVIRARAM_PESQUISA[[#Headers],[Promoters]],QUALIDADE_CAB,0)), "-")</f>
        <v>1</v>
      </c>
      <c r="U64" s="34">
        <f>IFERROR(INDEX(QUALIDADE,MATCH(tblVIRARAM_PESQUISA[[#This Row],[CASE ID]],PROTOCOLO_PESQUISAS,0),MATCH(tblVIRARAM_PESQUISA[[#Headers],[Detractors]],QUALIDADE_CAB,0)), "-")</f>
        <v>0</v>
      </c>
    </row>
    <row r="65" spans="1:21">
      <c r="A65" s="3">
        <v>3035487225</v>
      </c>
      <c r="B65" s="3" t="s">
        <v>500</v>
      </c>
      <c r="C65" s="90">
        <v>42739.73704378472</v>
      </c>
      <c r="D65" s="33">
        <v>42741.73704378472</v>
      </c>
      <c r="E65" s="3" t="s">
        <v>27</v>
      </c>
      <c r="F65" s="3" t="s">
        <v>27</v>
      </c>
      <c r="G65" s="3" t="s">
        <v>301</v>
      </c>
      <c r="H65" s="3" t="s">
        <v>23</v>
      </c>
      <c r="I65" s="3" t="s">
        <v>811</v>
      </c>
      <c r="J65" s="3" t="s">
        <v>304</v>
      </c>
      <c r="K65" s="3" t="s">
        <v>1563</v>
      </c>
      <c r="L65" s="44">
        <v>42742.506944444445</v>
      </c>
      <c r="M65" s="3" t="s">
        <v>871</v>
      </c>
      <c r="N65" s="3" t="s">
        <v>84</v>
      </c>
      <c r="O65" s="3" t="s">
        <v>85</v>
      </c>
      <c r="P65" s="42">
        <v>42745</v>
      </c>
      <c r="Q65" s="34" t="s">
        <v>1377</v>
      </c>
      <c r="R65" s="34">
        <f>IFERROR(INDEX(QUALIDADE,MATCH(tblVIRARAM_PESQUISA[[#This Row],[CASE ID]],PROTOCOLO_PESQUISAS,0),MATCH(tblVIRARAM_PESQUISA[[#Headers],[Q2 - Problem Resolved]],QUALIDADE_CAB,0)), "-")</f>
        <v>1</v>
      </c>
      <c r="S65" s="34">
        <f>IFERROR(INDEX(QUALIDADE,MATCH(tblVIRARAM_PESQUISA[[#This Row],[CASE ID]],PROTOCOLO_PESQUISAS,0),MATCH(tblVIRARAM_PESQUISA[[#Headers],[Q3 - First Time Fix]],QUALIDADE_CAB,0)), "-")</f>
        <v>1</v>
      </c>
      <c r="T65" s="34">
        <f>IFERROR(INDEX(QUALIDADE,MATCH(tblVIRARAM_PESQUISA[[#This Row],[CASE ID]],PROTOCOLO_PESQUISAS,0),MATCH(tblVIRARAM_PESQUISA[[#Headers],[Promoters]],QUALIDADE_CAB,0)), "-")</f>
        <v>1</v>
      </c>
      <c r="U65" s="34">
        <f>IFERROR(INDEX(QUALIDADE,MATCH(tblVIRARAM_PESQUISA[[#This Row],[CASE ID]],PROTOCOLO_PESQUISAS,0),MATCH(tblVIRARAM_PESQUISA[[#Headers],[Detractors]],QUALIDADE_CAB,0)), "-")</f>
        <v>0</v>
      </c>
    </row>
    <row r="66" spans="1:21">
      <c r="A66" s="3">
        <v>3035473954</v>
      </c>
      <c r="B66" s="3" t="s">
        <v>500</v>
      </c>
      <c r="C66" s="90">
        <v>42739.73704378472</v>
      </c>
      <c r="D66" s="33">
        <v>42741.73704378472</v>
      </c>
      <c r="E66" s="3" t="s">
        <v>28</v>
      </c>
      <c r="F66" s="3" t="s">
        <v>28</v>
      </c>
      <c r="G66" s="3" t="s">
        <v>301</v>
      </c>
      <c r="H66" s="3" t="s">
        <v>23</v>
      </c>
      <c r="I66" s="3" t="s">
        <v>811</v>
      </c>
      <c r="J66" s="3" t="s">
        <v>303</v>
      </c>
      <c r="K66" s="3" t="s">
        <v>1571</v>
      </c>
      <c r="L66" s="44">
        <v>42742.538888888892</v>
      </c>
      <c r="M66" s="3" t="s">
        <v>866</v>
      </c>
      <c r="N66" s="3" t="s">
        <v>59</v>
      </c>
      <c r="O66" s="3" t="s">
        <v>60</v>
      </c>
      <c r="P66" s="42">
        <v>42745</v>
      </c>
      <c r="Q66" s="34" t="s">
        <v>1377</v>
      </c>
      <c r="R66" s="34">
        <f>IFERROR(INDEX(QUALIDADE,MATCH(tblVIRARAM_PESQUISA[[#This Row],[CASE ID]],PROTOCOLO_PESQUISAS,0),MATCH(tblVIRARAM_PESQUISA[[#Headers],[Q2 - Problem Resolved]],QUALIDADE_CAB,0)), "-")</f>
        <v>1</v>
      </c>
      <c r="S66" s="34">
        <f>IFERROR(INDEX(QUALIDADE,MATCH(tblVIRARAM_PESQUISA[[#This Row],[CASE ID]],PROTOCOLO_PESQUISAS,0),MATCH(tblVIRARAM_PESQUISA[[#Headers],[Q3 - First Time Fix]],QUALIDADE_CAB,0)), "-")</f>
        <v>1</v>
      </c>
      <c r="T66" s="34">
        <f>IFERROR(INDEX(QUALIDADE,MATCH(tblVIRARAM_PESQUISA[[#This Row],[CASE ID]],PROTOCOLO_PESQUISAS,0),MATCH(tblVIRARAM_PESQUISA[[#Headers],[Promoters]],QUALIDADE_CAB,0)), "-")</f>
        <v>1</v>
      </c>
      <c r="U66" s="34">
        <f>IFERROR(INDEX(QUALIDADE,MATCH(tblVIRARAM_PESQUISA[[#This Row],[CASE ID]],PROTOCOLO_PESQUISAS,0),MATCH(tblVIRARAM_PESQUISA[[#Headers],[Detractors]],QUALIDADE_CAB,0)), "-")</f>
        <v>0</v>
      </c>
    </row>
    <row r="67" spans="1:21">
      <c r="A67" s="3">
        <v>3035477235</v>
      </c>
      <c r="B67" s="3" t="s">
        <v>500</v>
      </c>
      <c r="C67" s="90">
        <v>42739.73704378472</v>
      </c>
      <c r="D67" s="33">
        <v>42741.73704378472</v>
      </c>
      <c r="E67" s="3" t="s">
        <v>1549</v>
      </c>
      <c r="F67" s="3" t="s">
        <v>1549</v>
      </c>
      <c r="G67" s="3" t="s">
        <v>301</v>
      </c>
      <c r="H67" s="3" t="s">
        <v>9</v>
      </c>
      <c r="I67" s="3" t="s">
        <v>817</v>
      </c>
      <c r="J67" s="3" t="s">
        <v>304</v>
      </c>
      <c r="K67" s="3" t="s">
        <v>306</v>
      </c>
      <c r="L67" s="44">
        <v>42745</v>
      </c>
      <c r="M67" s="3" t="s">
        <v>866</v>
      </c>
      <c r="N67" s="3" t="s">
        <v>70</v>
      </c>
      <c r="O67" s="3" t="s">
        <v>71</v>
      </c>
      <c r="P67" s="42">
        <v>42745</v>
      </c>
      <c r="Q67" s="34" t="s">
        <v>1377</v>
      </c>
      <c r="R67" s="34">
        <f>IFERROR(INDEX(QUALIDADE,MATCH(tblVIRARAM_PESQUISA[[#This Row],[CASE ID]],PROTOCOLO_PESQUISAS,0),MATCH(tblVIRARAM_PESQUISA[[#Headers],[Q2 - Problem Resolved]],QUALIDADE_CAB,0)), "-")</f>
        <v>1</v>
      </c>
      <c r="S67" s="34">
        <f>IFERROR(INDEX(QUALIDADE,MATCH(tblVIRARAM_PESQUISA[[#This Row],[CASE ID]],PROTOCOLO_PESQUISAS,0),MATCH(tblVIRARAM_PESQUISA[[#Headers],[Q3 - First Time Fix]],QUALIDADE_CAB,0)), "-")</f>
        <v>1</v>
      </c>
      <c r="T67" s="34">
        <f>IFERROR(INDEX(QUALIDADE,MATCH(tblVIRARAM_PESQUISA[[#This Row],[CASE ID]],PROTOCOLO_PESQUISAS,0),MATCH(tblVIRARAM_PESQUISA[[#Headers],[Promoters]],QUALIDADE_CAB,0)), "-")</f>
        <v>1</v>
      </c>
      <c r="U67" s="34">
        <f>IFERROR(INDEX(QUALIDADE,MATCH(tblVIRARAM_PESQUISA[[#This Row],[CASE ID]],PROTOCOLO_PESQUISAS,0),MATCH(tblVIRARAM_PESQUISA[[#Headers],[Detractors]],QUALIDADE_CAB,0)), "-")</f>
        <v>0</v>
      </c>
    </row>
    <row r="68" spans="1:21">
      <c r="A68" s="3">
        <v>3035547664</v>
      </c>
      <c r="B68" s="3" t="s">
        <v>500</v>
      </c>
      <c r="C68" s="90">
        <v>42741.735176273149</v>
      </c>
      <c r="D68" s="33">
        <v>42743.735176273149</v>
      </c>
      <c r="E68" s="3" t="s">
        <v>27</v>
      </c>
      <c r="F68" s="3" t="s">
        <v>27</v>
      </c>
      <c r="G68" s="3" t="s">
        <v>301</v>
      </c>
      <c r="H68" s="3" t="s">
        <v>23</v>
      </c>
      <c r="I68" s="3" t="s">
        <v>817</v>
      </c>
      <c r="J68" s="3" t="s">
        <v>304</v>
      </c>
      <c r="K68" s="3" t="s">
        <v>307</v>
      </c>
      <c r="L68" s="44">
        <v>42744</v>
      </c>
      <c r="M68" s="3" t="s">
        <v>871</v>
      </c>
      <c r="N68" s="3" t="s">
        <v>84</v>
      </c>
      <c r="O68" s="3" t="s">
        <v>85</v>
      </c>
      <c r="P68" s="42">
        <v>42746</v>
      </c>
      <c r="Q68" s="34" t="s">
        <v>1524</v>
      </c>
      <c r="R68" s="34">
        <f>IFERROR(INDEX(QUALIDADE,MATCH(tblVIRARAM_PESQUISA[[#This Row],[CASE ID]],PROTOCOLO_PESQUISAS,0),MATCH(tblVIRARAM_PESQUISA[[#Headers],[Q2 - Problem Resolved]],QUALIDADE_CAB,0)), "-")</f>
        <v>1</v>
      </c>
      <c r="S68" s="34">
        <f>IFERROR(INDEX(QUALIDADE,MATCH(tblVIRARAM_PESQUISA[[#This Row],[CASE ID]],PROTOCOLO_PESQUISAS,0),MATCH(tblVIRARAM_PESQUISA[[#Headers],[Q3 - First Time Fix]],QUALIDADE_CAB,0)), "-")</f>
        <v>1</v>
      </c>
      <c r="T68" s="34">
        <f>IFERROR(INDEX(QUALIDADE,MATCH(tblVIRARAM_PESQUISA[[#This Row],[CASE ID]],PROTOCOLO_PESQUISAS,0),MATCH(tblVIRARAM_PESQUISA[[#Headers],[Promoters]],QUALIDADE_CAB,0)), "-")</f>
        <v>1</v>
      </c>
      <c r="U68" s="34">
        <f>IFERROR(INDEX(QUALIDADE,MATCH(tblVIRARAM_PESQUISA[[#This Row],[CASE ID]],PROTOCOLO_PESQUISAS,0),MATCH(tblVIRARAM_PESQUISA[[#Headers],[Detractors]],QUALIDADE_CAB,0)), "-")</f>
        <v>0</v>
      </c>
    </row>
    <row r="69" spans="1:21">
      <c r="A69" s="3">
        <v>3035510359</v>
      </c>
      <c r="B69" s="3" t="s">
        <v>500</v>
      </c>
      <c r="C69" s="90">
        <v>42740.73709116898</v>
      </c>
      <c r="D69" s="33">
        <v>42742.73709116898</v>
      </c>
      <c r="E69" s="3" t="s">
        <v>16</v>
      </c>
      <c r="F69" s="3" t="s">
        <v>55</v>
      </c>
      <c r="G69" s="3" t="s">
        <v>302</v>
      </c>
      <c r="H69" s="3" t="s">
        <v>9</v>
      </c>
      <c r="I69" s="3" t="s">
        <v>817</v>
      </c>
      <c r="J69" s="3" t="s">
        <v>303</v>
      </c>
      <c r="K69" s="3" t="s">
        <v>305</v>
      </c>
      <c r="L69" s="44">
        <v>42744</v>
      </c>
      <c r="M69" s="3" t="s">
        <v>871</v>
      </c>
      <c r="N69" s="3" t="s">
        <v>84</v>
      </c>
      <c r="O69" s="3" t="s">
        <v>85</v>
      </c>
      <c r="P69" s="42">
        <v>42746</v>
      </c>
      <c r="Q69" s="34" t="s">
        <v>1524</v>
      </c>
      <c r="R69" s="34">
        <f>IFERROR(INDEX(QUALIDADE,MATCH(tblVIRARAM_PESQUISA[[#This Row],[CASE ID]],PROTOCOLO_PESQUISAS,0),MATCH(tblVIRARAM_PESQUISA[[#Headers],[Q2 - Problem Resolved]],QUALIDADE_CAB,0)), "-")</f>
        <v>1</v>
      </c>
      <c r="S69" s="34">
        <f>IFERROR(INDEX(QUALIDADE,MATCH(tblVIRARAM_PESQUISA[[#This Row],[CASE ID]],PROTOCOLO_PESQUISAS,0),MATCH(tblVIRARAM_PESQUISA[[#Headers],[Q3 - First Time Fix]],QUALIDADE_CAB,0)), "-")</f>
        <v>1</v>
      </c>
      <c r="T69" s="34">
        <f>IFERROR(INDEX(QUALIDADE,MATCH(tblVIRARAM_PESQUISA[[#This Row],[CASE ID]],PROTOCOLO_PESQUISAS,0),MATCH(tblVIRARAM_PESQUISA[[#Headers],[Promoters]],QUALIDADE_CAB,0)), "-")</f>
        <v>1</v>
      </c>
      <c r="U69" s="34">
        <f>IFERROR(INDEX(QUALIDADE,MATCH(tblVIRARAM_PESQUISA[[#This Row],[CASE ID]],PROTOCOLO_PESQUISAS,0),MATCH(tblVIRARAM_PESQUISA[[#Headers],[Detractors]],QUALIDADE_CAB,0)), "-")</f>
        <v>0</v>
      </c>
    </row>
    <row r="70" spans="1:21">
      <c r="A70" s="3">
        <v>3035511175</v>
      </c>
      <c r="B70" s="3" t="s">
        <v>500</v>
      </c>
      <c r="C70" s="90">
        <v>42740.73709116898</v>
      </c>
      <c r="D70" s="33">
        <v>42742.73709116898</v>
      </c>
      <c r="E70" s="3" t="s">
        <v>12</v>
      </c>
      <c r="F70" s="3" t="s">
        <v>12</v>
      </c>
      <c r="G70" s="3" t="s">
        <v>301</v>
      </c>
      <c r="H70" s="3" t="s">
        <v>9</v>
      </c>
      <c r="I70" s="3" t="s">
        <v>817</v>
      </c>
      <c r="J70" s="3" t="s">
        <v>303</v>
      </c>
      <c r="K70" s="3" t="s">
        <v>305</v>
      </c>
      <c r="L70" s="44">
        <v>42744</v>
      </c>
      <c r="M70" s="3" t="s">
        <v>871</v>
      </c>
      <c r="N70" s="3" t="s">
        <v>84</v>
      </c>
      <c r="O70" s="3" t="s">
        <v>85</v>
      </c>
      <c r="P70" s="42">
        <v>42746</v>
      </c>
      <c r="Q70" s="34" t="s">
        <v>1524</v>
      </c>
      <c r="R70" s="34">
        <f>IFERROR(INDEX(QUALIDADE,MATCH(tblVIRARAM_PESQUISA[[#This Row],[CASE ID]],PROTOCOLO_PESQUISAS,0),MATCH(tblVIRARAM_PESQUISA[[#Headers],[Q2 - Problem Resolved]],QUALIDADE_CAB,0)), "-")</f>
        <v>1</v>
      </c>
      <c r="S70" s="34">
        <f>IFERROR(INDEX(QUALIDADE,MATCH(tblVIRARAM_PESQUISA[[#This Row],[CASE ID]],PROTOCOLO_PESQUISAS,0),MATCH(tblVIRARAM_PESQUISA[[#Headers],[Q3 - First Time Fix]],QUALIDADE_CAB,0)), "-")</f>
        <v>1</v>
      </c>
      <c r="T70" s="34">
        <f>IFERROR(INDEX(QUALIDADE,MATCH(tblVIRARAM_PESQUISA[[#This Row],[CASE ID]],PROTOCOLO_PESQUISAS,0),MATCH(tblVIRARAM_PESQUISA[[#Headers],[Promoters]],QUALIDADE_CAB,0)), "-")</f>
        <v>1</v>
      </c>
      <c r="U70" s="34">
        <f>IFERROR(INDEX(QUALIDADE,MATCH(tblVIRARAM_PESQUISA[[#This Row],[CASE ID]],PROTOCOLO_PESQUISAS,0),MATCH(tblVIRARAM_PESQUISA[[#Headers],[Detractors]],QUALIDADE_CAB,0)), "-")</f>
        <v>0</v>
      </c>
    </row>
    <row r="71" spans="1:21">
      <c r="A71" s="3">
        <v>3035507129</v>
      </c>
      <c r="B71" s="3" t="s">
        <v>500</v>
      </c>
      <c r="C71" s="90">
        <v>42740.73709116898</v>
      </c>
      <c r="D71" s="33">
        <v>42742.73709116898</v>
      </c>
      <c r="E71" s="3" t="s">
        <v>1536</v>
      </c>
      <c r="F71" s="3" t="s">
        <v>1536</v>
      </c>
      <c r="G71" s="3" t="s">
        <v>301</v>
      </c>
      <c r="H71" s="3" t="s">
        <v>273</v>
      </c>
      <c r="I71" s="3" t="s">
        <v>817</v>
      </c>
      <c r="J71" s="3" t="s">
        <v>303</v>
      </c>
      <c r="K71" s="3" t="s">
        <v>305</v>
      </c>
      <c r="L71" s="44"/>
      <c r="M71" s="3" t="s">
        <v>866</v>
      </c>
      <c r="N71" s="3" t="s">
        <v>70</v>
      </c>
      <c r="O71" s="3" t="s">
        <v>71</v>
      </c>
      <c r="P71" s="42">
        <v>42746</v>
      </c>
      <c r="Q71" s="34" t="s">
        <v>1524</v>
      </c>
      <c r="R71" s="34">
        <f>IFERROR(INDEX(QUALIDADE,MATCH(tblVIRARAM_PESQUISA[[#This Row],[CASE ID]],PROTOCOLO_PESQUISAS,0),MATCH(tblVIRARAM_PESQUISA[[#Headers],[Q2 - Problem Resolved]],QUALIDADE_CAB,0)), "-")</f>
        <v>2</v>
      </c>
      <c r="S71" s="34">
        <f>IFERROR(INDEX(QUALIDADE,MATCH(tblVIRARAM_PESQUISA[[#This Row],[CASE ID]],PROTOCOLO_PESQUISAS,0),MATCH(tblVIRARAM_PESQUISA[[#Headers],[Q3 - First Time Fix]],QUALIDADE_CAB,0)), "-")</f>
        <v>2</v>
      </c>
      <c r="T71" s="34">
        <f>IFERROR(INDEX(QUALIDADE,MATCH(tblVIRARAM_PESQUISA[[#This Row],[CASE ID]],PROTOCOLO_PESQUISAS,0),MATCH(tblVIRARAM_PESQUISA[[#Headers],[Promoters]],QUALIDADE_CAB,0)), "-")</f>
        <v>0</v>
      </c>
      <c r="U71" s="34">
        <f>IFERROR(INDEX(QUALIDADE,MATCH(tblVIRARAM_PESQUISA[[#This Row],[CASE ID]],PROTOCOLO_PESQUISAS,0),MATCH(tblVIRARAM_PESQUISA[[#Headers],[Detractors]],QUALIDADE_CAB,0)), "-")</f>
        <v>1</v>
      </c>
    </row>
    <row r="72" spans="1:21">
      <c r="A72" s="3">
        <v>3035486891</v>
      </c>
      <c r="B72" s="3" t="s">
        <v>500</v>
      </c>
      <c r="C72" s="90">
        <v>42744.737788773149</v>
      </c>
      <c r="D72" s="33">
        <v>42746.737788773149</v>
      </c>
      <c r="E72" s="3" t="s">
        <v>256</v>
      </c>
      <c r="F72" s="3" t="s">
        <v>256</v>
      </c>
      <c r="G72" s="3" t="s">
        <v>301</v>
      </c>
      <c r="H72" s="3" t="s">
        <v>256</v>
      </c>
      <c r="I72" s="3" t="s">
        <v>817</v>
      </c>
      <c r="J72" s="3" t="s">
        <v>304</v>
      </c>
      <c r="K72" s="3" t="s">
        <v>2694</v>
      </c>
      <c r="L72" s="44">
        <v>42748</v>
      </c>
      <c r="M72" s="3" t="s">
        <v>308</v>
      </c>
      <c r="N72" s="3" t="s">
        <v>308</v>
      </c>
      <c r="O72" s="3" t="s">
        <v>308</v>
      </c>
      <c r="P72" s="42">
        <v>42747</v>
      </c>
      <c r="Q72" s="34" t="s">
        <v>2137</v>
      </c>
      <c r="R72" s="34">
        <f>IFERROR(INDEX(QUALIDADE,MATCH(tblVIRARAM_PESQUISA[[#This Row],[CASE ID]],PROTOCOLO_PESQUISAS,0),MATCH(tblVIRARAM_PESQUISA[[#Headers],[Q2 - Problem Resolved]],QUALIDADE_CAB,0)), "-")</f>
        <v>1</v>
      </c>
      <c r="S72" s="34">
        <f>IFERROR(INDEX(QUALIDADE,MATCH(tblVIRARAM_PESQUISA[[#This Row],[CASE ID]],PROTOCOLO_PESQUISAS,0),MATCH(tblVIRARAM_PESQUISA[[#Headers],[Q3 - First Time Fix]],QUALIDADE_CAB,0)), "-")</f>
        <v>1</v>
      </c>
      <c r="T72" s="34">
        <f>IFERROR(INDEX(QUALIDADE,MATCH(tblVIRARAM_PESQUISA[[#This Row],[CASE ID]],PROTOCOLO_PESQUISAS,0),MATCH(tblVIRARAM_PESQUISA[[#Headers],[Promoters]],QUALIDADE_CAB,0)), "-")</f>
        <v>1</v>
      </c>
      <c r="U72" s="34">
        <f>IFERROR(INDEX(QUALIDADE,MATCH(tblVIRARAM_PESQUISA[[#This Row],[CASE ID]],PROTOCOLO_PESQUISAS,0),MATCH(tblVIRARAM_PESQUISA[[#Headers],[Detractors]],QUALIDADE_CAB,0)), "-")</f>
        <v>0</v>
      </c>
    </row>
    <row r="73" spans="1:21">
      <c r="A73" s="3">
        <v>3035472145</v>
      </c>
      <c r="B73" s="3" t="s">
        <v>500</v>
      </c>
      <c r="C73" s="90">
        <v>42744.737756446761</v>
      </c>
      <c r="D73" s="33">
        <v>42746.737756446761</v>
      </c>
      <c r="E73" s="3" t="s">
        <v>26</v>
      </c>
      <c r="F73" s="3" t="s">
        <v>47</v>
      </c>
      <c r="G73" s="3" t="s">
        <v>302</v>
      </c>
      <c r="H73" s="3" t="s">
        <v>23</v>
      </c>
      <c r="I73" s="3" t="s">
        <v>817</v>
      </c>
      <c r="J73" s="3" t="s">
        <v>304</v>
      </c>
      <c r="K73" s="3" t="s">
        <v>938</v>
      </c>
      <c r="L73" s="44">
        <v>42750</v>
      </c>
      <c r="M73" s="3" t="s">
        <v>308</v>
      </c>
      <c r="N73" s="3" t="s">
        <v>308</v>
      </c>
      <c r="O73" s="3" t="s">
        <v>308</v>
      </c>
      <c r="P73" s="42">
        <v>42747</v>
      </c>
      <c r="Q73" s="34" t="s">
        <v>2137</v>
      </c>
      <c r="R73" s="34">
        <f>IFERROR(INDEX(QUALIDADE,MATCH(tblVIRARAM_PESQUISA[[#This Row],[CASE ID]],PROTOCOLO_PESQUISAS,0),MATCH(tblVIRARAM_PESQUISA[[#Headers],[Q2 - Problem Resolved]],QUALIDADE_CAB,0)), "-")</f>
        <v>1</v>
      </c>
      <c r="S73" s="34">
        <f>IFERROR(INDEX(QUALIDADE,MATCH(tblVIRARAM_PESQUISA[[#This Row],[CASE ID]],PROTOCOLO_PESQUISAS,0),MATCH(tblVIRARAM_PESQUISA[[#Headers],[Q3 - First Time Fix]],QUALIDADE_CAB,0)), "-")</f>
        <v>2</v>
      </c>
      <c r="T73" s="34">
        <f>IFERROR(INDEX(QUALIDADE,MATCH(tblVIRARAM_PESQUISA[[#This Row],[CASE ID]],PROTOCOLO_PESQUISAS,0),MATCH(tblVIRARAM_PESQUISA[[#Headers],[Promoters]],QUALIDADE_CAB,0)), "-")</f>
        <v>1</v>
      </c>
      <c r="U73" s="34">
        <f>IFERROR(INDEX(QUALIDADE,MATCH(tblVIRARAM_PESQUISA[[#This Row],[CASE ID]],PROTOCOLO_PESQUISAS,0),MATCH(tblVIRARAM_PESQUISA[[#Headers],[Detractors]],QUALIDADE_CAB,0)), "-")</f>
        <v>0</v>
      </c>
    </row>
    <row r="74" spans="1:21">
      <c r="A74" s="3">
        <v>3035607864</v>
      </c>
      <c r="B74" s="3" t="s">
        <v>500</v>
      </c>
      <c r="C74" s="90">
        <v>42744.737756446761</v>
      </c>
      <c r="D74" s="33">
        <v>42746.737756446761</v>
      </c>
      <c r="E74" s="3" t="s">
        <v>54</v>
      </c>
      <c r="F74" s="3" t="s">
        <v>54</v>
      </c>
      <c r="G74" s="3" t="s">
        <v>301</v>
      </c>
      <c r="H74" s="3" t="s">
        <v>273</v>
      </c>
      <c r="I74" s="3" t="s">
        <v>817</v>
      </c>
      <c r="J74" s="3" t="s">
        <v>303</v>
      </c>
      <c r="K74" s="3" t="s">
        <v>305</v>
      </c>
      <c r="L74" s="44">
        <v>42752</v>
      </c>
      <c r="M74" s="3" t="s">
        <v>308</v>
      </c>
      <c r="N74" s="3" t="s">
        <v>308</v>
      </c>
      <c r="O74" s="3" t="s">
        <v>308</v>
      </c>
      <c r="P74" s="42">
        <v>42747</v>
      </c>
      <c r="Q74" s="34" t="s">
        <v>2137</v>
      </c>
      <c r="R74" s="34">
        <f>IFERROR(INDEX(QUALIDADE,MATCH(tblVIRARAM_PESQUISA[[#This Row],[CASE ID]],PROTOCOLO_PESQUISAS,0),MATCH(tblVIRARAM_PESQUISA[[#Headers],[Q2 - Problem Resolved]],QUALIDADE_CAB,0)), "-")</f>
        <v>1</v>
      </c>
      <c r="S74" s="34">
        <f>IFERROR(INDEX(QUALIDADE,MATCH(tblVIRARAM_PESQUISA[[#This Row],[CASE ID]],PROTOCOLO_PESQUISAS,0),MATCH(tblVIRARAM_PESQUISA[[#Headers],[Q3 - First Time Fix]],QUALIDADE_CAB,0)), "-")</f>
        <v>1</v>
      </c>
      <c r="T74" s="34">
        <f>IFERROR(INDEX(QUALIDADE,MATCH(tblVIRARAM_PESQUISA[[#This Row],[CASE ID]],PROTOCOLO_PESQUISAS,0),MATCH(tblVIRARAM_PESQUISA[[#Headers],[Promoters]],QUALIDADE_CAB,0)), "-")</f>
        <v>0</v>
      </c>
      <c r="U74" s="34">
        <f>IFERROR(INDEX(QUALIDADE,MATCH(tblVIRARAM_PESQUISA[[#This Row],[CASE ID]],PROTOCOLO_PESQUISAS,0),MATCH(tblVIRARAM_PESQUISA[[#Headers],[Detractors]],QUALIDADE_CAB,0)), "-")</f>
        <v>0</v>
      </c>
    </row>
    <row r="75" spans="1:21">
      <c r="A75" s="3">
        <v>3035616253</v>
      </c>
      <c r="B75" s="3" t="s">
        <v>500</v>
      </c>
      <c r="C75" s="90">
        <v>42744.737756446761</v>
      </c>
      <c r="D75" s="33">
        <v>42746.737756446761</v>
      </c>
      <c r="E75" s="3" t="s">
        <v>16</v>
      </c>
      <c r="F75" s="3" t="s">
        <v>16</v>
      </c>
      <c r="G75" s="3" t="s">
        <v>301</v>
      </c>
      <c r="H75" s="3" t="s">
        <v>9</v>
      </c>
      <c r="I75" s="3" t="s">
        <v>817</v>
      </c>
      <c r="J75" s="3" t="s">
        <v>304</v>
      </c>
      <c r="K75" s="3" t="s">
        <v>307</v>
      </c>
      <c r="L75" s="44">
        <v>42752</v>
      </c>
      <c r="M75" s="3" t="s">
        <v>308</v>
      </c>
      <c r="N75" s="3" t="s">
        <v>308</v>
      </c>
      <c r="O75" s="3" t="s">
        <v>308</v>
      </c>
      <c r="P75" s="42">
        <v>42747</v>
      </c>
      <c r="Q75" s="34" t="s">
        <v>2137</v>
      </c>
      <c r="R75" s="34">
        <f>IFERROR(INDEX(QUALIDADE,MATCH(tblVIRARAM_PESQUISA[[#This Row],[CASE ID]],PROTOCOLO_PESQUISAS,0),MATCH(tblVIRARAM_PESQUISA[[#Headers],[Q2 - Problem Resolved]],QUALIDADE_CAB,0)), "-")</f>
        <v>1</v>
      </c>
      <c r="S75" s="34">
        <f>IFERROR(INDEX(QUALIDADE,MATCH(tblVIRARAM_PESQUISA[[#This Row],[CASE ID]],PROTOCOLO_PESQUISAS,0),MATCH(tblVIRARAM_PESQUISA[[#Headers],[Q3 - First Time Fix]],QUALIDADE_CAB,0)), "-")</f>
        <v>1</v>
      </c>
      <c r="T75" s="34">
        <f>IFERROR(INDEX(QUALIDADE,MATCH(tblVIRARAM_PESQUISA[[#This Row],[CASE ID]],PROTOCOLO_PESQUISAS,0),MATCH(tblVIRARAM_PESQUISA[[#Headers],[Promoters]],QUALIDADE_CAB,0)), "-")</f>
        <v>1</v>
      </c>
      <c r="U75" s="34">
        <f>IFERROR(INDEX(QUALIDADE,MATCH(tblVIRARAM_PESQUISA[[#This Row],[CASE ID]],PROTOCOLO_PESQUISAS,0),MATCH(tblVIRARAM_PESQUISA[[#Headers],[Detractors]],QUALIDADE_CAB,0)), "-")</f>
        <v>0</v>
      </c>
    </row>
    <row r="76" spans="1:21">
      <c r="A76" s="3">
        <v>3035618982</v>
      </c>
      <c r="B76" s="3" t="s">
        <v>500</v>
      </c>
      <c r="C76" s="90">
        <v>42744.737756446761</v>
      </c>
      <c r="D76" s="33">
        <v>42746.737756446761</v>
      </c>
      <c r="E76" s="3" t="s">
        <v>27</v>
      </c>
      <c r="F76" s="3" t="s">
        <v>27</v>
      </c>
      <c r="G76" s="3" t="s">
        <v>301</v>
      </c>
      <c r="H76" s="3" t="s">
        <v>23</v>
      </c>
      <c r="I76" s="3" t="s">
        <v>817</v>
      </c>
      <c r="J76" s="3" t="s">
        <v>304</v>
      </c>
      <c r="K76" s="3" t="s">
        <v>306</v>
      </c>
      <c r="L76" s="44">
        <v>42752</v>
      </c>
      <c r="M76" s="3" t="s">
        <v>308</v>
      </c>
      <c r="N76" s="3" t="s">
        <v>308</v>
      </c>
      <c r="O76" s="3" t="s">
        <v>308</v>
      </c>
      <c r="P76" s="42">
        <v>42747</v>
      </c>
      <c r="Q76" s="34" t="s">
        <v>2137</v>
      </c>
      <c r="R76" s="34">
        <f>IFERROR(INDEX(QUALIDADE,MATCH(tblVIRARAM_PESQUISA[[#This Row],[CASE ID]],PROTOCOLO_PESQUISAS,0),MATCH(tblVIRARAM_PESQUISA[[#Headers],[Q2 - Problem Resolved]],QUALIDADE_CAB,0)), "-")</f>
        <v>1</v>
      </c>
      <c r="S76" s="34">
        <f>IFERROR(INDEX(QUALIDADE,MATCH(tblVIRARAM_PESQUISA[[#This Row],[CASE ID]],PROTOCOLO_PESQUISAS,0),MATCH(tblVIRARAM_PESQUISA[[#Headers],[Q3 - First Time Fix]],QUALIDADE_CAB,0)), "-")</f>
        <v>1</v>
      </c>
      <c r="T76" s="34">
        <f>IFERROR(INDEX(QUALIDADE,MATCH(tblVIRARAM_PESQUISA[[#This Row],[CASE ID]],PROTOCOLO_PESQUISAS,0),MATCH(tblVIRARAM_PESQUISA[[#Headers],[Promoters]],QUALIDADE_CAB,0)), "-")</f>
        <v>1</v>
      </c>
      <c r="U76" s="34">
        <f>IFERROR(INDEX(QUALIDADE,MATCH(tblVIRARAM_PESQUISA[[#This Row],[CASE ID]],PROTOCOLO_PESQUISAS,0),MATCH(tblVIRARAM_PESQUISA[[#Headers],[Detractors]],QUALIDADE_CAB,0)), "-")</f>
        <v>0</v>
      </c>
    </row>
    <row r="77" spans="1:21">
      <c r="A77" s="3">
        <v>3035617032</v>
      </c>
      <c r="B77" s="3" t="s">
        <v>500</v>
      </c>
      <c r="C77" s="90">
        <v>42744.737756446761</v>
      </c>
      <c r="D77" s="33">
        <v>42746.737756446761</v>
      </c>
      <c r="E77" s="3" t="s">
        <v>44</v>
      </c>
      <c r="F77" s="3" t="s">
        <v>44</v>
      </c>
      <c r="G77" s="3" t="s">
        <v>301</v>
      </c>
      <c r="H77" s="3" t="s">
        <v>39</v>
      </c>
      <c r="I77" s="3" t="s">
        <v>817</v>
      </c>
      <c r="J77" s="3" t="s">
        <v>304</v>
      </c>
      <c r="K77" s="3" t="s">
        <v>307</v>
      </c>
      <c r="L77" s="44">
        <v>42752</v>
      </c>
      <c r="M77" s="3" t="s">
        <v>308</v>
      </c>
      <c r="N77" s="3" t="s">
        <v>308</v>
      </c>
      <c r="O77" s="3" t="s">
        <v>308</v>
      </c>
      <c r="P77" s="42">
        <v>42747</v>
      </c>
      <c r="Q77" s="34" t="s">
        <v>2137</v>
      </c>
      <c r="R77" s="34">
        <f>IFERROR(INDEX(QUALIDADE,MATCH(tblVIRARAM_PESQUISA[[#This Row],[CASE ID]],PROTOCOLO_PESQUISAS,0),MATCH(tblVIRARAM_PESQUISA[[#Headers],[Q2 - Problem Resolved]],QUALIDADE_CAB,0)), "-")</f>
        <v>1</v>
      </c>
      <c r="S77" s="34">
        <f>IFERROR(INDEX(QUALIDADE,MATCH(tblVIRARAM_PESQUISA[[#This Row],[CASE ID]],PROTOCOLO_PESQUISAS,0),MATCH(tblVIRARAM_PESQUISA[[#Headers],[Q3 - First Time Fix]],QUALIDADE_CAB,0)), "-")</f>
        <v>1</v>
      </c>
      <c r="T77" s="34">
        <f>IFERROR(INDEX(QUALIDADE,MATCH(tblVIRARAM_PESQUISA[[#This Row],[CASE ID]],PROTOCOLO_PESQUISAS,0),MATCH(tblVIRARAM_PESQUISA[[#Headers],[Promoters]],QUALIDADE_CAB,0)), "-")</f>
        <v>1</v>
      </c>
      <c r="U77" s="34">
        <f>IFERROR(INDEX(QUALIDADE,MATCH(tblVIRARAM_PESQUISA[[#This Row],[CASE ID]],PROTOCOLO_PESQUISAS,0),MATCH(tblVIRARAM_PESQUISA[[#Headers],[Detractors]],QUALIDADE_CAB,0)), "-")</f>
        <v>0</v>
      </c>
    </row>
    <row r="78" spans="1:21">
      <c r="A78" s="3">
        <v>3035450059</v>
      </c>
      <c r="B78" s="3" t="s">
        <v>500</v>
      </c>
      <c r="C78" s="90">
        <v>42744.737756446761</v>
      </c>
      <c r="D78" s="33">
        <v>42746.737756446761</v>
      </c>
      <c r="E78" s="3" t="s">
        <v>1537</v>
      </c>
      <c r="F78" s="3" t="s">
        <v>47</v>
      </c>
      <c r="G78" s="3" t="s">
        <v>302</v>
      </c>
      <c r="H78" s="3" t="s">
        <v>23</v>
      </c>
      <c r="I78" s="3" t="s">
        <v>817</v>
      </c>
      <c r="J78" s="3" t="s">
        <v>304</v>
      </c>
      <c r="K78" s="3" t="s">
        <v>306</v>
      </c>
      <c r="L78" s="44">
        <v>42752</v>
      </c>
      <c r="M78" s="3" t="s">
        <v>308</v>
      </c>
      <c r="N78" s="3" t="s">
        <v>308</v>
      </c>
      <c r="O78" s="3" t="s">
        <v>308</v>
      </c>
      <c r="P78" s="42">
        <v>42747</v>
      </c>
      <c r="Q78" s="34" t="s">
        <v>2137</v>
      </c>
      <c r="R78" s="34">
        <f>IFERROR(INDEX(QUALIDADE,MATCH(tblVIRARAM_PESQUISA[[#This Row],[CASE ID]],PROTOCOLO_PESQUISAS,0),MATCH(tblVIRARAM_PESQUISA[[#Headers],[Q2 - Problem Resolved]],QUALIDADE_CAB,0)), "-")</f>
        <v>2</v>
      </c>
      <c r="S78" s="34">
        <f>IFERROR(INDEX(QUALIDADE,MATCH(tblVIRARAM_PESQUISA[[#This Row],[CASE ID]],PROTOCOLO_PESQUISAS,0),MATCH(tblVIRARAM_PESQUISA[[#Headers],[Q3 - First Time Fix]],QUALIDADE_CAB,0)), "-")</f>
        <v>2</v>
      </c>
      <c r="T78" s="34">
        <f>IFERROR(INDEX(QUALIDADE,MATCH(tblVIRARAM_PESQUISA[[#This Row],[CASE ID]],PROTOCOLO_PESQUISAS,0),MATCH(tblVIRARAM_PESQUISA[[#Headers],[Promoters]],QUALIDADE_CAB,0)), "-")</f>
        <v>0</v>
      </c>
      <c r="U78" s="34">
        <f>IFERROR(INDEX(QUALIDADE,MATCH(tblVIRARAM_PESQUISA[[#This Row],[CASE ID]],PROTOCOLO_PESQUISAS,0),MATCH(tblVIRARAM_PESQUISA[[#Headers],[Detractors]],QUALIDADE_CAB,0)), "-")</f>
        <v>0</v>
      </c>
    </row>
    <row r="79" spans="1:21">
      <c r="A79" s="3">
        <v>3035607150</v>
      </c>
      <c r="B79" s="3" t="s">
        <v>500</v>
      </c>
      <c r="C79" s="90">
        <v>42744.737756446761</v>
      </c>
      <c r="D79" s="33">
        <v>42746.737756446761</v>
      </c>
      <c r="E79" s="3" t="s">
        <v>54</v>
      </c>
      <c r="F79" s="3" t="s">
        <v>54</v>
      </c>
      <c r="G79" s="3" t="s">
        <v>301</v>
      </c>
      <c r="H79" s="3" t="s">
        <v>273</v>
      </c>
      <c r="I79" s="3" t="s">
        <v>817</v>
      </c>
      <c r="J79" s="3" t="s">
        <v>304</v>
      </c>
      <c r="K79" s="3" t="s">
        <v>306</v>
      </c>
      <c r="L79" s="44">
        <v>42752</v>
      </c>
      <c r="M79" s="3" t="s">
        <v>308</v>
      </c>
      <c r="N79" s="3" t="s">
        <v>308</v>
      </c>
      <c r="O79" s="3" t="s">
        <v>308</v>
      </c>
      <c r="P79" s="42">
        <v>42747</v>
      </c>
      <c r="Q79" s="34" t="s">
        <v>2137</v>
      </c>
      <c r="R79" s="34">
        <f>IFERROR(INDEX(QUALIDADE,MATCH(tblVIRARAM_PESQUISA[[#This Row],[CASE ID]],PROTOCOLO_PESQUISAS,0),MATCH(tblVIRARAM_PESQUISA[[#Headers],[Q2 - Problem Resolved]],QUALIDADE_CAB,0)), "-")</f>
        <v>1</v>
      </c>
      <c r="S79" s="34">
        <f>IFERROR(INDEX(QUALIDADE,MATCH(tblVIRARAM_PESQUISA[[#This Row],[CASE ID]],PROTOCOLO_PESQUISAS,0),MATCH(tblVIRARAM_PESQUISA[[#Headers],[Q3 - First Time Fix]],QUALIDADE_CAB,0)), "-")</f>
        <v>1</v>
      </c>
      <c r="T79" s="34">
        <f>IFERROR(INDEX(QUALIDADE,MATCH(tblVIRARAM_PESQUISA[[#This Row],[CASE ID]],PROTOCOLO_PESQUISAS,0),MATCH(tblVIRARAM_PESQUISA[[#Headers],[Promoters]],QUALIDADE_CAB,0)), "-")</f>
        <v>1</v>
      </c>
      <c r="U79" s="34">
        <f>IFERROR(INDEX(QUALIDADE,MATCH(tblVIRARAM_PESQUISA[[#This Row],[CASE ID]],PROTOCOLO_PESQUISAS,0),MATCH(tblVIRARAM_PESQUISA[[#Headers],[Detractors]],QUALIDADE_CAB,0)), "-")</f>
        <v>0</v>
      </c>
    </row>
    <row r="80" spans="1:21">
      <c r="A80" s="3">
        <v>3035603743</v>
      </c>
      <c r="B80" s="3" t="s">
        <v>500</v>
      </c>
      <c r="C80" s="90">
        <v>42744.737756446761</v>
      </c>
      <c r="D80" s="33">
        <v>42746.737756446761</v>
      </c>
      <c r="E80" s="3" t="s">
        <v>585</v>
      </c>
      <c r="F80" s="3" t="s">
        <v>585</v>
      </c>
      <c r="G80" s="3" t="s">
        <v>301</v>
      </c>
      <c r="H80" s="3" t="s">
        <v>273</v>
      </c>
      <c r="I80" s="3" t="s">
        <v>817</v>
      </c>
      <c r="J80" s="3" t="s">
        <v>304</v>
      </c>
      <c r="K80" s="3" t="s">
        <v>1527</v>
      </c>
      <c r="L80" s="44">
        <v>42752</v>
      </c>
      <c r="M80" s="3" t="s">
        <v>308</v>
      </c>
      <c r="N80" s="3" t="s">
        <v>308</v>
      </c>
      <c r="O80" s="3" t="s">
        <v>308</v>
      </c>
      <c r="P80" s="42">
        <v>42747</v>
      </c>
      <c r="Q80" s="34" t="s">
        <v>2137</v>
      </c>
      <c r="R80" s="34">
        <f>IFERROR(INDEX(QUALIDADE,MATCH(tblVIRARAM_PESQUISA[[#This Row],[CASE ID]],PROTOCOLO_PESQUISAS,0),MATCH(tblVIRARAM_PESQUISA[[#Headers],[Q2 - Problem Resolved]],QUALIDADE_CAB,0)), "-")</f>
        <v>1</v>
      </c>
      <c r="S80" s="34">
        <f>IFERROR(INDEX(QUALIDADE,MATCH(tblVIRARAM_PESQUISA[[#This Row],[CASE ID]],PROTOCOLO_PESQUISAS,0),MATCH(tblVIRARAM_PESQUISA[[#Headers],[Q3 - First Time Fix]],QUALIDADE_CAB,0)), "-")</f>
        <v>2</v>
      </c>
      <c r="T80" s="34">
        <f>IFERROR(INDEX(QUALIDADE,MATCH(tblVIRARAM_PESQUISA[[#This Row],[CASE ID]],PROTOCOLO_PESQUISAS,0),MATCH(tblVIRARAM_PESQUISA[[#Headers],[Promoters]],QUALIDADE_CAB,0)), "-")</f>
        <v>0</v>
      </c>
      <c r="U80" s="34">
        <f>IFERROR(INDEX(QUALIDADE,MATCH(tblVIRARAM_PESQUISA[[#This Row],[CASE ID]],PROTOCOLO_PESQUISAS,0),MATCH(tblVIRARAM_PESQUISA[[#Headers],[Detractors]],QUALIDADE_CAB,0)), "-")</f>
        <v>1</v>
      </c>
    </row>
    <row r="81" spans="1:21">
      <c r="A81" s="3">
        <v>3035613784</v>
      </c>
      <c r="B81" s="3" t="s">
        <v>500</v>
      </c>
      <c r="C81" s="90">
        <v>42744.737756446761</v>
      </c>
      <c r="D81" s="33">
        <v>42746.737756446761</v>
      </c>
      <c r="E81" s="3" t="s">
        <v>593</v>
      </c>
      <c r="F81" s="3" t="s">
        <v>593</v>
      </c>
      <c r="G81" s="3" t="s">
        <v>301</v>
      </c>
      <c r="H81" s="3" t="s">
        <v>273</v>
      </c>
      <c r="I81" s="3" t="s">
        <v>817</v>
      </c>
      <c r="J81" s="3" t="s">
        <v>304</v>
      </c>
      <c r="K81" s="3" t="s">
        <v>306</v>
      </c>
      <c r="L81" s="44">
        <v>42752</v>
      </c>
      <c r="M81" s="3" t="s">
        <v>308</v>
      </c>
      <c r="N81" s="3" t="s">
        <v>308</v>
      </c>
      <c r="O81" s="3" t="s">
        <v>308</v>
      </c>
      <c r="P81" s="42">
        <v>42747</v>
      </c>
      <c r="Q81" s="34" t="s">
        <v>2137</v>
      </c>
      <c r="R81" s="34">
        <f>IFERROR(INDEX(QUALIDADE,MATCH(tblVIRARAM_PESQUISA[[#This Row],[CASE ID]],PROTOCOLO_PESQUISAS,0),MATCH(tblVIRARAM_PESQUISA[[#Headers],[Q2 - Problem Resolved]],QUALIDADE_CAB,0)), "-")</f>
        <v>1</v>
      </c>
      <c r="S81" s="34">
        <f>IFERROR(INDEX(QUALIDADE,MATCH(tblVIRARAM_PESQUISA[[#This Row],[CASE ID]],PROTOCOLO_PESQUISAS,0),MATCH(tblVIRARAM_PESQUISA[[#Headers],[Q3 - First Time Fix]],QUALIDADE_CAB,0)), "-")</f>
        <v>1</v>
      </c>
      <c r="T81" s="34">
        <f>IFERROR(INDEX(QUALIDADE,MATCH(tblVIRARAM_PESQUISA[[#This Row],[CASE ID]],PROTOCOLO_PESQUISAS,0),MATCH(tblVIRARAM_PESQUISA[[#Headers],[Promoters]],QUALIDADE_CAB,0)), "-")</f>
        <v>1</v>
      </c>
      <c r="U81" s="34">
        <f>IFERROR(INDEX(QUALIDADE,MATCH(tblVIRARAM_PESQUISA[[#This Row],[CASE ID]],PROTOCOLO_PESQUISAS,0),MATCH(tblVIRARAM_PESQUISA[[#Headers],[Detractors]],QUALIDADE_CAB,0)), "-")</f>
        <v>0</v>
      </c>
    </row>
    <row r="82" spans="1:21">
      <c r="A82" s="3">
        <v>3035623302</v>
      </c>
      <c r="B82" s="3" t="s">
        <v>500</v>
      </c>
      <c r="C82" s="90">
        <v>42744.737756446761</v>
      </c>
      <c r="D82" s="33">
        <v>42746.737756446761</v>
      </c>
      <c r="E82" s="3" t="s">
        <v>583</v>
      </c>
      <c r="F82" s="3" t="s">
        <v>583</v>
      </c>
      <c r="G82" s="3" t="s">
        <v>301</v>
      </c>
      <c r="H82" s="3" t="s">
        <v>23</v>
      </c>
      <c r="I82" s="3" t="s">
        <v>817</v>
      </c>
      <c r="J82" s="3" t="s">
        <v>304</v>
      </c>
      <c r="K82" s="3" t="s">
        <v>306</v>
      </c>
      <c r="L82" s="44">
        <v>42752</v>
      </c>
      <c r="M82" s="3" t="s">
        <v>308</v>
      </c>
      <c r="N82" s="3" t="s">
        <v>308</v>
      </c>
      <c r="O82" s="3" t="s">
        <v>308</v>
      </c>
      <c r="P82" s="42">
        <v>42747</v>
      </c>
      <c r="Q82" s="34" t="s">
        <v>2137</v>
      </c>
      <c r="R82" s="34">
        <f>IFERROR(INDEX(QUALIDADE,MATCH(tblVIRARAM_PESQUISA[[#This Row],[CASE ID]],PROTOCOLO_PESQUISAS,0),MATCH(tblVIRARAM_PESQUISA[[#Headers],[Q2 - Problem Resolved]],QUALIDADE_CAB,0)), "-")</f>
        <v>1</v>
      </c>
      <c r="S82" s="34">
        <f>IFERROR(INDEX(QUALIDADE,MATCH(tblVIRARAM_PESQUISA[[#This Row],[CASE ID]],PROTOCOLO_PESQUISAS,0),MATCH(tblVIRARAM_PESQUISA[[#Headers],[Q3 - First Time Fix]],QUALIDADE_CAB,0)), "-")</f>
        <v>2</v>
      </c>
      <c r="T82" s="34">
        <f>IFERROR(INDEX(QUALIDADE,MATCH(tblVIRARAM_PESQUISA[[#This Row],[CASE ID]],PROTOCOLO_PESQUISAS,0),MATCH(tblVIRARAM_PESQUISA[[#Headers],[Promoters]],QUALIDADE_CAB,0)), "-")</f>
        <v>1</v>
      </c>
      <c r="U82" s="34">
        <f>IFERROR(INDEX(QUALIDADE,MATCH(tblVIRARAM_PESQUISA[[#This Row],[CASE ID]],PROTOCOLO_PESQUISAS,0),MATCH(tblVIRARAM_PESQUISA[[#Headers],[Detractors]],QUALIDADE_CAB,0)), "-")</f>
        <v>0</v>
      </c>
    </row>
    <row r="83" spans="1:21">
      <c r="A83" s="3">
        <v>3035614288</v>
      </c>
      <c r="B83" s="3" t="s">
        <v>500</v>
      </c>
      <c r="C83" s="90">
        <v>42744.737756446761</v>
      </c>
      <c r="D83" s="33">
        <v>42746.737756446761</v>
      </c>
      <c r="E83" s="3" t="s">
        <v>1453</v>
      </c>
      <c r="F83" s="3" t="s">
        <v>1453</v>
      </c>
      <c r="G83" s="3" t="s">
        <v>301</v>
      </c>
      <c r="H83" s="3" t="s">
        <v>39</v>
      </c>
      <c r="I83" s="3" t="s">
        <v>817</v>
      </c>
      <c r="J83" s="3" t="s">
        <v>304</v>
      </c>
      <c r="K83" s="3" t="s">
        <v>306</v>
      </c>
      <c r="L83" s="44">
        <v>42752</v>
      </c>
      <c r="M83" s="3" t="s">
        <v>308</v>
      </c>
      <c r="N83" s="3" t="s">
        <v>308</v>
      </c>
      <c r="O83" s="3" t="s">
        <v>308</v>
      </c>
      <c r="P83" s="42">
        <v>42747</v>
      </c>
      <c r="Q83" s="34" t="s">
        <v>2137</v>
      </c>
      <c r="R83" s="34">
        <f>IFERROR(INDEX(QUALIDADE,MATCH(tblVIRARAM_PESQUISA[[#This Row],[CASE ID]],PROTOCOLO_PESQUISAS,0),MATCH(tblVIRARAM_PESQUISA[[#Headers],[Q2 - Problem Resolved]],QUALIDADE_CAB,0)), "-")</f>
        <v>1</v>
      </c>
      <c r="S83" s="34">
        <f>IFERROR(INDEX(QUALIDADE,MATCH(tblVIRARAM_PESQUISA[[#This Row],[CASE ID]],PROTOCOLO_PESQUISAS,0),MATCH(tblVIRARAM_PESQUISA[[#Headers],[Q3 - First Time Fix]],QUALIDADE_CAB,0)), "-")</f>
        <v>1</v>
      </c>
      <c r="T83" s="34">
        <f>IFERROR(INDEX(QUALIDADE,MATCH(tblVIRARAM_PESQUISA[[#This Row],[CASE ID]],PROTOCOLO_PESQUISAS,0),MATCH(tblVIRARAM_PESQUISA[[#Headers],[Promoters]],QUALIDADE_CAB,0)), "-")</f>
        <v>1</v>
      </c>
      <c r="U83" s="34">
        <f>IFERROR(INDEX(QUALIDADE,MATCH(tblVIRARAM_PESQUISA[[#This Row],[CASE ID]],PROTOCOLO_PESQUISAS,0),MATCH(tblVIRARAM_PESQUISA[[#Headers],[Detractors]],QUALIDADE_CAB,0)), "-")</f>
        <v>0</v>
      </c>
    </row>
    <row r="84" spans="1:21">
      <c r="A84" s="3">
        <v>3035625421</v>
      </c>
      <c r="B84" s="3" t="s">
        <v>500</v>
      </c>
      <c r="C84" s="90">
        <v>42744.737756446761</v>
      </c>
      <c r="D84" s="33">
        <v>42746.737756446761</v>
      </c>
      <c r="E84" s="3" t="s">
        <v>46</v>
      </c>
      <c r="F84" s="3" t="s">
        <v>46</v>
      </c>
      <c r="G84" s="3" t="s">
        <v>301</v>
      </c>
      <c r="H84" s="3" t="s">
        <v>39</v>
      </c>
      <c r="I84" s="3" t="s">
        <v>817</v>
      </c>
      <c r="J84" s="3" t="s">
        <v>304</v>
      </c>
      <c r="K84" s="3" t="s">
        <v>307</v>
      </c>
      <c r="L84" s="44">
        <v>42752</v>
      </c>
      <c r="M84" s="3" t="s">
        <v>308</v>
      </c>
      <c r="N84" s="3" t="s">
        <v>308</v>
      </c>
      <c r="O84" s="3" t="s">
        <v>308</v>
      </c>
      <c r="P84" s="42">
        <v>42747</v>
      </c>
      <c r="Q84" s="34" t="s">
        <v>2137</v>
      </c>
      <c r="R84" s="34">
        <f>IFERROR(INDEX(QUALIDADE,MATCH(tblVIRARAM_PESQUISA[[#This Row],[CASE ID]],PROTOCOLO_PESQUISAS,0),MATCH(tblVIRARAM_PESQUISA[[#Headers],[Q2 - Problem Resolved]],QUALIDADE_CAB,0)), "-")</f>
        <v>1</v>
      </c>
      <c r="S84" s="34">
        <f>IFERROR(INDEX(QUALIDADE,MATCH(tblVIRARAM_PESQUISA[[#This Row],[CASE ID]],PROTOCOLO_PESQUISAS,0),MATCH(tblVIRARAM_PESQUISA[[#Headers],[Q3 - First Time Fix]],QUALIDADE_CAB,0)), "-")</f>
        <v>1</v>
      </c>
      <c r="T84" s="34">
        <f>IFERROR(INDEX(QUALIDADE,MATCH(tblVIRARAM_PESQUISA[[#This Row],[CASE ID]],PROTOCOLO_PESQUISAS,0),MATCH(tblVIRARAM_PESQUISA[[#Headers],[Promoters]],QUALIDADE_CAB,0)), "-")</f>
        <v>1</v>
      </c>
      <c r="U84" s="34">
        <f>IFERROR(INDEX(QUALIDADE,MATCH(tblVIRARAM_PESQUISA[[#This Row],[CASE ID]],PROTOCOLO_PESQUISAS,0),MATCH(tblVIRARAM_PESQUISA[[#Headers],[Detractors]],QUALIDADE_CAB,0)), "-")</f>
        <v>0</v>
      </c>
    </row>
    <row r="85" spans="1:21">
      <c r="A85" s="3">
        <v>3035614804</v>
      </c>
      <c r="B85" s="3" t="s">
        <v>500</v>
      </c>
      <c r="C85" s="90">
        <v>42744.737756446761</v>
      </c>
      <c r="D85" s="33">
        <v>42746.737756446761</v>
      </c>
      <c r="E85" s="3" t="s">
        <v>29</v>
      </c>
      <c r="F85" s="3" t="s">
        <v>29</v>
      </c>
      <c r="G85" s="3" t="s">
        <v>301</v>
      </c>
      <c r="H85" s="3" t="s">
        <v>23</v>
      </c>
      <c r="I85" s="3" t="s">
        <v>817</v>
      </c>
      <c r="J85" s="3" t="s">
        <v>304</v>
      </c>
      <c r="K85" s="3" t="s">
        <v>306</v>
      </c>
      <c r="L85" s="44">
        <v>42752</v>
      </c>
      <c r="M85" s="3" t="s">
        <v>308</v>
      </c>
      <c r="N85" s="3" t="s">
        <v>308</v>
      </c>
      <c r="O85" s="3" t="s">
        <v>308</v>
      </c>
      <c r="P85" s="42">
        <v>42747</v>
      </c>
      <c r="Q85" s="34" t="s">
        <v>2137</v>
      </c>
      <c r="R85" s="34">
        <f>IFERROR(INDEX(QUALIDADE,MATCH(tblVIRARAM_PESQUISA[[#This Row],[CASE ID]],PROTOCOLO_PESQUISAS,0),MATCH(tblVIRARAM_PESQUISA[[#Headers],[Q2 - Problem Resolved]],QUALIDADE_CAB,0)), "-")</f>
        <v>1</v>
      </c>
      <c r="S85" s="34">
        <f>IFERROR(INDEX(QUALIDADE,MATCH(tblVIRARAM_PESQUISA[[#This Row],[CASE ID]],PROTOCOLO_PESQUISAS,0),MATCH(tblVIRARAM_PESQUISA[[#Headers],[Q3 - First Time Fix]],QUALIDADE_CAB,0)), "-")</f>
        <v>1</v>
      </c>
      <c r="T85" s="34">
        <f>IFERROR(INDEX(QUALIDADE,MATCH(tblVIRARAM_PESQUISA[[#This Row],[CASE ID]],PROTOCOLO_PESQUISAS,0),MATCH(tblVIRARAM_PESQUISA[[#Headers],[Promoters]],QUALIDADE_CAB,0)), "-")</f>
        <v>1</v>
      </c>
      <c r="U85" s="34">
        <f>IFERROR(INDEX(QUALIDADE,MATCH(tblVIRARAM_PESQUISA[[#This Row],[CASE ID]],PROTOCOLO_PESQUISAS,0),MATCH(tblVIRARAM_PESQUISA[[#Headers],[Detractors]],QUALIDADE_CAB,0)), "-")</f>
        <v>0</v>
      </c>
    </row>
    <row r="86" spans="1:21">
      <c r="A86" s="3">
        <v>3035611905</v>
      </c>
      <c r="B86" s="3" t="s">
        <v>500</v>
      </c>
      <c r="C86" s="90">
        <v>42744.737756446761</v>
      </c>
      <c r="D86" s="33">
        <v>42746.737756446761</v>
      </c>
      <c r="E86" s="3" t="s">
        <v>34</v>
      </c>
      <c r="F86" s="3" t="s">
        <v>34</v>
      </c>
      <c r="G86" s="3" t="s">
        <v>301</v>
      </c>
      <c r="H86" s="3" t="s">
        <v>31</v>
      </c>
      <c r="I86" s="3" t="s">
        <v>817</v>
      </c>
      <c r="J86" s="3" t="s">
        <v>304</v>
      </c>
      <c r="K86" s="3" t="s">
        <v>306</v>
      </c>
      <c r="L86" s="44"/>
      <c r="M86" s="3" t="s">
        <v>308</v>
      </c>
      <c r="N86" s="3" t="s">
        <v>308</v>
      </c>
      <c r="O86" s="3" t="s">
        <v>308</v>
      </c>
      <c r="P86" s="42">
        <v>42747</v>
      </c>
      <c r="Q86" s="34" t="s">
        <v>2137</v>
      </c>
      <c r="R86" s="34">
        <f>IFERROR(INDEX(QUALIDADE,MATCH(tblVIRARAM_PESQUISA[[#This Row],[CASE ID]],PROTOCOLO_PESQUISAS,0),MATCH(tblVIRARAM_PESQUISA[[#Headers],[Q2 - Problem Resolved]],QUALIDADE_CAB,0)), "-")</f>
        <v>1</v>
      </c>
      <c r="S86" s="34">
        <f>IFERROR(INDEX(QUALIDADE,MATCH(tblVIRARAM_PESQUISA[[#This Row],[CASE ID]],PROTOCOLO_PESQUISAS,0),MATCH(tblVIRARAM_PESQUISA[[#Headers],[Q3 - First Time Fix]],QUALIDADE_CAB,0)), "-")</f>
        <v>1</v>
      </c>
      <c r="T86" s="34">
        <f>IFERROR(INDEX(QUALIDADE,MATCH(tblVIRARAM_PESQUISA[[#This Row],[CASE ID]],PROTOCOLO_PESQUISAS,0),MATCH(tblVIRARAM_PESQUISA[[#Headers],[Promoters]],QUALIDADE_CAB,0)), "-")</f>
        <v>1</v>
      </c>
      <c r="U86" s="34">
        <f>IFERROR(INDEX(QUALIDADE,MATCH(tblVIRARAM_PESQUISA[[#This Row],[CASE ID]],PROTOCOLO_PESQUISAS,0),MATCH(tblVIRARAM_PESQUISA[[#Headers],[Detractors]],QUALIDADE_CAB,0)), "-")</f>
        <v>0</v>
      </c>
    </row>
    <row r="87" spans="1:21">
      <c r="A87" s="3">
        <v>3035558730</v>
      </c>
      <c r="B87" s="3" t="s">
        <v>500</v>
      </c>
      <c r="C87" s="90">
        <v>42744.737756446761</v>
      </c>
      <c r="D87" s="33">
        <v>42746.737756446761</v>
      </c>
      <c r="E87" s="3" t="s">
        <v>1537</v>
      </c>
      <c r="F87" s="3" t="s">
        <v>47</v>
      </c>
      <c r="G87" s="3" t="s">
        <v>302</v>
      </c>
      <c r="H87" s="3" t="s">
        <v>23</v>
      </c>
      <c r="I87" s="3" t="s">
        <v>815</v>
      </c>
      <c r="J87" s="3" t="s">
        <v>304</v>
      </c>
      <c r="K87" s="3" t="s">
        <v>2703</v>
      </c>
      <c r="L87" s="44">
        <v>42752</v>
      </c>
      <c r="M87" s="3" t="s">
        <v>308</v>
      </c>
      <c r="N87" s="3" t="s">
        <v>308</v>
      </c>
      <c r="O87" s="3" t="s">
        <v>308</v>
      </c>
      <c r="P87" s="42">
        <v>42747</v>
      </c>
      <c r="Q87" s="34" t="s">
        <v>2137</v>
      </c>
      <c r="R87" s="34">
        <f>IFERROR(INDEX(QUALIDADE,MATCH(tblVIRARAM_PESQUISA[[#This Row],[CASE ID]],PROTOCOLO_PESQUISAS,0),MATCH(tblVIRARAM_PESQUISA[[#Headers],[Q2 - Problem Resolved]],QUALIDADE_CAB,0)), "-")</f>
        <v>1</v>
      </c>
      <c r="S87" s="34">
        <f>IFERROR(INDEX(QUALIDADE,MATCH(tblVIRARAM_PESQUISA[[#This Row],[CASE ID]],PROTOCOLO_PESQUISAS,0),MATCH(tblVIRARAM_PESQUISA[[#Headers],[Q3 - First Time Fix]],QUALIDADE_CAB,0)), "-")</f>
        <v>1</v>
      </c>
      <c r="T87" s="34">
        <f>IFERROR(INDEX(QUALIDADE,MATCH(tblVIRARAM_PESQUISA[[#This Row],[CASE ID]],PROTOCOLO_PESQUISAS,0),MATCH(tblVIRARAM_PESQUISA[[#Headers],[Promoters]],QUALIDADE_CAB,0)), "-")</f>
        <v>1</v>
      </c>
      <c r="U87" s="34">
        <f>IFERROR(INDEX(QUALIDADE,MATCH(tblVIRARAM_PESQUISA[[#This Row],[CASE ID]],PROTOCOLO_PESQUISAS,0),MATCH(tblVIRARAM_PESQUISA[[#Headers],[Detractors]],QUALIDADE_CAB,0)), "-")</f>
        <v>0</v>
      </c>
    </row>
    <row r="88" spans="1:21">
      <c r="A88" s="3">
        <v>3035604213</v>
      </c>
      <c r="B88" s="3" t="s">
        <v>500</v>
      </c>
      <c r="C88" s="90">
        <v>42744.737756446761</v>
      </c>
      <c r="D88" s="33">
        <v>42746.737756446761</v>
      </c>
      <c r="E88" s="3" t="s">
        <v>839</v>
      </c>
      <c r="F88" s="3" t="s">
        <v>839</v>
      </c>
      <c r="G88" s="3" t="s">
        <v>301</v>
      </c>
      <c r="H88" s="3" t="s">
        <v>256</v>
      </c>
      <c r="I88" s="3" t="s">
        <v>817</v>
      </c>
      <c r="J88" s="3" t="s">
        <v>303</v>
      </c>
      <c r="K88" s="3" t="s">
        <v>305</v>
      </c>
      <c r="L88" s="44"/>
      <c r="M88" s="3" t="s">
        <v>308</v>
      </c>
      <c r="N88" s="3" t="s">
        <v>308</v>
      </c>
      <c r="O88" s="3" t="s">
        <v>308</v>
      </c>
      <c r="P88" s="42">
        <v>42747</v>
      </c>
      <c r="Q88" s="34" t="s">
        <v>2137</v>
      </c>
      <c r="R88" s="34">
        <f>IFERROR(INDEX(QUALIDADE,MATCH(tblVIRARAM_PESQUISA[[#This Row],[CASE ID]],PROTOCOLO_PESQUISAS,0),MATCH(tblVIRARAM_PESQUISA[[#Headers],[Q2 - Problem Resolved]],QUALIDADE_CAB,0)), "-")</f>
        <v>1</v>
      </c>
      <c r="S88" s="34">
        <f>IFERROR(INDEX(QUALIDADE,MATCH(tblVIRARAM_PESQUISA[[#This Row],[CASE ID]],PROTOCOLO_PESQUISAS,0),MATCH(tblVIRARAM_PESQUISA[[#Headers],[Q3 - First Time Fix]],QUALIDADE_CAB,0)), "-")</f>
        <v>1</v>
      </c>
      <c r="T88" s="34">
        <f>IFERROR(INDEX(QUALIDADE,MATCH(tblVIRARAM_PESQUISA[[#This Row],[CASE ID]],PROTOCOLO_PESQUISAS,0),MATCH(tblVIRARAM_PESQUISA[[#Headers],[Promoters]],QUALIDADE_CAB,0)), "-")</f>
        <v>1</v>
      </c>
      <c r="U88" s="34">
        <f>IFERROR(INDEX(QUALIDADE,MATCH(tblVIRARAM_PESQUISA[[#This Row],[CASE ID]],PROTOCOLO_PESQUISAS,0),MATCH(tblVIRARAM_PESQUISA[[#Headers],[Detractors]],QUALIDADE_CAB,0)), "-")</f>
        <v>0</v>
      </c>
    </row>
    <row r="89" spans="1:21">
      <c r="A89" s="3">
        <v>3035620204</v>
      </c>
      <c r="B89" s="3" t="s">
        <v>500</v>
      </c>
      <c r="C89" s="90">
        <v>42744.737756446761</v>
      </c>
      <c r="D89" s="33">
        <v>42746.737756446761</v>
      </c>
      <c r="E89" s="3" t="s">
        <v>44</v>
      </c>
      <c r="F89" s="3" t="s">
        <v>44</v>
      </c>
      <c r="G89" s="3" t="s">
        <v>301</v>
      </c>
      <c r="H89" s="3" t="s">
        <v>39</v>
      </c>
      <c r="I89" s="3" t="s">
        <v>817</v>
      </c>
      <c r="J89" s="3" t="s">
        <v>303</v>
      </c>
      <c r="K89" s="3" t="s">
        <v>305</v>
      </c>
      <c r="L89" s="44"/>
      <c r="M89" s="3" t="s">
        <v>308</v>
      </c>
      <c r="N89" s="3" t="s">
        <v>308</v>
      </c>
      <c r="O89" s="3" t="s">
        <v>308</v>
      </c>
      <c r="P89" s="42">
        <v>42747</v>
      </c>
      <c r="Q89" s="34" t="s">
        <v>2137</v>
      </c>
      <c r="R89" s="34">
        <f>IFERROR(INDEX(QUALIDADE,MATCH(tblVIRARAM_PESQUISA[[#This Row],[CASE ID]],PROTOCOLO_PESQUISAS,0),MATCH(tblVIRARAM_PESQUISA[[#Headers],[Q2 - Problem Resolved]],QUALIDADE_CAB,0)), "-")</f>
        <v>1</v>
      </c>
      <c r="S89" s="34">
        <f>IFERROR(INDEX(QUALIDADE,MATCH(tblVIRARAM_PESQUISA[[#This Row],[CASE ID]],PROTOCOLO_PESQUISAS,0),MATCH(tblVIRARAM_PESQUISA[[#Headers],[Q3 - First Time Fix]],QUALIDADE_CAB,0)), "-")</f>
        <v>1</v>
      </c>
      <c r="T89" s="34">
        <f>IFERROR(INDEX(QUALIDADE,MATCH(tblVIRARAM_PESQUISA[[#This Row],[CASE ID]],PROTOCOLO_PESQUISAS,0),MATCH(tblVIRARAM_PESQUISA[[#Headers],[Promoters]],QUALIDADE_CAB,0)), "-")</f>
        <v>1</v>
      </c>
      <c r="U89" s="34">
        <f>IFERROR(INDEX(QUALIDADE,MATCH(tblVIRARAM_PESQUISA[[#This Row],[CASE ID]],PROTOCOLO_PESQUISAS,0),MATCH(tblVIRARAM_PESQUISA[[#Headers],[Detractors]],QUALIDADE_CAB,0)), "-")</f>
        <v>0</v>
      </c>
    </row>
    <row r="90" spans="1:21">
      <c r="A90" s="3">
        <v>3035604027</v>
      </c>
      <c r="B90" s="3" t="s">
        <v>500</v>
      </c>
      <c r="C90" s="90">
        <v>42744.737756446761</v>
      </c>
      <c r="D90" s="33">
        <v>42746.737756446761</v>
      </c>
      <c r="E90" s="3" t="s">
        <v>11</v>
      </c>
      <c r="F90" s="3" t="s">
        <v>11</v>
      </c>
      <c r="G90" s="3" t="s">
        <v>301</v>
      </c>
      <c r="H90" s="3" t="s">
        <v>9</v>
      </c>
      <c r="I90" s="3" t="s">
        <v>817</v>
      </c>
      <c r="J90" s="3" t="s">
        <v>304</v>
      </c>
      <c r="K90" s="3" t="s">
        <v>2694</v>
      </c>
      <c r="L90" s="44"/>
      <c r="M90" s="3" t="s">
        <v>308</v>
      </c>
      <c r="N90" s="3" t="s">
        <v>308</v>
      </c>
      <c r="O90" s="3" t="s">
        <v>308</v>
      </c>
      <c r="P90" s="42">
        <v>42747</v>
      </c>
      <c r="Q90" s="34" t="s">
        <v>2137</v>
      </c>
      <c r="R90" s="34">
        <f>IFERROR(INDEX(QUALIDADE,MATCH(tblVIRARAM_PESQUISA[[#This Row],[CASE ID]],PROTOCOLO_PESQUISAS,0),MATCH(tblVIRARAM_PESQUISA[[#Headers],[Q2 - Problem Resolved]],QUALIDADE_CAB,0)), "-")</f>
        <v>1</v>
      </c>
      <c r="S90" s="34">
        <f>IFERROR(INDEX(QUALIDADE,MATCH(tblVIRARAM_PESQUISA[[#This Row],[CASE ID]],PROTOCOLO_PESQUISAS,0),MATCH(tblVIRARAM_PESQUISA[[#Headers],[Q3 - First Time Fix]],QUALIDADE_CAB,0)), "-")</f>
        <v>1</v>
      </c>
      <c r="T90" s="34">
        <f>IFERROR(INDEX(QUALIDADE,MATCH(tblVIRARAM_PESQUISA[[#This Row],[CASE ID]],PROTOCOLO_PESQUISAS,0),MATCH(tblVIRARAM_PESQUISA[[#Headers],[Promoters]],QUALIDADE_CAB,0)), "-")</f>
        <v>1</v>
      </c>
      <c r="U90" s="34">
        <f>IFERROR(INDEX(QUALIDADE,MATCH(tblVIRARAM_PESQUISA[[#This Row],[CASE ID]],PROTOCOLO_PESQUISAS,0),MATCH(tblVIRARAM_PESQUISA[[#Headers],[Detractors]],QUALIDADE_CAB,0)), "-")</f>
        <v>0</v>
      </c>
    </row>
    <row r="91" spans="1:21">
      <c r="A91" s="3">
        <v>3035552540</v>
      </c>
      <c r="B91" s="3" t="s">
        <v>500</v>
      </c>
      <c r="C91" s="90">
        <v>42741.735176273149</v>
      </c>
      <c r="D91" s="33">
        <v>42743.735176273149</v>
      </c>
      <c r="E91" s="3" t="s">
        <v>46</v>
      </c>
      <c r="F91" s="3" t="s">
        <v>46</v>
      </c>
      <c r="G91" s="3" t="s">
        <v>301</v>
      </c>
      <c r="H91" s="3" t="s">
        <v>39</v>
      </c>
      <c r="I91" s="3" t="s">
        <v>817</v>
      </c>
      <c r="J91" s="3" t="s">
        <v>304</v>
      </c>
      <c r="K91" s="3" t="s">
        <v>307</v>
      </c>
      <c r="L91" s="44">
        <v>42744</v>
      </c>
      <c r="M91" s="3" t="s">
        <v>866</v>
      </c>
      <c r="N91" s="3" t="s">
        <v>59</v>
      </c>
      <c r="O91" s="3" t="s">
        <v>60</v>
      </c>
      <c r="P91" s="42">
        <v>42747</v>
      </c>
      <c r="Q91" s="34" t="s">
        <v>2137</v>
      </c>
      <c r="R91" s="34">
        <f>IFERROR(INDEX(QUALIDADE,MATCH(tblVIRARAM_PESQUISA[[#This Row],[CASE ID]],PROTOCOLO_PESQUISAS,0),MATCH(tblVIRARAM_PESQUISA[[#Headers],[Q2 - Problem Resolved]],QUALIDADE_CAB,0)), "-")</f>
        <v>1</v>
      </c>
      <c r="S91" s="34">
        <f>IFERROR(INDEX(QUALIDADE,MATCH(tblVIRARAM_PESQUISA[[#This Row],[CASE ID]],PROTOCOLO_PESQUISAS,0),MATCH(tblVIRARAM_PESQUISA[[#Headers],[Q3 - First Time Fix]],QUALIDADE_CAB,0)), "-")</f>
        <v>1</v>
      </c>
      <c r="T91" s="34">
        <f>IFERROR(INDEX(QUALIDADE,MATCH(tblVIRARAM_PESQUISA[[#This Row],[CASE ID]],PROTOCOLO_PESQUISAS,0),MATCH(tblVIRARAM_PESQUISA[[#Headers],[Promoters]],QUALIDADE_CAB,0)), "-")</f>
        <v>1</v>
      </c>
      <c r="U91" s="34">
        <f>IFERROR(INDEX(QUALIDADE,MATCH(tblVIRARAM_PESQUISA[[#This Row],[CASE ID]],PROTOCOLO_PESQUISAS,0),MATCH(tblVIRARAM_PESQUISA[[#Headers],[Detractors]],QUALIDADE_CAB,0)), "-")</f>
        <v>0</v>
      </c>
    </row>
    <row r="92" spans="1:21">
      <c r="A92" s="3">
        <v>3035542145</v>
      </c>
      <c r="B92" s="3" t="s">
        <v>500</v>
      </c>
      <c r="C92" s="90">
        <v>42741.735176273149</v>
      </c>
      <c r="D92" s="33">
        <v>42743.735176273149</v>
      </c>
      <c r="E92" s="3" t="s">
        <v>8</v>
      </c>
      <c r="F92" s="3" t="s">
        <v>8</v>
      </c>
      <c r="G92" s="3" t="s">
        <v>301</v>
      </c>
      <c r="H92" s="3" t="s">
        <v>9</v>
      </c>
      <c r="I92" s="3" t="s">
        <v>817</v>
      </c>
      <c r="J92" s="3" t="s">
        <v>304</v>
      </c>
      <c r="K92" s="3" t="s">
        <v>307</v>
      </c>
      <c r="L92" s="44">
        <v>42744</v>
      </c>
      <c r="M92" s="3" t="s">
        <v>871</v>
      </c>
      <c r="N92" s="3" t="s">
        <v>84</v>
      </c>
      <c r="O92" s="3" t="s">
        <v>85</v>
      </c>
      <c r="P92" s="42">
        <v>42747</v>
      </c>
      <c r="Q92" s="34" t="s">
        <v>2137</v>
      </c>
      <c r="R92" s="34">
        <f>IFERROR(INDEX(QUALIDADE,MATCH(tblVIRARAM_PESQUISA[[#This Row],[CASE ID]],PROTOCOLO_PESQUISAS,0),MATCH(tblVIRARAM_PESQUISA[[#Headers],[Q2 - Problem Resolved]],QUALIDADE_CAB,0)), "-")</f>
        <v>1</v>
      </c>
      <c r="S92" s="34">
        <f>IFERROR(INDEX(QUALIDADE,MATCH(tblVIRARAM_PESQUISA[[#This Row],[CASE ID]],PROTOCOLO_PESQUISAS,0),MATCH(tblVIRARAM_PESQUISA[[#Headers],[Q3 - First Time Fix]],QUALIDADE_CAB,0)), "-")</f>
        <v>1</v>
      </c>
      <c r="T92" s="34">
        <f>IFERROR(INDEX(QUALIDADE,MATCH(tblVIRARAM_PESQUISA[[#This Row],[CASE ID]],PROTOCOLO_PESQUISAS,0),MATCH(tblVIRARAM_PESQUISA[[#Headers],[Promoters]],QUALIDADE_CAB,0)), "-")</f>
        <v>1</v>
      </c>
      <c r="U92" s="34">
        <f>IFERROR(INDEX(QUALIDADE,MATCH(tblVIRARAM_PESQUISA[[#This Row],[CASE ID]],PROTOCOLO_PESQUISAS,0),MATCH(tblVIRARAM_PESQUISA[[#Headers],[Detractors]],QUALIDADE_CAB,0)), "-")</f>
        <v>0</v>
      </c>
    </row>
    <row r="93" spans="1:21">
      <c r="A93" s="3">
        <v>3035539881</v>
      </c>
      <c r="B93" s="3" t="s">
        <v>500</v>
      </c>
      <c r="C93" s="90">
        <v>42741.735176273149</v>
      </c>
      <c r="D93" s="33">
        <v>42743.735176273149</v>
      </c>
      <c r="E93" s="3" t="s">
        <v>13</v>
      </c>
      <c r="F93" s="3" t="s">
        <v>13</v>
      </c>
      <c r="G93" s="3" t="s">
        <v>301</v>
      </c>
      <c r="H93" s="3" t="s">
        <v>9</v>
      </c>
      <c r="I93" s="3" t="s">
        <v>817</v>
      </c>
      <c r="J93" s="3" t="s">
        <v>303</v>
      </c>
      <c r="K93" s="3" t="s">
        <v>305</v>
      </c>
      <c r="L93" s="44">
        <v>42744</v>
      </c>
      <c r="M93" s="3" t="s">
        <v>871</v>
      </c>
      <c r="N93" s="3" t="s">
        <v>84</v>
      </c>
      <c r="O93" s="3" t="s">
        <v>85</v>
      </c>
      <c r="P93" s="42">
        <v>42747</v>
      </c>
      <c r="Q93" s="34" t="s">
        <v>2137</v>
      </c>
      <c r="R93" s="34">
        <f>IFERROR(INDEX(QUALIDADE,MATCH(tblVIRARAM_PESQUISA[[#This Row],[CASE ID]],PROTOCOLO_PESQUISAS,0),MATCH(tblVIRARAM_PESQUISA[[#Headers],[Q2 - Problem Resolved]],QUALIDADE_CAB,0)), "-")</f>
        <v>1</v>
      </c>
      <c r="S93" s="34">
        <f>IFERROR(INDEX(QUALIDADE,MATCH(tblVIRARAM_PESQUISA[[#This Row],[CASE ID]],PROTOCOLO_PESQUISAS,0),MATCH(tblVIRARAM_PESQUISA[[#Headers],[Q3 - First Time Fix]],QUALIDADE_CAB,0)), "-")</f>
        <v>1</v>
      </c>
      <c r="T93" s="34">
        <f>IFERROR(INDEX(QUALIDADE,MATCH(tblVIRARAM_PESQUISA[[#This Row],[CASE ID]],PROTOCOLO_PESQUISAS,0),MATCH(tblVIRARAM_PESQUISA[[#Headers],[Promoters]],QUALIDADE_CAB,0)), "-")</f>
        <v>1</v>
      </c>
      <c r="U93" s="34">
        <f>IFERROR(INDEX(QUALIDADE,MATCH(tblVIRARAM_PESQUISA[[#This Row],[CASE ID]],PROTOCOLO_PESQUISAS,0),MATCH(tblVIRARAM_PESQUISA[[#Headers],[Detractors]],QUALIDADE_CAB,0)), "-")</f>
        <v>0</v>
      </c>
    </row>
    <row r="94" spans="1:21">
      <c r="A94" s="3">
        <v>3035518233</v>
      </c>
      <c r="B94" s="3" t="s">
        <v>500</v>
      </c>
      <c r="C94" s="90">
        <v>42741.735176273149</v>
      </c>
      <c r="D94" s="33">
        <v>42743.735176273149</v>
      </c>
      <c r="E94" s="3" t="s">
        <v>55</v>
      </c>
      <c r="F94" s="3" t="s">
        <v>47</v>
      </c>
      <c r="G94" s="3" t="s">
        <v>302</v>
      </c>
      <c r="H94" s="3" t="s">
        <v>23</v>
      </c>
      <c r="I94" s="3" t="s">
        <v>817</v>
      </c>
      <c r="J94" s="3" t="s">
        <v>304</v>
      </c>
      <c r="K94" s="3" t="s">
        <v>2152</v>
      </c>
      <c r="L94" s="44">
        <v>42744</v>
      </c>
      <c r="M94" s="3" t="s">
        <v>871</v>
      </c>
      <c r="N94" s="3" t="s">
        <v>84</v>
      </c>
      <c r="O94" s="3" t="s">
        <v>85</v>
      </c>
      <c r="P94" s="42">
        <v>42747</v>
      </c>
      <c r="Q94" s="34" t="s">
        <v>2137</v>
      </c>
      <c r="R94" s="34">
        <f>IFERROR(INDEX(QUALIDADE,MATCH(tblVIRARAM_PESQUISA[[#This Row],[CASE ID]],PROTOCOLO_PESQUISAS,0),MATCH(tblVIRARAM_PESQUISA[[#Headers],[Q2 - Problem Resolved]],QUALIDADE_CAB,0)), "-")</f>
        <v>2</v>
      </c>
      <c r="S94" s="34">
        <f>IFERROR(INDEX(QUALIDADE,MATCH(tblVIRARAM_PESQUISA[[#This Row],[CASE ID]],PROTOCOLO_PESQUISAS,0),MATCH(tblVIRARAM_PESQUISA[[#Headers],[Q3 - First Time Fix]],QUALIDADE_CAB,0)), "-")</f>
        <v>2</v>
      </c>
      <c r="T94" s="34">
        <f>IFERROR(INDEX(QUALIDADE,MATCH(tblVIRARAM_PESQUISA[[#This Row],[CASE ID]],PROTOCOLO_PESQUISAS,0),MATCH(tblVIRARAM_PESQUISA[[#Headers],[Promoters]],QUALIDADE_CAB,0)), "-")</f>
        <v>0</v>
      </c>
      <c r="U94" s="34">
        <f>IFERROR(INDEX(QUALIDADE,MATCH(tblVIRARAM_PESQUISA[[#This Row],[CASE ID]],PROTOCOLO_PESQUISAS,0),MATCH(tblVIRARAM_PESQUISA[[#Headers],[Detractors]],QUALIDADE_CAB,0)), "-")</f>
        <v>0</v>
      </c>
    </row>
    <row r="95" spans="1:21">
      <c r="A95" s="3">
        <v>3035518314</v>
      </c>
      <c r="B95" s="3" t="s">
        <v>500</v>
      </c>
      <c r="C95" s="90">
        <v>42740.73709116898</v>
      </c>
      <c r="D95" s="33">
        <v>42742.73709116898</v>
      </c>
      <c r="E95" s="3" t="s">
        <v>24</v>
      </c>
      <c r="F95" s="3" t="s">
        <v>24</v>
      </c>
      <c r="G95" s="3" t="s">
        <v>301</v>
      </c>
      <c r="H95" s="3" t="s">
        <v>23</v>
      </c>
      <c r="I95" s="3" t="s">
        <v>817</v>
      </c>
      <c r="J95" s="3" t="s">
        <v>304</v>
      </c>
      <c r="K95" s="3" t="s">
        <v>2151</v>
      </c>
      <c r="L95" s="44">
        <v>42744</v>
      </c>
      <c r="M95" s="3" t="s">
        <v>871</v>
      </c>
      <c r="N95" s="3" t="s">
        <v>84</v>
      </c>
      <c r="O95" s="3" t="s">
        <v>85</v>
      </c>
      <c r="P95" s="42">
        <v>42747</v>
      </c>
      <c r="Q95" s="34" t="s">
        <v>2137</v>
      </c>
      <c r="R95" s="34">
        <f>IFERROR(INDEX(QUALIDADE,MATCH(tblVIRARAM_PESQUISA[[#This Row],[CASE ID]],PROTOCOLO_PESQUISAS,0),MATCH(tblVIRARAM_PESQUISA[[#Headers],[Q2 - Problem Resolved]],QUALIDADE_CAB,0)), "-")</f>
        <v>1</v>
      </c>
      <c r="S95" s="34">
        <f>IFERROR(INDEX(QUALIDADE,MATCH(tblVIRARAM_PESQUISA[[#This Row],[CASE ID]],PROTOCOLO_PESQUISAS,0),MATCH(tblVIRARAM_PESQUISA[[#Headers],[Q3 - First Time Fix]],QUALIDADE_CAB,0)), "-")</f>
        <v>2</v>
      </c>
      <c r="T95" s="34">
        <f>IFERROR(INDEX(QUALIDADE,MATCH(tblVIRARAM_PESQUISA[[#This Row],[CASE ID]],PROTOCOLO_PESQUISAS,0),MATCH(tblVIRARAM_PESQUISA[[#Headers],[Promoters]],QUALIDADE_CAB,0)), "-")</f>
        <v>1</v>
      </c>
      <c r="U95" s="34">
        <f>IFERROR(INDEX(QUALIDADE,MATCH(tblVIRARAM_PESQUISA[[#This Row],[CASE ID]],PROTOCOLO_PESQUISAS,0),MATCH(tblVIRARAM_PESQUISA[[#Headers],[Detractors]],QUALIDADE_CAB,0)), "-")</f>
        <v>0</v>
      </c>
    </row>
    <row r="96" spans="1:21">
      <c r="A96" s="3">
        <v>3035519950</v>
      </c>
      <c r="B96" s="3" t="s">
        <v>500</v>
      </c>
      <c r="C96" s="90">
        <v>42740.73709116898</v>
      </c>
      <c r="D96" s="33">
        <v>42742.73709116898</v>
      </c>
      <c r="E96" s="3" t="s">
        <v>12</v>
      </c>
      <c r="F96" s="3" t="s">
        <v>12</v>
      </c>
      <c r="G96" s="3" t="s">
        <v>301</v>
      </c>
      <c r="H96" s="3" t="s">
        <v>9</v>
      </c>
      <c r="I96" s="3" t="s">
        <v>817</v>
      </c>
      <c r="J96" s="3" t="s">
        <v>304</v>
      </c>
      <c r="K96" s="3" t="s">
        <v>307</v>
      </c>
      <c r="L96" s="44">
        <v>42744</v>
      </c>
      <c r="M96" s="3" t="s">
        <v>871</v>
      </c>
      <c r="N96" s="3" t="s">
        <v>84</v>
      </c>
      <c r="O96" s="3" t="s">
        <v>85</v>
      </c>
      <c r="P96" s="42">
        <v>42747</v>
      </c>
      <c r="Q96" s="34" t="s">
        <v>2137</v>
      </c>
      <c r="R96" s="34">
        <f>IFERROR(INDEX(QUALIDADE,MATCH(tblVIRARAM_PESQUISA[[#This Row],[CASE ID]],PROTOCOLO_PESQUISAS,0),MATCH(tblVIRARAM_PESQUISA[[#Headers],[Q2 - Problem Resolved]],QUALIDADE_CAB,0)), "-")</f>
        <v>1</v>
      </c>
      <c r="S96" s="34">
        <f>IFERROR(INDEX(QUALIDADE,MATCH(tblVIRARAM_PESQUISA[[#This Row],[CASE ID]],PROTOCOLO_PESQUISAS,0),MATCH(tblVIRARAM_PESQUISA[[#Headers],[Q3 - First Time Fix]],QUALIDADE_CAB,0)), "-")</f>
        <v>1</v>
      </c>
      <c r="T96" s="34">
        <f>IFERROR(INDEX(QUALIDADE,MATCH(tblVIRARAM_PESQUISA[[#This Row],[CASE ID]],PROTOCOLO_PESQUISAS,0),MATCH(tblVIRARAM_PESQUISA[[#Headers],[Promoters]],QUALIDADE_CAB,0)), "-")</f>
        <v>1</v>
      </c>
      <c r="U96" s="34">
        <f>IFERROR(INDEX(QUALIDADE,MATCH(tblVIRARAM_PESQUISA[[#This Row],[CASE ID]],PROTOCOLO_PESQUISAS,0),MATCH(tblVIRARAM_PESQUISA[[#Headers],[Detractors]],QUALIDADE_CAB,0)), "-")</f>
        <v>0</v>
      </c>
    </row>
    <row r="97" spans="1:21">
      <c r="A97" s="3">
        <v>3035477903</v>
      </c>
      <c r="B97" s="3" t="s">
        <v>500</v>
      </c>
      <c r="C97" s="90">
        <v>42739.73704378472</v>
      </c>
      <c r="D97" s="33">
        <v>42741.73704378472</v>
      </c>
      <c r="E97" s="3" t="s">
        <v>580</v>
      </c>
      <c r="F97" s="3" t="s">
        <v>580</v>
      </c>
      <c r="G97" s="3" t="s">
        <v>301</v>
      </c>
      <c r="H97" s="3" t="s">
        <v>9</v>
      </c>
      <c r="I97" s="3" t="s">
        <v>811</v>
      </c>
      <c r="J97" s="3" t="s">
        <v>303</v>
      </c>
      <c r="K97" s="3" t="s">
        <v>1564</v>
      </c>
      <c r="L97" s="44">
        <v>42742.508333333331</v>
      </c>
      <c r="M97" s="3" t="s">
        <v>871</v>
      </c>
      <c r="N97" s="3" t="s">
        <v>84</v>
      </c>
      <c r="O97" s="3" t="s">
        <v>85</v>
      </c>
      <c r="P97" s="42">
        <v>42747</v>
      </c>
      <c r="Q97" s="34" t="s">
        <v>2137</v>
      </c>
      <c r="R97" s="34">
        <f>IFERROR(INDEX(QUALIDADE,MATCH(tblVIRARAM_PESQUISA[[#This Row],[CASE ID]],PROTOCOLO_PESQUISAS,0),MATCH(tblVIRARAM_PESQUISA[[#Headers],[Q2 - Problem Resolved]],QUALIDADE_CAB,0)), "-")</f>
        <v>1</v>
      </c>
      <c r="S97" s="34">
        <f>IFERROR(INDEX(QUALIDADE,MATCH(tblVIRARAM_PESQUISA[[#This Row],[CASE ID]],PROTOCOLO_PESQUISAS,0),MATCH(tblVIRARAM_PESQUISA[[#Headers],[Q3 - First Time Fix]],QUALIDADE_CAB,0)), "-")</f>
        <v>1</v>
      </c>
      <c r="T97" s="34">
        <f>IFERROR(INDEX(QUALIDADE,MATCH(tblVIRARAM_PESQUISA[[#This Row],[CASE ID]],PROTOCOLO_PESQUISAS,0),MATCH(tblVIRARAM_PESQUISA[[#Headers],[Promoters]],QUALIDADE_CAB,0)), "-")</f>
        <v>1</v>
      </c>
      <c r="U97" s="34">
        <f>IFERROR(INDEX(QUALIDADE,MATCH(tblVIRARAM_PESQUISA[[#This Row],[CASE ID]],PROTOCOLO_PESQUISAS,0),MATCH(tblVIRARAM_PESQUISA[[#Headers],[Detractors]],QUALIDADE_CAB,0)), "-")</f>
        <v>0</v>
      </c>
    </row>
    <row r="98" spans="1:21">
      <c r="A98" s="3">
        <v>3035477049</v>
      </c>
      <c r="B98" s="3" t="s">
        <v>500</v>
      </c>
      <c r="C98" s="90">
        <v>42739.73704378472</v>
      </c>
      <c r="D98" s="33">
        <v>42741.73704378472</v>
      </c>
      <c r="E98" s="3" t="s">
        <v>55</v>
      </c>
      <c r="F98" s="3" t="s">
        <v>55</v>
      </c>
      <c r="G98" s="3" t="s">
        <v>301</v>
      </c>
      <c r="H98" s="3" t="s">
        <v>23</v>
      </c>
      <c r="I98" s="3" t="s">
        <v>817</v>
      </c>
      <c r="J98" s="3" t="s">
        <v>304</v>
      </c>
      <c r="K98" s="3" t="s">
        <v>307</v>
      </c>
      <c r="L98" s="44">
        <v>42746</v>
      </c>
      <c r="M98" s="3" t="s">
        <v>866</v>
      </c>
      <c r="N98" s="3" t="s">
        <v>59</v>
      </c>
      <c r="O98" s="3" t="s">
        <v>60</v>
      </c>
      <c r="P98" s="42">
        <v>42747</v>
      </c>
      <c r="Q98" s="34" t="s">
        <v>2137</v>
      </c>
      <c r="R98" s="34">
        <f>IFERROR(INDEX(QUALIDADE,MATCH(tblVIRARAM_PESQUISA[[#This Row],[CASE ID]],PROTOCOLO_PESQUISAS,0),MATCH(tblVIRARAM_PESQUISA[[#Headers],[Q2 - Problem Resolved]],QUALIDADE_CAB,0)), "-")</f>
        <v>1</v>
      </c>
      <c r="S98" s="34">
        <f>IFERROR(INDEX(QUALIDADE,MATCH(tblVIRARAM_PESQUISA[[#This Row],[CASE ID]],PROTOCOLO_PESQUISAS,0),MATCH(tblVIRARAM_PESQUISA[[#Headers],[Q3 - First Time Fix]],QUALIDADE_CAB,0)), "-")</f>
        <v>1</v>
      </c>
      <c r="T98" s="34">
        <f>IFERROR(INDEX(QUALIDADE,MATCH(tblVIRARAM_PESQUISA[[#This Row],[CASE ID]],PROTOCOLO_PESQUISAS,0),MATCH(tblVIRARAM_PESQUISA[[#Headers],[Promoters]],QUALIDADE_CAB,0)), "-")</f>
        <v>1</v>
      </c>
      <c r="U98" s="34">
        <f>IFERROR(INDEX(QUALIDADE,MATCH(tblVIRARAM_PESQUISA[[#This Row],[CASE ID]],PROTOCOLO_PESQUISAS,0),MATCH(tblVIRARAM_PESQUISA[[#Headers],[Detractors]],QUALIDADE_CAB,0)), "-")</f>
        <v>0</v>
      </c>
    </row>
    <row r="99" spans="1:21">
      <c r="A99" s="3">
        <v>3035647410</v>
      </c>
      <c r="B99" s="3" t="s">
        <v>500</v>
      </c>
      <c r="C99" s="90">
        <v>42745.737639085652</v>
      </c>
      <c r="D99" s="33">
        <v>42747.737639085652</v>
      </c>
      <c r="E99" s="3" t="s">
        <v>55</v>
      </c>
      <c r="F99" s="3" t="s">
        <v>55</v>
      </c>
      <c r="G99" s="3" t="s">
        <v>301</v>
      </c>
      <c r="H99" s="3" t="s">
        <v>23</v>
      </c>
      <c r="I99" s="3" t="s">
        <v>817</v>
      </c>
      <c r="J99" s="3" t="s">
        <v>304</v>
      </c>
      <c r="K99" s="3" t="s">
        <v>306</v>
      </c>
      <c r="L99" s="44">
        <v>42748</v>
      </c>
      <c r="M99" s="3" t="s">
        <v>59</v>
      </c>
      <c r="N99" s="3" t="s">
        <v>60</v>
      </c>
      <c r="O99" s="3" t="s">
        <v>147</v>
      </c>
      <c r="P99" s="42">
        <v>42748</v>
      </c>
      <c r="Q99" s="34" t="s">
        <v>3374</v>
      </c>
      <c r="R99" s="34">
        <f>IFERROR(INDEX(QUALIDADE,MATCH(tblVIRARAM_PESQUISA[[#This Row],[CASE ID]],PROTOCOLO_PESQUISAS,0),MATCH(tblVIRARAM_PESQUISA[[#Headers],[Q2 - Problem Resolved]],QUALIDADE_CAB,0)), "-")</f>
        <v>1</v>
      </c>
      <c r="S99" s="34">
        <f>IFERROR(INDEX(QUALIDADE,MATCH(tblVIRARAM_PESQUISA[[#This Row],[CASE ID]],PROTOCOLO_PESQUISAS,0),MATCH(tblVIRARAM_PESQUISA[[#Headers],[Q3 - First Time Fix]],QUALIDADE_CAB,0)), "-")</f>
        <v>1</v>
      </c>
      <c r="T99" s="34">
        <f>IFERROR(INDEX(QUALIDADE,MATCH(tblVIRARAM_PESQUISA[[#This Row],[CASE ID]],PROTOCOLO_PESQUISAS,0),MATCH(tblVIRARAM_PESQUISA[[#Headers],[Promoters]],QUALIDADE_CAB,0)), "-")</f>
        <v>1</v>
      </c>
      <c r="U99" s="34">
        <f>IFERROR(INDEX(QUALIDADE,MATCH(tblVIRARAM_PESQUISA[[#This Row],[CASE ID]],PROTOCOLO_PESQUISAS,0),MATCH(tblVIRARAM_PESQUISA[[#Headers],[Detractors]],QUALIDADE_CAB,0)), "-")</f>
        <v>0</v>
      </c>
    </row>
    <row r="100" spans="1:21">
      <c r="A100" s="3">
        <v>3035650172</v>
      </c>
      <c r="B100" s="3" t="s">
        <v>500</v>
      </c>
      <c r="C100" s="90">
        <v>42745.737639085652</v>
      </c>
      <c r="D100" s="33">
        <v>42747.737639085652</v>
      </c>
      <c r="E100" s="3" t="s">
        <v>11</v>
      </c>
      <c r="F100" s="3" t="s">
        <v>11</v>
      </c>
      <c r="G100" s="3" t="s">
        <v>301</v>
      </c>
      <c r="H100" s="3" t="s">
        <v>9</v>
      </c>
      <c r="I100" s="3" t="s">
        <v>817</v>
      </c>
      <c r="J100" s="3" t="s">
        <v>304</v>
      </c>
      <c r="K100" s="3" t="s">
        <v>307</v>
      </c>
      <c r="L100" s="44">
        <v>42748</v>
      </c>
      <c r="M100" s="3" t="s">
        <v>59</v>
      </c>
      <c r="N100" s="3" t="s">
        <v>60</v>
      </c>
      <c r="O100" s="3" t="s">
        <v>147</v>
      </c>
      <c r="P100" s="42">
        <v>42748</v>
      </c>
      <c r="Q100" s="34" t="s">
        <v>3374</v>
      </c>
      <c r="R100" s="34">
        <f>IFERROR(INDEX(QUALIDADE,MATCH(tblVIRARAM_PESQUISA[[#This Row],[CASE ID]],PROTOCOLO_PESQUISAS,0),MATCH(tblVIRARAM_PESQUISA[[#Headers],[Q2 - Problem Resolved]],QUALIDADE_CAB,0)), "-")</f>
        <v>1</v>
      </c>
      <c r="S100" s="34">
        <f>IFERROR(INDEX(QUALIDADE,MATCH(tblVIRARAM_PESQUISA[[#This Row],[CASE ID]],PROTOCOLO_PESQUISAS,0),MATCH(tblVIRARAM_PESQUISA[[#Headers],[Q3 - First Time Fix]],QUALIDADE_CAB,0)), "-")</f>
        <v>1</v>
      </c>
      <c r="T100" s="34">
        <f>IFERROR(INDEX(QUALIDADE,MATCH(tblVIRARAM_PESQUISA[[#This Row],[CASE ID]],PROTOCOLO_PESQUISAS,0),MATCH(tblVIRARAM_PESQUISA[[#Headers],[Promoters]],QUALIDADE_CAB,0)), "-")</f>
        <v>1</v>
      </c>
      <c r="U100" s="34">
        <f>IFERROR(INDEX(QUALIDADE,MATCH(tblVIRARAM_PESQUISA[[#This Row],[CASE ID]],PROTOCOLO_PESQUISAS,0),MATCH(tblVIRARAM_PESQUISA[[#Headers],[Detractors]],QUALIDADE_CAB,0)), "-")</f>
        <v>0</v>
      </c>
    </row>
    <row r="101" spans="1:21">
      <c r="A101" s="3">
        <v>3035611596</v>
      </c>
      <c r="B101" s="3" t="s">
        <v>500</v>
      </c>
      <c r="C101" s="90">
        <v>42745.737639085652</v>
      </c>
      <c r="D101" s="33">
        <v>42747.737639085652</v>
      </c>
      <c r="E101" s="3" t="s">
        <v>18</v>
      </c>
      <c r="F101" s="3" t="s">
        <v>19</v>
      </c>
      <c r="G101" s="3" t="s">
        <v>302</v>
      </c>
      <c r="H101" s="3" t="s">
        <v>9</v>
      </c>
      <c r="I101" s="3" t="s">
        <v>817</v>
      </c>
      <c r="J101" s="3" t="s">
        <v>304</v>
      </c>
      <c r="K101" s="3" t="s">
        <v>1380</v>
      </c>
      <c r="L101" s="44">
        <v>42748</v>
      </c>
      <c r="M101" s="3" t="s">
        <v>59</v>
      </c>
      <c r="N101" s="3" t="s">
        <v>60</v>
      </c>
      <c r="O101" s="3" t="s">
        <v>3073</v>
      </c>
      <c r="P101" s="42">
        <v>42748</v>
      </c>
      <c r="Q101" s="34" t="s">
        <v>3374</v>
      </c>
      <c r="R101" s="34">
        <f>IFERROR(INDEX(QUALIDADE,MATCH(tblVIRARAM_PESQUISA[[#This Row],[CASE ID]],PROTOCOLO_PESQUISAS,0),MATCH(tblVIRARAM_PESQUISA[[#Headers],[Q2 - Problem Resolved]],QUALIDADE_CAB,0)), "-")</f>
        <v>1</v>
      </c>
      <c r="S101" s="34">
        <f>IFERROR(INDEX(QUALIDADE,MATCH(tblVIRARAM_PESQUISA[[#This Row],[CASE ID]],PROTOCOLO_PESQUISAS,0),MATCH(tblVIRARAM_PESQUISA[[#Headers],[Q3 - First Time Fix]],QUALIDADE_CAB,0)), "-")</f>
        <v>1</v>
      </c>
      <c r="T101" s="34">
        <f>IFERROR(INDEX(QUALIDADE,MATCH(tblVIRARAM_PESQUISA[[#This Row],[CASE ID]],PROTOCOLO_PESQUISAS,0),MATCH(tblVIRARAM_PESQUISA[[#Headers],[Promoters]],QUALIDADE_CAB,0)), "-")</f>
        <v>0</v>
      </c>
      <c r="U101" s="34">
        <f>IFERROR(INDEX(QUALIDADE,MATCH(tblVIRARAM_PESQUISA[[#This Row],[CASE ID]],PROTOCOLO_PESQUISAS,0),MATCH(tblVIRARAM_PESQUISA[[#Headers],[Detractors]],QUALIDADE_CAB,0)), "-")</f>
        <v>0</v>
      </c>
    </row>
    <row r="102" spans="1:21">
      <c r="A102" s="3">
        <v>3035654191</v>
      </c>
      <c r="B102" s="3" t="s">
        <v>500</v>
      </c>
      <c r="C102" s="90">
        <v>42745.737639085652</v>
      </c>
      <c r="D102" s="33">
        <v>42747.737639085652</v>
      </c>
      <c r="E102" s="3" t="s">
        <v>42</v>
      </c>
      <c r="F102" s="3" t="s">
        <v>42</v>
      </c>
      <c r="G102" s="3" t="s">
        <v>301</v>
      </c>
      <c r="H102" s="3" t="s">
        <v>39</v>
      </c>
      <c r="I102" s="3" t="s">
        <v>817</v>
      </c>
      <c r="J102" s="3" t="s">
        <v>304</v>
      </c>
      <c r="K102" s="3" t="s">
        <v>306</v>
      </c>
      <c r="L102" s="44">
        <v>42748</v>
      </c>
      <c r="M102" s="3" t="s">
        <v>59</v>
      </c>
      <c r="N102" s="3" t="s">
        <v>60</v>
      </c>
      <c r="O102" s="3" t="s">
        <v>3076</v>
      </c>
      <c r="P102" s="42">
        <v>42748</v>
      </c>
      <c r="Q102" s="34" t="s">
        <v>3374</v>
      </c>
      <c r="R102" s="34">
        <f>IFERROR(INDEX(QUALIDADE,MATCH(tblVIRARAM_PESQUISA[[#This Row],[CASE ID]],PROTOCOLO_PESQUISAS,0),MATCH(tblVIRARAM_PESQUISA[[#Headers],[Q2 - Problem Resolved]],QUALIDADE_CAB,0)), "-")</f>
        <v>1</v>
      </c>
      <c r="S102" s="34">
        <f>IFERROR(INDEX(QUALIDADE,MATCH(tblVIRARAM_PESQUISA[[#This Row],[CASE ID]],PROTOCOLO_PESQUISAS,0),MATCH(tblVIRARAM_PESQUISA[[#Headers],[Q3 - First Time Fix]],QUALIDADE_CAB,0)), "-")</f>
        <v>1</v>
      </c>
      <c r="T102" s="34">
        <f>IFERROR(INDEX(QUALIDADE,MATCH(tblVIRARAM_PESQUISA[[#This Row],[CASE ID]],PROTOCOLO_PESQUISAS,0),MATCH(tblVIRARAM_PESQUISA[[#Headers],[Promoters]],QUALIDADE_CAB,0)), "-")</f>
        <v>1</v>
      </c>
      <c r="U102" s="34">
        <f>IFERROR(INDEX(QUALIDADE,MATCH(tblVIRARAM_PESQUISA[[#This Row],[CASE ID]],PROTOCOLO_PESQUISAS,0),MATCH(tblVIRARAM_PESQUISA[[#Headers],[Detractors]],QUALIDADE_CAB,0)), "-")</f>
        <v>0</v>
      </c>
    </row>
    <row r="103" spans="1:21">
      <c r="A103" s="3">
        <v>3035641920</v>
      </c>
      <c r="B103" s="3" t="s">
        <v>500</v>
      </c>
      <c r="C103" s="90">
        <v>42745.737639085652</v>
      </c>
      <c r="D103" s="33">
        <v>42747.737639085652</v>
      </c>
      <c r="E103" s="3" t="s">
        <v>11</v>
      </c>
      <c r="F103" s="3" t="s">
        <v>11</v>
      </c>
      <c r="G103" s="3" t="s">
        <v>301</v>
      </c>
      <c r="H103" s="3" t="s">
        <v>9</v>
      </c>
      <c r="I103" s="3" t="s">
        <v>817</v>
      </c>
      <c r="J103" s="3" t="s">
        <v>303</v>
      </c>
      <c r="K103" s="3" t="s">
        <v>305</v>
      </c>
      <c r="L103" s="44">
        <v>42748</v>
      </c>
      <c r="M103" s="3" t="s">
        <v>84</v>
      </c>
      <c r="N103" s="3" t="s">
        <v>85</v>
      </c>
      <c r="O103" s="3" t="s">
        <v>3061</v>
      </c>
      <c r="P103" s="42">
        <v>42748</v>
      </c>
      <c r="Q103" s="34" t="s">
        <v>3374</v>
      </c>
      <c r="R103" s="34">
        <f>IFERROR(INDEX(QUALIDADE,MATCH(tblVIRARAM_PESQUISA[[#This Row],[CASE ID]],PROTOCOLO_PESQUISAS,0),MATCH(tblVIRARAM_PESQUISA[[#Headers],[Q2 - Problem Resolved]],QUALIDADE_CAB,0)), "-")</f>
        <v>1</v>
      </c>
      <c r="S103" s="34">
        <f>IFERROR(INDEX(QUALIDADE,MATCH(tblVIRARAM_PESQUISA[[#This Row],[CASE ID]],PROTOCOLO_PESQUISAS,0),MATCH(tblVIRARAM_PESQUISA[[#Headers],[Q3 - First Time Fix]],QUALIDADE_CAB,0)), "-")</f>
        <v>2</v>
      </c>
      <c r="T103" s="34">
        <f>IFERROR(INDEX(QUALIDADE,MATCH(tblVIRARAM_PESQUISA[[#This Row],[CASE ID]],PROTOCOLO_PESQUISAS,0),MATCH(tblVIRARAM_PESQUISA[[#Headers],[Promoters]],QUALIDADE_CAB,0)), "-")</f>
        <v>1</v>
      </c>
      <c r="U103" s="34">
        <f>IFERROR(INDEX(QUALIDADE,MATCH(tblVIRARAM_PESQUISA[[#This Row],[CASE ID]],PROTOCOLO_PESQUISAS,0),MATCH(tblVIRARAM_PESQUISA[[#Headers],[Detractors]],QUALIDADE_CAB,0)), "-")</f>
        <v>0</v>
      </c>
    </row>
    <row r="104" spans="1:21">
      <c r="A104" s="3">
        <v>3035605264</v>
      </c>
      <c r="B104" s="3" t="s">
        <v>500</v>
      </c>
      <c r="C104" s="90">
        <v>42745.737639085652</v>
      </c>
      <c r="D104" s="33">
        <v>42747.737639085652</v>
      </c>
      <c r="E104" s="3" t="s">
        <v>1362</v>
      </c>
      <c r="F104" s="3" t="s">
        <v>38</v>
      </c>
      <c r="G104" s="3" t="s">
        <v>302</v>
      </c>
      <c r="H104" s="3" t="s">
        <v>39</v>
      </c>
      <c r="I104" s="3" t="s">
        <v>817</v>
      </c>
      <c r="J104" s="3" t="s">
        <v>304</v>
      </c>
      <c r="K104" s="3" t="s">
        <v>307</v>
      </c>
      <c r="L104" s="44">
        <v>42748</v>
      </c>
      <c r="M104" s="3" t="s">
        <v>70</v>
      </c>
      <c r="N104" s="3" t="s">
        <v>71</v>
      </c>
      <c r="O104" s="3" t="s">
        <v>894</v>
      </c>
      <c r="P104" s="42">
        <v>42748</v>
      </c>
      <c r="Q104" s="34" t="s">
        <v>3374</v>
      </c>
      <c r="R104" s="34">
        <f>IFERROR(INDEX(QUALIDADE,MATCH(tblVIRARAM_PESQUISA[[#This Row],[CASE ID]],PROTOCOLO_PESQUISAS,0),MATCH(tblVIRARAM_PESQUISA[[#Headers],[Q2 - Problem Resolved]],QUALIDADE_CAB,0)), "-")</f>
        <v>1</v>
      </c>
      <c r="S104" s="34">
        <f>IFERROR(INDEX(QUALIDADE,MATCH(tblVIRARAM_PESQUISA[[#This Row],[CASE ID]],PROTOCOLO_PESQUISAS,0),MATCH(tblVIRARAM_PESQUISA[[#Headers],[Q3 - First Time Fix]],QUALIDADE_CAB,0)), "-")</f>
        <v>1</v>
      </c>
      <c r="T104" s="34">
        <f>IFERROR(INDEX(QUALIDADE,MATCH(tblVIRARAM_PESQUISA[[#This Row],[CASE ID]],PROTOCOLO_PESQUISAS,0),MATCH(tblVIRARAM_PESQUISA[[#Headers],[Promoters]],QUALIDADE_CAB,0)), "-")</f>
        <v>1</v>
      </c>
      <c r="U104" s="34">
        <f>IFERROR(INDEX(QUALIDADE,MATCH(tblVIRARAM_PESQUISA[[#This Row],[CASE ID]],PROTOCOLO_PESQUISAS,0),MATCH(tblVIRARAM_PESQUISA[[#Headers],[Detractors]],QUALIDADE_CAB,0)), "-")</f>
        <v>0</v>
      </c>
    </row>
    <row r="105" spans="1:21">
      <c r="A105" s="3">
        <v>3035603631</v>
      </c>
      <c r="B105" s="3" t="s">
        <v>500</v>
      </c>
      <c r="C105" s="90">
        <v>42744.737756446761</v>
      </c>
      <c r="D105" s="33">
        <v>42746.737756446761</v>
      </c>
      <c r="E105" s="3" t="s">
        <v>560</v>
      </c>
      <c r="F105" s="3" t="s">
        <v>560</v>
      </c>
      <c r="G105" s="3" t="s">
        <v>301</v>
      </c>
      <c r="H105" s="3" t="s">
        <v>256</v>
      </c>
      <c r="I105" s="3" t="s">
        <v>817</v>
      </c>
      <c r="J105" s="3" t="s">
        <v>304</v>
      </c>
      <c r="K105" s="3" t="s">
        <v>307</v>
      </c>
      <c r="L105" s="44">
        <v>42751</v>
      </c>
      <c r="M105" s="3" t="s">
        <v>59</v>
      </c>
      <c r="N105" s="3" t="s">
        <v>60</v>
      </c>
      <c r="O105" s="3" t="s">
        <v>147</v>
      </c>
      <c r="P105" s="42">
        <v>42748</v>
      </c>
      <c r="Q105" s="34" t="s">
        <v>3374</v>
      </c>
      <c r="R105" s="34">
        <f>IFERROR(INDEX(QUALIDADE,MATCH(tblVIRARAM_PESQUISA[[#This Row],[CASE ID]],PROTOCOLO_PESQUISAS,0),MATCH(tblVIRARAM_PESQUISA[[#Headers],[Q2 - Problem Resolved]],QUALIDADE_CAB,0)), "-")</f>
        <v>1</v>
      </c>
      <c r="S105" s="34">
        <f>IFERROR(INDEX(QUALIDADE,MATCH(tblVIRARAM_PESQUISA[[#This Row],[CASE ID]],PROTOCOLO_PESQUISAS,0),MATCH(tblVIRARAM_PESQUISA[[#Headers],[Q3 - First Time Fix]],QUALIDADE_CAB,0)), "-")</f>
        <v>2</v>
      </c>
      <c r="T105" s="34">
        <f>IFERROR(INDEX(QUALIDADE,MATCH(tblVIRARAM_PESQUISA[[#This Row],[CASE ID]],PROTOCOLO_PESQUISAS,0),MATCH(tblVIRARAM_PESQUISA[[#Headers],[Promoters]],QUALIDADE_CAB,0)), "-")</f>
        <v>1</v>
      </c>
      <c r="U105" s="34">
        <f>IFERROR(INDEX(QUALIDADE,MATCH(tblVIRARAM_PESQUISA[[#This Row],[CASE ID]],PROTOCOLO_PESQUISAS,0),MATCH(tblVIRARAM_PESQUISA[[#Headers],[Detractors]],QUALIDADE_CAB,0)), "-")</f>
        <v>0</v>
      </c>
    </row>
    <row r="106" spans="1:21">
      <c r="A106" s="3">
        <v>3035602678</v>
      </c>
      <c r="B106" s="3" t="s">
        <v>500</v>
      </c>
      <c r="C106" s="90">
        <v>42744.737756446761</v>
      </c>
      <c r="D106" s="33">
        <v>42746.737756446761</v>
      </c>
      <c r="E106" s="3" t="s">
        <v>2692</v>
      </c>
      <c r="F106" s="3" t="s">
        <v>2692</v>
      </c>
      <c r="G106" s="3" t="s">
        <v>301</v>
      </c>
      <c r="H106" s="3" t="s">
        <v>256</v>
      </c>
      <c r="I106" s="3" t="s">
        <v>817</v>
      </c>
      <c r="J106" s="3" t="s">
        <v>304</v>
      </c>
      <c r="K106" s="3" t="s">
        <v>307</v>
      </c>
      <c r="L106" s="44">
        <v>42752</v>
      </c>
      <c r="M106" s="3" t="s">
        <v>59</v>
      </c>
      <c r="N106" s="3" t="s">
        <v>60</v>
      </c>
      <c r="O106" s="3" t="s">
        <v>147</v>
      </c>
      <c r="P106" s="42">
        <v>42748</v>
      </c>
      <c r="Q106" s="34" t="s">
        <v>3374</v>
      </c>
      <c r="R106" s="34">
        <f>IFERROR(INDEX(QUALIDADE,MATCH(tblVIRARAM_PESQUISA[[#This Row],[CASE ID]],PROTOCOLO_PESQUISAS,0),MATCH(tblVIRARAM_PESQUISA[[#Headers],[Q2 - Problem Resolved]],QUALIDADE_CAB,0)), "-")</f>
        <v>1</v>
      </c>
      <c r="S106" s="34">
        <f>IFERROR(INDEX(QUALIDADE,MATCH(tblVIRARAM_PESQUISA[[#This Row],[CASE ID]],PROTOCOLO_PESQUISAS,0),MATCH(tblVIRARAM_PESQUISA[[#Headers],[Q3 - First Time Fix]],QUALIDADE_CAB,0)), "-")</f>
        <v>1</v>
      </c>
      <c r="T106" s="34">
        <f>IFERROR(INDEX(QUALIDADE,MATCH(tblVIRARAM_PESQUISA[[#This Row],[CASE ID]],PROTOCOLO_PESQUISAS,0),MATCH(tblVIRARAM_PESQUISA[[#Headers],[Promoters]],QUALIDADE_CAB,0)), "-")</f>
        <v>1</v>
      </c>
      <c r="U106" s="34">
        <f>IFERROR(INDEX(QUALIDADE,MATCH(tblVIRARAM_PESQUISA[[#This Row],[CASE ID]],PROTOCOLO_PESQUISAS,0),MATCH(tblVIRARAM_PESQUISA[[#Headers],[Detractors]],QUALIDADE_CAB,0)), "-")</f>
        <v>0</v>
      </c>
    </row>
    <row r="107" spans="1:21">
      <c r="A107" s="3">
        <v>3035506760</v>
      </c>
      <c r="B107" s="3" t="s">
        <v>500</v>
      </c>
      <c r="C107" s="90">
        <v>42744.737756446761</v>
      </c>
      <c r="D107" s="33">
        <v>42746.737756446761</v>
      </c>
      <c r="E107" s="3" t="s">
        <v>281</v>
      </c>
      <c r="F107" s="3" t="s">
        <v>281</v>
      </c>
      <c r="G107" s="3" t="s">
        <v>301</v>
      </c>
      <c r="H107" s="3" t="s">
        <v>51</v>
      </c>
      <c r="I107" s="3" t="s">
        <v>817</v>
      </c>
      <c r="J107" s="3" t="s">
        <v>304</v>
      </c>
      <c r="K107" s="3" t="s">
        <v>307</v>
      </c>
      <c r="L107" s="44">
        <v>42752</v>
      </c>
      <c r="M107" s="3" t="s">
        <v>59</v>
      </c>
      <c r="N107" s="3" t="s">
        <v>60</v>
      </c>
      <c r="O107" s="3" t="s">
        <v>147</v>
      </c>
      <c r="P107" s="42">
        <v>42748</v>
      </c>
      <c r="Q107" s="34" t="s">
        <v>3374</v>
      </c>
      <c r="R107" s="34">
        <f>IFERROR(INDEX(QUALIDADE,MATCH(tblVIRARAM_PESQUISA[[#This Row],[CASE ID]],PROTOCOLO_PESQUISAS,0),MATCH(tblVIRARAM_PESQUISA[[#Headers],[Q2 - Problem Resolved]],QUALIDADE_CAB,0)), "-")</f>
        <v>1</v>
      </c>
      <c r="S107" s="34">
        <f>IFERROR(INDEX(QUALIDADE,MATCH(tblVIRARAM_PESQUISA[[#This Row],[CASE ID]],PROTOCOLO_PESQUISAS,0),MATCH(tblVIRARAM_PESQUISA[[#Headers],[Q3 - First Time Fix]],QUALIDADE_CAB,0)), "-")</f>
        <v>1</v>
      </c>
      <c r="T107" s="34">
        <f>IFERROR(INDEX(QUALIDADE,MATCH(tblVIRARAM_PESQUISA[[#This Row],[CASE ID]],PROTOCOLO_PESQUISAS,0),MATCH(tblVIRARAM_PESQUISA[[#Headers],[Promoters]],QUALIDADE_CAB,0)), "-")</f>
        <v>0</v>
      </c>
      <c r="U107" s="34">
        <f>IFERROR(INDEX(QUALIDADE,MATCH(tblVIRARAM_PESQUISA[[#This Row],[CASE ID]],PROTOCOLO_PESQUISAS,0),MATCH(tblVIRARAM_PESQUISA[[#Headers],[Detractors]],QUALIDADE_CAB,0)), "-")</f>
        <v>0</v>
      </c>
    </row>
    <row r="108" spans="1:21">
      <c r="A108" s="3">
        <v>3035527508</v>
      </c>
      <c r="B108" s="3" t="s">
        <v>500</v>
      </c>
      <c r="C108" s="90">
        <v>42744.737756446761</v>
      </c>
      <c r="D108" s="33">
        <v>42746.737756446761</v>
      </c>
      <c r="E108" s="3" t="s">
        <v>281</v>
      </c>
      <c r="F108" s="3" t="s">
        <v>281</v>
      </c>
      <c r="G108" s="3" t="s">
        <v>301</v>
      </c>
      <c r="H108" s="3" t="s">
        <v>51</v>
      </c>
      <c r="I108" s="3" t="s">
        <v>817</v>
      </c>
      <c r="J108" s="3" t="s">
        <v>303</v>
      </c>
      <c r="K108" s="3" t="s">
        <v>305</v>
      </c>
      <c r="L108" s="44">
        <v>42748</v>
      </c>
      <c r="M108" s="3" t="s">
        <v>84</v>
      </c>
      <c r="N108" s="3" t="s">
        <v>85</v>
      </c>
      <c r="O108" s="3" t="s">
        <v>233</v>
      </c>
      <c r="P108" s="42">
        <v>42748</v>
      </c>
      <c r="Q108" s="34" t="s">
        <v>3374</v>
      </c>
      <c r="R108" s="34">
        <f>IFERROR(INDEX(QUALIDADE,MATCH(tblVIRARAM_PESQUISA[[#This Row],[CASE ID]],PROTOCOLO_PESQUISAS,0),MATCH(tblVIRARAM_PESQUISA[[#Headers],[Q2 - Problem Resolved]],QUALIDADE_CAB,0)), "-")</f>
        <v>1</v>
      </c>
      <c r="S108" s="34">
        <f>IFERROR(INDEX(QUALIDADE,MATCH(tblVIRARAM_PESQUISA[[#This Row],[CASE ID]],PROTOCOLO_PESQUISAS,0),MATCH(tblVIRARAM_PESQUISA[[#Headers],[Q3 - First Time Fix]],QUALIDADE_CAB,0)), "-")</f>
        <v>1</v>
      </c>
      <c r="T108" s="34">
        <f>IFERROR(INDEX(QUALIDADE,MATCH(tblVIRARAM_PESQUISA[[#This Row],[CASE ID]],PROTOCOLO_PESQUISAS,0),MATCH(tblVIRARAM_PESQUISA[[#Headers],[Promoters]],QUALIDADE_CAB,0)), "-")</f>
        <v>1</v>
      </c>
      <c r="U108" s="34">
        <f>IFERROR(INDEX(QUALIDADE,MATCH(tblVIRARAM_PESQUISA[[#This Row],[CASE ID]],PROTOCOLO_PESQUISAS,0),MATCH(tblVIRARAM_PESQUISA[[#Headers],[Detractors]],QUALIDADE_CAB,0)), "-")</f>
        <v>0</v>
      </c>
    </row>
    <row r="109" spans="1:21">
      <c r="A109" s="3">
        <v>3035568456</v>
      </c>
      <c r="B109" s="3" t="s">
        <v>500</v>
      </c>
      <c r="C109" s="90">
        <v>42742.734167210649</v>
      </c>
      <c r="D109" s="33">
        <v>42744.734167210649</v>
      </c>
      <c r="E109" s="3" t="s">
        <v>1110</v>
      </c>
      <c r="F109" s="3" t="s">
        <v>55</v>
      </c>
      <c r="G109" s="3" t="s">
        <v>302</v>
      </c>
      <c r="H109" s="3" t="s">
        <v>31</v>
      </c>
      <c r="I109" s="3" t="s">
        <v>817</v>
      </c>
      <c r="J109" s="3" t="s">
        <v>304</v>
      </c>
      <c r="K109" s="3" t="s">
        <v>2467</v>
      </c>
      <c r="L109" s="44">
        <v>42745</v>
      </c>
      <c r="M109" s="3" t="s">
        <v>59</v>
      </c>
      <c r="N109" s="3" t="s">
        <v>60</v>
      </c>
      <c r="O109" s="3" t="s">
        <v>147</v>
      </c>
      <c r="P109" s="42">
        <v>42748</v>
      </c>
      <c r="Q109" s="34" t="s">
        <v>3374</v>
      </c>
      <c r="R109" s="34">
        <f>IFERROR(INDEX(QUALIDADE,MATCH(tblVIRARAM_PESQUISA[[#This Row],[CASE ID]],PROTOCOLO_PESQUISAS,0),MATCH(tblVIRARAM_PESQUISA[[#Headers],[Q2 - Problem Resolved]],QUALIDADE_CAB,0)), "-")</f>
        <v>1</v>
      </c>
      <c r="S109" s="34">
        <f>IFERROR(INDEX(QUALIDADE,MATCH(tblVIRARAM_PESQUISA[[#This Row],[CASE ID]],PROTOCOLO_PESQUISAS,0),MATCH(tblVIRARAM_PESQUISA[[#Headers],[Q3 - First Time Fix]],QUALIDADE_CAB,0)), "-")</f>
        <v>2</v>
      </c>
      <c r="T109" s="34">
        <f>IFERROR(INDEX(QUALIDADE,MATCH(tblVIRARAM_PESQUISA[[#This Row],[CASE ID]],PROTOCOLO_PESQUISAS,0),MATCH(tblVIRARAM_PESQUISA[[#Headers],[Promoters]],QUALIDADE_CAB,0)), "-")</f>
        <v>0</v>
      </c>
      <c r="U109" s="34">
        <f>IFERROR(INDEX(QUALIDADE,MATCH(tblVIRARAM_PESQUISA[[#This Row],[CASE ID]],PROTOCOLO_PESQUISAS,0),MATCH(tblVIRARAM_PESQUISA[[#Headers],[Detractors]],QUALIDADE_CAB,0)), "-")</f>
        <v>0</v>
      </c>
    </row>
    <row r="110" spans="1:21">
      <c r="A110" s="3">
        <v>3035430218</v>
      </c>
      <c r="B110" s="3" t="s">
        <v>500</v>
      </c>
      <c r="C110" s="90">
        <v>42745.737639085652</v>
      </c>
      <c r="D110" s="42">
        <v>42747.737639085652</v>
      </c>
      <c r="E110" s="3" t="s">
        <v>17</v>
      </c>
      <c r="F110" s="3" t="s">
        <v>19</v>
      </c>
      <c r="G110" s="3" t="s">
        <v>302</v>
      </c>
      <c r="H110" s="3" t="s">
        <v>9</v>
      </c>
      <c r="I110" s="3" t="s">
        <v>3375</v>
      </c>
      <c r="J110" s="3" t="s">
        <v>304</v>
      </c>
      <c r="K110" s="3" t="s">
        <v>3379</v>
      </c>
      <c r="L110" s="44">
        <v>42749.501388888886</v>
      </c>
      <c r="M110" s="3" t="s">
        <v>84</v>
      </c>
      <c r="N110" s="3" t="s">
        <v>85</v>
      </c>
      <c r="O110" s="3" t="s">
        <v>3062</v>
      </c>
      <c r="P110" s="42">
        <v>42749</v>
      </c>
      <c r="Q110" s="34" t="s">
        <v>2136</v>
      </c>
      <c r="R110" s="34">
        <f>IFERROR(INDEX(QUALIDADE,MATCH(tblVIRARAM_PESQUISA[[#This Row],[CASE ID]],PROTOCOLO_PESQUISAS,0),MATCH(tblVIRARAM_PESQUISA[[#Headers],[Q2 - Problem Resolved]],QUALIDADE_CAB,0)), "-")</f>
        <v>1</v>
      </c>
      <c r="S110" s="34">
        <f>IFERROR(INDEX(QUALIDADE,MATCH(tblVIRARAM_PESQUISA[[#This Row],[CASE ID]],PROTOCOLO_PESQUISAS,0),MATCH(tblVIRARAM_PESQUISA[[#Headers],[Q3 - First Time Fix]],QUALIDADE_CAB,0)), "-")</f>
        <v>1</v>
      </c>
      <c r="T110" s="34">
        <f>IFERROR(INDEX(QUALIDADE,MATCH(tblVIRARAM_PESQUISA[[#This Row],[CASE ID]],PROTOCOLO_PESQUISAS,0),MATCH(tblVIRARAM_PESQUISA[[#Headers],[Promoters]],QUALIDADE_CAB,0)), "-")</f>
        <v>1</v>
      </c>
      <c r="U110" s="34">
        <f>IFERROR(INDEX(QUALIDADE,MATCH(tblVIRARAM_PESQUISA[[#This Row],[CASE ID]],PROTOCOLO_PESQUISAS,0),MATCH(tblVIRARAM_PESQUISA[[#Headers],[Detractors]],QUALIDADE_CAB,0)), "-")</f>
        <v>0</v>
      </c>
    </row>
    <row r="111" spans="1:21">
      <c r="A111" s="3">
        <v>3035647784</v>
      </c>
      <c r="B111" s="3" t="s">
        <v>500</v>
      </c>
      <c r="C111" s="90">
        <v>42745.737639085652</v>
      </c>
      <c r="D111" s="42">
        <v>42747.737639085652</v>
      </c>
      <c r="E111" s="3" t="s">
        <v>25</v>
      </c>
      <c r="F111" s="3" t="s">
        <v>25</v>
      </c>
      <c r="G111" s="3" t="s">
        <v>301</v>
      </c>
      <c r="H111" s="3" t="s">
        <v>23</v>
      </c>
      <c r="I111" s="3" t="s">
        <v>817</v>
      </c>
      <c r="J111" s="3" t="s">
        <v>304</v>
      </c>
      <c r="K111" s="3" t="s">
        <v>859</v>
      </c>
      <c r="L111" s="44">
        <v>42748</v>
      </c>
      <c r="M111" s="3" t="s">
        <v>59</v>
      </c>
      <c r="N111" s="3" t="s">
        <v>60</v>
      </c>
      <c r="O111" s="3" t="s">
        <v>147</v>
      </c>
      <c r="P111" s="42">
        <v>42749</v>
      </c>
      <c r="Q111" s="34" t="s">
        <v>2136</v>
      </c>
      <c r="R111" s="34">
        <f>IFERROR(INDEX(QUALIDADE,MATCH(tblVIRARAM_PESQUISA[[#This Row],[CASE ID]],PROTOCOLO_PESQUISAS,0),MATCH(tblVIRARAM_PESQUISA[[#Headers],[Q2 - Problem Resolved]],QUALIDADE_CAB,0)), "-")</f>
        <v>1</v>
      </c>
      <c r="S111" s="34">
        <f>IFERROR(INDEX(QUALIDADE,MATCH(tblVIRARAM_PESQUISA[[#This Row],[CASE ID]],PROTOCOLO_PESQUISAS,0),MATCH(tblVIRARAM_PESQUISA[[#Headers],[Q3 - First Time Fix]],QUALIDADE_CAB,0)), "-")</f>
        <v>1</v>
      </c>
      <c r="T111" s="34">
        <f>IFERROR(INDEX(QUALIDADE,MATCH(tblVIRARAM_PESQUISA[[#This Row],[CASE ID]],PROTOCOLO_PESQUISAS,0),MATCH(tblVIRARAM_PESQUISA[[#Headers],[Promoters]],QUALIDADE_CAB,0)), "-")</f>
        <v>1</v>
      </c>
      <c r="U111" s="34">
        <f>IFERROR(INDEX(QUALIDADE,MATCH(tblVIRARAM_PESQUISA[[#This Row],[CASE ID]],PROTOCOLO_PESQUISAS,0),MATCH(tblVIRARAM_PESQUISA[[#Headers],[Detractors]],QUALIDADE_CAB,0)), "-")</f>
        <v>0</v>
      </c>
    </row>
    <row r="112" spans="1:21">
      <c r="A112" s="3">
        <v>3035640938</v>
      </c>
      <c r="B112" s="3" t="s">
        <v>500</v>
      </c>
      <c r="C112" s="90">
        <v>42745.737639085652</v>
      </c>
      <c r="D112" s="42">
        <v>42747.737639085652</v>
      </c>
      <c r="E112" s="3" t="s">
        <v>18</v>
      </c>
      <c r="F112" s="3" t="s">
        <v>18</v>
      </c>
      <c r="G112" s="3" t="s">
        <v>301</v>
      </c>
      <c r="H112" s="3" t="s">
        <v>9</v>
      </c>
      <c r="I112" s="3" t="s">
        <v>817</v>
      </c>
      <c r="J112" s="3" t="s">
        <v>304</v>
      </c>
      <c r="K112" s="3" t="s">
        <v>307</v>
      </c>
      <c r="L112" s="44">
        <v>42748</v>
      </c>
      <c r="M112" s="3" t="s">
        <v>59</v>
      </c>
      <c r="N112" s="3" t="s">
        <v>60</v>
      </c>
      <c r="O112" s="3" t="s">
        <v>147</v>
      </c>
      <c r="P112" s="42">
        <v>42750</v>
      </c>
      <c r="Q112" s="34" t="s">
        <v>841</v>
      </c>
      <c r="R112" s="34">
        <f>IFERROR(INDEX(QUALIDADE,MATCH(tblVIRARAM_PESQUISA[[#This Row],[CASE ID]],PROTOCOLO_PESQUISAS,0),MATCH(tblVIRARAM_PESQUISA[[#Headers],[Q2 - Problem Resolved]],QUALIDADE_CAB,0)), "-")</f>
        <v>1</v>
      </c>
      <c r="S112" s="34">
        <f>IFERROR(INDEX(QUALIDADE,MATCH(tblVIRARAM_PESQUISA[[#This Row],[CASE ID]],PROTOCOLO_PESQUISAS,0),MATCH(tblVIRARAM_PESQUISA[[#Headers],[Q3 - First Time Fix]],QUALIDADE_CAB,0)), "-")</f>
        <v>2</v>
      </c>
      <c r="T112" s="34">
        <f>IFERROR(INDEX(QUALIDADE,MATCH(tblVIRARAM_PESQUISA[[#This Row],[CASE ID]],PROTOCOLO_PESQUISAS,0),MATCH(tblVIRARAM_PESQUISA[[#Headers],[Promoters]],QUALIDADE_CAB,0)), "-")</f>
        <v>1</v>
      </c>
      <c r="U112" s="34">
        <f>IFERROR(INDEX(QUALIDADE,MATCH(tblVIRARAM_PESQUISA[[#This Row],[CASE ID]],PROTOCOLO_PESQUISAS,0),MATCH(tblVIRARAM_PESQUISA[[#Headers],[Detractors]],QUALIDADE_CAB,0)), "-")</f>
        <v>0</v>
      </c>
    </row>
    <row r="113" spans="1:21">
      <c r="A113" s="3">
        <v>3035657632</v>
      </c>
      <c r="B113" s="3" t="s">
        <v>500</v>
      </c>
      <c r="C113" s="90">
        <v>42745.737639085652</v>
      </c>
      <c r="D113" s="42">
        <v>42747.737639085652</v>
      </c>
      <c r="E113" s="3" t="s">
        <v>29</v>
      </c>
      <c r="F113" s="3" t="s">
        <v>29</v>
      </c>
      <c r="G113" s="3" t="s">
        <v>301</v>
      </c>
      <c r="H113" s="3" t="s">
        <v>23</v>
      </c>
      <c r="I113" s="3" t="s">
        <v>3375</v>
      </c>
      <c r="J113" s="3" t="s">
        <v>303</v>
      </c>
      <c r="K113" s="3" t="s">
        <v>3384</v>
      </c>
      <c r="L113" s="44">
        <v>42749.527777777781</v>
      </c>
      <c r="M113" s="3" t="s">
        <v>59</v>
      </c>
      <c r="N113" s="3" t="s">
        <v>60</v>
      </c>
      <c r="O113" s="3" t="s">
        <v>147</v>
      </c>
      <c r="P113" s="42">
        <v>42749</v>
      </c>
      <c r="Q113" s="34" t="s">
        <v>2136</v>
      </c>
      <c r="R113" s="34">
        <f>IFERROR(INDEX(QUALIDADE,MATCH(tblVIRARAM_PESQUISA[[#This Row],[CASE ID]],PROTOCOLO_PESQUISAS,0),MATCH(tblVIRARAM_PESQUISA[[#Headers],[Q2 - Problem Resolved]],QUALIDADE_CAB,0)), "-")</f>
        <v>1</v>
      </c>
      <c r="S113" s="34">
        <f>IFERROR(INDEX(QUALIDADE,MATCH(tblVIRARAM_PESQUISA[[#This Row],[CASE ID]],PROTOCOLO_PESQUISAS,0),MATCH(tblVIRARAM_PESQUISA[[#Headers],[Q3 - First Time Fix]],QUALIDADE_CAB,0)), "-")</f>
        <v>2</v>
      </c>
      <c r="T113" s="34">
        <f>IFERROR(INDEX(QUALIDADE,MATCH(tblVIRARAM_PESQUISA[[#This Row],[CASE ID]],PROTOCOLO_PESQUISAS,0),MATCH(tblVIRARAM_PESQUISA[[#Headers],[Promoters]],QUALIDADE_CAB,0)), "-")</f>
        <v>1</v>
      </c>
      <c r="U113" s="34">
        <f>IFERROR(INDEX(QUALIDADE,MATCH(tblVIRARAM_PESQUISA[[#This Row],[CASE ID]],PROTOCOLO_PESQUISAS,0),MATCH(tblVIRARAM_PESQUISA[[#Headers],[Detractors]],QUALIDADE_CAB,0)), "-")</f>
        <v>0</v>
      </c>
    </row>
    <row r="114" spans="1:21">
      <c r="A114" s="3">
        <v>3035624891</v>
      </c>
      <c r="B114" s="3" t="s">
        <v>500</v>
      </c>
      <c r="C114" s="90">
        <v>42744.737756446761</v>
      </c>
      <c r="D114" s="42">
        <v>42746.737756446761</v>
      </c>
      <c r="E114" s="3" t="s">
        <v>29</v>
      </c>
      <c r="F114" s="3" t="s">
        <v>29</v>
      </c>
      <c r="G114" s="3" t="s">
        <v>301</v>
      </c>
      <c r="H114" s="3" t="s">
        <v>23</v>
      </c>
      <c r="I114" s="3" t="s">
        <v>817</v>
      </c>
      <c r="J114" s="3" t="s">
        <v>304</v>
      </c>
      <c r="K114" s="3" t="s">
        <v>307</v>
      </c>
      <c r="L114" s="44">
        <v>42752</v>
      </c>
      <c r="M114" s="3" t="s">
        <v>84</v>
      </c>
      <c r="N114" s="3" t="s">
        <v>85</v>
      </c>
      <c r="O114" s="3" t="s">
        <v>925</v>
      </c>
      <c r="P114" s="42">
        <v>42750</v>
      </c>
      <c r="Q114" s="34" t="s">
        <v>841</v>
      </c>
      <c r="R114" s="34">
        <f>IFERROR(INDEX(QUALIDADE,MATCH(tblVIRARAM_PESQUISA[[#This Row],[CASE ID]],PROTOCOLO_PESQUISAS,0),MATCH(tblVIRARAM_PESQUISA[[#Headers],[Q2 - Problem Resolved]],QUALIDADE_CAB,0)), "-")</f>
        <v>2</v>
      </c>
      <c r="S114" s="34">
        <f>IFERROR(INDEX(QUALIDADE,MATCH(tblVIRARAM_PESQUISA[[#This Row],[CASE ID]],PROTOCOLO_PESQUISAS,0),MATCH(tblVIRARAM_PESQUISA[[#Headers],[Q3 - First Time Fix]],QUALIDADE_CAB,0)), "-")</f>
        <v>2</v>
      </c>
      <c r="T114" s="34">
        <f>IFERROR(INDEX(QUALIDADE,MATCH(tblVIRARAM_PESQUISA[[#This Row],[CASE ID]],PROTOCOLO_PESQUISAS,0),MATCH(tblVIRARAM_PESQUISA[[#Headers],[Promoters]],QUALIDADE_CAB,0)), "-")</f>
        <v>0</v>
      </c>
      <c r="U114" s="34">
        <f>IFERROR(INDEX(QUALIDADE,MATCH(tblVIRARAM_PESQUISA[[#This Row],[CASE ID]],PROTOCOLO_PESQUISAS,0),MATCH(tblVIRARAM_PESQUISA[[#Headers],[Detractors]],QUALIDADE_CAB,0)), "-")</f>
        <v>1</v>
      </c>
    </row>
    <row r="115" spans="1:21">
      <c r="A115" s="3">
        <v>3035604453</v>
      </c>
      <c r="B115" s="3" t="s">
        <v>500</v>
      </c>
      <c r="C115" s="90">
        <v>42744.737756446761</v>
      </c>
      <c r="D115" s="42">
        <v>42746.737756446761</v>
      </c>
      <c r="E115" s="3" t="s">
        <v>28</v>
      </c>
      <c r="F115" s="3" t="s">
        <v>28</v>
      </c>
      <c r="G115" s="3" t="s">
        <v>301</v>
      </c>
      <c r="H115" s="3" t="s">
        <v>9</v>
      </c>
      <c r="I115" s="3" t="s">
        <v>817</v>
      </c>
      <c r="J115" s="3" t="s">
        <v>304</v>
      </c>
      <c r="K115" s="3" t="s">
        <v>307</v>
      </c>
      <c r="L115" s="44">
        <v>42752</v>
      </c>
      <c r="M115" s="3" t="s">
        <v>84</v>
      </c>
      <c r="N115" s="3" t="s">
        <v>85</v>
      </c>
      <c r="O115" s="3" t="s">
        <v>322</v>
      </c>
      <c r="P115" s="42">
        <v>42750</v>
      </c>
      <c r="Q115" s="34" t="s">
        <v>841</v>
      </c>
      <c r="R115" s="34">
        <f>IFERROR(INDEX(QUALIDADE,MATCH(tblVIRARAM_PESQUISA[[#This Row],[CASE ID]],PROTOCOLO_PESQUISAS,0),MATCH(tblVIRARAM_PESQUISA[[#Headers],[Q2 - Problem Resolved]],QUALIDADE_CAB,0)), "-")</f>
        <v>1</v>
      </c>
      <c r="S115" s="34">
        <f>IFERROR(INDEX(QUALIDADE,MATCH(tblVIRARAM_PESQUISA[[#This Row],[CASE ID]],PROTOCOLO_PESQUISAS,0),MATCH(tblVIRARAM_PESQUISA[[#Headers],[Q3 - First Time Fix]],QUALIDADE_CAB,0)), "-")</f>
        <v>1</v>
      </c>
      <c r="T115" s="34">
        <f>IFERROR(INDEX(QUALIDADE,MATCH(tblVIRARAM_PESQUISA[[#This Row],[CASE ID]],PROTOCOLO_PESQUISAS,0),MATCH(tblVIRARAM_PESQUISA[[#Headers],[Promoters]],QUALIDADE_CAB,0)), "-")</f>
        <v>0</v>
      </c>
      <c r="U115" s="34">
        <f>IFERROR(INDEX(QUALIDADE,MATCH(tblVIRARAM_PESQUISA[[#This Row],[CASE ID]],PROTOCOLO_PESQUISAS,0),MATCH(tblVIRARAM_PESQUISA[[#Headers],[Detractors]],QUALIDADE_CAB,0)), "-")</f>
        <v>1</v>
      </c>
    </row>
    <row r="116" spans="1:21">
      <c r="A116" s="3">
        <v>3035604204</v>
      </c>
      <c r="B116" s="3" t="s">
        <v>500</v>
      </c>
      <c r="C116" s="90">
        <v>42744.737756446761</v>
      </c>
      <c r="D116" s="42">
        <v>42746.737756446761</v>
      </c>
      <c r="E116" s="3" t="s">
        <v>2692</v>
      </c>
      <c r="F116" s="3" t="s">
        <v>2692</v>
      </c>
      <c r="G116" s="3" t="s">
        <v>301</v>
      </c>
      <c r="H116" s="3" t="s">
        <v>256</v>
      </c>
      <c r="I116" s="3" t="s">
        <v>817</v>
      </c>
      <c r="J116" s="3" t="s">
        <v>303</v>
      </c>
      <c r="K116" s="3" t="s">
        <v>1527</v>
      </c>
      <c r="L116" s="44">
        <v>42748</v>
      </c>
      <c r="M116" s="3" t="s">
        <v>84</v>
      </c>
      <c r="N116" s="3" t="s">
        <v>85</v>
      </c>
      <c r="O116" s="3" t="s">
        <v>233</v>
      </c>
      <c r="P116" s="42">
        <v>42750</v>
      </c>
      <c r="Q116" s="34" t="s">
        <v>841</v>
      </c>
      <c r="R116" s="34">
        <f>IFERROR(INDEX(QUALIDADE,MATCH(tblVIRARAM_PESQUISA[[#This Row],[CASE ID]],PROTOCOLO_PESQUISAS,0),MATCH(tblVIRARAM_PESQUISA[[#Headers],[Q2 - Problem Resolved]],QUALIDADE_CAB,0)), "-")</f>
        <v>1</v>
      </c>
      <c r="S116" s="34">
        <f>IFERROR(INDEX(QUALIDADE,MATCH(tblVIRARAM_PESQUISA[[#This Row],[CASE ID]],PROTOCOLO_PESQUISAS,0),MATCH(tblVIRARAM_PESQUISA[[#Headers],[Q3 - First Time Fix]],QUALIDADE_CAB,0)), "-")</f>
        <v>1</v>
      </c>
      <c r="T116" s="34">
        <f>IFERROR(INDEX(QUALIDADE,MATCH(tblVIRARAM_PESQUISA[[#This Row],[CASE ID]],PROTOCOLO_PESQUISAS,0),MATCH(tblVIRARAM_PESQUISA[[#Headers],[Promoters]],QUALIDADE_CAB,0)), "-")</f>
        <v>1</v>
      </c>
      <c r="U116" s="34">
        <f>IFERROR(INDEX(QUALIDADE,MATCH(tblVIRARAM_PESQUISA[[#This Row],[CASE ID]],PROTOCOLO_PESQUISAS,0),MATCH(tblVIRARAM_PESQUISA[[#Headers],[Detractors]],QUALIDADE_CAB,0)), "-")</f>
        <v>0</v>
      </c>
    </row>
    <row r="117" spans="1:21">
      <c r="A117" s="3">
        <v>3035618334</v>
      </c>
      <c r="B117" s="3" t="s">
        <v>500</v>
      </c>
      <c r="C117" s="90">
        <v>42744.737756446761</v>
      </c>
      <c r="D117" s="42">
        <v>42746.737756446761</v>
      </c>
      <c r="E117" s="3" t="s">
        <v>1453</v>
      </c>
      <c r="F117" s="3" t="s">
        <v>1453</v>
      </c>
      <c r="G117" s="3" t="s">
        <v>301</v>
      </c>
      <c r="H117" s="3" t="s">
        <v>39</v>
      </c>
      <c r="I117" s="3" t="s">
        <v>817</v>
      </c>
      <c r="J117" s="3" t="s">
        <v>304</v>
      </c>
      <c r="K117" s="3" t="s">
        <v>307</v>
      </c>
      <c r="L117" s="44"/>
      <c r="M117" s="3" t="s">
        <v>59</v>
      </c>
      <c r="N117" s="3" t="s">
        <v>60</v>
      </c>
      <c r="O117" s="3" t="s">
        <v>59</v>
      </c>
      <c r="P117" s="42">
        <v>42749</v>
      </c>
      <c r="Q117" s="34" t="s">
        <v>2136</v>
      </c>
      <c r="R117" s="34">
        <f>IFERROR(INDEX(QUALIDADE,MATCH(tblVIRARAM_PESQUISA[[#This Row],[CASE ID]],PROTOCOLO_PESQUISAS,0),MATCH(tblVIRARAM_PESQUISA[[#Headers],[Q2 - Problem Resolved]],QUALIDADE_CAB,0)), "-")</f>
        <v>1</v>
      </c>
      <c r="S117" s="34">
        <f>IFERROR(INDEX(QUALIDADE,MATCH(tblVIRARAM_PESQUISA[[#This Row],[CASE ID]],PROTOCOLO_PESQUISAS,0),MATCH(tblVIRARAM_PESQUISA[[#Headers],[Q3 - First Time Fix]],QUALIDADE_CAB,0)), "-")</f>
        <v>1</v>
      </c>
      <c r="T117" s="34">
        <f>IFERROR(INDEX(QUALIDADE,MATCH(tblVIRARAM_PESQUISA[[#This Row],[CASE ID]],PROTOCOLO_PESQUISAS,0),MATCH(tblVIRARAM_PESQUISA[[#Headers],[Promoters]],QUALIDADE_CAB,0)), "-")</f>
        <v>1</v>
      </c>
      <c r="U117" s="34">
        <f>IFERROR(INDEX(QUALIDADE,MATCH(tblVIRARAM_PESQUISA[[#This Row],[CASE ID]],PROTOCOLO_PESQUISAS,0),MATCH(tblVIRARAM_PESQUISA[[#Headers],[Detractors]],QUALIDADE_CAB,0)), "-")</f>
        <v>0</v>
      </c>
    </row>
    <row r="118" spans="1:21">
      <c r="A118" s="3">
        <v>3035766764</v>
      </c>
      <c r="B118" s="3" t="s">
        <v>500</v>
      </c>
      <c r="C118" s="90">
        <v>42748.735881944442</v>
      </c>
      <c r="D118" s="42">
        <v>42750.735881944442</v>
      </c>
      <c r="E118" s="3" t="s">
        <v>37</v>
      </c>
      <c r="F118" s="3" t="s">
        <v>37</v>
      </c>
      <c r="G118" s="3" t="s">
        <v>301</v>
      </c>
      <c r="H118" s="3" t="s">
        <v>39</v>
      </c>
      <c r="I118" s="3" t="s">
        <v>817</v>
      </c>
      <c r="J118" s="3" t="s">
        <v>304</v>
      </c>
      <c r="K118" s="3" t="s">
        <v>307</v>
      </c>
      <c r="L118" s="44">
        <v>42751</v>
      </c>
      <c r="M118" s="3" t="s">
        <v>59</v>
      </c>
      <c r="N118" s="3" t="s">
        <v>60</v>
      </c>
      <c r="O118" s="3" t="s">
        <v>123</v>
      </c>
      <c r="P118" s="42">
        <v>42751</v>
      </c>
      <c r="Q118" s="34" t="s">
        <v>4000</v>
      </c>
      <c r="R118" s="34">
        <f>IFERROR(INDEX(QUALIDADE,MATCH(tblVIRARAM_PESQUISA[[#This Row],[CASE ID]],PROTOCOLO_PESQUISAS,0),MATCH(tblVIRARAM_PESQUISA[[#Headers],[Q2 - Problem Resolved]],QUALIDADE_CAB,0)), "-")</f>
        <v>1</v>
      </c>
      <c r="S118" s="34">
        <f>IFERROR(INDEX(QUALIDADE,MATCH(tblVIRARAM_PESQUISA[[#This Row],[CASE ID]],PROTOCOLO_PESQUISAS,0),MATCH(tblVIRARAM_PESQUISA[[#Headers],[Q3 - First Time Fix]],QUALIDADE_CAB,0)), "-")</f>
        <v>1</v>
      </c>
      <c r="T118" s="34">
        <f>IFERROR(INDEX(QUALIDADE,MATCH(tblVIRARAM_PESQUISA[[#This Row],[CASE ID]],PROTOCOLO_PESQUISAS,0),MATCH(tblVIRARAM_PESQUISA[[#Headers],[Promoters]],QUALIDADE_CAB,0)), "-")</f>
        <v>1</v>
      </c>
      <c r="U118" s="34">
        <f>IFERROR(INDEX(QUALIDADE,MATCH(tblVIRARAM_PESQUISA[[#This Row],[CASE ID]],PROTOCOLO_PESQUISAS,0),MATCH(tblVIRARAM_PESQUISA[[#Headers],[Detractors]],QUALIDADE_CAB,0)), "-")</f>
        <v>0</v>
      </c>
    </row>
    <row r="119" spans="1:21">
      <c r="A119" s="3">
        <v>3035749473</v>
      </c>
      <c r="B119" s="3" t="s">
        <v>500</v>
      </c>
      <c r="C119" s="90">
        <v>42748.735881944442</v>
      </c>
      <c r="D119" s="42">
        <v>42750.735881944442</v>
      </c>
      <c r="E119" s="3" t="s">
        <v>34</v>
      </c>
      <c r="F119" s="3" t="s">
        <v>34</v>
      </c>
      <c r="G119" s="3" t="s">
        <v>301</v>
      </c>
      <c r="H119" s="3" t="s">
        <v>31</v>
      </c>
      <c r="I119" s="3" t="s">
        <v>817</v>
      </c>
      <c r="J119" s="3" t="s">
        <v>304</v>
      </c>
      <c r="K119" s="3" t="s">
        <v>1380</v>
      </c>
      <c r="L119" s="44">
        <v>42751</v>
      </c>
      <c r="M119" s="3" t="s">
        <v>59</v>
      </c>
      <c r="N119" s="3" t="s">
        <v>60</v>
      </c>
      <c r="O119" s="3" t="s">
        <v>147</v>
      </c>
      <c r="P119" s="42">
        <v>42751</v>
      </c>
      <c r="Q119" s="34" t="s">
        <v>4000</v>
      </c>
      <c r="R119" s="34">
        <f>IFERROR(INDEX(QUALIDADE,MATCH(tblVIRARAM_PESQUISA[[#This Row],[CASE ID]],PROTOCOLO_PESQUISAS,0),MATCH(tblVIRARAM_PESQUISA[[#Headers],[Q2 - Problem Resolved]],QUALIDADE_CAB,0)), "-")</f>
        <v>1</v>
      </c>
      <c r="S119" s="34">
        <f>IFERROR(INDEX(QUALIDADE,MATCH(tblVIRARAM_PESQUISA[[#This Row],[CASE ID]],PROTOCOLO_PESQUISAS,0),MATCH(tblVIRARAM_PESQUISA[[#Headers],[Q3 - First Time Fix]],QUALIDADE_CAB,0)), "-")</f>
        <v>1</v>
      </c>
      <c r="T119" s="34">
        <f>IFERROR(INDEX(QUALIDADE,MATCH(tblVIRARAM_PESQUISA[[#This Row],[CASE ID]],PROTOCOLO_PESQUISAS,0),MATCH(tblVIRARAM_PESQUISA[[#Headers],[Promoters]],QUALIDADE_CAB,0)), "-")</f>
        <v>0</v>
      </c>
      <c r="U119" s="34">
        <f>IFERROR(INDEX(QUALIDADE,MATCH(tblVIRARAM_PESQUISA[[#This Row],[CASE ID]],PROTOCOLO_PESQUISAS,0),MATCH(tblVIRARAM_PESQUISA[[#Headers],[Detractors]],QUALIDADE_CAB,0)), "-")</f>
        <v>0</v>
      </c>
    </row>
    <row r="120" spans="1:21">
      <c r="A120" s="3">
        <v>3035752895</v>
      </c>
      <c r="B120" s="3" t="s">
        <v>500</v>
      </c>
      <c r="C120" s="90">
        <v>42748.735881944442</v>
      </c>
      <c r="D120" s="42">
        <v>42750.735881944442</v>
      </c>
      <c r="E120" s="3" t="s">
        <v>16</v>
      </c>
      <c r="F120" s="3" t="s">
        <v>16</v>
      </c>
      <c r="G120" s="3" t="s">
        <v>301</v>
      </c>
      <c r="H120" s="3" t="s">
        <v>9</v>
      </c>
      <c r="I120" s="3" t="s">
        <v>817</v>
      </c>
      <c r="J120" s="3" t="s">
        <v>304</v>
      </c>
      <c r="K120" s="3" t="s">
        <v>306</v>
      </c>
      <c r="L120" s="44">
        <v>42751</v>
      </c>
      <c r="M120" s="3" t="s">
        <v>59</v>
      </c>
      <c r="N120" s="3" t="s">
        <v>60</v>
      </c>
      <c r="O120" s="3" t="s">
        <v>147</v>
      </c>
      <c r="P120" s="42">
        <v>42751</v>
      </c>
      <c r="Q120" s="34" t="s">
        <v>4000</v>
      </c>
      <c r="R120" s="34">
        <f>IFERROR(INDEX(QUALIDADE,MATCH(tblVIRARAM_PESQUISA[[#This Row],[CASE ID]],PROTOCOLO_PESQUISAS,0),MATCH(tblVIRARAM_PESQUISA[[#Headers],[Q2 - Problem Resolved]],QUALIDADE_CAB,0)), "-")</f>
        <v>1</v>
      </c>
      <c r="S120" s="34">
        <f>IFERROR(INDEX(QUALIDADE,MATCH(tblVIRARAM_PESQUISA[[#This Row],[CASE ID]],PROTOCOLO_PESQUISAS,0),MATCH(tblVIRARAM_PESQUISA[[#Headers],[Q3 - First Time Fix]],QUALIDADE_CAB,0)), "-")</f>
        <v>1</v>
      </c>
      <c r="T120" s="34">
        <f>IFERROR(INDEX(QUALIDADE,MATCH(tblVIRARAM_PESQUISA[[#This Row],[CASE ID]],PROTOCOLO_PESQUISAS,0),MATCH(tblVIRARAM_PESQUISA[[#Headers],[Promoters]],QUALIDADE_CAB,0)), "-")</f>
        <v>1</v>
      </c>
      <c r="U120" s="34">
        <f>IFERROR(INDEX(QUALIDADE,MATCH(tblVIRARAM_PESQUISA[[#This Row],[CASE ID]],PROTOCOLO_PESQUISAS,0),MATCH(tblVIRARAM_PESQUISA[[#Headers],[Detractors]],QUALIDADE_CAB,0)), "-")</f>
        <v>0</v>
      </c>
    </row>
    <row r="121" spans="1:21">
      <c r="A121" s="3">
        <v>3035758970</v>
      </c>
      <c r="B121" s="3" t="s">
        <v>500</v>
      </c>
      <c r="C121" s="90">
        <v>42748.735881944442</v>
      </c>
      <c r="D121" s="42">
        <v>42750.735881944442</v>
      </c>
      <c r="E121" s="3" t="s">
        <v>846</v>
      </c>
      <c r="F121" s="3" t="s">
        <v>846</v>
      </c>
      <c r="G121" s="3" t="s">
        <v>301</v>
      </c>
      <c r="H121" s="3" t="s">
        <v>273</v>
      </c>
      <c r="I121" s="3" t="s">
        <v>817</v>
      </c>
      <c r="J121" s="3" t="s">
        <v>303</v>
      </c>
      <c r="K121" s="3" t="s">
        <v>305</v>
      </c>
      <c r="L121" s="44">
        <v>42751</v>
      </c>
      <c r="M121" s="3" t="s">
        <v>59</v>
      </c>
      <c r="N121" s="3" t="s">
        <v>60</v>
      </c>
      <c r="O121" s="3" t="s">
        <v>147</v>
      </c>
      <c r="P121" s="42">
        <v>42751</v>
      </c>
      <c r="Q121" s="34" t="s">
        <v>4000</v>
      </c>
      <c r="R121" s="34">
        <f>IFERROR(INDEX(QUALIDADE,MATCH(tblVIRARAM_PESQUISA[[#This Row],[CASE ID]],PROTOCOLO_PESQUISAS,0),MATCH(tblVIRARAM_PESQUISA[[#Headers],[Q2 - Problem Resolved]],QUALIDADE_CAB,0)), "-")</f>
        <v>1</v>
      </c>
      <c r="S121" s="34">
        <f>IFERROR(INDEX(QUALIDADE,MATCH(tblVIRARAM_PESQUISA[[#This Row],[CASE ID]],PROTOCOLO_PESQUISAS,0),MATCH(tblVIRARAM_PESQUISA[[#Headers],[Q3 - First Time Fix]],QUALIDADE_CAB,0)), "-")</f>
        <v>1</v>
      </c>
      <c r="T121" s="34">
        <f>IFERROR(INDEX(QUALIDADE,MATCH(tblVIRARAM_PESQUISA[[#This Row],[CASE ID]],PROTOCOLO_PESQUISAS,0),MATCH(tblVIRARAM_PESQUISA[[#Headers],[Promoters]],QUALIDADE_CAB,0)), "-")</f>
        <v>1</v>
      </c>
      <c r="U121" s="34">
        <f>IFERROR(INDEX(QUALIDADE,MATCH(tblVIRARAM_PESQUISA[[#This Row],[CASE ID]],PROTOCOLO_PESQUISAS,0),MATCH(tblVIRARAM_PESQUISA[[#Headers],[Detractors]],QUALIDADE_CAB,0)), "-")</f>
        <v>0</v>
      </c>
    </row>
    <row r="122" spans="1:21">
      <c r="A122" s="3">
        <v>3035752674</v>
      </c>
      <c r="B122" s="3" t="s">
        <v>500</v>
      </c>
      <c r="C122" s="90">
        <v>42748.735881944442</v>
      </c>
      <c r="D122" s="42">
        <v>42750.735881944442</v>
      </c>
      <c r="E122" s="3" t="s">
        <v>28</v>
      </c>
      <c r="F122" s="3" t="s">
        <v>28</v>
      </c>
      <c r="G122" s="3" t="s">
        <v>301</v>
      </c>
      <c r="H122" s="3" t="s">
        <v>9</v>
      </c>
      <c r="I122" s="3" t="s">
        <v>817</v>
      </c>
      <c r="J122" s="3" t="s">
        <v>304</v>
      </c>
      <c r="K122" s="3" t="s">
        <v>306</v>
      </c>
      <c r="L122" s="44">
        <v>42751</v>
      </c>
      <c r="M122" s="3" t="s">
        <v>59</v>
      </c>
      <c r="N122" s="3" t="s">
        <v>60</v>
      </c>
      <c r="O122" s="3" t="s">
        <v>147</v>
      </c>
      <c r="P122" s="42">
        <v>42751</v>
      </c>
      <c r="Q122" s="34" t="s">
        <v>4000</v>
      </c>
      <c r="R122" s="34">
        <f>IFERROR(INDEX(QUALIDADE,MATCH(tblVIRARAM_PESQUISA[[#This Row],[CASE ID]],PROTOCOLO_PESQUISAS,0),MATCH(tblVIRARAM_PESQUISA[[#Headers],[Q2 - Problem Resolved]],QUALIDADE_CAB,0)), "-")</f>
        <v>1</v>
      </c>
      <c r="S122" s="34">
        <f>IFERROR(INDEX(QUALIDADE,MATCH(tblVIRARAM_PESQUISA[[#This Row],[CASE ID]],PROTOCOLO_PESQUISAS,0),MATCH(tblVIRARAM_PESQUISA[[#Headers],[Q3 - First Time Fix]],QUALIDADE_CAB,0)), "-")</f>
        <v>1</v>
      </c>
      <c r="T122" s="34">
        <f>IFERROR(INDEX(QUALIDADE,MATCH(tblVIRARAM_PESQUISA[[#This Row],[CASE ID]],PROTOCOLO_PESQUISAS,0),MATCH(tblVIRARAM_PESQUISA[[#Headers],[Promoters]],QUALIDADE_CAB,0)), "-")</f>
        <v>1</v>
      </c>
      <c r="U122" s="34">
        <f>IFERROR(INDEX(QUALIDADE,MATCH(tblVIRARAM_PESQUISA[[#This Row],[CASE ID]],PROTOCOLO_PESQUISAS,0),MATCH(tblVIRARAM_PESQUISA[[#Headers],[Detractors]],QUALIDADE_CAB,0)), "-")</f>
        <v>0</v>
      </c>
    </row>
    <row r="123" spans="1:21">
      <c r="A123" s="3">
        <v>3035751709</v>
      </c>
      <c r="B123" s="3" t="s">
        <v>500</v>
      </c>
      <c r="C123" s="90">
        <v>42748.735881944442</v>
      </c>
      <c r="D123" s="42">
        <v>42750.735881944442</v>
      </c>
      <c r="E123" s="3" t="s">
        <v>1525</v>
      </c>
      <c r="F123" s="3" t="s">
        <v>1525</v>
      </c>
      <c r="G123" s="3" t="s">
        <v>301</v>
      </c>
      <c r="H123" s="3" t="s">
        <v>23</v>
      </c>
      <c r="I123" s="3" t="s">
        <v>817</v>
      </c>
      <c r="J123" s="3" t="s">
        <v>303</v>
      </c>
      <c r="K123" s="3" t="s">
        <v>305</v>
      </c>
      <c r="L123" s="44">
        <v>42751</v>
      </c>
      <c r="M123" s="3" t="s">
        <v>59</v>
      </c>
      <c r="N123" s="3" t="s">
        <v>60</v>
      </c>
      <c r="O123" s="3" t="s">
        <v>147</v>
      </c>
      <c r="P123" s="42">
        <v>42751</v>
      </c>
      <c r="Q123" s="34" t="s">
        <v>4000</v>
      </c>
      <c r="R123" s="34">
        <f>IFERROR(INDEX(QUALIDADE,MATCH(tblVIRARAM_PESQUISA[[#This Row],[CASE ID]],PROTOCOLO_PESQUISAS,0),MATCH(tblVIRARAM_PESQUISA[[#Headers],[Q2 - Problem Resolved]],QUALIDADE_CAB,0)), "-")</f>
        <v>1</v>
      </c>
      <c r="S123" s="34">
        <f>IFERROR(INDEX(QUALIDADE,MATCH(tblVIRARAM_PESQUISA[[#This Row],[CASE ID]],PROTOCOLO_PESQUISAS,0),MATCH(tblVIRARAM_PESQUISA[[#Headers],[Q3 - First Time Fix]],QUALIDADE_CAB,0)), "-")</f>
        <v>1</v>
      </c>
      <c r="T123" s="34">
        <f>IFERROR(INDEX(QUALIDADE,MATCH(tblVIRARAM_PESQUISA[[#This Row],[CASE ID]],PROTOCOLO_PESQUISAS,0),MATCH(tblVIRARAM_PESQUISA[[#Headers],[Promoters]],QUALIDADE_CAB,0)), "-")</f>
        <v>1</v>
      </c>
      <c r="U123" s="34">
        <f>IFERROR(INDEX(QUALIDADE,MATCH(tblVIRARAM_PESQUISA[[#This Row],[CASE ID]],PROTOCOLO_PESQUISAS,0),MATCH(tblVIRARAM_PESQUISA[[#Headers],[Detractors]],QUALIDADE_CAB,0)), "-")</f>
        <v>0</v>
      </c>
    </row>
    <row r="124" spans="1:21">
      <c r="A124" s="3">
        <v>3035756179</v>
      </c>
      <c r="B124" s="3" t="s">
        <v>500</v>
      </c>
      <c r="C124" s="90">
        <v>42748.735881944442</v>
      </c>
      <c r="D124" s="42">
        <v>42750.735881944442</v>
      </c>
      <c r="E124" s="3" t="s">
        <v>1525</v>
      </c>
      <c r="F124" s="3" t="s">
        <v>1525</v>
      </c>
      <c r="G124" s="3" t="s">
        <v>301</v>
      </c>
      <c r="H124" s="3" t="s">
        <v>23</v>
      </c>
      <c r="I124" s="3" t="s">
        <v>817</v>
      </c>
      <c r="J124" s="3" t="s">
        <v>304</v>
      </c>
      <c r="K124" s="3" t="s">
        <v>306</v>
      </c>
      <c r="L124" s="44">
        <v>42751</v>
      </c>
      <c r="M124" s="3" t="s">
        <v>84</v>
      </c>
      <c r="N124" s="3" t="s">
        <v>85</v>
      </c>
      <c r="O124" s="3" t="s">
        <v>233</v>
      </c>
      <c r="P124" s="42">
        <v>42751</v>
      </c>
      <c r="Q124" s="34" t="s">
        <v>4000</v>
      </c>
      <c r="R124" s="34">
        <f>IFERROR(INDEX(QUALIDADE,MATCH(tblVIRARAM_PESQUISA[[#This Row],[CASE ID]],PROTOCOLO_PESQUISAS,0),MATCH(tblVIRARAM_PESQUISA[[#Headers],[Q2 - Problem Resolved]],QUALIDADE_CAB,0)), "-")</f>
        <v>1</v>
      </c>
      <c r="S124" s="34">
        <f>IFERROR(INDEX(QUALIDADE,MATCH(tblVIRARAM_PESQUISA[[#This Row],[CASE ID]],PROTOCOLO_PESQUISAS,0),MATCH(tblVIRARAM_PESQUISA[[#Headers],[Q3 - First Time Fix]],QUALIDADE_CAB,0)), "-")</f>
        <v>1</v>
      </c>
      <c r="T124" s="34">
        <f>IFERROR(INDEX(QUALIDADE,MATCH(tblVIRARAM_PESQUISA[[#This Row],[CASE ID]],PROTOCOLO_PESQUISAS,0),MATCH(tblVIRARAM_PESQUISA[[#Headers],[Promoters]],QUALIDADE_CAB,0)), "-")</f>
        <v>1</v>
      </c>
      <c r="U124" s="34">
        <f>IFERROR(INDEX(QUALIDADE,MATCH(tblVIRARAM_PESQUISA[[#This Row],[CASE ID]],PROTOCOLO_PESQUISAS,0),MATCH(tblVIRARAM_PESQUISA[[#Headers],[Detractors]],QUALIDADE_CAB,0)), "-")</f>
        <v>0</v>
      </c>
    </row>
    <row r="125" spans="1:21">
      <c r="A125" s="3">
        <v>3035766068</v>
      </c>
      <c r="B125" s="3" t="s">
        <v>500</v>
      </c>
      <c r="C125" s="90">
        <v>42748.735881944442</v>
      </c>
      <c r="D125" s="42">
        <v>42750.735881944442</v>
      </c>
      <c r="E125" s="3" t="s">
        <v>46</v>
      </c>
      <c r="F125" s="3" t="s">
        <v>46</v>
      </c>
      <c r="G125" s="3" t="s">
        <v>301</v>
      </c>
      <c r="H125" s="3" t="s">
        <v>39</v>
      </c>
      <c r="I125" s="3" t="s">
        <v>817</v>
      </c>
      <c r="J125" s="3" t="s">
        <v>303</v>
      </c>
      <c r="K125" s="3" t="s">
        <v>3664</v>
      </c>
      <c r="L125" s="44">
        <v>42751</v>
      </c>
      <c r="M125" s="3" t="s">
        <v>84</v>
      </c>
      <c r="N125" s="3" t="s">
        <v>85</v>
      </c>
      <c r="O125" s="3" t="s">
        <v>3652</v>
      </c>
      <c r="P125" s="42">
        <v>42751</v>
      </c>
      <c r="Q125" s="34" t="s">
        <v>4000</v>
      </c>
      <c r="R125" s="34">
        <f>IFERROR(INDEX(QUALIDADE,MATCH(tblVIRARAM_PESQUISA[[#This Row],[CASE ID]],PROTOCOLO_PESQUISAS,0),MATCH(tblVIRARAM_PESQUISA[[#Headers],[Q2 - Problem Resolved]],QUALIDADE_CAB,0)), "-")</f>
        <v>1</v>
      </c>
      <c r="S125" s="34">
        <f>IFERROR(INDEX(QUALIDADE,MATCH(tblVIRARAM_PESQUISA[[#This Row],[CASE ID]],PROTOCOLO_PESQUISAS,0),MATCH(tblVIRARAM_PESQUISA[[#Headers],[Q3 - First Time Fix]],QUALIDADE_CAB,0)), "-")</f>
        <v>1</v>
      </c>
      <c r="T125" s="34">
        <f>IFERROR(INDEX(QUALIDADE,MATCH(tblVIRARAM_PESQUISA[[#This Row],[CASE ID]],PROTOCOLO_PESQUISAS,0),MATCH(tblVIRARAM_PESQUISA[[#Headers],[Promoters]],QUALIDADE_CAB,0)), "-")</f>
        <v>1</v>
      </c>
      <c r="U125" s="34">
        <f>IFERROR(INDEX(QUALIDADE,MATCH(tblVIRARAM_PESQUISA[[#This Row],[CASE ID]],PROTOCOLO_PESQUISAS,0),MATCH(tblVIRARAM_PESQUISA[[#Headers],[Detractors]],QUALIDADE_CAB,0)), "-")</f>
        <v>0</v>
      </c>
    </row>
    <row r="126" spans="1:21">
      <c r="A126" s="3">
        <v>3035748734</v>
      </c>
      <c r="B126" s="3" t="s">
        <v>500</v>
      </c>
      <c r="C126" s="90">
        <v>42748.735881944442</v>
      </c>
      <c r="D126" s="42">
        <v>42750.735881944442</v>
      </c>
      <c r="E126" s="3" t="s">
        <v>35</v>
      </c>
      <c r="F126" s="3" t="s">
        <v>35</v>
      </c>
      <c r="G126" s="3" t="s">
        <v>301</v>
      </c>
      <c r="H126" s="3" t="s">
        <v>31</v>
      </c>
      <c r="I126" s="3" t="s">
        <v>817</v>
      </c>
      <c r="J126" s="3" t="s">
        <v>303</v>
      </c>
      <c r="K126" s="3" t="s">
        <v>3664</v>
      </c>
      <c r="L126" s="44">
        <v>42751</v>
      </c>
      <c r="M126" s="3" t="s">
        <v>84</v>
      </c>
      <c r="N126" s="3" t="s">
        <v>85</v>
      </c>
      <c r="O126" s="3" t="s">
        <v>3644</v>
      </c>
      <c r="P126" s="42">
        <v>42751</v>
      </c>
      <c r="Q126" s="34" t="s">
        <v>4000</v>
      </c>
      <c r="R126" s="34">
        <f>IFERROR(INDEX(QUALIDADE,MATCH(tblVIRARAM_PESQUISA[[#This Row],[CASE ID]],PROTOCOLO_PESQUISAS,0),MATCH(tblVIRARAM_PESQUISA[[#Headers],[Q2 - Problem Resolved]],QUALIDADE_CAB,0)), "-")</f>
        <v>1</v>
      </c>
      <c r="S126" s="34">
        <f>IFERROR(INDEX(QUALIDADE,MATCH(tblVIRARAM_PESQUISA[[#This Row],[CASE ID]],PROTOCOLO_PESQUISAS,0),MATCH(tblVIRARAM_PESQUISA[[#Headers],[Q3 - First Time Fix]],QUALIDADE_CAB,0)), "-")</f>
        <v>2</v>
      </c>
      <c r="T126" s="34">
        <f>IFERROR(INDEX(QUALIDADE,MATCH(tblVIRARAM_PESQUISA[[#This Row],[CASE ID]],PROTOCOLO_PESQUISAS,0),MATCH(tblVIRARAM_PESQUISA[[#Headers],[Promoters]],QUALIDADE_CAB,0)), "-")</f>
        <v>1</v>
      </c>
      <c r="U126" s="34">
        <f>IFERROR(INDEX(QUALIDADE,MATCH(tblVIRARAM_PESQUISA[[#This Row],[CASE ID]],PROTOCOLO_PESQUISAS,0),MATCH(tblVIRARAM_PESQUISA[[#Headers],[Detractors]],QUALIDADE_CAB,0)), "-")</f>
        <v>0</v>
      </c>
    </row>
    <row r="127" spans="1:21">
      <c r="A127" s="3">
        <v>3035751120</v>
      </c>
      <c r="B127" s="3" t="s">
        <v>500</v>
      </c>
      <c r="C127" s="90">
        <v>42748.735881944442</v>
      </c>
      <c r="D127" s="42">
        <v>42750.735881944442</v>
      </c>
      <c r="E127" s="3" t="s">
        <v>54</v>
      </c>
      <c r="F127" s="3" t="s">
        <v>54</v>
      </c>
      <c r="G127" s="3" t="s">
        <v>301</v>
      </c>
      <c r="H127" s="3" t="s">
        <v>273</v>
      </c>
      <c r="I127" s="3" t="s">
        <v>817</v>
      </c>
      <c r="J127" s="3" t="s">
        <v>304</v>
      </c>
      <c r="K127" s="3" t="s">
        <v>306</v>
      </c>
      <c r="L127" s="44">
        <v>42751</v>
      </c>
      <c r="M127" s="3" t="s">
        <v>84</v>
      </c>
      <c r="N127" s="3" t="s">
        <v>85</v>
      </c>
      <c r="O127" s="3" t="s">
        <v>233</v>
      </c>
      <c r="P127" s="42">
        <v>42751</v>
      </c>
      <c r="Q127" s="34" t="s">
        <v>4000</v>
      </c>
      <c r="R127" s="34">
        <f>IFERROR(INDEX(QUALIDADE,MATCH(tblVIRARAM_PESQUISA[[#This Row],[CASE ID]],PROTOCOLO_PESQUISAS,0),MATCH(tblVIRARAM_PESQUISA[[#Headers],[Q2 - Problem Resolved]],QUALIDADE_CAB,0)), "-")</f>
        <v>1</v>
      </c>
      <c r="S127" s="34">
        <f>IFERROR(INDEX(QUALIDADE,MATCH(tblVIRARAM_PESQUISA[[#This Row],[CASE ID]],PROTOCOLO_PESQUISAS,0),MATCH(tblVIRARAM_PESQUISA[[#Headers],[Q3 - First Time Fix]],QUALIDADE_CAB,0)), "-")</f>
        <v>1</v>
      </c>
      <c r="T127" s="34">
        <f>IFERROR(INDEX(QUALIDADE,MATCH(tblVIRARAM_PESQUISA[[#This Row],[CASE ID]],PROTOCOLO_PESQUISAS,0),MATCH(tblVIRARAM_PESQUISA[[#Headers],[Promoters]],QUALIDADE_CAB,0)), "-")</f>
        <v>1</v>
      </c>
      <c r="U127" s="34">
        <f>IFERROR(INDEX(QUALIDADE,MATCH(tblVIRARAM_PESQUISA[[#This Row],[CASE ID]],PROTOCOLO_PESQUISAS,0),MATCH(tblVIRARAM_PESQUISA[[#Headers],[Detractors]],QUALIDADE_CAB,0)), "-")</f>
        <v>0</v>
      </c>
    </row>
    <row r="128" spans="1:21">
      <c r="A128" s="3">
        <v>3035722349</v>
      </c>
      <c r="B128" s="3" t="s">
        <v>500</v>
      </c>
      <c r="C128" s="90">
        <v>42747.737991238428</v>
      </c>
      <c r="D128" s="42">
        <v>42749.737991238428</v>
      </c>
      <c r="E128" s="3" t="s">
        <v>2139</v>
      </c>
      <c r="F128" s="3" t="s">
        <v>2139</v>
      </c>
      <c r="G128" s="3" t="s">
        <v>301</v>
      </c>
      <c r="H128" s="3" t="s">
        <v>273</v>
      </c>
      <c r="I128" s="3" t="s">
        <v>325</v>
      </c>
      <c r="J128" s="3" t="s">
        <v>303</v>
      </c>
      <c r="K128" s="3" t="s">
        <v>3999</v>
      </c>
      <c r="L128" s="44"/>
      <c r="M128" s="3" t="s">
        <v>70</v>
      </c>
      <c r="N128" s="3" t="s">
        <v>71</v>
      </c>
      <c r="O128" s="3" t="s">
        <v>3092</v>
      </c>
      <c r="P128" s="42">
        <v>42751</v>
      </c>
      <c r="Q128" s="34" t="s">
        <v>4000</v>
      </c>
      <c r="R128" s="34">
        <f>IFERROR(INDEX(QUALIDADE,MATCH(tblVIRARAM_PESQUISA[[#This Row],[CASE ID]],PROTOCOLO_PESQUISAS,0),MATCH(tblVIRARAM_PESQUISA[[#Headers],[Q2 - Problem Resolved]],QUALIDADE_CAB,0)), "-")</f>
        <v>2</v>
      </c>
      <c r="S128" s="34">
        <f>IFERROR(INDEX(QUALIDADE,MATCH(tblVIRARAM_PESQUISA[[#This Row],[CASE ID]],PROTOCOLO_PESQUISAS,0),MATCH(tblVIRARAM_PESQUISA[[#Headers],[Q3 - First Time Fix]],QUALIDADE_CAB,0)), "-")</f>
        <v>2</v>
      </c>
      <c r="T128" s="34">
        <f>IFERROR(INDEX(QUALIDADE,MATCH(tblVIRARAM_PESQUISA[[#This Row],[CASE ID]],PROTOCOLO_PESQUISAS,0),MATCH(tblVIRARAM_PESQUISA[[#Headers],[Promoters]],QUALIDADE_CAB,0)), "-")</f>
        <v>0</v>
      </c>
      <c r="U128" s="34">
        <f>IFERROR(INDEX(QUALIDADE,MATCH(tblVIRARAM_PESQUISA[[#This Row],[CASE ID]],PROTOCOLO_PESQUISAS,0),MATCH(tblVIRARAM_PESQUISA[[#Headers],[Detractors]],QUALIDADE_CAB,0)), "-")</f>
        <v>0</v>
      </c>
    </row>
    <row r="129" spans="1:21">
      <c r="A129" s="3">
        <v>3035717778</v>
      </c>
      <c r="B129" s="3" t="s">
        <v>500</v>
      </c>
      <c r="C129" s="90">
        <v>42747.737991238428</v>
      </c>
      <c r="D129" s="42">
        <v>42749.737991238428</v>
      </c>
      <c r="E129" s="3" t="s">
        <v>1110</v>
      </c>
      <c r="F129" s="3" t="s">
        <v>1110</v>
      </c>
      <c r="G129" s="3" t="s">
        <v>301</v>
      </c>
      <c r="H129" s="3" t="s">
        <v>31</v>
      </c>
      <c r="I129" s="3" t="s">
        <v>817</v>
      </c>
      <c r="J129" s="3" t="s">
        <v>304</v>
      </c>
      <c r="K129" s="3" t="s">
        <v>306</v>
      </c>
      <c r="L129" s="44">
        <v>42751</v>
      </c>
      <c r="M129" s="3" t="s">
        <v>84</v>
      </c>
      <c r="N129" s="3" t="s">
        <v>85</v>
      </c>
      <c r="O129" s="3" t="s">
        <v>888</v>
      </c>
      <c r="P129" s="42">
        <v>42751</v>
      </c>
      <c r="Q129" s="34" t="s">
        <v>4000</v>
      </c>
      <c r="R129" s="34">
        <f>IFERROR(INDEX(QUALIDADE,MATCH(tblVIRARAM_PESQUISA[[#This Row],[CASE ID]],PROTOCOLO_PESQUISAS,0),MATCH(tblVIRARAM_PESQUISA[[#Headers],[Q2 - Problem Resolved]],QUALIDADE_CAB,0)), "-")</f>
        <v>1</v>
      </c>
      <c r="S129" s="34">
        <f>IFERROR(INDEX(QUALIDADE,MATCH(tblVIRARAM_PESQUISA[[#This Row],[CASE ID]],PROTOCOLO_PESQUISAS,0),MATCH(tblVIRARAM_PESQUISA[[#Headers],[Q3 - First Time Fix]],QUALIDADE_CAB,0)), "-")</f>
        <v>1</v>
      </c>
      <c r="T129" s="34">
        <f>IFERROR(INDEX(QUALIDADE,MATCH(tblVIRARAM_PESQUISA[[#This Row],[CASE ID]],PROTOCOLO_PESQUISAS,0),MATCH(tblVIRARAM_PESQUISA[[#Headers],[Promoters]],QUALIDADE_CAB,0)), "-")</f>
        <v>1</v>
      </c>
      <c r="U129" s="34">
        <f>IFERROR(INDEX(QUALIDADE,MATCH(tblVIRARAM_PESQUISA[[#This Row],[CASE ID]],PROTOCOLO_PESQUISAS,0),MATCH(tblVIRARAM_PESQUISA[[#Headers],[Detractors]],QUALIDADE_CAB,0)), "-")</f>
        <v>0</v>
      </c>
    </row>
    <row r="130" spans="1:21">
      <c r="A130" s="3">
        <v>3035715381</v>
      </c>
      <c r="B130" s="3" t="s">
        <v>500</v>
      </c>
      <c r="C130" s="90">
        <v>42747.737991238428</v>
      </c>
      <c r="D130" s="42">
        <v>42749.737991238428</v>
      </c>
      <c r="E130" s="3" t="s">
        <v>585</v>
      </c>
      <c r="F130" s="3" t="s">
        <v>585</v>
      </c>
      <c r="G130" s="3" t="s">
        <v>301</v>
      </c>
      <c r="H130" s="3" t="s">
        <v>273</v>
      </c>
      <c r="I130" s="3" t="s">
        <v>817</v>
      </c>
      <c r="J130" s="3" t="s">
        <v>303</v>
      </c>
      <c r="K130" s="3" t="s">
        <v>305</v>
      </c>
      <c r="L130" s="44">
        <v>42751</v>
      </c>
      <c r="M130" s="3" t="s">
        <v>59</v>
      </c>
      <c r="N130" s="3" t="s">
        <v>60</v>
      </c>
      <c r="O130" s="3" t="s">
        <v>147</v>
      </c>
      <c r="P130" s="42">
        <v>42751</v>
      </c>
      <c r="Q130" s="34" t="s">
        <v>4000</v>
      </c>
      <c r="R130" s="34">
        <f>IFERROR(INDEX(QUALIDADE,MATCH(tblVIRARAM_PESQUISA[[#This Row],[CASE ID]],PROTOCOLO_PESQUISAS,0),MATCH(tblVIRARAM_PESQUISA[[#Headers],[Q2 - Problem Resolved]],QUALIDADE_CAB,0)), "-")</f>
        <v>1</v>
      </c>
      <c r="S130" s="34">
        <f>IFERROR(INDEX(QUALIDADE,MATCH(tblVIRARAM_PESQUISA[[#This Row],[CASE ID]],PROTOCOLO_PESQUISAS,0),MATCH(tblVIRARAM_PESQUISA[[#Headers],[Q3 - First Time Fix]],QUALIDADE_CAB,0)), "-")</f>
        <v>1</v>
      </c>
      <c r="T130" s="34">
        <f>IFERROR(INDEX(QUALIDADE,MATCH(tblVIRARAM_PESQUISA[[#This Row],[CASE ID]],PROTOCOLO_PESQUISAS,0),MATCH(tblVIRARAM_PESQUISA[[#Headers],[Promoters]],QUALIDADE_CAB,0)), "-")</f>
        <v>0</v>
      </c>
      <c r="U130" s="34">
        <f>IFERROR(INDEX(QUALIDADE,MATCH(tblVIRARAM_PESQUISA[[#This Row],[CASE ID]],PROTOCOLO_PESQUISAS,0),MATCH(tblVIRARAM_PESQUISA[[#Headers],[Detractors]],QUALIDADE_CAB,0)), "-")</f>
        <v>0</v>
      </c>
    </row>
    <row r="131" spans="1:21">
      <c r="A131" s="3">
        <v>3035728168</v>
      </c>
      <c r="B131" s="3" t="s">
        <v>500</v>
      </c>
      <c r="C131" s="90">
        <v>42747.737991238428</v>
      </c>
      <c r="D131" s="42">
        <v>42749.737991238428</v>
      </c>
      <c r="E131" s="3" t="s">
        <v>846</v>
      </c>
      <c r="F131" s="3" t="s">
        <v>846</v>
      </c>
      <c r="G131" s="3" t="s">
        <v>301</v>
      </c>
      <c r="H131" s="3" t="s">
        <v>273</v>
      </c>
      <c r="I131" s="3" t="s">
        <v>817</v>
      </c>
      <c r="J131" s="3" t="s">
        <v>304</v>
      </c>
      <c r="K131" s="3" t="s">
        <v>306</v>
      </c>
      <c r="L131" s="44">
        <v>42751</v>
      </c>
      <c r="M131" s="3" t="s">
        <v>59</v>
      </c>
      <c r="N131" s="3" t="s">
        <v>60</v>
      </c>
      <c r="O131" s="3" t="s">
        <v>147</v>
      </c>
      <c r="P131" s="42">
        <v>42751</v>
      </c>
      <c r="Q131" s="34" t="s">
        <v>4000</v>
      </c>
      <c r="R131" s="34">
        <f>IFERROR(INDEX(QUALIDADE,MATCH(tblVIRARAM_PESQUISA[[#This Row],[CASE ID]],PROTOCOLO_PESQUISAS,0),MATCH(tblVIRARAM_PESQUISA[[#Headers],[Q2 - Problem Resolved]],QUALIDADE_CAB,0)), "-")</f>
        <v>1</v>
      </c>
      <c r="S131" s="34">
        <f>IFERROR(INDEX(QUALIDADE,MATCH(tblVIRARAM_PESQUISA[[#This Row],[CASE ID]],PROTOCOLO_PESQUISAS,0),MATCH(tblVIRARAM_PESQUISA[[#Headers],[Q3 - First Time Fix]],QUALIDADE_CAB,0)), "-")</f>
        <v>1</v>
      </c>
      <c r="T131" s="34">
        <f>IFERROR(INDEX(QUALIDADE,MATCH(tblVIRARAM_PESQUISA[[#This Row],[CASE ID]],PROTOCOLO_PESQUISAS,0),MATCH(tblVIRARAM_PESQUISA[[#Headers],[Promoters]],QUALIDADE_CAB,0)), "-")</f>
        <v>1</v>
      </c>
      <c r="U131" s="34">
        <f>IFERROR(INDEX(QUALIDADE,MATCH(tblVIRARAM_PESQUISA[[#This Row],[CASE ID]],PROTOCOLO_PESQUISAS,0),MATCH(tblVIRARAM_PESQUISA[[#Headers],[Detractors]],QUALIDADE_CAB,0)), "-")</f>
        <v>0</v>
      </c>
    </row>
    <row r="132" spans="1:21">
      <c r="A132" s="3">
        <v>3035434049</v>
      </c>
      <c r="B132" s="3" t="s">
        <v>500</v>
      </c>
      <c r="C132" s="90">
        <v>42747.737991238428</v>
      </c>
      <c r="D132" s="42">
        <v>42749.737991238428</v>
      </c>
      <c r="E132" s="3" t="s">
        <v>19</v>
      </c>
      <c r="F132" s="3" t="s">
        <v>19</v>
      </c>
      <c r="G132" s="3" t="s">
        <v>301</v>
      </c>
      <c r="H132" s="3" t="s">
        <v>9</v>
      </c>
      <c r="I132" s="3" t="s">
        <v>817</v>
      </c>
      <c r="J132" s="3" t="s">
        <v>303</v>
      </c>
      <c r="K132" s="3" t="s">
        <v>305</v>
      </c>
      <c r="L132" s="44">
        <v>42751</v>
      </c>
      <c r="M132" s="3" t="s">
        <v>59</v>
      </c>
      <c r="N132" s="3" t="s">
        <v>60</v>
      </c>
      <c r="O132" s="3" t="s">
        <v>147</v>
      </c>
      <c r="P132" s="42">
        <v>42751</v>
      </c>
      <c r="Q132" s="34" t="s">
        <v>4000</v>
      </c>
      <c r="R132" s="34">
        <f>IFERROR(INDEX(QUALIDADE,MATCH(tblVIRARAM_PESQUISA[[#This Row],[CASE ID]],PROTOCOLO_PESQUISAS,0),MATCH(tblVIRARAM_PESQUISA[[#Headers],[Q2 - Problem Resolved]],QUALIDADE_CAB,0)), "-")</f>
        <v>1</v>
      </c>
      <c r="S132" s="34">
        <f>IFERROR(INDEX(QUALIDADE,MATCH(tblVIRARAM_PESQUISA[[#This Row],[CASE ID]],PROTOCOLO_PESQUISAS,0),MATCH(tblVIRARAM_PESQUISA[[#Headers],[Q3 - First Time Fix]],QUALIDADE_CAB,0)), "-")</f>
        <v>2</v>
      </c>
      <c r="T132" s="34">
        <f>IFERROR(INDEX(QUALIDADE,MATCH(tblVIRARAM_PESQUISA[[#This Row],[CASE ID]],PROTOCOLO_PESQUISAS,0),MATCH(tblVIRARAM_PESQUISA[[#Headers],[Promoters]],QUALIDADE_CAB,0)), "-")</f>
        <v>1</v>
      </c>
      <c r="U132" s="34">
        <f>IFERROR(INDEX(QUALIDADE,MATCH(tblVIRARAM_PESQUISA[[#This Row],[CASE ID]],PROTOCOLO_PESQUISAS,0),MATCH(tblVIRARAM_PESQUISA[[#Headers],[Detractors]],QUALIDADE_CAB,0)), "-")</f>
        <v>0</v>
      </c>
    </row>
    <row r="133" spans="1:21">
      <c r="A133" s="3">
        <v>3035722739</v>
      </c>
      <c r="B133" s="3" t="s">
        <v>500</v>
      </c>
      <c r="C133" s="90">
        <v>42747.737991238428</v>
      </c>
      <c r="D133" s="42">
        <v>42749.737991238428</v>
      </c>
      <c r="E133" s="3" t="s">
        <v>34</v>
      </c>
      <c r="F133" s="3" t="s">
        <v>34</v>
      </c>
      <c r="G133" s="3" t="s">
        <v>301</v>
      </c>
      <c r="H133" s="3" t="s">
        <v>31</v>
      </c>
      <c r="I133" s="3" t="s">
        <v>817</v>
      </c>
      <c r="J133" s="3" t="s">
        <v>304</v>
      </c>
      <c r="K133" s="3" t="s">
        <v>306</v>
      </c>
      <c r="L133" s="44">
        <v>42751</v>
      </c>
      <c r="M133" s="3" t="s">
        <v>59</v>
      </c>
      <c r="N133" s="3" t="s">
        <v>60</v>
      </c>
      <c r="O133" s="3" t="s">
        <v>147</v>
      </c>
      <c r="P133" s="42">
        <v>42751</v>
      </c>
      <c r="Q133" s="34" t="s">
        <v>4000</v>
      </c>
      <c r="R133" s="34">
        <f>IFERROR(INDEX(QUALIDADE,MATCH(tblVIRARAM_PESQUISA[[#This Row],[CASE ID]],PROTOCOLO_PESQUISAS,0),MATCH(tblVIRARAM_PESQUISA[[#Headers],[Q2 - Problem Resolved]],QUALIDADE_CAB,0)), "-")</f>
        <v>1</v>
      </c>
      <c r="S133" s="34">
        <f>IFERROR(INDEX(QUALIDADE,MATCH(tblVIRARAM_PESQUISA[[#This Row],[CASE ID]],PROTOCOLO_PESQUISAS,0),MATCH(tblVIRARAM_PESQUISA[[#Headers],[Q3 - First Time Fix]],QUALIDADE_CAB,0)), "-")</f>
        <v>1</v>
      </c>
      <c r="T133" s="34">
        <f>IFERROR(INDEX(QUALIDADE,MATCH(tblVIRARAM_PESQUISA[[#This Row],[CASE ID]],PROTOCOLO_PESQUISAS,0),MATCH(tblVIRARAM_PESQUISA[[#Headers],[Promoters]],QUALIDADE_CAB,0)), "-")</f>
        <v>1</v>
      </c>
      <c r="U133" s="34">
        <f>IFERROR(INDEX(QUALIDADE,MATCH(tblVIRARAM_PESQUISA[[#This Row],[CASE ID]],PROTOCOLO_PESQUISAS,0),MATCH(tblVIRARAM_PESQUISA[[#Headers],[Detractors]],QUALIDADE_CAB,0)), "-")</f>
        <v>0</v>
      </c>
    </row>
    <row r="134" spans="1:21">
      <c r="A134" s="3">
        <v>3035686308</v>
      </c>
      <c r="B134" s="3" t="s">
        <v>500</v>
      </c>
      <c r="C134" s="90">
        <v>42746.738471724537</v>
      </c>
      <c r="D134" s="42">
        <v>42748.738471724537</v>
      </c>
      <c r="E134" s="3" t="s">
        <v>1537</v>
      </c>
      <c r="F134" s="3" t="s">
        <v>1537</v>
      </c>
      <c r="G134" s="3" t="s">
        <v>301</v>
      </c>
      <c r="H134" s="3" t="s">
        <v>23</v>
      </c>
      <c r="I134" s="3" t="s">
        <v>817</v>
      </c>
      <c r="J134" s="3" t="s">
        <v>304</v>
      </c>
      <c r="K134" s="3" t="s">
        <v>307</v>
      </c>
      <c r="L134" s="44">
        <v>42751</v>
      </c>
      <c r="M134" s="3" t="s">
        <v>59</v>
      </c>
      <c r="N134" s="3" t="s">
        <v>60</v>
      </c>
      <c r="O134" s="3" t="s">
        <v>147</v>
      </c>
      <c r="P134" s="42">
        <v>42751</v>
      </c>
      <c r="Q134" s="34" t="s">
        <v>4000</v>
      </c>
      <c r="R134" s="34">
        <f>IFERROR(INDEX(QUALIDADE,MATCH(tblVIRARAM_PESQUISA[[#This Row],[CASE ID]],PROTOCOLO_PESQUISAS,0),MATCH(tblVIRARAM_PESQUISA[[#Headers],[Q2 - Problem Resolved]],QUALIDADE_CAB,0)), "-")</f>
        <v>1</v>
      </c>
      <c r="S134" s="34">
        <f>IFERROR(INDEX(QUALIDADE,MATCH(tblVIRARAM_PESQUISA[[#This Row],[CASE ID]],PROTOCOLO_PESQUISAS,0),MATCH(tblVIRARAM_PESQUISA[[#Headers],[Q3 - First Time Fix]],QUALIDADE_CAB,0)), "-")</f>
        <v>1</v>
      </c>
      <c r="T134" s="34">
        <f>IFERROR(INDEX(QUALIDADE,MATCH(tblVIRARAM_PESQUISA[[#This Row],[CASE ID]],PROTOCOLO_PESQUISAS,0),MATCH(tblVIRARAM_PESQUISA[[#Headers],[Promoters]],QUALIDADE_CAB,0)), "-")</f>
        <v>1</v>
      </c>
      <c r="U134" s="34">
        <f>IFERROR(INDEX(QUALIDADE,MATCH(tblVIRARAM_PESQUISA[[#This Row],[CASE ID]],PROTOCOLO_PESQUISAS,0),MATCH(tblVIRARAM_PESQUISA[[#Headers],[Detractors]],QUALIDADE_CAB,0)), "-")</f>
        <v>0</v>
      </c>
    </row>
    <row r="135" spans="1:21">
      <c r="A135" s="3">
        <v>3035519405</v>
      </c>
      <c r="B135" s="3" t="s">
        <v>500</v>
      </c>
      <c r="C135" s="90">
        <v>42746.738471724537</v>
      </c>
      <c r="D135" s="42">
        <v>42748.738471724537</v>
      </c>
      <c r="E135" s="3" t="s">
        <v>49</v>
      </c>
      <c r="F135" s="3" t="s">
        <v>21</v>
      </c>
      <c r="G135" s="3" t="s">
        <v>302</v>
      </c>
      <c r="H135" s="3" t="s">
        <v>273</v>
      </c>
      <c r="I135" s="3" t="s">
        <v>817</v>
      </c>
      <c r="J135" s="3" t="s">
        <v>304</v>
      </c>
      <c r="K135" s="3" t="s">
        <v>307</v>
      </c>
      <c r="L135" s="44">
        <v>42751</v>
      </c>
      <c r="M135" s="3" t="s">
        <v>59</v>
      </c>
      <c r="N135" s="3" t="s">
        <v>60</v>
      </c>
      <c r="O135" s="3" t="s">
        <v>147</v>
      </c>
      <c r="P135" s="42">
        <v>42751</v>
      </c>
      <c r="Q135" s="34" t="s">
        <v>4000</v>
      </c>
      <c r="R135" s="34">
        <f>IFERROR(INDEX(QUALIDADE,MATCH(tblVIRARAM_PESQUISA[[#This Row],[CASE ID]],PROTOCOLO_PESQUISAS,0),MATCH(tblVIRARAM_PESQUISA[[#Headers],[Q2 - Problem Resolved]],QUALIDADE_CAB,0)), "-")</f>
        <v>1</v>
      </c>
      <c r="S135" s="34">
        <f>IFERROR(INDEX(QUALIDADE,MATCH(tblVIRARAM_PESQUISA[[#This Row],[CASE ID]],PROTOCOLO_PESQUISAS,0),MATCH(tblVIRARAM_PESQUISA[[#Headers],[Q3 - First Time Fix]],QUALIDADE_CAB,0)), "-")</f>
        <v>1</v>
      </c>
      <c r="T135" s="34">
        <f>IFERROR(INDEX(QUALIDADE,MATCH(tblVIRARAM_PESQUISA[[#This Row],[CASE ID]],PROTOCOLO_PESQUISAS,0),MATCH(tblVIRARAM_PESQUISA[[#Headers],[Promoters]],QUALIDADE_CAB,0)), "-")</f>
        <v>1</v>
      </c>
      <c r="U135" s="34">
        <f>IFERROR(INDEX(QUALIDADE,MATCH(tblVIRARAM_PESQUISA[[#This Row],[CASE ID]],PROTOCOLO_PESQUISAS,0),MATCH(tblVIRARAM_PESQUISA[[#Headers],[Detractors]],QUALIDADE_CAB,0)), "-")</f>
        <v>0</v>
      </c>
    </row>
    <row r="136" spans="1:21">
      <c r="A136" s="3">
        <v>3035616947</v>
      </c>
      <c r="B136" s="3" t="s">
        <v>500</v>
      </c>
      <c r="C136" s="90">
        <v>42746.738471724537</v>
      </c>
      <c r="D136" s="42">
        <v>42748.738471724537</v>
      </c>
      <c r="E136" s="3" t="s">
        <v>281</v>
      </c>
      <c r="F136" s="3" t="s">
        <v>281</v>
      </c>
      <c r="G136" s="3" t="s">
        <v>301</v>
      </c>
      <c r="H136" s="3" t="s">
        <v>51</v>
      </c>
      <c r="I136" s="3" t="s">
        <v>817</v>
      </c>
      <c r="J136" s="3" t="s">
        <v>304</v>
      </c>
      <c r="K136" s="3" t="s">
        <v>307</v>
      </c>
      <c r="L136" s="44">
        <v>42751</v>
      </c>
      <c r="M136" s="3" t="s">
        <v>59</v>
      </c>
      <c r="N136" s="3" t="s">
        <v>60</v>
      </c>
      <c r="O136" s="3" t="s">
        <v>147</v>
      </c>
      <c r="P136" s="42">
        <v>42751</v>
      </c>
      <c r="Q136" s="34" t="s">
        <v>4000</v>
      </c>
      <c r="R136" s="34">
        <f>IFERROR(INDEX(QUALIDADE,MATCH(tblVIRARAM_PESQUISA[[#This Row],[CASE ID]],PROTOCOLO_PESQUISAS,0),MATCH(tblVIRARAM_PESQUISA[[#Headers],[Q2 - Problem Resolved]],QUALIDADE_CAB,0)), "-")</f>
        <v>1</v>
      </c>
      <c r="S136" s="34">
        <f>IFERROR(INDEX(QUALIDADE,MATCH(tblVIRARAM_PESQUISA[[#This Row],[CASE ID]],PROTOCOLO_PESQUISAS,0),MATCH(tblVIRARAM_PESQUISA[[#Headers],[Q3 - First Time Fix]],QUALIDADE_CAB,0)), "-")</f>
        <v>2</v>
      </c>
      <c r="T136" s="34">
        <f>IFERROR(INDEX(QUALIDADE,MATCH(tblVIRARAM_PESQUISA[[#This Row],[CASE ID]],PROTOCOLO_PESQUISAS,0),MATCH(tblVIRARAM_PESQUISA[[#Headers],[Promoters]],QUALIDADE_CAB,0)), "-")</f>
        <v>1</v>
      </c>
      <c r="U136" s="34">
        <f>IFERROR(INDEX(QUALIDADE,MATCH(tblVIRARAM_PESQUISA[[#This Row],[CASE ID]],PROTOCOLO_PESQUISAS,0),MATCH(tblVIRARAM_PESQUISA[[#Headers],[Detractors]],QUALIDADE_CAB,0)), "-")</f>
        <v>0</v>
      </c>
    </row>
    <row r="137" spans="1:21">
      <c r="A137" s="3">
        <v>3035678359</v>
      </c>
      <c r="B137" s="3" t="s">
        <v>500</v>
      </c>
      <c r="C137" s="90">
        <v>42746.738471724537</v>
      </c>
      <c r="D137" s="42">
        <v>42748.738471724537</v>
      </c>
      <c r="E137" s="3" t="s">
        <v>12</v>
      </c>
      <c r="F137" s="3" t="s">
        <v>12</v>
      </c>
      <c r="G137" s="3" t="s">
        <v>301</v>
      </c>
      <c r="H137" s="3" t="s">
        <v>9</v>
      </c>
      <c r="I137" s="3" t="s">
        <v>817</v>
      </c>
      <c r="J137" s="3" t="s">
        <v>303</v>
      </c>
      <c r="K137" s="3" t="s">
        <v>305</v>
      </c>
      <c r="L137" s="44">
        <v>42751</v>
      </c>
      <c r="M137" s="3" t="s">
        <v>59</v>
      </c>
      <c r="N137" s="3" t="s">
        <v>60</v>
      </c>
      <c r="O137" s="3" t="s">
        <v>147</v>
      </c>
      <c r="P137" s="42">
        <v>42751</v>
      </c>
      <c r="Q137" s="34" t="s">
        <v>4000</v>
      </c>
      <c r="R137" s="34">
        <f>IFERROR(INDEX(QUALIDADE,MATCH(tblVIRARAM_PESQUISA[[#This Row],[CASE ID]],PROTOCOLO_PESQUISAS,0),MATCH(tblVIRARAM_PESQUISA[[#Headers],[Q2 - Problem Resolved]],QUALIDADE_CAB,0)), "-")</f>
        <v>1</v>
      </c>
      <c r="S137" s="34">
        <f>IFERROR(INDEX(QUALIDADE,MATCH(tblVIRARAM_PESQUISA[[#This Row],[CASE ID]],PROTOCOLO_PESQUISAS,0),MATCH(tblVIRARAM_PESQUISA[[#Headers],[Q3 - First Time Fix]],QUALIDADE_CAB,0)), "-")</f>
        <v>1</v>
      </c>
      <c r="T137" s="34">
        <f>IFERROR(INDEX(QUALIDADE,MATCH(tblVIRARAM_PESQUISA[[#This Row],[CASE ID]],PROTOCOLO_PESQUISAS,0),MATCH(tblVIRARAM_PESQUISA[[#Headers],[Promoters]],QUALIDADE_CAB,0)), "-")</f>
        <v>1</v>
      </c>
      <c r="U137" s="34">
        <f>IFERROR(INDEX(QUALIDADE,MATCH(tblVIRARAM_PESQUISA[[#This Row],[CASE ID]],PROTOCOLO_PESQUISAS,0),MATCH(tblVIRARAM_PESQUISA[[#Headers],[Detractors]],QUALIDADE_CAB,0)), "-")</f>
        <v>0</v>
      </c>
    </row>
    <row r="138" spans="1:21">
      <c r="A138" s="3">
        <v>3035650167</v>
      </c>
      <c r="B138" s="3" t="s">
        <v>500</v>
      </c>
      <c r="C138" s="90">
        <v>42745.737639085652</v>
      </c>
      <c r="D138" s="42">
        <v>42747.737639085652</v>
      </c>
      <c r="E138" s="3" t="s">
        <v>1548</v>
      </c>
      <c r="F138" s="3" t="s">
        <v>1548</v>
      </c>
      <c r="G138" s="3" t="s">
        <v>301</v>
      </c>
      <c r="H138" s="3" t="s">
        <v>31</v>
      </c>
      <c r="I138" s="3" t="s">
        <v>817</v>
      </c>
      <c r="J138" s="3" t="s">
        <v>304</v>
      </c>
      <c r="K138" s="3" t="s">
        <v>2971</v>
      </c>
      <c r="L138" s="44">
        <v>42748</v>
      </c>
      <c r="M138" s="3" t="s">
        <v>70</v>
      </c>
      <c r="N138" s="3" t="s">
        <v>71</v>
      </c>
      <c r="O138" s="3" t="s">
        <v>3046</v>
      </c>
      <c r="P138" s="42">
        <v>42751</v>
      </c>
      <c r="Q138" s="34" t="s">
        <v>4000</v>
      </c>
      <c r="R138" s="34">
        <f>IFERROR(INDEX(QUALIDADE,MATCH(tblVIRARAM_PESQUISA[[#This Row],[CASE ID]],PROTOCOLO_PESQUISAS,0),MATCH(tblVIRARAM_PESQUISA[[#Headers],[Q2 - Problem Resolved]],QUALIDADE_CAB,0)), "-")</f>
        <v>1</v>
      </c>
      <c r="S138" s="34">
        <f>IFERROR(INDEX(QUALIDADE,MATCH(tblVIRARAM_PESQUISA[[#This Row],[CASE ID]],PROTOCOLO_PESQUISAS,0),MATCH(tblVIRARAM_PESQUISA[[#Headers],[Q3 - First Time Fix]],QUALIDADE_CAB,0)), "-")</f>
        <v>2</v>
      </c>
      <c r="T138" s="34">
        <f>IFERROR(INDEX(QUALIDADE,MATCH(tblVIRARAM_PESQUISA[[#This Row],[CASE ID]],PROTOCOLO_PESQUISAS,0),MATCH(tblVIRARAM_PESQUISA[[#Headers],[Promoters]],QUALIDADE_CAB,0)), "-")</f>
        <v>1</v>
      </c>
      <c r="U138" s="34">
        <f>IFERROR(INDEX(QUALIDADE,MATCH(tblVIRARAM_PESQUISA[[#This Row],[CASE ID]],PROTOCOLO_PESQUISAS,0),MATCH(tblVIRARAM_PESQUISA[[#Headers],[Detractors]],QUALIDADE_CAB,0)), "-")</f>
        <v>0</v>
      </c>
    </row>
    <row r="139" spans="1:21">
      <c r="A139" s="3">
        <v>3035508579</v>
      </c>
      <c r="B139" s="3" t="s">
        <v>500</v>
      </c>
      <c r="C139" s="90">
        <v>42745.737639085652</v>
      </c>
      <c r="D139" s="42">
        <v>42747.737639085652</v>
      </c>
      <c r="E139" s="3" t="s">
        <v>2139</v>
      </c>
      <c r="F139" s="3" t="s">
        <v>1362</v>
      </c>
      <c r="G139" s="3" t="s">
        <v>302</v>
      </c>
      <c r="H139" s="3" t="s">
        <v>273</v>
      </c>
      <c r="I139" s="3" t="s">
        <v>817</v>
      </c>
      <c r="J139" s="3" t="s">
        <v>304</v>
      </c>
      <c r="K139" s="3" t="s">
        <v>307</v>
      </c>
      <c r="L139" s="44">
        <v>42748</v>
      </c>
      <c r="M139" s="3" t="s">
        <v>59</v>
      </c>
      <c r="N139" s="3" t="s">
        <v>60</v>
      </c>
      <c r="O139" s="3" t="s">
        <v>147</v>
      </c>
      <c r="P139" s="42">
        <v>42751</v>
      </c>
      <c r="Q139" s="34" t="s">
        <v>4000</v>
      </c>
      <c r="R139" s="34">
        <f>IFERROR(INDEX(QUALIDADE,MATCH(tblVIRARAM_PESQUISA[[#This Row],[CASE ID]],PROTOCOLO_PESQUISAS,0),MATCH(tblVIRARAM_PESQUISA[[#Headers],[Q2 - Problem Resolved]],QUALIDADE_CAB,0)), "-")</f>
        <v>1</v>
      </c>
      <c r="S139" s="34">
        <f>IFERROR(INDEX(QUALIDADE,MATCH(tblVIRARAM_PESQUISA[[#This Row],[CASE ID]],PROTOCOLO_PESQUISAS,0),MATCH(tblVIRARAM_PESQUISA[[#Headers],[Q3 - First Time Fix]],QUALIDADE_CAB,0)), "-")</f>
        <v>2</v>
      </c>
      <c r="T139" s="34">
        <f>IFERROR(INDEX(QUALIDADE,MATCH(tblVIRARAM_PESQUISA[[#This Row],[CASE ID]],PROTOCOLO_PESQUISAS,0),MATCH(tblVIRARAM_PESQUISA[[#Headers],[Promoters]],QUALIDADE_CAB,0)), "-")</f>
        <v>1</v>
      </c>
      <c r="U139" s="34">
        <f>IFERROR(INDEX(QUALIDADE,MATCH(tblVIRARAM_PESQUISA[[#This Row],[CASE ID]],PROTOCOLO_PESQUISAS,0),MATCH(tblVIRARAM_PESQUISA[[#Headers],[Detractors]],QUALIDADE_CAB,0)), "-")</f>
        <v>0</v>
      </c>
    </row>
    <row r="140" spans="1:21">
      <c r="A140" s="3">
        <v>3035642348</v>
      </c>
      <c r="B140" s="3" t="s">
        <v>500</v>
      </c>
      <c r="C140" s="90">
        <v>42745.737639085652</v>
      </c>
      <c r="D140" s="42">
        <v>42747.737639085652</v>
      </c>
      <c r="E140" s="3" t="s">
        <v>20</v>
      </c>
      <c r="F140" s="3" t="s">
        <v>20</v>
      </c>
      <c r="G140" s="3" t="s">
        <v>301</v>
      </c>
      <c r="H140" s="3" t="s">
        <v>9</v>
      </c>
      <c r="I140" s="3" t="s">
        <v>3375</v>
      </c>
      <c r="J140" s="3" t="s">
        <v>304</v>
      </c>
      <c r="K140" s="3" t="s">
        <v>3383</v>
      </c>
      <c r="L140" s="44">
        <v>42749.533333333333</v>
      </c>
      <c r="M140" s="3" t="s">
        <v>59</v>
      </c>
      <c r="N140" s="3" t="s">
        <v>60</v>
      </c>
      <c r="O140" s="3" t="s">
        <v>147</v>
      </c>
      <c r="P140" s="42">
        <v>42751</v>
      </c>
      <c r="Q140" s="34" t="s">
        <v>4000</v>
      </c>
      <c r="R140" s="34">
        <f>IFERROR(INDEX(QUALIDADE,MATCH(tblVIRARAM_PESQUISA[[#This Row],[CASE ID]],PROTOCOLO_PESQUISAS,0),MATCH(tblVIRARAM_PESQUISA[[#Headers],[Q2 - Problem Resolved]],QUALIDADE_CAB,0)), "-")</f>
        <v>1</v>
      </c>
      <c r="S140" s="34">
        <f>IFERROR(INDEX(QUALIDADE,MATCH(tblVIRARAM_PESQUISA[[#This Row],[CASE ID]],PROTOCOLO_PESQUISAS,0),MATCH(tblVIRARAM_PESQUISA[[#Headers],[Q3 - First Time Fix]],QUALIDADE_CAB,0)), "-")</f>
        <v>1</v>
      </c>
      <c r="T140" s="34">
        <f>IFERROR(INDEX(QUALIDADE,MATCH(tblVIRARAM_PESQUISA[[#This Row],[CASE ID]],PROTOCOLO_PESQUISAS,0),MATCH(tblVIRARAM_PESQUISA[[#Headers],[Promoters]],QUALIDADE_CAB,0)), "-")</f>
        <v>1</v>
      </c>
      <c r="U140" s="34">
        <f>IFERROR(INDEX(QUALIDADE,MATCH(tblVIRARAM_PESQUISA[[#This Row],[CASE ID]],PROTOCOLO_PESQUISAS,0),MATCH(tblVIRARAM_PESQUISA[[#Headers],[Detractors]],QUALIDADE_CAB,0)), "-")</f>
        <v>0</v>
      </c>
    </row>
    <row r="141" spans="1:21">
      <c r="A141" s="3">
        <v>3035648910</v>
      </c>
      <c r="B141" s="3" t="s">
        <v>500</v>
      </c>
      <c r="C141" s="90">
        <v>42745.737639085652</v>
      </c>
      <c r="D141" s="42">
        <v>42747.737639085652</v>
      </c>
      <c r="E141" s="3" t="s">
        <v>8</v>
      </c>
      <c r="F141" s="3" t="s">
        <v>8</v>
      </c>
      <c r="G141" s="3" t="s">
        <v>301</v>
      </c>
      <c r="H141" s="3" t="s">
        <v>9</v>
      </c>
      <c r="I141" s="3" t="s">
        <v>817</v>
      </c>
      <c r="J141" s="3" t="s">
        <v>304</v>
      </c>
      <c r="K141" s="3" t="s">
        <v>307</v>
      </c>
      <c r="L141" s="44">
        <v>42748</v>
      </c>
      <c r="M141" s="3" t="s">
        <v>59</v>
      </c>
      <c r="N141" s="3" t="s">
        <v>60</v>
      </c>
      <c r="O141" s="3" t="s">
        <v>147</v>
      </c>
      <c r="P141" s="42">
        <v>42751</v>
      </c>
      <c r="Q141" s="34" t="s">
        <v>4000</v>
      </c>
      <c r="R141" s="34">
        <f>IFERROR(INDEX(QUALIDADE,MATCH(tblVIRARAM_PESQUISA[[#This Row],[CASE ID]],PROTOCOLO_PESQUISAS,0),MATCH(tblVIRARAM_PESQUISA[[#Headers],[Q2 - Problem Resolved]],QUALIDADE_CAB,0)), "-")</f>
        <v>1</v>
      </c>
      <c r="S141" s="34">
        <f>IFERROR(INDEX(QUALIDADE,MATCH(tblVIRARAM_PESQUISA[[#This Row],[CASE ID]],PROTOCOLO_PESQUISAS,0),MATCH(tblVIRARAM_PESQUISA[[#Headers],[Q3 - First Time Fix]],QUALIDADE_CAB,0)), "-")</f>
        <v>1</v>
      </c>
      <c r="T141" s="34">
        <f>IFERROR(INDEX(QUALIDADE,MATCH(tblVIRARAM_PESQUISA[[#This Row],[CASE ID]],PROTOCOLO_PESQUISAS,0),MATCH(tblVIRARAM_PESQUISA[[#Headers],[Promoters]],QUALIDADE_CAB,0)), "-")</f>
        <v>1</v>
      </c>
      <c r="U141" s="34">
        <f>IFERROR(INDEX(QUALIDADE,MATCH(tblVIRARAM_PESQUISA[[#This Row],[CASE ID]],PROTOCOLO_PESQUISAS,0),MATCH(tblVIRARAM_PESQUISA[[#Headers],[Detractors]],QUALIDADE_CAB,0)), "-")</f>
        <v>0</v>
      </c>
    </row>
    <row r="142" spans="1:21">
      <c r="A142" s="3">
        <v>3035656263</v>
      </c>
      <c r="B142" s="3" t="s">
        <v>500</v>
      </c>
      <c r="C142" s="90">
        <v>42745.737639085652</v>
      </c>
      <c r="D142" s="42">
        <v>42747.737639085652</v>
      </c>
      <c r="E142" s="3" t="s">
        <v>846</v>
      </c>
      <c r="F142" s="3" t="s">
        <v>846</v>
      </c>
      <c r="G142" s="3" t="s">
        <v>301</v>
      </c>
      <c r="H142" s="3" t="s">
        <v>273</v>
      </c>
      <c r="I142" s="3" t="s">
        <v>817</v>
      </c>
      <c r="J142" s="3" t="s">
        <v>304</v>
      </c>
      <c r="K142" s="3" t="s">
        <v>307</v>
      </c>
      <c r="L142" s="44">
        <v>42748</v>
      </c>
      <c r="M142" s="3" t="s">
        <v>59</v>
      </c>
      <c r="N142" s="3" t="s">
        <v>60</v>
      </c>
      <c r="O142" s="3" t="s">
        <v>147</v>
      </c>
      <c r="P142" s="42">
        <v>42751</v>
      </c>
      <c r="Q142" s="34" t="s">
        <v>4000</v>
      </c>
      <c r="R142" s="34">
        <f>IFERROR(INDEX(QUALIDADE,MATCH(tblVIRARAM_PESQUISA[[#This Row],[CASE ID]],PROTOCOLO_PESQUISAS,0),MATCH(tblVIRARAM_PESQUISA[[#Headers],[Q2 - Problem Resolved]],QUALIDADE_CAB,0)), "-")</f>
        <v>1</v>
      </c>
      <c r="S142" s="34">
        <f>IFERROR(INDEX(QUALIDADE,MATCH(tblVIRARAM_PESQUISA[[#This Row],[CASE ID]],PROTOCOLO_PESQUISAS,0),MATCH(tblVIRARAM_PESQUISA[[#Headers],[Q3 - First Time Fix]],QUALIDADE_CAB,0)), "-")</f>
        <v>1</v>
      </c>
      <c r="T142" s="34">
        <f>IFERROR(INDEX(QUALIDADE,MATCH(tblVIRARAM_PESQUISA[[#This Row],[CASE ID]],PROTOCOLO_PESQUISAS,0),MATCH(tblVIRARAM_PESQUISA[[#Headers],[Promoters]],QUALIDADE_CAB,0)), "-")</f>
        <v>1</v>
      </c>
      <c r="U142" s="34">
        <f>IFERROR(INDEX(QUALIDADE,MATCH(tblVIRARAM_PESQUISA[[#This Row],[CASE ID]],PROTOCOLO_PESQUISAS,0),MATCH(tblVIRARAM_PESQUISA[[#Headers],[Detractors]],QUALIDADE_CAB,0)), "-")</f>
        <v>0</v>
      </c>
    </row>
    <row r="143" spans="1:21">
      <c r="A143" s="3">
        <v>3035613680</v>
      </c>
      <c r="B143" s="3" t="s">
        <v>500</v>
      </c>
      <c r="C143" s="90">
        <v>42744.737756446761</v>
      </c>
      <c r="D143" s="42">
        <v>42746.737756446761</v>
      </c>
      <c r="E143" s="3" t="s">
        <v>2139</v>
      </c>
      <c r="F143" s="3" t="s">
        <v>2139</v>
      </c>
      <c r="G143" s="3" t="s">
        <v>301</v>
      </c>
      <c r="H143" s="3" t="s">
        <v>273</v>
      </c>
      <c r="I143" s="3" t="s">
        <v>3375</v>
      </c>
      <c r="J143" s="3" t="s">
        <v>304</v>
      </c>
      <c r="K143" s="3" t="s">
        <v>3388</v>
      </c>
      <c r="L143" s="44">
        <v>42749.581250000003</v>
      </c>
      <c r="N143" s="3" t="s">
        <v>85</v>
      </c>
      <c r="O143" s="3" t="s">
        <v>233</v>
      </c>
      <c r="P143" s="42">
        <v>42751</v>
      </c>
      <c r="Q143" s="34" t="s">
        <v>4000</v>
      </c>
      <c r="R143" s="34">
        <f>IFERROR(INDEX(QUALIDADE,MATCH(tblVIRARAM_PESQUISA[[#This Row],[CASE ID]],PROTOCOLO_PESQUISAS,0),MATCH(tblVIRARAM_PESQUISA[[#Headers],[Q2 - Problem Resolved]],QUALIDADE_CAB,0)), "-")</f>
        <v>1</v>
      </c>
      <c r="S143" s="34">
        <f>IFERROR(INDEX(QUALIDADE,MATCH(tblVIRARAM_PESQUISA[[#This Row],[CASE ID]],PROTOCOLO_PESQUISAS,0),MATCH(tblVIRARAM_PESQUISA[[#Headers],[Q3 - First Time Fix]],QUALIDADE_CAB,0)), "-")</f>
        <v>1</v>
      </c>
      <c r="T143" s="34">
        <f>IFERROR(INDEX(QUALIDADE,MATCH(tblVIRARAM_PESQUISA[[#This Row],[CASE ID]],PROTOCOLO_PESQUISAS,0),MATCH(tblVIRARAM_PESQUISA[[#Headers],[Promoters]],QUALIDADE_CAB,0)), "-")</f>
        <v>1</v>
      </c>
      <c r="U143" s="34">
        <f>IFERROR(INDEX(QUALIDADE,MATCH(tblVIRARAM_PESQUISA[[#This Row],[CASE ID]],PROTOCOLO_PESQUISAS,0),MATCH(tblVIRARAM_PESQUISA[[#Headers],[Detractors]],QUALIDADE_CAB,0)), "-")</f>
        <v>0</v>
      </c>
    </row>
    <row r="144" spans="1:21">
      <c r="A144" s="3">
        <v>3035620454</v>
      </c>
      <c r="B144" s="3" t="s">
        <v>500</v>
      </c>
      <c r="C144" s="90">
        <v>42744.737756446761</v>
      </c>
      <c r="D144" s="42">
        <v>42746.737756446761</v>
      </c>
      <c r="E144" s="3" t="s">
        <v>1525</v>
      </c>
      <c r="F144" s="3" t="s">
        <v>1525</v>
      </c>
      <c r="G144" s="3" t="s">
        <v>301</v>
      </c>
      <c r="H144" s="3" t="s">
        <v>23</v>
      </c>
      <c r="I144" s="3" t="s">
        <v>815</v>
      </c>
      <c r="J144" s="3" t="s">
        <v>304</v>
      </c>
      <c r="K144" s="3" t="s">
        <v>2701</v>
      </c>
      <c r="L144" s="44">
        <v>42752</v>
      </c>
      <c r="M144" s="3" t="s">
        <v>84</v>
      </c>
      <c r="N144" s="3" t="s">
        <v>881</v>
      </c>
      <c r="O144" s="3" t="s">
        <v>3054</v>
      </c>
      <c r="P144" s="42">
        <v>42751</v>
      </c>
      <c r="Q144" s="34" t="s">
        <v>4000</v>
      </c>
      <c r="R144" s="34">
        <f>IFERROR(INDEX(QUALIDADE,MATCH(tblVIRARAM_PESQUISA[[#This Row],[CASE ID]],PROTOCOLO_PESQUISAS,0),MATCH(tblVIRARAM_PESQUISA[[#Headers],[Q2 - Problem Resolved]],QUALIDADE_CAB,0)), "-")</f>
        <v>1</v>
      </c>
      <c r="S144" s="34">
        <f>IFERROR(INDEX(QUALIDADE,MATCH(tblVIRARAM_PESQUISA[[#This Row],[CASE ID]],PROTOCOLO_PESQUISAS,0),MATCH(tblVIRARAM_PESQUISA[[#Headers],[Q3 - First Time Fix]],QUALIDADE_CAB,0)), "-")</f>
        <v>2</v>
      </c>
      <c r="T144" s="34">
        <f>IFERROR(INDEX(QUALIDADE,MATCH(tblVIRARAM_PESQUISA[[#This Row],[CASE ID]],PROTOCOLO_PESQUISAS,0),MATCH(tblVIRARAM_PESQUISA[[#Headers],[Promoters]],QUALIDADE_CAB,0)), "-")</f>
        <v>1</v>
      </c>
      <c r="U144" s="34">
        <f>IFERROR(INDEX(QUALIDADE,MATCH(tblVIRARAM_PESQUISA[[#This Row],[CASE ID]],PROTOCOLO_PESQUISAS,0),MATCH(tblVIRARAM_PESQUISA[[#Headers],[Detractors]],QUALIDADE_CAB,0)), "-")</f>
        <v>0</v>
      </c>
    </row>
    <row r="145" spans="1:21">
      <c r="A145" s="3">
        <v>3035602096</v>
      </c>
      <c r="B145" s="3" t="s">
        <v>500</v>
      </c>
      <c r="C145" s="90">
        <v>42744.737756446761</v>
      </c>
      <c r="D145" s="42">
        <v>42746.737756446761</v>
      </c>
      <c r="E145" s="3" t="s">
        <v>20</v>
      </c>
      <c r="F145" s="3" t="s">
        <v>20</v>
      </c>
      <c r="G145" s="3" t="s">
        <v>301</v>
      </c>
      <c r="H145" s="3" t="s">
        <v>9</v>
      </c>
      <c r="I145" s="3" t="s">
        <v>817</v>
      </c>
      <c r="J145" s="3" t="s">
        <v>304</v>
      </c>
      <c r="K145" s="3" t="s">
        <v>840</v>
      </c>
      <c r="L145" s="44"/>
      <c r="M145" s="3" t="s">
        <v>70</v>
      </c>
      <c r="N145" s="3" t="s">
        <v>71</v>
      </c>
      <c r="O145" s="3" t="s">
        <v>3037</v>
      </c>
      <c r="P145" s="42">
        <v>42751</v>
      </c>
      <c r="Q145" s="34" t="s">
        <v>4000</v>
      </c>
      <c r="R145" s="34">
        <f>IFERROR(INDEX(QUALIDADE,MATCH(tblVIRARAM_PESQUISA[[#This Row],[CASE ID]],PROTOCOLO_PESQUISAS,0),MATCH(tblVIRARAM_PESQUISA[[#Headers],[Q2 - Problem Resolved]],QUALIDADE_CAB,0)), "-")</f>
        <v>1</v>
      </c>
      <c r="S145" s="34">
        <f>IFERROR(INDEX(QUALIDADE,MATCH(tblVIRARAM_PESQUISA[[#This Row],[CASE ID]],PROTOCOLO_PESQUISAS,0),MATCH(tblVIRARAM_PESQUISA[[#Headers],[Q3 - First Time Fix]],QUALIDADE_CAB,0)), "-")</f>
        <v>1</v>
      </c>
      <c r="T145" s="34">
        <f>IFERROR(INDEX(QUALIDADE,MATCH(tblVIRARAM_PESQUISA[[#This Row],[CASE ID]],PROTOCOLO_PESQUISAS,0),MATCH(tblVIRARAM_PESQUISA[[#Headers],[Promoters]],QUALIDADE_CAB,0)), "-")</f>
        <v>1</v>
      </c>
      <c r="U145" s="34">
        <f>IFERROR(INDEX(QUALIDADE,MATCH(tblVIRARAM_PESQUISA[[#This Row],[CASE ID]],PROTOCOLO_PESQUISAS,0),MATCH(tblVIRARAM_PESQUISA[[#Headers],[Detractors]],QUALIDADE_CAB,0)), "-")</f>
        <v>0</v>
      </c>
    </row>
    <row r="146" spans="1:21">
      <c r="A146" s="3">
        <v>3035773132</v>
      </c>
      <c r="B146" s="3" t="s">
        <v>500</v>
      </c>
      <c r="C146" s="90">
        <v>42749.734828043984</v>
      </c>
      <c r="D146" s="42">
        <v>42751.734828043984</v>
      </c>
      <c r="E146" s="3" t="s">
        <v>36</v>
      </c>
      <c r="F146" s="3" t="s">
        <v>36</v>
      </c>
      <c r="G146" s="3" t="s">
        <v>301</v>
      </c>
      <c r="H146" s="3" t="s">
        <v>31</v>
      </c>
      <c r="I146" s="3" t="s">
        <v>817</v>
      </c>
      <c r="J146" s="3" t="s">
        <v>304</v>
      </c>
      <c r="K146" s="3" t="s">
        <v>306</v>
      </c>
      <c r="L146" s="44">
        <v>42752</v>
      </c>
      <c r="M146" s="3" t="s">
        <v>59</v>
      </c>
      <c r="N146" s="3" t="s">
        <v>60</v>
      </c>
      <c r="O146" s="3" t="s">
        <v>147</v>
      </c>
      <c r="P146" s="42">
        <v>42752</v>
      </c>
      <c r="Q146" s="34" t="s">
        <v>4207</v>
      </c>
      <c r="R146" s="34">
        <f>IFERROR(INDEX(QUALIDADE,MATCH(tblVIRARAM_PESQUISA[[#This Row],[CASE ID]],PROTOCOLO_PESQUISAS,0),MATCH(tblVIRARAM_PESQUISA[[#Headers],[Q2 - Problem Resolved]],QUALIDADE_CAB,0)), "-")</f>
        <v>1</v>
      </c>
      <c r="S146" s="34">
        <f>IFERROR(INDEX(QUALIDADE,MATCH(tblVIRARAM_PESQUISA[[#This Row],[CASE ID]],PROTOCOLO_PESQUISAS,0),MATCH(tblVIRARAM_PESQUISA[[#Headers],[Q3 - First Time Fix]],QUALIDADE_CAB,0)), "-")</f>
        <v>1</v>
      </c>
      <c r="T146" s="34">
        <f>IFERROR(INDEX(QUALIDADE,MATCH(tblVIRARAM_PESQUISA[[#This Row],[CASE ID]],PROTOCOLO_PESQUISAS,0),MATCH(tblVIRARAM_PESQUISA[[#Headers],[Promoters]],QUALIDADE_CAB,0)), "-")</f>
        <v>1</v>
      </c>
      <c r="U146" s="34">
        <f>IFERROR(INDEX(QUALIDADE,MATCH(tblVIRARAM_PESQUISA[[#This Row],[CASE ID]],PROTOCOLO_PESQUISAS,0),MATCH(tblVIRARAM_PESQUISA[[#Headers],[Detractors]],QUALIDADE_CAB,0)), "-")</f>
        <v>0</v>
      </c>
    </row>
    <row r="147" spans="1:21">
      <c r="A147" s="3">
        <v>3035690223</v>
      </c>
      <c r="B147" s="3" t="s">
        <v>500</v>
      </c>
      <c r="C147" s="90">
        <v>42749.734828043984</v>
      </c>
      <c r="D147" s="42">
        <v>42751.734828043984</v>
      </c>
      <c r="E147" s="3" t="s">
        <v>16</v>
      </c>
      <c r="F147" s="3" t="s">
        <v>18</v>
      </c>
      <c r="G147" s="3" t="s">
        <v>302</v>
      </c>
      <c r="H147" s="3" t="s">
        <v>9</v>
      </c>
      <c r="I147" s="3" t="s">
        <v>817</v>
      </c>
      <c r="J147" s="3" t="s">
        <v>304</v>
      </c>
      <c r="K147" s="3" t="s">
        <v>307</v>
      </c>
      <c r="L147" s="44">
        <v>42752</v>
      </c>
      <c r="M147" s="3" t="s">
        <v>59</v>
      </c>
      <c r="N147" s="3" t="s">
        <v>60</v>
      </c>
      <c r="O147" s="3" t="s">
        <v>147</v>
      </c>
      <c r="P147" s="42">
        <v>42752</v>
      </c>
      <c r="Q147" s="34" t="s">
        <v>4207</v>
      </c>
      <c r="R147" s="34">
        <f>IFERROR(INDEX(QUALIDADE,MATCH(tblVIRARAM_PESQUISA[[#This Row],[CASE ID]],PROTOCOLO_PESQUISAS,0),MATCH(tblVIRARAM_PESQUISA[[#Headers],[Q2 - Problem Resolved]],QUALIDADE_CAB,0)), "-")</f>
        <v>1</v>
      </c>
      <c r="S147" s="34">
        <f>IFERROR(INDEX(QUALIDADE,MATCH(tblVIRARAM_PESQUISA[[#This Row],[CASE ID]],PROTOCOLO_PESQUISAS,0),MATCH(tblVIRARAM_PESQUISA[[#Headers],[Q3 - First Time Fix]],QUALIDADE_CAB,0)), "-")</f>
        <v>1</v>
      </c>
      <c r="T147" s="34">
        <f>IFERROR(INDEX(QUALIDADE,MATCH(tblVIRARAM_PESQUISA[[#This Row],[CASE ID]],PROTOCOLO_PESQUISAS,0),MATCH(tblVIRARAM_PESQUISA[[#Headers],[Promoters]],QUALIDADE_CAB,0)), "-")</f>
        <v>1</v>
      </c>
      <c r="U147" s="34">
        <f>IFERROR(INDEX(QUALIDADE,MATCH(tblVIRARAM_PESQUISA[[#This Row],[CASE ID]],PROTOCOLO_PESQUISAS,0),MATCH(tblVIRARAM_PESQUISA[[#Headers],[Detractors]],QUALIDADE_CAB,0)), "-")</f>
        <v>0</v>
      </c>
    </row>
    <row r="148" spans="1:21">
      <c r="A148" s="3">
        <v>3035757620</v>
      </c>
      <c r="B148" s="3" t="s">
        <v>500</v>
      </c>
      <c r="C148" s="90">
        <v>42748.735881944442</v>
      </c>
      <c r="D148" s="42">
        <v>42750.735881944442</v>
      </c>
      <c r="E148" s="3" t="s">
        <v>34</v>
      </c>
      <c r="F148" s="3" t="s">
        <v>34</v>
      </c>
      <c r="G148" s="3" t="s">
        <v>301</v>
      </c>
      <c r="H148" s="3" t="s">
        <v>31</v>
      </c>
      <c r="I148" s="3" t="s">
        <v>817</v>
      </c>
      <c r="J148" s="3" t="s">
        <v>304</v>
      </c>
      <c r="K148" s="3" t="s">
        <v>306</v>
      </c>
      <c r="L148" s="44">
        <v>42752</v>
      </c>
      <c r="M148" s="3" t="s">
        <v>59</v>
      </c>
      <c r="N148" s="3" t="s">
        <v>60</v>
      </c>
      <c r="O148" s="3" t="s">
        <v>3650</v>
      </c>
      <c r="P148" s="42">
        <v>42752</v>
      </c>
      <c r="Q148" s="34" t="s">
        <v>4207</v>
      </c>
      <c r="R148" s="34">
        <f>IFERROR(INDEX(QUALIDADE,MATCH(tblVIRARAM_PESQUISA[[#This Row],[CASE ID]],PROTOCOLO_PESQUISAS,0),MATCH(tblVIRARAM_PESQUISA[[#Headers],[Q2 - Problem Resolved]],QUALIDADE_CAB,0)), "-")</f>
        <v>1</v>
      </c>
      <c r="S148" s="34">
        <f>IFERROR(INDEX(QUALIDADE,MATCH(tblVIRARAM_PESQUISA[[#This Row],[CASE ID]],PROTOCOLO_PESQUISAS,0),MATCH(tblVIRARAM_PESQUISA[[#Headers],[Q3 - First Time Fix]],QUALIDADE_CAB,0)), "-")</f>
        <v>1</v>
      </c>
      <c r="T148" s="34">
        <f>IFERROR(INDEX(QUALIDADE,MATCH(tblVIRARAM_PESQUISA[[#This Row],[CASE ID]],PROTOCOLO_PESQUISAS,0),MATCH(tblVIRARAM_PESQUISA[[#Headers],[Promoters]],QUALIDADE_CAB,0)), "-")</f>
        <v>1</v>
      </c>
      <c r="U148" s="34">
        <f>IFERROR(INDEX(QUALIDADE,MATCH(tblVIRARAM_PESQUISA[[#This Row],[CASE ID]],PROTOCOLO_PESQUISAS,0),MATCH(tblVIRARAM_PESQUISA[[#Headers],[Detractors]],QUALIDADE_CAB,0)), "-")</f>
        <v>0</v>
      </c>
    </row>
    <row r="149" spans="1:21">
      <c r="A149" s="3">
        <v>3035748750</v>
      </c>
      <c r="B149" s="3" t="s">
        <v>500</v>
      </c>
      <c r="C149" s="90">
        <v>42748.735881944442</v>
      </c>
      <c r="D149" s="42">
        <v>42750.735881944442</v>
      </c>
      <c r="E149" s="3" t="s">
        <v>1423</v>
      </c>
      <c r="F149" s="3" t="s">
        <v>1423</v>
      </c>
      <c r="G149" s="3" t="s">
        <v>301</v>
      </c>
      <c r="H149" s="3" t="s">
        <v>31</v>
      </c>
      <c r="I149" s="3" t="s">
        <v>817</v>
      </c>
      <c r="J149" s="3" t="s">
        <v>304</v>
      </c>
      <c r="K149" s="3" t="s">
        <v>4003</v>
      </c>
      <c r="L149" s="44">
        <v>42752</v>
      </c>
      <c r="M149" s="3" t="s">
        <v>59</v>
      </c>
      <c r="N149" s="3" t="s">
        <v>60</v>
      </c>
      <c r="O149" s="3" t="s">
        <v>147</v>
      </c>
      <c r="P149" s="42">
        <v>42752</v>
      </c>
      <c r="Q149" s="34" t="s">
        <v>4207</v>
      </c>
      <c r="R149" s="34">
        <f>IFERROR(INDEX(QUALIDADE,MATCH(tblVIRARAM_PESQUISA[[#This Row],[CASE ID]],PROTOCOLO_PESQUISAS,0),MATCH(tblVIRARAM_PESQUISA[[#Headers],[Q2 - Problem Resolved]],QUALIDADE_CAB,0)), "-")</f>
        <v>1</v>
      </c>
      <c r="S149" s="34">
        <f>IFERROR(INDEX(QUALIDADE,MATCH(tblVIRARAM_PESQUISA[[#This Row],[CASE ID]],PROTOCOLO_PESQUISAS,0),MATCH(tblVIRARAM_PESQUISA[[#Headers],[Q3 - First Time Fix]],QUALIDADE_CAB,0)), "-")</f>
        <v>1</v>
      </c>
      <c r="T149" s="34">
        <f>IFERROR(INDEX(QUALIDADE,MATCH(tblVIRARAM_PESQUISA[[#This Row],[CASE ID]],PROTOCOLO_PESQUISAS,0),MATCH(tblVIRARAM_PESQUISA[[#Headers],[Promoters]],QUALIDADE_CAB,0)), "-")</f>
        <v>1</v>
      </c>
      <c r="U149" s="34">
        <f>IFERROR(INDEX(QUALIDADE,MATCH(tblVIRARAM_PESQUISA[[#This Row],[CASE ID]],PROTOCOLO_PESQUISAS,0),MATCH(tblVIRARAM_PESQUISA[[#Headers],[Detractors]],QUALIDADE_CAB,0)), "-")</f>
        <v>0</v>
      </c>
    </row>
    <row r="150" spans="1:21">
      <c r="A150" s="3">
        <v>3035751035</v>
      </c>
      <c r="B150" s="3" t="s">
        <v>500</v>
      </c>
      <c r="C150" s="90">
        <v>42748.735881944442</v>
      </c>
      <c r="D150" s="42">
        <v>42750.735881944442</v>
      </c>
      <c r="E150" s="3" t="s">
        <v>1110</v>
      </c>
      <c r="F150" s="3" t="s">
        <v>1110</v>
      </c>
      <c r="G150" s="3" t="s">
        <v>301</v>
      </c>
      <c r="H150" s="3" t="s">
        <v>31</v>
      </c>
      <c r="I150" s="3" t="s">
        <v>817</v>
      </c>
      <c r="J150" s="3" t="s">
        <v>303</v>
      </c>
      <c r="K150" s="3" t="s">
        <v>305</v>
      </c>
      <c r="L150" s="44">
        <v>42752</v>
      </c>
      <c r="M150" s="3" t="s">
        <v>59</v>
      </c>
      <c r="N150" s="3" t="s">
        <v>60</v>
      </c>
      <c r="O150" s="3" t="s">
        <v>147</v>
      </c>
      <c r="P150" s="42">
        <v>42752</v>
      </c>
      <c r="Q150" s="34" t="s">
        <v>4207</v>
      </c>
      <c r="R150" s="34">
        <f>IFERROR(INDEX(QUALIDADE,MATCH(tblVIRARAM_PESQUISA[[#This Row],[CASE ID]],PROTOCOLO_PESQUISAS,0),MATCH(tblVIRARAM_PESQUISA[[#Headers],[Q2 - Problem Resolved]],QUALIDADE_CAB,0)), "-")</f>
        <v>1</v>
      </c>
      <c r="S150" s="34">
        <f>IFERROR(INDEX(QUALIDADE,MATCH(tblVIRARAM_PESQUISA[[#This Row],[CASE ID]],PROTOCOLO_PESQUISAS,0),MATCH(tblVIRARAM_PESQUISA[[#Headers],[Q3 - First Time Fix]],QUALIDADE_CAB,0)), "-")</f>
        <v>1</v>
      </c>
      <c r="T150" s="34">
        <f>IFERROR(INDEX(QUALIDADE,MATCH(tblVIRARAM_PESQUISA[[#This Row],[CASE ID]],PROTOCOLO_PESQUISAS,0),MATCH(tblVIRARAM_PESQUISA[[#Headers],[Promoters]],QUALIDADE_CAB,0)), "-")</f>
        <v>0</v>
      </c>
      <c r="U150" s="34">
        <f>IFERROR(INDEX(QUALIDADE,MATCH(tblVIRARAM_PESQUISA[[#This Row],[CASE ID]],PROTOCOLO_PESQUISAS,0),MATCH(tblVIRARAM_PESQUISA[[#Headers],[Detractors]],QUALIDADE_CAB,0)), "-")</f>
        <v>0</v>
      </c>
    </row>
    <row r="151" spans="1:21">
      <c r="A151" s="3">
        <v>3035759367</v>
      </c>
      <c r="B151" s="3" t="s">
        <v>500</v>
      </c>
      <c r="C151" s="90">
        <v>42748.735881944442</v>
      </c>
      <c r="D151" s="42">
        <v>42750.735881944442</v>
      </c>
      <c r="E151" s="3" t="s">
        <v>583</v>
      </c>
      <c r="F151" s="3" t="s">
        <v>583</v>
      </c>
      <c r="G151" s="3" t="s">
        <v>301</v>
      </c>
      <c r="H151" s="3" t="s">
        <v>23</v>
      </c>
      <c r="I151" s="3" t="s">
        <v>817</v>
      </c>
      <c r="J151" s="3" t="s">
        <v>304</v>
      </c>
      <c r="K151" s="3" t="s">
        <v>307</v>
      </c>
      <c r="L151" s="44">
        <v>42751</v>
      </c>
      <c r="M151" s="3" t="s">
        <v>59</v>
      </c>
      <c r="N151" s="3" t="s">
        <v>60</v>
      </c>
      <c r="O151" s="3" t="s">
        <v>147</v>
      </c>
      <c r="P151" s="42">
        <v>42752</v>
      </c>
      <c r="Q151" s="34" t="s">
        <v>4207</v>
      </c>
      <c r="R151" s="34">
        <f>IFERROR(INDEX(QUALIDADE,MATCH(tblVIRARAM_PESQUISA[[#This Row],[CASE ID]],PROTOCOLO_PESQUISAS,0),MATCH(tblVIRARAM_PESQUISA[[#Headers],[Q2 - Problem Resolved]],QUALIDADE_CAB,0)), "-")</f>
        <v>1</v>
      </c>
      <c r="S151" s="34">
        <f>IFERROR(INDEX(QUALIDADE,MATCH(tblVIRARAM_PESQUISA[[#This Row],[CASE ID]],PROTOCOLO_PESQUISAS,0),MATCH(tblVIRARAM_PESQUISA[[#Headers],[Q3 - First Time Fix]],QUALIDADE_CAB,0)), "-")</f>
        <v>1</v>
      </c>
      <c r="T151" s="34">
        <f>IFERROR(INDEX(QUALIDADE,MATCH(tblVIRARAM_PESQUISA[[#This Row],[CASE ID]],PROTOCOLO_PESQUISAS,0),MATCH(tblVIRARAM_PESQUISA[[#Headers],[Promoters]],QUALIDADE_CAB,0)), "-")</f>
        <v>1</v>
      </c>
      <c r="U151" s="34">
        <f>IFERROR(INDEX(QUALIDADE,MATCH(tblVIRARAM_PESQUISA[[#This Row],[CASE ID]],PROTOCOLO_PESQUISAS,0),MATCH(tblVIRARAM_PESQUISA[[#Headers],[Detractors]],QUALIDADE_CAB,0)), "-")</f>
        <v>0</v>
      </c>
    </row>
    <row r="152" spans="1:21">
      <c r="A152" s="3">
        <v>3035749341</v>
      </c>
      <c r="B152" s="3" t="s">
        <v>500</v>
      </c>
      <c r="C152" s="90">
        <v>42748.735881944442</v>
      </c>
      <c r="D152" s="42">
        <v>42750.735881944442</v>
      </c>
      <c r="E152" s="3" t="s">
        <v>16</v>
      </c>
      <c r="F152" s="3" t="s">
        <v>16</v>
      </c>
      <c r="G152" s="3" t="s">
        <v>301</v>
      </c>
      <c r="H152" s="3" t="s">
        <v>9</v>
      </c>
      <c r="I152" s="3" t="s">
        <v>817</v>
      </c>
      <c r="J152" s="3" t="s">
        <v>303</v>
      </c>
      <c r="K152" s="3" t="s">
        <v>305</v>
      </c>
      <c r="L152" s="44">
        <v>42751</v>
      </c>
      <c r="M152" s="3" t="s">
        <v>84</v>
      </c>
      <c r="N152" s="3" t="s">
        <v>85</v>
      </c>
      <c r="O152" s="3" t="s">
        <v>888</v>
      </c>
      <c r="P152" s="42">
        <v>42752</v>
      </c>
      <c r="Q152" s="34" t="s">
        <v>4207</v>
      </c>
      <c r="R152" s="34">
        <f>IFERROR(INDEX(QUALIDADE,MATCH(tblVIRARAM_PESQUISA[[#This Row],[CASE ID]],PROTOCOLO_PESQUISAS,0),MATCH(tblVIRARAM_PESQUISA[[#Headers],[Q2 - Problem Resolved]],QUALIDADE_CAB,0)), "-")</f>
        <v>1</v>
      </c>
      <c r="S152" s="34">
        <f>IFERROR(INDEX(QUALIDADE,MATCH(tblVIRARAM_PESQUISA[[#This Row],[CASE ID]],PROTOCOLO_PESQUISAS,0),MATCH(tblVIRARAM_PESQUISA[[#Headers],[Q3 - First Time Fix]],QUALIDADE_CAB,0)), "-")</f>
        <v>1</v>
      </c>
      <c r="T152" s="34">
        <f>IFERROR(INDEX(QUALIDADE,MATCH(tblVIRARAM_PESQUISA[[#This Row],[CASE ID]],PROTOCOLO_PESQUISAS,0),MATCH(tblVIRARAM_PESQUISA[[#Headers],[Promoters]],QUALIDADE_CAB,0)), "-")</f>
        <v>1</v>
      </c>
      <c r="U152" s="34">
        <f>IFERROR(INDEX(QUALIDADE,MATCH(tblVIRARAM_PESQUISA[[#This Row],[CASE ID]],PROTOCOLO_PESQUISAS,0),MATCH(tblVIRARAM_PESQUISA[[#Headers],[Detractors]],QUALIDADE_CAB,0)), "-")</f>
        <v>0</v>
      </c>
    </row>
    <row r="153" spans="1:21">
      <c r="A153" s="3">
        <v>3035688643</v>
      </c>
      <c r="B153" s="3" t="s">
        <v>500</v>
      </c>
      <c r="C153" s="90">
        <v>42747.737991238428</v>
      </c>
      <c r="D153" s="42">
        <v>42749.737991238428</v>
      </c>
      <c r="E153" s="3" t="s">
        <v>593</v>
      </c>
      <c r="F153" s="3" t="s">
        <v>21</v>
      </c>
      <c r="G153" s="3" t="s">
        <v>302</v>
      </c>
      <c r="H153" s="3" t="s">
        <v>273</v>
      </c>
      <c r="I153" s="3" t="s">
        <v>817</v>
      </c>
      <c r="J153" s="3" t="s">
        <v>304</v>
      </c>
      <c r="K153" s="3" t="s">
        <v>307</v>
      </c>
      <c r="L153" s="44">
        <v>42751</v>
      </c>
      <c r="M153" s="3" t="s">
        <v>84</v>
      </c>
      <c r="N153" s="3" t="s">
        <v>85</v>
      </c>
      <c r="O153" s="3" t="s">
        <v>233</v>
      </c>
      <c r="P153" s="42">
        <v>42752</v>
      </c>
      <c r="Q153" s="34" t="s">
        <v>4207</v>
      </c>
      <c r="R153" s="34">
        <f>IFERROR(INDEX(QUALIDADE,MATCH(tblVIRARAM_PESQUISA[[#This Row],[CASE ID]],PROTOCOLO_PESQUISAS,0),MATCH(tblVIRARAM_PESQUISA[[#Headers],[Q2 - Problem Resolved]],QUALIDADE_CAB,0)), "-")</f>
        <v>1</v>
      </c>
      <c r="S153" s="34">
        <f>IFERROR(INDEX(QUALIDADE,MATCH(tblVIRARAM_PESQUISA[[#This Row],[CASE ID]],PROTOCOLO_PESQUISAS,0),MATCH(tblVIRARAM_PESQUISA[[#Headers],[Q3 - First Time Fix]],QUALIDADE_CAB,0)), "-")</f>
        <v>2</v>
      </c>
      <c r="T153" s="34">
        <f>IFERROR(INDEX(QUALIDADE,MATCH(tblVIRARAM_PESQUISA[[#This Row],[CASE ID]],PROTOCOLO_PESQUISAS,0),MATCH(tblVIRARAM_PESQUISA[[#Headers],[Promoters]],QUALIDADE_CAB,0)), "-")</f>
        <v>1</v>
      </c>
      <c r="U153" s="34">
        <f>IFERROR(INDEX(QUALIDADE,MATCH(tblVIRARAM_PESQUISA[[#This Row],[CASE ID]],PROTOCOLO_PESQUISAS,0),MATCH(tblVIRARAM_PESQUISA[[#Headers],[Detractors]],QUALIDADE_CAB,0)), "-")</f>
        <v>0</v>
      </c>
    </row>
    <row r="154" spans="1:21">
      <c r="A154" s="3">
        <v>3035683925</v>
      </c>
      <c r="B154" s="3" t="s">
        <v>500</v>
      </c>
      <c r="C154" s="90">
        <v>42746.738471724537</v>
      </c>
      <c r="D154" s="42">
        <v>42748.738471724537</v>
      </c>
      <c r="E154" s="3" t="s">
        <v>28</v>
      </c>
      <c r="F154" s="3" t="s">
        <v>28</v>
      </c>
      <c r="G154" s="3" t="s">
        <v>301</v>
      </c>
      <c r="H154" s="3" t="s">
        <v>9</v>
      </c>
      <c r="I154" s="3" t="s">
        <v>817</v>
      </c>
      <c r="J154" s="3" t="s">
        <v>304</v>
      </c>
      <c r="K154" s="3" t="s">
        <v>307</v>
      </c>
      <c r="L154" s="44">
        <v>42751</v>
      </c>
      <c r="M154" s="3" t="s">
        <v>59</v>
      </c>
      <c r="N154" s="3" t="s">
        <v>60</v>
      </c>
      <c r="O154" s="3" t="s">
        <v>147</v>
      </c>
      <c r="P154" s="42">
        <v>42752</v>
      </c>
      <c r="Q154" s="34" t="s">
        <v>4207</v>
      </c>
      <c r="R154" s="34">
        <f>IFERROR(INDEX(QUALIDADE,MATCH(tblVIRARAM_PESQUISA[[#This Row],[CASE ID]],PROTOCOLO_PESQUISAS,0),MATCH(tblVIRARAM_PESQUISA[[#Headers],[Q2 - Problem Resolved]],QUALIDADE_CAB,0)), "-")</f>
        <v>1</v>
      </c>
      <c r="S154" s="34">
        <f>IFERROR(INDEX(QUALIDADE,MATCH(tblVIRARAM_PESQUISA[[#This Row],[CASE ID]],PROTOCOLO_PESQUISAS,0),MATCH(tblVIRARAM_PESQUISA[[#Headers],[Q3 - First Time Fix]],QUALIDADE_CAB,0)), "-")</f>
        <v>1</v>
      </c>
      <c r="T154" s="34">
        <f>IFERROR(INDEX(QUALIDADE,MATCH(tblVIRARAM_PESQUISA[[#This Row],[CASE ID]],PROTOCOLO_PESQUISAS,0),MATCH(tblVIRARAM_PESQUISA[[#Headers],[Promoters]],QUALIDADE_CAB,0)), "-")</f>
        <v>1</v>
      </c>
      <c r="U154" s="34">
        <f>IFERROR(INDEX(QUALIDADE,MATCH(tblVIRARAM_PESQUISA[[#This Row],[CASE ID]],PROTOCOLO_PESQUISAS,0),MATCH(tblVIRARAM_PESQUISA[[#Headers],[Detractors]],QUALIDADE_CAB,0)), "-")</f>
        <v>0</v>
      </c>
    </row>
    <row r="155" spans="1:21">
      <c r="A155" s="3">
        <v>3035678329</v>
      </c>
      <c r="B155" s="3" t="s">
        <v>500</v>
      </c>
      <c r="C155" s="90">
        <v>42746.738471724537</v>
      </c>
      <c r="D155" s="42">
        <v>42748.738471724537</v>
      </c>
      <c r="E155" s="3" t="s">
        <v>54</v>
      </c>
      <c r="F155" s="3" t="s">
        <v>54</v>
      </c>
      <c r="G155" s="3" t="s">
        <v>301</v>
      </c>
      <c r="H155" s="3" t="s">
        <v>273</v>
      </c>
      <c r="I155" s="3" t="s">
        <v>817</v>
      </c>
      <c r="J155" s="3" t="s">
        <v>304</v>
      </c>
      <c r="K155" s="3" t="s">
        <v>306</v>
      </c>
      <c r="L155" s="44">
        <v>42751</v>
      </c>
      <c r="M155" s="3" t="s">
        <v>59</v>
      </c>
      <c r="N155" s="3" t="s">
        <v>60</v>
      </c>
      <c r="O155" s="3" t="s">
        <v>147</v>
      </c>
      <c r="P155" s="42">
        <v>42752</v>
      </c>
      <c r="Q155" s="34" t="s">
        <v>4207</v>
      </c>
      <c r="R155" s="34">
        <f>IFERROR(INDEX(QUALIDADE,MATCH(tblVIRARAM_PESQUISA[[#This Row],[CASE ID]],PROTOCOLO_PESQUISAS,0),MATCH(tblVIRARAM_PESQUISA[[#Headers],[Q2 - Problem Resolved]],QUALIDADE_CAB,0)), "-")</f>
        <v>1</v>
      </c>
      <c r="S155" s="34">
        <f>IFERROR(INDEX(QUALIDADE,MATCH(tblVIRARAM_PESQUISA[[#This Row],[CASE ID]],PROTOCOLO_PESQUISAS,0),MATCH(tblVIRARAM_PESQUISA[[#Headers],[Q3 - First Time Fix]],QUALIDADE_CAB,0)), "-")</f>
        <v>1</v>
      </c>
      <c r="T155" s="34">
        <f>IFERROR(INDEX(QUALIDADE,MATCH(tblVIRARAM_PESQUISA[[#This Row],[CASE ID]],PROTOCOLO_PESQUISAS,0),MATCH(tblVIRARAM_PESQUISA[[#Headers],[Promoters]],QUALIDADE_CAB,0)), "-")</f>
        <v>1</v>
      </c>
      <c r="U155" s="34">
        <f>IFERROR(INDEX(QUALIDADE,MATCH(tblVIRARAM_PESQUISA[[#This Row],[CASE ID]],PROTOCOLO_PESQUISAS,0),MATCH(tblVIRARAM_PESQUISA[[#Headers],[Detractors]],QUALIDADE_CAB,0)), "-")</f>
        <v>0</v>
      </c>
    </row>
    <row r="156" spans="1:21">
      <c r="A156" s="3">
        <v>3035678648</v>
      </c>
      <c r="B156" s="3" t="s">
        <v>500</v>
      </c>
      <c r="C156" s="90">
        <v>42746.738471724537</v>
      </c>
      <c r="D156" s="42">
        <v>42748.738471724537</v>
      </c>
      <c r="E156" s="3" t="s">
        <v>593</v>
      </c>
      <c r="F156" s="3" t="s">
        <v>593</v>
      </c>
      <c r="G156" s="3" t="s">
        <v>301</v>
      </c>
      <c r="H156" s="3" t="s">
        <v>273</v>
      </c>
      <c r="I156" s="3" t="s">
        <v>817</v>
      </c>
      <c r="J156" s="3" t="s">
        <v>304</v>
      </c>
      <c r="K156" s="3" t="s">
        <v>2971</v>
      </c>
      <c r="L156" s="44">
        <v>42751</v>
      </c>
      <c r="M156" s="3" t="s">
        <v>59</v>
      </c>
      <c r="N156" s="3" t="s">
        <v>60</v>
      </c>
      <c r="O156" s="3" t="s">
        <v>147</v>
      </c>
      <c r="P156" s="42">
        <v>42752</v>
      </c>
      <c r="Q156" s="34" t="s">
        <v>4207</v>
      </c>
      <c r="R156" s="34">
        <f>IFERROR(INDEX(QUALIDADE,MATCH(tblVIRARAM_PESQUISA[[#This Row],[CASE ID]],PROTOCOLO_PESQUISAS,0),MATCH(tblVIRARAM_PESQUISA[[#Headers],[Q2 - Problem Resolved]],QUALIDADE_CAB,0)), "-")</f>
        <v>2</v>
      </c>
      <c r="S156" s="34">
        <f>IFERROR(INDEX(QUALIDADE,MATCH(tblVIRARAM_PESQUISA[[#This Row],[CASE ID]],PROTOCOLO_PESQUISAS,0),MATCH(tblVIRARAM_PESQUISA[[#Headers],[Q3 - First Time Fix]],QUALIDADE_CAB,0)), "-")</f>
        <v>2</v>
      </c>
      <c r="T156" s="34">
        <f>IFERROR(INDEX(QUALIDADE,MATCH(tblVIRARAM_PESQUISA[[#This Row],[CASE ID]],PROTOCOLO_PESQUISAS,0),MATCH(tblVIRARAM_PESQUISA[[#Headers],[Promoters]],QUALIDADE_CAB,0)), "-")</f>
        <v>0</v>
      </c>
      <c r="U156" s="34">
        <f>IFERROR(INDEX(QUALIDADE,MATCH(tblVIRARAM_PESQUISA[[#This Row],[CASE ID]],PROTOCOLO_PESQUISAS,0),MATCH(tblVIRARAM_PESQUISA[[#Headers],[Detractors]],QUALIDADE_CAB,0)), "-")</f>
        <v>0</v>
      </c>
    </row>
    <row r="157" spans="1:21">
      <c r="A157" s="3">
        <v>3035686031</v>
      </c>
      <c r="B157" s="3" t="s">
        <v>500</v>
      </c>
      <c r="C157" s="90">
        <v>42746.738471724537</v>
      </c>
      <c r="D157" s="42">
        <v>42748.738471724537</v>
      </c>
      <c r="E157" s="3" t="s">
        <v>14</v>
      </c>
      <c r="F157" s="3" t="s">
        <v>14</v>
      </c>
      <c r="G157" s="3" t="s">
        <v>301</v>
      </c>
      <c r="H157" s="3" t="s">
        <v>9</v>
      </c>
      <c r="I157" s="3" t="s">
        <v>817</v>
      </c>
      <c r="J157" s="3" t="s">
        <v>304</v>
      </c>
      <c r="K157" s="3" t="s">
        <v>307</v>
      </c>
      <c r="L157" s="44">
        <v>42751</v>
      </c>
      <c r="M157" s="3" t="s">
        <v>59</v>
      </c>
      <c r="N157" s="3" t="s">
        <v>60</v>
      </c>
      <c r="O157" s="3" t="s">
        <v>147</v>
      </c>
      <c r="P157" s="42">
        <v>42752</v>
      </c>
      <c r="Q157" s="34" t="s">
        <v>4207</v>
      </c>
      <c r="R157" s="34">
        <f>IFERROR(INDEX(QUALIDADE,MATCH(tblVIRARAM_PESQUISA[[#This Row],[CASE ID]],PROTOCOLO_PESQUISAS,0),MATCH(tblVIRARAM_PESQUISA[[#Headers],[Q2 - Problem Resolved]],QUALIDADE_CAB,0)), "-")</f>
        <v>1</v>
      </c>
      <c r="S157" s="34">
        <f>IFERROR(INDEX(QUALIDADE,MATCH(tblVIRARAM_PESQUISA[[#This Row],[CASE ID]],PROTOCOLO_PESQUISAS,0),MATCH(tblVIRARAM_PESQUISA[[#Headers],[Q3 - First Time Fix]],QUALIDADE_CAB,0)), "-")</f>
        <v>2</v>
      </c>
      <c r="T157" s="34">
        <f>IFERROR(INDEX(QUALIDADE,MATCH(tblVIRARAM_PESQUISA[[#This Row],[CASE ID]],PROTOCOLO_PESQUISAS,0),MATCH(tblVIRARAM_PESQUISA[[#Headers],[Promoters]],QUALIDADE_CAB,0)), "-")</f>
        <v>1</v>
      </c>
      <c r="U157" s="34">
        <f>IFERROR(INDEX(QUALIDADE,MATCH(tblVIRARAM_PESQUISA[[#This Row],[CASE ID]],PROTOCOLO_PESQUISAS,0),MATCH(tblVIRARAM_PESQUISA[[#Headers],[Detractors]],QUALIDADE_CAB,0)), "-")</f>
        <v>0</v>
      </c>
    </row>
    <row r="158" spans="1:21">
      <c r="A158" s="3">
        <v>3035571430</v>
      </c>
      <c r="B158" s="3" t="s">
        <v>500</v>
      </c>
      <c r="C158" s="90">
        <v>42745.737639085652</v>
      </c>
      <c r="D158" s="42">
        <v>42747.737639085652</v>
      </c>
      <c r="E158" s="3" t="s">
        <v>281</v>
      </c>
      <c r="F158" s="3" t="s">
        <v>281</v>
      </c>
      <c r="G158" s="3" t="s">
        <v>301</v>
      </c>
      <c r="H158" s="3" t="s">
        <v>51</v>
      </c>
      <c r="I158" s="3" t="s">
        <v>817</v>
      </c>
      <c r="J158" s="3" t="s">
        <v>303</v>
      </c>
      <c r="K158" s="3" t="s">
        <v>2970</v>
      </c>
      <c r="L158" s="44">
        <v>42748</v>
      </c>
      <c r="M158" s="3" t="s">
        <v>59</v>
      </c>
      <c r="N158" s="3" t="s">
        <v>60</v>
      </c>
      <c r="O158" s="3" t="s">
        <v>147</v>
      </c>
      <c r="P158" s="42">
        <v>42752</v>
      </c>
      <c r="Q158" s="34" t="s">
        <v>4207</v>
      </c>
      <c r="R158" s="34">
        <f>IFERROR(INDEX(QUALIDADE,MATCH(tblVIRARAM_PESQUISA[[#This Row],[CASE ID]],PROTOCOLO_PESQUISAS,0),MATCH(tblVIRARAM_PESQUISA[[#Headers],[Q2 - Problem Resolved]],QUALIDADE_CAB,0)), "-")</f>
        <v>1</v>
      </c>
      <c r="S158" s="34">
        <f>IFERROR(INDEX(QUALIDADE,MATCH(tblVIRARAM_PESQUISA[[#This Row],[CASE ID]],PROTOCOLO_PESQUISAS,0),MATCH(tblVIRARAM_PESQUISA[[#Headers],[Q3 - First Time Fix]],QUALIDADE_CAB,0)), "-")</f>
        <v>1</v>
      </c>
      <c r="T158" s="34">
        <f>IFERROR(INDEX(QUALIDADE,MATCH(tblVIRARAM_PESQUISA[[#This Row],[CASE ID]],PROTOCOLO_PESQUISAS,0),MATCH(tblVIRARAM_PESQUISA[[#Headers],[Promoters]],QUALIDADE_CAB,0)), "-")</f>
        <v>1</v>
      </c>
      <c r="U158" s="34">
        <f>IFERROR(INDEX(QUALIDADE,MATCH(tblVIRARAM_PESQUISA[[#This Row],[CASE ID]],PROTOCOLO_PESQUISAS,0),MATCH(tblVIRARAM_PESQUISA[[#Headers],[Detractors]],QUALIDADE_CAB,0)), "-")</f>
        <v>0</v>
      </c>
    </row>
    <row r="159" spans="1:21">
      <c r="A159" s="3">
        <v>3035643750</v>
      </c>
      <c r="B159" s="3" t="s">
        <v>500</v>
      </c>
      <c r="C159" s="90">
        <v>42745.737639085652</v>
      </c>
      <c r="D159" s="42">
        <v>42747.737639085652</v>
      </c>
      <c r="E159" s="3" t="s">
        <v>861</v>
      </c>
      <c r="F159" s="3" t="s">
        <v>861</v>
      </c>
      <c r="G159" s="3" t="s">
        <v>301</v>
      </c>
      <c r="H159" s="3" t="s">
        <v>31</v>
      </c>
      <c r="I159" s="3" t="s">
        <v>817</v>
      </c>
      <c r="J159" s="3" t="s">
        <v>304</v>
      </c>
      <c r="K159" s="3" t="s">
        <v>307</v>
      </c>
      <c r="L159" s="44">
        <v>42748</v>
      </c>
      <c r="M159" s="3" t="s">
        <v>59</v>
      </c>
      <c r="N159" s="3" t="s">
        <v>60</v>
      </c>
      <c r="O159" s="3" t="s">
        <v>147</v>
      </c>
      <c r="P159" s="42">
        <v>42752</v>
      </c>
      <c r="Q159" s="34" t="s">
        <v>4207</v>
      </c>
      <c r="R159" s="34">
        <f>IFERROR(INDEX(QUALIDADE,MATCH(tblVIRARAM_PESQUISA[[#This Row],[CASE ID]],PROTOCOLO_PESQUISAS,0),MATCH(tblVIRARAM_PESQUISA[[#Headers],[Q2 - Problem Resolved]],QUALIDADE_CAB,0)), "-")</f>
        <v>1</v>
      </c>
      <c r="S159" s="34">
        <f>IFERROR(INDEX(QUALIDADE,MATCH(tblVIRARAM_PESQUISA[[#This Row],[CASE ID]],PROTOCOLO_PESQUISAS,0),MATCH(tblVIRARAM_PESQUISA[[#Headers],[Q3 - First Time Fix]],QUALIDADE_CAB,0)), "-")</f>
        <v>1</v>
      </c>
      <c r="T159" s="34">
        <f>IFERROR(INDEX(QUALIDADE,MATCH(tblVIRARAM_PESQUISA[[#This Row],[CASE ID]],PROTOCOLO_PESQUISAS,0),MATCH(tblVIRARAM_PESQUISA[[#Headers],[Promoters]],QUALIDADE_CAB,0)), "-")</f>
        <v>1</v>
      </c>
      <c r="U159" s="34">
        <f>IFERROR(INDEX(QUALIDADE,MATCH(tblVIRARAM_PESQUISA[[#This Row],[CASE ID]],PROTOCOLO_PESQUISAS,0),MATCH(tblVIRARAM_PESQUISA[[#Headers],[Detractors]],QUALIDADE_CAB,0)), "-")</f>
        <v>0</v>
      </c>
    </row>
    <row r="160" spans="1:21">
      <c r="A160" s="3">
        <v>3035644540</v>
      </c>
      <c r="B160" s="3" t="s">
        <v>500</v>
      </c>
      <c r="C160" s="90">
        <v>42745.737639085652</v>
      </c>
      <c r="D160" s="42">
        <v>42747.737639085652</v>
      </c>
      <c r="E160" s="3" t="s">
        <v>1374</v>
      </c>
      <c r="F160" s="3" t="s">
        <v>1374</v>
      </c>
      <c r="G160" s="3" t="s">
        <v>301</v>
      </c>
      <c r="H160" s="3" t="s">
        <v>31</v>
      </c>
      <c r="I160" s="3" t="s">
        <v>3375</v>
      </c>
      <c r="J160" s="3" t="s">
        <v>303</v>
      </c>
      <c r="K160" s="3" t="s">
        <v>3380</v>
      </c>
      <c r="L160" s="44">
        <v>42749.504166666666</v>
      </c>
      <c r="M160" s="3" t="s">
        <v>84</v>
      </c>
      <c r="N160" s="3" t="s">
        <v>85</v>
      </c>
      <c r="O160" s="3" t="s">
        <v>322</v>
      </c>
      <c r="P160" s="42">
        <v>42752</v>
      </c>
      <c r="Q160" s="34" t="s">
        <v>4207</v>
      </c>
      <c r="R160" s="34">
        <f>IFERROR(INDEX(QUALIDADE,MATCH(tblVIRARAM_PESQUISA[[#This Row],[CASE ID]],PROTOCOLO_PESQUISAS,0),MATCH(tblVIRARAM_PESQUISA[[#Headers],[Q2 - Problem Resolved]],QUALIDADE_CAB,0)), "-")</f>
        <v>1</v>
      </c>
      <c r="S160" s="34">
        <f>IFERROR(INDEX(QUALIDADE,MATCH(tblVIRARAM_PESQUISA[[#This Row],[CASE ID]],PROTOCOLO_PESQUISAS,0),MATCH(tblVIRARAM_PESQUISA[[#Headers],[Q3 - First Time Fix]],QUALIDADE_CAB,0)), "-")</f>
        <v>2</v>
      </c>
      <c r="T160" s="34">
        <f>IFERROR(INDEX(QUALIDADE,MATCH(tblVIRARAM_PESQUISA[[#This Row],[CASE ID]],PROTOCOLO_PESQUISAS,0),MATCH(tblVIRARAM_PESQUISA[[#Headers],[Promoters]],QUALIDADE_CAB,0)), "-")</f>
        <v>1</v>
      </c>
      <c r="U160" s="34">
        <f>IFERROR(INDEX(QUALIDADE,MATCH(tblVIRARAM_PESQUISA[[#This Row],[CASE ID]],PROTOCOLO_PESQUISAS,0),MATCH(tblVIRARAM_PESQUISA[[#Headers],[Detractors]],QUALIDADE_CAB,0)), "-")</f>
        <v>0</v>
      </c>
    </row>
    <row r="161" spans="1:21">
      <c r="A161" s="3">
        <v>3035650530</v>
      </c>
      <c r="B161" s="3" t="s">
        <v>500</v>
      </c>
      <c r="C161" s="90">
        <v>42745.737639085652</v>
      </c>
      <c r="D161" s="42">
        <v>42747.737639085652</v>
      </c>
      <c r="E161" s="3" t="s">
        <v>1537</v>
      </c>
      <c r="F161" s="3" t="s">
        <v>1537</v>
      </c>
      <c r="G161" s="3" t="s">
        <v>301</v>
      </c>
      <c r="H161" s="3" t="s">
        <v>23</v>
      </c>
      <c r="I161" s="3" t="s">
        <v>3375</v>
      </c>
      <c r="J161" s="3" t="s">
        <v>303</v>
      </c>
      <c r="K161" s="3" t="s">
        <v>3385</v>
      </c>
      <c r="L161" s="44">
        <v>42749.522222222222</v>
      </c>
      <c r="M161" s="3" t="s">
        <v>59</v>
      </c>
      <c r="N161" s="3" t="s">
        <v>60</v>
      </c>
      <c r="O161" s="3" t="s">
        <v>147</v>
      </c>
      <c r="P161" s="42">
        <v>42752</v>
      </c>
      <c r="Q161" s="34" t="s">
        <v>4207</v>
      </c>
      <c r="R161" s="34">
        <f>IFERROR(INDEX(QUALIDADE,MATCH(tblVIRARAM_PESQUISA[[#This Row],[CASE ID]],PROTOCOLO_PESQUISAS,0),MATCH(tblVIRARAM_PESQUISA[[#Headers],[Q2 - Problem Resolved]],QUALIDADE_CAB,0)), "-")</f>
        <v>1</v>
      </c>
      <c r="S161" s="34">
        <f>IFERROR(INDEX(QUALIDADE,MATCH(tblVIRARAM_PESQUISA[[#This Row],[CASE ID]],PROTOCOLO_PESQUISAS,0),MATCH(tblVIRARAM_PESQUISA[[#Headers],[Q3 - First Time Fix]],QUALIDADE_CAB,0)), "-")</f>
        <v>1</v>
      </c>
      <c r="T161" s="34">
        <f>IFERROR(INDEX(QUALIDADE,MATCH(tblVIRARAM_PESQUISA[[#This Row],[CASE ID]],PROTOCOLO_PESQUISAS,0),MATCH(tblVIRARAM_PESQUISA[[#Headers],[Promoters]],QUALIDADE_CAB,0)), "-")</f>
        <v>1</v>
      </c>
      <c r="U161" s="34">
        <f>IFERROR(INDEX(QUALIDADE,MATCH(tblVIRARAM_PESQUISA[[#This Row],[CASE ID]],PROTOCOLO_PESQUISAS,0),MATCH(tblVIRARAM_PESQUISA[[#Headers],[Detractors]],QUALIDADE_CAB,0)), "-")</f>
        <v>0</v>
      </c>
    </row>
    <row r="162" spans="1:21">
      <c r="A162" s="3">
        <v>3035656451</v>
      </c>
      <c r="B162" s="3" t="s">
        <v>500</v>
      </c>
      <c r="C162" s="90">
        <v>42745.737639085652</v>
      </c>
      <c r="D162" s="42">
        <v>42747.737639085652</v>
      </c>
      <c r="E162" s="3" t="s">
        <v>583</v>
      </c>
      <c r="F162" s="3" t="s">
        <v>583</v>
      </c>
      <c r="G162" s="3" t="s">
        <v>301</v>
      </c>
      <c r="H162" s="3" t="s">
        <v>23</v>
      </c>
      <c r="I162" s="3" t="s">
        <v>815</v>
      </c>
      <c r="J162" s="3" t="s">
        <v>304</v>
      </c>
      <c r="K162" s="3" t="s">
        <v>4030</v>
      </c>
      <c r="L162" s="44">
        <v>42749.525000000001</v>
      </c>
      <c r="M162" s="3" t="s">
        <v>59</v>
      </c>
      <c r="N162" s="3" t="s">
        <v>60</v>
      </c>
      <c r="O162" s="3" t="s">
        <v>147</v>
      </c>
      <c r="P162" s="42">
        <v>42752</v>
      </c>
      <c r="Q162" s="34" t="s">
        <v>4207</v>
      </c>
      <c r="R162" s="34">
        <f>IFERROR(INDEX(QUALIDADE,MATCH(tblVIRARAM_PESQUISA[[#This Row],[CASE ID]],PROTOCOLO_PESQUISAS,0),MATCH(tblVIRARAM_PESQUISA[[#Headers],[Q2 - Problem Resolved]],QUALIDADE_CAB,0)), "-")</f>
        <v>1</v>
      </c>
      <c r="S162" s="34">
        <f>IFERROR(INDEX(QUALIDADE,MATCH(tblVIRARAM_PESQUISA[[#This Row],[CASE ID]],PROTOCOLO_PESQUISAS,0),MATCH(tblVIRARAM_PESQUISA[[#Headers],[Q3 - First Time Fix]],QUALIDADE_CAB,0)), "-")</f>
        <v>1</v>
      </c>
      <c r="T162" s="34">
        <f>IFERROR(INDEX(QUALIDADE,MATCH(tblVIRARAM_PESQUISA[[#This Row],[CASE ID]],PROTOCOLO_PESQUISAS,0),MATCH(tblVIRARAM_PESQUISA[[#Headers],[Promoters]],QUALIDADE_CAB,0)), "-")</f>
        <v>1</v>
      </c>
      <c r="U162" s="34">
        <f>IFERROR(INDEX(QUALIDADE,MATCH(tblVIRARAM_PESQUISA[[#This Row],[CASE ID]],PROTOCOLO_PESQUISAS,0),MATCH(tblVIRARAM_PESQUISA[[#Headers],[Detractors]],QUALIDADE_CAB,0)), "-")</f>
        <v>0</v>
      </c>
    </row>
    <row r="163" spans="1:21">
      <c r="A163" s="3">
        <v>3035549488</v>
      </c>
      <c r="B163" s="3" t="s">
        <v>500</v>
      </c>
      <c r="C163" s="90">
        <v>42741.735176273149</v>
      </c>
      <c r="D163" s="42">
        <v>42743.735176273149</v>
      </c>
      <c r="E163" s="3" t="s">
        <v>1525</v>
      </c>
      <c r="F163" s="3" t="s">
        <v>1525</v>
      </c>
      <c r="G163" s="3" t="s">
        <v>301</v>
      </c>
      <c r="H163" s="3" t="s">
        <v>23</v>
      </c>
      <c r="I163" s="3" t="s">
        <v>815</v>
      </c>
      <c r="J163" s="3" t="s">
        <v>304</v>
      </c>
      <c r="K163" s="3" t="s">
        <v>2703</v>
      </c>
      <c r="L163" s="44">
        <v>42744</v>
      </c>
      <c r="M163" s="3" t="s">
        <v>84</v>
      </c>
      <c r="N163" s="3" t="s">
        <v>85</v>
      </c>
      <c r="O163" s="3" t="s">
        <v>3035</v>
      </c>
      <c r="P163" s="42">
        <v>42752</v>
      </c>
      <c r="Q163" s="34" t="s">
        <v>4207</v>
      </c>
      <c r="R163" s="34">
        <f>IFERROR(INDEX(QUALIDADE,MATCH(tblVIRARAM_PESQUISA[[#This Row],[CASE ID]],PROTOCOLO_PESQUISAS,0),MATCH(tblVIRARAM_PESQUISA[[#Headers],[Q2 - Problem Resolved]],QUALIDADE_CAB,0)), "-")</f>
        <v>1</v>
      </c>
      <c r="S163" s="34">
        <f>IFERROR(INDEX(QUALIDADE,MATCH(tblVIRARAM_PESQUISA[[#This Row],[CASE ID]],PROTOCOLO_PESQUISAS,0),MATCH(tblVIRARAM_PESQUISA[[#Headers],[Q3 - First Time Fix]],QUALIDADE_CAB,0)), "-")</f>
        <v>1</v>
      </c>
      <c r="T163" s="34">
        <f>IFERROR(INDEX(QUALIDADE,MATCH(tblVIRARAM_PESQUISA[[#This Row],[CASE ID]],PROTOCOLO_PESQUISAS,0),MATCH(tblVIRARAM_PESQUISA[[#Headers],[Promoters]],QUALIDADE_CAB,0)), "-")</f>
        <v>1</v>
      </c>
      <c r="U163" s="34">
        <f>IFERROR(INDEX(QUALIDADE,MATCH(tblVIRARAM_PESQUISA[[#This Row],[CASE ID]],PROTOCOLO_PESQUISAS,0),MATCH(tblVIRARAM_PESQUISA[[#Headers],[Detractors]],QUALIDADE_CAB,0)), "-")</f>
        <v>0</v>
      </c>
    </row>
    <row r="164" spans="1:21">
      <c r="A164" s="3">
        <v>3035714034</v>
      </c>
      <c r="B164" s="3" t="s">
        <v>500</v>
      </c>
      <c r="C164" s="90">
        <v>42747.737991238428</v>
      </c>
      <c r="D164" s="42">
        <v>42749.737991238428</v>
      </c>
      <c r="E164" s="3" t="s">
        <v>36</v>
      </c>
      <c r="F164" s="3" t="s">
        <v>36</v>
      </c>
      <c r="G164" s="3" t="s">
        <v>301</v>
      </c>
      <c r="H164" s="3" t="s">
        <v>31</v>
      </c>
      <c r="I164" s="3" t="s">
        <v>817</v>
      </c>
      <c r="J164" s="3" t="s">
        <v>304</v>
      </c>
      <c r="K164" s="3" t="s">
        <v>307</v>
      </c>
      <c r="L164" s="44">
        <v>42751</v>
      </c>
      <c r="M164" s="3" t="s">
        <v>59</v>
      </c>
      <c r="N164" s="3" t="s">
        <v>60</v>
      </c>
      <c r="O164" s="3" t="s">
        <v>147</v>
      </c>
      <c r="P164" s="42">
        <v>42753</v>
      </c>
      <c r="Q164" s="34" t="s">
        <v>4380</v>
      </c>
      <c r="R164" s="34">
        <f>IFERROR(INDEX(QUALIDADE,MATCH(tblVIRARAM_PESQUISA[[#This Row],[CASE ID]],PROTOCOLO_PESQUISAS,0),MATCH(tblVIRARAM_PESQUISA[[#Headers],[Q2 - Problem Resolved]],QUALIDADE_CAB,0)), "-")</f>
        <v>1</v>
      </c>
      <c r="S164" s="34">
        <f>IFERROR(INDEX(QUALIDADE,MATCH(tblVIRARAM_PESQUISA[[#This Row],[CASE ID]],PROTOCOLO_PESQUISAS,0),MATCH(tblVIRARAM_PESQUISA[[#Headers],[Q3 - First Time Fix]],QUALIDADE_CAB,0)), "-")</f>
        <v>1</v>
      </c>
      <c r="T164" s="34">
        <f>IFERROR(INDEX(QUALIDADE,MATCH(tblVIRARAM_PESQUISA[[#This Row],[CASE ID]],PROTOCOLO_PESQUISAS,0),MATCH(tblVIRARAM_PESQUISA[[#Headers],[Promoters]],QUALIDADE_CAB,0)), "-")</f>
        <v>1</v>
      </c>
      <c r="U164" s="34">
        <f>IFERROR(INDEX(QUALIDADE,MATCH(tblVIRARAM_PESQUISA[[#This Row],[CASE ID]],PROTOCOLO_PESQUISAS,0),MATCH(tblVIRARAM_PESQUISA[[#Headers],[Detractors]],QUALIDADE_CAB,0)), "-")</f>
        <v>0</v>
      </c>
    </row>
    <row r="165" spans="1:21">
      <c r="A165" s="3">
        <v>3035722668</v>
      </c>
      <c r="B165" s="3" t="s">
        <v>500</v>
      </c>
      <c r="C165" s="90">
        <v>42747.737991238428</v>
      </c>
      <c r="D165" s="42">
        <v>42749.737991238428</v>
      </c>
      <c r="E165" s="3" t="s">
        <v>54</v>
      </c>
      <c r="F165" s="3" t="s">
        <v>54</v>
      </c>
      <c r="G165" s="3" t="s">
        <v>301</v>
      </c>
      <c r="H165" s="3" t="s">
        <v>273</v>
      </c>
      <c r="I165" s="3" t="s">
        <v>817</v>
      </c>
      <c r="J165" s="3" t="s">
        <v>304</v>
      </c>
      <c r="K165" s="3" t="s">
        <v>307</v>
      </c>
      <c r="L165" s="44">
        <v>42751</v>
      </c>
      <c r="M165" s="3" t="s">
        <v>59</v>
      </c>
      <c r="N165" s="3" t="s">
        <v>60</v>
      </c>
      <c r="O165" s="3" t="s">
        <v>147</v>
      </c>
      <c r="P165" s="42">
        <v>42753</v>
      </c>
      <c r="Q165" s="34" t="s">
        <v>4380</v>
      </c>
      <c r="R165" s="34">
        <f>IFERROR(INDEX(QUALIDADE,MATCH(tblVIRARAM_PESQUISA[[#This Row],[CASE ID]],PROTOCOLO_PESQUISAS,0),MATCH(tblVIRARAM_PESQUISA[[#Headers],[Q2 - Problem Resolved]],QUALIDADE_CAB,0)), "-")</f>
        <v>1</v>
      </c>
      <c r="S165" s="34">
        <f>IFERROR(INDEX(QUALIDADE,MATCH(tblVIRARAM_PESQUISA[[#This Row],[CASE ID]],PROTOCOLO_PESQUISAS,0),MATCH(tblVIRARAM_PESQUISA[[#Headers],[Q3 - First Time Fix]],QUALIDADE_CAB,0)), "-")</f>
        <v>1</v>
      </c>
      <c r="T165" s="34">
        <f>IFERROR(INDEX(QUALIDADE,MATCH(tblVIRARAM_PESQUISA[[#This Row],[CASE ID]],PROTOCOLO_PESQUISAS,0),MATCH(tblVIRARAM_PESQUISA[[#Headers],[Promoters]],QUALIDADE_CAB,0)), "-")</f>
        <v>0</v>
      </c>
      <c r="U165" s="34">
        <f>IFERROR(INDEX(QUALIDADE,MATCH(tblVIRARAM_PESQUISA[[#This Row],[CASE ID]],PROTOCOLO_PESQUISAS,0),MATCH(tblVIRARAM_PESQUISA[[#Headers],[Detractors]],QUALIDADE_CAB,0)), "-")</f>
        <v>0</v>
      </c>
    </row>
    <row r="166" spans="1:21">
      <c r="A166" s="3">
        <v>3035721716</v>
      </c>
      <c r="B166" s="3" t="s">
        <v>500</v>
      </c>
      <c r="C166" s="90">
        <v>42747.737991238428</v>
      </c>
      <c r="D166" s="42">
        <v>42749.737991238428</v>
      </c>
      <c r="E166" s="3" t="s">
        <v>27</v>
      </c>
      <c r="F166" s="3" t="s">
        <v>27</v>
      </c>
      <c r="G166" s="3" t="s">
        <v>301</v>
      </c>
      <c r="H166" s="3" t="s">
        <v>23</v>
      </c>
      <c r="I166" s="3" t="s">
        <v>817</v>
      </c>
      <c r="J166" s="3" t="s">
        <v>304</v>
      </c>
      <c r="K166" s="3" t="s">
        <v>307</v>
      </c>
      <c r="L166" s="44">
        <v>42751</v>
      </c>
      <c r="M166" s="3" t="s">
        <v>59</v>
      </c>
      <c r="N166" s="3" t="s">
        <v>60</v>
      </c>
      <c r="O166" s="3" t="s">
        <v>147</v>
      </c>
      <c r="P166" s="42">
        <v>42753</v>
      </c>
      <c r="Q166" s="34" t="s">
        <v>4380</v>
      </c>
      <c r="R166" s="34">
        <f>IFERROR(INDEX(QUALIDADE,MATCH(tblVIRARAM_PESQUISA[[#This Row],[CASE ID]],PROTOCOLO_PESQUISAS,0),MATCH(tblVIRARAM_PESQUISA[[#Headers],[Q2 - Problem Resolved]],QUALIDADE_CAB,0)), "-")</f>
        <v>1</v>
      </c>
      <c r="S166" s="34">
        <f>IFERROR(INDEX(QUALIDADE,MATCH(tblVIRARAM_PESQUISA[[#This Row],[CASE ID]],PROTOCOLO_PESQUISAS,0),MATCH(tblVIRARAM_PESQUISA[[#Headers],[Q3 - First Time Fix]],QUALIDADE_CAB,0)), "-")</f>
        <v>1</v>
      </c>
      <c r="T166" s="34">
        <f>IFERROR(INDEX(QUALIDADE,MATCH(tblVIRARAM_PESQUISA[[#This Row],[CASE ID]],PROTOCOLO_PESQUISAS,0),MATCH(tblVIRARAM_PESQUISA[[#Headers],[Promoters]],QUALIDADE_CAB,0)), "-")</f>
        <v>1</v>
      </c>
      <c r="U166" s="34">
        <f>IFERROR(INDEX(QUALIDADE,MATCH(tblVIRARAM_PESQUISA[[#This Row],[CASE ID]],PROTOCOLO_PESQUISAS,0),MATCH(tblVIRARAM_PESQUISA[[#Headers],[Detractors]],QUALIDADE_CAB,0)), "-")</f>
        <v>0</v>
      </c>
    </row>
    <row r="167" spans="1:21">
      <c r="A167" s="3">
        <v>3035733708</v>
      </c>
      <c r="B167" s="3" t="s">
        <v>500</v>
      </c>
      <c r="C167" s="90">
        <v>42747.737991238428</v>
      </c>
      <c r="D167" s="42">
        <v>42749.737991238428</v>
      </c>
      <c r="E167" s="3" t="s">
        <v>46</v>
      </c>
      <c r="F167" s="3" t="s">
        <v>46</v>
      </c>
      <c r="G167" s="3" t="s">
        <v>301</v>
      </c>
      <c r="H167" s="3" t="s">
        <v>39</v>
      </c>
      <c r="I167" s="3" t="s">
        <v>817</v>
      </c>
      <c r="J167" s="3" t="s">
        <v>303</v>
      </c>
      <c r="K167" s="3" t="s">
        <v>305</v>
      </c>
      <c r="L167" s="44">
        <v>42753</v>
      </c>
      <c r="M167" s="3" t="s">
        <v>84</v>
      </c>
      <c r="N167" s="3" t="s">
        <v>85</v>
      </c>
      <c r="O167" s="3" t="s">
        <v>322</v>
      </c>
      <c r="P167" s="42">
        <v>42753</v>
      </c>
      <c r="Q167" s="34" t="s">
        <v>4380</v>
      </c>
      <c r="R167" s="34">
        <f>IFERROR(INDEX(QUALIDADE,MATCH(tblVIRARAM_PESQUISA[[#This Row],[CASE ID]],PROTOCOLO_PESQUISAS,0),MATCH(tblVIRARAM_PESQUISA[[#Headers],[Q2 - Problem Resolved]],QUALIDADE_CAB,0)), "-")</f>
        <v>1</v>
      </c>
      <c r="S167" s="34">
        <f>IFERROR(INDEX(QUALIDADE,MATCH(tblVIRARAM_PESQUISA[[#This Row],[CASE ID]],PROTOCOLO_PESQUISAS,0),MATCH(tblVIRARAM_PESQUISA[[#Headers],[Q3 - First Time Fix]],QUALIDADE_CAB,0)), "-")</f>
        <v>1</v>
      </c>
      <c r="T167" s="34">
        <f>IFERROR(INDEX(QUALIDADE,MATCH(tblVIRARAM_PESQUISA[[#This Row],[CASE ID]],PROTOCOLO_PESQUISAS,0),MATCH(tblVIRARAM_PESQUISA[[#Headers],[Promoters]],QUALIDADE_CAB,0)), "-")</f>
        <v>1</v>
      </c>
      <c r="U167" s="34">
        <f>IFERROR(INDEX(QUALIDADE,MATCH(tblVIRARAM_PESQUISA[[#This Row],[CASE ID]],PROTOCOLO_PESQUISAS,0),MATCH(tblVIRARAM_PESQUISA[[#Headers],[Detractors]],QUALIDADE_CAB,0)), "-")</f>
        <v>0</v>
      </c>
    </row>
    <row r="168" spans="1:21">
      <c r="A168" s="3">
        <v>3035735067</v>
      </c>
      <c r="B168" s="3" t="s">
        <v>500</v>
      </c>
      <c r="C168" s="90">
        <v>42747.737991238428</v>
      </c>
      <c r="D168" s="42">
        <v>42749.737991238428</v>
      </c>
      <c r="E168" s="3" t="s">
        <v>29</v>
      </c>
      <c r="F168" s="3" t="s">
        <v>29</v>
      </c>
      <c r="G168" s="3" t="s">
        <v>301</v>
      </c>
      <c r="H168" s="3" t="s">
        <v>23</v>
      </c>
      <c r="I168" s="3" t="s">
        <v>817</v>
      </c>
      <c r="J168" s="3" t="s">
        <v>304</v>
      </c>
      <c r="K168" s="3" t="s">
        <v>307</v>
      </c>
      <c r="L168" s="44">
        <v>42751</v>
      </c>
      <c r="M168" s="3" t="s">
        <v>59</v>
      </c>
      <c r="N168" s="3" t="s">
        <v>60</v>
      </c>
      <c r="O168" s="3" t="s">
        <v>147</v>
      </c>
      <c r="P168" s="42">
        <v>42753</v>
      </c>
      <c r="Q168" s="34" t="s">
        <v>4380</v>
      </c>
      <c r="R168" s="34">
        <f>IFERROR(INDEX(QUALIDADE,MATCH(tblVIRARAM_PESQUISA[[#This Row],[CASE ID]],PROTOCOLO_PESQUISAS,0),MATCH(tblVIRARAM_PESQUISA[[#Headers],[Q2 - Problem Resolved]],QUALIDADE_CAB,0)), "-")</f>
        <v>1</v>
      </c>
      <c r="S168" s="34">
        <f>IFERROR(INDEX(QUALIDADE,MATCH(tblVIRARAM_PESQUISA[[#This Row],[CASE ID]],PROTOCOLO_PESQUISAS,0),MATCH(tblVIRARAM_PESQUISA[[#Headers],[Q3 - First Time Fix]],QUALIDADE_CAB,0)), "-")</f>
        <v>1</v>
      </c>
      <c r="T168" s="34">
        <f>IFERROR(INDEX(QUALIDADE,MATCH(tblVIRARAM_PESQUISA[[#This Row],[CASE ID]],PROTOCOLO_PESQUISAS,0),MATCH(tblVIRARAM_PESQUISA[[#Headers],[Promoters]],QUALIDADE_CAB,0)), "-")</f>
        <v>0</v>
      </c>
      <c r="U168" s="34">
        <f>IFERROR(INDEX(QUALIDADE,MATCH(tblVIRARAM_PESQUISA[[#This Row],[CASE ID]],PROTOCOLO_PESQUISAS,0),MATCH(tblVIRARAM_PESQUISA[[#Headers],[Detractors]],QUALIDADE_CAB,0)), "-")</f>
        <v>0</v>
      </c>
    </row>
    <row r="169" spans="1:21">
      <c r="A169" s="3">
        <v>3035689410</v>
      </c>
      <c r="B169" s="3" t="s">
        <v>500</v>
      </c>
      <c r="C169" s="90">
        <v>42747.737991238428</v>
      </c>
      <c r="D169" s="42">
        <v>42749.737991238428</v>
      </c>
      <c r="E169" s="3" t="s">
        <v>29</v>
      </c>
      <c r="F169" s="3" t="s">
        <v>47</v>
      </c>
      <c r="G169" s="3" t="s">
        <v>302</v>
      </c>
      <c r="H169" s="3" t="s">
        <v>23</v>
      </c>
      <c r="I169" s="3" t="s">
        <v>817</v>
      </c>
      <c r="J169" s="3" t="s">
        <v>304</v>
      </c>
      <c r="K169" s="3" t="s">
        <v>307</v>
      </c>
      <c r="L169" s="44">
        <v>42751</v>
      </c>
      <c r="M169" s="3" t="s">
        <v>59</v>
      </c>
      <c r="N169" s="3" t="s">
        <v>60</v>
      </c>
      <c r="O169" s="3" t="s">
        <v>147</v>
      </c>
      <c r="P169" s="42">
        <v>42753</v>
      </c>
      <c r="Q169" s="34" t="s">
        <v>4380</v>
      </c>
      <c r="R169" s="34">
        <f>IFERROR(INDEX(QUALIDADE,MATCH(tblVIRARAM_PESQUISA[[#This Row],[CASE ID]],PROTOCOLO_PESQUISAS,0),MATCH(tblVIRARAM_PESQUISA[[#Headers],[Q2 - Problem Resolved]],QUALIDADE_CAB,0)), "-")</f>
        <v>1</v>
      </c>
      <c r="S169" s="34">
        <f>IFERROR(INDEX(QUALIDADE,MATCH(tblVIRARAM_PESQUISA[[#This Row],[CASE ID]],PROTOCOLO_PESQUISAS,0),MATCH(tblVIRARAM_PESQUISA[[#Headers],[Q3 - First Time Fix]],QUALIDADE_CAB,0)), "-")</f>
        <v>1</v>
      </c>
      <c r="T169" s="34">
        <f>IFERROR(INDEX(QUALIDADE,MATCH(tblVIRARAM_PESQUISA[[#This Row],[CASE ID]],PROTOCOLO_PESQUISAS,0),MATCH(tblVIRARAM_PESQUISA[[#Headers],[Promoters]],QUALIDADE_CAB,0)), "-")</f>
        <v>1</v>
      </c>
      <c r="U169" s="34">
        <f>IFERROR(INDEX(QUALIDADE,MATCH(tblVIRARAM_PESQUISA[[#This Row],[CASE ID]],PROTOCOLO_PESQUISAS,0),MATCH(tblVIRARAM_PESQUISA[[#Headers],[Detractors]],QUALIDADE_CAB,0)), "-")</f>
        <v>0</v>
      </c>
    </row>
    <row r="170" spans="1:21">
      <c r="A170" s="3">
        <v>3035688638</v>
      </c>
      <c r="B170" s="3" t="s">
        <v>500</v>
      </c>
      <c r="C170" s="90">
        <v>42746.738471724537</v>
      </c>
      <c r="D170" s="42">
        <v>42748.738471724537</v>
      </c>
      <c r="E170" s="3" t="s">
        <v>44</v>
      </c>
      <c r="F170" s="3" t="s">
        <v>44</v>
      </c>
      <c r="G170" s="3" t="s">
        <v>301</v>
      </c>
      <c r="H170" s="3" t="s">
        <v>39</v>
      </c>
      <c r="I170" s="3" t="s">
        <v>817</v>
      </c>
      <c r="J170" s="3" t="s">
        <v>304</v>
      </c>
      <c r="K170" s="3" t="s">
        <v>307</v>
      </c>
      <c r="L170" s="44">
        <v>42751</v>
      </c>
      <c r="M170" s="3" t="s">
        <v>59</v>
      </c>
      <c r="N170" s="3" t="s">
        <v>60</v>
      </c>
      <c r="O170" s="3" t="s">
        <v>147</v>
      </c>
      <c r="P170" s="42">
        <v>42753</v>
      </c>
      <c r="Q170" s="34" t="s">
        <v>4380</v>
      </c>
      <c r="R170" s="34">
        <f>IFERROR(INDEX(QUALIDADE,MATCH(tblVIRARAM_PESQUISA[[#This Row],[CASE ID]],PROTOCOLO_PESQUISAS,0),MATCH(tblVIRARAM_PESQUISA[[#Headers],[Q2 - Problem Resolved]],QUALIDADE_CAB,0)), "-")</f>
        <v>1</v>
      </c>
      <c r="S170" s="34">
        <f>IFERROR(INDEX(QUALIDADE,MATCH(tblVIRARAM_PESQUISA[[#This Row],[CASE ID]],PROTOCOLO_PESQUISAS,0),MATCH(tblVIRARAM_PESQUISA[[#Headers],[Q3 - First Time Fix]],QUALIDADE_CAB,0)), "-")</f>
        <v>1</v>
      </c>
      <c r="T170" s="34">
        <f>IFERROR(INDEX(QUALIDADE,MATCH(tblVIRARAM_PESQUISA[[#This Row],[CASE ID]],PROTOCOLO_PESQUISAS,0),MATCH(tblVIRARAM_PESQUISA[[#Headers],[Promoters]],QUALIDADE_CAB,0)), "-")</f>
        <v>1</v>
      </c>
      <c r="U170" s="34">
        <f>IFERROR(INDEX(QUALIDADE,MATCH(tblVIRARAM_PESQUISA[[#This Row],[CASE ID]],PROTOCOLO_PESQUISAS,0),MATCH(tblVIRARAM_PESQUISA[[#Headers],[Detractors]],QUALIDADE_CAB,0)), "-")</f>
        <v>0</v>
      </c>
    </row>
    <row r="171" spans="1:21">
      <c r="A171" s="3">
        <v>3035641678</v>
      </c>
      <c r="B171" s="3" t="s">
        <v>500</v>
      </c>
      <c r="C171" s="90">
        <v>42746.738471724537</v>
      </c>
      <c r="D171" s="42">
        <v>42748.738471724537</v>
      </c>
      <c r="E171" s="3" t="s">
        <v>281</v>
      </c>
      <c r="F171" s="3" t="s">
        <v>281</v>
      </c>
      <c r="G171" s="3" t="s">
        <v>301</v>
      </c>
      <c r="H171" s="3" t="s">
        <v>51</v>
      </c>
      <c r="I171" s="3" t="s">
        <v>817</v>
      </c>
      <c r="J171" s="3" t="s">
        <v>303</v>
      </c>
      <c r="K171" s="3" t="s">
        <v>305</v>
      </c>
      <c r="L171" s="44">
        <v>42753</v>
      </c>
      <c r="M171" s="3" t="s">
        <v>84</v>
      </c>
      <c r="N171" s="3" t="s">
        <v>85</v>
      </c>
      <c r="O171" s="3" t="s">
        <v>268</v>
      </c>
      <c r="P171" s="42">
        <v>42753</v>
      </c>
      <c r="Q171" s="34" t="s">
        <v>4380</v>
      </c>
      <c r="R171" s="34">
        <f>IFERROR(INDEX(QUALIDADE,MATCH(tblVIRARAM_PESQUISA[[#This Row],[CASE ID]],PROTOCOLO_PESQUISAS,0),MATCH(tblVIRARAM_PESQUISA[[#Headers],[Q2 - Problem Resolved]],QUALIDADE_CAB,0)), "-")</f>
        <v>1</v>
      </c>
      <c r="S171" s="34">
        <f>IFERROR(INDEX(QUALIDADE,MATCH(tblVIRARAM_PESQUISA[[#This Row],[CASE ID]],PROTOCOLO_PESQUISAS,0),MATCH(tblVIRARAM_PESQUISA[[#Headers],[Q3 - First Time Fix]],QUALIDADE_CAB,0)), "-")</f>
        <v>2</v>
      </c>
      <c r="T171" s="34">
        <f>IFERROR(INDEX(QUALIDADE,MATCH(tblVIRARAM_PESQUISA[[#This Row],[CASE ID]],PROTOCOLO_PESQUISAS,0),MATCH(tblVIRARAM_PESQUISA[[#Headers],[Promoters]],QUALIDADE_CAB,0)), "-")</f>
        <v>1</v>
      </c>
      <c r="U171" s="34">
        <f>IFERROR(INDEX(QUALIDADE,MATCH(tblVIRARAM_PESQUISA[[#This Row],[CASE ID]],PROTOCOLO_PESQUISAS,0),MATCH(tblVIRARAM_PESQUISA[[#Headers],[Detractors]],QUALIDADE_CAB,0)), "-")</f>
        <v>0</v>
      </c>
    </row>
    <row r="172" spans="1:21">
      <c r="A172" s="3">
        <v>3035655460</v>
      </c>
      <c r="B172" s="3" t="s">
        <v>500</v>
      </c>
      <c r="C172" s="90">
        <v>42745.737639085652</v>
      </c>
      <c r="D172" s="42">
        <v>42747.737639085652</v>
      </c>
      <c r="E172" s="3" t="s">
        <v>839</v>
      </c>
      <c r="F172" s="3" t="s">
        <v>839</v>
      </c>
      <c r="G172" s="3" t="s">
        <v>301</v>
      </c>
      <c r="H172" s="3" t="s">
        <v>256</v>
      </c>
      <c r="I172" s="3" t="s">
        <v>3375</v>
      </c>
      <c r="J172" s="3" t="s">
        <v>303</v>
      </c>
      <c r="K172" s="3" t="s">
        <v>3381</v>
      </c>
      <c r="L172" s="44">
        <v>42749.574999999997</v>
      </c>
      <c r="M172" s="3" t="s">
        <v>59</v>
      </c>
      <c r="N172" s="3" t="s">
        <v>60</v>
      </c>
      <c r="O172" s="3" t="s">
        <v>147</v>
      </c>
      <c r="P172" s="42">
        <v>42753</v>
      </c>
      <c r="Q172" s="34" t="s">
        <v>4380</v>
      </c>
      <c r="R172" s="34">
        <f>IFERROR(INDEX(QUALIDADE,MATCH(tblVIRARAM_PESQUISA[[#This Row],[CASE ID]],PROTOCOLO_PESQUISAS,0),MATCH(tblVIRARAM_PESQUISA[[#Headers],[Q2 - Problem Resolved]],QUALIDADE_CAB,0)), "-")</f>
        <v>1</v>
      </c>
      <c r="S172" s="34">
        <f>IFERROR(INDEX(QUALIDADE,MATCH(tblVIRARAM_PESQUISA[[#This Row],[CASE ID]],PROTOCOLO_PESQUISAS,0),MATCH(tblVIRARAM_PESQUISA[[#Headers],[Q3 - First Time Fix]],QUALIDADE_CAB,0)), "-")</f>
        <v>1</v>
      </c>
      <c r="T172" s="34">
        <f>IFERROR(INDEX(QUALIDADE,MATCH(tblVIRARAM_PESQUISA[[#This Row],[CASE ID]],PROTOCOLO_PESQUISAS,0),MATCH(tblVIRARAM_PESQUISA[[#Headers],[Promoters]],QUALIDADE_CAB,0)), "-")</f>
        <v>1</v>
      </c>
      <c r="U172" s="34">
        <f>IFERROR(INDEX(QUALIDADE,MATCH(tblVIRARAM_PESQUISA[[#This Row],[CASE ID]],PROTOCOLO_PESQUISAS,0),MATCH(tblVIRARAM_PESQUISA[[#Headers],[Detractors]],QUALIDADE_CAB,0)), "-")</f>
        <v>0</v>
      </c>
    </row>
    <row r="173" spans="1:21">
      <c r="A173" s="3">
        <v>3035556491</v>
      </c>
      <c r="B173" s="3" t="s">
        <v>500</v>
      </c>
      <c r="C173" s="90">
        <v>42744.737756446761</v>
      </c>
      <c r="D173" s="42">
        <v>42746.737756446761</v>
      </c>
      <c r="E173" s="3" t="s">
        <v>29</v>
      </c>
      <c r="F173" s="3" t="s">
        <v>2693</v>
      </c>
      <c r="G173" s="3" t="s">
        <v>302</v>
      </c>
      <c r="H173" s="3" t="s">
        <v>23</v>
      </c>
      <c r="I173" s="3" t="s">
        <v>815</v>
      </c>
      <c r="J173" s="3" t="s">
        <v>303</v>
      </c>
      <c r="K173" s="3" t="s">
        <v>4025</v>
      </c>
      <c r="L173" s="44">
        <v>42752</v>
      </c>
      <c r="M173" s="3" t="s">
        <v>59</v>
      </c>
      <c r="N173" s="3" t="s">
        <v>60</v>
      </c>
      <c r="O173" s="3" t="s">
        <v>182</v>
      </c>
      <c r="P173" s="42">
        <v>42753</v>
      </c>
      <c r="Q173" s="34" t="s">
        <v>4380</v>
      </c>
      <c r="R173" s="34">
        <f>IFERROR(INDEX(QUALIDADE,MATCH(tblVIRARAM_PESQUISA[[#This Row],[CASE ID]],PROTOCOLO_PESQUISAS,0),MATCH(tblVIRARAM_PESQUISA[[#Headers],[Q2 - Problem Resolved]],QUALIDADE_CAB,0)), "-")</f>
        <v>1</v>
      </c>
      <c r="S173" s="34">
        <f>IFERROR(INDEX(QUALIDADE,MATCH(tblVIRARAM_PESQUISA[[#This Row],[CASE ID]],PROTOCOLO_PESQUISAS,0),MATCH(tblVIRARAM_PESQUISA[[#Headers],[Q3 - First Time Fix]],QUALIDADE_CAB,0)), "-")</f>
        <v>2</v>
      </c>
      <c r="T173" s="34">
        <f>IFERROR(INDEX(QUALIDADE,MATCH(tblVIRARAM_PESQUISA[[#This Row],[CASE ID]],PROTOCOLO_PESQUISAS,0),MATCH(tblVIRARAM_PESQUISA[[#Headers],[Promoters]],QUALIDADE_CAB,0)), "-")</f>
        <v>1</v>
      </c>
      <c r="U173" s="34">
        <f>IFERROR(INDEX(QUALIDADE,MATCH(tblVIRARAM_PESQUISA[[#This Row],[CASE ID]],PROTOCOLO_PESQUISAS,0),MATCH(tblVIRARAM_PESQUISA[[#Headers],[Detractors]],QUALIDADE_CAB,0)), "-")</f>
        <v>0</v>
      </c>
    </row>
    <row r="174" spans="1:21">
      <c r="A174" s="3">
        <v>3035811754</v>
      </c>
      <c r="B174" s="3" t="s">
        <v>500</v>
      </c>
      <c r="C174" s="90">
        <v>42751</v>
      </c>
      <c r="D174" s="42">
        <v>42753.738214849538</v>
      </c>
      <c r="E174" s="3" t="s">
        <v>28</v>
      </c>
      <c r="F174" s="3" t="s">
        <v>28</v>
      </c>
      <c r="G174" s="3" t="s">
        <v>301</v>
      </c>
      <c r="H174" s="3" t="s">
        <v>9</v>
      </c>
      <c r="I174" s="3" t="s">
        <v>817</v>
      </c>
      <c r="J174" s="3" t="s">
        <v>304</v>
      </c>
      <c r="K174" s="3" t="s">
        <v>307</v>
      </c>
      <c r="L174" s="44">
        <v>42754</v>
      </c>
      <c r="M174" s="3" t="s">
        <v>59</v>
      </c>
      <c r="N174" s="3" t="s">
        <v>60</v>
      </c>
      <c r="O174" s="3" t="s">
        <v>147</v>
      </c>
      <c r="P174" s="42">
        <v>42754</v>
      </c>
      <c r="Q174" s="34" t="s">
        <v>4626</v>
      </c>
      <c r="R174" s="34">
        <f>IFERROR(INDEX(QUALIDADE,MATCH(tblVIRARAM_PESQUISA[[#This Row],[CASE ID]],PROTOCOLO_PESQUISAS,0),MATCH(tblVIRARAM_PESQUISA[[#Headers],[Q2 - Problem Resolved]],QUALIDADE_CAB,0)), "-")</f>
        <v>1</v>
      </c>
      <c r="S174" s="34">
        <f>IFERROR(INDEX(QUALIDADE,MATCH(tblVIRARAM_PESQUISA[[#This Row],[CASE ID]],PROTOCOLO_PESQUISAS,0),MATCH(tblVIRARAM_PESQUISA[[#Headers],[Q3 - First Time Fix]],QUALIDADE_CAB,0)), "-")</f>
        <v>1</v>
      </c>
      <c r="T174" s="34">
        <f>IFERROR(INDEX(QUALIDADE,MATCH(tblVIRARAM_PESQUISA[[#This Row],[CASE ID]],PROTOCOLO_PESQUISAS,0),MATCH(tblVIRARAM_PESQUISA[[#Headers],[Promoters]],QUALIDADE_CAB,0)), "-")</f>
        <v>1</v>
      </c>
      <c r="U174" s="34">
        <f>IFERROR(INDEX(QUALIDADE,MATCH(tblVIRARAM_PESQUISA[[#This Row],[CASE ID]],PROTOCOLO_PESQUISAS,0),MATCH(tblVIRARAM_PESQUISA[[#Headers],[Detractors]],QUALIDADE_CAB,0)), "-")</f>
        <v>0</v>
      </c>
    </row>
    <row r="175" spans="1:21">
      <c r="A175" s="3">
        <v>3035830700</v>
      </c>
      <c r="B175" s="3" t="s">
        <v>500</v>
      </c>
      <c r="C175" s="90">
        <v>42751</v>
      </c>
      <c r="D175" s="42">
        <v>42753.738214849538</v>
      </c>
      <c r="E175" s="3" t="s">
        <v>4381</v>
      </c>
      <c r="F175" s="3" t="s">
        <v>4381</v>
      </c>
      <c r="G175" s="3" t="s">
        <v>301</v>
      </c>
      <c r="H175" s="3" t="s">
        <v>23</v>
      </c>
      <c r="I175" s="3" t="s">
        <v>325</v>
      </c>
      <c r="J175" s="3" t="s">
        <v>303</v>
      </c>
      <c r="K175" s="3" t="s">
        <v>3999</v>
      </c>
      <c r="L175" s="44">
        <v>42754</v>
      </c>
      <c r="M175" s="3" t="s">
        <v>59</v>
      </c>
      <c r="N175" s="3" t="s">
        <v>60</v>
      </c>
      <c r="O175" s="3" t="s">
        <v>147</v>
      </c>
      <c r="P175" s="42">
        <v>42754</v>
      </c>
      <c r="Q175" s="34" t="s">
        <v>4626</v>
      </c>
      <c r="R175" s="34">
        <f>IFERROR(INDEX(QUALIDADE,MATCH(tblVIRARAM_PESQUISA[[#This Row],[CASE ID]],PROTOCOLO_PESQUISAS,0),MATCH(tblVIRARAM_PESQUISA[[#Headers],[Q2 - Problem Resolved]],QUALIDADE_CAB,0)), "-")</f>
        <v>1</v>
      </c>
      <c r="S175" s="34">
        <f>IFERROR(INDEX(QUALIDADE,MATCH(tblVIRARAM_PESQUISA[[#This Row],[CASE ID]],PROTOCOLO_PESQUISAS,0),MATCH(tblVIRARAM_PESQUISA[[#Headers],[Q3 - First Time Fix]],QUALIDADE_CAB,0)), "-")</f>
        <v>1</v>
      </c>
      <c r="T175" s="34">
        <f>IFERROR(INDEX(QUALIDADE,MATCH(tblVIRARAM_PESQUISA[[#This Row],[CASE ID]],PROTOCOLO_PESQUISAS,0),MATCH(tblVIRARAM_PESQUISA[[#Headers],[Promoters]],QUALIDADE_CAB,0)), "-")</f>
        <v>1</v>
      </c>
      <c r="U175" s="34">
        <f>IFERROR(INDEX(QUALIDADE,MATCH(tblVIRARAM_PESQUISA[[#This Row],[CASE ID]],PROTOCOLO_PESQUISAS,0),MATCH(tblVIRARAM_PESQUISA[[#Headers],[Detractors]],QUALIDADE_CAB,0)), "-")</f>
        <v>0</v>
      </c>
    </row>
    <row r="176" spans="1:21">
      <c r="A176" s="3">
        <v>3035819976</v>
      </c>
      <c r="B176" s="3" t="s">
        <v>500</v>
      </c>
      <c r="C176" s="90">
        <v>42751</v>
      </c>
      <c r="D176" s="42">
        <v>42753.738214849538</v>
      </c>
      <c r="E176" s="3" t="s">
        <v>593</v>
      </c>
      <c r="F176" s="3" t="s">
        <v>593</v>
      </c>
      <c r="G176" s="3" t="s">
        <v>301</v>
      </c>
      <c r="H176" s="3" t="s">
        <v>273</v>
      </c>
      <c r="I176" s="3" t="s">
        <v>325</v>
      </c>
      <c r="J176" s="3" t="s">
        <v>303</v>
      </c>
      <c r="K176" s="3" t="s">
        <v>3999</v>
      </c>
      <c r="L176" s="44"/>
      <c r="M176" s="3" t="s">
        <v>70</v>
      </c>
      <c r="N176" s="3" t="s">
        <v>71</v>
      </c>
      <c r="O176" s="3" t="s">
        <v>4016</v>
      </c>
      <c r="P176" s="42">
        <v>42754</v>
      </c>
      <c r="Q176" s="34" t="s">
        <v>4626</v>
      </c>
      <c r="R176" s="34">
        <f>IFERROR(INDEX(QUALIDADE,MATCH(tblVIRARAM_PESQUISA[[#This Row],[CASE ID]],PROTOCOLO_PESQUISAS,0),MATCH(tblVIRARAM_PESQUISA[[#Headers],[Q2 - Problem Resolved]],QUALIDADE_CAB,0)), "-")</f>
        <v>1</v>
      </c>
      <c r="S176" s="34">
        <f>IFERROR(INDEX(QUALIDADE,MATCH(tblVIRARAM_PESQUISA[[#This Row],[CASE ID]],PROTOCOLO_PESQUISAS,0),MATCH(tblVIRARAM_PESQUISA[[#Headers],[Q3 - First Time Fix]],QUALIDADE_CAB,0)), "-")</f>
        <v>1</v>
      </c>
      <c r="T176" s="34">
        <f>IFERROR(INDEX(QUALIDADE,MATCH(tblVIRARAM_PESQUISA[[#This Row],[CASE ID]],PROTOCOLO_PESQUISAS,0),MATCH(tblVIRARAM_PESQUISA[[#Headers],[Promoters]],QUALIDADE_CAB,0)), "-")</f>
        <v>1</v>
      </c>
      <c r="U176" s="34">
        <f>IFERROR(INDEX(QUALIDADE,MATCH(tblVIRARAM_PESQUISA[[#This Row],[CASE ID]],PROTOCOLO_PESQUISAS,0),MATCH(tblVIRARAM_PESQUISA[[#Headers],[Detractors]],QUALIDADE_CAB,0)), "-")</f>
        <v>0</v>
      </c>
    </row>
    <row r="177" spans="1:21">
      <c r="A177" s="3">
        <v>3035819774</v>
      </c>
      <c r="B177" s="3" t="s">
        <v>500</v>
      </c>
      <c r="C177" s="90">
        <v>42751</v>
      </c>
      <c r="D177" s="42">
        <v>42753.738214849538</v>
      </c>
      <c r="E177" s="3" t="s">
        <v>34</v>
      </c>
      <c r="F177" s="3" t="s">
        <v>34</v>
      </c>
      <c r="G177" s="3" t="s">
        <v>301</v>
      </c>
      <c r="H177" s="3" t="s">
        <v>31</v>
      </c>
      <c r="I177" s="3" t="s">
        <v>817</v>
      </c>
      <c r="J177" s="3" t="s">
        <v>304</v>
      </c>
      <c r="K177" s="3" t="s">
        <v>306</v>
      </c>
      <c r="L177" s="44">
        <v>42754</v>
      </c>
      <c r="M177" s="3" t="s">
        <v>59</v>
      </c>
      <c r="N177" s="3" t="s">
        <v>60</v>
      </c>
      <c r="O177" s="3" t="s">
        <v>147</v>
      </c>
      <c r="P177" s="42">
        <v>42754</v>
      </c>
      <c r="Q177" s="34" t="s">
        <v>4626</v>
      </c>
      <c r="R177" s="34">
        <f>IFERROR(INDEX(QUALIDADE,MATCH(tblVIRARAM_PESQUISA[[#This Row],[CASE ID]],PROTOCOLO_PESQUISAS,0),MATCH(tblVIRARAM_PESQUISA[[#Headers],[Q2 - Problem Resolved]],QUALIDADE_CAB,0)), "-")</f>
        <v>1</v>
      </c>
      <c r="S177" s="34">
        <f>IFERROR(INDEX(QUALIDADE,MATCH(tblVIRARAM_PESQUISA[[#This Row],[CASE ID]],PROTOCOLO_PESQUISAS,0),MATCH(tblVIRARAM_PESQUISA[[#Headers],[Q3 - First Time Fix]],QUALIDADE_CAB,0)), "-")</f>
        <v>1</v>
      </c>
      <c r="T177" s="34">
        <f>IFERROR(INDEX(QUALIDADE,MATCH(tblVIRARAM_PESQUISA[[#This Row],[CASE ID]],PROTOCOLO_PESQUISAS,0),MATCH(tblVIRARAM_PESQUISA[[#Headers],[Promoters]],QUALIDADE_CAB,0)), "-")</f>
        <v>1</v>
      </c>
      <c r="U177" s="34">
        <f>IFERROR(INDEX(QUALIDADE,MATCH(tblVIRARAM_PESQUISA[[#This Row],[CASE ID]],PROTOCOLO_PESQUISAS,0),MATCH(tblVIRARAM_PESQUISA[[#Headers],[Detractors]],QUALIDADE_CAB,0)), "-")</f>
        <v>0</v>
      </c>
    </row>
    <row r="178" spans="1:21">
      <c r="A178" s="3">
        <v>3035760734</v>
      </c>
      <c r="B178" s="3" t="s">
        <v>500</v>
      </c>
      <c r="C178" s="90">
        <v>42751</v>
      </c>
      <c r="D178" s="42">
        <v>42753.738214849538</v>
      </c>
      <c r="E178" s="3" t="s">
        <v>281</v>
      </c>
      <c r="F178" s="3" t="s">
        <v>281</v>
      </c>
      <c r="G178" s="3" t="s">
        <v>301</v>
      </c>
      <c r="H178" s="3" t="s">
        <v>51</v>
      </c>
      <c r="I178" s="3" t="s">
        <v>817</v>
      </c>
      <c r="J178" s="3" t="s">
        <v>304</v>
      </c>
      <c r="K178" s="3" t="s">
        <v>2467</v>
      </c>
      <c r="L178" s="44">
        <v>42754</v>
      </c>
      <c r="M178" s="3" t="s">
        <v>59</v>
      </c>
      <c r="N178" s="3" t="s">
        <v>60</v>
      </c>
      <c r="O178" s="3" t="s">
        <v>147</v>
      </c>
      <c r="P178" s="42">
        <v>42754</v>
      </c>
      <c r="Q178" s="34" t="s">
        <v>4626</v>
      </c>
      <c r="R178" s="34">
        <f>IFERROR(INDEX(QUALIDADE,MATCH(tblVIRARAM_PESQUISA[[#This Row],[CASE ID]],PROTOCOLO_PESQUISAS,0),MATCH(tblVIRARAM_PESQUISA[[#Headers],[Q2 - Problem Resolved]],QUALIDADE_CAB,0)), "-")</f>
        <v>1</v>
      </c>
      <c r="S178" s="34">
        <f>IFERROR(INDEX(QUALIDADE,MATCH(tblVIRARAM_PESQUISA[[#This Row],[CASE ID]],PROTOCOLO_PESQUISAS,0),MATCH(tblVIRARAM_PESQUISA[[#Headers],[Q3 - First Time Fix]],QUALIDADE_CAB,0)), "-")</f>
        <v>2</v>
      </c>
      <c r="T178" s="34">
        <f>IFERROR(INDEX(QUALIDADE,MATCH(tblVIRARAM_PESQUISA[[#This Row],[CASE ID]],PROTOCOLO_PESQUISAS,0),MATCH(tblVIRARAM_PESQUISA[[#Headers],[Promoters]],QUALIDADE_CAB,0)), "-")</f>
        <v>1</v>
      </c>
      <c r="U178" s="34">
        <f>IFERROR(INDEX(QUALIDADE,MATCH(tblVIRARAM_PESQUISA[[#This Row],[CASE ID]],PROTOCOLO_PESQUISAS,0),MATCH(tblVIRARAM_PESQUISA[[#Headers],[Detractors]],QUALIDADE_CAB,0)), "-")</f>
        <v>0</v>
      </c>
    </row>
    <row r="179" spans="1:21">
      <c r="A179" s="3">
        <v>3035812205</v>
      </c>
      <c r="B179" s="3" t="s">
        <v>500</v>
      </c>
      <c r="C179" s="90">
        <v>42751</v>
      </c>
      <c r="D179" s="42">
        <v>42753.738214849538</v>
      </c>
      <c r="E179" s="3" t="s">
        <v>30</v>
      </c>
      <c r="F179" s="3" t="s">
        <v>30</v>
      </c>
      <c r="G179" s="3" t="s">
        <v>301</v>
      </c>
      <c r="H179" s="3" t="s">
        <v>23</v>
      </c>
      <c r="I179" s="3" t="s">
        <v>817</v>
      </c>
      <c r="J179" s="3" t="s">
        <v>304</v>
      </c>
      <c r="K179" s="3" t="s">
        <v>306</v>
      </c>
      <c r="L179" s="44">
        <v>42754</v>
      </c>
      <c r="M179" s="3" t="s">
        <v>59</v>
      </c>
      <c r="N179" s="3" t="s">
        <v>60</v>
      </c>
      <c r="O179" s="3" t="s">
        <v>147</v>
      </c>
      <c r="P179" s="42">
        <v>42754</v>
      </c>
      <c r="Q179" s="34" t="s">
        <v>4626</v>
      </c>
      <c r="R179" s="34">
        <f>IFERROR(INDEX(QUALIDADE,MATCH(tblVIRARAM_PESQUISA[[#This Row],[CASE ID]],PROTOCOLO_PESQUISAS,0),MATCH(tblVIRARAM_PESQUISA[[#Headers],[Q2 - Problem Resolved]],QUALIDADE_CAB,0)), "-")</f>
        <v>1</v>
      </c>
      <c r="S179" s="34">
        <f>IFERROR(INDEX(QUALIDADE,MATCH(tblVIRARAM_PESQUISA[[#This Row],[CASE ID]],PROTOCOLO_PESQUISAS,0),MATCH(tblVIRARAM_PESQUISA[[#Headers],[Q3 - First Time Fix]],QUALIDADE_CAB,0)), "-")</f>
        <v>1</v>
      </c>
      <c r="T179" s="34">
        <f>IFERROR(INDEX(QUALIDADE,MATCH(tblVIRARAM_PESQUISA[[#This Row],[CASE ID]],PROTOCOLO_PESQUISAS,0),MATCH(tblVIRARAM_PESQUISA[[#Headers],[Promoters]],QUALIDADE_CAB,0)), "-")</f>
        <v>1</v>
      </c>
      <c r="U179" s="34">
        <f>IFERROR(INDEX(QUALIDADE,MATCH(tblVIRARAM_PESQUISA[[#This Row],[CASE ID]],PROTOCOLO_PESQUISAS,0),MATCH(tblVIRARAM_PESQUISA[[#Headers],[Detractors]],QUALIDADE_CAB,0)), "-")</f>
        <v>0</v>
      </c>
    </row>
    <row r="180" spans="1:21">
      <c r="A180" s="3">
        <v>3035807686</v>
      </c>
      <c r="B180" s="3" t="s">
        <v>500</v>
      </c>
      <c r="C180" s="90">
        <v>42751</v>
      </c>
      <c r="D180" s="42">
        <v>42753.738214849538</v>
      </c>
      <c r="E180" s="3" t="s">
        <v>14</v>
      </c>
      <c r="F180" s="3" t="s">
        <v>14</v>
      </c>
      <c r="G180" s="3" t="s">
        <v>301</v>
      </c>
      <c r="H180" s="3" t="s">
        <v>9</v>
      </c>
      <c r="I180" s="3" t="s">
        <v>817</v>
      </c>
      <c r="J180" s="3" t="s">
        <v>304</v>
      </c>
      <c r="K180" s="3" t="s">
        <v>3669</v>
      </c>
      <c r="L180" s="44">
        <v>42754</v>
      </c>
      <c r="M180" s="3" t="s">
        <v>59</v>
      </c>
      <c r="N180" s="3" t="s">
        <v>60</v>
      </c>
      <c r="O180" s="3" t="s">
        <v>147</v>
      </c>
      <c r="P180" s="42">
        <v>42754</v>
      </c>
      <c r="Q180" s="34" t="s">
        <v>4626</v>
      </c>
      <c r="R180" s="34">
        <f>IFERROR(INDEX(QUALIDADE,MATCH(tblVIRARAM_PESQUISA[[#This Row],[CASE ID]],PROTOCOLO_PESQUISAS,0),MATCH(tblVIRARAM_PESQUISA[[#Headers],[Q2 - Problem Resolved]],QUALIDADE_CAB,0)), "-")</f>
        <v>1</v>
      </c>
      <c r="S180" s="34">
        <f>IFERROR(INDEX(QUALIDADE,MATCH(tblVIRARAM_PESQUISA[[#This Row],[CASE ID]],PROTOCOLO_PESQUISAS,0),MATCH(tblVIRARAM_PESQUISA[[#Headers],[Q3 - First Time Fix]],QUALIDADE_CAB,0)), "-")</f>
        <v>1</v>
      </c>
      <c r="T180" s="34">
        <f>IFERROR(INDEX(QUALIDADE,MATCH(tblVIRARAM_PESQUISA[[#This Row],[CASE ID]],PROTOCOLO_PESQUISAS,0),MATCH(tblVIRARAM_PESQUISA[[#Headers],[Promoters]],QUALIDADE_CAB,0)), "-")</f>
        <v>0</v>
      </c>
      <c r="U180" s="34">
        <f>IFERROR(INDEX(QUALIDADE,MATCH(tblVIRARAM_PESQUISA[[#This Row],[CASE ID]],PROTOCOLO_PESQUISAS,0),MATCH(tblVIRARAM_PESQUISA[[#Headers],[Detractors]],QUALIDADE_CAB,0)), "-")</f>
        <v>1</v>
      </c>
    </row>
    <row r="181" spans="1:21">
      <c r="A181" s="3">
        <v>3035810541</v>
      </c>
      <c r="B181" s="3" t="s">
        <v>500</v>
      </c>
      <c r="C181" s="90">
        <v>42751</v>
      </c>
      <c r="D181" s="42">
        <v>42753.738214849538</v>
      </c>
      <c r="E181" s="3" t="s">
        <v>1110</v>
      </c>
      <c r="F181" s="3" t="s">
        <v>1110</v>
      </c>
      <c r="G181" s="3" t="s">
        <v>301</v>
      </c>
      <c r="H181" s="3" t="s">
        <v>31</v>
      </c>
      <c r="I181" s="3" t="s">
        <v>817</v>
      </c>
      <c r="J181" s="3" t="s">
        <v>304</v>
      </c>
      <c r="K181" s="3" t="s">
        <v>306</v>
      </c>
      <c r="L181" s="44">
        <v>42754</v>
      </c>
      <c r="M181" s="3" t="s">
        <v>59</v>
      </c>
      <c r="N181" s="3" t="s">
        <v>60</v>
      </c>
      <c r="O181" s="3" t="s">
        <v>147</v>
      </c>
      <c r="P181" s="42">
        <v>42754</v>
      </c>
      <c r="Q181" s="34" t="s">
        <v>4626</v>
      </c>
      <c r="R181" s="34">
        <f>IFERROR(INDEX(QUALIDADE,MATCH(tblVIRARAM_PESQUISA[[#This Row],[CASE ID]],PROTOCOLO_PESQUISAS,0),MATCH(tblVIRARAM_PESQUISA[[#Headers],[Q2 - Problem Resolved]],QUALIDADE_CAB,0)), "-")</f>
        <v>1</v>
      </c>
      <c r="S181" s="34">
        <f>IFERROR(INDEX(QUALIDADE,MATCH(tblVIRARAM_PESQUISA[[#This Row],[CASE ID]],PROTOCOLO_PESQUISAS,0),MATCH(tblVIRARAM_PESQUISA[[#Headers],[Q3 - First Time Fix]],QUALIDADE_CAB,0)), "-")</f>
        <v>1</v>
      </c>
      <c r="T181" s="34">
        <f>IFERROR(INDEX(QUALIDADE,MATCH(tblVIRARAM_PESQUISA[[#This Row],[CASE ID]],PROTOCOLO_PESQUISAS,0),MATCH(tblVIRARAM_PESQUISA[[#Headers],[Promoters]],QUALIDADE_CAB,0)), "-")</f>
        <v>1</v>
      </c>
      <c r="U181" s="34">
        <f>IFERROR(INDEX(QUALIDADE,MATCH(tblVIRARAM_PESQUISA[[#This Row],[CASE ID]],PROTOCOLO_PESQUISAS,0),MATCH(tblVIRARAM_PESQUISA[[#Headers],[Detractors]],QUALIDADE_CAB,0)), "-")</f>
        <v>0</v>
      </c>
    </row>
    <row r="182" spans="1:21">
      <c r="A182" s="3">
        <v>3035747577</v>
      </c>
      <c r="B182" s="3" t="s">
        <v>500</v>
      </c>
      <c r="C182" s="90">
        <v>42748.735881944442</v>
      </c>
      <c r="D182" s="42">
        <v>42750.735881944442</v>
      </c>
      <c r="E182" s="3" t="s">
        <v>32</v>
      </c>
      <c r="F182" s="3" t="s">
        <v>32</v>
      </c>
      <c r="G182" s="3" t="s">
        <v>301</v>
      </c>
      <c r="H182" s="3" t="s">
        <v>31</v>
      </c>
      <c r="I182" s="3" t="s">
        <v>817</v>
      </c>
      <c r="J182" s="3" t="s">
        <v>304</v>
      </c>
      <c r="K182" s="3" t="s">
        <v>307</v>
      </c>
      <c r="L182" s="44">
        <v>42751</v>
      </c>
      <c r="M182" s="3" t="s">
        <v>59</v>
      </c>
      <c r="N182" s="3" t="s">
        <v>60</v>
      </c>
      <c r="O182" s="3" t="s">
        <v>147</v>
      </c>
      <c r="P182" s="42">
        <v>42754</v>
      </c>
      <c r="Q182" s="34" t="s">
        <v>4626</v>
      </c>
      <c r="R182" s="34">
        <f>IFERROR(INDEX(QUALIDADE,MATCH(tblVIRARAM_PESQUISA[[#This Row],[CASE ID]],PROTOCOLO_PESQUISAS,0),MATCH(tblVIRARAM_PESQUISA[[#Headers],[Q2 - Problem Resolved]],QUALIDADE_CAB,0)), "-")</f>
        <v>1</v>
      </c>
      <c r="S182" s="34">
        <f>IFERROR(INDEX(QUALIDADE,MATCH(tblVIRARAM_PESQUISA[[#This Row],[CASE ID]],PROTOCOLO_PESQUISAS,0),MATCH(tblVIRARAM_PESQUISA[[#Headers],[Q3 - First Time Fix]],QUALIDADE_CAB,0)), "-")</f>
        <v>1</v>
      </c>
      <c r="T182" s="34">
        <f>IFERROR(INDEX(QUALIDADE,MATCH(tblVIRARAM_PESQUISA[[#This Row],[CASE ID]],PROTOCOLO_PESQUISAS,0),MATCH(tblVIRARAM_PESQUISA[[#Headers],[Promoters]],QUALIDADE_CAB,0)), "-")</f>
        <v>1</v>
      </c>
      <c r="U182" s="34">
        <f>IFERROR(INDEX(QUALIDADE,MATCH(tblVIRARAM_PESQUISA[[#This Row],[CASE ID]],PROTOCOLO_PESQUISAS,0),MATCH(tblVIRARAM_PESQUISA[[#Headers],[Detractors]],QUALIDADE_CAB,0)), "-")</f>
        <v>0</v>
      </c>
    </row>
    <row r="183" spans="1:21">
      <c r="A183" s="3">
        <v>3035680170</v>
      </c>
      <c r="B183" s="3" t="s">
        <v>500</v>
      </c>
      <c r="C183" s="90">
        <v>42748.735881944442</v>
      </c>
      <c r="D183" s="42">
        <v>42750.735881944442</v>
      </c>
      <c r="E183" s="3" t="s">
        <v>13</v>
      </c>
      <c r="F183" s="3" t="s">
        <v>19</v>
      </c>
      <c r="G183" s="3" t="s">
        <v>302</v>
      </c>
      <c r="H183" s="3" t="s">
        <v>9</v>
      </c>
      <c r="I183" s="3" t="s">
        <v>817</v>
      </c>
      <c r="J183" s="3" t="s">
        <v>303</v>
      </c>
      <c r="K183" s="3" t="s">
        <v>305</v>
      </c>
      <c r="L183" s="44">
        <v>42752</v>
      </c>
      <c r="M183" s="3" t="s">
        <v>59</v>
      </c>
      <c r="N183" s="3" t="s">
        <v>60</v>
      </c>
      <c r="O183" s="3" t="s">
        <v>147</v>
      </c>
      <c r="P183" s="42">
        <v>42754</v>
      </c>
      <c r="Q183" s="34" t="s">
        <v>4626</v>
      </c>
      <c r="R183" s="34">
        <f>IFERROR(INDEX(QUALIDADE,MATCH(tblVIRARAM_PESQUISA[[#This Row],[CASE ID]],PROTOCOLO_PESQUISAS,0),MATCH(tblVIRARAM_PESQUISA[[#Headers],[Q2 - Problem Resolved]],QUALIDADE_CAB,0)), "-")</f>
        <v>1</v>
      </c>
      <c r="S183" s="34">
        <f>IFERROR(INDEX(QUALIDADE,MATCH(tblVIRARAM_PESQUISA[[#This Row],[CASE ID]],PROTOCOLO_PESQUISAS,0),MATCH(tblVIRARAM_PESQUISA[[#Headers],[Q3 - First Time Fix]],QUALIDADE_CAB,0)), "-")</f>
        <v>1</v>
      </c>
      <c r="T183" s="34">
        <f>IFERROR(INDEX(QUALIDADE,MATCH(tblVIRARAM_PESQUISA[[#This Row],[CASE ID]],PROTOCOLO_PESQUISAS,0),MATCH(tblVIRARAM_PESQUISA[[#Headers],[Promoters]],QUALIDADE_CAB,0)), "-")</f>
        <v>1</v>
      </c>
      <c r="U183" s="34">
        <f>IFERROR(INDEX(QUALIDADE,MATCH(tblVIRARAM_PESQUISA[[#This Row],[CASE ID]],PROTOCOLO_PESQUISAS,0),MATCH(tblVIRARAM_PESQUISA[[#Headers],[Detractors]],QUALIDADE_CAB,0)), "-")</f>
        <v>0</v>
      </c>
    </row>
    <row r="184" spans="1:21">
      <c r="A184" s="3">
        <v>3035544764</v>
      </c>
      <c r="B184" s="3" t="s">
        <v>500</v>
      </c>
      <c r="C184" s="90">
        <v>42748.735881944442</v>
      </c>
      <c r="D184" s="42">
        <v>42750.735881944442</v>
      </c>
      <c r="E184" s="3" t="s">
        <v>28</v>
      </c>
      <c r="F184" s="3" t="s">
        <v>28</v>
      </c>
      <c r="G184" s="3" t="s">
        <v>301</v>
      </c>
      <c r="H184" s="3" t="s">
        <v>9</v>
      </c>
      <c r="I184" s="3" t="s">
        <v>325</v>
      </c>
      <c r="J184" s="3" t="s">
        <v>303</v>
      </c>
      <c r="K184" s="3" t="s">
        <v>3999</v>
      </c>
      <c r="L184" s="44"/>
      <c r="M184" s="3" t="s">
        <v>70</v>
      </c>
      <c r="N184" s="3" t="s">
        <v>71</v>
      </c>
      <c r="O184" s="3" t="s">
        <v>3647</v>
      </c>
      <c r="P184" s="42">
        <v>42754</v>
      </c>
      <c r="Q184" s="34" t="s">
        <v>4626</v>
      </c>
      <c r="R184" s="34">
        <f>IFERROR(INDEX(QUALIDADE,MATCH(tblVIRARAM_PESQUISA[[#This Row],[CASE ID]],PROTOCOLO_PESQUISAS,0),MATCH(tblVIRARAM_PESQUISA[[#Headers],[Q2 - Problem Resolved]],QUALIDADE_CAB,0)), "-")</f>
        <v>2</v>
      </c>
      <c r="S184" s="34">
        <f>IFERROR(INDEX(QUALIDADE,MATCH(tblVIRARAM_PESQUISA[[#This Row],[CASE ID]],PROTOCOLO_PESQUISAS,0),MATCH(tblVIRARAM_PESQUISA[[#Headers],[Q3 - First Time Fix]],QUALIDADE_CAB,0)), "-")</f>
        <v>2</v>
      </c>
      <c r="T184" s="34">
        <f>IFERROR(INDEX(QUALIDADE,MATCH(tblVIRARAM_PESQUISA[[#This Row],[CASE ID]],PROTOCOLO_PESQUISAS,0),MATCH(tblVIRARAM_PESQUISA[[#Headers],[Promoters]],QUALIDADE_CAB,0)), "-")</f>
        <v>0</v>
      </c>
      <c r="U184" s="34">
        <f>IFERROR(INDEX(QUALIDADE,MATCH(tblVIRARAM_PESQUISA[[#This Row],[CASE ID]],PROTOCOLO_PESQUISAS,0),MATCH(tblVIRARAM_PESQUISA[[#Headers],[Detractors]],QUALIDADE_CAB,0)), "-")</f>
        <v>1</v>
      </c>
    </row>
    <row r="185" spans="1:21">
      <c r="A185" s="3">
        <v>3035750965</v>
      </c>
      <c r="B185" s="3" t="s">
        <v>500</v>
      </c>
      <c r="C185" s="90">
        <v>42748.735881944442</v>
      </c>
      <c r="D185" s="42">
        <v>42750.735881944442</v>
      </c>
      <c r="E185" s="3" t="s">
        <v>49</v>
      </c>
      <c r="F185" s="3" t="s">
        <v>49</v>
      </c>
      <c r="G185" s="3" t="s">
        <v>301</v>
      </c>
      <c r="H185" s="3" t="s">
        <v>273</v>
      </c>
      <c r="I185" s="3" t="s">
        <v>817</v>
      </c>
      <c r="J185" s="3" t="s">
        <v>304</v>
      </c>
      <c r="K185" s="3" t="s">
        <v>307</v>
      </c>
      <c r="L185" s="44">
        <v>42751</v>
      </c>
      <c r="M185" s="3" t="s">
        <v>59</v>
      </c>
      <c r="N185" s="3" t="s">
        <v>60</v>
      </c>
      <c r="O185" s="3" t="s">
        <v>147</v>
      </c>
      <c r="P185" s="42">
        <v>42754</v>
      </c>
      <c r="Q185" s="34" t="s">
        <v>4626</v>
      </c>
      <c r="R185" s="34">
        <f>IFERROR(INDEX(QUALIDADE,MATCH(tblVIRARAM_PESQUISA[[#This Row],[CASE ID]],PROTOCOLO_PESQUISAS,0),MATCH(tblVIRARAM_PESQUISA[[#Headers],[Q2 - Problem Resolved]],QUALIDADE_CAB,0)), "-")</f>
        <v>1</v>
      </c>
      <c r="S185" s="34">
        <f>IFERROR(INDEX(QUALIDADE,MATCH(tblVIRARAM_PESQUISA[[#This Row],[CASE ID]],PROTOCOLO_PESQUISAS,0),MATCH(tblVIRARAM_PESQUISA[[#Headers],[Q3 - First Time Fix]],QUALIDADE_CAB,0)), "-")</f>
        <v>1</v>
      </c>
      <c r="T185" s="34">
        <f>IFERROR(INDEX(QUALIDADE,MATCH(tblVIRARAM_PESQUISA[[#This Row],[CASE ID]],PROTOCOLO_PESQUISAS,0),MATCH(tblVIRARAM_PESQUISA[[#Headers],[Promoters]],QUALIDADE_CAB,0)), "-")</f>
        <v>1</v>
      </c>
      <c r="U185" s="34">
        <f>IFERROR(INDEX(QUALIDADE,MATCH(tblVIRARAM_PESQUISA[[#This Row],[CASE ID]],PROTOCOLO_PESQUISAS,0),MATCH(tblVIRARAM_PESQUISA[[#Headers],[Detractors]],QUALIDADE_CAB,0)), "-")</f>
        <v>0</v>
      </c>
    </row>
    <row r="186" spans="1:21">
      <c r="A186" s="3">
        <v>3035748909</v>
      </c>
      <c r="B186" s="3" t="s">
        <v>500</v>
      </c>
      <c r="C186" s="90">
        <v>42748.735881944442</v>
      </c>
      <c r="D186" s="42">
        <v>42750.735881944442</v>
      </c>
      <c r="E186" s="3" t="s">
        <v>20</v>
      </c>
      <c r="F186" s="3" t="s">
        <v>20</v>
      </c>
      <c r="G186" s="3" t="s">
        <v>301</v>
      </c>
      <c r="H186" s="3" t="s">
        <v>9</v>
      </c>
      <c r="I186" s="3" t="s">
        <v>817</v>
      </c>
      <c r="J186" s="3" t="s">
        <v>303</v>
      </c>
      <c r="K186" s="3" t="s">
        <v>305</v>
      </c>
      <c r="L186" s="44">
        <v>42752</v>
      </c>
      <c r="M186" s="3" t="s">
        <v>59</v>
      </c>
      <c r="N186" s="3" t="s">
        <v>60</v>
      </c>
      <c r="O186" s="3" t="s">
        <v>147</v>
      </c>
      <c r="P186" s="42">
        <v>42754</v>
      </c>
      <c r="Q186" s="34" t="s">
        <v>4626</v>
      </c>
      <c r="R186" s="34">
        <f>IFERROR(INDEX(QUALIDADE,MATCH(tblVIRARAM_PESQUISA[[#This Row],[CASE ID]],PROTOCOLO_PESQUISAS,0),MATCH(tblVIRARAM_PESQUISA[[#Headers],[Q2 - Problem Resolved]],QUALIDADE_CAB,0)), "-")</f>
        <v>1</v>
      </c>
      <c r="S186" s="34">
        <f>IFERROR(INDEX(QUALIDADE,MATCH(tblVIRARAM_PESQUISA[[#This Row],[CASE ID]],PROTOCOLO_PESQUISAS,0),MATCH(tblVIRARAM_PESQUISA[[#Headers],[Q3 - First Time Fix]],QUALIDADE_CAB,0)), "-")</f>
        <v>1</v>
      </c>
      <c r="T186" s="34">
        <f>IFERROR(INDEX(QUALIDADE,MATCH(tblVIRARAM_PESQUISA[[#This Row],[CASE ID]],PROTOCOLO_PESQUISAS,0),MATCH(tblVIRARAM_PESQUISA[[#Headers],[Promoters]],QUALIDADE_CAB,0)), "-")</f>
        <v>0</v>
      </c>
      <c r="U186" s="34">
        <f>IFERROR(INDEX(QUALIDADE,MATCH(tblVIRARAM_PESQUISA[[#This Row],[CASE ID]],PROTOCOLO_PESQUISAS,0),MATCH(tblVIRARAM_PESQUISA[[#Headers],[Detractors]],QUALIDADE_CAB,0)), "-")</f>
        <v>0</v>
      </c>
    </row>
    <row r="187" spans="1:21">
      <c r="A187" s="3">
        <v>3035481247</v>
      </c>
      <c r="B187" s="3" t="s">
        <v>500</v>
      </c>
      <c r="C187" s="90">
        <v>42748.735881944442</v>
      </c>
      <c r="D187" s="42">
        <v>42750.735881944442</v>
      </c>
      <c r="E187" s="3" t="s">
        <v>591</v>
      </c>
      <c r="F187" s="3" t="s">
        <v>47</v>
      </c>
      <c r="G187" s="3" t="s">
        <v>302</v>
      </c>
      <c r="H187" s="3" t="s">
        <v>23</v>
      </c>
      <c r="I187" s="3" t="s">
        <v>817</v>
      </c>
      <c r="J187" s="3" t="s">
        <v>303</v>
      </c>
      <c r="K187" s="3" t="s">
        <v>305</v>
      </c>
      <c r="L187" s="44">
        <v>42752</v>
      </c>
      <c r="M187" s="3" t="s">
        <v>59</v>
      </c>
      <c r="N187" s="3" t="s">
        <v>60</v>
      </c>
      <c r="O187" s="3" t="s">
        <v>147</v>
      </c>
      <c r="P187" s="42">
        <v>42754</v>
      </c>
      <c r="Q187" s="34" t="s">
        <v>4626</v>
      </c>
      <c r="R187" s="34">
        <f>IFERROR(INDEX(QUALIDADE,MATCH(tblVIRARAM_PESQUISA[[#This Row],[CASE ID]],PROTOCOLO_PESQUISAS,0),MATCH(tblVIRARAM_PESQUISA[[#Headers],[Q2 - Problem Resolved]],QUALIDADE_CAB,0)), "-")</f>
        <v>2</v>
      </c>
      <c r="S187" s="34">
        <f>IFERROR(INDEX(QUALIDADE,MATCH(tblVIRARAM_PESQUISA[[#This Row],[CASE ID]],PROTOCOLO_PESQUISAS,0),MATCH(tblVIRARAM_PESQUISA[[#Headers],[Q3 - First Time Fix]],QUALIDADE_CAB,0)), "-")</f>
        <v>2</v>
      </c>
      <c r="T187" s="34">
        <f>IFERROR(INDEX(QUALIDADE,MATCH(tblVIRARAM_PESQUISA[[#This Row],[CASE ID]],PROTOCOLO_PESQUISAS,0),MATCH(tblVIRARAM_PESQUISA[[#Headers],[Promoters]],QUALIDADE_CAB,0)), "-")</f>
        <v>0</v>
      </c>
      <c r="U187" s="34">
        <f>IFERROR(INDEX(QUALIDADE,MATCH(tblVIRARAM_PESQUISA[[#This Row],[CASE ID]],PROTOCOLO_PESQUISAS,0),MATCH(tblVIRARAM_PESQUISA[[#Headers],[Detractors]],QUALIDADE_CAB,0)), "-")</f>
        <v>0</v>
      </c>
    </row>
    <row r="188" spans="1:21">
      <c r="A188" s="3">
        <v>3035748728</v>
      </c>
      <c r="B188" s="3" t="s">
        <v>500</v>
      </c>
      <c r="C188" s="90">
        <v>42748.735881944442</v>
      </c>
      <c r="D188" s="42">
        <v>42750.735881944442</v>
      </c>
      <c r="E188" s="3" t="s">
        <v>17</v>
      </c>
      <c r="F188" s="3" t="s">
        <v>17</v>
      </c>
      <c r="G188" s="3" t="s">
        <v>301</v>
      </c>
      <c r="H188" s="3" t="s">
        <v>9</v>
      </c>
      <c r="I188" s="3" t="s">
        <v>817</v>
      </c>
      <c r="J188" s="3" t="s">
        <v>304</v>
      </c>
      <c r="K188" s="3" t="s">
        <v>4004</v>
      </c>
      <c r="L188" s="44">
        <v>42752</v>
      </c>
      <c r="M188" s="3" t="s">
        <v>59</v>
      </c>
      <c r="N188" s="3" t="s">
        <v>60</v>
      </c>
      <c r="O188" s="3" t="s">
        <v>147</v>
      </c>
      <c r="P188" s="42">
        <v>42754</v>
      </c>
      <c r="Q188" s="34" t="s">
        <v>4626</v>
      </c>
      <c r="R188" s="34">
        <f>IFERROR(INDEX(QUALIDADE,MATCH(tblVIRARAM_PESQUISA[[#This Row],[CASE ID]],PROTOCOLO_PESQUISAS,0),MATCH(tblVIRARAM_PESQUISA[[#Headers],[Q2 - Problem Resolved]],QUALIDADE_CAB,0)), "-")</f>
        <v>1</v>
      </c>
      <c r="S188" s="34">
        <f>IFERROR(INDEX(QUALIDADE,MATCH(tblVIRARAM_PESQUISA[[#This Row],[CASE ID]],PROTOCOLO_PESQUISAS,0),MATCH(tblVIRARAM_PESQUISA[[#Headers],[Q3 - First Time Fix]],QUALIDADE_CAB,0)), "-")</f>
        <v>1</v>
      </c>
      <c r="T188" s="34">
        <f>IFERROR(INDEX(QUALIDADE,MATCH(tblVIRARAM_PESQUISA[[#This Row],[CASE ID]],PROTOCOLO_PESQUISAS,0),MATCH(tblVIRARAM_PESQUISA[[#Headers],[Promoters]],QUALIDADE_CAB,0)), "-")</f>
        <v>1</v>
      </c>
      <c r="U188" s="34">
        <f>IFERROR(INDEX(QUALIDADE,MATCH(tblVIRARAM_PESQUISA[[#This Row],[CASE ID]],PROTOCOLO_PESQUISAS,0),MATCH(tblVIRARAM_PESQUISA[[#Headers],[Detractors]],QUALIDADE_CAB,0)), "-")</f>
        <v>0</v>
      </c>
    </row>
    <row r="189" spans="1:21">
      <c r="A189" s="3">
        <v>3035722396</v>
      </c>
      <c r="B189" s="3" t="s">
        <v>500</v>
      </c>
      <c r="C189" s="90">
        <v>42747.737991238428</v>
      </c>
      <c r="D189" s="42">
        <v>42749.737991238428</v>
      </c>
      <c r="E189" s="3" t="s">
        <v>32</v>
      </c>
      <c r="F189" s="3" t="s">
        <v>32</v>
      </c>
      <c r="G189" s="3" t="s">
        <v>301</v>
      </c>
      <c r="H189" s="3" t="s">
        <v>31</v>
      </c>
      <c r="I189" s="3" t="s">
        <v>817</v>
      </c>
      <c r="J189" s="3" t="s">
        <v>304</v>
      </c>
      <c r="K189" s="3" t="s">
        <v>307</v>
      </c>
      <c r="L189" s="44">
        <v>42751</v>
      </c>
      <c r="M189" s="3" t="s">
        <v>59</v>
      </c>
      <c r="N189" s="3" t="s">
        <v>60</v>
      </c>
      <c r="O189" s="3" t="s">
        <v>147</v>
      </c>
      <c r="P189" s="42">
        <v>42754</v>
      </c>
      <c r="Q189" s="34" t="s">
        <v>4626</v>
      </c>
      <c r="R189" s="34">
        <f>IFERROR(INDEX(QUALIDADE,MATCH(tblVIRARAM_PESQUISA[[#This Row],[CASE ID]],PROTOCOLO_PESQUISAS,0),MATCH(tblVIRARAM_PESQUISA[[#Headers],[Q2 - Problem Resolved]],QUALIDADE_CAB,0)), "-")</f>
        <v>1</v>
      </c>
      <c r="S189" s="34">
        <f>IFERROR(INDEX(QUALIDADE,MATCH(tblVIRARAM_PESQUISA[[#This Row],[CASE ID]],PROTOCOLO_PESQUISAS,0),MATCH(tblVIRARAM_PESQUISA[[#Headers],[Q3 - First Time Fix]],QUALIDADE_CAB,0)), "-")</f>
        <v>1</v>
      </c>
      <c r="T189" s="34">
        <f>IFERROR(INDEX(QUALIDADE,MATCH(tblVIRARAM_PESQUISA[[#This Row],[CASE ID]],PROTOCOLO_PESQUISAS,0),MATCH(tblVIRARAM_PESQUISA[[#Headers],[Promoters]],QUALIDADE_CAB,0)), "-")</f>
        <v>0</v>
      </c>
      <c r="U189" s="34">
        <f>IFERROR(INDEX(QUALIDADE,MATCH(tblVIRARAM_PESQUISA[[#This Row],[CASE ID]],PROTOCOLO_PESQUISAS,0),MATCH(tblVIRARAM_PESQUISA[[#Headers],[Detractors]],QUALIDADE_CAB,0)), "-")</f>
        <v>0</v>
      </c>
    </row>
    <row r="190" spans="1:21">
      <c r="A190" s="3">
        <v>3035681702</v>
      </c>
      <c r="B190" s="3" t="s">
        <v>500</v>
      </c>
      <c r="C190" s="90">
        <v>42746.738471724537</v>
      </c>
      <c r="D190" s="42">
        <v>42748.738471724537</v>
      </c>
      <c r="E190" s="3" t="s">
        <v>846</v>
      </c>
      <c r="F190" s="3" t="s">
        <v>846</v>
      </c>
      <c r="G190" s="3" t="s">
        <v>301</v>
      </c>
      <c r="H190" s="3" t="s">
        <v>273</v>
      </c>
      <c r="I190" s="3" t="s">
        <v>817</v>
      </c>
      <c r="J190" s="3" t="s">
        <v>303</v>
      </c>
      <c r="K190" s="3" t="s">
        <v>84</v>
      </c>
      <c r="L190" s="44">
        <v>42751</v>
      </c>
      <c r="M190" s="3" t="s">
        <v>59</v>
      </c>
      <c r="N190" s="3" t="s">
        <v>60</v>
      </c>
      <c r="O190" s="3" t="s">
        <v>147</v>
      </c>
      <c r="P190" s="42">
        <v>42754</v>
      </c>
      <c r="Q190" s="34" t="s">
        <v>4626</v>
      </c>
      <c r="R190" s="34">
        <f>IFERROR(INDEX(QUALIDADE,MATCH(tblVIRARAM_PESQUISA[[#This Row],[CASE ID]],PROTOCOLO_PESQUISAS,0),MATCH(tblVIRARAM_PESQUISA[[#Headers],[Q2 - Problem Resolved]],QUALIDADE_CAB,0)), "-")</f>
        <v>1</v>
      </c>
      <c r="S190" s="34">
        <f>IFERROR(INDEX(QUALIDADE,MATCH(tblVIRARAM_PESQUISA[[#This Row],[CASE ID]],PROTOCOLO_PESQUISAS,0),MATCH(tblVIRARAM_PESQUISA[[#Headers],[Q3 - First Time Fix]],QUALIDADE_CAB,0)), "-")</f>
        <v>1</v>
      </c>
      <c r="T190" s="34">
        <f>IFERROR(INDEX(QUALIDADE,MATCH(tblVIRARAM_PESQUISA[[#This Row],[CASE ID]],PROTOCOLO_PESQUISAS,0),MATCH(tblVIRARAM_PESQUISA[[#Headers],[Promoters]],QUALIDADE_CAB,0)), "-")</f>
        <v>1</v>
      </c>
      <c r="U190" s="34">
        <f>IFERROR(INDEX(QUALIDADE,MATCH(tblVIRARAM_PESQUISA[[#This Row],[CASE ID]],PROTOCOLO_PESQUISAS,0),MATCH(tblVIRARAM_PESQUISA[[#Headers],[Detractors]],QUALIDADE_CAB,0)), "-")</f>
        <v>0</v>
      </c>
    </row>
    <row r="191" spans="1:21">
      <c r="A191" s="3">
        <v>3035679970</v>
      </c>
      <c r="B191" s="3" t="s">
        <v>500</v>
      </c>
      <c r="C191" s="90">
        <v>42746.738471724537</v>
      </c>
      <c r="D191" s="42">
        <v>42748.738471724537</v>
      </c>
      <c r="E191" s="3" t="s">
        <v>34</v>
      </c>
      <c r="F191" s="3" t="s">
        <v>34</v>
      </c>
      <c r="G191" s="3" t="s">
        <v>301</v>
      </c>
      <c r="H191" s="3" t="s">
        <v>31</v>
      </c>
      <c r="I191" s="3" t="s">
        <v>817</v>
      </c>
      <c r="J191" s="3" t="s">
        <v>303</v>
      </c>
      <c r="K191" s="3" t="s">
        <v>305</v>
      </c>
      <c r="L191" s="44">
        <v>42751</v>
      </c>
      <c r="M191" s="3" t="s">
        <v>59</v>
      </c>
      <c r="N191" s="3" t="s">
        <v>60</v>
      </c>
      <c r="O191" s="3" t="s">
        <v>147</v>
      </c>
      <c r="P191" s="42">
        <v>42754</v>
      </c>
      <c r="Q191" s="34" t="s">
        <v>4626</v>
      </c>
      <c r="R191" s="34">
        <f>IFERROR(INDEX(QUALIDADE,MATCH(tblVIRARAM_PESQUISA[[#This Row],[CASE ID]],PROTOCOLO_PESQUISAS,0),MATCH(tblVIRARAM_PESQUISA[[#Headers],[Q2 - Problem Resolved]],QUALIDADE_CAB,0)), "-")</f>
        <v>1</v>
      </c>
      <c r="S191" s="34">
        <f>IFERROR(INDEX(QUALIDADE,MATCH(tblVIRARAM_PESQUISA[[#This Row],[CASE ID]],PROTOCOLO_PESQUISAS,0),MATCH(tblVIRARAM_PESQUISA[[#Headers],[Q3 - First Time Fix]],QUALIDADE_CAB,0)), "-")</f>
        <v>2</v>
      </c>
      <c r="T191" s="34">
        <f>IFERROR(INDEX(QUALIDADE,MATCH(tblVIRARAM_PESQUISA[[#This Row],[CASE ID]],PROTOCOLO_PESQUISAS,0),MATCH(tblVIRARAM_PESQUISA[[#Headers],[Promoters]],QUALIDADE_CAB,0)), "-")</f>
        <v>1</v>
      </c>
      <c r="U191" s="34">
        <f>IFERROR(INDEX(QUALIDADE,MATCH(tblVIRARAM_PESQUISA[[#This Row],[CASE ID]],PROTOCOLO_PESQUISAS,0),MATCH(tblVIRARAM_PESQUISA[[#Headers],[Detractors]],QUALIDADE_CAB,0)), "-")</f>
        <v>0</v>
      </c>
    </row>
  </sheetData>
  <conditionalFormatting sqref="M3:O3">
    <cfRule type="expression" dxfId="18" priority="7">
      <formula>M3="Sem tratativa"</formula>
    </cfRule>
    <cfRule type="expression" dxfId="17" priority="8">
      <formula>M3="Retornar com prioridade"</formula>
    </cfRule>
  </conditionalFormatting>
  <conditionalFormatting sqref="P3">
    <cfRule type="expression" dxfId="16" priority="5">
      <formula>P3="Sem tratativa"</formula>
    </cfRule>
    <cfRule type="expression" dxfId="15" priority="6">
      <formula>P3="Retornar com prioridade"</formula>
    </cfRule>
  </conditionalFormatting>
  <conditionalFormatting sqref="Q3">
    <cfRule type="expression" dxfId="14" priority="3">
      <formula>Q3="Sem tratativa"</formula>
    </cfRule>
    <cfRule type="expression" dxfId="13" priority="4">
      <formula>Q3="Retornar com prioridade"</formula>
    </cfRule>
  </conditionalFormatting>
  <pageMargins left="0.511811024" right="0.511811024" top="0.78740157499999996" bottom="0.78740157499999996" header="0.31496062000000002" footer="0.31496062000000002"/>
  <pageSetup paperSize="0" orientation="portrait" horizontalDpi="0" verticalDpi="0" copies="0"/>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Q411"/>
  <sheetViews>
    <sheetView showGridLines="0" topLeftCell="G1" zoomScaleNormal="100" workbookViewId="0">
      <pane ySplit="3" topLeftCell="A6" activePane="bottomLeft" state="frozen"/>
      <selection activeCell="A5" sqref="A5"/>
      <selection pane="bottomLeft" activeCell="I34" sqref="I34:K34"/>
    </sheetView>
  </sheetViews>
  <sheetFormatPr defaultColWidth="9.140625" defaultRowHeight="15"/>
  <cols>
    <col min="1" max="1" width="12.140625" style="54" bestFit="1" customWidth="1"/>
    <col min="2" max="2" width="14" style="54" bestFit="1" customWidth="1"/>
    <col min="3" max="3" width="20.85546875" style="54" bestFit="1" customWidth="1"/>
    <col min="4" max="4" width="16.85546875" style="54" bestFit="1" customWidth="1"/>
    <col min="5" max="6" width="33.28515625" style="54" customWidth="1"/>
    <col min="7" max="7" width="14.28515625" style="54" bestFit="1" customWidth="1"/>
    <col min="8" max="8" width="30.42578125" style="54" customWidth="1"/>
    <col min="9" max="9" width="19" style="54" bestFit="1" customWidth="1"/>
    <col min="10" max="10" width="17" style="54" bestFit="1" customWidth="1"/>
    <col min="11" max="11" width="121.7109375" style="54" bestFit="1" customWidth="1"/>
    <col min="12" max="12" width="26" style="54" bestFit="1" customWidth="1"/>
    <col min="13" max="13" width="35.42578125" style="3" bestFit="1" customWidth="1"/>
    <col min="14" max="14" width="39.85546875" style="3" bestFit="1" customWidth="1"/>
    <col min="15" max="15" width="200.140625" style="3" bestFit="1" customWidth="1"/>
    <col min="16" max="16" width="25.7109375" style="3" bestFit="1" customWidth="1"/>
    <col min="17" max="17" width="23.85546875" style="3" bestFit="1" customWidth="1"/>
    <col min="18" max="16384" width="9.140625" style="3"/>
  </cols>
  <sheetData>
    <row r="1" spans="1:17">
      <c r="A1" s="3"/>
      <c r="B1" s="3"/>
      <c r="C1" s="3"/>
      <c r="D1" s="3"/>
      <c r="E1" s="3"/>
      <c r="F1" s="3"/>
      <c r="G1" s="3"/>
      <c r="H1" s="3"/>
      <c r="I1" s="3"/>
      <c r="J1" s="3"/>
      <c r="K1" s="3"/>
      <c r="L1" s="3"/>
    </row>
    <row r="2" spans="1:17">
      <c r="A2" s="3"/>
      <c r="B2" s="3"/>
      <c r="C2" s="3"/>
      <c r="D2" s="3"/>
      <c r="E2" s="3"/>
      <c r="F2" s="3"/>
      <c r="G2" s="31"/>
      <c r="H2" s="31"/>
      <c r="I2" s="3"/>
      <c r="J2" s="3"/>
      <c r="K2" s="3"/>
      <c r="L2" s="3"/>
    </row>
    <row r="3" spans="1:17">
      <c r="A3" s="52" t="s">
        <v>0</v>
      </c>
      <c r="B3" s="52" t="s">
        <v>163</v>
      </c>
      <c r="C3" s="52" t="s">
        <v>4257</v>
      </c>
      <c r="D3" s="53" t="s">
        <v>4258</v>
      </c>
      <c r="E3" s="52" t="s">
        <v>1</v>
      </c>
      <c r="F3" s="52" t="s">
        <v>2</v>
      </c>
      <c r="G3" s="52" t="s">
        <v>3</v>
      </c>
      <c r="H3" s="52" t="s">
        <v>4</v>
      </c>
      <c r="I3" s="52" t="s">
        <v>285</v>
      </c>
      <c r="J3" s="52" t="s">
        <v>48</v>
      </c>
      <c r="K3" s="52" t="s">
        <v>293</v>
      </c>
      <c r="L3" s="53" t="s">
        <v>834</v>
      </c>
      <c r="M3" s="3" t="s">
        <v>843</v>
      </c>
      <c r="N3" s="3" t="s">
        <v>174</v>
      </c>
      <c r="O3" s="3" t="s">
        <v>175</v>
      </c>
      <c r="P3" s="3" t="s">
        <v>294</v>
      </c>
      <c r="Q3" s="3" t="s">
        <v>295</v>
      </c>
    </row>
    <row r="4" spans="1:17" hidden="1">
      <c r="A4" s="54">
        <v>3035603702</v>
      </c>
      <c r="B4" s="54" t="s">
        <v>500</v>
      </c>
      <c r="C4" s="90">
        <v>42752</v>
      </c>
      <c r="D4" s="89">
        <v>42754.737988923611</v>
      </c>
      <c r="E4" s="54" t="s">
        <v>256</v>
      </c>
      <c r="F4" s="54" t="s">
        <v>256</v>
      </c>
      <c r="G4" s="54" t="s">
        <v>301</v>
      </c>
      <c r="H4" s="54" t="s">
        <v>256</v>
      </c>
      <c r="L4" s="87"/>
      <c r="M4" s="34" t="str">
        <f>IFERROR(INDEX(BASE,MATCH(tblPRINTERS[[#This Row],[CASE ID]],BASE_CASOS,0),MATCH(tblPRINTERS[[#Headers],[tratativa]],BASE_CAB,0)),"Retornar com prioridade")</f>
        <v>TCO</v>
      </c>
      <c r="N4" s="34" t="str">
        <f>IFERROR(INDEX(BASE,MATCH(tblPRINTERS[[#This Row],[CASE ID]],BASE_CASOS,0),MATCH(tblPRINTERS[[#Headers],[Observação]],BASE_CAB,0)),"-")</f>
        <v>Complaint / ECR</v>
      </c>
      <c r="O4" s="34" t="str">
        <f>IFERROR(INDEX(BASE,MATCH(tblPRINTERS[[#This Row],[CASE ID]],BASE_CASOS,0),MATCH(tblPRINTERS[[#Headers],[Observação Calback]],BASE_CAB,0)),"-")</f>
        <v>tco</v>
      </c>
      <c r="P4" s="42" t="str">
        <f>IF(ISERROR(INDEX(QUALIDADE,MATCH(tblPRINTERS[[#This Row],[CASE ID]],PROTOCOLO_PESQUISAS,0),MATCH("Return Time",QUALIDADE_CAB,0)))=FALSE,INDEX(QUALIDADE,MATCH(tblPRINTERS[[#This Row],[CASE ID]],PROTOCOLO_PESQUISAS,0),MATCH("Return Time",QUALIDADE_CAB,0)),"")</f>
        <v/>
      </c>
      <c r="Q4" s="34" t="str">
        <f>IF(tblPRINTERS[[#This Row],[DATA | PESQUISA RECEBIDA]]="","",PROPER(TEXT(tblPRINTERS[[#This Row],[DATA | PESQUISA RECEBIDA]],"DDDD")))</f>
        <v/>
      </c>
    </row>
    <row r="5" spans="1:17" hidden="1">
      <c r="A5" s="54">
        <v>3035850121</v>
      </c>
      <c r="B5" s="54" t="s">
        <v>500</v>
      </c>
      <c r="C5" s="90">
        <v>42752</v>
      </c>
      <c r="D5" s="89">
        <v>42754.737961145831</v>
      </c>
      <c r="E5" s="54" t="s">
        <v>46</v>
      </c>
      <c r="F5" s="54" t="s">
        <v>46</v>
      </c>
      <c r="G5" s="54" t="s">
        <v>301</v>
      </c>
      <c r="H5" s="54" t="s">
        <v>39</v>
      </c>
      <c r="I5" s="54" t="s">
        <v>817</v>
      </c>
      <c r="J5" s="54" t="s">
        <v>304</v>
      </c>
      <c r="K5" s="54" t="s">
        <v>307</v>
      </c>
      <c r="L5" s="87">
        <v>42755</v>
      </c>
      <c r="M5" s="34" t="str">
        <f>IFERROR(INDEX(BASE,MATCH(tblPRINTERS[[#This Row],[CASE ID]],BASE_CASOS,0),MATCH(tblPRINTERS[[#Headers],[tratativa]],BASE_CAB,0)),"Retornar com prioridade")</f>
        <v>Responder pesquisa</v>
      </c>
      <c r="N5" s="34" t="str">
        <f>IFERROR(INDEX(BASE,MATCH(tblPRINTERS[[#This Row],[CASE ID]],BASE_CASOS,0),MATCH(tblPRINTERS[[#Headers],[Observação]],BASE_CAB,0)),"-")</f>
        <v>Nota 9/10</v>
      </c>
      <c r="O5" s="34" t="str">
        <f>IFERROR(INDEX(BASE,MATCH(tblPRINTERS[[#This Row],[CASE ID]],BASE_CASOS,0),MATCH(tblPRINTERS[[#Headers],[Observação Calback]],BASE_CAB,0)),"-")</f>
        <v>ira responder</v>
      </c>
      <c r="P5" s="42" t="str">
        <f>IF(ISERROR(INDEX(QUALIDADE,MATCH(tblPRINTERS[[#This Row],[CASE ID]],PROTOCOLO_PESQUISAS,0),MATCH("Return Time",QUALIDADE_CAB,0)))=FALSE,INDEX(QUALIDADE,MATCH(tblPRINTERS[[#This Row],[CASE ID]],PROTOCOLO_PESQUISAS,0),MATCH("Return Time",QUALIDADE_CAB,0)),"")</f>
        <v/>
      </c>
      <c r="Q5" s="34" t="str">
        <f>IF(tblPRINTERS[[#This Row],[DATA | PESQUISA RECEBIDA]]="","",PROPER(TEXT(tblPRINTERS[[#This Row],[DATA | PESQUISA RECEBIDA]],"DDDD")))</f>
        <v/>
      </c>
    </row>
    <row r="6" spans="1:17">
      <c r="A6" s="54">
        <v>3035812169</v>
      </c>
      <c r="B6" s="54" t="s">
        <v>500</v>
      </c>
      <c r="C6" s="90">
        <v>42752</v>
      </c>
      <c r="D6" s="89">
        <v>42754.737961145831</v>
      </c>
      <c r="E6" s="54" t="s">
        <v>590</v>
      </c>
      <c r="F6" s="54" t="s">
        <v>21</v>
      </c>
      <c r="G6" s="54" t="s">
        <v>302</v>
      </c>
      <c r="H6" s="54" t="s">
        <v>273</v>
      </c>
      <c r="L6" s="87"/>
      <c r="M6" s="34" t="str">
        <f>IFERROR(INDEX(BASE,MATCH(tblPRINTERS[[#This Row],[CASE ID]],BASE_CASOS,0),MATCH(tblPRINTERS[[#Headers],[tratativa]],BASE_CAB,0)),"Retornar com prioridade")</f>
        <v>Sem contato</v>
      </c>
      <c r="N6" s="34" t="str">
        <f>IFERROR(INDEX(BASE,MATCH(tblPRINTERS[[#This Row],[CASE ID]],BASE_CASOS,0),MATCH(tblPRINTERS[[#Headers],[Observação]],BASE_CAB,0)),"-")</f>
        <v>Sem contato (Só chama, Cx postal, Ocupado)</v>
      </c>
      <c r="O6" s="34" t="str">
        <f>IFERROR(INDEX(BASE,MATCH(tblPRINTERS[[#This Row],[CASE ID]],BASE_CASOS,0),MATCH(tblPRINTERS[[#Headers],[Observação Calback]],BASE_CAB,0)),"-")</f>
        <v>Cliente desliga ao ouvir HP</v>
      </c>
      <c r="P6" s="42" t="str">
        <f>IF(ISERROR(INDEX(QUALIDADE,MATCH(tblPRINTERS[[#This Row],[CASE ID]],PROTOCOLO_PESQUISAS,0),MATCH("Return Time",QUALIDADE_CAB,0)))=FALSE,INDEX(QUALIDADE,MATCH(tblPRINTERS[[#This Row],[CASE ID]],PROTOCOLO_PESQUISAS,0),MATCH("Return Time",QUALIDADE_CAB,0)),"")</f>
        <v/>
      </c>
      <c r="Q6" s="34" t="str">
        <f>IF(tblPRINTERS[[#This Row],[DATA | PESQUISA RECEBIDA]]="","",PROPER(TEXT(tblPRINTERS[[#This Row],[DATA | PESQUISA RECEBIDA]],"DDDD")))</f>
        <v/>
      </c>
    </row>
    <row r="7" spans="1:17">
      <c r="A7" s="54">
        <v>3035859205</v>
      </c>
      <c r="B7" s="54" t="s">
        <v>500</v>
      </c>
      <c r="C7" s="90">
        <v>42752</v>
      </c>
      <c r="D7" s="89">
        <v>42754.737961145831</v>
      </c>
      <c r="E7" s="54" t="s">
        <v>4381</v>
      </c>
      <c r="F7" s="54" t="s">
        <v>4381</v>
      </c>
      <c r="G7" s="54" t="s">
        <v>301</v>
      </c>
      <c r="H7" s="54" t="s">
        <v>23</v>
      </c>
      <c r="L7" s="87"/>
      <c r="M7" s="34" t="str">
        <f>IFERROR(INDEX(BASE,MATCH(tblPRINTERS[[#This Row],[CASE ID]],BASE_CASOS,0),MATCH(tblPRINTERS[[#Headers],[tratativa]],BASE_CAB,0)),"Retornar com prioridade")</f>
        <v>Sem contato</v>
      </c>
      <c r="N7" s="34" t="str">
        <f>IFERROR(INDEX(BASE,MATCH(tblPRINTERS[[#This Row],[CASE ID]],BASE_CASOS,0),MATCH(tblPRINTERS[[#Headers],[Observação]],BASE_CAB,0)),"-")</f>
        <v>Sem contato (Só chama, Cx postal, Ocupado)</v>
      </c>
      <c r="O7" s="34" t="str">
        <f>IFERROR(INDEX(BASE,MATCH(tblPRINTERS[[#This Row],[CASE ID]],BASE_CASOS,0),MATCH(tblPRINTERS[[#Headers],[Observação Calback]],BASE_CAB,0)),"-")</f>
        <v>Os 2 telefones só chamam</v>
      </c>
      <c r="P7" s="42" t="str">
        <f>IF(ISERROR(INDEX(QUALIDADE,MATCH(tblPRINTERS[[#This Row],[CASE ID]],PROTOCOLO_PESQUISAS,0),MATCH("Return Time",QUALIDADE_CAB,0)))=FALSE,INDEX(QUALIDADE,MATCH(tblPRINTERS[[#This Row],[CASE ID]],PROTOCOLO_PESQUISAS,0),MATCH("Return Time",QUALIDADE_CAB,0)),"")</f>
        <v/>
      </c>
      <c r="Q7" s="34" t="str">
        <f>IF(tblPRINTERS[[#This Row],[DATA | PESQUISA RECEBIDA]]="","",PROPER(TEXT(tblPRINTERS[[#This Row],[DATA | PESQUISA RECEBIDA]],"DDDD")))</f>
        <v/>
      </c>
    </row>
    <row r="8" spans="1:17" hidden="1">
      <c r="A8" s="54">
        <v>3035829893</v>
      </c>
      <c r="B8" s="54" t="s">
        <v>500</v>
      </c>
      <c r="C8" s="90">
        <v>42752</v>
      </c>
      <c r="D8" s="89">
        <v>42754.737961145831</v>
      </c>
      <c r="E8" s="54" t="s">
        <v>1288</v>
      </c>
      <c r="F8" s="54" t="s">
        <v>43</v>
      </c>
      <c r="G8" s="54" t="s">
        <v>302</v>
      </c>
      <c r="H8" s="54" t="s">
        <v>39</v>
      </c>
      <c r="I8" s="55"/>
      <c r="L8" s="87"/>
      <c r="M8" s="34" t="str">
        <f>IFERROR(INDEX(BASE,MATCH(tblPRINTERS[[#This Row],[CASE ID]],BASE_CASOS,0),MATCH(tblPRINTERS[[#Headers],[tratativa]],BASE_CAB,0)),"Retornar com prioridade")</f>
        <v>Não responder pesquisa</v>
      </c>
      <c r="N8" s="34" t="str">
        <f>IFERROR(INDEX(BASE,MATCH(tblPRINTERS[[#This Row],[CASE ID]],BASE_CASOS,0),MATCH(tblPRINTERS[[#Headers],[Observação]],BASE_CAB,0)),"-")</f>
        <v>Caso não resolvido / Equipamento em reparo</v>
      </c>
      <c r="O8" s="34" t="str">
        <f>IFERROR(INDEX(BASE,MATCH(tblPRINTERS[[#This Row],[CASE ID]],BASE_CASOS,0),MATCH(tblPRINTERS[[#Headers],[Observação Calback]],BASE_CAB,0)),"-")</f>
        <v>Vai retornar com suporte</v>
      </c>
      <c r="P8" s="42" t="str">
        <f>IF(ISERROR(INDEX(QUALIDADE,MATCH(tblPRINTERS[[#This Row],[CASE ID]],PROTOCOLO_PESQUISAS,0),MATCH("Return Time",QUALIDADE_CAB,0)))=FALSE,INDEX(QUALIDADE,MATCH(tblPRINTERS[[#This Row],[CASE ID]],PROTOCOLO_PESQUISAS,0),MATCH("Return Time",QUALIDADE_CAB,0)),"")</f>
        <v/>
      </c>
      <c r="Q8" s="34" t="str">
        <f>IF(tblPRINTERS[[#This Row],[DATA | PESQUISA RECEBIDA]]="","",PROPER(TEXT(tblPRINTERS[[#This Row],[DATA | PESQUISA RECEBIDA]],"DDDD")))</f>
        <v/>
      </c>
    </row>
    <row r="9" spans="1:17">
      <c r="A9" s="54">
        <v>3035752524</v>
      </c>
      <c r="B9" s="54" t="s">
        <v>500</v>
      </c>
      <c r="C9" s="90">
        <v>42752</v>
      </c>
      <c r="D9" s="89">
        <v>42754.737961145831</v>
      </c>
      <c r="E9" s="54" t="s">
        <v>17</v>
      </c>
      <c r="F9" s="54" t="s">
        <v>19</v>
      </c>
      <c r="G9" s="54" t="s">
        <v>302</v>
      </c>
      <c r="H9" s="54" t="s">
        <v>9</v>
      </c>
      <c r="L9" s="87"/>
      <c r="M9" s="34" t="str">
        <f>IFERROR(INDEX(BASE,MATCH(tblPRINTERS[[#This Row],[CASE ID]],BASE_CASOS,0),MATCH(tblPRINTERS[[#Headers],[tratativa]],BASE_CAB,0)),"Retornar com prioridade")</f>
        <v>Sem contato</v>
      </c>
      <c r="N9" s="34" t="str">
        <f>IFERROR(INDEX(BASE,MATCH(tblPRINTERS[[#This Row],[CASE ID]],BASE_CASOS,0),MATCH(tblPRINTERS[[#Headers],[Observação]],BASE_CAB,0)),"-")</f>
        <v>Sem contato (Só chama, Cx postal, Ocupado)</v>
      </c>
      <c r="O9" s="34" t="str">
        <f>IFERROR(INDEX(BASE,MATCH(tblPRINTERS[[#This Row],[CASE ID]],BASE_CASOS,0),MATCH(tblPRINTERS[[#Headers],[Observação Calback]],BASE_CAB,0)),"-")</f>
        <v>1 Tel errado ; 2 Só chama</v>
      </c>
      <c r="P9" s="42" t="str">
        <f>IF(ISERROR(INDEX(QUALIDADE,MATCH(tblPRINTERS[[#This Row],[CASE ID]],PROTOCOLO_PESQUISAS,0),MATCH("Return Time",QUALIDADE_CAB,0)))=FALSE,INDEX(QUALIDADE,MATCH(tblPRINTERS[[#This Row],[CASE ID]],PROTOCOLO_PESQUISAS,0),MATCH("Return Time",QUALIDADE_CAB,0)),"")</f>
        <v/>
      </c>
      <c r="Q9" s="34" t="str">
        <f>IF(tblPRINTERS[[#This Row],[DATA | PESQUISA RECEBIDA]]="","",PROPER(TEXT(tblPRINTERS[[#This Row],[DATA | PESQUISA RECEBIDA]],"DDDD")))</f>
        <v/>
      </c>
    </row>
    <row r="10" spans="1:17" hidden="1">
      <c r="A10" s="54">
        <v>3035808973</v>
      </c>
      <c r="B10" s="54" t="s">
        <v>500</v>
      </c>
      <c r="C10" s="90">
        <v>42752</v>
      </c>
      <c r="D10" s="89">
        <v>42754.737961145831</v>
      </c>
      <c r="E10" s="54" t="s">
        <v>28</v>
      </c>
      <c r="F10" s="54" t="s">
        <v>19</v>
      </c>
      <c r="G10" s="54" t="s">
        <v>302</v>
      </c>
      <c r="H10" s="54" t="s">
        <v>9</v>
      </c>
      <c r="L10" s="87"/>
      <c r="M10" s="34" t="str">
        <f>IFERROR(INDEX(BASE,MATCH(tblPRINTERS[[#This Row],[CASE ID]],BASE_CASOS,0),MATCH(tblPRINTERS[[#Headers],[tratativa]],BASE_CAB,0)),"Retornar com prioridade")</f>
        <v>Não responder pesquisa</v>
      </c>
      <c r="N10" s="34" t="str">
        <f>IFERROR(INDEX(BASE,MATCH(tblPRINTERS[[#This Row],[CASE ID]],BASE_CASOS,0),MATCH(tblPRINTERS[[#Headers],[Observação]],BASE_CAB,0)),"-")</f>
        <v>Caso não resolvido / Equipamento em reparo</v>
      </c>
      <c r="O10" s="34" t="str">
        <f>IFERROR(INDEX(BASE,MATCH(tblPRINTERS[[#This Row],[CASE ID]],BASE_CASOS,0),MATCH(tblPRINTERS[[#Headers],[Observação Calback]],BASE_CAB,0)),"-")</f>
        <v>em tratativa com a loja</v>
      </c>
      <c r="P10" s="42" t="str">
        <f>IF(ISERROR(INDEX(QUALIDADE,MATCH(tblPRINTERS[[#This Row],[CASE ID]],PROTOCOLO_PESQUISAS,0),MATCH("Return Time",QUALIDADE_CAB,0)))=FALSE,INDEX(QUALIDADE,MATCH(tblPRINTERS[[#This Row],[CASE ID]],PROTOCOLO_PESQUISAS,0),MATCH("Return Time",QUALIDADE_CAB,0)),"")</f>
        <v/>
      </c>
      <c r="Q10" s="34" t="str">
        <f>IF(tblPRINTERS[[#This Row],[DATA | PESQUISA RECEBIDA]]="","",PROPER(TEXT(tblPRINTERS[[#This Row],[DATA | PESQUISA RECEBIDA]],"DDDD")))</f>
        <v/>
      </c>
    </row>
    <row r="11" spans="1:17">
      <c r="A11" s="54">
        <v>3035846403</v>
      </c>
      <c r="B11" s="54" t="s">
        <v>500</v>
      </c>
      <c r="C11" s="90">
        <v>42752</v>
      </c>
      <c r="D11" s="89">
        <v>42754.737961145831</v>
      </c>
      <c r="E11" s="54" t="s">
        <v>1549</v>
      </c>
      <c r="F11" s="54" t="s">
        <v>1549</v>
      </c>
      <c r="G11" s="54" t="s">
        <v>301</v>
      </c>
      <c r="H11" s="54" t="s">
        <v>9</v>
      </c>
      <c r="L11" s="87"/>
      <c r="M11" s="34" t="str">
        <f>IFERROR(INDEX(BASE,MATCH(tblPRINTERS[[#This Row],[CASE ID]],BASE_CASOS,0),MATCH(tblPRINTERS[[#Headers],[tratativa]],BASE_CAB,0)),"Retornar com prioridade")</f>
        <v>Sem contato</v>
      </c>
      <c r="N11" s="34" t="str">
        <f>IFERROR(INDEX(BASE,MATCH(tblPRINTERS[[#This Row],[CASE ID]],BASE_CASOS,0),MATCH(tblPRINTERS[[#Headers],[Observação]],BASE_CAB,0)),"-")</f>
        <v>Sem contato (Só chama, Cx postal, Ocupado)</v>
      </c>
      <c r="O11" s="34" t="str">
        <f>IFERROR(INDEX(BASE,MATCH(tblPRINTERS[[#This Row],[CASE ID]],BASE_CASOS,0),MATCH(tblPRINTERS[[#Headers],[Observação Calback]],BASE_CAB,0)),"-")</f>
        <v>retornar amanha</v>
      </c>
      <c r="P11" s="42" t="str">
        <f>IF(ISERROR(INDEX(QUALIDADE,MATCH(tblPRINTERS[[#This Row],[CASE ID]],PROTOCOLO_PESQUISAS,0),MATCH("Return Time",QUALIDADE_CAB,0)))=FALSE,INDEX(QUALIDADE,MATCH(tblPRINTERS[[#This Row],[CASE ID]],PROTOCOLO_PESQUISAS,0),MATCH("Return Time",QUALIDADE_CAB,0)),"")</f>
        <v/>
      </c>
      <c r="Q11" s="34" t="str">
        <f>IF(tblPRINTERS[[#This Row],[DATA | PESQUISA RECEBIDA]]="","",PROPER(TEXT(tblPRINTERS[[#This Row],[DATA | PESQUISA RECEBIDA]],"DDDD")))</f>
        <v/>
      </c>
    </row>
    <row r="12" spans="1:17" hidden="1">
      <c r="A12" s="54">
        <v>3035867938</v>
      </c>
      <c r="B12" s="54" t="s">
        <v>500</v>
      </c>
      <c r="C12" s="90">
        <v>42752</v>
      </c>
      <c r="D12" s="89">
        <v>42754.737961145831</v>
      </c>
      <c r="E12" s="54" t="s">
        <v>24</v>
      </c>
      <c r="F12" s="54" t="s">
        <v>24</v>
      </c>
      <c r="G12" s="54" t="s">
        <v>301</v>
      </c>
      <c r="H12" s="54" t="s">
        <v>23</v>
      </c>
      <c r="I12" s="54" t="s">
        <v>817</v>
      </c>
      <c r="J12" s="54" t="s">
        <v>303</v>
      </c>
      <c r="K12" s="54" t="s">
        <v>305</v>
      </c>
      <c r="L12" s="87">
        <v>42755</v>
      </c>
      <c r="M12" s="34" t="str">
        <f>IFERROR(INDEX(BASE,MATCH(tblPRINTERS[[#This Row],[CASE ID]],BASE_CASOS,0),MATCH(tblPRINTERS[[#Headers],[tratativa]],BASE_CAB,0)),"Retornar com prioridade")</f>
        <v>Responder pesquisa</v>
      </c>
      <c r="N12" s="34" t="str">
        <f>IFERROR(INDEX(BASE,MATCH(tblPRINTERS[[#This Row],[CASE ID]],BASE_CASOS,0),MATCH(tblPRINTERS[[#Headers],[Observação]],BASE_CAB,0)),"-")</f>
        <v>Nota 9/10</v>
      </c>
      <c r="O12" s="34" t="str">
        <f>IFERROR(INDEX(BASE,MATCH(tblPRINTERS[[#This Row],[CASE ID]],BASE_CASOS,0),MATCH(tblPRINTERS[[#Headers],[Observação Calback]],BASE_CAB,0)),"-")</f>
        <v>ira responder</v>
      </c>
      <c r="P12" s="42" t="str">
        <f>IF(ISERROR(INDEX(QUALIDADE,MATCH(tblPRINTERS[[#This Row],[CASE ID]],PROTOCOLO_PESQUISAS,0),MATCH("Return Time",QUALIDADE_CAB,0)))=FALSE,INDEX(QUALIDADE,MATCH(tblPRINTERS[[#This Row],[CASE ID]],PROTOCOLO_PESQUISAS,0),MATCH("Return Time",QUALIDADE_CAB,0)),"")</f>
        <v/>
      </c>
      <c r="Q12" s="34" t="str">
        <f>IF(tblPRINTERS[[#This Row],[DATA | PESQUISA RECEBIDA]]="","",PROPER(TEXT(tblPRINTERS[[#This Row],[DATA | PESQUISA RECEBIDA]],"DDDD")))</f>
        <v/>
      </c>
    </row>
    <row r="13" spans="1:17" hidden="1">
      <c r="A13" s="54">
        <v>3035849689</v>
      </c>
      <c r="B13" s="54" t="s">
        <v>500</v>
      </c>
      <c r="C13" s="90">
        <v>42752</v>
      </c>
      <c r="D13" s="89">
        <v>42754.737961145831</v>
      </c>
      <c r="E13" s="54" t="s">
        <v>26</v>
      </c>
      <c r="F13" s="54" t="s">
        <v>12</v>
      </c>
      <c r="G13" s="54" t="s">
        <v>302</v>
      </c>
      <c r="H13" s="54" t="s">
        <v>23</v>
      </c>
      <c r="L13" s="87"/>
      <c r="M13" s="34" t="str">
        <f>IFERROR(INDEX(BASE,MATCH(tblPRINTERS[[#This Row],[CASE ID]],BASE_CASOS,0),MATCH(tblPRINTERS[[#Headers],[tratativa]],BASE_CAB,0)),"Retornar com prioridade")</f>
        <v>Não responder pesquisa</v>
      </c>
      <c r="N13" s="34" t="str">
        <f>IFERROR(INDEX(BASE,MATCH(tblPRINTERS[[#This Row],[CASE ID]],BASE_CASOS,0),MATCH(tblPRINTERS[[#Headers],[Observação]],BASE_CAB,0)),"-")</f>
        <v>Caso não resolvido / Equipamento em reparo</v>
      </c>
      <c r="O13" s="34" t="str">
        <f>IFERROR(INDEX(BASE,MATCH(tblPRINTERS[[#This Row],[CASE ID]],BASE_CASOS,0),MATCH(tblPRINTERS[[#Headers],[Observação Calback]],BASE_CAB,0)),"-")</f>
        <v>agendar retorno, instalacao. Amanha as 11h</v>
      </c>
      <c r="P13" s="42" t="str">
        <f>IF(ISERROR(INDEX(QUALIDADE,MATCH(tblPRINTERS[[#This Row],[CASE ID]],PROTOCOLO_PESQUISAS,0),MATCH("Return Time",QUALIDADE_CAB,0)))=FALSE,INDEX(QUALIDADE,MATCH(tblPRINTERS[[#This Row],[CASE ID]],PROTOCOLO_PESQUISAS,0),MATCH("Return Time",QUALIDADE_CAB,0)),"")</f>
        <v/>
      </c>
      <c r="Q13" s="34" t="str">
        <f>IF(tblPRINTERS[[#This Row],[DATA | PESQUISA RECEBIDA]]="","",PROPER(TEXT(tblPRINTERS[[#This Row],[DATA | PESQUISA RECEBIDA]],"DDDD")))</f>
        <v/>
      </c>
    </row>
    <row r="14" spans="1:17">
      <c r="A14" s="54">
        <v>3035849366</v>
      </c>
      <c r="B14" s="54" t="s">
        <v>500</v>
      </c>
      <c r="C14" s="90">
        <v>42752</v>
      </c>
      <c r="D14" s="89">
        <v>42754.737961145831</v>
      </c>
      <c r="E14" s="54" t="s">
        <v>1549</v>
      </c>
      <c r="F14" s="54" t="s">
        <v>1549</v>
      </c>
      <c r="G14" s="54" t="s">
        <v>301</v>
      </c>
      <c r="H14" s="54" t="s">
        <v>9</v>
      </c>
      <c r="L14" s="87"/>
      <c r="M14" s="34" t="str">
        <f>IFERROR(INDEX(BASE,MATCH(tblPRINTERS[[#This Row],[CASE ID]],BASE_CASOS,0),MATCH(tblPRINTERS[[#Headers],[tratativa]],BASE_CAB,0)),"Retornar com prioridade")</f>
        <v>Sem contato</v>
      </c>
      <c r="N14" s="34" t="str">
        <f>IFERROR(INDEX(BASE,MATCH(tblPRINTERS[[#This Row],[CASE ID]],BASE_CASOS,0),MATCH(tblPRINTERS[[#Headers],[Observação]],BASE_CAB,0)),"-")</f>
        <v>Sem contato (Só chama, Cx postal, Ocupado)</v>
      </c>
      <c r="O14" s="34" t="str">
        <f>IFERROR(INDEX(BASE,MATCH(tblPRINTERS[[#This Row],[CASE ID]],BASE_CASOS,0),MATCH(tblPRINTERS[[#Headers],[Observação Calback]],BASE_CAB,0)),"-")</f>
        <v>so chama</v>
      </c>
      <c r="P14" s="42" t="str">
        <f>IF(ISERROR(INDEX(QUALIDADE,MATCH(tblPRINTERS[[#This Row],[CASE ID]],PROTOCOLO_PESQUISAS,0),MATCH("Return Time",QUALIDADE_CAB,0)))=FALSE,INDEX(QUALIDADE,MATCH(tblPRINTERS[[#This Row],[CASE ID]],PROTOCOLO_PESQUISAS,0),MATCH("Return Time",QUALIDADE_CAB,0)),"")</f>
        <v/>
      </c>
      <c r="Q14" s="34" t="str">
        <f>IF(tblPRINTERS[[#This Row],[DATA | PESQUISA RECEBIDA]]="","",PROPER(TEXT(tblPRINTERS[[#This Row],[DATA | PESQUISA RECEBIDA]],"DDDD")))</f>
        <v/>
      </c>
    </row>
    <row r="15" spans="1:17" hidden="1">
      <c r="A15" s="54">
        <v>3035752729</v>
      </c>
      <c r="B15" s="54" t="s">
        <v>500</v>
      </c>
      <c r="C15" s="90">
        <v>42752</v>
      </c>
      <c r="D15" s="89">
        <v>42754.737961145831</v>
      </c>
      <c r="E15" s="54" t="s">
        <v>281</v>
      </c>
      <c r="F15" s="54" t="s">
        <v>281</v>
      </c>
      <c r="G15" s="54" t="s">
        <v>301</v>
      </c>
      <c r="H15" s="54" t="s">
        <v>51</v>
      </c>
      <c r="I15" s="54" t="s">
        <v>817</v>
      </c>
      <c r="J15" s="54" t="s">
        <v>303</v>
      </c>
      <c r="K15" s="54" t="s">
        <v>305</v>
      </c>
      <c r="L15" s="87">
        <v>42755</v>
      </c>
      <c r="M15" s="34" t="str">
        <f>IFERROR(INDEX(BASE,MATCH(tblPRINTERS[[#This Row],[CASE ID]],BASE_CASOS,0),MATCH(tblPRINTERS[[#Headers],[tratativa]],BASE_CAB,0)),"Retornar com prioridade")</f>
        <v>Responder pesquisa</v>
      </c>
      <c r="N15" s="34" t="str">
        <f>IFERROR(INDEX(BASE,MATCH(tblPRINTERS[[#This Row],[CASE ID]],BASE_CASOS,0),MATCH(tblPRINTERS[[#Headers],[Observação]],BASE_CAB,0)),"-")</f>
        <v>Nota 9/10</v>
      </c>
      <c r="O15" s="34" t="str">
        <f>IFERROR(INDEX(BASE,MATCH(tblPRINTERS[[#This Row],[CASE ID]],BASE_CASOS,0),MATCH(tblPRINTERS[[#Headers],[Observação Calback]],BASE_CAB,0)),"-")</f>
        <v>ira responder</v>
      </c>
      <c r="P15" s="42" t="str">
        <f>IF(ISERROR(INDEX(QUALIDADE,MATCH(tblPRINTERS[[#This Row],[CASE ID]],PROTOCOLO_PESQUISAS,0),MATCH("Return Time",QUALIDADE_CAB,0)))=FALSE,INDEX(QUALIDADE,MATCH(tblPRINTERS[[#This Row],[CASE ID]],PROTOCOLO_PESQUISAS,0),MATCH("Return Time",QUALIDADE_CAB,0)),"")</f>
        <v/>
      </c>
      <c r="Q15" s="34" t="str">
        <f>IF(tblPRINTERS[[#This Row],[DATA | PESQUISA RECEBIDA]]="","",PROPER(TEXT(tblPRINTERS[[#This Row],[DATA | PESQUISA RECEBIDA]],"DDDD")))</f>
        <v/>
      </c>
    </row>
    <row r="16" spans="1:17">
      <c r="A16" s="54">
        <v>3035817154</v>
      </c>
      <c r="B16" s="54" t="s">
        <v>500</v>
      </c>
      <c r="C16" s="90">
        <v>42752</v>
      </c>
      <c r="D16" s="89">
        <v>42754.737961145831</v>
      </c>
      <c r="E16" s="54" t="s">
        <v>1423</v>
      </c>
      <c r="F16" s="54" t="s">
        <v>21</v>
      </c>
      <c r="G16" s="54" t="s">
        <v>302</v>
      </c>
      <c r="H16" s="54" t="s">
        <v>31</v>
      </c>
      <c r="L16" s="87"/>
      <c r="M16" s="34" t="str">
        <f>IFERROR(INDEX(BASE,MATCH(tblPRINTERS[[#This Row],[CASE ID]],BASE_CASOS,0),MATCH(tblPRINTERS[[#Headers],[tratativa]],BASE_CAB,0)),"Retornar com prioridade")</f>
        <v>Sem contato</v>
      </c>
      <c r="N16" s="34" t="str">
        <f>IFERROR(INDEX(BASE,MATCH(tblPRINTERS[[#This Row],[CASE ID]],BASE_CASOS,0),MATCH(tblPRINTERS[[#Headers],[Observação]],BASE_CAB,0)),"-")</f>
        <v>Sem contato (Só chama, Cx postal, Ocupado)</v>
      </c>
      <c r="O16" s="34" t="str">
        <f>IFERROR(INDEX(BASE,MATCH(tblPRINTERS[[#This Row],[CASE ID]],BASE_CASOS,0),MATCH(tblPRINTERS[[#Headers],[Observação Calback]],BASE_CAB,0)),"-")</f>
        <v>Os 2 telefones só chamam</v>
      </c>
      <c r="P16" s="42" t="str">
        <f>IF(ISERROR(INDEX(QUALIDADE,MATCH(tblPRINTERS[[#This Row],[CASE ID]],PROTOCOLO_PESQUISAS,0),MATCH("Return Time",QUALIDADE_CAB,0)))=FALSE,INDEX(QUALIDADE,MATCH(tblPRINTERS[[#This Row],[CASE ID]],PROTOCOLO_PESQUISAS,0),MATCH("Return Time",QUALIDADE_CAB,0)),"")</f>
        <v/>
      </c>
      <c r="Q16" s="34" t="str">
        <f>IF(tblPRINTERS[[#This Row],[DATA | PESQUISA RECEBIDA]]="","",PROPER(TEXT(tblPRINTERS[[#This Row],[DATA | PESQUISA RECEBIDA]],"DDDD")))</f>
        <v/>
      </c>
    </row>
    <row r="17" spans="1:17" hidden="1">
      <c r="A17" s="54">
        <v>3035862233</v>
      </c>
      <c r="B17" s="54" t="s">
        <v>500</v>
      </c>
      <c r="C17" s="90">
        <v>42752</v>
      </c>
      <c r="D17" s="89">
        <v>42754.737961145831</v>
      </c>
      <c r="E17" s="54" t="s">
        <v>50</v>
      </c>
      <c r="F17" s="54" t="s">
        <v>50</v>
      </c>
      <c r="G17" s="54" t="s">
        <v>301</v>
      </c>
      <c r="H17" s="54" t="s">
        <v>273</v>
      </c>
      <c r="I17" s="54" t="s">
        <v>817</v>
      </c>
      <c r="J17" s="54" t="s">
        <v>304</v>
      </c>
      <c r="K17" s="54" t="s">
        <v>307</v>
      </c>
      <c r="L17" s="87">
        <v>42755</v>
      </c>
      <c r="M17" s="34" t="str">
        <f>IFERROR(INDEX(BASE,MATCH(tblPRINTERS[[#This Row],[CASE ID]],BASE_CASOS,0),MATCH(tblPRINTERS[[#Headers],[tratativa]],BASE_CAB,0)),"Retornar com prioridade")</f>
        <v>Responder pesquisa</v>
      </c>
      <c r="N17" s="34" t="str">
        <f>IFERROR(INDEX(BASE,MATCH(tblPRINTERS[[#This Row],[CASE ID]],BASE_CASOS,0),MATCH(tblPRINTERS[[#Headers],[Observação]],BASE_CAB,0)),"-")</f>
        <v>Nota 9/10</v>
      </c>
      <c r="O17" s="34" t="str">
        <f>IFERROR(INDEX(BASE,MATCH(tblPRINTERS[[#This Row],[CASE ID]],BASE_CASOS,0),MATCH(tblPRINTERS[[#Headers],[Observação Calback]],BASE_CAB,0)),"-")</f>
        <v>ira responder</v>
      </c>
      <c r="P17" s="42" t="str">
        <f>IF(ISERROR(INDEX(QUALIDADE,MATCH(tblPRINTERS[[#This Row],[CASE ID]],PROTOCOLO_PESQUISAS,0),MATCH("Return Time",QUALIDADE_CAB,0)))=FALSE,INDEX(QUALIDADE,MATCH(tblPRINTERS[[#This Row],[CASE ID]],PROTOCOLO_PESQUISAS,0),MATCH("Return Time",QUALIDADE_CAB,0)),"")</f>
        <v/>
      </c>
      <c r="Q17" s="34" t="str">
        <f>IF(tblPRINTERS[[#This Row],[DATA | PESQUISA RECEBIDA]]="","",PROPER(TEXT(tblPRINTERS[[#This Row],[DATA | PESQUISA RECEBIDA]],"DDDD")))</f>
        <v/>
      </c>
    </row>
    <row r="18" spans="1:17" hidden="1">
      <c r="A18" s="54">
        <v>3035851846</v>
      </c>
      <c r="B18" s="54" t="s">
        <v>500</v>
      </c>
      <c r="C18" s="90">
        <v>42752</v>
      </c>
      <c r="D18" s="89">
        <v>42754.737961145831</v>
      </c>
      <c r="E18" s="54" t="s">
        <v>20</v>
      </c>
      <c r="F18" s="54" t="s">
        <v>20</v>
      </c>
      <c r="G18" s="54" t="s">
        <v>301</v>
      </c>
      <c r="H18" s="54" t="s">
        <v>9</v>
      </c>
      <c r="L18" s="87"/>
      <c r="M18" s="34" t="str">
        <f>IFERROR(INDEX(BASE,MATCH(tblPRINTERS[[#This Row],[CASE ID]],BASE_CASOS,0),MATCH(tblPRINTERS[[#Headers],[tratativa]],BASE_CAB,0)),"Retornar com prioridade")</f>
        <v>Não responder pesquisa</v>
      </c>
      <c r="N18" s="34" t="str">
        <f>IFERROR(INDEX(BASE,MATCH(tblPRINTERS[[#This Row],[CASE ID]],BASE_CASOS,0),MATCH(tblPRINTERS[[#Headers],[Observação]],BASE_CAB,0)),"-")</f>
        <v>Sem contato (Só chama, Cx postal, Ocupado)</v>
      </c>
      <c r="O18" s="34" t="str">
        <f>IFERROR(INDEX(BASE,MATCH(tblPRINTERS[[#This Row],[CASE ID]],BASE_CASOS,0),MATCH(tblPRINTERS[[#Headers],[Observação Calback]],BASE_CAB,0)),"-")</f>
        <v>chamou tecnico particular, ira retornar contato se necessario.</v>
      </c>
      <c r="P18" s="42" t="str">
        <f>IF(ISERROR(INDEX(QUALIDADE,MATCH(tblPRINTERS[[#This Row],[CASE ID]],PROTOCOLO_PESQUISAS,0),MATCH("Return Time",QUALIDADE_CAB,0)))=FALSE,INDEX(QUALIDADE,MATCH(tblPRINTERS[[#This Row],[CASE ID]],PROTOCOLO_PESQUISAS,0),MATCH("Return Time",QUALIDADE_CAB,0)),"")</f>
        <v/>
      </c>
      <c r="Q18" s="34" t="str">
        <f>IF(tblPRINTERS[[#This Row],[DATA | PESQUISA RECEBIDA]]="","",PROPER(TEXT(tblPRINTERS[[#This Row],[DATA | PESQUISA RECEBIDA]],"DDDD")))</f>
        <v/>
      </c>
    </row>
    <row r="19" spans="1:17" hidden="1">
      <c r="A19" s="54">
        <v>3035723134</v>
      </c>
      <c r="B19" s="54" t="s">
        <v>500</v>
      </c>
      <c r="C19" s="90">
        <v>42752</v>
      </c>
      <c r="D19" s="89">
        <v>42754.737961145831</v>
      </c>
      <c r="E19" s="54" t="s">
        <v>14</v>
      </c>
      <c r="F19" s="54" t="s">
        <v>19</v>
      </c>
      <c r="G19" s="54" t="s">
        <v>302</v>
      </c>
      <c r="H19" s="54" t="s">
        <v>9</v>
      </c>
      <c r="L19" s="87"/>
      <c r="M19" s="34" t="str">
        <f>IFERROR(INDEX(BASE,MATCH(tblPRINTERS[[#This Row],[CASE ID]],BASE_CASOS,0),MATCH(tblPRINTERS[[#Headers],[tratativa]],BASE_CAB,0)),"Retornar com prioridade")</f>
        <v>Não responder pesquisa</v>
      </c>
      <c r="N19" s="34" t="str">
        <f>IFERROR(INDEX(BASE,MATCH(tblPRINTERS[[#This Row],[CASE ID]],BASE_CASOS,0),MATCH(tblPRINTERS[[#Headers],[Observação]],BASE_CAB,0)),"-")</f>
        <v>Caso não resolvido / Equipamento em reparo</v>
      </c>
      <c r="O19" s="34" t="str">
        <f>IFERROR(INDEX(BASE,MATCH(tblPRINTERS[[#This Row],[CASE ID]],BASE_CASOS,0),MATCH(tblPRINTERS[[#Headers],[Observação Calback]],BASE_CAB,0)),"-")</f>
        <v>Resolveu sem HP</v>
      </c>
      <c r="P19" s="42" t="str">
        <f>IF(ISERROR(INDEX(QUALIDADE,MATCH(tblPRINTERS[[#This Row],[CASE ID]],PROTOCOLO_PESQUISAS,0),MATCH("Return Time",QUALIDADE_CAB,0)))=FALSE,INDEX(QUALIDADE,MATCH(tblPRINTERS[[#This Row],[CASE ID]],PROTOCOLO_PESQUISAS,0),MATCH("Return Time",QUALIDADE_CAB,0)),"")</f>
        <v/>
      </c>
      <c r="Q19" s="34" t="str">
        <f>IF(tblPRINTERS[[#This Row],[DATA | PESQUISA RECEBIDA]]="","",PROPER(TEXT(tblPRINTERS[[#This Row],[DATA | PESQUISA RECEBIDA]],"DDDD")))</f>
        <v/>
      </c>
    </row>
    <row r="20" spans="1:17">
      <c r="A20" s="54">
        <v>3035846849</v>
      </c>
      <c r="B20" s="54" t="s">
        <v>500</v>
      </c>
      <c r="C20" s="90">
        <v>42752</v>
      </c>
      <c r="D20" s="89">
        <v>42754.737961145831</v>
      </c>
      <c r="E20" s="54" t="s">
        <v>22</v>
      </c>
      <c r="F20" s="54" t="s">
        <v>22</v>
      </c>
      <c r="G20" s="54" t="s">
        <v>301</v>
      </c>
      <c r="H20" s="54" t="s">
        <v>23</v>
      </c>
      <c r="L20" s="87"/>
      <c r="M20" s="34" t="str">
        <f>IFERROR(INDEX(BASE,MATCH(tblPRINTERS[[#This Row],[CASE ID]],BASE_CASOS,0),MATCH(tblPRINTERS[[#Headers],[tratativa]],BASE_CAB,0)),"Retornar com prioridade")</f>
        <v>Sem contato</v>
      </c>
      <c r="N20" s="34" t="str">
        <f>IFERROR(INDEX(BASE,MATCH(tblPRINTERS[[#This Row],[CASE ID]],BASE_CASOS,0),MATCH(tblPRINTERS[[#Headers],[Observação]],BASE_CAB,0)),"-")</f>
        <v>Sem contato (Só chama, Cx postal, Ocupado)</v>
      </c>
      <c r="O20" s="34" t="str">
        <f>IFERROR(INDEX(BASE,MATCH(tblPRINTERS[[#This Row],[CASE ID]],BASE_CASOS,0),MATCH(tblPRINTERS[[#Headers],[Observação Calback]],BASE_CAB,0)),"-")</f>
        <v>so chama</v>
      </c>
      <c r="P20" s="42" t="str">
        <f>IF(ISERROR(INDEX(QUALIDADE,MATCH(tblPRINTERS[[#This Row],[CASE ID]],PROTOCOLO_PESQUISAS,0),MATCH("Return Time",QUALIDADE_CAB,0)))=FALSE,INDEX(QUALIDADE,MATCH(tblPRINTERS[[#This Row],[CASE ID]],PROTOCOLO_PESQUISAS,0),MATCH("Return Time",QUALIDADE_CAB,0)),"")</f>
        <v/>
      </c>
      <c r="Q20" s="34" t="str">
        <f>IF(tblPRINTERS[[#This Row],[DATA | PESQUISA RECEBIDA]]="","",PROPER(TEXT(tblPRINTERS[[#This Row],[DATA | PESQUISA RECEBIDA]],"DDDD")))</f>
        <v/>
      </c>
    </row>
    <row r="21" spans="1:17">
      <c r="A21" s="54">
        <v>3035820235</v>
      </c>
      <c r="B21" s="54" t="s">
        <v>500</v>
      </c>
      <c r="C21" s="90">
        <v>42752</v>
      </c>
      <c r="D21" s="89">
        <v>42754.737961145831</v>
      </c>
      <c r="E21" s="54" t="s">
        <v>1423</v>
      </c>
      <c r="F21" s="54" t="s">
        <v>21</v>
      </c>
      <c r="G21" s="54" t="s">
        <v>302</v>
      </c>
      <c r="H21" s="54" t="s">
        <v>31</v>
      </c>
      <c r="L21" s="87"/>
      <c r="M21" s="34" t="str">
        <f>IFERROR(INDEX(BASE,MATCH(tblPRINTERS[[#This Row],[CASE ID]],BASE_CASOS,0),MATCH(tblPRINTERS[[#Headers],[tratativa]],BASE_CAB,0)),"Retornar com prioridade")</f>
        <v>Sem contato</v>
      </c>
      <c r="N21" s="34" t="str">
        <f>IFERROR(INDEX(BASE,MATCH(tblPRINTERS[[#This Row],[CASE ID]],BASE_CASOS,0),MATCH(tblPRINTERS[[#Headers],[Observação]],BASE_CAB,0)),"-")</f>
        <v>Sem contato (Só chama, Cx postal, Ocupado)</v>
      </c>
      <c r="O21" s="34" t="str">
        <f>IFERROR(INDEX(BASE,MATCH(tblPRINTERS[[#This Row],[CASE ID]],BASE_CASOS,0),MATCH(tblPRINTERS[[#Headers],[Observação Calback]],BASE_CAB,0)),"-")</f>
        <v>Os 2 telefones só chamam</v>
      </c>
      <c r="P21" s="42" t="str">
        <f>IF(ISERROR(INDEX(QUALIDADE,MATCH(tblPRINTERS[[#This Row],[CASE ID]],PROTOCOLO_PESQUISAS,0),MATCH("Return Time",QUALIDADE_CAB,0)))=FALSE,INDEX(QUALIDADE,MATCH(tblPRINTERS[[#This Row],[CASE ID]],PROTOCOLO_PESQUISAS,0),MATCH("Return Time",QUALIDADE_CAB,0)),"")</f>
        <v/>
      </c>
      <c r="Q21" s="34" t="str">
        <f>IF(tblPRINTERS[[#This Row],[DATA | PESQUISA RECEBIDA]]="","",PROPER(TEXT(tblPRINTERS[[#This Row],[DATA | PESQUISA RECEBIDA]],"DDDD")))</f>
        <v/>
      </c>
    </row>
    <row r="22" spans="1:17" hidden="1">
      <c r="A22" s="54">
        <v>3035850733</v>
      </c>
      <c r="B22" s="54" t="s">
        <v>500</v>
      </c>
      <c r="C22" s="90">
        <v>42752</v>
      </c>
      <c r="D22" s="89">
        <v>42754.737961145831</v>
      </c>
      <c r="E22" s="54" t="s">
        <v>22</v>
      </c>
      <c r="F22" s="54" t="s">
        <v>22</v>
      </c>
      <c r="G22" s="54" t="s">
        <v>301</v>
      </c>
      <c r="H22" s="54" t="s">
        <v>23</v>
      </c>
      <c r="I22" s="54" t="s">
        <v>817</v>
      </c>
      <c r="J22" s="54" t="s">
        <v>304</v>
      </c>
      <c r="K22" s="54" t="s">
        <v>4630</v>
      </c>
      <c r="L22" s="87">
        <v>42755</v>
      </c>
      <c r="M22" s="34" t="str">
        <f>IFERROR(INDEX(BASE,MATCH(tblPRINTERS[[#This Row],[CASE ID]],BASE_CASOS,0),MATCH(tblPRINTERS[[#Headers],[tratativa]],BASE_CAB,0)),"Retornar com prioridade")</f>
        <v>Responder pesquisa</v>
      </c>
      <c r="N22" s="34" t="str">
        <f>IFERROR(INDEX(BASE,MATCH(tblPRINTERS[[#This Row],[CASE ID]],BASE_CASOS,0),MATCH(tblPRINTERS[[#Headers],[Observação]],BASE_CAB,0)),"-")</f>
        <v>Nota 9/10</v>
      </c>
      <c r="O22" s="34" t="str">
        <f>IFERROR(INDEX(BASE,MATCH(tblPRINTERS[[#This Row],[CASE ID]],BASE_CASOS,0),MATCH(tblPRINTERS[[#Headers],[Observação Calback]],BASE_CAB,0)),"-")</f>
        <v>ira responder</v>
      </c>
      <c r="P22" s="42" t="str">
        <f>IF(ISERROR(INDEX(QUALIDADE,MATCH(tblPRINTERS[[#This Row],[CASE ID]],PROTOCOLO_PESQUISAS,0),MATCH("Return Time",QUALIDADE_CAB,0)))=FALSE,INDEX(QUALIDADE,MATCH(tblPRINTERS[[#This Row],[CASE ID]],PROTOCOLO_PESQUISAS,0),MATCH("Return Time",QUALIDADE_CAB,0)),"")</f>
        <v/>
      </c>
      <c r="Q22" s="34" t="str">
        <f>IF(tblPRINTERS[[#This Row],[DATA | PESQUISA RECEBIDA]]="","",PROPER(TEXT(tblPRINTERS[[#This Row],[DATA | PESQUISA RECEBIDA]],"DDDD")))</f>
        <v/>
      </c>
    </row>
    <row r="23" spans="1:17" hidden="1">
      <c r="A23" s="54">
        <v>3035855948</v>
      </c>
      <c r="B23" s="54" t="s">
        <v>500</v>
      </c>
      <c r="C23" s="90">
        <v>42752</v>
      </c>
      <c r="D23" s="89">
        <v>42754.737961145831</v>
      </c>
      <c r="E23" s="54" t="s">
        <v>1423</v>
      </c>
      <c r="F23" s="54" t="s">
        <v>1423</v>
      </c>
      <c r="G23" s="54" t="s">
        <v>301</v>
      </c>
      <c r="H23" s="54" t="s">
        <v>31</v>
      </c>
      <c r="I23" s="54" t="s">
        <v>817</v>
      </c>
      <c r="J23" s="54" t="s">
        <v>304</v>
      </c>
      <c r="K23" s="54" t="s">
        <v>306</v>
      </c>
      <c r="L23" s="87">
        <v>42755</v>
      </c>
      <c r="M23" s="34" t="str">
        <f>IFERROR(INDEX(BASE,MATCH(tblPRINTERS[[#This Row],[CASE ID]],BASE_CASOS,0),MATCH(tblPRINTERS[[#Headers],[tratativa]],BASE_CAB,0)),"Retornar com prioridade")</f>
        <v>Responder pesquisa</v>
      </c>
      <c r="N23" s="34" t="str">
        <f>IFERROR(INDEX(BASE,MATCH(tblPRINTERS[[#This Row],[CASE ID]],BASE_CASOS,0),MATCH(tblPRINTERS[[#Headers],[Observação]],BASE_CAB,0)),"-")</f>
        <v>Nota 9/10</v>
      </c>
      <c r="O23" s="34" t="str">
        <f>IFERROR(INDEX(BASE,MATCH(tblPRINTERS[[#This Row],[CASE ID]],BASE_CASOS,0),MATCH(tblPRINTERS[[#Headers],[Observação Calback]],BASE_CAB,0)),"-")</f>
        <v>ira responder</v>
      </c>
      <c r="P23" s="42" t="str">
        <f>IF(ISERROR(INDEX(QUALIDADE,MATCH(tblPRINTERS[[#This Row],[CASE ID]],PROTOCOLO_PESQUISAS,0),MATCH("Return Time",QUALIDADE_CAB,0)))=FALSE,INDEX(QUALIDADE,MATCH(tblPRINTERS[[#This Row],[CASE ID]],PROTOCOLO_PESQUISAS,0),MATCH("Return Time",QUALIDADE_CAB,0)),"")</f>
        <v/>
      </c>
      <c r="Q23" s="34" t="str">
        <f>IF(tblPRINTERS[[#This Row],[DATA | PESQUISA RECEBIDA]]="","",PROPER(TEXT(tblPRINTERS[[#This Row],[DATA | PESQUISA RECEBIDA]],"DDDD")))</f>
        <v/>
      </c>
    </row>
    <row r="24" spans="1:17" hidden="1">
      <c r="A24" s="54">
        <v>3035850706</v>
      </c>
      <c r="B24" s="54" t="s">
        <v>500</v>
      </c>
      <c r="C24" s="90">
        <v>42752</v>
      </c>
      <c r="D24" s="89">
        <v>42754.737961145831</v>
      </c>
      <c r="E24" s="54" t="s">
        <v>34</v>
      </c>
      <c r="F24" s="54" t="s">
        <v>34</v>
      </c>
      <c r="G24" s="54" t="s">
        <v>301</v>
      </c>
      <c r="H24" s="54" t="s">
        <v>31</v>
      </c>
      <c r="I24" s="54" t="s">
        <v>817</v>
      </c>
      <c r="J24" s="54" t="s">
        <v>303</v>
      </c>
      <c r="K24" s="54" t="s">
        <v>305</v>
      </c>
      <c r="L24" s="87">
        <v>42755</v>
      </c>
      <c r="M24" s="34" t="str">
        <f>IFERROR(INDEX(BASE,MATCH(tblPRINTERS[[#This Row],[CASE ID]],BASE_CASOS,0),MATCH(tblPRINTERS[[#Headers],[tratativa]],BASE_CAB,0)),"Retornar com prioridade")</f>
        <v>Responder pesquisa</v>
      </c>
      <c r="N24" s="34" t="str">
        <f>IFERROR(INDEX(BASE,MATCH(tblPRINTERS[[#This Row],[CASE ID]],BASE_CASOS,0),MATCH(tblPRINTERS[[#Headers],[Observação]],BASE_CAB,0)),"-")</f>
        <v>Nota 9/10</v>
      </c>
      <c r="O24" s="34" t="str">
        <f>IFERROR(INDEX(BASE,MATCH(tblPRINTERS[[#This Row],[CASE ID]],BASE_CASOS,0),MATCH(tblPRINTERS[[#Headers],[Observação Calback]],BASE_CAB,0)),"-")</f>
        <v>ira responder</v>
      </c>
      <c r="P24" s="42" t="str">
        <f>IF(ISERROR(INDEX(QUALIDADE,MATCH(tblPRINTERS[[#This Row],[CASE ID]],PROTOCOLO_PESQUISAS,0),MATCH("Return Time",QUALIDADE_CAB,0)))=FALSE,INDEX(QUALIDADE,MATCH(tblPRINTERS[[#This Row],[CASE ID]],PROTOCOLO_PESQUISAS,0),MATCH("Return Time",QUALIDADE_CAB,0)),"")</f>
        <v/>
      </c>
      <c r="Q24" s="34" t="str">
        <f>IF(tblPRINTERS[[#This Row],[DATA | PESQUISA RECEBIDA]]="","",PROPER(TEXT(tblPRINTERS[[#This Row],[DATA | PESQUISA RECEBIDA]],"DDDD")))</f>
        <v/>
      </c>
    </row>
    <row r="25" spans="1:17" hidden="1">
      <c r="A25" s="54">
        <v>3035851244</v>
      </c>
      <c r="B25" s="54" t="s">
        <v>500</v>
      </c>
      <c r="C25" s="90">
        <v>42752</v>
      </c>
      <c r="D25" s="89">
        <v>42754.737961145831</v>
      </c>
      <c r="E25" s="54" t="s">
        <v>55</v>
      </c>
      <c r="F25" s="54" t="s">
        <v>55</v>
      </c>
      <c r="G25" s="54" t="s">
        <v>301</v>
      </c>
      <c r="H25" s="54" t="s">
        <v>23</v>
      </c>
      <c r="I25" s="54" t="s">
        <v>817</v>
      </c>
      <c r="J25" s="54" t="s">
        <v>304</v>
      </c>
      <c r="K25" s="54" t="s">
        <v>2151</v>
      </c>
      <c r="L25" s="87">
        <v>42755</v>
      </c>
      <c r="M25" s="34" t="str">
        <f>IFERROR(INDEX(BASE,MATCH(tblPRINTERS[[#This Row],[CASE ID]],BASE_CASOS,0),MATCH(tblPRINTERS[[#Headers],[tratativa]],BASE_CAB,0)),"Retornar com prioridade")</f>
        <v>Responder pesquisa</v>
      </c>
      <c r="N25" s="34" t="str">
        <f>IFERROR(INDEX(BASE,MATCH(tblPRINTERS[[#This Row],[CASE ID]],BASE_CASOS,0),MATCH(tblPRINTERS[[#Headers],[Observação]],BASE_CAB,0)),"-")</f>
        <v>Nota 9/10</v>
      </c>
      <c r="O25" s="34" t="str">
        <f>IFERROR(INDEX(BASE,MATCH(tblPRINTERS[[#This Row],[CASE ID]],BASE_CASOS,0),MATCH(tblPRINTERS[[#Headers],[Observação Calback]],BASE_CAB,0)),"-")</f>
        <v>ira responder</v>
      </c>
      <c r="P25" s="42" t="str">
        <f>IF(ISERROR(INDEX(QUALIDADE,MATCH(tblPRINTERS[[#This Row],[CASE ID]],PROTOCOLO_PESQUISAS,0),MATCH("Return Time",QUALIDADE_CAB,0)))=FALSE,INDEX(QUALIDADE,MATCH(tblPRINTERS[[#This Row],[CASE ID]],PROTOCOLO_PESQUISAS,0),MATCH("Return Time",QUALIDADE_CAB,0)),"")</f>
        <v/>
      </c>
      <c r="Q25" s="34" t="str">
        <f>IF(tblPRINTERS[[#This Row],[DATA | PESQUISA RECEBIDA]]="","",PROPER(TEXT(tblPRINTERS[[#This Row],[DATA | PESQUISA RECEBIDA]],"DDDD")))</f>
        <v/>
      </c>
    </row>
    <row r="26" spans="1:17" hidden="1">
      <c r="A26" s="54">
        <v>3035828533</v>
      </c>
      <c r="B26" s="54" t="s">
        <v>500</v>
      </c>
      <c r="C26" s="90">
        <v>42752</v>
      </c>
      <c r="D26" s="89">
        <v>42754.737961145831</v>
      </c>
      <c r="E26" s="54" t="s">
        <v>281</v>
      </c>
      <c r="F26" s="54" t="s">
        <v>281</v>
      </c>
      <c r="G26" s="54" t="s">
        <v>301</v>
      </c>
      <c r="H26" s="54" t="s">
        <v>51</v>
      </c>
      <c r="I26" s="54" t="s">
        <v>817</v>
      </c>
      <c r="J26" s="54" t="s">
        <v>304</v>
      </c>
      <c r="K26" s="54" t="s">
        <v>307</v>
      </c>
      <c r="L26" s="87">
        <v>42755</v>
      </c>
      <c r="M26" s="34" t="str">
        <f>IFERROR(INDEX(BASE,MATCH(tblPRINTERS[[#This Row],[CASE ID]],BASE_CASOS,0),MATCH(tblPRINTERS[[#Headers],[tratativa]],BASE_CAB,0)),"Retornar com prioridade")</f>
        <v>Responder pesquisa</v>
      </c>
      <c r="N26" s="34" t="str">
        <f>IFERROR(INDEX(BASE,MATCH(tblPRINTERS[[#This Row],[CASE ID]],BASE_CASOS,0),MATCH(tblPRINTERS[[#Headers],[Observação]],BASE_CAB,0)),"-")</f>
        <v>Nota 9/10</v>
      </c>
      <c r="O26" s="34" t="str">
        <f>IFERROR(INDEX(BASE,MATCH(tblPRINTERS[[#This Row],[CASE ID]],BASE_CASOS,0),MATCH(tblPRINTERS[[#Headers],[Observação Calback]],BASE_CAB,0)),"-")</f>
        <v>ira responder</v>
      </c>
      <c r="P26" s="42" t="str">
        <f>IF(ISERROR(INDEX(QUALIDADE,MATCH(tblPRINTERS[[#This Row],[CASE ID]],PROTOCOLO_PESQUISAS,0),MATCH("Return Time",QUALIDADE_CAB,0)))=FALSE,INDEX(QUALIDADE,MATCH(tblPRINTERS[[#This Row],[CASE ID]],PROTOCOLO_PESQUISAS,0),MATCH("Return Time",QUALIDADE_CAB,0)),"")</f>
        <v/>
      </c>
      <c r="Q26" s="34" t="str">
        <f>IF(tblPRINTERS[[#This Row],[DATA | PESQUISA RECEBIDA]]="","",PROPER(TEXT(tblPRINTERS[[#This Row],[DATA | PESQUISA RECEBIDA]],"DDDD")))</f>
        <v/>
      </c>
    </row>
    <row r="27" spans="1:17" hidden="1">
      <c r="A27" s="54">
        <v>3035851757</v>
      </c>
      <c r="B27" s="54" t="s">
        <v>500</v>
      </c>
      <c r="C27" s="90">
        <v>42752</v>
      </c>
      <c r="D27" s="89">
        <v>42754.737961145831</v>
      </c>
      <c r="E27" s="54" t="s">
        <v>4381</v>
      </c>
      <c r="F27" s="54" t="s">
        <v>4381</v>
      </c>
      <c r="G27" s="54" t="s">
        <v>301</v>
      </c>
      <c r="H27" s="54" t="s">
        <v>23</v>
      </c>
      <c r="L27" s="87"/>
      <c r="M27" s="34" t="str">
        <f>IFERROR(INDEX(BASE,MATCH(tblPRINTERS[[#This Row],[CASE ID]],BASE_CASOS,0),MATCH(tblPRINTERS[[#Headers],[tratativa]],BASE_CAB,0)),"Retornar com prioridade")</f>
        <v>Não responder pesquisa</v>
      </c>
      <c r="N27" s="34" t="str">
        <f>IFERROR(INDEX(BASE,MATCH(tblPRINTERS[[#This Row],[CASE ID]],BASE_CASOS,0),MATCH(tblPRINTERS[[#Headers],[Observação]],BASE_CAB,0)),"-")</f>
        <v>Cliente insatisfeito HP / Equipamento</v>
      </c>
      <c r="O27" s="34" t="str">
        <f>IFERROR(INDEX(BASE,MATCH(tblPRINTERS[[#This Row],[CASE ID]],BASE_CASOS,0),MATCH(tblPRINTERS[[#Headers],[Observação Calback]],BASE_CAB,0)),"-")</f>
        <v>agendar tco, cliente extremamente insatisfeita,</v>
      </c>
      <c r="P27" s="42" t="str">
        <f>IF(ISERROR(INDEX(QUALIDADE,MATCH(tblPRINTERS[[#This Row],[CASE ID]],PROTOCOLO_PESQUISAS,0),MATCH("Return Time",QUALIDADE_CAB,0)))=FALSE,INDEX(QUALIDADE,MATCH(tblPRINTERS[[#This Row],[CASE ID]],PROTOCOLO_PESQUISAS,0),MATCH("Return Time",QUALIDADE_CAB,0)),"")</f>
        <v/>
      </c>
      <c r="Q27" s="34" t="str">
        <f>IF(tblPRINTERS[[#This Row],[DATA | PESQUISA RECEBIDA]]="","",PROPER(TEXT(tblPRINTERS[[#This Row],[DATA | PESQUISA RECEBIDA]],"DDDD")))</f>
        <v/>
      </c>
    </row>
    <row r="28" spans="1:17">
      <c r="A28" s="54">
        <v>3035727484</v>
      </c>
      <c r="B28" s="54" t="s">
        <v>500</v>
      </c>
      <c r="C28" s="90">
        <v>42752</v>
      </c>
      <c r="D28" s="89">
        <v>42754.737961145831</v>
      </c>
      <c r="E28" s="54" t="s">
        <v>1362</v>
      </c>
      <c r="F28" s="54" t="s">
        <v>38</v>
      </c>
      <c r="G28" s="54" t="s">
        <v>302</v>
      </c>
      <c r="H28" s="54" t="s">
        <v>39</v>
      </c>
      <c r="L28" s="87"/>
      <c r="M28" s="34" t="str">
        <f>IFERROR(INDEX(BASE,MATCH(tblPRINTERS[[#This Row],[CASE ID]],BASE_CASOS,0),MATCH(tblPRINTERS[[#Headers],[tratativa]],BASE_CAB,0)),"Retornar com prioridade")</f>
        <v>Sem contato</v>
      </c>
      <c r="N28" s="34" t="str">
        <f>IFERROR(INDEX(BASE,MATCH(tblPRINTERS[[#This Row],[CASE ID]],BASE_CASOS,0),MATCH(tblPRINTERS[[#Headers],[Observação]],BASE_CAB,0)),"-")</f>
        <v>Sem contato (Só chama, Cx postal, Ocupado)</v>
      </c>
      <c r="O28" s="34" t="str">
        <f>IFERROR(INDEX(BASE,MATCH(tblPRINTERS[[#This Row],[CASE ID]],BASE_CASOS,0),MATCH(tblPRINTERS[[#Headers],[Observação Calback]],BASE_CAB,0)),"-")</f>
        <v>Somente 1 telefone</v>
      </c>
      <c r="P28" s="42" t="str">
        <f>IF(ISERROR(INDEX(QUALIDADE,MATCH(tblPRINTERS[[#This Row],[CASE ID]],PROTOCOLO_PESQUISAS,0),MATCH("Return Time",QUALIDADE_CAB,0)))=FALSE,INDEX(QUALIDADE,MATCH(tblPRINTERS[[#This Row],[CASE ID]],PROTOCOLO_PESQUISAS,0),MATCH("Return Time",QUALIDADE_CAB,0)),"")</f>
        <v/>
      </c>
      <c r="Q28" s="34" t="str">
        <f>IF(tblPRINTERS[[#This Row],[DATA | PESQUISA RECEBIDA]]="","",PROPER(TEXT(tblPRINTERS[[#This Row],[DATA | PESQUISA RECEBIDA]],"DDDD")))</f>
        <v/>
      </c>
    </row>
    <row r="29" spans="1:17" hidden="1">
      <c r="A29" s="54">
        <v>3035846701</v>
      </c>
      <c r="B29" s="54" t="s">
        <v>500</v>
      </c>
      <c r="C29" s="90">
        <v>42752</v>
      </c>
      <c r="D29" s="89">
        <v>42754.737961145831</v>
      </c>
      <c r="E29" s="54" t="s">
        <v>13</v>
      </c>
      <c r="F29" s="54" t="s">
        <v>13</v>
      </c>
      <c r="G29" s="54" t="s">
        <v>301</v>
      </c>
      <c r="H29" s="54" t="s">
        <v>9</v>
      </c>
      <c r="I29" s="54" t="s">
        <v>817</v>
      </c>
      <c r="J29" s="54" t="s">
        <v>303</v>
      </c>
      <c r="K29" s="54" t="s">
        <v>305</v>
      </c>
      <c r="L29" s="87">
        <v>42755</v>
      </c>
      <c r="M29" s="34" t="str">
        <f>IFERROR(INDEX(BASE,MATCH(tblPRINTERS[[#This Row],[CASE ID]],BASE_CASOS,0),MATCH(tblPRINTERS[[#Headers],[tratativa]],BASE_CAB,0)),"Retornar com prioridade")</f>
        <v>Responder pesquisa</v>
      </c>
      <c r="N29" s="34" t="str">
        <f>IFERROR(INDEX(BASE,MATCH(tblPRINTERS[[#This Row],[CASE ID]],BASE_CASOS,0),MATCH(tblPRINTERS[[#Headers],[Observação]],BASE_CAB,0)),"-")</f>
        <v>Nota 9/10</v>
      </c>
      <c r="O29" s="34" t="str">
        <f>IFERROR(INDEX(BASE,MATCH(tblPRINTERS[[#This Row],[CASE ID]],BASE_CASOS,0),MATCH(tblPRINTERS[[#Headers],[Observação Calback]],BASE_CAB,0)),"-")</f>
        <v>ira responder</v>
      </c>
      <c r="P29" s="42" t="str">
        <f>IF(ISERROR(INDEX(QUALIDADE,MATCH(tblPRINTERS[[#This Row],[CASE ID]],PROTOCOLO_PESQUISAS,0),MATCH("Return Time",QUALIDADE_CAB,0)))=FALSE,INDEX(QUALIDADE,MATCH(tblPRINTERS[[#This Row],[CASE ID]],PROTOCOLO_PESQUISAS,0),MATCH("Return Time",QUALIDADE_CAB,0)),"")</f>
        <v/>
      </c>
      <c r="Q29" s="34" t="str">
        <f>IF(tblPRINTERS[[#This Row],[DATA | PESQUISA RECEBIDA]]="","",PROPER(TEXT(tblPRINTERS[[#This Row],[DATA | PESQUISA RECEBIDA]],"DDDD")))</f>
        <v/>
      </c>
    </row>
    <row r="30" spans="1:17">
      <c r="A30" s="54">
        <v>3035688623</v>
      </c>
      <c r="B30" s="54" t="s">
        <v>500</v>
      </c>
      <c r="C30" s="90">
        <v>42752</v>
      </c>
      <c r="D30" s="89">
        <v>42754.737961145831</v>
      </c>
      <c r="E30" s="54" t="s">
        <v>27</v>
      </c>
      <c r="F30" s="54" t="s">
        <v>1423</v>
      </c>
      <c r="G30" s="54" t="s">
        <v>302</v>
      </c>
      <c r="H30" s="54" t="s">
        <v>23</v>
      </c>
      <c r="L30" s="87"/>
      <c r="M30" s="34" t="str">
        <f>IFERROR(INDEX(BASE,MATCH(tblPRINTERS[[#This Row],[CASE ID]],BASE_CASOS,0),MATCH(tblPRINTERS[[#Headers],[tratativa]],BASE_CAB,0)),"Retornar com prioridade")</f>
        <v>Sem contato</v>
      </c>
      <c r="N30" s="34" t="str">
        <f>IFERROR(INDEX(BASE,MATCH(tblPRINTERS[[#This Row],[CASE ID]],BASE_CASOS,0),MATCH(tblPRINTERS[[#Headers],[Observação]],BASE_CAB,0)),"-")</f>
        <v>Sem contato (Só chama, Cx postal, Ocupado)</v>
      </c>
      <c r="O30" s="34" t="str">
        <f>IFERROR(INDEX(BASE,MATCH(tblPRINTERS[[#This Row],[CASE ID]],BASE_CASOS,0),MATCH(tblPRINTERS[[#Headers],[Observação Calback]],BASE_CAB,0)),"-")</f>
        <v>so chama</v>
      </c>
      <c r="P30" s="42" t="str">
        <f>IF(ISERROR(INDEX(QUALIDADE,MATCH(tblPRINTERS[[#This Row],[CASE ID]],PROTOCOLO_PESQUISAS,0),MATCH("Return Time",QUALIDADE_CAB,0)))=FALSE,INDEX(QUALIDADE,MATCH(tblPRINTERS[[#This Row],[CASE ID]],PROTOCOLO_PESQUISAS,0),MATCH("Return Time",QUALIDADE_CAB,0)),"")</f>
        <v/>
      </c>
      <c r="Q30" s="34" t="str">
        <f>IF(tblPRINTERS[[#This Row],[DATA | PESQUISA RECEBIDA]]="","",PROPER(TEXT(tblPRINTERS[[#This Row],[DATA | PESQUISA RECEBIDA]],"DDDD")))</f>
        <v/>
      </c>
    </row>
    <row r="31" spans="1:17" hidden="1">
      <c r="A31" s="54">
        <v>3035859948</v>
      </c>
      <c r="B31" s="54" t="s">
        <v>500</v>
      </c>
      <c r="C31" s="90">
        <v>42752</v>
      </c>
      <c r="D31" s="89">
        <v>42754.737961145831</v>
      </c>
      <c r="E31" s="54" t="s">
        <v>1525</v>
      </c>
      <c r="F31" s="54" t="s">
        <v>1525</v>
      </c>
      <c r="G31" s="54" t="s">
        <v>301</v>
      </c>
      <c r="H31" s="54" t="s">
        <v>23</v>
      </c>
      <c r="I31" s="54" t="s">
        <v>817</v>
      </c>
      <c r="J31" s="54" t="s">
        <v>304</v>
      </c>
      <c r="K31" s="54" t="s">
        <v>307</v>
      </c>
      <c r="L31" s="87">
        <v>42755</v>
      </c>
      <c r="M31" s="34" t="str">
        <f>IFERROR(INDEX(BASE,MATCH(tblPRINTERS[[#This Row],[CASE ID]],BASE_CASOS,0),MATCH(tblPRINTERS[[#Headers],[tratativa]],BASE_CAB,0)),"Retornar com prioridade")</f>
        <v>Responder pesquisa</v>
      </c>
      <c r="N31" s="34" t="str">
        <f>IFERROR(INDEX(BASE,MATCH(tblPRINTERS[[#This Row],[CASE ID]],BASE_CASOS,0),MATCH(tblPRINTERS[[#Headers],[Observação]],BASE_CAB,0)),"-")</f>
        <v>Nota 9/10</v>
      </c>
      <c r="O31" s="34" t="str">
        <f>IFERROR(INDEX(BASE,MATCH(tblPRINTERS[[#This Row],[CASE ID]],BASE_CASOS,0),MATCH(tblPRINTERS[[#Headers],[Observação Calback]],BASE_CAB,0)),"-")</f>
        <v>ira responder</v>
      </c>
      <c r="P31" s="42" t="str">
        <f>IF(ISERROR(INDEX(QUALIDADE,MATCH(tblPRINTERS[[#This Row],[CASE ID]],PROTOCOLO_PESQUISAS,0),MATCH("Return Time",QUALIDADE_CAB,0)))=FALSE,INDEX(QUALIDADE,MATCH(tblPRINTERS[[#This Row],[CASE ID]],PROTOCOLO_PESQUISAS,0),MATCH("Return Time",QUALIDADE_CAB,0)),"")</f>
        <v/>
      </c>
      <c r="Q31" s="34" t="str">
        <f>IF(tblPRINTERS[[#This Row],[DATA | PESQUISA RECEBIDA]]="","",PROPER(TEXT(tblPRINTERS[[#This Row],[DATA | PESQUISA RECEBIDA]],"DDDD")))</f>
        <v/>
      </c>
    </row>
    <row r="32" spans="1:17" hidden="1">
      <c r="A32" s="54">
        <v>3035857575</v>
      </c>
      <c r="B32" s="54" t="s">
        <v>500</v>
      </c>
      <c r="C32" s="90">
        <v>42752</v>
      </c>
      <c r="D32" s="89">
        <v>42754.737961145831</v>
      </c>
      <c r="E32" s="54" t="s">
        <v>24</v>
      </c>
      <c r="F32" s="54" t="s">
        <v>4627</v>
      </c>
      <c r="G32" s="54" t="s">
        <v>302</v>
      </c>
      <c r="H32" s="54" t="s">
        <v>23</v>
      </c>
      <c r="L32" s="87"/>
      <c r="M32" s="34" t="str">
        <f>IFERROR(INDEX(BASE,MATCH(tblPRINTERS[[#This Row],[CASE ID]],BASE_CASOS,0),MATCH(tblPRINTERS[[#Headers],[tratativa]],BASE_CAB,0)),"Retornar com prioridade")</f>
        <v>Não responder pesquisa</v>
      </c>
      <c r="N32" s="34" t="str">
        <f>IFERROR(INDEX(BASE,MATCH(tblPRINTERS[[#This Row],[CASE ID]],BASE_CASOS,0),MATCH(tblPRINTERS[[#Headers],[Observação]],BASE_CAB,0)),"-")</f>
        <v>Caso não resolvido / Equipamento em reparo</v>
      </c>
      <c r="O32" s="34" t="str">
        <f>IFERROR(INDEX(BASE,MATCH(tblPRINTERS[[#This Row],[CASE ID]],BASE_CASOS,0),MATCH(tblPRINTERS[[#Headers],[Observação Calback]],BASE_CAB,0)),"-")</f>
        <v>Vai retornar com suporte</v>
      </c>
      <c r="P32" s="42" t="str">
        <f>IF(ISERROR(INDEX(QUALIDADE,MATCH(tblPRINTERS[[#This Row],[CASE ID]],PROTOCOLO_PESQUISAS,0),MATCH("Return Time",QUALIDADE_CAB,0)))=FALSE,INDEX(QUALIDADE,MATCH(tblPRINTERS[[#This Row],[CASE ID]],PROTOCOLO_PESQUISAS,0),MATCH("Return Time",QUALIDADE_CAB,0)),"")</f>
        <v/>
      </c>
      <c r="Q32" s="34" t="str">
        <f>IF(tblPRINTERS[[#This Row],[DATA | PESQUISA RECEBIDA]]="","",PROPER(TEXT(tblPRINTERS[[#This Row],[DATA | PESQUISA RECEBIDA]],"DDDD")))</f>
        <v/>
      </c>
    </row>
    <row r="33" spans="1:17" hidden="1">
      <c r="A33" s="54">
        <v>3035856406</v>
      </c>
      <c r="B33" s="54" t="s">
        <v>500</v>
      </c>
      <c r="C33" s="90">
        <v>42752</v>
      </c>
      <c r="D33" s="89">
        <v>42754.737961145831</v>
      </c>
      <c r="E33" s="54" t="s">
        <v>55</v>
      </c>
      <c r="F33" s="54" t="s">
        <v>55</v>
      </c>
      <c r="G33" s="54" t="s">
        <v>301</v>
      </c>
      <c r="H33" s="54" t="s">
        <v>23</v>
      </c>
      <c r="I33" s="54" t="s">
        <v>817</v>
      </c>
      <c r="J33" s="54" t="s">
        <v>303</v>
      </c>
      <c r="K33" s="54" t="s">
        <v>305</v>
      </c>
      <c r="L33" s="87">
        <v>42755</v>
      </c>
      <c r="M33" s="34" t="str">
        <f>IFERROR(INDEX(BASE,MATCH(tblPRINTERS[[#This Row],[CASE ID]],BASE_CASOS,0),MATCH(tblPRINTERS[[#Headers],[tratativa]],BASE_CAB,0)),"Retornar com prioridade")</f>
        <v>Responder pesquisa</v>
      </c>
      <c r="N33" s="34" t="str">
        <f>IFERROR(INDEX(BASE,MATCH(tblPRINTERS[[#This Row],[CASE ID]],BASE_CASOS,0),MATCH(tblPRINTERS[[#Headers],[Observação]],BASE_CAB,0)),"-")</f>
        <v>Nota 9/10</v>
      </c>
      <c r="O33" s="34" t="str">
        <f>IFERROR(INDEX(BASE,MATCH(tblPRINTERS[[#This Row],[CASE ID]],BASE_CASOS,0),MATCH(tblPRINTERS[[#Headers],[Observação Calback]],BASE_CAB,0)),"-")</f>
        <v>ira responder</v>
      </c>
      <c r="P33" s="42" t="str">
        <f>IF(ISERROR(INDEX(QUALIDADE,MATCH(tblPRINTERS[[#This Row],[CASE ID]],PROTOCOLO_PESQUISAS,0),MATCH("Return Time",QUALIDADE_CAB,0)))=FALSE,INDEX(QUALIDADE,MATCH(tblPRINTERS[[#This Row],[CASE ID]],PROTOCOLO_PESQUISAS,0),MATCH("Return Time",QUALIDADE_CAB,0)),"")</f>
        <v/>
      </c>
      <c r="Q33" s="34" t="str">
        <f>IF(tblPRINTERS[[#This Row],[DATA | PESQUISA RECEBIDA]]="","",PROPER(TEXT(tblPRINTERS[[#This Row],[DATA | PESQUISA RECEBIDA]],"DDDD")))</f>
        <v/>
      </c>
    </row>
    <row r="34" spans="1:17">
      <c r="A34" s="54">
        <v>3035859966</v>
      </c>
      <c r="B34" s="54" t="s">
        <v>500</v>
      </c>
      <c r="C34" s="90">
        <v>42752</v>
      </c>
      <c r="D34" s="89">
        <v>42754.737961145831</v>
      </c>
      <c r="E34" s="54" t="s">
        <v>2141</v>
      </c>
      <c r="F34" s="54" t="s">
        <v>2141</v>
      </c>
      <c r="G34" s="54" t="s">
        <v>301</v>
      </c>
      <c r="H34" s="54" t="s">
        <v>273</v>
      </c>
      <c r="I34" s="54" t="s">
        <v>817</v>
      </c>
      <c r="J34" s="54" t="s">
        <v>304</v>
      </c>
      <c r="K34" s="54" t="s">
        <v>306</v>
      </c>
      <c r="L34" s="87"/>
      <c r="M34" s="34" t="str">
        <f>IFERROR(INDEX(BASE,MATCH(tblPRINTERS[[#This Row],[CASE ID]],BASE_CASOS,0),MATCH(tblPRINTERS[[#Headers],[tratativa]],BASE_CAB,0)),"Retornar com prioridade")</f>
        <v>Sem contato</v>
      </c>
      <c r="N34" s="34" t="str">
        <f>IFERROR(INDEX(BASE,MATCH(tblPRINTERS[[#This Row],[CASE ID]],BASE_CASOS,0),MATCH(tblPRINTERS[[#Headers],[Observação]],BASE_CAB,0)),"-")</f>
        <v>Sem contato (Só chama, Cx postal, Ocupado)</v>
      </c>
      <c r="O34" s="34" t="str">
        <f>IFERROR(INDEX(BASE,MATCH(tblPRINTERS[[#This Row],[CASE ID]],BASE_CASOS,0),MATCH(tblPRINTERS[[#Headers],[Observação Calback]],BASE_CAB,0)),"-")</f>
        <v>Somente 1 telefone</v>
      </c>
      <c r="P34" s="42" t="str">
        <f>IF(ISERROR(INDEX(QUALIDADE,MATCH(tblPRINTERS[[#This Row],[CASE ID]],PROTOCOLO_PESQUISAS,0),MATCH("Return Time",QUALIDADE_CAB,0)))=FALSE,INDEX(QUALIDADE,MATCH(tblPRINTERS[[#This Row],[CASE ID]],PROTOCOLO_PESQUISAS,0),MATCH("Return Time",QUALIDADE_CAB,0)),"")</f>
        <v/>
      </c>
      <c r="Q34" s="34" t="str">
        <f>IF(tblPRINTERS[[#This Row],[DATA | PESQUISA RECEBIDA]]="","",PROPER(TEXT(tblPRINTERS[[#This Row],[DATA | PESQUISA RECEBIDA]],"DDDD")))</f>
        <v/>
      </c>
    </row>
    <row r="35" spans="1:17">
      <c r="A35" s="54">
        <v>3035757972</v>
      </c>
      <c r="B35" s="54" t="s">
        <v>500</v>
      </c>
      <c r="C35" s="90">
        <v>42752</v>
      </c>
      <c r="D35" s="89">
        <v>42754.737961145831</v>
      </c>
      <c r="E35" s="54" t="s">
        <v>2139</v>
      </c>
      <c r="F35" s="54" t="s">
        <v>21</v>
      </c>
      <c r="G35" s="54" t="s">
        <v>302</v>
      </c>
      <c r="H35" s="54" t="s">
        <v>273</v>
      </c>
      <c r="I35" s="54" t="s">
        <v>817</v>
      </c>
      <c r="J35" s="54" t="s">
        <v>304</v>
      </c>
      <c r="K35" s="54" t="s">
        <v>307</v>
      </c>
      <c r="L35" s="87"/>
      <c r="M35" s="34" t="str">
        <f>IFERROR(INDEX(BASE,MATCH(tblPRINTERS[[#This Row],[CASE ID]],BASE_CASOS,0),MATCH(tblPRINTERS[[#Headers],[tratativa]],BASE_CAB,0)),"Retornar com prioridade")</f>
        <v>Sem contato</v>
      </c>
      <c r="N35" s="34" t="str">
        <f>IFERROR(INDEX(BASE,MATCH(tblPRINTERS[[#This Row],[CASE ID]],BASE_CASOS,0),MATCH(tblPRINTERS[[#Headers],[Observação]],BASE_CAB,0)),"-")</f>
        <v>Sem contato (Só chama, Cx postal, Ocupado)</v>
      </c>
      <c r="O35" s="34" t="str">
        <f>IFERROR(INDEX(BASE,MATCH(tblPRINTERS[[#This Row],[CASE ID]],BASE_CASOS,0),MATCH(tblPRINTERS[[#Headers],[Observação Calback]],BASE_CAB,0)),"-")</f>
        <v>retornar 2 tel</v>
      </c>
      <c r="P35" s="42" t="str">
        <f>IF(ISERROR(INDEX(QUALIDADE,MATCH(tblPRINTERS[[#This Row],[CASE ID]],PROTOCOLO_PESQUISAS,0),MATCH("Return Time",QUALIDADE_CAB,0)))=FALSE,INDEX(QUALIDADE,MATCH(tblPRINTERS[[#This Row],[CASE ID]],PROTOCOLO_PESQUISAS,0),MATCH("Return Time",QUALIDADE_CAB,0)),"")</f>
        <v/>
      </c>
      <c r="Q35" s="34" t="str">
        <f>IF(tblPRINTERS[[#This Row],[DATA | PESQUISA RECEBIDA]]="","",PROPER(TEXT(tblPRINTERS[[#This Row],[DATA | PESQUISA RECEBIDA]],"DDDD")))</f>
        <v/>
      </c>
    </row>
    <row r="36" spans="1:17" hidden="1">
      <c r="A36" s="54">
        <v>3035809288</v>
      </c>
      <c r="B36" s="54" t="s">
        <v>500</v>
      </c>
      <c r="C36" s="90">
        <v>42752</v>
      </c>
      <c r="D36" s="89">
        <v>42754.737961145831</v>
      </c>
      <c r="E36" s="54" t="s">
        <v>54</v>
      </c>
      <c r="F36" s="54" t="s">
        <v>21</v>
      </c>
      <c r="G36" s="54" t="s">
        <v>302</v>
      </c>
      <c r="H36" s="54" t="s">
        <v>273</v>
      </c>
      <c r="I36" s="54" t="s">
        <v>817</v>
      </c>
      <c r="J36" s="54" t="s">
        <v>304</v>
      </c>
      <c r="K36" s="54" t="s">
        <v>306</v>
      </c>
      <c r="L36" s="87">
        <v>42755</v>
      </c>
      <c r="M36" s="34" t="str">
        <f>IFERROR(INDEX(BASE,MATCH(tblPRINTERS[[#This Row],[CASE ID]],BASE_CASOS,0),MATCH(tblPRINTERS[[#Headers],[tratativa]],BASE_CAB,0)),"Retornar com prioridade")</f>
        <v>Responder pesquisa</v>
      </c>
      <c r="N36" s="34" t="str">
        <f>IFERROR(INDEX(BASE,MATCH(tblPRINTERS[[#This Row],[CASE ID]],BASE_CASOS,0),MATCH(tblPRINTERS[[#Headers],[Observação]],BASE_CAB,0)),"-")</f>
        <v>Nota 9/10</v>
      </c>
      <c r="O36" s="34" t="str">
        <f>IFERROR(INDEX(BASE,MATCH(tblPRINTERS[[#This Row],[CASE ID]],BASE_CASOS,0),MATCH(tblPRINTERS[[#Headers],[Observação Calback]],BASE_CAB,0)),"-")</f>
        <v>ira responder</v>
      </c>
      <c r="P36" s="42" t="str">
        <f>IF(ISERROR(INDEX(QUALIDADE,MATCH(tblPRINTERS[[#This Row],[CASE ID]],PROTOCOLO_PESQUISAS,0),MATCH("Return Time",QUALIDADE_CAB,0)))=FALSE,INDEX(QUALIDADE,MATCH(tblPRINTERS[[#This Row],[CASE ID]],PROTOCOLO_PESQUISAS,0),MATCH("Return Time",QUALIDADE_CAB,0)),"")</f>
        <v/>
      </c>
      <c r="Q36" s="34" t="str">
        <f>IF(tblPRINTERS[[#This Row],[DATA | PESQUISA RECEBIDA]]="","",PROPER(TEXT(tblPRINTERS[[#This Row],[DATA | PESQUISA RECEBIDA]],"DDDD")))</f>
        <v/>
      </c>
    </row>
    <row r="37" spans="1:17">
      <c r="A37" s="54">
        <v>3035858530</v>
      </c>
      <c r="B37" s="54" t="s">
        <v>500</v>
      </c>
      <c r="C37" s="90">
        <v>42752</v>
      </c>
      <c r="D37" s="89">
        <v>42754.737961145831</v>
      </c>
      <c r="E37" s="54" t="s">
        <v>25</v>
      </c>
      <c r="F37" s="54" t="s">
        <v>25</v>
      </c>
      <c r="G37" s="54" t="s">
        <v>301</v>
      </c>
      <c r="H37" s="54" t="s">
        <v>23</v>
      </c>
      <c r="I37" s="54" t="s">
        <v>817</v>
      </c>
      <c r="J37" s="54" t="s">
        <v>303</v>
      </c>
      <c r="K37" s="54" t="s">
        <v>305</v>
      </c>
      <c r="L37" s="87"/>
      <c r="M37" s="34" t="str">
        <f>IFERROR(INDEX(BASE,MATCH(tblPRINTERS[[#This Row],[CASE ID]],BASE_CASOS,0),MATCH(tblPRINTERS[[#Headers],[tratativa]],BASE_CAB,0)),"Retornar com prioridade")</f>
        <v>Sem contato</v>
      </c>
      <c r="N37" s="34" t="str">
        <f>IFERROR(INDEX(BASE,MATCH(tblPRINTERS[[#This Row],[CASE ID]],BASE_CASOS,0),MATCH(tblPRINTERS[[#Headers],[Observação]],BASE_CAB,0)),"-")</f>
        <v>Sem contato (Só chama, Cx postal, Ocupado)</v>
      </c>
      <c r="O37" s="34" t="str">
        <f>IFERROR(INDEX(BASE,MATCH(tblPRINTERS[[#This Row],[CASE ID]],BASE_CASOS,0),MATCH(tblPRINTERS[[#Headers],[Observação Calback]],BASE_CAB,0)),"-")</f>
        <v>Os 2 telefones só chamam</v>
      </c>
      <c r="P37" s="42" t="str">
        <f>IF(ISERROR(INDEX(QUALIDADE,MATCH(tblPRINTERS[[#This Row],[CASE ID]],PROTOCOLO_PESQUISAS,0),MATCH("Return Time",QUALIDADE_CAB,0)))=FALSE,INDEX(QUALIDADE,MATCH(tblPRINTERS[[#This Row],[CASE ID]],PROTOCOLO_PESQUISAS,0),MATCH("Return Time",QUALIDADE_CAB,0)),"")</f>
        <v/>
      </c>
      <c r="Q37" s="34" t="str">
        <f>IF(tblPRINTERS[[#This Row],[DATA | PESQUISA RECEBIDA]]="","",PROPER(TEXT(tblPRINTERS[[#This Row],[DATA | PESQUISA RECEBIDA]],"DDDD")))</f>
        <v/>
      </c>
    </row>
    <row r="38" spans="1:17">
      <c r="A38" s="54">
        <v>3035848455</v>
      </c>
      <c r="B38" s="54" t="s">
        <v>500</v>
      </c>
      <c r="C38" s="90">
        <v>42752</v>
      </c>
      <c r="D38" s="89">
        <v>42754.737961145831</v>
      </c>
      <c r="E38" s="54" t="s">
        <v>583</v>
      </c>
      <c r="F38" s="54" t="s">
        <v>583</v>
      </c>
      <c r="G38" s="54" t="s">
        <v>301</v>
      </c>
      <c r="H38" s="54" t="s">
        <v>23</v>
      </c>
      <c r="I38" s="54" t="s">
        <v>817</v>
      </c>
      <c r="J38" s="54" t="s">
        <v>303</v>
      </c>
      <c r="K38" s="54" t="s">
        <v>4631</v>
      </c>
      <c r="L38" s="87"/>
      <c r="M38" s="34" t="str">
        <f>IFERROR(INDEX(BASE,MATCH(tblPRINTERS[[#This Row],[CASE ID]],BASE_CASOS,0),MATCH(tblPRINTERS[[#Headers],[tratativa]],BASE_CAB,0)),"Retornar com prioridade")</f>
        <v>Sem contato</v>
      </c>
      <c r="N38" s="34" t="str">
        <f>IFERROR(INDEX(BASE,MATCH(tblPRINTERS[[#This Row],[CASE ID]],BASE_CASOS,0),MATCH(tblPRINTERS[[#Headers],[Observação]],BASE_CAB,0)),"-")</f>
        <v>Sem contato (Só chama, Cx postal, Ocupado)</v>
      </c>
      <c r="O38" s="34" t="str">
        <f>IFERROR(INDEX(BASE,MATCH(tblPRINTERS[[#This Row],[CASE ID]],BASE_CASOS,0),MATCH(tblPRINTERS[[#Headers],[Observação Calback]],BASE_CAB,0)),"-")</f>
        <v>so 1 tel.</v>
      </c>
      <c r="P38" s="42" t="str">
        <f>IF(ISERROR(INDEX(QUALIDADE,MATCH(tblPRINTERS[[#This Row],[CASE ID]],PROTOCOLO_PESQUISAS,0),MATCH("Return Time",QUALIDADE_CAB,0)))=FALSE,INDEX(QUALIDADE,MATCH(tblPRINTERS[[#This Row],[CASE ID]],PROTOCOLO_PESQUISAS,0),MATCH("Return Time",QUALIDADE_CAB,0)),"")</f>
        <v/>
      </c>
      <c r="Q38" s="34" t="str">
        <f>IF(tblPRINTERS[[#This Row],[DATA | PESQUISA RECEBIDA]]="","",PROPER(TEXT(tblPRINTERS[[#This Row],[DATA | PESQUISA RECEBIDA]],"DDDD")))</f>
        <v/>
      </c>
    </row>
    <row r="39" spans="1:17">
      <c r="A39" s="54">
        <v>3035853935</v>
      </c>
      <c r="B39" s="54" t="s">
        <v>500</v>
      </c>
      <c r="C39" s="90">
        <v>42752</v>
      </c>
      <c r="D39" s="89">
        <v>42754.737961145831</v>
      </c>
      <c r="E39" s="54" t="s">
        <v>55</v>
      </c>
      <c r="F39" s="54" t="s">
        <v>55</v>
      </c>
      <c r="G39" s="54" t="s">
        <v>301</v>
      </c>
      <c r="H39" s="54" t="s">
        <v>23</v>
      </c>
      <c r="I39" s="54" t="s">
        <v>817</v>
      </c>
      <c r="J39" s="54" t="s">
        <v>303</v>
      </c>
      <c r="K39" s="54" t="s">
        <v>305</v>
      </c>
      <c r="L39" s="87"/>
      <c r="M39" s="34" t="str">
        <f>IFERROR(INDEX(BASE,MATCH(tblPRINTERS[[#This Row],[CASE ID]],BASE_CASOS,0),MATCH(tblPRINTERS[[#Headers],[tratativa]],BASE_CAB,0)),"Retornar com prioridade")</f>
        <v>Sem contato</v>
      </c>
      <c r="N39" s="34" t="str">
        <f>IFERROR(INDEX(BASE,MATCH(tblPRINTERS[[#This Row],[CASE ID]],BASE_CASOS,0),MATCH(tblPRINTERS[[#Headers],[Observação]],BASE_CAB,0)),"-")</f>
        <v>Sem contato (Só chama, Cx postal, Ocupado)</v>
      </c>
      <c r="O39" s="34" t="str">
        <f>IFERROR(INDEX(BASE,MATCH(tblPRINTERS[[#This Row],[CASE ID]],BASE_CASOS,0),MATCH(tblPRINTERS[[#Headers],[Observação Calback]],BASE_CAB,0)),"-")</f>
        <v>so chama</v>
      </c>
      <c r="P39" s="42" t="str">
        <f>IF(ISERROR(INDEX(QUALIDADE,MATCH(tblPRINTERS[[#This Row],[CASE ID]],PROTOCOLO_PESQUISAS,0),MATCH("Return Time",QUALIDADE_CAB,0)))=FALSE,INDEX(QUALIDADE,MATCH(tblPRINTERS[[#This Row],[CASE ID]],PROTOCOLO_PESQUISAS,0),MATCH("Return Time",QUALIDADE_CAB,0)),"")</f>
        <v/>
      </c>
      <c r="Q39" s="34" t="str">
        <f>IF(tblPRINTERS[[#This Row],[DATA | PESQUISA RECEBIDA]]="","",PROPER(TEXT(tblPRINTERS[[#This Row],[DATA | PESQUISA RECEBIDA]],"DDDD")))</f>
        <v/>
      </c>
    </row>
    <row r="40" spans="1:17" hidden="1">
      <c r="A40" s="54">
        <v>3035850165</v>
      </c>
      <c r="B40" s="54" t="s">
        <v>500</v>
      </c>
      <c r="C40" s="90">
        <v>42752</v>
      </c>
      <c r="D40" s="89">
        <v>42754.737961145831</v>
      </c>
      <c r="E40" s="54" t="s">
        <v>25</v>
      </c>
      <c r="F40" s="54" t="s">
        <v>25</v>
      </c>
      <c r="G40" s="54" t="s">
        <v>301</v>
      </c>
      <c r="H40" s="54" t="s">
        <v>23</v>
      </c>
      <c r="I40" s="54" t="s">
        <v>817</v>
      </c>
      <c r="J40" s="54" t="s">
        <v>304</v>
      </c>
      <c r="K40" s="54" t="s">
        <v>307</v>
      </c>
      <c r="L40" s="87">
        <v>42755</v>
      </c>
      <c r="M40" s="34" t="str">
        <f>IFERROR(INDEX(BASE,MATCH(tblPRINTERS[[#This Row],[CASE ID]],BASE_CASOS,0),MATCH(tblPRINTERS[[#Headers],[tratativa]],BASE_CAB,0)),"Retornar com prioridade")</f>
        <v>Responder pesquisa</v>
      </c>
      <c r="N40" s="34" t="str">
        <f>IFERROR(INDEX(BASE,MATCH(tblPRINTERS[[#This Row],[CASE ID]],BASE_CASOS,0),MATCH(tblPRINTERS[[#Headers],[Observação]],BASE_CAB,0)),"-")</f>
        <v>Nota 9/10</v>
      </c>
      <c r="O40" s="34" t="str">
        <f>IFERROR(INDEX(BASE,MATCH(tblPRINTERS[[#This Row],[CASE ID]],BASE_CASOS,0),MATCH(tblPRINTERS[[#Headers],[Observação Calback]],BASE_CAB,0)),"-")</f>
        <v>ira responder</v>
      </c>
      <c r="P40" s="42" t="str">
        <f>IF(ISERROR(INDEX(QUALIDADE,MATCH(tblPRINTERS[[#This Row],[CASE ID]],PROTOCOLO_PESQUISAS,0),MATCH("Return Time",QUALIDADE_CAB,0)))=FALSE,INDEX(QUALIDADE,MATCH(tblPRINTERS[[#This Row],[CASE ID]],PROTOCOLO_PESQUISAS,0),MATCH("Return Time",QUALIDADE_CAB,0)),"")</f>
        <v/>
      </c>
      <c r="Q40" s="34" t="str">
        <f>IF(tblPRINTERS[[#This Row],[DATA | PESQUISA RECEBIDA]]="","",PROPER(TEXT(tblPRINTERS[[#This Row],[DATA | PESQUISA RECEBIDA]],"DDDD")))</f>
        <v/>
      </c>
    </row>
    <row r="41" spans="1:17" hidden="1">
      <c r="A41" s="54">
        <v>3035853898</v>
      </c>
      <c r="B41" s="54" t="s">
        <v>500</v>
      </c>
      <c r="C41" s="90">
        <v>42752</v>
      </c>
      <c r="D41" s="89">
        <v>42754.737961145831</v>
      </c>
      <c r="E41" s="54" t="s">
        <v>1423</v>
      </c>
      <c r="F41" s="54" t="s">
        <v>1423</v>
      </c>
      <c r="G41" s="54" t="s">
        <v>301</v>
      </c>
      <c r="H41" s="54" t="s">
        <v>31</v>
      </c>
      <c r="L41" s="87"/>
      <c r="M41" s="34" t="str">
        <f>IFERROR(INDEX(BASE,MATCH(tblPRINTERS[[#This Row],[CASE ID]],BASE_CASOS,0),MATCH(tblPRINTERS[[#Headers],[tratativa]],BASE_CAB,0)),"Retornar com prioridade")</f>
        <v>Não responder pesquisa</v>
      </c>
      <c r="N41" s="34" t="str">
        <f>IFERROR(INDEX(BASE,MATCH(tblPRINTERS[[#This Row],[CASE ID]],BASE_CASOS,0),MATCH(tblPRINTERS[[#Headers],[Observação]],BASE_CAB,0)),"-")</f>
        <v>Caso não resolvido / Equipamento em reparo</v>
      </c>
      <c r="O41" s="34" t="str">
        <f>IFERROR(INDEX(BASE,MATCH(tblPRINTERS[[#This Row],[CASE ID]],BASE_CASOS,0),MATCH(tblPRINTERS[[#Headers],[Observação Calback]],BASE_CAB,0)),"-")</f>
        <v>Pendente de POP</v>
      </c>
      <c r="P41" s="42" t="str">
        <f>IF(ISERROR(INDEX(QUALIDADE,MATCH(tblPRINTERS[[#This Row],[CASE ID]],PROTOCOLO_PESQUISAS,0),MATCH("Return Time",QUALIDADE_CAB,0)))=FALSE,INDEX(QUALIDADE,MATCH(tblPRINTERS[[#This Row],[CASE ID]],PROTOCOLO_PESQUISAS,0),MATCH("Return Time",QUALIDADE_CAB,0)),"")</f>
        <v/>
      </c>
      <c r="Q41" s="34" t="str">
        <f>IF(tblPRINTERS[[#This Row],[DATA | PESQUISA RECEBIDA]]="","",PROPER(TEXT(tblPRINTERS[[#This Row],[DATA | PESQUISA RECEBIDA]],"DDDD")))</f>
        <v/>
      </c>
    </row>
    <row r="42" spans="1:17" hidden="1">
      <c r="A42" s="54">
        <v>3035823144</v>
      </c>
      <c r="B42" s="54" t="s">
        <v>500</v>
      </c>
      <c r="C42" s="90">
        <v>42752</v>
      </c>
      <c r="D42" s="89">
        <v>42754.737961145831</v>
      </c>
      <c r="E42" s="54" t="s">
        <v>50</v>
      </c>
      <c r="F42" s="54" t="s">
        <v>21</v>
      </c>
      <c r="G42" s="54" t="s">
        <v>302</v>
      </c>
      <c r="H42" s="54" t="s">
        <v>273</v>
      </c>
      <c r="L42" s="87"/>
      <c r="M42" s="34" t="str">
        <f>IFERROR(INDEX(BASE,MATCH(tblPRINTERS[[#This Row],[CASE ID]],BASE_CASOS,0),MATCH(tblPRINTERS[[#Headers],[tratativa]],BASE_CAB,0)),"Retornar com prioridade")</f>
        <v>Não responder pesquisa</v>
      </c>
      <c r="N42" s="34" t="str">
        <f>IFERROR(INDEX(BASE,MATCH(tblPRINTERS[[#This Row],[CASE ID]],BASE_CASOS,0),MATCH(tblPRINTERS[[#Headers],[Observação]],BASE_CAB,0)),"-")</f>
        <v>Caso não resolvido / Equipamento em reparo</v>
      </c>
      <c r="O42" s="34" t="str">
        <f>IFERROR(INDEX(BASE,MATCH(tblPRINTERS[[#This Row],[CASE ID]],BASE_CASOS,0),MATCH(tblPRINTERS[[#Headers],[Observação Calback]],BASE_CAB,0)),"-")</f>
        <v>ira retornar</v>
      </c>
      <c r="P42" s="42" t="str">
        <f>IF(ISERROR(INDEX(QUALIDADE,MATCH(tblPRINTERS[[#This Row],[CASE ID]],PROTOCOLO_PESQUISAS,0),MATCH("Return Time",QUALIDADE_CAB,0)))=FALSE,INDEX(QUALIDADE,MATCH(tblPRINTERS[[#This Row],[CASE ID]],PROTOCOLO_PESQUISAS,0),MATCH("Return Time",QUALIDADE_CAB,0)),"")</f>
        <v/>
      </c>
      <c r="Q42" s="34" t="str">
        <f>IF(tblPRINTERS[[#This Row],[DATA | PESQUISA RECEBIDA]]="","",PROPER(TEXT(tblPRINTERS[[#This Row],[DATA | PESQUISA RECEBIDA]],"DDDD")))</f>
        <v/>
      </c>
    </row>
    <row r="43" spans="1:17">
      <c r="A43" s="54">
        <v>3035813220</v>
      </c>
      <c r="B43" s="54" t="s">
        <v>500</v>
      </c>
      <c r="C43" s="90">
        <v>42752</v>
      </c>
      <c r="D43" s="89">
        <v>42754.737961145831</v>
      </c>
      <c r="E43" s="54" t="s">
        <v>1453</v>
      </c>
      <c r="F43" s="54" t="s">
        <v>38</v>
      </c>
      <c r="G43" s="54" t="s">
        <v>302</v>
      </c>
      <c r="H43" s="54" t="s">
        <v>39</v>
      </c>
      <c r="I43" s="54" t="s">
        <v>817</v>
      </c>
      <c r="J43" s="54" t="s">
        <v>304</v>
      </c>
      <c r="K43" s="54" t="s">
        <v>306</v>
      </c>
      <c r="L43" s="87"/>
      <c r="M43" s="34" t="str">
        <f>IFERROR(INDEX(BASE,MATCH(tblPRINTERS[[#This Row],[CASE ID]],BASE_CASOS,0),MATCH(tblPRINTERS[[#Headers],[tratativa]],BASE_CAB,0)),"Retornar com prioridade")</f>
        <v>Sem contato</v>
      </c>
      <c r="N43" s="34" t="str">
        <f>IFERROR(INDEX(BASE,MATCH(tblPRINTERS[[#This Row],[CASE ID]],BASE_CASOS,0),MATCH(tblPRINTERS[[#Headers],[Observação]],BASE_CAB,0)),"-")</f>
        <v>Sem contato (Só chama, Cx postal, Ocupado)</v>
      </c>
      <c r="O43" s="34" t="str">
        <f>IFERROR(INDEX(BASE,MATCH(tblPRINTERS[[#This Row],[CASE ID]],BASE_CASOS,0),MATCH(tblPRINTERS[[#Headers],[Observação Calback]],BASE_CAB,0)),"-")</f>
        <v>Os 2 telefones só chamam</v>
      </c>
      <c r="P43" s="42" t="str">
        <f>IF(ISERROR(INDEX(QUALIDADE,MATCH(tblPRINTERS[[#This Row],[CASE ID]],PROTOCOLO_PESQUISAS,0),MATCH("Return Time",QUALIDADE_CAB,0)))=FALSE,INDEX(QUALIDADE,MATCH(tblPRINTERS[[#This Row],[CASE ID]],PROTOCOLO_PESQUISAS,0),MATCH("Return Time",QUALIDADE_CAB,0)),"")</f>
        <v/>
      </c>
      <c r="Q43" s="34" t="str">
        <f>IF(tblPRINTERS[[#This Row],[DATA | PESQUISA RECEBIDA]]="","",PROPER(TEXT(tblPRINTERS[[#This Row],[DATA | PESQUISA RECEBIDA]],"DDDD")))</f>
        <v/>
      </c>
    </row>
    <row r="44" spans="1:17">
      <c r="A44" s="54">
        <v>3035698995</v>
      </c>
      <c r="B44" s="54" t="s">
        <v>500</v>
      </c>
      <c r="C44" s="90">
        <v>42752</v>
      </c>
      <c r="D44" s="89">
        <v>42754.737961145831</v>
      </c>
      <c r="E44" s="54" t="s">
        <v>24</v>
      </c>
      <c r="F44" s="54" t="s">
        <v>47</v>
      </c>
      <c r="G44" s="54" t="s">
        <v>302</v>
      </c>
      <c r="H44" s="54" t="s">
        <v>23</v>
      </c>
      <c r="I44" s="54" t="s">
        <v>817</v>
      </c>
      <c r="J44" s="54" t="s">
        <v>303</v>
      </c>
      <c r="K44" s="54" t="s">
        <v>305</v>
      </c>
      <c r="L44" s="87"/>
      <c r="M44" s="34" t="str">
        <f>IFERROR(INDEX(BASE,MATCH(tblPRINTERS[[#This Row],[CASE ID]],BASE_CASOS,0),MATCH(tblPRINTERS[[#Headers],[tratativa]],BASE_CAB,0)),"Retornar com prioridade")</f>
        <v>Sem contato</v>
      </c>
      <c r="N44" s="34" t="str">
        <f>IFERROR(INDEX(BASE,MATCH(tblPRINTERS[[#This Row],[CASE ID]],BASE_CASOS,0),MATCH(tblPRINTERS[[#Headers],[Observação]],BASE_CAB,0)),"-")</f>
        <v>Sem contato (Só chama, Cx postal, Ocupado)</v>
      </c>
      <c r="O44" s="34" t="str">
        <f>IFERROR(INDEX(BASE,MATCH(tblPRINTERS[[#This Row],[CASE ID]],BASE_CASOS,0),MATCH(tblPRINTERS[[#Headers],[Observação Calback]],BASE_CAB,0)),"-")</f>
        <v>Somente 1 telefone</v>
      </c>
      <c r="P44" s="42" t="str">
        <f>IF(ISERROR(INDEX(QUALIDADE,MATCH(tblPRINTERS[[#This Row],[CASE ID]],PROTOCOLO_PESQUISAS,0),MATCH("Return Time",QUALIDADE_CAB,0)))=FALSE,INDEX(QUALIDADE,MATCH(tblPRINTERS[[#This Row],[CASE ID]],PROTOCOLO_PESQUISAS,0),MATCH("Return Time",QUALIDADE_CAB,0)),"")</f>
        <v/>
      </c>
      <c r="Q44" s="34" t="str">
        <f>IF(tblPRINTERS[[#This Row],[DATA | PESQUISA RECEBIDA]]="","",PROPER(TEXT(tblPRINTERS[[#This Row],[DATA | PESQUISA RECEBIDA]],"DDDD")))</f>
        <v/>
      </c>
    </row>
    <row r="45" spans="1:17" hidden="1">
      <c r="A45" s="54">
        <v>3035846729</v>
      </c>
      <c r="B45" s="54" t="s">
        <v>500</v>
      </c>
      <c r="C45" s="90">
        <v>42752</v>
      </c>
      <c r="D45" s="89">
        <v>42754.737961145831</v>
      </c>
      <c r="E45" s="54" t="s">
        <v>26</v>
      </c>
      <c r="F45" s="54" t="s">
        <v>26</v>
      </c>
      <c r="G45" s="54" t="s">
        <v>301</v>
      </c>
      <c r="H45" s="54" t="s">
        <v>23</v>
      </c>
      <c r="I45" s="54" t="s">
        <v>817</v>
      </c>
      <c r="J45" s="54" t="s">
        <v>304</v>
      </c>
      <c r="K45" s="54" t="s">
        <v>307</v>
      </c>
      <c r="L45" s="87">
        <v>42755</v>
      </c>
      <c r="M45" s="34" t="str">
        <f>IFERROR(INDEX(BASE,MATCH(tblPRINTERS[[#This Row],[CASE ID]],BASE_CASOS,0),MATCH(tblPRINTERS[[#Headers],[tratativa]],BASE_CAB,0)),"Retornar com prioridade")</f>
        <v>Responder pesquisa</v>
      </c>
      <c r="N45" s="34" t="str">
        <f>IFERROR(INDEX(BASE,MATCH(tblPRINTERS[[#This Row],[CASE ID]],BASE_CASOS,0),MATCH(tblPRINTERS[[#Headers],[Observação]],BASE_CAB,0)),"-")</f>
        <v>Nota 9/10</v>
      </c>
      <c r="O45" s="34" t="str">
        <f>IFERROR(INDEX(BASE,MATCH(tblPRINTERS[[#This Row],[CASE ID]],BASE_CASOS,0),MATCH(tblPRINTERS[[#Headers],[Observação Calback]],BASE_CAB,0)),"-")</f>
        <v>ira responder</v>
      </c>
      <c r="P45" s="42" t="str">
        <f>IF(ISERROR(INDEX(QUALIDADE,MATCH(tblPRINTERS[[#This Row],[CASE ID]],PROTOCOLO_PESQUISAS,0),MATCH("Return Time",QUALIDADE_CAB,0)))=FALSE,INDEX(QUALIDADE,MATCH(tblPRINTERS[[#This Row],[CASE ID]],PROTOCOLO_PESQUISAS,0),MATCH("Return Time",QUALIDADE_CAB,0)),"")</f>
        <v/>
      </c>
      <c r="Q45" s="34" t="str">
        <f>IF(tblPRINTERS[[#This Row],[DATA | PESQUISA RECEBIDA]]="","",PROPER(TEXT(tblPRINTERS[[#This Row],[DATA | PESQUISA RECEBIDA]],"DDDD")))</f>
        <v/>
      </c>
    </row>
    <row r="46" spans="1:17">
      <c r="A46" s="54">
        <v>3035756937</v>
      </c>
      <c r="B46" s="54" t="s">
        <v>500</v>
      </c>
      <c r="C46" s="90">
        <v>42752</v>
      </c>
      <c r="D46" s="89">
        <v>42754.737961145831</v>
      </c>
      <c r="E46" s="54" t="s">
        <v>1537</v>
      </c>
      <c r="F46" s="54" t="s">
        <v>47</v>
      </c>
      <c r="G46" s="54" t="s">
        <v>302</v>
      </c>
      <c r="H46" s="54" t="s">
        <v>23</v>
      </c>
      <c r="I46" s="54" t="s">
        <v>817</v>
      </c>
      <c r="J46" s="54" t="s">
        <v>304</v>
      </c>
      <c r="K46" s="54" t="s">
        <v>307</v>
      </c>
      <c r="L46" s="87"/>
      <c r="M46" s="34" t="str">
        <f>IFERROR(INDEX(BASE,MATCH(tblPRINTERS[[#This Row],[CASE ID]],BASE_CASOS,0),MATCH(tblPRINTERS[[#Headers],[tratativa]],BASE_CAB,0)),"Retornar com prioridade")</f>
        <v>Sem contato</v>
      </c>
      <c r="N46" s="34" t="str">
        <f>IFERROR(INDEX(BASE,MATCH(tblPRINTERS[[#This Row],[CASE ID]],BASE_CASOS,0),MATCH(tblPRINTERS[[#Headers],[Observação]],BASE_CAB,0)),"-")</f>
        <v>Sem contato (Só chama, Cx postal, Ocupado)</v>
      </c>
      <c r="O46" s="34" t="str">
        <f>IFERROR(INDEX(BASE,MATCH(tblPRINTERS[[#This Row],[CASE ID]],BASE_CASOS,0),MATCH(tblPRINTERS[[#Headers],[Observação Calback]],BASE_CAB,0)),"-")</f>
        <v>Os 2 telefones só chamam</v>
      </c>
      <c r="P46" s="42" t="str">
        <f>IF(ISERROR(INDEX(QUALIDADE,MATCH(tblPRINTERS[[#This Row],[CASE ID]],PROTOCOLO_PESQUISAS,0),MATCH("Return Time",QUALIDADE_CAB,0)))=FALSE,INDEX(QUALIDADE,MATCH(tblPRINTERS[[#This Row],[CASE ID]],PROTOCOLO_PESQUISAS,0),MATCH("Return Time",QUALIDADE_CAB,0)),"")</f>
        <v/>
      </c>
      <c r="Q46" s="34" t="str">
        <f>IF(tblPRINTERS[[#This Row],[DATA | PESQUISA RECEBIDA]]="","",PROPER(TEXT(tblPRINTERS[[#This Row],[DATA | PESQUISA RECEBIDA]],"DDDD")))</f>
        <v/>
      </c>
    </row>
    <row r="47" spans="1:17" hidden="1">
      <c r="A47" s="54">
        <v>3035812487</v>
      </c>
      <c r="B47" s="54" t="s">
        <v>500</v>
      </c>
      <c r="C47" s="90">
        <v>42752</v>
      </c>
      <c r="D47" s="89">
        <v>42754.737961145831</v>
      </c>
      <c r="E47" s="54" t="s">
        <v>32</v>
      </c>
      <c r="F47" s="54" t="s">
        <v>33</v>
      </c>
      <c r="G47" s="54" t="s">
        <v>302</v>
      </c>
      <c r="H47" s="54" t="s">
        <v>31</v>
      </c>
      <c r="L47" s="87"/>
      <c r="M47" s="34" t="str">
        <f>IFERROR(INDEX(BASE,MATCH(tblPRINTERS[[#This Row],[CASE ID]],BASE_CASOS,0),MATCH(tblPRINTERS[[#Headers],[tratativa]],BASE_CAB,0)),"Retornar com prioridade")</f>
        <v>Não responder pesquisa</v>
      </c>
      <c r="N47" s="34" t="str">
        <f>IFERROR(INDEX(BASE,MATCH(tblPRINTERS[[#This Row],[CASE ID]],BASE_CASOS,0),MATCH(tblPRINTERS[[#Headers],[Observação]],BASE_CAB,0)),"-")</f>
        <v>Caso não resolvido / Equipamento em reparo</v>
      </c>
      <c r="O47" s="34" t="str">
        <f>IFERROR(INDEX(BASE,MATCH(tblPRINTERS[[#This Row],[CASE ID]],BASE_CASOS,0),MATCH(tblPRINTERS[[#Headers],[Observação Calback]],BASE_CAB,0)),"-")</f>
        <v>Vai retornar com suporte</v>
      </c>
      <c r="P47" s="42" t="str">
        <f>IF(ISERROR(INDEX(QUALIDADE,MATCH(tblPRINTERS[[#This Row],[CASE ID]],PROTOCOLO_PESQUISAS,0),MATCH("Return Time",QUALIDADE_CAB,0)))=FALSE,INDEX(QUALIDADE,MATCH(tblPRINTERS[[#This Row],[CASE ID]],PROTOCOLO_PESQUISAS,0),MATCH("Return Time",QUALIDADE_CAB,0)),"")</f>
        <v/>
      </c>
      <c r="Q47" s="34" t="str">
        <f>IF(tblPRINTERS[[#This Row],[DATA | PESQUISA RECEBIDA]]="","",PROPER(TEXT(tblPRINTERS[[#This Row],[DATA | PESQUISA RECEBIDA]],"DDDD")))</f>
        <v/>
      </c>
    </row>
    <row r="48" spans="1:17" hidden="1">
      <c r="A48" s="54">
        <v>3035758274</v>
      </c>
      <c r="B48" s="54" t="s">
        <v>500</v>
      </c>
      <c r="C48" s="90">
        <v>42752</v>
      </c>
      <c r="D48" s="89">
        <v>42754.737961145831</v>
      </c>
      <c r="E48" s="54" t="s">
        <v>1252</v>
      </c>
      <c r="F48" s="54" t="s">
        <v>38</v>
      </c>
      <c r="G48" s="54" t="s">
        <v>302</v>
      </c>
      <c r="H48" s="54" t="s">
        <v>39</v>
      </c>
      <c r="L48" s="87"/>
      <c r="M48" s="34" t="str">
        <f>IFERROR(INDEX(BASE,MATCH(tblPRINTERS[[#This Row],[CASE ID]],BASE_CASOS,0),MATCH(tblPRINTERS[[#Headers],[tratativa]],BASE_CAB,0)),"Retornar com prioridade")</f>
        <v>Não responder pesquisa</v>
      </c>
      <c r="N48" s="34" t="str">
        <f>IFERROR(INDEX(BASE,MATCH(tblPRINTERS[[#This Row],[CASE ID]],BASE_CASOS,0),MATCH(tblPRINTERS[[#Headers],[Observação]],BASE_CAB,0)),"-")</f>
        <v>Caso não resolvido / Equipamento em reparo</v>
      </c>
      <c r="O48" s="34" t="str">
        <f>IFERROR(INDEX(BASE,MATCH(tblPRINTERS[[#This Row],[CASE ID]],BASE_CASOS,0),MATCH(tblPRINTERS[[#Headers],[Observação Calback]],BASE_CAB,0)),"-")</f>
        <v>Vai retornar com suporte</v>
      </c>
      <c r="P48" s="42" t="str">
        <f>IF(ISERROR(INDEX(QUALIDADE,MATCH(tblPRINTERS[[#This Row],[CASE ID]],PROTOCOLO_PESQUISAS,0),MATCH("Return Time",QUALIDADE_CAB,0)))=FALSE,INDEX(QUALIDADE,MATCH(tblPRINTERS[[#This Row],[CASE ID]],PROTOCOLO_PESQUISAS,0),MATCH("Return Time",QUALIDADE_CAB,0)),"")</f>
        <v/>
      </c>
      <c r="Q48" s="34" t="str">
        <f>IF(tblPRINTERS[[#This Row],[DATA | PESQUISA RECEBIDA]]="","",PROPER(TEXT(tblPRINTERS[[#This Row],[DATA | PESQUISA RECEBIDA]],"DDDD")))</f>
        <v/>
      </c>
    </row>
    <row r="49" spans="1:17" hidden="1">
      <c r="A49" s="54">
        <v>3035508636</v>
      </c>
      <c r="B49" s="54" t="s">
        <v>500</v>
      </c>
      <c r="C49" s="90">
        <v>42751</v>
      </c>
      <c r="D49" s="89">
        <v>42753.738235613426</v>
      </c>
      <c r="E49" s="54" t="s">
        <v>256</v>
      </c>
      <c r="F49" s="54" t="s">
        <v>256</v>
      </c>
      <c r="G49" s="54" t="s">
        <v>301</v>
      </c>
      <c r="H49" s="54" t="s">
        <v>256</v>
      </c>
      <c r="L49" s="87"/>
      <c r="M49" s="34" t="str">
        <f>IFERROR(INDEX(BASE,MATCH(tblPRINTERS[[#This Row],[CASE ID]],BASE_CASOS,0),MATCH(tblPRINTERS[[#Headers],[tratativa]],BASE_CAB,0)),"Retornar com prioridade")</f>
        <v>TCO</v>
      </c>
      <c r="N49" s="34" t="str">
        <f>IFERROR(INDEX(BASE,MATCH(tblPRINTERS[[#This Row],[CASE ID]],BASE_CASOS,0),MATCH(tblPRINTERS[[#Headers],[Observação]],BASE_CAB,0)),"-")</f>
        <v>Complaint / ECR</v>
      </c>
      <c r="O49" s="34" t="str">
        <f>IFERROR(INDEX(BASE,MATCH(tblPRINTERS[[#This Row],[CASE ID]],BASE_CASOS,0),MATCH(tblPRINTERS[[#Headers],[Observação Calback]],BASE_CAB,0)),"-")</f>
        <v>tco</v>
      </c>
      <c r="P49" s="42" t="str">
        <f>IF(ISERROR(INDEX(QUALIDADE,MATCH(tblPRINTERS[[#This Row],[CASE ID]],PROTOCOLO_PESQUISAS,0),MATCH("Return Time",QUALIDADE_CAB,0)))=FALSE,INDEX(QUALIDADE,MATCH(tblPRINTERS[[#This Row],[CASE ID]],PROTOCOLO_PESQUISAS,0),MATCH("Return Time",QUALIDADE_CAB,0)),"")</f>
        <v/>
      </c>
      <c r="Q49" s="34" t="str">
        <f>IF(tblPRINTERS[[#This Row],[DATA | PESQUISA RECEBIDA]]="","",PROPER(TEXT(tblPRINTERS[[#This Row],[DATA | PESQUISA RECEBIDA]],"DDDD")))</f>
        <v/>
      </c>
    </row>
    <row r="50" spans="1:17" hidden="1">
      <c r="A50" s="54">
        <v>3035750397</v>
      </c>
      <c r="B50" s="54" t="s">
        <v>500</v>
      </c>
      <c r="C50" s="90">
        <v>42751</v>
      </c>
      <c r="D50" s="89">
        <v>42753.738235613426</v>
      </c>
      <c r="E50" s="54" t="s">
        <v>256</v>
      </c>
      <c r="F50" s="54" t="s">
        <v>256</v>
      </c>
      <c r="G50" s="54" t="s">
        <v>301</v>
      </c>
      <c r="H50" s="54" t="s">
        <v>256</v>
      </c>
      <c r="K50" s="56"/>
      <c r="L50" s="87"/>
      <c r="M50" s="34" t="str">
        <f>IFERROR(INDEX(BASE,MATCH(tblPRINTERS[[#This Row],[CASE ID]],BASE_CASOS,0),MATCH(tblPRINTERS[[#Headers],[tratativa]],BASE_CAB,0)),"Retornar com prioridade")</f>
        <v>TCO</v>
      </c>
      <c r="N50" s="34" t="str">
        <f>IFERROR(INDEX(BASE,MATCH(tblPRINTERS[[#This Row],[CASE ID]],BASE_CASOS,0),MATCH(tblPRINTERS[[#Headers],[Observação]],BASE_CAB,0)),"-")</f>
        <v>Complaint / ECR</v>
      </c>
      <c r="O50" s="34" t="str">
        <f>IFERROR(INDEX(BASE,MATCH(tblPRINTERS[[#This Row],[CASE ID]],BASE_CASOS,0),MATCH(tblPRINTERS[[#Headers],[Observação Calback]],BASE_CAB,0)),"-")</f>
        <v>Complaint / ECR</v>
      </c>
      <c r="P50" s="42" t="str">
        <f>IF(ISERROR(INDEX(QUALIDADE,MATCH(tblPRINTERS[[#This Row],[CASE ID]],PROTOCOLO_PESQUISAS,0),MATCH("Return Time",QUALIDADE_CAB,0)))=FALSE,INDEX(QUALIDADE,MATCH(tblPRINTERS[[#This Row],[CASE ID]],PROTOCOLO_PESQUISAS,0),MATCH("Return Time",QUALIDADE_CAB,0)),"")</f>
        <v/>
      </c>
      <c r="Q50" s="34" t="str">
        <f>IF(tblPRINTERS[[#This Row],[DATA | PESQUISA RECEBIDA]]="","",PROPER(TEXT(tblPRINTERS[[#This Row],[DATA | PESQUISA RECEBIDA]],"DDDD")))</f>
        <v/>
      </c>
    </row>
    <row r="51" spans="1:17" hidden="1">
      <c r="A51" s="54">
        <v>3035649248</v>
      </c>
      <c r="B51" s="54" t="s">
        <v>500</v>
      </c>
      <c r="C51" s="90">
        <v>42751</v>
      </c>
      <c r="D51" s="89">
        <v>42753.738214849538</v>
      </c>
      <c r="E51" s="54" t="s">
        <v>13</v>
      </c>
      <c r="F51" s="54" t="s">
        <v>19</v>
      </c>
      <c r="G51" s="54" t="s">
        <v>302</v>
      </c>
      <c r="H51" s="54" t="s">
        <v>9</v>
      </c>
      <c r="I51" s="54" t="s">
        <v>817</v>
      </c>
      <c r="J51" s="54" t="s">
        <v>303</v>
      </c>
      <c r="K51" s="54" t="s">
        <v>305</v>
      </c>
      <c r="L51" s="87">
        <v>42754</v>
      </c>
      <c r="M51" s="34" t="str">
        <f>IFERROR(INDEX(BASE,MATCH(tblPRINTERS[[#This Row],[CASE ID]],BASE_CASOS,0),MATCH(tblPRINTERS[[#Headers],[tratativa]],BASE_CAB,0)),"Retornar com prioridade")</f>
        <v>Responder pesquisa</v>
      </c>
      <c r="N51" s="34" t="str">
        <f>IFERROR(INDEX(BASE,MATCH(tblPRINTERS[[#This Row],[CASE ID]],BASE_CASOS,0),MATCH(tblPRINTERS[[#Headers],[Observação]],BASE_CAB,0)),"-")</f>
        <v>Nota 9/10</v>
      </c>
      <c r="O51" s="34" t="str">
        <f>IFERROR(INDEX(BASE,MATCH(tblPRINTERS[[#This Row],[CASE ID]],BASE_CASOS,0),MATCH(tblPRINTERS[[#Headers],[Observação Calback]],BASE_CAB,0)),"-")</f>
        <v>ira responder</v>
      </c>
      <c r="P51" s="42" t="str">
        <f>IF(ISERROR(INDEX(QUALIDADE,MATCH(tblPRINTERS[[#This Row],[CASE ID]],PROTOCOLO_PESQUISAS,0),MATCH("Return Time",QUALIDADE_CAB,0)))=FALSE,INDEX(QUALIDADE,MATCH(tblPRINTERS[[#This Row],[CASE ID]],PROTOCOLO_PESQUISAS,0),MATCH("Return Time",QUALIDADE_CAB,0)),"")</f>
        <v/>
      </c>
      <c r="Q51" s="34" t="str">
        <f>IF(tblPRINTERS[[#This Row],[DATA | PESQUISA RECEBIDA]]="","",PROPER(TEXT(tblPRINTERS[[#This Row],[DATA | PESQUISA RECEBIDA]],"DDDD")))</f>
        <v/>
      </c>
    </row>
    <row r="52" spans="1:17" hidden="1">
      <c r="A52" s="54">
        <v>3035434804</v>
      </c>
      <c r="B52" s="54" t="s">
        <v>500</v>
      </c>
      <c r="C52" s="90">
        <v>42751</v>
      </c>
      <c r="D52" s="89">
        <v>42753.738214849538</v>
      </c>
      <c r="E52" s="54" t="s">
        <v>11</v>
      </c>
      <c r="F52" s="54" t="s">
        <v>18</v>
      </c>
      <c r="G52" s="54" t="s">
        <v>302</v>
      </c>
      <c r="H52" s="54" t="s">
        <v>9</v>
      </c>
      <c r="I52" s="54" t="s">
        <v>817</v>
      </c>
      <c r="J52" s="54" t="s">
        <v>303</v>
      </c>
      <c r="K52" s="54" t="s">
        <v>305</v>
      </c>
      <c r="L52" s="87">
        <v>42754</v>
      </c>
      <c r="M52" s="34" t="str">
        <f>IFERROR(INDEX(BASE,MATCH(tblPRINTERS[[#This Row],[CASE ID]],BASE_CASOS,0),MATCH(tblPRINTERS[[#Headers],[tratativa]],BASE_CAB,0)),"Retornar com prioridade")</f>
        <v>Sem contato</v>
      </c>
      <c r="N52" s="34" t="str">
        <f>IFERROR(INDEX(BASE,MATCH(tblPRINTERS[[#This Row],[CASE ID]],BASE_CASOS,0),MATCH(tblPRINTERS[[#Headers],[Observação]],BASE_CAB,0)),"-")</f>
        <v>Sem contato (Só chama, Cx postal, Ocupado)</v>
      </c>
      <c r="O52" s="34" t="str">
        <f>IFERROR(INDEX(BASE,MATCH(tblPRINTERS[[#This Row],[CASE ID]],BASE_CASOS,0),MATCH(tblPRINTERS[[#Headers],[Observação Calback]],BASE_CAB,0)),"-")</f>
        <v>1 Tel errado ; 2 Só chama</v>
      </c>
      <c r="P52" s="42" t="str">
        <f>IF(ISERROR(INDEX(QUALIDADE,MATCH(tblPRINTERS[[#This Row],[CASE ID]],PROTOCOLO_PESQUISAS,0),MATCH("Return Time",QUALIDADE_CAB,0)))=FALSE,INDEX(QUALIDADE,MATCH(tblPRINTERS[[#This Row],[CASE ID]],PROTOCOLO_PESQUISAS,0),MATCH("Return Time",QUALIDADE_CAB,0)),"")</f>
        <v/>
      </c>
      <c r="Q52" s="34" t="str">
        <f>IF(tblPRINTERS[[#This Row],[DATA | PESQUISA RECEBIDA]]="","",PROPER(TEXT(tblPRINTERS[[#This Row],[DATA | PESQUISA RECEBIDA]],"DDDD")))</f>
        <v/>
      </c>
    </row>
    <row r="53" spans="1:17" hidden="1">
      <c r="A53" s="54">
        <v>3035808709</v>
      </c>
      <c r="B53" s="54" t="s">
        <v>500</v>
      </c>
      <c r="C53" s="90">
        <v>42751</v>
      </c>
      <c r="D53" s="89">
        <v>42753.738214849538</v>
      </c>
      <c r="E53" s="54" t="s">
        <v>846</v>
      </c>
      <c r="F53" s="54" t="s">
        <v>846</v>
      </c>
      <c r="G53" s="54" t="s">
        <v>301</v>
      </c>
      <c r="H53" s="54" t="s">
        <v>273</v>
      </c>
      <c r="I53" s="56" t="s">
        <v>817</v>
      </c>
      <c r="J53" s="54" t="s">
        <v>304</v>
      </c>
      <c r="K53" s="54" t="s">
        <v>307</v>
      </c>
      <c r="L53" s="87">
        <v>42754</v>
      </c>
      <c r="M53" s="34" t="str">
        <f>IFERROR(INDEX(BASE,MATCH(tblPRINTERS[[#This Row],[CASE ID]],BASE_CASOS,0),MATCH(tblPRINTERS[[#Headers],[tratativa]],BASE_CAB,0)),"Retornar com prioridade")</f>
        <v>Responder pesquisa</v>
      </c>
      <c r="N53" s="34" t="str">
        <f>IFERROR(INDEX(BASE,MATCH(tblPRINTERS[[#This Row],[CASE ID]],BASE_CASOS,0),MATCH(tblPRINTERS[[#Headers],[Observação]],BASE_CAB,0)),"-")</f>
        <v>Nota 9/10</v>
      </c>
      <c r="O53" s="34" t="str">
        <f>IFERROR(INDEX(BASE,MATCH(tblPRINTERS[[#This Row],[CASE ID]],BASE_CASOS,0),MATCH(tblPRINTERS[[#Headers],[Observação Calback]],BASE_CAB,0)),"-")</f>
        <v>ira responder</v>
      </c>
      <c r="P53" s="42" t="str">
        <f>IF(ISERROR(INDEX(QUALIDADE,MATCH(tblPRINTERS[[#This Row],[CASE ID]],PROTOCOLO_PESQUISAS,0),MATCH("Return Time",QUALIDADE_CAB,0)))=FALSE,INDEX(QUALIDADE,MATCH(tblPRINTERS[[#This Row],[CASE ID]],PROTOCOLO_PESQUISAS,0),MATCH("Return Time",QUALIDADE_CAB,0)),"")</f>
        <v/>
      </c>
      <c r="Q53" s="34" t="str">
        <f>IF(tblPRINTERS[[#This Row],[DATA | PESQUISA RECEBIDA]]="","",PROPER(TEXT(tblPRINTERS[[#This Row],[DATA | PESQUISA RECEBIDA]],"DDDD")))</f>
        <v/>
      </c>
    </row>
    <row r="54" spans="1:17" hidden="1">
      <c r="A54" s="54">
        <v>3035812591</v>
      </c>
      <c r="B54" s="54" t="s">
        <v>500</v>
      </c>
      <c r="C54" s="90">
        <v>42751</v>
      </c>
      <c r="D54" s="89">
        <v>42753.738214849538</v>
      </c>
      <c r="E54" s="54" t="s">
        <v>20</v>
      </c>
      <c r="F54" s="54" t="s">
        <v>20</v>
      </c>
      <c r="G54" s="54" t="s">
        <v>301</v>
      </c>
      <c r="H54" s="54" t="s">
        <v>9</v>
      </c>
      <c r="L54" s="87"/>
      <c r="M54" s="34" t="str">
        <f>IFERROR(INDEX(BASE,MATCH(tblPRINTERS[[#This Row],[CASE ID]],BASE_CASOS,0),MATCH(tblPRINTERS[[#Headers],[tratativa]],BASE_CAB,0)),"Retornar com prioridade")</f>
        <v>Não responder pesquisa</v>
      </c>
      <c r="N54" s="34" t="str">
        <f>IFERROR(INDEX(BASE,MATCH(tblPRINTERS[[#This Row],[CASE ID]],BASE_CASOS,0),MATCH(tblPRINTERS[[#Headers],[Observação]],BASE_CAB,0)),"-")</f>
        <v>Caso não resolvido / Equipamento em reparo</v>
      </c>
      <c r="O54" s="34" t="str">
        <f>IFERROR(INDEX(BASE,MATCH(tblPRINTERS[[#This Row],[CASE ID]],BASE_CASOS,0),MATCH(tblPRINTERS[[#Headers],[Observação Calback]],BASE_CAB,0)),"-")</f>
        <v>ira retornar.</v>
      </c>
      <c r="P54" s="42" t="str">
        <f>IF(ISERROR(INDEX(QUALIDADE,MATCH(tblPRINTERS[[#This Row],[CASE ID]],PROTOCOLO_PESQUISAS,0),MATCH("Return Time",QUALIDADE_CAB,0)))=FALSE,INDEX(QUALIDADE,MATCH(tblPRINTERS[[#This Row],[CASE ID]],PROTOCOLO_PESQUISAS,0),MATCH("Return Time",QUALIDADE_CAB,0)),"")</f>
        <v/>
      </c>
      <c r="Q54" s="34" t="str">
        <f>IF(tblPRINTERS[[#This Row],[DATA | PESQUISA RECEBIDA]]="","",PROPER(TEXT(tblPRINTERS[[#This Row],[DATA | PESQUISA RECEBIDA]],"DDDD")))</f>
        <v/>
      </c>
    </row>
    <row r="55" spans="1:17" hidden="1">
      <c r="A55" s="54">
        <v>3035434807</v>
      </c>
      <c r="B55" s="54" t="s">
        <v>500</v>
      </c>
      <c r="C55" s="90">
        <v>42751</v>
      </c>
      <c r="D55" s="89">
        <v>42753.738214849538</v>
      </c>
      <c r="E55" s="54" t="s">
        <v>13</v>
      </c>
      <c r="F55" s="54" t="s">
        <v>19</v>
      </c>
      <c r="G55" s="54" t="s">
        <v>302</v>
      </c>
      <c r="H55" s="54" t="s">
        <v>9</v>
      </c>
      <c r="I55" s="54" t="s">
        <v>817</v>
      </c>
      <c r="J55" s="54" t="s">
        <v>303</v>
      </c>
      <c r="K55" s="54" t="s">
        <v>305</v>
      </c>
      <c r="L55" s="87">
        <v>42754</v>
      </c>
      <c r="M55" s="34" t="str">
        <f>IFERROR(INDEX(BASE,MATCH(tblPRINTERS[[#This Row],[CASE ID]],BASE_CASOS,0),MATCH(tblPRINTERS[[#Headers],[tratativa]],BASE_CAB,0)),"Retornar com prioridade")</f>
        <v>Sem contato</v>
      </c>
      <c r="N55" s="34" t="str">
        <f>IFERROR(INDEX(BASE,MATCH(tblPRINTERS[[#This Row],[CASE ID]],BASE_CASOS,0),MATCH(tblPRINTERS[[#Headers],[Observação]],BASE_CAB,0)),"-")</f>
        <v>Sem contato (Só chama, Cx postal, Ocupado)</v>
      </c>
      <c r="O55" s="34" t="str">
        <f>IFERROR(INDEX(BASE,MATCH(tblPRINTERS[[#This Row],[CASE ID]],BASE_CASOS,0),MATCH(tblPRINTERS[[#Headers],[Observação Calback]],BASE_CAB,0)),"-")</f>
        <v>Os 2 telefones só chamam</v>
      </c>
      <c r="P55" s="42" t="str">
        <f>IF(ISERROR(INDEX(QUALIDADE,MATCH(tblPRINTERS[[#This Row],[CASE ID]],PROTOCOLO_PESQUISAS,0),MATCH("Return Time",QUALIDADE_CAB,0)))=FALSE,INDEX(QUALIDADE,MATCH(tblPRINTERS[[#This Row],[CASE ID]],PROTOCOLO_PESQUISAS,0),MATCH("Return Time",QUALIDADE_CAB,0)),"")</f>
        <v/>
      </c>
      <c r="Q55" s="34" t="str">
        <f>IF(tblPRINTERS[[#This Row],[DATA | PESQUISA RECEBIDA]]="","",PROPER(TEXT(tblPRINTERS[[#This Row],[DATA | PESQUISA RECEBIDA]],"DDDD")))</f>
        <v/>
      </c>
    </row>
    <row r="56" spans="1:17" hidden="1">
      <c r="A56" s="54">
        <v>3035808381</v>
      </c>
      <c r="B56" s="54" t="s">
        <v>500</v>
      </c>
      <c r="C56" s="90">
        <v>42751</v>
      </c>
      <c r="D56" s="89">
        <v>42753.738214849538</v>
      </c>
      <c r="E56" s="54" t="s">
        <v>583</v>
      </c>
      <c r="F56" s="54" t="s">
        <v>583</v>
      </c>
      <c r="G56" s="54" t="s">
        <v>301</v>
      </c>
      <c r="H56" s="54" t="s">
        <v>23</v>
      </c>
      <c r="I56" s="54" t="s">
        <v>817</v>
      </c>
      <c r="J56" s="54" t="s">
        <v>304</v>
      </c>
      <c r="K56" s="54" t="s">
        <v>307</v>
      </c>
      <c r="L56" s="87">
        <v>42754</v>
      </c>
      <c r="M56" s="34" t="str">
        <f>IFERROR(INDEX(BASE,MATCH(tblPRINTERS[[#This Row],[CASE ID]],BASE_CASOS,0),MATCH(tblPRINTERS[[#Headers],[tratativa]],BASE_CAB,0)),"Retornar com prioridade")</f>
        <v>Sem contato</v>
      </c>
      <c r="N56" s="34" t="str">
        <f>IFERROR(INDEX(BASE,MATCH(tblPRINTERS[[#This Row],[CASE ID]],BASE_CASOS,0),MATCH(tblPRINTERS[[#Headers],[Observação]],BASE_CAB,0)),"-")</f>
        <v>Sem contato (Só chama, Cx postal, Ocupado)</v>
      </c>
      <c r="O56" s="34" t="str">
        <f>IFERROR(INDEX(BASE,MATCH(tblPRINTERS[[#This Row],[CASE ID]],BASE_CASOS,0),MATCH(tblPRINTERS[[#Headers],[Observação Calback]],BASE_CAB,0)),"-")</f>
        <v>somente a noite</v>
      </c>
      <c r="P56" s="42" t="str">
        <f>IF(ISERROR(INDEX(QUALIDADE,MATCH(tblPRINTERS[[#This Row],[CASE ID]],PROTOCOLO_PESQUISAS,0),MATCH("Return Time",QUALIDADE_CAB,0)))=FALSE,INDEX(QUALIDADE,MATCH(tblPRINTERS[[#This Row],[CASE ID]],PROTOCOLO_PESQUISAS,0),MATCH("Return Time",QUALIDADE_CAB,0)),"")</f>
        <v/>
      </c>
      <c r="Q56" s="34" t="str">
        <f>IF(tblPRINTERS[[#This Row],[DATA | PESQUISA RECEBIDA]]="","",PROPER(TEXT(tblPRINTERS[[#This Row],[DATA | PESQUISA RECEBIDA]],"DDDD")))</f>
        <v/>
      </c>
    </row>
    <row r="57" spans="1:17" hidden="1">
      <c r="A57" s="54">
        <v>3035809299</v>
      </c>
      <c r="B57" s="54" t="s">
        <v>500</v>
      </c>
      <c r="C57" s="90">
        <v>42751</v>
      </c>
      <c r="D57" s="89">
        <v>42753.738214849538</v>
      </c>
      <c r="E57" s="54" t="s">
        <v>13</v>
      </c>
      <c r="F57" s="54" t="s">
        <v>13</v>
      </c>
      <c r="G57" s="54" t="s">
        <v>301</v>
      </c>
      <c r="H57" s="54" t="s">
        <v>9</v>
      </c>
      <c r="I57" s="54" t="s">
        <v>817</v>
      </c>
      <c r="J57" s="54" t="s">
        <v>303</v>
      </c>
      <c r="K57" s="54" t="s">
        <v>305</v>
      </c>
      <c r="L57" s="87">
        <v>42754</v>
      </c>
      <c r="M57" s="34" t="str">
        <f>IFERROR(INDEX(BASE,MATCH(tblPRINTERS[[#This Row],[CASE ID]],BASE_CASOS,0),MATCH(tblPRINTERS[[#Headers],[tratativa]],BASE_CAB,0)),"Retornar com prioridade")</f>
        <v>Responder pesquisa</v>
      </c>
      <c r="N57" s="34" t="str">
        <f>IFERROR(INDEX(BASE,MATCH(tblPRINTERS[[#This Row],[CASE ID]],BASE_CASOS,0),MATCH(tblPRINTERS[[#Headers],[Observação]],BASE_CAB,0)),"-")</f>
        <v>Nota 9/10</v>
      </c>
      <c r="O57" s="34" t="str">
        <f>IFERROR(INDEX(BASE,MATCH(tblPRINTERS[[#This Row],[CASE ID]],BASE_CASOS,0),MATCH(tblPRINTERS[[#Headers],[Observação Calback]],BASE_CAB,0)),"-")</f>
        <v>ira responder</v>
      </c>
      <c r="P57" s="42" t="str">
        <f>IF(ISERROR(INDEX(QUALIDADE,MATCH(tblPRINTERS[[#This Row],[CASE ID]],PROTOCOLO_PESQUISAS,0),MATCH("Return Time",QUALIDADE_CAB,0)))=FALSE,INDEX(QUALIDADE,MATCH(tblPRINTERS[[#This Row],[CASE ID]],PROTOCOLO_PESQUISAS,0),MATCH("Return Time",QUALIDADE_CAB,0)),"")</f>
        <v/>
      </c>
      <c r="Q57" s="34" t="str">
        <f>IF(tblPRINTERS[[#This Row],[DATA | PESQUISA RECEBIDA]]="","",PROPER(TEXT(tblPRINTERS[[#This Row],[DATA | PESQUISA RECEBIDA]],"DDDD")))</f>
        <v/>
      </c>
    </row>
    <row r="58" spans="1:17" hidden="1">
      <c r="A58" s="54">
        <v>3035750621</v>
      </c>
      <c r="B58" s="54" t="s">
        <v>500</v>
      </c>
      <c r="C58" s="90">
        <v>42751</v>
      </c>
      <c r="D58" s="89">
        <v>42753.738214849538</v>
      </c>
      <c r="E58" s="54" t="s">
        <v>1537</v>
      </c>
      <c r="F58" s="54" t="s">
        <v>47</v>
      </c>
      <c r="G58" s="54" t="s">
        <v>302</v>
      </c>
      <c r="H58" s="54" t="s">
        <v>23</v>
      </c>
      <c r="I58" s="54" t="s">
        <v>817</v>
      </c>
      <c r="J58" s="54" t="s">
        <v>304</v>
      </c>
      <c r="K58" s="54" t="s">
        <v>307</v>
      </c>
      <c r="L58" s="87">
        <v>42754</v>
      </c>
      <c r="M58" s="34" t="str">
        <f>IFERROR(INDEX(BASE,MATCH(tblPRINTERS[[#This Row],[CASE ID]],BASE_CASOS,0),MATCH(tblPRINTERS[[#Headers],[tratativa]],BASE_CAB,0)),"Retornar com prioridade")</f>
        <v>Responder pesquisa</v>
      </c>
      <c r="N58" s="34" t="str">
        <f>IFERROR(INDEX(BASE,MATCH(tblPRINTERS[[#This Row],[CASE ID]],BASE_CASOS,0),MATCH(tblPRINTERS[[#Headers],[Observação]],BASE_CAB,0)),"-")</f>
        <v>Nota 9/10</v>
      </c>
      <c r="O58" s="34" t="str">
        <f>IFERROR(INDEX(BASE,MATCH(tblPRINTERS[[#This Row],[CASE ID]],BASE_CASOS,0),MATCH(tblPRINTERS[[#Headers],[Observação Calback]],BASE_CAB,0)),"-")</f>
        <v>ira responder</v>
      </c>
      <c r="P58" s="42" t="str">
        <f>IF(ISERROR(INDEX(QUALIDADE,MATCH(tblPRINTERS[[#This Row],[CASE ID]],PROTOCOLO_PESQUISAS,0),MATCH("Return Time",QUALIDADE_CAB,0)))=FALSE,INDEX(QUALIDADE,MATCH(tblPRINTERS[[#This Row],[CASE ID]],PROTOCOLO_PESQUISAS,0),MATCH("Return Time",QUALIDADE_CAB,0)),"")</f>
        <v/>
      </c>
      <c r="Q58" s="34" t="str">
        <f>IF(tblPRINTERS[[#This Row],[DATA | PESQUISA RECEBIDA]]="","",PROPER(TEXT(tblPRINTERS[[#This Row],[DATA | PESQUISA RECEBIDA]],"DDDD")))</f>
        <v/>
      </c>
    </row>
    <row r="59" spans="1:17" hidden="1">
      <c r="A59" s="54">
        <v>3035825720</v>
      </c>
      <c r="B59" s="54" t="s">
        <v>500</v>
      </c>
      <c r="C59" s="90">
        <v>42751</v>
      </c>
      <c r="D59" s="89">
        <v>42753.738214849538</v>
      </c>
      <c r="E59" s="54" t="s">
        <v>44</v>
      </c>
      <c r="F59" s="54" t="s">
        <v>44</v>
      </c>
      <c r="G59" s="54" t="s">
        <v>301</v>
      </c>
      <c r="H59" s="54" t="s">
        <v>39</v>
      </c>
      <c r="I59" s="54" t="s">
        <v>817</v>
      </c>
      <c r="J59" s="54" t="s">
        <v>303</v>
      </c>
      <c r="K59" s="54" t="s">
        <v>305</v>
      </c>
      <c r="L59" s="87">
        <v>42754</v>
      </c>
      <c r="M59" s="34" t="str">
        <f>IFERROR(INDEX(BASE,MATCH(tblPRINTERS[[#This Row],[CASE ID]],BASE_CASOS,0),MATCH(tblPRINTERS[[#Headers],[tratativa]],BASE_CAB,0)),"Retornar com prioridade")</f>
        <v>Sem contato</v>
      </c>
      <c r="N59" s="34" t="str">
        <f>IFERROR(INDEX(BASE,MATCH(tblPRINTERS[[#This Row],[CASE ID]],BASE_CASOS,0),MATCH(tblPRINTERS[[#Headers],[Observação]],BASE_CAB,0)),"-")</f>
        <v>Sem contato (Só chama, Cx postal, Ocupado)</v>
      </c>
      <c r="O59" s="34" t="str">
        <f>IFERROR(INDEX(BASE,MATCH(tblPRINTERS[[#This Row],[CASE ID]],BASE_CASOS,0),MATCH(tblPRINTERS[[#Headers],[Observação Calback]],BASE_CAB,0)),"-")</f>
        <v>so chama</v>
      </c>
      <c r="P59" s="42" t="str">
        <f>IF(ISERROR(INDEX(QUALIDADE,MATCH(tblPRINTERS[[#This Row],[CASE ID]],PROTOCOLO_PESQUISAS,0),MATCH("Return Time",QUALIDADE_CAB,0)))=FALSE,INDEX(QUALIDADE,MATCH(tblPRINTERS[[#This Row],[CASE ID]],PROTOCOLO_PESQUISAS,0),MATCH("Return Time",QUALIDADE_CAB,0)),"")</f>
        <v/>
      </c>
      <c r="Q59" s="34" t="str">
        <f>IF(tblPRINTERS[[#This Row],[DATA | PESQUISA RECEBIDA]]="","",PROPER(TEXT(tblPRINTERS[[#This Row],[DATA | PESQUISA RECEBIDA]],"DDDD")))</f>
        <v/>
      </c>
    </row>
    <row r="60" spans="1:17" hidden="1">
      <c r="A60" s="54">
        <v>3035782665</v>
      </c>
      <c r="B60" s="54" t="s">
        <v>500</v>
      </c>
      <c r="C60" s="90">
        <v>42751</v>
      </c>
      <c r="D60" s="89">
        <v>42753.738214849538</v>
      </c>
      <c r="E60" s="54" t="s">
        <v>281</v>
      </c>
      <c r="F60" s="54" t="s">
        <v>281</v>
      </c>
      <c r="G60" s="54" t="s">
        <v>301</v>
      </c>
      <c r="H60" s="54" t="s">
        <v>51</v>
      </c>
      <c r="I60" s="54" t="s">
        <v>817</v>
      </c>
      <c r="J60" s="54" t="s">
        <v>304</v>
      </c>
      <c r="K60" s="54" t="s">
        <v>4384</v>
      </c>
      <c r="L60" s="87">
        <v>42754</v>
      </c>
      <c r="M60" s="34" t="str">
        <f>IFERROR(INDEX(BASE,MATCH(tblPRINTERS[[#This Row],[CASE ID]],BASE_CASOS,0),MATCH(tblPRINTERS[[#Headers],[tratativa]],BASE_CAB,0)),"Retornar com prioridade")</f>
        <v>Responder pesquisa</v>
      </c>
      <c r="N60" s="34" t="str">
        <f>IFERROR(INDEX(BASE,MATCH(tblPRINTERS[[#This Row],[CASE ID]],BASE_CASOS,0),MATCH(tblPRINTERS[[#Headers],[Observação]],BASE_CAB,0)),"-")</f>
        <v>Nota 9/10</v>
      </c>
      <c r="O60" s="34" t="str">
        <f>IFERROR(INDEX(BASE,MATCH(tblPRINTERS[[#This Row],[CASE ID]],BASE_CASOS,0),MATCH(tblPRINTERS[[#Headers],[Observação Calback]],BASE_CAB,0)),"-")</f>
        <v>ira responder</v>
      </c>
      <c r="P60" s="42" t="str">
        <f>IF(ISERROR(INDEX(QUALIDADE,MATCH(tblPRINTERS[[#This Row],[CASE ID]],PROTOCOLO_PESQUISAS,0),MATCH("Return Time",QUALIDADE_CAB,0)))=FALSE,INDEX(QUALIDADE,MATCH(tblPRINTERS[[#This Row],[CASE ID]],PROTOCOLO_PESQUISAS,0),MATCH("Return Time",QUALIDADE_CAB,0)),"")</f>
        <v/>
      </c>
      <c r="Q60" s="34" t="str">
        <f>IF(tblPRINTERS[[#This Row],[DATA | PESQUISA RECEBIDA]]="","",PROPER(TEXT(tblPRINTERS[[#This Row],[DATA | PESQUISA RECEBIDA]],"DDDD")))</f>
        <v/>
      </c>
    </row>
    <row r="61" spans="1:17" hidden="1">
      <c r="A61" s="54">
        <v>3035826542</v>
      </c>
      <c r="B61" s="54" t="s">
        <v>500</v>
      </c>
      <c r="C61" s="90">
        <v>42751</v>
      </c>
      <c r="D61" s="89">
        <v>42753.738214849538</v>
      </c>
      <c r="E61" s="54" t="s">
        <v>591</v>
      </c>
      <c r="F61" s="54" t="s">
        <v>591</v>
      </c>
      <c r="G61" s="54" t="s">
        <v>301</v>
      </c>
      <c r="H61" s="54" t="s">
        <v>23</v>
      </c>
      <c r="I61" s="54" t="s">
        <v>817</v>
      </c>
      <c r="J61" s="54" t="s">
        <v>304</v>
      </c>
      <c r="K61" s="54" t="s">
        <v>307</v>
      </c>
      <c r="L61" s="87">
        <v>42754</v>
      </c>
      <c r="M61" s="34" t="str">
        <f>IFERROR(INDEX(BASE,MATCH(tblPRINTERS[[#This Row],[CASE ID]],BASE_CASOS,0),MATCH(tblPRINTERS[[#Headers],[tratativa]],BASE_CAB,0)),"Retornar com prioridade")</f>
        <v>Sem contato</v>
      </c>
      <c r="N61" s="34" t="str">
        <f>IFERROR(INDEX(BASE,MATCH(tblPRINTERS[[#This Row],[CASE ID]],BASE_CASOS,0),MATCH(tblPRINTERS[[#Headers],[Observação]],BASE_CAB,0)),"-")</f>
        <v>Sem contato (Só chama, Cx postal, Ocupado)</v>
      </c>
      <c r="O61" s="34" t="str">
        <f>IFERROR(INDEX(BASE,MATCH(tblPRINTERS[[#This Row],[CASE ID]],BASE_CASOS,0),MATCH(tblPRINTERS[[#Headers],[Observação Calback]],BASE_CAB,0)),"-")</f>
        <v>so chama</v>
      </c>
      <c r="P61" s="42" t="str">
        <f>IF(ISERROR(INDEX(QUALIDADE,MATCH(tblPRINTERS[[#This Row],[CASE ID]],PROTOCOLO_PESQUISAS,0),MATCH("Return Time",QUALIDADE_CAB,0)))=FALSE,INDEX(QUALIDADE,MATCH(tblPRINTERS[[#This Row],[CASE ID]],PROTOCOLO_PESQUISAS,0),MATCH("Return Time",QUALIDADE_CAB,0)),"")</f>
        <v/>
      </c>
      <c r="Q61" s="34" t="str">
        <f>IF(tblPRINTERS[[#This Row],[DATA | PESQUISA RECEBIDA]]="","",PROPER(TEXT(tblPRINTERS[[#This Row],[DATA | PESQUISA RECEBIDA]],"DDDD")))</f>
        <v/>
      </c>
    </row>
    <row r="62" spans="1:17" hidden="1">
      <c r="A62" s="54">
        <v>3035810567</v>
      </c>
      <c r="B62" s="54" t="s">
        <v>500</v>
      </c>
      <c r="C62" s="90">
        <v>42751</v>
      </c>
      <c r="D62" s="89">
        <v>42753.738214849538</v>
      </c>
      <c r="E62" s="54" t="s">
        <v>55</v>
      </c>
      <c r="F62" s="54" t="s">
        <v>55</v>
      </c>
      <c r="G62" s="54" t="s">
        <v>301</v>
      </c>
      <c r="H62" s="54" t="s">
        <v>23</v>
      </c>
      <c r="I62" s="54" t="s">
        <v>817</v>
      </c>
      <c r="J62" s="54" t="s">
        <v>303</v>
      </c>
      <c r="K62" s="54" t="s">
        <v>305</v>
      </c>
      <c r="L62" s="87">
        <v>42754</v>
      </c>
      <c r="M62" s="34" t="str">
        <f>IFERROR(INDEX(BASE,MATCH(tblPRINTERS[[#This Row],[CASE ID]],BASE_CASOS,0),MATCH(tblPRINTERS[[#Headers],[tratativa]],BASE_CAB,0)),"Retornar com prioridade")</f>
        <v>Sem contato</v>
      </c>
      <c r="N62" s="34" t="str">
        <f>IFERROR(INDEX(BASE,MATCH(tblPRINTERS[[#This Row],[CASE ID]],BASE_CASOS,0),MATCH(tblPRINTERS[[#Headers],[Observação]],BASE_CAB,0)),"-")</f>
        <v>Sem contato (Só chama, Cx postal, Ocupado)</v>
      </c>
      <c r="O62" s="34" t="str">
        <f>IFERROR(INDEX(BASE,MATCH(tblPRINTERS[[#This Row],[CASE ID]],BASE_CASOS,0),MATCH(tblPRINTERS[[#Headers],[Observação Calback]],BASE_CAB,0)),"-")</f>
        <v>retornar as 16h</v>
      </c>
      <c r="P62" s="42" t="str">
        <f>IF(ISERROR(INDEX(QUALIDADE,MATCH(tblPRINTERS[[#This Row],[CASE ID]],PROTOCOLO_PESQUISAS,0),MATCH("Return Time",QUALIDADE_CAB,0)))=FALSE,INDEX(QUALIDADE,MATCH(tblPRINTERS[[#This Row],[CASE ID]],PROTOCOLO_PESQUISAS,0),MATCH("Return Time",QUALIDADE_CAB,0)),"")</f>
        <v/>
      </c>
      <c r="Q62" s="34" t="str">
        <f>IF(tblPRINTERS[[#This Row],[DATA | PESQUISA RECEBIDA]]="","",PROPER(TEXT(tblPRINTERS[[#This Row],[DATA | PESQUISA RECEBIDA]],"DDDD")))</f>
        <v/>
      </c>
    </row>
    <row r="63" spans="1:17" hidden="1">
      <c r="A63" s="54">
        <v>3035642876</v>
      </c>
      <c r="B63" s="54" t="s">
        <v>500</v>
      </c>
      <c r="C63" s="90">
        <v>42751</v>
      </c>
      <c r="D63" s="89">
        <v>42753.738214849538</v>
      </c>
      <c r="E63" s="54" t="s">
        <v>1548</v>
      </c>
      <c r="F63" s="54" t="s">
        <v>33</v>
      </c>
      <c r="G63" s="54" t="s">
        <v>302</v>
      </c>
      <c r="H63" s="54" t="s">
        <v>31</v>
      </c>
      <c r="L63" s="87"/>
      <c r="M63" s="34" t="str">
        <f>IFERROR(INDEX(BASE,MATCH(tblPRINTERS[[#This Row],[CASE ID]],BASE_CASOS,0),MATCH(tblPRINTERS[[#Headers],[tratativa]],BASE_CAB,0)),"Retornar com prioridade")</f>
        <v>Não responder pesquisa</v>
      </c>
      <c r="N63" s="34" t="str">
        <f>IFERROR(INDEX(BASE,MATCH(tblPRINTERS[[#This Row],[CASE ID]],BASE_CASOS,0),MATCH(tblPRINTERS[[#Headers],[Observação]],BASE_CAB,0)),"-")</f>
        <v>Caso não resolvido / Equipamento em reparo</v>
      </c>
      <c r="O63" s="34" t="str">
        <f>IFERROR(INDEX(BASE,MATCH(tblPRINTERS[[#This Row],[CASE ID]],BASE_CASOS,0),MATCH(tblPRINTERS[[#Headers],[Observação Calback]],BASE_CAB,0)),"-")</f>
        <v>Vai retornar com suporte</v>
      </c>
      <c r="P63" s="42" t="str">
        <f>IF(ISERROR(INDEX(QUALIDADE,MATCH(tblPRINTERS[[#This Row],[CASE ID]],PROTOCOLO_PESQUISAS,0),MATCH("Return Time",QUALIDADE_CAB,0)))=FALSE,INDEX(QUALIDADE,MATCH(tblPRINTERS[[#This Row],[CASE ID]],PROTOCOLO_PESQUISAS,0),MATCH("Return Time",QUALIDADE_CAB,0)),"")</f>
        <v/>
      </c>
      <c r="Q63" s="34" t="str">
        <f>IF(tblPRINTERS[[#This Row],[DATA | PESQUISA RECEBIDA]]="","",PROPER(TEXT(tblPRINTERS[[#This Row],[DATA | PESQUISA RECEBIDA]],"DDDD")))</f>
        <v/>
      </c>
    </row>
    <row r="64" spans="1:17" hidden="1">
      <c r="A64" s="54">
        <v>3035818744</v>
      </c>
      <c r="B64" s="54" t="s">
        <v>500</v>
      </c>
      <c r="C64" s="90">
        <v>42751</v>
      </c>
      <c r="D64" s="89">
        <v>42753.738214849538</v>
      </c>
      <c r="E64" s="54" t="s">
        <v>55</v>
      </c>
      <c r="F64" s="54" t="s">
        <v>55</v>
      </c>
      <c r="G64" s="54" t="s">
        <v>301</v>
      </c>
      <c r="H64" s="54" t="s">
        <v>23</v>
      </c>
      <c r="I64" s="54" t="s">
        <v>817</v>
      </c>
      <c r="J64" s="54" t="s">
        <v>303</v>
      </c>
      <c r="K64" s="54" t="s">
        <v>305</v>
      </c>
      <c r="L64" s="87">
        <v>42754</v>
      </c>
      <c r="M64" s="34" t="str">
        <f>IFERROR(INDEX(BASE,MATCH(tblPRINTERS[[#This Row],[CASE ID]],BASE_CASOS,0),MATCH(tblPRINTERS[[#Headers],[tratativa]],BASE_CAB,0)),"Retornar com prioridade")</f>
        <v>Responder pesquisa</v>
      </c>
      <c r="N64" s="34" t="str">
        <f>IFERROR(INDEX(BASE,MATCH(tblPRINTERS[[#This Row],[CASE ID]],BASE_CASOS,0),MATCH(tblPRINTERS[[#Headers],[Observação]],BASE_CAB,0)),"-")</f>
        <v>Nota 9/10</v>
      </c>
      <c r="O64" s="34" t="str">
        <f>IFERROR(INDEX(BASE,MATCH(tblPRINTERS[[#This Row],[CASE ID]],BASE_CASOS,0),MATCH(tblPRINTERS[[#Headers],[Observação Calback]],BASE_CAB,0)),"-")</f>
        <v>ira responder</v>
      </c>
      <c r="P64" s="42" t="str">
        <f>IF(ISERROR(INDEX(QUALIDADE,MATCH(tblPRINTERS[[#This Row],[CASE ID]],PROTOCOLO_PESQUISAS,0),MATCH("Return Time",QUALIDADE_CAB,0)))=FALSE,INDEX(QUALIDADE,MATCH(tblPRINTERS[[#This Row],[CASE ID]],PROTOCOLO_PESQUISAS,0),MATCH("Return Time",QUALIDADE_CAB,0)),"")</f>
        <v/>
      </c>
      <c r="Q64" s="34" t="str">
        <f>IF(tblPRINTERS[[#This Row],[DATA | PESQUISA RECEBIDA]]="","",PROPER(TEXT(tblPRINTERS[[#This Row],[DATA | PESQUISA RECEBIDA]],"DDDD")))</f>
        <v/>
      </c>
    </row>
    <row r="65" spans="1:17" hidden="1">
      <c r="A65" s="54">
        <v>3035818108</v>
      </c>
      <c r="B65" s="54" t="s">
        <v>500</v>
      </c>
      <c r="C65" s="90">
        <v>42751</v>
      </c>
      <c r="D65" s="89">
        <v>42753.738214849538</v>
      </c>
      <c r="E65" s="54" t="s">
        <v>49</v>
      </c>
      <c r="F65" s="54" t="s">
        <v>49</v>
      </c>
      <c r="G65" s="54" t="s">
        <v>301</v>
      </c>
      <c r="H65" s="54" t="s">
        <v>273</v>
      </c>
      <c r="I65" s="54" t="s">
        <v>817</v>
      </c>
      <c r="J65" s="54" t="s">
        <v>303</v>
      </c>
      <c r="K65" s="54" t="s">
        <v>305</v>
      </c>
      <c r="L65" s="87">
        <v>42754</v>
      </c>
      <c r="M65" s="34" t="str">
        <f>IFERROR(INDEX(BASE,MATCH(tblPRINTERS[[#This Row],[CASE ID]],BASE_CASOS,0),MATCH(tblPRINTERS[[#Headers],[tratativa]],BASE_CAB,0)),"Retornar com prioridade")</f>
        <v>Sem contato</v>
      </c>
      <c r="N65" s="34" t="str">
        <f>IFERROR(INDEX(BASE,MATCH(tblPRINTERS[[#This Row],[CASE ID]],BASE_CASOS,0),MATCH(tblPRINTERS[[#Headers],[Observação]],BASE_CAB,0)),"-")</f>
        <v>Sem contato (Só chama, Cx postal, Ocupado)</v>
      </c>
      <c r="O65" s="34" t="str">
        <f>IFERROR(INDEX(BASE,MATCH(tblPRINTERS[[#This Row],[CASE ID]],BASE_CASOS,0),MATCH(tblPRINTERS[[#Headers],[Observação Calback]],BASE_CAB,0)),"-")</f>
        <v>so chama</v>
      </c>
      <c r="P65" s="42" t="str">
        <f>IF(ISERROR(INDEX(QUALIDADE,MATCH(tblPRINTERS[[#This Row],[CASE ID]],PROTOCOLO_PESQUISAS,0),MATCH("Return Time",QUALIDADE_CAB,0)))=FALSE,INDEX(QUALIDADE,MATCH(tblPRINTERS[[#This Row],[CASE ID]],PROTOCOLO_PESQUISAS,0),MATCH("Return Time",QUALIDADE_CAB,0)),"")</f>
        <v/>
      </c>
      <c r="Q65" s="34" t="str">
        <f>IF(tblPRINTERS[[#This Row],[DATA | PESQUISA RECEBIDA]]="","",PROPER(TEXT(tblPRINTERS[[#This Row],[DATA | PESQUISA RECEBIDA]],"DDDD")))</f>
        <v/>
      </c>
    </row>
    <row r="66" spans="1:17" hidden="1">
      <c r="A66" s="54">
        <v>3035812159</v>
      </c>
      <c r="B66" s="54" t="s">
        <v>500</v>
      </c>
      <c r="C66" s="90">
        <v>42751</v>
      </c>
      <c r="D66" s="89">
        <v>42753.738214849538</v>
      </c>
      <c r="E66" s="54" t="s">
        <v>593</v>
      </c>
      <c r="F66" s="54" t="s">
        <v>28</v>
      </c>
      <c r="G66" s="54" t="s">
        <v>302</v>
      </c>
      <c r="H66" s="54" t="s">
        <v>273</v>
      </c>
      <c r="L66" s="87"/>
      <c r="M66" s="34" t="str">
        <f>IFERROR(INDEX(BASE,MATCH(tblPRINTERS[[#This Row],[CASE ID]],BASE_CASOS,0),MATCH(tblPRINTERS[[#Headers],[tratativa]],BASE_CAB,0)),"Retornar com prioridade")</f>
        <v>Não responder pesquisa</v>
      </c>
      <c r="N66" s="34" t="str">
        <f>IFERROR(INDEX(BASE,MATCH(tblPRINTERS[[#This Row],[CASE ID]],BASE_CASOS,0),MATCH(tblPRINTERS[[#Headers],[Observação]],BASE_CAB,0)),"-")</f>
        <v>Caso não resolvido / Equipamento em reparo</v>
      </c>
      <c r="O66" s="34" t="str">
        <f>IFERROR(INDEX(BASE,MATCH(tblPRINTERS[[#This Row],[CASE ID]],BASE_CASOS,0),MATCH(tblPRINTERS[[#Headers],[Observação Calback]],BASE_CAB,0)),"-")</f>
        <v>Enviado FUPO</v>
      </c>
      <c r="P66" s="42" t="str">
        <f>IF(ISERROR(INDEX(QUALIDADE,MATCH(tblPRINTERS[[#This Row],[CASE ID]],PROTOCOLO_PESQUISAS,0),MATCH("Return Time",QUALIDADE_CAB,0)))=FALSE,INDEX(QUALIDADE,MATCH(tblPRINTERS[[#This Row],[CASE ID]],PROTOCOLO_PESQUISAS,0),MATCH("Return Time",QUALIDADE_CAB,0)),"")</f>
        <v/>
      </c>
      <c r="Q66" s="34" t="str">
        <f>IF(tblPRINTERS[[#This Row],[DATA | PESQUISA RECEBIDA]]="","",PROPER(TEXT(tblPRINTERS[[#This Row],[DATA | PESQUISA RECEBIDA]],"DDDD")))</f>
        <v/>
      </c>
    </row>
    <row r="67" spans="1:17" hidden="1">
      <c r="A67" s="54">
        <v>3035659866</v>
      </c>
      <c r="B67" s="54" t="s">
        <v>500</v>
      </c>
      <c r="C67" s="90">
        <v>42751</v>
      </c>
      <c r="D67" s="89">
        <v>42753.738214849538</v>
      </c>
      <c r="E67" s="54" t="s">
        <v>1537</v>
      </c>
      <c r="F67" s="54" t="s">
        <v>47</v>
      </c>
      <c r="G67" s="54" t="s">
        <v>302</v>
      </c>
      <c r="H67" s="54" t="s">
        <v>23</v>
      </c>
      <c r="I67" s="54" t="s">
        <v>817</v>
      </c>
      <c r="J67" s="54" t="s">
        <v>304</v>
      </c>
      <c r="K67" s="54" t="s">
        <v>3669</v>
      </c>
      <c r="L67" s="87">
        <v>42754</v>
      </c>
      <c r="M67" s="34" t="str">
        <f>IFERROR(INDEX(BASE,MATCH(tblPRINTERS[[#This Row],[CASE ID]],BASE_CASOS,0),MATCH(tblPRINTERS[[#Headers],[tratativa]],BASE_CAB,0)),"Retornar com prioridade")</f>
        <v>Responder pesquisa</v>
      </c>
      <c r="N67" s="34" t="str">
        <f>IFERROR(INDEX(BASE,MATCH(tblPRINTERS[[#This Row],[CASE ID]],BASE_CASOS,0),MATCH(tblPRINTERS[[#Headers],[Observação]],BASE_CAB,0)),"-")</f>
        <v>Nota 9/10</v>
      </c>
      <c r="O67" s="34" t="str">
        <f>IFERROR(INDEX(BASE,MATCH(tblPRINTERS[[#This Row],[CASE ID]],BASE_CASOS,0),MATCH(tblPRINTERS[[#Headers],[Observação Calback]],BASE_CAB,0)),"-")</f>
        <v>ira responder</v>
      </c>
      <c r="P67" s="42" t="str">
        <f>IF(ISERROR(INDEX(QUALIDADE,MATCH(tblPRINTERS[[#This Row],[CASE ID]],PROTOCOLO_PESQUISAS,0),MATCH("Return Time",QUALIDADE_CAB,0)))=FALSE,INDEX(QUALIDADE,MATCH(tblPRINTERS[[#This Row],[CASE ID]],PROTOCOLO_PESQUISAS,0),MATCH("Return Time",QUALIDADE_CAB,0)),"")</f>
        <v/>
      </c>
      <c r="Q67" s="34" t="str">
        <f>IF(tblPRINTERS[[#This Row],[DATA | PESQUISA RECEBIDA]]="","",PROPER(TEXT(tblPRINTERS[[#This Row],[DATA | PESQUISA RECEBIDA]],"DDDD")))</f>
        <v/>
      </c>
    </row>
    <row r="68" spans="1:17" hidden="1">
      <c r="A68" s="54">
        <v>3035679569</v>
      </c>
      <c r="B68" s="54" t="s">
        <v>500</v>
      </c>
      <c r="C68" s="90">
        <v>42751</v>
      </c>
      <c r="D68" s="89">
        <v>42753.738214849538</v>
      </c>
      <c r="E68" s="54" t="s">
        <v>20</v>
      </c>
      <c r="F68" s="54" t="s">
        <v>18</v>
      </c>
      <c r="G68" s="54" t="s">
        <v>302</v>
      </c>
      <c r="H68" s="54" t="s">
        <v>9</v>
      </c>
      <c r="L68" s="87"/>
      <c r="M68" s="34" t="str">
        <f>IFERROR(INDEX(BASE,MATCH(tblPRINTERS[[#This Row],[CASE ID]],BASE_CASOS,0),MATCH(tblPRINTERS[[#Headers],[tratativa]],BASE_CAB,0)),"Retornar com prioridade")</f>
        <v>Não responder pesquisa</v>
      </c>
      <c r="N68" s="34" t="str">
        <f>IFERROR(INDEX(BASE,MATCH(tblPRINTERS[[#This Row],[CASE ID]],BASE_CASOS,0),MATCH(tblPRINTERS[[#Headers],[Observação]],BASE_CAB,0)),"-")</f>
        <v>Cliente insatisfeito HP / Equipamento</v>
      </c>
      <c r="O68" s="34" t="str">
        <f>IFERROR(INDEX(BASE,MATCH(tblPRINTERS[[#This Row],[CASE ID]],BASE_CASOS,0),MATCH(tblPRINTERS[[#Headers],[Observação Calback]],BASE_CAB,0)),"-")</f>
        <v>enviar tco, cliente deseja devolucao do dinheiro.</v>
      </c>
      <c r="P68" s="42" t="str">
        <f>IF(ISERROR(INDEX(QUALIDADE,MATCH(tblPRINTERS[[#This Row],[CASE ID]],PROTOCOLO_PESQUISAS,0),MATCH("Return Time",QUALIDADE_CAB,0)))=FALSE,INDEX(QUALIDADE,MATCH(tblPRINTERS[[#This Row],[CASE ID]],PROTOCOLO_PESQUISAS,0),MATCH("Return Time",QUALIDADE_CAB,0)),"")</f>
        <v/>
      </c>
      <c r="Q68" s="34" t="str">
        <f>IF(tblPRINTERS[[#This Row],[DATA | PESQUISA RECEBIDA]]="","",PROPER(TEXT(tblPRINTERS[[#This Row],[DATA | PESQUISA RECEBIDA]],"DDDD")))</f>
        <v/>
      </c>
    </row>
    <row r="69" spans="1:17" hidden="1">
      <c r="A69" s="54">
        <v>3035780075</v>
      </c>
      <c r="B69" s="54" t="s">
        <v>500</v>
      </c>
      <c r="C69" s="90">
        <v>42751</v>
      </c>
      <c r="D69" s="89">
        <v>42753.738214849538</v>
      </c>
      <c r="E69" s="54" t="s">
        <v>281</v>
      </c>
      <c r="F69" s="54" t="s">
        <v>281</v>
      </c>
      <c r="G69" s="54" t="s">
        <v>301</v>
      </c>
      <c r="H69" s="54" t="s">
        <v>51</v>
      </c>
      <c r="I69" s="54" t="s">
        <v>817</v>
      </c>
      <c r="J69" s="54" t="s">
        <v>304</v>
      </c>
      <c r="K69" s="54" t="s">
        <v>307</v>
      </c>
      <c r="L69" s="87">
        <v>42754</v>
      </c>
      <c r="M69" s="34" t="str">
        <f>IFERROR(INDEX(BASE,MATCH(tblPRINTERS[[#This Row],[CASE ID]],BASE_CASOS,0),MATCH(tblPRINTERS[[#Headers],[tratativa]],BASE_CAB,0)),"Retornar com prioridade")</f>
        <v>Sem contato</v>
      </c>
      <c r="N69" s="34" t="str">
        <f>IFERROR(INDEX(BASE,MATCH(tblPRINTERS[[#This Row],[CASE ID]],BASE_CASOS,0),MATCH(tblPRINTERS[[#Headers],[Observação]],BASE_CAB,0)),"-")</f>
        <v>Sem contato (Só chama, Cx postal, Ocupado)</v>
      </c>
      <c r="O69" s="34" t="str">
        <f>IFERROR(INDEX(BASE,MATCH(tblPRINTERS[[#This Row],[CASE ID]],BASE_CASOS,0),MATCH(tblPRINTERS[[#Headers],[Observação Calback]],BASE_CAB,0)),"-")</f>
        <v>Disponivel 19:00 H</v>
      </c>
      <c r="P69" s="42" t="str">
        <f>IF(ISERROR(INDEX(QUALIDADE,MATCH(tblPRINTERS[[#This Row],[CASE ID]],PROTOCOLO_PESQUISAS,0),MATCH("Return Time",QUALIDADE_CAB,0)))=FALSE,INDEX(QUALIDADE,MATCH(tblPRINTERS[[#This Row],[CASE ID]],PROTOCOLO_PESQUISAS,0),MATCH("Return Time",QUALIDADE_CAB,0)),"")</f>
        <v/>
      </c>
      <c r="Q69" s="34" t="str">
        <f>IF(tblPRINTERS[[#This Row],[DATA | PESQUISA RECEBIDA]]="","",PROPER(TEXT(tblPRINTERS[[#This Row],[DATA | PESQUISA RECEBIDA]],"DDDD")))</f>
        <v/>
      </c>
    </row>
    <row r="70" spans="1:17" hidden="1">
      <c r="A70" s="54">
        <v>3035809841</v>
      </c>
      <c r="B70" s="54" t="s">
        <v>500</v>
      </c>
      <c r="C70" s="90">
        <v>42751</v>
      </c>
      <c r="D70" s="89">
        <v>42753.738214849538</v>
      </c>
      <c r="E70" s="54" t="s">
        <v>49</v>
      </c>
      <c r="F70" s="54" t="s">
        <v>49</v>
      </c>
      <c r="G70" s="54" t="s">
        <v>301</v>
      </c>
      <c r="H70" s="54" t="s">
        <v>273</v>
      </c>
      <c r="I70" s="54" t="s">
        <v>817</v>
      </c>
      <c r="J70" s="54" t="s">
        <v>303</v>
      </c>
      <c r="K70" s="54" t="s">
        <v>305</v>
      </c>
      <c r="L70" s="87">
        <v>42754</v>
      </c>
      <c r="M70" s="34" t="str">
        <f>IFERROR(INDEX(BASE,MATCH(tblPRINTERS[[#This Row],[CASE ID]],BASE_CASOS,0),MATCH(tblPRINTERS[[#Headers],[tratativa]],BASE_CAB,0)),"Retornar com prioridade")</f>
        <v>Responder pesquisa</v>
      </c>
      <c r="N70" s="34" t="str">
        <f>IFERROR(INDEX(BASE,MATCH(tblPRINTERS[[#This Row],[CASE ID]],BASE_CASOS,0),MATCH(tblPRINTERS[[#Headers],[Observação]],BASE_CAB,0)),"-")</f>
        <v>Nota 9/10</v>
      </c>
      <c r="O70" s="34" t="str">
        <f>IFERROR(INDEX(BASE,MATCH(tblPRINTERS[[#This Row],[CASE ID]],BASE_CASOS,0),MATCH(tblPRINTERS[[#Headers],[Observação Calback]],BASE_CAB,0)),"-")</f>
        <v>ira responder</v>
      </c>
      <c r="P70" s="42" t="str">
        <f>IF(ISERROR(INDEX(QUALIDADE,MATCH(tblPRINTERS[[#This Row],[CASE ID]],PROTOCOLO_PESQUISAS,0),MATCH("Return Time",QUALIDADE_CAB,0)))=FALSE,INDEX(QUALIDADE,MATCH(tblPRINTERS[[#This Row],[CASE ID]],PROTOCOLO_PESQUISAS,0),MATCH("Return Time",QUALIDADE_CAB,0)),"")</f>
        <v/>
      </c>
      <c r="Q70" s="34" t="str">
        <f>IF(tblPRINTERS[[#This Row],[DATA | PESQUISA RECEBIDA]]="","",PROPER(TEXT(tblPRINTERS[[#This Row],[DATA | PESQUISA RECEBIDA]],"DDDD")))</f>
        <v/>
      </c>
    </row>
    <row r="71" spans="1:17" hidden="1">
      <c r="A71" s="54">
        <v>3035433628</v>
      </c>
      <c r="B71" s="54" t="s">
        <v>500</v>
      </c>
      <c r="C71" s="90">
        <v>42751</v>
      </c>
      <c r="D71" s="89">
        <v>42753.738214849538</v>
      </c>
      <c r="E71" s="54" t="s">
        <v>20</v>
      </c>
      <c r="F71" s="54" t="s">
        <v>19</v>
      </c>
      <c r="G71" s="54" t="s">
        <v>302</v>
      </c>
      <c r="H71" s="54" t="s">
        <v>9</v>
      </c>
      <c r="I71" s="54" t="s">
        <v>817</v>
      </c>
      <c r="J71" s="54" t="s">
        <v>303</v>
      </c>
      <c r="K71" s="54" t="s">
        <v>305</v>
      </c>
      <c r="L71" s="87">
        <v>42754</v>
      </c>
      <c r="M71" s="34" t="str">
        <f>IFERROR(INDEX(BASE,MATCH(tblPRINTERS[[#This Row],[CASE ID]],BASE_CASOS,0),MATCH(tblPRINTERS[[#Headers],[tratativa]],BASE_CAB,0)),"Retornar com prioridade")</f>
        <v>Sem contato</v>
      </c>
      <c r="N71" s="34" t="str">
        <f>IFERROR(INDEX(BASE,MATCH(tblPRINTERS[[#This Row],[CASE ID]],BASE_CASOS,0),MATCH(tblPRINTERS[[#Headers],[Observação]],BASE_CAB,0)),"-")</f>
        <v>Sem contato (Só chama, Cx postal, Ocupado)</v>
      </c>
      <c r="O71" s="34" t="str">
        <f>IFERROR(INDEX(BASE,MATCH(tblPRINTERS[[#This Row],[CASE ID]],BASE_CASOS,0),MATCH(tblPRINTERS[[#Headers],[Observação Calback]],BASE_CAB,0)),"-")</f>
        <v>Disponivel 17:00 H</v>
      </c>
      <c r="P71" s="42" t="str">
        <f>IF(ISERROR(INDEX(QUALIDADE,MATCH(tblPRINTERS[[#This Row],[CASE ID]],PROTOCOLO_PESQUISAS,0),MATCH("Return Time",QUALIDADE_CAB,0)))=FALSE,INDEX(QUALIDADE,MATCH(tblPRINTERS[[#This Row],[CASE ID]],PROTOCOLO_PESQUISAS,0),MATCH("Return Time",QUALIDADE_CAB,0)),"")</f>
        <v/>
      </c>
      <c r="Q71" s="34" t="str">
        <f>IF(tblPRINTERS[[#This Row],[DATA | PESQUISA RECEBIDA]]="","",PROPER(TEXT(tblPRINTERS[[#This Row],[DATA | PESQUISA RECEBIDA]],"DDDD")))</f>
        <v/>
      </c>
    </row>
    <row r="72" spans="1:17" hidden="1">
      <c r="A72" s="54">
        <v>3035641285</v>
      </c>
      <c r="B72" s="54" t="s">
        <v>500</v>
      </c>
      <c r="C72" s="90">
        <v>42751</v>
      </c>
      <c r="D72" s="89">
        <v>42753.738214849538</v>
      </c>
      <c r="E72" s="54" t="s">
        <v>8</v>
      </c>
      <c r="F72" s="54" t="s">
        <v>19</v>
      </c>
      <c r="G72" s="54" t="s">
        <v>302</v>
      </c>
      <c r="H72" s="54" t="s">
        <v>9</v>
      </c>
      <c r="L72" s="87"/>
      <c r="M72" s="34" t="str">
        <f>IFERROR(INDEX(BASE,MATCH(tblPRINTERS[[#This Row],[CASE ID]],BASE_CASOS,0),MATCH(tblPRINTERS[[#Headers],[tratativa]],BASE_CAB,0)),"Retornar com prioridade")</f>
        <v>Não responder pesquisa</v>
      </c>
      <c r="N72" s="34" t="str">
        <f>IFERROR(INDEX(BASE,MATCH(tblPRINTERS[[#This Row],[CASE ID]],BASE_CASOS,0),MATCH(tblPRINTERS[[#Headers],[Observação]],BASE_CAB,0)),"-")</f>
        <v>Caso não resolvido / Equipamento em reparo</v>
      </c>
      <c r="O72" s="34" t="str">
        <f>IFERROR(INDEX(BASE,MATCH(tblPRINTERS[[#This Row],[CASE ID]],BASE_CASOS,0),MATCH(tblPRINTERS[[#Headers],[Observação Calback]],BASE_CAB,0)),"-")</f>
        <v>Vai retornar com suporte</v>
      </c>
      <c r="P72" s="42" t="str">
        <f>IF(ISERROR(INDEX(QUALIDADE,MATCH(tblPRINTERS[[#This Row],[CASE ID]],PROTOCOLO_PESQUISAS,0),MATCH("Return Time",QUALIDADE_CAB,0)))=FALSE,INDEX(QUALIDADE,MATCH(tblPRINTERS[[#This Row],[CASE ID]],PROTOCOLO_PESQUISAS,0),MATCH("Return Time",QUALIDADE_CAB,0)),"")</f>
        <v/>
      </c>
      <c r="Q72" s="34" t="str">
        <f>IF(tblPRINTERS[[#This Row],[DATA | PESQUISA RECEBIDA]]="","",PROPER(TEXT(tblPRINTERS[[#This Row],[DATA | PESQUISA RECEBIDA]],"DDDD")))</f>
        <v/>
      </c>
    </row>
    <row r="73" spans="1:17" hidden="1">
      <c r="A73" s="54">
        <v>3035809720</v>
      </c>
      <c r="B73" s="54" t="s">
        <v>500</v>
      </c>
      <c r="C73" s="90">
        <v>42751</v>
      </c>
      <c r="D73" s="89">
        <v>42753.738214849538</v>
      </c>
      <c r="E73" s="54" t="s">
        <v>1453</v>
      </c>
      <c r="F73" s="54" t="s">
        <v>3753</v>
      </c>
      <c r="G73" s="54" t="s">
        <v>302</v>
      </c>
      <c r="H73" s="54" t="s">
        <v>39</v>
      </c>
      <c r="I73" s="54" t="s">
        <v>817</v>
      </c>
      <c r="J73" s="54" t="s">
        <v>303</v>
      </c>
      <c r="K73" s="54" t="s">
        <v>305</v>
      </c>
      <c r="L73" s="87">
        <v>42754</v>
      </c>
      <c r="M73" s="34" t="str">
        <f>IFERROR(INDEX(BASE,MATCH(tblPRINTERS[[#This Row],[CASE ID]],BASE_CASOS,0),MATCH(tblPRINTERS[[#Headers],[tratativa]],BASE_CAB,0)),"Retornar com prioridade")</f>
        <v>Sem contato</v>
      </c>
      <c r="N73" s="34" t="str">
        <f>IFERROR(INDEX(BASE,MATCH(tblPRINTERS[[#This Row],[CASE ID]],BASE_CASOS,0),MATCH(tblPRINTERS[[#Headers],[Observação]],BASE_CAB,0)),"-")</f>
        <v>Sem contato (Só chama, Cx postal, Ocupado)</v>
      </c>
      <c r="O73" s="34" t="str">
        <f>IFERROR(INDEX(BASE,MATCH(tblPRINTERS[[#This Row],[CASE ID]],BASE_CASOS,0),MATCH(tblPRINTERS[[#Headers],[Observação Calback]],BASE_CAB,0)),"-")</f>
        <v>so chama</v>
      </c>
      <c r="P73" s="42" t="str">
        <f>IF(ISERROR(INDEX(QUALIDADE,MATCH(tblPRINTERS[[#This Row],[CASE ID]],PROTOCOLO_PESQUISAS,0),MATCH("Return Time",QUALIDADE_CAB,0)))=FALSE,INDEX(QUALIDADE,MATCH(tblPRINTERS[[#This Row],[CASE ID]],PROTOCOLO_PESQUISAS,0),MATCH("Return Time",QUALIDADE_CAB,0)),"")</f>
        <v/>
      </c>
      <c r="Q73" s="34" t="str">
        <f>IF(tblPRINTERS[[#This Row],[DATA | PESQUISA RECEBIDA]]="","",PROPER(TEXT(tblPRINTERS[[#This Row],[DATA | PESQUISA RECEBIDA]],"DDDD")))</f>
        <v/>
      </c>
    </row>
    <row r="74" spans="1:17" hidden="1">
      <c r="A74" s="54">
        <v>3035831428</v>
      </c>
      <c r="B74" s="54" t="s">
        <v>500</v>
      </c>
      <c r="C74" s="90">
        <v>42751</v>
      </c>
      <c r="D74" s="89">
        <v>42753.738214849538</v>
      </c>
      <c r="E74" s="54" t="s">
        <v>29</v>
      </c>
      <c r="F74" s="54" t="s">
        <v>29</v>
      </c>
      <c r="G74" s="54" t="s">
        <v>301</v>
      </c>
      <c r="H74" s="54" t="s">
        <v>23</v>
      </c>
      <c r="I74" s="54" t="s">
        <v>817</v>
      </c>
      <c r="J74" s="54" t="s">
        <v>304</v>
      </c>
      <c r="K74" s="54" t="s">
        <v>3669</v>
      </c>
      <c r="L74" s="87">
        <v>42754</v>
      </c>
      <c r="M74" s="34" t="str">
        <f>IFERROR(INDEX(BASE,MATCH(tblPRINTERS[[#This Row],[CASE ID]],BASE_CASOS,0),MATCH(tblPRINTERS[[#Headers],[tratativa]],BASE_CAB,0)),"Retornar com prioridade")</f>
        <v>Responder pesquisa</v>
      </c>
      <c r="N74" s="34" t="str">
        <f>IFERROR(INDEX(BASE,MATCH(tblPRINTERS[[#This Row],[CASE ID]],BASE_CASOS,0),MATCH(tblPRINTERS[[#Headers],[Observação]],BASE_CAB,0)),"-")</f>
        <v>Nota 9/10</v>
      </c>
      <c r="O74" s="34" t="str">
        <f>IFERROR(INDEX(BASE,MATCH(tblPRINTERS[[#This Row],[CASE ID]],BASE_CASOS,0),MATCH(tblPRINTERS[[#Headers],[Observação Calback]],BASE_CAB,0)),"-")</f>
        <v>ira responder</v>
      </c>
      <c r="P74" s="42" t="str">
        <f>IF(ISERROR(INDEX(QUALIDADE,MATCH(tblPRINTERS[[#This Row],[CASE ID]],PROTOCOLO_PESQUISAS,0),MATCH("Return Time",QUALIDADE_CAB,0)))=FALSE,INDEX(QUALIDADE,MATCH(tblPRINTERS[[#This Row],[CASE ID]],PROTOCOLO_PESQUISAS,0),MATCH("Return Time",QUALIDADE_CAB,0)),"")</f>
        <v/>
      </c>
      <c r="Q74" s="34" t="str">
        <f>IF(tblPRINTERS[[#This Row],[DATA | PESQUISA RECEBIDA]]="","",PROPER(TEXT(tblPRINTERS[[#This Row],[DATA | PESQUISA RECEBIDA]],"DDDD")))</f>
        <v/>
      </c>
    </row>
    <row r="75" spans="1:17" hidden="1">
      <c r="A75" s="54">
        <v>3035807482</v>
      </c>
      <c r="B75" s="54" t="s">
        <v>500</v>
      </c>
      <c r="C75" s="90">
        <v>42751</v>
      </c>
      <c r="D75" s="89">
        <v>42753.738214849538</v>
      </c>
      <c r="E75" s="54" t="s">
        <v>42</v>
      </c>
      <c r="F75" s="54" t="s">
        <v>42</v>
      </c>
      <c r="G75" s="54" t="s">
        <v>301</v>
      </c>
      <c r="H75" s="54" t="s">
        <v>39</v>
      </c>
      <c r="I75" s="54" t="s">
        <v>817</v>
      </c>
      <c r="J75" s="54" t="s">
        <v>303</v>
      </c>
      <c r="K75" s="54" t="s">
        <v>305</v>
      </c>
      <c r="L75" s="87">
        <v>42754</v>
      </c>
      <c r="M75" s="34" t="str">
        <f>IFERROR(INDEX(BASE,MATCH(tblPRINTERS[[#This Row],[CASE ID]],BASE_CASOS,0),MATCH(tblPRINTERS[[#Headers],[tratativa]],BASE_CAB,0)),"Retornar com prioridade")</f>
        <v>Responder pesquisa</v>
      </c>
      <c r="N75" s="34" t="str">
        <f>IFERROR(INDEX(BASE,MATCH(tblPRINTERS[[#This Row],[CASE ID]],BASE_CASOS,0),MATCH(tblPRINTERS[[#Headers],[Observação]],BASE_CAB,0)),"-")</f>
        <v>Nota 9/10</v>
      </c>
      <c r="O75" s="34" t="str">
        <f>IFERROR(INDEX(BASE,MATCH(tblPRINTERS[[#This Row],[CASE ID]],BASE_CASOS,0),MATCH(tblPRINTERS[[#Headers],[Observação Calback]],BASE_CAB,0)),"-")</f>
        <v>ira responder</v>
      </c>
      <c r="P75" s="42" t="str">
        <f>IF(ISERROR(INDEX(QUALIDADE,MATCH(tblPRINTERS[[#This Row],[CASE ID]],PROTOCOLO_PESQUISAS,0),MATCH("Return Time",QUALIDADE_CAB,0)))=FALSE,INDEX(QUALIDADE,MATCH(tblPRINTERS[[#This Row],[CASE ID]],PROTOCOLO_PESQUISAS,0),MATCH("Return Time",QUALIDADE_CAB,0)),"")</f>
        <v/>
      </c>
      <c r="Q75" s="34" t="str">
        <f>IF(tblPRINTERS[[#This Row],[DATA | PESQUISA RECEBIDA]]="","",PROPER(TEXT(tblPRINTERS[[#This Row],[DATA | PESQUISA RECEBIDA]],"DDDD")))</f>
        <v/>
      </c>
    </row>
    <row r="76" spans="1:17" hidden="1">
      <c r="A76" s="54">
        <v>3035723204</v>
      </c>
      <c r="B76" s="54" t="s">
        <v>500</v>
      </c>
      <c r="C76" s="90">
        <v>42751</v>
      </c>
      <c r="D76" s="89">
        <v>42753.738214849538</v>
      </c>
      <c r="E76" s="54" t="s">
        <v>53</v>
      </c>
      <c r="F76" s="54" t="s">
        <v>21</v>
      </c>
      <c r="G76" s="54" t="s">
        <v>302</v>
      </c>
      <c r="H76" s="54" t="s">
        <v>273</v>
      </c>
      <c r="I76" s="54" t="s">
        <v>817</v>
      </c>
      <c r="J76" s="54" t="s">
        <v>303</v>
      </c>
      <c r="K76" s="54" t="s">
        <v>305</v>
      </c>
      <c r="L76" s="87">
        <v>42754</v>
      </c>
      <c r="M76" s="34" t="str">
        <f>IFERROR(INDEX(BASE,MATCH(tblPRINTERS[[#This Row],[CASE ID]],BASE_CASOS,0),MATCH(tblPRINTERS[[#Headers],[tratativa]],BASE_CAB,0)),"Retornar com prioridade")</f>
        <v>Sem contato</v>
      </c>
      <c r="N76" s="34" t="str">
        <f>IFERROR(INDEX(BASE,MATCH(tblPRINTERS[[#This Row],[CASE ID]],BASE_CASOS,0),MATCH(tblPRINTERS[[#Headers],[Observação]],BASE_CAB,0)),"-")</f>
        <v>Sem contato (Só chama, Cx postal, Ocupado)</v>
      </c>
      <c r="O76" s="34" t="str">
        <f>IFERROR(INDEX(BASE,MATCH(tblPRINTERS[[#This Row],[CASE ID]],BASE_CASOS,0),MATCH(tblPRINTERS[[#Headers],[Observação Calback]],BASE_CAB,0)),"-")</f>
        <v>so chama</v>
      </c>
      <c r="P76" s="42" t="str">
        <f>IF(ISERROR(INDEX(QUALIDADE,MATCH(tblPRINTERS[[#This Row],[CASE ID]],PROTOCOLO_PESQUISAS,0),MATCH("Return Time",QUALIDADE_CAB,0)))=FALSE,INDEX(QUALIDADE,MATCH(tblPRINTERS[[#This Row],[CASE ID]],PROTOCOLO_PESQUISAS,0),MATCH("Return Time",QUALIDADE_CAB,0)),"")</f>
        <v/>
      </c>
      <c r="Q76" s="34" t="str">
        <f>IF(tblPRINTERS[[#This Row],[DATA | PESQUISA RECEBIDA]]="","",PROPER(TEXT(tblPRINTERS[[#This Row],[DATA | PESQUISA RECEBIDA]],"DDDD")))</f>
        <v/>
      </c>
    </row>
    <row r="77" spans="1:17" hidden="1">
      <c r="A77" s="54">
        <v>3035816825</v>
      </c>
      <c r="B77" s="54" t="s">
        <v>500</v>
      </c>
      <c r="C77" s="90">
        <v>42751</v>
      </c>
      <c r="D77" s="89">
        <v>42753.738214849538</v>
      </c>
      <c r="E77" s="54" t="s">
        <v>46</v>
      </c>
      <c r="F77" s="54" t="s">
        <v>46</v>
      </c>
      <c r="G77" s="54" t="s">
        <v>301</v>
      </c>
      <c r="H77" s="54" t="s">
        <v>39</v>
      </c>
      <c r="I77" s="54" t="s">
        <v>817</v>
      </c>
      <c r="J77" s="54" t="s">
        <v>304</v>
      </c>
      <c r="K77" s="54" t="s">
        <v>3669</v>
      </c>
      <c r="L77" s="87">
        <v>42754</v>
      </c>
      <c r="M77" s="34" t="str">
        <f>IFERROR(INDEX(BASE,MATCH(tblPRINTERS[[#This Row],[CASE ID]],BASE_CASOS,0),MATCH(tblPRINTERS[[#Headers],[tratativa]],BASE_CAB,0)),"Retornar com prioridade")</f>
        <v>Responder pesquisa</v>
      </c>
      <c r="N77" s="34" t="str">
        <f>IFERROR(INDEX(BASE,MATCH(tblPRINTERS[[#This Row],[CASE ID]],BASE_CASOS,0),MATCH(tblPRINTERS[[#Headers],[Observação]],BASE_CAB,0)),"-")</f>
        <v>Nota 9/10</v>
      </c>
      <c r="O77" s="34" t="str">
        <f>IFERROR(INDEX(BASE,MATCH(tblPRINTERS[[#This Row],[CASE ID]],BASE_CASOS,0),MATCH(tblPRINTERS[[#Headers],[Observação Calback]],BASE_CAB,0)),"-")</f>
        <v>ira responder</v>
      </c>
      <c r="P77" s="42" t="str">
        <f>IF(ISERROR(INDEX(QUALIDADE,MATCH(tblPRINTERS[[#This Row],[CASE ID]],PROTOCOLO_PESQUISAS,0),MATCH("Return Time",QUALIDADE_CAB,0)))=FALSE,INDEX(QUALIDADE,MATCH(tblPRINTERS[[#This Row],[CASE ID]],PROTOCOLO_PESQUISAS,0),MATCH("Return Time",QUALIDADE_CAB,0)),"")</f>
        <v/>
      </c>
      <c r="Q77" s="34" t="str">
        <f>IF(tblPRINTERS[[#This Row],[DATA | PESQUISA RECEBIDA]]="","",PROPER(TEXT(tblPRINTERS[[#This Row],[DATA | PESQUISA RECEBIDA]],"DDDD")))</f>
        <v/>
      </c>
    </row>
    <row r="78" spans="1:17" hidden="1">
      <c r="A78" s="54">
        <v>3035822764</v>
      </c>
      <c r="B78" s="54" t="s">
        <v>500</v>
      </c>
      <c r="C78" s="90">
        <v>42751</v>
      </c>
      <c r="D78" s="89">
        <v>42753.738214849538</v>
      </c>
      <c r="E78" s="54" t="s">
        <v>591</v>
      </c>
      <c r="F78" s="54" t="s">
        <v>591</v>
      </c>
      <c r="G78" s="54" t="s">
        <v>301</v>
      </c>
      <c r="H78" s="54" t="s">
        <v>23</v>
      </c>
      <c r="I78" s="54" t="s">
        <v>817</v>
      </c>
      <c r="J78" s="54" t="s">
        <v>304</v>
      </c>
      <c r="K78" s="54" t="s">
        <v>1215</v>
      </c>
      <c r="L78" s="87">
        <v>42754</v>
      </c>
      <c r="M78" s="34" t="str">
        <f>IFERROR(INDEX(BASE,MATCH(tblPRINTERS[[#This Row],[CASE ID]],BASE_CASOS,0),MATCH(tblPRINTERS[[#Headers],[tratativa]],BASE_CAB,0)),"Retornar com prioridade")</f>
        <v>Sem contato</v>
      </c>
      <c r="N78" s="34" t="str">
        <f>IFERROR(INDEX(BASE,MATCH(tblPRINTERS[[#This Row],[CASE ID]],BASE_CASOS,0),MATCH(tblPRINTERS[[#Headers],[Observação]],BASE_CAB,0)),"-")</f>
        <v>Sem contato (Só chama, Cx postal, Ocupado)</v>
      </c>
      <c r="O78" s="34" t="str">
        <f>IFERROR(INDEX(BASE,MATCH(tblPRINTERS[[#This Row],[CASE ID]],BASE_CASOS,0),MATCH(tblPRINTERS[[#Headers],[Observação Calback]],BASE_CAB,0)),"-")</f>
        <v>retorna as 16h</v>
      </c>
      <c r="P78" s="42" t="str">
        <f>IF(ISERROR(INDEX(QUALIDADE,MATCH(tblPRINTERS[[#This Row],[CASE ID]],PROTOCOLO_PESQUISAS,0),MATCH("Return Time",QUALIDADE_CAB,0)))=FALSE,INDEX(QUALIDADE,MATCH(tblPRINTERS[[#This Row],[CASE ID]],PROTOCOLO_PESQUISAS,0),MATCH("Return Time",QUALIDADE_CAB,0)),"")</f>
        <v/>
      </c>
      <c r="Q78" s="34" t="str">
        <f>IF(tblPRINTERS[[#This Row],[DATA | PESQUISA RECEBIDA]]="","",PROPER(TEXT(tblPRINTERS[[#This Row],[DATA | PESQUISA RECEBIDA]],"DDDD")))</f>
        <v/>
      </c>
    </row>
    <row r="79" spans="1:17" hidden="1">
      <c r="A79" s="54">
        <v>3035815111</v>
      </c>
      <c r="B79" s="54" t="s">
        <v>500</v>
      </c>
      <c r="C79" s="90">
        <v>42751</v>
      </c>
      <c r="D79" s="89">
        <v>42753.738214849538</v>
      </c>
      <c r="E79" s="54" t="s">
        <v>2139</v>
      </c>
      <c r="F79" s="54" t="s">
        <v>2139</v>
      </c>
      <c r="G79" s="54" t="s">
        <v>301</v>
      </c>
      <c r="H79" s="54" t="s">
        <v>273</v>
      </c>
      <c r="I79" s="54" t="s">
        <v>817</v>
      </c>
      <c r="J79" s="54" t="s">
        <v>303</v>
      </c>
      <c r="K79" s="54" t="s">
        <v>305</v>
      </c>
      <c r="L79" s="87">
        <v>42754</v>
      </c>
      <c r="M79" s="34" t="str">
        <f>IFERROR(INDEX(BASE,MATCH(tblPRINTERS[[#This Row],[CASE ID]],BASE_CASOS,0),MATCH(tblPRINTERS[[#Headers],[tratativa]],BASE_CAB,0)),"Retornar com prioridade")</f>
        <v>Responder pesquisa</v>
      </c>
      <c r="N79" s="34" t="str">
        <f>IFERROR(INDEX(BASE,MATCH(tblPRINTERS[[#This Row],[CASE ID]],BASE_CASOS,0),MATCH(tblPRINTERS[[#Headers],[Observação]],BASE_CAB,0)),"-")</f>
        <v>Nota 9/10</v>
      </c>
      <c r="O79" s="34" t="str">
        <f>IFERROR(INDEX(BASE,MATCH(tblPRINTERS[[#This Row],[CASE ID]],BASE_CASOS,0),MATCH(tblPRINTERS[[#Headers],[Observação Calback]],BASE_CAB,0)),"-")</f>
        <v>cliente alega ter respondido.</v>
      </c>
      <c r="P79" s="42" t="str">
        <f>IF(ISERROR(INDEX(QUALIDADE,MATCH(tblPRINTERS[[#This Row],[CASE ID]],PROTOCOLO_PESQUISAS,0),MATCH("Return Time",QUALIDADE_CAB,0)))=FALSE,INDEX(QUALIDADE,MATCH(tblPRINTERS[[#This Row],[CASE ID]],PROTOCOLO_PESQUISAS,0),MATCH("Return Time",QUALIDADE_CAB,0)),"")</f>
        <v/>
      </c>
      <c r="Q79" s="34" t="str">
        <f>IF(tblPRINTERS[[#This Row],[DATA | PESQUISA RECEBIDA]]="","",PROPER(TEXT(tblPRINTERS[[#This Row],[DATA | PESQUISA RECEBIDA]],"DDDD")))</f>
        <v/>
      </c>
    </row>
    <row r="80" spans="1:17" hidden="1">
      <c r="A80" s="54">
        <v>3035813080</v>
      </c>
      <c r="B80" s="54" t="s">
        <v>500</v>
      </c>
      <c r="C80" s="90">
        <v>42751</v>
      </c>
      <c r="D80" s="89">
        <v>42753.738214849538</v>
      </c>
      <c r="E80" s="54" t="s">
        <v>593</v>
      </c>
      <c r="F80" s="54" t="s">
        <v>593</v>
      </c>
      <c r="G80" s="54" t="s">
        <v>301</v>
      </c>
      <c r="H80" s="54" t="s">
        <v>273</v>
      </c>
      <c r="L80" s="87"/>
      <c r="M80" s="34" t="str">
        <f>IFERROR(INDEX(BASE,MATCH(tblPRINTERS[[#This Row],[CASE ID]],BASE_CASOS,0),MATCH(tblPRINTERS[[#Headers],[tratativa]],BASE_CAB,0)),"Retornar com prioridade")</f>
        <v>Não responder pesquisa</v>
      </c>
      <c r="N80" s="34" t="str">
        <f>IFERROR(INDEX(BASE,MATCH(tblPRINTERS[[#This Row],[CASE ID]],BASE_CASOS,0),MATCH(tblPRINTERS[[#Headers],[Observação]],BASE_CAB,0)),"-")</f>
        <v>Caso não resolvido / Equipamento em reparo</v>
      </c>
      <c r="O80" s="34" t="str">
        <f>IFERROR(INDEX(BASE,MATCH(tblPRINTERS[[#This Row],[CASE ID]],BASE_CASOS,0),MATCH(tblPRINTERS[[#Headers],[Observação Calback]],BASE_CAB,0)),"-")</f>
        <v>agendar retorno, intalacao wifi.amanha as 12h</v>
      </c>
      <c r="P80" s="42" t="str">
        <f>IF(ISERROR(INDEX(QUALIDADE,MATCH(tblPRINTERS[[#This Row],[CASE ID]],PROTOCOLO_PESQUISAS,0),MATCH("Return Time",QUALIDADE_CAB,0)))=FALSE,INDEX(QUALIDADE,MATCH(tblPRINTERS[[#This Row],[CASE ID]],PROTOCOLO_PESQUISAS,0),MATCH("Return Time",QUALIDADE_CAB,0)),"")</f>
        <v/>
      </c>
      <c r="Q80" s="34" t="str">
        <f>IF(tblPRINTERS[[#This Row],[DATA | PESQUISA RECEBIDA]]="","",PROPER(TEXT(tblPRINTERS[[#This Row],[DATA | PESQUISA RECEBIDA]],"DDDD")))</f>
        <v/>
      </c>
    </row>
    <row r="81" spans="1:17" hidden="1">
      <c r="A81" s="54">
        <v>3035644842</v>
      </c>
      <c r="B81" s="54" t="s">
        <v>500</v>
      </c>
      <c r="C81" s="90">
        <v>42751</v>
      </c>
      <c r="D81" s="89">
        <v>42753.738214849538</v>
      </c>
      <c r="E81" s="54" t="s">
        <v>16</v>
      </c>
      <c r="F81" s="54" t="s">
        <v>19</v>
      </c>
      <c r="G81" s="54" t="s">
        <v>302</v>
      </c>
      <c r="H81" s="54" t="s">
        <v>9</v>
      </c>
      <c r="L81" s="87"/>
      <c r="M81" s="34" t="str">
        <f>IFERROR(INDEX(BASE,MATCH(tblPRINTERS[[#This Row],[CASE ID]],BASE_CASOS,0),MATCH(tblPRINTERS[[#Headers],[tratativa]],BASE_CAB,0)),"Retornar com prioridade")</f>
        <v>Não responder pesquisa</v>
      </c>
      <c r="N81" s="34" t="str">
        <f>IFERROR(INDEX(BASE,MATCH(tblPRINTERS[[#This Row],[CASE ID]],BASE_CASOS,0),MATCH(tblPRINTERS[[#Headers],[Observação]],BASE_CAB,0)),"-")</f>
        <v>Cliente insatisfeito Atendimento</v>
      </c>
      <c r="O81" s="34" t="str">
        <f>IFERROR(INDEX(BASE,MATCH(tblPRINTERS[[#This Row],[CASE ID]],BASE_CASOS,0),MATCH(tblPRINTERS[[#Headers],[Observação Calback]],BASE_CAB,0)),"-")</f>
        <v>não conseguiu falar no 0800 e somente no 4004 onde gastou todos os creditos do telefone, possivel detractor</v>
      </c>
      <c r="P81" s="42" t="str">
        <f>IF(ISERROR(INDEX(QUALIDADE,MATCH(tblPRINTERS[[#This Row],[CASE ID]],PROTOCOLO_PESQUISAS,0),MATCH("Return Time",QUALIDADE_CAB,0)))=FALSE,INDEX(QUALIDADE,MATCH(tblPRINTERS[[#This Row],[CASE ID]],PROTOCOLO_PESQUISAS,0),MATCH("Return Time",QUALIDADE_CAB,0)),"")</f>
        <v/>
      </c>
      <c r="Q81" s="34" t="str">
        <f>IF(tblPRINTERS[[#This Row],[DATA | PESQUISA RECEBIDA]]="","",PROPER(TEXT(tblPRINTERS[[#This Row],[DATA | PESQUISA RECEBIDA]],"DDDD")))</f>
        <v/>
      </c>
    </row>
    <row r="82" spans="1:17" hidden="1">
      <c r="A82" s="54">
        <v>3035825558</v>
      </c>
      <c r="B82" s="54" t="s">
        <v>500</v>
      </c>
      <c r="C82" s="90">
        <v>42751</v>
      </c>
      <c r="D82" s="89">
        <v>42753.738214849538</v>
      </c>
      <c r="E82" s="54" t="s">
        <v>26</v>
      </c>
      <c r="F82" s="54" t="s">
        <v>26</v>
      </c>
      <c r="G82" s="54" t="s">
        <v>301</v>
      </c>
      <c r="H82" s="54" t="s">
        <v>23</v>
      </c>
      <c r="I82" s="54" t="s">
        <v>817</v>
      </c>
      <c r="J82" s="54" t="s">
        <v>304</v>
      </c>
      <c r="K82" s="54" t="s">
        <v>307</v>
      </c>
      <c r="L82" s="87">
        <v>42754</v>
      </c>
      <c r="M82" s="34" t="str">
        <f>IFERROR(INDEX(BASE,MATCH(tblPRINTERS[[#This Row],[CASE ID]],BASE_CASOS,0),MATCH(tblPRINTERS[[#Headers],[tratativa]],BASE_CAB,0)),"Retornar com prioridade")</f>
        <v>Sem contato</v>
      </c>
      <c r="N82" s="34" t="str">
        <f>IFERROR(INDEX(BASE,MATCH(tblPRINTERS[[#This Row],[CASE ID]],BASE_CASOS,0),MATCH(tblPRINTERS[[#Headers],[Observação]],BASE_CAB,0)),"-")</f>
        <v>Sem contato (Só chama, Cx postal, Ocupado)</v>
      </c>
      <c r="O82" s="34" t="str">
        <f>IFERROR(INDEX(BASE,MATCH(tblPRINTERS[[#This Row],[CASE ID]],BASE_CASOS,0),MATCH(tblPRINTERS[[#Headers],[Observação Calback]],BASE_CAB,0)),"-")</f>
        <v>so chama</v>
      </c>
      <c r="P82" s="42" t="str">
        <f>IF(ISERROR(INDEX(QUALIDADE,MATCH(tblPRINTERS[[#This Row],[CASE ID]],PROTOCOLO_PESQUISAS,0),MATCH("Return Time",QUALIDADE_CAB,0)))=FALSE,INDEX(QUALIDADE,MATCH(tblPRINTERS[[#This Row],[CASE ID]],PROTOCOLO_PESQUISAS,0),MATCH("Return Time",QUALIDADE_CAB,0)),"")</f>
        <v/>
      </c>
      <c r="Q82" s="34" t="str">
        <f>IF(tblPRINTERS[[#This Row],[DATA | PESQUISA RECEBIDA]]="","",PROPER(TEXT(tblPRINTERS[[#This Row],[DATA | PESQUISA RECEBIDA]],"DDDD")))</f>
        <v/>
      </c>
    </row>
    <row r="83" spans="1:17" hidden="1">
      <c r="A83" s="54">
        <v>3035820345</v>
      </c>
      <c r="B83" s="54" t="s">
        <v>500</v>
      </c>
      <c r="C83" s="90">
        <v>42751</v>
      </c>
      <c r="D83" s="89">
        <v>42753.738214849538</v>
      </c>
      <c r="E83" s="54" t="s">
        <v>37</v>
      </c>
      <c r="F83" s="54" t="s">
        <v>37</v>
      </c>
      <c r="G83" s="54" t="s">
        <v>301</v>
      </c>
      <c r="H83" s="54" t="s">
        <v>39</v>
      </c>
      <c r="I83" s="54" t="s">
        <v>817</v>
      </c>
      <c r="J83" s="54" t="s">
        <v>303</v>
      </c>
      <c r="K83" s="54" t="s">
        <v>305</v>
      </c>
      <c r="L83" s="87">
        <v>42754</v>
      </c>
      <c r="M83" s="34" t="str">
        <f>IFERROR(INDEX(BASE,MATCH(tblPRINTERS[[#This Row],[CASE ID]],BASE_CASOS,0),MATCH(tblPRINTERS[[#Headers],[tratativa]],BASE_CAB,0)),"Retornar com prioridade")</f>
        <v>Sem contato</v>
      </c>
      <c r="N83" s="34" t="str">
        <f>IFERROR(INDEX(BASE,MATCH(tblPRINTERS[[#This Row],[CASE ID]],BASE_CASOS,0),MATCH(tblPRINTERS[[#Headers],[Observação]],BASE_CAB,0)),"-")</f>
        <v>Sem contato (Só chama, Cx postal, Ocupado)</v>
      </c>
      <c r="O83" s="34" t="str">
        <f>IFERROR(INDEX(BASE,MATCH(tblPRINTERS[[#This Row],[CASE ID]],BASE_CASOS,0),MATCH(tblPRINTERS[[#Headers],[Observação Calback]],BASE_CAB,0)),"-")</f>
        <v>so chama</v>
      </c>
      <c r="P83" s="42" t="str">
        <f>IF(ISERROR(INDEX(QUALIDADE,MATCH(tblPRINTERS[[#This Row],[CASE ID]],PROTOCOLO_PESQUISAS,0),MATCH("Return Time",QUALIDADE_CAB,0)))=FALSE,INDEX(QUALIDADE,MATCH(tblPRINTERS[[#This Row],[CASE ID]],PROTOCOLO_PESQUISAS,0),MATCH("Return Time",QUALIDADE_CAB,0)),"")</f>
        <v/>
      </c>
      <c r="Q83" s="34" t="str">
        <f>IF(tblPRINTERS[[#This Row],[DATA | PESQUISA RECEBIDA]]="","",PROPER(TEXT(tblPRINTERS[[#This Row],[DATA | PESQUISA RECEBIDA]],"DDDD")))</f>
        <v/>
      </c>
    </row>
    <row r="84" spans="1:17" hidden="1">
      <c r="A84" s="54">
        <v>3035824337</v>
      </c>
      <c r="B84" s="54" t="s">
        <v>500</v>
      </c>
      <c r="C84" s="90">
        <v>42751</v>
      </c>
      <c r="D84" s="89">
        <v>42753.738214849538</v>
      </c>
      <c r="E84" s="54" t="s">
        <v>50</v>
      </c>
      <c r="F84" s="54" t="s">
        <v>50</v>
      </c>
      <c r="G84" s="54" t="s">
        <v>301</v>
      </c>
      <c r="H84" s="54" t="s">
        <v>273</v>
      </c>
      <c r="I84" s="54" t="s">
        <v>817</v>
      </c>
      <c r="J84" s="54" t="s">
        <v>304</v>
      </c>
      <c r="K84" s="54" t="s">
        <v>3669</v>
      </c>
      <c r="L84" s="87">
        <v>42754</v>
      </c>
      <c r="M84" s="34" t="str">
        <f>IFERROR(INDEX(BASE,MATCH(tblPRINTERS[[#This Row],[CASE ID]],BASE_CASOS,0),MATCH(tblPRINTERS[[#Headers],[tratativa]],BASE_CAB,0)),"Retornar com prioridade")</f>
        <v>Responder pesquisa</v>
      </c>
      <c r="N84" s="34" t="str">
        <f>IFERROR(INDEX(BASE,MATCH(tblPRINTERS[[#This Row],[CASE ID]],BASE_CASOS,0),MATCH(tblPRINTERS[[#Headers],[Observação]],BASE_CAB,0)),"-")</f>
        <v>Nota 9/10</v>
      </c>
      <c r="O84" s="34" t="str">
        <f>IFERROR(INDEX(BASE,MATCH(tblPRINTERS[[#This Row],[CASE ID]],BASE_CASOS,0),MATCH(tblPRINTERS[[#Headers],[Observação Calback]],BASE_CAB,0)),"-")</f>
        <v>ira responder</v>
      </c>
      <c r="P84" s="42" t="str">
        <f>IF(ISERROR(INDEX(QUALIDADE,MATCH(tblPRINTERS[[#This Row],[CASE ID]],PROTOCOLO_PESQUISAS,0),MATCH("Return Time",QUALIDADE_CAB,0)))=FALSE,INDEX(QUALIDADE,MATCH(tblPRINTERS[[#This Row],[CASE ID]],PROTOCOLO_PESQUISAS,0),MATCH("Return Time",QUALIDADE_CAB,0)),"")</f>
        <v/>
      </c>
      <c r="Q84" s="34" t="str">
        <f>IF(tblPRINTERS[[#This Row],[DATA | PESQUISA RECEBIDA]]="","",PROPER(TEXT(tblPRINTERS[[#This Row],[DATA | PESQUISA RECEBIDA]],"DDDD")))</f>
        <v/>
      </c>
    </row>
    <row r="85" spans="1:17" hidden="1">
      <c r="A85" s="54">
        <v>3035616849</v>
      </c>
      <c r="B85" s="54" t="s">
        <v>500</v>
      </c>
      <c r="C85" s="90">
        <v>42751</v>
      </c>
      <c r="D85" s="89">
        <v>42753.738214849538</v>
      </c>
      <c r="E85" s="54" t="s">
        <v>54</v>
      </c>
      <c r="F85" s="54" t="s">
        <v>21</v>
      </c>
      <c r="G85" s="54" t="s">
        <v>302</v>
      </c>
      <c r="H85" s="54" t="s">
        <v>273</v>
      </c>
      <c r="L85" s="87"/>
      <c r="M85" s="34" t="str">
        <f>IFERROR(INDEX(BASE,MATCH(tblPRINTERS[[#This Row],[CASE ID]],BASE_CASOS,0),MATCH(tblPRINTERS[[#Headers],[tratativa]],BASE_CAB,0)),"Retornar com prioridade")</f>
        <v>Não responder pesquisa</v>
      </c>
      <c r="N85" s="34" t="str">
        <f>IFERROR(INDEX(BASE,MATCH(tblPRINTERS[[#This Row],[CASE ID]],BASE_CASOS,0),MATCH(tblPRINTERS[[#Headers],[Observação]],BASE_CAB,0)),"-")</f>
        <v>Caso não resolvido / Equipamento em reparo</v>
      </c>
      <c r="O85" s="34" t="str">
        <f>IFERROR(INDEX(BASE,MATCH(tblPRINTERS[[#This Row],[CASE ID]],BASE_CASOS,0),MATCH(tblPRINTERS[[#Headers],[Observação Calback]],BASE_CAB,0)),"-")</f>
        <v>ira enviar nota fiscal</v>
      </c>
      <c r="P85" s="42" t="str">
        <f>IF(ISERROR(INDEX(QUALIDADE,MATCH(tblPRINTERS[[#This Row],[CASE ID]],PROTOCOLO_PESQUISAS,0),MATCH("Return Time",QUALIDADE_CAB,0)))=FALSE,INDEX(QUALIDADE,MATCH(tblPRINTERS[[#This Row],[CASE ID]],PROTOCOLO_PESQUISAS,0),MATCH("Return Time",QUALIDADE_CAB,0)),"")</f>
        <v/>
      </c>
      <c r="Q85" s="34" t="str">
        <f>IF(tblPRINTERS[[#This Row],[DATA | PESQUISA RECEBIDA]]="","",PROPER(TEXT(tblPRINTERS[[#This Row],[DATA | PESQUISA RECEBIDA]],"DDDD")))</f>
        <v/>
      </c>
    </row>
    <row r="86" spans="1:17" hidden="1">
      <c r="A86" s="54">
        <v>3035645094</v>
      </c>
      <c r="B86" s="54" t="s">
        <v>500</v>
      </c>
      <c r="C86" s="90">
        <v>42751</v>
      </c>
      <c r="D86" s="89">
        <v>42753.738214849538</v>
      </c>
      <c r="E86" s="54" t="s">
        <v>1548</v>
      </c>
      <c r="F86" s="54" t="s">
        <v>33</v>
      </c>
      <c r="G86" s="54" t="s">
        <v>302</v>
      </c>
      <c r="H86" s="54" t="s">
        <v>31</v>
      </c>
      <c r="L86" s="87"/>
      <c r="M86" s="34" t="str">
        <f>IFERROR(INDEX(BASE,MATCH(tblPRINTERS[[#This Row],[CASE ID]],BASE_CASOS,0),MATCH(tblPRINTERS[[#Headers],[tratativa]],BASE_CAB,0)),"Retornar com prioridade")</f>
        <v>Não responder pesquisa</v>
      </c>
      <c r="N86" s="34" t="str">
        <f>IFERROR(INDEX(BASE,MATCH(tblPRINTERS[[#This Row],[CASE ID]],BASE_CASOS,0),MATCH(tblPRINTERS[[#Headers],[Observação]],BASE_CAB,0)),"-")</f>
        <v>Caso não resolvido / Equipamento em reparo</v>
      </c>
      <c r="O86" s="34" t="str">
        <f>IFERROR(INDEX(BASE,MATCH(tblPRINTERS[[#This Row],[CASE ID]],BASE_CASOS,0),MATCH(tblPRINTERS[[#Headers],[Observação Calback]],BASE_CAB,0)),"-")</f>
        <v>Enviado supervisor</v>
      </c>
      <c r="P86" s="42" t="str">
        <f>IF(ISERROR(INDEX(QUALIDADE,MATCH(tblPRINTERS[[#This Row],[CASE ID]],PROTOCOLO_PESQUISAS,0),MATCH("Return Time",QUALIDADE_CAB,0)))=FALSE,INDEX(QUALIDADE,MATCH(tblPRINTERS[[#This Row],[CASE ID]],PROTOCOLO_PESQUISAS,0),MATCH("Return Time",QUALIDADE_CAB,0)),"")</f>
        <v/>
      </c>
      <c r="Q86" s="34" t="str">
        <f>IF(tblPRINTERS[[#This Row],[DATA | PESQUISA RECEBIDA]]="","",PROPER(TEXT(tblPRINTERS[[#This Row],[DATA | PESQUISA RECEBIDA]],"DDDD")))</f>
        <v/>
      </c>
    </row>
    <row r="87" spans="1:17" hidden="1">
      <c r="A87" s="54">
        <v>3035819111</v>
      </c>
      <c r="B87" s="54" t="s">
        <v>500</v>
      </c>
      <c r="C87" s="90">
        <v>42751</v>
      </c>
      <c r="D87" s="89">
        <v>42753.738214849538</v>
      </c>
      <c r="E87" s="54" t="s">
        <v>29</v>
      </c>
      <c r="F87" s="54" t="s">
        <v>29</v>
      </c>
      <c r="G87" s="54" t="s">
        <v>301</v>
      </c>
      <c r="H87" s="54" t="s">
        <v>23</v>
      </c>
      <c r="I87" s="54" t="s">
        <v>817</v>
      </c>
      <c r="J87" s="54" t="s">
        <v>304</v>
      </c>
      <c r="K87" s="54" t="s">
        <v>307</v>
      </c>
      <c r="L87" s="87">
        <v>42754</v>
      </c>
      <c r="M87" s="34" t="str">
        <f>IFERROR(INDEX(BASE,MATCH(tblPRINTERS[[#This Row],[CASE ID]],BASE_CASOS,0),MATCH(tblPRINTERS[[#Headers],[tratativa]],BASE_CAB,0)),"Retornar com prioridade")</f>
        <v>Responder pesquisa</v>
      </c>
      <c r="N87" s="34" t="str">
        <f>IFERROR(INDEX(BASE,MATCH(tblPRINTERS[[#This Row],[CASE ID]],BASE_CASOS,0),MATCH(tblPRINTERS[[#Headers],[Observação]],BASE_CAB,0)),"-")</f>
        <v>Nota 9/10</v>
      </c>
      <c r="O87" s="34" t="str">
        <f>IFERROR(INDEX(BASE,MATCH(tblPRINTERS[[#This Row],[CASE ID]],BASE_CASOS,0),MATCH(tblPRINTERS[[#Headers],[Observação Calback]],BASE_CAB,0)),"-")</f>
        <v>ira responder</v>
      </c>
      <c r="P87" s="42" t="str">
        <f>IF(ISERROR(INDEX(QUALIDADE,MATCH(tblPRINTERS[[#This Row],[CASE ID]],PROTOCOLO_PESQUISAS,0),MATCH("Return Time",QUALIDADE_CAB,0)))=FALSE,INDEX(QUALIDADE,MATCH(tblPRINTERS[[#This Row],[CASE ID]],PROTOCOLO_PESQUISAS,0),MATCH("Return Time",QUALIDADE_CAB,0)),"")</f>
        <v/>
      </c>
      <c r="Q87" s="34" t="str">
        <f>IF(tblPRINTERS[[#This Row],[DATA | PESQUISA RECEBIDA]]="","",PROPER(TEXT(tblPRINTERS[[#This Row],[DATA | PESQUISA RECEBIDA]],"DDDD")))</f>
        <v/>
      </c>
    </row>
    <row r="88" spans="1:17" hidden="1">
      <c r="A88" s="54">
        <v>3035808178</v>
      </c>
      <c r="B88" s="54" t="s">
        <v>500</v>
      </c>
      <c r="C88" s="90">
        <v>42751</v>
      </c>
      <c r="D88" s="89">
        <v>42753.738214849538</v>
      </c>
      <c r="E88" s="54" t="s">
        <v>593</v>
      </c>
      <c r="F88" s="54" t="s">
        <v>593</v>
      </c>
      <c r="G88" s="54" t="s">
        <v>301</v>
      </c>
      <c r="H88" s="54" t="s">
        <v>273</v>
      </c>
      <c r="I88" s="54" t="s">
        <v>817</v>
      </c>
      <c r="J88" s="54" t="s">
        <v>303</v>
      </c>
      <c r="K88" s="54" t="s">
        <v>305</v>
      </c>
      <c r="L88" s="87">
        <v>42754</v>
      </c>
      <c r="M88" s="34" t="str">
        <f>IFERROR(INDEX(BASE,MATCH(tblPRINTERS[[#This Row],[CASE ID]],BASE_CASOS,0),MATCH(tblPRINTERS[[#Headers],[tratativa]],BASE_CAB,0)),"Retornar com prioridade")</f>
        <v>Sem contato</v>
      </c>
      <c r="N88" s="34" t="str">
        <f>IFERROR(INDEX(BASE,MATCH(tblPRINTERS[[#This Row],[CASE ID]],BASE_CASOS,0),MATCH(tblPRINTERS[[#Headers],[Observação]],BASE_CAB,0)),"-")</f>
        <v>Sem contato (Só chama, Cx postal, Ocupado)</v>
      </c>
      <c r="O88" s="34" t="str">
        <f>IFERROR(INDEX(BASE,MATCH(tblPRINTERS[[#This Row],[CASE ID]],BASE_CASOS,0),MATCH(tblPRINTERS[[#Headers],[Observação Calback]],BASE_CAB,0)),"-")</f>
        <v>Somente 1 telefone</v>
      </c>
      <c r="P88" s="42" t="str">
        <f>IF(ISERROR(INDEX(QUALIDADE,MATCH(tblPRINTERS[[#This Row],[CASE ID]],PROTOCOLO_PESQUISAS,0),MATCH("Return Time",QUALIDADE_CAB,0)))=FALSE,INDEX(QUALIDADE,MATCH(tblPRINTERS[[#This Row],[CASE ID]],PROTOCOLO_PESQUISAS,0),MATCH("Return Time",QUALIDADE_CAB,0)),"")</f>
        <v/>
      </c>
      <c r="Q88" s="34" t="str">
        <f>IF(tblPRINTERS[[#This Row],[DATA | PESQUISA RECEBIDA]]="","",PROPER(TEXT(tblPRINTERS[[#This Row],[DATA | PESQUISA RECEBIDA]],"DDDD")))</f>
        <v/>
      </c>
    </row>
    <row r="89" spans="1:17" hidden="1">
      <c r="A89" s="54">
        <v>3035774222</v>
      </c>
      <c r="B89" s="54" t="s">
        <v>500</v>
      </c>
      <c r="C89" s="90">
        <v>42749.734828043984</v>
      </c>
      <c r="D89" s="89">
        <v>42751.734828043984</v>
      </c>
      <c r="E89" s="54" t="s">
        <v>55</v>
      </c>
      <c r="F89" s="54" t="s">
        <v>55</v>
      </c>
      <c r="G89" s="54" t="s">
        <v>301</v>
      </c>
      <c r="H89" s="54" t="s">
        <v>23</v>
      </c>
      <c r="I89" s="54" t="s">
        <v>817</v>
      </c>
      <c r="J89" s="54" t="s">
        <v>303</v>
      </c>
      <c r="K89" s="54" t="s">
        <v>2151</v>
      </c>
      <c r="L89" s="87">
        <v>42752</v>
      </c>
      <c r="M89" s="34" t="str">
        <f>IFERROR(INDEX(BASE,MATCH(tblPRINTERS[[#This Row],[CASE ID]],BASE_CASOS,0),MATCH(tblPRINTERS[[#Headers],[tratativa]],BASE_CAB,0)),"Retornar com prioridade")</f>
        <v>Responder pesquisa</v>
      </c>
      <c r="N89" s="34" t="str">
        <f>IFERROR(INDEX(BASE,MATCH(tblPRINTERS[[#This Row],[CASE ID]],BASE_CASOS,0),MATCH(tblPRINTERS[[#Headers],[Observação]],BASE_CAB,0)),"-")</f>
        <v>Nota 9/10</v>
      </c>
      <c r="O89" s="34" t="str">
        <f>IFERROR(INDEX(BASE,MATCH(tblPRINTERS[[#This Row],[CASE ID]],BASE_CASOS,0),MATCH(tblPRINTERS[[#Headers],[Observação Calback]],BASE_CAB,0)),"-")</f>
        <v>ira responder</v>
      </c>
      <c r="P89" s="42" t="str">
        <f>IF(ISERROR(INDEX(QUALIDADE,MATCH(tblPRINTERS[[#This Row],[CASE ID]],PROTOCOLO_PESQUISAS,0),MATCH("Return Time",QUALIDADE_CAB,0)))=FALSE,INDEX(QUALIDADE,MATCH(tblPRINTERS[[#This Row],[CASE ID]],PROTOCOLO_PESQUISAS,0),MATCH("Return Time",QUALIDADE_CAB,0)),"")</f>
        <v/>
      </c>
      <c r="Q89" s="34" t="str">
        <f>IF(tblPRINTERS[[#This Row],[DATA | PESQUISA RECEBIDA]]="","",PROPER(TEXT(tblPRINTERS[[#This Row],[DATA | PESQUISA RECEBIDA]],"DDDD")))</f>
        <v/>
      </c>
    </row>
    <row r="90" spans="1:17" hidden="1">
      <c r="A90" s="54">
        <v>3035774739</v>
      </c>
      <c r="B90" s="54" t="s">
        <v>500</v>
      </c>
      <c r="C90" s="90">
        <v>42749.734828043984</v>
      </c>
      <c r="D90" s="89">
        <v>42751.734828043984</v>
      </c>
      <c r="E90" s="54" t="s">
        <v>34</v>
      </c>
      <c r="F90" s="54" t="s">
        <v>34</v>
      </c>
      <c r="G90" s="54" t="s">
        <v>301</v>
      </c>
      <c r="H90" s="54" t="s">
        <v>31</v>
      </c>
      <c r="I90" s="54" t="s">
        <v>817</v>
      </c>
      <c r="J90" s="54" t="s">
        <v>303</v>
      </c>
      <c r="K90" s="56" t="s">
        <v>305</v>
      </c>
      <c r="L90" s="87">
        <v>42753</v>
      </c>
      <c r="M90" s="34" t="str">
        <f>IFERROR(INDEX(BASE,MATCH(tblPRINTERS[[#This Row],[CASE ID]],BASE_CASOS,0),MATCH(tblPRINTERS[[#Headers],[tratativa]],BASE_CAB,0)),"Retornar com prioridade")</f>
        <v>Sem contato</v>
      </c>
      <c r="N90" s="34" t="str">
        <f>IFERROR(INDEX(BASE,MATCH(tblPRINTERS[[#This Row],[CASE ID]],BASE_CASOS,0),MATCH(tblPRINTERS[[#Headers],[Observação]],BASE_CAB,0)),"-")</f>
        <v>Sem contato (Só chama, Cx postal, Ocupado)</v>
      </c>
      <c r="O90" s="34" t="str">
        <f>IFERROR(INDEX(BASE,MATCH(tblPRINTERS[[#This Row],[CASE ID]],BASE_CASOS,0),MATCH(tblPRINTERS[[#Headers],[Observação Calback]],BASE_CAB,0)),"-")</f>
        <v>so 1 tel ocupado</v>
      </c>
      <c r="P90" s="42" t="str">
        <f>IF(ISERROR(INDEX(QUALIDADE,MATCH(tblPRINTERS[[#This Row],[CASE ID]],PROTOCOLO_PESQUISAS,0),MATCH("Return Time",QUALIDADE_CAB,0)))=FALSE,INDEX(QUALIDADE,MATCH(tblPRINTERS[[#This Row],[CASE ID]],PROTOCOLO_PESQUISAS,0),MATCH("Return Time",QUALIDADE_CAB,0)),"")</f>
        <v/>
      </c>
      <c r="Q90" s="34" t="str">
        <f>IF(tblPRINTERS[[#This Row],[DATA | PESQUISA RECEBIDA]]="","",PROPER(TEXT(tblPRINTERS[[#This Row],[DATA | PESQUISA RECEBIDA]],"DDDD")))</f>
        <v/>
      </c>
    </row>
    <row r="91" spans="1:17" hidden="1">
      <c r="A91" s="54">
        <v>3035773155</v>
      </c>
      <c r="B91" s="54" t="s">
        <v>500</v>
      </c>
      <c r="C91" s="90">
        <v>42749.734828043984</v>
      </c>
      <c r="D91" s="89">
        <v>42751.734828043984</v>
      </c>
      <c r="E91" s="54" t="s">
        <v>26</v>
      </c>
      <c r="F91" s="54" t="s">
        <v>26</v>
      </c>
      <c r="G91" s="54" t="s">
        <v>301</v>
      </c>
      <c r="H91" s="54" t="s">
        <v>23</v>
      </c>
      <c r="I91" s="54" t="s">
        <v>817</v>
      </c>
      <c r="J91" s="54" t="s">
        <v>303</v>
      </c>
      <c r="K91" s="56" t="s">
        <v>305</v>
      </c>
      <c r="L91" s="87">
        <v>42753</v>
      </c>
      <c r="M91" s="34" t="str">
        <f>IFERROR(INDEX(BASE,MATCH(tblPRINTERS[[#This Row],[CASE ID]],BASE_CASOS,0),MATCH(tblPRINTERS[[#Headers],[tratativa]],BASE_CAB,0)),"Retornar com prioridade")</f>
        <v>Sem contato</v>
      </c>
      <c r="N91" s="34" t="str">
        <f>IFERROR(INDEX(BASE,MATCH(tblPRINTERS[[#This Row],[CASE ID]],BASE_CASOS,0),MATCH(tblPRINTERS[[#Headers],[Observação]],BASE_CAB,0)),"-")</f>
        <v>Sem contato (Só chama, Cx postal, Ocupado)</v>
      </c>
      <c r="O91" s="34" t="str">
        <f>IFERROR(INDEX(BASE,MATCH(tblPRINTERS[[#This Row],[CASE ID]],BASE_CASOS,0),MATCH(tblPRINTERS[[#Headers],[Observação Calback]],BASE_CAB,0)),"-")</f>
        <v>so chama</v>
      </c>
      <c r="P91" s="42" t="str">
        <f>IF(ISERROR(INDEX(QUALIDADE,MATCH(tblPRINTERS[[#This Row],[CASE ID]],PROTOCOLO_PESQUISAS,0),MATCH("Return Time",QUALIDADE_CAB,0)))=FALSE,INDEX(QUALIDADE,MATCH(tblPRINTERS[[#This Row],[CASE ID]],PROTOCOLO_PESQUISAS,0),MATCH("Return Time",QUALIDADE_CAB,0)),"")</f>
        <v/>
      </c>
      <c r="Q91" s="34" t="str">
        <f>IF(tblPRINTERS[[#This Row],[DATA | PESQUISA RECEBIDA]]="","",PROPER(TEXT(tblPRINTERS[[#This Row],[DATA | PESQUISA RECEBIDA]],"DDDD")))</f>
        <v/>
      </c>
    </row>
    <row r="92" spans="1:17" hidden="1">
      <c r="A92" s="54">
        <v>3035779143</v>
      </c>
      <c r="B92" s="54" t="s">
        <v>500</v>
      </c>
      <c r="C92" s="90">
        <v>42749.734828043984</v>
      </c>
      <c r="D92" s="89">
        <v>42751.734828043984</v>
      </c>
      <c r="E92" s="54" t="s">
        <v>46</v>
      </c>
      <c r="F92" s="54" t="s">
        <v>46</v>
      </c>
      <c r="G92" s="54" t="s">
        <v>301</v>
      </c>
      <c r="H92" s="54" t="s">
        <v>39</v>
      </c>
      <c r="I92" s="54" t="s">
        <v>817</v>
      </c>
      <c r="J92" s="54" t="s">
        <v>303</v>
      </c>
      <c r="K92" s="54" t="s">
        <v>4220</v>
      </c>
      <c r="L92" s="87">
        <v>42753</v>
      </c>
      <c r="M92" s="34" t="str">
        <f>IFERROR(INDEX(BASE,MATCH(tblPRINTERS[[#This Row],[CASE ID]],BASE_CASOS,0),MATCH(tblPRINTERS[[#Headers],[tratativa]],BASE_CAB,0)),"Retornar com prioridade")</f>
        <v>Responder pesquisa</v>
      </c>
      <c r="N92" s="34" t="str">
        <f>IFERROR(INDEX(BASE,MATCH(tblPRINTERS[[#This Row],[CASE ID]],BASE_CASOS,0),MATCH(tblPRINTERS[[#Headers],[Observação]],BASE_CAB,0)),"-")</f>
        <v>Nota 9/10</v>
      </c>
      <c r="O92" s="34" t="str">
        <f>IFERROR(INDEX(BASE,MATCH(tblPRINTERS[[#This Row],[CASE ID]],BASE_CASOS,0),MATCH(tblPRINTERS[[#Headers],[Observação Calback]],BASE_CAB,0)),"-")</f>
        <v>ira responder</v>
      </c>
      <c r="P92" s="42" t="str">
        <f>IF(ISERROR(INDEX(QUALIDADE,MATCH(tblPRINTERS[[#This Row],[CASE ID]],PROTOCOLO_PESQUISAS,0),MATCH("Return Time",QUALIDADE_CAB,0)))=FALSE,INDEX(QUALIDADE,MATCH(tblPRINTERS[[#This Row],[CASE ID]],PROTOCOLO_PESQUISAS,0),MATCH("Return Time",QUALIDADE_CAB,0)),"")</f>
        <v/>
      </c>
      <c r="Q92" s="34" t="str">
        <f>IF(tblPRINTERS[[#This Row],[DATA | PESQUISA RECEBIDA]]="","",PROPER(TEXT(tblPRINTERS[[#This Row],[DATA | PESQUISA RECEBIDA]],"DDDD")))</f>
        <v/>
      </c>
    </row>
    <row r="93" spans="1:17" hidden="1">
      <c r="A93" s="54">
        <v>3035777176</v>
      </c>
      <c r="B93" s="54" t="s">
        <v>500</v>
      </c>
      <c r="C93" s="90">
        <v>42749.734828043984</v>
      </c>
      <c r="D93" s="89">
        <v>42751.734828043984</v>
      </c>
      <c r="E93" s="54" t="s">
        <v>46</v>
      </c>
      <c r="F93" s="54" t="s">
        <v>46</v>
      </c>
      <c r="G93" s="54" t="s">
        <v>301</v>
      </c>
      <c r="H93" s="54" t="s">
        <v>39</v>
      </c>
      <c r="I93" s="56"/>
      <c r="K93" s="56"/>
      <c r="L93" s="87"/>
      <c r="M93" s="34" t="str">
        <f>IFERROR(INDEX(BASE,MATCH(tblPRINTERS[[#This Row],[CASE ID]],BASE_CASOS,0),MATCH(tblPRINTERS[[#Headers],[tratativa]],BASE_CAB,0)),"Retornar com prioridade")</f>
        <v>Não responder pesquisa</v>
      </c>
      <c r="N93" s="34" t="str">
        <f>IFERROR(INDEX(BASE,MATCH(tblPRINTERS[[#This Row],[CASE ID]],BASE_CASOS,0),MATCH(tblPRINTERS[[#Headers],[Observação]],BASE_CAB,0)),"-")</f>
        <v>Caso não resolvido / Equipamento em reparo</v>
      </c>
      <c r="O93" s="34" t="str">
        <f>IFERROR(INDEX(BASE,MATCH(tblPRINTERS[[#This Row],[CASE ID]],BASE_CASOS,0),MATCH(tblPRINTERS[[#Headers],[Observação Calback]],BASE_CAB,0)),"-")</f>
        <v>agendar retorno,amanha as 9h validar nota e seguir suporte</v>
      </c>
      <c r="P93" s="42" t="str">
        <f>IF(ISERROR(INDEX(QUALIDADE,MATCH(tblPRINTERS[[#This Row],[CASE ID]],PROTOCOLO_PESQUISAS,0),MATCH("Return Time",QUALIDADE_CAB,0)))=FALSE,INDEX(QUALIDADE,MATCH(tblPRINTERS[[#This Row],[CASE ID]],PROTOCOLO_PESQUISAS,0),MATCH("Return Time",QUALIDADE_CAB,0)),"")</f>
        <v/>
      </c>
      <c r="Q93" s="34" t="str">
        <f>IF(tblPRINTERS[[#This Row],[DATA | PESQUISA RECEBIDA]]="","",PROPER(TEXT(tblPRINTERS[[#This Row],[DATA | PESQUISA RECEBIDA]],"DDDD")))</f>
        <v/>
      </c>
    </row>
    <row r="94" spans="1:17" hidden="1">
      <c r="A94" s="54">
        <v>3035777776</v>
      </c>
      <c r="B94" s="54" t="s">
        <v>500</v>
      </c>
      <c r="C94" s="90">
        <v>42749.734828043984</v>
      </c>
      <c r="D94" s="89">
        <v>42751.734828043984</v>
      </c>
      <c r="E94" s="54" t="s">
        <v>30</v>
      </c>
      <c r="F94" s="54" t="s">
        <v>30</v>
      </c>
      <c r="G94" s="54" t="s">
        <v>301</v>
      </c>
      <c r="H94" s="54" t="s">
        <v>23</v>
      </c>
      <c r="I94" s="56"/>
      <c r="K94" s="56"/>
      <c r="L94" s="87"/>
      <c r="M94" s="34" t="str">
        <f>IFERROR(INDEX(BASE,MATCH(tblPRINTERS[[#This Row],[CASE ID]],BASE_CASOS,0),MATCH(tblPRINTERS[[#Headers],[tratativa]],BASE_CAB,0)),"Retornar com prioridade")</f>
        <v>Não responder pesquisa</v>
      </c>
      <c r="N94" s="34" t="str">
        <f>IFERROR(INDEX(BASE,MATCH(tblPRINTERS[[#This Row],[CASE ID]],BASE_CASOS,0),MATCH(tblPRINTERS[[#Headers],[Observação]],BASE_CAB,0)),"-")</f>
        <v>Cliente insatisfeito HP / Equipamento</v>
      </c>
      <c r="O94" s="34" t="str">
        <f>IFERROR(INDEX(BASE,MATCH(tblPRINTERS[[#This Row],[CASE ID]],BASE_CASOS,0),MATCH(tblPRINTERS[[#Headers],[Observação Calback]],BASE_CAB,0)),"-")</f>
        <v>nota 7</v>
      </c>
      <c r="P94" s="42" t="str">
        <f>IF(ISERROR(INDEX(QUALIDADE,MATCH(tblPRINTERS[[#This Row],[CASE ID]],PROTOCOLO_PESQUISAS,0),MATCH("Return Time",QUALIDADE_CAB,0)))=FALSE,INDEX(QUALIDADE,MATCH(tblPRINTERS[[#This Row],[CASE ID]],PROTOCOLO_PESQUISAS,0),MATCH("Return Time",QUALIDADE_CAB,0)),"")</f>
        <v/>
      </c>
      <c r="Q94" s="34" t="str">
        <f>IF(tblPRINTERS[[#This Row],[DATA | PESQUISA RECEBIDA]]="","",PROPER(TEXT(tblPRINTERS[[#This Row],[DATA | PESQUISA RECEBIDA]],"DDDD")))</f>
        <v/>
      </c>
    </row>
    <row r="95" spans="1:17" hidden="1">
      <c r="A95" s="54">
        <v>3035778369</v>
      </c>
      <c r="B95" s="54" t="s">
        <v>500</v>
      </c>
      <c r="C95" s="90">
        <v>42749.734828043984</v>
      </c>
      <c r="D95" s="89">
        <v>42751.734828043984</v>
      </c>
      <c r="E95" s="54" t="s">
        <v>24</v>
      </c>
      <c r="F95" s="54" t="s">
        <v>24</v>
      </c>
      <c r="G95" s="54" t="s">
        <v>301</v>
      </c>
      <c r="H95" s="54" t="s">
        <v>23</v>
      </c>
      <c r="L95" s="87"/>
      <c r="M95" s="34" t="str">
        <f>IFERROR(INDEX(BASE,MATCH(tblPRINTERS[[#This Row],[CASE ID]],BASE_CASOS,0),MATCH(tblPRINTERS[[#Headers],[tratativa]],BASE_CAB,0)),"Retornar com prioridade")</f>
        <v>Não responder pesquisa</v>
      </c>
      <c r="N95" s="34" t="str">
        <f>IFERROR(INDEX(BASE,MATCH(tblPRINTERS[[#This Row],[CASE ID]],BASE_CASOS,0),MATCH(tblPRINTERS[[#Headers],[Observação]],BASE_CAB,0)),"-")</f>
        <v>Caso não resolvido / Equipamento em reparo</v>
      </c>
      <c r="O95" s="34" t="str">
        <f>IFERROR(INDEX(BASE,MATCH(tblPRINTERS[[#This Row],[CASE ID]],BASE_CASOS,0),MATCH(tblPRINTERS[[#Headers],[Observação Calback]],BASE_CAB,0)),"-")</f>
        <v>produto importado.tratativa com procon</v>
      </c>
      <c r="P95" s="42" t="str">
        <f>IF(ISERROR(INDEX(QUALIDADE,MATCH(tblPRINTERS[[#This Row],[CASE ID]],PROTOCOLO_PESQUISAS,0),MATCH("Return Time",QUALIDADE_CAB,0)))=FALSE,INDEX(QUALIDADE,MATCH(tblPRINTERS[[#This Row],[CASE ID]],PROTOCOLO_PESQUISAS,0),MATCH("Return Time",QUALIDADE_CAB,0)),"")</f>
        <v/>
      </c>
      <c r="Q95" s="34" t="str">
        <f>IF(tblPRINTERS[[#This Row],[DATA | PESQUISA RECEBIDA]]="","",PROPER(TEXT(tblPRINTERS[[#This Row],[DATA | PESQUISA RECEBIDA]],"DDDD")))</f>
        <v/>
      </c>
    </row>
    <row r="96" spans="1:17" hidden="1">
      <c r="A96" s="54">
        <v>3035757528</v>
      </c>
      <c r="B96" s="54" t="s">
        <v>500</v>
      </c>
      <c r="C96" s="90">
        <v>42748.735900613428</v>
      </c>
      <c r="D96" s="89">
        <v>42750.735900613428</v>
      </c>
      <c r="E96" s="54" t="s">
        <v>256</v>
      </c>
      <c r="F96" s="54" t="s">
        <v>256</v>
      </c>
      <c r="G96" s="54" t="s">
        <v>301</v>
      </c>
      <c r="H96" s="54" t="s">
        <v>256</v>
      </c>
      <c r="I96" s="54" t="s">
        <v>817</v>
      </c>
      <c r="J96" s="54" t="s">
        <v>303</v>
      </c>
      <c r="K96" s="54" t="s">
        <v>3668</v>
      </c>
      <c r="L96" s="87"/>
      <c r="M96" s="34" t="str">
        <f>IFERROR(INDEX(BASE,MATCH(tblPRINTERS[[#This Row],[CASE ID]],BASE_CASOS,0),MATCH(tblPRINTERS[[#Headers],[tratativa]],BASE_CAB,0)),"Retornar com prioridade")</f>
        <v>TCO</v>
      </c>
      <c r="N96" s="34" t="str">
        <f>IFERROR(INDEX(BASE,MATCH(tblPRINTERS[[#This Row],[CASE ID]],BASE_CASOS,0),MATCH(tblPRINTERS[[#Headers],[Observação]],BASE_CAB,0)),"-")</f>
        <v>Complaint / ECR</v>
      </c>
      <c r="O96" s="34" t="str">
        <f>IFERROR(INDEX(BASE,MATCH(tblPRINTERS[[#This Row],[CASE ID]],BASE_CASOS,0),MATCH(tblPRINTERS[[#Headers],[Observação Calback]],BASE_CAB,0)),"-")</f>
        <v>tco</v>
      </c>
      <c r="P96" s="42" t="str">
        <f>IF(ISERROR(INDEX(QUALIDADE,MATCH(tblPRINTERS[[#This Row],[CASE ID]],PROTOCOLO_PESQUISAS,0),MATCH("Return Time",QUALIDADE_CAB,0)))=FALSE,INDEX(QUALIDADE,MATCH(tblPRINTERS[[#This Row],[CASE ID]],PROTOCOLO_PESQUISAS,0),MATCH("Return Time",QUALIDADE_CAB,0)),"")</f>
        <v/>
      </c>
      <c r="Q96" s="34" t="str">
        <f>IF(tblPRINTERS[[#This Row],[DATA | PESQUISA RECEBIDA]]="","",PROPER(TEXT(tblPRINTERS[[#This Row],[DATA | PESQUISA RECEBIDA]],"DDDD")))</f>
        <v/>
      </c>
    </row>
    <row r="97" spans="1:17" hidden="1">
      <c r="A97" s="54">
        <v>3035746472</v>
      </c>
      <c r="B97" s="54" t="s">
        <v>500</v>
      </c>
      <c r="C97" s="90">
        <v>42748.735881944442</v>
      </c>
      <c r="D97" s="89">
        <v>42750.735881944442</v>
      </c>
      <c r="E97" s="54" t="s">
        <v>40</v>
      </c>
      <c r="F97" s="54" t="s">
        <v>40</v>
      </c>
      <c r="G97" s="54" t="s">
        <v>301</v>
      </c>
      <c r="H97" s="54" t="s">
        <v>39</v>
      </c>
      <c r="I97" s="54" t="s">
        <v>817</v>
      </c>
      <c r="J97" s="54" t="s">
        <v>303</v>
      </c>
      <c r="K97" s="56" t="s">
        <v>305</v>
      </c>
      <c r="L97" s="87">
        <v>42752</v>
      </c>
      <c r="M97" s="34" t="str">
        <f>IFERROR(INDEX(BASE,MATCH(tblPRINTERS[[#This Row],[CASE ID]],BASE_CASOS,0),MATCH(tblPRINTERS[[#Headers],[tratativa]],BASE_CAB,0)),"Retornar com prioridade")</f>
        <v>Responder pesquisa</v>
      </c>
      <c r="N97" s="34" t="str">
        <f>IFERROR(INDEX(BASE,MATCH(tblPRINTERS[[#This Row],[CASE ID]],BASE_CASOS,0),MATCH(tblPRINTERS[[#Headers],[Observação]],BASE_CAB,0)),"-")</f>
        <v>Nota 9/10</v>
      </c>
      <c r="O97" s="34" t="str">
        <f>IFERROR(INDEX(BASE,MATCH(tblPRINTERS[[#This Row],[CASE ID]],BASE_CASOS,0),MATCH(tblPRINTERS[[#Headers],[Observação Calback]],BASE_CAB,0)),"-")</f>
        <v>ira responder</v>
      </c>
      <c r="P97" s="42" t="str">
        <f>IF(ISERROR(INDEX(QUALIDADE,MATCH(tblPRINTERS[[#This Row],[CASE ID]],PROTOCOLO_PESQUISAS,0),MATCH("Return Time",QUALIDADE_CAB,0)))=FALSE,INDEX(QUALIDADE,MATCH(tblPRINTERS[[#This Row],[CASE ID]],PROTOCOLO_PESQUISAS,0),MATCH("Return Time",QUALIDADE_CAB,0)),"")</f>
        <v/>
      </c>
      <c r="Q97" s="34" t="str">
        <f>IF(tblPRINTERS[[#This Row],[DATA | PESQUISA RECEBIDA]]="","",PROPER(TEXT(tblPRINTERS[[#This Row],[DATA | PESQUISA RECEBIDA]],"DDDD")))</f>
        <v/>
      </c>
    </row>
    <row r="98" spans="1:17" hidden="1">
      <c r="A98" s="54">
        <v>3035604866</v>
      </c>
      <c r="B98" s="54" t="s">
        <v>500</v>
      </c>
      <c r="C98" s="90">
        <v>42748.735881944442</v>
      </c>
      <c r="D98" s="89">
        <v>42750.735881944442</v>
      </c>
      <c r="E98" s="54" t="s">
        <v>14</v>
      </c>
      <c r="F98" s="54" t="s">
        <v>19</v>
      </c>
      <c r="G98" s="54" t="s">
        <v>302</v>
      </c>
      <c r="H98" s="54" t="s">
        <v>9</v>
      </c>
      <c r="I98" s="56"/>
      <c r="K98" s="56"/>
      <c r="L98" s="87"/>
      <c r="M98" s="34" t="str">
        <f>IFERROR(INDEX(BASE,MATCH(tblPRINTERS[[#This Row],[CASE ID]],BASE_CASOS,0),MATCH(tblPRINTERS[[#Headers],[tratativa]],BASE_CAB,0)),"Retornar com prioridade")</f>
        <v>Não responder pesquisa</v>
      </c>
      <c r="N98" s="34" t="str">
        <f>IFERROR(INDEX(BASE,MATCH(tblPRINTERS[[#This Row],[CASE ID]],BASE_CASOS,0),MATCH(tblPRINTERS[[#Headers],[Observação]],BASE_CAB,0)),"-")</f>
        <v>Caso não resolvido / Equipamento em reparo</v>
      </c>
      <c r="O98" s="34" t="str">
        <f>IFERROR(INDEX(BASE,MATCH(tblPRINTERS[[#This Row],[CASE ID]],BASE_CASOS,0),MATCH(tblPRINTERS[[#Headers],[Observação Calback]],BASE_CAB,0)),"-")</f>
        <v xml:space="preserve">Testando equipamento </v>
      </c>
      <c r="P98" s="42" t="str">
        <f>IF(ISERROR(INDEX(QUALIDADE,MATCH(tblPRINTERS[[#This Row],[CASE ID]],PROTOCOLO_PESQUISAS,0),MATCH("Return Time",QUALIDADE_CAB,0)))=FALSE,INDEX(QUALIDADE,MATCH(tblPRINTERS[[#This Row],[CASE ID]],PROTOCOLO_PESQUISAS,0),MATCH("Return Time",QUALIDADE_CAB,0)),"")</f>
        <v/>
      </c>
      <c r="Q98" s="34" t="str">
        <f>IF(tblPRINTERS[[#This Row],[DATA | PESQUISA RECEBIDA]]="","",PROPER(TEXT(tblPRINTERS[[#This Row],[DATA | PESQUISA RECEBIDA]],"DDDD")))</f>
        <v/>
      </c>
    </row>
    <row r="99" spans="1:17" hidden="1">
      <c r="A99" s="54">
        <v>3035519769</v>
      </c>
      <c r="B99" s="54" t="s">
        <v>500</v>
      </c>
      <c r="C99" s="90">
        <v>42748.735881944442</v>
      </c>
      <c r="D99" s="89">
        <v>42750.735881944442</v>
      </c>
      <c r="E99" s="54" t="s">
        <v>839</v>
      </c>
      <c r="F99" s="54" t="s">
        <v>21</v>
      </c>
      <c r="G99" s="54" t="s">
        <v>302</v>
      </c>
      <c r="H99" s="54" t="s">
        <v>256</v>
      </c>
      <c r="I99" s="56"/>
      <c r="K99" s="56"/>
      <c r="L99" s="87"/>
      <c r="M99" s="34" t="str">
        <f>IFERROR(INDEX(BASE,MATCH(tblPRINTERS[[#This Row],[CASE ID]],BASE_CASOS,0),MATCH(tblPRINTERS[[#Headers],[tratativa]],BASE_CAB,0)),"Retornar com prioridade")</f>
        <v>Não responder pesquisa</v>
      </c>
      <c r="N99" s="34" t="str">
        <f>IFERROR(INDEX(BASE,MATCH(tblPRINTERS[[#This Row],[CASE ID]],BASE_CASOS,0),MATCH(tblPRINTERS[[#Headers],[Observação]],BASE_CAB,0)),"-")</f>
        <v>Caso não resolvido / Equipamento em reparo</v>
      </c>
      <c r="O99" s="34" t="str">
        <f>IFERROR(INDEX(BASE,MATCH(tblPRINTERS[[#This Row],[CASE ID]],BASE_CASOS,0),MATCH(tblPRINTERS[[#Headers],[Observação Calback]],BASE_CAB,0)),"-")</f>
        <v>agendar retorno, validar nota fiscal e seguir suporte.</v>
      </c>
      <c r="P99" s="42" t="str">
        <f>IF(ISERROR(INDEX(QUALIDADE,MATCH(tblPRINTERS[[#This Row],[CASE ID]],PROTOCOLO_PESQUISAS,0),MATCH("Return Time",QUALIDADE_CAB,0)))=FALSE,INDEX(QUALIDADE,MATCH(tblPRINTERS[[#This Row],[CASE ID]],PROTOCOLO_PESQUISAS,0),MATCH("Return Time",QUALIDADE_CAB,0)),"")</f>
        <v/>
      </c>
      <c r="Q99" s="34" t="str">
        <f>IF(tblPRINTERS[[#This Row],[DATA | PESQUISA RECEBIDA]]="","",PROPER(TEXT(tblPRINTERS[[#This Row],[DATA | PESQUISA RECEBIDA]],"DDDD")))</f>
        <v/>
      </c>
    </row>
    <row r="100" spans="1:17" hidden="1">
      <c r="A100" s="54">
        <v>3035544654</v>
      </c>
      <c r="B100" s="54" t="s">
        <v>500</v>
      </c>
      <c r="C100" s="90">
        <v>42748.735881944442</v>
      </c>
      <c r="D100" s="89">
        <v>42750.735881944442</v>
      </c>
      <c r="E100" s="54" t="s">
        <v>590</v>
      </c>
      <c r="F100" s="54" t="s">
        <v>21</v>
      </c>
      <c r="G100" s="54" t="s">
        <v>302</v>
      </c>
      <c r="H100" s="54" t="s">
        <v>273</v>
      </c>
      <c r="I100" s="56"/>
      <c r="K100" s="56"/>
      <c r="L100" s="87"/>
      <c r="M100" s="34" t="str">
        <f>IFERROR(INDEX(BASE,MATCH(tblPRINTERS[[#This Row],[CASE ID]],BASE_CASOS,0),MATCH(tblPRINTERS[[#Headers],[tratativa]],BASE_CAB,0)),"Retornar com prioridade")</f>
        <v>Não responder pesquisa</v>
      </c>
      <c r="N100" s="34" t="str">
        <f>IFERROR(INDEX(BASE,MATCH(tblPRINTERS[[#This Row],[CASE ID]],BASE_CASOS,0),MATCH(tblPRINTERS[[#Headers],[Observação]],BASE_CAB,0)),"-")</f>
        <v>Caso não resolvido / Equipamento em reparo</v>
      </c>
      <c r="O100" s="34" t="str">
        <f>IFERROR(INDEX(BASE,MATCH(tblPRINTERS[[#This Row],[CASE ID]],BASE_CASOS,0),MATCH(tblPRINTERS[[#Headers],[Observação Calback]],BASE_CAB,0)),"-")</f>
        <v>cliente vai verificar um procedimento com o computador no dia 23 para que possa reinstalar a impressora e verificar a sua compatibilidade com o sistema. Ciente de que o protocolo foi encerrado, avisado por um contato anterior</v>
      </c>
      <c r="P100" s="42" t="str">
        <f>IF(ISERROR(INDEX(QUALIDADE,MATCH(tblPRINTERS[[#This Row],[CASE ID]],PROTOCOLO_PESQUISAS,0),MATCH("Return Time",QUALIDADE_CAB,0)))=FALSE,INDEX(QUALIDADE,MATCH(tblPRINTERS[[#This Row],[CASE ID]],PROTOCOLO_PESQUISAS,0),MATCH("Return Time",QUALIDADE_CAB,0)),"")</f>
        <v/>
      </c>
      <c r="Q100" s="34" t="str">
        <f>IF(tblPRINTERS[[#This Row],[DATA | PESQUISA RECEBIDA]]="","",PROPER(TEXT(tblPRINTERS[[#This Row],[DATA | PESQUISA RECEBIDA]],"DDDD")))</f>
        <v/>
      </c>
    </row>
    <row r="101" spans="1:17" hidden="1">
      <c r="A101" s="54">
        <v>3035606430</v>
      </c>
      <c r="B101" s="54" t="s">
        <v>500</v>
      </c>
      <c r="C101" s="90">
        <v>42748.735881944442</v>
      </c>
      <c r="D101" s="89">
        <v>42750.735881944442</v>
      </c>
      <c r="E101" s="54" t="s">
        <v>14</v>
      </c>
      <c r="F101" s="54" t="s">
        <v>19</v>
      </c>
      <c r="G101" s="54" t="s">
        <v>302</v>
      </c>
      <c r="H101" s="54" t="s">
        <v>9</v>
      </c>
      <c r="I101" s="54" t="s">
        <v>817</v>
      </c>
      <c r="J101" s="54" t="s">
        <v>303</v>
      </c>
      <c r="K101" s="54" t="s">
        <v>4221</v>
      </c>
      <c r="L101" s="87">
        <v>42753</v>
      </c>
      <c r="M101" s="34" t="str">
        <f>IFERROR(INDEX(BASE,MATCH(tblPRINTERS[[#This Row],[CASE ID]],BASE_CASOS,0),MATCH(tblPRINTERS[[#Headers],[tratativa]],BASE_CAB,0)),"Retornar com prioridade")</f>
        <v>Sem contato</v>
      </c>
      <c r="N101" s="34" t="str">
        <f>IFERROR(INDEX(BASE,MATCH(tblPRINTERS[[#This Row],[CASE ID]],BASE_CASOS,0),MATCH(tblPRINTERS[[#Headers],[Observação]],BASE_CAB,0)),"-")</f>
        <v>Sem contato (Só chama, Cx postal, Ocupado)</v>
      </c>
      <c r="O101" s="34" t="str">
        <f>IFERROR(INDEX(BASE,MATCH(tblPRINTERS[[#This Row],[CASE ID]],BASE_CASOS,0),MATCH(tblPRINTERS[[#Headers],[Observação Calback]],BASE_CAB,0)),"-")</f>
        <v>so chama</v>
      </c>
      <c r="P101" s="42" t="str">
        <f>IF(ISERROR(INDEX(QUALIDADE,MATCH(tblPRINTERS[[#This Row],[CASE ID]],PROTOCOLO_PESQUISAS,0),MATCH("Return Time",QUALIDADE_CAB,0)))=FALSE,INDEX(QUALIDADE,MATCH(tblPRINTERS[[#This Row],[CASE ID]],PROTOCOLO_PESQUISAS,0),MATCH("Return Time",QUALIDADE_CAB,0)),"")</f>
        <v/>
      </c>
      <c r="Q101" s="34" t="str">
        <f>IF(tblPRINTERS[[#This Row],[DATA | PESQUISA RECEBIDA]]="","",PROPER(TEXT(tblPRINTERS[[#This Row],[DATA | PESQUISA RECEBIDA]],"DDDD")))</f>
        <v/>
      </c>
    </row>
    <row r="102" spans="1:17" hidden="1">
      <c r="A102" s="54">
        <v>3035756262</v>
      </c>
      <c r="B102" s="54" t="s">
        <v>500</v>
      </c>
      <c r="C102" s="90">
        <v>42748.735881944442</v>
      </c>
      <c r="D102" s="89">
        <v>42750.735881944442</v>
      </c>
      <c r="E102" s="54" t="s">
        <v>839</v>
      </c>
      <c r="F102" s="54" t="s">
        <v>839</v>
      </c>
      <c r="G102" s="54" t="s">
        <v>301</v>
      </c>
      <c r="H102" s="54" t="s">
        <v>256</v>
      </c>
      <c r="I102" s="54" t="s">
        <v>817</v>
      </c>
      <c r="J102" s="54" t="s">
        <v>303</v>
      </c>
      <c r="K102" s="54" t="s">
        <v>305</v>
      </c>
      <c r="L102" s="87">
        <v>42753</v>
      </c>
      <c r="M102" s="34" t="str">
        <f>IFERROR(INDEX(BASE,MATCH(tblPRINTERS[[#This Row],[CASE ID]],BASE_CASOS,0),MATCH(tblPRINTERS[[#Headers],[tratativa]],BASE_CAB,0)),"Retornar com prioridade")</f>
        <v>Sem contato</v>
      </c>
      <c r="N102" s="34" t="str">
        <f>IFERROR(INDEX(BASE,MATCH(tblPRINTERS[[#This Row],[CASE ID]],BASE_CASOS,0),MATCH(tblPRINTERS[[#Headers],[Observação]],BASE_CAB,0)),"-")</f>
        <v>Sem contato (Só chama, Cx postal, Ocupado)</v>
      </c>
      <c r="O102" s="34" t="str">
        <f>IFERROR(INDEX(BASE,MATCH(tblPRINTERS[[#This Row],[CASE ID]],BASE_CASOS,0),MATCH(tblPRINTERS[[#Headers],[Observação Calback]],BASE_CAB,0)),"-")</f>
        <v>De férias , retorno em fevereiro</v>
      </c>
      <c r="P102" s="42" t="str">
        <f>IF(ISERROR(INDEX(QUALIDADE,MATCH(tblPRINTERS[[#This Row],[CASE ID]],PROTOCOLO_PESQUISAS,0),MATCH("Return Time",QUALIDADE_CAB,0)))=FALSE,INDEX(QUALIDADE,MATCH(tblPRINTERS[[#This Row],[CASE ID]],PROTOCOLO_PESQUISAS,0),MATCH("Return Time",QUALIDADE_CAB,0)),"")</f>
        <v/>
      </c>
      <c r="Q102" s="34" t="str">
        <f>IF(tblPRINTERS[[#This Row],[DATA | PESQUISA RECEBIDA]]="","",PROPER(TEXT(tblPRINTERS[[#This Row],[DATA | PESQUISA RECEBIDA]],"DDDD")))</f>
        <v/>
      </c>
    </row>
    <row r="103" spans="1:17" hidden="1">
      <c r="A103" s="54">
        <v>3035759889</v>
      </c>
      <c r="B103" s="54" t="s">
        <v>500</v>
      </c>
      <c r="C103" s="90">
        <v>42748.735881944442</v>
      </c>
      <c r="D103" s="89">
        <v>42750.735881944442</v>
      </c>
      <c r="E103" s="54" t="s">
        <v>1525</v>
      </c>
      <c r="F103" s="54" t="s">
        <v>1525</v>
      </c>
      <c r="G103" s="54" t="s">
        <v>301</v>
      </c>
      <c r="H103" s="54" t="s">
        <v>23</v>
      </c>
      <c r="I103" s="54" t="s">
        <v>817</v>
      </c>
      <c r="J103" s="54" t="s">
        <v>304</v>
      </c>
      <c r="K103" s="56" t="s">
        <v>306</v>
      </c>
      <c r="L103" s="87">
        <v>42751</v>
      </c>
      <c r="M103" s="34" t="str">
        <f>IFERROR(INDEX(BASE,MATCH(tblPRINTERS[[#This Row],[CASE ID]],BASE_CASOS,0),MATCH(tblPRINTERS[[#Headers],[tratativa]],BASE_CAB,0)),"Retornar com prioridade")</f>
        <v>Responder pesquisa</v>
      </c>
      <c r="N103" s="34" t="str">
        <f>IFERROR(INDEX(BASE,MATCH(tblPRINTERS[[#This Row],[CASE ID]],BASE_CASOS,0),MATCH(tblPRINTERS[[#Headers],[Observação]],BASE_CAB,0)),"-")</f>
        <v>Nota 9/10</v>
      </c>
      <c r="O103" s="34" t="str">
        <f>IFERROR(INDEX(BASE,MATCH(tblPRINTERS[[#This Row],[CASE ID]],BASE_CASOS,0),MATCH(tblPRINTERS[[#Headers],[Observação Calback]],BASE_CAB,0)),"-")</f>
        <v>Nota 10 | Nota 9 ( nota geral para a hp, não para o produto em especifico)</v>
      </c>
      <c r="P103" s="42" t="str">
        <f>IF(ISERROR(INDEX(QUALIDADE,MATCH(tblPRINTERS[[#This Row],[CASE ID]],PROTOCOLO_PESQUISAS,0),MATCH("Return Time",QUALIDADE_CAB,0)))=FALSE,INDEX(QUALIDADE,MATCH(tblPRINTERS[[#This Row],[CASE ID]],PROTOCOLO_PESQUISAS,0),MATCH("Return Time",QUALIDADE_CAB,0)),"")</f>
        <v/>
      </c>
      <c r="Q103" s="34" t="str">
        <f>IF(tblPRINTERS[[#This Row],[DATA | PESQUISA RECEBIDA]]="","",PROPER(TEXT(tblPRINTERS[[#This Row],[DATA | PESQUISA RECEBIDA]],"DDDD")))</f>
        <v/>
      </c>
    </row>
    <row r="104" spans="1:17" hidden="1">
      <c r="A104" s="54">
        <v>3035758826</v>
      </c>
      <c r="B104" s="54" t="s">
        <v>500</v>
      </c>
      <c r="C104" s="90">
        <v>42748.735881944442</v>
      </c>
      <c r="D104" s="89">
        <v>42750.735881944442</v>
      </c>
      <c r="E104" s="54" t="s">
        <v>593</v>
      </c>
      <c r="F104" s="54" t="s">
        <v>593</v>
      </c>
      <c r="G104" s="54" t="s">
        <v>301</v>
      </c>
      <c r="H104" s="54" t="s">
        <v>273</v>
      </c>
      <c r="I104" s="54" t="s">
        <v>817</v>
      </c>
      <c r="J104" s="54" t="s">
        <v>303</v>
      </c>
      <c r="K104" s="54" t="s">
        <v>305</v>
      </c>
      <c r="L104" s="87">
        <v>42752</v>
      </c>
      <c r="M104" s="34" t="str">
        <f>IFERROR(INDEX(BASE,MATCH(tblPRINTERS[[#This Row],[CASE ID]],BASE_CASOS,0),MATCH(tblPRINTERS[[#Headers],[tratativa]],BASE_CAB,0)),"Retornar com prioridade")</f>
        <v>Responder pesquisa</v>
      </c>
      <c r="N104" s="34" t="str">
        <f>IFERROR(INDEX(BASE,MATCH(tblPRINTERS[[#This Row],[CASE ID]],BASE_CASOS,0),MATCH(tblPRINTERS[[#Headers],[Observação]],BASE_CAB,0)),"-")</f>
        <v>Nota 9/10</v>
      </c>
      <c r="O104" s="34" t="str">
        <f>IFERROR(INDEX(BASE,MATCH(tblPRINTERS[[#This Row],[CASE ID]],BASE_CASOS,0),MATCH(tblPRINTERS[[#Headers],[Observação Calback]],BASE_CAB,0)),"-")</f>
        <v>ira responder</v>
      </c>
      <c r="P104" s="42" t="str">
        <f>IF(ISERROR(INDEX(QUALIDADE,MATCH(tblPRINTERS[[#This Row],[CASE ID]],PROTOCOLO_PESQUISAS,0),MATCH("Return Time",QUALIDADE_CAB,0)))=FALSE,INDEX(QUALIDADE,MATCH(tblPRINTERS[[#This Row],[CASE ID]],PROTOCOLO_PESQUISAS,0),MATCH("Return Time",QUALIDADE_CAB,0)),"")</f>
        <v/>
      </c>
      <c r="Q104" s="34" t="str">
        <f>IF(tblPRINTERS[[#This Row],[DATA | PESQUISA RECEBIDA]]="","",PROPER(TEXT(tblPRINTERS[[#This Row],[DATA | PESQUISA RECEBIDA]],"DDDD")))</f>
        <v/>
      </c>
    </row>
    <row r="105" spans="1:17" hidden="1">
      <c r="A105" s="54">
        <v>3035750329</v>
      </c>
      <c r="B105" s="54" t="s">
        <v>500</v>
      </c>
      <c r="C105" s="90">
        <v>42748.735881944442</v>
      </c>
      <c r="D105" s="89">
        <v>42750.735881944442</v>
      </c>
      <c r="E105" s="54" t="s">
        <v>28</v>
      </c>
      <c r="F105" s="54" t="s">
        <v>28</v>
      </c>
      <c r="G105" s="54" t="s">
        <v>301</v>
      </c>
      <c r="H105" s="54" t="s">
        <v>9</v>
      </c>
      <c r="L105" s="87"/>
      <c r="M105" s="34" t="str">
        <f>IFERROR(INDEX(BASE,MATCH(tblPRINTERS[[#This Row],[CASE ID]],BASE_CASOS,0),MATCH(tblPRINTERS[[#Headers],[tratativa]],BASE_CAB,0)),"Retornar com prioridade")</f>
        <v>Não responder pesquisa</v>
      </c>
      <c r="N105" s="34" t="str">
        <f>IFERROR(INDEX(BASE,MATCH(tblPRINTERS[[#This Row],[CASE ID]],BASE_CASOS,0),MATCH(tblPRINTERS[[#Headers],[Observação]],BASE_CAB,0)),"-")</f>
        <v>Caso não resolvido / Equipamento em reparo</v>
      </c>
      <c r="O105" s="34" t="str">
        <f>IFERROR(INDEX(BASE,MATCH(tblPRINTERS[[#This Row],[CASE ID]],BASE_CASOS,0),MATCH(tblPRINTERS[[#Headers],[Observação Calback]],BASE_CAB,0)),"-")</f>
        <v>Vai retornar com suporte</v>
      </c>
      <c r="P105" s="42" t="str">
        <f>IF(ISERROR(INDEX(QUALIDADE,MATCH(tblPRINTERS[[#This Row],[CASE ID]],PROTOCOLO_PESQUISAS,0),MATCH("Return Time",QUALIDADE_CAB,0)))=FALSE,INDEX(QUALIDADE,MATCH(tblPRINTERS[[#This Row],[CASE ID]],PROTOCOLO_PESQUISAS,0),MATCH("Return Time",QUALIDADE_CAB,0)),"")</f>
        <v/>
      </c>
      <c r="Q105" s="34" t="str">
        <f>IF(tblPRINTERS[[#This Row],[DATA | PESQUISA RECEBIDA]]="","",PROPER(TEXT(tblPRINTERS[[#This Row],[DATA | PESQUISA RECEBIDA]],"DDDD")))</f>
        <v/>
      </c>
    </row>
    <row r="106" spans="1:17" hidden="1">
      <c r="A106" s="54">
        <v>3035752385</v>
      </c>
      <c r="B106" s="54" t="s">
        <v>500</v>
      </c>
      <c r="C106" s="90">
        <v>42748.735881944442</v>
      </c>
      <c r="D106" s="89">
        <v>42750.735881944442</v>
      </c>
      <c r="E106" s="54" t="s">
        <v>1110</v>
      </c>
      <c r="F106" s="54" t="s">
        <v>1110</v>
      </c>
      <c r="G106" s="54" t="s">
        <v>301</v>
      </c>
      <c r="H106" s="54" t="s">
        <v>31</v>
      </c>
      <c r="I106" s="54" t="s">
        <v>817</v>
      </c>
      <c r="J106" s="54" t="s">
        <v>303</v>
      </c>
      <c r="K106" s="54" t="s">
        <v>305</v>
      </c>
      <c r="L106" s="87">
        <v>42751</v>
      </c>
      <c r="M106" s="34" t="str">
        <f>IFERROR(INDEX(BASE,MATCH(tblPRINTERS[[#This Row],[CASE ID]],BASE_CASOS,0),MATCH(tblPRINTERS[[#Headers],[tratativa]],BASE_CAB,0)),"Retornar com prioridade")</f>
        <v>Não responder pesquisa</v>
      </c>
      <c r="N106" s="34" t="str">
        <f>IFERROR(INDEX(BASE,MATCH(tblPRINTERS[[#This Row],[CASE ID]],BASE_CASOS,0),MATCH(tblPRINTERS[[#Headers],[Observação]],BASE_CAB,0)),"-")</f>
        <v>Caso não resolvido / Equipamento em reparo</v>
      </c>
      <c r="O106" s="34" t="str">
        <f>IFERROR(INDEX(BASE,MATCH(tblPRINTERS[[#This Row],[CASE ID]],BASE_CASOS,0),MATCH(tblPRINTERS[[#Headers],[Observação Calback]],BASE_CAB,0)),"-")</f>
        <v>resolveu com a loja.</v>
      </c>
      <c r="P106" s="42" t="str">
        <f>IF(ISERROR(INDEX(QUALIDADE,MATCH(tblPRINTERS[[#This Row],[CASE ID]],PROTOCOLO_PESQUISAS,0),MATCH("Return Time",QUALIDADE_CAB,0)))=FALSE,INDEX(QUALIDADE,MATCH(tblPRINTERS[[#This Row],[CASE ID]],PROTOCOLO_PESQUISAS,0),MATCH("Return Time",QUALIDADE_CAB,0)),"")</f>
        <v/>
      </c>
      <c r="Q106" s="34" t="str">
        <f>IF(tblPRINTERS[[#This Row],[DATA | PESQUISA RECEBIDA]]="","",PROPER(TEXT(tblPRINTERS[[#This Row],[DATA | PESQUISA RECEBIDA]],"DDDD")))</f>
        <v/>
      </c>
    </row>
    <row r="107" spans="1:17" hidden="1">
      <c r="A107" s="54">
        <v>3035758904</v>
      </c>
      <c r="B107" s="54" t="s">
        <v>500</v>
      </c>
      <c r="C107" s="90">
        <v>42748.735881944442</v>
      </c>
      <c r="D107" s="89">
        <v>42750.735881944442</v>
      </c>
      <c r="E107" s="54" t="s">
        <v>839</v>
      </c>
      <c r="F107" s="54" t="s">
        <v>839</v>
      </c>
      <c r="G107" s="54" t="s">
        <v>301</v>
      </c>
      <c r="H107" s="54" t="s">
        <v>256</v>
      </c>
      <c r="I107" s="54" t="s">
        <v>817</v>
      </c>
      <c r="J107" s="54" t="s">
        <v>304</v>
      </c>
      <c r="K107" s="54" t="s">
        <v>1378</v>
      </c>
      <c r="L107" s="87">
        <v>42752</v>
      </c>
      <c r="M107" s="34" t="str">
        <f>IFERROR(INDEX(BASE,MATCH(tblPRINTERS[[#This Row],[CASE ID]],BASE_CASOS,0),MATCH(tblPRINTERS[[#Headers],[tratativa]],BASE_CAB,0)),"Retornar com prioridade")</f>
        <v>Responder pesquisa</v>
      </c>
      <c r="N107" s="34" t="str">
        <f>IFERROR(INDEX(BASE,MATCH(tblPRINTERS[[#This Row],[CASE ID]],BASE_CASOS,0),MATCH(tblPRINTERS[[#Headers],[Observação]],BASE_CAB,0)),"-")</f>
        <v>Nota 9/10</v>
      </c>
      <c r="O107" s="34" t="str">
        <f>IFERROR(INDEX(BASE,MATCH(tblPRINTERS[[#This Row],[CASE ID]],BASE_CASOS,0),MATCH(tblPRINTERS[[#Headers],[Observação Calback]],BASE_CAB,0)),"-")</f>
        <v>ira responder</v>
      </c>
      <c r="P107" s="42" t="str">
        <f>IF(ISERROR(INDEX(QUALIDADE,MATCH(tblPRINTERS[[#This Row],[CASE ID]],PROTOCOLO_PESQUISAS,0),MATCH("Return Time",QUALIDADE_CAB,0)))=FALSE,INDEX(QUALIDADE,MATCH(tblPRINTERS[[#This Row],[CASE ID]],PROTOCOLO_PESQUISAS,0),MATCH("Return Time",QUALIDADE_CAB,0)),"")</f>
        <v/>
      </c>
      <c r="Q107" s="34" t="str">
        <f>IF(tblPRINTERS[[#This Row],[DATA | PESQUISA RECEBIDA]]="","",PROPER(TEXT(tblPRINTERS[[#This Row],[DATA | PESQUISA RECEBIDA]],"DDDD")))</f>
        <v/>
      </c>
    </row>
    <row r="108" spans="1:17" hidden="1">
      <c r="A108" s="54">
        <v>3035691258</v>
      </c>
      <c r="B108" s="54" t="s">
        <v>500</v>
      </c>
      <c r="C108" s="90">
        <v>42748.735881944442</v>
      </c>
      <c r="D108" s="89">
        <v>42750.735881944442</v>
      </c>
      <c r="E108" s="54" t="s">
        <v>12</v>
      </c>
      <c r="F108" s="54" t="s">
        <v>19</v>
      </c>
      <c r="G108" s="54" t="s">
        <v>302</v>
      </c>
      <c r="H108" s="54" t="s">
        <v>9</v>
      </c>
      <c r="I108" s="54" t="s">
        <v>817</v>
      </c>
      <c r="J108" s="54" t="s">
        <v>303</v>
      </c>
      <c r="K108" s="54" t="s">
        <v>305</v>
      </c>
      <c r="L108" s="87">
        <v>42753</v>
      </c>
      <c r="M108" s="34" t="str">
        <f>IFERROR(INDEX(BASE,MATCH(tblPRINTERS[[#This Row],[CASE ID]],BASE_CASOS,0),MATCH(tblPRINTERS[[#Headers],[tratativa]],BASE_CAB,0)),"Retornar com prioridade")</f>
        <v>Não responder pesquisa</v>
      </c>
      <c r="N108" s="34" t="str">
        <f>IFERROR(INDEX(BASE,MATCH(tblPRINTERS[[#This Row],[CASE ID]],BASE_CASOS,0),MATCH(tblPRINTERS[[#Headers],[Observação]],BASE_CAB,0)),"-")</f>
        <v>Caso não resolvido / Equipamento em reparo</v>
      </c>
      <c r="O108" s="34" t="str">
        <f>IFERROR(INDEX(BASE,MATCH(tblPRINTERS[[#This Row],[CASE ID]],BASE_CASOS,0),MATCH(tblPRINTERS[[#Headers],[Observação Calback]],BASE_CAB,0)),"-")</f>
        <v>Resolveu sem HP</v>
      </c>
      <c r="P108" s="42" t="str">
        <f>IF(ISERROR(INDEX(QUALIDADE,MATCH(tblPRINTERS[[#This Row],[CASE ID]],PROTOCOLO_PESQUISAS,0),MATCH("Return Time",QUALIDADE_CAB,0)))=FALSE,INDEX(QUALIDADE,MATCH(tblPRINTERS[[#This Row],[CASE ID]],PROTOCOLO_PESQUISAS,0),MATCH("Return Time",QUALIDADE_CAB,0)),"")</f>
        <v/>
      </c>
      <c r="Q108" s="34" t="str">
        <f>IF(tblPRINTERS[[#This Row],[DATA | PESQUISA RECEBIDA]]="","",PROPER(TEXT(tblPRINTERS[[#This Row],[DATA | PESQUISA RECEBIDA]],"DDDD")))</f>
        <v/>
      </c>
    </row>
    <row r="109" spans="1:17" hidden="1">
      <c r="A109" s="54">
        <v>3035724997</v>
      </c>
      <c r="B109" s="54" t="s">
        <v>500</v>
      </c>
      <c r="C109" s="90">
        <v>42748.735881944442</v>
      </c>
      <c r="D109" s="89">
        <v>42750.735881944442</v>
      </c>
      <c r="E109" s="54" t="s">
        <v>54</v>
      </c>
      <c r="F109" s="54" t="s">
        <v>21</v>
      </c>
      <c r="G109" s="54" t="s">
        <v>302</v>
      </c>
      <c r="H109" s="54" t="s">
        <v>273</v>
      </c>
      <c r="I109" s="54" t="s">
        <v>817</v>
      </c>
      <c r="J109" s="54" t="s">
        <v>304</v>
      </c>
      <c r="K109" s="54" t="s">
        <v>307</v>
      </c>
      <c r="L109" s="87">
        <v>42751</v>
      </c>
      <c r="M109" s="34" t="str">
        <f>IFERROR(INDEX(BASE,MATCH(tblPRINTERS[[#This Row],[CASE ID]],BASE_CASOS,0),MATCH(tblPRINTERS[[#Headers],[tratativa]],BASE_CAB,0)),"Retornar com prioridade")</f>
        <v>Responder pesquisa</v>
      </c>
      <c r="N109" s="34" t="str">
        <f>IFERROR(INDEX(BASE,MATCH(tblPRINTERS[[#This Row],[CASE ID]],BASE_CASOS,0),MATCH(tblPRINTERS[[#Headers],[Observação]],BASE_CAB,0)),"-")</f>
        <v>Nota 9/10</v>
      </c>
      <c r="O109" s="34" t="str">
        <f>IFERROR(INDEX(BASE,MATCH(tblPRINTERS[[#This Row],[CASE ID]],BASE_CASOS,0),MATCH(tblPRINTERS[[#Headers],[Observação Calback]],BASE_CAB,0)),"-")</f>
        <v>Nota 10 | Nota 10</v>
      </c>
      <c r="P109" s="42" t="str">
        <f>IF(ISERROR(INDEX(QUALIDADE,MATCH(tblPRINTERS[[#This Row],[CASE ID]],PROTOCOLO_PESQUISAS,0),MATCH("Return Time",QUALIDADE_CAB,0)))=FALSE,INDEX(QUALIDADE,MATCH(tblPRINTERS[[#This Row],[CASE ID]],PROTOCOLO_PESQUISAS,0),MATCH("Return Time",QUALIDADE_CAB,0)),"")</f>
        <v/>
      </c>
      <c r="Q109" s="34" t="str">
        <f>IF(tblPRINTERS[[#This Row],[DATA | PESQUISA RECEBIDA]]="","",PROPER(TEXT(tblPRINTERS[[#This Row],[DATA | PESQUISA RECEBIDA]],"DDDD")))</f>
        <v/>
      </c>
    </row>
    <row r="110" spans="1:17" hidden="1">
      <c r="A110" s="54">
        <v>3035680917</v>
      </c>
      <c r="B110" s="54" t="s">
        <v>500</v>
      </c>
      <c r="C110" s="90">
        <v>42748.735881944442</v>
      </c>
      <c r="D110" s="89">
        <v>42750.735881944442</v>
      </c>
      <c r="E110" s="54" t="s">
        <v>1373</v>
      </c>
      <c r="F110" s="54" t="s">
        <v>33</v>
      </c>
      <c r="G110" s="54" t="s">
        <v>302</v>
      </c>
      <c r="H110" s="54" t="s">
        <v>31</v>
      </c>
      <c r="I110" s="54" t="s">
        <v>817</v>
      </c>
      <c r="J110" s="54" t="s">
        <v>303</v>
      </c>
      <c r="K110" s="54" t="s">
        <v>305</v>
      </c>
      <c r="L110" s="87">
        <v>42753</v>
      </c>
      <c r="M110" s="34" t="str">
        <f>IFERROR(INDEX(BASE,MATCH(tblPRINTERS[[#This Row],[CASE ID]],BASE_CASOS,0),MATCH(tblPRINTERS[[#Headers],[tratativa]],BASE_CAB,0)),"Retornar com prioridade")</f>
        <v>Sem contato</v>
      </c>
      <c r="N110" s="34" t="str">
        <f>IFERROR(INDEX(BASE,MATCH(tblPRINTERS[[#This Row],[CASE ID]],BASE_CASOS,0),MATCH(tblPRINTERS[[#Headers],[Observação]],BASE_CAB,0)),"-")</f>
        <v>Sem contato (Só chama, Cx postal, Ocupado)</v>
      </c>
      <c r="O110" s="34" t="str">
        <f>IFERROR(INDEX(BASE,MATCH(tblPRINTERS[[#This Row],[CASE ID]],BASE_CASOS,0),MATCH(tblPRINTERS[[#Headers],[Observação Calback]],BASE_CAB,0)),"-")</f>
        <v>Os 2 telefones só chamam</v>
      </c>
      <c r="P110" s="42" t="str">
        <f>IF(ISERROR(INDEX(QUALIDADE,MATCH(tblPRINTERS[[#This Row],[CASE ID]],PROTOCOLO_PESQUISAS,0),MATCH("Return Time",QUALIDADE_CAB,0)))=FALSE,INDEX(QUALIDADE,MATCH(tblPRINTERS[[#This Row],[CASE ID]],PROTOCOLO_PESQUISAS,0),MATCH("Return Time",QUALIDADE_CAB,0)),"")</f>
        <v/>
      </c>
      <c r="Q110" s="34" t="str">
        <f>IF(tblPRINTERS[[#This Row],[DATA | PESQUISA RECEBIDA]]="","",PROPER(TEXT(tblPRINTERS[[#This Row],[DATA | PESQUISA RECEBIDA]],"DDDD")))</f>
        <v/>
      </c>
    </row>
    <row r="111" spans="1:17" hidden="1">
      <c r="A111" s="54">
        <v>3035762877</v>
      </c>
      <c r="B111" s="54" t="s">
        <v>500</v>
      </c>
      <c r="C111" s="90">
        <v>42748.735881944442</v>
      </c>
      <c r="D111" s="89">
        <v>42750.735881944442</v>
      </c>
      <c r="E111" s="54" t="s">
        <v>42</v>
      </c>
      <c r="F111" s="54" t="s">
        <v>42</v>
      </c>
      <c r="G111" s="54" t="s">
        <v>301</v>
      </c>
      <c r="H111" s="54" t="s">
        <v>39</v>
      </c>
      <c r="L111" s="87"/>
      <c r="M111" s="34" t="str">
        <f>IFERROR(INDEX(BASE,MATCH(tblPRINTERS[[#This Row],[CASE ID]],BASE_CASOS,0),MATCH(tblPRINTERS[[#Headers],[tratativa]],BASE_CAB,0)),"Retornar com prioridade")</f>
        <v>Não responder pesquisa</v>
      </c>
      <c r="N111" s="34" t="str">
        <f>IFERROR(INDEX(BASE,MATCH(tblPRINTERS[[#This Row],[CASE ID]],BASE_CASOS,0),MATCH(tblPRINTERS[[#Headers],[Observação]],BASE_CAB,0)),"-")</f>
        <v>Caso não resolvido / Equipamento em reparo</v>
      </c>
      <c r="O111" s="34" t="str">
        <f>IFERROR(INDEX(BASE,MATCH(tblPRINTERS[[#This Row],[CASE ID]],BASE_CASOS,0),MATCH(tblPRINTERS[[#Headers],[Observação Calback]],BASE_CAB,0)),"-")</f>
        <v>em reparo</v>
      </c>
      <c r="P111" s="42" t="str">
        <f>IF(ISERROR(INDEX(QUALIDADE,MATCH(tblPRINTERS[[#This Row],[CASE ID]],PROTOCOLO_PESQUISAS,0),MATCH("Return Time",QUALIDADE_CAB,0)))=FALSE,INDEX(QUALIDADE,MATCH(tblPRINTERS[[#This Row],[CASE ID]],PROTOCOLO_PESQUISAS,0),MATCH("Return Time",QUALIDADE_CAB,0)),"")</f>
        <v/>
      </c>
      <c r="Q111" s="34" t="str">
        <f>IF(tblPRINTERS[[#This Row],[DATA | PESQUISA RECEBIDA]]="","",PROPER(TEXT(tblPRINTERS[[#This Row],[DATA | PESQUISA RECEBIDA]],"DDDD")))</f>
        <v/>
      </c>
    </row>
    <row r="112" spans="1:17" hidden="1">
      <c r="A112" s="54">
        <v>3035749423</v>
      </c>
      <c r="B112" s="54" t="s">
        <v>500</v>
      </c>
      <c r="C112" s="90">
        <v>42748.735881944442</v>
      </c>
      <c r="D112" s="89">
        <v>42750.735881944442</v>
      </c>
      <c r="E112" s="54" t="s">
        <v>580</v>
      </c>
      <c r="F112" s="54" t="s">
        <v>580</v>
      </c>
      <c r="G112" s="54" t="s">
        <v>301</v>
      </c>
      <c r="H112" s="54" t="s">
        <v>9</v>
      </c>
      <c r="L112" s="87"/>
      <c r="M112" s="34" t="str">
        <f>IFERROR(INDEX(BASE,MATCH(tblPRINTERS[[#This Row],[CASE ID]],BASE_CASOS,0),MATCH(tblPRINTERS[[#Headers],[tratativa]],BASE_CAB,0)),"Retornar com prioridade")</f>
        <v>Não responder pesquisa</v>
      </c>
      <c r="N112" s="34" t="str">
        <f>IFERROR(INDEX(BASE,MATCH(tblPRINTERS[[#This Row],[CASE ID]],BASE_CASOS,0),MATCH(tblPRINTERS[[#Headers],[Observação]],BASE_CAB,0)),"-")</f>
        <v>Caso não resolvido / Equipamento em reparo</v>
      </c>
      <c r="O112" s="34" t="str">
        <f>IFERROR(INDEX(BASE,MATCH(tblPRINTERS[[#This Row],[CASE ID]],BASE_CASOS,0),MATCH(tblPRINTERS[[#Headers],[Observação Calback]],BASE_CAB,0)),"-")</f>
        <v>cliente aguardando validação pop, informa que tem intermitencia no produto</v>
      </c>
      <c r="P112" s="42" t="str">
        <f>IF(ISERROR(INDEX(QUALIDADE,MATCH(tblPRINTERS[[#This Row],[CASE ID]],PROTOCOLO_PESQUISAS,0),MATCH("Return Time",QUALIDADE_CAB,0)))=FALSE,INDEX(QUALIDADE,MATCH(tblPRINTERS[[#This Row],[CASE ID]],PROTOCOLO_PESQUISAS,0),MATCH("Return Time",QUALIDADE_CAB,0)),"")</f>
        <v/>
      </c>
      <c r="Q112" s="34" t="str">
        <f>IF(tblPRINTERS[[#This Row],[DATA | PESQUISA RECEBIDA]]="","",PROPER(TEXT(tblPRINTERS[[#This Row],[DATA | PESQUISA RECEBIDA]],"DDDD")))</f>
        <v/>
      </c>
    </row>
    <row r="113" spans="1:17" hidden="1">
      <c r="A113" s="54">
        <v>3035748700</v>
      </c>
      <c r="B113" s="54" t="s">
        <v>500</v>
      </c>
      <c r="C113" s="90">
        <v>42748.735881944442</v>
      </c>
      <c r="D113" s="89">
        <v>42750.735881944442</v>
      </c>
      <c r="E113" s="54" t="s">
        <v>12</v>
      </c>
      <c r="F113" s="54" t="s">
        <v>12</v>
      </c>
      <c r="G113" s="54" t="s">
        <v>301</v>
      </c>
      <c r="H113" s="54" t="s">
        <v>9</v>
      </c>
      <c r="I113" s="54" t="s">
        <v>817</v>
      </c>
      <c r="J113" s="54" t="s">
        <v>304</v>
      </c>
      <c r="K113" s="54" t="s">
        <v>307</v>
      </c>
      <c r="L113" s="87">
        <v>42751</v>
      </c>
      <c r="M113" s="34" t="str">
        <f>IFERROR(INDEX(BASE,MATCH(tblPRINTERS[[#This Row],[CASE ID]],BASE_CASOS,0),MATCH(tblPRINTERS[[#Headers],[tratativa]],BASE_CAB,0)),"Retornar com prioridade")</f>
        <v>Responder pesquisa</v>
      </c>
      <c r="N113" s="34" t="str">
        <f>IFERROR(INDEX(BASE,MATCH(tblPRINTERS[[#This Row],[CASE ID]],BASE_CASOS,0),MATCH(tblPRINTERS[[#Headers],[Observação]],BASE_CAB,0)),"-")</f>
        <v>Nota 9/10</v>
      </c>
      <c r="O113" s="34" t="str">
        <f>IFERROR(INDEX(BASE,MATCH(tblPRINTERS[[#This Row],[CASE ID]],BASE_CASOS,0),MATCH(tblPRINTERS[[#Headers],[Observação Calback]],BASE_CAB,0)),"-")</f>
        <v>ira responder</v>
      </c>
      <c r="P113" s="42" t="str">
        <f>IF(ISERROR(INDEX(QUALIDADE,MATCH(tblPRINTERS[[#This Row],[CASE ID]],PROTOCOLO_PESQUISAS,0),MATCH("Return Time",QUALIDADE_CAB,0)))=FALSE,INDEX(QUALIDADE,MATCH(tblPRINTERS[[#This Row],[CASE ID]],PROTOCOLO_PESQUISAS,0),MATCH("Return Time",QUALIDADE_CAB,0)),"")</f>
        <v/>
      </c>
      <c r="Q113" s="34" t="str">
        <f>IF(tblPRINTERS[[#This Row],[DATA | PESQUISA RECEBIDA]]="","",PROPER(TEXT(tblPRINTERS[[#This Row],[DATA | PESQUISA RECEBIDA]],"DDDD")))</f>
        <v/>
      </c>
    </row>
    <row r="114" spans="1:17" hidden="1">
      <c r="A114" s="54">
        <v>3035756221</v>
      </c>
      <c r="B114" s="54" t="s">
        <v>500</v>
      </c>
      <c r="C114" s="90">
        <v>42748.735881944442</v>
      </c>
      <c r="D114" s="89">
        <v>42750.735881944442</v>
      </c>
      <c r="E114" s="54" t="s">
        <v>14</v>
      </c>
      <c r="F114" s="54" t="s">
        <v>14</v>
      </c>
      <c r="G114" s="54" t="s">
        <v>301</v>
      </c>
      <c r="H114" s="54" t="s">
        <v>9</v>
      </c>
      <c r="I114" s="54" t="s">
        <v>817</v>
      </c>
      <c r="J114" s="54" t="s">
        <v>303</v>
      </c>
      <c r="K114" s="54" t="s">
        <v>305</v>
      </c>
      <c r="L114" s="87">
        <v>42753</v>
      </c>
      <c r="M114" s="34" t="str">
        <f>IFERROR(INDEX(BASE,MATCH(tblPRINTERS[[#This Row],[CASE ID]],BASE_CASOS,0),MATCH(tblPRINTERS[[#Headers],[tratativa]],BASE_CAB,0)),"Retornar com prioridade")</f>
        <v>Sem contato</v>
      </c>
      <c r="N114" s="34" t="str">
        <f>IFERROR(INDEX(BASE,MATCH(tblPRINTERS[[#This Row],[CASE ID]],BASE_CASOS,0),MATCH(tblPRINTERS[[#Headers],[Observação]],BASE_CAB,0)),"-")</f>
        <v>Sem contato (Só chama, Cx postal, Ocupado)</v>
      </c>
      <c r="O114" s="34" t="str">
        <f>IFERROR(INDEX(BASE,MATCH(tblPRINTERS[[#This Row],[CASE ID]],BASE_CASOS,0),MATCH(tblPRINTERS[[#Headers],[Observação Calback]],BASE_CAB,0)),"-")</f>
        <v>fixo após as 17h | cel caixa postal</v>
      </c>
      <c r="P114" s="42" t="str">
        <f>IF(ISERROR(INDEX(QUALIDADE,MATCH(tblPRINTERS[[#This Row],[CASE ID]],PROTOCOLO_PESQUISAS,0),MATCH("Return Time",QUALIDADE_CAB,0)))=FALSE,INDEX(QUALIDADE,MATCH(tblPRINTERS[[#This Row],[CASE ID]],PROTOCOLO_PESQUISAS,0),MATCH("Return Time",QUALIDADE_CAB,0)),"")</f>
        <v/>
      </c>
      <c r="Q114" s="34" t="str">
        <f>IF(tblPRINTERS[[#This Row],[DATA | PESQUISA RECEBIDA]]="","",PROPER(TEXT(tblPRINTERS[[#This Row],[DATA | PESQUISA RECEBIDA]],"DDDD")))</f>
        <v/>
      </c>
    </row>
    <row r="115" spans="1:17" hidden="1">
      <c r="A115" s="54">
        <v>3035754408</v>
      </c>
      <c r="B115" s="54" t="s">
        <v>500</v>
      </c>
      <c r="C115" s="90">
        <v>42748.735881944442</v>
      </c>
      <c r="D115" s="89">
        <v>42750.735881944442</v>
      </c>
      <c r="E115" s="54" t="s">
        <v>1548</v>
      </c>
      <c r="F115" s="54" t="s">
        <v>46</v>
      </c>
      <c r="G115" s="54" t="s">
        <v>302</v>
      </c>
      <c r="H115" s="54" t="s">
        <v>31</v>
      </c>
      <c r="I115" s="54" t="s">
        <v>817</v>
      </c>
      <c r="J115" s="54" t="s">
        <v>304</v>
      </c>
      <c r="K115" s="54" t="s">
        <v>4005</v>
      </c>
      <c r="L115" s="87">
        <v>42752</v>
      </c>
      <c r="M115" s="34" t="str">
        <f>IFERROR(INDEX(BASE,MATCH(tblPRINTERS[[#This Row],[CASE ID]],BASE_CASOS,0),MATCH(tblPRINTERS[[#Headers],[tratativa]],BASE_CAB,0)),"Retornar com prioridade")</f>
        <v>Responder pesquisa</v>
      </c>
      <c r="N115" s="34" t="str">
        <f>IFERROR(INDEX(BASE,MATCH(tblPRINTERS[[#This Row],[CASE ID]],BASE_CASOS,0),MATCH(tblPRINTERS[[#Headers],[Observação]],BASE_CAB,0)),"-")</f>
        <v>Nota 9/10</v>
      </c>
      <c r="O115" s="34" t="str">
        <f>IFERROR(INDEX(BASE,MATCH(tblPRINTERS[[#This Row],[CASE ID]],BASE_CASOS,0),MATCH(tblPRINTERS[[#Headers],[Observação Calback]],BASE_CAB,0)),"-")</f>
        <v>ira responder</v>
      </c>
      <c r="P115" s="42" t="str">
        <f>IF(ISERROR(INDEX(QUALIDADE,MATCH(tblPRINTERS[[#This Row],[CASE ID]],PROTOCOLO_PESQUISAS,0),MATCH("Return Time",QUALIDADE_CAB,0)))=FALSE,INDEX(QUALIDADE,MATCH(tblPRINTERS[[#This Row],[CASE ID]],PROTOCOLO_PESQUISAS,0),MATCH("Return Time",QUALIDADE_CAB,0)),"")</f>
        <v/>
      </c>
      <c r="Q115" s="34" t="str">
        <f>IF(tblPRINTERS[[#This Row],[DATA | PESQUISA RECEBIDA]]="","",PROPER(TEXT(tblPRINTERS[[#This Row],[DATA | PESQUISA RECEBIDA]],"DDDD")))</f>
        <v/>
      </c>
    </row>
    <row r="116" spans="1:17" hidden="1">
      <c r="A116" s="54">
        <v>3035713369</v>
      </c>
      <c r="B116" s="54" t="s">
        <v>500</v>
      </c>
      <c r="C116" s="90">
        <v>42748.735881944442</v>
      </c>
      <c r="D116" s="89">
        <v>42750.735881944442</v>
      </c>
      <c r="E116" s="54" t="s">
        <v>32</v>
      </c>
      <c r="F116" s="54" t="s">
        <v>33</v>
      </c>
      <c r="G116" s="54" t="s">
        <v>302</v>
      </c>
      <c r="H116" s="54" t="s">
        <v>31</v>
      </c>
      <c r="L116" s="87"/>
      <c r="M116" s="34" t="str">
        <f>IFERROR(INDEX(BASE,MATCH(tblPRINTERS[[#This Row],[CASE ID]],BASE_CASOS,0),MATCH(tblPRINTERS[[#Headers],[tratativa]],BASE_CAB,0)),"Retornar com prioridade")</f>
        <v>Não responder pesquisa</v>
      </c>
      <c r="N116" s="34" t="str">
        <f>IFERROR(INDEX(BASE,MATCH(tblPRINTERS[[#This Row],[CASE ID]],BASE_CASOS,0),MATCH(tblPRINTERS[[#Headers],[Observação]],BASE_CAB,0)),"-")</f>
        <v>Caso não resolvido / Equipamento em reparo</v>
      </c>
      <c r="O116" s="34" t="str">
        <f>IFERROR(INDEX(BASE,MATCH(tblPRINTERS[[#This Row],[CASE ID]],BASE_CASOS,0),MATCH(tblPRINTERS[[#Headers],[Observação Calback]],BASE_CAB,0)),"-")</f>
        <v xml:space="preserve">Testando equipamento </v>
      </c>
      <c r="P116" s="42" t="str">
        <f>IF(ISERROR(INDEX(QUALIDADE,MATCH(tblPRINTERS[[#This Row],[CASE ID]],PROTOCOLO_PESQUISAS,0),MATCH("Return Time",QUALIDADE_CAB,0)))=FALSE,INDEX(QUALIDADE,MATCH(tblPRINTERS[[#This Row],[CASE ID]],PROTOCOLO_PESQUISAS,0),MATCH("Return Time",QUALIDADE_CAB,0)),"")</f>
        <v/>
      </c>
      <c r="Q116" s="34" t="str">
        <f>IF(tblPRINTERS[[#This Row],[DATA | PESQUISA RECEBIDA]]="","",PROPER(TEXT(tblPRINTERS[[#This Row],[DATA | PESQUISA RECEBIDA]],"DDDD")))</f>
        <v/>
      </c>
    </row>
    <row r="117" spans="1:17" hidden="1">
      <c r="A117" s="54">
        <v>3035749481</v>
      </c>
      <c r="B117" s="54" t="s">
        <v>500</v>
      </c>
      <c r="C117" s="90">
        <v>42748.735881944442</v>
      </c>
      <c r="D117" s="89">
        <v>42750.735881944442</v>
      </c>
      <c r="E117" s="54" t="s">
        <v>590</v>
      </c>
      <c r="F117" s="54" t="s">
        <v>590</v>
      </c>
      <c r="G117" s="54" t="s">
        <v>301</v>
      </c>
      <c r="H117" s="54" t="s">
        <v>273</v>
      </c>
      <c r="I117" s="54" t="s">
        <v>817</v>
      </c>
      <c r="J117" s="54" t="s">
        <v>303</v>
      </c>
      <c r="K117" s="54" t="s">
        <v>305</v>
      </c>
      <c r="L117" s="87">
        <v>42753</v>
      </c>
      <c r="M117" s="34" t="str">
        <f>IFERROR(INDEX(BASE,MATCH(tblPRINTERS[[#This Row],[CASE ID]],BASE_CASOS,0),MATCH(tblPRINTERS[[#Headers],[tratativa]],BASE_CAB,0)),"Retornar com prioridade")</f>
        <v>Sem contato</v>
      </c>
      <c r="N117" s="34" t="str">
        <f>IFERROR(INDEX(BASE,MATCH(tblPRINTERS[[#This Row],[CASE ID]],BASE_CASOS,0),MATCH(tblPRINTERS[[#Headers],[Observação]],BASE_CAB,0)),"-")</f>
        <v>Sem contato (Só chama, Cx postal, Ocupado)</v>
      </c>
      <c r="O117" s="34" t="str">
        <f>IFERROR(INDEX(BASE,MATCH(tblPRINTERS[[#This Row],[CASE ID]],BASE_CASOS,0),MATCH(tblPRINTERS[[#Headers],[Observação Calback]],BASE_CAB,0)),"-")</f>
        <v>Os 2 telefones só chamam</v>
      </c>
      <c r="P117" s="42" t="str">
        <f>IF(ISERROR(INDEX(QUALIDADE,MATCH(tblPRINTERS[[#This Row],[CASE ID]],PROTOCOLO_PESQUISAS,0),MATCH("Return Time",QUALIDADE_CAB,0)))=FALSE,INDEX(QUALIDADE,MATCH(tblPRINTERS[[#This Row],[CASE ID]],PROTOCOLO_PESQUISAS,0),MATCH("Return Time",QUALIDADE_CAB,0)),"")</f>
        <v/>
      </c>
      <c r="Q117" s="34" t="str">
        <f>IF(tblPRINTERS[[#This Row],[DATA | PESQUISA RECEBIDA]]="","",PROPER(TEXT(tblPRINTERS[[#This Row],[DATA | PESQUISA RECEBIDA]],"DDDD")))</f>
        <v/>
      </c>
    </row>
    <row r="118" spans="1:17" hidden="1">
      <c r="A118" s="54">
        <v>3035749495</v>
      </c>
      <c r="B118" s="54" t="s">
        <v>500</v>
      </c>
      <c r="C118" s="90">
        <v>42748.735881944442</v>
      </c>
      <c r="D118" s="89">
        <v>42750.735881944442</v>
      </c>
      <c r="E118" s="54" t="s">
        <v>32</v>
      </c>
      <c r="F118" s="54" t="s">
        <v>32</v>
      </c>
      <c r="G118" s="54" t="s">
        <v>301</v>
      </c>
      <c r="H118" s="54" t="s">
        <v>31</v>
      </c>
      <c r="I118" s="54" t="s">
        <v>817</v>
      </c>
      <c r="J118" s="54" t="s">
        <v>303</v>
      </c>
      <c r="K118" s="54" t="s">
        <v>305</v>
      </c>
      <c r="L118" s="87">
        <v>42753</v>
      </c>
      <c r="M118" s="34" t="str">
        <f>IFERROR(INDEX(BASE,MATCH(tblPRINTERS[[#This Row],[CASE ID]],BASE_CASOS,0),MATCH(tblPRINTERS[[#Headers],[tratativa]],BASE_CAB,0)),"Retornar com prioridade")</f>
        <v>Sem contato</v>
      </c>
      <c r="N118" s="34" t="str">
        <f>IFERROR(INDEX(BASE,MATCH(tblPRINTERS[[#This Row],[CASE ID]],BASE_CASOS,0),MATCH(tblPRINTERS[[#Headers],[Observação]],BASE_CAB,0)),"-")</f>
        <v>Sem contato (Só chama, Cx postal, Ocupado)</v>
      </c>
      <c r="O118" s="34" t="str">
        <f>IFERROR(INDEX(BASE,MATCH(tblPRINTERS[[#This Row],[CASE ID]],BASE_CASOS,0),MATCH(tblPRINTERS[[#Headers],[Observação Calback]],BASE_CAB,0)),"-")</f>
        <v>Os 2 telefones só chamam</v>
      </c>
      <c r="P118" s="42" t="str">
        <f>IF(ISERROR(INDEX(QUALIDADE,MATCH(tblPRINTERS[[#This Row],[CASE ID]],PROTOCOLO_PESQUISAS,0),MATCH("Return Time",QUALIDADE_CAB,0)))=FALSE,INDEX(QUALIDADE,MATCH(tblPRINTERS[[#This Row],[CASE ID]],PROTOCOLO_PESQUISAS,0),MATCH("Return Time",QUALIDADE_CAB,0)),"")</f>
        <v/>
      </c>
      <c r="Q118" s="34" t="str">
        <f>IF(tblPRINTERS[[#This Row],[DATA | PESQUISA RECEBIDA]]="","",PROPER(TEXT(tblPRINTERS[[#This Row],[DATA | PESQUISA RECEBIDA]],"DDDD")))</f>
        <v/>
      </c>
    </row>
    <row r="119" spans="1:17" hidden="1">
      <c r="A119" s="54">
        <v>3035718800</v>
      </c>
      <c r="B119" s="54" t="s">
        <v>500</v>
      </c>
      <c r="C119" s="90">
        <v>42748.735881944442</v>
      </c>
      <c r="D119" s="89">
        <v>42750.735881944442</v>
      </c>
      <c r="E119" s="54" t="s">
        <v>55</v>
      </c>
      <c r="F119" s="54" t="s">
        <v>47</v>
      </c>
      <c r="G119" s="54" t="s">
        <v>302</v>
      </c>
      <c r="H119" s="54" t="s">
        <v>23</v>
      </c>
      <c r="L119" s="87"/>
      <c r="M119" s="34" t="str">
        <f>IFERROR(INDEX(BASE,MATCH(tblPRINTERS[[#This Row],[CASE ID]],BASE_CASOS,0),MATCH(tblPRINTERS[[#Headers],[tratativa]],BASE_CAB,0)),"Retornar com prioridade")</f>
        <v>Não responder pesquisa</v>
      </c>
      <c r="N119" s="34" t="str">
        <f>IFERROR(INDEX(BASE,MATCH(tblPRINTERS[[#This Row],[CASE ID]],BASE_CASOS,0),MATCH(tblPRINTERS[[#Headers],[Observação]],BASE_CAB,0)),"-")</f>
        <v>Caso não resolvido / Equipamento em reparo</v>
      </c>
      <c r="O119" s="34" t="str">
        <f>IFERROR(INDEX(BASE,MATCH(tblPRINTERS[[#This Row],[CASE ID]],BASE_CASOS,0),MATCH(tblPRINTERS[[#Headers],[Observação Calback]],BASE_CAB,0)),"-")</f>
        <v xml:space="preserve">cliente aguardando validação pop, possível troca de cabeça de impressão </v>
      </c>
      <c r="P119" s="42" t="str">
        <f>IF(ISERROR(INDEX(QUALIDADE,MATCH(tblPRINTERS[[#This Row],[CASE ID]],PROTOCOLO_PESQUISAS,0),MATCH("Return Time",QUALIDADE_CAB,0)))=FALSE,INDEX(QUALIDADE,MATCH(tblPRINTERS[[#This Row],[CASE ID]],PROTOCOLO_PESQUISAS,0),MATCH("Return Time",QUALIDADE_CAB,0)),"")</f>
        <v/>
      </c>
      <c r="Q119" s="34" t="str">
        <f>IF(tblPRINTERS[[#This Row],[DATA | PESQUISA RECEBIDA]]="","",PROPER(TEXT(tblPRINTERS[[#This Row],[DATA | PESQUISA RECEBIDA]],"DDDD")))</f>
        <v/>
      </c>
    </row>
    <row r="120" spans="1:17" hidden="1">
      <c r="A120" s="54">
        <v>3035747753</v>
      </c>
      <c r="B120" s="54" t="s">
        <v>500</v>
      </c>
      <c r="C120" s="90">
        <v>42748.735881944442</v>
      </c>
      <c r="D120" s="89">
        <v>42750.735881944442</v>
      </c>
      <c r="E120" s="54" t="s">
        <v>35</v>
      </c>
      <c r="F120" s="54" t="s">
        <v>35</v>
      </c>
      <c r="G120" s="54" t="s">
        <v>301</v>
      </c>
      <c r="H120" s="54" t="s">
        <v>31</v>
      </c>
      <c r="I120" s="54" t="s">
        <v>817</v>
      </c>
      <c r="J120" s="54" t="s">
        <v>304</v>
      </c>
      <c r="K120" s="54" t="s">
        <v>306</v>
      </c>
      <c r="L120" s="87">
        <v>42751</v>
      </c>
      <c r="M120" s="34" t="str">
        <f>IFERROR(INDEX(BASE,MATCH(tblPRINTERS[[#This Row],[CASE ID]],BASE_CASOS,0),MATCH(tblPRINTERS[[#Headers],[tratativa]],BASE_CAB,0)),"Retornar com prioridade")</f>
        <v>Responder pesquisa</v>
      </c>
      <c r="N120" s="34" t="str">
        <f>IFERROR(INDEX(BASE,MATCH(tblPRINTERS[[#This Row],[CASE ID]],BASE_CASOS,0),MATCH(tblPRINTERS[[#Headers],[Observação]],BASE_CAB,0)),"-")</f>
        <v>Nota 9/10</v>
      </c>
      <c r="O120" s="34" t="str">
        <f>IFERROR(INDEX(BASE,MATCH(tblPRINTERS[[#This Row],[CASE ID]],BASE_CASOS,0),MATCH(tblPRINTERS[[#Headers],[Observação Calback]],BASE_CAB,0)),"-")</f>
        <v>ira responder</v>
      </c>
      <c r="P120" s="42" t="str">
        <f>IF(ISERROR(INDEX(QUALIDADE,MATCH(tblPRINTERS[[#This Row],[CASE ID]],PROTOCOLO_PESQUISAS,0),MATCH("Return Time",QUALIDADE_CAB,0)))=FALSE,INDEX(QUALIDADE,MATCH(tblPRINTERS[[#This Row],[CASE ID]],PROTOCOLO_PESQUISAS,0),MATCH("Return Time",QUALIDADE_CAB,0)),"")</f>
        <v/>
      </c>
      <c r="Q120" s="34" t="str">
        <f>IF(tblPRINTERS[[#This Row],[DATA | PESQUISA RECEBIDA]]="","",PROPER(TEXT(tblPRINTERS[[#This Row],[DATA | PESQUISA RECEBIDA]],"DDDD")))</f>
        <v/>
      </c>
    </row>
    <row r="121" spans="1:17" hidden="1">
      <c r="A121" s="54">
        <v>3035747835</v>
      </c>
      <c r="B121" s="54" t="s">
        <v>500</v>
      </c>
      <c r="C121" s="90">
        <v>42748.735881944442</v>
      </c>
      <c r="D121" s="89">
        <v>42750.735881944442</v>
      </c>
      <c r="E121" s="54" t="s">
        <v>580</v>
      </c>
      <c r="F121" s="54" t="s">
        <v>580</v>
      </c>
      <c r="G121" s="54" t="s">
        <v>301</v>
      </c>
      <c r="H121" s="54" t="s">
        <v>9</v>
      </c>
      <c r="I121" s="54" t="s">
        <v>817</v>
      </c>
      <c r="J121" s="54" t="s">
        <v>304</v>
      </c>
      <c r="K121" s="54" t="s">
        <v>307</v>
      </c>
      <c r="L121" s="87">
        <v>42751</v>
      </c>
      <c r="M121" s="34" t="str">
        <f>IFERROR(INDEX(BASE,MATCH(tblPRINTERS[[#This Row],[CASE ID]],BASE_CASOS,0),MATCH(tblPRINTERS[[#Headers],[tratativa]],BASE_CAB,0)),"Retornar com prioridade")</f>
        <v>Responder pesquisa</v>
      </c>
      <c r="N121" s="34" t="str">
        <f>IFERROR(INDEX(BASE,MATCH(tblPRINTERS[[#This Row],[CASE ID]],BASE_CASOS,0),MATCH(tblPRINTERS[[#Headers],[Observação]],BASE_CAB,0)),"-")</f>
        <v>Nota 9/10</v>
      </c>
      <c r="O121" s="34" t="str">
        <f>IFERROR(INDEX(BASE,MATCH(tblPRINTERS[[#This Row],[CASE ID]],BASE_CASOS,0),MATCH(tblPRINTERS[[#Headers],[Observação Calback]],BASE_CAB,0)),"-")</f>
        <v>ira responder</v>
      </c>
      <c r="P121" s="42" t="str">
        <f>IF(ISERROR(INDEX(QUALIDADE,MATCH(tblPRINTERS[[#This Row],[CASE ID]],PROTOCOLO_PESQUISAS,0),MATCH("Return Time",QUALIDADE_CAB,0)))=FALSE,INDEX(QUALIDADE,MATCH(tblPRINTERS[[#This Row],[CASE ID]],PROTOCOLO_PESQUISAS,0),MATCH("Return Time",QUALIDADE_CAB,0)),"")</f>
        <v/>
      </c>
      <c r="Q121" s="34" t="str">
        <f>IF(tblPRINTERS[[#This Row],[DATA | PESQUISA RECEBIDA]]="","",PROPER(TEXT(tblPRINTERS[[#This Row],[DATA | PESQUISA RECEBIDA]],"DDDD")))</f>
        <v/>
      </c>
    </row>
    <row r="122" spans="1:17" hidden="1">
      <c r="A122" s="54">
        <v>3035686664</v>
      </c>
      <c r="B122" s="54" t="s">
        <v>500</v>
      </c>
      <c r="C122" s="90">
        <v>42748.735881944442</v>
      </c>
      <c r="D122" s="89">
        <v>42750.735881944442</v>
      </c>
      <c r="E122" s="54" t="s">
        <v>1536</v>
      </c>
      <c r="F122" s="54" t="s">
        <v>21</v>
      </c>
      <c r="G122" s="54" t="s">
        <v>302</v>
      </c>
      <c r="H122" s="54" t="s">
        <v>273</v>
      </c>
      <c r="L122" s="87"/>
      <c r="M122" s="34" t="str">
        <f>IFERROR(INDEX(BASE,MATCH(tblPRINTERS[[#This Row],[CASE ID]],BASE_CASOS,0),MATCH(tblPRINTERS[[#Headers],[tratativa]],BASE_CAB,0)),"Retornar com prioridade")</f>
        <v>Não responder pesquisa</v>
      </c>
      <c r="N122" s="34" t="str">
        <f>IFERROR(INDEX(BASE,MATCH(tblPRINTERS[[#This Row],[CASE ID]],BASE_CASOS,0),MATCH(tblPRINTERS[[#Headers],[Observação]],BASE_CAB,0)),"-")</f>
        <v>Caso não resolvido / Equipamento em reparo</v>
      </c>
      <c r="O122" s="34" t="str">
        <f>IFERROR(INDEX(BASE,MATCH(tblPRINTERS[[#This Row],[CASE ID]],BASE_CASOS,0),MATCH(tblPRINTERS[[#Headers],[Observação Calback]],BASE_CAB,0)),"-")</f>
        <v>Os 2 telefones só chamam</v>
      </c>
      <c r="P122" s="42" t="str">
        <f>IF(ISERROR(INDEX(QUALIDADE,MATCH(tblPRINTERS[[#This Row],[CASE ID]],PROTOCOLO_PESQUISAS,0),MATCH("Return Time",QUALIDADE_CAB,0)))=FALSE,INDEX(QUALIDADE,MATCH(tblPRINTERS[[#This Row],[CASE ID]],PROTOCOLO_PESQUISAS,0),MATCH("Return Time",QUALIDADE_CAB,0)),"")</f>
        <v/>
      </c>
      <c r="Q122" s="34" t="str">
        <f>IF(tblPRINTERS[[#This Row],[DATA | PESQUISA RECEBIDA]]="","",PROPER(TEXT(tblPRINTERS[[#This Row],[DATA | PESQUISA RECEBIDA]],"DDDD")))</f>
        <v/>
      </c>
    </row>
    <row r="123" spans="1:17" hidden="1">
      <c r="A123" s="54">
        <v>3035751658</v>
      </c>
      <c r="B123" s="54" t="s">
        <v>500</v>
      </c>
      <c r="C123" s="90">
        <v>42748.735881944442</v>
      </c>
      <c r="D123" s="89">
        <v>42750.735881944442</v>
      </c>
      <c r="E123" s="54" t="s">
        <v>1288</v>
      </c>
      <c r="F123" s="54" t="s">
        <v>1288</v>
      </c>
      <c r="G123" s="54" t="s">
        <v>301</v>
      </c>
      <c r="H123" s="54" t="s">
        <v>39</v>
      </c>
      <c r="I123" s="54" t="s">
        <v>817</v>
      </c>
      <c r="J123" s="54" t="s">
        <v>304</v>
      </c>
      <c r="K123" s="54" t="s">
        <v>307</v>
      </c>
      <c r="L123" s="87">
        <v>42751</v>
      </c>
      <c r="M123" s="34" t="str">
        <f>IFERROR(INDEX(BASE,MATCH(tblPRINTERS[[#This Row],[CASE ID]],BASE_CASOS,0),MATCH(tblPRINTERS[[#Headers],[tratativa]],BASE_CAB,0)),"Retornar com prioridade")</f>
        <v>Sem contato</v>
      </c>
      <c r="N123" s="34" t="str">
        <f>IFERROR(INDEX(BASE,MATCH(tblPRINTERS[[#This Row],[CASE ID]],BASE_CASOS,0),MATCH(tblPRINTERS[[#Headers],[Observação]],BASE_CAB,0)),"-")</f>
        <v>Sem contato (Só chama, Cx postal, Ocupado)</v>
      </c>
      <c r="O123" s="34" t="str">
        <f>IFERROR(INDEX(BASE,MATCH(tblPRINTERS[[#This Row],[CASE ID]],BASE_CASOS,0),MATCH(tblPRINTERS[[#Headers],[Observação Calback]],BASE_CAB,0)),"-")</f>
        <v>email da gerente</v>
      </c>
      <c r="P123" s="42" t="str">
        <f>IF(ISERROR(INDEX(QUALIDADE,MATCH(tblPRINTERS[[#This Row],[CASE ID]],PROTOCOLO_PESQUISAS,0),MATCH("Return Time",QUALIDADE_CAB,0)))=FALSE,INDEX(QUALIDADE,MATCH(tblPRINTERS[[#This Row],[CASE ID]],PROTOCOLO_PESQUISAS,0),MATCH("Return Time",QUALIDADE_CAB,0)),"")</f>
        <v/>
      </c>
      <c r="Q123" s="34" t="str">
        <f>IF(tblPRINTERS[[#This Row],[DATA | PESQUISA RECEBIDA]]="","",PROPER(TEXT(tblPRINTERS[[#This Row],[DATA | PESQUISA RECEBIDA]],"DDDD")))</f>
        <v/>
      </c>
    </row>
    <row r="124" spans="1:17" hidden="1">
      <c r="A124" s="54">
        <v>3035681574</v>
      </c>
      <c r="B124" s="54" t="s">
        <v>500</v>
      </c>
      <c r="C124" s="90">
        <v>42747.737991238428</v>
      </c>
      <c r="D124" s="89">
        <v>42749.737991238428</v>
      </c>
      <c r="E124" s="54" t="s">
        <v>2139</v>
      </c>
      <c r="F124" s="54" t="s">
        <v>21</v>
      </c>
      <c r="G124" s="54" t="s">
        <v>302</v>
      </c>
      <c r="H124" s="54" t="s">
        <v>273</v>
      </c>
      <c r="I124" s="54" t="s">
        <v>817</v>
      </c>
      <c r="J124" s="54" t="s">
        <v>303</v>
      </c>
      <c r="K124" s="54" t="s">
        <v>305</v>
      </c>
      <c r="L124" s="87">
        <v>42751</v>
      </c>
      <c r="M124" s="34" t="str">
        <f>IFERROR(INDEX(BASE,MATCH(tblPRINTERS[[#This Row],[CASE ID]],BASE_CASOS,0),MATCH(tblPRINTERS[[#Headers],[tratativa]],BASE_CAB,0)),"Retornar com prioridade")</f>
        <v>Não responder pesquisa</v>
      </c>
      <c r="N124" s="34" t="str">
        <f>IFERROR(INDEX(BASE,MATCH(tblPRINTERS[[#This Row],[CASE ID]],BASE_CASOS,0),MATCH(tblPRINTERS[[#Headers],[Observação]],BASE_CAB,0)),"-")</f>
        <v>Caso não resolvido / Equipamento em reparo</v>
      </c>
      <c r="O124" s="34" t="str">
        <f>IFERROR(INDEX(BASE,MATCH(tblPRINTERS[[#This Row],[CASE ID]],BASE_CASOS,0),MATCH(tblPRINTERS[[#Headers],[Observação Calback]],BASE_CAB,0)),"-")</f>
        <v>Vai retornar com suporte</v>
      </c>
      <c r="P124" s="42" t="str">
        <f>IF(ISERROR(INDEX(QUALIDADE,MATCH(tblPRINTERS[[#This Row],[CASE ID]],PROTOCOLO_PESQUISAS,0),MATCH("Return Time",QUALIDADE_CAB,0)))=FALSE,INDEX(QUALIDADE,MATCH(tblPRINTERS[[#This Row],[CASE ID]],PROTOCOLO_PESQUISAS,0),MATCH("Return Time",QUALIDADE_CAB,0)),"")</f>
        <v/>
      </c>
      <c r="Q124" s="34" t="str">
        <f>IF(tblPRINTERS[[#This Row],[DATA | PESQUISA RECEBIDA]]="","",PROPER(TEXT(tblPRINTERS[[#This Row],[DATA | PESQUISA RECEBIDA]],"DDDD")))</f>
        <v/>
      </c>
    </row>
    <row r="125" spans="1:17" hidden="1">
      <c r="A125" s="54">
        <v>3035679157</v>
      </c>
      <c r="B125" s="54" t="s">
        <v>500</v>
      </c>
      <c r="C125" s="90">
        <v>42747.737991238428</v>
      </c>
      <c r="D125" s="89">
        <v>42749.737991238428</v>
      </c>
      <c r="E125" s="54" t="s">
        <v>1548</v>
      </c>
      <c r="F125" s="54" t="s">
        <v>33</v>
      </c>
      <c r="G125" s="54" t="s">
        <v>302</v>
      </c>
      <c r="H125" s="54" t="s">
        <v>31</v>
      </c>
      <c r="L125" s="87"/>
      <c r="M125" s="34" t="str">
        <f>IFERROR(INDEX(BASE,MATCH(tblPRINTERS[[#This Row],[CASE ID]],BASE_CASOS,0),MATCH(tblPRINTERS[[#Headers],[tratativa]],BASE_CAB,0)),"Retornar com prioridade")</f>
        <v>Não responder pesquisa</v>
      </c>
      <c r="N125" s="34" t="str">
        <f>IFERROR(INDEX(BASE,MATCH(tblPRINTERS[[#This Row],[CASE ID]],BASE_CASOS,0),MATCH(tblPRINTERS[[#Headers],[Observação]],BASE_CAB,0)),"-")</f>
        <v>Caso não resolvido / Equipamento em reparo</v>
      </c>
      <c r="O125" s="34" t="str">
        <f>IFERROR(INDEX(BASE,MATCH(tblPRINTERS[[#This Row],[CASE ID]],BASE_CASOS,0),MATCH(tblPRINTERS[[#Headers],[Observação Calback]],BASE_CAB,0)),"-")</f>
        <v>Vai retornar com suporte</v>
      </c>
      <c r="P125" s="42" t="str">
        <f>IF(ISERROR(INDEX(QUALIDADE,MATCH(tblPRINTERS[[#This Row],[CASE ID]],PROTOCOLO_PESQUISAS,0),MATCH("Return Time",QUALIDADE_CAB,0)))=FALSE,INDEX(QUALIDADE,MATCH(tblPRINTERS[[#This Row],[CASE ID]],PROTOCOLO_PESQUISAS,0),MATCH("Return Time",QUALIDADE_CAB,0)),"")</f>
        <v/>
      </c>
      <c r="Q125" s="34" t="str">
        <f>IF(tblPRINTERS[[#This Row],[DATA | PESQUISA RECEBIDA]]="","",PROPER(TEXT(tblPRINTERS[[#This Row],[DATA | PESQUISA RECEBIDA]],"DDDD")))</f>
        <v/>
      </c>
    </row>
    <row r="126" spans="1:17" hidden="1">
      <c r="A126" s="54">
        <v>3035719657</v>
      </c>
      <c r="B126" s="54" t="s">
        <v>500</v>
      </c>
      <c r="C126" s="90">
        <v>42747.737991238428</v>
      </c>
      <c r="D126" s="89">
        <v>42749.737991238428</v>
      </c>
      <c r="E126" s="54" t="s">
        <v>26</v>
      </c>
      <c r="F126" s="54" t="s">
        <v>26</v>
      </c>
      <c r="G126" s="54" t="s">
        <v>301</v>
      </c>
      <c r="H126" s="54" t="s">
        <v>23</v>
      </c>
      <c r="I126" s="54" t="s">
        <v>817</v>
      </c>
      <c r="J126" s="54" t="s">
        <v>303</v>
      </c>
      <c r="K126" s="54" t="s">
        <v>305</v>
      </c>
      <c r="L126" s="87">
        <v>42752</v>
      </c>
      <c r="M126" s="34" t="str">
        <f>IFERROR(INDEX(BASE,MATCH(tblPRINTERS[[#This Row],[CASE ID]],BASE_CASOS,0),MATCH(tblPRINTERS[[#Headers],[tratativa]],BASE_CAB,0)),"Retornar com prioridade")</f>
        <v>Responder pesquisa</v>
      </c>
      <c r="N126" s="34" t="str">
        <f>IFERROR(INDEX(BASE,MATCH(tblPRINTERS[[#This Row],[CASE ID]],BASE_CASOS,0),MATCH(tblPRINTERS[[#Headers],[Observação]],BASE_CAB,0)),"-")</f>
        <v>Nota 9/10</v>
      </c>
      <c r="O126" s="34" t="str">
        <f>IFERROR(INDEX(BASE,MATCH(tblPRINTERS[[#This Row],[CASE ID]],BASE_CASOS,0),MATCH(tblPRINTERS[[#Headers],[Observação Calback]],BASE_CAB,0)),"-")</f>
        <v>ira responder</v>
      </c>
      <c r="P126" s="42" t="str">
        <f>IF(ISERROR(INDEX(QUALIDADE,MATCH(tblPRINTERS[[#This Row],[CASE ID]],PROTOCOLO_PESQUISAS,0),MATCH("Return Time",QUALIDADE_CAB,0)))=FALSE,INDEX(QUALIDADE,MATCH(tblPRINTERS[[#This Row],[CASE ID]],PROTOCOLO_PESQUISAS,0),MATCH("Return Time",QUALIDADE_CAB,0)),"")</f>
        <v/>
      </c>
      <c r="Q126" s="34" t="str">
        <f>IF(tblPRINTERS[[#This Row],[DATA | PESQUISA RECEBIDA]]="","",PROPER(TEXT(tblPRINTERS[[#This Row],[DATA | PESQUISA RECEBIDA]],"DDDD")))</f>
        <v/>
      </c>
    </row>
    <row r="127" spans="1:17" hidden="1">
      <c r="A127" s="54">
        <v>3035722983</v>
      </c>
      <c r="B127" s="54" t="s">
        <v>500</v>
      </c>
      <c r="C127" s="90">
        <v>42747.737991238428</v>
      </c>
      <c r="D127" s="89">
        <v>42749.737991238428</v>
      </c>
      <c r="E127" s="54" t="s">
        <v>55</v>
      </c>
      <c r="F127" s="54" t="s">
        <v>55</v>
      </c>
      <c r="G127" s="54" t="s">
        <v>301</v>
      </c>
      <c r="H127" s="54" t="s">
        <v>23</v>
      </c>
      <c r="I127" s="54" t="s">
        <v>817</v>
      </c>
      <c r="J127" s="54" t="s">
        <v>304</v>
      </c>
      <c r="K127" s="54" t="s">
        <v>3669</v>
      </c>
      <c r="L127" s="87">
        <v>42751</v>
      </c>
      <c r="M127" s="34" t="str">
        <f>IFERROR(INDEX(BASE,MATCH(tblPRINTERS[[#This Row],[CASE ID]],BASE_CASOS,0),MATCH(tblPRINTERS[[#Headers],[tratativa]],BASE_CAB,0)),"Retornar com prioridade")</f>
        <v>Responder pesquisa</v>
      </c>
      <c r="N127" s="34" t="str">
        <f>IFERROR(INDEX(BASE,MATCH(tblPRINTERS[[#This Row],[CASE ID]],BASE_CASOS,0),MATCH(tblPRINTERS[[#Headers],[Observação]],BASE_CAB,0)),"-")</f>
        <v>Nota 9/10</v>
      </c>
      <c r="O127" s="34" t="str">
        <f>IFERROR(INDEX(BASE,MATCH(tblPRINTERS[[#This Row],[CASE ID]],BASE_CASOS,0),MATCH(tblPRINTERS[[#Headers],[Observação Calback]],BASE_CAB,0)),"-")</f>
        <v>ira responder</v>
      </c>
      <c r="P127" s="42" t="str">
        <f>IF(ISERROR(INDEX(QUALIDADE,MATCH(tblPRINTERS[[#This Row],[CASE ID]],PROTOCOLO_PESQUISAS,0),MATCH("Return Time",QUALIDADE_CAB,0)))=FALSE,INDEX(QUALIDADE,MATCH(tblPRINTERS[[#This Row],[CASE ID]],PROTOCOLO_PESQUISAS,0),MATCH("Return Time",QUALIDADE_CAB,0)),"")</f>
        <v/>
      </c>
      <c r="Q127" s="34" t="str">
        <f>IF(tblPRINTERS[[#This Row],[DATA | PESQUISA RECEBIDA]]="","",PROPER(TEXT(tblPRINTERS[[#This Row],[DATA | PESQUISA RECEBIDA]],"DDDD")))</f>
        <v/>
      </c>
    </row>
    <row r="128" spans="1:17" hidden="1">
      <c r="A128" s="54">
        <v>3035715394</v>
      </c>
      <c r="B128" s="54" t="s">
        <v>500</v>
      </c>
      <c r="C128" s="90">
        <v>42747.737991238428</v>
      </c>
      <c r="D128" s="89">
        <v>42749.737991238428</v>
      </c>
      <c r="E128" s="54" t="s">
        <v>16</v>
      </c>
      <c r="F128" s="54" t="s">
        <v>16</v>
      </c>
      <c r="G128" s="54" t="s">
        <v>301</v>
      </c>
      <c r="H128" s="54" t="s">
        <v>9</v>
      </c>
      <c r="I128" s="54" t="s">
        <v>817</v>
      </c>
      <c r="J128" s="54" t="s">
        <v>304</v>
      </c>
      <c r="K128" s="54" t="s">
        <v>840</v>
      </c>
      <c r="L128" s="87">
        <v>42751</v>
      </c>
      <c r="M128" s="34" t="str">
        <f>IFERROR(INDEX(BASE,MATCH(tblPRINTERS[[#This Row],[CASE ID]],BASE_CASOS,0),MATCH(tblPRINTERS[[#Headers],[tratativa]],BASE_CAB,0)),"Retornar com prioridade")</f>
        <v>Responder pesquisa</v>
      </c>
      <c r="N128" s="34" t="str">
        <f>IFERROR(INDEX(BASE,MATCH(tblPRINTERS[[#This Row],[CASE ID]],BASE_CASOS,0),MATCH(tblPRINTERS[[#Headers],[Observação]],BASE_CAB,0)),"-")</f>
        <v>Nota 9/10</v>
      </c>
      <c r="O128" s="34" t="str">
        <f>IFERROR(INDEX(BASE,MATCH(tblPRINTERS[[#This Row],[CASE ID]],BASE_CASOS,0),MATCH(tblPRINTERS[[#Headers],[Observação Calback]],BASE_CAB,0)),"-")</f>
        <v>ira responder</v>
      </c>
      <c r="P128" s="42" t="str">
        <f>IF(ISERROR(INDEX(QUALIDADE,MATCH(tblPRINTERS[[#This Row],[CASE ID]],PROTOCOLO_PESQUISAS,0),MATCH("Return Time",QUALIDADE_CAB,0)))=FALSE,INDEX(QUALIDADE,MATCH(tblPRINTERS[[#This Row],[CASE ID]],PROTOCOLO_PESQUISAS,0),MATCH("Return Time",QUALIDADE_CAB,0)),"")</f>
        <v/>
      </c>
      <c r="Q128" s="34" t="str">
        <f>IF(tblPRINTERS[[#This Row],[DATA | PESQUISA RECEBIDA]]="","",PROPER(TEXT(tblPRINTERS[[#This Row],[DATA | PESQUISA RECEBIDA]],"DDDD")))</f>
        <v/>
      </c>
    </row>
    <row r="129" spans="1:17" hidden="1">
      <c r="A129" s="54">
        <v>3035718430</v>
      </c>
      <c r="B129" s="54" t="s">
        <v>500</v>
      </c>
      <c r="C129" s="90">
        <v>42747.737991238428</v>
      </c>
      <c r="D129" s="89">
        <v>42749.737991238428</v>
      </c>
      <c r="E129" s="54" t="s">
        <v>32</v>
      </c>
      <c r="F129" s="54" t="s">
        <v>32</v>
      </c>
      <c r="G129" s="54" t="s">
        <v>301</v>
      </c>
      <c r="H129" s="54" t="s">
        <v>31</v>
      </c>
      <c r="I129" s="54" t="s">
        <v>817</v>
      </c>
      <c r="J129" s="54" t="s">
        <v>303</v>
      </c>
      <c r="K129" s="54" t="s">
        <v>305</v>
      </c>
      <c r="L129" s="87">
        <v>42753</v>
      </c>
      <c r="M129" s="34" t="str">
        <f>IFERROR(INDEX(BASE,MATCH(tblPRINTERS[[#This Row],[CASE ID]],BASE_CASOS,0),MATCH(tblPRINTERS[[#Headers],[tratativa]],BASE_CAB,0)),"Retornar com prioridade")</f>
        <v>Sem contato</v>
      </c>
      <c r="N129" s="34" t="str">
        <f>IFERROR(INDEX(BASE,MATCH(tblPRINTERS[[#This Row],[CASE ID]],BASE_CASOS,0),MATCH(tblPRINTERS[[#Headers],[Observação]],BASE_CAB,0)),"-")</f>
        <v>Sem contato (Só chama, Cx postal, Ocupado)</v>
      </c>
      <c r="O129" s="34" t="str">
        <f>IFERROR(INDEX(BASE,MATCH(tblPRINTERS[[#This Row],[CASE ID]],BASE_CASOS,0),MATCH(tblPRINTERS[[#Headers],[Observação Calback]],BASE_CAB,0)),"-")</f>
        <v>Os 2 telefones só chamam</v>
      </c>
      <c r="P129" s="42" t="str">
        <f>IF(ISERROR(INDEX(QUALIDADE,MATCH(tblPRINTERS[[#This Row],[CASE ID]],PROTOCOLO_PESQUISAS,0),MATCH("Return Time",QUALIDADE_CAB,0)))=FALSE,INDEX(QUALIDADE,MATCH(tblPRINTERS[[#This Row],[CASE ID]],PROTOCOLO_PESQUISAS,0),MATCH("Return Time",QUALIDADE_CAB,0)),"")</f>
        <v/>
      </c>
      <c r="Q129" s="34" t="str">
        <f>IF(tblPRINTERS[[#This Row],[DATA | PESQUISA RECEBIDA]]="","",PROPER(TEXT(tblPRINTERS[[#This Row],[DATA | PESQUISA RECEBIDA]],"DDDD")))</f>
        <v/>
      </c>
    </row>
    <row r="130" spans="1:17" hidden="1">
      <c r="A130" s="54">
        <v>3035543458</v>
      </c>
      <c r="B130" s="54" t="s">
        <v>500</v>
      </c>
      <c r="C130" s="90">
        <v>42747.737991238428</v>
      </c>
      <c r="D130" s="89">
        <v>42749.737991238428</v>
      </c>
      <c r="E130" s="54" t="s">
        <v>12</v>
      </c>
      <c r="F130" s="54" t="s">
        <v>19</v>
      </c>
      <c r="G130" s="54" t="s">
        <v>302</v>
      </c>
      <c r="H130" s="54" t="s">
        <v>9</v>
      </c>
      <c r="L130" s="87"/>
      <c r="M130" s="34" t="str">
        <f>IFERROR(INDEX(BASE,MATCH(tblPRINTERS[[#This Row],[CASE ID]],BASE_CASOS,0),MATCH(tblPRINTERS[[#Headers],[tratativa]],BASE_CAB,0)),"Retornar com prioridade")</f>
        <v>TCO</v>
      </c>
      <c r="N130" s="34" t="str">
        <f>IFERROR(INDEX(BASE,MATCH(tblPRINTERS[[#This Row],[CASE ID]],BASE_CASOS,0),MATCH(tblPRINTERS[[#Headers],[Observação]],BASE_CAB,0)),"-")</f>
        <v>Complaint / ECR</v>
      </c>
      <c r="O130" s="34" t="str">
        <f>IFERROR(INDEX(BASE,MATCH(tblPRINTERS[[#This Row],[CASE ID]],BASE_CASOS,0),MATCH(tblPRINTERS[[#Headers],[Observação Calback]],BASE_CAB,0)),"-")</f>
        <v>tco</v>
      </c>
      <c r="P130" s="42" t="str">
        <f>IF(ISERROR(INDEX(QUALIDADE,MATCH(tblPRINTERS[[#This Row],[CASE ID]],PROTOCOLO_PESQUISAS,0),MATCH("Return Time",QUALIDADE_CAB,0)))=FALSE,INDEX(QUALIDADE,MATCH(tblPRINTERS[[#This Row],[CASE ID]],PROTOCOLO_PESQUISAS,0),MATCH("Return Time",QUALIDADE_CAB,0)),"")</f>
        <v/>
      </c>
      <c r="Q130" s="34" t="str">
        <f>IF(tblPRINTERS[[#This Row],[DATA | PESQUISA RECEBIDA]]="","",PROPER(TEXT(tblPRINTERS[[#This Row],[DATA | PESQUISA RECEBIDA]],"DDDD")))</f>
        <v/>
      </c>
    </row>
    <row r="131" spans="1:17" hidden="1">
      <c r="A131" s="54">
        <v>3035361582</v>
      </c>
      <c r="B131" s="54" t="s">
        <v>500</v>
      </c>
      <c r="C131" s="90">
        <v>42747.737991238428</v>
      </c>
      <c r="D131" s="89">
        <v>42749.737991238428</v>
      </c>
      <c r="E131" s="54" t="s">
        <v>12</v>
      </c>
      <c r="F131" s="54" t="s">
        <v>19</v>
      </c>
      <c r="G131" s="54" t="s">
        <v>302</v>
      </c>
      <c r="H131" s="54" t="s">
        <v>9</v>
      </c>
      <c r="I131" s="54" t="s">
        <v>817</v>
      </c>
      <c r="J131" s="54" t="s">
        <v>303</v>
      </c>
      <c r="K131" s="54" t="s">
        <v>305</v>
      </c>
      <c r="L131" s="87">
        <v>42753</v>
      </c>
      <c r="M131" s="34" t="str">
        <f>IFERROR(INDEX(BASE,MATCH(tblPRINTERS[[#This Row],[CASE ID]],BASE_CASOS,0),MATCH(tblPRINTERS[[#Headers],[tratativa]],BASE_CAB,0)),"Retornar com prioridade")</f>
        <v>Sem contato</v>
      </c>
      <c r="N131" s="34" t="str">
        <f>IFERROR(INDEX(BASE,MATCH(tblPRINTERS[[#This Row],[CASE ID]],BASE_CASOS,0),MATCH(tblPRINTERS[[#Headers],[Observação]],BASE_CAB,0)),"-")</f>
        <v>Sem contato (Só chama, Cx postal, Ocupado)</v>
      </c>
      <c r="O131" s="34" t="str">
        <f>IFERROR(INDEX(BASE,MATCH(tblPRINTERS[[#This Row],[CASE ID]],BASE_CASOS,0),MATCH(tblPRINTERS[[#Headers],[Observação Calback]],BASE_CAB,0)),"-")</f>
        <v>Somente 1 telefone</v>
      </c>
      <c r="P131" s="42" t="str">
        <f>IF(ISERROR(INDEX(QUALIDADE,MATCH(tblPRINTERS[[#This Row],[CASE ID]],PROTOCOLO_PESQUISAS,0),MATCH("Return Time",QUALIDADE_CAB,0)))=FALSE,INDEX(QUALIDADE,MATCH(tblPRINTERS[[#This Row],[CASE ID]],PROTOCOLO_PESQUISAS,0),MATCH("Return Time",QUALIDADE_CAB,0)),"")</f>
        <v/>
      </c>
      <c r="Q131" s="34" t="str">
        <f>IF(tblPRINTERS[[#This Row],[DATA | PESQUISA RECEBIDA]]="","",PROPER(TEXT(tblPRINTERS[[#This Row],[DATA | PESQUISA RECEBIDA]],"DDDD")))</f>
        <v/>
      </c>
    </row>
    <row r="132" spans="1:17" hidden="1">
      <c r="A132" s="54">
        <v>3035725128</v>
      </c>
      <c r="B132" s="54" t="s">
        <v>500</v>
      </c>
      <c r="C132" s="90">
        <v>42747.737991238428</v>
      </c>
      <c r="D132" s="89">
        <v>42749.737991238428</v>
      </c>
      <c r="E132" s="54" t="s">
        <v>1362</v>
      </c>
      <c r="F132" s="54" t="s">
        <v>1362</v>
      </c>
      <c r="G132" s="54" t="s">
        <v>301</v>
      </c>
      <c r="H132" s="54" t="s">
        <v>39</v>
      </c>
      <c r="I132" s="54" t="s">
        <v>817</v>
      </c>
      <c r="J132" s="54" t="s">
        <v>303</v>
      </c>
      <c r="K132" s="54" t="s">
        <v>305</v>
      </c>
      <c r="L132" s="87">
        <v>42751</v>
      </c>
      <c r="M132" s="34" t="str">
        <f>IFERROR(INDEX(BASE,MATCH(tblPRINTERS[[#This Row],[CASE ID]],BASE_CASOS,0),MATCH(tblPRINTERS[[#Headers],[tratativa]],BASE_CAB,0)),"Retornar com prioridade")</f>
        <v>Responder pesquisa</v>
      </c>
      <c r="N132" s="34" t="str">
        <f>IFERROR(INDEX(BASE,MATCH(tblPRINTERS[[#This Row],[CASE ID]],BASE_CASOS,0),MATCH(tblPRINTERS[[#Headers],[Observação]],BASE_CAB,0)),"-")</f>
        <v>Nota 9/10</v>
      </c>
      <c r="O132" s="34" t="str">
        <f>IFERROR(INDEX(BASE,MATCH(tblPRINTERS[[#This Row],[CASE ID]],BASE_CASOS,0),MATCH(tblPRINTERS[[#Headers],[Observação Calback]],BASE_CAB,0)),"-")</f>
        <v>ira responder</v>
      </c>
      <c r="P132" s="42" t="str">
        <f>IF(ISERROR(INDEX(QUALIDADE,MATCH(tblPRINTERS[[#This Row],[CASE ID]],PROTOCOLO_PESQUISAS,0),MATCH("Return Time",QUALIDADE_CAB,0)))=FALSE,INDEX(QUALIDADE,MATCH(tblPRINTERS[[#This Row],[CASE ID]],PROTOCOLO_PESQUISAS,0),MATCH("Return Time",QUALIDADE_CAB,0)),"")</f>
        <v/>
      </c>
      <c r="Q132" s="34" t="str">
        <f>IF(tblPRINTERS[[#This Row],[DATA | PESQUISA RECEBIDA]]="","",PROPER(TEXT(tblPRINTERS[[#This Row],[DATA | PESQUISA RECEBIDA]],"DDDD")))</f>
        <v/>
      </c>
    </row>
    <row r="133" spans="1:17" hidden="1">
      <c r="A133" s="54">
        <v>3035724473</v>
      </c>
      <c r="B133" s="54" t="s">
        <v>500</v>
      </c>
      <c r="C133" s="90">
        <v>42747.737991238428</v>
      </c>
      <c r="D133" s="89">
        <v>42749.737991238428</v>
      </c>
      <c r="E133" s="54" t="s">
        <v>34</v>
      </c>
      <c r="F133" s="54" t="s">
        <v>34</v>
      </c>
      <c r="G133" s="54" t="s">
        <v>301</v>
      </c>
      <c r="H133" s="54" t="s">
        <v>31</v>
      </c>
      <c r="I133" s="54" t="s">
        <v>817</v>
      </c>
      <c r="J133" s="54" t="s">
        <v>303</v>
      </c>
      <c r="K133" s="54" t="s">
        <v>305</v>
      </c>
      <c r="L133" s="87">
        <v>42751</v>
      </c>
      <c r="M133" s="34" t="str">
        <f>IFERROR(INDEX(BASE,MATCH(tblPRINTERS[[#This Row],[CASE ID]],BASE_CASOS,0),MATCH(tblPRINTERS[[#Headers],[tratativa]],BASE_CAB,0)),"Retornar com prioridade")</f>
        <v>Responder pesquisa</v>
      </c>
      <c r="N133" s="34" t="str">
        <f>IFERROR(INDEX(BASE,MATCH(tblPRINTERS[[#This Row],[CASE ID]],BASE_CASOS,0),MATCH(tblPRINTERS[[#Headers],[Observação]],BASE_CAB,0)),"-")</f>
        <v>Nota 9/10</v>
      </c>
      <c r="O133" s="34" t="str">
        <f>IFERROR(INDEX(BASE,MATCH(tblPRINTERS[[#This Row],[CASE ID]],BASE_CASOS,0),MATCH(tblPRINTERS[[#Headers],[Observação Calback]],BASE_CAB,0)),"-")</f>
        <v>ira responder</v>
      </c>
      <c r="P133" s="42" t="str">
        <f>IF(ISERROR(INDEX(QUALIDADE,MATCH(tblPRINTERS[[#This Row],[CASE ID]],PROTOCOLO_PESQUISAS,0),MATCH("Return Time",QUALIDADE_CAB,0)))=FALSE,INDEX(QUALIDADE,MATCH(tblPRINTERS[[#This Row],[CASE ID]],PROTOCOLO_PESQUISAS,0),MATCH("Return Time",QUALIDADE_CAB,0)),"")</f>
        <v/>
      </c>
      <c r="Q133" s="34" t="str">
        <f>IF(tblPRINTERS[[#This Row],[DATA | PESQUISA RECEBIDA]]="","",PROPER(TEXT(tblPRINTERS[[#This Row],[DATA | PESQUISA RECEBIDA]],"DDDD")))</f>
        <v/>
      </c>
    </row>
    <row r="134" spans="1:17" hidden="1">
      <c r="A134" s="54">
        <v>3035721541</v>
      </c>
      <c r="B134" s="54" t="s">
        <v>500</v>
      </c>
      <c r="C134" s="90">
        <v>42747.737991238428</v>
      </c>
      <c r="D134" s="89">
        <v>42749.737991238428</v>
      </c>
      <c r="E134" s="54" t="s">
        <v>14</v>
      </c>
      <c r="F134" s="54" t="s">
        <v>14</v>
      </c>
      <c r="G134" s="54" t="s">
        <v>301</v>
      </c>
      <c r="H134" s="54" t="s">
        <v>9</v>
      </c>
      <c r="I134" s="54" t="s">
        <v>817</v>
      </c>
      <c r="J134" s="54" t="s">
        <v>304</v>
      </c>
      <c r="K134" s="54" t="s">
        <v>307</v>
      </c>
      <c r="L134" s="87">
        <v>42751</v>
      </c>
      <c r="M134" s="34" t="str">
        <f>IFERROR(INDEX(BASE,MATCH(tblPRINTERS[[#This Row],[CASE ID]],BASE_CASOS,0),MATCH(tblPRINTERS[[#Headers],[tratativa]],BASE_CAB,0)),"Retornar com prioridade")</f>
        <v>Responder pesquisa</v>
      </c>
      <c r="N134" s="34" t="str">
        <f>IFERROR(INDEX(BASE,MATCH(tblPRINTERS[[#This Row],[CASE ID]],BASE_CASOS,0),MATCH(tblPRINTERS[[#Headers],[Observação]],BASE_CAB,0)),"-")</f>
        <v>Nota 9/10</v>
      </c>
      <c r="O134" s="34" t="str">
        <f>IFERROR(INDEX(BASE,MATCH(tblPRINTERS[[#This Row],[CASE ID]],BASE_CASOS,0),MATCH(tblPRINTERS[[#Headers],[Observação Calback]],BASE_CAB,0)),"-")</f>
        <v>ira responder</v>
      </c>
      <c r="P134" s="42" t="str">
        <f>IF(ISERROR(INDEX(QUALIDADE,MATCH(tblPRINTERS[[#This Row],[CASE ID]],PROTOCOLO_PESQUISAS,0),MATCH("Return Time",QUALIDADE_CAB,0)))=FALSE,INDEX(QUALIDADE,MATCH(tblPRINTERS[[#This Row],[CASE ID]],PROTOCOLO_PESQUISAS,0),MATCH("Return Time",QUALIDADE_CAB,0)),"")</f>
        <v/>
      </c>
      <c r="Q134" s="34" t="str">
        <f>IF(tblPRINTERS[[#This Row],[DATA | PESQUISA RECEBIDA]]="","",PROPER(TEXT(tblPRINTERS[[#This Row],[DATA | PESQUISA RECEBIDA]],"DDDD")))</f>
        <v/>
      </c>
    </row>
    <row r="135" spans="1:17" hidden="1">
      <c r="A135" s="54">
        <v>3035713500</v>
      </c>
      <c r="B135" s="54" t="s">
        <v>500</v>
      </c>
      <c r="C135" s="90">
        <v>42747.737991238428</v>
      </c>
      <c r="D135" s="89">
        <v>42749.737991238428</v>
      </c>
      <c r="E135" s="54" t="s">
        <v>20</v>
      </c>
      <c r="F135" s="54" t="s">
        <v>20</v>
      </c>
      <c r="G135" s="54" t="s">
        <v>301</v>
      </c>
      <c r="H135" s="54" t="s">
        <v>9</v>
      </c>
      <c r="I135" s="54" t="s">
        <v>817</v>
      </c>
      <c r="J135" s="54" t="s">
        <v>303</v>
      </c>
      <c r="K135" s="54" t="s">
        <v>305</v>
      </c>
      <c r="L135" s="87">
        <v>42752</v>
      </c>
      <c r="M135" s="34" t="str">
        <f>IFERROR(INDEX(BASE,MATCH(tblPRINTERS[[#This Row],[CASE ID]],BASE_CASOS,0),MATCH(tblPRINTERS[[#Headers],[tratativa]],BASE_CAB,0)),"Retornar com prioridade")</f>
        <v>Responder pesquisa</v>
      </c>
      <c r="N135" s="34" t="str">
        <f>IFERROR(INDEX(BASE,MATCH(tblPRINTERS[[#This Row],[CASE ID]],BASE_CASOS,0),MATCH(tblPRINTERS[[#Headers],[Observação]],BASE_CAB,0)),"-")</f>
        <v>Nota 9/10</v>
      </c>
      <c r="O135" s="34" t="str">
        <f>IFERROR(INDEX(BASE,MATCH(tblPRINTERS[[#This Row],[CASE ID]],BASE_CASOS,0),MATCH(tblPRINTERS[[#Headers],[Observação Calback]],BASE_CAB,0)),"-")</f>
        <v>ira responder</v>
      </c>
      <c r="P135" s="42" t="str">
        <f>IF(ISERROR(INDEX(QUALIDADE,MATCH(tblPRINTERS[[#This Row],[CASE ID]],PROTOCOLO_PESQUISAS,0),MATCH("Return Time",QUALIDADE_CAB,0)))=FALSE,INDEX(QUALIDADE,MATCH(tblPRINTERS[[#This Row],[CASE ID]],PROTOCOLO_PESQUISAS,0),MATCH("Return Time",QUALIDADE_CAB,0)),"")</f>
        <v/>
      </c>
      <c r="Q135" s="34" t="str">
        <f>IF(tblPRINTERS[[#This Row],[DATA | PESQUISA RECEBIDA]]="","",PROPER(TEXT(tblPRINTERS[[#This Row],[DATA | PESQUISA RECEBIDA]],"DDDD")))</f>
        <v/>
      </c>
    </row>
    <row r="136" spans="1:17" hidden="1">
      <c r="A136" s="54">
        <v>3035718129</v>
      </c>
      <c r="B136" s="54" t="s">
        <v>500</v>
      </c>
      <c r="C136" s="90">
        <v>42747.737991238428</v>
      </c>
      <c r="D136" s="89">
        <v>42749.737991238428</v>
      </c>
      <c r="E136" s="54" t="s">
        <v>36</v>
      </c>
      <c r="F136" s="54" t="s">
        <v>36</v>
      </c>
      <c r="G136" s="54" t="s">
        <v>301</v>
      </c>
      <c r="H136" s="54" t="s">
        <v>31</v>
      </c>
      <c r="I136" s="54" t="s">
        <v>817</v>
      </c>
      <c r="J136" s="54" t="s">
        <v>303</v>
      </c>
      <c r="K136" s="54" t="s">
        <v>305</v>
      </c>
      <c r="L136" s="87">
        <v>42752</v>
      </c>
      <c r="M136" s="34" t="str">
        <f>IFERROR(INDEX(BASE,MATCH(tblPRINTERS[[#This Row],[CASE ID]],BASE_CASOS,0),MATCH(tblPRINTERS[[#Headers],[tratativa]],BASE_CAB,0)),"Retornar com prioridade")</f>
        <v>Responder pesquisa</v>
      </c>
      <c r="N136" s="34" t="str">
        <f>IFERROR(INDEX(BASE,MATCH(tblPRINTERS[[#This Row],[CASE ID]],BASE_CASOS,0),MATCH(tblPRINTERS[[#Headers],[Observação]],BASE_CAB,0)),"-")</f>
        <v>Nota 9/10</v>
      </c>
      <c r="O136" s="34" t="str">
        <f>IFERROR(INDEX(BASE,MATCH(tblPRINTERS[[#This Row],[CASE ID]],BASE_CASOS,0),MATCH(tblPRINTERS[[#Headers],[Observação Calback]],BASE_CAB,0)),"-")</f>
        <v>ira responder</v>
      </c>
      <c r="P136" s="42" t="str">
        <f>IF(ISERROR(INDEX(QUALIDADE,MATCH(tblPRINTERS[[#This Row],[CASE ID]],PROTOCOLO_PESQUISAS,0),MATCH("Return Time",QUALIDADE_CAB,0)))=FALSE,INDEX(QUALIDADE,MATCH(tblPRINTERS[[#This Row],[CASE ID]],PROTOCOLO_PESQUISAS,0),MATCH("Return Time",QUALIDADE_CAB,0)),"")</f>
        <v/>
      </c>
      <c r="Q136" s="34" t="str">
        <f>IF(tblPRINTERS[[#This Row],[DATA | PESQUISA RECEBIDA]]="","",PROPER(TEXT(tblPRINTERS[[#This Row],[DATA | PESQUISA RECEBIDA]],"DDDD")))</f>
        <v/>
      </c>
    </row>
    <row r="137" spans="1:17" hidden="1">
      <c r="A137" s="54">
        <v>3035714417</v>
      </c>
      <c r="B137" s="54" t="s">
        <v>500</v>
      </c>
      <c r="C137" s="90">
        <v>42747.737991238428</v>
      </c>
      <c r="D137" s="89">
        <v>42749.737991238428</v>
      </c>
      <c r="E137" s="54" t="s">
        <v>1110</v>
      </c>
      <c r="F137" s="54" t="s">
        <v>1110</v>
      </c>
      <c r="G137" s="54" t="s">
        <v>301</v>
      </c>
      <c r="H137" s="54" t="s">
        <v>31</v>
      </c>
      <c r="I137" s="54" t="s">
        <v>817</v>
      </c>
      <c r="J137" s="54" t="s">
        <v>303</v>
      </c>
      <c r="K137" s="54" t="s">
        <v>305</v>
      </c>
      <c r="L137" s="87">
        <v>42752</v>
      </c>
      <c r="M137" s="34" t="str">
        <f>IFERROR(INDEX(BASE,MATCH(tblPRINTERS[[#This Row],[CASE ID]],BASE_CASOS,0),MATCH(tblPRINTERS[[#Headers],[tratativa]],BASE_CAB,0)),"Retornar com prioridade")</f>
        <v>Responder pesquisa</v>
      </c>
      <c r="N137" s="34" t="str">
        <f>IFERROR(INDEX(BASE,MATCH(tblPRINTERS[[#This Row],[CASE ID]],BASE_CASOS,0),MATCH(tblPRINTERS[[#Headers],[Observação]],BASE_CAB,0)),"-")</f>
        <v>Nota 9/10</v>
      </c>
      <c r="O137" s="34" t="str">
        <f>IFERROR(INDEX(BASE,MATCH(tblPRINTERS[[#This Row],[CASE ID]],BASE_CASOS,0),MATCH(tblPRINTERS[[#Headers],[Observação Calback]],BASE_CAB,0)),"-")</f>
        <v>ira responder</v>
      </c>
      <c r="P137" s="42" t="str">
        <f>IF(ISERROR(INDEX(QUALIDADE,MATCH(tblPRINTERS[[#This Row],[CASE ID]],PROTOCOLO_PESQUISAS,0),MATCH("Return Time",QUALIDADE_CAB,0)))=FALSE,INDEX(QUALIDADE,MATCH(tblPRINTERS[[#This Row],[CASE ID]],PROTOCOLO_PESQUISAS,0),MATCH("Return Time",QUALIDADE_CAB,0)),"")</f>
        <v/>
      </c>
      <c r="Q137" s="34" t="str">
        <f>IF(tblPRINTERS[[#This Row],[DATA | PESQUISA RECEBIDA]]="","",PROPER(TEXT(tblPRINTERS[[#This Row],[DATA | PESQUISA RECEBIDA]],"DDDD")))</f>
        <v/>
      </c>
    </row>
    <row r="138" spans="1:17" hidden="1">
      <c r="A138" s="54">
        <v>3035604026</v>
      </c>
      <c r="B138" s="54" t="s">
        <v>500</v>
      </c>
      <c r="C138" s="90">
        <v>42747.737991238428</v>
      </c>
      <c r="D138" s="89">
        <v>42749.737991238428</v>
      </c>
      <c r="E138" s="54" t="s">
        <v>861</v>
      </c>
      <c r="F138" s="54" t="s">
        <v>33</v>
      </c>
      <c r="G138" s="54" t="s">
        <v>302</v>
      </c>
      <c r="H138" s="54" t="s">
        <v>31</v>
      </c>
      <c r="L138" s="87"/>
      <c r="M138" s="34" t="str">
        <f>IFERROR(INDEX(BASE,MATCH(tblPRINTERS[[#This Row],[CASE ID]],BASE_CASOS,0),MATCH(tblPRINTERS[[#Headers],[tratativa]],BASE_CAB,0)),"Retornar com prioridade")</f>
        <v>Não responder pesquisa</v>
      </c>
      <c r="N138" s="34" t="str">
        <f>IFERROR(INDEX(BASE,MATCH(tblPRINTERS[[#This Row],[CASE ID]],BASE_CASOS,0),MATCH(tblPRINTERS[[#Headers],[Observação]],BASE_CAB,0)),"-")</f>
        <v>Caso não resolvido / Equipamento em reparo</v>
      </c>
      <c r="O138" s="34" t="str">
        <f>IFERROR(INDEX(BASE,MATCH(tblPRINTERS[[#This Row],[CASE ID]],BASE_CASOS,0),MATCH(tblPRINTERS[[#Headers],[Observação Calback]],BASE_CAB,0)),"-")</f>
        <v>ira retornar</v>
      </c>
      <c r="P138" s="42" t="str">
        <f>IF(ISERROR(INDEX(QUALIDADE,MATCH(tblPRINTERS[[#This Row],[CASE ID]],PROTOCOLO_PESQUISAS,0),MATCH("Return Time",QUALIDADE_CAB,0)))=FALSE,INDEX(QUALIDADE,MATCH(tblPRINTERS[[#This Row],[CASE ID]],PROTOCOLO_PESQUISAS,0),MATCH("Return Time",QUALIDADE_CAB,0)),"")</f>
        <v/>
      </c>
      <c r="Q138" s="34" t="str">
        <f>IF(tblPRINTERS[[#This Row],[DATA | PESQUISA RECEBIDA]]="","",PROPER(TEXT(tblPRINTERS[[#This Row],[DATA | PESQUISA RECEBIDA]],"DDDD")))</f>
        <v/>
      </c>
    </row>
    <row r="139" spans="1:17" hidden="1">
      <c r="A139" s="54">
        <v>3035714351</v>
      </c>
      <c r="B139" s="54" t="s">
        <v>500</v>
      </c>
      <c r="C139" s="90">
        <v>42747.737991238428</v>
      </c>
      <c r="D139" s="89">
        <v>42749.737991238428</v>
      </c>
      <c r="E139" s="54" t="s">
        <v>580</v>
      </c>
      <c r="F139" s="54" t="s">
        <v>580</v>
      </c>
      <c r="G139" s="54" t="s">
        <v>301</v>
      </c>
      <c r="H139" s="54" t="s">
        <v>9</v>
      </c>
      <c r="I139" s="54" t="s">
        <v>817</v>
      </c>
      <c r="J139" s="54" t="s">
        <v>304</v>
      </c>
      <c r="K139" s="54" t="s">
        <v>307</v>
      </c>
      <c r="L139" s="87">
        <v>42751</v>
      </c>
      <c r="M139" s="34" t="str">
        <f>IFERROR(INDEX(BASE,MATCH(tblPRINTERS[[#This Row],[CASE ID]],BASE_CASOS,0),MATCH(tblPRINTERS[[#Headers],[tratativa]],BASE_CAB,0)),"Retornar com prioridade")</f>
        <v>Responder pesquisa</v>
      </c>
      <c r="N139" s="34" t="str">
        <f>IFERROR(INDEX(BASE,MATCH(tblPRINTERS[[#This Row],[CASE ID]],BASE_CASOS,0),MATCH(tblPRINTERS[[#Headers],[Observação]],BASE_CAB,0)),"-")</f>
        <v>Nota 9/10</v>
      </c>
      <c r="O139" s="34" t="str">
        <f>IFERROR(INDEX(BASE,MATCH(tblPRINTERS[[#This Row],[CASE ID]],BASE_CASOS,0),MATCH(tblPRINTERS[[#Headers],[Observação Calback]],BASE_CAB,0)),"-")</f>
        <v>ira responder</v>
      </c>
      <c r="P139" s="42" t="str">
        <f>IF(ISERROR(INDEX(QUALIDADE,MATCH(tblPRINTERS[[#This Row],[CASE ID]],PROTOCOLO_PESQUISAS,0),MATCH("Return Time",QUALIDADE_CAB,0)))=FALSE,INDEX(QUALIDADE,MATCH(tblPRINTERS[[#This Row],[CASE ID]],PROTOCOLO_PESQUISAS,0),MATCH("Return Time",QUALIDADE_CAB,0)),"")</f>
        <v/>
      </c>
      <c r="Q139" s="34" t="str">
        <f>IF(tblPRINTERS[[#This Row],[DATA | PESQUISA RECEBIDA]]="","",PROPER(TEXT(tblPRINTERS[[#This Row],[DATA | PESQUISA RECEBIDA]],"DDDD")))</f>
        <v/>
      </c>
    </row>
    <row r="140" spans="1:17" hidden="1">
      <c r="A140" s="54">
        <v>3035724962</v>
      </c>
      <c r="B140" s="54" t="s">
        <v>500</v>
      </c>
      <c r="C140" s="90">
        <v>42747.737991238428</v>
      </c>
      <c r="D140" s="89">
        <v>42749.737991238428</v>
      </c>
      <c r="E140" s="54" t="s">
        <v>30</v>
      </c>
      <c r="F140" s="54" t="s">
        <v>30</v>
      </c>
      <c r="G140" s="54" t="s">
        <v>301</v>
      </c>
      <c r="H140" s="54" t="s">
        <v>23</v>
      </c>
      <c r="I140" s="54" t="s">
        <v>817</v>
      </c>
      <c r="J140" s="54" t="s">
        <v>303</v>
      </c>
      <c r="K140" s="54" t="s">
        <v>305</v>
      </c>
      <c r="L140" s="87">
        <v>42751</v>
      </c>
      <c r="M140" s="34" t="str">
        <f>IFERROR(INDEX(BASE,MATCH(tblPRINTERS[[#This Row],[CASE ID]],BASE_CASOS,0),MATCH(tblPRINTERS[[#Headers],[tratativa]],BASE_CAB,0)),"Retornar com prioridade")</f>
        <v>Não responder pesquisa</v>
      </c>
      <c r="N140" s="34" t="str">
        <f>IFERROR(INDEX(BASE,MATCH(tblPRINTERS[[#This Row],[CASE ID]],BASE_CASOS,0),MATCH(tblPRINTERS[[#Headers],[Observação]],BASE_CAB,0)),"-")</f>
        <v>Caso não resolvido / Equipamento em reparo</v>
      </c>
      <c r="O140" s="34" t="str">
        <f>IFERROR(INDEX(BASE,MATCH(tblPRINTERS[[#This Row],[CASE ID]],BASE_CASOS,0),MATCH(tblPRINTERS[[#Headers],[Observação Calback]],BASE_CAB,0)),"-")</f>
        <v>Vai retornar com suporte</v>
      </c>
      <c r="P140" s="42" t="str">
        <f>IF(ISERROR(INDEX(QUALIDADE,MATCH(tblPRINTERS[[#This Row],[CASE ID]],PROTOCOLO_PESQUISAS,0),MATCH("Return Time",QUALIDADE_CAB,0)))=FALSE,INDEX(QUALIDADE,MATCH(tblPRINTERS[[#This Row],[CASE ID]],PROTOCOLO_PESQUISAS,0),MATCH("Return Time",QUALIDADE_CAB,0)),"")</f>
        <v/>
      </c>
      <c r="Q140" s="34" t="str">
        <f>IF(tblPRINTERS[[#This Row],[DATA | PESQUISA RECEBIDA]]="","",PROPER(TEXT(tblPRINTERS[[#This Row],[DATA | PESQUISA RECEBIDA]],"DDDD")))</f>
        <v/>
      </c>
    </row>
    <row r="141" spans="1:17" hidden="1">
      <c r="A141" s="54">
        <v>3035682126</v>
      </c>
      <c r="B141" s="54" t="s">
        <v>500</v>
      </c>
      <c r="C141" s="90">
        <v>42747.737991238428</v>
      </c>
      <c r="D141" s="89">
        <v>42749.737991238428</v>
      </c>
      <c r="E141" s="54" t="s">
        <v>2141</v>
      </c>
      <c r="F141" s="54" t="s">
        <v>2141</v>
      </c>
      <c r="G141" s="54" t="s">
        <v>301</v>
      </c>
      <c r="H141" s="54" t="s">
        <v>273</v>
      </c>
      <c r="L141" s="87"/>
      <c r="M141" s="34" t="str">
        <f>IFERROR(INDEX(BASE,MATCH(tblPRINTERS[[#This Row],[CASE ID]],BASE_CASOS,0),MATCH(tblPRINTERS[[#Headers],[tratativa]],BASE_CAB,0)),"Retornar com prioridade")</f>
        <v>Não responder pesquisa</v>
      </c>
      <c r="N141" s="34" t="str">
        <f>IFERROR(INDEX(BASE,MATCH(tblPRINTERS[[#This Row],[CASE ID]],BASE_CASOS,0),MATCH(tblPRINTERS[[#Headers],[Observação]],BASE_CAB,0)),"-")</f>
        <v>Caso não resolvido / Equipamento em reparo</v>
      </c>
      <c r="O141" s="34" t="str">
        <f>IFERROR(INDEX(BASE,MATCH(tblPRINTERS[[#This Row],[CASE ID]],BASE_CASOS,0),MATCH(tblPRINTERS[[#Headers],[Observação Calback]],BASE_CAB,0)),"-")</f>
        <v>Vai retornar com suporte</v>
      </c>
      <c r="P141" s="42" t="str">
        <f>IF(ISERROR(INDEX(QUALIDADE,MATCH(tblPRINTERS[[#This Row],[CASE ID]],PROTOCOLO_PESQUISAS,0),MATCH("Return Time",QUALIDADE_CAB,0)))=FALSE,INDEX(QUALIDADE,MATCH(tblPRINTERS[[#This Row],[CASE ID]],PROTOCOLO_PESQUISAS,0),MATCH("Return Time",QUALIDADE_CAB,0)),"")</f>
        <v/>
      </c>
      <c r="Q141" s="34" t="str">
        <f>IF(tblPRINTERS[[#This Row],[DATA | PESQUISA RECEBIDA]]="","",PROPER(TEXT(tblPRINTERS[[#This Row],[DATA | PESQUISA RECEBIDA]],"DDDD")))</f>
        <v/>
      </c>
    </row>
    <row r="142" spans="1:17" hidden="1">
      <c r="A142" s="54">
        <v>3035726709</v>
      </c>
      <c r="B142" s="54" t="s">
        <v>500</v>
      </c>
      <c r="C142" s="90">
        <v>42747.737991238428</v>
      </c>
      <c r="D142" s="89">
        <v>42749.737991238428</v>
      </c>
      <c r="E142" s="54" t="s">
        <v>12</v>
      </c>
      <c r="F142" s="54" t="s">
        <v>12</v>
      </c>
      <c r="G142" s="54" t="s">
        <v>301</v>
      </c>
      <c r="H142" s="54" t="s">
        <v>9</v>
      </c>
      <c r="I142" s="54" t="s">
        <v>817</v>
      </c>
      <c r="J142" s="54" t="s">
        <v>303</v>
      </c>
      <c r="K142" s="54" t="s">
        <v>305</v>
      </c>
      <c r="L142" s="87">
        <v>42753</v>
      </c>
      <c r="M142" s="34" t="str">
        <f>IFERROR(INDEX(BASE,MATCH(tblPRINTERS[[#This Row],[CASE ID]],BASE_CASOS,0),MATCH(tblPRINTERS[[#Headers],[tratativa]],BASE_CAB,0)),"Retornar com prioridade")</f>
        <v>Sem contato</v>
      </c>
      <c r="N142" s="34" t="str">
        <f>IFERROR(INDEX(BASE,MATCH(tblPRINTERS[[#This Row],[CASE ID]],BASE_CASOS,0),MATCH(tblPRINTERS[[#Headers],[Observação]],BASE_CAB,0)),"-")</f>
        <v>Sem contato (Só chama, Cx postal, Ocupado)</v>
      </c>
      <c r="O142" s="34" t="str">
        <f>IFERROR(INDEX(BASE,MATCH(tblPRINTERS[[#This Row],[CASE ID]],BASE_CASOS,0),MATCH(tblPRINTERS[[#Headers],[Observação Calback]],BASE_CAB,0)),"-")</f>
        <v>Somente 1 telefone</v>
      </c>
      <c r="P142" s="42" t="str">
        <f>IF(ISERROR(INDEX(QUALIDADE,MATCH(tblPRINTERS[[#This Row],[CASE ID]],PROTOCOLO_PESQUISAS,0),MATCH("Return Time",QUALIDADE_CAB,0)))=FALSE,INDEX(QUALIDADE,MATCH(tblPRINTERS[[#This Row],[CASE ID]],PROTOCOLO_PESQUISAS,0),MATCH("Return Time",QUALIDADE_CAB,0)),"")</f>
        <v/>
      </c>
      <c r="Q142" s="34" t="str">
        <f>IF(tblPRINTERS[[#This Row],[DATA | PESQUISA RECEBIDA]]="","",PROPER(TEXT(tblPRINTERS[[#This Row],[DATA | PESQUISA RECEBIDA]],"DDDD")))</f>
        <v/>
      </c>
    </row>
    <row r="143" spans="1:17" hidden="1">
      <c r="A143" s="54">
        <v>3035717565</v>
      </c>
      <c r="B143" s="54" t="s">
        <v>500</v>
      </c>
      <c r="C143" s="90">
        <v>42747.737991238428</v>
      </c>
      <c r="D143" s="89">
        <v>42749.737991238428</v>
      </c>
      <c r="E143" s="54" t="s">
        <v>25</v>
      </c>
      <c r="F143" s="54" t="s">
        <v>25</v>
      </c>
      <c r="G143" s="54" t="s">
        <v>301</v>
      </c>
      <c r="H143" s="54" t="s">
        <v>23</v>
      </c>
      <c r="I143" s="54" t="s">
        <v>817</v>
      </c>
      <c r="J143" s="54" t="s">
        <v>303</v>
      </c>
      <c r="K143" s="54" t="s">
        <v>305</v>
      </c>
      <c r="L143" s="87">
        <v>42752</v>
      </c>
      <c r="M143" s="34" t="str">
        <f>IFERROR(INDEX(BASE,MATCH(tblPRINTERS[[#This Row],[CASE ID]],BASE_CASOS,0),MATCH(tblPRINTERS[[#Headers],[tratativa]],BASE_CAB,0)),"Retornar com prioridade")</f>
        <v>Responder pesquisa</v>
      </c>
      <c r="N143" s="34" t="str">
        <f>IFERROR(INDEX(BASE,MATCH(tblPRINTERS[[#This Row],[CASE ID]],BASE_CASOS,0),MATCH(tblPRINTERS[[#Headers],[Observação]],BASE_CAB,0)),"-")</f>
        <v>Nota 9/10</v>
      </c>
      <c r="O143" s="34" t="str">
        <f>IFERROR(INDEX(BASE,MATCH(tblPRINTERS[[#This Row],[CASE ID]],BASE_CASOS,0),MATCH(tblPRINTERS[[#Headers],[Observação Calback]],BASE_CAB,0)),"-")</f>
        <v>ira responder</v>
      </c>
      <c r="P143" s="42" t="str">
        <f>IF(ISERROR(INDEX(QUALIDADE,MATCH(tblPRINTERS[[#This Row],[CASE ID]],PROTOCOLO_PESQUISAS,0),MATCH("Return Time",QUALIDADE_CAB,0)))=FALSE,INDEX(QUALIDADE,MATCH(tblPRINTERS[[#This Row],[CASE ID]],PROTOCOLO_PESQUISAS,0),MATCH("Return Time",QUALIDADE_CAB,0)),"")</f>
        <v/>
      </c>
      <c r="Q143" s="34" t="str">
        <f>IF(tblPRINTERS[[#This Row],[DATA | PESQUISA RECEBIDA]]="","",PROPER(TEXT(tblPRINTERS[[#This Row],[DATA | PESQUISA RECEBIDA]],"DDDD")))</f>
        <v/>
      </c>
    </row>
    <row r="144" spans="1:17" hidden="1">
      <c r="A144" s="54">
        <v>3035727996</v>
      </c>
      <c r="B144" s="54" t="s">
        <v>500</v>
      </c>
      <c r="C144" s="90">
        <v>42747.737991238428</v>
      </c>
      <c r="D144" s="89">
        <v>42749.737991238428</v>
      </c>
      <c r="E144" s="54" t="s">
        <v>30</v>
      </c>
      <c r="F144" s="54" t="s">
        <v>36</v>
      </c>
      <c r="G144" s="54" t="s">
        <v>302</v>
      </c>
      <c r="H144" s="54" t="s">
        <v>23</v>
      </c>
      <c r="I144" s="54" t="s">
        <v>817</v>
      </c>
      <c r="J144" s="54" t="s">
        <v>303</v>
      </c>
      <c r="K144" s="54" t="s">
        <v>305</v>
      </c>
      <c r="L144" s="87">
        <v>42753</v>
      </c>
      <c r="M144" s="34" t="str">
        <f>IFERROR(INDEX(BASE,MATCH(tblPRINTERS[[#This Row],[CASE ID]],BASE_CASOS,0),MATCH(tblPRINTERS[[#Headers],[tratativa]],BASE_CAB,0)),"Retornar com prioridade")</f>
        <v>Sem contato</v>
      </c>
      <c r="N144" s="34" t="str">
        <f>IFERROR(INDEX(BASE,MATCH(tblPRINTERS[[#This Row],[CASE ID]],BASE_CASOS,0),MATCH(tblPRINTERS[[#Headers],[Observação]],BASE_CAB,0)),"-")</f>
        <v>Sem contato (Só chama, Cx postal, Ocupado)</v>
      </c>
      <c r="O144" s="34" t="str">
        <f>IFERROR(INDEX(BASE,MATCH(tblPRINTERS[[#This Row],[CASE ID]],BASE_CASOS,0),MATCH(tblPRINTERS[[#Headers],[Observação Calback]],BASE_CAB,0)),"-")</f>
        <v>so chama</v>
      </c>
      <c r="P144" s="42" t="str">
        <f>IF(ISERROR(INDEX(QUALIDADE,MATCH(tblPRINTERS[[#This Row],[CASE ID]],PROTOCOLO_PESQUISAS,0),MATCH("Return Time",QUALIDADE_CAB,0)))=FALSE,INDEX(QUALIDADE,MATCH(tblPRINTERS[[#This Row],[CASE ID]],PROTOCOLO_PESQUISAS,0),MATCH("Return Time",QUALIDADE_CAB,0)),"")</f>
        <v/>
      </c>
      <c r="Q144" s="34" t="str">
        <f>IF(tblPRINTERS[[#This Row],[DATA | PESQUISA RECEBIDA]]="","",PROPER(TEXT(tblPRINTERS[[#This Row],[DATA | PESQUISA RECEBIDA]],"DDDD")))</f>
        <v/>
      </c>
    </row>
    <row r="145" spans="1:17" hidden="1">
      <c r="A145" s="54">
        <v>3035643894</v>
      </c>
      <c r="B145" s="54" t="s">
        <v>500</v>
      </c>
      <c r="C145" s="90">
        <v>42747.737991238428</v>
      </c>
      <c r="D145" s="89">
        <v>42749.737991238428</v>
      </c>
      <c r="E145" s="54" t="s">
        <v>2692</v>
      </c>
      <c r="F145" s="54" t="s">
        <v>33</v>
      </c>
      <c r="G145" s="54" t="s">
        <v>302</v>
      </c>
      <c r="H145" s="54" t="s">
        <v>256</v>
      </c>
      <c r="I145" s="54" t="s">
        <v>817</v>
      </c>
      <c r="J145" s="54" t="s">
        <v>304</v>
      </c>
      <c r="K145" s="54" t="s">
        <v>307</v>
      </c>
      <c r="L145" s="87">
        <v>42751</v>
      </c>
      <c r="M145" s="34" t="str">
        <f>IFERROR(INDEX(BASE,MATCH(tblPRINTERS[[#This Row],[CASE ID]],BASE_CASOS,0),MATCH(tblPRINTERS[[#Headers],[tratativa]],BASE_CAB,0)),"Retornar com prioridade")</f>
        <v>Sem contato</v>
      </c>
      <c r="N145" s="34" t="str">
        <f>IFERROR(INDEX(BASE,MATCH(tblPRINTERS[[#This Row],[CASE ID]],BASE_CASOS,0),MATCH(tblPRINTERS[[#Headers],[Observação]],BASE_CAB,0)),"-")</f>
        <v>Sem contato (Só chama, Cx postal, Ocupado)</v>
      </c>
      <c r="O145" s="34" t="str">
        <f>IFERROR(INDEX(BASE,MATCH(tblPRINTERS[[#This Row],[CASE ID]],BASE_CASOS,0),MATCH(tblPRINTERS[[#Headers],[Observação Calback]],BASE_CAB,0)),"-")</f>
        <v>Disponivel 17:00 H</v>
      </c>
      <c r="P145" s="42" t="str">
        <f>IF(ISERROR(INDEX(QUALIDADE,MATCH(tblPRINTERS[[#This Row],[CASE ID]],PROTOCOLO_PESQUISAS,0),MATCH("Return Time",QUALIDADE_CAB,0)))=FALSE,INDEX(QUALIDADE,MATCH(tblPRINTERS[[#This Row],[CASE ID]],PROTOCOLO_PESQUISAS,0),MATCH("Return Time",QUALIDADE_CAB,0)),"")</f>
        <v/>
      </c>
      <c r="Q145" s="34" t="str">
        <f>IF(tblPRINTERS[[#This Row],[DATA | PESQUISA RECEBIDA]]="","",PROPER(TEXT(tblPRINTERS[[#This Row],[DATA | PESQUISA RECEBIDA]],"DDDD")))</f>
        <v/>
      </c>
    </row>
    <row r="146" spans="1:17" hidden="1">
      <c r="A146" s="54">
        <v>3035542595</v>
      </c>
      <c r="B146" s="54" t="s">
        <v>500</v>
      </c>
      <c r="C146" s="90">
        <v>42747.737991238428</v>
      </c>
      <c r="D146" s="89">
        <v>42749.737991238428</v>
      </c>
      <c r="E146" s="54" t="s">
        <v>53</v>
      </c>
      <c r="F146" s="54" t="s">
        <v>21</v>
      </c>
      <c r="G146" s="54" t="s">
        <v>302</v>
      </c>
      <c r="H146" s="54" t="s">
        <v>273</v>
      </c>
      <c r="I146" s="54" t="s">
        <v>817</v>
      </c>
      <c r="J146" s="54" t="s">
        <v>304</v>
      </c>
      <c r="K146" s="54" t="s">
        <v>840</v>
      </c>
      <c r="L146" s="87">
        <v>42751</v>
      </c>
      <c r="M146" s="34" t="str">
        <f>IFERROR(INDEX(BASE,MATCH(tblPRINTERS[[#This Row],[CASE ID]],BASE_CASOS,0),MATCH(tblPRINTERS[[#Headers],[tratativa]],BASE_CAB,0)),"Retornar com prioridade")</f>
        <v>Não responder pesquisa</v>
      </c>
      <c r="N146" s="34" t="str">
        <f>IFERROR(INDEX(BASE,MATCH(tblPRINTERS[[#This Row],[CASE ID]],BASE_CASOS,0),MATCH(tblPRINTERS[[#Headers],[Observação]],BASE_CAB,0)),"-")</f>
        <v>Caso não resolvido / Equipamento em reparo</v>
      </c>
      <c r="O146" s="34" t="str">
        <f>IFERROR(INDEX(BASE,MATCH(tblPRINTERS[[#This Row],[CASE ID]],BASE_CASOS,0),MATCH(tblPRINTERS[[#Headers],[Observação Calback]],BASE_CAB,0)),"-")</f>
        <v>Vai retornar com suporte</v>
      </c>
      <c r="P146" s="42" t="str">
        <f>IF(ISERROR(INDEX(QUALIDADE,MATCH(tblPRINTERS[[#This Row],[CASE ID]],PROTOCOLO_PESQUISAS,0),MATCH("Return Time",QUALIDADE_CAB,0)))=FALSE,INDEX(QUALIDADE,MATCH(tblPRINTERS[[#This Row],[CASE ID]],PROTOCOLO_PESQUISAS,0),MATCH("Return Time",QUALIDADE_CAB,0)),"")</f>
        <v/>
      </c>
      <c r="Q146" s="34" t="str">
        <f>IF(tblPRINTERS[[#This Row],[DATA | PESQUISA RECEBIDA]]="","",PROPER(TEXT(tblPRINTERS[[#This Row],[DATA | PESQUISA RECEBIDA]],"DDDD")))</f>
        <v/>
      </c>
    </row>
    <row r="147" spans="1:17" hidden="1">
      <c r="A147" s="54">
        <v>3035727347</v>
      </c>
      <c r="B147" s="54" t="s">
        <v>500</v>
      </c>
      <c r="C147" s="90">
        <v>42747.737991238428</v>
      </c>
      <c r="D147" s="89">
        <v>42749.737991238428</v>
      </c>
      <c r="E147" s="54" t="s">
        <v>1549</v>
      </c>
      <c r="F147" s="54" t="s">
        <v>1549</v>
      </c>
      <c r="G147" s="54" t="s">
        <v>301</v>
      </c>
      <c r="H147" s="54" t="s">
        <v>9</v>
      </c>
      <c r="I147" s="54" t="s">
        <v>817</v>
      </c>
      <c r="J147" s="54" t="s">
        <v>303</v>
      </c>
      <c r="K147" s="54" t="s">
        <v>305</v>
      </c>
      <c r="L147" s="87">
        <v>42753</v>
      </c>
      <c r="M147" s="34" t="str">
        <f>IFERROR(INDEX(BASE,MATCH(tblPRINTERS[[#This Row],[CASE ID]],BASE_CASOS,0),MATCH(tblPRINTERS[[#Headers],[tratativa]],BASE_CAB,0)),"Retornar com prioridade")</f>
        <v>Sem contato</v>
      </c>
      <c r="N147" s="34" t="str">
        <f>IFERROR(INDEX(BASE,MATCH(tblPRINTERS[[#This Row],[CASE ID]],BASE_CASOS,0),MATCH(tblPRINTERS[[#Headers],[Observação]],BASE_CAB,0)),"-")</f>
        <v>Sem contato (Só chama, Cx postal, Ocupado)</v>
      </c>
      <c r="O147" s="34" t="str">
        <f>IFERROR(INDEX(BASE,MATCH(tblPRINTERS[[#This Row],[CASE ID]],BASE_CASOS,0),MATCH(tblPRINTERS[[#Headers],[Observação Calback]],BASE_CAB,0)),"-")</f>
        <v>so chama</v>
      </c>
      <c r="P147" s="42" t="str">
        <f>IF(ISERROR(INDEX(QUALIDADE,MATCH(tblPRINTERS[[#This Row],[CASE ID]],PROTOCOLO_PESQUISAS,0),MATCH("Return Time",QUALIDADE_CAB,0)))=FALSE,INDEX(QUALIDADE,MATCH(tblPRINTERS[[#This Row],[CASE ID]],PROTOCOLO_PESQUISAS,0),MATCH("Return Time",QUALIDADE_CAB,0)),"")</f>
        <v/>
      </c>
      <c r="Q147" s="34" t="str">
        <f>IF(tblPRINTERS[[#This Row],[DATA | PESQUISA RECEBIDA]]="","",PROPER(TEXT(tblPRINTERS[[#This Row],[DATA | PESQUISA RECEBIDA]],"DDDD")))</f>
        <v/>
      </c>
    </row>
    <row r="148" spans="1:17" hidden="1">
      <c r="A148" s="54">
        <v>3035514890</v>
      </c>
      <c r="B148" s="54" t="s">
        <v>500</v>
      </c>
      <c r="C148" s="90">
        <v>42747.737991238428</v>
      </c>
      <c r="D148" s="89">
        <v>42749.737991238428</v>
      </c>
      <c r="E148" s="54" t="s">
        <v>3592</v>
      </c>
      <c r="F148" s="54" t="s">
        <v>3592</v>
      </c>
      <c r="G148" s="54" t="s">
        <v>301</v>
      </c>
      <c r="H148" s="54" t="s">
        <v>204</v>
      </c>
      <c r="L148" s="87"/>
      <c r="M148" s="34" t="str">
        <f>IFERROR(INDEX(BASE,MATCH(tblPRINTERS[[#This Row],[CASE ID]],BASE_CASOS,0),MATCH(tblPRINTERS[[#Headers],[tratativa]],BASE_CAB,0)),"Retornar com prioridade")</f>
        <v>Não responder pesquisa</v>
      </c>
      <c r="N148" s="34" t="str">
        <f>IFERROR(INDEX(BASE,MATCH(tblPRINTERS[[#This Row],[CASE ID]],BASE_CASOS,0),MATCH(tblPRINTERS[[#Headers],[Observação]],BASE_CAB,0)),"-")</f>
        <v>Caso não resolvido / Equipamento em reparo</v>
      </c>
      <c r="O148" s="34" t="str">
        <f>IFERROR(INDEX(BASE,MATCH(tblPRINTERS[[#This Row],[CASE ID]],BASE_CASOS,0),MATCH(tblPRINTERS[[#Headers],[Observação Calback]],BASE_CAB,0)),"-")</f>
        <v>em reparo</v>
      </c>
      <c r="P148" s="42" t="str">
        <f>IF(ISERROR(INDEX(QUALIDADE,MATCH(tblPRINTERS[[#This Row],[CASE ID]],PROTOCOLO_PESQUISAS,0),MATCH("Return Time",QUALIDADE_CAB,0)))=FALSE,INDEX(QUALIDADE,MATCH(tblPRINTERS[[#This Row],[CASE ID]],PROTOCOLO_PESQUISAS,0),MATCH("Return Time",QUALIDADE_CAB,0)),"")</f>
        <v/>
      </c>
      <c r="Q148" s="34" t="str">
        <f>IF(tblPRINTERS[[#This Row],[DATA | PESQUISA RECEBIDA]]="","",PROPER(TEXT(tblPRINTERS[[#This Row],[DATA | PESQUISA RECEBIDA]],"DDDD")))</f>
        <v/>
      </c>
    </row>
    <row r="149" spans="1:17" hidden="1">
      <c r="A149" s="54">
        <v>3035718390</v>
      </c>
      <c r="B149" s="54" t="s">
        <v>500</v>
      </c>
      <c r="C149" s="90">
        <v>42747.737991238428</v>
      </c>
      <c r="D149" s="89">
        <v>42749.737991238428</v>
      </c>
      <c r="E149" s="54" t="s">
        <v>34</v>
      </c>
      <c r="F149" s="54" t="s">
        <v>34</v>
      </c>
      <c r="G149" s="54" t="s">
        <v>301</v>
      </c>
      <c r="H149" s="54" t="s">
        <v>31</v>
      </c>
      <c r="I149" s="54" t="s">
        <v>817</v>
      </c>
      <c r="J149" s="54" t="s">
        <v>304</v>
      </c>
      <c r="K149" s="54" t="s">
        <v>307</v>
      </c>
      <c r="L149" s="87">
        <v>42752</v>
      </c>
      <c r="M149" s="34" t="str">
        <f>IFERROR(INDEX(BASE,MATCH(tblPRINTERS[[#This Row],[CASE ID]],BASE_CASOS,0),MATCH(tblPRINTERS[[#Headers],[tratativa]],BASE_CAB,0)),"Retornar com prioridade")</f>
        <v>Responder pesquisa</v>
      </c>
      <c r="N149" s="34" t="str">
        <f>IFERROR(INDEX(BASE,MATCH(tblPRINTERS[[#This Row],[CASE ID]],BASE_CASOS,0),MATCH(tblPRINTERS[[#Headers],[Observação]],BASE_CAB,0)),"-")</f>
        <v>Nota 9/10</v>
      </c>
      <c r="O149" s="34" t="str">
        <f>IFERROR(INDEX(BASE,MATCH(tblPRINTERS[[#This Row],[CASE ID]],BASE_CASOS,0),MATCH(tblPRINTERS[[#Headers],[Observação Calback]],BASE_CAB,0)),"-")</f>
        <v>ira responder</v>
      </c>
      <c r="P149" s="42" t="str">
        <f>IF(ISERROR(INDEX(QUALIDADE,MATCH(tblPRINTERS[[#This Row],[CASE ID]],PROTOCOLO_PESQUISAS,0),MATCH("Return Time",QUALIDADE_CAB,0)))=FALSE,INDEX(QUALIDADE,MATCH(tblPRINTERS[[#This Row],[CASE ID]],PROTOCOLO_PESQUISAS,0),MATCH("Return Time",QUALIDADE_CAB,0)),"")</f>
        <v/>
      </c>
      <c r="Q149" s="34" t="str">
        <f>IF(tblPRINTERS[[#This Row],[DATA | PESQUISA RECEBIDA]]="","",PROPER(TEXT(tblPRINTERS[[#This Row],[DATA | PESQUISA RECEBIDA]],"DDDD")))</f>
        <v/>
      </c>
    </row>
    <row r="150" spans="1:17" hidden="1">
      <c r="A150" s="54">
        <v>3035719213</v>
      </c>
      <c r="B150" s="54" t="s">
        <v>500</v>
      </c>
      <c r="C150" s="90">
        <v>42747.737991238428</v>
      </c>
      <c r="D150" s="89">
        <v>42749.737991238428</v>
      </c>
      <c r="E150" s="54" t="s">
        <v>28</v>
      </c>
      <c r="F150" s="54" t="s">
        <v>28</v>
      </c>
      <c r="G150" s="54" t="s">
        <v>301</v>
      </c>
      <c r="H150" s="54" t="s">
        <v>9</v>
      </c>
      <c r="I150" s="54" t="s">
        <v>817</v>
      </c>
      <c r="J150" s="54" t="s">
        <v>303</v>
      </c>
      <c r="K150" s="54" t="s">
        <v>305</v>
      </c>
      <c r="L150" s="87">
        <v>42752</v>
      </c>
      <c r="M150" s="34" t="str">
        <f>IFERROR(INDEX(BASE,MATCH(tblPRINTERS[[#This Row],[CASE ID]],BASE_CASOS,0),MATCH(tblPRINTERS[[#Headers],[tratativa]],BASE_CAB,0)),"Retornar com prioridade")</f>
        <v>Responder pesquisa</v>
      </c>
      <c r="N150" s="34" t="str">
        <f>IFERROR(INDEX(BASE,MATCH(tblPRINTERS[[#This Row],[CASE ID]],BASE_CASOS,0),MATCH(tblPRINTERS[[#Headers],[Observação]],BASE_CAB,0)),"-")</f>
        <v>Nota 9/10</v>
      </c>
      <c r="O150" s="34" t="str">
        <f>IFERROR(INDEX(BASE,MATCH(tblPRINTERS[[#This Row],[CASE ID]],BASE_CASOS,0),MATCH(tblPRINTERS[[#Headers],[Observação Calback]],BASE_CAB,0)),"-")</f>
        <v>ira responder</v>
      </c>
      <c r="P150" s="42" t="str">
        <f>IF(ISERROR(INDEX(QUALIDADE,MATCH(tblPRINTERS[[#This Row],[CASE ID]],PROTOCOLO_PESQUISAS,0),MATCH("Return Time",QUALIDADE_CAB,0)))=FALSE,INDEX(QUALIDADE,MATCH(tblPRINTERS[[#This Row],[CASE ID]],PROTOCOLO_PESQUISAS,0),MATCH("Return Time",QUALIDADE_CAB,0)),"")</f>
        <v/>
      </c>
      <c r="Q150" s="34" t="str">
        <f>IF(tblPRINTERS[[#This Row],[DATA | PESQUISA RECEBIDA]]="","",PROPER(TEXT(tblPRINTERS[[#This Row],[DATA | PESQUISA RECEBIDA]],"DDDD")))</f>
        <v/>
      </c>
    </row>
    <row r="151" spans="1:17" hidden="1">
      <c r="A151" s="54">
        <v>3035725566</v>
      </c>
      <c r="B151" s="54" t="s">
        <v>500</v>
      </c>
      <c r="C151" s="90">
        <v>42747.737991238428</v>
      </c>
      <c r="D151" s="89">
        <v>42749.737991238428</v>
      </c>
      <c r="E151" s="54" t="s">
        <v>14</v>
      </c>
      <c r="F151" s="54" t="s">
        <v>14</v>
      </c>
      <c r="G151" s="54" t="s">
        <v>301</v>
      </c>
      <c r="H151" s="54" t="s">
        <v>9</v>
      </c>
      <c r="I151" s="54" t="s">
        <v>817</v>
      </c>
      <c r="J151" s="54" t="s">
        <v>304</v>
      </c>
      <c r="K151" s="54" t="s">
        <v>307</v>
      </c>
      <c r="L151" s="87">
        <v>42751</v>
      </c>
      <c r="M151" s="34" t="str">
        <f>IFERROR(INDEX(BASE,MATCH(tblPRINTERS[[#This Row],[CASE ID]],BASE_CASOS,0),MATCH(tblPRINTERS[[#Headers],[tratativa]],BASE_CAB,0)),"Retornar com prioridade")</f>
        <v>Responder pesquisa</v>
      </c>
      <c r="N151" s="34" t="str">
        <f>IFERROR(INDEX(BASE,MATCH(tblPRINTERS[[#This Row],[CASE ID]],BASE_CASOS,0),MATCH(tblPRINTERS[[#Headers],[Observação]],BASE_CAB,0)),"-")</f>
        <v>Nota 9/10</v>
      </c>
      <c r="O151" s="34" t="str">
        <f>IFERROR(INDEX(BASE,MATCH(tblPRINTERS[[#This Row],[CASE ID]],BASE_CASOS,0),MATCH(tblPRINTERS[[#Headers],[Observação Calback]],BASE_CAB,0)),"-")</f>
        <v>ira responder</v>
      </c>
      <c r="P151" s="42" t="str">
        <f>IF(ISERROR(INDEX(QUALIDADE,MATCH(tblPRINTERS[[#This Row],[CASE ID]],PROTOCOLO_PESQUISAS,0),MATCH("Return Time",QUALIDADE_CAB,0)))=FALSE,INDEX(QUALIDADE,MATCH(tblPRINTERS[[#This Row],[CASE ID]],PROTOCOLO_PESQUISAS,0),MATCH("Return Time",QUALIDADE_CAB,0)),"")</f>
        <v/>
      </c>
      <c r="Q151" s="34" t="str">
        <f>IF(tblPRINTERS[[#This Row],[DATA | PESQUISA RECEBIDA]]="","",PROPER(TEXT(tblPRINTERS[[#This Row],[DATA | PESQUISA RECEBIDA]],"DDDD")))</f>
        <v/>
      </c>
    </row>
    <row r="152" spans="1:17" hidden="1">
      <c r="A152" s="54">
        <v>3035693640</v>
      </c>
      <c r="B152" s="54" t="s">
        <v>500</v>
      </c>
      <c r="C152" s="90">
        <v>42746.738471724537</v>
      </c>
      <c r="D152" s="89">
        <v>42748.738471724537</v>
      </c>
      <c r="E152" s="54" t="s">
        <v>591</v>
      </c>
      <c r="F152" s="54" t="s">
        <v>591</v>
      </c>
      <c r="G152" s="54" t="s">
        <v>301</v>
      </c>
      <c r="H152" s="54" t="s">
        <v>23</v>
      </c>
      <c r="I152" s="54" t="s">
        <v>817</v>
      </c>
      <c r="J152" s="54" t="s">
        <v>304</v>
      </c>
      <c r="K152" s="54" t="s">
        <v>307</v>
      </c>
      <c r="L152" s="87">
        <v>42751</v>
      </c>
      <c r="M152" s="34" t="str">
        <f>IFERROR(INDEX(BASE,MATCH(tblPRINTERS[[#This Row],[CASE ID]],BASE_CASOS,0),MATCH(tblPRINTERS[[#Headers],[tratativa]],BASE_CAB,0)),"Retornar com prioridade")</f>
        <v>Responder pesquisa</v>
      </c>
      <c r="N152" s="34" t="str">
        <f>IFERROR(INDEX(BASE,MATCH(tblPRINTERS[[#This Row],[CASE ID]],BASE_CASOS,0),MATCH(tblPRINTERS[[#Headers],[Observação]],BASE_CAB,0)),"-")</f>
        <v>Nota 9/10</v>
      </c>
      <c r="O152" s="34" t="str">
        <f>IFERROR(INDEX(BASE,MATCH(tblPRINTERS[[#This Row],[CASE ID]],BASE_CASOS,0),MATCH(tblPRINTERS[[#Headers],[Observação Calback]],BASE_CAB,0)),"-")</f>
        <v>ira responder</v>
      </c>
      <c r="P152" s="42" t="str">
        <f>IF(ISERROR(INDEX(QUALIDADE,MATCH(tblPRINTERS[[#This Row],[CASE ID]],PROTOCOLO_PESQUISAS,0),MATCH("Return Time",QUALIDADE_CAB,0)))=FALSE,INDEX(QUALIDADE,MATCH(tblPRINTERS[[#This Row],[CASE ID]],PROTOCOLO_PESQUISAS,0),MATCH("Return Time",QUALIDADE_CAB,0)),"")</f>
        <v/>
      </c>
      <c r="Q152" s="34" t="str">
        <f>IF(tblPRINTERS[[#This Row],[DATA | PESQUISA RECEBIDA]]="","",PROPER(TEXT(tblPRINTERS[[#This Row],[DATA | PESQUISA RECEBIDA]],"DDDD")))</f>
        <v/>
      </c>
    </row>
    <row r="153" spans="1:17" hidden="1">
      <c r="A153" s="54">
        <v>3035700162</v>
      </c>
      <c r="B153" s="54" t="s">
        <v>500</v>
      </c>
      <c r="C153" s="90">
        <v>42746.738471724537</v>
      </c>
      <c r="D153" s="89">
        <v>42748.738471724537</v>
      </c>
      <c r="E153" s="54" t="s">
        <v>30</v>
      </c>
      <c r="F153" s="54" t="s">
        <v>30</v>
      </c>
      <c r="G153" s="54" t="s">
        <v>301</v>
      </c>
      <c r="H153" s="54" t="s">
        <v>23</v>
      </c>
      <c r="I153" s="54" t="s">
        <v>817</v>
      </c>
      <c r="J153" s="54" t="s">
        <v>303</v>
      </c>
      <c r="K153" s="54" t="s">
        <v>84</v>
      </c>
      <c r="L153" s="87">
        <v>42751</v>
      </c>
      <c r="M153" s="34" t="str">
        <f>IFERROR(INDEX(BASE,MATCH(tblPRINTERS[[#This Row],[CASE ID]],BASE_CASOS,0),MATCH(tblPRINTERS[[#Headers],[tratativa]],BASE_CAB,0)),"Retornar com prioridade")</f>
        <v>Responder pesquisa</v>
      </c>
      <c r="N153" s="34" t="str">
        <f>IFERROR(INDEX(BASE,MATCH(tblPRINTERS[[#This Row],[CASE ID]],BASE_CASOS,0),MATCH(tblPRINTERS[[#Headers],[Observação]],BASE_CAB,0)),"-")</f>
        <v>Nota 9/10</v>
      </c>
      <c r="O153" s="34" t="str">
        <f>IFERROR(INDEX(BASE,MATCH(tblPRINTERS[[#This Row],[CASE ID]],BASE_CASOS,0),MATCH(tblPRINTERS[[#Headers],[Observação Calback]],BASE_CAB,0)),"-")</f>
        <v>ira responder</v>
      </c>
      <c r="P153" s="42" t="str">
        <f>IF(ISERROR(INDEX(QUALIDADE,MATCH(tblPRINTERS[[#This Row],[CASE ID]],PROTOCOLO_PESQUISAS,0),MATCH("Return Time",QUALIDADE_CAB,0)))=FALSE,INDEX(QUALIDADE,MATCH(tblPRINTERS[[#This Row],[CASE ID]],PROTOCOLO_PESQUISAS,0),MATCH("Return Time",QUALIDADE_CAB,0)),"")</f>
        <v/>
      </c>
      <c r="Q153" s="34" t="str">
        <f>IF(tblPRINTERS[[#This Row],[DATA | PESQUISA RECEBIDA]]="","",PROPER(TEXT(tblPRINTERS[[#This Row],[DATA | PESQUISA RECEBIDA]],"DDDD")))</f>
        <v/>
      </c>
    </row>
    <row r="154" spans="1:17" hidden="1">
      <c r="A154" s="54">
        <v>3035642622</v>
      </c>
      <c r="B154" s="54" t="s">
        <v>500</v>
      </c>
      <c r="C154" s="90">
        <v>42746.738471724537</v>
      </c>
      <c r="D154" s="89">
        <v>42748.738471724537</v>
      </c>
      <c r="E154" s="54" t="s">
        <v>1536</v>
      </c>
      <c r="F154" s="54" t="s">
        <v>839</v>
      </c>
      <c r="G154" s="54" t="s">
        <v>302</v>
      </c>
      <c r="H154" s="54" t="s">
        <v>273</v>
      </c>
      <c r="L154" s="87"/>
      <c r="M154" s="34" t="str">
        <f>IFERROR(INDEX(BASE,MATCH(tblPRINTERS[[#This Row],[CASE ID]],BASE_CASOS,0),MATCH(tblPRINTERS[[#Headers],[tratativa]],BASE_CAB,0)),"Retornar com prioridade")</f>
        <v>Não responder pesquisa</v>
      </c>
      <c r="N154" s="34" t="str">
        <f>IFERROR(INDEX(BASE,MATCH(tblPRINTERS[[#This Row],[CASE ID]],BASE_CASOS,0),MATCH(tblPRINTERS[[#Headers],[Observação]],BASE_CAB,0)),"-")</f>
        <v>Caso não resolvido / Equipamento em reparo</v>
      </c>
      <c r="O154" s="34" t="str">
        <f>IFERROR(INDEX(BASE,MATCH(tblPRINTERS[[#This Row],[CASE ID]],BASE_CASOS,0),MATCH(tblPRINTERS[[#Headers],[Observação Calback]],BASE_CAB,0)),"-")</f>
        <v>Troca de toner</v>
      </c>
      <c r="P154" s="42" t="str">
        <f>IF(ISERROR(INDEX(QUALIDADE,MATCH(tblPRINTERS[[#This Row],[CASE ID]],PROTOCOLO_PESQUISAS,0),MATCH("Return Time",QUALIDADE_CAB,0)))=FALSE,INDEX(QUALIDADE,MATCH(tblPRINTERS[[#This Row],[CASE ID]],PROTOCOLO_PESQUISAS,0),MATCH("Return Time",QUALIDADE_CAB,0)),"")</f>
        <v/>
      </c>
      <c r="Q154" s="34" t="str">
        <f>IF(tblPRINTERS[[#This Row],[DATA | PESQUISA RECEBIDA]]="","",PROPER(TEXT(tblPRINTERS[[#This Row],[DATA | PESQUISA RECEBIDA]],"DDDD")))</f>
        <v/>
      </c>
    </row>
    <row r="155" spans="1:17" hidden="1">
      <c r="A155" s="54">
        <v>3035645000</v>
      </c>
      <c r="B155" s="54" t="s">
        <v>500</v>
      </c>
      <c r="C155" s="90">
        <v>42746.738471724537</v>
      </c>
      <c r="D155" s="89">
        <v>42748.738471724537</v>
      </c>
      <c r="E155" s="54" t="s">
        <v>49</v>
      </c>
      <c r="F155" s="54" t="s">
        <v>281</v>
      </c>
      <c r="G155" s="54" t="s">
        <v>302</v>
      </c>
      <c r="H155" s="54" t="s">
        <v>273</v>
      </c>
      <c r="L155" s="87"/>
      <c r="M155" s="34" t="str">
        <f>IFERROR(INDEX(BASE,MATCH(tblPRINTERS[[#This Row],[CASE ID]],BASE_CASOS,0),MATCH(tblPRINTERS[[#Headers],[tratativa]],BASE_CAB,0)),"Retornar com prioridade")</f>
        <v>Não responder pesquisa</v>
      </c>
      <c r="N155" s="34" t="str">
        <f>IFERROR(INDEX(BASE,MATCH(tblPRINTERS[[#This Row],[CASE ID]],BASE_CASOS,0),MATCH(tblPRINTERS[[#Headers],[Observação]],BASE_CAB,0)),"-")</f>
        <v>Caso não resolvido / Equipamento em reparo</v>
      </c>
      <c r="O155" s="34" t="str">
        <f>IFERROR(INDEX(BASE,MATCH(tblPRINTERS[[#This Row],[CASE ID]],BASE_CASOS,0),MATCH(tblPRINTERS[[#Headers],[Observação Calback]],BASE_CAB,0)),"-")</f>
        <v>Enviado FUPO</v>
      </c>
      <c r="P155" s="42" t="str">
        <f>IF(ISERROR(INDEX(QUALIDADE,MATCH(tblPRINTERS[[#This Row],[CASE ID]],PROTOCOLO_PESQUISAS,0),MATCH("Return Time",QUALIDADE_CAB,0)))=FALSE,INDEX(QUALIDADE,MATCH(tblPRINTERS[[#This Row],[CASE ID]],PROTOCOLO_PESQUISAS,0),MATCH("Return Time",QUALIDADE_CAB,0)),"")</f>
        <v/>
      </c>
      <c r="Q155" s="34" t="str">
        <f>IF(tblPRINTERS[[#This Row],[DATA | PESQUISA RECEBIDA]]="","",PROPER(TEXT(tblPRINTERS[[#This Row],[DATA | PESQUISA RECEBIDA]],"DDDD")))</f>
        <v/>
      </c>
    </row>
    <row r="156" spans="1:17" hidden="1">
      <c r="A156" s="54">
        <v>3035690243</v>
      </c>
      <c r="B156" s="54" t="s">
        <v>500</v>
      </c>
      <c r="C156" s="90">
        <v>42746.738471724537</v>
      </c>
      <c r="D156" s="89">
        <v>42748.738471724537</v>
      </c>
      <c r="E156" s="54" t="s">
        <v>46</v>
      </c>
      <c r="F156" s="54" t="s">
        <v>46</v>
      </c>
      <c r="G156" s="54" t="s">
        <v>301</v>
      </c>
      <c r="H156" s="54" t="s">
        <v>39</v>
      </c>
      <c r="I156" s="54" t="s">
        <v>817</v>
      </c>
      <c r="J156" s="54" t="s">
        <v>304</v>
      </c>
      <c r="K156" s="54" t="s">
        <v>307</v>
      </c>
      <c r="L156" s="87">
        <v>42751</v>
      </c>
      <c r="M156" s="34" t="str">
        <f>IFERROR(INDEX(BASE,MATCH(tblPRINTERS[[#This Row],[CASE ID]],BASE_CASOS,0),MATCH(tblPRINTERS[[#Headers],[tratativa]],BASE_CAB,0)),"Retornar com prioridade")</f>
        <v>Responder pesquisa</v>
      </c>
      <c r="N156" s="34" t="str">
        <f>IFERROR(INDEX(BASE,MATCH(tblPRINTERS[[#This Row],[CASE ID]],BASE_CASOS,0),MATCH(tblPRINTERS[[#Headers],[Observação]],BASE_CAB,0)),"-")</f>
        <v>Nota 9/10</v>
      </c>
      <c r="O156" s="34" t="str">
        <f>IFERROR(INDEX(BASE,MATCH(tblPRINTERS[[#This Row],[CASE ID]],BASE_CASOS,0),MATCH(tblPRINTERS[[#Headers],[Observação Calback]],BASE_CAB,0)),"-")</f>
        <v>ira responder</v>
      </c>
      <c r="P156" s="42" t="str">
        <f>IF(ISERROR(INDEX(QUALIDADE,MATCH(tblPRINTERS[[#This Row],[CASE ID]],PROTOCOLO_PESQUISAS,0),MATCH("Return Time",QUALIDADE_CAB,0)))=FALSE,INDEX(QUALIDADE,MATCH(tblPRINTERS[[#This Row],[CASE ID]],PROTOCOLO_PESQUISAS,0),MATCH("Return Time",QUALIDADE_CAB,0)),"")</f>
        <v/>
      </c>
      <c r="Q156" s="34" t="str">
        <f>IF(tblPRINTERS[[#This Row],[DATA | PESQUISA RECEBIDA]]="","",PROPER(TEXT(tblPRINTERS[[#This Row],[DATA | PESQUISA RECEBIDA]],"DDDD")))</f>
        <v/>
      </c>
    </row>
    <row r="157" spans="1:17" hidden="1">
      <c r="A157" s="54">
        <v>3035543148</v>
      </c>
      <c r="B157" s="54" t="s">
        <v>500</v>
      </c>
      <c r="C157" s="90">
        <v>42746.738471724537</v>
      </c>
      <c r="D157" s="89">
        <v>42748.738471724537</v>
      </c>
      <c r="E157" s="54" t="s">
        <v>16</v>
      </c>
      <c r="F157" s="54" t="s">
        <v>10</v>
      </c>
      <c r="G157" s="54" t="s">
        <v>302</v>
      </c>
      <c r="H157" s="54" t="s">
        <v>9</v>
      </c>
      <c r="L157" s="87"/>
      <c r="M157" s="34" t="str">
        <f>IFERROR(INDEX(BASE,MATCH(tblPRINTERS[[#This Row],[CASE ID]],BASE_CASOS,0),MATCH(tblPRINTERS[[#Headers],[tratativa]],BASE_CAB,0)),"Retornar com prioridade")</f>
        <v>Não responder pesquisa</v>
      </c>
      <c r="N157" s="34" t="str">
        <f>IFERROR(INDEX(BASE,MATCH(tblPRINTERS[[#This Row],[CASE ID]],BASE_CASOS,0),MATCH(tblPRINTERS[[#Headers],[Observação]],BASE_CAB,0)),"-")</f>
        <v>Caso não resolvido / Equipamento em reparo</v>
      </c>
      <c r="O157" s="34" t="str">
        <f>IFERROR(INDEX(BASE,MATCH(tblPRINTERS[[#This Row],[CASE ID]],BASE_CASOS,0),MATCH(tblPRINTERS[[#Headers],[Observação Calback]],BASE_CAB,0)),"-")</f>
        <v>agendar retorno.problema impressao em a3, 7110, amanha as 9h</v>
      </c>
      <c r="P157" s="42" t="str">
        <f>IF(ISERROR(INDEX(QUALIDADE,MATCH(tblPRINTERS[[#This Row],[CASE ID]],PROTOCOLO_PESQUISAS,0),MATCH("Return Time",QUALIDADE_CAB,0)))=FALSE,INDEX(QUALIDADE,MATCH(tblPRINTERS[[#This Row],[CASE ID]],PROTOCOLO_PESQUISAS,0),MATCH("Return Time",QUALIDADE_CAB,0)),"")</f>
        <v/>
      </c>
      <c r="Q157" s="34" t="str">
        <f>IF(tblPRINTERS[[#This Row],[DATA | PESQUISA RECEBIDA]]="","",PROPER(TEXT(tblPRINTERS[[#This Row],[DATA | PESQUISA RECEBIDA]],"DDDD")))</f>
        <v/>
      </c>
    </row>
    <row r="158" spans="1:17" hidden="1">
      <c r="A158" s="54">
        <v>3035692371</v>
      </c>
      <c r="B158" s="54" t="s">
        <v>500</v>
      </c>
      <c r="C158" s="90">
        <v>42746.738471724537</v>
      </c>
      <c r="D158" s="89">
        <v>42748.738471724537</v>
      </c>
      <c r="E158" s="54" t="s">
        <v>1362</v>
      </c>
      <c r="F158" s="54" t="s">
        <v>1362</v>
      </c>
      <c r="G158" s="54" t="s">
        <v>301</v>
      </c>
      <c r="H158" s="54" t="s">
        <v>39</v>
      </c>
      <c r="L158" s="87"/>
      <c r="M158" s="34" t="str">
        <f>IFERROR(INDEX(BASE,MATCH(tblPRINTERS[[#This Row],[CASE ID]],BASE_CASOS,0),MATCH(tblPRINTERS[[#Headers],[tratativa]],BASE_CAB,0)),"Retornar com prioridade")</f>
        <v>Não responder pesquisa</v>
      </c>
      <c r="N158" s="34" t="str">
        <f>IFERROR(INDEX(BASE,MATCH(tblPRINTERS[[#This Row],[CASE ID]],BASE_CASOS,0),MATCH(tblPRINTERS[[#Headers],[Observação]],BASE_CAB,0)),"-")</f>
        <v>Caso não resolvido / Equipamento em reparo</v>
      </c>
      <c r="O158" s="34" t="str">
        <f>IFERROR(INDEX(BASE,MATCH(tblPRINTERS[[#This Row],[CASE ID]],BASE_CASOS,0),MATCH(tblPRINTERS[[#Headers],[Observação Calback]],BASE_CAB,0)),"-")</f>
        <v>Vai retornar com suporte</v>
      </c>
      <c r="P158" s="42" t="str">
        <f>IF(ISERROR(INDEX(QUALIDADE,MATCH(tblPRINTERS[[#This Row],[CASE ID]],PROTOCOLO_PESQUISAS,0),MATCH("Return Time",QUALIDADE_CAB,0)))=FALSE,INDEX(QUALIDADE,MATCH(tblPRINTERS[[#This Row],[CASE ID]],PROTOCOLO_PESQUISAS,0),MATCH("Return Time",QUALIDADE_CAB,0)),"")</f>
        <v/>
      </c>
      <c r="Q158" s="34" t="str">
        <f>IF(tblPRINTERS[[#This Row],[DATA | PESQUISA RECEBIDA]]="","",PROPER(TEXT(tblPRINTERS[[#This Row],[DATA | PESQUISA RECEBIDA]],"DDDD")))</f>
        <v/>
      </c>
    </row>
    <row r="159" spans="1:17" hidden="1">
      <c r="A159" s="54">
        <v>3035682795</v>
      </c>
      <c r="B159" s="54" t="s">
        <v>500</v>
      </c>
      <c r="C159" s="90">
        <v>42746.738471724537</v>
      </c>
      <c r="D159" s="89">
        <v>42748.738471724537</v>
      </c>
      <c r="E159" s="54" t="s">
        <v>1536</v>
      </c>
      <c r="F159" s="54" t="s">
        <v>1536</v>
      </c>
      <c r="G159" s="54" t="s">
        <v>301</v>
      </c>
      <c r="H159" s="54" t="s">
        <v>273</v>
      </c>
      <c r="I159" s="54" t="s">
        <v>817</v>
      </c>
      <c r="J159" s="54" t="s">
        <v>303</v>
      </c>
      <c r="K159" s="54" t="s">
        <v>305</v>
      </c>
      <c r="L159" s="87">
        <v>42753</v>
      </c>
      <c r="M159" s="34" t="str">
        <f>IFERROR(INDEX(BASE,MATCH(tblPRINTERS[[#This Row],[CASE ID]],BASE_CASOS,0),MATCH(tblPRINTERS[[#Headers],[tratativa]],BASE_CAB,0)),"Retornar com prioridade")</f>
        <v>Sem contato</v>
      </c>
      <c r="N159" s="34" t="str">
        <f>IFERROR(INDEX(BASE,MATCH(tblPRINTERS[[#This Row],[CASE ID]],BASE_CASOS,0),MATCH(tblPRINTERS[[#Headers],[Observação]],BASE_CAB,0)),"-")</f>
        <v>Sem contato (Só chama, Cx postal, Ocupado)</v>
      </c>
      <c r="O159" s="34" t="str">
        <f>IFERROR(INDEX(BASE,MATCH(tblPRINTERS[[#This Row],[CASE ID]],BASE_CASOS,0),MATCH(tblPRINTERS[[#Headers],[Observação Calback]],BASE_CAB,0)),"-")</f>
        <v>so 1 tel</v>
      </c>
      <c r="P159" s="42" t="str">
        <f>IF(ISERROR(INDEX(QUALIDADE,MATCH(tblPRINTERS[[#This Row],[CASE ID]],PROTOCOLO_PESQUISAS,0),MATCH("Return Time",QUALIDADE_CAB,0)))=FALSE,INDEX(QUALIDADE,MATCH(tblPRINTERS[[#This Row],[CASE ID]],PROTOCOLO_PESQUISAS,0),MATCH("Return Time",QUALIDADE_CAB,0)),"")</f>
        <v/>
      </c>
      <c r="Q159" s="34" t="str">
        <f>IF(tblPRINTERS[[#This Row],[DATA | PESQUISA RECEBIDA]]="","",PROPER(TEXT(tblPRINTERS[[#This Row],[DATA | PESQUISA RECEBIDA]],"DDDD")))</f>
        <v/>
      </c>
    </row>
    <row r="160" spans="1:17" hidden="1">
      <c r="A160" s="54">
        <v>3035692675</v>
      </c>
      <c r="B160" s="54" t="s">
        <v>500</v>
      </c>
      <c r="C160" s="90">
        <v>42746.738471724537</v>
      </c>
      <c r="D160" s="89">
        <v>42748.738471724537</v>
      </c>
      <c r="E160" s="54" t="s">
        <v>27</v>
      </c>
      <c r="F160" s="54" t="s">
        <v>27</v>
      </c>
      <c r="G160" s="54" t="s">
        <v>301</v>
      </c>
      <c r="H160" s="54" t="s">
        <v>23</v>
      </c>
      <c r="I160" s="54" t="s">
        <v>817</v>
      </c>
      <c r="J160" s="54" t="s">
        <v>304</v>
      </c>
      <c r="K160" s="54" t="s">
        <v>307</v>
      </c>
      <c r="L160" s="87">
        <v>42751</v>
      </c>
      <c r="M160" s="34" t="str">
        <f>IFERROR(INDEX(BASE,MATCH(tblPRINTERS[[#This Row],[CASE ID]],BASE_CASOS,0),MATCH(tblPRINTERS[[#Headers],[tratativa]],BASE_CAB,0)),"Retornar com prioridade")</f>
        <v>Responder pesquisa</v>
      </c>
      <c r="N160" s="34" t="str">
        <f>IFERROR(INDEX(BASE,MATCH(tblPRINTERS[[#This Row],[CASE ID]],BASE_CASOS,0),MATCH(tblPRINTERS[[#Headers],[Observação]],BASE_CAB,0)),"-")</f>
        <v>Nota 9/10</v>
      </c>
      <c r="O160" s="34" t="str">
        <f>IFERROR(INDEX(BASE,MATCH(tblPRINTERS[[#This Row],[CASE ID]],BASE_CASOS,0),MATCH(tblPRINTERS[[#Headers],[Observação Calback]],BASE_CAB,0)),"-")</f>
        <v>ira responder</v>
      </c>
      <c r="P160" s="42" t="str">
        <f>IF(ISERROR(INDEX(QUALIDADE,MATCH(tblPRINTERS[[#This Row],[CASE ID]],PROTOCOLO_PESQUISAS,0),MATCH("Return Time",QUALIDADE_CAB,0)))=FALSE,INDEX(QUALIDADE,MATCH(tblPRINTERS[[#This Row],[CASE ID]],PROTOCOLO_PESQUISAS,0),MATCH("Return Time",QUALIDADE_CAB,0)),"")</f>
        <v/>
      </c>
      <c r="Q160" s="34" t="str">
        <f>IF(tblPRINTERS[[#This Row],[DATA | PESQUISA RECEBIDA]]="","",PROPER(TEXT(tblPRINTERS[[#This Row],[DATA | PESQUISA RECEBIDA]],"DDDD")))</f>
        <v/>
      </c>
    </row>
    <row r="161" spans="1:17" hidden="1">
      <c r="A161" s="54">
        <v>3035690328</v>
      </c>
      <c r="B161" s="54" t="s">
        <v>500</v>
      </c>
      <c r="C161" s="90">
        <v>42746.738471724537</v>
      </c>
      <c r="D161" s="89">
        <v>42748.738471724537</v>
      </c>
      <c r="E161" s="54" t="s">
        <v>53</v>
      </c>
      <c r="F161" s="54" t="s">
        <v>53</v>
      </c>
      <c r="G161" s="54" t="s">
        <v>301</v>
      </c>
      <c r="H161" s="54" t="s">
        <v>273</v>
      </c>
      <c r="L161" s="87"/>
      <c r="M161" s="34" t="str">
        <f>IFERROR(INDEX(BASE,MATCH(tblPRINTERS[[#This Row],[CASE ID]],BASE_CASOS,0),MATCH(tblPRINTERS[[#Headers],[tratativa]],BASE_CAB,0)),"Retornar com prioridade")</f>
        <v>Não responder pesquisa</v>
      </c>
      <c r="N161" s="34" t="str">
        <f>IFERROR(INDEX(BASE,MATCH(tblPRINTERS[[#This Row],[CASE ID]],BASE_CASOS,0),MATCH(tblPRINTERS[[#Headers],[Observação]],BASE_CAB,0)),"-")</f>
        <v>Caso não resolvido / Equipamento em reparo</v>
      </c>
      <c r="O161" s="34" t="str">
        <f>IFERROR(INDEX(BASE,MATCH(tblPRINTERS[[#This Row],[CASE ID]],BASE_CASOS,0),MATCH(tblPRINTERS[[#Headers],[Observação Calback]],BASE_CAB,0)),"-")</f>
        <v>Vai retornar com suporte</v>
      </c>
      <c r="P161" s="42" t="str">
        <f>IF(ISERROR(INDEX(QUALIDADE,MATCH(tblPRINTERS[[#This Row],[CASE ID]],PROTOCOLO_PESQUISAS,0),MATCH("Return Time",QUALIDADE_CAB,0)))=FALSE,INDEX(QUALIDADE,MATCH(tblPRINTERS[[#This Row],[CASE ID]],PROTOCOLO_PESQUISAS,0),MATCH("Return Time",QUALIDADE_CAB,0)),"")</f>
        <v/>
      </c>
      <c r="Q161" s="34" t="str">
        <f>IF(tblPRINTERS[[#This Row],[DATA | PESQUISA RECEBIDA]]="","",PROPER(TEXT(tblPRINTERS[[#This Row],[DATA | PESQUISA RECEBIDA]],"DDDD")))</f>
        <v/>
      </c>
    </row>
    <row r="162" spans="1:17" hidden="1">
      <c r="A162" s="54">
        <v>3035650603</v>
      </c>
      <c r="B162" s="54" t="s">
        <v>500</v>
      </c>
      <c r="C162" s="90">
        <v>42746.738471724537</v>
      </c>
      <c r="D162" s="89">
        <v>42748.738471724537</v>
      </c>
      <c r="E162" s="54" t="s">
        <v>580</v>
      </c>
      <c r="F162" s="54" t="s">
        <v>8</v>
      </c>
      <c r="G162" s="54" t="s">
        <v>302</v>
      </c>
      <c r="H162" s="54" t="s">
        <v>9</v>
      </c>
      <c r="L162" s="87"/>
      <c r="M162" s="34" t="str">
        <f>IFERROR(INDEX(BASE,MATCH(tblPRINTERS[[#This Row],[CASE ID]],BASE_CASOS,0),MATCH(tblPRINTERS[[#Headers],[tratativa]],BASE_CAB,0)),"Retornar com prioridade")</f>
        <v>Não responder pesquisa</v>
      </c>
      <c r="N162" s="34" t="str">
        <f>IFERROR(INDEX(BASE,MATCH(tblPRINTERS[[#This Row],[CASE ID]],BASE_CASOS,0),MATCH(tblPRINTERS[[#Headers],[Observação]],BASE_CAB,0)),"-")</f>
        <v>Caso não resolvido / Equipamento em reparo</v>
      </c>
      <c r="O162" s="34" t="str">
        <f>IFERROR(INDEX(BASE,MATCH(tblPRINTERS[[#This Row],[CASE ID]],BASE_CASOS,0),MATCH(tblPRINTERS[[#Headers],[Observação Calback]],BASE_CAB,0)),"-")</f>
        <v>ira retornar com suporte</v>
      </c>
      <c r="P162" s="42" t="str">
        <f>IF(ISERROR(INDEX(QUALIDADE,MATCH(tblPRINTERS[[#This Row],[CASE ID]],PROTOCOLO_PESQUISAS,0),MATCH("Return Time",QUALIDADE_CAB,0)))=FALSE,INDEX(QUALIDADE,MATCH(tblPRINTERS[[#This Row],[CASE ID]],PROTOCOLO_PESQUISAS,0),MATCH("Return Time",QUALIDADE_CAB,0)),"")</f>
        <v/>
      </c>
      <c r="Q162" s="34" t="str">
        <f>IF(tblPRINTERS[[#This Row],[DATA | PESQUISA RECEBIDA]]="","",PROPER(TEXT(tblPRINTERS[[#This Row],[DATA | PESQUISA RECEBIDA]],"DDDD")))</f>
        <v/>
      </c>
    </row>
    <row r="163" spans="1:17" hidden="1">
      <c r="A163" s="54">
        <v>3035677816</v>
      </c>
      <c r="B163" s="54" t="s">
        <v>500</v>
      </c>
      <c r="C163" s="90">
        <v>42746.738471724537</v>
      </c>
      <c r="D163" s="89">
        <v>42748.738471724537</v>
      </c>
      <c r="E163" s="54" t="s">
        <v>53</v>
      </c>
      <c r="F163" s="54" t="s">
        <v>53</v>
      </c>
      <c r="G163" s="54" t="s">
        <v>301</v>
      </c>
      <c r="H163" s="54" t="s">
        <v>273</v>
      </c>
      <c r="I163" s="54" t="s">
        <v>817</v>
      </c>
      <c r="J163" s="54" t="s">
        <v>303</v>
      </c>
      <c r="K163" s="54" t="s">
        <v>305</v>
      </c>
      <c r="L163" s="87">
        <v>42751</v>
      </c>
      <c r="M163" s="34" t="str">
        <f>IFERROR(INDEX(BASE,MATCH(tblPRINTERS[[#This Row],[CASE ID]],BASE_CASOS,0),MATCH(tblPRINTERS[[#Headers],[tratativa]],BASE_CAB,0)),"Retornar com prioridade")</f>
        <v>Retornar com prioridade</v>
      </c>
      <c r="N163" s="34" t="str">
        <f>IFERROR(INDEX(BASE,MATCH(tblPRINTERS[[#This Row],[CASE ID]],BASE_CASOS,0),MATCH(tblPRINTERS[[#Headers],[Observação]],BASE_CAB,0)),"-")</f>
        <v>-</v>
      </c>
      <c r="O163" s="34" t="str">
        <f>IFERROR(INDEX(BASE,MATCH(tblPRINTERS[[#This Row],[CASE ID]],BASE_CASOS,0),MATCH(tblPRINTERS[[#Headers],[Observação Calback]],BASE_CAB,0)),"-")</f>
        <v>-</v>
      </c>
      <c r="P163" s="42" t="str">
        <f>IF(ISERROR(INDEX(QUALIDADE,MATCH(tblPRINTERS[[#This Row],[CASE ID]],PROTOCOLO_PESQUISAS,0),MATCH("Return Time",QUALIDADE_CAB,0)))=FALSE,INDEX(QUALIDADE,MATCH(tblPRINTERS[[#This Row],[CASE ID]],PROTOCOLO_PESQUISAS,0),MATCH("Return Time",QUALIDADE_CAB,0)),"")</f>
        <v/>
      </c>
      <c r="Q163" s="34" t="str">
        <f>IF(tblPRINTERS[[#This Row],[DATA | PESQUISA RECEBIDA]]="","",PROPER(TEXT(tblPRINTERS[[#This Row],[DATA | PESQUISA RECEBIDA]],"DDDD")))</f>
        <v/>
      </c>
    </row>
    <row r="164" spans="1:17" hidden="1">
      <c r="A164" s="54">
        <v>3035690175</v>
      </c>
      <c r="B164" s="54" t="s">
        <v>500</v>
      </c>
      <c r="C164" s="90">
        <v>42746.738471724537</v>
      </c>
      <c r="D164" s="89">
        <v>42748.738471724537</v>
      </c>
      <c r="E164" s="54" t="s">
        <v>1525</v>
      </c>
      <c r="F164" s="54" t="s">
        <v>3591</v>
      </c>
      <c r="G164" s="54" t="s">
        <v>302</v>
      </c>
      <c r="H164" s="54" t="s">
        <v>23</v>
      </c>
      <c r="L164" s="87"/>
      <c r="M164" s="34" t="str">
        <f>IFERROR(INDEX(BASE,MATCH(tblPRINTERS[[#This Row],[CASE ID]],BASE_CASOS,0),MATCH(tblPRINTERS[[#Headers],[tratativa]],BASE_CAB,0)),"Retornar com prioridade")</f>
        <v>Não responder pesquisa</v>
      </c>
      <c r="N164" s="34" t="str">
        <f>IFERROR(INDEX(BASE,MATCH(tblPRINTERS[[#This Row],[CASE ID]],BASE_CASOS,0),MATCH(tblPRINTERS[[#Headers],[Observação]],BASE_CAB,0)),"-")</f>
        <v>Caso não resolvido / Equipamento em reparo</v>
      </c>
      <c r="O164" s="34" t="str">
        <f>IFERROR(INDEX(BASE,MATCH(tblPRINTERS[[#This Row],[CASE ID]],BASE_CASOS,0),MATCH(tblPRINTERS[[#Headers],[Observação Calback]],BASE_CAB,0)),"-")</f>
        <v>enviado email. Assistencias</v>
      </c>
      <c r="P164" s="42" t="str">
        <f>IF(ISERROR(INDEX(QUALIDADE,MATCH(tblPRINTERS[[#This Row],[CASE ID]],PROTOCOLO_PESQUISAS,0),MATCH("Return Time",QUALIDADE_CAB,0)))=FALSE,INDEX(QUALIDADE,MATCH(tblPRINTERS[[#This Row],[CASE ID]],PROTOCOLO_PESQUISAS,0),MATCH("Return Time",QUALIDADE_CAB,0)),"")</f>
        <v/>
      </c>
      <c r="Q164" s="34" t="str">
        <f>IF(tblPRINTERS[[#This Row],[DATA | PESQUISA RECEBIDA]]="","",PROPER(TEXT(tblPRINTERS[[#This Row],[DATA | PESQUISA RECEBIDA]],"DDDD")))</f>
        <v/>
      </c>
    </row>
    <row r="165" spans="1:17" hidden="1">
      <c r="A165" s="54">
        <v>3035680382</v>
      </c>
      <c r="B165" s="54" t="s">
        <v>500</v>
      </c>
      <c r="C165" s="90">
        <v>42746.738471724537</v>
      </c>
      <c r="D165" s="89">
        <v>42748.738471724537</v>
      </c>
      <c r="E165" s="54" t="s">
        <v>1373</v>
      </c>
      <c r="F165" s="54" t="s">
        <v>1373</v>
      </c>
      <c r="G165" s="54" t="s">
        <v>301</v>
      </c>
      <c r="H165" s="54" t="s">
        <v>31</v>
      </c>
      <c r="L165" s="87"/>
      <c r="M165" s="34" t="str">
        <f>IFERROR(INDEX(BASE,MATCH(tblPRINTERS[[#This Row],[CASE ID]],BASE_CASOS,0),MATCH(tblPRINTERS[[#Headers],[tratativa]],BASE_CAB,0)),"Retornar com prioridade")</f>
        <v>Não responder pesquisa</v>
      </c>
      <c r="N165" s="34" t="str">
        <f>IFERROR(INDEX(BASE,MATCH(tblPRINTERS[[#This Row],[CASE ID]],BASE_CASOS,0),MATCH(tblPRINTERS[[#Headers],[Observação]],BASE_CAB,0)),"-")</f>
        <v>Caso não resolvido / Equipamento em reparo</v>
      </c>
      <c r="O165" s="34" t="str">
        <f>IFERROR(INDEX(BASE,MATCH(tblPRINTERS[[#This Row],[CASE ID]],BASE_CASOS,0),MATCH(tblPRINTERS[[#Headers],[Observação Calback]],BASE_CAB,0)),"-")</f>
        <v>Vai retornar com suporte</v>
      </c>
      <c r="P165" s="42" t="str">
        <f>IF(ISERROR(INDEX(QUALIDADE,MATCH(tblPRINTERS[[#This Row],[CASE ID]],PROTOCOLO_PESQUISAS,0),MATCH("Return Time",QUALIDADE_CAB,0)))=FALSE,INDEX(QUALIDADE,MATCH(tblPRINTERS[[#This Row],[CASE ID]],PROTOCOLO_PESQUISAS,0),MATCH("Return Time",QUALIDADE_CAB,0)),"")</f>
        <v/>
      </c>
      <c r="Q165" s="34" t="str">
        <f>IF(tblPRINTERS[[#This Row],[DATA | PESQUISA RECEBIDA]]="","",PROPER(TEXT(tblPRINTERS[[#This Row],[DATA | PESQUISA RECEBIDA]],"DDDD")))</f>
        <v/>
      </c>
    </row>
    <row r="166" spans="1:17" hidden="1">
      <c r="A166" s="54">
        <v>3035514674</v>
      </c>
      <c r="B166" s="54" t="s">
        <v>500</v>
      </c>
      <c r="C166" s="90">
        <v>42746.738471724537</v>
      </c>
      <c r="D166" s="89">
        <v>42748.738471724537</v>
      </c>
      <c r="E166" s="54" t="s">
        <v>16</v>
      </c>
      <c r="F166" s="54" t="s">
        <v>19</v>
      </c>
      <c r="G166" s="54" t="s">
        <v>302</v>
      </c>
      <c r="H166" s="54" t="s">
        <v>9</v>
      </c>
      <c r="L166" s="87"/>
      <c r="M166" s="34" t="str">
        <f>IFERROR(INDEX(BASE,MATCH(tblPRINTERS[[#This Row],[CASE ID]],BASE_CASOS,0),MATCH(tblPRINTERS[[#Headers],[tratativa]],BASE_CAB,0)),"Retornar com prioridade")</f>
        <v>Não responder pesquisa</v>
      </c>
      <c r="N166" s="34" t="str">
        <f>IFERROR(INDEX(BASE,MATCH(tblPRINTERS[[#This Row],[CASE ID]],BASE_CASOS,0),MATCH(tblPRINTERS[[#Headers],[Observação]],BASE_CAB,0)),"-")</f>
        <v>Caso não resolvido / Equipamento em reparo</v>
      </c>
      <c r="O166" s="34" t="str">
        <f>IFERROR(INDEX(BASE,MATCH(tblPRINTERS[[#This Row],[CASE ID]],BASE_CASOS,0),MATCH(tblPRINTERS[[#Headers],[Observação Calback]],BASE_CAB,0)),"-")</f>
        <v xml:space="preserve">Testando equipamento </v>
      </c>
      <c r="P166" s="42" t="str">
        <f>IF(ISERROR(INDEX(QUALIDADE,MATCH(tblPRINTERS[[#This Row],[CASE ID]],PROTOCOLO_PESQUISAS,0),MATCH("Return Time",QUALIDADE_CAB,0)))=FALSE,INDEX(QUALIDADE,MATCH(tblPRINTERS[[#This Row],[CASE ID]],PROTOCOLO_PESQUISAS,0),MATCH("Return Time",QUALIDADE_CAB,0)),"")</f>
        <v/>
      </c>
      <c r="Q166" s="34" t="str">
        <f>IF(tblPRINTERS[[#This Row],[DATA | PESQUISA RECEBIDA]]="","",PROPER(TEXT(tblPRINTERS[[#This Row],[DATA | PESQUISA RECEBIDA]],"DDDD")))</f>
        <v/>
      </c>
    </row>
    <row r="167" spans="1:17" hidden="1">
      <c r="A167" s="54">
        <v>3035680415</v>
      </c>
      <c r="B167" s="54" t="s">
        <v>500</v>
      </c>
      <c r="C167" s="90">
        <v>42746.738471724537</v>
      </c>
      <c r="D167" s="89">
        <v>42748.738471724537</v>
      </c>
      <c r="E167" s="54" t="s">
        <v>26</v>
      </c>
      <c r="F167" s="54" t="s">
        <v>26</v>
      </c>
      <c r="G167" s="54" t="s">
        <v>301</v>
      </c>
      <c r="H167" s="54" t="s">
        <v>23</v>
      </c>
      <c r="I167" s="54" t="s">
        <v>815</v>
      </c>
      <c r="J167" s="54" t="s">
        <v>304</v>
      </c>
      <c r="K167" s="54" t="s">
        <v>2144</v>
      </c>
      <c r="L167" s="87">
        <v>42751</v>
      </c>
      <c r="M167" s="34" t="str">
        <f>IFERROR(INDEX(BASE,MATCH(tblPRINTERS[[#This Row],[CASE ID]],BASE_CASOS,0),MATCH(tblPRINTERS[[#Headers],[tratativa]],BASE_CAB,0)),"Retornar com prioridade")</f>
        <v>Responder pesquisa</v>
      </c>
      <c r="N167" s="34" t="str">
        <f>IFERROR(INDEX(BASE,MATCH(tblPRINTERS[[#This Row],[CASE ID]],BASE_CASOS,0),MATCH(tblPRINTERS[[#Headers],[Observação]],BASE_CAB,0)),"-")</f>
        <v>Nota 9/10</v>
      </c>
      <c r="O167" s="34" t="str">
        <f>IFERROR(INDEX(BASE,MATCH(tblPRINTERS[[#This Row],[CASE ID]],BASE_CASOS,0),MATCH(tblPRINTERS[[#Headers],[Observação Calback]],BASE_CAB,0)),"-")</f>
        <v>ira responder</v>
      </c>
      <c r="P167" s="42" t="str">
        <f>IF(ISERROR(INDEX(QUALIDADE,MATCH(tblPRINTERS[[#This Row],[CASE ID]],PROTOCOLO_PESQUISAS,0),MATCH("Return Time",QUALIDADE_CAB,0)))=FALSE,INDEX(QUALIDADE,MATCH(tblPRINTERS[[#This Row],[CASE ID]],PROTOCOLO_PESQUISAS,0),MATCH("Return Time",QUALIDADE_CAB,0)),"")</f>
        <v/>
      </c>
      <c r="Q167" s="34" t="str">
        <f>IF(tblPRINTERS[[#This Row],[DATA | PESQUISA RECEBIDA]]="","",PROPER(TEXT(tblPRINTERS[[#This Row],[DATA | PESQUISA RECEBIDA]],"DDDD")))</f>
        <v/>
      </c>
    </row>
    <row r="168" spans="1:17" hidden="1">
      <c r="A168" s="54">
        <v>3035689099</v>
      </c>
      <c r="B168" s="54" t="s">
        <v>500</v>
      </c>
      <c r="C168" s="90">
        <v>42746.738471724537</v>
      </c>
      <c r="D168" s="89">
        <v>42748.738471724537</v>
      </c>
      <c r="E168" s="54" t="s">
        <v>16</v>
      </c>
      <c r="F168" s="54" t="s">
        <v>16</v>
      </c>
      <c r="G168" s="54" t="s">
        <v>301</v>
      </c>
      <c r="H168" s="54" t="s">
        <v>9</v>
      </c>
      <c r="I168" s="54" t="s">
        <v>817</v>
      </c>
      <c r="J168" s="54" t="s">
        <v>303</v>
      </c>
      <c r="K168" s="54" t="s">
        <v>305</v>
      </c>
      <c r="L168" s="87">
        <v>42751</v>
      </c>
      <c r="M168" s="34" t="str">
        <f>IFERROR(INDEX(BASE,MATCH(tblPRINTERS[[#This Row],[CASE ID]],BASE_CASOS,0),MATCH(tblPRINTERS[[#Headers],[tratativa]],BASE_CAB,0)),"Retornar com prioridade")</f>
        <v>Responder pesquisa</v>
      </c>
      <c r="N168" s="34" t="str">
        <f>IFERROR(INDEX(BASE,MATCH(tblPRINTERS[[#This Row],[CASE ID]],BASE_CASOS,0),MATCH(tblPRINTERS[[#Headers],[Observação]],BASE_CAB,0)),"-")</f>
        <v>Nota 9/10</v>
      </c>
      <c r="O168" s="34" t="str">
        <f>IFERROR(INDEX(BASE,MATCH(tblPRINTERS[[#This Row],[CASE ID]],BASE_CASOS,0),MATCH(tblPRINTERS[[#Headers],[Observação Calback]],BASE_CAB,0)),"-")</f>
        <v>ira responder</v>
      </c>
      <c r="P168" s="42" t="str">
        <f>IF(ISERROR(INDEX(QUALIDADE,MATCH(tblPRINTERS[[#This Row],[CASE ID]],PROTOCOLO_PESQUISAS,0),MATCH("Return Time",QUALIDADE_CAB,0)))=FALSE,INDEX(QUALIDADE,MATCH(tblPRINTERS[[#This Row],[CASE ID]],PROTOCOLO_PESQUISAS,0),MATCH("Return Time",QUALIDADE_CAB,0)),"")</f>
        <v/>
      </c>
      <c r="Q168" s="34" t="str">
        <f>IF(tblPRINTERS[[#This Row],[DATA | PESQUISA RECEBIDA]]="","",PROPER(TEXT(tblPRINTERS[[#This Row],[DATA | PESQUISA RECEBIDA]],"DDDD")))</f>
        <v/>
      </c>
    </row>
    <row r="169" spans="1:17" hidden="1">
      <c r="A169" s="54">
        <v>3035682519</v>
      </c>
      <c r="B169" s="54" t="s">
        <v>500</v>
      </c>
      <c r="C169" s="90">
        <v>42746.738471724537</v>
      </c>
      <c r="D169" s="89">
        <v>42748.738471724537</v>
      </c>
      <c r="E169" s="54" t="s">
        <v>590</v>
      </c>
      <c r="F169" s="54" t="s">
        <v>590</v>
      </c>
      <c r="G169" s="54" t="s">
        <v>301</v>
      </c>
      <c r="H169" s="54" t="s">
        <v>273</v>
      </c>
      <c r="L169" s="87"/>
      <c r="M169" s="34" t="str">
        <f>IFERROR(INDEX(BASE,MATCH(tblPRINTERS[[#This Row],[CASE ID]],BASE_CASOS,0),MATCH(tblPRINTERS[[#Headers],[tratativa]],BASE_CAB,0)),"Retornar com prioridade")</f>
        <v>Não responder pesquisa</v>
      </c>
      <c r="N169" s="34" t="str">
        <f>IFERROR(INDEX(BASE,MATCH(tblPRINTERS[[#This Row],[CASE ID]],BASE_CASOS,0),MATCH(tblPRINTERS[[#Headers],[Observação]],BASE_CAB,0)),"-")</f>
        <v>Caso não resolvido / Equipamento em reparo</v>
      </c>
      <c r="O169" s="34" t="str">
        <f>IFERROR(INDEX(BASE,MATCH(tblPRINTERS[[#This Row],[CASE ID]],BASE_CASOS,0),MATCH(tblPRINTERS[[#Headers],[Observação Calback]],BASE_CAB,0)),"-")</f>
        <v>Informar para cliente que foi erro de indicação e a laserjet não suporta transfer , pedir que a loja verifique</v>
      </c>
      <c r="P169" s="42" t="str">
        <f>IF(ISERROR(INDEX(QUALIDADE,MATCH(tblPRINTERS[[#This Row],[CASE ID]],PROTOCOLO_PESQUISAS,0),MATCH("Return Time",QUALIDADE_CAB,0)))=FALSE,INDEX(QUALIDADE,MATCH(tblPRINTERS[[#This Row],[CASE ID]],PROTOCOLO_PESQUISAS,0),MATCH("Return Time",QUALIDADE_CAB,0)),"")</f>
        <v/>
      </c>
      <c r="Q169" s="34" t="str">
        <f>IF(tblPRINTERS[[#This Row],[DATA | PESQUISA RECEBIDA]]="","",PROPER(TEXT(tblPRINTERS[[#This Row],[DATA | PESQUISA RECEBIDA]],"DDDD")))</f>
        <v/>
      </c>
    </row>
    <row r="170" spans="1:17" hidden="1">
      <c r="A170" s="54">
        <v>3035690581</v>
      </c>
      <c r="B170" s="54" t="s">
        <v>500</v>
      </c>
      <c r="C170" s="90">
        <v>42746.738471724537</v>
      </c>
      <c r="D170" s="89">
        <v>42748.738471724537</v>
      </c>
      <c r="E170" s="54" t="s">
        <v>1423</v>
      </c>
      <c r="F170" s="54" t="s">
        <v>1423</v>
      </c>
      <c r="G170" s="54" t="s">
        <v>301</v>
      </c>
      <c r="H170" s="54" t="s">
        <v>31</v>
      </c>
      <c r="I170" s="54" t="s">
        <v>817</v>
      </c>
      <c r="J170" s="54" t="s">
        <v>304</v>
      </c>
      <c r="K170" s="54" t="s">
        <v>3621</v>
      </c>
      <c r="L170" s="87">
        <v>42751</v>
      </c>
      <c r="M170" s="34" t="str">
        <f>IFERROR(INDEX(BASE,MATCH(tblPRINTERS[[#This Row],[CASE ID]],BASE_CASOS,0),MATCH(tblPRINTERS[[#Headers],[tratativa]],BASE_CAB,0)),"Retornar com prioridade")</f>
        <v>Responder pesquisa</v>
      </c>
      <c r="N170" s="34" t="str">
        <f>IFERROR(INDEX(BASE,MATCH(tblPRINTERS[[#This Row],[CASE ID]],BASE_CASOS,0),MATCH(tblPRINTERS[[#Headers],[Observação]],BASE_CAB,0)),"-")</f>
        <v>Nota 9/10</v>
      </c>
      <c r="O170" s="34" t="str">
        <f>IFERROR(INDEX(BASE,MATCH(tblPRINTERS[[#This Row],[CASE ID]],BASE_CASOS,0),MATCH(tblPRINTERS[[#Headers],[Observação Calback]],BASE_CAB,0)),"-")</f>
        <v>ira responder</v>
      </c>
      <c r="P170" s="42" t="str">
        <f>IF(ISERROR(INDEX(QUALIDADE,MATCH(tblPRINTERS[[#This Row],[CASE ID]],PROTOCOLO_PESQUISAS,0),MATCH("Return Time",QUALIDADE_CAB,0)))=FALSE,INDEX(QUALIDADE,MATCH(tblPRINTERS[[#This Row],[CASE ID]],PROTOCOLO_PESQUISAS,0),MATCH("Return Time",QUALIDADE_CAB,0)),"")</f>
        <v/>
      </c>
      <c r="Q170" s="34" t="str">
        <f>IF(tblPRINTERS[[#This Row],[DATA | PESQUISA RECEBIDA]]="","",PROPER(TEXT(tblPRINTERS[[#This Row],[DATA | PESQUISA RECEBIDA]],"DDDD")))</f>
        <v/>
      </c>
    </row>
    <row r="171" spans="1:17" hidden="1">
      <c r="A171" s="54">
        <v>3035692110</v>
      </c>
      <c r="B171" s="54" t="s">
        <v>500</v>
      </c>
      <c r="C171" s="90">
        <v>42746.738471724537</v>
      </c>
      <c r="D171" s="89">
        <v>42748.738471724537</v>
      </c>
      <c r="E171" s="54" t="s">
        <v>50</v>
      </c>
      <c r="F171" s="54" t="s">
        <v>50</v>
      </c>
      <c r="G171" s="54" t="s">
        <v>301</v>
      </c>
      <c r="H171" s="54" t="s">
        <v>273</v>
      </c>
      <c r="I171" s="54" t="s">
        <v>817</v>
      </c>
      <c r="J171" s="54" t="s">
        <v>303</v>
      </c>
      <c r="K171" s="54" t="s">
        <v>305</v>
      </c>
      <c r="L171" s="87">
        <v>42753</v>
      </c>
      <c r="M171" s="34" t="str">
        <f>IFERROR(INDEX(BASE,MATCH(tblPRINTERS[[#This Row],[CASE ID]],BASE_CASOS,0),MATCH(tblPRINTERS[[#Headers],[tratativa]],BASE_CAB,0)),"Retornar com prioridade")</f>
        <v>Sem contato</v>
      </c>
      <c r="N171" s="34" t="str">
        <f>IFERROR(INDEX(BASE,MATCH(tblPRINTERS[[#This Row],[CASE ID]],BASE_CASOS,0),MATCH(tblPRINTERS[[#Headers],[Observação]],BASE_CAB,0)),"-")</f>
        <v>Sem contato (Só chama, Cx postal, Ocupado)</v>
      </c>
      <c r="O171" s="34" t="str">
        <f>IFERROR(INDEX(BASE,MATCH(tblPRINTERS[[#This Row],[CASE ID]],BASE_CASOS,0),MATCH(tblPRINTERS[[#Headers],[Observação Calback]],BASE_CAB,0)),"-")</f>
        <v>so 1 tel</v>
      </c>
      <c r="P171" s="42" t="str">
        <f>IF(ISERROR(INDEX(QUALIDADE,MATCH(tblPRINTERS[[#This Row],[CASE ID]],PROTOCOLO_PESQUISAS,0),MATCH("Return Time",QUALIDADE_CAB,0)))=FALSE,INDEX(QUALIDADE,MATCH(tblPRINTERS[[#This Row],[CASE ID]],PROTOCOLO_PESQUISAS,0),MATCH("Return Time",QUALIDADE_CAB,0)),"")</f>
        <v/>
      </c>
      <c r="Q171" s="34" t="str">
        <f>IF(tblPRINTERS[[#This Row],[DATA | PESQUISA RECEBIDA]]="","",PROPER(TEXT(tblPRINTERS[[#This Row],[DATA | PESQUISA RECEBIDA]],"DDDD")))</f>
        <v/>
      </c>
    </row>
    <row r="172" spans="1:17" hidden="1">
      <c r="A172" s="54">
        <v>3035684686</v>
      </c>
      <c r="B172" s="54" t="s">
        <v>500</v>
      </c>
      <c r="C172" s="90">
        <v>42746.738471724537</v>
      </c>
      <c r="D172" s="89">
        <v>42748.738471724537</v>
      </c>
      <c r="E172" s="54" t="s">
        <v>593</v>
      </c>
      <c r="F172" s="54" t="s">
        <v>593</v>
      </c>
      <c r="G172" s="54" t="s">
        <v>301</v>
      </c>
      <c r="H172" s="54" t="s">
        <v>273</v>
      </c>
      <c r="I172" s="54" t="s">
        <v>817</v>
      </c>
      <c r="J172" s="54" t="s">
        <v>303</v>
      </c>
      <c r="K172" s="54" t="s">
        <v>305</v>
      </c>
      <c r="L172" s="87">
        <v>42751</v>
      </c>
      <c r="M172" s="34" t="str">
        <f>IFERROR(INDEX(BASE,MATCH(tblPRINTERS[[#This Row],[CASE ID]],BASE_CASOS,0),MATCH(tblPRINTERS[[#Headers],[tratativa]],BASE_CAB,0)),"Retornar com prioridade")</f>
        <v>Responder pesquisa</v>
      </c>
      <c r="N172" s="34" t="str">
        <f>IFERROR(INDEX(BASE,MATCH(tblPRINTERS[[#This Row],[CASE ID]],BASE_CASOS,0),MATCH(tblPRINTERS[[#Headers],[Observação]],BASE_CAB,0)),"-")</f>
        <v>Nota 9/10</v>
      </c>
      <c r="O172" s="34" t="str">
        <f>IFERROR(INDEX(BASE,MATCH(tblPRINTERS[[#This Row],[CASE ID]],BASE_CASOS,0),MATCH(tblPRINTERS[[#Headers],[Observação Calback]],BASE_CAB,0)),"-")</f>
        <v>ira responder</v>
      </c>
      <c r="P172" s="42" t="str">
        <f>IF(ISERROR(INDEX(QUALIDADE,MATCH(tblPRINTERS[[#This Row],[CASE ID]],PROTOCOLO_PESQUISAS,0),MATCH("Return Time",QUALIDADE_CAB,0)))=FALSE,INDEX(QUALIDADE,MATCH(tblPRINTERS[[#This Row],[CASE ID]],PROTOCOLO_PESQUISAS,0),MATCH("Return Time",QUALIDADE_CAB,0)),"")</f>
        <v/>
      </c>
      <c r="Q172" s="34" t="str">
        <f>IF(tblPRINTERS[[#This Row],[DATA | PESQUISA RECEBIDA]]="","",PROPER(TEXT(tblPRINTERS[[#This Row],[DATA | PESQUISA RECEBIDA]],"DDDD")))</f>
        <v/>
      </c>
    </row>
    <row r="173" spans="1:17" hidden="1">
      <c r="A173" s="54">
        <v>3035683011</v>
      </c>
      <c r="B173" s="54" t="s">
        <v>500</v>
      </c>
      <c r="C173" s="90">
        <v>42746.738471724537</v>
      </c>
      <c r="D173" s="89">
        <v>42748.738471724537</v>
      </c>
      <c r="E173" s="54" t="s">
        <v>26</v>
      </c>
      <c r="F173" s="54" t="s">
        <v>26</v>
      </c>
      <c r="G173" s="54" t="s">
        <v>301</v>
      </c>
      <c r="H173" s="54" t="s">
        <v>23</v>
      </c>
      <c r="I173" s="54" t="s">
        <v>817</v>
      </c>
      <c r="J173" s="54" t="s">
        <v>304</v>
      </c>
      <c r="K173" s="54" t="s">
        <v>307</v>
      </c>
      <c r="L173" s="87">
        <v>42751</v>
      </c>
      <c r="M173" s="34" t="str">
        <f>IFERROR(INDEX(BASE,MATCH(tblPRINTERS[[#This Row],[CASE ID]],BASE_CASOS,0),MATCH(tblPRINTERS[[#Headers],[tratativa]],BASE_CAB,0)),"Retornar com prioridade")</f>
        <v>Responder pesquisa</v>
      </c>
      <c r="N173" s="34" t="str">
        <f>IFERROR(INDEX(BASE,MATCH(tblPRINTERS[[#This Row],[CASE ID]],BASE_CASOS,0),MATCH(tblPRINTERS[[#Headers],[Observação]],BASE_CAB,0)),"-")</f>
        <v>Nota 9/10</v>
      </c>
      <c r="O173" s="34" t="str">
        <f>IFERROR(INDEX(BASE,MATCH(tblPRINTERS[[#This Row],[CASE ID]],BASE_CASOS,0),MATCH(tblPRINTERS[[#Headers],[Observação Calback]],BASE_CAB,0)),"-")</f>
        <v>ira responder</v>
      </c>
      <c r="P173" s="42" t="str">
        <f>IF(ISERROR(INDEX(QUALIDADE,MATCH(tblPRINTERS[[#This Row],[CASE ID]],PROTOCOLO_PESQUISAS,0),MATCH("Return Time",QUALIDADE_CAB,0)))=FALSE,INDEX(QUALIDADE,MATCH(tblPRINTERS[[#This Row],[CASE ID]],PROTOCOLO_PESQUISAS,0),MATCH("Return Time",QUALIDADE_CAB,0)),"")</f>
        <v/>
      </c>
      <c r="Q173" s="34" t="str">
        <f>IF(tblPRINTERS[[#This Row],[DATA | PESQUISA RECEBIDA]]="","",PROPER(TEXT(tblPRINTERS[[#This Row],[DATA | PESQUISA RECEBIDA]],"DDDD")))</f>
        <v/>
      </c>
    </row>
    <row r="174" spans="1:17" hidden="1">
      <c r="A174" s="54">
        <v>3035683443</v>
      </c>
      <c r="B174" s="54" t="s">
        <v>500</v>
      </c>
      <c r="C174" s="90">
        <v>42746.738471724537</v>
      </c>
      <c r="D174" s="89">
        <v>42748.738471724537</v>
      </c>
      <c r="E174" s="54" t="s">
        <v>55</v>
      </c>
      <c r="F174" s="54" t="s">
        <v>55</v>
      </c>
      <c r="G174" s="54" t="s">
        <v>301</v>
      </c>
      <c r="H174" s="54" t="s">
        <v>23</v>
      </c>
      <c r="I174" s="54" t="s">
        <v>817</v>
      </c>
      <c r="J174" s="54" t="s">
        <v>303</v>
      </c>
      <c r="K174" s="54" t="s">
        <v>305</v>
      </c>
      <c r="L174" s="87">
        <v>42753</v>
      </c>
      <c r="M174" s="34" t="str">
        <f>IFERROR(INDEX(BASE,MATCH(tblPRINTERS[[#This Row],[CASE ID]],BASE_CASOS,0),MATCH(tblPRINTERS[[#Headers],[tratativa]],BASE_CAB,0)),"Retornar com prioridade")</f>
        <v>Sem contato</v>
      </c>
      <c r="N174" s="34" t="str">
        <f>IFERROR(INDEX(BASE,MATCH(tblPRINTERS[[#This Row],[CASE ID]],BASE_CASOS,0),MATCH(tblPRINTERS[[#Headers],[Observação]],BASE_CAB,0)),"-")</f>
        <v>Sem contato (Só chama, Cx postal, Ocupado)</v>
      </c>
      <c r="O174" s="34" t="str">
        <f>IFERROR(INDEX(BASE,MATCH(tblPRINTERS[[#This Row],[CASE ID]],BASE_CASOS,0),MATCH(tblPRINTERS[[#Headers],[Observação Calback]],BASE_CAB,0)),"-")</f>
        <v>Somente 1 telefone</v>
      </c>
      <c r="P174" s="42" t="str">
        <f>IF(ISERROR(INDEX(QUALIDADE,MATCH(tblPRINTERS[[#This Row],[CASE ID]],PROTOCOLO_PESQUISAS,0),MATCH("Return Time",QUALIDADE_CAB,0)))=FALSE,INDEX(QUALIDADE,MATCH(tblPRINTERS[[#This Row],[CASE ID]],PROTOCOLO_PESQUISAS,0),MATCH("Return Time",QUALIDADE_CAB,0)),"")</f>
        <v/>
      </c>
      <c r="Q174" s="34" t="str">
        <f>IF(tblPRINTERS[[#This Row],[DATA | PESQUISA RECEBIDA]]="","",PROPER(TEXT(tblPRINTERS[[#This Row],[DATA | PESQUISA RECEBIDA]],"DDDD")))</f>
        <v/>
      </c>
    </row>
    <row r="175" spans="1:17" hidden="1">
      <c r="A175" s="54">
        <v>3035467513</v>
      </c>
      <c r="B175" s="54" t="s">
        <v>500</v>
      </c>
      <c r="C175" s="90">
        <v>42746.738471724537</v>
      </c>
      <c r="D175" s="89">
        <v>42748.738471724537</v>
      </c>
      <c r="E175" s="54" t="s">
        <v>20</v>
      </c>
      <c r="F175" s="54" t="s">
        <v>19</v>
      </c>
      <c r="G175" s="54" t="s">
        <v>302</v>
      </c>
      <c r="H175" s="54" t="s">
        <v>9</v>
      </c>
      <c r="I175" s="54" t="s">
        <v>817</v>
      </c>
      <c r="J175" s="54" t="s">
        <v>304</v>
      </c>
      <c r="K175" s="54" t="s">
        <v>1533</v>
      </c>
      <c r="L175" s="87">
        <v>42751</v>
      </c>
      <c r="M175" s="34" t="str">
        <f>IFERROR(INDEX(BASE,MATCH(tblPRINTERS[[#This Row],[CASE ID]],BASE_CASOS,0),MATCH(tblPRINTERS[[#Headers],[tratativa]],BASE_CAB,0)),"Retornar com prioridade")</f>
        <v>Não responder pesquisa</v>
      </c>
      <c r="N175" s="34" t="str">
        <f>IFERROR(INDEX(BASE,MATCH(tblPRINTERS[[#This Row],[CASE ID]],BASE_CASOS,0),MATCH(tblPRINTERS[[#Headers],[Observação]],BASE_CAB,0)),"-")</f>
        <v>Caso não resolvido / Equipamento em reparo</v>
      </c>
      <c r="O175" s="34" t="str">
        <f>IFERROR(INDEX(BASE,MATCH(tblPRINTERS[[#This Row],[CASE ID]],BASE_CASOS,0),MATCH(tblPRINTERS[[#Headers],[Observação Calback]],BASE_CAB,0)),"-")</f>
        <v>Enviado supervisor</v>
      </c>
      <c r="P175" s="42" t="str">
        <f>IF(ISERROR(INDEX(QUALIDADE,MATCH(tblPRINTERS[[#This Row],[CASE ID]],PROTOCOLO_PESQUISAS,0),MATCH("Return Time",QUALIDADE_CAB,0)))=FALSE,INDEX(QUALIDADE,MATCH(tblPRINTERS[[#This Row],[CASE ID]],PROTOCOLO_PESQUISAS,0),MATCH("Return Time",QUALIDADE_CAB,0)),"")</f>
        <v/>
      </c>
      <c r="Q175" s="34" t="str">
        <f>IF(tblPRINTERS[[#This Row],[DATA | PESQUISA RECEBIDA]]="","",PROPER(TEXT(tblPRINTERS[[#This Row],[DATA | PESQUISA RECEBIDA]],"DDDD")))</f>
        <v/>
      </c>
    </row>
    <row r="176" spans="1:17" hidden="1">
      <c r="A176" s="54">
        <v>3035681920</v>
      </c>
      <c r="B176" s="54" t="s">
        <v>500</v>
      </c>
      <c r="C176" s="90">
        <v>42746.738471724537</v>
      </c>
      <c r="D176" s="89">
        <v>42748.738471724537</v>
      </c>
      <c r="E176" s="54" t="s">
        <v>839</v>
      </c>
      <c r="F176" s="54" t="s">
        <v>839</v>
      </c>
      <c r="G176" s="54" t="s">
        <v>301</v>
      </c>
      <c r="H176" s="54" t="s">
        <v>256</v>
      </c>
      <c r="L176" s="87"/>
      <c r="M176" s="34" t="str">
        <f>IFERROR(INDEX(BASE,MATCH(tblPRINTERS[[#This Row],[CASE ID]],BASE_CASOS,0),MATCH(tblPRINTERS[[#Headers],[tratativa]],BASE_CAB,0)),"Retornar com prioridade")</f>
        <v>Não responder pesquisa</v>
      </c>
      <c r="N176" s="34" t="str">
        <f>IFERROR(INDEX(BASE,MATCH(tblPRINTERS[[#This Row],[CASE ID]],BASE_CASOS,0),MATCH(tblPRINTERS[[#Headers],[Observação]],BASE_CAB,0)),"-")</f>
        <v>Caso não resolvido / Equipamento em reparo</v>
      </c>
      <c r="O176" s="34" t="str">
        <f>IFERROR(INDEX(BASE,MATCH(tblPRINTERS[[#This Row],[CASE ID]],BASE_CASOS,0),MATCH(tblPRINTERS[[#Headers],[Observação Calback]],BASE_CAB,0)),"-")</f>
        <v>Enviado FUPO</v>
      </c>
      <c r="P176" s="42" t="str">
        <f>IF(ISERROR(INDEX(QUALIDADE,MATCH(tblPRINTERS[[#This Row],[CASE ID]],PROTOCOLO_PESQUISAS,0),MATCH("Return Time",QUALIDADE_CAB,0)))=FALSE,INDEX(QUALIDADE,MATCH(tblPRINTERS[[#This Row],[CASE ID]],PROTOCOLO_PESQUISAS,0),MATCH("Return Time",QUALIDADE_CAB,0)),"")</f>
        <v/>
      </c>
      <c r="Q176" s="34" t="str">
        <f>IF(tblPRINTERS[[#This Row],[DATA | PESQUISA RECEBIDA]]="","",PROPER(TEXT(tblPRINTERS[[#This Row],[DATA | PESQUISA RECEBIDA]],"DDDD")))</f>
        <v/>
      </c>
    </row>
    <row r="177" spans="1:17" hidden="1">
      <c r="A177" s="54">
        <v>3035446643</v>
      </c>
      <c r="B177" s="54" t="s">
        <v>500</v>
      </c>
      <c r="C177" s="90">
        <v>42746.738471724537</v>
      </c>
      <c r="D177" s="89">
        <v>42748.738471724537</v>
      </c>
      <c r="E177" s="54" t="s">
        <v>25</v>
      </c>
      <c r="F177" s="54" t="s">
        <v>47</v>
      </c>
      <c r="G177" s="54" t="s">
        <v>302</v>
      </c>
      <c r="H177" s="54" t="s">
        <v>23</v>
      </c>
      <c r="I177" s="54" t="s">
        <v>817</v>
      </c>
      <c r="J177" s="54" t="s">
        <v>303</v>
      </c>
      <c r="K177" s="54" t="s">
        <v>305</v>
      </c>
      <c r="L177" s="87">
        <v>42753</v>
      </c>
      <c r="M177" s="34" t="str">
        <f>IFERROR(INDEX(BASE,MATCH(tblPRINTERS[[#This Row],[CASE ID]],BASE_CASOS,0),MATCH(tblPRINTERS[[#Headers],[tratativa]],BASE_CAB,0)),"Retornar com prioridade")</f>
        <v>Sem contato</v>
      </c>
      <c r="N177" s="34" t="str">
        <f>IFERROR(INDEX(BASE,MATCH(tblPRINTERS[[#This Row],[CASE ID]],BASE_CASOS,0),MATCH(tblPRINTERS[[#Headers],[Observação]],BASE_CAB,0)),"-")</f>
        <v>Sem contato (Só chama, Cx postal, Ocupado)</v>
      </c>
      <c r="O177" s="34" t="str">
        <f>IFERROR(INDEX(BASE,MATCH(tblPRINTERS[[#This Row],[CASE ID]],BASE_CASOS,0),MATCH(tblPRINTERS[[#Headers],[Observação Calback]],BASE_CAB,0)),"-")</f>
        <v>ambos tels so chama</v>
      </c>
      <c r="P177" s="42" t="str">
        <f>IF(ISERROR(INDEX(QUALIDADE,MATCH(tblPRINTERS[[#This Row],[CASE ID]],PROTOCOLO_PESQUISAS,0),MATCH("Return Time",QUALIDADE_CAB,0)))=FALSE,INDEX(QUALIDADE,MATCH(tblPRINTERS[[#This Row],[CASE ID]],PROTOCOLO_PESQUISAS,0),MATCH("Return Time",QUALIDADE_CAB,0)),"")</f>
        <v/>
      </c>
      <c r="Q177" s="34" t="str">
        <f>IF(tblPRINTERS[[#This Row],[DATA | PESQUISA RECEBIDA]]="","",PROPER(TEXT(tblPRINTERS[[#This Row],[DATA | PESQUISA RECEBIDA]],"DDDD")))</f>
        <v/>
      </c>
    </row>
    <row r="178" spans="1:17" hidden="1">
      <c r="A178" s="54">
        <v>3035680094</v>
      </c>
      <c r="B178" s="54" t="s">
        <v>500</v>
      </c>
      <c r="C178" s="90">
        <v>42746.738471724537</v>
      </c>
      <c r="D178" s="89">
        <v>42748.738471724537</v>
      </c>
      <c r="E178" s="54" t="s">
        <v>1536</v>
      </c>
      <c r="F178" s="54" t="s">
        <v>1536</v>
      </c>
      <c r="G178" s="54" t="s">
        <v>301</v>
      </c>
      <c r="H178" s="54" t="s">
        <v>273</v>
      </c>
      <c r="L178" s="87"/>
      <c r="M178" s="34" t="str">
        <f>IFERROR(INDEX(BASE,MATCH(tblPRINTERS[[#This Row],[CASE ID]],BASE_CASOS,0),MATCH(tblPRINTERS[[#Headers],[tratativa]],BASE_CAB,0)),"Retornar com prioridade")</f>
        <v>Não responder pesquisa</v>
      </c>
      <c r="N178" s="34" t="str">
        <f>IFERROR(INDEX(BASE,MATCH(tblPRINTERS[[#This Row],[CASE ID]],BASE_CASOS,0),MATCH(tblPRINTERS[[#Headers],[Observação]],BASE_CAB,0)),"-")</f>
        <v>Caso não resolvido / Equipamento em reparo</v>
      </c>
      <c r="O178" s="34" t="str">
        <f>IFERROR(INDEX(BASE,MATCH(tblPRINTERS[[#This Row],[CASE ID]],BASE_CASOS,0),MATCH(tblPRINTERS[[#Headers],[Observação Calback]],BASE_CAB,0)),"-")</f>
        <v xml:space="preserve">Testando equipamento </v>
      </c>
      <c r="P178" s="42" t="str">
        <f>IF(ISERROR(INDEX(QUALIDADE,MATCH(tblPRINTERS[[#This Row],[CASE ID]],PROTOCOLO_PESQUISAS,0),MATCH("Return Time",QUALIDADE_CAB,0)))=FALSE,INDEX(QUALIDADE,MATCH(tblPRINTERS[[#This Row],[CASE ID]],PROTOCOLO_PESQUISAS,0),MATCH("Return Time",QUALIDADE_CAB,0)),"")</f>
        <v/>
      </c>
      <c r="Q178" s="34" t="str">
        <f>IF(tblPRINTERS[[#This Row],[DATA | PESQUISA RECEBIDA]]="","",PROPER(TEXT(tblPRINTERS[[#This Row],[DATA | PESQUISA RECEBIDA]],"DDDD")))</f>
        <v/>
      </c>
    </row>
    <row r="179" spans="1:17" hidden="1">
      <c r="A179" s="54">
        <v>3035691823</v>
      </c>
      <c r="B179" s="54" t="s">
        <v>500</v>
      </c>
      <c r="C179" s="90">
        <v>42746.738471724537</v>
      </c>
      <c r="D179" s="89">
        <v>42748.738471724537</v>
      </c>
      <c r="E179" s="54" t="s">
        <v>29</v>
      </c>
      <c r="F179" s="54" t="s">
        <v>47</v>
      </c>
      <c r="G179" s="54" t="s">
        <v>302</v>
      </c>
      <c r="H179" s="54" t="s">
        <v>23</v>
      </c>
      <c r="L179" s="87"/>
      <c r="M179" s="34" t="str">
        <f>IFERROR(INDEX(BASE,MATCH(tblPRINTERS[[#This Row],[CASE ID]],BASE_CASOS,0),MATCH(tblPRINTERS[[#Headers],[tratativa]],BASE_CAB,0)),"Retornar com prioridade")</f>
        <v>Não responder pesquisa</v>
      </c>
      <c r="N179" s="34" t="str">
        <f>IFERROR(INDEX(BASE,MATCH(tblPRINTERS[[#This Row],[CASE ID]],BASE_CASOS,0),MATCH(tblPRINTERS[[#Headers],[Observação]],BASE_CAB,0)),"-")</f>
        <v>Caso não resolvido / Equipamento em reparo</v>
      </c>
      <c r="O179" s="34" t="str">
        <f>IFERROR(INDEX(BASE,MATCH(tblPRINTERS[[#This Row],[CASE ID]],BASE_CASOS,0),MATCH(tblPRINTERS[[#Headers],[Observação Calback]],BASE_CAB,0)),"-")</f>
        <v>fora da garantia</v>
      </c>
      <c r="P179" s="42" t="str">
        <f>IF(ISERROR(INDEX(QUALIDADE,MATCH(tblPRINTERS[[#This Row],[CASE ID]],PROTOCOLO_PESQUISAS,0),MATCH("Return Time",QUALIDADE_CAB,0)))=FALSE,INDEX(QUALIDADE,MATCH(tblPRINTERS[[#This Row],[CASE ID]],PROTOCOLO_PESQUISAS,0),MATCH("Return Time",QUALIDADE_CAB,0)),"")</f>
        <v/>
      </c>
      <c r="Q179" s="34" t="str">
        <f>IF(tblPRINTERS[[#This Row],[DATA | PESQUISA RECEBIDA]]="","",PROPER(TEXT(tblPRINTERS[[#This Row],[DATA | PESQUISA RECEBIDA]],"DDDD")))</f>
        <v/>
      </c>
    </row>
    <row r="180" spans="1:17" hidden="1">
      <c r="A180" s="54">
        <v>3035694655</v>
      </c>
      <c r="B180" s="54" t="s">
        <v>500</v>
      </c>
      <c r="C180" s="90">
        <v>42746.738471724537</v>
      </c>
      <c r="D180" s="89">
        <v>42748.738471724537</v>
      </c>
      <c r="E180" s="54" t="s">
        <v>846</v>
      </c>
      <c r="F180" s="54" t="s">
        <v>846</v>
      </c>
      <c r="G180" s="54" t="s">
        <v>301</v>
      </c>
      <c r="H180" s="54" t="s">
        <v>273</v>
      </c>
      <c r="I180" s="54" t="s">
        <v>817</v>
      </c>
      <c r="J180" s="54" t="s">
        <v>304</v>
      </c>
      <c r="K180" s="54" t="s">
        <v>307</v>
      </c>
      <c r="L180" s="87">
        <v>42751</v>
      </c>
      <c r="M180" s="34" t="str">
        <f>IFERROR(INDEX(BASE,MATCH(tblPRINTERS[[#This Row],[CASE ID]],BASE_CASOS,0),MATCH(tblPRINTERS[[#Headers],[tratativa]],BASE_CAB,0)),"Retornar com prioridade")</f>
        <v>Responder pesquisa</v>
      </c>
      <c r="N180" s="34" t="str">
        <f>IFERROR(INDEX(BASE,MATCH(tblPRINTERS[[#This Row],[CASE ID]],BASE_CASOS,0),MATCH(tblPRINTERS[[#Headers],[Observação]],BASE_CAB,0)),"-")</f>
        <v>Nota 9/10</v>
      </c>
      <c r="O180" s="34" t="str">
        <f>IFERROR(INDEX(BASE,MATCH(tblPRINTERS[[#This Row],[CASE ID]],BASE_CASOS,0),MATCH(tblPRINTERS[[#Headers],[Observação Calback]],BASE_CAB,0)),"-")</f>
        <v>ira responder</v>
      </c>
      <c r="P180" s="42" t="str">
        <f>IF(ISERROR(INDEX(QUALIDADE,MATCH(tblPRINTERS[[#This Row],[CASE ID]],PROTOCOLO_PESQUISAS,0),MATCH("Return Time",QUALIDADE_CAB,0)))=FALSE,INDEX(QUALIDADE,MATCH(tblPRINTERS[[#This Row],[CASE ID]],PROTOCOLO_PESQUISAS,0),MATCH("Return Time",QUALIDADE_CAB,0)),"")</f>
        <v/>
      </c>
      <c r="Q180" s="34" t="str">
        <f>IF(tblPRINTERS[[#This Row],[DATA | PESQUISA RECEBIDA]]="","",PROPER(TEXT(tblPRINTERS[[#This Row],[DATA | PESQUISA RECEBIDA]],"DDDD")))</f>
        <v/>
      </c>
    </row>
    <row r="181" spans="1:17" hidden="1">
      <c r="A181" s="54">
        <v>3035686621</v>
      </c>
      <c r="B181" s="54" t="s">
        <v>500</v>
      </c>
      <c r="C181" s="90">
        <v>42746.738471724537</v>
      </c>
      <c r="D181" s="89">
        <v>42748.738471724537</v>
      </c>
      <c r="E181" s="54" t="s">
        <v>16</v>
      </c>
      <c r="F181" s="54" t="s">
        <v>16</v>
      </c>
      <c r="G181" s="54" t="s">
        <v>301</v>
      </c>
      <c r="H181" s="54" t="s">
        <v>9</v>
      </c>
      <c r="I181" s="54" t="s">
        <v>817</v>
      </c>
      <c r="J181" s="54" t="s">
        <v>304</v>
      </c>
      <c r="K181" s="54" t="s">
        <v>307</v>
      </c>
      <c r="L181" s="87">
        <v>42751</v>
      </c>
      <c r="M181" s="34" t="str">
        <f>IFERROR(INDEX(BASE,MATCH(tblPRINTERS[[#This Row],[CASE ID]],BASE_CASOS,0),MATCH(tblPRINTERS[[#Headers],[tratativa]],BASE_CAB,0)),"Retornar com prioridade")</f>
        <v>Sem contato</v>
      </c>
      <c r="N181" s="34" t="str">
        <f>IFERROR(INDEX(BASE,MATCH(tblPRINTERS[[#This Row],[CASE ID]],BASE_CASOS,0),MATCH(tblPRINTERS[[#Headers],[Observação]],BASE_CAB,0)),"-")</f>
        <v>Sem contato (Só chama, Cx postal, Ocupado)</v>
      </c>
      <c r="O181" s="34" t="str">
        <f>IFERROR(INDEX(BASE,MATCH(tblPRINTERS[[#This Row],[CASE ID]],BASE_CASOS,0),MATCH(tblPRINTERS[[#Headers],[Observação Calback]],BASE_CAB,0)),"-")</f>
        <v>cliente faleceu</v>
      </c>
      <c r="P181" s="42" t="str">
        <f>IF(ISERROR(INDEX(QUALIDADE,MATCH(tblPRINTERS[[#This Row],[CASE ID]],PROTOCOLO_PESQUISAS,0),MATCH("Return Time",QUALIDADE_CAB,0)))=FALSE,INDEX(QUALIDADE,MATCH(tblPRINTERS[[#This Row],[CASE ID]],PROTOCOLO_PESQUISAS,0),MATCH("Return Time",QUALIDADE_CAB,0)),"")</f>
        <v/>
      </c>
      <c r="Q181" s="34" t="str">
        <f>IF(tblPRINTERS[[#This Row],[DATA | PESQUISA RECEBIDA]]="","",PROPER(TEXT(tblPRINTERS[[#This Row],[DATA | PESQUISA RECEBIDA]],"DDDD")))</f>
        <v/>
      </c>
    </row>
    <row r="182" spans="1:17" hidden="1">
      <c r="A182" s="54">
        <v>3035682190</v>
      </c>
      <c r="B182" s="54" t="s">
        <v>500</v>
      </c>
      <c r="C182" s="90">
        <v>42746.738471724537</v>
      </c>
      <c r="D182" s="89">
        <v>42748.738471724537</v>
      </c>
      <c r="E182" s="54" t="s">
        <v>28</v>
      </c>
      <c r="F182" s="54" t="s">
        <v>28</v>
      </c>
      <c r="G182" s="54" t="s">
        <v>301</v>
      </c>
      <c r="H182" s="54" t="s">
        <v>9</v>
      </c>
      <c r="I182" s="54" t="s">
        <v>817</v>
      </c>
      <c r="J182" s="54" t="s">
        <v>303</v>
      </c>
      <c r="K182" s="54" t="s">
        <v>305</v>
      </c>
      <c r="L182" s="87">
        <v>42751</v>
      </c>
      <c r="M182" s="34" t="str">
        <f>IFERROR(INDEX(BASE,MATCH(tblPRINTERS[[#This Row],[CASE ID]],BASE_CASOS,0),MATCH(tblPRINTERS[[#Headers],[tratativa]],BASE_CAB,0)),"Retornar com prioridade")</f>
        <v>Responder pesquisa</v>
      </c>
      <c r="N182" s="34" t="str">
        <f>IFERROR(INDEX(BASE,MATCH(tblPRINTERS[[#This Row],[CASE ID]],BASE_CASOS,0),MATCH(tblPRINTERS[[#Headers],[Observação]],BASE_CAB,0)),"-")</f>
        <v>Nota 9/10</v>
      </c>
      <c r="O182" s="34" t="str">
        <f>IFERROR(INDEX(BASE,MATCH(tblPRINTERS[[#This Row],[CASE ID]],BASE_CASOS,0),MATCH(tblPRINTERS[[#Headers],[Observação Calback]],BASE_CAB,0)),"-")</f>
        <v>ira responder</v>
      </c>
      <c r="P182" s="42" t="str">
        <f>IF(ISERROR(INDEX(QUALIDADE,MATCH(tblPRINTERS[[#This Row],[CASE ID]],PROTOCOLO_PESQUISAS,0),MATCH("Return Time",QUALIDADE_CAB,0)))=FALSE,INDEX(QUALIDADE,MATCH(tblPRINTERS[[#This Row],[CASE ID]],PROTOCOLO_PESQUISAS,0),MATCH("Return Time",QUALIDADE_CAB,0)),"")</f>
        <v/>
      </c>
      <c r="Q182" s="34" t="str">
        <f>IF(tblPRINTERS[[#This Row],[DATA | PESQUISA RECEBIDA]]="","",PROPER(TEXT(tblPRINTERS[[#This Row],[DATA | PESQUISA RECEBIDA]],"DDDD")))</f>
        <v/>
      </c>
    </row>
    <row r="183" spans="1:17" hidden="1">
      <c r="A183" s="54">
        <v>3035689457</v>
      </c>
      <c r="B183" s="54" t="s">
        <v>500</v>
      </c>
      <c r="C183" s="90">
        <v>42746.738471724537</v>
      </c>
      <c r="D183" s="89">
        <v>42748.738471724537</v>
      </c>
      <c r="E183" s="54" t="s">
        <v>46</v>
      </c>
      <c r="F183" s="54" t="s">
        <v>46</v>
      </c>
      <c r="G183" s="54" t="s">
        <v>301</v>
      </c>
      <c r="H183" s="54" t="s">
        <v>39</v>
      </c>
      <c r="I183" s="54" t="s">
        <v>817</v>
      </c>
      <c r="J183" s="54" t="s">
        <v>303</v>
      </c>
      <c r="K183" s="54" t="s">
        <v>305</v>
      </c>
      <c r="L183" s="87">
        <v>42751</v>
      </c>
      <c r="M183" s="34" t="str">
        <f>IFERROR(INDEX(BASE,MATCH(tblPRINTERS[[#This Row],[CASE ID]],BASE_CASOS,0),MATCH(tblPRINTERS[[#Headers],[tratativa]],BASE_CAB,0)),"Retornar com prioridade")</f>
        <v>Responder pesquisa</v>
      </c>
      <c r="N183" s="34" t="str">
        <f>IFERROR(INDEX(BASE,MATCH(tblPRINTERS[[#This Row],[CASE ID]],BASE_CASOS,0),MATCH(tblPRINTERS[[#Headers],[Observação]],BASE_CAB,0)),"-")</f>
        <v>Nota 9/10</v>
      </c>
      <c r="O183" s="34" t="str">
        <f>IFERROR(INDEX(BASE,MATCH(tblPRINTERS[[#This Row],[CASE ID]],BASE_CASOS,0),MATCH(tblPRINTERS[[#Headers],[Observação Calback]],BASE_CAB,0)),"-")</f>
        <v>ira responder</v>
      </c>
      <c r="P183" s="42" t="str">
        <f>IF(ISERROR(INDEX(QUALIDADE,MATCH(tblPRINTERS[[#This Row],[CASE ID]],PROTOCOLO_PESQUISAS,0),MATCH("Return Time",QUALIDADE_CAB,0)))=FALSE,INDEX(QUALIDADE,MATCH(tblPRINTERS[[#This Row],[CASE ID]],PROTOCOLO_PESQUISAS,0),MATCH("Return Time",QUALIDADE_CAB,0)),"")</f>
        <v/>
      </c>
      <c r="Q183" s="34" t="str">
        <f>IF(tblPRINTERS[[#This Row],[DATA | PESQUISA RECEBIDA]]="","",PROPER(TEXT(tblPRINTERS[[#This Row],[DATA | PESQUISA RECEBIDA]],"DDDD")))</f>
        <v/>
      </c>
    </row>
    <row r="184" spans="1:17" hidden="1">
      <c r="A184" s="54">
        <v>3035654749</v>
      </c>
      <c r="B184" s="54" t="s">
        <v>500</v>
      </c>
      <c r="C184" s="90">
        <v>42745.737639085652</v>
      </c>
      <c r="D184" s="86">
        <v>42747.737639085652</v>
      </c>
      <c r="E184" s="54" t="s">
        <v>46</v>
      </c>
      <c r="F184" s="54" t="s">
        <v>46</v>
      </c>
      <c r="G184" s="54" t="s">
        <v>301</v>
      </c>
      <c r="H184" s="54" t="s">
        <v>39</v>
      </c>
      <c r="I184" s="54" t="s">
        <v>817</v>
      </c>
      <c r="J184" s="54" t="s">
        <v>303</v>
      </c>
      <c r="K184" s="54" t="s">
        <v>305</v>
      </c>
      <c r="L184" s="87"/>
      <c r="M184" s="34" t="str">
        <f>IFERROR(INDEX(BASE,MATCH(tblPRINTERS[[#This Row],[CASE ID]],BASE_CASOS,0),MATCH(tblPRINTERS[[#Headers],[tratativa]],BASE_CAB,0)),"Retornar com prioridade")</f>
        <v>Responder pesquisa</v>
      </c>
      <c r="N184" s="34" t="str">
        <f>IFERROR(INDEX(BASE,MATCH(tblPRINTERS[[#This Row],[CASE ID]],BASE_CASOS,0),MATCH(tblPRINTERS[[#Headers],[Observação]],BASE_CAB,0)),"-")</f>
        <v>Nota 9/10</v>
      </c>
      <c r="O184" s="34" t="str">
        <f>IFERROR(INDEX(BASE,MATCH(tblPRINTERS[[#This Row],[CASE ID]],BASE_CASOS,0),MATCH(tblPRINTERS[[#Headers],[Observação Calback]],BASE_CAB,0)),"-")</f>
        <v>ira responder</v>
      </c>
      <c r="P184" s="42" t="str">
        <f>IF(ISERROR(INDEX(QUALIDADE,MATCH(tblPRINTERS[[#This Row],[CASE ID]],PROTOCOLO_PESQUISAS,0),MATCH("Return Time",QUALIDADE_CAB,0)))=FALSE,INDEX(QUALIDADE,MATCH(tblPRINTERS[[#This Row],[CASE ID]],PROTOCOLO_PESQUISAS,0),MATCH("Return Time",QUALIDADE_CAB,0)),"")</f>
        <v/>
      </c>
      <c r="Q184" s="34" t="str">
        <f>IF(tblPRINTERS[[#This Row],[DATA | PESQUISA RECEBIDA]]="","",PROPER(TEXT(tblPRINTERS[[#This Row],[DATA | PESQUISA RECEBIDA]],"DDDD")))</f>
        <v/>
      </c>
    </row>
    <row r="185" spans="1:17" hidden="1">
      <c r="A185" s="54">
        <v>3035642233</v>
      </c>
      <c r="B185" s="54" t="s">
        <v>500</v>
      </c>
      <c r="C185" s="90">
        <v>42745.737639085652</v>
      </c>
      <c r="D185" s="86">
        <v>42747.737639085652</v>
      </c>
      <c r="E185" s="54" t="s">
        <v>54</v>
      </c>
      <c r="F185" s="54" t="s">
        <v>54</v>
      </c>
      <c r="G185" s="54" t="s">
        <v>301</v>
      </c>
      <c r="H185" s="54" t="s">
        <v>273</v>
      </c>
      <c r="I185" s="54" t="s">
        <v>817</v>
      </c>
      <c r="J185" s="54" t="s">
        <v>303</v>
      </c>
      <c r="K185" s="54" t="s">
        <v>305</v>
      </c>
      <c r="L185" s="87">
        <v>42753</v>
      </c>
      <c r="M185" s="34" t="str">
        <f>IFERROR(INDEX(BASE,MATCH(tblPRINTERS[[#This Row],[CASE ID]],BASE_CASOS,0),MATCH(tblPRINTERS[[#Headers],[tratativa]],BASE_CAB,0)),"Retornar com prioridade")</f>
        <v>Sem contato</v>
      </c>
      <c r="N185" s="34" t="str">
        <f>IFERROR(INDEX(BASE,MATCH(tblPRINTERS[[#This Row],[CASE ID]],BASE_CASOS,0),MATCH(tblPRINTERS[[#Headers],[Observação]],BASE_CAB,0)),"-")</f>
        <v>Sem contato (Só chama, Cx postal, Ocupado)</v>
      </c>
      <c r="O185" s="34" t="str">
        <f>IFERROR(INDEX(BASE,MATCH(tblPRINTERS[[#This Row],[CASE ID]],BASE_CASOS,0),MATCH(tblPRINTERS[[#Headers],[Observação Calback]],BASE_CAB,0)),"-")</f>
        <v>cliente e ti da empresa nao possui ramal.</v>
      </c>
      <c r="P185" s="42" t="str">
        <f>IF(ISERROR(INDEX(QUALIDADE,MATCH(tblPRINTERS[[#This Row],[CASE ID]],PROTOCOLO_PESQUISAS,0),MATCH("Return Time",QUALIDADE_CAB,0)))=FALSE,INDEX(QUALIDADE,MATCH(tblPRINTERS[[#This Row],[CASE ID]],PROTOCOLO_PESQUISAS,0),MATCH("Return Time",QUALIDADE_CAB,0)),"")</f>
        <v/>
      </c>
      <c r="Q185" s="34" t="str">
        <f>IF(tblPRINTERS[[#This Row],[DATA | PESQUISA RECEBIDA]]="","",PROPER(TEXT(tblPRINTERS[[#This Row],[DATA | PESQUISA RECEBIDA]],"DDDD")))</f>
        <v/>
      </c>
    </row>
    <row r="186" spans="1:17" hidden="1">
      <c r="A186" s="54">
        <v>3035664613</v>
      </c>
      <c r="B186" s="54" t="s">
        <v>500</v>
      </c>
      <c r="C186" s="90">
        <v>42745.737639085652</v>
      </c>
      <c r="D186" s="86">
        <v>42747.737639085652</v>
      </c>
      <c r="E186" s="54" t="s">
        <v>29</v>
      </c>
      <c r="F186" s="54" t="s">
        <v>29</v>
      </c>
      <c r="G186" s="54" t="s">
        <v>301</v>
      </c>
      <c r="H186" s="54" t="s">
        <v>23</v>
      </c>
      <c r="I186" s="56" t="s">
        <v>3375</v>
      </c>
      <c r="J186" s="54" t="s">
        <v>304</v>
      </c>
      <c r="K186" s="56" t="s">
        <v>3376</v>
      </c>
      <c r="L186" s="87">
        <v>42749.462500000001</v>
      </c>
      <c r="M186" s="34" t="str">
        <f>IFERROR(INDEX(BASE,MATCH(tblPRINTERS[[#This Row],[CASE ID]],BASE_CASOS,0),MATCH(tblPRINTERS[[#Headers],[tratativa]],BASE_CAB,0)),"Retornar com prioridade")</f>
        <v>Não responder pesquisa</v>
      </c>
      <c r="N186" s="34" t="str">
        <f>IFERROR(INDEX(BASE,MATCH(tblPRINTERS[[#This Row],[CASE ID]],BASE_CASOS,0),MATCH(tblPRINTERS[[#Headers],[Observação]],BASE_CAB,0)),"-")</f>
        <v>Caso não resolvido / Equipamento em reparo</v>
      </c>
      <c r="O186" s="34" t="str">
        <f>IFERROR(INDEX(BASE,MATCH(tblPRINTERS[[#This Row],[CASE ID]],BASE_CASOS,0),MATCH(tblPRINTERS[[#Headers],[Observação Calback]],BASE_CAB,0)),"-")</f>
        <v>retornar segunda.</v>
      </c>
      <c r="P186" s="42" t="str">
        <f>IF(ISERROR(INDEX(QUALIDADE,MATCH(tblPRINTERS[[#This Row],[CASE ID]],PROTOCOLO_PESQUISAS,0),MATCH("Return Time",QUALIDADE_CAB,0)))=FALSE,INDEX(QUALIDADE,MATCH(tblPRINTERS[[#This Row],[CASE ID]],PROTOCOLO_PESQUISAS,0),MATCH("Return Time",QUALIDADE_CAB,0)),"")</f>
        <v/>
      </c>
      <c r="Q186" s="34" t="str">
        <f>IF(tblPRINTERS[[#This Row],[DATA | PESQUISA RECEBIDA]]="","",PROPER(TEXT(tblPRINTERS[[#This Row],[DATA | PESQUISA RECEBIDA]],"DDDD")))</f>
        <v/>
      </c>
    </row>
    <row r="187" spans="1:17" hidden="1">
      <c r="A187" s="54">
        <v>3035541808</v>
      </c>
      <c r="B187" s="54" t="s">
        <v>500</v>
      </c>
      <c r="C187" s="90">
        <v>42745.737639085652</v>
      </c>
      <c r="D187" s="86">
        <v>42747.737639085652</v>
      </c>
      <c r="E187" s="54" t="s">
        <v>861</v>
      </c>
      <c r="F187" s="54" t="s">
        <v>33</v>
      </c>
      <c r="G187" s="54" t="s">
        <v>302</v>
      </c>
      <c r="H187" s="54" t="s">
        <v>31</v>
      </c>
      <c r="I187" s="54" t="s">
        <v>3375</v>
      </c>
      <c r="J187" s="54" t="s">
        <v>303</v>
      </c>
      <c r="K187" s="54" t="s">
        <v>3377</v>
      </c>
      <c r="L187" s="87">
        <v>42749.465277777781</v>
      </c>
      <c r="M187" s="34" t="str">
        <f>IFERROR(INDEX(BASE,MATCH(tblPRINTERS[[#This Row],[CASE ID]],BASE_CASOS,0),MATCH(tblPRINTERS[[#Headers],[tratativa]],BASE_CAB,0)),"Retornar com prioridade")</f>
        <v>Não responder pesquisa</v>
      </c>
      <c r="N187" s="34" t="str">
        <f>IFERROR(INDEX(BASE,MATCH(tblPRINTERS[[#This Row],[CASE ID]],BASE_CASOS,0),MATCH(tblPRINTERS[[#Headers],[Observação]],BASE_CAB,0)),"-")</f>
        <v>Caso não resolvido / Equipamento em reparo</v>
      </c>
      <c r="O187" s="34" t="str">
        <f>IFERROR(INDEX(BASE,MATCH(tblPRINTERS[[#This Row],[CASE ID]],BASE_CASOS,0),MATCH(tblPRINTERS[[#Headers],[Observação Calback]],BASE_CAB,0)),"-")</f>
        <v>Vai retornar com suporte</v>
      </c>
      <c r="P187" s="42" t="str">
        <f>IF(ISERROR(INDEX(QUALIDADE,MATCH(tblPRINTERS[[#This Row],[CASE ID]],PROTOCOLO_PESQUISAS,0),MATCH("Return Time",QUALIDADE_CAB,0)))=FALSE,INDEX(QUALIDADE,MATCH(tblPRINTERS[[#This Row],[CASE ID]],PROTOCOLO_PESQUISAS,0),MATCH("Return Time",QUALIDADE_CAB,0)),"")</f>
        <v/>
      </c>
      <c r="Q187" s="34" t="str">
        <f>IF(tblPRINTERS[[#This Row],[DATA | PESQUISA RECEBIDA]]="","",PROPER(TEXT(tblPRINTERS[[#This Row],[DATA | PESQUISA RECEBIDA]],"DDDD")))</f>
        <v/>
      </c>
    </row>
    <row r="188" spans="1:17" hidden="1">
      <c r="A188" s="54">
        <v>3035641630</v>
      </c>
      <c r="B188" s="54" t="s">
        <v>500</v>
      </c>
      <c r="C188" s="90">
        <v>42745.737639085652</v>
      </c>
      <c r="D188" s="86">
        <v>42747.737639085652</v>
      </c>
      <c r="E188" s="54" t="s">
        <v>1373</v>
      </c>
      <c r="F188" s="54" t="s">
        <v>1373</v>
      </c>
      <c r="G188" s="54" t="s">
        <v>301</v>
      </c>
      <c r="H188" s="54" t="s">
        <v>31</v>
      </c>
      <c r="I188" s="54" t="s">
        <v>3375</v>
      </c>
      <c r="J188" s="54" t="s">
        <v>304</v>
      </c>
      <c r="K188" s="54" t="s">
        <v>3378</v>
      </c>
      <c r="L188" s="87">
        <v>42749.470833333333</v>
      </c>
      <c r="M188" s="34" t="str">
        <f>IFERROR(INDEX(BASE,MATCH(tblPRINTERS[[#This Row],[CASE ID]],BASE_CASOS,0),MATCH(tblPRINTERS[[#Headers],[tratativa]],BASE_CAB,0)),"Retornar com prioridade")</f>
        <v>Sem contato</v>
      </c>
      <c r="N188" s="34" t="str">
        <f>IFERROR(INDEX(BASE,MATCH(tblPRINTERS[[#This Row],[CASE ID]],BASE_CASOS,0),MATCH(tblPRINTERS[[#Headers],[Observação]],BASE_CAB,0)),"-")</f>
        <v>Sem contato (Só chama, Cx postal, Ocupado)</v>
      </c>
      <c r="O188" s="34" t="str">
        <f>IFERROR(INDEX(BASE,MATCH(tblPRINTERS[[#This Row],[CASE ID]],BASE_CASOS,0),MATCH(tblPRINTERS[[#Headers],[Observação Calback]],BASE_CAB,0)),"-")</f>
        <v>so chama</v>
      </c>
      <c r="P188" s="42" t="str">
        <f>IF(ISERROR(INDEX(QUALIDADE,MATCH(tblPRINTERS[[#This Row],[CASE ID]],PROTOCOLO_PESQUISAS,0),MATCH("Return Time",QUALIDADE_CAB,0)))=FALSE,INDEX(QUALIDADE,MATCH(tblPRINTERS[[#This Row],[CASE ID]],PROTOCOLO_PESQUISAS,0),MATCH("Return Time",QUALIDADE_CAB,0)),"")</f>
        <v/>
      </c>
      <c r="Q188" s="34" t="str">
        <f>IF(tblPRINTERS[[#This Row],[DATA | PESQUISA RECEBIDA]]="","",PROPER(TEXT(tblPRINTERS[[#This Row],[DATA | PESQUISA RECEBIDA]],"DDDD")))</f>
        <v/>
      </c>
    </row>
    <row r="189" spans="1:17" hidden="1">
      <c r="A189" s="54">
        <v>3035640864</v>
      </c>
      <c r="B189" s="54" t="s">
        <v>500</v>
      </c>
      <c r="C189" s="90">
        <v>42745.737639085652</v>
      </c>
      <c r="D189" s="86">
        <v>42747.737639085652</v>
      </c>
      <c r="E189" s="54" t="s">
        <v>839</v>
      </c>
      <c r="F189" s="54" t="s">
        <v>839</v>
      </c>
      <c r="G189" s="54" t="s">
        <v>301</v>
      </c>
      <c r="H189" s="54" t="s">
        <v>256</v>
      </c>
      <c r="I189" s="56" t="s">
        <v>817</v>
      </c>
      <c r="J189" s="54" t="s">
        <v>304</v>
      </c>
      <c r="K189" s="56" t="s">
        <v>2972</v>
      </c>
      <c r="L189" s="87">
        <v>42748</v>
      </c>
      <c r="M189" s="34" t="str">
        <f>IFERROR(INDEX(BASE,MATCH(tblPRINTERS[[#This Row],[CASE ID]],BASE_CASOS,0),MATCH(tblPRINTERS[[#Headers],[tratativa]],BASE_CAB,0)),"Retornar com prioridade")</f>
        <v>Não responder pesquisa</v>
      </c>
      <c r="N189" s="34" t="str">
        <f>IFERROR(INDEX(BASE,MATCH(tblPRINTERS[[#This Row],[CASE ID]],BASE_CASOS,0),MATCH(tblPRINTERS[[#Headers],[Observação]],BASE_CAB,0)),"-")</f>
        <v>Caso não resolvido / Equipamento em reparo</v>
      </c>
      <c r="O189" s="34" t="str">
        <f>IFERROR(INDEX(BASE,MATCH(tblPRINTERS[[#This Row],[CASE ID]],BASE_CASOS,0),MATCH(tblPRINTERS[[#Headers],[Observação Calback]],BASE_CAB,0)),"-")</f>
        <v>Já haviam ligado para falar da pesquisa e pediram para não responder</v>
      </c>
      <c r="P189" s="42" t="str">
        <f>IF(ISERROR(INDEX(QUALIDADE,MATCH(tblPRINTERS[[#This Row],[CASE ID]],PROTOCOLO_PESQUISAS,0),MATCH("Return Time",QUALIDADE_CAB,0)))=FALSE,INDEX(QUALIDADE,MATCH(tblPRINTERS[[#This Row],[CASE ID]],PROTOCOLO_PESQUISAS,0),MATCH("Return Time",QUALIDADE_CAB,0)),"")</f>
        <v/>
      </c>
      <c r="Q189" s="34" t="str">
        <f>IF(tblPRINTERS[[#This Row],[DATA | PESQUISA RECEBIDA]]="","",PROPER(TEXT(tblPRINTERS[[#This Row],[DATA | PESQUISA RECEBIDA]],"DDDD")))</f>
        <v/>
      </c>
    </row>
    <row r="190" spans="1:17" hidden="1">
      <c r="A190" s="54">
        <v>3035645207</v>
      </c>
      <c r="B190" s="54" t="s">
        <v>500</v>
      </c>
      <c r="C190" s="90">
        <v>42745.737639085652</v>
      </c>
      <c r="D190" s="86">
        <v>42747.737639085652</v>
      </c>
      <c r="E190" s="54" t="s">
        <v>18</v>
      </c>
      <c r="F190" s="54" t="s">
        <v>18</v>
      </c>
      <c r="G190" s="54" t="s">
        <v>301</v>
      </c>
      <c r="H190" s="54" t="s">
        <v>9</v>
      </c>
      <c r="I190" s="54" t="s">
        <v>817</v>
      </c>
      <c r="J190" s="54" t="s">
        <v>303</v>
      </c>
      <c r="K190" s="54" t="s">
        <v>305</v>
      </c>
      <c r="L190" s="87">
        <v>42753</v>
      </c>
      <c r="M190" s="34" t="str">
        <f>IFERROR(INDEX(BASE,MATCH(tblPRINTERS[[#This Row],[CASE ID]],BASE_CASOS,0),MATCH(tblPRINTERS[[#Headers],[tratativa]],BASE_CAB,0)),"Retornar com prioridade")</f>
        <v>Sem contato</v>
      </c>
      <c r="N190" s="34" t="str">
        <f>IFERROR(INDEX(BASE,MATCH(tblPRINTERS[[#This Row],[CASE ID]],BASE_CASOS,0),MATCH(tblPRINTERS[[#Headers],[Observação]],BASE_CAB,0)),"-")</f>
        <v>Sem contato (Só chama, Cx postal, Ocupado)</v>
      </c>
      <c r="O190" s="34" t="str">
        <f>IFERROR(INDEX(BASE,MATCH(tblPRINTERS[[#This Row],[CASE ID]],BASE_CASOS,0),MATCH(tblPRINTERS[[#Headers],[Observação Calback]],BASE_CAB,0)),"-")</f>
        <v>Os 2 telefones só chamam</v>
      </c>
      <c r="P190" s="42" t="str">
        <f>IF(ISERROR(INDEX(QUALIDADE,MATCH(tblPRINTERS[[#This Row],[CASE ID]],PROTOCOLO_PESQUISAS,0),MATCH("Return Time",QUALIDADE_CAB,0)))=FALSE,INDEX(QUALIDADE,MATCH(tblPRINTERS[[#This Row],[CASE ID]],PROTOCOLO_PESQUISAS,0),MATCH("Return Time",QUALIDADE_CAB,0)),"")</f>
        <v/>
      </c>
      <c r="Q190" s="34" t="str">
        <f>IF(tblPRINTERS[[#This Row],[DATA | PESQUISA RECEBIDA]]="","",PROPER(TEXT(tblPRINTERS[[#This Row],[DATA | PESQUISA RECEBIDA]],"DDDD")))</f>
        <v/>
      </c>
    </row>
    <row r="191" spans="1:17" hidden="1">
      <c r="A191" s="54">
        <v>3035657818</v>
      </c>
      <c r="B191" s="54" t="s">
        <v>500</v>
      </c>
      <c r="C191" s="90">
        <v>42745.737639085652</v>
      </c>
      <c r="D191" s="86">
        <v>42747.737639085652</v>
      </c>
      <c r="E191" s="54" t="s">
        <v>46</v>
      </c>
      <c r="F191" s="54" t="s">
        <v>27</v>
      </c>
      <c r="G191" s="54" t="s">
        <v>302</v>
      </c>
      <c r="H191" s="54" t="s">
        <v>39</v>
      </c>
      <c r="I191" s="54" t="s">
        <v>817</v>
      </c>
      <c r="J191" s="54" t="s">
        <v>304</v>
      </c>
      <c r="K191" s="54" t="s">
        <v>307</v>
      </c>
      <c r="L191" s="87">
        <v>42748</v>
      </c>
      <c r="M191" s="34" t="str">
        <f>IFERROR(INDEX(BASE,MATCH(tblPRINTERS[[#This Row],[CASE ID]],BASE_CASOS,0),MATCH(tblPRINTERS[[#Headers],[tratativa]],BASE_CAB,0)),"Retornar com prioridade")</f>
        <v>Sem contato</v>
      </c>
      <c r="N191" s="34" t="str">
        <f>IFERROR(INDEX(BASE,MATCH(tblPRINTERS[[#This Row],[CASE ID]],BASE_CASOS,0),MATCH(tblPRINTERS[[#Headers],[Observação]],BASE_CAB,0)),"-")</f>
        <v>Sem contato (Só chama, Cx postal, Ocupado)</v>
      </c>
      <c r="O191" s="34" t="str">
        <f>IFERROR(INDEX(BASE,MATCH(tblPRINTERS[[#This Row],[CASE ID]],BASE_CASOS,0),MATCH(tblPRINTERS[[#Headers],[Observação Calback]],BASE_CAB,0)),"-")</f>
        <v>ambos tels ocupados</v>
      </c>
      <c r="P191" s="42" t="str">
        <f>IF(ISERROR(INDEX(QUALIDADE,MATCH(tblPRINTERS[[#This Row],[CASE ID]],PROTOCOLO_PESQUISAS,0),MATCH("Return Time",QUALIDADE_CAB,0)))=FALSE,INDEX(QUALIDADE,MATCH(tblPRINTERS[[#This Row],[CASE ID]],PROTOCOLO_PESQUISAS,0),MATCH("Return Time",QUALIDADE_CAB,0)),"")</f>
        <v/>
      </c>
      <c r="Q191" s="34" t="str">
        <f>IF(tblPRINTERS[[#This Row],[DATA | PESQUISA RECEBIDA]]="","",PROPER(TEXT(tblPRINTERS[[#This Row],[DATA | PESQUISA RECEBIDA]],"DDDD")))</f>
        <v/>
      </c>
    </row>
    <row r="192" spans="1:17" hidden="1">
      <c r="A192" s="54">
        <v>3035641190</v>
      </c>
      <c r="B192" s="54" t="s">
        <v>500</v>
      </c>
      <c r="C192" s="90">
        <v>42745.737639085652</v>
      </c>
      <c r="D192" s="86">
        <v>42747.737639085652</v>
      </c>
      <c r="E192" s="54" t="s">
        <v>1548</v>
      </c>
      <c r="F192" s="54" t="s">
        <v>1548</v>
      </c>
      <c r="G192" s="54" t="s">
        <v>301</v>
      </c>
      <c r="H192" s="54" t="s">
        <v>31</v>
      </c>
      <c r="I192" s="54" t="s">
        <v>817</v>
      </c>
      <c r="J192" s="54" t="s">
        <v>304</v>
      </c>
      <c r="K192" s="54" t="s">
        <v>1544</v>
      </c>
      <c r="L192" s="87">
        <v>42748</v>
      </c>
      <c r="M192" s="34" t="str">
        <f>IFERROR(INDEX(BASE,MATCH(tblPRINTERS[[#This Row],[CASE ID]],BASE_CASOS,0),MATCH(tblPRINTERS[[#Headers],[tratativa]],BASE_CAB,0)),"Retornar com prioridade")</f>
        <v>Não responder pesquisa</v>
      </c>
      <c r="N192" s="34" t="str">
        <f>IFERROR(INDEX(BASE,MATCH(tblPRINTERS[[#This Row],[CASE ID]],BASE_CASOS,0),MATCH(tblPRINTERS[[#Headers],[Observação]],BASE_CAB,0)),"-")</f>
        <v>Caso não resolvido / Equipamento em reparo</v>
      </c>
      <c r="O192" s="34" t="str">
        <f>IFERROR(INDEX(BASE,MATCH(tblPRINTERS[[#This Row],[CASE ID]],BASE_CASOS,0),MATCH(tblPRINTERS[[#Headers],[Observação Calback]],BASE_CAB,0)),"-")</f>
        <v>ira trocar cartucho</v>
      </c>
      <c r="P192" s="42" t="str">
        <f>IF(ISERROR(INDEX(QUALIDADE,MATCH(tblPRINTERS[[#This Row],[CASE ID]],PROTOCOLO_PESQUISAS,0),MATCH("Return Time",QUALIDADE_CAB,0)))=FALSE,INDEX(QUALIDADE,MATCH(tblPRINTERS[[#This Row],[CASE ID]],PROTOCOLO_PESQUISAS,0),MATCH("Return Time",QUALIDADE_CAB,0)),"")</f>
        <v/>
      </c>
      <c r="Q192" s="34" t="str">
        <f>IF(tblPRINTERS[[#This Row],[DATA | PESQUISA RECEBIDA]]="","",PROPER(TEXT(tblPRINTERS[[#This Row],[DATA | PESQUISA RECEBIDA]],"DDDD")))</f>
        <v/>
      </c>
    </row>
    <row r="193" spans="1:17" hidden="1">
      <c r="A193" s="54">
        <v>3035448859</v>
      </c>
      <c r="B193" s="54" t="s">
        <v>500</v>
      </c>
      <c r="C193" s="90">
        <v>42745.737639085652</v>
      </c>
      <c r="D193" s="86">
        <v>42747.737639085652</v>
      </c>
      <c r="E193" s="54" t="s">
        <v>846</v>
      </c>
      <c r="F193" s="54" t="s">
        <v>21</v>
      </c>
      <c r="G193" s="54" t="s">
        <v>302</v>
      </c>
      <c r="H193" s="54" t="s">
        <v>273</v>
      </c>
      <c r="I193" s="54" t="s">
        <v>3375</v>
      </c>
      <c r="J193" s="54" t="s">
        <v>303</v>
      </c>
      <c r="K193" s="54" t="s">
        <v>3381</v>
      </c>
      <c r="L193" s="87">
        <v>42749.507638888892</v>
      </c>
      <c r="M193" s="34" t="str">
        <f>IFERROR(INDEX(BASE,MATCH(tblPRINTERS[[#This Row],[CASE ID]],BASE_CASOS,0),MATCH(tblPRINTERS[[#Headers],[tratativa]],BASE_CAB,0)),"Retornar com prioridade")</f>
        <v>Não responder pesquisa</v>
      </c>
      <c r="N193" s="34" t="str">
        <f>IFERROR(INDEX(BASE,MATCH(tblPRINTERS[[#This Row],[CASE ID]],BASE_CASOS,0),MATCH(tblPRINTERS[[#Headers],[Observação]],BASE_CAB,0)),"-")</f>
        <v>Caso não resolvido / Equipamento em reparo</v>
      </c>
      <c r="O193" s="34" t="str">
        <f>IFERROR(INDEX(BASE,MATCH(tblPRINTERS[[#This Row],[CASE ID]],BASE_CASOS,0),MATCH(tblPRINTERS[[#Headers],[Observação Calback]],BASE_CAB,0)),"-")</f>
        <v>fora da garantia</v>
      </c>
      <c r="P193" s="42" t="str">
        <f>IF(ISERROR(INDEX(QUALIDADE,MATCH(tblPRINTERS[[#This Row],[CASE ID]],PROTOCOLO_PESQUISAS,0),MATCH("Return Time",QUALIDADE_CAB,0)))=FALSE,INDEX(QUALIDADE,MATCH(tblPRINTERS[[#This Row],[CASE ID]],PROTOCOLO_PESQUISAS,0),MATCH("Return Time",QUALIDADE_CAB,0)),"")</f>
        <v/>
      </c>
      <c r="Q193" s="34" t="str">
        <f>IF(tblPRINTERS[[#This Row],[DATA | PESQUISA RECEBIDA]]="","",PROPER(TEXT(tblPRINTERS[[#This Row],[DATA | PESQUISA RECEBIDA]],"DDDD")))</f>
        <v/>
      </c>
    </row>
    <row r="194" spans="1:17" hidden="1">
      <c r="A194" s="54">
        <v>3035656690</v>
      </c>
      <c r="B194" s="54" t="s">
        <v>500</v>
      </c>
      <c r="C194" s="90">
        <v>42745.737639085652</v>
      </c>
      <c r="D194" s="86">
        <v>42747.737639085652</v>
      </c>
      <c r="E194" s="54" t="s">
        <v>24</v>
      </c>
      <c r="F194" s="54" t="s">
        <v>24</v>
      </c>
      <c r="G194" s="54" t="s">
        <v>301</v>
      </c>
      <c r="H194" s="54" t="s">
        <v>23</v>
      </c>
      <c r="I194" s="54" t="s">
        <v>815</v>
      </c>
      <c r="J194" s="54" t="s">
        <v>303</v>
      </c>
      <c r="K194" s="54" t="s">
        <v>4029</v>
      </c>
      <c r="L194" s="87">
        <v>42748</v>
      </c>
      <c r="M194" s="34" t="str">
        <f>IFERROR(INDEX(BASE,MATCH(tblPRINTERS[[#This Row],[CASE ID]],BASE_CASOS,0),MATCH(tblPRINTERS[[#Headers],[tratativa]],BASE_CAB,0)),"Retornar com prioridade")</f>
        <v>Sem contato</v>
      </c>
      <c r="N194" s="34" t="str">
        <f>IFERROR(INDEX(BASE,MATCH(tblPRINTERS[[#This Row],[CASE ID]],BASE_CASOS,0),MATCH(tblPRINTERS[[#Headers],[Observação]],BASE_CAB,0)),"-")</f>
        <v>Sem contato (Só chama, Cx postal, Ocupado)</v>
      </c>
      <c r="O194" s="34" t="str">
        <f>IFERROR(INDEX(BASE,MATCH(tblPRINTERS[[#This Row],[CASE ID]],BASE_CASOS,0),MATCH(tblPRINTERS[[#Headers],[Observação Calback]],BASE_CAB,0)),"-")</f>
        <v>so chama</v>
      </c>
      <c r="P194" s="42" t="str">
        <f>IF(ISERROR(INDEX(QUALIDADE,MATCH(tblPRINTERS[[#This Row],[CASE ID]],PROTOCOLO_PESQUISAS,0),MATCH("Return Time",QUALIDADE_CAB,0)))=FALSE,INDEX(QUALIDADE,MATCH(tblPRINTERS[[#This Row],[CASE ID]],PROTOCOLO_PESQUISAS,0),MATCH("Return Time",QUALIDADE_CAB,0)),"")</f>
        <v/>
      </c>
      <c r="Q194" s="34" t="str">
        <f>IF(tblPRINTERS[[#This Row],[DATA | PESQUISA RECEBIDA]]="","",PROPER(TEXT(tblPRINTERS[[#This Row],[DATA | PESQUISA RECEBIDA]],"DDDD")))</f>
        <v/>
      </c>
    </row>
    <row r="195" spans="1:17" hidden="1">
      <c r="A195" s="54">
        <v>3035605901</v>
      </c>
      <c r="B195" s="54" t="s">
        <v>500</v>
      </c>
      <c r="C195" s="90">
        <v>42745.737639085652</v>
      </c>
      <c r="D195" s="86">
        <v>42747.737639085652</v>
      </c>
      <c r="E195" s="54" t="s">
        <v>20</v>
      </c>
      <c r="F195" s="54" t="s">
        <v>19</v>
      </c>
      <c r="G195" s="54" t="s">
        <v>302</v>
      </c>
      <c r="H195" s="54" t="s">
        <v>9</v>
      </c>
      <c r="I195" s="56" t="s">
        <v>3375</v>
      </c>
      <c r="J195" s="54" t="s">
        <v>304</v>
      </c>
      <c r="K195" s="56" t="s">
        <v>3382</v>
      </c>
      <c r="L195" s="87">
        <v>42749.511111111111</v>
      </c>
      <c r="M195" s="34" t="str">
        <f>IFERROR(INDEX(BASE,MATCH(tblPRINTERS[[#This Row],[CASE ID]],BASE_CASOS,0),MATCH(tblPRINTERS[[#Headers],[tratativa]],BASE_CAB,0)),"Retornar com prioridade")</f>
        <v>Não responder pesquisa</v>
      </c>
      <c r="N195" s="34" t="str">
        <f>IFERROR(INDEX(BASE,MATCH(tblPRINTERS[[#This Row],[CASE ID]],BASE_CASOS,0),MATCH(tblPRINTERS[[#Headers],[Observação]],BASE_CAB,0)),"-")</f>
        <v>Caso não resolvido / Equipamento em reparo</v>
      </c>
      <c r="O195" s="34" t="str">
        <f>IFERROR(INDEX(BASE,MATCH(tblPRINTERS[[#This Row],[CASE ID]],BASE_CASOS,0),MATCH(tblPRINTERS[[#Headers],[Observação Calback]],BASE_CAB,0)),"-")</f>
        <v>Já haviam ligado para falar da pesquisa e pediram para não responder</v>
      </c>
      <c r="P195" s="42" t="str">
        <f>IF(ISERROR(INDEX(QUALIDADE,MATCH(tblPRINTERS[[#This Row],[CASE ID]],PROTOCOLO_PESQUISAS,0),MATCH("Return Time",QUALIDADE_CAB,0)))=FALSE,INDEX(QUALIDADE,MATCH(tblPRINTERS[[#This Row],[CASE ID]],PROTOCOLO_PESQUISAS,0),MATCH("Return Time",QUALIDADE_CAB,0)),"")</f>
        <v/>
      </c>
      <c r="Q195" s="34" t="str">
        <f>IF(tblPRINTERS[[#This Row],[DATA | PESQUISA RECEBIDA]]="","",PROPER(TEXT(tblPRINTERS[[#This Row],[DATA | PESQUISA RECEBIDA]],"DDDD")))</f>
        <v/>
      </c>
    </row>
    <row r="196" spans="1:17" hidden="1">
      <c r="A196" s="54">
        <v>3035654764</v>
      </c>
      <c r="B196" s="54" t="s">
        <v>500</v>
      </c>
      <c r="C196" s="90">
        <v>42745.737639085652</v>
      </c>
      <c r="D196" s="86">
        <v>42747.737639085652</v>
      </c>
      <c r="E196" s="54" t="s">
        <v>1362</v>
      </c>
      <c r="F196" s="54" t="s">
        <v>1362</v>
      </c>
      <c r="G196" s="54" t="s">
        <v>301</v>
      </c>
      <c r="H196" s="54" t="s">
        <v>39</v>
      </c>
      <c r="I196" s="54" t="s">
        <v>817</v>
      </c>
      <c r="J196" s="54" t="s">
        <v>303</v>
      </c>
      <c r="K196" s="54" t="s">
        <v>305</v>
      </c>
      <c r="L196" s="87">
        <v>42753</v>
      </c>
      <c r="M196" s="34" t="str">
        <f>IFERROR(INDEX(BASE,MATCH(tblPRINTERS[[#This Row],[CASE ID]],BASE_CASOS,0),MATCH(tblPRINTERS[[#Headers],[tratativa]],BASE_CAB,0)),"Retornar com prioridade")</f>
        <v>Sem contato</v>
      </c>
      <c r="N196" s="34" t="str">
        <f>IFERROR(INDEX(BASE,MATCH(tblPRINTERS[[#This Row],[CASE ID]],BASE_CASOS,0),MATCH(tblPRINTERS[[#Headers],[Observação]],BASE_CAB,0)),"-")</f>
        <v>Sem contato (Só chama, Cx postal, Ocupado)</v>
      </c>
      <c r="O196" s="34" t="str">
        <f>IFERROR(INDEX(BASE,MATCH(tblPRINTERS[[#This Row],[CASE ID]],BASE_CASOS,0),MATCH(tblPRINTERS[[#Headers],[Observação Calback]],BASE_CAB,0)),"-")</f>
        <v>so 1 tel</v>
      </c>
      <c r="P196" s="42" t="str">
        <f>IF(ISERROR(INDEX(QUALIDADE,MATCH(tblPRINTERS[[#This Row],[CASE ID]],PROTOCOLO_PESQUISAS,0),MATCH("Return Time",QUALIDADE_CAB,0)))=FALSE,INDEX(QUALIDADE,MATCH(tblPRINTERS[[#This Row],[CASE ID]],PROTOCOLO_PESQUISAS,0),MATCH("Return Time",QUALIDADE_CAB,0)),"")</f>
        <v/>
      </c>
      <c r="Q196" s="34" t="str">
        <f>IF(tblPRINTERS[[#This Row],[DATA | PESQUISA RECEBIDA]]="","",PROPER(TEXT(tblPRINTERS[[#This Row],[DATA | PESQUISA RECEBIDA]],"DDDD")))</f>
        <v/>
      </c>
    </row>
    <row r="197" spans="1:17" hidden="1">
      <c r="A197" s="54">
        <v>3035646460</v>
      </c>
      <c r="B197" s="54" t="s">
        <v>500</v>
      </c>
      <c r="C197" s="90">
        <v>42745.737639085652</v>
      </c>
      <c r="D197" s="86">
        <v>42747.737639085652</v>
      </c>
      <c r="E197" s="54" t="s">
        <v>846</v>
      </c>
      <c r="F197" s="54" t="s">
        <v>846</v>
      </c>
      <c r="G197" s="54" t="s">
        <v>301</v>
      </c>
      <c r="H197" s="54" t="s">
        <v>273</v>
      </c>
      <c r="I197" s="54" t="s">
        <v>3375</v>
      </c>
      <c r="J197" s="54" t="s">
        <v>304</v>
      </c>
      <c r="K197" s="56" t="s">
        <v>3383</v>
      </c>
      <c r="L197" s="87">
        <v>42749.519444444442</v>
      </c>
      <c r="M197" s="34" t="str">
        <f>IFERROR(INDEX(BASE,MATCH(tblPRINTERS[[#This Row],[CASE ID]],BASE_CASOS,0),MATCH(tblPRINTERS[[#Headers],[tratativa]],BASE_CAB,0)),"Retornar com prioridade")</f>
        <v>Não responder pesquisa</v>
      </c>
      <c r="N197" s="34" t="str">
        <f>IFERROR(INDEX(BASE,MATCH(tblPRINTERS[[#This Row],[CASE ID]],BASE_CASOS,0),MATCH(tblPRINTERS[[#Headers],[Observação]],BASE_CAB,0)),"-")</f>
        <v>Caso não resolvido / Equipamento em reparo</v>
      </c>
      <c r="O197" s="34" t="str">
        <f>IFERROR(INDEX(BASE,MATCH(tblPRINTERS[[#This Row],[CASE ID]],BASE_CASOS,0),MATCH(tblPRINTERS[[#Headers],[Observação Calback]],BASE_CAB,0)),"-")</f>
        <v>Vai retornar com suporte</v>
      </c>
      <c r="P197" s="42" t="str">
        <f>IF(ISERROR(INDEX(QUALIDADE,MATCH(tblPRINTERS[[#This Row],[CASE ID]],PROTOCOLO_PESQUISAS,0),MATCH("Return Time",QUALIDADE_CAB,0)))=FALSE,INDEX(QUALIDADE,MATCH(tblPRINTERS[[#This Row],[CASE ID]],PROTOCOLO_PESQUISAS,0),MATCH("Return Time",QUALIDADE_CAB,0)),"")</f>
        <v/>
      </c>
      <c r="Q197" s="34" t="str">
        <f>IF(tblPRINTERS[[#This Row],[DATA | PESQUISA RECEBIDA]]="","",PROPER(TEXT(tblPRINTERS[[#This Row],[DATA | PESQUISA RECEBIDA]],"DDDD")))</f>
        <v/>
      </c>
    </row>
    <row r="198" spans="1:17" hidden="1">
      <c r="A198" s="54">
        <v>3035642562</v>
      </c>
      <c r="B198" s="54" t="s">
        <v>500</v>
      </c>
      <c r="C198" s="90">
        <v>42745.737639085652</v>
      </c>
      <c r="D198" s="86">
        <v>42747.737639085652</v>
      </c>
      <c r="E198" s="54" t="s">
        <v>1887</v>
      </c>
      <c r="F198" s="54" t="s">
        <v>1887</v>
      </c>
      <c r="G198" s="54" t="s">
        <v>301</v>
      </c>
      <c r="H198" s="54" t="s">
        <v>31</v>
      </c>
      <c r="I198" s="54" t="s">
        <v>817</v>
      </c>
      <c r="J198" s="54" t="s">
        <v>304</v>
      </c>
      <c r="K198" s="54" t="s">
        <v>2147</v>
      </c>
      <c r="L198" s="87">
        <v>42748</v>
      </c>
      <c r="M198" s="34" t="str">
        <f>IFERROR(INDEX(BASE,MATCH(tblPRINTERS[[#This Row],[CASE ID]],BASE_CASOS,0),MATCH(tblPRINTERS[[#Headers],[tratativa]],BASE_CAB,0)),"Retornar com prioridade")</f>
        <v>Não responder pesquisa</v>
      </c>
      <c r="N198" s="34" t="str">
        <f>IFERROR(INDEX(BASE,MATCH(tblPRINTERS[[#This Row],[CASE ID]],BASE_CASOS,0),MATCH(tblPRINTERS[[#Headers],[Observação]],BASE_CAB,0)),"-")</f>
        <v>Caso não resolvido / Equipamento em reparo</v>
      </c>
      <c r="O198" s="34" t="str">
        <f>IFERROR(INDEX(BASE,MATCH(tblPRINTERS[[#This Row],[CASE ID]],BASE_CASOS,0),MATCH(tblPRINTERS[[#Headers],[Observação Calback]],BASE_CAB,0)),"-")</f>
        <v>Já haviam ligado para falar da pesquisa e pediram para não responder</v>
      </c>
      <c r="P198" s="42" t="str">
        <f>IF(ISERROR(INDEX(QUALIDADE,MATCH(tblPRINTERS[[#This Row],[CASE ID]],PROTOCOLO_PESQUISAS,0),MATCH("Return Time",QUALIDADE_CAB,0)))=FALSE,INDEX(QUALIDADE,MATCH(tblPRINTERS[[#This Row],[CASE ID]],PROTOCOLO_PESQUISAS,0),MATCH("Return Time",QUALIDADE_CAB,0)),"")</f>
        <v/>
      </c>
      <c r="Q198" s="34" t="str">
        <f>IF(tblPRINTERS[[#This Row],[DATA | PESQUISA RECEBIDA]]="","",PROPER(TEXT(tblPRINTERS[[#This Row],[DATA | PESQUISA RECEBIDA]],"DDDD")))</f>
        <v/>
      </c>
    </row>
    <row r="199" spans="1:17" hidden="1">
      <c r="A199" s="54">
        <v>3035653413</v>
      </c>
      <c r="B199" s="54" t="s">
        <v>500</v>
      </c>
      <c r="C199" s="90">
        <v>42745.737639085652</v>
      </c>
      <c r="D199" s="86">
        <v>42747.737639085652</v>
      </c>
      <c r="E199" s="54" t="s">
        <v>53</v>
      </c>
      <c r="F199" s="54" t="s">
        <v>53</v>
      </c>
      <c r="G199" s="54" t="s">
        <v>301</v>
      </c>
      <c r="H199" s="54" t="s">
        <v>273</v>
      </c>
      <c r="I199" s="54" t="s">
        <v>3375</v>
      </c>
      <c r="J199" s="54" t="s">
        <v>304</v>
      </c>
      <c r="K199" s="54" t="s">
        <v>3382</v>
      </c>
      <c r="L199" s="87">
        <v>42749.536805555559</v>
      </c>
      <c r="M199" s="34" t="str">
        <f>IFERROR(INDEX(BASE,MATCH(tblPRINTERS[[#This Row],[CASE ID]],BASE_CASOS,0),MATCH(tblPRINTERS[[#Headers],[tratativa]],BASE_CAB,0)),"Retornar com prioridade")</f>
        <v>Sem contato</v>
      </c>
      <c r="N199" s="34" t="str">
        <f>IFERROR(INDEX(BASE,MATCH(tblPRINTERS[[#This Row],[CASE ID]],BASE_CASOS,0),MATCH(tblPRINTERS[[#Headers],[Observação]],BASE_CAB,0)),"-")</f>
        <v>Sem contato (Só chama, Cx postal, Ocupado)</v>
      </c>
      <c r="O199" s="34" t="str">
        <f>IFERROR(INDEX(BASE,MATCH(tblPRINTERS[[#This Row],[CASE ID]],BASE_CASOS,0),MATCH(tblPRINTERS[[#Headers],[Observação Calback]],BASE_CAB,0)),"-")</f>
        <v>so chama</v>
      </c>
      <c r="P199" s="42" t="str">
        <f>IF(ISERROR(INDEX(QUALIDADE,MATCH(tblPRINTERS[[#This Row],[CASE ID]],PROTOCOLO_PESQUISAS,0),MATCH("Return Time",QUALIDADE_CAB,0)))=FALSE,INDEX(QUALIDADE,MATCH(tblPRINTERS[[#This Row],[CASE ID]],PROTOCOLO_PESQUISAS,0),MATCH("Return Time",QUALIDADE_CAB,0)),"")</f>
        <v/>
      </c>
      <c r="Q199" s="34" t="str">
        <f>IF(tblPRINTERS[[#This Row],[DATA | PESQUISA RECEBIDA]]="","",PROPER(TEXT(tblPRINTERS[[#This Row],[DATA | PESQUISA RECEBIDA]],"DDDD")))</f>
        <v/>
      </c>
    </row>
    <row r="200" spans="1:17" hidden="1">
      <c r="A200" s="54">
        <v>3035641527</v>
      </c>
      <c r="B200" s="54" t="s">
        <v>500</v>
      </c>
      <c r="C200" s="90">
        <v>42745.737639085652</v>
      </c>
      <c r="D200" s="86">
        <v>42747.737639085652</v>
      </c>
      <c r="E200" s="54" t="s">
        <v>18</v>
      </c>
      <c r="F200" s="54" t="s">
        <v>18</v>
      </c>
      <c r="G200" s="54" t="s">
        <v>301</v>
      </c>
      <c r="H200" s="54" t="s">
        <v>9</v>
      </c>
      <c r="I200" s="54" t="s">
        <v>3375</v>
      </c>
      <c r="J200" s="54" t="s">
        <v>303</v>
      </c>
      <c r="K200" s="54" t="s">
        <v>3381</v>
      </c>
      <c r="L200" s="87">
        <v>42749.552777777775</v>
      </c>
      <c r="M200" s="34" t="str">
        <f>IFERROR(INDEX(BASE,MATCH(tblPRINTERS[[#This Row],[CASE ID]],BASE_CASOS,0),MATCH(tblPRINTERS[[#Headers],[tratativa]],BASE_CAB,0)),"Retornar com prioridade")</f>
        <v>Não responder pesquisa</v>
      </c>
      <c r="N200" s="34" t="str">
        <f>IFERROR(INDEX(BASE,MATCH(tblPRINTERS[[#This Row],[CASE ID]],BASE_CASOS,0),MATCH(tblPRINTERS[[#Headers],[Observação]],BASE_CAB,0)),"-")</f>
        <v>Caso não resolvido / Equipamento em reparo</v>
      </c>
      <c r="O200" s="34" t="str">
        <f>IFERROR(INDEX(BASE,MATCH(tblPRINTERS[[#This Row],[CASE ID]],BASE_CASOS,0),MATCH(tblPRINTERS[[#Headers],[Observação Calback]],BASE_CAB,0)),"-")</f>
        <v>Indicada para assistencia</v>
      </c>
      <c r="P200" s="42" t="str">
        <f>IF(ISERROR(INDEX(QUALIDADE,MATCH(tblPRINTERS[[#This Row],[CASE ID]],PROTOCOLO_PESQUISAS,0),MATCH("Return Time",QUALIDADE_CAB,0)))=FALSE,INDEX(QUALIDADE,MATCH(tblPRINTERS[[#This Row],[CASE ID]],PROTOCOLO_PESQUISAS,0),MATCH("Return Time",QUALIDADE_CAB,0)),"")</f>
        <v/>
      </c>
      <c r="Q200" s="34" t="str">
        <f>IF(tblPRINTERS[[#This Row],[DATA | PESQUISA RECEBIDA]]="","",PROPER(TEXT(tblPRINTERS[[#This Row],[DATA | PESQUISA RECEBIDA]],"DDDD")))</f>
        <v/>
      </c>
    </row>
    <row r="201" spans="1:17" hidden="1">
      <c r="A201" s="54">
        <v>3035660479</v>
      </c>
      <c r="B201" s="54" t="s">
        <v>500</v>
      </c>
      <c r="C201" s="90">
        <v>42745.737639085652</v>
      </c>
      <c r="D201" s="86">
        <v>42747.737639085652</v>
      </c>
      <c r="E201" s="54" t="s">
        <v>1537</v>
      </c>
      <c r="F201" s="54" t="s">
        <v>1537</v>
      </c>
      <c r="G201" s="54" t="s">
        <v>301</v>
      </c>
      <c r="H201" s="54" t="s">
        <v>23</v>
      </c>
      <c r="I201" s="54" t="s">
        <v>817</v>
      </c>
      <c r="J201" s="54" t="s">
        <v>303</v>
      </c>
      <c r="K201" s="54" t="s">
        <v>305</v>
      </c>
      <c r="L201" s="87">
        <v>42753</v>
      </c>
      <c r="M201" s="34" t="str">
        <f>IFERROR(INDEX(BASE,MATCH(tblPRINTERS[[#This Row],[CASE ID]],BASE_CASOS,0),MATCH(tblPRINTERS[[#Headers],[tratativa]],BASE_CAB,0)),"Retornar com prioridade")</f>
        <v>Sem contato</v>
      </c>
      <c r="N201" s="34" t="str">
        <f>IFERROR(INDEX(BASE,MATCH(tblPRINTERS[[#This Row],[CASE ID]],BASE_CASOS,0),MATCH(tblPRINTERS[[#Headers],[Observação]],BASE_CAB,0)),"-")</f>
        <v>Sem contato (Só chama, Cx postal, Ocupado)</v>
      </c>
      <c r="O201" s="34" t="str">
        <f>IFERROR(INDEX(BASE,MATCH(tblPRINTERS[[#This Row],[CASE ID]],BASE_CASOS,0),MATCH(tblPRINTERS[[#Headers],[Observação Calback]],BASE_CAB,0)),"-")</f>
        <v>so 1 tel</v>
      </c>
      <c r="P201" s="42" t="str">
        <f>IF(ISERROR(INDEX(QUALIDADE,MATCH(tblPRINTERS[[#This Row],[CASE ID]],PROTOCOLO_PESQUISAS,0),MATCH("Return Time",QUALIDADE_CAB,0)))=FALSE,INDEX(QUALIDADE,MATCH(tblPRINTERS[[#This Row],[CASE ID]],PROTOCOLO_PESQUISAS,0),MATCH("Return Time",QUALIDADE_CAB,0)),"")</f>
        <v/>
      </c>
      <c r="Q201" s="34" t="str">
        <f>IF(tblPRINTERS[[#This Row],[DATA | PESQUISA RECEBIDA]]="","",PROPER(TEXT(tblPRINTERS[[#This Row],[DATA | PESQUISA RECEBIDA]],"DDDD")))</f>
        <v/>
      </c>
    </row>
    <row r="202" spans="1:17" hidden="1">
      <c r="A202" s="54">
        <v>3035652658</v>
      </c>
      <c r="B202" s="54" t="s">
        <v>500</v>
      </c>
      <c r="C202" s="90">
        <v>42745.737639085652</v>
      </c>
      <c r="D202" s="86">
        <v>42747.737639085652</v>
      </c>
      <c r="E202" s="54" t="s">
        <v>861</v>
      </c>
      <c r="F202" s="54" t="s">
        <v>861</v>
      </c>
      <c r="G202" s="54" t="s">
        <v>301</v>
      </c>
      <c r="H202" s="54" t="s">
        <v>31</v>
      </c>
      <c r="I202" s="54" t="s">
        <v>817</v>
      </c>
      <c r="J202" s="54" t="s">
        <v>304</v>
      </c>
      <c r="K202" s="54" t="s">
        <v>307</v>
      </c>
      <c r="L202" s="87">
        <v>42748</v>
      </c>
      <c r="M202" s="34" t="str">
        <f>IFERROR(INDEX(BASE,MATCH(tblPRINTERS[[#This Row],[CASE ID]],BASE_CASOS,0),MATCH(tblPRINTERS[[#Headers],[tratativa]],BASE_CAB,0)),"Retornar com prioridade")</f>
        <v>Responder pesquisa</v>
      </c>
      <c r="N202" s="34" t="str">
        <f>IFERROR(INDEX(BASE,MATCH(tblPRINTERS[[#This Row],[CASE ID]],BASE_CASOS,0),MATCH(tblPRINTERS[[#Headers],[Observação]],BASE_CAB,0)),"-")</f>
        <v>Nota 9/10</v>
      </c>
      <c r="O202" s="34" t="str">
        <f>IFERROR(INDEX(BASE,MATCH(tblPRINTERS[[#This Row],[CASE ID]],BASE_CASOS,0),MATCH(tblPRINTERS[[#Headers],[Observação Calback]],BASE_CAB,0)),"-")</f>
        <v>ira responder</v>
      </c>
      <c r="P202" s="42" t="str">
        <f>IF(ISERROR(INDEX(QUALIDADE,MATCH(tblPRINTERS[[#This Row],[CASE ID]],PROTOCOLO_PESQUISAS,0),MATCH("Return Time",QUALIDADE_CAB,0)))=FALSE,INDEX(QUALIDADE,MATCH(tblPRINTERS[[#This Row],[CASE ID]],PROTOCOLO_PESQUISAS,0),MATCH("Return Time",QUALIDADE_CAB,0)),"")</f>
        <v/>
      </c>
      <c r="Q202" s="34" t="str">
        <f>IF(tblPRINTERS[[#This Row],[DATA | PESQUISA RECEBIDA]]="","",PROPER(TEXT(tblPRINTERS[[#This Row],[DATA | PESQUISA RECEBIDA]],"DDDD")))</f>
        <v/>
      </c>
    </row>
    <row r="203" spans="1:17" hidden="1">
      <c r="A203" s="54">
        <v>3035655501</v>
      </c>
      <c r="B203" s="54" t="s">
        <v>500</v>
      </c>
      <c r="C203" s="90">
        <v>42745.737639085652</v>
      </c>
      <c r="D203" s="86">
        <v>42747.737639085652</v>
      </c>
      <c r="E203" s="54" t="s">
        <v>44</v>
      </c>
      <c r="F203" s="54" t="s">
        <v>44</v>
      </c>
      <c r="G203" s="54" t="s">
        <v>301</v>
      </c>
      <c r="H203" s="54" t="s">
        <v>39</v>
      </c>
      <c r="I203" s="54" t="s">
        <v>3375</v>
      </c>
      <c r="J203" s="54" t="s">
        <v>303</v>
      </c>
      <c r="K203" s="54" t="s">
        <v>3384</v>
      </c>
      <c r="L203" s="87">
        <v>42749.557638888888</v>
      </c>
      <c r="M203" s="34" t="str">
        <f>IFERROR(INDEX(BASE,MATCH(tblPRINTERS[[#This Row],[CASE ID]],BASE_CASOS,0),MATCH(tblPRINTERS[[#Headers],[tratativa]],BASE_CAB,0)),"Retornar com prioridade")</f>
        <v>Retornar com prioridade</v>
      </c>
      <c r="N203" s="34" t="str">
        <f>IFERROR(INDEX(BASE,MATCH(tblPRINTERS[[#This Row],[CASE ID]],BASE_CASOS,0),MATCH(tblPRINTERS[[#Headers],[Observação]],BASE_CAB,0)),"-")</f>
        <v>-</v>
      </c>
      <c r="O203" s="34" t="str">
        <f>IFERROR(INDEX(BASE,MATCH(tblPRINTERS[[#This Row],[CASE ID]],BASE_CASOS,0),MATCH(tblPRINTERS[[#Headers],[Observação Calback]],BASE_CAB,0)),"-")</f>
        <v>-</v>
      </c>
      <c r="P203" s="42" t="str">
        <f>IF(ISERROR(INDEX(QUALIDADE,MATCH(tblPRINTERS[[#This Row],[CASE ID]],PROTOCOLO_PESQUISAS,0),MATCH("Return Time",QUALIDADE_CAB,0)))=FALSE,INDEX(QUALIDADE,MATCH(tblPRINTERS[[#This Row],[CASE ID]],PROTOCOLO_PESQUISAS,0),MATCH("Return Time",QUALIDADE_CAB,0)),"")</f>
        <v/>
      </c>
      <c r="Q203" s="34" t="str">
        <f>IF(tblPRINTERS[[#This Row],[DATA | PESQUISA RECEBIDA]]="","",PROPER(TEXT(tblPRINTERS[[#This Row],[DATA | PESQUISA RECEBIDA]],"DDDD")))</f>
        <v/>
      </c>
    </row>
    <row r="204" spans="1:17" hidden="1">
      <c r="A204" s="54">
        <v>3035653105</v>
      </c>
      <c r="B204" s="54" t="s">
        <v>500</v>
      </c>
      <c r="C204" s="90">
        <v>42745.737639085652</v>
      </c>
      <c r="D204" s="86">
        <v>42747.737639085652</v>
      </c>
      <c r="E204" s="54" t="s">
        <v>14</v>
      </c>
      <c r="F204" s="54" t="s">
        <v>14</v>
      </c>
      <c r="G204" s="54" t="s">
        <v>301</v>
      </c>
      <c r="H204" s="54" t="s">
        <v>9</v>
      </c>
      <c r="I204" s="54" t="s">
        <v>817</v>
      </c>
      <c r="J204" s="54" t="s">
        <v>304</v>
      </c>
      <c r="K204" s="54" t="s">
        <v>307</v>
      </c>
      <c r="L204" s="87">
        <v>42748</v>
      </c>
      <c r="M204" s="34" t="str">
        <f>IFERROR(INDEX(BASE,MATCH(tblPRINTERS[[#This Row],[CASE ID]],BASE_CASOS,0),MATCH(tblPRINTERS[[#Headers],[tratativa]],BASE_CAB,0)),"Retornar com prioridade")</f>
        <v>Responder pesquisa</v>
      </c>
      <c r="N204" s="34" t="str">
        <f>IFERROR(INDEX(BASE,MATCH(tblPRINTERS[[#This Row],[CASE ID]],BASE_CASOS,0),MATCH(tblPRINTERS[[#Headers],[Observação]],BASE_CAB,0)),"-")</f>
        <v>Nota 9/10</v>
      </c>
      <c r="O204" s="34" t="str">
        <f>IFERROR(INDEX(BASE,MATCH(tblPRINTERS[[#This Row],[CASE ID]],BASE_CASOS,0),MATCH(tblPRINTERS[[#Headers],[Observação Calback]],BASE_CAB,0)),"-")</f>
        <v>ira responder</v>
      </c>
      <c r="P204" s="42" t="str">
        <f>IF(ISERROR(INDEX(QUALIDADE,MATCH(tblPRINTERS[[#This Row],[CASE ID]],PROTOCOLO_PESQUISAS,0),MATCH("Return Time",QUALIDADE_CAB,0)))=FALSE,INDEX(QUALIDADE,MATCH(tblPRINTERS[[#This Row],[CASE ID]],PROTOCOLO_PESQUISAS,0),MATCH("Return Time",QUALIDADE_CAB,0)),"")</f>
        <v/>
      </c>
      <c r="Q204" s="34" t="str">
        <f>IF(tblPRINTERS[[#This Row],[DATA | PESQUISA RECEBIDA]]="","",PROPER(TEXT(tblPRINTERS[[#This Row],[DATA | PESQUISA RECEBIDA]],"DDDD")))</f>
        <v/>
      </c>
    </row>
    <row r="205" spans="1:17" hidden="1">
      <c r="A205" s="54">
        <v>3035645280</v>
      </c>
      <c r="B205" s="54" t="s">
        <v>500</v>
      </c>
      <c r="C205" s="90">
        <v>42745.737639085652</v>
      </c>
      <c r="D205" s="86">
        <v>42747.737639085652</v>
      </c>
      <c r="E205" s="54" t="s">
        <v>32</v>
      </c>
      <c r="F205" s="54" t="s">
        <v>32</v>
      </c>
      <c r="G205" s="54" t="s">
        <v>301</v>
      </c>
      <c r="H205" s="54" t="s">
        <v>31</v>
      </c>
      <c r="I205" s="54" t="s">
        <v>3375</v>
      </c>
      <c r="J205" s="54" t="s">
        <v>303</v>
      </c>
      <c r="K205" s="54" t="s">
        <v>3385</v>
      </c>
      <c r="L205" s="87">
        <v>42749.560416666667</v>
      </c>
      <c r="M205" s="34" t="str">
        <f>IFERROR(INDEX(BASE,MATCH(tblPRINTERS[[#This Row],[CASE ID]],BASE_CASOS,0),MATCH(tblPRINTERS[[#Headers],[tratativa]],BASE_CAB,0)),"Retornar com prioridade")</f>
        <v>Não responder pesquisa</v>
      </c>
      <c r="N205" s="34" t="str">
        <f>IFERROR(INDEX(BASE,MATCH(tblPRINTERS[[#This Row],[CASE ID]],BASE_CASOS,0),MATCH(tblPRINTERS[[#Headers],[Observação]],BASE_CAB,0)),"-")</f>
        <v>Caso não resolvido / Equipamento em reparo</v>
      </c>
      <c r="O205" s="34" t="str">
        <f>IFERROR(INDEX(BASE,MATCH(tblPRINTERS[[#This Row],[CASE ID]],BASE_CASOS,0),MATCH(tblPRINTERS[[#Headers],[Observação Calback]],BASE_CAB,0)),"-")</f>
        <v>Enviado FUPO</v>
      </c>
      <c r="P205" s="42" t="str">
        <f>IF(ISERROR(INDEX(QUALIDADE,MATCH(tblPRINTERS[[#This Row],[CASE ID]],PROTOCOLO_PESQUISAS,0),MATCH("Return Time",QUALIDADE_CAB,0)))=FALSE,INDEX(QUALIDADE,MATCH(tblPRINTERS[[#This Row],[CASE ID]],PROTOCOLO_PESQUISAS,0),MATCH("Return Time",QUALIDADE_CAB,0)),"")</f>
        <v/>
      </c>
      <c r="Q205" s="34" t="str">
        <f>IF(tblPRINTERS[[#This Row],[DATA | PESQUISA RECEBIDA]]="","",PROPER(TEXT(tblPRINTERS[[#This Row],[DATA | PESQUISA RECEBIDA]],"DDDD")))</f>
        <v/>
      </c>
    </row>
    <row r="206" spans="1:17" hidden="1">
      <c r="A206" s="54">
        <v>3035645047</v>
      </c>
      <c r="B206" s="54" t="s">
        <v>500</v>
      </c>
      <c r="C206" s="90">
        <v>42745.737639085652</v>
      </c>
      <c r="D206" s="86">
        <v>42747.737639085652</v>
      </c>
      <c r="E206" s="54" t="s">
        <v>1423</v>
      </c>
      <c r="F206" s="54" t="s">
        <v>1423</v>
      </c>
      <c r="G206" s="54" t="s">
        <v>301</v>
      </c>
      <c r="H206" s="54" t="s">
        <v>31</v>
      </c>
      <c r="I206" s="54" t="s">
        <v>817</v>
      </c>
      <c r="J206" s="54" t="s">
        <v>303</v>
      </c>
      <c r="K206" s="54" t="s">
        <v>305</v>
      </c>
      <c r="L206" s="87">
        <v>42753</v>
      </c>
      <c r="M206" s="34" t="str">
        <f>IFERROR(INDEX(BASE,MATCH(tblPRINTERS[[#This Row],[CASE ID]],BASE_CASOS,0),MATCH(tblPRINTERS[[#Headers],[tratativa]],BASE_CAB,0)),"Retornar com prioridade")</f>
        <v>Sem contato</v>
      </c>
      <c r="N206" s="34" t="str">
        <f>IFERROR(INDEX(BASE,MATCH(tblPRINTERS[[#This Row],[CASE ID]],BASE_CASOS,0),MATCH(tblPRINTERS[[#Headers],[Observação]],BASE_CAB,0)),"-")</f>
        <v>Sem contato (Só chama, Cx postal, Ocupado)</v>
      </c>
      <c r="O206" s="34" t="str">
        <f>IFERROR(INDEX(BASE,MATCH(tblPRINTERS[[#This Row],[CASE ID]],BASE_CASOS,0),MATCH(tblPRINTERS[[#Headers],[Observação Calback]],BASE_CAB,0)),"-")</f>
        <v>tel 1 nao e da cliente</v>
      </c>
      <c r="P206" s="42" t="str">
        <f>IF(ISERROR(INDEX(QUALIDADE,MATCH(tblPRINTERS[[#This Row],[CASE ID]],PROTOCOLO_PESQUISAS,0),MATCH("Return Time",QUALIDADE_CAB,0)))=FALSE,INDEX(QUALIDADE,MATCH(tblPRINTERS[[#This Row],[CASE ID]],PROTOCOLO_PESQUISAS,0),MATCH("Return Time",QUALIDADE_CAB,0)),"")</f>
        <v/>
      </c>
      <c r="Q206" s="34" t="str">
        <f>IF(tblPRINTERS[[#This Row],[DATA | PESQUISA RECEBIDA]]="","",PROPER(TEXT(tblPRINTERS[[#This Row],[DATA | PESQUISA RECEBIDA]],"DDDD")))</f>
        <v/>
      </c>
    </row>
    <row r="207" spans="1:17" hidden="1">
      <c r="A207" s="54">
        <v>3035644279</v>
      </c>
      <c r="B207" s="54" t="s">
        <v>500</v>
      </c>
      <c r="C207" s="90">
        <v>42745.737639085652</v>
      </c>
      <c r="D207" s="86">
        <v>42747.737639085652</v>
      </c>
      <c r="E207" s="54" t="s">
        <v>17</v>
      </c>
      <c r="F207" s="54" t="s">
        <v>17</v>
      </c>
      <c r="G207" s="54" t="s">
        <v>301</v>
      </c>
      <c r="H207" s="54" t="s">
        <v>9</v>
      </c>
      <c r="I207" s="54" t="s">
        <v>3375</v>
      </c>
      <c r="J207" s="54" t="s">
        <v>303</v>
      </c>
      <c r="K207" s="54" t="s">
        <v>305</v>
      </c>
      <c r="L207" s="87">
        <v>42753</v>
      </c>
      <c r="M207" s="34" t="str">
        <f>IFERROR(INDEX(BASE,MATCH(tblPRINTERS[[#This Row],[CASE ID]],BASE_CASOS,0),MATCH(tblPRINTERS[[#Headers],[tratativa]],BASE_CAB,0)),"Retornar com prioridade")</f>
        <v>Sem contato</v>
      </c>
      <c r="N207" s="34" t="str">
        <f>IFERROR(INDEX(BASE,MATCH(tblPRINTERS[[#This Row],[CASE ID]],BASE_CASOS,0),MATCH(tblPRINTERS[[#Headers],[Observação]],BASE_CAB,0)),"-")</f>
        <v>Sem contato (Só chama, Cx postal, Ocupado)</v>
      </c>
      <c r="O207" s="34" t="str">
        <f>IFERROR(INDEX(BASE,MATCH(tblPRINTERS[[#This Row],[CASE ID]],BASE_CASOS,0),MATCH(tblPRINTERS[[#Headers],[Observação Calback]],BASE_CAB,0)),"-")</f>
        <v>ambos tels so chama</v>
      </c>
      <c r="P207" s="42" t="str">
        <f>IF(ISERROR(INDEX(QUALIDADE,MATCH(tblPRINTERS[[#This Row],[CASE ID]],PROTOCOLO_PESQUISAS,0),MATCH("Return Time",QUALIDADE_CAB,0)))=FALSE,INDEX(QUALIDADE,MATCH(tblPRINTERS[[#This Row],[CASE ID]],PROTOCOLO_PESQUISAS,0),MATCH("Return Time",QUALIDADE_CAB,0)),"")</f>
        <v/>
      </c>
      <c r="Q207" s="34" t="str">
        <f>IF(tblPRINTERS[[#This Row],[DATA | PESQUISA RECEBIDA]]="","",PROPER(TEXT(tblPRINTERS[[#This Row],[DATA | PESQUISA RECEBIDA]],"DDDD")))</f>
        <v/>
      </c>
    </row>
    <row r="208" spans="1:17" hidden="1">
      <c r="A208" s="54">
        <v>3035468351</v>
      </c>
      <c r="B208" s="54" t="s">
        <v>500</v>
      </c>
      <c r="C208" s="90">
        <v>42745.737639085652</v>
      </c>
      <c r="D208" s="86">
        <v>42747.737639085652</v>
      </c>
      <c r="E208" s="54" t="s">
        <v>18</v>
      </c>
      <c r="F208" s="54" t="s">
        <v>19</v>
      </c>
      <c r="G208" s="54" t="s">
        <v>302</v>
      </c>
      <c r="H208" s="54" t="s">
        <v>9</v>
      </c>
      <c r="I208" s="54" t="s">
        <v>3375</v>
      </c>
      <c r="J208" s="54" t="s">
        <v>303</v>
      </c>
      <c r="K208" s="54" t="s">
        <v>3385</v>
      </c>
      <c r="L208" s="87">
        <v>42749.567361111112</v>
      </c>
      <c r="M208" s="34" t="str">
        <f>IFERROR(INDEX(BASE,MATCH(tblPRINTERS[[#This Row],[CASE ID]],BASE_CASOS,0),MATCH(tblPRINTERS[[#Headers],[tratativa]],BASE_CAB,0)),"Retornar com prioridade")</f>
        <v>Responder pesquisa</v>
      </c>
      <c r="N208" s="34" t="str">
        <f>IFERROR(INDEX(BASE,MATCH(tblPRINTERS[[#This Row],[CASE ID]],BASE_CASOS,0),MATCH(tblPRINTERS[[#Headers],[Observação]],BASE_CAB,0)),"-")</f>
        <v>Nota 9/10</v>
      </c>
      <c r="O208" s="34" t="str">
        <f>IFERROR(INDEX(BASE,MATCH(tblPRINTERS[[#This Row],[CASE ID]],BASE_CASOS,0),MATCH(tblPRINTERS[[#Headers],[Observação Calback]],BASE_CAB,0)),"-")</f>
        <v>ira responder</v>
      </c>
      <c r="P208" s="42" t="str">
        <f>IF(ISERROR(INDEX(QUALIDADE,MATCH(tblPRINTERS[[#This Row],[CASE ID]],PROTOCOLO_PESQUISAS,0),MATCH("Return Time",QUALIDADE_CAB,0)))=FALSE,INDEX(QUALIDADE,MATCH(tblPRINTERS[[#This Row],[CASE ID]],PROTOCOLO_PESQUISAS,0),MATCH("Return Time",QUALIDADE_CAB,0)),"")</f>
        <v/>
      </c>
      <c r="Q208" s="34" t="str">
        <f>IF(tblPRINTERS[[#This Row],[DATA | PESQUISA RECEBIDA]]="","",PROPER(TEXT(tblPRINTERS[[#This Row],[DATA | PESQUISA RECEBIDA]],"DDDD")))</f>
        <v/>
      </c>
    </row>
    <row r="209" spans="1:17" hidden="1">
      <c r="A209" s="54">
        <v>3035660148</v>
      </c>
      <c r="B209" s="54" t="s">
        <v>500</v>
      </c>
      <c r="C209" s="90">
        <v>42745.737639085652</v>
      </c>
      <c r="D209" s="86">
        <v>42747.737639085652</v>
      </c>
      <c r="E209" s="54" t="s">
        <v>24</v>
      </c>
      <c r="F209" s="54" t="s">
        <v>24</v>
      </c>
      <c r="G209" s="54" t="s">
        <v>301</v>
      </c>
      <c r="H209" s="54" t="s">
        <v>23</v>
      </c>
      <c r="I209" s="54" t="s">
        <v>817</v>
      </c>
      <c r="J209" s="54" t="s">
        <v>304</v>
      </c>
      <c r="K209" s="54" t="s">
        <v>1533</v>
      </c>
      <c r="L209" s="87">
        <v>42748</v>
      </c>
      <c r="M209" s="34" t="str">
        <f>IFERROR(INDEX(BASE,MATCH(tblPRINTERS[[#This Row],[CASE ID]],BASE_CASOS,0),MATCH(tblPRINTERS[[#Headers],[tratativa]],BASE_CAB,0)),"Retornar com prioridade")</f>
        <v>Retornar com prioridade</v>
      </c>
      <c r="N209" s="34" t="str">
        <f>IFERROR(INDEX(BASE,MATCH(tblPRINTERS[[#This Row],[CASE ID]],BASE_CASOS,0),MATCH(tblPRINTERS[[#Headers],[Observação]],BASE_CAB,0)),"-")</f>
        <v>-</v>
      </c>
      <c r="O209" s="34" t="str">
        <f>IFERROR(INDEX(BASE,MATCH(tblPRINTERS[[#This Row],[CASE ID]],BASE_CASOS,0),MATCH(tblPRINTERS[[#Headers],[Observação Calback]],BASE_CAB,0)),"-")</f>
        <v>-</v>
      </c>
      <c r="P209" s="42" t="str">
        <f>IF(ISERROR(INDEX(QUALIDADE,MATCH(tblPRINTERS[[#This Row],[CASE ID]],PROTOCOLO_PESQUISAS,0),MATCH("Return Time",QUALIDADE_CAB,0)))=FALSE,INDEX(QUALIDADE,MATCH(tblPRINTERS[[#This Row],[CASE ID]],PROTOCOLO_PESQUISAS,0),MATCH("Return Time",QUALIDADE_CAB,0)),"")</f>
        <v/>
      </c>
      <c r="Q209" s="34" t="str">
        <f>IF(tblPRINTERS[[#This Row],[DATA | PESQUISA RECEBIDA]]="","",PROPER(TEXT(tblPRINTERS[[#This Row],[DATA | PESQUISA RECEBIDA]],"DDDD")))</f>
        <v/>
      </c>
    </row>
    <row r="210" spans="1:17" hidden="1">
      <c r="A210" s="54">
        <v>3035641561</v>
      </c>
      <c r="B210" s="54" t="s">
        <v>500</v>
      </c>
      <c r="C210" s="90">
        <v>42745.737639085652</v>
      </c>
      <c r="D210" s="86">
        <v>42747.737639085652</v>
      </c>
      <c r="E210" s="54" t="s">
        <v>20</v>
      </c>
      <c r="F210" s="54" t="s">
        <v>20</v>
      </c>
      <c r="G210" s="54" t="s">
        <v>301</v>
      </c>
      <c r="H210" s="54" t="s">
        <v>9</v>
      </c>
      <c r="I210" s="54" t="s">
        <v>3375</v>
      </c>
      <c r="J210" s="54" t="s">
        <v>304</v>
      </c>
      <c r="K210" s="54" t="s">
        <v>3386</v>
      </c>
      <c r="L210" s="87">
        <v>42749.570138888892</v>
      </c>
      <c r="M210" s="34" t="str">
        <f>IFERROR(INDEX(BASE,MATCH(tblPRINTERS[[#This Row],[CASE ID]],BASE_CASOS,0),MATCH(tblPRINTERS[[#Headers],[tratativa]],BASE_CAB,0)),"Retornar com prioridade")</f>
        <v>Não responder pesquisa</v>
      </c>
      <c r="N210" s="34" t="str">
        <f>IFERROR(INDEX(BASE,MATCH(tblPRINTERS[[#This Row],[CASE ID]],BASE_CASOS,0),MATCH(tblPRINTERS[[#Headers],[Observação]],BASE_CAB,0)),"-")</f>
        <v>Caso não resolvido / Equipamento em reparo</v>
      </c>
      <c r="O210" s="34" t="str">
        <f>IFERROR(INDEX(BASE,MATCH(tblPRINTERS[[#This Row],[CASE ID]],BASE_CASOS,0),MATCH(tblPRINTERS[[#Headers],[Observação Calback]],BASE_CAB,0)),"-")</f>
        <v>retornar terca</v>
      </c>
      <c r="P210" s="42" t="str">
        <f>IF(ISERROR(INDEX(QUALIDADE,MATCH(tblPRINTERS[[#This Row],[CASE ID]],PROTOCOLO_PESQUISAS,0),MATCH("Return Time",QUALIDADE_CAB,0)))=FALSE,INDEX(QUALIDADE,MATCH(tblPRINTERS[[#This Row],[CASE ID]],PROTOCOLO_PESQUISAS,0),MATCH("Return Time",QUALIDADE_CAB,0)),"")</f>
        <v/>
      </c>
      <c r="Q210" s="34" t="str">
        <f>IF(tblPRINTERS[[#This Row],[DATA | PESQUISA RECEBIDA]]="","",PROPER(TEXT(tblPRINTERS[[#This Row],[DATA | PESQUISA RECEBIDA]],"DDDD")))</f>
        <v/>
      </c>
    </row>
    <row r="211" spans="1:17" hidden="1">
      <c r="A211" s="54">
        <v>3035651516</v>
      </c>
      <c r="B211" s="54" t="s">
        <v>500</v>
      </c>
      <c r="C211" s="90">
        <v>42745.737639085652</v>
      </c>
      <c r="D211" s="86">
        <v>42747.737639085652</v>
      </c>
      <c r="E211" s="54" t="s">
        <v>1453</v>
      </c>
      <c r="F211" s="54" t="s">
        <v>1453</v>
      </c>
      <c r="G211" s="54" t="s">
        <v>301</v>
      </c>
      <c r="H211" s="54" t="s">
        <v>39</v>
      </c>
      <c r="I211" s="54" t="s">
        <v>3375</v>
      </c>
      <c r="J211" s="54" t="s">
        <v>303</v>
      </c>
      <c r="K211" s="54" t="s">
        <v>3385</v>
      </c>
      <c r="L211" s="87">
        <v>42749.572222222225</v>
      </c>
      <c r="M211" s="34" t="str">
        <f>IFERROR(INDEX(BASE,MATCH(tblPRINTERS[[#This Row],[CASE ID]],BASE_CASOS,0),MATCH(tblPRINTERS[[#Headers],[tratativa]],BASE_CAB,0)),"Retornar com prioridade")</f>
        <v>Responder pesquisa</v>
      </c>
      <c r="N211" s="34" t="str">
        <f>IFERROR(INDEX(BASE,MATCH(tblPRINTERS[[#This Row],[CASE ID]],BASE_CASOS,0),MATCH(tblPRINTERS[[#Headers],[Observação]],BASE_CAB,0)),"-")</f>
        <v>Nota 9/10</v>
      </c>
      <c r="O211" s="34" t="str">
        <f>IFERROR(INDEX(BASE,MATCH(tblPRINTERS[[#This Row],[CASE ID]],BASE_CASOS,0),MATCH(tblPRINTERS[[#Headers],[Observação Calback]],BASE_CAB,0)),"-")</f>
        <v>ira responder (21) 986631390</v>
      </c>
      <c r="P211" s="42" t="str">
        <f>IF(ISERROR(INDEX(QUALIDADE,MATCH(tblPRINTERS[[#This Row],[CASE ID]],PROTOCOLO_PESQUISAS,0),MATCH("Return Time",QUALIDADE_CAB,0)))=FALSE,INDEX(QUALIDADE,MATCH(tblPRINTERS[[#This Row],[CASE ID]],PROTOCOLO_PESQUISAS,0),MATCH("Return Time",QUALIDADE_CAB,0)),"")</f>
        <v/>
      </c>
      <c r="Q211" s="34" t="str">
        <f>IF(tblPRINTERS[[#This Row],[DATA | PESQUISA RECEBIDA]]="","",PROPER(TEXT(tblPRINTERS[[#This Row],[DATA | PESQUISA RECEBIDA]],"DDDD")))</f>
        <v/>
      </c>
    </row>
    <row r="212" spans="1:17" hidden="1">
      <c r="A212" s="54">
        <v>3035608567</v>
      </c>
      <c r="B212" s="54" t="s">
        <v>500</v>
      </c>
      <c r="C212" s="90">
        <v>42744.737788773149</v>
      </c>
      <c r="D212" s="86">
        <v>42746.737788773149</v>
      </c>
      <c r="E212" s="54" t="s">
        <v>256</v>
      </c>
      <c r="F212" s="54" t="s">
        <v>256</v>
      </c>
      <c r="G212" s="54" t="s">
        <v>301</v>
      </c>
      <c r="H212" s="54" t="s">
        <v>256</v>
      </c>
      <c r="I212" s="54" t="s">
        <v>3375</v>
      </c>
      <c r="J212" s="54" t="s">
        <v>303</v>
      </c>
      <c r="K212" s="54" t="s">
        <v>3387</v>
      </c>
      <c r="L212" s="87">
        <v>42749.57708333333</v>
      </c>
      <c r="M212" s="34" t="str">
        <f>IFERROR(INDEX(BASE,MATCH(tblPRINTERS[[#This Row],[CASE ID]],BASE_CASOS,0),MATCH(tblPRINTERS[[#Headers],[tratativa]],BASE_CAB,0)),"Retornar com prioridade")</f>
        <v>Retornar com prioridade</v>
      </c>
      <c r="N212" s="34" t="str">
        <f>IFERROR(INDEX(BASE,MATCH(tblPRINTERS[[#This Row],[CASE ID]],BASE_CASOS,0),MATCH(tblPRINTERS[[#Headers],[Observação]],BASE_CAB,0)),"-")</f>
        <v>-</v>
      </c>
      <c r="O212" s="34" t="str">
        <f>IFERROR(INDEX(BASE,MATCH(tblPRINTERS[[#This Row],[CASE ID]],BASE_CASOS,0),MATCH(tblPRINTERS[[#Headers],[Observação Calback]],BASE_CAB,0)),"-")</f>
        <v>-</v>
      </c>
      <c r="P212" s="42" t="str">
        <f>IF(ISERROR(INDEX(QUALIDADE,MATCH(tblPRINTERS[[#This Row],[CASE ID]],PROTOCOLO_PESQUISAS,0),MATCH("Return Time",QUALIDADE_CAB,0)))=FALSE,INDEX(QUALIDADE,MATCH(tblPRINTERS[[#This Row],[CASE ID]],PROTOCOLO_PESQUISAS,0),MATCH("Return Time",QUALIDADE_CAB,0)),"")</f>
        <v/>
      </c>
      <c r="Q212" s="34" t="str">
        <f>IF(tblPRINTERS[[#This Row],[DATA | PESQUISA RECEBIDA]]="","",PROPER(TEXT(tblPRINTERS[[#This Row],[DATA | PESQUISA RECEBIDA]],"DDDD")))</f>
        <v/>
      </c>
    </row>
    <row r="213" spans="1:17" hidden="1">
      <c r="A213" s="54">
        <v>3035602179</v>
      </c>
      <c r="B213" s="54" t="s">
        <v>500</v>
      </c>
      <c r="C213" s="90">
        <v>42744.737756446761</v>
      </c>
      <c r="D213" s="86">
        <v>42746.737756446761</v>
      </c>
      <c r="E213" s="54" t="s">
        <v>18</v>
      </c>
      <c r="F213" s="54" t="s">
        <v>18</v>
      </c>
      <c r="G213" s="54" t="s">
        <v>301</v>
      </c>
      <c r="H213" s="54" t="s">
        <v>9</v>
      </c>
      <c r="I213" s="56" t="s">
        <v>3375</v>
      </c>
      <c r="J213" s="54" t="s">
        <v>304</v>
      </c>
      <c r="K213" s="56" t="s">
        <v>3382</v>
      </c>
      <c r="L213" s="87">
        <v>42749.584027777775</v>
      </c>
      <c r="M213" s="34" t="str">
        <f>IFERROR(INDEX(BASE,MATCH(tblPRINTERS[[#This Row],[CASE ID]],BASE_CASOS,0),MATCH(tblPRINTERS[[#Headers],[tratativa]],BASE_CAB,0)),"Retornar com prioridade")</f>
        <v>Responder pesquisa</v>
      </c>
      <c r="N213" s="34" t="str">
        <f>IFERROR(INDEX(BASE,MATCH(tblPRINTERS[[#This Row],[CASE ID]],BASE_CASOS,0),MATCH(tblPRINTERS[[#Headers],[Observação]],BASE_CAB,0)),"-")</f>
        <v>Nota 9/10</v>
      </c>
      <c r="O213" s="34" t="str">
        <f>IFERROR(INDEX(BASE,MATCH(tblPRINTERS[[#This Row],[CASE ID]],BASE_CASOS,0),MATCH(tblPRINTERS[[#Headers],[Observação Calback]],BASE_CAB,0)),"-")</f>
        <v>ira responder</v>
      </c>
      <c r="P213" s="42" t="str">
        <f>IF(ISERROR(INDEX(QUALIDADE,MATCH(tblPRINTERS[[#This Row],[CASE ID]],PROTOCOLO_PESQUISAS,0),MATCH("Return Time",QUALIDADE_CAB,0)))=FALSE,INDEX(QUALIDADE,MATCH(tblPRINTERS[[#This Row],[CASE ID]],PROTOCOLO_PESQUISAS,0),MATCH("Return Time",QUALIDADE_CAB,0)),"")</f>
        <v/>
      </c>
      <c r="Q213" s="34" t="str">
        <f>IF(tblPRINTERS[[#This Row],[DATA | PESQUISA RECEBIDA]]="","",PROPER(TEXT(tblPRINTERS[[#This Row],[DATA | PESQUISA RECEBIDA]],"DDDD")))</f>
        <v/>
      </c>
    </row>
    <row r="214" spans="1:17" hidden="1">
      <c r="A214" s="54">
        <v>3035604421</v>
      </c>
      <c r="B214" s="54" t="s">
        <v>500</v>
      </c>
      <c r="C214" s="90">
        <v>42744.737756446761</v>
      </c>
      <c r="D214" s="86">
        <v>42746.737756446761</v>
      </c>
      <c r="E214" s="54" t="s">
        <v>13</v>
      </c>
      <c r="F214" s="54" t="s">
        <v>13</v>
      </c>
      <c r="G214" s="54" t="s">
        <v>301</v>
      </c>
      <c r="H214" s="54" t="s">
        <v>9</v>
      </c>
      <c r="I214" s="56" t="s">
        <v>3375</v>
      </c>
      <c r="J214" s="54" t="s">
        <v>303</v>
      </c>
      <c r="K214" s="54" t="s">
        <v>305</v>
      </c>
      <c r="L214" s="87">
        <v>42753</v>
      </c>
      <c r="M214" s="34" t="str">
        <f>IFERROR(INDEX(BASE,MATCH(tblPRINTERS[[#This Row],[CASE ID]],BASE_CASOS,0),MATCH(tblPRINTERS[[#Headers],[tratativa]],BASE_CAB,0)),"Retornar com prioridade")</f>
        <v>Sem contato</v>
      </c>
      <c r="N214" s="34" t="str">
        <f>IFERROR(INDEX(BASE,MATCH(tblPRINTERS[[#This Row],[CASE ID]],BASE_CASOS,0),MATCH(tblPRINTERS[[#Headers],[Observação]],BASE_CAB,0)),"-")</f>
        <v>Sem contato (Só chama, Cx postal, Ocupado)</v>
      </c>
      <c r="O214" s="34" t="str">
        <f>IFERROR(INDEX(BASE,MATCH(tblPRINTERS[[#This Row],[CASE ID]],BASE_CASOS,0),MATCH(tblPRINTERS[[#Headers],[Observação Calback]],BASE_CAB,0)),"-")</f>
        <v>tel 2 não e do cliente</v>
      </c>
      <c r="P214" s="42" t="str">
        <f>IF(ISERROR(INDEX(QUALIDADE,MATCH(tblPRINTERS[[#This Row],[CASE ID]],PROTOCOLO_PESQUISAS,0),MATCH("Return Time",QUALIDADE_CAB,0)))=FALSE,INDEX(QUALIDADE,MATCH(tblPRINTERS[[#This Row],[CASE ID]],PROTOCOLO_PESQUISAS,0),MATCH("Return Time",QUALIDADE_CAB,0)),"")</f>
        <v/>
      </c>
      <c r="Q214" s="34" t="str">
        <f>IF(tblPRINTERS[[#This Row],[DATA | PESQUISA RECEBIDA]]="","",PROPER(TEXT(tblPRINTERS[[#This Row],[DATA | PESQUISA RECEBIDA]],"DDDD")))</f>
        <v/>
      </c>
    </row>
    <row r="215" spans="1:17" hidden="1">
      <c r="A215" s="54">
        <v>3035607199</v>
      </c>
      <c r="B215" s="54" t="s">
        <v>500</v>
      </c>
      <c r="C215" s="90">
        <v>42744.737756446761</v>
      </c>
      <c r="D215" s="86">
        <v>42746.737756446761</v>
      </c>
      <c r="E215" s="54" t="s">
        <v>25</v>
      </c>
      <c r="F215" s="54" t="s">
        <v>25</v>
      </c>
      <c r="G215" s="54" t="s">
        <v>301</v>
      </c>
      <c r="H215" s="54" t="s">
        <v>23</v>
      </c>
      <c r="I215" s="54" t="s">
        <v>817</v>
      </c>
      <c r="J215" s="54" t="s">
        <v>304</v>
      </c>
      <c r="K215" s="54" t="s">
        <v>307</v>
      </c>
      <c r="L215" s="87">
        <v>42752</v>
      </c>
      <c r="M215" s="34" t="str">
        <f>IFERROR(INDEX(BASE,MATCH(tblPRINTERS[[#This Row],[CASE ID]],BASE_CASOS,0),MATCH(tblPRINTERS[[#Headers],[tratativa]],BASE_CAB,0)),"Retornar com prioridade")</f>
        <v>Sem contato</v>
      </c>
      <c r="N215" s="34" t="str">
        <f>IFERROR(INDEX(BASE,MATCH(tblPRINTERS[[#This Row],[CASE ID]],BASE_CASOS,0),MATCH(tblPRINTERS[[#Headers],[Observação]],BASE_CAB,0)),"-")</f>
        <v>Sem contato (Só chama, Cx postal, Ocupado)</v>
      </c>
      <c r="O215" s="34" t="str">
        <f>IFERROR(INDEX(BASE,MATCH(tblPRINTERS[[#This Row],[CASE ID]],BASE_CASOS,0),MATCH(tblPRINTERS[[#Headers],[Observação Calback]],BASE_CAB,0)),"-")</f>
        <v>so chama</v>
      </c>
      <c r="P215" s="42" t="str">
        <f>IF(ISERROR(INDEX(QUALIDADE,MATCH(tblPRINTERS[[#This Row],[CASE ID]],PROTOCOLO_PESQUISAS,0),MATCH("Return Time",QUALIDADE_CAB,0)))=FALSE,INDEX(QUALIDADE,MATCH(tblPRINTERS[[#This Row],[CASE ID]],PROTOCOLO_PESQUISAS,0),MATCH("Return Time",QUALIDADE_CAB,0)),"")</f>
        <v/>
      </c>
      <c r="Q215" s="34" t="str">
        <f>IF(tblPRINTERS[[#This Row],[DATA | PESQUISA RECEBIDA]]="","",PROPER(TEXT(tblPRINTERS[[#This Row],[DATA | PESQUISA RECEBIDA]],"DDDD")))</f>
        <v/>
      </c>
    </row>
    <row r="216" spans="1:17" hidden="1">
      <c r="A216" s="54">
        <v>3035603520</v>
      </c>
      <c r="B216" s="54" t="s">
        <v>500</v>
      </c>
      <c r="C216" s="90">
        <v>42744.737756446761</v>
      </c>
      <c r="D216" s="86">
        <v>42746.737756446761</v>
      </c>
      <c r="E216" s="54" t="s">
        <v>20</v>
      </c>
      <c r="F216" s="54" t="s">
        <v>20</v>
      </c>
      <c r="G216" s="54" t="s">
        <v>301</v>
      </c>
      <c r="H216" s="54" t="s">
        <v>9</v>
      </c>
      <c r="I216" s="56" t="s">
        <v>817</v>
      </c>
      <c r="J216" s="54" t="s">
        <v>304</v>
      </c>
      <c r="K216" s="54" t="s">
        <v>307</v>
      </c>
      <c r="L216" s="87">
        <v>42752</v>
      </c>
      <c r="M216" s="34" t="str">
        <f>IFERROR(INDEX(BASE,MATCH(tblPRINTERS[[#This Row],[CASE ID]],BASE_CASOS,0),MATCH(tblPRINTERS[[#Headers],[tratativa]],BASE_CAB,0)),"Retornar com prioridade")</f>
        <v>Não responder pesquisa</v>
      </c>
      <c r="N216" s="34" t="str">
        <f>IFERROR(INDEX(BASE,MATCH(tblPRINTERS[[#This Row],[CASE ID]],BASE_CASOS,0),MATCH(tblPRINTERS[[#Headers],[Observação]],BASE_CAB,0)),"-")</f>
        <v>Caso não resolvido / Equipamento em reparo</v>
      </c>
      <c r="O216" s="34" t="str">
        <f>IFERROR(INDEX(BASE,MATCH(tblPRINTERS[[#This Row],[CASE ID]],BASE_CASOS,0),MATCH(tblPRINTERS[[#Headers],[Observação Calback]],BASE_CAB,0)),"-")</f>
        <v>retornar quinta</v>
      </c>
      <c r="P216" s="42" t="str">
        <f>IF(ISERROR(INDEX(QUALIDADE,MATCH(tblPRINTERS[[#This Row],[CASE ID]],PROTOCOLO_PESQUISAS,0),MATCH("Return Time",QUALIDADE_CAB,0)))=FALSE,INDEX(QUALIDADE,MATCH(tblPRINTERS[[#This Row],[CASE ID]],PROTOCOLO_PESQUISAS,0),MATCH("Return Time",QUALIDADE_CAB,0)),"")</f>
        <v/>
      </c>
      <c r="Q216" s="34" t="str">
        <f>IF(tblPRINTERS[[#This Row],[DATA | PESQUISA RECEBIDA]]="","",PROPER(TEXT(tblPRINTERS[[#This Row],[DATA | PESQUISA RECEBIDA]],"DDDD")))</f>
        <v/>
      </c>
    </row>
    <row r="217" spans="1:17" hidden="1">
      <c r="A217" s="54">
        <v>3035399091</v>
      </c>
      <c r="B217" s="54" t="s">
        <v>500</v>
      </c>
      <c r="C217" s="90">
        <v>42744.737756446761</v>
      </c>
      <c r="D217" s="86">
        <v>42746.737756446761</v>
      </c>
      <c r="E217" s="54" t="s">
        <v>28</v>
      </c>
      <c r="F217" s="54" t="s">
        <v>28</v>
      </c>
      <c r="G217" s="54" t="s">
        <v>301</v>
      </c>
      <c r="H217" s="54" t="s">
        <v>9</v>
      </c>
      <c r="I217" s="56" t="s">
        <v>3375</v>
      </c>
      <c r="J217" s="54" t="s">
        <v>304</v>
      </c>
      <c r="K217" s="56" t="s">
        <v>3389</v>
      </c>
      <c r="L217" s="87">
        <v>42749.588194444441</v>
      </c>
      <c r="M217" s="34" t="str">
        <f>IFERROR(INDEX(BASE,MATCH(tblPRINTERS[[#This Row],[CASE ID]],BASE_CASOS,0),MATCH(tblPRINTERS[[#Headers],[tratativa]],BASE_CAB,0)),"Retornar com prioridade")</f>
        <v>Sem contato</v>
      </c>
      <c r="N217" s="34" t="str">
        <f>IFERROR(INDEX(BASE,MATCH(tblPRINTERS[[#This Row],[CASE ID]],BASE_CASOS,0),MATCH(tblPRINTERS[[#Headers],[Observação]],BASE_CAB,0)),"-")</f>
        <v>Sem contato (Só chama, Cx postal, Ocupado)</v>
      </c>
      <c r="O217" s="34" t="str">
        <f>IFERROR(INDEX(BASE,MATCH(tblPRINTERS[[#This Row],[CASE ID]],BASE_CASOS,0),MATCH(tblPRINTERS[[#Headers],[Observação Calback]],BASE_CAB,0)),"-")</f>
        <v>cliente saiu de viagem</v>
      </c>
      <c r="P217" s="42" t="str">
        <f>IF(ISERROR(INDEX(QUALIDADE,MATCH(tblPRINTERS[[#This Row],[CASE ID]],PROTOCOLO_PESQUISAS,0),MATCH("Return Time",QUALIDADE_CAB,0)))=FALSE,INDEX(QUALIDADE,MATCH(tblPRINTERS[[#This Row],[CASE ID]],PROTOCOLO_PESQUISAS,0),MATCH("Return Time",QUALIDADE_CAB,0)),"")</f>
        <v/>
      </c>
      <c r="Q217" s="34" t="str">
        <f>IF(tblPRINTERS[[#This Row],[DATA | PESQUISA RECEBIDA]]="","",PROPER(TEXT(tblPRINTERS[[#This Row],[DATA | PESQUISA RECEBIDA]],"DDDD")))</f>
        <v/>
      </c>
    </row>
    <row r="218" spans="1:17" hidden="1">
      <c r="A218" s="54">
        <v>3035605986</v>
      </c>
      <c r="B218" s="54" t="s">
        <v>500</v>
      </c>
      <c r="C218" s="90">
        <v>42744.737756446761</v>
      </c>
      <c r="D218" s="86">
        <v>42746.737756446761</v>
      </c>
      <c r="E218" s="54" t="s">
        <v>32</v>
      </c>
      <c r="F218" s="54" t="s">
        <v>32</v>
      </c>
      <c r="G218" s="54" t="s">
        <v>301</v>
      </c>
      <c r="H218" s="54" t="s">
        <v>31</v>
      </c>
      <c r="I218" s="56" t="s">
        <v>817</v>
      </c>
      <c r="J218" s="54" t="s">
        <v>304</v>
      </c>
      <c r="K218" s="56" t="s">
        <v>2695</v>
      </c>
      <c r="L218" s="87">
        <v>42752</v>
      </c>
      <c r="M218" s="34" t="str">
        <f>IFERROR(INDEX(BASE,MATCH(tblPRINTERS[[#This Row],[CASE ID]],BASE_CASOS,0),MATCH(tblPRINTERS[[#Headers],[tratativa]],BASE_CAB,0)),"Retornar com prioridade")</f>
        <v>Não responder pesquisa</v>
      </c>
      <c r="N218" s="34" t="str">
        <f>IFERROR(INDEX(BASE,MATCH(tblPRINTERS[[#This Row],[CASE ID]],BASE_CASOS,0),MATCH(tblPRINTERS[[#Headers],[Observação]],BASE_CAB,0)),"-")</f>
        <v>Caso não resolvido / Equipamento em reparo</v>
      </c>
      <c r="O218" s="34" t="str">
        <f>IFERROR(INDEX(BASE,MATCH(tblPRINTERS[[#This Row],[CASE ID]],BASE_CASOS,0),MATCH(tblPRINTERS[[#Headers],[Observação Calback]],BASE_CAB,0)),"-")</f>
        <v>ira retornar para configurar e-print</v>
      </c>
      <c r="P218" s="42" t="str">
        <f>IF(ISERROR(INDEX(QUALIDADE,MATCH(tblPRINTERS[[#This Row],[CASE ID]],PROTOCOLO_PESQUISAS,0),MATCH("Return Time",QUALIDADE_CAB,0)))=FALSE,INDEX(QUALIDADE,MATCH(tblPRINTERS[[#This Row],[CASE ID]],PROTOCOLO_PESQUISAS,0),MATCH("Return Time",QUALIDADE_CAB,0)),"")</f>
        <v/>
      </c>
      <c r="Q218" s="34" t="str">
        <f>IF(tblPRINTERS[[#This Row],[DATA | PESQUISA RECEBIDA]]="","",PROPER(TEXT(tblPRINTERS[[#This Row],[DATA | PESQUISA RECEBIDA]],"DDDD")))</f>
        <v/>
      </c>
    </row>
    <row r="219" spans="1:17" hidden="1">
      <c r="A219" s="54">
        <v>3035442691</v>
      </c>
      <c r="B219" s="54" t="s">
        <v>500</v>
      </c>
      <c r="C219" s="90">
        <v>42744.737756446761</v>
      </c>
      <c r="D219" s="86">
        <v>42746.737756446761</v>
      </c>
      <c r="E219" s="54" t="s">
        <v>839</v>
      </c>
      <c r="F219" s="54" t="s">
        <v>21</v>
      </c>
      <c r="G219" s="54" t="s">
        <v>302</v>
      </c>
      <c r="H219" s="54" t="s">
        <v>256</v>
      </c>
      <c r="I219" s="56" t="s">
        <v>3375</v>
      </c>
      <c r="J219" s="54" t="s">
        <v>303</v>
      </c>
      <c r="K219" s="54" t="s">
        <v>305</v>
      </c>
      <c r="L219" s="87">
        <v>42753</v>
      </c>
      <c r="M219" s="34" t="str">
        <f>IFERROR(INDEX(BASE,MATCH(tblPRINTERS[[#This Row],[CASE ID]],BASE_CASOS,0),MATCH(tblPRINTERS[[#Headers],[tratativa]],BASE_CAB,0)),"Retornar com prioridade")</f>
        <v>Sem contato</v>
      </c>
      <c r="N219" s="34" t="str">
        <f>IFERROR(INDEX(BASE,MATCH(tblPRINTERS[[#This Row],[CASE ID]],BASE_CASOS,0),MATCH(tblPRINTERS[[#Headers],[Observação]],BASE_CAB,0)),"-")</f>
        <v>Sem contato (Só chama, Cx postal, Ocupado)</v>
      </c>
      <c r="O219" s="34" t="str">
        <f>IFERROR(INDEX(BASE,MATCH(tblPRINTERS[[#This Row],[CASE ID]],BASE_CASOS,0),MATCH(tblPRINTERS[[#Headers],[Observação Calback]],BASE_CAB,0)),"-")</f>
        <v>so chama</v>
      </c>
      <c r="P219" s="42" t="str">
        <f>IF(ISERROR(INDEX(QUALIDADE,MATCH(tblPRINTERS[[#This Row],[CASE ID]],PROTOCOLO_PESQUISAS,0),MATCH("Return Time",QUALIDADE_CAB,0)))=FALSE,INDEX(QUALIDADE,MATCH(tblPRINTERS[[#This Row],[CASE ID]],PROTOCOLO_PESQUISAS,0),MATCH("Return Time",QUALIDADE_CAB,0)),"")</f>
        <v/>
      </c>
      <c r="Q219" s="34" t="str">
        <f>IF(tblPRINTERS[[#This Row],[DATA | PESQUISA RECEBIDA]]="","",PROPER(TEXT(tblPRINTERS[[#This Row],[DATA | PESQUISA RECEBIDA]],"DDDD")))</f>
        <v/>
      </c>
    </row>
    <row r="220" spans="1:17" hidden="1">
      <c r="A220" s="54">
        <v>3035477797</v>
      </c>
      <c r="B220" s="54" t="s">
        <v>500</v>
      </c>
      <c r="C220" s="90">
        <v>42744.737756446761</v>
      </c>
      <c r="D220" s="86">
        <v>42746.737756446761</v>
      </c>
      <c r="E220" s="54" t="s">
        <v>27</v>
      </c>
      <c r="F220" s="54" t="s">
        <v>47</v>
      </c>
      <c r="G220" s="54" t="s">
        <v>302</v>
      </c>
      <c r="H220" s="54" t="s">
        <v>23</v>
      </c>
      <c r="I220" s="56" t="s">
        <v>817</v>
      </c>
      <c r="J220" s="54" t="s">
        <v>304</v>
      </c>
      <c r="K220" s="54" t="s">
        <v>307</v>
      </c>
      <c r="L220" s="87">
        <v>42752</v>
      </c>
      <c r="M220" s="34" t="str">
        <f>IFERROR(INDEX(BASE,MATCH(tblPRINTERS[[#This Row],[CASE ID]],BASE_CASOS,0),MATCH(tblPRINTERS[[#Headers],[tratativa]],BASE_CAB,0)),"Retornar com prioridade")</f>
        <v>Responder pesquisa</v>
      </c>
      <c r="N220" s="34" t="str">
        <f>IFERROR(INDEX(BASE,MATCH(tblPRINTERS[[#This Row],[CASE ID]],BASE_CASOS,0),MATCH(tblPRINTERS[[#Headers],[Observação]],BASE_CAB,0)),"-")</f>
        <v>Nota 9/10</v>
      </c>
      <c r="O220" s="34" t="str">
        <f>IFERROR(INDEX(BASE,MATCH(tblPRINTERS[[#This Row],[CASE ID]],BASE_CASOS,0),MATCH(tblPRINTERS[[#Headers],[Observação Calback]],BASE_CAB,0)),"-")</f>
        <v>ira responder</v>
      </c>
      <c r="P220" s="42" t="str">
        <f>IF(ISERROR(INDEX(QUALIDADE,MATCH(tblPRINTERS[[#This Row],[CASE ID]],PROTOCOLO_PESQUISAS,0),MATCH("Return Time",QUALIDADE_CAB,0)))=FALSE,INDEX(QUALIDADE,MATCH(tblPRINTERS[[#This Row],[CASE ID]],PROTOCOLO_PESQUISAS,0),MATCH("Return Time",QUALIDADE_CAB,0)),"")</f>
        <v/>
      </c>
      <c r="Q220" s="34" t="str">
        <f>IF(tblPRINTERS[[#This Row],[DATA | PESQUISA RECEBIDA]]="","",PROPER(TEXT(tblPRINTERS[[#This Row],[DATA | PESQUISA RECEBIDA]],"DDDD")))</f>
        <v/>
      </c>
    </row>
    <row r="221" spans="1:17" hidden="1">
      <c r="A221" s="54">
        <v>3035607456</v>
      </c>
      <c r="B221" s="54" t="s">
        <v>500</v>
      </c>
      <c r="C221" s="90">
        <v>42744.737756446761</v>
      </c>
      <c r="D221" s="86">
        <v>42746.737756446761</v>
      </c>
      <c r="E221" s="54" t="s">
        <v>1887</v>
      </c>
      <c r="F221" s="54" t="s">
        <v>1887</v>
      </c>
      <c r="G221" s="54" t="s">
        <v>301</v>
      </c>
      <c r="H221" s="54" t="s">
        <v>31</v>
      </c>
      <c r="I221" s="54" t="s">
        <v>3375</v>
      </c>
      <c r="J221" s="54" t="s">
        <v>303</v>
      </c>
      <c r="K221" s="54" t="s">
        <v>305</v>
      </c>
      <c r="L221" s="87">
        <v>42753</v>
      </c>
      <c r="M221" s="34" t="str">
        <f>IFERROR(INDEX(BASE,MATCH(tblPRINTERS[[#This Row],[CASE ID]],BASE_CASOS,0),MATCH(tblPRINTERS[[#Headers],[tratativa]],BASE_CAB,0)),"Retornar com prioridade")</f>
        <v>Sem contato</v>
      </c>
      <c r="N221" s="34" t="str">
        <f>IFERROR(INDEX(BASE,MATCH(tblPRINTERS[[#This Row],[CASE ID]],BASE_CASOS,0),MATCH(tblPRINTERS[[#Headers],[Observação]],BASE_CAB,0)),"-")</f>
        <v>Sem contato (Só chama, Cx postal, Ocupado)</v>
      </c>
      <c r="O221" s="34" t="str">
        <f>IFERROR(INDEX(BASE,MATCH(tblPRINTERS[[#This Row],[CASE ID]],BASE_CASOS,0),MATCH(tblPRINTERS[[#Headers],[Observação Calback]],BASE_CAB,0)),"-")</f>
        <v>so chama</v>
      </c>
      <c r="P221" s="42" t="str">
        <f>IF(ISERROR(INDEX(QUALIDADE,MATCH(tblPRINTERS[[#This Row],[CASE ID]],PROTOCOLO_PESQUISAS,0),MATCH("Return Time",QUALIDADE_CAB,0)))=FALSE,INDEX(QUALIDADE,MATCH(tblPRINTERS[[#This Row],[CASE ID]],PROTOCOLO_PESQUISAS,0),MATCH("Return Time",QUALIDADE_CAB,0)),"")</f>
        <v/>
      </c>
      <c r="Q221" s="34" t="str">
        <f>IF(tblPRINTERS[[#This Row],[DATA | PESQUISA RECEBIDA]]="","",PROPER(TEXT(tblPRINTERS[[#This Row],[DATA | PESQUISA RECEBIDA]],"DDDD")))</f>
        <v/>
      </c>
    </row>
    <row r="222" spans="1:17" hidden="1">
      <c r="A222" s="54">
        <v>3035622487</v>
      </c>
      <c r="B222" s="54" t="s">
        <v>500</v>
      </c>
      <c r="C222" s="90">
        <v>42744.737756446761</v>
      </c>
      <c r="D222" s="86">
        <v>42746.737756446761</v>
      </c>
      <c r="E222" s="54" t="s">
        <v>1537</v>
      </c>
      <c r="F222" s="54" t="s">
        <v>1537</v>
      </c>
      <c r="G222" s="54" t="s">
        <v>301</v>
      </c>
      <c r="H222" s="54" t="s">
        <v>23</v>
      </c>
      <c r="I222" s="54" t="s">
        <v>817</v>
      </c>
      <c r="J222" s="54" t="s">
        <v>304</v>
      </c>
      <c r="K222" s="54" t="s">
        <v>307</v>
      </c>
      <c r="L222" s="87">
        <v>42748</v>
      </c>
      <c r="M222" s="34" t="str">
        <f>IFERROR(INDEX(BASE,MATCH(tblPRINTERS[[#This Row],[CASE ID]],BASE_CASOS,0),MATCH(tblPRINTERS[[#Headers],[tratativa]],BASE_CAB,0)),"Retornar com prioridade")</f>
        <v>Sem contato</v>
      </c>
      <c r="N222" s="34" t="str">
        <f>IFERROR(INDEX(BASE,MATCH(tblPRINTERS[[#This Row],[CASE ID]],BASE_CASOS,0),MATCH(tblPRINTERS[[#Headers],[Observação]],BASE_CAB,0)),"-")</f>
        <v>Sem contato (Só chama, Cx postal, Ocupado)</v>
      </c>
      <c r="O222" s="34" t="str">
        <f>IFERROR(INDEX(BASE,MATCH(tblPRINTERS[[#This Row],[CASE ID]],BASE_CASOS,0),MATCH(tblPRINTERS[[#Headers],[Observação Calback]],BASE_CAB,0)),"-")</f>
        <v>Ambos tels. Só chamam</v>
      </c>
      <c r="P222" s="42" t="str">
        <f>IF(ISERROR(INDEX(QUALIDADE,MATCH(tblPRINTERS[[#This Row],[CASE ID]],PROTOCOLO_PESQUISAS,0),MATCH("Return Time",QUALIDADE_CAB,0)))=FALSE,INDEX(QUALIDADE,MATCH(tblPRINTERS[[#This Row],[CASE ID]],PROTOCOLO_PESQUISAS,0),MATCH("Return Time",QUALIDADE_CAB,0)),"")</f>
        <v/>
      </c>
      <c r="Q222" s="34" t="str">
        <f>IF(tblPRINTERS[[#This Row],[DATA | PESQUISA RECEBIDA]]="","",PROPER(TEXT(tblPRINTERS[[#This Row],[DATA | PESQUISA RECEBIDA]],"DDDD")))</f>
        <v/>
      </c>
    </row>
    <row r="223" spans="1:17" hidden="1">
      <c r="A223" s="54">
        <v>3035526713</v>
      </c>
      <c r="B223" s="54" t="s">
        <v>500</v>
      </c>
      <c r="C223" s="90">
        <v>42744.737756446761</v>
      </c>
      <c r="D223" s="86">
        <v>42746.737756446761</v>
      </c>
      <c r="E223" s="54" t="s">
        <v>591</v>
      </c>
      <c r="F223" s="54" t="s">
        <v>47</v>
      </c>
      <c r="G223" s="54" t="s">
        <v>302</v>
      </c>
      <c r="H223" s="54" t="s">
        <v>23</v>
      </c>
      <c r="I223" s="54" t="s">
        <v>815</v>
      </c>
      <c r="J223" s="54" t="s">
        <v>304</v>
      </c>
      <c r="K223" s="54" t="s">
        <v>2700</v>
      </c>
      <c r="L223" s="87">
        <v>42752</v>
      </c>
      <c r="M223" s="34" t="str">
        <f>IFERROR(INDEX(BASE,MATCH(tblPRINTERS[[#This Row],[CASE ID]],BASE_CASOS,0),MATCH(tblPRINTERS[[#Headers],[tratativa]],BASE_CAB,0)),"Retornar com prioridade")</f>
        <v>Sem contato</v>
      </c>
      <c r="N223" s="34" t="str">
        <f>IFERROR(INDEX(BASE,MATCH(tblPRINTERS[[#This Row],[CASE ID]],BASE_CASOS,0),MATCH(tblPRINTERS[[#Headers],[Observação]],BASE_CAB,0)),"-")</f>
        <v>Sem contato (Só chama, Cx postal, Ocupado)</v>
      </c>
      <c r="O223" s="34" t="str">
        <f>IFERROR(INDEX(BASE,MATCH(tblPRINTERS[[#This Row],[CASE ID]],BASE_CASOS,0),MATCH(tblPRINTERS[[#Headers],[Observação Calback]],BASE_CAB,0)),"-")</f>
        <v>Sem contato</v>
      </c>
      <c r="P223" s="42" t="str">
        <f>IF(ISERROR(INDEX(QUALIDADE,MATCH(tblPRINTERS[[#This Row],[CASE ID]],PROTOCOLO_PESQUISAS,0),MATCH("Return Time",QUALIDADE_CAB,0)))=FALSE,INDEX(QUALIDADE,MATCH(tblPRINTERS[[#This Row],[CASE ID]],PROTOCOLO_PESQUISAS,0),MATCH("Return Time",QUALIDADE_CAB,0)),"")</f>
        <v/>
      </c>
      <c r="Q223" s="34" t="str">
        <f>IF(tblPRINTERS[[#This Row],[DATA | PESQUISA RECEBIDA]]="","",PROPER(TEXT(tblPRINTERS[[#This Row],[DATA | PESQUISA RECEBIDA]],"DDDD")))</f>
        <v/>
      </c>
    </row>
    <row r="224" spans="1:17" hidden="1">
      <c r="A224" s="54">
        <v>3035606628</v>
      </c>
      <c r="B224" s="54" t="s">
        <v>500</v>
      </c>
      <c r="C224" s="90">
        <v>42744.737756446761</v>
      </c>
      <c r="D224" s="86">
        <v>42746.737756446761</v>
      </c>
      <c r="E224" s="54" t="s">
        <v>17</v>
      </c>
      <c r="F224" s="54" t="s">
        <v>17</v>
      </c>
      <c r="G224" s="54" t="s">
        <v>301</v>
      </c>
      <c r="H224" s="54" t="s">
        <v>9</v>
      </c>
      <c r="I224" s="56" t="s">
        <v>817</v>
      </c>
      <c r="J224" s="54" t="s">
        <v>304</v>
      </c>
      <c r="K224" s="54" t="s">
        <v>307</v>
      </c>
      <c r="L224" s="87">
        <v>42752</v>
      </c>
      <c r="M224" s="34" t="str">
        <f>IFERROR(INDEX(BASE,MATCH(tblPRINTERS[[#This Row],[CASE ID]],BASE_CASOS,0),MATCH(tblPRINTERS[[#Headers],[tratativa]],BASE_CAB,0)),"Retornar com prioridade")</f>
        <v>Responder pesquisa</v>
      </c>
      <c r="N224" s="34" t="str">
        <f>IFERROR(INDEX(BASE,MATCH(tblPRINTERS[[#This Row],[CASE ID]],BASE_CASOS,0),MATCH(tblPRINTERS[[#Headers],[Observação]],BASE_CAB,0)),"-")</f>
        <v>Nota 9/10</v>
      </c>
      <c r="O224" s="34" t="str">
        <f>IFERROR(INDEX(BASE,MATCH(tblPRINTERS[[#This Row],[CASE ID]],BASE_CASOS,0),MATCH(tblPRINTERS[[#Headers],[Observação Calback]],BASE_CAB,0)),"-")</f>
        <v>ira responder</v>
      </c>
      <c r="P224" s="42" t="str">
        <f>IF(ISERROR(INDEX(QUALIDADE,MATCH(tblPRINTERS[[#This Row],[CASE ID]],PROTOCOLO_PESQUISAS,0),MATCH("Return Time",QUALIDADE_CAB,0)))=FALSE,INDEX(QUALIDADE,MATCH(tblPRINTERS[[#This Row],[CASE ID]],PROTOCOLO_PESQUISAS,0),MATCH("Return Time",QUALIDADE_CAB,0)),"")</f>
        <v/>
      </c>
      <c r="Q224" s="34" t="str">
        <f>IF(tblPRINTERS[[#This Row],[DATA | PESQUISA RECEBIDA]]="","",PROPER(TEXT(tblPRINTERS[[#This Row],[DATA | PESQUISA RECEBIDA]],"DDDD")))</f>
        <v/>
      </c>
    </row>
    <row r="225" spans="1:17" hidden="1">
      <c r="A225" s="54">
        <v>3035604345</v>
      </c>
      <c r="B225" s="54" t="s">
        <v>500</v>
      </c>
      <c r="C225" s="90">
        <v>42744.737756446761</v>
      </c>
      <c r="D225" s="86">
        <v>42746.737756446761</v>
      </c>
      <c r="E225" s="54" t="s">
        <v>861</v>
      </c>
      <c r="F225" s="54" t="s">
        <v>861</v>
      </c>
      <c r="G225" s="54" t="s">
        <v>301</v>
      </c>
      <c r="H225" s="54" t="s">
        <v>31</v>
      </c>
      <c r="I225" s="54" t="s">
        <v>817</v>
      </c>
      <c r="J225" s="54" t="s">
        <v>303</v>
      </c>
      <c r="K225" s="54" t="s">
        <v>305</v>
      </c>
      <c r="L225" s="87">
        <v>42753</v>
      </c>
      <c r="M225" s="34" t="str">
        <f>IFERROR(INDEX(BASE,MATCH(tblPRINTERS[[#This Row],[CASE ID]],BASE_CASOS,0),MATCH(tblPRINTERS[[#Headers],[tratativa]],BASE_CAB,0)),"Retornar com prioridade")</f>
        <v>Sem contato</v>
      </c>
      <c r="N225" s="34" t="str">
        <f>IFERROR(INDEX(BASE,MATCH(tblPRINTERS[[#This Row],[CASE ID]],BASE_CASOS,0),MATCH(tblPRINTERS[[#Headers],[Observação]],BASE_CAB,0)),"-")</f>
        <v>Sem contato (Só chama, Cx postal, Ocupado)</v>
      </c>
      <c r="O225" s="34" t="str">
        <f>IFERROR(INDEX(BASE,MATCH(tblPRINTERS[[#This Row],[CASE ID]],BASE_CASOS,0),MATCH(tblPRINTERS[[#Headers],[Observação Calback]],BASE_CAB,0)),"-")</f>
        <v>retornar segunda.</v>
      </c>
      <c r="P225" s="42" t="str">
        <f>IF(ISERROR(INDEX(QUALIDADE,MATCH(tblPRINTERS[[#This Row],[CASE ID]],PROTOCOLO_PESQUISAS,0),MATCH("Return Time",QUALIDADE_CAB,0)))=FALSE,INDEX(QUALIDADE,MATCH(tblPRINTERS[[#This Row],[CASE ID]],PROTOCOLO_PESQUISAS,0),MATCH("Return Time",QUALIDADE_CAB,0)),"")</f>
        <v/>
      </c>
      <c r="Q225" s="34" t="str">
        <f>IF(tblPRINTERS[[#This Row],[DATA | PESQUISA RECEBIDA]]="","",PROPER(TEXT(tblPRINTERS[[#This Row],[DATA | PESQUISA RECEBIDA]],"DDDD")))</f>
        <v/>
      </c>
    </row>
    <row r="226" spans="1:17" hidden="1">
      <c r="A226" s="54">
        <v>3035602898</v>
      </c>
      <c r="B226" s="54" t="s">
        <v>500</v>
      </c>
      <c r="C226" s="90">
        <v>42744.737756446761</v>
      </c>
      <c r="D226" s="86">
        <v>42746.737756446761</v>
      </c>
      <c r="E226" s="54" t="s">
        <v>54</v>
      </c>
      <c r="F226" s="54" t="s">
        <v>54</v>
      </c>
      <c r="G226" s="54" t="s">
        <v>301</v>
      </c>
      <c r="H226" s="54" t="s">
        <v>273</v>
      </c>
      <c r="I226" s="56" t="s">
        <v>817</v>
      </c>
      <c r="J226" s="54" t="s">
        <v>304</v>
      </c>
      <c r="K226" s="56" t="s">
        <v>2696</v>
      </c>
      <c r="L226" s="87">
        <v>42752</v>
      </c>
      <c r="M226" s="34" t="str">
        <f>IFERROR(INDEX(BASE,MATCH(tblPRINTERS[[#This Row],[CASE ID]],BASE_CASOS,0),MATCH(tblPRINTERS[[#Headers],[tratativa]],BASE_CAB,0)),"Retornar com prioridade")</f>
        <v>Não responder pesquisa</v>
      </c>
      <c r="N226" s="34" t="str">
        <f>IFERROR(INDEX(BASE,MATCH(tblPRINTERS[[#This Row],[CASE ID]],BASE_CASOS,0),MATCH(tblPRINTERS[[#Headers],[Observação]],BASE_CAB,0)),"-")</f>
        <v>Caso não resolvido / Equipamento em reparo</v>
      </c>
      <c r="O226" s="34" t="str">
        <f>IFERROR(INDEX(BASE,MATCH(tblPRINTERS[[#This Row],[CASE ID]],BASE_CASOS,0),MATCH(tblPRINTERS[[#Headers],[Observação Calback]],BASE_CAB,0)),"-")</f>
        <v>produto importado. Tratativa com a loja, em tratativa com a loja</v>
      </c>
      <c r="P226" s="42" t="str">
        <f>IF(ISERROR(INDEX(QUALIDADE,MATCH(tblPRINTERS[[#This Row],[CASE ID]],PROTOCOLO_PESQUISAS,0),MATCH("Return Time",QUALIDADE_CAB,0)))=FALSE,INDEX(QUALIDADE,MATCH(tblPRINTERS[[#This Row],[CASE ID]],PROTOCOLO_PESQUISAS,0),MATCH("Return Time",QUALIDADE_CAB,0)),"")</f>
        <v/>
      </c>
      <c r="Q226" s="34" t="str">
        <f>IF(tblPRINTERS[[#This Row],[DATA | PESQUISA RECEBIDA]]="","",PROPER(TEXT(tblPRINTERS[[#This Row],[DATA | PESQUISA RECEBIDA]],"DDDD")))</f>
        <v/>
      </c>
    </row>
    <row r="227" spans="1:17" hidden="1">
      <c r="A227" s="54">
        <v>3035514874</v>
      </c>
      <c r="B227" s="54" t="s">
        <v>500</v>
      </c>
      <c r="C227" s="90">
        <v>42744.737756446761</v>
      </c>
      <c r="D227" s="86">
        <v>42746.737756446761</v>
      </c>
      <c r="E227" s="54" t="s">
        <v>560</v>
      </c>
      <c r="F227" s="54" t="s">
        <v>21</v>
      </c>
      <c r="G227" s="54" t="s">
        <v>302</v>
      </c>
      <c r="H227" s="54" t="s">
        <v>256</v>
      </c>
      <c r="I227" s="56" t="s">
        <v>3375</v>
      </c>
      <c r="J227" s="54" t="s">
        <v>304</v>
      </c>
      <c r="K227" s="56" t="s">
        <v>3390</v>
      </c>
      <c r="L227" s="87">
        <v>42749.595833333333</v>
      </c>
      <c r="M227" s="34" t="str">
        <f>IFERROR(INDEX(BASE,MATCH(tblPRINTERS[[#This Row],[CASE ID]],BASE_CASOS,0),MATCH(tblPRINTERS[[#Headers],[tratativa]],BASE_CAB,0)),"Retornar com prioridade")</f>
        <v>Respondeu antes do contato de Callback</v>
      </c>
      <c r="N227" s="34" t="str">
        <f>IFERROR(INDEX(BASE,MATCH(tblPRINTERS[[#This Row],[CASE ID]],BASE_CASOS,0),MATCH(tblPRINTERS[[#Headers],[Observação]],BASE_CAB,0)),"-")</f>
        <v>Pesquisa rejeitada</v>
      </c>
      <c r="O227" s="34" t="str">
        <f>IFERROR(INDEX(BASE,MATCH(tblPRINTERS[[#This Row],[CASE ID]],BASE_CASOS,0),MATCH(tblPRINTERS[[#Headers],[Observação Calback]],BASE_CAB,0)),"-")</f>
        <v>ja recebeu contato.</v>
      </c>
      <c r="P227" s="42" t="str">
        <f>IF(ISERROR(INDEX(QUALIDADE,MATCH(tblPRINTERS[[#This Row],[CASE ID]],PROTOCOLO_PESQUISAS,0),MATCH("Return Time",QUALIDADE_CAB,0)))=FALSE,INDEX(QUALIDADE,MATCH(tblPRINTERS[[#This Row],[CASE ID]],PROTOCOLO_PESQUISAS,0),MATCH("Return Time",QUALIDADE_CAB,0)),"")</f>
        <v/>
      </c>
      <c r="Q227" s="34" t="str">
        <f>IF(tblPRINTERS[[#This Row],[DATA | PESQUISA RECEBIDA]]="","",PROPER(TEXT(tblPRINTERS[[#This Row],[DATA | PESQUISA RECEBIDA]],"DDDD")))</f>
        <v/>
      </c>
    </row>
    <row r="228" spans="1:17" hidden="1">
      <c r="A228" s="54">
        <v>3035505328</v>
      </c>
      <c r="B228" s="54" t="s">
        <v>500</v>
      </c>
      <c r="C228" s="90">
        <v>42744.737756446761</v>
      </c>
      <c r="D228" s="86">
        <v>42746.737756446761</v>
      </c>
      <c r="E228" s="54" t="s">
        <v>1536</v>
      </c>
      <c r="F228" s="54" t="s">
        <v>21</v>
      </c>
      <c r="G228" s="54" t="s">
        <v>302</v>
      </c>
      <c r="H228" s="54" t="s">
        <v>273</v>
      </c>
      <c r="I228" s="56" t="s">
        <v>817</v>
      </c>
      <c r="J228" s="54" t="s">
        <v>304</v>
      </c>
      <c r="K228" s="56" t="s">
        <v>2697</v>
      </c>
      <c r="L228" s="87">
        <v>42752</v>
      </c>
      <c r="M228" s="34" t="str">
        <f>IFERROR(INDEX(BASE,MATCH(tblPRINTERS[[#This Row],[CASE ID]],BASE_CASOS,0),MATCH(tblPRINTERS[[#Headers],[tratativa]],BASE_CAB,0)),"Retornar com prioridade")</f>
        <v>Não responder pesquisa</v>
      </c>
      <c r="N228" s="34" t="str">
        <f>IFERROR(INDEX(BASE,MATCH(tblPRINTERS[[#This Row],[CASE ID]],BASE_CASOS,0),MATCH(tblPRINTERS[[#Headers],[Observação]],BASE_CAB,0)),"-")</f>
        <v>Caso não resolvido / Equipamento em reparo</v>
      </c>
      <c r="O228" s="34" t="str">
        <f>IFERROR(INDEX(BASE,MATCH(tblPRINTERS[[#This Row],[CASE ID]],BASE_CASOS,0),MATCH(tblPRINTERS[[#Headers],[Observação Calback]],BASE_CAB,0)),"-")</f>
        <v>ira trocar toner</v>
      </c>
      <c r="P228" s="42" t="str">
        <f>IF(ISERROR(INDEX(QUALIDADE,MATCH(tblPRINTERS[[#This Row],[CASE ID]],PROTOCOLO_PESQUISAS,0),MATCH("Return Time",QUALIDADE_CAB,0)))=FALSE,INDEX(QUALIDADE,MATCH(tblPRINTERS[[#This Row],[CASE ID]],PROTOCOLO_PESQUISAS,0),MATCH("Return Time",QUALIDADE_CAB,0)),"")</f>
        <v/>
      </c>
      <c r="Q228" s="34" t="str">
        <f>IF(tblPRINTERS[[#This Row],[DATA | PESQUISA RECEBIDA]]="","",PROPER(TEXT(tblPRINTERS[[#This Row],[DATA | PESQUISA RECEBIDA]],"DDDD")))</f>
        <v/>
      </c>
    </row>
    <row r="229" spans="1:17" hidden="1">
      <c r="A229" s="54">
        <v>3035610402</v>
      </c>
      <c r="B229" s="54" t="s">
        <v>500</v>
      </c>
      <c r="C229" s="90">
        <v>42744.737756446761</v>
      </c>
      <c r="D229" s="86">
        <v>42746.737756446761</v>
      </c>
      <c r="E229" s="54" t="s">
        <v>580</v>
      </c>
      <c r="F229" s="54" t="s">
        <v>580</v>
      </c>
      <c r="G229" s="54" t="s">
        <v>301</v>
      </c>
      <c r="H229" s="54" t="s">
        <v>9</v>
      </c>
      <c r="I229" s="54" t="s">
        <v>817</v>
      </c>
      <c r="J229" s="54" t="s">
        <v>304</v>
      </c>
      <c r="K229" s="54" t="s">
        <v>2698</v>
      </c>
      <c r="L229" s="87">
        <v>42752</v>
      </c>
      <c r="M229" s="34" t="str">
        <f>IFERROR(INDEX(BASE,MATCH(tblPRINTERS[[#This Row],[CASE ID]],BASE_CASOS,0),MATCH(tblPRINTERS[[#Headers],[tratativa]],BASE_CAB,0)),"Retornar com prioridade")</f>
        <v>Sem contato</v>
      </c>
      <c r="N229" s="34" t="str">
        <f>IFERROR(INDEX(BASE,MATCH(tblPRINTERS[[#This Row],[CASE ID]],BASE_CASOS,0),MATCH(tblPRINTERS[[#Headers],[Observação]],BASE_CAB,0)),"-")</f>
        <v>Sem contato (Só chama, Cx postal, Ocupado)</v>
      </c>
      <c r="O229" s="34" t="str">
        <f>IFERROR(INDEX(BASE,MATCH(tblPRINTERS[[#This Row],[CASE ID]],BASE_CASOS,0),MATCH(tblPRINTERS[[#Headers],[Observação Calback]],BASE_CAB,0)),"-")</f>
        <v>so chama</v>
      </c>
      <c r="P229" s="42" t="str">
        <f>IF(ISERROR(INDEX(QUALIDADE,MATCH(tblPRINTERS[[#This Row],[CASE ID]],PROTOCOLO_PESQUISAS,0),MATCH("Return Time",QUALIDADE_CAB,0)))=FALSE,INDEX(QUALIDADE,MATCH(tblPRINTERS[[#This Row],[CASE ID]],PROTOCOLO_PESQUISAS,0),MATCH("Return Time",QUALIDADE_CAB,0)),"")</f>
        <v/>
      </c>
      <c r="Q229" s="34" t="str">
        <f>IF(tblPRINTERS[[#This Row],[DATA | PESQUISA RECEBIDA]]="","",PROPER(TEXT(tblPRINTERS[[#This Row],[DATA | PESQUISA RECEBIDA]],"DDDD")))</f>
        <v/>
      </c>
    </row>
    <row r="230" spans="1:17" hidden="1">
      <c r="A230" s="54">
        <v>3035404247</v>
      </c>
      <c r="B230" s="54" t="s">
        <v>500</v>
      </c>
      <c r="C230" s="90">
        <v>42744.737756446761</v>
      </c>
      <c r="D230" s="86">
        <v>42746.737756446761</v>
      </c>
      <c r="E230" s="54" t="s">
        <v>580</v>
      </c>
      <c r="F230" s="54" t="s">
        <v>10</v>
      </c>
      <c r="G230" s="54" t="s">
        <v>302</v>
      </c>
      <c r="H230" s="54" t="s">
        <v>9</v>
      </c>
      <c r="I230" s="54" t="s">
        <v>817</v>
      </c>
      <c r="J230" s="54" t="s">
        <v>304</v>
      </c>
      <c r="K230" s="54" t="s">
        <v>307</v>
      </c>
      <c r="L230" s="87">
        <v>42748</v>
      </c>
      <c r="M230" s="34" t="str">
        <f>IFERROR(INDEX(BASE,MATCH(tblPRINTERS[[#This Row],[CASE ID]],BASE_CASOS,0),MATCH(tblPRINTERS[[#Headers],[tratativa]],BASE_CAB,0)),"Retornar com prioridade")</f>
        <v>Retornar com prioridade</v>
      </c>
      <c r="N230" s="34" t="str">
        <f>IFERROR(INDEX(BASE,MATCH(tblPRINTERS[[#This Row],[CASE ID]],BASE_CASOS,0),MATCH(tblPRINTERS[[#Headers],[Observação]],BASE_CAB,0)),"-")</f>
        <v>-</v>
      </c>
      <c r="O230" s="34" t="str">
        <f>IFERROR(INDEX(BASE,MATCH(tblPRINTERS[[#This Row],[CASE ID]],BASE_CASOS,0),MATCH(tblPRINTERS[[#Headers],[Observação Calback]],BASE_CAB,0)),"-")</f>
        <v>-</v>
      </c>
      <c r="P230" s="42" t="str">
        <f>IF(ISERROR(INDEX(QUALIDADE,MATCH(tblPRINTERS[[#This Row],[CASE ID]],PROTOCOLO_PESQUISAS,0),MATCH("Return Time",QUALIDADE_CAB,0)))=FALSE,INDEX(QUALIDADE,MATCH(tblPRINTERS[[#This Row],[CASE ID]],PROTOCOLO_PESQUISAS,0),MATCH("Return Time",QUALIDADE_CAB,0)),"")</f>
        <v/>
      </c>
      <c r="Q230" s="34" t="str">
        <f>IF(tblPRINTERS[[#This Row],[DATA | PESQUISA RECEBIDA]]="","",PROPER(TEXT(tblPRINTERS[[#This Row],[DATA | PESQUISA RECEBIDA]],"DDDD")))</f>
        <v/>
      </c>
    </row>
    <row r="231" spans="1:17" hidden="1">
      <c r="A231" s="54">
        <v>3035552528</v>
      </c>
      <c r="B231" s="54" t="s">
        <v>500</v>
      </c>
      <c r="C231" s="90">
        <v>42744.737756446761</v>
      </c>
      <c r="D231" s="86">
        <v>42746.737756446761</v>
      </c>
      <c r="E231" s="54" t="s">
        <v>16</v>
      </c>
      <c r="F231" s="54" t="s">
        <v>19</v>
      </c>
      <c r="G231" s="54" t="s">
        <v>302</v>
      </c>
      <c r="H231" s="54" t="s">
        <v>9</v>
      </c>
      <c r="I231" s="54" t="s">
        <v>817</v>
      </c>
      <c r="J231" s="54" t="s">
        <v>303</v>
      </c>
      <c r="K231" s="54" t="s">
        <v>305</v>
      </c>
      <c r="L231" s="87">
        <v>42753</v>
      </c>
      <c r="M231" s="34" t="str">
        <f>IFERROR(INDEX(BASE,MATCH(tblPRINTERS[[#This Row],[CASE ID]],BASE_CASOS,0),MATCH(tblPRINTERS[[#Headers],[tratativa]],BASE_CAB,0)),"Retornar com prioridade")</f>
        <v>Sem contato</v>
      </c>
      <c r="N231" s="34" t="str">
        <f>IFERROR(INDEX(BASE,MATCH(tblPRINTERS[[#This Row],[CASE ID]],BASE_CASOS,0),MATCH(tblPRINTERS[[#Headers],[Observação]],BASE_CAB,0)),"-")</f>
        <v>Sem contato (Só chama, Cx postal, Ocupado)</v>
      </c>
      <c r="O231" s="34" t="str">
        <f>IFERROR(INDEX(BASE,MATCH(tblPRINTERS[[#This Row],[CASE ID]],BASE_CASOS,0),MATCH(tblPRINTERS[[#Headers],[Observação Calback]],BASE_CAB,0)),"-")</f>
        <v>so chama</v>
      </c>
      <c r="P231" s="42" t="str">
        <f>IF(ISERROR(INDEX(QUALIDADE,MATCH(tblPRINTERS[[#This Row],[CASE ID]],PROTOCOLO_PESQUISAS,0),MATCH("Return Time",QUALIDADE_CAB,0)))=FALSE,INDEX(QUALIDADE,MATCH(tblPRINTERS[[#This Row],[CASE ID]],PROTOCOLO_PESQUISAS,0),MATCH("Return Time",QUALIDADE_CAB,0)),"")</f>
        <v/>
      </c>
      <c r="Q231" s="34" t="str">
        <f>IF(tblPRINTERS[[#This Row],[DATA | PESQUISA RECEBIDA]]="","",PROPER(TEXT(tblPRINTERS[[#This Row],[DATA | PESQUISA RECEBIDA]],"DDDD")))</f>
        <v/>
      </c>
    </row>
    <row r="232" spans="1:17" hidden="1">
      <c r="A232" s="54">
        <v>3035437632</v>
      </c>
      <c r="B232" s="54" t="s">
        <v>500</v>
      </c>
      <c r="C232" s="90">
        <v>42744.737756446761</v>
      </c>
      <c r="D232" s="86">
        <v>42746.737756446761</v>
      </c>
      <c r="E232" s="54" t="s">
        <v>26</v>
      </c>
      <c r="F232" s="54" t="s">
        <v>47</v>
      </c>
      <c r="G232" s="54" t="s">
        <v>302</v>
      </c>
      <c r="H232" s="54" t="s">
        <v>23</v>
      </c>
      <c r="I232" s="54" t="s">
        <v>815</v>
      </c>
      <c r="J232" s="54" t="s">
        <v>304</v>
      </c>
      <c r="K232" s="54" t="s">
        <v>2702</v>
      </c>
      <c r="L232" s="87">
        <v>42752</v>
      </c>
      <c r="M232" s="34" t="str">
        <f>IFERROR(INDEX(BASE,MATCH(tblPRINTERS[[#This Row],[CASE ID]],BASE_CASOS,0),MATCH(tblPRINTERS[[#Headers],[tratativa]],BASE_CAB,0)),"Retornar com prioridade")</f>
        <v>Responder pesquisa</v>
      </c>
      <c r="N232" s="34" t="str">
        <f>IFERROR(INDEX(BASE,MATCH(tblPRINTERS[[#This Row],[CASE ID]],BASE_CASOS,0),MATCH(tblPRINTERS[[#Headers],[Observação]],BASE_CAB,0)),"-")</f>
        <v>Nota 9/10</v>
      </c>
      <c r="O232" s="34" t="str">
        <f>IFERROR(INDEX(BASE,MATCH(tblPRINTERS[[#This Row],[CASE ID]],BASE_CASOS,0),MATCH(tblPRINTERS[[#Headers],[Observação Calback]],BASE_CAB,0)),"-")</f>
        <v>Responder pesquisa, Cliente ciente da pesquisa. Equipamento fora de garantia</v>
      </c>
      <c r="P232" s="42" t="str">
        <f>IF(ISERROR(INDEX(QUALIDADE,MATCH(tblPRINTERS[[#This Row],[CASE ID]],PROTOCOLO_PESQUISAS,0),MATCH("Return Time",QUALIDADE_CAB,0)))=FALSE,INDEX(QUALIDADE,MATCH(tblPRINTERS[[#This Row],[CASE ID]],PROTOCOLO_PESQUISAS,0),MATCH("Return Time",QUALIDADE_CAB,0)),"")</f>
        <v/>
      </c>
      <c r="Q232" s="34" t="str">
        <f>IF(tblPRINTERS[[#This Row],[DATA | PESQUISA RECEBIDA]]="","",PROPER(TEXT(tblPRINTERS[[#This Row],[DATA | PESQUISA RECEBIDA]],"DDDD")))</f>
        <v/>
      </c>
    </row>
    <row r="233" spans="1:17" hidden="1">
      <c r="A233" s="54">
        <v>3035614408</v>
      </c>
      <c r="B233" s="54" t="s">
        <v>500</v>
      </c>
      <c r="C233" s="90">
        <v>42744.737756446761</v>
      </c>
      <c r="D233" s="86">
        <v>42746.737756446761</v>
      </c>
      <c r="E233" s="54" t="s">
        <v>590</v>
      </c>
      <c r="F233" s="54" t="s">
        <v>27</v>
      </c>
      <c r="G233" s="54" t="s">
        <v>302</v>
      </c>
      <c r="H233" s="54" t="s">
        <v>273</v>
      </c>
      <c r="I233" s="54" t="s">
        <v>817</v>
      </c>
      <c r="J233" s="54" t="s">
        <v>303</v>
      </c>
      <c r="K233" s="54" t="s">
        <v>305</v>
      </c>
      <c r="L233" s="87">
        <v>42748</v>
      </c>
      <c r="M233" s="34" t="str">
        <f>IFERROR(INDEX(BASE,MATCH(tblPRINTERS[[#This Row],[CASE ID]],BASE_CASOS,0),MATCH(tblPRINTERS[[#Headers],[tratativa]],BASE_CAB,0)),"Retornar com prioridade")</f>
        <v>Não responder pesquisa</v>
      </c>
      <c r="N233" s="34" t="str">
        <f>IFERROR(INDEX(BASE,MATCH(tblPRINTERS[[#This Row],[CASE ID]],BASE_CASOS,0),MATCH(tblPRINTERS[[#Headers],[Observação]],BASE_CAB,0)),"-")</f>
        <v>Caso não resolvido / Equipamento em reparo</v>
      </c>
      <c r="O233" s="34" t="str">
        <f>IFERROR(INDEX(BASE,MATCH(tblPRINTERS[[#This Row],[CASE ID]],BASE_CASOS,0),MATCH(tblPRINTERS[[#Headers],[Observação Calback]],BASE_CAB,0)),"-")</f>
        <v>em reparo</v>
      </c>
      <c r="P233" s="42" t="str">
        <f>IF(ISERROR(INDEX(QUALIDADE,MATCH(tblPRINTERS[[#This Row],[CASE ID]],PROTOCOLO_PESQUISAS,0),MATCH("Return Time",QUALIDADE_CAB,0)))=FALSE,INDEX(QUALIDADE,MATCH(tblPRINTERS[[#This Row],[CASE ID]],PROTOCOLO_PESQUISAS,0),MATCH("Return Time",QUALIDADE_CAB,0)),"")</f>
        <v/>
      </c>
      <c r="Q233" s="34" t="str">
        <f>IF(tblPRINTERS[[#This Row],[DATA | PESQUISA RECEBIDA]]="","",PROPER(TEXT(tblPRINTERS[[#This Row],[DATA | PESQUISA RECEBIDA]],"DDDD")))</f>
        <v/>
      </c>
    </row>
    <row r="234" spans="1:17" hidden="1">
      <c r="A234" s="54">
        <v>3035520412</v>
      </c>
      <c r="B234" s="54" t="s">
        <v>500</v>
      </c>
      <c r="C234" s="90">
        <v>42744.737756446761</v>
      </c>
      <c r="D234" s="86">
        <v>42746.737756446761</v>
      </c>
      <c r="E234" s="54" t="s">
        <v>2141</v>
      </c>
      <c r="F234" s="54" t="s">
        <v>21</v>
      </c>
      <c r="G234" s="54" t="s">
        <v>302</v>
      </c>
      <c r="H234" s="54" t="s">
        <v>273</v>
      </c>
      <c r="I234" s="54" t="s">
        <v>817</v>
      </c>
      <c r="J234" s="54" t="s">
        <v>303</v>
      </c>
      <c r="K234" s="54" t="s">
        <v>305</v>
      </c>
      <c r="L234" s="87">
        <v>42753</v>
      </c>
      <c r="M234" s="34" t="str">
        <f>IFERROR(INDEX(BASE,MATCH(tblPRINTERS[[#This Row],[CASE ID]],BASE_CASOS,0),MATCH(tblPRINTERS[[#Headers],[tratativa]],BASE_CAB,0)),"Retornar com prioridade")</f>
        <v>Sem contato</v>
      </c>
      <c r="N234" s="34" t="str">
        <f>IFERROR(INDEX(BASE,MATCH(tblPRINTERS[[#This Row],[CASE ID]],BASE_CASOS,0),MATCH(tblPRINTERS[[#Headers],[Observação]],BASE_CAB,0)),"-")</f>
        <v>Sem contato (Só chama, Cx postal, Ocupado)</v>
      </c>
      <c r="O234" s="34" t="str">
        <f>IFERROR(INDEX(BASE,MATCH(tblPRINTERS[[#This Row],[CASE ID]],BASE_CASOS,0),MATCH(tblPRINTERS[[#Headers],[Observação Calback]],BASE_CAB,0)),"-")</f>
        <v>so chama</v>
      </c>
      <c r="P234" s="42" t="str">
        <f>IF(ISERROR(INDEX(QUALIDADE,MATCH(tblPRINTERS[[#This Row],[CASE ID]],PROTOCOLO_PESQUISAS,0),MATCH("Return Time",QUALIDADE_CAB,0)))=FALSE,INDEX(QUALIDADE,MATCH(tblPRINTERS[[#This Row],[CASE ID]],PROTOCOLO_PESQUISAS,0),MATCH("Return Time",QUALIDADE_CAB,0)),"")</f>
        <v/>
      </c>
      <c r="Q234" s="34" t="str">
        <f>IF(tblPRINTERS[[#This Row],[DATA | PESQUISA RECEBIDA]]="","",PROPER(TEXT(tblPRINTERS[[#This Row],[DATA | PESQUISA RECEBIDA]],"DDDD")))</f>
        <v/>
      </c>
    </row>
    <row r="235" spans="1:17" hidden="1">
      <c r="A235" s="54">
        <v>3035528378</v>
      </c>
      <c r="B235" s="54" t="s">
        <v>500</v>
      </c>
      <c r="C235" s="90">
        <v>42744.737756446761</v>
      </c>
      <c r="D235" s="86">
        <v>42746.737756446761</v>
      </c>
      <c r="E235" s="54" t="s">
        <v>281</v>
      </c>
      <c r="F235" s="54" t="s">
        <v>281</v>
      </c>
      <c r="G235" s="54" t="s">
        <v>301</v>
      </c>
      <c r="H235" s="54" t="s">
        <v>51</v>
      </c>
      <c r="I235" s="54" t="s">
        <v>817</v>
      </c>
      <c r="J235" s="54" t="s">
        <v>304</v>
      </c>
      <c r="K235" s="54" t="s">
        <v>2699</v>
      </c>
      <c r="L235" s="87">
        <v>42752</v>
      </c>
      <c r="M235" s="34" t="str">
        <f>IFERROR(INDEX(BASE,MATCH(tblPRINTERS[[#This Row],[CASE ID]],BASE_CASOS,0),MATCH(tblPRINTERS[[#Headers],[tratativa]],BASE_CAB,0)),"Retornar com prioridade")</f>
        <v>Respondeu antes do contato de Callback</v>
      </c>
      <c r="N235" s="34" t="str">
        <f>IFERROR(INDEX(BASE,MATCH(tblPRINTERS[[#This Row],[CASE ID]],BASE_CASOS,0),MATCH(tblPRINTERS[[#Headers],[Observação]],BASE_CAB,0)),"-")</f>
        <v>Já respondeu a pesquisa</v>
      </c>
      <c r="O235" s="34" t="str">
        <f>IFERROR(INDEX(BASE,MATCH(tblPRINTERS[[#This Row],[CASE ID]],BASE_CASOS,0),MATCH(tblPRINTERS[[#Headers],[Observação Calback]],BASE_CAB,0)),"-")</f>
        <v>cliente reclama pois é 3º contato sobre pesquisa.</v>
      </c>
      <c r="P235" s="42" t="str">
        <f>IF(ISERROR(INDEX(QUALIDADE,MATCH(tblPRINTERS[[#This Row],[CASE ID]],PROTOCOLO_PESQUISAS,0),MATCH("Return Time",QUALIDADE_CAB,0)))=FALSE,INDEX(QUALIDADE,MATCH(tblPRINTERS[[#This Row],[CASE ID]],PROTOCOLO_PESQUISAS,0),MATCH("Return Time",QUALIDADE_CAB,0)),"")</f>
        <v/>
      </c>
      <c r="Q235" s="34" t="str">
        <f>IF(tblPRINTERS[[#This Row],[DATA | PESQUISA RECEBIDA]]="","",PROPER(TEXT(tblPRINTERS[[#This Row],[DATA | PESQUISA RECEBIDA]],"DDDD")))</f>
        <v/>
      </c>
    </row>
    <row r="236" spans="1:17" hidden="1">
      <c r="A236" s="54">
        <v>3035443071</v>
      </c>
      <c r="B236" s="54" t="s">
        <v>500</v>
      </c>
      <c r="C236" s="90">
        <v>42744.737756446761</v>
      </c>
      <c r="D236" s="86">
        <v>42746.737756446761</v>
      </c>
      <c r="E236" s="54" t="s">
        <v>49</v>
      </c>
      <c r="F236" s="54" t="s">
        <v>21</v>
      </c>
      <c r="G236" s="54" t="s">
        <v>302</v>
      </c>
      <c r="H236" s="54" t="s">
        <v>273</v>
      </c>
      <c r="I236" s="54" t="s">
        <v>817</v>
      </c>
      <c r="J236" s="54" t="s">
        <v>303</v>
      </c>
      <c r="K236" s="54" t="s">
        <v>305</v>
      </c>
      <c r="L236" s="87">
        <v>42748</v>
      </c>
      <c r="M236" s="34" t="str">
        <f>IFERROR(INDEX(BASE,MATCH(tblPRINTERS[[#This Row],[CASE ID]],BASE_CASOS,0),MATCH(tblPRINTERS[[#Headers],[tratativa]],BASE_CAB,0)),"Retornar com prioridade")</f>
        <v>Responder pesquisa</v>
      </c>
      <c r="N236" s="34" t="str">
        <f>IFERROR(INDEX(BASE,MATCH(tblPRINTERS[[#This Row],[CASE ID]],BASE_CASOS,0),MATCH(tblPRINTERS[[#Headers],[Observação]],BASE_CAB,0)),"-")</f>
        <v>Nota 9/10</v>
      </c>
      <c r="O236" s="34" t="str">
        <f>IFERROR(INDEX(BASE,MATCH(tblPRINTERS[[#This Row],[CASE ID]],BASE_CASOS,0),MATCH(tblPRINTERS[[#Headers],[Observação Calback]],BASE_CAB,0)),"-")</f>
        <v>ira responder</v>
      </c>
      <c r="P236" s="42" t="str">
        <f>IF(ISERROR(INDEX(QUALIDADE,MATCH(tblPRINTERS[[#This Row],[CASE ID]],PROTOCOLO_PESQUISAS,0),MATCH("Return Time",QUALIDADE_CAB,0)))=FALSE,INDEX(QUALIDADE,MATCH(tblPRINTERS[[#This Row],[CASE ID]],PROTOCOLO_PESQUISAS,0),MATCH("Return Time",QUALIDADE_CAB,0)),"")</f>
        <v/>
      </c>
      <c r="Q236" s="34" t="str">
        <f>IF(tblPRINTERS[[#This Row],[DATA | PESQUISA RECEBIDA]]="","",PROPER(TEXT(tblPRINTERS[[#This Row],[DATA | PESQUISA RECEBIDA]],"DDDD")))</f>
        <v/>
      </c>
    </row>
    <row r="237" spans="1:17" hidden="1">
      <c r="A237" s="54">
        <v>3035617601</v>
      </c>
      <c r="B237" s="54" t="s">
        <v>500</v>
      </c>
      <c r="C237" s="90">
        <v>42744.737756446761</v>
      </c>
      <c r="D237" s="86">
        <v>42746.737756446761</v>
      </c>
      <c r="E237" s="54" t="s">
        <v>583</v>
      </c>
      <c r="F237" s="54" t="s">
        <v>583</v>
      </c>
      <c r="G237" s="54" t="s">
        <v>301</v>
      </c>
      <c r="H237" s="54" t="s">
        <v>23</v>
      </c>
      <c r="I237" s="54" t="s">
        <v>817</v>
      </c>
      <c r="J237" s="54" t="s">
        <v>304</v>
      </c>
      <c r="K237" s="54" t="s">
        <v>307</v>
      </c>
      <c r="L237" s="87">
        <v>42752</v>
      </c>
      <c r="M237" s="34" t="str">
        <f>IFERROR(INDEX(BASE,MATCH(tblPRINTERS[[#This Row],[CASE ID]],BASE_CASOS,0),MATCH(tblPRINTERS[[#Headers],[tratativa]],BASE_CAB,0)),"Retornar com prioridade")</f>
        <v>Responder pesquisa</v>
      </c>
      <c r="N237" s="34" t="str">
        <f>IFERROR(INDEX(BASE,MATCH(tblPRINTERS[[#This Row],[CASE ID]],BASE_CASOS,0),MATCH(tblPRINTERS[[#Headers],[Observação]],BASE_CAB,0)),"-")</f>
        <v>Nota 9/10</v>
      </c>
      <c r="O237" s="34" t="str">
        <f>IFERROR(INDEX(BASE,MATCH(tblPRINTERS[[#This Row],[CASE ID]],BASE_CASOS,0),MATCH(tblPRINTERS[[#Headers],[Observação Calback]],BASE_CAB,0)),"-")</f>
        <v>Notas 10/10</v>
      </c>
      <c r="P237" s="42" t="str">
        <f>IF(ISERROR(INDEX(QUALIDADE,MATCH(tblPRINTERS[[#This Row],[CASE ID]],PROTOCOLO_PESQUISAS,0),MATCH("Return Time",QUALIDADE_CAB,0)))=FALSE,INDEX(QUALIDADE,MATCH(tblPRINTERS[[#This Row],[CASE ID]],PROTOCOLO_PESQUISAS,0),MATCH("Return Time",QUALIDADE_CAB,0)),"")</f>
        <v/>
      </c>
      <c r="Q237" s="34" t="str">
        <f>IF(tblPRINTERS[[#This Row],[DATA | PESQUISA RECEBIDA]]="","",PROPER(TEXT(tblPRINTERS[[#This Row],[DATA | PESQUISA RECEBIDA]],"DDDD")))</f>
        <v/>
      </c>
    </row>
    <row r="238" spans="1:17" hidden="1">
      <c r="A238" s="54">
        <v>3035549612</v>
      </c>
      <c r="B238" s="54" t="s">
        <v>500</v>
      </c>
      <c r="C238" s="90">
        <v>42744.737756446761</v>
      </c>
      <c r="D238" s="86">
        <v>42746.737756446761</v>
      </c>
      <c r="E238" s="54" t="s">
        <v>12</v>
      </c>
      <c r="F238" s="54" t="s">
        <v>19</v>
      </c>
      <c r="G238" s="54" t="s">
        <v>302</v>
      </c>
      <c r="H238" s="54" t="s">
        <v>9</v>
      </c>
      <c r="I238" s="54" t="s">
        <v>817</v>
      </c>
      <c r="J238" s="54" t="s">
        <v>304</v>
      </c>
      <c r="K238" s="54" t="s">
        <v>307</v>
      </c>
      <c r="L238" s="87">
        <v>42748</v>
      </c>
      <c r="M238" s="34" t="str">
        <f>IFERROR(INDEX(BASE,MATCH(tblPRINTERS[[#This Row],[CASE ID]],BASE_CASOS,0),MATCH(tblPRINTERS[[#Headers],[tratativa]],BASE_CAB,0)),"Retornar com prioridade")</f>
        <v>Retornar com prioridade</v>
      </c>
      <c r="N238" s="34" t="str">
        <f>IFERROR(INDEX(BASE,MATCH(tblPRINTERS[[#This Row],[CASE ID]],BASE_CASOS,0),MATCH(tblPRINTERS[[#Headers],[Observação]],BASE_CAB,0)),"-")</f>
        <v>-</v>
      </c>
      <c r="O238" s="34" t="str">
        <f>IFERROR(INDEX(BASE,MATCH(tblPRINTERS[[#This Row],[CASE ID]],BASE_CASOS,0),MATCH(tblPRINTERS[[#Headers],[Observação Calback]],BASE_CAB,0)),"-")</f>
        <v>-</v>
      </c>
      <c r="P238" s="42" t="str">
        <f>IF(ISERROR(INDEX(QUALIDADE,MATCH(tblPRINTERS[[#This Row],[CASE ID]],PROTOCOLO_PESQUISAS,0),MATCH("Return Time",QUALIDADE_CAB,0)))=FALSE,INDEX(QUALIDADE,MATCH(tblPRINTERS[[#This Row],[CASE ID]],PROTOCOLO_PESQUISAS,0),MATCH("Return Time",QUALIDADE_CAB,0)),"")</f>
        <v/>
      </c>
      <c r="Q238" s="34" t="str">
        <f>IF(tblPRINTERS[[#This Row],[DATA | PESQUISA RECEBIDA]]="","",PROPER(TEXT(tblPRINTERS[[#This Row],[DATA | PESQUISA RECEBIDA]],"DDDD")))</f>
        <v/>
      </c>
    </row>
    <row r="239" spans="1:17" hidden="1">
      <c r="A239" s="54">
        <v>3035604564</v>
      </c>
      <c r="B239" s="54" t="s">
        <v>500</v>
      </c>
      <c r="C239" s="90">
        <v>42744.737756446761</v>
      </c>
      <c r="D239" s="86">
        <v>42746.737756446761</v>
      </c>
      <c r="E239" s="54" t="s">
        <v>20</v>
      </c>
      <c r="F239" s="54" t="s">
        <v>20</v>
      </c>
      <c r="G239" s="54" t="s">
        <v>301</v>
      </c>
      <c r="H239" s="54" t="s">
        <v>9</v>
      </c>
      <c r="I239" s="54" t="s">
        <v>817</v>
      </c>
      <c r="J239" s="54" t="s">
        <v>304</v>
      </c>
      <c r="K239" s="54" t="s">
        <v>307</v>
      </c>
      <c r="L239" s="87">
        <v>42752</v>
      </c>
      <c r="M239" s="34" t="str">
        <f>IFERROR(INDEX(BASE,MATCH(tblPRINTERS[[#This Row],[CASE ID]],BASE_CASOS,0),MATCH(tblPRINTERS[[#Headers],[tratativa]],BASE_CAB,0)),"Retornar com prioridade")</f>
        <v>Responder pesquisa</v>
      </c>
      <c r="N239" s="34" t="str">
        <f>IFERROR(INDEX(BASE,MATCH(tblPRINTERS[[#This Row],[CASE ID]],BASE_CASOS,0),MATCH(tblPRINTERS[[#Headers],[Observação]],BASE_CAB,0)),"-")</f>
        <v>Nota 9/10</v>
      </c>
      <c r="O239" s="34" t="str">
        <f>IFERROR(INDEX(BASE,MATCH(tblPRINTERS[[#This Row],[CASE ID]],BASE_CASOS,0),MATCH(tblPRINTERS[[#Headers],[Observação Calback]],BASE_CAB,0)),"-")</f>
        <v>ira responder</v>
      </c>
      <c r="P239" s="42" t="str">
        <f>IF(ISERROR(INDEX(QUALIDADE,MATCH(tblPRINTERS[[#This Row],[CASE ID]],PROTOCOLO_PESQUISAS,0),MATCH("Return Time",QUALIDADE_CAB,0)))=FALSE,INDEX(QUALIDADE,MATCH(tblPRINTERS[[#This Row],[CASE ID]],PROTOCOLO_PESQUISAS,0),MATCH("Return Time",QUALIDADE_CAB,0)),"")</f>
        <v/>
      </c>
      <c r="Q239" s="34" t="str">
        <f>IF(tblPRINTERS[[#This Row],[DATA | PESQUISA RECEBIDA]]="","",PROPER(TEXT(tblPRINTERS[[#This Row],[DATA | PESQUISA RECEBIDA]],"DDDD")))</f>
        <v/>
      </c>
    </row>
    <row r="240" spans="1:17" hidden="1">
      <c r="A240" s="54">
        <v>3035607401</v>
      </c>
      <c r="B240" s="54" t="s">
        <v>500</v>
      </c>
      <c r="C240" s="90">
        <v>42744.737756446761</v>
      </c>
      <c r="D240" s="86">
        <v>42746.737756446761</v>
      </c>
      <c r="E240" s="54" t="s">
        <v>1526</v>
      </c>
      <c r="F240" s="54" t="s">
        <v>1526</v>
      </c>
      <c r="G240" s="54" t="s">
        <v>301</v>
      </c>
      <c r="H240" s="54" t="s">
        <v>31</v>
      </c>
      <c r="I240" s="54" t="s">
        <v>817</v>
      </c>
      <c r="J240" s="54" t="s">
        <v>303</v>
      </c>
      <c r="K240" s="54" t="s">
        <v>305</v>
      </c>
      <c r="L240" s="87">
        <v>42753</v>
      </c>
      <c r="M240" s="34" t="str">
        <f>IFERROR(INDEX(BASE,MATCH(tblPRINTERS[[#This Row],[CASE ID]],BASE_CASOS,0),MATCH(tblPRINTERS[[#Headers],[tratativa]],BASE_CAB,0)),"Retornar com prioridade")</f>
        <v>Sem contato</v>
      </c>
      <c r="N240" s="34" t="str">
        <f>IFERROR(INDEX(BASE,MATCH(tblPRINTERS[[#This Row],[CASE ID]],BASE_CASOS,0),MATCH(tblPRINTERS[[#Headers],[Observação]],BASE_CAB,0)),"-")</f>
        <v>Sem contato (Só chama, Cx postal, Ocupado)</v>
      </c>
      <c r="O240" s="34" t="str">
        <f>IFERROR(INDEX(BASE,MATCH(tblPRINTERS[[#This Row],[CASE ID]],BASE_CASOS,0),MATCH(tblPRINTERS[[#Headers],[Observação Calback]],BASE_CAB,0)),"-")</f>
        <v>so chama</v>
      </c>
      <c r="P240" s="42" t="str">
        <f>IF(ISERROR(INDEX(QUALIDADE,MATCH(tblPRINTERS[[#This Row],[CASE ID]],PROTOCOLO_PESQUISAS,0),MATCH("Return Time",QUALIDADE_CAB,0)))=FALSE,INDEX(QUALIDADE,MATCH(tblPRINTERS[[#This Row],[CASE ID]],PROTOCOLO_PESQUISAS,0),MATCH("Return Time",QUALIDADE_CAB,0)),"")</f>
        <v/>
      </c>
      <c r="Q240" s="34" t="str">
        <f>IF(tblPRINTERS[[#This Row],[DATA | PESQUISA RECEBIDA]]="","",PROPER(TEXT(tblPRINTERS[[#This Row],[DATA | PESQUISA RECEBIDA]],"DDDD")))</f>
        <v/>
      </c>
    </row>
    <row r="241" spans="1:17" hidden="1">
      <c r="A241" s="54">
        <v>3035611253</v>
      </c>
      <c r="B241" s="54" t="s">
        <v>500</v>
      </c>
      <c r="C241" s="90">
        <v>42744.737756446761</v>
      </c>
      <c r="D241" s="86">
        <v>42746.737756446761</v>
      </c>
      <c r="E241" s="54" t="s">
        <v>16</v>
      </c>
      <c r="F241" s="54" t="s">
        <v>16</v>
      </c>
      <c r="G241" s="54" t="s">
        <v>301</v>
      </c>
      <c r="H241" s="54" t="s">
        <v>9</v>
      </c>
      <c r="I241" s="54" t="s">
        <v>817</v>
      </c>
      <c r="J241" s="54" t="s">
        <v>303</v>
      </c>
      <c r="K241" s="54" t="s">
        <v>305</v>
      </c>
      <c r="L241" s="87">
        <v>42748</v>
      </c>
      <c r="M241" s="34" t="str">
        <f>IFERROR(INDEX(BASE,MATCH(tblPRINTERS[[#This Row],[CASE ID]],BASE_CASOS,0),MATCH(tblPRINTERS[[#Headers],[tratativa]],BASE_CAB,0)),"Retornar com prioridade")</f>
        <v>Não responder pesquisa</v>
      </c>
      <c r="N241" s="34" t="str">
        <f>IFERROR(INDEX(BASE,MATCH(tblPRINTERS[[#This Row],[CASE ID]],BASE_CASOS,0),MATCH(tblPRINTERS[[#Headers],[Observação]],BASE_CAB,0)),"-")</f>
        <v>Caso não resolvido / Equipamento em reparo</v>
      </c>
      <c r="O241" s="34" t="str">
        <f>IFERROR(INDEX(BASE,MATCH(tblPRINTERS[[#This Row],[CASE ID]],BASE_CASOS,0),MATCH(tblPRINTERS[[#Headers],[Observação Calback]],BASE_CAB,0)),"-")</f>
        <v>impressora fora da garantia.</v>
      </c>
      <c r="P241" s="42" t="str">
        <f>IF(ISERROR(INDEX(QUALIDADE,MATCH(tblPRINTERS[[#This Row],[CASE ID]],PROTOCOLO_PESQUISAS,0),MATCH("Return Time",QUALIDADE_CAB,0)))=FALSE,INDEX(QUALIDADE,MATCH(tblPRINTERS[[#This Row],[CASE ID]],PROTOCOLO_PESQUISAS,0),MATCH("Return Time",QUALIDADE_CAB,0)),"")</f>
        <v/>
      </c>
      <c r="Q241" s="34" t="str">
        <f>IF(tblPRINTERS[[#This Row],[DATA | PESQUISA RECEBIDA]]="","",PROPER(TEXT(tblPRINTERS[[#This Row],[DATA | PESQUISA RECEBIDA]],"DDDD")))</f>
        <v/>
      </c>
    </row>
    <row r="242" spans="1:17" hidden="1">
      <c r="A242" s="54">
        <v>3035603239</v>
      </c>
      <c r="B242" s="54" t="s">
        <v>500</v>
      </c>
      <c r="C242" s="90">
        <v>42744.737756446761</v>
      </c>
      <c r="D242" s="86">
        <v>42746.737756446761</v>
      </c>
      <c r="E242" s="54" t="s">
        <v>14</v>
      </c>
      <c r="F242" s="54" t="s">
        <v>14</v>
      </c>
      <c r="G242" s="54" t="s">
        <v>301</v>
      </c>
      <c r="H242" s="54" t="s">
        <v>9</v>
      </c>
      <c r="I242" s="54" t="s">
        <v>817</v>
      </c>
      <c r="J242" s="54" t="s">
        <v>304</v>
      </c>
      <c r="K242" s="54" t="s">
        <v>307</v>
      </c>
      <c r="L242" s="87">
        <v>42752</v>
      </c>
      <c r="M242" s="34" t="str">
        <f>IFERROR(INDEX(BASE,MATCH(tblPRINTERS[[#This Row],[CASE ID]],BASE_CASOS,0),MATCH(tblPRINTERS[[#Headers],[tratativa]],BASE_CAB,0)),"Retornar com prioridade")</f>
        <v>Responder pesquisa</v>
      </c>
      <c r="N242" s="34" t="str">
        <f>IFERROR(INDEX(BASE,MATCH(tblPRINTERS[[#This Row],[CASE ID]],BASE_CASOS,0),MATCH(tblPRINTERS[[#Headers],[Observação]],BASE_CAB,0)),"-")</f>
        <v>Nota 9/10</v>
      </c>
      <c r="O242" s="34" t="str">
        <f>IFERROR(INDEX(BASE,MATCH(tblPRINTERS[[#This Row],[CASE ID]],BASE_CASOS,0),MATCH(tblPRINTERS[[#Headers],[Observação Calback]],BASE_CAB,0)),"-")</f>
        <v>ira responder</v>
      </c>
      <c r="P242" s="42" t="str">
        <f>IF(ISERROR(INDEX(QUALIDADE,MATCH(tblPRINTERS[[#This Row],[CASE ID]],PROTOCOLO_PESQUISAS,0),MATCH("Return Time",QUALIDADE_CAB,0)))=FALSE,INDEX(QUALIDADE,MATCH(tblPRINTERS[[#This Row],[CASE ID]],PROTOCOLO_PESQUISAS,0),MATCH("Return Time",QUALIDADE_CAB,0)),"")</f>
        <v/>
      </c>
      <c r="Q242" s="34" t="str">
        <f>IF(tblPRINTERS[[#This Row],[DATA | PESQUISA RECEBIDA]]="","",PROPER(TEXT(tblPRINTERS[[#This Row],[DATA | PESQUISA RECEBIDA]],"DDDD")))</f>
        <v/>
      </c>
    </row>
    <row r="243" spans="1:17" hidden="1">
      <c r="A243" s="54">
        <v>3035615812</v>
      </c>
      <c r="B243" s="54" t="s">
        <v>500</v>
      </c>
      <c r="C243" s="90">
        <v>42744.737756446761</v>
      </c>
      <c r="D243" s="86">
        <v>42746.737756446761</v>
      </c>
      <c r="E243" s="54" t="s">
        <v>29</v>
      </c>
      <c r="F243" s="54" t="s">
        <v>29</v>
      </c>
      <c r="G243" s="54" t="s">
        <v>301</v>
      </c>
      <c r="H243" s="54" t="s">
        <v>23</v>
      </c>
      <c r="I243" s="54" t="s">
        <v>815</v>
      </c>
      <c r="J243" s="54" t="s">
        <v>304</v>
      </c>
      <c r="K243" s="54" t="s">
        <v>2704</v>
      </c>
      <c r="L243" s="87">
        <v>42752</v>
      </c>
      <c r="M243" s="34" t="str">
        <f>IFERROR(INDEX(BASE,MATCH(tblPRINTERS[[#This Row],[CASE ID]],BASE_CASOS,0),MATCH(tblPRINTERS[[#Headers],[tratativa]],BASE_CAB,0)),"Retornar com prioridade")</f>
        <v>Sem contato</v>
      </c>
      <c r="N243" s="34" t="str">
        <f>IFERROR(INDEX(BASE,MATCH(tblPRINTERS[[#This Row],[CASE ID]],BASE_CASOS,0),MATCH(tblPRINTERS[[#Headers],[Observação]],BASE_CAB,0)),"-")</f>
        <v>Cliente não se encontra</v>
      </c>
      <c r="O243" s="34" t="str">
        <f>IFERROR(INDEX(BASE,MATCH(tblPRINTERS[[#This Row],[CASE ID]],BASE_CASOS,0),MATCH(tblPRINTERS[[#Headers],[Observação Calback]],BASE_CAB,0)),"-")</f>
        <v>2° tel. Só chama</v>
      </c>
      <c r="P243" s="42" t="str">
        <f>IF(ISERROR(INDEX(QUALIDADE,MATCH(tblPRINTERS[[#This Row],[CASE ID]],PROTOCOLO_PESQUISAS,0),MATCH("Return Time",QUALIDADE_CAB,0)))=FALSE,INDEX(QUALIDADE,MATCH(tblPRINTERS[[#This Row],[CASE ID]],PROTOCOLO_PESQUISAS,0),MATCH("Return Time",QUALIDADE_CAB,0)),"")</f>
        <v/>
      </c>
      <c r="Q243" s="34" t="str">
        <f>IF(tblPRINTERS[[#This Row],[DATA | PESQUISA RECEBIDA]]="","",PROPER(TEXT(tblPRINTERS[[#This Row],[DATA | PESQUISA RECEBIDA]],"DDDD")))</f>
        <v/>
      </c>
    </row>
    <row r="244" spans="1:17" hidden="1">
      <c r="A244" s="54">
        <v>3035616513</v>
      </c>
      <c r="B244" s="54" t="s">
        <v>500</v>
      </c>
      <c r="C244" s="90">
        <v>42744.737756446761</v>
      </c>
      <c r="D244" s="86">
        <v>42746.737756446761</v>
      </c>
      <c r="E244" s="54" t="s">
        <v>846</v>
      </c>
      <c r="F244" s="54" t="s">
        <v>846</v>
      </c>
      <c r="G244" s="54" t="s">
        <v>301</v>
      </c>
      <c r="H244" s="54" t="s">
        <v>273</v>
      </c>
      <c r="I244" s="54" t="s">
        <v>817</v>
      </c>
      <c r="J244" s="54" t="s">
        <v>303</v>
      </c>
      <c r="K244" s="54" t="s">
        <v>305</v>
      </c>
      <c r="L244" s="87">
        <v>42748</v>
      </c>
      <c r="M244" s="34" t="str">
        <f>IFERROR(INDEX(BASE,MATCH(tblPRINTERS[[#This Row],[CASE ID]],BASE_CASOS,0),MATCH(tblPRINTERS[[#Headers],[tratativa]],BASE_CAB,0)),"Retornar com prioridade")</f>
        <v>Não responder pesquisa</v>
      </c>
      <c r="N244" s="34" t="str">
        <f>IFERROR(INDEX(BASE,MATCH(tblPRINTERS[[#This Row],[CASE ID]],BASE_CASOS,0),MATCH(tblPRINTERS[[#Headers],[Observação]],BASE_CAB,0)),"-")</f>
        <v>Caso não resolvido / Equipamento em reparo</v>
      </c>
      <c r="O244" s="34" t="str">
        <f>IFERROR(INDEX(BASE,MATCH(tblPRINTERS[[#This Row],[CASE ID]],BASE_CASOS,0),MATCH(tblPRINTERS[[#Headers],[Observação Calback]],BASE_CAB,0)),"-")</f>
        <v>Aplicado CID</v>
      </c>
      <c r="P244" s="42" t="str">
        <f>IF(ISERROR(INDEX(QUALIDADE,MATCH(tblPRINTERS[[#This Row],[CASE ID]],PROTOCOLO_PESQUISAS,0),MATCH("Return Time",QUALIDADE_CAB,0)))=FALSE,INDEX(QUALIDADE,MATCH(tblPRINTERS[[#This Row],[CASE ID]],PROTOCOLO_PESQUISAS,0),MATCH("Return Time",QUALIDADE_CAB,0)),"")</f>
        <v/>
      </c>
      <c r="Q244" s="34" t="str">
        <f>IF(tblPRINTERS[[#This Row],[DATA | PESQUISA RECEBIDA]]="","",PROPER(TEXT(tblPRINTERS[[#This Row],[DATA | PESQUISA RECEBIDA]],"DDDD")))</f>
        <v/>
      </c>
    </row>
    <row r="245" spans="1:17" hidden="1">
      <c r="A245" s="54">
        <v>3035612387</v>
      </c>
      <c r="B245" s="54" t="s">
        <v>500</v>
      </c>
      <c r="C245" s="90">
        <v>42744.737756446761</v>
      </c>
      <c r="D245" s="86">
        <v>42746.737756446761</v>
      </c>
      <c r="E245" s="54" t="s">
        <v>26</v>
      </c>
      <c r="F245" s="54" t="s">
        <v>26</v>
      </c>
      <c r="G245" s="54" t="s">
        <v>301</v>
      </c>
      <c r="H245" s="54" t="s">
        <v>23</v>
      </c>
      <c r="I245" s="54" t="s">
        <v>817</v>
      </c>
      <c r="J245" s="54" t="s">
        <v>303</v>
      </c>
      <c r="K245" s="54" t="s">
        <v>305</v>
      </c>
      <c r="L245" s="87">
        <v>42748</v>
      </c>
      <c r="M245" s="34" t="str">
        <f>IFERROR(INDEX(BASE,MATCH(tblPRINTERS[[#This Row],[CASE ID]],BASE_CASOS,0),MATCH(tblPRINTERS[[#Headers],[tratativa]],BASE_CAB,0)),"Retornar com prioridade")</f>
        <v>Não responder pesquisa</v>
      </c>
      <c r="N245" s="34" t="str">
        <f>IFERROR(INDEX(BASE,MATCH(tblPRINTERS[[#This Row],[CASE ID]],BASE_CASOS,0),MATCH(tblPRINTERS[[#Headers],[Observação]],BASE_CAB,0)),"-")</f>
        <v>Pesquisa rejeitada</v>
      </c>
      <c r="O245" s="34" t="str">
        <f>IFERROR(INDEX(BASE,MATCH(tblPRINTERS[[#This Row],[CASE ID]],BASE_CASOS,0),MATCH(tblPRINTERS[[#Headers],[Observação Calback]],BASE_CAB,0)),"-")</f>
        <v>revenda</v>
      </c>
      <c r="P245" s="42" t="str">
        <f>IF(ISERROR(INDEX(QUALIDADE,MATCH(tblPRINTERS[[#This Row],[CASE ID]],PROTOCOLO_PESQUISAS,0),MATCH("Return Time",QUALIDADE_CAB,0)))=FALSE,INDEX(QUALIDADE,MATCH(tblPRINTERS[[#This Row],[CASE ID]],PROTOCOLO_PESQUISAS,0),MATCH("Return Time",QUALIDADE_CAB,0)),"")</f>
        <v/>
      </c>
      <c r="Q245" s="34" t="str">
        <f>IF(tblPRINTERS[[#This Row],[DATA | PESQUISA RECEBIDA]]="","",PROPER(TEXT(tblPRINTERS[[#This Row],[DATA | PESQUISA RECEBIDA]],"DDDD")))</f>
        <v/>
      </c>
    </row>
    <row r="246" spans="1:17" hidden="1">
      <c r="A246" s="54">
        <v>3035605482</v>
      </c>
      <c r="B246" s="54" t="s">
        <v>500</v>
      </c>
      <c r="C246" s="90">
        <v>42744.737756446761</v>
      </c>
      <c r="D246" s="86">
        <v>42746.737756446761</v>
      </c>
      <c r="E246" s="54" t="s">
        <v>1887</v>
      </c>
      <c r="F246" s="54" t="s">
        <v>1887</v>
      </c>
      <c r="G246" s="54" t="s">
        <v>301</v>
      </c>
      <c r="H246" s="54" t="s">
        <v>31</v>
      </c>
      <c r="I246" s="54" t="s">
        <v>817</v>
      </c>
      <c r="J246" s="54" t="s">
        <v>303</v>
      </c>
      <c r="K246" s="54" t="s">
        <v>305</v>
      </c>
      <c r="L246" s="87">
        <v>42753</v>
      </c>
      <c r="M246" s="34" t="str">
        <f>IFERROR(INDEX(BASE,MATCH(tblPRINTERS[[#This Row],[CASE ID]],BASE_CASOS,0),MATCH(tblPRINTERS[[#Headers],[tratativa]],BASE_CAB,0)),"Retornar com prioridade")</f>
        <v>Sem contato</v>
      </c>
      <c r="N246" s="34" t="str">
        <f>IFERROR(INDEX(BASE,MATCH(tblPRINTERS[[#This Row],[CASE ID]],BASE_CASOS,0),MATCH(tblPRINTERS[[#Headers],[Observação]],BASE_CAB,0)),"-")</f>
        <v>Sem contato (Só chama, Cx postal, Ocupado)</v>
      </c>
      <c r="O246" s="34" t="str">
        <f>IFERROR(INDEX(BASE,MATCH(tblPRINTERS[[#This Row],[CASE ID]],BASE_CASOS,0),MATCH(tblPRINTERS[[#Headers],[Observação Calback]],BASE_CAB,0)),"-")</f>
        <v>so chama</v>
      </c>
      <c r="P246" s="42" t="str">
        <f>IF(ISERROR(INDEX(QUALIDADE,MATCH(tblPRINTERS[[#This Row],[CASE ID]],PROTOCOLO_PESQUISAS,0),MATCH("Return Time",QUALIDADE_CAB,0)))=FALSE,INDEX(QUALIDADE,MATCH(tblPRINTERS[[#This Row],[CASE ID]],PROTOCOLO_PESQUISAS,0),MATCH("Return Time",QUALIDADE_CAB,0)),"")</f>
        <v/>
      </c>
      <c r="Q246" s="34" t="str">
        <f>IF(tblPRINTERS[[#This Row],[DATA | PESQUISA RECEBIDA]]="","",PROPER(TEXT(tblPRINTERS[[#This Row],[DATA | PESQUISA RECEBIDA]],"DDDD")))</f>
        <v/>
      </c>
    </row>
    <row r="247" spans="1:17" hidden="1">
      <c r="A247" s="54">
        <v>3035295041</v>
      </c>
      <c r="B247" s="54" t="s">
        <v>500</v>
      </c>
      <c r="C247" s="90">
        <v>42744.737756446761</v>
      </c>
      <c r="D247" s="86">
        <v>42746.737756446761</v>
      </c>
      <c r="E247" s="54" t="s">
        <v>54</v>
      </c>
      <c r="F247" s="54" t="s">
        <v>21</v>
      </c>
      <c r="G247" s="54" t="s">
        <v>302</v>
      </c>
      <c r="H247" s="54" t="s">
        <v>273</v>
      </c>
      <c r="I247" s="54" t="s">
        <v>817</v>
      </c>
      <c r="J247" s="54" t="s">
        <v>303</v>
      </c>
      <c r="K247" s="54" t="s">
        <v>1379</v>
      </c>
      <c r="L247" s="87">
        <v>42753</v>
      </c>
      <c r="M247" s="34" t="str">
        <f>IFERROR(INDEX(BASE,MATCH(tblPRINTERS[[#This Row],[CASE ID]],BASE_CASOS,0),MATCH(tblPRINTERS[[#Headers],[tratativa]],BASE_CAB,0)),"Retornar com prioridade")</f>
        <v>Sem contato</v>
      </c>
      <c r="N247" s="34" t="str">
        <f>IFERROR(INDEX(BASE,MATCH(tblPRINTERS[[#This Row],[CASE ID]],BASE_CASOS,0),MATCH(tblPRINTERS[[#Headers],[Observação]],BASE_CAB,0)),"-")</f>
        <v>Sem contato (Só chama, Cx postal, Ocupado)</v>
      </c>
      <c r="O247" s="34" t="str">
        <f>IFERROR(INDEX(BASE,MATCH(tblPRINTERS[[#This Row],[CASE ID]],BASE_CASOS,0),MATCH(tblPRINTERS[[#Headers],[Observação Calback]],BASE_CAB,0)),"-")</f>
        <v>somente quinta</v>
      </c>
      <c r="P247" s="42" t="str">
        <f>IF(ISERROR(INDEX(QUALIDADE,MATCH(tblPRINTERS[[#This Row],[CASE ID]],PROTOCOLO_PESQUISAS,0),MATCH("Return Time",QUALIDADE_CAB,0)))=FALSE,INDEX(QUALIDADE,MATCH(tblPRINTERS[[#This Row],[CASE ID]],PROTOCOLO_PESQUISAS,0),MATCH("Return Time",QUALIDADE_CAB,0)),"")</f>
        <v/>
      </c>
      <c r="Q247" s="34" t="str">
        <f>IF(tblPRINTERS[[#This Row],[DATA | PESQUISA RECEBIDA]]="","",PROPER(TEXT(tblPRINTERS[[#This Row],[DATA | PESQUISA RECEBIDA]],"DDDD")))</f>
        <v/>
      </c>
    </row>
    <row r="248" spans="1:17" hidden="1">
      <c r="A248" s="54">
        <v>3035608733</v>
      </c>
      <c r="B248" s="54" t="s">
        <v>500</v>
      </c>
      <c r="C248" s="90">
        <v>42744.737756446761</v>
      </c>
      <c r="D248" s="86">
        <v>42746.737756446761</v>
      </c>
      <c r="E248" s="54" t="s">
        <v>2692</v>
      </c>
      <c r="F248" s="54" t="s">
        <v>2692</v>
      </c>
      <c r="G248" s="54" t="s">
        <v>301</v>
      </c>
      <c r="H248" s="54" t="s">
        <v>256</v>
      </c>
      <c r="I248" s="54" t="s">
        <v>817</v>
      </c>
      <c r="J248" s="54" t="s">
        <v>303</v>
      </c>
      <c r="K248" s="54" t="s">
        <v>305</v>
      </c>
      <c r="L248" s="87">
        <v>42753</v>
      </c>
      <c r="M248" s="34" t="str">
        <f>IFERROR(INDEX(BASE,MATCH(tblPRINTERS[[#This Row],[CASE ID]],BASE_CASOS,0),MATCH(tblPRINTERS[[#Headers],[tratativa]],BASE_CAB,0)),"Retornar com prioridade")</f>
        <v>Sem contato</v>
      </c>
      <c r="N248" s="34" t="str">
        <f>IFERROR(INDEX(BASE,MATCH(tblPRINTERS[[#This Row],[CASE ID]],BASE_CASOS,0),MATCH(tblPRINTERS[[#Headers],[Observação]],BASE_CAB,0)),"-")</f>
        <v>Sem contato (Só chama, Cx postal, Ocupado)</v>
      </c>
      <c r="O248" s="34" t="str">
        <f>IFERROR(INDEX(BASE,MATCH(tblPRINTERS[[#This Row],[CASE ID]],BASE_CASOS,0),MATCH(tblPRINTERS[[#Headers],[Observação Calback]],BASE_CAB,0)),"-")</f>
        <v>so chama</v>
      </c>
      <c r="P248" s="42" t="str">
        <f>IF(ISERROR(INDEX(QUALIDADE,MATCH(tblPRINTERS[[#This Row],[CASE ID]],PROTOCOLO_PESQUISAS,0),MATCH("Return Time",QUALIDADE_CAB,0)))=FALSE,INDEX(QUALIDADE,MATCH(tblPRINTERS[[#This Row],[CASE ID]],PROTOCOLO_PESQUISAS,0),MATCH("Return Time",QUALIDADE_CAB,0)),"")</f>
        <v/>
      </c>
      <c r="Q248" s="34" t="str">
        <f>IF(tblPRINTERS[[#This Row],[DATA | PESQUISA RECEBIDA]]="","",PROPER(TEXT(tblPRINTERS[[#This Row],[DATA | PESQUISA RECEBIDA]],"DDDD")))</f>
        <v/>
      </c>
    </row>
    <row r="249" spans="1:17" hidden="1">
      <c r="A249" s="54">
        <v>3035338288</v>
      </c>
      <c r="B249" s="54" t="s">
        <v>500</v>
      </c>
      <c r="C249" s="90">
        <v>42744.737756446761</v>
      </c>
      <c r="D249" s="86">
        <v>42746.737756446761</v>
      </c>
      <c r="E249" s="54" t="s">
        <v>49</v>
      </c>
      <c r="F249" s="54" t="s">
        <v>21</v>
      </c>
      <c r="G249" s="54" t="s">
        <v>302</v>
      </c>
      <c r="H249" s="54" t="s">
        <v>273</v>
      </c>
      <c r="I249" s="54" t="s">
        <v>817</v>
      </c>
      <c r="J249" s="54" t="s">
        <v>303</v>
      </c>
      <c r="K249" s="54" t="s">
        <v>305</v>
      </c>
      <c r="L249" s="87">
        <v>42748</v>
      </c>
      <c r="M249" s="34" t="str">
        <f>IFERROR(INDEX(BASE,MATCH(tblPRINTERS[[#This Row],[CASE ID]],BASE_CASOS,0),MATCH(tblPRINTERS[[#Headers],[tratativa]],BASE_CAB,0)),"Retornar com prioridade")</f>
        <v>Não responder pesquisa</v>
      </c>
      <c r="N249" s="34" t="str">
        <f>IFERROR(INDEX(BASE,MATCH(tblPRINTERS[[#This Row],[CASE ID]],BASE_CASOS,0),MATCH(tblPRINTERS[[#Headers],[Observação]],BASE_CAB,0)),"-")</f>
        <v>Caso não resolvido / Equipamento em reparo</v>
      </c>
      <c r="O249" s="34" t="str">
        <f>IFERROR(INDEX(BASE,MATCH(tblPRINTERS[[#This Row],[CASE ID]],BASE_CASOS,0),MATCH(tblPRINTERS[[#Headers],[Observação Calback]],BASE_CAB,0)),"-")</f>
        <v>ira retornar contato.</v>
      </c>
      <c r="P249" s="42" t="str">
        <f>IF(ISERROR(INDEX(QUALIDADE,MATCH(tblPRINTERS[[#This Row],[CASE ID]],PROTOCOLO_PESQUISAS,0),MATCH("Return Time",QUALIDADE_CAB,0)))=FALSE,INDEX(QUALIDADE,MATCH(tblPRINTERS[[#This Row],[CASE ID]],PROTOCOLO_PESQUISAS,0),MATCH("Return Time",QUALIDADE_CAB,0)),"")</f>
        <v/>
      </c>
      <c r="Q249" s="34" t="str">
        <f>IF(tblPRINTERS[[#This Row],[DATA | PESQUISA RECEBIDA]]="","",PROPER(TEXT(tblPRINTERS[[#This Row],[DATA | PESQUISA RECEBIDA]],"DDDD")))</f>
        <v/>
      </c>
    </row>
    <row r="250" spans="1:17" hidden="1">
      <c r="A250" s="54">
        <v>3035601708</v>
      </c>
      <c r="B250" s="54" t="s">
        <v>500</v>
      </c>
      <c r="C250" s="90">
        <v>42744.737756446761</v>
      </c>
      <c r="D250" s="86">
        <v>42746.737756446761</v>
      </c>
      <c r="E250" s="54" t="s">
        <v>32</v>
      </c>
      <c r="F250" s="54" t="s">
        <v>32</v>
      </c>
      <c r="G250" s="54" t="s">
        <v>301</v>
      </c>
      <c r="H250" s="54" t="s">
        <v>31</v>
      </c>
      <c r="I250" s="54" t="s">
        <v>817</v>
      </c>
      <c r="J250" s="54" t="s">
        <v>303</v>
      </c>
      <c r="K250" s="54" t="s">
        <v>305</v>
      </c>
      <c r="L250" s="87">
        <v>42753</v>
      </c>
      <c r="M250" s="34" t="str">
        <f>IFERROR(INDEX(BASE,MATCH(tblPRINTERS[[#This Row],[CASE ID]],BASE_CASOS,0),MATCH(tblPRINTERS[[#Headers],[tratativa]],BASE_CAB,0)),"Retornar com prioridade")</f>
        <v>Sem contato</v>
      </c>
      <c r="N250" s="34" t="str">
        <f>IFERROR(INDEX(BASE,MATCH(tblPRINTERS[[#This Row],[CASE ID]],BASE_CASOS,0),MATCH(tblPRINTERS[[#Headers],[Observação]],BASE_CAB,0)),"-")</f>
        <v>Sem contato (Só chama, Cx postal, Ocupado)</v>
      </c>
      <c r="O250" s="34" t="str">
        <f>IFERROR(INDEX(BASE,MATCH(tblPRINTERS[[#This Row],[CASE ID]],BASE_CASOS,0),MATCH(tblPRINTERS[[#Headers],[Observação Calback]],BASE_CAB,0)),"-")</f>
        <v>so chama</v>
      </c>
      <c r="P250" s="42" t="str">
        <f>IF(ISERROR(INDEX(QUALIDADE,MATCH(tblPRINTERS[[#This Row],[CASE ID]],PROTOCOLO_PESQUISAS,0),MATCH("Return Time",QUALIDADE_CAB,0)))=FALSE,INDEX(QUALIDADE,MATCH(tblPRINTERS[[#This Row],[CASE ID]],PROTOCOLO_PESQUISAS,0),MATCH("Return Time",QUALIDADE_CAB,0)),"")</f>
        <v/>
      </c>
      <c r="Q250" s="34" t="str">
        <f>IF(tblPRINTERS[[#This Row],[DATA | PESQUISA RECEBIDA]]="","",PROPER(TEXT(tblPRINTERS[[#This Row],[DATA | PESQUISA RECEBIDA]],"DDDD")))</f>
        <v/>
      </c>
    </row>
    <row r="251" spans="1:17" hidden="1">
      <c r="A251" s="54">
        <v>3035614298</v>
      </c>
      <c r="B251" s="54" t="s">
        <v>500</v>
      </c>
      <c r="C251" s="90">
        <v>42744.737756446761</v>
      </c>
      <c r="D251" s="86">
        <v>42746.737756446761</v>
      </c>
      <c r="E251" s="54" t="s">
        <v>585</v>
      </c>
      <c r="F251" s="54" t="s">
        <v>585</v>
      </c>
      <c r="G251" s="54" t="s">
        <v>301</v>
      </c>
      <c r="H251" s="54" t="s">
        <v>273</v>
      </c>
      <c r="I251" s="54" t="s">
        <v>817</v>
      </c>
      <c r="J251" s="54" t="s">
        <v>303</v>
      </c>
      <c r="K251" s="54" t="s">
        <v>305</v>
      </c>
      <c r="L251" s="87">
        <v>42753</v>
      </c>
      <c r="M251" s="34" t="str">
        <f>IFERROR(INDEX(BASE,MATCH(tblPRINTERS[[#This Row],[CASE ID]],BASE_CASOS,0),MATCH(tblPRINTERS[[#Headers],[tratativa]],BASE_CAB,0)),"Retornar com prioridade")</f>
        <v>Sem contato</v>
      </c>
      <c r="N251" s="34" t="str">
        <f>IFERROR(INDEX(BASE,MATCH(tblPRINTERS[[#This Row],[CASE ID]],BASE_CASOS,0),MATCH(tblPRINTERS[[#Headers],[Observação]],BASE_CAB,0)),"-")</f>
        <v>Sem contato (Só chama, Cx postal, Ocupado)</v>
      </c>
      <c r="O251" s="34" t="str">
        <f>IFERROR(INDEX(BASE,MATCH(tblPRINTERS[[#This Row],[CASE ID]],BASE_CASOS,0),MATCH(tblPRINTERS[[#Headers],[Observação Calback]],BASE_CAB,0)),"-")</f>
        <v>retornar as 15</v>
      </c>
      <c r="P251" s="42" t="str">
        <f>IF(ISERROR(INDEX(QUALIDADE,MATCH(tblPRINTERS[[#This Row],[CASE ID]],PROTOCOLO_PESQUISAS,0),MATCH("Return Time",QUALIDADE_CAB,0)))=FALSE,INDEX(QUALIDADE,MATCH(tblPRINTERS[[#This Row],[CASE ID]],PROTOCOLO_PESQUISAS,0),MATCH("Return Time",QUALIDADE_CAB,0)),"")</f>
        <v/>
      </c>
      <c r="Q251" s="34" t="str">
        <f>IF(tblPRINTERS[[#This Row],[DATA | PESQUISA RECEBIDA]]="","",PROPER(TEXT(tblPRINTERS[[#This Row],[DATA | PESQUISA RECEBIDA]],"DDDD")))</f>
        <v/>
      </c>
    </row>
    <row r="252" spans="1:17" hidden="1">
      <c r="A252" s="54">
        <v>3035611226</v>
      </c>
      <c r="B252" s="54" t="s">
        <v>500</v>
      </c>
      <c r="C252" s="90">
        <v>42744.737756446761</v>
      </c>
      <c r="D252" s="86">
        <v>42746.737756446761</v>
      </c>
      <c r="E252" s="54" t="s">
        <v>861</v>
      </c>
      <c r="F252" s="54" t="s">
        <v>861</v>
      </c>
      <c r="G252" s="54" t="s">
        <v>301</v>
      </c>
      <c r="H252" s="54" t="s">
        <v>31</v>
      </c>
      <c r="I252" s="54" t="s">
        <v>817</v>
      </c>
      <c r="J252" s="54" t="s">
        <v>304</v>
      </c>
      <c r="K252" s="54" t="s">
        <v>2151</v>
      </c>
      <c r="L252" s="87"/>
      <c r="M252" s="34" t="str">
        <f>IFERROR(INDEX(BASE,MATCH(tblPRINTERS[[#This Row],[CASE ID]],BASE_CASOS,0),MATCH(tblPRINTERS[[#Headers],[tratativa]],BASE_CAB,0)),"Retornar com prioridade")</f>
        <v>Não responder pesquisa</v>
      </c>
      <c r="N252" s="34" t="str">
        <f>IFERROR(INDEX(BASE,MATCH(tblPRINTERS[[#This Row],[CASE ID]],BASE_CASOS,0),MATCH(tblPRINTERS[[#Headers],[Observação]],BASE_CAB,0)),"-")</f>
        <v>Caso não resolvido / Equipamento em reparo</v>
      </c>
      <c r="O252" s="34" t="str">
        <f>IFERROR(INDEX(BASE,MATCH(tblPRINTERS[[#This Row],[CASE ID]],BASE_CASOS,0),MATCH(tblPRINTERS[[#Headers],[Observação Calback]],BASE_CAB,0)),"-")</f>
        <v>ira entar em contato com provedor de internet</v>
      </c>
      <c r="P252" s="42" t="str">
        <f>IF(ISERROR(INDEX(QUALIDADE,MATCH(tblPRINTERS[[#This Row],[CASE ID]],PROTOCOLO_PESQUISAS,0),MATCH("Return Time",QUALIDADE_CAB,0)))=FALSE,INDEX(QUALIDADE,MATCH(tblPRINTERS[[#This Row],[CASE ID]],PROTOCOLO_PESQUISAS,0),MATCH("Return Time",QUALIDADE_CAB,0)),"")</f>
        <v/>
      </c>
      <c r="Q252" s="34" t="str">
        <f>IF(tblPRINTERS[[#This Row],[DATA | PESQUISA RECEBIDA]]="","",PROPER(TEXT(tblPRINTERS[[#This Row],[DATA | PESQUISA RECEBIDA]],"DDDD")))</f>
        <v/>
      </c>
    </row>
    <row r="253" spans="1:17" hidden="1">
      <c r="A253" s="54">
        <v>3035603429</v>
      </c>
      <c r="B253" s="54" t="s">
        <v>500</v>
      </c>
      <c r="C253" s="90">
        <v>42744.737756446761</v>
      </c>
      <c r="D253" s="86">
        <v>42746.737756446761</v>
      </c>
      <c r="E253" s="54" t="s">
        <v>580</v>
      </c>
      <c r="F253" s="54" t="s">
        <v>580</v>
      </c>
      <c r="G253" s="54" t="s">
        <v>301</v>
      </c>
      <c r="H253" s="54" t="s">
        <v>9</v>
      </c>
      <c r="I253" s="54" t="s">
        <v>817</v>
      </c>
      <c r="J253" s="54" t="s">
        <v>304</v>
      </c>
      <c r="K253" s="54" t="s">
        <v>2152</v>
      </c>
      <c r="L253" s="87"/>
      <c r="M253" s="34" t="str">
        <f>IFERROR(INDEX(BASE,MATCH(tblPRINTERS[[#This Row],[CASE ID]],BASE_CASOS,0),MATCH(tblPRINTERS[[#Headers],[tratativa]],BASE_CAB,0)),"Retornar com prioridade")</f>
        <v>Responder pesquisa</v>
      </c>
      <c r="N253" s="34" t="str">
        <f>IFERROR(INDEX(BASE,MATCH(tblPRINTERS[[#This Row],[CASE ID]],BASE_CASOS,0),MATCH(tblPRINTERS[[#Headers],[Observação]],BASE_CAB,0)),"-")</f>
        <v>Nota 9/10</v>
      </c>
      <c r="O253" s="34" t="str">
        <f>IFERROR(INDEX(BASE,MATCH(tblPRINTERS[[#This Row],[CASE ID]],BASE_CASOS,0),MATCH(tblPRINTERS[[#Headers],[Observação Calback]],BASE_CAB,0)),"-")</f>
        <v>ira responder</v>
      </c>
      <c r="P253" s="42" t="str">
        <f>IF(ISERROR(INDEX(QUALIDADE,MATCH(tblPRINTERS[[#This Row],[CASE ID]],PROTOCOLO_PESQUISAS,0),MATCH("Return Time",QUALIDADE_CAB,0)))=FALSE,INDEX(QUALIDADE,MATCH(tblPRINTERS[[#This Row],[CASE ID]],PROTOCOLO_PESQUISAS,0),MATCH("Return Time",QUALIDADE_CAB,0)),"")</f>
        <v/>
      </c>
      <c r="Q253" s="34" t="str">
        <f>IF(tblPRINTERS[[#This Row],[DATA | PESQUISA RECEBIDA]]="","",PROPER(TEXT(tblPRINTERS[[#This Row],[DATA | PESQUISA RECEBIDA]],"DDDD")))</f>
        <v/>
      </c>
    </row>
    <row r="254" spans="1:17" hidden="1">
      <c r="A254" s="54">
        <v>3035517860</v>
      </c>
      <c r="B254" s="54" t="s">
        <v>500</v>
      </c>
      <c r="C254" s="90">
        <v>42742.734167210649</v>
      </c>
      <c r="D254" s="86">
        <v>42744.734167210649</v>
      </c>
      <c r="E254" s="54" t="s">
        <v>26</v>
      </c>
      <c r="F254" s="54" t="s">
        <v>27</v>
      </c>
      <c r="G254" s="54" t="s">
        <v>302</v>
      </c>
      <c r="H254" s="54" t="s">
        <v>23</v>
      </c>
      <c r="I254" s="54" t="s">
        <v>817</v>
      </c>
      <c r="J254" s="54" t="s">
        <v>303</v>
      </c>
      <c r="K254" s="54" t="s">
        <v>2154</v>
      </c>
      <c r="L254" s="87">
        <v>42753</v>
      </c>
      <c r="M254" s="34" t="str">
        <f>IFERROR(INDEX(BASE,MATCH(tblPRINTERS[[#This Row],[CASE ID]],BASE_CASOS,0),MATCH(tblPRINTERS[[#Headers],[tratativa]],BASE_CAB,0)),"Retornar com prioridade")</f>
        <v>Sem contato</v>
      </c>
      <c r="N254" s="34" t="str">
        <f>IFERROR(INDEX(BASE,MATCH(tblPRINTERS[[#This Row],[CASE ID]],BASE_CASOS,0),MATCH(tblPRINTERS[[#Headers],[Observação]],BASE_CAB,0)),"-")</f>
        <v>Sem contato (Só chama, Cx postal, Ocupado)</v>
      </c>
      <c r="O254" s="34" t="str">
        <f>IFERROR(INDEX(BASE,MATCH(tblPRINTERS[[#This Row],[CASE ID]],BASE_CASOS,0),MATCH(tblPRINTERS[[#Headers],[Observação Calback]],BASE_CAB,0)),"-")</f>
        <v>ambos tels não são do cliente</v>
      </c>
      <c r="P254" s="42" t="str">
        <f>IF(ISERROR(INDEX(QUALIDADE,MATCH(tblPRINTERS[[#This Row],[CASE ID]],PROTOCOLO_PESQUISAS,0),MATCH("Return Time",QUALIDADE_CAB,0)))=FALSE,INDEX(QUALIDADE,MATCH(tblPRINTERS[[#This Row],[CASE ID]],PROTOCOLO_PESQUISAS,0),MATCH("Return Time",QUALIDADE_CAB,0)),"")</f>
        <v/>
      </c>
      <c r="Q254" s="34" t="str">
        <f>IF(tblPRINTERS[[#This Row],[DATA | PESQUISA RECEBIDA]]="","",PROPER(TEXT(tblPRINTERS[[#This Row],[DATA | PESQUISA RECEBIDA]],"DDDD")))</f>
        <v/>
      </c>
    </row>
    <row r="255" spans="1:17" hidden="1">
      <c r="A255" s="54">
        <v>3035571660</v>
      </c>
      <c r="B255" s="54" t="s">
        <v>500</v>
      </c>
      <c r="C255" s="90">
        <v>42742.734167210649</v>
      </c>
      <c r="D255" s="86">
        <v>42744.734167210649</v>
      </c>
      <c r="E255" s="54" t="s">
        <v>27</v>
      </c>
      <c r="F255" s="54" t="s">
        <v>27</v>
      </c>
      <c r="G255" s="54" t="s">
        <v>301</v>
      </c>
      <c r="H255" s="54" t="s">
        <v>23</v>
      </c>
      <c r="I255" s="54" t="s">
        <v>817</v>
      </c>
      <c r="J255" s="54" t="s">
        <v>304</v>
      </c>
      <c r="K255" s="54" t="s">
        <v>307</v>
      </c>
      <c r="L255" s="87">
        <v>42745</v>
      </c>
      <c r="M255" s="34" t="str">
        <f>IFERROR(INDEX(BASE,MATCH(tblPRINTERS[[#This Row],[CASE ID]],BASE_CASOS,0),MATCH(tblPRINTERS[[#Headers],[tratativa]],BASE_CAB,0)),"Retornar com prioridade")</f>
        <v>Responder pesquisa</v>
      </c>
      <c r="N255" s="34" t="str">
        <f>IFERROR(INDEX(BASE,MATCH(tblPRINTERS[[#This Row],[CASE ID]],BASE_CASOS,0),MATCH(tblPRINTERS[[#Headers],[Observação]],BASE_CAB,0)),"-")</f>
        <v>Nota 9/10</v>
      </c>
      <c r="O255" s="34" t="str">
        <f>IFERROR(INDEX(BASE,MATCH(tblPRINTERS[[#This Row],[CASE ID]],BASE_CASOS,0),MATCH(tblPRINTERS[[#Headers],[Observação Calback]],BASE_CAB,0)),"-")</f>
        <v>ira responder</v>
      </c>
      <c r="P255" s="42" t="str">
        <f>IF(ISERROR(INDEX(QUALIDADE,MATCH(tblPRINTERS[[#This Row],[CASE ID]],PROTOCOLO_PESQUISAS,0),MATCH("Return Time",QUALIDADE_CAB,0)))=FALSE,INDEX(QUALIDADE,MATCH(tblPRINTERS[[#This Row],[CASE ID]],PROTOCOLO_PESQUISAS,0),MATCH("Return Time",QUALIDADE_CAB,0)),"")</f>
        <v/>
      </c>
      <c r="Q255" s="34" t="str">
        <f>IF(tblPRINTERS[[#This Row],[DATA | PESQUISA RECEBIDA]]="","",PROPER(TEXT(tblPRINTERS[[#This Row],[DATA | PESQUISA RECEBIDA]],"DDDD")))</f>
        <v/>
      </c>
    </row>
    <row r="256" spans="1:17" hidden="1">
      <c r="A256" s="54">
        <v>3035568256</v>
      </c>
      <c r="B256" s="54" t="s">
        <v>500</v>
      </c>
      <c r="C256" s="90">
        <v>42742.734167210649</v>
      </c>
      <c r="D256" s="86">
        <v>42744.734167210649</v>
      </c>
      <c r="E256" s="54" t="s">
        <v>13</v>
      </c>
      <c r="F256" s="54" t="s">
        <v>13</v>
      </c>
      <c r="G256" s="54" t="s">
        <v>301</v>
      </c>
      <c r="H256" s="54" t="s">
        <v>9</v>
      </c>
      <c r="I256" s="56" t="s">
        <v>817</v>
      </c>
      <c r="J256" s="54" t="s">
        <v>303</v>
      </c>
      <c r="K256" s="56" t="s">
        <v>305</v>
      </c>
      <c r="L256" s="87">
        <v>42379</v>
      </c>
      <c r="M256" s="34" t="str">
        <f>IFERROR(INDEX(BASE,MATCH(tblPRINTERS[[#This Row],[CASE ID]],BASE_CASOS,0),MATCH(tblPRINTERS[[#Headers],[tratativa]],BASE_CAB,0)),"Retornar com prioridade")</f>
        <v>Responder pesquisa</v>
      </c>
      <c r="N256" s="34" t="str">
        <f>IFERROR(INDEX(BASE,MATCH(tblPRINTERS[[#This Row],[CASE ID]],BASE_CASOS,0),MATCH(tblPRINTERS[[#Headers],[Observação]],BASE_CAB,0)),"-")</f>
        <v>Nota 9/10</v>
      </c>
      <c r="O256" s="34" t="str">
        <f>IFERROR(INDEX(BASE,MATCH(tblPRINTERS[[#This Row],[CASE ID]],BASE_CASOS,0),MATCH(tblPRINTERS[[#Headers],[Observação Calback]],BASE_CAB,0)),"-")</f>
        <v>ira responder</v>
      </c>
      <c r="P256" s="42" t="str">
        <f>IF(ISERROR(INDEX(QUALIDADE,MATCH(tblPRINTERS[[#This Row],[CASE ID]],PROTOCOLO_PESQUISAS,0),MATCH("Return Time",QUALIDADE_CAB,0)))=FALSE,INDEX(QUALIDADE,MATCH(tblPRINTERS[[#This Row],[CASE ID]],PROTOCOLO_PESQUISAS,0),MATCH("Return Time",QUALIDADE_CAB,0)),"")</f>
        <v/>
      </c>
      <c r="Q256" s="34" t="str">
        <f>IF(tblPRINTERS[[#This Row],[DATA | PESQUISA RECEBIDA]]="","",PROPER(TEXT(tblPRINTERS[[#This Row],[DATA | PESQUISA RECEBIDA]],"DDDD")))</f>
        <v/>
      </c>
    </row>
    <row r="257" spans="1:17" hidden="1">
      <c r="A257" s="54">
        <v>3035573100</v>
      </c>
      <c r="B257" s="54" t="s">
        <v>500</v>
      </c>
      <c r="C257" s="90">
        <v>42742.734167210649</v>
      </c>
      <c r="D257" s="86">
        <v>42744.734167210649</v>
      </c>
      <c r="E257" s="54" t="s">
        <v>1252</v>
      </c>
      <c r="F257" s="54" t="s">
        <v>1252</v>
      </c>
      <c r="G257" s="54" t="s">
        <v>301</v>
      </c>
      <c r="H257" s="54" t="s">
        <v>39</v>
      </c>
      <c r="I257" s="56" t="s">
        <v>817</v>
      </c>
      <c r="J257" s="54" t="s">
        <v>303</v>
      </c>
      <c r="K257" s="56" t="s">
        <v>305</v>
      </c>
      <c r="L257" s="87">
        <v>42753</v>
      </c>
      <c r="M257" s="34" t="str">
        <f>IFERROR(INDEX(BASE,MATCH(tblPRINTERS[[#This Row],[CASE ID]],BASE_CASOS,0),MATCH(tblPRINTERS[[#Headers],[tratativa]],BASE_CAB,0)),"Retornar com prioridade")</f>
        <v>Sem contato</v>
      </c>
      <c r="N257" s="34" t="str">
        <f>IFERROR(INDEX(BASE,MATCH(tblPRINTERS[[#This Row],[CASE ID]],BASE_CASOS,0),MATCH(tblPRINTERS[[#Headers],[Observação]],BASE_CAB,0)),"-")</f>
        <v>Sem contato (Só chama, Cx postal, Ocupado)</v>
      </c>
      <c r="O257" s="34" t="str">
        <f>IFERROR(INDEX(BASE,MATCH(tblPRINTERS[[#This Row],[CASE ID]],BASE_CASOS,0),MATCH(tblPRINTERS[[#Headers],[Observação Calback]],BASE_CAB,0)),"-")</f>
        <v>tel 1 não e da cliente</v>
      </c>
      <c r="P257" s="42" t="str">
        <f>IF(ISERROR(INDEX(QUALIDADE,MATCH(tblPRINTERS[[#This Row],[CASE ID]],PROTOCOLO_PESQUISAS,0),MATCH("Return Time",QUALIDADE_CAB,0)))=FALSE,INDEX(QUALIDADE,MATCH(tblPRINTERS[[#This Row],[CASE ID]],PROTOCOLO_PESQUISAS,0),MATCH("Return Time",QUALIDADE_CAB,0)),"")</f>
        <v/>
      </c>
      <c r="Q257" s="34" t="str">
        <f>IF(tblPRINTERS[[#This Row],[DATA | PESQUISA RECEBIDA]]="","",PROPER(TEXT(tblPRINTERS[[#This Row],[DATA | PESQUISA RECEBIDA]],"DDDD")))</f>
        <v/>
      </c>
    </row>
    <row r="258" spans="1:17" hidden="1">
      <c r="A258" s="54">
        <v>3035572130</v>
      </c>
      <c r="B258" s="54" t="s">
        <v>500</v>
      </c>
      <c r="C258" s="90">
        <v>42742.734167210649</v>
      </c>
      <c r="D258" s="86">
        <v>42744.734167210649</v>
      </c>
      <c r="E258" s="54" t="s">
        <v>29</v>
      </c>
      <c r="F258" s="54" t="s">
        <v>29</v>
      </c>
      <c r="G258" s="54" t="s">
        <v>301</v>
      </c>
      <c r="H258" s="54" t="s">
        <v>23</v>
      </c>
      <c r="I258" s="56" t="s">
        <v>815</v>
      </c>
      <c r="J258" s="54" t="s">
        <v>304</v>
      </c>
      <c r="K258" s="56" t="s">
        <v>4028</v>
      </c>
      <c r="L258" s="87">
        <v>42379</v>
      </c>
      <c r="M258" s="34" t="str">
        <f>IFERROR(INDEX(BASE,MATCH(tblPRINTERS[[#This Row],[CASE ID]],BASE_CASOS,0),MATCH(tblPRINTERS[[#Headers],[tratativa]],BASE_CAB,0)),"Retornar com prioridade")</f>
        <v>Responder pesquisa</v>
      </c>
      <c r="N258" s="34" t="str">
        <f>IFERROR(INDEX(BASE,MATCH(tblPRINTERS[[#This Row],[CASE ID]],BASE_CASOS,0),MATCH(tblPRINTERS[[#Headers],[Observação]],BASE_CAB,0)),"-")</f>
        <v>Nota 9/10</v>
      </c>
      <c r="O258" s="34" t="str">
        <f>IFERROR(INDEX(BASE,MATCH(tblPRINTERS[[#This Row],[CASE ID]],BASE_CASOS,0),MATCH(tblPRINTERS[[#Headers],[Observação Calback]],BASE_CAB,0)),"-")</f>
        <v>ira responder</v>
      </c>
      <c r="P258" s="42" t="str">
        <f>IF(ISERROR(INDEX(QUALIDADE,MATCH(tblPRINTERS[[#This Row],[CASE ID]],PROTOCOLO_PESQUISAS,0),MATCH("Return Time",QUALIDADE_CAB,0)))=FALSE,INDEX(QUALIDADE,MATCH(tblPRINTERS[[#This Row],[CASE ID]],PROTOCOLO_PESQUISAS,0),MATCH("Return Time",QUALIDADE_CAB,0)),"")</f>
        <v/>
      </c>
      <c r="Q258" s="34" t="str">
        <f>IF(tblPRINTERS[[#This Row],[DATA | PESQUISA RECEBIDA]]="","",PROPER(TEXT(tblPRINTERS[[#This Row],[DATA | PESQUISA RECEBIDA]],"DDDD")))</f>
        <v/>
      </c>
    </row>
    <row r="259" spans="1:17" hidden="1">
      <c r="A259" s="54">
        <v>3035554737</v>
      </c>
      <c r="B259" s="54" t="s">
        <v>500</v>
      </c>
      <c r="C259" s="90">
        <v>42742.734167210649</v>
      </c>
      <c r="D259" s="86">
        <v>42744.734167210649</v>
      </c>
      <c r="E259" s="54" t="s">
        <v>27</v>
      </c>
      <c r="F259" s="54" t="s">
        <v>27</v>
      </c>
      <c r="G259" s="54" t="s">
        <v>301</v>
      </c>
      <c r="H259" s="54" t="s">
        <v>23</v>
      </c>
      <c r="I259" s="54" t="s">
        <v>815</v>
      </c>
      <c r="J259" s="54" t="s">
        <v>303</v>
      </c>
      <c r="K259" s="56" t="s">
        <v>4027</v>
      </c>
      <c r="L259" s="87">
        <v>42379</v>
      </c>
      <c r="M259" s="34" t="str">
        <f>IFERROR(INDEX(BASE,MATCH(tblPRINTERS[[#This Row],[CASE ID]],BASE_CASOS,0),MATCH(tblPRINTERS[[#Headers],[tratativa]],BASE_CAB,0)),"Retornar com prioridade")</f>
        <v>Responder pesquisa</v>
      </c>
      <c r="N259" s="34" t="str">
        <f>IFERROR(INDEX(BASE,MATCH(tblPRINTERS[[#This Row],[CASE ID]],BASE_CASOS,0),MATCH(tblPRINTERS[[#Headers],[Observação]],BASE_CAB,0)),"-")</f>
        <v>Nota 9/10</v>
      </c>
      <c r="O259" s="34" t="str">
        <f>IFERROR(INDEX(BASE,MATCH(tblPRINTERS[[#This Row],[CASE ID]],BASE_CASOS,0),MATCH(tblPRINTERS[[#Headers],[Observação Calback]],BASE_CAB,0)),"-")</f>
        <v>ira responder</v>
      </c>
      <c r="P259" s="42" t="str">
        <f>IF(ISERROR(INDEX(QUALIDADE,MATCH(tblPRINTERS[[#This Row],[CASE ID]],PROTOCOLO_PESQUISAS,0),MATCH("Return Time",QUALIDADE_CAB,0)))=FALSE,INDEX(QUALIDADE,MATCH(tblPRINTERS[[#This Row],[CASE ID]],PROTOCOLO_PESQUISAS,0),MATCH("Return Time",QUALIDADE_CAB,0)),"")</f>
        <v/>
      </c>
      <c r="Q259" s="34" t="str">
        <f>IF(tblPRINTERS[[#This Row],[DATA | PESQUISA RECEBIDA]]="","",PROPER(TEXT(tblPRINTERS[[#This Row],[DATA | PESQUISA RECEBIDA]],"DDDD")))</f>
        <v/>
      </c>
    </row>
    <row r="260" spans="1:17" hidden="1">
      <c r="A260" s="54">
        <v>3035571511</v>
      </c>
      <c r="B260" s="54" t="s">
        <v>500</v>
      </c>
      <c r="C260" s="90">
        <v>42742.734167210649</v>
      </c>
      <c r="D260" s="86">
        <v>42744.734167210649</v>
      </c>
      <c r="E260" s="54" t="s">
        <v>1453</v>
      </c>
      <c r="F260" s="54" t="s">
        <v>1453</v>
      </c>
      <c r="G260" s="54" t="s">
        <v>301</v>
      </c>
      <c r="H260" s="54" t="s">
        <v>39</v>
      </c>
      <c r="I260" s="54" t="s">
        <v>817</v>
      </c>
      <c r="J260" s="54" t="s">
        <v>304</v>
      </c>
      <c r="K260" s="54" t="s">
        <v>307</v>
      </c>
      <c r="L260" s="87">
        <v>42379</v>
      </c>
      <c r="M260" s="34" t="str">
        <f>IFERROR(INDEX(BASE,MATCH(tblPRINTERS[[#This Row],[CASE ID]],BASE_CASOS,0),MATCH(tblPRINTERS[[#Headers],[tratativa]],BASE_CAB,0)),"Retornar com prioridade")</f>
        <v>Retornar com prioridade</v>
      </c>
      <c r="N260" s="34" t="str">
        <f>IFERROR(INDEX(BASE,MATCH(tblPRINTERS[[#This Row],[CASE ID]],BASE_CASOS,0),MATCH(tblPRINTERS[[#Headers],[Observação]],BASE_CAB,0)),"-")</f>
        <v>-</v>
      </c>
      <c r="O260" s="34" t="str">
        <f>IFERROR(INDEX(BASE,MATCH(tblPRINTERS[[#This Row],[CASE ID]],BASE_CASOS,0),MATCH(tblPRINTERS[[#Headers],[Observação Calback]],BASE_CAB,0)),"-")</f>
        <v>-</v>
      </c>
      <c r="P260" s="42" t="str">
        <f>IF(ISERROR(INDEX(QUALIDADE,MATCH(tblPRINTERS[[#This Row],[CASE ID]],PROTOCOLO_PESQUISAS,0),MATCH("Return Time",QUALIDADE_CAB,0)))=FALSE,INDEX(QUALIDADE,MATCH(tblPRINTERS[[#This Row],[CASE ID]],PROTOCOLO_PESQUISAS,0),MATCH("Return Time",QUALIDADE_CAB,0)),"")</f>
        <v/>
      </c>
      <c r="Q260" s="34" t="str">
        <f>IF(tblPRINTERS[[#This Row],[DATA | PESQUISA RECEBIDA]]="","",PROPER(TEXT(tblPRINTERS[[#This Row],[DATA | PESQUISA RECEBIDA]],"DDDD")))</f>
        <v/>
      </c>
    </row>
    <row r="261" spans="1:17" hidden="1">
      <c r="A261" s="54">
        <v>3035273881</v>
      </c>
      <c r="B261" s="54" t="s">
        <v>500</v>
      </c>
      <c r="C261" s="90">
        <v>42742.734167210649</v>
      </c>
      <c r="D261" s="86">
        <v>42744.734167210649</v>
      </c>
      <c r="E261" s="54" t="s">
        <v>44</v>
      </c>
      <c r="F261" s="54" t="s">
        <v>44</v>
      </c>
      <c r="G261" s="54" t="s">
        <v>301</v>
      </c>
      <c r="H261" s="54" t="s">
        <v>39</v>
      </c>
      <c r="I261" s="54" t="s">
        <v>817</v>
      </c>
      <c r="J261" s="54" t="s">
        <v>303</v>
      </c>
      <c r="K261" s="54" t="s">
        <v>2465</v>
      </c>
      <c r="L261" s="87">
        <v>42379</v>
      </c>
      <c r="M261" s="34" t="str">
        <f>IFERROR(INDEX(BASE,MATCH(tblPRINTERS[[#This Row],[CASE ID]],BASE_CASOS,0),MATCH(tblPRINTERS[[#Headers],[tratativa]],BASE_CAB,0)),"Retornar com prioridade")</f>
        <v>Sem contato</v>
      </c>
      <c r="N261" s="34" t="str">
        <f>IFERROR(INDEX(BASE,MATCH(tblPRINTERS[[#This Row],[CASE ID]],BASE_CASOS,0),MATCH(tblPRINTERS[[#Headers],[Observação]],BASE_CAB,0)),"-")</f>
        <v>Sem contato (Só chama, Cx postal, Ocupado)</v>
      </c>
      <c r="O261" s="34" t="str">
        <f>IFERROR(INDEX(BASE,MATCH(tblPRINTERS[[#This Row],[CASE ID]],BASE_CASOS,0),MATCH(tblPRINTERS[[#Headers],[Observação Calback]],BASE_CAB,0)),"-")</f>
        <v>so chama</v>
      </c>
      <c r="P261" s="42" t="str">
        <f>IF(ISERROR(INDEX(QUALIDADE,MATCH(tblPRINTERS[[#This Row],[CASE ID]],PROTOCOLO_PESQUISAS,0),MATCH("Return Time",QUALIDADE_CAB,0)))=FALSE,INDEX(QUALIDADE,MATCH(tblPRINTERS[[#This Row],[CASE ID]],PROTOCOLO_PESQUISAS,0),MATCH("Return Time",QUALIDADE_CAB,0)),"")</f>
        <v/>
      </c>
      <c r="Q261" s="34" t="str">
        <f>IF(tblPRINTERS[[#This Row],[DATA | PESQUISA RECEBIDA]]="","",PROPER(TEXT(tblPRINTERS[[#This Row],[DATA | PESQUISA RECEBIDA]],"DDDD")))</f>
        <v/>
      </c>
    </row>
    <row r="262" spans="1:17" hidden="1">
      <c r="A262" s="54">
        <v>3034519038</v>
      </c>
      <c r="B262" s="54" t="s">
        <v>500</v>
      </c>
      <c r="C262" s="90">
        <v>42741.735196064816</v>
      </c>
      <c r="D262" s="86">
        <v>42743.735196064816</v>
      </c>
      <c r="G262" s="54" t="s">
        <v>301</v>
      </c>
      <c r="H262" s="54" t="s">
        <v>256</v>
      </c>
      <c r="I262" s="54" t="s">
        <v>817</v>
      </c>
      <c r="J262" s="54" t="s">
        <v>303</v>
      </c>
      <c r="K262" s="54" t="s">
        <v>305</v>
      </c>
      <c r="L262" s="87">
        <v>42744</v>
      </c>
      <c r="M262" s="34" t="str">
        <f>IFERROR(INDEX(BASE,MATCH(tblPRINTERS[[#This Row],[CASE ID]],BASE_CASOS,0),MATCH(tblPRINTERS[[#Headers],[tratativa]],BASE_CAB,0)),"Retornar com prioridade")</f>
        <v>Retornar com prioridade</v>
      </c>
      <c r="N262" s="34" t="str">
        <f>IFERROR(INDEX(BASE,MATCH(tblPRINTERS[[#This Row],[CASE ID]],BASE_CASOS,0),MATCH(tblPRINTERS[[#Headers],[Observação]],BASE_CAB,0)),"-")</f>
        <v>-</v>
      </c>
      <c r="O262" s="34" t="str">
        <f>IFERROR(INDEX(BASE,MATCH(tblPRINTERS[[#This Row],[CASE ID]],BASE_CASOS,0),MATCH(tblPRINTERS[[#Headers],[Observação Calback]],BASE_CAB,0)),"-")</f>
        <v>-</v>
      </c>
      <c r="P262" s="42" t="str">
        <f>IF(ISERROR(INDEX(QUALIDADE,MATCH(tblPRINTERS[[#This Row],[CASE ID]],PROTOCOLO_PESQUISAS,0),MATCH("Return Time",QUALIDADE_CAB,0)))=FALSE,INDEX(QUALIDADE,MATCH(tblPRINTERS[[#This Row],[CASE ID]],PROTOCOLO_PESQUISAS,0),MATCH("Return Time",QUALIDADE_CAB,0)),"")</f>
        <v/>
      </c>
      <c r="Q262" s="34" t="str">
        <f>IF(tblPRINTERS[[#This Row],[DATA | PESQUISA RECEBIDA]]="","",PROPER(TEXT(tblPRINTERS[[#This Row],[DATA | PESQUISA RECEBIDA]],"DDDD")))</f>
        <v/>
      </c>
    </row>
    <row r="263" spans="1:17" hidden="1">
      <c r="A263" s="54">
        <v>3035470989</v>
      </c>
      <c r="B263" s="54" t="s">
        <v>500</v>
      </c>
      <c r="C263" s="90">
        <v>42741.735176273149</v>
      </c>
      <c r="D263" s="86">
        <v>42743.735176273149</v>
      </c>
      <c r="E263" s="54" t="s">
        <v>281</v>
      </c>
      <c r="F263" s="54" t="s">
        <v>281</v>
      </c>
      <c r="G263" s="54" t="s">
        <v>301</v>
      </c>
      <c r="H263" s="54" t="s">
        <v>51</v>
      </c>
      <c r="I263" s="56" t="s">
        <v>817</v>
      </c>
      <c r="J263" s="54" t="s">
        <v>304</v>
      </c>
      <c r="K263" s="56" t="s">
        <v>307</v>
      </c>
      <c r="L263" s="87">
        <v>42744</v>
      </c>
      <c r="M263" s="34" t="str">
        <f>IFERROR(INDEX(BASE,MATCH(tblPRINTERS[[#This Row],[CASE ID]],BASE_CASOS,0),MATCH(tblPRINTERS[[#Headers],[tratativa]],BASE_CAB,0)),"Retornar com prioridade")</f>
        <v>Sem contato</v>
      </c>
      <c r="N263" s="34" t="str">
        <f>IFERROR(INDEX(BASE,MATCH(tblPRINTERS[[#This Row],[CASE ID]],BASE_CASOS,0),MATCH(tblPRINTERS[[#Headers],[Observação]],BASE_CAB,0)),"-")</f>
        <v>Sem contato (Só chama, Cx postal, Ocupado)</v>
      </c>
      <c r="O263" s="34" t="str">
        <f>IFERROR(INDEX(BASE,MATCH(tblPRINTERS[[#This Row],[CASE ID]],BASE_CASOS,0),MATCH(tblPRINTERS[[#Headers],[Observação Calback]],BASE_CAB,0)),"-")</f>
        <v>so chama</v>
      </c>
      <c r="P263" s="42" t="str">
        <f>IF(ISERROR(INDEX(QUALIDADE,MATCH(tblPRINTERS[[#This Row],[CASE ID]],PROTOCOLO_PESQUISAS,0),MATCH("Return Time",QUALIDADE_CAB,0)))=FALSE,INDEX(QUALIDADE,MATCH(tblPRINTERS[[#This Row],[CASE ID]],PROTOCOLO_PESQUISAS,0),MATCH("Return Time",QUALIDADE_CAB,0)),"")</f>
        <v/>
      </c>
      <c r="Q263" s="34" t="str">
        <f>IF(tblPRINTERS[[#This Row],[DATA | PESQUISA RECEBIDA]]="","",PROPER(TEXT(tblPRINTERS[[#This Row],[DATA | PESQUISA RECEBIDA]],"DDDD")))</f>
        <v/>
      </c>
    </row>
    <row r="264" spans="1:17" hidden="1">
      <c r="A264" s="54">
        <v>3035436398</v>
      </c>
      <c r="B264" s="54" t="s">
        <v>500</v>
      </c>
      <c r="C264" s="90">
        <v>42741.735176273149</v>
      </c>
      <c r="D264" s="86">
        <v>42743.735176273149</v>
      </c>
      <c r="E264" s="54" t="s">
        <v>846</v>
      </c>
      <c r="F264" s="54" t="s">
        <v>21</v>
      </c>
      <c r="G264" s="54" t="s">
        <v>302</v>
      </c>
      <c r="H264" s="54" t="s">
        <v>273</v>
      </c>
      <c r="I264" s="56" t="s">
        <v>817</v>
      </c>
      <c r="J264" s="54" t="s">
        <v>303</v>
      </c>
      <c r="K264" s="56" t="s">
        <v>305</v>
      </c>
      <c r="L264" s="87">
        <v>42744</v>
      </c>
      <c r="M264" s="34" t="str">
        <f>IFERROR(INDEX(BASE,MATCH(tblPRINTERS[[#This Row],[CASE ID]],BASE_CASOS,0),MATCH(tblPRINTERS[[#Headers],[tratativa]],BASE_CAB,0)),"Retornar com prioridade")</f>
        <v>Sem contato</v>
      </c>
      <c r="N264" s="34" t="str">
        <f>IFERROR(INDEX(BASE,MATCH(tblPRINTERS[[#This Row],[CASE ID]],BASE_CASOS,0),MATCH(tblPRINTERS[[#Headers],[Observação]],BASE_CAB,0)),"-")</f>
        <v>Sem contato (Só chama, Cx postal, Ocupado)</v>
      </c>
      <c r="O264" s="34" t="str">
        <f>IFERROR(INDEX(BASE,MATCH(tblPRINTERS[[#This Row],[CASE ID]],BASE_CASOS,0),MATCH(tblPRINTERS[[#Headers],[Observação Calback]],BASE_CAB,0)),"-")</f>
        <v>so chama</v>
      </c>
      <c r="P264" s="42" t="str">
        <f>IF(ISERROR(INDEX(QUALIDADE,MATCH(tblPRINTERS[[#This Row],[CASE ID]],PROTOCOLO_PESQUISAS,0),MATCH("Return Time",QUALIDADE_CAB,0)))=FALSE,INDEX(QUALIDADE,MATCH(tblPRINTERS[[#This Row],[CASE ID]],PROTOCOLO_PESQUISAS,0),MATCH("Return Time",QUALIDADE_CAB,0)),"")</f>
        <v/>
      </c>
      <c r="Q264" s="34" t="str">
        <f>IF(tblPRINTERS[[#This Row],[DATA | PESQUISA RECEBIDA]]="","",PROPER(TEXT(tblPRINTERS[[#This Row],[DATA | PESQUISA RECEBIDA]],"DDDD")))</f>
        <v/>
      </c>
    </row>
    <row r="265" spans="1:17" hidden="1">
      <c r="A265" s="54">
        <v>3035546459</v>
      </c>
      <c r="B265" s="54" t="s">
        <v>500</v>
      </c>
      <c r="C265" s="90">
        <v>42741.735176273149</v>
      </c>
      <c r="D265" s="86">
        <v>42743.735176273149</v>
      </c>
      <c r="E265" s="54" t="s">
        <v>18</v>
      </c>
      <c r="F265" s="54" t="s">
        <v>18</v>
      </c>
      <c r="G265" s="54" t="s">
        <v>301</v>
      </c>
      <c r="H265" s="54" t="s">
        <v>9</v>
      </c>
      <c r="I265" s="56" t="s">
        <v>817</v>
      </c>
      <c r="J265" s="54" t="s">
        <v>303</v>
      </c>
      <c r="K265" s="56" t="s">
        <v>305</v>
      </c>
      <c r="L265" s="87">
        <v>42744</v>
      </c>
      <c r="M265" s="34" t="str">
        <f>IFERROR(INDEX(BASE,MATCH(tblPRINTERS[[#This Row],[CASE ID]],BASE_CASOS,0),MATCH(tblPRINTERS[[#Headers],[tratativa]],BASE_CAB,0)),"Retornar com prioridade")</f>
        <v>Sem contato</v>
      </c>
      <c r="N265" s="34" t="str">
        <f>IFERROR(INDEX(BASE,MATCH(tblPRINTERS[[#This Row],[CASE ID]],BASE_CASOS,0),MATCH(tblPRINTERS[[#Headers],[Observação]],BASE_CAB,0)),"-")</f>
        <v>Sem contato (Só chama, Cx postal, Ocupado)</v>
      </c>
      <c r="O265" s="34" t="str">
        <f>IFERROR(INDEX(BASE,MATCH(tblPRINTERS[[#This Row],[CASE ID]],BASE_CASOS,0),MATCH(tblPRINTERS[[#Headers],[Observação Calback]],BASE_CAB,0)),"-")</f>
        <v>retornar as 15h</v>
      </c>
      <c r="P265" s="42" t="str">
        <f>IF(ISERROR(INDEX(QUALIDADE,MATCH(tblPRINTERS[[#This Row],[CASE ID]],PROTOCOLO_PESQUISAS,0),MATCH("Return Time",QUALIDADE_CAB,0)))=FALSE,INDEX(QUALIDADE,MATCH(tblPRINTERS[[#This Row],[CASE ID]],PROTOCOLO_PESQUISAS,0),MATCH("Return Time",QUALIDADE_CAB,0)),"")</f>
        <v/>
      </c>
      <c r="Q265" s="34" t="str">
        <f>IF(tblPRINTERS[[#This Row],[DATA | PESQUISA RECEBIDA]]="","",PROPER(TEXT(tblPRINTERS[[#This Row],[DATA | PESQUISA RECEBIDA]],"DDDD")))</f>
        <v/>
      </c>
    </row>
    <row r="266" spans="1:17" hidden="1">
      <c r="A266" s="54">
        <v>3035479027</v>
      </c>
      <c r="B266" s="54" t="s">
        <v>500</v>
      </c>
      <c r="C266" s="90">
        <v>42741.735176273149</v>
      </c>
      <c r="D266" s="86">
        <v>42743.735176273149</v>
      </c>
      <c r="E266" s="54" t="s">
        <v>861</v>
      </c>
      <c r="F266" s="54" t="s">
        <v>33</v>
      </c>
      <c r="G266" s="54" t="s">
        <v>302</v>
      </c>
      <c r="H266" s="54" t="s">
        <v>31</v>
      </c>
      <c r="I266" s="56" t="s">
        <v>817</v>
      </c>
      <c r="J266" s="54" t="s">
        <v>304</v>
      </c>
      <c r="K266" s="54" t="s">
        <v>859</v>
      </c>
      <c r="L266" s="87">
        <v>42744</v>
      </c>
      <c r="M266" s="34" t="str">
        <f>IFERROR(INDEX(BASE,MATCH(tblPRINTERS[[#This Row],[CASE ID]],BASE_CASOS,0),MATCH(tblPRINTERS[[#Headers],[tratativa]],BASE_CAB,0)),"Retornar com prioridade")</f>
        <v>Sem contato</v>
      </c>
      <c r="N266" s="34" t="str">
        <f>IFERROR(INDEX(BASE,MATCH(tblPRINTERS[[#This Row],[CASE ID]],BASE_CASOS,0),MATCH(tblPRINTERS[[#Headers],[Observação]],BASE_CAB,0)),"-")</f>
        <v>Sem contato (Só chama, Cx postal, Ocupado)</v>
      </c>
      <c r="O266" s="34" t="str">
        <f>IFERROR(INDEX(BASE,MATCH(tblPRINTERS[[#This Row],[CASE ID]],BASE_CASOS,0),MATCH(tblPRINTERS[[#Headers],[Observação Calback]],BASE_CAB,0)),"-")</f>
        <v>so chama</v>
      </c>
      <c r="P266" s="42" t="str">
        <f>IF(ISERROR(INDEX(QUALIDADE,MATCH(tblPRINTERS[[#This Row],[CASE ID]],PROTOCOLO_PESQUISAS,0),MATCH("Return Time",QUALIDADE_CAB,0)))=FALSE,INDEX(QUALIDADE,MATCH(tblPRINTERS[[#This Row],[CASE ID]],PROTOCOLO_PESQUISAS,0),MATCH("Return Time",QUALIDADE_CAB,0)),"")</f>
        <v/>
      </c>
      <c r="Q266" s="34" t="str">
        <f>IF(tblPRINTERS[[#This Row],[DATA | PESQUISA RECEBIDA]]="","",PROPER(TEXT(tblPRINTERS[[#This Row],[DATA | PESQUISA RECEBIDA]],"DDDD")))</f>
        <v/>
      </c>
    </row>
    <row r="267" spans="1:17" hidden="1">
      <c r="A267" s="54">
        <v>3035546229</v>
      </c>
      <c r="B267" s="54" t="s">
        <v>500</v>
      </c>
      <c r="C267" s="90">
        <v>42741.735176273149</v>
      </c>
      <c r="D267" s="86">
        <v>42743.735176273149</v>
      </c>
      <c r="E267" s="54" t="s">
        <v>16</v>
      </c>
      <c r="F267" s="54" t="s">
        <v>16</v>
      </c>
      <c r="G267" s="54" t="s">
        <v>301</v>
      </c>
      <c r="H267" s="54" t="s">
        <v>9</v>
      </c>
      <c r="I267" s="56" t="s">
        <v>817</v>
      </c>
      <c r="J267" s="54" t="s">
        <v>303</v>
      </c>
      <c r="K267" s="56" t="s">
        <v>305</v>
      </c>
      <c r="L267" s="87">
        <v>42744</v>
      </c>
      <c r="M267" s="34" t="str">
        <f>IFERROR(INDEX(BASE,MATCH(tblPRINTERS[[#This Row],[CASE ID]],BASE_CASOS,0),MATCH(tblPRINTERS[[#Headers],[tratativa]],BASE_CAB,0)),"Retornar com prioridade")</f>
        <v>Responder pesquisa</v>
      </c>
      <c r="N267" s="34" t="str">
        <f>IFERROR(INDEX(BASE,MATCH(tblPRINTERS[[#This Row],[CASE ID]],BASE_CASOS,0),MATCH(tblPRINTERS[[#Headers],[Observação]],BASE_CAB,0)),"-")</f>
        <v>Nota 9/10</v>
      </c>
      <c r="O267" s="34" t="str">
        <f>IFERROR(INDEX(BASE,MATCH(tblPRINTERS[[#This Row],[CASE ID]],BASE_CASOS,0),MATCH(tblPRINTERS[[#Headers],[Observação Calback]],BASE_CAB,0)),"-")</f>
        <v>ira responder</v>
      </c>
      <c r="P267" s="42" t="str">
        <f>IF(ISERROR(INDEX(QUALIDADE,MATCH(tblPRINTERS[[#This Row],[CASE ID]],PROTOCOLO_PESQUISAS,0),MATCH("Return Time",QUALIDADE_CAB,0)))=FALSE,INDEX(QUALIDADE,MATCH(tblPRINTERS[[#This Row],[CASE ID]],PROTOCOLO_PESQUISAS,0),MATCH("Return Time",QUALIDADE_CAB,0)),"")</f>
        <v/>
      </c>
      <c r="Q267" s="34" t="str">
        <f>IF(tblPRINTERS[[#This Row],[DATA | PESQUISA RECEBIDA]]="","",PROPER(TEXT(tblPRINTERS[[#This Row],[DATA | PESQUISA RECEBIDA]],"DDDD")))</f>
        <v/>
      </c>
    </row>
    <row r="268" spans="1:17" hidden="1">
      <c r="A268" s="54">
        <v>3035442835</v>
      </c>
      <c r="B268" s="54" t="s">
        <v>500</v>
      </c>
      <c r="C268" s="90">
        <v>42741.735176273149</v>
      </c>
      <c r="D268" s="86">
        <v>42743.735176273149</v>
      </c>
      <c r="E268" s="54" t="s">
        <v>1525</v>
      </c>
      <c r="F268" s="54" t="s">
        <v>47</v>
      </c>
      <c r="G268" s="54" t="s">
        <v>302</v>
      </c>
      <c r="H268" s="54" t="s">
        <v>23</v>
      </c>
      <c r="I268" s="54" t="s">
        <v>817</v>
      </c>
      <c r="J268" s="54" t="s">
        <v>304</v>
      </c>
      <c r="K268" s="54" t="s">
        <v>2155</v>
      </c>
      <c r="L268" s="87">
        <v>42744</v>
      </c>
      <c r="M268" s="34" t="str">
        <f>IFERROR(INDEX(BASE,MATCH(tblPRINTERS[[#This Row],[CASE ID]],BASE_CASOS,0),MATCH(tblPRINTERS[[#Headers],[tratativa]],BASE_CAB,0)),"Retornar com prioridade")</f>
        <v>Sem contato</v>
      </c>
      <c r="N268" s="34" t="str">
        <f>IFERROR(INDEX(BASE,MATCH(tblPRINTERS[[#This Row],[CASE ID]],BASE_CASOS,0),MATCH(tblPRINTERS[[#Headers],[Observação]],BASE_CAB,0)),"-")</f>
        <v>Sem contato (Só chama, Cx postal, Ocupado)</v>
      </c>
      <c r="O268" s="34" t="str">
        <f>IFERROR(INDEX(BASE,MATCH(tblPRINTERS[[#This Row],[CASE ID]],BASE_CASOS,0),MATCH(tblPRINTERS[[#Headers],[Observação Calback]],BASE_CAB,0)),"-")</f>
        <v>cliente não trabalha mais no local.</v>
      </c>
      <c r="P268" s="42" t="str">
        <f>IF(ISERROR(INDEX(QUALIDADE,MATCH(tblPRINTERS[[#This Row],[CASE ID]],PROTOCOLO_PESQUISAS,0),MATCH("Return Time",QUALIDADE_CAB,0)))=FALSE,INDEX(QUALIDADE,MATCH(tblPRINTERS[[#This Row],[CASE ID]],PROTOCOLO_PESQUISAS,0),MATCH("Return Time",QUALIDADE_CAB,0)),"")</f>
        <v/>
      </c>
      <c r="Q268" s="34" t="str">
        <f>IF(tblPRINTERS[[#This Row],[DATA | PESQUISA RECEBIDA]]="","",PROPER(TEXT(tblPRINTERS[[#This Row],[DATA | PESQUISA RECEBIDA]],"DDDD")))</f>
        <v/>
      </c>
    </row>
    <row r="269" spans="1:17" hidden="1">
      <c r="A269" s="54">
        <v>3035545336</v>
      </c>
      <c r="B269" s="54" t="s">
        <v>500</v>
      </c>
      <c r="C269" s="90">
        <v>42741.735176273149</v>
      </c>
      <c r="D269" s="86">
        <v>42743.735176273149</v>
      </c>
      <c r="E269" s="54" t="s">
        <v>1536</v>
      </c>
      <c r="F269" s="54" t="s">
        <v>1536</v>
      </c>
      <c r="G269" s="54" t="s">
        <v>301</v>
      </c>
      <c r="H269" s="54" t="s">
        <v>273</v>
      </c>
      <c r="I269" s="56" t="s">
        <v>817</v>
      </c>
      <c r="J269" s="54" t="s">
        <v>303</v>
      </c>
      <c r="K269" s="54" t="s">
        <v>2154</v>
      </c>
      <c r="L269" s="87">
        <v>42744</v>
      </c>
      <c r="M269" s="34" t="str">
        <f>IFERROR(INDEX(BASE,MATCH(tblPRINTERS[[#This Row],[CASE ID]],BASE_CASOS,0),MATCH(tblPRINTERS[[#Headers],[tratativa]],BASE_CAB,0)),"Retornar com prioridade")</f>
        <v>Sem contato</v>
      </c>
      <c r="N269" s="34" t="str">
        <f>IFERROR(INDEX(BASE,MATCH(tblPRINTERS[[#This Row],[CASE ID]],BASE_CASOS,0),MATCH(tblPRINTERS[[#Headers],[Observação]],BASE_CAB,0)),"-")</f>
        <v>Sem contato (Só chama, Cx postal, Ocupado)</v>
      </c>
      <c r="O269" s="34" t="str">
        <f>IFERROR(INDEX(BASE,MATCH(tblPRINTERS[[#This Row],[CASE ID]],BASE_CASOS,0),MATCH(tblPRINTERS[[#Headers],[Observação Calback]],BASE_CAB,0)),"-")</f>
        <v>tel 1 não e da cliente</v>
      </c>
      <c r="P269" s="42" t="str">
        <f>IF(ISERROR(INDEX(QUALIDADE,MATCH(tblPRINTERS[[#This Row],[CASE ID]],PROTOCOLO_PESQUISAS,0),MATCH("Return Time",QUALIDADE_CAB,0)))=FALSE,INDEX(QUALIDADE,MATCH(tblPRINTERS[[#This Row],[CASE ID]],PROTOCOLO_PESQUISAS,0),MATCH("Return Time",QUALIDADE_CAB,0)),"")</f>
        <v/>
      </c>
      <c r="Q269" s="34" t="str">
        <f>IF(tblPRINTERS[[#This Row],[DATA | PESQUISA RECEBIDA]]="","",PROPER(TEXT(tblPRINTERS[[#This Row],[DATA | PESQUISA RECEBIDA]],"DDDD")))</f>
        <v/>
      </c>
    </row>
    <row r="270" spans="1:17" hidden="1">
      <c r="A270" s="54">
        <v>3035557484</v>
      </c>
      <c r="B270" s="54" t="s">
        <v>500</v>
      </c>
      <c r="C270" s="90">
        <v>42741.735176273149</v>
      </c>
      <c r="D270" s="86">
        <v>42743.735176273149</v>
      </c>
      <c r="E270" s="54" t="s">
        <v>12</v>
      </c>
      <c r="F270" s="54" t="s">
        <v>12</v>
      </c>
      <c r="G270" s="54" t="s">
        <v>301</v>
      </c>
      <c r="H270" s="54" t="s">
        <v>9</v>
      </c>
      <c r="I270" s="56" t="s">
        <v>817</v>
      </c>
      <c r="J270" s="54" t="s">
        <v>303</v>
      </c>
      <c r="K270" s="56" t="s">
        <v>305</v>
      </c>
      <c r="L270" s="87">
        <v>42744</v>
      </c>
      <c r="M270" s="34" t="str">
        <f>IFERROR(INDEX(BASE,MATCH(tblPRINTERS[[#This Row],[CASE ID]],BASE_CASOS,0),MATCH(tblPRINTERS[[#Headers],[tratativa]],BASE_CAB,0)),"Retornar com prioridade")</f>
        <v>Retornar com prioridade</v>
      </c>
      <c r="N270" s="34" t="str">
        <f>IFERROR(INDEX(BASE,MATCH(tblPRINTERS[[#This Row],[CASE ID]],BASE_CASOS,0),MATCH(tblPRINTERS[[#Headers],[Observação]],BASE_CAB,0)),"-")</f>
        <v>-</v>
      </c>
      <c r="O270" s="34" t="str">
        <f>IFERROR(INDEX(BASE,MATCH(tblPRINTERS[[#This Row],[CASE ID]],BASE_CASOS,0),MATCH(tblPRINTERS[[#Headers],[Observação Calback]],BASE_CAB,0)),"-")</f>
        <v>-</v>
      </c>
      <c r="P270" s="42" t="str">
        <f>IF(ISERROR(INDEX(QUALIDADE,MATCH(tblPRINTERS[[#This Row],[CASE ID]],PROTOCOLO_PESQUISAS,0),MATCH("Return Time",QUALIDADE_CAB,0)))=FALSE,INDEX(QUALIDADE,MATCH(tblPRINTERS[[#This Row],[CASE ID]],PROTOCOLO_PESQUISAS,0),MATCH("Return Time",QUALIDADE_CAB,0)),"")</f>
        <v/>
      </c>
      <c r="Q270" s="34" t="str">
        <f>IF(tblPRINTERS[[#This Row],[DATA | PESQUISA RECEBIDA]]="","",PROPER(TEXT(tblPRINTERS[[#This Row],[DATA | PESQUISA RECEBIDA]],"DDDD")))</f>
        <v/>
      </c>
    </row>
    <row r="271" spans="1:17" hidden="1">
      <c r="A271" s="54">
        <v>3035541285</v>
      </c>
      <c r="B271" s="54" t="s">
        <v>500</v>
      </c>
      <c r="C271" s="90">
        <v>42741.735176273149</v>
      </c>
      <c r="D271" s="86">
        <v>42743.735176273149</v>
      </c>
      <c r="E271" s="54" t="s">
        <v>17</v>
      </c>
      <c r="F271" s="54" t="s">
        <v>17</v>
      </c>
      <c r="G271" s="54" t="s">
        <v>301</v>
      </c>
      <c r="H271" s="54" t="s">
        <v>9</v>
      </c>
      <c r="I271" s="54" t="s">
        <v>817</v>
      </c>
      <c r="J271" s="54" t="s">
        <v>304</v>
      </c>
      <c r="K271" s="54" t="s">
        <v>1535</v>
      </c>
      <c r="L271" s="87">
        <v>42744</v>
      </c>
      <c r="M271" s="34" t="str">
        <f>IFERROR(INDEX(BASE,MATCH(tblPRINTERS[[#This Row],[CASE ID]],BASE_CASOS,0),MATCH(tblPRINTERS[[#Headers],[tratativa]],BASE_CAB,0)),"Retornar com prioridade")</f>
        <v>Responder pesquisa</v>
      </c>
      <c r="N271" s="34" t="str">
        <f>IFERROR(INDEX(BASE,MATCH(tblPRINTERS[[#This Row],[CASE ID]],BASE_CASOS,0),MATCH(tblPRINTERS[[#Headers],[Observação]],BASE_CAB,0)),"-")</f>
        <v>Nota 9/10</v>
      </c>
      <c r="O271" s="34" t="str">
        <f>IFERROR(INDEX(BASE,MATCH(tblPRINTERS[[#This Row],[CASE ID]],BASE_CASOS,0),MATCH(tblPRINTERS[[#Headers],[Observação Calback]],BASE_CAB,0)),"-")</f>
        <v>ira responder</v>
      </c>
      <c r="P271" s="42" t="str">
        <f>IF(ISERROR(INDEX(QUALIDADE,MATCH(tblPRINTERS[[#This Row],[CASE ID]],PROTOCOLO_PESQUISAS,0),MATCH("Return Time",QUALIDADE_CAB,0)))=FALSE,INDEX(QUALIDADE,MATCH(tblPRINTERS[[#This Row],[CASE ID]],PROTOCOLO_PESQUISAS,0),MATCH("Return Time",QUALIDADE_CAB,0)),"")</f>
        <v/>
      </c>
      <c r="Q271" s="34" t="str">
        <f>IF(tblPRINTERS[[#This Row],[DATA | PESQUISA RECEBIDA]]="","",PROPER(TEXT(tblPRINTERS[[#This Row],[DATA | PESQUISA RECEBIDA]],"DDDD")))</f>
        <v/>
      </c>
    </row>
    <row r="272" spans="1:17" hidden="1">
      <c r="A272" s="54">
        <v>3035549076</v>
      </c>
      <c r="B272" s="54" t="s">
        <v>500</v>
      </c>
      <c r="C272" s="90">
        <v>42741.735176273149</v>
      </c>
      <c r="D272" s="86">
        <v>42743.735176273149</v>
      </c>
      <c r="E272" s="54" t="s">
        <v>49</v>
      </c>
      <c r="F272" s="54" t="s">
        <v>49</v>
      </c>
      <c r="G272" s="54" t="s">
        <v>301</v>
      </c>
      <c r="H272" s="54" t="s">
        <v>273</v>
      </c>
      <c r="I272" s="54" t="s">
        <v>817</v>
      </c>
      <c r="J272" s="54" t="s">
        <v>304</v>
      </c>
      <c r="K272" s="54" t="s">
        <v>307</v>
      </c>
      <c r="L272" s="87"/>
      <c r="M272" s="34" t="str">
        <f>IFERROR(INDEX(BASE,MATCH(tblPRINTERS[[#This Row],[CASE ID]],BASE_CASOS,0),MATCH(tblPRINTERS[[#Headers],[tratativa]],BASE_CAB,0)),"Retornar com prioridade")</f>
        <v>Não responder pesquisa</v>
      </c>
      <c r="N272" s="34" t="str">
        <f>IFERROR(INDEX(BASE,MATCH(tblPRINTERS[[#This Row],[CASE ID]],BASE_CASOS,0),MATCH(tblPRINTERS[[#Headers],[Observação]],BASE_CAB,0)),"-")</f>
        <v>Caso não resolvido / Equipamento em reparo</v>
      </c>
      <c r="O272" s="34" t="str">
        <f>IFERROR(INDEX(BASE,MATCH(tblPRINTERS[[#This Row],[CASE ID]],BASE_CASOS,0),MATCH(tblPRINTERS[[#Headers],[Observação Calback]],BASE_CAB,0)),"-")</f>
        <v>em testes</v>
      </c>
      <c r="P272" s="42" t="str">
        <f>IF(ISERROR(INDEX(QUALIDADE,MATCH(tblPRINTERS[[#This Row],[CASE ID]],PROTOCOLO_PESQUISAS,0),MATCH("Return Time",QUALIDADE_CAB,0)))=FALSE,INDEX(QUALIDADE,MATCH(tblPRINTERS[[#This Row],[CASE ID]],PROTOCOLO_PESQUISAS,0),MATCH("Return Time",QUALIDADE_CAB,0)),"")</f>
        <v/>
      </c>
      <c r="Q272" s="34" t="str">
        <f>IF(tblPRINTERS[[#This Row],[DATA | PESQUISA RECEBIDA]]="","",PROPER(TEXT(tblPRINTERS[[#This Row],[DATA | PESQUISA RECEBIDA]],"DDDD")))</f>
        <v/>
      </c>
    </row>
    <row r="273" spans="1:17" hidden="1">
      <c r="A273" s="54">
        <v>3035435684</v>
      </c>
      <c r="B273" s="54" t="s">
        <v>500</v>
      </c>
      <c r="C273" s="90">
        <v>42741.735176273149</v>
      </c>
      <c r="D273" s="86">
        <v>42743.735176273149</v>
      </c>
      <c r="E273" s="54" t="s">
        <v>26</v>
      </c>
      <c r="F273" s="54" t="s">
        <v>47</v>
      </c>
      <c r="G273" s="54" t="s">
        <v>302</v>
      </c>
      <c r="H273" s="54" t="s">
        <v>23</v>
      </c>
      <c r="I273" s="56" t="s">
        <v>817</v>
      </c>
      <c r="J273" s="54" t="s">
        <v>303</v>
      </c>
      <c r="K273" s="56" t="s">
        <v>305</v>
      </c>
      <c r="L273" s="87">
        <v>42744</v>
      </c>
      <c r="M273" s="34" t="str">
        <f>IFERROR(INDEX(BASE,MATCH(tblPRINTERS[[#This Row],[CASE ID]],BASE_CASOS,0),MATCH(tblPRINTERS[[#Headers],[tratativa]],BASE_CAB,0)),"Retornar com prioridade")</f>
        <v>Não responder pesquisa</v>
      </c>
      <c r="N273" s="34" t="str">
        <f>IFERROR(INDEX(BASE,MATCH(tblPRINTERS[[#This Row],[CASE ID]],BASE_CASOS,0),MATCH(tblPRINTERS[[#Headers],[Observação]],BASE_CAB,0)),"-")</f>
        <v>Caso não resolvido / Equipamento em reparo</v>
      </c>
      <c r="O273" s="34" t="str">
        <f>IFERROR(INDEX(BASE,MATCH(tblPRINTERS[[#This Row],[CASE ID]],BASE_CASOS,0),MATCH(tblPRINTERS[[#Headers],[Observação Calback]],BASE_CAB,0)),"-")</f>
        <v>fora da garantia</v>
      </c>
      <c r="P273" s="42" t="str">
        <f>IF(ISERROR(INDEX(QUALIDADE,MATCH(tblPRINTERS[[#This Row],[CASE ID]],PROTOCOLO_PESQUISAS,0),MATCH("Return Time",QUALIDADE_CAB,0)))=FALSE,INDEX(QUALIDADE,MATCH(tblPRINTERS[[#This Row],[CASE ID]],PROTOCOLO_PESQUISAS,0),MATCH("Return Time",QUALIDADE_CAB,0)),"")</f>
        <v/>
      </c>
      <c r="Q273" s="34" t="str">
        <f>IF(tblPRINTERS[[#This Row],[DATA | PESQUISA RECEBIDA]]="","",PROPER(TEXT(tblPRINTERS[[#This Row],[DATA | PESQUISA RECEBIDA]],"DDDD")))</f>
        <v/>
      </c>
    </row>
    <row r="274" spans="1:17" hidden="1">
      <c r="A274" s="54">
        <v>3035553274</v>
      </c>
      <c r="B274" s="54" t="s">
        <v>500</v>
      </c>
      <c r="C274" s="90">
        <v>42741.735176273149</v>
      </c>
      <c r="D274" s="86">
        <v>42743.735176273149</v>
      </c>
      <c r="E274" s="54" t="s">
        <v>12</v>
      </c>
      <c r="F274" s="54" t="s">
        <v>12</v>
      </c>
      <c r="G274" s="54" t="s">
        <v>301</v>
      </c>
      <c r="H274" s="54" t="s">
        <v>9</v>
      </c>
      <c r="I274" s="56" t="s">
        <v>817</v>
      </c>
      <c r="J274" s="54" t="s">
        <v>303</v>
      </c>
      <c r="K274" s="56" t="s">
        <v>305</v>
      </c>
      <c r="L274" s="87">
        <v>42744</v>
      </c>
      <c r="M274" s="34" t="str">
        <f>IFERROR(INDEX(BASE,MATCH(tblPRINTERS[[#This Row],[CASE ID]],BASE_CASOS,0),MATCH(tblPRINTERS[[#Headers],[tratativa]],BASE_CAB,0)),"Retornar com prioridade")</f>
        <v>Sem contato</v>
      </c>
      <c r="N274" s="34" t="str">
        <f>IFERROR(INDEX(BASE,MATCH(tblPRINTERS[[#This Row],[CASE ID]],BASE_CASOS,0),MATCH(tblPRINTERS[[#Headers],[Observação]],BASE_CAB,0)),"-")</f>
        <v>Sem contato (Só chama, Cx postal, Ocupado)</v>
      </c>
      <c r="O274" s="34" t="str">
        <f>IFERROR(INDEX(BASE,MATCH(tblPRINTERS[[#This Row],[CASE ID]],BASE_CASOS,0),MATCH(tblPRINTERS[[#Headers],[Observação Calback]],BASE_CAB,0)),"-")</f>
        <v>so chama</v>
      </c>
      <c r="P274" s="42" t="str">
        <f>IF(ISERROR(INDEX(QUALIDADE,MATCH(tblPRINTERS[[#This Row],[CASE ID]],PROTOCOLO_PESQUISAS,0),MATCH("Return Time",QUALIDADE_CAB,0)))=FALSE,INDEX(QUALIDADE,MATCH(tblPRINTERS[[#This Row],[CASE ID]],PROTOCOLO_PESQUISAS,0),MATCH("Return Time",QUALIDADE_CAB,0)),"")</f>
        <v/>
      </c>
      <c r="Q274" s="34" t="str">
        <f>IF(tblPRINTERS[[#This Row],[DATA | PESQUISA RECEBIDA]]="","",PROPER(TEXT(tblPRINTERS[[#This Row],[DATA | PESQUISA RECEBIDA]],"DDDD")))</f>
        <v/>
      </c>
    </row>
    <row r="275" spans="1:17" hidden="1">
      <c r="A275" s="54">
        <v>3035553627</v>
      </c>
      <c r="B275" s="54" t="s">
        <v>500</v>
      </c>
      <c r="C275" s="90">
        <v>42741.735176273149</v>
      </c>
      <c r="D275" s="86">
        <v>42743.735176273149</v>
      </c>
      <c r="E275" s="54" t="s">
        <v>25</v>
      </c>
      <c r="F275" s="54" t="s">
        <v>25</v>
      </c>
      <c r="G275" s="54" t="s">
        <v>301</v>
      </c>
      <c r="H275" s="54" t="s">
        <v>23</v>
      </c>
      <c r="I275" s="54" t="s">
        <v>817</v>
      </c>
      <c r="J275" s="54" t="s">
        <v>304</v>
      </c>
      <c r="K275" s="54" t="s">
        <v>1535</v>
      </c>
      <c r="L275" s="87">
        <v>42744</v>
      </c>
      <c r="M275" s="34" t="str">
        <f>IFERROR(INDEX(BASE,MATCH(tblPRINTERS[[#This Row],[CASE ID]],BASE_CASOS,0),MATCH(tblPRINTERS[[#Headers],[tratativa]],BASE_CAB,0)),"Retornar com prioridade")</f>
        <v>Não responder pesquisa</v>
      </c>
      <c r="N275" s="34" t="str">
        <f>IFERROR(INDEX(BASE,MATCH(tblPRINTERS[[#This Row],[CASE ID]],BASE_CASOS,0),MATCH(tblPRINTERS[[#Headers],[Observação]],BASE_CAB,0)),"-")</f>
        <v>Caso não resolvido / Equipamento em reparo</v>
      </c>
      <c r="O275" s="34" t="str">
        <f>IFERROR(INDEX(BASE,MATCH(tblPRINTERS[[#This Row],[CASE ID]],BASE_CASOS,0),MATCH(tblPRINTERS[[#Headers],[Observação Calback]],BASE_CAB,0)),"-")</f>
        <v>problema qualidade de impressao,ira aguardar troca do cartucho.</v>
      </c>
      <c r="P275" s="42" t="str">
        <f>IF(ISERROR(INDEX(QUALIDADE,MATCH(tblPRINTERS[[#This Row],[CASE ID]],PROTOCOLO_PESQUISAS,0),MATCH("Return Time",QUALIDADE_CAB,0)))=FALSE,INDEX(QUALIDADE,MATCH(tblPRINTERS[[#This Row],[CASE ID]],PROTOCOLO_PESQUISAS,0),MATCH("Return Time",QUALIDADE_CAB,0)),"")</f>
        <v/>
      </c>
      <c r="Q275" s="34" t="str">
        <f>IF(tblPRINTERS[[#This Row],[DATA | PESQUISA RECEBIDA]]="","",PROPER(TEXT(tblPRINTERS[[#This Row],[DATA | PESQUISA RECEBIDA]],"DDDD")))</f>
        <v/>
      </c>
    </row>
    <row r="276" spans="1:17" hidden="1">
      <c r="A276" s="54">
        <v>3035542777</v>
      </c>
      <c r="B276" s="54" t="s">
        <v>500</v>
      </c>
      <c r="C276" s="90">
        <v>42741.735176273149</v>
      </c>
      <c r="D276" s="86">
        <v>42743.735176273149</v>
      </c>
      <c r="E276" s="54" t="s">
        <v>580</v>
      </c>
      <c r="F276" s="54" t="s">
        <v>580</v>
      </c>
      <c r="G276" s="54" t="s">
        <v>301</v>
      </c>
      <c r="H276" s="54" t="s">
        <v>9</v>
      </c>
      <c r="I276" s="54" t="s">
        <v>817</v>
      </c>
      <c r="J276" s="54" t="s">
        <v>304</v>
      </c>
      <c r="K276" s="54" t="s">
        <v>2153</v>
      </c>
      <c r="L276" s="87">
        <v>42744</v>
      </c>
      <c r="M276" s="34" t="str">
        <f>IFERROR(INDEX(BASE,MATCH(tblPRINTERS[[#This Row],[CASE ID]],BASE_CASOS,0),MATCH(tblPRINTERS[[#Headers],[tratativa]],BASE_CAB,0)),"Retornar com prioridade")</f>
        <v>Não responder pesquisa</v>
      </c>
      <c r="N276" s="34" t="str">
        <f>IFERROR(INDEX(BASE,MATCH(tblPRINTERS[[#This Row],[CASE ID]],BASE_CASOS,0),MATCH(tblPRINTERS[[#Headers],[Observação]],BASE_CAB,0)),"-")</f>
        <v>Cliente insatisfeito HP / Equipamento</v>
      </c>
      <c r="O276" s="34" t="str">
        <f>IFERROR(INDEX(BASE,MATCH(tblPRINTERS[[#This Row],[CASE ID]],BASE_CASOS,0),MATCH(tblPRINTERS[[#Headers],[Observação Calback]],BASE_CAB,0)),"-")</f>
        <v>processo ate a solucao foi cansativo.nota 7</v>
      </c>
      <c r="P276" s="42" t="str">
        <f>IF(ISERROR(INDEX(QUALIDADE,MATCH(tblPRINTERS[[#This Row],[CASE ID]],PROTOCOLO_PESQUISAS,0),MATCH("Return Time",QUALIDADE_CAB,0)))=FALSE,INDEX(QUALIDADE,MATCH(tblPRINTERS[[#This Row],[CASE ID]],PROTOCOLO_PESQUISAS,0),MATCH("Return Time",QUALIDADE_CAB,0)),"")</f>
        <v/>
      </c>
      <c r="Q276" s="34" t="str">
        <f>IF(tblPRINTERS[[#This Row],[DATA | PESQUISA RECEBIDA]]="","",PROPER(TEXT(tblPRINTERS[[#This Row],[DATA | PESQUISA RECEBIDA]],"DDDD")))</f>
        <v/>
      </c>
    </row>
    <row r="277" spans="1:17" hidden="1">
      <c r="A277" s="54">
        <v>3035312099</v>
      </c>
      <c r="B277" s="54" t="s">
        <v>500</v>
      </c>
      <c r="C277" s="90">
        <v>42741.735176273149</v>
      </c>
      <c r="D277" s="86">
        <v>42743.735176273149</v>
      </c>
      <c r="E277" s="54" t="s">
        <v>591</v>
      </c>
      <c r="F277" s="54" t="s">
        <v>47</v>
      </c>
      <c r="G277" s="54" t="s">
        <v>302</v>
      </c>
      <c r="H277" s="54" t="s">
        <v>23</v>
      </c>
      <c r="I277" s="56" t="s">
        <v>815</v>
      </c>
      <c r="J277" s="54" t="s">
        <v>304</v>
      </c>
      <c r="K277" s="56" t="s">
        <v>4024</v>
      </c>
      <c r="L277" s="87">
        <v>42744</v>
      </c>
      <c r="M277" s="34" t="str">
        <f>IFERROR(INDEX(BASE,MATCH(tblPRINTERS[[#This Row],[CASE ID]],BASE_CASOS,0),MATCH(tblPRINTERS[[#Headers],[tratativa]],BASE_CAB,0)),"Retornar com prioridade")</f>
        <v>Sem contato</v>
      </c>
      <c r="N277" s="34" t="str">
        <f>IFERROR(INDEX(BASE,MATCH(tblPRINTERS[[#This Row],[CASE ID]],BASE_CASOS,0),MATCH(tblPRINTERS[[#Headers],[Observação]],BASE_CAB,0)),"-")</f>
        <v>Sem contato (Só chama, Cx postal, Ocupado)</v>
      </c>
      <c r="O277" s="34" t="str">
        <f>IFERROR(INDEX(BASE,MATCH(tblPRINTERS[[#This Row],[CASE ID]],BASE_CASOS,0),MATCH(tblPRINTERS[[#Headers],[Observação Calback]],BASE_CAB,0)),"-")</f>
        <v>somente 1 tel não e do cliente</v>
      </c>
      <c r="P277" s="42" t="str">
        <f>IF(ISERROR(INDEX(QUALIDADE,MATCH(tblPRINTERS[[#This Row],[CASE ID]],PROTOCOLO_PESQUISAS,0),MATCH("Return Time",QUALIDADE_CAB,0)))=FALSE,INDEX(QUALIDADE,MATCH(tblPRINTERS[[#This Row],[CASE ID]],PROTOCOLO_PESQUISAS,0),MATCH("Return Time",QUALIDADE_CAB,0)),"")</f>
        <v/>
      </c>
      <c r="Q277" s="34" t="str">
        <f>IF(tblPRINTERS[[#This Row],[DATA | PESQUISA RECEBIDA]]="","",PROPER(TEXT(tblPRINTERS[[#This Row],[DATA | PESQUISA RECEBIDA]],"DDDD")))</f>
        <v/>
      </c>
    </row>
    <row r="278" spans="1:17" hidden="1">
      <c r="A278" s="54">
        <v>3035542752</v>
      </c>
      <c r="B278" s="54" t="s">
        <v>500</v>
      </c>
      <c r="C278" s="90">
        <v>42741.735176273149</v>
      </c>
      <c r="D278" s="86">
        <v>42743.735176273149</v>
      </c>
      <c r="E278" s="54" t="s">
        <v>49</v>
      </c>
      <c r="F278" s="54" t="s">
        <v>49</v>
      </c>
      <c r="G278" s="54" t="s">
        <v>301</v>
      </c>
      <c r="H278" s="54" t="s">
        <v>273</v>
      </c>
      <c r="I278" s="56" t="s">
        <v>817</v>
      </c>
      <c r="J278" s="54" t="s">
        <v>304</v>
      </c>
      <c r="K278" s="54" t="s">
        <v>307</v>
      </c>
      <c r="L278" s="87">
        <v>42744</v>
      </c>
      <c r="M278" s="34" t="str">
        <f>IFERROR(INDEX(BASE,MATCH(tblPRINTERS[[#This Row],[CASE ID]],BASE_CASOS,0),MATCH(tblPRINTERS[[#Headers],[tratativa]],BASE_CAB,0)),"Retornar com prioridade")</f>
        <v>Responder pesquisa</v>
      </c>
      <c r="N278" s="34" t="str">
        <f>IFERROR(INDEX(BASE,MATCH(tblPRINTERS[[#This Row],[CASE ID]],BASE_CASOS,0),MATCH(tblPRINTERS[[#Headers],[Observação]],BASE_CAB,0)),"-")</f>
        <v>Nota 9/10</v>
      </c>
      <c r="O278" s="34" t="str">
        <f>IFERROR(INDEX(BASE,MATCH(tblPRINTERS[[#This Row],[CASE ID]],BASE_CASOS,0),MATCH(tblPRINTERS[[#Headers],[Observação Calback]],BASE_CAB,0)),"-")</f>
        <v>ira responder</v>
      </c>
      <c r="P278" s="42" t="str">
        <f>IF(ISERROR(INDEX(QUALIDADE,MATCH(tblPRINTERS[[#This Row],[CASE ID]],PROTOCOLO_PESQUISAS,0),MATCH("Return Time",QUALIDADE_CAB,0)))=FALSE,INDEX(QUALIDADE,MATCH(tblPRINTERS[[#This Row],[CASE ID]],PROTOCOLO_PESQUISAS,0),MATCH("Return Time",QUALIDADE_CAB,0)),"")</f>
        <v/>
      </c>
      <c r="Q278" s="34" t="str">
        <f>IF(tblPRINTERS[[#This Row],[DATA | PESQUISA RECEBIDA]]="","",PROPER(TEXT(tblPRINTERS[[#This Row],[DATA | PESQUISA RECEBIDA]],"DDDD")))</f>
        <v/>
      </c>
    </row>
    <row r="279" spans="1:17" hidden="1">
      <c r="A279" s="54">
        <v>3035545252</v>
      </c>
      <c r="B279" s="54" t="s">
        <v>500</v>
      </c>
      <c r="C279" s="90">
        <v>42741.735176273149</v>
      </c>
      <c r="D279" s="86">
        <v>42743.735176273149</v>
      </c>
      <c r="E279" s="54" t="s">
        <v>585</v>
      </c>
      <c r="F279" s="54" t="s">
        <v>585</v>
      </c>
      <c r="G279" s="54" t="s">
        <v>301</v>
      </c>
      <c r="H279" s="54" t="s">
        <v>273</v>
      </c>
      <c r="I279" s="56" t="s">
        <v>817</v>
      </c>
      <c r="J279" s="54" t="s">
        <v>303</v>
      </c>
      <c r="K279" s="56" t="s">
        <v>305</v>
      </c>
      <c r="L279" s="87">
        <v>42744</v>
      </c>
      <c r="M279" s="34" t="str">
        <f>IFERROR(INDEX(BASE,MATCH(tblPRINTERS[[#This Row],[CASE ID]],BASE_CASOS,0),MATCH(tblPRINTERS[[#Headers],[tratativa]],BASE_CAB,0)),"Retornar com prioridade")</f>
        <v>Retornar com prioridade</v>
      </c>
      <c r="N279" s="34" t="str">
        <f>IFERROR(INDEX(BASE,MATCH(tblPRINTERS[[#This Row],[CASE ID]],BASE_CASOS,0),MATCH(tblPRINTERS[[#Headers],[Observação]],BASE_CAB,0)),"-")</f>
        <v>-</v>
      </c>
      <c r="O279" s="34" t="str">
        <f>IFERROR(INDEX(BASE,MATCH(tblPRINTERS[[#This Row],[CASE ID]],BASE_CASOS,0),MATCH(tblPRINTERS[[#Headers],[Observação Calback]],BASE_CAB,0)),"-")</f>
        <v>-</v>
      </c>
      <c r="P279" s="42" t="str">
        <f>IF(ISERROR(INDEX(QUALIDADE,MATCH(tblPRINTERS[[#This Row],[CASE ID]],PROTOCOLO_PESQUISAS,0),MATCH("Return Time",QUALIDADE_CAB,0)))=FALSE,INDEX(QUALIDADE,MATCH(tblPRINTERS[[#This Row],[CASE ID]],PROTOCOLO_PESQUISAS,0),MATCH("Return Time",QUALIDADE_CAB,0)),"")</f>
        <v/>
      </c>
      <c r="Q279" s="34" t="str">
        <f>IF(tblPRINTERS[[#This Row],[DATA | PESQUISA RECEBIDA]]="","",PROPER(TEXT(tblPRINTERS[[#This Row],[DATA | PESQUISA RECEBIDA]],"DDDD")))</f>
        <v/>
      </c>
    </row>
    <row r="280" spans="1:17" hidden="1">
      <c r="A280" s="54">
        <v>3035545413</v>
      </c>
      <c r="B280" s="54" t="s">
        <v>500</v>
      </c>
      <c r="C280" s="90">
        <v>42741.735176273149</v>
      </c>
      <c r="D280" s="86">
        <v>42743.735176273149</v>
      </c>
      <c r="E280" s="54" t="s">
        <v>54</v>
      </c>
      <c r="F280" s="54" t="s">
        <v>54</v>
      </c>
      <c r="G280" s="54" t="s">
        <v>301</v>
      </c>
      <c r="H280" s="54" t="s">
        <v>273</v>
      </c>
      <c r="I280" s="56" t="s">
        <v>817</v>
      </c>
      <c r="J280" s="54" t="s">
        <v>304</v>
      </c>
      <c r="K280" s="56" t="s">
        <v>840</v>
      </c>
      <c r="L280" s="87">
        <v>42744</v>
      </c>
      <c r="M280" s="34" t="str">
        <f>IFERROR(INDEX(BASE,MATCH(tblPRINTERS[[#This Row],[CASE ID]],BASE_CASOS,0),MATCH(tblPRINTERS[[#Headers],[tratativa]],BASE_CAB,0)),"Retornar com prioridade")</f>
        <v>Não responder pesquisa</v>
      </c>
      <c r="N280" s="34" t="str">
        <f>IFERROR(INDEX(BASE,MATCH(tblPRINTERS[[#This Row],[CASE ID]],BASE_CASOS,0),MATCH(tblPRINTERS[[#Headers],[Observação]],BASE_CAB,0)),"-")</f>
        <v>Caso não resolvido / Equipamento em reparo</v>
      </c>
      <c r="O280" s="34" t="str">
        <f>IFERROR(INDEX(BASE,MATCH(tblPRINTERS[[#This Row],[CASE ID]],BASE_CASOS,0),MATCH(tblPRINTERS[[#Headers],[Observação Calback]],BASE_CAB,0)),"-")</f>
        <v>ira retornar contato.</v>
      </c>
      <c r="P280" s="42" t="str">
        <f>IF(ISERROR(INDEX(QUALIDADE,MATCH(tblPRINTERS[[#This Row],[CASE ID]],PROTOCOLO_PESQUISAS,0),MATCH("Return Time",QUALIDADE_CAB,0)))=FALSE,INDEX(QUALIDADE,MATCH(tblPRINTERS[[#This Row],[CASE ID]],PROTOCOLO_PESQUISAS,0),MATCH("Return Time",QUALIDADE_CAB,0)),"")</f>
        <v/>
      </c>
      <c r="Q280" s="34" t="str">
        <f>IF(tblPRINTERS[[#This Row],[DATA | PESQUISA RECEBIDA]]="","",PROPER(TEXT(tblPRINTERS[[#This Row],[DATA | PESQUISA RECEBIDA]],"DDDD")))</f>
        <v/>
      </c>
    </row>
    <row r="281" spans="1:17" hidden="1">
      <c r="A281" s="54">
        <v>3035480587</v>
      </c>
      <c r="B281" s="54" t="s">
        <v>500</v>
      </c>
      <c r="C281" s="90">
        <v>42741.735176273149</v>
      </c>
      <c r="D281" s="86">
        <v>42743.735176273149</v>
      </c>
      <c r="E281" s="54" t="s">
        <v>1288</v>
      </c>
      <c r="F281" s="54" t="s">
        <v>38</v>
      </c>
      <c r="G281" s="54" t="s">
        <v>302</v>
      </c>
      <c r="H281" s="54" t="s">
        <v>39</v>
      </c>
      <c r="I281" s="54" t="s">
        <v>817</v>
      </c>
      <c r="J281" s="54" t="s">
        <v>304</v>
      </c>
      <c r="K281" s="54" t="s">
        <v>307</v>
      </c>
      <c r="L281" s="87"/>
      <c r="M281" s="34" t="str">
        <f>IFERROR(INDEX(BASE,MATCH(tblPRINTERS[[#This Row],[CASE ID]],BASE_CASOS,0),MATCH(tblPRINTERS[[#Headers],[tratativa]],BASE_CAB,0)),"Retornar com prioridade")</f>
        <v>Não responder pesquisa</v>
      </c>
      <c r="N281" s="34" t="str">
        <f>IFERROR(INDEX(BASE,MATCH(tblPRINTERS[[#This Row],[CASE ID]],BASE_CASOS,0),MATCH(tblPRINTERS[[#Headers],[Observação]],BASE_CAB,0)),"-")</f>
        <v>Caso não resolvido / Equipamento em reparo</v>
      </c>
      <c r="O281" s="34" t="str">
        <f>IFERROR(INDEX(BASE,MATCH(tblPRINTERS[[#This Row],[CASE ID]],BASE_CASOS,0),MATCH(tblPRINTERS[[#Headers],[Observação Calback]],BASE_CAB,0)),"-")</f>
        <v>ira formatar pc</v>
      </c>
      <c r="P281" s="42" t="str">
        <f>IF(ISERROR(INDEX(QUALIDADE,MATCH(tblPRINTERS[[#This Row],[CASE ID]],PROTOCOLO_PESQUISAS,0),MATCH("Return Time",QUALIDADE_CAB,0)))=FALSE,INDEX(QUALIDADE,MATCH(tblPRINTERS[[#This Row],[CASE ID]],PROTOCOLO_PESQUISAS,0),MATCH("Return Time",QUALIDADE_CAB,0)),"")</f>
        <v/>
      </c>
      <c r="Q281" s="34" t="str">
        <f>IF(tblPRINTERS[[#This Row],[DATA | PESQUISA RECEBIDA]]="","",PROPER(TEXT(tblPRINTERS[[#This Row],[DATA | PESQUISA RECEBIDA]],"DDDD")))</f>
        <v/>
      </c>
    </row>
    <row r="282" spans="1:17" hidden="1">
      <c r="A282" s="54">
        <v>3035549199</v>
      </c>
      <c r="B282" s="54" t="s">
        <v>500</v>
      </c>
      <c r="C282" s="90">
        <v>42741.735176273149</v>
      </c>
      <c r="D282" s="86">
        <v>42743.735176273149</v>
      </c>
      <c r="E282" s="54" t="s">
        <v>12</v>
      </c>
      <c r="F282" s="54" t="s">
        <v>12</v>
      </c>
      <c r="G282" s="54" t="s">
        <v>301</v>
      </c>
      <c r="H282" s="54" t="s">
        <v>9</v>
      </c>
      <c r="I282" s="54" t="s">
        <v>817</v>
      </c>
      <c r="J282" s="54" t="s">
        <v>303</v>
      </c>
      <c r="K282" s="54" t="s">
        <v>305</v>
      </c>
      <c r="L282" s="87">
        <v>42744</v>
      </c>
      <c r="M282" s="34" t="str">
        <f>IFERROR(INDEX(BASE,MATCH(tblPRINTERS[[#This Row],[CASE ID]],BASE_CASOS,0),MATCH(tblPRINTERS[[#Headers],[tratativa]],BASE_CAB,0)),"Retornar com prioridade")</f>
        <v>Não responder pesquisa</v>
      </c>
      <c r="N282" s="34" t="str">
        <f>IFERROR(INDEX(BASE,MATCH(tblPRINTERS[[#This Row],[CASE ID]],BASE_CASOS,0),MATCH(tblPRINTERS[[#Headers],[Observação]],BASE_CAB,0)),"-")</f>
        <v>Caso não resolvido / Equipamento em reparo</v>
      </c>
      <c r="O282" s="34" t="str">
        <f>IFERROR(INDEX(BASE,MATCH(tblPRINTERS[[#This Row],[CASE ID]],BASE_CASOS,0),MATCH(tblPRINTERS[[#Headers],[Observação Calback]],BASE_CAB,0)),"-")</f>
        <v>ira retornar problema com scaner.</v>
      </c>
      <c r="P282" s="42" t="str">
        <f>IF(ISERROR(INDEX(QUALIDADE,MATCH(tblPRINTERS[[#This Row],[CASE ID]],PROTOCOLO_PESQUISAS,0),MATCH("Return Time",QUALIDADE_CAB,0)))=FALSE,INDEX(QUALIDADE,MATCH(tblPRINTERS[[#This Row],[CASE ID]],PROTOCOLO_PESQUISAS,0),MATCH("Return Time",QUALIDADE_CAB,0)),"")</f>
        <v/>
      </c>
      <c r="Q282" s="34" t="str">
        <f>IF(tblPRINTERS[[#This Row],[DATA | PESQUISA RECEBIDA]]="","",PROPER(TEXT(tblPRINTERS[[#This Row],[DATA | PESQUISA RECEBIDA]],"DDDD")))</f>
        <v/>
      </c>
    </row>
    <row r="283" spans="1:17" hidden="1">
      <c r="A283" s="54">
        <v>3035509495</v>
      </c>
      <c r="B283" s="54" t="s">
        <v>500</v>
      </c>
      <c r="C283" s="90">
        <v>42740.73709116898</v>
      </c>
      <c r="D283" s="86">
        <v>42742.73709116898</v>
      </c>
      <c r="E283" s="54" t="s">
        <v>28</v>
      </c>
      <c r="F283" s="54" t="s">
        <v>28</v>
      </c>
      <c r="G283" s="54" t="s">
        <v>301</v>
      </c>
      <c r="H283" s="54" t="s">
        <v>9</v>
      </c>
      <c r="I283" s="54" t="s">
        <v>817</v>
      </c>
      <c r="J283" s="54" t="s">
        <v>303</v>
      </c>
      <c r="K283" s="54" t="s">
        <v>305</v>
      </c>
      <c r="L283" s="87">
        <v>42744</v>
      </c>
      <c r="M283" s="34" t="str">
        <f>IFERROR(INDEX(BASE,MATCH(tblPRINTERS[[#This Row],[CASE ID]],BASE_CASOS,0),MATCH(tblPRINTERS[[#Headers],[tratativa]],BASE_CAB,0)),"Retornar com prioridade")</f>
        <v>Responder pesquisa</v>
      </c>
      <c r="N283" s="34" t="str">
        <f>IFERROR(INDEX(BASE,MATCH(tblPRINTERS[[#This Row],[CASE ID]],BASE_CASOS,0),MATCH(tblPRINTERS[[#Headers],[Observação]],BASE_CAB,0)),"-")</f>
        <v>Nota 9/10</v>
      </c>
      <c r="O283" s="34" t="str">
        <f>IFERROR(INDEX(BASE,MATCH(tblPRINTERS[[#This Row],[CASE ID]],BASE_CASOS,0),MATCH(tblPRINTERS[[#Headers],[Observação Calback]],BASE_CAB,0)),"-")</f>
        <v>Responder pesquisa</v>
      </c>
      <c r="P283" s="42" t="str">
        <f>IF(ISERROR(INDEX(QUALIDADE,MATCH(tblPRINTERS[[#This Row],[CASE ID]],PROTOCOLO_PESQUISAS,0),MATCH("Return Time",QUALIDADE_CAB,0)))=FALSE,INDEX(QUALIDADE,MATCH(tblPRINTERS[[#This Row],[CASE ID]],PROTOCOLO_PESQUISAS,0),MATCH("Return Time",QUALIDADE_CAB,0)),"")</f>
        <v/>
      </c>
      <c r="Q283" s="34" t="str">
        <f>IF(tblPRINTERS[[#This Row],[DATA | PESQUISA RECEBIDA]]="","",PROPER(TEXT(tblPRINTERS[[#This Row],[DATA | PESQUISA RECEBIDA]],"DDDD")))</f>
        <v/>
      </c>
    </row>
    <row r="284" spans="1:17" hidden="1">
      <c r="A284" s="54">
        <v>3035266315</v>
      </c>
      <c r="B284" s="54" t="s">
        <v>500</v>
      </c>
      <c r="C284" s="90">
        <v>42740.73709116898</v>
      </c>
      <c r="D284" s="86">
        <v>42742.73709116898</v>
      </c>
      <c r="E284" s="54" t="s">
        <v>838</v>
      </c>
      <c r="F284" s="54" t="s">
        <v>21</v>
      </c>
      <c r="G284" s="54" t="s">
        <v>302</v>
      </c>
      <c r="H284" s="54" t="s">
        <v>256</v>
      </c>
      <c r="I284" s="54" t="s">
        <v>817</v>
      </c>
      <c r="J284" s="54" t="s">
        <v>303</v>
      </c>
      <c r="K284" s="54" t="s">
        <v>305</v>
      </c>
      <c r="L284" s="87">
        <v>42744</v>
      </c>
      <c r="M284" s="34" t="str">
        <f>IFERROR(INDEX(BASE,MATCH(tblPRINTERS[[#This Row],[CASE ID]],BASE_CASOS,0),MATCH(tblPRINTERS[[#Headers],[tratativa]],BASE_CAB,0)),"Retornar com prioridade")</f>
        <v>Retornar com prioridade</v>
      </c>
      <c r="N284" s="34" t="str">
        <f>IFERROR(INDEX(BASE,MATCH(tblPRINTERS[[#This Row],[CASE ID]],BASE_CASOS,0),MATCH(tblPRINTERS[[#Headers],[Observação]],BASE_CAB,0)),"-")</f>
        <v>-</v>
      </c>
      <c r="O284" s="34" t="str">
        <f>IFERROR(INDEX(BASE,MATCH(tblPRINTERS[[#This Row],[CASE ID]],BASE_CASOS,0),MATCH(tblPRINTERS[[#Headers],[Observação Calback]],BASE_CAB,0)),"-")</f>
        <v>-</v>
      </c>
      <c r="P284" s="42" t="str">
        <f>IF(ISERROR(INDEX(QUALIDADE,MATCH(tblPRINTERS[[#This Row],[CASE ID]],PROTOCOLO_PESQUISAS,0),MATCH("Return Time",QUALIDADE_CAB,0)))=FALSE,INDEX(QUALIDADE,MATCH(tblPRINTERS[[#This Row],[CASE ID]],PROTOCOLO_PESQUISAS,0),MATCH("Return Time",QUALIDADE_CAB,0)),"")</f>
        <v/>
      </c>
      <c r="Q284" s="34" t="str">
        <f>IF(tblPRINTERS[[#This Row],[DATA | PESQUISA RECEBIDA]]="","",PROPER(TEXT(tblPRINTERS[[#This Row],[DATA | PESQUISA RECEBIDA]],"DDDD")))</f>
        <v/>
      </c>
    </row>
    <row r="285" spans="1:17" hidden="1">
      <c r="A285" s="54">
        <v>3035512332</v>
      </c>
      <c r="B285" s="54" t="s">
        <v>500</v>
      </c>
      <c r="C285" s="90">
        <v>42740.73709116898</v>
      </c>
      <c r="D285" s="86">
        <v>42742.73709116898</v>
      </c>
      <c r="E285" s="54" t="s">
        <v>16</v>
      </c>
      <c r="F285" s="54" t="s">
        <v>16</v>
      </c>
      <c r="G285" s="54" t="s">
        <v>301</v>
      </c>
      <c r="H285" s="54" t="s">
        <v>9</v>
      </c>
      <c r="I285" s="54" t="s">
        <v>817</v>
      </c>
      <c r="J285" s="54" t="s">
        <v>303</v>
      </c>
      <c r="K285" s="54" t="s">
        <v>305</v>
      </c>
      <c r="L285" s="87">
        <v>42744</v>
      </c>
      <c r="M285" s="34" t="str">
        <f>IFERROR(INDEX(BASE,MATCH(tblPRINTERS[[#This Row],[CASE ID]],BASE_CASOS,0),MATCH(tblPRINTERS[[#Headers],[tratativa]],BASE_CAB,0)),"Retornar com prioridade")</f>
        <v>Sem contato</v>
      </c>
      <c r="N285" s="34" t="str">
        <f>IFERROR(INDEX(BASE,MATCH(tblPRINTERS[[#This Row],[CASE ID]],BASE_CASOS,0),MATCH(tblPRINTERS[[#Headers],[Observação]],BASE_CAB,0)),"-")</f>
        <v>Sem contato (Só chama, Cx postal, Ocupado)</v>
      </c>
      <c r="O285" s="34" t="str">
        <f>IFERROR(INDEX(BASE,MATCH(tblPRINTERS[[#This Row],[CASE ID]],BASE_CASOS,0),MATCH(tblPRINTERS[[#Headers],[Observação Calback]],BASE_CAB,0)),"-")</f>
        <v>so chama</v>
      </c>
      <c r="P285" s="42" t="str">
        <f>IF(ISERROR(INDEX(QUALIDADE,MATCH(tblPRINTERS[[#This Row],[CASE ID]],PROTOCOLO_PESQUISAS,0),MATCH("Return Time",QUALIDADE_CAB,0)))=FALSE,INDEX(QUALIDADE,MATCH(tblPRINTERS[[#This Row],[CASE ID]],PROTOCOLO_PESQUISAS,0),MATCH("Return Time",QUALIDADE_CAB,0)),"")</f>
        <v/>
      </c>
      <c r="Q285" s="34" t="str">
        <f>IF(tblPRINTERS[[#This Row],[DATA | PESQUISA RECEBIDA]]="","",PROPER(TEXT(tblPRINTERS[[#This Row],[DATA | PESQUISA RECEBIDA]],"DDDD")))</f>
        <v/>
      </c>
    </row>
    <row r="286" spans="1:17" hidden="1">
      <c r="A286" s="54">
        <v>3035408953</v>
      </c>
      <c r="B286" s="54" t="s">
        <v>500</v>
      </c>
      <c r="C286" s="90">
        <v>42740.73709116898</v>
      </c>
      <c r="D286" s="86">
        <v>42742.73709116898</v>
      </c>
      <c r="E286" s="54" t="s">
        <v>846</v>
      </c>
      <c r="F286" s="54" t="s">
        <v>21</v>
      </c>
      <c r="G286" s="54" t="s">
        <v>302</v>
      </c>
      <c r="H286" s="54" t="s">
        <v>273</v>
      </c>
      <c r="I286" s="54" t="s">
        <v>817</v>
      </c>
      <c r="J286" s="54" t="s">
        <v>303</v>
      </c>
      <c r="K286" s="54" t="s">
        <v>305</v>
      </c>
      <c r="L286" s="87">
        <v>42744</v>
      </c>
      <c r="M286" s="34" t="str">
        <f>IFERROR(INDEX(BASE,MATCH(tblPRINTERS[[#This Row],[CASE ID]],BASE_CASOS,0),MATCH(tblPRINTERS[[#Headers],[tratativa]],BASE_CAB,0)),"Retornar com prioridade")</f>
        <v>Não responder pesquisa</v>
      </c>
      <c r="N286" s="34" t="str">
        <f>IFERROR(INDEX(BASE,MATCH(tblPRINTERS[[#This Row],[CASE ID]],BASE_CASOS,0),MATCH(tblPRINTERS[[#Headers],[Observação]],BASE_CAB,0)),"-")</f>
        <v>Caso não resolvido / Equipamento em reparo</v>
      </c>
      <c r="O286" s="34" t="str">
        <f>IFERROR(INDEX(BASE,MATCH(tblPRINTERS[[#This Row],[CASE ID]],BASE_CASOS,0),MATCH(tblPRINTERS[[#Headers],[Observação Calback]],BASE_CAB,0)),"-")</f>
        <v>produto importado, problema com cartucho, ira verificar com a loja</v>
      </c>
      <c r="P286" s="42" t="str">
        <f>IF(ISERROR(INDEX(QUALIDADE,MATCH(tblPRINTERS[[#This Row],[CASE ID]],PROTOCOLO_PESQUISAS,0),MATCH("Return Time",QUALIDADE_CAB,0)))=FALSE,INDEX(QUALIDADE,MATCH(tblPRINTERS[[#This Row],[CASE ID]],PROTOCOLO_PESQUISAS,0),MATCH("Return Time",QUALIDADE_CAB,0)),"")</f>
        <v/>
      </c>
      <c r="Q286" s="34" t="str">
        <f>IF(tblPRINTERS[[#This Row],[DATA | PESQUISA RECEBIDA]]="","",PROPER(TEXT(tblPRINTERS[[#This Row],[DATA | PESQUISA RECEBIDA]],"DDDD")))</f>
        <v/>
      </c>
    </row>
    <row r="287" spans="1:17" hidden="1">
      <c r="A287" s="54">
        <v>3035509640</v>
      </c>
      <c r="B287" s="54" t="s">
        <v>500</v>
      </c>
      <c r="C287" s="90">
        <v>42740.73709116898</v>
      </c>
      <c r="D287" s="86">
        <v>42742.73709116898</v>
      </c>
      <c r="E287" s="54" t="s">
        <v>11</v>
      </c>
      <c r="F287" s="54" t="s">
        <v>11</v>
      </c>
      <c r="G287" s="54" t="s">
        <v>301</v>
      </c>
      <c r="H287" s="54" t="s">
        <v>9</v>
      </c>
      <c r="I287" s="56" t="s">
        <v>817</v>
      </c>
      <c r="J287" s="54" t="s">
        <v>304</v>
      </c>
      <c r="K287" s="56" t="s">
        <v>307</v>
      </c>
      <c r="L287" s="87">
        <v>42744</v>
      </c>
      <c r="M287" s="34" t="str">
        <f>IFERROR(INDEX(BASE,MATCH(tblPRINTERS[[#This Row],[CASE ID]],BASE_CASOS,0),MATCH(tblPRINTERS[[#Headers],[tratativa]],BASE_CAB,0)),"Retornar com prioridade")</f>
        <v>Responder pesquisa</v>
      </c>
      <c r="N287" s="34" t="str">
        <f>IFERROR(INDEX(BASE,MATCH(tblPRINTERS[[#This Row],[CASE ID]],BASE_CASOS,0),MATCH(tblPRINTERS[[#Headers],[Observação]],BASE_CAB,0)),"-")</f>
        <v>Nota 9/10</v>
      </c>
      <c r="O287" s="34" t="str">
        <f>IFERROR(INDEX(BASE,MATCH(tblPRINTERS[[#This Row],[CASE ID]],BASE_CASOS,0),MATCH(tblPRINTERS[[#Headers],[Observação Calback]],BASE_CAB,0)),"-")</f>
        <v>ira responder</v>
      </c>
      <c r="P287" s="42" t="str">
        <f>IF(ISERROR(INDEX(QUALIDADE,MATCH(tblPRINTERS[[#This Row],[CASE ID]],PROTOCOLO_PESQUISAS,0),MATCH("Return Time",QUALIDADE_CAB,0)))=FALSE,INDEX(QUALIDADE,MATCH(tblPRINTERS[[#This Row],[CASE ID]],PROTOCOLO_PESQUISAS,0),MATCH("Return Time",QUALIDADE_CAB,0)),"")</f>
        <v/>
      </c>
      <c r="Q287" s="34" t="str">
        <f>IF(tblPRINTERS[[#This Row],[DATA | PESQUISA RECEBIDA]]="","",PROPER(TEXT(tblPRINTERS[[#This Row],[DATA | PESQUISA RECEBIDA]],"DDDD")))</f>
        <v/>
      </c>
    </row>
    <row r="288" spans="1:17" hidden="1">
      <c r="A288" s="54">
        <v>3035472293</v>
      </c>
      <c r="B288" s="54" t="s">
        <v>500</v>
      </c>
      <c r="C288" s="90">
        <v>42740.73709116898</v>
      </c>
      <c r="D288" s="86">
        <v>42742.73709116898</v>
      </c>
      <c r="E288" s="54" t="s">
        <v>22</v>
      </c>
      <c r="F288" s="54" t="s">
        <v>47</v>
      </c>
      <c r="G288" s="54" t="s">
        <v>302</v>
      </c>
      <c r="H288" s="54" t="s">
        <v>23</v>
      </c>
      <c r="I288" s="54" t="s">
        <v>817</v>
      </c>
      <c r="J288" s="54" t="s">
        <v>304</v>
      </c>
      <c r="K288" s="54" t="s">
        <v>1533</v>
      </c>
      <c r="L288" s="87">
        <v>42744</v>
      </c>
      <c r="M288" s="34" t="str">
        <f>IFERROR(INDEX(BASE,MATCH(tblPRINTERS[[#This Row],[CASE ID]],BASE_CASOS,0),MATCH(tblPRINTERS[[#Headers],[tratativa]],BASE_CAB,0)),"Retornar com prioridade")</f>
        <v>Não responder pesquisa</v>
      </c>
      <c r="N288" s="34" t="str">
        <f>IFERROR(INDEX(BASE,MATCH(tblPRINTERS[[#This Row],[CASE ID]],BASE_CASOS,0),MATCH(tblPRINTERS[[#Headers],[Observação]],BASE_CAB,0)),"-")</f>
        <v>Caso não resolvido / Equipamento em reparo</v>
      </c>
      <c r="O288" s="34" t="str">
        <f>IFERROR(INDEX(BASE,MATCH(tblPRINTERS[[#This Row],[CASE ID]],BASE_CASOS,0),MATCH(tblPRINTERS[[#Headers],[Observação Calback]],BASE_CAB,0)),"-")</f>
        <v>em reparo</v>
      </c>
      <c r="P288" s="42" t="str">
        <f>IF(ISERROR(INDEX(QUALIDADE,MATCH(tblPRINTERS[[#This Row],[CASE ID]],PROTOCOLO_PESQUISAS,0),MATCH("Return Time",QUALIDADE_CAB,0)))=FALSE,INDEX(QUALIDADE,MATCH(tblPRINTERS[[#This Row],[CASE ID]],PROTOCOLO_PESQUISAS,0),MATCH("Return Time",QUALIDADE_CAB,0)),"")</f>
        <v/>
      </c>
      <c r="Q288" s="34" t="str">
        <f>IF(tblPRINTERS[[#This Row],[DATA | PESQUISA RECEBIDA]]="","",PROPER(TEXT(tblPRINTERS[[#This Row],[DATA | PESQUISA RECEBIDA]],"DDDD")))</f>
        <v/>
      </c>
    </row>
    <row r="289" spans="1:17" hidden="1">
      <c r="A289" s="54">
        <v>3035521925</v>
      </c>
      <c r="B289" s="54" t="s">
        <v>500</v>
      </c>
      <c r="C289" s="90">
        <v>42740.73709116898</v>
      </c>
      <c r="D289" s="86">
        <v>42742.73709116898</v>
      </c>
      <c r="E289" s="54" t="s">
        <v>560</v>
      </c>
      <c r="F289" s="54" t="s">
        <v>560</v>
      </c>
      <c r="G289" s="54" t="s">
        <v>301</v>
      </c>
      <c r="H289" s="54" t="s">
        <v>256</v>
      </c>
      <c r="I289" s="56" t="s">
        <v>817</v>
      </c>
      <c r="J289" s="54" t="s">
        <v>303</v>
      </c>
      <c r="K289" s="56" t="s">
        <v>305</v>
      </c>
      <c r="L289" s="87">
        <v>42744</v>
      </c>
      <c r="M289" s="34" t="str">
        <f>IFERROR(INDEX(BASE,MATCH(tblPRINTERS[[#This Row],[CASE ID]],BASE_CASOS,0),MATCH(tblPRINTERS[[#Headers],[tratativa]],BASE_CAB,0)),"Retornar com prioridade")</f>
        <v>Não responder pesquisa</v>
      </c>
      <c r="N289" s="34" t="str">
        <f>IFERROR(INDEX(BASE,MATCH(tblPRINTERS[[#This Row],[CASE ID]],BASE_CASOS,0),MATCH(tblPRINTERS[[#Headers],[Observação]],BASE_CAB,0)),"-")</f>
        <v>Caso não resolvido / Equipamento em reparo</v>
      </c>
      <c r="O289" s="34" t="str">
        <f>IFERROR(INDEX(BASE,MATCH(tblPRINTERS[[#This Row],[CASE ID]],BASE_CASOS,0),MATCH(tblPRINTERS[[#Headers],[Observação Calback]],BASE_CAB,0)),"-")</f>
        <v>em observação, problema intermitente</v>
      </c>
      <c r="P289" s="42" t="str">
        <f>IF(ISERROR(INDEX(QUALIDADE,MATCH(tblPRINTERS[[#This Row],[CASE ID]],PROTOCOLO_PESQUISAS,0),MATCH("Return Time",QUALIDADE_CAB,0)))=FALSE,INDEX(QUALIDADE,MATCH(tblPRINTERS[[#This Row],[CASE ID]],PROTOCOLO_PESQUISAS,0),MATCH("Return Time",QUALIDADE_CAB,0)),"")</f>
        <v/>
      </c>
      <c r="Q289" s="34" t="str">
        <f>IF(tblPRINTERS[[#This Row],[DATA | PESQUISA RECEBIDA]]="","",PROPER(TEXT(tblPRINTERS[[#This Row],[DATA | PESQUISA RECEBIDA]],"DDDD")))</f>
        <v/>
      </c>
    </row>
    <row r="290" spans="1:17" hidden="1">
      <c r="A290" s="54">
        <v>3035520928</v>
      </c>
      <c r="B290" s="54" t="s">
        <v>500</v>
      </c>
      <c r="C290" s="90">
        <v>42740.73709116898</v>
      </c>
      <c r="D290" s="86">
        <v>42742.73709116898</v>
      </c>
      <c r="E290" s="54" t="s">
        <v>29</v>
      </c>
      <c r="F290" s="54" t="s">
        <v>29</v>
      </c>
      <c r="G290" s="54" t="s">
        <v>301</v>
      </c>
      <c r="H290" s="54" t="s">
        <v>23</v>
      </c>
      <c r="I290" s="54" t="s">
        <v>817</v>
      </c>
      <c r="J290" s="54" t="s">
        <v>304</v>
      </c>
      <c r="K290" s="54" t="s">
        <v>307</v>
      </c>
      <c r="L290" s="87">
        <v>42744</v>
      </c>
      <c r="M290" s="34" t="str">
        <f>IFERROR(INDEX(BASE,MATCH(tblPRINTERS[[#This Row],[CASE ID]],BASE_CASOS,0),MATCH(tblPRINTERS[[#Headers],[tratativa]],BASE_CAB,0)),"Retornar com prioridade")</f>
        <v>Responder pesquisa</v>
      </c>
      <c r="N290" s="34" t="str">
        <f>IFERROR(INDEX(BASE,MATCH(tblPRINTERS[[#This Row],[CASE ID]],BASE_CASOS,0),MATCH(tblPRINTERS[[#Headers],[Observação]],BASE_CAB,0)),"-")</f>
        <v>Nota 9/10</v>
      </c>
      <c r="O290" s="34" t="str">
        <f>IFERROR(INDEX(BASE,MATCH(tblPRINTERS[[#This Row],[CASE ID]],BASE_CASOS,0),MATCH(tblPRINTERS[[#Headers],[Observação Calback]],BASE_CAB,0)),"-")</f>
        <v>ira responder</v>
      </c>
      <c r="P290" s="42" t="str">
        <f>IF(ISERROR(INDEX(QUALIDADE,MATCH(tblPRINTERS[[#This Row],[CASE ID]],PROTOCOLO_PESQUISAS,0),MATCH("Return Time",QUALIDADE_CAB,0)))=FALSE,INDEX(QUALIDADE,MATCH(tblPRINTERS[[#This Row],[CASE ID]],PROTOCOLO_PESQUISAS,0),MATCH("Return Time",QUALIDADE_CAB,0)),"")</f>
        <v/>
      </c>
      <c r="Q290" s="34" t="str">
        <f>IF(tblPRINTERS[[#This Row],[DATA | PESQUISA RECEBIDA]]="","",PROPER(TEXT(tblPRINTERS[[#This Row],[DATA | PESQUISA RECEBIDA]],"DDDD")))</f>
        <v/>
      </c>
    </row>
    <row r="291" spans="1:17" hidden="1">
      <c r="A291" s="54">
        <v>3035526712</v>
      </c>
      <c r="B291" s="54" t="s">
        <v>500</v>
      </c>
      <c r="C291" s="90">
        <v>42740.73709116898</v>
      </c>
      <c r="D291" s="86">
        <v>42742.73709116898</v>
      </c>
      <c r="E291" s="54" t="s">
        <v>27</v>
      </c>
      <c r="F291" s="54" t="s">
        <v>27</v>
      </c>
      <c r="G291" s="54" t="s">
        <v>301</v>
      </c>
      <c r="H291" s="54" t="s">
        <v>23</v>
      </c>
      <c r="I291" s="54" t="s">
        <v>817</v>
      </c>
      <c r="J291" s="54" t="s">
        <v>304</v>
      </c>
      <c r="K291" s="54" t="s">
        <v>2144</v>
      </c>
      <c r="L291" s="87">
        <v>42744</v>
      </c>
      <c r="M291" s="34" t="str">
        <f>IFERROR(INDEX(BASE,MATCH(tblPRINTERS[[#This Row],[CASE ID]],BASE_CASOS,0),MATCH(tblPRINTERS[[#Headers],[tratativa]],BASE_CAB,0)),"Retornar com prioridade")</f>
        <v>Responder pesquisa</v>
      </c>
      <c r="N291" s="34" t="str">
        <f>IFERROR(INDEX(BASE,MATCH(tblPRINTERS[[#This Row],[CASE ID]],BASE_CASOS,0),MATCH(tblPRINTERS[[#Headers],[Observação]],BASE_CAB,0)),"-")</f>
        <v>Nota 9/10</v>
      </c>
      <c r="O291" s="34" t="str">
        <f>IFERROR(INDEX(BASE,MATCH(tblPRINTERS[[#This Row],[CASE ID]],BASE_CASOS,0),MATCH(tblPRINTERS[[#Headers],[Observação Calback]],BASE_CAB,0)),"-")</f>
        <v>ira responder</v>
      </c>
      <c r="P291" s="42" t="str">
        <f>IF(ISERROR(INDEX(QUALIDADE,MATCH(tblPRINTERS[[#This Row],[CASE ID]],PROTOCOLO_PESQUISAS,0),MATCH("Return Time",QUALIDADE_CAB,0)))=FALSE,INDEX(QUALIDADE,MATCH(tblPRINTERS[[#This Row],[CASE ID]],PROTOCOLO_PESQUISAS,0),MATCH("Return Time",QUALIDADE_CAB,0)),"")</f>
        <v/>
      </c>
      <c r="Q291" s="34" t="str">
        <f>IF(tblPRINTERS[[#This Row],[DATA | PESQUISA RECEBIDA]]="","",PROPER(TEXT(tblPRINTERS[[#This Row],[DATA | PESQUISA RECEBIDA]],"DDDD")))</f>
        <v/>
      </c>
    </row>
    <row r="292" spans="1:17" hidden="1">
      <c r="A292" s="54">
        <v>3035513271</v>
      </c>
      <c r="B292" s="54" t="s">
        <v>500</v>
      </c>
      <c r="C292" s="90">
        <v>42740.73709116898</v>
      </c>
      <c r="D292" s="86">
        <v>42742.73709116898</v>
      </c>
      <c r="E292" s="54" t="s">
        <v>53</v>
      </c>
      <c r="F292" s="54" t="s">
        <v>2139</v>
      </c>
      <c r="G292" s="54" t="s">
        <v>302</v>
      </c>
      <c r="H292" s="54" t="s">
        <v>273</v>
      </c>
      <c r="I292" s="54" t="s">
        <v>817</v>
      </c>
      <c r="J292" s="54" t="s">
        <v>303</v>
      </c>
      <c r="K292" s="54" t="s">
        <v>305</v>
      </c>
      <c r="L292" s="87">
        <v>42744</v>
      </c>
      <c r="M292" s="34" t="str">
        <f>IFERROR(INDEX(BASE,MATCH(tblPRINTERS[[#This Row],[CASE ID]],BASE_CASOS,0),MATCH(tblPRINTERS[[#Headers],[tratativa]],BASE_CAB,0)),"Retornar com prioridade")</f>
        <v>Responder pesquisa</v>
      </c>
      <c r="N292" s="34" t="str">
        <f>IFERROR(INDEX(BASE,MATCH(tblPRINTERS[[#This Row],[CASE ID]],BASE_CASOS,0),MATCH(tblPRINTERS[[#Headers],[Observação]],BASE_CAB,0)),"-")</f>
        <v>Nota 9/10</v>
      </c>
      <c r="O292" s="34" t="str">
        <f>IFERROR(INDEX(BASE,MATCH(tblPRINTERS[[#This Row],[CASE ID]],BASE_CASOS,0),MATCH(tblPRINTERS[[#Headers],[Observação Calback]],BASE_CAB,0)),"-")</f>
        <v>ira responder</v>
      </c>
      <c r="P292" s="42" t="str">
        <f>IF(ISERROR(INDEX(QUALIDADE,MATCH(tblPRINTERS[[#This Row],[CASE ID]],PROTOCOLO_PESQUISAS,0),MATCH("Return Time",QUALIDADE_CAB,0)))=FALSE,INDEX(QUALIDADE,MATCH(tblPRINTERS[[#This Row],[CASE ID]],PROTOCOLO_PESQUISAS,0),MATCH("Return Time",QUALIDADE_CAB,0)),"")</f>
        <v/>
      </c>
      <c r="Q292" s="34" t="str">
        <f>IF(tblPRINTERS[[#This Row],[DATA | PESQUISA RECEBIDA]]="","",PROPER(TEXT(tblPRINTERS[[#This Row],[DATA | PESQUISA RECEBIDA]],"DDDD")))</f>
        <v/>
      </c>
    </row>
    <row r="293" spans="1:17" hidden="1">
      <c r="A293" s="54">
        <v>3035518552</v>
      </c>
      <c r="B293" s="54" t="s">
        <v>500</v>
      </c>
      <c r="C293" s="90">
        <v>42740.73709116898</v>
      </c>
      <c r="D293" s="86">
        <v>42742.73709116898</v>
      </c>
      <c r="E293" s="54" t="s">
        <v>14</v>
      </c>
      <c r="F293" s="54" t="s">
        <v>14</v>
      </c>
      <c r="G293" s="54" t="s">
        <v>301</v>
      </c>
      <c r="H293" s="54" t="s">
        <v>9</v>
      </c>
      <c r="I293" s="54" t="s">
        <v>817</v>
      </c>
      <c r="J293" s="54" t="s">
        <v>304</v>
      </c>
      <c r="K293" s="54" t="s">
        <v>1533</v>
      </c>
      <c r="L293" s="87">
        <v>42744</v>
      </c>
      <c r="M293" s="34" t="str">
        <f>IFERROR(INDEX(BASE,MATCH(tblPRINTERS[[#This Row],[CASE ID]],BASE_CASOS,0),MATCH(tblPRINTERS[[#Headers],[tratativa]],BASE_CAB,0)),"Retornar com prioridade")</f>
        <v>Retornar com prioridade</v>
      </c>
      <c r="N293" s="34" t="str">
        <f>IFERROR(INDEX(BASE,MATCH(tblPRINTERS[[#This Row],[CASE ID]],BASE_CASOS,0),MATCH(tblPRINTERS[[#Headers],[Observação]],BASE_CAB,0)),"-")</f>
        <v>-</v>
      </c>
      <c r="O293" s="34" t="str">
        <f>IFERROR(INDEX(BASE,MATCH(tblPRINTERS[[#This Row],[CASE ID]],BASE_CASOS,0),MATCH(tblPRINTERS[[#Headers],[Observação Calback]],BASE_CAB,0)),"-")</f>
        <v>-</v>
      </c>
      <c r="P293" s="42" t="str">
        <f>IF(ISERROR(INDEX(QUALIDADE,MATCH(tblPRINTERS[[#This Row],[CASE ID]],PROTOCOLO_PESQUISAS,0),MATCH("Return Time",QUALIDADE_CAB,0)))=FALSE,INDEX(QUALIDADE,MATCH(tblPRINTERS[[#This Row],[CASE ID]],PROTOCOLO_PESQUISAS,0),MATCH("Return Time",QUALIDADE_CAB,0)),"")</f>
        <v/>
      </c>
      <c r="Q293" s="34" t="str">
        <f>IF(tblPRINTERS[[#This Row],[DATA | PESQUISA RECEBIDA]]="","",PROPER(TEXT(tblPRINTERS[[#This Row],[DATA | PESQUISA RECEBIDA]],"DDDD")))</f>
        <v/>
      </c>
    </row>
    <row r="294" spans="1:17" hidden="1">
      <c r="A294" s="54">
        <v>3035518378</v>
      </c>
      <c r="B294" s="54" t="s">
        <v>500</v>
      </c>
      <c r="C294" s="90">
        <v>42740.73709116898</v>
      </c>
      <c r="D294" s="86">
        <v>42742.73709116898</v>
      </c>
      <c r="E294" s="54" t="s">
        <v>1423</v>
      </c>
      <c r="F294" s="54" t="s">
        <v>1423</v>
      </c>
      <c r="G294" s="54" t="s">
        <v>301</v>
      </c>
      <c r="H294" s="54" t="s">
        <v>31</v>
      </c>
      <c r="I294" s="54" t="s">
        <v>817</v>
      </c>
      <c r="J294" s="54" t="s">
        <v>303</v>
      </c>
      <c r="K294" s="54" t="s">
        <v>305</v>
      </c>
      <c r="L294" s="87">
        <v>42744</v>
      </c>
      <c r="M294" s="34" t="str">
        <f>IFERROR(INDEX(BASE,MATCH(tblPRINTERS[[#This Row],[CASE ID]],BASE_CASOS,0),MATCH(tblPRINTERS[[#Headers],[tratativa]],BASE_CAB,0)),"Retornar com prioridade")</f>
        <v>Retornar com prioridade</v>
      </c>
      <c r="N294" s="34" t="str">
        <f>IFERROR(INDEX(BASE,MATCH(tblPRINTERS[[#This Row],[CASE ID]],BASE_CASOS,0),MATCH(tblPRINTERS[[#Headers],[Observação]],BASE_CAB,0)),"-")</f>
        <v>-</v>
      </c>
      <c r="O294" s="34" t="str">
        <f>IFERROR(INDEX(BASE,MATCH(tblPRINTERS[[#This Row],[CASE ID]],BASE_CASOS,0),MATCH(tblPRINTERS[[#Headers],[Observação Calback]],BASE_CAB,0)),"-")</f>
        <v>-</v>
      </c>
      <c r="P294" s="42" t="str">
        <f>IF(ISERROR(INDEX(QUALIDADE,MATCH(tblPRINTERS[[#This Row],[CASE ID]],PROTOCOLO_PESQUISAS,0),MATCH("Return Time",QUALIDADE_CAB,0)))=FALSE,INDEX(QUALIDADE,MATCH(tblPRINTERS[[#This Row],[CASE ID]],PROTOCOLO_PESQUISAS,0),MATCH("Return Time",QUALIDADE_CAB,0)),"")</f>
        <v/>
      </c>
      <c r="Q294" s="34" t="str">
        <f>IF(tblPRINTERS[[#This Row],[DATA | PESQUISA RECEBIDA]]="","",PROPER(TEXT(tblPRINTERS[[#This Row],[DATA | PESQUISA RECEBIDA]],"DDDD")))</f>
        <v/>
      </c>
    </row>
    <row r="295" spans="1:17" hidden="1">
      <c r="A295" s="54">
        <v>3035433907</v>
      </c>
      <c r="B295" s="54" t="s">
        <v>500</v>
      </c>
      <c r="C295" s="90">
        <v>42740.73709116898</v>
      </c>
      <c r="D295" s="86">
        <v>42742.73709116898</v>
      </c>
      <c r="E295" s="54" t="s">
        <v>14</v>
      </c>
      <c r="F295" s="54" t="s">
        <v>19</v>
      </c>
      <c r="G295" s="54" t="s">
        <v>302</v>
      </c>
      <c r="H295" s="54" t="s">
        <v>9</v>
      </c>
      <c r="I295" s="54" t="s">
        <v>817</v>
      </c>
      <c r="J295" s="54" t="s">
        <v>303</v>
      </c>
      <c r="K295" s="54" t="s">
        <v>305</v>
      </c>
      <c r="L295" s="87">
        <v>42744</v>
      </c>
      <c r="M295" s="34" t="str">
        <f>IFERROR(INDEX(BASE,MATCH(tblPRINTERS[[#This Row],[CASE ID]],BASE_CASOS,0),MATCH(tblPRINTERS[[#Headers],[tratativa]],BASE_CAB,0)),"Retornar com prioridade")</f>
        <v>Responder pesquisa</v>
      </c>
      <c r="N295" s="34" t="str">
        <f>IFERROR(INDEX(BASE,MATCH(tblPRINTERS[[#This Row],[CASE ID]],BASE_CASOS,0),MATCH(tblPRINTERS[[#Headers],[Observação]],BASE_CAB,0)),"-")</f>
        <v>Nota 9/10</v>
      </c>
      <c r="O295" s="34" t="str">
        <f>IFERROR(INDEX(BASE,MATCH(tblPRINTERS[[#This Row],[CASE ID]],BASE_CASOS,0),MATCH(tblPRINTERS[[#Headers],[Observação Calback]],BASE_CAB,0)),"-")</f>
        <v>ira responder</v>
      </c>
      <c r="P295" s="42" t="str">
        <f>IF(ISERROR(INDEX(QUALIDADE,MATCH(tblPRINTERS[[#This Row],[CASE ID]],PROTOCOLO_PESQUISAS,0),MATCH("Return Time",QUALIDADE_CAB,0)))=FALSE,INDEX(QUALIDADE,MATCH(tblPRINTERS[[#This Row],[CASE ID]],PROTOCOLO_PESQUISAS,0),MATCH("Return Time",QUALIDADE_CAB,0)),"")</f>
        <v/>
      </c>
      <c r="Q295" s="34" t="str">
        <f>IF(tblPRINTERS[[#This Row],[DATA | PESQUISA RECEBIDA]]="","",PROPER(TEXT(tblPRINTERS[[#This Row],[DATA | PESQUISA RECEBIDA]],"DDDD")))</f>
        <v/>
      </c>
    </row>
    <row r="296" spans="1:17" hidden="1">
      <c r="A296" s="54">
        <v>3035512106</v>
      </c>
      <c r="B296" s="54" t="s">
        <v>500</v>
      </c>
      <c r="C296" s="90">
        <v>42740.73709116898</v>
      </c>
      <c r="D296" s="86">
        <v>42742.73709116898</v>
      </c>
      <c r="E296" s="54" t="s">
        <v>839</v>
      </c>
      <c r="F296" s="54" t="s">
        <v>839</v>
      </c>
      <c r="G296" s="54" t="s">
        <v>301</v>
      </c>
      <c r="H296" s="54" t="s">
        <v>256</v>
      </c>
      <c r="I296" s="54" t="s">
        <v>817</v>
      </c>
      <c r="J296" s="54" t="s">
        <v>304</v>
      </c>
      <c r="K296" s="54" t="s">
        <v>2156</v>
      </c>
      <c r="L296" s="87"/>
      <c r="M296" s="34" t="str">
        <f>IFERROR(INDEX(BASE,MATCH(tblPRINTERS[[#This Row],[CASE ID]],BASE_CASOS,0),MATCH(tblPRINTERS[[#Headers],[tratativa]],BASE_CAB,0)),"Retornar com prioridade")</f>
        <v>Não responder pesquisa</v>
      </c>
      <c r="N296" s="34" t="str">
        <f>IFERROR(INDEX(BASE,MATCH(tblPRINTERS[[#This Row],[CASE ID]],BASE_CASOS,0),MATCH(tblPRINTERS[[#Headers],[Observação]],BASE_CAB,0)),"-")</f>
        <v>Caso não resolvido / Equipamento em reparo</v>
      </c>
      <c r="O296" s="34" t="str">
        <f>IFERROR(INDEX(BASE,MATCH(tblPRINTERS[[#This Row],[CASE ID]],BASE_CASOS,0),MATCH(tblPRINTERS[[#Headers],[Observação Calback]],BASE_CAB,0)),"-")</f>
        <v>agendar retorno segunda, ate as 18h, problema qualidade de impressao.</v>
      </c>
      <c r="P296" s="42" t="str">
        <f>IF(ISERROR(INDEX(QUALIDADE,MATCH(tblPRINTERS[[#This Row],[CASE ID]],PROTOCOLO_PESQUISAS,0),MATCH("Return Time",QUALIDADE_CAB,0)))=FALSE,INDEX(QUALIDADE,MATCH(tblPRINTERS[[#This Row],[CASE ID]],PROTOCOLO_PESQUISAS,0),MATCH("Return Time",QUALIDADE_CAB,0)),"")</f>
        <v/>
      </c>
      <c r="Q296" s="34" t="str">
        <f>IF(tblPRINTERS[[#This Row],[DATA | PESQUISA RECEBIDA]]="","",PROPER(TEXT(tblPRINTERS[[#This Row],[DATA | PESQUISA RECEBIDA]],"DDDD")))</f>
        <v/>
      </c>
    </row>
    <row r="297" spans="1:17" hidden="1">
      <c r="A297" s="54">
        <v>3035510090</v>
      </c>
      <c r="B297" s="54" t="s">
        <v>500</v>
      </c>
      <c r="C297" s="90">
        <v>42740.73709116898</v>
      </c>
      <c r="D297" s="86">
        <v>42742.73709116898</v>
      </c>
      <c r="E297" s="54" t="s">
        <v>560</v>
      </c>
      <c r="F297" s="54" t="s">
        <v>560</v>
      </c>
      <c r="G297" s="54" t="s">
        <v>301</v>
      </c>
      <c r="H297" s="54" t="s">
        <v>256</v>
      </c>
      <c r="I297" s="54" t="s">
        <v>817</v>
      </c>
      <c r="J297" s="54" t="s">
        <v>304</v>
      </c>
      <c r="K297" s="54" t="s">
        <v>2150</v>
      </c>
      <c r="L297" s="87">
        <v>42744</v>
      </c>
      <c r="M297" s="34" t="str">
        <f>IFERROR(INDEX(BASE,MATCH(tblPRINTERS[[#This Row],[CASE ID]],BASE_CASOS,0),MATCH(tblPRINTERS[[#Headers],[tratativa]],BASE_CAB,0)),"Retornar com prioridade")</f>
        <v>Responder pesquisa</v>
      </c>
      <c r="N297" s="34" t="str">
        <f>IFERROR(INDEX(BASE,MATCH(tblPRINTERS[[#This Row],[CASE ID]],BASE_CASOS,0),MATCH(tblPRINTERS[[#Headers],[Observação]],BASE_CAB,0)),"-")</f>
        <v>Nota 9/10</v>
      </c>
      <c r="O297" s="34" t="str">
        <f>IFERROR(INDEX(BASE,MATCH(tblPRINTERS[[#This Row],[CASE ID]],BASE_CASOS,0),MATCH(tblPRINTERS[[#Headers],[Observação Calback]],BASE_CAB,0)),"-")</f>
        <v>ira responder</v>
      </c>
      <c r="P297" s="42" t="str">
        <f>IF(ISERROR(INDEX(QUALIDADE,MATCH(tblPRINTERS[[#This Row],[CASE ID]],PROTOCOLO_PESQUISAS,0),MATCH("Return Time",QUALIDADE_CAB,0)))=FALSE,INDEX(QUALIDADE,MATCH(tblPRINTERS[[#This Row],[CASE ID]],PROTOCOLO_PESQUISAS,0),MATCH("Return Time",QUALIDADE_CAB,0)),"")</f>
        <v/>
      </c>
      <c r="Q297" s="34" t="str">
        <f>IF(tblPRINTERS[[#This Row],[DATA | PESQUISA RECEBIDA]]="","",PROPER(TEXT(tblPRINTERS[[#This Row],[DATA | PESQUISA RECEBIDA]],"DDDD")))</f>
        <v/>
      </c>
    </row>
    <row r="298" spans="1:17" hidden="1">
      <c r="A298" s="54">
        <v>3035361871</v>
      </c>
      <c r="B298" s="54" t="s">
        <v>500</v>
      </c>
      <c r="C298" s="90">
        <v>42740.73709116898</v>
      </c>
      <c r="D298" s="86">
        <v>42742.73709116898</v>
      </c>
      <c r="E298" s="54" t="s">
        <v>584</v>
      </c>
      <c r="F298" s="54" t="s">
        <v>21</v>
      </c>
      <c r="G298" s="54" t="s">
        <v>302</v>
      </c>
      <c r="H298" s="54" t="s">
        <v>273</v>
      </c>
      <c r="I298" s="54" t="s">
        <v>817</v>
      </c>
      <c r="J298" s="54" t="s">
        <v>303</v>
      </c>
      <c r="K298" s="54" t="s">
        <v>305</v>
      </c>
      <c r="L298" s="87">
        <v>42744</v>
      </c>
      <c r="M298" s="34" t="str">
        <f>IFERROR(INDEX(BASE,MATCH(tblPRINTERS[[#This Row],[CASE ID]],BASE_CASOS,0),MATCH(tblPRINTERS[[#Headers],[tratativa]],BASE_CAB,0)),"Retornar com prioridade")</f>
        <v>Sem contato</v>
      </c>
      <c r="N298" s="34" t="str">
        <f>IFERROR(INDEX(BASE,MATCH(tblPRINTERS[[#This Row],[CASE ID]],BASE_CASOS,0),MATCH(tblPRINTERS[[#Headers],[Observação]],BASE_CAB,0)),"-")</f>
        <v>Sem contato (Só chama, Cx postal, Ocupado)</v>
      </c>
      <c r="O298" s="34" t="str">
        <f>IFERROR(INDEX(BASE,MATCH(tblPRINTERS[[#This Row],[CASE ID]],BASE_CASOS,0),MATCH(tblPRINTERS[[#Headers],[Observação Calback]],BASE_CAB,0)),"-")</f>
        <v>so chama</v>
      </c>
      <c r="P298" s="42" t="str">
        <f>IF(ISERROR(INDEX(QUALIDADE,MATCH(tblPRINTERS[[#This Row],[CASE ID]],PROTOCOLO_PESQUISAS,0),MATCH("Return Time",QUALIDADE_CAB,0)))=FALSE,INDEX(QUALIDADE,MATCH(tblPRINTERS[[#This Row],[CASE ID]],PROTOCOLO_PESQUISAS,0),MATCH("Return Time",QUALIDADE_CAB,0)),"")</f>
        <v/>
      </c>
      <c r="Q298" s="34" t="str">
        <f>IF(tblPRINTERS[[#This Row],[DATA | PESQUISA RECEBIDA]]="","",PROPER(TEXT(tblPRINTERS[[#This Row],[DATA | PESQUISA RECEBIDA]],"DDDD")))</f>
        <v/>
      </c>
    </row>
    <row r="299" spans="1:17" hidden="1">
      <c r="A299" s="54">
        <v>3035509181</v>
      </c>
      <c r="B299" s="54" t="s">
        <v>500</v>
      </c>
      <c r="C299" s="90">
        <v>42740.73709116898</v>
      </c>
      <c r="D299" s="86">
        <v>42742.73709116898</v>
      </c>
      <c r="E299" s="54" t="s">
        <v>2140</v>
      </c>
      <c r="F299" s="54" t="s">
        <v>2140</v>
      </c>
      <c r="G299" s="54" t="s">
        <v>301</v>
      </c>
      <c r="H299" s="54" t="s">
        <v>256</v>
      </c>
      <c r="I299" s="54" t="s">
        <v>817</v>
      </c>
      <c r="J299" s="54" t="s">
        <v>303</v>
      </c>
      <c r="K299" s="54" t="s">
        <v>305</v>
      </c>
      <c r="L299" s="87">
        <v>42744</v>
      </c>
      <c r="M299" s="34" t="str">
        <f>IFERROR(INDEX(BASE,MATCH(tblPRINTERS[[#This Row],[CASE ID]],BASE_CASOS,0),MATCH(tblPRINTERS[[#Headers],[tratativa]],BASE_CAB,0)),"Retornar com prioridade")</f>
        <v>Responder pesquisa</v>
      </c>
      <c r="N299" s="34" t="str">
        <f>IFERROR(INDEX(BASE,MATCH(tblPRINTERS[[#This Row],[CASE ID]],BASE_CASOS,0),MATCH(tblPRINTERS[[#Headers],[Observação]],BASE_CAB,0)),"-")</f>
        <v>Nota 9/10</v>
      </c>
      <c r="O299" s="34" t="str">
        <f>IFERROR(INDEX(BASE,MATCH(tblPRINTERS[[#This Row],[CASE ID]],BASE_CASOS,0),MATCH(tblPRINTERS[[#Headers],[Observação Calback]],BASE_CAB,0)),"-")</f>
        <v>ira responder</v>
      </c>
      <c r="P299" s="42" t="str">
        <f>IF(ISERROR(INDEX(QUALIDADE,MATCH(tblPRINTERS[[#This Row],[CASE ID]],PROTOCOLO_PESQUISAS,0),MATCH("Return Time",QUALIDADE_CAB,0)))=FALSE,INDEX(QUALIDADE,MATCH(tblPRINTERS[[#This Row],[CASE ID]],PROTOCOLO_PESQUISAS,0),MATCH("Return Time",QUALIDADE_CAB,0)),"")</f>
        <v/>
      </c>
      <c r="Q299" s="34" t="str">
        <f>IF(tblPRINTERS[[#This Row],[DATA | PESQUISA RECEBIDA]]="","",PROPER(TEXT(tblPRINTERS[[#This Row],[DATA | PESQUISA RECEBIDA]],"DDDD")))</f>
        <v/>
      </c>
    </row>
    <row r="300" spans="1:17" hidden="1">
      <c r="A300" s="54">
        <v>3035486592</v>
      </c>
      <c r="B300" s="54" t="s">
        <v>500</v>
      </c>
      <c r="C300" s="90">
        <v>42740.73709116898</v>
      </c>
      <c r="D300" s="86">
        <v>42742.73709116898</v>
      </c>
      <c r="E300" s="54" t="s">
        <v>1537</v>
      </c>
      <c r="F300" s="54" t="s">
        <v>47</v>
      </c>
      <c r="G300" s="54" t="s">
        <v>302</v>
      </c>
      <c r="H300" s="54" t="s">
        <v>23</v>
      </c>
      <c r="I300" s="54" t="s">
        <v>815</v>
      </c>
      <c r="J300" s="54" t="s">
        <v>303</v>
      </c>
      <c r="K300" s="54" t="s">
        <v>4026</v>
      </c>
      <c r="L300" s="87">
        <v>42744</v>
      </c>
      <c r="M300" s="34" t="str">
        <f>IFERROR(INDEX(BASE,MATCH(tblPRINTERS[[#This Row],[CASE ID]],BASE_CASOS,0),MATCH(tblPRINTERS[[#Headers],[tratativa]],BASE_CAB,0)),"Retornar com prioridade")</f>
        <v>Sem contato</v>
      </c>
      <c r="N300" s="34" t="str">
        <f>IFERROR(INDEX(BASE,MATCH(tblPRINTERS[[#This Row],[CASE ID]],BASE_CASOS,0),MATCH(tblPRINTERS[[#Headers],[Observação]],BASE_CAB,0)),"-")</f>
        <v>Sem contato (Só chama, Cx postal, Ocupado)</v>
      </c>
      <c r="O300" s="34" t="str">
        <f>IFERROR(INDEX(BASE,MATCH(tblPRINTERS[[#This Row],[CASE ID]],BASE_CASOS,0),MATCH(tblPRINTERS[[#Headers],[Observação Calback]],BASE_CAB,0)),"-")</f>
        <v>retornar as 13 30</v>
      </c>
      <c r="P300" s="42" t="str">
        <f>IF(ISERROR(INDEX(QUALIDADE,MATCH(tblPRINTERS[[#This Row],[CASE ID]],PROTOCOLO_PESQUISAS,0),MATCH("Return Time",QUALIDADE_CAB,0)))=FALSE,INDEX(QUALIDADE,MATCH(tblPRINTERS[[#This Row],[CASE ID]],PROTOCOLO_PESQUISAS,0),MATCH("Return Time",QUALIDADE_CAB,0)),"")</f>
        <v/>
      </c>
      <c r="Q300" s="34" t="str">
        <f>IF(tblPRINTERS[[#This Row],[DATA | PESQUISA RECEBIDA]]="","",PROPER(TEXT(tblPRINTERS[[#This Row],[DATA | PESQUISA RECEBIDA]],"DDDD")))</f>
        <v/>
      </c>
    </row>
    <row r="301" spans="1:17" hidden="1">
      <c r="A301" s="54">
        <v>3035509577</v>
      </c>
      <c r="B301" s="54" t="s">
        <v>500</v>
      </c>
      <c r="C301" s="90">
        <v>42740.73709116898</v>
      </c>
      <c r="D301" s="86">
        <v>42742.73709116898</v>
      </c>
      <c r="E301" s="54" t="s">
        <v>2141</v>
      </c>
      <c r="F301" s="54" t="s">
        <v>2141</v>
      </c>
      <c r="G301" s="54" t="s">
        <v>301</v>
      </c>
      <c r="H301" s="54" t="s">
        <v>273</v>
      </c>
      <c r="I301" s="54" t="s">
        <v>817</v>
      </c>
      <c r="J301" s="54" t="s">
        <v>303</v>
      </c>
      <c r="K301" s="54" t="s">
        <v>305</v>
      </c>
      <c r="L301" s="87">
        <v>42744</v>
      </c>
      <c r="M301" s="34" t="str">
        <f>IFERROR(INDEX(BASE,MATCH(tblPRINTERS[[#This Row],[CASE ID]],BASE_CASOS,0),MATCH(tblPRINTERS[[#Headers],[tratativa]],BASE_CAB,0)),"Retornar com prioridade")</f>
        <v>Sem contato</v>
      </c>
      <c r="N301" s="34" t="str">
        <f>IFERROR(INDEX(BASE,MATCH(tblPRINTERS[[#This Row],[CASE ID]],BASE_CASOS,0),MATCH(tblPRINTERS[[#Headers],[Observação]],BASE_CAB,0)),"-")</f>
        <v>Sem contato (Só chama, Cx postal, Ocupado)</v>
      </c>
      <c r="O301" s="34" t="str">
        <f>IFERROR(INDEX(BASE,MATCH(tblPRINTERS[[#This Row],[CASE ID]],BASE_CASOS,0),MATCH(tblPRINTERS[[#Headers],[Observação Calback]],BASE_CAB,0)),"-")</f>
        <v>so chama</v>
      </c>
      <c r="P301" s="42" t="str">
        <f>IF(ISERROR(INDEX(QUALIDADE,MATCH(tblPRINTERS[[#This Row],[CASE ID]],PROTOCOLO_PESQUISAS,0),MATCH("Return Time",QUALIDADE_CAB,0)))=FALSE,INDEX(QUALIDADE,MATCH(tblPRINTERS[[#This Row],[CASE ID]],PROTOCOLO_PESQUISAS,0),MATCH("Return Time",QUALIDADE_CAB,0)),"")</f>
        <v/>
      </c>
      <c r="Q301" s="34" t="str">
        <f>IF(tblPRINTERS[[#This Row],[DATA | PESQUISA RECEBIDA]]="","",PROPER(TEXT(tblPRINTERS[[#This Row],[DATA | PESQUISA RECEBIDA]],"DDDD")))</f>
        <v/>
      </c>
    </row>
    <row r="302" spans="1:17" hidden="1">
      <c r="A302" s="54">
        <v>3035201136</v>
      </c>
      <c r="B302" s="54" t="s">
        <v>500</v>
      </c>
      <c r="C302" s="90">
        <v>42740.73709116898</v>
      </c>
      <c r="D302" s="86">
        <v>42742.73709116898</v>
      </c>
      <c r="E302" s="54" t="s">
        <v>41</v>
      </c>
      <c r="F302" s="54" t="s">
        <v>43</v>
      </c>
      <c r="G302" s="54" t="s">
        <v>302</v>
      </c>
      <c r="H302" s="54" t="s">
        <v>39</v>
      </c>
      <c r="I302" s="54" t="s">
        <v>817</v>
      </c>
      <c r="J302" s="54" t="s">
        <v>304</v>
      </c>
      <c r="K302" s="54" t="s">
        <v>840</v>
      </c>
      <c r="L302" s="87">
        <v>42744</v>
      </c>
      <c r="M302" s="34" t="str">
        <f>IFERROR(INDEX(BASE,MATCH(tblPRINTERS[[#This Row],[CASE ID]],BASE_CASOS,0),MATCH(tblPRINTERS[[#Headers],[tratativa]],BASE_CAB,0)),"Retornar com prioridade")</f>
        <v>Retornar com prioridade</v>
      </c>
      <c r="N302" s="34" t="str">
        <f>IFERROR(INDEX(BASE,MATCH(tblPRINTERS[[#This Row],[CASE ID]],BASE_CASOS,0),MATCH(tblPRINTERS[[#Headers],[Observação]],BASE_CAB,0)),"-")</f>
        <v>-</v>
      </c>
      <c r="O302" s="34" t="str">
        <f>IFERROR(INDEX(BASE,MATCH(tblPRINTERS[[#This Row],[CASE ID]],BASE_CASOS,0),MATCH(tblPRINTERS[[#Headers],[Observação Calback]],BASE_CAB,0)),"-")</f>
        <v>-</v>
      </c>
      <c r="P302" s="42" t="str">
        <f>IF(ISERROR(INDEX(QUALIDADE,MATCH(tblPRINTERS[[#This Row],[CASE ID]],PROTOCOLO_PESQUISAS,0),MATCH("Return Time",QUALIDADE_CAB,0)))=FALSE,INDEX(QUALIDADE,MATCH(tblPRINTERS[[#This Row],[CASE ID]],PROTOCOLO_PESQUISAS,0),MATCH("Return Time",QUALIDADE_CAB,0)),"")</f>
        <v/>
      </c>
      <c r="Q302" s="34" t="str">
        <f>IF(tblPRINTERS[[#This Row],[DATA | PESQUISA RECEBIDA]]="","",PROPER(TEXT(tblPRINTERS[[#This Row],[DATA | PESQUISA RECEBIDA]],"DDDD")))</f>
        <v/>
      </c>
    </row>
    <row r="303" spans="1:17" hidden="1">
      <c r="A303" s="54">
        <v>3035298878</v>
      </c>
      <c r="B303" s="54" t="s">
        <v>500</v>
      </c>
      <c r="C303" s="90">
        <v>42740.73709116898</v>
      </c>
      <c r="D303" s="86">
        <v>42742.73709116898</v>
      </c>
      <c r="E303" s="54" t="s">
        <v>599</v>
      </c>
      <c r="F303" s="54" t="s">
        <v>21</v>
      </c>
      <c r="G303" s="54" t="s">
        <v>302</v>
      </c>
      <c r="H303" s="54" t="s">
        <v>273</v>
      </c>
      <c r="I303" s="54" t="s">
        <v>817</v>
      </c>
      <c r="J303" s="54" t="s">
        <v>303</v>
      </c>
      <c r="K303" s="54" t="s">
        <v>305</v>
      </c>
      <c r="L303" s="87">
        <v>42744</v>
      </c>
      <c r="M303" s="34" t="str">
        <f>IFERROR(INDEX(BASE,MATCH(tblPRINTERS[[#This Row],[CASE ID]],BASE_CASOS,0),MATCH(tblPRINTERS[[#Headers],[tratativa]],BASE_CAB,0)),"Retornar com prioridade")</f>
        <v>Sem contato</v>
      </c>
      <c r="N303" s="34" t="str">
        <f>IFERROR(INDEX(BASE,MATCH(tblPRINTERS[[#This Row],[CASE ID]],BASE_CASOS,0),MATCH(tblPRINTERS[[#Headers],[Observação]],BASE_CAB,0)),"-")</f>
        <v>Sem contato (Só chama, Cx postal, Ocupado)</v>
      </c>
      <c r="O303" s="34" t="str">
        <f>IFERROR(INDEX(BASE,MATCH(tblPRINTERS[[#This Row],[CASE ID]],BASE_CASOS,0),MATCH(tblPRINTERS[[#Headers],[Observação Calback]],BASE_CAB,0)),"-")</f>
        <v>revenda</v>
      </c>
      <c r="P303" s="42" t="str">
        <f>IF(ISERROR(INDEX(QUALIDADE,MATCH(tblPRINTERS[[#This Row],[CASE ID]],PROTOCOLO_PESQUISAS,0),MATCH("Return Time",QUALIDADE_CAB,0)))=FALSE,INDEX(QUALIDADE,MATCH(tblPRINTERS[[#This Row],[CASE ID]],PROTOCOLO_PESQUISAS,0),MATCH("Return Time",QUALIDADE_CAB,0)),"")</f>
        <v/>
      </c>
      <c r="Q303" s="34" t="str">
        <f>IF(tblPRINTERS[[#This Row],[DATA | PESQUISA RECEBIDA]]="","",PROPER(TEXT(tblPRINTERS[[#This Row],[DATA | PESQUISA RECEBIDA]],"DDDD")))</f>
        <v/>
      </c>
    </row>
    <row r="304" spans="1:17" hidden="1">
      <c r="A304" s="54">
        <v>3035520790</v>
      </c>
      <c r="B304" s="54" t="s">
        <v>500</v>
      </c>
      <c r="C304" s="90">
        <v>42740.73709116898</v>
      </c>
      <c r="D304" s="86">
        <v>42742.73709116898</v>
      </c>
      <c r="E304" s="54" t="s">
        <v>22</v>
      </c>
      <c r="F304" s="54" t="s">
        <v>22</v>
      </c>
      <c r="G304" s="54" t="s">
        <v>301</v>
      </c>
      <c r="H304" s="54" t="s">
        <v>23</v>
      </c>
      <c r="I304" s="54" t="s">
        <v>817</v>
      </c>
      <c r="J304" s="54" t="s">
        <v>304</v>
      </c>
      <c r="K304" s="54" t="s">
        <v>2149</v>
      </c>
      <c r="L304" s="87">
        <v>42744</v>
      </c>
      <c r="M304" s="34" t="str">
        <f>IFERROR(INDEX(BASE,MATCH(tblPRINTERS[[#This Row],[CASE ID]],BASE_CASOS,0),MATCH(tblPRINTERS[[#Headers],[tratativa]],BASE_CAB,0)),"Retornar com prioridade")</f>
        <v>Sem contato</v>
      </c>
      <c r="N304" s="34" t="str">
        <f>IFERROR(INDEX(BASE,MATCH(tblPRINTERS[[#This Row],[CASE ID]],BASE_CASOS,0),MATCH(tblPRINTERS[[#Headers],[Observação]],BASE_CAB,0)),"-")</f>
        <v>Sem contato (Só chama, Cx postal, Ocupado)</v>
      </c>
      <c r="O304" s="34" t="str">
        <f>IFERROR(INDEX(BASE,MATCH(tblPRINTERS[[#This Row],[CASE ID]],BASE_CASOS,0),MATCH(tblPRINTERS[[#Headers],[Observação Calback]],BASE_CAB,0)),"-")</f>
        <v>so chama</v>
      </c>
      <c r="P304" s="42" t="str">
        <f>IF(ISERROR(INDEX(QUALIDADE,MATCH(tblPRINTERS[[#This Row],[CASE ID]],PROTOCOLO_PESQUISAS,0),MATCH("Return Time",QUALIDADE_CAB,0)))=FALSE,INDEX(QUALIDADE,MATCH(tblPRINTERS[[#This Row],[CASE ID]],PROTOCOLO_PESQUISAS,0),MATCH("Return Time",QUALIDADE_CAB,0)),"")</f>
        <v/>
      </c>
      <c r="Q304" s="34" t="str">
        <f>IF(tblPRINTERS[[#This Row],[DATA | PESQUISA RECEBIDA]]="","",PROPER(TEXT(tblPRINTERS[[#This Row],[DATA | PESQUISA RECEBIDA]],"DDDD")))</f>
        <v/>
      </c>
    </row>
    <row r="305" spans="1:17" hidden="1">
      <c r="A305" s="54">
        <v>3035524843</v>
      </c>
      <c r="B305" s="54" t="s">
        <v>500</v>
      </c>
      <c r="C305" s="90">
        <v>42740.73709116898</v>
      </c>
      <c r="D305" s="86">
        <v>42742.73709116898</v>
      </c>
      <c r="E305" s="54" t="s">
        <v>1537</v>
      </c>
      <c r="F305" s="54" t="s">
        <v>1537</v>
      </c>
      <c r="G305" s="54" t="s">
        <v>301</v>
      </c>
      <c r="H305" s="54" t="s">
        <v>23</v>
      </c>
      <c r="I305" s="54" t="s">
        <v>817</v>
      </c>
      <c r="J305" s="54" t="s">
        <v>303</v>
      </c>
      <c r="K305" s="54" t="s">
        <v>305</v>
      </c>
      <c r="L305" s="87">
        <v>42744</v>
      </c>
      <c r="M305" s="34" t="str">
        <f>IFERROR(INDEX(BASE,MATCH(tblPRINTERS[[#This Row],[CASE ID]],BASE_CASOS,0),MATCH(tblPRINTERS[[#Headers],[tratativa]],BASE_CAB,0)),"Retornar com prioridade")</f>
        <v>Não responder pesquisa</v>
      </c>
      <c r="N305" s="34" t="str">
        <f>IFERROR(INDEX(BASE,MATCH(tblPRINTERS[[#This Row],[CASE ID]],BASE_CASOS,0),MATCH(tblPRINTERS[[#Headers],[Observação]],BASE_CAB,0)),"-")</f>
        <v>Caso não resolvido / Equipamento em reparo</v>
      </c>
      <c r="O305" s="34" t="str">
        <f>IFERROR(INDEX(BASE,MATCH(tblPRINTERS[[#This Row],[CASE ID]],BASE_CASOS,0),MATCH(tblPRINTERS[[#Headers],[Observação Calback]],BASE_CAB,0)),"-")</f>
        <v>ira retornar contato</v>
      </c>
      <c r="P305" s="42" t="str">
        <f>IF(ISERROR(INDEX(QUALIDADE,MATCH(tblPRINTERS[[#This Row],[CASE ID]],PROTOCOLO_PESQUISAS,0),MATCH("Return Time",QUALIDADE_CAB,0)))=FALSE,INDEX(QUALIDADE,MATCH(tblPRINTERS[[#This Row],[CASE ID]],PROTOCOLO_PESQUISAS,0),MATCH("Return Time",QUALIDADE_CAB,0)),"")</f>
        <v/>
      </c>
      <c r="Q305" s="34" t="str">
        <f>IF(tblPRINTERS[[#This Row],[DATA | PESQUISA RECEBIDA]]="","",PROPER(TEXT(tblPRINTERS[[#This Row],[DATA | PESQUISA RECEBIDA]],"DDDD")))</f>
        <v/>
      </c>
    </row>
    <row r="306" spans="1:17" hidden="1">
      <c r="A306" s="54">
        <v>3035517520</v>
      </c>
      <c r="B306" s="54" t="s">
        <v>500</v>
      </c>
      <c r="C306" s="90">
        <v>42740.73709116898</v>
      </c>
      <c r="D306" s="86">
        <v>42742.73709116898</v>
      </c>
      <c r="E306" s="54" t="s">
        <v>12</v>
      </c>
      <c r="F306" s="54" t="s">
        <v>12</v>
      </c>
      <c r="G306" s="54" t="s">
        <v>301</v>
      </c>
      <c r="H306" s="54" t="s">
        <v>9</v>
      </c>
      <c r="I306" s="54" t="s">
        <v>817</v>
      </c>
      <c r="J306" s="54" t="s">
        <v>304</v>
      </c>
      <c r="K306" s="54" t="s">
        <v>2148</v>
      </c>
      <c r="L306" s="87">
        <v>42744</v>
      </c>
      <c r="M306" s="34" t="str">
        <f>IFERROR(INDEX(BASE,MATCH(tblPRINTERS[[#This Row],[CASE ID]],BASE_CASOS,0),MATCH(tblPRINTERS[[#Headers],[tratativa]],BASE_CAB,0)),"Retornar com prioridade")</f>
        <v>Retornar com prioridade</v>
      </c>
      <c r="N306" s="34" t="str">
        <f>IFERROR(INDEX(BASE,MATCH(tblPRINTERS[[#This Row],[CASE ID]],BASE_CASOS,0),MATCH(tblPRINTERS[[#Headers],[Observação]],BASE_CAB,0)),"-")</f>
        <v>-</v>
      </c>
      <c r="O306" s="34" t="str">
        <f>IFERROR(INDEX(BASE,MATCH(tblPRINTERS[[#This Row],[CASE ID]],BASE_CASOS,0),MATCH(tblPRINTERS[[#Headers],[Observação Calback]],BASE_CAB,0)),"-")</f>
        <v>-</v>
      </c>
      <c r="P306" s="42" t="str">
        <f>IF(ISERROR(INDEX(QUALIDADE,MATCH(tblPRINTERS[[#This Row],[CASE ID]],PROTOCOLO_PESQUISAS,0),MATCH("Return Time",QUALIDADE_CAB,0)))=FALSE,INDEX(QUALIDADE,MATCH(tblPRINTERS[[#This Row],[CASE ID]],PROTOCOLO_PESQUISAS,0),MATCH("Return Time",QUALIDADE_CAB,0)),"")</f>
        <v/>
      </c>
      <c r="Q306" s="34" t="str">
        <f>IF(tblPRINTERS[[#This Row],[DATA | PESQUISA RECEBIDA]]="","",PROPER(TEXT(tblPRINTERS[[#This Row],[DATA | PESQUISA RECEBIDA]],"DDDD")))</f>
        <v/>
      </c>
    </row>
    <row r="307" spans="1:17" hidden="1">
      <c r="A307" s="54">
        <v>3035510399</v>
      </c>
      <c r="B307" s="54" t="s">
        <v>500</v>
      </c>
      <c r="C307" s="90">
        <v>42740.73709116898</v>
      </c>
      <c r="D307" s="86">
        <v>42742.73709116898</v>
      </c>
      <c r="E307" s="54" t="s">
        <v>12</v>
      </c>
      <c r="F307" s="54" t="s">
        <v>12</v>
      </c>
      <c r="G307" s="54" t="s">
        <v>301</v>
      </c>
      <c r="H307" s="54" t="s">
        <v>9</v>
      </c>
      <c r="I307" s="54" t="s">
        <v>817</v>
      </c>
      <c r="J307" s="54" t="s">
        <v>304</v>
      </c>
      <c r="K307" s="54" t="s">
        <v>2147</v>
      </c>
      <c r="L307" s="87">
        <v>42744</v>
      </c>
      <c r="M307" s="34" t="str">
        <f>IFERROR(INDEX(BASE,MATCH(tblPRINTERS[[#This Row],[CASE ID]],BASE_CASOS,0),MATCH(tblPRINTERS[[#Headers],[tratativa]],BASE_CAB,0)),"Retornar com prioridade")</f>
        <v>Retornar com prioridade</v>
      </c>
      <c r="N307" s="34" t="str">
        <f>IFERROR(INDEX(BASE,MATCH(tblPRINTERS[[#This Row],[CASE ID]],BASE_CASOS,0),MATCH(tblPRINTERS[[#Headers],[Observação]],BASE_CAB,0)),"-")</f>
        <v>-</v>
      </c>
      <c r="O307" s="34" t="str">
        <f>IFERROR(INDEX(BASE,MATCH(tblPRINTERS[[#This Row],[CASE ID]],BASE_CASOS,0),MATCH(tblPRINTERS[[#Headers],[Observação Calback]],BASE_CAB,0)),"-")</f>
        <v>-</v>
      </c>
      <c r="P307" s="42" t="str">
        <f>IF(ISERROR(INDEX(QUALIDADE,MATCH(tblPRINTERS[[#This Row],[CASE ID]],PROTOCOLO_PESQUISAS,0),MATCH("Return Time",QUALIDADE_CAB,0)))=FALSE,INDEX(QUALIDADE,MATCH(tblPRINTERS[[#This Row],[CASE ID]],PROTOCOLO_PESQUISAS,0),MATCH("Return Time",QUALIDADE_CAB,0)),"")</f>
        <v/>
      </c>
      <c r="Q307" s="34" t="str">
        <f>IF(tblPRINTERS[[#This Row],[DATA | PESQUISA RECEBIDA]]="","",PROPER(TEXT(tblPRINTERS[[#This Row],[DATA | PESQUISA RECEBIDA]],"DDDD")))</f>
        <v/>
      </c>
    </row>
    <row r="308" spans="1:17" hidden="1">
      <c r="A308" s="54">
        <v>3035528849</v>
      </c>
      <c r="B308" s="54" t="s">
        <v>500</v>
      </c>
      <c r="C308" s="90">
        <v>42740.73709116898</v>
      </c>
      <c r="D308" s="86">
        <v>42742.73709116898</v>
      </c>
      <c r="E308" s="54" t="s">
        <v>24</v>
      </c>
      <c r="F308" s="54" t="s">
        <v>24</v>
      </c>
      <c r="G308" s="54" t="s">
        <v>301</v>
      </c>
      <c r="H308" s="54" t="s">
        <v>23</v>
      </c>
      <c r="I308" s="54" t="s">
        <v>815</v>
      </c>
      <c r="J308" s="54" t="s">
        <v>303</v>
      </c>
      <c r="K308" s="54" t="s">
        <v>305</v>
      </c>
      <c r="L308" s="87">
        <v>42744</v>
      </c>
      <c r="M308" s="34" t="str">
        <f>IFERROR(INDEX(BASE,MATCH(tblPRINTERS[[#This Row],[CASE ID]],BASE_CASOS,0),MATCH(tblPRINTERS[[#Headers],[tratativa]],BASE_CAB,0)),"Retornar com prioridade")</f>
        <v>Sem contato</v>
      </c>
      <c r="N308" s="34" t="str">
        <f>IFERROR(INDEX(BASE,MATCH(tblPRINTERS[[#This Row],[CASE ID]],BASE_CASOS,0),MATCH(tblPRINTERS[[#Headers],[Observação]],BASE_CAB,0)),"-")</f>
        <v>Sem contato (Só chama, Cx postal, Ocupado)</v>
      </c>
      <c r="O308" s="34" t="str">
        <f>IFERROR(INDEX(BASE,MATCH(tblPRINTERS[[#This Row],[CASE ID]],BASE_CASOS,0),MATCH(tblPRINTERS[[#Headers],[Observação Calback]],BASE_CAB,0)),"-")</f>
        <v>so chama</v>
      </c>
      <c r="P308" s="42" t="str">
        <f>IF(ISERROR(INDEX(QUALIDADE,MATCH(tblPRINTERS[[#This Row],[CASE ID]],PROTOCOLO_PESQUISAS,0),MATCH("Return Time",QUALIDADE_CAB,0)))=FALSE,INDEX(QUALIDADE,MATCH(tblPRINTERS[[#This Row],[CASE ID]],PROTOCOLO_PESQUISAS,0),MATCH("Return Time",QUALIDADE_CAB,0)),"")</f>
        <v/>
      </c>
      <c r="Q308" s="34" t="str">
        <f>IF(tblPRINTERS[[#This Row],[DATA | PESQUISA RECEBIDA]]="","",PROPER(TEXT(tblPRINTERS[[#This Row],[DATA | PESQUISA RECEBIDA]],"DDDD")))</f>
        <v/>
      </c>
    </row>
    <row r="309" spans="1:17" hidden="1">
      <c r="A309" s="54">
        <v>3035517801</v>
      </c>
      <c r="B309" s="54" t="s">
        <v>500</v>
      </c>
      <c r="C309" s="90">
        <v>42740.73709116898</v>
      </c>
      <c r="D309" s="86">
        <v>42742.73709116898</v>
      </c>
      <c r="E309" s="54" t="s">
        <v>34</v>
      </c>
      <c r="F309" s="54" t="s">
        <v>34</v>
      </c>
      <c r="G309" s="54" t="s">
        <v>301</v>
      </c>
      <c r="H309" s="54" t="s">
        <v>31</v>
      </c>
      <c r="I309" s="54" t="s">
        <v>817</v>
      </c>
      <c r="J309" s="54" t="s">
        <v>303</v>
      </c>
      <c r="K309" s="54" t="s">
        <v>305</v>
      </c>
      <c r="L309" s="87">
        <v>42744</v>
      </c>
      <c r="M309" s="34" t="str">
        <f>IFERROR(INDEX(BASE,MATCH(tblPRINTERS[[#This Row],[CASE ID]],BASE_CASOS,0),MATCH(tblPRINTERS[[#Headers],[tratativa]],BASE_CAB,0)),"Retornar com prioridade")</f>
        <v>Sem contato</v>
      </c>
      <c r="N309" s="34" t="str">
        <f>IFERROR(INDEX(BASE,MATCH(tblPRINTERS[[#This Row],[CASE ID]],BASE_CASOS,0),MATCH(tblPRINTERS[[#Headers],[Observação]],BASE_CAB,0)),"-")</f>
        <v>Sem contato (Só chama, Cx postal, Ocupado)</v>
      </c>
      <c r="O309" s="34" t="str">
        <f>IFERROR(INDEX(BASE,MATCH(tblPRINTERS[[#This Row],[CASE ID]],BASE_CASOS,0),MATCH(tblPRINTERS[[#Headers],[Observação Calback]],BASE_CAB,0)),"-")</f>
        <v>so 1 tel</v>
      </c>
      <c r="P309" s="42" t="str">
        <f>IF(ISERROR(INDEX(QUALIDADE,MATCH(tblPRINTERS[[#This Row],[CASE ID]],PROTOCOLO_PESQUISAS,0),MATCH("Return Time",QUALIDADE_CAB,0)))=FALSE,INDEX(QUALIDADE,MATCH(tblPRINTERS[[#This Row],[CASE ID]],PROTOCOLO_PESQUISAS,0),MATCH("Return Time",QUALIDADE_CAB,0)),"")</f>
        <v/>
      </c>
      <c r="Q309" s="34" t="str">
        <f>IF(tblPRINTERS[[#This Row],[DATA | PESQUISA RECEBIDA]]="","",PROPER(TEXT(tblPRINTERS[[#This Row],[DATA | PESQUISA RECEBIDA]],"DDDD")))</f>
        <v/>
      </c>
    </row>
    <row r="310" spans="1:17" hidden="1">
      <c r="A310" s="54">
        <v>3035172415</v>
      </c>
      <c r="B310" s="54" t="s">
        <v>500</v>
      </c>
      <c r="C310" s="90">
        <v>42739.73704378472</v>
      </c>
      <c r="D310" s="86">
        <v>42741.73704378472</v>
      </c>
      <c r="E310" s="54" t="s">
        <v>26</v>
      </c>
      <c r="F310" s="54" t="s">
        <v>47</v>
      </c>
      <c r="G310" s="54" t="s">
        <v>302</v>
      </c>
      <c r="H310" s="54" t="s">
        <v>23</v>
      </c>
      <c r="I310" s="54" t="s">
        <v>811</v>
      </c>
      <c r="J310" s="54" t="s">
        <v>303</v>
      </c>
      <c r="K310" s="54" t="s">
        <v>1551</v>
      </c>
      <c r="L310" s="87">
        <v>42742.470138888886</v>
      </c>
      <c r="M310" s="34" t="str">
        <f>IFERROR(INDEX(BASE,MATCH(tblPRINTERS[[#This Row],[CASE ID]],BASE_CASOS,0),MATCH(tblPRINTERS[[#Headers],[tratativa]],BASE_CAB,0)),"Retornar com prioridade")</f>
        <v>Não responder pesquisa</v>
      </c>
      <c r="N310" s="34" t="str">
        <f>IFERROR(INDEX(BASE,MATCH(tblPRINTERS[[#This Row],[CASE ID]],BASE_CASOS,0),MATCH(tblPRINTERS[[#Headers],[Observação]],BASE_CAB,0)),"-")</f>
        <v>Caso não resolvido / Equipamento em reparo</v>
      </c>
      <c r="O310" s="34" t="str">
        <f>IFERROR(INDEX(BASE,MATCH(tblPRINTERS[[#This Row],[CASE ID]],BASE_CASOS,0),MATCH(tblPRINTERS[[#Headers],[Observação Calback]],BASE_CAB,0)),"-")</f>
        <v>em reparo</v>
      </c>
      <c r="P310" s="42" t="str">
        <f>IF(ISERROR(INDEX(QUALIDADE,MATCH(tblPRINTERS[[#This Row],[CASE ID]],PROTOCOLO_PESQUISAS,0),MATCH("Return Time",QUALIDADE_CAB,0)))=FALSE,INDEX(QUALIDADE,MATCH(tblPRINTERS[[#This Row],[CASE ID]],PROTOCOLO_PESQUISAS,0),MATCH("Return Time",QUALIDADE_CAB,0)),"")</f>
        <v/>
      </c>
      <c r="Q310" s="34" t="str">
        <f>IF(tblPRINTERS[[#This Row],[DATA | PESQUISA RECEBIDA]]="","",PROPER(TEXT(tblPRINTERS[[#This Row],[DATA | PESQUISA RECEBIDA]],"DDDD")))</f>
        <v/>
      </c>
    </row>
    <row r="311" spans="1:17" hidden="1">
      <c r="A311" s="54">
        <v>3035485325</v>
      </c>
      <c r="B311" s="54" t="s">
        <v>500</v>
      </c>
      <c r="C311" s="90">
        <v>42739.73704378472</v>
      </c>
      <c r="D311" s="86">
        <v>42741.73704378472</v>
      </c>
      <c r="E311" s="54" t="s">
        <v>1525</v>
      </c>
      <c r="F311" s="54" t="s">
        <v>1525</v>
      </c>
      <c r="G311" s="54" t="s">
        <v>301</v>
      </c>
      <c r="H311" s="54" t="s">
        <v>23</v>
      </c>
      <c r="I311" s="54" t="s">
        <v>811</v>
      </c>
      <c r="J311" s="54" t="s">
        <v>303</v>
      </c>
      <c r="K311" s="56" t="s">
        <v>1552</v>
      </c>
      <c r="L311" s="87">
        <v>42742.472916666666</v>
      </c>
      <c r="M311" s="34" t="str">
        <f>IFERROR(INDEX(BASE,MATCH(tblPRINTERS[[#This Row],[CASE ID]],BASE_CASOS,0),MATCH(tblPRINTERS[[#Headers],[tratativa]],BASE_CAB,0)),"Retornar com prioridade")</f>
        <v>Sem contato</v>
      </c>
      <c r="N311" s="34" t="str">
        <f>IFERROR(INDEX(BASE,MATCH(tblPRINTERS[[#This Row],[CASE ID]],BASE_CASOS,0),MATCH(tblPRINTERS[[#Headers],[Observação]],BASE_CAB,0)),"-")</f>
        <v>Sem contato (Só chama, Cx postal, Ocupado)</v>
      </c>
      <c r="O311" s="34" t="str">
        <f>IFERROR(INDEX(BASE,MATCH(tblPRINTERS[[#This Row],[CASE ID]],BASE_CASOS,0),MATCH(tblPRINTERS[[#Headers],[Observação Calback]],BASE_CAB,0)),"-")</f>
        <v>Ambos tels. Só chamam</v>
      </c>
      <c r="P311" s="42" t="str">
        <f>IF(ISERROR(INDEX(QUALIDADE,MATCH(tblPRINTERS[[#This Row],[CASE ID]],PROTOCOLO_PESQUISAS,0),MATCH("Return Time",QUALIDADE_CAB,0)))=FALSE,INDEX(QUALIDADE,MATCH(tblPRINTERS[[#This Row],[CASE ID]],PROTOCOLO_PESQUISAS,0),MATCH("Return Time",QUALIDADE_CAB,0)),"")</f>
        <v/>
      </c>
      <c r="Q311" s="34" t="str">
        <f>IF(tblPRINTERS[[#This Row],[DATA | PESQUISA RECEBIDA]]="","",PROPER(TEXT(tblPRINTERS[[#This Row],[DATA | PESQUISA RECEBIDA]],"DDDD")))</f>
        <v/>
      </c>
    </row>
    <row r="312" spans="1:17" hidden="1">
      <c r="A312" s="54">
        <v>3035470233</v>
      </c>
      <c r="B312" s="54" t="s">
        <v>500</v>
      </c>
      <c r="C312" s="90">
        <v>42739.73704378472</v>
      </c>
      <c r="D312" s="86">
        <v>42741.73704378472</v>
      </c>
      <c r="E312" s="54" t="s">
        <v>14</v>
      </c>
      <c r="F312" s="54" t="s">
        <v>14</v>
      </c>
      <c r="G312" s="54" t="s">
        <v>301</v>
      </c>
      <c r="H312" s="54" t="s">
        <v>9</v>
      </c>
      <c r="I312" s="54" t="s">
        <v>811</v>
      </c>
      <c r="J312" s="54" t="s">
        <v>303</v>
      </c>
      <c r="K312" s="54" t="s">
        <v>1554</v>
      </c>
      <c r="L312" s="87">
        <v>42742.475694444445</v>
      </c>
      <c r="M312" s="34" t="str">
        <f>IFERROR(INDEX(BASE,MATCH(tblPRINTERS[[#This Row],[CASE ID]],BASE_CASOS,0),MATCH(tblPRINTERS[[#Headers],[tratativa]],BASE_CAB,0)),"Retornar com prioridade")</f>
        <v>Responder pesquisa</v>
      </c>
      <c r="N312" s="34" t="str">
        <f>IFERROR(INDEX(BASE,MATCH(tblPRINTERS[[#This Row],[CASE ID]],BASE_CASOS,0),MATCH(tblPRINTERS[[#Headers],[Observação]],BASE_CAB,0)),"-")</f>
        <v>Nota 9/10</v>
      </c>
      <c r="O312" s="34" t="str">
        <f>IFERROR(INDEX(BASE,MATCH(tblPRINTERS[[#This Row],[CASE ID]],BASE_CASOS,0),MATCH(tblPRINTERS[[#Headers],[Observação Calback]],BASE_CAB,0)),"-")</f>
        <v>ira responder</v>
      </c>
      <c r="P312" s="42" t="str">
        <f>IF(ISERROR(INDEX(QUALIDADE,MATCH(tblPRINTERS[[#This Row],[CASE ID]],PROTOCOLO_PESQUISAS,0),MATCH("Return Time",QUALIDADE_CAB,0)))=FALSE,INDEX(QUALIDADE,MATCH(tblPRINTERS[[#This Row],[CASE ID]],PROTOCOLO_PESQUISAS,0),MATCH("Return Time",QUALIDADE_CAB,0)),"")</f>
        <v/>
      </c>
      <c r="Q312" s="34" t="str">
        <f>IF(tblPRINTERS[[#This Row],[DATA | PESQUISA RECEBIDA]]="","",PROPER(TEXT(tblPRINTERS[[#This Row],[DATA | PESQUISA RECEBIDA]],"DDDD")))</f>
        <v/>
      </c>
    </row>
    <row r="313" spans="1:17" hidden="1">
      <c r="A313" s="54">
        <v>3035468592</v>
      </c>
      <c r="B313" s="54" t="s">
        <v>500</v>
      </c>
      <c r="C313" s="90">
        <v>42739.73704378472</v>
      </c>
      <c r="D313" s="86">
        <v>42741.73704378472</v>
      </c>
      <c r="E313" s="54" t="s">
        <v>14</v>
      </c>
      <c r="F313" s="54" t="s">
        <v>14</v>
      </c>
      <c r="G313" s="54" t="s">
        <v>301</v>
      </c>
      <c r="H313" s="54" t="s">
        <v>9</v>
      </c>
      <c r="I313" s="54" t="s">
        <v>811</v>
      </c>
      <c r="J313" s="54" t="s">
        <v>303</v>
      </c>
      <c r="K313" s="54" t="s">
        <v>1555</v>
      </c>
      <c r="L313" s="87">
        <v>42742.478472222225</v>
      </c>
      <c r="M313" s="34" t="str">
        <f>IFERROR(INDEX(BASE,MATCH(tblPRINTERS[[#This Row],[CASE ID]],BASE_CASOS,0),MATCH(tblPRINTERS[[#Headers],[tratativa]],BASE_CAB,0)),"Retornar com prioridade")</f>
        <v>Sem contato</v>
      </c>
      <c r="N313" s="34" t="str">
        <f>IFERROR(INDEX(BASE,MATCH(tblPRINTERS[[#This Row],[CASE ID]],BASE_CASOS,0),MATCH(tblPRINTERS[[#Headers],[Observação]],BASE_CAB,0)),"-")</f>
        <v>Sem contato (Só chama, Cx postal, Ocupado)</v>
      </c>
      <c r="O313" s="34" t="str">
        <f>IFERROR(INDEX(BASE,MATCH(tblPRINTERS[[#This Row],[CASE ID]],BASE_CASOS,0),MATCH(tblPRINTERS[[#Headers],[Observação Calback]],BASE_CAB,0)),"-")</f>
        <v>so chama</v>
      </c>
      <c r="P313" s="42" t="str">
        <f>IF(ISERROR(INDEX(QUALIDADE,MATCH(tblPRINTERS[[#This Row],[CASE ID]],PROTOCOLO_PESQUISAS,0),MATCH("Return Time",QUALIDADE_CAB,0)))=FALSE,INDEX(QUALIDADE,MATCH(tblPRINTERS[[#This Row],[CASE ID]],PROTOCOLO_PESQUISAS,0),MATCH("Return Time",QUALIDADE_CAB,0)),"")</f>
        <v/>
      </c>
      <c r="Q313" s="34" t="str">
        <f>IF(tblPRINTERS[[#This Row],[DATA | PESQUISA RECEBIDA]]="","",PROPER(TEXT(tblPRINTERS[[#This Row],[DATA | PESQUISA RECEBIDA]],"DDDD")))</f>
        <v/>
      </c>
    </row>
    <row r="314" spans="1:17" hidden="1">
      <c r="A314" s="54">
        <v>3035446259</v>
      </c>
      <c r="B314" s="54" t="s">
        <v>500</v>
      </c>
      <c r="C314" s="90">
        <v>42739.73704378472</v>
      </c>
      <c r="D314" s="86">
        <v>42741.73704378472</v>
      </c>
      <c r="E314" s="54" t="s">
        <v>54</v>
      </c>
      <c r="F314" s="54" t="s">
        <v>54</v>
      </c>
      <c r="G314" s="54" t="s">
        <v>301</v>
      </c>
      <c r="H314" s="54" t="s">
        <v>260</v>
      </c>
      <c r="I314" s="54" t="s">
        <v>811</v>
      </c>
      <c r="J314" s="54" t="s">
        <v>304</v>
      </c>
      <c r="K314" s="54" t="s">
        <v>1556</v>
      </c>
      <c r="L314" s="87">
        <v>42742.481249999997</v>
      </c>
      <c r="M314" s="34" t="str">
        <f>IFERROR(INDEX(BASE,MATCH(tblPRINTERS[[#This Row],[CASE ID]],BASE_CASOS,0),MATCH(tblPRINTERS[[#Headers],[tratativa]],BASE_CAB,0)),"Retornar com prioridade")</f>
        <v>Retornar com prioridade</v>
      </c>
      <c r="N314" s="34" t="str">
        <f>IFERROR(INDEX(BASE,MATCH(tblPRINTERS[[#This Row],[CASE ID]],BASE_CASOS,0),MATCH(tblPRINTERS[[#Headers],[Observação]],BASE_CAB,0)),"-")</f>
        <v>-</v>
      </c>
      <c r="O314" s="34" t="str">
        <f>IFERROR(INDEX(BASE,MATCH(tblPRINTERS[[#This Row],[CASE ID]],BASE_CASOS,0),MATCH(tblPRINTERS[[#Headers],[Observação Calback]],BASE_CAB,0)),"-")</f>
        <v>-</v>
      </c>
      <c r="P314" s="42" t="str">
        <f>IF(ISERROR(INDEX(QUALIDADE,MATCH(tblPRINTERS[[#This Row],[CASE ID]],PROTOCOLO_PESQUISAS,0),MATCH("Return Time",QUALIDADE_CAB,0)))=FALSE,INDEX(QUALIDADE,MATCH(tblPRINTERS[[#This Row],[CASE ID]],PROTOCOLO_PESQUISAS,0),MATCH("Return Time",QUALIDADE_CAB,0)),"")</f>
        <v/>
      </c>
      <c r="Q314" s="34" t="str">
        <f>IF(tblPRINTERS[[#This Row],[DATA | PESQUISA RECEBIDA]]="","",PROPER(TEXT(tblPRINTERS[[#This Row],[DATA | PESQUISA RECEBIDA]],"DDDD")))</f>
        <v/>
      </c>
    </row>
    <row r="315" spans="1:17" hidden="1">
      <c r="A315" s="54">
        <v>3035470476</v>
      </c>
      <c r="B315" s="54" t="s">
        <v>500</v>
      </c>
      <c r="C315" s="90">
        <v>42739.73704378472</v>
      </c>
      <c r="D315" s="86">
        <v>42741.73704378472</v>
      </c>
      <c r="E315" s="54" t="s">
        <v>20</v>
      </c>
      <c r="F315" s="54" t="s">
        <v>20</v>
      </c>
      <c r="G315" s="54" t="s">
        <v>301</v>
      </c>
      <c r="H315" s="54" t="s">
        <v>9</v>
      </c>
      <c r="I315" s="54" t="s">
        <v>811</v>
      </c>
      <c r="J315" s="54" t="s">
        <v>303</v>
      </c>
      <c r="K315" s="54" t="s">
        <v>1553</v>
      </c>
      <c r="L315" s="87">
        <v>42742.48333333333</v>
      </c>
      <c r="M315" s="34" t="str">
        <f>IFERROR(INDEX(BASE,MATCH(tblPRINTERS[[#This Row],[CASE ID]],BASE_CASOS,0),MATCH(tblPRINTERS[[#Headers],[tratativa]],BASE_CAB,0)),"Retornar com prioridade")</f>
        <v>Não responder pesquisa</v>
      </c>
      <c r="N315" s="34" t="str">
        <f>IFERROR(INDEX(BASE,MATCH(tblPRINTERS[[#This Row],[CASE ID]],BASE_CASOS,0),MATCH(tblPRINTERS[[#Headers],[Observação]],BASE_CAB,0)),"-")</f>
        <v>Cliente insatisfeito HP / Equipamento</v>
      </c>
      <c r="O315" s="34" t="str">
        <f>IFERROR(INDEX(BASE,MATCH(tblPRINTERS[[#This Row],[CASE ID]],BASE_CASOS,0),MATCH(tblPRINTERS[[#Headers],[Observação Calback]],BASE_CAB,0)),"-")</f>
        <v>qualidade de impressao muito ruim, não recomenda</v>
      </c>
      <c r="P315" s="42" t="str">
        <f>IF(ISERROR(INDEX(QUALIDADE,MATCH(tblPRINTERS[[#This Row],[CASE ID]],PROTOCOLO_PESQUISAS,0),MATCH("Return Time",QUALIDADE_CAB,0)))=FALSE,INDEX(QUALIDADE,MATCH(tblPRINTERS[[#This Row],[CASE ID]],PROTOCOLO_PESQUISAS,0),MATCH("Return Time",QUALIDADE_CAB,0)),"")</f>
        <v/>
      </c>
      <c r="Q315" s="34" t="str">
        <f>IF(tblPRINTERS[[#This Row],[DATA | PESQUISA RECEBIDA]]="","",PROPER(TEXT(tblPRINTERS[[#This Row],[DATA | PESQUISA RECEBIDA]],"DDDD")))</f>
        <v/>
      </c>
    </row>
    <row r="316" spans="1:17" hidden="1">
      <c r="A316" s="54">
        <v>3035481391</v>
      </c>
      <c r="B316" s="54" t="s">
        <v>500</v>
      </c>
      <c r="C316" s="90">
        <v>42739.73704378472</v>
      </c>
      <c r="D316" s="86">
        <v>42741.73704378472</v>
      </c>
      <c r="E316" s="54" t="s">
        <v>14</v>
      </c>
      <c r="F316" s="54" t="s">
        <v>14</v>
      </c>
      <c r="G316" s="54" t="s">
        <v>301</v>
      </c>
      <c r="H316" s="54" t="s">
        <v>9</v>
      </c>
      <c r="I316" s="56" t="s">
        <v>811</v>
      </c>
      <c r="J316" s="54" t="s">
        <v>303</v>
      </c>
      <c r="K316" s="54" t="s">
        <v>1560</v>
      </c>
      <c r="L316" s="87">
        <v>42742.493750000001</v>
      </c>
      <c r="M316" s="34" t="str">
        <f>IFERROR(INDEX(BASE,MATCH(tblPRINTERS[[#This Row],[CASE ID]],BASE_CASOS,0),MATCH(tblPRINTERS[[#Headers],[tratativa]],BASE_CAB,0)),"Retornar com prioridade")</f>
        <v>Responder pesquisa</v>
      </c>
      <c r="N316" s="34" t="str">
        <f>IFERROR(INDEX(BASE,MATCH(tblPRINTERS[[#This Row],[CASE ID]],BASE_CASOS,0),MATCH(tblPRINTERS[[#Headers],[Observação]],BASE_CAB,0)),"-")</f>
        <v>Nota 9/10</v>
      </c>
      <c r="O316" s="34" t="str">
        <f>IFERROR(INDEX(BASE,MATCH(tblPRINTERS[[#This Row],[CASE ID]],BASE_CASOS,0),MATCH(tblPRINTERS[[#Headers],[Observação Calback]],BASE_CAB,0)),"-")</f>
        <v>ira responder</v>
      </c>
      <c r="P316" s="42" t="str">
        <f>IF(ISERROR(INDEX(QUALIDADE,MATCH(tblPRINTERS[[#This Row],[CASE ID]],PROTOCOLO_PESQUISAS,0),MATCH("Return Time",QUALIDADE_CAB,0)))=FALSE,INDEX(QUALIDADE,MATCH(tblPRINTERS[[#This Row],[CASE ID]],PROTOCOLO_PESQUISAS,0),MATCH("Return Time",QUALIDADE_CAB,0)),"")</f>
        <v/>
      </c>
      <c r="Q316" s="34" t="str">
        <f>IF(tblPRINTERS[[#This Row],[DATA | PESQUISA RECEBIDA]]="","",PROPER(TEXT(tblPRINTERS[[#This Row],[DATA | PESQUISA RECEBIDA]],"DDDD")))</f>
        <v/>
      </c>
    </row>
    <row r="317" spans="1:17" hidden="1">
      <c r="A317" s="54">
        <v>3035490737</v>
      </c>
      <c r="B317" s="54" t="s">
        <v>500</v>
      </c>
      <c r="C317" s="90">
        <v>42739.73704378472</v>
      </c>
      <c r="D317" s="86">
        <v>42741.73704378472</v>
      </c>
      <c r="E317" s="54" t="s">
        <v>30</v>
      </c>
      <c r="F317" s="54" t="s">
        <v>30</v>
      </c>
      <c r="G317" s="54" t="s">
        <v>301</v>
      </c>
      <c r="H317" s="54" t="s">
        <v>23</v>
      </c>
      <c r="I317" s="56" t="s">
        <v>811</v>
      </c>
      <c r="J317" s="54" t="s">
        <v>304</v>
      </c>
      <c r="K317" s="54" t="s">
        <v>1562</v>
      </c>
      <c r="L317" s="87">
        <v>42742.504861111112</v>
      </c>
      <c r="M317" s="34" t="str">
        <f>IFERROR(INDEX(BASE,MATCH(tblPRINTERS[[#This Row],[CASE ID]],BASE_CASOS,0),MATCH(tblPRINTERS[[#Headers],[tratativa]],BASE_CAB,0)),"Retornar com prioridade")</f>
        <v>Não responder pesquisa</v>
      </c>
      <c r="N317" s="34" t="str">
        <f>IFERROR(INDEX(BASE,MATCH(tblPRINTERS[[#This Row],[CASE ID]],BASE_CASOS,0),MATCH(tblPRINTERS[[#Headers],[Observação]],BASE_CAB,0)),"-")</f>
        <v>Caso não resolvido / Equipamento em reparo</v>
      </c>
      <c r="O317" s="34" t="str">
        <f>IFERROR(INDEX(BASE,MATCH(tblPRINTERS[[#This Row],[CASE ID]],BASE_CASOS,0),MATCH(tblPRINTERS[[#Headers],[Observação Calback]],BASE_CAB,0)),"-")</f>
        <v>ira retornar contato</v>
      </c>
      <c r="P317" s="42" t="str">
        <f>IF(ISERROR(INDEX(QUALIDADE,MATCH(tblPRINTERS[[#This Row],[CASE ID]],PROTOCOLO_PESQUISAS,0),MATCH("Return Time",QUALIDADE_CAB,0)))=FALSE,INDEX(QUALIDADE,MATCH(tblPRINTERS[[#This Row],[CASE ID]],PROTOCOLO_PESQUISAS,0),MATCH("Return Time",QUALIDADE_CAB,0)),"")</f>
        <v/>
      </c>
      <c r="Q317" s="34" t="str">
        <f>IF(tblPRINTERS[[#This Row],[DATA | PESQUISA RECEBIDA]]="","",PROPER(TEXT(tblPRINTERS[[#This Row],[DATA | PESQUISA RECEBIDA]],"DDDD")))</f>
        <v/>
      </c>
    </row>
    <row r="318" spans="1:17" hidden="1">
      <c r="A318" s="54">
        <v>3035488726</v>
      </c>
      <c r="B318" s="54" t="s">
        <v>500</v>
      </c>
      <c r="C318" s="90">
        <v>42739.73704378472</v>
      </c>
      <c r="D318" s="86">
        <v>42741.73704378472</v>
      </c>
      <c r="E318" s="54" t="s">
        <v>46</v>
      </c>
      <c r="F318" s="54" t="s">
        <v>46</v>
      </c>
      <c r="G318" s="54" t="s">
        <v>301</v>
      </c>
      <c r="H318" s="54" t="s">
        <v>39</v>
      </c>
      <c r="I318" s="54" t="s">
        <v>811</v>
      </c>
      <c r="J318" s="54" t="s">
        <v>303</v>
      </c>
      <c r="K318" s="54" t="s">
        <v>1565</v>
      </c>
      <c r="L318" s="87">
        <v>42742.511805555558</v>
      </c>
      <c r="M318" s="34" t="str">
        <f>IFERROR(INDEX(BASE,MATCH(tblPRINTERS[[#This Row],[CASE ID]],BASE_CASOS,0),MATCH(tblPRINTERS[[#Headers],[tratativa]],BASE_CAB,0)),"Retornar com prioridade")</f>
        <v>Sem contato</v>
      </c>
      <c r="N318" s="34" t="str">
        <f>IFERROR(INDEX(BASE,MATCH(tblPRINTERS[[#This Row],[CASE ID]],BASE_CASOS,0),MATCH(tblPRINTERS[[#Headers],[Observação]],BASE_CAB,0)),"-")</f>
        <v>Sem contato (Só chama, Cx postal, Ocupado)</v>
      </c>
      <c r="O318" s="34" t="str">
        <f>IFERROR(INDEX(BASE,MATCH(tblPRINTERS[[#This Row],[CASE ID]],BASE_CASOS,0),MATCH(tblPRINTERS[[#Headers],[Observação Calback]],BASE_CAB,0)),"-")</f>
        <v>so chama</v>
      </c>
      <c r="P318" s="42" t="str">
        <f>IF(ISERROR(INDEX(QUALIDADE,MATCH(tblPRINTERS[[#This Row],[CASE ID]],PROTOCOLO_PESQUISAS,0),MATCH("Return Time",QUALIDADE_CAB,0)))=FALSE,INDEX(QUALIDADE,MATCH(tblPRINTERS[[#This Row],[CASE ID]],PROTOCOLO_PESQUISAS,0),MATCH("Return Time",QUALIDADE_CAB,0)),"")</f>
        <v/>
      </c>
      <c r="Q318" s="34" t="str">
        <f>IF(tblPRINTERS[[#This Row],[DATA | PESQUISA RECEBIDA]]="","",PROPER(TEXT(tblPRINTERS[[#This Row],[DATA | PESQUISA RECEBIDA]],"DDDD")))</f>
        <v/>
      </c>
    </row>
    <row r="319" spans="1:17" hidden="1">
      <c r="A319" s="54">
        <v>3035175005</v>
      </c>
      <c r="B319" s="54" t="s">
        <v>500</v>
      </c>
      <c r="C319" s="90">
        <v>42739.73704378472</v>
      </c>
      <c r="D319" s="86">
        <v>42741.73704378472</v>
      </c>
      <c r="E319" s="54" t="s">
        <v>29</v>
      </c>
      <c r="F319" s="54" t="s">
        <v>47</v>
      </c>
      <c r="G319" s="54" t="s">
        <v>302</v>
      </c>
      <c r="H319" s="54" t="s">
        <v>23</v>
      </c>
      <c r="I319" s="54" t="s">
        <v>811</v>
      </c>
      <c r="J319" s="54" t="s">
        <v>304</v>
      </c>
      <c r="K319" s="54" t="s">
        <v>1567</v>
      </c>
      <c r="L319" s="87">
        <v>42742.524305555555</v>
      </c>
      <c r="M319" s="34" t="str">
        <f>IFERROR(INDEX(BASE,MATCH(tblPRINTERS[[#This Row],[CASE ID]],BASE_CASOS,0),MATCH(tblPRINTERS[[#Headers],[tratativa]],BASE_CAB,0)),"Retornar com prioridade")</f>
        <v>Sem contato</v>
      </c>
      <c r="N319" s="34" t="str">
        <f>IFERROR(INDEX(BASE,MATCH(tblPRINTERS[[#This Row],[CASE ID]],BASE_CASOS,0),MATCH(tblPRINTERS[[#Headers],[Observação]],BASE_CAB,0)),"-")</f>
        <v>Sem contato (Só chama, Cx postal, Ocupado)</v>
      </c>
      <c r="O319" s="34" t="str">
        <f>IFERROR(INDEX(BASE,MATCH(tblPRINTERS[[#This Row],[CASE ID]],BASE_CASOS,0),MATCH(tblPRINTERS[[#Headers],[Observação Calback]],BASE_CAB,0)),"-")</f>
        <v>so chama</v>
      </c>
      <c r="P319" s="42" t="str">
        <f>IF(ISERROR(INDEX(QUALIDADE,MATCH(tblPRINTERS[[#This Row],[CASE ID]],PROTOCOLO_PESQUISAS,0),MATCH("Return Time",QUALIDADE_CAB,0)))=FALSE,INDEX(QUALIDADE,MATCH(tblPRINTERS[[#This Row],[CASE ID]],PROTOCOLO_PESQUISAS,0),MATCH("Return Time",QUALIDADE_CAB,0)),"")</f>
        <v/>
      </c>
      <c r="Q319" s="34" t="str">
        <f>IF(tblPRINTERS[[#This Row],[DATA | PESQUISA RECEBIDA]]="","",PROPER(TEXT(tblPRINTERS[[#This Row],[DATA | PESQUISA RECEBIDA]],"DDDD")))</f>
        <v/>
      </c>
    </row>
    <row r="320" spans="1:17" hidden="1">
      <c r="A320" s="54">
        <v>3035452010</v>
      </c>
      <c r="B320" s="54" t="s">
        <v>500</v>
      </c>
      <c r="C320" s="90">
        <v>42739.73704378472</v>
      </c>
      <c r="D320" s="86">
        <v>42741.73704378472</v>
      </c>
      <c r="E320" s="54" t="s">
        <v>46</v>
      </c>
      <c r="F320" s="54" t="s">
        <v>38</v>
      </c>
      <c r="G320" s="54" t="s">
        <v>302</v>
      </c>
      <c r="H320" s="54" t="s">
        <v>39</v>
      </c>
      <c r="I320" s="54" t="s">
        <v>811</v>
      </c>
      <c r="J320" s="54" t="s">
        <v>303</v>
      </c>
      <c r="K320" s="54" t="s">
        <v>1553</v>
      </c>
      <c r="L320" s="87">
        <v>42742.526388888888</v>
      </c>
      <c r="M320" s="34" t="str">
        <f>IFERROR(INDEX(BASE,MATCH(tblPRINTERS[[#This Row],[CASE ID]],BASE_CASOS,0),MATCH(tblPRINTERS[[#Headers],[tratativa]],BASE_CAB,0)),"Retornar com prioridade")</f>
        <v>Sem contato</v>
      </c>
      <c r="N320" s="34" t="str">
        <f>IFERROR(INDEX(BASE,MATCH(tblPRINTERS[[#This Row],[CASE ID]],BASE_CASOS,0),MATCH(tblPRINTERS[[#Headers],[Observação]],BASE_CAB,0)),"-")</f>
        <v>Sem contato (Só chama, Cx postal, Ocupado)</v>
      </c>
      <c r="O320" s="34" t="str">
        <f>IFERROR(INDEX(BASE,MATCH(tblPRINTERS[[#This Row],[CASE ID]],BASE_CASOS,0),MATCH(tblPRINTERS[[#Headers],[Observação Calback]],BASE_CAB,0)),"-")</f>
        <v>Sem contato</v>
      </c>
      <c r="P320" s="42" t="str">
        <f>IF(ISERROR(INDEX(QUALIDADE,MATCH(tblPRINTERS[[#This Row],[CASE ID]],PROTOCOLO_PESQUISAS,0),MATCH("Return Time",QUALIDADE_CAB,0)))=FALSE,INDEX(QUALIDADE,MATCH(tblPRINTERS[[#This Row],[CASE ID]],PROTOCOLO_PESQUISAS,0),MATCH("Return Time",QUALIDADE_CAB,0)),"")</f>
        <v/>
      </c>
      <c r="Q320" s="34" t="str">
        <f>IF(tblPRINTERS[[#This Row],[DATA | PESQUISA RECEBIDA]]="","",PROPER(TEXT(tblPRINTERS[[#This Row],[DATA | PESQUISA RECEBIDA]],"DDDD")))</f>
        <v/>
      </c>
    </row>
    <row r="321" spans="1:17" hidden="1">
      <c r="A321" s="54">
        <v>3035232633</v>
      </c>
      <c r="B321" s="54" t="s">
        <v>500</v>
      </c>
      <c r="C321" s="90">
        <v>42739.73704378472</v>
      </c>
      <c r="D321" s="86">
        <v>42741.73704378472</v>
      </c>
      <c r="E321" s="54" t="s">
        <v>54</v>
      </c>
      <c r="F321" s="54" t="s">
        <v>21</v>
      </c>
      <c r="G321" s="54" t="s">
        <v>302</v>
      </c>
      <c r="H321" s="54" t="s">
        <v>260</v>
      </c>
      <c r="I321" s="54" t="s">
        <v>811</v>
      </c>
      <c r="J321" s="54" t="s">
        <v>303</v>
      </c>
      <c r="K321" s="54" t="s">
        <v>1568</v>
      </c>
      <c r="L321" s="87">
        <v>42742.529166666667</v>
      </c>
      <c r="M321" s="34" t="str">
        <f>IFERROR(INDEX(BASE,MATCH(tblPRINTERS[[#This Row],[CASE ID]],BASE_CASOS,0),MATCH(tblPRINTERS[[#Headers],[tratativa]],BASE_CAB,0)),"Retornar com prioridade")</f>
        <v>Não responder pesquisa</v>
      </c>
      <c r="N321" s="34" t="str">
        <f>IFERROR(INDEX(BASE,MATCH(tblPRINTERS[[#This Row],[CASE ID]],BASE_CASOS,0),MATCH(tblPRINTERS[[#Headers],[Observação]],BASE_CAB,0)),"-")</f>
        <v>Caso não resolvido / Equipamento em reparo</v>
      </c>
      <c r="O321" s="34" t="str">
        <f>IFERROR(INDEX(BASE,MATCH(tblPRINTERS[[#This Row],[CASE ID]],BASE_CASOS,0),MATCH(tblPRINTERS[[#Headers],[Observação Calback]],BASE_CAB,0)),"-")</f>
        <v>ira retornar com suporte</v>
      </c>
      <c r="P321" s="42" t="str">
        <f>IF(ISERROR(INDEX(QUALIDADE,MATCH(tblPRINTERS[[#This Row],[CASE ID]],PROTOCOLO_PESQUISAS,0),MATCH("Return Time",QUALIDADE_CAB,0)))=FALSE,INDEX(QUALIDADE,MATCH(tblPRINTERS[[#This Row],[CASE ID]],PROTOCOLO_PESQUISAS,0),MATCH("Return Time",QUALIDADE_CAB,0)),"")</f>
        <v/>
      </c>
      <c r="Q321" s="34" t="str">
        <f>IF(tblPRINTERS[[#This Row],[DATA | PESQUISA RECEBIDA]]="","",PROPER(TEXT(tblPRINTERS[[#This Row],[DATA | PESQUISA RECEBIDA]],"DDDD")))</f>
        <v/>
      </c>
    </row>
    <row r="322" spans="1:17" hidden="1">
      <c r="A322" s="54">
        <v>3035491073</v>
      </c>
      <c r="B322" s="54" t="s">
        <v>500</v>
      </c>
      <c r="C322" s="90">
        <v>42739.73704378472</v>
      </c>
      <c r="D322" s="86">
        <v>42741.73704378472</v>
      </c>
      <c r="E322" s="54" t="s">
        <v>29</v>
      </c>
      <c r="F322" s="54" t="s">
        <v>29</v>
      </c>
      <c r="G322" s="54" t="s">
        <v>301</v>
      </c>
      <c r="H322" s="54" t="s">
        <v>23</v>
      </c>
      <c r="I322" s="54" t="s">
        <v>811</v>
      </c>
      <c r="J322" s="54" t="s">
        <v>303</v>
      </c>
      <c r="K322" s="54" t="s">
        <v>1569</v>
      </c>
      <c r="L322" s="87">
        <v>42742.53125</v>
      </c>
      <c r="M322" s="34" t="str">
        <f>IFERROR(INDEX(BASE,MATCH(tblPRINTERS[[#This Row],[CASE ID]],BASE_CASOS,0),MATCH(tblPRINTERS[[#Headers],[tratativa]],BASE_CAB,0)),"Retornar com prioridade")</f>
        <v>Não responder pesquisa</v>
      </c>
      <c r="N322" s="34" t="str">
        <f>IFERROR(INDEX(BASE,MATCH(tblPRINTERS[[#This Row],[CASE ID]],BASE_CASOS,0),MATCH(tblPRINTERS[[#Headers],[Observação]],BASE_CAB,0)),"-")</f>
        <v>Caso não resolvido / Equipamento em reparo</v>
      </c>
      <c r="O322" s="34" t="str">
        <f>IFERROR(INDEX(BASE,MATCH(tblPRINTERS[[#This Row],[CASE ID]],BASE_CASOS,0),MATCH(tblPRINTERS[[#Headers],[Observação Calback]],BASE_CAB,0)),"-")</f>
        <v>ira retornar contato.</v>
      </c>
      <c r="P322" s="42" t="str">
        <f>IF(ISERROR(INDEX(QUALIDADE,MATCH(tblPRINTERS[[#This Row],[CASE ID]],PROTOCOLO_PESQUISAS,0),MATCH("Return Time",QUALIDADE_CAB,0)))=FALSE,INDEX(QUALIDADE,MATCH(tblPRINTERS[[#This Row],[CASE ID]],PROTOCOLO_PESQUISAS,0),MATCH("Return Time",QUALIDADE_CAB,0)),"")</f>
        <v/>
      </c>
      <c r="Q322" s="34" t="str">
        <f>IF(tblPRINTERS[[#This Row],[DATA | PESQUISA RECEBIDA]]="","",PROPER(TEXT(tblPRINTERS[[#This Row],[DATA | PESQUISA RECEBIDA]],"DDDD")))</f>
        <v/>
      </c>
    </row>
    <row r="323" spans="1:17" hidden="1">
      <c r="A323" s="54">
        <v>3035479209</v>
      </c>
      <c r="B323" s="54" t="s">
        <v>500</v>
      </c>
      <c r="C323" s="90">
        <v>42739.73704378472</v>
      </c>
      <c r="D323" s="86">
        <v>42741.73704378472</v>
      </c>
      <c r="E323" s="54" t="s">
        <v>580</v>
      </c>
      <c r="F323" s="54" t="s">
        <v>580</v>
      </c>
      <c r="G323" s="54" t="s">
        <v>301</v>
      </c>
      <c r="H323" s="54" t="s">
        <v>9</v>
      </c>
      <c r="I323" s="54" t="s">
        <v>811</v>
      </c>
      <c r="J323" s="54" t="s">
        <v>303</v>
      </c>
      <c r="K323" s="54" t="s">
        <v>1570</v>
      </c>
      <c r="L323" s="87">
        <v>42742.53402777778</v>
      </c>
      <c r="M323" s="34" t="str">
        <f>IFERROR(INDEX(BASE,MATCH(tblPRINTERS[[#This Row],[CASE ID]],BASE_CASOS,0),MATCH(tblPRINTERS[[#Headers],[tratativa]],BASE_CAB,0)),"Retornar com prioridade")</f>
        <v>Não foi pesquisa</v>
      </c>
      <c r="N323" s="34" t="str">
        <f>IFERROR(INDEX(BASE,MATCH(tblPRINTERS[[#This Row],[CASE ID]],BASE_CASOS,0),MATCH(tblPRINTERS[[#Headers],[Observação]],BASE_CAB,0)),"-")</f>
        <v>Pesquisa rejeitada</v>
      </c>
      <c r="O323" s="34" t="str">
        <f>IFERROR(INDEX(BASE,MATCH(tblPRINTERS[[#This Row],[CASE ID]],BASE_CASOS,0),MATCH(tblPRINTERS[[#Headers],[Observação Calback]],BASE_CAB,0)),"-")</f>
        <v>email tecnico da cleinte</v>
      </c>
      <c r="P323" s="42" t="str">
        <f>IF(ISERROR(INDEX(QUALIDADE,MATCH(tblPRINTERS[[#This Row],[CASE ID]],PROTOCOLO_PESQUISAS,0),MATCH("Return Time",QUALIDADE_CAB,0)))=FALSE,INDEX(QUALIDADE,MATCH(tblPRINTERS[[#This Row],[CASE ID]],PROTOCOLO_PESQUISAS,0),MATCH("Return Time",QUALIDADE_CAB,0)),"")</f>
        <v/>
      </c>
      <c r="Q323" s="34" t="str">
        <f>IF(tblPRINTERS[[#This Row],[DATA | PESQUISA RECEBIDA]]="","",PROPER(TEXT(tblPRINTERS[[#This Row],[DATA | PESQUISA RECEBIDA]],"DDDD")))</f>
        <v/>
      </c>
    </row>
    <row r="324" spans="1:17" hidden="1">
      <c r="A324" s="54">
        <v>3035480798</v>
      </c>
      <c r="B324" s="54" t="s">
        <v>500</v>
      </c>
      <c r="C324" s="90">
        <v>42739.73704378472</v>
      </c>
      <c r="D324" s="86">
        <v>42741.73704378472</v>
      </c>
      <c r="E324" s="54" t="s">
        <v>29</v>
      </c>
      <c r="F324" s="54" t="s">
        <v>29</v>
      </c>
      <c r="G324" s="54" t="s">
        <v>301</v>
      </c>
      <c r="H324" s="54" t="s">
        <v>23</v>
      </c>
      <c r="I324" s="54" t="s">
        <v>811</v>
      </c>
      <c r="J324" s="54" t="s">
        <v>304</v>
      </c>
      <c r="K324" s="54" t="s">
        <v>1572</v>
      </c>
      <c r="L324" s="87">
        <v>42742.547222222223</v>
      </c>
      <c r="M324" s="34" t="str">
        <f>IFERROR(INDEX(BASE,MATCH(tblPRINTERS[[#This Row],[CASE ID]],BASE_CASOS,0),MATCH(tblPRINTERS[[#Headers],[tratativa]],BASE_CAB,0)),"Retornar com prioridade")</f>
        <v>Retornar com prioridade</v>
      </c>
      <c r="N324" s="34" t="str">
        <f>IFERROR(INDEX(BASE,MATCH(tblPRINTERS[[#This Row],[CASE ID]],BASE_CASOS,0),MATCH(tblPRINTERS[[#Headers],[Observação]],BASE_CAB,0)),"-")</f>
        <v>-</v>
      </c>
      <c r="O324" s="34" t="str">
        <f>IFERROR(INDEX(BASE,MATCH(tblPRINTERS[[#This Row],[CASE ID]],BASE_CASOS,0),MATCH(tblPRINTERS[[#Headers],[Observação Calback]],BASE_CAB,0)),"-")</f>
        <v>-</v>
      </c>
      <c r="P324" s="42" t="str">
        <f>IF(ISERROR(INDEX(QUALIDADE,MATCH(tblPRINTERS[[#This Row],[CASE ID]],PROTOCOLO_PESQUISAS,0),MATCH("Return Time",QUALIDADE_CAB,0)))=FALSE,INDEX(QUALIDADE,MATCH(tblPRINTERS[[#This Row],[CASE ID]],PROTOCOLO_PESQUISAS,0),MATCH("Return Time",QUALIDADE_CAB,0)),"")</f>
        <v/>
      </c>
      <c r="Q324" s="34" t="str">
        <f>IF(tblPRINTERS[[#This Row],[DATA | PESQUISA RECEBIDA]]="","",PROPER(TEXT(tblPRINTERS[[#This Row],[DATA | PESQUISA RECEBIDA]],"DDDD")))</f>
        <v/>
      </c>
    </row>
    <row r="325" spans="1:17" hidden="1">
      <c r="A325" s="54">
        <v>3035476868</v>
      </c>
      <c r="B325" s="54" t="s">
        <v>500</v>
      </c>
      <c r="C325" s="90">
        <v>42739.73704378472</v>
      </c>
      <c r="D325" s="86">
        <v>42741.73704378472</v>
      </c>
      <c r="E325" s="54" t="s">
        <v>1525</v>
      </c>
      <c r="F325" s="54" t="s">
        <v>1525</v>
      </c>
      <c r="G325" s="54" t="s">
        <v>301</v>
      </c>
      <c r="H325" s="54" t="s">
        <v>23</v>
      </c>
      <c r="I325" s="54" t="s">
        <v>811</v>
      </c>
      <c r="J325" s="54" t="s">
        <v>303</v>
      </c>
      <c r="K325" s="54" t="s">
        <v>1573</v>
      </c>
      <c r="L325" s="87">
        <v>42742.566666666666</v>
      </c>
      <c r="M325" s="34" t="str">
        <f>IFERROR(INDEX(BASE,MATCH(tblPRINTERS[[#This Row],[CASE ID]],BASE_CASOS,0),MATCH(tblPRINTERS[[#Headers],[tratativa]],BASE_CAB,0)),"Retornar com prioridade")</f>
        <v>Respondeu antes do contato de Callback</v>
      </c>
      <c r="N325" s="34" t="str">
        <f>IFERROR(INDEX(BASE,MATCH(tblPRINTERS[[#This Row],[CASE ID]],BASE_CASOS,0),MATCH(tblPRINTERS[[#Headers],[Observação]],BASE_CAB,0)),"-")</f>
        <v>Já respondeu a pesquisa</v>
      </c>
      <c r="O325" s="34" t="str">
        <f>IFERROR(INDEX(BASE,MATCH(tblPRINTERS[[#This Row],[CASE ID]],BASE_CASOS,0),MATCH(tblPRINTERS[[#Headers],[Observação Calback]],BASE_CAB,0)),"-")</f>
        <v>já respondeu</v>
      </c>
      <c r="P325" s="42" t="str">
        <f>IF(ISERROR(INDEX(QUALIDADE,MATCH(tblPRINTERS[[#This Row],[CASE ID]],PROTOCOLO_PESQUISAS,0),MATCH("Return Time",QUALIDADE_CAB,0)))=FALSE,INDEX(QUALIDADE,MATCH(tblPRINTERS[[#This Row],[CASE ID]],PROTOCOLO_PESQUISAS,0),MATCH("Return Time",QUALIDADE_CAB,0)),"")</f>
        <v/>
      </c>
      <c r="Q325" s="34" t="str">
        <f>IF(tblPRINTERS[[#This Row],[DATA | PESQUISA RECEBIDA]]="","",PROPER(TEXT(tblPRINTERS[[#This Row],[DATA | PESQUISA RECEBIDA]],"DDDD")))</f>
        <v/>
      </c>
    </row>
    <row r="326" spans="1:17" hidden="1">
      <c r="A326" s="54">
        <v>3035486015</v>
      </c>
      <c r="B326" s="54" t="s">
        <v>500</v>
      </c>
      <c r="C326" s="90">
        <v>42739.73704378472</v>
      </c>
      <c r="D326" s="86">
        <v>42741.73704378472</v>
      </c>
      <c r="E326" s="54" t="s">
        <v>46</v>
      </c>
      <c r="F326" s="54" t="s">
        <v>46</v>
      </c>
      <c r="G326" s="54" t="s">
        <v>301</v>
      </c>
      <c r="H326" s="54" t="s">
        <v>39</v>
      </c>
      <c r="I326" s="54" t="s">
        <v>811</v>
      </c>
      <c r="J326" s="54" t="s">
        <v>303</v>
      </c>
      <c r="K326" s="54" t="s">
        <v>1574</v>
      </c>
      <c r="L326" s="87">
        <v>42742.567361111112</v>
      </c>
      <c r="M326" s="34" t="str">
        <f>IFERROR(INDEX(BASE,MATCH(tblPRINTERS[[#This Row],[CASE ID]],BASE_CASOS,0),MATCH(tblPRINTERS[[#Headers],[tratativa]],BASE_CAB,0)),"Retornar com prioridade")</f>
        <v>Não responder pesquisa</v>
      </c>
      <c r="N326" s="34" t="str">
        <f>IFERROR(INDEX(BASE,MATCH(tblPRINTERS[[#This Row],[CASE ID]],BASE_CASOS,0),MATCH(tblPRINTERS[[#Headers],[Observação]],BASE_CAB,0)),"-")</f>
        <v>Caso não resolvido / Equipamento em reparo</v>
      </c>
      <c r="O326" s="34" t="str">
        <f>IFERROR(INDEX(BASE,MATCH(tblPRINTERS[[#This Row],[CASE ID]],BASE_CASOS,0),MATCH(tblPRINTERS[[#Headers],[Observação Calback]],BASE_CAB,0)),"-")</f>
        <v>fora da garantia.</v>
      </c>
      <c r="P326" s="42" t="str">
        <f>IF(ISERROR(INDEX(QUALIDADE,MATCH(tblPRINTERS[[#This Row],[CASE ID]],PROTOCOLO_PESQUISAS,0),MATCH("Return Time",QUALIDADE_CAB,0)))=FALSE,INDEX(QUALIDADE,MATCH(tblPRINTERS[[#This Row],[CASE ID]],PROTOCOLO_PESQUISAS,0),MATCH("Return Time",QUALIDADE_CAB,0)),"")</f>
        <v/>
      </c>
      <c r="Q326" s="34" t="str">
        <f>IF(tblPRINTERS[[#This Row],[DATA | PESQUISA RECEBIDA]]="","",PROPER(TEXT(tblPRINTERS[[#This Row],[DATA | PESQUISA RECEBIDA]],"DDDD")))</f>
        <v/>
      </c>
    </row>
    <row r="327" spans="1:17" hidden="1">
      <c r="A327" s="54">
        <v>3035475198</v>
      </c>
      <c r="B327" s="54" t="s">
        <v>500</v>
      </c>
      <c r="C327" s="90">
        <v>42739.73704378472</v>
      </c>
      <c r="D327" s="86">
        <v>42741.73704378472</v>
      </c>
      <c r="E327" s="54" t="s">
        <v>25</v>
      </c>
      <c r="F327" s="54" t="s">
        <v>25</v>
      </c>
      <c r="G327" s="54" t="s">
        <v>301</v>
      </c>
      <c r="H327" s="54" t="s">
        <v>23</v>
      </c>
      <c r="I327" s="54" t="s">
        <v>811</v>
      </c>
      <c r="J327" s="54" t="s">
        <v>303</v>
      </c>
      <c r="K327" s="54" t="s">
        <v>1575</v>
      </c>
      <c r="L327" s="87">
        <v>42742.568749999999</v>
      </c>
      <c r="M327" s="34" t="str">
        <f>IFERROR(INDEX(BASE,MATCH(tblPRINTERS[[#This Row],[CASE ID]],BASE_CASOS,0),MATCH(tblPRINTERS[[#Headers],[tratativa]],BASE_CAB,0)),"Retornar com prioridade")</f>
        <v>Responder pesquisa</v>
      </c>
      <c r="N327" s="34" t="str">
        <f>IFERROR(INDEX(BASE,MATCH(tblPRINTERS[[#This Row],[CASE ID]],BASE_CASOS,0),MATCH(tblPRINTERS[[#Headers],[Observação]],BASE_CAB,0)),"-")</f>
        <v>Nota 9/10</v>
      </c>
      <c r="O327" s="34" t="str">
        <f>IFERROR(INDEX(BASE,MATCH(tblPRINTERS[[#This Row],[CASE ID]],BASE_CASOS,0),MATCH(tblPRINTERS[[#Headers],[Observação Calback]],BASE_CAB,0)),"-")</f>
        <v>ira responder</v>
      </c>
      <c r="P327" s="42" t="str">
        <f>IF(ISERROR(INDEX(QUALIDADE,MATCH(tblPRINTERS[[#This Row],[CASE ID]],PROTOCOLO_PESQUISAS,0),MATCH("Return Time",QUALIDADE_CAB,0)))=FALSE,INDEX(QUALIDADE,MATCH(tblPRINTERS[[#This Row],[CASE ID]],PROTOCOLO_PESQUISAS,0),MATCH("Return Time",QUALIDADE_CAB,0)),"")</f>
        <v/>
      </c>
      <c r="Q327" s="34" t="str">
        <f>IF(tblPRINTERS[[#This Row],[DATA | PESQUISA RECEBIDA]]="","",PROPER(TEXT(tblPRINTERS[[#This Row],[DATA | PESQUISA RECEBIDA]],"DDDD")))</f>
        <v/>
      </c>
    </row>
    <row r="328" spans="1:17" hidden="1">
      <c r="A328" s="54">
        <v>3035470194</v>
      </c>
      <c r="B328" s="54" t="s">
        <v>500</v>
      </c>
      <c r="C328" s="90">
        <v>42739.73704378472</v>
      </c>
      <c r="D328" s="86">
        <v>42741.73704378472</v>
      </c>
      <c r="E328" s="54" t="s">
        <v>8</v>
      </c>
      <c r="F328" s="54" t="s">
        <v>8</v>
      </c>
      <c r="G328" s="54" t="s">
        <v>301</v>
      </c>
      <c r="H328" s="54" t="s">
        <v>9</v>
      </c>
      <c r="I328" s="54" t="s">
        <v>811</v>
      </c>
      <c r="J328" s="54" t="s">
        <v>303</v>
      </c>
      <c r="K328" s="54" t="s">
        <v>1577</v>
      </c>
      <c r="L328" s="87">
        <v>42742.572222222225</v>
      </c>
      <c r="M328" s="34" t="str">
        <f>IFERROR(INDEX(BASE,MATCH(tblPRINTERS[[#This Row],[CASE ID]],BASE_CASOS,0),MATCH(tblPRINTERS[[#Headers],[tratativa]],BASE_CAB,0)),"Retornar com prioridade")</f>
        <v>Responder pesquisa</v>
      </c>
      <c r="N328" s="34" t="str">
        <f>IFERROR(INDEX(BASE,MATCH(tblPRINTERS[[#This Row],[CASE ID]],BASE_CASOS,0),MATCH(tblPRINTERS[[#Headers],[Observação]],BASE_CAB,0)),"-")</f>
        <v>Nota 9/10</v>
      </c>
      <c r="O328" s="34" t="str">
        <f>IFERROR(INDEX(BASE,MATCH(tblPRINTERS[[#This Row],[CASE ID]],BASE_CASOS,0),MATCH(tblPRINTERS[[#Headers],[Observação Calback]],BASE_CAB,0)),"-")</f>
        <v>ira responder,</v>
      </c>
      <c r="P328" s="42" t="str">
        <f>IF(ISERROR(INDEX(QUALIDADE,MATCH(tblPRINTERS[[#This Row],[CASE ID]],PROTOCOLO_PESQUISAS,0),MATCH("Return Time",QUALIDADE_CAB,0)))=FALSE,INDEX(QUALIDADE,MATCH(tblPRINTERS[[#This Row],[CASE ID]],PROTOCOLO_PESQUISAS,0),MATCH("Return Time",QUALIDADE_CAB,0)),"")</f>
        <v/>
      </c>
      <c r="Q328" s="34" t="str">
        <f>IF(tblPRINTERS[[#This Row],[DATA | PESQUISA RECEBIDA]]="","",PROPER(TEXT(tblPRINTERS[[#This Row],[DATA | PESQUISA RECEBIDA]],"DDDD")))</f>
        <v/>
      </c>
    </row>
    <row r="329" spans="1:17" hidden="1">
      <c r="A329" s="54">
        <v>3035480906</v>
      </c>
      <c r="B329" s="54" t="s">
        <v>500</v>
      </c>
      <c r="C329" s="90">
        <v>42739.73704378472</v>
      </c>
      <c r="D329" s="86">
        <v>42741.73704378472</v>
      </c>
      <c r="E329" s="54" t="s">
        <v>839</v>
      </c>
      <c r="F329" s="54" t="s">
        <v>839</v>
      </c>
      <c r="G329" s="54" t="s">
        <v>301</v>
      </c>
      <c r="H329" s="54" t="s">
        <v>256</v>
      </c>
      <c r="I329" s="54" t="s">
        <v>811</v>
      </c>
      <c r="J329" s="54" t="s">
        <v>303</v>
      </c>
      <c r="K329" s="54" t="s">
        <v>939</v>
      </c>
      <c r="L329" s="87">
        <v>42742.574999999997</v>
      </c>
      <c r="M329" s="34" t="str">
        <f>IFERROR(INDEX(BASE,MATCH(tblPRINTERS[[#This Row],[CASE ID]],BASE_CASOS,0),MATCH(tblPRINTERS[[#Headers],[tratativa]],BASE_CAB,0)),"Retornar com prioridade")</f>
        <v>Não responder pesquisa</v>
      </c>
      <c r="N329" s="34" t="str">
        <f>IFERROR(INDEX(BASE,MATCH(tblPRINTERS[[#This Row],[CASE ID]],BASE_CASOS,0),MATCH(tblPRINTERS[[#Headers],[Observação]],BASE_CAB,0)),"-")</f>
        <v>Caso não resolvido / Equipamento em reparo</v>
      </c>
      <c r="O329" s="34" t="str">
        <f>IFERROR(INDEX(BASE,MATCH(tblPRINTERS[[#This Row],[CASE ID]],BASE_CASOS,0),MATCH(tblPRINTERS[[#Headers],[Observação Calback]],BASE_CAB,0)),"-")</f>
        <v>apresentou varios problemas, não responder</v>
      </c>
      <c r="P329" s="42" t="str">
        <f>IF(ISERROR(INDEX(QUALIDADE,MATCH(tblPRINTERS[[#This Row],[CASE ID]],PROTOCOLO_PESQUISAS,0),MATCH("Return Time",QUALIDADE_CAB,0)))=FALSE,INDEX(QUALIDADE,MATCH(tblPRINTERS[[#This Row],[CASE ID]],PROTOCOLO_PESQUISAS,0),MATCH("Return Time",QUALIDADE_CAB,0)),"")</f>
        <v/>
      </c>
      <c r="Q329" s="34" t="str">
        <f>IF(tblPRINTERS[[#This Row],[DATA | PESQUISA RECEBIDA]]="","",PROPER(TEXT(tblPRINTERS[[#This Row],[DATA | PESQUISA RECEBIDA]],"DDDD")))</f>
        <v/>
      </c>
    </row>
    <row r="330" spans="1:17" hidden="1">
      <c r="A330" s="54">
        <v>3035479253</v>
      </c>
      <c r="B330" s="54" t="s">
        <v>500</v>
      </c>
      <c r="C330" s="90">
        <v>42739.73704378472</v>
      </c>
      <c r="D330" s="86">
        <v>42741.73704378472</v>
      </c>
      <c r="E330" s="54" t="s">
        <v>54</v>
      </c>
      <c r="F330" s="54" t="s">
        <v>54</v>
      </c>
      <c r="G330" s="54" t="s">
        <v>301</v>
      </c>
      <c r="H330" s="54" t="s">
        <v>260</v>
      </c>
      <c r="I330" s="54" t="s">
        <v>817</v>
      </c>
      <c r="J330" s="54" t="s">
        <v>304</v>
      </c>
      <c r="K330" s="54" t="s">
        <v>307</v>
      </c>
      <c r="L330" s="87">
        <v>42746</v>
      </c>
      <c r="M330" s="34" t="str">
        <f>IFERROR(INDEX(BASE,MATCH(tblPRINTERS[[#This Row],[CASE ID]],BASE_CASOS,0),MATCH(tblPRINTERS[[#Headers],[tratativa]],BASE_CAB,0)),"Retornar com prioridade")</f>
        <v>Sem contato</v>
      </c>
      <c r="N330" s="34" t="str">
        <f>IFERROR(INDEX(BASE,MATCH(tblPRINTERS[[#This Row],[CASE ID]],BASE_CASOS,0),MATCH(tblPRINTERS[[#Headers],[Observação]],BASE_CAB,0)),"-")</f>
        <v>Sem contato (Só chama, Cx postal, Ocupado)</v>
      </c>
      <c r="O330" s="34" t="str">
        <f>IFERROR(INDEX(BASE,MATCH(tblPRINTERS[[#This Row],[CASE ID]],BASE_CASOS,0),MATCH(tblPRINTERS[[#Headers],[Observação Calback]],BASE_CAB,0)),"-")</f>
        <v>cliente encerra contato</v>
      </c>
      <c r="P330" s="42" t="str">
        <f>IF(ISERROR(INDEX(QUALIDADE,MATCH(tblPRINTERS[[#This Row],[CASE ID]],PROTOCOLO_PESQUISAS,0),MATCH("Return Time",QUALIDADE_CAB,0)))=FALSE,INDEX(QUALIDADE,MATCH(tblPRINTERS[[#This Row],[CASE ID]],PROTOCOLO_PESQUISAS,0),MATCH("Return Time",QUALIDADE_CAB,0)),"")</f>
        <v/>
      </c>
      <c r="Q330" s="34" t="str">
        <f>IF(tblPRINTERS[[#This Row],[DATA | PESQUISA RECEBIDA]]="","",PROPER(TEXT(tblPRINTERS[[#This Row],[DATA | PESQUISA RECEBIDA]],"DDDD")))</f>
        <v/>
      </c>
    </row>
    <row r="331" spans="1:17" hidden="1">
      <c r="A331" s="54">
        <v>3035469625</v>
      </c>
      <c r="B331" s="54" t="s">
        <v>500</v>
      </c>
      <c r="C331" s="90">
        <v>42739.73704378472</v>
      </c>
      <c r="D331" s="86">
        <v>42741.73704378472</v>
      </c>
      <c r="E331" s="54" t="s">
        <v>13</v>
      </c>
      <c r="F331" s="54" t="s">
        <v>13</v>
      </c>
      <c r="G331" s="54" t="s">
        <v>301</v>
      </c>
      <c r="H331" s="54" t="s">
        <v>9</v>
      </c>
      <c r="I331" s="54" t="s">
        <v>817</v>
      </c>
      <c r="J331" s="54" t="s">
        <v>303</v>
      </c>
      <c r="K331" s="54" t="s">
        <v>305</v>
      </c>
      <c r="L331" s="87">
        <v>42746</v>
      </c>
      <c r="M331" s="34" t="str">
        <f>IFERROR(INDEX(BASE,MATCH(tblPRINTERS[[#This Row],[CASE ID]],BASE_CASOS,0),MATCH(tblPRINTERS[[#Headers],[tratativa]],BASE_CAB,0)),"Retornar com prioridade")</f>
        <v>Responder pesquisa</v>
      </c>
      <c r="N331" s="34" t="str">
        <f>IFERROR(INDEX(BASE,MATCH(tblPRINTERS[[#This Row],[CASE ID]],BASE_CASOS,0),MATCH(tblPRINTERS[[#Headers],[Observação]],BASE_CAB,0)),"-")</f>
        <v>Nota 9/10</v>
      </c>
      <c r="O331" s="34" t="str">
        <f>IFERROR(INDEX(BASE,MATCH(tblPRINTERS[[#This Row],[CASE ID]],BASE_CASOS,0),MATCH(tblPRINTERS[[#Headers],[Observação Calback]],BASE_CAB,0)),"-")</f>
        <v>ira responder</v>
      </c>
      <c r="P331" s="42" t="str">
        <f>IF(ISERROR(INDEX(QUALIDADE,MATCH(tblPRINTERS[[#This Row],[CASE ID]],PROTOCOLO_PESQUISAS,0),MATCH("Return Time",QUALIDADE_CAB,0)))=FALSE,INDEX(QUALIDADE,MATCH(tblPRINTERS[[#This Row],[CASE ID]],PROTOCOLO_PESQUISAS,0),MATCH("Return Time",QUALIDADE_CAB,0)),"")</f>
        <v/>
      </c>
      <c r="Q331" s="34" t="str">
        <f>IF(tblPRINTERS[[#This Row],[DATA | PESQUISA RECEBIDA]]="","",PROPER(TEXT(tblPRINTERS[[#This Row],[DATA | PESQUISA RECEBIDA]],"DDDD")))</f>
        <v/>
      </c>
    </row>
    <row r="332" spans="1:17" hidden="1">
      <c r="A332" s="54">
        <v>3035468818</v>
      </c>
      <c r="B332" s="54" t="s">
        <v>500</v>
      </c>
      <c r="C332" s="90">
        <v>42739.73704378472</v>
      </c>
      <c r="D332" s="86">
        <v>42741.73704378472</v>
      </c>
      <c r="E332" s="54" t="s">
        <v>580</v>
      </c>
      <c r="F332" s="54" t="s">
        <v>580</v>
      </c>
      <c r="G332" s="54" t="s">
        <v>301</v>
      </c>
      <c r="H332" s="54" t="s">
        <v>9</v>
      </c>
      <c r="I332" s="56" t="s">
        <v>817</v>
      </c>
      <c r="J332" s="54" t="s">
        <v>303</v>
      </c>
      <c r="K332" s="56" t="s">
        <v>305</v>
      </c>
      <c r="L332" s="87">
        <v>42746</v>
      </c>
      <c r="M332" s="34" t="str">
        <f>IFERROR(INDEX(BASE,MATCH(tblPRINTERS[[#This Row],[CASE ID]],BASE_CASOS,0),MATCH(tblPRINTERS[[#Headers],[tratativa]],BASE_CAB,0)),"Retornar com prioridade")</f>
        <v>Responder pesquisa</v>
      </c>
      <c r="N332" s="34" t="str">
        <f>IFERROR(INDEX(BASE,MATCH(tblPRINTERS[[#This Row],[CASE ID]],BASE_CASOS,0),MATCH(tblPRINTERS[[#Headers],[Observação]],BASE_CAB,0)),"-")</f>
        <v>Nota 9/10</v>
      </c>
      <c r="O332" s="34" t="str">
        <f>IFERROR(INDEX(BASE,MATCH(tblPRINTERS[[#This Row],[CASE ID]],BASE_CASOS,0),MATCH(tblPRINTERS[[#Headers],[Observação Calback]],BASE_CAB,0)),"-")</f>
        <v>ira responder</v>
      </c>
      <c r="P332" s="42" t="str">
        <f>IF(ISERROR(INDEX(QUALIDADE,MATCH(tblPRINTERS[[#This Row],[CASE ID]],PROTOCOLO_PESQUISAS,0),MATCH("Return Time",QUALIDADE_CAB,0)))=FALSE,INDEX(QUALIDADE,MATCH(tblPRINTERS[[#This Row],[CASE ID]],PROTOCOLO_PESQUISAS,0),MATCH("Return Time",QUALIDADE_CAB,0)),"")</f>
        <v/>
      </c>
      <c r="Q332" s="34" t="str">
        <f>IF(tblPRINTERS[[#This Row],[DATA | PESQUISA RECEBIDA]]="","",PROPER(TEXT(tblPRINTERS[[#This Row],[DATA | PESQUISA RECEBIDA]],"DDDD")))</f>
        <v/>
      </c>
    </row>
    <row r="333" spans="1:17" hidden="1">
      <c r="A333" s="54">
        <v>3035482494</v>
      </c>
      <c r="B333" s="54" t="s">
        <v>500</v>
      </c>
      <c r="C333" s="90">
        <v>42739.73704378472</v>
      </c>
      <c r="D333" s="86">
        <v>42741.73704378472</v>
      </c>
      <c r="E333" s="54" t="s">
        <v>42</v>
      </c>
      <c r="F333" s="54" t="s">
        <v>42</v>
      </c>
      <c r="G333" s="54" t="s">
        <v>301</v>
      </c>
      <c r="H333" s="54" t="s">
        <v>39</v>
      </c>
      <c r="I333" s="54" t="s">
        <v>817</v>
      </c>
      <c r="J333" s="54" t="s">
        <v>303</v>
      </c>
      <c r="K333" s="54" t="s">
        <v>305</v>
      </c>
      <c r="L333" s="87">
        <v>42746</v>
      </c>
      <c r="M333" s="34" t="str">
        <f>IFERROR(INDEX(BASE,MATCH(tblPRINTERS[[#This Row],[CASE ID]],BASE_CASOS,0),MATCH(tblPRINTERS[[#Headers],[tratativa]],BASE_CAB,0)),"Retornar com prioridade")</f>
        <v>Sem contato</v>
      </c>
      <c r="N333" s="34" t="str">
        <f>IFERROR(INDEX(BASE,MATCH(tblPRINTERS[[#This Row],[CASE ID]],BASE_CASOS,0),MATCH(tblPRINTERS[[#Headers],[Observação]],BASE_CAB,0)),"-")</f>
        <v>Sem contato (Só chama, Cx postal, Ocupado)</v>
      </c>
      <c r="O333" s="34" t="str">
        <f>IFERROR(INDEX(BASE,MATCH(tblPRINTERS[[#This Row],[CASE ID]],BASE_CASOS,0),MATCH(tblPRINTERS[[#Headers],[Observação Calback]],BASE_CAB,0)),"-")</f>
        <v>so chama</v>
      </c>
      <c r="P333" s="42" t="str">
        <f>IF(ISERROR(INDEX(QUALIDADE,MATCH(tblPRINTERS[[#This Row],[CASE ID]],PROTOCOLO_PESQUISAS,0),MATCH("Return Time",QUALIDADE_CAB,0)))=FALSE,INDEX(QUALIDADE,MATCH(tblPRINTERS[[#This Row],[CASE ID]],PROTOCOLO_PESQUISAS,0),MATCH("Return Time",QUALIDADE_CAB,0)),"")</f>
        <v/>
      </c>
      <c r="Q333" s="34" t="str">
        <f>IF(tblPRINTERS[[#This Row],[DATA | PESQUISA RECEBIDA]]="","",PROPER(TEXT(tblPRINTERS[[#This Row],[DATA | PESQUISA RECEBIDA]],"DDDD")))</f>
        <v/>
      </c>
    </row>
    <row r="334" spans="1:17" hidden="1">
      <c r="A334" s="54">
        <v>3035487309</v>
      </c>
      <c r="B334" s="54" t="s">
        <v>500</v>
      </c>
      <c r="C334" s="90">
        <v>42739.73704378472</v>
      </c>
      <c r="D334" s="86">
        <v>42741.73704378472</v>
      </c>
      <c r="E334" s="54" t="s">
        <v>24</v>
      </c>
      <c r="F334" s="54" t="s">
        <v>24</v>
      </c>
      <c r="G334" s="54" t="s">
        <v>301</v>
      </c>
      <c r="H334" s="54" t="s">
        <v>23</v>
      </c>
      <c r="I334" s="54" t="s">
        <v>811</v>
      </c>
      <c r="J334" s="54" t="s">
        <v>304</v>
      </c>
      <c r="K334" s="54" t="s">
        <v>1579</v>
      </c>
      <c r="L334" s="87">
        <v>42742.588888888888</v>
      </c>
      <c r="M334" s="34" t="str">
        <f>IFERROR(INDEX(BASE,MATCH(tblPRINTERS[[#This Row],[CASE ID]],BASE_CASOS,0),MATCH(tblPRINTERS[[#Headers],[tratativa]],BASE_CAB,0)),"Retornar com prioridade")</f>
        <v>Não responder pesquisa</v>
      </c>
      <c r="N334" s="34" t="str">
        <f>IFERROR(INDEX(BASE,MATCH(tblPRINTERS[[#This Row],[CASE ID]],BASE_CASOS,0),MATCH(tblPRINTERS[[#Headers],[Observação]],BASE_CAB,0)),"-")</f>
        <v>Caso não resolvido / Equipamento em reparo</v>
      </c>
      <c r="O334" s="34" t="str">
        <f>IFERROR(INDEX(BASE,MATCH(tblPRINTERS[[#This Row],[CASE ID]],BASE_CASOS,0),MATCH(tblPRINTERS[[#Headers],[Observação Calback]],BASE_CAB,0)),"-")</f>
        <v>ira trocar cartucho</v>
      </c>
      <c r="P334" s="42" t="str">
        <f>IF(ISERROR(INDEX(QUALIDADE,MATCH(tblPRINTERS[[#This Row],[CASE ID]],PROTOCOLO_PESQUISAS,0),MATCH("Return Time",QUALIDADE_CAB,0)))=FALSE,INDEX(QUALIDADE,MATCH(tblPRINTERS[[#This Row],[CASE ID]],PROTOCOLO_PESQUISAS,0),MATCH("Return Time",QUALIDADE_CAB,0)),"")</f>
        <v/>
      </c>
      <c r="Q334" s="34" t="str">
        <f>IF(tblPRINTERS[[#This Row],[DATA | PESQUISA RECEBIDA]]="","",PROPER(TEXT(tblPRINTERS[[#This Row],[DATA | PESQUISA RECEBIDA]],"DDDD")))</f>
        <v/>
      </c>
    </row>
    <row r="335" spans="1:17" hidden="1">
      <c r="A335" s="54">
        <v>3035433043</v>
      </c>
      <c r="B335" s="54" t="s">
        <v>500</v>
      </c>
      <c r="C335" s="90">
        <v>42739.73704378472</v>
      </c>
      <c r="D335" s="86">
        <v>42741.73704378472</v>
      </c>
      <c r="E335" s="54" t="s">
        <v>1536</v>
      </c>
      <c r="F335" s="54" t="s">
        <v>21</v>
      </c>
      <c r="G335" s="54" t="s">
        <v>302</v>
      </c>
      <c r="H335" s="54" t="s">
        <v>266</v>
      </c>
      <c r="I335" s="54" t="s">
        <v>817</v>
      </c>
      <c r="J335" s="54" t="s">
        <v>303</v>
      </c>
      <c r="K335" s="54" t="s">
        <v>305</v>
      </c>
      <c r="L335" s="87">
        <v>42746</v>
      </c>
      <c r="M335" s="34" t="str">
        <f>IFERROR(INDEX(BASE,MATCH(tblPRINTERS[[#This Row],[CASE ID]],BASE_CASOS,0),MATCH(tblPRINTERS[[#Headers],[tratativa]],BASE_CAB,0)),"Retornar com prioridade")</f>
        <v>Responder pesquisa</v>
      </c>
      <c r="N335" s="34" t="str">
        <f>IFERROR(INDEX(BASE,MATCH(tblPRINTERS[[#This Row],[CASE ID]],BASE_CASOS,0),MATCH(tblPRINTERS[[#Headers],[Observação]],BASE_CAB,0)),"-")</f>
        <v>Nota 9/10</v>
      </c>
      <c r="O335" s="34" t="str">
        <f>IFERROR(INDEX(BASE,MATCH(tblPRINTERS[[#This Row],[CASE ID]],BASE_CASOS,0),MATCH(tblPRINTERS[[#Headers],[Observação Calback]],BASE_CAB,0)),"-")</f>
        <v>ira responder</v>
      </c>
      <c r="P335" s="42" t="str">
        <f>IF(ISERROR(INDEX(QUALIDADE,MATCH(tblPRINTERS[[#This Row],[CASE ID]],PROTOCOLO_PESQUISAS,0),MATCH("Return Time",QUALIDADE_CAB,0)))=FALSE,INDEX(QUALIDADE,MATCH(tblPRINTERS[[#This Row],[CASE ID]],PROTOCOLO_PESQUISAS,0),MATCH("Return Time",QUALIDADE_CAB,0)),"")</f>
        <v/>
      </c>
      <c r="Q335" s="34" t="str">
        <f>IF(tblPRINTERS[[#This Row],[DATA | PESQUISA RECEBIDA]]="","",PROPER(TEXT(tblPRINTERS[[#This Row],[DATA | PESQUISA RECEBIDA]],"DDDD")))</f>
        <v/>
      </c>
    </row>
    <row r="336" spans="1:17" hidden="1">
      <c r="A336" s="54">
        <v>3035472599</v>
      </c>
      <c r="B336" s="54" t="s">
        <v>500</v>
      </c>
      <c r="C336" s="90">
        <v>42739.73704378472</v>
      </c>
      <c r="D336" s="86">
        <v>42741.73704378472</v>
      </c>
      <c r="E336" s="54" t="s">
        <v>25</v>
      </c>
      <c r="F336" s="54" t="s">
        <v>1525</v>
      </c>
      <c r="G336" s="54" t="s">
        <v>302</v>
      </c>
      <c r="H336" s="54" t="s">
        <v>23</v>
      </c>
      <c r="I336" s="54" t="s">
        <v>811</v>
      </c>
      <c r="J336" s="54" t="s">
        <v>303</v>
      </c>
      <c r="K336" s="54" t="s">
        <v>1580</v>
      </c>
      <c r="L336" s="87">
        <v>42742.591666666667</v>
      </c>
      <c r="M336" s="34" t="str">
        <f>IFERROR(INDEX(BASE,MATCH(tblPRINTERS[[#This Row],[CASE ID]],BASE_CASOS,0),MATCH(tblPRINTERS[[#Headers],[tratativa]],BASE_CAB,0)),"Retornar com prioridade")</f>
        <v>Sem contato</v>
      </c>
      <c r="N336" s="34" t="str">
        <f>IFERROR(INDEX(BASE,MATCH(tblPRINTERS[[#This Row],[CASE ID]],BASE_CASOS,0),MATCH(tblPRINTERS[[#Headers],[Observação]],BASE_CAB,0)),"-")</f>
        <v>Sem contato (Só chama, Cx postal, Ocupado)</v>
      </c>
      <c r="O336" s="34" t="str">
        <f>IFERROR(INDEX(BASE,MATCH(tblPRINTERS[[#This Row],[CASE ID]],BASE_CASOS,0),MATCH(tblPRINTERS[[#Headers],[Observação Calback]],BASE_CAB,0)),"-")</f>
        <v>so chama</v>
      </c>
      <c r="P336" s="42" t="str">
        <f>IF(ISERROR(INDEX(QUALIDADE,MATCH(tblPRINTERS[[#This Row],[CASE ID]],PROTOCOLO_PESQUISAS,0),MATCH("Return Time",QUALIDADE_CAB,0)))=FALSE,INDEX(QUALIDADE,MATCH(tblPRINTERS[[#This Row],[CASE ID]],PROTOCOLO_PESQUISAS,0),MATCH("Return Time",QUALIDADE_CAB,0)),"")</f>
        <v/>
      </c>
      <c r="Q336" s="34" t="str">
        <f>IF(tblPRINTERS[[#This Row],[DATA | PESQUISA RECEBIDA]]="","",PROPER(TEXT(tblPRINTERS[[#This Row],[DATA | PESQUISA RECEBIDA]],"DDDD")))</f>
        <v/>
      </c>
    </row>
    <row r="337" spans="1:17" hidden="1">
      <c r="A337" s="54">
        <v>3035472766</v>
      </c>
      <c r="B337" s="54" t="s">
        <v>500</v>
      </c>
      <c r="C337" s="90">
        <v>42739.73704378472</v>
      </c>
      <c r="D337" s="86">
        <v>42741.73704378472</v>
      </c>
      <c r="E337" s="54" t="s">
        <v>55</v>
      </c>
      <c r="F337" s="54" t="s">
        <v>55</v>
      </c>
      <c r="G337" s="54" t="s">
        <v>301</v>
      </c>
      <c r="H337" s="54" t="s">
        <v>23</v>
      </c>
      <c r="I337" s="54" t="s">
        <v>811</v>
      </c>
      <c r="J337" s="54" t="s">
        <v>304</v>
      </c>
      <c r="K337" s="54" t="s">
        <v>1581</v>
      </c>
      <c r="L337" s="87">
        <v>42742.595138888886</v>
      </c>
      <c r="M337" s="34" t="str">
        <f>IFERROR(INDEX(BASE,MATCH(tblPRINTERS[[#This Row],[CASE ID]],BASE_CASOS,0),MATCH(tblPRINTERS[[#Headers],[tratativa]],BASE_CAB,0)),"Retornar com prioridade")</f>
        <v>Não responder pesquisa</v>
      </c>
      <c r="N337" s="34" t="str">
        <f>IFERROR(INDEX(BASE,MATCH(tblPRINTERS[[#This Row],[CASE ID]],BASE_CASOS,0),MATCH(tblPRINTERS[[#Headers],[Observação]],BASE_CAB,0)),"-")</f>
        <v>Caso não resolvido / Equipamento em reparo</v>
      </c>
      <c r="O337" s="34" t="str">
        <f>IFERROR(INDEX(BASE,MATCH(tblPRINTERS[[#This Row],[CASE ID]],BASE_CASOS,0),MATCH(tblPRINTERS[[#Headers],[Observação Calback]],BASE_CAB,0)),"-")</f>
        <v>em testes</v>
      </c>
      <c r="P337" s="42" t="str">
        <f>IF(ISERROR(INDEX(QUALIDADE,MATCH(tblPRINTERS[[#This Row],[CASE ID]],PROTOCOLO_PESQUISAS,0),MATCH("Return Time",QUALIDADE_CAB,0)))=FALSE,INDEX(QUALIDADE,MATCH(tblPRINTERS[[#This Row],[CASE ID]],PROTOCOLO_PESQUISAS,0),MATCH("Return Time",QUALIDADE_CAB,0)),"")</f>
        <v/>
      </c>
      <c r="Q337" s="34" t="str">
        <f>IF(tblPRINTERS[[#This Row],[DATA | PESQUISA RECEBIDA]]="","",PROPER(TEXT(tblPRINTERS[[#This Row],[DATA | PESQUISA RECEBIDA]],"DDDD")))</f>
        <v/>
      </c>
    </row>
    <row r="338" spans="1:17" hidden="1">
      <c r="A338" s="54">
        <v>3035482825</v>
      </c>
      <c r="B338" s="54" t="s">
        <v>500</v>
      </c>
      <c r="C338" s="90">
        <v>42739.73704378472</v>
      </c>
      <c r="D338" s="86">
        <v>42741.73704378472</v>
      </c>
      <c r="E338" s="54" t="s">
        <v>27</v>
      </c>
      <c r="F338" s="54" t="s">
        <v>47</v>
      </c>
      <c r="G338" s="54" t="s">
        <v>302</v>
      </c>
      <c r="H338" s="54" t="s">
        <v>23</v>
      </c>
      <c r="I338" s="56" t="s">
        <v>811</v>
      </c>
      <c r="J338" s="54" t="s">
        <v>304</v>
      </c>
      <c r="K338" s="56" t="s">
        <v>1582</v>
      </c>
      <c r="L338" s="87">
        <v>42742.597916666666</v>
      </c>
      <c r="M338" s="34" t="str">
        <f>IFERROR(INDEX(BASE,MATCH(tblPRINTERS[[#This Row],[CASE ID]],BASE_CASOS,0),MATCH(tblPRINTERS[[#Headers],[tratativa]],BASE_CAB,0)),"Retornar com prioridade")</f>
        <v>Retornar com prioridade</v>
      </c>
      <c r="N338" s="34" t="str">
        <f>IFERROR(INDEX(BASE,MATCH(tblPRINTERS[[#This Row],[CASE ID]],BASE_CASOS,0),MATCH(tblPRINTERS[[#Headers],[Observação]],BASE_CAB,0)),"-")</f>
        <v>-</v>
      </c>
      <c r="O338" s="34" t="str">
        <f>IFERROR(INDEX(BASE,MATCH(tblPRINTERS[[#This Row],[CASE ID]],BASE_CASOS,0),MATCH(tblPRINTERS[[#Headers],[Observação Calback]],BASE_CAB,0)),"-")</f>
        <v>-</v>
      </c>
      <c r="P338" s="42" t="str">
        <f>IF(ISERROR(INDEX(QUALIDADE,MATCH(tblPRINTERS[[#This Row],[CASE ID]],PROTOCOLO_PESQUISAS,0),MATCH("Return Time",QUALIDADE_CAB,0)))=FALSE,INDEX(QUALIDADE,MATCH(tblPRINTERS[[#This Row],[CASE ID]],PROTOCOLO_PESQUISAS,0),MATCH("Return Time",QUALIDADE_CAB,0)),"")</f>
        <v/>
      </c>
      <c r="Q338" s="34" t="str">
        <f>IF(tblPRINTERS[[#This Row],[DATA | PESQUISA RECEBIDA]]="","",PROPER(TEXT(tblPRINTERS[[#This Row],[DATA | PESQUISA RECEBIDA]],"DDDD")))</f>
        <v/>
      </c>
    </row>
    <row r="339" spans="1:17" hidden="1">
      <c r="A339" s="54">
        <v>3035479865</v>
      </c>
      <c r="B339" s="54" t="s">
        <v>500</v>
      </c>
      <c r="C339" s="90">
        <v>42739.73704378472</v>
      </c>
      <c r="D339" s="86">
        <v>42741.73704378472</v>
      </c>
      <c r="E339" s="54" t="s">
        <v>32</v>
      </c>
      <c r="F339" s="54" t="s">
        <v>32</v>
      </c>
      <c r="G339" s="54" t="s">
        <v>301</v>
      </c>
      <c r="H339" s="54" t="s">
        <v>31</v>
      </c>
      <c r="I339" s="54" t="s">
        <v>811</v>
      </c>
      <c r="J339" s="54" t="s">
        <v>304</v>
      </c>
      <c r="K339" s="54" t="s">
        <v>1583</v>
      </c>
      <c r="L339" s="87">
        <v>42742.602777777778</v>
      </c>
      <c r="M339" s="34" t="str">
        <f>IFERROR(INDEX(BASE,MATCH(tblPRINTERS[[#This Row],[CASE ID]],BASE_CASOS,0),MATCH(tblPRINTERS[[#Headers],[tratativa]],BASE_CAB,0)),"Retornar com prioridade")</f>
        <v>Sem contato</v>
      </c>
      <c r="N339" s="34" t="str">
        <f>IFERROR(INDEX(BASE,MATCH(tblPRINTERS[[#This Row],[CASE ID]],BASE_CASOS,0),MATCH(tblPRINTERS[[#Headers],[Observação]],BASE_CAB,0)),"-")</f>
        <v>Sem contato (Só chama, Cx postal, Ocupado)</v>
      </c>
      <c r="O339" s="34" t="str">
        <f>IFERROR(INDEX(BASE,MATCH(tblPRINTERS[[#This Row],[CASE ID]],BASE_CASOS,0),MATCH(tblPRINTERS[[#Headers],[Observação Calback]],BASE_CAB,0)),"-")</f>
        <v>retonrar as 16h</v>
      </c>
      <c r="P339" s="42" t="str">
        <f>IF(ISERROR(INDEX(QUALIDADE,MATCH(tblPRINTERS[[#This Row],[CASE ID]],PROTOCOLO_PESQUISAS,0),MATCH("Return Time",QUALIDADE_CAB,0)))=FALSE,INDEX(QUALIDADE,MATCH(tblPRINTERS[[#This Row],[CASE ID]],PROTOCOLO_PESQUISAS,0),MATCH("Return Time",QUALIDADE_CAB,0)),"")</f>
        <v/>
      </c>
      <c r="Q339" s="34" t="str">
        <f>IF(tblPRINTERS[[#This Row],[DATA | PESQUISA RECEBIDA]]="","",PROPER(TEXT(tblPRINTERS[[#This Row],[DATA | PESQUISA RECEBIDA]],"DDDD")))</f>
        <v/>
      </c>
    </row>
    <row r="340" spans="1:17" hidden="1">
      <c r="A340" s="54">
        <v>3035482183</v>
      </c>
      <c r="B340" s="54" t="s">
        <v>500</v>
      </c>
      <c r="C340" s="90">
        <v>42739.73704378472</v>
      </c>
      <c r="D340" s="86">
        <v>42741.73704378472</v>
      </c>
      <c r="E340" s="54" t="s">
        <v>24</v>
      </c>
      <c r="F340" s="54" t="s">
        <v>24</v>
      </c>
      <c r="G340" s="54" t="s">
        <v>301</v>
      </c>
      <c r="H340" s="54" t="s">
        <v>23</v>
      </c>
      <c r="I340" s="54" t="s">
        <v>817</v>
      </c>
      <c r="J340" s="54" t="s">
        <v>303</v>
      </c>
      <c r="K340" s="54" t="s">
        <v>305</v>
      </c>
      <c r="L340" s="87">
        <v>42746</v>
      </c>
      <c r="M340" s="34" t="str">
        <f>IFERROR(INDEX(BASE,MATCH(tblPRINTERS[[#This Row],[CASE ID]],BASE_CASOS,0),MATCH(tblPRINTERS[[#Headers],[tratativa]],BASE_CAB,0)),"Retornar com prioridade")</f>
        <v>Sem contato</v>
      </c>
      <c r="N340" s="34" t="str">
        <f>IFERROR(INDEX(BASE,MATCH(tblPRINTERS[[#This Row],[CASE ID]],BASE_CASOS,0),MATCH(tblPRINTERS[[#Headers],[Observação]],BASE_CAB,0)),"-")</f>
        <v>Sem contato (Só chama, Cx postal, Ocupado)</v>
      </c>
      <c r="O340" s="34" t="str">
        <f>IFERROR(INDEX(BASE,MATCH(tblPRINTERS[[#This Row],[CASE ID]],BASE_CASOS,0),MATCH(tblPRINTERS[[#Headers],[Observação Calback]],BASE_CAB,0)),"-")</f>
        <v>mae do cliente informa que ele levou a  impressora para a loja.</v>
      </c>
      <c r="P340" s="42" t="str">
        <f>IF(ISERROR(INDEX(QUALIDADE,MATCH(tblPRINTERS[[#This Row],[CASE ID]],PROTOCOLO_PESQUISAS,0),MATCH("Return Time",QUALIDADE_CAB,0)))=FALSE,INDEX(QUALIDADE,MATCH(tblPRINTERS[[#This Row],[CASE ID]],PROTOCOLO_PESQUISAS,0),MATCH("Return Time",QUALIDADE_CAB,0)),"")</f>
        <v/>
      </c>
      <c r="Q340" s="34" t="str">
        <f>IF(tblPRINTERS[[#This Row],[DATA | PESQUISA RECEBIDA]]="","",PROPER(TEXT(tblPRINTERS[[#This Row],[DATA | PESQUISA RECEBIDA]],"DDDD")))</f>
        <v/>
      </c>
    </row>
    <row r="341" spans="1:17" hidden="1">
      <c r="A341" s="54">
        <v>3035431663</v>
      </c>
      <c r="B341" s="54" t="s">
        <v>500</v>
      </c>
      <c r="C341" s="90">
        <v>42739.73704378472</v>
      </c>
      <c r="D341" s="86">
        <v>42741.73704378472</v>
      </c>
      <c r="E341" s="54" t="s">
        <v>1548</v>
      </c>
      <c r="F341" s="54" t="s">
        <v>33</v>
      </c>
      <c r="G341" s="54" t="s">
        <v>302</v>
      </c>
      <c r="H341" s="54" t="s">
        <v>31</v>
      </c>
      <c r="I341" s="54" t="s">
        <v>817</v>
      </c>
      <c r="J341" s="54" t="s">
        <v>304</v>
      </c>
      <c r="K341" s="54" t="s">
        <v>2635</v>
      </c>
      <c r="L341" s="87">
        <v>42746</v>
      </c>
      <c r="M341" s="34" t="str">
        <f>IFERROR(INDEX(BASE,MATCH(tblPRINTERS[[#This Row],[CASE ID]],BASE_CASOS,0),MATCH(tblPRINTERS[[#Headers],[tratativa]],BASE_CAB,0)),"Retornar com prioridade")</f>
        <v>Não responder pesquisa</v>
      </c>
      <c r="N341" s="34" t="str">
        <f>IFERROR(INDEX(BASE,MATCH(tblPRINTERS[[#This Row],[CASE ID]],BASE_CASOS,0),MATCH(tblPRINTERS[[#Headers],[Observação]],BASE_CAB,0)),"-")</f>
        <v>Cliente insatisfeito Atendimento</v>
      </c>
      <c r="O341" s="34" t="str">
        <f>IFERROR(INDEX(BASE,MATCH(tblPRINTERS[[#This Row],[CASE ID]],BASE_CASOS,0),MATCH(tblPRINTERS[[#Headers],[Observação Calback]],BASE_CAB,0)),"-")</f>
        <v>trocou a impressora.</v>
      </c>
      <c r="P341" s="42" t="str">
        <f>IF(ISERROR(INDEX(QUALIDADE,MATCH(tblPRINTERS[[#This Row],[CASE ID]],PROTOCOLO_PESQUISAS,0),MATCH("Return Time",QUALIDADE_CAB,0)))=FALSE,INDEX(QUALIDADE,MATCH(tblPRINTERS[[#This Row],[CASE ID]],PROTOCOLO_PESQUISAS,0),MATCH("Return Time",QUALIDADE_CAB,0)),"")</f>
        <v/>
      </c>
      <c r="Q341" s="34" t="str">
        <f>IF(tblPRINTERS[[#This Row],[DATA | PESQUISA RECEBIDA]]="","",PROPER(TEXT(tblPRINTERS[[#This Row],[DATA | PESQUISA RECEBIDA]],"DDDD")))</f>
        <v/>
      </c>
    </row>
    <row r="342" spans="1:17" hidden="1">
      <c r="A342" s="54">
        <v>3035469263</v>
      </c>
      <c r="B342" s="54" t="s">
        <v>500</v>
      </c>
      <c r="C342" s="90">
        <v>42739.73704378472</v>
      </c>
      <c r="D342" s="86">
        <v>42741.73704378472</v>
      </c>
      <c r="E342" s="54" t="s">
        <v>14</v>
      </c>
      <c r="F342" s="54" t="s">
        <v>14</v>
      </c>
      <c r="G342" s="54" t="s">
        <v>301</v>
      </c>
      <c r="H342" s="54" t="s">
        <v>9</v>
      </c>
      <c r="I342" s="54" t="s">
        <v>817</v>
      </c>
      <c r="J342" s="54" t="s">
        <v>304</v>
      </c>
      <c r="K342" s="54" t="s">
        <v>307</v>
      </c>
      <c r="L342" s="87">
        <v>42746</v>
      </c>
      <c r="M342" s="34" t="str">
        <f>IFERROR(INDEX(BASE,MATCH(tblPRINTERS[[#This Row],[CASE ID]],BASE_CASOS,0),MATCH(tblPRINTERS[[#Headers],[tratativa]],BASE_CAB,0)),"Retornar com prioridade")</f>
        <v>Não responder pesquisa</v>
      </c>
      <c r="N342" s="34" t="str">
        <f>IFERROR(INDEX(BASE,MATCH(tblPRINTERS[[#This Row],[CASE ID]],BASE_CASOS,0),MATCH(tblPRINTERS[[#Headers],[Observação]],BASE_CAB,0)),"-")</f>
        <v>Caso não resolvido / Equipamento em reparo</v>
      </c>
      <c r="O342" s="34" t="str">
        <f>IFERROR(INDEX(BASE,MATCH(tblPRINTERS[[#This Row],[CASE ID]],BASE_CASOS,0),MATCH(tblPRINTERS[[#Headers],[Observação Calback]],BASE_CAB,0)),"-")</f>
        <v>Falha é intermitente</v>
      </c>
      <c r="P342" s="42" t="str">
        <f>IF(ISERROR(INDEX(QUALIDADE,MATCH(tblPRINTERS[[#This Row],[CASE ID]],PROTOCOLO_PESQUISAS,0),MATCH("Return Time",QUALIDADE_CAB,0)))=FALSE,INDEX(QUALIDADE,MATCH(tblPRINTERS[[#This Row],[CASE ID]],PROTOCOLO_PESQUISAS,0),MATCH("Return Time",QUALIDADE_CAB,0)),"")</f>
        <v/>
      </c>
      <c r="Q342" s="34" t="str">
        <f>IF(tblPRINTERS[[#This Row],[DATA | PESQUISA RECEBIDA]]="","",PROPER(TEXT(tblPRINTERS[[#This Row],[DATA | PESQUISA RECEBIDA]],"DDDD")))</f>
        <v/>
      </c>
    </row>
    <row r="343" spans="1:17" hidden="1">
      <c r="A343" s="54">
        <v>3035471252</v>
      </c>
      <c r="B343" s="54" t="s">
        <v>500</v>
      </c>
      <c r="C343" s="90">
        <v>42739.73704378472</v>
      </c>
      <c r="D343" s="86">
        <v>42741.73704378472</v>
      </c>
      <c r="E343" s="54" t="s">
        <v>16</v>
      </c>
      <c r="F343" s="54" t="s">
        <v>16</v>
      </c>
      <c r="G343" s="54" t="s">
        <v>301</v>
      </c>
      <c r="H343" s="54" t="s">
        <v>9</v>
      </c>
      <c r="I343" s="54" t="s">
        <v>817</v>
      </c>
      <c r="J343" s="54" t="s">
        <v>304</v>
      </c>
      <c r="K343" s="54" t="s">
        <v>307</v>
      </c>
      <c r="L343" s="87">
        <v>42745</v>
      </c>
      <c r="M343" s="34" t="str">
        <f>IFERROR(INDEX(BASE,MATCH(tblPRINTERS[[#This Row],[CASE ID]],BASE_CASOS,0),MATCH(tblPRINTERS[[#Headers],[tratativa]],BASE_CAB,0)),"Retornar com prioridade")</f>
        <v>Responder pesquisa</v>
      </c>
      <c r="N343" s="34" t="str">
        <f>IFERROR(INDEX(BASE,MATCH(tblPRINTERS[[#This Row],[CASE ID]],BASE_CASOS,0),MATCH(tblPRINTERS[[#Headers],[Observação]],BASE_CAB,0)),"-")</f>
        <v>Nota 9/10</v>
      </c>
      <c r="O343" s="34" t="str">
        <f>IFERROR(INDEX(BASE,MATCH(tblPRINTERS[[#This Row],[CASE ID]],BASE_CASOS,0),MATCH(tblPRINTERS[[#Headers],[Observação Calback]],BASE_CAB,0)),"-")</f>
        <v>ira responder</v>
      </c>
      <c r="P343" s="42" t="str">
        <f>IF(ISERROR(INDEX(QUALIDADE,MATCH(tblPRINTERS[[#This Row],[CASE ID]],PROTOCOLO_PESQUISAS,0),MATCH("Return Time",QUALIDADE_CAB,0)))=FALSE,INDEX(QUALIDADE,MATCH(tblPRINTERS[[#This Row],[CASE ID]],PROTOCOLO_PESQUISAS,0),MATCH("Return Time",QUALIDADE_CAB,0)),"")</f>
        <v/>
      </c>
      <c r="Q343" s="34" t="str">
        <f>IF(tblPRINTERS[[#This Row],[DATA | PESQUISA RECEBIDA]]="","",PROPER(TEXT(tblPRINTERS[[#This Row],[DATA | PESQUISA RECEBIDA]],"DDDD")))</f>
        <v/>
      </c>
    </row>
    <row r="344" spans="1:17" hidden="1">
      <c r="A344" s="54">
        <v>3035484662</v>
      </c>
      <c r="B344" s="54" t="s">
        <v>500</v>
      </c>
      <c r="C344" s="90">
        <v>42739.73704378472</v>
      </c>
      <c r="D344" s="86">
        <v>42741.73704378472</v>
      </c>
      <c r="E344" s="54" t="s">
        <v>583</v>
      </c>
      <c r="F344" s="54" t="s">
        <v>583</v>
      </c>
      <c r="G344" s="54" t="s">
        <v>301</v>
      </c>
      <c r="H344" s="54" t="s">
        <v>23</v>
      </c>
      <c r="I344" s="54" t="s">
        <v>817</v>
      </c>
      <c r="J344" s="54" t="s">
        <v>303</v>
      </c>
      <c r="K344" s="54" t="s">
        <v>2468</v>
      </c>
      <c r="L344" s="87">
        <v>42745</v>
      </c>
      <c r="M344" s="34" t="str">
        <f>IFERROR(INDEX(BASE,MATCH(tblPRINTERS[[#This Row],[CASE ID]],BASE_CASOS,0),MATCH(tblPRINTERS[[#Headers],[tratativa]],BASE_CAB,0)),"Retornar com prioridade")</f>
        <v>Responder pesquisa</v>
      </c>
      <c r="N344" s="34" t="str">
        <f>IFERROR(INDEX(BASE,MATCH(tblPRINTERS[[#This Row],[CASE ID]],BASE_CASOS,0),MATCH(tblPRINTERS[[#Headers],[Observação]],BASE_CAB,0)),"-")</f>
        <v>Nota 9/10</v>
      </c>
      <c r="O344" s="34" t="str">
        <f>IFERROR(INDEX(BASE,MATCH(tblPRINTERS[[#This Row],[CASE ID]],BASE_CASOS,0),MATCH(tblPRINTERS[[#Headers],[Observação Calback]],BASE_CAB,0)),"-")</f>
        <v>Cliente vai avaliar o funcionamento da impressora por alguns dias</v>
      </c>
      <c r="P344" s="42" t="str">
        <f>IF(ISERROR(INDEX(QUALIDADE,MATCH(tblPRINTERS[[#This Row],[CASE ID]],PROTOCOLO_PESQUISAS,0),MATCH("Return Time",QUALIDADE_CAB,0)))=FALSE,INDEX(QUALIDADE,MATCH(tblPRINTERS[[#This Row],[CASE ID]],PROTOCOLO_PESQUISAS,0),MATCH("Return Time",QUALIDADE_CAB,0)),"")</f>
        <v/>
      </c>
      <c r="Q344" s="34" t="str">
        <f>IF(tblPRINTERS[[#This Row],[DATA | PESQUISA RECEBIDA]]="","",PROPER(TEXT(tblPRINTERS[[#This Row],[DATA | PESQUISA RECEBIDA]],"DDDD")))</f>
        <v/>
      </c>
    </row>
    <row r="345" spans="1:17" hidden="1">
      <c r="A345" s="54">
        <v>3035430639</v>
      </c>
      <c r="B345" s="54" t="s">
        <v>500</v>
      </c>
      <c r="C345" s="90">
        <v>42739.73704378472</v>
      </c>
      <c r="D345" s="86">
        <v>42741.73704378472</v>
      </c>
      <c r="E345" s="54" t="s">
        <v>32</v>
      </c>
      <c r="F345" s="54" t="s">
        <v>33</v>
      </c>
      <c r="G345" s="54" t="s">
        <v>302</v>
      </c>
      <c r="H345" s="54" t="s">
        <v>31</v>
      </c>
      <c r="L345" s="87"/>
      <c r="M345" s="34" t="str">
        <f>IFERROR(INDEX(BASE,MATCH(tblPRINTERS[[#This Row],[CASE ID]],BASE_CASOS,0),MATCH(tblPRINTERS[[#Headers],[tratativa]],BASE_CAB,0)),"Retornar com prioridade")</f>
        <v>Não responder pesquisa</v>
      </c>
      <c r="N345" s="34" t="str">
        <f>IFERROR(INDEX(BASE,MATCH(tblPRINTERS[[#This Row],[CASE ID]],BASE_CASOS,0),MATCH(tblPRINTERS[[#Headers],[Observação]],BASE_CAB,0)),"-")</f>
        <v>Cliente insatisfeito HP / Equipamento</v>
      </c>
      <c r="O345" s="34" t="str">
        <f>IFERROR(INDEX(BASE,MATCH(tblPRINTERS[[#This Row],[CASE ID]],BASE_CASOS,0),MATCH(tblPRINTERS[[#Headers],[Observação Calback]],BASE_CAB,0)),"-")</f>
        <v>jogou equipamento fora</v>
      </c>
      <c r="P345" s="42" t="str">
        <f>IF(ISERROR(INDEX(QUALIDADE,MATCH(tblPRINTERS[[#This Row],[CASE ID]],PROTOCOLO_PESQUISAS,0),MATCH("Return Time",QUALIDADE_CAB,0)))=FALSE,INDEX(QUALIDADE,MATCH(tblPRINTERS[[#This Row],[CASE ID]],PROTOCOLO_PESQUISAS,0),MATCH("Return Time",QUALIDADE_CAB,0)),"")</f>
        <v/>
      </c>
      <c r="Q345" s="34" t="str">
        <f>IF(tblPRINTERS[[#This Row],[DATA | PESQUISA RECEBIDA]]="","",PROPER(TEXT(tblPRINTERS[[#This Row],[DATA | PESQUISA RECEBIDA]],"DDDD")))</f>
        <v/>
      </c>
    </row>
    <row r="346" spans="1:17" hidden="1">
      <c r="A346" s="54">
        <v>3034691278</v>
      </c>
      <c r="B346" s="54" t="s">
        <v>500</v>
      </c>
      <c r="C346" s="90">
        <v>42738.737874421298</v>
      </c>
      <c r="D346" s="86">
        <v>42740.737874421298</v>
      </c>
      <c r="E346" s="54" t="s">
        <v>256</v>
      </c>
      <c r="F346" s="54" t="s">
        <v>256</v>
      </c>
      <c r="G346" s="54" t="s">
        <v>301</v>
      </c>
      <c r="H346" s="54" t="s">
        <v>256</v>
      </c>
      <c r="I346" s="54" t="s">
        <v>817</v>
      </c>
      <c r="J346" s="54" t="s">
        <v>303</v>
      </c>
      <c r="K346" s="54" t="s">
        <v>1545</v>
      </c>
      <c r="L346" s="87">
        <v>42741</v>
      </c>
      <c r="M346" s="34" t="str">
        <f>IFERROR(INDEX(BASE,MATCH(tblPRINTERS[[#This Row],[CASE ID]],BASE_CASOS,0),MATCH(tblPRINTERS[[#Headers],[tratativa]],BASE_CAB,0)),"Retornar com prioridade")</f>
        <v>Retornar com prioridade</v>
      </c>
      <c r="N346" s="34" t="str">
        <f>IFERROR(INDEX(BASE,MATCH(tblPRINTERS[[#This Row],[CASE ID]],BASE_CASOS,0),MATCH(tblPRINTERS[[#Headers],[Observação]],BASE_CAB,0)),"-")</f>
        <v>-</v>
      </c>
      <c r="O346" s="34" t="str">
        <f>IFERROR(INDEX(BASE,MATCH(tblPRINTERS[[#This Row],[CASE ID]],BASE_CASOS,0),MATCH(tblPRINTERS[[#Headers],[Observação Calback]],BASE_CAB,0)),"-")</f>
        <v>-</v>
      </c>
      <c r="P346" s="42" t="str">
        <f>IF(ISERROR(INDEX(QUALIDADE,MATCH(tblPRINTERS[[#This Row],[CASE ID]],PROTOCOLO_PESQUISAS,0),MATCH("Return Time",QUALIDADE_CAB,0)))=FALSE,INDEX(QUALIDADE,MATCH(tblPRINTERS[[#This Row],[CASE ID]],PROTOCOLO_PESQUISAS,0),MATCH("Return Time",QUALIDADE_CAB,0)),"")</f>
        <v/>
      </c>
      <c r="Q346" s="34" t="str">
        <f>IF(tblPRINTERS[[#This Row],[DATA | PESQUISA RECEBIDA]]="","",PROPER(TEXT(tblPRINTERS[[#This Row],[DATA | PESQUISA RECEBIDA]],"DDDD")))</f>
        <v/>
      </c>
    </row>
    <row r="347" spans="1:17" hidden="1">
      <c r="A347" s="54">
        <v>3035292787</v>
      </c>
      <c r="B347" s="54" t="s">
        <v>500</v>
      </c>
      <c r="C347" s="90">
        <v>42738.737851504629</v>
      </c>
      <c r="D347" s="86">
        <v>42740.737851504629</v>
      </c>
      <c r="E347" s="54" t="s">
        <v>593</v>
      </c>
      <c r="F347" s="54" t="s">
        <v>21</v>
      </c>
      <c r="G347" s="54" t="s">
        <v>302</v>
      </c>
      <c r="H347" s="54" t="s">
        <v>273</v>
      </c>
      <c r="I347" s="54" t="s">
        <v>817</v>
      </c>
      <c r="J347" s="54" t="s">
        <v>304</v>
      </c>
      <c r="K347" s="54" t="s">
        <v>1544</v>
      </c>
      <c r="L347" s="87">
        <v>42741</v>
      </c>
      <c r="M347" s="34" t="str">
        <f>IFERROR(INDEX(BASE,MATCH(tblPRINTERS[[#This Row],[CASE ID]],BASE_CASOS,0),MATCH(tblPRINTERS[[#Headers],[tratativa]],BASE_CAB,0)),"Retornar com prioridade")</f>
        <v>Não responder pesquisa</v>
      </c>
      <c r="N347" s="34" t="str">
        <f>IFERROR(INDEX(BASE,MATCH(tblPRINTERS[[#This Row],[CASE ID]],BASE_CASOS,0),MATCH(tblPRINTERS[[#Headers],[Observação]],BASE_CAB,0)),"-")</f>
        <v>Caso não resolvido / Equipamento em reparo</v>
      </c>
      <c r="O347" s="34" t="str">
        <f>IFERROR(INDEX(BASE,MATCH(tblPRINTERS[[#This Row],[CASE ID]],BASE_CASOS,0),MATCH(tblPRINTERS[[#Headers],[Observação Calback]],BASE_CAB,0)),"-")</f>
        <v>ira comprar cartucho</v>
      </c>
      <c r="P347" s="42" t="str">
        <f>IF(ISERROR(INDEX(QUALIDADE,MATCH(tblPRINTERS[[#This Row],[CASE ID]],PROTOCOLO_PESQUISAS,0),MATCH("Return Time",QUALIDADE_CAB,0)))=FALSE,INDEX(QUALIDADE,MATCH(tblPRINTERS[[#This Row],[CASE ID]],PROTOCOLO_PESQUISAS,0),MATCH("Return Time",QUALIDADE_CAB,0)),"")</f>
        <v/>
      </c>
      <c r="Q347" s="34" t="str">
        <f>IF(tblPRINTERS[[#This Row],[DATA | PESQUISA RECEBIDA]]="","",PROPER(TEXT(tblPRINTERS[[#This Row],[DATA | PESQUISA RECEBIDA]],"DDDD")))</f>
        <v/>
      </c>
    </row>
    <row r="348" spans="1:17" hidden="1">
      <c r="A348" s="54">
        <v>3035333619</v>
      </c>
      <c r="B348" s="54" t="s">
        <v>500</v>
      </c>
      <c r="C348" s="90">
        <v>42738.737851504629</v>
      </c>
      <c r="D348" s="86">
        <v>42740.737851504629</v>
      </c>
      <c r="E348" s="54" t="s">
        <v>599</v>
      </c>
      <c r="F348" s="54" t="s">
        <v>21</v>
      </c>
      <c r="G348" s="54" t="s">
        <v>302</v>
      </c>
      <c r="H348" s="54" t="s">
        <v>273</v>
      </c>
      <c r="I348" s="54" t="s">
        <v>817</v>
      </c>
      <c r="J348" s="54" t="s">
        <v>303</v>
      </c>
      <c r="K348" s="54" t="s">
        <v>305</v>
      </c>
      <c r="L348" s="87">
        <v>42746</v>
      </c>
      <c r="M348" s="34" t="str">
        <f>IFERROR(INDEX(BASE,MATCH(tblPRINTERS[[#This Row],[CASE ID]],BASE_CASOS,0),MATCH(tblPRINTERS[[#Headers],[tratativa]],BASE_CAB,0)),"Retornar com prioridade")</f>
        <v>Sem contato</v>
      </c>
      <c r="N348" s="34" t="str">
        <f>IFERROR(INDEX(BASE,MATCH(tblPRINTERS[[#This Row],[CASE ID]],BASE_CASOS,0),MATCH(tblPRINTERS[[#Headers],[Observação]],BASE_CAB,0)),"-")</f>
        <v>Sem contato (Só chama, Cx postal, Ocupado)</v>
      </c>
      <c r="O348" s="34" t="str">
        <f>IFERROR(INDEX(BASE,MATCH(tblPRINTERS[[#This Row],[CASE ID]],BASE_CASOS,0),MATCH(tblPRINTERS[[#Headers],[Observação Calback]],BASE_CAB,0)),"-")</f>
        <v>retornar as 14</v>
      </c>
      <c r="P348" s="42" t="str">
        <f>IF(ISERROR(INDEX(QUALIDADE,MATCH(tblPRINTERS[[#This Row],[CASE ID]],PROTOCOLO_PESQUISAS,0),MATCH("Return Time",QUALIDADE_CAB,0)))=FALSE,INDEX(QUALIDADE,MATCH(tblPRINTERS[[#This Row],[CASE ID]],PROTOCOLO_PESQUISAS,0),MATCH("Return Time",QUALIDADE_CAB,0)),"")</f>
        <v/>
      </c>
      <c r="Q348" s="34" t="str">
        <f>IF(tblPRINTERS[[#This Row],[DATA | PESQUISA RECEBIDA]]="","",PROPER(TEXT(tblPRINTERS[[#This Row],[DATA | PESQUISA RECEBIDA]],"DDDD")))</f>
        <v/>
      </c>
    </row>
    <row r="349" spans="1:17" hidden="1">
      <c r="A349" s="54">
        <v>3035430616</v>
      </c>
      <c r="B349" s="54" t="s">
        <v>500</v>
      </c>
      <c r="C349" s="90">
        <v>42738.737851504629</v>
      </c>
      <c r="D349" s="86">
        <v>42740.737851504629</v>
      </c>
      <c r="E349" s="54" t="s">
        <v>35</v>
      </c>
      <c r="F349" s="54" t="s">
        <v>584</v>
      </c>
      <c r="G349" s="54" t="s">
        <v>302</v>
      </c>
      <c r="H349" s="54" t="s">
        <v>31</v>
      </c>
      <c r="I349" s="54" t="s">
        <v>817</v>
      </c>
      <c r="J349" s="54" t="s">
        <v>304</v>
      </c>
      <c r="K349" s="54" t="s">
        <v>307</v>
      </c>
      <c r="L349" s="87">
        <v>42741</v>
      </c>
      <c r="M349" s="34" t="str">
        <f>IFERROR(INDEX(BASE,MATCH(tblPRINTERS[[#This Row],[CASE ID]],BASE_CASOS,0),MATCH(tblPRINTERS[[#Headers],[tratativa]],BASE_CAB,0)),"Retornar com prioridade")</f>
        <v>Responder pesquisa</v>
      </c>
      <c r="N349" s="34" t="str">
        <f>IFERROR(INDEX(BASE,MATCH(tblPRINTERS[[#This Row],[CASE ID]],BASE_CASOS,0),MATCH(tblPRINTERS[[#Headers],[Observação]],BASE_CAB,0)),"-")</f>
        <v>Nota 9/10</v>
      </c>
      <c r="O349" s="34" t="str">
        <f>IFERROR(INDEX(BASE,MATCH(tblPRINTERS[[#This Row],[CASE ID]],BASE_CASOS,0),MATCH(tblPRINTERS[[#Headers],[Observação Calback]],BASE_CAB,0)),"-")</f>
        <v>ira responder</v>
      </c>
      <c r="P349" s="42" t="str">
        <f>IF(ISERROR(INDEX(QUALIDADE,MATCH(tblPRINTERS[[#This Row],[CASE ID]],PROTOCOLO_PESQUISAS,0),MATCH("Return Time",QUALIDADE_CAB,0)))=FALSE,INDEX(QUALIDADE,MATCH(tblPRINTERS[[#This Row],[CASE ID]],PROTOCOLO_PESQUISAS,0),MATCH("Return Time",QUALIDADE_CAB,0)),"")</f>
        <v/>
      </c>
      <c r="Q349" s="34" t="str">
        <f>IF(tblPRINTERS[[#This Row],[DATA | PESQUISA RECEBIDA]]="","",PROPER(TEXT(tblPRINTERS[[#This Row],[DATA | PESQUISA RECEBIDA]],"DDDD")))</f>
        <v/>
      </c>
    </row>
    <row r="350" spans="1:17" hidden="1">
      <c r="A350" s="54">
        <v>3035404846</v>
      </c>
      <c r="B350" s="54" t="s">
        <v>500</v>
      </c>
      <c r="C350" s="90">
        <v>42738.737851504629</v>
      </c>
      <c r="D350" s="86">
        <v>42740.737851504629</v>
      </c>
      <c r="E350" s="54" t="s">
        <v>861</v>
      </c>
      <c r="F350" s="54" t="s">
        <v>1374</v>
      </c>
      <c r="G350" s="54" t="s">
        <v>302</v>
      </c>
      <c r="H350" s="54" t="s">
        <v>31</v>
      </c>
      <c r="I350" s="54" t="s">
        <v>817</v>
      </c>
      <c r="J350" s="54" t="s">
        <v>303</v>
      </c>
      <c r="K350" s="54" t="s">
        <v>305</v>
      </c>
      <c r="L350" s="87">
        <v>42746</v>
      </c>
      <c r="M350" s="34" t="str">
        <f>IFERROR(INDEX(BASE,MATCH(tblPRINTERS[[#This Row],[CASE ID]],BASE_CASOS,0),MATCH(tblPRINTERS[[#Headers],[tratativa]],BASE_CAB,0)),"Retornar com prioridade")</f>
        <v>Não responder pesquisa</v>
      </c>
      <c r="N350" s="34" t="str">
        <f>IFERROR(INDEX(BASE,MATCH(tblPRINTERS[[#This Row],[CASE ID]],BASE_CASOS,0),MATCH(tblPRINTERS[[#Headers],[Observação]],BASE_CAB,0)),"-")</f>
        <v>Caso não resolvido / Equipamento em reparo</v>
      </c>
      <c r="O350" s="34" t="str">
        <f>IFERROR(INDEX(BASE,MATCH(tblPRINTERS[[#This Row],[CASE ID]],BASE_CASOS,0),MATCH(tblPRINTERS[[#Headers],[Observação Calback]],BASE_CAB,0)),"-")</f>
        <v>fora da garantia.</v>
      </c>
      <c r="P350" s="42" t="str">
        <f>IF(ISERROR(INDEX(QUALIDADE,MATCH(tblPRINTERS[[#This Row],[CASE ID]],PROTOCOLO_PESQUISAS,0),MATCH("Return Time",QUALIDADE_CAB,0)))=FALSE,INDEX(QUALIDADE,MATCH(tblPRINTERS[[#This Row],[CASE ID]],PROTOCOLO_PESQUISAS,0),MATCH("Return Time",QUALIDADE_CAB,0)),"")</f>
        <v/>
      </c>
      <c r="Q350" s="34" t="str">
        <f>IF(tblPRINTERS[[#This Row],[DATA | PESQUISA RECEBIDA]]="","",PROPER(TEXT(tblPRINTERS[[#This Row],[DATA | PESQUISA RECEBIDA]],"DDDD")))</f>
        <v/>
      </c>
    </row>
    <row r="351" spans="1:17" hidden="1">
      <c r="A351" s="54">
        <v>3035452023</v>
      </c>
      <c r="B351" s="54" t="s">
        <v>500</v>
      </c>
      <c r="C351" s="90">
        <v>42738.737851504629</v>
      </c>
      <c r="D351" s="86">
        <v>42740.737851504629</v>
      </c>
      <c r="E351" s="54" t="s">
        <v>27</v>
      </c>
      <c r="F351" s="54" t="s">
        <v>27</v>
      </c>
      <c r="G351" s="54" t="s">
        <v>301</v>
      </c>
      <c r="H351" s="54" t="s">
        <v>23</v>
      </c>
      <c r="I351" s="54" t="s">
        <v>817</v>
      </c>
      <c r="J351" s="54" t="s">
        <v>304</v>
      </c>
      <c r="K351" s="54" t="s">
        <v>1544</v>
      </c>
      <c r="L351" s="87">
        <v>42741</v>
      </c>
      <c r="M351" s="34" t="str">
        <f>IFERROR(INDEX(BASE,MATCH(tblPRINTERS[[#This Row],[CASE ID]],BASE_CASOS,0),MATCH(tblPRINTERS[[#Headers],[tratativa]],BASE_CAB,0)),"Retornar com prioridade")</f>
        <v>Não responder pesquisa</v>
      </c>
      <c r="N351" s="34" t="str">
        <f>IFERROR(INDEX(BASE,MATCH(tblPRINTERS[[#This Row],[CASE ID]],BASE_CASOS,0),MATCH(tblPRINTERS[[#Headers],[Observação]],BASE_CAB,0)),"-")</f>
        <v>Caso não resolvido / Equipamento em reparo</v>
      </c>
      <c r="O351" s="34" t="str">
        <f>IFERROR(INDEX(BASE,MATCH(tblPRINTERS[[#This Row],[CASE ID]],BASE_CASOS,0),MATCH(tblPRINTERS[[#Headers],[Observação Calback]],BASE_CAB,0)),"-")</f>
        <v>Vai retornar no suporte</v>
      </c>
      <c r="P351" s="42" t="str">
        <f>IF(ISERROR(INDEX(QUALIDADE,MATCH(tblPRINTERS[[#This Row],[CASE ID]],PROTOCOLO_PESQUISAS,0),MATCH("Return Time",QUALIDADE_CAB,0)))=FALSE,INDEX(QUALIDADE,MATCH(tblPRINTERS[[#This Row],[CASE ID]],PROTOCOLO_PESQUISAS,0),MATCH("Return Time",QUALIDADE_CAB,0)),"")</f>
        <v/>
      </c>
      <c r="Q351" s="34" t="str">
        <f>IF(tblPRINTERS[[#This Row],[DATA | PESQUISA RECEBIDA]]="","",PROPER(TEXT(tblPRINTERS[[#This Row],[DATA | PESQUISA RECEBIDA]],"DDDD")))</f>
        <v/>
      </c>
    </row>
    <row r="352" spans="1:17" hidden="1">
      <c r="A352" s="54">
        <v>3035336918</v>
      </c>
      <c r="B352" s="54" t="s">
        <v>500</v>
      </c>
      <c r="C352" s="90">
        <v>42738.737851504629</v>
      </c>
      <c r="D352" s="86">
        <v>42740.737851504629</v>
      </c>
      <c r="E352" s="54" t="s">
        <v>25</v>
      </c>
      <c r="F352" s="54" t="s">
        <v>47</v>
      </c>
      <c r="G352" s="54" t="s">
        <v>302</v>
      </c>
      <c r="H352" s="54" t="s">
        <v>23</v>
      </c>
      <c r="I352" s="54" t="s">
        <v>817</v>
      </c>
      <c r="J352" s="54" t="s">
        <v>304</v>
      </c>
      <c r="K352" s="54" t="s">
        <v>307</v>
      </c>
      <c r="L352" s="87">
        <v>42741</v>
      </c>
      <c r="M352" s="34" t="str">
        <f>IFERROR(INDEX(BASE,MATCH(tblPRINTERS[[#This Row],[CASE ID]],BASE_CASOS,0),MATCH(tblPRINTERS[[#Headers],[tratativa]],BASE_CAB,0)),"Retornar com prioridade")</f>
        <v>Responder pesquisa</v>
      </c>
      <c r="N352" s="34" t="str">
        <f>IFERROR(INDEX(BASE,MATCH(tblPRINTERS[[#This Row],[CASE ID]],BASE_CASOS,0),MATCH(tblPRINTERS[[#Headers],[Observação]],BASE_CAB,0)),"-")</f>
        <v>Nota 9/10</v>
      </c>
      <c r="O352" s="34" t="str">
        <f>IFERROR(INDEX(BASE,MATCH(tblPRINTERS[[#This Row],[CASE ID]],BASE_CASOS,0),MATCH(tblPRINTERS[[#Headers],[Observação Calback]],BASE_CAB,0)),"-")</f>
        <v>Cliente satisfeito</v>
      </c>
      <c r="P352" s="42" t="str">
        <f>IF(ISERROR(INDEX(QUALIDADE,MATCH(tblPRINTERS[[#This Row],[CASE ID]],PROTOCOLO_PESQUISAS,0),MATCH("Return Time",QUALIDADE_CAB,0)))=FALSE,INDEX(QUALIDADE,MATCH(tblPRINTERS[[#This Row],[CASE ID]],PROTOCOLO_PESQUISAS,0),MATCH("Return Time",QUALIDADE_CAB,0)),"")</f>
        <v/>
      </c>
      <c r="Q352" s="34" t="str">
        <f>IF(tblPRINTERS[[#This Row],[DATA | PESQUISA RECEBIDA]]="","",PROPER(TEXT(tblPRINTERS[[#This Row],[DATA | PESQUISA RECEBIDA]],"DDDD")))</f>
        <v/>
      </c>
    </row>
    <row r="353" spans="1:17" hidden="1">
      <c r="A353" s="54">
        <v>3035440103</v>
      </c>
      <c r="B353" s="54" t="s">
        <v>500</v>
      </c>
      <c r="C353" s="90">
        <v>42738.737851504629</v>
      </c>
      <c r="D353" s="86">
        <v>42740.737851504629</v>
      </c>
      <c r="E353" s="54" t="s">
        <v>27</v>
      </c>
      <c r="F353" s="54" t="s">
        <v>27</v>
      </c>
      <c r="G353" s="54" t="s">
        <v>301</v>
      </c>
      <c r="H353" s="54" t="s">
        <v>23</v>
      </c>
      <c r="I353" s="54" t="s">
        <v>817</v>
      </c>
      <c r="J353" s="54" t="s">
        <v>303</v>
      </c>
      <c r="K353" s="54" t="s">
        <v>305</v>
      </c>
      <c r="L353" s="87">
        <v>42746</v>
      </c>
      <c r="M353" s="34" t="str">
        <f>IFERROR(INDEX(BASE,MATCH(tblPRINTERS[[#This Row],[CASE ID]],BASE_CASOS,0),MATCH(tblPRINTERS[[#Headers],[tratativa]],BASE_CAB,0)),"Retornar com prioridade")</f>
        <v>Sem contato</v>
      </c>
      <c r="N353" s="34" t="str">
        <f>IFERROR(INDEX(BASE,MATCH(tblPRINTERS[[#This Row],[CASE ID]],BASE_CASOS,0),MATCH(tblPRINTERS[[#Headers],[Observação]],BASE_CAB,0)),"-")</f>
        <v>Sem contato (Só chama, Cx postal, Ocupado)</v>
      </c>
      <c r="O353" s="34" t="str">
        <f>IFERROR(INDEX(BASE,MATCH(tblPRINTERS[[#This Row],[CASE ID]],BASE_CASOS,0),MATCH(tblPRINTERS[[#Headers],[Observação Calback]],BASE_CAB,0)),"-")</f>
        <v>Tel 1 e 2 cx postal</v>
      </c>
      <c r="P353" s="42" t="str">
        <f>IF(ISERROR(INDEX(QUALIDADE,MATCH(tblPRINTERS[[#This Row],[CASE ID]],PROTOCOLO_PESQUISAS,0),MATCH("Return Time",QUALIDADE_CAB,0)))=FALSE,INDEX(QUALIDADE,MATCH(tblPRINTERS[[#This Row],[CASE ID]],PROTOCOLO_PESQUISAS,0),MATCH("Return Time",QUALIDADE_CAB,0)),"")</f>
        <v/>
      </c>
      <c r="Q353" s="34" t="str">
        <f>IF(tblPRINTERS[[#This Row],[DATA | PESQUISA RECEBIDA]]="","",PROPER(TEXT(tblPRINTERS[[#This Row],[DATA | PESQUISA RECEBIDA]],"DDDD")))</f>
        <v/>
      </c>
    </row>
    <row r="354" spans="1:17" hidden="1">
      <c r="A354" s="54">
        <v>3035432646</v>
      </c>
      <c r="B354" s="54" t="s">
        <v>500</v>
      </c>
      <c r="C354" s="90">
        <v>42738.737851504629</v>
      </c>
      <c r="D354" s="86">
        <v>42740.737851504629</v>
      </c>
      <c r="E354" s="54" t="s">
        <v>22</v>
      </c>
      <c r="F354" s="54" t="s">
        <v>22</v>
      </c>
      <c r="G354" s="54" t="s">
        <v>301</v>
      </c>
      <c r="H354" s="54" t="s">
        <v>23</v>
      </c>
      <c r="I354" s="56" t="s">
        <v>817</v>
      </c>
      <c r="J354" s="54" t="s">
        <v>303</v>
      </c>
      <c r="K354" s="54" t="s">
        <v>305</v>
      </c>
      <c r="L354" s="87">
        <v>42746</v>
      </c>
      <c r="M354" s="34" t="str">
        <f>IFERROR(INDEX(BASE,MATCH(tblPRINTERS[[#This Row],[CASE ID]],BASE_CASOS,0),MATCH(tblPRINTERS[[#Headers],[tratativa]],BASE_CAB,0)),"Retornar com prioridade")</f>
        <v>Responder pesquisa</v>
      </c>
      <c r="N354" s="34" t="str">
        <f>IFERROR(INDEX(BASE,MATCH(tblPRINTERS[[#This Row],[CASE ID]],BASE_CASOS,0),MATCH(tblPRINTERS[[#Headers],[Observação]],BASE_CAB,0)),"-")</f>
        <v>Nota 9/10</v>
      </c>
      <c r="O354" s="34" t="str">
        <f>IFERROR(INDEX(BASE,MATCH(tblPRINTERS[[#This Row],[CASE ID]],BASE_CASOS,0),MATCH(tblPRINTERS[[#Headers],[Observação Calback]],BASE_CAB,0)),"-")</f>
        <v>ira responder</v>
      </c>
      <c r="P354" s="42" t="str">
        <f>IF(ISERROR(INDEX(QUALIDADE,MATCH(tblPRINTERS[[#This Row],[CASE ID]],PROTOCOLO_PESQUISAS,0),MATCH("Return Time",QUALIDADE_CAB,0)))=FALSE,INDEX(QUALIDADE,MATCH(tblPRINTERS[[#This Row],[CASE ID]],PROTOCOLO_PESQUISAS,0),MATCH("Return Time",QUALIDADE_CAB,0)),"")</f>
        <v/>
      </c>
      <c r="Q354" s="34" t="str">
        <f>IF(tblPRINTERS[[#This Row],[DATA | PESQUISA RECEBIDA]]="","",PROPER(TEXT(tblPRINTERS[[#This Row],[DATA | PESQUISA RECEBIDA]],"DDDD")))</f>
        <v/>
      </c>
    </row>
    <row r="355" spans="1:17" hidden="1">
      <c r="A355" s="54">
        <v>3035440003</v>
      </c>
      <c r="B355" s="54" t="s">
        <v>500</v>
      </c>
      <c r="C355" s="90">
        <v>42738.737851504629</v>
      </c>
      <c r="D355" s="86">
        <v>42740.737851504629</v>
      </c>
      <c r="E355" s="54" t="s">
        <v>14</v>
      </c>
      <c r="F355" s="54" t="s">
        <v>14</v>
      </c>
      <c r="G355" s="54" t="s">
        <v>301</v>
      </c>
      <c r="H355" s="54" t="s">
        <v>9</v>
      </c>
      <c r="I355" s="56" t="s">
        <v>817</v>
      </c>
      <c r="J355" s="54" t="s">
        <v>303</v>
      </c>
      <c r="K355" s="54" t="s">
        <v>305</v>
      </c>
      <c r="L355" s="87">
        <v>42746</v>
      </c>
      <c r="M355" s="34" t="str">
        <f>IFERROR(INDEX(BASE,MATCH(tblPRINTERS[[#This Row],[CASE ID]],BASE_CASOS,0),MATCH(tblPRINTERS[[#Headers],[tratativa]],BASE_CAB,0)),"Retornar com prioridade")</f>
        <v>Sem contato</v>
      </c>
      <c r="N355" s="34" t="str">
        <f>IFERROR(INDEX(BASE,MATCH(tblPRINTERS[[#This Row],[CASE ID]],BASE_CASOS,0),MATCH(tblPRINTERS[[#Headers],[Observação]],BASE_CAB,0)),"-")</f>
        <v>Sem contato (Só chama, Cx postal, Ocupado)</v>
      </c>
      <c r="O355" s="34" t="str">
        <f>IFERROR(INDEX(BASE,MATCH(tblPRINTERS[[#This Row],[CASE ID]],BASE_CASOS,0),MATCH(tblPRINTERS[[#Headers],[Observação Calback]],BASE_CAB,0)),"-")</f>
        <v>Tel 1 e 2 cx postal</v>
      </c>
      <c r="P355" s="42" t="str">
        <f>IF(ISERROR(INDEX(QUALIDADE,MATCH(tblPRINTERS[[#This Row],[CASE ID]],PROTOCOLO_PESQUISAS,0),MATCH("Return Time",QUALIDADE_CAB,0)))=FALSE,INDEX(QUALIDADE,MATCH(tblPRINTERS[[#This Row],[CASE ID]],PROTOCOLO_PESQUISAS,0),MATCH("Return Time",QUALIDADE_CAB,0)),"")</f>
        <v/>
      </c>
      <c r="Q355" s="34" t="str">
        <f>IF(tblPRINTERS[[#This Row],[DATA | PESQUISA RECEBIDA]]="","",PROPER(TEXT(tblPRINTERS[[#This Row],[DATA | PESQUISA RECEBIDA]],"DDDD")))</f>
        <v/>
      </c>
    </row>
    <row r="356" spans="1:17" hidden="1">
      <c r="A356" s="54">
        <v>3035434531</v>
      </c>
      <c r="B356" s="54" t="s">
        <v>500</v>
      </c>
      <c r="C356" s="90">
        <v>42738.737851504629</v>
      </c>
      <c r="D356" s="86">
        <v>42740.737851504629</v>
      </c>
      <c r="E356" s="54" t="s">
        <v>26</v>
      </c>
      <c r="F356" s="54" t="s">
        <v>26</v>
      </c>
      <c r="G356" s="54" t="s">
        <v>301</v>
      </c>
      <c r="H356" s="54" t="s">
        <v>23</v>
      </c>
      <c r="I356" s="54" t="s">
        <v>817</v>
      </c>
      <c r="J356" s="54" t="s">
        <v>303</v>
      </c>
      <c r="K356" s="54" t="s">
        <v>305</v>
      </c>
      <c r="L356" s="87">
        <v>42746</v>
      </c>
      <c r="M356" s="34" t="str">
        <f>IFERROR(INDEX(BASE,MATCH(tblPRINTERS[[#This Row],[CASE ID]],BASE_CASOS,0),MATCH(tblPRINTERS[[#Headers],[tratativa]],BASE_CAB,0)),"Retornar com prioridade")</f>
        <v>Responder pesquisa</v>
      </c>
      <c r="N356" s="34" t="str">
        <f>IFERROR(INDEX(BASE,MATCH(tblPRINTERS[[#This Row],[CASE ID]],BASE_CASOS,0),MATCH(tblPRINTERS[[#Headers],[Observação]],BASE_CAB,0)),"-")</f>
        <v>Nota 9/10</v>
      </c>
      <c r="O356" s="34" t="str">
        <f>IFERROR(INDEX(BASE,MATCH(tblPRINTERS[[#This Row],[CASE ID]],BASE_CASOS,0),MATCH(tblPRINTERS[[#Headers],[Observação Calback]],BASE_CAB,0)),"-")</f>
        <v>ira responder</v>
      </c>
      <c r="P356" s="42" t="str">
        <f>IF(ISERROR(INDEX(QUALIDADE,MATCH(tblPRINTERS[[#This Row],[CASE ID]],PROTOCOLO_PESQUISAS,0),MATCH("Return Time",QUALIDADE_CAB,0)))=FALSE,INDEX(QUALIDADE,MATCH(tblPRINTERS[[#This Row],[CASE ID]],PROTOCOLO_PESQUISAS,0),MATCH("Return Time",QUALIDADE_CAB,0)),"")</f>
        <v/>
      </c>
      <c r="Q356" s="34" t="str">
        <f>IF(tblPRINTERS[[#This Row],[DATA | PESQUISA RECEBIDA]]="","",PROPER(TEXT(tblPRINTERS[[#This Row],[DATA | PESQUISA RECEBIDA]],"DDDD")))</f>
        <v/>
      </c>
    </row>
    <row r="357" spans="1:17" hidden="1">
      <c r="A357" s="54">
        <v>3035444491</v>
      </c>
      <c r="B357" s="54" t="s">
        <v>500</v>
      </c>
      <c r="C357" s="90">
        <v>42738.737851504629</v>
      </c>
      <c r="D357" s="86">
        <v>42740.737851504629</v>
      </c>
      <c r="E357" s="54" t="s">
        <v>583</v>
      </c>
      <c r="F357" s="54" t="s">
        <v>583</v>
      </c>
      <c r="G357" s="54" t="s">
        <v>301</v>
      </c>
      <c r="H357" s="54" t="s">
        <v>23</v>
      </c>
      <c r="I357" s="54" t="s">
        <v>817</v>
      </c>
      <c r="J357" s="54" t="s">
        <v>303</v>
      </c>
      <c r="K357" s="54" t="s">
        <v>305</v>
      </c>
      <c r="L357" s="87">
        <v>42746</v>
      </c>
      <c r="M357" s="34" t="str">
        <f>IFERROR(INDEX(BASE,MATCH(tblPRINTERS[[#This Row],[CASE ID]],BASE_CASOS,0),MATCH(tblPRINTERS[[#Headers],[tratativa]],BASE_CAB,0)),"Retornar com prioridade")</f>
        <v>Não responder pesquisa</v>
      </c>
      <c r="N357" s="34" t="str">
        <f>IFERROR(INDEX(BASE,MATCH(tblPRINTERS[[#This Row],[CASE ID]],BASE_CASOS,0),MATCH(tblPRINTERS[[#Headers],[Observação]],BASE_CAB,0)),"-")</f>
        <v>Caso não resolvido / Equipamento em reparo</v>
      </c>
      <c r="O357" s="34" t="str">
        <f>IFERROR(INDEX(BASE,MATCH(tblPRINTERS[[#This Row],[CASE ID]],BASE_CASOS,0),MATCH(tblPRINTERS[[#Headers],[Observação Calback]],BASE_CAB,0)),"-")</f>
        <v>Vai retornar no suporte</v>
      </c>
      <c r="P357" s="42" t="str">
        <f>IF(ISERROR(INDEX(QUALIDADE,MATCH(tblPRINTERS[[#This Row],[CASE ID]],PROTOCOLO_PESQUISAS,0),MATCH("Return Time",QUALIDADE_CAB,0)))=FALSE,INDEX(QUALIDADE,MATCH(tblPRINTERS[[#This Row],[CASE ID]],PROTOCOLO_PESQUISAS,0),MATCH("Return Time",QUALIDADE_CAB,0)),"")</f>
        <v/>
      </c>
      <c r="Q357" s="34" t="str">
        <f>IF(tblPRINTERS[[#This Row],[DATA | PESQUISA RECEBIDA]]="","",PROPER(TEXT(tblPRINTERS[[#This Row],[DATA | PESQUISA RECEBIDA]],"DDDD")))</f>
        <v/>
      </c>
    </row>
    <row r="358" spans="1:17" hidden="1">
      <c r="A358" s="54">
        <v>3035445828</v>
      </c>
      <c r="B358" s="54" t="s">
        <v>500</v>
      </c>
      <c r="C358" s="90">
        <v>42738.737851504629</v>
      </c>
      <c r="D358" s="86">
        <v>42740.737851504629</v>
      </c>
      <c r="E358" s="54" t="s">
        <v>24</v>
      </c>
      <c r="F358" s="54" t="s">
        <v>590</v>
      </c>
      <c r="G358" s="54" t="s">
        <v>302</v>
      </c>
      <c r="H358" s="54" t="s">
        <v>23</v>
      </c>
      <c r="I358" s="54" t="s">
        <v>817</v>
      </c>
      <c r="J358" s="54" t="s">
        <v>303</v>
      </c>
      <c r="K358" s="54" t="s">
        <v>305</v>
      </c>
      <c r="L358" s="87">
        <v>42746</v>
      </c>
      <c r="M358" s="34" t="str">
        <f>IFERROR(INDEX(BASE,MATCH(tblPRINTERS[[#This Row],[CASE ID]],BASE_CASOS,0),MATCH(tblPRINTERS[[#Headers],[tratativa]],BASE_CAB,0)),"Retornar com prioridade")</f>
        <v>Sem contato</v>
      </c>
      <c r="N358" s="34" t="str">
        <f>IFERROR(INDEX(BASE,MATCH(tblPRINTERS[[#This Row],[CASE ID]],BASE_CASOS,0),MATCH(tblPRINTERS[[#Headers],[Observação]],BASE_CAB,0)),"-")</f>
        <v>Sem contato (Só chama, Cx postal, Ocupado)</v>
      </c>
      <c r="O358" s="34" t="str">
        <f>IFERROR(INDEX(BASE,MATCH(tblPRINTERS[[#This Row],[CASE ID]],BASE_CASOS,0),MATCH(tblPRINTERS[[#Headers],[Observação Calback]],BASE_CAB,0)),"-")</f>
        <v>Tel 1 e 2 cx postal</v>
      </c>
      <c r="P358" s="42" t="str">
        <f>IF(ISERROR(INDEX(QUALIDADE,MATCH(tblPRINTERS[[#This Row],[CASE ID]],PROTOCOLO_PESQUISAS,0),MATCH("Return Time",QUALIDADE_CAB,0)))=FALSE,INDEX(QUALIDADE,MATCH(tblPRINTERS[[#This Row],[CASE ID]],PROTOCOLO_PESQUISAS,0),MATCH("Return Time",QUALIDADE_CAB,0)),"")</f>
        <v/>
      </c>
      <c r="Q358" s="34" t="str">
        <f>IF(tblPRINTERS[[#This Row],[DATA | PESQUISA RECEBIDA]]="","",PROPER(TEXT(tblPRINTERS[[#This Row],[DATA | PESQUISA RECEBIDA]],"DDDD")))</f>
        <v/>
      </c>
    </row>
    <row r="359" spans="1:17" hidden="1">
      <c r="A359" s="54">
        <v>3035455316</v>
      </c>
      <c r="B359" s="54" t="s">
        <v>500</v>
      </c>
      <c r="C359" s="90">
        <v>42738.737851504629</v>
      </c>
      <c r="D359" s="86">
        <v>42740.737851504629</v>
      </c>
      <c r="E359" s="54" t="s">
        <v>29</v>
      </c>
      <c r="F359" s="54" t="s">
        <v>29</v>
      </c>
      <c r="G359" s="54" t="s">
        <v>301</v>
      </c>
      <c r="H359" s="54" t="s">
        <v>23</v>
      </c>
      <c r="I359" s="54" t="s">
        <v>817</v>
      </c>
      <c r="J359" s="54" t="s">
        <v>303</v>
      </c>
      <c r="K359" s="54" t="s">
        <v>305</v>
      </c>
      <c r="L359" s="87">
        <v>42746</v>
      </c>
      <c r="M359" s="34" t="str">
        <f>IFERROR(INDEX(BASE,MATCH(tblPRINTERS[[#This Row],[CASE ID]],BASE_CASOS,0),MATCH(tblPRINTERS[[#Headers],[tratativa]],BASE_CAB,0)),"Retornar com prioridade")</f>
        <v>Não responder pesquisa</v>
      </c>
      <c r="N359" s="34" t="str">
        <f>IFERROR(INDEX(BASE,MATCH(tblPRINTERS[[#This Row],[CASE ID]],BASE_CASOS,0),MATCH(tblPRINTERS[[#Headers],[Observação]],BASE_CAB,0)),"-")</f>
        <v>Cliente insatisfeito HP / Equipamento</v>
      </c>
      <c r="O359" s="34" t="str">
        <f>IFERROR(INDEX(BASE,MATCH(tblPRINTERS[[#This Row],[CASE ID]],BASE_CASOS,0),MATCH(tblPRINTERS[[#Headers],[Observação Calback]],BASE_CAB,0)),"-")</f>
        <v>Insatisfeito com a HP</v>
      </c>
      <c r="P359" s="42" t="str">
        <f>IF(ISERROR(INDEX(QUALIDADE,MATCH(tblPRINTERS[[#This Row],[CASE ID]],PROTOCOLO_PESQUISAS,0),MATCH("Return Time",QUALIDADE_CAB,0)))=FALSE,INDEX(QUALIDADE,MATCH(tblPRINTERS[[#This Row],[CASE ID]],PROTOCOLO_PESQUISAS,0),MATCH("Return Time",QUALIDADE_CAB,0)),"")</f>
        <v/>
      </c>
      <c r="Q359" s="34" t="str">
        <f>IF(tblPRINTERS[[#This Row],[DATA | PESQUISA RECEBIDA]]="","",PROPER(TEXT(tblPRINTERS[[#This Row],[DATA | PESQUISA RECEBIDA]],"DDDD")))</f>
        <v/>
      </c>
    </row>
    <row r="360" spans="1:17" hidden="1">
      <c r="A360" s="54">
        <v>3035432818</v>
      </c>
      <c r="B360" s="54" t="s">
        <v>500</v>
      </c>
      <c r="C360" s="90">
        <v>42738.737851504629</v>
      </c>
      <c r="D360" s="86">
        <v>42740.737851504629</v>
      </c>
      <c r="E360" s="54" t="s">
        <v>839</v>
      </c>
      <c r="F360" s="54" t="s">
        <v>839</v>
      </c>
      <c r="G360" s="54" t="s">
        <v>301</v>
      </c>
      <c r="H360" s="54" t="s">
        <v>256</v>
      </c>
      <c r="I360" s="54" t="s">
        <v>817</v>
      </c>
      <c r="J360" s="54" t="s">
        <v>303</v>
      </c>
      <c r="K360" s="54" t="s">
        <v>305</v>
      </c>
      <c r="L360" s="87">
        <v>42746</v>
      </c>
      <c r="M360" s="34" t="str">
        <f>IFERROR(INDEX(BASE,MATCH(tblPRINTERS[[#This Row],[CASE ID]],BASE_CASOS,0),MATCH(tblPRINTERS[[#Headers],[tratativa]],BASE_CAB,0)),"Retornar com prioridade")</f>
        <v>Retornar com prioridade</v>
      </c>
      <c r="N360" s="34" t="str">
        <f>IFERROR(INDEX(BASE,MATCH(tblPRINTERS[[#This Row],[CASE ID]],BASE_CASOS,0),MATCH(tblPRINTERS[[#Headers],[Observação]],BASE_CAB,0)),"-")</f>
        <v>-</v>
      </c>
      <c r="O360" s="34" t="str">
        <f>IFERROR(INDEX(BASE,MATCH(tblPRINTERS[[#This Row],[CASE ID]],BASE_CASOS,0),MATCH(tblPRINTERS[[#Headers],[Observação Calback]],BASE_CAB,0)),"-")</f>
        <v>-</v>
      </c>
      <c r="P360" s="42" t="str">
        <f>IF(ISERROR(INDEX(QUALIDADE,MATCH(tblPRINTERS[[#This Row],[CASE ID]],PROTOCOLO_PESQUISAS,0),MATCH("Return Time",QUALIDADE_CAB,0)))=FALSE,INDEX(QUALIDADE,MATCH(tblPRINTERS[[#This Row],[CASE ID]],PROTOCOLO_PESQUISAS,0),MATCH("Return Time",QUALIDADE_CAB,0)),"")</f>
        <v/>
      </c>
      <c r="Q360" s="34" t="str">
        <f>IF(tblPRINTERS[[#This Row],[DATA | PESQUISA RECEBIDA]]="","",PROPER(TEXT(tblPRINTERS[[#This Row],[DATA | PESQUISA RECEBIDA]],"DDDD")))</f>
        <v/>
      </c>
    </row>
    <row r="361" spans="1:17" hidden="1">
      <c r="A361" s="54">
        <v>3035430453</v>
      </c>
      <c r="B361" s="54" t="s">
        <v>500</v>
      </c>
      <c r="C361" s="90">
        <v>42738.737851504629</v>
      </c>
      <c r="D361" s="86">
        <v>42740.737851504629</v>
      </c>
      <c r="E361" s="54" t="s">
        <v>20</v>
      </c>
      <c r="F361" s="54" t="s">
        <v>20</v>
      </c>
      <c r="G361" s="54" t="s">
        <v>301</v>
      </c>
      <c r="H361" s="54" t="s">
        <v>9</v>
      </c>
      <c r="I361" s="54" t="s">
        <v>817</v>
      </c>
      <c r="J361" s="54" t="s">
        <v>304</v>
      </c>
      <c r="K361" s="54" t="s">
        <v>307</v>
      </c>
      <c r="L361" s="87">
        <v>42741</v>
      </c>
      <c r="M361" s="34" t="str">
        <f>IFERROR(INDEX(BASE,MATCH(tblPRINTERS[[#This Row],[CASE ID]],BASE_CASOS,0),MATCH(tblPRINTERS[[#Headers],[tratativa]],BASE_CAB,0)),"Retornar com prioridade")</f>
        <v>Responder pesquisa</v>
      </c>
      <c r="N361" s="34" t="str">
        <f>IFERROR(INDEX(BASE,MATCH(tblPRINTERS[[#This Row],[CASE ID]],BASE_CASOS,0),MATCH(tblPRINTERS[[#Headers],[Observação]],BASE_CAB,0)),"-")</f>
        <v>Nota 9/10</v>
      </c>
      <c r="O361" s="34" t="str">
        <f>IFERROR(INDEX(BASE,MATCH(tblPRINTERS[[#This Row],[CASE ID]],BASE_CASOS,0),MATCH(tblPRINTERS[[#Headers],[Observação Calback]],BASE_CAB,0)),"-")</f>
        <v>ira responder</v>
      </c>
      <c r="P361" s="42" t="str">
        <f>IF(ISERROR(INDEX(QUALIDADE,MATCH(tblPRINTERS[[#This Row],[CASE ID]],PROTOCOLO_PESQUISAS,0),MATCH("Return Time",QUALIDADE_CAB,0)))=FALSE,INDEX(QUALIDADE,MATCH(tblPRINTERS[[#This Row],[CASE ID]],PROTOCOLO_PESQUISAS,0),MATCH("Return Time",QUALIDADE_CAB,0)),"")</f>
        <v/>
      </c>
      <c r="Q361" s="34" t="str">
        <f>IF(tblPRINTERS[[#This Row],[DATA | PESQUISA RECEBIDA]]="","",PROPER(TEXT(tblPRINTERS[[#This Row],[DATA | PESQUISA RECEBIDA]],"DDDD")))</f>
        <v/>
      </c>
    </row>
    <row r="362" spans="1:17" hidden="1">
      <c r="A362" s="54">
        <v>3035443285</v>
      </c>
      <c r="B362" s="54" t="s">
        <v>500</v>
      </c>
      <c r="C362" s="90">
        <v>42738.737851504629</v>
      </c>
      <c r="D362" s="86">
        <v>42740.737851504629</v>
      </c>
      <c r="E362" s="54" t="s">
        <v>1536</v>
      </c>
      <c r="F362" s="54" t="s">
        <v>21</v>
      </c>
      <c r="G362" s="54" t="s">
        <v>302</v>
      </c>
      <c r="H362" s="54" t="s">
        <v>273</v>
      </c>
      <c r="I362" s="54" t="s">
        <v>817</v>
      </c>
      <c r="J362" s="54" t="s">
        <v>303</v>
      </c>
      <c r="K362" s="54" t="s">
        <v>305</v>
      </c>
      <c r="L362" s="87">
        <v>42746</v>
      </c>
      <c r="M362" s="34" t="str">
        <f>IFERROR(INDEX(BASE,MATCH(tblPRINTERS[[#This Row],[CASE ID]],BASE_CASOS,0),MATCH(tblPRINTERS[[#Headers],[tratativa]],BASE_CAB,0)),"Retornar com prioridade")</f>
        <v>Responder pesquisa</v>
      </c>
      <c r="N362" s="34" t="str">
        <f>IFERROR(INDEX(BASE,MATCH(tblPRINTERS[[#This Row],[CASE ID]],BASE_CASOS,0),MATCH(tblPRINTERS[[#Headers],[Observação]],BASE_CAB,0)),"-")</f>
        <v>Nota 9/10</v>
      </c>
      <c r="O362" s="34" t="str">
        <f>IFERROR(INDEX(BASE,MATCH(tblPRINTERS[[#This Row],[CASE ID]],BASE_CASOS,0),MATCH(tblPRINTERS[[#Headers],[Observação Calback]],BASE_CAB,0)),"-")</f>
        <v>Cliente satisfeito</v>
      </c>
      <c r="P362" s="42" t="str">
        <f>IF(ISERROR(INDEX(QUALIDADE,MATCH(tblPRINTERS[[#This Row],[CASE ID]],PROTOCOLO_PESQUISAS,0),MATCH("Return Time",QUALIDADE_CAB,0)))=FALSE,INDEX(QUALIDADE,MATCH(tblPRINTERS[[#This Row],[CASE ID]],PROTOCOLO_PESQUISAS,0),MATCH("Return Time",QUALIDADE_CAB,0)),"")</f>
        <v/>
      </c>
      <c r="Q362" s="34" t="str">
        <f>IF(tblPRINTERS[[#This Row],[DATA | PESQUISA RECEBIDA]]="","",PROPER(TEXT(tblPRINTERS[[#This Row],[DATA | PESQUISA RECEBIDA]],"DDDD")))</f>
        <v/>
      </c>
    </row>
    <row r="363" spans="1:17" hidden="1">
      <c r="A363" s="54">
        <v>3035452294</v>
      </c>
      <c r="B363" s="54" t="s">
        <v>500</v>
      </c>
      <c r="C363" s="90">
        <v>42738.737851504629</v>
      </c>
      <c r="D363" s="86">
        <v>42740.737851504629</v>
      </c>
      <c r="E363" s="54" t="s">
        <v>1525</v>
      </c>
      <c r="F363" s="54" t="s">
        <v>1525</v>
      </c>
      <c r="G363" s="54" t="s">
        <v>301</v>
      </c>
      <c r="H363" s="54" t="s">
        <v>23</v>
      </c>
      <c r="I363" s="54" t="s">
        <v>817</v>
      </c>
      <c r="J363" s="54" t="s">
        <v>303</v>
      </c>
      <c r="K363" s="54" t="s">
        <v>305</v>
      </c>
      <c r="L363" s="87">
        <v>42746</v>
      </c>
      <c r="M363" s="34" t="str">
        <f>IFERROR(INDEX(BASE,MATCH(tblPRINTERS[[#This Row],[CASE ID]],BASE_CASOS,0),MATCH(tblPRINTERS[[#Headers],[tratativa]],BASE_CAB,0)),"Retornar com prioridade")</f>
        <v>Responder pesquisa</v>
      </c>
      <c r="N363" s="34" t="str">
        <f>IFERROR(INDEX(BASE,MATCH(tblPRINTERS[[#This Row],[CASE ID]],BASE_CASOS,0),MATCH(tblPRINTERS[[#Headers],[Observação]],BASE_CAB,0)),"-")</f>
        <v>Nota 9/10</v>
      </c>
      <c r="O363" s="34" t="str">
        <f>IFERROR(INDEX(BASE,MATCH(tblPRINTERS[[#This Row],[CASE ID]],BASE_CASOS,0),MATCH(tblPRINTERS[[#Headers],[Observação Calback]],BASE_CAB,0)),"-")</f>
        <v>Cliente satisfeito</v>
      </c>
      <c r="P363" s="42" t="str">
        <f>IF(ISERROR(INDEX(QUALIDADE,MATCH(tblPRINTERS[[#This Row],[CASE ID]],PROTOCOLO_PESQUISAS,0),MATCH("Return Time",QUALIDADE_CAB,0)))=FALSE,INDEX(QUALIDADE,MATCH(tblPRINTERS[[#This Row],[CASE ID]],PROTOCOLO_PESQUISAS,0),MATCH("Return Time",QUALIDADE_CAB,0)),"")</f>
        <v/>
      </c>
      <c r="Q363" s="34" t="str">
        <f>IF(tblPRINTERS[[#This Row],[DATA | PESQUISA RECEBIDA]]="","",PROPER(TEXT(tblPRINTERS[[#This Row],[DATA | PESQUISA RECEBIDA]],"DDDD")))</f>
        <v/>
      </c>
    </row>
    <row r="364" spans="1:17" hidden="1">
      <c r="A364" s="54">
        <v>3035438094</v>
      </c>
      <c r="B364" s="54" t="s">
        <v>500</v>
      </c>
      <c r="C364" s="90">
        <v>42738.737851504629</v>
      </c>
      <c r="D364" s="86">
        <v>42740.737851504629</v>
      </c>
      <c r="E364" s="54" t="s">
        <v>49</v>
      </c>
      <c r="F364" s="54" t="s">
        <v>49</v>
      </c>
      <c r="G364" s="54" t="s">
        <v>301</v>
      </c>
      <c r="H364" s="54" t="s">
        <v>273</v>
      </c>
      <c r="I364" s="54" t="s">
        <v>817</v>
      </c>
      <c r="J364" s="54" t="s">
        <v>304</v>
      </c>
      <c r="K364" s="54" t="s">
        <v>307</v>
      </c>
      <c r="L364" s="87">
        <v>42741</v>
      </c>
      <c r="M364" s="34" t="str">
        <f>IFERROR(INDEX(BASE,MATCH(tblPRINTERS[[#This Row],[CASE ID]],BASE_CASOS,0),MATCH(tblPRINTERS[[#Headers],[tratativa]],BASE_CAB,0)),"Retornar com prioridade")</f>
        <v>Responder pesquisa</v>
      </c>
      <c r="N364" s="34" t="str">
        <f>IFERROR(INDEX(BASE,MATCH(tblPRINTERS[[#This Row],[CASE ID]],BASE_CASOS,0),MATCH(tblPRINTERS[[#Headers],[Observação]],BASE_CAB,0)),"-")</f>
        <v>Nota 9/10</v>
      </c>
      <c r="O364" s="34" t="str">
        <f>IFERROR(INDEX(BASE,MATCH(tblPRINTERS[[#This Row],[CASE ID]],BASE_CASOS,0),MATCH(tblPRINTERS[[#Headers],[Observação Calback]],BASE_CAB,0)),"-")</f>
        <v>Responder pesquisa</v>
      </c>
      <c r="P364" s="42" t="str">
        <f>IF(ISERROR(INDEX(QUALIDADE,MATCH(tblPRINTERS[[#This Row],[CASE ID]],PROTOCOLO_PESQUISAS,0),MATCH("Return Time",QUALIDADE_CAB,0)))=FALSE,INDEX(QUALIDADE,MATCH(tblPRINTERS[[#This Row],[CASE ID]],PROTOCOLO_PESQUISAS,0),MATCH("Return Time",QUALIDADE_CAB,0)),"")</f>
        <v/>
      </c>
      <c r="Q364" s="34" t="str">
        <f>IF(tblPRINTERS[[#This Row],[DATA | PESQUISA RECEBIDA]]="","",PROPER(TEXT(tblPRINTERS[[#This Row],[DATA | PESQUISA RECEBIDA]],"DDDD")))</f>
        <v/>
      </c>
    </row>
    <row r="365" spans="1:17" hidden="1">
      <c r="A365" s="54">
        <v>3035431242</v>
      </c>
      <c r="B365" s="54" t="s">
        <v>500</v>
      </c>
      <c r="C365" s="90">
        <v>42738.737851504629</v>
      </c>
      <c r="D365" s="86">
        <v>42740.737851504629</v>
      </c>
      <c r="E365" s="54" t="s">
        <v>13</v>
      </c>
      <c r="F365" s="54" t="s">
        <v>13</v>
      </c>
      <c r="G365" s="54" t="s">
        <v>301</v>
      </c>
      <c r="H365" s="54" t="s">
        <v>9</v>
      </c>
      <c r="I365" s="54" t="s">
        <v>817</v>
      </c>
      <c r="J365" s="54" t="s">
        <v>304</v>
      </c>
      <c r="K365" s="54" t="s">
        <v>307</v>
      </c>
      <c r="L365" s="87">
        <v>42741</v>
      </c>
      <c r="M365" s="34" t="str">
        <f>IFERROR(INDEX(BASE,MATCH(tblPRINTERS[[#This Row],[CASE ID]],BASE_CASOS,0),MATCH(tblPRINTERS[[#Headers],[tratativa]],BASE_CAB,0)),"Retornar com prioridade")</f>
        <v>Responder pesquisa</v>
      </c>
      <c r="N365" s="34" t="str">
        <f>IFERROR(INDEX(BASE,MATCH(tblPRINTERS[[#This Row],[CASE ID]],BASE_CASOS,0),MATCH(tblPRINTERS[[#Headers],[Observação]],BASE_CAB,0)),"-")</f>
        <v>Nota 9/10</v>
      </c>
      <c r="O365" s="34" t="str">
        <f>IFERROR(INDEX(BASE,MATCH(tblPRINTERS[[#This Row],[CASE ID]],BASE_CASOS,0),MATCH(tblPRINTERS[[#Headers],[Observação Calback]],BASE_CAB,0)),"-")</f>
        <v>ira responder</v>
      </c>
      <c r="P365" s="42" t="str">
        <f>IF(ISERROR(INDEX(QUALIDADE,MATCH(tblPRINTERS[[#This Row],[CASE ID]],PROTOCOLO_PESQUISAS,0),MATCH("Return Time",QUALIDADE_CAB,0)))=FALSE,INDEX(QUALIDADE,MATCH(tblPRINTERS[[#This Row],[CASE ID]],PROTOCOLO_PESQUISAS,0),MATCH("Return Time",QUALIDADE_CAB,0)),"")</f>
        <v/>
      </c>
      <c r="Q365" s="34" t="str">
        <f>IF(tblPRINTERS[[#This Row],[DATA | PESQUISA RECEBIDA]]="","",PROPER(TEXT(tblPRINTERS[[#This Row],[DATA | PESQUISA RECEBIDA]],"DDDD")))</f>
        <v/>
      </c>
    </row>
    <row r="366" spans="1:17" hidden="1">
      <c r="A366" s="54">
        <v>3035435723</v>
      </c>
      <c r="B366" s="54" t="s">
        <v>500</v>
      </c>
      <c r="C366" s="90">
        <v>42738.737851504629</v>
      </c>
      <c r="D366" s="86">
        <v>42740.737851504629</v>
      </c>
      <c r="E366" s="54" t="s">
        <v>49</v>
      </c>
      <c r="F366" s="54" t="s">
        <v>49</v>
      </c>
      <c r="G366" s="54" t="s">
        <v>301</v>
      </c>
      <c r="H366" s="54" t="s">
        <v>273</v>
      </c>
      <c r="I366" s="54" t="s">
        <v>817</v>
      </c>
      <c r="J366" s="54" t="s">
        <v>303</v>
      </c>
      <c r="K366" s="54" t="s">
        <v>305</v>
      </c>
      <c r="L366" s="87">
        <v>42746</v>
      </c>
      <c r="M366" s="34" t="str">
        <f>IFERROR(INDEX(BASE,MATCH(tblPRINTERS[[#This Row],[CASE ID]],BASE_CASOS,0),MATCH(tblPRINTERS[[#Headers],[tratativa]],BASE_CAB,0)),"Retornar com prioridade")</f>
        <v>Sem contato</v>
      </c>
      <c r="N366" s="34" t="str">
        <f>IFERROR(INDEX(BASE,MATCH(tblPRINTERS[[#This Row],[CASE ID]],BASE_CASOS,0),MATCH(tblPRINTERS[[#Headers],[Observação]],BASE_CAB,0)),"-")</f>
        <v>Sem contato (Só chama, Cx postal, Ocupado)</v>
      </c>
      <c r="O366" s="34" t="str">
        <f>IFERROR(INDEX(BASE,MATCH(tblPRINTERS[[#This Row],[CASE ID]],BASE_CASOS,0),MATCH(tblPRINTERS[[#Headers],[Observação Calback]],BASE_CAB,0)),"-")</f>
        <v>so chama</v>
      </c>
      <c r="P366" s="42" t="str">
        <f>IF(ISERROR(INDEX(QUALIDADE,MATCH(tblPRINTERS[[#This Row],[CASE ID]],PROTOCOLO_PESQUISAS,0),MATCH("Return Time",QUALIDADE_CAB,0)))=FALSE,INDEX(QUALIDADE,MATCH(tblPRINTERS[[#This Row],[CASE ID]],PROTOCOLO_PESQUISAS,0),MATCH("Return Time",QUALIDADE_CAB,0)),"")</f>
        <v/>
      </c>
      <c r="Q366" s="34" t="str">
        <f>IF(tblPRINTERS[[#This Row],[DATA | PESQUISA RECEBIDA]]="","",PROPER(TEXT(tblPRINTERS[[#This Row],[DATA | PESQUISA RECEBIDA]],"DDDD")))</f>
        <v/>
      </c>
    </row>
    <row r="367" spans="1:17" hidden="1">
      <c r="A367" s="54">
        <v>3035438069</v>
      </c>
      <c r="B367" s="54" t="s">
        <v>500</v>
      </c>
      <c r="C367" s="90">
        <v>42738.737851504629</v>
      </c>
      <c r="D367" s="86">
        <v>42740.737851504629</v>
      </c>
      <c r="E367" s="54" t="s">
        <v>16</v>
      </c>
      <c r="F367" s="54" t="s">
        <v>16</v>
      </c>
      <c r="G367" s="54" t="s">
        <v>301</v>
      </c>
      <c r="H367" s="54" t="s">
        <v>9</v>
      </c>
      <c r="I367" s="54" t="s">
        <v>817</v>
      </c>
      <c r="J367" s="54" t="s">
        <v>304</v>
      </c>
      <c r="K367" s="54" t="s">
        <v>1542</v>
      </c>
      <c r="L367" s="87">
        <v>42741</v>
      </c>
      <c r="M367" s="34" t="str">
        <f>IFERROR(INDEX(BASE,MATCH(tblPRINTERS[[#This Row],[CASE ID]],BASE_CASOS,0),MATCH(tblPRINTERS[[#Headers],[tratativa]],BASE_CAB,0)),"Retornar com prioridade")</f>
        <v>Sem contato</v>
      </c>
      <c r="N367" s="34" t="str">
        <f>IFERROR(INDEX(BASE,MATCH(tblPRINTERS[[#This Row],[CASE ID]],BASE_CASOS,0),MATCH(tblPRINTERS[[#Headers],[Observação]],BASE_CAB,0)),"-")</f>
        <v>Sem contato (Só chama, Cx postal, Ocupado)</v>
      </c>
      <c r="O367" s="34" t="str">
        <f>IFERROR(INDEX(BASE,MATCH(tblPRINTERS[[#This Row],[CASE ID]],BASE_CASOS,0),MATCH(tblPRINTERS[[#Headers],[Observação Calback]],BASE_CAB,0)),"-")</f>
        <v>retorna dia 12/01</v>
      </c>
      <c r="P367" s="42" t="str">
        <f>IF(ISERROR(INDEX(QUALIDADE,MATCH(tblPRINTERS[[#This Row],[CASE ID]],PROTOCOLO_PESQUISAS,0),MATCH("Return Time",QUALIDADE_CAB,0)))=FALSE,INDEX(QUALIDADE,MATCH(tblPRINTERS[[#This Row],[CASE ID]],PROTOCOLO_PESQUISAS,0),MATCH("Return Time",QUALIDADE_CAB,0)),"")</f>
        <v/>
      </c>
      <c r="Q367" s="34" t="str">
        <f>IF(tblPRINTERS[[#This Row],[DATA | PESQUISA RECEBIDA]]="","",PROPER(TEXT(tblPRINTERS[[#This Row],[DATA | PESQUISA RECEBIDA]],"DDDD")))</f>
        <v/>
      </c>
    </row>
    <row r="368" spans="1:17" hidden="1">
      <c r="A368" s="54">
        <v>3035302046</v>
      </c>
      <c r="B368" s="54" t="s">
        <v>500</v>
      </c>
      <c r="C368" s="90">
        <v>42738.737851504629</v>
      </c>
      <c r="D368" s="86">
        <v>42740.737851504629</v>
      </c>
      <c r="E368" s="54" t="s">
        <v>22</v>
      </c>
      <c r="F368" s="54" t="s">
        <v>27</v>
      </c>
      <c r="G368" s="54" t="s">
        <v>302</v>
      </c>
      <c r="H368" s="54" t="s">
        <v>23</v>
      </c>
      <c r="I368" s="54" t="s">
        <v>817</v>
      </c>
      <c r="J368" s="54" t="s">
        <v>304</v>
      </c>
      <c r="K368" s="54" t="s">
        <v>1541</v>
      </c>
      <c r="L368" s="87">
        <v>42741</v>
      </c>
      <c r="M368" s="34" t="str">
        <f>IFERROR(INDEX(BASE,MATCH(tblPRINTERS[[#This Row],[CASE ID]],BASE_CASOS,0),MATCH(tblPRINTERS[[#Headers],[tratativa]],BASE_CAB,0)),"Retornar com prioridade")</f>
        <v>Não responder pesquisa</v>
      </c>
      <c r="N368" s="34" t="str">
        <f>IFERROR(INDEX(BASE,MATCH(tblPRINTERS[[#This Row],[CASE ID]],BASE_CASOS,0),MATCH(tblPRINTERS[[#Headers],[Observação]],BASE_CAB,0)),"-")</f>
        <v>Cliente insatisfeito HP / Equipamento</v>
      </c>
      <c r="O368" s="34" t="str">
        <f>IFERROR(INDEX(BASE,MATCH(tblPRINTERS[[#This Row],[CASE ID]],BASE_CASOS,0),MATCH(tblPRINTERS[[#Headers],[Observação Calback]],BASE_CAB,0)),"-")</f>
        <v>Insatisfeito com a HP</v>
      </c>
      <c r="P368" s="42" t="str">
        <f>IF(ISERROR(INDEX(QUALIDADE,MATCH(tblPRINTERS[[#This Row],[CASE ID]],PROTOCOLO_PESQUISAS,0),MATCH("Return Time",QUALIDADE_CAB,0)))=FALSE,INDEX(QUALIDADE,MATCH(tblPRINTERS[[#This Row],[CASE ID]],PROTOCOLO_PESQUISAS,0),MATCH("Return Time",QUALIDADE_CAB,0)),"")</f>
        <v/>
      </c>
      <c r="Q368" s="34" t="str">
        <f>IF(tblPRINTERS[[#This Row],[DATA | PESQUISA RECEBIDA]]="","",PROPER(TEXT(tblPRINTERS[[#This Row],[DATA | PESQUISA RECEBIDA]],"DDDD")))</f>
        <v/>
      </c>
    </row>
    <row r="369" spans="1:17" hidden="1">
      <c r="A369" s="54">
        <v>3035408935</v>
      </c>
      <c r="B369" s="54" t="s">
        <v>500</v>
      </c>
      <c r="C369" s="90">
        <v>42738.737851504629</v>
      </c>
      <c r="D369" s="86">
        <v>42740.737851504629</v>
      </c>
      <c r="E369" s="54" t="s">
        <v>12</v>
      </c>
      <c r="F369" s="54" t="s">
        <v>10</v>
      </c>
      <c r="G369" s="54" t="s">
        <v>302</v>
      </c>
      <c r="H369" s="54" t="s">
        <v>9</v>
      </c>
      <c r="I369" s="54" t="s">
        <v>817</v>
      </c>
      <c r="J369" s="54" t="s">
        <v>304</v>
      </c>
      <c r="K369" s="54" t="s">
        <v>1540</v>
      </c>
      <c r="L369" s="87">
        <v>42741</v>
      </c>
      <c r="M369" s="34" t="str">
        <f>IFERROR(INDEX(BASE,MATCH(tblPRINTERS[[#This Row],[CASE ID]],BASE_CASOS,0),MATCH(tblPRINTERS[[#Headers],[tratativa]],BASE_CAB,0)),"Retornar com prioridade")</f>
        <v>Não responder pesquisa</v>
      </c>
      <c r="N369" s="34" t="str">
        <f>IFERROR(INDEX(BASE,MATCH(tblPRINTERS[[#This Row],[CASE ID]],BASE_CASOS,0),MATCH(tblPRINTERS[[#Headers],[Observação]],BASE_CAB,0)),"-")</f>
        <v>Caso não resolvido / Equipamento em reparo</v>
      </c>
      <c r="O369" s="34" t="str">
        <f>IFERROR(INDEX(BASE,MATCH(tblPRINTERS[[#This Row],[CASE ID]],BASE_CASOS,0),MATCH(tblPRINTERS[[#Headers],[Observação Calback]],BASE_CAB,0)),"-")</f>
        <v>ira trocar cartucho</v>
      </c>
      <c r="P369" s="42" t="str">
        <f>IF(ISERROR(INDEX(QUALIDADE,MATCH(tblPRINTERS[[#This Row],[CASE ID]],PROTOCOLO_PESQUISAS,0),MATCH("Return Time",QUALIDADE_CAB,0)))=FALSE,INDEX(QUALIDADE,MATCH(tblPRINTERS[[#This Row],[CASE ID]],PROTOCOLO_PESQUISAS,0),MATCH("Return Time",QUALIDADE_CAB,0)),"")</f>
        <v/>
      </c>
      <c r="Q369" s="34" t="str">
        <f>IF(tblPRINTERS[[#This Row],[DATA | PESQUISA RECEBIDA]]="","",PROPER(TEXT(tblPRINTERS[[#This Row],[DATA | PESQUISA RECEBIDA]],"DDDD")))</f>
        <v/>
      </c>
    </row>
    <row r="370" spans="1:17" hidden="1">
      <c r="A370" s="54">
        <v>3035408935</v>
      </c>
      <c r="B370" s="54" t="s">
        <v>500</v>
      </c>
      <c r="C370" s="90">
        <v>42738.737851504629</v>
      </c>
      <c r="D370" s="86">
        <v>42740.737851504629</v>
      </c>
      <c r="E370" s="54" t="s">
        <v>1537</v>
      </c>
      <c r="F370" s="54" t="s">
        <v>1537</v>
      </c>
      <c r="G370" s="54" t="s">
        <v>301</v>
      </c>
      <c r="H370" s="54" t="s">
        <v>23</v>
      </c>
      <c r="I370" s="54" t="s">
        <v>817</v>
      </c>
      <c r="J370" s="54" t="s">
        <v>304</v>
      </c>
      <c r="K370" s="54" t="s">
        <v>1540</v>
      </c>
      <c r="L370" s="87">
        <v>42741</v>
      </c>
      <c r="M370" s="34" t="str">
        <f>IFERROR(INDEX(BASE,MATCH(tblPRINTERS[[#This Row],[CASE ID]],BASE_CASOS,0),MATCH(tblPRINTERS[[#Headers],[tratativa]],BASE_CAB,0)),"Retornar com prioridade")</f>
        <v>Não responder pesquisa</v>
      </c>
      <c r="N370" s="34" t="str">
        <f>IFERROR(INDEX(BASE,MATCH(tblPRINTERS[[#This Row],[CASE ID]],BASE_CASOS,0),MATCH(tblPRINTERS[[#Headers],[Observação]],BASE_CAB,0)),"-")</f>
        <v>Caso não resolvido / Equipamento em reparo</v>
      </c>
      <c r="O370" s="34" t="str">
        <f>IFERROR(INDEX(BASE,MATCH(tblPRINTERS[[#This Row],[CASE ID]],BASE_CASOS,0),MATCH(tblPRINTERS[[#Headers],[Observação Calback]],BASE_CAB,0)),"-")</f>
        <v>ira trocar cartucho</v>
      </c>
      <c r="P370" s="42" t="str">
        <f>IF(ISERROR(INDEX(QUALIDADE,MATCH(tblPRINTERS[[#This Row],[CASE ID]],PROTOCOLO_PESQUISAS,0),MATCH("Return Time",QUALIDADE_CAB,0)))=FALSE,INDEX(QUALIDADE,MATCH(tblPRINTERS[[#This Row],[CASE ID]],PROTOCOLO_PESQUISAS,0),MATCH("Return Time",QUALIDADE_CAB,0)),"")</f>
        <v/>
      </c>
      <c r="Q370" s="34" t="str">
        <f>IF(tblPRINTERS[[#This Row],[DATA | PESQUISA RECEBIDA]]="","",PROPER(TEXT(tblPRINTERS[[#This Row],[DATA | PESQUISA RECEBIDA]],"DDDD")))</f>
        <v/>
      </c>
    </row>
    <row r="371" spans="1:17" hidden="1">
      <c r="A371" s="54">
        <v>3035433934</v>
      </c>
      <c r="B371" s="54" t="s">
        <v>500</v>
      </c>
      <c r="C371" s="90">
        <v>42738.737851504629</v>
      </c>
      <c r="D371" s="86">
        <v>42740.737851504629</v>
      </c>
      <c r="E371" s="54" t="s">
        <v>8</v>
      </c>
      <c r="F371" s="54" t="s">
        <v>8</v>
      </c>
      <c r="G371" s="54" t="s">
        <v>301</v>
      </c>
      <c r="H371" s="54" t="s">
        <v>9</v>
      </c>
      <c r="I371" s="54" t="s">
        <v>817</v>
      </c>
      <c r="J371" s="54" t="s">
        <v>303</v>
      </c>
      <c r="K371" s="54" t="s">
        <v>305</v>
      </c>
      <c r="L371" s="87">
        <v>42746</v>
      </c>
      <c r="M371" s="34" t="str">
        <f>IFERROR(INDEX(BASE,MATCH(tblPRINTERS[[#This Row],[CASE ID]],BASE_CASOS,0),MATCH(tblPRINTERS[[#Headers],[tratativa]],BASE_CAB,0)),"Retornar com prioridade")</f>
        <v>Responder pesquisa</v>
      </c>
      <c r="N371" s="34" t="str">
        <f>IFERROR(INDEX(BASE,MATCH(tblPRINTERS[[#This Row],[CASE ID]],BASE_CASOS,0),MATCH(tblPRINTERS[[#Headers],[Observação]],BASE_CAB,0)),"-")</f>
        <v>Nota 9/10</v>
      </c>
      <c r="O371" s="34" t="str">
        <f>IFERROR(INDEX(BASE,MATCH(tblPRINTERS[[#This Row],[CASE ID]],BASE_CASOS,0),MATCH(tblPRINTERS[[#Headers],[Observação Calback]],BASE_CAB,0)),"-")</f>
        <v>ira responder</v>
      </c>
      <c r="P371" s="42" t="str">
        <f>IF(ISERROR(INDEX(QUALIDADE,MATCH(tblPRINTERS[[#This Row],[CASE ID]],PROTOCOLO_PESQUISAS,0),MATCH("Return Time",QUALIDADE_CAB,0)))=FALSE,INDEX(QUALIDADE,MATCH(tblPRINTERS[[#This Row],[CASE ID]],PROTOCOLO_PESQUISAS,0),MATCH("Return Time",QUALIDADE_CAB,0)),"")</f>
        <v/>
      </c>
      <c r="Q371" s="34" t="str">
        <f>IF(tblPRINTERS[[#This Row],[DATA | PESQUISA RECEBIDA]]="","",PROPER(TEXT(tblPRINTERS[[#This Row],[DATA | PESQUISA RECEBIDA]],"DDDD")))</f>
        <v/>
      </c>
    </row>
    <row r="372" spans="1:17" hidden="1">
      <c r="A372" s="54">
        <v>3035437477</v>
      </c>
      <c r="B372" s="54" t="s">
        <v>500</v>
      </c>
      <c r="C372" s="90">
        <v>42738.737851504629</v>
      </c>
      <c r="D372" s="86">
        <v>42740.737851504629</v>
      </c>
      <c r="E372" s="54" t="s">
        <v>53</v>
      </c>
      <c r="F372" s="54" t="s">
        <v>53</v>
      </c>
      <c r="G372" s="54" t="s">
        <v>301</v>
      </c>
      <c r="H372" s="54" t="s">
        <v>273</v>
      </c>
      <c r="I372" s="54" t="s">
        <v>817</v>
      </c>
      <c r="J372" s="54" t="s">
        <v>303</v>
      </c>
      <c r="K372" s="54" t="s">
        <v>305</v>
      </c>
      <c r="L372" s="87">
        <v>42746</v>
      </c>
      <c r="M372" s="34" t="str">
        <f>IFERROR(INDEX(BASE,MATCH(tblPRINTERS[[#This Row],[CASE ID]],BASE_CASOS,0),MATCH(tblPRINTERS[[#Headers],[tratativa]],BASE_CAB,0)),"Retornar com prioridade")</f>
        <v>Sem contato</v>
      </c>
      <c r="N372" s="34" t="str">
        <f>IFERROR(INDEX(BASE,MATCH(tblPRINTERS[[#This Row],[CASE ID]],BASE_CASOS,0),MATCH(tblPRINTERS[[#Headers],[Observação]],BASE_CAB,0)),"-")</f>
        <v>Cliente não se encontra</v>
      </c>
      <c r="O372" s="34" t="str">
        <f>IFERROR(INDEX(BASE,MATCH(tblPRINTERS[[#This Row],[CASE ID]],BASE_CASOS,0),MATCH(tblPRINTERS[[#Headers],[Observação Calback]],BASE_CAB,0)),"-")</f>
        <v>2° tel. Cx postal</v>
      </c>
      <c r="P372" s="42" t="str">
        <f>IF(ISERROR(INDEX(QUALIDADE,MATCH(tblPRINTERS[[#This Row],[CASE ID]],PROTOCOLO_PESQUISAS,0),MATCH("Return Time",QUALIDADE_CAB,0)))=FALSE,INDEX(QUALIDADE,MATCH(tblPRINTERS[[#This Row],[CASE ID]],PROTOCOLO_PESQUISAS,0),MATCH("Return Time",QUALIDADE_CAB,0)),"")</f>
        <v/>
      </c>
      <c r="Q372" s="34" t="str">
        <f>IF(tblPRINTERS[[#This Row],[DATA | PESQUISA RECEBIDA]]="","",PROPER(TEXT(tblPRINTERS[[#This Row],[DATA | PESQUISA RECEBIDA]],"DDDD")))</f>
        <v/>
      </c>
    </row>
    <row r="373" spans="1:17" hidden="1">
      <c r="A373" s="54">
        <v>3035444421</v>
      </c>
      <c r="B373" s="54" t="s">
        <v>500</v>
      </c>
      <c r="C373" s="90">
        <v>42738.737851504629</v>
      </c>
      <c r="D373" s="86">
        <v>42740.737851504629</v>
      </c>
      <c r="E373" s="54" t="s">
        <v>861</v>
      </c>
      <c r="F373" s="54" t="s">
        <v>861</v>
      </c>
      <c r="G373" s="54" t="s">
        <v>301</v>
      </c>
      <c r="H373" s="54" t="s">
        <v>31</v>
      </c>
      <c r="I373" s="54" t="s">
        <v>817</v>
      </c>
      <c r="J373" s="54" t="s">
        <v>303</v>
      </c>
      <c r="K373" s="54" t="s">
        <v>305</v>
      </c>
      <c r="L373" s="87">
        <v>42746</v>
      </c>
      <c r="M373" s="34" t="str">
        <f>IFERROR(INDEX(BASE,MATCH(tblPRINTERS[[#This Row],[CASE ID]],BASE_CASOS,0),MATCH(tblPRINTERS[[#Headers],[tratativa]],BASE_CAB,0)),"Retornar com prioridade")</f>
        <v>Sem contato</v>
      </c>
      <c r="N373" s="34" t="str">
        <f>IFERROR(INDEX(BASE,MATCH(tblPRINTERS[[#This Row],[CASE ID]],BASE_CASOS,0),MATCH(tblPRINTERS[[#Headers],[Observação]],BASE_CAB,0)),"-")</f>
        <v>Sem contato (Só chama, Cx postal, Ocupado)</v>
      </c>
      <c r="O373" s="34" t="str">
        <f>IFERROR(INDEX(BASE,MATCH(tblPRINTERS[[#This Row],[CASE ID]],BASE_CASOS,0),MATCH(tblPRINTERS[[#Headers],[Observação Calback]],BASE_CAB,0)),"-")</f>
        <v>Tel 1 e 2 cx postal</v>
      </c>
      <c r="P373" s="42" t="str">
        <f>IF(ISERROR(INDEX(QUALIDADE,MATCH(tblPRINTERS[[#This Row],[CASE ID]],PROTOCOLO_PESQUISAS,0),MATCH("Return Time",QUALIDADE_CAB,0)))=FALSE,INDEX(QUALIDADE,MATCH(tblPRINTERS[[#This Row],[CASE ID]],PROTOCOLO_PESQUISAS,0),MATCH("Return Time",QUALIDADE_CAB,0)),"")</f>
        <v/>
      </c>
      <c r="Q373" s="34" t="str">
        <f>IF(tblPRINTERS[[#This Row],[DATA | PESQUISA RECEBIDA]]="","",PROPER(TEXT(tblPRINTERS[[#This Row],[DATA | PESQUISA RECEBIDA]],"DDDD")))</f>
        <v/>
      </c>
    </row>
    <row r="374" spans="1:17" hidden="1">
      <c r="A374" s="54">
        <v>3035442101</v>
      </c>
      <c r="B374" s="54" t="s">
        <v>500</v>
      </c>
      <c r="C374" s="90">
        <v>42738.737851504629</v>
      </c>
      <c r="D374" s="86">
        <v>42740.737851504629</v>
      </c>
      <c r="E374" s="54" t="s">
        <v>583</v>
      </c>
      <c r="F374" s="54" t="s">
        <v>20</v>
      </c>
      <c r="G374" s="54" t="s">
        <v>302</v>
      </c>
      <c r="H374" s="54" t="s">
        <v>23</v>
      </c>
      <c r="I374" s="54" t="s">
        <v>817</v>
      </c>
      <c r="J374" s="54" t="s">
        <v>304</v>
      </c>
      <c r="K374" s="54" t="s">
        <v>1533</v>
      </c>
      <c r="L374" s="87">
        <v>42741</v>
      </c>
      <c r="M374" s="34" t="str">
        <f>IFERROR(INDEX(BASE,MATCH(tblPRINTERS[[#This Row],[CASE ID]],BASE_CASOS,0),MATCH(tblPRINTERS[[#Headers],[tratativa]],BASE_CAB,0)),"Retornar com prioridade")</f>
        <v>Não responder pesquisa</v>
      </c>
      <c r="N374" s="34" t="str">
        <f>IFERROR(INDEX(BASE,MATCH(tblPRINTERS[[#This Row],[CASE ID]],BASE_CASOS,0),MATCH(tblPRINTERS[[#Headers],[Observação]],BASE_CAB,0)),"-")</f>
        <v>Caso não resolvido / Equipamento em reparo</v>
      </c>
      <c r="O374" s="34" t="str">
        <f>IFERROR(INDEX(BASE,MATCH(tblPRINTERS[[#This Row],[CASE ID]],BASE_CASOS,0),MATCH(tblPRINTERS[[#Headers],[Observação Calback]],BASE_CAB,0)),"-")</f>
        <v>em reparo</v>
      </c>
      <c r="P374" s="42" t="str">
        <f>IF(ISERROR(INDEX(QUALIDADE,MATCH(tblPRINTERS[[#This Row],[CASE ID]],PROTOCOLO_PESQUISAS,0),MATCH("Return Time",QUALIDADE_CAB,0)))=FALSE,INDEX(QUALIDADE,MATCH(tblPRINTERS[[#This Row],[CASE ID]],PROTOCOLO_PESQUISAS,0),MATCH("Return Time",QUALIDADE_CAB,0)),"")</f>
        <v/>
      </c>
      <c r="Q374" s="34" t="str">
        <f>IF(tblPRINTERS[[#This Row],[DATA | PESQUISA RECEBIDA]]="","",PROPER(TEXT(tblPRINTERS[[#This Row],[DATA | PESQUISA RECEBIDA]],"DDDD")))</f>
        <v/>
      </c>
    </row>
    <row r="375" spans="1:17" hidden="1">
      <c r="A375" s="54">
        <v>3035232370</v>
      </c>
      <c r="B375" s="54" t="s">
        <v>500</v>
      </c>
      <c r="C375" s="90">
        <v>42738.737851504629</v>
      </c>
      <c r="D375" s="86">
        <v>42740.737851504629</v>
      </c>
      <c r="E375" s="54" t="s">
        <v>560</v>
      </c>
      <c r="F375" s="54" t="s">
        <v>21</v>
      </c>
      <c r="G375" s="54" t="s">
        <v>302</v>
      </c>
      <c r="H375" s="54" t="s">
        <v>256</v>
      </c>
      <c r="I375" s="56" t="s">
        <v>817</v>
      </c>
      <c r="J375" s="54" t="s">
        <v>303</v>
      </c>
      <c r="K375" s="56" t="s">
        <v>1538</v>
      </c>
      <c r="L375" s="87">
        <v>42746</v>
      </c>
      <c r="M375" s="34" t="str">
        <f>IFERROR(INDEX(BASE,MATCH(tblPRINTERS[[#This Row],[CASE ID]],BASE_CASOS,0),MATCH(tblPRINTERS[[#Headers],[tratativa]],BASE_CAB,0)),"Retornar com prioridade")</f>
        <v>Retornar com prioridade</v>
      </c>
      <c r="N375" s="34" t="str">
        <f>IFERROR(INDEX(BASE,MATCH(tblPRINTERS[[#This Row],[CASE ID]],BASE_CASOS,0),MATCH(tblPRINTERS[[#Headers],[Observação]],BASE_CAB,0)),"-")</f>
        <v>-</v>
      </c>
      <c r="O375" s="34" t="str">
        <f>IFERROR(INDEX(BASE,MATCH(tblPRINTERS[[#This Row],[CASE ID]],BASE_CASOS,0),MATCH(tblPRINTERS[[#Headers],[Observação Calback]],BASE_CAB,0)),"-")</f>
        <v>-</v>
      </c>
      <c r="P375" s="42" t="str">
        <f>IF(ISERROR(INDEX(QUALIDADE,MATCH(tblPRINTERS[[#This Row],[CASE ID]],PROTOCOLO_PESQUISAS,0),MATCH("Return Time",QUALIDADE_CAB,0)))=FALSE,INDEX(QUALIDADE,MATCH(tblPRINTERS[[#This Row],[CASE ID]],PROTOCOLO_PESQUISAS,0),MATCH("Return Time",QUALIDADE_CAB,0)),"")</f>
        <v/>
      </c>
      <c r="Q375" s="34" t="str">
        <f>IF(tblPRINTERS[[#This Row],[DATA | PESQUISA RECEBIDA]]="","",PROPER(TEXT(tblPRINTERS[[#This Row],[DATA | PESQUISA RECEBIDA]],"DDDD")))</f>
        <v/>
      </c>
    </row>
    <row r="376" spans="1:17" hidden="1">
      <c r="A376" s="54">
        <v>3035216165</v>
      </c>
      <c r="B376" s="54" t="s">
        <v>500</v>
      </c>
      <c r="C376" s="90">
        <v>42738.737851504629</v>
      </c>
      <c r="D376" s="86">
        <v>42740.737851504629</v>
      </c>
      <c r="E376" s="54" t="s">
        <v>24</v>
      </c>
      <c r="F376" s="54" t="s">
        <v>47</v>
      </c>
      <c r="G376" s="54" t="s">
        <v>302</v>
      </c>
      <c r="H376" s="54" t="s">
        <v>23</v>
      </c>
      <c r="I376" s="54" t="s">
        <v>817</v>
      </c>
      <c r="J376" s="54" t="s">
        <v>303</v>
      </c>
      <c r="K376" s="54" t="s">
        <v>305</v>
      </c>
      <c r="L376" s="87">
        <v>42746</v>
      </c>
      <c r="M376" s="34" t="str">
        <f>IFERROR(INDEX(BASE,MATCH(tblPRINTERS[[#This Row],[CASE ID]],BASE_CASOS,0),MATCH(tblPRINTERS[[#Headers],[tratativa]],BASE_CAB,0)),"Retornar com prioridade")</f>
        <v>Sem contato</v>
      </c>
      <c r="N376" s="34" t="str">
        <f>IFERROR(INDEX(BASE,MATCH(tblPRINTERS[[#This Row],[CASE ID]],BASE_CASOS,0),MATCH(tblPRINTERS[[#Headers],[Observação]],BASE_CAB,0)),"-")</f>
        <v>Sem contato (Só chama, Cx postal, Ocupado)</v>
      </c>
      <c r="O376" s="34" t="str">
        <f>IFERROR(INDEX(BASE,MATCH(tblPRINTERS[[#This Row],[CASE ID]],BASE_CASOS,0),MATCH(tblPRINTERS[[#Headers],[Observação Calback]],BASE_CAB,0)),"-")</f>
        <v>Apenas um tel cx postal</v>
      </c>
      <c r="P376" s="42" t="str">
        <f>IF(ISERROR(INDEX(QUALIDADE,MATCH(tblPRINTERS[[#This Row],[CASE ID]],PROTOCOLO_PESQUISAS,0),MATCH("Return Time",QUALIDADE_CAB,0)))=FALSE,INDEX(QUALIDADE,MATCH(tblPRINTERS[[#This Row],[CASE ID]],PROTOCOLO_PESQUISAS,0),MATCH("Return Time",QUALIDADE_CAB,0)),"")</f>
        <v/>
      </c>
      <c r="Q376" s="34" t="str">
        <f>IF(tblPRINTERS[[#This Row],[DATA | PESQUISA RECEBIDA]]="","",PROPER(TEXT(tblPRINTERS[[#This Row],[DATA | PESQUISA RECEBIDA]],"DDDD")))</f>
        <v/>
      </c>
    </row>
    <row r="377" spans="1:17" hidden="1">
      <c r="A377" s="54">
        <v>3035197619</v>
      </c>
      <c r="B377" s="54" t="s">
        <v>500</v>
      </c>
      <c r="C377" s="90">
        <v>42737.737638969906</v>
      </c>
      <c r="D377" s="86">
        <v>42739.737638969906</v>
      </c>
      <c r="E377" s="54" t="s">
        <v>26</v>
      </c>
      <c r="F377" s="54" t="s">
        <v>47</v>
      </c>
      <c r="G377" s="54" t="s">
        <v>302</v>
      </c>
      <c r="H377" s="54" t="s">
        <v>23</v>
      </c>
      <c r="I377" s="56" t="s">
        <v>817</v>
      </c>
      <c r="J377" s="54" t="s">
        <v>304</v>
      </c>
      <c r="K377" s="56" t="s">
        <v>1532</v>
      </c>
      <c r="L377" s="87">
        <v>42740</v>
      </c>
      <c r="M377" s="34" t="str">
        <f>IFERROR(INDEX(BASE,MATCH(tblPRINTERS[[#This Row],[CASE ID]],BASE_CASOS,0),MATCH(tblPRINTERS[[#Headers],[tratativa]],BASE_CAB,0)),"Retornar com prioridade")</f>
        <v>Retornar com prioridade</v>
      </c>
      <c r="N377" s="34" t="str">
        <f>IFERROR(INDEX(BASE,MATCH(tblPRINTERS[[#This Row],[CASE ID]],BASE_CASOS,0),MATCH(tblPRINTERS[[#Headers],[Observação]],BASE_CAB,0)),"-")</f>
        <v>-</v>
      </c>
      <c r="O377" s="34" t="str">
        <f>IFERROR(INDEX(BASE,MATCH(tblPRINTERS[[#This Row],[CASE ID]],BASE_CASOS,0),MATCH(tblPRINTERS[[#Headers],[Observação Calback]],BASE_CAB,0)),"-")</f>
        <v>-</v>
      </c>
      <c r="P377" s="42" t="str">
        <f>IF(ISERROR(INDEX(QUALIDADE,MATCH(tblPRINTERS[[#This Row],[CASE ID]],PROTOCOLO_PESQUISAS,0),MATCH("Return Time",QUALIDADE_CAB,0)))=FALSE,INDEX(QUALIDADE,MATCH(tblPRINTERS[[#This Row],[CASE ID]],PROTOCOLO_PESQUISAS,0),MATCH("Return Time",QUALIDADE_CAB,0)),"")</f>
        <v/>
      </c>
      <c r="Q377" s="34" t="str">
        <f>IF(tblPRINTERS[[#This Row],[DATA | PESQUISA RECEBIDA]]="","",PROPER(TEXT(tblPRINTERS[[#This Row],[DATA | PESQUISA RECEBIDA]],"DDDD")))</f>
        <v/>
      </c>
    </row>
    <row r="378" spans="1:17" hidden="1">
      <c r="A378" s="54">
        <v>3035407674</v>
      </c>
      <c r="B378" s="54" t="s">
        <v>500</v>
      </c>
      <c r="C378" s="90">
        <v>42737.737638969906</v>
      </c>
      <c r="D378" s="86">
        <v>42739.737638969906</v>
      </c>
      <c r="E378" s="54" t="s">
        <v>16</v>
      </c>
      <c r="F378" s="54" t="s">
        <v>16</v>
      </c>
      <c r="G378" s="54" t="s">
        <v>301</v>
      </c>
      <c r="H378" s="54" t="s">
        <v>9</v>
      </c>
      <c r="I378" s="56" t="s">
        <v>817</v>
      </c>
      <c r="J378" s="54" t="s">
        <v>304</v>
      </c>
      <c r="K378" s="54" t="s">
        <v>307</v>
      </c>
      <c r="L378" s="87">
        <v>42740</v>
      </c>
      <c r="M378" s="34" t="str">
        <f>IFERROR(INDEX(BASE,MATCH(tblPRINTERS[[#This Row],[CASE ID]],BASE_CASOS,0),MATCH(tblPRINTERS[[#Headers],[tratativa]],BASE_CAB,0)),"Retornar com prioridade")</f>
        <v>Retornar com prioridade</v>
      </c>
      <c r="N378" s="34" t="str">
        <f>IFERROR(INDEX(BASE,MATCH(tblPRINTERS[[#This Row],[CASE ID]],BASE_CASOS,0),MATCH(tblPRINTERS[[#Headers],[Observação]],BASE_CAB,0)),"-")</f>
        <v>-</v>
      </c>
      <c r="O378" s="34" t="str">
        <f>IFERROR(INDEX(BASE,MATCH(tblPRINTERS[[#This Row],[CASE ID]],BASE_CASOS,0),MATCH(tblPRINTERS[[#Headers],[Observação Calback]],BASE_CAB,0)),"-")</f>
        <v>-</v>
      </c>
      <c r="P378" s="42" t="str">
        <f>IF(ISERROR(INDEX(QUALIDADE,MATCH(tblPRINTERS[[#This Row],[CASE ID]],PROTOCOLO_PESQUISAS,0),MATCH("Return Time",QUALIDADE_CAB,0)))=FALSE,INDEX(QUALIDADE,MATCH(tblPRINTERS[[#This Row],[CASE ID]],PROTOCOLO_PESQUISAS,0),MATCH("Return Time",QUALIDADE_CAB,0)),"")</f>
        <v/>
      </c>
      <c r="Q378" s="34" t="str">
        <f>IF(tblPRINTERS[[#This Row],[DATA | PESQUISA RECEBIDA]]="","",PROPER(TEXT(tblPRINTERS[[#This Row],[DATA | PESQUISA RECEBIDA]],"DDDD")))</f>
        <v/>
      </c>
    </row>
    <row r="379" spans="1:17" hidden="1">
      <c r="A379" s="54">
        <v>3035398850</v>
      </c>
      <c r="B379" s="54" t="s">
        <v>500</v>
      </c>
      <c r="C379" s="90">
        <v>42737.737638969906</v>
      </c>
      <c r="D379" s="86">
        <v>42739.737638969906</v>
      </c>
      <c r="E379" s="54" t="s">
        <v>14</v>
      </c>
      <c r="F379" s="54" t="s">
        <v>14</v>
      </c>
      <c r="G379" s="54" t="s">
        <v>301</v>
      </c>
      <c r="H379" s="54" t="s">
        <v>9</v>
      </c>
      <c r="I379" s="54" t="s">
        <v>817</v>
      </c>
      <c r="J379" s="54" t="s">
        <v>303</v>
      </c>
      <c r="K379" s="54" t="s">
        <v>305</v>
      </c>
      <c r="L379" s="87">
        <v>42746</v>
      </c>
      <c r="M379" s="34" t="str">
        <f>IFERROR(INDEX(BASE,MATCH(tblPRINTERS[[#This Row],[CASE ID]],BASE_CASOS,0),MATCH(tblPRINTERS[[#Headers],[tratativa]],BASE_CAB,0)),"Retornar com prioridade")</f>
        <v>Retornar com prioridade</v>
      </c>
      <c r="N379" s="34" t="str">
        <f>IFERROR(INDEX(BASE,MATCH(tblPRINTERS[[#This Row],[CASE ID]],BASE_CASOS,0),MATCH(tblPRINTERS[[#Headers],[Observação]],BASE_CAB,0)),"-")</f>
        <v>-</v>
      </c>
      <c r="O379" s="34" t="str">
        <f>IFERROR(INDEX(BASE,MATCH(tblPRINTERS[[#This Row],[CASE ID]],BASE_CASOS,0),MATCH(tblPRINTERS[[#Headers],[Observação Calback]],BASE_CAB,0)),"-")</f>
        <v>-</v>
      </c>
      <c r="P379" s="42" t="str">
        <f>IF(ISERROR(INDEX(QUALIDADE,MATCH(tblPRINTERS[[#This Row],[CASE ID]],PROTOCOLO_PESQUISAS,0),MATCH("Return Time",QUALIDADE_CAB,0)))=FALSE,INDEX(QUALIDADE,MATCH(tblPRINTERS[[#This Row],[CASE ID]],PROTOCOLO_PESQUISAS,0),MATCH("Return Time",QUALIDADE_CAB,0)),"")</f>
        <v/>
      </c>
      <c r="Q379" s="34" t="str">
        <f>IF(tblPRINTERS[[#This Row],[DATA | PESQUISA RECEBIDA]]="","",PROPER(TEXT(tblPRINTERS[[#This Row],[DATA | PESQUISA RECEBIDA]],"DDDD")))</f>
        <v/>
      </c>
    </row>
    <row r="380" spans="1:17" hidden="1">
      <c r="A380" s="54">
        <v>3035405745</v>
      </c>
      <c r="B380" s="54" t="s">
        <v>500</v>
      </c>
      <c r="C380" s="90">
        <v>42737.737638969906</v>
      </c>
      <c r="D380" s="86">
        <v>42739.737638969906</v>
      </c>
      <c r="E380" s="54" t="s">
        <v>19</v>
      </c>
      <c r="F380" s="54" t="s">
        <v>19</v>
      </c>
      <c r="G380" s="54" t="s">
        <v>301</v>
      </c>
      <c r="H380" s="54" t="s">
        <v>9</v>
      </c>
      <c r="I380" s="56" t="s">
        <v>817</v>
      </c>
      <c r="J380" s="54" t="s">
        <v>303</v>
      </c>
      <c r="K380" s="54" t="s">
        <v>305</v>
      </c>
      <c r="L380" s="87">
        <v>42746</v>
      </c>
      <c r="M380" s="34" t="str">
        <f>IFERROR(INDEX(BASE,MATCH(tblPRINTERS[[#This Row],[CASE ID]],BASE_CASOS,0),MATCH(tblPRINTERS[[#Headers],[tratativa]],BASE_CAB,0)),"Retornar com prioridade")</f>
        <v>Retornar com prioridade</v>
      </c>
      <c r="N380" s="34" t="str">
        <f>IFERROR(INDEX(BASE,MATCH(tblPRINTERS[[#This Row],[CASE ID]],BASE_CASOS,0),MATCH(tblPRINTERS[[#Headers],[Observação]],BASE_CAB,0)),"-")</f>
        <v>-</v>
      </c>
      <c r="O380" s="34" t="str">
        <f>IFERROR(INDEX(BASE,MATCH(tblPRINTERS[[#This Row],[CASE ID]],BASE_CASOS,0),MATCH(tblPRINTERS[[#Headers],[Observação Calback]],BASE_CAB,0)),"-")</f>
        <v>-</v>
      </c>
      <c r="P380" s="42" t="str">
        <f>IF(ISERROR(INDEX(QUALIDADE,MATCH(tblPRINTERS[[#This Row],[CASE ID]],PROTOCOLO_PESQUISAS,0),MATCH("Return Time",QUALIDADE_CAB,0)))=FALSE,INDEX(QUALIDADE,MATCH(tblPRINTERS[[#This Row],[CASE ID]],PROTOCOLO_PESQUISAS,0),MATCH("Return Time",QUALIDADE_CAB,0)),"")</f>
        <v/>
      </c>
      <c r="Q380" s="34" t="str">
        <f>IF(tblPRINTERS[[#This Row],[DATA | PESQUISA RECEBIDA]]="","",PROPER(TEXT(tblPRINTERS[[#This Row],[DATA | PESQUISA RECEBIDA]],"DDDD")))</f>
        <v/>
      </c>
    </row>
    <row r="381" spans="1:17" hidden="1">
      <c r="A381" s="54">
        <v>3035416223</v>
      </c>
      <c r="B381" s="54" t="s">
        <v>500</v>
      </c>
      <c r="C381" s="90">
        <v>42737.737638969906</v>
      </c>
      <c r="D381" s="86">
        <v>42739.737638969906</v>
      </c>
      <c r="E381" s="54" t="s">
        <v>30</v>
      </c>
      <c r="F381" s="54" t="s">
        <v>30</v>
      </c>
      <c r="G381" s="54" t="s">
        <v>301</v>
      </c>
      <c r="H381" s="54" t="s">
        <v>23</v>
      </c>
      <c r="I381" s="54" t="s">
        <v>817</v>
      </c>
      <c r="J381" s="54" t="s">
        <v>303</v>
      </c>
      <c r="K381" s="54" t="s">
        <v>305</v>
      </c>
      <c r="L381" s="87">
        <v>42746</v>
      </c>
      <c r="M381" s="34" t="str">
        <f>IFERROR(INDEX(BASE,MATCH(tblPRINTERS[[#This Row],[CASE ID]],BASE_CASOS,0),MATCH(tblPRINTERS[[#Headers],[tratativa]],BASE_CAB,0)),"Retornar com prioridade")</f>
        <v>Retornar com prioridade</v>
      </c>
      <c r="N381" s="34" t="str">
        <f>IFERROR(INDEX(BASE,MATCH(tblPRINTERS[[#This Row],[CASE ID]],BASE_CASOS,0),MATCH(tblPRINTERS[[#Headers],[Observação]],BASE_CAB,0)),"-")</f>
        <v>-</v>
      </c>
      <c r="O381" s="34" t="str">
        <f>IFERROR(INDEX(BASE,MATCH(tblPRINTERS[[#This Row],[CASE ID]],BASE_CASOS,0),MATCH(tblPRINTERS[[#Headers],[Observação Calback]],BASE_CAB,0)),"-")</f>
        <v>-</v>
      </c>
      <c r="P381" s="42" t="str">
        <f>IF(ISERROR(INDEX(QUALIDADE,MATCH(tblPRINTERS[[#This Row],[CASE ID]],PROTOCOLO_PESQUISAS,0),MATCH("Return Time",QUALIDADE_CAB,0)))=FALSE,INDEX(QUALIDADE,MATCH(tblPRINTERS[[#This Row],[CASE ID]],PROTOCOLO_PESQUISAS,0),MATCH("Return Time",QUALIDADE_CAB,0)),"")</f>
        <v/>
      </c>
      <c r="Q381" s="34" t="str">
        <f>IF(tblPRINTERS[[#This Row],[DATA | PESQUISA RECEBIDA]]="","",PROPER(TEXT(tblPRINTERS[[#This Row],[DATA | PESQUISA RECEBIDA]],"DDDD")))</f>
        <v/>
      </c>
    </row>
    <row r="382" spans="1:17" hidden="1">
      <c r="A382" s="54">
        <v>3035258722</v>
      </c>
      <c r="B382" s="54" t="s">
        <v>500</v>
      </c>
      <c r="C382" s="90">
        <v>42737.737638969906</v>
      </c>
      <c r="D382" s="86">
        <v>42739.737638969906</v>
      </c>
      <c r="E382" s="54" t="s">
        <v>53</v>
      </c>
      <c r="F382" s="54" t="s">
        <v>21</v>
      </c>
      <c r="G382" s="54" t="s">
        <v>302</v>
      </c>
      <c r="H382" s="54" t="s">
        <v>273</v>
      </c>
      <c r="I382" s="54" t="s">
        <v>817</v>
      </c>
      <c r="J382" s="54" t="s">
        <v>303</v>
      </c>
      <c r="K382" s="54" t="s">
        <v>305</v>
      </c>
      <c r="L382" s="87">
        <v>42746</v>
      </c>
      <c r="M382" s="34" t="str">
        <f>IFERROR(INDEX(BASE,MATCH(tblPRINTERS[[#This Row],[CASE ID]],BASE_CASOS,0),MATCH(tblPRINTERS[[#Headers],[tratativa]],BASE_CAB,0)),"Retornar com prioridade")</f>
        <v>Retornar com prioridade</v>
      </c>
      <c r="N382" s="34" t="str">
        <f>IFERROR(INDEX(BASE,MATCH(tblPRINTERS[[#This Row],[CASE ID]],BASE_CASOS,0),MATCH(tblPRINTERS[[#Headers],[Observação]],BASE_CAB,0)),"-")</f>
        <v>-</v>
      </c>
      <c r="O382" s="34" t="str">
        <f>IFERROR(INDEX(BASE,MATCH(tblPRINTERS[[#This Row],[CASE ID]],BASE_CASOS,0),MATCH(tblPRINTERS[[#Headers],[Observação Calback]],BASE_CAB,0)),"-")</f>
        <v>-</v>
      </c>
      <c r="P382" s="42" t="str">
        <f>IF(ISERROR(INDEX(QUALIDADE,MATCH(tblPRINTERS[[#This Row],[CASE ID]],PROTOCOLO_PESQUISAS,0),MATCH("Return Time",QUALIDADE_CAB,0)))=FALSE,INDEX(QUALIDADE,MATCH(tblPRINTERS[[#This Row],[CASE ID]],PROTOCOLO_PESQUISAS,0),MATCH("Return Time",QUALIDADE_CAB,0)),"")</f>
        <v/>
      </c>
      <c r="Q382" s="34" t="str">
        <f>IF(tblPRINTERS[[#This Row],[DATA | PESQUISA RECEBIDA]]="","",PROPER(TEXT(tblPRINTERS[[#This Row],[DATA | PESQUISA RECEBIDA]],"DDDD")))</f>
        <v/>
      </c>
    </row>
    <row r="383" spans="1:17" hidden="1">
      <c r="A383" s="54">
        <v>3035241127</v>
      </c>
      <c r="B383" s="54" t="s">
        <v>500</v>
      </c>
      <c r="C383" s="90">
        <v>42737.737638969906</v>
      </c>
      <c r="D383" s="86">
        <v>42739.737638969906</v>
      </c>
      <c r="E383" s="54" t="s">
        <v>49</v>
      </c>
      <c r="F383" s="54" t="s">
        <v>21</v>
      </c>
      <c r="G383" s="54" t="s">
        <v>302</v>
      </c>
      <c r="H383" s="54" t="s">
        <v>273</v>
      </c>
      <c r="I383" s="56" t="s">
        <v>817</v>
      </c>
      <c r="J383" s="54" t="s">
        <v>304</v>
      </c>
      <c r="K383" s="54" t="s">
        <v>307</v>
      </c>
      <c r="L383" s="87"/>
      <c r="M383" s="34" t="str">
        <f>IFERROR(INDEX(BASE,MATCH(tblPRINTERS[[#This Row],[CASE ID]],BASE_CASOS,0),MATCH(tblPRINTERS[[#Headers],[tratativa]],BASE_CAB,0)),"Retornar com prioridade")</f>
        <v>Retornar com prioridade</v>
      </c>
      <c r="N383" s="34" t="str">
        <f>IFERROR(INDEX(BASE,MATCH(tblPRINTERS[[#This Row],[CASE ID]],BASE_CASOS,0),MATCH(tblPRINTERS[[#Headers],[Observação]],BASE_CAB,0)),"-")</f>
        <v>-</v>
      </c>
      <c r="O383" s="34" t="str">
        <f>IFERROR(INDEX(BASE,MATCH(tblPRINTERS[[#This Row],[CASE ID]],BASE_CASOS,0),MATCH(tblPRINTERS[[#Headers],[Observação Calback]],BASE_CAB,0)),"-")</f>
        <v>-</v>
      </c>
      <c r="P383" s="42" t="str">
        <f>IF(ISERROR(INDEX(QUALIDADE,MATCH(tblPRINTERS[[#This Row],[CASE ID]],PROTOCOLO_PESQUISAS,0),MATCH("Return Time",QUALIDADE_CAB,0)))=FALSE,INDEX(QUALIDADE,MATCH(tblPRINTERS[[#This Row],[CASE ID]],PROTOCOLO_PESQUISAS,0),MATCH("Return Time",QUALIDADE_CAB,0)),"")</f>
        <v/>
      </c>
      <c r="Q383" s="34" t="str">
        <f>IF(tblPRINTERS[[#This Row],[DATA | PESQUISA RECEBIDA]]="","",PROPER(TEXT(tblPRINTERS[[#This Row],[DATA | PESQUISA RECEBIDA]],"DDDD")))</f>
        <v/>
      </c>
    </row>
    <row r="384" spans="1:17" hidden="1">
      <c r="A384" s="54">
        <v>3035398714</v>
      </c>
      <c r="B384" s="54" t="s">
        <v>500</v>
      </c>
      <c r="C384" s="90">
        <v>42737.737638969906</v>
      </c>
      <c r="D384" s="86">
        <v>42739.737638969906</v>
      </c>
      <c r="E384" s="54" t="s">
        <v>580</v>
      </c>
      <c r="F384" s="54" t="s">
        <v>18</v>
      </c>
      <c r="G384" s="54" t="s">
        <v>302</v>
      </c>
      <c r="H384" s="54" t="s">
        <v>9</v>
      </c>
      <c r="I384" s="56" t="s">
        <v>817</v>
      </c>
      <c r="J384" s="54" t="s">
        <v>304</v>
      </c>
      <c r="K384" s="54" t="s">
        <v>1535</v>
      </c>
      <c r="L384" s="87"/>
      <c r="M384" s="34" t="str">
        <f>IFERROR(INDEX(BASE,MATCH(tblPRINTERS[[#This Row],[CASE ID]],BASE_CASOS,0),MATCH(tblPRINTERS[[#Headers],[tratativa]],BASE_CAB,0)),"Retornar com prioridade")</f>
        <v>Retornar com prioridade</v>
      </c>
      <c r="N384" s="34" t="str">
        <f>IFERROR(INDEX(BASE,MATCH(tblPRINTERS[[#This Row],[CASE ID]],BASE_CASOS,0),MATCH(tblPRINTERS[[#Headers],[Observação]],BASE_CAB,0)),"-")</f>
        <v>-</v>
      </c>
      <c r="O384" s="34" t="str">
        <f>IFERROR(INDEX(BASE,MATCH(tblPRINTERS[[#This Row],[CASE ID]],BASE_CASOS,0),MATCH(tblPRINTERS[[#Headers],[Observação Calback]],BASE_CAB,0)),"-")</f>
        <v>-</v>
      </c>
      <c r="P384" s="42" t="str">
        <f>IF(ISERROR(INDEX(QUALIDADE,MATCH(tblPRINTERS[[#This Row],[CASE ID]],PROTOCOLO_PESQUISAS,0),MATCH("Return Time",QUALIDADE_CAB,0)))=FALSE,INDEX(QUALIDADE,MATCH(tblPRINTERS[[#This Row],[CASE ID]],PROTOCOLO_PESQUISAS,0),MATCH("Return Time",QUALIDADE_CAB,0)),"")</f>
        <v/>
      </c>
      <c r="Q384" s="34" t="str">
        <f>IF(tblPRINTERS[[#This Row],[DATA | PESQUISA RECEBIDA]]="","",PROPER(TEXT(tblPRINTERS[[#This Row],[DATA | PESQUISA RECEBIDA]],"DDDD")))</f>
        <v/>
      </c>
    </row>
    <row r="385" spans="1:17" hidden="1">
      <c r="A385" s="54">
        <v>3035414030</v>
      </c>
      <c r="B385" s="54" t="s">
        <v>500</v>
      </c>
      <c r="C385" s="90">
        <v>42737.737638969906</v>
      </c>
      <c r="D385" s="86">
        <v>42739.737638969906</v>
      </c>
      <c r="E385" s="54" t="s">
        <v>25</v>
      </c>
      <c r="F385" s="54" t="s">
        <v>25</v>
      </c>
      <c r="G385" s="54" t="s">
        <v>301</v>
      </c>
      <c r="H385" s="54" t="s">
        <v>23</v>
      </c>
      <c r="I385" s="56" t="s">
        <v>817</v>
      </c>
      <c r="J385" s="54" t="s">
        <v>303</v>
      </c>
      <c r="K385" s="54" t="s">
        <v>305</v>
      </c>
      <c r="L385" s="87">
        <v>42746</v>
      </c>
      <c r="M385" s="34" t="str">
        <f>IFERROR(INDEX(BASE,MATCH(tblPRINTERS[[#This Row],[CASE ID]],BASE_CASOS,0),MATCH(tblPRINTERS[[#Headers],[tratativa]],BASE_CAB,0)),"Retornar com prioridade")</f>
        <v>Retornar com prioridade</v>
      </c>
      <c r="N385" s="34" t="str">
        <f>IFERROR(INDEX(BASE,MATCH(tblPRINTERS[[#This Row],[CASE ID]],BASE_CASOS,0),MATCH(tblPRINTERS[[#Headers],[Observação]],BASE_CAB,0)),"-")</f>
        <v>-</v>
      </c>
      <c r="O385" s="34" t="str">
        <f>IFERROR(INDEX(BASE,MATCH(tblPRINTERS[[#This Row],[CASE ID]],BASE_CASOS,0),MATCH(tblPRINTERS[[#Headers],[Observação Calback]],BASE_CAB,0)),"-")</f>
        <v>-</v>
      </c>
      <c r="P385" s="42" t="str">
        <f>IF(ISERROR(INDEX(QUALIDADE,MATCH(tblPRINTERS[[#This Row],[CASE ID]],PROTOCOLO_PESQUISAS,0),MATCH("Return Time",QUALIDADE_CAB,0)))=FALSE,INDEX(QUALIDADE,MATCH(tblPRINTERS[[#This Row],[CASE ID]],PROTOCOLO_PESQUISAS,0),MATCH("Return Time",QUALIDADE_CAB,0)),"")</f>
        <v/>
      </c>
      <c r="Q385" s="34" t="str">
        <f>IF(tblPRINTERS[[#This Row],[DATA | PESQUISA RECEBIDA]]="","",PROPER(TEXT(tblPRINTERS[[#This Row],[DATA | PESQUISA RECEBIDA]],"DDDD")))</f>
        <v/>
      </c>
    </row>
    <row r="386" spans="1:17" hidden="1">
      <c r="A386" s="54">
        <v>3035402799</v>
      </c>
      <c r="B386" s="54" t="s">
        <v>500</v>
      </c>
      <c r="C386" s="90">
        <v>42737.737638969906</v>
      </c>
      <c r="D386" s="86">
        <v>42739.737638969906</v>
      </c>
      <c r="E386" s="54" t="s">
        <v>19</v>
      </c>
      <c r="F386" s="54" t="s">
        <v>19</v>
      </c>
      <c r="G386" s="54" t="s">
        <v>301</v>
      </c>
      <c r="H386" s="54" t="s">
        <v>9</v>
      </c>
      <c r="I386" s="54" t="s">
        <v>817</v>
      </c>
      <c r="J386" s="54" t="s">
        <v>304</v>
      </c>
      <c r="K386" s="54" t="s">
        <v>1527</v>
      </c>
      <c r="L386" s="87">
        <v>42740</v>
      </c>
      <c r="M386" s="34" t="str">
        <f>IFERROR(INDEX(BASE,MATCH(tblPRINTERS[[#This Row],[CASE ID]],BASE_CASOS,0),MATCH(tblPRINTERS[[#Headers],[tratativa]],BASE_CAB,0)),"Retornar com prioridade")</f>
        <v>Retornar com prioridade</v>
      </c>
      <c r="N386" s="34" t="str">
        <f>IFERROR(INDEX(BASE,MATCH(tblPRINTERS[[#This Row],[CASE ID]],BASE_CASOS,0),MATCH(tblPRINTERS[[#Headers],[Observação]],BASE_CAB,0)),"-")</f>
        <v>-</v>
      </c>
      <c r="O386" s="34" t="str">
        <f>IFERROR(INDEX(BASE,MATCH(tblPRINTERS[[#This Row],[CASE ID]],BASE_CASOS,0),MATCH(tblPRINTERS[[#Headers],[Observação Calback]],BASE_CAB,0)),"-")</f>
        <v>-</v>
      </c>
      <c r="P386" s="42" t="str">
        <f>IF(ISERROR(INDEX(QUALIDADE,MATCH(tblPRINTERS[[#This Row],[CASE ID]],PROTOCOLO_PESQUISAS,0),MATCH("Return Time",QUALIDADE_CAB,0)))=FALSE,INDEX(QUALIDADE,MATCH(tblPRINTERS[[#This Row],[CASE ID]],PROTOCOLO_PESQUISAS,0),MATCH("Return Time",QUALIDADE_CAB,0)),"")</f>
        <v/>
      </c>
      <c r="Q386" s="34" t="str">
        <f>IF(tblPRINTERS[[#This Row],[DATA | PESQUISA RECEBIDA]]="","",PROPER(TEXT(tblPRINTERS[[#This Row],[DATA | PESQUISA RECEBIDA]],"DDDD")))</f>
        <v/>
      </c>
    </row>
    <row r="387" spans="1:17" hidden="1">
      <c r="A387" s="54">
        <v>3035403391</v>
      </c>
      <c r="B387" s="54" t="s">
        <v>500</v>
      </c>
      <c r="C387" s="90">
        <v>42737.737638969906</v>
      </c>
      <c r="D387" s="86">
        <v>42739.737638969906</v>
      </c>
      <c r="E387" s="54" t="s">
        <v>846</v>
      </c>
      <c r="F387" s="54" t="s">
        <v>846</v>
      </c>
      <c r="G387" s="54" t="s">
        <v>301</v>
      </c>
      <c r="H387" s="54" t="s">
        <v>273</v>
      </c>
      <c r="I387" s="54" t="s">
        <v>817</v>
      </c>
      <c r="J387" s="54" t="s">
        <v>304</v>
      </c>
      <c r="K387" s="54" t="s">
        <v>307</v>
      </c>
      <c r="L387" s="87">
        <v>42740</v>
      </c>
      <c r="M387" s="34" t="str">
        <f>IFERROR(INDEX(BASE,MATCH(tblPRINTERS[[#This Row],[CASE ID]],BASE_CASOS,0),MATCH(tblPRINTERS[[#Headers],[tratativa]],BASE_CAB,0)),"Retornar com prioridade")</f>
        <v>Retornar com prioridade</v>
      </c>
      <c r="N387" s="34" t="str">
        <f>IFERROR(INDEX(BASE,MATCH(tblPRINTERS[[#This Row],[CASE ID]],BASE_CASOS,0),MATCH(tblPRINTERS[[#Headers],[Observação]],BASE_CAB,0)),"-")</f>
        <v>-</v>
      </c>
      <c r="O387" s="34" t="str">
        <f>IFERROR(INDEX(BASE,MATCH(tblPRINTERS[[#This Row],[CASE ID]],BASE_CASOS,0),MATCH(tblPRINTERS[[#Headers],[Observação Calback]],BASE_CAB,0)),"-")</f>
        <v>-</v>
      </c>
      <c r="P387" s="42" t="str">
        <f>IF(ISERROR(INDEX(QUALIDADE,MATCH(tblPRINTERS[[#This Row],[CASE ID]],PROTOCOLO_PESQUISAS,0),MATCH("Return Time",QUALIDADE_CAB,0)))=FALSE,INDEX(QUALIDADE,MATCH(tblPRINTERS[[#This Row],[CASE ID]],PROTOCOLO_PESQUISAS,0),MATCH("Return Time",QUALIDADE_CAB,0)),"")</f>
        <v/>
      </c>
      <c r="Q387" s="34" t="str">
        <f>IF(tblPRINTERS[[#This Row],[DATA | PESQUISA RECEBIDA]]="","",PROPER(TEXT(tblPRINTERS[[#This Row],[DATA | PESQUISA RECEBIDA]],"DDDD")))</f>
        <v/>
      </c>
    </row>
    <row r="388" spans="1:17" hidden="1">
      <c r="A388" s="54">
        <v>3035306497</v>
      </c>
      <c r="B388" s="54" t="s">
        <v>500</v>
      </c>
      <c r="C388" s="90">
        <v>42737.737638969906</v>
      </c>
      <c r="D388" s="86">
        <v>42739.737638969906</v>
      </c>
      <c r="E388" s="54" t="s">
        <v>560</v>
      </c>
      <c r="F388" s="54" t="s">
        <v>21</v>
      </c>
      <c r="G388" s="54" t="s">
        <v>302</v>
      </c>
      <c r="H388" s="54" t="s">
        <v>256</v>
      </c>
      <c r="I388" s="56" t="s">
        <v>817</v>
      </c>
      <c r="J388" s="56" t="s">
        <v>303</v>
      </c>
      <c r="K388" s="56" t="s">
        <v>305</v>
      </c>
      <c r="L388" s="87">
        <v>42746</v>
      </c>
      <c r="M388" s="34" t="str">
        <f>IFERROR(INDEX(BASE,MATCH(tblPRINTERS[[#This Row],[CASE ID]],BASE_CASOS,0),MATCH(tblPRINTERS[[#Headers],[tratativa]],BASE_CAB,0)),"Retornar com prioridade")</f>
        <v>Retornar com prioridade</v>
      </c>
      <c r="N388" s="34" t="str">
        <f>IFERROR(INDEX(BASE,MATCH(tblPRINTERS[[#This Row],[CASE ID]],BASE_CASOS,0),MATCH(tblPRINTERS[[#Headers],[Observação]],BASE_CAB,0)),"-")</f>
        <v>-</v>
      </c>
      <c r="O388" s="34" t="str">
        <f>IFERROR(INDEX(BASE,MATCH(tblPRINTERS[[#This Row],[CASE ID]],BASE_CASOS,0),MATCH(tblPRINTERS[[#Headers],[Observação Calback]],BASE_CAB,0)),"-")</f>
        <v>-</v>
      </c>
      <c r="P388" s="42" t="str">
        <f>IF(ISERROR(INDEX(QUALIDADE,MATCH(tblPRINTERS[[#This Row],[CASE ID]],PROTOCOLO_PESQUISAS,0),MATCH("Return Time",QUALIDADE_CAB,0)))=FALSE,INDEX(QUALIDADE,MATCH(tblPRINTERS[[#This Row],[CASE ID]],PROTOCOLO_PESQUISAS,0),MATCH("Return Time",QUALIDADE_CAB,0)),"")</f>
        <v/>
      </c>
      <c r="Q388" s="34" t="str">
        <f>IF(tblPRINTERS[[#This Row],[DATA | PESQUISA RECEBIDA]]="","",PROPER(TEXT(tblPRINTERS[[#This Row],[DATA | PESQUISA RECEBIDA]],"DDDD")))</f>
        <v/>
      </c>
    </row>
    <row r="389" spans="1:17" hidden="1">
      <c r="A389" s="54">
        <v>3035399268</v>
      </c>
      <c r="B389" s="54" t="s">
        <v>500</v>
      </c>
      <c r="C389" s="90">
        <v>42737.737638969906</v>
      </c>
      <c r="D389" s="86">
        <v>42739.737638969906</v>
      </c>
      <c r="E389" s="54" t="s">
        <v>861</v>
      </c>
      <c r="F389" s="54" t="s">
        <v>861</v>
      </c>
      <c r="G389" s="54" t="s">
        <v>301</v>
      </c>
      <c r="H389" s="54" t="s">
        <v>31</v>
      </c>
      <c r="I389" s="54" t="s">
        <v>817</v>
      </c>
      <c r="J389" s="54" t="s">
        <v>304</v>
      </c>
      <c r="K389" s="54" t="s">
        <v>1534</v>
      </c>
      <c r="L389" s="87"/>
      <c r="M389" s="34" t="str">
        <f>IFERROR(INDEX(BASE,MATCH(tblPRINTERS[[#This Row],[CASE ID]],BASE_CASOS,0),MATCH(tblPRINTERS[[#Headers],[tratativa]],BASE_CAB,0)),"Retornar com prioridade")</f>
        <v>Retornar com prioridade</v>
      </c>
      <c r="N389" s="34" t="str">
        <f>IFERROR(INDEX(BASE,MATCH(tblPRINTERS[[#This Row],[CASE ID]],BASE_CASOS,0),MATCH(tblPRINTERS[[#Headers],[Observação]],BASE_CAB,0)),"-")</f>
        <v>-</v>
      </c>
      <c r="O389" s="34" t="str">
        <f>IFERROR(INDEX(BASE,MATCH(tblPRINTERS[[#This Row],[CASE ID]],BASE_CASOS,0),MATCH(tblPRINTERS[[#Headers],[Observação Calback]],BASE_CAB,0)),"-")</f>
        <v>-</v>
      </c>
      <c r="P389" s="42" t="str">
        <f>IF(ISERROR(INDEX(QUALIDADE,MATCH(tblPRINTERS[[#This Row],[CASE ID]],PROTOCOLO_PESQUISAS,0),MATCH("Return Time",QUALIDADE_CAB,0)))=FALSE,INDEX(QUALIDADE,MATCH(tblPRINTERS[[#This Row],[CASE ID]],PROTOCOLO_PESQUISAS,0),MATCH("Return Time",QUALIDADE_CAB,0)),"")</f>
        <v/>
      </c>
      <c r="Q389" s="34" t="str">
        <f>IF(tblPRINTERS[[#This Row],[DATA | PESQUISA RECEBIDA]]="","",PROPER(TEXT(tblPRINTERS[[#This Row],[DATA | PESQUISA RECEBIDA]],"DDDD")))</f>
        <v/>
      </c>
    </row>
    <row r="390" spans="1:17" hidden="1">
      <c r="A390" s="54">
        <v>3035411005</v>
      </c>
      <c r="B390" s="54" t="s">
        <v>500</v>
      </c>
      <c r="C390" s="90">
        <v>42737.737638969906</v>
      </c>
      <c r="D390" s="86">
        <v>42739.737638969906</v>
      </c>
      <c r="E390" s="54" t="s">
        <v>25</v>
      </c>
      <c r="F390" s="54" t="s">
        <v>25</v>
      </c>
      <c r="G390" s="54" t="s">
        <v>301</v>
      </c>
      <c r="H390" s="54" t="s">
        <v>23</v>
      </c>
      <c r="I390" s="56" t="s">
        <v>817</v>
      </c>
      <c r="J390" s="54" t="s">
        <v>303</v>
      </c>
      <c r="K390" s="56" t="s">
        <v>305</v>
      </c>
      <c r="L390" s="87">
        <v>42746</v>
      </c>
      <c r="M390" s="34" t="str">
        <f>IFERROR(INDEX(BASE,MATCH(tblPRINTERS[[#This Row],[CASE ID]],BASE_CASOS,0),MATCH(tblPRINTERS[[#Headers],[tratativa]],BASE_CAB,0)),"Retornar com prioridade")</f>
        <v>Retornar com prioridade</v>
      </c>
      <c r="N390" s="34" t="str">
        <f>IFERROR(INDEX(BASE,MATCH(tblPRINTERS[[#This Row],[CASE ID]],BASE_CASOS,0),MATCH(tblPRINTERS[[#Headers],[Observação]],BASE_CAB,0)),"-")</f>
        <v>-</v>
      </c>
      <c r="O390" s="34" t="str">
        <f>IFERROR(INDEX(BASE,MATCH(tblPRINTERS[[#This Row],[CASE ID]],BASE_CASOS,0),MATCH(tblPRINTERS[[#Headers],[Observação Calback]],BASE_CAB,0)),"-")</f>
        <v>-</v>
      </c>
      <c r="P390" s="42" t="str">
        <f>IF(ISERROR(INDEX(QUALIDADE,MATCH(tblPRINTERS[[#This Row],[CASE ID]],PROTOCOLO_PESQUISAS,0),MATCH("Return Time",QUALIDADE_CAB,0)))=FALSE,INDEX(QUALIDADE,MATCH(tblPRINTERS[[#This Row],[CASE ID]],PROTOCOLO_PESQUISAS,0),MATCH("Return Time",QUALIDADE_CAB,0)),"")</f>
        <v/>
      </c>
      <c r="Q390" s="34" t="str">
        <f>IF(tblPRINTERS[[#This Row],[DATA | PESQUISA RECEBIDA]]="","",PROPER(TEXT(tblPRINTERS[[#This Row],[DATA | PESQUISA RECEBIDA]],"DDDD")))</f>
        <v/>
      </c>
    </row>
    <row r="391" spans="1:17" hidden="1">
      <c r="A391" s="54">
        <v>3035406240</v>
      </c>
      <c r="B391" s="54" t="s">
        <v>500</v>
      </c>
      <c r="C391" s="90">
        <v>42737.737638969906</v>
      </c>
      <c r="D391" s="86">
        <v>42739.737638969906</v>
      </c>
      <c r="E391" s="54" t="s">
        <v>1526</v>
      </c>
      <c r="F391" s="54" t="s">
        <v>55</v>
      </c>
      <c r="G391" s="54" t="s">
        <v>302</v>
      </c>
      <c r="H391" s="54" t="s">
        <v>31</v>
      </c>
      <c r="I391" s="54" t="s">
        <v>817</v>
      </c>
      <c r="J391" s="54" t="s">
        <v>304</v>
      </c>
      <c r="K391" s="54" t="s">
        <v>307</v>
      </c>
      <c r="L391" s="87">
        <v>42740</v>
      </c>
      <c r="M391" s="34" t="str">
        <f>IFERROR(INDEX(BASE,MATCH(tblPRINTERS[[#This Row],[CASE ID]],BASE_CASOS,0),MATCH(tblPRINTERS[[#Headers],[tratativa]],BASE_CAB,0)),"Retornar com prioridade")</f>
        <v>Retornar com prioridade</v>
      </c>
      <c r="N391" s="34" t="str">
        <f>IFERROR(INDEX(BASE,MATCH(tblPRINTERS[[#This Row],[CASE ID]],BASE_CASOS,0),MATCH(tblPRINTERS[[#Headers],[Observação]],BASE_CAB,0)),"-")</f>
        <v>-</v>
      </c>
      <c r="O391" s="34" t="str">
        <f>IFERROR(INDEX(BASE,MATCH(tblPRINTERS[[#This Row],[CASE ID]],BASE_CASOS,0),MATCH(tblPRINTERS[[#Headers],[Observação Calback]],BASE_CAB,0)),"-")</f>
        <v>-</v>
      </c>
      <c r="P391" s="42" t="str">
        <f>IF(ISERROR(INDEX(QUALIDADE,MATCH(tblPRINTERS[[#This Row],[CASE ID]],PROTOCOLO_PESQUISAS,0),MATCH("Return Time",QUALIDADE_CAB,0)))=FALSE,INDEX(QUALIDADE,MATCH(tblPRINTERS[[#This Row],[CASE ID]],PROTOCOLO_PESQUISAS,0),MATCH("Return Time",QUALIDADE_CAB,0)),"")</f>
        <v/>
      </c>
      <c r="Q391" s="34" t="str">
        <f>IF(tblPRINTERS[[#This Row],[DATA | PESQUISA RECEBIDA]]="","",PROPER(TEXT(tblPRINTERS[[#This Row],[DATA | PESQUISA RECEBIDA]],"DDDD")))</f>
        <v/>
      </c>
    </row>
    <row r="392" spans="1:17" hidden="1">
      <c r="A392" s="54">
        <v>3035411952</v>
      </c>
      <c r="B392" s="54" t="s">
        <v>500</v>
      </c>
      <c r="C392" s="90">
        <v>42737.737638969906</v>
      </c>
      <c r="D392" s="86">
        <v>42739.737638969906</v>
      </c>
      <c r="E392" s="54" t="s">
        <v>50</v>
      </c>
      <c r="F392" s="54" t="s">
        <v>50</v>
      </c>
      <c r="G392" s="54" t="s">
        <v>301</v>
      </c>
      <c r="H392" s="54" t="s">
        <v>273</v>
      </c>
      <c r="I392" s="54" t="s">
        <v>817</v>
      </c>
      <c r="J392" s="54" t="s">
        <v>303</v>
      </c>
      <c r="K392" s="54" t="s">
        <v>2634</v>
      </c>
      <c r="L392" s="87">
        <v>42746</v>
      </c>
      <c r="M392" s="34" t="str">
        <f>IFERROR(INDEX(BASE,MATCH(tblPRINTERS[[#This Row],[CASE ID]],BASE_CASOS,0),MATCH(tblPRINTERS[[#Headers],[tratativa]],BASE_CAB,0)),"Retornar com prioridade")</f>
        <v>Retornar com prioridade</v>
      </c>
      <c r="N392" s="34" t="str">
        <f>IFERROR(INDEX(BASE,MATCH(tblPRINTERS[[#This Row],[CASE ID]],BASE_CASOS,0),MATCH(tblPRINTERS[[#Headers],[Observação]],BASE_CAB,0)),"-")</f>
        <v>-</v>
      </c>
      <c r="O392" s="34" t="str">
        <f>IFERROR(INDEX(BASE,MATCH(tblPRINTERS[[#This Row],[CASE ID]],BASE_CASOS,0),MATCH(tblPRINTERS[[#Headers],[Observação Calback]],BASE_CAB,0)),"-")</f>
        <v>-</v>
      </c>
      <c r="P392" s="42" t="str">
        <f>IF(ISERROR(INDEX(QUALIDADE,MATCH(tblPRINTERS[[#This Row],[CASE ID]],PROTOCOLO_PESQUISAS,0),MATCH("Return Time",QUALIDADE_CAB,0)))=FALSE,INDEX(QUALIDADE,MATCH(tblPRINTERS[[#This Row],[CASE ID]],PROTOCOLO_PESQUISAS,0),MATCH("Return Time",QUALIDADE_CAB,0)),"")</f>
        <v/>
      </c>
      <c r="Q392" s="34" t="str">
        <f>IF(tblPRINTERS[[#This Row],[DATA | PESQUISA RECEBIDA]]="","",PROPER(TEXT(tblPRINTERS[[#This Row],[DATA | PESQUISA RECEBIDA]],"DDDD")))</f>
        <v/>
      </c>
    </row>
    <row r="393" spans="1:17" hidden="1">
      <c r="A393" s="54">
        <v>3035399604</v>
      </c>
      <c r="B393" s="54" t="s">
        <v>500</v>
      </c>
      <c r="C393" s="90">
        <v>42737.737638969906</v>
      </c>
      <c r="D393" s="86">
        <v>42739.737638969906</v>
      </c>
      <c r="E393" s="54" t="s">
        <v>18</v>
      </c>
      <c r="F393" s="54" t="s">
        <v>18</v>
      </c>
      <c r="G393" s="54" t="s">
        <v>301</v>
      </c>
      <c r="H393" s="54" t="s">
        <v>9</v>
      </c>
      <c r="I393" s="56" t="s">
        <v>817</v>
      </c>
      <c r="J393" s="56" t="s">
        <v>304</v>
      </c>
      <c r="K393" s="56" t="s">
        <v>1530</v>
      </c>
      <c r="L393" s="88">
        <v>42740</v>
      </c>
      <c r="M393" s="34" t="str">
        <f>IFERROR(INDEX(BASE,MATCH(tblPRINTERS[[#This Row],[CASE ID]],BASE_CASOS,0),MATCH(tblPRINTERS[[#Headers],[tratativa]],BASE_CAB,0)),"Retornar com prioridade")</f>
        <v>Retornar com prioridade</v>
      </c>
      <c r="N393" s="34" t="str">
        <f>IFERROR(INDEX(BASE,MATCH(tblPRINTERS[[#This Row],[CASE ID]],BASE_CASOS,0),MATCH(tblPRINTERS[[#Headers],[Observação]],BASE_CAB,0)),"-")</f>
        <v>-</v>
      </c>
      <c r="O393" s="34" t="str">
        <f>IFERROR(INDEX(BASE,MATCH(tblPRINTERS[[#This Row],[CASE ID]],BASE_CASOS,0),MATCH(tblPRINTERS[[#Headers],[Observação Calback]],BASE_CAB,0)),"-")</f>
        <v>-</v>
      </c>
      <c r="P393" s="42" t="str">
        <f>IF(ISERROR(INDEX(QUALIDADE,MATCH(tblPRINTERS[[#This Row],[CASE ID]],PROTOCOLO_PESQUISAS,0),MATCH("Return Time",QUALIDADE_CAB,0)))=FALSE,INDEX(QUALIDADE,MATCH(tblPRINTERS[[#This Row],[CASE ID]],PROTOCOLO_PESQUISAS,0),MATCH("Return Time",QUALIDADE_CAB,0)),"")</f>
        <v/>
      </c>
      <c r="Q393" s="34" t="str">
        <f>IF(tblPRINTERS[[#This Row],[DATA | PESQUISA RECEBIDA]]="","",PROPER(TEXT(tblPRINTERS[[#This Row],[DATA | PESQUISA RECEBIDA]],"DDDD")))</f>
        <v/>
      </c>
    </row>
    <row r="394" spans="1:17" hidden="1">
      <c r="A394" s="54">
        <v>3035295645</v>
      </c>
      <c r="B394" s="54" t="s">
        <v>500</v>
      </c>
      <c r="C394" s="90">
        <v>42737.737638969906</v>
      </c>
      <c r="D394" s="86">
        <v>42739.737638969906</v>
      </c>
      <c r="E394" s="54" t="s">
        <v>846</v>
      </c>
      <c r="F394" s="54" t="s">
        <v>21</v>
      </c>
      <c r="G394" s="54" t="s">
        <v>302</v>
      </c>
      <c r="H394" s="54" t="s">
        <v>273</v>
      </c>
      <c r="I394" s="54" t="s">
        <v>817</v>
      </c>
      <c r="J394" s="54" t="s">
        <v>304</v>
      </c>
      <c r="K394" s="54" t="s">
        <v>1533</v>
      </c>
      <c r="L394" s="87"/>
      <c r="M394" s="34" t="str">
        <f>IFERROR(INDEX(BASE,MATCH(tblPRINTERS[[#This Row],[CASE ID]],BASE_CASOS,0),MATCH(tblPRINTERS[[#Headers],[tratativa]],BASE_CAB,0)),"Retornar com prioridade")</f>
        <v>Retornar com prioridade</v>
      </c>
      <c r="N394" s="34" t="str">
        <f>IFERROR(INDEX(BASE,MATCH(tblPRINTERS[[#This Row],[CASE ID]],BASE_CASOS,0),MATCH(tblPRINTERS[[#Headers],[Observação]],BASE_CAB,0)),"-")</f>
        <v>-</v>
      </c>
      <c r="O394" s="34" t="str">
        <f>IFERROR(INDEX(BASE,MATCH(tblPRINTERS[[#This Row],[CASE ID]],BASE_CASOS,0),MATCH(tblPRINTERS[[#Headers],[Observação Calback]],BASE_CAB,0)),"-")</f>
        <v>-</v>
      </c>
      <c r="P394" s="42" t="str">
        <f>IF(ISERROR(INDEX(QUALIDADE,MATCH(tblPRINTERS[[#This Row],[CASE ID]],PROTOCOLO_PESQUISAS,0),MATCH("Return Time",QUALIDADE_CAB,0)))=FALSE,INDEX(QUALIDADE,MATCH(tblPRINTERS[[#This Row],[CASE ID]],PROTOCOLO_PESQUISAS,0),MATCH("Return Time",QUALIDADE_CAB,0)),"")</f>
        <v/>
      </c>
      <c r="Q394" s="34" t="str">
        <f>IF(tblPRINTERS[[#This Row],[DATA | PESQUISA RECEBIDA]]="","",PROPER(TEXT(tblPRINTERS[[#This Row],[DATA | PESQUISA RECEBIDA]],"DDDD")))</f>
        <v/>
      </c>
    </row>
    <row r="395" spans="1:17" hidden="1">
      <c r="A395" s="54">
        <v>3035409299</v>
      </c>
      <c r="B395" s="54" t="s">
        <v>500</v>
      </c>
      <c r="C395" s="90">
        <v>42737.737638969906</v>
      </c>
      <c r="D395" s="86">
        <v>42739.737638969906</v>
      </c>
      <c r="E395" s="54" t="s">
        <v>46</v>
      </c>
      <c r="F395" s="54" t="s">
        <v>46</v>
      </c>
      <c r="G395" s="54" t="s">
        <v>301</v>
      </c>
      <c r="H395" s="54" t="s">
        <v>39</v>
      </c>
      <c r="I395" s="54" t="s">
        <v>817</v>
      </c>
      <c r="J395" s="54" t="s">
        <v>304</v>
      </c>
      <c r="K395" s="54" t="s">
        <v>307</v>
      </c>
      <c r="L395" s="87"/>
      <c r="M395" s="34" t="str">
        <f>IFERROR(INDEX(BASE,MATCH(tblPRINTERS[[#This Row],[CASE ID]],BASE_CASOS,0),MATCH(tblPRINTERS[[#Headers],[tratativa]],BASE_CAB,0)),"Retornar com prioridade")</f>
        <v>Retornar com prioridade</v>
      </c>
      <c r="N395" s="34" t="str">
        <f>IFERROR(INDEX(BASE,MATCH(tblPRINTERS[[#This Row],[CASE ID]],BASE_CASOS,0),MATCH(tblPRINTERS[[#Headers],[Observação]],BASE_CAB,0)),"-")</f>
        <v>-</v>
      </c>
      <c r="O395" s="34" t="str">
        <f>IFERROR(INDEX(BASE,MATCH(tblPRINTERS[[#This Row],[CASE ID]],BASE_CASOS,0),MATCH(tblPRINTERS[[#Headers],[Observação Calback]],BASE_CAB,0)),"-")</f>
        <v>-</v>
      </c>
      <c r="P395" s="42" t="str">
        <f>IF(ISERROR(INDEX(QUALIDADE,MATCH(tblPRINTERS[[#This Row],[CASE ID]],PROTOCOLO_PESQUISAS,0),MATCH("Return Time",QUALIDADE_CAB,0)))=FALSE,INDEX(QUALIDADE,MATCH(tblPRINTERS[[#This Row],[CASE ID]],PROTOCOLO_PESQUISAS,0),MATCH("Return Time",QUALIDADE_CAB,0)),"")</f>
        <v/>
      </c>
      <c r="Q395" s="34" t="str">
        <f>IF(tblPRINTERS[[#This Row],[DATA | PESQUISA RECEBIDA]]="","",PROPER(TEXT(tblPRINTERS[[#This Row],[DATA | PESQUISA RECEBIDA]],"DDDD")))</f>
        <v/>
      </c>
    </row>
    <row r="396" spans="1:17" hidden="1">
      <c r="A396" s="54">
        <v>3035409323</v>
      </c>
      <c r="B396" s="54" t="s">
        <v>500</v>
      </c>
      <c r="C396" s="90">
        <v>42737.737638969906</v>
      </c>
      <c r="D396" s="86">
        <v>42739.737638969906</v>
      </c>
      <c r="E396" s="54" t="s">
        <v>14</v>
      </c>
      <c r="F396" s="54" t="s">
        <v>14</v>
      </c>
      <c r="G396" s="54" t="s">
        <v>301</v>
      </c>
      <c r="H396" s="54" t="s">
        <v>9</v>
      </c>
      <c r="I396" s="56" t="s">
        <v>817</v>
      </c>
      <c r="J396" s="56" t="s">
        <v>303</v>
      </c>
      <c r="K396" s="56" t="s">
        <v>2633</v>
      </c>
      <c r="L396" s="87">
        <v>42746</v>
      </c>
      <c r="M396" s="34" t="str">
        <f>IFERROR(INDEX(BASE,MATCH(tblPRINTERS[[#This Row],[CASE ID]],BASE_CASOS,0),MATCH(tblPRINTERS[[#Headers],[tratativa]],BASE_CAB,0)),"Retornar com prioridade")</f>
        <v>Retornar com prioridade</v>
      </c>
      <c r="N396" s="34" t="str">
        <f>IFERROR(INDEX(BASE,MATCH(tblPRINTERS[[#This Row],[CASE ID]],BASE_CASOS,0),MATCH(tblPRINTERS[[#Headers],[Observação]],BASE_CAB,0)),"-")</f>
        <v>-</v>
      </c>
      <c r="O396" s="34" t="str">
        <f>IFERROR(INDEX(BASE,MATCH(tblPRINTERS[[#This Row],[CASE ID]],BASE_CASOS,0),MATCH(tblPRINTERS[[#Headers],[Observação Calback]],BASE_CAB,0)),"-")</f>
        <v>-</v>
      </c>
      <c r="P396" s="42" t="str">
        <f>IF(ISERROR(INDEX(QUALIDADE,MATCH(tblPRINTERS[[#This Row],[CASE ID]],PROTOCOLO_PESQUISAS,0),MATCH("Return Time",QUALIDADE_CAB,0)))=FALSE,INDEX(QUALIDADE,MATCH(tblPRINTERS[[#This Row],[CASE ID]],PROTOCOLO_PESQUISAS,0),MATCH("Return Time",QUALIDADE_CAB,0)),"")</f>
        <v/>
      </c>
      <c r="Q396" s="34" t="str">
        <f>IF(tblPRINTERS[[#This Row],[DATA | PESQUISA RECEBIDA]]="","",PROPER(TEXT(tblPRINTERS[[#This Row],[DATA | PESQUISA RECEBIDA]],"DDDD")))</f>
        <v/>
      </c>
    </row>
    <row r="397" spans="1:17" hidden="1">
      <c r="A397" s="54">
        <v>3035400641</v>
      </c>
      <c r="B397" s="54" t="s">
        <v>500</v>
      </c>
      <c r="C397" s="90">
        <v>42737.737638969906</v>
      </c>
      <c r="D397" s="86">
        <v>42739.737638969906</v>
      </c>
      <c r="E397" s="54" t="s">
        <v>28</v>
      </c>
      <c r="F397" s="54" t="s">
        <v>28</v>
      </c>
      <c r="G397" s="54" t="s">
        <v>301</v>
      </c>
      <c r="H397" s="54" t="s">
        <v>9</v>
      </c>
      <c r="I397" s="54" t="s">
        <v>817</v>
      </c>
      <c r="J397" s="54" t="s">
        <v>304</v>
      </c>
      <c r="K397" s="54" t="s">
        <v>307</v>
      </c>
      <c r="L397" s="87">
        <v>42740</v>
      </c>
      <c r="M397" s="34" t="str">
        <f>IFERROR(INDEX(BASE,MATCH(tblPRINTERS[[#This Row],[CASE ID]],BASE_CASOS,0),MATCH(tblPRINTERS[[#Headers],[tratativa]],BASE_CAB,0)),"Retornar com prioridade")</f>
        <v>Retornar com prioridade</v>
      </c>
      <c r="N397" s="34" t="str">
        <f>IFERROR(INDEX(BASE,MATCH(tblPRINTERS[[#This Row],[CASE ID]],BASE_CASOS,0),MATCH(tblPRINTERS[[#Headers],[Observação]],BASE_CAB,0)),"-")</f>
        <v>-</v>
      </c>
      <c r="O397" s="34" t="str">
        <f>IFERROR(INDEX(BASE,MATCH(tblPRINTERS[[#This Row],[CASE ID]],BASE_CASOS,0),MATCH(tblPRINTERS[[#Headers],[Observação Calback]],BASE_CAB,0)),"-")</f>
        <v>-</v>
      </c>
      <c r="P397" s="42" t="str">
        <f>IF(ISERROR(INDEX(QUALIDADE,MATCH(tblPRINTERS[[#This Row],[CASE ID]],PROTOCOLO_PESQUISAS,0),MATCH("Return Time",QUALIDADE_CAB,0)))=FALSE,INDEX(QUALIDADE,MATCH(tblPRINTERS[[#This Row],[CASE ID]],PROTOCOLO_PESQUISAS,0),MATCH("Return Time",QUALIDADE_CAB,0)),"")</f>
        <v/>
      </c>
      <c r="Q397" s="34" t="str">
        <f>IF(tblPRINTERS[[#This Row],[DATA | PESQUISA RECEBIDA]]="","",PROPER(TEXT(tblPRINTERS[[#This Row],[DATA | PESQUISA RECEBIDA]],"DDDD")))</f>
        <v/>
      </c>
    </row>
    <row r="398" spans="1:17" hidden="1">
      <c r="A398" s="54">
        <v>3035108733</v>
      </c>
      <c r="B398" s="54" t="s">
        <v>500</v>
      </c>
      <c r="C398" s="90">
        <v>42737.737638969906</v>
      </c>
      <c r="D398" s="86">
        <v>42739.737638969906</v>
      </c>
      <c r="E398" s="54" t="s">
        <v>25</v>
      </c>
      <c r="F398" s="54" t="s">
        <v>47</v>
      </c>
      <c r="G398" s="54" t="s">
        <v>302</v>
      </c>
      <c r="H398" s="54" t="s">
        <v>23</v>
      </c>
      <c r="I398" s="56" t="s">
        <v>817</v>
      </c>
      <c r="J398" s="56"/>
      <c r="K398" s="56" t="s">
        <v>305</v>
      </c>
      <c r="L398" s="87">
        <v>42740</v>
      </c>
      <c r="M398" s="34" t="str">
        <f>IFERROR(INDEX(BASE,MATCH(tblPRINTERS[[#This Row],[CASE ID]],BASE_CASOS,0),MATCH(tblPRINTERS[[#Headers],[tratativa]],BASE_CAB,0)),"Retornar com prioridade")</f>
        <v>Retornar com prioridade</v>
      </c>
      <c r="N398" s="34" t="str">
        <f>IFERROR(INDEX(BASE,MATCH(tblPRINTERS[[#This Row],[CASE ID]],BASE_CASOS,0),MATCH(tblPRINTERS[[#Headers],[Observação]],BASE_CAB,0)),"-")</f>
        <v>-</v>
      </c>
      <c r="O398" s="34" t="str">
        <f>IFERROR(INDEX(BASE,MATCH(tblPRINTERS[[#This Row],[CASE ID]],BASE_CASOS,0),MATCH(tblPRINTERS[[#Headers],[Observação Calback]],BASE_CAB,0)),"-")</f>
        <v>-</v>
      </c>
      <c r="P398" s="42" t="str">
        <f>IF(ISERROR(INDEX(QUALIDADE,MATCH(tblPRINTERS[[#This Row],[CASE ID]],PROTOCOLO_PESQUISAS,0),MATCH("Return Time",QUALIDADE_CAB,0)))=FALSE,INDEX(QUALIDADE,MATCH(tblPRINTERS[[#This Row],[CASE ID]],PROTOCOLO_PESQUISAS,0),MATCH("Return Time",QUALIDADE_CAB,0)),"")</f>
        <v/>
      </c>
      <c r="Q398" s="34" t="str">
        <f>IF(tblPRINTERS[[#This Row],[DATA | PESQUISA RECEBIDA]]="","",PROPER(TEXT(tblPRINTERS[[#This Row],[DATA | PESQUISA RECEBIDA]],"DDDD")))</f>
        <v/>
      </c>
    </row>
    <row r="399" spans="1:17" hidden="1">
      <c r="A399" s="54">
        <v>3035408964</v>
      </c>
      <c r="B399" s="54" t="s">
        <v>500</v>
      </c>
      <c r="C399" s="90">
        <v>42737.737638969906</v>
      </c>
      <c r="D399" s="86">
        <v>42739.737638969906</v>
      </c>
      <c r="E399" s="54" t="s">
        <v>29</v>
      </c>
      <c r="F399" s="54" t="s">
        <v>29</v>
      </c>
      <c r="G399" s="54" t="s">
        <v>301</v>
      </c>
      <c r="H399" s="54" t="s">
        <v>23</v>
      </c>
      <c r="I399" s="54" t="s">
        <v>817</v>
      </c>
      <c r="J399" s="54" t="s">
        <v>304</v>
      </c>
      <c r="K399" s="54" t="s">
        <v>1528</v>
      </c>
      <c r="L399" s="87">
        <v>42740</v>
      </c>
      <c r="M399" s="34" t="str">
        <f>IFERROR(INDEX(BASE,MATCH(tblPRINTERS[[#This Row],[CASE ID]],BASE_CASOS,0),MATCH(tblPRINTERS[[#Headers],[tratativa]],BASE_CAB,0)),"Retornar com prioridade")</f>
        <v>Retornar com prioridade</v>
      </c>
      <c r="N399" s="34" t="str">
        <f>IFERROR(INDEX(BASE,MATCH(tblPRINTERS[[#This Row],[CASE ID]],BASE_CASOS,0),MATCH(tblPRINTERS[[#Headers],[Observação]],BASE_CAB,0)),"-")</f>
        <v>-</v>
      </c>
      <c r="O399" s="34" t="str">
        <f>IFERROR(INDEX(BASE,MATCH(tblPRINTERS[[#This Row],[CASE ID]],BASE_CASOS,0),MATCH(tblPRINTERS[[#Headers],[Observação Calback]],BASE_CAB,0)),"-")</f>
        <v>-</v>
      </c>
      <c r="P399" s="42" t="str">
        <f>IF(ISERROR(INDEX(QUALIDADE,MATCH(tblPRINTERS[[#This Row],[CASE ID]],PROTOCOLO_PESQUISAS,0),MATCH("Return Time",QUALIDADE_CAB,0)))=FALSE,INDEX(QUALIDADE,MATCH(tblPRINTERS[[#This Row],[CASE ID]],PROTOCOLO_PESQUISAS,0),MATCH("Return Time",QUALIDADE_CAB,0)),"")</f>
        <v/>
      </c>
      <c r="Q399" s="34" t="str">
        <f>IF(tblPRINTERS[[#This Row],[DATA | PESQUISA RECEBIDA]]="","",PROPER(TEXT(tblPRINTERS[[#This Row],[DATA | PESQUISA RECEBIDA]],"DDDD")))</f>
        <v/>
      </c>
    </row>
    <row r="400" spans="1:17" hidden="1">
      <c r="A400" s="54">
        <v>3035379509</v>
      </c>
      <c r="B400" s="54" t="s">
        <v>500</v>
      </c>
      <c r="C400" s="90">
        <v>42735.733986539351</v>
      </c>
      <c r="D400" s="86">
        <v>42737.733986539351</v>
      </c>
      <c r="E400" s="54" t="s">
        <v>34</v>
      </c>
      <c r="F400" s="54" t="s">
        <v>34</v>
      </c>
      <c r="G400" s="54" t="s">
        <v>301</v>
      </c>
      <c r="H400" s="54" t="s">
        <v>31</v>
      </c>
      <c r="I400" s="56" t="s">
        <v>817</v>
      </c>
      <c r="J400" s="54" t="s">
        <v>304</v>
      </c>
      <c r="K400" s="56" t="s">
        <v>1214</v>
      </c>
      <c r="L400" s="87">
        <v>42738</v>
      </c>
      <c r="M400" s="34" t="str">
        <f>IFERROR(INDEX(BASE,MATCH(tblPRINTERS[[#This Row],[CASE ID]],BASE_CASOS,0),MATCH(tblPRINTERS[[#Headers],[tratativa]],BASE_CAB,0)),"Retornar com prioridade")</f>
        <v>Retornar com prioridade</v>
      </c>
      <c r="N400" s="34" t="str">
        <f>IFERROR(INDEX(BASE,MATCH(tblPRINTERS[[#This Row],[CASE ID]],BASE_CASOS,0),MATCH(tblPRINTERS[[#Headers],[Observação]],BASE_CAB,0)),"-")</f>
        <v>-</v>
      </c>
      <c r="O400" s="34" t="str">
        <f>IFERROR(INDEX(BASE,MATCH(tblPRINTERS[[#This Row],[CASE ID]],BASE_CASOS,0),MATCH(tblPRINTERS[[#Headers],[Observação Calback]],BASE_CAB,0)),"-")</f>
        <v>-</v>
      </c>
      <c r="P400" s="42" t="str">
        <f>IF(ISERROR(INDEX(QUALIDADE,MATCH(tblPRINTERS[[#This Row],[CASE ID]],PROTOCOLO_PESQUISAS,0),MATCH("Return Time",QUALIDADE_CAB,0)))=FALSE,INDEX(QUALIDADE,MATCH(tblPRINTERS[[#This Row],[CASE ID]],PROTOCOLO_PESQUISAS,0),MATCH("Return Time",QUALIDADE_CAB,0)),"")</f>
        <v/>
      </c>
      <c r="Q400" s="34" t="str">
        <f>IF(tblPRINTERS[[#This Row],[DATA | PESQUISA RECEBIDA]]="","",PROPER(TEXT(tblPRINTERS[[#This Row],[DATA | PESQUISA RECEBIDA]],"DDDD")))</f>
        <v/>
      </c>
    </row>
    <row r="401" spans="1:17" hidden="1">
      <c r="A401" s="54">
        <v>3035378900</v>
      </c>
      <c r="B401" s="54" t="s">
        <v>500</v>
      </c>
      <c r="C401" s="90">
        <v>42735.733986539351</v>
      </c>
      <c r="D401" s="86">
        <v>42737.733986539351</v>
      </c>
      <c r="E401" s="54" t="s">
        <v>580</v>
      </c>
      <c r="F401" s="54" t="s">
        <v>580</v>
      </c>
      <c r="G401" s="54" t="s">
        <v>301</v>
      </c>
      <c r="H401" s="54" t="s">
        <v>9</v>
      </c>
      <c r="I401" s="56" t="s">
        <v>817</v>
      </c>
      <c r="J401" s="54" t="s">
        <v>304</v>
      </c>
      <c r="K401" s="56" t="s">
        <v>1378</v>
      </c>
      <c r="L401" s="87">
        <v>42738</v>
      </c>
      <c r="M401" s="34" t="str">
        <f>IFERROR(INDEX(BASE,MATCH(tblPRINTERS[[#This Row],[CASE ID]],BASE_CASOS,0),MATCH(tblPRINTERS[[#Headers],[tratativa]],BASE_CAB,0)),"Retornar com prioridade")</f>
        <v>Retornar com prioridade</v>
      </c>
      <c r="N401" s="34" t="str">
        <f>IFERROR(INDEX(BASE,MATCH(tblPRINTERS[[#This Row],[CASE ID]],BASE_CASOS,0),MATCH(tblPRINTERS[[#Headers],[Observação]],BASE_CAB,0)),"-")</f>
        <v>-</v>
      </c>
      <c r="O401" s="34" t="str">
        <f>IFERROR(INDEX(BASE,MATCH(tblPRINTERS[[#This Row],[CASE ID]],BASE_CASOS,0),MATCH(tblPRINTERS[[#Headers],[Observação Calback]],BASE_CAB,0)),"-")</f>
        <v>-</v>
      </c>
      <c r="P401" s="42" t="str">
        <f>IF(ISERROR(INDEX(QUALIDADE,MATCH(tblPRINTERS[[#This Row],[CASE ID]],PROTOCOLO_PESQUISAS,0),MATCH("Return Time",QUALIDADE_CAB,0)))=FALSE,INDEX(QUALIDADE,MATCH(tblPRINTERS[[#This Row],[CASE ID]],PROTOCOLO_PESQUISAS,0),MATCH("Return Time",QUALIDADE_CAB,0)),"")</f>
        <v/>
      </c>
      <c r="Q401" s="34" t="str">
        <f>IF(tblPRINTERS[[#This Row],[DATA | PESQUISA RECEBIDA]]="","",PROPER(TEXT(tblPRINTERS[[#This Row],[DATA | PESQUISA RECEBIDA]],"DDDD")))</f>
        <v/>
      </c>
    </row>
    <row r="402" spans="1:17" hidden="1">
      <c r="A402" s="54">
        <v>3035361363</v>
      </c>
      <c r="B402" s="54" t="s">
        <v>500</v>
      </c>
      <c r="C402" s="90">
        <v>42734.734471099538</v>
      </c>
      <c r="D402" s="86">
        <v>42736.734471099538</v>
      </c>
      <c r="E402" s="54" t="s">
        <v>846</v>
      </c>
      <c r="F402" s="54" t="s">
        <v>846</v>
      </c>
      <c r="G402" s="54" t="s">
        <v>301</v>
      </c>
      <c r="H402" s="54" t="s">
        <v>273</v>
      </c>
      <c r="I402" s="54" t="s">
        <v>817</v>
      </c>
      <c r="J402" s="54" t="s">
        <v>304</v>
      </c>
      <c r="K402" s="54" t="s">
        <v>1217</v>
      </c>
      <c r="L402" s="87">
        <v>42738</v>
      </c>
      <c r="M402" s="34" t="str">
        <f>IFERROR(INDEX(BASE,MATCH(tblPRINTERS[[#This Row],[CASE ID]],BASE_CASOS,0),MATCH(tblPRINTERS[[#Headers],[tratativa]],BASE_CAB,0)),"Retornar com prioridade")</f>
        <v>Retornar com prioridade</v>
      </c>
      <c r="N402" s="34" t="str">
        <f>IFERROR(INDEX(BASE,MATCH(tblPRINTERS[[#This Row],[CASE ID]],BASE_CASOS,0),MATCH(tblPRINTERS[[#Headers],[Observação]],BASE_CAB,0)),"-")</f>
        <v>-</v>
      </c>
      <c r="O402" s="34" t="str">
        <f>IFERROR(INDEX(BASE,MATCH(tblPRINTERS[[#This Row],[CASE ID]],BASE_CASOS,0),MATCH(tblPRINTERS[[#Headers],[Observação Calback]],BASE_CAB,0)),"-")</f>
        <v>-</v>
      </c>
      <c r="P402" s="42" t="str">
        <f>IF(ISERROR(INDEX(QUALIDADE,MATCH(tblPRINTERS[[#This Row],[CASE ID]],PROTOCOLO_PESQUISAS,0),MATCH("Return Time",QUALIDADE_CAB,0)))=FALSE,INDEX(QUALIDADE,MATCH(tblPRINTERS[[#This Row],[CASE ID]],PROTOCOLO_PESQUISAS,0),MATCH("Return Time",QUALIDADE_CAB,0)),"")</f>
        <v/>
      </c>
      <c r="Q402" s="34" t="str">
        <f>IF(tblPRINTERS[[#This Row],[DATA | PESQUISA RECEBIDA]]="","",PROPER(TEXT(tblPRINTERS[[#This Row],[DATA | PESQUISA RECEBIDA]],"DDDD")))</f>
        <v/>
      </c>
    </row>
    <row r="403" spans="1:17" hidden="1">
      <c r="A403" s="54">
        <v>3035345065</v>
      </c>
      <c r="B403" s="54" t="s">
        <v>500</v>
      </c>
      <c r="C403" s="90">
        <v>42734.734471099538</v>
      </c>
      <c r="D403" s="86">
        <v>42736.734471099538</v>
      </c>
      <c r="E403" s="54" t="s">
        <v>30</v>
      </c>
      <c r="F403" s="54" t="s">
        <v>30</v>
      </c>
      <c r="G403" s="54" t="s">
        <v>301</v>
      </c>
      <c r="H403" s="54" t="s">
        <v>23</v>
      </c>
      <c r="I403" s="56" t="s">
        <v>817</v>
      </c>
      <c r="J403" s="54" t="s">
        <v>303</v>
      </c>
      <c r="K403" s="56" t="s">
        <v>2632</v>
      </c>
      <c r="L403" s="87">
        <v>42746</v>
      </c>
      <c r="M403" s="34" t="str">
        <f>IFERROR(INDEX(BASE,MATCH(tblPRINTERS[[#This Row],[CASE ID]],BASE_CASOS,0),MATCH(tblPRINTERS[[#Headers],[tratativa]],BASE_CAB,0)),"Retornar com prioridade")</f>
        <v>Retornar com prioridade</v>
      </c>
      <c r="N403" s="34" t="str">
        <f>IFERROR(INDEX(BASE,MATCH(tblPRINTERS[[#This Row],[CASE ID]],BASE_CASOS,0),MATCH(tblPRINTERS[[#Headers],[Observação]],BASE_CAB,0)),"-")</f>
        <v>-</v>
      </c>
      <c r="O403" s="34" t="str">
        <f>IFERROR(INDEX(BASE,MATCH(tblPRINTERS[[#This Row],[CASE ID]],BASE_CASOS,0),MATCH(tblPRINTERS[[#Headers],[Observação Calback]],BASE_CAB,0)),"-")</f>
        <v>-</v>
      </c>
      <c r="P403" s="42" t="str">
        <f>IF(ISERROR(INDEX(QUALIDADE,MATCH(tblPRINTERS[[#This Row],[CASE ID]],PROTOCOLO_PESQUISAS,0),MATCH("Return Time",QUALIDADE_CAB,0)))=FALSE,INDEX(QUALIDADE,MATCH(tblPRINTERS[[#This Row],[CASE ID]],PROTOCOLO_PESQUISAS,0),MATCH("Return Time",QUALIDADE_CAB,0)),"")</f>
        <v/>
      </c>
      <c r="Q403" s="34" t="str">
        <f>IF(tblPRINTERS[[#This Row],[DATA | PESQUISA RECEBIDA]]="","",PROPER(TEXT(tblPRINTERS[[#This Row],[DATA | PESQUISA RECEBIDA]],"DDDD")))</f>
        <v/>
      </c>
    </row>
    <row r="404" spans="1:17" hidden="1">
      <c r="A404" s="54">
        <v>3035364942</v>
      </c>
      <c r="B404" s="54" t="s">
        <v>500</v>
      </c>
      <c r="C404" s="90">
        <v>42734.734471099538</v>
      </c>
      <c r="D404" s="86">
        <v>42736.734471099538</v>
      </c>
      <c r="E404" s="54" t="s">
        <v>846</v>
      </c>
      <c r="F404" s="54" t="s">
        <v>846</v>
      </c>
      <c r="G404" s="54" t="s">
        <v>301</v>
      </c>
      <c r="H404" s="54" t="s">
        <v>273</v>
      </c>
      <c r="I404" s="56" t="s">
        <v>817</v>
      </c>
      <c r="J404" s="54" t="s">
        <v>304</v>
      </c>
      <c r="K404" s="56" t="s">
        <v>1215</v>
      </c>
      <c r="L404" s="87">
        <v>42738</v>
      </c>
      <c r="M404" s="34" t="str">
        <f>IFERROR(INDEX(BASE,MATCH(tblPRINTERS[[#This Row],[CASE ID]],BASE_CASOS,0),MATCH(tblPRINTERS[[#Headers],[tratativa]],BASE_CAB,0)),"Retornar com prioridade")</f>
        <v>Retornar com prioridade</v>
      </c>
      <c r="N404" s="34" t="str">
        <f>IFERROR(INDEX(BASE,MATCH(tblPRINTERS[[#This Row],[CASE ID]],BASE_CASOS,0),MATCH(tblPRINTERS[[#Headers],[Observação]],BASE_CAB,0)),"-")</f>
        <v>-</v>
      </c>
      <c r="O404" s="34" t="str">
        <f>IFERROR(INDEX(BASE,MATCH(tblPRINTERS[[#This Row],[CASE ID]],BASE_CASOS,0),MATCH(tblPRINTERS[[#Headers],[Observação Calback]],BASE_CAB,0)),"-")</f>
        <v>-</v>
      </c>
      <c r="P404" s="42" t="str">
        <f>IF(ISERROR(INDEX(QUALIDADE,MATCH(tblPRINTERS[[#This Row],[CASE ID]],PROTOCOLO_PESQUISAS,0),MATCH("Return Time",QUALIDADE_CAB,0)))=FALSE,INDEX(QUALIDADE,MATCH(tblPRINTERS[[#This Row],[CASE ID]],PROTOCOLO_PESQUISAS,0),MATCH("Return Time",QUALIDADE_CAB,0)),"")</f>
        <v/>
      </c>
      <c r="Q404" s="34" t="str">
        <f>IF(tblPRINTERS[[#This Row],[DATA | PESQUISA RECEBIDA]]="","",PROPER(TEXT(tblPRINTERS[[#This Row],[DATA | PESQUISA RECEBIDA]],"DDDD")))</f>
        <v/>
      </c>
    </row>
    <row r="405" spans="1:17" hidden="1">
      <c r="A405" s="54">
        <v>3035165712</v>
      </c>
      <c r="B405" s="54" t="s">
        <v>500</v>
      </c>
      <c r="C405" s="90">
        <v>42734.734471099538</v>
      </c>
      <c r="D405" s="86">
        <v>42736.734471099538</v>
      </c>
      <c r="E405" s="54" t="s">
        <v>49</v>
      </c>
      <c r="F405" s="54" t="s">
        <v>21</v>
      </c>
      <c r="G405" s="54" t="s">
        <v>302</v>
      </c>
      <c r="H405" s="54" t="s">
        <v>273</v>
      </c>
      <c r="I405" s="56" t="s">
        <v>817</v>
      </c>
      <c r="J405" s="54" t="s">
        <v>303</v>
      </c>
      <c r="K405" s="56" t="s">
        <v>305</v>
      </c>
      <c r="L405" s="87">
        <v>42746</v>
      </c>
      <c r="M405" s="34" t="str">
        <f>IFERROR(INDEX(BASE,MATCH(tblPRINTERS[[#This Row],[CASE ID]],BASE_CASOS,0),MATCH(tblPRINTERS[[#Headers],[tratativa]],BASE_CAB,0)),"Retornar com prioridade")</f>
        <v>Retornar com prioridade</v>
      </c>
      <c r="N405" s="34" t="str">
        <f>IFERROR(INDEX(BASE,MATCH(tblPRINTERS[[#This Row],[CASE ID]],BASE_CASOS,0),MATCH(tblPRINTERS[[#Headers],[Observação]],BASE_CAB,0)),"-")</f>
        <v>-</v>
      </c>
      <c r="O405" s="34" t="str">
        <f>IFERROR(INDEX(BASE,MATCH(tblPRINTERS[[#This Row],[CASE ID]],BASE_CASOS,0),MATCH(tblPRINTERS[[#Headers],[Observação Calback]],BASE_CAB,0)),"-")</f>
        <v>-</v>
      </c>
      <c r="P405" s="42" t="str">
        <f>IF(ISERROR(INDEX(QUALIDADE,MATCH(tblPRINTERS[[#This Row],[CASE ID]],PROTOCOLO_PESQUISAS,0),MATCH("Return Time",QUALIDADE_CAB,0)))=FALSE,INDEX(QUALIDADE,MATCH(tblPRINTERS[[#This Row],[CASE ID]],PROTOCOLO_PESQUISAS,0),MATCH("Return Time",QUALIDADE_CAB,0)),"")</f>
        <v/>
      </c>
      <c r="Q405" s="34" t="str">
        <f>IF(tblPRINTERS[[#This Row],[DATA | PESQUISA RECEBIDA]]="","",PROPER(TEXT(tblPRINTERS[[#This Row],[DATA | PESQUISA RECEBIDA]],"DDDD")))</f>
        <v/>
      </c>
    </row>
    <row r="406" spans="1:17" hidden="1">
      <c r="A406" s="54">
        <v>3035359504</v>
      </c>
      <c r="B406" s="54" t="s">
        <v>500</v>
      </c>
      <c r="C406" s="90">
        <v>42734.734471099538</v>
      </c>
      <c r="D406" s="86">
        <v>42736.734471099538</v>
      </c>
      <c r="E406" s="54" t="s">
        <v>26</v>
      </c>
      <c r="F406" s="54" t="s">
        <v>26</v>
      </c>
      <c r="G406" s="54" t="s">
        <v>301</v>
      </c>
      <c r="H406" s="54" t="s">
        <v>23</v>
      </c>
      <c r="I406" s="54" t="s">
        <v>995</v>
      </c>
      <c r="J406" s="54" t="s">
        <v>304</v>
      </c>
      <c r="K406" s="54" t="s">
        <v>996</v>
      </c>
      <c r="L406" s="87">
        <v>42737.524305555555</v>
      </c>
      <c r="M406" s="34" t="str">
        <f>IFERROR(INDEX(BASE,MATCH(tblPRINTERS[[#This Row],[CASE ID]],BASE_CASOS,0),MATCH(tblPRINTERS[[#Headers],[tratativa]],BASE_CAB,0)),"Retornar com prioridade")</f>
        <v>Retornar com prioridade</v>
      </c>
      <c r="N406" s="34" t="str">
        <f>IFERROR(INDEX(BASE,MATCH(tblPRINTERS[[#This Row],[CASE ID]],BASE_CASOS,0),MATCH(tblPRINTERS[[#Headers],[Observação]],BASE_CAB,0)),"-")</f>
        <v>-</v>
      </c>
      <c r="O406" s="34" t="str">
        <f>IFERROR(INDEX(BASE,MATCH(tblPRINTERS[[#This Row],[CASE ID]],BASE_CASOS,0),MATCH(tblPRINTERS[[#Headers],[Observação Calback]],BASE_CAB,0)),"-")</f>
        <v>-</v>
      </c>
      <c r="P406" s="42" t="str">
        <f>IF(ISERROR(INDEX(QUALIDADE,MATCH(tblPRINTERS[[#This Row],[CASE ID]],PROTOCOLO_PESQUISAS,0),MATCH("Return Time",QUALIDADE_CAB,0)))=FALSE,INDEX(QUALIDADE,MATCH(tblPRINTERS[[#This Row],[CASE ID]],PROTOCOLO_PESQUISAS,0),MATCH("Return Time",QUALIDADE_CAB,0)),"")</f>
        <v/>
      </c>
      <c r="Q406" s="34" t="str">
        <f>IF(tblPRINTERS[[#This Row],[DATA | PESQUISA RECEBIDA]]="","",PROPER(TEXT(tblPRINTERS[[#This Row],[DATA | PESQUISA RECEBIDA]],"DDDD")))</f>
        <v/>
      </c>
    </row>
    <row r="407" spans="1:17" hidden="1">
      <c r="A407" s="54">
        <v>3035356515</v>
      </c>
      <c r="B407" s="54" t="s">
        <v>500</v>
      </c>
      <c r="C407" s="90">
        <v>42734.734471099538</v>
      </c>
      <c r="D407" s="86">
        <v>42736.734471099538</v>
      </c>
      <c r="E407" s="54" t="s">
        <v>35</v>
      </c>
      <c r="F407" s="54" t="s">
        <v>35</v>
      </c>
      <c r="G407" s="54" t="s">
        <v>301</v>
      </c>
      <c r="H407" s="54" t="s">
        <v>31</v>
      </c>
      <c r="I407" s="54" t="s">
        <v>817</v>
      </c>
      <c r="J407" s="54" t="s">
        <v>304</v>
      </c>
      <c r="K407" s="54" t="s">
        <v>1216</v>
      </c>
      <c r="L407" s="87">
        <v>42738</v>
      </c>
      <c r="M407" s="34" t="str">
        <f>IFERROR(INDEX(BASE,MATCH(tblPRINTERS[[#This Row],[CASE ID]],BASE_CASOS,0),MATCH(tblPRINTERS[[#Headers],[tratativa]],BASE_CAB,0)),"Retornar com prioridade")</f>
        <v>Retornar com prioridade</v>
      </c>
      <c r="N407" s="34" t="str">
        <f>IFERROR(INDEX(BASE,MATCH(tblPRINTERS[[#This Row],[CASE ID]],BASE_CASOS,0),MATCH(tblPRINTERS[[#Headers],[Observação]],BASE_CAB,0)),"-")</f>
        <v>-</v>
      </c>
      <c r="O407" s="34" t="str">
        <f>IFERROR(INDEX(BASE,MATCH(tblPRINTERS[[#This Row],[CASE ID]],BASE_CASOS,0),MATCH(tblPRINTERS[[#Headers],[Observação Calback]],BASE_CAB,0)),"-")</f>
        <v>-</v>
      </c>
      <c r="P407" s="42" t="str">
        <f>IF(ISERROR(INDEX(QUALIDADE,MATCH(tblPRINTERS[[#This Row],[CASE ID]],PROTOCOLO_PESQUISAS,0),MATCH("Return Time",QUALIDADE_CAB,0)))=FALSE,INDEX(QUALIDADE,MATCH(tblPRINTERS[[#This Row],[CASE ID]],PROTOCOLO_PESQUISAS,0),MATCH("Return Time",QUALIDADE_CAB,0)),"")</f>
        <v/>
      </c>
      <c r="Q407" s="34" t="str">
        <f>IF(tblPRINTERS[[#This Row],[DATA | PESQUISA RECEBIDA]]="","",PROPER(TEXT(tblPRINTERS[[#This Row],[DATA | PESQUISA RECEBIDA]],"DDDD")))</f>
        <v/>
      </c>
    </row>
    <row r="408" spans="1:17" hidden="1">
      <c r="A408" s="54">
        <v>3035324426</v>
      </c>
      <c r="B408" s="54" t="s">
        <v>500</v>
      </c>
      <c r="C408" s="90">
        <v>42734.734471099538</v>
      </c>
      <c r="D408" s="86">
        <v>42736.734471099538</v>
      </c>
      <c r="E408" s="54" t="s">
        <v>837</v>
      </c>
      <c r="F408" s="54" t="s">
        <v>21</v>
      </c>
      <c r="G408" s="54" t="s">
        <v>302</v>
      </c>
      <c r="H408" s="54" t="s">
        <v>273</v>
      </c>
      <c r="I408" s="56" t="s">
        <v>817</v>
      </c>
      <c r="J408" s="54" t="s">
        <v>303</v>
      </c>
      <c r="K408" s="54" t="s">
        <v>305</v>
      </c>
      <c r="L408" s="87">
        <v>42746</v>
      </c>
      <c r="M408" s="34" t="str">
        <f>IFERROR(INDEX(BASE,MATCH(tblPRINTERS[[#This Row],[CASE ID]],BASE_CASOS,0),MATCH(tblPRINTERS[[#Headers],[tratativa]],BASE_CAB,0)),"Retornar com prioridade")</f>
        <v>Retornar com prioridade</v>
      </c>
      <c r="N408" s="34" t="str">
        <f>IFERROR(INDEX(BASE,MATCH(tblPRINTERS[[#This Row],[CASE ID]],BASE_CASOS,0),MATCH(tblPRINTERS[[#Headers],[Observação]],BASE_CAB,0)),"-")</f>
        <v>-</v>
      </c>
      <c r="O408" s="34" t="str">
        <f>IFERROR(INDEX(BASE,MATCH(tblPRINTERS[[#This Row],[CASE ID]],BASE_CASOS,0),MATCH(tblPRINTERS[[#Headers],[Observação Calback]],BASE_CAB,0)),"-")</f>
        <v>-</v>
      </c>
      <c r="P408" s="42" t="str">
        <f>IF(ISERROR(INDEX(QUALIDADE,MATCH(tblPRINTERS[[#This Row],[CASE ID]],PROTOCOLO_PESQUISAS,0),MATCH("Return Time",QUALIDADE_CAB,0)))=FALSE,INDEX(QUALIDADE,MATCH(tblPRINTERS[[#This Row],[CASE ID]],PROTOCOLO_PESQUISAS,0),MATCH("Return Time",QUALIDADE_CAB,0)),"")</f>
        <v/>
      </c>
      <c r="Q408" s="34" t="str">
        <f>IF(tblPRINTERS[[#This Row],[DATA | PESQUISA RECEBIDA]]="","",PROPER(TEXT(tblPRINTERS[[#This Row],[DATA | PESQUISA RECEBIDA]],"DDDD")))</f>
        <v/>
      </c>
    </row>
    <row r="409" spans="1:17" hidden="1">
      <c r="A409" s="54">
        <v>3035359085</v>
      </c>
      <c r="B409" s="54" t="s">
        <v>500</v>
      </c>
      <c r="C409" s="90">
        <v>42734.734471099538</v>
      </c>
      <c r="D409" s="86">
        <v>42736.734471099538</v>
      </c>
      <c r="E409" s="54" t="s">
        <v>16</v>
      </c>
      <c r="F409" s="54" t="s">
        <v>16</v>
      </c>
      <c r="G409" s="54" t="s">
        <v>301</v>
      </c>
      <c r="H409" s="54" t="s">
        <v>9</v>
      </c>
      <c r="I409" s="54" t="s">
        <v>817</v>
      </c>
      <c r="J409" s="54" t="s">
        <v>304</v>
      </c>
      <c r="K409" s="56" t="s">
        <v>1218</v>
      </c>
      <c r="L409" s="87">
        <v>42737.538888888892</v>
      </c>
      <c r="M409" s="34" t="str">
        <f>IFERROR(INDEX(BASE,MATCH(tblPRINTERS[[#This Row],[CASE ID]],BASE_CASOS,0),MATCH(tblPRINTERS[[#Headers],[tratativa]],BASE_CAB,0)),"Retornar com prioridade")</f>
        <v>Retornar com prioridade</v>
      </c>
      <c r="N409" s="34" t="str">
        <f>IFERROR(INDEX(BASE,MATCH(tblPRINTERS[[#This Row],[CASE ID]],BASE_CASOS,0),MATCH(tblPRINTERS[[#Headers],[Observação]],BASE_CAB,0)),"-")</f>
        <v>-</v>
      </c>
      <c r="O409" s="34" t="str">
        <f>IFERROR(INDEX(BASE,MATCH(tblPRINTERS[[#This Row],[CASE ID]],BASE_CASOS,0),MATCH(tblPRINTERS[[#Headers],[Observação Calback]],BASE_CAB,0)),"-")</f>
        <v>-</v>
      </c>
      <c r="P409" s="42" t="str">
        <f>IF(ISERROR(INDEX(QUALIDADE,MATCH(tblPRINTERS[[#This Row],[CASE ID]],PROTOCOLO_PESQUISAS,0),MATCH("Return Time",QUALIDADE_CAB,0)))=FALSE,INDEX(QUALIDADE,MATCH(tblPRINTERS[[#This Row],[CASE ID]],PROTOCOLO_PESQUISAS,0),MATCH("Return Time",QUALIDADE_CAB,0)),"")</f>
        <v/>
      </c>
      <c r="Q409" s="34" t="str">
        <f>IF(tblPRINTERS[[#This Row],[DATA | PESQUISA RECEBIDA]]="","",PROPER(TEXT(tblPRINTERS[[#This Row],[DATA | PESQUISA RECEBIDA]],"DDDD")))</f>
        <v/>
      </c>
    </row>
    <row r="410" spans="1:17" hidden="1">
      <c r="A410" s="54">
        <v>3035366468</v>
      </c>
      <c r="B410" s="54" t="s">
        <v>500</v>
      </c>
      <c r="C410" s="90">
        <v>42734.734471099538</v>
      </c>
      <c r="D410" s="86">
        <v>42736.734471099538</v>
      </c>
      <c r="E410" s="54" t="s">
        <v>54</v>
      </c>
      <c r="F410" s="54" t="s">
        <v>54</v>
      </c>
      <c r="G410" s="54" t="s">
        <v>301</v>
      </c>
      <c r="H410" s="54" t="s">
        <v>273</v>
      </c>
      <c r="I410" s="56" t="s">
        <v>817</v>
      </c>
      <c r="J410" s="54" t="s">
        <v>303</v>
      </c>
      <c r="K410" s="54" t="s">
        <v>305</v>
      </c>
      <c r="L410" s="87">
        <v>42746</v>
      </c>
      <c r="M410" s="34" t="str">
        <f>IFERROR(INDEX(BASE,MATCH(tblPRINTERS[[#This Row],[CASE ID]],BASE_CASOS,0),MATCH(tblPRINTERS[[#Headers],[tratativa]],BASE_CAB,0)),"Retornar com prioridade")</f>
        <v>Retornar com prioridade</v>
      </c>
      <c r="N410" s="34" t="str">
        <f>IFERROR(INDEX(BASE,MATCH(tblPRINTERS[[#This Row],[CASE ID]],BASE_CASOS,0),MATCH(tblPRINTERS[[#Headers],[Observação]],BASE_CAB,0)),"-")</f>
        <v>-</v>
      </c>
      <c r="O410" s="34" t="str">
        <f>IFERROR(INDEX(BASE,MATCH(tblPRINTERS[[#This Row],[CASE ID]],BASE_CASOS,0),MATCH(tblPRINTERS[[#Headers],[Observação Calback]],BASE_CAB,0)),"-")</f>
        <v>-</v>
      </c>
      <c r="P410" s="42" t="str">
        <f>IF(ISERROR(INDEX(QUALIDADE,MATCH(tblPRINTERS[[#This Row],[CASE ID]],PROTOCOLO_PESQUISAS,0),MATCH("Return Time",QUALIDADE_CAB,0)))=FALSE,INDEX(QUALIDADE,MATCH(tblPRINTERS[[#This Row],[CASE ID]],PROTOCOLO_PESQUISAS,0),MATCH("Return Time",QUALIDADE_CAB,0)),"")</f>
        <v/>
      </c>
      <c r="Q410" s="34" t="str">
        <f>IF(tblPRINTERS[[#This Row],[DATA | PESQUISA RECEBIDA]]="","",PROPER(TEXT(tblPRINTERS[[#This Row],[DATA | PESQUISA RECEBIDA]],"DDDD")))</f>
        <v/>
      </c>
    </row>
    <row r="411" spans="1:17" hidden="1">
      <c r="A411" s="54">
        <v>3035361057</v>
      </c>
      <c r="B411" s="54" t="s">
        <v>500</v>
      </c>
      <c r="C411" s="90">
        <v>42734.734471099538</v>
      </c>
      <c r="D411" s="86">
        <v>42736.734471099538</v>
      </c>
      <c r="E411" s="54" t="s">
        <v>16</v>
      </c>
      <c r="F411" s="54" t="s">
        <v>16</v>
      </c>
      <c r="G411" s="54" t="s">
        <v>301</v>
      </c>
      <c r="H411" s="54" t="s">
        <v>9</v>
      </c>
      <c r="I411" s="56" t="s">
        <v>995</v>
      </c>
      <c r="J411" s="54" t="s">
        <v>304</v>
      </c>
      <c r="K411" s="54" t="s">
        <v>998</v>
      </c>
      <c r="L411" s="87">
        <v>42737.550694444442</v>
      </c>
      <c r="M411" s="34" t="str">
        <f>IFERROR(INDEX(BASE,MATCH(tblPRINTERS[[#This Row],[CASE ID]],BASE_CASOS,0),MATCH(tblPRINTERS[[#Headers],[tratativa]],BASE_CAB,0)),"Retornar com prioridade")</f>
        <v>Retornar com prioridade</v>
      </c>
      <c r="N411" s="34" t="str">
        <f>IFERROR(INDEX(BASE,MATCH(tblPRINTERS[[#This Row],[CASE ID]],BASE_CASOS,0),MATCH(tblPRINTERS[[#Headers],[Observação]],BASE_CAB,0)),"-")</f>
        <v>-</v>
      </c>
      <c r="O411" s="34" t="str">
        <f>IFERROR(INDEX(BASE,MATCH(tblPRINTERS[[#This Row],[CASE ID]],BASE_CASOS,0),MATCH(tblPRINTERS[[#Headers],[Observação Calback]],BASE_CAB,0)),"-")</f>
        <v>-</v>
      </c>
      <c r="P411" s="42" t="str">
        <f>IF(ISERROR(INDEX(QUALIDADE,MATCH(tblPRINTERS[[#This Row],[CASE ID]],PROTOCOLO_PESQUISAS,0),MATCH("Return Time",QUALIDADE_CAB,0)))=FALSE,INDEX(QUALIDADE,MATCH(tblPRINTERS[[#This Row],[CASE ID]],PROTOCOLO_PESQUISAS,0),MATCH("Return Time",QUALIDADE_CAB,0)),"")</f>
        <v/>
      </c>
      <c r="Q411" s="34" t="str">
        <f>IF(tblPRINTERS[[#This Row],[DATA | PESQUISA RECEBIDA]]="","",PROPER(TEXT(tblPRINTERS[[#This Row],[DATA | PESQUISA RECEBIDA]],"DDDD")))</f>
        <v/>
      </c>
    </row>
  </sheetData>
  <conditionalFormatting sqref="L1:N2 M3:O3 M64 M71 L72:M73 M74 M78 L84:M84 M82:M83 M85:M86 M48:M51 L49:L51 L79:M81 L83 L86 L143:N1048576 L65:M70 L87:M142 L75:M77 L52:M63 M35 M12:M14 L4:M11 N4:O411 L10:L15 L15:M20 M21:M26 L22:L26 L27:M34 L36:M47">
    <cfRule type="expression" dxfId="12" priority="327">
      <formula>L1="Sem tratativa"</formula>
    </cfRule>
    <cfRule type="expression" dxfId="11" priority="328">
      <formula>L1="Retornar com prioridade"</formula>
    </cfRule>
  </conditionalFormatting>
  <conditionalFormatting sqref="P3">
    <cfRule type="expression" dxfId="10" priority="325">
      <formula>P3="Sem tratativa"</formula>
    </cfRule>
    <cfRule type="expression" dxfId="9" priority="326">
      <formula>P3="Retornar com prioridade"</formula>
    </cfRule>
  </conditionalFormatting>
  <conditionalFormatting sqref="Q3">
    <cfRule type="expression" dxfId="8" priority="323">
      <formula>Q3="Sem tratativa"</formula>
    </cfRule>
    <cfRule type="expression" dxfId="7" priority="324">
      <formula>Q3="Retornar com prioridade"</formula>
    </cfRule>
  </conditionalFormatting>
  <conditionalFormatting sqref="L21 L35 L48 L64 L71 L74 L78 L82 L85">
    <cfRule type="expression" dxfId="6" priority="3">
      <formula>L21="Sem tratativa"</formula>
    </cfRule>
    <cfRule type="expression" dxfId="5" priority="4">
      <formula>L21="Retornar com prioridade"</formula>
    </cfRule>
  </conditionalFormatting>
  <dataValidations count="1">
    <dataValidation type="list" allowBlank="1" showInputMessage="1" showErrorMessage="1" sqref="I4:I411">
      <formula1>AGENTES_LISTA</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LISTAS_VALIDAÇÃO!$B$2:$B$3</xm:f>
          </x14:formula1>
          <xm:sqref>J21 J4:J6 J8 J13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M3393"/>
  <sheetViews>
    <sheetView showGridLines="0" zoomScaleNormal="100" workbookViewId="0">
      <pane ySplit="1" topLeftCell="A2" activePane="bottomLeft" state="frozen"/>
      <selection pane="bottomLeft"/>
    </sheetView>
  </sheetViews>
  <sheetFormatPr defaultColWidth="26.28515625" defaultRowHeight="15"/>
  <cols>
    <col min="1" max="2" width="19.28515625" style="3" bestFit="1" customWidth="1"/>
    <col min="3" max="3" width="19" style="3" bestFit="1" customWidth="1"/>
    <col min="4" max="4" width="11" style="3" bestFit="1" customWidth="1"/>
    <col min="5" max="5" width="34.7109375" style="3" bestFit="1" customWidth="1"/>
    <col min="6" max="6" width="30.42578125" style="3" bestFit="1" customWidth="1"/>
    <col min="7" max="7" width="17.85546875" style="3" bestFit="1" customWidth="1"/>
    <col min="8" max="8" width="61.42578125" style="3" customWidth="1"/>
    <col min="9" max="9" width="56.42578125" style="3" hidden="1" customWidth="1"/>
    <col min="10" max="10" width="26.28515625" style="3" hidden="1" customWidth="1"/>
    <col min="11" max="11" width="9.85546875" style="3" hidden="1" customWidth="1"/>
    <col min="12" max="12" width="35.5703125" style="3" hidden="1" customWidth="1"/>
    <col min="13" max="13" width="30.42578125" style="3" hidden="1" customWidth="1"/>
    <col min="14" max="14" width="26.28515625" style="3" customWidth="1"/>
    <col min="15" max="15" width="12.28515625" style="3" customWidth="1"/>
    <col min="16" max="16384" width="26.28515625" style="3"/>
  </cols>
  <sheetData>
    <row r="1" spans="1:13">
      <c r="A1" s="3" t="s">
        <v>286</v>
      </c>
      <c r="B1" s="3" t="s">
        <v>600</v>
      </c>
      <c r="C1" s="3" t="s">
        <v>601</v>
      </c>
      <c r="D1" s="3" t="s">
        <v>287</v>
      </c>
      <c r="E1" s="3" t="s">
        <v>658</v>
      </c>
      <c r="F1" s="3" t="s">
        <v>806</v>
      </c>
      <c r="G1" s="3" t="s">
        <v>288</v>
      </c>
      <c r="H1" s="3" t="s">
        <v>289</v>
      </c>
      <c r="I1" s="3" t="s">
        <v>320</v>
      </c>
      <c r="K1" s="3" t="s">
        <v>659</v>
      </c>
      <c r="L1" s="3" t="s">
        <v>605</v>
      </c>
      <c r="M1" s="3" t="s">
        <v>656</v>
      </c>
    </row>
    <row r="2" spans="1:13">
      <c r="A2" s="29">
        <v>42737.474953703706</v>
      </c>
      <c r="B2" s="29" t="str">
        <f>PROPER(TEXT(tbLOG[[#This Row],[DATA/HORA]],"mmmm"))</f>
        <v>Janeiro</v>
      </c>
      <c r="C2" s="34" t="str">
        <f>PROPER(TEXT(tbLOG[[#This Row],[DATA/HORA]],"dddd"))</f>
        <v>Segunda-Feira</v>
      </c>
      <c r="D2" s="3" t="s">
        <v>297</v>
      </c>
      <c r="E2" s="34" t="str">
        <f>IFERROR(VLOOKUP(tbLOG[[#This Row],[LOGIN]],tbMAPA[#All],2,0), "Não localizado")</f>
        <v>Ivanildo Cavalcante De Souza Junior</v>
      </c>
      <c r="F2" s="34" t="str">
        <f>IFERROR(VLOOKUP(tbLOG[[#This Row],[LOGIN]],tbMAPA[#All],3,0), "Não localizado")</f>
        <v>Jefte Soares Da Silva</v>
      </c>
      <c r="G2" s="3" t="s">
        <v>298</v>
      </c>
      <c r="H2" s="3" t="s">
        <v>299</v>
      </c>
      <c r="I2" s="3" t="s">
        <v>333</v>
      </c>
      <c r="K2" s="3" t="s">
        <v>660</v>
      </c>
      <c r="L2" s="3" t="s">
        <v>280</v>
      </c>
      <c r="M2" s="3" t="s">
        <v>51</v>
      </c>
    </row>
    <row r="3" spans="1:13">
      <c r="A3" s="29">
        <v>42737.474953703706</v>
      </c>
      <c r="B3" s="29" t="str">
        <f>PROPER(TEXT(tbLOG[[#This Row],[DATA/HORA]],"mmmm"))</f>
        <v>Janeiro</v>
      </c>
      <c r="C3" s="34" t="str">
        <f>PROPER(TEXT(tbLOG[[#This Row],[DATA/HORA]],"dddd"))</f>
        <v>Segunda-Feira</v>
      </c>
      <c r="D3" s="3" t="s">
        <v>297</v>
      </c>
      <c r="E3" s="34" t="str">
        <f>IFERROR(VLOOKUP(tbLOG[[#This Row],[LOGIN]],tbMAPA[#All],2,0), "Não localizado")</f>
        <v>Ivanildo Cavalcante De Souza Junior</v>
      </c>
      <c r="F3" s="34" t="str">
        <f>IFERROR(VLOOKUP(tbLOG[[#This Row],[LOGIN]],tbMAPA[#All],3,0), "Não localizado")</f>
        <v>Jefte Soares Da Silva</v>
      </c>
      <c r="G3" s="3" t="s">
        <v>298</v>
      </c>
      <c r="H3" s="3" t="s">
        <v>292</v>
      </c>
      <c r="I3" s="3" t="s">
        <v>334</v>
      </c>
      <c r="K3" s="3" t="s">
        <v>661</v>
      </c>
      <c r="L3" s="3" t="s">
        <v>606</v>
      </c>
      <c r="M3" s="3" t="s">
        <v>51</v>
      </c>
    </row>
    <row r="4" spans="1:13">
      <c r="A4" s="29">
        <v>42737.474965277775</v>
      </c>
      <c r="B4" s="29" t="str">
        <f>PROPER(TEXT(tbLOG[[#This Row],[DATA/HORA]],"mmmm"))</f>
        <v>Janeiro</v>
      </c>
      <c r="C4" s="34" t="str">
        <f>PROPER(TEXT(tbLOG[[#This Row],[DATA/HORA]],"dddd"))</f>
        <v>Segunda-Feira</v>
      </c>
      <c r="D4" s="3" t="s">
        <v>297</v>
      </c>
      <c r="E4" s="34" t="str">
        <f>IFERROR(VLOOKUP(tbLOG[[#This Row],[LOGIN]],tbMAPA[#All],2,0), "Não localizado")</f>
        <v>Ivanildo Cavalcante De Souza Junior</v>
      </c>
      <c r="F4" s="34" t="str">
        <f>IFERROR(VLOOKUP(tbLOG[[#This Row],[LOGIN]],tbMAPA[#All],3,0), "Não localizado")</f>
        <v>Jefte Soares Da Silva</v>
      </c>
      <c r="G4" s="3" t="s">
        <v>298</v>
      </c>
      <c r="H4" s="3" t="s">
        <v>299</v>
      </c>
      <c r="I4" s="3" t="s">
        <v>842</v>
      </c>
      <c r="K4" s="3" t="s">
        <v>662</v>
      </c>
      <c r="L4" s="3" t="s">
        <v>607</v>
      </c>
      <c r="M4" s="3" t="s">
        <v>51</v>
      </c>
    </row>
    <row r="5" spans="1:13">
      <c r="A5" s="29">
        <v>42737.474988425929</v>
      </c>
      <c r="B5" s="29" t="str">
        <f>PROPER(TEXT(tbLOG[[#This Row],[DATA/HORA]],"mmmm"))</f>
        <v>Janeiro</v>
      </c>
      <c r="C5" s="34" t="str">
        <f>PROPER(TEXT(tbLOG[[#This Row],[DATA/HORA]],"dddd"))</f>
        <v>Segunda-Feira</v>
      </c>
      <c r="D5" s="3" t="s">
        <v>297</v>
      </c>
      <c r="E5" s="34" t="str">
        <f>IFERROR(VLOOKUP(tbLOG[[#This Row],[LOGIN]],tbMAPA[#All],2,0), "Não localizado")</f>
        <v>Ivanildo Cavalcante De Souza Junior</v>
      </c>
      <c r="F5" s="34" t="str">
        <f>IFERROR(VLOOKUP(tbLOG[[#This Row],[LOGIN]],tbMAPA[#All],3,0), "Não localizado")</f>
        <v>Jefte Soares Da Silva</v>
      </c>
      <c r="G5" s="3" t="s">
        <v>298</v>
      </c>
      <c r="H5" s="3" t="s">
        <v>315</v>
      </c>
      <c r="I5" s="3" t="s">
        <v>1584</v>
      </c>
      <c r="K5" s="3" t="s">
        <v>663</v>
      </c>
      <c r="L5" s="3" t="s">
        <v>608</v>
      </c>
      <c r="M5" s="3" t="s">
        <v>51</v>
      </c>
    </row>
    <row r="6" spans="1:13">
      <c r="A6" s="29">
        <v>42737.47515046296</v>
      </c>
      <c r="B6" s="29" t="str">
        <f>PROPER(TEXT(tbLOG[[#This Row],[DATA/HORA]],"mmmm"))</f>
        <v>Janeiro</v>
      </c>
      <c r="C6" s="34" t="str">
        <f>PROPER(TEXT(tbLOG[[#This Row],[DATA/HORA]],"dddd"))</f>
        <v>Segunda-Feira</v>
      </c>
      <c r="D6" s="3" t="s">
        <v>297</v>
      </c>
      <c r="E6" s="34" t="str">
        <f>IFERROR(VLOOKUP(tbLOG[[#This Row],[LOGIN]],tbMAPA[#All],2,0), "Não localizado")</f>
        <v>Ivanildo Cavalcante De Souza Junior</v>
      </c>
      <c r="F6" s="34" t="str">
        <f>IFERROR(VLOOKUP(tbLOG[[#This Row],[LOGIN]],tbMAPA[#All],3,0), "Não localizado")</f>
        <v>Jefte Soares Da Silva</v>
      </c>
      <c r="G6" s="3" t="s">
        <v>298</v>
      </c>
      <c r="H6" s="3" t="s">
        <v>292</v>
      </c>
      <c r="K6" s="3" t="s">
        <v>664</v>
      </c>
      <c r="L6" s="3" t="s">
        <v>609</v>
      </c>
      <c r="M6" s="3" t="s">
        <v>51</v>
      </c>
    </row>
    <row r="7" spans="1:13">
      <c r="A7" s="29">
        <v>42737.475162037037</v>
      </c>
      <c r="B7" s="29" t="str">
        <f>PROPER(TEXT(tbLOG[[#This Row],[DATA/HORA]],"mmmm"))</f>
        <v>Janeiro</v>
      </c>
      <c r="C7" s="34" t="str">
        <f>PROPER(TEXT(tbLOG[[#This Row],[DATA/HORA]],"dddd"))</f>
        <v>Segunda-Feira</v>
      </c>
      <c r="D7" s="3" t="s">
        <v>297</v>
      </c>
      <c r="E7" s="34" t="str">
        <f>IFERROR(VLOOKUP(tbLOG[[#This Row],[LOGIN]],tbMAPA[#All],2,0), "Não localizado")</f>
        <v>Ivanildo Cavalcante De Souza Junior</v>
      </c>
      <c r="F7" s="34" t="str">
        <f>IFERROR(VLOOKUP(tbLOG[[#This Row],[LOGIN]],tbMAPA[#All],3,0), "Não localizado")</f>
        <v>Jefte Soares Da Silva</v>
      </c>
      <c r="G7" s="3" t="s">
        <v>298</v>
      </c>
      <c r="H7" s="3" t="s">
        <v>292</v>
      </c>
      <c r="K7" s="3" t="s">
        <v>665</v>
      </c>
      <c r="L7" s="3" t="s">
        <v>284</v>
      </c>
      <c r="M7" s="3" t="s">
        <v>271</v>
      </c>
    </row>
    <row r="8" spans="1:13">
      <c r="A8" s="29">
        <v>42737.475173611114</v>
      </c>
      <c r="B8" s="29" t="str">
        <f>PROPER(TEXT(tbLOG[[#This Row],[DATA/HORA]],"mmmm"))</f>
        <v>Janeiro</v>
      </c>
      <c r="C8" s="34" t="str">
        <f>PROPER(TEXT(tbLOG[[#This Row],[DATA/HORA]],"dddd"))</f>
        <v>Segunda-Feira</v>
      </c>
      <c r="D8" s="3" t="s">
        <v>297</v>
      </c>
      <c r="E8" s="34" t="str">
        <f>IFERROR(VLOOKUP(tbLOG[[#This Row],[LOGIN]],tbMAPA[#All],2,0), "Não localizado")</f>
        <v>Ivanildo Cavalcante De Souza Junior</v>
      </c>
      <c r="F8" s="34" t="str">
        <f>IFERROR(VLOOKUP(tbLOG[[#This Row],[LOGIN]],tbMAPA[#All],3,0), "Não localizado")</f>
        <v>Jefte Soares Da Silva</v>
      </c>
      <c r="G8" s="3" t="s">
        <v>298</v>
      </c>
      <c r="H8" s="3" t="s">
        <v>317</v>
      </c>
      <c r="K8" s="3" t="s">
        <v>666</v>
      </c>
      <c r="L8" s="3" t="s">
        <v>275</v>
      </c>
      <c r="M8" s="3" t="s">
        <v>271</v>
      </c>
    </row>
    <row r="9" spans="1:13">
      <c r="A9" s="29">
        <v>42737.475208333337</v>
      </c>
      <c r="B9" s="29" t="str">
        <f>PROPER(TEXT(tbLOG[[#This Row],[DATA/HORA]],"mmmm"))</f>
        <v>Janeiro</v>
      </c>
      <c r="C9" s="34" t="str">
        <f>PROPER(TEXT(tbLOG[[#This Row],[DATA/HORA]],"dddd"))</f>
        <v>Segunda-Feira</v>
      </c>
      <c r="D9" s="3" t="s">
        <v>297</v>
      </c>
      <c r="E9" s="34" t="str">
        <f>IFERROR(VLOOKUP(tbLOG[[#This Row],[LOGIN]],tbMAPA[#All],2,0), "Não localizado")</f>
        <v>Ivanildo Cavalcante De Souza Junior</v>
      </c>
      <c r="F9" s="34" t="str">
        <f>IFERROR(VLOOKUP(tbLOG[[#This Row],[LOGIN]],tbMAPA[#All],3,0), "Não localizado")</f>
        <v>Jefte Soares Da Silva</v>
      </c>
      <c r="G9" s="3" t="s">
        <v>298</v>
      </c>
      <c r="H9" s="3" t="s">
        <v>299</v>
      </c>
      <c r="K9" s="3" t="s">
        <v>667</v>
      </c>
      <c r="L9" s="3" t="s">
        <v>162</v>
      </c>
      <c r="M9" s="3" t="s">
        <v>271</v>
      </c>
    </row>
    <row r="10" spans="1:13">
      <c r="A10" s="29">
        <v>42737.475474537037</v>
      </c>
      <c r="B10" s="29" t="str">
        <f>PROPER(TEXT(tbLOG[[#This Row],[DATA/HORA]],"mmmm"))</f>
        <v>Janeiro</v>
      </c>
      <c r="C10" s="34" t="str">
        <f>PROPER(TEXT(tbLOG[[#This Row],[DATA/HORA]],"dddd"))</f>
        <v>Segunda-Feira</v>
      </c>
      <c r="D10" s="3" t="s">
        <v>297</v>
      </c>
      <c r="E10" s="34" t="str">
        <f>IFERROR(VLOOKUP(tbLOG[[#This Row],[LOGIN]],tbMAPA[#All],2,0), "Não localizado")</f>
        <v>Ivanildo Cavalcante De Souza Junior</v>
      </c>
      <c r="F10" s="34" t="str">
        <f>IFERROR(VLOOKUP(tbLOG[[#This Row],[LOGIN]],tbMAPA[#All],3,0), "Não localizado")</f>
        <v>Jefte Soares Da Silva</v>
      </c>
      <c r="G10" s="3" t="s">
        <v>298</v>
      </c>
      <c r="H10" s="3" t="s">
        <v>835</v>
      </c>
      <c r="K10" s="3" t="s">
        <v>668</v>
      </c>
      <c r="L10" s="3" t="s">
        <v>610</v>
      </c>
      <c r="M10" s="3" t="s">
        <v>271</v>
      </c>
    </row>
    <row r="11" spans="1:13">
      <c r="A11" s="29">
        <v>42737.475532407407</v>
      </c>
      <c r="B11" s="29" t="str">
        <f>PROPER(TEXT(tbLOG[[#This Row],[DATA/HORA]],"mmmm"))</f>
        <v>Janeiro</v>
      </c>
      <c r="C11" s="34" t="str">
        <f>PROPER(TEXT(tbLOG[[#This Row],[DATA/HORA]],"dddd"))</f>
        <v>Segunda-Feira</v>
      </c>
      <c r="D11" s="3" t="s">
        <v>297</v>
      </c>
      <c r="E11" s="34" t="str">
        <f>IFERROR(VLOOKUP(tbLOG[[#This Row],[LOGIN]],tbMAPA[#All],2,0), "Não localizado")</f>
        <v>Ivanildo Cavalcante De Souza Junior</v>
      </c>
      <c r="F11" s="34" t="str">
        <f>IFERROR(VLOOKUP(tbLOG[[#This Row],[LOGIN]],tbMAPA[#All],3,0), "Não localizado")</f>
        <v>Jefte Soares Da Silva</v>
      </c>
      <c r="G11" s="3" t="s">
        <v>298</v>
      </c>
      <c r="H11" s="3" t="s">
        <v>835</v>
      </c>
      <c r="K11" s="3" t="s">
        <v>669</v>
      </c>
      <c r="L11" s="3" t="s">
        <v>611</v>
      </c>
      <c r="M11" s="3" t="s">
        <v>271</v>
      </c>
    </row>
    <row r="12" spans="1:13">
      <c r="A12" s="29">
        <v>42737.475682870368</v>
      </c>
      <c r="B12" s="29" t="str">
        <f>PROPER(TEXT(tbLOG[[#This Row],[DATA/HORA]],"mmmm"))</f>
        <v>Janeiro</v>
      </c>
      <c r="C12" s="34" t="str">
        <f>PROPER(TEXT(tbLOG[[#This Row],[DATA/HORA]],"dddd"))</f>
        <v>Segunda-Feira</v>
      </c>
      <c r="D12" s="3" t="s">
        <v>297</v>
      </c>
      <c r="E12" s="34" t="str">
        <f>IFERROR(VLOOKUP(tbLOG[[#This Row],[LOGIN]],tbMAPA[#All],2,0), "Não localizado")</f>
        <v>Ivanildo Cavalcante De Souza Junior</v>
      </c>
      <c r="F12" s="34" t="str">
        <f>IFERROR(VLOOKUP(tbLOG[[#This Row],[LOGIN]],tbMAPA[#All],3,0), "Não localizado")</f>
        <v>Jefte Soares Da Silva</v>
      </c>
      <c r="G12" s="3" t="s">
        <v>298</v>
      </c>
      <c r="H12" s="3" t="s">
        <v>836</v>
      </c>
      <c r="K12" s="3" t="s">
        <v>670</v>
      </c>
      <c r="L12" s="3" t="s">
        <v>272</v>
      </c>
      <c r="M12" s="3" t="s">
        <v>271</v>
      </c>
    </row>
    <row r="13" spans="1:13">
      <c r="A13" s="29">
        <v>42737.476215277777</v>
      </c>
      <c r="B13" s="29" t="str">
        <f>PROPER(TEXT(tbLOG[[#This Row],[DATA/HORA]],"mmmm"))</f>
        <v>Janeiro</v>
      </c>
      <c r="C13" s="34" t="str">
        <f>PROPER(TEXT(tbLOG[[#This Row],[DATA/HORA]],"dddd"))</f>
        <v>Segunda-Feira</v>
      </c>
      <c r="D13" s="3" t="s">
        <v>297</v>
      </c>
      <c r="E13" s="34" t="str">
        <f>IFERROR(VLOOKUP(tbLOG[[#This Row],[LOGIN]],tbMAPA[#All],2,0), "Não localizado")</f>
        <v>Ivanildo Cavalcante De Souza Junior</v>
      </c>
      <c r="F13" s="34" t="str">
        <f>IFERROR(VLOOKUP(tbLOG[[#This Row],[LOGIN]],tbMAPA[#All],3,0), "Não localizado")</f>
        <v>Jefte Soares Da Silva</v>
      </c>
      <c r="G13" s="3" t="s">
        <v>298</v>
      </c>
      <c r="H13" s="3" t="s">
        <v>331</v>
      </c>
      <c r="K13" s="3" t="s">
        <v>671</v>
      </c>
      <c r="L13" s="3" t="s">
        <v>612</v>
      </c>
      <c r="M13" s="3" t="s">
        <v>271</v>
      </c>
    </row>
    <row r="14" spans="1:13">
      <c r="A14" s="29">
        <v>42737.476493055554</v>
      </c>
      <c r="B14" s="29" t="str">
        <f>PROPER(TEXT(tbLOG[[#This Row],[DATA/HORA]],"mmmm"))</f>
        <v>Janeiro</v>
      </c>
      <c r="C14" s="34" t="str">
        <f>PROPER(TEXT(tbLOG[[#This Row],[DATA/HORA]],"dddd"))</f>
        <v>Segunda-Feira</v>
      </c>
      <c r="D14" s="3" t="s">
        <v>297</v>
      </c>
      <c r="E14" s="34" t="str">
        <f>IFERROR(VLOOKUP(tbLOG[[#This Row],[LOGIN]],tbMAPA[#All],2,0), "Não localizado")</f>
        <v>Ivanildo Cavalcante De Souza Junior</v>
      </c>
      <c r="F14" s="34" t="str">
        <f>IFERROR(VLOOKUP(tbLOG[[#This Row],[LOGIN]],tbMAPA[#All],3,0), "Não localizado")</f>
        <v>Jefte Soares Da Silva</v>
      </c>
      <c r="G14" s="3" t="s">
        <v>298</v>
      </c>
      <c r="H14" s="3" t="s">
        <v>292</v>
      </c>
      <c r="K14" s="3" t="s">
        <v>672</v>
      </c>
      <c r="L14" s="3" t="s">
        <v>598</v>
      </c>
      <c r="M14" s="3" t="s">
        <v>271</v>
      </c>
    </row>
    <row r="15" spans="1:13">
      <c r="A15" s="29">
        <v>42737.476585648146</v>
      </c>
      <c r="B15" s="29" t="str">
        <f>PROPER(TEXT(tbLOG[[#This Row],[DATA/HORA]],"mmmm"))</f>
        <v>Janeiro</v>
      </c>
      <c r="C15" s="34" t="str">
        <f>PROPER(TEXT(tbLOG[[#This Row],[DATA/HORA]],"dddd"))</f>
        <v>Segunda-Feira</v>
      </c>
      <c r="D15" s="3" t="s">
        <v>297</v>
      </c>
      <c r="E15" s="34" t="str">
        <f>IFERROR(VLOOKUP(tbLOG[[#This Row],[LOGIN]],tbMAPA[#All],2,0), "Não localizado")</f>
        <v>Ivanildo Cavalcante De Souza Junior</v>
      </c>
      <c r="F15" s="34" t="str">
        <f>IFERROR(VLOOKUP(tbLOG[[#This Row],[LOGIN]],tbMAPA[#All],3,0), "Não localizado")</f>
        <v>Jefte Soares Da Silva</v>
      </c>
      <c r="G15" s="3" t="s">
        <v>298</v>
      </c>
      <c r="H15" s="3" t="s">
        <v>309</v>
      </c>
      <c r="K15" s="3" t="s">
        <v>673</v>
      </c>
      <c r="L15" s="3" t="s">
        <v>613</v>
      </c>
      <c r="M15" s="3" t="s">
        <v>271</v>
      </c>
    </row>
    <row r="16" spans="1:13">
      <c r="A16" s="29">
        <v>42737.476585648146</v>
      </c>
      <c r="B16" s="29" t="str">
        <f>PROPER(TEXT(tbLOG[[#This Row],[DATA/HORA]],"mmmm"))</f>
        <v>Janeiro</v>
      </c>
      <c r="C16" s="34" t="str">
        <f>PROPER(TEXT(tbLOG[[#This Row],[DATA/HORA]],"dddd"))</f>
        <v>Segunda-Feira</v>
      </c>
      <c r="D16" s="3" t="s">
        <v>297</v>
      </c>
      <c r="E16" s="34" t="str">
        <f>IFERROR(VLOOKUP(tbLOG[[#This Row],[LOGIN]],tbMAPA[#All],2,0), "Não localizado")</f>
        <v>Ivanildo Cavalcante De Souza Junior</v>
      </c>
      <c r="F16" s="34" t="str">
        <f>IFERROR(VLOOKUP(tbLOG[[#This Row],[LOGIN]],tbMAPA[#All],3,0), "Não localizado")</f>
        <v>Jefte Soares Da Silva</v>
      </c>
      <c r="G16" s="3" t="s">
        <v>298</v>
      </c>
      <c r="H16" s="3" t="s">
        <v>310</v>
      </c>
      <c r="K16" s="3" t="s">
        <v>674</v>
      </c>
      <c r="L16" s="3" t="s">
        <v>614</v>
      </c>
      <c r="M16" s="3" t="s">
        <v>271</v>
      </c>
    </row>
    <row r="17" spans="1:13">
      <c r="A17" s="29">
        <v>42737.476655092592</v>
      </c>
      <c r="B17" s="29" t="str">
        <f>PROPER(TEXT(tbLOG[[#This Row],[DATA/HORA]],"mmmm"))</f>
        <v>Janeiro</v>
      </c>
      <c r="C17" s="34" t="str">
        <f>PROPER(TEXT(tbLOG[[#This Row],[DATA/HORA]],"dddd"))</f>
        <v>Segunda-Feira</v>
      </c>
      <c r="D17" s="3" t="s">
        <v>297</v>
      </c>
      <c r="E17" s="34" t="str">
        <f>IFERROR(VLOOKUP(tbLOG[[#This Row],[LOGIN]],tbMAPA[#All],2,0), "Não localizado")</f>
        <v>Ivanildo Cavalcante De Souza Junior</v>
      </c>
      <c r="F17" s="34" t="str">
        <f>IFERROR(VLOOKUP(tbLOG[[#This Row],[LOGIN]],tbMAPA[#All],3,0), "Não localizado")</f>
        <v>Jefte Soares Da Silva</v>
      </c>
      <c r="G17" s="3" t="s">
        <v>298</v>
      </c>
      <c r="H17" s="3" t="s">
        <v>309</v>
      </c>
      <c r="K17" s="3" t="s">
        <v>675</v>
      </c>
      <c r="L17" s="3" t="s">
        <v>283</v>
      </c>
      <c r="M17" s="3" t="s">
        <v>271</v>
      </c>
    </row>
    <row r="18" spans="1:13">
      <c r="A18" s="29">
        <v>42737.476655092592</v>
      </c>
      <c r="B18" s="29" t="str">
        <f>PROPER(TEXT(tbLOG[[#This Row],[DATA/HORA]],"mmmm"))</f>
        <v>Janeiro</v>
      </c>
      <c r="C18" s="34" t="str">
        <f>PROPER(TEXT(tbLOG[[#This Row],[DATA/HORA]],"dddd"))</f>
        <v>Segunda-Feira</v>
      </c>
      <c r="D18" s="3" t="s">
        <v>297</v>
      </c>
      <c r="E18" s="34" t="str">
        <f>IFERROR(VLOOKUP(tbLOG[[#This Row],[LOGIN]],tbMAPA[#All],2,0), "Não localizado")</f>
        <v>Ivanildo Cavalcante De Souza Junior</v>
      </c>
      <c r="F18" s="34" t="str">
        <f>IFERROR(VLOOKUP(tbLOG[[#This Row],[LOGIN]],tbMAPA[#All],3,0), "Não localizado")</f>
        <v>Jefte Soares Da Silva</v>
      </c>
      <c r="G18" s="3" t="s">
        <v>298</v>
      </c>
      <c r="H18" s="3" t="s">
        <v>309</v>
      </c>
      <c r="K18" s="3" t="s">
        <v>676</v>
      </c>
      <c r="L18" s="3" t="s">
        <v>615</v>
      </c>
      <c r="M18" s="3" t="s">
        <v>271</v>
      </c>
    </row>
    <row r="19" spans="1:13">
      <c r="A19" s="29">
        <v>42737.476655092592</v>
      </c>
      <c r="B19" s="29" t="str">
        <f>PROPER(TEXT(tbLOG[[#This Row],[DATA/HORA]],"mmmm"))</f>
        <v>Janeiro</v>
      </c>
      <c r="C19" s="34" t="str">
        <f>PROPER(TEXT(tbLOG[[#This Row],[DATA/HORA]],"dddd"))</f>
        <v>Segunda-Feira</v>
      </c>
      <c r="D19" s="3" t="s">
        <v>297</v>
      </c>
      <c r="E19" s="34" t="str">
        <f>IFERROR(VLOOKUP(tbLOG[[#This Row],[LOGIN]],tbMAPA[#All],2,0), "Não localizado")</f>
        <v>Ivanildo Cavalcante De Souza Junior</v>
      </c>
      <c r="F19" s="34" t="str">
        <f>IFERROR(VLOOKUP(tbLOG[[#This Row],[LOGIN]],tbMAPA[#All],3,0), "Não localizado")</f>
        <v>Jefte Soares Da Silva</v>
      </c>
      <c r="G19" s="3" t="s">
        <v>298</v>
      </c>
      <c r="H19" s="3" t="s">
        <v>314</v>
      </c>
      <c r="K19" s="3" t="s">
        <v>677</v>
      </c>
      <c r="L19" s="3" t="s">
        <v>616</v>
      </c>
      <c r="M19" s="3" t="s">
        <v>271</v>
      </c>
    </row>
    <row r="20" spans="1:13">
      <c r="A20" s="29">
        <v>42737.477638888886</v>
      </c>
      <c r="B20" s="29" t="str">
        <f>PROPER(TEXT(tbLOG[[#This Row],[DATA/HORA]],"mmmm"))</f>
        <v>Janeiro</v>
      </c>
      <c r="C20" s="34" t="str">
        <f>PROPER(TEXT(tbLOG[[#This Row],[DATA/HORA]],"dddd"))</f>
        <v>Segunda-Feira</v>
      </c>
      <c r="D20" s="3" t="s">
        <v>297</v>
      </c>
      <c r="E20" s="34" t="str">
        <f>IFERROR(VLOOKUP(tbLOG[[#This Row],[LOGIN]],tbMAPA[#All],2,0), "Não localizado")</f>
        <v>Ivanildo Cavalcante De Souza Junior</v>
      </c>
      <c r="F20" s="34" t="str">
        <f>IFERROR(VLOOKUP(tbLOG[[#This Row],[LOGIN]],tbMAPA[#All],3,0), "Não localizado")</f>
        <v>Jefte Soares Da Silva</v>
      </c>
      <c r="G20" s="3" t="s">
        <v>298</v>
      </c>
      <c r="H20" s="3" t="s">
        <v>290</v>
      </c>
      <c r="K20" s="3" t="s">
        <v>678</v>
      </c>
      <c r="L20" s="3" t="s">
        <v>617</v>
      </c>
      <c r="M20" s="3" t="s">
        <v>51</v>
      </c>
    </row>
    <row r="21" spans="1:13">
      <c r="A21" s="29">
        <v>42737.477685185186</v>
      </c>
      <c r="B21" s="29" t="str">
        <f>PROPER(TEXT(tbLOG[[#This Row],[DATA/HORA]],"mmmm"))</f>
        <v>Janeiro</v>
      </c>
      <c r="C21" s="34" t="str">
        <f>PROPER(TEXT(tbLOG[[#This Row],[DATA/HORA]],"dddd"))</f>
        <v>Segunda-Feira</v>
      </c>
      <c r="D21" s="3" t="s">
        <v>297</v>
      </c>
      <c r="E21" s="34" t="str">
        <f>IFERROR(VLOOKUP(tbLOG[[#This Row],[LOGIN]],tbMAPA[#All],2,0), "Não localizado")</f>
        <v>Ivanildo Cavalcante De Souza Junior</v>
      </c>
      <c r="F21" s="34" t="str">
        <f>IFERROR(VLOOKUP(tbLOG[[#This Row],[LOGIN]],tbMAPA[#All],3,0), "Não localizado")</f>
        <v>Jefte Soares Da Silva</v>
      </c>
      <c r="G21" s="3" t="s">
        <v>298</v>
      </c>
      <c r="H21" s="3" t="s">
        <v>291</v>
      </c>
      <c r="K21" s="3" t="s">
        <v>679</v>
      </c>
      <c r="L21" s="3" t="s">
        <v>618</v>
      </c>
      <c r="M21" s="3" t="s">
        <v>51</v>
      </c>
    </row>
    <row r="22" spans="1:13">
      <c r="A22" s="29">
        <v>42737.477685185186</v>
      </c>
      <c r="B22" s="29" t="str">
        <f>PROPER(TEXT(tbLOG[[#This Row],[DATA/HORA]],"mmmm"))</f>
        <v>Janeiro</v>
      </c>
      <c r="C22" s="34" t="str">
        <f>PROPER(TEXT(tbLOG[[#This Row],[DATA/HORA]],"dddd"))</f>
        <v>Segunda-Feira</v>
      </c>
      <c r="D22" s="3" t="s">
        <v>297</v>
      </c>
      <c r="E22" s="34" t="str">
        <f>IFERROR(VLOOKUP(tbLOG[[#This Row],[LOGIN]],tbMAPA[#All],2,0), "Não localizado")</f>
        <v>Ivanildo Cavalcante De Souza Junior</v>
      </c>
      <c r="F22" s="34" t="str">
        <f>IFERROR(VLOOKUP(tbLOG[[#This Row],[LOGIN]],tbMAPA[#All],3,0), "Não localizado")</f>
        <v>Jefte Soares Da Silva</v>
      </c>
      <c r="G22" s="3" t="s">
        <v>298</v>
      </c>
      <c r="H22" s="3" t="s">
        <v>290</v>
      </c>
      <c r="K22" s="3" t="s">
        <v>680</v>
      </c>
      <c r="L22" s="3" t="s">
        <v>619</v>
      </c>
      <c r="M22" s="3" t="s">
        <v>51</v>
      </c>
    </row>
    <row r="23" spans="1:13">
      <c r="A23" s="29">
        <v>42737.490370370368</v>
      </c>
      <c r="B23" s="29" t="str">
        <f>PROPER(TEXT(tbLOG[[#This Row],[DATA/HORA]],"mmmm"))</f>
        <v>Janeiro</v>
      </c>
      <c r="C23" s="34" t="str">
        <f>PROPER(TEXT(tbLOG[[#This Row],[DATA/HORA]],"dddd"))</f>
        <v>Segunda-Feira</v>
      </c>
      <c r="D23" s="3" t="s">
        <v>297</v>
      </c>
      <c r="E23" s="34" t="str">
        <f>IFERROR(VLOOKUP(tbLOG[[#This Row],[LOGIN]],tbMAPA[#All],2,0), "Não localizado")</f>
        <v>Ivanildo Cavalcante De Souza Junior</v>
      </c>
      <c r="F23" s="34" t="str">
        <f>IFERROR(VLOOKUP(tbLOG[[#This Row],[LOGIN]],tbMAPA[#All],3,0), "Não localizado")</f>
        <v>Jefte Soares Da Silva</v>
      </c>
      <c r="G23" s="3" t="s">
        <v>298</v>
      </c>
      <c r="H23" s="3" t="s">
        <v>292</v>
      </c>
      <c r="K23" s="3" t="s">
        <v>681</v>
      </c>
      <c r="L23" s="3" t="s">
        <v>196</v>
      </c>
      <c r="M23" s="3" t="s">
        <v>51</v>
      </c>
    </row>
    <row r="24" spans="1:13">
      <c r="A24" s="29">
        <v>42737.490381944444</v>
      </c>
      <c r="B24" s="29" t="str">
        <f>PROPER(TEXT(tbLOG[[#This Row],[DATA/HORA]],"mmmm"))</f>
        <v>Janeiro</v>
      </c>
      <c r="C24" s="34" t="str">
        <f>PROPER(TEXT(tbLOG[[#This Row],[DATA/HORA]],"dddd"))</f>
        <v>Segunda-Feira</v>
      </c>
      <c r="D24" s="3" t="s">
        <v>297</v>
      </c>
      <c r="E24" s="34" t="str">
        <f>IFERROR(VLOOKUP(tbLOG[[#This Row],[LOGIN]],tbMAPA[#All],2,0), "Não localizado")</f>
        <v>Ivanildo Cavalcante De Souza Junior</v>
      </c>
      <c r="F24" s="34" t="str">
        <f>IFERROR(VLOOKUP(tbLOG[[#This Row],[LOGIN]],tbMAPA[#All],3,0), "Não localizado")</f>
        <v>Jefte Soares Da Silva</v>
      </c>
      <c r="G24" s="3" t="s">
        <v>298</v>
      </c>
      <c r="H24" s="3" t="s">
        <v>994</v>
      </c>
      <c r="K24" s="3" t="s">
        <v>682</v>
      </c>
      <c r="L24" s="3" t="s">
        <v>620</v>
      </c>
      <c r="M24" s="3" t="s">
        <v>51</v>
      </c>
    </row>
    <row r="25" spans="1:13">
      <c r="A25" s="29">
        <v>42737.491030092591</v>
      </c>
      <c r="B25" s="29" t="str">
        <f>PROPER(TEXT(tbLOG[[#This Row],[DATA/HORA]],"mmmm"))</f>
        <v>Janeiro</v>
      </c>
      <c r="C25" s="34" t="str">
        <f>PROPER(TEXT(tbLOG[[#This Row],[DATA/HORA]],"dddd"))</f>
        <v>Segunda-Feira</v>
      </c>
      <c r="D25" s="3" t="s">
        <v>297</v>
      </c>
      <c r="E25" s="34" t="str">
        <f>IFERROR(VLOOKUP(tbLOG[[#This Row],[LOGIN]],tbMAPA[#All],2,0), "Não localizado")</f>
        <v>Ivanildo Cavalcante De Souza Junior</v>
      </c>
      <c r="F25" s="34" t="str">
        <f>IFERROR(VLOOKUP(tbLOG[[#This Row],[LOGIN]],tbMAPA[#All],3,0), "Não localizado")</f>
        <v>Jefte Soares Da Silva</v>
      </c>
      <c r="G25" s="3" t="s">
        <v>298</v>
      </c>
      <c r="H25" s="3" t="s">
        <v>290</v>
      </c>
      <c r="K25" s="3" t="s">
        <v>683</v>
      </c>
      <c r="L25" s="3" t="s">
        <v>257</v>
      </c>
      <c r="M25" s="3" t="s">
        <v>51</v>
      </c>
    </row>
    <row r="26" spans="1:13">
      <c r="A26" s="29">
        <v>42737.491168981483</v>
      </c>
      <c r="B26" s="29" t="str">
        <f>PROPER(TEXT(tbLOG[[#This Row],[DATA/HORA]],"mmmm"))</f>
        <v>Janeiro</v>
      </c>
      <c r="C26" s="34" t="str">
        <f>PROPER(TEXT(tbLOG[[#This Row],[DATA/HORA]],"dddd"))</f>
        <v>Segunda-Feira</v>
      </c>
      <c r="D26" s="3" t="s">
        <v>297</v>
      </c>
      <c r="E26" s="34" t="str">
        <f>IFERROR(VLOOKUP(tbLOG[[#This Row],[LOGIN]],tbMAPA[#All],2,0), "Não localizado")</f>
        <v>Ivanildo Cavalcante De Souza Junior</v>
      </c>
      <c r="F26" s="34" t="str">
        <f>IFERROR(VLOOKUP(tbLOG[[#This Row],[LOGIN]],tbMAPA[#All],3,0), "Não localizado")</f>
        <v>Jefte Soares Da Silva</v>
      </c>
      <c r="G26" s="3" t="s">
        <v>298</v>
      </c>
      <c r="H26" s="3" t="s">
        <v>292</v>
      </c>
      <c r="K26" s="3" t="s">
        <v>684</v>
      </c>
      <c r="L26" s="3" t="s">
        <v>143</v>
      </c>
      <c r="M26" s="3" t="s">
        <v>51</v>
      </c>
    </row>
    <row r="27" spans="1:13">
      <c r="A27" s="29">
        <v>42737.491400462961</v>
      </c>
      <c r="B27" s="29" t="str">
        <f>PROPER(TEXT(tbLOG[[#This Row],[DATA/HORA]],"mmmm"))</f>
        <v>Janeiro</v>
      </c>
      <c r="C27" s="34" t="str">
        <f>PROPER(TEXT(tbLOG[[#This Row],[DATA/HORA]],"dddd"))</f>
        <v>Segunda-Feira</v>
      </c>
      <c r="D27" s="3" t="s">
        <v>297</v>
      </c>
      <c r="E27" s="34" t="str">
        <f>IFERROR(VLOOKUP(tbLOG[[#This Row],[LOGIN]],tbMAPA[#All],2,0), "Não localizado")</f>
        <v>Ivanildo Cavalcante De Souza Junior</v>
      </c>
      <c r="F27" s="34" t="str">
        <f>IFERROR(VLOOKUP(tbLOG[[#This Row],[LOGIN]],tbMAPA[#All],3,0), "Não localizado")</f>
        <v>Jefte Soares Da Silva</v>
      </c>
      <c r="G27" s="3" t="s">
        <v>298</v>
      </c>
      <c r="H27" s="3" t="s">
        <v>292</v>
      </c>
      <c r="K27" s="3" t="s">
        <v>297</v>
      </c>
      <c r="L27" s="3" t="s">
        <v>90</v>
      </c>
      <c r="M27" s="3" t="s">
        <v>9</v>
      </c>
    </row>
    <row r="28" spans="1:13">
      <c r="A28" s="29">
        <v>42737.491539351853</v>
      </c>
      <c r="B28" s="29" t="str">
        <f>PROPER(TEXT(tbLOG[[#This Row],[DATA/HORA]],"mmmm"))</f>
        <v>Janeiro</v>
      </c>
      <c r="C28" s="34" t="str">
        <f>PROPER(TEXT(tbLOG[[#This Row],[DATA/HORA]],"dddd"))</f>
        <v>Segunda-Feira</v>
      </c>
      <c r="D28" s="3" t="s">
        <v>297</v>
      </c>
      <c r="E28" s="34" t="str">
        <f>IFERROR(VLOOKUP(tbLOG[[#This Row],[LOGIN]],tbMAPA[#All],2,0), "Não localizado")</f>
        <v>Ivanildo Cavalcante De Souza Junior</v>
      </c>
      <c r="F28" s="34" t="str">
        <f>IFERROR(VLOOKUP(tbLOG[[#This Row],[LOGIN]],tbMAPA[#All],3,0), "Não localizado")</f>
        <v>Jefte Soares Da Silva</v>
      </c>
      <c r="G28" s="3" t="s">
        <v>298</v>
      </c>
      <c r="H28" s="3" t="s">
        <v>836</v>
      </c>
      <c r="K28" s="3" t="s">
        <v>685</v>
      </c>
      <c r="L28" s="3" t="s">
        <v>118</v>
      </c>
      <c r="M28" s="3" t="s">
        <v>31</v>
      </c>
    </row>
    <row r="29" spans="1:13">
      <c r="A29" s="29">
        <v>42737.491585648146</v>
      </c>
      <c r="B29" s="29" t="str">
        <f>PROPER(TEXT(tbLOG[[#This Row],[DATA/HORA]],"mmmm"))</f>
        <v>Janeiro</v>
      </c>
      <c r="C29" s="34" t="str">
        <f>PROPER(TEXT(tbLOG[[#This Row],[DATA/HORA]],"dddd"))</f>
        <v>Segunda-Feira</v>
      </c>
      <c r="D29" s="3" t="s">
        <v>297</v>
      </c>
      <c r="E29" s="34" t="str">
        <f>IFERROR(VLOOKUP(tbLOG[[#This Row],[LOGIN]],tbMAPA[#All],2,0), "Não localizado")</f>
        <v>Ivanildo Cavalcante De Souza Junior</v>
      </c>
      <c r="F29" s="34" t="str">
        <f>IFERROR(VLOOKUP(tbLOG[[#This Row],[LOGIN]],tbMAPA[#All],3,0), "Não localizado")</f>
        <v>Jefte Soares Da Silva</v>
      </c>
      <c r="G29" s="3" t="s">
        <v>298</v>
      </c>
      <c r="H29" s="3" t="s">
        <v>836</v>
      </c>
      <c r="K29" s="3" t="s">
        <v>686</v>
      </c>
      <c r="L29" s="3" t="s">
        <v>210</v>
      </c>
      <c r="M29" s="3" t="s">
        <v>23</v>
      </c>
    </row>
    <row r="30" spans="1:13">
      <c r="A30" s="29">
        <v>42737.49181712963</v>
      </c>
      <c r="B30" s="29" t="str">
        <f>PROPER(TEXT(tbLOG[[#This Row],[DATA/HORA]],"mmmm"))</f>
        <v>Janeiro</v>
      </c>
      <c r="C30" s="34" t="str">
        <f>PROPER(TEXT(tbLOG[[#This Row],[DATA/HORA]],"dddd"))</f>
        <v>Segunda-Feira</v>
      </c>
      <c r="D30" s="3" t="s">
        <v>297</v>
      </c>
      <c r="E30" s="34" t="str">
        <f>IFERROR(VLOOKUP(tbLOG[[#This Row],[LOGIN]],tbMAPA[#All],2,0), "Não localizado")</f>
        <v>Ivanildo Cavalcante De Souza Junior</v>
      </c>
      <c r="F30" s="34" t="str">
        <f>IFERROR(VLOOKUP(tbLOG[[#This Row],[LOGIN]],tbMAPA[#All],3,0), "Não localizado")</f>
        <v>Jefte Soares Da Silva</v>
      </c>
      <c r="G30" s="3" t="s">
        <v>298</v>
      </c>
      <c r="H30" s="3" t="s">
        <v>836</v>
      </c>
      <c r="K30" s="3" t="s">
        <v>687</v>
      </c>
      <c r="L30" s="3" t="s">
        <v>116</v>
      </c>
      <c r="M30" s="3" t="s">
        <v>127</v>
      </c>
    </row>
    <row r="31" spans="1:13">
      <c r="A31" s="29">
        <v>42737.491828703707</v>
      </c>
      <c r="B31" s="29" t="str">
        <f>PROPER(TEXT(tbLOG[[#This Row],[DATA/HORA]],"mmmm"))</f>
        <v>Janeiro</v>
      </c>
      <c r="C31" s="34" t="str">
        <f>PROPER(TEXT(tbLOG[[#This Row],[DATA/HORA]],"dddd"))</f>
        <v>Segunda-Feira</v>
      </c>
      <c r="D31" s="3" t="s">
        <v>297</v>
      </c>
      <c r="E31" s="34" t="str">
        <f>IFERROR(VLOOKUP(tbLOG[[#This Row],[LOGIN]],tbMAPA[#All],2,0), "Não localizado")</f>
        <v>Ivanildo Cavalcante De Souza Junior</v>
      </c>
      <c r="F31" s="34" t="str">
        <f>IFERROR(VLOOKUP(tbLOG[[#This Row],[LOGIN]],tbMAPA[#All],3,0), "Não localizado")</f>
        <v>Jefte Soares Da Silva</v>
      </c>
      <c r="G31" s="3" t="s">
        <v>298</v>
      </c>
      <c r="H31" s="3" t="s">
        <v>836</v>
      </c>
      <c r="K31" s="3" t="s">
        <v>688</v>
      </c>
      <c r="L31" s="3" t="s">
        <v>239</v>
      </c>
      <c r="M31" s="3" t="s">
        <v>39</v>
      </c>
    </row>
    <row r="32" spans="1:13">
      <c r="A32" s="29">
        <v>42737.492199074077</v>
      </c>
      <c r="B32" s="29" t="str">
        <f>PROPER(TEXT(tbLOG[[#This Row],[DATA/HORA]],"mmmm"))</f>
        <v>Janeiro</v>
      </c>
      <c r="C32" s="34" t="str">
        <f>PROPER(TEXT(tbLOG[[#This Row],[DATA/HORA]],"dddd"))</f>
        <v>Segunda-Feira</v>
      </c>
      <c r="D32" s="3" t="s">
        <v>297</v>
      </c>
      <c r="E32" s="34" t="str">
        <f>IFERROR(VLOOKUP(tbLOG[[#This Row],[LOGIN]],tbMAPA[#All],2,0), "Não localizado")</f>
        <v>Ivanildo Cavalcante De Souza Junior</v>
      </c>
      <c r="F32" s="34" t="str">
        <f>IFERROR(VLOOKUP(tbLOG[[#This Row],[LOGIN]],tbMAPA[#All],3,0), "Não localizado")</f>
        <v>Jefte Soares Da Silva</v>
      </c>
      <c r="G32" s="3" t="s">
        <v>298</v>
      </c>
      <c r="H32" s="3" t="s">
        <v>290</v>
      </c>
      <c r="K32" s="3" t="s">
        <v>689</v>
      </c>
      <c r="L32" s="3" t="s">
        <v>140</v>
      </c>
      <c r="M32" s="3" t="s">
        <v>23</v>
      </c>
    </row>
    <row r="33" spans="1:13">
      <c r="A33" s="29">
        <v>42737.492222222223</v>
      </c>
      <c r="B33" s="29" t="str">
        <f>PROPER(TEXT(tbLOG[[#This Row],[DATA/HORA]],"mmmm"))</f>
        <v>Janeiro</v>
      </c>
      <c r="C33" s="34" t="str">
        <f>PROPER(TEXT(tbLOG[[#This Row],[DATA/HORA]],"dddd"))</f>
        <v>Segunda-Feira</v>
      </c>
      <c r="D33" s="3" t="s">
        <v>297</v>
      </c>
      <c r="E33" s="34" t="str">
        <f>IFERROR(VLOOKUP(tbLOG[[#This Row],[LOGIN]],tbMAPA[#All],2,0), "Não localizado")</f>
        <v>Ivanildo Cavalcante De Souza Junior</v>
      </c>
      <c r="F33" s="34" t="str">
        <f>IFERROR(VLOOKUP(tbLOG[[#This Row],[LOGIN]],tbMAPA[#All],3,0), "Não localizado")</f>
        <v>Jefte Soares Da Silva</v>
      </c>
      <c r="G33" s="3" t="s">
        <v>298</v>
      </c>
      <c r="H33" s="3" t="s">
        <v>836</v>
      </c>
      <c r="K33" s="3" t="s">
        <v>690</v>
      </c>
      <c r="L33" s="3" t="s">
        <v>57</v>
      </c>
      <c r="M33" s="3" t="s">
        <v>9</v>
      </c>
    </row>
    <row r="34" spans="1:13">
      <c r="A34" s="29">
        <v>42737.492256944446</v>
      </c>
      <c r="B34" s="29" t="str">
        <f>PROPER(TEXT(tbLOG[[#This Row],[DATA/HORA]],"mmmm"))</f>
        <v>Janeiro</v>
      </c>
      <c r="C34" s="34" t="str">
        <f>PROPER(TEXT(tbLOG[[#This Row],[DATA/HORA]],"dddd"))</f>
        <v>Segunda-Feira</v>
      </c>
      <c r="D34" s="3" t="s">
        <v>297</v>
      </c>
      <c r="E34" s="34" t="str">
        <f>IFERROR(VLOOKUP(tbLOG[[#This Row],[LOGIN]],tbMAPA[#All],2,0), "Não localizado")</f>
        <v>Ivanildo Cavalcante De Souza Junior</v>
      </c>
      <c r="F34" s="34" t="str">
        <f>IFERROR(VLOOKUP(tbLOG[[#This Row],[LOGIN]],tbMAPA[#All],3,0), "Não localizado")</f>
        <v>Jefte Soares Da Silva</v>
      </c>
      <c r="G34" s="3" t="s">
        <v>298</v>
      </c>
      <c r="H34" s="3" t="s">
        <v>291</v>
      </c>
      <c r="K34" s="3" t="s">
        <v>691</v>
      </c>
      <c r="L34" s="3" t="s">
        <v>102</v>
      </c>
      <c r="M34" s="3" t="s">
        <v>9</v>
      </c>
    </row>
    <row r="35" spans="1:13">
      <c r="A35" s="29">
        <v>42737.492256944446</v>
      </c>
      <c r="B35" s="29" t="str">
        <f>PROPER(TEXT(tbLOG[[#This Row],[DATA/HORA]],"mmmm"))</f>
        <v>Janeiro</v>
      </c>
      <c r="C35" s="34" t="str">
        <f>PROPER(TEXT(tbLOG[[#This Row],[DATA/HORA]],"dddd"))</f>
        <v>Segunda-Feira</v>
      </c>
      <c r="D35" s="3" t="s">
        <v>297</v>
      </c>
      <c r="E35" s="34" t="str">
        <f>IFERROR(VLOOKUP(tbLOG[[#This Row],[LOGIN]],tbMAPA[#All],2,0), "Não localizado")</f>
        <v>Ivanildo Cavalcante De Souza Junior</v>
      </c>
      <c r="F35" s="34" t="str">
        <f>IFERROR(VLOOKUP(tbLOG[[#This Row],[LOGIN]],tbMAPA[#All],3,0), "Não localizado")</f>
        <v>Jefte Soares Da Silva</v>
      </c>
      <c r="G35" s="3" t="s">
        <v>298</v>
      </c>
      <c r="H35" s="3" t="s">
        <v>290</v>
      </c>
      <c r="K35" s="3" t="s">
        <v>692</v>
      </c>
      <c r="L35" s="3" t="s">
        <v>108</v>
      </c>
      <c r="M35" s="3" t="s">
        <v>9</v>
      </c>
    </row>
    <row r="36" spans="1:13">
      <c r="A36" s="29">
        <v>42737.690995370373</v>
      </c>
      <c r="B36" s="29" t="str">
        <f>PROPER(TEXT(tbLOG[[#This Row],[DATA/HORA]],"mmmm"))</f>
        <v>Janeiro</v>
      </c>
      <c r="C36" s="34" t="str">
        <f>PROPER(TEXT(tbLOG[[#This Row],[DATA/HORA]],"dddd"))</f>
        <v>Segunda-Feira</v>
      </c>
      <c r="D36" s="3" t="s">
        <v>324</v>
      </c>
      <c r="E36" s="34" t="str">
        <f>IFERROR(VLOOKUP(tbLOG[[#This Row],[LOGIN]],tbMAPA[#All],2,0), "Não localizado")</f>
        <v>Caio Eiji Arai</v>
      </c>
      <c r="F36" s="34" t="str">
        <f>IFERROR(VLOOKUP(tbLOG[[#This Row],[LOGIN]],tbMAPA[#All],3,0), "Não localizado")</f>
        <v>Vinicius Loula De Sousa</v>
      </c>
      <c r="G36" s="3" t="s">
        <v>999</v>
      </c>
      <c r="H36" s="3" t="s">
        <v>994</v>
      </c>
      <c r="K36" s="3" t="s">
        <v>693</v>
      </c>
      <c r="L36" s="3" t="s">
        <v>78</v>
      </c>
      <c r="M36" s="3" t="s">
        <v>9</v>
      </c>
    </row>
    <row r="37" spans="1:13">
      <c r="A37" s="29">
        <v>42737.697500000002</v>
      </c>
      <c r="B37" s="29" t="str">
        <f>PROPER(TEXT(tbLOG[[#This Row],[DATA/HORA]],"mmmm"))</f>
        <v>Janeiro</v>
      </c>
      <c r="C37" s="34" t="str">
        <f>PROPER(TEXT(tbLOG[[#This Row],[DATA/HORA]],"dddd"))</f>
        <v>Segunda-Feira</v>
      </c>
      <c r="D37" s="3" t="s">
        <v>324</v>
      </c>
      <c r="E37" s="34" t="str">
        <f>IFERROR(VLOOKUP(tbLOG[[#This Row],[LOGIN]],tbMAPA[#All],2,0), "Não localizado")</f>
        <v>Caio Eiji Arai</v>
      </c>
      <c r="F37" s="34" t="str">
        <f>IFERROR(VLOOKUP(tbLOG[[#This Row],[LOGIN]],tbMAPA[#All],3,0), "Não localizado")</f>
        <v>Vinicius Loula De Sousa</v>
      </c>
      <c r="G37" s="3" t="s">
        <v>999</v>
      </c>
      <c r="H37" s="3" t="s">
        <v>836</v>
      </c>
      <c r="K37" s="3" t="s">
        <v>694</v>
      </c>
      <c r="L37" s="3" t="s">
        <v>74</v>
      </c>
      <c r="M37" s="3" t="s">
        <v>9</v>
      </c>
    </row>
    <row r="38" spans="1:13">
      <c r="A38" s="29">
        <v>42737.697523148148</v>
      </c>
      <c r="B38" s="29" t="str">
        <f>PROPER(TEXT(tbLOG[[#This Row],[DATA/HORA]],"mmmm"))</f>
        <v>Janeiro</v>
      </c>
      <c r="C38" s="34" t="str">
        <f>PROPER(TEXT(tbLOG[[#This Row],[DATA/HORA]],"dddd"))</f>
        <v>Segunda-Feira</v>
      </c>
      <c r="D38" s="3" t="s">
        <v>324</v>
      </c>
      <c r="E38" s="34" t="str">
        <f>IFERROR(VLOOKUP(tbLOG[[#This Row],[LOGIN]],tbMAPA[#All],2,0), "Não localizado")</f>
        <v>Caio Eiji Arai</v>
      </c>
      <c r="F38" s="34" t="str">
        <f>IFERROR(VLOOKUP(tbLOG[[#This Row],[LOGIN]],tbMAPA[#All],3,0), "Não localizado")</f>
        <v>Vinicius Loula De Sousa</v>
      </c>
      <c r="G38" s="3" t="s">
        <v>999</v>
      </c>
      <c r="H38" s="3" t="s">
        <v>836</v>
      </c>
      <c r="K38" s="3" t="s">
        <v>695</v>
      </c>
      <c r="L38" s="3" t="s">
        <v>81</v>
      </c>
      <c r="M38" s="3" t="s">
        <v>9</v>
      </c>
    </row>
    <row r="39" spans="1:13">
      <c r="A39" s="29">
        <v>42737.697557870371</v>
      </c>
      <c r="B39" s="29" t="str">
        <f>PROPER(TEXT(tbLOG[[#This Row],[DATA/HORA]],"mmmm"))</f>
        <v>Janeiro</v>
      </c>
      <c r="C39" s="34" t="str">
        <f>PROPER(TEXT(tbLOG[[#This Row],[DATA/HORA]],"dddd"))</f>
        <v>Segunda-Feira</v>
      </c>
      <c r="D39" s="3" t="s">
        <v>324</v>
      </c>
      <c r="E39" s="34" t="str">
        <f>IFERROR(VLOOKUP(tbLOG[[#This Row],[LOGIN]],tbMAPA[#All],2,0), "Não localizado")</f>
        <v>Caio Eiji Arai</v>
      </c>
      <c r="F39" s="34" t="str">
        <f>IFERROR(VLOOKUP(tbLOG[[#This Row],[LOGIN]],tbMAPA[#All],3,0), "Não localizado")</f>
        <v>Vinicius Loula De Sousa</v>
      </c>
      <c r="G39" s="3" t="s">
        <v>999</v>
      </c>
      <c r="H39" s="3" t="s">
        <v>836</v>
      </c>
      <c r="K39" s="3" t="s">
        <v>696</v>
      </c>
      <c r="L39" s="3" t="s">
        <v>159</v>
      </c>
      <c r="M39" s="3" t="s">
        <v>9</v>
      </c>
    </row>
    <row r="40" spans="1:13">
      <c r="A40" s="29">
        <v>42737.697615740741</v>
      </c>
      <c r="B40" s="29" t="str">
        <f>PROPER(TEXT(tbLOG[[#This Row],[DATA/HORA]],"mmmm"))</f>
        <v>Janeiro</v>
      </c>
      <c r="C40" s="34" t="str">
        <f>PROPER(TEXT(tbLOG[[#This Row],[DATA/HORA]],"dddd"))</f>
        <v>Segunda-Feira</v>
      </c>
      <c r="D40" s="3" t="s">
        <v>324</v>
      </c>
      <c r="E40" s="34" t="str">
        <f>IFERROR(VLOOKUP(tbLOG[[#This Row],[LOGIN]],tbMAPA[#All],2,0), "Não localizado")</f>
        <v>Caio Eiji Arai</v>
      </c>
      <c r="F40" s="34" t="str">
        <f>IFERROR(VLOOKUP(tbLOG[[#This Row],[LOGIN]],tbMAPA[#All],3,0), "Não localizado")</f>
        <v>Vinicius Loula De Sousa</v>
      </c>
      <c r="G40" s="3" t="s">
        <v>999</v>
      </c>
      <c r="H40" s="3" t="s">
        <v>836</v>
      </c>
      <c r="K40" s="3" t="s">
        <v>697</v>
      </c>
      <c r="L40" s="3" t="s">
        <v>134</v>
      </c>
      <c r="M40" s="3" t="s">
        <v>9</v>
      </c>
    </row>
    <row r="41" spans="1:13">
      <c r="A41" s="29">
        <v>42737.697696759256</v>
      </c>
      <c r="B41" s="29" t="str">
        <f>PROPER(TEXT(tbLOG[[#This Row],[DATA/HORA]],"mmmm"))</f>
        <v>Janeiro</v>
      </c>
      <c r="C41" s="34" t="str">
        <f>PROPER(TEXT(tbLOG[[#This Row],[DATA/HORA]],"dddd"))</f>
        <v>Segunda-Feira</v>
      </c>
      <c r="D41" s="3" t="s">
        <v>324</v>
      </c>
      <c r="E41" s="34" t="str">
        <f>IFERROR(VLOOKUP(tbLOG[[#This Row],[LOGIN]],tbMAPA[#All],2,0), "Não localizado")</f>
        <v>Caio Eiji Arai</v>
      </c>
      <c r="F41" s="34" t="str">
        <f>IFERROR(VLOOKUP(tbLOG[[#This Row],[LOGIN]],tbMAPA[#All],3,0), "Não localizado")</f>
        <v>Vinicius Loula De Sousa</v>
      </c>
      <c r="G41" s="3" t="s">
        <v>999</v>
      </c>
      <c r="H41" s="3" t="s">
        <v>836</v>
      </c>
      <c r="K41" s="3" t="s">
        <v>698</v>
      </c>
      <c r="L41" s="3" t="s">
        <v>203</v>
      </c>
      <c r="M41" s="3" t="s">
        <v>31</v>
      </c>
    </row>
    <row r="42" spans="1:13">
      <c r="A42" s="29">
        <v>42737.699247685188</v>
      </c>
      <c r="B42" s="29" t="str">
        <f>PROPER(TEXT(tbLOG[[#This Row],[DATA/HORA]],"mmmm"))</f>
        <v>Janeiro</v>
      </c>
      <c r="C42" s="34" t="str">
        <f>PROPER(TEXT(tbLOG[[#This Row],[DATA/HORA]],"dddd"))</f>
        <v>Segunda-Feira</v>
      </c>
      <c r="D42" s="3" t="s">
        <v>324</v>
      </c>
      <c r="E42" s="34" t="str">
        <f>IFERROR(VLOOKUP(tbLOG[[#This Row],[LOGIN]],tbMAPA[#All],2,0), "Não localizado")</f>
        <v>Caio Eiji Arai</v>
      </c>
      <c r="F42" s="34" t="str">
        <f>IFERROR(VLOOKUP(tbLOG[[#This Row],[LOGIN]],tbMAPA[#All],3,0), "Não localizado")</f>
        <v>Vinicius Loula De Sousa</v>
      </c>
      <c r="G42" s="3" t="s">
        <v>999</v>
      </c>
      <c r="H42" s="3" t="s">
        <v>836</v>
      </c>
      <c r="K42" s="3" t="s">
        <v>699</v>
      </c>
      <c r="L42" s="3" t="s">
        <v>189</v>
      </c>
      <c r="M42" s="3" t="s">
        <v>31</v>
      </c>
    </row>
    <row r="43" spans="1:13">
      <c r="A43" s="29">
        <v>42737.699270833335</v>
      </c>
      <c r="B43" s="29" t="str">
        <f>PROPER(TEXT(tbLOG[[#This Row],[DATA/HORA]],"mmmm"))</f>
        <v>Janeiro</v>
      </c>
      <c r="C43" s="34" t="str">
        <f>PROPER(TEXT(tbLOG[[#This Row],[DATA/HORA]],"dddd"))</f>
        <v>Segunda-Feira</v>
      </c>
      <c r="D43" s="3" t="s">
        <v>324</v>
      </c>
      <c r="E43" s="34" t="str">
        <f>IFERROR(VLOOKUP(tbLOG[[#This Row],[LOGIN]],tbMAPA[#All],2,0), "Não localizado")</f>
        <v>Caio Eiji Arai</v>
      </c>
      <c r="F43" s="34" t="str">
        <f>IFERROR(VLOOKUP(tbLOG[[#This Row],[LOGIN]],tbMAPA[#All],3,0), "Não localizado")</f>
        <v>Vinicius Loula De Sousa</v>
      </c>
      <c r="G43" s="3" t="s">
        <v>999</v>
      </c>
      <c r="H43" s="3" t="s">
        <v>836</v>
      </c>
      <c r="K43" s="3" t="s">
        <v>700</v>
      </c>
      <c r="L43" s="3" t="s">
        <v>128</v>
      </c>
      <c r="M43" s="3" t="s">
        <v>9</v>
      </c>
    </row>
    <row r="44" spans="1:13">
      <c r="A44" s="29">
        <v>42737.699386574073</v>
      </c>
      <c r="B44" s="29" t="str">
        <f>PROPER(TEXT(tbLOG[[#This Row],[DATA/HORA]],"mmmm"))</f>
        <v>Janeiro</v>
      </c>
      <c r="C44" s="34" t="str">
        <f>PROPER(TEXT(tbLOG[[#This Row],[DATA/HORA]],"dddd"))</f>
        <v>Segunda-Feira</v>
      </c>
      <c r="D44" s="3" t="s">
        <v>324</v>
      </c>
      <c r="E44" s="34" t="str">
        <f>IFERROR(VLOOKUP(tbLOG[[#This Row],[LOGIN]],tbMAPA[#All],2,0), "Não localizado")</f>
        <v>Caio Eiji Arai</v>
      </c>
      <c r="F44" s="34" t="str">
        <f>IFERROR(VLOOKUP(tbLOG[[#This Row],[LOGIN]],tbMAPA[#All],3,0), "Não localizado")</f>
        <v>Vinicius Loula De Sousa</v>
      </c>
      <c r="G44" s="3" t="s">
        <v>999</v>
      </c>
      <c r="H44" s="3" t="s">
        <v>836</v>
      </c>
      <c r="K44" s="3" t="s">
        <v>701</v>
      </c>
      <c r="L44" s="3" t="s">
        <v>88</v>
      </c>
      <c r="M44" s="3" t="s">
        <v>9</v>
      </c>
    </row>
    <row r="45" spans="1:13">
      <c r="A45" s="29">
        <v>42737.699444444443</v>
      </c>
      <c r="B45" s="29" t="str">
        <f>PROPER(TEXT(tbLOG[[#This Row],[DATA/HORA]],"mmmm"))</f>
        <v>Janeiro</v>
      </c>
      <c r="C45" s="34" t="str">
        <f>PROPER(TEXT(tbLOG[[#This Row],[DATA/HORA]],"dddd"))</f>
        <v>Segunda-Feira</v>
      </c>
      <c r="D45" s="3" t="s">
        <v>324</v>
      </c>
      <c r="E45" s="34" t="str">
        <f>IFERROR(VLOOKUP(tbLOG[[#This Row],[LOGIN]],tbMAPA[#All],2,0), "Não localizado")</f>
        <v>Caio Eiji Arai</v>
      </c>
      <c r="F45" s="34" t="str">
        <f>IFERROR(VLOOKUP(tbLOG[[#This Row],[LOGIN]],tbMAPA[#All],3,0), "Não localizado")</f>
        <v>Vinicius Loula De Sousa</v>
      </c>
      <c r="G45" s="3" t="s">
        <v>999</v>
      </c>
      <c r="H45" s="3" t="s">
        <v>836</v>
      </c>
      <c r="K45" s="3" t="s">
        <v>319</v>
      </c>
      <c r="L45" s="3" t="s">
        <v>83</v>
      </c>
      <c r="M45" s="3" t="s">
        <v>9</v>
      </c>
    </row>
    <row r="46" spans="1:13">
      <c r="A46" s="29">
        <v>42737.699525462966</v>
      </c>
      <c r="B46" s="29" t="str">
        <f>PROPER(TEXT(tbLOG[[#This Row],[DATA/HORA]],"mmmm"))</f>
        <v>Janeiro</v>
      </c>
      <c r="C46" s="34" t="str">
        <f>PROPER(TEXT(tbLOG[[#This Row],[DATA/HORA]],"dddd"))</f>
        <v>Segunda-Feira</v>
      </c>
      <c r="D46" s="3" t="s">
        <v>324</v>
      </c>
      <c r="E46" s="34" t="str">
        <f>IFERROR(VLOOKUP(tbLOG[[#This Row],[LOGIN]],tbMAPA[#All],2,0), "Não localizado")</f>
        <v>Caio Eiji Arai</v>
      </c>
      <c r="F46" s="34" t="str">
        <f>IFERROR(VLOOKUP(tbLOG[[#This Row],[LOGIN]],tbMAPA[#All],3,0), "Não localizado")</f>
        <v>Vinicius Loula De Sousa</v>
      </c>
      <c r="G46" s="3" t="s">
        <v>999</v>
      </c>
      <c r="H46" s="3" t="s">
        <v>836</v>
      </c>
      <c r="K46" s="3" t="s">
        <v>702</v>
      </c>
      <c r="L46" s="3" t="s">
        <v>95</v>
      </c>
      <c r="M46" s="3" t="s">
        <v>9</v>
      </c>
    </row>
    <row r="47" spans="1:13">
      <c r="A47" s="29">
        <v>42737.702986111108</v>
      </c>
      <c r="B47" s="29" t="str">
        <f>PROPER(TEXT(tbLOG[[#This Row],[DATA/HORA]],"mmmm"))</f>
        <v>Janeiro</v>
      </c>
      <c r="C47" s="34" t="str">
        <f>PROPER(TEXT(tbLOG[[#This Row],[DATA/HORA]],"dddd"))</f>
        <v>Segunda-Feira</v>
      </c>
      <c r="D47" s="3" t="s">
        <v>324</v>
      </c>
      <c r="E47" s="34" t="str">
        <f>IFERROR(VLOOKUP(tbLOG[[#This Row],[LOGIN]],tbMAPA[#All],2,0), "Não localizado")</f>
        <v>Caio Eiji Arai</v>
      </c>
      <c r="F47" s="34" t="str">
        <f>IFERROR(VLOOKUP(tbLOG[[#This Row],[LOGIN]],tbMAPA[#All],3,0), "Não localizado")</f>
        <v>Vinicius Loula De Sousa</v>
      </c>
      <c r="G47" s="3" t="s">
        <v>999</v>
      </c>
      <c r="H47" s="3" t="s">
        <v>836</v>
      </c>
      <c r="K47" s="3" t="s">
        <v>703</v>
      </c>
      <c r="L47" s="3" t="s">
        <v>114</v>
      </c>
      <c r="M47" s="3" t="s">
        <v>31</v>
      </c>
    </row>
    <row r="48" spans="1:13">
      <c r="A48" s="29">
        <v>42737.703136574077</v>
      </c>
      <c r="B48" s="29" t="str">
        <f>PROPER(TEXT(tbLOG[[#This Row],[DATA/HORA]],"mmmm"))</f>
        <v>Janeiro</v>
      </c>
      <c r="C48" s="34" t="str">
        <f>PROPER(TEXT(tbLOG[[#This Row],[DATA/HORA]],"dddd"))</f>
        <v>Segunda-Feira</v>
      </c>
      <c r="D48" s="3" t="s">
        <v>324</v>
      </c>
      <c r="E48" s="34" t="str">
        <f>IFERROR(VLOOKUP(tbLOG[[#This Row],[LOGIN]],tbMAPA[#All],2,0), "Não localizado")</f>
        <v>Caio Eiji Arai</v>
      </c>
      <c r="F48" s="34" t="str">
        <f>IFERROR(VLOOKUP(tbLOG[[#This Row],[LOGIN]],tbMAPA[#All],3,0), "Não localizado")</f>
        <v>Vinicius Loula De Sousa</v>
      </c>
      <c r="G48" s="3" t="s">
        <v>999</v>
      </c>
      <c r="H48" s="3" t="s">
        <v>836</v>
      </c>
      <c r="K48" s="3" t="s">
        <v>704</v>
      </c>
      <c r="L48" s="3" t="s">
        <v>68</v>
      </c>
      <c r="M48" s="3" t="s">
        <v>9</v>
      </c>
    </row>
    <row r="49" spans="1:13">
      <c r="A49" s="29">
        <v>42737.703194444446</v>
      </c>
      <c r="B49" s="29" t="str">
        <f>PROPER(TEXT(tbLOG[[#This Row],[DATA/HORA]],"mmmm"))</f>
        <v>Janeiro</v>
      </c>
      <c r="C49" s="34" t="str">
        <f>PROPER(TEXT(tbLOG[[#This Row],[DATA/HORA]],"dddd"))</f>
        <v>Segunda-Feira</v>
      </c>
      <c r="D49" s="3" t="s">
        <v>324</v>
      </c>
      <c r="E49" s="34" t="str">
        <f>IFERROR(VLOOKUP(tbLOG[[#This Row],[LOGIN]],tbMAPA[#All],2,0), "Não localizado")</f>
        <v>Caio Eiji Arai</v>
      </c>
      <c r="F49" s="34" t="str">
        <f>IFERROR(VLOOKUP(tbLOG[[#This Row],[LOGIN]],tbMAPA[#All],3,0), "Não localizado")</f>
        <v>Vinicius Loula De Sousa</v>
      </c>
      <c r="G49" s="3" t="s">
        <v>999</v>
      </c>
      <c r="H49" s="3" t="s">
        <v>836</v>
      </c>
      <c r="K49" s="3" t="s">
        <v>705</v>
      </c>
      <c r="L49" s="3" t="s">
        <v>110</v>
      </c>
      <c r="M49" s="3" t="s">
        <v>9</v>
      </c>
    </row>
    <row r="50" spans="1:13">
      <c r="A50" s="29">
        <v>42737.7033912037</v>
      </c>
      <c r="B50" s="29" t="str">
        <f>PROPER(TEXT(tbLOG[[#This Row],[DATA/HORA]],"mmmm"))</f>
        <v>Janeiro</v>
      </c>
      <c r="C50" s="34" t="str">
        <f>PROPER(TEXT(tbLOG[[#This Row],[DATA/HORA]],"dddd"))</f>
        <v>Segunda-Feira</v>
      </c>
      <c r="D50" s="3" t="s">
        <v>324</v>
      </c>
      <c r="E50" s="34" t="str">
        <f>IFERROR(VLOOKUP(tbLOG[[#This Row],[LOGIN]],tbMAPA[#All],2,0), "Não localizado")</f>
        <v>Caio Eiji Arai</v>
      </c>
      <c r="F50" s="34" t="str">
        <f>IFERROR(VLOOKUP(tbLOG[[#This Row],[LOGIN]],tbMAPA[#All],3,0), "Não localizado")</f>
        <v>Vinicius Loula De Sousa</v>
      </c>
      <c r="G50" s="3" t="s">
        <v>999</v>
      </c>
      <c r="H50" s="3" t="s">
        <v>836</v>
      </c>
      <c r="K50" s="3" t="s">
        <v>706</v>
      </c>
      <c r="L50" s="3" t="s">
        <v>112</v>
      </c>
      <c r="M50" s="3" t="s">
        <v>9</v>
      </c>
    </row>
    <row r="51" spans="1:13">
      <c r="A51" s="29">
        <v>42737.703472222223</v>
      </c>
      <c r="B51" s="29" t="str">
        <f>PROPER(TEXT(tbLOG[[#This Row],[DATA/HORA]],"mmmm"))</f>
        <v>Janeiro</v>
      </c>
      <c r="C51" s="34" t="str">
        <f>PROPER(TEXT(tbLOG[[#This Row],[DATA/HORA]],"dddd"))</f>
        <v>Segunda-Feira</v>
      </c>
      <c r="D51" s="3" t="s">
        <v>324</v>
      </c>
      <c r="E51" s="34" t="str">
        <f>IFERROR(VLOOKUP(tbLOG[[#This Row],[LOGIN]],tbMAPA[#All],2,0), "Não localizado")</f>
        <v>Caio Eiji Arai</v>
      </c>
      <c r="F51" s="34" t="str">
        <f>IFERROR(VLOOKUP(tbLOG[[#This Row],[LOGIN]],tbMAPA[#All],3,0), "Não localizado")</f>
        <v>Vinicius Loula De Sousa</v>
      </c>
      <c r="G51" s="3" t="s">
        <v>999</v>
      </c>
      <c r="H51" s="3" t="s">
        <v>836</v>
      </c>
      <c r="K51" s="3" t="s">
        <v>707</v>
      </c>
      <c r="L51" s="3" t="s">
        <v>621</v>
      </c>
      <c r="M51" s="3" t="s">
        <v>9</v>
      </c>
    </row>
    <row r="52" spans="1:13">
      <c r="A52" s="29">
        <v>42737.703530092593</v>
      </c>
      <c r="B52" s="29" t="str">
        <f>PROPER(TEXT(tbLOG[[#This Row],[DATA/HORA]],"mmmm"))</f>
        <v>Janeiro</v>
      </c>
      <c r="C52" s="34" t="str">
        <f>PROPER(TEXT(tbLOG[[#This Row],[DATA/HORA]],"dddd"))</f>
        <v>Segunda-Feira</v>
      </c>
      <c r="D52" s="3" t="s">
        <v>324</v>
      </c>
      <c r="E52" s="34" t="str">
        <f>IFERROR(VLOOKUP(tbLOG[[#This Row],[LOGIN]],tbMAPA[#All],2,0), "Não localizado")</f>
        <v>Caio Eiji Arai</v>
      </c>
      <c r="F52" s="34" t="str">
        <f>IFERROR(VLOOKUP(tbLOG[[#This Row],[LOGIN]],tbMAPA[#All],3,0), "Não localizado")</f>
        <v>Vinicius Loula De Sousa</v>
      </c>
      <c r="G52" s="3" t="s">
        <v>999</v>
      </c>
      <c r="H52" s="3" t="s">
        <v>836</v>
      </c>
      <c r="K52" s="3" t="s">
        <v>708</v>
      </c>
      <c r="L52" s="3" t="s">
        <v>622</v>
      </c>
      <c r="M52" s="3" t="s">
        <v>39</v>
      </c>
    </row>
    <row r="53" spans="1:13">
      <c r="A53" s="29">
        <v>42737.706238425926</v>
      </c>
      <c r="B53" s="29" t="str">
        <f>PROPER(TEXT(tbLOG[[#This Row],[DATA/HORA]],"mmmm"))</f>
        <v>Janeiro</v>
      </c>
      <c r="C53" s="34" t="str">
        <f>PROPER(TEXT(tbLOG[[#This Row],[DATA/HORA]],"dddd"))</f>
        <v>Segunda-Feira</v>
      </c>
      <c r="D53" s="3" t="s">
        <v>324</v>
      </c>
      <c r="E53" s="34" t="str">
        <f>IFERROR(VLOOKUP(tbLOG[[#This Row],[LOGIN]],tbMAPA[#All],2,0), "Não localizado")</f>
        <v>Caio Eiji Arai</v>
      </c>
      <c r="F53" s="34" t="str">
        <f>IFERROR(VLOOKUP(tbLOG[[#This Row],[LOGIN]],tbMAPA[#All],3,0), "Não localizado")</f>
        <v>Vinicius Loula De Sousa</v>
      </c>
      <c r="G53" s="3" t="s">
        <v>999</v>
      </c>
      <c r="H53" s="3" t="s">
        <v>836</v>
      </c>
      <c r="K53" s="3" t="s">
        <v>330</v>
      </c>
      <c r="L53" s="3" t="s">
        <v>623</v>
      </c>
      <c r="M53" s="3" t="s">
        <v>9</v>
      </c>
    </row>
    <row r="54" spans="1:13">
      <c r="A54" s="29">
        <v>42737.706284722219</v>
      </c>
      <c r="B54" s="29" t="str">
        <f>PROPER(TEXT(tbLOG[[#This Row],[DATA/HORA]],"mmmm"))</f>
        <v>Janeiro</v>
      </c>
      <c r="C54" s="34" t="str">
        <f>PROPER(TEXT(tbLOG[[#This Row],[DATA/HORA]],"dddd"))</f>
        <v>Segunda-Feira</v>
      </c>
      <c r="D54" s="3" t="s">
        <v>324</v>
      </c>
      <c r="E54" s="34" t="str">
        <f>IFERROR(VLOOKUP(tbLOG[[#This Row],[LOGIN]],tbMAPA[#All],2,0), "Não localizado")</f>
        <v>Caio Eiji Arai</v>
      </c>
      <c r="F54" s="34" t="str">
        <f>IFERROR(VLOOKUP(tbLOG[[#This Row],[LOGIN]],tbMAPA[#All],3,0), "Não localizado")</f>
        <v>Vinicius Loula De Sousa</v>
      </c>
      <c r="G54" s="3" t="s">
        <v>999</v>
      </c>
      <c r="H54" s="3" t="s">
        <v>836</v>
      </c>
      <c r="K54" s="3" t="s">
        <v>709</v>
      </c>
      <c r="L54" s="3" t="s">
        <v>243</v>
      </c>
      <c r="M54" s="3" t="s">
        <v>39</v>
      </c>
    </row>
    <row r="55" spans="1:13">
      <c r="A55" s="29">
        <v>42737.706377314818</v>
      </c>
      <c r="B55" s="29" t="str">
        <f>PROPER(TEXT(tbLOG[[#This Row],[DATA/HORA]],"mmmm"))</f>
        <v>Janeiro</v>
      </c>
      <c r="C55" s="34" t="str">
        <f>PROPER(TEXT(tbLOG[[#This Row],[DATA/HORA]],"dddd"))</f>
        <v>Segunda-Feira</v>
      </c>
      <c r="D55" s="3" t="s">
        <v>324</v>
      </c>
      <c r="E55" s="34" t="str">
        <f>IFERROR(VLOOKUP(tbLOG[[#This Row],[LOGIN]],tbMAPA[#All],2,0), "Não localizado")</f>
        <v>Caio Eiji Arai</v>
      </c>
      <c r="F55" s="34" t="str">
        <f>IFERROR(VLOOKUP(tbLOG[[#This Row],[LOGIN]],tbMAPA[#All],3,0), "Não localizado")</f>
        <v>Vinicius Loula De Sousa</v>
      </c>
      <c r="G55" s="3" t="s">
        <v>999</v>
      </c>
      <c r="H55" s="3" t="s">
        <v>836</v>
      </c>
      <c r="K55" s="3" t="s">
        <v>710</v>
      </c>
      <c r="L55" s="3" t="s">
        <v>197</v>
      </c>
      <c r="M55" s="3" t="s">
        <v>31</v>
      </c>
    </row>
    <row r="56" spans="1:13">
      <c r="A56" s="29">
        <v>42737.706435185188</v>
      </c>
      <c r="B56" s="29" t="str">
        <f>PROPER(TEXT(tbLOG[[#This Row],[DATA/HORA]],"mmmm"))</f>
        <v>Janeiro</v>
      </c>
      <c r="C56" s="34" t="str">
        <f>PROPER(TEXT(tbLOG[[#This Row],[DATA/HORA]],"dddd"))</f>
        <v>Segunda-Feira</v>
      </c>
      <c r="D56" s="3" t="s">
        <v>324</v>
      </c>
      <c r="E56" s="34" t="str">
        <f>IFERROR(VLOOKUP(tbLOG[[#This Row],[LOGIN]],tbMAPA[#All],2,0), "Não localizado")</f>
        <v>Caio Eiji Arai</v>
      </c>
      <c r="F56" s="34" t="str">
        <f>IFERROR(VLOOKUP(tbLOG[[#This Row],[LOGIN]],tbMAPA[#All],3,0), "Não localizado")</f>
        <v>Vinicius Loula De Sousa</v>
      </c>
      <c r="G56" s="3" t="s">
        <v>999</v>
      </c>
      <c r="H56" s="3" t="s">
        <v>836</v>
      </c>
      <c r="K56" s="3" t="s">
        <v>711</v>
      </c>
      <c r="L56" s="3" t="s">
        <v>161</v>
      </c>
      <c r="M56" s="3" t="s">
        <v>23</v>
      </c>
    </row>
    <row r="57" spans="1:13">
      <c r="A57" s="29">
        <v>42737.706493055557</v>
      </c>
      <c r="B57" s="29" t="str">
        <f>PROPER(TEXT(tbLOG[[#This Row],[DATA/HORA]],"mmmm"))</f>
        <v>Janeiro</v>
      </c>
      <c r="C57" s="34" t="str">
        <f>PROPER(TEXT(tbLOG[[#This Row],[DATA/HORA]],"dddd"))</f>
        <v>Segunda-Feira</v>
      </c>
      <c r="D57" s="3" t="s">
        <v>324</v>
      </c>
      <c r="E57" s="34" t="str">
        <f>IFERROR(VLOOKUP(tbLOG[[#This Row],[LOGIN]],tbMAPA[#All],2,0), "Não localizado")</f>
        <v>Caio Eiji Arai</v>
      </c>
      <c r="F57" s="34" t="str">
        <f>IFERROR(VLOOKUP(tbLOG[[#This Row],[LOGIN]],tbMAPA[#All],3,0), "Não localizado")</f>
        <v>Vinicius Loula De Sousa</v>
      </c>
      <c r="G57" s="3" t="s">
        <v>999</v>
      </c>
      <c r="H57" s="3" t="s">
        <v>836</v>
      </c>
      <c r="K57" s="3" t="s">
        <v>712</v>
      </c>
      <c r="L57" s="3" t="s">
        <v>199</v>
      </c>
      <c r="M57" s="3" t="s">
        <v>23</v>
      </c>
    </row>
    <row r="58" spans="1:13">
      <c r="A58" s="29">
        <v>42737.707731481481</v>
      </c>
      <c r="B58" s="29" t="str">
        <f>PROPER(TEXT(tbLOG[[#This Row],[DATA/HORA]],"mmmm"))</f>
        <v>Janeiro</v>
      </c>
      <c r="C58" s="34" t="str">
        <f>PROPER(TEXT(tbLOG[[#This Row],[DATA/HORA]],"dddd"))</f>
        <v>Segunda-Feira</v>
      </c>
      <c r="D58" s="3" t="s">
        <v>324</v>
      </c>
      <c r="E58" s="34" t="str">
        <f>IFERROR(VLOOKUP(tbLOG[[#This Row],[LOGIN]],tbMAPA[#All],2,0), "Não localizado")</f>
        <v>Caio Eiji Arai</v>
      </c>
      <c r="F58" s="34" t="str">
        <f>IFERROR(VLOOKUP(tbLOG[[#This Row],[LOGIN]],tbMAPA[#All],3,0), "Não localizado")</f>
        <v>Vinicius Loula De Sousa</v>
      </c>
      <c r="G58" s="3" t="s">
        <v>999</v>
      </c>
      <c r="H58" s="3" t="s">
        <v>836</v>
      </c>
      <c r="K58" s="3" t="s">
        <v>713</v>
      </c>
      <c r="L58" s="3" t="s">
        <v>138</v>
      </c>
      <c r="M58" s="3" t="s">
        <v>23</v>
      </c>
    </row>
    <row r="59" spans="1:13">
      <c r="A59" s="29">
        <v>42737.729560185187</v>
      </c>
      <c r="B59" s="29" t="str">
        <f>PROPER(TEXT(tbLOG[[#This Row],[DATA/HORA]],"mmmm"))</f>
        <v>Janeiro</v>
      </c>
      <c r="C59" s="34" t="str">
        <f>PROPER(TEXT(tbLOG[[#This Row],[DATA/HORA]],"dddd"))</f>
        <v>Segunda-Feira</v>
      </c>
      <c r="D59" s="3" t="s">
        <v>324</v>
      </c>
      <c r="E59" s="34" t="str">
        <f>IFERROR(VLOOKUP(tbLOG[[#This Row],[LOGIN]],tbMAPA[#All],2,0), "Não localizado")</f>
        <v>Caio Eiji Arai</v>
      </c>
      <c r="F59" s="34" t="str">
        <f>IFERROR(VLOOKUP(tbLOG[[#This Row],[LOGIN]],tbMAPA[#All],3,0), "Não localizado")</f>
        <v>Vinicius Loula De Sousa</v>
      </c>
      <c r="G59" s="3" t="s">
        <v>999</v>
      </c>
      <c r="H59" s="3" t="s">
        <v>836</v>
      </c>
      <c r="K59" s="3" t="s">
        <v>714</v>
      </c>
      <c r="L59" s="3" t="s">
        <v>184</v>
      </c>
      <c r="M59" s="3" t="s">
        <v>23</v>
      </c>
    </row>
    <row r="60" spans="1:13">
      <c r="A60" s="29">
        <v>42737.72960648148</v>
      </c>
      <c r="B60" s="29" t="str">
        <f>PROPER(TEXT(tbLOG[[#This Row],[DATA/HORA]],"mmmm"))</f>
        <v>Janeiro</v>
      </c>
      <c r="C60" s="34" t="str">
        <f>PROPER(TEXT(tbLOG[[#This Row],[DATA/HORA]],"dddd"))</f>
        <v>Segunda-Feira</v>
      </c>
      <c r="D60" s="3" t="s">
        <v>324</v>
      </c>
      <c r="E60" s="34" t="str">
        <f>IFERROR(VLOOKUP(tbLOG[[#This Row],[LOGIN]],tbMAPA[#All],2,0), "Não localizado")</f>
        <v>Caio Eiji Arai</v>
      </c>
      <c r="F60" s="34" t="str">
        <f>IFERROR(VLOOKUP(tbLOG[[#This Row],[LOGIN]],tbMAPA[#All],3,0), "Não localizado")</f>
        <v>Vinicius Loula De Sousa</v>
      </c>
      <c r="G60" s="3" t="s">
        <v>999</v>
      </c>
      <c r="H60" s="3" t="s">
        <v>836</v>
      </c>
      <c r="K60" s="3" t="s">
        <v>321</v>
      </c>
      <c r="L60" s="3" t="s">
        <v>136</v>
      </c>
      <c r="M60" s="3" t="s">
        <v>23</v>
      </c>
    </row>
    <row r="61" spans="1:13">
      <c r="A61" s="29">
        <v>42737.729664351849</v>
      </c>
      <c r="B61" s="29" t="str">
        <f>PROPER(TEXT(tbLOG[[#This Row],[DATA/HORA]],"mmmm"))</f>
        <v>Janeiro</v>
      </c>
      <c r="C61" s="34" t="str">
        <f>PROPER(TEXT(tbLOG[[#This Row],[DATA/HORA]],"dddd"))</f>
        <v>Segunda-Feira</v>
      </c>
      <c r="D61" s="3" t="s">
        <v>324</v>
      </c>
      <c r="E61" s="34" t="str">
        <f>IFERROR(VLOOKUP(tbLOG[[#This Row],[LOGIN]],tbMAPA[#All],2,0), "Não localizado")</f>
        <v>Caio Eiji Arai</v>
      </c>
      <c r="F61" s="34" t="str">
        <f>IFERROR(VLOOKUP(tbLOG[[#This Row],[LOGIN]],tbMAPA[#All],3,0), "Não localizado")</f>
        <v>Vinicius Loula De Sousa</v>
      </c>
      <c r="G61" s="3" t="s">
        <v>999</v>
      </c>
      <c r="H61" s="3" t="s">
        <v>836</v>
      </c>
      <c r="K61" s="3" t="s">
        <v>324</v>
      </c>
      <c r="L61" s="3" t="s">
        <v>624</v>
      </c>
      <c r="M61" s="3" t="s">
        <v>23</v>
      </c>
    </row>
    <row r="62" spans="1:13">
      <c r="A62" s="29">
        <v>42737.729687500003</v>
      </c>
      <c r="B62" s="29" t="str">
        <f>PROPER(TEXT(tbLOG[[#This Row],[DATA/HORA]],"mmmm"))</f>
        <v>Janeiro</v>
      </c>
      <c r="C62" s="34" t="str">
        <f>PROPER(TEXT(tbLOG[[#This Row],[DATA/HORA]],"dddd"))</f>
        <v>Segunda-Feira</v>
      </c>
      <c r="D62" s="3" t="s">
        <v>324</v>
      </c>
      <c r="E62" s="34" t="str">
        <f>IFERROR(VLOOKUP(tbLOG[[#This Row],[LOGIN]],tbMAPA[#All],2,0), "Não localizado")</f>
        <v>Caio Eiji Arai</v>
      </c>
      <c r="F62" s="34" t="str">
        <f>IFERROR(VLOOKUP(tbLOG[[#This Row],[LOGIN]],tbMAPA[#All],3,0), "Não localizado")</f>
        <v>Vinicius Loula De Sousa</v>
      </c>
      <c r="G62" s="3" t="s">
        <v>999</v>
      </c>
      <c r="H62" s="3" t="s">
        <v>836</v>
      </c>
      <c r="K62" s="3" t="s">
        <v>715</v>
      </c>
      <c r="L62" s="3" t="s">
        <v>190</v>
      </c>
      <c r="M62" s="3" t="s">
        <v>23</v>
      </c>
    </row>
    <row r="63" spans="1:13">
      <c r="A63" s="29">
        <v>42737.729699074072</v>
      </c>
      <c r="B63" s="29" t="str">
        <f>PROPER(TEXT(tbLOG[[#This Row],[DATA/HORA]],"mmmm"))</f>
        <v>Janeiro</v>
      </c>
      <c r="C63" s="34" t="str">
        <f>PROPER(TEXT(tbLOG[[#This Row],[DATA/HORA]],"dddd"))</f>
        <v>Segunda-Feira</v>
      </c>
      <c r="D63" s="3" t="s">
        <v>324</v>
      </c>
      <c r="E63" s="34" t="str">
        <f>IFERROR(VLOOKUP(tbLOG[[#This Row],[LOGIN]],tbMAPA[#All],2,0), "Não localizado")</f>
        <v>Caio Eiji Arai</v>
      </c>
      <c r="F63" s="34" t="str">
        <f>IFERROR(VLOOKUP(tbLOG[[#This Row],[LOGIN]],tbMAPA[#All],3,0), "Não localizado")</f>
        <v>Vinicius Loula De Sousa</v>
      </c>
      <c r="G63" s="3" t="s">
        <v>999</v>
      </c>
      <c r="H63" s="3" t="s">
        <v>836</v>
      </c>
      <c r="K63" s="3" t="s">
        <v>716</v>
      </c>
      <c r="L63" s="3" t="s">
        <v>625</v>
      </c>
      <c r="M63" s="3" t="s">
        <v>23</v>
      </c>
    </row>
    <row r="64" spans="1:13">
      <c r="A64" s="29">
        <v>42737.729733796295</v>
      </c>
      <c r="B64" s="29" t="str">
        <f>PROPER(TEXT(tbLOG[[#This Row],[DATA/HORA]],"mmmm"))</f>
        <v>Janeiro</v>
      </c>
      <c r="C64" s="34" t="str">
        <f>PROPER(TEXT(tbLOG[[#This Row],[DATA/HORA]],"dddd"))</f>
        <v>Segunda-Feira</v>
      </c>
      <c r="D64" s="3" t="s">
        <v>324</v>
      </c>
      <c r="E64" s="34" t="str">
        <f>IFERROR(VLOOKUP(tbLOG[[#This Row],[LOGIN]],tbMAPA[#All],2,0), "Não localizado")</f>
        <v>Caio Eiji Arai</v>
      </c>
      <c r="F64" s="34" t="str">
        <f>IFERROR(VLOOKUP(tbLOG[[#This Row],[LOGIN]],tbMAPA[#All],3,0), "Não localizado")</f>
        <v>Vinicius Loula De Sousa</v>
      </c>
      <c r="G64" s="3" t="s">
        <v>999</v>
      </c>
      <c r="H64" s="3" t="s">
        <v>836</v>
      </c>
      <c r="K64" s="3" t="s">
        <v>717</v>
      </c>
      <c r="L64" s="3" t="s">
        <v>194</v>
      </c>
      <c r="M64" s="3" t="s">
        <v>23</v>
      </c>
    </row>
    <row r="65" spans="1:13">
      <c r="A65" s="29">
        <v>42737.729756944442</v>
      </c>
      <c r="B65" s="29" t="str">
        <f>PROPER(TEXT(tbLOG[[#This Row],[DATA/HORA]],"mmmm"))</f>
        <v>Janeiro</v>
      </c>
      <c r="C65" s="34" t="str">
        <f>PROPER(TEXT(tbLOG[[#This Row],[DATA/HORA]],"dddd"))</f>
        <v>Segunda-Feira</v>
      </c>
      <c r="D65" s="3" t="s">
        <v>324</v>
      </c>
      <c r="E65" s="34" t="str">
        <f>IFERROR(VLOOKUP(tbLOG[[#This Row],[LOGIN]],tbMAPA[#All],2,0), "Não localizado")</f>
        <v>Caio Eiji Arai</v>
      </c>
      <c r="F65" s="34" t="str">
        <f>IFERROR(VLOOKUP(tbLOG[[#This Row],[LOGIN]],tbMAPA[#All],3,0), "Não localizado")</f>
        <v>Vinicius Loula De Sousa</v>
      </c>
      <c r="G65" s="3" t="s">
        <v>999</v>
      </c>
      <c r="H65" s="3" t="s">
        <v>836</v>
      </c>
      <c r="K65" s="3" t="s">
        <v>718</v>
      </c>
      <c r="L65" s="3" t="s">
        <v>150</v>
      </c>
      <c r="M65" s="3" t="s">
        <v>23</v>
      </c>
    </row>
    <row r="66" spans="1:13">
      <c r="A66" s="29">
        <v>42737.729780092595</v>
      </c>
      <c r="B66" s="29" t="str">
        <f>PROPER(TEXT(tbLOG[[#This Row],[DATA/HORA]],"mmmm"))</f>
        <v>Janeiro</v>
      </c>
      <c r="C66" s="34" t="str">
        <f>PROPER(TEXT(tbLOG[[#This Row],[DATA/HORA]],"dddd"))</f>
        <v>Segunda-Feira</v>
      </c>
      <c r="D66" s="3" t="s">
        <v>324</v>
      </c>
      <c r="E66" s="34" t="str">
        <f>IFERROR(VLOOKUP(tbLOG[[#This Row],[LOGIN]],tbMAPA[#All],2,0), "Não localizado")</f>
        <v>Caio Eiji Arai</v>
      </c>
      <c r="F66" s="34" t="str">
        <f>IFERROR(VLOOKUP(tbLOG[[#This Row],[LOGIN]],tbMAPA[#All],3,0), "Não localizado")</f>
        <v>Vinicius Loula De Sousa</v>
      </c>
      <c r="G66" s="3" t="s">
        <v>999</v>
      </c>
      <c r="H66" s="3" t="s">
        <v>836</v>
      </c>
      <c r="K66" s="3" t="s">
        <v>719</v>
      </c>
      <c r="L66" s="3" t="s">
        <v>155</v>
      </c>
      <c r="M66" s="3" t="s">
        <v>23</v>
      </c>
    </row>
    <row r="67" spans="1:13">
      <c r="A67" s="29">
        <v>42737.729861111111</v>
      </c>
      <c r="B67" s="29" t="str">
        <f>PROPER(TEXT(tbLOG[[#This Row],[DATA/HORA]],"mmmm"))</f>
        <v>Janeiro</v>
      </c>
      <c r="C67" s="34" t="str">
        <f>PROPER(TEXT(tbLOG[[#This Row],[DATA/HORA]],"dddd"))</f>
        <v>Segunda-Feira</v>
      </c>
      <c r="D67" s="3" t="s">
        <v>324</v>
      </c>
      <c r="E67" s="34" t="str">
        <f>IFERROR(VLOOKUP(tbLOG[[#This Row],[LOGIN]],tbMAPA[#All],2,0), "Não localizado")</f>
        <v>Caio Eiji Arai</v>
      </c>
      <c r="F67" s="34" t="str">
        <f>IFERROR(VLOOKUP(tbLOG[[#This Row],[LOGIN]],tbMAPA[#All],3,0), "Não localizado")</f>
        <v>Vinicius Loula De Sousa</v>
      </c>
      <c r="G67" s="3" t="s">
        <v>999</v>
      </c>
      <c r="H67" s="3" t="s">
        <v>836</v>
      </c>
      <c r="K67" s="3" t="s">
        <v>720</v>
      </c>
      <c r="L67" s="3" t="s">
        <v>120</v>
      </c>
      <c r="M67" s="3" t="s">
        <v>23</v>
      </c>
    </row>
    <row r="68" spans="1:13">
      <c r="A68" s="29">
        <v>42737.731076388889</v>
      </c>
      <c r="B68" s="29" t="str">
        <f>PROPER(TEXT(tbLOG[[#This Row],[DATA/HORA]],"mmmm"))</f>
        <v>Janeiro</v>
      </c>
      <c r="C68" s="34" t="str">
        <f>PROPER(TEXT(tbLOG[[#This Row],[DATA/HORA]],"dddd"))</f>
        <v>Segunda-Feira</v>
      </c>
      <c r="D68" s="3" t="s">
        <v>324</v>
      </c>
      <c r="E68" s="34" t="str">
        <f>IFERROR(VLOOKUP(tbLOG[[#This Row],[LOGIN]],tbMAPA[#All],2,0), "Não localizado")</f>
        <v>Caio Eiji Arai</v>
      </c>
      <c r="F68" s="34" t="str">
        <f>IFERROR(VLOOKUP(tbLOG[[#This Row],[LOGIN]],tbMAPA[#All],3,0), "Não localizado")</f>
        <v>Vinicius Loula De Sousa</v>
      </c>
      <c r="G68" s="3" t="s">
        <v>999</v>
      </c>
      <c r="H68" s="3" t="s">
        <v>836</v>
      </c>
      <c r="K68" s="3" t="s">
        <v>721</v>
      </c>
      <c r="L68" s="3" t="s">
        <v>185</v>
      </c>
      <c r="M68" s="3" t="s">
        <v>23</v>
      </c>
    </row>
    <row r="69" spans="1:13">
      <c r="A69" s="29">
        <v>42737.737928240742</v>
      </c>
      <c r="B69" s="29" t="str">
        <f>PROPER(TEXT(tbLOG[[#This Row],[DATA/HORA]],"mmmm"))</f>
        <v>Janeiro</v>
      </c>
      <c r="C69" s="34" t="str">
        <f>PROPER(TEXT(tbLOG[[#This Row],[DATA/HORA]],"dddd"))</f>
        <v>Segunda-Feira</v>
      </c>
      <c r="D69" s="3" t="s">
        <v>324</v>
      </c>
      <c r="E69" s="34" t="str">
        <f>IFERROR(VLOOKUP(tbLOG[[#This Row],[LOGIN]],tbMAPA[#All],2,0), "Não localizado")</f>
        <v>Caio Eiji Arai</v>
      </c>
      <c r="F69" s="34" t="str">
        <f>IFERROR(VLOOKUP(tbLOG[[#This Row],[LOGIN]],tbMAPA[#All],3,0), "Não localizado")</f>
        <v>Vinicius Loula De Sousa</v>
      </c>
      <c r="G69" s="3" t="s">
        <v>999</v>
      </c>
      <c r="H69" s="3" t="s">
        <v>836</v>
      </c>
      <c r="K69" s="3" t="s">
        <v>722</v>
      </c>
      <c r="L69" s="3" t="s">
        <v>626</v>
      </c>
      <c r="M69" s="3" t="s">
        <v>39</v>
      </c>
    </row>
    <row r="70" spans="1:13">
      <c r="A70" s="29">
        <v>42737.738032407404</v>
      </c>
      <c r="B70" s="29" t="str">
        <f>PROPER(TEXT(tbLOG[[#This Row],[DATA/HORA]],"mmmm"))</f>
        <v>Janeiro</v>
      </c>
      <c r="C70" s="34" t="str">
        <f>PROPER(TEXT(tbLOG[[#This Row],[DATA/HORA]],"dddd"))</f>
        <v>Segunda-Feira</v>
      </c>
      <c r="D70" s="3" t="s">
        <v>324</v>
      </c>
      <c r="E70" s="34" t="str">
        <f>IFERROR(VLOOKUP(tbLOG[[#This Row],[LOGIN]],tbMAPA[#All],2,0), "Não localizado")</f>
        <v>Caio Eiji Arai</v>
      </c>
      <c r="F70" s="34" t="str">
        <f>IFERROR(VLOOKUP(tbLOG[[#This Row],[LOGIN]],tbMAPA[#All],3,0), "Não localizado")</f>
        <v>Vinicius Loula De Sousa</v>
      </c>
      <c r="G70" s="3" t="s">
        <v>999</v>
      </c>
      <c r="H70" s="3" t="s">
        <v>836</v>
      </c>
      <c r="K70" s="3" t="s">
        <v>723</v>
      </c>
      <c r="L70" s="3" t="s">
        <v>180</v>
      </c>
      <c r="M70" s="3" t="s">
        <v>23</v>
      </c>
    </row>
    <row r="71" spans="1:13">
      <c r="A71" s="29">
        <v>42737.73810185185</v>
      </c>
      <c r="B71" s="29" t="str">
        <f>PROPER(TEXT(tbLOG[[#This Row],[DATA/HORA]],"mmmm"))</f>
        <v>Janeiro</v>
      </c>
      <c r="C71" s="34" t="str">
        <f>PROPER(TEXT(tbLOG[[#This Row],[DATA/HORA]],"dddd"))</f>
        <v>Segunda-Feira</v>
      </c>
      <c r="D71" s="3" t="s">
        <v>324</v>
      </c>
      <c r="E71" s="34" t="str">
        <f>IFERROR(VLOOKUP(tbLOG[[#This Row],[LOGIN]],tbMAPA[#All],2,0), "Não localizado")</f>
        <v>Caio Eiji Arai</v>
      </c>
      <c r="F71" s="34" t="str">
        <f>IFERROR(VLOOKUP(tbLOG[[#This Row],[LOGIN]],tbMAPA[#All],3,0), "Não localizado")</f>
        <v>Vinicius Loula De Sousa</v>
      </c>
      <c r="G71" s="3" t="s">
        <v>999</v>
      </c>
      <c r="H71" s="3" t="s">
        <v>836</v>
      </c>
      <c r="K71" s="3" t="s">
        <v>724</v>
      </c>
      <c r="L71" s="3" t="s">
        <v>130</v>
      </c>
      <c r="M71" s="3" t="s">
        <v>23</v>
      </c>
    </row>
    <row r="72" spans="1:13">
      <c r="A72" s="29">
        <v>42737.73847222222</v>
      </c>
      <c r="B72" s="29" t="str">
        <f>PROPER(TEXT(tbLOG[[#This Row],[DATA/HORA]],"mmmm"))</f>
        <v>Janeiro</v>
      </c>
      <c r="C72" s="34" t="str">
        <f>PROPER(TEXT(tbLOG[[#This Row],[DATA/HORA]],"dddd"))</f>
        <v>Segunda-Feira</v>
      </c>
      <c r="D72" s="3" t="s">
        <v>324</v>
      </c>
      <c r="E72" s="34" t="str">
        <f>IFERROR(VLOOKUP(tbLOG[[#This Row],[LOGIN]],tbMAPA[#All],2,0), "Não localizado")</f>
        <v>Caio Eiji Arai</v>
      </c>
      <c r="F72" s="34" t="str">
        <f>IFERROR(VLOOKUP(tbLOG[[#This Row],[LOGIN]],tbMAPA[#All],3,0), "Não localizado")</f>
        <v>Vinicius Loula De Sousa</v>
      </c>
      <c r="G72" s="3" t="s">
        <v>999</v>
      </c>
      <c r="H72" s="3" t="s">
        <v>836</v>
      </c>
      <c r="K72" s="3" t="s">
        <v>725</v>
      </c>
      <c r="L72" s="3" t="s">
        <v>181</v>
      </c>
      <c r="M72" s="3" t="s">
        <v>23</v>
      </c>
    </row>
    <row r="73" spans="1:13">
      <c r="A73" s="29">
        <v>42737.739027777781</v>
      </c>
      <c r="B73" s="29" t="str">
        <f>PROPER(TEXT(tbLOG[[#This Row],[DATA/HORA]],"mmmm"))</f>
        <v>Janeiro</v>
      </c>
      <c r="C73" s="34" t="str">
        <f>PROPER(TEXT(tbLOG[[#This Row],[DATA/HORA]],"dddd"))</f>
        <v>Segunda-Feira</v>
      </c>
      <c r="D73" s="3" t="s">
        <v>324</v>
      </c>
      <c r="E73" s="34" t="str">
        <f>IFERROR(VLOOKUP(tbLOG[[#This Row],[LOGIN]],tbMAPA[#All],2,0), "Não localizado")</f>
        <v>Caio Eiji Arai</v>
      </c>
      <c r="F73" s="34" t="str">
        <f>IFERROR(VLOOKUP(tbLOG[[#This Row],[LOGIN]],tbMAPA[#All],3,0), "Não localizado")</f>
        <v>Vinicius Loula De Sousa</v>
      </c>
      <c r="G73" s="3" t="s">
        <v>999</v>
      </c>
      <c r="H73" s="3" t="s">
        <v>836</v>
      </c>
      <c r="K73" s="3" t="s">
        <v>726</v>
      </c>
      <c r="L73" s="3" t="s">
        <v>192</v>
      </c>
      <c r="M73" s="3" t="s">
        <v>23</v>
      </c>
    </row>
    <row r="74" spans="1:13">
      <c r="A74" s="29">
        <v>42737.745347222219</v>
      </c>
      <c r="B74" s="29" t="str">
        <f>PROPER(TEXT(tbLOG[[#This Row],[DATA/HORA]],"mmmm"))</f>
        <v>Janeiro</v>
      </c>
      <c r="C74" s="34" t="str">
        <f>PROPER(TEXT(tbLOG[[#This Row],[DATA/HORA]],"dddd"))</f>
        <v>Segunda-Feira</v>
      </c>
      <c r="D74" s="3" t="s">
        <v>324</v>
      </c>
      <c r="E74" s="34" t="str">
        <f>IFERROR(VLOOKUP(tbLOG[[#This Row],[LOGIN]],tbMAPA[#All],2,0), "Não localizado")</f>
        <v>Caio Eiji Arai</v>
      </c>
      <c r="F74" s="34" t="str">
        <f>IFERROR(VLOOKUP(tbLOG[[#This Row],[LOGIN]],tbMAPA[#All],3,0), "Não localizado")</f>
        <v>Vinicius Loula De Sousa</v>
      </c>
      <c r="G74" s="3" t="s">
        <v>999</v>
      </c>
      <c r="H74" s="3" t="s">
        <v>836</v>
      </c>
      <c r="K74" s="3" t="s">
        <v>727</v>
      </c>
      <c r="L74" s="3" t="s">
        <v>132</v>
      </c>
      <c r="M74" s="3" t="s">
        <v>23</v>
      </c>
    </row>
    <row r="75" spans="1:13">
      <c r="A75" s="29">
        <v>42737.747106481482</v>
      </c>
      <c r="B75" s="29" t="str">
        <f>PROPER(TEXT(tbLOG[[#This Row],[DATA/HORA]],"mmmm"))</f>
        <v>Janeiro</v>
      </c>
      <c r="C75" s="34" t="str">
        <f>PROPER(TEXT(tbLOG[[#This Row],[DATA/HORA]],"dddd"))</f>
        <v>Segunda-Feira</v>
      </c>
      <c r="D75" s="3" t="s">
        <v>324</v>
      </c>
      <c r="E75" s="34" t="str">
        <f>IFERROR(VLOOKUP(tbLOG[[#This Row],[LOGIN]],tbMAPA[#All],2,0), "Não localizado")</f>
        <v>Caio Eiji Arai</v>
      </c>
      <c r="F75" s="34" t="str">
        <f>IFERROR(VLOOKUP(tbLOG[[#This Row],[LOGIN]],tbMAPA[#All],3,0), "Não localizado")</f>
        <v>Vinicius Loula De Sousa</v>
      </c>
      <c r="G75" s="3" t="s">
        <v>999</v>
      </c>
      <c r="H75" s="3" t="s">
        <v>836</v>
      </c>
      <c r="K75" s="3" t="s">
        <v>728</v>
      </c>
      <c r="L75" s="3" t="s">
        <v>187</v>
      </c>
      <c r="M75" s="3" t="s">
        <v>23</v>
      </c>
    </row>
    <row r="76" spans="1:13">
      <c r="A76" s="29">
        <v>42737.747210648151</v>
      </c>
      <c r="B76" s="29" t="str">
        <f>PROPER(TEXT(tbLOG[[#This Row],[DATA/HORA]],"mmmm"))</f>
        <v>Janeiro</v>
      </c>
      <c r="C76" s="34" t="str">
        <f>PROPER(TEXT(tbLOG[[#This Row],[DATA/HORA]],"dddd"))</f>
        <v>Segunda-Feira</v>
      </c>
      <c r="D76" s="3" t="s">
        <v>324</v>
      </c>
      <c r="E76" s="34" t="str">
        <f>IFERROR(VLOOKUP(tbLOG[[#This Row],[LOGIN]],tbMAPA[#All],2,0), "Não localizado")</f>
        <v>Caio Eiji Arai</v>
      </c>
      <c r="F76" s="34" t="str">
        <f>IFERROR(VLOOKUP(tbLOG[[#This Row],[LOGIN]],tbMAPA[#All],3,0), "Não localizado")</f>
        <v>Vinicius Loula De Sousa</v>
      </c>
      <c r="G76" s="3" t="s">
        <v>999</v>
      </c>
      <c r="H76" s="3" t="s">
        <v>836</v>
      </c>
      <c r="K76" s="3" t="s">
        <v>729</v>
      </c>
      <c r="L76" s="3" t="s">
        <v>125</v>
      </c>
      <c r="M76" s="3" t="s">
        <v>9</v>
      </c>
    </row>
    <row r="77" spans="1:13">
      <c r="A77" s="29">
        <v>42737.747349537036</v>
      </c>
      <c r="B77" s="29" t="str">
        <f>PROPER(TEXT(tbLOG[[#This Row],[DATA/HORA]],"mmmm"))</f>
        <v>Janeiro</v>
      </c>
      <c r="C77" s="34" t="str">
        <f>PROPER(TEXT(tbLOG[[#This Row],[DATA/HORA]],"dddd"))</f>
        <v>Segunda-Feira</v>
      </c>
      <c r="D77" s="3" t="s">
        <v>324</v>
      </c>
      <c r="E77" s="34" t="str">
        <f>IFERROR(VLOOKUP(tbLOG[[#This Row],[LOGIN]],tbMAPA[#All],2,0), "Não localizado")</f>
        <v>Caio Eiji Arai</v>
      </c>
      <c r="F77" s="34" t="str">
        <f>IFERROR(VLOOKUP(tbLOG[[#This Row],[LOGIN]],tbMAPA[#All],3,0), "Não localizado")</f>
        <v>Vinicius Loula De Sousa</v>
      </c>
      <c r="G77" s="3" t="s">
        <v>999</v>
      </c>
      <c r="H77" s="3" t="s">
        <v>836</v>
      </c>
      <c r="K77" s="3" t="s">
        <v>730</v>
      </c>
      <c r="L77" s="3" t="s">
        <v>627</v>
      </c>
      <c r="M77" s="3" t="s">
        <v>271</v>
      </c>
    </row>
    <row r="78" spans="1:13">
      <c r="A78" s="29">
        <v>42737.747407407405</v>
      </c>
      <c r="B78" s="29" t="str">
        <f>PROPER(TEXT(tbLOG[[#This Row],[DATA/HORA]],"mmmm"))</f>
        <v>Janeiro</v>
      </c>
      <c r="C78" s="34" t="str">
        <f>PROPER(TEXT(tbLOG[[#This Row],[DATA/HORA]],"dddd"))</f>
        <v>Segunda-Feira</v>
      </c>
      <c r="D78" s="3" t="s">
        <v>324</v>
      </c>
      <c r="E78" s="34" t="str">
        <f>IFERROR(VLOOKUP(tbLOG[[#This Row],[LOGIN]],tbMAPA[#All],2,0), "Não localizado")</f>
        <v>Caio Eiji Arai</v>
      </c>
      <c r="F78" s="34" t="str">
        <f>IFERROR(VLOOKUP(tbLOG[[#This Row],[LOGIN]],tbMAPA[#All],3,0), "Não localizado")</f>
        <v>Vinicius Loula De Sousa</v>
      </c>
      <c r="G78" s="3" t="s">
        <v>999</v>
      </c>
      <c r="H78" s="3" t="s">
        <v>836</v>
      </c>
      <c r="K78" s="3" t="s">
        <v>731</v>
      </c>
      <c r="L78" s="3" t="s">
        <v>208</v>
      </c>
      <c r="M78" s="3" t="s">
        <v>31</v>
      </c>
    </row>
    <row r="79" spans="1:13">
      <c r="A79" s="29">
        <v>42737.751296296294</v>
      </c>
      <c r="B79" s="29" t="str">
        <f>PROPER(TEXT(tbLOG[[#This Row],[DATA/HORA]],"mmmm"))</f>
        <v>Janeiro</v>
      </c>
      <c r="C79" s="34" t="str">
        <f>PROPER(TEXT(tbLOG[[#This Row],[DATA/HORA]],"dddd"))</f>
        <v>Segunda-Feira</v>
      </c>
      <c r="D79" s="3" t="s">
        <v>324</v>
      </c>
      <c r="E79" s="34" t="str">
        <f>IFERROR(VLOOKUP(tbLOG[[#This Row],[LOGIN]],tbMAPA[#All],2,0), "Não localizado")</f>
        <v>Caio Eiji Arai</v>
      </c>
      <c r="F79" s="34" t="str">
        <f>IFERROR(VLOOKUP(tbLOG[[#This Row],[LOGIN]],tbMAPA[#All],3,0), "Não localizado")</f>
        <v>Vinicius Loula De Sousa</v>
      </c>
      <c r="G79" s="3" t="s">
        <v>999</v>
      </c>
      <c r="H79" s="3" t="s">
        <v>836</v>
      </c>
      <c r="K79" s="3" t="s">
        <v>732</v>
      </c>
      <c r="L79" s="3" t="s">
        <v>563</v>
      </c>
      <c r="M79" s="3" t="s">
        <v>23</v>
      </c>
    </row>
    <row r="80" spans="1:13">
      <c r="A80" s="29">
        <v>42737.751331018517</v>
      </c>
      <c r="B80" s="29" t="str">
        <f>PROPER(TEXT(tbLOG[[#This Row],[DATA/HORA]],"mmmm"))</f>
        <v>Janeiro</v>
      </c>
      <c r="C80" s="34" t="str">
        <f>PROPER(TEXT(tbLOG[[#This Row],[DATA/HORA]],"dddd"))</f>
        <v>Segunda-Feira</v>
      </c>
      <c r="D80" s="3" t="s">
        <v>324</v>
      </c>
      <c r="E80" s="34" t="str">
        <f>IFERROR(VLOOKUP(tbLOG[[#This Row],[LOGIN]],tbMAPA[#All],2,0), "Não localizado")</f>
        <v>Caio Eiji Arai</v>
      </c>
      <c r="F80" s="34" t="str">
        <f>IFERROR(VLOOKUP(tbLOG[[#This Row],[LOGIN]],tbMAPA[#All],3,0), "Não localizado")</f>
        <v>Vinicius Loula De Sousa</v>
      </c>
      <c r="G80" s="3" t="s">
        <v>999</v>
      </c>
      <c r="H80" s="3" t="s">
        <v>836</v>
      </c>
      <c r="K80" s="3" t="s">
        <v>733</v>
      </c>
      <c r="L80" s="3" t="s">
        <v>628</v>
      </c>
      <c r="M80" s="3" t="s">
        <v>39</v>
      </c>
    </row>
    <row r="81" spans="1:13">
      <c r="A81" s="29">
        <v>42737.751354166663</v>
      </c>
      <c r="B81" s="29" t="str">
        <f>PROPER(TEXT(tbLOG[[#This Row],[DATA/HORA]],"mmmm"))</f>
        <v>Janeiro</v>
      </c>
      <c r="C81" s="34" t="str">
        <f>PROPER(TEXT(tbLOG[[#This Row],[DATA/HORA]],"dddd"))</f>
        <v>Segunda-Feira</v>
      </c>
      <c r="D81" s="3" t="s">
        <v>324</v>
      </c>
      <c r="E81" s="34" t="str">
        <f>IFERROR(VLOOKUP(tbLOG[[#This Row],[LOGIN]],tbMAPA[#All],2,0), "Não localizado")</f>
        <v>Caio Eiji Arai</v>
      </c>
      <c r="F81" s="34" t="str">
        <f>IFERROR(VLOOKUP(tbLOG[[#This Row],[LOGIN]],tbMAPA[#All],3,0), "Não localizado")</f>
        <v>Vinicius Loula De Sousa</v>
      </c>
      <c r="G81" s="3" t="s">
        <v>999</v>
      </c>
      <c r="H81" s="3" t="s">
        <v>836</v>
      </c>
      <c r="K81" s="3" t="s">
        <v>734</v>
      </c>
      <c r="L81" s="3" t="s">
        <v>629</v>
      </c>
      <c r="M81" s="3" t="s">
        <v>329</v>
      </c>
    </row>
    <row r="82" spans="1:13">
      <c r="A82" s="29">
        <v>42737.751400462963</v>
      </c>
      <c r="B82" s="29" t="str">
        <f>PROPER(TEXT(tbLOG[[#This Row],[DATA/HORA]],"mmmm"))</f>
        <v>Janeiro</v>
      </c>
      <c r="C82" s="34" t="str">
        <f>PROPER(TEXT(tbLOG[[#This Row],[DATA/HORA]],"dddd"))</f>
        <v>Segunda-Feira</v>
      </c>
      <c r="D82" s="3" t="s">
        <v>324</v>
      </c>
      <c r="E82" s="34" t="str">
        <f>IFERROR(VLOOKUP(tbLOG[[#This Row],[LOGIN]],tbMAPA[#All],2,0), "Não localizado")</f>
        <v>Caio Eiji Arai</v>
      </c>
      <c r="F82" s="34" t="str">
        <f>IFERROR(VLOOKUP(tbLOG[[#This Row],[LOGIN]],tbMAPA[#All],3,0), "Não localizado")</f>
        <v>Vinicius Loula De Sousa</v>
      </c>
      <c r="G82" s="3" t="s">
        <v>999</v>
      </c>
      <c r="H82" s="3" t="s">
        <v>836</v>
      </c>
      <c r="K82" s="3" t="s">
        <v>735</v>
      </c>
      <c r="L82" s="3" t="s">
        <v>630</v>
      </c>
      <c r="M82" s="3" t="s">
        <v>329</v>
      </c>
    </row>
    <row r="83" spans="1:13">
      <c r="A83" s="29">
        <v>42737.753622685188</v>
      </c>
      <c r="B83" s="29" t="str">
        <f>PROPER(TEXT(tbLOG[[#This Row],[DATA/HORA]],"mmmm"))</f>
        <v>Janeiro</v>
      </c>
      <c r="C83" s="34" t="str">
        <f>PROPER(TEXT(tbLOG[[#This Row],[DATA/HORA]],"dddd"))</f>
        <v>Segunda-Feira</v>
      </c>
      <c r="D83" s="3" t="s">
        <v>324</v>
      </c>
      <c r="E83" s="34" t="str">
        <f>IFERROR(VLOOKUP(tbLOG[[#This Row],[LOGIN]],tbMAPA[#All],2,0), "Não localizado")</f>
        <v>Caio Eiji Arai</v>
      </c>
      <c r="F83" s="34" t="str">
        <f>IFERROR(VLOOKUP(tbLOG[[#This Row],[LOGIN]],tbMAPA[#All],3,0), "Não localizado")</f>
        <v>Vinicius Loula De Sousa</v>
      </c>
      <c r="G83" s="3" t="s">
        <v>999</v>
      </c>
      <c r="H83" s="3" t="s">
        <v>836</v>
      </c>
      <c r="K83" s="3" t="s">
        <v>736</v>
      </c>
      <c r="L83" s="3" t="s">
        <v>631</v>
      </c>
      <c r="M83" s="3" t="s">
        <v>329</v>
      </c>
    </row>
    <row r="84" spans="1:13">
      <c r="A84" s="29">
        <v>42737.75371527778</v>
      </c>
      <c r="B84" s="29" t="str">
        <f>PROPER(TEXT(tbLOG[[#This Row],[DATA/HORA]],"mmmm"))</f>
        <v>Janeiro</v>
      </c>
      <c r="C84" s="34" t="str">
        <f>PROPER(TEXT(tbLOG[[#This Row],[DATA/HORA]],"dddd"))</f>
        <v>Segunda-Feira</v>
      </c>
      <c r="D84" s="3" t="s">
        <v>324</v>
      </c>
      <c r="E84" s="34" t="str">
        <f>IFERROR(VLOOKUP(tbLOG[[#This Row],[LOGIN]],tbMAPA[#All],2,0), "Não localizado")</f>
        <v>Caio Eiji Arai</v>
      </c>
      <c r="F84" s="34" t="str">
        <f>IFERROR(VLOOKUP(tbLOG[[#This Row],[LOGIN]],tbMAPA[#All],3,0), "Não localizado")</f>
        <v>Vinicius Loula De Sousa</v>
      </c>
      <c r="G84" s="3" t="s">
        <v>999</v>
      </c>
      <c r="H84" s="3" t="s">
        <v>836</v>
      </c>
      <c r="K84" s="3" t="s">
        <v>737</v>
      </c>
      <c r="L84" s="3" t="s">
        <v>632</v>
      </c>
      <c r="M84" s="3" t="s">
        <v>271</v>
      </c>
    </row>
    <row r="85" spans="1:13">
      <c r="A85" s="29">
        <v>42737.75377314815</v>
      </c>
      <c r="B85" s="29" t="str">
        <f>PROPER(TEXT(tbLOG[[#This Row],[DATA/HORA]],"mmmm"))</f>
        <v>Janeiro</v>
      </c>
      <c r="C85" s="34" t="str">
        <f>PROPER(TEXT(tbLOG[[#This Row],[DATA/HORA]],"dddd"))</f>
        <v>Segunda-Feira</v>
      </c>
      <c r="D85" s="3" t="s">
        <v>324</v>
      </c>
      <c r="E85" s="34" t="str">
        <f>IFERROR(VLOOKUP(tbLOG[[#This Row],[LOGIN]],tbMAPA[#All],2,0), "Não localizado")</f>
        <v>Caio Eiji Arai</v>
      </c>
      <c r="F85" s="34" t="str">
        <f>IFERROR(VLOOKUP(tbLOG[[#This Row],[LOGIN]],tbMAPA[#All],3,0), "Não localizado")</f>
        <v>Vinicius Loula De Sousa</v>
      </c>
      <c r="G85" s="3" t="s">
        <v>999</v>
      </c>
      <c r="H85" s="3" t="s">
        <v>836</v>
      </c>
      <c r="K85" s="3" t="s">
        <v>738</v>
      </c>
      <c r="L85" s="3" t="s">
        <v>633</v>
      </c>
      <c r="M85" s="3" t="s">
        <v>329</v>
      </c>
    </row>
    <row r="86" spans="1:13">
      <c r="A86" s="29">
        <v>42737.753842592596</v>
      </c>
      <c r="B86" s="29" t="str">
        <f>PROPER(TEXT(tbLOG[[#This Row],[DATA/HORA]],"mmmm"))</f>
        <v>Janeiro</v>
      </c>
      <c r="C86" s="34" t="str">
        <f>PROPER(TEXT(tbLOG[[#This Row],[DATA/HORA]],"dddd"))</f>
        <v>Segunda-Feira</v>
      </c>
      <c r="D86" s="3" t="s">
        <v>324</v>
      </c>
      <c r="E86" s="34" t="str">
        <f>IFERROR(VLOOKUP(tbLOG[[#This Row],[LOGIN]],tbMAPA[#All],2,0), "Não localizado")</f>
        <v>Caio Eiji Arai</v>
      </c>
      <c r="F86" s="34" t="str">
        <f>IFERROR(VLOOKUP(tbLOG[[#This Row],[LOGIN]],tbMAPA[#All],3,0), "Não localizado")</f>
        <v>Vinicius Loula De Sousa</v>
      </c>
      <c r="G86" s="3" t="s">
        <v>999</v>
      </c>
      <c r="H86" s="3" t="s">
        <v>836</v>
      </c>
      <c r="K86" s="3" t="s">
        <v>739</v>
      </c>
      <c r="L86" s="3" t="s">
        <v>634</v>
      </c>
      <c r="M86" s="3" t="s">
        <v>329</v>
      </c>
    </row>
    <row r="87" spans="1:13">
      <c r="A87" s="29">
        <v>42737.753877314812</v>
      </c>
      <c r="B87" s="29" t="str">
        <f>PROPER(TEXT(tbLOG[[#This Row],[DATA/HORA]],"mmmm"))</f>
        <v>Janeiro</v>
      </c>
      <c r="C87" s="34" t="str">
        <f>PROPER(TEXT(tbLOG[[#This Row],[DATA/HORA]],"dddd"))</f>
        <v>Segunda-Feira</v>
      </c>
      <c r="D87" s="3" t="s">
        <v>324</v>
      </c>
      <c r="E87" s="34" t="str">
        <f>IFERROR(VLOOKUP(tbLOG[[#This Row],[LOGIN]],tbMAPA[#All],2,0), "Não localizado")</f>
        <v>Caio Eiji Arai</v>
      </c>
      <c r="F87" s="34" t="str">
        <f>IFERROR(VLOOKUP(tbLOG[[#This Row],[LOGIN]],tbMAPA[#All],3,0), "Não localizado")</f>
        <v>Vinicius Loula De Sousa</v>
      </c>
      <c r="G87" s="3" t="s">
        <v>999</v>
      </c>
      <c r="H87" s="3" t="s">
        <v>836</v>
      </c>
      <c r="K87" s="3" t="s">
        <v>740</v>
      </c>
      <c r="L87" s="3" t="s">
        <v>635</v>
      </c>
      <c r="M87" s="3" t="s">
        <v>329</v>
      </c>
    </row>
    <row r="88" spans="1:13">
      <c r="A88" s="29">
        <v>42737.753993055558</v>
      </c>
      <c r="B88" s="29" t="str">
        <f>PROPER(TEXT(tbLOG[[#This Row],[DATA/HORA]],"mmmm"))</f>
        <v>Janeiro</v>
      </c>
      <c r="C88" s="34" t="str">
        <f>PROPER(TEXT(tbLOG[[#This Row],[DATA/HORA]],"dddd"))</f>
        <v>Segunda-Feira</v>
      </c>
      <c r="D88" s="3" t="s">
        <v>324</v>
      </c>
      <c r="E88" s="34" t="str">
        <f>IFERROR(VLOOKUP(tbLOG[[#This Row],[LOGIN]],tbMAPA[#All],2,0), "Não localizado")</f>
        <v>Caio Eiji Arai</v>
      </c>
      <c r="F88" s="34" t="str">
        <f>IFERROR(VLOOKUP(tbLOG[[#This Row],[LOGIN]],tbMAPA[#All],3,0), "Não localizado")</f>
        <v>Vinicius Loula De Sousa</v>
      </c>
      <c r="G88" s="3" t="s">
        <v>999</v>
      </c>
      <c r="H88" s="3" t="s">
        <v>836</v>
      </c>
      <c r="K88" s="3" t="s">
        <v>741</v>
      </c>
      <c r="L88" s="3" t="s">
        <v>636</v>
      </c>
      <c r="M88" s="3" t="s">
        <v>329</v>
      </c>
    </row>
    <row r="89" spans="1:13">
      <c r="A89" s="29">
        <v>42737.757303240738</v>
      </c>
      <c r="B89" s="29" t="str">
        <f>PROPER(TEXT(tbLOG[[#This Row],[DATA/HORA]],"mmmm"))</f>
        <v>Janeiro</v>
      </c>
      <c r="C89" s="34" t="str">
        <f>PROPER(TEXT(tbLOG[[#This Row],[DATA/HORA]],"dddd"))</f>
        <v>Segunda-Feira</v>
      </c>
      <c r="D89" s="3" t="s">
        <v>324</v>
      </c>
      <c r="E89" s="34" t="str">
        <f>IFERROR(VLOOKUP(tbLOG[[#This Row],[LOGIN]],tbMAPA[#All],2,0), "Não localizado")</f>
        <v>Caio Eiji Arai</v>
      </c>
      <c r="F89" s="34" t="str">
        <f>IFERROR(VLOOKUP(tbLOG[[#This Row],[LOGIN]],tbMAPA[#All],3,0), "Não localizado")</f>
        <v>Vinicius Loula De Sousa</v>
      </c>
      <c r="G89" s="3" t="s">
        <v>999</v>
      </c>
      <c r="H89" s="3" t="s">
        <v>836</v>
      </c>
      <c r="K89" s="3" t="s">
        <v>742</v>
      </c>
      <c r="L89" s="3" t="s">
        <v>328</v>
      </c>
      <c r="M89" s="3" t="s">
        <v>329</v>
      </c>
    </row>
    <row r="90" spans="1:13">
      <c r="A90" s="29">
        <v>42737.757453703707</v>
      </c>
      <c r="B90" s="29" t="str">
        <f>PROPER(TEXT(tbLOG[[#This Row],[DATA/HORA]],"mmmm"))</f>
        <v>Janeiro</v>
      </c>
      <c r="C90" s="34" t="str">
        <f>PROPER(TEXT(tbLOG[[#This Row],[DATA/HORA]],"dddd"))</f>
        <v>Segunda-Feira</v>
      </c>
      <c r="D90" s="3" t="s">
        <v>324</v>
      </c>
      <c r="E90" s="34" t="str">
        <f>IFERROR(VLOOKUP(tbLOG[[#This Row],[LOGIN]],tbMAPA[#All],2,0), "Não localizado")</f>
        <v>Caio Eiji Arai</v>
      </c>
      <c r="F90" s="34" t="str">
        <f>IFERROR(VLOOKUP(tbLOG[[#This Row],[LOGIN]],tbMAPA[#All],3,0), "Não localizado")</f>
        <v>Vinicius Loula De Sousa</v>
      </c>
      <c r="G90" s="3" t="s">
        <v>999</v>
      </c>
      <c r="H90" s="3" t="s">
        <v>836</v>
      </c>
      <c r="K90" s="3" t="s">
        <v>743</v>
      </c>
      <c r="L90" s="3" t="s">
        <v>332</v>
      </c>
      <c r="M90" s="3" t="s">
        <v>204</v>
      </c>
    </row>
    <row r="91" spans="1:13">
      <c r="A91" s="29">
        <v>42737.757534722223</v>
      </c>
      <c r="B91" s="29" t="str">
        <f>PROPER(TEXT(tbLOG[[#This Row],[DATA/HORA]],"mmmm"))</f>
        <v>Janeiro</v>
      </c>
      <c r="C91" s="34" t="str">
        <f>PROPER(TEXT(tbLOG[[#This Row],[DATA/HORA]],"dddd"))</f>
        <v>Segunda-Feira</v>
      </c>
      <c r="D91" s="3" t="s">
        <v>324</v>
      </c>
      <c r="E91" s="34" t="str">
        <f>IFERROR(VLOOKUP(tbLOG[[#This Row],[LOGIN]],tbMAPA[#All],2,0), "Não localizado")</f>
        <v>Caio Eiji Arai</v>
      </c>
      <c r="F91" s="34" t="str">
        <f>IFERROR(VLOOKUP(tbLOG[[#This Row],[LOGIN]],tbMAPA[#All],3,0), "Não localizado")</f>
        <v>Vinicius Loula De Sousa</v>
      </c>
      <c r="G91" s="3" t="s">
        <v>999</v>
      </c>
      <c r="H91" s="3" t="s">
        <v>836</v>
      </c>
      <c r="K91" s="3" t="s">
        <v>744</v>
      </c>
      <c r="L91" s="3" t="s">
        <v>205</v>
      </c>
      <c r="M91" s="3" t="s">
        <v>204</v>
      </c>
    </row>
    <row r="92" spans="1:13">
      <c r="A92" s="29">
        <v>42737.757592592592</v>
      </c>
      <c r="B92" s="29" t="str">
        <f>PROPER(TEXT(tbLOG[[#This Row],[DATA/HORA]],"mmmm"))</f>
        <v>Janeiro</v>
      </c>
      <c r="C92" s="34" t="str">
        <f>PROPER(TEXT(tbLOG[[#This Row],[DATA/HORA]],"dddd"))</f>
        <v>Segunda-Feira</v>
      </c>
      <c r="D92" s="3" t="s">
        <v>324</v>
      </c>
      <c r="E92" s="34" t="str">
        <f>IFERROR(VLOOKUP(tbLOG[[#This Row],[LOGIN]],tbMAPA[#All],2,0), "Não localizado")</f>
        <v>Caio Eiji Arai</v>
      </c>
      <c r="F92" s="34" t="str">
        <f>IFERROR(VLOOKUP(tbLOG[[#This Row],[LOGIN]],tbMAPA[#All],3,0), "Não localizado")</f>
        <v>Vinicius Loula De Sousa</v>
      </c>
      <c r="G92" s="3" t="s">
        <v>999</v>
      </c>
      <c r="H92" s="3" t="s">
        <v>836</v>
      </c>
      <c r="K92" s="3" t="s">
        <v>745</v>
      </c>
      <c r="L92" s="3" t="s">
        <v>603</v>
      </c>
      <c r="M92" s="3" t="s">
        <v>204</v>
      </c>
    </row>
    <row r="93" spans="1:13">
      <c r="A93" s="29">
        <v>42737.757615740738</v>
      </c>
      <c r="B93" s="29" t="str">
        <f>PROPER(TEXT(tbLOG[[#This Row],[DATA/HORA]],"mmmm"))</f>
        <v>Janeiro</v>
      </c>
      <c r="C93" s="34" t="str">
        <f>PROPER(TEXT(tbLOG[[#This Row],[DATA/HORA]],"dddd"))</f>
        <v>Segunda-Feira</v>
      </c>
      <c r="D93" s="3" t="s">
        <v>324</v>
      </c>
      <c r="E93" s="34" t="str">
        <f>IFERROR(VLOOKUP(tbLOG[[#This Row],[LOGIN]],tbMAPA[#All],2,0), "Não localizado")</f>
        <v>Caio Eiji Arai</v>
      </c>
      <c r="F93" s="34" t="str">
        <f>IFERROR(VLOOKUP(tbLOG[[#This Row],[LOGIN]],tbMAPA[#All],3,0), "Não localizado")</f>
        <v>Vinicius Loula De Sousa</v>
      </c>
      <c r="G93" s="3" t="s">
        <v>999</v>
      </c>
      <c r="H93" s="3" t="s">
        <v>290</v>
      </c>
      <c r="K93" s="3" t="s">
        <v>746</v>
      </c>
      <c r="L93" s="3" t="s">
        <v>602</v>
      </c>
      <c r="M93" s="3" t="s">
        <v>204</v>
      </c>
    </row>
    <row r="94" spans="1:13">
      <c r="A94" s="29">
        <v>42737.785011574073</v>
      </c>
      <c r="B94" s="29" t="str">
        <f>PROPER(TEXT(tbLOG[[#This Row],[DATA/HORA]],"mmmm"))</f>
        <v>Janeiro</v>
      </c>
      <c r="C94" s="34" t="str">
        <f>PROPER(TEXT(tbLOG[[#This Row],[DATA/HORA]],"dddd"))</f>
        <v>Segunda-Feira</v>
      </c>
      <c r="D94" s="3" t="s">
        <v>324</v>
      </c>
      <c r="E94" s="34" t="str">
        <f>IFERROR(VLOOKUP(tbLOG[[#This Row],[LOGIN]],tbMAPA[#All],2,0), "Não localizado")</f>
        <v>Caio Eiji Arai</v>
      </c>
      <c r="F94" s="34" t="str">
        <f>IFERROR(VLOOKUP(tbLOG[[#This Row],[LOGIN]],tbMAPA[#All],3,0), "Não localizado")</f>
        <v>Vinicius Loula De Sousa</v>
      </c>
      <c r="G94" s="3" t="s">
        <v>999</v>
      </c>
      <c r="H94" s="3" t="s">
        <v>290</v>
      </c>
      <c r="K94" s="3" t="s">
        <v>747</v>
      </c>
      <c r="L94" s="3" t="s">
        <v>637</v>
      </c>
      <c r="M94" s="3" t="s">
        <v>204</v>
      </c>
    </row>
    <row r="95" spans="1:13">
      <c r="A95" s="29">
        <v>42737.785034722219</v>
      </c>
      <c r="B95" s="29" t="str">
        <f>PROPER(TEXT(tbLOG[[#This Row],[DATA/HORA]],"mmmm"))</f>
        <v>Janeiro</v>
      </c>
      <c r="C95" s="34" t="str">
        <f>PROPER(TEXT(tbLOG[[#This Row],[DATA/HORA]],"dddd"))</f>
        <v>Segunda-Feira</v>
      </c>
      <c r="D95" s="3" t="s">
        <v>324</v>
      </c>
      <c r="E95" s="34" t="str">
        <f>IFERROR(VLOOKUP(tbLOG[[#This Row],[LOGIN]],tbMAPA[#All],2,0), "Não localizado")</f>
        <v>Caio Eiji Arai</v>
      </c>
      <c r="F95" s="34" t="str">
        <f>IFERROR(VLOOKUP(tbLOG[[#This Row],[LOGIN]],tbMAPA[#All],3,0), "Não localizado")</f>
        <v>Vinicius Loula De Sousa</v>
      </c>
      <c r="G95" s="3" t="s">
        <v>999</v>
      </c>
      <c r="H95" s="3" t="s">
        <v>291</v>
      </c>
      <c r="K95" s="3" t="s">
        <v>748</v>
      </c>
      <c r="L95" s="3" t="s">
        <v>638</v>
      </c>
      <c r="M95" s="3" t="s">
        <v>204</v>
      </c>
    </row>
    <row r="96" spans="1:13">
      <c r="A96" s="29">
        <v>42737.785034722219</v>
      </c>
      <c r="B96" s="29" t="str">
        <f>PROPER(TEXT(tbLOG[[#This Row],[DATA/HORA]],"mmmm"))</f>
        <v>Janeiro</v>
      </c>
      <c r="C96" s="34" t="str">
        <f>PROPER(TEXT(tbLOG[[#This Row],[DATA/HORA]],"dddd"))</f>
        <v>Segunda-Feira</v>
      </c>
      <c r="D96" s="3" t="s">
        <v>324</v>
      </c>
      <c r="E96" s="34" t="str">
        <f>IFERROR(VLOOKUP(tbLOG[[#This Row],[LOGIN]],tbMAPA[#All],2,0), "Não localizado")</f>
        <v>Caio Eiji Arai</v>
      </c>
      <c r="F96" s="34" t="str">
        <f>IFERROR(VLOOKUP(tbLOG[[#This Row],[LOGIN]],tbMAPA[#All],3,0), "Não localizado")</f>
        <v>Vinicius Loula De Sousa</v>
      </c>
      <c r="G96" s="3" t="s">
        <v>999</v>
      </c>
      <c r="H96" s="3" t="s">
        <v>290</v>
      </c>
      <c r="K96" s="3" t="s">
        <v>749</v>
      </c>
      <c r="L96" s="3" t="s">
        <v>639</v>
      </c>
      <c r="M96" s="3" t="s">
        <v>204</v>
      </c>
    </row>
    <row r="97" spans="1:13">
      <c r="A97" s="29">
        <v>42738.368634259263</v>
      </c>
      <c r="B97" s="29" t="str">
        <f>PROPER(TEXT(tbLOG[[#This Row],[DATA/HORA]],"mmmm"))</f>
        <v>Janeiro</v>
      </c>
      <c r="C97" s="34" t="str">
        <f>PROPER(TEXT(tbLOG[[#This Row],[DATA/HORA]],"dddd"))</f>
        <v>Terça-Feira</v>
      </c>
      <c r="D97" s="3" t="s">
        <v>300</v>
      </c>
      <c r="E97" s="34" t="str">
        <f>IFERROR(VLOOKUP(tbLOG[[#This Row],[LOGIN]],tbMAPA[#All],2,0), "Não localizado")</f>
        <v>Jefte Soares Da Silva</v>
      </c>
      <c r="F97" s="34" t="str">
        <f>IFERROR(VLOOKUP(tbLOG[[#This Row],[LOGIN]],tbMAPA[#All],3,0), "Não localizado")</f>
        <v>Daniela Andrade Silva</v>
      </c>
      <c r="G97" s="3" t="s">
        <v>1000</v>
      </c>
      <c r="H97" s="3" t="s">
        <v>994</v>
      </c>
      <c r="K97" s="3" t="s">
        <v>750</v>
      </c>
      <c r="L97" s="3" t="s">
        <v>217</v>
      </c>
      <c r="M97" s="3" t="s">
        <v>31</v>
      </c>
    </row>
    <row r="98" spans="1:13">
      <c r="A98" s="29">
        <v>42738.369305555556</v>
      </c>
      <c r="B98" s="29" t="str">
        <f>PROPER(TEXT(tbLOG[[#This Row],[DATA/HORA]],"mmmm"))</f>
        <v>Janeiro</v>
      </c>
      <c r="C98" s="34" t="str">
        <f>PROPER(TEXT(tbLOG[[#This Row],[DATA/HORA]],"dddd"))</f>
        <v>Terça-Feira</v>
      </c>
      <c r="D98" s="3" t="s">
        <v>300</v>
      </c>
      <c r="E98" s="34" t="str">
        <f>IFERROR(VLOOKUP(tbLOG[[#This Row],[LOGIN]],tbMAPA[#All],2,0), "Não localizado")</f>
        <v>Jefte Soares Da Silva</v>
      </c>
      <c r="F98" s="34" t="str">
        <f>IFERROR(VLOOKUP(tbLOG[[#This Row],[LOGIN]],tbMAPA[#All],3,0), "Não localizado")</f>
        <v>Daniela Andrade Silva</v>
      </c>
      <c r="G98" s="3" t="s">
        <v>1000</v>
      </c>
      <c r="H98" s="3" t="s">
        <v>836</v>
      </c>
      <c r="K98" s="3" t="s">
        <v>751</v>
      </c>
      <c r="L98" s="3" t="s">
        <v>222</v>
      </c>
      <c r="M98" s="3" t="s">
        <v>31</v>
      </c>
    </row>
    <row r="99" spans="1:13">
      <c r="A99" s="29">
        <v>42738.369571759256</v>
      </c>
      <c r="B99" s="29" t="str">
        <f>PROPER(TEXT(tbLOG[[#This Row],[DATA/HORA]],"mmmm"))</f>
        <v>Janeiro</v>
      </c>
      <c r="C99" s="34" t="str">
        <f>PROPER(TEXT(tbLOG[[#This Row],[DATA/HORA]],"dddd"))</f>
        <v>Terça-Feira</v>
      </c>
      <c r="D99" s="3" t="s">
        <v>300</v>
      </c>
      <c r="E99" s="34" t="str">
        <f>IFERROR(VLOOKUP(tbLOG[[#This Row],[LOGIN]],tbMAPA[#All],2,0), "Não localizado")</f>
        <v>Jefte Soares Da Silva</v>
      </c>
      <c r="F99" s="34" t="str">
        <f>IFERROR(VLOOKUP(tbLOG[[#This Row],[LOGIN]],tbMAPA[#All],3,0), "Não localizado")</f>
        <v>Daniela Andrade Silva</v>
      </c>
      <c r="G99" s="3" t="s">
        <v>1000</v>
      </c>
      <c r="H99" s="3" t="s">
        <v>292</v>
      </c>
      <c r="K99" s="3" t="s">
        <v>752</v>
      </c>
      <c r="L99" s="3" t="s">
        <v>201</v>
      </c>
      <c r="M99" s="3" t="s">
        <v>31</v>
      </c>
    </row>
    <row r="100" spans="1:13">
      <c r="A100" s="29">
        <v>42738.369942129626</v>
      </c>
      <c r="B100" s="29" t="str">
        <f>PROPER(TEXT(tbLOG[[#This Row],[DATA/HORA]],"mmmm"))</f>
        <v>Janeiro</v>
      </c>
      <c r="C100" s="34" t="str">
        <f>PROPER(TEXT(tbLOG[[#This Row],[DATA/HORA]],"dddd"))</f>
        <v>Terça-Feira</v>
      </c>
      <c r="D100" s="3" t="s">
        <v>300</v>
      </c>
      <c r="E100" s="34" t="str">
        <f>IFERROR(VLOOKUP(tbLOG[[#This Row],[LOGIN]],tbMAPA[#All],2,0), "Não localizado")</f>
        <v>Jefte Soares Da Silva</v>
      </c>
      <c r="F100" s="34" t="str">
        <f>IFERROR(VLOOKUP(tbLOG[[#This Row],[LOGIN]],tbMAPA[#All],3,0), "Não localizado")</f>
        <v>Daniela Andrade Silva</v>
      </c>
      <c r="G100" s="3" t="s">
        <v>1000</v>
      </c>
      <c r="H100" s="3" t="s">
        <v>292</v>
      </c>
      <c r="K100" s="3" t="s">
        <v>753</v>
      </c>
      <c r="L100" s="3" t="s">
        <v>207</v>
      </c>
      <c r="M100" s="3" t="s">
        <v>31</v>
      </c>
    </row>
    <row r="101" spans="1:13">
      <c r="A101" s="29">
        <v>42738.370451388888</v>
      </c>
      <c r="B101" s="29" t="str">
        <f>PROPER(TEXT(tbLOG[[#This Row],[DATA/HORA]],"mmmm"))</f>
        <v>Janeiro</v>
      </c>
      <c r="C101" s="34" t="str">
        <f>PROPER(TEXT(tbLOG[[#This Row],[DATA/HORA]],"dddd"))</f>
        <v>Terça-Feira</v>
      </c>
      <c r="D101" s="3" t="s">
        <v>300</v>
      </c>
      <c r="E101" s="34" t="str">
        <f>IFERROR(VLOOKUP(tbLOG[[#This Row],[LOGIN]],tbMAPA[#All],2,0), "Não localizado")</f>
        <v>Jefte Soares Da Silva</v>
      </c>
      <c r="F101" s="34" t="str">
        <f>IFERROR(VLOOKUP(tbLOG[[#This Row],[LOGIN]],tbMAPA[#All],3,0), "Não localizado")</f>
        <v>Daniela Andrade Silva</v>
      </c>
      <c r="G101" s="3" t="s">
        <v>1000</v>
      </c>
      <c r="H101" s="3" t="s">
        <v>290</v>
      </c>
      <c r="K101" s="3" t="s">
        <v>754</v>
      </c>
      <c r="L101" s="3" t="s">
        <v>212</v>
      </c>
      <c r="M101" s="3" t="s">
        <v>31</v>
      </c>
    </row>
    <row r="102" spans="1:13">
      <c r="A102" s="29">
        <v>42738.370497685188</v>
      </c>
      <c r="B102" s="29" t="str">
        <f>PROPER(TEXT(tbLOG[[#This Row],[DATA/HORA]],"mmmm"))</f>
        <v>Janeiro</v>
      </c>
      <c r="C102" s="34" t="str">
        <f>PROPER(TEXT(tbLOG[[#This Row],[DATA/HORA]],"dddd"))</f>
        <v>Terça-Feira</v>
      </c>
      <c r="D102" s="3" t="s">
        <v>300</v>
      </c>
      <c r="E102" s="34" t="str">
        <f>IFERROR(VLOOKUP(tbLOG[[#This Row],[LOGIN]],tbMAPA[#All],2,0), "Não localizado")</f>
        <v>Jefte Soares Da Silva</v>
      </c>
      <c r="F102" s="34" t="str">
        <f>IFERROR(VLOOKUP(tbLOG[[#This Row],[LOGIN]],tbMAPA[#All],3,0), "Não localizado")</f>
        <v>Daniela Andrade Silva</v>
      </c>
      <c r="G102" s="3" t="s">
        <v>1000</v>
      </c>
      <c r="H102" s="3" t="s">
        <v>290</v>
      </c>
      <c r="K102" s="3" t="s">
        <v>755</v>
      </c>
      <c r="L102" s="3" t="s">
        <v>220</v>
      </c>
      <c r="M102" s="3" t="s">
        <v>31</v>
      </c>
    </row>
    <row r="103" spans="1:13">
      <c r="A103" s="29">
        <v>42738.370706018519</v>
      </c>
      <c r="B103" s="29" t="str">
        <f>PROPER(TEXT(tbLOG[[#This Row],[DATA/HORA]],"mmmm"))</f>
        <v>Janeiro</v>
      </c>
      <c r="C103" s="34" t="str">
        <f>PROPER(TEXT(tbLOG[[#This Row],[DATA/HORA]],"dddd"))</f>
        <v>Terça-Feira</v>
      </c>
      <c r="D103" s="3" t="s">
        <v>300</v>
      </c>
      <c r="E103" s="34" t="str">
        <f>IFERROR(VLOOKUP(tbLOG[[#This Row],[LOGIN]],tbMAPA[#All],2,0), "Não localizado")</f>
        <v>Jefte Soares Da Silva</v>
      </c>
      <c r="F103" s="34" t="str">
        <f>IFERROR(VLOOKUP(tbLOG[[#This Row],[LOGIN]],tbMAPA[#All],3,0), "Não localizado")</f>
        <v>Daniela Andrade Silva</v>
      </c>
      <c r="G103" s="3" t="s">
        <v>1000</v>
      </c>
      <c r="H103" s="3" t="s">
        <v>290</v>
      </c>
      <c r="K103" s="3" t="s">
        <v>756</v>
      </c>
      <c r="L103" s="3" t="s">
        <v>214</v>
      </c>
      <c r="M103" s="3" t="s">
        <v>31</v>
      </c>
    </row>
    <row r="104" spans="1:13">
      <c r="A104" s="29">
        <v>42738.370787037034</v>
      </c>
      <c r="B104" s="29" t="str">
        <f>PROPER(TEXT(tbLOG[[#This Row],[DATA/HORA]],"mmmm"))</f>
        <v>Janeiro</v>
      </c>
      <c r="C104" s="34" t="str">
        <f>PROPER(TEXT(tbLOG[[#This Row],[DATA/HORA]],"dddd"))</f>
        <v>Terça-Feira</v>
      </c>
      <c r="D104" s="3" t="s">
        <v>300</v>
      </c>
      <c r="E104" s="34" t="str">
        <f>IFERROR(VLOOKUP(tbLOG[[#This Row],[LOGIN]],tbMAPA[#All],2,0), "Não localizado")</f>
        <v>Jefte Soares Da Silva</v>
      </c>
      <c r="F104" s="34" t="str">
        <f>IFERROR(VLOOKUP(tbLOG[[#This Row],[LOGIN]],tbMAPA[#All],3,0), "Não localizado")</f>
        <v>Daniela Andrade Silva</v>
      </c>
      <c r="G104" s="3" t="s">
        <v>1000</v>
      </c>
      <c r="H104" s="3" t="s">
        <v>291</v>
      </c>
      <c r="K104" s="3" t="s">
        <v>757</v>
      </c>
      <c r="L104" s="3" t="s">
        <v>224</v>
      </c>
      <c r="M104" s="3" t="s">
        <v>31</v>
      </c>
    </row>
    <row r="105" spans="1:13">
      <c r="A105" s="29">
        <v>42738.370787037034</v>
      </c>
      <c r="B105" s="29" t="str">
        <f>PROPER(TEXT(tbLOG[[#This Row],[DATA/HORA]],"mmmm"))</f>
        <v>Janeiro</v>
      </c>
      <c r="C105" s="34" t="str">
        <f>PROPER(TEXT(tbLOG[[#This Row],[DATA/HORA]],"dddd"))</f>
        <v>Terça-Feira</v>
      </c>
      <c r="D105" s="3" t="s">
        <v>300</v>
      </c>
      <c r="E105" s="34" t="str">
        <f>IFERROR(VLOOKUP(tbLOG[[#This Row],[LOGIN]],tbMAPA[#All],2,0), "Não localizado")</f>
        <v>Jefte Soares Da Silva</v>
      </c>
      <c r="F105" s="34" t="str">
        <f>IFERROR(VLOOKUP(tbLOG[[#This Row],[LOGIN]],tbMAPA[#All],3,0), "Não localizado")</f>
        <v>Daniela Andrade Silva</v>
      </c>
      <c r="G105" s="3" t="s">
        <v>1000</v>
      </c>
      <c r="H105" s="3" t="s">
        <v>290</v>
      </c>
      <c r="K105" s="3" t="s">
        <v>758</v>
      </c>
      <c r="L105" s="3" t="s">
        <v>157</v>
      </c>
      <c r="M105" s="3" t="s">
        <v>31</v>
      </c>
    </row>
    <row r="106" spans="1:13">
      <c r="A106" s="29">
        <v>42738.389224537037</v>
      </c>
      <c r="B106" s="29" t="str">
        <f>PROPER(TEXT(tbLOG[[#This Row],[DATA/HORA]],"mmmm"))</f>
        <v>Janeiro</v>
      </c>
      <c r="C106" s="34" t="str">
        <f>PROPER(TEXT(tbLOG[[#This Row],[DATA/HORA]],"dddd"))</f>
        <v>Terça-Feira</v>
      </c>
      <c r="D106" s="3" t="s">
        <v>300</v>
      </c>
      <c r="E106" s="34" t="str">
        <f>IFERROR(VLOOKUP(tbLOG[[#This Row],[LOGIN]],tbMAPA[#All],2,0), "Não localizado")</f>
        <v>Jefte Soares Da Silva</v>
      </c>
      <c r="F106" s="34" t="str">
        <f>IFERROR(VLOOKUP(tbLOG[[#This Row],[LOGIN]],tbMAPA[#All],3,0), "Não localizado")</f>
        <v>Daniela Andrade Silva</v>
      </c>
      <c r="G106" s="3" t="s">
        <v>1000</v>
      </c>
      <c r="H106" s="3" t="s">
        <v>292</v>
      </c>
      <c r="K106" s="3" t="s">
        <v>759</v>
      </c>
      <c r="L106" s="3" t="s">
        <v>146</v>
      </c>
      <c r="M106" s="3" t="s">
        <v>31</v>
      </c>
    </row>
    <row r="107" spans="1:13">
      <c r="A107" s="29">
        <v>42738.389224537037</v>
      </c>
      <c r="B107" s="29" t="str">
        <f>PROPER(TEXT(tbLOG[[#This Row],[DATA/HORA]],"mmmm"))</f>
        <v>Janeiro</v>
      </c>
      <c r="C107" s="34" t="str">
        <f>PROPER(TEXT(tbLOG[[#This Row],[DATA/HORA]],"dddd"))</f>
        <v>Terça-Feira</v>
      </c>
      <c r="D107" s="3" t="s">
        <v>300</v>
      </c>
      <c r="E107" s="34" t="str">
        <f>IFERROR(VLOOKUP(tbLOG[[#This Row],[LOGIN]],tbMAPA[#All],2,0), "Não localizado")</f>
        <v>Jefte Soares Da Silva</v>
      </c>
      <c r="F107" s="34" t="str">
        <f>IFERROR(VLOOKUP(tbLOG[[#This Row],[LOGIN]],tbMAPA[#All],3,0), "Não localizado")</f>
        <v>Daniela Andrade Silva</v>
      </c>
      <c r="G107" s="3" t="s">
        <v>1000</v>
      </c>
      <c r="H107" s="3" t="s">
        <v>994</v>
      </c>
      <c r="K107" s="3" t="s">
        <v>760</v>
      </c>
      <c r="L107" s="3" t="s">
        <v>228</v>
      </c>
      <c r="M107" s="3" t="s">
        <v>31</v>
      </c>
    </row>
    <row r="108" spans="1:13">
      <c r="A108" s="29">
        <v>42738.389398148145</v>
      </c>
      <c r="B108" s="29" t="str">
        <f>PROPER(TEXT(tbLOG[[#This Row],[DATA/HORA]],"mmmm"))</f>
        <v>Janeiro</v>
      </c>
      <c r="C108" s="34" t="str">
        <f>PROPER(TEXT(tbLOG[[#This Row],[DATA/HORA]],"dddd"))</f>
        <v>Terça-Feira</v>
      </c>
      <c r="D108" s="3" t="s">
        <v>300</v>
      </c>
      <c r="E108" s="34" t="str">
        <f>IFERROR(VLOOKUP(tbLOG[[#This Row],[LOGIN]],tbMAPA[#All],2,0), "Não localizado")</f>
        <v>Jefte Soares Da Silva</v>
      </c>
      <c r="F108" s="34" t="str">
        <f>IFERROR(VLOOKUP(tbLOG[[#This Row],[LOGIN]],tbMAPA[#All],3,0), "Não localizado")</f>
        <v>Daniela Andrade Silva</v>
      </c>
      <c r="G108" s="3" t="s">
        <v>1000</v>
      </c>
      <c r="H108" s="3" t="s">
        <v>836</v>
      </c>
      <c r="K108" s="3" t="s">
        <v>761</v>
      </c>
      <c r="L108" s="3" t="s">
        <v>241</v>
      </c>
      <c r="M108" s="3" t="s">
        <v>39</v>
      </c>
    </row>
    <row r="109" spans="1:13">
      <c r="A109" s="29">
        <v>42738.389618055553</v>
      </c>
      <c r="B109" s="29" t="str">
        <f>PROPER(TEXT(tbLOG[[#This Row],[DATA/HORA]],"mmmm"))</f>
        <v>Janeiro</v>
      </c>
      <c r="C109" s="34" t="str">
        <f>PROPER(TEXT(tbLOG[[#This Row],[DATA/HORA]],"dddd"))</f>
        <v>Terça-Feira</v>
      </c>
      <c r="D109" s="3" t="s">
        <v>300</v>
      </c>
      <c r="E109" s="34" t="str">
        <f>IFERROR(VLOOKUP(tbLOG[[#This Row],[LOGIN]],tbMAPA[#All],2,0), "Não localizado")</f>
        <v>Jefte Soares Da Silva</v>
      </c>
      <c r="F109" s="34" t="str">
        <f>IFERROR(VLOOKUP(tbLOG[[#This Row],[LOGIN]],tbMAPA[#All],3,0), "Não localizado")</f>
        <v>Daniela Andrade Silva</v>
      </c>
      <c r="G109" s="3" t="s">
        <v>1000</v>
      </c>
      <c r="H109" s="3" t="s">
        <v>290</v>
      </c>
      <c r="K109" s="3" t="s">
        <v>604</v>
      </c>
      <c r="L109" s="3" t="s">
        <v>640</v>
      </c>
      <c r="M109" s="3" t="s">
        <v>31</v>
      </c>
    </row>
    <row r="110" spans="1:13">
      <c r="A110" s="29">
        <v>42738.389687499999</v>
      </c>
      <c r="B110" s="29" t="str">
        <f>PROPER(TEXT(tbLOG[[#This Row],[DATA/HORA]],"mmmm"))</f>
        <v>Janeiro</v>
      </c>
      <c r="C110" s="34" t="str">
        <f>PROPER(TEXT(tbLOG[[#This Row],[DATA/HORA]],"dddd"))</f>
        <v>Terça-Feira</v>
      </c>
      <c r="D110" s="3" t="s">
        <v>300</v>
      </c>
      <c r="E110" s="34" t="str">
        <f>IFERROR(VLOOKUP(tbLOG[[#This Row],[LOGIN]],tbMAPA[#All],2,0), "Não localizado")</f>
        <v>Jefte Soares Da Silva</v>
      </c>
      <c r="F110" s="34" t="str">
        <f>IFERROR(VLOOKUP(tbLOG[[#This Row],[LOGIN]],tbMAPA[#All],3,0), "Não localizado")</f>
        <v>Daniela Andrade Silva</v>
      </c>
      <c r="G110" s="3" t="s">
        <v>1000</v>
      </c>
      <c r="H110" s="3" t="s">
        <v>291</v>
      </c>
      <c r="K110" s="3" t="s">
        <v>762</v>
      </c>
      <c r="L110" s="3" t="s">
        <v>215</v>
      </c>
      <c r="M110" s="3" t="s">
        <v>31</v>
      </c>
    </row>
    <row r="111" spans="1:13">
      <c r="A111" s="29">
        <v>42738.389687499999</v>
      </c>
      <c r="B111" s="29" t="str">
        <f>PROPER(TEXT(tbLOG[[#This Row],[DATA/HORA]],"mmmm"))</f>
        <v>Janeiro</v>
      </c>
      <c r="C111" s="34" t="str">
        <f>PROPER(TEXT(tbLOG[[#This Row],[DATA/HORA]],"dddd"))</f>
        <v>Terça-Feira</v>
      </c>
      <c r="D111" s="3" t="s">
        <v>300</v>
      </c>
      <c r="E111" s="34" t="str">
        <f>IFERROR(VLOOKUP(tbLOG[[#This Row],[LOGIN]],tbMAPA[#All],2,0), "Não localizado")</f>
        <v>Jefte Soares Da Silva</v>
      </c>
      <c r="F111" s="34" t="str">
        <f>IFERROR(VLOOKUP(tbLOG[[#This Row],[LOGIN]],tbMAPA[#All],3,0), "Não localizado")</f>
        <v>Daniela Andrade Silva</v>
      </c>
      <c r="G111" s="3" t="s">
        <v>1000</v>
      </c>
      <c r="H111" s="3" t="s">
        <v>290</v>
      </c>
      <c r="K111" s="3" t="s">
        <v>763</v>
      </c>
      <c r="L111" s="3" t="s">
        <v>235</v>
      </c>
      <c r="M111" s="3" t="s">
        <v>39</v>
      </c>
    </row>
    <row r="112" spans="1:13">
      <c r="A112" s="29">
        <v>42738.405185185184</v>
      </c>
      <c r="B112" s="29" t="str">
        <f>PROPER(TEXT(tbLOG[[#This Row],[DATA/HORA]],"mmmm"))</f>
        <v>Janeiro</v>
      </c>
      <c r="C112" s="34" t="str">
        <f>PROPER(TEXT(tbLOG[[#This Row],[DATA/HORA]],"dddd"))</f>
        <v>Terça-Feira</v>
      </c>
      <c r="D112" s="3" t="s">
        <v>300</v>
      </c>
      <c r="E112" s="34" t="str">
        <f>IFERROR(VLOOKUP(tbLOG[[#This Row],[LOGIN]],tbMAPA[#All],2,0), "Não localizado")</f>
        <v>Jefte Soares Da Silva</v>
      </c>
      <c r="F112" s="34" t="str">
        <f>IFERROR(VLOOKUP(tbLOG[[#This Row],[LOGIN]],tbMAPA[#All],3,0), "Não localizado")</f>
        <v>Daniela Andrade Silva</v>
      </c>
      <c r="G112" s="3" t="s">
        <v>1000</v>
      </c>
      <c r="H112" s="3" t="s">
        <v>292</v>
      </c>
      <c r="K112" s="3" t="s">
        <v>764</v>
      </c>
      <c r="L112" s="3" t="s">
        <v>122</v>
      </c>
      <c r="M112" s="3" t="s">
        <v>39</v>
      </c>
    </row>
    <row r="113" spans="1:13">
      <c r="A113" s="29">
        <v>42738.405185185184</v>
      </c>
      <c r="B113" s="29" t="str">
        <f>PROPER(TEXT(tbLOG[[#This Row],[DATA/HORA]],"mmmm"))</f>
        <v>Janeiro</v>
      </c>
      <c r="C113" s="34" t="str">
        <f>PROPER(TEXT(tbLOG[[#This Row],[DATA/HORA]],"dddd"))</f>
        <v>Terça-Feira</v>
      </c>
      <c r="D113" s="3" t="s">
        <v>300</v>
      </c>
      <c r="E113" s="34" t="str">
        <f>IFERROR(VLOOKUP(tbLOG[[#This Row],[LOGIN]],tbMAPA[#All],2,0), "Não localizado")</f>
        <v>Jefte Soares Da Silva</v>
      </c>
      <c r="F113" s="34" t="str">
        <f>IFERROR(VLOOKUP(tbLOG[[#This Row],[LOGIN]],tbMAPA[#All],3,0), "Não localizado")</f>
        <v>Daniela Andrade Silva</v>
      </c>
      <c r="G113" s="3" t="s">
        <v>1000</v>
      </c>
      <c r="H113" s="3" t="s">
        <v>994</v>
      </c>
      <c r="K113" s="3" t="s">
        <v>765</v>
      </c>
      <c r="L113" s="3" t="s">
        <v>641</v>
      </c>
      <c r="M113" s="3" t="s">
        <v>39</v>
      </c>
    </row>
    <row r="114" spans="1:13">
      <c r="A114" s="29">
        <v>42738.405243055553</v>
      </c>
      <c r="B114" s="29" t="str">
        <f>PROPER(TEXT(tbLOG[[#This Row],[DATA/HORA]],"mmmm"))</f>
        <v>Janeiro</v>
      </c>
      <c r="C114" s="34" t="str">
        <f>PROPER(TEXT(tbLOG[[#This Row],[DATA/HORA]],"dddd"))</f>
        <v>Terça-Feira</v>
      </c>
      <c r="D114" s="3" t="s">
        <v>300</v>
      </c>
      <c r="E114" s="34" t="str">
        <f>IFERROR(VLOOKUP(tbLOG[[#This Row],[LOGIN]],tbMAPA[#All],2,0), "Não localizado")</f>
        <v>Jefte Soares Da Silva</v>
      </c>
      <c r="F114" s="34" t="str">
        <f>IFERROR(VLOOKUP(tbLOG[[#This Row],[LOGIN]],tbMAPA[#All],3,0), "Não localizado")</f>
        <v>Daniela Andrade Silva</v>
      </c>
      <c r="G114" s="3" t="s">
        <v>1000</v>
      </c>
      <c r="H114" s="3" t="s">
        <v>315</v>
      </c>
      <c r="K114" s="3" t="s">
        <v>766</v>
      </c>
      <c r="L114" s="3" t="s">
        <v>232</v>
      </c>
      <c r="M114" s="3" t="s">
        <v>39</v>
      </c>
    </row>
    <row r="115" spans="1:13">
      <c r="A115" s="29">
        <v>42738.405405092592</v>
      </c>
      <c r="B115" s="29" t="str">
        <f>PROPER(TEXT(tbLOG[[#This Row],[DATA/HORA]],"mmmm"))</f>
        <v>Janeiro</v>
      </c>
      <c r="C115" s="34" t="str">
        <f>PROPER(TEXT(tbLOG[[#This Row],[DATA/HORA]],"dddd"))</f>
        <v>Terça-Feira</v>
      </c>
      <c r="D115" s="3" t="s">
        <v>300</v>
      </c>
      <c r="E115" s="34" t="str">
        <f>IFERROR(VLOOKUP(tbLOG[[#This Row],[LOGIN]],tbMAPA[#All],2,0), "Não localizado")</f>
        <v>Jefte Soares Da Silva</v>
      </c>
      <c r="F115" s="34" t="str">
        <f>IFERROR(VLOOKUP(tbLOG[[#This Row],[LOGIN]],tbMAPA[#All],3,0), "Não localizado")</f>
        <v>Daniela Andrade Silva</v>
      </c>
      <c r="G115" s="3" t="s">
        <v>1000</v>
      </c>
      <c r="H115" s="3" t="s">
        <v>292</v>
      </c>
      <c r="K115" s="3" t="s">
        <v>767</v>
      </c>
      <c r="L115" s="3" t="s">
        <v>237</v>
      </c>
      <c r="M115" s="3" t="s">
        <v>39</v>
      </c>
    </row>
    <row r="116" spans="1:13">
      <c r="A116" s="29">
        <v>42738.405428240738</v>
      </c>
      <c r="B116" s="29" t="str">
        <f>PROPER(TEXT(tbLOG[[#This Row],[DATA/HORA]],"mmmm"))</f>
        <v>Janeiro</v>
      </c>
      <c r="C116" s="34" t="str">
        <f>PROPER(TEXT(tbLOG[[#This Row],[DATA/HORA]],"dddd"))</f>
        <v>Terça-Feira</v>
      </c>
      <c r="D116" s="3" t="s">
        <v>300</v>
      </c>
      <c r="E116" s="34" t="str">
        <f>IFERROR(VLOOKUP(tbLOG[[#This Row],[LOGIN]],tbMAPA[#All],2,0), "Não localizado")</f>
        <v>Jefte Soares Da Silva</v>
      </c>
      <c r="F116" s="34" t="str">
        <f>IFERROR(VLOOKUP(tbLOG[[#This Row],[LOGIN]],tbMAPA[#All],3,0), "Não localizado")</f>
        <v>Daniela Andrade Silva</v>
      </c>
      <c r="G116" s="3" t="s">
        <v>1000</v>
      </c>
      <c r="H116" s="3" t="s">
        <v>292</v>
      </c>
      <c r="K116" s="3" t="s">
        <v>336</v>
      </c>
      <c r="L116" s="3" t="s">
        <v>245</v>
      </c>
      <c r="M116" s="3" t="s">
        <v>39</v>
      </c>
    </row>
    <row r="117" spans="1:13">
      <c r="A117" s="29">
        <v>42738.405428240738</v>
      </c>
      <c r="B117" s="29" t="str">
        <f>PROPER(TEXT(tbLOG[[#This Row],[DATA/HORA]],"mmmm"))</f>
        <v>Janeiro</v>
      </c>
      <c r="C117" s="34" t="str">
        <f>PROPER(TEXT(tbLOG[[#This Row],[DATA/HORA]],"dddd"))</f>
        <v>Terça-Feira</v>
      </c>
      <c r="D117" s="3" t="s">
        <v>300</v>
      </c>
      <c r="E117" s="34" t="str">
        <f>IFERROR(VLOOKUP(tbLOG[[#This Row],[LOGIN]],tbMAPA[#All],2,0), "Não localizado")</f>
        <v>Jefte Soares Da Silva</v>
      </c>
      <c r="F117" s="34" t="str">
        <f>IFERROR(VLOOKUP(tbLOG[[#This Row],[LOGIN]],tbMAPA[#All],3,0), "Não localizado")</f>
        <v>Daniela Andrade Silva</v>
      </c>
      <c r="G117" s="3" t="s">
        <v>1000</v>
      </c>
      <c r="H117" s="3" t="s">
        <v>317</v>
      </c>
      <c r="K117" s="3" t="s">
        <v>768</v>
      </c>
      <c r="L117" s="3" t="s">
        <v>642</v>
      </c>
      <c r="M117" s="3" t="s">
        <v>39</v>
      </c>
    </row>
    <row r="118" spans="1:13">
      <c r="A118" s="29">
        <v>42738.405740740738</v>
      </c>
      <c r="B118" s="29" t="str">
        <f>PROPER(TEXT(tbLOG[[#This Row],[DATA/HORA]],"mmmm"))</f>
        <v>Janeiro</v>
      </c>
      <c r="C118" s="34" t="str">
        <f>PROPER(TEXT(tbLOG[[#This Row],[DATA/HORA]],"dddd"))</f>
        <v>Terça-Feira</v>
      </c>
      <c r="D118" s="3" t="s">
        <v>300</v>
      </c>
      <c r="E118" s="34" t="str">
        <f>IFERROR(VLOOKUP(tbLOG[[#This Row],[LOGIN]],tbMAPA[#All],2,0), "Não localizado")</f>
        <v>Jefte Soares Da Silva</v>
      </c>
      <c r="F118" s="34" t="str">
        <f>IFERROR(VLOOKUP(tbLOG[[#This Row],[LOGIN]],tbMAPA[#All],3,0), "Não localizado")</f>
        <v>Daniela Andrade Silva</v>
      </c>
      <c r="G118" s="3" t="s">
        <v>1000</v>
      </c>
      <c r="H118" s="3" t="s">
        <v>292</v>
      </c>
      <c r="K118" s="3" t="s">
        <v>769</v>
      </c>
      <c r="L118" s="3" t="s">
        <v>249</v>
      </c>
      <c r="M118" s="3" t="s">
        <v>39</v>
      </c>
    </row>
    <row r="119" spans="1:13">
      <c r="A119" s="29">
        <v>42738.405960648146</v>
      </c>
      <c r="B119" s="29" t="str">
        <f>PROPER(TEXT(tbLOG[[#This Row],[DATA/HORA]],"mmmm"))</f>
        <v>Janeiro</v>
      </c>
      <c r="C119" s="34" t="str">
        <f>PROPER(TEXT(tbLOG[[#This Row],[DATA/HORA]],"dddd"))</f>
        <v>Terça-Feira</v>
      </c>
      <c r="D119" s="3" t="s">
        <v>300</v>
      </c>
      <c r="E119" s="34" t="str">
        <f>IFERROR(VLOOKUP(tbLOG[[#This Row],[LOGIN]],tbMAPA[#All],2,0), "Não localizado")</f>
        <v>Jefte Soares Da Silva</v>
      </c>
      <c r="F119" s="34" t="str">
        <f>IFERROR(VLOOKUP(tbLOG[[#This Row],[LOGIN]],tbMAPA[#All],3,0), "Não localizado")</f>
        <v>Daniela Andrade Silva</v>
      </c>
      <c r="G119" s="3" t="s">
        <v>1000</v>
      </c>
      <c r="H119" s="3" t="s">
        <v>836</v>
      </c>
      <c r="K119" s="3" t="s">
        <v>770</v>
      </c>
      <c r="L119" s="3" t="s">
        <v>251</v>
      </c>
      <c r="M119" s="3" t="s">
        <v>39</v>
      </c>
    </row>
    <row r="120" spans="1:13">
      <c r="A120" s="29">
        <v>42738.406180555554</v>
      </c>
      <c r="B120" s="29" t="str">
        <f>PROPER(TEXT(tbLOG[[#This Row],[DATA/HORA]],"mmmm"))</f>
        <v>Janeiro</v>
      </c>
      <c r="C120" s="34" t="str">
        <f>PROPER(TEXT(tbLOG[[#This Row],[DATA/HORA]],"dddd"))</f>
        <v>Terça-Feira</v>
      </c>
      <c r="D120" s="3" t="s">
        <v>300</v>
      </c>
      <c r="E120" s="34" t="str">
        <f>IFERROR(VLOOKUP(tbLOG[[#This Row],[LOGIN]],tbMAPA[#All],2,0), "Não localizado")</f>
        <v>Jefte Soares Da Silva</v>
      </c>
      <c r="F120" s="34" t="str">
        <f>IFERROR(VLOOKUP(tbLOG[[#This Row],[LOGIN]],tbMAPA[#All],3,0), "Não localizado")</f>
        <v>Daniela Andrade Silva</v>
      </c>
      <c r="G120" s="3" t="s">
        <v>1000</v>
      </c>
      <c r="H120" s="3" t="s">
        <v>836</v>
      </c>
      <c r="K120" s="3" t="s">
        <v>771</v>
      </c>
      <c r="L120" s="3" t="s">
        <v>247</v>
      </c>
      <c r="M120" s="3" t="s">
        <v>39</v>
      </c>
    </row>
    <row r="121" spans="1:13">
      <c r="A121" s="29">
        <v>42738.406226851854</v>
      </c>
      <c r="B121" s="29" t="str">
        <f>PROPER(TEXT(tbLOG[[#This Row],[DATA/HORA]],"mmmm"))</f>
        <v>Janeiro</v>
      </c>
      <c r="C121" s="34" t="str">
        <f>PROPER(TEXT(tbLOG[[#This Row],[DATA/HORA]],"dddd"))</f>
        <v>Terça-Feira</v>
      </c>
      <c r="D121" s="3" t="s">
        <v>300</v>
      </c>
      <c r="E121" s="34" t="str">
        <f>IFERROR(VLOOKUP(tbLOG[[#This Row],[LOGIN]],tbMAPA[#All],2,0), "Não localizado")</f>
        <v>Jefte Soares Da Silva</v>
      </c>
      <c r="F121" s="34" t="str">
        <f>IFERROR(VLOOKUP(tbLOG[[#This Row],[LOGIN]],tbMAPA[#All],3,0), "Não localizado")</f>
        <v>Daniela Andrade Silva</v>
      </c>
      <c r="G121" s="3" t="s">
        <v>1000</v>
      </c>
      <c r="H121" s="3" t="s">
        <v>836</v>
      </c>
      <c r="K121" s="3" t="s">
        <v>772</v>
      </c>
      <c r="L121" s="3" t="s">
        <v>226</v>
      </c>
      <c r="M121" s="3" t="s">
        <v>39</v>
      </c>
    </row>
    <row r="122" spans="1:13">
      <c r="A122" s="29">
        <v>42738.4062962963</v>
      </c>
      <c r="B122" s="29" t="str">
        <f>PROPER(TEXT(tbLOG[[#This Row],[DATA/HORA]],"mmmm"))</f>
        <v>Janeiro</v>
      </c>
      <c r="C122" s="34" t="str">
        <f>PROPER(TEXT(tbLOG[[#This Row],[DATA/HORA]],"dddd"))</f>
        <v>Terça-Feira</v>
      </c>
      <c r="D122" s="3" t="s">
        <v>300</v>
      </c>
      <c r="E122" s="34" t="str">
        <f>IFERROR(VLOOKUP(tbLOG[[#This Row],[LOGIN]],tbMAPA[#All],2,0), "Não localizado")</f>
        <v>Jefte Soares Da Silva</v>
      </c>
      <c r="F122" s="34" t="str">
        <f>IFERROR(VLOOKUP(tbLOG[[#This Row],[LOGIN]],tbMAPA[#All],3,0), "Não localizado")</f>
        <v>Daniela Andrade Silva</v>
      </c>
      <c r="G122" s="3" t="s">
        <v>1000</v>
      </c>
      <c r="H122" s="3" t="s">
        <v>836</v>
      </c>
      <c r="K122" s="3" t="s">
        <v>773</v>
      </c>
      <c r="L122" s="3" t="s">
        <v>45</v>
      </c>
      <c r="M122" s="3" t="s">
        <v>39</v>
      </c>
    </row>
    <row r="123" spans="1:13">
      <c r="A123" s="29">
        <v>42738.406331018516</v>
      </c>
      <c r="B123" s="29" t="str">
        <f>PROPER(TEXT(tbLOG[[#This Row],[DATA/HORA]],"mmmm"))</f>
        <v>Janeiro</v>
      </c>
      <c r="C123" s="34" t="str">
        <f>PROPER(TEXT(tbLOG[[#This Row],[DATA/HORA]],"dddd"))</f>
        <v>Terça-Feira</v>
      </c>
      <c r="D123" s="3" t="s">
        <v>300</v>
      </c>
      <c r="E123" s="34" t="str">
        <f>IFERROR(VLOOKUP(tbLOG[[#This Row],[LOGIN]],tbMAPA[#All],2,0), "Não localizado")</f>
        <v>Jefte Soares Da Silva</v>
      </c>
      <c r="F123" s="34" t="str">
        <f>IFERROR(VLOOKUP(tbLOG[[#This Row],[LOGIN]],tbMAPA[#All],3,0), "Não localizado")</f>
        <v>Daniela Andrade Silva</v>
      </c>
      <c r="G123" s="3" t="s">
        <v>1000</v>
      </c>
      <c r="H123" s="3" t="s">
        <v>836</v>
      </c>
      <c r="K123" s="3" t="s">
        <v>774</v>
      </c>
      <c r="L123" s="3" t="s">
        <v>643</v>
      </c>
      <c r="M123" s="3" t="s">
        <v>39</v>
      </c>
    </row>
    <row r="124" spans="1:13">
      <c r="A124" s="29">
        <v>42738.406354166669</v>
      </c>
      <c r="B124" s="29" t="str">
        <f>PROPER(TEXT(tbLOG[[#This Row],[DATA/HORA]],"mmmm"))</f>
        <v>Janeiro</v>
      </c>
      <c r="C124" s="34" t="str">
        <f>PROPER(TEXT(tbLOG[[#This Row],[DATA/HORA]],"dddd"))</f>
        <v>Terça-Feira</v>
      </c>
      <c r="D124" s="3" t="s">
        <v>300</v>
      </c>
      <c r="E124" s="34" t="str">
        <f>IFERROR(VLOOKUP(tbLOG[[#This Row],[LOGIN]],tbMAPA[#All],2,0), "Não localizado")</f>
        <v>Jefte Soares Da Silva</v>
      </c>
      <c r="F124" s="34" t="str">
        <f>IFERROR(VLOOKUP(tbLOG[[#This Row],[LOGIN]],tbMAPA[#All],3,0), "Não localizado")</f>
        <v>Daniela Andrade Silva</v>
      </c>
      <c r="G124" s="3" t="s">
        <v>1000</v>
      </c>
      <c r="H124" s="3" t="s">
        <v>836</v>
      </c>
      <c r="K124" s="3" t="s">
        <v>775</v>
      </c>
      <c r="L124" s="3" t="s">
        <v>64</v>
      </c>
      <c r="M124" s="3" t="s">
        <v>204</v>
      </c>
    </row>
    <row r="125" spans="1:13">
      <c r="A125" s="29">
        <v>42738.406493055554</v>
      </c>
      <c r="B125" s="29" t="str">
        <f>PROPER(TEXT(tbLOG[[#This Row],[DATA/HORA]],"mmmm"))</f>
        <v>Janeiro</v>
      </c>
      <c r="C125" s="34" t="str">
        <f>PROPER(TEXT(tbLOG[[#This Row],[DATA/HORA]],"dddd"))</f>
        <v>Terça-Feira</v>
      </c>
      <c r="D125" s="3" t="s">
        <v>300</v>
      </c>
      <c r="E125" s="34" t="str">
        <f>IFERROR(VLOOKUP(tbLOG[[#This Row],[LOGIN]],tbMAPA[#All],2,0), "Não localizado")</f>
        <v>Jefte Soares Da Silva</v>
      </c>
      <c r="F125" s="34" t="str">
        <f>IFERROR(VLOOKUP(tbLOG[[#This Row],[LOGIN]],tbMAPA[#All],3,0), "Não localizado")</f>
        <v>Daniela Andrade Silva</v>
      </c>
      <c r="G125" s="3" t="s">
        <v>1000</v>
      </c>
      <c r="H125" s="3" t="s">
        <v>836</v>
      </c>
      <c r="K125" s="3" t="s">
        <v>776</v>
      </c>
      <c r="L125" s="3" t="s">
        <v>104</v>
      </c>
      <c r="M125" s="3" t="s">
        <v>204</v>
      </c>
    </row>
    <row r="126" spans="1:13">
      <c r="A126" s="29">
        <v>42738.406493055554</v>
      </c>
      <c r="B126" s="29" t="str">
        <f>PROPER(TEXT(tbLOG[[#This Row],[DATA/HORA]],"mmmm"))</f>
        <v>Janeiro</v>
      </c>
      <c r="C126" s="34" t="str">
        <f>PROPER(TEXT(tbLOG[[#This Row],[DATA/HORA]],"dddd"))</f>
        <v>Terça-Feira</v>
      </c>
      <c r="D126" s="3" t="s">
        <v>300</v>
      </c>
      <c r="E126" s="34" t="str">
        <f>IFERROR(VLOOKUP(tbLOG[[#This Row],[LOGIN]],tbMAPA[#All],2,0), "Não localizado")</f>
        <v>Jefte Soares Da Silva</v>
      </c>
      <c r="F126" s="34" t="str">
        <f>IFERROR(VLOOKUP(tbLOG[[#This Row],[LOGIN]],tbMAPA[#All],3,0), "Não localizado")</f>
        <v>Daniela Andrade Silva</v>
      </c>
      <c r="G126" s="3" t="s">
        <v>1000</v>
      </c>
      <c r="H126" s="3" t="s">
        <v>836</v>
      </c>
      <c r="K126" s="3" t="s">
        <v>777</v>
      </c>
      <c r="L126" s="3" t="s">
        <v>106</v>
      </c>
      <c r="M126" s="3" t="s">
        <v>204</v>
      </c>
    </row>
    <row r="127" spans="1:13">
      <c r="A127" s="29">
        <v>42738.406504629631</v>
      </c>
      <c r="B127" s="29" t="str">
        <f>PROPER(TEXT(tbLOG[[#This Row],[DATA/HORA]],"mmmm"))</f>
        <v>Janeiro</v>
      </c>
      <c r="C127" s="34" t="str">
        <f>PROPER(TEXT(tbLOG[[#This Row],[DATA/HORA]],"dddd"))</f>
        <v>Terça-Feira</v>
      </c>
      <c r="D127" s="3" t="s">
        <v>300</v>
      </c>
      <c r="E127" s="34" t="str">
        <f>IFERROR(VLOOKUP(tbLOG[[#This Row],[LOGIN]],tbMAPA[#All],2,0), "Não localizado")</f>
        <v>Jefte Soares Da Silva</v>
      </c>
      <c r="F127" s="34" t="str">
        <f>IFERROR(VLOOKUP(tbLOG[[#This Row],[LOGIN]],tbMAPA[#All],3,0), "Não localizado")</f>
        <v>Daniela Andrade Silva</v>
      </c>
      <c r="G127" s="3" t="s">
        <v>1000</v>
      </c>
      <c r="H127" s="3" t="s">
        <v>836</v>
      </c>
      <c r="K127" s="3" t="s">
        <v>778</v>
      </c>
      <c r="L127" s="3" t="s">
        <v>152</v>
      </c>
      <c r="M127" s="3" t="s">
        <v>204</v>
      </c>
    </row>
    <row r="128" spans="1:13">
      <c r="A128" s="29">
        <v>42738.406504629631</v>
      </c>
      <c r="B128" s="29" t="str">
        <f>PROPER(TEXT(tbLOG[[#This Row],[DATA/HORA]],"mmmm"))</f>
        <v>Janeiro</v>
      </c>
      <c r="C128" s="34" t="str">
        <f>PROPER(TEXT(tbLOG[[#This Row],[DATA/HORA]],"dddd"))</f>
        <v>Terça-Feira</v>
      </c>
      <c r="D128" s="3" t="s">
        <v>300</v>
      </c>
      <c r="E128" s="34" t="str">
        <f>IFERROR(VLOOKUP(tbLOG[[#This Row],[LOGIN]],tbMAPA[#All],2,0), "Não localizado")</f>
        <v>Jefte Soares Da Silva</v>
      </c>
      <c r="F128" s="34" t="str">
        <f>IFERROR(VLOOKUP(tbLOG[[#This Row],[LOGIN]],tbMAPA[#All],3,0), "Não localizado")</f>
        <v>Daniela Andrade Silva</v>
      </c>
      <c r="G128" s="3" t="s">
        <v>1000</v>
      </c>
      <c r="H128" s="3" t="s">
        <v>836</v>
      </c>
      <c r="K128" s="3" t="s">
        <v>779</v>
      </c>
      <c r="L128" s="3" t="s">
        <v>312</v>
      </c>
      <c r="M128" s="3" t="s">
        <v>271</v>
      </c>
    </row>
    <row r="129" spans="1:13">
      <c r="A129" s="29">
        <v>42738.406585648147</v>
      </c>
      <c r="B129" s="29" t="str">
        <f>PROPER(TEXT(tbLOG[[#This Row],[DATA/HORA]],"mmmm"))</f>
        <v>Janeiro</v>
      </c>
      <c r="C129" s="34" t="str">
        <f>PROPER(TEXT(tbLOG[[#This Row],[DATA/HORA]],"dddd"))</f>
        <v>Terça-Feira</v>
      </c>
      <c r="D129" s="3" t="s">
        <v>300</v>
      </c>
      <c r="E129" s="34" t="str">
        <f>IFERROR(VLOOKUP(tbLOG[[#This Row],[LOGIN]],tbMAPA[#All],2,0), "Não localizado")</f>
        <v>Jefte Soares Da Silva</v>
      </c>
      <c r="F129" s="34" t="str">
        <f>IFERROR(VLOOKUP(tbLOG[[#This Row],[LOGIN]],tbMAPA[#All],3,0), "Não localizado")</f>
        <v>Daniela Andrade Silva</v>
      </c>
      <c r="G129" s="3" t="s">
        <v>1000</v>
      </c>
      <c r="H129" s="3" t="s">
        <v>836</v>
      </c>
      <c r="K129" s="3" t="s">
        <v>780</v>
      </c>
      <c r="L129" s="3" t="s">
        <v>96</v>
      </c>
      <c r="M129" s="3" t="s">
        <v>204</v>
      </c>
    </row>
    <row r="130" spans="1:13">
      <c r="A130" s="29">
        <v>42738.406608796293</v>
      </c>
      <c r="B130" s="29" t="str">
        <f>PROPER(TEXT(tbLOG[[#This Row],[DATA/HORA]],"mmmm"))</f>
        <v>Janeiro</v>
      </c>
      <c r="C130" s="34" t="str">
        <f>PROPER(TEXT(tbLOG[[#This Row],[DATA/HORA]],"dddd"))</f>
        <v>Terça-Feira</v>
      </c>
      <c r="D130" s="3" t="s">
        <v>300</v>
      </c>
      <c r="E130" s="34" t="str">
        <f>IFERROR(VLOOKUP(tbLOG[[#This Row],[LOGIN]],tbMAPA[#All],2,0), "Não localizado")</f>
        <v>Jefte Soares Da Silva</v>
      </c>
      <c r="F130" s="34" t="str">
        <f>IFERROR(VLOOKUP(tbLOG[[#This Row],[LOGIN]],tbMAPA[#All],3,0), "Não localizado")</f>
        <v>Daniela Andrade Silva</v>
      </c>
      <c r="G130" s="3" t="s">
        <v>1000</v>
      </c>
      <c r="H130" s="3" t="s">
        <v>836</v>
      </c>
      <c r="K130" s="3" t="s">
        <v>781</v>
      </c>
      <c r="L130" s="3" t="s">
        <v>121</v>
      </c>
      <c r="M130" s="3" t="s">
        <v>204</v>
      </c>
    </row>
    <row r="131" spans="1:13">
      <c r="A131" s="29">
        <v>42738.406712962962</v>
      </c>
      <c r="B131" s="29" t="str">
        <f>PROPER(TEXT(tbLOG[[#This Row],[DATA/HORA]],"mmmm"))</f>
        <v>Janeiro</v>
      </c>
      <c r="C131" s="34" t="str">
        <f>PROPER(TEXT(tbLOG[[#This Row],[DATA/HORA]],"dddd"))</f>
        <v>Terça-Feira</v>
      </c>
      <c r="D131" s="3" t="s">
        <v>300</v>
      </c>
      <c r="E131" s="34" t="str">
        <f>IFERROR(VLOOKUP(tbLOG[[#This Row],[LOGIN]],tbMAPA[#All],2,0), "Não localizado")</f>
        <v>Jefte Soares Da Silva</v>
      </c>
      <c r="F131" s="34" t="str">
        <f>IFERROR(VLOOKUP(tbLOG[[#This Row],[LOGIN]],tbMAPA[#All],3,0), "Não localizado")</f>
        <v>Daniela Andrade Silva</v>
      </c>
      <c r="G131" s="3" t="s">
        <v>1000</v>
      </c>
      <c r="H131" s="3" t="s">
        <v>836</v>
      </c>
      <c r="K131" s="3" t="s">
        <v>782</v>
      </c>
      <c r="L131" s="3" t="s">
        <v>644</v>
      </c>
      <c r="M131" s="3" t="s">
        <v>271</v>
      </c>
    </row>
    <row r="132" spans="1:13">
      <c r="A132" s="29">
        <v>42738.406782407408</v>
      </c>
      <c r="B132" s="29" t="str">
        <f>PROPER(TEXT(tbLOG[[#This Row],[DATA/HORA]],"mmmm"))</f>
        <v>Janeiro</v>
      </c>
      <c r="C132" s="34" t="str">
        <f>PROPER(TEXT(tbLOG[[#This Row],[DATA/HORA]],"dddd"))</f>
        <v>Terça-Feira</v>
      </c>
      <c r="D132" s="3" t="s">
        <v>300</v>
      </c>
      <c r="E132" s="34" t="str">
        <f>IFERROR(VLOOKUP(tbLOG[[#This Row],[LOGIN]],tbMAPA[#All],2,0), "Não localizado")</f>
        <v>Jefte Soares Da Silva</v>
      </c>
      <c r="F132" s="34" t="str">
        <f>IFERROR(VLOOKUP(tbLOG[[#This Row],[LOGIN]],tbMAPA[#All],3,0), "Não localizado")</f>
        <v>Daniela Andrade Silva</v>
      </c>
      <c r="G132" s="3" t="s">
        <v>1000</v>
      </c>
      <c r="H132" s="3" t="s">
        <v>836</v>
      </c>
      <c r="K132" s="3" t="s">
        <v>783</v>
      </c>
      <c r="L132" s="3" t="s">
        <v>148</v>
      </c>
      <c r="M132" s="3" t="s">
        <v>204</v>
      </c>
    </row>
    <row r="133" spans="1:13">
      <c r="A133" s="29">
        <v>42738.406956018516</v>
      </c>
      <c r="B133" s="29" t="str">
        <f>PROPER(TEXT(tbLOG[[#This Row],[DATA/HORA]],"mmmm"))</f>
        <v>Janeiro</v>
      </c>
      <c r="C133" s="34" t="str">
        <f>PROPER(TEXT(tbLOG[[#This Row],[DATA/HORA]],"dddd"))</f>
        <v>Terça-Feira</v>
      </c>
      <c r="D133" s="3" t="s">
        <v>300</v>
      </c>
      <c r="E133" s="34" t="str">
        <f>IFERROR(VLOOKUP(tbLOG[[#This Row],[LOGIN]],tbMAPA[#All],2,0), "Não localizado")</f>
        <v>Jefte Soares Da Silva</v>
      </c>
      <c r="F133" s="34" t="str">
        <f>IFERROR(VLOOKUP(tbLOG[[#This Row],[LOGIN]],tbMAPA[#All],3,0), "Não localizado")</f>
        <v>Daniela Andrade Silva</v>
      </c>
      <c r="G133" s="3" t="s">
        <v>1000</v>
      </c>
      <c r="H133" s="3" t="s">
        <v>835</v>
      </c>
      <c r="K133" s="3" t="s">
        <v>784</v>
      </c>
      <c r="L133" s="3" t="s">
        <v>178</v>
      </c>
      <c r="M133" s="3" t="s">
        <v>271</v>
      </c>
    </row>
    <row r="134" spans="1:13">
      <c r="A134" s="29">
        <v>42738.407094907408</v>
      </c>
      <c r="B134" s="29" t="str">
        <f>PROPER(TEXT(tbLOG[[#This Row],[DATA/HORA]],"mmmm"))</f>
        <v>Janeiro</v>
      </c>
      <c r="C134" s="34" t="str">
        <f>PROPER(TEXT(tbLOG[[#This Row],[DATA/HORA]],"dddd"))</f>
        <v>Terça-Feira</v>
      </c>
      <c r="D134" s="3" t="s">
        <v>300</v>
      </c>
      <c r="E134" s="34" t="str">
        <f>IFERROR(VLOOKUP(tbLOG[[#This Row],[LOGIN]],tbMAPA[#All],2,0), "Não localizado")</f>
        <v>Jefte Soares Da Silva</v>
      </c>
      <c r="F134" s="34" t="str">
        <f>IFERROR(VLOOKUP(tbLOG[[#This Row],[LOGIN]],tbMAPA[#All],3,0), "Não localizado")</f>
        <v>Daniela Andrade Silva</v>
      </c>
      <c r="G134" s="3" t="s">
        <v>1000</v>
      </c>
      <c r="H134" s="3" t="s">
        <v>835</v>
      </c>
      <c r="K134" s="3" t="s">
        <v>785</v>
      </c>
      <c r="L134" s="3" t="s">
        <v>645</v>
      </c>
      <c r="M134" s="3" t="s">
        <v>204</v>
      </c>
    </row>
    <row r="135" spans="1:13">
      <c r="A135" s="29">
        <v>42738.407812500001</v>
      </c>
      <c r="B135" s="29" t="str">
        <f>PROPER(TEXT(tbLOG[[#This Row],[DATA/HORA]],"mmmm"))</f>
        <v>Janeiro</v>
      </c>
      <c r="C135" s="34" t="str">
        <f>PROPER(TEXT(tbLOG[[#This Row],[DATA/HORA]],"dddd"))</f>
        <v>Terça-Feira</v>
      </c>
      <c r="D135" s="3" t="s">
        <v>300</v>
      </c>
      <c r="E135" s="34" t="str">
        <f>IFERROR(VLOOKUP(tbLOG[[#This Row],[LOGIN]],tbMAPA[#All],2,0), "Não localizado")</f>
        <v>Jefte Soares Da Silva</v>
      </c>
      <c r="F135" s="34" t="str">
        <f>IFERROR(VLOOKUP(tbLOG[[#This Row],[LOGIN]],tbMAPA[#All],3,0), "Não localizado")</f>
        <v>Daniela Andrade Silva</v>
      </c>
      <c r="G135" s="3" t="s">
        <v>1000</v>
      </c>
      <c r="H135" s="3" t="s">
        <v>836</v>
      </c>
      <c r="K135" s="3" t="s">
        <v>786</v>
      </c>
      <c r="L135" s="3" t="s">
        <v>126</v>
      </c>
      <c r="M135" s="3" t="s">
        <v>204</v>
      </c>
    </row>
    <row r="136" spans="1:13">
      <c r="A136" s="29">
        <v>42738.407962962963</v>
      </c>
      <c r="B136" s="29" t="str">
        <f>PROPER(TEXT(tbLOG[[#This Row],[DATA/HORA]],"mmmm"))</f>
        <v>Janeiro</v>
      </c>
      <c r="C136" s="34" t="str">
        <f>PROPER(TEXT(tbLOG[[#This Row],[DATA/HORA]],"dddd"))</f>
        <v>Terça-Feira</v>
      </c>
      <c r="D136" s="3" t="s">
        <v>300</v>
      </c>
      <c r="E136" s="34" t="str">
        <f>IFERROR(VLOOKUP(tbLOG[[#This Row],[LOGIN]],tbMAPA[#All],2,0), "Não localizado")</f>
        <v>Jefte Soares Da Silva</v>
      </c>
      <c r="F136" s="34" t="str">
        <f>IFERROR(VLOOKUP(tbLOG[[#This Row],[LOGIN]],tbMAPA[#All],3,0), "Não localizado")</f>
        <v>Daniela Andrade Silva</v>
      </c>
      <c r="G136" s="3" t="s">
        <v>1000</v>
      </c>
      <c r="H136" s="3" t="s">
        <v>331</v>
      </c>
      <c r="K136" s="3" t="s">
        <v>787</v>
      </c>
      <c r="L136" s="3" t="s">
        <v>646</v>
      </c>
      <c r="M136" s="3" t="s">
        <v>271</v>
      </c>
    </row>
    <row r="137" spans="1:13">
      <c r="A137" s="29">
        <v>42738.408032407409</v>
      </c>
      <c r="B137" s="29" t="str">
        <f>PROPER(TEXT(tbLOG[[#This Row],[DATA/HORA]],"mmmm"))</f>
        <v>Janeiro</v>
      </c>
      <c r="C137" s="34" t="str">
        <f>PROPER(TEXT(tbLOG[[#This Row],[DATA/HORA]],"dddd"))</f>
        <v>Terça-Feira</v>
      </c>
      <c r="D137" s="3" t="s">
        <v>300</v>
      </c>
      <c r="E137" s="34" t="str">
        <f>IFERROR(VLOOKUP(tbLOG[[#This Row],[LOGIN]],tbMAPA[#All],2,0), "Não localizado")</f>
        <v>Jefte Soares Da Silva</v>
      </c>
      <c r="F137" s="34" t="str">
        <f>IFERROR(VLOOKUP(tbLOG[[#This Row],[LOGIN]],tbMAPA[#All],3,0), "Não localizado")</f>
        <v>Daniela Andrade Silva</v>
      </c>
      <c r="G137" s="3" t="s">
        <v>1000</v>
      </c>
      <c r="H137" s="3" t="s">
        <v>331</v>
      </c>
      <c r="K137" s="3" t="s">
        <v>788</v>
      </c>
      <c r="L137" s="3" t="s">
        <v>647</v>
      </c>
      <c r="M137" s="3" t="s">
        <v>653</v>
      </c>
    </row>
    <row r="138" spans="1:13">
      <c r="A138" s="29">
        <v>42738.408090277779</v>
      </c>
      <c r="B138" s="29" t="str">
        <f>PROPER(TEXT(tbLOG[[#This Row],[DATA/HORA]],"mmmm"))</f>
        <v>Janeiro</v>
      </c>
      <c r="C138" s="34" t="str">
        <f>PROPER(TEXT(tbLOG[[#This Row],[DATA/HORA]],"dddd"))</f>
        <v>Terça-Feira</v>
      </c>
      <c r="D138" s="3" t="s">
        <v>300</v>
      </c>
      <c r="E138" s="34" t="str">
        <f>IFERROR(VLOOKUP(tbLOG[[#This Row],[LOGIN]],tbMAPA[#All],2,0), "Não localizado")</f>
        <v>Jefte Soares Da Silva</v>
      </c>
      <c r="F138" s="34" t="str">
        <f>IFERROR(VLOOKUP(tbLOG[[#This Row],[LOGIN]],tbMAPA[#All],3,0), "Não localizado")</f>
        <v>Daniela Andrade Silva</v>
      </c>
      <c r="G138" s="3" t="s">
        <v>1000</v>
      </c>
      <c r="H138" s="3" t="s">
        <v>331</v>
      </c>
      <c r="K138" s="3" t="s">
        <v>789</v>
      </c>
      <c r="L138" s="3" t="s">
        <v>648</v>
      </c>
      <c r="M138" s="3" t="s">
        <v>653</v>
      </c>
    </row>
    <row r="139" spans="1:13">
      <c r="A139" s="29">
        <v>42738.408194444448</v>
      </c>
      <c r="B139" s="29" t="str">
        <f>PROPER(TEXT(tbLOG[[#This Row],[DATA/HORA]],"mmmm"))</f>
        <v>Janeiro</v>
      </c>
      <c r="C139" s="34" t="str">
        <f>PROPER(TEXT(tbLOG[[#This Row],[DATA/HORA]],"dddd"))</f>
        <v>Terça-Feira</v>
      </c>
      <c r="D139" s="3" t="s">
        <v>300</v>
      </c>
      <c r="E139" s="34" t="str">
        <f>IFERROR(VLOOKUP(tbLOG[[#This Row],[LOGIN]],tbMAPA[#All],2,0), "Não localizado")</f>
        <v>Jefte Soares Da Silva</v>
      </c>
      <c r="F139" s="34" t="str">
        <f>IFERROR(VLOOKUP(tbLOG[[#This Row],[LOGIN]],tbMAPA[#All],3,0), "Não localizado")</f>
        <v>Daniela Andrade Silva</v>
      </c>
      <c r="G139" s="3" t="s">
        <v>1000</v>
      </c>
      <c r="H139" s="3" t="s">
        <v>331</v>
      </c>
      <c r="K139" s="3" t="s">
        <v>790</v>
      </c>
      <c r="L139" s="3" t="s">
        <v>649</v>
      </c>
      <c r="M139" s="3" t="s">
        <v>653</v>
      </c>
    </row>
    <row r="140" spans="1:13">
      <c r="A140" s="29">
        <v>42738.408263888887</v>
      </c>
      <c r="B140" s="29" t="str">
        <f>PROPER(TEXT(tbLOG[[#This Row],[DATA/HORA]],"mmmm"))</f>
        <v>Janeiro</v>
      </c>
      <c r="C140" s="34" t="str">
        <f>PROPER(TEXT(tbLOG[[#This Row],[DATA/HORA]],"dddd"))</f>
        <v>Terça-Feira</v>
      </c>
      <c r="D140" s="3" t="s">
        <v>300</v>
      </c>
      <c r="E140" s="34" t="str">
        <f>IFERROR(VLOOKUP(tbLOG[[#This Row],[LOGIN]],tbMAPA[#All],2,0), "Não localizado")</f>
        <v>Jefte Soares Da Silva</v>
      </c>
      <c r="F140" s="34" t="str">
        <f>IFERROR(VLOOKUP(tbLOG[[#This Row],[LOGIN]],tbMAPA[#All],3,0), "Não localizado")</f>
        <v>Daniela Andrade Silva</v>
      </c>
      <c r="G140" s="3" t="s">
        <v>1000</v>
      </c>
      <c r="H140" s="3" t="s">
        <v>331</v>
      </c>
      <c r="K140" s="3" t="s">
        <v>791</v>
      </c>
      <c r="L140" s="3" t="s">
        <v>650</v>
      </c>
      <c r="M140" s="3" t="s">
        <v>653</v>
      </c>
    </row>
    <row r="141" spans="1:13">
      <c r="A141" s="29">
        <v>42738.40834490741</v>
      </c>
      <c r="B141" s="29" t="str">
        <f>PROPER(TEXT(tbLOG[[#This Row],[DATA/HORA]],"mmmm"))</f>
        <v>Janeiro</v>
      </c>
      <c r="C141" s="34" t="str">
        <f>PROPER(TEXT(tbLOG[[#This Row],[DATA/HORA]],"dddd"))</f>
        <v>Terça-Feira</v>
      </c>
      <c r="D141" s="3" t="s">
        <v>300</v>
      </c>
      <c r="E141" s="34" t="str">
        <f>IFERROR(VLOOKUP(tbLOG[[#This Row],[LOGIN]],tbMAPA[#All],2,0), "Não localizado")</f>
        <v>Jefte Soares Da Silva</v>
      </c>
      <c r="F141" s="34" t="str">
        <f>IFERROR(VLOOKUP(tbLOG[[#This Row],[LOGIN]],tbMAPA[#All],3,0), "Não localizado")</f>
        <v>Daniela Andrade Silva</v>
      </c>
      <c r="G141" s="3" t="s">
        <v>1000</v>
      </c>
      <c r="H141" s="3" t="s">
        <v>290</v>
      </c>
      <c r="K141" s="3" t="s">
        <v>792</v>
      </c>
      <c r="L141" s="3" t="s">
        <v>651</v>
      </c>
      <c r="M141" s="3" t="s">
        <v>653</v>
      </c>
    </row>
    <row r="142" spans="1:13">
      <c r="A142" s="29">
        <v>42738.409594907411</v>
      </c>
      <c r="B142" s="29" t="str">
        <f>PROPER(TEXT(tbLOG[[#This Row],[DATA/HORA]],"mmmm"))</f>
        <v>Janeiro</v>
      </c>
      <c r="C142" s="34" t="str">
        <f>PROPER(TEXT(tbLOG[[#This Row],[DATA/HORA]],"dddd"))</f>
        <v>Terça-Feira</v>
      </c>
      <c r="D142" s="3" t="s">
        <v>300</v>
      </c>
      <c r="E142" s="34" t="str">
        <f>IFERROR(VLOOKUP(tbLOG[[#This Row],[LOGIN]],tbMAPA[#All],2,0), "Não localizado")</f>
        <v>Jefte Soares Da Silva</v>
      </c>
      <c r="F142" s="34" t="str">
        <f>IFERROR(VLOOKUP(tbLOG[[#This Row],[LOGIN]],tbMAPA[#All],3,0), "Não localizado")</f>
        <v>Daniela Andrade Silva</v>
      </c>
      <c r="G142" s="3" t="s">
        <v>1000</v>
      </c>
      <c r="H142" s="3" t="s">
        <v>291</v>
      </c>
      <c r="K142" s="3" t="s">
        <v>793</v>
      </c>
      <c r="L142" s="3" t="s">
        <v>652</v>
      </c>
      <c r="M142" s="3" t="s">
        <v>653</v>
      </c>
    </row>
    <row r="143" spans="1:13">
      <c r="A143" s="29">
        <v>42738.409594907411</v>
      </c>
      <c r="B143" s="29" t="str">
        <f>PROPER(TEXT(tbLOG[[#This Row],[DATA/HORA]],"mmmm"))</f>
        <v>Janeiro</v>
      </c>
      <c r="C143" s="34" t="str">
        <f>PROPER(TEXT(tbLOG[[#This Row],[DATA/HORA]],"dddd"))</f>
        <v>Terça-Feira</v>
      </c>
      <c r="D143" s="3" t="s">
        <v>300</v>
      </c>
      <c r="E143" s="34" t="str">
        <f>IFERROR(VLOOKUP(tbLOG[[#This Row],[LOGIN]],tbMAPA[#All],2,0), "Não localizado")</f>
        <v>Jefte Soares Da Silva</v>
      </c>
      <c r="F143" s="34" t="str">
        <f>IFERROR(VLOOKUP(tbLOG[[#This Row],[LOGIN]],tbMAPA[#All],3,0), "Não localizado")</f>
        <v>Daniela Andrade Silva</v>
      </c>
      <c r="G143" s="3" t="s">
        <v>1000</v>
      </c>
      <c r="H143" s="3" t="s">
        <v>290</v>
      </c>
      <c r="K143" s="3" t="s">
        <v>794</v>
      </c>
      <c r="L143" s="3" t="s">
        <v>653</v>
      </c>
      <c r="M143" s="3" t="s">
        <v>657</v>
      </c>
    </row>
    <row r="144" spans="1:13">
      <c r="A144" s="29">
        <v>42738.431770833333</v>
      </c>
      <c r="B144" s="29" t="str">
        <f>PROPER(TEXT(tbLOG[[#This Row],[DATA/HORA]],"mmmm"))</f>
        <v>Janeiro</v>
      </c>
      <c r="C144" s="34" t="str">
        <f>PROPER(TEXT(tbLOG[[#This Row],[DATA/HORA]],"dddd"))</f>
        <v>Terça-Feira</v>
      </c>
      <c r="D144" s="3" t="s">
        <v>604</v>
      </c>
      <c r="E144" s="34" t="str">
        <f>IFERROR(VLOOKUP(tbLOG[[#This Row],[LOGIN]],tbMAPA[#All],2,0), "Não localizado")</f>
        <v>Renan Cazumba Tegani</v>
      </c>
      <c r="F144" s="34" t="str">
        <f>IFERROR(VLOOKUP(tbLOG[[#This Row],[LOGIN]],tbMAPA[#All],3,0), "Não localizado")</f>
        <v>Reginaldo Santana De Souza</v>
      </c>
      <c r="G144" s="3" t="s">
        <v>1211</v>
      </c>
      <c r="H144" s="3" t="s">
        <v>994</v>
      </c>
      <c r="K144" s="3" t="s">
        <v>795</v>
      </c>
      <c r="L144" s="3" t="s">
        <v>654</v>
      </c>
      <c r="M144" s="3" t="s">
        <v>653</v>
      </c>
    </row>
    <row r="145" spans="1:13">
      <c r="A145" s="29">
        <v>42738.432384259257</v>
      </c>
      <c r="B145" s="29" t="str">
        <f>PROPER(TEXT(tbLOG[[#This Row],[DATA/HORA]],"mmmm"))</f>
        <v>Janeiro</v>
      </c>
      <c r="C145" s="34" t="str">
        <f>PROPER(TEXT(tbLOG[[#This Row],[DATA/HORA]],"dddd"))</f>
        <v>Terça-Feira</v>
      </c>
      <c r="D145" s="3" t="s">
        <v>604</v>
      </c>
      <c r="E145" s="34" t="str">
        <f>IFERROR(VLOOKUP(tbLOG[[#This Row],[LOGIN]],tbMAPA[#All],2,0), "Não localizado")</f>
        <v>Renan Cazumba Tegani</v>
      </c>
      <c r="F145" s="34" t="str">
        <f>IFERROR(VLOOKUP(tbLOG[[#This Row],[LOGIN]],tbMAPA[#All],3,0), "Não localizado")</f>
        <v>Reginaldo Santana De Souza</v>
      </c>
      <c r="G145" s="3" t="s">
        <v>1211</v>
      </c>
      <c r="H145" s="3" t="s">
        <v>309</v>
      </c>
      <c r="K145" s="3" t="s">
        <v>796</v>
      </c>
      <c r="L145" s="3" t="s">
        <v>655</v>
      </c>
      <c r="M145" s="3" t="s">
        <v>653</v>
      </c>
    </row>
    <row r="146" spans="1:13">
      <c r="A146" s="29">
        <v>42738.432384259257</v>
      </c>
      <c r="B146" s="29" t="str">
        <f>PROPER(TEXT(tbLOG[[#This Row],[DATA/HORA]],"mmmm"))</f>
        <v>Janeiro</v>
      </c>
      <c r="C146" s="34" t="str">
        <f>PROPER(TEXT(tbLOG[[#This Row],[DATA/HORA]],"dddd"))</f>
        <v>Terça-Feira</v>
      </c>
      <c r="D146" s="3" t="s">
        <v>604</v>
      </c>
      <c r="E146" s="34" t="str">
        <f>IFERROR(VLOOKUP(tbLOG[[#This Row],[LOGIN]],tbMAPA[#All],2,0), "Não localizado")</f>
        <v>Renan Cazumba Tegani</v>
      </c>
      <c r="F146" s="34" t="str">
        <f>IFERROR(VLOOKUP(tbLOG[[#This Row],[LOGIN]],tbMAPA[#All],3,0), "Não localizado")</f>
        <v>Reginaldo Santana De Souza</v>
      </c>
      <c r="G146" s="3" t="s">
        <v>1211</v>
      </c>
      <c r="H146" s="3" t="s">
        <v>310</v>
      </c>
      <c r="K146" s="3" t="s">
        <v>797</v>
      </c>
      <c r="L146" s="3" t="s">
        <v>329</v>
      </c>
      <c r="M146" s="3" t="s">
        <v>278</v>
      </c>
    </row>
    <row r="147" spans="1:13">
      <c r="A147" s="29">
        <v>42738.432442129626</v>
      </c>
      <c r="B147" s="29" t="str">
        <f>PROPER(TEXT(tbLOG[[#This Row],[DATA/HORA]],"mmmm"))</f>
        <v>Janeiro</v>
      </c>
      <c r="C147" s="34" t="str">
        <f>PROPER(TEXT(tbLOG[[#This Row],[DATA/HORA]],"dddd"))</f>
        <v>Terça-Feira</v>
      </c>
      <c r="D147" s="3" t="s">
        <v>604</v>
      </c>
      <c r="E147" s="34" t="str">
        <f>IFERROR(VLOOKUP(tbLOG[[#This Row],[LOGIN]],tbMAPA[#All],2,0), "Não localizado")</f>
        <v>Renan Cazumba Tegani</v>
      </c>
      <c r="F147" s="34" t="str">
        <f>IFERROR(VLOOKUP(tbLOG[[#This Row],[LOGIN]],tbMAPA[#All],3,0), "Não localizado")</f>
        <v>Reginaldo Santana De Souza</v>
      </c>
      <c r="G147" s="3" t="s">
        <v>1211</v>
      </c>
      <c r="H147" s="3" t="s">
        <v>309</v>
      </c>
      <c r="K147" s="3" t="s">
        <v>798</v>
      </c>
      <c r="L147" s="3" t="s">
        <v>51</v>
      </c>
      <c r="M147" s="3" t="s">
        <v>329</v>
      </c>
    </row>
    <row r="148" spans="1:13">
      <c r="A148" s="29">
        <v>42738.432442129626</v>
      </c>
      <c r="B148" s="29" t="str">
        <f>PROPER(TEXT(tbLOG[[#This Row],[DATA/HORA]],"mmmm"))</f>
        <v>Janeiro</v>
      </c>
      <c r="C148" s="34" t="str">
        <f>PROPER(TEXT(tbLOG[[#This Row],[DATA/HORA]],"dddd"))</f>
        <v>Terça-Feira</v>
      </c>
      <c r="D148" s="3" t="s">
        <v>604</v>
      </c>
      <c r="E148" s="34" t="str">
        <f>IFERROR(VLOOKUP(tbLOG[[#This Row],[LOGIN]],tbMAPA[#All],2,0), "Não localizado")</f>
        <v>Renan Cazumba Tegani</v>
      </c>
      <c r="F148" s="34" t="str">
        <f>IFERROR(VLOOKUP(tbLOG[[#This Row],[LOGIN]],tbMAPA[#All],3,0), "Não localizado")</f>
        <v>Reginaldo Santana De Souza</v>
      </c>
      <c r="G148" s="3" t="s">
        <v>1211</v>
      </c>
      <c r="H148" s="3" t="s">
        <v>309</v>
      </c>
      <c r="K148" s="3" t="s">
        <v>799</v>
      </c>
      <c r="L148" s="3" t="s">
        <v>271</v>
      </c>
      <c r="M148" s="3" t="s">
        <v>329</v>
      </c>
    </row>
    <row r="149" spans="1:13">
      <c r="A149" s="29">
        <v>42738.432442129626</v>
      </c>
      <c r="B149" s="29" t="str">
        <f>PROPER(TEXT(tbLOG[[#This Row],[DATA/HORA]],"mmmm"))</f>
        <v>Janeiro</v>
      </c>
      <c r="C149" s="34" t="str">
        <f>PROPER(TEXT(tbLOG[[#This Row],[DATA/HORA]],"dddd"))</f>
        <v>Terça-Feira</v>
      </c>
      <c r="D149" s="3" t="s">
        <v>604</v>
      </c>
      <c r="E149" s="34" t="str">
        <f>IFERROR(VLOOKUP(tbLOG[[#This Row],[LOGIN]],tbMAPA[#All],2,0), "Não localizado")</f>
        <v>Renan Cazumba Tegani</v>
      </c>
      <c r="F149" s="34" t="str">
        <f>IFERROR(VLOOKUP(tbLOG[[#This Row],[LOGIN]],tbMAPA[#All],3,0), "Não localizado")</f>
        <v>Reginaldo Santana De Souza</v>
      </c>
      <c r="G149" s="3" t="s">
        <v>1211</v>
      </c>
      <c r="H149" s="3" t="s">
        <v>314</v>
      </c>
      <c r="K149" s="3" t="s">
        <v>800</v>
      </c>
      <c r="L149" s="3" t="s">
        <v>204</v>
      </c>
      <c r="M149" s="3" t="s">
        <v>329</v>
      </c>
    </row>
    <row r="150" spans="1:13">
      <c r="A150" s="29">
        <v>42738.432673611111</v>
      </c>
      <c r="B150" s="29" t="str">
        <f>PROPER(TEXT(tbLOG[[#This Row],[DATA/HORA]],"mmmm"))</f>
        <v>Janeiro</v>
      </c>
      <c r="C150" s="34" t="str">
        <f>PROPER(TEXT(tbLOG[[#This Row],[DATA/HORA]],"dddd"))</f>
        <v>Terça-Feira</v>
      </c>
      <c r="D150" s="3" t="s">
        <v>604</v>
      </c>
      <c r="E150" s="34" t="str">
        <f>IFERROR(VLOOKUP(tbLOG[[#This Row],[LOGIN]],tbMAPA[#All],2,0), "Não localizado")</f>
        <v>Renan Cazumba Tegani</v>
      </c>
      <c r="F150" s="34" t="str">
        <f>IFERROR(VLOOKUP(tbLOG[[#This Row],[LOGIN]],tbMAPA[#All],3,0), "Não localizado")</f>
        <v>Reginaldo Santana De Souza</v>
      </c>
      <c r="G150" s="3" t="s">
        <v>1211</v>
      </c>
      <c r="H150" s="3" t="s">
        <v>334</v>
      </c>
      <c r="K150" s="3" t="s">
        <v>300</v>
      </c>
      <c r="L150" s="3" t="s">
        <v>9</v>
      </c>
      <c r="M150" s="3" t="s">
        <v>127</v>
      </c>
    </row>
    <row r="151" spans="1:13">
      <c r="A151" s="29">
        <v>42738.432685185187</v>
      </c>
      <c r="B151" s="29" t="str">
        <f>PROPER(TEXT(tbLOG[[#This Row],[DATA/HORA]],"mmmm"))</f>
        <v>Janeiro</v>
      </c>
      <c r="C151" s="34" t="str">
        <f>PROPER(TEXT(tbLOG[[#This Row],[DATA/HORA]],"dddd"))</f>
        <v>Terça-Feira</v>
      </c>
      <c r="D151" s="3" t="s">
        <v>604</v>
      </c>
      <c r="E151" s="34" t="str">
        <f>IFERROR(VLOOKUP(tbLOG[[#This Row],[LOGIN]],tbMAPA[#All],2,0), "Não localizado")</f>
        <v>Renan Cazumba Tegani</v>
      </c>
      <c r="F151" s="34" t="str">
        <f>IFERROR(VLOOKUP(tbLOG[[#This Row],[LOGIN]],tbMAPA[#All],3,0), "Não localizado")</f>
        <v>Reginaldo Santana De Souza</v>
      </c>
      <c r="G151" s="3" t="s">
        <v>1211</v>
      </c>
      <c r="H151" s="3" t="s">
        <v>309</v>
      </c>
      <c r="K151" s="3" t="s">
        <v>801</v>
      </c>
      <c r="L151" s="3" t="s">
        <v>23</v>
      </c>
      <c r="M151" s="3" t="s">
        <v>127</v>
      </c>
    </row>
    <row r="152" spans="1:13">
      <c r="A152" s="29">
        <v>42738.432696759257</v>
      </c>
      <c r="B152" s="29" t="str">
        <f>PROPER(TEXT(tbLOG[[#This Row],[DATA/HORA]],"mmmm"))</f>
        <v>Janeiro</v>
      </c>
      <c r="C152" s="34" t="str">
        <f>PROPER(TEXT(tbLOG[[#This Row],[DATA/HORA]],"dddd"))</f>
        <v>Terça-Feira</v>
      </c>
      <c r="D152" s="3" t="s">
        <v>604</v>
      </c>
      <c r="E152" s="34" t="str">
        <f>IFERROR(VLOOKUP(tbLOG[[#This Row],[LOGIN]],tbMAPA[#All],2,0), "Não localizado")</f>
        <v>Renan Cazumba Tegani</v>
      </c>
      <c r="F152" s="34" t="str">
        <f>IFERROR(VLOOKUP(tbLOG[[#This Row],[LOGIN]],tbMAPA[#All],3,0), "Não localizado")</f>
        <v>Reginaldo Santana De Souza</v>
      </c>
      <c r="G152" s="3" t="s">
        <v>1211</v>
      </c>
      <c r="H152" s="3" t="s">
        <v>310</v>
      </c>
      <c r="K152" s="3" t="s">
        <v>802</v>
      </c>
      <c r="L152" s="3" t="s">
        <v>127</v>
      </c>
      <c r="M152" s="3" t="s">
        <v>278</v>
      </c>
    </row>
    <row r="153" spans="1:13">
      <c r="A153" s="29">
        <v>42738.432754629626</v>
      </c>
      <c r="B153" s="29" t="str">
        <f>PROPER(TEXT(tbLOG[[#This Row],[DATA/HORA]],"mmmm"))</f>
        <v>Janeiro</v>
      </c>
      <c r="C153" s="34" t="str">
        <f>PROPER(TEXT(tbLOG[[#This Row],[DATA/HORA]],"dddd"))</f>
        <v>Terça-Feira</v>
      </c>
      <c r="D153" s="3" t="s">
        <v>604</v>
      </c>
      <c r="E153" s="34" t="str">
        <f>IFERROR(VLOOKUP(tbLOG[[#This Row],[LOGIN]],tbMAPA[#All],2,0), "Não localizado")</f>
        <v>Renan Cazumba Tegani</v>
      </c>
      <c r="F153" s="34" t="str">
        <f>IFERROR(VLOOKUP(tbLOG[[#This Row],[LOGIN]],tbMAPA[#All],3,0), "Não localizado")</f>
        <v>Reginaldo Santana De Souza</v>
      </c>
      <c r="G153" s="3" t="s">
        <v>1211</v>
      </c>
      <c r="H153" s="3" t="s">
        <v>309</v>
      </c>
      <c r="K153" s="3" t="s">
        <v>335</v>
      </c>
      <c r="L153" s="3" t="s">
        <v>31</v>
      </c>
      <c r="M153" s="3" t="s">
        <v>127</v>
      </c>
    </row>
    <row r="154" spans="1:13">
      <c r="A154" s="29">
        <v>42738.432766203703</v>
      </c>
      <c r="B154" s="29" t="str">
        <f>PROPER(TEXT(tbLOG[[#This Row],[DATA/HORA]],"mmmm"))</f>
        <v>Janeiro</v>
      </c>
      <c r="C154" s="34" t="str">
        <f>PROPER(TEXT(tbLOG[[#This Row],[DATA/HORA]],"dddd"))</f>
        <v>Terça-Feira</v>
      </c>
      <c r="D154" s="3" t="s">
        <v>604</v>
      </c>
      <c r="E154" s="34" t="str">
        <f>IFERROR(VLOOKUP(tbLOG[[#This Row],[LOGIN]],tbMAPA[#All],2,0), "Não localizado")</f>
        <v>Renan Cazumba Tegani</v>
      </c>
      <c r="F154" s="34" t="str">
        <f>IFERROR(VLOOKUP(tbLOG[[#This Row],[LOGIN]],tbMAPA[#All],3,0), "Não localizado")</f>
        <v>Reginaldo Santana De Souza</v>
      </c>
      <c r="G154" s="3" t="s">
        <v>1211</v>
      </c>
      <c r="H154" s="3" t="s">
        <v>309</v>
      </c>
      <c r="K154" s="3" t="s">
        <v>803</v>
      </c>
      <c r="L154" s="3" t="s">
        <v>805</v>
      </c>
      <c r="M154" s="3" t="s">
        <v>657</v>
      </c>
    </row>
    <row r="155" spans="1:13">
      <c r="A155" s="29">
        <v>42738.432766203703</v>
      </c>
      <c r="B155" s="29" t="str">
        <f>PROPER(TEXT(tbLOG[[#This Row],[DATA/HORA]],"mmmm"))</f>
        <v>Janeiro</v>
      </c>
      <c r="C155" s="34" t="str">
        <f>PROPER(TEXT(tbLOG[[#This Row],[DATA/HORA]],"dddd"))</f>
        <v>Terça-Feira</v>
      </c>
      <c r="D155" s="3" t="s">
        <v>604</v>
      </c>
      <c r="E155" s="34" t="str">
        <f>IFERROR(VLOOKUP(tbLOG[[#This Row],[LOGIN]],tbMAPA[#All],2,0), "Não localizado")</f>
        <v>Renan Cazumba Tegani</v>
      </c>
      <c r="F155" s="34" t="str">
        <f>IFERROR(VLOOKUP(tbLOG[[#This Row],[LOGIN]],tbMAPA[#All],3,0), "Não localizado")</f>
        <v>Reginaldo Santana De Souza</v>
      </c>
      <c r="G155" s="3" t="s">
        <v>1211</v>
      </c>
      <c r="H155" s="3" t="s">
        <v>314</v>
      </c>
      <c r="K155" s="3" t="s">
        <v>804</v>
      </c>
      <c r="L155" s="3" t="s">
        <v>39</v>
      </c>
      <c r="M155" s="3" t="s">
        <v>127</v>
      </c>
    </row>
    <row r="156" spans="1:13">
      <c r="A156" s="29">
        <v>42738.440416666665</v>
      </c>
      <c r="B156" s="29" t="str">
        <f>PROPER(TEXT(tbLOG[[#This Row],[DATA/HORA]],"mmmm"))</f>
        <v>Janeiro</v>
      </c>
      <c r="C156" s="34" t="str">
        <f>PROPER(TEXT(tbLOG[[#This Row],[DATA/HORA]],"dddd"))</f>
        <v>Terça-Feira</v>
      </c>
      <c r="D156" s="3" t="s">
        <v>604</v>
      </c>
      <c r="E156" s="34" t="str">
        <f>IFERROR(VLOOKUP(tbLOG[[#This Row],[LOGIN]],tbMAPA[#All],2,0), "Não localizado")</f>
        <v>Renan Cazumba Tegani</v>
      </c>
      <c r="F156" s="34" t="str">
        <f>IFERROR(VLOOKUP(tbLOG[[#This Row],[LOGIN]],tbMAPA[#All],3,0), "Não localizado")</f>
        <v>Reginaldo Santana De Souza</v>
      </c>
      <c r="G156" s="3" t="s">
        <v>1211</v>
      </c>
      <c r="H156" s="3" t="s">
        <v>836</v>
      </c>
    </row>
    <row r="157" spans="1:13">
      <c r="A157" s="29">
        <v>42738.440451388888</v>
      </c>
      <c r="B157" s="29" t="str">
        <f>PROPER(TEXT(tbLOG[[#This Row],[DATA/HORA]],"mmmm"))</f>
        <v>Janeiro</v>
      </c>
      <c r="C157" s="34" t="str">
        <f>PROPER(TEXT(tbLOG[[#This Row],[DATA/HORA]],"dddd"))</f>
        <v>Terça-Feira</v>
      </c>
      <c r="D157" s="3" t="s">
        <v>604</v>
      </c>
      <c r="E157" s="34" t="str">
        <f>IFERROR(VLOOKUP(tbLOG[[#This Row],[LOGIN]],tbMAPA[#All],2,0), "Não localizado")</f>
        <v>Renan Cazumba Tegani</v>
      </c>
      <c r="F157" s="34" t="str">
        <f>IFERROR(VLOOKUP(tbLOG[[#This Row],[LOGIN]],tbMAPA[#All],3,0), "Não localizado")</f>
        <v>Reginaldo Santana De Souza</v>
      </c>
      <c r="G157" s="3" t="s">
        <v>1211</v>
      </c>
      <c r="H157" s="3" t="s">
        <v>836</v>
      </c>
    </row>
    <row r="158" spans="1:13">
      <c r="A158" s="29">
        <v>42738.440497685187</v>
      </c>
      <c r="B158" s="29" t="str">
        <f>PROPER(TEXT(tbLOG[[#This Row],[DATA/HORA]],"mmmm"))</f>
        <v>Janeiro</v>
      </c>
      <c r="C158" s="34" t="str">
        <f>PROPER(TEXT(tbLOG[[#This Row],[DATA/HORA]],"dddd"))</f>
        <v>Terça-Feira</v>
      </c>
      <c r="D158" s="3" t="s">
        <v>604</v>
      </c>
      <c r="E158" s="34" t="str">
        <f>IFERROR(VLOOKUP(tbLOG[[#This Row],[LOGIN]],tbMAPA[#All],2,0), "Não localizado")</f>
        <v>Renan Cazumba Tegani</v>
      </c>
      <c r="F158" s="34" t="str">
        <f>IFERROR(VLOOKUP(tbLOG[[#This Row],[LOGIN]],tbMAPA[#All],3,0), "Não localizado")</f>
        <v>Reginaldo Santana De Souza</v>
      </c>
      <c r="G158" s="3" t="s">
        <v>1211</v>
      </c>
      <c r="H158" s="3" t="s">
        <v>836</v>
      </c>
    </row>
    <row r="159" spans="1:13">
      <c r="A159" s="29">
        <v>42738.443807870368</v>
      </c>
      <c r="B159" s="29" t="str">
        <f>PROPER(TEXT(tbLOG[[#This Row],[DATA/HORA]],"mmmm"))</f>
        <v>Janeiro</v>
      </c>
      <c r="C159" s="34" t="str">
        <f>PROPER(TEXT(tbLOG[[#This Row],[DATA/HORA]],"dddd"))</f>
        <v>Terça-Feira</v>
      </c>
      <c r="D159" s="3" t="s">
        <v>604</v>
      </c>
      <c r="E159" s="34" t="str">
        <f>IFERROR(VLOOKUP(tbLOG[[#This Row],[LOGIN]],tbMAPA[#All],2,0), "Não localizado")</f>
        <v>Renan Cazumba Tegani</v>
      </c>
      <c r="F159" s="34" t="str">
        <f>IFERROR(VLOOKUP(tbLOG[[#This Row],[LOGIN]],tbMAPA[#All],3,0), "Não localizado")</f>
        <v>Reginaldo Santana De Souza</v>
      </c>
      <c r="G159" s="3" t="s">
        <v>1211</v>
      </c>
      <c r="H159" s="3" t="s">
        <v>836</v>
      </c>
    </row>
    <row r="160" spans="1:13">
      <c r="A160" s="29">
        <v>42738.443819444445</v>
      </c>
      <c r="B160" s="29" t="str">
        <f>PROPER(TEXT(tbLOG[[#This Row],[DATA/HORA]],"mmmm"))</f>
        <v>Janeiro</v>
      </c>
      <c r="C160" s="34" t="str">
        <f>PROPER(TEXT(tbLOG[[#This Row],[DATA/HORA]],"dddd"))</f>
        <v>Terça-Feira</v>
      </c>
      <c r="D160" s="3" t="s">
        <v>604</v>
      </c>
      <c r="E160" s="34" t="str">
        <f>IFERROR(VLOOKUP(tbLOG[[#This Row],[LOGIN]],tbMAPA[#All],2,0), "Não localizado")</f>
        <v>Renan Cazumba Tegani</v>
      </c>
      <c r="F160" s="34" t="str">
        <f>IFERROR(VLOOKUP(tbLOG[[#This Row],[LOGIN]],tbMAPA[#All],3,0), "Não localizado")</f>
        <v>Reginaldo Santana De Souza</v>
      </c>
      <c r="G160" s="3" t="s">
        <v>1211</v>
      </c>
      <c r="H160" s="3" t="s">
        <v>836</v>
      </c>
    </row>
    <row r="161" spans="1:8">
      <c r="A161" s="29">
        <v>42738.443912037037</v>
      </c>
      <c r="B161" s="29" t="str">
        <f>PROPER(TEXT(tbLOG[[#This Row],[DATA/HORA]],"mmmm"))</f>
        <v>Janeiro</v>
      </c>
      <c r="C161" s="34" t="str">
        <f>PROPER(TEXT(tbLOG[[#This Row],[DATA/HORA]],"dddd"))</f>
        <v>Terça-Feira</v>
      </c>
      <c r="D161" s="3" t="s">
        <v>604</v>
      </c>
      <c r="E161" s="34" t="str">
        <f>IFERROR(VLOOKUP(tbLOG[[#This Row],[LOGIN]],tbMAPA[#All],2,0), "Não localizado")</f>
        <v>Renan Cazumba Tegani</v>
      </c>
      <c r="F161" s="34" t="str">
        <f>IFERROR(VLOOKUP(tbLOG[[#This Row],[LOGIN]],tbMAPA[#All],3,0), "Não localizado")</f>
        <v>Reginaldo Santana De Souza</v>
      </c>
      <c r="G161" s="3" t="s">
        <v>1211</v>
      </c>
      <c r="H161" s="3" t="s">
        <v>836</v>
      </c>
    </row>
    <row r="162" spans="1:8">
      <c r="A162" s="29">
        <v>42738.445590277777</v>
      </c>
      <c r="B162" s="29" t="str">
        <f>PROPER(TEXT(tbLOG[[#This Row],[DATA/HORA]],"mmmm"))</f>
        <v>Janeiro</v>
      </c>
      <c r="C162" s="34" t="str">
        <f>PROPER(TEXT(tbLOG[[#This Row],[DATA/HORA]],"dddd"))</f>
        <v>Terça-Feira</v>
      </c>
      <c r="D162" s="3" t="s">
        <v>604</v>
      </c>
      <c r="E162" s="34" t="str">
        <f>IFERROR(VLOOKUP(tbLOG[[#This Row],[LOGIN]],tbMAPA[#All],2,0), "Não localizado")</f>
        <v>Renan Cazumba Tegani</v>
      </c>
      <c r="F162" s="34" t="str">
        <f>IFERROR(VLOOKUP(tbLOG[[#This Row],[LOGIN]],tbMAPA[#All],3,0), "Não localizado")</f>
        <v>Reginaldo Santana De Souza</v>
      </c>
      <c r="G162" s="3" t="s">
        <v>1211</v>
      </c>
      <c r="H162" s="3" t="s">
        <v>836</v>
      </c>
    </row>
    <row r="163" spans="1:8">
      <c r="A163" s="29">
        <v>42738.445648148147</v>
      </c>
      <c r="B163" s="29" t="str">
        <f>PROPER(TEXT(tbLOG[[#This Row],[DATA/HORA]],"mmmm"))</f>
        <v>Janeiro</v>
      </c>
      <c r="C163" s="34" t="str">
        <f>PROPER(TEXT(tbLOG[[#This Row],[DATA/HORA]],"dddd"))</f>
        <v>Terça-Feira</v>
      </c>
      <c r="D163" s="3" t="s">
        <v>604</v>
      </c>
      <c r="E163" s="34" t="str">
        <f>IFERROR(VLOOKUP(tbLOG[[#This Row],[LOGIN]],tbMAPA[#All],2,0), "Não localizado")</f>
        <v>Renan Cazumba Tegani</v>
      </c>
      <c r="F163" s="34" t="str">
        <f>IFERROR(VLOOKUP(tbLOG[[#This Row],[LOGIN]],tbMAPA[#All],3,0), "Não localizado")</f>
        <v>Reginaldo Santana De Souza</v>
      </c>
      <c r="G163" s="3" t="s">
        <v>1211</v>
      </c>
      <c r="H163" s="3" t="s">
        <v>836</v>
      </c>
    </row>
    <row r="164" spans="1:8">
      <c r="A164" s="29">
        <v>42738.447083333333</v>
      </c>
      <c r="B164" s="29" t="str">
        <f>PROPER(TEXT(tbLOG[[#This Row],[DATA/HORA]],"mmmm"))</f>
        <v>Janeiro</v>
      </c>
      <c r="C164" s="34" t="str">
        <f>PROPER(TEXT(tbLOG[[#This Row],[DATA/HORA]],"dddd"))</f>
        <v>Terça-Feira</v>
      </c>
      <c r="D164" s="3" t="s">
        <v>604</v>
      </c>
      <c r="E164" s="34" t="str">
        <f>IFERROR(VLOOKUP(tbLOG[[#This Row],[LOGIN]],tbMAPA[#All],2,0), "Não localizado")</f>
        <v>Renan Cazumba Tegani</v>
      </c>
      <c r="F164" s="34" t="str">
        <f>IFERROR(VLOOKUP(tbLOG[[#This Row],[LOGIN]],tbMAPA[#All],3,0), "Não localizado")</f>
        <v>Reginaldo Santana De Souza</v>
      </c>
      <c r="G164" s="3" t="s">
        <v>1211</v>
      </c>
      <c r="H164" s="3" t="s">
        <v>836</v>
      </c>
    </row>
    <row r="165" spans="1:8">
      <c r="A165" s="29">
        <v>42738.449502314812</v>
      </c>
      <c r="B165" s="29" t="str">
        <f>PROPER(TEXT(tbLOG[[#This Row],[DATA/HORA]],"mmmm"))</f>
        <v>Janeiro</v>
      </c>
      <c r="C165" s="34" t="str">
        <f>PROPER(TEXT(tbLOG[[#This Row],[DATA/HORA]],"dddd"))</f>
        <v>Terça-Feira</v>
      </c>
      <c r="D165" s="3" t="s">
        <v>604</v>
      </c>
      <c r="E165" s="34" t="str">
        <f>IFERROR(VLOOKUP(tbLOG[[#This Row],[LOGIN]],tbMAPA[#All],2,0), "Não localizado")</f>
        <v>Renan Cazumba Tegani</v>
      </c>
      <c r="F165" s="34" t="str">
        <f>IFERROR(VLOOKUP(tbLOG[[#This Row],[LOGIN]],tbMAPA[#All],3,0), "Não localizado")</f>
        <v>Reginaldo Santana De Souza</v>
      </c>
      <c r="G165" s="3" t="s">
        <v>1211</v>
      </c>
      <c r="H165" s="3" t="s">
        <v>836</v>
      </c>
    </row>
    <row r="166" spans="1:8">
      <c r="A166" s="29">
        <v>42738.449537037035</v>
      </c>
      <c r="B166" s="29" t="str">
        <f>PROPER(TEXT(tbLOG[[#This Row],[DATA/HORA]],"mmmm"))</f>
        <v>Janeiro</v>
      </c>
      <c r="C166" s="34" t="str">
        <f>PROPER(TEXT(tbLOG[[#This Row],[DATA/HORA]],"dddd"))</f>
        <v>Terça-Feira</v>
      </c>
      <c r="D166" s="3" t="s">
        <v>604</v>
      </c>
      <c r="E166" s="34" t="str">
        <f>IFERROR(VLOOKUP(tbLOG[[#This Row],[LOGIN]],tbMAPA[#All],2,0), "Não localizado")</f>
        <v>Renan Cazumba Tegani</v>
      </c>
      <c r="F166" s="34" t="str">
        <f>IFERROR(VLOOKUP(tbLOG[[#This Row],[LOGIN]],tbMAPA[#All],3,0), "Não localizado")</f>
        <v>Reginaldo Santana De Souza</v>
      </c>
      <c r="G166" s="3" t="s">
        <v>1211</v>
      </c>
      <c r="H166" s="3" t="s">
        <v>836</v>
      </c>
    </row>
    <row r="167" spans="1:8">
      <c r="A167" s="29">
        <v>42738.449733796297</v>
      </c>
      <c r="B167" s="29" t="str">
        <f>PROPER(TEXT(tbLOG[[#This Row],[DATA/HORA]],"mmmm"))</f>
        <v>Janeiro</v>
      </c>
      <c r="C167" s="34" t="str">
        <f>PROPER(TEXT(tbLOG[[#This Row],[DATA/HORA]],"dddd"))</f>
        <v>Terça-Feira</v>
      </c>
      <c r="D167" s="3" t="s">
        <v>604</v>
      </c>
      <c r="E167" s="34" t="str">
        <f>IFERROR(VLOOKUP(tbLOG[[#This Row],[LOGIN]],tbMAPA[#All],2,0), "Não localizado")</f>
        <v>Renan Cazumba Tegani</v>
      </c>
      <c r="F167" s="34" t="str">
        <f>IFERROR(VLOOKUP(tbLOG[[#This Row],[LOGIN]],tbMAPA[#All],3,0), "Não localizado")</f>
        <v>Reginaldo Santana De Souza</v>
      </c>
      <c r="G167" s="3" t="s">
        <v>1211</v>
      </c>
      <c r="H167" s="3" t="s">
        <v>836</v>
      </c>
    </row>
    <row r="168" spans="1:8">
      <c r="A168" s="29">
        <v>42738.455057870371</v>
      </c>
      <c r="B168" s="29" t="str">
        <f>PROPER(TEXT(tbLOG[[#This Row],[DATA/HORA]],"mmmm"))</f>
        <v>Janeiro</v>
      </c>
      <c r="C168" s="34" t="str">
        <f>PROPER(TEXT(tbLOG[[#This Row],[DATA/HORA]],"dddd"))</f>
        <v>Terça-Feira</v>
      </c>
      <c r="D168" s="3" t="s">
        <v>604</v>
      </c>
      <c r="E168" s="34" t="str">
        <f>IFERROR(VLOOKUP(tbLOG[[#This Row],[LOGIN]],tbMAPA[#All],2,0), "Não localizado")</f>
        <v>Renan Cazumba Tegani</v>
      </c>
      <c r="F168" s="34" t="str">
        <f>IFERROR(VLOOKUP(tbLOG[[#This Row],[LOGIN]],tbMAPA[#All],3,0), "Não localizado")</f>
        <v>Reginaldo Santana De Souza</v>
      </c>
      <c r="G168" s="3" t="s">
        <v>1211</v>
      </c>
      <c r="H168" s="3" t="s">
        <v>836</v>
      </c>
    </row>
    <row r="169" spans="1:8">
      <c r="A169" s="29">
        <v>42738.455081018517</v>
      </c>
      <c r="B169" s="29" t="str">
        <f>PROPER(TEXT(tbLOG[[#This Row],[DATA/HORA]],"mmmm"))</f>
        <v>Janeiro</v>
      </c>
      <c r="C169" s="34" t="str">
        <f>PROPER(TEXT(tbLOG[[#This Row],[DATA/HORA]],"dddd"))</f>
        <v>Terça-Feira</v>
      </c>
      <c r="D169" s="3" t="s">
        <v>604</v>
      </c>
      <c r="E169" s="34" t="str">
        <f>IFERROR(VLOOKUP(tbLOG[[#This Row],[LOGIN]],tbMAPA[#All],2,0), "Não localizado")</f>
        <v>Renan Cazumba Tegani</v>
      </c>
      <c r="F169" s="34" t="str">
        <f>IFERROR(VLOOKUP(tbLOG[[#This Row],[LOGIN]],tbMAPA[#All],3,0), "Não localizado")</f>
        <v>Reginaldo Santana De Souza</v>
      </c>
      <c r="G169" s="3" t="s">
        <v>1211</v>
      </c>
      <c r="H169" s="3" t="s">
        <v>836</v>
      </c>
    </row>
    <row r="170" spans="1:8">
      <c r="A170" s="29">
        <v>42738.455127314817</v>
      </c>
      <c r="B170" s="29" t="str">
        <f>PROPER(TEXT(tbLOG[[#This Row],[DATA/HORA]],"mmmm"))</f>
        <v>Janeiro</v>
      </c>
      <c r="C170" s="34" t="str">
        <f>PROPER(TEXT(tbLOG[[#This Row],[DATA/HORA]],"dddd"))</f>
        <v>Terça-Feira</v>
      </c>
      <c r="D170" s="3" t="s">
        <v>604</v>
      </c>
      <c r="E170" s="34" t="str">
        <f>IFERROR(VLOOKUP(tbLOG[[#This Row],[LOGIN]],tbMAPA[#All],2,0), "Não localizado")</f>
        <v>Renan Cazumba Tegani</v>
      </c>
      <c r="F170" s="34" t="str">
        <f>IFERROR(VLOOKUP(tbLOG[[#This Row],[LOGIN]],tbMAPA[#All],3,0), "Não localizado")</f>
        <v>Reginaldo Santana De Souza</v>
      </c>
      <c r="G170" s="3" t="s">
        <v>1211</v>
      </c>
      <c r="H170" s="3" t="s">
        <v>836</v>
      </c>
    </row>
    <row r="171" spans="1:8">
      <c r="A171" s="29">
        <v>42738.460277777776</v>
      </c>
      <c r="B171" s="29" t="str">
        <f>PROPER(TEXT(tbLOG[[#This Row],[DATA/HORA]],"mmmm"))</f>
        <v>Janeiro</v>
      </c>
      <c r="C171" s="34" t="str">
        <f>PROPER(TEXT(tbLOG[[#This Row],[DATA/HORA]],"dddd"))</f>
        <v>Terça-Feira</v>
      </c>
      <c r="D171" s="3" t="s">
        <v>604</v>
      </c>
      <c r="E171" s="34" t="str">
        <f>IFERROR(VLOOKUP(tbLOG[[#This Row],[LOGIN]],tbMAPA[#All],2,0), "Não localizado")</f>
        <v>Renan Cazumba Tegani</v>
      </c>
      <c r="F171" s="34" t="str">
        <f>IFERROR(VLOOKUP(tbLOG[[#This Row],[LOGIN]],tbMAPA[#All],3,0), "Não localizado")</f>
        <v>Reginaldo Santana De Souza</v>
      </c>
      <c r="G171" s="3" t="s">
        <v>1211</v>
      </c>
      <c r="H171" s="3" t="s">
        <v>836</v>
      </c>
    </row>
    <row r="172" spans="1:8">
      <c r="A172" s="29">
        <v>42738.460300925923</v>
      </c>
      <c r="B172" s="29" t="str">
        <f>PROPER(TEXT(tbLOG[[#This Row],[DATA/HORA]],"mmmm"))</f>
        <v>Janeiro</v>
      </c>
      <c r="C172" s="34" t="str">
        <f>PROPER(TEXT(tbLOG[[#This Row],[DATA/HORA]],"dddd"))</f>
        <v>Terça-Feira</v>
      </c>
      <c r="D172" s="3" t="s">
        <v>604</v>
      </c>
      <c r="E172" s="34" t="str">
        <f>IFERROR(VLOOKUP(tbLOG[[#This Row],[LOGIN]],tbMAPA[#All],2,0), "Não localizado")</f>
        <v>Renan Cazumba Tegani</v>
      </c>
      <c r="F172" s="34" t="str">
        <f>IFERROR(VLOOKUP(tbLOG[[#This Row],[LOGIN]],tbMAPA[#All],3,0), "Não localizado")</f>
        <v>Reginaldo Santana De Souza</v>
      </c>
      <c r="G172" s="3" t="s">
        <v>1211</v>
      </c>
      <c r="H172" s="3" t="s">
        <v>836</v>
      </c>
    </row>
    <row r="173" spans="1:8">
      <c r="A173" s="29">
        <v>42738.460312499999</v>
      </c>
      <c r="B173" s="29" t="str">
        <f>PROPER(TEXT(tbLOG[[#This Row],[DATA/HORA]],"mmmm"))</f>
        <v>Janeiro</v>
      </c>
      <c r="C173" s="34" t="str">
        <f>PROPER(TEXT(tbLOG[[#This Row],[DATA/HORA]],"dddd"))</f>
        <v>Terça-Feira</v>
      </c>
      <c r="D173" s="3" t="s">
        <v>604</v>
      </c>
      <c r="E173" s="34" t="str">
        <f>IFERROR(VLOOKUP(tbLOG[[#This Row],[LOGIN]],tbMAPA[#All],2,0), "Não localizado")</f>
        <v>Renan Cazumba Tegani</v>
      </c>
      <c r="F173" s="34" t="str">
        <f>IFERROR(VLOOKUP(tbLOG[[#This Row],[LOGIN]],tbMAPA[#All],3,0), "Não localizado")</f>
        <v>Reginaldo Santana De Souza</v>
      </c>
      <c r="G173" s="3" t="s">
        <v>1211</v>
      </c>
      <c r="H173" s="3" t="s">
        <v>836</v>
      </c>
    </row>
    <row r="174" spans="1:8">
      <c r="A174" s="29">
        <v>42738.460844907408</v>
      </c>
      <c r="B174" s="29" t="str">
        <f>PROPER(TEXT(tbLOG[[#This Row],[DATA/HORA]],"mmmm"))</f>
        <v>Janeiro</v>
      </c>
      <c r="C174" s="34" t="str">
        <f>PROPER(TEXT(tbLOG[[#This Row],[DATA/HORA]],"dddd"))</f>
        <v>Terça-Feira</v>
      </c>
      <c r="D174" s="3" t="s">
        <v>604</v>
      </c>
      <c r="E174" s="34" t="str">
        <f>IFERROR(VLOOKUP(tbLOG[[#This Row],[LOGIN]],tbMAPA[#All],2,0), "Não localizado")</f>
        <v>Renan Cazumba Tegani</v>
      </c>
      <c r="F174" s="34" t="str">
        <f>IFERROR(VLOOKUP(tbLOG[[#This Row],[LOGIN]],tbMAPA[#All],3,0), "Não localizado")</f>
        <v>Reginaldo Santana De Souza</v>
      </c>
      <c r="G174" s="3" t="s">
        <v>1211</v>
      </c>
      <c r="H174" s="3" t="s">
        <v>836</v>
      </c>
    </row>
    <row r="175" spans="1:8">
      <c r="A175" s="29">
        <v>42738.460972222223</v>
      </c>
      <c r="B175" s="29" t="str">
        <f>PROPER(TEXT(tbLOG[[#This Row],[DATA/HORA]],"mmmm"))</f>
        <v>Janeiro</v>
      </c>
      <c r="C175" s="34" t="str">
        <f>PROPER(TEXT(tbLOG[[#This Row],[DATA/HORA]],"dddd"))</f>
        <v>Terça-Feira</v>
      </c>
      <c r="D175" s="3" t="s">
        <v>604</v>
      </c>
      <c r="E175" s="34" t="str">
        <f>IFERROR(VLOOKUP(tbLOG[[#This Row],[LOGIN]],tbMAPA[#All],2,0), "Não localizado")</f>
        <v>Renan Cazumba Tegani</v>
      </c>
      <c r="F175" s="34" t="str">
        <f>IFERROR(VLOOKUP(tbLOG[[#This Row],[LOGIN]],tbMAPA[#All],3,0), "Não localizado")</f>
        <v>Reginaldo Santana De Souza</v>
      </c>
      <c r="G175" s="3" t="s">
        <v>1211</v>
      </c>
      <c r="H175" s="3" t="s">
        <v>836</v>
      </c>
    </row>
    <row r="176" spans="1:8">
      <c r="A176" s="29">
        <v>42738.461006944446</v>
      </c>
      <c r="B176" s="29" t="str">
        <f>PROPER(TEXT(tbLOG[[#This Row],[DATA/HORA]],"mmmm"))</f>
        <v>Janeiro</v>
      </c>
      <c r="C176" s="34" t="str">
        <f>PROPER(TEXT(tbLOG[[#This Row],[DATA/HORA]],"dddd"))</f>
        <v>Terça-Feira</v>
      </c>
      <c r="D176" s="3" t="s">
        <v>604</v>
      </c>
      <c r="E176" s="34" t="str">
        <f>IFERROR(VLOOKUP(tbLOG[[#This Row],[LOGIN]],tbMAPA[#All],2,0), "Não localizado")</f>
        <v>Renan Cazumba Tegani</v>
      </c>
      <c r="F176" s="34" t="str">
        <f>IFERROR(VLOOKUP(tbLOG[[#This Row],[LOGIN]],tbMAPA[#All],3,0), "Não localizado")</f>
        <v>Reginaldo Santana De Souza</v>
      </c>
      <c r="G176" s="3" t="s">
        <v>1211</v>
      </c>
      <c r="H176" s="3" t="s">
        <v>836</v>
      </c>
    </row>
    <row r="177" spans="1:8">
      <c r="A177" s="29">
        <v>42738.461030092592</v>
      </c>
      <c r="B177" s="29" t="str">
        <f>PROPER(TEXT(tbLOG[[#This Row],[DATA/HORA]],"mmmm"))</f>
        <v>Janeiro</v>
      </c>
      <c r="C177" s="34" t="str">
        <f>PROPER(TEXT(tbLOG[[#This Row],[DATA/HORA]],"dddd"))</f>
        <v>Terça-Feira</v>
      </c>
      <c r="D177" s="3" t="s">
        <v>604</v>
      </c>
      <c r="E177" s="34" t="str">
        <f>IFERROR(VLOOKUP(tbLOG[[#This Row],[LOGIN]],tbMAPA[#All],2,0), "Não localizado")</f>
        <v>Renan Cazumba Tegani</v>
      </c>
      <c r="F177" s="34" t="str">
        <f>IFERROR(VLOOKUP(tbLOG[[#This Row],[LOGIN]],tbMAPA[#All],3,0), "Não localizado")</f>
        <v>Reginaldo Santana De Souza</v>
      </c>
      <c r="G177" s="3" t="s">
        <v>1211</v>
      </c>
      <c r="H177" s="3" t="s">
        <v>836</v>
      </c>
    </row>
    <row r="178" spans="1:8">
      <c r="A178" s="29">
        <v>42738.461388888885</v>
      </c>
      <c r="B178" s="29" t="str">
        <f>PROPER(TEXT(tbLOG[[#This Row],[DATA/HORA]],"mmmm"))</f>
        <v>Janeiro</v>
      </c>
      <c r="C178" s="34" t="str">
        <f>PROPER(TEXT(tbLOG[[#This Row],[DATA/HORA]],"dddd"))</f>
        <v>Terça-Feira</v>
      </c>
      <c r="D178" s="3" t="s">
        <v>604</v>
      </c>
      <c r="E178" s="34" t="str">
        <f>IFERROR(VLOOKUP(tbLOG[[#This Row],[LOGIN]],tbMAPA[#All],2,0), "Não localizado")</f>
        <v>Renan Cazumba Tegani</v>
      </c>
      <c r="F178" s="34" t="str">
        <f>IFERROR(VLOOKUP(tbLOG[[#This Row],[LOGIN]],tbMAPA[#All],3,0), "Não localizado")</f>
        <v>Reginaldo Santana De Souza</v>
      </c>
      <c r="G178" s="3" t="s">
        <v>1211</v>
      </c>
      <c r="H178" s="3" t="s">
        <v>836</v>
      </c>
    </row>
    <row r="179" spans="1:8">
      <c r="A179" s="29">
        <v>42738.463067129633</v>
      </c>
      <c r="B179" s="29" t="str">
        <f>PROPER(TEXT(tbLOG[[#This Row],[DATA/HORA]],"mmmm"))</f>
        <v>Janeiro</v>
      </c>
      <c r="C179" s="34" t="str">
        <f>PROPER(TEXT(tbLOG[[#This Row],[DATA/HORA]],"dddd"))</f>
        <v>Terça-Feira</v>
      </c>
      <c r="D179" s="3" t="s">
        <v>604</v>
      </c>
      <c r="E179" s="34" t="str">
        <f>IFERROR(VLOOKUP(tbLOG[[#This Row],[LOGIN]],tbMAPA[#All],2,0), "Não localizado")</f>
        <v>Renan Cazumba Tegani</v>
      </c>
      <c r="F179" s="34" t="str">
        <f>IFERROR(VLOOKUP(tbLOG[[#This Row],[LOGIN]],tbMAPA[#All],3,0), "Não localizado")</f>
        <v>Reginaldo Santana De Souza</v>
      </c>
      <c r="G179" s="3" t="s">
        <v>1211</v>
      </c>
      <c r="H179" s="3" t="s">
        <v>836</v>
      </c>
    </row>
    <row r="180" spans="1:8">
      <c r="A180" s="29">
        <v>42738.463090277779</v>
      </c>
      <c r="B180" s="29" t="str">
        <f>PROPER(TEXT(tbLOG[[#This Row],[DATA/HORA]],"mmmm"))</f>
        <v>Janeiro</v>
      </c>
      <c r="C180" s="34" t="str">
        <f>PROPER(TEXT(tbLOG[[#This Row],[DATA/HORA]],"dddd"))</f>
        <v>Terça-Feira</v>
      </c>
      <c r="D180" s="3" t="s">
        <v>604</v>
      </c>
      <c r="E180" s="34" t="str">
        <f>IFERROR(VLOOKUP(tbLOG[[#This Row],[LOGIN]],tbMAPA[#All],2,0), "Não localizado")</f>
        <v>Renan Cazumba Tegani</v>
      </c>
      <c r="F180" s="34" t="str">
        <f>IFERROR(VLOOKUP(tbLOG[[#This Row],[LOGIN]],tbMAPA[#All],3,0), "Não localizado")</f>
        <v>Reginaldo Santana De Souza</v>
      </c>
      <c r="G180" s="3" t="s">
        <v>1211</v>
      </c>
      <c r="H180" s="3" t="s">
        <v>836</v>
      </c>
    </row>
    <row r="181" spans="1:8">
      <c r="A181" s="29">
        <v>42738.463182870371</v>
      </c>
      <c r="B181" s="29" t="str">
        <f>PROPER(TEXT(tbLOG[[#This Row],[DATA/HORA]],"mmmm"))</f>
        <v>Janeiro</v>
      </c>
      <c r="C181" s="34" t="str">
        <f>PROPER(TEXT(tbLOG[[#This Row],[DATA/HORA]],"dddd"))</f>
        <v>Terça-Feira</v>
      </c>
      <c r="D181" s="3" t="s">
        <v>604</v>
      </c>
      <c r="E181" s="34" t="str">
        <f>IFERROR(VLOOKUP(tbLOG[[#This Row],[LOGIN]],tbMAPA[#All],2,0), "Não localizado")</f>
        <v>Renan Cazumba Tegani</v>
      </c>
      <c r="F181" s="34" t="str">
        <f>IFERROR(VLOOKUP(tbLOG[[#This Row],[LOGIN]],tbMAPA[#All],3,0), "Não localizado")</f>
        <v>Reginaldo Santana De Souza</v>
      </c>
      <c r="G181" s="3" t="s">
        <v>1211</v>
      </c>
      <c r="H181" s="3" t="s">
        <v>836</v>
      </c>
    </row>
    <row r="182" spans="1:8">
      <c r="A182" s="29">
        <v>42738.469560185185</v>
      </c>
      <c r="B182" s="29" t="str">
        <f>PROPER(TEXT(tbLOG[[#This Row],[DATA/HORA]],"mmmm"))</f>
        <v>Janeiro</v>
      </c>
      <c r="C182" s="34" t="str">
        <f>PROPER(TEXT(tbLOG[[#This Row],[DATA/HORA]],"dddd"))</f>
        <v>Terça-Feira</v>
      </c>
      <c r="D182" s="3" t="s">
        <v>604</v>
      </c>
      <c r="E182" s="34" t="str">
        <f>IFERROR(VLOOKUP(tbLOG[[#This Row],[LOGIN]],tbMAPA[#All],2,0), "Não localizado")</f>
        <v>Renan Cazumba Tegani</v>
      </c>
      <c r="F182" s="34" t="str">
        <f>IFERROR(VLOOKUP(tbLOG[[#This Row],[LOGIN]],tbMAPA[#All],3,0), "Não localizado")</f>
        <v>Reginaldo Santana De Souza</v>
      </c>
      <c r="G182" s="3" t="s">
        <v>1211</v>
      </c>
      <c r="H182" s="3" t="s">
        <v>836</v>
      </c>
    </row>
    <row r="183" spans="1:8">
      <c r="A183" s="29">
        <v>42738.469594907408</v>
      </c>
      <c r="B183" s="29" t="str">
        <f>PROPER(TEXT(tbLOG[[#This Row],[DATA/HORA]],"mmmm"))</f>
        <v>Janeiro</v>
      </c>
      <c r="C183" s="34" t="str">
        <f>PROPER(TEXT(tbLOG[[#This Row],[DATA/HORA]],"dddd"))</f>
        <v>Terça-Feira</v>
      </c>
      <c r="D183" s="3" t="s">
        <v>604</v>
      </c>
      <c r="E183" s="34" t="str">
        <f>IFERROR(VLOOKUP(tbLOG[[#This Row],[LOGIN]],tbMAPA[#All],2,0), "Não localizado")</f>
        <v>Renan Cazumba Tegani</v>
      </c>
      <c r="F183" s="34" t="str">
        <f>IFERROR(VLOOKUP(tbLOG[[#This Row],[LOGIN]],tbMAPA[#All],3,0), "Não localizado")</f>
        <v>Reginaldo Santana De Souza</v>
      </c>
      <c r="G183" s="3" t="s">
        <v>1211</v>
      </c>
      <c r="H183" s="3" t="s">
        <v>836</v>
      </c>
    </row>
    <row r="184" spans="1:8">
      <c r="A184" s="29">
        <v>42738.469594907408</v>
      </c>
      <c r="B184" s="29" t="str">
        <f>PROPER(TEXT(tbLOG[[#This Row],[DATA/HORA]],"mmmm"))</f>
        <v>Janeiro</v>
      </c>
      <c r="C184" s="34" t="str">
        <f>PROPER(TEXT(tbLOG[[#This Row],[DATA/HORA]],"dddd"))</f>
        <v>Terça-Feira</v>
      </c>
      <c r="D184" s="3" t="s">
        <v>604</v>
      </c>
      <c r="E184" s="34" t="str">
        <f>IFERROR(VLOOKUP(tbLOG[[#This Row],[LOGIN]],tbMAPA[#All],2,0), "Não localizado")</f>
        <v>Renan Cazumba Tegani</v>
      </c>
      <c r="F184" s="34" t="str">
        <f>IFERROR(VLOOKUP(tbLOG[[#This Row],[LOGIN]],tbMAPA[#All],3,0), "Não localizado")</f>
        <v>Reginaldo Santana De Souza</v>
      </c>
      <c r="G184" s="3" t="s">
        <v>1211</v>
      </c>
      <c r="H184" s="3" t="s">
        <v>836</v>
      </c>
    </row>
    <row r="185" spans="1:8">
      <c r="A185" s="29">
        <v>42738.469872685186</v>
      </c>
      <c r="B185" s="29" t="str">
        <f>PROPER(TEXT(tbLOG[[#This Row],[DATA/HORA]],"mmmm"))</f>
        <v>Janeiro</v>
      </c>
      <c r="C185" s="34" t="str">
        <f>PROPER(TEXT(tbLOG[[#This Row],[DATA/HORA]],"dddd"))</f>
        <v>Terça-Feira</v>
      </c>
      <c r="D185" s="3" t="s">
        <v>604</v>
      </c>
      <c r="E185" s="34" t="str">
        <f>IFERROR(VLOOKUP(tbLOG[[#This Row],[LOGIN]],tbMAPA[#All],2,0), "Não localizado")</f>
        <v>Renan Cazumba Tegani</v>
      </c>
      <c r="F185" s="34" t="str">
        <f>IFERROR(VLOOKUP(tbLOG[[#This Row],[LOGIN]],tbMAPA[#All],3,0), "Não localizado")</f>
        <v>Reginaldo Santana De Souza</v>
      </c>
      <c r="G185" s="3" t="s">
        <v>1211</v>
      </c>
      <c r="H185" s="3" t="s">
        <v>836</v>
      </c>
    </row>
    <row r="186" spans="1:8">
      <c r="A186" s="29">
        <v>42738.472245370373</v>
      </c>
      <c r="B186" s="29" t="str">
        <f>PROPER(TEXT(tbLOG[[#This Row],[DATA/HORA]],"mmmm"))</f>
        <v>Janeiro</v>
      </c>
      <c r="C186" s="34" t="str">
        <f>PROPER(TEXT(tbLOG[[#This Row],[DATA/HORA]],"dddd"))</f>
        <v>Terça-Feira</v>
      </c>
      <c r="D186" s="3" t="s">
        <v>604</v>
      </c>
      <c r="E186" s="34" t="str">
        <f>IFERROR(VLOOKUP(tbLOG[[#This Row],[LOGIN]],tbMAPA[#All],2,0), "Não localizado")</f>
        <v>Renan Cazumba Tegani</v>
      </c>
      <c r="F186" s="34" t="str">
        <f>IFERROR(VLOOKUP(tbLOG[[#This Row],[LOGIN]],tbMAPA[#All],3,0), "Não localizado")</f>
        <v>Reginaldo Santana De Souza</v>
      </c>
      <c r="G186" s="3" t="s">
        <v>1211</v>
      </c>
      <c r="H186" s="3" t="s">
        <v>836</v>
      </c>
    </row>
    <row r="187" spans="1:8">
      <c r="A187" s="29">
        <v>42738.47246527778</v>
      </c>
      <c r="B187" s="29" t="str">
        <f>PROPER(TEXT(tbLOG[[#This Row],[DATA/HORA]],"mmmm"))</f>
        <v>Janeiro</v>
      </c>
      <c r="C187" s="34" t="str">
        <f>PROPER(TEXT(tbLOG[[#This Row],[DATA/HORA]],"dddd"))</f>
        <v>Terça-Feira</v>
      </c>
      <c r="D187" s="3" t="s">
        <v>604</v>
      </c>
      <c r="E187" s="34" t="str">
        <f>IFERROR(VLOOKUP(tbLOG[[#This Row],[LOGIN]],tbMAPA[#All],2,0), "Não localizado")</f>
        <v>Renan Cazumba Tegani</v>
      </c>
      <c r="F187" s="34" t="str">
        <f>IFERROR(VLOOKUP(tbLOG[[#This Row],[LOGIN]],tbMAPA[#All],3,0), "Não localizado")</f>
        <v>Reginaldo Santana De Souza</v>
      </c>
      <c r="G187" s="3" t="s">
        <v>1211</v>
      </c>
      <c r="H187" s="3" t="s">
        <v>836</v>
      </c>
    </row>
    <row r="188" spans="1:8">
      <c r="A188" s="29">
        <v>42738.484490740739</v>
      </c>
      <c r="B188" s="29" t="str">
        <f>PROPER(TEXT(tbLOG[[#This Row],[DATA/HORA]],"mmmm"))</f>
        <v>Janeiro</v>
      </c>
      <c r="C188" s="34" t="str">
        <f>PROPER(TEXT(tbLOG[[#This Row],[DATA/HORA]],"dddd"))</f>
        <v>Terça-Feira</v>
      </c>
      <c r="D188" s="3" t="s">
        <v>604</v>
      </c>
      <c r="E188" s="34" t="str">
        <f>IFERROR(VLOOKUP(tbLOG[[#This Row],[LOGIN]],tbMAPA[#All],2,0), "Não localizado")</f>
        <v>Renan Cazumba Tegani</v>
      </c>
      <c r="F188" s="34" t="str">
        <f>IFERROR(VLOOKUP(tbLOG[[#This Row],[LOGIN]],tbMAPA[#All],3,0), "Não localizado")</f>
        <v>Reginaldo Santana De Souza</v>
      </c>
      <c r="G188" s="3" t="s">
        <v>1211</v>
      </c>
      <c r="H188" s="3" t="s">
        <v>836</v>
      </c>
    </row>
    <row r="189" spans="1:8">
      <c r="A189" s="29">
        <v>42738.484548611108</v>
      </c>
      <c r="B189" s="29" t="str">
        <f>PROPER(TEXT(tbLOG[[#This Row],[DATA/HORA]],"mmmm"))</f>
        <v>Janeiro</v>
      </c>
      <c r="C189" s="34" t="str">
        <f>PROPER(TEXT(tbLOG[[#This Row],[DATA/HORA]],"dddd"))</f>
        <v>Terça-Feira</v>
      </c>
      <c r="D189" s="3" t="s">
        <v>604</v>
      </c>
      <c r="E189" s="34" t="str">
        <f>IFERROR(VLOOKUP(tbLOG[[#This Row],[LOGIN]],tbMAPA[#All],2,0), "Não localizado")</f>
        <v>Renan Cazumba Tegani</v>
      </c>
      <c r="F189" s="34" t="str">
        <f>IFERROR(VLOOKUP(tbLOG[[#This Row],[LOGIN]],tbMAPA[#All],3,0), "Não localizado")</f>
        <v>Reginaldo Santana De Souza</v>
      </c>
      <c r="G189" s="3" t="s">
        <v>1211</v>
      </c>
      <c r="H189" s="3" t="s">
        <v>836</v>
      </c>
    </row>
    <row r="190" spans="1:8">
      <c r="A190" s="29">
        <v>42738.484560185185</v>
      </c>
      <c r="B190" s="29" t="str">
        <f>PROPER(TEXT(tbLOG[[#This Row],[DATA/HORA]],"mmmm"))</f>
        <v>Janeiro</v>
      </c>
      <c r="C190" s="34" t="str">
        <f>PROPER(TEXT(tbLOG[[#This Row],[DATA/HORA]],"dddd"))</f>
        <v>Terça-Feira</v>
      </c>
      <c r="D190" s="3" t="s">
        <v>604</v>
      </c>
      <c r="E190" s="34" t="str">
        <f>IFERROR(VLOOKUP(tbLOG[[#This Row],[LOGIN]],tbMAPA[#All],2,0), "Não localizado")</f>
        <v>Renan Cazumba Tegani</v>
      </c>
      <c r="F190" s="34" t="str">
        <f>IFERROR(VLOOKUP(tbLOG[[#This Row],[LOGIN]],tbMAPA[#All],3,0), "Não localizado")</f>
        <v>Reginaldo Santana De Souza</v>
      </c>
      <c r="G190" s="3" t="s">
        <v>1211</v>
      </c>
      <c r="H190" s="3" t="s">
        <v>836</v>
      </c>
    </row>
    <row r="191" spans="1:8">
      <c r="A191" s="29">
        <v>42738.484606481485</v>
      </c>
      <c r="B191" s="29" t="str">
        <f>PROPER(TEXT(tbLOG[[#This Row],[DATA/HORA]],"mmmm"))</f>
        <v>Janeiro</v>
      </c>
      <c r="C191" s="34" t="str">
        <f>PROPER(TEXT(tbLOG[[#This Row],[DATA/HORA]],"dddd"))</f>
        <v>Terça-Feira</v>
      </c>
      <c r="D191" s="3" t="s">
        <v>604</v>
      </c>
      <c r="E191" s="34" t="str">
        <f>IFERROR(VLOOKUP(tbLOG[[#This Row],[LOGIN]],tbMAPA[#All],2,0), "Não localizado")</f>
        <v>Renan Cazumba Tegani</v>
      </c>
      <c r="F191" s="34" t="str">
        <f>IFERROR(VLOOKUP(tbLOG[[#This Row],[LOGIN]],tbMAPA[#All],3,0), "Não localizado")</f>
        <v>Reginaldo Santana De Souza</v>
      </c>
      <c r="G191" s="3" t="s">
        <v>1211</v>
      </c>
      <c r="H191" s="3" t="s">
        <v>836</v>
      </c>
    </row>
    <row r="192" spans="1:8">
      <c r="A192" s="29">
        <v>42738.4846875</v>
      </c>
      <c r="B192" s="29" t="str">
        <f>PROPER(TEXT(tbLOG[[#This Row],[DATA/HORA]],"mmmm"))</f>
        <v>Janeiro</v>
      </c>
      <c r="C192" s="34" t="str">
        <f>PROPER(TEXT(tbLOG[[#This Row],[DATA/HORA]],"dddd"))</f>
        <v>Terça-Feira</v>
      </c>
      <c r="D192" s="3" t="s">
        <v>604</v>
      </c>
      <c r="E192" s="34" t="str">
        <f>IFERROR(VLOOKUP(tbLOG[[#This Row],[LOGIN]],tbMAPA[#All],2,0), "Não localizado")</f>
        <v>Renan Cazumba Tegani</v>
      </c>
      <c r="F192" s="34" t="str">
        <f>IFERROR(VLOOKUP(tbLOG[[#This Row],[LOGIN]],tbMAPA[#All],3,0), "Não localizado")</f>
        <v>Reginaldo Santana De Souza</v>
      </c>
      <c r="G192" s="3" t="s">
        <v>1211</v>
      </c>
      <c r="H192" s="3" t="s">
        <v>836</v>
      </c>
    </row>
    <row r="193" spans="1:8">
      <c r="A193" s="29">
        <v>42738.484814814816</v>
      </c>
      <c r="B193" s="29" t="str">
        <f>PROPER(TEXT(tbLOG[[#This Row],[DATA/HORA]],"mmmm"))</f>
        <v>Janeiro</v>
      </c>
      <c r="C193" s="34" t="str">
        <f>PROPER(TEXT(tbLOG[[#This Row],[DATA/HORA]],"dddd"))</f>
        <v>Terça-Feira</v>
      </c>
      <c r="D193" s="3" t="s">
        <v>604</v>
      </c>
      <c r="E193" s="34" t="str">
        <f>IFERROR(VLOOKUP(tbLOG[[#This Row],[LOGIN]],tbMAPA[#All],2,0), "Não localizado")</f>
        <v>Renan Cazumba Tegani</v>
      </c>
      <c r="F193" s="34" t="str">
        <f>IFERROR(VLOOKUP(tbLOG[[#This Row],[LOGIN]],tbMAPA[#All],3,0), "Não localizado")</f>
        <v>Reginaldo Santana De Souza</v>
      </c>
      <c r="G193" s="3" t="s">
        <v>1211</v>
      </c>
      <c r="H193" s="3" t="s">
        <v>836</v>
      </c>
    </row>
    <row r="194" spans="1:8">
      <c r="A194" s="29">
        <v>42738.484849537039</v>
      </c>
      <c r="B194" s="29" t="str">
        <f>PROPER(TEXT(tbLOG[[#This Row],[DATA/HORA]],"mmmm"))</f>
        <v>Janeiro</v>
      </c>
      <c r="C194" s="34" t="str">
        <f>PROPER(TEXT(tbLOG[[#This Row],[DATA/HORA]],"dddd"))</f>
        <v>Terça-Feira</v>
      </c>
      <c r="D194" s="3" t="s">
        <v>604</v>
      </c>
      <c r="E194" s="34" t="str">
        <f>IFERROR(VLOOKUP(tbLOG[[#This Row],[LOGIN]],tbMAPA[#All],2,0), "Não localizado")</f>
        <v>Renan Cazumba Tegani</v>
      </c>
      <c r="F194" s="34" t="str">
        <f>IFERROR(VLOOKUP(tbLOG[[#This Row],[LOGIN]],tbMAPA[#All],3,0), "Não localizado")</f>
        <v>Reginaldo Santana De Souza</v>
      </c>
      <c r="G194" s="3" t="s">
        <v>1211</v>
      </c>
      <c r="H194" s="3" t="s">
        <v>836</v>
      </c>
    </row>
    <row r="195" spans="1:8">
      <c r="A195" s="29">
        <v>42738.484918981485</v>
      </c>
      <c r="B195" s="29" t="str">
        <f>PROPER(TEXT(tbLOG[[#This Row],[DATA/HORA]],"mmmm"))</f>
        <v>Janeiro</v>
      </c>
      <c r="C195" s="34" t="str">
        <f>PROPER(TEXT(tbLOG[[#This Row],[DATA/HORA]],"dddd"))</f>
        <v>Terça-Feira</v>
      </c>
      <c r="D195" s="3" t="s">
        <v>604</v>
      </c>
      <c r="E195" s="34" t="str">
        <f>IFERROR(VLOOKUP(tbLOG[[#This Row],[LOGIN]],tbMAPA[#All],2,0), "Não localizado")</f>
        <v>Renan Cazumba Tegani</v>
      </c>
      <c r="F195" s="34" t="str">
        <f>IFERROR(VLOOKUP(tbLOG[[#This Row],[LOGIN]],tbMAPA[#All],3,0), "Não localizado")</f>
        <v>Reginaldo Santana De Souza</v>
      </c>
      <c r="G195" s="3" t="s">
        <v>1211</v>
      </c>
      <c r="H195" s="3" t="s">
        <v>290</v>
      </c>
    </row>
    <row r="196" spans="1:8">
      <c r="A196" s="29">
        <v>42738.501284722224</v>
      </c>
      <c r="B196" s="29" t="str">
        <f>PROPER(TEXT(tbLOG[[#This Row],[DATA/HORA]],"mmmm"))</f>
        <v>Janeiro</v>
      </c>
      <c r="C196" s="34" t="str">
        <f>PROPER(TEXT(tbLOG[[#This Row],[DATA/HORA]],"dddd"))</f>
        <v>Terça-Feira</v>
      </c>
      <c r="D196" s="3" t="s">
        <v>604</v>
      </c>
      <c r="E196" s="34" t="str">
        <f>IFERROR(VLOOKUP(tbLOG[[#This Row],[LOGIN]],tbMAPA[#All],2,0), "Não localizado")</f>
        <v>Renan Cazumba Tegani</v>
      </c>
      <c r="F196" s="34" t="str">
        <f>IFERROR(VLOOKUP(tbLOG[[#This Row],[LOGIN]],tbMAPA[#All],3,0), "Não localizado")</f>
        <v>Reginaldo Santana De Souza</v>
      </c>
      <c r="G196" s="3" t="s">
        <v>1211</v>
      </c>
      <c r="H196" s="3" t="s">
        <v>836</v>
      </c>
    </row>
    <row r="197" spans="1:8">
      <c r="A197" s="29">
        <v>42738.501296296294</v>
      </c>
      <c r="B197" s="29" t="str">
        <f>PROPER(TEXT(tbLOG[[#This Row],[DATA/HORA]],"mmmm"))</f>
        <v>Janeiro</v>
      </c>
      <c r="C197" s="34" t="str">
        <f>PROPER(TEXT(tbLOG[[#This Row],[DATA/HORA]],"dddd"))</f>
        <v>Terça-Feira</v>
      </c>
      <c r="D197" s="3" t="s">
        <v>604</v>
      </c>
      <c r="E197" s="34" t="str">
        <f>IFERROR(VLOOKUP(tbLOG[[#This Row],[LOGIN]],tbMAPA[#All],2,0), "Não localizado")</f>
        <v>Renan Cazumba Tegani</v>
      </c>
      <c r="F197" s="34" t="str">
        <f>IFERROR(VLOOKUP(tbLOG[[#This Row],[LOGIN]],tbMAPA[#All],3,0), "Não localizado")</f>
        <v>Reginaldo Santana De Souza</v>
      </c>
      <c r="G197" s="3" t="s">
        <v>1211</v>
      </c>
      <c r="H197" s="3" t="s">
        <v>836</v>
      </c>
    </row>
    <row r="198" spans="1:8">
      <c r="A198" s="29">
        <v>42738.501307870371</v>
      </c>
      <c r="B198" s="29" t="str">
        <f>PROPER(TEXT(tbLOG[[#This Row],[DATA/HORA]],"mmmm"))</f>
        <v>Janeiro</v>
      </c>
      <c r="C198" s="34" t="str">
        <f>PROPER(TEXT(tbLOG[[#This Row],[DATA/HORA]],"dddd"))</f>
        <v>Terça-Feira</v>
      </c>
      <c r="D198" s="3" t="s">
        <v>604</v>
      </c>
      <c r="E198" s="34" t="str">
        <f>IFERROR(VLOOKUP(tbLOG[[#This Row],[LOGIN]],tbMAPA[#All],2,0), "Não localizado")</f>
        <v>Renan Cazumba Tegani</v>
      </c>
      <c r="F198" s="34" t="str">
        <f>IFERROR(VLOOKUP(tbLOG[[#This Row],[LOGIN]],tbMAPA[#All],3,0), "Não localizado")</f>
        <v>Reginaldo Santana De Souza</v>
      </c>
      <c r="G198" s="3" t="s">
        <v>1211</v>
      </c>
      <c r="H198" s="3" t="s">
        <v>836</v>
      </c>
    </row>
    <row r="199" spans="1:8">
      <c r="A199" s="29">
        <v>42738.501377314817</v>
      </c>
      <c r="B199" s="29" t="str">
        <f>PROPER(TEXT(tbLOG[[#This Row],[DATA/HORA]],"mmmm"))</f>
        <v>Janeiro</v>
      </c>
      <c r="C199" s="34" t="str">
        <f>PROPER(TEXT(tbLOG[[#This Row],[DATA/HORA]],"dddd"))</f>
        <v>Terça-Feira</v>
      </c>
      <c r="D199" s="3" t="s">
        <v>604</v>
      </c>
      <c r="E199" s="34" t="str">
        <f>IFERROR(VLOOKUP(tbLOG[[#This Row],[LOGIN]],tbMAPA[#All],2,0), "Não localizado")</f>
        <v>Renan Cazumba Tegani</v>
      </c>
      <c r="F199" s="34" t="str">
        <f>IFERROR(VLOOKUP(tbLOG[[#This Row],[LOGIN]],tbMAPA[#All],3,0), "Não localizado")</f>
        <v>Reginaldo Santana De Souza</v>
      </c>
      <c r="G199" s="3" t="s">
        <v>1211</v>
      </c>
      <c r="H199" s="3" t="s">
        <v>836</v>
      </c>
    </row>
    <row r="200" spans="1:8">
      <c r="A200" s="29">
        <v>42738.509571759256</v>
      </c>
      <c r="B200" s="29" t="str">
        <f>PROPER(TEXT(tbLOG[[#This Row],[DATA/HORA]],"mmmm"))</f>
        <v>Janeiro</v>
      </c>
      <c r="C200" s="34" t="str">
        <f>PROPER(TEXT(tbLOG[[#This Row],[DATA/HORA]],"dddd"))</f>
        <v>Terça-Feira</v>
      </c>
      <c r="D200" s="3" t="s">
        <v>604</v>
      </c>
      <c r="E200" s="34" t="str">
        <f>IFERROR(VLOOKUP(tbLOG[[#This Row],[LOGIN]],tbMAPA[#All],2,0), "Não localizado")</f>
        <v>Renan Cazumba Tegani</v>
      </c>
      <c r="F200" s="34" t="str">
        <f>IFERROR(VLOOKUP(tbLOG[[#This Row],[LOGIN]],tbMAPA[#All],3,0), "Não localizado")</f>
        <v>Reginaldo Santana De Souza</v>
      </c>
      <c r="G200" s="3" t="s">
        <v>1211</v>
      </c>
      <c r="H200" s="3" t="s">
        <v>836</v>
      </c>
    </row>
    <row r="201" spans="1:8">
      <c r="A201" s="29">
        <v>42738.509594907409</v>
      </c>
      <c r="B201" s="29" t="str">
        <f>PROPER(TEXT(tbLOG[[#This Row],[DATA/HORA]],"mmmm"))</f>
        <v>Janeiro</v>
      </c>
      <c r="C201" s="34" t="str">
        <f>PROPER(TEXT(tbLOG[[#This Row],[DATA/HORA]],"dddd"))</f>
        <v>Terça-Feira</v>
      </c>
      <c r="D201" s="3" t="s">
        <v>604</v>
      </c>
      <c r="E201" s="34" t="str">
        <f>IFERROR(VLOOKUP(tbLOG[[#This Row],[LOGIN]],tbMAPA[#All],2,0), "Não localizado")</f>
        <v>Renan Cazumba Tegani</v>
      </c>
      <c r="F201" s="34" t="str">
        <f>IFERROR(VLOOKUP(tbLOG[[#This Row],[LOGIN]],tbMAPA[#All],3,0), "Não localizado")</f>
        <v>Reginaldo Santana De Souza</v>
      </c>
      <c r="G201" s="3" t="s">
        <v>1211</v>
      </c>
      <c r="H201" s="3" t="s">
        <v>836</v>
      </c>
    </row>
    <row r="202" spans="1:8">
      <c r="A202" s="29">
        <v>42738.509606481479</v>
      </c>
      <c r="B202" s="29" t="str">
        <f>PROPER(TEXT(tbLOG[[#This Row],[DATA/HORA]],"mmmm"))</f>
        <v>Janeiro</v>
      </c>
      <c r="C202" s="34" t="str">
        <f>PROPER(TEXT(tbLOG[[#This Row],[DATA/HORA]],"dddd"))</f>
        <v>Terça-Feira</v>
      </c>
      <c r="D202" s="3" t="s">
        <v>604</v>
      </c>
      <c r="E202" s="34" t="str">
        <f>IFERROR(VLOOKUP(tbLOG[[#This Row],[LOGIN]],tbMAPA[#All],2,0), "Não localizado")</f>
        <v>Renan Cazumba Tegani</v>
      </c>
      <c r="F202" s="34" t="str">
        <f>IFERROR(VLOOKUP(tbLOG[[#This Row],[LOGIN]],tbMAPA[#All],3,0), "Não localizado")</f>
        <v>Reginaldo Santana De Souza</v>
      </c>
      <c r="G202" s="3" t="s">
        <v>1211</v>
      </c>
      <c r="H202" s="3" t="s">
        <v>836</v>
      </c>
    </row>
    <row r="203" spans="1:8">
      <c r="A203" s="29">
        <v>42738.509826388887</v>
      </c>
      <c r="B203" s="29" t="str">
        <f>PROPER(TEXT(tbLOG[[#This Row],[DATA/HORA]],"mmmm"))</f>
        <v>Janeiro</v>
      </c>
      <c r="C203" s="34" t="str">
        <f>PROPER(TEXT(tbLOG[[#This Row],[DATA/HORA]],"dddd"))</f>
        <v>Terça-Feira</v>
      </c>
      <c r="D203" s="3" t="s">
        <v>604</v>
      </c>
      <c r="E203" s="34" t="str">
        <f>IFERROR(VLOOKUP(tbLOG[[#This Row],[LOGIN]],tbMAPA[#All],2,0), "Não localizado")</f>
        <v>Renan Cazumba Tegani</v>
      </c>
      <c r="F203" s="34" t="str">
        <f>IFERROR(VLOOKUP(tbLOG[[#This Row],[LOGIN]],tbMAPA[#All],3,0), "Não localizado")</f>
        <v>Reginaldo Santana De Souza</v>
      </c>
      <c r="G203" s="3" t="s">
        <v>1211</v>
      </c>
      <c r="H203" s="3" t="s">
        <v>836</v>
      </c>
    </row>
    <row r="204" spans="1:8">
      <c r="A204" s="29">
        <v>42738.514768518522</v>
      </c>
      <c r="B204" s="29" t="str">
        <f>PROPER(TEXT(tbLOG[[#This Row],[DATA/HORA]],"mmmm"))</f>
        <v>Janeiro</v>
      </c>
      <c r="C204" s="34" t="str">
        <f>PROPER(TEXT(tbLOG[[#This Row],[DATA/HORA]],"dddd"))</f>
        <v>Terça-Feira</v>
      </c>
      <c r="D204" s="3" t="s">
        <v>604</v>
      </c>
      <c r="E204" s="34" t="str">
        <f>IFERROR(VLOOKUP(tbLOG[[#This Row],[LOGIN]],tbMAPA[#All],2,0), "Não localizado")</f>
        <v>Renan Cazumba Tegani</v>
      </c>
      <c r="F204" s="34" t="str">
        <f>IFERROR(VLOOKUP(tbLOG[[#This Row],[LOGIN]],tbMAPA[#All],3,0), "Não localizado")</f>
        <v>Reginaldo Santana De Souza</v>
      </c>
      <c r="G204" s="3" t="s">
        <v>1211</v>
      </c>
      <c r="H204" s="3" t="s">
        <v>836</v>
      </c>
    </row>
    <row r="205" spans="1:8">
      <c r="A205" s="29">
        <v>42738.514791666668</v>
      </c>
      <c r="B205" s="29" t="str">
        <f>PROPER(TEXT(tbLOG[[#This Row],[DATA/HORA]],"mmmm"))</f>
        <v>Janeiro</v>
      </c>
      <c r="C205" s="34" t="str">
        <f>PROPER(TEXT(tbLOG[[#This Row],[DATA/HORA]],"dddd"))</f>
        <v>Terça-Feira</v>
      </c>
      <c r="D205" s="3" t="s">
        <v>604</v>
      </c>
      <c r="E205" s="34" t="str">
        <f>IFERROR(VLOOKUP(tbLOG[[#This Row],[LOGIN]],tbMAPA[#All],2,0), "Não localizado")</f>
        <v>Renan Cazumba Tegani</v>
      </c>
      <c r="F205" s="34" t="str">
        <f>IFERROR(VLOOKUP(tbLOG[[#This Row],[LOGIN]],tbMAPA[#All],3,0), "Não localizado")</f>
        <v>Reginaldo Santana De Souza</v>
      </c>
      <c r="G205" s="3" t="s">
        <v>1211</v>
      </c>
      <c r="H205" s="3" t="s">
        <v>836</v>
      </c>
    </row>
    <row r="206" spans="1:8">
      <c r="A206" s="29">
        <v>42738.514803240738</v>
      </c>
      <c r="B206" s="29" t="str">
        <f>PROPER(TEXT(tbLOG[[#This Row],[DATA/HORA]],"mmmm"))</f>
        <v>Janeiro</v>
      </c>
      <c r="C206" s="34" t="str">
        <f>PROPER(TEXT(tbLOG[[#This Row],[DATA/HORA]],"dddd"))</f>
        <v>Terça-Feira</v>
      </c>
      <c r="D206" s="3" t="s">
        <v>604</v>
      </c>
      <c r="E206" s="34" t="str">
        <f>IFERROR(VLOOKUP(tbLOG[[#This Row],[LOGIN]],tbMAPA[#All],2,0), "Não localizado")</f>
        <v>Renan Cazumba Tegani</v>
      </c>
      <c r="F206" s="34" t="str">
        <f>IFERROR(VLOOKUP(tbLOG[[#This Row],[LOGIN]],tbMAPA[#All],3,0), "Não localizado")</f>
        <v>Reginaldo Santana De Souza</v>
      </c>
      <c r="G206" s="3" t="s">
        <v>1211</v>
      </c>
      <c r="H206" s="3" t="s">
        <v>836</v>
      </c>
    </row>
    <row r="207" spans="1:8">
      <c r="A207" s="29">
        <v>42738.514861111114</v>
      </c>
      <c r="B207" s="29" t="str">
        <f>PROPER(TEXT(tbLOG[[#This Row],[DATA/HORA]],"mmmm"))</f>
        <v>Janeiro</v>
      </c>
      <c r="C207" s="34" t="str">
        <f>PROPER(TEXT(tbLOG[[#This Row],[DATA/HORA]],"dddd"))</f>
        <v>Terça-Feira</v>
      </c>
      <c r="D207" s="3" t="s">
        <v>604</v>
      </c>
      <c r="E207" s="34" t="str">
        <f>IFERROR(VLOOKUP(tbLOG[[#This Row],[LOGIN]],tbMAPA[#All],2,0), "Não localizado")</f>
        <v>Renan Cazumba Tegani</v>
      </c>
      <c r="F207" s="34" t="str">
        <f>IFERROR(VLOOKUP(tbLOG[[#This Row],[LOGIN]],tbMAPA[#All],3,0), "Não localizado")</f>
        <v>Reginaldo Santana De Souza</v>
      </c>
      <c r="G207" s="3" t="s">
        <v>1211</v>
      </c>
      <c r="H207" s="3" t="s">
        <v>836</v>
      </c>
    </row>
    <row r="208" spans="1:8">
      <c r="A208" s="29">
        <v>42738.514965277776</v>
      </c>
      <c r="B208" s="29" t="str">
        <f>PROPER(TEXT(tbLOG[[#This Row],[DATA/HORA]],"mmmm"))</f>
        <v>Janeiro</v>
      </c>
      <c r="C208" s="34" t="str">
        <f>PROPER(TEXT(tbLOG[[#This Row],[DATA/HORA]],"dddd"))</f>
        <v>Terça-Feira</v>
      </c>
      <c r="D208" s="3" t="s">
        <v>604</v>
      </c>
      <c r="E208" s="34" t="str">
        <f>IFERROR(VLOOKUP(tbLOG[[#This Row],[LOGIN]],tbMAPA[#All],2,0), "Não localizado")</f>
        <v>Renan Cazumba Tegani</v>
      </c>
      <c r="F208" s="34" t="str">
        <f>IFERROR(VLOOKUP(tbLOG[[#This Row],[LOGIN]],tbMAPA[#All],3,0), "Não localizado")</f>
        <v>Reginaldo Santana De Souza</v>
      </c>
      <c r="G208" s="3" t="s">
        <v>1211</v>
      </c>
      <c r="H208" s="3" t="s">
        <v>836</v>
      </c>
    </row>
    <row r="209" spans="1:8">
      <c r="A209" s="29">
        <v>42738.515057870369</v>
      </c>
      <c r="B209" s="29" t="str">
        <f>PROPER(TEXT(tbLOG[[#This Row],[DATA/HORA]],"mmmm"))</f>
        <v>Janeiro</v>
      </c>
      <c r="C209" s="34" t="str">
        <f>PROPER(TEXT(tbLOG[[#This Row],[DATA/HORA]],"dddd"))</f>
        <v>Terça-Feira</v>
      </c>
      <c r="D209" s="3" t="s">
        <v>604</v>
      </c>
      <c r="E209" s="34" t="str">
        <f>IFERROR(VLOOKUP(tbLOG[[#This Row],[LOGIN]],tbMAPA[#All],2,0), "Não localizado")</f>
        <v>Renan Cazumba Tegani</v>
      </c>
      <c r="F209" s="34" t="str">
        <f>IFERROR(VLOOKUP(tbLOG[[#This Row],[LOGIN]],tbMAPA[#All],3,0), "Não localizado")</f>
        <v>Reginaldo Santana De Souza</v>
      </c>
      <c r="G209" s="3" t="s">
        <v>1211</v>
      </c>
      <c r="H209" s="3" t="s">
        <v>836</v>
      </c>
    </row>
    <row r="210" spans="1:8">
      <c r="A210" s="29">
        <v>42738.520428240743</v>
      </c>
      <c r="B210" s="29" t="str">
        <f>PROPER(TEXT(tbLOG[[#This Row],[DATA/HORA]],"mmmm"))</f>
        <v>Janeiro</v>
      </c>
      <c r="C210" s="34" t="str">
        <f>PROPER(TEXT(tbLOG[[#This Row],[DATA/HORA]],"dddd"))</f>
        <v>Terça-Feira</v>
      </c>
      <c r="D210" s="3" t="s">
        <v>604</v>
      </c>
      <c r="E210" s="34" t="str">
        <f>IFERROR(VLOOKUP(tbLOG[[#This Row],[LOGIN]],tbMAPA[#All],2,0), "Não localizado")</f>
        <v>Renan Cazumba Tegani</v>
      </c>
      <c r="F210" s="34" t="str">
        <f>IFERROR(VLOOKUP(tbLOG[[#This Row],[LOGIN]],tbMAPA[#All],3,0), "Não localizado")</f>
        <v>Reginaldo Santana De Souza</v>
      </c>
      <c r="G210" s="3" t="s">
        <v>1211</v>
      </c>
      <c r="H210" s="3" t="s">
        <v>836</v>
      </c>
    </row>
    <row r="211" spans="1:8">
      <c r="A211" s="29">
        <v>42738.520532407405</v>
      </c>
      <c r="B211" s="29" t="str">
        <f>PROPER(TEXT(tbLOG[[#This Row],[DATA/HORA]],"mmmm"))</f>
        <v>Janeiro</v>
      </c>
      <c r="C211" s="34" t="str">
        <f>PROPER(TEXT(tbLOG[[#This Row],[DATA/HORA]],"dddd"))</f>
        <v>Terça-Feira</v>
      </c>
      <c r="D211" s="3" t="s">
        <v>604</v>
      </c>
      <c r="E211" s="34" t="str">
        <f>IFERROR(VLOOKUP(tbLOG[[#This Row],[LOGIN]],tbMAPA[#All],2,0), "Não localizado")</f>
        <v>Renan Cazumba Tegani</v>
      </c>
      <c r="F211" s="34" t="str">
        <f>IFERROR(VLOOKUP(tbLOG[[#This Row],[LOGIN]],tbMAPA[#All],3,0), "Não localizado")</f>
        <v>Reginaldo Santana De Souza</v>
      </c>
      <c r="G211" s="3" t="s">
        <v>1211</v>
      </c>
      <c r="H211" s="3" t="s">
        <v>836</v>
      </c>
    </row>
    <row r="212" spans="1:8">
      <c r="A212" s="29">
        <v>42738.520682870374</v>
      </c>
      <c r="B212" s="29" t="str">
        <f>PROPER(TEXT(tbLOG[[#This Row],[DATA/HORA]],"mmmm"))</f>
        <v>Janeiro</v>
      </c>
      <c r="C212" s="34" t="str">
        <f>PROPER(TEXT(tbLOG[[#This Row],[DATA/HORA]],"dddd"))</f>
        <v>Terça-Feira</v>
      </c>
      <c r="D212" s="3" t="s">
        <v>604</v>
      </c>
      <c r="E212" s="34" t="str">
        <f>IFERROR(VLOOKUP(tbLOG[[#This Row],[LOGIN]],tbMAPA[#All],2,0), "Não localizado")</f>
        <v>Renan Cazumba Tegani</v>
      </c>
      <c r="F212" s="34" t="str">
        <f>IFERROR(VLOOKUP(tbLOG[[#This Row],[LOGIN]],tbMAPA[#All],3,0), "Não localizado")</f>
        <v>Reginaldo Santana De Souza</v>
      </c>
      <c r="G212" s="3" t="s">
        <v>1211</v>
      </c>
      <c r="H212" s="3" t="s">
        <v>836</v>
      </c>
    </row>
    <row r="213" spans="1:8">
      <c r="A213" s="29">
        <v>42738.521527777775</v>
      </c>
      <c r="B213" s="29" t="str">
        <f>PROPER(TEXT(tbLOG[[#This Row],[DATA/HORA]],"mmmm"))</f>
        <v>Janeiro</v>
      </c>
      <c r="C213" s="34" t="str">
        <f>PROPER(TEXT(tbLOG[[#This Row],[DATA/HORA]],"dddd"))</f>
        <v>Terça-Feira</v>
      </c>
      <c r="D213" s="3" t="s">
        <v>604</v>
      </c>
      <c r="E213" s="34" t="str">
        <f>IFERROR(VLOOKUP(tbLOG[[#This Row],[LOGIN]],tbMAPA[#All],2,0), "Não localizado")</f>
        <v>Renan Cazumba Tegani</v>
      </c>
      <c r="F213" s="34" t="str">
        <f>IFERROR(VLOOKUP(tbLOG[[#This Row],[LOGIN]],tbMAPA[#All],3,0), "Não localizado")</f>
        <v>Reginaldo Santana De Souza</v>
      </c>
      <c r="G213" s="3" t="s">
        <v>1211</v>
      </c>
      <c r="H213" s="3" t="s">
        <v>836</v>
      </c>
    </row>
    <row r="214" spans="1:8">
      <c r="A214" s="29">
        <v>42738.52553240741</v>
      </c>
      <c r="B214" s="29" t="str">
        <f>PROPER(TEXT(tbLOG[[#This Row],[DATA/HORA]],"mmmm"))</f>
        <v>Janeiro</v>
      </c>
      <c r="C214" s="34" t="str">
        <f>PROPER(TEXT(tbLOG[[#This Row],[DATA/HORA]],"dddd"))</f>
        <v>Terça-Feira</v>
      </c>
      <c r="D214" s="3" t="s">
        <v>604</v>
      </c>
      <c r="E214" s="34" t="str">
        <f>IFERROR(VLOOKUP(tbLOG[[#This Row],[LOGIN]],tbMAPA[#All],2,0), "Não localizado")</f>
        <v>Renan Cazumba Tegani</v>
      </c>
      <c r="F214" s="34" t="str">
        <f>IFERROR(VLOOKUP(tbLOG[[#This Row],[LOGIN]],tbMAPA[#All],3,0), "Não localizado")</f>
        <v>Reginaldo Santana De Souza</v>
      </c>
      <c r="G214" s="3" t="s">
        <v>1211</v>
      </c>
      <c r="H214" s="3" t="s">
        <v>836</v>
      </c>
    </row>
    <row r="215" spans="1:8">
      <c r="A215" s="29">
        <v>42738.525578703702</v>
      </c>
      <c r="B215" s="29" t="str">
        <f>PROPER(TEXT(tbLOG[[#This Row],[DATA/HORA]],"mmmm"))</f>
        <v>Janeiro</v>
      </c>
      <c r="C215" s="34" t="str">
        <f>PROPER(TEXT(tbLOG[[#This Row],[DATA/HORA]],"dddd"))</f>
        <v>Terça-Feira</v>
      </c>
      <c r="D215" s="3" t="s">
        <v>604</v>
      </c>
      <c r="E215" s="34" t="str">
        <f>IFERROR(VLOOKUP(tbLOG[[#This Row],[LOGIN]],tbMAPA[#All],2,0), "Não localizado")</f>
        <v>Renan Cazumba Tegani</v>
      </c>
      <c r="F215" s="34" t="str">
        <f>IFERROR(VLOOKUP(tbLOG[[#This Row],[LOGIN]],tbMAPA[#All],3,0), "Não localizado")</f>
        <v>Reginaldo Santana De Souza</v>
      </c>
      <c r="G215" s="3" t="s">
        <v>1211</v>
      </c>
      <c r="H215" s="3" t="s">
        <v>836</v>
      </c>
    </row>
    <row r="216" spans="1:8">
      <c r="A216" s="29">
        <v>42738.525648148148</v>
      </c>
      <c r="B216" s="29" t="str">
        <f>PROPER(TEXT(tbLOG[[#This Row],[DATA/HORA]],"mmmm"))</f>
        <v>Janeiro</v>
      </c>
      <c r="C216" s="34" t="str">
        <f>PROPER(TEXT(tbLOG[[#This Row],[DATA/HORA]],"dddd"))</f>
        <v>Terça-Feira</v>
      </c>
      <c r="D216" s="3" t="s">
        <v>604</v>
      </c>
      <c r="E216" s="34" t="str">
        <f>IFERROR(VLOOKUP(tbLOG[[#This Row],[LOGIN]],tbMAPA[#All],2,0), "Não localizado")</f>
        <v>Renan Cazumba Tegani</v>
      </c>
      <c r="F216" s="34" t="str">
        <f>IFERROR(VLOOKUP(tbLOG[[#This Row],[LOGIN]],tbMAPA[#All],3,0), "Não localizado")</f>
        <v>Reginaldo Santana De Souza</v>
      </c>
      <c r="G216" s="3" t="s">
        <v>1211</v>
      </c>
      <c r="H216" s="3" t="s">
        <v>836</v>
      </c>
    </row>
    <row r="217" spans="1:8">
      <c r="A217" s="29">
        <v>42738.528807870367</v>
      </c>
      <c r="B217" s="29" t="str">
        <f>PROPER(TEXT(tbLOG[[#This Row],[DATA/HORA]],"mmmm"))</f>
        <v>Janeiro</v>
      </c>
      <c r="C217" s="34" t="str">
        <f>PROPER(TEXT(tbLOG[[#This Row],[DATA/HORA]],"dddd"))</f>
        <v>Terça-Feira</v>
      </c>
      <c r="D217" s="3" t="s">
        <v>604</v>
      </c>
      <c r="E217" s="34" t="str">
        <f>IFERROR(VLOOKUP(tbLOG[[#This Row],[LOGIN]],tbMAPA[#All],2,0), "Não localizado")</f>
        <v>Renan Cazumba Tegani</v>
      </c>
      <c r="F217" s="34" t="str">
        <f>IFERROR(VLOOKUP(tbLOG[[#This Row],[LOGIN]],tbMAPA[#All],3,0), "Não localizado")</f>
        <v>Reginaldo Santana De Souza</v>
      </c>
      <c r="G217" s="3" t="s">
        <v>1211</v>
      </c>
      <c r="H217" s="3" t="s">
        <v>836</v>
      </c>
    </row>
    <row r="218" spans="1:8">
      <c r="A218" s="29">
        <v>42738.528831018521</v>
      </c>
      <c r="B218" s="29" t="str">
        <f>PROPER(TEXT(tbLOG[[#This Row],[DATA/HORA]],"mmmm"))</f>
        <v>Janeiro</v>
      </c>
      <c r="C218" s="34" t="str">
        <f>PROPER(TEXT(tbLOG[[#This Row],[DATA/HORA]],"dddd"))</f>
        <v>Terça-Feira</v>
      </c>
      <c r="D218" s="3" t="s">
        <v>604</v>
      </c>
      <c r="E218" s="34" t="str">
        <f>IFERROR(VLOOKUP(tbLOG[[#This Row],[LOGIN]],tbMAPA[#All],2,0), "Não localizado")</f>
        <v>Renan Cazumba Tegani</v>
      </c>
      <c r="F218" s="34" t="str">
        <f>IFERROR(VLOOKUP(tbLOG[[#This Row],[LOGIN]],tbMAPA[#All],3,0), "Não localizado")</f>
        <v>Reginaldo Santana De Souza</v>
      </c>
      <c r="G218" s="3" t="s">
        <v>1211</v>
      </c>
      <c r="H218" s="3" t="s">
        <v>836</v>
      </c>
    </row>
    <row r="219" spans="1:8">
      <c r="A219" s="29">
        <v>42738.529050925928</v>
      </c>
      <c r="B219" s="29" t="str">
        <f>PROPER(TEXT(tbLOG[[#This Row],[DATA/HORA]],"mmmm"))</f>
        <v>Janeiro</v>
      </c>
      <c r="C219" s="34" t="str">
        <f>PROPER(TEXT(tbLOG[[#This Row],[DATA/HORA]],"dddd"))</f>
        <v>Terça-Feira</v>
      </c>
      <c r="D219" s="3" t="s">
        <v>604</v>
      </c>
      <c r="E219" s="34" t="str">
        <f>IFERROR(VLOOKUP(tbLOG[[#This Row],[LOGIN]],tbMAPA[#All],2,0), "Não localizado")</f>
        <v>Renan Cazumba Tegani</v>
      </c>
      <c r="F219" s="34" t="str">
        <f>IFERROR(VLOOKUP(tbLOG[[#This Row],[LOGIN]],tbMAPA[#All],3,0), "Não localizado")</f>
        <v>Reginaldo Santana De Souza</v>
      </c>
      <c r="G219" s="3" t="s">
        <v>1211</v>
      </c>
      <c r="H219" s="3" t="s">
        <v>836</v>
      </c>
    </row>
    <row r="220" spans="1:8">
      <c r="A220" s="29">
        <v>42738.539479166669</v>
      </c>
      <c r="B220" s="29" t="str">
        <f>PROPER(TEXT(tbLOG[[#This Row],[DATA/HORA]],"mmmm"))</f>
        <v>Janeiro</v>
      </c>
      <c r="C220" s="34" t="str">
        <f>PROPER(TEXT(tbLOG[[#This Row],[DATA/HORA]],"dddd"))</f>
        <v>Terça-Feira</v>
      </c>
      <c r="D220" s="3" t="s">
        <v>604</v>
      </c>
      <c r="E220" s="34" t="str">
        <f>IFERROR(VLOOKUP(tbLOG[[#This Row],[LOGIN]],tbMAPA[#All],2,0), "Não localizado")</f>
        <v>Renan Cazumba Tegani</v>
      </c>
      <c r="F220" s="34" t="str">
        <f>IFERROR(VLOOKUP(tbLOG[[#This Row],[LOGIN]],tbMAPA[#All],3,0), "Não localizado")</f>
        <v>Reginaldo Santana De Souza</v>
      </c>
      <c r="G220" s="3" t="s">
        <v>1211</v>
      </c>
      <c r="H220" s="3" t="s">
        <v>836</v>
      </c>
    </row>
    <row r="221" spans="1:8">
      <c r="A221" s="29">
        <v>42738.539780092593</v>
      </c>
      <c r="B221" s="29" t="str">
        <f>PROPER(TEXT(tbLOG[[#This Row],[DATA/HORA]],"mmmm"))</f>
        <v>Janeiro</v>
      </c>
      <c r="C221" s="34" t="str">
        <f>PROPER(TEXT(tbLOG[[#This Row],[DATA/HORA]],"dddd"))</f>
        <v>Terça-Feira</v>
      </c>
      <c r="D221" s="3" t="s">
        <v>604</v>
      </c>
      <c r="E221" s="34" t="str">
        <f>IFERROR(VLOOKUP(tbLOG[[#This Row],[LOGIN]],tbMAPA[#All],2,0), "Não localizado")</f>
        <v>Renan Cazumba Tegani</v>
      </c>
      <c r="F221" s="34" t="str">
        <f>IFERROR(VLOOKUP(tbLOG[[#This Row],[LOGIN]],tbMAPA[#All],3,0), "Não localizado")</f>
        <v>Reginaldo Santana De Souza</v>
      </c>
      <c r="G221" s="3" t="s">
        <v>1211</v>
      </c>
      <c r="H221" s="3" t="s">
        <v>291</v>
      </c>
    </row>
    <row r="222" spans="1:8">
      <c r="A222" s="29">
        <v>42738.539780092593</v>
      </c>
      <c r="B222" s="29" t="str">
        <f>PROPER(TEXT(tbLOG[[#This Row],[DATA/HORA]],"mmmm"))</f>
        <v>Janeiro</v>
      </c>
      <c r="C222" s="34" t="str">
        <f>PROPER(TEXT(tbLOG[[#This Row],[DATA/HORA]],"dddd"))</f>
        <v>Terça-Feira</v>
      </c>
      <c r="D222" s="3" t="s">
        <v>604</v>
      </c>
      <c r="E222" s="34" t="str">
        <f>IFERROR(VLOOKUP(tbLOG[[#This Row],[LOGIN]],tbMAPA[#All],2,0), "Não localizado")</f>
        <v>Renan Cazumba Tegani</v>
      </c>
      <c r="F222" s="34" t="str">
        <f>IFERROR(VLOOKUP(tbLOG[[#This Row],[LOGIN]],tbMAPA[#All],3,0), "Não localizado")</f>
        <v>Reginaldo Santana De Souza</v>
      </c>
      <c r="G222" s="3" t="s">
        <v>1211</v>
      </c>
      <c r="H222" s="3" t="s">
        <v>290</v>
      </c>
    </row>
    <row r="223" spans="1:8">
      <c r="A223" s="29">
        <v>42738.539930555555</v>
      </c>
      <c r="B223" s="29" t="str">
        <f>PROPER(TEXT(tbLOG[[#This Row],[DATA/HORA]],"mmmm"))</f>
        <v>Janeiro</v>
      </c>
      <c r="C223" s="34" t="str">
        <f>PROPER(TEXT(tbLOG[[#This Row],[DATA/HORA]],"dddd"))</f>
        <v>Terça-Feira</v>
      </c>
      <c r="D223" s="3" t="s">
        <v>604</v>
      </c>
      <c r="E223" s="34" t="str">
        <f>IFERROR(VLOOKUP(tbLOG[[#This Row],[LOGIN]],tbMAPA[#All],2,0), "Não localizado")</f>
        <v>Renan Cazumba Tegani</v>
      </c>
      <c r="F223" s="34" t="str">
        <f>IFERROR(VLOOKUP(tbLOG[[#This Row],[LOGIN]],tbMAPA[#All],3,0), "Não localizado")</f>
        <v>Reginaldo Santana De Souza</v>
      </c>
      <c r="G223" s="3" t="s">
        <v>1211</v>
      </c>
      <c r="H223" s="3" t="s">
        <v>994</v>
      </c>
    </row>
    <row r="224" spans="1:8">
      <c r="A224" s="29">
        <v>42738.54010416667</v>
      </c>
      <c r="B224" s="29" t="str">
        <f>PROPER(TEXT(tbLOG[[#This Row],[DATA/HORA]],"mmmm"))</f>
        <v>Janeiro</v>
      </c>
      <c r="C224" s="34" t="str">
        <f>PROPER(TEXT(tbLOG[[#This Row],[DATA/HORA]],"dddd"))</f>
        <v>Terça-Feira</v>
      </c>
      <c r="D224" s="3" t="s">
        <v>604</v>
      </c>
      <c r="E224" s="34" t="str">
        <f>IFERROR(VLOOKUP(tbLOG[[#This Row],[LOGIN]],tbMAPA[#All],2,0), "Não localizado")</f>
        <v>Renan Cazumba Tegani</v>
      </c>
      <c r="F224" s="34" t="str">
        <f>IFERROR(VLOOKUP(tbLOG[[#This Row],[LOGIN]],tbMAPA[#All],3,0), "Não localizado")</f>
        <v>Reginaldo Santana De Souza</v>
      </c>
      <c r="G224" s="3" t="s">
        <v>1211</v>
      </c>
      <c r="H224" s="3" t="s">
        <v>836</v>
      </c>
    </row>
    <row r="225" spans="1:8">
      <c r="A225" s="29">
        <v>42738.540289351855</v>
      </c>
      <c r="B225" s="29" t="str">
        <f>PROPER(TEXT(tbLOG[[#This Row],[DATA/HORA]],"mmmm"))</f>
        <v>Janeiro</v>
      </c>
      <c r="C225" s="34" t="str">
        <f>PROPER(TEXT(tbLOG[[#This Row],[DATA/HORA]],"dddd"))</f>
        <v>Terça-Feira</v>
      </c>
      <c r="D225" s="3" t="s">
        <v>604</v>
      </c>
      <c r="E225" s="34" t="str">
        <f>IFERROR(VLOOKUP(tbLOG[[#This Row],[LOGIN]],tbMAPA[#All],2,0), "Não localizado")</f>
        <v>Renan Cazumba Tegani</v>
      </c>
      <c r="F225" s="34" t="str">
        <f>IFERROR(VLOOKUP(tbLOG[[#This Row],[LOGIN]],tbMAPA[#All],3,0), "Não localizado")</f>
        <v>Reginaldo Santana De Souza</v>
      </c>
      <c r="G225" s="3" t="s">
        <v>1211</v>
      </c>
      <c r="H225" s="3" t="s">
        <v>836</v>
      </c>
    </row>
    <row r="226" spans="1:8">
      <c r="A226" s="29">
        <v>42738.540347222224</v>
      </c>
      <c r="B226" s="29" t="str">
        <f>PROPER(TEXT(tbLOG[[#This Row],[DATA/HORA]],"mmmm"))</f>
        <v>Janeiro</v>
      </c>
      <c r="C226" s="34" t="str">
        <f>PROPER(TEXT(tbLOG[[#This Row],[DATA/HORA]],"dddd"))</f>
        <v>Terça-Feira</v>
      </c>
      <c r="D226" s="3" t="s">
        <v>604</v>
      </c>
      <c r="E226" s="34" t="str">
        <f>IFERROR(VLOOKUP(tbLOG[[#This Row],[LOGIN]],tbMAPA[#All],2,0), "Não localizado")</f>
        <v>Renan Cazumba Tegani</v>
      </c>
      <c r="F226" s="34" t="str">
        <f>IFERROR(VLOOKUP(tbLOG[[#This Row],[LOGIN]],tbMAPA[#All],3,0), "Não localizado")</f>
        <v>Reginaldo Santana De Souza</v>
      </c>
      <c r="G226" s="3" t="s">
        <v>1211</v>
      </c>
      <c r="H226" s="3" t="s">
        <v>836</v>
      </c>
    </row>
    <row r="227" spans="1:8">
      <c r="A227" s="29">
        <v>42738.540405092594</v>
      </c>
      <c r="B227" s="29" t="str">
        <f>PROPER(TEXT(tbLOG[[#This Row],[DATA/HORA]],"mmmm"))</f>
        <v>Janeiro</v>
      </c>
      <c r="C227" s="34" t="str">
        <f>PROPER(TEXT(tbLOG[[#This Row],[DATA/HORA]],"dddd"))</f>
        <v>Terça-Feira</v>
      </c>
      <c r="D227" s="3" t="s">
        <v>604</v>
      </c>
      <c r="E227" s="34" t="str">
        <f>IFERROR(VLOOKUP(tbLOG[[#This Row],[LOGIN]],tbMAPA[#All],2,0), "Não localizado")</f>
        <v>Renan Cazumba Tegani</v>
      </c>
      <c r="F227" s="34" t="str">
        <f>IFERROR(VLOOKUP(tbLOG[[#This Row],[LOGIN]],tbMAPA[#All],3,0), "Não localizado")</f>
        <v>Reginaldo Santana De Souza</v>
      </c>
      <c r="G227" s="3" t="s">
        <v>1211</v>
      </c>
      <c r="H227" s="3" t="s">
        <v>836</v>
      </c>
    </row>
    <row r="228" spans="1:8">
      <c r="A228" s="29">
        <v>42738.559548611112</v>
      </c>
      <c r="B228" s="29" t="str">
        <f>PROPER(TEXT(tbLOG[[#This Row],[DATA/HORA]],"mmmm"))</f>
        <v>Janeiro</v>
      </c>
      <c r="C228" s="34" t="str">
        <f>PROPER(TEXT(tbLOG[[#This Row],[DATA/HORA]],"dddd"))</f>
        <v>Terça-Feira</v>
      </c>
      <c r="D228" s="3" t="s">
        <v>604</v>
      </c>
      <c r="E228" s="34" t="str">
        <f>IFERROR(VLOOKUP(tbLOG[[#This Row],[LOGIN]],tbMAPA[#All],2,0), "Não localizado")</f>
        <v>Renan Cazumba Tegani</v>
      </c>
      <c r="F228" s="34" t="str">
        <f>IFERROR(VLOOKUP(tbLOG[[#This Row],[LOGIN]],tbMAPA[#All],3,0), "Não localizado")</f>
        <v>Reginaldo Santana De Souza</v>
      </c>
      <c r="G228" s="3" t="s">
        <v>1211</v>
      </c>
      <c r="H228" s="3" t="s">
        <v>836</v>
      </c>
    </row>
    <row r="229" spans="1:8">
      <c r="A229" s="29">
        <v>42738.559560185182</v>
      </c>
      <c r="B229" s="29" t="str">
        <f>PROPER(TEXT(tbLOG[[#This Row],[DATA/HORA]],"mmmm"))</f>
        <v>Janeiro</v>
      </c>
      <c r="C229" s="34" t="str">
        <f>PROPER(TEXT(tbLOG[[#This Row],[DATA/HORA]],"dddd"))</f>
        <v>Terça-Feira</v>
      </c>
      <c r="D229" s="3" t="s">
        <v>604</v>
      </c>
      <c r="E229" s="34" t="str">
        <f>IFERROR(VLOOKUP(tbLOG[[#This Row],[LOGIN]],tbMAPA[#All],2,0), "Não localizado")</f>
        <v>Renan Cazumba Tegani</v>
      </c>
      <c r="F229" s="34" t="str">
        <f>IFERROR(VLOOKUP(tbLOG[[#This Row],[LOGIN]],tbMAPA[#All],3,0), "Não localizado")</f>
        <v>Reginaldo Santana De Souza</v>
      </c>
      <c r="G229" s="3" t="s">
        <v>1211</v>
      </c>
      <c r="H229" s="3" t="s">
        <v>836</v>
      </c>
    </row>
    <row r="230" spans="1:8">
      <c r="A230" s="29">
        <v>42738.559664351851</v>
      </c>
      <c r="B230" s="29" t="str">
        <f>PROPER(TEXT(tbLOG[[#This Row],[DATA/HORA]],"mmmm"))</f>
        <v>Janeiro</v>
      </c>
      <c r="C230" s="34" t="str">
        <f>PROPER(TEXT(tbLOG[[#This Row],[DATA/HORA]],"dddd"))</f>
        <v>Terça-Feira</v>
      </c>
      <c r="D230" s="3" t="s">
        <v>604</v>
      </c>
      <c r="E230" s="34" t="str">
        <f>IFERROR(VLOOKUP(tbLOG[[#This Row],[LOGIN]],tbMAPA[#All],2,0), "Não localizado")</f>
        <v>Renan Cazumba Tegani</v>
      </c>
      <c r="F230" s="34" t="str">
        <f>IFERROR(VLOOKUP(tbLOG[[#This Row],[LOGIN]],tbMAPA[#All],3,0), "Não localizado")</f>
        <v>Reginaldo Santana De Souza</v>
      </c>
      <c r="G230" s="3" t="s">
        <v>1211</v>
      </c>
      <c r="H230" s="3" t="s">
        <v>836</v>
      </c>
    </row>
    <row r="231" spans="1:8">
      <c r="A231" s="29">
        <v>42738.58017361111</v>
      </c>
      <c r="B231" s="29" t="str">
        <f>PROPER(TEXT(tbLOG[[#This Row],[DATA/HORA]],"mmmm"))</f>
        <v>Janeiro</v>
      </c>
      <c r="C231" s="34" t="str">
        <f>PROPER(TEXT(tbLOG[[#This Row],[DATA/HORA]],"dddd"))</f>
        <v>Terça-Feira</v>
      </c>
      <c r="D231" s="3" t="s">
        <v>604</v>
      </c>
      <c r="E231" s="34" t="str">
        <f>IFERROR(VLOOKUP(tbLOG[[#This Row],[LOGIN]],tbMAPA[#All],2,0), "Não localizado")</f>
        <v>Renan Cazumba Tegani</v>
      </c>
      <c r="F231" s="34" t="str">
        <f>IFERROR(VLOOKUP(tbLOG[[#This Row],[LOGIN]],tbMAPA[#All],3,0), "Não localizado")</f>
        <v>Reginaldo Santana De Souza</v>
      </c>
      <c r="G231" s="3" t="s">
        <v>1211</v>
      </c>
      <c r="H231" s="3" t="s">
        <v>836</v>
      </c>
    </row>
    <row r="232" spans="1:8">
      <c r="A232" s="29">
        <v>42738.580347222225</v>
      </c>
      <c r="B232" s="29" t="str">
        <f>PROPER(TEXT(tbLOG[[#This Row],[DATA/HORA]],"mmmm"))</f>
        <v>Janeiro</v>
      </c>
      <c r="C232" s="34" t="str">
        <f>PROPER(TEXT(tbLOG[[#This Row],[DATA/HORA]],"dddd"))</f>
        <v>Terça-Feira</v>
      </c>
      <c r="D232" s="3" t="s">
        <v>604</v>
      </c>
      <c r="E232" s="34" t="str">
        <f>IFERROR(VLOOKUP(tbLOG[[#This Row],[LOGIN]],tbMAPA[#All],2,0), "Não localizado")</f>
        <v>Renan Cazumba Tegani</v>
      </c>
      <c r="F232" s="34" t="str">
        <f>IFERROR(VLOOKUP(tbLOG[[#This Row],[LOGIN]],tbMAPA[#All],3,0), "Não localizado")</f>
        <v>Reginaldo Santana De Souza</v>
      </c>
      <c r="G232" s="3" t="s">
        <v>1211</v>
      </c>
      <c r="H232" s="3" t="s">
        <v>836</v>
      </c>
    </row>
    <row r="233" spans="1:8">
      <c r="A233" s="29">
        <v>42738.580717592595</v>
      </c>
      <c r="B233" s="29" t="str">
        <f>PROPER(TEXT(tbLOG[[#This Row],[DATA/HORA]],"mmmm"))</f>
        <v>Janeiro</v>
      </c>
      <c r="C233" s="34" t="str">
        <f>PROPER(TEXT(tbLOG[[#This Row],[DATA/HORA]],"dddd"))</f>
        <v>Terça-Feira</v>
      </c>
      <c r="D233" s="3" t="s">
        <v>604</v>
      </c>
      <c r="E233" s="34" t="str">
        <f>IFERROR(VLOOKUP(tbLOG[[#This Row],[LOGIN]],tbMAPA[#All],2,0), "Não localizado")</f>
        <v>Renan Cazumba Tegani</v>
      </c>
      <c r="F233" s="34" t="str">
        <f>IFERROR(VLOOKUP(tbLOG[[#This Row],[LOGIN]],tbMAPA[#All],3,0), "Não localizado")</f>
        <v>Reginaldo Santana De Souza</v>
      </c>
      <c r="G233" s="3" t="s">
        <v>1211</v>
      </c>
      <c r="H233" s="3" t="s">
        <v>836</v>
      </c>
    </row>
    <row r="234" spans="1:8">
      <c r="A234" s="29">
        <v>42738.581585648149</v>
      </c>
      <c r="B234" s="29" t="str">
        <f>PROPER(TEXT(tbLOG[[#This Row],[DATA/HORA]],"mmmm"))</f>
        <v>Janeiro</v>
      </c>
      <c r="C234" s="34" t="str">
        <f>PROPER(TEXT(tbLOG[[#This Row],[DATA/HORA]],"dddd"))</f>
        <v>Terça-Feira</v>
      </c>
      <c r="D234" s="3" t="s">
        <v>604</v>
      </c>
      <c r="E234" s="34" t="str">
        <f>IFERROR(VLOOKUP(tbLOG[[#This Row],[LOGIN]],tbMAPA[#All],2,0), "Não localizado")</f>
        <v>Renan Cazumba Tegani</v>
      </c>
      <c r="F234" s="34" t="str">
        <f>IFERROR(VLOOKUP(tbLOG[[#This Row],[LOGIN]],tbMAPA[#All],3,0), "Não localizado")</f>
        <v>Reginaldo Santana De Souza</v>
      </c>
      <c r="G234" s="3" t="s">
        <v>1211</v>
      </c>
      <c r="H234" s="3" t="s">
        <v>836</v>
      </c>
    </row>
    <row r="235" spans="1:8">
      <c r="A235" s="29">
        <v>42738.581608796296</v>
      </c>
      <c r="B235" s="29" t="str">
        <f>PROPER(TEXT(tbLOG[[#This Row],[DATA/HORA]],"mmmm"))</f>
        <v>Janeiro</v>
      </c>
      <c r="C235" s="34" t="str">
        <f>PROPER(TEXT(tbLOG[[#This Row],[DATA/HORA]],"dddd"))</f>
        <v>Terça-Feira</v>
      </c>
      <c r="D235" s="3" t="s">
        <v>604</v>
      </c>
      <c r="E235" s="34" t="str">
        <f>IFERROR(VLOOKUP(tbLOG[[#This Row],[LOGIN]],tbMAPA[#All],2,0), "Não localizado")</f>
        <v>Renan Cazumba Tegani</v>
      </c>
      <c r="F235" s="34" t="str">
        <f>IFERROR(VLOOKUP(tbLOG[[#This Row],[LOGIN]],tbMAPA[#All],3,0), "Não localizado")</f>
        <v>Reginaldo Santana De Souza</v>
      </c>
      <c r="G235" s="3" t="s">
        <v>1211</v>
      </c>
      <c r="H235" s="3" t="s">
        <v>836</v>
      </c>
    </row>
    <row r="236" spans="1:8">
      <c r="A236" s="29">
        <v>42738.581678240742</v>
      </c>
      <c r="B236" s="29" t="str">
        <f>PROPER(TEXT(tbLOG[[#This Row],[DATA/HORA]],"mmmm"))</f>
        <v>Janeiro</v>
      </c>
      <c r="C236" s="34" t="str">
        <f>PROPER(TEXT(tbLOG[[#This Row],[DATA/HORA]],"dddd"))</f>
        <v>Terça-Feira</v>
      </c>
      <c r="D236" s="3" t="s">
        <v>604</v>
      </c>
      <c r="E236" s="34" t="str">
        <f>IFERROR(VLOOKUP(tbLOG[[#This Row],[LOGIN]],tbMAPA[#All],2,0), "Não localizado")</f>
        <v>Renan Cazumba Tegani</v>
      </c>
      <c r="F236" s="34" t="str">
        <f>IFERROR(VLOOKUP(tbLOG[[#This Row],[LOGIN]],tbMAPA[#All],3,0), "Não localizado")</f>
        <v>Reginaldo Santana De Souza</v>
      </c>
      <c r="G236" s="3" t="s">
        <v>1211</v>
      </c>
      <c r="H236" s="3" t="s">
        <v>836</v>
      </c>
    </row>
    <row r="237" spans="1:8">
      <c r="A237" s="29">
        <v>42738.581770833334</v>
      </c>
      <c r="B237" s="29" t="str">
        <f>PROPER(TEXT(tbLOG[[#This Row],[DATA/HORA]],"mmmm"))</f>
        <v>Janeiro</v>
      </c>
      <c r="C237" s="34" t="str">
        <f>PROPER(TEXT(tbLOG[[#This Row],[DATA/HORA]],"dddd"))</f>
        <v>Terça-Feira</v>
      </c>
      <c r="D237" s="3" t="s">
        <v>604</v>
      </c>
      <c r="E237" s="34" t="str">
        <f>IFERROR(VLOOKUP(tbLOG[[#This Row],[LOGIN]],tbMAPA[#All],2,0), "Não localizado")</f>
        <v>Renan Cazumba Tegani</v>
      </c>
      <c r="F237" s="34" t="str">
        <f>IFERROR(VLOOKUP(tbLOG[[#This Row],[LOGIN]],tbMAPA[#All],3,0), "Não localizado")</f>
        <v>Reginaldo Santana De Souza</v>
      </c>
      <c r="G237" s="3" t="s">
        <v>1211</v>
      </c>
      <c r="H237" s="3" t="s">
        <v>290</v>
      </c>
    </row>
    <row r="238" spans="1:8">
      <c r="A238" s="29">
        <v>42738.58388888889</v>
      </c>
      <c r="B238" s="29" t="str">
        <f>PROPER(TEXT(tbLOG[[#This Row],[DATA/HORA]],"mmmm"))</f>
        <v>Janeiro</v>
      </c>
      <c r="C238" s="34" t="str">
        <f>PROPER(TEXT(tbLOG[[#This Row],[DATA/HORA]],"dddd"))</f>
        <v>Terça-Feira</v>
      </c>
      <c r="D238" s="3" t="s">
        <v>604</v>
      </c>
      <c r="E238" s="34" t="str">
        <f>IFERROR(VLOOKUP(tbLOG[[#This Row],[LOGIN]],tbMAPA[#All],2,0), "Não localizado")</f>
        <v>Renan Cazumba Tegani</v>
      </c>
      <c r="F238" s="34" t="str">
        <f>IFERROR(VLOOKUP(tbLOG[[#This Row],[LOGIN]],tbMAPA[#All],3,0), "Não localizado")</f>
        <v>Reginaldo Santana De Souza</v>
      </c>
      <c r="G238" s="3" t="s">
        <v>1211</v>
      </c>
      <c r="H238" s="3" t="s">
        <v>836</v>
      </c>
    </row>
    <row r="239" spans="1:8">
      <c r="A239" s="29">
        <v>42738.583912037036</v>
      </c>
      <c r="B239" s="29" t="str">
        <f>PROPER(TEXT(tbLOG[[#This Row],[DATA/HORA]],"mmmm"))</f>
        <v>Janeiro</v>
      </c>
      <c r="C239" s="34" t="str">
        <f>PROPER(TEXT(tbLOG[[#This Row],[DATA/HORA]],"dddd"))</f>
        <v>Terça-Feira</v>
      </c>
      <c r="D239" s="3" t="s">
        <v>604</v>
      </c>
      <c r="E239" s="34" t="str">
        <f>IFERROR(VLOOKUP(tbLOG[[#This Row],[LOGIN]],tbMAPA[#All],2,0), "Não localizado")</f>
        <v>Renan Cazumba Tegani</v>
      </c>
      <c r="F239" s="34" t="str">
        <f>IFERROR(VLOOKUP(tbLOG[[#This Row],[LOGIN]],tbMAPA[#All],3,0), "Não localizado")</f>
        <v>Reginaldo Santana De Souza</v>
      </c>
      <c r="G239" s="3" t="s">
        <v>1211</v>
      </c>
      <c r="H239" s="3" t="s">
        <v>836</v>
      </c>
    </row>
    <row r="240" spans="1:8">
      <c r="A240" s="29">
        <v>42738.584421296298</v>
      </c>
      <c r="B240" s="29" t="str">
        <f>PROPER(TEXT(tbLOG[[#This Row],[DATA/HORA]],"mmmm"))</f>
        <v>Janeiro</v>
      </c>
      <c r="C240" s="34" t="str">
        <f>PROPER(TEXT(tbLOG[[#This Row],[DATA/HORA]],"dddd"))</f>
        <v>Terça-Feira</v>
      </c>
      <c r="D240" s="3" t="s">
        <v>604</v>
      </c>
      <c r="E240" s="34" t="str">
        <f>IFERROR(VLOOKUP(tbLOG[[#This Row],[LOGIN]],tbMAPA[#All],2,0), "Não localizado")</f>
        <v>Renan Cazumba Tegani</v>
      </c>
      <c r="F240" s="34" t="str">
        <f>IFERROR(VLOOKUP(tbLOG[[#This Row],[LOGIN]],tbMAPA[#All],3,0), "Não localizado")</f>
        <v>Reginaldo Santana De Souza</v>
      </c>
      <c r="G240" s="3" t="s">
        <v>1211</v>
      </c>
      <c r="H240" s="3" t="s">
        <v>836</v>
      </c>
    </row>
    <row r="241" spans="1:8">
      <c r="A241" s="29">
        <v>42738.585486111115</v>
      </c>
      <c r="B241" s="29" t="str">
        <f>PROPER(TEXT(tbLOG[[#This Row],[DATA/HORA]],"mmmm"))</f>
        <v>Janeiro</v>
      </c>
      <c r="C241" s="34" t="str">
        <f>PROPER(TEXT(tbLOG[[#This Row],[DATA/HORA]],"dddd"))</f>
        <v>Terça-Feira</v>
      </c>
      <c r="D241" s="3" t="s">
        <v>604</v>
      </c>
      <c r="E241" s="34" t="str">
        <f>IFERROR(VLOOKUP(tbLOG[[#This Row],[LOGIN]],tbMAPA[#All],2,0), "Não localizado")</f>
        <v>Renan Cazumba Tegani</v>
      </c>
      <c r="F241" s="34" t="str">
        <f>IFERROR(VLOOKUP(tbLOG[[#This Row],[LOGIN]],tbMAPA[#All],3,0), "Não localizado")</f>
        <v>Reginaldo Santana De Souza</v>
      </c>
      <c r="G241" s="3" t="s">
        <v>1211</v>
      </c>
      <c r="H241" s="3" t="s">
        <v>836</v>
      </c>
    </row>
    <row r="242" spans="1:8">
      <c r="A242" s="29">
        <v>42738.585543981484</v>
      </c>
      <c r="B242" s="29" t="str">
        <f>PROPER(TEXT(tbLOG[[#This Row],[DATA/HORA]],"mmmm"))</f>
        <v>Janeiro</v>
      </c>
      <c r="C242" s="34" t="str">
        <f>PROPER(TEXT(tbLOG[[#This Row],[DATA/HORA]],"dddd"))</f>
        <v>Terça-Feira</v>
      </c>
      <c r="D242" s="3" t="s">
        <v>604</v>
      </c>
      <c r="E242" s="34" t="str">
        <f>IFERROR(VLOOKUP(tbLOG[[#This Row],[LOGIN]],tbMAPA[#All],2,0), "Não localizado")</f>
        <v>Renan Cazumba Tegani</v>
      </c>
      <c r="F242" s="34" t="str">
        <f>IFERROR(VLOOKUP(tbLOG[[#This Row],[LOGIN]],tbMAPA[#All],3,0), "Não localizado")</f>
        <v>Reginaldo Santana De Souza</v>
      </c>
      <c r="G242" s="3" t="s">
        <v>1211</v>
      </c>
      <c r="H242" s="3" t="s">
        <v>836</v>
      </c>
    </row>
    <row r="243" spans="1:8">
      <c r="A243" s="29">
        <v>42738.587430555555</v>
      </c>
      <c r="B243" s="29" t="str">
        <f>PROPER(TEXT(tbLOG[[#This Row],[DATA/HORA]],"mmmm"))</f>
        <v>Janeiro</v>
      </c>
      <c r="C243" s="34" t="str">
        <f>PROPER(TEXT(tbLOG[[#This Row],[DATA/HORA]],"dddd"))</f>
        <v>Terça-Feira</v>
      </c>
      <c r="D243" s="3" t="s">
        <v>604</v>
      </c>
      <c r="E243" s="34" t="str">
        <f>IFERROR(VLOOKUP(tbLOG[[#This Row],[LOGIN]],tbMAPA[#All],2,0), "Não localizado")</f>
        <v>Renan Cazumba Tegani</v>
      </c>
      <c r="F243" s="34" t="str">
        <f>IFERROR(VLOOKUP(tbLOG[[#This Row],[LOGIN]],tbMAPA[#All],3,0), "Não localizado")</f>
        <v>Reginaldo Santana De Souza</v>
      </c>
      <c r="G243" s="3" t="s">
        <v>1211</v>
      </c>
      <c r="H243" s="3" t="s">
        <v>836</v>
      </c>
    </row>
    <row r="244" spans="1:8">
      <c r="A244" s="29">
        <v>42738.587488425925</v>
      </c>
      <c r="B244" s="29" t="str">
        <f>PROPER(TEXT(tbLOG[[#This Row],[DATA/HORA]],"mmmm"))</f>
        <v>Janeiro</v>
      </c>
      <c r="C244" s="34" t="str">
        <f>PROPER(TEXT(tbLOG[[#This Row],[DATA/HORA]],"dddd"))</f>
        <v>Terça-Feira</v>
      </c>
      <c r="D244" s="3" t="s">
        <v>604</v>
      </c>
      <c r="E244" s="34" t="str">
        <f>IFERROR(VLOOKUP(tbLOG[[#This Row],[LOGIN]],tbMAPA[#All],2,0), "Não localizado")</f>
        <v>Renan Cazumba Tegani</v>
      </c>
      <c r="F244" s="34" t="str">
        <f>IFERROR(VLOOKUP(tbLOG[[#This Row],[LOGIN]],tbMAPA[#All],3,0), "Não localizado")</f>
        <v>Reginaldo Santana De Souza</v>
      </c>
      <c r="G244" s="3" t="s">
        <v>1211</v>
      </c>
      <c r="H244" s="3" t="s">
        <v>836</v>
      </c>
    </row>
    <row r="245" spans="1:8">
      <c r="A245" s="29">
        <v>42738.587685185186</v>
      </c>
      <c r="B245" s="29" t="str">
        <f>PROPER(TEXT(tbLOG[[#This Row],[DATA/HORA]],"mmmm"))</f>
        <v>Janeiro</v>
      </c>
      <c r="C245" s="34" t="str">
        <f>PROPER(TEXT(tbLOG[[#This Row],[DATA/HORA]],"dddd"))</f>
        <v>Terça-Feira</v>
      </c>
      <c r="D245" s="3" t="s">
        <v>604</v>
      </c>
      <c r="E245" s="34" t="str">
        <f>IFERROR(VLOOKUP(tbLOG[[#This Row],[LOGIN]],tbMAPA[#All],2,0), "Não localizado")</f>
        <v>Renan Cazumba Tegani</v>
      </c>
      <c r="F245" s="34" t="str">
        <f>IFERROR(VLOOKUP(tbLOG[[#This Row],[LOGIN]],tbMAPA[#All],3,0), "Não localizado")</f>
        <v>Reginaldo Santana De Souza</v>
      </c>
      <c r="G245" s="3" t="s">
        <v>1211</v>
      </c>
      <c r="H245" s="3" t="s">
        <v>836</v>
      </c>
    </row>
    <row r="246" spans="1:8">
      <c r="A246" s="29">
        <v>42738.592615740738</v>
      </c>
      <c r="B246" s="29" t="str">
        <f>PROPER(TEXT(tbLOG[[#This Row],[DATA/HORA]],"mmmm"))</f>
        <v>Janeiro</v>
      </c>
      <c r="C246" s="34" t="str">
        <f>PROPER(TEXT(tbLOG[[#This Row],[DATA/HORA]],"dddd"))</f>
        <v>Terça-Feira</v>
      </c>
      <c r="D246" s="3" t="s">
        <v>604</v>
      </c>
      <c r="E246" s="34" t="str">
        <f>IFERROR(VLOOKUP(tbLOG[[#This Row],[LOGIN]],tbMAPA[#All],2,0), "Não localizado")</f>
        <v>Renan Cazumba Tegani</v>
      </c>
      <c r="F246" s="34" t="str">
        <f>IFERROR(VLOOKUP(tbLOG[[#This Row],[LOGIN]],tbMAPA[#All],3,0), "Não localizado")</f>
        <v>Reginaldo Santana De Souza</v>
      </c>
      <c r="G246" s="3" t="s">
        <v>1211</v>
      </c>
      <c r="H246" s="3" t="s">
        <v>836</v>
      </c>
    </row>
    <row r="247" spans="1:8">
      <c r="A247" s="29">
        <v>42738.592673611114</v>
      </c>
      <c r="B247" s="29" t="str">
        <f>PROPER(TEXT(tbLOG[[#This Row],[DATA/HORA]],"mmmm"))</f>
        <v>Janeiro</v>
      </c>
      <c r="C247" s="34" t="str">
        <f>PROPER(TEXT(tbLOG[[#This Row],[DATA/HORA]],"dddd"))</f>
        <v>Terça-Feira</v>
      </c>
      <c r="D247" s="3" t="s">
        <v>604</v>
      </c>
      <c r="E247" s="34" t="str">
        <f>IFERROR(VLOOKUP(tbLOG[[#This Row],[LOGIN]],tbMAPA[#All],2,0), "Não localizado")</f>
        <v>Renan Cazumba Tegani</v>
      </c>
      <c r="F247" s="34" t="str">
        <f>IFERROR(VLOOKUP(tbLOG[[#This Row],[LOGIN]],tbMAPA[#All],3,0), "Não localizado")</f>
        <v>Reginaldo Santana De Souza</v>
      </c>
      <c r="G247" s="3" t="s">
        <v>1211</v>
      </c>
      <c r="H247" s="3" t="s">
        <v>836</v>
      </c>
    </row>
    <row r="248" spans="1:8">
      <c r="A248" s="29">
        <v>42738.59269675926</v>
      </c>
      <c r="B248" s="29" t="str">
        <f>PROPER(TEXT(tbLOG[[#This Row],[DATA/HORA]],"mmmm"))</f>
        <v>Janeiro</v>
      </c>
      <c r="C248" s="34" t="str">
        <f>PROPER(TEXT(tbLOG[[#This Row],[DATA/HORA]],"dddd"))</f>
        <v>Terça-Feira</v>
      </c>
      <c r="D248" s="3" t="s">
        <v>604</v>
      </c>
      <c r="E248" s="34" t="str">
        <f>IFERROR(VLOOKUP(tbLOG[[#This Row],[LOGIN]],tbMAPA[#All],2,0), "Não localizado")</f>
        <v>Renan Cazumba Tegani</v>
      </c>
      <c r="F248" s="34" t="str">
        <f>IFERROR(VLOOKUP(tbLOG[[#This Row],[LOGIN]],tbMAPA[#All],3,0), "Não localizado")</f>
        <v>Reginaldo Santana De Souza</v>
      </c>
      <c r="G248" s="3" t="s">
        <v>1211</v>
      </c>
      <c r="H248" s="3" t="s">
        <v>290</v>
      </c>
    </row>
    <row r="249" spans="1:8">
      <c r="A249" s="29">
        <v>42738.668726851851</v>
      </c>
      <c r="B249" s="29" t="str">
        <f>PROPER(TEXT(tbLOG[[#This Row],[DATA/HORA]],"mmmm"))</f>
        <v>Janeiro</v>
      </c>
      <c r="C249" s="34" t="str">
        <f>PROPER(TEXT(tbLOG[[#This Row],[DATA/HORA]],"dddd"))</f>
        <v>Terça-Feira</v>
      </c>
      <c r="D249" s="3" t="s">
        <v>604</v>
      </c>
      <c r="E249" s="34" t="str">
        <f>IFERROR(VLOOKUP(tbLOG[[#This Row],[LOGIN]],tbMAPA[#All],2,0), "Não localizado")</f>
        <v>Renan Cazumba Tegani</v>
      </c>
      <c r="F249" s="34" t="str">
        <f>IFERROR(VLOOKUP(tbLOG[[#This Row],[LOGIN]],tbMAPA[#All],3,0), "Não localizado")</f>
        <v>Reginaldo Santana De Souza</v>
      </c>
      <c r="G249" s="3" t="s">
        <v>1211</v>
      </c>
      <c r="H249" s="3" t="s">
        <v>836</v>
      </c>
    </row>
    <row r="250" spans="1:8">
      <c r="A250" s="29">
        <v>42738.668749999997</v>
      </c>
      <c r="B250" s="29" t="str">
        <f>PROPER(TEXT(tbLOG[[#This Row],[DATA/HORA]],"mmmm"))</f>
        <v>Janeiro</v>
      </c>
      <c r="C250" s="34" t="str">
        <f>PROPER(TEXT(tbLOG[[#This Row],[DATA/HORA]],"dddd"))</f>
        <v>Terça-Feira</v>
      </c>
      <c r="D250" s="3" t="s">
        <v>604</v>
      </c>
      <c r="E250" s="34" t="str">
        <f>IFERROR(VLOOKUP(tbLOG[[#This Row],[LOGIN]],tbMAPA[#All],2,0), "Não localizado")</f>
        <v>Renan Cazumba Tegani</v>
      </c>
      <c r="F250" s="34" t="str">
        <f>IFERROR(VLOOKUP(tbLOG[[#This Row],[LOGIN]],tbMAPA[#All],3,0), "Não localizado")</f>
        <v>Reginaldo Santana De Souza</v>
      </c>
      <c r="G250" s="3" t="s">
        <v>1211</v>
      </c>
      <c r="H250" s="3" t="s">
        <v>836</v>
      </c>
    </row>
    <row r="251" spans="1:8">
      <c r="A251" s="29">
        <v>42738.668796296297</v>
      </c>
      <c r="B251" s="29" t="str">
        <f>PROPER(TEXT(tbLOG[[#This Row],[DATA/HORA]],"mmmm"))</f>
        <v>Janeiro</v>
      </c>
      <c r="C251" s="34" t="str">
        <f>PROPER(TEXT(tbLOG[[#This Row],[DATA/HORA]],"dddd"))</f>
        <v>Terça-Feira</v>
      </c>
      <c r="D251" s="3" t="s">
        <v>604</v>
      </c>
      <c r="E251" s="34" t="str">
        <f>IFERROR(VLOOKUP(tbLOG[[#This Row],[LOGIN]],tbMAPA[#All],2,0), "Não localizado")</f>
        <v>Renan Cazumba Tegani</v>
      </c>
      <c r="F251" s="34" t="str">
        <f>IFERROR(VLOOKUP(tbLOG[[#This Row],[LOGIN]],tbMAPA[#All],3,0), "Não localizado")</f>
        <v>Reginaldo Santana De Souza</v>
      </c>
      <c r="G251" s="3" t="s">
        <v>1211</v>
      </c>
      <c r="H251" s="3" t="s">
        <v>836</v>
      </c>
    </row>
    <row r="252" spans="1:8">
      <c r="A252" s="29">
        <v>42738.673981481479</v>
      </c>
      <c r="B252" s="29" t="str">
        <f>PROPER(TEXT(tbLOG[[#This Row],[DATA/HORA]],"mmmm"))</f>
        <v>Janeiro</v>
      </c>
      <c r="C252" s="34" t="str">
        <f>PROPER(TEXT(tbLOG[[#This Row],[DATA/HORA]],"dddd"))</f>
        <v>Terça-Feira</v>
      </c>
      <c r="D252" s="3" t="s">
        <v>604</v>
      </c>
      <c r="E252" s="34" t="str">
        <f>IFERROR(VLOOKUP(tbLOG[[#This Row],[LOGIN]],tbMAPA[#All],2,0), "Não localizado")</f>
        <v>Renan Cazumba Tegani</v>
      </c>
      <c r="F252" s="34" t="str">
        <f>IFERROR(VLOOKUP(tbLOG[[#This Row],[LOGIN]],tbMAPA[#All],3,0), "Não localizado")</f>
        <v>Reginaldo Santana De Souza</v>
      </c>
      <c r="G252" s="3" t="s">
        <v>1211</v>
      </c>
      <c r="H252" s="3" t="s">
        <v>836</v>
      </c>
    </row>
    <row r="253" spans="1:8">
      <c r="A253" s="29">
        <v>42738.674247685187</v>
      </c>
      <c r="B253" s="29" t="str">
        <f>PROPER(TEXT(tbLOG[[#This Row],[DATA/HORA]],"mmmm"))</f>
        <v>Janeiro</v>
      </c>
      <c r="C253" s="34" t="str">
        <f>PROPER(TEXT(tbLOG[[#This Row],[DATA/HORA]],"dddd"))</f>
        <v>Terça-Feira</v>
      </c>
      <c r="D253" s="3" t="s">
        <v>604</v>
      </c>
      <c r="E253" s="34" t="str">
        <f>IFERROR(VLOOKUP(tbLOG[[#This Row],[LOGIN]],tbMAPA[#All],2,0), "Não localizado")</f>
        <v>Renan Cazumba Tegani</v>
      </c>
      <c r="F253" s="34" t="str">
        <f>IFERROR(VLOOKUP(tbLOG[[#This Row],[LOGIN]],tbMAPA[#All],3,0), "Não localizado")</f>
        <v>Reginaldo Santana De Souza</v>
      </c>
      <c r="G253" s="3" t="s">
        <v>1211</v>
      </c>
      <c r="H253" s="3" t="s">
        <v>836</v>
      </c>
    </row>
    <row r="254" spans="1:8">
      <c r="A254" s="29">
        <v>42738.67559027778</v>
      </c>
      <c r="B254" s="29" t="str">
        <f>PROPER(TEXT(tbLOG[[#This Row],[DATA/HORA]],"mmmm"))</f>
        <v>Janeiro</v>
      </c>
      <c r="C254" s="34" t="str">
        <f>PROPER(TEXT(tbLOG[[#This Row],[DATA/HORA]],"dddd"))</f>
        <v>Terça-Feira</v>
      </c>
      <c r="D254" s="3" t="s">
        <v>604</v>
      </c>
      <c r="E254" s="34" t="str">
        <f>IFERROR(VLOOKUP(tbLOG[[#This Row],[LOGIN]],tbMAPA[#All],2,0), "Não localizado")</f>
        <v>Renan Cazumba Tegani</v>
      </c>
      <c r="F254" s="34" t="str">
        <f>IFERROR(VLOOKUP(tbLOG[[#This Row],[LOGIN]],tbMAPA[#All],3,0), "Não localizado")</f>
        <v>Reginaldo Santana De Souza</v>
      </c>
      <c r="G254" s="3" t="s">
        <v>1211</v>
      </c>
      <c r="H254" s="3" t="s">
        <v>836</v>
      </c>
    </row>
    <row r="255" spans="1:8">
      <c r="A255" s="29">
        <v>42738.685567129629</v>
      </c>
      <c r="B255" s="29" t="str">
        <f>PROPER(TEXT(tbLOG[[#This Row],[DATA/HORA]],"mmmm"))</f>
        <v>Janeiro</v>
      </c>
      <c r="C255" s="34" t="str">
        <f>PROPER(TEXT(tbLOG[[#This Row],[DATA/HORA]],"dddd"))</f>
        <v>Terça-Feira</v>
      </c>
      <c r="D255" s="3" t="s">
        <v>604</v>
      </c>
      <c r="E255" s="34" t="str">
        <f>IFERROR(VLOOKUP(tbLOG[[#This Row],[LOGIN]],tbMAPA[#All],2,0), "Não localizado")</f>
        <v>Renan Cazumba Tegani</v>
      </c>
      <c r="F255" s="34" t="str">
        <f>IFERROR(VLOOKUP(tbLOG[[#This Row],[LOGIN]],tbMAPA[#All],3,0), "Não localizado")</f>
        <v>Reginaldo Santana De Souza</v>
      </c>
      <c r="G255" s="3" t="s">
        <v>1211</v>
      </c>
      <c r="H255" s="3" t="s">
        <v>836</v>
      </c>
    </row>
    <row r="256" spans="1:8">
      <c r="A256" s="29">
        <v>42738.685578703706</v>
      </c>
      <c r="B256" s="29" t="str">
        <f>PROPER(TEXT(tbLOG[[#This Row],[DATA/HORA]],"mmmm"))</f>
        <v>Janeiro</v>
      </c>
      <c r="C256" s="34" t="str">
        <f>PROPER(TEXT(tbLOG[[#This Row],[DATA/HORA]],"dddd"))</f>
        <v>Terça-Feira</v>
      </c>
      <c r="D256" s="3" t="s">
        <v>604</v>
      </c>
      <c r="E256" s="34" t="str">
        <f>IFERROR(VLOOKUP(tbLOG[[#This Row],[LOGIN]],tbMAPA[#All],2,0), "Não localizado")</f>
        <v>Renan Cazumba Tegani</v>
      </c>
      <c r="F256" s="34" t="str">
        <f>IFERROR(VLOOKUP(tbLOG[[#This Row],[LOGIN]],tbMAPA[#All],3,0), "Não localizado")</f>
        <v>Reginaldo Santana De Souza</v>
      </c>
      <c r="G256" s="3" t="s">
        <v>1211</v>
      </c>
      <c r="H256" s="3" t="s">
        <v>836</v>
      </c>
    </row>
    <row r="257" spans="1:8">
      <c r="A257" s="29">
        <v>42738.685636574075</v>
      </c>
      <c r="B257" s="29" t="str">
        <f>PROPER(TEXT(tbLOG[[#This Row],[DATA/HORA]],"mmmm"))</f>
        <v>Janeiro</v>
      </c>
      <c r="C257" s="34" t="str">
        <f>PROPER(TEXT(tbLOG[[#This Row],[DATA/HORA]],"dddd"))</f>
        <v>Terça-Feira</v>
      </c>
      <c r="D257" s="3" t="s">
        <v>604</v>
      </c>
      <c r="E257" s="34" t="str">
        <f>IFERROR(VLOOKUP(tbLOG[[#This Row],[LOGIN]],tbMAPA[#All],2,0), "Não localizado")</f>
        <v>Renan Cazumba Tegani</v>
      </c>
      <c r="F257" s="34" t="str">
        <f>IFERROR(VLOOKUP(tbLOG[[#This Row],[LOGIN]],tbMAPA[#All],3,0), "Não localizado")</f>
        <v>Reginaldo Santana De Souza</v>
      </c>
      <c r="G257" s="3" t="s">
        <v>1211</v>
      </c>
      <c r="H257" s="3" t="s">
        <v>836</v>
      </c>
    </row>
    <row r="258" spans="1:8">
      <c r="A258" s="29">
        <v>42738.694016203706</v>
      </c>
      <c r="B258" s="29" t="str">
        <f>PROPER(TEXT(tbLOG[[#This Row],[DATA/HORA]],"mmmm"))</f>
        <v>Janeiro</v>
      </c>
      <c r="C258" s="34" t="str">
        <f>PROPER(TEXT(tbLOG[[#This Row],[DATA/HORA]],"dddd"))</f>
        <v>Terça-Feira</v>
      </c>
      <c r="D258" s="3" t="s">
        <v>604</v>
      </c>
      <c r="E258" s="34" t="str">
        <f>IFERROR(VLOOKUP(tbLOG[[#This Row],[LOGIN]],tbMAPA[#All],2,0), "Não localizado")</f>
        <v>Renan Cazumba Tegani</v>
      </c>
      <c r="F258" s="34" t="str">
        <f>IFERROR(VLOOKUP(tbLOG[[#This Row],[LOGIN]],tbMAPA[#All],3,0), "Não localizado")</f>
        <v>Reginaldo Santana De Souza</v>
      </c>
      <c r="G258" s="3" t="s">
        <v>1211</v>
      </c>
      <c r="H258" s="3" t="s">
        <v>836</v>
      </c>
    </row>
    <row r="259" spans="1:8">
      <c r="A259" s="29">
        <v>42738.694039351853</v>
      </c>
      <c r="B259" s="29" t="str">
        <f>PROPER(TEXT(tbLOG[[#This Row],[DATA/HORA]],"mmmm"))</f>
        <v>Janeiro</v>
      </c>
      <c r="C259" s="34" t="str">
        <f>PROPER(TEXT(tbLOG[[#This Row],[DATA/HORA]],"dddd"))</f>
        <v>Terça-Feira</v>
      </c>
      <c r="D259" s="3" t="s">
        <v>604</v>
      </c>
      <c r="E259" s="34" t="str">
        <f>IFERROR(VLOOKUP(tbLOG[[#This Row],[LOGIN]],tbMAPA[#All],2,0), "Não localizado")</f>
        <v>Renan Cazumba Tegani</v>
      </c>
      <c r="F259" s="34" t="str">
        <f>IFERROR(VLOOKUP(tbLOG[[#This Row],[LOGIN]],tbMAPA[#All],3,0), "Não localizado")</f>
        <v>Reginaldo Santana De Souza</v>
      </c>
      <c r="G259" s="3" t="s">
        <v>1211</v>
      </c>
      <c r="H259" s="3" t="s">
        <v>836</v>
      </c>
    </row>
    <row r="260" spans="1:8">
      <c r="A260" s="29">
        <v>42738.69425925926</v>
      </c>
      <c r="B260" s="29" t="str">
        <f>PROPER(TEXT(tbLOG[[#This Row],[DATA/HORA]],"mmmm"))</f>
        <v>Janeiro</v>
      </c>
      <c r="C260" s="34" t="str">
        <f>PROPER(TEXT(tbLOG[[#This Row],[DATA/HORA]],"dddd"))</f>
        <v>Terça-Feira</v>
      </c>
      <c r="D260" s="3" t="s">
        <v>604</v>
      </c>
      <c r="E260" s="34" t="str">
        <f>IFERROR(VLOOKUP(tbLOG[[#This Row],[LOGIN]],tbMAPA[#All],2,0), "Não localizado")</f>
        <v>Renan Cazumba Tegani</v>
      </c>
      <c r="F260" s="34" t="str">
        <f>IFERROR(VLOOKUP(tbLOG[[#This Row],[LOGIN]],tbMAPA[#All],3,0), "Não localizado")</f>
        <v>Reginaldo Santana De Souza</v>
      </c>
      <c r="G260" s="3" t="s">
        <v>1211</v>
      </c>
      <c r="H260" s="3" t="s">
        <v>836</v>
      </c>
    </row>
    <row r="261" spans="1:8">
      <c r="A261" s="29">
        <v>42738.701747685183</v>
      </c>
      <c r="B261" s="29" t="str">
        <f>PROPER(TEXT(tbLOG[[#This Row],[DATA/HORA]],"mmmm"))</f>
        <v>Janeiro</v>
      </c>
      <c r="C261" s="34" t="str">
        <f>PROPER(TEXT(tbLOG[[#This Row],[DATA/HORA]],"dddd"))</f>
        <v>Terça-Feira</v>
      </c>
      <c r="D261" s="3" t="s">
        <v>604</v>
      </c>
      <c r="E261" s="34" t="str">
        <f>IFERROR(VLOOKUP(tbLOG[[#This Row],[LOGIN]],tbMAPA[#All],2,0), "Não localizado")</f>
        <v>Renan Cazumba Tegani</v>
      </c>
      <c r="F261" s="34" t="str">
        <f>IFERROR(VLOOKUP(tbLOG[[#This Row],[LOGIN]],tbMAPA[#All],3,0), "Não localizado")</f>
        <v>Reginaldo Santana De Souza</v>
      </c>
      <c r="G261" s="3" t="s">
        <v>1211</v>
      </c>
      <c r="H261" s="3" t="s">
        <v>836</v>
      </c>
    </row>
    <row r="262" spans="1:8">
      <c r="A262" s="29">
        <v>42738.701805555553</v>
      </c>
      <c r="B262" s="29" t="str">
        <f>PROPER(TEXT(tbLOG[[#This Row],[DATA/HORA]],"mmmm"))</f>
        <v>Janeiro</v>
      </c>
      <c r="C262" s="34" t="str">
        <f>PROPER(TEXT(tbLOG[[#This Row],[DATA/HORA]],"dddd"))</f>
        <v>Terça-Feira</v>
      </c>
      <c r="D262" s="3" t="s">
        <v>604</v>
      </c>
      <c r="E262" s="34" t="str">
        <f>IFERROR(VLOOKUP(tbLOG[[#This Row],[LOGIN]],tbMAPA[#All],2,0), "Não localizado")</f>
        <v>Renan Cazumba Tegani</v>
      </c>
      <c r="F262" s="34" t="str">
        <f>IFERROR(VLOOKUP(tbLOG[[#This Row],[LOGIN]],tbMAPA[#All],3,0), "Não localizado")</f>
        <v>Reginaldo Santana De Souza</v>
      </c>
      <c r="G262" s="3" t="s">
        <v>1211</v>
      </c>
      <c r="H262" s="3" t="s">
        <v>836</v>
      </c>
    </row>
    <row r="263" spans="1:8">
      <c r="A263" s="29">
        <v>42738.701956018522</v>
      </c>
      <c r="B263" s="29" t="str">
        <f>PROPER(TEXT(tbLOG[[#This Row],[DATA/HORA]],"mmmm"))</f>
        <v>Janeiro</v>
      </c>
      <c r="C263" s="34" t="str">
        <f>PROPER(TEXT(tbLOG[[#This Row],[DATA/HORA]],"dddd"))</f>
        <v>Terça-Feira</v>
      </c>
      <c r="D263" s="3" t="s">
        <v>604</v>
      </c>
      <c r="E263" s="34" t="str">
        <f>IFERROR(VLOOKUP(tbLOG[[#This Row],[LOGIN]],tbMAPA[#All],2,0), "Não localizado")</f>
        <v>Renan Cazumba Tegani</v>
      </c>
      <c r="F263" s="34" t="str">
        <f>IFERROR(VLOOKUP(tbLOG[[#This Row],[LOGIN]],tbMAPA[#All],3,0), "Não localizado")</f>
        <v>Reginaldo Santana De Souza</v>
      </c>
      <c r="G263" s="3" t="s">
        <v>1211</v>
      </c>
      <c r="H263" s="3" t="s">
        <v>836</v>
      </c>
    </row>
    <row r="264" spans="1:8">
      <c r="A264" s="29">
        <v>42738.70207175926</v>
      </c>
      <c r="B264" s="29" t="str">
        <f>PROPER(TEXT(tbLOG[[#This Row],[DATA/HORA]],"mmmm"))</f>
        <v>Janeiro</v>
      </c>
      <c r="C264" s="34" t="str">
        <f>PROPER(TEXT(tbLOG[[#This Row],[DATA/HORA]],"dddd"))</f>
        <v>Terça-Feira</v>
      </c>
      <c r="D264" s="3" t="s">
        <v>604</v>
      </c>
      <c r="E264" s="34" t="str">
        <f>IFERROR(VLOOKUP(tbLOG[[#This Row],[LOGIN]],tbMAPA[#All],2,0), "Não localizado")</f>
        <v>Renan Cazumba Tegani</v>
      </c>
      <c r="F264" s="34" t="str">
        <f>IFERROR(VLOOKUP(tbLOG[[#This Row],[LOGIN]],tbMAPA[#All],3,0), "Não localizado")</f>
        <v>Reginaldo Santana De Souza</v>
      </c>
      <c r="G264" s="3" t="s">
        <v>1211</v>
      </c>
      <c r="H264" s="3" t="s">
        <v>836</v>
      </c>
    </row>
    <row r="265" spans="1:8">
      <c r="A265" s="29">
        <v>42738.709629629629</v>
      </c>
      <c r="B265" s="29" t="str">
        <f>PROPER(TEXT(tbLOG[[#This Row],[DATA/HORA]],"mmmm"))</f>
        <v>Janeiro</v>
      </c>
      <c r="C265" s="34" t="str">
        <f>PROPER(TEXT(tbLOG[[#This Row],[DATA/HORA]],"dddd"))</f>
        <v>Terça-Feira</v>
      </c>
      <c r="D265" s="3" t="s">
        <v>604</v>
      </c>
      <c r="E265" s="34" t="str">
        <f>IFERROR(VLOOKUP(tbLOG[[#This Row],[LOGIN]],tbMAPA[#All],2,0), "Não localizado")</f>
        <v>Renan Cazumba Tegani</v>
      </c>
      <c r="F265" s="34" t="str">
        <f>IFERROR(VLOOKUP(tbLOG[[#This Row],[LOGIN]],tbMAPA[#All],3,0), "Não localizado")</f>
        <v>Reginaldo Santana De Souza</v>
      </c>
      <c r="G265" s="3" t="s">
        <v>1211</v>
      </c>
      <c r="H265" s="3" t="s">
        <v>836</v>
      </c>
    </row>
    <row r="266" spans="1:8">
      <c r="A266" s="29">
        <v>42738.709652777776</v>
      </c>
      <c r="B266" s="29" t="str">
        <f>PROPER(TEXT(tbLOG[[#This Row],[DATA/HORA]],"mmmm"))</f>
        <v>Janeiro</v>
      </c>
      <c r="C266" s="34" t="str">
        <f>PROPER(TEXT(tbLOG[[#This Row],[DATA/HORA]],"dddd"))</f>
        <v>Terça-Feira</v>
      </c>
      <c r="D266" s="3" t="s">
        <v>604</v>
      </c>
      <c r="E266" s="34" t="str">
        <f>IFERROR(VLOOKUP(tbLOG[[#This Row],[LOGIN]],tbMAPA[#All],2,0), "Não localizado")</f>
        <v>Renan Cazumba Tegani</v>
      </c>
      <c r="F266" s="34" t="str">
        <f>IFERROR(VLOOKUP(tbLOG[[#This Row],[LOGIN]],tbMAPA[#All],3,0), "Não localizado")</f>
        <v>Reginaldo Santana De Souza</v>
      </c>
      <c r="G266" s="3" t="s">
        <v>1211</v>
      </c>
      <c r="H266" s="3" t="s">
        <v>836</v>
      </c>
    </row>
    <row r="267" spans="1:8">
      <c r="A267" s="29">
        <v>42738.709733796299</v>
      </c>
      <c r="B267" s="29" t="str">
        <f>PROPER(TEXT(tbLOG[[#This Row],[DATA/HORA]],"mmmm"))</f>
        <v>Janeiro</v>
      </c>
      <c r="C267" s="34" t="str">
        <f>PROPER(TEXT(tbLOG[[#This Row],[DATA/HORA]],"dddd"))</f>
        <v>Terça-Feira</v>
      </c>
      <c r="D267" s="3" t="s">
        <v>604</v>
      </c>
      <c r="E267" s="34" t="str">
        <f>IFERROR(VLOOKUP(tbLOG[[#This Row],[LOGIN]],tbMAPA[#All],2,0), "Não localizado")</f>
        <v>Renan Cazumba Tegani</v>
      </c>
      <c r="F267" s="34" t="str">
        <f>IFERROR(VLOOKUP(tbLOG[[#This Row],[LOGIN]],tbMAPA[#All],3,0), "Não localizado")</f>
        <v>Reginaldo Santana De Souza</v>
      </c>
      <c r="G267" s="3" t="s">
        <v>1211</v>
      </c>
      <c r="H267" s="3" t="s">
        <v>836</v>
      </c>
    </row>
    <row r="268" spans="1:8">
      <c r="A268" s="29">
        <v>42738.709849537037</v>
      </c>
      <c r="B268" s="29" t="str">
        <f>PROPER(TEXT(tbLOG[[#This Row],[DATA/HORA]],"mmmm"))</f>
        <v>Janeiro</v>
      </c>
      <c r="C268" s="34" t="str">
        <f>PROPER(TEXT(tbLOG[[#This Row],[DATA/HORA]],"dddd"))</f>
        <v>Terça-Feira</v>
      </c>
      <c r="D268" s="3" t="s">
        <v>604</v>
      </c>
      <c r="E268" s="34" t="str">
        <f>IFERROR(VLOOKUP(tbLOG[[#This Row],[LOGIN]],tbMAPA[#All],2,0), "Não localizado")</f>
        <v>Renan Cazumba Tegani</v>
      </c>
      <c r="F268" s="34" t="str">
        <f>IFERROR(VLOOKUP(tbLOG[[#This Row],[LOGIN]],tbMAPA[#All],3,0), "Não localizado")</f>
        <v>Reginaldo Santana De Souza</v>
      </c>
      <c r="G268" s="3" t="s">
        <v>1211</v>
      </c>
      <c r="H268" s="3" t="s">
        <v>836</v>
      </c>
    </row>
    <row r="269" spans="1:8">
      <c r="A269" s="29">
        <v>42738.709907407407</v>
      </c>
      <c r="B269" s="29" t="str">
        <f>PROPER(TEXT(tbLOG[[#This Row],[DATA/HORA]],"mmmm"))</f>
        <v>Janeiro</v>
      </c>
      <c r="C269" s="34" t="str">
        <f>PROPER(TEXT(tbLOG[[#This Row],[DATA/HORA]],"dddd"))</f>
        <v>Terça-Feira</v>
      </c>
      <c r="D269" s="3" t="s">
        <v>604</v>
      </c>
      <c r="E269" s="34" t="str">
        <f>IFERROR(VLOOKUP(tbLOG[[#This Row],[LOGIN]],tbMAPA[#All],2,0), "Não localizado")</f>
        <v>Renan Cazumba Tegani</v>
      </c>
      <c r="F269" s="34" t="str">
        <f>IFERROR(VLOOKUP(tbLOG[[#This Row],[LOGIN]],tbMAPA[#All],3,0), "Não localizado")</f>
        <v>Reginaldo Santana De Souza</v>
      </c>
      <c r="G269" s="3" t="s">
        <v>1211</v>
      </c>
      <c r="H269" s="3" t="s">
        <v>836</v>
      </c>
    </row>
    <row r="270" spans="1:8">
      <c r="A270" s="29">
        <v>42738.715555555558</v>
      </c>
      <c r="B270" s="29" t="str">
        <f>PROPER(TEXT(tbLOG[[#This Row],[DATA/HORA]],"mmmm"))</f>
        <v>Janeiro</v>
      </c>
      <c r="C270" s="34" t="str">
        <f>PROPER(TEXT(tbLOG[[#This Row],[DATA/HORA]],"dddd"))</f>
        <v>Terça-Feira</v>
      </c>
      <c r="D270" s="3" t="s">
        <v>604</v>
      </c>
      <c r="E270" s="34" t="str">
        <f>IFERROR(VLOOKUP(tbLOG[[#This Row],[LOGIN]],tbMAPA[#All],2,0), "Não localizado")</f>
        <v>Renan Cazumba Tegani</v>
      </c>
      <c r="F270" s="34" t="str">
        <f>IFERROR(VLOOKUP(tbLOG[[#This Row],[LOGIN]],tbMAPA[#All],3,0), "Não localizado")</f>
        <v>Reginaldo Santana De Souza</v>
      </c>
      <c r="G270" s="3" t="s">
        <v>1211</v>
      </c>
      <c r="H270" s="3" t="s">
        <v>836</v>
      </c>
    </row>
    <row r="271" spans="1:8">
      <c r="A271" s="29">
        <v>42738.715578703705</v>
      </c>
      <c r="B271" s="29" t="str">
        <f>PROPER(TEXT(tbLOG[[#This Row],[DATA/HORA]],"mmmm"))</f>
        <v>Janeiro</v>
      </c>
      <c r="C271" s="34" t="str">
        <f>PROPER(TEXT(tbLOG[[#This Row],[DATA/HORA]],"dddd"))</f>
        <v>Terça-Feira</v>
      </c>
      <c r="D271" s="3" t="s">
        <v>604</v>
      </c>
      <c r="E271" s="34" t="str">
        <f>IFERROR(VLOOKUP(tbLOG[[#This Row],[LOGIN]],tbMAPA[#All],2,0), "Não localizado")</f>
        <v>Renan Cazumba Tegani</v>
      </c>
      <c r="F271" s="34" t="str">
        <f>IFERROR(VLOOKUP(tbLOG[[#This Row],[LOGIN]],tbMAPA[#All],3,0), "Não localizado")</f>
        <v>Reginaldo Santana De Souza</v>
      </c>
      <c r="G271" s="3" t="s">
        <v>1211</v>
      </c>
      <c r="H271" s="3" t="s">
        <v>836</v>
      </c>
    </row>
    <row r="272" spans="1:8">
      <c r="A272" s="29">
        <v>42738.715601851851</v>
      </c>
      <c r="B272" s="29" t="str">
        <f>PROPER(TEXT(tbLOG[[#This Row],[DATA/HORA]],"mmmm"))</f>
        <v>Janeiro</v>
      </c>
      <c r="C272" s="34" t="str">
        <f>PROPER(TEXT(tbLOG[[#This Row],[DATA/HORA]],"dddd"))</f>
        <v>Terça-Feira</v>
      </c>
      <c r="D272" s="3" t="s">
        <v>604</v>
      </c>
      <c r="E272" s="34" t="str">
        <f>IFERROR(VLOOKUP(tbLOG[[#This Row],[LOGIN]],tbMAPA[#All],2,0), "Não localizado")</f>
        <v>Renan Cazumba Tegani</v>
      </c>
      <c r="F272" s="34" t="str">
        <f>IFERROR(VLOOKUP(tbLOG[[#This Row],[LOGIN]],tbMAPA[#All],3,0), "Não localizado")</f>
        <v>Reginaldo Santana De Souza</v>
      </c>
      <c r="G272" s="3" t="s">
        <v>1211</v>
      </c>
      <c r="H272" s="3" t="s">
        <v>836</v>
      </c>
    </row>
    <row r="273" spans="1:8">
      <c r="A273" s="29">
        <v>42738.715682870374</v>
      </c>
      <c r="B273" s="29" t="str">
        <f>PROPER(TEXT(tbLOG[[#This Row],[DATA/HORA]],"mmmm"))</f>
        <v>Janeiro</v>
      </c>
      <c r="C273" s="34" t="str">
        <f>PROPER(TEXT(tbLOG[[#This Row],[DATA/HORA]],"dddd"))</f>
        <v>Terça-Feira</v>
      </c>
      <c r="D273" s="3" t="s">
        <v>604</v>
      </c>
      <c r="E273" s="34" t="str">
        <f>IFERROR(VLOOKUP(tbLOG[[#This Row],[LOGIN]],tbMAPA[#All],2,0), "Não localizado")</f>
        <v>Renan Cazumba Tegani</v>
      </c>
      <c r="F273" s="34" t="str">
        <f>IFERROR(VLOOKUP(tbLOG[[#This Row],[LOGIN]],tbMAPA[#All],3,0), "Não localizado")</f>
        <v>Reginaldo Santana De Souza</v>
      </c>
      <c r="G273" s="3" t="s">
        <v>1211</v>
      </c>
      <c r="H273" s="3" t="s">
        <v>836</v>
      </c>
    </row>
    <row r="274" spans="1:8">
      <c r="A274" s="29">
        <v>42738.72016203704</v>
      </c>
      <c r="B274" s="29" t="str">
        <f>PROPER(TEXT(tbLOG[[#This Row],[DATA/HORA]],"mmmm"))</f>
        <v>Janeiro</v>
      </c>
      <c r="C274" s="34" t="str">
        <f>PROPER(TEXT(tbLOG[[#This Row],[DATA/HORA]],"dddd"))</f>
        <v>Terça-Feira</v>
      </c>
      <c r="D274" s="3" t="s">
        <v>604</v>
      </c>
      <c r="E274" s="34" t="str">
        <f>IFERROR(VLOOKUP(tbLOG[[#This Row],[LOGIN]],tbMAPA[#All],2,0), "Não localizado")</f>
        <v>Renan Cazumba Tegani</v>
      </c>
      <c r="F274" s="34" t="str">
        <f>IFERROR(VLOOKUP(tbLOG[[#This Row],[LOGIN]],tbMAPA[#All],3,0), "Não localizado")</f>
        <v>Reginaldo Santana De Souza</v>
      </c>
      <c r="G274" s="3" t="s">
        <v>1211</v>
      </c>
      <c r="H274" s="3" t="s">
        <v>836</v>
      </c>
    </row>
    <row r="275" spans="1:8">
      <c r="A275" s="29">
        <v>42738.720266203702</v>
      </c>
      <c r="B275" s="29" t="str">
        <f>PROPER(TEXT(tbLOG[[#This Row],[DATA/HORA]],"mmmm"))</f>
        <v>Janeiro</v>
      </c>
      <c r="C275" s="34" t="str">
        <f>PROPER(TEXT(tbLOG[[#This Row],[DATA/HORA]],"dddd"))</f>
        <v>Terça-Feira</v>
      </c>
      <c r="D275" s="3" t="s">
        <v>604</v>
      </c>
      <c r="E275" s="34" t="str">
        <f>IFERROR(VLOOKUP(tbLOG[[#This Row],[LOGIN]],tbMAPA[#All],2,0), "Não localizado")</f>
        <v>Renan Cazumba Tegani</v>
      </c>
      <c r="F275" s="34" t="str">
        <f>IFERROR(VLOOKUP(tbLOG[[#This Row],[LOGIN]],tbMAPA[#All],3,0), "Não localizado")</f>
        <v>Reginaldo Santana De Souza</v>
      </c>
      <c r="G275" s="3" t="s">
        <v>1211</v>
      </c>
      <c r="H275" s="3" t="s">
        <v>836</v>
      </c>
    </row>
    <row r="276" spans="1:8">
      <c r="A276" s="29">
        <v>42738.720370370371</v>
      </c>
      <c r="B276" s="29" t="str">
        <f>PROPER(TEXT(tbLOG[[#This Row],[DATA/HORA]],"mmmm"))</f>
        <v>Janeiro</v>
      </c>
      <c r="C276" s="34" t="str">
        <f>PROPER(TEXT(tbLOG[[#This Row],[DATA/HORA]],"dddd"))</f>
        <v>Terça-Feira</v>
      </c>
      <c r="D276" s="3" t="s">
        <v>604</v>
      </c>
      <c r="E276" s="34" t="str">
        <f>IFERROR(VLOOKUP(tbLOG[[#This Row],[LOGIN]],tbMAPA[#All],2,0), "Não localizado")</f>
        <v>Renan Cazumba Tegani</v>
      </c>
      <c r="F276" s="34" t="str">
        <f>IFERROR(VLOOKUP(tbLOG[[#This Row],[LOGIN]],tbMAPA[#All],3,0), "Não localizado")</f>
        <v>Reginaldo Santana De Souza</v>
      </c>
      <c r="G276" s="3" t="s">
        <v>1211</v>
      </c>
      <c r="H276" s="3" t="s">
        <v>836</v>
      </c>
    </row>
    <row r="277" spans="1:8">
      <c r="A277" s="29">
        <v>42738.723055555558</v>
      </c>
      <c r="B277" s="29" t="str">
        <f>PROPER(TEXT(tbLOG[[#This Row],[DATA/HORA]],"mmmm"))</f>
        <v>Janeiro</v>
      </c>
      <c r="C277" s="34" t="str">
        <f>PROPER(TEXT(tbLOG[[#This Row],[DATA/HORA]],"dddd"))</f>
        <v>Terça-Feira</v>
      </c>
      <c r="D277" s="3" t="s">
        <v>604</v>
      </c>
      <c r="E277" s="34" t="str">
        <f>IFERROR(VLOOKUP(tbLOG[[#This Row],[LOGIN]],tbMAPA[#All],2,0), "Não localizado")</f>
        <v>Renan Cazumba Tegani</v>
      </c>
      <c r="F277" s="34" t="str">
        <f>IFERROR(VLOOKUP(tbLOG[[#This Row],[LOGIN]],tbMAPA[#All],3,0), "Não localizado")</f>
        <v>Reginaldo Santana De Souza</v>
      </c>
      <c r="G277" s="3" t="s">
        <v>1211</v>
      </c>
      <c r="H277" s="3" t="s">
        <v>836</v>
      </c>
    </row>
    <row r="278" spans="1:8">
      <c r="A278" s="29">
        <v>42738.723067129627</v>
      </c>
      <c r="B278" s="29" t="str">
        <f>PROPER(TEXT(tbLOG[[#This Row],[DATA/HORA]],"mmmm"))</f>
        <v>Janeiro</v>
      </c>
      <c r="C278" s="34" t="str">
        <f>PROPER(TEXT(tbLOG[[#This Row],[DATA/HORA]],"dddd"))</f>
        <v>Terça-Feira</v>
      </c>
      <c r="D278" s="3" t="s">
        <v>604</v>
      </c>
      <c r="E278" s="34" t="str">
        <f>IFERROR(VLOOKUP(tbLOG[[#This Row],[LOGIN]],tbMAPA[#All],2,0), "Não localizado")</f>
        <v>Renan Cazumba Tegani</v>
      </c>
      <c r="F278" s="34" t="str">
        <f>IFERROR(VLOOKUP(tbLOG[[#This Row],[LOGIN]],tbMAPA[#All],3,0), "Não localizado")</f>
        <v>Reginaldo Santana De Souza</v>
      </c>
      <c r="G278" s="3" t="s">
        <v>1211</v>
      </c>
      <c r="H278" s="3" t="s">
        <v>836</v>
      </c>
    </row>
    <row r="279" spans="1:8">
      <c r="A279" s="29">
        <v>42738.723090277781</v>
      </c>
      <c r="B279" s="29" t="str">
        <f>PROPER(TEXT(tbLOG[[#This Row],[DATA/HORA]],"mmmm"))</f>
        <v>Janeiro</v>
      </c>
      <c r="C279" s="34" t="str">
        <f>PROPER(TEXT(tbLOG[[#This Row],[DATA/HORA]],"dddd"))</f>
        <v>Terça-Feira</v>
      </c>
      <c r="D279" s="3" t="s">
        <v>604</v>
      </c>
      <c r="E279" s="34" t="str">
        <f>IFERROR(VLOOKUP(tbLOG[[#This Row],[LOGIN]],tbMAPA[#All],2,0), "Não localizado")</f>
        <v>Renan Cazumba Tegani</v>
      </c>
      <c r="F279" s="34" t="str">
        <f>IFERROR(VLOOKUP(tbLOG[[#This Row],[LOGIN]],tbMAPA[#All],3,0), "Não localizado")</f>
        <v>Reginaldo Santana De Souza</v>
      </c>
      <c r="G279" s="3" t="s">
        <v>1211</v>
      </c>
      <c r="H279" s="3" t="s">
        <v>836</v>
      </c>
    </row>
    <row r="280" spans="1:8">
      <c r="A280" s="29">
        <v>42738.723391203705</v>
      </c>
      <c r="B280" s="29" t="str">
        <f>PROPER(TEXT(tbLOG[[#This Row],[DATA/HORA]],"mmmm"))</f>
        <v>Janeiro</v>
      </c>
      <c r="C280" s="34" t="str">
        <f>PROPER(TEXT(tbLOG[[#This Row],[DATA/HORA]],"dddd"))</f>
        <v>Terça-Feira</v>
      </c>
      <c r="D280" s="3" t="s">
        <v>604</v>
      </c>
      <c r="E280" s="34" t="str">
        <f>IFERROR(VLOOKUP(tbLOG[[#This Row],[LOGIN]],tbMAPA[#All],2,0), "Não localizado")</f>
        <v>Renan Cazumba Tegani</v>
      </c>
      <c r="F280" s="34" t="str">
        <f>IFERROR(VLOOKUP(tbLOG[[#This Row],[LOGIN]],tbMAPA[#All],3,0), "Não localizado")</f>
        <v>Reginaldo Santana De Souza</v>
      </c>
      <c r="G280" s="3" t="s">
        <v>1211</v>
      </c>
      <c r="H280" s="3" t="s">
        <v>836</v>
      </c>
    </row>
    <row r="281" spans="1:8">
      <c r="A281" s="29">
        <v>42738.725324074076</v>
      </c>
      <c r="B281" s="29" t="str">
        <f>PROPER(TEXT(tbLOG[[#This Row],[DATA/HORA]],"mmmm"))</f>
        <v>Janeiro</v>
      </c>
      <c r="C281" s="34" t="str">
        <f>PROPER(TEXT(tbLOG[[#This Row],[DATA/HORA]],"dddd"))</f>
        <v>Terça-Feira</v>
      </c>
      <c r="D281" s="3" t="s">
        <v>604</v>
      </c>
      <c r="E281" s="34" t="str">
        <f>IFERROR(VLOOKUP(tbLOG[[#This Row],[LOGIN]],tbMAPA[#All],2,0), "Não localizado")</f>
        <v>Renan Cazumba Tegani</v>
      </c>
      <c r="F281" s="34" t="str">
        <f>IFERROR(VLOOKUP(tbLOG[[#This Row],[LOGIN]],tbMAPA[#All],3,0), "Não localizado")</f>
        <v>Reginaldo Santana De Souza</v>
      </c>
      <c r="G281" s="3" t="s">
        <v>1211</v>
      </c>
      <c r="H281" s="3" t="s">
        <v>836</v>
      </c>
    </row>
    <row r="282" spans="1:8">
      <c r="A282" s="29">
        <v>42738.725370370368</v>
      </c>
      <c r="B282" s="29" t="str">
        <f>PROPER(TEXT(tbLOG[[#This Row],[DATA/HORA]],"mmmm"))</f>
        <v>Janeiro</v>
      </c>
      <c r="C282" s="34" t="str">
        <f>PROPER(TEXT(tbLOG[[#This Row],[DATA/HORA]],"dddd"))</f>
        <v>Terça-Feira</v>
      </c>
      <c r="D282" s="3" t="s">
        <v>604</v>
      </c>
      <c r="E282" s="34" t="str">
        <f>IFERROR(VLOOKUP(tbLOG[[#This Row],[LOGIN]],tbMAPA[#All],2,0), "Não localizado")</f>
        <v>Renan Cazumba Tegani</v>
      </c>
      <c r="F282" s="34" t="str">
        <f>IFERROR(VLOOKUP(tbLOG[[#This Row],[LOGIN]],tbMAPA[#All],3,0), "Não localizado")</f>
        <v>Reginaldo Santana De Souza</v>
      </c>
      <c r="G282" s="3" t="s">
        <v>1211</v>
      </c>
      <c r="H282" s="3" t="s">
        <v>836</v>
      </c>
    </row>
    <row r="283" spans="1:8">
      <c r="A283" s="29">
        <v>42738.725474537037</v>
      </c>
      <c r="B283" s="29" t="str">
        <f>PROPER(TEXT(tbLOG[[#This Row],[DATA/HORA]],"mmmm"))</f>
        <v>Janeiro</v>
      </c>
      <c r="C283" s="34" t="str">
        <f>PROPER(TEXT(tbLOG[[#This Row],[DATA/HORA]],"dddd"))</f>
        <v>Terça-Feira</v>
      </c>
      <c r="D283" s="3" t="s">
        <v>604</v>
      </c>
      <c r="E283" s="34" t="str">
        <f>IFERROR(VLOOKUP(tbLOG[[#This Row],[LOGIN]],tbMAPA[#All],2,0), "Não localizado")</f>
        <v>Renan Cazumba Tegani</v>
      </c>
      <c r="F283" s="34" t="str">
        <f>IFERROR(VLOOKUP(tbLOG[[#This Row],[LOGIN]],tbMAPA[#All],3,0), "Não localizado")</f>
        <v>Reginaldo Santana De Souza</v>
      </c>
      <c r="G283" s="3" t="s">
        <v>1211</v>
      </c>
      <c r="H283" s="3" t="s">
        <v>836</v>
      </c>
    </row>
    <row r="284" spans="1:8">
      <c r="A284" s="29">
        <v>42738.725590277776</v>
      </c>
      <c r="B284" s="29" t="str">
        <f>PROPER(TEXT(tbLOG[[#This Row],[DATA/HORA]],"mmmm"))</f>
        <v>Janeiro</v>
      </c>
      <c r="C284" s="34" t="str">
        <f>PROPER(TEXT(tbLOG[[#This Row],[DATA/HORA]],"dddd"))</f>
        <v>Terça-Feira</v>
      </c>
      <c r="D284" s="3" t="s">
        <v>604</v>
      </c>
      <c r="E284" s="34" t="str">
        <f>IFERROR(VLOOKUP(tbLOG[[#This Row],[LOGIN]],tbMAPA[#All],2,0), "Não localizado")</f>
        <v>Renan Cazumba Tegani</v>
      </c>
      <c r="F284" s="34" t="str">
        <f>IFERROR(VLOOKUP(tbLOG[[#This Row],[LOGIN]],tbMAPA[#All],3,0), "Não localizado")</f>
        <v>Reginaldo Santana De Souza</v>
      </c>
      <c r="G284" s="3" t="s">
        <v>1211</v>
      </c>
      <c r="H284" s="3" t="s">
        <v>836</v>
      </c>
    </row>
    <row r="285" spans="1:8">
      <c r="A285" s="29">
        <v>42738.733240740738</v>
      </c>
      <c r="B285" s="29" t="str">
        <f>PROPER(TEXT(tbLOG[[#This Row],[DATA/HORA]],"mmmm"))</f>
        <v>Janeiro</v>
      </c>
      <c r="C285" s="34" t="str">
        <f>PROPER(TEXT(tbLOG[[#This Row],[DATA/HORA]],"dddd"))</f>
        <v>Terça-Feira</v>
      </c>
      <c r="D285" s="3" t="s">
        <v>604</v>
      </c>
      <c r="E285" s="34" t="str">
        <f>IFERROR(VLOOKUP(tbLOG[[#This Row],[LOGIN]],tbMAPA[#All],2,0), "Não localizado")</f>
        <v>Renan Cazumba Tegani</v>
      </c>
      <c r="F285" s="34" t="str">
        <f>IFERROR(VLOOKUP(tbLOG[[#This Row],[LOGIN]],tbMAPA[#All],3,0), "Não localizado")</f>
        <v>Reginaldo Santana De Souza</v>
      </c>
      <c r="G285" s="3" t="s">
        <v>1211</v>
      </c>
      <c r="H285" s="3" t="s">
        <v>836</v>
      </c>
    </row>
    <row r="286" spans="1:8">
      <c r="A286" s="29">
        <v>42738.733263888891</v>
      </c>
      <c r="B286" s="29" t="str">
        <f>PROPER(TEXT(tbLOG[[#This Row],[DATA/HORA]],"mmmm"))</f>
        <v>Janeiro</v>
      </c>
      <c r="C286" s="34" t="str">
        <f>PROPER(TEXT(tbLOG[[#This Row],[DATA/HORA]],"dddd"))</f>
        <v>Terça-Feira</v>
      </c>
      <c r="D286" s="3" t="s">
        <v>604</v>
      </c>
      <c r="E286" s="34" t="str">
        <f>IFERROR(VLOOKUP(tbLOG[[#This Row],[LOGIN]],tbMAPA[#All],2,0), "Não localizado")</f>
        <v>Renan Cazumba Tegani</v>
      </c>
      <c r="F286" s="34" t="str">
        <f>IFERROR(VLOOKUP(tbLOG[[#This Row],[LOGIN]],tbMAPA[#All],3,0), "Não localizado")</f>
        <v>Reginaldo Santana De Souza</v>
      </c>
      <c r="G286" s="3" t="s">
        <v>1211</v>
      </c>
      <c r="H286" s="3" t="s">
        <v>836</v>
      </c>
    </row>
    <row r="287" spans="1:8">
      <c r="A287" s="29">
        <v>42738.733310185184</v>
      </c>
      <c r="B287" s="29" t="str">
        <f>PROPER(TEXT(tbLOG[[#This Row],[DATA/HORA]],"mmmm"))</f>
        <v>Janeiro</v>
      </c>
      <c r="C287" s="34" t="str">
        <f>PROPER(TEXT(tbLOG[[#This Row],[DATA/HORA]],"dddd"))</f>
        <v>Terça-Feira</v>
      </c>
      <c r="D287" s="3" t="s">
        <v>604</v>
      </c>
      <c r="E287" s="34" t="str">
        <f>IFERROR(VLOOKUP(tbLOG[[#This Row],[LOGIN]],tbMAPA[#All],2,0), "Não localizado")</f>
        <v>Renan Cazumba Tegani</v>
      </c>
      <c r="F287" s="34" t="str">
        <f>IFERROR(VLOOKUP(tbLOG[[#This Row],[LOGIN]],tbMAPA[#All],3,0), "Não localizado")</f>
        <v>Reginaldo Santana De Souza</v>
      </c>
      <c r="G287" s="3" t="s">
        <v>1211</v>
      </c>
      <c r="H287" s="3" t="s">
        <v>836</v>
      </c>
    </row>
    <row r="288" spans="1:8">
      <c r="A288" s="29">
        <v>42738.733657407407</v>
      </c>
      <c r="B288" s="29" t="str">
        <f>PROPER(TEXT(tbLOG[[#This Row],[DATA/HORA]],"mmmm"))</f>
        <v>Janeiro</v>
      </c>
      <c r="C288" s="34" t="str">
        <f>PROPER(TEXT(tbLOG[[#This Row],[DATA/HORA]],"dddd"))</f>
        <v>Terça-Feira</v>
      </c>
      <c r="D288" s="3" t="s">
        <v>604</v>
      </c>
      <c r="E288" s="34" t="str">
        <f>IFERROR(VLOOKUP(tbLOG[[#This Row],[LOGIN]],tbMAPA[#All],2,0), "Não localizado")</f>
        <v>Renan Cazumba Tegani</v>
      </c>
      <c r="F288" s="34" t="str">
        <f>IFERROR(VLOOKUP(tbLOG[[#This Row],[LOGIN]],tbMAPA[#All],3,0), "Não localizado")</f>
        <v>Reginaldo Santana De Souza</v>
      </c>
      <c r="G288" s="3" t="s">
        <v>1211</v>
      </c>
      <c r="H288" s="3" t="s">
        <v>836</v>
      </c>
    </row>
    <row r="289" spans="1:8">
      <c r="A289" s="29">
        <v>42738.733703703707</v>
      </c>
      <c r="B289" s="29" t="str">
        <f>PROPER(TEXT(tbLOG[[#This Row],[DATA/HORA]],"mmmm"))</f>
        <v>Janeiro</v>
      </c>
      <c r="C289" s="34" t="str">
        <f>PROPER(TEXT(tbLOG[[#This Row],[DATA/HORA]],"dddd"))</f>
        <v>Terça-Feira</v>
      </c>
      <c r="D289" s="3" t="s">
        <v>604</v>
      </c>
      <c r="E289" s="34" t="str">
        <f>IFERROR(VLOOKUP(tbLOG[[#This Row],[LOGIN]],tbMAPA[#All],2,0), "Não localizado")</f>
        <v>Renan Cazumba Tegani</v>
      </c>
      <c r="F289" s="34" t="str">
        <f>IFERROR(VLOOKUP(tbLOG[[#This Row],[LOGIN]],tbMAPA[#All],3,0), "Não localizado")</f>
        <v>Reginaldo Santana De Souza</v>
      </c>
      <c r="G289" s="3" t="s">
        <v>1211</v>
      </c>
      <c r="H289" s="3" t="s">
        <v>836</v>
      </c>
    </row>
    <row r="290" spans="1:8">
      <c r="A290" s="29">
        <v>42738.733726851853</v>
      </c>
      <c r="B290" s="29" t="str">
        <f>PROPER(TEXT(tbLOG[[#This Row],[DATA/HORA]],"mmmm"))</f>
        <v>Janeiro</v>
      </c>
      <c r="C290" s="34" t="str">
        <f>PROPER(TEXT(tbLOG[[#This Row],[DATA/HORA]],"dddd"))</f>
        <v>Terça-Feira</v>
      </c>
      <c r="D290" s="3" t="s">
        <v>604</v>
      </c>
      <c r="E290" s="34" t="str">
        <f>IFERROR(VLOOKUP(tbLOG[[#This Row],[LOGIN]],tbMAPA[#All],2,0), "Não localizado")</f>
        <v>Renan Cazumba Tegani</v>
      </c>
      <c r="F290" s="34" t="str">
        <f>IFERROR(VLOOKUP(tbLOG[[#This Row],[LOGIN]],tbMAPA[#All],3,0), "Não localizado")</f>
        <v>Reginaldo Santana De Souza</v>
      </c>
      <c r="G290" s="3" t="s">
        <v>1211</v>
      </c>
      <c r="H290" s="3" t="s">
        <v>836</v>
      </c>
    </row>
    <row r="291" spans="1:8">
      <c r="A291" s="29">
        <v>42738.733726851853</v>
      </c>
      <c r="B291" s="29" t="str">
        <f>PROPER(TEXT(tbLOG[[#This Row],[DATA/HORA]],"mmmm"))</f>
        <v>Janeiro</v>
      </c>
      <c r="C291" s="34" t="str">
        <f>PROPER(TEXT(tbLOG[[#This Row],[DATA/HORA]],"dddd"))</f>
        <v>Terça-Feira</v>
      </c>
      <c r="D291" s="3" t="s">
        <v>604</v>
      </c>
      <c r="E291" s="34" t="str">
        <f>IFERROR(VLOOKUP(tbLOG[[#This Row],[LOGIN]],tbMAPA[#All],2,0), "Não localizado")</f>
        <v>Renan Cazumba Tegani</v>
      </c>
      <c r="F291" s="34" t="str">
        <f>IFERROR(VLOOKUP(tbLOG[[#This Row],[LOGIN]],tbMAPA[#All],3,0), "Não localizado")</f>
        <v>Reginaldo Santana De Souza</v>
      </c>
      <c r="G291" s="3" t="s">
        <v>1211</v>
      </c>
      <c r="H291" s="3" t="s">
        <v>836</v>
      </c>
    </row>
    <row r="292" spans="1:8">
      <c r="A292" s="29">
        <v>42738.733749999999</v>
      </c>
      <c r="B292" s="29" t="str">
        <f>PROPER(TEXT(tbLOG[[#This Row],[DATA/HORA]],"mmmm"))</f>
        <v>Janeiro</v>
      </c>
      <c r="C292" s="34" t="str">
        <f>PROPER(TEXT(tbLOG[[#This Row],[DATA/HORA]],"dddd"))</f>
        <v>Terça-Feira</v>
      </c>
      <c r="D292" s="3" t="s">
        <v>604</v>
      </c>
      <c r="E292" s="34" t="str">
        <f>IFERROR(VLOOKUP(tbLOG[[#This Row],[LOGIN]],tbMAPA[#All],2,0), "Não localizado")</f>
        <v>Renan Cazumba Tegani</v>
      </c>
      <c r="F292" s="34" t="str">
        <f>IFERROR(VLOOKUP(tbLOG[[#This Row],[LOGIN]],tbMAPA[#All],3,0), "Não localizado")</f>
        <v>Reginaldo Santana De Souza</v>
      </c>
      <c r="G292" s="3" t="s">
        <v>1211</v>
      </c>
      <c r="H292" s="3" t="s">
        <v>836</v>
      </c>
    </row>
    <row r="293" spans="1:8">
      <c r="A293" s="29">
        <v>42738.734247685185</v>
      </c>
      <c r="B293" s="29" t="str">
        <f>PROPER(TEXT(tbLOG[[#This Row],[DATA/HORA]],"mmmm"))</f>
        <v>Janeiro</v>
      </c>
      <c r="C293" s="34" t="str">
        <f>PROPER(TEXT(tbLOG[[#This Row],[DATA/HORA]],"dddd"))</f>
        <v>Terça-Feira</v>
      </c>
      <c r="D293" s="3" t="s">
        <v>604</v>
      </c>
      <c r="E293" s="34" t="str">
        <f>IFERROR(VLOOKUP(tbLOG[[#This Row],[LOGIN]],tbMAPA[#All],2,0), "Não localizado")</f>
        <v>Renan Cazumba Tegani</v>
      </c>
      <c r="F293" s="34" t="str">
        <f>IFERROR(VLOOKUP(tbLOG[[#This Row],[LOGIN]],tbMAPA[#All],3,0), "Não localizado")</f>
        <v>Reginaldo Santana De Souza</v>
      </c>
      <c r="G293" s="3" t="s">
        <v>1211</v>
      </c>
      <c r="H293" s="3" t="s">
        <v>836</v>
      </c>
    </row>
    <row r="294" spans="1:8">
      <c r="A294" s="29">
        <v>42738.734259259261</v>
      </c>
      <c r="B294" s="29" t="str">
        <f>PROPER(TEXT(tbLOG[[#This Row],[DATA/HORA]],"mmmm"))</f>
        <v>Janeiro</v>
      </c>
      <c r="C294" s="34" t="str">
        <f>PROPER(TEXT(tbLOG[[#This Row],[DATA/HORA]],"dddd"))</f>
        <v>Terça-Feira</v>
      </c>
      <c r="D294" s="3" t="s">
        <v>604</v>
      </c>
      <c r="E294" s="34" t="str">
        <f>IFERROR(VLOOKUP(tbLOG[[#This Row],[LOGIN]],tbMAPA[#All],2,0), "Não localizado")</f>
        <v>Renan Cazumba Tegani</v>
      </c>
      <c r="F294" s="34" t="str">
        <f>IFERROR(VLOOKUP(tbLOG[[#This Row],[LOGIN]],tbMAPA[#All],3,0), "Não localizado")</f>
        <v>Reginaldo Santana De Souza</v>
      </c>
      <c r="G294" s="3" t="s">
        <v>1211</v>
      </c>
      <c r="H294" s="3" t="s">
        <v>836</v>
      </c>
    </row>
    <row r="295" spans="1:8">
      <c r="A295" s="29">
        <v>42738.734340277777</v>
      </c>
      <c r="B295" s="29" t="str">
        <f>PROPER(TEXT(tbLOG[[#This Row],[DATA/HORA]],"mmmm"))</f>
        <v>Janeiro</v>
      </c>
      <c r="C295" s="34" t="str">
        <f>PROPER(TEXT(tbLOG[[#This Row],[DATA/HORA]],"dddd"))</f>
        <v>Terça-Feira</v>
      </c>
      <c r="D295" s="3" t="s">
        <v>604</v>
      </c>
      <c r="E295" s="34" t="str">
        <f>IFERROR(VLOOKUP(tbLOG[[#This Row],[LOGIN]],tbMAPA[#All],2,0), "Não localizado")</f>
        <v>Renan Cazumba Tegani</v>
      </c>
      <c r="F295" s="34" t="str">
        <f>IFERROR(VLOOKUP(tbLOG[[#This Row],[LOGIN]],tbMAPA[#All],3,0), "Não localizado")</f>
        <v>Reginaldo Santana De Souza</v>
      </c>
      <c r="G295" s="3" t="s">
        <v>1211</v>
      </c>
      <c r="H295" s="3" t="s">
        <v>836</v>
      </c>
    </row>
    <row r="296" spans="1:8">
      <c r="A296" s="29">
        <v>42738.734386574077</v>
      </c>
      <c r="B296" s="29" t="str">
        <f>PROPER(TEXT(tbLOG[[#This Row],[DATA/HORA]],"mmmm"))</f>
        <v>Janeiro</v>
      </c>
      <c r="C296" s="34" t="str">
        <f>PROPER(TEXT(tbLOG[[#This Row],[DATA/HORA]],"dddd"))</f>
        <v>Terça-Feira</v>
      </c>
      <c r="D296" s="3" t="s">
        <v>604</v>
      </c>
      <c r="E296" s="34" t="str">
        <f>IFERROR(VLOOKUP(tbLOG[[#This Row],[LOGIN]],tbMAPA[#All],2,0), "Não localizado")</f>
        <v>Renan Cazumba Tegani</v>
      </c>
      <c r="F296" s="34" t="str">
        <f>IFERROR(VLOOKUP(tbLOG[[#This Row],[LOGIN]],tbMAPA[#All],3,0), "Não localizado")</f>
        <v>Reginaldo Santana De Souza</v>
      </c>
      <c r="G296" s="3" t="s">
        <v>1211</v>
      </c>
      <c r="H296" s="3" t="s">
        <v>836</v>
      </c>
    </row>
    <row r="297" spans="1:8">
      <c r="A297" s="29">
        <v>42738.737500000003</v>
      </c>
      <c r="B297" s="29" t="str">
        <f>PROPER(TEXT(tbLOG[[#This Row],[DATA/HORA]],"mmmm"))</f>
        <v>Janeiro</v>
      </c>
      <c r="C297" s="34" t="str">
        <f>PROPER(TEXT(tbLOG[[#This Row],[DATA/HORA]],"dddd"))</f>
        <v>Terça-Feira</v>
      </c>
      <c r="D297" s="3" t="s">
        <v>604</v>
      </c>
      <c r="E297" s="34" t="str">
        <f>IFERROR(VLOOKUP(tbLOG[[#This Row],[LOGIN]],tbMAPA[#All],2,0), "Não localizado")</f>
        <v>Renan Cazumba Tegani</v>
      </c>
      <c r="F297" s="34" t="str">
        <f>IFERROR(VLOOKUP(tbLOG[[#This Row],[LOGIN]],tbMAPA[#All],3,0), "Não localizado")</f>
        <v>Reginaldo Santana De Souza</v>
      </c>
      <c r="G297" s="3" t="s">
        <v>1211</v>
      </c>
      <c r="H297" s="3" t="s">
        <v>836</v>
      </c>
    </row>
    <row r="298" spans="1:8">
      <c r="A298" s="29">
        <v>42738.737615740742</v>
      </c>
      <c r="B298" s="29" t="str">
        <f>PROPER(TEXT(tbLOG[[#This Row],[DATA/HORA]],"mmmm"))</f>
        <v>Janeiro</v>
      </c>
      <c r="C298" s="34" t="str">
        <f>PROPER(TEXT(tbLOG[[#This Row],[DATA/HORA]],"dddd"))</f>
        <v>Terça-Feira</v>
      </c>
      <c r="D298" s="3" t="s">
        <v>604</v>
      </c>
      <c r="E298" s="34" t="str">
        <f>IFERROR(VLOOKUP(tbLOG[[#This Row],[LOGIN]],tbMAPA[#All],2,0), "Não localizado")</f>
        <v>Renan Cazumba Tegani</v>
      </c>
      <c r="F298" s="34" t="str">
        <f>IFERROR(VLOOKUP(tbLOG[[#This Row],[LOGIN]],tbMAPA[#All],3,0), "Não localizado")</f>
        <v>Reginaldo Santana De Souza</v>
      </c>
      <c r="G298" s="3" t="s">
        <v>1211</v>
      </c>
      <c r="H298" s="3" t="s">
        <v>836</v>
      </c>
    </row>
    <row r="299" spans="1:8">
      <c r="A299" s="29">
        <v>42738.737662037034</v>
      </c>
      <c r="B299" s="29" t="str">
        <f>PROPER(TEXT(tbLOG[[#This Row],[DATA/HORA]],"mmmm"))</f>
        <v>Janeiro</v>
      </c>
      <c r="C299" s="34" t="str">
        <f>PROPER(TEXT(tbLOG[[#This Row],[DATA/HORA]],"dddd"))</f>
        <v>Terça-Feira</v>
      </c>
      <c r="D299" s="3" t="s">
        <v>604</v>
      </c>
      <c r="E299" s="34" t="str">
        <f>IFERROR(VLOOKUP(tbLOG[[#This Row],[LOGIN]],tbMAPA[#All],2,0), "Não localizado")</f>
        <v>Renan Cazumba Tegani</v>
      </c>
      <c r="F299" s="34" t="str">
        <f>IFERROR(VLOOKUP(tbLOG[[#This Row],[LOGIN]],tbMAPA[#All],3,0), "Não localizado")</f>
        <v>Reginaldo Santana De Souza</v>
      </c>
      <c r="G299" s="3" t="s">
        <v>1211</v>
      </c>
      <c r="H299" s="3" t="s">
        <v>836</v>
      </c>
    </row>
    <row r="300" spans="1:8">
      <c r="A300" s="29">
        <v>42738.742071759261</v>
      </c>
      <c r="B300" s="29" t="str">
        <f>PROPER(TEXT(tbLOG[[#This Row],[DATA/HORA]],"mmmm"))</f>
        <v>Janeiro</v>
      </c>
      <c r="C300" s="34" t="str">
        <f>PROPER(TEXT(tbLOG[[#This Row],[DATA/HORA]],"dddd"))</f>
        <v>Terça-Feira</v>
      </c>
      <c r="D300" s="3" t="s">
        <v>604</v>
      </c>
      <c r="E300" s="34" t="str">
        <f>IFERROR(VLOOKUP(tbLOG[[#This Row],[LOGIN]],tbMAPA[#All],2,0), "Não localizado")</f>
        <v>Renan Cazumba Tegani</v>
      </c>
      <c r="F300" s="34" t="str">
        <f>IFERROR(VLOOKUP(tbLOG[[#This Row],[LOGIN]],tbMAPA[#All],3,0), "Não localizado")</f>
        <v>Reginaldo Santana De Souza</v>
      </c>
      <c r="G300" s="3" t="s">
        <v>1211</v>
      </c>
      <c r="H300" s="3" t="s">
        <v>836</v>
      </c>
    </row>
    <row r="301" spans="1:8">
      <c r="A301" s="29">
        <v>42738.742094907408</v>
      </c>
      <c r="B301" s="29" t="str">
        <f>PROPER(TEXT(tbLOG[[#This Row],[DATA/HORA]],"mmmm"))</f>
        <v>Janeiro</v>
      </c>
      <c r="C301" s="34" t="str">
        <f>PROPER(TEXT(tbLOG[[#This Row],[DATA/HORA]],"dddd"))</f>
        <v>Terça-Feira</v>
      </c>
      <c r="D301" s="3" t="s">
        <v>604</v>
      </c>
      <c r="E301" s="34" t="str">
        <f>IFERROR(VLOOKUP(tbLOG[[#This Row],[LOGIN]],tbMAPA[#All],2,0), "Não localizado")</f>
        <v>Renan Cazumba Tegani</v>
      </c>
      <c r="F301" s="34" t="str">
        <f>IFERROR(VLOOKUP(tbLOG[[#This Row],[LOGIN]],tbMAPA[#All],3,0), "Não localizado")</f>
        <v>Reginaldo Santana De Souza</v>
      </c>
      <c r="G301" s="3" t="s">
        <v>1211</v>
      </c>
      <c r="H301" s="3" t="s">
        <v>836</v>
      </c>
    </row>
    <row r="302" spans="1:8">
      <c r="A302" s="29">
        <v>42738.7421412037</v>
      </c>
      <c r="B302" s="29" t="str">
        <f>PROPER(TEXT(tbLOG[[#This Row],[DATA/HORA]],"mmmm"))</f>
        <v>Janeiro</v>
      </c>
      <c r="C302" s="34" t="str">
        <f>PROPER(TEXT(tbLOG[[#This Row],[DATA/HORA]],"dddd"))</f>
        <v>Terça-Feira</v>
      </c>
      <c r="D302" s="3" t="s">
        <v>604</v>
      </c>
      <c r="E302" s="34" t="str">
        <f>IFERROR(VLOOKUP(tbLOG[[#This Row],[LOGIN]],tbMAPA[#All],2,0), "Não localizado")</f>
        <v>Renan Cazumba Tegani</v>
      </c>
      <c r="F302" s="34" t="str">
        <f>IFERROR(VLOOKUP(tbLOG[[#This Row],[LOGIN]],tbMAPA[#All],3,0), "Não localizado")</f>
        <v>Reginaldo Santana De Souza</v>
      </c>
      <c r="G302" s="3" t="s">
        <v>1211</v>
      </c>
      <c r="H302" s="3" t="s">
        <v>836</v>
      </c>
    </row>
    <row r="303" spans="1:8">
      <c r="A303" s="29">
        <v>42738.742615740739</v>
      </c>
      <c r="B303" s="29" t="str">
        <f>PROPER(TEXT(tbLOG[[#This Row],[DATA/HORA]],"mmmm"))</f>
        <v>Janeiro</v>
      </c>
      <c r="C303" s="34" t="str">
        <f>PROPER(TEXT(tbLOG[[#This Row],[DATA/HORA]],"dddd"))</f>
        <v>Terça-Feira</v>
      </c>
      <c r="D303" s="3" t="s">
        <v>604</v>
      </c>
      <c r="E303" s="34" t="str">
        <f>IFERROR(VLOOKUP(tbLOG[[#This Row],[LOGIN]],tbMAPA[#All],2,0), "Não localizado")</f>
        <v>Renan Cazumba Tegani</v>
      </c>
      <c r="F303" s="34" t="str">
        <f>IFERROR(VLOOKUP(tbLOG[[#This Row],[LOGIN]],tbMAPA[#All],3,0), "Não localizado")</f>
        <v>Reginaldo Santana De Souza</v>
      </c>
      <c r="G303" s="3" t="s">
        <v>1211</v>
      </c>
      <c r="H303" s="3" t="s">
        <v>836</v>
      </c>
    </row>
    <row r="304" spans="1:8">
      <c r="A304" s="29">
        <v>42738.743333333332</v>
      </c>
      <c r="B304" s="29" t="str">
        <f>PROPER(TEXT(tbLOG[[#This Row],[DATA/HORA]],"mmmm"))</f>
        <v>Janeiro</v>
      </c>
      <c r="C304" s="34" t="str">
        <f>PROPER(TEXT(tbLOG[[#This Row],[DATA/HORA]],"dddd"))</f>
        <v>Terça-Feira</v>
      </c>
      <c r="D304" s="3" t="s">
        <v>604</v>
      </c>
      <c r="E304" s="34" t="str">
        <f>IFERROR(VLOOKUP(tbLOG[[#This Row],[LOGIN]],tbMAPA[#All],2,0), "Não localizado")</f>
        <v>Renan Cazumba Tegani</v>
      </c>
      <c r="F304" s="34" t="str">
        <f>IFERROR(VLOOKUP(tbLOG[[#This Row],[LOGIN]],tbMAPA[#All],3,0), "Não localizado")</f>
        <v>Reginaldo Santana De Souza</v>
      </c>
      <c r="G304" s="3" t="s">
        <v>1211</v>
      </c>
      <c r="H304" s="3" t="s">
        <v>836</v>
      </c>
    </row>
    <row r="305" spans="1:8">
      <c r="A305" s="29">
        <v>42738.74417824074</v>
      </c>
      <c r="B305" s="29" t="str">
        <f>PROPER(TEXT(tbLOG[[#This Row],[DATA/HORA]],"mmmm"))</f>
        <v>Janeiro</v>
      </c>
      <c r="C305" s="34" t="str">
        <f>PROPER(TEXT(tbLOG[[#This Row],[DATA/HORA]],"dddd"))</f>
        <v>Terça-Feira</v>
      </c>
      <c r="D305" s="3" t="s">
        <v>604</v>
      </c>
      <c r="E305" s="34" t="str">
        <f>IFERROR(VLOOKUP(tbLOG[[#This Row],[LOGIN]],tbMAPA[#All],2,0), "Não localizado")</f>
        <v>Renan Cazumba Tegani</v>
      </c>
      <c r="F305" s="34" t="str">
        <f>IFERROR(VLOOKUP(tbLOG[[#This Row],[LOGIN]],tbMAPA[#All],3,0), "Não localizado")</f>
        <v>Reginaldo Santana De Souza</v>
      </c>
      <c r="G305" s="3" t="s">
        <v>1211</v>
      </c>
      <c r="H305" s="3" t="s">
        <v>836</v>
      </c>
    </row>
    <row r="306" spans="1:8">
      <c r="A306" s="29">
        <v>42738.74423611111</v>
      </c>
      <c r="B306" s="29" t="str">
        <f>PROPER(TEXT(tbLOG[[#This Row],[DATA/HORA]],"mmmm"))</f>
        <v>Janeiro</v>
      </c>
      <c r="C306" s="34" t="str">
        <f>PROPER(TEXT(tbLOG[[#This Row],[DATA/HORA]],"dddd"))</f>
        <v>Terça-Feira</v>
      </c>
      <c r="D306" s="3" t="s">
        <v>604</v>
      </c>
      <c r="E306" s="34" t="str">
        <f>IFERROR(VLOOKUP(tbLOG[[#This Row],[LOGIN]],tbMAPA[#All],2,0), "Não localizado")</f>
        <v>Renan Cazumba Tegani</v>
      </c>
      <c r="F306" s="34" t="str">
        <f>IFERROR(VLOOKUP(tbLOG[[#This Row],[LOGIN]],tbMAPA[#All],3,0), "Não localizado")</f>
        <v>Reginaldo Santana De Souza</v>
      </c>
      <c r="G306" s="3" t="s">
        <v>1211</v>
      </c>
      <c r="H306" s="3" t="s">
        <v>836</v>
      </c>
    </row>
    <row r="307" spans="1:8">
      <c r="A307" s="29">
        <v>42738.744351851848</v>
      </c>
      <c r="B307" s="29" t="str">
        <f>PROPER(TEXT(tbLOG[[#This Row],[DATA/HORA]],"mmmm"))</f>
        <v>Janeiro</v>
      </c>
      <c r="C307" s="34" t="str">
        <f>PROPER(TEXT(tbLOG[[#This Row],[DATA/HORA]],"dddd"))</f>
        <v>Terça-Feira</v>
      </c>
      <c r="D307" s="3" t="s">
        <v>604</v>
      </c>
      <c r="E307" s="34" t="str">
        <f>IFERROR(VLOOKUP(tbLOG[[#This Row],[LOGIN]],tbMAPA[#All],2,0), "Não localizado")</f>
        <v>Renan Cazumba Tegani</v>
      </c>
      <c r="F307" s="34" t="str">
        <f>IFERROR(VLOOKUP(tbLOG[[#This Row],[LOGIN]],tbMAPA[#All],3,0), "Não localizado")</f>
        <v>Reginaldo Santana De Souza</v>
      </c>
      <c r="G307" s="3" t="s">
        <v>1211</v>
      </c>
      <c r="H307" s="3" t="s">
        <v>836</v>
      </c>
    </row>
    <row r="308" spans="1:8">
      <c r="A308" s="29">
        <v>42738.744386574072</v>
      </c>
      <c r="B308" s="29" t="str">
        <f>PROPER(TEXT(tbLOG[[#This Row],[DATA/HORA]],"mmmm"))</f>
        <v>Janeiro</v>
      </c>
      <c r="C308" s="34" t="str">
        <f>PROPER(TEXT(tbLOG[[#This Row],[DATA/HORA]],"dddd"))</f>
        <v>Terça-Feira</v>
      </c>
      <c r="D308" s="3" t="s">
        <v>604</v>
      </c>
      <c r="E308" s="34" t="str">
        <f>IFERROR(VLOOKUP(tbLOG[[#This Row],[LOGIN]],tbMAPA[#All],2,0), "Não localizado")</f>
        <v>Renan Cazumba Tegani</v>
      </c>
      <c r="F308" s="34" t="str">
        <f>IFERROR(VLOOKUP(tbLOG[[#This Row],[LOGIN]],tbMAPA[#All],3,0), "Não localizado")</f>
        <v>Reginaldo Santana De Souza</v>
      </c>
      <c r="G308" s="3" t="s">
        <v>1211</v>
      </c>
      <c r="H308" s="3" t="s">
        <v>836</v>
      </c>
    </row>
    <row r="309" spans="1:8">
      <c r="A309" s="29">
        <v>42738.744432870371</v>
      </c>
      <c r="B309" s="29" t="str">
        <f>PROPER(TEXT(tbLOG[[#This Row],[DATA/HORA]],"mmmm"))</f>
        <v>Janeiro</v>
      </c>
      <c r="C309" s="34" t="str">
        <f>PROPER(TEXT(tbLOG[[#This Row],[DATA/HORA]],"dddd"))</f>
        <v>Terça-Feira</v>
      </c>
      <c r="D309" s="3" t="s">
        <v>604</v>
      </c>
      <c r="E309" s="34" t="str">
        <f>IFERROR(VLOOKUP(tbLOG[[#This Row],[LOGIN]],tbMAPA[#All],2,0), "Não localizado")</f>
        <v>Renan Cazumba Tegani</v>
      </c>
      <c r="F309" s="34" t="str">
        <f>IFERROR(VLOOKUP(tbLOG[[#This Row],[LOGIN]],tbMAPA[#All],3,0), "Não localizado")</f>
        <v>Reginaldo Santana De Souza</v>
      </c>
      <c r="G309" s="3" t="s">
        <v>1211</v>
      </c>
      <c r="H309" s="3" t="s">
        <v>836</v>
      </c>
    </row>
    <row r="310" spans="1:8">
      <c r="A310" s="29">
        <v>42738.744479166664</v>
      </c>
      <c r="B310" s="29" t="str">
        <f>PROPER(TEXT(tbLOG[[#This Row],[DATA/HORA]],"mmmm"))</f>
        <v>Janeiro</v>
      </c>
      <c r="C310" s="34" t="str">
        <f>PROPER(TEXT(tbLOG[[#This Row],[DATA/HORA]],"dddd"))</f>
        <v>Terça-Feira</v>
      </c>
      <c r="D310" s="3" t="s">
        <v>604</v>
      </c>
      <c r="E310" s="34" t="str">
        <f>IFERROR(VLOOKUP(tbLOG[[#This Row],[LOGIN]],tbMAPA[#All],2,0), "Não localizado")</f>
        <v>Renan Cazumba Tegani</v>
      </c>
      <c r="F310" s="34" t="str">
        <f>IFERROR(VLOOKUP(tbLOG[[#This Row],[LOGIN]],tbMAPA[#All],3,0), "Não localizado")</f>
        <v>Reginaldo Santana De Souza</v>
      </c>
      <c r="G310" s="3" t="s">
        <v>1211</v>
      </c>
      <c r="H310" s="3" t="s">
        <v>290</v>
      </c>
    </row>
    <row r="311" spans="1:8">
      <c r="A311" s="29">
        <v>42738.744502314818</v>
      </c>
      <c r="B311" s="29" t="str">
        <f>PROPER(TEXT(tbLOG[[#This Row],[DATA/HORA]],"mmmm"))</f>
        <v>Janeiro</v>
      </c>
      <c r="C311" s="34" t="str">
        <f>PROPER(TEXT(tbLOG[[#This Row],[DATA/HORA]],"dddd"))</f>
        <v>Terça-Feira</v>
      </c>
      <c r="D311" s="3" t="s">
        <v>604</v>
      </c>
      <c r="E311" s="34" t="str">
        <f>IFERROR(VLOOKUP(tbLOG[[#This Row],[LOGIN]],tbMAPA[#All],2,0), "Não localizado")</f>
        <v>Renan Cazumba Tegani</v>
      </c>
      <c r="F311" s="34" t="str">
        <f>IFERROR(VLOOKUP(tbLOG[[#This Row],[LOGIN]],tbMAPA[#All],3,0), "Não localizado")</f>
        <v>Reginaldo Santana De Souza</v>
      </c>
      <c r="G311" s="3" t="s">
        <v>1211</v>
      </c>
      <c r="H311" s="3" t="s">
        <v>290</v>
      </c>
    </row>
    <row r="312" spans="1:8">
      <c r="A312" s="29">
        <v>42738.75068287037</v>
      </c>
      <c r="B312" s="29" t="str">
        <f>PROPER(TEXT(tbLOG[[#This Row],[DATA/HORA]],"mmmm"))</f>
        <v>Janeiro</v>
      </c>
      <c r="C312" s="34" t="str">
        <f>PROPER(TEXT(tbLOG[[#This Row],[DATA/HORA]],"dddd"))</f>
        <v>Terça-Feira</v>
      </c>
      <c r="D312" s="3" t="s">
        <v>604</v>
      </c>
      <c r="E312" s="34" t="str">
        <f>IFERROR(VLOOKUP(tbLOG[[#This Row],[LOGIN]],tbMAPA[#All],2,0), "Não localizado")</f>
        <v>Renan Cazumba Tegani</v>
      </c>
      <c r="F312" s="34" t="str">
        <f>IFERROR(VLOOKUP(tbLOG[[#This Row],[LOGIN]],tbMAPA[#All],3,0), "Não localizado")</f>
        <v>Reginaldo Santana De Souza</v>
      </c>
      <c r="G312" s="3" t="s">
        <v>1211</v>
      </c>
      <c r="H312" s="3" t="s">
        <v>290</v>
      </c>
    </row>
    <row r="313" spans="1:8">
      <c r="A313" s="29">
        <v>42738.750694444447</v>
      </c>
      <c r="B313" s="29" t="str">
        <f>PROPER(TEXT(tbLOG[[#This Row],[DATA/HORA]],"mmmm"))</f>
        <v>Janeiro</v>
      </c>
      <c r="C313" s="34" t="str">
        <f>PROPER(TEXT(tbLOG[[#This Row],[DATA/HORA]],"dddd"))</f>
        <v>Terça-Feira</v>
      </c>
      <c r="D313" s="3" t="s">
        <v>604</v>
      </c>
      <c r="E313" s="34" t="str">
        <f>IFERROR(VLOOKUP(tbLOG[[#This Row],[LOGIN]],tbMAPA[#All],2,0), "Não localizado")</f>
        <v>Renan Cazumba Tegani</v>
      </c>
      <c r="F313" s="34" t="str">
        <f>IFERROR(VLOOKUP(tbLOG[[#This Row],[LOGIN]],tbMAPA[#All],3,0), "Não localizado")</f>
        <v>Reginaldo Santana De Souza</v>
      </c>
      <c r="G313" s="3" t="s">
        <v>1211</v>
      </c>
      <c r="H313" s="3" t="s">
        <v>291</v>
      </c>
    </row>
    <row r="314" spans="1:8">
      <c r="A314" s="29">
        <v>42738.750694444447</v>
      </c>
      <c r="B314" s="29" t="str">
        <f>PROPER(TEXT(tbLOG[[#This Row],[DATA/HORA]],"mmmm"))</f>
        <v>Janeiro</v>
      </c>
      <c r="C314" s="34" t="str">
        <f>PROPER(TEXT(tbLOG[[#This Row],[DATA/HORA]],"dddd"))</f>
        <v>Terça-Feira</v>
      </c>
      <c r="D314" s="3" t="s">
        <v>604</v>
      </c>
      <c r="E314" s="34" t="str">
        <f>IFERROR(VLOOKUP(tbLOG[[#This Row],[LOGIN]],tbMAPA[#All],2,0), "Não localizado")</f>
        <v>Renan Cazumba Tegani</v>
      </c>
      <c r="F314" s="34" t="str">
        <f>IFERROR(VLOOKUP(tbLOG[[#This Row],[LOGIN]],tbMAPA[#All],3,0), "Não localizado")</f>
        <v>Reginaldo Santana De Souza</v>
      </c>
      <c r="G314" s="3" t="s">
        <v>1211</v>
      </c>
      <c r="H314" s="3" t="s">
        <v>290</v>
      </c>
    </row>
    <row r="315" spans="1:8">
      <c r="A315" s="29">
        <v>42739.422106481485</v>
      </c>
      <c r="B315" s="29" t="str">
        <f>PROPER(TEXT(tbLOG[[#This Row],[DATA/HORA]],"mmmm"))</f>
        <v>Janeiro</v>
      </c>
      <c r="C315" s="34" t="str">
        <f>PROPER(TEXT(tbLOG[[#This Row],[DATA/HORA]],"dddd"))</f>
        <v>Quarta-Feira</v>
      </c>
      <c r="D315" s="3" t="s">
        <v>604</v>
      </c>
      <c r="E315" s="34" t="str">
        <f>IFERROR(VLOOKUP(tbLOG[[#This Row],[LOGIN]],tbMAPA[#All],2,0), "Não localizado")</f>
        <v>Renan Cazumba Tegani</v>
      </c>
      <c r="F315" s="34" t="str">
        <f>IFERROR(VLOOKUP(tbLOG[[#This Row],[LOGIN]],tbMAPA[#All],3,0), "Não localizado")</f>
        <v>Reginaldo Santana De Souza</v>
      </c>
      <c r="G315" s="3" t="s">
        <v>1211</v>
      </c>
      <c r="H315" s="3" t="s">
        <v>994</v>
      </c>
    </row>
    <row r="316" spans="1:8">
      <c r="A316" s="29">
        <v>42739.422233796293</v>
      </c>
      <c r="B316" s="29" t="str">
        <f>PROPER(TEXT(tbLOG[[#This Row],[DATA/HORA]],"mmmm"))</f>
        <v>Janeiro</v>
      </c>
      <c r="C316" s="34" t="str">
        <f>PROPER(TEXT(tbLOG[[#This Row],[DATA/HORA]],"dddd"))</f>
        <v>Quarta-Feira</v>
      </c>
      <c r="D316" s="3" t="s">
        <v>604</v>
      </c>
      <c r="E316" s="34" t="str">
        <f>IFERROR(VLOOKUP(tbLOG[[#This Row],[LOGIN]],tbMAPA[#All],2,0), "Não localizado")</f>
        <v>Renan Cazumba Tegani</v>
      </c>
      <c r="F316" s="34" t="str">
        <f>IFERROR(VLOOKUP(tbLOG[[#This Row],[LOGIN]],tbMAPA[#All],3,0), "Não localizado")</f>
        <v>Reginaldo Santana De Souza</v>
      </c>
      <c r="G316" s="3" t="s">
        <v>1211</v>
      </c>
      <c r="H316" s="3" t="s">
        <v>309</v>
      </c>
    </row>
    <row r="317" spans="1:8">
      <c r="A317" s="29">
        <v>42739.422233796293</v>
      </c>
      <c r="B317" s="29" t="str">
        <f>PROPER(TEXT(tbLOG[[#This Row],[DATA/HORA]],"mmmm"))</f>
        <v>Janeiro</v>
      </c>
      <c r="C317" s="34" t="str">
        <f>PROPER(TEXT(tbLOG[[#This Row],[DATA/HORA]],"dddd"))</f>
        <v>Quarta-Feira</v>
      </c>
      <c r="D317" s="3" t="s">
        <v>604</v>
      </c>
      <c r="E317" s="34" t="str">
        <f>IFERROR(VLOOKUP(tbLOG[[#This Row],[LOGIN]],tbMAPA[#All],2,0), "Não localizado")</f>
        <v>Renan Cazumba Tegani</v>
      </c>
      <c r="F317" s="34" t="str">
        <f>IFERROR(VLOOKUP(tbLOG[[#This Row],[LOGIN]],tbMAPA[#All],3,0), "Não localizado")</f>
        <v>Reginaldo Santana De Souza</v>
      </c>
      <c r="G317" s="3" t="s">
        <v>1211</v>
      </c>
      <c r="H317" s="3" t="s">
        <v>310</v>
      </c>
    </row>
    <row r="318" spans="1:8">
      <c r="A318" s="29">
        <v>42739.422268518516</v>
      </c>
      <c r="B318" s="29" t="str">
        <f>PROPER(TEXT(tbLOG[[#This Row],[DATA/HORA]],"mmmm"))</f>
        <v>Janeiro</v>
      </c>
      <c r="C318" s="34" t="str">
        <f>PROPER(TEXT(tbLOG[[#This Row],[DATA/HORA]],"dddd"))</f>
        <v>Quarta-Feira</v>
      </c>
      <c r="D318" s="3" t="s">
        <v>604</v>
      </c>
      <c r="E318" s="34" t="str">
        <f>IFERROR(VLOOKUP(tbLOG[[#This Row],[LOGIN]],tbMAPA[#All],2,0), "Não localizado")</f>
        <v>Renan Cazumba Tegani</v>
      </c>
      <c r="F318" s="34" t="str">
        <f>IFERROR(VLOOKUP(tbLOG[[#This Row],[LOGIN]],tbMAPA[#All],3,0), "Não localizado")</f>
        <v>Reginaldo Santana De Souza</v>
      </c>
      <c r="G318" s="3" t="s">
        <v>1211</v>
      </c>
      <c r="H318" s="3" t="s">
        <v>309</v>
      </c>
    </row>
    <row r="319" spans="1:8">
      <c r="A319" s="29">
        <v>42739.422268518516</v>
      </c>
      <c r="B319" s="29" t="str">
        <f>PROPER(TEXT(tbLOG[[#This Row],[DATA/HORA]],"mmmm"))</f>
        <v>Janeiro</v>
      </c>
      <c r="C319" s="34" t="str">
        <f>PROPER(TEXT(tbLOG[[#This Row],[DATA/HORA]],"dddd"))</f>
        <v>Quarta-Feira</v>
      </c>
      <c r="D319" s="3" t="s">
        <v>604</v>
      </c>
      <c r="E319" s="34" t="str">
        <f>IFERROR(VLOOKUP(tbLOG[[#This Row],[LOGIN]],tbMAPA[#All],2,0), "Não localizado")</f>
        <v>Renan Cazumba Tegani</v>
      </c>
      <c r="F319" s="34" t="str">
        <f>IFERROR(VLOOKUP(tbLOG[[#This Row],[LOGIN]],tbMAPA[#All],3,0), "Não localizado")</f>
        <v>Reginaldo Santana De Souza</v>
      </c>
      <c r="G319" s="3" t="s">
        <v>1211</v>
      </c>
      <c r="H319" s="3" t="s">
        <v>309</v>
      </c>
    </row>
    <row r="320" spans="1:8">
      <c r="A320" s="29">
        <v>42739.422268518516</v>
      </c>
      <c r="B320" s="29" t="str">
        <f>PROPER(TEXT(tbLOG[[#This Row],[DATA/HORA]],"mmmm"))</f>
        <v>Janeiro</v>
      </c>
      <c r="C320" s="34" t="str">
        <f>PROPER(TEXT(tbLOG[[#This Row],[DATA/HORA]],"dddd"))</f>
        <v>Quarta-Feira</v>
      </c>
      <c r="D320" s="3" t="s">
        <v>604</v>
      </c>
      <c r="E320" s="34" t="str">
        <f>IFERROR(VLOOKUP(tbLOG[[#This Row],[LOGIN]],tbMAPA[#All],2,0), "Não localizado")</f>
        <v>Renan Cazumba Tegani</v>
      </c>
      <c r="F320" s="34" t="str">
        <f>IFERROR(VLOOKUP(tbLOG[[#This Row],[LOGIN]],tbMAPA[#All],3,0), "Não localizado")</f>
        <v>Reginaldo Santana De Souza</v>
      </c>
      <c r="G320" s="3" t="s">
        <v>1211</v>
      </c>
      <c r="H320" s="3" t="s">
        <v>314</v>
      </c>
    </row>
    <row r="321" spans="1:8">
      <c r="A321" s="29">
        <v>42739.422534722224</v>
      </c>
      <c r="B321" s="29" t="str">
        <f>PROPER(TEXT(tbLOG[[#This Row],[DATA/HORA]],"mmmm"))</f>
        <v>Janeiro</v>
      </c>
      <c r="C321" s="34" t="str">
        <f>PROPER(TEXT(tbLOG[[#This Row],[DATA/HORA]],"dddd"))</f>
        <v>Quarta-Feira</v>
      </c>
      <c r="D321" s="3" t="s">
        <v>604</v>
      </c>
      <c r="E321" s="34" t="str">
        <f>IFERROR(VLOOKUP(tbLOG[[#This Row],[LOGIN]],tbMAPA[#All],2,0), "Não localizado")</f>
        <v>Renan Cazumba Tegani</v>
      </c>
      <c r="F321" s="34" t="str">
        <f>IFERROR(VLOOKUP(tbLOG[[#This Row],[LOGIN]],tbMAPA[#All],3,0), "Não localizado")</f>
        <v>Reginaldo Santana De Souza</v>
      </c>
      <c r="G321" s="3" t="s">
        <v>1211</v>
      </c>
      <c r="H321" s="3" t="s">
        <v>291</v>
      </c>
    </row>
    <row r="322" spans="1:8">
      <c r="A322" s="29">
        <v>42739.422534722224</v>
      </c>
      <c r="B322" s="29" t="str">
        <f>PROPER(TEXT(tbLOG[[#This Row],[DATA/HORA]],"mmmm"))</f>
        <v>Janeiro</v>
      </c>
      <c r="C322" s="34" t="str">
        <f>PROPER(TEXT(tbLOG[[#This Row],[DATA/HORA]],"dddd"))</f>
        <v>Quarta-Feira</v>
      </c>
      <c r="D322" s="3" t="s">
        <v>604</v>
      </c>
      <c r="E322" s="34" t="str">
        <f>IFERROR(VLOOKUP(tbLOG[[#This Row],[LOGIN]],tbMAPA[#All],2,0), "Não localizado")</f>
        <v>Renan Cazumba Tegani</v>
      </c>
      <c r="F322" s="34" t="str">
        <f>IFERROR(VLOOKUP(tbLOG[[#This Row],[LOGIN]],tbMAPA[#All],3,0), "Não localizado")</f>
        <v>Reginaldo Santana De Souza</v>
      </c>
      <c r="G322" s="3" t="s">
        <v>1211</v>
      </c>
      <c r="H322" s="3" t="s">
        <v>290</v>
      </c>
    </row>
    <row r="323" spans="1:8">
      <c r="A323" s="29">
        <v>42739.429259259261</v>
      </c>
      <c r="B323" s="29" t="str">
        <f>PROPER(TEXT(tbLOG[[#This Row],[DATA/HORA]],"mmmm"))</f>
        <v>Janeiro</v>
      </c>
      <c r="C323" s="34" t="str">
        <f>PROPER(TEXT(tbLOG[[#This Row],[DATA/HORA]],"dddd"))</f>
        <v>Quarta-Feira</v>
      </c>
      <c r="D323" s="3" t="s">
        <v>300</v>
      </c>
      <c r="E323" s="34" t="str">
        <f>IFERROR(VLOOKUP(tbLOG[[#This Row],[LOGIN]],tbMAPA[#All],2,0), "Não localizado")</f>
        <v>Jefte Soares Da Silva</v>
      </c>
      <c r="F323" s="34" t="str">
        <f>IFERROR(VLOOKUP(tbLOG[[#This Row],[LOGIN]],tbMAPA[#All],3,0), "Não localizado")</f>
        <v>Daniela Andrade Silva</v>
      </c>
      <c r="G323" s="3" t="s">
        <v>1000</v>
      </c>
      <c r="H323" s="3" t="s">
        <v>994</v>
      </c>
    </row>
    <row r="324" spans="1:8">
      <c r="A324" s="29">
        <v>42739.429293981484</v>
      </c>
      <c r="B324" s="29" t="str">
        <f>PROPER(TEXT(tbLOG[[#This Row],[DATA/HORA]],"mmmm"))</f>
        <v>Janeiro</v>
      </c>
      <c r="C324" s="34" t="str">
        <f>PROPER(TEXT(tbLOG[[#This Row],[DATA/HORA]],"dddd"))</f>
        <v>Quarta-Feira</v>
      </c>
      <c r="D324" s="3" t="s">
        <v>300</v>
      </c>
      <c r="E324" s="34" t="str">
        <f>IFERROR(VLOOKUP(tbLOG[[#This Row],[LOGIN]],tbMAPA[#All],2,0), "Não localizado")</f>
        <v>Jefte Soares Da Silva</v>
      </c>
      <c r="F324" s="34" t="str">
        <f>IFERROR(VLOOKUP(tbLOG[[#This Row],[LOGIN]],tbMAPA[#All],3,0), "Não localizado")</f>
        <v>Daniela Andrade Silva</v>
      </c>
      <c r="G324" s="3" t="s">
        <v>1000</v>
      </c>
      <c r="H324" s="3" t="s">
        <v>315</v>
      </c>
    </row>
    <row r="325" spans="1:8">
      <c r="A325" s="29">
        <v>42739.429444444446</v>
      </c>
      <c r="B325" s="29" t="str">
        <f>PROPER(TEXT(tbLOG[[#This Row],[DATA/HORA]],"mmmm"))</f>
        <v>Janeiro</v>
      </c>
      <c r="C325" s="34" t="str">
        <f>PROPER(TEXT(tbLOG[[#This Row],[DATA/HORA]],"dddd"))</f>
        <v>Quarta-Feira</v>
      </c>
      <c r="D325" s="3" t="s">
        <v>300</v>
      </c>
      <c r="E325" s="34" t="str">
        <f>IFERROR(VLOOKUP(tbLOG[[#This Row],[LOGIN]],tbMAPA[#All],2,0), "Não localizado")</f>
        <v>Jefte Soares Da Silva</v>
      </c>
      <c r="F325" s="34" t="str">
        <f>IFERROR(VLOOKUP(tbLOG[[#This Row],[LOGIN]],tbMAPA[#All],3,0), "Não localizado")</f>
        <v>Daniela Andrade Silva</v>
      </c>
      <c r="G325" s="3" t="s">
        <v>1000</v>
      </c>
      <c r="H325" s="3" t="s">
        <v>292</v>
      </c>
    </row>
    <row r="326" spans="1:8">
      <c r="A326" s="29">
        <v>42739.429456018515</v>
      </c>
      <c r="B326" s="29" t="str">
        <f>PROPER(TEXT(tbLOG[[#This Row],[DATA/HORA]],"mmmm"))</f>
        <v>Janeiro</v>
      </c>
      <c r="C326" s="34" t="str">
        <f>PROPER(TEXT(tbLOG[[#This Row],[DATA/HORA]],"dddd"))</f>
        <v>Quarta-Feira</v>
      </c>
      <c r="D326" s="3" t="s">
        <v>300</v>
      </c>
      <c r="E326" s="34" t="str">
        <f>IFERROR(VLOOKUP(tbLOG[[#This Row],[LOGIN]],tbMAPA[#All],2,0), "Não localizado")</f>
        <v>Jefte Soares Da Silva</v>
      </c>
      <c r="F326" s="34" t="str">
        <f>IFERROR(VLOOKUP(tbLOG[[#This Row],[LOGIN]],tbMAPA[#All],3,0), "Não localizado")</f>
        <v>Daniela Andrade Silva</v>
      </c>
      <c r="G326" s="3" t="s">
        <v>1000</v>
      </c>
      <c r="H326" s="3" t="s">
        <v>292</v>
      </c>
    </row>
    <row r="327" spans="1:8">
      <c r="A327" s="29">
        <v>42739.429456018515</v>
      </c>
      <c r="B327" s="29" t="str">
        <f>PROPER(TEXT(tbLOG[[#This Row],[DATA/HORA]],"mmmm"))</f>
        <v>Janeiro</v>
      </c>
      <c r="C327" s="34" t="str">
        <f>PROPER(TEXT(tbLOG[[#This Row],[DATA/HORA]],"dddd"))</f>
        <v>Quarta-Feira</v>
      </c>
      <c r="D327" s="3" t="s">
        <v>300</v>
      </c>
      <c r="E327" s="34" t="str">
        <f>IFERROR(VLOOKUP(tbLOG[[#This Row],[LOGIN]],tbMAPA[#All],2,0), "Não localizado")</f>
        <v>Jefte Soares Da Silva</v>
      </c>
      <c r="F327" s="34" t="str">
        <f>IFERROR(VLOOKUP(tbLOG[[#This Row],[LOGIN]],tbMAPA[#All],3,0), "Não localizado")</f>
        <v>Daniela Andrade Silva</v>
      </c>
      <c r="G327" s="3" t="s">
        <v>1000</v>
      </c>
      <c r="H327" s="3" t="s">
        <v>317</v>
      </c>
    </row>
    <row r="328" spans="1:8">
      <c r="A328" s="29">
        <v>42739.430347222224</v>
      </c>
      <c r="B328" s="29" t="str">
        <f>PROPER(TEXT(tbLOG[[#This Row],[DATA/HORA]],"mmmm"))</f>
        <v>Janeiro</v>
      </c>
      <c r="C328" s="34" t="str">
        <f>PROPER(TEXT(tbLOG[[#This Row],[DATA/HORA]],"dddd"))</f>
        <v>Quarta-Feira</v>
      </c>
      <c r="D328" s="3" t="s">
        <v>300</v>
      </c>
      <c r="E328" s="34" t="str">
        <f>IFERROR(VLOOKUP(tbLOG[[#This Row],[LOGIN]],tbMAPA[#All],2,0), "Não localizado")</f>
        <v>Jefte Soares Da Silva</v>
      </c>
      <c r="F328" s="34" t="str">
        <f>IFERROR(VLOOKUP(tbLOG[[#This Row],[LOGIN]],tbMAPA[#All],3,0), "Não localizado")</f>
        <v>Daniela Andrade Silva</v>
      </c>
      <c r="G328" s="3" t="s">
        <v>1000</v>
      </c>
      <c r="H328" s="3" t="s">
        <v>836</v>
      </c>
    </row>
    <row r="329" spans="1:8">
      <c r="A329" s="29">
        <v>42739.43041666667</v>
      </c>
      <c r="B329" s="29" t="str">
        <f>PROPER(TEXT(tbLOG[[#This Row],[DATA/HORA]],"mmmm"))</f>
        <v>Janeiro</v>
      </c>
      <c r="C329" s="34" t="str">
        <f>PROPER(TEXT(tbLOG[[#This Row],[DATA/HORA]],"dddd"))</f>
        <v>Quarta-Feira</v>
      </c>
      <c r="D329" s="3" t="s">
        <v>300</v>
      </c>
      <c r="E329" s="34" t="str">
        <f>IFERROR(VLOOKUP(tbLOG[[#This Row],[LOGIN]],tbMAPA[#All],2,0), "Não localizado")</f>
        <v>Jefte Soares Da Silva</v>
      </c>
      <c r="F329" s="34" t="str">
        <f>IFERROR(VLOOKUP(tbLOG[[#This Row],[LOGIN]],tbMAPA[#All],3,0), "Não localizado")</f>
        <v>Daniela Andrade Silva</v>
      </c>
      <c r="G329" s="3" t="s">
        <v>1000</v>
      </c>
      <c r="H329" s="3" t="s">
        <v>836</v>
      </c>
    </row>
    <row r="330" spans="1:8">
      <c r="A330" s="29">
        <v>42739.430451388886</v>
      </c>
      <c r="B330" s="29" t="str">
        <f>PROPER(TEXT(tbLOG[[#This Row],[DATA/HORA]],"mmmm"))</f>
        <v>Janeiro</v>
      </c>
      <c r="C330" s="34" t="str">
        <f>PROPER(TEXT(tbLOG[[#This Row],[DATA/HORA]],"dddd"))</f>
        <v>Quarta-Feira</v>
      </c>
      <c r="D330" s="3" t="s">
        <v>300</v>
      </c>
      <c r="E330" s="34" t="str">
        <f>IFERROR(VLOOKUP(tbLOG[[#This Row],[LOGIN]],tbMAPA[#All],2,0), "Não localizado")</f>
        <v>Jefte Soares Da Silva</v>
      </c>
      <c r="F330" s="34" t="str">
        <f>IFERROR(VLOOKUP(tbLOG[[#This Row],[LOGIN]],tbMAPA[#All],3,0), "Não localizado")</f>
        <v>Daniela Andrade Silva</v>
      </c>
      <c r="G330" s="3" t="s">
        <v>1000</v>
      </c>
      <c r="H330" s="3" t="s">
        <v>836</v>
      </c>
    </row>
    <row r="331" spans="1:8">
      <c r="A331" s="29">
        <v>42739.430578703701</v>
      </c>
      <c r="B331" s="29" t="str">
        <f>PROPER(TEXT(tbLOG[[#This Row],[DATA/HORA]],"mmmm"))</f>
        <v>Janeiro</v>
      </c>
      <c r="C331" s="34" t="str">
        <f>PROPER(TEXT(tbLOG[[#This Row],[DATA/HORA]],"dddd"))</f>
        <v>Quarta-Feira</v>
      </c>
      <c r="D331" s="3" t="s">
        <v>300</v>
      </c>
      <c r="E331" s="34" t="str">
        <f>IFERROR(VLOOKUP(tbLOG[[#This Row],[LOGIN]],tbMAPA[#All],2,0), "Não localizado")</f>
        <v>Jefte Soares Da Silva</v>
      </c>
      <c r="F331" s="34" t="str">
        <f>IFERROR(VLOOKUP(tbLOG[[#This Row],[LOGIN]],tbMAPA[#All],3,0), "Não localizado")</f>
        <v>Daniela Andrade Silva</v>
      </c>
      <c r="G331" s="3" t="s">
        <v>1000</v>
      </c>
      <c r="H331" s="3" t="s">
        <v>836</v>
      </c>
    </row>
    <row r="332" spans="1:8">
      <c r="A332" s="29">
        <v>42739.430578703701</v>
      </c>
      <c r="B332" s="29" t="str">
        <f>PROPER(TEXT(tbLOG[[#This Row],[DATA/HORA]],"mmmm"))</f>
        <v>Janeiro</v>
      </c>
      <c r="C332" s="34" t="str">
        <f>PROPER(TEXT(tbLOG[[#This Row],[DATA/HORA]],"dddd"))</f>
        <v>Quarta-Feira</v>
      </c>
      <c r="D332" s="3" t="s">
        <v>300</v>
      </c>
      <c r="E332" s="34" t="str">
        <f>IFERROR(VLOOKUP(tbLOG[[#This Row],[LOGIN]],tbMAPA[#All],2,0), "Não localizado")</f>
        <v>Jefte Soares Da Silva</v>
      </c>
      <c r="F332" s="34" t="str">
        <f>IFERROR(VLOOKUP(tbLOG[[#This Row],[LOGIN]],tbMAPA[#All],3,0), "Não localizado")</f>
        <v>Daniela Andrade Silva</v>
      </c>
      <c r="G332" s="3" t="s">
        <v>1000</v>
      </c>
      <c r="H332" s="3" t="s">
        <v>836</v>
      </c>
    </row>
    <row r="333" spans="1:8">
      <c r="A333" s="29">
        <v>42739.430856481478</v>
      </c>
      <c r="B333" s="29" t="str">
        <f>PROPER(TEXT(tbLOG[[#This Row],[DATA/HORA]],"mmmm"))</f>
        <v>Janeiro</v>
      </c>
      <c r="C333" s="34" t="str">
        <f>PROPER(TEXT(tbLOG[[#This Row],[DATA/HORA]],"dddd"))</f>
        <v>Quarta-Feira</v>
      </c>
      <c r="D333" s="3" t="s">
        <v>300</v>
      </c>
      <c r="E333" s="34" t="str">
        <f>IFERROR(VLOOKUP(tbLOG[[#This Row],[LOGIN]],tbMAPA[#All],2,0), "Não localizado")</f>
        <v>Jefte Soares Da Silva</v>
      </c>
      <c r="F333" s="34" t="str">
        <f>IFERROR(VLOOKUP(tbLOG[[#This Row],[LOGIN]],tbMAPA[#All],3,0), "Não localizado")</f>
        <v>Daniela Andrade Silva</v>
      </c>
      <c r="G333" s="3" t="s">
        <v>1000</v>
      </c>
      <c r="H333" s="3" t="s">
        <v>836</v>
      </c>
    </row>
    <row r="334" spans="1:8">
      <c r="A334" s="29">
        <v>42739.430949074071</v>
      </c>
      <c r="B334" s="29" t="str">
        <f>PROPER(TEXT(tbLOG[[#This Row],[DATA/HORA]],"mmmm"))</f>
        <v>Janeiro</v>
      </c>
      <c r="C334" s="34" t="str">
        <f>PROPER(TEXT(tbLOG[[#This Row],[DATA/HORA]],"dddd"))</f>
        <v>Quarta-Feira</v>
      </c>
      <c r="D334" s="3" t="s">
        <v>300</v>
      </c>
      <c r="E334" s="34" t="str">
        <f>IFERROR(VLOOKUP(tbLOG[[#This Row],[LOGIN]],tbMAPA[#All],2,0), "Não localizado")</f>
        <v>Jefte Soares Da Silva</v>
      </c>
      <c r="F334" s="34" t="str">
        <f>IFERROR(VLOOKUP(tbLOG[[#This Row],[LOGIN]],tbMAPA[#All],3,0), "Não localizado")</f>
        <v>Daniela Andrade Silva</v>
      </c>
      <c r="G334" s="3" t="s">
        <v>1000</v>
      </c>
      <c r="H334" s="3" t="s">
        <v>836</v>
      </c>
    </row>
    <row r="335" spans="1:8">
      <c r="A335" s="29">
        <v>42739.432662037034</v>
      </c>
      <c r="B335" s="29" t="str">
        <f>PROPER(TEXT(tbLOG[[#This Row],[DATA/HORA]],"mmmm"))</f>
        <v>Janeiro</v>
      </c>
      <c r="C335" s="34" t="str">
        <f>PROPER(TEXT(tbLOG[[#This Row],[DATA/HORA]],"dddd"))</f>
        <v>Quarta-Feira</v>
      </c>
      <c r="D335" s="3" t="s">
        <v>300</v>
      </c>
      <c r="E335" s="34" t="str">
        <f>IFERROR(VLOOKUP(tbLOG[[#This Row],[LOGIN]],tbMAPA[#All],2,0), "Não localizado")</f>
        <v>Jefte Soares Da Silva</v>
      </c>
      <c r="F335" s="34" t="str">
        <f>IFERROR(VLOOKUP(tbLOG[[#This Row],[LOGIN]],tbMAPA[#All],3,0), "Não localizado")</f>
        <v>Daniela Andrade Silva</v>
      </c>
      <c r="G335" s="3" t="s">
        <v>1000</v>
      </c>
      <c r="H335" s="3" t="s">
        <v>835</v>
      </c>
    </row>
    <row r="336" spans="1:8">
      <c r="A336" s="29">
        <v>42739.432800925926</v>
      </c>
      <c r="B336" s="29" t="str">
        <f>PROPER(TEXT(tbLOG[[#This Row],[DATA/HORA]],"mmmm"))</f>
        <v>Janeiro</v>
      </c>
      <c r="C336" s="34" t="str">
        <f>PROPER(TEXT(tbLOG[[#This Row],[DATA/HORA]],"dddd"))</f>
        <v>Quarta-Feira</v>
      </c>
      <c r="D336" s="3" t="s">
        <v>300</v>
      </c>
      <c r="E336" s="34" t="str">
        <f>IFERROR(VLOOKUP(tbLOG[[#This Row],[LOGIN]],tbMAPA[#All],2,0), "Não localizado")</f>
        <v>Jefte Soares Da Silva</v>
      </c>
      <c r="F336" s="34" t="str">
        <f>IFERROR(VLOOKUP(tbLOG[[#This Row],[LOGIN]],tbMAPA[#All],3,0), "Não localizado")</f>
        <v>Daniela Andrade Silva</v>
      </c>
      <c r="G336" s="3" t="s">
        <v>1000</v>
      </c>
      <c r="H336" s="3" t="s">
        <v>835</v>
      </c>
    </row>
    <row r="337" spans="1:8">
      <c r="A337" s="29">
        <v>42739.432858796295</v>
      </c>
      <c r="B337" s="29" t="str">
        <f>PROPER(TEXT(tbLOG[[#This Row],[DATA/HORA]],"mmmm"))</f>
        <v>Janeiro</v>
      </c>
      <c r="C337" s="34" t="str">
        <f>PROPER(TEXT(tbLOG[[#This Row],[DATA/HORA]],"dddd"))</f>
        <v>Quarta-Feira</v>
      </c>
      <c r="D337" s="3" t="s">
        <v>300</v>
      </c>
      <c r="E337" s="34" t="str">
        <f>IFERROR(VLOOKUP(tbLOG[[#This Row],[LOGIN]],tbMAPA[#All],2,0), "Não localizado")</f>
        <v>Jefte Soares Da Silva</v>
      </c>
      <c r="F337" s="34" t="str">
        <f>IFERROR(VLOOKUP(tbLOG[[#This Row],[LOGIN]],tbMAPA[#All],3,0), "Não localizado")</f>
        <v>Daniela Andrade Silva</v>
      </c>
      <c r="G337" s="3" t="s">
        <v>1000</v>
      </c>
      <c r="H337" s="3" t="s">
        <v>835</v>
      </c>
    </row>
    <row r="338" spans="1:8">
      <c r="A338" s="29">
        <v>42739.432939814818</v>
      </c>
      <c r="B338" s="29" t="str">
        <f>PROPER(TEXT(tbLOG[[#This Row],[DATA/HORA]],"mmmm"))</f>
        <v>Janeiro</v>
      </c>
      <c r="C338" s="34" t="str">
        <f>PROPER(TEXT(tbLOG[[#This Row],[DATA/HORA]],"dddd"))</f>
        <v>Quarta-Feira</v>
      </c>
      <c r="D338" s="3" t="s">
        <v>300</v>
      </c>
      <c r="E338" s="34" t="str">
        <f>IFERROR(VLOOKUP(tbLOG[[#This Row],[LOGIN]],tbMAPA[#All],2,0), "Não localizado")</f>
        <v>Jefte Soares Da Silva</v>
      </c>
      <c r="F338" s="34" t="str">
        <f>IFERROR(VLOOKUP(tbLOG[[#This Row],[LOGIN]],tbMAPA[#All],3,0), "Não localizado")</f>
        <v>Daniela Andrade Silva</v>
      </c>
      <c r="G338" s="3" t="s">
        <v>1000</v>
      </c>
      <c r="H338" s="3" t="s">
        <v>835</v>
      </c>
    </row>
    <row r="339" spans="1:8">
      <c r="A339" s="29">
        <v>42739.433020833334</v>
      </c>
      <c r="B339" s="29" t="str">
        <f>PROPER(TEXT(tbLOG[[#This Row],[DATA/HORA]],"mmmm"))</f>
        <v>Janeiro</v>
      </c>
      <c r="C339" s="34" t="str">
        <f>PROPER(TEXT(tbLOG[[#This Row],[DATA/HORA]],"dddd"))</f>
        <v>Quarta-Feira</v>
      </c>
      <c r="D339" s="3" t="s">
        <v>300</v>
      </c>
      <c r="E339" s="34" t="str">
        <f>IFERROR(VLOOKUP(tbLOG[[#This Row],[LOGIN]],tbMAPA[#All],2,0), "Não localizado")</f>
        <v>Jefte Soares Da Silva</v>
      </c>
      <c r="F339" s="34" t="str">
        <f>IFERROR(VLOOKUP(tbLOG[[#This Row],[LOGIN]],tbMAPA[#All],3,0), "Não localizado")</f>
        <v>Daniela Andrade Silva</v>
      </c>
      <c r="G339" s="3" t="s">
        <v>1000</v>
      </c>
      <c r="H339" s="3" t="s">
        <v>835</v>
      </c>
    </row>
    <row r="340" spans="1:8">
      <c r="A340" s="29">
        <v>42739.433055555557</v>
      </c>
      <c r="B340" s="29" t="str">
        <f>PROPER(TEXT(tbLOG[[#This Row],[DATA/HORA]],"mmmm"))</f>
        <v>Janeiro</v>
      </c>
      <c r="C340" s="34" t="str">
        <f>PROPER(TEXT(tbLOG[[#This Row],[DATA/HORA]],"dddd"))</f>
        <v>Quarta-Feira</v>
      </c>
      <c r="D340" s="3" t="s">
        <v>300</v>
      </c>
      <c r="E340" s="34" t="str">
        <f>IFERROR(VLOOKUP(tbLOG[[#This Row],[LOGIN]],tbMAPA[#All],2,0), "Não localizado")</f>
        <v>Jefte Soares Da Silva</v>
      </c>
      <c r="F340" s="34" t="str">
        <f>IFERROR(VLOOKUP(tbLOG[[#This Row],[LOGIN]],tbMAPA[#All],3,0), "Não localizado")</f>
        <v>Daniela Andrade Silva</v>
      </c>
      <c r="G340" s="3" t="s">
        <v>1000</v>
      </c>
      <c r="H340" s="3" t="s">
        <v>835</v>
      </c>
    </row>
    <row r="341" spans="1:8">
      <c r="A341" s="29">
        <v>42739.433182870373</v>
      </c>
      <c r="B341" s="29" t="str">
        <f>PROPER(TEXT(tbLOG[[#This Row],[DATA/HORA]],"mmmm"))</f>
        <v>Janeiro</v>
      </c>
      <c r="C341" s="34" t="str">
        <f>PROPER(TEXT(tbLOG[[#This Row],[DATA/HORA]],"dddd"))</f>
        <v>Quarta-Feira</v>
      </c>
      <c r="D341" s="3" t="s">
        <v>300</v>
      </c>
      <c r="E341" s="34" t="str">
        <f>IFERROR(VLOOKUP(tbLOG[[#This Row],[LOGIN]],tbMAPA[#All],2,0), "Não localizado")</f>
        <v>Jefte Soares Da Silva</v>
      </c>
      <c r="F341" s="34" t="str">
        <f>IFERROR(VLOOKUP(tbLOG[[#This Row],[LOGIN]],tbMAPA[#All],3,0), "Não localizado")</f>
        <v>Daniela Andrade Silva</v>
      </c>
      <c r="G341" s="3" t="s">
        <v>1000</v>
      </c>
      <c r="H341" s="3" t="s">
        <v>835</v>
      </c>
    </row>
    <row r="342" spans="1:8">
      <c r="A342" s="29">
        <v>42739.433206018519</v>
      </c>
      <c r="B342" s="29" t="str">
        <f>PROPER(TEXT(tbLOG[[#This Row],[DATA/HORA]],"mmmm"))</f>
        <v>Janeiro</v>
      </c>
      <c r="C342" s="34" t="str">
        <f>PROPER(TEXT(tbLOG[[#This Row],[DATA/HORA]],"dddd"))</f>
        <v>Quarta-Feira</v>
      </c>
      <c r="D342" s="3" t="s">
        <v>300</v>
      </c>
      <c r="E342" s="34" t="str">
        <f>IFERROR(VLOOKUP(tbLOG[[#This Row],[LOGIN]],tbMAPA[#All],2,0), "Não localizado")</f>
        <v>Jefte Soares Da Silva</v>
      </c>
      <c r="F342" s="34" t="str">
        <f>IFERROR(VLOOKUP(tbLOG[[#This Row],[LOGIN]],tbMAPA[#All],3,0), "Não localizado")</f>
        <v>Daniela Andrade Silva</v>
      </c>
      <c r="G342" s="3" t="s">
        <v>1000</v>
      </c>
      <c r="H342" s="3" t="s">
        <v>835</v>
      </c>
    </row>
    <row r="343" spans="1:8">
      <c r="A343" s="29">
        <v>42739.433807870373</v>
      </c>
      <c r="B343" s="29" t="str">
        <f>PROPER(TEXT(tbLOG[[#This Row],[DATA/HORA]],"mmmm"))</f>
        <v>Janeiro</v>
      </c>
      <c r="C343" s="34" t="str">
        <f>PROPER(TEXT(tbLOG[[#This Row],[DATA/HORA]],"dddd"))</f>
        <v>Quarta-Feira</v>
      </c>
      <c r="D343" s="3" t="s">
        <v>300</v>
      </c>
      <c r="E343" s="34" t="str">
        <f>IFERROR(VLOOKUP(tbLOG[[#This Row],[LOGIN]],tbMAPA[#All],2,0), "Não localizado")</f>
        <v>Jefte Soares Da Silva</v>
      </c>
      <c r="F343" s="34" t="str">
        <f>IFERROR(VLOOKUP(tbLOG[[#This Row],[LOGIN]],tbMAPA[#All],3,0), "Não localizado")</f>
        <v>Daniela Andrade Silva</v>
      </c>
      <c r="G343" s="3" t="s">
        <v>1000</v>
      </c>
      <c r="H343" s="3" t="s">
        <v>836</v>
      </c>
    </row>
    <row r="344" spans="1:8">
      <c r="A344" s="29">
        <v>42739.434016203704</v>
      </c>
      <c r="B344" s="29" t="str">
        <f>PROPER(TEXT(tbLOG[[#This Row],[DATA/HORA]],"mmmm"))</f>
        <v>Janeiro</v>
      </c>
      <c r="C344" s="34" t="str">
        <f>PROPER(TEXT(tbLOG[[#This Row],[DATA/HORA]],"dddd"))</f>
        <v>Quarta-Feira</v>
      </c>
      <c r="D344" s="3" t="s">
        <v>300</v>
      </c>
      <c r="E344" s="34" t="str">
        <f>IFERROR(VLOOKUP(tbLOG[[#This Row],[LOGIN]],tbMAPA[#All],2,0), "Não localizado")</f>
        <v>Jefte Soares Da Silva</v>
      </c>
      <c r="F344" s="34" t="str">
        <f>IFERROR(VLOOKUP(tbLOG[[#This Row],[LOGIN]],tbMAPA[#All],3,0), "Não localizado")</f>
        <v>Daniela Andrade Silva</v>
      </c>
      <c r="G344" s="3" t="s">
        <v>1000</v>
      </c>
      <c r="H344" s="3" t="s">
        <v>331</v>
      </c>
    </row>
    <row r="345" spans="1:8">
      <c r="A345" s="29">
        <v>42739.43408564815</v>
      </c>
      <c r="B345" s="29" t="str">
        <f>PROPER(TEXT(tbLOG[[#This Row],[DATA/HORA]],"mmmm"))</f>
        <v>Janeiro</v>
      </c>
      <c r="C345" s="34" t="str">
        <f>PROPER(TEXT(tbLOG[[#This Row],[DATA/HORA]],"dddd"))</f>
        <v>Quarta-Feira</v>
      </c>
      <c r="D345" s="3" t="s">
        <v>300</v>
      </c>
      <c r="E345" s="34" t="str">
        <f>IFERROR(VLOOKUP(tbLOG[[#This Row],[LOGIN]],tbMAPA[#All],2,0), "Não localizado")</f>
        <v>Jefte Soares Da Silva</v>
      </c>
      <c r="F345" s="34" t="str">
        <f>IFERROR(VLOOKUP(tbLOG[[#This Row],[LOGIN]],tbMAPA[#All],3,0), "Não localizado")</f>
        <v>Daniela Andrade Silva</v>
      </c>
      <c r="G345" s="3" t="s">
        <v>1000</v>
      </c>
      <c r="H345" s="3" t="s">
        <v>331</v>
      </c>
    </row>
    <row r="346" spans="1:8">
      <c r="A346" s="29">
        <v>42739.434212962966</v>
      </c>
      <c r="B346" s="29" t="str">
        <f>PROPER(TEXT(tbLOG[[#This Row],[DATA/HORA]],"mmmm"))</f>
        <v>Janeiro</v>
      </c>
      <c r="C346" s="34" t="str">
        <f>PROPER(TEXT(tbLOG[[#This Row],[DATA/HORA]],"dddd"))</f>
        <v>Quarta-Feira</v>
      </c>
      <c r="D346" s="3" t="s">
        <v>300</v>
      </c>
      <c r="E346" s="34" t="str">
        <f>IFERROR(VLOOKUP(tbLOG[[#This Row],[LOGIN]],tbMAPA[#All],2,0), "Não localizado")</f>
        <v>Jefte Soares Da Silva</v>
      </c>
      <c r="F346" s="34" t="str">
        <f>IFERROR(VLOOKUP(tbLOG[[#This Row],[LOGIN]],tbMAPA[#All],3,0), "Não localizado")</f>
        <v>Daniela Andrade Silva</v>
      </c>
      <c r="G346" s="3" t="s">
        <v>1000</v>
      </c>
      <c r="H346" s="3" t="s">
        <v>331</v>
      </c>
    </row>
    <row r="347" spans="1:8">
      <c r="A347" s="29">
        <v>42739.434282407405</v>
      </c>
      <c r="B347" s="29" t="str">
        <f>PROPER(TEXT(tbLOG[[#This Row],[DATA/HORA]],"mmmm"))</f>
        <v>Janeiro</v>
      </c>
      <c r="C347" s="34" t="str">
        <f>PROPER(TEXT(tbLOG[[#This Row],[DATA/HORA]],"dddd"))</f>
        <v>Quarta-Feira</v>
      </c>
      <c r="D347" s="3" t="s">
        <v>300</v>
      </c>
      <c r="E347" s="34" t="str">
        <f>IFERROR(VLOOKUP(tbLOG[[#This Row],[LOGIN]],tbMAPA[#All],2,0), "Não localizado")</f>
        <v>Jefte Soares Da Silva</v>
      </c>
      <c r="F347" s="34" t="str">
        <f>IFERROR(VLOOKUP(tbLOG[[#This Row],[LOGIN]],tbMAPA[#All],3,0), "Não localizado")</f>
        <v>Daniela Andrade Silva</v>
      </c>
      <c r="G347" s="3" t="s">
        <v>1000</v>
      </c>
      <c r="H347" s="3" t="s">
        <v>331</v>
      </c>
    </row>
    <row r="348" spans="1:8">
      <c r="A348" s="29">
        <v>42739.434467592589</v>
      </c>
      <c r="B348" s="29" t="str">
        <f>PROPER(TEXT(tbLOG[[#This Row],[DATA/HORA]],"mmmm"))</f>
        <v>Janeiro</v>
      </c>
      <c r="C348" s="34" t="str">
        <f>PROPER(TEXT(tbLOG[[#This Row],[DATA/HORA]],"dddd"))</f>
        <v>Quarta-Feira</v>
      </c>
      <c r="D348" s="3" t="s">
        <v>300</v>
      </c>
      <c r="E348" s="34" t="str">
        <f>IFERROR(VLOOKUP(tbLOG[[#This Row],[LOGIN]],tbMAPA[#All],2,0), "Não localizado")</f>
        <v>Jefte Soares Da Silva</v>
      </c>
      <c r="F348" s="34" t="str">
        <f>IFERROR(VLOOKUP(tbLOG[[#This Row],[LOGIN]],tbMAPA[#All],3,0), "Não localizado")</f>
        <v>Daniela Andrade Silva</v>
      </c>
      <c r="G348" s="3" t="s">
        <v>1000</v>
      </c>
      <c r="H348" s="3" t="s">
        <v>331</v>
      </c>
    </row>
    <row r="349" spans="1:8">
      <c r="A349" s="29">
        <v>42739.434861111113</v>
      </c>
      <c r="B349" s="29" t="str">
        <f>PROPER(TEXT(tbLOG[[#This Row],[DATA/HORA]],"mmmm"))</f>
        <v>Janeiro</v>
      </c>
      <c r="C349" s="34" t="str">
        <f>PROPER(TEXT(tbLOG[[#This Row],[DATA/HORA]],"dddd"))</f>
        <v>Quarta-Feira</v>
      </c>
      <c r="D349" s="3" t="s">
        <v>300</v>
      </c>
      <c r="E349" s="34" t="str">
        <f>IFERROR(VLOOKUP(tbLOG[[#This Row],[LOGIN]],tbMAPA[#All],2,0), "Não localizado")</f>
        <v>Jefte Soares Da Silva</v>
      </c>
      <c r="F349" s="34" t="str">
        <f>IFERROR(VLOOKUP(tbLOG[[#This Row],[LOGIN]],tbMAPA[#All],3,0), "Não localizado")</f>
        <v>Daniela Andrade Silva</v>
      </c>
      <c r="G349" s="3" t="s">
        <v>1000</v>
      </c>
      <c r="H349" s="3" t="s">
        <v>290</v>
      </c>
    </row>
    <row r="350" spans="1:8">
      <c r="A350" s="29">
        <v>42739.434895833336</v>
      </c>
      <c r="B350" s="29" t="str">
        <f>PROPER(TEXT(tbLOG[[#This Row],[DATA/HORA]],"mmmm"))</f>
        <v>Janeiro</v>
      </c>
      <c r="C350" s="34" t="str">
        <f>PROPER(TEXT(tbLOG[[#This Row],[DATA/HORA]],"dddd"))</f>
        <v>Quarta-Feira</v>
      </c>
      <c r="D350" s="3" t="s">
        <v>300</v>
      </c>
      <c r="E350" s="34" t="str">
        <f>IFERROR(VLOOKUP(tbLOG[[#This Row],[LOGIN]],tbMAPA[#All],2,0), "Não localizado")</f>
        <v>Jefte Soares Da Silva</v>
      </c>
      <c r="F350" s="34" t="str">
        <f>IFERROR(VLOOKUP(tbLOG[[#This Row],[LOGIN]],tbMAPA[#All],3,0), "Não localizado")</f>
        <v>Daniela Andrade Silva</v>
      </c>
      <c r="G350" s="3" t="s">
        <v>1000</v>
      </c>
      <c r="H350" s="3" t="s">
        <v>290</v>
      </c>
    </row>
    <row r="351" spans="1:8">
      <c r="A351" s="29">
        <v>42739.43513888889</v>
      </c>
      <c r="B351" s="29" t="str">
        <f>PROPER(TEXT(tbLOG[[#This Row],[DATA/HORA]],"mmmm"))</f>
        <v>Janeiro</v>
      </c>
      <c r="C351" s="34" t="str">
        <f>PROPER(TEXT(tbLOG[[#This Row],[DATA/HORA]],"dddd"))</f>
        <v>Quarta-Feira</v>
      </c>
      <c r="D351" s="3" t="s">
        <v>300</v>
      </c>
      <c r="E351" s="34" t="str">
        <f>IFERROR(VLOOKUP(tbLOG[[#This Row],[LOGIN]],tbMAPA[#All],2,0), "Não localizado")</f>
        <v>Jefte Soares Da Silva</v>
      </c>
      <c r="F351" s="34" t="str">
        <f>IFERROR(VLOOKUP(tbLOG[[#This Row],[LOGIN]],tbMAPA[#All],3,0), "Não localizado")</f>
        <v>Daniela Andrade Silva</v>
      </c>
      <c r="G351" s="3" t="s">
        <v>1000</v>
      </c>
      <c r="H351" s="3" t="s">
        <v>290</v>
      </c>
    </row>
    <row r="352" spans="1:8">
      <c r="A352" s="29">
        <v>42739.435173611113</v>
      </c>
      <c r="B352" s="29" t="str">
        <f>PROPER(TEXT(tbLOG[[#This Row],[DATA/HORA]],"mmmm"))</f>
        <v>Janeiro</v>
      </c>
      <c r="C352" s="34" t="str">
        <f>PROPER(TEXT(tbLOG[[#This Row],[DATA/HORA]],"dddd"))</f>
        <v>Quarta-Feira</v>
      </c>
      <c r="D352" s="3" t="s">
        <v>300</v>
      </c>
      <c r="E352" s="34" t="str">
        <f>IFERROR(VLOOKUP(tbLOG[[#This Row],[LOGIN]],tbMAPA[#All],2,0), "Não localizado")</f>
        <v>Jefte Soares Da Silva</v>
      </c>
      <c r="F352" s="34" t="str">
        <f>IFERROR(VLOOKUP(tbLOG[[#This Row],[LOGIN]],tbMAPA[#All],3,0), "Não localizado")</f>
        <v>Daniela Andrade Silva</v>
      </c>
      <c r="G352" s="3" t="s">
        <v>1000</v>
      </c>
      <c r="H352" s="3" t="s">
        <v>291</v>
      </c>
    </row>
    <row r="353" spans="1:8">
      <c r="A353" s="29">
        <v>42739.435173611113</v>
      </c>
      <c r="B353" s="29" t="str">
        <f>PROPER(TEXT(tbLOG[[#This Row],[DATA/HORA]],"mmmm"))</f>
        <v>Janeiro</v>
      </c>
      <c r="C353" s="34" t="str">
        <f>PROPER(TEXT(tbLOG[[#This Row],[DATA/HORA]],"dddd"))</f>
        <v>Quarta-Feira</v>
      </c>
      <c r="D353" s="3" t="s">
        <v>300</v>
      </c>
      <c r="E353" s="34" t="str">
        <f>IFERROR(VLOOKUP(tbLOG[[#This Row],[LOGIN]],tbMAPA[#All],2,0), "Não localizado")</f>
        <v>Jefte Soares Da Silva</v>
      </c>
      <c r="F353" s="34" t="str">
        <f>IFERROR(VLOOKUP(tbLOG[[#This Row],[LOGIN]],tbMAPA[#All],3,0), "Não localizado")</f>
        <v>Daniela Andrade Silva</v>
      </c>
      <c r="G353" s="3" t="s">
        <v>1000</v>
      </c>
      <c r="H353" s="3" t="s">
        <v>290</v>
      </c>
    </row>
    <row r="354" spans="1:8">
      <c r="A354" s="29">
        <v>42739.435752314814</v>
      </c>
      <c r="B354" s="29" t="str">
        <f>PROPER(TEXT(tbLOG[[#This Row],[DATA/HORA]],"mmmm"))</f>
        <v>Janeiro</v>
      </c>
      <c r="C354" s="34" t="str">
        <f>PROPER(TEXT(tbLOG[[#This Row],[DATA/HORA]],"dddd"))</f>
        <v>Quarta-Feira</v>
      </c>
      <c r="D354" s="3" t="s">
        <v>604</v>
      </c>
      <c r="E354" s="34" t="str">
        <f>IFERROR(VLOOKUP(tbLOG[[#This Row],[LOGIN]],tbMAPA[#All],2,0), "Não localizado")</f>
        <v>Renan Cazumba Tegani</v>
      </c>
      <c r="F354" s="34" t="str">
        <f>IFERROR(VLOOKUP(tbLOG[[#This Row],[LOGIN]],tbMAPA[#All],3,0), "Não localizado")</f>
        <v>Reginaldo Santana De Souza</v>
      </c>
      <c r="G354" s="3" t="s">
        <v>1211</v>
      </c>
      <c r="H354" s="3" t="s">
        <v>994</v>
      </c>
    </row>
    <row r="355" spans="1:8">
      <c r="A355" s="29">
        <v>42739.435983796298</v>
      </c>
      <c r="B355" s="29" t="str">
        <f>PROPER(TEXT(tbLOG[[#This Row],[DATA/HORA]],"mmmm"))</f>
        <v>Janeiro</v>
      </c>
      <c r="C355" s="34" t="str">
        <f>PROPER(TEXT(tbLOG[[#This Row],[DATA/HORA]],"dddd"))</f>
        <v>Quarta-Feira</v>
      </c>
      <c r="D355" s="3" t="s">
        <v>604</v>
      </c>
      <c r="E355" s="34" t="str">
        <f>IFERROR(VLOOKUP(tbLOG[[#This Row],[LOGIN]],tbMAPA[#All],2,0), "Não localizado")</f>
        <v>Renan Cazumba Tegani</v>
      </c>
      <c r="F355" s="34" t="str">
        <f>IFERROR(VLOOKUP(tbLOG[[#This Row],[LOGIN]],tbMAPA[#All],3,0), "Não localizado")</f>
        <v>Reginaldo Santana De Souza</v>
      </c>
      <c r="G355" s="3" t="s">
        <v>1211</v>
      </c>
      <c r="H355" s="3" t="s">
        <v>836</v>
      </c>
    </row>
    <row r="356" spans="1:8">
      <c r="A356" s="29">
        <v>42739.436111111114</v>
      </c>
      <c r="B356" s="29" t="str">
        <f>PROPER(TEXT(tbLOG[[#This Row],[DATA/HORA]],"mmmm"))</f>
        <v>Janeiro</v>
      </c>
      <c r="C356" s="34" t="str">
        <f>PROPER(TEXT(tbLOG[[#This Row],[DATA/HORA]],"dddd"))</f>
        <v>Quarta-Feira</v>
      </c>
      <c r="D356" s="3" t="s">
        <v>604</v>
      </c>
      <c r="E356" s="34" t="str">
        <f>IFERROR(VLOOKUP(tbLOG[[#This Row],[LOGIN]],tbMAPA[#All],2,0), "Não localizado")</f>
        <v>Renan Cazumba Tegani</v>
      </c>
      <c r="F356" s="34" t="str">
        <f>IFERROR(VLOOKUP(tbLOG[[#This Row],[LOGIN]],tbMAPA[#All],3,0), "Não localizado")</f>
        <v>Reginaldo Santana De Souza</v>
      </c>
      <c r="G356" s="3" t="s">
        <v>1211</v>
      </c>
      <c r="H356" s="3" t="s">
        <v>836</v>
      </c>
    </row>
    <row r="357" spans="1:8">
      <c r="A357" s="29">
        <v>42739.436145833337</v>
      </c>
      <c r="B357" s="29" t="str">
        <f>PROPER(TEXT(tbLOG[[#This Row],[DATA/HORA]],"mmmm"))</f>
        <v>Janeiro</v>
      </c>
      <c r="C357" s="34" t="str">
        <f>PROPER(TEXT(tbLOG[[#This Row],[DATA/HORA]],"dddd"))</f>
        <v>Quarta-Feira</v>
      </c>
      <c r="D357" s="3" t="s">
        <v>604</v>
      </c>
      <c r="E357" s="34" t="str">
        <f>IFERROR(VLOOKUP(tbLOG[[#This Row],[LOGIN]],tbMAPA[#All],2,0), "Não localizado")</f>
        <v>Renan Cazumba Tegani</v>
      </c>
      <c r="F357" s="34" t="str">
        <f>IFERROR(VLOOKUP(tbLOG[[#This Row],[LOGIN]],tbMAPA[#All],3,0), "Não localizado")</f>
        <v>Reginaldo Santana De Souza</v>
      </c>
      <c r="G357" s="3" t="s">
        <v>1211</v>
      </c>
      <c r="H357" s="3" t="s">
        <v>290</v>
      </c>
    </row>
    <row r="358" spans="1:8">
      <c r="A358" s="29">
        <v>42739.436493055553</v>
      </c>
      <c r="B358" s="29" t="str">
        <f>PROPER(TEXT(tbLOG[[#This Row],[DATA/HORA]],"mmmm"))</f>
        <v>Janeiro</v>
      </c>
      <c r="C358" s="34" t="str">
        <f>PROPER(TEXT(tbLOG[[#This Row],[DATA/HORA]],"dddd"))</f>
        <v>Quarta-Feira</v>
      </c>
      <c r="D358" s="3" t="s">
        <v>604</v>
      </c>
      <c r="E358" s="34" t="str">
        <f>IFERROR(VLOOKUP(tbLOG[[#This Row],[LOGIN]],tbMAPA[#All],2,0), "Não localizado")</f>
        <v>Renan Cazumba Tegani</v>
      </c>
      <c r="F358" s="34" t="str">
        <f>IFERROR(VLOOKUP(tbLOG[[#This Row],[LOGIN]],tbMAPA[#All],3,0), "Não localizado")</f>
        <v>Reginaldo Santana De Souza</v>
      </c>
      <c r="G358" s="3" t="s">
        <v>1211</v>
      </c>
      <c r="H358" s="3" t="s">
        <v>309</v>
      </c>
    </row>
    <row r="359" spans="1:8">
      <c r="A359" s="29">
        <v>42739.436493055553</v>
      </c>
      <c r="B359" s="29" t="str">
        <f>PROPER(TEXT(tbLOG[[#This Row],[DATA/HORA]],"mmmm"))</f>
        <v>Janeiro</v>
      </c>
      <c r="C359" s="34" t="str">
        <f>PROPER(TEXT(tbLOG[[#This Row],[DATA/HORA]],"dddd"))</f>
        <v>Quarta-Feira</v>
      </c>
      <c r="D359" s="3" t="s">
        <v>604</v>
      </c>
      <c r="E359" s="34" t="str">
        <f>IFERROR(VLOOKUP(tbLOG[[#This Row],[LOGIN]],tbMAPA[#All],2,0), "Não localizado")</f>
        <v>Renan Cazumba Tegani</v>
      </c>
      <c r="F359" s="34" t="str">
        <f>IFERROR(VLOOKUP(tbLOG[[#This Row],[LOGIN]],tbMAPA[#All],3,0), "Não localizado")</f>
        <v>Reginaldo Santana De Souza</v>
      </c>
      <c r="G359" s="3" t="s">
        <v>1211</v>
      </c>
      <c r="H359" s="3" t="s">
        <v>310</v>
      </c>
    </row>
    <row r="360" spans="1:8">
      <c r="A360" s="29">
        <v>42739.436527777776</v>
      </c>
      <c r="B360" s="29" t="str">
        <f>PROPER(TEXT(tbLOG[[#This Row],[DATA/HORA]],"mmmm"))</f>
        <v>Janeiro</v>
      </c>
      <c r="C360" s="34" t="str">
        <f>PROPER(TEXT(tbLOG[[#This Row],[DATA/HORA]],"dddd"))</f>
        <v>Quarta-Feira</v>
      </c>
      <c r="D360" s="3" t="s">
        <v>604</v>
      </c>
      <c r="E360" s="34" t="str">
        <f>IFERROR(VLOOKUP(tbLOG[[#This Row],[LOGIN]],tbMAPA[#All],2,0), "Não localizado")</f>
        <v>Renan Cazumba Tegani</v>
      </c>
      <c r="F360" s="34" t="str">
        <f>IFERROR(VLOOKUP(tbLOG[[#This Row],[LOGIN]],tbMAPA[#All],3,0), "Não localizado")</f>
        <v>Reginaldo Santana De Souza</v>
      </c>
      <c r="G360" s="3" t="s">
        <v>1211</v>
      </c>
      <c r="H360" s="3" t="s">
        <v>309</v>
      </c>
    </row>
    <row r="361" spans="1:8">
      <c r="A361" s="29">
        <v>42739.436527777776</v>
      </c>
      <c r="B361" s="29" t="str">
        <f>PROPER(TEXT(tbLOG[[#This Row],[DATA/HORA]],"mmmm"))</f>
        <v>Janeiro</v>
      </c>
      <c r="C361" s="34" t="str">
        <f>PROPER(TEXT(tbLOG[[#This Row],[DATA/HORA]],"dddd"))</f>
        <v>Quarta-Feira</v>
      </c>
      <c r="D361" s="3" t="s">
        <v>604</v>
      </c>
      <c r="E361" s="34" t="str">
        <f>IFERROR(VLOOKUP(tbLOG[[#This Row],[LOGIN]],tbMAPA[#All],2,0), "Não localizado")</f>
        <v>Renan Cazumba Tegani</v>
      </c>
      <c r="F361" s="34" t="str">
        <f>IFERROR(VLOOKUP(tbLOG[[#This Row],[LOGIN]],tbMAPA[#All],3,0), "Não localizado")</f>
        <v>Reginaldo Santana De Souza</v>
      </c>
      <c r="G361" s="3" t="s">
        <v>1211</v>
      </c>
      <c r="H361" s="3" t="s">
        <v>309</v>
      </c>
    </row>
    <row r="362" spans="1:8">
      <c r="A362" s="29">
        <v>42739.436527777776</v>
      </c>
      <c r="B362" s="29" t="str">
        <f>PROPER(TEXT(tbLOG[[#This Row],[DATA/HORA]],"mmmm"))</f>
        <v>Janeiro</v>
      </c>
      <c r="C362" s="34" t="str">
        <f>PROPER(TEXT(tbLOG[[#This Row],[DATA/HORA]],"dddd"))</f>
        <v>Quarta-Feira</v>
      </c>
      <c r="D362" s="3" t="s">
        <v>604</v>
      </c>
      <c r="E362" s="34" t="str">
        <f>IFERROR(VLOOKUP(tbLOG[[#This Row],[LOGIN]],tbMAPA[#All],2,0), "Não localizado")</f>
        <v>Renan Cazumba Tegani</v>
      </c>
      <c r="F362" s="34" t="str">
        <f>IFERROR(VLOOKUP(tbLOG[[#This Row],[LOGIN]],tbMAPA[#All],3,0), "Não localizado")</f>
        <v>Reginaldo Santana De Souza</v>
      </c>
      <c r="G362" s="3" t="s">
        <v>1211</v>
      </c>
      <c r="H362" s="3" t="s">
        <v>314</v>
      </c>
    </row>
    <row r="363" spans="1:8">
      <c r="A363" s="29">
        <v>42739.445868055554</v>
      </c>
      <c r="B363" s="29" t="str">
        <f>PROPER(TEXT(tbLOG[[#This Row],[DATA/HORA]],"mmmm"))</f>
        <v>Janeiro</v>
      </c>
      <c r="C363" s="34" t="str">
        <f>PROPER(TEXT(tbLOG[[#This Row],[DATA/HORA]],"dddd"))</f>
        <v>Quarta-Feira</v>
      </c>
      <c r="D363" s="3" t="s">
        <v>604</v>
      </c>
      <c r="E363" s="34" t="str">
        <f>IFERROR(VLOOKUP(tbLOG[[#This Row],[LOGIN]],tbMAPA[#All],2,0), "Não localizado")</f>
        <v>Renan Cazumba Tegani</v>
      </c>
      <c r="F363" s="34" t="str">
        <f>IFERROR(VLOOKUP(tbLOG[[#This Row],[LOGIN]],tbMAPA[#All],3,0), "Não localizado")</f>
        <v>Reginaldo Santana De Souza</v>
      </c>
      <c r="G363" s="3" t="s">
        <v>1211</v>
      </c>
      <c r="H363" s="3" t="s">
        <v>836</v>
      </c>
    </row>
    <row r="364" spans="1:8">
      <c r="A364" s="29">
        <v>42739.445983796293</v>
      </c>
      <c r="B364" s="29" t="str">
        <f>PROPER(TEXT(tbLOG[[#This Row],[DATA/HORA]],"mmmm"))</f>
        <v>Janeiro</v>
      </c>
      <c r="C364" s="34" t="str">
        <f>PROPER(TEXT(tbLOG[[#This Row],[DATA/HORA]],"dddd"))</f>
        <v>Quarta-Feira</v>
      </c>
      <c r="D364" s="3" t="s">
        <v>604</v>
      </c>
      <c r="E364" s="34" t="str">
        <f>IFERROR(VLOOKUP(tbLOG[[#This Row],[LOGIN]],tbMAPA[#All],2,0), "Não localizado")</f>
        <v>Renan Cazumba Tegani</v>
      </c>
      <c r="F364" s="34" t="str">
        <f>IFERROR(VLOOKUP(tbLOG[[#This Row],[LOGIN]],tbMAPA[#All],3,0), "Não localizado")</f>
        <v>Reginaldo Santana De Souza</v>
      </c>
      <c r="G364" s="3" t="s">
        <v>1211</v>
      </c>
      <c r="H364" s="3" t="s">
        <v>836</v>
      </c>
    </row>
    <row r="365" spans="1:8">
      <c r="A365" s="29">
        <v>42739.448506944442</v>
      </c>
      <c r="B365" s="29" t="str">
        <f>PROPER(TEXT(tbLOG[[#This Row],[DATA/HORA]],"mmmm"))</f>
        <v>Janeiro</v>
      </c>
      <c r="C365" s="34" t="str">
        <f>PROPER(TEXT(tbLOG[[#This Row],[DATA/HORA]],"dddd"))</f>
        <v>Quarta-Feira</v>
      </c>
      <c r="D365" s="3" t="s">
        <v>604</v>
      </c>
      <c r="E365" s="34" t="str">
        <f>IFERROR(VLOOKUP(tbLOG[[#This Row],[LOGIN]],tbMAPA[#All],2,0), "Não localizado")</f>
        <v>Renan Cazumba Tegani</v>
      </c>
      <c r="F365" s="34" t="str">
        <f>IFERROR(VLOOKUP(tbLOG[[#This Row],[LOGIN]],tbMAPA[#All],3,0), "Não localizado")</f>
        <v>Reginaldo Santana De Souza</v>
      </c>
      <c r="G365" s="3" t="s">
        <v>1211</v>
      </c>
      <c r="H365" s="3" t="s">
        <v>836</v>
      </c>
    </row>
    <row r="366" spans="1:8">
      <c r="A366" s="29">
        <v>42739.448541666665</v>
      </c>
      <c r="B366" s="29" t="str">
        <f>PROPER(TEXT(tbLOG[[#This Row],[DATA/HORA]],"mmmm"))</f>
        <v>Janeiro</v>
      </c>
      <c r="C366" s="34" t="str">
        <f>PROPER(TEXT(tbLOG[[#This Row],[DATA/HORA]],"dddd"))</f>
        <v>Quarta-Feira</v>
      </c>
      <c r="D366" s="3" t="s">
        <v>604</v>
      </c>
      <c r="E366" s="34" t="str">
        <f>IFERROR(VLOOKUP(tbLOG[[#This Row],[LOGIN]],tbMAPA[#All],2,0), "Não localizado")</f>
        <v>Renan Cazumba Tegani</v>
      </c>
      <c r="F366" s="34" t="str">
        <f>IFERROR(VLOOKUP(tbLOG[[#This Row],[LOGIN]],tbMAPA[#All],3,0), "Não localizado")</f>
        <v>Reginaldo Santana De Souza</v>
      </c>
      <c r="G366" s="3" t="s">
        <v>1211</v>
      </c>
      <c r="H366" s="3" t="s">
        <v>836</v>
      </c>
    </row>
    <row r="367" spans="1:8">
      <c r="A367" s="29">
        <v>42739.448564814818</v>
      </c>
      <c r="B367" s="29" t="str">
        <f>PROPER(TEXT(tbLOG[[#This Row],[DATA/HORA]],"mmmm"))</f>
        <v>Janeiro</v>
      </c>
      <c r="C367" s="34" t="str">
        <f>PROPER(TEXT(tbLOG[[#This Row],[DATA/HORA]],"dddd"))</f>
        <v>Quarta-Feira</v>
      </c>
      <c r="D367" s="3" t="s">
        <v>604</v>
      </c>
      <c r="E367" s="34" t="str">
        <f>IFERROR(VLOOKUP(tbLOG[[#This Row],[LOGIN]],tbMAPA[#All],2,0), "Não localizado")</f>
        <v>Renan Cazumba Tegani</v>
      </c>
      <c r="F367" s="34" t="str">
        <f>IFERROR(VLOOKUP(tbLOG[[#This Row],[LOGIN]],tbMAPA[#All],3,0), "Não localizado")</f>
        <v>Reginaldo Santana De Souza</v>
      </c>
      <c r="G367" s="3" t="s">
        <v>1211</v>
      </c>
      <c r="H367" s="3" t="s">
        <v>836</v>
      </c>
    </row>
    <row r="368" spans="1:8">
      <c r="A368" s="29">
        <v>42739.448611111111</v>
      </c>
      <c r="B368" s="29" t="str">
        <f>PROPER(TEXT(tbLOG[[#This Row],[DATA/HORA]],"mmmm"))</f>
        <v>Janeiro</v>
      </c>
      <c r="C368" s="34" t="str">
        <f>PROPER(TEXT(tbLOG[[#This Row],[DATA/HORA]],"dddd"))</f>
        <v>Quarta-Feira</v>
      </c>
      <c r="D368" s="3" t="s">
        <v>604</v>
      </c>
      <c r="E368" s="34" t="str">
        <f>IFERROR(VLOOKUP(tbLOG[[#This Row],[LOGIN]],tbMAPA[#All],2,0), "Não localizado")</f>
        <v>Renan Cazumba Tegani</v>
      </c>
      <c r="F368" s="34" t="str">
        <f>IFERROR(VLOOKUP(tbLOG[[#This Row],[LOGIN]],tbMAPA[#All],3,0), "Não localizado")</f>
        <v>Reginaldo Santana De Souza</v>
      </c>
      <c r="G368" s="3" t="s">
        <v>1211</v>
      </c>
      <c r="H368" s="3" t="s">
        <v>836</v>
      </c>
    </row>
    <row r="369" spans="1:8">
      <c r="A369" s="29">
        <v>42739.451909722222</v>
      </c>
      <c r="B369" s="29" t="str">
        <f>PROPER(TEXT(tbLOG[[#This Row],[DATA/HORA]],"mmmm"))</f>
        <v>Janeiro</v>
      </c>
      <c r="C369" s="34" t="str">
        <f>PROPER(TEXT(tbLOG[[#This Row],[DATA/HORA]],"dddd"))</f>
        <v>Quarta-Feira</v>
      </c>
      <c r="D369" s="3" t="s">
        <v>604</v>
      </c>
      <c r="E369" s="34" t="str">
        <f>IFERROR(VLOOKUP(tbLOG[[#This Row],[LOGIN]],tbMAPA[#All],2,0), "Não localizado")</f>
        <v>Renan Cazumba Tegani</v>
      </c>
      <c r="F369" s="34" t="str">
        <f>IFERROR(VLOOKUP(tbLOG[[#This Row],[LOGIN]],tbMAPA[#All],3,0), "Não localizado")</f>
        <v>Reginaldo Santana De Souza</v>
      </c>
      <c r="G369" s="3" t="s">
        <v>1211</v>
      </c>
      <c r="H369" s="3" t="s">
        <v>836</v>
      </c>
    </row>
    <row r="370" spans="1:8">
      <c r="A370" s="29">
        <v>42739.451944444445</v>
      </c>
      <c r="B370" s="29" t="str">
        <f>PROPER(TEXT(tbLOG[[#This Row],[DATA/HORA]],"mmmm"))</f>
        <v>Janeiro</v>
      </c>
      <c r="C370" s="34" t="str">
        <f>PROPER(TEXT(tbLOG[[#This Row],[DATA/HORA]],"dddd"))</f>
        <v>Quarta-Feira</v>
      </c>
      <c r="D370" s="3" t="s">
        <v>604</v>
      </c>
      <c r="E370" s="34" t="str">
        <f>IFERROR(VLOOKUP(tbLOG[[#This Row],[LOGIN]],tbMAPA[#All],2,0), "Não localizado")</f>
        <v>Renan Cazumba Tegani</v>
      </c>
      <c r="F370" s="34" t="str">
        <f>IFERROR(VLOOKUP(tbLOG[[#This Row],[LOGIN]],tbMAPA[#All],3,0), "Não localizado")</f>
        <v>Reginaldo Santana De Souza</v>
      </c>
      <c r="G370" s="3" t="s">
        <v>1211</v>
      </c>
      <c r="H370" s="3" t="s">
        <v>836</v>
      </c>
    </row>
    <row r="371" spans="1:8">
      <c r="A371" s="29">
        <v>42739.451990740738</v>
      </c>
      <c r="B371" s="29" t="str">
        <f>PROPER(TEXT(tbLOG[[#This Row],[DATA/HORA]],"mmmm"))</f>
        <v>Janeiro</v>
      </c>
      <c r="C371" s="34" t="str">
        <f>PROPER(TEXT(tbLOG[[#This Row],[DATA/HORA]],"dddd"))</f>
        <v>Quarta-Feira</v>
      </c>
      <c r="D371" s="3" t="s">
        <v>604</v>
      </c>
      <c r="E371" s="34" t="str">
        <f>IFERROR(VLOOKUP(tbLOG[[#This Row],[LOGIN]],tbMAPA[#All],2,0), "Não localizado")</f>
        <v>Renan Cazumba Tegani</v>
      </c>
      <c r="F371" s="34" t="str">
        <f>IFERROR(VLOOKUP(tbLOG[[#This Row],[LOGIN]],tbMAPA[#All],3,0), "Não localizado")</f>
        <v>Reginaldo Santana De Souza</v>
      </c>
      <c r="G371" s="3" t="s">
        <v>1211</v>
      </c>
      <c r="H371" s="3" t="s">
        <v>836</v>
      </c>
    </row>
    <row r="372" spans="1:8">
      <c r="A372" s="29">
        <v>42739.454085648147</v>
      </c>
      <c r="B372" s="29" t="str">
        <f>PROPER(TEXT(tbLOG[[#This Row],[DATA/HORA]],"mmmm"))</f>
        <v>Janeiro</v>
      </c>
      <c r="C372" s="34" t="str">
        <f>PROPER(TEXT(tbLOG[[#This Row],[DATA/HORA]],"dddd"))</f>
        <v>Quarta-Feira</v>
      </c>
      <c r="D372" s="3" t="s">
        <v>604</v>
      </c>
      <c r="E372" s="34" t="str">
        <f>IFERROR(VLOOKUP(tbLOG[[#This Row],[LOGIN]],tbMAPA[#All],2,0), "Não localizado")</f>
        <v>Renan Cazumba Tegani</v>
      </c>
      <c r="F372" s="34" t="str">
        <f>IFERROR(VLOOKUP(tbLOG[[#This Row],[LOGIN]],tbMAPA[#All],3,0), "Não localizado")</f>
        <v>Reginaldo Santana De Souza</v>
      </c>
      <c r="G372" s="3" t="s">
        <v>1211</v>
      </c>
      <c r="H372" s="3" t="s">
        <v>836</v>
      </c>
    </row>
    <row r="373" spans="1:8">
      <c r="A373" s="29">
        <v>42739.454097222224</v>
      </c>
      <c r="B373" s="29" t="str">
        <f>PROPER(TEXT(tbLOG[[#This Row],[DATA/HORA]],"mmmm"))</f>
        <v>Janeiro</v>
      </c>
      <c r="C373" s="34" t="str">
        <f>PROPER(TEXT(tbLOG[[#This Row],[DATA/HORA]],"dddd"))</f>
        <v>Quarta-Feira</v>
      </c>
      <c r="D373" s="3" t="s">
        <v>604</v>
      </c>
      <c r="E373" s="34" t="str">
        <f>IFERROR(VLOOKUP(tbLOG[[#This Row],[LOGIN]],tbMAPA[#All],2,0), "Não localizado")</f>
        <v>Renan Cazumba Tegani</v>
      </c>
      <c r="F373" s="34" t="str">
        <f>IFERROR(VLOOKUP(tbLOG[[#This Row],[LOGIN]],tbMAPA[#All],3,0), "Não localizado")</f>
        <v>Reginaldo Santana De Souza</v>
      </c>
      <c r="G373" s="3" t="s">
        <v>1211</v>
      </c>
      <c r="H373" s="3" t="s">
        <v>836</v>
      </c>
    </row>
    <row r="374" spans="1:8">
      <c r="A374" s="29">
        <v>42739.45416666667</v>
      </c>
      <c r="B374" s="29" t="str">
        <f>PROPER(TEXT(tbLOG[[#This Row],[DATA/HORA]],"mmmm"))</f>
        <v>Janeiro</v>
      </c>
      <c r="C374" s="34" t="str">
        <f>PROPER(TEXT(tbLOG[[#This Row],[DATA/HORA]],"dddd"))</f>
        <v>Quarta-Feira</v>
      </c>
      <c r="D374" s="3" t="s">
        <v>604</v>
      </c>
      <c r="E374" s="34" t="str">
        <f>IFERROR(VLOOKUP(tbLOG[[#This Row],[LOGIN]],tbMAPA[#All],2,0), "Não localizado")</f>
        <v>Renan Cazumba Tegani</v>
      </c>
      <c r="F374" s="34" t="str">
        <f>IFERROR(VLOOKUP(tbLOG[[#This Row],[LOGIN]],tbMAPA[#All],3,0), "Não localizado")</f>
        <v>Reginaldo Santana De Souza</v>
      </c>
      <c r="G374" s="3" t="s">
        <v>1211</v>
      </c>
      <c r="H374" s="3" t="s">
        <v>836</v>
      </c>
    </row>
    <row r="375" spans="1:8">
      <c r="A375" s="29">
        <v>42739.454259259262</v>
      </c>
      <c r="B375" s="29" t="str">
        <f>PROPER(TEXT(tbLOG[[#This Row],[DATA/HORA]],"mmmm"))</f>
        <v>Janeiro</v>
      </c>
      <c r="C375" s="34" t="str">
        <f>PROPER(TEXT(tbLOG[[#This Row],[DATA/HORA]],"dddd"))</f>
        <v>Quarta-Feira</v>
      </c>
      <c r="D375" s="3" t="s">
        <v>604</v>
      </c>
      <c r="E375" s="34" t="str">
        <f>IFERROR(VLOOKUP(tbLOG[[#This Row],[LOGIN]],tbMAPA[#All],2,0), "Não localizado")</f>
        <v>Renan Cazumba Tegani</v>
      </c>
      <c r="F375" s="34" t="str">
        <f>IFERROR(VLOOKUP(tbLOG[[#This Row],[LOGIN]],tbMAPA[#All],3,0), "Não localizado")</f>
        <v>Reginaldo Santana De Souza</v>
      </c>
      <c r="G375" s="3" t="s">
        <v>1211</v>
      </c>
      <c r="H375" s="3" t="s">
        <v>836</v>
      </c>
    </row>
    <row r="376" spans="1:8">
      <c r="A376" s="29">
        <v>42739.455509259256</v>
      </c>
      <c r="B376" s="29" t="str">
        <f>PROPER(TEXT(tbLOG[[#This Row],[DATA/HORA]],"mmmm"))</f>
        <v>Janeiro</v>
      </c>
      <c r="C376" s="34" t="str">
        <f>PROPER(TEXT(tbLOG[[#This Row],[DATA/HORA]],"dddd"))</f>
        <v>Quarta-Feira</v>
      </c>
      <c r="D376" s="3" t="s">
        <v>604</v>
      </c>
      <c r="E376" s="34" t="str">
        <f>IFERROR(VLOOKUP(tbLOG[[#This Row],[LOGIN]],tbMAPA[#All],2,0), "Não localizado")</f>
        <v>Renan Cazumba Tegani</v>
      </c>
      <c r="F376" s="34" t="str">
        <f>IFERROR(VLOOKUP(tbLOG[[#This Row],[LOGIN]],tbMAPA[#All],3,0), "Não localizado")</f>
        <v>Reginaldo Santana De Souza</v>
      </c>
      <c r="G376" s="3" t="s">
        <v>1211</v>
      </c>
      <c r="H376" s="3" t="s">
        <v>836</v>
      </c>
    </row>
    <row r="377" spans="1:8">
      <c r="A377" s="29">
        <v>42739.455520833333</v>
      </c>
      <c r="B377" s="29" t="str">
        <f>PROPER(TEXT(tbLOG[[#This Row],[DATA/HORA]],"mmmm"))</f>
        <v>Janeiro</v>
      </c>
      <c r="C377" s="34" t="str">
        <f>PROPER(TEXT(tbLOG[[#This Row],[DATA/HORA]],"dddd"))</f>
        <v>Quarta-Feira</v>
      </c>
      <c r="D377" s="3" t="s">
        <v>604</v>
      </c>
      <c r="E377" s="34" t="str">
        <f>IFERROR(VLOOKUP(tbLOG[[#This Row],[LOGIN]],tbMAPA[#All],2,0), "Não localizado")</f>
        <v>Renan Cazumba Tegani</v>
      </c>
      <c r="F377" s="34" t="str">
        <f>IFERROR(VLOOKUP(tbLOG[[#This Row],[LOGIN]],tbMAPA[#All],3,0), "Não localizado")</f>
        <v>Reginaldo Santana De Souza</v>
      </c>
      <c r="G377" s="3" t="s">
        <v>1211</v>
      </c>
      <c r="H377" s="3" t="s">
        <v>836</v>
      </c>
    </row>
    <row r="378" spans="1:8">
      <c r="A378" s="29">
        <v>42739.455543981479</v>
      </c>
      <c r="B378" s="29" t="str">
        <f>PROPER(TEXT(tbLOG[[#This Row],[DATA/HORA]],"mmmm"))</f>
        <v>Janeiro</v>
      </c>
      <c r="C378" s="34" t="str">
        <f>PROPER(TEXT(tbLOG[[#This Row],[DATA/HORA]],"dddd"))</f>
        <v>Quarta-Feira</v>
      </c>
      <c r="D378" s="3" t="s">
        <v>604</v>
      </c>
      <c r="E378" s="34" t="str">
        <f>IFERROR(VLOOKUP(tbLOG[[#This Row],[LOGIN]],tbMAPA[#All],2,0), "Não localizado")</f>
        <v>Renan Cazumba Tegani</v>
      </c>
      <c r="F378" s="34" t="str">
        <f>IFERROR(VLOOKUP(tbLOG[[#This Row],[LOGIN]],tbMAPA[#All],3,0), "Não localizado")</f>
        <v>Reginaldo Santana De Souza</v>
      </c>
      <c r="G378" s="3" t="s">
        <v>1211</v>
      </c>
      <c r="H378" s="3" t="s">
        <v>836</v>
      </c>
    </row>
    <row r="379" spans="1:8">
      <c r="A379" s="29">
        <v>42739.455590277779</v>
      </c>
      <c r="B379" s="29" t="str">
        <f>PROPER(TEXT(tbLOG[[#This Row],[DATA/HORA]],"mmmm"))</f>
        <v>Janeiro</v>
      </c>
      <c r="C379" s="34" t="str">
        <f>PROPER(TEXT(tbLOG[[#This Row],[DATA/HORA]],"dddd"))</f>
        <v>Quarta-Feira</v>
      </c>
      <c r="D379" s="3" t="s">
        <v>604</v>
      </c>
      <c r="E379" s="34" t="str">
        <f>IFERROR(VLOOKUP(tbLOG[[#This Row],[LOGIN]],tbMAPA[#All],2,0), "Não localizado")</f>
        <v>Renan Cazumba Tegani</v>
      </c>
      <c r="F379" s="34" t="str">
        <f>IFERROR(VLOOKUP(tbLOG[[#This Row],[LOGIN]],tbMAPA[#All],3,0), "Não localizado")</f>
        <v>Reginaldo Santana De Souza</v>
      </c>
      <c r="G379" s="3" t="s">
        <v>1211</v>
      </c>
      <c r="H379" s="3" t="s">
        <v>836</v>
      </c>
    </row>
    <row r="380" spans="1:8">
      <c r="A380" s="29">
        <v>42739.455891203703</v>
      </c>
      <c r="B380" s="29" t="str">
        <f>PROPER(TEXT(tbLOG[[#This Row],[DATA/HORA]],"mmmm"))</f>
        <v>Janeiro</v>
      </c>
      <c r="C380" s="34" t="str">
        <f>PROPER(TEXT(tbLOG[[#This Row],[DATA/HORA]],"dddd"))</f>
        <v>Quarta-Feira</v>
      </c>
      <c r="D380" s="3" t="s">
        <v>604</v>
      </c>
      <c r="E380" s="34" t="str">
        <f>IFERROR(VLOOKUP(tbLOG[[#This Row],[LOGIN]],tbMAPA[#All],2,0), "Não localizado")</f>
        <v>Renan Cazumba Tegani</v>
      </c>
      <c r="F380" s="34" t="str">
        <f>IFERROR(VLOOKUP(tbLOG[[#This Row],[LOGIN]],tbMAPA[#All],3,0), "Não localizado")</f>
        <v>Reginaldo Santana De Souza</v>
      </c>
      <c r="G380" s="3" t="s">
        <v>1211</v>
      </c>
      <c r="H380" s="3" t="s">
        <v>836</v>
      </c>
    </row>
    <row r="381" spans="1:8">
      <c r="A381" s="29">
        <v>42739.455914351849</v>
      </c>
      <c r="B381" s="29" t="str">
        <f>PROPER(TEXT(tbLOG[[#This Row],[DATA/HORA]],"mmmm"))</f>
        <v>Janeiro</v>
      </c>
      <c r="C381" s="34" t="str">
        <f>PROPER(TEXT(tbLOG[[#This Row],[DATA/HORA]],"dddd"))</f>
        <v>Quarta-Feira</v>
      </c>
      <c r="D381" s="3" t="s">
        <v>604</v>
      </c>
      <c r="E381" s="34" t="str">
        <f>IFERROR(VLOOKUP(tbLOG[[#This Row],[LOGIN]],tbMAPA[#All],2,0), "Não localizado")</f>
        <v>Renan Cazumba Tegani</v>
      </c>
      <c r="F381" s="34" t="str">
        <f>IFERROR(VLOOKUP(tbLOG[[#This Row],[LOGIN]],tbMAPA[#All],3,0), "Não localizado")</f>
        <v>Reginaldo Santana De Souza</v>
      </c>
      <c r="G381" s="3" t="s">
        <v>1211</v>
      </c>
      <c r="H381" s="3" t="s">
        <v>836</v>
      </c>
    </row>
    <row r="382" spans="1:8">
      <c r="A382" s="29">
        <v>42739.455972222226</v>
      </c>
      <c r="B382" s="29" t="str">
        <f>PROPER(TEXT(tbLOG[[#This Row],[DATA/HORA]],"mmmm"))</f>
        <v>Janeiro</v>
      </c>
      <c r="C382" s="34" t="str">
        <f>PROPER(TEXT(tbLOG[[#This Row],[DATA/HORA]],"dddd"))</f>
        <v>Quarta-Feira</v>
      </c>
      <c r="D382" s="3" t="s">
        <v>604</v>
      </c>
      <c r="E382" s="34" t="str">
        <f>IFERROR(VLOOKUP(tbLOG[[#This Row],[LOGIN]],tbMAPA[#All],2,0), "Não localizado")</f>
        <v>Renan Cazumba Tegani</v>
      </c>
      <c r="F382" s="34" t="str">
        <f>IFERROR(VLOOKUP(tbLOG[[#This Row],[LOGIN]],tbMAPA[#All],3,0), "Não localizado")</f>
        <v>Reginaldo Santana De Souza</v>
      </c>
      <c r="G382" s="3" t="s">
        <v>1211</v>
      </c>
      <c r="H382" s="3" t="s">
        <v>836</v>
      </c>
    </row>
    <row r="383" spans="1:8">
      <c r="A383" s="29">
        <v>42739.45684027778</v>
      </c>
      <c r="B383" s="29" t="str">
        <f>PROPER(TEXT(tbLOG[[#This Row],[DATA/HORA]],"mmmm"))</f>
        <v>Janeiro</v>
      </c>
      <c r="C383" s="34" t="str">
        <f>PROPER(TEXT(tbLOG[[#This Row],[DATA/HORA]],"dddd"))</f>
        <v>Quarta-Feira</v>
      </c>
      <c r="D383" s="3" t="s">
        <v>604</v>
      </c>
      <c r="E383" s="34" t="str">
        <f>IFERROR(VLOOKUP(tbLOG[[#This Row],[LOGIN]],tbMAPA[#All],2,0), "Não localizado")</f>
        <v>Renan Cazumba Tegani</v>
      </c>
      <c r="F383" s="34" t="str">
        <f>IFERROR(VLOOKUP(tbLOG[[#This Row],[LOGIN]],tbMAPA[#All],3,0), "Não localizado")</f>
        <v>Reginaldo Santana De Souza</v>
      </c>
      <c r="G383" s="3" t="s">
        <v>1211</v>
      </c>
      <c r="H383" s="3" t="s">
        <v>836</v>
      </c>
    </row>
    <row r="384" spans="1:8">
      <c r="A384" s="29">
        <v>42739.457395833335</v>
      </c>
      <c r="B384" s="29" t="str">
        <f>PROPER(TEXT(tbLOG[[#This Row],[DATA/HORA]],"mmmm"))</f>
        <v>Janeiro</v>
      </c>
      <c r="C384" s="34" t="str">
        <f>PROPER(TEXT(tbLOG[[#This Row],[DATA/HORA]],"dddd"))</f>
        <v>Quarta-Feira</v>
      </c>
      <c r="D384" s="3" t="s">
        <v>604</v>
      </c>
      <c r="E384" s="34" t="str">
        <f>IFERROR(VLOOKUP(tbLOG[[#This Row],[LOGIN]],tbMAPA[#All],2,0), "Não localizado")</f>
        <v>Renan Cazumba Tegani</v>
      </c>
      <c r="F384" s="34" t="str">
        <f>IFERROR(VLOOKUP(tbLOG[[#This Row],[LOGIN]],tbMAPA[#All],3,0), "Não localizado")</f>
        <v>Reginaldo Santana De Souza</v>
      </c>
      <c r="G384" s="3" t="s">
        <v>1211</v>
      </c>
      <c r="H384" s="3" t="s">
        <v>836</v>
      </c>
    </row>
    <row r="385" spans="1:8">
      <c r="A385" s="29">
        <v>42739.457592592589</v>
      </c>
      <c r="B385" s="29" t="str">
        <f>PROPER(TEXT(tbLOG[[#This Row],[DATA/HORA]],"mmmm"))</f>
        <v>Janeiro</v>
      </c>
      <c r="C385" s="34" t="str">
        <f>PROPER(TEXT(tbLOG[[#This Row],[DATA/HORA]],"dddd"))</f>
        <v>Quarta-Feira</v>
      </c>
      <c r="D385" s="3" t="s">
        <v>604</v>
      </c>
      <c r="E385" s="34" t="str">
        <f>IFERROR(VLOOKUP(tbLOG[[#This Row],[LOGIN]],tbMAPA[#All],2,0), "Não localizado")</f>
        <v>Renan Cazumba Tegani</v>
      </c>
      <c r="F385" s="34" t="str">
        <f>IFERROR(VLOOKUP(tbLOG[[#This Row],[LOGIN]],tbMAPA[#All],3,0), "Não localizado")</f>
        <v>Reginaldo Santana De Souza</v>
      </c>
      <c r="G385" s="3" t="s">
        <v>1211</v>
      </c>
      <c r="H385" s="3" t="s">
        <v>836</v>
      </c>
    </row>
    <row r="386" spans="1:8">
      <c r="A386" s="29">
        <v>42739.457685185182</v>
      </c>
      <c r="B386" s="29" t="str">
        <f>PROPER(TEXT(tbLOG[[#This Row],[DATA/HORA]],"mmmm"))</f>
        <v>Janeiro</v>
      </c>
      <c r="C386" s="34" t="str">
        <f>PROPER(TEXT(tbLOG[[#This Row],[DATA/HORA]],"dddd"))</f>
        <v>Quarta-Feira</v>
      </c>
      <c r="D386" s="3" t="s">
        <v>604</v>
      </c>
      <c r="E386" s="34" t="str">
        <f>IFERROR(VLOOKUP(tbLOG[[#This Row],[LOGIN]],tbMAPA[#All],2,0), "Não localizado")</f>
        <v>Renan Cazumba Tegani</v>
      </c>
      <c r="F386" s="34" t="str">
        <f>IFERROR(VLOOKUP(tbLOG[[#This Row],[LOGIN]],tbMAPA[#All],3,0), "Não localizado")</f>
        <v>Reginaldo Santana De Souza</v>
      </c>
      <c r="G386" s="3" t="s">
        <v>1211</v>
      </c>
      <c r="H386" s="3" t="s">
        <v>836</v>
      </c>
    </row>
    <row r="387" spans="1:8">
      <c r="A387" s="29">
        <v>42739.457731481481</v>
      </c>
      <c r="B387" s="29" t="str">
        <f>PROPER(TEXT(tbLOG[[#This Row],[DATA/HORA]],"mmmm"))</f>
        <v>Janeiro</v>
      </c>
      <c r="C387" s="34" t="str">
        <f>PROPER(TEXT(tbLOG[[#This Row],[DATA/HORA]],"dddd"))</f>
        <v>Quarta-Feira</v>
      </c>
      <c r="D387" s="3" t="s">
        <v>604</v>
      </c>
      <c r="E387" s="34" t="str">
        <f>IFERROR(VLOOKUP(tbLOG[[#This Row],[LOGIN]],tbMAPA[#All],2,0), "Não localizado")</f>
        <v>Renan Cazumba Tegani</v>
      </c>
      <c r="F387" s="34" t="str">
        <f>IFERROR(VLOOKUP(tbLOG[[#This Row],[LOGIN]],tbMAPA[#All],3,0), "Não localizado")</f>
        <v>Reginaldo Santana De Souza</v>
      </c>
      <c r="G387" s="3" t="s">
        <v>1211</v>
      </c>
      <c r="H387" s="3" t="s">
        <v>836</v>
      </c>
    </row>
    <row r="388" spans="1:8">
      <c r="A388" s="29">
        <v>42739.457800925928</v>
      </c>
      <c r="B388" s="29" t="str">
        <f>PROPER(TEXT(tbLOG[[#This Row],[DATA/HORA]],"mmmm"))</f>
        <v>Janeiro</v>
      </c>
      <c r="C388" s="34" t="str">
        <f>PROPER(TEXT(tbLOG[[#This Row],[DATA/HORA]],"dddd"))</f>
        <v>Quarta-Feira</v>
      </c>
      <c r="D388" s="3" t="s">
        <v>604</v>
      </c>
      <c r="E388" s="34" t="str">
        <f>IFERROR(VLOOKUP(tbLOG[[#This Row],[LOGIN]],tbMAPA[#All],2,0), "Não localizado")</f>
        <v>Renan Cazumba Tegani</v>
      </c>
      <c r="F388" s="34" t="str">
        <f>IFERROR(VLOOKUP(tbLOG[[#This Row],[LOGIN]],tbMAPA[#All],3,0), "Não localizado")</f>
        <v>Reginaldo Santana De Souza</v>
      </c>
      <c r="G388" s="3" t="s">
        <v>1211</v>
      </c>
      <c r="H388" s="3" t="s">
        <v>836</v>
      </c>
    </row>
    <row r="389" spans="1:8">
      <c r="A389" s="29">
        <v>42739.460740740738</v>
      </c>
      <c r="B389" s="29" t="str">
        <f>PROPER(TEXT(tbLOG[[#This Row],[DATA/HORA]],"mmmm"))</f>
        <v>Janeiro</v>
      </c>
      <c r="C389" s="34" t="str">
        <f>PROPER(TEXT(tbLOG[[#This Row],[DATA/HORA]],"dddd"))</f>
        <v>Quarta-Feira</v>
      </c>
      <c r="D389" s="3" t="s">
        <v>604</v>
      </c>
      <c r="E389" s="34" t="str">
        <f>IFERROR(VLOOKUP(tbLOG[[#This Row],[LOGIN]],tbMAPA[#All],2,0), "Não localizado")</f>
        <v>Renan Cazumba Tegani</v>
      </c>
      <c r="F389" s="34" t="str">
        <f>IFERROR(VLOOKUP(tbLOG[[#This Row],[LOGIN]],tbMAPA[#All],3,0), "Não localizado")</f>
        <v>Reginaldo Santana De Souza</v>
      </c>
      <c r="G389" s="3" t="s">
        <v>1211</v>
      </c>
      <c r="H389" s="3" t="s">
        <v>836</v>
      </c>
    </row>
    <row r="390" spans="1:8">
      <c r="A390" s="29">
        <v>42739.461759259262</v>
      </c>
      <c r="B390" s="29" t="str">
        <f>PROPER(TEXT(tbLOG[[#This Row],[DATA/HORA]],"mmmm"))</f>
        <v>Janeiro</v>
      </c>
      <c r="C390" s="34" t="str">
        <f>PROPER(TEXT(tbLOG[[#This Row],[DATA/HORA]],"dddd"))</f>
        <v>Quarta-Feira</v>
      </c>
      <c r="D390" s="3" t="s">
        <v>604</v>
      </c>
      <c r="E390" s="34" t="str">
        <f>IFERROR(VLOOKUP(tbLOG[[#This Row],[LOGIN]],tbMAPA[#All],2,0), "Não localizado")</f>
        <v>Renan Cazumba Tegani</v>
      </c>
      <c r="F390" s="34" t="str">
        <f>IFERROR(VLOOKUP(tbLOG[[#This Row],[LOGIN]],tbMAPA[#All],3,0), "Não localizado")</f>
        <v>Reginaldo Santana De Souza</v>
      </c>
      <c r="G390" s="3" t="s">
        <v>1211</v>
      </c>
      <c r="H390" s="3" t="s">
        <v>290</v>
      </c>
    </row>
    <row r="391" spans="1:8">
      <c r="A391" s="29">
        <v>42739.480023148149</v>
      </c>
      <c r="B391" s="29" t="str">
        <f>PROPER(TEXT(tbLOG[[#This Row],[DATA/HORA]],"mmmm"))</f>
        <v>Janeiro</v>
      </c>
      <c r="C391" s="34" t="str">
        <f>PROPER(TEXT(tbLOG[[#This Row],[DATA/HORA]],"dddd"))</f>
        <v>Quarta-Feira</v>
      </c>
      <c r="D391" s="3" t="s">
        <v>604</v>
      </c>
      <c r="E391" s="34" t="str">
        <f>IFERROR(VLOOKUP(tbLOG[[#This Row],[LOGIN]],tbMAPA[#All],2,0), "Não localizado")</f>
        <v>Renan Cazumba Tegani</v>
      </c>
      <c r="F391" s="34" t="str">
        <f>IFERROR(VLOOKUP(tbLOG[[#This Row],[LOGIN]],tbMAPA[#All],3,0), "Não localizado")</f>
        <v>Reginaldo Santana De Souza</v>
      </c>
      <c r="G391" s="3" t="s">
        <v>1211</v>
      </c>
      <c r="H391" s="3" t="s">
        <v>836</v>
      </c>
    </row>
    <row r="392" spans="1:8">
      <c r="A392" s="29">
        <v>42739.480081018519</v>
      </c>
      <c r="B392" s="29" t="str">
        <f>PROPER(TEXT(tbLOG[[#This Row],[DATA/HORA]],"mmmm"))</f>
        <v>Janeiro</v>
      </c>
      <c r="C392" s="34" t="str">
        <f>PROPER(TEXT(tbLOG[[#This Row],[DATA/HORA]],"dddd"))</f>
        <v>Quarta-Feira</v>
      </c>
      <c r="D392" s="3" t="s">
        <v>604</v>
      </c>
      <c r="E392" s="34" t="str">
        <f>IFERROR(VLOOKUP(tbLOG[[#This Row],[LOGIN]],tbMAPA[#All],2,0), "Não localizado")</f>
        <v>Renan Cazumba Tegani</v>
      </c>
      <c r="F392" s="34" t="str">
        <f>IFERROR(VLOOKUP(tbLOG[[#This Row],[LOGIN]],tbMAPA[#All],3,0), "Não localizado")</f>
        <v>Reginaldo Santana De Souza</v>
      </c>
      <c r="G392" s="3" t="s">
        <v>1211</v>
      </c>
      <c r="H392" s="3" t="s">
        <v>836</v>
      </c>
    </row>
    <row r="393" spans="1:8">
      <c r="A393" s="29">
        <v>42739.480138888888</v>
      </c>
      <c r="B393" s="29" t="str">
        <f>PROPER(TEXT(tbLOG[[#This Row],[DATA/HORA]],"mmmm"))</f>
        <v>Janeiro</v>
      </c>
      <c r="C393" s="34" t="str">
        <f>PROPER(TEXT(tbLOG[[#This Row],[DATA/HORA]],"dddd"))</f>
        <v>Quarta-Feira</v>
      </c>
      <c r="D393" s="3" t="s">
        <v>604</v>
      </c>
      <c r="E393" s="34" t="str">
        <f>IFERROR(VLOOKUP(tbLOG[[#This Row],[LOGIN]],tbMAPA[#All],2,0), "Não localizado")</f>
        <v>Renan Cazumba Tegani</v>
      </c>
      <c r="F393" s="34" t="str">
        <f>IFERROR(VLOOKUP(tbLOG[[#This Row],[LOGIN]],tbMAPA[#All],3,0), "Não localizado")</f>
        <v>Reginaldo Santana De Souza</v>
      </c>
      <c r="G393" s="3" t="s">
        <v>1211</v>
      </c>
      <c r="H393" s="3" t="s">
        <v>836</v>
      </c>
    </row>
    <row r="394" spans="1:8">
      <c r="A394" s="29">
        <v>42739.483564814815</v>
      </c>
      <c r="B394" s="29" t="str">
        <f>PROPER(TEXT(tbLOG[[#This Row],[DATA/HORA]],"mmmm"))</f>
        <v>Janeiro</v>
      </c>
      <c r="C394" s="34" t="str">
        <f>PROPER(TEXT(tbLOG[[#This Row],[DATA/HORA]],"dddd"))</f>
        <v>Quarta-Feira</v>
      </c>
      <c r="D394" s="3" t="s">
        <v>604</v>
      </c>
      <c r="E394" s="34" t="str">
        <f>IFERROR(VLOOKUP(tbLOG[[#This Row],[LOGIN]],tbMAPA[#All],2,0), "Não localizado")</f>
        <v>Renan Cazumba Tegani</v>
      </c>
      <c r="F394" s="34" t="str">
        <f>IFERROR(VLOOKUP(tbLOG[[#This Row],[LOGIN]],tbMAPA[#All],3,0), "Não localizado")</f>
        <v>Reginaldo Santana De Souza</v>
      </c>
      <c r="G394" s="3" t="s">
        <v>1211</v>
      </c>
      <c r="H394" s="3" t="s">
        <v>836</v>
      </c>
    </row>
    <row r="395" spans="1:8">
      <c r="A395" s="29">
        <v>42739.483576388891</v>
      </c>
      <c r="B395" s="29" t="str">
        <f>PROPER(TEXT(tbLOG[[#This Row],[DATA/HORA]],"mmmm"))</f>
        <v>Janeiro</v>
      </c>
      <c r="C395" s="34" t="str">
        <f>PROPER(TEXT(tbLOG[[#This Row],[DATA/HORA]],"dddd"))</f>
        <v>Quarta-Feira</v>
      </c>
      <c r="D395" s="3" t="s">
        <v>604</v>
      </c>
      <c r="E395" s="34" t="str">
        <f>IFERROR(VLOOKUP(tbLOG[[#This Row],[LOGIN]],tbMAPA[#All],2,0), "Não localizado")</f>
        <v>Renan Cazumba Tegani</v>
      </c>
      <c r="F395" s="34" t="str">
        <f>IFERROR(VLOOKUP(tbLOG[[#This Row],[LOGIN]],tbMAPA[#All],3,0), "Não localizado")</f>
        <v>Reginaldo Santana De Souza</v>
      </c>
      <c r="G395" s="3" t="s">
        <v>1211</v>
      </c>
      <c r="H395" s="3" t="s">
        <v>836</v>
      </c>
    </row>
    <row r="396" spans="1:8">
      <c r="A396" s="29">
        <v>42739.483599537038</v>
      </c>
      <c r="B396" s="29" t="str">
        <f>PROPER(TEXT(tbLOG[[#This Row],[DATA/HORA]],"mmmm"))</f>
        <v>Janeiro</v>
      </c>
      <c r="C396" s="34" t="str">
        <f>PROPER(TEXT(tbLOG[[#This Row],[DATA/HORA]],"dddd"))</f>
        <v>Quarta-Feira</v>
      </c>
      <c r="D396" s="3" t="s">
        <v>604</v>
      </c>
      <c r="E396" s="34" t="str">
        <f>IFERROR(VLOOKUP(tbLOG[[#This Row],[LOGIN]],tbMAPA[#All],2,0), "Não localizado")</f>
        <v>Renan Cazumba Tegani</v>
      </c>
      <c r="F396" s="34" t="str">
        <f>IFERROR(VLOOKUP(tbLOG[[#This Row],[LOGIN]],tbMAPA[#All],3,0), "Não localizado")</f>
        <v>Reginaldo Santana De Souza</v>
      </c>
      <c r="G396" s="3" t="s">
        <v>1211</v>
      </c>
      <c r="H396" s="3" t="s">
        <v>836</v>
      </c>
    </row>
    <row r="397" spans="1:8">
      <c r="A397" s="29">
        <v>42739.483622685184</v>
      </c>
      <c r="B397" s="29" t="str">
        <f>PROPER(TEXT(tbLOG[[#This Row],[DATA/HORA]],"mmmm"))</f>
        <v>Janeiro</v>
      </c>
      <c r="C397" s="34" t="str">
        <f>PROPER(TEXT(tbLOG[[#This Row],[DATA/HORA]],"dddd"))</f>
        <v>Quarta-Feira</v>
      </c>
      <c r="D397" s="3" t="s">
        <v>604</v>
      </c>
      <c r="E397" s="34" t="str">
        <f>IFERROR(VLOOKUP(tbLOG[[#This Row],[LOGIN]],tbMAPA[#All],2,0), "Não localizado")</f>
        <v>Renan Cazumba Tegani</v>
      </c>
      <c r="F397" s="34" t="str">
        <f>IFERROR(VLOOKUP(tbLOG[[#This Row],[LOGIN]],tbMAPA[#All],3,0), "Não localizado")</f>
        <v>Reginaldo Santana De Souza</v>
      </c>
      <c r="G397" s="3" t="s">
        <v>1211</v>
      </c>
      <c r="H397" s="3" t="s">
        <v>836</v>
      </c>
    </row>
    <row r="398" spans="1:8">
      <c r="A398" s="29">
        <v>42739.483680555553</v>
      </c>
      <c r="B398" s="29" t="str">
        <f>PROPER(TEXT(tbLOG[[#This Row],[DATA/HORA]],"mmmm"))</f>
        <v>Janeiro</v>
      </c>
      <c r="C398" s="34" t="str">
        <f>PROPER(TEXT(tbLOG[[#This Row],[DATA/HORA]],"dddd"))</f>
        <v>Quarta-Feira</v>
      </c>
      <c r="D398" s="3" t="s">
        <v>604</v>
      </c>
      <c r="E398" s="34" t="str">
        <f>IFERROR(VLOOKUP(tbLOG[[#This Row],[LOGIN]],tbMAPA[#All],2,0), "Não localizado")</f>
        <v>Renan Cazumba Tegani</v>
      </c>
      <c r="F398" s="34" t="str">
        <f>IFERROR(VLOOKUP(tbLOG[[#This Row],[LOGIN]],tbMAPA[#All],3,0), "Não localizado")</f>
        <v>Reginaldo Santana De Souza</v>
      </c>
      <c r="G398" s="3" t="s">
        <v>1211</v>
      </c>
      <c r="H398" s="3" t="s">
        <v>836</v>
      </c>
    </row>
    <row r="399" spans="1:8">
      <c r="A399" s="29">
        <v>42739.485752314817</v>
      </c>
      <c r="B399" s="29" t="str">
        <f>PROPER(TEXT(tbLOG[[#This Row],[DATA/HORA]],"mmmm"))</f>
        <v>Janeiro</v>
      </c>
      <c r="C399" s="34" t="str">
        <f>PROPER(TEXT(tbLOG[[#This Row],[DATA/HORA]],"dddd"))</f>
        <v>Quarta-Feira</v>
      </c>
      <c r="D399" s="3" t="s">
        <v>604</v>
      </c>
      <c r="E399" s="34" t="str">
        <f>IFERROR(VLOOKUP(tbLOG[[#This Row],[LOGIN]],tbMAPA[#All],2,0), "Não localizado")</f>
        <v>Renan Cazumba Tegani</v>
      </c>
      <c r="F399" s="34" t="str">
        <f>IFERROR(VLOOKUP(tbLOG[[#This Row],[LOGIN]],tbMAPA[#All],3,0), "Não localizado")</f>
        <v>Reginaldo Santana De Souza</v>
      </c>
      <c r="G399" s="3" t="s">
        <v>1211</v>
      </c>
      <c r="H399" s="3" t="s">
        <v>836</v>
      </c>
    </row>
    <row r="400" spans="1:8">
      <c r="A400" s="29">
        <v>42739.485810185186</v>
      </c>
      <c r="B400" s="29" t="str">
        <f>PROPER(TEXT(tbLOG[[#This Row],[DATA/HORA]],"mmmm"))</f>
        <v>Janeiro</v>
      </c>
      <c r="C400" s="34" t="str">
        <f>PROPER(TEXT(tbLOG[[#This Row],[DATA/HORA]],"dddd"))</f>
        <v>Quarta-Feira</v>
      </c>
      <c r="D400" s="3" t="s">
        <v>604</v>
      </c>
      <c r="E400" s="34" t="str">
        <f>IFERROR(VLOOKUP(tbLOG[[#This Row],[LOGIN]],tbMAPA[#All],2,0), "Não localizado")</f>
        <v>Renan Cazumba Tegani</v>
      </c>
      <c r="F400" s="34" t="str">
        <f>IFERROR(VLOOKUP(tbLOG[[#This Row],[LOGIN]],tbMAPA[#All],3,0), "Não localizado")</f>
        <v>Reginaldo Santana De Souza</v>
      </c>
      <c r="G400" s="3" t="s">
        <v>1211</v>
      </c>
      <c r="H400" s="3" t="s">
        <v>836</v>
      </c>
    </row>
    <row r="401" spans="1:8">
      <c r="A401" s="29">
        <v>42739.485821759263</v>
      </c>
      <c r="B401" s="29" t="str">
        <f>PROPER(TEXT(tbLOG[[#This Row],[DATA/HORA]],"mmmm"))</f>
        <v>Janeiro</v>
      </c>
      <c r="C401" s="34" t="str">
        <f>PROPER(TEXT(tbLOG[[#This Row],[DATA/HORA]],"dddd"))</f>
        <v>Quarta-Feira</v>
      </c>
      <c r="D401" s="3" t="s">
        <v>604</v>
      </c>
      <c r="E401" s="34" t="str">
        <f>IFERROR(VLOOKUP(tbLOG[[#This Row],[LOGIN]],tbMAPA[#All],2,0), "Não localizado")</f>
        <v>Renan Cazumba Tegani</v>
      </c>
      <c r="F401" s="34" t="str">
        <f>IFERROR(VLOOKUP(tbLOG[[#This Row],[LOGIN]],tbMAPA[#All],3,0), "Não localizado")</f>
        <v>Reginaldo Santana De Souza</v>
      </c>
      <c r="G401" s="3" t="s">
        <v>1211</v>
      </c>
      <c r="H401" s="3" t="s">
        <v>836</v>
      </c>
    </row>
    <row r="402" spans="1:8">
      <c r="A402" s="29">
        <v>42739.488217592596</v>
      </c>
      <c r="B402" s="29" t="str">
        <f>PROPER(TEXT(tbLOG[[#This Row],[DATA/HORA]],"mmmm"))</f>
        <v>Janeiro</v>
      </c>
      <c r="C402" s="34" t="str">
        <f>PROPER(TEXT(tbLOG[[#This Row],[DATA/HORA]],"dddd"))</f>
        <v>Quarta-Feira</v>
      </c>
      <c r="D402" s="3" t="s">
        <v>604</v>
      </c>
      <c r="E402" s="34" t="str">
        <f>IFERROR(VLOOKUP(tbLOG[[#This Row],[LOGIN]],tbMAPA[#All],2,0), "Não localizado")</f>
        <v>Renan Cazumba Tegani</v>
      </c>
      <c r="F402" s="34" t="str">
        <f>IFERROR(VLOOKUP(tbLOG[[#This Row],[LOGIN]],tbMAPA[#All],3,0), "Não localizado")</f>
        <v>Reginaldo Santana De Souza</v>
      </c>
      <c r="G402" s="3" t="s">
        <v>1211</v>
      </c>
      <c r="H402" s="3" t="s">
        <v>836</v>
      </c>
    </row>
    <row r="403" spans="1:8">
      <c r="A403" s="29">
        <v>42739.488252314812</v>
      </c>
      <c r="B403" s="29" t="str">
        <f>PROPER(TEXT(tbLOG[[#This Row],[DATA/HORA]],"mmmm"))</f>
        <v>Janeiro</v>
      </c>
      <c r="C403" s="34" t="str">
        <f>PROPER(TEXT(tbLOG[[#This Row],[DATA/HORA]],"dddd"))</f>
        <v>Quarta-Feira</v>
      </c>
      <c r="D403" s="3" t="s">
        <v>604</v>
      </c>
      <c r="E403" s="34" t="str">
        <f>IFERROR(VLOOKUP(tbLOG[[#This Row],[LOGIN]],tbMAPA[#All],2,0), "Não localizado")</f>
        <v>Renan Cazumba Tegani</v>
      </c>
      <c r="F403" s="34" t="str">
        <f>IFERROR(VLOOKUP(tbLOG[[#This Row],[LOGIN]],tbMAPA[#All],3,0), "Não localizado")</f>
        <v>Reginaldo Santana De Souza</v>
      </c>
      <c r="G403" s="3" t="s">
        <v>1211</v>
      </c>
      <c r="H403" s="3" t="s">
        <v>836</v>
      </c>
    </row>
    <row r="404" spans="1:8">
      <c r="A404" s="29">
        <v>42739.488287037035</v>
      </c>
      <c r="B404" s="29" t="str">
        <f>PROPER(TEXT(tbLOG[[#This Row],[DATA/HORA]],"mmmm"))</f>
        <v>Janeiro</v>
      </c>
      <c r="C404" s="34" t="str">
        <f>PROPER(TEXT(tbLOG[[#This Row],[DATA/HORA]],"dddd"))</f>
        <v>Quarta-Feira</v>
      </c>
      <c r="D404" s="3" t="s">
        <v>604</v>
      </c>
      <c r="E404" s="34" t="str">
        <f>IFERROR(VLOOKUP(tbLOG[[#This Row],[LOGIN]],tbMAPA[#All],2,0), "Não localizado")</f>
        <v>Renan Cazumba Tegani</v>
      </c>
      <c r="F404" s="34" t="str">
        <f>IFERROR(VLOOKUP(tbLOG[[#This Row],[LOGIN]],tbMAPA[#All],3,0), "Não localizado")</f>
        <v>Reginaldo Santana De Souza</v>
      </c>
      <c r="G404" s="3" t="s">
        <v>1211</v>
      </c>
      <c r="H404" s="3" t="s">
        <v>836</v>
      </c>
    </row>
    <row r="405" spans="1:8">
      <c r="A405" s="29">
        <v>42739.488344907404</v>
      </c>
      <c r="B405" s="29" t="str">
        <f>PROPER(TEXT(tbLOG[[#This Row],[DATA/HORA]],"mmmm"))</f>
        <v>Janeiro</v>
      </c>
      <c r="C405" s="34" t="str">
        <f>PROPER(TEXT(tbLOG[[#This Row],[DATA/HORA]],"dddd"))</f>
        <v>Quarta-Feira</v>
      </c>
      <c r="D405" s="3" t="s">
        <v>604</v>
      </c>
      <c r="E405" s="34" t="str">
        <f>IFERROR(VLOOKUP(tbLOG[[#This Row],[LOGIN]],tbMAPA[#All],2,0), "Não localizado")</f>
        <v>Renan Cazumba Tegani</v>
      </c>
      <c r="F405" s="34" t="str">
        <f>IFERROR(VLOOKUP(tbLOG[[#This Row],[LOGIN]],tbMAPA[#All],3,0), "Não localizado")</f>
        <v>Reginaldo Santana De Souza</v>
      </c>
      <c r="G405" s="3" t="s">
        <v>1211</v>
      </c>
      <c r="H405" s="3" t="s">
        <v>836</v>
      </c>
    </row>
    <row r="406" spans="1:8">
      <c r="A406" s="29">
        <v>42739.493414351855</v>
      </c>
      <c r="B406" s="29" t="str">
        <f>PROPER(TEXT(tbLOG[[#This Row],[DATA/HORA]],"mmmm"))</f>
        <v>Janeiro</v>
      </c>
      <c r="C406" s="34" t="str">
        <f>PROPER(TEXT(tbLOG[[#This Row],[DATA/HORA]],"dddd"))</f>
        <v>Quarta-Feira</v>
      </c>
      <c r="D406" s="3" t="s">
        <v>604</v>
      </c>
      <c r="E406" s="34" t="str">
        <f>IFERROR(VLOOKUP(tbLOG[[#This Row],[LOGIN]],tbMAPA[#All],2,0), "Não localizado")</f>
        <v>Renan Cazumba Tegani</v>
      </c>
      <c r="F406" s="34" t="str">
        <f>IFERROR(VLOOKUP(tbLOG[[#This Row],[LOGIN]],tbMAPA[#All],3,0), "Não localizado")</f>
        <v>Reginaldo Santana De Souza</v>
      </c>
      <c r="G406" s="3" t="s">
        <v>1211</v>
      </c>
      <c r="H406" s="3" t="s">
        <v>836</v>
      </c>
    </row>
    <row r="407" spans="1:8">
      <c r="A407" s="29">
        <v>42739.493750000001</v>
      </c>
      <c r="B407" s="29" t="str">
        <f>PROPER(TEXT(tbLOG[[#This Row],[DATA/HORA]],"mmmm"))</f>
        <v>Janeiro</v>
      </c>
      <c r="C407" s="34" t="str">
        <f>PROPER(TEXT(tbLOG[[#This Row],[DATA/HORA]],"dddd"))</f>
        <v>Quarta-Feira</v>
      </c>
      <c r="D407" s="3" t="s">
        <v>604</v>
      </c>
      <c r="E407" s="34" t="str">
        <f>IFERROR(VLOOKUP(tbLOG[[#This Row],[LOGIN]],tbMAPA[#All],2,0), "Não localizado")</f>
        <v>Renan Cazumba Tegani</v>
      </c>
      <c r="F407" s="34" t="str">
        <f>IFERROR(VLOOKUP(tbLOG[[#This Row],[LOGIN]],tbMAPA[#All],3,0), "Não localizado")</f>
        <v>Reginaldo Santana De Souza</v>
      </c>
      <c r="G407" s="3" t="s">
        <v>1211</v>
      </c>
      <c r="H407" s="3" t="s">
        <v>836</v>
      </c>
    </row>
    <row r="408" spans="1:8">
      <c r="A408" s="29">
        <v>42739.493807870371</v>
      </c>
      <c r="B408" s="29" t="str">
        <f>PROPER(TEXT(tbLOG[[#This Row],[DATA/HORA]],"mmmm"))</f>
        <v>Janeiro</v>
      </c>
      <c r="C408" s="34" t="str">
        <f>PROPER(TEXT(tbLOG[[#This Row],[DATA/HORA]],"dddd"))</f>
        <v>Quarta-Feira</v>
      </c>
      <c r="D408" s="3" t="s">
        <v>604</v>
      </c>
      <c r="E408" s="34" t="str">
        <f>IFERROR(VLOOKUP(tbLOG[[#This Row],[LOGIN]],tbMAPA[#All],2,0), "Não localizado")</f>
        <v>Renan Cazumba Tegani</v>
      </c>
      <c r="F408" s="34" t="str">
        <f>IFERROR(VLOOKUP(tbLOG[[#This Row],[LOGIN]],tbMAPA[#All],3,0), "Não localizado")</f>
        <v>Reginaldo Santana De Souza</v>
      </c>
      <c r="G408" s="3" t="s">
        <v>1211</v>
      </c>
      <c r="H408" s="3" t="s">
        <v>836</v>
      </c>
    </row>
    <row r="409" spans="1:8">
      <c r="A409" s="29">
        <v>42739.493981481479</v>
      </c>
      <c r="B409" s="29" t="str">
        <f>PROPER(TEXT(tbLOG[[#This Row],[DATA/HORA]],"mmmm"))</f>
        <v>Janeiro</v>
      </c>
      <c r="C409" s="34" t="str">
        <f>PROPER(TEXT(tbLOG[[#This Row],[DATA/HORA]],"dddd"))</f>
        <v>Quarta-Feira</v>
      </c>
      <c r="D409" s="3" t="s">
        <v>604</v>
      </c>
      <c r="E409" s="34" t="str">
        <f>IFERROR(VLOOKUP(tbLOG[[#This Row],[LOGIN]],tbMAPA[#All],2,0), "Não localizado")</f>
        <v>Renan Cazumba Tegani</v>
      </c>
      <c r="F409" s="34" t="str">
        <f>IFERROR(VLOOKUP(tbLOG[[#This Row],[LOGIN]],tbMAPA[#All],3,0), "Não localizado")</f>
        <v>Reginaldo Santana De Souza</v>
      </c>
      <c r="G409" s="3" t="s">
        <v>1211</v>
      </c>
      <c r="H409" s="3" t="s">
        <v>836</v>
      </c>
    </row>
    <row r="410" spans="1:8">
      <c r="A410" s="29">
        <v>42739.499988425923</v>
      </c>
      <c r="B410" s="29" t="str">
        <f>PROPER(TEXT(tbLOG[[#This Row],[DATA/HORA]],"mmmm"))</f>
        <v>Janeiro</v>
      </c>
      <c r="C410" s="34" t="str">
        <f>PROPER(TEXT(tbLOG[[#This Row],[DATA/HORA]],"dddd"))</f>
        <v>Quarta-Feira</v>
      </c>
      <c r="D410" s="3" t="s">
        <v>604</v>
      </c>
      <c r="E410" s="34" t="str">
        <f>IFERROR(VLOOKUP(tbLOG[[#This Row],[LOGIN]],tbMAPA[#All],2,0), "Não localizado")</f>
        <v>Renan Cazumba Tegani</v>
      </c>
      <c r="F410" s="34" t="str">
        <f>IFERROR(VLOOKUP(tbLOG[[#This Row],[LOGIN]],tbMAPA[#All],3,0), "Não localizado")</f>
        <v>Reginaldo Santana De Souza</v>
      </c>
      <c r="G410" s="3" t="s">
        <v>1211</v>
      </c>
      <c r="H410" s="3" t="s">
        <v>836</v>
      </c>
    </row>
    <row r="411" spans="1:8">
      <c r="A411" s="29">
        <v>42739.5</v>
      </c>
      <c r="B411" s="29" t="str">
        <f>PROPER(TEXT(tbLOG[[#This Row],[DATA/HORA]],"mmmm"))</f>
        <v>Janeiro</v>
      </c>
      <c r="C411" s="34" t="str">
        <f>PROPER(TEXT(tbLOG[[#This Row],[DATA/HORA]],"dddd"))</f>
        <v>Quarta-Feira</v>
      </c>
      <c r="D411" s="3" t="s">
        <v>604</v>
      </c>
      <c r="E411" s="34" t="str">
        <f>IFERROR(VLOOKUP(tbLOG[[#This Row],[LOGIN]],tbMAPA[#All],2,0), "Não localizado")</f>
        <v>Renan Cazumba Tegani</v>
      </c>
      <c r="F411" s="34" t="str">
        <f>IFERROR(VLOOKUP(tbLOG[[#This Row],[LOGIN]],tbMAPA[#All],3,0), "Não localizado")</f>
        <v>Reginaldo Santana De Souza</v>
      </c>
      <c r="G411" s="3" t="s">
        <v>1211</v>
      </c>
      <c r="H411" s="3" t="s">
        <v>836</v>
      </c>
    </row>
    <row r="412" spans="1:8">
      <c r="A412" s="29">
        <v>42739.500104166669</v>
      </c>
      <c r="B412" s="29" t="str">
        <f>PROPER(TEXT(tbLOG[[#This Row],[DATA/HORA]],"mmmm"))</f>
        <v>Janeiro</v>
      </c>
      <c r="C412" s="34" t="str">
        <f>PROPER(TEXT(tbLOG[[#This Row],[DATA/HORA]],"dddd"))</f>
        <v>Quarta-Feira</v>
      </c>
      <c r="D412" s="3" t="s">
        <v>604</v>
      </c>
      <c r="E412" s="34" t="str">
        <f>IFERROR(VLOOKUP(tbLOG[[#This Row],[LOGIN]],tbMAPA[#All],2,0), "Não localizado")</f>
        <v>Renan Cazumba Tegani</v>
      </c>
      <c r="F412" s="34" t="str">
        <f>IFERROR(VLOOKUP(tbLOG[[#This Row],[LOGIN]],tbMAPA[#All],3,0), "Não localizado")</f>
        <v>Reginaldo Santana De Souza</v>
      </c>
      <c r="G412" s="3" t="s">
        <v>1211</v>
      </c>
      <c r="H412" s="3" t="s">
        <v>836</v>
      </c>
    </row>
    <row r="413" spans="1:8">
      <c r="A413" s="29">
        <v>42739.500243055554</v>
      </c>
      <c r="B413" s="29" t="str">
        <f>PROPER(TEXT(tbLOG[[#This Row],[DATA/HORA]],"mmmm"))</f>
        <v>Janeiro</v>
      </c>
      <c r="C413" s="34" t="str">
        <f>PROPER(TEXT(tbLOG[[#This Row],[DATA/HORA]],"dddd"))</f>
        <v>Quarta-Feira</v>
      </c>
      <c r="D413" s="3" t="s">
        <v>604</v>
      </c>
      <c r="E413" s="34" t="str">
        <f>IFERROR(VLOOKUP(tbLOG[[#This Row],[LOGIN]],tbMAPA[#All],2,0), "Não localizado")</f>
        <v>Renan Cazumba Tegani</v>
      </c>
      <c r="F413" s="34" t="str">
        <f>IFERROR(VLOOKUP(tbLOG[[#This Row],[LOGIN]],tbMAPA[#All],3,0), "Não localizado")</f>
        <v>Reginaldo Santana De Souza</v>
      </c>
      <c r="G413" s="3" t="s">
        <v>1211</v>
      </c>
      <c r="H413" s="3" t="s">
        <v>836</v>
      </c>
    </row>
    <row r="414" spans="1:8">
      <c r="A414" s="29">
        <v>42739.516423611109</v>
      </c>
      <c r="B414" s="29" t="str">
        <f>PROPER(TEXT(tbLOG[[#This Row],[DATA/HORA]],"mmmm"))</f>
        <v>Janeiro</v>
      </c>
      <c r="C414" s="34" t="str">
        <f>PROPER(TEXT(tbLOG[[#This Row],[DATA/HORA]],"dddd"))</f>
        <v>Quarta-Feira</v>
      </c>
      <c r="D414" s="3" t="s">
        <v>604</v>
      </c>
      <c r="E414" s="34" t="str">
        <f>IFERROR(VLOOKUP(tbLOG[[#This Row],[LOGIN]],tbMAPA[#All],2,0), "Não localizado")</f>
        <v>Renan Cazumba Tegani</v>
      </c>
      <c r="F414" s="34" t="str">
        <f>IFERROR(VLOOKUP(tbLOG[[#This Row],[LOGIN]],tbMAPA[#All],3,0), "Não localizado")</f>
        <v>Reginaldo Santana De Souza</v>
      </c>
      <c r="G414" s="3" t="s">
        <v>1211</v>
      </c>
      <c r="H414" s="3" t="s">
        <v>290</v>
      </c>
    </row>
    <row r="415" spans="1:8">
      <c r="A415" s="29">
        <v>42739.62945601852</v>
      </c>
      <c r="B415" s="29" t="str">
        <f>PROPER(TEXT(tbLOG[[#This Row],[DATA/HORA]],"mmmm"))</f>
        <v>Janeiro</v>
      </c>
      <c r="C415" s="34" t="str">
        <f>PROPER(TEXT(tbLOG[[#This Row],[DATA/HORA]],"dddd"))</f>
        <v>Quarta-Feira</v>
      </c>
      <c r="D415" s="3" t="s">
        <v>604</v>
      </c>
      <c r="E415" s="34" t="str">
        <f>IFERROR(VLOOKUP(tbLOG[[#This Row],[LOGIN]],tbMAPA[#All],2,0), "Não localizado")</f>
        <v>Renan Cazumba Tegani</v>
      </c>
      <c r="F415" s="34" t="str">
        <f>IFERROR(VLOOKUP(tbLOG[[#This Row],[LOGIN]],tbMAPA[#All],3,0), "Não localizado")</f>
        <v>Reginaldo Santana De Souza</v>
      </c>
      <c r="G415" s="3" t="s">
        <v>1211</v>
      </c>
      <c r="H415" s="3" t="s">
        <v>836</v>
      </c>
    </row>
    <row r="416" spans="1:8">
      <c r="A416" s="29">
        <v>42739.632743055554</v>
      </c>
      <c r="B416" s="29" t="str">
        <f>PROPER(TEXT(tbLOG[[#This Row],[DATA/HORA]],"mmmm"))</f>
        <v>Janeiro</v>
      </c>
      <c r="C416" s="34" t="str">
        <f>PROPER(TEXT(tbLOG[[#This Row],[DATA/HORA]],"dddd"))</f>
        <v>Quarta-Feira</v>
      </c>
      <c r="D416" s="3" t="s">
        <v>604</v>
      </c>
      <c r="E416" s="34" t="str">
        <f>IFERROR(VLOOKUP(tbLOG[[#This Row],[LOGIN]],tbMAPA[#All],2,0), "Não localizado")</f>
        <v>Renan Cazumba Tegani</v>
      </c>
      <c r="F416" s="34" t="str">
        <f>IFERROR(VLOOKUP(tbLOG[[#This Row],[LOGIN]],tbMAPA[#All],3,0), "Não localizado")</f>
        <v>Reginaldo Santana De Souza</v>
      </c>
      <c r="G416" s="3" t="s">
        <v>1211</v>
      </c>
      <c r="H416" s="3" t="s">
        <v>836</v>
      </c>
    </row>
    <row r="417" spans="1:8">
      <c r="A417" s="29">
        <v>42739.632800925923</v>
      </c>
      <c r="B417" s="29" t="str">
        <f>PROPER(TEXT(tbLOG[[#This Row],[DATA/HORA]],"mmmm"))</f>
        <v>Janeiro</v>
      </c>
      <c r="C417" s="34" t="str">
        <f>PROPER(TEXT(tbLOG[[#This Row],[DATA/HORA]],"dddd"))</f>
        <v>Quarta-Feira</v>
      </c>
      <c r="D417" s="3" t="s">
        <v>604</v>
      </c>
      <c r="E417" s="34" t="str">
        <f>IFERROR(VLOOKUP(tbLOG[[#This Row],[LOGIN]],tbMAPA[#All],2,0), "Não localizado")</f>
        <v>Renan Cazumba Tegani</v>
      </c>
      <c r="F417" s="34" t="str">
        <f>IFERROR(VLOOKUP(tbLOG[[#This Row],[LOGIN]],tbMAPA[#All],3,0), "Não localizado")</f>
        <v>Reginaldo Santana De Souza</v>
      </c>
      <c r="G417" s="3" t="s">
        <v>1211</v>
      </c>
      <c r="H417" s="3" t="s">
        <v>836</v>
      </c>
    </row>
    <row r="418" spans="1:8">
      <c r="A418" s="29">
        <v>42739.632835648146</v>
      </c>
      <c r="B418" s="29" t="str">
        <f>PROPER(TEXT(tbLOG[[#This Row],[DATA/HORA]],"mmmm"))</f>
        <v>Janeiro</v>
      </c>
      <c r="C418" s="34" t="str">
        <f>PROPER(TEXT(tbLOG[[#This Row],[DATA/HORA]],"dddd"))</f>
        <v>Quarta-Feira</v>
      </c>
      <c r="D418" s="3" t="s">
        <v>604</v>
      </c>
      <c r="E418" s="34" t="str">
        <f>IFERROR(VLOOKUP(tbLOG[[#This Row],[LOGIN]],tbMAPA[#All],2,0), "Não localizado")</f>
        <v>Renan Cazumba Tegani</v>
      </c>
      <c r="F418" s="34" t="str">
        <f>IFERROR(VLOOKUP(tbLOG[[#This Row],[LOGIN]],tbMAPA[#All],3,0), "Não localizado")</f>
        <v>Reginaldo Santana De Souza</v>
      </c>
      <c r="G418" s="3" t="s">
        <v>1211</v>
      </c>
      <c r="H418" s="3" t="s">
        <v>836</v>
      </c>
    </row>
    <row r="419" spans="1:8">
      <c r="A419" s="29">
        <v>42739.634976851848</v>
      </c>
      <c r="B419" s="29" t="str">
        <f>PROPER(TEXT(tbLOG[[#This Row],[DATA/HORA]],"mmmm"))</f>
        <v>Janeiro</v>
      </c>
      <c r="C419" s="34" t="str">
        <f>PROPER(TEXT(tbLOG[[#This Row],[DATA/HORA]],"dddd"))</f>
        <v>Quarta-Feira</v>
      </c>
      <c r="D419" s="3" t="s">
        <v>604</v>
      </c>
      <c r="E419" s="34" t="str">
        <f>IFERROR(VLOOKUP(tbLOG[[#This Row],[LOGIN]],tbMAPA[#All],2,0), "Não localizado")</f>
        <v>Renan Cazumba Tegani</v>
      </c>
      <c r="F419" s="34" t="str">
        <f>IFERROR(VLOOKUP(tbLOG[[#This Row],[LOGIN]],tbMAPA[#All],3,0), "Não localizado")</f>
        <v>Reginaldo Santana De Souza</v>
      </c>
      <c r="G419" s="3" t="s">
        <v>1211</v>
      </c>
      <c r="H419" s="3" t="s">
        <v>836</v>
      </c>
    </row>
    <row r="420" spans="1:8">
      <c r="A420" s="29">
        <v>42739.637615740743</v>
      </c>
      <c r="B420" s="29" t="str">
        <f>PROPER(TEXT(tbLOG[[#This Row],[DATA/HORA]],"mmmm"))</f>
        <v>Janeiro</v>
      </c>
      <c r="C420" s="34" t="str">
        <f>PROPER(TEXT(tbLOG[[#This Row],[DATA/HORA]],"dddd"))</f>
        <v>Quarta-Feira</v>
      </c>
      <c r="D420" s="3" t="s">
        <v>604</v>
      </c>
      <c r="E420" s="34" t="str">
        <f>IFERROR(VLOOKUP(tbLOG[[#This Row],[LOGIN]],tbMAPA[#All],2,0), "Não localizado")</f>
        <v>Renan Cazumba Tegani</v>
      </c>
      <c r="F420" s="34" t="str">
        <f>IFERROR(VLOOKUP(tbLOG[[#This Row],[LOGIN]],tbMAPA[#All],3,0), "Não localizado")</f>
        <v>Reginaldo Santana De Souza</v>
      </c>
      <c r="G420" s="3" t="s">
        <v>1211</v>
      </c>
      <c r="H420" s="3" t="s">
        <v>836</v>
      </c>
    </row>
    <row r="421" spans="1:8">
      <c r="A421" s="29">
        <v>42739.637685185182</v>
      </c>
      <c r="B421" s="29" t="str">
        <f>PROPER(TEXT(tbLOG[[#This Row],[DATA/HORA]],"mmmm"))</f>
        <v>Janeiro</v>
      </c>
      <c r="C421" s="34" t="str">
        <f>PROPER(TEXT(tbLOG[[#This Row],[DATA/HORA]],"dddd"))</f>
        <v>Quarta-Feira</v>
      </c>
      <c r="D421" s="3" t="s">
        <v>604</v>
      </c>
      <c r="E421" s="34" t="str">
        <f>IFERROR(VLOOKUP(tbLOG[[#This Row],[LOGIN]],tbMAPA[#All],2,0), "Não localizado")</f>
        <v>Renan Cazumba Tegani</v>
      </c>
      <c r="F421" s="34" t="str">
        <f>IFERROR(VLOOKUP(tbLOG[[#This Row],[LOGIN]],tbMAPA[#All],3,0), "Não localizado")</f>
        <v>Reginaldo Santana De Souza</v>
      </c>
      <c r="G421" s="3" t="s">
        <v>1211</v>
      </c>
      <c r="H421" s="3" t="s">
        <v>836</v>
      </c>
    </row>
    <row r="422" spans="1:8">
      <c r="A422" s="29">
        <v>42739.642256944448</v>
      </c>
      <c r="B422" s="29" t="str">
        <f>PROPER(TEXT(tbLOG[[#This Row],[DATA/HORA]],"mmmm"))</f>
        <v>Janeiro</v>
      </c>
      <c r="C422" s="34" t="str">
        <f>PROPER(TEXT(tbLOG[[#This Row],[DATA/HORA]],"dddd"))</f>
        <v>Quarta-Feira</v>
      </c>
      <c r="D422" s="3" t="s">
        <v>604</v>
      </c>
      <c r="E422" s="34" t="str">
        <f>IFERROR(VLOOKUP(tbLOG[[#This Row],[LOGIN]],tbMAPA[#All],2,0), "Não localizado")</f>
        <v>Renan Cazumba Tegani</v>
      </c>
      <c r="F422" s="34" t="str">
        <f>IFERROR(VLOOKUP(tbLOG[[#This Row],[LOGIN]],tbMAPA[#All],3,0), "Não localizado")</f>
        <v>Reginaldo Santana De Souza</v>
      </c>
      <c r="G422" s="3" t="s">
        <v>1211</v>
      </c>
      <c r="H422" s="3" t="s">
        <v>836</v>
      </c>
    </row>
    <row r="423" spans="1:8">
      <c r="A423" s="29">
        <v>42739.642256944448</v>
      </c>
      <c r="B423" s="29" t="str">
        <f>PROPER(TEXT(tbLOG[[#This Row],[DATA/HORA]],"mmmm"))</f>
        <v>Janeiro</v>
      </c>
      <c r="C423" s="34" t="str">
        <f>PROPER(TEXT(tbLOG[[#This Row],[DATA/HORA]],"dddd"))</f>
        <v>Quarta-Feira</v>
      </c>
      <c r="D423" s="3" t="s">
        <v>604</v>
      </c>
      <c r="E423" s="34" t="str">
        <f>IFERROR(VLOOKUP(tbLOG[[#This Row],[LOGIN]],tbMAPA[#All],2,0), "Não localizado")</f>
        <v>Renan Cazumba Tegani</v>
      </c>
      <c r="F423" s="34" t="str">
        <f>IFERROR(VLOOKUP(tbLOG[[#This Row],[LOGIN]],tbMAPA[#All],3,0), "Não localizado")</f>
        <v>Reginaldo Santana De Souza</v>
      </c>
      <c r="G423" s="3" t="s">
        <v>1211</v>
      </c>
      <c r="H423" s="3" t="s">
        <v>290</v>
      </c>
    </row>
    <row r="424" spans="1:8">
      <c r="A424" s="29">
        <v>42739.669814814813</v>
      </c>
      <c r="B424" s="29" t="str">
        <f>PROPER(TEXT(tbLOG[[#This Row],[DATA/HORA]],"mmmm"))</f>
        <v>Janeiro</v>
      </c>
      <c r="C424" s="34" t="str">
        <f>PROPER(TEXT(tbLOG[[#This Row],[DATA/HORA]],"dddd"))</f>
        <v>Quarta-Feira</v>
      </c>
      <c r="D424" s="3" t="s">
        <v>604</v>
      </c>
      <c r="E424" s="34" t="str">
        <f>IFERROR(VLOOKUP(tbLOG[[#This Row],[LOGIN]],tbMAPA[#All],2,0), "Não localizado")</f>
        <v>Renan Cazumba Tegani</v>
      </c>
      <c r="F424" s="34" t="str">
        <f>IFERROR(VLOOKUP(tbLOG[[#This Row],[LOGIN]],tbMAPA[#All],3,0), "Não localizado")</f>
        <v>Reginaldo Santana De Souza</v>
      </c>
      <c r="G424" s="3" t="s">
        <v>1211</v>
      </c>
      <c r="H424" s="3" t="s">
        <v>994</v>
      </c>
    </row>
    <row r="425" spans="1:8">
      <c r="A425" s="29">
        <v>42739.670451388891</v>
      </c>
      <c r="B425" s="29" t="str">
        <f>PROPER(TEXT(tbLOG[[#This Row],[DATA/HORA]],"mmmm"))</f>
        <v>Janeiro</v>
      </c>
      <c r="C425" s="34" t="str">
        <f>PROPER(TEXT(tbLOG[[#This Row],[DATA/HORA]],"dddd"))</f>
        <v>Quarta-Feira</v>
      </c>
      <c r="D425" s="3" t="s">
        <v>604</v>
      </c>
      <c r="E425" s="34" t="str">
        <f>IFERROR(VLOOKUP(tbLOG[[#This Row],[LOGIN]],tbMAPA[#All],2,0), "Não localizado")</f>
        <v>Renan Cazumba Tegani</v>
      </c>
      <c r="F425" s="34" t="str">
        <f>IFERROR(VLOOKUP(tbLOG[[#This Row],[LOGIN]],tbMAPA[#All],3,0), "Não localizado")</f>
        <v>Reginaldo Santana De Souza</v>
      </c>
      <c r="G425" s="3" t="s">
        <v>1211</v>
      </c>
      <c r="H425" s="3" t="s">
        <v>836</v>
      </c>
    </row>
    <row r="426" spans="1:8">
      <c r="A426" s="29">
        <v>42739.67046296296</v>
      </c>
      <c r="B426" s="29" t="str">
        <f>PROPER(TEXT(tbLOG[[#This Row],[DATA/HORA]],"mmmm"))</f>
        <v>Janeiro</v>
      </c>
      <c r="C426" s="34" t="str">
        <f>PROPER(TEXT(tbLOG[[#This Row],[DATA/HORA]],"dddd"))</f>
        <v>Quarta-Feira</v>
      </c>
      <c r="D426" s="3" t="s">
        <v>604</v>
      </c>
      <c r="E426" s="34" t="str">
        <f>IFERROR(VLOOKUP(tbLOG[[#This Row],[LOGIN]],tbMAPA[#All],2,0), "Não localizado")</f>
        <v>Renan Cazumba Tegani</v>
      </c>
      <c r="F426" s="34" t="str">
        <f>IFERROR(VLOOKUP(tbLOG[[#This Row],[LOGIN]],tbMAPA[#All],3,0), "Não localizado")</f>
        <v>Reginaldo Santana De Souza</v>
      </c>
      <c r="G426" s="3" t="s">
        <v>1211</v>
      </c>
      <c r="H426" s="3" t="s">
        <v>836</v>
      </c>
    </row>
    <row r="427" spans="1:8">
      <c r="A427" s="29">
        <v>42739.670497685183</v>
      </c>
      <c r="B427" s="29" t="str">
        <f>PROPER(TEXT(tbLOG[[#This Row],[DATA/HORA]],"mmmm"))</f>
        <v>Janeiro</v>
      </c>
      <c r="C427" s="34" t="str">
        <f>PROPER(TEXT(tbLOG[[#This Row],[DATA/HORA]],"dddd"))</f>
        <v>Quarta-Feira</v>
      </c>
      <c r="D427" s="3" t="s">
        <v>604</v>
      </c>
      <c r="E427" s="34" t="str">
        <f>IFERROR(VLOOKUP(tbLOG[[#This Row],[LOGIN]],tbMAPA[#All],2,0), "Não localizado")</f>
        <v>Renan Cazumba Tegani</v>
      </c>
      <c r="F427" s="34" t="str">
        <f>IFERROR(VLOOKUP(tbLOG[[#This Row],[LOGIN]],tbMAPA[#All],3,0), "Não localizado")</f>
        <v>Reginaldo Santana De Souza</v>
      </c>
      <c r="G427" s="3" t="s">
        <v>1211</v>
      </c>
      <c r="H427" s="3" t="s">
        <v>836</v>
      </c>
    </row>
    <row r="428" spans="1:8">
      <c r="A428" s="29">
        <v>42739.670682870368</v>
      </c>
      <c r="B428" s="29" t="str">
        <f>PROPER(TEXT(tbLOG[[#This Row],[DATA/HORA]],"mmmm"))</f>
        <v>Janeiro</v>
      </c>
      <c r="C428" s="34" t="str">
        <f>PROPER(TEXT(tbLOG[[#This Row],[DATA/HORA]],"dddd"))</f>
        <v>Quarta-Feira</v>
      </c>
      <c r="D428" s="3" t="s">
        <v>604</v>
      </c>
      <c r="E428" s="34" t="str">
        <f>IFERROR(VLOOKUP(tbLOG[[#This Row],[LOGIN]],tbMAPA[#All],2,0), "Não localizado")</f>
        <v>Renan Cazumba Tegani</v>
      </c>
      <c r="F428" s="34" t="str">
        <f>IFERROR(VLOOKUP(tbLOG[[#This Row],[LOGIN]],tbMAPA[#All],3,0), "Não localizado")</f>
        <v>Reginaldo Santana De Souza</v>
      </c>
      <c r="G428" s="3" t="s">
        <v>1211</v>
      </c>
      <c r="H428" s="3" t="s">
        <v>836</v>
      </c>
    </row>
    <row r="429" spans="1:8">
      <c r="A429" s="29">
        <v>42739.670706018522</v>
      </c>
      <c r="B429" s="29" t="str">
        <f>PROPER(TEXT(tbLOG[[#This Row],[DATA/HORA]],"mmmm"))</f>
        <v>Janeiro</v>
      </c>
      <c r="C429" s="34" t="str">
        <f>PROPER(TEXT(tbLOG[[#This Row],[DATA/HORA]],"dddd"))</f>
        <v>Quarta-Feira</v>
      </c>
      <c r="D429" s="3" t="s">
        <v>604</v>
      </c>
      <c r="E429" s="34" t="str">
        <f>IFERROR(VLOOKUP(tbLOG[[#This Row],[LOGIN]],tbMAPA[#All],2,0), "Não localizado")</f>
        <v>Renan Cazumba Tegani</v>
      </c>
      <c r="F429" s="34" t="str">
        <f>IFERROR(VLOOKUP(tbLOG[[#This Row],[LOGIN]],tbMAPA[#All],3,0), "Não localizado")</f>
        <v>Reginaldo Santana De Souza</v>
      </c>
      <c r="G429" s="3" t="s">
        <v>1211</v>
      </c>
      <c r="H429" s="3" t="s">
        <v>836</v>
      </c>
    </row>
    <row r="430" spans="1:8">
      <c r="A430" s="29">
        <v>42739.670775462961</v>
      </c>
      <c r="B430" s="29" t="str">
        <f>PROPER(TEXT(tbLOG[[#This Row],[DATA/HORA]],"mmmm"))</f>
        <v>Janeiro</v>
      </c>
      <c r="C430" s="34" t="str">
        <f>PROPER(TEXT(tbLOG[[#This Row],[DATA/HORA]],"dddd"))</f>
        <v>Quarta-Feira</v>
      </c>
      <c r="D430" s="3" t="s">
        <v>604</v>
      </c>
      <c r="E430" s="34" t="str">
        <f>IFERROR(VLOOKUP(tbLOG[[#This Row],[LOGIN]],tbMAPA[#All],2,0), "Não localizado")</f>
        <v>Renan Cazumba Tegani</v>
      </c>
      <c r="F430" s="34" t="str">
        <f>IFERROR(VLOOKUP(tbLOG[[#This Row],[LOGIN]],tbMAPA[#All],3,0), "Não localizado")</f>
        <v>Reginaldo Santana De Souza</v>
      </c>
      <c r="G430" s="3" t="s">
        <v>1211</v>
      </c>
      <c r="H430" s="3" t="s">
        <v>836</v>
      </c>
    </row>
    <row r="431" spans="1:8">
      <c r="A431" s="29">
        <v>42739.67082175926</v>
      </c>
      <c r="B431" s="29" t="str">
        <f>PROPER(TEXT(tbLOG[[#This Row],[DATA/HORA]],"mmmm"))</f>
        <v>Janeiro</v>
      </c>
      <c r="C431" s="34" t="str">
        <f>PROPER(TEXT(tbLOG[[#This Row],[DATA/HORA]],"dddd"))</f>
        <v>Quarta-Feira</v>
      </c>
      <c r="D431" s="3" t="s">
        <v>604</v>
      </c>
      <c r="E431" s="34" t="str">
        <f>IFERROR(VLOOKUP(tbLOG[[#This Row],[LOGIN]],tbMAPA[#All],2,0), "Não localizado")</f>
        <v>Renan Cazumba Tegani</v>
      </c>
      <c r="F431" s="34" t="str">
        <f>IFERROR(VLOOKUP(tbLOG[[#This Row],[LOGIN]],tbMAPA[#All],3,0), "Não localizado")</f>
        <v>Reginaldo Santana De Souza</v>
      </c>
      <c r="G431" s="3" t="s">
        <v>1211</v>
      </c>
      <c r="H431" s="3" t="s">
        <v>836</v>
      </c>
    </row>
    <row r="432" spans="1:8">
      <c r="A432" s="29">
        <v>42739.670856481483</v>
      </c>
      <c r="B432" s="29" t="str">
        <f>PROPER(TEXT(tbLOG[[#This Row],[DATA/HORA]],"mmmm"))</f>
        <v>Janeiro</v>
      </c>
      <c r="C432" s="34" t="str">
        <f>PROPER(TEXT(tbLOG[[#This Row],[DATA/HORA]],"dddd"))</f>
        <v>Quarta-Feira</v>
      </c>
      <c r="D432" s="3" t="s">
        <v>604</v>
      </c>
      <c r="E432" s="34" t="str">
        <f>IFERROR(VLOOKUP(tbLOG[[#This Row],[LOGIN]],tbMAPA[#All],2,0), "Não localizado")</f>
        <v>Renan Cazumba Tegani</v>
      </c>
      <c r="F432" s="34" t="str">
        <f>IFERROR(VLOOKUP(tbLOG[[#This Row],[LOGIN]],tbMAPA[#All],3,0), "Não localizado")</f>
        <v>Reginaldo Santana De Souza</v>
      </c>
      <c r="G432" s="3" t="s">
        <v>1211</v>
      </c>
      <c r="H432" s="3" t="s">
        <v>836</v>
      </c>
    </row>
    <row r="433" spans="1:8">
      <c r="A433" s="29">
        <v>42739.670937499999</v>
      </c>
      <c r="B433" s="29" t="str">
        <f>PROPER(TEXT(tbLOG[[#This Row],[DATA/HORA]],"mmmm"))</f>
        <v>Janeiro</v>
      </c>
      <c r="C433" s="34" t="str">
        <f>PROPER(TEXT(tbLOG[[#This Row],[DATA/HORA]],"dddd"))</f>
        <v>Quarta-Feira</v>
      </c>
      <c r="D433" s="3" t="s">
        <v>604</v>
      </c>
      <c r="E433" s="34" t="str">
        <f>IFERROR(VLOOKUP(tbLOG[[#This Row],[LOGIN]],tbMAPA[#All],2,0), "Não localizado")</f>
        <v>Renan Cazumba Tegani</v>
      </c>
      <c r="F433" s="34" t="str">
        <f>IFERROR(VLOOKUP(tbLOG[[#This Row],[LOGIN]],tbMAPA[#All],3,0), "Não localizado")</f>
        <v>Reginaldo Santana De Souza</v>
      </c>
      <c r="G433" s="3" t="s">
        <v>1211</v>
      </c>
      <c r="H433" s="3" t="s">
        <v>290</v>
      </c>
    </row>
    <row r="434" spans="1:8">
      <c r="A434" s="29">
        <v>42739.671134259261</v>
      </c>
      <c r="B434" s="29" t="str">
        <f>PROPER(TEXT(tbLOG[[#This Row],[DATA/HORA]],"mmmm"))</f>
        <v>Janeiro</v>
      </c>
      <c r="C434" s="34" t="str">
        <f>PROPER(TEXT(tbLOG[[#This Row],[DATA/HORA]],"dddd"))</f>
        <v>Quarta-Feira</v>
      </c>
      <c r="D434" s="3" t="s">
        <v>604</v>
      </c>
      <c r="E434" s="34" t="str">
        <f>IFERROR(VLOOKUP(tbLOG[[#This Row],[LOGIN]],tbMAPA[#All],2,0), "Não localizado")</f>
        <v>Renan Cazumba Tegani</v>
      </c>
      <c r="F434" s="34" t="str">
        <f>IFERROR(VLOOKUP(tbLOG[[#This Row],[LOGIN]],tbMAPA[#All],3,0), "Não localizado")</f>
        <v>Reginaldo Santana De Souza</v>
      </c>
      <c r="G434" s="3" t="s">
        <v>1211</v>
      </c>
      <c r="H434" s="3" t="s">
        <v>836</v>
      </c>
    </row>
    <row r="435" spans="1:8">
      <c r="A435" s="29">
        <v>42739.67119212963</v>
      </c>
      <c r="B435" s="29" t="str">
        <f>PROPER(TEXT(tbLOG[[#This Row],[DATA/HORA]],"mmmm"))</f>
        <v>Janeiro</v>
      </c>
      <c r="C435" s="34" t="str">
        <f>PROPER(TEXT(tbLOG[[#This Row],[DATA/HORA]],"dddd"))</f>
        <v>Quarta-Feira</v>
      </c>
      <c r="D435" s="3" t="s">
        <v>604</v>
      </c>
      <c r="E435" s="34" t="str">
        <f>IFERROR(VLOOKUP(tbLOG[[#This Row],[LOGIN]],tbMAPA[#All],2,0), "Não localizado")</f>
        <v>Renan Cazumba Tegani</v>
      </c>
      <c r="F435" s="34" t="str">
        <f>IFERROR(VLOOKUP(tbLOG[[#This Row],[LOGIN]],tbMAPA[#All],3,0), "Não localizado")</f>
        <v>Reginaldo Santana De Souza</v>
      </c>
      <c r="G435" s="3" t="s">
        <v>1211</v>
      </c>
      <c r="H435" s="3" t="s">
        <v>836</v>
      </c>
    </row>
    <row r="436" spans="1:8">
      <c r="A436" s="29">
        <v>42739.674386574072</v>
      </c>
      <c r="B436" s="29" t="str">
        <f>PROPER(TEXT(tbLOG[[#This Row],[DATA/HORA]],"mmmm"))</f>
        <v>Janeiro</v>
      </c>
      <c r="C436" s="34" t="str">
        <f>PROPER(TEXT(tbLOG[[#This Row],[DATA/HORA]],"dddd"))</f>
        <v>Quarta-Feira</v>
      </c>
      <c r="D436" s="3" t="s">
        <v>604</v>
      </c>
      <c r="E436" s="34" t="str">
        <f>IFERROR(VLOOKUP(tbLOG[[#This Row],[LOGIN]],tbMAPA[#All],2,0), "Não localizado")</f>
        <v>Renan Cazumba Tegani</v>
      </c>
      <c r="F436" s="34" t="str">
        <f>IFERROR(VLOOKUP(tbLOG[[#This Row],[LOGIN]],tbMAPA[#All],3,0), "Não localizado")</f>
        <v>Reginaldo Santana De Souza</v>
      </c>
      <c r="G436" s="3" t="s">
        <v>1211</v>
      </c>
      <c r="H436" s="3" t="s">
        <v>836</v>
      </c>
    </row>
    <row r="437" spans="1:8">
      <c r="A437" s="29">
        <v>42739.674479166664</v>
      </c>
      <c r="B437" s="29" t="str">
        <f>PROPER(TEXT(tbLOG[[#This Row],[DATA/HORA]],"mmmm"))</f>
        <v>Janeiro</v>
      </c>
      <c r="C437" s="34" t="str">
        <f>PROPER(TEXT(tbLOG[[#This Row],[DATA/HORA]],"dddd"))</f>
        <v>Quarta-Feira</v>
      </c>
      <c r="D437" s="3" t="s">
        <v>604</v>
      </c>
      <c r="E437" s="34" t="str">
        <f>IFERROR(VLOOKUP(tbLOG[[#This Row],[LOGIN]],tbMAPA[#All],2,0), "Não localizado")</f>
        <v>Renan Cazumba Tegani</v>
      </c>
      <c r="F437" s="34" t="str">
        <f>IFERROR(VLOOKUP(tbLOG[[#This Row],[LOGIN]],tbMAPA[#All],3,0), "Não localizado")</f>
        <v>Reginaldo Santana De Souza</v>
      </c>
      <c r="G437" s="3" t="s">
        <v>1211</v>
      </c>
      <c r="H437" s="3" t="s">
        <v>836</v>
      </c>
    </row>
    <row r="438" spans="1:8">
      <c r="A438" s="29">
        <v>42739.678032407406</v>
      </c>
      <c r="B438" s="29" t="str">
        <f>PROPER(TEXT(tbLOG[[#This Row],[DATA/HORA]],"mmmm"))</f>
        <v>Janeiro</v>
      </c>
      <c r="C438" s="34" t="str">
        <f>PROPER(TEXT(tbLOG[[#This Row],[DATA/HORA]],"dddd"))</f>
        <v>Quarta-Feira</v>
      </c>
      <c r="D438" s="3" t="s">
        <v>604</v>
      </c>
      <c r="E438" s="34" t="str">
        <f>IFERROR(VLOOKUP(tbLOG[[#This Row],[LOGIN]],tbMAPA[#All],2,0), "Não localizado")</f>
        <v>Renan Cazumba Tegani</v>
      </c>
      <c r="F438" s="34" t="str">
        <f>IFERROR(VLOOKUP(tbLOG[[#This Row],[LOGIN]],tbMAPA[#All],3,0), "Não localizado")</f>
        <v>Reginaldo Santana De Souza</v>
      </c>
      <c r="G438" s="3" t="s">
        <v>1211</v>
      </c>
      <c r="H438" s="3" t="s">
        <v>836</v>
      </c>
    </row>
    <row r="439" spans="1:8">
      <c r="A439" s="29">
        <v>42739.678148148145</v>
      </c>
      <c r="B439" s="29" t="str">
        <f>PROPER(TEXT(tbLOG[[#This Row],[DATA/HORA]],"mmmm"))</f>
        <v>Janeiro</v>
      </c>
      <c r="C439" s="34" t="str">
        <f>PROPER(TEXT(tbLOG[[#This Row],[DATA/HORA]],"dddd"))</f>
        <v>Quarta-Feira</v>
      </c>
      <c r="D439" s="3" t="s">
        <v>604</v>
      </c>
      <c r="E439" s="34" t="str">
        <f>IFERROR(VLOOKUP(tbLOG[[#This Row],[LOGIN]],tbMAPA[#All],2,0), "Não localizado")</f>
        <v>Renan Cazumba Tegani</v>
      </c>
      <c r="F439" s="34" t="str">
        <f>IFERROR(VLOOKUP(tbLOG[[#This Row],[LOGIN]],tbMAPA[#All],3,0), "Não localizado")</f>
        <v>Reginaldo Santana De Souza</v>
      </c>
      <c r="G439" s="3" t="s">
        <v>1211</v>
      </c>
      <c r="H439" s="3" t="s">
        <v>836</v>
      </c>
    </row>
    <row r="440" spans="1:8">
      <c r="A440" s="29">
        <v>42739.678194444445</v>
      </c>
      <c r="B440" s="29" t="str">
        <f>PROPER(TEXT(tbLOG[[#This Row],[DATA/HORA]],"mmmm"))</f>
        <v>Janeiro</v>
      </c>
      <c r="C440" s="34" t="str">
        <f>PROPER(TEXT(tbLOG[[#This Row],[DATA/HORA]],"dddd"))</f>
        <v>Quarta-Feira</v>
      </c>
      <c r="D440" s="3" t="s">
        <v>604</v>
      </c>
      <c r="E440" s="34" t="str">
        <f>IFERROR(VLOOKUP(tbLOG[[#This Row],[LOGIN]],tbMAPA[#All],2,0), "Não localizado")</f>
        <v>Renan Cazumba Tegani</v>
      </c>
      <c r="F440" s="34" t="str">
        <f>IFERROR(VLOOKUP(tbLOG[[#This Row],[LOGIN]],tbMAPA[#All],3,0), "Não localizado")</f>
        <v>Reginaldo Santana De Souza</v>
      </c>
      <c r="G440" s="3" t="s">
        <v>1211</v>
      </c>
      <c r="H440" s="3" t="s">
        <v>836</v>
      </c>
    </row>
    <row r="441" spans="1:8">
      <c r="A441" s="29">
        <v>42739.680405092593</v>
      </c>
      <c r="B441" s="29" t="str">
        <f>PROPER(TEXT(tbLOG[[#This Row],[DATA/HORA]],"mmmm"))</f>
        <v>Janeiro</v>
      </c>
      <c r="C441" s="34" t="str">
        <f>PROPER(TEXT(tbLOG[[#This Row],[DATA/HORA]],"dddd"))</f>
        <v>Quarta-Feira</v>
      </c>
      <c r="D441" s="3" t="s">
        <v>604</v>
      </c>
      <c r="E441" s="34" t="str">
        <f>IFERROR(VLOOKUP(tbLOG[[#This Row],[LOGIN]],tbMAPA[#All],2,0), "Não localizado")</f>
        <v>Renan Cazumba Tegani</v>
      </c>
      <c r="F441" s="34" t="str">
        <f>IFERROR(VLOOKUP(tbLOG[[#This Row],[LOGIN]],tbMAPA[#All],3,0), "Não localizado")</f>
        <v>Reginaldo Santana De Souza</v>
      </c>
      <c r="G441" s="3" t="s">
        <v>1211</v>
      </c>
      <c r="H441" s="3" t="s">
        <v>836</v>
      </c>
    </row>
    <row r="442" spans="1:8">
      <c r="A442" s="29">
        <v>42739.680451388886</v>
      </c>
      <c r="B442" s="29" t="str">
        <f>PROPER(TEXT(tbLOG[[#This Row],[DATA/HORA]],"mmmm"))</f>
        <v>Janeiro</v>
      </c>
      <c r="C442" s="34" t="str">
        <f>PROPER(TEXT(tbLOG[[#This Row],[DATA/HORA]],"dddd"))</f>
        <v>Quarta-Feira</v>
      </c>
      <c r="D442" s="3" t="s">
        <v>604</v>
      </c>
      <c r="E442" s="34" t="str">
        <f>IFERROR(VLOOKUP(tbLOG[[#This Row],[LOGIN]],tbMAPA[#All],2,0), "Não localizado")</f>
        <v>Renan Cazumba Tegani</v>
      </c>
      <c r="F442" s="34" t="str">
        <f>IFERROR(VLOOKUP(tbLOG[[#This Row],[LOGIN]],tbMAPA[#All],3,0), "Não localizado")</f>
        <v>Reginaldo Santana De Souza</v>
      </c>
      <c r="G442" s="3" t="s">
        <v>1211</v>
      </c>
      <c r="H442" s="3" t="s">
        <v>836</v>
      </c>
    </row>
    <row r="443" spans="1:8">
      <c r="A443" s="29">
        <v>42739.682847222219</v>
      </c>
      <c r="B443" s="29" t="str">
        <f>PROPER(TEXT(tbLOG[[#This Row],[DATA/HORA]],"mmmm"))</f>
        <v>Janeiro</v>
      </c>
      <c r="C443" s="34" t="str">
        <f>PROPER(TEXT(tbLOG[[#This Row],[DATA/HORA]],"dddd"))</f>
        <v>Quarta-Feira</v>
      </c>
      <c r="D443" s="3" t="s">
        <v>604</v>
      </c>
      <c r="E443" s="34" t="str">
        <f>IFERROR(VLOOKUP(tbLOG[[#This Row],[LOGIN]],tbMAPA[#All],2,0), "Não localizado")</f>
        <v>Renan Cazumba Tegani</v>
      </c>
      <c r="F443" s="34" t="str">
        <f>IFERROR(VLOOKUP(tbLOG[[#This Row],[LOGIN]],tbMAPA[#All],3,0), "Não localizado")</f>
        <v>Reginaldo Santana De Souza</v>
      </c>
      <c r="G443" s="3" t="s">
        <v>1211</v>
      </c>
      <c r="H443" s="3" t="s">
        <v>836</v>
      </c>
    </row>
    <row r="444" spans="1:8">
      <c r="A444" s="29">
        <v>42739.684166666666</v>
      </c>
      <c r="B444" s="29" t="str">
        <f>PROPER(TEXT(tbLOG[[#This Row],[DATA/HORA]],"mmmm"))</f>
        <v>Janeiro</v>
      </c>
      <c r="C444" s="34" t="str">
        <f>PROPER(TEXT(tbLOG[[#This Row],[DATA/HORA]],"dddd"))</f>
        <v>Quarta-Feira</v>
      </c>
      <c r="D444" s="3" t="s">
        <v>604</v>
      </c>
      <c r="E444" s="34" t="str">
        <f>IFERROR(VLOOKUP(tbLOG[[#This Row],[LOGIN]],tbMAPA[#All],2,0), "Não localizado")</f>
        <v>Renan Cazumba Tegani</v>
      </c>
      <c r="F444" s="34" t="str">
        <f>IFERROR(VLOOKUP(tbLOG[[#This Row],[LOGIN]],tbMAPA[#All],3,0), "Não localizado")</f>
        <v>Reginaldo Santana De Souza</v>
      </c>
      <c r="G444" s="3" t="s">
        <v>1211</v>
      </c>
      <c r="H444" s="3" t="s">
        <v>836</v>
      </c>
    </row>
    <row r="445" spans="1:8">
      <c r="A445" s="29">
        <v>42739.688703703701</v>
      </c>
      <c r="B445" s="29" t="str">
        <f>PROPER(TEXT(tbLOG[[#This Row],[DATA/HORA]],"mmmm"))</f>
        <v>Janeiro</v>
      </c>
      <c r="C445" s="34" t="str">
        <f>PROPER(TEXT(tbLOG[[#This Row],[DATA/HORA]],"dddd"))</f>
        <v>Quarta-Feira</v>
      </c>
      <c r="D445" s="3" t="s">
        <v>604</v>
      </c>
      <c r="E445" s="34" t="str">
        <f>IFERROR(VLOOKUP(tbLOG[[#This Row],[LOGIN]],tbMAPA[#All],2,0), "Não localizado")</f>
        <v>Renan Cazumba Tegani</v>
      </c>
      <c r="F445" s="34" t="str">
        <f>IFERROR(VLOOKUP(tbLOG[[#This Row],[LOGIN]],tbMAPA[#All],3,0), "Não localizado")</f>
        <v>Reginaldo Santana De Souza</v>
      </c>
      <c r="G445" s="3" t="s">
        <v>1211</v>
      </c>
      <c r="H445" s="3" t="s">
        <v>994</v>
      </c>
    </row>
    <row r="446" spans="1:8">
      <c r="A446" s="29">
        <v>42739.688831018517</v>
      </c>
      <c r="B446" s="29" t="str">
        <f>PROPER(TEXT(tbLOG[[#This Row],[DATA/HORA]],"mmmm"))</f>
        <v>Janeiro</v>
      </c>
      <c r="C446" s="34" t="str">
        <f>PROPER(TEXT(tbLOG[[#This Row],[DATA/HORA]],"dddd"))</f>
        <v>Quarta-Feira</v>
      </c>
      <c r="D446" s="3" t="s">
        <v>604</v>
      </c>
      <c r="E446" s="34" t="str">
        <f>IFERROR(VLOOKUP(tbLOG[[#This Row],[LOGIN]],tbMAPA[#All],2,0), "Não localizado")</f>
        <v>Renan Cazumba Tegani</v>
      </c>
      <c r="F446" s="34" t="str">
        <f>IFERROR(VLOOKUP(tbLOG[[#This Row],[LOGIN]],tbMAPA[#All],3,0), "Não localizado")</f>
        <v>Reginaldo Santana De Souza</v>
      </c>
      <c r="G446" s="3" t="s">
        <v>1211</v>
      </c>
      <c r="H446" s="3" t="s">
        <v>836</v>
      </c>
    </row>
    <row r="447" spans="1:8">
      <c r="A447" s="29">
        <v>42739.688877314817</v>
      </c>
      <c r="B447" s="29" t="str">
        <f>PROPER(TEXT(tbLOG[[#This Row],[DATA/HORA]],"mmmm"))</f>
        <v>Janeiro</v>
      </c>
      <c r="C447" s="34" t="str">
        <f>PROPER(TEXT(tbLOG[[#This Row],[DATA/HORA]],"dddd"))</f>
        <v>Quarta-Feira</v>
      </c>
      <c r="D447" s="3" t="s">
        <v>604</v>
      </c>
      <c r="E447" s="34" t="str">
        <f>IFERROR(VLOOKUP(tbLOG[[#This Row],[LOGIN]],tbMAPA[#All],2,0), "Não localizado")</f>
        <v>Renan Cazumba Tegani</v>
      </c>
      <c r="F447" s="34" t="str">
        <f>IFERROR(VLOOKUP(tbLOG[[#This Row],[LOGIN]],tbMAPA[#All],3,0), "Não localizado")</f>
        <v>Reginaldo Santana De Souza</v>
      </c>
      <c r="G447" s="3" t="s">
        <v>1211</v>
      </c>
      <c r="H447" s="3" t="s">
        <v>836</v>
      </c>
    </row>
    <row r="448" spans="1:8">
      <c r="A448" s="29">
        <v>42739.68990740741</v>
      </c>
      <c r="B448" s="29" t="str">
        <f>PROPER(TEXT(tbLOG[[#This Row],[DATA/HORA]],"mmmm"))</f>
        <v>Janeiro</v>
      </c>
      <c r="C448" s="34" t="str">
        <f>PROPER(TEXT(tbLOG[[#This Row],[DATA/HORA]],"dddd"))</f>
        <v>Quarta-Feira</v>
      </c>
      <c r="D448" s="3" t="s">
        <v>604</v>
      </c>
      <c r="E448" s="34" t="str">
        <f>IFERROR(VLOOKUP(tbLOG[[#This Row],[LOGIN]],tbMAPA[#All],2,0), "Não localizado")</f>
        <v>Renan Cazumba Tegani</v>
      </c>
      <c r="F448" s="34" t="str">
        <f>IFERROR(VLOOKUP(tbLOG[[#This Row],[LOGIN]],tbMAPA[#All],3,0), "Não localizado")</f>
        <v>Reginaldo Santana De Souza</v>
      </c>
      <c r="G448" s="3" t="s">
        <v>1211</v>
      </c>
      <c r="H448" s="3" t="s">
        <v>836</v>
      </c>
    </row>
    <row r="449" spans="1:8">
      <c r="A449" s="29">
        <v>42739.692523148151</v>
      </c>
      <c r="B449" s="29" t="str">
        <f>PROPER(TEXT(tbLOG[[#This Row],[DATA/HORA]],"mmmm"))</f>
        <v>Janeiro</v>
      </c>
      <c r="C449" s="34" t="str">
        <f>PROPER(TEXT(tbLOG[[#This Row],[DATA/HORA]],"dddd"))</f>
        <v>Quarta-Feira</v>
      </c>
      <c r="D449" s="3" t="s">
        <v>604</v>
      </c>
      <c r="E449" s="34" t="str">
        <f>IFERROR(VLOOKUP(tbLOG[[#This Row],[LOGIN]],tbMAPA[#All],2,0), "Não localizado")</f>
        <v>Renan Cazumba Tegani</v>
      </c>
      <c r="F449" s="34" t="str">
        <f>IFERROR(VLOOKUP(tbLOG[[#This Row],[LOGIN]],tbMAPA[#All],3,0), "Não localizado")</f>
        <v>Reginaldo Santana De Souza</v>
      </c>
      <c r="G449" s="3" t="s">
        <v>1211</v>
      </c>
      <c r="H449" s="3" t="s">
        <v>836</v>
      </c>
    </row>
    <row r="450" spans="1:8">
      <c r="A450" s="29">
        <v>42739.70380787037</v>
      </c>
      <c r="B450" s="29" t="str">
        <f>PROPER(TEXT(tbLOG[[#This Row],[DATA/HORA]],"mmmm"))</f>
        <v>Janeiro</v>
      </c>
      <c r="C450" s="34" t="str">
        <f>PROPER(TEXT(tbLOG[[#This Row],[DATA/HORA]],"dddd"))</f>
        <v>Quarta-Feira</v>
      </c>
      <c r="D450" s="3" t="s">
        <v>604</v>
      </c>
      <c r="E450" s="34" t="str">
        <f>IFERROR(VLOOKUP(tbLOG[[#This Row],[LOGIN]],tbMAPA[#All],2,0), "Não localizado")</f>
        <v>Renan Cazumba Tegani</v>
      </c>
      <c r="F450" s="34" t="str">
        <f>IFERROR(VLOOKUP(tbLOG[[#This Row],[LOGIN]],tbMAPA[#All],3,0), "Não localizado")</f>
        <v>Reginaldo Santana De Souza</v>
      </c>
      <c r="G450" s="3" t="s">
        <v>1211</v>
      </c>
      <c r="H450" s="3" t="s">
        <v>331</v>
      </c>
    </row>
    <row r="451" spans="1:8">
      <c r="A451" s="29">
        <v>42739.703888888886</v>
      </c>
      <c r="B451" s="29" t="str">
        <f>PROPER(TEXT(tbLOG[[#This Row],[DATA/HORA]],"mmmm"))</f>
        <v>Janeiro</v>
      </c>
      <c r="C451" s="34" t="str">
        <f>PROPER(TEXT(tbLOG[[#This Row],[DATA/HORA]],"dddd"))</f>
        <v>Quarta-Feira</v>
      </c>
      <c r="D451" s="3" t="s">
        <v>604</v>
      </c>
      <c r="E451" s="34" t="str">
        <f>IFERROR(VLOOKUP(tbLOG[[#This Row],[LOGIN]],tbMAPA[#All],2,0), "Não localizado")</f>
        <v>Renan Cazumba Tegani</v>
      </c>
      <c r="F451" s="34" t="str">
        <f>IFERROR(VLOOKUP(tbLOG[[#This Row],[LOGIN]],tbMAPA[#All],3,0), "Não localizado")</f>
        <v>Reginaldo Santana De Souza</v>
      </c>
      <c r="G451" s="3" t="s">
        <v>1211</v>
      </c>
      <c r="H451" s="3" t="s">
        <v>331</v>
      </c>
    </row>
    <row r="452" spans="1:8">
      <c r="A452" s="29">
        <v>42739.703923611109</v>
      </c>
      <c r="B452" s="29" t="str">
        <f>PROPER(TEXT(tbLOG[[#This Row],[DATA/HORA]],"mmmm"))</f>
        <v>Janeiro</v>
      </c>
      <c r="C452" s="34" t="str">
        <f>PROPER(TEXT(tbLOG[[#This Row],[DATA/HORA]],"dddd"))</f>
        <v>Quarta-Feira</v>
      </c>
      <c r="D452" s="3" t="s">
        <v>604</v>
      </c>
      <c r="E452" s="34" t="str">
        <f>IFERROR(VLOOKUP(tbLOG[[#This Row],[LOGIN]],tbMAPA[#All],2,0), "Não localizado")</f>
        <v>Renan Cazumba Tegani</v>
      </c>
      <c r="F452" s="34" t="str">
        <f>IFERROR(VLOOKUP(tbLOG[[#This Row],[LOGIN]],tbMAPA[#All],3,0), "Não localizado")</f>
        <v>Reginaldo Santana De Souza</v>
      </c>
      <c r="G452" s="3" t="s">
        <v>1211</v>
      </c>
      <c r="H452" s="3" t="s">
        <v>331</v>
      </c>
    </row>
    <row r="453" spans="1:8">
      <c r="A453" s="29">
        <v>42739.704004629632</v>
      </c>
      <c r="B453" s="29" t="str">
        <f>PROPER(TEXT(tbLOG[[#This Row],[DATA/HORA]],"mmmm"))</f>
        <v>Janeiro</v>
      </c>
      <c r="C453" s="34" t="str">
        <f>PROPER(TEXT(tbLOG[[#This Row],[DATA/HORA]],"dddd"))</f>
        <v>Quarta-Feira</v>
      </c>
      <c r="D453" s="3" t="s">
        <v>604</v>
      </c>
      <c r="E453" s="34" t="str">
        <f>IFERROR(VLOOKUP(tbLOG[[#This Row],[LOGIN]],tbMAPA[#All],2,0), "Não localizado")</f>
        <v>Renan Cazumba Tegani</v>
      </c>
      <c r="F453" s="34" t="str">
        <f>IFERROR(VLOOKUP(tbLOG[[#This Row],[LOGIN]],tbMAPA[#All],3,0), "Não localizado")</f>
        <v>Reginaldo Santana De Souza</v>
      </c>
      <c r="G453" s="3" t="s">
        <v>1211</v>
      </c>
      <c r="H453" s="3" t="s">
        <v>331</v>
      </c>
    </row>
    <row r="454" spans="1:8">
      <c r="A454" s="29">
        <v>42739.704050925924</v>
      </c>
      <c r="B454" s="29" t="str">
        <f>PROPER(TEXT(tbLOG[[#This Row],[DATA/HORA]],"mmmm"))</f>
        <v>Janeiro</v>
      </c>
      <c r="C454" s="34" t="str">
        <f>PROPER(TEXT(tbLOG[[#This Row],[DATA/HORA]],"dddd"))</f>
        <v>Quarta-Feira</v>
      </c>
      <c r="D454" s="3" t="s">
        <v>604</v>
      </c>
      <c r="E454" s="34" t="str">
        <f>IFERROR(VLOOKUP(tbLOG[[#This Row],[LOGIN]],tbMAPA[#All],2,0), "Não localizado")</f>
        <v>Renan Cazumba Tegani</v>
      </c>
      <c r="F454" s="34" t="str">
        <f>IFERROR(VLOOKUP(tbLOG[[#This Row],[LOGIN]],tbMAPA[#All],3,0), "Não localizado")</f>
        <v>Reginaldo Santana De Souza</v>
      </c>
      <c r="G454" s="3" t="s">
        <v>1211</v>
      </c>
      <c r="H454" s="3" t="s">
        <v>331</v>
      </c>
    </row>
    <row r="455" spans="1:8">
      <c r="A455" s="29">
        <v>42739.704097222224</v>
      </c>
      <c r="B455" s="29" t="str">
        <f>PROPER(TEXT(tbLOG[[#This Row],[DATA/HORA]],"mmmm"))</f>
        <v>Janeiro</v>
      </c>
      <c r="C455" s="34" t="str">
        <f>PROPER(TEXT(tbLOG[[#This Row],[DATA/HORA]],"dddd"))</f>
        <v>Quarta-Feira</v>
      </c>
      <c r="D455" s="3" t="s">
        <v>604</v>
      </c>
      <c r="E455" s="34" t="str">
        <f>IFERROR(VLOOKUP(tbLOG[[#This Row],[LOGIN]],tbMAPA[#All],2,0), "Não localizado")</f>
        <v>Renan Cazumba Tegani</v>
      </c>
      <c r="F455" s="34" t="str">
        <f>IFERROR(VLOOKUP(tbLOG[[#This Row],[LOGIN]],tbMAPA[#All],3,0), "Não localizado")</f>
        <v>Reginaldo Santana De Souza</v>
      </c>
      <c r="G455" s="3" t="s">
        <v>1211</v>
      </c>
      <c r="H455" s="3" t="s">
        <v>331</v>
      </c>
    </row>
    <row r="456" spans="1:8">
      <c r="A456" s="29">
        <v>42739.704224537039</v>
      </c>
      <c r="B456" s="29" t="str">
        <f>PROPER(TEXT(tbLOG[[#This Row],[DATA/HORA]],"mmmm"))</f>
        <v>Janeiro</v>
      </c>
      <c r="C456" s="34" t="str">
        <f>PROPER(TEXT(tbLOG[[#This Row],[DATA/HORA]],"dddd"))</f>
        <v>Quarta-Feira</v>
      </c>
      <c r="D456" s="3" t="s">
        <v>604</v>
      </c>
      <c r="E456" s="34" t="str">
        <f>IFERROR(VLOOKUP(tbLOG[[#This Row],[LOGIN]],tbMAPA[#All],2,0), "Não localizado")</f>
        <v>Renan Cazumba Tegani</v>
      </c>
      <c r="F456" s="34" t="str">
        <f>IFERROR(VLOOKUP(tbLOG[[#This Row],[LOGIN]],tbMAPA[#All],3,0), "Não localizado")</f>
        <v>Reginaldo Santana De Souza</v>
      </c>
      <c r="G456" s="3" t="s">
        <v>1211</v>
      </c>
      <c r="H456" s="3" t="s">
        <v>331</v>
      </c>
    </row>
    <row r="457" spans="1:8">
      <c r="A457" s="29">
        <v>42739.704861111109</v>
      </c>
      <c r="B457" s="29" t="str">
        <f>PROPER(TEXT(tbLOG[[#This Row],[DATA/HORA]],"mmmm"))</f>
        <v>Janeiro</v>
      </c>
      <c r="C457" s="34" t="str">
        <f>PROPER(TEXT(tbLOG[[#This Row],[DATA/HORA]],"dddd"))</f>
        <v>Quarta-Feira</v>
      </c>
      <c r="D457" s="3" t="s">
        <v>604</v>
      </c>
      <c r="E457" s="34" t="str">
        <f>IFERROR(VLOOKUP(tbLOG[[#This Row],[LOGIN]],tbMAPA[#All],2,0), "Não localizado")</f>
        <v>Renan Cazumba Tegani</v>
      </c>
      <c r="F457" s="34" t="str">
        <f>IFERROR(VLOOKUP(tbLOG[[#This Row],[LOGIN]],tbMAPA[#All],3,0), "Não localizado")</f>
        <v>Reginaldo Santana De Souza</v>
      </c>
      <c r="G457" s="3" t="s">
        <v>1211</v>
      </c>
      <c r="H457" s="3" t="s">
        <v>331</v>
      </c>
    </row>
    <row r="458" spans="1:8">
      <c r="A458" s="29">
        <v>42739.70553240741</v>
      </c>
      <c r="B458" s="29" t="str">
        <f>PROPER(TEXT(tbLOG[[#This Row],[DATA/HORA]],"mmmm"))</f>
        <v>Janeiro</v>
      </c>
      <c r="C458" s="34" t="str">
        <f>PROPER(TEXT(tbLOG[[#This Row],[DATA/HORA]],"dddd"))</f>
        <v>Quarta-Feira</v>
      </c>
      <c r="D458" s="3" t="s">
        <v>604</v>
      </c>
      <c r="E458" s="34" t="str">
        <f>IFERROR(VLOOKUP(tbLOG[[#This Row],[LOGIN]],tbMAPA[#All],2,0), "Não localizado")</f>
        <v>Renan Cazumba Tegani</v>
      </c>
      <c r="F458" s="34" t="str">
        <f>IFERROR(VLOOKUP(tbLOG[[#This Row],[LOGIN]],tbMAPA[#All],3,0), "Não localizado")</f>
        <v>Reginaldo Santana De Souza</v>
      </c>
      <c r="G458" s="3" t="s">
        <v>1211</v>
      </c>
      <c r="H458" s="3" t="s">
        <v>309</v>
      </c>
    </row>
    <row r="459" spans="1:8">
      <c r="A459" s="29">
        <v>42739.70553240741</v>
      </c>
      <c r="B459" s="29" t="str">
        <f>PROPER(TEXT(tbLOG[[#This Row],[DATA/HORA]],"mmmm"))</f>
        <v>Janeiro</v>
      </c>
      <c r="C459" s="34" t="str">
        <f>PROPER(TEXT(tbLOG[[#This Row],[DATA/HORA]],"dddd"))</f>
        <v>Quarta-Feira</v>
      </c>
      <c r="D459" s="3" t="s">
        <v>604</v>
      </c>
      <c r="E459" s="34" t="str">
        <f>IFERROR(VLOOKUP(tbLOG[[#This Row],[LOGIN]],tbMAPA[#All],2,0), "Não localizado")</f>
        <v>Renan Cazumba Tegani</v>
      </c>
      <c r="F459" s="34" t="str">
        <f>IFERROR(VLOOKUP(tbLOG[[#This Row],[LOGIN]],tbMAPA[#All],3,0), "Não localizado")</f>
        <v>Reginaldo Santana De Souza</v>
      </c>
      <c r="G459" s="3" t="s">
        <v>1211</v>
      </c>
      <c r="H459" s="3" t="s">
        <v>310</v>
      </c>
    </row>
    <row r="460" spans="1:8">
      <c r="A460" s="29">
        <v>42739.705567129633</v>
      </c>
      <c r="B460" s="29" t="str">
        <f>PROPER(TEXT(tbLOG[[#This Row],[DATA/HORA]],"mmmm"))</f>
        <v>Janeiro</v>
      </c>
      <c r="C460" s="34" t="str">
        <f>PROPER(TEXT(tbLOG[[#This Row],[DATA/HORA]],"dddd"))</f>
        <v>Quarta-Feira</v>
      </c>
      <c r="D460" s="3" t="s">
        <v>604</v>
      </c>
      <c r="E460" s="34" t="str">
        <f>IFERROR(VLOOKUP(tbLOG[[#This Row],[LOGIN]],tbMAPA[#All],2,0), "Não localizado")</f>
        <v>Renan Cazumba Tegani</v>
      </c>
      <c r="F460" s="34" t="str">
        <f>IFERROR(VLOOKUP(tbLOG[[#This Row],[LOGIN]],tbMAPA[#All],3,0), "Não localizado")</f>
        <v>Reginaldo Santana De Souza</v>
      </c>
      <c r="G460" s="3" t="s">
        <v>1211</v>
      </c>
      <c r="H460" s="3" t="s">
        <v>309</v>
      </c>
    </row>
    <row r="461" spans="1:8">
      <c r="A461" s="29">
        <v>42739.705567129633</v>
      </c>
      <c r="B461" s="29" t="str">
        <f>PROPER(TEXT(tbLOG[[#This Row],[DATA/HORA]],"mmmm"))</f>
        <v>Janeiro</v>
      </c>
      <c r="C461" s="34" t="str">
        <f>PROPER(TEXT(tbLOG[[#This Row],[DATA/HORA]],"dddd"))</f>
        <v>Quarta-Feira</v>
      </c>
      <c r="D461" s="3" t="s">
        <v>604</v>
      </c>
      <c r="E461" s="34" t="str">
        <f>IFERROR(VLOOKUP(tbLOG[[#This Row],[LOGIN]],tbMAPA[#All],2,0), "Não localizado")</f>
        <v>Renan Cazumba Tegani</v>
      </c>
      <c r="F461" s="34" t="str">
        <f>IFERROR(VLOOKUP(tbLOG[[#This Row],[LOGIN]],tbMAPA[#All],3,0), "Não localizado")</f>
        <v>Reginaldo Santana De Souza</v>
      </c>
      <c r="G461" s="3" t="s">
        <v>1211</v>
      </c>
      <c r="H461" s="3" t="s">
        <v>309</v>
      </c>
    </row>
    <row r="462" spans="1:8">
      <c r="A462" s="29">
        <v>42739.705578703702</v>
      </c>
      <c r="B462" s="29" t="str">
        <f>PROPER(TEXT(tbLOG[[#This Row],[DATA/HORA]],"mmmm"))</f>
        <v>Janeiro</v>
      </c>
      <c r="C462" s="34" t="str">
        <f>PROPER(TEXT(tbLOG[[#This Row],[DATA/HORA]],"dddd"))</f>
        <v>Quarta-Feira</v>
      </c>
      <c r="D462" s="3" t="s">
        <v>604</v>
      </c>
      <c r="E462" s="34" t="str">
        <f>IFERROR(VLOOKUP(tbLOG[[#This Row],[LOGIN]],tbMAPA[#All],2,0), "Não localizado")</f>
        <v>Renan Cazumba Tegani</v>
      </c>
      <c r="F462" s="34" t="str">
        <f>IFERROR(VLOOKUP(tbLOG[[#This Row],[LOGIN]],tbMAPA[#All],3,0), "Não localizado")</f>
        <v>Reginaldo Santana De Souza</v>
      </c>
      <c r="G462" s="3" t="s">
        <v>1211</v>
      </c>
      <c r="H462" s="3" t="s">
        <v>314</v>
      </c>
    </row>
    <row r="463" spans="1:8">
      <c r="A463" s="29">
        <v>42739.71130787037</v>
      </c>
      <c r="B463" s="29" t="str">
        <f>PROPER(TEXT(tbLOG[[#This Row],[DATA/HORA]],"mmmm"))</f>
        <v>Janeiro</v>
      </c>
      <c r="C463" s="34" t="str">
        <f>PROPER(TEXT(tbLOG[[#This Row],[DATA/HORA]],"dddd"))</f>
        <v>Quarta-Feira</v>
      </c>
      <c r="D463" s="3" t="s">
        <v>604</v>
      </c>
      <c r="E463" s="34" t="str">
        <f>IFERROR(VLOOKUP(tbLOG[[#This Row],[LOGIN]],tbMAPA[#All],2,0), "Não localizado")</f>
        <v>Renan Cazumba Tegani</v>
      </c>
      <c r="F463" s="34" t="str">
        <f>IFERROR(VLOOKUP(tbLOG[[#This Row],[LOGIN]],tbMAPA[#All],3,0), "Não localizado")</f>
        <v>Reginaldo Santana De Souza</v>
      </c>
      <c r="G463" s="3" t="s">
        <v>1211</v>
      </c>
      <c r="H463" s="3" t="s">
        <v>836</v>
      </c>
    </row>
    <row r="464" spans="1:8">
      <c r="A464" s="29">
        <v>42739.722766203704</v>
      </c>
      <c r="B464" s="29" t="str">
        <f>PROPER(TEXT(tbLOG[[#This Row],[DATA/HORA]],"mmmm"))</f>
        <v>Janeiro</v>
      </c>
      <c r="C464" s="34" t="str">
        <f>PROPER(TEXT(tbLOG[[#This Row],[DATA/HORA]],"dddd"))</f>
        <v>Quarta-Feira</v>
      </c>
      <c r="D464" s="3" t="s">
        <v>604</v>
      </c>
      <c r="E464" s="34" t="str">
        <f>IFERROR(VLOOKUP(tbLOG[[#This Row],[LOGIN]],tbMAPA[#All],2,0), "Não localizado")</f>
        <v>Renan Cazumba Tegani</v>
      </c>
      <c r="F464" s="34" t="str">
        <f>IFERROR(VLOOKUP(tbLOG[[#This Row],[LOGIN]],tbMAPA[#All],3,0), "Não localizado")</f>
        <v>Reginaldo Santana De Souza</v>
      </c>
      <c r="G464" s="3" t="s">
        <v>1211</v>
      </c>
      <c r="H464" s="3" t="s">
        <v>290</v>
      </c>
    </row>
    <row r="465" spans="1:8">
      <c r="A465" s="29">
        <v>42739.72278935185</v>
      </c>
      <c r="B465" s="29" t="str">
        <f>PROPER(TEXT(tbLOG[[#This Row],[DATA/HORA]],"mmmm"))</f>
        <v>Janeiro</v>
      </c>
      <c r="C465" s="34" t="str">
        <f>PROPER(TEXT(tbLOG[[#This Row],[DATA/HORA]],"dddd"))</f>
        <v>Quarta-Feira</v>
      </c>
      <c r="D465" s="3" t="s">
        <v>604</v>
      </c>
      <c r="E465" s="34" t="str">
        <f>IFERROR(VLOOKUP(tbLOG[[#This Row],[LOGIN]],tbMAPA[#All],2,0), "Não localizado")</f>
        <v>Renan Cazumba Tegani</v>
      </c>
      <c r="F465" s="34" t="str">
        <f>IFERROR(VLOOKUP(tbLOG[[#This Row],[LOGIN]],tbMAPA[#All],3,0), "Não localizado")</f>
        <v>Reginaldo Santana De Souza</v>
      </c>
      <c r="G465" s="3" t="s">
        <v>1211</v>
      </c>
      <c r="H465" s="3" t="s">
        <v>290</v>
      </c>
    </row>
    <row r="466" spans="1:8">
      <c r="A466" s="29">
        <v>42739.722858796296</v>
      </c>
      <c r="B466" s="29" t="str">
        <f>PROPER(TEXT(tbLOG[[#This Row],[DATA/HORA]],"mmmm"))</f>
        <v>Janeiro</v>
      </c>
      <c r="C466" s="34" t="str">
        <f>PROPER(TEXT(tbLOG[[#This Row],[DATA/HORA]],"dddd"))</f>
        <v>Quarta-Feira</v>
      </c>
      <c r="D466" s="3" t="s">
        <v>604</v>
      </c>
      <c r="E466" s="34" t="str">
        <f>IFERROR(VLOOKUP(tbLOG[[#This Row],[LOGIN]],tbMAPA[#All],2,0), "Não localizado")</f>
        <v>Renan Cazumba Tegani</v>
      </c>
      <c r="F466" s="34" t="str">
        <f>IFERROR(VLOOKUP(tbLOG[[#This Row],[LOGIN]],tbMAPA[#All],3,0), "Não localizado")</f>
        <v>Reginaldo Santana De Souza</v>
      </c>
      <c r="G466" s="3" t="s">
        <v>1211</v>
      </c>
      <c r="H466" s="3" t="s">
        <v>836</v>
      </c>
    </row>
    <row r="467" spans="1:8">
      <c r="A467" s="29">
        <v>42739.746307870373</v>
      </c>
      <c r="B467" s="29" t="str">
        <f>PROPER(TEXT(tbLOG[[#This Row],[DATA/HORA]],"mmmm"))</f>
        <v>Janeiro</v>
      </c>
      <c r="C467" s="34" t="str">
        <f>PROPER(TEXT(tbLOG[[#This Row],[DATA/HORA]],"dddd"))</f>
        <v>Quarta-Feira</v>
      </c>
      <c r="D467" s="3" t="s">
        <v>604</v>
      </c>
      <c r="E467" s="34" t="str">
        <f>IFERROR(VLOOKUP(tbLOG[[#This Row],[LOGIN]],tbMAPA[#All],2,0), "Não localizado")</f>
        <v>Renan Cazumba Tegani</v>
      </c>
      <c r="F467" s="34" t="str">
        <f>IFERROR(VLOOKUP(tbLOG[[#This Row],[LOGIN]],tbMAPA[#All],3,0), "Não localizado")</f>
        <v>Reginaldo Santana De Souza</v>
      </c>
      <c r="G467" s="3" t="s">
        <v>1211</v>
      </c>
      <c r="H467" s="3" t="s">
        <v>291</v>
      </c>
    </row>
    <row r="468" spans="1:8">
      <c r="A468" s="29">
        <v>42739.757557870369</v>
      </c>
      <c r="B468" s="29" t="str">
        <f>PROPER(TEXT(tbLOG[[#This Row],[DATA/HORA]],"mmmm"))</f>
        <v>Janeiro</v>
      </c>
      <c r="C468" s="34" t="str">
        <f>PROPER(TEXT(tbLOG[[#This Row],[DATA/HORA]],"dddd"))</f>
        <v>Quarta-Feira</v>
      </c>
      <c r="D468" s="3" t="s">
        <v>604</v>
      </c>
      <c r="E468" s="34" t="str">
        <f>IFERROR(VLOOKUP(tbLOG[[#This Row],[LOGIN]],tbMAPA[#All],2,0), "Não localizado")</f>
        <v>Renan Cazumba Tegani</v>
      </c>
      <c r="F468" s="34" t="str">
        <f>IFERROR(VLOOKUP(tbLOG[[#This Row],[LOGIN]],tbMAPA[#All],3,0), "Não localizado")</f>
        <v>Reginaldo Santana De Souza</v>
      </c>
      <c r="G468" s="3" t="s">
        <v>1211</v>
      </c>
      <c r="H468" s="3" t="s">
        <v>290</v>
      </c>
    </row>
    <row r="469" spans="1:8">
      <c r="A469" s="29">
        <v>42739.7580787037</v>
      </c>
      <c r="B469" s="29" t="str">
        <f>PROPER(TEXT(tbLOG[[#This Row],[DATA/HORA]],"mmmm"))</f>
        <v>Janeiro</v>
      </c>
      <c r="C469" s="34" t="str">
        <f>PROPER(TEXT(tbLOG[[#This Row],[DATA/HORA]],"dddd"))</f>
        <v>Quarta-Feira</v>
      </c>
      <c r="D469" s="3" t="s">
        <v>604</v>
      </c>
      <c r="E469" s="34" t="str">
        <f>IFERROR(VLOOKUP(tbLOG[[#This Row],[LOGIN]],tbMAPA[#All],2,0), "Não localizado")</f>
        <v>Renan Cazumba Tegani</v>
      </c>
      <c r="F469" s="34" t="str">
        <f>IFERROR(VLOOKUP(tbLOG[[#This Row],[LOGIN]],tbMAPA[#All],3,0), "Não localizado")</f>
        <v>Reginaldo Santana De Souza</v>
      </c>
      <c r="G469" s="3" t="s">
        <v>1211</v>
      </c>
      <c r="H469" s="3" t="s">
        <v>291</v>
      </c>
    </row>
    <row r="470" spans="1:8">
      <c r="A470" s="29">
        <v>42739.7580787037</v>
      </c>
      <c r="B470" s="29" t="str">
        <f>PROPER(TEXT(tbLOG[[#This Row],[DATA/HORA]],"mmmm"))</f>
        <v>Janeiro</v>
      </c>
      <c r="C470" s="34" t="str">
        <f>PROPER(TEXT(tbLOG[[#This Row],[DATA/HORA]],"dddd"))</f>
        <v>Quarta-Feira</v>
      </c>
      <c r="D470" s="3" t="s">
        <v>604</v>
      </c>
      <c r="E470" s="34" t="str">
        <f>IFERROR(VLOOKUP(tbLOG[[#This Row],[LOGIN]],tbMAPA[#All],2,0), "Não localizado")</f>
        <v>Renan Cazumba Tegani</v>
      </c>
      <c r="F470" s="34" t="str">
        <f>IFERROR(VLOOKUP(tbLOG[[#This Row],[LOGIN]],tbMAPA[#All],3,0), "Não localizado")</f>
        <v>Reginaldo Santana De Souza</v>
      </c>
      <c r="G470" s="3" t="s">
        <v>1211</v>
      </c>
      <c r="H470" s="3" t="s">
        <v>290</v>
      </c>
    </row>
    <row r="471" spans="1:8">
      <c r="A471" s="29">
        <v>42740.397812499999</v>
      </c>
      <c r="B471" s="29" t="str">
        <f>PROPER(TEXT(tbLOG[[#This Row],[DATA/HORA]],"mmmm"))</f>
        <v>Janeiro</v>
      </c>
      <c r="C471" s="34" t="str">
        <f>PROPER(TEXT(tbLOG[[#This Row],[DATA/HORA]],"dddd"))</f>
        <v>Quinta-Feira</v>
      </c>
      <c r="D471" s="3" t="s">
        <v>300</v>
      </c>
      <c r="E471" s="34" t="str">
        <f>IFERROR(VLOOKUP(tbLOG[[#This Row],[LOGIN]],tbMAPA[#All],2,0), "Não localizado")</f>
        <v>Jefte Soares Da Silva</v>
      </c>
      <c r="F471" s="34" t="str">
        <f>IFERROR(VLOOKUP(tbLOG[[#This Row],[LOGIN]],tbMAPA[#All],3,0), "Não localizado")</f>
        <v>Daniela Andrade Silva</v>
      </c>
      <c r="G471" s="3" t="s">
        <v>1000</v>
      </c>
      <c r="H471" s="3" t="s">
        <v>994</v>
      </c>
    </row>
    <row r="472" spans="1:8">
      <c r="A472" s="29">
        <v>42740.402187500003</v>
      </c>
      <c r="B472" s="29" t="str">
        <f>PROPER(TEXT(tbLOG[[#This Row],[DATA/HORA]],"mmmm"))</f>
        <v>Janeiro</v>
      </c>
      <c r="C472" s="34" t="str">
        <f>PROPER(TEXT(tbLOG[[#This Row],[DATA/HORA]],"dddd"))</f>
        <v>Quinta-Feira</v>
      </c>
      <c r="D472" s="3" t="s">
        <v>300</v>
      </c>
      <c r="E472" s="34" t="str">
        <f>IFERROR(VLOOKUP(tbLOG[[#This Row],[LOGIN]],tbMAPA[#All],2,0), "Não localizado")</f>
        <v>Jefte Soares Da Silva</v>
      </c>
      <c r="F472" s="34" t="str">
        <f>IFERROR(VLOOKUP(tbLOG[[#This Row],[LOGIN]],tbMAPA[#All],3,0), "Não localizado")</f>
        <v>Daniela Andrade Silva</v>
      </c>
      <c r="G472" s="3" t="s">
        <v>1000</v>
      </c>
      <c r="H472" s="3" t="s">
        <v>836</v>
      </c>
    </row>
    <row r="473" spans="1:8">
      <c r="A473" s="29">
        <v>42740.402233796296</v>
      </c>
      <c r="B473" s="29" t="str">
        <f>PROPER(TEXT(tbLOG[[#This Row],[DATA/HORA]],"mmmm"))</f>
        <v>Janeiro</v>
      </c>
      <c r="C473" s="34" t="str">
        <f>PROPER(TEXT(tbLOG[[#This Row],[DATA/HORA]],"dddd"))</f>
        <v>Quinta-Feira</v>
      </c>
      <c r="D473" s="3" t="s">
        <v>300</v>
      </c>
      <c r="E473" s="34" t="str">
        <f>IFERROR(VLOOKUP(tbLOG[[#This Row],[LOGIN]],tbMAPA[#All],2,0), "Não localizado")</f>
        <v>Jefte Soares Da Silva</v>
      </c>
      <c r="F473" s="34" t="str">
        <f>IFERROR(VLOOKUP(tbLOG[[#This Row],[LOGIN]],tbMAPA[#All],3,0), "Não localizado")</f>
        <v>Daniela Andrade Silva</v>
      </c>
      <c r="G473" s="3" t="s">
        <v>1000</v>
      </c>
      <c r="H473" s="3" t="s">
        <v>836</v>
      </c>
    </row>
    <row r="474" spans="1:8">
      <c r="A474" s="29">
        <v>42740.402268518519</v>
      </c>
      <c r="B474" s="29" t="str">
        <f>PROPER(TEXT(tbLOG[[#This Row],[DATA/HORA]],"mmmm"))</f>
        <v>Janeiro</v>
      </c>
      <c r="C474" s="34" t="str">
        <f>PROPER(TEXT(tbLOG[[#This Row],[DATA/HORA]],"dddd"))</f>
        <v>Quinta-Feira</v>
      </c>
      <c r="D474" s="3" t="s">
        <v>300</v>
      </c>
      <c r="E474" s="34" t="str">
        <f>IFERROR(VLOOKUP(tbLOG[[#This Row],[LOGIN]],tbMAPA[#All],2,0), "Não localizado")</f>
        <v>Jefte Soares Da Silva</v>
      </c>
      <c r="F474" s="34" t="str">
        <f>IFERROR(VLOOKUP(tbLOG[[#This Row],[LOGIN]],tbMAPA[#All],3,0), "Não localizado")</f>
        <v>Daniela Andrade Silva</v>
      </c>
      <c r="G474" s="3" t="s">
        <v>1000</v>
      </c>
      <c r="H474" s="3" t="s">
        <v>836</v>
      </c>
    </row>
    <row r="475" spans="1:8">
      <c r="A475" s="29">
        <v>42740.402511574073</v>
      </c>
      <c r="B475" s="29" t="str">
        <f>PROPER(TEXT(tbLOG[[#This Row],[DATA/HORA]],"mmmm"))</f>
        <v>Janeiro</v>
      </c>
      <c r="C475" s="34" t="str">
        <f>PROPER(TEXT(tbLOG[[#This Row],[DATA/HORA]],"dddd"))</f>
        <v>Quinta-Feira</v>
      </c>
      <c r="D475" s="3" t="s">
        <v>300</v>
      </c>
      <c r="E475" s="34" t="str">
        <f>IFERROR(VLOOKUP(tbLOG[[#This Row],[LOGIN]],tbMAPA[#All],2,0), "Não localizado")</f>
        <v>Jefte Soares Da Silva</v>
      </c>
      <c r="F475" s="34" t="str">
        <f>IFERROR(VLOOKUP(tbLOG[[#This Row],[LOGIN]],tbMAPA[#All],3,0), "Não localizado")</f>
        <v>Daniela Andrade Silva</v>
      </c>
      <c r="G475" s="3" t="s">
        <v>1000</v>
      </c>
      <c r="H475" s="3" t="s">
        <v>836</v>
      </c>
    </row>
    <row r="476" spans="1:8">
      <c r="A476" s="29">
        <v>42740.402696759258</v>
      </c>
      <c r="B476" s="29" t="str">
        <f>PROPER(TEXT(tbLOG[[#This Row],[DATA/HORA]],"mmmm"))</f>
        <v>Janeiro</v>
      </c>
      <c r="C476" s="34" t="str">
        <f>PROPER(TEXT(tbLOG[[#This Row],[DATA/HORA]],"dddd"))</f>
        <v>Quinta-Feira</v>
      </c>
      <c r="D476" s="3" t="s">
        <v>300</v>
      </c>
      <c r="E476" s="34" t="str">
        <f>IFERROR(VLOOKUP(tbLOG[[#This Row],[LOGIN]],tbMAPA[#All],2,0), "Não localizado")</f>
        <v>Jefte Soares Da Silva</v>
      </c>
      <c r="F476" s="34" t="str">
        <f>IFERROR(VLOOKUP(tbLOG[[#This Row],[LOGIN]],tbMAPA[#All],3,0), "Não localizado")</f>
        <v>Daniela Andrade Silva</v>
      </c>
      <c r="G476" s="3" t="s">
        <v>1000</v>
      </c>
      <c r="H476" s="3" t="s">
        <v>836</v>
      </c>
    </row>
    <row r="477" spans="1:8">
      <c r="A477" s="29">
        <v>42740.402719907404</v>
      </c>
      <c r="B477" s="29" t="str">
        <f>PROPER(TEXT(tbLOG[[#This Row],[DATA/HORA]],"mmmm"))</f>
        <v>Janeiro</v>
      </c>
      <c r="C477" s="34" t="str">
        <f>PROPER(TEXT(tbLOG[[#This Row],[DATA/HORA]],"dddd"))</f>
        <v>Quinta-Feira</v>
      </c>
      <c r="D477" s="3" t="s">
        <v>300</v>
      </c>
      <c r="E477" s="34" t="str">
        <f>IFERROR(VLOOKUP(tbLOG[[#This Row],[LOGIN]],tbMAPA[#All],2,0), "Não localizado")</f>
        <v>Jefte Soares Da Silva</v>
      </c>
      <c r="F477" s="34" t="str">
        <f>IFERROR(VLOOKUP(tbLOG[[#This Row],[LOGIN]],tbMAPA[#All],3,0), "Não localizado")</f>
        <v>Daniela Andrade Silva</v>
      </c>
      <c r="G477" s="3" t="s">
        <v>1000</v>
      </c>
      <c r="H477" s="3" t="s">
        <v>836</v>
      </c>
    </row>
    <row r="478" spans="1:8">
      <c r="A478" s="29">
        <v>42740.403645833336</v>
      </c>
      <c r="B478" s="29" t="str">
        <f>PROPER(TEXT(tbLOG[[#This Row],[DATA/HORA]],"mmmm"))</f>
        <v>Janeiro</v>
      </c>
      <c r="C478" s="34" t="str">
        <f>PROPER(TEXT(tbLOG[[#This Row],[DATA/HORA]],"dddd"))</f>
        <v>Quinta-Feira</v>
      </c>
      <c r="D478" s="3" t="s">
        <v>300</v>
      </c>
      <c r="E478" s="34" t="str">
        <f>IFERROR(VLOOKUP(tbLOG[[#This Row],[LOGIN]],tbMAPA[#All],2,0), "Não localizado")</f>
        <v>Jefte Soares Da Silva</v>
      </c>
      <c r="F478" s="34" t="str">
        <f>IFERROR(VLOOKUP(tbLOG[[#This Row],[LOGIN]],tbMAPA[#All],3,0), "Não localizado")</f>
        <v>Daniela Andrade Silva</v>
      </c>
      <c r="G478" s="3" t="s">
        <v>1000</v>
      </c>
      <c r="H478" s="3" t="s">
        <v>292</v>
      </c>
    </row>
    <row r="479" spans="1:8">
      <c r="A479" s="29">
        <v>42740.403692129628</v>
      </c>
      <c r="B479" s="29" t="str">
        <f>PROPER(TEXT(tbLOG[[#This Row],[DATA/HORA]],"mmmm"))</f>
        <v>Janeiro</v>
      </c>
      <c r="C479" s="34" t="str">
        <f>PROPER(TEXT(tbLOG[[#This Row],[DATA/HORA]],"dddd"))</f>
        <v>Quinta-Feira</v>
      </c>
      <c r="D479" s="3" t="s">
        <v>300</v>
      </c>
      <c r="E479" s="34" t="str">
        <f>IFERROR(VLOOKUP(tbLOG[[#This Row],[LOGIN]],tbMAPA[#All],2,0), "Não localizado")</f>
        <v>Jefte Soares Da Silva</v>
      </c>
      <c r="F479" s="34" t="str">
        <f>IFERROR(VLOOKUP(tbLOG[[#This Row],[LOGIN]],tbMAPA[#All],3,0), "Não localizado")</f>
        <v>Daniela Andrade Silva</v>
      </c>
      <c r="G479" s="3" t="s">
        <v>1000</v>
      </c>
      <c r="H479" s="3" t="s">
        <v>315</v>
      </c>
    </row>
    <row r="480" spans="1:8">
      <c r="A480" s="29">
        <v>42740.403854166667</v>
      </c>
      <c r="B480" s="29" t="str">
        <f>PROPER(TEXT(tbLOG[[#This Row],[DATA/HORA]],"mmmm"))</f>
        <v>Janeiro</v>
      </c>
      <c r="C480" s="34" t="str">
        <f>PROPER(TEXT(tbLOG[[#This Row],[DATA/HORA]],"dddd"))</f>
        <v>Quinta-Feira</v>
      </c>
      <c r="D480" s="3" t="s">
        <v>300</v>
      </c>
      <c r="E480" s="34" t="str">
        <f>IFERROR(VLOOKUP(tbLOG[[#This Row],[LOGIN]],tbMAPA[#All],2,0), "Não localizado")</f>
        <v>Jefte Soares Da Silva</v>
      </c>
      <c r="F480" s="34" t="str">
        <f>IFERROR(VLOOKUP(tbLOG[[#This Row],[LOGIN]],tbMAPA[#All],3,0), "Não localizado")</f>
        <v>Daniela Andrade Silva</v>
      </c>
      <c r="G480" s="3" t="s">
        <v>1000</v>
      </c>
      <c r="H480" s="3" t="s">
        <v>292</v>
      </c>
    </row>
    <row r="481" spans="1:8">
      <c r="A481" s="29">
        <v>42740.403877314813</v>
      </c>
      <c r="B481" s="29" t="str">
        <f>PROPER(TEXT(tbLOG[[#This Row],[DATA/HORA]],"mmmm"))</f>
        <v>Janeiro</v>
      </c>
      <c r="C481" s="34" t="str">
        <f>PROPER(TEXT(tbLOG[[#This Row],[DATA/HORA]],"dddd"))</f>
        <v>Quinta-Feira</v>
      </c>
      <c r="D481" s="3" t="s">
        <v>300</v>
      </c>
      <c r="E481" s="34" t="str">
        <f>IFERROR(VLOOKUP(tbLOG[[#This Row],[LOGIN]],tbMAPA[#All],2,0), "Não localizado")</f>
        <v>Jefte Soares Da Silva</v>
      </c>
      <c r="F481" s="34" t="str">
        <f>IFERROR(VLOOKUP(tbLOG[[#This Row],[LOGIN]],tbMAPA[#All],3,0), "Não localizado")</f>
        <v>Daniela Andrade Silva</v>
      </c>
      <c r="G481" s="3" t="s">
        <v>1000</v>
      </c>
      <c r="H481" s="3" t="s">
        <v>292</v>
      </c>
    </row>
    <row r="482" spans="1:8">
      <c r="A482" s="29">
        <v>42740.403877314813</v>
      </c>
      <c r="B482" s="29" t="str">
        <f>PROPER(TEXT(tbLOG[[#This Row],[DATA/HORA]],"mmmm"))</f>
        <v>Janeiro</v>
      </c>
      <c r="C482" s="34" t="str">
        <f>PROPER(TEXT(tbLOG[[#This Row],[DATA/HORA]],"dddd"))</f>
        <v>Quinta-Feira</v>
      </c>
      <c r="D482" s="3" t="s">
        <v>300</v>
      </c>
      <c r="E482" s="34" t="str">
        <f>IFERROR(VLOOKUP(tbLOG[[#This Row],[LOGIN]],tbMAPA[#All],2,0), "Não localizado")</f>
        <v>Jefte Soares Da Silva</v>
      </c>
      <c r="F482" s="34" t="str">
        <f>IFERROR(VLOOKUP(tbLOG[[#This Row],[LOGIN]],tbMAPA[#All],3,0), "Não localizado")</f>
        <v>Daniela Andrade Silva</v>
      </c>
      <c r="G482" s="3" t="s">
        <v>1000</v>
      </c>
      <c r="H482" s="3" t="s">
        <v>317</v>
      </c>
    </row>
    <row r="483" spans="1:8">
      <c r="A483" s="29">
        <v>42740.405439814815</v>
      </c>
      <c r="B483" s="29" t="str">
        <f>PROPER(TEXT(tbLOG[[#This Row],[DATA/HORA]],"mmmm"))</f>
        <v>Janeiro</v>
      </c>
      <c r="C483" s="34" t="str">
        <f>PROPER(TEXT(tbLOG[[#This Row],[DATA/HORA]],"dddd"))</f>
        <v>Quinta-Feira</v>
      </c>
      <c r="D483" s="3" t="s">
        <v>300</v>
      </c>
      <c r="E483" s="34" t="str">
        <f>IFERROR(VLOOKUP(tbLOG[[#This Row],[LOGIN]],tbMAPA[#All],2,0), "Não localizado")</f>
        <v>Jefte Soares Da Silva</v>
      </c>
      <c r="F483" s="34" t="str">
        <f>IFERROR(VLOOKUP(tbLOG[[#This Row],[LOGIN]],tbMAPA[#All],3,0), "Não localizado")</f>
        <v>Daniela Andrade Silva</v>
      </c>
      <c r="G483" s="3" t="s">
        <v>1000</v>
      </c>
      <c r="H483" s="3" t="s">
        <v>835</v>
      </c>
    </row>
    <row r="484" spans="1:8">
      <c r="A484" s="29">
        <v>42740.412604166668</v>
      </c>
      <c r="B484" s="29" t="str">
        <f>PROPER(TEXT(tbLOG[[#This Row],[DATA/HORA]],"mmmm"))</f>
        <v>Janeiro</v>
      </c>
      <c r="C484" s="34" t="str">
        <f>PROPER(TEXT(tbLOG[[#This Row],[DATA/HORA]],"dddd"))</f>
        <v>Quinta-Feira</v>
      </c>
      <c r="D484" s="3" t="s">
        <v>300</v>
      </c>
      <c r="E484" s="34" t="str">
        <f>IFERROR(VLOOKUP(tbLOG[[#This Row],[LOGIN]],tbMAPA[#All],2,0), "Não localizado")</f>
        <v>Jefte Soares Da Silva</v>
      </c>
      <c r="F484" s="34" t="str">
        <f>IFERROR(VLOOKUP(tbLOG[[#This Row],[LOGIN]],tbMAPA[#All],3,0), "Não localizado")</f>
        <v>Daniela Andrade Silva</v>
      </c>
      <c r="G484" s="3" t="s">
        <v>1000</v>
      </c>
      <c r="H484" s="3" t="s">
        <v>292</v>
      </c>
    </row>
    <row r="485" spans="1:8">
      <c r="A485" s="29">
        <v>42740.417175925926</v>
      </c>
      <c r="B485" s="29" t="str">
        <f>PROPER(TEXT(tbLOG[[#This Row],[DATA/HORA]],"mmmm"))</f>
        <v>Janeiro</v>
      </c>
      <c r="C485" s="34" t="str">
        <f>PROPER(TEXT(tbLOG[[#This Row],[DATA/HORA]],"dddd"))</f>
        <v>Quinta-Feira</v>
      </c>
      <c r="D485" s="3" t="s">
        <v>300</v>
      </c>
      <c r="E485" s="34" t="str">
        <f>IFERROR(VLOOKUP(tbLOG[[#This Row],[LOGIN]],tbMAPA[#All],2,0), "Não localizado")</f>
        <v>Jefte Soares Da Silva</v>
      </c>
      <c r="F485" s="34" t="str">
        <f>IFERROR(VLOOKUP(tbLOG[[#This Row],[LOGIN]],tbMAPA[#All],3,0), "Não localizado")</f>
        <v>Daniela Andrade Silva</v>
      </c>
      <c r="G485" s="3" t="s">
        <v>1000</v>
      </c>
      <c r="H485" s="3" t="s">
        <v>836</v>
      </c>
    </row>
    <row r="486" spans="1:8">
      <c r="A486" s="29">
        <v>42740.417812500003</v>
      </c>
      <c r="B486" s="29" t="str">
        <f>PROPER(TEXT(tbLOG[[#This Row],[DATA/HORA]],"mmmm"))</f>
        <v>Janeiro</v>
      </c>
      <c r="C486" s="34" t="str">
        <f>PROPER(TEXT(tbLOG[[#This Row],[DATA/HORA]],"dddd"))</f>
        <v>Quinta-Feira</v>
      </c>
      <c r="D486" s="3" t="s">
        <v>300</v>
      </c>
      <c r="E486" s="34" t="str">
        <f>IFERROR(VLOOKUP(tbLOG[[#This Row],[LOGIN]],tbMAPA[#All],2,0), "Não localizado")</f>
        <v>Jefte Soares Da Silva</v>
      </c>
      <c r="F486" s="34" t="str">
        <f>IFERROR(VLOOKUP(tbLOG[[#This Row],[LOGIN]],tbMAPA[#All],3,0), "Não localizado")</f>
        <v>Daniela Andrade Silva</v>
      </c>
      <c r="G486" s="3" t="s">
        <v>1000</v>
      </c>
      <c r="H486" s="3" t="s">
        <v>836</v>
      </c>
    </row>
    <row r="487" spans="1:8">
      <c r="A487" s="29">
        <v>42740.418124999997</v>
      </c>
      <c r="B487" s="29" t="str">
        <f>PROPER(TEXT(tbLOG[[#This Row],[DATA/HORA]],"mmmm"))</f>
        <v>Janeiro</v>
      </c>
      <c r="C487" s="34" t="str">
        <f>PROPER(TEXT(tbLOG[[#This Row],[DATA/HORA]],"dddd"))</f>
        <v>Quinta-Feira</v>
      </c>
      <c r="D487" s="3" t="s">
        <v>300</v>
      </c>
      <c r="E487" s="34" t="str">
        <f>IFERROR(VLOOKUP(tbLOG[[#This Row],[LOGIN]],tbMAPA[#All],2,0), "Não localizado")</f>
        <v>Jefte Soares Da Silva</v>
      </c>
      <c r="F487" s="34" t="str">
        <f>IFERROR(VLOOKUP(tbLOG[[#This Row],[LOGIN]],tbMAPA[#All],3,0), "Não localizado")</f>
        <v>Daniela Andrade Silva</v>
      </c>
      <c r="G487" s="3" t="s">
        <v>1000</v>
      </c>
      <c r="H487" s="3" t="s">
        <v>292</v>
      </c>
    </row>
    <row r="488" spans="1:8">
      <c r="A488" s="29">
        <v>42740.418321759258</v>
      </c>
      <c r="B488" s="29" t="str">
        <f>PROPER(TEXT(tbLOG[[#This Row],[DATA/HORA]],"mmmm"))</f>
        <v>Janeiro</v>
      </c>
      <c r="C488" s="34" t="str">
        <f>PROPER(TEXT(tbLOG[[#This Row],[DATA/HORA]],"dddd"))</f>
        <v>Quinta-Feira</v>
      </c>
      <c r="D488" s="3" t="s">
        <v>300</v>
      </c>
      <c r="E488" s="34" t="str">
        <f>IFERROR(VLOOKUP(tbLOG[[#This Row],[LOGIN]],tbMAPA[#All],2,0), "Não localizado")</f>
        <v>Jefte Soares Da Silva</v>
      </c>
      <c r="F488" s="34" t="str">
        <f>IFERROR(VLOOKUP(tbLOG[[#This Row],[LOGIN]],tbMAPA[#All],3,0), "Não localizado")</f>
        <v>Daniela Andrade Silva</v>
      </c>
      <c r="G488" s="3" t="s">
        <v>1000</v>
      </c>
      <c r="H488" s="3" t="s">
        <v>290</v>
      </c>
    </row>
    <row r="489" spans="1:8">
      <c r="A489" s="29">
        <v>42740.418599537035</v>
      </c>
      <c r="B489" s="29" t="str">
        <f>PROPER(TEXT(tbLOG[[#This Row],[DATA/HORA]],"mmmm"))</f>
        <v>Janeiro</v>
      </c>
      <c r="C489" s="34" t="str">
        <f>PROPER(TEXT(tbLOG[[#This Row],[DATA/HORA]],"dddd"))</f>
        <v>Quinta-Feira</v>
      </c>
      <c r="D489" s="3" t="s">
        <v>300</v>
      </c>
      <c r="E489" s="34" t="str">
        <f>IFERROR(VLOOKUP(tbLOG[[#This Row],[LOGIN]],tbMAPA[#All],2,0), "Não localizado")</f>
        <v>Jefte Soares Da Silva</v>
      </c>
      <c r="F489" s="34" t="str">
        <f>IFERROR(VLOOKUP(tbLOG[[#This Row],[LOGIN]],tbMAPA[#All],3,0), "Não localizado")</f>
        <v>Daniela Andrade Silva</v>
      </c>
      <c r="G489" s="3" t="s">
        <v>1000</v>
      </c>
      <c r="H489" s="3" t="s">
        <v>331</v>
      </c>
    </row>
    <row r="490" spans="1:8">
      <c r="A490" s="29">
        <v>42740.418703703705</v>
      </c>
      <c r="B490" s="29" t="str">
        <f>PROPER(TEXT(tbLOG[[#This Row],[DATA/HORA]],"mmmm"))</f>
        <v>Janeiro</v>
      </c>
      <c r="C490" s="34" t="str">
        <f>PROPER(TEXT(tbLOG[[#This Row],[DATA/HORA]],"dddd"))</f>
        <v>Quinta-Feira</v>
      </c>
      <c r="D490" s="3" t="s">
        <v>300</v>
      </c>
      <c r="E490" s="34" t="str">
        <f>IFERROR(VLOOKUP(tbLOG[[#This Row],[LOGIN]],tbMAPA[#All],2,0), "Não localizado")</f>
        <v>Jefte Soares Da Silva</v>
      </c>
      <c r="F490" s="34" t="str">
        <f>IFERROR(VLOOKUP(tbLOG[[#This Row],[LOGIN]],tbMAPA[#All],3,0), "Não localizado")</f>
        <v>Daniela Andrade Silva</v>
      </c>
      <c r="G490" s="3" t="s">
        <v>1000</v>
      </c>
      <c r="H490" s="3" t="s">
        <v>290</v>
      </c>
    </row>
    <row r="491" spans="1:8">
      <c r="A491" s="29">
        <v>42740.418854166666</v>
      </c>
      <c r="B491" s="29" t="str">
        <f>PROPER(TEXT(tbLOG[[#This Row],[DATA/HORA]],"mmmm"))</f>
        <v>Janeiro</v>
      </c>
      <c r="C491" s="34" t="str">
        <f>PROPER(TEXT(tbLOG[[#This Row],[DATA/HORA]],"dddd"))</f>
        <v>Quinta-Feira</v>
      </c>
      <c r="D491" s="3" t="s">
        <v>300</v>
      </c>
      <c r="E491" s="34" t="str">
        <f>IFERROR(VLOOKUP(tbLOG[[#This Row],[LOGIN]],tbMAPA[#All],2,0), "Não localizado")</f>
        <v>Jefte Soares Da Silva</v>
      </c>
      <c r="F491" s="34" t="str">
        <f>IFERROR(VLOOKUP(tbLOG[[#This Row],[LOGIN]],tbMAPA[#All],3,0), "Não localizado")</f>
        <v>Daniela Andrade Silva</v>
      </c>
      <c r="G491" s="3" t="s">
        <v>1000</v>
      </c>
      <c r="H491" s="3" t="s">
        <v>290</v>
      </c>
    </row>
    <row r="492" spans="1:8">
      <c r="A492" s="29">
        <v>42740.41920138889</v>
      </c>
      <c r="B492" s="29" t="str">
        <f>PROPER(TEXT(tbLOG[[#This Row],[DATA/HORA]],"mmmm"))</f>
        <v>Janeiro</v>
      </c>
      <c r="C492" s="34" t="str">
        <f>PROPER(TEXT(tbLOG[[#This Row],[DATA/HORA]],"dddd"))</f>
        <v>Quinta-Feira</v>
      </c>
      <c r="D492" s="3" t="s">
        <v>300</v>
      </c>
      <c r="E492" s="34" t="str">
        <f>IFERROR(VLOOKUP(tbLOG[[#This Row],[LOGIN]],tbMAPA[#All],2,0), "Não localizado")</f>
        <v>Jefte Soares Da Silva</v>
      </c>
      <c r="F492" s="34" t="str">
        <f>IFERROR(VLOOKUP(tbLOG[[#This Row],[LOGIN]],tbMAPA[#All],3,0), "Não localizado")</f>
        <v>Daniela Andrade Silva</v>
      </c>
      <c r="G492" s="3" t="s">
        <v>1000</v>
      </c>
      <c r="H492" s="3" t="s">
        <v>291</v>
      </c>
    </row>
    <row r="493" spans="1:8">
      <c r="A493" s="29">
        <v>42740.41920138889</v>
      </c>
      <c r="B493" s="29" t="str">
        <f>PROPER(TEXT(tbLOG[[#This Row],[DATA/HORA]],"mmmm"))</f>
        <v>Janeiro</v>
      </c>
      <c r="C493" s="34" t="str">
        <f>PROPER(TEXT(tbLOG[[#This Row],[DATA/HORA]],"dddd"))</f>
        <v>Quinta-Feira</v>
      </c>
      <c r="D493" s="3" t="s">
        <v>300</v>
      </c>
      <c r="E493" s="34" t="str">
        <f>IFERROR(VLOOKUP(tbLOG[[#This Row],[LOGIN]],tbMAPA[#All],2,0), "Não localizado")</f>
        <v>Jefte Soares Da Silva</v>
      </c>
      <c r="F493" s="34" t="str">
        <f>IFERROR(VLOOKUP(tbLOG[[#This Row],[LOGIN]],tbMAPA[#All],3,0), "Não localizado")</f>
        <v>Daniela Andrade Silva</v>
      </c>
      <c r="G493" s="3" t="s">
        <v>1000</v>
      </c>
      <c r="H493" s="3" t="s">
        <v>290</v>
      </c>
    </row>
    <row r="494" spans="1:8">
      <c r="A494" s="29">
        <v>42740.421550925923</v>
      </c>
      <c r="B494" s="29" t="str">
        <f>PROPER(TEXT(tbLOG[[#This Row],[DATA/HORA]],"mmmm"))</f>
        <v>Janeiro</v>
      </c>
      <c r="C494" s="34" t="str">
        <f>PROPER(TEXT(tbLOG[[#This Row],[DATA/HORA]],"dddd"))</f>
        <v>Quinta-Feira</v>
      </c>
      <c r="D494" s="3" t="s">
        <v>604</v>
      </c>
      <c r="E494" s="34" t="str">
        <f>IFERROR(VLOOKUP(tbLOG[[#This Row],[LOGIN]],tbMAPA[#All],2,0), "Não localizado")</f>
        <v>Renan Cazumba Tegani</v>
      </c>
      <c r="F494" s="34" t="str">
        <f>IFERROR(VLOOKUP(tbLOG[[#This Row],[LOGIN]],tbMAPA[#All],3,0), "Não localizado")</f>
        <v>Reginaldo Santana De Souza</v>
      </c>
      <c r="G494" s="3" t="s">
        <v>1211</v>
      </c>
      <c r="H494" s="3" t="s">
        <v>994</v>
      </c>
    </row>
    <row r="495" spans="1:8">
      <c r="A495" s="29">
        <v>42740.422511574077</v>
      </c>
      <c r="B495" s="29" t="str">
        <f>PROPER(TEXT(tbLOG[[#This Row],[DATA/HORA]],"mmmm"))</f>
        <v>Janeiro</v>
      </c>
      <c r="C495" s="34" t="str">
        <f>PROPER(TEXT(tbLOG[[#This Row],[DATA/HORA]],"dddd"))</f>
        <v>Quinta-Feira</v>
      </c>
      <c r="D495" s="3" t="s">
        <v>604</v>
      </c>
      <c r="E495" s="34" t="str">
        <f>IFERROR(VLOOKUP(tbLOG[[#This Row],[LOGIN]],tbMAPA[#All],2,0), "Não localizado")</f>
        <v>Renan Cazumba Tegani</v>
      </c>
      <c r="F495" s="34" t="str">
        <f>IFERROR(VLOOKUP(tbLOG[[#This Row],[LOGIN]],tbMAPA[#All],3,0), "Não localizado")</f>
        <v>Reginaldo Santana De Souza</v>
      </c>
      <c r="G495" s="3" t="s">
        <v>1211</v>
      </c>
      <c r="H495" s="3" t="s">
        <v>309</v>
      </c>
    </row>
    <row r="496" spans="1:8">
      <c r="A496" s="29">
        <v>42740.422511574077</v>
      </c>
      <c r="B496" s="29" t="str">
        <f>PROPER(TEXT(tbLOG[[#This Row],[DATA/HORA]],"mmmm"))</f>
        <v>Janeiro</v>
      </c>
      <c r="C496" s="34" t="str">
        <f>PROPER(TEXT(tbLOG[[#This Row],[DATA/HORA]],"dddd"))</f>
        <v>Quinta-Feira</v>
      </c>
      <c r="D496" s="3" t="s">
        <v>604</v>
      </c>
      <c r="E496" s="34" t="str">
        <f>IFERROR(VLOOKUP(tbLOG[[#This Row],[LOGIN]],tbMAPA[#All],2,0), "Não localizado")</f>
        <v>Renan Cazumba Tegani</v>
      </c>
      <c r="F496" s="34" t="str">
        <f>IFERROR(VLOOKUP(tbLOG[[#This Row],[LOGIN]],tbMAPA[#All],3,0), "Não localizado")</f>
        <v>Reginaldo Santana De Souza</v>
      </c>
      <c r="G496" s="3" t="s">
        <v>1211</v>
      </c>
      <c r="H496" s="3" t="s">
        <v>310</v>
      </c>
    </row>
    <row r="497" spans="1:8">
      <c r="A497" s="29">
        <v>42740.422546296293</v>
      </c>
      <c r="B497" s="29" t="str">
        <f>PROPER(TEXT(tbLOG[[#This Row],[DATA/HORA]],"mmmm"))</f>
        <v>Janeiro</v>
      </c>
      <c r="C497" s="34" t="str">
        <f>PROPER(TEXT(tbLOG[[#This Row],[DATA/HORA]],"dddd"))</f>
        <v>Quinta-Feira</v>
      </c>
      <c r="D497" s="3" t="s">
        <v>604</v>
      </c>
      <c r="E497" s="34" t="str">
        <f>IFERROR(VLOOKUP(tbLOG[[#This Row],[LOGIN]],tbMAPA[#All],2,0), "Não localizado")</f>
        <v>Renan Cazumba Tegani</v>
      </c>
      <c r="F497" s="34" t="str">
        <f>IFERROR(VLOOKUP(tbLOG[[#This Row],[LOGIN]],tbMAPA[#All],3,0), "Não localizado")</f>
        <v>Reginaldo Santana De Souza</v>
      </c>
      <c r="G497" s="3" t="s">
        <v>1211</v>
      </c>
      <c r="H497" s="3" t="s">
        <v>309</v>
      </c>
    </row>
    <row r="498" spans="1:8">
      <c r="A498" s="29">
        <v>42740.422546296293</v>
      </c>
      <c r="B498" s="29" t="str">
        <f>PROPER(TEXT(tbLOG[[#This Row],[DATA/HORA]],"mmmm"))</f>
        <v>Janeiro</v>
      </c>
      <c r="C498" s="34" t="str">
        <f>PROPER(TEXT(tbLOG[[#This Row],[DATA/HORA]],"dddd"))</f>
        <v>Quinta-Feira</v>
      </c>
      <c r="D498" s="3" t="s">
        <v>604</v>
      </c>
      <c r="E498" s="34" t="str">
        <f>IFERROR(VLOOKUP(tbLOG[[#This Row],[LOGIN]],tbMAPA[#All],2,0), "Não localizado")</f>
        <v>Renan Cazumba Tegani</v>
      </c>
      <c r="F498" s="34" t="str">
        <f>IFERROR(VLOOKUP(tbLOG[[#This Row],[LOGIN]],tbMAPA[#All],3,0), "Não localizado")</f>
        <v>Reginaldo Santana De Souza</v>
      </c>
      <c r="G498" s="3" t="s">
        <v>1211</v>
      </c>
      <c r="H498" s="3" t="s">
        <v>309</v>
      </c>
    </row>
    <row r="499" spans="1:8">
      <c r="A499" s="29">
        <v>42740.422546296293</v>
      </c>
      <c r="B499" s="29" t="str">
        <f>PROPER(TEXT(tbLOG[[#This Row],[DATA/HORA]],"mmmm"))</f>
        <v>Janeiro</v>
      </c>
      <c r="C499" s="34" t="str">
        <f>PROPER(TEXT(tbLOG[[#This Row],[DATA/HORA]],"dddd"))</f>
        <v>Quinta-Feira</v>
      </c>
      <c r="D499" s="3" t="s">
        <v>604</v>
      </c>
      <c r="E499" s="34" t="str">
        <f>IFERROR(VLOOKUP(tbLOG[[#This Row],[LOGIN]],tbMAPA[#All],2,0), "Não localizado")</f>
        <v>Renan Cazumba Tegani</v>
      </c>
      <c r="F499" s="34" t="str">
        <f>IFERROR(VLOOKUP(tbLOG[[#This Row],[LOGIN]],tbMAPA[#All],3,0), "Não localizado")</f>
        <v>Reginaldo Santana De Souza</v>
      </c>
      <c r="G499" s="3" t="s">
        <v>1211</v>
      </c>
      <c r="H499" s="3" t="s">
        <v>314</v>
      </c>
    </row>
    <row r="500" spans="1:8">
      <c r="A500" s="29">
        <v>42740.425983796296</v>
      </c>
      <c r="B500" s="29" t="str">
        <f>PROPER(TEXT(tbLOG[[#This Row],[DATA/HORA]],"mmmm"))</f>
        <v>Janeiro</v>
      </c>
      <c r="C500" s="34" t="str">
        <f>PROPER(TEXT(tbLOG[[#This Row],[DATA/HORA]],"dddd"))</f>
        <v>Quinta-Feira</v>
      </c>
      <c r="D500" s="3" t="s">
        <v>604</v>
      </c>
      <c r="E500" s="34" t="str">
        <f>IFERROR(VLOOKUP(tbLOG[[#This Row],[LOGIN]],tbMAPA[#All],2,0), "Não localizado")</f>
        <v>Renan Cazumba Tegani</v>
      </c>
      <c r="F500" s="34" t="str">
        <f>IFERROR(VLOOKUP(tbLOG[[#This Row],[LOGIN]],tbMAPA[#All],3,0), "Não localizado")</f>
        <v>Reginaldo Santana De Souza</v>
      </c>
      <c r="G500" s="3" t="s">
        <v>1211</v>
      </c>
      <c r="H500" s="3" t="s">
        <v>836</v>
      </c>
    </row>
    <row r="501" spans="1:8">
      <c r="A501" s="29">
        <v>42740.426006944443</v>
      </c>
      <c r="B501" s="29" t="str">
        <f>PROPER(TEXT(tbLOG[[#This Row],[DATA/HORA]],"mmmm"))</f>
        <v>Janeiro</v>
      </c>
      <c r="C501" s="34" t="str">
        <f>PROPER(TEXT(tbLOG[[#This Row],[DATA/HORA]],"dddd"))</f>
        <v>Quinta-Feira</v>
      </c>
      <c r="D501" s="3" t="s">
        <v>604</v>
      </c>
      <c r="E501" s="34" t="str">
        <f>IFERROR(VLOOKUP(tbLOG[[#This Row],[LOGIN]],tbMAPA[#All],2,0), "Não localizado")</f>
        <v>Renan Cazumba Tegani</v>
      </c>
      <c r="F501" s="34" t="str">
        <f>IFERROR(VLOOKUP(tbLOG[[#This Row],[LOGIN]],tbMAPA[#All],3,0), "Não localizado")</f>
        <v>Reginaldo Santana De Souza</v>
      </c>
      <c r="G501" s="3" t="s">
        <v>1211</v>
      </c>
      <c r="H501" s="3" t="s">
        <v>836</v>
      </c>
    </row>
    <row r="502" spans="1:8">
      <c r="A502" s="29">
        <v>42740.426365740743</v>
      </c>
      <c r="B502" s="29" t="str">
        <f>PROPER(TEXT(tbLOG[[#This Row],[DATA/HORA]],"mmmm"))</f>
        <v>Janeiro</v>
      </c>
      <c r="C502" s="34" t="str">
        <f>PROPER(TEXT(tbLOG[[#This Row],[DATA/HORA]],"dddd"))</f>
        <v>Quinta-Feira</v>
      </c>
      <c r="D502" s="3" t="s">
        <v>604</v>
      </c>
      <c r="E502" s="34" t="str">
        <f>IFERROR(VLOOKUP(tbLOG[[#This Row],[LOGIN]],tbMAPA[#All],2,0), "Não localizado")</f>
        <v>Renan Cazumba Tegani</v>
      </c>
      <c r="F502" s="34" t="str">
        <f>IFERROR(VLOOKUP(tbLOG[[#This Row],[LOGIN]],tbMAPA[#All],3,0), "Não localizado")</f>
        <v>Reginaldo Santana De Souza</v>
      </c>
      <c r="G502" s="3" t="s">
        <v>1211</v>
      </c>
      <c r="H502" s="3" t="s">
        <v>836</v>
      </c>
    </row>
    <row r="503" spans="1:8">
      <c r="A503" s="29">
        <v>42740.429560185185</v>
      </c>
      <c r="B503" s="29" t="str">
        <f>PROPER(TEXT(tbLOG[[#This Row],[DATA/HORA]],"mmmm"))</f>
        <v>Janeiro</v>
      </c>
      <c r="C503" s="34" t="str">
        <f>PROPER(TEXT(tbLOG[[#This Row],[DATA/HORA]],"dddd"))</f>
        <v>Quinta-Feira</v>
      </c>
      <c r="D503" s="3" t="s">
        <v>604</v>
      </c>
      <c r="E503" s="34" t="str">
        <f>IFERROR(VLOOKUP(tbLOG[[#This Row],[LOGIN]],tbMAPA[#All],2,0), "Não localizado")</f>
        <v>Renan Cazumba Tegani</v>
      </c>
      <c r="F503" s="34" t="str">
        <f>IFERROR(VLOOKUP(tbLOG[[#This Row],[LOGIN]],tbMAPA[#All],3,0), "Não localizado")</f>
        <v>Reginaldo Santana De Souza</v>
      </c>
      <c r="G503" s="3" t="s">
        <v>1211</v>
      </c>
      <c r="H503" s="3" t="s">
        <v>836</v>
      </c>
    </row>
    <row r="504" spans="1:8">
      <c r="A504" s="29">
        <v>42740.429583333331</v>
      </c>
      <c r="B504" s="29" t="str">
        <f>PROPER(TEXT(tbLOG[[#This Row],[DATA/HORA]],"mmmm"))</f>
        <v>Janeiro</v>
      </c>
      <c r="C504" s="34" t="str">
        <f>PROPER(TEXT(tbLOG[[#This Row],[DATA/HORA]],"dddd"))</f>
        <v>Quinta-Feira</v>
      </c>
      <c r="D504" s="3" t="s">
        <v>604</v>
      </c>
      <c r="E504" s="34" t="str">
        <f>IFERROR(VLOOKUP(tbLOG[[#This Row],[LOGIN]],tbMAPA[#All],2,0), "Não localizado")</f>
        <v>Renan Cazumba Tegani</v>
      </c>
      <c r="F504" s="34" t="str">
        <f>IFERROR(VLOOKUP(tbLOG[[#This Row],[LOGIN]],tbMAPA[#All],3,0), "Não localizado")</f>
        <v>Reginaldo Santana De Souza</v>
      </c>
      <c r="G504" s="3" t="s">
        <v>1211</v>
      </c>
      <c r="H504" s="3" t="s">
        <v>836</v>
      </c>
    </row>
    <row r="505" spans="1:8">
      <c r="A505" s="29">
        <v>42740.429745370369</v>
      </c>
      <c r="B505" s="29" t="str">
        <f>PROPER(TEXT(tbLOG[[#This Row],[DATA/HORA]],"mmmm"))</f>
        <v>Janeiro</v>
      </c>
      <c r="C505" s="34" t="str">
        <f>PROPER(TEXT(tbLOG[[#This Row],[DATA/HORA]],"dddd"))</f>
        <v>Quinta-Feira</v>
      </c>
      <c r="D505" s="3" t="s">
        <v>604</v>
      </c>
      <c r="E505" s="34" t="str">
        <f>IFERROR(VLOOKUP(tbLOG[[#This Row],[LOGIN]],tbMAPA[#All],2,0), "Não localizado")</f>
        <v>Renan Cazumba Tegani</v>
      </c>
      <c r="F505" s="34" t="str">
        <f>IFERROR(VLOOKUP(tbLOG[[#This Row],[LOGIN]],tbMAPA[#All],3,0), "Não localizado")</f>
        <v>Reginaldo Santana De Souza</v>
      </c>
      <c r="G505" s="3" t="s">
        <v>1211</v>
      </c>
      <c r="H505" s="3" t="s">
        <v>836</v>
      </c>
    </row>
    <row r="506" spans="1:8">
      <c r="A506" s="29">
        <v>42740.43372685185</v>
      </c>
      <c r="B506" s="29" t="str">
        <f>PROPER(TEXT(tbLOG[[#This Row],[DATA/HORA]],"mmmm"))</f>
        <v>Janeiro</v>
      </c>
      <c r="C506" s="34" t="str">
        <f>PROPER(TEXT(tbLOG[[#This Row],[DATA/HORA]],"dddd"))</f>
        <v>Quinta-Feira</v>
      </c>
      <c r="D506" s="3" t="s">
        <v>604</v>
      </c>
      <c r="E506" s="34" t="str">
        <f>IFERROR(VLOOKUP(tbLOG[[#This Row],[LOGIN]],tbMAPA[#All],2,0), "Não localizado")</f>
        <v>Renan Cazumba Tegani</v>
      </c>
      <c r="F506" s="34" t="str">
        <f>IFERROR(VLOOKUP(tbLOG[[#This Row],[LOGIN]],tbMAPA[#All],3,0), "Não localizado")</f>
        <v>Reginaldo Santana De Souza</v>
      </c>
      <c r="G506" s="3" t="s">
        <v>1211</v>
      </c>
      <c r="H506" s="3" t="s">
        <v>836</v>
      </c>
    </row>
    <row r="507" spans="1:8">
      <c r="A507" s="29">
        <v>42740.433738425927</v>
      </c>
      <c r="B507" s="29" t="str">
        <f>PROPER(TEXT(tbLOG[[#This Row],[DATA/HORA]],"mmmm"))</f>
        <v>Janeiro</v>
      </c>
      <c r="C507" s="34" t="str">
        <f>PROPER(TEXT(tbLOG[[#This Row],[DATA/HORA]],"dddd"))</f>
        <v>Quinta-Feira</v>
      </c>
      <c r="D507" s="3" t="s">
        <v>604</v>
      </c>
      <c r="E507" s="34" t="str">
        <f>IFERROR(VLOOKUP(tbLOG[[#This Row],[LOGIN]],tbMAPA[#All],2,0), "Não localizado")</f>
        <v>Renan Cazumba Tegani</v>
      </c>
      <c r="F507" s="34" t="str">
        <f>IFERROR(VLOOKUP(tbLOG[[#This Row],[LOGIN]],tbMAPA[#All],3,0), "Não localizado")</f>
        <v>Reginaldo Santana De Souza</v>
      </c>
      <c r="G507" s="3" t="s">
        <v>1211</v>
      </c>
      <c r="H507" s="3" t="s">
        <v>836</v>
      </c>
    </row>
    <row r="508" spans="1:8">
      <c r="A508" s="29">
        <v>42740.433761574073</v>
      </c>
      <c r="B508" s="29" t="str">
        <f>PROPER(TEXT(tbLOG[[#This Row],[DATA/HORA]],"mmmm"))</f>
        <v>Janeiro</v>
      </c>
      <c r="C508" s="34" t="str">
        <f>PROPER(TEXT(tbLOG[[#This Row],[DATA/HORA]],"dddd"))</f>
        <v>Quinta-Feira</v>
      </c>
      <c r="D508" s="3" t="s">
        <v>604</v>
      </c>
      <c r="E508" s="34" t="str">
        <f>IFERROR(VLOOKUP(tbLOG[[#This Row],[LOGIN]],tbMAPA[#All],2,0), "Não localizado")</f>
        <v>Renan Cazumba Tegani</v>
      </c>
      <c r="F508" s="34" t="str">
        <f>IFERROR(VLOOKUP(tbLOG[[#This Row],[LOGIN]],tbMAPA[#All],3,0), "Não localizado")</f>
        <v>Reginaldo Santana De Souza</v>
      </c>
      <c r="G508" s="3" t="s">
        <v>1211</v>
      </c>
      <c r="H508" s="3" t="s">
        <v>836</v>
      </c>
    </row>
    <row r="509" spans="1:8">
      <c r="A509" s="29">
        <v>42740.433946759258</v>
      </c>
      <c r="B509" s="29" t="str">
        <f>PROPER(TEXT(tbLOG[[#This Row],[DATA/HORA]],"mmmm"))</f>
        <v>Janeiro</v>
      </c>
      <c r="C509" s="34" t="str">
        <f>PROPER(TEXT(tbLOG[[#This Row],[DATA/HORA]],"dddd"))</f>
        <v>Quinta-Feira</v>
      </c>
      <c r="D509" s="3" t="s">
        <v>604</v>
      </c>
      <c r="E509" s="34" t="str">
        <f>IFERROR(VLOOKUP(tbLOG[[#This Row],[LOGIN]],tbMAPA[#All],2,0), "Não localizado")</f>
        <v>Renan Cazumba Tegani</v>
      </c>
      <c r="F509" s="34" t="str">
        <f>IFERROR(VLOOKUP(tbLOG[[#This Row],[LOGIN]],tbMAPA[#All],3,0), "Não localizado")</f>
        <v>Reginaldo Santana De Souza</v>
      </c>
      <c r="G509" s="3" t="s">
        <v>1211</v>
      </c>
      <c r="H509" s="3" t="s">
        <v>836</v>
      </c>
    </row>
    <row r="510" spans="1:8">
      <c r="A510" s="29">
        <v>42740.437881944446</v>
      </c>
      <c r="B510" s="29" t="str">
        <f>PROPER(TEXT(tbLOG[[#This Row],[DATA/HORA]],"mmmm"))</f>
        <v>Janeiro</v>
      </c>
      <c r="C510" s="34" t="str">
        <f>PROPER(TEXT(tbLOG[[#This Row],[DATA/HORA]],"dddd"))</f>
        <v>Quinta-Feira</v>
      </c>
      <c r="D510" s="3" t="s">
        <v>604</v>
      </c>
      <c r="E510" s="34" t="str">
        <f>IFERROR(VLOOKUP(tbLOG[[#This Row],[LOGIN]],tbMAPA[#All],2,0), "Não localizado")</f>
        <v>Renan Cazumba Tegani</v>
      </c>
      <c r="F510" s="34" t="str">
        <f>IFERROR(VLOOKUP(tbLOG[[#This Row],[LOGIN]],tbMAPA[#All],3,0), "Não localizado")</f>
        <v>Reginaldo Santana De Souza</v>
      </c>
      <c r="G510" s="3" t="s">
        <v>1211</v>
      </c>
      <c r="H510" s="3" t="s">
        <v>836</v>
      </c>
    </row>
    <row r="511" spans="1:8">
      <c r="A511" s="29">
        <v>42740.437905092593</v>
      </c>
      <c r="B511" s="29" t="str">
        <f>PROPER(TEXT(tbLOG[[#This Row],[DATA/HORA]],"mmmm"))</f>
        <v>Janeiro</v>
      </c>
      <c r="C511" s="34" t="str">
        <f>PROPER(TEXT(tbLOG[[#This Row],[DATA/HORA]],"dddd"))</f>
        <v>Quinta-Feira</v>
      </c>
      <c r="D511" s="3" t="s">
        <v>604</v>
      </c>
      <c r="E511" s="34" t="str">
        <f>IFERROR(VLOOKUP(tbLOG[[#This Row],[LOGIN]],tbMAPA[#All],2,0), "Não localizado")</f>
        <v>Renan Cazumba Tegani</v>
      </c>
      <c r="F511" s="34" t="str">
        <f>IFERROR(VLOOKUP(tbLOG[[#This Row],[LOGIN]],tbMAPA[#All],3,0), "Não localizado")</f>
        <v>Reginaldo Santana De Souza</v>
      </c>
      <c r="G511" s="3" t="s">
        <v>1211</v>
      </c>
      <c r="H511" s="3" t="s">
        <v>836</v>
      </c>
    </row>
    <row r="512" spans="1:8">
      <c r="A512" s="29">
        <v>42740.437986111108</v>
      </c>
      <c r="B512" s="29" t="str">
        <f>PROPER(TEXT(tbLOG[[#This Row],[DATA/HORA]],"mmmm"))</f>
        <v>Janeiro</v>
      </c>
      <c r="C512" s="34" t="str">
        <f>PROPER(TEXT(tbLOG[[#This Row],[DATA/HORA]],"dddd"))</f>
        <v>Quinta-Feira</v>
      </c>
      <c r="D512" s="3" t="s">
        <v>604</v>
      </c>
      <c r="E512" s="34" t="str">
        <f>IFERROR(VLOOKUP(tbLOG[[#This Row],[LOGIN]],tbMAPA[#All],2,0), "Não localizado")</f>
        <v>Renan Cazumba Tegani</v>
      </c>
      <c r="F512" s="34" t="str">
        <f>IFERROR(VLOOKUP(tbLOG[[#This Row],[LOGIN]],tbMAPA[#All],3,0), "Não localizado")</f>
        <v>Reginaldo Santana De Souza</v>
      </c>
      <c r="G512" s="3" t="s">
        <v>1211</v>
      </c>
      <c r="H512" s="3" t="s">
        <v>836</v>
      </c>
    </row>
    <row r="513" spans="1:8">
      <c r="A513" s="29">
        <v>42740.464733796296</v>
      </c>
      <c r="B513" s="29" t="str">
        <f>PROPER(TEXT(tbLOG[[#This Row],[DATA/HORA]],"mmmm"))</f>
        <v>Janeiro</v>
      </c>
      <c r="C513" s="34" t="str">
        <f>PROPER(TEXT(tbLOG[[#This Row],[DATA/HORA]],"dddd"))</f>
        <v>Quinta-Feira</v>
      </c>
      <c r="D513" s="3" t="s">
        <v>604</v>
      </c>
      <c r="E513" s="34" t="str">
        <f>IFERROR(VLOOKUP(tbLOG[[#This Row],[LOGIN]],tbMAPA[#All],2,0), "Não localizado")</f>
        <v>Renan Cazumba Tegani</v>
      </c>
      <c r="F513" s="34" t="str">
        <f>IFERROR(VLOOKUP(tbLOG[[#This Row],[LOGIN]],tbMAPA[#All],3,0), "Não localizado")</f>
        <v>Reginaldo Santana De Souza</v>
      </c>
      <c r="G513" s="3" t="s">
        <v>1211</v>
      </c>
      <c r="H513" s="3" t="s">
        <v>836</v>
      </c>
    </row>
    <row r="514" spans="1:8">
      <c r="A514" s="29">
        <v>42740.464745370373</v>
      </c>
      <c r="B514" s="29" t="str">
        <f>PROPER(TEXT(tbLOG[[#This Row],[DATA/HORA]],"mmmm"))</f>
        <v>Janeiro</v>
      </c>
      <c r="C514" s="34" t="str">
        <f>PROPER(TEXT(tbLOG[[#This Row],[DATA/HORA]],"dddd"))</f>
        <v>Quinta-Feira</v>
      </c>
      <c r="D514" s="3" t="s">
        <v>604</v>
      </c>
      <c r="E514" s="34" t="str">
        <f>IFERROR(VLOOKUP(tbLOG[[#This Row],[LOGIN]],tbMAPA[#All],2,0), "Não localizado")</f>
        <v>Renan Cazumba Tegani</v>
      </c>
      <c r="F514" s="34" t="str">
        <f>IFERROR(VLOOKUP(tbLOG[[#This Row],[LOGIN]],tbMAPA[#All],3,0), "Não localizado")</f>
        <v>Reginaldo Santana De Souza</v>
      </c>
      <c r="G514" s="3" t="s">
        <v>1211</v>
      </c>
      <c r="H514" s="3" t="s">
        <v>836</v>
      </c>
    </row>
    <row r="515" spans="1:8">
      <c r="A515" s="29">
        <v>42740.464780092596</v>
      </c>
      <c r="B515" s="29" t="str">
        <f>PROPER(TEXT(tbLOG[[#This Row],[DATA/HORA]],"mmmm"))</f>
        <v>Janeiro</v>
      </c>
      <c r="C515" s="34" t="str">
        <f>PROPER(TEXT(tbLOG[[#This Row],[DATA/HORA]],"dddd"))</f>
        <v>Quinta-Feira</v>
      </c>
      <c r="D515" s="3" t="s">
        <v>604</v>
      </c>
      <c r="E515" s="34" t="str">
        <f>IFERROR(VLOOKUP(tbLOG[[#This Row],[LOGIN]],tbMAPA[#All],2,0), "Não localizado")</f>
        <v>Renan Cazumba Tegani</v>
      </c>
      <c r="F515" s="34" t="str">
        <f>IFERROR(VLOOKUP(tbLOG[[#This Row],[LOGIN]],tbMAPA[#All],3,0), "Não localizado")</f>
        <v>Reginaldo Santana De Souza</v>
      </c>
      <c r="G515" s="3" t="s">
        <v>1211</v>
      </c>
      <c r="H515" s="3" t="s">
        <v>836</v>
      </c>
    </row>
    <row r="516" spans="1:8">
      <c r="A516" s="29">
        <v>42740.468206018515</v>
      </c>
      <c r="B516" s="29" t="str">
        <f>PROPER(TEXT(tbLOG[[#This Row],[DATA/HORA]],"mmmm"))</f>
        <v>Janeiro</v>
      </c>
      <c r="C516" s="34" t="str">
        <f>PROPER(TEXT(tbLOG[[#This Row],[DATA/HORA]],"dddd"))</f>
        <v>Quinta-Feira</v>
      </c>
      <c r="D516" s="3" t="s">
        <v>604</v>
      </c>
      <c r="E516" s="34" t="str">
        <f>IFERROR(VLOOKUP(tbLOG[[#This Row],[LOGIN]],tbMAPA[#All],2,0), "Não localizado")</f>
        <v>Renan Cazumba Tegani</v>
      </c>
      <c r="F516" s="34" t="str">
        <f>IFERROR(VLOOKUP(tbLOG[[#This Row],[LOGIN]],tbMAPA[#All],3,0), "Não localizado")</f>
        <v>Reginaldo Santana De Souza</v>
      </c>
      <c r="G516" s="3" t="s">
        <v>1211</v>
      </c>
      <c r="H516" s="3" t="s">
        <v>836</v>
      </c>
    </row>
    <row r="517" spans="1:8">
      <c r="A517" s="29">
        <v>42740.468229166669</v>
      </c>
      <c r="B517" s="29" t="str">
        <f>PROPER(TEXT(tbLOG[[#This Row],[DATA/HORA]],"mmmm"))</f>
        <v>Janeiro</v>
      </c>
      <c r="C517" s="34" t="str">
        <f>PROPER(TEXT(tbLOG[[#This Row],[DATA/HORA]],"dddd"))</f>
        <v>Quinta-Feira</v>
      </c>
      <c r="D517" s="3" t="s">
        <v>604</v>
      </c>
      <c r="E517" s="34" t="str">
        <f>IFERROR(VLOOKUP(tbLOG[[#This Row],[LOGIN]],tbMAPA[#All],2,0), "Não localizado")</f>
        <v>Renan Cazumba Tegani</v>
      </c>
      <c r="F517" s="34" t="str">
        <f>IFERROR(VLOOKUP(tbLOG[[#This Row],[LOGIN]],tbMAPA[#All],3,0), "Não localizado")</f>
        <v>Reginaldo Santana De Souza</v>
      </c>
      <c r="G517" s="3" t="s">
        <v>1211</v>
      </c>
      <c r="H517" s="3" t="s">
        <v>836</v>
      </c>
    </row>
    <row r="518" spans="1:8">
      <c r="A518" s="29">
        <v>42740.468831018516</v>
      </c>
      <c r="B518" s="29" t="str">
        <f>PROPER(TEXT(tbLOG[[#This Row],[DATA/HORA]],"mmmm"))</f>
        <v>Janeiro</v>
      </c>
      <c r="C518" s="34" t="str">
        <f>PROPER(TEXT(tbLOG[[#This Row],[DATA/HORA]],"dddd"))</f>
        <v>Quinta-Feira</v>
      </c>
      <c r="D518" s="3" t="s">
        <v>604</v>
      </c>
      <c r="E518" s="34" t="str">
        <f>IFERROR(VLOOKUP(tbLOG[[#This Row],[LOGIN]],tbMAPA[#All],2,0), "Não localizado")</f>
        <v>Renan Cazumba Tegani</v>
      </c>
      <c r="F518" s="34" t="str">
        <f>IFERROR(VLOOKUP(tbLOG[[#This Row],[LOGIN]],tbMAPA[#All],3,0), "Não localizado")</f>
        <v>Reginaldo Santana De Souza</v>
      </c>
      <c r="G518" s="3" t="s">
        <v>1211</v>
      </c>
      <c r="H518" s="3" t="s">
        <v>836</v>
      </c>
    </row>
    <row r="519" spans="1:8">
      <c r="A519" s="29">
        <v>42740.473796296297</v>
      </c>
      <c r="B519" s="29" t="str">
        <f>PROPER(TEXT(tbLOG[[#This Row],[DATA/HORA]],"mmmm"))</f>
        <v>Janeiro</v>
      </c>
      <c r="C519" s="34" t="str">
        <f>PROPER(TEXT(tbLOG[[#This Row],[DATA/HORA]],"dddd"))</f>
        <v>Quinta-Feira</v>
      </c>
      <c r="D519" s="3" t="s">
        <v>604</v>
      </c>
      <c r="E519" s="34" t="str">
        <f>IFERROR(VLOOKUP(tbLOG[[#This Row],[LOGIN]],tbMAPA[#All],2,0), "Não localizado")</f>
        <v>Renan Cazumba Tegani</v>
      </c>
      <c r="F519" s="34" t="str">
        <f>IFERROR(VLOOKUP(tbLOG[[#This Row],[LOGIN]],tbMAPA[#All],3,0), "Não localizado")</f>
        <v>Reginaldo Santana De Souza</v>
      </c>
      <c r="G519" s="3" t="s">
        <v>1211</v>
      </c>
      <c r="H519" s="3" t="s">
        <v>836</v>
      </c>
    </row>
    <row r="520" spans="1:8">
      <c r="A520" s="29">
        <v>42740.473807870374</v>
      </c>
      <c r="B520" s="29" t="str">
        <f>PROPER(TEXT(tbLOG[[#This Row],[DATA/HORA]],"mmmm"))</f>
        <v>Janeiro</v>
      </c>
      <c r="C520" s="34" t="str">
        <f>PROPER(TEXT(tbLOG[[#This Row],[DATA/HORA]],"dddd"))</f>
        <v>Quinta-Feira</v>
      </c>
      <c r="D520" s="3" t="s">
        <v>604</v>
      </c>
      <c r="E520" s="34" t="str">
        <f>IFERROR(VLOOKUP(tbLOG[[#This Row],[LOGIN]],tbMAPA[#All],2,0), "Não localizado")</f>
        <v>Renan Cazumba Tegani</v>
      </c>
      <c r="F520" s="34" t="str">
        <f>IFERROR(VLOOKUP(tbLOG[[#This Row],[LOGIN]],tbMAPA[#All],3,0), "Não localizado")</f>
        <v>Reginaldo Santana De Souza</v>
      </c>
      <c r="G520" s="3" t="s">
        <v>1211</v>
      </c>
      <c r="H520" s="3" t="s">
        <v>836</v>
      </c>
    </row>
    <row r="521" spans="1:8">
      <c r="A521" s="29">
        <v>42740.473865740743</v>
      </c>
      <c r="B521" s="29" t="str">
        <f>PROPER(TEXT(tbLOG[[#This Row],[DATA/HORA]],"mmmm"))</f>
        <v>Janeiro</v>
      </c>
      <c r="C521" s="34" t="str">
        <f>PROPER(TEXT(tbLOG[[#This Row],[DATA/HORA]],"dddd"))</f>
        <v>Quinta-Feira</v>
      </c>
      <c r="D521" s="3" t="s">
        <v>604</v>
      </c>
      <c r="E521" s="34" t="str">
        <f>IFERROR(VLOOKUP(tbLOG[[#This Row],[LOGIN]],tbMAPA[#All],2,0), "Não localizado")</f>
        <v>Renan Cazumba Tegani</v>
      </c>
      <c r="F521" s="34" t="str">
        <f>IFERROR(VLOOKUP(tbLOG[[#This Row],[LOGIN]],tbMAPA[#All],3,0), "Não localizado")</f>
        <v>Reginaldo Santana De Souza</v>
      </c>
      <c r="G521" s="3" t="s">
        <v>1211</v>
      </c>
      <c r="H521" s="3" t="s">
        <v>836</v>
      </c>
    </row>
    <row r="522" spans="1:8">
      <c r="A522" s="29">
        <v>42740.478495370371</v>
      </c>
      <c r="B522" s="29" t="str">
        <f>PROPER(TEXT(tbLOG[[#This Row],[DATA/HORA]],"mmmm"))</f>
        <v>Janeiro</v>
      </c>
      <c r="C522" s="34" t="str">
        <f>PROPER(TEXT(tbLOG[[#This Row],[DATA/HORA]],"dddd"))</f>
        <v>Quinta-Feira</v>
      </c>
      <c r="D522" s="3" t="s">
        <v>604</v>
      </c>
      <c r="E522" s="34" t="str">
        <f>IFERROR(VLOOKUP(tbLOG[[#This Row],[LOGIN]],tbMAPA[#All],2,0), "Não localizado")</f>
        <v>Renan Cazumba Tegani</v>
      </c>
      <c r="F522" s="34" t="str">
        <f>IFERROR(VLOOKUP(tbLOG[[#This Row],[LOGIN]],tbMAPA[#All],3,0), "Não localizado")</f>
        <v>Reginaldo Santana De Souza</v>
      </c>
      <c r="G522" s="3" t="s">
        <v>1211</v>
      </c>
      <c r="H522" s="3" t="s">
        <v>836</v>
      </c>
    </row>
    <row r="523" spans="1:8">
      <c r="A523" s="29">
        <v>42740.478518518517</v>
      </c>
      <c r="B523" s="29" t="str">
        <f>PROPER(TEXT(tbLOG[[#This Row],[DATA/HORA]],"mmmm"))</f>
        <v>Janeiro</v>
      </c>
      <c r="C523" s="34" t="str">
        <f>PROPER(TEXT(tbLOG[[#This Row],[DATA/HORA]],"dddd"))</f>
        <v>Quinta-Feira</v>
      </c>
      <c r="D523" s="3" t="s">
        <v>604</v>
      </c>
      <c r="E523" s="34" t="str">
        <f>IFERROR(VLOOKUP(tbLOG[[#This Row],[LOGIN]],tbMAPA[#All],2,0), "Não localizado")</f>
        <v>Renan Cazumba Tegani</v>
      </c>
      <c r="F523" s="34" t="str">
        <f>IFERROR(VLOOKUP(tbLOG[[#This Row],[LOGIN]],tbMAPA[#All],3,0), "Não localizado")</f>
        <v>Reginaldo Santana De Souza</v>
      </c>
      <c r="G523" s="3" t="s">
        <v>1211</v>
      </c>
      <c r="H523" s="3" t="s">
        <v>836</v>
      </c>
    </row>
    <row r="524" spans="1:8">
      <c r="A524" s="29">
        <v>42740.478645833333</v>
      </c>
      <c r="B524" s="29" t="str">
        <f>PROPER(TEXT(tbLOG[[#This Row],[DATA/HORA]],"mmmm"))</f>
        <v>Janeiro</v>
      </c>
      <c r="C524" s="34" t="str">
        <f>PROPER(TEXT(tbLOG[[#This Row],[DATA/HORA]],"dddd"))</f>
        <v>Quinta-Feira</v>
      </c>
      <c r="D524" s="3" t="s">
        <v>604</v>
      </c>
      <c r="E524" s="34" t="str">
        <f>IFERROR(VLOOKUP(tbLOG[[#This Row],[LOGIN]],tbMAPA[#All],2,0), "Não localizado")</f>
        <v>Renan Cazumba Tegani</v>
      </c>
      <c r="F524" s="34" t="str">
        <f>IFERROR(VLOOKUP(tbLOG[[#This Row],[LOGIN]],tbMAPA[#All],3,0), "Não localizado")</f>
        <v>Reginaldo Santana De Souza</v>
      </c>
      <c r="G524" s="3" t="s">
        <v>1211</v>
      </c>
      <c r="H524" s="3" t="s">
        <v>836</v>
      </c>
    </row>
    <row r="525" spans="1:8">
      <c r="A525" s="29">
        <v>42740.482314814813</v>
      </c>
      <c r="B525" s="29" t="str">
        <f>PROPER(TEXT(tbLOG[[#This Row],[DATA/HORA]],"mmmm"))</f>
        <v>Janeiro</v>
      </c>
      <c r="C525" s="34" t="str">
        <f>PROPER(TEXT(tbLOG[[#This Row],[DATA/HORA]],"dddd"))</f>
        <v>Quinta-Feira</v>
      </c>
      <c r="D525" s="3" t="s">
        <v>604</v>
      </c>
      <c r="E525" s="34" t="str">
        <f>IFERROR(VLOOKUP(tbLOG[[#This Row],[LOGIN]],tbMAPA[#All],2,0), "Não localizado")</f>
        <v>Renan Cazumba Tegani</v>
      </c>
      <c r="F525" s="34" t="str">
        <f>IFERROR(VLOOKUP(tbLOG[[#This Row],[LOGIN]],tbMAPA[#All],3,0), "Não localizado")</f>
        <v>Reginaldo Santana De Souza</v>
      </c>
      <c r="G525" s="3" t="s">
        <v>1211</v>
      </c>
      <c r="H525" s="3" t="s">
        <v>836</v>
      </c>
    </row>
    <row r="526" spans="1:8">
      <c r="A526" s="29">
        <v>42740.48232638889</v>
      </c>
      <c r="B526" s="29" t="str">
        <f>PROPER(TEXT(tbLOG[[#This Row],[DATA/HORA]],"mmmm"))</f>
        <v>Janeiro</v>
      </c>
      <c r="C526" s="34" t="str">
        <f>PROPER(TEXT(tbLOG[[#This Row],[DATA/HORA]],"dddd"))</f>
        <v>Quinta-Feira</v>
      </c>
      <c r="D526" s="3" t="s">
        <v>604</v>
      </c>
      <c r="E526" s="34" t="str">
        <f>IFERROR(VLOOKUP(tbLOG[[#This Row],[LOGIN]],tbMAPA[#All],2,0), "Não localizado")</f>
        <v>Renan Cazumba Tegani</v>
      </c>
      <c r="F526" s="34" t="str">
        <f>IFERROR(VLOOKUP(tbLOG[[#This Row],[LOGIN]],tbMAPA[#All],3,0), "Não localizado")</f>
        <v>Reginaldo Santana De Souza</v>
      </c>
      <c r="G526" s="3" t="s">
        <v>1211</v>
      </c>
      <c r="H526" s="3" t="s">
        <v>836</v>
      </c>
    </row>
    <row r="527" spans="1:8">
      <c r="A527" s="29">
        <v>42740.482372685183</v>
      </c>
      <c r="B527" s="29" t="str">
        <f>PROPER(TEXT(tbLOG[[#This Row],[DATA/HORA]],"mmmm"))</f>
        <v>Janeiro</v>
      </c>
      <c r="C527" s="34" t="str">
        <f>PROPER(TEXT(tbLOG[[#This Row],[DATA/HORA]],"dddd"))</f>
        <v>Quinta-Feira</v>
      </c>
      <c r="D527" s="3" t="s">
        <v>604</v>
      </c>
      <c r="E527" s="34" t="str">
        <f>IFERROR(VLOOKUP(tbLOG[[#This Row],[LOGIN]],tbMAPA[#All],2,0), "Não localizado")</f>
        <v>Renan Cazumba Tegani</v>
      </c>
      <c r="F527" s="34" t="str">
        <f>IFERROR(VLOOKUP(tbLOG[[#This Row],[LOGIN]],tbMAPA[#All],3,0), "Não localizado")</f>
        <v>Reginaldo Santana De Souza</v>
      </c>
      <c r="G527" s="3" t="s">
        <v>1211</v>
      </c>
      <c r="H527" s="3" t="s">
        <v>836</v>
      </c>
    </row>
    <row r="528" spans="1:8">
      <c r="A528" s="29">
        <v>42740.484756944446</v>
      </c>
      <c r="B528" s="29" t="str">
        <f>PROPER(TEXT(tbLOG[[#This Row],[DATA/HORA]],"mmmm"))</f>
        <v>Janeiro</v>
      </c>
      <c r="C528" s="34" t="str">
        <f>PROPER(TEXT(tbLOG[[#This Row],[DATA/HORA]],"dddd"))</f>
        <v>Quinta-Feira</v>
      </c>
      <c r="D528" s="3" t="s">
        <v>604</v>
      </c>
      <c r="E528" s="34" t="str">
        <f>IFERROR(VLOOKUP(tbLOG[[#This Row],[LOGIN]],tbMAPA[#All],2,0), "Não localizado")</f>
        <v>Renan Cazumba Tegani</v>
      </c>
      <c r="F528" s="34" t="str">
        <f>IFERROR(VLOOKUP(tbLOG[[#This Row],[LOGIN]],tbMAPA[#All],3,0), "Não localizado")</f>
        <v>Reginaldo Santana De Souza</v>
      </c>
      <c r="G528" s="3" t="s">
        <v>1211</v>
      </c>
      <c r="H528" s="3" t="s">
        <v>836</v>
      </c>
    </row>
    <row r="529" spans="1:8">
      <c r="A529" s="29">
        <v>42740.484780092593</v>
      </c>
      <c r="B529" s="29" t="str">
        <f>PROPER(TEXT(tbLOG[[#This Row],[DATA/HORA]],"mmmm"))</f>
        <v>Janeiro</v>
      </c>
      <c r="C529" s="34" t="str">
        <f>PROPER(TEXT(tbLOG[[#This Row],[DATA/HORA]],"dddd"))</f>
        <v>Quinta-Feira</v>
      </c>
      <c r="D529" s="3" t="s">
        <v>604</v>
      </c>
      <c r="E529" s="34" t="str">
        <f>IFERROR(VLOOKUP(tbLOG[[#This Row],[LOGIN]],tbMAPA[#All],2,0), "Não localizado")</f>
        <v>Renan Cazumba Tegani</v>
      </c>
      <c r="F529" s="34" t="str">
        <f>IFERROR(VLOOKUP(tbLOG[[#This Row],[LOGIN]],tbMAPA[#All],3,0), "Não localizado")</f>
        <v>Reginaldo Santana De Souza</v>
      </c>
      <c r="G529" s="3" t="s">
        <v>1211</v>
      </c>
      <c r="H529" s="3" t="s">
        <v>836</v>
      </c>
    </row>
    <row r="530" spans="1:8">
      <c r="A530" s="29">
        <v>42740.484803240739</v>
      </c>
      <c r="B530" s="29" t="str">
        <f>PROPER(TEXT(tbLOG[[#This Row],[DATA/HORA]],"mmmm"))</f>
        <v>Janeiro</v>
      </c>
      <c r="C530" s="34" t="str">
        <f>PROPER(TEXT(tbLOG[[#This Row],[DATA/HORA]],"dddd"))</f>
        <v>Quinta-Feira</v>
      </c>
      <c r="D530" s="3" t="s">
        <v>604</v>
      </c>
      <c r="E530" s="34" t="str">
        <f>IFERROR(VLOOKUP(tbLOG[[#This Row],[LOGIN]],tbMAPA[#All],2,0), "Não localizado")</f>
        <v>Renan Cazumba Tegani</v>
      </c>
      <c r="F530" s="34" t="str">
        <f>IFERROR(VLOOKUP(tbLOG[[#This Row],[LOGIN]],tbMAPA[#All],3,0), "Não localizado")</f>
        <v>Reginaldo Santana De Souza</v>
      </c>
      <c r="G530" s="3" t="s">
        <v>1211</v>
      </c>
      <c r="H530" s="3" t="s">
        <v>836</v>
      </c>
    </row>
    <row r="531" spans="1:8">
      <c r="A531" s="29">
        <v>42740.484826388885</v>
      </c>
      <c r="B531" s="29" t="str">
        <f>PROPER(TEXT(tbLOG[[#This Row],[DATA/HORA]],"mmmm"))</f>
        <v>Janeiro</v>
      </c>
      <c r="C531" s="34" t="str">
        <f>PROPER(TEXT(tbLOG[[#This Row],[DATA/HORA]],"dddd"))</f>
        <v>Quinta-Feira</v>
      </c>
      <c r="D531" s="3" t="s">
        <v>604</v>
      </c>
      <c r="E531" s="34" t="str">
        <f>IFERROR(VLOOKUP(tbLOG[[#This Row],[LOGIN]],tbMAPA[#All],2,0), "Não localizado")</f>
        <v>Renan Cazumba Tegani</v>
      </c>
      <c r="F531" s="34" t="str">
        <f>IFERROR(VLOOKUP(tbLOG[[#This Row],[LOGIN]],tbMAPA[#All],3,0), "Não localizado")</f>
        <v>Reginaldo Santana De Souza</v>
      </c>
      <c r="G531" s="3" t="s">
        <v>1211</v>
      </c>
      <c r="H531" s="3" t="s">
        <v>290</v>
      </c>
    </row>
    <row r="532" spans="1:8">
      <c r="A532" s="29">
        <v>42740.485034722224</v>
      </c>
      <c r="B532" s="29" t="str">
        <f>PROPER(TEXT(tbLOG[[#This Row],[DATA/HORA]],"mmmm"))</f>
        <v>Janeiro</v>
      </c>
      <c r="C532" s="34" t="str">
        <f>PROPER(TEXT(tbLOG[[#This Row],[DATA/HORA]],"dddd"))</f>
        <v>Quinta-Feira</v>
      </c>
      <c r="D532" s="3" t="s">
        <v>604</v>
      </c>
      <c r="E532" s="34" t="str">
        <f>IFERROR(VLOOKUP(tbLOG[[#This Row],[LOGIN]],tbMAPA[#All],2,0), "Não localizado")</f>
        <v>Renan Cazumba Tegani</v>
      </c>
      <c r="F532" s="34" t="str">
        <f>IFERROR(VLOOKUP(tbLOG[[#This Row],[LOGIN]],tbMAPA[#All],3,0), "Não localizado")</f>
        <v>Reginaldo Santana De Souza</v>
      </c>
      <c r="G532" s="3" t="s">
        <v>1211</v>
      </c>
      <c r="H532" s="3" t="s">
        <v>836</v>
      </c>
    </row>
    <row r="533" spans="1:8">
      <c r="A533" s="29">
        <v>42740.485243055555</v>
      </c>
      <c r="B533" s="29" t="str">
        <f>PROPER(TEXT(tbLOG[[#This Row],[DATA/HORA]],"mmmm"))</f>
        <v>Janeiro</v>
      </c>
      <c r="C533" s="34" t="str">
        <f>PROPER(TEXT(tbLOG[[#This Row],[DATA/HORA]],"dddd"))</f>
        <v>Quinta-Feira</v>
      </c>
      <c r="D533" s="3" t="s">
        <v>604</v>
      </c>
      <c r="E533" s="34" t="str">
        <f>IFERROR(VLOOKUP(tbLOG[[#This Row],[LOGIN]],tbMAPA[#All],2,0), "Não localizado")</f>
        <v>Renan Cazumba Tegani</v>
      </c>
      <c r="F533" s="34" t="str">
        <f>IFERROR(VLOOKUP(tbLOG[[#This Row],[LOGIN]],tbMAPA[#All],3,0), "Não localizado")</f>
        <v>Reginaldo Santana De Souza</v>
      </c>
      <c r="G533" s="3" t="s">
        <v>1211</v>
      </c>
      <c r="H533" s="3" t="s">
        <v>836</v>
      </c>
    </row>
    <row r="534" spans="1:8">
      <c r="A534" s="29">
        <v>42740.491064814814</v>
      </c>
      <c r="B534" s="29" t="str">
        <f>PROPER(TEXT(tbLOG[[#This Row],[DATA/HORA]],"mmmm"))</f>
        <v>Janeiro</v>
      </c>
      <c r="C534" s="34" t="str">
        <f>PROPER(TEXT(tbLOG[[#This Row],[DATA/HORA]],"dddd"))</f>
        <v>Quinta-Feira</v>
      </c>
      <c r="D534" s="3" t="s">
        <v>604</v>
      </c>
      <c r="E534" s="34" t="str">
        <f>IFERROR(VLOOKUP(tbLOG[[#This Row],[LOGIN]],tbMAPA[#All],2,0), "Não localizado")</f>
        <v>Renan Cazumba Tegani</v>
      </c>
      <c r="F534" s="34" t="str">
        <f>IFERROR(VLOOKUP(tbLOG[[#This Row],[LOGIN]],tbMAPA[#All],3,0), "Não localizado")</f>
        <v>Reginaldo Santana De Souza</v>
      </c>
      <c r="G534" s="3" t="s">
        <v>1211</v>
      </c>
      <c r="H534" s="3" t="s">
        <v>836</v>
      </c>
    </row>
    <row r="535" spans="1:8">
      <c r="A535" s="29">
        <v>42740.491099537037</v>
      </c>
      <c r="B535" s="29" t="str">
        <f>PROPER(TEXT(tbLOG[[#This Row],[DATA/HORA]],"mmmm"))</f>
        <v>Janeiro</v>
      </c>
      <c r="C535" s="34" t="str">
        <f>PROPER(TEXT(tbLOG[[#This Row],[DATA/HORA]],"dddd"))</f>
        <v>Quinta-Feira</v>
      </c>
      <c r="D535" s="3" t="s">
        <v>604</v>
      </c>
      <c r="E535" s="34" t="str">
        <f>IFERROR(VLOOKUP(tbLOG[[#This Row],[LOGIN]],tbMAPA[#All],2,0), "Não localizado")</f>
        <v>Renan Cazumba Tegani</v>
      </c>
      <c r="F535" s="34" t="str">
        <f>IFERROR(VLOOKUP(tbLOG[[#This Row],[LOGIN]],tbMAPA[#All],3,0), "Não localizado")</f>
        <v>Reginaldo Santana De Souza</v>
      </c>
      <c r="G535" s="3" t="s">
        <v>1211</v>
      </c>
      <c r="H535" s="3" t="s">
        <v>836</v>
      </c>
    </row>
    <row r="536" spans="1:8">
      <c r="A536" s="29">
        <v>42740.493321759262</v>
      </c>
      <c r="B536" s="29" t="str">
        <f>PROPER(TEXT(tbLOG[[#This Row],[DATA/HORA]],"mmmm"))</f>
        <v>Janeiro</v>
      </c>
      <c r="C536" s="34" t="str">
        <f>PROPER(TEXT(tbLOG[[#This Row],[DATA/HORA]],"dddd"))</f>
        <v>Quinta-Feira</v>
      </c>
      <c r="D536" s="3" t="s">
        <v>604</v>
      </c>
      <c r="E536" s="34" t="str">
        <f>IFERROR(VLOOKUP(tbLOG[[#This Row],[LOGIN]],tbMAPA[#All],2,0), "Não localizado")</f>
        <v>Renan Cazumba Tegani</v>
      </c>
      <c r="F536" s="34" t="str">
        <f>IFERROR(VLOOKUP(tbLOG[[#This Row],[LOGIN]],tbMAPA[#All],3,0), "Não localizado")</f>
        <v>Reginaldo Santana De Souza</v>
      </c>
      <c r="G536" s="3" t="s">
        <v>1211</v>
      </c>
      <c r="H536" s="3" t="s">
        <v>836</v>
      </c>
    </row>
    <row r="537" spans="1:8">
      <c r="A537" s="29">
        <v>42740.497083333335</v>
      </c>
      <c r="B537" s="29" t="str">
        <f>PROPER(TEXT(tbLOG[[#This Row],[DATA/HORA]],"mmmm"))</f>
        <v>Janeiro</v>
      </c>
      <c r="C537" s="34" t="str">
        <f>PROPER(TEXT(tbLOG[[#This Row],[DATA/HORA]],"dddd"))</f>
        <v>Quinta-Feira</v>
      </c>
      <c r="D537" s="3" t="s">
        <v>604</v>
      </c>
      <c r="E537" s="34" t="str">
        <f>IFERROR(VLOOKUP(tbLOG[[#This Row],[LOGIN]],tbMAPA[#All],2,0), "Não localizado")</f>
        <v>Renan Cazumba Tegani</v>
      </c>
      <c r="F537" s="34" t="str">
        <f>IFERROR(VLOOKUP(tbLOG[[#This Row],[LOGIN]],tbMAPA[#All],3,0), "Não localizado")</f>
        <v>Reginaldo Santana De Souza</v>
      </c>
      <c r="G537" s="3" t="s">
        <v>1211</v>
      </c>
      <c r="H537" s="3" t="s">
        <v>836</v>
      </c>
    </row>
    <row r="538" spans="1:8">
      <c r="A538" s="29">
        <v>42740.497094907405</v>
      </c>
      <c r="B538" s="29" t="str">
        <f>PROPER(TEXT(tbLOG[[#This Row],[DATA/HORA]],"mmmm"))</f>
        <v>Janeiro</v>
      </c>
      <c r="C538" s="34" t="str">
        <f>PROPER(TEXT(tbLOG[[#This Row],[DATA/HORA]],"dddd"))</f>
        <v>Quinta-Feira</v>
      </c>
      <c r="D538" s="3" t="s">
        <v>604</v>
      </c>
      <c r="E538" s="34" t="str">
        <f>IFERROR(VLOOKUP(tbLOG[[#This Row],[LOGIN]],tbMAPA[#All],2,0), "Não localizado")</f>
        <v>Renan Cazumba Tegani</v>
      </c>
      <c r="F538" s="34" t="str">
        <f>IFERROR(VLOOKUP(tbLOG[[#This Row],[LOGIN]],tbMAPA[#All],3,0), "Não localizado")</f>
        <v>Reginaldo Santana De Souza</v>
      </c>
      <c r="G538" s="3" t="s">
        <v>1211</v>
      </c>
      <c r="H538" s="3" t="s">
        <v>836</v>
      </c>
    </row>
    <row r="539" spans="1:8">
      <c r="A539" s="29">
        <v>42740.497129629628</v>
      </c>
      <c r="B539" s="29" t="str">
        <f>PROPER(TEXT(tbLOG[[#This Row],[DATA/HORA]],"mmmm"))</f>
        <v>Janeiro</v>
      </c>
      <c r="C539" s="34" t="str">
        <f>PROPER(TEXT(tbLOG[[#This Row],[DATA/HORA]],"dddd"))</f>
        <v>Quinta-Feira</v>
      </c>
      <c r="D539" s="3" t="s">
        <v>604</v>
      </c>
      <c r="E539" s="34" t="str">
        <f>IFERROR(VLOOKUP(tbLOG[[#This Row],[LOGIN]],tbMAPA[#All],2,0), "Não localizado")</f>
        <v>Renan Cazumba Tegani</v>
      </c>
      <c r="F539" s="34" t="str">
        <f>IFERROR(VLOOKUP(tbLOG[[#This Row],[LOGIN]],tbMAPA[#All],3,0), "Não localizado")</f>
        <v>Reginaldo Santana De Souza</v>
      </c>
      <c r="G539" s="3" t="s">
        <v>1211</v>
      </c>
      <c r="H539" s="3" t="s">
        <v>836</v>
      </c>
    </row>
    <row r="540" spans="1:8">
      <c r="A540" s="29">
        <v>42740.501145833332</v>
      </c>
      <c r="B540" s="29" t="str">
        <f>PROPER(TEXT(tbLOG[[#This Row],[DATA/HORA]],"mmmm"))</f>
        <v>Janeiro</v>
      </c>
      <c r="C540" s="34" t="str">
        <f>PROPER(TEXT(tbLOG[[#This Row],[DATA/HORA]],"dddd"))</f>
        <v>Quinta-Feira</v>
      </c>
      <c r="D540" s="3" t="s">
        <v>604</v>
      </c>
      <c r="E540" s="34" t="str">
        <f>IFERROR(VLOOKUP(tbLOG[[#This Row],[LOGIN]],tbMAPA[#All],2,0), "Não localizado")</f>
        <v>Renan Cazumba Tegani</v>
      </c>
      <c r="F540" s="34" t="str">
        <f>IFERROR(VLOOKUP(tbLOG[[#This Row],[LOGIN]],tbMAPA[#All],3,0), "Não localizado")</f>
        <v>Reginaldo Santana De Souza</v>
      </c>
      <c r="G540" s="3" t="s">
        <v>1211</v>
      </c>
      <c r="H540" s="3" t="s">
        <v>836</v>
      </c>
    </row>
    <row r="541" spans="1:8">
      <c r="A541" s="29">
        <v>42740.501226851855</v>
      </c>
      <c r="B541" s="29" t="str">
        <f>PROPER(TEXT(tbLOG[[#This Row],[DATA/HORA]],"mmmm"))</f>
        <v>Janeiro</v>
      </c>
      <c r="C541" s="34" t="str">
        <f>PROPER(TEXT(tbLOG[[#This Row],[DATA/HORA]],"dddd"))</f>
        <v>Quinta-Feira</v>
      </c>
      <c r="D541" s="3" t="s">
        <v>604</v>
      </c>
      <c r="E541" s="34" t="str">
        <f>IFERROR(VLOOKUP(tbLOG[[#This Row],[LOGIN]],tbMAPA[#All],2,0), "Não localizado")</f>
        <v>Renan Cazumba Tegani</v>
      </c>
      <c r="F541" s="34" t="str">
        <f>IFERROR(VLOOKUP(tbLOG[[#This Row],[LOGIN]],tbMAPA[#All],3,0), "Não localizado")</f>
        <v>Reginaldo Santana De Souza</v>
      </c>
      <c r="G541" s="3" t="s">
        <v>1211</v>
      </c>
      <c r="H541" s="3" t="s">
        <v>836</v>
      </c>
    </row>
    <row r="542" spans="1:8">
      <c r="A542" s="29">
        <v>42740.50204861111</v>
      </c>
      <c r="B542" s="29" t="str">
        <f>PROPER(TEXT(tbLOG[[#This Row],[DATA/HORA]],"mmmm"))</f>
        <v>Janeiro</v>
      </c>
      <c r="C542" s="34" t="str">
        <f>PROPER(TEXT(tbLOG[[#This Row],[DATA/HORA]],"dddd"))</f>
        <v>Quinta-Feira</v>
      </c>
      <c r="D542" s="3" t="s">
        <v>604</v>
      </c>
      <c r="E542" s="34" t="str">
        <f>IFERROR(VLOOKUP(tbLOG[[#This Row],[LOGIN]],tbMAPA[#All],2,0), "Não localizado")</f>
        <v>Renan Cazumba Tegani</v>
      </c>
      <c r="F542" s="34" t="str">
        <f>IFERROR(VLOOKUP(tbLOG[[#This Row],[LOGIN]],tbMAPA[#All],3,0), "Não localizado")</f>
        <v>Reginaldo Santana De Souza</v>
      </c>
      <c r="G542" s="3" t="s">
        <v>1211</v>
      </c>
      <c r="H542" s="3" t="s">
        <v>836</v>
      </c>
    </row>
    <row r="543" spans="1:8">
      <c r="A543" s="29">
        <v>42740.506539351853</v>
      </c>
      <c r="B543" s="29" t="str">
        <f>PROPER(TEXT(tbLOG[[#This Row],[DATA/HORA]],"mmmm"))</f>
        <v>Janeiro</v>
      </c>
      <c r="C543" s="34" t="str">
        <f>PROPER(TEXT(tbLOG[[#This Row],[DATA/HORA]],"dddd"))</f>
        <v>Quinta-Feira</v>
      </c>
      <c r="D543" s="3" t="s">
        <v>604</v>
      </c>
      <c r="E543" s="34" t="str">
        <f>IFERROR(VLOOKUP(tbLOG[[#This Row],[LOGIN]],tbMAPA[#All],2,0), "Não localizado")</f>
        <v>Renan Cazumba Tegani</v>
      </c>
      <c r="F543" s="34" t="str">
        <f>IFERROR(VLOOKUP(tbLOG[[#This Row],[LOGIN]],tbMAPA[#All],3,0), "Não localizado")</f>
        <v>Reginaldo Santana De Souza</v>
      </c>
      <c r="G543" s="3" t="s">
        <v>1211</v>
      </c>
      <c r="H543" s="3" t="s">
        <v>836</v>
      </c>
    </row>
    <row r="544" spans="1:8">
      <c r="A544" s="29">
        <v>42740.506585648145</v>
      </c>
      <c r="B544" s="29" t="str">
        <f>PROPER(TEXT(tbLOG[[#This Row],[DATA/HORA]],"mmmm"))</f>
        <v>Janeiro</v>
      </c>
      <c r="C544" s="34" t="str">
        <f>PROPER(TEXT(tbLOG[[#This Row],[DATA/HORA]],"dddd"))</f>
        <v>Quinta-Feira</v>
      </c>
      <c r="D544" s="3" t="s">
        <v>604</v>
      </c>
      <c r="E544" s="34" t="str">
        <f>IFERROR(VLOOKUP(tbLOG[[#This Row],[LOGIN]],tbMAPA[#All],2,0), "Não localizado")</f>
        <v>Renan Cazumba Tegani</v>
      </c>
      <c r="F544" s="34" t="str">
        <f>IFERROR(VLOOKUP(tbLOG[[#This Row],[LOGIN]],tbMAPA[#All],3,0), "Não localizado")</f>
        <v>Reginaldo Santana De Souza</v>
      </c>
      <c r="G544" s="3" t="s">
        <v>1211</v>
      </c>
      <c r="H544" s="3" t="s">
        <v>836</v>
      </c>
    </row>
    <row r="545" spans="1:8">
      <c r="A545" s="29">
        <v>42740.506585648145</v>
      </c>
      <c r="B545" s="29" t="str">
        <f>PROPER(TEXT(tbLOG[[#This Row],[DATA/HORA]],"mmmm"))</f>
        <v>Janeiro</v>
      </c>
      <c r="C545" s="34" t="str">
        <f>PROPER(TEXT(tbLOG[[#This Row],[DATA/HORA]],"dddd"))</f>
        <v>Quinta-Feira</v>
      </c>
      <c r="D545" s="3" t="s">
        <v>604</v>
      </c>
      <c r="E545" s="34" t="str">
        <f>IFERROR(VLOOKUP(tbLOG[[#This Row],[LOGIN]],tbMAPA[#All],2,0), "Não localizado")</f>
        <v>Renan Cazumba Tegani</v>
      </c>
      <c r="F545" s="34" t="str">
        <f>IFERROR(VLOOKUP(tbLOG[[#This Row],[LOGIN]],tbMAPA[#All],3,0), "Não localizado")</f>
        <v>Reginaldo Santana De Souza</v>
      </c>
      <c r="G545" s="3" t="s">
        <v>1211</v>
      </c>
      <c r="H545" s="3" t="s">
        <v>836</v>
      </c>
    </row>
    <row r="546" spans="1:8">
      <c r="A546" s="29">
        <v>42740.506712962961</v>
      </c>
      <c r="B546" s="29" t="str">
        <f>PROPER(TEXT(tbLOG[[#This Row],[DATA/HORA]],"mmmm"))</f>
        <v>Janeiro</v>
      </c>
      <c r="C546" s="34" t="str">
        <f>PROPER(TEXT(tbLOG[[#This Row],[DATA/HORA]],"dddd"))</f>
        <v>Quinta-Feira</v>
      </c>
      <c r="D546" s="3" t="s">
        <v>604</v>
      </c>
      <c r="E546" s="34" t="str">
        <f>IFERROR(VLOOKUP(tbLOG[[#This Row],[LOGIN]],tbMAPA[#All],2,0), "Não localizado")</f>
        <v>Renan Cazumba Tegani</v>
      </c>
      <c r="F546" s="34" t="str">
        <f>IFERROR(VLOOKUP(tbLOG[[#This Row],[LOGIN]],tbMAPA[#All],3,0), "Não localizado")</f>
        <v>Reginaldo Santana De Souza</v>
      </c>
      <c r="G546" s="3" t="s">
        <v>1211</v>
      </c>
      <c r="H546" s="3" t="s">
        <v>836</v>
      </c>
    </row>
    <row r="547" spans="1:8">
      <c r="A547" s="29">
        <v>42740.506712962961</v>
      </c>
      <c r="B547" s="29" t="str">
        <f>PROPER(TEXT(tbLOG[[#This Row],[DATA/HORA]],"mmmm"))</f>
        <v>Janeiro</v>
      </c>
      <c r="C547" s="34" t="str">
        <f>PROPER(TEXT(tbLOG[[#This Row],[DATA/HORA]],"dddd"))</f>
        <v>Quinta-Feira</v>
      </c>
      <c r="D547" s="3" t="s">
        <v>604</v>
      </c>
      <c r="E547" s="34" t="str">
        <f>IFERROR(VLOOKUP(tbLOG[[#This Row],[LOGIN]],tbMAPA[#All],2,0), "Não localizado")</f>
        <v>Renan Cazumba Tegani</v>
      </c>
      <c r="F547" s="34" t="str">
        <f>IFERROR(VLOOKUP(tbLOG[[#This Row],[LOGIN]],tbMAPA[#All],3,0), "Não localizado")</f>
        <v>Reginaldo Santana De Souza</v>
      </c>
      <c r="G547" s="3" t="s">
        <v>1211</v>
      </c>
      <c r="H547" s="3" t="s">
        <v>836</v>
      </c>
    </row>
    <row r="548" spans="1:8">
      <c r="A548" s="29">
        <v>42740.506863425922</v>
      </c>
      <c r="B548" s="29" t="str">
        <f>PROPER(TEXT(tbLOG[[#This Row],[DATA/HORA]],"mmmm"))</f>
        <v>Janeiro</v>
      </c>
      <c r="C548" s="34" t="str">
        <f>PROPER(TEXT(tbLOG[[#This Row],[DATA/HORA]],"dddd"))</f>
        <v>Quinta-Feira</v>
      </c>
      <c r="D548" s="3" t="s">
        <v>604</v>
      </c>
      <c r="E548" s="34" t="str">
        <f>IFERROR(VLOOKUP(tbLOG[[#This Row],[LOGIN]],tbMAPA[#All],2,0), "Não localizado")</f>
        <v>Renan Cazumba Tegani</v>
      </c>
      <c r="F548" s="34" t="str">
        <f>IFERROR(VLOOKUP(tbLOG[[#This Row],[LOGIN]],tbMAPA[#All],3,0), "Não localizado")</f>
        <v>Reginaldo Santana De Souza</v>
      </c>
      <c r="G548" s="3" t="s">
        <v>1211</v>
      </c>
      <c r="H548" s="3" t="s">
        <v>836</v>
      </c>
    </row>
    <row r="549" spans="1:8">
      <c r="A549" s="29">
        <v>42740.506863425922</v>
      </c>
      <c r="B549" s="29" t="str">
        <f>PROPER(TEXT(tbLOG[[#This Row],[DATA/HORA]],"mmmm"))</f>
        <v>Janeiro</v>
      </c>
      <c r="C549" s="34" t="str">
        <f>PROPER(TEXT(tbLOG[[#This Row],[DATA/HORA]],"dddd"))</f>
        <v>Quinta-Feira</v>
      </c>
      <c r="D549" s="3" t="s">
        <v>604</v>
      </c>
      <c r="E549" s="34" t="str">
        <f>IFERROR(VLOOKUP(tbLOG[[#This Row],[LOGIN]],tbMAPA[#All],2,0), "Não localizado")</f>
        <v>Renan Cazumba Tegani</v>
      </c>
      <c r="F549" s="34" t="str">
        <f>IFERROR(VLOOKUP(tbLOG[[#This Row],[LOGIN]],tbMAPA[#All],3,0), "Não localizado")</f>
        <v>Reginaldo Santana De Souza</v>
      </c>
      <c r="G549" s="3" t="s">
        <v>1211</v>
      </c>
      <c r="H549" s="3" t="s">
        <v>836</v>
      </c>
    </row>
    <row r="550" spans="1:8">
      <c r="A550" s="29">
        <v>42740.506863425922</v>
      </c>
      <c r="B550" s="29" t="str">
        <f>PROPER(TEXT(tbLOG[[#This Row],[DATA/HORA]],"mmmm"))</f>
        <v>Janeiro</v>
      </c>
      <c r="C550" s="34" t="str">
        <f>PROPER(TEXT(tbLOG[[#This Row],[DATA/HORA]],"dddd"))</f>
        <v>Quinta-Feira</v>
      </c>
      <c r="D550" s="3" t="s">
        <v>604</v>
      </c>
      <c r="E550" s="34" t="str">
        <f>IFERROR(VLOOKUP(tbLOG[[#This Row],[LOGIN]],tbMAPA[#All],2,0), "Não localizado")</f>
        <v>Renan Cazumba Tegani</v>
      </c>
      <c r="F550" s="34" t="str">
        <f>IFERROR(VLOOKUP(tbLOG[[#This Row],[LOGIN]],tbMAPA[#All],3,0), "Não localizado")</f>
        <v>Reginaldo Santana De Souza</v>
      </c>
      <c r="G550" s="3" t="s">
        <v>1211</v>
      </c>
      <c r="H550" s="3" t="s">
        <v>836</v>
      </c>
    </row>
    <row r="551" spans="1:8">
      <c r="A551" s="29">
        <v>42740.506863425922</v>
      </c>
      <c r="B551" s="29" t="str">
        <f>PROPER(TEXT(tbLOG[[#This Row],[DATA/HORA]],"mmmm"))</f>
        <v>Janeiro</v>
      </c>
      <c r="C551" s="34" t="str">
        <f>PROPER(TEXT(tbLOG[[#This Row],[DATA/HORA]],"dddd"))</f>
        <v>Quinta-Feira</v>
      </c>
      <c r="D551" s="3" t="s">
        <v>604</v>
      </c>
      <c r="E551" s="34" t="str">
        <f>IFERROR(VLOOKUP(tbLOG[[#This Row],[LOGIN]],tbMAPA[#All],2,0), "Não localizado")</f>
        <v>Renan Cazumba Tegani</v>
      </c>
      <c r="F551" s="34" t="str">
        <f>IFERROR(VLOOKUP(tbLOG[[#This Row],[LOGIN]],tbMAPA[#All],3,0), "Não localizado")</f>
        <v>Reginaldo Santana De Souza</v>
      </c>
      <c r="G551" s="3" t="s">
        <v>1211</v>
      </c>
      <c r="H551" s="3" t="s">
        <v>836</v>
      </c>
    </row>
    <row r="552" spans="1:8">
      <c r="A552" s="29">
        <v>42740.506863425922</v>
      </c>
      <c r="B552" s="29" t="str">
        <f>PROPER(TEXT(tbLOG[[#This Row],[DATA/HORA]],"mmmm"))</f>
        <v>Janeiro</v>
      </c>
      <c r="C552" s="34" t="str">
        <f>PROPER(TEXT(tbLOG[[#This Row],[DATA/HORA]],"dddd"))</f>
        <v>Quinta-Feira</v>
      </c>
      <c r="D552" s="3" t="s">
        <v>604</v>
      </c>
      <c r="E552" s="34" t="str">
        <f>IFERROR(VLOOKUP(tbLOG[[#This Row],[LOGIN]],tbMAPA[#All],2,0), "Não localizado")</f>
        <v>Renan Cazumba Tegani</v>
      </c>
      <c r="F552" s="34" t="str">
        <f>IFERROR(VLOOKUP(tbLOG[[#This Row],[LOGIN]],tbMAPA[#All],3,0), "Não localizado")</f>
        <v>Reginaldo Santana De Souza</v>
      </c>
      <c r="G552" s="3" t="s">
        <v>1211</v>
      </c>
      <c r="H552" s="3" t="s">
        <v>836</v>
      </c>
    </row>
    <row r="553" spans="1:8">
      <c r="A553" s="29">
        <v>42740.506863425922</v>
      </c>
      <c r="B553" s="29" t="str">
        <f>PROPER(TEXT(tbLOG[[#This Row],[DATA/HORA]],"mmmm"))</f>
        <v>Janeiro</v>
      </c>
      <c r="C553" s="34" t="str">
        <f>PROPER(TEXT(tbLOG[[#This Row],[DATA/HORA]],"dddd"))</f>
        <v>Quinta-Feira</v>
      </c>
      <c r="D553" s="3" t="s">
        <v>604</v>
      </c>
      <c r="E553" s="34" t="str">
        <f>IFERROR(VLOOKUP(tbLOG[[#This Row],[LOGIN]],tbMAPA[#All],2,0), "Não localizado")</f>
        <v>Renan Cazumba Tegani</v>
      </c>
      <c r="F553" s="34" t="str">
        <f>IFERROR(VLOOKUP(tbLOG[[#This Row],[LOGIN]],tbMAPA[#All],3,0), "Não localizado")</f>
        <v>Reginaldo Santana De Souza</v>
      </c>
      <c r="G553" s="3" t="s">
        <v>1211</v>
      </c>
      <c r="H553" s="3" t="s">
        <v>836</v>
      </c>
    </row>
    <row r="554" spans="1:8">
      <c r="A554" s="29">
        <v>42740.506967592592</v>
      </c>
      <c r="B554" s="29" t="str">
        <f>PROPER(TEXT(tbLOG[[#This Row],[DATA/HORA]],"mmmm"))</f>
        <v>Janeiro</v>
      </c>
      <c r="C554" s="34" t="str">
        <f>PROPER(TEXT(tbLOG[[#This Row],[DATA/HORA]],"dddd"))</f>
        <v>Quinta-Feira</v>
      </c>
      <c r="D554" s="3" t="s">
        <v>604</v>
      </c>
      <c r="E554" s="34" t="str">
        <f>IFERROR(VLOOKUP(tbLOG[[#This Row],[LOGIN]],tbMAPA[#All],2,0), "Não localizado")</f>
        <v>Renan Cazumba Tegani</v>
      </c>
      <c r="F554" s="34" t="str">
        <f>IFERROR(VLOOKUP(tbLOG[[#This Row],[LOGIN]],tbMAPA[#All],3,0), "Não localizado")</f>
        <v>Reginaldo Santana De Souza</v>
      </c>
      <c r="G554" s="3" t="s">
        <v>1211</v>
      </c>
      <c r="H554" s="3" t="s">
        <v>836</v>
      </c>
    </row>
    <row r="555" spans="1:8">
      <c r="A555" s="29">
        <v>42740.507118055553</v>
      </c>
      <c r="B555" s="29" t="str">
        <f>PROPER(TEXT(tbLOG[[#This Row],[DATA/HORA]],"mmmm"))</f>
        <v>Janeiro</v>
      </c>
      <c r="C555" s="34" t="str">
        <f>PROPER(TEXT(tbLOG[[#This Row],[DATA/HORA]],"dddd"))</f>
        <v>Quinta-Feira</v>
      </c>
      <c r="D555" s="3" t="s">
        <v>604</v>
      </c>
      <c r="E555" s="34" t="str">
        <f>IFERROR(VLOOKUP(tbLOG[[#This Row],[LOGIN]],tbMAPA[#All],2,0), "Não localizado")</f>
        <v>Renan Cazumba Tegani</v>
      </c>
      <c r="F555" s="34" t="str">
        <f>IFERROR(VLOOKUP(tbLOG[[#This Row],[LOGIN]],tbMAPA[#All],3,0), "Não localizado")</f>
        <v>Reginaldo Santana De Souza</v>
      </c>
      <c r="G555" s="3" t="s">
        <v>1211</v>
      </c>
      <c r="H555" s="3" t="s">
        <v>836</v>
      </c>
    </row>
    <row r="556" spans="1:8">
      <c r="A556" s="29">
        <v>42740.507118055553</v>
      </c>
      <c r="B556" s="29" t="str">
        <f>PROPER(TEXT(tbLOG[[#This Row],[DATA/HORA]],"mmmm"))</f>
        <v>Janeiro</v>
      </c>
      <c r="C556" s="34" t="str">
        <f>PROPER(TEXT(tbLOG[[#This Row],[DATA/HORA]],"dddd"))</f>
        <v>Quinta-Feira</v>
      </c>
      <c r="D556" s="3" t="s">
        <v>604</v>
      </c>
      <c r="E556" s="34" t="str">
        <f>IFERROR(VLOOKUP(tbLOG[[#This Row],[LOGIN]],tbMAPA[#All],2,0), "Não localizado")</f>
        <v>Renan Cazumba Tegani</v>
      </c>
      <c r="F556" s="34" t="str">
        <f>IFERROR(VLOOKUP(tbLOG[[#This Row],[LOGIN]],tbMAPA[#All],3,0), "Não localizado")</f>
        <v>Reginaldo Santana De Souza</v>
      </c>
      <c r="G556" s="3" t="s">
        <v>1211</v>
      </c>
      <c r="H556" s="3" t="s">
        <v>836</v>
      </c>
    </row>
    <row r="557" spans="1:8">
      <c r="A557" s="29">
        <v>42740.507430555554</v>
      </c>
      <c r="B557" s="29" t="str">
        <f>PROPER(TEXT(tbLOG[[#This Row],[DATA/HORA]],"mmmm"))</f>
        <v>Janeiro</v>
      </c>
      <c r="C557" s="34" t="str">
        <f>PROPER(TEXT(tbLOG[[#This Row],[DATA/HORA]],"dddd"))</f>
        <v>Quinta-Feira</v>
      </c>
      <c r="D557" s="3" t="s">
        <v>604</v>
      </c>
      <c r="E557" s="34" t="str">
        <f>IFERROR(VLOOKUP(tbLOG[[#This Row],[LOGIN]],tbMAPA[#All],2,0), "Não localizado")</f>
        <v>Renan Cazumba Tegani</v>
      </c>
      <c r="F557" s="34" t="str">
        <f>IFERROR(VLOOKUP(tbLOG[[#This Row],[LOGIN]],tbMAPA[#All],3,0), "Não localizado")</f>
        <v>Reginaldo Santana De Souza</v>
      </c>
      <c r="G557" s="3" t="s">
        <v>1211</v>
      </c>
      <c r="H557" s="3" t="s">
        <v>836</v>
      </c>
    </row>
    <row r="558" spans="1:8">
      <c r="A558" s="29">
        <v>42740.507430555554</v>
      </c>
      <c r="B558" s="29" t="str">
        <f>PROPER(TEXT(tbLOG[[#This Row],[DATA/HORA]],"mmmm"))</f>
        <v>Janeiro</v>
      </c>
      <c r="C558" s="34" t="str">
        <f>PROPER(TEXT(tbLOG[[#This Row],[DATA/HORA]],"dddd"))</f>
        <v>Quinta-Feira</v>
      </c>
      <c r="D558" s="3" t="s">
        <v>604</v>
      </c>
      <c r="E558" s="34" t="str">
        <f>IFERROR(VLOOKUP(tbLOG[[#This Row],[LOGIN]],tbMAPA[#All],2,0), "Não localizado")</f>
        <v>Renan Cazumba Tegani</v>
      </c>
      <c r="F558" s="34" t="str">
        <f>IFERROR(VLOOKUP(tbLOG[[#This Row],[LOGIN]],tbMAPA[#All],3,0), "Não localizado")</f>
        <v>Reginaldo Santana De Souza</v>
      </c>
      <c r="G558" s="3" t="s">
        <v>1211</v>
      </c>
      <c r="H558" s="3" t="s">
        <v>836</v>
      </c>
    </row>
    <row r="559" spans="1:8">
      <c r="A559" s="29">
        <v>42740.507430555554</v>
      </c>
      <c r="B559" s="29" t="str">
        <f>PROPER(TEXT(tbLOG[[#This Row],[DATA/HORA]],"mmmm"))</f>
        <v>Janeiro</v>
      </c>
      <c r="C559" s="34" t="str">
        <f>PROPER(TEXT(tbLOG[[#This Row],[DATA/HORA]],"dddd"))</f>
        <v>Quinta-Feira</v>
      </c>
      <c r="D559" s="3" t="s">
        <v>604</v>
      </c>
      <c r="E559" s="34" t="str">
        <f>IFERROR(VLOOKUP(tbLOG[[#This Row],[LOGIN]],tbMAPA[#All],2,0), "Não localizado")</f>
        <v>Renan Cazumba Tegani</v>
      </c>
      <c r="F559" s="34" t="str">
        <f>IFERROR(VLOOKUP(tbLOG[[#This Row],[LOGIN]],tbMAPA[#All],3,0), "Não localizado")</f>
        <v>Reginaldo Santana De Souza</v>
      </c>
      <c r="G559" s="3" t="s">
        <v>1211</v>
      </c>
      <c r="H559" s="3" t="s">
        <v>836</v>
      </c>
    </row>
    <row r="560" spans="1:8">
      <c r="A560" s="29">
        <v>42740.507430555554</v>
      </c>
      <c r="B560" s="29" t="str">
        <f>PROPER(TEXT(tbLOG[[#This Row],[DATA/HORA]],"mmmm"))</f>
        <v>Janeiro</v>
      </c>
      <c r="C560" s="34" t="str">
        <f>PROPER(TEXT(tbLOG[[#This Row],[DATA/HORA]],"dddd"))</f>
        <v>Quinta-Feira</v>
      </c>
      <c r="D560" s="3" t="s">
        <v>604</v>
      </c>
      <c r="E560" s="34" t="str">
        <f>IFERROR(VLOOKUP(tbLOG[[#This Row],[LOGIN]],tbMAPA[#All],2,0), "Não localizado")</f>
        <v>Renan Cazumba Tegani</v>
      </c>
      <c r="F560" s="34" t="str">
        <f>IFERROR(VLOOKUP(tbLOG[[#This Row],[LOGIN]],tbMAPA[#All],3,0), "Não localizado")</f>
        <v>Reginaldo Santana De Souza</v>
      </c>
      <c r="G560" s="3" t="s">
        <v>1211</v>
      </c>
      <c r="H560" s="3" t="s">
        <v>836</v>
      </c>
    </row>
    <row r="561" spans="1:8">
      <c r="A561" s="29">
        <v>42740.507430555554</v>
      </c>
      <c r="B561" s="29" t="str">
        <f>PROPER(TEXT(tbLOG[[#This Row],[DATA/HORA]],"mmmm"))</f>
        <v>Janeiro</v>
      </c>
      <c r="C561" s="34" t="str">
        <f>PROPER(TEXT(tbLOG[[#This Row],[DATA/HORA]],"dddd"))</f>
        <v>Quinta-Feira</v>
      </c>
      <c r="D561" s="3" t="s">
        <v>604</v>
      </c>
      <c r="E561" s="34" t="str">
        <f>IFERROR(VLOOKUP(tbLOG[[#This Row],[LOGIN]],tbMAPA[#All],2,0), "Não localizado")</f>
        <v>Renan Cazumba Tegani</v>
      </c>
      <c r="F561" s="34" t="str">
        <f>IFERROR(VLOOKUP(tbLOG[[#This Row],[LOGIN]],tbMAPA[#All],3,0), "Não localizado")</f>
        <v>Reginaldo Santana De Souza</v>
      </c>
      <c r="G561" s="3" t="s">
        <v>1211</v>
      </c>
      <c r="H561" s="3" t="s">
        <v>836</v>
      </c>
    </row>
    <row r="562" spans="1:8">
      <c r="A562" s="29">
        <v>42740.507430555554</v>
      </c>
      <c r="B562" s="29" t="str">
        <f>PROPER(TEXT(tbLOG[[#This Row],[DATA/HORA]],"mmmm"))</f>
        <v>Janeiro</v>
      </c>
      <c r="C562" s="34" t="str">
        <f>PROPER(TEXT(tbLOG[[#This Row],[DATA/HORA]],"dddd"))</f>
        <v>Quinta-Feira</v>
      </c>
      <c r="D562" s="3" t="s">
        <v>604</v>
      </c>
      <c r="E562" s="34" t="str">
        <f>IFERROR(VLOOKUP(tbLOG[[#This Row],[LOGIN]],tbMAPA[#All],2,0), "Não localizado")</f>
        <v>Renan Cazumba Tegani</v>
      </c>
      <c r="F562" s="34" t="str">
        <f>IFERROR(VLOOKUP(tbLOG[[#This Row],[LOGIN]],tbMAPA[#All],3,0), "Não localizado")</f>
        <v>Reginaldo Santana De Souza</v>
      </c>
      <c r="G562" s="3" t="s">
        <v>1211</v>
      </c>
      <c r="H562" s="3" t="s">
        <v>836</v>
      </c>
    </row>
    <row r="563" spans="1:8">
      <c r="A563" s="29">
        <v>42740.507430555554</v>
      </c>
      <c r="B563" s="29" t="str">
        <f>PROPER(TEXT(tbLOG[[#This Row],[DATA/HORA]],"mmmm"))</f>
        <v>Janeiro</v>
      </c>
      <c r="C563" s="34" t="str">
        <f>PROPER(TEXT(tbLOG[[#This Row],[DATA/HORA]],"dddd"))</f>
        <v>Quinta-Feira</v>
      </c>
      <c r="D563" s="3" t="s">
        <v>604</v>
      </c>
      <c r="E563" s="34" t="str">
        <f>IFERROR(VLOOKUP(tbLOG[[#This Row],[LOGIN]],tbMAPA[#All],2,0), "Não localizado")</f>
        <v>Renan Cazumba Tegani</v>
      </c>
      <c r="F563" s="34" t="str">
        <f>IFERROR(VLOOKUP(tbLOG[[#This Row],[LOGIN]],tbMAPA[#All],3,0), "Não localizado")</f>
        <v>Reginaldo Santana De Souza</v>
      </c>
      <c r="G563" s="3" t="s">
        <v>1211</v>
      </c>
      <c r="H563" s="3" t="s">
        <v>836</v>
      </c>
    </row>
    <row r="564" spans="1:8">
      <c r="A564" s="29">
        <v>42740.507430555554</v>
      </c>
      <c r="B564" s="29" t="str">
        <f>PROPER(TEXT(tbLOG[[#This Row],[DATA/HORA]],"mmmm"))</f>
        <v>Janeiro</v>
      </c>
      <c r="C564" s="34" t="str">
        <f>PROPER(TEXT(tbLOG[[#This Row],[DATA/HORA]],"dddd"))</f>
        <v>Quinta-Feira</v>
      </c>
      <c r="D564" s="3" t="s">
        <v>604</v>
      </c>
      <c r="E564" s="34" t="str">
        <f>IFERROR(VLOOKUP(tbLOG[[#This Row],[LOGIN]],tbMAPA[#All],2,0), "Não localizado")</f>
        <v>Renan Cazumba Tegani</v>
      </c>
      <c r="F564" s="34" t="str">
        <f>IFERROR(VLOOKUP(tbLOG[[#This Row],[LOGIN]],tbMAPA[#All],3,0), "Não localizado")</f>
        <v>Reginaldo Santana De Souza</v>
      </c>
      <c r="G564" s="3" t="s">
        <v>1211</v>
      </c>
      <c r="H564" s="3" t="s">
        <v>836</v>
      </c>
    </row>
    <row r="565" spans="1:8">
      <c r="A565" s="29">
        <v>42740.507488425923</v>
      </c>
      <c r="B565" s="29" t="str">
        <f>PROPER(TEXT(tbLOG[[#This Row],[DATA/HORA]],"mmmm"))</f>
        <v>Janeiro</v>
      </c>
      <c r="C565" s="34" t="str">
        <f>PROPER(TEXT(tbLOG[[#This Row],[DATA/HORA]],"dddd"))</f>
        <v>Quinta-Feira</v>
      </c>
      <c r="D565" s="3" t="s">
        <v>604</v>
      </c>
      <c r="E565" s="34" t="str">
        <f>IFERROR(VLOOKUP(tbLOG[[#This Row],[LOGIN]],tbMAPA[#All],2,0), "Não localizado")</f>
        <v>Renan Cazumba Tegani</v>
      </c>
      <c r="F565" s="34" t="str">
        <f>IFERROR(VLOOKUP(tbLOG[[#This Row],[LOGIN]],tbMAPA[#All],3,0), "Não localizado")</f>
        <v>Reginaldo Santana De Souza</v>
      </c>
      <c r="G565" s="3" t="s">
        <v>1211</v>
      </c>
      <c r="H565" s="3" t="s">
        <v>290</v>
      </c>
    </row>
    <row r="566" spans="1:8">
      <c r="A566" s="29">
        <v>42740.507557870369</v>
      </c>
      <c r="B566" s="29" t="str">
        <f>PROPER(TEXT(tbLOG[[#This Row],[DATA/HORA]],"mmmm"))</f>
        <v>Janeiro</v>
      </c>
      <c r="C566" s="34" t="str">
        <f>PROPER(TEXT(tbLOG[[#This Row],[DATA/HORA]],"dddd"))</f>
        <v>Quinta-Feira</v>
      </c>
      <c r="D566" s="3" t="s">
        <v>604</v>
      </c>
      <c r="E566" s="34" t="str">
        <f>IFERROR(VLOOKUP(tbLOG[[#This Row],[LOGIN]],tbMAPA[#All],2,0), "Não localizado")</f>
        <v>Renan Cazumba Tegani</v>
      </c>
      <c r="F566" s="34" t="str">
        <f>IFERROR(VLOOKUP(tbLOG[[#This Row],[LOGIN]],tbMAPA[#All],3,0), "Não localizado")</f>
        <v>Reginaldo Santana De Souza</v>
      </c>
      <c r="G566" s="3" t="s">
        <v>1211</v>
      </c>
      <c r="H566" s="3" t="s">
        <v>836</v>
      </c>
    </row>
    <row r="567" spans="1:8">
      <c r="A567" s="29">
        <v>42740.507569444446</v>
      </c>
      <c r="B567" s="29" t="str">
        <f>PROPER(TEXT(tbLOG[[#This Row],[DATA/HORA]],"mmmm"))</f>
        <v>Janeiro</v>
      </c>
      <c r="C567" s="34" t="str">
        <f>PROPER(TEXT(tbLOG[[#This Row],[DATA/HORA]],"dddd"))</f>
        <v>Quinta-Feira</v>
      </c>
      <c r="D567" s="3" t="s">
        <v>604</v>
      </c>
      <c r="E567" s="34" t="str">
        <f>IFERROR(VLOOKUP(tbLOG[[#This Row],[LOGIN]],tbMAPA[#All],2,0), "Não localizado")</f>
        <v>Renan Cazumba Tegani</v>
      </c>
      <c r="F567" s="34" t="str">
        <f>IFERROR(VLOOKUP(tbLOG[[#This Row],[LOGIN]],tbMAPA[#All],3,0), "Não localizado")</f>
        <v>Reginaldo Santana De Souza</v>
      </c>
      <c r="G567" s="3" t="s">
        <v>1211</v>
      </c>
      <c r="H567" s="3" t="s">
        <v>836</v>
      </c>
    </row>
    <row r="568" spans="1:8">
      <c r="A568" s="29">
        <v>42740.507604166669</v>
      </c>
      <c r="B568" s="29" t="str">
        <f>PROPER(TEXT(tbLOG[[#This Row],[DATA/HORA]],"mmmm"))</f>
        <v>Janeiro</v>
      </c>
      <c r="C568" s="34" t="str">
        <f>PROPER(TEXT(tbLOG[[#This Row],[DATA/HORA]],"dddd"))</f>
        <v>Quinta-Feira</v>
      </c>
      <c r="D568" s="3" t="s">
        <v>604</v>
      </c>
      <c r="E568" s="34" t="str">
        <f>IFERROR(VLOOKUP(tbLOG[[#This Row],[LOGIN]],tbMAPA[#All],2,0), "Não localizado")</f>
        <v>Renan Cazumba Tegani</v>
      </c>
      <c r="F568" s="34" t="str">
        <f>IFERROR(VLOOKUP(tbLOG[[#This Row],[LOGIN]],tbMAPA[#All],3,0), "Não localizado")</f>
        <v>Reginaldo Santana De Souza</v>
      </c>
      <c r="G568" s="3" t="s">
        <v>1211</v>
      </c>
      <c r="H568" s="3" t="s">
        <v>836</v>
      </c>
    </row>
    <row r="569" spans="1:8">
      <c r="A569" s="29">
        <v>42740.507870370369</v>
      </c>
      <c r="B569" s="29" t="str">
        <f>PROPER(TEXT(tbLOG[[#This Row],[DATA/HORA]],"mmmm"))</f>
        <v>Janeiro</v>
      </c>
      <c r="C569" s="34" t="str">
        <f>PROPER(TEXT(tbLOG[[#This Row],[DATA/HORA]],"dddd"))</f>
        <v>Quinta-Feira</v>
      </c>
      <c r="D569" s="3" t="s">
        <v>604</v>
      </c>
      <c r="E569" s="34" t="str">
        <f>IFERROR(VLOOKUP(tbLOG[[#This Row],[LOGIN]],tbMAPA[#All],2,0), "Não localizado")</f>
        <v>Renan Cazumba Tegani</v>
      </c>
      <c r="F569" s="34" t="str">
        <f>IFERROR(VLOOKUP(tbLOG[[#This Row],[LOGIN]],tbMAPA[#All],3,0), "Não localizado")</f>
        <v>Reginaldo Santana De Souza</v>
      </c>
      <c r="G569" s="3" t="s">
        <v>1211</v>
      </c>
      <c r="H569" s="3" t="s">
        <v>291</v>
      </c>
    </row>
    <row r="570" spans="1:8">
      <c r="A570" s="29">
        <v>42740.507870370369</v>
      </c>
      <c r="B570" s="29" t="str">
        <f>PROPER(TEXT(tbLOG[[#This Row],[DATA/HORA]],"mmmm"))</f>
        <v>Janeiro</v>
      </c>
      <c r="C570" s="34" t="str">
        <f>PROPER(TEXT(tbLOG[[#This Row],[DATA/HORA]],"dddd"))</f>
        <v>Quinta-Feira</v>
      </c>
      <c r="D570" s="3" t="s">
        <v>604</v>
      </c>
      <c r="E570" s="34" t="str">
        <f>IFERROR(VLOOKUP(tbLOG[[#This Row],[LOGIN]],tbMAPA[#All],2,0), "Não localizado")</f>
        <v>Renan Cazumba Tegani</v>
      </c>
      <c r="F570" s="34" t="str">
        <f>IFERROR(VLOOKUP(tbLOG[[#This Row],[LOGIN]],tbMAPA[#All],3,0), "Não localizado")</f>
        <v>Reginaldo Santana De Souza</v>
      </c>
      <c r="G570" s="3" t="s">
        <v>1211</v>
      </c>
      <c r="H570" s="3" t="s">
        <v>290</v>
      </c>
    </row>
    <row r="571" spans="1:8">
      <c r="A571" s="29">
        <v>42740.508090277777</v>
      </c>
      <c r="B571" s="29" t="str">
        <f>PROPER(TEXT(tbLOG[[#This Row],[DATA/HORA]],"mmmm"))</f>
        <v>Janeiro</v>
      </c>
      <c r="C571" s="34" t="str">
        <f>PROPER(TEXT(tbLOG[[#This Row],[DATA/HORA]],"dddd"))</f>
        <v>Quinta-Feira</v>
      </c>
      <c r="D571" s="3" t="s">
        <v>604</v>
      </c>
      <c r="E571" s="34" t="str">
        <f>IFERROR(VLOOKUP(tbLOG[[#This Row],[LOGIN]],tbMAPA[#All],2,0), "Não localizado")</f>
        <v>Renan Cazumba Tegani</v>
      </c>
      <c r="F571" s="34" t="str">
        <f>IFERROR(VLOOKUP(tbLOG[[#This Row],[LOGIN]],tbMAPA[#All],3,0), "Não localizado")</f>
        <v>Reginaldo Santana De Souza</v>
      </c>
      <c r="G571" s="3" t="s">
        <v>1211</v>
      </c>
      <c r="H571" s="3" t="s">
        <v>994</v>
      </c>
    </row>
    <row r="572" spans="1:8">
      <c r="A572" s="29">
        <v>42740.508240740739</v>
      </c>
      <c r="B572" s="29" t="str">
        <f>PROPER(TEXT(tbLOG[[#This Row],[DATA/HORA]],"mmmm"))</f>
        <v>Janeiro</v>
      </c>
      <c r="C572" s="34" t="str">
        <f>PROPER(TEXT(tbLOG[[#This Row],[DATA/HORA]],"dddd"))</f>
        <v>Quinta-Feira</v>
      </c>
      <c r="D572" s="3" t="s">
        <v>604</v>
      </c>
      <c r="E572" s="34" t="str">
        <f>IFERROR(VLOOKUP(tbLOG[[#This Row],[LOGIN]],tbMAPA[#All],2,0), "Não localizado")</f>
        <v>Renan Cazumba Tegani</v>
      </c>
      <c r="F572" s="34" t="str">
        <f>IFERROR(VLOOKUP(tbLOG[[#This Row],[LOGIN]],tbMAPA[#All],3,0), "Não localizado")</f>
        <v>Reginaldo Santana De Souza</v>
      </c>
      <c r="G572" s="3" t="s">
        <v>1211</v>
      </c>
      <c r="H572" s="3" t="s">
        <v>291</v>
      </c>
    </row>
    <row r="573" spans="1:8">
      <c r="A573" s="29">
        <v>42740.508240740739</v>
      </c>
      <c r="B573" s="29" t="str">
        <f>PROPER(TEXT(tbLOG[[#This Row],[DATA/HORA]],"mmmm"))</f>
        <v>Janeiro</v>
      </c>
      <c r="C573" s="34" t="str">
        <f>PROPER(TEXT(tbLOG[[#This Row],[DATA/HORA]],"dddd"))</f>
        <v>Quinta-Feira</v>
      </c>
      <c r="D573" s="3" t="s">
        <v>604</v>
      </c>
      <c r="E573" s="34" t="str">
        <f>IFERROR(VLOOKUP(tbLOG[[#This Row],[LOGIN]],tbMAPA[#All],2,0), "Não localizado")</f>
        <v>Renan Cazumba Tegani</v>
      </c>
      <c r="F573" s="34" t="str">
        <f>IFERROR(VLOOKUP(tbLOG[[#This Row],[LOGIN]],tbMAPA[#All],3,0), "Não localizado")</f>
        <v>Reginaldo Santana De Souza</v>
      </c>
      <c r="G573" s="3" t="s">
        <v>1211</v>
      </c>
      <c r="H573" s="3" t="s">
        <v>290</v>
      </c>
    </row>
    <row r="574" spans="1:8">
      <c r="A574" s="29">
        <v>42740.508715277778</v>
      </c>
      <c r="B574" s="29" t="str">
        <f>PROPER(TEXT(tbLOG[[#This Row],[DATA/HORA]],"mmmm"))</f>
        <v>Janeiro</v>
      </c>
      <c r="C574" s="34" t="str">
        <f>PROPER(TEXT(tbLOG[[#This Row],[DATA/HORA]],"dddd"))</f>
        <v>Quinta-Feira</v>
      </c>
      <c r="D574" s="3" t="s">
        <v>604</v>
      </c>
      <c r="E574" s="34" t="str">
        <f>IFERROR(VLOOKUP(tbLOG[[#This Row],[LOGIN]],tbMAPA[#All],2,0), "Não localizado")</f>
        <v>Renan Cazumba Tegani</v>
      </c>
      <c r="F574" s="34" t="str">
        <f>IFERROR(VLOOKUP(tbLOG[[#This Row],[LOGIN]],tbMAPA[#All],3,0), "Não localizado")</f>
        <v>Reginaldo Santana De Souza</v>
      </c>
      <c r="G574" s="3" t="s">
        <v>1211</v>
      </c>
      <c r="H574" s="3" t="s">
        <v>994</v>
      </c>
    </row>
    <row r="575" spans="1:8">
      <c r="A575" s="29">
        <v>42740.508900462963</v>
      </c>
      <c r="B575" s="29" t="str">
        <f>PROPER(TEXT(tbLOG[[#This Row],[DATA/HORA]],"mmmm"))</f>
        <v>Janeiro</v>
      </c>
      <c r="C575" s="34" t="str">
        <f>PROPER(TEXT(tbLOG[[#This Row],[DATA/HORA]],"dddd"))</f>
        <v>Quinta-Feira</v>
      </c>
      <c r="D575" s="3" t="s">
        <v>604</v>
      </c>
      <c r="E575" s="34" t="str">
        <f>IFERROR(VLOOKUP(tbLOG[[#This Row],[LOGIN]],tbMAPA[#All],2,0), "Não localizado")</f>
        <v>Renan Cazumba Tegani</v>
      </c>
      <c r="F575" s="34" t="str">
        <f>IFERROR(VLOOKUP(tbLOG[[#This Row],[LOGIN]],tbMAPA[#All],3,0), "Não localizado")</f>
        <v>Reginaldo Santana De Souza</v>
      </c>
      <c r="G575" s="3" t="s">
        <v>1211</v>
      </c>
      <c r="H575" s="3" t="s">
        <v>836</v>
      </c>
    </row>
    <row r="576" spans="1:8">
      <c r="A576" s="29">
        <v>42740.508900462963</v>
      </c>
      <c r="B576" s="29" t="str">
        <f>PROPER(TEXT(tbLOG[[#This Row],[DATA/HORA]],"mmmm"))</f>
        <v>Janeiro</v>
      </c>
      <c r="C576" s="34" t="str">
        <f>PROPER(TEXT(tbLOG[[#This Row],[DATA/HORA]],"dddd"))</f>
        <v>Quinta-Feira</v>
      </c>
      <c r="D576" s="3" t="s">
        <v>604</v>
      </c>
      <c r="E576" s="34" t="str">
        <f>IFERROR(VLOOKUP(tbLOG[[#This Row],[LOGIN]],tbMAPA[#All],2,0), "Não localizado")</f>
        <v>Renan Cazumba Tegani</v>
      </c>
      <c r="F576" s="34" t="str">
        <f>IFERROR(VLOOKUP(tbLOG[[#This Row],[LOGIN]],tbMAPA[#All],3,0), "Não localizado")</f>
        <v>Reginaldo Santana De Souza</v>
      </c>
      <c r="G576" s="3" t="s">
        <v>1211</v>
      </c>
      <c r="H576" s="3" t="s">
        <v>836</v>
      </c>
    </row>
    <row r="577" spans="1:8">
      <c r="A577" s="29">
        <v>42740.508923611109</v>
      </c>
      <c r="B577" s="29" t="str">
        <f>PROPER(TEXT(tbLOG[[#This Row],[DATA/HORA]],"mmmm"))</f>
        <v>Janeiro</v>
      </c>
      <c r="C577" s="34" t="str">
        <f>PROPER(TEXT(tbLOG[[#This Row],[DATA/HORA]],"dddd"))</f>
        <v>Quinta-Feira</v>
      </c>
      <c r="D577" s="3" t="s">
        <v>604</v>
      </c>
      <c r="E577" s="34" t="str">
        <f>IFERROR(VLOOKUP(tbLOG[[#This Row],[LOGIN]],tbMAPA[#All],2,0), "Não localizado")</f>
        <v>Renan Cazumba Tegani</v>
      </c>
      <c r="F577" s="34" t="str">
        <f>IFERROR(VLOOKUP(tbLOG[[#This Row],[LOGIN]],tbMAPA[#All],3,0), "Não localizado")</f>
        <v>Reginaldo Santana De Souza</v>
      </c>
      <c r="G577" s="3" t="s">
        <v>1211</v>
      </c>
      <c r="H577" s="3" t="s">
        <v>836</v>
      </c>
    </row>
    <row r="578" spans="1:8">
      <c r="A578" s="29">
        <v>42740.516643518517</v>
      </c>
      <c r="B578" s="29" t="str">
        <f>PROPER(TEXT(tbLOG[[#This Row],[DATA/HORA]],"mmmm"))</f>
        <v>Janeiro</v>
      </c>
      <c r="C578" s="34" t="str">
        <f>PROPER(TEXT(tbLOG[[#This Row],[DATA/HORA]],"dddd"))</f>
        <v>Quinta-Feira</v>
      </c>
      <c r="D578" s="3" t="s">
        <v>604</v>
      </c>
      <c r="E578" s="34" t="str">
        <f>IFERROR(VLOOKUP(tbLOG[[#This Row],[LOGIN]],tbMAPA[#All],2,0), "Não localizado")</f>
        <v>Renan Cazumba Tegani</v>
      </c>
      <c r="F578" s="34" t="str">
        <f>IFERROR(VLOOKUP(tbLOG[[#This Row],[LOGIN]],tbMAPA[#All],3,0), "Não localizado")</f>
        <v>Reginaldo Santana De Souza</v>
      </c>
      <c r="G578" s="3" t="s">
        <v>1211</v>
      </c>
      <c r="H578" s="3" t="s">
        <v>836</v>
      </c>
    </row>
    <row r="579" spans="1:8">
      <c r="A579" s="29">
        <v>42740.51666666667</v>
      </c>
      <c r="B579" s="29" t="str">
        <f>PROPER(TEXT(tbLOG[[#This Row],[DATA/HORA]],"mmmm"))</f>
        <v>Janeiro</v>
      </c>
      <c r="C579" s="34" t="str">
        <f>PROPER(TEXT(tbLOG[[#This Row],[DATA/HORA]],"dddd"))</f>
        <v>Quinta-Feira</v>
      </c>
      <c r="D579" s="3" t="s">
        <v>604</v>
      </c>
      <c r="E579" s="34" t="str">
        <f>IFERROR(VLOOKUP(tbLOG[[#This Row],[LOGIN]],tbMAPA[#All],2,0), "Não localizado")</f>
        <v>Renan Cazumba Tegani</v>
      </c>
      <c r="F579" s="34" t="str">
        <f>IFERROR(VLOOKUP(tbLOG[[#This Row],[LOGIN]],tbMAPA[#All],3,0), "Não localizado")</f>
        <v>Reginaldo Santana De Souza</v>
      </c>
      <c r="G579" s="3" t="s">
        <v>1211</v>
      </c>
      <c r="H579" s="3" t="s">
        <v>836</v>
      </c>
    </row>
    <row r="580" spans="1:8">
      <c r="A580" s="29">
        <v>42740.516793981478</v>
      </c>
      <c r="B580" s="29" t="str">
        <f>PROPER(TEXT(tbLOG[[#This Row],[DATA/HORA]],"mmmm"))</f>
        <v>Janeiro</v>
      </c>
      <c r="C580" s="34" t="str">
        <f>PROPER(TEXT(tbLOG[[#This Row],[DATA/HORA]],"dddd"))</f>
        <v>Quinta-Feira</v>
      </c>
      <c r="D580" s="3" t="s">
        <v>604</v>
      </c>
      <c r="E580" s="34" t="str">
        <f>IFERROR(VLOOKUP(tbLOG[[#This Row],[LOGIN]],tbMAPA[#All],2,0), "Não localizado")</f>
        <v>Renan Cazumba Tegani</v>
      </c>
      <c r="F580" s="34" t="str">
        <f>IFERROR(VLOOKUP(tbLOG[[#This Row],[LOGIN]],tbMAPA[#All],3,0), "Não localizado")</f>
        <v>Reginaldo Santana De Souza</v>
      </c>
      <c r="G580" s="3" t="s">
        <v>1211</v>
      </c>
      <c r="H580" s="3" t="s">
        <v>836</v>
      </c>
    </row>
    <row r="581" spans="1:8">
      <c r="A581" s="29">
        <v>42740.516898148147</v>
      </c>
      <c r="B581" s="29" t="str">
        <f>PROPER(TEXT(tbLOG[[#This Row],[DATA/HORA]],"mmmm"))</f>
        <v>Janeiro</v>
      </c>
      <c r="C581" s="34" t="str">
        <f>PROPER(TEXT(tbLOG[[#This Row],[DATA/HORA]],"dddd"))</f>
        <v>Quinta-Feira</v>
      </c>
      <c r="D581" s="3" t="s">
        <v>604</v>
      </c>
      <c r="E581" s="34" t="str">
        <f>IFERROR(VLOOKUP(tbLOG[[#This Row],[LOGIN]],tbMAPA[#All],2,0), "Não localizado")</f>
        <v>Renan Cazumba Tegani</v>
      </c>
      <c r="F581" s="34" t="str">
        <f>IFERROR(VLOOKUP(tbLOG[[#This Row],[LOGIN]],tbMAPA[#All],3,0), "Não localizado")</f>
        <v>Reginaldo Santana De Souza</v>
      </c>
      <c r="G581" s="3" t="s">
        <v>1211</v>
      </c>
      <c r="H581" s="3" t="s">
        <v>836</v>
      </c>
    </row>
    <row r="582" spans="1:8">
      <c r="A582" s="29">
        <v>42740.519155092596</v>
      </c>
      <c r="B582" s="29" t="str">
        <f>PROPER(TEXT(tbLOG[[#This Row],[DATA/HORA]],"mmmm"))</f>
        <v>Janeiro</v>
      </c>
      <c r="C582" s="34" t="str">
        <f>PROPER(TEXT(tbLOG[[#This Row],[DATA/HORA]],"dddd"))</f>
        <v>Quinta-Feira</v>
      </c>
      <c r="D582" s="3" t="s">
        <v>604</v>
      </c>
      <c r="E582" s="34" t="str">
        <f>IFERROR(VLOOKUP(tbLOG[[#This Row],[LOGIN]],tbMAPA[#All],2,0), "Não localizado")</f>
        <v>Renan Cazumba Tegani</v>
      </c>
      <c r="F582" s="34" t="str">
        <f>IFERROR(VLOOKUP(tbLOG[[#This Row],[LOGIN]],tbMAPA[#All],3,0), "Não localizado")</f>
        <v>Reginaldo Santana De Souza</v>
      </c>
      <c r="G582" s="3" t="s">
        <v>1211</v>
      </c>
      <c r="H582" s="3" t="s">
        <v>290</v>
      </c>
    </row>
    <row r="583" spans="1:8">
      <c r="A583" s="29">
        <v>42740.521956018521</v>
      </c>
      <c r="B583" s="29" t="str">
        <f>PROPER(TEXT(tbLOG[[#This Row],[DATA/HORA]],"mmmm"))</f>
        <v>Janeiro</v>
      </c>
      <c r="C583" s="34" t="str">
        <f>PROPER(TEXT(tbLOG[[#This Row],[DATA/HORA]],"dddd"))</f>
        <v>Quinta-Feira</v>
      </c>
      <c r="D583" s="3" t="s">
        <v>604</v>
      </c>
      <c r="E583" s="34" t="str">
        <f>IFERROR(VLOOKUP(tbLOG[[#This Row],[LOGIN]],tbMAPA[#All],2,0), "Não localizado")</f>
        <v>Renan Cazumba Tegani</v>
      </c>
      <c r="F583" s="34" t="str">
        <f>IFERROR(VLOOKUP(tbLOG[[#This Row],[LOGIN]],tbMAPA[#All],3,0), "Não localizado")</f>
        <v>Reginaldo Santana De Souza</v>
      </c>
      <c r="G583" s="3" t="s">
        <v>1211</v>
      </c>
      <c r="H583" s="3" t="s">
        <v>836</v>
      </c>
    </row>
    <row r="584" spans="1:8">
      <c r="A584" s="29">
        <v>42740.522002314814</v>
      </c>
      <c r="B584" s="29" t="str">
        <f>PROPER(TEXT(tbLOG[[#This Row],[DATA/HORA]],"mmmm"))</f>
        <v>Janeiro</v>
      </c>
      <c r="C584" s="34" t="str">
        <f>PROPER(TEXT(tbLOG[[#This Row],[DATA/HORA]],"dddd"))</f>
        <v>Quinta-Feira</v>
      </c>
      <c r="D584" s="3" t="s">
        <v>604</v>
      </c>
      <c r="E584" s="34" t="str">
        <f>IFERROR(VLOOKUP(tbLOG[[#This Row],[LOGIN]],tbMAPA[#All],2,0), "Não localizado")</f>
        <v>Renan Cazumba Tegani</v>
      </c>
      <c r="F584" s="34" t="str">
        <f>IFERROR(VLOOKUP(tbLOG[[#This Row],[LOGIN]],tbMAPA[#All],3,0), "Não localizado")</f>
        <v>Reginaldo Santana De Souza</v>
      </c>
      <c r="G584" s="3" t="s">
        <v>1211</v>
      </c>
      <c r="H584" s="3" t="s">
        <v>836</v>
      </c>
    </row>
    <row r="585" spans="1:8">
      <c r="A585" s="29">
        <v>42740.522685185184</v>
      </c>
      <c r="B585" s="29" t="str">
        <f>PROPER(TEXT(tbLOG[[#This Row],[DATA/HORA]],"mmmm"))</f>
        <v>Janeiro</v>
      </c>
      <c r="C585" s="34" t="str">
        <f>PROPER(TEXT(tbLOG[[#This Row],[DATA/HORA]],"dddd"))</f>
        <v>Quinta-Feira</v>
      </c>
      <c r="D585" s="3" t="s">
        <v>604</v>
      </c>
      <c r="E585" s="34" t="str">
        <f>IFERROR(VLOOKUP(tbLOG[[#This Row],[LOGIN]],tbMAPA[#All],2,0), "Não localizado")</f>
        <v>Renan Cazumba Tegani</v>
      </c>
      <c r="F585" s="34" t="str">
        <f>IFERROR(VLOOKUP(tbLOG[[#This Row],[LOGIN]],tbMAPA[#All],3,0), "Não localizado")</f>
        <v>Reginaldo Santana De Souza</v>
      </c>
      <c r="G585" s="3" t="s">
        <v>1211</v>
      </c>
      <c r="H585" s="3" t="s">
        <v>836</v>
      </c>
    </row>
    <row r="586" spans="1:8">
      <c r="A586" s="29">
        <v>42740.531597222223</v>
      </c>
      <c r="B586" s="29" t="str">
        <f>PROPER(TEXT(tbLOG[[#This Row],[DATA/HORA]],"mmmm"))</f>
        <v>Janeiro</v>
      </c>
      <c r="C586" s="34" t="str">
        <f>PROPER(TEXT(tbLOG[[#This Row],[DATA/HORA]],"dddd"))</f>
        <v>Quinta-Feira</v>
      </c>
      <c r="D586" s="3" t="s">
        <v>604</v>
      </c>
      <c r="E586" s="34" t="str">
        <f>IFERROR(VLOOKUP(tbLOG[[#This Row],[LOGIN]],tbMAPA[#All],2,0), "Não localizado")</f>
        <v>Renan Cazumba Tegani</v>
      </c>
      <c r="F586" s="34" t="str">
        <f>IFERROR(VLOOKUP(tbLOG[[#This Row],[LOGIN]],tbMAPA[#All],3,0), "Não localizado")</f>
        <v>Reginaldo Santana De Souza</v>
      </c>
      <c r="G586" s="3" t="s">
        <v>1211</v>
      </c>
      <c r="H586" s="3" t="s">
        <v>836</v>
      </c>
    </row>
    <row r="587" spans="1:8">
      <c r="A587" s="29">
        <v>42740.53162037037</v>
      </c>
      <c r="B587" s="29" t="str">
        <f>PROPER(TEXT(tbLOG[[#This Row],[DATA/HORA]],"mmmm"))</f>
        <v>Janeiro</v>
      </c>
      <c r="C587" s="34" t="str">
        <f>PROPER(TEXT(tbLOG[[#This Row],[DATA/HORA]],"dddd"))</f>
        <v>Quinta-Feira</v>
      </c>
      <c r="D587" s="3" t="s">
        <v>604</v>
      </c>
      <c r="E587" s="34" t="str">
        <f>IFERROR(VLOOKUP(tbLOG[[#This Row],[LOGIN]],tbMAPA[#All],2,0), "Não localizado")</f>
        <v>Renan Cazumba Tegani</v>
      </c>
      <c r="F587" s="34" t="str">
        <f>IFERROR(VLOOKUP(tbLOG[[#This Row],[LOGIN]],tbMAPA[#All],3,0), "Não localizado")</f>
        <v>Reginaldo Santana De Souza</v>
      </c>
      <c r="G587" s="3" t="s">
        <v>1211</v>
      </c>
      <c r="H587" s="3" t="s">
        <v>836</v>
      </c>
    </row>
    <row r="588" spans="1:8">
      <c r="A588" s="29">
        <v>42740.531678240739</v>
      </c>
      <c r="B588" s="29" t="str">
        <f>PROPER(TEXT(tbLOG[[#This Row],[DATA/HORA]],"mmmm"))</f>
        <v>Janeiro</v>
      </c>
      <c r="C588" s="34" t="str">
        <f>PROPER(TEXT(tbLOG[[#This Row],[DATA/HORA]],"dddd"))</f>
        <v>Quinta-Feira</v>
      </c>
      <c r="D588" s="3" t="s">
        <v>604</v>
      </c>
      <c r="E588" s="34" t="str">
        <f>IFERROR(VLOOKUP(tbLOG[[#This Row],[LOGIN]],tbMAPA[#All],2,0), "Não localizado")</f>
        <v>Renan Cazumba Tegani</v>
      </c>
      <c r="F588" s="34" t="str">
        <f>IFERROR(VLOOKUP(tbLOG[[#This Row],[LOGIN]],tbMAPA[#All],3,0), "Não localizado")</f>
        <v>Reginaldo Santana De Souza</v>
      </c>
      <c r="G588" s="3" t="s">
        <v>1211</v>
      </c>
      <c r="H588" s="3" t="s">
        <v>836</v>
      </c>
    </row>
    <row r="589" spans="1:8">
      <c r="A589" s="29">
        <v>42740.537129629629</v>
      </c>
      <c r="B589" s="29" t="str">
        <f>PROPER(TEXT(tbLOG[[#This Row],[DATA/HORA]],"mmmm"))</f>
        <v>Janeiro</v>
      </c>
      <c r="C589" s="34" t="str">
        <f>PROPER(TEXT(tbLOG[[#This Row],[DATA/HORA]],"dddd"))</f>
        <v>Quinta-Feira</v>
      </c>
      <c r="D589" s="3" t="s">
        <v>604</v>
      </c>
      <c r="E589" s="34" t="str">
        <f>IFERROR(VLOOKUP(tbLOG[[#This Row],[LOGIN]],tbMAPA[#All],2,0), "Não localizado")</f>
        <v>Renan Cazumba Tegani</v>
      </c>
      <c r="F589" s="34" t="str">
        <f>IFERROR(VLOOKUP(tbLOG[[#This Row],[LOGIN]],tbMAPA[#All],3,0), "Não localizado")</f>
        <v>Reginaldo Santana De Souza</v>
      </c>
      <c r="G589" s="3" t="s">
        <v>1211</v>
      </c>
      <c r="H589" s="3" t="s">
        <v>836</v>
      </c>
    </row>
    <row r="590" spans="1:8">
      <c r="A590" s="29">
        <v>42740.537152777775</v>
      </c>
      <c r="B590" s="29" t="str">
        <f>PROPER(TEXT(tbLOG[[#This Row],[DATA/HORA]],"mmmm"))</f>
        <v>Janeiro</v>
      </c>
      <c r="C590" s="34" t="str">
        <f>PROPER(TEXT(tbLOG[[#This Row],[DATA/HORA]],"dddd"))</f>
        <v>Quinta-Feira</v>
      </c>
      <c r="D590" s="3" t="s">
        <v>604</v>
      </c>
      <c r="E590" s="34" t="str">
        <f>IFERROR(VLOOKUP(tbLOG[[#This Row],[LOGIN]],tbMAPA[#All],2,0), "Não localizado")</f>
        <v>Renan Cazumba Tegani</v>
      </c>
      <c r="F590" s="34" t="str">
        <f>IFERROR(VLOOKUP(tbLOG[[#This Row],[LOGIN]],tbMAPA[#All],3,0), "Não localizado")</f>
        <v>Reginaldo Santana De Souza</v>
      </c>
      <c r="G590" s="3" t="s">
        <v>1211</v>
      </c>
      <c r="H590" s="3" t="s">
        <v>836</v>
      </c>
    </row>
    <row r="591" spans="1:8">
      <c r="A591" s="29">
        <v>42740.537222222221</v>
      </c>
      <c r="B591" s="29" t="str">
        <f>PROPER(TEXT(tbLOG[[#This Row],[DATA/HORA]],"mmmm"))</f>
        <v>Janeiro</v>
      </c>
      <c r="C591" s="34" t="str">
        <f>PROPER(TEXT(tbLOG[[#This Row],[DATA/HORA]],"dddd"))</f>
        <v>Quinta-Feira</v>
      </c>
      <c r="D591" s="3" t="s">
        <v>604</v>
      </c>
      <c r="E591" s="34" t="str">
        <f>IFERROR(VLOOKUP(tbLOG[[#This Row],[LOGIN]],tbMAPA[#All],2,0), "Não localizado")</f>
        <v>Renan Cazumba Tegani</v>
      </c>
      <c r="F591" s="34" t="str">
        <f>IFERROR(VLOOKUP(tbLOG[[#This Row],[LOGIN]],tbMAPA[#All],3,0), "Não localizado")</f>
        <v>Reginaldo Santana De Souza</v>
      </c>
      <c r="G591" s="3" t="s">
        <v>1211</v>
      </c>
      <c r="H591" s="3" t="s">
        <v>836</v>
      </c>
    </row>
    <row r="592" spans="1:8">
      <c r="A592" s="29">
        <v>42740.545844907407</v>
      </c>
      <c r="B592" s="29" t="str">
        <f>PROPER(TEXT(tbLOG[[#This Row],[DATA/HORA]],"mmmm"))</f>
        <v>Janeiro</v>
      </c>
      <c r="C592" s="34" t="str">
        <f>PROPER(TEXT(tbLOG[[#This Row],[DATA/HORA]],"dddd"))</f>
        <v>Quinta-Feira</v>
      </c>
      <c r="D592" s="3" t="s">
        <v>604</v>
      </c>
      <c r="E592" s="34" t="str">
        <f>IFERROR(VLOOKUP(tbLOG[[#This Row],[LOGIN]],tbMAPA[#All],2,0), "Não localizado")</f>
        <v>Renan Cazumba Tegani</v>
      </c>
      <c r="F592" s="34" t="str">
        <f>IFERROR(VLOOKUP(tbLOG[[#This Row],[LOGIN]],tbMAPA[#All],3,0), "Não localizado")</f>
        <v>Reginaldo Santana De Souza</v>
      </c>
      <c r="G592" s="3" t="s">
        <v>1211</v>
      </c>
      <c r="H592" s="3" t="s">
        <v>836</v>
      </c>
    </row>
    <row r="593" spans="1:8">
      <c r="A593" s="29">
        <v>42740.545902777776</v>
      </c>
      <c r="B593" s="29" t="str">
        <f>PROPER(TEXT(tbLOG[[#This Row],[DATA/HORA]],"mmmm"))</f>
        <v>Janeiro</v>
      </c>
      <c r="C593" s="34" t="str">
        <f>PROPER(TEXT(tbLOG[[#This Row],[DATA/HORA]],"dddd"))</f>
        <v>Quinta-Feira</v>
      </c>
      <c r="D593" s="3" t="s">
        <v>604</v>
      </c>
      <c r="E593" s="34" t="str">
        <f>IFERROR(VLOOKUP(tbLOG[[#This Row],[LOGIN]],tbMAPA[#All],2,0), "Não localizado")</f>
        <v>Renan Cazumba Tegani</v>
      </c>
      <c r="F593" s="34" t="str">
        <f>IFERROR(VLOOKUP(tbLOG[[#This Row],[LOGIN]],tbMAPA[#All],3,0), "Não localizado")</f>
        <v>Reginaldo Santana De Souza</v>
      </c>
      <c r="G593" s="3" t="s">
        <v>1211</v>
      </c>
      <c r="H593" s="3" t="s">
        <v>836</v>
      </c>
    </row>
    <row r="594" spans="1:8">
      <c r="A594" s="29">
        <v>42740.546226851853</v>
      </c>
      <c r="B594" s="29" t="str">
        <f>PROPER(TEXT(tbLOG[[#This Row],[DATA/HORA]],"mmmm"))</f>
        <v>Janeiro</v>
      </c>
      <c r="C594" s="34" t="str">
        <f>PROPER(TEXT(tbLOG[[#This Row],[DATA/HORA]],"dddd"))</f>
        <v>Quinta-Feira</v>
      </c>
      <c r="D594" s="3" t="s">
        <v>604</v>
      </c>
      <c r="E594" s="34" t="str">
        <f>IFERROR(VLOOKUP(tbLOG[[#This Row],[LOGIN]],tbMAPA[#All],2,0), "Não localizado")</f>
        <v>Renan Cazumba Tegani</v>
      </c>
      <c r="F594" s="34" t="str">
        <f>IFERROR(VLOOKUP(tbLOG[[#This Row],[LOGIN]],tbMAPA[#All],3,0), "Não localizado")</f>
        <v>Reginaldo Santana De Souza</v>
      </c>
      <c r="G594" s="3" t="s">
        <v>1211</v>
      </c>
      <c r="H594" s="3" t="s">
        <v>836</v>
      </c>
    </row>
    <row r="595" spans="1:8">
      <c r="A595" s="29">
        <v>42740.549155092594</v>
      </c>
      <c r="B595" s="29" t="str">
        <f>PROPER(TEXT(tbLOG[[#This Row],[DATA/HORA]],"mmmm"))</f>
        <v>Janeiro</v>
      </c>
      <c r="C595" s="34" t="str">
        <f>PROPER(TEXT(tbLOG[[#This Row],[DATA/HORA]],"dddd"))</f>
        <v>Quinta-Feira</v>
      </c>
      <c r="D595" s="3" t="s">
        <v>604</v>
      </c>
      <c r="E595" s="34" t="str">
        <f>IFERROR(VLOOKUP(tbLOG[[#This Row],[LOGIN]],tbMAPA[#All],2,0), "Não localizado")</f>
        <v>Renan Cazumba Tegani</v>
      </c>
      <c r="F595" s="34" t="str">
        <f>IFERROR(VLOOKUP(tbLOG[[#This Row],[LOGIN]],tbMAPA[#All],3,0), "Não localizado")</f>
        <v>Reginaldo Santana De Souza</v>
      </c>
      <c r="G595" s="3" t="s">
        <v>1211</v>
      </c>
      <c r="H595" s="3" t="s">
        <v>836</v>
      </c>
    </row>
    <row r="596" spans="1:8">
      <c r="A596" s="29">
        <v>42740.549178240741</v>
      </c>
      <c r="B596" s="29" t="str">
        <f>PROPER(TEXT(tbLOG[[#This Row],[DATA/HORA]],"mmmm"))</f>
        <v>Janeiro</v>
      </c>
      <c r="C596" s="34" t="str">
        <f>PROPER(TEXT(tbLOG[[#This Row],[DATA/HORA]],"dddd"))</f>
        <v>Quinta-Feira</v>
      </c>
      <c r="D596" s="3" t="s">
        <v>604</v>
      </c>
      <c r="E596" s="34" t="str">
        <f>IFERROR(VLOOKUP(tbLOG[[#This Row],[LOGIN]],tbMAPA[#All],2,0), "Não localizado")</f>
        <v>Renan Cazumba Tegani</v>
      </c>
      <c r="F596" s="34" t="str">
        <f>IFERROR(VLOOKUP(tbLOG[[#This Row],[LOGIN]],tbMAPA[#All],3,0), "Não localizado")</f>
        <v>Reginaldo Santana De Souza</v>
      </c>
      <c r="G596" s="3" t="s">
        <v>1211</v>
      </c>
      <c r="H596" s="3" t="s">
        <v>836</v>
      </c>
    </row>
    <row r="597" spans="1:8">
      <c r="A597" s="29">
        <v>42740.549224537041</v>
      </c>
      <c r="B597" s="29" t="str">
        <f>PROPER(TEXT(tbLOG[[#This Row],[DATA/HORA]],"mmmm"))</f>
        <v>Janeiro</v>
      </c>
      <c r="C597" s="34" t="str">
        <f>PROPER(TEXT(tbLOG[[#This Row],[DATA/HORA]],"dddd"))</f>
        <v>Quinta-Feira</v>
      </c>
      <c r="D597" s="3" t="s">
        <v>604</v>
      </c>
      <c r="E597" s="34" t="str">
        <f>IFERROR(VLOOKUP(tbLOG[[#This Row],[LOGIN]],tbMAPA[#All],2,0), "Não localizado")</f>
        <v>Renan Cazumba Tegani</v>
      </c>
      <c r="F597" s="34" t="str">
        <f>IFERROR(VLOOKUP(tbLOG[[#This Row],[LOGIN]],tbMAPA[#All],3,0), "Não localizado")</f>
        <v>Reginaldo Santana De Souza</v>
      </c>
      <c r="G597" s="3" t="s">
        <v>1211</v>
      </c>
      <c r="H597" s="3" t="s">
        <v>836</v>
      </c>
    </row>
    <row r="598" spans="1:8">
      <c r="A598" s="29">
        <v>42740.551851851851</v>
      </c>
      <c r="B598" s="29" t="str">
        <f>PROPER(TEXT(tbLOG[[#This Row],[DATA/HORA]],"mmmm"))</f>
        <v>Janeiro</v>
      </c>
      <c r="C598" s="34" t="str">
        <f>PROPER(TEXT(tbLOG[[#This Row],[DATA/HORA]],"dddd"))</f>
        <v>Quinta-Feira</v>
      </c>
      <c r="D598" s="3" t="s">
        <v>604</v>
      </c>
      <c r="E598" s="34" t="str">
        <f>IFERROR(VLOOKUP(tbLOG[[#This Row],[LOGIN]],tbMAPA[#All],2,0), "Não localizado")</f>
        <v>Renan Cazumba Tegani</v>
      </c>
      <c r="F598" s="34" t="str">
        <f>IFERROR(VLOOKUP(tbLOG[[#This Row],[LOGIN]],tbMAPA[#All],3,0), "Não localizado")</f>
        <v>Reginaldo Santana De Souza</v>
      </c>
      <c r="G598" s="3" t="s">
        <v>1211</v>
      </c>
      <c r="H598" s="3" t="s">
        <v>836</v>
      </c>
    </row>
    <row r="599" spans="1:8">
      <c r="A599" s="29">
        <v>42740.551874999997</v>
      </c>
      <c r="B599" s="29" t="str">
        <f>PROPER(TEXT(tbLOG[[#This Row],[DATA/HORA]],"mmmm"))</f>
        <v>Janeiro</v>
      </c>
      <c r="C599" s="34" t="str">
        <f>PROPER(TEXT(tbLOG[[#This Row],[DATA/HORA]],"dddd"))</f>
        <v>Quinta-Feira</v>
      </c>
      <c r="D599" s="3" t="s">
        <v>604</v>
      </c>
      <c r="E599" s="34" t="str">
        <f>IFERROR(VLOOKUP(tbLOG[[#This Row],[LOGIN]],tbMAPA[#All],2,0), "Não localizado")</f>
        <v>Renan Cazumba Tegani</v>
      </c>
      <c r="F599" s="34" t="str">
        <f>IFERROR(VLOOKUP(tbLOG[[#This Row],[LOGIN]],tbMAPA[#All],3,0), "Não localizado")</f>
        <v>Reginaldo Santana De Souza</v>
      </c>
      <c r="G599" s="3" t="s">
        <v>1211</v>
      </c>
      <c r="H599" s="3" t="s">
        <v>836</v>
      </c>
    </row>
    <row r="600" spans="1:8">
      <c r="A600" s="29">
        <v>42740.552071759259</v>
      </c>
      <c r="B600" s="29" t="str">
        <f>PROPER(TEXT(tbLOG[[#This Row],[DATA/HORA]],"mmmm"))</f>
        <v>Janeiro</v>
      </c>
      <c r="C600" s="34" t="str">
        <f>PROPER(TEXT(tbLOG[[#This Row],[DATA/HORA]],"dddd"))</f>
        <v>Quinta-Feira</v>
      </c>
      <c r="D600" s="3" t="s">
        <v>604</v>
      </c>
      <c r="E600" s="34" t="str">
        <f>IFERROR(VLOOKUP(tbLOG[[#This Row],[LOGIN]],tbMAPA[#All],2,0), "Não localizado")</f>
        <v>Renan Cazumba Tegani</v>
      </c>
      <c r="F600" s="34" t="str">
        <f>IFERROR(VLOOKUP(tbLOG[[#This Row],[LOGIN]],tbMAPA[#All],3,0), "Não localizado")</f>
        <v>Reginaldo Santana De Souza</v>
      </c>
      <c r="G600" s="3" t="s">
        <v>1211</v>
      </c>
      <c r="H600" s="3" t="s">
        <v>836</v>
      </c>
    </row>
    <row r="601" spans="1:8">
      <c r="A601" s="29">
        <v>42740.560335648152</v>
      </c>
      <c r="B601" s="29" t="str">
        <f>PROPER(TEXT(tbLOG[[#This Row],[DATA/HORA]],"mmmm"))</f>
        <v>Janeiro</v>
      </c>
      <c r="C601" s="34" t="str">
        <f>PROPER(TEXT(tbLOG[[#This Row],[DATA/HORA]],"dddd"))</f>
        <v>Quinta-Feira</v>
      </c>
      <c r="D601" s="3" t="s">
        <v>604</v>
      </c>
      <c r="E601" s="34" t="str">
        <f>IFERROR(VLOOKUP(tbLOG[[#This Row],[LOGIN]],tbMAPA[#All],2,0), "Não localizado")</f>
        <v>Renan Cazumba Tegani</v>
      </c>
      <c r="F601" s="34" t="str">
        <f>IFERROR(VLOOKUP(tbLOG[[#This Row],[LOGIN]],tbMAPA[#All],3,0), "Não localizado")</f>
        <v>Reginaldo Santana De Souza</v>
      </c>
      <c r="G601" s="3" t="s">
        <v>1211</v>
      </c>
      <c r="H601" s="3" t="s">
        <v>836</v>
      </c>
    </row>
    <row r="602" spans="1:8">
      <c r="A602" s="29">
        <v>42740.560358796298</v>
      </c>
      <c r="B602" s="29" t="str">
        <f>PROPER(TEXT(tbLOG[[#This Row],[DATA/HORA]],"mmmm"))</f>
        <v>Janeiro</v>
      </c>
      <c r="C602" s="34" t="str">
        <f>PROPER(TEXT(tbLOG[[#This Row],[DATA/HORA]],"dddd"))</f>
        <v>Quinta-Feira</v>
      </c>
      <c r="D602" s="3" t="s">
        <v>604</v>
      </c>
      <c r="E602" s="34" t="str">
        <f>IFERROR(VLOOKUP(tbLOG[[#This Row],[LOGIN]],tbMAPA[#All],2,0), "Não localizado")</f>
        <v>Renan Cazumba Tegani</v>
      </c>
      <c r="F602" s="34" t="str">
        <f>IFERROR(VLOOKUP(tbLOG[[#This Row],[LOGIN]],tbMAPA[#All],3,0), "Não localizado")</f>
        <v>Reginaldo Santana De Souza</v>
      </c>
      <c r="G602" s="3" t="s">
        <v>1211</v>
      </c>
      <c r="H602" s="3" t="s">
        <v>836</v>
      </c>
    </row>
    <row r="603" spans="1:8">
      <c r="A603" s="29">
        <v>42740.560416666667</v>
      </c>
      <c r="B603" s="29" t="str">
        <f>PROPER(TEXT(tbLOG[[#This Row],[DATA/HORA]],"mmmm"))</f>
        <v>Janeiro</v>
      </c>
      <c r="C603" s="34" t="str">
        <f>PROPER(TEXT(tbLOG[[#This Row],[DATA/HORA]],"dddd"))</f>
        <v>Quinta-Feira</v>
      </c>
      <c r="D603" s="3" t="s">
        <v>604</v>
      </c>
      <c r="E603" s="34" t="str">
        <f>IFERROR(VLOOKUP(tbLOG[[#This Row],[LOGIN]],tbMAPA[#All],2,0), "Não localizado")</f>
        <v>Renan Cazumba Tegani</v>
      </c>
      <c r="F603" s="34" t="str">
        <f>IFERROR(VLOOKUP(tbLOG[[#This Row],[LOGIN]],tbMAPA[#All],3,0), "Não localizado")</f>
        <v>Reginaldo Santana De Souza</v>
      </c>
      <c r="G603" s="3" t="s">
        <v>1211</v>
      </c>
      <c r="H603" s="3" t="s">
        <v>836</v>
      </c>
    </row>
    <row r="604" spans="1:8">
      <c r="A604" s="29">
        <v>42740.566631944443</v>
      </c>
      <c r="B604" s="29" t="str">
        <f>PROPER(TEXT(tbLOG[[#This Row],[DATA/HORA]],"mmmm"))</f>
        <v>Janeiro</v>
      </c>
      <c r="C604" s="34" t="str">
        <f>PROPER(TEXT(tbLOG[[#This Row],[DATA/HORA]],"dddd"))</f>
        <v>Quinta-Feira</v>
      </c>
      <c r="D604" s="3" t="s">
        <v>604</v>
      </c>
      <c r="E604" s="34" t="str">
        <f>IFERROR(VLOOKUP(tbLOG[[#This Row],[LOGIN]],tbMAPA[#All],2,0), "Não localizado")</f>
        <v>Renan Cazumba Tegani</v>
      </c>
      <c r="F604" s="34" t="str">
        <f>IFERROR(VLOOKUP(tbLOG[[#This Row],[LOGIN]],tbMAPA[#All],3,0), "Não localizado")</f>
        <v>Reginaldo Santana De Souza</v>
      </c>
      <c r="G604" s="3" t="s">
        <v>1211</v>
      </c>
      <c r="H604" s="3" t="s">
        <v>836</v>
      </c>
    </row>
    <row r="605" spans="1:8">
      <c r="A605" s="29">
        <v>42740.566643518519</v>
      </c>
      <c r="B605" s="29" t="str">
        <f>PROPER(TEXT(tbLOG[[#This Row],[DATA/HORA]],"mmmm"))</f>
        <v>Janeiro</v>
      </c>
      <c r="C605" s="34" t="str">
        <f>PROPER(TEXT(tbLOG[[#This Row],[DATA/HORA]],"dddd"))</f>
        <v>Quinta-Feira</v>
      </c>
      <c r="D605" s="3" t="s">
        <v>604</v>
      </c>
      <c r="E605" s="34" t="str">
        <f>IFERROR(VLOOKUP(tbLOG[[#This Row],[LOGIN]],tbMAPA[#All],2,0), "Não localizado")</f>
        <v>Renan Cazumba Tegani</v>
      </c>
      <c r="F605" s="34" t="str">
        <f>IFERROR(VLOOKUP(tbLOG[[#This Row],[LOGIN]],tbMAPA[#All],3,0), "Não localizado")</f>
        <v>Reginaldo Santana De Souza</v>
      </c>
      <c r="G605" s="3" t="s">
        <v>1211</v>
      </c>
      <c r="H605" s="3" t="s">
        <v>836</v>
      </c>
    </row>
    <row r="606" spans="1:8">
      <c r="A606" s="29">
        <v>42740.566805555558</v>
      </c>
      <c r="B606" s="29" t="str">
        <f>PROPER(TEXT(tbLOG[[#This Row],[DATA/HORA]],"mmmm"))</f>
        <v>Janeiro</v>
      </c>
      <c r="C606" s="34" t="str">
        <f>PROPER(TEXT(tbLOG[[#This Row],[DATA/HORA]],"dddd"))</f>
        <v>Quinta-Feira</v>
      </c>
      <c r="D606" s="3" t="s">
        <v>604</v>
      </c>
      <c r="E606" s="34" t="str">
        <f>IFERROR(VLOOKUP(tbLOG[[#This Row],[LOGIN]],tbMAPA[#All],2,0), "Não localizado")</f>
        <v>Renan Cazumba Tegani</v>
      </c>
      <c r="F606" s="34" t="str">
        <f>IFERROR(VLOOKUP(tbLOG[[#This Row],[LOGIN]],tbMAPA[#All],3,0), "Não localizado")</f>
        <v>Reginaldo Santana De Souza</v>
      </c>
      <c r="G606" s="3" t="s">
        <v>1211</v>
      </c>
      <c r="H606" s="3" t="s">
        <v>836</v>
      </c>
    </row>
    <row r="607" spans="1:8">
      <c r="A607" s="29">
        <v>42740.574236111112</v>
      </c>
      <c r="B607" s="29" t="str">
        <f>PROPER(TEXT(tbLOG[[#This Row],[DATA/HORA]],"mmmm"))</f>
        <v>Janeiro</v>
      </c>
      <c r="C607" s="34" t="str">
        <f>PROPER(TEXT(tbLOG[[#This Row],[DATA/HORA]],"dddd"))</f>
        <v>Quinta-Feira</v>
      </c>
      <c r="D607" s="3" t="s">
        <v>604</v>
      </c>
      <c r="E607" s="34" t="str">
        <f>IFERROR(VLOOKUP(tbLOG[[#This Row],[LOGIN]],tbMAPA[#All],2,0), "Não localizado")</f>
        <v>Renan Cazumba Tegani</v>
      </c>
      <c r="F607" s="34" t="str">
        <f>IFERROR(VLOOKUP(tbLOG[[#This Row],[LOGIN]],tbMAPA[#All],3,0), "Não localizado")</f>
        <v>Reginaldo Santana De Souza</v>
      </c>
      <c r="G607" s="3" t="s">
        <v>1211</v>
      </c>
      <c r="H607" s="3" t="s">
        <v>836</v>
      </c>
    </row>
    <row r="608" spans="1:8">
      <c r="A608" s="29">
        <v>42740.574259259258</v>
      </c>
      <c r="B608" s="29" t="str">
        <f>PROPER(TEXT(tbLOG[[#This Row],[DATA/HORA]],"mmmm"))</f>
        <v>Janeiro</v>
      </c>
      <c r="C608" s="34" t="str">
        <f>PROPER(TEXT(tbLOG[[#This Row],[DATA/HORA]],"dddd"))</f>
        <v>Quinta-Feira</v>
      </c>
      <c r="D608" s="3" t="s">
        <v>604</v>
      </c>
      <c r="E608" s="34" t="str">
        <f>IFERROR(VLOOKUP(tbLOG[[#This Row],[LOGIN]],tbMAPA[#All],2,0), "Não localizado")</f>
        <v>Renan Cazumba Tegani</v>
      </c>
      <c r="F608" s="34" t="str">
        <f>IFERROR(VLOOKUP(tbLOG[[#This Row],[LOGIN]],tbMAPA[#All],3,0), "Não localizado")</f>
        <v>Reginaldo Santana De Souza</v>
      </c>
      <c r="G608" s="3" t="s">
        <v>1211</v>
      </c>
      <c r="H608" s="3" t="s">
        <v>836</v>
      </c>
    </row>
    <row r="609" spans="1:8">
      <c r="A609" s="29">
        <v>42740.574328703704</v>
      </c>
      <c r="B609" s="29" t="str">
        <f>PROPER(TEXT(tbLOG[[#This Row],[DATA/HORA]],"mmmm"))</f>
        <v>Janeiro</v>
      </c>
      <c r="C609" s="34" t="str">
        <f>PROPER(TEXT(tbLOG[[#This Row],[DATA/HORA]],"dddd"))</f>
        <v>Quinta-Feira</v>
      </c>
      <c r="D609" s="3" t="s">
        <v>604</v>
      </c>
      <c r="E609" s="34" t="str">
        <f>IFERROR(VLOOKUP(tbLOG[[#This Row],[LOGIN]],tbMAPA[#All],2,0), "Não localizado")</f>
        <v>Renan Cazumba Tegani</v>
      </c>
      <c r="F609" s="34" t="str">
        <f>IFERROR(VLOOKUP(tbLOG[[#This Row],[LOGIN]],tbMAPA[#All],3,0), "Não localizado")</f>
        <v>Reginaldo Santana De Souza</v>
      </c>
      <c r="G609" s="3" t="s">
        <v>1211</v>
      </c>
      <c r="H609" s="3" t="s">
        <v>836</v>
      </c>
    </row>
    <row r="610" spans="1:8">
      <c r="A610" s="29">
        <v>42740.578611111108</v>
      </c>
      <c r="B610" s="29" t="str">
        <f>PROPER(TEXT(tbLOG[[#This Row],[DATA/HORA]],"mmmm"))</f>
        <v>Janeiro</v>
      </c>
      <c r="C610" s="34" t="str">
        <f>PROPER(TEXT(tbLOG[[#This Row],[DATA/HORA]],"dddd"))</f>
        <v>Quinta-Feira</v>
      </c>
      <c r="D610" s="3" t="s">
        <v>604</v>
      </c>
      <c r="E610" s="34" t="str">
        <f>IFERROR(VLOOKUP(tbLOG[[#This Row],[LOGIN]],tbMAPA[#All],2,0), "Não localizado")</f>
        <v>Renan Cazumba Tegani</v>
      </c>
      <c r="F610" s="34" t="str">
        <f>IFERROR(VLOOKUP(tbLOG[[#This Row],[LOGIN]],tbMAPA[#All],3,0), "Não localizado")</f>
        <v>Reginaldo Santana De Souza</v>
      </c>
      <c r="G610" s="3" t="s">
        <v>1211</v>
      </c>
      <c r="H610" s="3" t="s">
        <v>836</v>
      </c>
    </row>
    <row r="611" spans="1:8">
      <c r="A611" s="29">
        <v>42740.578634259262</v>
      </c>
      <c r="B611" s="29" t="str">
        <f>PROPER(TEXT(tbLOG[[#This Row],[DATA/HORA]],"mmmm"))</f>
        <v>Janeiro</v>
      </c>
      <c r="C611" s="34" t="str">
        <f>PROPER(TEXT(tbLOG[[#This Row],[DATA/HORA]],"dddd"))</f>
        <v>Quinta-Feira</v>
      </c>
      <c r="D611" s="3" t="s">
        <v>604</v>
      </c>
      <c r="E611" s="34" t="str">
        <f>IFERROR(VLOOKUP(tbLOG[[#This Row],[LOGIN]],tbMAPA[#All],2,0), "Não localizado")</f>
        <v>Renan Cazumba Tegani</v>
      </c>
      <c r="F611" s="34" t="str">
        <f>IFERROR(VLOOKUP(tbLOG[[#This Row],[LOGIN]],tbMAPA[#All],3,0), "Não localizado")</f>
        <v>Reginaldo Santana De Souza</v>
      </c>
      <c r="G611" s="3" t="s">
        <v>1211</v>
      </c>
      <c r="H611" s="3" t="s">
        <v>836</v>
      </c>
    </row>
    <row r="612" spans="1:8">
      <c r="A612" s="29">
        <v>42740.578680555554</v>
      </c>
      <c r="B612" s="29" t="str">
        <f>PROPER(TEXT(tbLOG[[#This Row],[DATA/HORA]],"mmmm"))</f>
        <v>Janeiro</v>
      </c>
      <c r="C612" s="34" t="str">
        <f>PROPER(TEXT(tbLOG[[#This Row],[DATA/HORA]],"dddd"))</f>
        <v>Quinta-Feira</v>
      </c>
      <c r="D612" s="3" t="s">
        <v>604</v>
      </c>
      <c r="E612" s="34" t="str">
        <f>IFERROR(VLOOKUP(tbLOG[[#This Row],[LOGIN]],tbMAPA[#All],2,0), "Não localizado")</f>
        <v>Renan Cazumba Tegani</v>
      </c>
      <c r="F612" s="34" t="str">
        <f>IFERROR(VLOOKUP(tbLOG[[#This Row],[LOGIN]],tbMAPA[#All],3,0), "Não localizado")</f>
        <v>Reginaldo Santana De Souza</v>
      </c>
      <c r="G612" s="3" t="s">
        <v>1211</v>
      </c>
      <c r="H612" s="3" t="s">
        <v>836</v>
      </c>
    </row>
    <row r="613" spans="1:8">
      <c r="A613" s="29">
        <v>42740.57917824074</v>
      </c>
      <c r="B613" s="29" t="str">
        <f>PROPER(TEXT(tbLOG[[#This Row],[DATA/HORA]],"mmmm"))</f>
        <v>Janeiro</v>
      </c>
      <c r="C613" s="34" t="str">
        <f>PROPER(TEXT(tbLOG[[#This Row],[DATA/HORA]],"dddd"))</f>
        <v>Quinta-Feira</v>
      </c>
      <c r="D613" s="3" t="s">
        <v>604</v>
      </c>
      <c r="E613" s="34" t="str">
        <f>IFERROR(VLOOKUP(tbLOG[[#This Row],[LOGIN]],tbMAPA[#All],2,0), "Não localizado")</f>
        <v>Renan Cazumba Tegani</v>
      </c>
      <c r="F613" s="34" t="str">
        <f>IFERROR(VLOOKUP(tbLOG[[#This Row],[LOGIN]],tbMAPA[#All],3,0), "Não localizado")</f>
        <v>Reginaldo Santana De Souza</v>
      </c>
      <c r="G613" s="3" t="s">
        <v>1211</v>
      </c>
      <c r="H613" s="3" t="s">
        <v>836</v>
      </c>
    </row>
    <row r="614" spans="1:8">
      <c r="A614" s="29">
        <v>42740.579224537039</v>
      </c>
      <c r="B614" s="29" t="str">
        <f>PROPER(TEXT(tbLOG[[#This Row],[DATA/HORA]],"mmmm"))</f>
        <v>Janeiro</v>
      </c>
      <c r="C614" s="34" t="str">
        <f>PROPER(TEXT(tbLOG[[#This Row],[DATA/HORA]],"dddd"))</f>
        <v>Quinta-Feira</v>
      </c>
      <c r="D614" s="3" t="s">
        <v>604</v>
      </c>
      <c r="E614" s="34" t="str">
        <f>IFERROR(VLOOKUP(tbLOG[[#This Row],[LOGIN]],tbMAPA[#All],2,0), "Não localizado")</f>
        <v>Renan Cazumba Tegani</v>
      </c>
      <c r="F614" s="34" t="str">
        <f>IFERROR(VLOOKUP(tbLOG[[#This Row],[LOGIN]],tbMAPA[#All],3,0), "Não localizado")</f>
        <v>Reginaldo Santana De Souza</v>
      </c>
      <c r="G614" s="3" t="s">
        <v>1211</v>
      </c>
      <c r="H614" s="3" t="s">
        <v>836</v>
      </c>
    </row>
    <row r="615" spans="1:8">
      <c r="A615" s="29">
        <v>42740.579282407409</v>
      </c>
      <c r="B615" s="29" t="str">
        <f>PROPER(TEXT(tbLOG[[#This Row],[DATA/HORA]],"mmmm"))</f>
        <v>Janeiro</v>
      </c>
      <c r="C615" s="34" t="str">
        <f>PROPER(TEXT(tbLOG[[#This Row],[DATA/HORA]],"dddd"))</f>
        <v>Quinta-Feira</v>
      </c>
      <c r="D615" s="3" t="s">
        <v>604</v>
      </c>
      <c r="E615" s="34" t="str">
        <f>IFERROR(VLOOKUP(tbLOG[[#This Row],[LOGIN]],tbMAPA[#All],2,0), "Não localizado")</f>
        <v>Renan Cazumba Tegani</v>
      </c>
      <c r="F615" s="34" t="str">
        <f>IFERROR(VLOOKUP(tbLOG[[#This Row],[LOGIN]],tbMAPA[#All],3,0), "Não localizado")</f>
        <v>Reginaldo Santana De Souza</v>
      </c>
      <c r="G615" s="3" t="s">
        <v>1211</v>
      </c>
      <c r="H615" s="3" t="s">
        <v>836</v>
      </c>
    </row>
    <row r="616" spans="1:8">
      <c r="A616" s="29">
        <v>42740.581388888888</v>
      </c>
      <c r="B616" s="29" t="str">
        <f>PROPER(TEXT(tbLOG[[#This Row],[DATA/HORA]],"mmmm"))</f>
        <v>Janeiro</v>
      </c>
      <c r="C616" s="34" t="str">
        <f>PROPER(TEXT(tbLOG[[#This Row],[DATA/HORA]],"dddd"))</f>
        <v>Quinta-Feira</v>
      </c>
      <c r="D616" s="3" t="s">
        <v>604</v>
      </c>
      <c r="E616" s="34" t="str">
        <f>IFERROR(VLOOKUP(tbLOG[[#This Row],[LOGIN]],tbMAPA[#All],2,0), "Não localizado")</f>
        <v>Renan Cazumba Tegani</v>
      </c>
      <c r="F616" s="34" t="str">
        <f>IFERROR(VLOOKUP(tbLOG[[#This Row],[LOGIN]],tbMAPA[#All],3,0), "Não localizado")</f>
        <v>Reginaldo Santana De Souza</v>
      </c>
      <c r="G616" s="3" t="s">
        <v>1211</v>
      </c>
      <c r="H616" s="3" t="s">
        <v>836</v>
      </c>
    </row>
    <row r="617" spans="1:8">
      <c r="A617" s="29">
        <v>42740.632928240739</v>
      </c>
      <c r="B617" s="29" t="str">
        <f>PROPER(TEXT(tbLOG[[#This Row],[DATA/HORA]],"mmmm"))</f>
        <v>Janeiro</v>
      </c>
      <c r="C617" s="34" t="str">
        <f>PROPER(TEXT(tbLOG[[#This Row],[DATA/HORA]],"dddd"))</f>
        <v>Quinta-Feira</v>
      </c>
      <c r="D617" s="3" t="s">
        <v>604</v>
      </c>
      <c r="E617" s="34" t="str">
        <f>IFERROR(VLOOKUP(tbLOG[[#This Row],[LOGIN]],tbMAPA[#All],2,0), "Não localizado")</f>
        <v>Renan Cazumba Tegani</v>
      </c>
      <c r="F617" s="34" t="str">
        <f>IFERROR(VLOOKUP(tbLOG[[#This Row],[LOGIN]],tbMAPA[#All],3,0), "Não localizado")</f>
        <v>Reginaldo Santana De Souza</v>
      </c>
      <c r="G617" s="3" t="s">
        <v>1211</v>
      </c>
      <c r="H617" s="3" t="s">
        <v>290</v>
      </c>
    </row>
    <row r="618" spans="1:8">
      <c r="A618" s="29">
        <v>42740.636782407404</v>
      </c>
      <c r="B618" s="29" t="str">
        <f>PROPER(TEXT(tbLOG[[#This Row],[DATA/HORA]],"mmmm"))</f>
        <v>Janeiro</v>
      </c>
      <c r="C618" s="34" t="str">
        <f>PROPER(TEXT(tbLOG[[#This Row],[DATA/HORA]],"dddd"))</f>
        <v>Quinta-Feira</v>
      </c>
      <c r="D618" s="3" t="s">
        <v>604</v>
      </c>
      <c r="E618" s="34" t="str">
        <f>IFERROR(VLOOKUP(tbLOG[[#This Row],[LOGIN]],tbMAPA[#All],2,0), "Não localizado")</f>
        <v>Renan Cazumba Tegani</v>
      </c>
      <c r="F618" s="34" t="str">
        <f>IFERROR(VLOOKUP(tbLOG[[#This Row],[LOGIN]],tbMAPA[#All],3,0), "Não localizado")</f>
        <v>Reginaldo Santana De Souza</v>
      </c>
      <c r="G618" s="3" t="s">
        <v>1211</v>
      </c>
      <c r="H618" s="3" t="s">
        <v>836</v>
      </c>
    </row>
    <row r="619" spans="1:8">
      <c r="A619" s="29">
        <v>42740.636828703704</v>
      </c>
      <c r="B619" s="29" t="str">
        <f>PROPER(TEXT(tbLOG[[#This Row],[DATA/HORA]],"mmmm"))</f>
        <v>Janeiro</v>
      </c>
      <c r="C619" s="34" t="str">
        <f>PROPER(TEXT(tbLOG[[#This Row],[DATA/HORA]],"dddd"))</f>
        <v>Quinta-Feira</v>
      </c>
      <c r="D619" s="3" t="s">
        <v>604</v>
      </c>
      <c r="E619" s="34" t="str">
        <f>IFERROR(VLOOKUP(tbLOG[[#This Row],[LOGIN]],tbMAPA[#All],2,0), "Não localizado")</f>
        <v>Renan Cazumba Tegani</v>
      </c>
      <c r="F619" s="34" t="str">
        <f>IFERROR(VLOOKUP(tbLOG[[#This Row],[LOGIN]],tbMAPA[#All],3,0), "Não localizado")</f>
        <v>Reginaldo Santana De Souza</v>
      </c>
      <c r="G619" s="3" t="s">
        <v>1211</v>
      </c>
      <c r="H619" s="3" t="s">
        <v>836</v>
      </c>
    </row>
    <row r="620" spans="1:8">
      <c r="A620" s="29">
        <v>42740.636956018519</v>
      </c>
      <c r="B620" s="29" t="str">
        <f>PROPER(TEXT(tbLOG[[#This Row],[DATA/HORA]],"mmmm"))</f>
        <v>Janeiro</v>
      </c>
      <c r="C620" s="34" t="str">
        <f>PROPER(TEXT(tbLOG[[#This Row],[DATA/HORA]],"dddd"))</f>
        <v>Quinta-Feira</v>
      </c>
      <c r="D620" s="3" t="s">
        <v>604</v>
      </c>
      <c r="E620" s="34" t="str">
        <f>IFERROR(VLOOKUP(tbLOG[[#This Row],[LOGIN]],tbMAPA[#All],2,0), "Não localizado")</f>
        <v>Renan Cazumba Tegani</v>
      </c>
      <c r="F620" s="34" t="str">
        <f>IFERROR(VLOOKUP(tbLOG[[#This Row],[LOGIN]],tbMAPA[#All],3,0), "Não localizado")</f>
        <v>Reginaldo Santana De Souza</v>
      </c>
      <c r="G620" s="3" t="s">
        <v>1211</v>
      </c>
      <c r="H620" s="3" t="s">
        <v>836</v>
      </c>
    </row>
    <row r="621" spans="1:8">
      <c r="A621" s="29">
        <v>42740.638009259259</v>
      </c>
      <c r="B621" s="29" t="str">
        <f>PROPER(TEXT(tbLOG[[#This Row],[DATA/HORA]],"mmmm"))</f>
        <v>Janeiro</v>
      </c>
      <c r="C621" s="34" t="str">
        <f>PROPER(TEXT(tbLOG[[#This Row],[DATA/HORA]],"dddd"))</f>
        <v>Quinta-Feira</v>
      </c>
      <c r="D621" s="3" t="s">
        <v>604</v>
      </c>
      <c r="E621" s="34" t="str">
        <f>IFERROR(VLOOKUP(tbLOG[[#This Row],[LOGIN]],tbMAPA[#All],2,0), "Não localizado")</f>
        <v>Renan Cazumba Tegani</v>
      </c>
      <c r="F621" s="34" t="str">
        <f>IFERROR(VLOOKUP(tbLOG[[#This Row],[LOGIN]],tbMAPA[#All],3,0), "Não localizado")</f>
        <v>Reginaldo Santana De Souza</v>
      </c>
      <c r="G621" s="3" t="s">
        <v>1211</v>
      </c>
      <c r="H621" s="3" t="s">
        <v>836</v>
      </c>
    </row>
    <row r="622" spans="1:8">
      <c r="A622" s="29">
        <v>42740.639155092591</v>
      </c>
      <c r="B622" s="29" t="str">
        <f>PROPER(TEXT(tbLOG[[#This Row],[DATA/HORA]],"mmmm"))</f>
        <v>Janeiro</v>
      </c>
      <c r="C622" s="34" t="str">
        <f>PROPER(TEXT(tbLOG[[#This Row],[DATA/HORA]],"dddd"))</f>
        <v>Quinta-Feira</v>
      </c>
      <c r="D622" s="3" t="s">
        <v>604</v>
      </c>
      <c r="E622" s="34" t="str">
        <f>IFERROR(VLOOKUP(tbLOG[[#This Row],[LOGIN]],tbMAPA[#All],2,0), "Não localizado")</f>
        <v>Renan Cazumba Tegani</v>
      </c>
      <c r="F622" s="34" t="str">
        <f>IFERROR(VLOOKUP(tbLOG[[#This Row],[LOGIN]],tbMAPA[#All],3,0), "Não localizado")</f>
        <v>Reginaldo Santana De Souza</v>
      </c>
      <c r="G622" s="3" t="s">
        <v>1211</v>
      </c>
      <c r="H622" s="3" t="s">
        <v>836</v>
      </c>
    </row>
    <row r="623" spans="1:8">
      <c r="A623" s="29">
        <v>42740.646770833337</v>
      </c>
      <c r="B623" s="29" t="str">
        <f>PROPER(TEXT(tbLOG[[#This Row],[DATA/HORA]],"mmmm"))</f>
        <v>Janeiro</v>
      </c>
      <c r="C623" s="34" t="str">
        <f>PROPER(TEXT(tbLOG[[#This Row],[DATA/HORA]],"dddd"))</f>
        <v>Quinta-Feira</v>
      </c>
      <c r="D623" s="3" t="s">
        <v>604</v>
      </c>
      <c r="E623" s="34" t="str">
        <f>IFERROR(VLOOKUP(tbLOG[[#This Row],[LOGIN]],tbMAPA[#All],2,0), "Não localizado")</f>
        <v>Renan Cazumba Tegani</v>
      </c>
      <c r="F623" s="34" t="str">
        <f>IFERROR(VLOOKUP(tbLOG[[#This Row],[LOGIN]],tbMAPA[#All],3,0), "Não localizado")</f>
        <v>Reginaldo Santana De Souza</v>
      </c>
      <c r="G623" s="3" t="s">
        <v>1211</v>
      </c>
      <c r="H623" s="3" t="s">
        <v>836</v>
      </c>
    </row>
    <row r="624" spans="1:8">
      <c r="A624" s="29">
        <v>42740.646793981483</v>
      </c>
      <c r="B624" s="29" t="str">
        <f>PROPER(TEXT(tbLOG[[#This Row],[DATA/HORA]],"mmmm"))</f>
        <v>Janeiro</v>
      </c>
      <c r="C624" s="34" t="str">
        <f>PROPER(TEXT(tbLOG[[#This Row],[DATA/HORA]],"dddd"))</f>
        <v>Quinta-Feira</v>
      </c>
      <c r="D624" s="3" t="s">
        <v>604</v>
      </c>
      <c r="E624" s="34" t="str">
        <f>IFERROR(VLOOKUP(tbLOG[[#This Row],[LOGIN]],tbMAPA[#All],2,0), "Não localizado")</f>
        <v>Renan Cazumba Tegani</v>
      </c>
      <c r="F624" s="34" t="str">
        <f>IFERROR(VLOOKUP(tbLOG[[#This Row],[LOGIN]],tbMAPA[#All],3,0), "Não localizado")</f>
        <v>Reginaldo Santana De Souza</v>
      </c>
      <c r="G624" s="3" t="s">
        <v>1211</v>
      </c>
      <c r="H624" s="3" t="s">
        <v>836</v>
      </c>
    </row>
    <row r="625" spans="1:8">
      <c r="A625" s="29">
        <v>42740.649675925924</v>
      </c>
      <c r="B625" s="29" t="str">
        <f>PROPER(TEXT(tbLOG[[#This Row],[DATA/HORA]],"mmmm"))</f>
        <v>Janeiro</v>
      </c>
      <c r="C625" s="34" t="str">
        <f>PROPER(TEXT(tbLOG[[#This Row],[DATA/HORA]],"dddd"))</f>
        <v>Quinta-Feira</v>
      </c>
      <c r="D625" s="3" t="s">
        <v>604</v>
      </c>
      <c r="E625" s="34" t="str">
        <f>IFERROR(VLOOKUP(tbLOG[[#This Row],[LOGIN]],tbMAPA[#All],2,0), "Não localizado")</f>
        <v>Renan Cazumba Tegani</v>
      </c>
      <c r="F625" s="34" t="str">
        <f>IFERROR(VLOOKUP(tbLOG[[#This Row],[LOGIN]],tbMAPA[#All],3,0), "Não localizado")</f>
        <v>Reginaldo Santana De Souza</v>
      </c>
      <c r="G625" s="3" t="s">
        <v>1211</v>
      </c>
      <c r="H625" s="3" t="s">
        <v>836</v>
      </c>
    </row>
    <row r="626" spans="1:8">
      <c r="A626" s="29">
        <v>42740.64980324074</v>
      </c>
      <c r="B626" s="29" t="str">
        <f>PROPER(TEXT(tbLOG[[#This Row],[DATA/HORA]],"mmmm"))</f>
        <v>Janeiro</v>
      </c>
      <c r="C626" s="34" t="str">
        <f>PROPER(TEXT(tbLOG[[#This Row],[DATA/HORA]],"dddd"))</f>
        <v>Quinta-Feira</v>
      </c>
      <c r="D626" s="3" t="s">
        <v>604</v>
      </c>
      <c r="E626" s="34" t="str">
        <f>IFERROR(VLOOKUP(tbLOG[[#This Row],[LOGIN]],tbMAPA[#All],2,0), "Não localizado")</f>
        <v>Renan Cazumba Tegani</v>
      </c>
      <c r="F626" s="34" t="str">
        <f>IFERROR(VLOOKUP(tbLOG[[#This Row],[LOGIN]],tbMAPA[#All],3,0), "Não localizado")</f>
        <v>Reginaldo Santana De Souza</v>
      </c>
      <c r="G626" s="3" t="s">
        <v>1211</v>
      </c>
      <c r="H626" s="3" t="s">
        <v>836</v>
      </c>
    </row>
    <row r="627" spans="1:8">
      <c r="A627" s="29">
        <v>42740.64984953704</v>
      </c>
      <c r="B627" s="29" t="str">
        <f>PROPER(TEXT(tbLOG[[#This Row],[DATA/HORA]],"mmmm"))</f>
        <v>Janeiro</v>
      </c>
      <c r="C627" s="34" t="str">
        <f>PROPER(TEXT(tbLOG[[#This Row],[DATA/HORA]],"dddd"))</f>
        <v>Quinta-Feira</v>
      </c>
      <c r="D627" s="3" t="s">
        <v>604</v>
      </c>
      <c r="E627" s="34" t="str">
        <f>IFERROR(VLOOKUP(tbLOG[[#This Row],[LOGIN]],tbMAPA[#All],2,0), "Não localizado")</f>
        <v>Renan Cazumba Tegani</v>
      </c>
      <c r="F627" s="34" t="str">
        <f>IFERROR(VLOOKUP(tbLOG[[#This Row],[LOGIN]],tbMAPA[#All],3,0), "Não localizado")</f>
        <v>Reginaldo Santana De Souza</v>
      </c>
      <c r="G627" s="3" t="s">
        <v>1211</v>
      </c>
      <c r="H627" s="3" t="s">
        <v>836</v>
      </c>
    </row>
    <row r="628" spans="1:8">
      <c r="A628" s="29">
        <v>42740.650092592594</v>
      </c>
      <c r="B628" s="29" t="str">
        <f>PROPER(TEXT(tbLOG[[#This Row],[DATA/HORA]],"mmmm"))</f>
        <v>Janeiro</v>
      </c>
      <c r="C628" s="34" t="str">
        <f>PROPER(TEXT(tbLOG[[#This Row],[DATA/HORA]],"dddd"))</f>
        <v>Quinta-Feira</v>
      </c>
      <c r="D628" s="3" t="s">
        <v>604</v>
      </c>
      <c r="E628" s="34" t="str">
        <f>IFERROR(VLOOKUP(tbLOG[[#This Row],[LOGIN]],tbMAPA[#All],2,0), "Não localizado")</f>
        <v>Renan Cazumba Tegani</v>
      </c>
      <c r="F628" s="34" t="str">
        <f>IFERROR(VLOOKUP(tbLOG[[#This Row],[LOGIN]],tbMAPA[#All],3,0), "Não localizado")</f>
        <v>Reginaldo Santana De Souza</v>
      </c>
      <c r="G628" s="3" t="s">
        <v>1211</v>
      </c>
      <c r="H628" s="3" t="s">
        <v>836</v>
      </c>
    </row>
    <row r="629" spans="1:8">
      <c r="A629" s="29">
        <v>42740.65011574074</v>
      </c>
      <c r="B629" s="29" t="str">
        <f>PROPER(TEXT(tbLOG[[#This Row],[DATA/HORA]],"mmmm"))</f>
        <v>Janeiro</v>
      </c>
      <c r="C629" s="34" t="str">
        <f>PROPER(TEXT(tbLOG[[#This Row],[DATA/HORA]],"dddd"))</f>
        <v>Quinta-Feira</v>
      </c>
      <c r="D629" s="3" t="s">
        <v>604</v>
      </c>
      <c r="E629" s="34" t="str">
        <f>IFERROR(VLOOKUP(tbLOG[[#This Row],[LOGIN]],tbMAPA[#All],2,0), "Não localizado")</f>
        <v>Renan Cazumba Tegani</v>
      </c>
      <c r="F629" s="34" t="str">
        <f>IFERROR(VLOOKUP(tbLOG[[#This Row],[LOGIN]],tbMAPA[#All],3,0), "Não localizado")</f>
        <v>Reginaldo Santana De Souza</v>
      </c>
      <c r="G629" s="3" t="s">
        <v>1211</v>
      </c>
      <c r="H629" s="3" t="s">
        <v>836</v>
      </c>
    </row>
    <row r="630" spans="1:8">
      <c r="A630" s="29">
        <v>42740.650138888886</v>
      </c>
      <c r="B630" s="29" t="str">
        <f>PROPER(TEXT(tbLOG[[#This Row],[DATA/HORA]],"mmmm"))</f>
        <v>Janeiro</v>
      </c>
      <c r="C630" s="34" t="str">
        <f>PROPER(TEXT(tbLOG[[#This Row],[DATA/HORA]],"dddd"))</f>
        <v>Quinta-Feira</v>
      </c>
      <c r="D630" s="3" t="s">
        <v>604</v>
      </c>
      <c r="E630" s="34" t="str">
        <f>IFERROR(VLOOKUP(tbLOG[[#This Row],[LOGIN]],tbMAPA[#All],2,0), "Não localizado")</f>
        <v>Renan Cazumba Tegani</v>
      </c>
      <c r="F630" s="34" t="str">
        <f>IFERROR(VLOOKUP(tbLOG[[#This Row],[LOGIN]],tbMAPA[#All],3,0), "Não localizado")</f>
        <v>Reginaldo Santana De Souza</v>
      </c>
      <c r="G630" s="3" t="s">
        <v>1211</v>
      </c>
      <c r="H630" s="3" t="s">
        <v>290</v>
      </c>
    </row>
    <row r="631" spans="1:8">
      <c r="A631" s="29">
        <v>42740.654814814814</v>
      </c>
      <c r="B631" s="29" t="str">
        <f>PROPER(TEXT(tbLOG[[#This Row],[DATA/HORA]],"mmmm"))</f>
        <v>Janeiro</v>
      </c>
      <c r="C631" s="34" t="str">
        <f>PROPER(TEXT(tbLOG[[#This Row],[DATA/HORA]],"dddd"))</f>
        <v>Quinta-Feira</v>
      </c>
      <c r="D631" s="3" t="s">
        <v>604</v>
      </c>
      <c r="E631" s="34" t="str">
        <f>IFERROR(VLOOKUP(tbLOG[[#This Row],[LOGIN]],tbMAPA[#All],2,0), "Não localizado")</f>
        <v>Renan Cazumba Tegani</v>
      </c>
      <c r="F631" s="34" t="str">
        <f>IFERROR(VLOOKUP(tbLOG[[#This Row],[LOGIN]],tbMAPA[#All],3,0), "Não localizado")</f>
        <v>Reginaldo Santana De Souza</v>
      </c>
      <c r="G631" s="3" t="s">
        <v>1211</v>
      </c>
      <c r="H631" s="3" t="s">
        <v>836</v>
      </c>
    </row>
    <row r="632" spans="1:8">
      <c r="A632" s="29">
        <v>42740.654826388891</v>
      </c>
      <c r="B632" s="29" t="str">
        <f>PROPER(TEXT(tbLOG[[#This Row],[DATA/HORA]],"mmmm"))</f>
        <v>Janeiro</v>
      </c>
      <c r="C632" s="34" t="str">
        <f>PROPER(TEXT(tbLOG[[#This Row],[DATA/HORA]],"dddd"))</f>
        <v>Quinta-Feira</v>
      </c>
      <c r="D632" s="3" t="s">
        <v>604</v>
      </c>
      <c r="E632" s="34" t="str">
        <f>IFERROR(VLOOKUP(tbLOG[[#This Row],[LOGIN]],tbMAPA[#All],2,0), "Não localizado")</f>
        <v>Renan Cazumba Tegani</v>
      </c>
      <c r="F632" s="34" t="str">
        <f>IFERROR(VLOOKUP(tbLOG[[#This Row],[LOGIN]],tbMAPA[#All],3,0), "Não localizado")</f>
        <v>Reginaldo Santana De Souza</v>
      </c>
      <c r="G632" s="3" t="s">
        <v>1211</v>
      </c>
      <c r="H632" s="3" t="s">
        <v>836</v>
      </c>
    </row>
    <row r="633" spans="1:8">
      <c r="A633" s="29">
        <v>42740.65488425926</v>
      </c>
      <c r="B633" s="29" t="str">
        <f>PROPER(TEXT(tbLOG[[#This Row],[DATA/HORA]],"mmmm"))</f>
        <v>Janeiro</v>
      </c>
      <c r="C633" s="34" t="str">
        <f>PROPER(TEXT(tbLOG[[#This Row],[DATA/HORA]],"dddd"))</f>
        <v>Quinta-Feira</v>
      </c>
      <c r="D633" s="3" t="s">
        <v>604</v>
      </c>
      <c r="E633" s="34" t="str">
        <f>IFERROR(VLOOKUP(tbLOG[[#This Row],[LOGIN]],tbMAPA[#All],2,0), "Não localizado")</f>
        <v>Renan Cazumba Tegani</v>
      </c>
      <c r="F633" s="34" t="str">
        <f>IFERROR(VLOOKUP(tbLOG[[#This Row],[LOGIN]],tbMAPA[#All],3,0), "Não localizado")</f>
        <v>Reginaldo Santana De Souza</v>
      </c>
      <c r="G633" s="3" t="s">
        <v>1211</v>
      </c>
      <c r="H633" s="3" t="s">
        <v>836</v>
      </c>
    </row>
    <row r="634" spans="1:8">
      <c r="A634" s="29">
        <v>42740.657442129632</v>
      </c>
      <c r="B634" s="29" t="str">
        <f>PROPER(TEXT(tbLOG[[#This Row],[DATA/HORA]],"mmmm"))</f>
        <v>Janeiro</v>
      </c>
      <c r="C634" s="34" t="str">
        <f>PROPER(TEXT(tbLOG[[#This Row],[DATA/HORA]],"dddd"))</f>
        <v>Quinta-Feira</v>
      </c>
      <c r="D634" s="3" t="s">
        <v>604</v>
      </c>
      <c r="E634" s="34" t="str">
        <f>IFERROR(VLOOKUP(tbLOG[[#This Row],[LOGIN]],tbMAPA[#All],2,0), "Não localizado")</f>
        <v>Renan Cazumba Tegani</v>
      </c>
      <c r="F634" s="34" t="str">
        <f>IFERROR(VLOOKUP(tbLOG[[#This Row],[LOGIN]],tbMAPA[#All],3,0), "Não localizado")</f>
        <v>Reginaldo Santana De Souza</v>
      </c>
      <c r="G634" s="3" t="s">
        <v>1211</v>
      </c>
      <c r="H634" s="3" t="s">
        <v>836</v>
      </c>
    </row>
    <row r="635" spans="1:8">
      <c r="A635" s="29">
        <v>42740.657465277778</v>
      </c>
      <c r="B635" s="29" t="str">
        <f>PROPER(TEXT(tbLOG[[#This Row],[DATA/HORA]],"mmmm"))</f>
        <v>Janeiro</v>
      </c>
      <c r="C635" s="34" t="str">
        <f>PROPER(TEXT(tbLOG[[#This Row],[DATA/HORA]],"dddd"))</f>
        <v>Quinta-Feira</v>
      </c>
      <c r="D635" s="3" t="s">
        <v>604</v>
      </c>
      <c r="E635" s="34" t="str">
        <f>IFERROR(VLOOKUP(tbLOG[[#This Row],[LOGIN]],tbMAPA[#All],2,0), "Não localizado")</f>
        <v>Renan Cazumba Tegani</v>
      </c>
      <c r="F635" s="34" t="str">
        <f>IFERROR(VLOOKUP(tbLOG[[#This Row],[LOGIN]],tbMAPA[#All],3,0), "Não localizado")</f>
        <v>Reginaldo Santana De Souza</v>
      </c>
      <c r="G635" s="3" t="s">
        <v>1211</v>
      </c>
      <c r="H635" s="3" t="s">
        <v>836</v>
      </c>
    </row>
    <row r="636" spans="1:8">
      <c r="A636" s="29">
        <v>42740.657569444447</v>
      </c>
      <c r="B636" s="29" t="str">
        <f>PROPER(TEXT(tbLOG[[#This Row],[DATA/HORA]],"mmmm"))</f>
        <v>Janeiro</v>
      </c>
      <c r="C636" s="34" t="str">
        <f>PROPER(TEXT(tbLOG[[#This Row],[DATA/HORA]],"dddd"))</f>
        <v>Quinta-Feira</v>
      </c>
      <c r="D636" s="3" t="s">
        <v>604</v>
      </c>
      <c r="E636" s="34" t="str">
        <f>IFERROR(VLOOKUP(tbLOG[[#This Row],[LOGIN]],tbMAPA[#All],2,0), "Não localizado")</f>
        <v>Renan Cazumba Tegani</v>
      </c>
      <c r="F636" s="34" t="str">
        <f>IFERROR(VLOOKUP(tbLOG[[#This Row],[LOGIN]],tbMAPA[#All],3,0), "Não localizado")</f>
        <v>Reginaldo Santana De Souza</v>
      </c>
      <c r="G636" s="3" t="s">
        <v>1211</v>
      </c>
      <c r="H636" s="3" t="s">
        <v>836</v>
      </c>
    </row>
    <row r="637" spans="1:8">
      <c r="A637" s="29">
        <v>42740.658854166664</v>
      </c>
      <c r="B637" s="29" t="str">
        <f>PROPER(TEXT(tbLOG[[#This Row],[DATA/HORA]],"mmmm"))</f>
        <v>Janeiro</v>
      </c>
      <c r="C637" s="34" t="str">
        <f>PROPER(TEXT(tbLOG[[#This Row],[DATA/HORA]],"dddd"))</f>
        <v>Quinta-Feira</v>
      </c>
      <c r="D637" s="3" t="s">
        <v>604</v>
      </c>
      <c r="E637" s="34" t="str">
        <f>IFERROR(VLOOKUP(tbLOG[[#This Row],[LOGIN]],tbMAPA[#All],2,0), "Não localizado")</f>
        <v>Renan Cazumba Tegani</v>
      </c>
      <c r="F637" s="34" t="str">
        <f>IFERROR(VLOOKUP(tbLOG[[#This Row],[LOGIN]],tbMAPA[#All],3,0), "Não localizado")</f>
        <v>Reginaldo Santana De Souza</v>
      </c>
      <c r="G637" s="3" t="s">
        <v>1211</v>
      </c>
      <c r="H637" s="3" t="s">
        <v>836</v>
      </c>
    </row>
    <row r="638" spans="1:8">
      <c r="A638" s="29">
        <v>42740.658877314818</v>
      </c>
      <c r="B638" s="29" t="str">
        <f>PROPER(TEXT(tbLOG[[#This Row],[DATA/HORA]],"mmmm"))</f>
        <v>Janeiro</v>
      </c>
      <c r="C638" s="34" t="str">
        <f>PROPER(TEXT(tbLOG[[#This Row],[DATA/HORA]],"dddd"))</f>
        <v>Quinta-Feira</v>
      </c>
      <c r="D638" s="3" t="s">
        <v>604</v>
      </c>
      <c r="E638" s="34" t="str">
        <f>IFERROR(VLOOKUP(tbLOG[[#This Row],[LOGIN]],tbMAPA[#All],2,0), "Não localizado")</f>
        <v>Renan Cazumba Tegani</v>
      </c>
      <c r="F638" s="34" t="str">
        <f>IFERROR(VLOOKUP(tbLOG[[#This Row],[LOGIN]],tbMAPA[#All],3,0), "Não localizado")</f>
        <v>Reginaldo Santana De Souza</v>
      </c>
      <c r="G638" s="3" t="s">
        <v>1211</v>
      </c>
      <c r="H638" s="3" t="s">
        <v>836</v>
      </c>
    </row>
    <row r="639" spans="1:8">
      <c r="A639" s="29">
        <v>42740.658900462964</v>
      </c>
      <c r="B639" s="29" t="str">
        <f>PROPER(TEXT(tbLOG[[#This Row],[DATA/HORA]],"mmmm"))</f>
        <v>Janeiro</v>
      </c>
      <c r="C639" s="34" t="str">
        <f>PROPER(TEXT(tbLOG[[#This Row],[DATA/HORA]],"dddd"))</f>
        <v>Quinta-Feira</v>
      </c>
      <c r="D639" s="3" t="s">
        <v>604</v>
      </c>
      <c r="E639" s="34" t="str">
        <f>IFERROR(VLOOKUP(tbLOG[[#This Row],[LOGIN]],tbMAPA[#All],2,0), "Não localizado")</f>
        <v>Renan Cazumba Tegani</v>
      </c>
      <c r="F639" s="34" t="str">
        <f>IFERROR(VLOOKUP(tbLOG[[#This Row],[LOGIN]],tbMAPA[#All],3,0), "Não localizado")</f>
        <v>Reginaldo Santana De Souza</v>
      </c>
      <c r="G639" s="3" t="s">
        <v>1211</v>
      </c>
      <c r="H639" s="3" t="s">
        <v>836</v>
      </c>
    </row>
    <row r="640" spans="1:8">
      <c r="A640" s="29">
        <v>42740.659062500003</v>
      </c>
      <c r="B640" s="29" t="str">
        <f>PROPER(TEXT(tbLOG[[#This Row],[DATA/HORA]],"mmmm"))</f>
        <v>Janeiro</v>
      </c>
      <c r="C640" s="34" t="str">
        <f>PROPER(TEXT(tbLOG[[#This Row],[DATA/HORA]],"dddd"))</f>
        <v>Quinta-Feira</v>
      </c>
      <c r="D640" s="3" t="s">
        <v>604</v>
      </c>
      <c r="E640" s="34" t="str">
        <f>IFERROR(VLOOKUP(tbLOG[[#This Row],[LOGIN]],tbMAPA[#All],2,0), "Não localizado")</f>
        <v>Renan Cazumba Tegani</v>
      </c>
      <c r="F640" s="34" t="str">
        <f>IFERROR(VLOOKUP(tbLOG[[#This Row],[LOGIN]],tbMAPA[#All],3,0), "Não localizado")</f>
        <v>Reginaldo Santana De Souza</v>
      </c>
      <c r="G640" s="3" t="s">
        <v>1211</v>
      </c>
      <c r="H640" s="3" t="s">
        <v>836</v>
      </c>
    </row>
    <row r="641" spans="1:8">
      <c r="A641" s="29">
        <v>42740.666504629633</v>
      </c>
      <c r="B641" s="29" t="str">
        <f>PROPER(TEXT(tbLOG[[#This Row],[DATA/HORA]],"mmmm"))</f>
        <v>Janeiro</v>
      </c>
      <c r="C641" s="34" t="str">
        <f>PROPER(TEXT(tbLOG[[#This Row],[DATA/HORA]],"dddd"))</f>
        <v>Quinta-Feira</v>
      </c>
      <c r="D641" s="3" t="s">
        <v>604</v>
      </c>
      <c r="E641" s="34" t="str">
        <f>IFERROR(VLOOKUP(tbLOG[[#This Row],[LOGIN]],tbMAPA[#All],2,0), "Não localizado")</f>
        <v>Renan Cazumba Tegani</v>
      </c>
      <c r="F641" s="34" t="str">
        <f>IFERROR(VLOOKUP(tbLOG[[#This Row],[LOGIN]],tbMAPA[#All],3,0), "Não localizado")</f>
        <v>Reginaldo Santana De Souza</v>
      </c>
      <c r="G641" s="3" t="s">
        <v>1211</v>
      </c>
      <c r="H641" s="3" t="s">
        <v>836</v>
      </c>
    </row>
    <row r="642" spans="1:8">
      <c r="A642" s="29">
        <v>42740.666539351849</v>
      </c>
      <c r="B642" s="29" t="str">
        <f>PROPER(TEXT(tbLOG[[#This Row],[DATA/HORA]],"mmmm"))</f>
        <v>Janeiro</v>
      </c>
      <c r="C642" s="34" t="str">
        <f>PROPER(TEXT(tbLOG[[#This Row],[DATA/HORA]],"dddd"))</f>
        <v>Quinta-Feira</v>
      </c>
      <c r="D642" s="3" t="s">
        <v>604</v>
      </c>
      <c r="E642" s="34" t="str">
        <f>IFERROR(VLOOKUP(tbLOG[[#This Row],[LOGIN]],tbMAPA[#All],2,0), "Não localizado")</f>
        <v>Renan Cazumba Tegani</v>
      </c>
      <c r="F642" s="34" t="str">
        <f>IFERROR(VLOOKUP(tbLOG[[#This Row],[LOGIN]],tbMAPA[#All],3,0), "Não localizado")</f>
        <v>Reginaldo Santana De Souza</v>
      </c>
      <c r="G642" s="3" t="s">
        <v>1211</v>
      </c>
      <c r="H642" s="3" t="s">
        <v>836</v>
      </c>
    </row>
    <row r="643" spans="1:8">
      <c r="A643" s="29">
        <v>42740.666851851849</v>
      </c>
      <c r="B643" s="29" t="str">
        <f>PROPER(TEXT(tbLOG[[#This Row],[DATA/HORA]],"mmmm"))</f>
        <v>Janeiro</v>
      </c>
      <c r="C643" s="34" t="str">
        <f>PROPER(TEXT(tbLOG[[#This Row],[DATA/HORA]],"dddd"))</f>
        <v>Quinta-Feira</v>
      </c>
      <c r="D643" s="3" t="s">
        <v>604</v>
      </c>
      <c r="E643" s="34" t="str">
        <f>IFERROR(VLOOKUP(tbLOG[[#This Row],[LOGIN]],tbMAPA[#All],2,0), "Não localizado")</f>
        <v>Renan Cazumba Tegani</v>
      </c>
      <c r="F643" s="34" t="str">
        <f>IFERROR(VLOOKUP(tbLOG[[#This Row],[LOGIN]],tbMAPA[#All],3,0), "Não localizado")</f>
        <v>Reginaldo Santana De Souza</v>
      </c>
      <c r="G643" s="3" t="s">
        <v>1211</v>
      </c>
      <c r="H643" s="3" t="s">
        <v>836</v>
      </c>
    </row>
    <row r="644" spans="1:8">
      <c r="A644" s="29">
        <v>42740.678900462961</v>
      </c>
      <c r="B644" s="29" t="str">
        <f>PROPER(TEXT(tbLOG[[#This Row],[DATA/HORA]],"mmmm"))</f>
        <v>Janeiro</v>
      </c>
      <c r="C644" s="34" t="str">
        <f>PROPER(TEXT(tbLOG[[#This Row],[DATA/HORA]],"dddd"))</f>
        <v>Quinta-Feira</v>
      </c>
      <c r="D644" s="3" t="s">
        <v>604</v>
      </c>
      <c r="E644" s="34" t="str">
        <f>IFERROR(VLOOKUP(tbLOG[[#This Row],[LOGIN]],tbMAPA[#All],2,0), "Não localizado")</f>
        <v>Renan Cazumba Tegani</v>
      </c>
      <c r="F644" s="34" t="str">
        <f>IFERROR(VLOOKUP(tbLOG[[#This Row],[LOGIN]],tbMAPA[#All],3,0), "Não localizado")</f>
        <v>Reginaldo Santana De Souza</v>
      </c>
      <c r="G644" s="3" t="s">
        <v>1211</v>
      </c>
      <c r="H644" s="3" t="s">
        <v>836</v>
      </c>
    </row>
    <row r="645" spans="1:8">
      <c r="A645" s="29">
        <v>42740.678946759261</v>
      </c>
      <c r="B645" s="29" t="str">
        <f>PROPER(TEXT(tbLOG[[#This Row],[DATA/HORA]],"mmmm"))</f>
        <v>Janeiro</v>
      </c>
      <c r="C645" s="34" t="str">
        <f>PROPER(TEXT(tbLOG[[#This Row],[DATA/HORA]],"dddd"))</f>
        <v>Quinta-Feira</v>
      </c>
      <c r="D645" s="3" t="s">
        <v>604</v>
      </c>
      <c r="E645" s="34" t="str">
        <f>IFERROR(VLOOKUP(tbLOG[[#This Row],[LOGIN]],tbMAPA[#All],2,0), "Não localizado")</f>
        <v>Renan Cazumba Tegani</v>
      </c>
      <c r="F645" s="34" t="str">
        <f>IFERROR(VLOOKUP(tbLOG[[#This Row],[LOGIN]],tbMAPA[#All],3,0), "Não localizado")</f>
        <v>Reginaldo Santana De Souza</v>
      </c>
      <c r="G645" s="3" t="s">
        <v>1211</v>
      </c>
      <c r="H645" s="3" t="s">
        <v>836</v>
      </c>
    </row>
    <row r="646" spans="1:8">
      <c r="A646" s="29">
        <v>42740.679259259261</v>
      </c>
      <c r="B646" s="29" t="str">
        <f>PROPER(TEXT(tbLOG[[#This Row],[DATA/HORA]],"mmmm"))</f>
        <v>Janeiro</v>
      </c>
      <c r="C646" s="34" t="str">
        <f>PROPER(TEXT(tbLOG[[#This Row],[DATA/HORA]],"dddd"))</f>
        <v>Quinta-Feira</v>
      </c>
      <c r="D646" s="3" t="s">
        <v>604</v>
      </c>
      <c r="E646" s="34" t="str">
        <f>IFERROR(VLOOKUP(tbLOG[[#This Row],[LOGIN]],tbMAPA[#All],2,0), "Não localizado")</f>
        <v>Renan Cazumba Tegani</v>
      </c>
      <c r="F646" s="34" t="str">
        <f>IFERROR(VLOOKUP(tbLOG[[#This Row],[LOGIN]],tbMAPA[#All],3,0), "Não localizado")</f>
        <v>Reginaldo Santana De Souza</v>
      </c>
      <c r="G646" s="3" t="s">
        <v>1211</v>
      </c>
      <c r="H646" s="3" t="s">
        <v>836</v>
      </c>
    </row>
    <row r="647" spans="1:8">
      <c r="A647" s="29">
        <v>42740.684965277775</v>
      </c>
      <c r="B647" s="29" t="str">
        <f>PROPER(TEXT(tbLOG[[#This Row],[DATA/HORA]],"mmmm"))</f>
        <v>Janeiro</v>
      </c>
      <c r="C647" s="34" t="str">
        <f>PROPER(TEXT(tbLOG[[#This Row],[DATA/HORA]],"dddd"))</f>
        <v>Quinta-Feira</v>
      </c>
      <c r="D647" s="3" t="s">
        <v>604</v>
      </c>
      <c r="E647" s="34" t="str">
        <f>IFERROR(VLOOKUP(tbLOG[[#This Row],[LOGIN]],tbMAPA[#All],2,0), "Não localizado")</f>
        <v>Renan Cazumba Tegani</v>
      </c>
      <c r="F647" s="34" t="str">
        <f>IFERROR(VLOOKUP(tbLOG[[#This Row],[LOGIN]],tbMAPA[#All],3,0), "Não localizado")</f>
        <v>Reginaldo Santana De Souza</v>
      </c>
      <c r="G647" s="3" t="s">
        <v>1211</v>
      </c>
      <c r="H647" s="3" t="s">
        <v>836</v>
      </c>
    </row>
    <row r="648" spans="1:8">
      <c r="A648" s="29">
        <v>42740.684988425928</v>
      </c>
      <c r="B648" s="29" t="str">
        <f>PROPER(TEXT(tbLOG[[#This Row],[DATA/HORA]],"mmmm"))</f>
        <v>Janeiro</v>
      </c>
      <c r="C648" s="34" t="str">
        <f>PROPER(TEXT(tbLOG[[#This Row],[DATA/HORA]],"dddd"))</f>
        <v>Quinta-Feira</v>
      </c>
      <c r="D648" s="3" t="s">
        <v>604</v>
      </c>
      <c r="E648" s="34" t="str">
        <f>IFERROR(VLOOKUP(tbLOG[[#This Row],[LOGIN]],tbMAPA[#All],2,0), "Não localizado")</f>
        <v>Renan Cazumba Tegani</v>
      </c>
      <c r="F648" s="34" t="str">
        <f>IFERROR(VLOOKUP(tbLOG[[#This Row],[LOGIN]],tbMAPA[#All],3,0), "Não localizado")</f>
        <v>Reginaldo Santana De Souza</v>
      </c>
      <c r="G648" s="3" t="s">
        <v>1211</v>
      </c>
      <c r="H648" s="3" t="s">
        <v>836</v>
      </c>
    </row>
    <row r="649" spans="1:8">
      <c r="A649" s="29">
        <v>42740.685057870367</v>
      </c>
      <c r="B649" s="29" t="str">
        <f>PROPER(TEXT(tbLOG[[#This Row],[DATA/HORA]],"mmmm"))</f>
        <v>Janeiro</v>
      </c>
      <c r="C649" s="34" t="str">
        <f>PROPER(TEXT(tbLOG[[#This Row],[DATA/HORA]],"dddd"))</f>
        <v>Quinta-Feira</v>
      </c>
      <c r="D649" s="3" t="s">
        <v>604</v>
      </c>
      <c r="E649" s="34" t="str">
        <f>IFERROR(VLOOKUP(tbLOG[[#This Row],[LOGIN]],tbMAPA[#All],2,0), "Não localizado")</f>
        <v>Renan Cazumba Tegani</v>
      </c>
      <c r="F649" s="34" t="str">
        <f>IFERROR(VLOOKUP(tbLOG[[#This Row],[LOGIN]],tbMAPA[#All],3,0), "Não localizado")</f>
        <v>Reginaldo Santana De Souza</v>
      </c>
      <c r="G649" s="3" t="s">
        <v>1211</v>
      </c>
      <c r="H649" s="3" t="s">
        <v>836</v>
      </c>
    </row>
    <row r="650" spans="1:8">
      <c r="A650" s="29">
        <v>42740.685173611113</v>
      </c>
      <c r="B650" s="29" t="str">
        <f>PROPER(TEXT(tbLOG[[#This Row],[DATA/HORA]],"mmmm"))</f>
        <v>Janeiro</v>
      </c>
      <c r="C650" s="34" t="str">
        <f>PROPER(TEXT(tbLOG[[#This Row],[DATA/HORA]],"dddd"))</f>
        <v>Quinta-Feira</v>
      </c>
      <c r="D650" s="3" t="s">
        <v>604</v>
      </c>
      <c r="E650" s="34" t="str">
        <f>IFERROR(VLOOKUP(tbLOG[[#This Row],[LOGIN]],tbMAPA[#All],2,0), "Não localizado")</f>
        <v>Renan Cazumba Tegani</v>
      </c>
      <c r="F650" s="34" t="str">
        <f>IFERROR(VLOOKUP(tbLOG[[#This Row],[LOGIN]],tbMAPA[#All],3,0), "Não localizado")</f>
        <v>Reginaldo Santana De Souza</v>
      </c>
      <c r="G650" s="3" t="s">
        <v>1211</v>
      </c>
      <c r="H650" s="3" t="s">
        <v>836</v>
      </c>
    </row>
    <row r="651" spans="1:8">
      <c r="A651" s="29">
        <v>42740.685196759259</v>
      </c>
      <c r="B651" s="29" t="str">
        <f>PROPER(TEXT(tbLOG[[#This Row],[DATA/HORA]],"mmmm"))</f>
        <v>Janeiro</v>
      </c>
      <c r="C651" s="34" t="str">
        <f>PROPER(TEXT(tbLOG[[#This Row],[DATA/HORA]],"dddd"))</f>
        <v>Quinta-Feira</v>
      </c>
      <c r="D651" s="3" t="s">
        <v>604</v>
      </c>
      <c r="E651" s="34" t="str">
        <f>IFERROR(VLOOKUP(tbLOG[[#This Row],[LOGIN]],tbMAPA[#All],2,0), "Não localizado")</f>
        <v>Renan Cazumba Tegani</v>
      </c>
      <c r="F651" s="34" t="str">
        <f>IFERROR(VLOOKUP(tbLOG[[#This Row],[LOGIN]],tbMAPA[#All],3,0), "Não localizado")</f>
        <v>Reginaldo Santana De Souza</v>
      </c>
      <c r="G651" s="3" t="s">
        <v>1211</v>
      </c>
      <c r="H651" s="3" t="s">
        <v>836</v>
      </c>
    </row>
    <row r="652" spans="1:8">
      <c r="A652" s="29">
        <v>42740.685231481482</v>
      </c>
      <c r="B652" s="29" t="str">
        <f>PROPER(TEXT(tbLOG[[#This Row],[DATA/HORA]],"mmmm"))</f>
        <v>Janeiro</v>
      </c>
      <c r="C652" s="34" t="str">
        <f>PROPER(TEXT(tbLOG[[#This Row],[DATA/HORA]],"dddd"))</f>
        <v>Quinta-Feira</v>
      </c>
      <c r="D652" s="3" t="s">
        <v>604</v>
      </c>
      <c r="E652" s="34" t="str">
        <f>IFERROR(VLOOKUP(tbLOG[[#This Row],[LOGIN]],tbMAPA[#All],2,0), "Não localizado")</f>
        <v>Renan Cazumba Tegani</v>
      </c>
      <c r="F652" s="34" t="str">
        <f>IFERROR(VLOOKUP(tbLOG[[#This Row],[LOGIN]],tbMAPA[#All],3,0), "Não localizado")</f>
        <v>Reginaldo Santana De Souza</v>
      </c>
      <c r="G652" s="3" t="s">
        <v>1211</v>
      </c>
      <c r="H652" s="3" t="s">
        <v>836</v>
      </c>
    </row>
    <row r="653" spans="1:8">
      <c r="A653" s="29">
        <v>42740.685266203705</v>
      </c>
      <c r="B653" s="29" t="str">
        <f>PROPER(TEXT(tbLOG[[#This Row],[DATA/HORA]],"mmmm"))</f>
        <v>Janeiro</v>
      </c>
      <c r="C653" s="34" t="str">
        <f>PROPER(TEXT(tbLOG[[#This Row],[DATA/HORA]],"dddd"))</f>
        <v>Quinta-Feira</v>
      </c>
      <c r="D653" s="3" t="s">
        <v>604</v>
      </c>
      <c r="E653" s="34" t="str">
        <f>IFERROR(VLOOKUP(tbLOG[[#This Row],[LOGIN]],tbMAPA[#All],2,0), "Não localizado")</f>
        <v>Renan Cazumba Tegani</v>
      </c>
      <c r="F653" s="34" t="str">
        <f>IFERROR(VLOOKUP(tbLOG[[#This Row],[LOGIN]],tbMAPA[#All],3,0), "Não localizado")</f>
        <v>Reginaldo Santana De Souza</v>
      </c>
      <c r="G653" s="3" t="s">
        <v>1211</v>
      </c>
      <c r="H653" s="3" t="s">
        <v>290</v>
      </c>
    </row>
    <row r="654" spans="1:8">
      <c r="A654" s="29">
        <v>42740.685497685183</v>
      </c>
      <c r="B654" s="29" t="str">
        <f>PROPER(TEXT(tbLOG[[#This Row],[DATA/HORA]],"mmmm"))</f>
        <v>Janeiro</v>
      </c>
      <c r="C654" s="34" t="str">
        <f>PROPER(TEXT(tbLOG[[#This Row],[DATA/HORA]],"dddd"))</f>
        <v>Quinta-Feira</v>
      </c>
      <c r="D654" s="3" t="s">
        <v>604</v>
      </c>
      <c r="E654" s="34" t="str">
        <f>IFERROR(VLOOKUP(tbLOG[[#This Row],[LOGIN]],tbMAPA[#All],2,0), "Não localizado")</f>
        <v>Renan Cazumba Tegani</v>
      </c>
      <c r="F654" s="34" t="str">
        <f>IFERROR(VLOOKUP(tbLOG[[#This Row],[LOGIN]],tbMAPA[#All],3,0), "Não localizado")</f>
        <v>Reginaldo Santana De Souza</v>
      </c>
      <c r="G654" s="3" t="s">
        <v>1211</v>
      </c>
      <c r="H654" s="3" t="s">
        <v>290</v>
      </c>
    </row>
    <row r="655" spans="1:8">
      <c r="A655" s="29">
        <v>42740.699328703704</v>
      </c>
      <c r="B655" s="29" t="str">
        <f>PROPER(TEXT(tbLOG[[#This Row],[DATA/HORA]],"mmmm"))</f>
        <v>Janeiro</v>
      </c>
      <c r="C655" s="34" t="str">
        <f>PROPER(TEXT(tbLOG[[#This Row],[DATA/HORA]],"dddd"))</f>
        <v>Quinta-Feira</v>
      </c>
      <c r="D655" s="3" t="s">
        <v>604</v>
      </c>
      <c r="E655" s="34" t="str">
        <f>IFERROR(VLOOKUP(tbLOG[[#This Row],[LOGIN]],tbMAPA[#All],2,0), "Não localizado")</f>
        <v>Renan Cazumba Tegani</v>
      </c>
      <c r="F655" s="34" t="str">
        <f>IFERROR(VLOOKUP(tbLOG[[#This Row],[LOGIN]],tbMAPA[#All],3,0), "Não localizado")</f>
        <v>Reginaldo Santana De Souza</v>
      </c>
      <c r="G655" s="3" t="s">
        <v>1211</v>
      </c>
      <c r="H655" s="3" t="s">
        <v>290</v>
      </c>
    </row>
    <row r="656" spans="1:8">
      <c r="A656" s="29">
        <v>42740.702696759261</v>
      </c>
      <c r="B656" s="29" t="str">
        <f>PROPER(TEXT(tbLOG[[#This Row],[DATA/HORA]],"mmmm"))</f>
        <v>Janeiro</v>
      </c>
      <c r="C656" s="34" t="str">
        <f>PROPER(TEXT(tbLOG[[#This Row],[DATA/HORA]],"dddd"))</f>
        <v>Quinta-Feira</v>
      </c>
      <c r="D656" s="3" t="s">
        <v>604</v>
      </c>
      <c r="E656" s="34" t="str">
        <f>IFERROR(VLOOKUP(tbLOG[[#This Row],[LOGIN]],tbMAPA[#All],2,0), "Não localizado")</f>
        <v>Renan Cazumba Tegani</v>
      </c>
      <c r="F656" s="34" t="str">
        <f>IFERROR(VLOOKUP(tbLOG[[#This Row],[LOGIN]],tbMAPA[#All],3,0), "Não localizado")</f>
        <v>Reginaldo Santana De Souza</v>
      </c>
      <c r="G656" s="3" t="s">
        <v>1211</v>
      </c>
      <c r="H656" s="3" t="s">
        <v>836</v>
      </c>
    </row>
    <row r="657" spans="1:8">
      <c r="A657" s="29">
        <v>42740.702800925923</v>
      </c>
      <c r="B657" s="29" t="str">
        <f>PROPER(TEXT(tbLOG[[#This Row],[DATA/HORA]],"mmmm"))</f>
        <v>Janeiro</v>
      </c>
      <c r="C657" s="34" t="str">
        <f>PROPER(TEXT(tbLOG[[#This Row],[DATA/HORA]],"dddd"))</f>
        <v>Quinta-Feira</v>
      </c>
      <c r="D657" s="3" t="s">
        <v>604</v>
      </c>
      <c r="E657" s="34" t="str">
        <f>IFERROR(VLOOKUP(tbLOG[[#This Row],[LOGIN]],tbMAPA[#All],2,0), "Não localizado")</f>
        <v>Renan Cazumba Tegani</v>
      </c>
      <c r="F657" s="34" t="str">
        <f>IFERROR(VLOOKUP(tbLOG[[#This Row],[LOGIN]],tbMAPA[#All],3,0), "Não localizado")</f>
        <v>Reginaldo Santana De Souza</v>
      </c>
      <c r="G657" s="3" t="s">
        <v>1211</v>
      </c>
      <c r="H657" s="3" t="s">
        <v>836</v>
      </c>
    </row>
    <row r="658" spans="1:8">
      <c r="A658" s="29">
        <v>42740.702800925923</v>
      </c>
      <c r="B658" s="29" t="str">
        <f>PROPER(TEXT(tbLOG[[#This Row],[DATA/HORA]],"mmmm"))</f>
        <v>Janeiro</v>
      </c>
      <c r="C658" s="34" t="str">
        <f>PROPER(TEXT(tbLOG[[#This Row],[DATA/HORA]],"dddd"))</f>
        <v>Quinta-Feira</v>
      </c>
      <c r="D658" s="3" t="s">
        <v>604</v>
      </c>
      <c r="E658" s="34" t="str">
        <f>IFERROR(VLOOKUP(tbLOG[[#This Row],[LOGIN]],tbMAPA[#All],2,0), "Não localizado")</f>
        <v>Renan Cazumba Tegani</v>
      </c>
      <c r="F658" s="34" t="str">
        <f>IFERROR(VLOOKUP(tbLOG[[#This Row],[LOGIN]],tbMAPA[#All],3,0), "Não localizado")</f>
        <v>Reginaldo Santana De Souza</v>
      </c>
      <c r="G658" s="3" t="s">
        <v>1211</v>
      </c>
      <c r="H658" s="3" t="s">
        <v>836</v>
      </c>
    </row>
    <row r="659" spans="1:8">
      <c r="A659" s="29">
        <v>42740.702928240738</v>
      </c>
      <c r="B659" s="29" t="str">
        <f>PROPER(TEXT(tbLOG[[#This Row],[DATA/HORA]],"mmmm"))</f>
        <v>Janeiro</v>
      </c>
      <c r="C659" s="34" t="str">
        <f>PROPER(TEXT(tbLOG[[#This Row],[DATA/HORA]],"dddd"))</f>
        <v>Quinta-Feira</v>
      </c>
      <c r="D659" s="3" t="s">
        <v>604</v>
      </c>
      <c r="E659" s="34" t="str">
        <f>IFERROR(VLOOKUP(tbLOG[[#This Row],[LOGIN]],tbMAPA[#All],2,0), "Não localizado")</f>
        <v>Renan Cazumba Tegani</v>
      </c>
      <c r="F659" s="34" t="str">
        <f>IFERROR(VLOOKUP(tbLOG[[#This Row],[LOGIN]],tbMAPA[#All],3,0), "Não localizado")</f>
        <v>Reginaldo Santana De Souza</v>
      </c>
      <c r="G659" s="3" t="s">
        <v>1211</v>
      </c>
      <c r="H659" s="3" t="s">
        <v>836</v>
      </c>
    </row>
    <row r="660" spans="1:8">
      <c r="A660" s="29">
        <v>42740.702997685185</v>
      </c>
      <c r="B660" s="29" t="str">
        <f>PROPER(TEXT(tbLOG[[#This Row],[DATA/HORA]],"mmmm"))</f>
        <v>Janeiro</v>
      </c>
      <c r="C660" s="34" t="str">
        <f>PROPER(TEXT(tbLOG[[#This Row],[DATA/HORA]],"dddd"))</f>
        <v>Quinta-Feira</v>
      </c>
      <c r="D660" s="3" t="s">
        <v>604</v>
      </c>
      <c r="E660" s="34" t="str">
        <f>IFERROR(VLOOKUP(tbLOG[[#This Row],[LOGIN]],tbMAPA[#All],2,0), "Não localizado")</f>
        <v>Renan Cazumba Tegani</v>
      </c>
      <c r="F660" s="34" t="str">
        <f>IFERROR(VLOOKUP(tbLOG[[#This Row],[LOGIN]],tbMAPA[#All],3,0), "Não localizado")</f>
        <v>Reginaldo Santana De Souza</v>
      </c>
      <c r="G660" s="3" t="s">
        <v>1211</v>
      </c>
      <c r="H660" s="3" t="s">
        <v>836</v>
      </c>
    </row>
    <row r="661" spans="1:8">
      <c r="A661" s="29">
        <v>42740.704398148147</v>
      </c>
      <c r="B661" s="29" t="str">
        <f>PROPER(TEXT(tbLOG[[#This Row],[DATA/HORA]],"mmmm"))</f>
        <v>Janeiro</v>
      </c>
      <c r="C661" s="34" t="str">
        <f>PROPER(TEXT(tbLOG[[#This Row],[DATA/HORA]],"dddd"))</f>
        <v>Quinta-Feira</v>
      </c>
      <c r="D661" s="3" t="s">
        <v>604</v>
      </c>
      <c r="E661" s="34" t="str">
        <f>IFERROR(VLOOKUP(tbLOG[[#This Row],[LOGIN]],tbMAPA[#All],2,0), "Não localizado")</f>
        <v>Renan Cazumba Tegani</v>
      </c>
      <c r="F661" s="34" t="str">
        <f>IFERROR(VLOOKUP(tbLOG[[#This Row],[LOGIN]],tbMAPA[#All],3,0), "Não localizado")</f>
        <v>Reginaldo Santana De Souza</v>
      </c>
      <c r="G661" s="3" t="s">
        <v>1211</v>
      </c>
      <c r="H661" s="3" t="s">
        <v>836</v>
      </c>
    </row>
    <row r="662" spans="1:8">
      <c r="A662" s="29">
        <v>42740.704421296294</v>
      </c>
      <c r="B662" s="29" t="str">
        <f>PROPER(TEXT(tbLOG[[#This Row],[DATA/HORA]],"mmmm"))</f>
        <v>Janeiro</v>
      </c>
      <c r="C662" s="34" t="str">
        <f>PROPER(TEXT(tbLOG[[#This Row],[DATA/HORA]],"dddd"))</f>
        <v>Quinta-Feira</v>
      </c>
      <c r="D662" s="3" t="s">
        <v>604</v>
      </c>
      <c r="E662" s="34" t="str">
        <f>IFERROR(VLOOKUP(tbLOG[[#This Row],[LOGIN]],tbMAPA[#All],2,0), "Não localizado")</f>
        <v>Renan Cazumba Tegani</v>
      </c>
      <c r="F662" s="34" t="str">
        <f>IFERROR(VLOOKUP(tbLOG[[#This Row],[LOGIN]],tbMAPA[#All],3,0), "Não localizado")</f>
        <v>Reginaldo Santana De Souza</v>
      </c>
      <c r="G662" s="3" t="s">
        <v>1211</v>
      </c>
      <c r="H662" s="3" t="s">
        <v>836</v>
      </c>
    </row>
    <row r="663" spans="1:8">
      <c r="A663" s="29">
        <v>42740.704432870371</v>
      </c>
      <c r="B663" s="29" t="str">
        <f>PROPER(TEXT(tbLOG[[#This Row],[DATA/HORA]],"mmmm"))</f>
        <v>Janeiro</v>
      </c>
      <c r="C663" s="34" t="str">
        <f>PROPER(TEXT(tbLOG[[#This Row],[DATA/HORA]],"dddd"))</f>
        <v>Quinta-Feira</v>
      </c>
      <c r="D663" s="3" t="s">
        <v>604</v>
      </c>
      <c r="E663" s="34" t="str">
        <f>IFERROR(VLOOKUP(tbLOG[[#This Row],[LOGIN]],tbMAPA[#All],2,0), "Não localizado")</f>
        <v>Renan Cazumba Tegani</v>
      </c>
      <c r="F663" s="34" t="str">
        <f>IFERROR(VLOOKUP(tbLOG[[#This Row],[LOGIN]],tbMAPA[#All],3,0), "Não localizado")</f>
        <v>Reginaldo Santana De Souza</v>
      </c>
      <c r="G663" s="3" t="s">
        <v>1211</v>
      </c>
      <c r="H663" s="3" t="s">
        <v>836</v>
      </c>
    </row>
    <row r="664" spans="1:8">
      <c r="A664" s="29">
        <v>42740.704479166663</v>
      </c>
      <c r="B664" s="29" t="str">
        <f>PROPER(TEXT(tbLOG[[#This Row],[DATA/HORA]],"mmmm"))</f>
        <v>Janeiro</v>
      </c>
      <c r="C664" s="34" t="str">
        <f>PROPER(TEXT(tbLOG[[#This Row],[DATA/HORA]],"dddd"))</f>
        <v>Quinta-Feira</v>
      </c>
      <c r="D664" s="3" t="s">
        <v>604</v>
      </c>
      <c r="E664" s="34" t="str">
        <f>IFERROR(VLOOKUP(tbLOG[[#This Row],[LOGIN]],tbMAPA[#All],2,0), "Não localizado")</f>
        <v>Renan Cazumba Tegani</v>
      </c>
      <c r="F664" s="34" t="str">
        <f>IFERROR(VLOOKUP(tbLOG[[#This Row],[LOGIN]],tbMAPA[#All],3,0), "Não localizado")</f>
        <v>Reginaldo Santana De Souza</v>
      </c>
      <c r="G664" s="3" t="s">
        <v>1211</v>
      </c>
      <c r="H664" s="3" t="s">
        <v>836</v>
      </c>
    </row>
    <row r="665" spans="1:8">
      <c r="A665" s="29">
        <v>42740.707141203704</v>
      </c>
      <c r="B665" s="29" t="str">
        <f>PROPER(TEXT(tbLOG[[#This Row],[DATA/HORA]],"mmmm"))</f>
        <v>Janeiro</v>
      </c>
      <c r="C665" s="34" t="str">
        <f>PROPER(TEXT(tbLOG[[#This Row],[DATA/HORA]],"dddd"))</f>
        <v>Quinta-Feira</v>
      </c>
      <c r="D665" s="3" t="s">
        <v>604</v>
      </c>
      <c r="E665" s="34" t="str">
        <f>IFERROR(VLOOKUP(tbLOG[[#This Row],[LOGIN]],tbMAPA[#All],2,0), "Não localizado")</f>
        <v>Renan Cazumba Tegani</v>
      </c>
      <c r="F665" s="34" t="str">
        <f>IFERROR(VLOOKUP(tbLOG[[#This Row],[LOGIN]],tbMAPA[#All],3,0), "Não localizado")</f>
        <v>Reginaldo Santana De Souza</v>
      </c>
      <c r="G665" s="3" t="s">
        <v>1211</v>
      </c>
      <c r="H665" s="3" t="s">
        <v>836</v>
      </c>
    </row>
    <row r="666" spans="1:8">
      <c r="A666" s="29">
        <v>42740.707199074073</v>
      </c>
      <c r="B666" s="29" t="str">
        <f>PROPER(TEXT(tbLOG[[#This Row],[DATA/HORA]],"mmmm"))</f>
        <v>Janeiro</v>
      </c>
      <c r="C666" s="34" t="str">
        <f>PROPER(TEXT(tbLOG[[#This Row],[DATA/HORA]],"dddd"))</f>
        <v>Quinta-Feira</v>
      </c>
      <c r="D666" s="3" t="s">
        <v>604</v>
      </c>
      <c r="E666" s="34" t="str">
        <f>IFERROR(VLOOKUP(tbLOG[[#This Row],[LOGIN]],tbMAPA[#All],2,0), "Não localizado")</f>
        <v>Renan Cazumba Tegani</v>
      </c>
      <c r="F666" s="34" t="str">
        <f>IFERROR(VLOOKUP(tbLOG[[#This Row],[LOGIN]],tbMAPA[#All],3,0), "Não localizado")</f>
        <v>Reginaldo Santana De Souza</v>
      </c>
      <c r="G666" s="3" t="s">
        <v>1211</v>
      </c>
      <c r="H666" s="3" t="s">
        <v>836</v>
      </c>
    </row>
    <row r="667" spans="1:8">
      <c r="A667" s="29">
        <v>42740.707268518519</v>
      </c>
      <c r="B667" s="29" t="str">
        <f>PROPER(TEXT(tbLOG[[#This Row],[DATA/HORA]],"mmmm"))</f>
        <v>Janeiro</v>
      </c>
      <c r="C667" s="34" t="str">
        <f>PROPER(TEXT(tbLOG[[#This Row],[DATA/HORA]],"dddd"))</f>
        <v>Quinta-Feira</v>
      </c>
      <c r="D667" s="3" t="s">
        <v>604</v>
      </c>
      <c r="E667" s="34" t="str">
        <f>IFERROR(VLOOKUP(tbLOG[[#This Row],[LOGIN]],tbMAPA[#All],2,0), "Não localizado")</f>
        <v>Renan Cazumba Tegani</v>
      </c>
      <c r="F667" s="34" t="str">
        <f>IFERROR(VLOOKUP(tbLOG[[#This Row],[LOGIN]],tbMAPA[#All],3,0), "Não localizado")</f>
        <v>Reginaldo Santana De Souza</v>
      </c>
      <c r="G667" s="3" t="s">
        <v>1211</v>
      </c>
      <c r="H667" s="3" t="s">
        <v>836</v>
      </c>
    </row>
    <row r="668" spans="1:8">
      <c r="A668" s="29">
        <v>42740.707291666666</v>
      </c>
      <c r="B668" s="29" t="str">
        <f>PROPER(TEXT(tbLOG[[#This Row],[DATA/HORA]],"mmmm"))</f>
        <v>Janeiro</v>
      </c>
      <c r="C668" s="34" t="str">
        <f>PROPER(TEXT(tbLOG[[#This Row],[DATA/HORA]],"dddd"))</f>
        <v>Quinta-Feira</v>
      </c>
      <c r="D668" s="3" t="s">
        <v>604</v>
      </c>
      <c r="E668" s="34" t="str">
        <f>IFERROR(VLOOKUP(tbLOG[[#This Row],[LOGIN]],tbMAPA[#All],2,0), "Não localizado")</f>
        <v>Renan Cazumba Tegani</v>
      </c>
      <c r="F668" s="34" t="str">
        <f>IFERROR(VLOOKUP(tbLOG[[#This Row],[LOGIN]],tbMAPA[#All],3,0), "Não localizado")</f>
        <v>Reginaldo Santana De Souza</v>
      </c>
      <c r="G668" s="3" t="s">
        <v>1211</v>
      </c>
      <c r="H668" s="3" t="s">
        <v>290</v>
      </c>
    </row>
    <row r="669" spans="1:8">
      <c r="A669" s="29">
        <v>42740.709317129629</v>
      </c>
      <c r="B669" s="29" t="str">
        <f>PROPER(TEXT(tbLOG[[#This Row],[DATA/HORA]],"mmmm"))</f>
        <v>Janeiro</v>
      </c>
      <c r="C669" s="34" t="str">
        <f>PROPER(TEXT(tbLOG[[#This Row],[DATA/HORA]],"dddd"))</f>
        <v>Quinta-Feira</v>
      </c>
      <c r="D669" s="3" t="s">
        <v>604</v>
      </c>
      <c r="E669" s="34" t="str">
        <f>IFERROR(VLOOKUP(tbLOG[[#This Row],[LOGIN]],tbMAPA[#All],2,0), "Não localizado")</f>
        <v>Renan Cazumba Tegani</v>
      </c>
      <c r="F669" s="34" t="str">
        <f>IFERROR(VLOOKUP(tbLOG[[#This Row],[LOGIN]],tbMAPA[#All],3,0), "Não localizado")</f>
        <v>Reginaldo Santana De Souza</v>
      </c>
      <c r="G669" s="3" t="s">
        <v>1211</v>
      </c>
      <c r="H669" s="3" t="s">
        <v>290</v>
      </c>
    </row>
    <row r="670" spans="1:8">
      <c r="A670" s="29">
        <v>42740.709328703706</v>
      </c>
      <c r="B670" s="29" t="str">
        <f>PROPER(TEXT(tbLOG[[#This Row],[DATA/HORA]],"mmmm"))</f>
        <v>Janeiro</v>
      </c>
      <c r="C670" s="34" t="str">
        <f>PROPER(TEXT(tbLOG[[#This Row],[DATA/HORA]],"dddd"))</f>
        <v>Quinta-Feira</v>
      </c>
      <c r="D670" s="3" t="s">
        <v>604</v>
      </c>
      <c r="E670" s="34" t="str">
        <f>IFERROR(VLOOKUP(tbLOG[[#This Row],[LOGIN]],tbMAPA[#All],2,0), "Não localizado")</f>
        <v>Renan Cazumba Tegani</v>
      </c>
      <c r="F670" s="34" t="str">
        <f>IFERROR(VLOOKUP(tbLOG[[#This Row],[LOGIN]],tbMAPA[#All],3,0), "Não localizado")</f>
        <v>Reginaldo Santana De Souza</v>
      </c>
      <c r="G670" s="3" t="s">
        <v>1211</v>
      </c>
      <c r="H670" s="3" t="s">
        <v>291</v>
      </c>
    </row>
    <row r="671" spans="1:8">
      <c r="A671" s="29">
        <v>42740.709328703706</v>
      </c>
      <c r="B671" s="29" t="str">
        <f>PROPER(TEXT(tbLOG[[#This Row],[DATA/HORA]],"mmmm"))</f>
        <v>Janeiro</v>
      </c>
      <c r="C671" s="34" t="str">
        <f>PROPER(TEXT(tbLOG[[#This Row],[DATA/HORA]],"dddd"))</f>
        <v>Quinta-Feira</v>
      </c>
      <c r="D671" s="3" t="s">
        <v>604</v>
      </c>
      <c r="E671" s="34" t="str">
        <f>IFERROR(VLOOKUP(tbLOG[[#This Row],[LOGIN]],tbMAPA[#All],2,0), "Não localizado")</f>
        <v>Renan Cazumba Tegani</v>
      </c>
      <c r="F671" s="34" t="str">
        <f>IFERROR(VLOOKUP(tbLOG[[#This Row],[LOGIN]],tbMAPA[#All],3,0), "Não localizado")</f>
        <v>Reginaldo Santana De Souza</v>
      </c>
      <c r="G671" s="3" t="s">
        <v>1211</v>
      </c>
      <c r="H671" s="3" t="s">
        <v>290</v>
      </c>
    </row>
    <row r="672" spans="1:8">
      <c r="A672" s="29">
        <v>42741.400335648148</v>
      </c>
      <c r="B672" s="29" t="str">
        <f>PROPER(TEXT(tbLOG[[#This Row],[DATA/HORA]],"mmmm"))</f>
        <v>Janeiro</v>
      </c>
      <c r="C672" s="34" t="str">
        <f>PROPER(TEXT(tbLOG[[#This Row],[DATA/HORA]],"dddd"))</f>
        <v>Sexta-Feira</v>
      </c>
      <c r="D672" s="3" t="s">
        <v>297</v>
      </c>
      <c r="E672" s="34" t="str">
        <f>IFERROR(VLOOKUP(tbLOG[[#This Row],[LOGIN]],tbMAPA[#All],2,0), "Não localizado")</f>
        <v>Ivanildo Cavalcante De Souza Junior</v>
      </c>
      <c r="F672" s="34" t="str">
        <f>IFERROR(VLOOKUP(tbLOG[[#This Row],[LOGIN]],tbMAPA[#All],3,0), "Não localizado")</f>
        <v>Jefte Soares Da Silva</v>
      </c>
      <c r="G672" s="3" t="s">
        <v>298</v>
      </c>
      <c r="H672" s="3" t="s">
        <v>994</v>
      </c>
    </row>
    <row r="673" spans="1:8">
      <c r="A673" s="29">
        <v>42741.400949074072</v>
      </c>
      <c r="B673" s="29" t="str">
        <f>PROPER(TEXT(tbLOG[[#This Row],[DATA/HORA]],"mmmm"))</f>
        <v>Janeiro</v>
      </c>
      <c r="C673" s="34" t="str">
        <f>PROPER(TEXT(tbLOG[[#This Row],[DATA/HORA]],"dddd"))</f>
        <v>Sexta-Feira</v>
      </c>
      <c r="D673" s="3" t="s">
        <v>297</v>
      </c>
      <c r="E673" s="34" t="str">
        <f>IFERROR(VLOOKUP(tbLOG[[#This Row],[LOGIN]],tbMAPA[#All],2,0), "Não localizado")</f>
        <v>Ivanildo Cavalcante De Souza Junior</v>
      </c>
      <c r="F673" s="34" t="str">
        <f>IFERROR(VLOOKUP(tbLOG[[#This Row],[LOGIN]],tbMAPA[#All],3,0), "Não localizado")</f>
        <v>Jefte Soares Da Silva</v>
      </c>
      <c r="G673" s="3" t="s">
        <v>298</v>
      </c>
      <c r="H673" s="3" t="s">
        <v>836</v>
      </c>
    </row>
    <row r="674" spans="1:8">
      <c r="A674" s="29">
        <v>42741.401203703703</v>
      </c>
      <c r="B674" s="29" t="str">
        <f>PROPER(TEXT(tbLOG[[#This Row],[DATA/HORA]],"mmmm"))</f>
        <v>Janeiro</v>
      </c>
      <c r="C674" s="34" t="str">
        <f>PROPER(TEXT(tbLOG[[#This Row],[DATA/HORA]],"dddd"))</f>
        <v>Sexta-Feira</v>
      </c>
      <c r="D674" s="3" t="s">
        <v>297</v>
      </c>
      <c r="E674" s="34" t="str">
        <f>IFERROR(VLOOKUP(tbLOG[[#This Row],[LOGIN]],tbMAPA[#All],2,0), "Não localizado")</f>
        <v>Ivanildo Cavalcante De Souza Junior</v>
      </c>
      <c r="F674" s="34" t="str">
        <f>IFERROR(VLOOKUP(tbLOG[[#This Row],[LOGIN]],tbMAPA[#All],3,0), "Não localizado")</f>
        <v>Jefte Soares Da Silva</v>
      </c>
      <c r="G674" s="3" t="s">
        <v>298</v>
      </c>
      <c r="H674" s="3" t="s">
        <v>836</v>
      </c>
    </row>
    <row r="675" spans="1:8">
      <c r="A675" s="29">
        <v>42741.401458333334</v>
      </c>
      <c r="B675" s="29" t="str">
        <f>PROPER(TEXT(tbLOG[[#This Row],[DATA/HORA]],"mmmm"))</f>
        <v>Janeiro</v>
      </c>
      <c r="C675" s="34" t="str">
        <f>PROPER(TEXT(tbLOG[[#This Row],[DATA/HORA]],"dddd"))</f>
        <v>Sexta-Feira</v>
      </c>
      <c r="D675" s="3" t="s">
        <v>297</v>
      </c>
      <c r="E675" s="34" t="str">
        <f>IFERROR(VLOOKUP(tbLOG[[#This Row],[LOGIN]],tbMAPA[#All],2,0), "Não localizado")</f>
        <v>Ivanildo Cavalcante De Souza Junior</v>
      </c>
      <c r="F675" s="34" t="str">
        <f>IFERROR(VLOOKUP(tbLOG[[#This Row],[LOGIN]],tbMAPA[#All],3,0), "Não localizado")</f>
        <v>Jefte Soares Da Silva</v>
      </c>
      <c r="G675" s="3" t="s">
        <v>298</v>
      </c>
      <c r="H675" s="3" t="s">
        <v>290</v>
      </c>
    </row>
    <row r="676" spans="1:8">
      <c r="A676" s="29">
        <v>42741.40148148148</v>
      </c>
      <c r="B676" s="29" t="str">
        <f>PROPER(TEXT(tbLOG[[#This Row],[DATA/HORA]],"mmmm"))</f>
        <v>Janeiro</v>
      </c>
      <c r="C676" s="34" t="str">
        <f>PROPER(TEXT(tbLOG[[#This Row],[DATA/HORA]],"dddd"))</f>
        <v>Sexta-Feira</v>
      </c>
      <c r="D676" s="3" t="s">
        <v>297</v>
      </c>
      <c r="E676" s="34" t="str">
        <f>IFERROR(VLOOKUP(tbLOG[[#This Row],[LOGIN]],tbMAPA[#All],2,0), "Não localizado")</f>
        <v>Ivanildo Cavalcante De Souza Junior</v>
      </c>
      <c r="F676" s="34" t="str">
        <f>IFERROR(VLOOKUP(tbLOG[[#This Row],[LOGIN]],tbMAPA[#All],3,0), "Não localizado")</f>
        <v>Jefte Soares Da Silva</v>
      </c>
      <c r="G676" s="3" t="s">
        <v>298</v>
      </c>
      <c r="H676" s="3" t="s">
        <v>291</v>
      </c>
    </row>
    <row r="677" spans="1:8">
      <c r="A677" s="29">
        <v>42741.40148148148</v>
      </c>
      <c r="B677" s="29" t="str">
        <f>PROPER(TEXT(tbLOG[[#This Row],[DATA/HORA]],"mmmm"))</f>
        <v>Janeiro</v>
      </c>
      <c r="C677" s="34" t="str">
        <f>PROPER(TEXT(tbLOG[[#This Row],[DATA/HORA]],"dddd"))</f>
        <v>Sexta-Feira</v>
      </c>
      <c r="D677" s="3" t="s">
        <v>297</v>
      </c>
      <c r="E677" s="34" t="str">
        <f>IFERROR(VLOOKUP(tbLOG[[#This Row],[LOGIN]],tbMAPA[#All],2,0), "Não localizado")</f>
        <v>Ivanildo Cavalcante De Souza Junior</v>
      </c>
      <c r="F677" s="34" t="str">
        <f>IFERROR(VLOOKUP(tbLOG[[#This Row],[LOGIN]],tbMAPA[#All],3,0), "Não localizado")</f>
        <v>Jefte Soares Da Silva</v>
      </c>
      <c r="G677" s="3" t="s">
        <v>298</v>
      </c>
      <c r="H677" s="3" t="s">
        <v>290</v>
      </c>
    </row>
    <row r="678" spans="1:8">
      <c r="A678" s="29">
        <v>42741.415509259263</v>
      </c>
      <c r="B678" s="29" t="str">
        <f>PROPER(TEXT(tbLOG[[#This Row],[DATA/HORA]],"mmmm"))</f>
        <v>Janeiro</v>
      </c>
      <c r="C678" s="34" t="str">
        <f>PROPER(TEXT(tbLOG[[#This Row],[DATA/HORA]],"dddd"))</f>
        <v>Sexta-Feira</v>
      </c>
      <c r="D678" s="3" t="s">
        <v>297</v>
      </c>
      <c r="E678" s="34" t="str">
        <f>IFERROR(VLOOKUP(tbLOG[[#This Row],[LOGIN]],tbMAPA[#All],2,0), "Não localizado")</f>
        <v>Ivanildo Cavalcante De Souza Junior</v>
      </c>
      <c r="F678" s="34" t="str">
        <f>IFERROR(VLOOKUP(tbLOG[[#This Row],[LOGIN]],tbMAPA[#All],3,0), "Não localizado")</f>
        <v>Jefte Soares Da Silva</v>
      </c>
      <c r="G678" s="3" t="s">
        <v>298</v>
      </c>
      <c r="H678" s="3" t="s">
        <v>292</v>
      </c>
    </row>
    <row r="679" spans="1:8">
      <c r="A679" s="29">
        <v>42741.415520833332</v>
      </c>
      <c r="B679" s="29" t="str">
        <f>PROPER(TEXT(tbLOG[[#This Row],[DATA/HORA]],"mmmm"))</f>
        <v>Janeiro</v>
      </c>
      <c r="C679" s="34" t="str">
        <f>PROPER(TEXT(tbLOG[[#This Row],[DATA/HORA]],"dddd"))</f>
        <v>Sexta-Feira</v>
      </c>
      <c r="D679" s="3" t="s">
        <v>297</v>
      </c>
      <c r="E679" s="34" t="str">
        <f>IFERROR(VLOOKUP(tbLOG[[#This Row],[LOGIN]],tbMAPA[#All],2,0), "Não localizado")</f>
        <v>Ivanildo Cavalcante De Souza Junior</v>
      </c>
      <c r="F679" s="34" t="str">
        <f>IFERROR(VLOOKUP(tbLOG[[#This Row],[LOGIN]],tbMAPA[#All],3,0), "Não localizado")</f>
        <v>Jefte Soares Da Silva</v>
      </c>
      <c r="G679" s="3" t="s">
        <v>298</v>
      </c>
      <c r="H679" s="3" t="s">
        <v>994</v>
      </c>
    </row>
    <row r="680" spans="1:8">
      <c r="A680" s="29">
        <v>42741.415543981479</v>
      </c>
      <c r="B680" s="29" t="str">
        <f>PROPER(TEXT(tbLOG[[#This Row],[DATA/HORA]],"mmmm"))</f>
        <v>Janeiro</v>
      </c>
      <c r="C680" s="34" t="str">
        <f>PROPER(TEXT(tbLOG[[#This Row],[DATA/HORA]],"dddd"))</f>
        <v>Sexta-Feira</v>
      </c>
      <c r="D680" s="3" t="s">
        <v>297</v>
      </c>
      <c r="E680" s="34" t="str">
        <f>IFERROR(VLOOKUP(tbLOG[[#This Row],[LOGIN]],tbMAPA[#All],2,0), "Não localizado")</f>
        <v>Ivanildo Cavalcante De Souza Junior</v>
      </c>
      <c r="F680" s="34" t="str">
        <f>IFERROR(VLOOKUP(tbLOG[[#This Row],[LOGIN]],tbMAPA[#All],3,0), "Não localizado")</f>
        <v>Jefte Soares Da Silva</v>
      </c>
      <c r="G680" s="3" t="s">
        <v>298</v>
      </c>
      <c r="H680" s="3" t="s">
        <v>292</v>
      </c>
    </row>
    <row r="681" spans="1:8">
      <c r="A681" s="29">
        <v>42741.416539351849</v>
      </c>
      <c r="B681" s="29" t="str">
        <f>PROPER(TEXT(tbLOG[[#This Row],[DATA/HORA]],"mmmm"))</f>
        <v>Janeiro</v>
      </c>
      <c r="C681" s="34" t="str">
        <f>PROPER(TEXT(tbLOG[[#This Row],[DATA/HORA]],"dddd"))</f>
        <v>Sexta-Feira</v>
      </c>
      <c r="D681" s="3" t="s">
        <v>297</v>
      </c>
      <c r="E681" s="34" t="str">
        <f>IFERROR(VLOOKUP(tbLOG[[#This Row],[LOGIN]],tbMAPA[#All],2,0), "Não localizado")</f>
        <v>Ivanildo Cavalcante De Souza Junior</v>
      </c>
      <c r="F681" s="34" t="str">
        <f>IFERROR(VLOOKUP(tbLOG[[#This Row],[LOGIN]],tbMAPA[#All],3,0), "Não localizado")</f>
        <v>Jefte Soares Da Silva</v>
      </c>
      <c r="G681" s="3" t="s">
        <v>298</v>
      </c>
      <c r="H681" s="3" t="s">
        <v>291</v>
      </c>
    </row>
    <row r="682" spans="1:8">
      <c r="A682" s="29">
        <v>42741.416539351849</v>
      </c>
      <c r="B682" s="29" t="str">
        <f>PROPER(TEXT(tbLOG[[#This Row],[DATA/HORA]],"mmmm"))</f>
        <v>Janeiro</v>
      </c>
      <c r="C682" s="34" t="str">
        <f>PROPER(TEXT(tbLOG[[#This Row],[DATA/HORA]],"dddd"))</f>
        <v>Sexta-Feira</v>
      </c>
      <c r="D682" s="3" t="s">
        <v>297</v>
      </c>
      <c r="E682" s="34" t="str">
        <f>IFERROR(VLOOKUP(tbLOG[[#This Row],[LOGIN]],tbMAPA[#All],2,0), "Não localizado")</f>
        <v>Ivanildo Cavalcante De Souza Junior</v>
      </c>
      <c r="F682" s="34" t="str">
        <f>IFERROR(VLOOKUP(tbLOG[[#This Row],[LOGIN]],tbMAPA[#All],3,0), "Não localizado")</f>
        <v>Jefte Soares Da Silva</v>
      </c>
      <c r="G682" s="3" t="s">
        <v>298</v>
      </c>
      <c r="H682" s="3" t="s">
        <v>290</v>
      </c>
    </row>
    <row r="683" spans="1:8">
      <c r="A683" s="29">
        <v>42741.427789351852</v>
      </c>
      <c r="B683" s="29" t="str">
        <f>PROPER(TEXT(tbLOG[[#This Row],[DATA/HORA]],"mmmm"))</f>
        <v>Janeiro</v>
      </c>
      <c r="C683" s="34" t="str">
        <f>PROPER(TEXT(tbLOG[[#This Row],[DATA/HORA]],"dddd"))</f>
        <v>Sexta-Feira</v>
      </c>
      <c r="D683" s="3" t="s">
        <v>604</v>
      </c>
      <c r="E683" s="34" t="str">
        <f>IFERROR(VLOOKUP(tbLOG[[#This Row],[LOGIN]],tbMAPA[#All],2,0), "Não localizado")</f>
        <v>Renan Cazumba Tegani</v>
      </c>
      <c r="F683" s="34" t="str">
        <f>IFERROR(VLOOKUP(tbLOG[[#This Row],[LOGIN]],tbMAPA[#All],3,0), "Não localizado")</f>
        <v>Reginaldo Santana De Souza</v>
      </c>
      <c r="G683" s="3" t="s">
        <v>1211</v>
      </c>
      <c r="H683" s="3" t="s">
        <v>994</v>
      </c>
    </row>
    <row r="684" spans="1:8">
      <c r="A684" s="29">
        <v>42741.428090277775</v>
      </c>
      <c r="B684" s="29" t="str">
        <f>PROPER(TEXT(tbLOG[[#This Row],[DATA/HORA]],"mmmm"))</f>
        <v>Janeiro</v>
      </c>
      <c r="C684" s="34" t="str">
        <f>PROPER(TEXT(tbLOG[[#This Row],[DATA/HORA]],"dddd"))</f>
        <v>Sexta-Feira</v>
      </c>
      <c r="D684" s="3" t="s">
        <v>604</v>
      </c>
      <c r="E684" s="34" t="str">
        <f>IFERROR(VLOOKUP(tbLOG[[#This Row],[LOGIN]],tbMAPA[#All],2,0), "Não localizado")</f>
        <v>Renan Cazumba Tegani</v>
      </c>
      <c r="F684" s="34" t="str">
        <f>IFERROR(VLOOKUP(tbLOG[[#This Row],[LOGIN]],tbMAPA[#All],3,0), "Não localizado")</f>
        <v>Reginaldo Santana De Souza</v>
      </c>
      <c r="G684" s="3" t="s">
        <v>1211</v>
      </c>
      <c r="H684" s="3" t="s">
        <v>309</v>
      </c>
    </row>
    <row r="685" spans="1:8">
      <c r="A685" s="29">
        <v>42741.428090277775</v>
      </c>
      <c r="B685" s="29" t="str">
        <f>PROPER(TEXT(tbLOG[[#This Row],[DATA/HORA]],"mmmm"))</f>
        <v>Janeiro</v>
      </c>
      <c r="C685" s="34" t="str">
        <f>PROPER(TEXT(tbLOG[[#This Row],[DATA/HORA]],"dddd"))</f>
        <v>Sexta-Feira</v>
      </c>
      <c r="D685" s="3" t="s">
        <v>604</v>
      </c>
      <c r="E685" s="34" t="str">
        <f>IFERROR(VLOOKUP(tbLOG[[#This Row],[LOGIN]],tbMAPA[#All],2,0), "Não localizado")</f>
        <v>Renan Cazumba Tegani</v>
      </c>
      <c r="F685" s="34" t="str">
        <f>IFERROR(VLOOKUP(tbLOG[[#This Row],[LOGIN]],tbMAPA[#All],3,0), "Não localizado")</f>
        <v>Reginaldo Santana De Souza</v>
      </c>
      <c r="G685" s="3" t="s">
        <v>1211</v>
      </c>
      <c r="H685" s="3" t="s">
        <v>310</v>
      </c>
    </row>
    <row r="686" spans="1:8">
      <c r="A686" s="29">
        <v>42741.428124999999</v>
      </c>
      <c r="B686" s="29" t="str">
        <f>PROPER(TEXT(tbLOG[[#This Row],[DATA/HORA]],"mmmm"))</f>
        <v>Janeiro</v>
      </c>
      <c r="C686" s="34" t="str">
        <f>PROPER(TEXT(tbLOG[[#This Row],[DATA/HORA]],"dddd"))</f>
        <v>Sexta-Feira</v>
      </c>
      <c r="D686" s="3" t="s">
        <v>604</v>
      </c>
      <c r="E686" s="34" t="str">
        <f>IFERROR(VLOOKUP(tbLOG[[#This Row],[LOGIN]],tbMAPA[#All],2,0), "Não localizado")</f>
        <v>Renan Cazumba Tegani</v>
      </c>
      <c r="F686" s="34" t="str">
        <f>IFERROR(VLOOKUP(tbLOG[[#This Row],[LOGIN]],tbMAPA[#All],3,0), "Não localizado")</f>
        <v>Reginaldo Santana De Souza</v>
      </c>
      <c r="G686" s="3" t="s">
        <v>1211</v>
      </c>
      <c r="H686" s="3" t="s">
        <v>309</v>
      </c>
    </row>
    <row r="687" spans="1:8">
      <c r="A687" s="29">
        <v>42741.428124999999</v>
      </c>
      <c r="B687" s="29" t="str">
        <f>PROPER(TEXT(tbLOG[[#This Row],[DATA/HORA]],"mmmm"))</f>
        <v>Janeiro</v>
      </c>
      <c r="C687" s="34" t="str">
        <f>PROPER(TEXT(tbLOG[[#This Row],[DATA/HORA]],"dddd"))</f>
        <v>Sexta-Feira</v>
      </c>
      <c r="D687" s="3" t="s">
        <v>604</v>
      </c>
      <c r="E687" s="34" t="str">
        <f>IFERROR(VLOOKUP(tbLOG[[#This Row],[LOGIN]],tbMAPA[#All],2,0), "Não localizado")</f>
        <v>Renan Cazumba Tegani</v>
      </c>
      <c r="F687" s="34" t="str">
        <f>IFERROR(VLOOKUP(tbLOG[[#This Row],[LOGIN]],tbMAPA[#All],3,0), "Não localizado")</f>
        <v>Reginaldo Santana De Souza</v>
      </c>
      <c r="G687" s="3" t="s">
        <v>1211</v>
      </c>
      <c r="H687" s="3" t="s">
        <v>309</v>
      </c>
    </row>
    <row r="688" spans="1:8">
      <c r="A688" s="29">
        <v>42741.428136574075</v>
      </c>
      <c r="B688" s="29" t="str">
        <f>PROPER(TEXT(tbLOG[[#This Row],[DATA/HORA]],"mmmm"))</f>
        <v>Janeiro</v>
      </c>
      <c r="C688" s="34" t="str">
        <f>PROPER(TEXT(tbLOG[[#This Row],[DATA/HORA]],"dddd"))</f>
        <v>Sexta-Feira</v>
      </c>
      <c r="D688" s="3" t="s">
        <v>604</v>
      </c>
      <c r="E688" s="34" t="str">
        <f>IFERROR(VLOOKUP(tbLOG[[#This Row],[LOGIN]],tbMAPA[#All],2,0), "Não localizado")</f>
        <v>Renan Cazumba Tegani</v>
      </c>
      <c r="F688" s="34" t="str">
        <f>IFERROR(VLOOKUP(tbLOG[[#This Row],[LOGIN]],tbMAPA[#All],3,0), "Não localizado")</f>
        <v>Reginaldo Santana De Souza</v>
      </c>
      <c r="G688" s="3" t="s">
        <v>1211</v>
      </c>
      <c r="H688" s="3" t="s">
        <v>314</v>
      </c>
    </row>
    <row r="689" spans="1:8">
      <c r="A689" s="29">
        <v>42741.437118055554</v>
      </c>
      <c r="B689" s="29" t="str">
        <f>PROPER(TEXT(tbLOG[[#This Row],[DATA/HORA]],"mmmm"))</f>
        <v>Janeiro</v>
      </c>
      <c r="C689" s="34" t="str">
        <f>PROPER(TEXT(tbLOG[[#This Row],[DATA/HORA]],"dddd"))</f>
        <v>Sexta-Feira</v>
      </c>
      <c r="D689" s="3" t="s">
        <v>604</v>
      </c>
      <c r="E689" s="34" t="str">
        <f>IFERROR(VLOOKUP(tbLOG[[#This Row],[LOGIN]],tbMAPA[#All],2,0), "Não localizado")</f>
        <v>Renan Cazumba Tegani</v>
      </c>
      <c r="F689" s="34" t="str">
        <f>IFERROR(VLOOKUP(tbLOG[[#This Row],[LOGIN]],tbMAPA[#All],3,0), "Não localizado")</f>
        <v>Reginaldo Santana De Souza</v>
      </c>
      <c r="G689" s="3" t="s">
        <v>1211</v>
      </c>
      <c r="H689" s="3" t="s">
        <v>836</v>
      </c>
    </row>
    <row r="690" spans="1:8">
      <c r="A690" s="29">
        <v>42741.43712962963</v>
      </c>
      <c r="B690" s="29" t="str">
        <f>PROPER(TEXT(tbLOG[[#This Row],[DATA/HORA]],"mmmm"))</f>
        <v>Janeiro</v>
      </c>
      <c r="C690" s="34" t="str">
        <f>PROPER(TEXT(tbLOG[[#This Row],[DATA/HORA]],"dddd"))</f>
        <v>Sexta-Feira</v>
      </c>
      <c r="D690" s="3" t="s">
        <v>604</v>
      </c>
      <c r="E690" s="34" t="str">
        <f>IFERROR(VLOOKUP(tbLOG[[#This Row],[LOGIN]],tbMAPA[#All],2,0), "Não localizado")</f>
        <v>Renan Cazumba Tegani</v>
      </c>
      <c r="F690" s="34" t="str">
        <f>IFERROR(VLOOKUP(tbLOG[[#This Row],[LOGIN]],tbMAPA[#All],3,0), "Não localizado")</f>
        <v>Reginaldo Santana De Souza</v>
      </c>
      <c r="G690" s="3" t="s">
        <v>1211</v>
      </c>
      <c r="H690" s="3" t="s">
        <v>836</v>
      </c>
    </row>
    <row r="691" spans="1:8">
      <c r="A691" s="29">
        <v>42741.4371875</v>
      </c>
      <c r="B691" s="29" t="str">
        <f>PROPER(TEXT(tbLOG[[#This Row],[DATA/HORA]],"mmmm"))</f>
        <v>Janeiro</v>
      </c>
      <c r="C691" s="34" t="str">
        <f>PROPER(TEXT(tbLOG[[#This Row],[DATA/HORA]],"dddd"))</f>
        <v>Sexta-Feira</v>
      </c>
      <c r="D691" s="3" t="s">
        <v>604</v>
      </c>
      <c r="E691" s="34" t="str">
        <f>IFERROR(VLOOKUP(tbLOG[[#This Row],[LOGIN]],tbMAPA[#All],2,0), "Não localizado")</f>
        <v>Renan Cazumba Tegani</v>
      </c>
      <c r="F691" s="34" t="str">
        <f>IFERROR(VLOOKUP(tbLOG[[#This Row],[LOGIN]],tbMAPA[#All],3,0), "Não localizado")</f>
        <v>Reginaldo Santana De Souza</v>
      </c>
      <c r="G691" s="3" t="s">
        <v>1211</v>
      </c>
      <c r="H691" s="3" t="s">
        <v>836</v>
      </c>
    </row>
    <row r="692" spans="1:8">
      <c r="A692" s="29">
        <v>42741.439351851855</v>
      </c>
      <c r="B692" s="29" t="str">
        <f>PROPER(TEXT(tbLOG[[#This Row],[DATA/HORA]],"mmmm"))</f>
        <v>Janeiro</v>
      </c>
      <c r="C692" s="34" t="str">
        <f>PROPER(TEXT(tbLOG[[#This Row],[DATA/HORA]],"dddd"))</f>
        <v>Sexta-Feira</v>
      </c>
      <c r="D692" s="3" t="s">
        <v>604</v>
      </c>
      <c r="E692" s="34" t="str">
        <f>IFERROR(VLOOKUP(tbLOG[[#This Row],[LOGIN]],tbMAPA[#All],2,0), "Não localizado")</f>
        <v>Renan Cazumba Tegani</v>
      </c>
      <c r="F692" s="34" t="str">
        <f>IFERROR(VLOOKUP(tbLOG[[#This Row],[LOGIN]],tbMAPA[#All],3,0), "Não localizado")</f>
        <v>Reginaldo Santana De Souza</v>
      </c>
      <c r="G692" s="3" t="s">
        <v>1211</v>
      </c>
      <c r="H692" s="3" t="s">
        <v>836</v>
      </c>
    </row>
    <row r="693" spans="1:8">
      <c r="A693" s="29">
        <v>42741.439375000002</v>
      </c>
      <c r="B693" s="29" t="str">
        <f>PROPER(TEXT(tbLOG[[#This Row],[DATA/HORA]],"mmmm"))</f>
        <v>Janeiro</v>
      </c>
      <c r="C693" s="34" t="str">
        <f>PROPER(TEXT(tbLOG[[#This Row],[DATA/HORA]],"dddd"))</f>
        <v>Sexta-Feira</v>
      </c>
      <c r="D693" s="3" t="s">
        <v>604</v>
      </c>
      <c r="E693" s="34" t="str">
        <f>IFERROR(VLOOKUP(tbLOG[[#This Row],[LOGIN]],tbMAPA[#All],2,0), "Não localizado")</f>
        <v>Renan Cazumba Tegani</v>
      </c>
      <c r="F693" s="34" t="str">
        <f>IFERROR(VLOOKUP(tbLOG[[#This Row],[LOGIN]],tbMAPA[#All],3,0), "Não localizado")</f>
        <v>Reginaldo Santana De Souza</v>
      </c>
      <c r="G693" s="3" t="s">
        <v>1211</v>
      </c>
      <c r="H693" s="3" t="s">
        <v>836</v>
      </c>
    </row>
    <row r="694" spans="1:8">
      <c r="A694" s="29">
        <v>42741.43959490741</v>
      </c>
      <c r="B694" s="29" t="str">
        <f>PROPER(TEXT(tbLOG[[#This Row],[DATA/HORA]],"mmmm"))</f>
        <v>Janeiro</v>
      </c>
      <c r="C694" s="34" t="str">
        <f>PROPER(TEXT(tbLOG[[#This Row],[DATA/HORA]],"dddd"))</f>
        <v>Sexta-Feira</v>
      </c>
      <c r="D694" s="3" t="s">
        <v>604</v>
      </c>
      <c r="E694" s="34" t="str">
        <f>IFERROR(VLOOKUP(tbLOG[[#This Row],[LOGIN]],tbMAPA[#All],2,0), "Não localizado")</f>
        <v>Renan Cazumba Tegani</v>
      </c>
      <c r="F694" s="34" t="str">
        <f>IFERROR(VLOOKUP(tbLOG[[#This Row],[LOGIN]],tbMAPA[#All],3,0), "Não localizado")</f>
        <v>Reginaldo Santana De Souza</v>
      </c>
      <c r="G694" s="3" t="s">
        <v>1211</v>
      </c>
      <c r="H694" s="3" t="s">
        <v>836</v>
      </c>
    </row>
    <row r="695" spans="1:8">
      <c r="A695" s="29">
        <v>42741.443206018521</v>
      </c>
      <c r="B695" s="29" t="str">
        <f>PROPER(TEXT(tbLOG[[#This Row],[DATA/HORA]],"mmmm"))</f>
        <v>Janeiro</v>
      </c>
      <c r="C695" s="34" t="str">
        <f>PROPER(TEXT(tbLOG[[#This Row],[DATA/HORA]],"dddd"))</f>
        <v>Sexta-Feira</v>
      </c>
      <c r="D695" s="3" t="s">
        <v>604</v>
      </c>
      <c r="E695" s="34" t="str">
        <f>IFERROR(VLOOKUP(tbLOG[[#This Row],[LOGIN]],tbMAPA[#All],2,0), "Não localizado")</f>
        <v>Renan Cazumba Tegani</v>
      </c>
      <c r="F695" s="34" t="str">
        <f>IFERROR(VLOOKUP(tbLOG[[#This Row],[LOGIN]],tbMAPA[#All],3,0), "Não localizado")</f>
        <v>Reginaldo Santana De Souza</v>
      </c>
      <c r="G695" s="3" t="s">
        <v>1211</v>
      </c>
      <c r="H695" s="3" t="s">
        <v>836</v>
      </c>
    </row>
    <row r="696" spans="1:8">
      <c r="A696" s="29">
        <v>42741.443368055552</v>
      </c>
      <c r="B696" s="29" t="str">
        <f>PROPER(TEXT(tbLOG[[#This Row],[DATA/HORA]],"mmmm"))</f>
        <v>Janeiro</v>
      </c>
      <c r="C696" s="34" t="str">
        <f>PROPER(TEXT(tbLOG[[#This Row],[DATA/HORA]],"dddd"))</f>
        <v>Sexta-Feira</v>
      </c>
      <c r="D696" s="3" t="s">
        <v>604</v>
      </c>
      <c r="E696" s="34" t="str">
        <f>IFERROR(VLOOKUP(tbLOG[[#This Row],[LOGIN]],tbMAPA[#All],2,0), "Não localizado")</f>
        <v>Renan Cazumba Tegani</v>
      </c>
      <c r="F696" s="34" t="str">
        <f>IFERROR(VLOOKUP(tbLOG[[#This Row],[LOGIN]],tbMAPA[#All],3,0), "Não localizado")</f>
        <v>Reginaldo Santana De Souza</v>
      </c>
      <c r="G696" s="3" t="s">
        <v>1211</v>
      </c>
      <c r="H696" s="3" t="s">
        <v>836</v>
      </c>
    </row>
    <row r="697" spans="1:8">
      <c r="A697" s="29">
        <v>42741.443414351852</v>
      </c>
      <c r="B697" s="29" t="str">
        <f>PROPER(TEXT(tbLOG[[#This Row],[DATA/HORA]],"mmmm"))</f>
        <v>Janeiro</v>
      </c>
      <c r="C697" s="34" t="str">
        <f>PROPER(TEXT(tbLOG[[#This Row],[DATA/HORA]],"dddd"))</f>
        <v>Sexta-Feira</v>
      </c>
      <c r="D697" s="3" t="s">
        <v>604</v>
      </c>
      <c r="E697" s="34" t="str">
        <f>IFERROR(VLOOKUP(tbLOG[[#This Row],[LOGIN]],tbMAPA[#All],2,0), "Não localizado")</f>
        <v>Renan Cazumba Tegani</v>
      </c>
      <c r="F697" s="34" t="str">
        <f>IFERROR(VLOOKUP(tbLOG[[#This Row],[LOGIN]],tbMAPA[#All],3,0), "Não localizado")</f>
        <v>Reginaldo Santana De Souza</v>
      </c>
      <c r="G697" s="3" t="s">
        <v>1211</v>
      </c>
      <c r="H697" s="3" t="s">
        <v>836</v>
      </c>
    </row>
    <row r="698" spans="1:8">
      <c r="A698" s="29">
        <v>42741.447141203702</v>
      </c>
      <c r="B698" s="29" t="str">
        <f>PROPER(TEXT(tbLOG[[#This Row],[DATA/HORA]],"mmmm"))</f>
        <v>Janeiro</v>
      </c>
      <c r="C698" s="34" t="str">
        <f>PROPER(TEXT(tbLOG[[#This Row],[DATA/HORA]],"dddd"))</f>
        <v>Sexta-Feira</v>
      </c>
      <c r="D698" s="3" t="s">
        <v>604</v>
      </c>
      <c r="E698" s="34" t="str">
        <f>IFERROR(VLOOKUP(tbLOG[[#This Row],[LOGIN]],tbMAPA[#All],2,0), "Não localizado")</f>
        <v>Renan Cazumba Tegani</v>
      </c>
      <c r="F698" s="34" t="str">
        <f>IFERROR(VLOOKUP(tbLOG[[#This Row],[LOGIN]],tbMAPA[#All],3,0), "Não localizado")</f>
        <v>Reginaldo Santana De Souza</v>
      </c>
      <c r="G698" s="3" t="s">
        <v>1211</v>
      </c>
      <c r="H698" s="3" t="s">
        <v>836</v>
      </c>
    </row>
    <row r="699" spans="1:8">
      <c r="A699" s="29">
        <v>42741.447164351855</v>
      </c>
      <c r="B699" s="29" t="str">
        <f>PROPER(TEXT(tbLOG[[#This Row],[DATA/HORA]],"mmmm"))</f>
        <v>Janeiro</v>
      </c>
      <c r="C699" s="34" t="str">
        <f>PROPER(TEXT(tbLOG[[#This Row],[DATA/HORA]],"dddd"))</f>
        <v>Sexta-Feira</v>
      </c>
      <c r="D699" s="3" t="s">
        <v>604</v>
      </c>
      <c r="E699" s="34" t="str">
        <f>IFERROR(VLOOKUP(tbLOG[[#This Row],[LOGIN]],tbMAPA[#All],2,0), "Não localizado")</f>
        <v>Renan Cazumba Tegani</v>
      </c>
      <c r="F699" s="34" t="str">
        <f>IFERROR(VLOOKUP(tbLOG[[#This Row],[LOGIN]],tbMAPA[#All],3,0), "Não localizado")</f>
        <v>Reginaldo Santana De Souza</v>
      </c>
      <c r="G699" s="3" t="s">
        <v>1211</v>
      </c>
      <c r="H699" s="3" t="s">
        <v>836</v>
      </c>
    </row>
    <row r="700" spans="1:8">
      <c r="A700" s="29">
        <v>42741.447210648148</v>
      </c>
      <c r="B700" s="29" t="str">
        <f>PROPER(TEXT(tbLOG[[#This Row],[DATA/HORA]],"mmmm"))</f>
        <v>Janeiro</v>
      </c>
      <c r="C700" s="34" t="str">
        <f>PROPER(TEXT(tbLOG[[#This Row],[DATA/HORA]],"dddd"))</f>
        <v>Sexta-Feira</v>
      </c>
      <c r="D700" s="3" t="s">
        <v>604</v>
      </c>
      <c r="E700" s="34" t="str">
        <f>IFERROR(VLOOKUP(tbLOG[[#This Row],[LOGIN]],tbMAPA[#All],2,0), "Não localizado")</f>
        <v>Renan Cazumba Tegani</v>
      </c>
      <c r="F700" s="34" t="str">
        <f>IFERROR(VLOOKUP(tbLOG[[#This Row],[LOGIN]],tbMAPA[#All],3,0), "Não localizado")</f>
        <v>Reginaldo Santana De Souza</v>
      </c>
      <c r="G700" s="3" t="s">
        <v>1211</v>
      </c>
      <c r="H700" s="3" t="s">
        <v>836</v>
      </c>
    </row>
    <row r="701" spans="1:8">
      <c r="A701" s="29">
        <v>42741.450671296298</v>
      </c>
      <c r="B701" s="29" t="str">
        <f>PROPER(TEXT(tbLOG[[#This Row],[DATA/HORA]],"mmmm"))</f>
        <v>Janeiro</v>
      </c>
      <c r="C701" s="34" t="str">
        <f>PROPER(TEXT(tbLOG[[#This Row],[DATA/HORA]],"dddd"))</f>
        <v>Sexta-Feira</v>
      </c>
      <c r="D701" s="3" t="s">
        <v>604</v>
      </c>
      <c r="E701" s="34" t="str">
        <f>IFERROR(VLOOKUP(tbLOG[[#This Row],[LOGIN]],tbMAPA[#All],2,0), "Não localizado")</f>
        <v>Renan Cazumba Tegani</v>
      </c>
      <c r="F701" s="34" t="str">
        <f>IFERROR(VLOOKUP(tbLOG[[#This Row],[LOGIN]],tbMAPA[#All],3,0), "Não localizado")</f>
        <v>Reginaldo Santana De Souza</v>
      </c>
      <c r="G701" s="3" t="s">
        <v>1211</v>
      </c>
      <c r="H701" s="3" t="s">
        <v>836</v>
      </c>
    </row>
    <row r="702" spans="1:8">
      <c r="A702" s="29">
        <v>42741.450694444444</v>
      </c>
      <c r="B702" s="29" t="str">
        <f>PROPER(TEXT(tbLOG[[#This Row],[DATA/HORA]],"mmmm"))</f>
        <v>Janeiro</v>
      </c>
      <c r="C702" s="34" t="str">
        <f>PROPER(TEXT(tbLOG[[#This Row],[DATA/HORA]],"dddd"))</f>
        <v>Sexta-Feira</v>
      </c>
      <c r="D702" s="3" t="s">
        <v>604</v>
      </c>
      <c r="E702" s="34" t="str">
        <f>IFERROR(VLOOKUP(tbLOG[[#This Row],[LOGIN]],tbMAPA[#All],2,0), "Não localizado")</f>
        <v>Renan Cazumba Tegani</v>
      </c>
      <c r="F702" s="34" t="str">
        <f>IFERROR(VLOOKUP(tbLOG[[#This Row],[LOGIN]],tbMAPA[#All],3,0), "Não localizado")</f>
        <v>Reginaldo Santana De Souza</v>
      </c>
      <c r="G702" s="3" t="s">
        <v>1211</v>
      </c>
      <c r="H702" s="3" t="s">
        <v>836</v>
      </c>
    </row>
    <row r="703" spans="1:8">
      <c r="A703" s="29">
        <v>42741.450821759259</v>
      </c>
      <c r="B703" s="29" t="str">
        <f>PROPER(TEXT(tbLOG[[#This Row],[DATA/HORA]],"mmmm"))</f>
        <v>Janeiro</v>
      </c>
      <c r="C703" s="34" t="str">
        <f>PROPER(TEXT(tbLOG[[#This Row],[DATA/HORA]],"dddd"))</f>
        <v>Sexta-Feira</v>
      </c>
      <c r="D703" s="3" t="s">
        <v>604</v>
      </c>
      <c r="E703" s="34" t="str">
        <f>IFERROR(VLOOKUP(tbLOG[[#This Row],[LOGIN]],tbMAPA[#All],2,0), "Não localizado")</f>
        <v>Renan Cazumba Tegani</v>
      </c>
      <c r="F703" s="34" t="str">
        <f>IFERROR(VLOOKUP(tbLOG[[#This Row],[LOGIN]],tbMAPA[#All],3,0), "Não localizado")</f>
        <v>Reginaldo Santana De Souza</v>
      </c>
      <c r="G703" s="3" t="s">
        <v>1211</v>
      </c>
      <c r="H703" s="3" t="s">
        <v>836</v>
      </c>
    </row>
    <row r="704" spans="1:8">
      <c r="A704" s="29">
        <v>42741.453634259262</v>
      </c>
      <c r="B704" s="29" t="str">
        <f>PROPER(TEXT(tbLOG[[#This Row],[DATA/HORA]],"mmmm"))</f>
        <v>Janeiro</v>
      </c>
      <c r="C704" s="34" t="str">
        <f>PROPER(TEXT(tbLOG[[#This Row],[DATA/HORA]],"dddd"))</f>
        <v>Sexta-Feira</v>
      </c>
      <c r="D704" s="3" t="s">
        <v>604</v>
      </c>
      <c r="E704" s="34" t="str">
        <f>IFERROR(VLOOKUP(tbLOG[[#This Row],[LOGIN]],tbMAPA[#All],2,0), "Não localizado")</f>
        <v>Renan Cazumba Tegani</v>
      </c>
      <c r="F704" s="34" t="str">
        <f>IFERROR(VLOOKUP(tbLOG[[#This Row],[LOGIN]],tbMAPA[#All],3,0), "Não localizado")</f>
        <v>Reginaldo Santana De Souza</v>
      </c>
      <c r="G704" s="3" t="s">
        <v>1211</v>
      </c>
      <c r="H704" s="3" t="s">
        <v>836</v>
      </c>
    </row>
    <row r="705" spans="1:8">
      <c r="A705" s="29">
        <v>42741.453668981485</v>
      </c>
      <c r="B705" s="29" t="str">
        <f>PROPER(TEXT(tbLOG[[#This Row],[DATA/HORA]],"mmmm"))</f>
        <v>Janeiro</v>
      </c>
      <c r="C705" s="34" t="str">
        <f>PROPER(TEXT(tbLOG[[#This Row],[DATA/HORA]],"dddd"))</f>
        <v>Sexta-Feira</v>
      </c>
      <c r="D705" s="3" t="s">
        <v>604</v>
      </c>
      <c r="E705" s="34" t="str">
        <f>IFERROR(VLOOKUP(tbLOG[[#This Row],[LOGIN]],tbMAPA[#All],2,0), "Não localizado")</f>
        <v>Renan Cazumba Tegani</v>
      </c>
      <c r="F705" s="34" t="str">
        <f>IFERROR(VLOOKUP(tbLOG[[#This Row],[LOGIN]],tbMAPA[#All],3,0), "Não localizado")</f>
        <v>Reginaldo Santana De Souza</v>
      </c>
      <c r="G705" s="3" t="s">
        <v>1211</v>
      </c>
      <c r="H705" s="3" t="s">
        <v>836</v>
      </c>
    </row>
    <row r="706" spans="1:8">
      <c r="A706" s="29">
        <v>42741.453692129631</v>
      </c>
      <c r="B706" s="29" t="str">
        <f>PROPER(TEXT(tbLOG[[#This Row],[DATA/HORA]],"mmmm"))</f>
        <v>Janeiro</v>
      </c>
      <c r="C706" s="34" t="str">
        <f>PROPER(TEXT(tbLOG[[#This Row],[DATA/HORA]],"dddd"))</f>
        <v>Sexta-Feira</v>
      </c>
      <c r="D706" s="3" t="s">
        <v>604</v>
      </c>
      <c r="E706" s="34" t="str">
        <f>IFERROR(VLOOKUP(tbLOG[[#This Row],[LOGIN]],tbMAPA[#All],2,0), "Não localizado")</f>
        <v>Renan Cazumba Tegani</v>
      </c>
      <c r="F706" s="34" t="str">
        <f>IFERROR(VLOOKUP(tbLOG[[#This Row],[LOGIN]],tbMAPA[#All],3,0), "Não localizado")</f>
        <v>Reginaldo Santana De Souza</v>
      </c>
      <c r="G706" s="3" t="s">
        <v>1211</v>
      </c>
      <c r="H706" s="3" t="s">
        <v>836</v>
      </c>
    </row>
    <row r="707" spans="1:8">
      <c r="A707" s="29">
        <v>42741.453715277778</v>
      </c>
      <c r="B707" s="29" t="str">
        <f>PROPER(TEXT(tbLOG[[#This Row],[DATA/HORA]],"mmmm"))</f>
        <v>Janeiro</v>
      </c>
      <c r="C707" s="34" t="str">
        <f>PROPER(TEXT(tbLOG[[#This Row],[DATA/HORA]],"dddd"))</f>
        <v>Sexta-Feira</v>
      </c>
      <c r="D707" s="3" t="s">
        <v>604</v>
      </c>
      <c r="E707" s="34" t="str">
        <f>IFERROR(VLOOKUP(tbLOG[[#This Row],[LOGIN]],tbMAPA[#All],2,0), "Não localizado")</f>
        <v>Renan Cazumba Tegani</v>
      </c>
      <c r="F707" s="34" t="str">
        <f>IFERROR(VLOOKUP(tbLOG[[#This Row],[LOGIN]],tbMAPA[#All],3,0), "Não localizado")</f>
        <v>Reginaldo Santana De Souza</v>
      </c>
      <c r="G707" s="3" t="s">
        <v>1211</v>
      </c>
      <c r="H707" s="3" t="s">
        <v>836</v>
      </c>
    </row>
    <row r="708" spans="1:8">
      <c r="A708" s="29">
        <v>42741.456875000003</v>
      </c>
      <c r="B708" s="29" t="str">
        <f>PROPER(TEXT(tbLOG[[#This Row],[DATA/HORA]],"mmmm"))</f>
        <v>Janeiro</v>
      </c>
      <c r="C708" s="34" t="str">
        <f>PROPER(TEXT(tbLOG[[#This Row],[DATA/HORA]],"dddd"))</f>
        <v>Sexta-Feira</v>
      </c>
      <c r="D708" s="3" t="s">
        <v>604</v>
      </c>
      <c r="E708" s="34" t="str">
        <f>IFERROR(VLOOKUP(tbLOG[[#This Row],[LOGIN]],tbMAPA[#All],2,0), "Não localizado")</f>
        <v>Renan Cazumba Tegani</v>
      </c>
      <c r="F708" s="34" t="str">
        <f>IFERROR(VLOOKUP(tbLOG[[#This Row],[LOGIN]],tbMAPA[#All],3,0), "Não localizado")</f>
        <v>Reginaldo Santana De Souza</v>
      </c>
      <c r="G708" s="3" t="s">
        <v>1211</v>
      </c>
      <c r="H708" s="3" t="s">
        <v>836</v>
      </c>
    </row>
    <row r="709" spans="1:8">
      <c r="A709" s="29">
        <v>42741.456921296296</v>
      </c>
      <c r="B709" s="29" t="str">
        <f>PROPER(TEXT(tbLOG[[#This Row],[DATA/HORA]],"mmmm"))</f>
        <v>Janeiro</v>
      </c>
      <c r="C709" s="34" t="str">
        <f>PROPER(TEXT(tbLOG[[#This Row],[DATA/HORA]],"dddd"))</f>
        <v>Sexta-Feira</v>
      </c>
      <c r="D709" s="3" t="s">
        <v>604</v>
      </c>
      <c r="E709" s="34" t="str">
        <f>IFERROR(VLOOKUP(tbLOG[[#This Row],[LOGIN]],tbMAPA[#All],2,0), "Não localizado")</f>
        <v>Renan Cazumba Tegani</v>
      </c>
      <c r="F709" s="34" t="str">
        <f>IFERROR(VLOOKUP(tbLOG[[#This Row],[LOGIN]],tbMAPA[#All],3,0), "Não localizado")</f>
        <v>Reginaldo Santana De Souza</v>
      </c>
      <c r="G709" s="3" t="s">
        <v>1211</v>
      </c>
      <c r="H709" s="3" t="s">
        <v>836</v>
      </c>
    </row>
    <row r="710" spans="1:8">
      <c r="A710" s="29">
        <v>42741.456944444442</v>
      </c>
      <c r="B710" s="29" t="str">
        <f>PROPER(TEXT(tbLOG[[#This Row],[DATA/HORA]],"mmmm"))</f>
        <v>Janeiro</v>
      </c>
      <c r="C710" s="34" t="str">
        <f>PROPER(TEXT(tbLOG[[#This Row],[DATA/HORA]],"dddd"))</f>
        <v>Sexta-Feira</v>
      </c>
      <c r="D710" s="3" t="s">
        <v>604</v>
      </c>
      <c r="E710" s="34" t="str">
        <f>IFERROR(VLOOKUP(tbLOG[[#This Row],[LOGIN]],tbMAPA[#All],2,0), "Não localizado")</f>
        <v>Renan Cazumba Tegani</v>
      </c>
      <c r="F710" s="34" t="str">
        <f>IFERROR(VLOOKUP(tbLOG[[#This Row],[LOGIN]],tbMAPA[#All],3,0), "Não localizado")</f>
        <v>Reginaldo Santana De Souza</v>
      </c>
      <c r="G710" s="3" t="s">
        <v>1211</v>
      </c>
      <c r="H710" s="3" t="s">
        <v>836</v>
      </c>
    </row>
    <row r="711" spans="1:8">
      <c r="A711" s="29">
        <v>42741.457256944443</v>
      </c>
      <c r="B711" s="29" t="str">
        <f>PROPER(TEXT(tbLOG[[#This Row],[DATA/HORA]],"mmmm"))</f>
        <v>Janeiro</v>
      </c>
      <c r="C711" s="34" t="str">
        <f>PROPER(TEXT(tbLOG[[#This Row],[DATA/HORA]],"dddd"))</f>
        <v>Sexta-Feira</v>
      </c>
      <c r="D711" s="3" t="s">
        <v>604</v>
      </c>
      <c r="E711" s="34" t="str">
        <f>IFERROR(VLOOKUP(tbLOG[[#This Row],[LOGIN]],tbMAPA[#All],2,0), "Não localizado")</f>
        <v>Renan Cazumba Tegani</v>
      </c>
      <c r="F711" s="34" t="str">
        <f>IFERROR(VLOOKUP(tbLOG[[#This Row],[LOGIN]],tbMAPA[#All],3,0), "Não localizado")</f>
        <v>Reginaldo Santana De Souza</v>
      </c>
      <c r="G711" s="3" t="s">
        <v>1211</v>
      </c>
      <c r="H711" s="3" t="s">
        <v>836</v>
      </c>
    </row>
    <row r="712" spans="1:8">
      <c r="A712" s="29">
        <v>42741.462893518517</v>
      </c>
      <c r="B712" s="29" t="str">
        <f>PROPER(TEXT(tbLOG[[#This Row],[DATA/HORA]],"mmmm"))</f>
        <v>Janeiro</v>
      </c>
      <c r="C712" s="34" t="str">
        <f>PROPER(TEXT(tbLOG[[#This Row],[DATA/HORA]],"dddd"))</f>
        <v>Sexta-Feira</v>
      </c>
      <c r="D712" s="3" t="s">
        <v>604</v>
      </c>
      <c r="E712" s="34" t="str">
        <f>IFERROR(VLOOKUP(tbLOG[[#This Row],[LOGIN]],tbMAPA[#All],2,0), "Não localizado")</f>
        <v>Renan Cazumba Tegani</v>
      </c>
      <c r="F712" s="34" t="str">
        <f>IFERROR(VLOOKUP(tbLOG[[#This Row],[LOGIN]],tbMAPA[#All],3,0), "Não localizado")</f>
        <v>Reginaldo Santana De Souza</v>
      </c>
      <c r="G712" s="3" t="s">
        <v>1211</v>
      </c>
      <c r="H712" s="3" t="s">
        <v>836</v>
      </c>
    </row>
    <row r="713" spans="1:8">
      <c r="A713" s="29">
        <v>42741.463009259256</v>
      </c>
      <c r="B713" s="29" t="str">
        <f>PROPER(TEXT(tbLOG[[#This Row],[DATA/HORA]],"mmmm"))</f>
        <v>Janeiro</v>
      </c>
      <c r="C713" s="34" t="str">
        <f>PROPER(TEXT(tbLOG[[#This Row],[DATA/HORA]],"dddd"))</f>
        <v>Sexta-Feira</v>
      </c>
      <c r="D713" s="3" t="s">
        <v>604</v>
      </c>
      <c r="E713" s="34" t="str">
        <f>IFERROR(VLOOKUP(tbLOG[[#This Row],[LOGIN]],tbMAPA[#All],2,0), "Não localizado")</f>
        <v>Renan Cazumba Tegani</v>
      </c>
      <c r="F713" s="34" t="str">
        <f>IFERROR(VLOOKUP(tbLOG[[#This Row],[LOGIN]],tbMAPA[#All],3,0), "Não localizado")</f>
        <v>Reginaldo Santana De Souza</v>
      </c>
      <c r="G713" s="3" t="s">
        <v>1211</v>
      </c>
      <c r="H713" s="3" t="s">
        <v>836</v>
      </c>
    </row>
    <row r="714" spans="1:8">
      <c r="A714" s="29">
        <v>42741.463101851848</v>
      </c>
      <c r="B714" s="29" t="str">
        <f>PROPER(TEXT(tbLOG[[#This Row],[DATA/HORA]],"mmmm"))</f>
        <v>Janeiro</v>
      </c>
      <c r="C714" s="34" t="str">
        <f>PROPER(TEXT(tbLOG[[#This Row],[DATA/HORA]],"dddd"))</f>
        <v>Sexta-Feira</v>
      </c>
      <c r="D714" s="3" t="s">
        <v>604</v>
      </c>
      <c r="E714" s="34" t="str">
        <f>IFERROR(VLOOKUP(tbLOG[[#This Row],[LOGIN]],tbMAPA[#All],2,0), "Não localizado")</f>
        <v>Renan Cazumba Tegani</v>
      </c>
      <c r="F714" s="34" t="str">
        <f>IFERROR(VLOOKUP(tbLOG[[#This Row],[LOGIN]],tbMAPA[#All],3,0), "Não localizado")</f>
        <v>Reginaldo Santana De Souza</v>
      </c>
      <c r="G714" s="3" t="s">
        <v>1211</v>
      </c>
      <c r="H714" s="3" t="s">
        <v>836</v>
      </c>
    </row>
    <row r="715" spans="1:8">
      <c r="A715" s="29">
        <v>42741.463310185187</v>
      </c>
      <c r="B715" s="29" t="str">
        <f>PROPER(TEXT(tbLOG[[#This Row],[DATA/HORA]],"mmmm"))</f>
        <v>Janeiro</v>
      </c>
      <c r="C715" s="34" t="str">
        <f>PROPER(TEXT(tbLOG[[#This Row],[DATA/HORA]],"dddd"))</f>
        <v>Sexta-Feira</v>
      </c>
      <c r="D715" s="3" t="s">
        <v>604</v>
      </c>
      <c r="E715" s="34" t="str">
        <f>IFERROR(VLOOKUP(tbLOG[[#This Row],[LOGIN]],tbMAPA[#All],2,0), "Não localizado")</f>
        <v>Renan Cazumba Tegani</v>
      </c>
      <c r="F715" s="34" t="str">
        <f>IFERROR(VLOOKUP(tbLOG[[#This Row],[LOGIN]],tbMAPA[#All],3,0), "Não localizado")</f>
        <v>Reginaldo Santana De Souza</v>
      </c>
      <c r="G715" s="3" t="s">
        <v>1211</v>
      </c>
      <c r="H715" s="3" t="s">
        <v>836</v>
      </c>
    </row>
    <row r="716" spans="1:8">
      <c r="A716" s="29">
        <v>42741.46371527778</v>
      </c>
      <c r="B716" s="29" t="str">
        <f>PROPER(TEXT(tbLOG[[#This Row],[DATA/HORA]],"mmmm"))</f>
        <v>Janeiro</v>
      </c>
      <c r="C716" s="34" t="str">
        <f>PROPER(TEXT(tbLOG[[#This Row],[DATA/HORA]],"dddd"))</f>
        <v>Sexta-Feira</v>
      </c>
      <c r="D716" s="3" t="s">
        <v>604</v>
      </c>
      <c r="E716" s="34" t="str">
        <f>IFERROR(VLOOKUP(tbLOG[[#This Row],[LOGIN]],tbMAPA[#All],2,0), "Não localizado")</f>
        <v>Renan Cazumba Tegani</v>
      </c>
      <c r="F716" s="34" t="str">
        <f>IFERROR(VLOOKUP(tbLOG[[#This Row],[LOGIN]],tbMAPA[#All],3,0), "Não localizado")</f>
        <v>Reginaldo Santana De Souza</v>
      </c>
      <c r="G716" s="3" t="s">
        <v>1211</v>
      </c>
      <c r="H716" s="3" t="s">
        <v>836</v>
      </c>
    </row>
    <row r="717" spans="1:8">
      <c r="A717" s="29">
        <v>42741.475717592592</v>
      </c>
      <c r="B717" s="29" t="str">
        <f>PROPER(TEXT(tbLOG[[#This Row],[DATA/HORA]],"mmmm"))</f>
        <v>Janeiro</v>
      </c>
      <c r="C717" s="34" t="str">
        <f>PROPER(TEXT(tbLOG[[#This Row],[DATA/HORA]],"dddd"))</f>
        <v>Sexta-Feira</v>
      </c>
      <c r="D717" s="3" t="s">
        <v>604</v>
      </c>
      <c r="E717" s="34" t="str">
        <f>IFERROR(VLOOKUP(tbLOG[[#This Row],[LOGIN]],tbMAPA[#All],2,0), "Não localizado")</f>
        <v>Renan Cazumba Tegani</v>
      </c>
      <c r="F717" s="34" t="str">
        <f>IFERROR(VLOOKUP(tbLOG[[#This Row],[LOGIN]],tbMAPA[#All],3,0), "Não localizado")</f>
        <v>Reginaldo Santana De Souza</v>
      </c>
      <c r="G717" s="3" t="s">
        <v>1211</v>
      </c>
      <c r="H717" s="3" t="s">
        <v>836</v>
      </c>
    </row>
    <row r="718" spans="1:8">
      <c r="A718" s="29">
        <v>42741.476203703707</v>
      </c>
      <c r="B718" s="29" t="str">
        <f>PROPER(TEXT(tbLOG[[#This Row],[DATA/HORA]],"mmmm"))</f>
        <v>Janeiro</v>
      </c>
      <c r="C718" s="34" t="str">
        <f>PROPER(TEXT(tbLOG[[#This Row],[DATA/HORA]],"dddd"))</f>
        <v>Sexta-Feira</v>
      </c>
      <c r="D718" s="3" t="s">
        <v>604</v>
      </c>
      <c r="E718" s="34" t="str">
        <f>IFERROR(VLOOKUP(tbLOG[[#This Row],[LOGIN]],tbMAPA[#All],2,0), "Não localizado")</f>
        <v>Renan Cazumba Tegani</v>
      </c>
      <c r="F718" s="34" t="str">
        <f>IFERROR(VLOOKUP(tbLOG[[#This Row],[LOGIN]],tbMAPA[#All],3,0), "Não localizado")</f>
        <v>Reginaldo Santana De Souza</v>
      </c>
      <c r="G718" s="3" t="s">
        <v>1211</v>
      </c>
      <c r="H718" s="3" t="s">
        <v>291</v>
      </c>
    </row>
    <row r="719" spans="1:8">
      <c r="A719" s="29">
        <v>42741.476203703707</v>
      </c>
      <c r="B719" s="29" t="str">
        <f>PROPER(TEXT(tbLOG[[#This Row],[DATA/HORA]],"mmmm"))</f>
        <v>Janeiro</v>
      </c>
      <c r="C719" s="34" t="str">
        <f>PROPER(TEXT(tbLOG[[#This Row],[DATA/HORA]],"dddd"))</f>
        <v>Sexta-Feira</v>
      </c>
      <c r="D719" s="3" t="s">
        <v>604</v>
      </c>
      <c r="E719" s="34" t="str">
        <f>IFERROR(VLOOKUP(tbLOG[[#This Row],[LOGIN]],tbMAPA[#All],2,0), "Não localizado")</f>
        <v>Renan Cazumba Tegani</v>
      </c>
      <c r="F719" s="34" t="str">
        <f>IFERROR(VLOOKUP(tbLOG[[#This Row],[LOGIN]],tbMAPA[#All],3,0), "Não localizado")</f>
        <v>Reginaldo Santana De Souza</v>
      </c>
      <c r="G719" s="3" t="s">
        <v>1211</v>
      </c>
      <c r="H719" s="3" t="s">
        <v>290</v>
      </c>
    </row>
    <row r="720" spans="1:8">
      <c r="A720" s="29">
        <v>42741.476435185185</v>
      </c>
      <c r="B720" s="29" t="str">
        <f>PROPER(TEXT(tbLOG[[#This Row],[DATA/HORA]],"mmmm"))</f>
        <v>Janeiro</v>
      </c>
      <c r="C720" s="34" t="str">
        <f>PROPER(TEXT(tbLOG[[#This Row],[DATA/HORA]],"dddd"))</f>
        <v>Sexta-Feira</v>
      </c>
      <c r="D720" s="3" t="s">
        <v>604</v>
      </c>
      <c r="E720" s="34" t="str">
        <f>IFERROR(VLOOKUP(tbLOG[[#This Row],[LOGIN]],tbMAPA[#All],2,0), "Não localizado")</f>
        <v>Renan Cazumba Tegani</v>
      </c>
      <c r="F720" s="34" t="str">
        <f>IFERROR(VLOOKUP(tbLOG[[#This Row],[LOGIN]],tbMAPA[#All],3,0), "Não localizado")</f>
        <v>Reginaldo Santana De Souza</v>
      </c>
      <c r="G720" s="3" t="s">
        <v>1211</v>
      </c>
      <c r="H720" s="3" t="s">
        <v>994</v>
      </c>
    </row>
    <row r="721" spans="1:8">
      <c r="A721" s="29">
        <v>42741.480462962965</v>
      </c>
      <c r="B721" s="29" t="str">
        <f>PROPER(TEXT(tbLOG[[#This Row],[DATA/HORA]],"mmmm"))</f>
        <v>Janeiro</v>
      </c>
      <c r="C721" s="34" t="str">
        <f>PROPER(TEXT(tbLOG[[#This Row],[DATA/HORA]],"dddd"))</f>
        <v>Sexta-Feira</v>
      </c>
      <c r="D721" s="3" t="s">
        <v>604</v>
      </c>
      <c r="E721" s="34" t="str">
        <f>IFERROR(VLOOKUP(tbLOG[[#This Row],[LOGIN]],tbMAPA[#All],2,0), "Não localizado")</f>
        <v>Renan Cazumba Tegani</v>
      </c>
      <c r="F721" s="34" t="str">
        <f>IFERROR(VLOOKUP(tbLOG[[#This Row],[LOGIN]],tbMAPA[#All],3,0), "Não localizado")</f>
        <v>Reginaldo Santana De Souza</v>
      </c>
      <c r="G721" s="3" t="s">
        <v>1211</v>
      </c>
      <c r="H721" s="3" t="s">
        <v>836</v>
      </c>
    </row>
    <row r="722" spans="1:8">
      <c r="A722" s="29">
        <v>42741.480486111112</v>
      </c>
      <c r="B722" s="29" t="str">
        <f>PROPER(TEXT(tbLOG[[#This Row],[DATA/HORA]],"mmmm"))</f>
        <v>Janeiro</v>
      </c>
      <c r="C722" s="34" t="str">
        <f>PROPER(TEXT(tbLOG[[#This Row],[DATA/HORA]],"dddd"))</f>
        <v>Sexta-Feira</v>
      </c>
      <c r="D722" s="3" t="s">
        <v>604</v>
      </c>
      <c r="E722" s="34" t="str">
        <f>IFERROR(VLOOKUP(tbLOG[[#This Row],[LOGIN]],tbMAPA[#All],2,0), "Não localizado")</f>
        <v>Renan Cazumba Tegani</v>
      </c>
      <c r="F722" s="34" t="str">
        <f>IFERROR(VLOOKUP(tbLOG[[#This Row],[LOGIN]],tbMAPA[#All],3,0), "Não localizado")</f>
        <v>Reginaldo Santana De Souza</v>
      </c>
      <c r="G722" s="3" t="s">
        <v>1211</v>
      </c>
      <c r="H722" s="3" t="s">
        <v>836</v>
      </c>
    </row>
    <row r="723" spans="1:8">
      <c r="A723" s="29">
        <v>42741.480810185189</v>
      </c>
      <c r="B723" s="29" t="str">
        <f>PROPER(TEXT(tbLOG[[#This Row],[DATA/HORA]],"mmmm"))</f>
        <v>Janeiro</v>
      </c>
      <c r="C723" s="34" t="str">
        <f>PROPER(TEXT(tbLOG[[#This Row],[DATA/HORA]],"dddd"))</f>
        <v>Sexta-Feira</v>
      </c>
      <c r="D723" s="3" t="s">
        <v>604</v>
      </c>
      <c r="E723" s="34" t="str">
        <f>IFERROR(VLOOKUP(tbLOG[[#This Row],[LOGIN]],tbMAPA[#All],2,0), "Não localizado")</f>
        <v>Renan Cazumba Tegani</v>
      </c>
      <c r="F723" s="34" t="str">
        <f>IFERROR(VLOOKUP(tbLOG[[#This Row],[LOGIN]],tbMAPA[#All],3,0), "Não localizado")</f>
        <v>Reginaldo Santana De Souza</v>
      </c>
      <c r="G723" s="3" t="s">
        <v>1211</v>
      </c>
      <c r="H723" s="3" t="s">
        <v>836</v>
      </c>
    </row>
    <row r="724" spans="1:8">
      <c r="A724" s="29">
        <v>42741.48097222222</v>
      </c>
      <c r="B724" s="29" t="str">
        <f>PROPER(TEXT(tbLOG[[#This Row],[DATA/HORA]],"mmmm"))</f>
        <v>Janeiro</v>
      </c>
      <c r="C724" s="34" t="str">
        <f>PROPER(TEXT(tbLOG[[#This Row],[DATA/HORA]],"dddd"))</f>
        <v>Sexta-Feira</v>
      </c>
      <c r="D724" s="3" t="s">
        <v>604</v>
      </c>
      <c r="E724" s="34" t="str">
        <f>IFERROR(VLOOKUP(tbLOG[[#This Row],[LOGIN]],tbMAPA[#All],2,0), "Não localizado")</f>
        <v>Renan Cazumba Tegani</v>
      </c>
      <c r="F724" s="34" t="str">
        <f>IFERROR(VLOOKUP(tbLOG[[#This Row],[LOGIN]],tbMAPA[#All],3,0), "Não localizado")</f>
        <v>Reginaldo Santana De Souza</v>
      </c>
      <c r="G724" s="3" t="s">
        <v>1211</v>
      </c>
      <c r="H724" s="3" t="s">
        <v>836</v>
      </c>
    </row>
    <row r="725" spans="1:8">
      <c r="A725" s="29">
        <v>42741.483136574076</v>
      </c>
      <c r="B725" s="29" t="str">
        <f>PROPER(TEXT(tbLOG[[#This Row],[DATA/HORA]],"mmmm"))</f>
        <v>Janeiro</v>
      </c>
      <c r="C725" s="34" t="str">
        <f>PROPER(TEXT(tbLOG[[#This Row],[DATA/HORA]],"dddd"))</f>
        <v>Sexta-Feira</v>
      </c>
      <c r="D725" s="3" t="s">
        <v>604</v>
      </c>
      <c r="E725" s="34" t="str">
        <f>IFERROR(VLOOKUP(tbLOG[[#This Row],[LOGIN]],tbMAPA[#All],2,0), "Não localizado")</f>
        <v>Renan Cazumba Tegani</v>
      </c>
      <c r="F725" s="34" t="str">
        <f>IFERROR(VLOOKUP(tbLOG[[#This Row],[LOGIN]],tbMAPA[#All],3,0), "Não localizado")</f>
        <v>Reginaldo Santana De Souza</v>
      </c>
      <c r="G725" s="3" t="s">
        <v>1211</v>
      </c>
      <c r="H725" s="3" t="s">
        <v>836</v>
      </c>
    </row>
    <row r="726" spans="1:8">
      <c r="A726" s="29">
        <v>42741.483148148145</v>
      </c>
      <c r="B726" s="29" t="str">
        <f>PROPER(TEXT(tbLOG[[#This Row],[DATA/HORA]],"mmmm"))</f>
        <v>Janeiro</v>
      </c>
      <c r="C726" s="34" t="str">
        <f>PROPER(TEXT(tbLOG[[#This Row],[DATA/HORA]],"dddd"))</f>
        <v>Sexta-Feira</v>
      </c>
      <c r="D726" s="3" t="s">
        <v>604</v>
      </c>
      <c r="E726" s="34" t="str">
        <f>IFERROR(VLOOKUP(tbLOG[[#This Row],[LOGIN]],tbMAPA[#All],2,0), "Não localizado")</f>
        <v>Renan Cazumba Tegani</v>
      </c>
      <c r="F726" s="34" t="str">
        <f>IFERROR(VLOOKUP(tbLOG[[#This Row],[LOGIN]],tbMAPA[#All],3,0), "Não localizado")</f>
        <v>Reginaldo Santana De Souza</v>
      </c>
      <c r="G726" s="3" t="s">
        <v>1211</v>
      </c>
      <c r="H726" s="3" t="s">
        <v>836</v>
      </c>
    </row>
    <row r="727" spans="1:8">
      <c r="A727" s="29">
        <v>42741.483819444446</v>
      </c>
      <c r="B727" s="29" t="str">
        <f>PROPER(TEXT(tbLOG[[#This Row],[DATA/HORA]],"mmmm"))</f>
        <v>Janeiro</v>
      </c>
      <c r="C727" s="34" t="str">
        <f>PROPER(TEXT(tbLOG[[#This Row],[DATA/HORA]],"dddd"))</f>
        <v>Sexta-Feira</v>
      </c>
      <c r="D727" s="3" t="s">
        <v>604</v>
      </c>
      <c r="E727" s="34" t="str">
        <f>IFERROR(VLOOKUP(tbLOG[[#This Row],[LOGIN]],tbMAPA[#All],2,0), "Não localizado")</f>
        <v>Renan Cazumba Tegani</v>
      </c>
      <c r="F727" s="34" t="str">
        <f>IFERROR(VLOOKUP(tbLOG[[#This Row],[LOGIN]],tbMAPA[#All],3,0), "Não localizado")</f>
        <v>Reginaldo Santana De Souza</v>
      </c>
      <c r="G727" s="3" t="s">
        <v>1211</v>
      </c>
      <c r="H727" s="3" t="s">
        <v>836</v>
      </c>
    </row>
    <row r="728" spans="1:8">
      <c r="A728" s="29">
        <v>42741.486944444441</v>
      </c>
      <c r="B728" s="29" t="str">
        <f>PROPER(TEXT(tbLOG[[#This Row],[DATA/HORA]],"mmmm"))</f>
        <v>Janeiro</v>
      </c>
      <c r="C728" s="34" t="str">
        <f>PROPER(TEXT(tbLOG[[#This Row],[DATA/HORA]],"dddd"))</f>
        <v>Sexta-Feira</v>
      </c>
      <c r="D728" s="3" t="s">
        <v>604</v>
      </c>
      <c r="E728" s="34" t="str">
        <f>IFERROR(VLOOKUP(tbLOG[[#This Row],[LOGIN]],tbMAPA[#All],2,0), "Não localizado")</f>
        <v>Renan Cazumba Tegani</v>
      </c>
      <c r="F728" s="34" t="str">
        <f>IFERROR(VLOOKUP(tbLOG[[#This Row],[LOGIN]],tbMAPA[#All],3,0), "Não localizado")</f>
        <v>Reginaldo Santana De Souza</v>
      </c>
      <c r="G728" s="3" t="s">
        <v>1211</v>
      </c>
      <c r="H728" s="3" t="s">
        <v>836</v>
      </c>
    </row>
    <row r="729" spans="1:8">
      <c r="A729" s="29">
        <v>42741.489270833335</v>
      </c>
      <c r="B729" s="29" t="str">
        <f>PROPER(TEXT(tbLOG[[#This Row],[DATA/HORA]],"mmmm"))</f>
        <v>Janeiro</v>
      </c>
      <c r="C729" s="34" t="str">
        <f>PROPER(TEXT(tbLOG[[#This Row],[DATA/HORA]],"dddd"))</f>
        <v>Sexta-Feira</v>
      </c>
      <c r="D729" s="3" t="s">
        <v>604</v>
      </c>
      <c r="E729" s="34" t="str">
        <f>IFERROR(VLOOKUP(tbLOG[[#This Row],[LOGIN]],tbMAPA[#All],2,0), "Não localizado")</f>
        <v>Renan Cazumba Tegani</v>
      </c>
      <c r="F729" s="34" t="str">
        <f>IFERROR(VLOOKUP(tbLOG[[#This Row],[LOGIN]],tbMAPA[#All],3,0), "Não localizado")</f>
        <v>Reginaldo Santana De Souza</v>
      </c>
      <c r="G729" s="3" t="s">
        <v>1211</v>
      </c>
      <c r="H729" s="3" t="s">
        <v>836</v>
      </c>
    </row>
    <row r="730" spans="1:8">
      <c r="A730" s="29">
        <v>42741.489664351851</v>
      </c>
      <c r="B730" s="29" t="str">
        <f>PROPER(TEXT(tbLOG[[#This Row],[DATA/HORA]],"mmmm"))</f>
        <v>Janeiro</v>
      </c>
      <c r="C730" s="34" t="str">
        <f>PROPER(TEXT(tbLOG[[#This Row],[DATA/HORA]],"dddd"))</f>
        <v>Sexta-Feira</v>
      </c>
      <c r="D730" s="3" t="s">
        <v>604</v>
      </c>
      <c r="E730" s="34" t="str">
        <f>IFERROR(VLOOKUP(tbLOG[[#This Row],[LOGIN]],tbMAPA[#All],2,0), "Não localizado")</f>
        <v>Renan Cazumba Tegani</v>
      </c>
      <c r="F730" s="34" t="str">
        <f>IFERROR(VLOOKUP(tbLOG[[#This Row],[LOGIN]],tbMAPA[#All],3,0), "Não localizado")</f>
        <v>Reginaldo Santana De Souza</v>
      </c>
      <c r="G730" s="3" t="s">
        <v>1211</v>
      </c>
      <c r="H730" s="3" t="s">
        <v>836</v>
      </c>
    </row>
    <row r="731" spans="1:8">
      <c r="A731" s="29">
        <v>42741.490266203706</v>
      </c>
      <c r="B731" s="29" t="str">
        <f>PROPER(TEXT(tbLOG[[#This Row],[DATA/HORA]],"mmmm"))</f>
        <v>Janeiro</v>
      </c>
      <c r="C731" s="34" t="str">
        <f>PROPER(TEXT(tbLOG[[#This Row],[DATA/HORA]],"dddd"))</f>
        <v>Sexta-Feira</v>
      </c>
      <c r="D731" s="3" t="s">
        <v>604</v>
      </c>
      <c r="E731" s="34" t="str">
        <f>IFERROR(VLOOKUP(tbLOG[[#This Row],[LOGIN]],tbMAPA[#All],2,0), "Não localizado")</f>
        <v>Renan Cazumba Tegani</v>
      </c>
      <c r="F731" s="34" t="str">
        <f>IFERROR(VLOOKUP(tbLOG[[#This Row],[LOGIN]],tbMAPA[#All],3,0), "Não localizado")</f>
        <v>Reginaldo Santana De Souza</v>
      </c>
      <c r="G731" s="3" t="s">
        <v>1211</v>
      </c>
      <c r="H731" s="3" t="s">
        <v>836</v>
      </c>
    </row>
    <row r="732" spans="1:8">
      <c r="A732" s="29">
        <v>42741.490289351852</v>
      </c>
      <c r="B732" s="29" t="str">
        <f>PROPER(TEXT(tbLOG[[#This Row],[DATA/HORA]],"mmmm"))</f>
        <v>Janeiro</v>
      </c>
      <c r="C732" s="34" t="str">
        <f>PROPER(TEXT(tbLOG[[#This Row],[DATA/HORA]],"dddd"))</f>
        <v>Sexta-Feira</v>
      </c>
      <c r="D732" s="3" t="s">
        <v>604</v>
      </c>
      <c r="E732" s="34" t="str">
        <f>IFERROR(VLOOKUP(tbLOG[[#This Row],[LOGIN]],tbMAPA[#All],2,0), "Não localizado")</f>
        <v>Renan Cazumba Tegani</v>
      </c>
      <c r="F732" s="34" t="str">
        <f>IFERROR(VLOOKUP(tbLOG[[#This Row],[LOGIN]],tbMAPA[#All],3,0), "Não localizado")</f>
        <v>Reginaldo Santana De Souza</v>
      </c>
      <c r="G732" s="3" t="s">
        <v>1211</v>
      </c>
      <c r="H732" s="3" t="s">
        <v>836</v>
      </c>
    </row>
    <row r="733" spans="1:8">
      <c r="A733" s="29">
        <v>42741.490358796298</v>
      </c>
      <c r="B733" s="29" t="str">
        <f>PROPER(TEXT(tbLOG[[#This Row],[DATA/HORA]],"mmmm"))</f>
        <v>Janeiro</v>
      </c>
      <c r="C733" s="34" t="str">
        <f>PROPER(TEXT(tbLOG[[#This Row],[DATA/HORA]],"dddd"))</f>
        <v>Sexta-Feira</v>
      </c>
      <c r="D733" s="3" t="s">
        <v>604</v>
      </c>
      <c r="E733" s="34" t="str">
        <f>IFERROR(VLOOKUP(tbLOG[[#This Row],[LOGIN]],tbMAPA[#All],2,0), "Não localizado")</f>
        <v>Renan Cazumba Tegani</v>
      </c>
      <c r="F733" s="34" t="str">
        <f>IFERROR(VLOOKUP(tbLOG[[#This Row],[LOGIN]],tbMAPA[#All],3,0), "Não localizado")</f>
        <v>Reginaldo Santana De Souza</v>
      </c>
      <c r="G733" s="3" t="s">
        <v>1211</v>
      </c>
      <c r="H733" s="3" t="s">
        <v>836</v>
      </c>
    </row>
    <row r="734" spans="1:8">
      <c r="A734" s="29">
        <v>42741.49486111111</v>
      </c>
      <c r="B734" s="29" t="str">
        <f>PROPER(TEXT(tbLOG[[#This Row],[DATA/HORA]],"mmmm"))</f>
        <v>Janeiro</v>
      </c>
      <c r="C734" s="34" t="str">
        <f>PROPER(TEXT(tbLOG[[#This Row],[DATA/HORA]],"dddd"))</f>
        <v>Sexta-Feira</v>
      </c>
      <c r="D734" s="3" t="s">
        <v>604</v>
      </c>
      <c r="E734" s="34" t="str">
        <f>IFERROR(VLOOKUP(tbLOG[[#This Row],[LOGIN]],tbMAPA[#All],2,0), "Não localizado")</f>
        <v>Renan Cazumba Tegani</v>
      </c>
      <c r="F734" s="34" t="str">
        <f>IFERROR(VLOOKUP(tbLOG[[#This Row],[LOGIN]],tbMAPA[#All],3,0), "Não localizado")</f>
        <v>Reginaldo Santana De Souza</v>
      </c>
      <c r="G734" s="3" t="s">
        <v>1211</v>
      </c>
      <c r="H734" s="3" t="s">
        <v>836</v>
      </c>
    </row>
    <row r="735" spans="1:8">
      <c r="A735" s="29">
        <v>42741.499594907407</v>
      </c>
      <c r="B735" s="29" t="str">
        <f>PROPER(TEXT(tbLOG[[#This Row],[DATA/HORA]],"mmmm"))</f>
        <v>Janeiro</v>
      </c>
      <c r="C735" s="34" t="str">
        <f>PROPER(TEXT(tbLOG[[#This Row],[DATA/HORA]],"dddd"))</f>
        <v>Sexta-Feira</v>
      </c>
      <c r="D735" s="3" t="s">
        <v>604</v>
      </c>
      <c r="E735" s="34" t="str">
        <f>IFERROR(VLOOKUP(tbLOG[[#This Row],[LOGIN]],tbMAPA[#All],2,0), "Não localizado")</f>
        <v>Renan Cazumba Tegani</v>
      </c>
      <c r="F735" s="34" t="str">
        <f>IFERROR(VLOOKUP(tbLOG[[#This Row],[LOGIN]],tbMAPA[#All],3,0), "Não localizado")</f>
        <v>Reginaldo Santana De Souza</v>
      </c>
      <c r="G735" s="3" t="s">
        <v>1211</v>
      </c>
      <c r="H735" s="3" t="s">
        <v>836</v>
      </c>
    </row>
    <row r="736" spans="1:8">
      <c r="A736" s="29">
        <v>42741.499652777777</v>
      </c>
      <c r="B736" s="29" t="str">
        <f>PROPER(TEXT(tbLOG[[#This Row],[DATA/HORA]],"mmmm"))</f>
        <v>Janeiro</v>
      </c>
      <c r="C736" s="34" t="str">
        <f>PROPER(TEXT(tbLOG[[#This Row],[DATA/HORA]],"dddd"))</f>
        <v>Sexta-Feira</v>
      </c>
      <c r="D736" s="3" t="s">
        <v>604</v>
      </c>
      <c r="E736" s="34" t="str">
        <f>IFERROR(VLOOKUP(tbLOG[[#This Row],[LOGIN]],tbMAPA[#All],2,0), "Não localizado")</f>
        <v>Renan Cazumba Tegani</v>
      </c>
      <c r="F736" s="34" t="str">
        <f>IFERROR(VLOOKUP(tbLOG[[#This Row],[LOGIN]],tbMAPA[#All],3,0), "Não localizado")</f>
        <v>Reginaldo Santana De Souza</v>
      </c>
      <c r="G736" s="3" t="s">
        <v>1211</v>
      </c>
      <c r="H736" s="3" t="s">
        <v>836</v>
      </c>
    </row>
    <row r="737" spans="1:8">
      <c r="A737" s="29">
        <v>42741.499722222223</v>
      </c>
      <c r="B737" s="29" t="str">
        <f>PROPER(TEXT(tbLOG[[#This Row],[DATA/HORA]],"mmmm"))</f>
        <v>Janeiro</v>
      </c>
      <c r="C737" s="34" t="str">
        <f>PROPER(TEXT(tbLOG[[#This Row],[DATA/HORA]],"dddd"))</f>
        <v>Sexta-Feira</v>
      </c>
      <c r="D737" s="3" t="s">
        <v>604</v>
      </c>
      <c r="E737" s="34" t="str">
        <f>IFERROR(VLOOKUP(tbLOG[[#This Row],[LOGIN]],tbMAPA[#All],2,0), "Não localizado")</f>
        <v>Renan Cazumba Tegani</v>
      </c>
      <c r="F737" s="34" t="str">
        <f>IFERROR(VLOOKUP(tbLOG[[#This Row],[LOGIN]],tbMAPA[#All],3,0), "Não localizado")</f>
        <v>Reginaldo Santana De Souza</v>
      </c>
      <c r="G737" s="3" t="s">
        <v>1211</v>
      </c>
      <c r="H737" s="3" t="s">
        <v>836</v>
      </c>
    </row>
    <row r="738" spans="1:8">
      <c r="A738" s="29">
        <v>42741.503310185188</v>
      </c>
      <c r="B738" s="29" t="str">
        <f>PROPER(TEXT(tbLOG[[#This Row],[DATA/HORA]],"mmmm"))</f>
        <v>Janeiro</v>
      </c>
      <c r="C738" s="34" t="str">
        <f>PROPER(TEXT(tbLOG[[#This Row],[DATA/HORA]],"dddd"))</f>
        <v>Sexta-Feira</v>
      </c>
      <c r="D738" s="3" t="s">
        <v>604</v>
      </c>
      <c r="E738" s="34" t="str">
        <f>IFERROR(VLOOKUP(tbLOG[[#This Row],[LOGIN]],tbMAPA[#All],2,0), "Não localizado")</f>
        <v>Renan Cazumba Tegani</v>
      </c>
      <c r="F738" s="34" t="str">
        <f>IFERROR(VLOOKUP(tbLOG[[#This Row],[LOGIN]],tbMAPA[#All],3,0), "Não localizado")</f>
        <v>Reginaldo Santana De Souza</v>
      </c>
      <c r="G738" s="3" t="s">
        <v>1211</v>
      </c>
      <c r="H738" s="3" t="s">
        <v>836</v>
      </c>
    </row>
    <row r="739" spans="1:8">
      <c r="A739" s="29">
        <v>42741.503321759257</v>
      </c>
      <c r="B739" s="29" t="str">
        <f>PROPER(TEXT(tbLOG[[#This Row],[DATA/HORA]],"mmmm"))</f>
        <v>Janeiro</v>
      </c>
      <c r="C739" s="34" t="str">
        <f>PROPER(TEXT(tbLOG[[#This Row],[DATA/HORA]],"dddd"))</f>
        <v>Sexta-Feira</v>
      </c>
      <c r="D739" s="3" t="s">
        <v>604</v>
      </c>
      <c r="E739" s="34" t="str">
        <f>IFERROR(VLOOKUP(tbLOG[[#This Row],[LOGIN]],tbMAPA[#All],2,0), "Não localizado")</f>
        <v>Renan Cazumba Tegani</v>
      </c>
      <c r="F739" s="34" t="str">
        <f>IFERROR(VLOOKUP(tbLOG[[#This Row],[LOGIN]],tbMAPA[#All],3,0), "Não localizado")</f>
        <v>Reginaldo Santana De Souza</v>
      </c>
      <c r="G739" s="3" t="s">
        <v>1211</v>
      </c>
      <c r="H739" s="3" t="s">
        <v>836</v>
      </c>
    </row>
    <row r="740" spans="1:8">
      <c r="A740" s="29">
        <v>42741.503368055557</v>
      </c>
      <c r="B740" s="29" t="str">
        <f>PROPER(TEXT(tbLOG[[#This Row],[DATA/HORA]],"mmmm"))</f>
        <v>Janeiro</v>
      </c>
      <c r="C740" s="34" t="str">
        <f>PROPER(TEXT(tbLOG[[#This Row],[DATA/HORA]],"dddd"))</f>
        <v>Sexta-Feira</v>
      </c>
      <c r="D740" s="3" t="s">
        <v>604</v>
      </c>
      <c r="E740" s="34" t="str">
        <f>IFERROR(VLOOKUP(tbLOG[[#This Row],[LOGIN]],tbMAPA[#All],2,0), "Não localizado")</f>
        <v>Renan Cazumba Tegani</v>
      </c>
      <c r="F740" s="34" t="str">
        <f>IFERROR(VLOOKUP(tbLOG[[#This Row],[LOGIN]],tbMAPA[#All],3,0), "Não localizado")</f>
        <v>Reginaldo Santana De Souza</v>
      </c>
      <c r="G740" s="3" t="s">
        <v>1211</v>
      </c>
      <c r="H740" s="3" t="s">
        <v>836</v>
      </c>
    </row>
    <row r="741" spans="1:8">
      <c r="A741" s="29">
        <v>42741.506261574075</v>
      </c>
      <c r="B741" s="29" t="str">
        <f>PROPER(TEXT(tbLOG[[#This Row],[DATA/HORA]],"mmmm"))</f>
        <v>Janeiro</v>
      </c>
      <c r="C741" s="34" t="str">
        <f>PROPER(TEXT(tbLOG[[#This Row],[DATA/HORA]],"dddd"))</f>
        <v>Sexta-Feira</v>
      </c>
      <c r="D741" s="3" t="s">
        <v>604</v>
      </c>
      <c r="E741" s="34" t="str">
        <f>IFERROR(VLOOKUP(tbLOG[[#This Row],[LOGIN]],tbMAPA[#All],2,0), "Não localizado")</f>
        <v>Renan Cazumba Tegani</v>
      </c>
      <c r="F741" s="34" t="str">
        <f>IFERROR(VLOOKUP(tbLOG[[#This Row],[LOGIN]],tbMAPA[#All],3,0), "Não localizado")</f>
        <v>Reginaldo Santana De Souza</v>
      </c>
      <c r="G741" s="3" t="s">
        <v>1211</v>
      </c>
      <c r="H741" s="3" t="s">
        <v>836</v>
      </c>
    </row>
    <row r="742" spans="1:8">
      <c r="A742" s="29">
        <v>42741.511053240742</v>
      </c>
      <c r="B742" s="29" t="str">
        <f>PROPER(TEXT(tbLOG[[#This Row],[DATA/HORA]],"mmmm"))</f>
        <v>Janeiro</v>
      </c>
      <c r="C742" s="34" t="str">
        <f>PROPER(TEXT(tbLOG[[#This Row],[DATA/HORA]],"dddd"))</f>
        <v>Sexta-Feira</v>
      </c>
      <c r="D742" s="3" t="s">
        <v>604</v>
      </c>
      <c r="E742" s="34" t="str">
        <f>IFERROR(VLOOKUP(tbLOG[[#This Row],[LOGIN]],tbMAPA[#All],2,0), "Não localizado")</f>
        <v>Renan Cazumba Tegani</v>
      </c>
      <c r="F742" s="34" t="str">
        <f>IFERROR(VLOOKUP(tbLOG[[#This Row],[LOGIN]],tbMAPA[#All],3,0), "Não localizado")</f>
        <v>Reginaldo Santana De Souza</v>
      </c>
      <c r="G742" s="3" t="s">
        <v>1211</v>
      </c>
      <c r="H742" s="3" t="s">
        <v>836</v>
      </c>
    </row>
    <row r="743" spans="1:8">
      <c r="A743" s="29">
        <v>42741.519953703704</v>
      </c>
      <c r="B743" s="29" t="str">
        <f>PROPER(TEXT(tbLOG[[#This Row],[DATA/HORA]],"mmmm"))</f>
        <v>Janeiro</v>
      </c>
      <c r="C743" s="34" t="str">
        <f>PROPER(TEXT(tbLOG[[#This Row],[DATA/HORA]],"dddd"))</f>
        <v>Sexta-Feira</v>
      </c>
      <c r="D743" s="3" t="s">
        <v>604</v>
      </c>
      <c r="E743" s="34" t="str">
        <f>IFERROR(VLOOKUP(tbLOG[[#This Row],[LOGIN]],tbMAPA[#All],2,0), "Não localizado")</f>
        <v>Renan Cazumba Tegani</v>
      </c>
      <c r="F743" s="34" t="str">
        <f>IFERROR(VLOOKUP(tbLOG[[#This Row],[LOGIN]],tbMAPA[#All],3,0), "Não localizado")</f>
        <v>Reginaldo Santana De Souza</v>
      </c>
      <c r="G743" s="3" t="s">
        <v>1211</v>
      </c>
      <c r="H743" s="3" t="s">
        <v>836</v>
      </c>
    </row>
    <row r="744" spans="1:8">
      <c r="A744" s="29">
        <v>42741.521574074075</v>
      </c>
      <c r="B744" s="29" t="str">
        <f>PROPER(TEXT(tbLOG[[#This Row],[DATA/HORA]],"mmmm"))</f>
        <v>Janeiro</v>
      </c>
      <c r="C744" s="34" t="str">
        <f>PROPER(TEXT(tbLOG[[#This Row],[DATA/HORA]],"dddd"))</f>
        <v>Sexta-Feira</v>
      </c>
      <c r="D744" s="3" t="s">
        <v>604</v>
      </c>
      <c r="E744" s="34" t="str">
        <f>IFERROR(VLOOKUP(tbLOG[[#This Row],[LOGIN]],tbMAPA[#All],2,0), "Não localizado")</f>
        <v>Renan Cazumba Tegani</v>
      </c>
      <c r="F744" s="34" t="str">
        <f>IFERROR(VLOOKUP(tbLOG[[#This Row],[LOGIN]],tbMAPA[#All],3,0), "Não localizado")</f>
        <v>Reginaldo Santana De Souza</v>
      </c>
      <c r="G744" s="3" t="s">
        <v>1211</v>
      </c>
      <c r="H744" s="3" t="s">
        <v>290</v>
      </c>
    </row>
    <row r="745" spans="1:8">
      <c r="A745" s="29">
        <v>42741.523275462961</v>
      </c>
      <c r="B745" s="29" t="str">
        <f>PROPER(TEXT(tbLOG[[#This Row],[DATA/HORA]],"mmmm"))</f>
        <v>Janeiro</v>
      </c>
      <c r="C745" s="34" t="str">
        <f>PROPER(TEXT(tbLOG[[#This Row],[DATA/HORA]],"dddd"))</f>
        <v>Sexta-Feira</v>
      </c>
      <c r="D745" s="3" t="s">
        <v>604</v>
      </c>
      <c r="E745" s="34" t="str">
        <f>IFERROR(VLOOKUP(tbLOG[[#This Row],[LOGIN]],tbMAPA[#All],2,0), "Não localizado")</f>
        <v>Renan Cazumba Tegani</v>
      </c>
      <c r="F745" s="34" t="str">
        <f>IFERROR(VLOOKUP(tbLOG[[#This Row],[LOGIN]],tbMAPA[#All],3,0), "Não localizado")</f>
        <v>Reginaldo Santana De Souza</v>
      </c>
      <c r="G745" s="3" t="s">
        <v>1211</v>
      </c>
      <c r="H745" s="3" t="s">
        <v>836</v>
      </c>
    </row>
    <row r="746" spans="1:8">
      <c r="A746" s="29">
        <v>42741.523287037038</v>
      </c>
      <c r="B746" s="29" t="str">
        <f>PROPER(TEXT(tbLOG[[#This Row],[DATA/HORA]],"mmmm"))</f>
        <v>Janeiro</v>
      </c>
      <c r="C746" s="34" t="str">
        <f>PROPER(TEXT(tbLOG[[#This Row],[DATA/HORA]],"dddd"))</f>
        <v>Sexta-Feira</v>
      </c>
      <c r="D746" s="3" t="s">
        <v>604</v>
      </c>
      <c r="E746" s="34" t="str">
        <f>IFERROR(VLOOKUP(tbLOG[[#This Row],[LOGIN]],tbMAPA[#All],2,0), "Não localizado")</f>
        <v>Renan Cazumba Tegani</v>
      </c>
      <c r="F746" s="34" t="str">
        <f>IFERROR(VLOOKUP(tbLOG[[#This Row],[LOGIN]],tbMAPA[#All],3,0), "Não localizado")</f>
        <v>Reginaldo Santana De Souza</v>
      </c>
      <c r="G746" s="3" t="s">
        <v>1211</v>
      </c>
      <c r="H746" s="3" t="s">
        <v>836</v>
      </c>
    </row>
    <row r="747" spans="1:8">
      <c r="A747" s="29">
        <v>42741.523425925923</v>
      </c>
      <c r="B747" s="29" t="str">
        <f>PROPER(TEXT(tbLOG[[#This Row],[DATA/HORA]],"mmmm"))</f>
        <v>Janeiro</v>
      </c>
      <c r="C747" s="34" t="str">
        <f>PROPER(TEXT(tbLOG[[#This Row],[DATA/HORA]],"dddd"))</f>
        <v>Sexta-Feira</v>
      </c>
      <c r="D747" s="3" t="s">
        <v>604</v>
      </c>
      <c r="E747" s="34" t="str">
        <f>IFERROR(VLOOKUP(tbLOG[[#This Row],[LOGIN]],tbMAPA[#All],2,0), "Não localizado")</f>
        <v>Renan Cazumba Tegani</v>
      </c>
      <c r="F747" s="34" t="str">
        <f>IFERROR(VLOOKUP(tbLOG[[#This Row],[LOGIN]],tbMAPA[#All],3,0), "Não localizado")</f>
        <v>Reginaldo Santana De Souza</v>
      </c>
      <c r="G747" s="3" t="s">
        <v>1211</v>
      </c>
      <c r="H747" s="3" t="s">
        <v>836</v>
      </c>
    </row>
    <row r="748" spans="1:8">
      <c r="A748" s="29">
        <v>42741.523865740739</v>
      </c>
      <c r="B748" s="29" t="str">
        <f>PROPER(TEXT(tbLOG[[#This Row],[DATA/HORA]],"mmmm"))</f>
        <v>Janeiro</v>
      </c>
      <c r="C748" s="34" t="str">
        <f>PROPER(TEXT(tbLOG[[#This Row],[DATA/HORA]],"dddd"))</f>
        <v>Sexta-Feira</v>
      </c>
      <c r="D748" s="3" t="s">
        <v>604</v>
      </c>
      <c r="E748" s="34" t="str">
        <f>IFERROR(VLOOKUP(tbLOG[[#This Row],[LOGIN]],tbMAPA[#All],2,0), "Não localizado")</f>
        <v>Renan Cazumba Tegani</v>
      </c>
      <c r="F748" s="34" t="str">
        <f>IFERROR(VLOOKUP(tbLOG[[#This Row],[LOGIN]],tbMAPA[#All],3,0), "Não localizado")</f>
        <v>Reginaldo Santana De Souza</v>
      </c>
      <c r="G748" s="3" t="s">
        <v>1211</v>
      </c>
      <c r="H748" s="3" t="s">
        <v>290</v>
      </c>
    </row>
    <row r="749" spans="1:8">
      <c r="A749" s="29">
        <v>42741.523935185185</v>
      </c>
      <c r="B749" s="29" t="str">
        <f>PROPER(TEXT(tbLOG[[#This Row],[DATA/HORA]],"mmmm"))</f>
        <v>Janeiro</v>
      </c>
      <c r="C749" s="34" t="str">
        <f>PROPER(TEXT(tbLOG[[#This Row],[DATA/HORA]],"dddd"))</f>
        <v>Sexta-Feira</v>
      </c>
      <c r="D749" s="3" t="s">
        <v>604</v>
      </c>
      <c r="E749" s="34" t="str">
        <f>IFERROR(VLOOKUP(tbLOG[[#This Row],[LOGIN]],tbMAPA[#All],2,0), "Não localizado")</f>
        <v>Renan Cazumba Tegani</v>
      </c>
      <c r="F749" s="34" t="str">
        <f>IFERROR(VLOOKUP(tbLOG[[#This Row],[LOGIN]],tbMAPA[#All],3,0), "Não localizado")</f>
        <v>Reginaldo Santana De Souza</v>
      </c>
      <c r="G749" s="3" t="s">
        <v>1211</v>
      </c>
      <c r="H749" s="3" t="s">
        <v>309</v>
      </c>
    </row>
    <row r="750" spans="1:8">
      <c r="A750" s="29">
        <v>42741.523935185185</v>
      </c>
      <c r="B750" s="29" t="str">
        <f>PROPER(TEXT(tbLOG[[#This Row],[DATA/HORA]],"mmmm"))</f>
        <v>Janeiro</v>
      </c>
      <c r="C750" s="34" t="str">
        <f>PROPER(TEXT(tbLOG[[#This Row],[DATA/HORA]],"dddd"))</f>
        <v>Sexta-Feira</v>
      </c>
      <c r="D750" s="3" t="s">
        <v>604</v>
      </c>
      <c r="E750" s="34" t="str">
        <f>IFERROR(VLOOKUP(tbLOG[[#This Row],[LOGIN]],tbMAPA[#All],2,0), "Não localizado")</f>
        <v>Renan Cazumba Tegani</v>
      </c>
      <c r="F750" s="34" t="str">
        <f>IFERROR(VLOOKUP(tbLOG[[#This Row],[LOGIN]],tbMAPA[#All],3,0), "Não localizado")</f>
        <v>Reginaldo Santana De Souza</v>
      </c>
      <c r="G750" s="3" t="s">
        <v>1211</v>
      </c>
      <c r="H750" s="3" t="s">
        <v>310</v>
      </c>
    </row>
    <row r="751" spans="1:8">
      <c r="A751" s="29">
        <v>42741.523981481485</v>
      </c>
      <c r="B751" s="29" t="str">
        <f>PROPER(TEXT(tbLOG[[#This Row],[DATA/HORA]],"mmmm"))</f>
        <v>Janeiro</v>
      </c>
      <c r="C751" s="34" t="str">
        <f>PROPER(TEXT(tbLOG[[#This Row],[DATA/HORA]],"dddd"))</f>
        <v>Sexta-Feira</v>
      </c>
      <c r="D751" s="3" t="s">
        <v>604</v>
      </c>
      <c r="E751" s="34" t="str">
        <f>IFERROR(VLOOKUP(tbLOG[[#This Row],[LOGIN]],tbMAPA[#All],2,0), "Não localizado")</f>
        <v>Renan Cazumba Tegani</v>
      </c>
      <c r="F751" s="34" t="str">
        <f>IFERROR(VLOOKUP(tbLOG[[#This Row],[LOGIN]],tbMAPA[#All],3,0), "Não localizado")</f>
        <v>Reginaldo Santana De Souza</v>
      </c>
      <c r="G751" s="3" t="s">
        <v>1211</v>
      </c>
      <c r="H751" s="3" t="s">
        <v>309</v>
      </c>
    </row>
    <row r="752" spans="1:8">
      <c r="A752" s="29">
        <v>42741.523981481485</v>
      </c>
      <c r="B752" s="29" t="str">
        <f>PROPER(TEXT(tbLOG[[#This Row],[DATA/HORA]],"mmmm"))</f>
        <v>Janeiro</v>
      </c>
      <c r="C752" s="34" t="str">
        <f>PROPER(TEXT(tbLOG[[#This Row],[DATA/HORA]],"dddd"))</f>
        <v>Sexta-Feira</v>
      </c>
      <c r="D752" s="3" t="s">
        <v>604</v>
      </c>
      <c r="E752" s="34" t="str">
        <f>IFERROR(VLOOKUP(tbLOG[[#This Row],[LOGIN]],tbMAPA[#All],2,0), "Não localizado")</f>
        <v>Renan Cazumba Tegani</v>
      </c>
      <c r="F752" s="34" t="str">
        <f>IFERROR(VLOOKUP(tbLOG[[#This Row],[LOGIN]],tbMAPA[#All],3,0), "Não localizado")</f>
        <v>Reginaldo Santana De Souza</v>
      </c>
      <c r="G752" s="3" t="s">
        <v>1211</v>
      </c>
      <c r="H752" s="3" t="s">
        <v>309</v>
      </c>
    </row>
    <row r="753" spans="1:8">
      <c r="A753" s="29">
        <v>42741.523981481485</v>
      </c>
      <c r="B753" s="29" t="str">
        <f>PROPER(TEXT(tbLOG[[#This Row],[DATA/HORA]],"mmmm"))</f>
        <v>Janeiro</v>
      </c>
      <c r="C753" s="34" t="str">
        <f>PROPER(TEXT(tbLOG[[#This Row],[DATA/HORA]],"dddd"))</f>
        <v>Sexta-Feira</v>
      </c>
      <c r="D753" s="3" t="s">
        <v>604</v>
      </c>
      <c r="E753" s="34" t="str">
        <f>IFERROR(VLOOKUP(tbLOG[[#This Row],[LOGIN]],tbMAPA[#All],2,0), "Não localizado")</f>
        <v>Renan Cazumba Tegani</v>
      </c>
      <c r="F753" s="34" t="str">
        <f>IFERROR(VLOOKUP(tbLOG[[#This Row],[LOGIN]],tbMAPA[#All],3,0), "Não localizado")</f>
        <v>Reginaldo Santana De Souza</v>
      </c>
      <c r="G753" s="3" t="s">
        <v>1211</v>
      </c>
      <c r="H753" s="3" t="s">
        <v>314</v>
      </c>
    </row>
    <row r="754" spans="1:8">
      <c r="A754" s="29">
        <v>42741.524189814816</v>
      </c>
      <c r="B754" s="29" t="str">
        <f>PROPER(TEXT(tbLOG[[#This Row],[DATA/HORA]],"mmmm"))</f>
        <v>Janeiro</v>
      </c>
      <c r="C754" s="34" t="str">
        <f>PROPER(TEXT(tbLOG[[#This Row],[DATA/HORA]],"dddd"))</f>
        <v>Sexta-Feira</v>
      </c>
      <c r="D754" s="3" t="s">
        <v>604</v>
      </c>
      <c r="E754" s="34" t="str">
        <f>IFERROR(VLOOKUP(tbLOG[[#This Row],[LOGIN]],tbMAPA[#All],2,0), "Não localizado")</f>
        <v>Renan Cazumba Tegani</v>
      </c>
      <c r="F754" s="34" t="str">
        <f>IFERROR(VLOOKUP(tbLOG[[#This Row],[LOGIN]],tbMAPA[#All],3,0), "Não localizado")</f>
        <v>Reginaldo Santana De Souza</v>
      </c>
      <c r="G754" s="3" t="s">
        <v>1211</v>
      </c>
      <c r="H754" s="3" t="s">
        <v>836</v>
      </c>
    </row>
    <row r="755" spans="1:8">
      <c r="A755" s="29">
        <v>42741.524201388886</v>
      </c>
      <c r="B755" s="29" t="str">
        <f>PROPER(TEXT(tbLOG[[#This Row],[DATA/HORA]],"mmmm"))</f>
        <v>Janeiro</v>
      </c>
      <c r="C755" s="34" t="str">
        <f>PROPER(TEXT(tbLOG[[#This Row],[DATA/HORA]],"dddd"))</f>
        <v>Sexta-Feira</v>
      </c>
      <c r="D755" s="3" t="s">
        <v>604</v>
      </c>
      <c r="E755" s="34" t="str">
        <f>IFERROR(VLOOKUP(tbLOG[[#This Row],[LOGIN]],tbMAPA[#All],2,0), "Não localizado")</f>
        <v>Renan Cazumba Tegani</v>
      </c>
      <c r="F755" s="34" t="str">
        <f>IFERROR(VLOOKUP(tbLOG[[#This Row],[LOGIN]],tbMAPA[#All],3,0), "Não localizado")</f>
        <v>Reginaldo Santana De Souza</v>
      </c>
      <c r="G755" s="3" t="s">
        <v>1211</v>
      </c>
      <c r="H755" s="3" t="s">
        <v>836</v>
      </c>
    </row>
    <row r="756" spans="1:8">
      <c r="A756" s="29">
        <v>42741.524247685185</v>
      </c>
      <c r="B756" s="29" t="str">
        <f>PROPER(TEXT(tbLOG[[#This Row],[DATA/HORA]],"mmmm"))</f>
        <v>Janeiro</v>
      </c>
      <c r="C756" s="34" t="str">
        <f>PROPER(TEXT(tbLOG[[#This Row],[DATA/HORA]],"dddd"))</f>
        <v>Sexta-Feira</v>
      </c>
      <c r="D756" s="3" t="s">
        <v>604</v>
      </c>
      <c r="E756" s="34" t="str">
        <f>IFERROR(VLOOKUP(tbLOG[[#This Row],[LOGIN]],tbMAPA[#All],2,0), "Não localizado")</f>
        <v>Renan Cazumba Tegani</v>
      </c>
      <c r="F756" s="34" t="str">
        <f>IFERROR(VLOOKUP(tbLOG[[#This Row],[LOGIN]],tbMAPA[#All],3,0), "Não localizado")</f>
        <v>Reginaldo Santana De Souza</v>
      </c>
      <c r="G756" s="3" t="s">
        <v>1211</v>
      </c>
      <c r="H756" s="3" t="s">
        <v>836</v>
      </c>
    </row>
    <row r="757" spans="1:8">
      <c r="A757" s="29">
        <v>42741.526400462964</v>
      </c>
      <c r="B757" s="29" t="str">
        <f>PROPER(TEXT(tbLOG[[#This Row],[DATA/HORA]],"mmmm"))</f>
        <v>Janeiro</v>
      </c>
      <c r="C757" s="34" t="str">
        <f>PROPER(TEXT(tbLOG[[#This Row],[DATA/HORA]],"dddd"))</f>
        <v>Sexta-Feira</v>
      </c>
      <c r="D757" s="3" t="s">
        <v>604</v>
      </c>
      <c r="E757" s="34" t="str">
        <f>IFERROR(VLOOKUP(tbLOG[[#This Row],[LOGIN]],tbMAPA[#All],2,0), "Não localizado")</f>
        <v>Renan Cazumba Tegani</v>
      </c>
      <c r="F757" s="34" t="str">
        <f>IFERROR(VLOOKUP(tbLOG[[#This Row],[LOGIN]],tbMAPA[#All],3,0), "Não localizado")</f>
        <v>Reginaldo Santana De Souza</v>
      </c>
      <c r="G757" s="3" t="s">
        <v>1211</v>
      </c>
      <c r="H757" s="3" t="s">
        <v>836</v>
      </c>
    </row>
    <row r="758" spans="1:8">
      <c r="A758" s="29">
        <v>42741.52752314815</v>
      </c>
      <c r="B758" s="29" t="str">
        <f>PROPER(TEXT(tbLOG[[#This Row],[DATA/HORA]],"mmmm"))</f>
        <v>Janeiro</v>
      </c>
      <c r="C758" s="34" t="str">
        <f>PROPER(TEXT(tbLOG[[#This Row],[DATA/HORA]],"dddd"))</f>
        <v>Sexta-Feira</v>
      </c>
      <c r="D758" s="3" t="s">
        <v>604</v>
      </c>
      <c r="E758" s="34" t="str">
        <f>IFERROR(VLOOKUP(tbLOG[[#This Row],[LOGIN]],tbMAPA[#All],2,0), "Não localizado")</f>
        <v>Renan Cazumba Tegani</v>
      </c>
      <c r="F758" s="34" t="str">
        <f>IFERROR(VLOOKUP(tbLOG[[#This Row],[LOGIN]],tbMAPA[#All],3,0), "Não localizado")</f>
        <v>Reginaldo Santana De Souza</v>
      </c>
      <c r="G758" s="3" t="s">
        <v>1211</v>
      </c>
      <c r="H758" s="3" t="s">
        <v>290</v>
      </c>
    </row>
    <row r="759" spans="1:8">
      <c r="A759" s="29">
        <v>42741.527546296296</v>
      </c>
      <c r="B759" s="29" t="str">
        <f>PROPER(TEXT(tbLOG[[#This Row],[DATA/HORA]],"mmmm"))</f>
        <v>Janeiro</v>
      </c>
      <c r="C759" s="34" t="str">
        <f>PROPER(TEXT(tbLOG[[#This Row],[DATA/HORA]],"dddd"))</f>
        <v>Sexta-Feira</v>
      </c>
      <c r="D759" s="3" t="s">
        <v>604</v>
      </c>
      <c r="E759" s="34" t="str">
        <f>IFERROR(VLOOKUP(tbLOG[[#This Row],[LOGIN]],tbMAPA[#All],2,0), "Não localizado")</f>
        <v>Renan Cazumba Tegani</v>
      </c>
      <c r="F759" s="34" t="str">
        <f>IFERROR(VLOOKUP(tbLOG[[#This Row],[LOGIN]],tbMAPA[#All],3,0), "Não localizado")</f>
        <v>Reginaldo Santana De Souza</v>
      </c>
      <c r="G759" s="3" t="s">
        <v>1211</v>
      </c>
      <c r="H759" s="3" t="s">
        <v>291</v>
      </c>
    </row>
    <row r="760" spans="1:8">
      <c r="A760" s="29">
        <v>42741.527546296296</v>
      </c>
      <c r="B760" s="29" t="str">
        <f>PROPER(TEXT(tbLOG[[#This Row],[DATA/HORA]],"mmmm"))</f>
        <v>Janeiro</v>
      </c>
      <c r="C760" s="34" t="str">
        <f>PROPER(TEXT(tbLOG[[#This Row],[DATA/HORA]],"dddd"))</f>
        <v>Sexta-Feira</v>
      </c>
      <c r="D760" s="3" t="s">
        <v>604</v>
      </c>
      <c r="E760" s="34" t="str">
        <f>IFERROR(VLOOKUP(tbLOG[[#This Row],[LOGIN]],tbMAPA[#All],2,0), "Não localizado")</f>
        <v>Renan Cazumba Tegani</v>
      </c>
      <c r="F760" s="34" t="str">
        <f>IFERROR(VLOOKUP(tbLOG[[#This Row],[LOGIN]],tbMAPA[#All],3,0), "Não localizado")</f>
        <v>Reginaldo Santana De Souza</v>
      </c>
      <c r="G760" s="3" t="s">
        <v>1211</v>
      </c>
      <c r="H760" s="3" t="s">
        <v>290</v>
      </c>
    </row>
    <row r="761" spans="1:8">
      <c r="A761" s="29">
        <v>42741.541585648149</v>
      </c>
      <c r="B761" s="29" t="str">
        <f>PROPER(TEXT(tbLOG[[#This Row],[DATA/HORA]],"mmmm"))</f>
        <v>Janeiro</v>
      </c>
      <c r="C761" s="34" t="str">
        <f>PROPER(TEXT(tbLOG[[#This Row],[DATA/HORA]],"dddd"))</f>
        <v>Sexta-Feira</v>
      </c>
      <c r="D761" s="3" t="s">
        <v>297</v>
      </c>
      <c r="E761" s="34" t="str">
        <f>IFERROR(VLOOKUP(tbLOG[[#This Row],[LOGIN]],tbMAPA[#All],2,0), "Não localizado")</f>
        <v>Ivanildo Cavalcante De Souza Junior</v>
      </c>
      <c r="F761" s="34" t="str">
        <f>IFERROR(VLOOKUP(tbLOG[[#This Row],[LOGIN]],tbMAPA[#All],3,0), "Não localizado")</f>
        <v>Jefte Soares Da Silva</v>
      </c>
      <c r="G761" s="3" t="s">
        <v>298</v>
      </c>
      <c r="H761" s="3" t="s">
        <v>994</v>
      </c>
    </row>
    <row r="762" spans="1:8">
      <c r="A762" s="29">
        <v>42741.541886574072</v>
      </c>
      <c r="B762" s="29" t="str">
        <f>PROPER(TEXT(tbLOG[[#This Row],[DATA/HORA]],"mmmm"))</f>
        <v>Janeiro</v>
      </c>
      <c r="C762" s="34" t="str">
        <f>PROPER(TEXT(tbLOG[[#This Row],[DATA/HORA]],"dddd"))</f>
        <v>Sexta-Feira</v>
      </c>
      <c r="D762" s="3" t="s">
        <v>297</v>
      </c>
      <c r="E762" s="34" t="str">
        <f>IFERROR(VLOOKUP(tbLOG[[#This Row],[LOGIN]],tbMAPA[#All],2,0), "Não localizado")</f>
        <v>Ivanildo Cavalcante De Souza Junior</v>
      </c>
      <c r="F762" s="34" t="str">
        <f>IFERROR(VLOOKUP(tbLOG[[#This Row],[LOGIN]],tbMAPA[#All],3,0), "Não localizado")</f>
        <v>Jefte Soares Da Silva</v>
      </c>
      <c r="G762" s="3" t="s">
        <v>298</v>
      </c>
      <c r="H762" s="3" t="s">
        <v>309</v>
      </c>
    </row>
    <row r="763" spans="1:8">
      <c r="A763" s="29">
        <v>42741.541932870372</v>
      </c>
      <c r="B763" s="29" t="str">
        <f>PROPER(TEXT(tbLOG[[#This Row],[DATA/HORA]],"mmmm"))</f>
        <v>Janeiro</v>
      </c>
      <c r="C763" s="34" t="str">
        <f>PROPER(TEXT(tbLOG[[#This Row],[DATA/HORA]],"dddd"))</f>
        <v>Sexta-Feira</v>
      </c>
      <c r="D763" s="3" t="s">
        <v>297</v>
      </c>
      <c r="E763" s="34" t="str">
        <f>IFERROR(VLOOKUP(tbLOG[[#This Row],[LOGIN]],tbMAPA[#All],2,0), "Não localizado")</f>
        <v>Ivanildo Cavalcante De Souza Junior</v>
      </c>
      <c r="F763" s="34" t="str">
        <f>IFERROR(VLOOKUP(tbLOG[[#This Row],[LOGIN]],tbMAPA[#All],3,0), "Não localizado")</f>
        <v>Jefte Soares Da Silva</v>
      </c>
      <c r="G763" s="3" t="s">
        <v>298</v>
      </c>
      <c r="H763" s="3" t="s">
        <v>309</v>
      </c>
    </row>
    <row r="764" spans="1:8">
      <c r="A764" s="29">
        <v>42741.542870370373</v>
      </c>
      <c r="B764" s="29" t="str">
        <f>PROPER(TEXT(tbLOG[[#This Row],[DATA/HORA]],"mmmm"))</f>
        <v>Janeiro</v>
      </c>
      <c r="C764" s="34" t="str">
        <f>PROPER(TEXT(tbLOG[[#This Row],[DATA/HORA]],"dddd"))</f>
        <v>Sexta-Feira</v>
      </c>
      <c r="D764" s="3" t="s">
        <v>297</v>
      </c>
      <c r="E764" s="34" t="str">
        <f>IFERROR(VLOOKUP(tbLOG[[#This Row],[LOGIN]],tbMAPA[#All],2,0), "Não localizado")</f>
        <v>Ivanildo Cavalcante De Souza Junior</v>
      </c>
      <c r="F764" s="34" t="str">
        <f>IFERROR(VLOOKUP(tbLOG[[#This Row],[LOGIN]],tbMAPA[#All],3,0), "Não localizado")</f>
        <v>Jefte Soares Da Silva</v>
      </c>
      <c r="G764" s="3" t="s">
        <v>298</v>
      </c>
      <c r="H764" s="3" t="s">
        <v>290</v>
      </c>
    </row>
    <row r="765" spans="1:8">
      <c r="A765" s="29">
        <v>42741.542974537035</v>
      </c>
      <c r="B765" s="29" t="str">
        <f>PROPER(TEXT(tbLOG[[#This Row],[DATA/HORA]],"mmmm"))</f>
        <v>Janeiro</v>
      </c>
      <c r="C765" s="34" t="str">
        <f>PROPER(TEXT(tbLOG[[#This Row],[DATA/HORA]],"dddd"))</f>
        <v>Sexta-Feira</v>
      </c>
      <c r="D765" s="3" t="s">
        <v>297</v>
      </c>
      <c r="E765" s="34" t="str">
        <f>IFERROR(VLOOKUP(tbLOG[[#This Row],[LOGIN]],tbMAPA[#All],2,0), "Não localizado")</f>
        <v>Ivanildo Cavalcante De Souza Junior</v>
      </c>
      <c r="F765" s="34" t="str">
        <f>IFERROR(VLOOKUP(tbLOG[[#This Row],[LOGIN]],tbMAPA[#All],3,0), "Não localizado")</f>
        <v>Jefte Soares Da Silva</v>
      </c>
      <c r="G765" s="3" t="s">
        <v>298</v>
      </c>
      <c r="H765" s="3" t="s">
        <v>291</v>
      </c>
    </row>
    <row r="766" spans="1:8">
      <c r="A766" s="29">
        <v>42741.542974537035</v>
      </c>
      <c r="B766" s="29" t="str">
        <f>PROPER(TEXT(tbLOG[[#This Row],[DATA/HORA]],"mmmm"))</f>
        <v>Janeiro</v>
      </c>
      <c r="C766" s="34" t="str">
        <f>PROPER(TEXT(tbLOG[[#This Row],[DATA/HORA]],"dddd"))</f>
        <v>Sexta-Feira</v>
      </c>
      <c r="D766" s="3" t="s">
        <v>297</v>
      </c>
      <c r="E766" s="34" t="str">
        <f>IFERROR(VLOOKUP(tbLOG[[#This Row],[LOGIN]],tbMAPA[#All],2,0), "Não localizado")</f>
        <v>Ivanildo Cavalcante De Souza Junior</v>
      </c>
      <c r="F766" s="34" t="str">
        <f>IFERROR(VLOOKUP(tbLOG[[#This Row],[LOGIN]],tbMAPA[#All],3,0), "Não localizado")</f>
        <v>Jefte Soares Da Silva</v>
      </c>
      <c r="G766" s="3" t="s">
        <v>298</v>
      </c>
      <c r="H766" s="3" t="s">
        <v>290</v>
      </c>
    </row>
    <row r="767" spans="1:8">
      <c r="A767" s="29">
        <v>42741.547939814816</v>
      </c>
      <c r="B767" s="29" t="str">
        <f>PROPER(TEXT(tbLOG[[#This Row],[DATA/HORA]],"mmmm"))</f>
        <v>Janeiro</v>
      </c>
      <c r="C767" s="34" t="str">
        <f>PROPER(TEXT(tbLOG[[#This Row],[DATA/HORA]],"dddd"))</f>
        <v>Sexta-Feira</v>
      </c>
      <c r="D767" s="3" t="s">
        <v>604</v>
      </c>
      <c r="E767" s="34" t="str">
        <f>IFERROR(VLOOKUP(tbLOG[[#This Row],[LOGIN]],tbMAPA[#All],2,0), "Não localizado")</f>
        <v>Renan Cazumba Tegani</v>
      </c>
      <c r="F767" s="34" t="str">
        <f>IFERROR(VLOOKUP(tbLOG[[#This Row],[LOGIN]],tbMAPA[#All],3,0), "Não localizado")</f>
        <v>Reginaldo Santana De Souza</v>
      </c>
      <c r="G767" s="3" t="s">
        <v>1211</v>
      </c>
      <c r="H767" s="3" t="s">
        <v>994</v>
      </c>
    </row>
    <row r="768" spans="1:8">
      <c r="A768" s="29">
        <v>42741.549675925926</v>
      </c>
      <c r="B768" s="29" t="str">
        <f>PROPER(TEXT(tbLOG[[#This Row],[DATA/HORA]],"mmmm"))</f>
        <v>Janeiro</v>
      </c>
      <c r="C768" s="34" t="str">
        <f>PROPER(TEXT(tbLOG[[#This Row],[DATA/HORA]],"dddd"))</f>
        <v>Sexta-Feira</v>
      </c>
      <c r="D768" s="3" t="s">
        <v>604</v>
      </c>
      <c r="E768" s="34" t="str">
        <f>IFERROR(VLOOKUP(tbLOG[[#This Row],[LOGIN]],tbMAPA[#All],2,0), "Não localizado")</f>
        <v>Renan Cazumba Tegani</v>
      </c>
      <c r="F768" s="34" t="str">
        <f>IFERROR(VLOOKUP(tbLOG[[#This Row],[LOGIN]],tbMAPA[#All],3,0), "Não localizado")</f>
        <v>Reginaldo Santana De Souza</v>
      </c>
      <c r="G768" s="3" t="s">
        <v>1211</v>
      </c>
      <c r="H768" s="3" t="s">
        <v>836</v>
      </c>
    </row>
    <row r="769" spans="1:8">
      <c r="A769" s="29">
        <v>42741.552141203705</v>
      </c>
      <c r="B769" s="29" t="str">
        <f>PROPER(TEXT(tbLOG[[#This Row],[DATA/HORA]],"mmmm"))</f>
        <v>Janeiro</v>
      </c>
      <c r="C769" s="34" t="str">
        <f>PROPER(TEXT(tbLOG[[#This Row],[DATA/HORA]],"dddd"))</f>
        <v>Sexta-Feira</v>
      </c>
      <c r="D769" s="3" t="s">
        <v>604</v>
      </c>
      <c r="E769" s="34" t="str">
        <f>IFERROR(VLOOKUP(tbLOG[[#This Row],[LOGIN]],tbMAPA[#All],2,0), "Não localizado")</f>
        <v>Renan Cazumba Tegani</v>
      </c>
      <c r="F769" s="34" t="str">
        <f>IFERROR(VLOOKUP(tbLOG[[#This Row],[LOGIN]],tbMAPA[#All],3,0), "Não localizado")</f>
        <v>Reginaldo Santana De Souza</v>
      </c>
      <c r="G769" s="3" t="s">
        <v>1211</v>
      </c>
      <c r="H769" s="3" t="s">
        <v>836</v>
      </c>
    </row>
    <row r="770" spans="1:8">
      <c r="A770" s="29">
        <v>42741.554768518516</v>
      </c>
      <c r="B770" s="29" t="str">
        <f>PROPER(TEXT(tbLOG[[#This Row],[DATA/HORA]],"mmmm"))</f>
        <v>Janeiro</v>
      </c>
      <c r="C770" s="34" t="str">
        <f>PROPER(TEXT(tbLOG[[#This Row],[DATA/HORA]],"dddd"))</f>
        <v>Sexta-Feira</v>
      </c>
      <c r="D770" s="3" t="s">
        <v>604</v>
      </c>
      <c r="E770" s="34" t="str">
        <f>IFERROR(VLOOKUP(tbLOG[[#This Row],[LOGIN]],tbMAPA[#All],2,0), "Não localizado")</f>
        <v>Renan Cazumba Tegani</v>
      </c>
      <c r="F770" s="34" t="str">
        <f>IFERROR(VLOOKUP(tbLOG[[#This Row],[LOGIN]],tbMAPA[#All],3,0), "Não localizado")</f>
        <v>Reginaldo Santana De Souza</v>
      </c>
      <c r="G770" s="3" t="s">
        <v>1211</v>
      </c>
      <c r="H770" s="3" t="s">
        <v>836</v>
      </c>
    </row>
    <row r="771" spans="1:8">
      <c r="A771" s="29">
        <v>42741.554930555554</v>
      </c>
      <c r="B771" s="29" t="str">
        <f>PROPER(TEXT(tbLOG[[#This Row],[DATA/HORA]],"mmmm"))</f>
        <v>Janeiro</v>
      </c>
      <c r="C771" s="34" t="str">
        <f>PROPER(TEXT(tbLOG[[#This Row],[DATA/HORA]],"dddd"))</f>
        <v>Sexta-Feira</v>
      </c>
      <c r="D771" s="3" t="s">
        <v>604</v>
      </c>
      <c r="E771" s="34" t="str">
        <f>IFERROR(VLOOKUP(tbLOG[[#This Row],[LOGIN]],tbMAPA[#All],2,0), "Não localizado")</f>
        <v>Renan Cazumba Tegani</v>
      </c>
      <c r="F771" s="34" t="str">
        <f>IFERROR(VLOOKUP(tbLOG[[#This Row],[LOGIN]],tbMAPA[#All],3,0), "Não localizado")</f>
        <v>Reginaldo Santana De Souza</v>
      </c>
      <c r="G771" s="3" t="s">
        <v>1211</v>
      </c>
      <c r="H771" s="3" t="s">
        <v>836</v>
      </c>
    </row>
    <row r="772" spans="1:8">
      <c r="A772" s="29">
        <v>42741.555324074077</v>
      </c>
      <c r="B772" s="29" t="str">
        <f>PROPER(TEXT(tbLOG[[#This Row],[DATA/HORA]],"mmmm"))</f>
        <v>Janeiro</v>
      </c>
      <c r="C772" s="34" t="str">
        <f>PROPER(TEXT(tbLOG[[#This Row],[DATA/HORA]],"dddd"))</f>
        <v>Sexta-Feira</v>
      </c>
      <c r="D772" s="3" t="s">
        <v>604</v>
      </c>
      <c r="E772" s="34" t="str">
        <f>IFERROR(VLOOKUP(tbLOG[[#This Row],[LOGIN]],tbMAPA[#All],2,0), "Não localizado")</f>
        <v>Renan Cazumba Tegani</v>
      </c>
      <c r="F772" s="34" t="str">
        <f>IFERROR(VLOOKUP(tbLOG[[#This Row],[LOGIN]],tbMAPA[#All],3,0), "Não localizado")</f>
        <v>Reginaldo Santana De Souza</v>
      </c>
      <c r="G772" s="3" t="s">
        <v>1211</v>
      </c>
      <c r="H772" s="3" t="s">
        <v>836</v>
      </c>
    </row>
    <row r="773" spans="1:8">
      <c r="A773" s="29">
        <v>42741.555393518516</v>
      </c>
      <c r="B773" s="29" t="str">
        <f>PROPER(TEXT(tbLOG[[#This Row],[DATA/HORA]],"mmmm"))</f>
        <v>Janeiro</v>
      </c>
      <c r="C773" s="34" t="str">
        <f>PROPER(TEXT(tbLOG[[#This Row],[DATA/HORA]],"dddd"))</f>
        <v>Sexta-Feira</v>
      </c>
      <c r="D773" s="3" t="s">
        <v>604</v>
      </c>
      <c r="E773" s="34" t="str">
        <f>IFERROR(VLOOKUP(tbLOG[[#This Row],[LOGIN]],tbMAPA[#All],2,0), "Não localizado")</f>
        <v>Renan Cazumba Tegani</v>
      </c>
      <c r="F773" s="34" t="str">
        <f>IFERROR(VLOOKUP(tbLOG[[#This Row],[LOGIN]],tbMAPA[#All],3,0), "Não localizado")</f>
        <v>Reginaldo Santana De Souza</v>
      </c>
      <c r="G773" s="3" t="s">
        <v>1211</v>
      </c>
      <c r="H773" s="3" t="s">
        <v>836</v>
      </c>
    </row>
    <row r="774" spans="1:8">
      <c r="A774" s="29">
        <v>42741.557685185187</v>
      </c>
      <c r="B774" s="29" t="str">
        <f>PROPER(TEXT(tbLOG[[#This Row],[DATA/HORA]],"mmmm"))</f>
        <v>Janeiro</v>
      </c>
      <c r="C774" s="34" t="str">
        <f>PROPER(TEXT(tbLOG[[#This Row],[DATA/HORA]],"dddd"))</f>
        <v>Sexta-Feira</v>
      </c>
      <c r="D774" s="3" t="s">
        <v>604</v>
      </c>
      <c r="E774" s="34" t="str">
        <f>IFERROR(VLOOKUP(tbLOG[[#This Row],[LOGIN]],tbMAPA[#All],2,0), "Não localizado")</f>
        <v>Renan Cazumba Tegani</v>
      </c>
      <c r="F774" s="34" t="str">
        <f>IFERROR(VLOOKUP(tbLOG[[#This Row],[LOGIN]],tbMAPA[#All],3,0), "Não localizado")</f>
        <v>Reginaldo Santana De Souza</v>
      </c>
      <c r="G774" s="3" t="s">
        <v>1211</v>
      </c>
      <c r="H774" s="3" t="s">
        <v>290</v>
      </c>
    </row>
    <row r="775" spans="1:8">
      <c r="A775" s="29">
        <v>42741.557696759257</v>
      </c>
      <c r="B775" s="29" t="str">
        <f>PROPER(TEXT(tbLOG[[#This Row],[DATA/HORA]],"mmmm"))</f>
        <v>Janeiro</v>
      </c>
      <c r="C775" s="34" t="str">
        <f>PROPER(TEXT(tbLOG[[#This Row],[DATA/HORA]],"dddd"))</f>
        <v>Sexta-Feira</v>
      </c>
      <c r="D775" s="3" t="s">
        <v>604</v>
      </c>
      <c r="E775" s="34" t="str">
        <f>IFERROR(VLOOKUP(tbLOG[[#This Row],[LOGIN]],tbMAPA[#All],2,0), "Não localizado")</f>
        <v>Renan Cazumba Tegani</v>
      </c>
      <c r="F775" s="34" t="str">
        <f>IFERROR(VLOOKUP(tbLOG[[#This Row],[LOGIN]],tbMAPA[#All],3,0), "Não localizado")</f>
        <v>Reginaldo Santana De Souza</v>
      </c>
      <c r="G775" s="3" t="s">
        <v>1211</v>
      </c>
      <c r="H775" s="3" t="s">
        <v>291</v>
      </c>
    </row>
    <row r="776" spans="1:8">
      <c r="A776" s="29">
        <v>42741.557696759257</v>
      </c>
      <c r="B776" s="29" t="str">
        <f>PROPER(TEXT(tbLOG[[#This Row],[DATA/HORA]],"mmmm"))</f>
        <v>Janeiro</v>
      </c>
      <c r="C776" s="34" t="str">
        <f>PROPER(TEXT(tbLOG[[#This Row],[DATA/HORA]],"dddd"))</f>
        <v>Sexta-Feira</v>
      </c>
      <c r="D776" s="3" t="s">
        <v>604</v>
      </c>
      <c r="E776" s="34" t="str">
        <f>IFERROR(VLOOKUP(tbLOG[[#This Row],[LOGIN]],tbMAPA[#All],2,0), "Não localizado")</f>
        <v>Renan Cazumba Tegani</v>
      </c>
      <c r="F776" s="34" t="str">
        <f>IFERROR(VLOOKUP(tbLOG[[#This Row],[LOGIN]],tbMAPA[#All],3,0), "Não localizado")</f>
        <v>Reginaldo Santana De Souza</v>
      </c>
      <c r="G776" s="3" t="s">
        <v>1211</v>
      </c>
      <c r="H776" s="3" t="s">
        <v>290</v>
      </c>
    </row>
    <row r="777" spans="1:8">
      <c r="A777" s="29">
        <v>42741.569675925923</v>
      </c>
      <c r="B777" s="29" t="str">
        <f>PROPER(TEXT(tbLOG[[#This Row],[DATA/HORA]],"mmmm"))</f>
        <v>Janeiro</v>
      </c>
      <c r="C777" s="34" t="str">
        <f>PROPER(TEXT(tbLOG[[#This Row],[DATA/HORA]],"dddd"))</f>
        <v>Sexta-Feira</v>
      </c>
      <c r="D777" s="3" t="s">
        <v>604</v>
      </c>
      <c r="E777" s="34" t="str">
        <f>IFERROR(VLOOKUP(tbLOG[[#This Row],[LOGIN]],tbMAPA[#All],2,0), "Não localizado")</f>
        <v>Renan Cazumba Tegani</v>
      </c>
      <c r="F777" s="34" t="str">
        <f>IFERROR(VLOOKUP(tbLOG[[#This Row],[LOGIN]],tbMAPA[#All],3,0), "Não localizado")</f>
        <v>Reginaldo Santana De Souza</v>
      </c>
      <c r="G777" s="3" t="s">
        <v>1211</v>
      </c>
      <c r="H777" s="3" t="s">
        <v>994</v>
      </c>
    </row>
    <row r="778" spans="1:8">
      <c r="A778" s="29">
        <v>42741.631516203706</v>
      </c>
      <c r="B778" s="29" t="str">
        <f>PROPER(TEXT(tbLOG[[#This Row],[DATA/HORA]],"mmmm"))</f>
        <v>Janeiro</v>
      </c>
      <c r="C778" s="34" t="str">
        <f>PROPER(TEXT(tbLOG[[#This Row],[DATA/HORA]],"dddd"))</f>
        <v>Sexta-Feira</v>
      </c>
      <c r="D778" s="3" t="s">
        <v>604</v>
      </c>
      <c r="E778" s="34" t="str">
        <f>IFERROR(VLOOKUP(tbLOG[[#This Row],[LOGIN]],tbMAPA[#All],2,0), "Não localizado")</f>
        <v>Renan Cazumba Tegani</v>
      </c>
      <c r="F778" s="34" t="str">
        <f>IFERROR(VLOOKUP(tbLOG[[#This Row],[LOGIN]],tbMAPA[#All],3,0), "Não localizado")</f>
        <v>Reginaldo Santana De Souza</v>
      </c>
      <c r="G778" s="3" t="s">
        <v>1211</v>
      </c>
      <c r="H778" s="3" t="s">
        <v>836</v>
      </c>
    </row>
    <row r="779" spans="1:8">
      <c r="A779" s="29">
        <v>42741.631597222222</v>
      </c>
      <c r="B779" s="29" t="str">
        <f>PROPER(TEXT(tbLOG[[#This Row],[DATA/HORA]],"mmmm"))</f>
        <v>Janeiro</v>
      </c>
      <c r="C779" s="34" t="str">
        <f>PROPER(TEXT(tbLOG[[#This Row],[DATA/HORA]],"dddd"))</f>
        <v>Sexta-Feira</v>
      </c>
      <c r="D779" s="3" t="s">
        <v>604</v>
      </c>
      <c r="E779" s="34" t="str">
        <f>IFERROR(VLOOKUP(tbLOG[[#This Row],[LOGIN]],tbMAPA[#All],2,0), "Não localizado")</f>
        <v>Renan Cazumba Tegani</v>
      </c>
      <c r="F779" s="34" t="str">
        <f>IFERROR(VLOOKUP(tbLOG[[#This Row],[LOGIN]],tbMAPA[#All],3,0), "Não localizado")</f>
        <v>Reginaldo Santana De Souza</v>
      </c>
      <c r="G779" s="3" t="s">
        <v>1211</v>
      </c>
      <c r="H779" s="3" t="s">
        <v>836</v>
      </c>
    </row>
    <row r="780" spans="1:8">
      <c r="A780" s="29">
        <v>42741.631631944445</v>
      </c>
      <c r="B780" s="29" t="str">
        <f>PROPER(TEXT(tbLOG[[#This Row],[DATA/HORA]],"mmmm"))</f>
        <v>Janeiro</v>
      </c>
      <c r="C780" s="34" t="str">
        <f>PROPER(TEXT(tbLOG[[#This Row],[DATA/HORA]],"dddd"))</f>
        <v>Sexta-Feira</v>
      </c>
      <c r="D780" s="3" t="s">
        <v>604</v>
      </c>
      <c r="E780" s="34" t="str">
        <f>IFERROR(VLOOKUP(tbLOG[[#This Row],[LOGIN]],tbMAPA[#All],2,0), "Não localizado")</f>
        <v>Renan Cazumba Tegani</v>
      </c>
      <c r="F780" s="34" t="str">
        <f>IFERROR(VLOOKUP(tbLOG[[#This Row],[LOGIN]],tbMAPA[#All],3,0), "Não localizado")</f>
        <v>Reginaldo Santana De Souza</v>
      </c>
      <c r="G780" s="3" t="s">
        <v>1211</v>
      </c>
      <c r="H780" s="3" t="s">
        <v>290</v>
      </c>
    </row>
    <row r="781" spans="1:8">
      <c r="A781" s="29">
        <v>42741.63652777778</v>
      </c>
      <c r="B781" s="29" t="str">
        <f>PROPER(TEXT(tbLOG[[#This Row],[DATA/HORA]],"mmmm"))</f>
        <v>Janeiro</v>
      </c>
      <c r="C781" s="34" t="str">
        <f>PROPER(TEXT(tbLOG[[#This Row],[DATA/HORA]],"dddd"))</f>
        <v>Sexta-Feira</v>
      </c>
      <c r="D781" s="3" t="s">
        <v>604</v>
      </c>
      <c r="E781" s="34" t="str">
        <f>IFERROR(VLOOKUP(tbLOG[[#This Row],[LOGIN]],tbMAPA[#All],2,0), "Não localizado")</f>
        <v>Renan Cazumba Tegani</v>
      </c>
      <c r="F781" s="34" t="str">
        <f>IFERROR(VLOOKUP(tbLOG[[#This Row],[LOGIN]],tbMAPA[#All],3,0), "Não localizado")</f>
        <v>Reginaldo Santana De Souza</v>
      </c>
      <c r="G781" s="3" t="s">
        <v>1211</v>
      </c>
      <c r="H781" s="3" t="s">
        <v>836</v>
      </c>
    </row>
    <row r="782" spans="1:8">
      <c r="A782" s="29">
        <v>42741.636562500003</v>
      </c>
      <c r="B782" s="29" t="str">
        <f>PROPER(TEXT(tbLOG[[#This Row],[DATA/HORA]],"mmmm"))</f>
        <v>Janeiro</v>
      </c>
      <c r="C782" s="34" t="str">
        <f>PROPER(TEXT(tbLOG[[#This Row],[DATA/HORA]],"dddd"))</f>
        <v>Sexta-Feira</v>
      </c>
      <c r="D782" s="3" t="s">
        <v>604</v>
      </c>
      <c r="E782" s="34" t="str">
        <f>IFERROR(VLOOKUP(tbLOG[[#This Row],[LOGIN]],tbMAPA[#All],2,0), "Não localizado")</f>
        <v>Renan Cazumba Tegani</v>
      </c>
      <c r="F782" s="34" t="str">
        <f>IFERROR(VLOOKUP(tbLOG[[#This Row],[LOGIN]],tbMAPA[#All],3,0), "Não localizado")</f>
        <v>Reginaldo Santana De Souza</v>
      </c>
      <c r="G782" s="3" t="s">
        <v>1211</v>
      </c>
      <c r="H782" s="3" t="s">
        <v>836</v>
      </c>
    </row>
    <row r="783" spans="1:8">
      <c r="A783" s="29">
        <v>42741.636597222219</v>
      </c>
      <c r="B783" s="29" t="str">
        <f>PROPER(TEXT(tbLOG[[#This Row],[DATA/HORA]],"mmmm"))</f>
        <v>Janeiro</v>
      </c>
      <c r="C783" s="34" t="str">
        <f>PROPER(TEXT(tbLOG[[#This Row],[DATA/HORA]],"dddd"))</f>
        <v>Sexta-Feira</v>
      </c>
      <c r="D783" s="3" t="s">
        <v>604</v>
      </c>
      <c r="E783" s="34" t="str">
        <f>IFERROR(VLOOKUP(tbLOG[[#This Row],[LOGIN]],tbMAPA[#All],2,0), "Não localizado")</f>
        <v>Renan Cazumba Tegani</v>
      </c>
      <c r="F783" s="34" t="str">
        <f>IFERROR(VLOOKUP(tbLOG[[#This Row],[LOGIN]],tbMAPA[#All],3,0), "Não localizado")</f>
        <v>Reginaldo Santana De Souza</v>
      </c>
      <c r="G783" s="3" t="s">
        <v>1211</v>
      </c>
      <c r="H783" s="3" t="s">
        <v>836</v>
      </c>
    </row>
    <row r="784" spans="1:8">
      <c r="A784" s="29">
        <v>42741.64199074074</v>
      </c>
      <c r="B784" s="29" t="str">
        <f>PROPER(TEXT(tbLOG[[#This Row],[DATA/HORA]],"mmmm"))</f>
        <v>Janeiro</v>
      </c>
      <c r="C784" s="34" t="str">
        <f>PROPER(TEXT(tbLOG[[#This Row],[DATA/HORA]],"dddd"))</f>
        <v>Sexta-Feira</v>
      </c>
      <c r="D784" s="3" t="s">
        <v>604</v>
      </c>
      <c r="E784" s="34" t="str">
        <f>IFERROR(VLOOKUP(tbLOG[[#This Row],[LOGIN]],tbMAPA[#All],2,0), "Não localizado")</f>
        <v>Renan Cazumba Tegani</v>
      </c>
      <c r="F784" s="34" t="str">
        <f>IFERROR(VLOOKUP(tbLOG[[#This Row],[LOGIN]],tbMAPA[#All],3,0), "Não localizado")</f>
        <v>Reginaldo Santana De Souza</v>
      </c>
      <c r="G784" s="3" t="s">
        <v>1211</v>
      </c>
      <c r="H784" s="3" t="s">
        <v>836</v>
      </c>
    </row>
    <row r="785" spans="1:8">
      <c r="A785" s="29">
        <v>42741.642013888886</v>
      </c>
      <c r="B785" s="29" t="str">
        <f>PROPER(TEXT(tbLOG[[#This Row],[DATA/HORA]],"mmmm"))</f>
        <v>Janeiro</v>
      </c>
      <c r="C785" s="34" t="str">
        <f>PROPER(TEXT(tbLOG[[#This Row],[DATA/HORA]],"dddd"))</f>
        <v>Sexta-Feira</v>
      </c>
      <c r="D785" s="3" t="s">
        <v>604</v>
      </c>
      <c r="E785" s="34" t="str">
        <f>IFERROR(VLOOKUP(tbLOG[[#This Row],[LOGIN]],tbMAPA[#All],2,0), "Não localizado")</f>
        <v>Renan Cazumba Tegani</v>
      </c>
      <c r="F785" s="34" t="str">
        <f>IFERROR(VLOOKUP(tbLOG[[#This Row],[LOGIN]],tbMAPA[#All],3,0), "Não localizado")</f>
        <v>Reginaldo Santana De Souza</v>
      </c>
      <c r="G785" s="3" t="s">
        <v>1211</v>
      </c>
      <c r="H785" s="3" t="s">
        <v>836</v>
      </c>
    </row>
    <row r="786" spans="1:8">
      <c r="A786" s="29">
        <v>42741.642245370371</v>
      </c>
      <c r="B786" s="29" t="str">
        <f>PROPER(TEXT(tbLOG[[#This Row],[DATA/HORA]],"mmmm"))</f>
        <v>Janeiro</v>
      </c>
      <c r="C786" s="34" t="str">
        <f>PROPER(TEXT(tbLOG[[#This Row],[DATA/HORA]],"dddd"))</f>
        <v>Sexta-Feira</v>
      </c>
      <c r="D786" s="3" t="s">
        <v>604</v>
      </c>
      <c r="E786" s="34" t="str">
        <f>IFERROR(VLOOKUP(tbLOG[[#This Row],[LOGIN]],tbMAPA[#All],2,0), "Não localizado")</f>
        <v>Renan Cazumba Tegani</v>
      </c>
      <c r="F786" s="34" t="str">
        <f>IFERROR(VLOOKUP(tbLOG[[#This Row],[LOGIN]],tbMAPA[#All],3,0), "Não localizado")</f>
        <v>Reginaldo Santana De Souza</v>
      </c>
      <c r="G786" s="3" t="s">
        <v>1211</v>
      </c>
      <c r="H786" s="3" t="s">
        <v>836</v>
      </c>
    </row>
    <row r="787" spans="1:8">
      <c r="A787" s="29">
        <v>42741.643113425926</v>
      </c>
      <c r="B787" s="29" t="str">
        <f>PROPER(TEXT(tbLOG[[#This Row],[DATA/HORA]],"mmmm"))</f>
        <v>Janeiro</v>
      </c>
      <c r="C787" s="34" t="str">
        <f>PROPER(TEXT(tbLOG[[#This Row],[DATA/HORA]],"dddd"))</f>
        <v>Sexta-Feira</v>
      </c>
      <c r="D787" s="3" t="s">
        <v>604</v>
      </c>
      <c r="E787" s="34" t="str">
        <f>IFERROR(VLOOKUP(tbLOG[[#This Row],[LOGIN]],tbMAPA[#All],2,0), "Não localizado")</f>
        <v>Renan Cazumba Tegani</v>
      </c>
      <c r="F787" s="34" t="str">
        <f>IFERROR(VLOOKUP(tbLOG[[#This Row],[LOGIN]],tbMAPA[#All],3,0), "Não localizado")</f>
        <v>Reginaldo Santana De Souza</v>
      </c>
      <c r="G787" s="3" t="s">
        <v>1211</v>
      </c>
      <c r="H787" s="3" t="s">
        <v>836</v>
      </c>
    </row>
    <row r="788" spans="1:8">
      <c r="A788" s="29">
        <v>42741.643125000002</v>
      </c>
      <c r="B788" s="29" t="str">
        <f>PROPER(TEXT(tbLOG[[#This Row],[DATA/HORA]],"mmmm"))</f>
        <v>Janeiro</v>
      </c>
      <c r="C788" s="34" t="str">
        <f>PROPER(TEXT(tbLOG[[#This Row],[DATA/HORA]],"dddd"))</f>
        <v>Sexta-Feira</v>
      </c>
      <c r="D788" s="3" t="s">
        <v>604</v>
      </c>
      <c r="E788" s="34" t="str">
        <f>IFERROR(VLOOKUP(tbLOG[[#This Row],[LOGIN]],tbMAPA[#All],2,0), "Não localizado")</f>
        <v>Renan Cazumba Tegani</v>
      </c>
      <c r="F788" s="34" t="str">
        <f>IFERROR(VLOOKUP(tbLOG[[#This Row],[LOGIN]],tbMAPA[#All],3,0), "Não localizado")</f>
        <v>Reginaldo Santana De Souza</v>
      </c>
      <c r="G788" s="3" t="s">
        <v>1211</v>
      </c>
      <c r="H788" s="3" t="s">
        <v>836</v>
      </c>
    </row>
    <row r="789" spans="1:8">
      <c r="A789" s="29">
        <v>42741.650451388887</v>
      </c>
      <c r="B789" s="29" t="str">
        <f>PROPER(TEXT(tbLOG[[#This Row],[DATA/HORA]],"mmmm"))</f>
        <v>Janeiro</v>
      </c>
      <c r="C789" s="34" t="str">
        <f>PROPER(TEXT(tbLOG[[#This Row],[DATA/HORA]],"dddd"))</f>
        <v>Sexta-Feira</v>
      </c>
      <c r="D789" s="3" t="s">
        <v>604</v>
      </c>
      <c r="E789" s="34" t="str">
        <f>IFERROR(VLOOKUP(tbLOG[[#This Row],[LOGIN]],tbMAPA[#All],2,0), "Não localizado")</f>
        <v>Renan Cazumba Tegani</v>
      </c>
      <c r="F789" s="34" t="str">
        <f>IFERROR(VLOOKUP(tbLOG[[#This Row],[LOGIN]],tbMAPA[#All],3,0), "Não localizado")</f>
        <v>Reginaldo Santana De Souza</v>
      </c>
      <c r="G789" s="3" t="s">
        <v>1211</v>
      </c>
      <c r="H789" s="3" t="s">
        <v>836</v>
      </c>
    </row>
    <row r="790" spans="1:8">
      <c r="A790" s="29">
        <v>42741.650462962964</v>
      </c>
      <c r="B790" s="29" t="str">
        <f>PROPER(TEXT(tbLOG[[#This Row],[DATA/HORA]],"mmmm"))</f>
        <v>Janeiro</v>
      </c>
      <c r="C790" s="34" t="str">
        <f>PROPER(TEXT(tbLOG[[#This Row],[DATA/HORA]],"dddd"))</f>
        <v>Sexta-Feira</v>
      </c>
      <c r="D790" s="3" t="s">
        <v>604</v>
      </c>
      <c r="E790" s="34" t="str">
        <f>IFERROR(VLOOKUP(tbLOG[[#This Row],[LOGIN]],tbMAPA[#All],2,0), "Não localizado")</f>
        <v>Renan Cazumba Tegani</v>
      </c>
      <c r="F790" s="34" t="str">
        <f>IFERROR(VLOOKUP(tbLOG[[#This Row],[LOGIN]],tbMAPA[#All],3,0), "Não localizado")</f>
        <v>Reginaldo Santana De Souza</v>
      </c>
      <c r="G790" s="3" t="s">
        <v>1211</v>
      </c>
      <c r="H790" s="3" t="s">
        <v>836</v>
      </c>
    </row>
    <row r="791" spans="1:8">
      <c r="A791" s="29">
        <v>42741.650694444441</v>
      </c>
      <c r="B791" s="29" t="str">
        <f>PROPER(TEXT(tbLOG[[#This Row],[DATA/HORA]],"mmmm"))</f>
        <v>Janeiro</v>
      </c>
      <c r="C791" s="34" t="str">
        <f>PROPER(TEXT(tbLOG[[#This Row],[DATA/HORA]],"dddd"))</f>
        <v>Sexta-Feira</v>
      </c>
      <c r="D791" s="3" t="s">
        <v>604</v>
      </c>
      <c r="E791" s="34" t="str">
        <f>IFERROR(VLOOKUP(tbLOG[[#This Row],[LOGIN]],tbMAPA[#All],2,0), "Não localizado")</f>
        <v>Renan Cazumba Tegani</v>
      </c>
      <c r="F791" s="34" t="str">
        <f>IFERROR(VLOOKUP(tbLOG[[#This Row],[LOGIN]],tbMAPA[#All],3,0), "Não localizado")</f>
        <v>Reginaldo Santana De Souza</v>
      </c>
      <c r="G791" s="3" t="s">
        <v>1211</v>
      </c>
      <c r="H791" s="3" t="s">
        <v>836</v>
      </c>
    </row>
    <row r="792" spans="1:8">
      <c r="A792" s="29">
        <v>42741.650752314818</v>
      </c>
      <c r="B792" s="29" t="str">
        <f>PROPER(TEXT(tbLOG[[#This Row],[DATA/HORA]],"mmmm"))</f>
        <v>Janeiro</v>
      </c>
      <c r="C792" s="34" t="str">
        <f>PROPER(TEXT(tbLOG[[#This Row],[DATA/HORA]],"dddd"))</f>
        <v>Sexta-Feira</v>
      </c>
      <c r="D792" s="3" t="s">
        <v>604</v>
      </c>
      <c r="E792" s="34" t="str">
        <f>IFERROR(VLOOKUP(tbLOG[[#This Row],[LOGIN]],tbMAPA[#All],2,0), "Não localizado")</f>
        <v>Renan Cazumba Tegani</v>
      </c>
      <c r="F792" s="34" t="str">
        <f>IFERROR(VLOOKUP(tbLOG[[#This Row],[LOGIN]],tbMAPA[#All],3,0), "Não localizado")</f>
        <v>Reginaldo Santana De Souza</v>
      </c>
      <c r="G792" s="3" t="s">
        <v>1211</v>
      </c>
      <c r="H792" s="3" t="s">
        <v>836</v>
      </c>
    </row>
    <row r="793" spans="1:8">
      <c r="A793" s="29">
        <v>42741.650787037041</v>
      </c>
      <c r="B793" s="29" t="str">
        <f>PROPER(TEXT(tbLOG[[#This Row],[DATA/HORA]],"mmmm"))</f>
        <v>Janeiro</v>
      </c>
      <c r="C793" s="34" t="str">
        <f>PROPER(TEXT(tbLOG[[#This Row],[DATA/HORA]],"dddd"))</f>
        <v>Sexta-Feira</v>
      </c>
      <c r="D793" s="3" t="s">
        <v>604</v>
      </c>
      <c r="E793" s="34" t="str">
        <f>IFERROR(VLOOKUP(tbLOG[[#This Row],[LOGIN]],tbMAPA[#All],2,0), "Não localizado")</f>
        <v>Renan Cazumba Tegani</v>
      </c>
      <c r="F793" s="34" t="str">
        <f>IFERROR(VLOOKUP(tbLOG[[#This Row],[LOGIN]],tbMAPA[#All],3,0), "Não localizado")</f>
        <v>Reginaldo Santana De Souza</v>
      </c>
      <c r="G793" s="3" t="s">
        <v>1211</v>
      </c>
      <c r="H793" s="3" t="s">
        <v>836</v>
      </c>
    </row>
    <row r="794" spans="1:8">
      <c r="A794" s="29">
        <v>42741.653020833335</v>
      </c>
      <c r="B794" s="29" t="str">
        <f>PROPER(TEXT(tbLOG[[#This Row],[DATA/HORA]],"mmmm"))</f>
        <v>Janeiro</v>
      </c>
      <c r="C794" s="34" t="str">
        <f>PROPER(TEXT(tbLOG[[#This Row],[DATA/HORA]],"dddd"))</f>
        <v>Sexta-Feira</v>
      </c>
      <c r="D794" s="3" t="s">
        <v>604</v>
      </c>
      <c r="E794" s="34" t="str">
        <f>IFERROR(VLOOKUP(tbLOG[[#This Row],[LOGIN]],tbMAPA[#All],2,0), "Não localizado")</f>
        <v>Renan Cazumba Tegani</v>
      </c>
      <c r="F794" s="34" t="str">
        <f>IFERROR(VLOOKUP(tbLOG[[#This Row],[LOGIN]],tbMAPA[#All],3,0), "Não localizado")</f>
        <v>Reginaldo Santana De Souza</v>
      </c>
      <c r="G794" s="3" t="s">
        <v>1211</v>
      </c>
      <c r="H794" s="3" t="s">
        <v>836</v>
      </c>
    </row>
    <row r="795" spans="1:8">
      <c r="A795" s="29">
        <v>42741.653101851851</v>
      </c>
      <c r="B795" s="29" t="str">
        <f>PROPER(TEXT(tbLOG[[#This Row],[DATA/HORA]],"mmmm"))</f>
        <v>Janeiro</v>
      </c>
      <c r="C795" s="34" t="str">
        <f>PROPER(TEXT(tbLOG[[#This Row],[DATA/HORA]],"dddd"))</f>
        <v>Sexta-Feira</v>
      </c>
      <c r="D795" s="3" t="s">
        <v>604</v>
      </c>
      <c r="E795" s="34" t="str">
        <f>IFERROR(VLOOKUP(tbLOG[[#This Row],[LOGIN]],tbMAPA[#All],2,0), "Não localizado")</f>
        <v>Renan Cazumba Tegani</v>
      </c>
      <c r="F795" s="34" t="str">
        <f>IFERROR(VLOOKUP(tbLOG[[#This Row],[LOGIN]],tbMAPA[#All],3,0), "Não localizado")</f>
        <v>Reginaldo Santana De Souza</v>
      </c>
      <c r="G795" s="3" t="s">
        <v>1211</v>
      </c>
      <c r="H795" s="3" t="s">
        <v>836</v>
      </c>
    </row>
    <row r="796" spans="1:8">
      <c r="A796" s="29">
        <v>42741.653553240743</v>
      </c>
      <c r="B796" s="29" t="str">
        <f>PROPER(TEXT(tbLOG[[#This Row],[DATA/HORA]],"mmmm"))</f>
        <v>Janeiro</v>
      </c>
      <c r="C796" s="34" t="str">
        <f>PROPER(TEXT(tbLOG[[#This Row],[DATA/HORA]],"dddd"))</f>
        <v>Sexta-Feira</v>
      </c>
      <c r="D796" s="3" t="s">
        <v>604</v>
      </c>
      <c r="E796" s="34" t="str">
        <f>IFERROR(VLOOKUP(tbLOG[[#This Row],[LOGIN]],tbMAPA[#All],2,0), "Não localizado")</f>
        <v>Renan Cazumba Tegani</v>
      </c>
      <c r="F796" s="34" t="str">
        <f>IFERROR(VLOOKUP(tbLOG[[#This Row],[LOGIN]],tbMAPA[#All],3,0), "Não localizado")</f>
        <v>Reginaldo Santana De Souza</v>
      </c>
      <c r="G796" s="3" t="s">
        <v>1211</v>
      </c>
      <c r="H796" s="3" t="s">
        <v>836</v>
      </c>
    </row>
    <row r="797" spans="1:8">
      <c r="A797" s="29">
        <v>42741.661377314813</v>
      </c>
      <c r="B797" s="29" t="str">
        <f>PROPER(TEXT(tbLOG[[#This Row],[DATA/HORA]],"mmmm"))</f>
        <v>Janeiro</v>
      </c>
      <c r="C797" s="34" t="str">
        <f>PROPER(TEXT(tbLOG[[#This Row],[DATA/HORA]],"dddd"))</f>
        <v>Sexta-Feira</v>
      </c>
      <c r="D797" s="3" t="s">
        <v>604</v>
      </c>
      <c r="E797" s="34" t="str">
        <f>IFERROR(VLOOKUP(tbLOG[[#This Row],[LOGIN]],tbMAPA[#All],2,0), "Não localizado")</f>
        <v>Renan Cazumba Tegani</v>
      </c>
      <c r="F797" s="34" t="str">
        <f>IFERROR(VLOOKUP(tbLOG[[#This Row],[LOGIN]],tbMAPA[#All],3,0), "Não localizado")</f>
        <v>Reginaldo Santana De Souza</v>
      </c>
      <c r="G797" s="3" t="s">
        <v>1211</v>
      </c>
      <c r="H797" s="3" t="s">
        <v>836</v>
      </c>
    </row>
    <row r="798" spans="1:8">
      <c r="A798" s="29">
        <v>42741.661400462966</v>
      </c>
      <c r="B798" s="29" t="str">
        <f>PROPER(TEXT(tbLOG[[#This Row],[DATA/HORA]],"mmmm"))</f>
        <v>Janeiro</v>
      </c>
      <c r="C798" s="34" t="str">
        <f>PROPER(TEXT(tbLOG[[#This Row],[DATA/HORA]],"dddd"))</f>
        <v>Sexta-Feira</v>
      </c>
      <c r="D798" s="3" t="s">
        <v>604</v>
      </c>
      <c r="E798" s="34" t="str">
        <f>IFERROR(VLOOKUP(tbLOG[[#This Row],[LOGIN]],tbMAPA[#All],2,0), "Não localizado")</f>
        <v>Renan Cazumba Tegani</v>
      </c>
      <c r="F798" s="34" t="str">
        <f>IFERROR(VLOOKUP(tbLOG[[#This Row],[LOGIN]],tbMAPA[#All],3,0), "Não localizado")</f>
        <v>Reginaldo Santana De Souza</v>
      </c>
      <c r="G798" s="3" t="s">
        <v>1211</v>
      </c>
      <c r="H798" s="3" t="s">
        <v>836</v>
      </c>
    </row>
    <row r="799" spans="1:8">
      <c r="A799" s="29">
        <v>42741.661435185182</v>
      </c>
      <c r="B799" s="29" t="str">
        <f>PROPER(TEXT(tbLOG[[#This Row],[DATA/HORA]],"mmmm"))</f>
        <v>Janeiro</v>
      </c>
      <c r="C799" s="34" t="str">
        <f>PROPER(TEXT(tbLOG[[#This Row],[DATA/HORA]],"dddd"))</f>
        <v>Sexta-Feira</v>
      </c>
      <c r="D799" s="3" t="s">
        <v>604</v>
      </c>
      <c r="E799" s="34" t="str">
        <f>IFERROR(VLOOKUP(tbLOG[[#This Row],[LOGIN]],tbMAPA[#All],2,0), "Não localizado")</f>
        <v>Renan Cazumba Tegani</v>
      </c>
      <c r="F799" s="34" t="str">
        <f>IFERROR(VLOOKUP(tbLOG[[#This Row],[LOGIN]],tbMAPA[#All],3,0), "Não localizado")</f>
        <v>Reginaldo Santana De Souza</v>
      </c>
      <c r="G799" s="3" t="s">
        <v>1211</v>
      </c>
      <c r="H799" s="3" t="s">
        <v>836</v>
      </c>
    </row>
    <row r="800" spans="1:8">
      <c r="A800" s="29">
        <v>42741.662002314813</v>
      </c>
      <c r="B800" s="29" t="str">
        <f>PROPER(TEXT(tbLOG[[#This Row],[DATA/HORA]],"mmmm"))</f>
        <v>Janeiro</v>
      </c>
      <c r="C800" s="34" t="str">
        <f>PROPER(TEXT(tbLOG[[#This Row],[DATA/HORA]],"dddd"))</f>
        <v>Sexta-Feira</v>
      </c>
      <c r="D800" s="3" t="s">
        <v>604</v>
      </c>
      <c r="E800" s="34" t="str">
        <f>IFERROR(VLOOKUP(tbLOG[[#This Row],[LOGIN]],tbMAPA[#All],2,0), "Não localizado")</f>
        <v>Renan Cazumba Tegani</v>
      </c>
      <c r="F800" s="34" t="str">
        <f>IFERROR(VLOOKUP(tbLOG[[#This Row],[LOGIN]],tbMAPA[#All],3,0), "Não localizado")</f>
        <v>Reginaldo Santana De Souza</v>
      </c>
      <c r="G800" s="3" t="s">
        <v>1211</v>
      </c>
      <c r="H800" s="3" t="s">
        <v>836</v>
      </c>
    </row>
    <row r="801" spans="1:8">
      <c r="A801" s="29">
        <v>42741.67150462963</v>
      </c>
      <c r="B801" s="29" t="str">
        <f>PROPER(TEXT(tbLOG[[#This Row],[DATA/HORA]],"mmmm"))</f>
        <v>Janeiro</v>
      </c>
      <c r="C801" s="34" t="str">
        <f>PROPER(TEXT(tbLOG[[#This Row],[DATA/HORA]],"dddd"))</f>
        <v>Sexta-Feira</v>
      </c>
      <c r="D801" s="3" t="s">
        <v>604</v>
      </c>
      <c r="E801" s="34" t="str">
        <f>IFERROR(VLOOKUP(tbLOG[[#This Row],[LOGIN]],tbMAPA[#All],2,0), "Não localizado")</f>
        <v>Renan Cazumba Tegani</v>
      </c>
      <c r="F801" s="34" t="str">
        <f>IFERROR(VLOOKUP(tbLOG[[#This Row],[LOGIN]],tbMAPA[#All],3,0), "Não localizado")</f>
        <v>Reginaldo Santana De Souza</v>
      </c>
      <c r="G801" s="3" t="s">
        <v>1211</v>
      </c>
      <c r="H801" s="3" t="s">
        <v>836</v>
      </c>
    </row>
    <row r="802" spans="1:8">
      <c r="A802" s="29">
        <v>42741.671516203707</v>
      </c>
      <c r="B802" s="29" t="str">
        <f>PROPER(TEXT(tbLOG[[#This Row],[DATA/HORA]],"mmmm"))</f>
        <v>Janeiro</v>
      </c>
      <c r="C802" s="34" t="str">
        <f>PROPER(TEXT(tbLOG[[#This Row],[DATA/HORA]],"dddd"))</f>
        <v>Sexta-Feira</v>
      </c>
      <c r="D802" s="3" t="s">
        <v>604</v>
      </c>
      <c r="E802" s="34" t="str">
        <f>IFERROR(VLOOKUP(tbLOG[[#This Row],[LOGIN]],tbMAPA[#All],2,0), "Não localizado")</f>
        <v>Renan Cazumba Tegani</v>
      </c>
      <c r="F802" s="34" t="str">
        <f>IFERROR(VLOOKUP(tbLOG[[#This Row],[LOGIN]],tbMAPA[#All],3,0), "Não localizado")</f>
        <v>Reginaldo Santana De Souza</v>
      </c>
      <c r="G802" s="3" t="s">
        <v>1211</v>
      </c>
      <c r="H802" s="3" t="s">
        <v>836</v>
      </c>
    </row>
    <row r="803" spans="1:8">
      <c r="A803" s="29">
        <v>42741.6716087963</v>
      </c>
      <c r="B803" s="29" t="str">
        <f>PROPER(TEXT(tbLOG[[#This Row],[DATA/HORA]],"mmmm"))</f>
        <v>Janeiro</v>
      </c>
      <c r="C803" s="34" t="str">
        <f>PROPER(TEXT(tbLOG[[#This Row],[DATA/HORA]],"dddd"))</f>
        <v>Sexta-Feira</v>
      </c>
      <c r="D803" s="3" t="s">
        <v>604</v>
      </c>
      <c r="E803" s="34" t="str">
        <f>IFERROR(VLOOKUP(tbLOG[[#This Row],[LOGIN]],tbMAPA[#All],2,0), "Não localizado")</f>
        <v>Renan Cazumba Tegani</v>
      </c>
      <c r="F803" s="34" t="str">
        <f>IFERROR(VLOOKUP(tbLOG[[#This Row],[LOGIN]],tbMAPA[#All],3,0), "Não localizado")</f>
        <v>Reginaldo Santana De Souza</v>
      </c>
      <c r="G803" s="3" t="s">
        <v>1211</v>
      </c>
      <c r="H803" s="3" t="s">
        <v>836</v>
      </c>
    </row>
    <row r="804" spans="1:8">
      <c r="A804" s="29">
        <v>42741.676412037035</v>
      </c>
      <c r="B804" s="29" t="str">
        <f>PROPER(TEXT(tbLOG[[#This Row],[DATA/HORA]],"mmmm"))</f>
        <v>Janeiro</v>
      </c>
      <c r="C804" s="34" t="str">
        <f>PROPER(TEXT(tbLOG[[#This Row],[DATA/HORA]],"dddd"))</f>
        <v>Sexta-Feira</v>
      </c>
      <c r="D804" s="3" t="s">
        <v>604</v>
      </c>
      <c r="E804" s="34" t="str">
        <f>IFERROR(VLOOKUP(tbLOG[[#This Row],[LOGIN]],tbMAPA[#All],2,0), "Não localizado")</f>
        <v>Renan Cazumba Tegani</v>
      </c>
      <c r="F804" s="34" t="str">
        <f>IFERROR(VLOOKUP(tbLOG[[#This Row],[LOGIN]],tbMAPA[#All],3,0), "Não localizado")</f>
        <v>Reginaldo Santana De Souza</v>
      </c>
      <c r="G804" s="3" t="s">
        <v>1211</v>
      </c>
      <c r="H804" s="3" t="s">
        <v>836</v>
      </c>
    </row>
    <row r="805" spans="1:8">
      <c r="A805" s="29">
        <v>42741.679027777776</v>
      </c>
      <c r="B805" s="29" t="str">
        <f>PROPER(TEXT(tbLOG[[#This Row],[DATA/HORA]],"mmmm"))</f>
        <v>Janeiro</v>
      </c>
      <c r="C805" s="34" t="str">
        <f>PROPER(TEXT(tbLOG[[#This Row],[DATA/HORA]],"dddd"))</f>
        <v>Sexta-Feira</v>
      </c>
      <c r="D805" s="3" t="s">
        <v>604</v>
      </c>
      <c r="E805" s="34" t="str">
        <f>IFERROR(VLOOKUP(tbLOG[[#This Row],[LOGIN]],tbMAPA[#All],2,0), "Não localizado")</f>
        <v>Renan Cazumba Tegani</v>
      </c>
      <c r="F805" s="34" t="str">
        <f>IFERROR(VLOOKUP(tbLOG[[#This Row],[LOGIN]],tbMAPA[#All],3,0), "Não localizado")</f>
        <v>Reginaldo Santana De Souza</v>
      </c>
      <c r="G805" s="3" t="s">
        <v>1211</v>
      </c>
      <c r="H805" s="3" t="s">
        <v>836</v>
      </c>
    </row>
    <row r="806" spans="1:8">
      <c r="A806" s="29">
        <v>42741.679039351853</v>
      </c>
      <c r="B806" s="29" t="str">
        <f>PROPER(TEXT(tbLOG[[#This Row],[DATA/HORA]],"mmmm"))</f>
        <v>Janeiro</v>
      </c>
      <c r="C806" s="34" t="str">
        <f>PROPER(TEXT(tbLOG[[#This Row],[DATA/HORA]],"dddd"))</f>
        <v>Sexta-Feira</v>
      </c>
      <c r="D806" s="3" t="s">
        <v>604</v>
      </c>
      <c r="E806" s="34" t="str">
        <f>IFERROR(VLOOKUP(tbLOG[[#This Row],[LOGIN]],tbMAPA[#All],2,0), "Não localizado")</f>
        <v>Renan Cazumba Tegani</v>
      </c>
      <c r="F806" s="34" t="str">
        <f>IFERROR(VLOOKUP(tbLOG[[#This Row],[LOGIN]],tbMAPA[#All],3,0), "Não localizado")</f>
        <v>Reginaldo Santana De Souza</v>
      </c>
      <c r="G806" s="3" t="s">
        <v>1211</v>
      </c>
      <c r="H806" s="3" t="s">
        <v>836</v>
      </c>
    </row>
    <row r="807" spans="1:8">
      <c r="A807" s="29">
        <v>42741.679062499999</v>
      </c>
      <c r="B807" s="29" t="str">
        <f>PROPER(TEXT(tbLOG[[#This Row],[DATA/HORA]],"mmmm"))</f>
        <v>Janeiro</v>
      </c>
      <c r="C807" s="34" t="str">
        <f>PROPER(TEXT(tbLOG[[#This Row],[DATA/HORA]],"dddd"))</f>
        <v>Sexta-Feira</v>
      </c>
      <c r="D807" s="3" t="s">
        <v>604</v>
      </c>
      <c r="E807" s="34" t="str">
        <f>IFERROR(VLOOKUP(tbLOG[[#This Row],[LOGIN]],tbMAPA[#All],2,0), "Não localizado")</f>
        <v>Renan Cazumba Tegani</v>
      </c>
      <c r="F807" s="34" t="str">
        <f>IFERROR(VLOOKUP(tbLOG[[#This Row],[LOGIN]],tbMAPA[#All],3,0), "Não localizado")</f>
        <v>Reginaldo Santana De Souza</v>
      </c>
      <c r="G807" s="3" t="s">
        <v>1211</v>
      </c>
      <c r="H807" s="3" t="s">
        <v>836</v>
      </c>
    </row>
    <row r="808" spans="1:8">
      <c r="A808" s="29">
        <v>42741.681377314817</v>
      </c>
      <c r="B808" s="29" t="str">
        <f>PROPER(TEXT(tbLOG[[#This Row],[DATA/HORA]],"mmmm"))</f>
        <v>Janeiro</v>
      </c>
      <c r="C808" s="34" t="str">
        <f>PROPER(TEXT(tbLOG[[#This Row],[DATA/HORA]],"dddd"))</f>
        <v>Sexta-Feira</v>
      </c>
      <c r="D808" s="3" t="s">
        <v>604</v>
      </c>
      <c r="E808" s="34" t="str">
        <f>IFERROR(VLOOKUP(tbLOG[[#This Row],[LOGIN]],tbMAPA[#All],2,0), "Não localizado")</f>
        <v>Renan Cazumba Tegani</v>
      </c>
      <c r="F808" s="34" t="str">
        <f>IFERROR(VLOOKUP(tbLOG[[#This Row],[LOGIN]],tbMAPA[#All],3,0), "Não localizado")</f>
        <v>Reginaldo Santana De Souza</v>
      </c>
      <c r="G808" s="3" t="s">
        <v>1211</v>
      </c>
      <c r="H808" s="3" t="s">
        <v>836</v>
      </c>
    </row>
    <row r="809" spans="1:8">
      <c r="A809" s="29">
        <v>42741.681400462963</v>
      </c>
      <c r="B809" s="29" t="str">
        <f>PROPER(TEXT(tbLOG[[#This Row],[DATA/HORA]],"mmmm"))</f>
        <v>Janeiro</v>
      </c>
      <c r="C809" s="34" t="str">
        <f>PROPER(TEXT(tbLOG[[#This Row],[DATA/HORA]],"dddd"))</f>
        <v>Sexta-Feira</v>
      </c>
      <c r="D809" s="3" t="s">
        <v>604</v>
      </c>
      <c r="E809" s="34" t="str">
        <f>IFERROR(VLOOKUP(tbLOG[[#This Row],[LOGIN]],tbMAPA[#All],2,0), "Não localizado")</f>
        <v>Renan Cazumba Tegani</v>
      </c>
      <c r="F809" s="34" t="str">
        <f>IFERROR(VLOOKUP(tbLOG[[#This Row],[LOGIN]],tbMAPA[#All],3,0), "Não localizado")</f>
        <v>Reginaldo Santana De Souza</v>
      </c>
      <c r="G809" s="3" t="s">
        <v>1211</v>
      </c>
      <c r="H809" s="3" t="s">
        <v>836</v>
      </c>
    </row>
    <row r="810" spans="1:8">
      <c r="A810" s="29">
        <v>42741.681504629632</v>
      </c>
      <c r="B810" s="29" t="str">
        <f>PROPER(TEXT(tbLOG[[#This Row],[DATA/HORA]],"mmmm"))</f>
        <v>Janeiro</v>
      </c>
      <c r="C810" s="34" t="str">
        <f>PROPER(TEXT(tbLOG[[#This Row],[DATA/HORA]],"dddd"))</f>
        <v>Sexta-Feira</v>
      </c>
      <c r="D810" s="3" t="s">
        <v>604</v>
      </c>
      <c r="E810" s="34" t="str">
        <f>IFERROR(VLOOKUP(tbLOG[[#This Row],[LOGIN]],tbMAPA[#All],2,0), "Não localizado")</f>
        <v>Renan Cazumba Tegani</v>
      </c>
      <c r="F810" s="34" t="str">
        <f>IFERROR(VLOOKUP(tbLOG[[#This Row],[LOGIN]],tbMAPA[#All],3,0), "Não localizado")</f>
        <v>Reginaldo Santana De Souza</v>
      </c>
      <c r="G810" s="3" t="s">
        <v>1211</v>
      </c>
      <c r="H810" s="3" t="s">
        <v>836</v>
      </c>
    </row>
    <row r="811" spans="1:8">
      <c r="A811" s="29">
        <v>42741.681620370371</v>
      </c>
      <c r="B811" s="29" t="str">
        <f>PROPER(TEXT(tbLOG[[#This Row],[DATA/HORA]],"mmmm"))</f>
        <v>Janeiro</v>
      </c>
      <c r="C811" s="34" t="str">
        <f>PROPER(TEXT(tbLOG[[#This Row],[DATA/HORA]],"dddd"))</f>
        <v>Sexta-Feira</v>
      </c>
      <c r="D811" s="3" t="s">
        <v>604</v>
      </c>
      <c r="E811" s="34" t="str">
        <f>IFERROR(VLOOKUP(tbLOG[[#This Row],[LOGIN]],tbMAPA[#All],2,0), "Não localizado")</f>
        <v>Renan Cazumba Tegani</v>
      </c>
      <c r="F811" s="34" t="str">
        <f>IFERROR(VLOOKUP(tbLOG[[#This Row],[LOGIN]],tbMAPA[#All],3,0), "Não localizado")</f>
        <v>Reginaldo Santana De Souza</v>
      </c>
      <c r="G811" s="3" t="s">
        <v>1211</v>
      </c>
      <c r="H811" s="3" t="s">
        <v>836</v>
      </c>
    </row>
    <row r="812" spans="1:8">
      <c r="A812" s="29">
        <v>42741.681643518517</v>
      </c>
      <c r="B812" s="29" t="str">
        <f>PROPER(TEXT(tbLOG[[#This Row],[DATA/HORA]],"mmmm"))</f>
        <v>Janeiro</v>
      </c>
      <c r="C812" s="34" t="str">
        <f>PROPER(TEXT(tbLOG[[#This Row],[DATA/HORA]],"dddd"))</f>
        <v>Sexta-Feira</v>
      </c>
      <c r="D812" s="3" t="s">
        <v>604</v>
      </c>
      <c r="E812" s="34" t="str">
        <f>IFERROR(VLOOKUP(tbLOG[[#This Row],[LOGIN]],tbMAPA[#All],2,0), "Não localizado")</f>
        <v>Renan Cazumba Tegani</v>
      </c>
      <c r="F812" s="34" t="str">
        <f>IFERROR(VLOOKUP(tbLOG[[#This Row],[LOGIN]],tbMAPA[#All],3,0), "Não localizado")</f>
        <v>Reginaldo Santana De Souza</v>
      </c>
      <c r="G812" s="3" t="s">
        <v>1211</v>
      </c>
      <c r="H812" s="3" t="s">
        <v>836</v>
      </c>
    </row>
    <row r="813" spans="1:8">
      <c r="A813" s="29">
        <v>42741.682118055556</v>
      </c>
      <c r="B813" s="29" t="str">
        <f>PROPER(TEXT(tbLOG[[#This Row],[DATA/HORA]],"mmmm"))</f>
        <v>Janeiro</v>
      </c>
      <c r="C813" s="34" t="str">
        <f>PROPER(TEXT(tbLOG[[#This Row],[DATA/HORA]],"dddd"))</f>
        <v>Sexta-Feira</v>
      </c>
      <c r="D813" s="3" t="s">
        <v>604</v>
      </c>
      <c r="E813" s="34" t="str">
        <f>IFERROR(VLOOKUP(tbLOG[[#This Row],[LOGIN]],tbMAPA[#All],2,0), "Não localizado")</f>
        <v>Renan Cazumba Tegani</v>
      </c>
      <c r="F813" s="34" t="str">
        <f>IFERROR(VLOOKUP(tbLOG[[#This Row],[LOGIN]],tbMAPA[#All],3,0), "Não localizado")</f>
        <v>Reginaldo Santana De Souza</v>
      </c>
      <c r="G813" s="3" t="s">
        <v>1211</v>
      </c>
      <c r="H813" s="3" t="s">
        <v>290</v>
      </c>
    </row>
    <row r="814" spans="1:8">
      <c r="A814" s="29">
        <v>42741.685902777775</v>
      </c>
      <c r="B814" s="29" t="str">
        <f>PROPER(TEXT(tbLOG[[#This Row],[DATA/HORA]],"mmmm"))</f>
        <v>Janeiro</v>
      </c>
      <c r="C814" s="34" t="str">
        <f>PROPER(TEXT(tbLOG[[#This Row],[DATA/HORA]],"dddd"))</f>
        <v>Sexta-Feira</v>
      </c>
      <c r="D814" s="3" t="s">
        <v>604</v>
      </c>
      <c r="E814" s="34" t="str">
        <f>IFERROR(VLOOKUP(tbLOG[[#This Row],[LOGIN]],tbMAPA[#All],2,0), "Não localizado")</f>
        <v>Renan Cazumba Tegani</v>
      </c>
      <c r="F814" s="34" t="str">
        <f>IFERROR(VLOOKUP(tbLOG[[#This Row],[LOGIN]],tbMAPA[#All],3,0), "Não localizado")</f>
        <v>Reginaldo Santana De Souza</v>
      </c>
      <c r="G814" s="3" t="s">
        <v>1211</v>
      </c>
      <c r="H814" s="3" t="s">
        <v>836</v>
      </c>
    </row>
    <row r="815" spans="1:8">
      <c r="A815" s="29">
        <v>42741.685925925929</v>
      </c>
      <c r="B815" s="29" t="str">
        <f>PROPER(TEXT(tbLOG[[#This Row],[DATA/HORA]],"mmmm"))</f>
        <v>Janeiro</v>
      </c>
      <c r="C815" s="34" t="str">
        <f>PROPER(TEXT(tbLOG[[#This Row],[DATA/HORA]],"dddd"))</f>
        <v>Sexta-Feira</v>
      </c>
      <c r="D815" s="3" t="s">
        <v>604</v>
      </c>
      <c r="E815" s="34" t="str">
        <f>IFERROR(VLOOKUP(tbLOG[[#This Row],[LOGIN]],tbMAPA[#All],2,0), "Não localizado")</f>
        <v>Renan Cazumba Tegani</v>
      </c>
      <c r="F815" s="34" t="str">
        <f>IFERROR(VLOOKUP(tbLOG[[#This Row],[LOGIN]],tbMAPA[#All],3,0), "Não localizado")</f>
        <v>Reginaldo Santana De Souza</v>
      </c>
      <c r="G815" s="3" t="s">
        <v>1211</v>
      </c>
      <c r="H815" s="3" t="s">
        <v>836</v>
      </c>
    </row>
    <row r="816" spans="1:8">
      <c r="A816" s="29">
        <v>42741.686122685183</v>
      </c>
      <c r="B816" s="29" t="str">
        <f>PROPER(TEXT(tbLOG[[#This Row],[DATA/HORA]],"mmmm"))</f>
        <v>Janeiro</v>
      </c>
      <c r="C816" s="34" t="str">
        <f>PROPER(TEXT(tbLOG[[#This Row],[DATA/HORA]],"dddd"))</f>
        <v>Sexta-Feira</v>
      </c>
      <c r="D816" s="3" t="s">
        <v>604</v>
      </c>
      <c r="E816" s="34" t="str">
        <f>IFERROR(VLOOKUP(tbLOG[[#This Row],[LOGIN]],tbMAPA[#All],2,0), "Não localizado")</f>
        <v>Renan Cazumba Tegani</v>
      </c>
      <c r="F816" s="34" t="str">
        <f>IFERROR(VLOOKUP(tbLOG[[#This Row],[LOGIN]],tbMAPA[#All],3,0), "Não localizado")</f>
        <v>Reginaldo Santana De Souza</v>
      </c>
      <c r="G816" s="3" t="s">
        <v>1211</v>
      </c>
      <c r="H816" s="3" t="s">
        <v>836</v>
      </c>
    </row>
    <row r="817" spans="1:8">
      <c r="A817" s="29">
        <v>42741.687303240738</v>
      </c>
      <c r="B817" s="29" t="str">
        <f>PROPER(TEXT(tbLOG[[#This Row],[DATA/HORA]],"mmmm"))</f>
        <v>Janeiro</v>
      </c>
      <c r="C817" s="34" t="str">
        <f>PROPER(TEXT(tbLOG[[#This Row],[DATA/HORA]],"dddd"))</f>
        <v>Sexta-Feira</v>
      </c>
      <c r="D817" s="3" t="s">
        <v>604</v>
      </c>
      <c r="E817" s="34" t="str">
        <f>IFERROR(VLOOKUP(tbLOG[[#This Row],[LOGIN]],tbMAPA[#All],2,0), "Não localizado")</f>
        <v>Renan Cazumba Tegani</v>
      </c>
      <c r="F817" s="34" t="str">
        <f>IFERROR(VLOOKUP(tbLOG[[#This Row],[LOGIN]],tbMAPA[#All],3,0), "Não localizado")</f>
        <v>Reginaldo Santana De Souza</v>
      </c>
      <c r="G817" s="3" t="s">
        <v>1211</v>
      </c>
      <c r="H817" s="3" t="s">
        <v>836</v>
      </c>
    </row>
    <row r="818" spans="1:8">
      <c r="A818" s="29">
        <v>42741.687326388892</v>
      </c>
      <c r="B818" s="29" t="str">
        <f>PROPER(TEXT(tbLOG[[#This Row],[DATA/HORA]],"mmmm"))</f>
        <v>Janeiro</v>
      </c>
      <c r="C818" s="34" t="str">
        <f>PROPER(TEXT(tbLOG[[#This Row],[DATA/HORA]],"dddd"))</f>
        <v>Sexta-Feira</v>
      </c>
      <c r="D818" s="3" t="s">
        <v>604</v>
      </c>
      <c r="E818" s="34" t="str">
        <f>IFERROR(VLOOKUP(tbLOG[[#This Row],[LOGIN]],tbMAPA[#All],2,0), "Não localizado")</f>
        <v>Renan Cazumba Tegani</v>
      </c>
      <c r="F818" s="34" t="str">
        <f>IFERROR(VLOOKUP(tbLOG[[#This Row],[LOGIN]],tbMAPA[#All],3,0), "Não localizado")</f>
        <v>Reginaldo Santana De Souza</v>
      </c>
      <c r="G818" s="3" t="s">
        <v>1211</v>
      </c>
      <c r="H818" s="3" t="s">
        <v>836</v>
      </c>
    </row>
    <row r="819" spans="1:8">
      <c r="A819" s="29">
        <v>42741.687407407408</v>
      </c>
      <c r="B819" s="29" t="str">
        <f>PROPER(TEXT(tbLOG[[#This Row],[DATA/HORA]],"mmmm"))</f>
        <v>Janeiro</v>
      </c>
      <c r="C819" s="34" t="str">
        <f>PROPER(TEXT(tbLOG[[#This Row],[DATA/HORA]],"dddd"))</f>
        <v>Sexta-Feira</v>
      </c>
      <c r="D819" s="3" t="s">
        <v>604</v>
      </c>
      <c r="E819" s="34" t="str">
        <f>IFERROR(VLOOKUP(tbLOG[[#This Row],[LOGIN]],tbMAPA[#All],2,0), "Não localizado")</f>
        <v>Renan Cazumba Tegani</v>
      </c>
      <c r="F819" s="34" t="str">
        <f>IFERROR(VLOOKUP(tbLOG[[#This Row],[LOGIN]],tbMAPA[#All],3,0), "Não localizado")</f>
        <v>Reginaldo Santana De Souza</v>
      </c>
      <c r="G819" s="3" t="s">
        <v>1211</v>
      </c>
      <c r="H819" s="3" t="s">
        <v>836</v>
      </c>
    </row>
    <row r="820" spans="1:8">
      <c r="A820" s="29">
        <v>42741.687962962962</v>
      </c>
      <c r="B820" s="29" t="str">
        <f>PROPER(TEXT(tbLOG[[#This Row],[DATA/HORA]],"mmmm"))</f>
        <v>Janeiro</v>
      </c>
      <c r="C820" s="34" t="str">
        <f>PROPER(TEXT(tbLOG[[#This Row],[DATA/HORA]],"dddd"))</f>
        <v>Sexta-Feira</v>
      </c>
      <c r="D820" s="3" t="s">
        <v>604</v>
      </c>
      <c r="E820" s="34" t="str">
        <f>IFERROR(VLOOKUP(tbLOG[[#This Row],[LOGIN]],tbMAPA[#All],2,0), "Não localizado")</f>
        <v>Renan Cazumba Tegani</v>
      </c>
      <c r="F820" s="34" t="str">
        <f>IFERROR(VLOOKUP(tbLOG[[#This Row],[LOGIN]],tbMAPA[#All],3,0), "Não localizado")</f>
        <v>Reginaldo Santana De Souza</v>
      </c>
      <c r="G820" s="3" t="s">
        <v>1211</v>
      </c>
      <c r="H820" s="3" t="s">
        <v>994</v>
      </c>
    </row>
    <row r="821" spans="1:8">
      <c r="A821" s="29">
        <v>42741.688344907408</v>
      </c>
      <c r="B821" s="29" t="str">
        <f>PROPER(TEXT(tbLOG[[#This Row],[DATA/HORA]],"mmmm"))</f>
        <v>Janeiro</v>
      </c>
      <c r="C821" s="34" t="str">
        <f>PROPER(TEXT(tbLOG[[#This Row],[DATA/HORA]],"dddd"))</f>
        <v>Sexta-Feira</v>
      </c>
      <c r="D821" s="3" t="s">
        <v>604</v>
      </c>
      <c r="E821" s="34" t="str">
        <f>IFERROR(VLOOKUP(tbLOG[[#This Row],[LOGIN]],tbMAPA[#All],2,0), "Não localizado")</f>
        <v>Renan Cazumba Tegani</v>
      </c>
      <c r="F821" s="34" t="str">
        <f>IFERROR(VLOOKUP(tbLOG[[#This Row],[LOGIN]],tbMAPA[#All],3,0), "Não localizado")</f>
        <v>Reginaldo Santana De Souza</v>
      </c>
      <c r="G821" s="3" t="s">
        <v>1211</v>
      </c>
      <c r="H821" s="3" t="s">
        <v>836</v>
      </c>
    </row>
    <row r="822" spans="1:8">
      <c r="A822" s="29">
        <v>42741.688379629632</v>
      </c>
      <c r="B822" s="29" t="str">
        <f>PROPER(TEXT(tbLOG[[#This Row],[DATA/HORA]],"mmmm"))</f>
        <v>Janeiro</v>
      </c>
      <c r="C822" s="34" t="str">
        <f>PROPER(TEXT(tbLOG[[#This Row],[DATA/HORA]],"dddd"))</f>
        <v>Sexta-Feira</v>
      </c>
      <c r="D822" s="3" t="s">
        <v>604</v>
      </c>
      <c r="E822" s="34" t="str">
        <f>IFERROR(VLOOKUP(tbLOG[[#This Row],[LOGIN]],tbMAPA[#All],2,0), "Não localizado")</f>
        <v>Renan Cazumba Tegani</v>
      </c>
      <c r="F822" s="34" t="str">
        <f>IFERROR(VLOOKUP(tbLOG[[#This Row],[LOGIN]],tbMAPA[#All],3,0), "Não localizado")</f>
        <v>Reginaldo Santana De Souza</v>
      </c>
      <c r="G822" s="3" t="s">
        <v>1211</v>
      </c>
      <c r="H822" s="3" t="s">
        <v>836</v>
      </c>
    </row>
    <row r="823" spans="1:8">
      <c r="A823" s="29">
        <v>42741.690428240741</v>
      </c>
      <c r="B823" s="29" t="str">
        <f>PROPER(TEXT(tbLOG[[#This Row],[DATA/HORA]],"mmmm"))</f>
        <v>Janeiro</v>
      </c>
      <c r="C823" s="34" t="str">
        <f>PROPER(TEXT(tbLOG[[#This Row],[DATA/HORA]],"dddd"))</f>
        <v>Sexta-Feira</v>
      </c>
      <c r="D823" s="3" t="s">
        <v>604</v>
      </c>
      <c r="E823" s="34" t="str">
        <f>IFERROR(VLOOKUP(tbLOG[[#This Row],[LOGIN]],tbMAPA[#All],2,0), "Não localizado")</f>
        <v>Renan Cazumba Tegani</v>
      </c>
      <c r="F823" s="34" t="str">
        <f>IFERROR(VLOOKUP(tbLOG[[#This Row],[LOGIN]],tbMAPA[#All],3,0), "Não localizado")</f>
        <v>Reginaldo Santana De Souza</v>
      </c>
      <c r="G823" s="3" t="s">
        <v>1211</v>
      </c>
      <c r="H823" s="3" t="s">
        <v>836</v>
      </c>
    </row>
    <row r="824" spans="1:8">
      <c r="A824" s="29">
        <v>42741.690451388888</v>
      </c>
      <c r="B824" s="29" t="str">
        <f>PROPER(TEXT(tbLOG[[#This Row],[DATA/HORA]],"mmmm"))</f>
        <v>Janeiro</v>
      </c>
      <c r="C824" s="34" t="str">
        <f>PROPER(TEXT(tbLOG[[#This Row],[DATA/HORA]],"dddd"))</f>
        <v>Sexta-Feira</v>
      </c>
      <c r="D824" s="3" t="s">
        <v>604</v>
      </c>
      <c r="E824" s="34" t="str">
        <f>IFERROR(VLOOKUP(tbLOG[[#This Row],[LOGIN]],tbMAPA[#All],2,0), "Não localizado")</f>
        <v>Renan Cazumba Tegani</v>
      </c>
      <c r="F824" s="34" t="str">
        <f>IFERROR(VLOOKUP(tbLOG[[#This Row],[LOGIN]],tbMAPA[#All],3,0), "Não localizado")</f>
        <v>Reginaldo Santana De Souza</v>
      </c>
      <c r="G824" s="3" t="s">
        <v>1211</v>
      </c>
      <c r="H824" s="3" t="s">
        <v>836</v>
      </c>
    </row>
    <row r="825" spans="1:8">
      <c r="A825" s="29">
        <v>42741.690509259257</v>
      </c>
      <c r="B825" s="29" t="str">
        <f>PROPER(TEXT(tbLOG[[#This Row],[DATA/HORA]],"mmmm"))</f>
        <v>Janeiro</v>
      </c>
      <c r="C825" s="34" t="str">
        <f>PROPER(TEXT(tbLOG[[#This Row],[DATA/HORA]],"dddd"))</f>
        <v>Sexta-Feira</v>
      </c>
      <c r="D825" s="3" t="s">
        <v>604</v>
      </c>
      <c r="E825" s="34" t="str">
        <f>IFERROR(VLOOKUP(tbLOG[[#This Row],[LOGIN]],tbMAPA[#All],2,0), "Não localizado")</f>
        <v>Renan Cazumba Tegani</v>
      </c>
      <c r="F825" s="34" t="str">
        <f>IFERROR(VLOOKUP(tbLOG[[#This Row],[LOGIN]],tbMAPA[#All],3,0), "Não localizado")</f>
        <v>Reginaldo Santana De Souza</v>
      </c>
      <c r="G825" s="3" t="s">
        <v>1211</v>
      </c>
      <c r="H825" s="3" t="s">
        <v>836</v>
      </c>
    </row>
    <row r="826" spans="1:8">
      <c r="A826" s="29">
        <v>42741.691990740743</v>
      </c>
      <c r="B826" s="29" t="str">
        <f>PROPER(TEXT(tbLOG[[#This Row],[DATA/HORA]],"mmmm"))</f>
        <v>Janeiro</v>
      </c>
      <c r="C826" s="34" t="str">
        <f>PROPER(TEXT(tbLOG[[#This Row],[DATA/HORA]],"dddd"))</f>
        <v>Sexta-Feira</v>
      </c>
      <c r="D826" s="3" t="s">
        <v>604</v>
      </c>
      <c r="E826" s="34" t="str">
        <f>IFERROR(VLOOKUP(tbLOG[[#This Row],[LOGIN]],tbMAPA[#All],2,0), "Não localizado")</f>
        <v>Renan Cazumba Tegani</v>
      </c>
      <c r="F826" s="34" t="str">
        <f>IFERROR(VLOOKUP(tbLOG[[#This Row],[LOGIN]],tbMAPA[#All],3,0), "Não localizado")</f>
        <v>Reginaldo Santana De Souza</v>
      </c>
      <c r="G826" s="3" t="s">
        <v>1211</v>
      </c>
      <c r="H826" s="3" t="s">
        <v>836</v>
      </c>
    </row>
    <row r="827" spans="1:8">
      <c r="A827" s="29">
        <v>42741.692326388889</v>
      </c>
      <c r="B827" s="29" t="str">
        <f>PROPER(TEXT(tbLOG[[#This Row],[DATA/HORA]],"mmmm"))</f>
        <v>Janeiro</v>
      </c>
      <c r="C827" s="34" t="str">
        <f>PROPER(TEXT(tbLOG[[#This Row],[DATA/HORA]],"dddd"))</f>
        <v>Sexta-Feira</v>
      </c>
      <c r="D827" s="3" t="s">
        <v>604</v>
      </c>
      <c r="E827" s="34" t="str">
        <f>IFERROR(VLOOKUP(tbLOG[[#This Row],[LOGIN]],tbMAPA[#All],2,0), "Não localizado")</f>
        <v>Renan Cazumba Tegani</v>
      </c>
      <c r="F827" s="34" t="str">
        <f>IFERROR(VLOOKUP(tbLOG[[#This Row],[LOGIN]],tbMAPA[#All],3,0), "Não localizado")</f>
        <v>Reginaldo Santana De Souza</v>
      </c>
      <c r="G827" s="3" t="s">
        <v>1211</v>
      </c>
      <c r="H827" s="3" t="s">
        <v>836</v>
      </c>
    </row>
    <row r="828" spans="1:8">
      <c r="A828" s="29">
        <v>42741.692349537036</v>
      </c>
      <c r="B828" s="29" t="str">
        <f>PROPER(TEXT(tbLOG[[#This Row],[DATA/HORA]],"mmmm"))</f>
        <v>Janeiro</v>
      </c>
      <c r="C828" s="34" t="str">
        <f>PROPER(TEXT(tbLOG[[#This Row],[DATA/HORA]],"dddd"))</f>
        <v>Sexta-Feira</v>
      </c>
      <c r="D828" s="3" t="s">
        <v>604</v>
      </c>
      <c r="E828" s="34" t="str">
        <f>IFERROR(VLOOKUP(tbLOG[[#This Row],[LOGIN]],tbMAPA[#All],2,0), "Não localizado")</f>
        <v>Renan Cazumba Tegani</v>
      </c>
      <c r="F828" s="34" t="str">
        <f>IFERROR(VLOOKUP(tbLOG[[#This Row],[LOGIN]],tbMAPA[#All],3,0), "Não localizado")</f>
        <v>Reginaldo Santana De Souza</v>
      </c>
      <c r="G828" s="3" t="s">
        <v>1211</v>
      </c>
      <c r="H828" s="3" t="s">
        <v>836</v>
      </c>
    </row>
    <row r="829" spans="1:8">
      <c r="A829" s="29">
        <v>42741.692673611113</v>
      </c>
      <c r="B829" s="29" t="str">
        <f>PROPER(TEXT(tbLOG[[#This Row],[DATA/HORA]],"mmmm"))</f>
        <v>Janeiro</v>
      </c>
      <c r="C829" s="34" t="str">
        <f>PROPER(TEXT(tbLOG[[#This Row],[DATA/HORA]],"dddd"))</f>
        <v>Sexta-Feira</v>
      </c>
      <c r="D829" s="3" t="s">
        <v>604</v>
      </c>
      <c r="E829" s="34" t="str">
        <f>IFERROR(VLOOKUP(tbLOG[[#This Row],[LOGIN]],tbMAPA[#All],2,0), "Não localizado")</f>
        <v>Renan Cazumba Tegani</v>
      </c>
      <c r="F829" s="34" t="str">
        <f>IFERROR(VLOOKUP(tbLOG[[#This Row],[LOGIN]],tbMAPA[#All],3,0), "Não localizado")</f>
        <v>Reginaldo Santana De Souza</v>
      </c>
      <c r="G829" s="3" t="s">
        <v>1211</v>
      </c>
      <c r="H829" s="3" t="s">
        <v>836</v>
      </c>
    </row>
    <row r="830" spans="1:8">
      <c r="A830" s="29">
        <v>42741.697048611109</v>
      </c>
      <c r="B830" s="29" t="str">
        <f>PROPER(TEXT(tbLOG[[#This Row],[DATA/HORA]],"mmmm"))</f>
        <v>Janeiro</v>
      </c>
      <c r="C830" s="34" t="str">
        <f>PROPER(TEXT(tbLOG[[#This Row],[DATA/HORA]],"dddd"))</f>
        <v>Sexta-Feira</v>
      </c>
      <c r="D830" s="3" t="s">
        <v>604</v>
      </c>
      <c r="E830" s="34" t="str">
        <f>IFERROR(VLOOKUP(tbLOG[[#This Row],[LOGIN]],tbMAPA[#All],2,0), "Não localizado")</f>
        <v>Renan Cazumba Tegani</v>
      </c>
      <c r="F830" s="34" t="str">
        <f>IFERROR(VLOOKUP(tbLOG[[#This Row],[LOGIN]],tbMAPA[#All],3,0), "Não localizado")</f>
        <v>Reginaldo Santana De Souza</v>
      </c>
      <c r="G830" s="3" t="s">
        <v>1211</v>
      </c>
      <c r="H830" s="3" t="s">
        <v>836</v>
      </c>
    </row>
    <row r="831" spans="1:8">
      <c r="A831" s="29">
        <v>42741.697071759256</v>
      </c>
      <c r="B831" s="29" t="str">
        <f>PROPER(TEXT(tbLOG[[#This Row],[DATA/HORA]],"mmmm"))</f>
        <v>Janeiro</v>
      </c>
      <c r="C831" s="34" t="str">
        <f>PROPER(TEXT(tbLOG[[#This Row],[DATA/HORA]],"dddd"))</f>
        <v>Sexta-Feira</v>
      </c>
      <c r="D831" s="3" t="s">
        <v>604</v>
      </c>
      <c r="E831" s="34" t="str">
        <f>IFERROR(VLOOKUP(tbLOG[[#This Row],[LOGIN]],tbMAPA[#All],2,0), "Não localizado")</f>
        <v>Renan Cazumba Tegani</v>
      </c>
      <c r="F831" s="34" t="str">
        <f>IFERROR(VLOOKUP(tbLOG[[#This Row],[LOGIN]],tbMAPA[#All],3,0), "Não localizado")</f>
        <v>Reginaldo Santana De Souza</v>
      </c>
      <c r="G831" s="3" t="s">
        <v>1211</v>
      </c>
      <c r="H831" s="3" t="s">
        <v>836</v>
      </c>
    </row>
    <row r="832" spans="1:8">
      <c r="A832" s="29">
        <v>42741.697152777779</v>
      </c>
      <c r="B832" s="29" t="str">
        <f>PROPER(TEXT(tbLOG[[#This Row],[DATA/HORA]],"mmmm"))</f>
        <v>Janeiro</v>
      </c>
      <c r="C832" s="34" t="str">
        <f>PROPER(TEXT(tbLOG[[#This Row],[DATA/HORA]],"dddd"))</f>
        <v>Sexta-Feira</v>
      </c>
      <c r="D832" s="3" t="s">
        <v>604</v>
      </c>
      <c r="E832" s="34" t="str">
        <f>IFERROR(VLOOKUP(tbLOG[[#This Row],[LOGIN]],tbMAPA[#All],2,0), "Não localizado")</f>
        <v>Renan Cazumba Tegani</v>
      </c>
      <c r="F832" s="34" t="str">
        <f>IFERROR(VLOOKUP(tbLOG[[#This Row],[LOGIN]],tbMAPA[#All],3,0), "Não localizado")</f>
        <v>Reginaldo Santana De Souza</v>
      </c>
      <c r="G832" s="3" t="s">
        <v>1211</v>
      </c>
      <c r="H832" s="3" t="s">
        <v>836</v>
      </c>
    </row>
    <row r="833" spans="1:8">
      <c r="A833" s="29">
        <v>42741.697210648148</v>
      </c>
      <c r="B833" s="29" t="str">
        <f>PROPER(TEXT(tbLOG[[#This Row],[DATA/HORA]],"mmmm"))</f>
        <v>Janeiro</v>
      </c>
      <c r="C833" s="34" t="str">
        <f>PROPER(TEXT(tbLOG[[#This Row],[DATA/HORA]],"dddd"))</f>
        <v>Sexta-Feira</v>
      </c>
      <c r="D833" s="3" t="s">
        <v>604</v>
      </c>
      <c r="E833" s="34" t="str">
        <f>IFERROR(VLOOKUP(tbLOG[[#This Row],[LOGIN]],tbMAPA[#All],2,0), "Não localizado")</f>
        <v>Renan Cazumba Tegani</v>
      </c>
      <c r="F833" s="34" t="str">
        <f>IFERROR(VLOOKUP(tbLOG[[#This Row],[LOGIN]],tbMAPA[#All],3,0), "Não localizado")</f>
        <v>Reginaldo Santana De Souza</v>
      </c>
      <c r="G833" s="3" t="s">
        <v>1211</v>
      </c>
      <c r="H833" s="3" t="s">
        <v>836</v>
      </c>
    </row>
    <row r="834" spans="1:8">
      <c r="A834" s="29">
        <v>42741.697256944448</v>
      </c>
      <c r="B834" s="29" t="str">
        <f>PROPER(TEXT(tbLOG[[#This Row],[DATA/HORA]],"mmmm"))</f>
        <v>Janeiro</v>
      </c>
      <c r="C834" s="34" t="str">
        <f>PROPER(TEXT(tbLOG[[#This Row],[DATA/HORA]],"dddd"))</f>
        <v>Sexta-Feira</v>
      </c>
      <c r="D834" s="3" t="s">
        <v>604</v>
      </c>
      <c r="E834" s="34" t="str">
        <f>IFERROR(VLOOKUP(tbLOG[[#This Row],[LOGIN]],tbMAPA[#All],2,0), "Não localizado")</f>
        <v>Renan Cazumba Tegani</v>
      </c>
      <c r="F834" s="34" t="str">
        <f>IFERROR(VLOOKUP(tbLOG[[#This Row],[LOGIN]],tbMAPA[#All],3,0), "Não localizado")</f>
        <v>Reginaldo Santana De Souza</v>
      </c>
      <c r="G834" s="3" t="s">
        <v>1211</v>
      </c>
      <c r="H834" s="3" t="s">
        <v>836</v>
      </c>
    </row>
    <row r="835" spans="1:8">
      <c r="A835" s="29">
        <v>42741.711296296293</v>
      </c>
      <c r="B835" s="29" t="str">
        <f>PROPER(TEXT(tbLOG[[#This Row],[DATA/HORA]],"mmmm"))</f>
        <v>Janeiro</v>
      </c>
      <c r="C835" s="34" t="str">
        <f>PROPER(TEXT(tbLOG[[#This Row],[DATA/HORA]],"dddd"))</f>
        <v>Sexta-Feira</v>
      </c>
      <c r="D835" s="3" t="s">
        <v>604</v>
      </c>
      <c r="E835" s="34" t="str">
        <f>IFERROR(VLOOKUP(tbLOG[[#This Row],[LOGIN]],tbMAPA[#All],2,0), "Não localizado")</f>
        <v>Renan Cazumba Tegani</v>
      </c>
      <c r="F835" s="34" t="str">
        <f>IFERROR(VLOOKUP(tbLOG[[#This Row],[LOGIN]],tbMAPA[#All],3,0), "Não localizado")</f>
        <v>Reginaldo Santana De Souza</v>
      </c>
      <c r="G835" s="3" t="s">
        <v>1211</v>
      </c>
      <c r="H835" s="3" t="s">
        <v>836</v>
      </c>
    </row>
    <row r="836" spans="1:8">
      <c r="A836" s="29">
        <v>42741.716435185182</v>
      </c>
      <c r="B836" s="29" t="str">
        <f>PROPER(TEXT(tbLOG[[#This Row],[DATA/HORA]],"mmmm"))</f>
        <v>Janeiro</v>
      </c>
      <c r="C836" s="34" t="str">
        <f>PROPER(TEXT(tbLOG[[#This Row],[DATA/HORA]],"dddd"))</f>
        <v>Sexta-Feira</v>
      </c>
      <c r="D836" s="3" t="s">
        <v>604</v>
      </c>
      <c r="E836" s="34" t="str">
        <f>IFERROR(VLOOKUP(tbLOG[[#This Row],[LOGIN]],tbMAPA[#All],2,0), "Não localizado")</f>
        <v>Renan Cazumba Tegani</v>
      </c>
      <c r="F836" s="34" t="str">
        <f>IFERROR(VLOOKUP(tbLOG[[#This Row],[LOGIN]],tbMAPA[#All],3,0), "Não localizado")</f>
        <v>Reginaldo Santana De Souza</v>
      </c>
      <c r="G836" s="3" t="s">
        <v>1211</v>
      </c>
      <c r="H836" s="3" t="s">
        <v>836</v>
      </c>
    </row>
    <row r="837" spans="1:8">
      <c r="A837" s="29">
        <v>42741.716446759259</v>
      </c>
      <c r="B837" s="29" t="str">
        <f>PROPER(TEXT(tbLOG[[#This Row],[DATA/HORA]],"mmmm"))</f>
        <v>Janeiro</v>
      </c>
      <c r="C837" s="34" t="str">
        <f>PROPER(TEXT(tbLOG[[#This Row],[DATA/HORA]],"dddd"))</f>
        <v>Sexta-Feira</v>
      </c>
      <c r="D837" s="3" t="s">
        <v>604</v>
      </c>
      <c r="E837" s="34" t="str">
        <f>IFERROR(VLOOKUP(tbLOG[[#This Row],[LOGIN]],tbMAPA[#All],2,0), "Não localizado")</f>
        <v>Renan Cazumba Tegani</v>
      </c>
      <c r="F837" s="34" t="str">
        <f>IFERROR(VLOOKUP(tbLOG[[#This Row],[LOGIN]],tbMAPA[#All],3,0), "Não localizado")</f>
        <v>Reginaldo Santana De Souza</v>
      </c>
      <c r="G837" s="3" t="s">
        <v>1211</v>
      </c>
      <c r="H837" s="3" t="s">
        <v>836</v>
      </c>
    </row>
    <row r="838" spans="1:8">
      <c r="A838" s="29">
        <v>42741.716481481482</v>
      </c>
      <c r="B838" s="29" t="str">
        <f>PROPER(TEXT(tbLOG[[#This Row],[DATA/HORA]],"mmmm"))</f>
        <v>Janeiro</v>
      </c>
      <c r="C838" s="34" t="str">
        <f>PROPER(TEXT(tbLOG[[#This Row],[DATA/HORA]],"dddd"))</f>
        <v>Sexta-Feira</v>
      </c>
      <c r="D838" s="3" t="s">
        <v>604</v>
      </c>
      <c r="E838" s="34" t="str">
        <f>IFERROR(VLOOKUP(tbLOG[[#This Row],[LOGIN]],tbMAPA[#All],2,0), "Não localizado")</f>
        <v>Renan Cazumba Tegani</v>
      </c>
      <c r="F838" s="34" t="str">
        <f>IFERROR(VLOOKUP(tbLOG[[#This Row],[LOGIN]],tbMAPA[#All],3,0), "Não localizado")</f>
        <v>Reginaldo Santana De Souza</v>
      </c>
      <c r="G838" s="3" t="s">
        <v>1211</v>
      </c>
      <c r="H838" s="3" t="s">
        <v>836</v>
      </c>
    </row>
    <row r="839" spans="1:8">
      <c r="A839" s="29">
        <v>42741.716539351852</v>
      </c>
      <c r="B839" s="29" t="str">
        <f>PROPER(TEXT(tbLOG[[#This Row],[DATA/HORA]],"mmmm"))</f>
        <v>Janeiro</v>
      </c>
      <c r="C839" s="34" t="str">
        <f>PROPER(TEXT(tbLOG[[#This Row],[DATA/HORA]],"dddd"))</f>
        <v>Sexta-Feira</v>
      </c>
      <c r="D839" s="3" t="s">
        <v>604</v>
      </c>
      <c r="E839" s="34" t="str">
        <f>IFERROR(VLOOKUP(tbLOG[[#This Row],[LOGIN]],tbMAPA[#All],2,0), "Não localizado")</f>
        <v>Renan Cazumba Tegani</v>
      </c>
      <c r="F839" s="34" t="str">
        <f>IFERROR(VLOOKUP(tbLOG[[#This Row],[LOGIN]],tbMAPA[#All],3,0), "Não localizado")</f>
        <v>Reginaldo Santana De Souza</v>
      </c>
      <c r="G839" s="3" t="s">
        <v>1211</v>
      </c>
      <c r="H839" s="3" t="s">
        <v>836</v>
      </c>
    </row>
    <row r="840" spans="1:8">
      <c r="A840" s="29">
        <v>42741.716574074075</v>
      </c>
      <c r="B840" s="29" t="str">
        <f>PROPER(TEXT(tbLOG[[#This Row],[DATA/HORA]],"mmmm"))</f>
        <v>Janeiro</v>
      </c>
      <c r="C840" s="34" t="str">
        <f>PROPER(TEXT(tbLOG[[#This Row],[DATA/HORA]],"dddd"))</f>
        <v>Sexta-Feira</v>
      </c>
      <c r="D840" s="3" t="s">
        <v>604</v>
      </c>
      <c r="E840" s="34" t="str">
        <f>IFERROR(VLOOKUP(tbLOG[[#This Row],[LOGIN]],tbMAPA[#All],2,0), "Não localizado")</f>
        <v>Renan Cazumba Tegani</v>
      </c>
      <c r="F840" s="34" t="str">
        <f>IFERROR(VLOOKUP(tbLOG[[#This Row],[LOGIN]],tbMAPA[#All],3,0), "Não localizado")</f>
        <v>Reginaldo Santana De Souza</v>
      </c>
      <c r="G840" s="3" t="s">
        <v>1211</v>
      </c>
      <c r="H840" s="3" t="s">
        <v>836</v>
      </c>
    </row>
    <row r="841" spans="1:8">
      <c r="A841" s="29">
        <v>42741.717118055552</v>
      </c>
      <c r="B841" s="29" t="str">
        <f>PROPER(TEXT(tbLOG[[#This Row],[DATA/HORA]],"mmmm"))</f>
        <v>Janeiro</v>
      </c>
      <c r="C841" s="34" t="str">
        <f>PROPER(TEXT(tbLOG[[#This Row],[DATA/HORA]],"dddd"))</f>
        <v>Sexta-Feira</v>
      </c>
      <c r="D841" s="3" t="s">
        <v>604</v>
      </c>
      <c r="E841" s="34" t="str">
        <f>IFERROR(VLOOKUP(tbLOG[[#This Row],[LOGIN]],tbMAPA[#All],2,0), "Não localizado")</f>
        <v>Renan Cazumba Tegani</v>
      </c>
      <c r="F841" s="34" t="str">
        <f>IFERROR(VLOOKUP(tbLOG[[#This Row],[LOGIN]],tbMAPA[#All],3,0), "Não localizado")</f>
        <v>Reginaldo Santana De Souza</v>
      </c>
      <c r="G841" s="3" t="s">
        <v>1211</v>
      </c>
      <c r="H841" s="3" t="s">
        <v>290</v>
      </c>
    </row>
    <row r="842" spans="1:8">
      <c r="A842" s="29">
        <v>42741.717800925922</v>
      </c>
      <c r="B842" s="29" t="str">
        <f>PROPER(TEXT(tbLOG[[#This Row],[DATA/HORA]],"mmmm"))</f>
        <v>Janeiro</v>
      </c>
      <c r="C842" s="34" t="str">
        <f>PROPER(TEXT(tbLOG[[#This Row],[DATA/HORA]],"dddd"))</f>
        <v>Sexta-Feira</v>
      </c>
      <c r="D842" s="3" t="s">
        <v>604</v>
      </c>
      <c r="E842" s="34" t="str">
        <f>IFERROR(VLOOKUP(tbLOG[[#This Row],[LOGIN]],tbMAPA[#All],2,0), "Não localizado")</f>
        <v>Renan Cazumba Tegani</v>
      </c>
      <c r="F842" s="34" t="str">
        <f>IFERROR(VLOOKUP(tbLOG[[#This Row],[LOGIN]],tbMAPA[#All],3,0), "Não localizado")</f>
        <v>Reginaldo Santana De Souza</v>
      </c>
      <c r="G842" s="3" t="s">
        <v>1211</v>
      </c>
      <c r="H842" s="3" t="s">
        <v>836</v>
      </c>
    </row>
    <row r="843" spans="1:8">
      <c r="A843" s="29">
        <v>42741.717835648145</v>
      </c>
      <c r="B843" s="29" t="str">
        <f>PROPER(TEXT(tbLOG[[#This Row],[DATA/HORA]],"mmmm"))</f>
        <v>Janeiro</v>
      </c>
      <c r="C843" s="34" t="str">
        <f>PROPER(TEXT(tbLOG[[#This Row],[DATA/HORA]],"dddd"))</f>
        <v>Sexta-Feira</v>
      </c>
      <c r="D843" s="3" t="s">
        <v>604</v>
      </c>
      <c r="E843" s="34" t="str">
        <f>IFERROR(VLOOKUP(tbLOG[[#This Row],[LOGIN]],tbMAPA[#All],2,0), "Não localizado")</f>
        <v>Renan Cazumba Tegani</v>
      </c>
      <c r="F843" s="34" t="str">
        <f>IFERROR(VLOOKUP(tbLOG[[#This Row],[LOGIN]],tbMAPA[#All],3,0), "Não localizado")</f>
        <v>Reginaldo Santana De Souza</v>
      </c>
      <c r="G843" s="3" t="s">
        <v>1211</v>
      </c>
      <c r="H843" s="3" t="s">
        <v>836</v>
      </c>
    </row>
    <row r="844" spans="1:8">
      <c r="A844" s="29">
        <v>42741.717893518522</v>
      </c>
      <c r="B844" s="29" t="str">
        <f>PROPER(TEXT(tbLOG[[#This Row],[DATA/HORA]],"mmmm"))</f>
        <v>Janeiro</v>
      </c>
      <c r="C844" s="34" t="str">
        <f>PROPER(TEXT(tbLOG[[#This Row],[DATA/HORA]],"dddd"))</f>
        <v>Sexta-Feira</v>
      </c>
      <c r="D844" s="3" t="s">
        <v>604</v>
      </c>
      <c r="E844" s="34" t="str">
        <f>IFERROR(VLOOKUP(tbLOG[[#This Row],[LOGIN]],tbMAPA[#All],2,0), "Não localizado")</f>
        <v>Renan Cazumba Tegani</v>
      </c>
      <c r="F844" s="34" t="str">
        <f>IFERROR(VLOOKUP(tbLOG[[#This Row],[LOGIN]],tbMAPA[#All],3,0), "Não localizado")</f>
        <v>Reginaldo Santana De Souza</v>
      </c>
      <c r="G844" s="3" t="s">
        <v>1211</v>
      </c>
      <c r="H844" s="3" t="s">
        <v>836</v>
      </c>
    </row>
    <row r="845" spans="1:8">
      <c r="A845" s="29">
        <v>42741.717928240738</v>
      </c>
      <c r="B845" s="29" t="str">
        <f>PROPER(TEXT(tbLOG[[#This Row],[DATA/HORA]],"mmmm"))</f>
        <v>Janeiro</v>
      </c>
      <c r="C845" s="34" t="str">
        <f>PROPER(TEXT(tbLOG[[#This Row],[DATA/HORA]],"dddd"))</f>
        <v>Sexta-Feira</v>
      </c>
      <c r="D845" s="3" t="s">
        <v>604</v>
      </c>
      <c r="E845" s="34" t="str">
        <f>IFERROR(VLOOKUP(tbLOG[[#This Row],[LOGIN]],tbMAPA[#All],2,0), "Não localizado")</f>
        <v>Renan Cazumba Tegani</v>
      </c>
      <c r="F845" s="34" t="str">
        <f>IFERROR(VLOOKUP(tbLOG[[#This Row],[LOGIN]],tbMAPA[#All],3,0), "Não localizado")</f>
        <v>Reginaldo Santana De Souza</v>
      </c>
      <c r="G845" s="3" t="s">
        <v>1211</v>
      </c>
      <c r="H845" s="3" t="s">
        <v>290</v>
      </c>
    </row>
    <row r="846" spans="1:8">
      <c r="A846" s="29">
        <v>42741.717997685184</v>
      </c>
      <c r="B846" s="29" t="str">
        <f>PROPER(TEXT(tbLOG[[#This Row],[DATA/HORA]],"mmmm"))</f>
        <v>Janeiro</v>
      </c>
      <c r="C846" s="34" t="str">
        <f>PROPER(TEXT(tbLOG[[#This Row],[DATA/HORA]],"dddd"))</f>
        <v>Sexta-Feira</v>
      </c>
      <c r="D846" s="3" t="s">
        <v>604</v>
      </c>
      <c r="E846" s="34" t="str">
        <f>IFERROR(VLOOKUP(tbLOG[[#This Row],[LOGIN]],tbMAPA[#All],2,0), "Não localizado")</f>
        <v>Renan Cazumba Tegani</v>
      </c>
      <c r="F846" s="34" t="str">
        <f>IFERROR(VLOOKUP(tbLOG[[#This Row],[LOGIN]],tbMAPA[#All],3,0), "Não localizado")</f>
        <v>Reginaldo Santana De Souza</v>
      </c>
      <c r="G846" s="3" t="s">
        <v>1211</v>
      </c>
      <c r="H846" s="3" t="s">
        <v>836</v>
      </c>
    </row>
    <row r="847" spans="1:8">
      <c r="A847" s="29">
        <v>42741.71802083333</v>
      </c>
      <c r="B847" s="29" t="str">
        <f>PROPER(TEXT(tbLOG[[#This Row],[DATA/HORA]],"mmmm"))</f>
        <v>Janeiro</v>
      </c>
      <c r="C847" s="34" t="str">
        <f>PROPER(TEXT(tbLOG[[#This Row],[DATA/HORA]],"dddd"))</f>
        <v>Sexta-Feira</v>
      </c>
      <c r="D847" s="3" t="s">
        <v>604</v>
      </c>
      <c r="E847" s="34" t="str">
        <f>IFERROR(VLOOKUP(tbLOG[[#This Row],[LOGIN]],tbMAPA[#All],2,0), "Não localizado")</f>
        <v>Renan Cazumba Tegani</v>
      </c>
      <c r="F847" s="34" t="str">
        <f>IFERROR(VLOOKUP(tbLOG[[#This Row],[LOGIN]],tbMAPA[#All],3,0), "Não localizado")</f>
        <v>Reginaldo Santana De Souza</v>
      </c>
      <c r="G847" s="3" t="s">
        <v>1211</v>
      </c>
      <c r="H847" s="3" t="s">
        <v>290</v>
      </c>
    </row>
    <row r="848" spans="1:8">
      <c r="A848" s="29">
        <v>42741.7187037037</v>
      </c>
      <c r="B848" s="29" t="str">
        <f>PROPER(TEXT(tbLOG[[#This Row],[DATA/HORA]],"mmmm"))</f>
        <v>Janeiro</v>
      </c>
      <c r="C848" s="34" t="str">
        <f>PROPER(TEXT(tbLOG[[#This Row],[DATA/HORA]],"dddd"))</f>
        <v>Sexta-Feira</v>
      </c>
      <c r="D848" s="3" t="s">
        <v>604</v>
      </c>
      <c r="E848" s="34" t="str">
        <f>IFERROR(VLOOKUP(tbLOG[[#This Row],[LOGIN]],tbMAPA[#All],2,0), "Não localizado")</f>
        <v>Renan Cazumba Tegani</v>
      </c>
      <c r="F848" s="34" t="str">
        <f>IFERROR(VLOOKUP(tbLOG[[#This Row],[LOGIN]],tbMAPA[#All],3,0), "Não localizado")</f>
        <v>Reginaldo Santana De Souza</v>
      </c>
      <c r="G848" s="3" t="s">
        <v>1211</v>
      </c>
      <c r="H848" s="3" t="s">
        <v>290</v>
      </c>
    </row>
    <row r="849" spans="1:8">
      <c r="A849" s="29">
        <v>42741.719837962963</v>
      </c>
      <c r="B849" s="29" t="str">
        <f>PROPER(TEXT(tbLOG[[#This Row],[DATA/HORA]],"mmmm"))</f>
        <v>Janeiro</v>
      </c>
      <c r="C849" s="34" t="str">
        <f>PROPER(TEXT(tbLOG[[#This Row],[DATA/HORA]],"dddd"))</f>
        <v>Sexta-Feira</v>
      </c>
      <c r="D849" s="3" t="s">
        <v>604</v>
      </c>
      <c r="E849" s="34" t="str">
        <f>IFERROR(VLOOKUP(tbLOG[[#This Row],[LOGIN]],tbMAPA[#All],2,0), "Não localizado")</f>
        <v>Renan Cazumba Tegani</v>
      </c>
      <c r="F849" s="34" t="str">
        <f>IFERROR(VLOOKUP(tbLOG[[#This Row],[LOGIN]],tbMAPA[#All],3,0), "Não localizado")</f>
        <v>Reginaldo Santana De Souza</v>
      </c>
      <c r="G849" s="3" t="s">
        <v>1211</v>
      </c>
      <c r="H849" s="3" t="s">
        <v>290</v>
      </c>
    </row>
    <row r="850" spans="1:8">
      <c r="A850" s="29">
        <v>42741.723275462966</v>
      </c>
      <c r="B850" s="29" t="str">
        <f>PROPER(TEXT(tbLOG[[#This Row],[DATA/HORA]],"mmmm"))</f>
        <v>Janeiro</v>
      </c>
      <c r="C850" s="34" t="str">
        <f>PROPER(TEXT(tbLOG[[#This Row],[DATA/HORA]],"dddd"))</f>
        <v>Sexta-Feira</v>
      </c>
      <c r="D850" s="3" t="s">
        <v>604</v>
      </c>
      <c r="E850" s="34" t="str">
        <f>IFERROR(VLOOKUP(tbLOG[[#This Row],[LOGIN]],tbMAPA[#All],2,0), "Não localizado")</f>
        <v>Renan Cazumba Tegani</v>
      </c>
      <c r="F850" s="34" t="str">
        <f>IFERROR(VLOOKUP(tbLOG[[#This Row],[LOGIN]],tbMAPA[#All],3,0), "Não localizado")</f>
        <v>Reginaldo Santana De Souza</v>
      </c>
      <c r="G850" s="3" t="s">
        <v>1211</v>
      </c>
      <c r="H850" s="3" t="s">
        <v>836</v>
      </c>
    </row>
    <row r="851" spans="1:8">
      <c r="A851" s="29">
        <v>42741.723287037035</v>
      </c>
      <c r="B851" s="29" t="str">
        <f>PROPER(TEXT(tbLOG[[#This Row],[DATA/HORA]],"mmmm"))</f>
        <v>Janeiro</v>
      </c>
      <c r="C851" s="34" t="str">
        <f>PROPER(TEXT(tbLOG[[#This Row],[DATA/HORA]],"dddd"))</f>
        <v>Sexta-Feira</v>
      </c>
      <c r="D851" s="3" t="s">
        <v>604</v>
      </c>
      <c r="E851" s="34" t="str">
        <f>IFERROR(VLOOKUP(tbLOG[[#This Row],[LOGIN]],tbMAPA[#All],2,0), "Não localizado")</f>
        <v>Renan Cazumba Tegani</v>
      </c>
      <c r="F851" s="34" t="str">
        <f>IFERROR(VLOOKUP(tbLOG[[#This Row],[LOGIN]],tbMAPA[#All],3,0), "Não localizado")</f>
        <v>Reginaldo Santana De Souza</v>
      </c>
      <c r="G851" s="3" t="s">
        <v>1211</v>
      </c>
      <c r="H851" s="3" t="s">
        <v>290</v>
      </c>
    </row>
    <row r="852" spans="1:8">
      <c r="A852" s="29">
        <v>42741.727766203701</v>
      </c>
      <c r="B852" s="29" t="str">
        <f>PROPER(TEXT(tbLOG[[#This Row],[DATA/HORA]],"mmmm"))</f>
        <v>Janeiro</v>
      </c>
      <c r="C852" s="34" t="str">
        <f>PROPER(TEXT(tbLOG[[#This Row],[DATA/HORA]],"dddd"))</f>
        <v>Sexta-Feira</v>
      </c>
      <c r="D852" s="3" t="s">
        <v>604</v>
      </c>
      <c r="E852" s="34" t="str">
        <f>IFERROR(VLOOKUP(tbLOG[[#This Row],[LOGIN]],tbMAPA[#All],2,0), "Não localizado")</f>
        <v>Renan Cazumba Tegani</v>
      </c>
      <c r="F852" s="34" t="str">
        <f>IFERROR(VLOOKUP(tbLOG[[#This Row],[LOGIN]],tbMAPA[#All],3,0), "Não localizado")</f>
        <v>Reginaldo Santana De Souza</v>
      </c>
      <c r="G852" s="3" t="s">
        <v>1211</v>
      </c>
      <c r="H852" s="3" t="s">
        <v>836</v>
      </c>
    </row>
    <row r="853" spans="1:8">
      <c r="A853" s="29">
        <v>42741.727766203701</v>
      </c>
      <c r="B853" s="29" t="str">
        <f>PROPER(TEXT(tbLOG[[#This Row],[DATA/HORA]],"mmmm"))</f>
        <v>Janeiro</v>
      </c>
      <c r="C853" s="34" t="str">
        <f>PROPER(TEXT(tbLOG[[#This Row],[DATA/HORA]],"dddd"))</f>
        <v>Sexta-Feira</v>
      </c>
      <c r="D853" s="3" t="s">
        <v>604</v>
      </c>
      <c r="E853" s="34" t="str">
        <f>IFERROR(VLOOKUP(tbLOG[[#This Row],[LOGIN]],tbMAPA[#All],2,0), "Não localizado")</f>
        <v>Renan Cazumba Tegani</v>
      </c>
      <c r="F853" s="34" t="str">
        <f>IFERROR(VLOOKUP(tbLOG[[#This Row],[LOGIN]],tbMAPA[#All],3,0), "Não localizado")</f>
        <v>Reginaldo Santana De Souza</v>
      </c>
      <c r="G853" s="3" t="s">
        <v>1211</v>
      </c>
      <c r="H853" s="3" t="s">
        <v>836</v>
      </c>
    </row>
    <row r="854" spans="1:8">
      <c r="A854" s="29">
        <v>42741.728217592594</v>
      </c>
      <c r="B854" s="29" t="str">
        <f>PROPER(TEXT(tbLOG[[#This Row],[DATA/HORA]],"mmmm"))</f>
        <v>Janeiro</v>
      </c>
      <c r="C854" s="34" t="str">
        <f>PROPER(TEXT(tbLOG[[#This Row],[DATA/HORA]],"dddd"))</f>
        <v>Sexta-Feira</v>
      </c>
      <c r="D854" s="3" t="s">
        <v>604</v>
      </c>
      <c r="E854" s="34" t="str">
        <f>IFERROR(VLOOKUP(tbLOG[[#This Row],[LOGIN]],tbMAPA[#All],2,0), "Não localizado")</f>
        <v>Renan Cazumba Tegani</v>
      </c>
      <c r="F854" s="34" t="str">
        <f>IFERROR(VLOOKUP(tbLOG[[#This Row],[LOGIN]],tbMAPA[#All],3,0), "Não localizado")</f>
        <v>Reginaldo Santana De Souza</v>
      </c>
      <c r="G854" s="3" t="s">
        <v>1211</v>
      </c>
      <c r="H854" s="3" t="s">
        <v>836</v>
      </c>
    </row>
    <row r="855" spans="1:8">
      <c r="A855" s="29">
        <v>42741.732002314813</v>
      </c>
      <c r="B855" s="29" t="str">
        <f>PROPER(TEXT(tbLOG[[#This Row],[DATA/HORA]],"mmmm"))</f>
        <v>Janeiro</v>
      </c>
      <c r="C855" s="34" t="str">
        <f>PROPER(TEXT(tbLOG[[#This Row],[DATA/HORA]],"dddd"))</f>
        <v>Sexta-Feira</v>
      </c>
      <c r="D855" s="3" t="s">
        <v>604</v>
      </c>
      <c r="E855" s="34" t="str">
        <f>IFERROR(VLOOKUP(tbLOG[[#This Row],[LOGIN]],tbMAPA[#All],2,0), "Não localizado")</f>
        <v>Renan Cazumba Tegani</v>
      </c>
      <c r="F855" s="34" t="str">
        <f>IFERROR(VLOOKUP(tbLOG[[#This Row],[LOGIN]],tbMAPA[#All],3,0), "Não localizado")</f>
        <v>Reginaldo Santana De Souza</v>
      </c>
      <c r="G855" s="3" t="s">
        <v>1211</v>
      </c>
      <c r="H855" s="3" t="s">
        <v>836</v>
      </c>
    </row>
    <row r="856" spans="1:8">
      <c r="A856" s="29">
        <v>42741.732060185182</v>
      </c>
      <c r="B856" s="29" t="str">
        <f>PROPER(TEXT(tbLOG[[#This Row],[DATA/HORA]],"mmmm"))</f>
        <v>Janeiro</v>
      </c>
      <c r="C856" s="34" t="str">
        <f>PROPER(TEXT(tbLOG[[#This Row],[DATA/HORA]],"dddd"))</f>
        <v>Sexta-Feira</v>
      </c>
      <c r="D856" s="3" t="s">
        <v>604</v>
      </c>
      <c r="E856" s="34" t="str">
        <f>IFERROR(VLOOKUP(tbLOG[[#This Row],[LOGIN]],tbMAPA[#All],2,0), "Não localizado")</f>
        <v>Renan Cazumba Tegani</v>
      </c>
      <c r="F856" s="34" t="str">
        <f>IFERROR(VLOOKUP(tbLOG[[#This Row],[LOGIN]],tbMAPA[#All],3,0), "Não localizado")</f>
        <v>Reginaldo Santana De Souza</v>
      </c>
      <c r="G856" s="3" t="s">
        <v>1211</v>
      </c>
      <c r="H856" s="3" t="s">
        <v>836</v>
      </c>
    </row>
    <row r="857" spans="1:8">
      <c r="A857" s="29">
        <v>42741.734363425923</v>
      </c>
      <c r="B857" s="29" t="str">
        <f>PROPER(TEXT(tbLOG[[#This Row],[DATA/HORA]],"mmmm"))</f>
        <v>Janeiro</v>
      </c>
      <c r="C857" s="34" t="str">
        <f>PROPER(TEXT(tbLOG[[#This Row],[DATA/HORA]],"dddd"))</f>
        <v>Sexta-Feira</v>
      </c>
      <c r="D857" s="3" t="s">
        <v>604</v>
      </c>
      <c r="E857" s="34" t="str">
        <f>IFERROR(VLOOKUP(tbLOG[[#This Row],[LOGIN]],tbMAPA[#All],2,0), "Não localizado")</f>
        <v>Renan Cazumba Tegani</v>
      </c>
      <c r="F857" s="34" t="str">
        <f>IFERROR(VLOOKUP(tbLOG[[#This Row],[LOGIN]],tbMAPA[#All],3,0), "Não localizado")</f>
        <v>Reginaldo Santana De Souza</v>
      </c>
      <c r="G857" s="3" t="s">
        <v>1211</v>
      </c>
      <c r="H857" s="3" t="s">
        <v>836</v>
      </c>
    </row>
    <row r="858" spans="1:8">
      <c r="A858" s="29">
        <v>42741.7344212963</v>
      </c>
      <c r="B858" s="29" t="str">
        <f>PROPER(TEXT(tbLOG[[#This Row],[DATA/HORA]],"mmmm"))</f>
        <v>Janeiro</v>
      </c>
      <c r="C858" s="34" t="str">
        <f>PROPER(TEXT(tbLOG[[#This Row],[DATA/HORA]],"dddd"))</f>
        <v>Sexta-Feira</v>
      </c>
      <c r="D858" s="3" t="s">
        <v>604</v>
      </c>
      <c r="E858" s="34" t="str">
        <f>IFERROR(VLOOKUP(tbLOG[[#This Row],[LOGIN]],tbMAPA[#All],2,0), "Não localizado")</f>
        <v>Renan Cazumba Tegani</v>
      </c>
      <c r="F858" s="34" t="str">
        <f>IFERROR(VLOOKUP(tbLOG[[#This Row],[LOGIN]],tbMAPA[#All],3,0), "Não localizado")</f>
        <v>Reginaldo Santana De Souza</v>
      </c>
      <c r="G858" s="3" t="s">
        <v>1211</v>
      </c>
      <c r="H858" s="3" t="s">
        <v>836</v>
      </c>
    </row>
    <row r="859" spans="1:8">
      <c r="A859" s="29">
        <v>42741.738958333335</v>
      </c>
      <c r="B859" s="29" t="str">
        <f>PROPER(TEXT(tbLOG[[#This Row],[DATA/HORA]],"mmmm"))</f>
        <v>Janeiro</v>
      </c>
      <c r="C859" s="34" t="str">
        <f>PROPER(TEXT(tbLOG[[#This Row],[DATA/HORA]],"dddd"))</f>
        <v>Sexta-Feira</v>
      </c>
      <c r="D859" s="3" t="s">
        <v>604</v>
      </c>
      <c r="E859" s="34" t="str">
        <f>IFERROR(VLOOKUP(tbLOG[[#This Row],[LOGIN]],tbMAPA[#All],2,0), "Não localizado")</f>
        <v>Renan Cazumba Tegani</v>
      </c>
      <c r="F859" s="34" t="str">
        <f>IFERROR(VLOOKUP(tbLOG[[#This Row],[LOGIN]],tbMAPA[#All],3,0), "Não localizado")</f>
        <v>Reginaldo Santana De Souza</v>
      </c>
      <c r="G859" s="3" t="s">
        <v>1211</v>
      </c>
      <c r="H859" s="3" t="s">
        <v>842</v>
      </c>
    </row>
    <row r="860" spans="1:8">
      <c r="A860" s="29">
        <v>42741.744421296295</v>
      </c>
      <c r="B860" s="29" t="str">
        <f>PROPER(TEXT(tbLOG[[#This Row],[DATA/HORA]],"mmmm"))</f>
        <v>Janeiro</v>
      </c>
      <c r="C860" s="34" t="str">
        <f>PROPER(TEXT(tbLOG[[#This Row],[DATA/HORA]],"dddd"))</f>
        <v>Sexta-Feira</v>
      </c>
      <c r="D860" s="3" t="s">
        <v>604</v>
      </c>
      <c r="E860" s="34" t="str">
        <f>IFERROR(VLOOKUP(tbLOG[[#This Row],[LOGIN]],tbMAPA[#All],2,0), "Não localizado")</f>
        <v>Renan Cazumba Tegani</v>
      </c>
      <c r="F860" s="34" t="str">
        <f>IFERROR(VLOOKUP(tbLOG[[#This Row],[LOGIN]],tbMAPA[#All],3,0), "Não localizado")</f>
        <v>Reginaldo Santana De Souza</v>
      </c>
      <c r="G860" s="3" t="s">
        <v>1211</v>
      </c>
      <c r="H860" s="3" t="s">
        <v>836</v>
      </c>
    </row>
    <row r="861" spans="1:8">
      <c r="A861" s="29">
        <v>42741.744432870371</v>
      </c>
      <c r="B861" s="29" t="str">
        <f>PROPER(TEXT(tbLOG[[#This Row],[DATA/HORA]],"mmmm"))</f>
        <v>Janeiro</v>
      </c>
      <c r="C861" s="34" t="str">
        <f>PROPER(TEXT(tbLOG[[#This Row],[DATA/HORA]],"dddd"))</f>
        <v>Sexta-Feira</v>
      </c>
      <c r="D861" s="3" t="s">
        <v>604</v>
      </c>
      <c r="E861" s="34" t="str">
        <f>IFERROR(VLOOKUP(tbLOG[[#This Row],[LOGIN]],tbMAPA[#All],2,0), "Não localizado")</f>
        <v>Renan Cazumba Tegani</v>
      </c>
      <c r="F861" s="34" t="str">
        <f>IFERROR(VLOOKUP(tbLOG[[#This Row],[LOGIN]],tbMAPA[#All],3,0), "Não localizado")</f>
        <v>Reginaldo Santana De Souza</v>
      </c>
      <c r="G861" s="3" t="s">
        <v>1211</v>
      </c>
      <c r="H861" s="3" t="s">
        <v>836</v>
      </c>
    </row>
    <row r="862" spans="1:8">
      <c r="A862" s="29">
        <v>42741.744537037041</v>
      </c>
      <c r="B862" s="29" t="str">
        <f>PROPER(TEXT(tbLOG[[#This Row],[DATA/HORA]],"mmmm"))</f>
        <v>Janeiro</v>
      </c>
      <c r="C862" s="34" t="str">
        <f>PROPER(TEXT(tbLOG[[#This Row],[DATA/HORA]],"dddd"))</f>
        <v>Sexta-Feira</v>
      </c>
      <c r="D862" s="3" t="s">
        <v>604</v>
      </c>
      <c r="E862" s="34" t="str">
        <f>IFERROR(VLOOKUP(tbLOG[[#This Row],[LOGIN]],tbMAPA[#All],2,0), "Não localizado")</f>
        <v>Renan Cazumba Tegani</v>
      </c>
      <c r="F862" s="34" t="str">
        <f>IFERROR(VLOOKUP(tbLOG[[#This Row],[LOGIN]],tbMAPA[#All],3,0), "Não localizado")</f>
        <v>Reginaldo Santana De Souza</v>
      </c>
      <c r="G862" s="3" t="s">
        <v>1211</v>
      </c>
      <c r="H862" s="3" t="s">
        <v>836</v>
      </c>
    </row>
    <row r="863" spans="1:8">
      <c r="A863" s="29">
        <v>42741.756967592592</v>
      </c>
      <c r="B863" s="29" t="str">
        <f>PROPER(TEXT(tbLOG[[#This Row],[DATA/HORA]],"mmmm"))</f>
        <v>Janeiro</v>
      </c>
      <c r="C863" s="34" t="str">
        <f>PROPER(TEXT(tbLOG[[#This Row],[DATA/HORA]],"dddd"))</f>
        <v>Sexta-Feira</v>
      </c>
      <c r="D863" s="3" t="s">
        <v>604</v>
      </c>
      <c r="E863" s="34" t="str">
        <f>IFERROR(VLOOKUP(tbLOG[[#This Row],[LOGIN]],tbMAPA[#All],2,0), "Não localizado")</f>
        <v>Renan Cazumba Tegani</v>
      </c>
      <c r="F863" s="34" t="str">
        <f>IFERROR(VLOOKUP(tbLOG[[#This Row],[LOGIN]],tbMAPA[#All],3,0), "Não localizado")</f>
        <v>Reginaldo Santana De Souza</v>
      </c>
      <c r="G863" s="3" t="s">
        <v>1211</v>
      </c>
      <c r="H863" s="3" t="s">
        <v>290</v>
      </c>
    </row>
    <row r="864" spans="1:8">
      <c r="A864" s="29">
        <v>42741.756979166668</v>
      </c>
      <c r="B864" s="29" t="str">
        <f>PROPER(TEXT(tbLOG[[#This Row],[DATA/HORA]],"mmmm"))</f>
        <v>Janeiro</v>
      </c>
      <c r="C864" s="34" t="str">
        <f>PROPER(TEXT(tbLOG[[#This Row],[DATA/HORA]],"dddd"))</f>
        <v>Sexta-Feira</v>
      </c>
      <c r="D864" s="3" t="s">
        <v>604</v>
      </c>
      <c r="E864" s="34" t="str">
        <f>IFERROR(VLOOKUP(tbLOG[[#This Row],[LOGIN]],tbMAPA[#All],2,0), "Não localizado")</f>
        <v>Renan Cazumba Tegani</v>
      </c>
      <c r="F864" s="34" t="str">
        <f>IFERROR(VLOOKUP(tbLOG[[#This Row],[LOGIN]],tbMAPA[#All],3,0), "Não localizado")</f>
        <v>Reginaldo Santana De Souza</v>
      </c>
      <c r="G864" s="3" t="s">
        <v>1211</v>
      </c>
      <c r="H864" s="3" t="s">
        <v>291</v>
      </c>
    </row>
    <row r="865" spans="1:8">
      <c r="A865" s="29">
        <v>42741.756979166668</v>
      </c>
      <c r="B865" s="29" t="str">
        <f>PROPER(TEXT(tbLOG[[#This Row],[DATA/HORA]],"mmmm"))</f>
        <v>Janeiro</v>
      </c>
      <c r="C865" s="34" t="str">
        <f>PROPER(TEXT(tbLOG[[#This Row],[DATA/HORA]],"dddd"))</f>
        <v>Sexta-Feira</v>
      </c>
      <c r="D865" s="3" t="s">
        <v>604</v>
      </c>
      <c r="E865" s="34" t="str">
        <f>IFERROR(VLOOKUP(tbLOG[[#This Row],[LOGIN]],tbMAPA[#All],2,0), "Não localizado")</f>
        <v>Renan Cazumba Tegani</v>
      </c>
      <c r="F865" s="34" t="str">
        <f>IFERROR(VLOOKUP(tbLOG[[#This Row],[LOGIN]],tbMAPA[#All],3,0), "Não localizado")</f>
        <v>Reginaldo Santana De Souza</v>
      </c>
      <c r="G865" s="3" t="s">
        <v>1211</v>
      </c>
      <c r="H865" s="3" t="s">
        <v>290</v>
      </c>
    </row>
    <row r="866" spans="1:8">
      <c r="A866" s="29">
        <v>42742.393425925926</v>
      </c>
      <c r="B866" s="29" t="str">
        <f>PROPER(TEXT(tbLOG[[#This Row],[DATA/HORA]],"mmmm"))</f>
        <v>Janeiro</v>
      </c>
      <c r="C866" s="34" t="str">
        <f>PROPER(TEXT(tbLOG[[#This Row],[DATA/HORA]],"dddd"))</f>
        <v>Sábado</v>
      </c>
      <c r="D866" s="3" t="s">
        <v>804</v>
      </c>
      <c r="E866" s="34" t="str">
        <f>IFERROR(VLOOKUP(tbLOG[[#This Row],[LOGIN]],tbMAPA[#All],2,0), "Não localizado")</f>
        <v>Marcelo Dos Santos Mesquita Melo</v>
      </c>
      <c r="F866" s="34" t="str">
        <f>IFERROR(VLOOKUP(tbLOG[[#This Row],[LOGIN]],tbMAPA[#All],3,0), "Não localizado")</f>
        <v>Daniela Andrade Silva</v>
      </c>
      <c r="G866" s="3" t="s">
        <v>1547</v>
      </c>
      <c r="H866" s="3" t="s">
        <v>994</v>
      </c>
    </row>
    <row r="867" spans="1:8">
      <c r="A867" s="29">
        <v>42742.393750000003</v>
      </c>
      <c r="B867" s="29" t="str">
        <f>PROPER(TEXT(tbLOG[[#This Row],[DATA/HORA]],"mmmm"))</f>
        <v>Janeiro</v>
      </c>
      <c r="C867" s="34" t="str">
        <f>PROPER(TEXT(tbLOG[[#This Row],[DATA/HORA]],"dddd"))</f>
        <v>Sábado</v>
      </c>
      <c r="D867" s="3" t="s">
        <v>804</v>
      </c>
      <c r="E867" s="34" t="str">
        <f>IFERROR(VLOOKUP(tbLOG[[#This Row],[LOGIN]],tbMAPA[#All],2,0), "Não localizado")</f>
        <v>Marcelo Dos Santos Mesquita Melo</v>
      </c>
      <c r="F867" s="34" t="str">
        <f>IFERROR(VLOOKUP(tbLOG[[#This Row],[LOGIN]],tbMAPA[#All],3,0), "Não localizado")</f>
        <v>Daniela Andrade Silva</v>
      </c>
      <c r="G867" s="3" t="s">
        <v>1547</v>
      </c>
      <c r="H867" s="3" t="s">
        <v>836</v>
      </c>
    </row>
    <row r="868" spans="1:8">
      <c r="A868" s="29">
        <v>42742.393865740742</v>
      </c>
      <c r="B868" s="29" t="str">
        <f>PROPER(TEXT(tbLOG[[#This Row],[DATA/HORA]],"mmmm"))</f>
        <v>Janeiro</v>
      </c>
      <c r="C868" s="34" t="str">
        <f>PROPER(TEXT(tbLOG[[#This Row],[DATA/HORA]],"dddd"))</f>
        <v>Sábado</v>
      </c>
      <c r="D868" s="3" t="s">
        <v>804</v>
      </c>
      <c r="E868" s="34" t="str">
        <f>IFERROR(VLOOKUP(tbLOG[[#This Row],[LOGIN]],tbMAPA[#All],2,0), "Não localizado")</f>
        <v>Marcelo Dos Santos Mesquita Melo</v>
      </c>
      <c r="F868" s="34" t="str">
        <f>IFERROR(VLOOKUP(tbLOG[[#This Row],[LOGIN]],tbMAPA[#All],3,0), "Não localizado")</f>
        <v>Daniela Andrade Silva</v>
      </c>
      <c r="G868" s="3" t="s">
        <v>1547</v>
      </c>
      <c r="H868" s="3" t="s">
        <v>836</v>
      </c>
    </row>
    <row r="869" spans="1:8">
      <c r="A869" s="29">
        <v>42742.393912037034</v>
      </c>
      <c r="B869" s="29" t="str">
        <f>PROPER(TEXT(tbLOG[[#This Row],[DATA/HORA]],"mmmm"))</f>
        <v>Janeiro</v>
      </c>
      <c r="C869" s="34" t="str">
        <f>PROPER(TEXT(tbLOG[[#This Row],[DATA/HORA]],"dddd"))</f>
        <v>Sábado</v>
      </c>
      <c r="D869" s="3" t="s">
        <v>804</v>
      </c>
      <c r="E869" s="34" t="str">
        <f>IFERROR(VLOOKUP(tbLOG[[#This Row],[LOGIN]],tbMAPA[#All],2,0), "Não localizado")</f>
        <v>Marcelo Dos Santos Mesquita Melo</v>
      </c>
      <c r="F869" s="34" t="str">
        <f>IFERROR(VLOOKUP(tbLOG[[#This Row],[LOGIN]],tbMAPA[#All],3,0), "Não localizado")</f>
        <v>Daniela Andrade Silva</v>
      </c>
      <c r="G869" s="3" t="s">
        <v>1547</v>
      </c>
      <c r="H869" s="3" t="s">
        <v>836</v>
      </c>
    </row>
    <row r="870" spans="1:8">
      <c r="A870" s="29">
        <v>42742.393969907411</v>
      </c>
      <c r="B870" s="29" t="str">
        <f>PROPER(TEXT(tbLOG[[#This Row],[DATA/HORA]],"mmmm"))</f>
        <v>Janeiro</v>
      </c>
      <c r="C870" s="34" t="str">
        <f>PROPER(TEXT(tbLOG[[#This Row],[DATA/HORA]],"dddd"))</f>
        <v>Sábado</v>
      </c>
      <c r="D870" s="3" t="s">
        <v>804</v>
      </c>
      <c r="E870" s="34" t="str">
        <f>IFERROR(VLOOKUP(tbLOG[[#This Row],[LOGIN]],tbMAPA[#All],2,0), "Não localizado")</f>
        <v>Marcelo Dos Santos Mesquita Melo</v>
      </c>
      <c r="F870" s="34" t="str">
        <f>IFERROR(VLOOKUP(tbLOG[[#This Row],[LOGIN]],tbMAPA[#All],3,0), "Não localizado")</f>
        <v>Daniela Andrade Silva</v>
      </c>
      <c r="G870" s="3" t="s">
        <v>1547</v>
      </c>
      <c r="H870" s="3" t="s">
        <v>836</v>
      </c>
    </row>
    <row r="871" spans="1:8">
      <c r="A871" s="29">
        <v>42742.39402777778</v>
      </c>
      <c r="B871" s="29" t="str">
        <f>PROPER(TEXT(tbLOG[[#This Row],[DATA/HORA]],"mmmm"))</f>
        <v>Janeiro</v>
      </c>
      <c r="C871" s="34" t="str">
        <f>PROPER(TEXT(tbLOG[[#This Row],[DATA/HORA]],"dddd"))</f>
        <v>Sábado</v>
      </c>
      <c r="D871" s="3" t="s">
        <v>804</v>
      </c>
      <c r="E871" s="34" t="str">
        <f>IFERROR(VLOOKUP(tbLOG[[#This Row],[LOGIN]],tbMAPA[#All],2,0), "Não localizado")</f>
        <v>Marcelo Dos Santos Mesquita Melo</v>
      </c>
      <c r="F871" s="34" t="str">
        <f>IFERROR(VLOOKUP(tbLOG[[#This Row],[LOGIN]],tbMAPA[#All],3,0), "Não localizado")</f>
        <v>Daniela Andrade Silva</v>
      </c>
      <c r="G871" s="3" t="s">
        <v>1547</v>
      </c>
      <c r="H871" s="3" t="s">
        <v>836</v>
      </c>
    </row>
    <row r="872" spans="1:8">
      <c r="A872" s="29">
        <v>42742.39435185185</v>
      </c>
      <c r="B872" s="29" t="str">
        <f>PROPER(TEXT(tbLOG[[#This Row],[DATA/HORA]],"mmmm"))</f>
        <v>Janeiro</v>
      </c>
      <c r="C872" s="34" t="str">
        <f>PROPER(TEXT(tbLOG[[#This Row],[DATA/HORA]],"dddd"))</f>
        <v>Sábado</v>
      </c>
      <c r="D872" s="3" t="s">
        <v>804</v>
      </c>
      <c r="E872" s="34" t="str">
        <f>IFERROR(VLOOKUP(tbLOG[[#This Row],[LOGIN]],tbMAPA[#All],2,0), "Não localizado")</f>
        <v>Marcelo Dos Santos Mesquita Melo</v>
      </c>
      <c r="F872" s="34" t="str">
        <f>IFERROR(VLOOKUP(tbLOG[[#This Row],[LOGIN]],tbMAPA[#All],3,0), "Não localizado")</f>
        <v>Daniela Andrade Silva</v>
      </c>
      <c r="G872" s="3" t="s">
        <v>1547</v>
      </c>
      <c r="H872" s="3" t="s">
        <v>836</v>
      </c>
    </row>
    <row r="873" spans="1:8">
      <c r="A873" s="29">
        <v>42742.394479166665</v>
      </c>
      <c r="B873" s="29" t="str">
        <f>PROPER(TEXT(tbLOG[[#This Row],[DATA/HORA]],"mmmm"))</f>
        <v>Janeiro</v>
      </c>
      <c r="C873" s="34" t="str">
        <f>PROPER(TEXT(tbLOG[[#This Row],[DATA/HORA]],"dddd"))</f>
        <v>Sábado</v>
      </c>
      <c r="D873" s="3" t="s">
        <v>804</v>
      </c>
      <c r="E873" s="34" t="str">
        <f>IFERROR(VLOOKUP(tbLOG[[#This Row],[LOGIN]],tbMAPA[#All],2,0), "Não localizado")</f>
        <v>Marcelo Dos Santos Mesquita Melo</v>
      </c>
      <c r="F873" s="34" t="str">
        <f>IFERROR(VLOOKUP(tbLOG[[#This Row],[LOGIN]],tbMAPA[#All],3,0), "Não localizado")</f>
        <v>Daniela Andrade Silva</v>
      </c>
      <c r="G873" s="3" t="s">
        <v>1547</v>
      </c>
      <c r="H873" s="3" t="s">
        <v>290</v>
      </c>
    </row>
    <row r="874" spans="1:8">
      <c r="A874" s="29">
        <v>42742.394537037035</v>
      </c>
      <c r="B874" s="29" t="str">
        <f>PROPER(TEXT(tbLOG[[#This Row],[DATA/HORA]],"mmmm"))</f>
        <v>Janeiro</v>
      </c>
      <c r="C874" s="34" t="str">
        <f>PROPER(TEXT(tbLOG[[#This Row],[DATA/HORA]],"dddd"))</f>
        <v>Sábado</v>
      </c>
      <c r="D874" s="3" t="s">
        <v>804</v>
      </c>
      <c r="E874" s="34" t="str">
        <f>IFERROR(VLOOKUP(tbLOG[[#This Row],[LOGIN]],tbMAPA[#All],2,0), "Não localizado")</f>
        <v>Marcelo Dos Santos Mesquita Melo</v>
      </c>
      <c r="F874" s="34" t="str">
        <f>IFERROR(VLOOKUP(tbLOG[[#This Row],[LOGIN]],tbMAPA[#All],3,0), "Não localizado")</f>
        <v>Daniela Andrade Silva</v>
      </c>
      <c r="G874" s="3" t="s">
        <v>1547</v>
      </c>
      <c r="H874" s="3" t="s">
        <v>291</v>
      </c>
    </row>
    <row r="875" spans="1:8">
      <c r="A875" s="29">
        <v>42742.394548611112</v>
      </c>
      <c r="B875" s="29" t="str">
        <f>PROPER(TEXT(tbLOG[[#This Row],[DATA/HORA]],"mmmm"))</f>
        <v>Janeiro</v>
      </c>
      <c r="C875" s="34" t="str">
        <f>PROPER(TEXT(tbLOG[[#This Row],[DATA/HORA]],"dddd"))</f>
        <v>Sábado</v>
      </c>
      <c r="D875" s="3" t="s">
        <v>804</v>
      </c>
      <c r="E875" s="34" t="str">
        <f>IFERROR(VLOOKUP(tbLOG[[#This Row],[LOGIN]],tbMAPA[#All],2,0), "Não localizado")</f>
        <v>Marcelo Dos Santos Mesquita Melo</v>
      </c>
      <c r="F875" s="34" t="str">
        <f>IFERROR(VLOOKUP(tbLOG[[#This Row],[LOGIN]],tbMAPA[#All],3,0), "Não localizado")</f>
        <v>Daniela Andrade Silva</v>
      </c>
      <c r="G875" s="3" t="s">
        <v>1547</v>
      </c>
      <c r="H875" s="3" t="s">
        <v>290</v>
      </c>
    </row>
    <row r="876" spans="1:8">
      <c r="A876" s="29">
        <v>42742.467881944445</v>
      </c>
      <c r="B876" s="29" t="str">
        <f>PROPER(TEXT(tbLOG[[#This Row],[DATA/HORA]],"mmmm"))</f>
        <v>Janeiro</v>
      </c>
      <c r="C876" s="34" t="str">
        <f>PROPER(TEXT(tbLOG[[#This Row],[DATA/HORA]],"dddd"))</f>
        <v>Sábado</v>
      </c>
      <c r="D876" s="3" t="s">
        <v>695</v>
      </c>
      <c r="E876" s="34" t="str">
        <f>IFERROR(VLOOKUP(tbLOG[[#This Row],[LOGIN]],tbMAPA[#All],2,0), "Não localizado")</f>
        <v>Caroline Amparo Nunes</v>
      </c>
      <c r="F876" s="34" t="str">
        <f>IFERROR(VLOOKUP(tbLOG[[#This Row],[LOGIN]],tbMAPA[#All],3,0), "Não localizado")</f>
        <v>Jefte Soares Da Silva</v>
      </c>
      <c r="G876" s="3" t="s">
        <v>1550</v>
      </c>
      <c r="H876" s="3" t="s">
        <v>994</v>
      </c>
    </row>
    <row r="877" spans="1:8">
      <c r="A877" s="29">
        <v>42742.470324074071</v>
      </c>
      <c r="B877" s="29" t="str">
        <f>PROPER(TEXT(tbLOG[[#This Row],[DATA/HORA]],"mmmm"))</f>
        <v>Janeiro</v>
      </c>
      <c r="C877" s="34" t="str">
        <f>PROPER(TEXT(tbLOG[[#This Row],[DATA/HORA]],"dddd"))</f>
        <v>Sábado</v>
      </c>
      <c r="D877" s="3" t="s">
        <v>695</v>
      </c>
      <c r="E877" s="34" t="str">
        <f>IFERROR(VLOOKUP(tbLOG[[#This Row],[LOGIN]],tbMAPA[#All],2,0), "Não localizado")</f>
        <v>Caroline Amparo Nunes</v>
      </c>
      <c r="F877" s="34" t="str">
        <f>IFERROR(VLOOKUP(tbLOG[[#This Row],[LOGIN]],tbMAPA[#All],3,0), "Não localizado")</f>
        <v>Jefte Soares Da Silva</v>
      </c>
      <c r="G877" s="3" t="s">
        <v>1550</v>
      </c>
      <c r="H877" s="3" t="s">
        <v>836</v>
      </c>
    </row>
    <row r="878" spans="1:8">
      <c r="A878" s="29">
        <v>42742.470324074071</v>
      </c>
      <c r="B878" s="29" t="str">
        <f>PROPER(TEXT(tbLOG[[#This Row],[DATA/HORA]],"mmmm"))</f>
        <v>Janeiro</v>
      </c>
      <c r="C878" s="34" t="str">
        <f>PROPER(TEXT(tbLOG[[#This Row],[DATA/HORA]],"dddd"))</f>
        <v>Sábado</v>
      </c>
      <c r="D878" s="3" t="s">
        <v>695</v>
      </c>
      <c r="E878" s="34" t="str">
        <f>IFERROR(VLOOKUP(tbLOG[[#This Row],[LOGIN]],tbMAPA[#All],2,0), "Não localizado")</f>
        <v>Caroline Amparo Nunes</v>
      </c>
      <c r="F878" s="34" t="str">
        <f>IFERROR(VLOOKUP(tbLOG[[#This Row],[LOGIN]],tbMAPA[#All],3,0), "Não localizado")</f>
        <v>Jefte Soares Da Silva</v>
      </c>
      <c r="G878" s="3" t="s">
        <v>1550</v>
      </c>
      <c r="H878" s="3" t="s">
        <v>836</v>
      </c>
    </row>
    <row r="879" spans="1:8">
      <c r="A879" s="29">
        <v>42742.470370370371</v>
      </c>
      <c r="B879" s="29" t="str">
        <f>PROPER(TEXT(tbLOG[[#This Row],[DATA/HORA]],"mmmm"))</f>
        <v>Janeiro</v>
      </c>
      <c r="C879" s="34" t="str">
        <f>PROPER(TEXT(tbLOG[[#This Row],[DATA/HORA]],"dddd"))</f>
        <v>Sábado</v>
      </c>
      <c r="D879" s="3" t="s">
        <v>695</v>
      </c>
      <c r="E879" s="34" t="str">
        <f>IFERROR(VLOOKUP(tbLOG[[#This Row],[LOGIN]],tbMAPA[#All],2,0), "Não localizado")</f>
        <v>Caroline Amparo Nunes</v>
      </c>
      <c r="F879" s="34" t="str">
        <f>IFERROR(VLOOKUP(tbLOG[[#This Row],[LOGIN]],tbMAPA[#All],3,0), "Não localizado")</f>
        <v>Jefte Soares Da Silva</v>
      </c>
      <c r="G879" s="3" t="s">
        <v>1550</v>
      </c>
      <c r="H879" s="3" t="s">
        <v>836</v>
      </c>
    </row>
    <row r="880" spans="1:8">
      <c r="A880" s="29">
        <v>42742.470393518517</v>
      </c>
      <c r="B880" s="29" t="str">
        <f>PROPER(TEXT(tbLOG[[#This Row],[DATA/HORA]],"mmmm"))</f>
        <v>Janeiro</v>
      </c>
      <c r="C880" s="34" t="str">
        <f>PROPER(TEXT(tbLOG[[#This Row],[DATA/HORA]],"dddd"))</f>
        <v>Sábado</v>
      </c>
      <c r="D880" s="3" t="s">
        <v>695</v>
      </c>
      <c r="E880" s="34" t="str">
        <f>IFERROR(VLOOKUP(tbLOG[[#This Row],[LOGIN]],tbMAPA[#All],2,0), "Não localizado")</f>
        <v>Caroline Amparo Nunes</v>
      </c>
      <c r="F880" s="34" t="str">
        <f>IFERROR(VLOOKUP(tbLOG[[#This Row],[LOGIN]],tbMAPA[#All],3,0), "Não localizado")</f>
        <v>Jefte Soares Da Silva</v>
      </c>
      <c r="G880" s="3" t="s">
        <v>1550</v>
      </c>
      <c r="H880" s="3" t="s">
        <v>836</v>
      </c>
    </row>
    <row r="881" spans="1:8">
      <c r="A881" s="29">
        <v>42742.470509259256</v>
      </c>
      <c r="B881" s="29" t="str">
        <f>PROPER(TEXT(tbLOG[[#This Row],[DATA/HORA]],"mmmm"))</f>
        <v>Janeiro</v>
      </c>
      <c r="C881" s="34" t="str">
        <f>PROPER(TEXT(tbLOG[[#This Row],[DATA/HORA]],"dddd"))</f>
        <v>Sábado</v>
      </c>
      <c r="D881" s="3" t="s">
        <v>695</v>
      </c>
      <c r="E881" s="34" t="str">
        <f>IFERROR(VLOOKUP(tbLOG[[#This Row],[LOGIN]],tbMAPA[#All],2,0), "Não localizado")</f>
        <v>Caroline Amparo Nunes</v>
      </c>
      <c r="F881" s="34" t="str">
        <f>IFERROR(VLOOKUP(tbLOG[[#This Row],[LOGIN]],tbMAPA[#All],3,0), "Não localizado")</f>
        <v>Jefte Soares Da Silva</v>
      </c>
      <c r="G881" s="3" t="s">
        <v>1550</v>
      </c>
      <c r="H881" s="3" t="s">
        <v>836</v>
      </c>
    </row>
    <row r="882" spans="1:8">
      <c r="A882" s="29">
        <v>42742.470694444448</v>
      </c>
      <c r="B882" s="29" t="str">
        <f>PROPER(TEXT(tbLOG[[#This Row],[DATA/HORA]],"mmmm"))</f>
        <v>Janeiro</v>
      </c>
      <c r="C882" s="34" t="str">
        <f>PROPER(TEXT(tbLOG[[#This Row],[DATA/HORA]],"dddd"))</f>
        <v>Sábado</v>
      </c>
      <c r="D882" s="3" t="s">
        <v>695</v>
      </c>
      <c r="E882" s="34" t="str">
        <f>IFERROR(VLOOKUP(tbLOG[[#This Row],[LOGIN]],tbMAPA[#All],2,0), "Não localizado")</f>
        <v>Caroline Amparo Nunes</v>
      </c>
      <c r="F882" s="34" t="str">
        <f>IFERROR(VLOOKUP(tbLOG[[#This Row],[LOGIN]],tbMAPA[#All],3,0), "Não localizado")</f>
        <v>Jefte Soares Da Silva</v>
      </c>
      <c r="G882" s="3" t="s">
        <v>1550</v>
      </c>
      <c r="H882" s="3" t="s">
        <v>836</v>
      </c>
    </row>
    <row r="883" spans="1:8">
      <c r="A883" s="29">
        <v>42742.470729166664</v>
      </c>
      <c r="B883" s="29" t="str">
        <f>PROPER(TEXT(tbLOG[[#This Row],[DATA/HORA]],"mmmm"))</f>
        <v>Janeiro</v>
      </c>
      <c r="C883" s="34" t="str">
        <f>PROPER(TEXT(tbLOG[[#This Row],[DATA/HORA]],"dddd"))</f>
        <v>Sábado</v>
      </c>
      <c r="D883" s="3" t="s">
        <v>695</v>
      </c>
      <c r="E883" s="34" t="str">
        <f>IFERROR(VLOOKUP(tbLOG[[#This Row],[LOGIN]],tbMAPA[#All],2,0), "Não localizado")</f>
        <v>Caroline Amparo Nunes</v>
      </c>
      <c r="F883" s="34" t="str">
        <f>IFERROR(VLOOKUP(tbLOG[[#This Row],[LOGIN]],tbMAPA[#All],3,0), "Não localizado")</f>
        <v>Jefte Soares Da Silva</v>
      </c>
      <c r="G883" s="3" t="s">
        <v>1550</v>
      </c>
      <c r="H883" s="3" t="s">
        <v>836</v>
      </c>
    </row>
    <row r="884" spans="1:8">
      <c r="A884" s="29">
        <v>42742.470972222225</v>
      </c>
      <c r="B884" s="29" t="str">
        <f>PROPER(TEXT(tbLOG[[#This Row],[DATA/HORA]],"mmmm"))</f>
        <v>Janeiro</v>
      </c>
      <c r="C884" s="34" t="str">
        <f>PROPER(TEXT(tbLOG[[#This Row],[DATA/HORA]],"dddd"))</f>
        <v>Sábado</v>
      </c>
      <c r="D884" s="3" t="s">
        <v>695</v>
      </c>
      <c r="E884" s="34" t="str">
        <f>IFERROR(VLOOKUP(tbLOG[[#This Row],[LOGIN]],tbMAPA[#All],2,0), "Não localizado")</f>
        <v>Caroline Amparo Nunes</v>
      </c>
      <c r="F884" s="34" t="str">
        <f>IFERROR(VLOOKUP(tbLOG[[#This Row],[LOGIN]],tbMAPA[#All],3,0), "Não localizado")</f>
        <v>Jefte Soares Da Silva</v>
      </c>
      <c r="G884" s="3" t="s">
        <v>1550</v>
      </c>
      <c r="H884" s="3" t="s">
        <v>290</v>
      </c>
    </row>
    <row r="885" spans="1:8">
      <c r="A885" s="29">
        <v>42742.472708333335</v>
      </c>
      <c r="B885" s="29" t="str">
        <f>PROPER(TEXT(tbLOG[[#This Row],[DATA/HORA]],"mmmm"))</f>
        <v>Janeiro</v>
      </c>
      <c r="C885" s="34" t="str">
        <f>PROPER(TEXT(tbLOG[[#This Row],[DATA/HORA]],"dddd"))</f>
        <v>Sábado</v>
      </c>
      <c r="D885" s="3" t="s">
        <v>695</v>
      </c>
      <c r="E885" s="34" t="str">
        <f>IFERROR(VLOOKUP(tbLOG[[#This Row],[LOGIN]],tbMAPA[#All],2,0), "Não localizado")</f>
        <v>Caroline Amparo Nunes</v>
      </c>
      <c r="F885" s="34" t="str">
        <f>IFERROR(VLOOKUP(tbLOG[[#This Row],[LOGIN]],tbMAPA[#All],3,0), "Não localizado")</f>
        <v>Jefte Soares Da Silva</v>
      </c>
      <c r="G885" s="3" t="s">
        <v>1550</v>
      </c>
      <c r="H885" s="3" t="s">
        <v>836</v>
      </c>
    </row>
    <row r="886" spans="1:8">
      <c r="A886" s="29">
        <v>42742.472719907404</v>
      </c>
      <c r="B886" s="29" t="str">
        <f>PROPER(TEXT(tbLOG[[#This Row],[DATA/HORA]],"mmmm"))</f>
        <v>Janeiro</v>
      </c>
      <c r="C886" s="34" t="str">
        <f>PROPER(TEXT(tbLOG[[#This Row],[DATA/HORA]],"dddd"))</f>
        <v>Sábado</v>
      </c>
      <c r="D886" s="3" t="s">
        <v>695</v>
      </c>
      <c r="E886" s="34" t="str">
        <f>IFERROR(VLOOKUP(tbLOG[[#This Row],[LOGIN]],tbMAPA[#All],2,0), "Não localizado")</f>
        <v>Caroline Amparo Nunes</v>
      </c>
      <c r="F886" s="34" t="str">
        <f>IFERROR(VLOOKUP(tbLOG[[#This Row],[LOGIN]],tbMAPA[#All],3,0), "Não localizado")</f>
        <v>Jefte Soares Da Silva</v>
      </c>
      <c r="G886" s="3" t="s">
        <v>1550</v>
      </c>
      <c r="H886" s="3" t="s">
        <v>836</v>
      </c>
    </row>
    <row r="887" spans="1:8">
      <c r="A887" s="29">
        <v>42742.472777777781</v>
      </c>
      <c r="B887" s="29" t="str">
        <f>PROPER(TEXT(tbLOG[[#This Row],[DATA/HORA]],"mmmm"))</f>
        <v>Janeiro</v>
      </c>
      <c r="C887" s="34" t="str">
        <f>PROPER(TEXT(tbLOG[[#This Row],[DATA/HORA]],"dddd"))</f>
        <v>Sábado</v>
      </c>
      <c r="D887" s="3" t="s">
        <v>695</v>
      </c>
      <c r="E887" s="34" t="str">
        <f>IFERROR(VLOOKUP(tbLOG[[#This Row],[LOGIN]],tbMAPA[#All],2,0), "Não localizado")</f>
        <v>Caroline Amparo Nunes</v>
      </c>
      <c r="F887" s="34" t="str">
        <f>IFERROR(VLOOKUP(tbLOG[[#This Row],[LOGIN]],tbMAPA[#All],3,0), "Não localizado")</f>
        <v>Jefte Soares Da Silva</v>
      </c>
      <c r="G887" s="3" t="s">
        <v>1550</v>
      </c>
      <c r="H887" s="3" t="s">
        <v>836</v>
      </c>
    </row>
    <row r="888" spans="1:8">
      <c r="A888" s="29">
        <v>42742.472939814812</v>
      </c>
      <c r="B888" s="29" t="str">
        <f>PROPER(TEXT(tbLOG[[#This Row],[DATA/HORA]],"mmmm"))</f>
        <v>Janeiro</v>
      </c>
      <c r="C888" s="34" t="str">
        <f>PROPER(TEXT(tbLOG[[#This Row],[DATA/HORA]],"dddd"))</f>
        <v>Sábado</v>
      </c>
      <c r="D888" s="3" t="s">
        <v>695</v>
      </c>
      <c r="E888" s="34" t="str">
        <f>IFERROR(VLOOKUP(tbLOG[[#This Row],[LOGIN]],tbMAPA[#All],2,0), "Não localizado")</f>
        <v>Caroline Amparo Nunes</v>
      </c>
      <c r="F888" s="34" t="str">
        <f>IFERROR(VLOOKUP(tbLOG[[#This Row],[LOGIN]],tbMAPA[#All],3,0), "Não localizado")</f>
        <v>Jefte Soares Da Silva</v>
      </c>
      <c r="G888" s="3" t="s">
        <v>1550</v>
      </c>
      <c r="H888" s="3" t="s">
        <v>836</v>
      </c>
    </row>
    <row r="889" spans="1:8">
      <c r="A889" s="29">
        <v>42742.473020833335</v>
      </c>
      <c r="B889" s="29" t="str">
        <f>PROPER(TEXT(tbLOG[[#This Row],[DATA/HORA]],"mmmm"))</f>
        <v>Janeiro</v>
      </c>
      <c r="C889" s="34" t="str">
        <f>PROPER(TEXT(tbLOG[[#This Row],[DATA/HORA]],"dddd"))</f>
        <v>Sábado</v>
      </c>
      <c r="D889" s="3" t="s">
        <v>695</v>
      </c>
      <c r="E889" s="34" t="str">
        <f>IFERROR(VLOOKUP(tbLOG[[#This Row],[LOGIN]],tbMAPA[#All],2,0), "Não localizado")</f>
        <v>Caroline Amparo Nunes</v>
      </c>
      <c r="F889" s="34" t="str">
        <f>IFERROR(VLOOKUP(tbLOG[[#This Row],[LOGIN]],tbMAPA[#All],3,0), "Não localizado")</f>
        <v>Jefte Soares Da Silva</v>
      </c>
      <c r="G889" s="3" t="s">
        <v>1550</v>
      </c>
      <c r="H889" s="3" t="s">
        <v>836</v>
      </c>
    </row>
    <row r="890" spans="1:8">
      <c r="A890" s="29">
        <v>42742.473020833335</v>
      </c>
      <c r="B890" s="29" t="str">
        <f>PROPER(TEXT(tbLOG[[#This Row],[DATA/HORA]],"mmmm"))</f>
        <v>Janeiro</v>
      </c>
      <c r="C890" s="34" t="str">
        <f>PROPER(TEXT(tbLOG[[#This Row],[DATA/HORA]],"dddd"))</f>
        <v>Sábado</v>
      </c>
      <c r="D890" s="3" t="s">
        <v>695</v>
      </c>
      <c r="E890" s="34" t="str">
        <f>IFERROR(VLOOKUP(tbLOG[[#This Row],[LOGIN]],tbMAPA[#All],2,0), "Não localizado")</f>
        <v>Caroline Amparo Nunes</v>
      </c>
      <c r="F890" s="34" t="str">
        <f>IFERROR(VLOOKUP(tbLOG[[#This Row],[LOGIN]],tbMAPA[#All],3,0), "Não localizado")</f>
        <v>Jefte Soares Da Silva</v>
      </c>
      <c r="G890" s="3" t="s">
        <v>1550</v>
      </c>
      <c r="H890" s="3" t="s">
        <v>290</v>
      </c>
    </row>
    <row r="891" spans="1:8">
      <c r="A891" s="29">
        <v>42742.474328703705</v>
      </c>
      <c r="B891" s="29" t="str">
        <f>PROPER(TEXT(tbLOG[[#This Row],[DATA/HORA]],"mmmm"))</f>
        <v>Janeiro</v>
      </c>
      <c r="C891" s="34" t="str">
        <f>PROPER(TEXT(tbLOG[[#This Row],[DATA/HORA]],"dddd"))</f>
        <v>Sábado</v>
      </c>
      <c r="D891" s="3" t="s">
        <v>695</v>
      </c>
      <c r="E891" s="34" t="str">
        <f>IFERROR(VLOOKUP(tbLOG[[#This Row],[LOGIN]],tbMAPA[#All],2,0), "Não localizado")</f>
        <v>Caroline Amparo Nunes</v>
      </c>
      <c r="F891" s="34" t="str">
        <f>IFERROR(VLOOKUP(tbLOG[[#This Row],[LOGIN]],tbMAPA[#All],3,0), "Não localizado")</f>
        <v>Jefte Soares Da Silva</v>
      </c>
      <c r="G891" s="3" t="s">
        <v>1550</v>
      </c>
      <c r="H891" s="3" t="s">
        <v>836</v>
      </c>
    </row>
    <row r="892" spans="1:8">
      <c r="A892" s="29">
        <v>42742.474340277775</v>
      </c>
      <c r="B892" s="29" t="str">
        <f>PROPER(TEXT(tbLOG[[#This Row],[DATA/HORA]],"mmmm"))</f>
        <v>Janeiro</v>
      </c>
      <c r="C892" s="34" t="str">
        <f>PROPER(TEXT(tbLOG[[#This Row],[DATA/HORA]],"dddd"))</f>
        <v>Sábado</v>
      </c>
      <c r="D892" s="3" t="s">
        <v>695</v>
      </c>
      <c r="E892" s="34" t="str">
        <f>IFERROR(VLOOKUP(tbLOG[[#This Row],[LOGIN]],tbMAPA[#All],2,0), "Não localizado")</f>
        <v>Caroline Amparo Nunes</v>
      </c>
      <c r="F892" s="34" t="str">
        <f>IFERROR(VLOOKUP(tbLOG[[#This Row],[LOGIN]],tbMAPA[#All],3,0), "Não localizado")</f>
        <v>Jefte Soares Da Silva</v>
      </c>
      <c r="G892" s="3" t="s">
        <v>1550</v>
      </c>
      <c r="H892" s="3" t="s">
        <v>836</v>
      </c>
    </row>
    <row r="893" spans="1:8">
      <c r="A893" s="29">
        <v>42742.474687499998</v>
      </c>
      <c r="B893" s="29" t="str">
        <f>PROPER(TEXT(tbLOG[[#This Row],[DATA/HORA]],"mmmm"))</f>
        <v>Janeiro</v>
      </c>
      <c r="C893" s="34" t="str">
        <f>PROPER(TEXT(tbLOG[[#This Row],[DATA/HORA]],"dddd"))</f>
        <v>Sábado</v>
      </c>
      <c r="D893" s="3" t="s">
        <v>695</v>
      </c>
      <c r="E893" s="34" t="str">
        <f>IFERROR(VLOOKUP(tbLOG[[#This Row],[LOGIN]],tbMAPA[#All],2,0), "Não localizado")</f>
        <v>Caroline Amparo Nunes</v>
      </c>
      <c r="F893" s="34" t="str">
        <f>IFERROR(VLOOKUP(tbLOG[[#This Row],[LOGIN]],tbMAPA[#All],3,0), "Não localizado")</f>
        <v>Jefte Soares Da Silva</v>
      </c>
      <c r="G893" s="3" t="s">
        <v>1550</v>
      </c>
      <c r="H893" s="3" t="s">
        <v>836</v>
      </c>
    </row>
    <row r="894" spans="1:8">
      <c r="A894" s="29">
        <v>42742.474791666667</v>
      </c>
      <c r="B894" s="29" t="str">
        <f>PROPER(TEXT(tbLOG[[#This Row],[DATA/HORA]],"mmmm"))</f>
        <v>Janeiro</v>
      </c>
      <c r="C894" s="34" t="str">
        <f>PROPER(TEXT(tbLOG[[#This Row],[DATA/HORA]],"dddd"))</f>
        <v>Sábado</v>
      </c>
      <c r="D894" s="3" t="s">
        <v>695</v>
      </c>
      <c r="E894" s="34" t="str">
        <f>IFERROR(VLOOKUP(tbLOG[[#This Row],[LOGIN]],tbMAPA[#All],2,0), "Não localizado")</f>
        <v>Caroline Amparo Nunes</v>
      </c>
      <c r="F894" s="34" t="str">
        <f>IFERROR(VLOOKUP(tbLOG[[#This Row],[LOGIN]],tbMAPA[#All],3,0), "Não localizado")</f>
        <v>Jefte Soares Da Silva</v>
      </c>
      <c r="G894" s="3" t="s">
        <v>1550</v>
      </c>
      <c r="H894" s="3" t="s">
        <v>836</v>
      </c>
    </row>
    <row r="895" spans="1:8">
      <c r="A895" s="29">
        <v>42742.474791666667</v>
      </c>
      <c r="B895" s="29" t="str">
        <f>PROPER(TEXT(tbLOG[[#This Row],[DATA/HORA]],"mmmm"))</f>
        <v>Janeiro</v>
      </c>
      <c r="C895" s="34" t="str">
        <f>PROPER(TEXT(tbLOG[[#This Row],[DATA/HORA]],"dddd"))</f>
        <v>Sábado</v>
      </c>
      <c r="D895" s="3" t="s">
        <v>695</v>
      </c>
      <c r="E895" s="34" t="str">
        <f>IFERROR(VLOOKUP(tbLOG[[#This Row],[LOGIN]],tbMAPA[#All],2,0), "Não localizado")</f>
        <v>Caroline Amparo Nunes</v>
      </c>
      <c r="F895" s="34" t="str">
        <f>IFERROR(VLOOKUP(tbLOG[[#This Row],[LOGIN]],tbMAPA[#All],3,0), "Não localizado")</f>
        <v>Jefte Soares Da Silva</v>
      </c>
      <c r="G895" s="3" t="s">
        <v>1550</v>
      </c>
      <c r="H895" s="3" t="s">
        <v>290</v>
      </c>
    </row>
    <row r="896" spans="1:8">
      <c r="A896" s="29">
        <v>42742.476030092592</v>
      </c>
      <c r="B896" s="29" t="str">
        <f>PROPER(TEXT(tbLOG[[#This Row],[DATA/HORA]],"mmmm"))</f>
        <v>Janeiro</v>
      </c>
      <c r="C896" s="34" t="str">
        <f>PROPER(TEXT(tbLOG[[#This Row],[DATA/HORA]],"dddd"))</f>
        <v>Sábado</v>
      </c>
      <c r="D896" s="3" t="s">
        <v>695</v>
      </c>
      <c r="E896" s="34" t="str">
        <f>IFERROR(VLOOKUP(tbLOG[[#This Row],[LOGIN]],tbMAPA[#All],2,0), "Não localizado")</f>
        <v>Caroline Amparo Nunes</v>
      </c>
      <c r="F896" s="34" t="str">
        <f>IFERROR(VLOOKUP(tbLOG[[#This Row],[LOGIN]],tbMAPA[#All],3,0), "Não localizado")</f>
        <v>Jefte Soares Da Silva</v>
      </c>
      <c r="G896" s="3" t="s">
        <v>1550</v>
      </c>
      <c r="H896" s="3" t="s">
        <v>836</v>
      </c>
    </row>
    <row r="897" spans="1:8">
      <c r="A897" s="29">
        <v>42742.476053240738</v>
      </c>
      <c r="B897" s="29" t="str">
        <f>PROPER(TEXT(tbLOG[[#This Row],[DATA/HORA]],"mmmm"))</f>
        <v>Janeiro</v>
      </c>
      <c r="C897" s="34" t="str">
        <f>PROPER(TEXT(tbLOG[[#This Row],[DATA/HORA]],"dddd"))</f>
        <v>Sábado</v>
      </c>
      <c r="D897" s="3" t="s">
        <v>695</v>
      </c>
      <c r="E897" s="34" t="str">
        <f>IFERROR(VLOOKUP(tbLOG[[#This Row],[LOGIN]],tbMAPA[#All],2,0), "Não localizado")</f>
        <v>Caroline Amparo Nunes</v>
      </c>
      <c r="F897" s="34" t="str">
        <f>IFERROR(VLOOKUP(tbLOG[[#This Row],[LOGIN]],tbMAPA[#All],3,0), "Não localizado")</f>
        <v>Jefte Soares Da Silva</v>
      </c>
      <c r="G897" s="3" t="s">
        <v>1550</v>
      </c>
      <c r="H897" s="3" t="s">
        <v>836</v>
      </c>
    </row>
    <row r="898" spans="1:8">
      <c r="A898" s="29">
        <v>42742.476168981484</v>
      </c>
      <c r="B898" s="29" t="str">
        <f>PROPER(TEXT(tbLOG[[#This Row],[DATA/HORA]],"mmmm"))</f>
        <v>Janeiro</v>
      </c>
      <c r="C898" s="34" t="str">
        <f>PROPER(TEXT(tbLOG[[#This Row],[DATA/HORA]],"dddd"))</f>
        <v>Sábado</v>
      </c>
      <c r="D898" s="3" t="s">
        <v>695</v>
      </c>
      <c r="E898" s="34" t="str">
        <f>IFERROR(VLOOKUP(tbLOG[[#This Row],[LOGIN]],tbMAPA[#All],2,0), "Não localizado")</f>
        <v>Caroline Amparo Nunes</v>
      </c>
      <c r="F898" s="34" t="str">
        <f>IFERROR(VLOOKUP(tbLOG[[#This Row],[LOGIN]],tbMAPA[#All],3,0), "Não localizado")</f>
        <v>Jefte Soares Da Silva</v>
      </c>
      <c r="G898" s="3" t="s">
        <v>1550</v>
      </c>
      <c r="H898" s="3" t="s">
        <v>836</v>
      </c>
    </row>
    <row r="899" spans="1:8">
      <c r="A899" s="29">
        <v>42742.476284722223</v>
      </c>
      <c r="B899" s="29" t="str">
        <f>PROPER(TEXT(tbLOG[[#This Row],[DATA/HORA]],"mmmm"))</f>
        <v>Janeiro</v>
      </c>
      <c r="C899" s="34" t="str">
        <f>PROPER(TEXT(tbLOG[[#This Row],[DATA/HORA]],"dddd"))</f>
        <v>Sábado</v>
      </c>
      <c r="D899" s="3" t="s">
        <v>695</v>
      </c>
      <c r="E899" s="34" t="str">
        <f>IFERROR(VLOOKUP(tbLOG[[#This Row],[LOGIN]],tbMAPA[#All],2,0), "Não localizado")</f>
        <v>Caroline Amparo Nunes</v>
      </c>
      <c r="F899" s="34" t="str">
        <f>IFERROR(VLOOKUP(tbLOG[[#This Row],[LOGIN]],tbMAPA[#All],3,0), "Não localizado")</f>
        <v>Jefte Soares Da Silva</v>
      </c>
      <c r="G899" s="3" t="s">
        <v>1550</v>
      </c>
      <c r="H899" s="3" t="s">
        <v>836</v>
      </c>
    </row>
    <row r="900" spans="1:8">
      <c r="A900" s="29">
        <v>42742.476284722223</v>
      </c>
      <c r="B900" s="29" t="str">
        <f>PROPER(TEXT(tbLOG[[#This Row],[DATA/HORA]],"mmmm"))</f>
        <v>Janeiro</v>
      </c>
      <c r="C900" s="34" t="str">
        <f>PROPER(TEXT(tbLOG[[#This Row],[DATA/HORA]],"dddd"))</f>
        <v>Sábado</v>
      </c>
      <c r="D900" s="3" t="s">
        <v>695</v>
      </c>
      <c r="E900" s="34" t="str">
        <f>IFERROR(VLOOKUP(tbLOG[[#This Row],[LOGIN]],tbMAPA[#All],2,0), "Não localizado")</f>
        <v>Caroline Amparo Nunes</v>
      </c>
      <c r="F900" s="34" t="str">
        <f>IFERROR(VLOOKUP(tbLOG[[#This Row],[LOGIN]],tbMAPA[#All],3,0), "Não localizado")</f>
        <v>Jefte Soares Da Silva</v>
      </c>
      <c r="G900" s="3" t="s">
        <v>1550</v>
      </c>
      <c r="H900" s="3" t="s">
        <v>290</v>
      </c>
    </row>
    <row r="901" spans="1:8">
      <c r="A901" s="29">
        <v>42742.47828703704</v>
      </c>
      <c r="B901" s="29" t="str">
        <f>PROPER(TEXT(tbLOG[[#This Row],[DATA/HORA]],"mmmm"))</f>
        <v>Janeiro</v>
      </c>
      <c r="C901" s="34" t="str">
        <f>PROPER(TEXT(tbLOG[[#This Row],[DATA/HORA]],"dddd"))</f>
        <v>Sábado</v>
      </c>
      <c r="D901" s="3" t="s">
        <v>695</v>
      </c>
      <c r="E901" s="34" t="str">
        <f>IFERROR(VLOOKUP(tbLOG[[#This Row],[LOGIN]],tbMAPA[#All],2,0), "Não localizado")</f>
        <v>Caroline Amparo Nunes</v>
      </c>
      <c r="F901" s="34" t="str">
        <f>IFERROR(VLOOKUP(tbLOG[[#This Row],[LOGIN]],tbMAPA[#All],3,0), "Não localizado")</f>
        <v>Jefte Soares Da Silva</v>
      </c>
      <c r="G901" s="3" t="s">
        <v>1550</v>
      </c>
      <c r="H901" s="3" t="s">
        <v>836</v>
      </c>
    </row>
    <row r="902" spans="1:8">
      <c r="A902" s="29">
        <v>42742.478298611109</v>
      </c>
      <c r="B902" s="29" t="str">
        <f>PROPER(TEXT(tbLOG[[#This Row],[DATA/HORA]],"mmmm"))</f>
        <v>Janeiro</v>
      </c>
      <c r="C902" s="34" t="str">
        <f>PROPER(TEXT(tbLOG[[#This Row],[DATA/HORA]],"dddd"))</f>
        <v>Sábado</v>
      </c>
      <c r="D902" s="3" t="s">
        <v>695</v>
      </c>
      <c r="E902" s="34" t="str">
        <f>IFERROR(VLOOKUP(tbLOG[[#This Row],[LOGIN]],tbMAPA[#All],2,0), "Não localizado")</f>
        <v>Caroline Amparo Nunes</v>
      </c>
      <c r="F902" s="34" t="str">
        <f>IFERROR(VLOOKUP(tbLOG[[#This Row],[LOGIN]],tbMAPA[#All],3,0), "Não localizado")</f>
        <v>Jefte Soares Da Silva</v>
      </c>
      <c r="G902" s="3" t="s">
        <v>1550</v>
      </c>
      <c r="H902" s="3" t="s">
        <v>836</v>
      </c>
    </row>
    <row r="903" spans="1:8">
      <c r="A903" s="29">
        <v>42742.478379629632</v>
      </c>
      <c r="B903" s="29" t="str">
        <f>PROPER(TEXT(tbLOG[[#This Row],[DATA/HORA]],"mmmm"))</f>
        <v>Janeiro</v>
      </c>
      <c r="C903" s="34" t="str">
        <f>PROPER(TEXT(tbLOG[[#This Row],[DATA/HORA]],"dddd"))</f>
        <v>Sábado</v>
      </c>
      <c r="D903" s="3" t="s">
        <v>695</v>
      </c>
      <c r="E903" s="34" t="str">
        <f>IFERROR(VLOOKUP(tbLOG[[#This Row],[LOGIN]],tbMAPA[#All],2,0), "Não localizado")</f>
        <v>Caroline Amparo Nunes</v>
      </c>
      <c r="F903" s="34" t="str">
        <f>IFERROR(VLOOKUP(tbLOG[[#This Row],[LOGIN]],tbMAPA[#All],3,0), "Não localizado")</f>
        <v>Jefte Soares Da Silva</v>
      </c>
      <c r="G903" s="3" t="s">
        <v>1550</v>
      </c>
      <c r="H903" s="3" t="s">
        <v>836</v>
      </c>
    </row>
    <row r="904" spans="1:8">
      <c r="A904" s="29">
        <v>42742.478692129633</v>
      </c>
      <c r="B904" s="29" t="str">
        <f>PROPER(TEXT(tbLOG[[#This Row],[DATA/HORA]],"mmmm"))</f>
        <v>Janeiro</v>
      </c>
      <c r="C904" s="34" t="str">
        <f>PROPER(TEXT(tbLOG[[#This Row],[DATA/HORA]],"dddd"))</f>
        <v>Sábado</v>
      </c>
      <c r="D904" s="3" t="s">
        <v>695</v>
      </c>
      <c r="E904" s="34" t="str">
        <f>IFERROR(VLOOKUP(tbLOG[[#This Row],[LOGIN]],tbMAPA[#All],2,0), "Não localizado")</f>
        <v>Caroline Amparo Nunes</v>
      </c>
      <c r="F904" s="34" t="str">
        <f>IFERROR(VLOOKUP(tbLOG[[#This Row],[LOGIN]],tbMAPA[#All],3,0), "Não localizado")</f>
        <v>Jefte Soares Da Silva</v>
      </c>
      <c r="G904" s="3" t="s">
        <v>1550</v>
      </c>
      <c r="H904" s="3" t="s">
        <v>836</v>
      </c>
    </row>
    <row r="905" spans="1:8">
      <c r="A905" s="29">
        <v>42742.478692129633</v>
      </c>
      <c r="B905" s="29" t="str">
        <f>PROPER(TEXT(tbLOG[[#This Row],[DATA/HORA]],"mmmm"))</f>
        <v>Janeiro</v>
      </c>
      <c r="C905" s="34" t="str">
        <f>PROPER(TEXT(tbLOG[[#This Row],[DATA/HORA]],"dddd"))</f>
        <v>Sábado</v>
      </c>
      <c r="D905" s="3" t="s">
        <v>695</v>
      </c>
      <c r="E905" s="34" t="str">
        <f>IFERROR(VLOOKUP(tbLOG[[#This Row],[LOGIN]],tbMAPA[#All],2,0), "Não localizado")</f>
        <v>Caroline Amparo Nunes</v>
      </c>
      <c r="F905" s="34" t="str">
        <f>IFERROR(VLOOKUP(tbLOG[[#This Row],[LOGIN]],tbMAPA[#All],3,0), "Não localizado")</f>
        <v>Jefte Soares Da Silva</v>
      </c>
      <c r="G905" s="3" t="s">
        <v>1550</v>
      </c>
      <c r="H905" s="3" t="s">
        <v>290</v>
      </c>
    </row>
    <row r="906" spans="1:8">
      <c r="A906" s="29">
        <v>42742.478796296295</v>
      </c>
      <c r="B906" s="29" t="str">
        <f>PROPER(TEXT(tbLOG[[#This Row],[DATA/HORA]],"mmmm"))</f>
        <v>Janeiro</v>
      </c>
      <c r="C906" s="34" t="str">
        <f>PROPER(TEXT(tbLOG[[#This Row],[DATA/HORA]],"dddd"))</f>
        <v>Sábado</v>
      </c>
      <c r="D906" s="3" t="s">
        <v>695</v>
      </c>
      <c r="E906" s="34" t="str">
        <f>IFERROR(VLOOKUP(tbLOG[[#This Row],[LOGIN]],tbMAPA[#All],2,0), "Não localizado")</f>
        <v>Caroline Amparo Nunes</v>
      </c>
      <c r="F906" s="34" t="str">
        <f>IFERROR(VLOOKUP(tbLOG[[#This Row],[LOGIN]],tbMAPA[#All],3,0), "Não localizado")</f>
        <v>Jefte Soares Da Silva</v>
      </c>
      <c r="G906" s="3" t="s">
        <v>1550</v>
      </c>
      <c r="H906" s="3" t="s">
        <v>836</v>
      </c>
    </row>
    <row r="907" spans="1:8">
      <c r="A907" s="29">
        <v>42742.478796296295</v>
      </c>
      <c r="B907" s="29" t="str">
        <f>PROPER(TEXT(tbLOG[[#This Row],[DATA/HORA]],"mmmm"))</f>
        <v>Janeiro</v>
      </c>
      <c r="C907" s="34" t="str">
        <f>PROPER(TEXT(tbLOG[[#This Row],[DATA/HORA]],"dddd"))</f>
        <v>Sábado</v>
      </c>
      <c r="D907" s="3" t="s">
        <v>695</v>
      </c>
      <c r="E907" s="34" t="str">
        <f>IFERROR(VLOOKUP(tbLOG[[#This Row],[LOGIN]],tbMAPA[#All],2,0), "Não localizado")</f>
        <v>Caroline Amparo Nunes</v>
      </c>
      <c r="F907" s="34" t="str">
        <f>IFERROR(VLOOKUP(tbLOG[[#This Row],[LOGIN]],tbMAPA[#All],3,0), "Não localizado")</f>
        <v>Jefte Soares Da Silva</v>
      </c>
      <c r="G907" s="3" t="s">
        <v>1550</v>
      </c>
      <c r="H907" s="3" t="s">
        <v>290</v>
      </c>
    </row>
    <row r="908" spans="1:8">
      <c r="A908" s="29">
        <v>42742.481412037036</v>
      </c>
      <c r="B908" s="29" t="str">
        <f>PROPER(TEXT(tbLOG[[#This Row],[DATA/HORA]],"mmmm"))</f>
        <v>Janeiro</v>
      </c>
      <c r="C908" s="34" t="str">
        <f>PROPER(TEXT(tbLOG[[#This Row],[DATA/HORA]],"dddd"))</f>
        <v>Sábado</v>
      </c>
      <c r="D908" s="3" t="s">
        <v>695</v>
      </c>
      <c r="E908" s="34" t="str">
        <f>IFERROR(VLOOKUP(tbLOG[[#This Row],[LOGIN]],tbMAPA[#All],2,0), "Não localizado")</f>
        <v>Caroline Amparo Nunes</v>
      </c>
      <c r="F908" s="34" t="str">
        <f>IFERROR(VLOOKUP(tbLOG[[#This Row],[LOGIN]],tbMAPA[#All],3,0), "Não localizado")</f>
        <v>Jefte Soares Da Silva</v>
      </c>
      <c r="G908" s="3" t="s">
        <v>1550</v>
      </c>
      <c r="H908" s="3" t="s">
        <v>836</v>
      </c>
    </row>
    <row r="909" spans="1:8">
      <c r="A909" s="29">
        <v>42742.481435185182</v>
      </c>
      <c r="B909" s="29" t="str">
        <f>PROPER(TEXT(tbLOG[[#This Row],[DATA/HORA]],"mmmm"))</f>
        <v>Janeiro</v>
      </c>
      <c r="C909" s="34" t="str">
        <f>PROPER(TEXT(tbLOG[[#This Row],[DATA/HORA]],"dddd"))</f>
        <v>Sábado</v>
      </c>
      <c r="D909" s="3" t="s">
        <v>695</v>
      </c>
      <c r="E909" s="34" t="str">
        <f>IFERROR(VLOOKUP(tbLOG[[#This Row],[LOGIN]],tbMAPA[#All],2,0), "Não localizado")</f>
        <v>Caroline Amparo Nunes</v>
      </c>
      <c r="F909" s="34" t="str">
        <f>IFERROR(VLOOKUP(tbLOG[[#This Row],[LOGIN]],tbMAPA[#All],3,0), "Não localizado")</f>
        <v>Jefte Soares Da Silva</v>
      </c>
      <c r="G909" s="3" t="s">
        <v>1550</v>
      </c>
      <c r="H909" s="3" t="s">
        <v>836</v>
      </c>
    </row>
    <row r="910" spans="1:8">
      <c r="A910" s="29">
        <v>42742.481562499997</v>
      </c>
      <c r="B910" s="29" t="str">
        <f>PROPER(TEXT(tbLOG[[#This Row],[DATA/HORA]],"mmmm"))</f>
        <v>Janeiro</v>
      </c>
      <c r="C910" s="34" t="str">
        <f>PROPER(TEXT(tbLOG[[#This Row],[DATA/HORA]],"dddd"))</f>
        <v>Sábado</v>
      </c>
      <c r="D910" s="3" t="s">
        <v>695</v>
      </c>
      <c r="E910" s="34" t="str">
        <f>IFERROR(VLOOKUP(tbLOG[[#This Row],[LOGIN]],tbMAPA[#All],2,0), "Não localizado")</f>
        <v>Caroline Amparo Nunes</v>
      </c>
      <c r="F910" s="34" t="str">
        <f>IFERROR(VLOOKUP(tbLOG[[#This Row],[LOGIN]],tbMAPA[#All],3,0), "Não localizado")</f>
        <v>Jefte Soares Da Silva</v>
      </c>
      <c r="G910" s="3" t="s">
        <v>1550</v>
      </c>
      <c r="H910" s="3" t="s">
        <v>836</v>
      </c>
    </row>
    <row r="911" spans="1:8">
      <c r="A911" s="29">
        <v>42742.48165509259</v>
      </c>
      <c r="B911" s="29" t="str">
        <f>PROPER(TEXT(tbLOG[[#This Row],[DATA/HORA]],"mmmm"))</f>
        <v>Janeiro</v>
      </c>
      <c r="C911" s="34" t="str">
        <f>PROPER(TEXT(tbLOG[[#This Row],[DATA/HORA]],"dddd"))</f>
        <v>Sábado</v>
      </c>
      <c r="D911" s="3" t="s">
        <v>695</v>
      </c>
      <c r="E911" s="34" t="str">
        <f>IFERROR(VLOOKUP(tbLOG[[#This Row],[LOGIN]],tbMAPA[#All],2,0), "Não localizado")</f>
        <v>Caroline Amparo Nunes</v>
      </c>
      <c r="F911" s="34" t="str">
        <f>IFERROR(VLOOKUP(tbLOG[[#This Row],[LOGIN]],tbMAPA[#All],3,0), "Não localizado")</f>
        <v>Jefte Soares Da Silva</v>
      </c>
      <c r="G911" s="3" t="s">
        <v>1550</v>
      </c>
      <c r="H911" s="3" t="s">
        <v>836</v>
      </c>
    </row>
    <row r="912" spans="1:8">
      <c r="A912" s="29">
        <v>42742.48165509259</v>
      </c>
      <c r="B912" s="29" t="str">
        <f>PROPER(TEXT(tbLOG[[#This Row],[DATA/HORA]],"mmmm"))</f>
        <v>Janeiro</v>
      </c>
      <c r="C912" s="34" t="str">
        <f>PROPER(TEXT(tbLOG[[#This Row],[DATA/HORA]],"dddd"))</f>
        <v>Sábado</v>
      </c>
      <c r="D912" s="3" t="s">
        <v>695</v>
      </c>
      <c r="E912" s="34" t="str">
        <f>IFERROR(VLOOKUP(tbLOG[[#This Row],[LOGIN]],tbMAPA[#All],2,0), "Não localizado")</f>
        <v>Caroline Amparo Nunes</v>
      </c>
      <c r="F912" s="34" t="str">
        <f>IFERROR(VLOOKUP(tbLOG[[#This Row],[LOGIN]],tbMAPA[#All],3,0), "Não localizado")</f>
        <v>Jefte Soares Da Silva</v>
      </c>
      <c r="G912" s="3" t="s">
        <v>1550</v>
      </c>
      <c r="H912" s="3" t="s">
        <v>290</v>
      </c>
    </row>
    <row r="913" spans="1:8">
      <c r="A913" s="29">
        <v>42742.483229166668</v>
      </c>
      <c r="B913" s="29" t="str">
        <f>PROPER(TEXT(tbLOG[[#This Row],[DATA/HORA]],"mmmm"))</f>
        <v>Janeiro</v>
      </c>
      <c r="C913" s="34" t="str">
        <f>PROPER(TEXT(tbLOG[[#This Row],[DATA/HORA]],"dddd"))</f>
        <v>Sábado</v>
      </c>
      <c r="D913" s="3" t="s">
        <v>695</v>
      </c>
      <c r="E913" s="34" t="str">
        <f>IFERROR(VLOOKUP(tbLOG[[#This Row],[LOGIN]],tbMAPA[#All],2,0), "Não localizado")</f>
        <v>Caroline Amparo Nunes</v>
      </c>
      <c r="F913" s="34" t="str">
        <f>IFERROR(VLOOKUP(tbLOG[[#This Row],[LOGIN]],tbMAPA[#All],3,0), "Não localizado")</f>
        <v>Jefte Soares Da Silva</v>
      </c>
      <c r="G913" s="3" t="s">
        <v>1550</v>
      </c>
      <c r="H913" s="3" t="s">
        <v>836</v>
      </c>
    </row>
    <row r="914" spans="1:8">
      <c r="A914" s="29">
        <v>42742.483240740738</v>
      </c>
      <c r="B914" s="29" t="str">
        <f>PROPER(TEXT(tbLOG[[#This Row],[DATA/HORA]],"mmmm"))</f>
        <v>Janeiro</v>
      </c>
      <c r="C914" s="34" t="str">
        <f>PROPER(TEXT(tbLOG[[#This Row],[DATA/HORA]],"dddd"))</f>
        <v>Sábado</v>
      </c>
      <c r="D914" s="3" t="s">
        <v>695</v>
      </c>
      <c r="E914" s="34" t="str">
        <f>IFERROR(VLOOKUP(tbLOG[[#This Row],[LOGIN]],tbMAPA[#All],2,0), "Não localizado")</f>
        <v>Caroline Amparo Nunes</v>
      </c>
      <c r="F914" s="34" t="str">
        <f>IFERROR(VLOOKUP(tbLOG[[#This Row],[LOGIN]],tbMAPA[#All],3,0), "Não localizado")</f>
        <v>Jefte Soares Da Silva</v>
      </c>
      <c r="G914" s="3" t="s">
        <v>1550</v>
      </c>
      <c r="H914" s="3" t="s">
        <v>836</v>
      </c>
    </row>
    <row r="915" spans="1:8">
      <c r="A915" s="29">
        <v>42742.483368055553</v>
      </c>
      <c r="B915" s="29" t="str">
        <f>PROPER(TEXT(tbLOG[[#This Row],[DATA/HORA]],"mmmm"))</f>
        <v>Janeiro</v>
      </c>
      <c r="C915" s="34" t="str">
        <f>PROPER(TEXT(tbLOG[[#This Row],[DATA/HORA]],"dddd"))</f>
        <v>Sábado</v>
      </c>
      <c r="D915" s="3" t="s">
        <v>695</v>
      </c>
      <c r="E915" s="34" t="str">
        <f>IFERROR(VLOOKUP(tbLOG[[#This Row],[LOGIN]],tbMAPA[#All],2,0), "Não localizado")</f>
        <v>Caroline Amparo Nunes</v>
      </c>
      <c r="F915" s="34" t="str">
        <f>IFERROR(VLOOKUP(tbLOG[[#This Row],[LOGIN]],tbMAPA[#All],3,0), "Não localizado")</f>
        <v>Jefte Soares Da Silva</v>
      </c>
      <c r="G915" s="3" t="s">
        <v>1550</v>
      </c>
      <c r="H915" s="3" t="s">
        <v>836</v>
      </c>
    </row>
    <row r="916" spans="1:8">
      <c r="A916" s="29">
        <v>42742.483449074076</v>
      </c>
      <c r="B916" s="29" t="str">
        <f>PROPER(TEXT(tbLOG[[#This Row],[DATA/HORA]],"mmmm"))</f>
        <v>Janeiro</v>
      </c>
      <c r="C916" s="34" t="str">
        <f>PROPER(TEXT(tbLOG[[#This Row],[DATA/HORA]],"dddd"))</f>
        <v>Sábado</v>
      </c>
      <c r="D916" s="3" t="s">
        <v>695</v>
      </c>
      <c r="E916" s="34" t="str">
        <f>IFERROR(VLOOKUP(tbLOG[[#This Row],[LOGIN]],tbMAPA[#All],2,0), "Não localizado")</f>
        <v>Caroline Amparo Nunes</v>
      </c>
      <c r="F916" s="34" t="str">
        <f>IFERROR(VLOOKUP(tbLOG[[#This Row],[LOGIN]],tbMAPA[#All],3,0), "Não localizado")</f>
        <v>Jefte Soares Da Silva</v>
      </c>
      <c r="G916" s="3" t="s">
        <v>1550</v>
      </c>
      <c r="H916" s="3" t="s">
        <v>836</v>
      </c>
    </row>
    <row r="917" spans="1:8">
      <c r="A917" s="29">
        <v>42742.483449074076</v>
      </c>
      <c r="B917" s="29" t="str">
        <f>PROPER(TEXT(tbLOG[[#This Row],[DATA/HORA]],"mmmm"))</f>
        <v>Janeiro</v>
      </c>
      <c r="C917" s="34" t="str">
        <f>PROPER(TEXT(tbLOG[[#This Row],[DATA/HORA]],"dddd"))</f>
        <v>Sábado</v>
      </c>
      <c r="D917" s="3" t="s">
        <v>695</v>
      </c>
      <c r="E917" s="34" t="str">
        <f>IFERROR(VLOOKUP(tbLOG[[#This Row],[LOGIN]],tbMAPA[#All],2,0), "Não localizado")</f>
        <v>Caroline Amparo Nunes</v>
      </c>
      <c r="F917" s="34" t="str">
        <f>IFERROR(VLOOKUP(tbLOG[[#This Row],[LOGIN]],tbMAPA[#All],3,0), "Não localizado")</f>
        <v>Jefte Soares Da Silva</v>
      </c>
      <c r="G917" s="3" t="s">
        <v>1550</v>
      </c>
      <c r="H917" s="3" t="s">
        <v>290</v>
      </c>
    </row>
    <row r="918" spans="1:8">
      <c r="A918" s="29">
        <v>42742.485324074078</v>
      </c>
      <c r="B918" s="29" t="str">
        <f>PROPER(TEXT(tbLOG[[#This Row],[DATA/HORA]],"mmmm"))</f>
        <v>Janeiro</v>
      </c>
      <c r="C918" s="34" t="str">
        <f>PROPER(TEXT(tbLOG[[#This Row],[DATA/HORA]],"dddd"))</f>
        <v>Sábado</v>
      </c>
      <c r="D918" s="3" t="s">
        <v>695</v>
      </c>
      <c r="E918" s="34" t="str">
        <f>IFERROR(VLOOKUP(tbLOG[[#This Row],[LOGIN]],tbMAPA[#All],2,0), "Não localizado")</f>
        <v>Caroline Amparo Nunes</v>
      </c>
      <c r="F918" s="34" t="str">
        <f>IFERROR(VLOOKUP(tbLOG[[#This Row],[LOGIN]],tbMAPA[#All],3,0), "Não localizado")</f>
        <v>Jefte Soares Da Silva</v>
      </c>
      <c r="G918" s="3" t="s">
        <v>1550</v>
      </c>
      <c r="H918" s="3" t="s">
        <v>836</v>
      </c>
    </row>
    <row r="919" spans="1:8">
      <c r="A919" s="29">
        <v>42742.485752314817</v>
      </c>
      <c r="B919" s="29" t="str">
        <f>PROPER(TEXT(tbLOG[[#This Row],[DATA/HORA]],"mmmm"))</f>
        <v>Janeiro</v>
      </c>
      <c r="C919" s="34" t="str">
        <f>PROPER(TEXT(tbLOG[[#This Row],[DATA/HORA]],"dddd"))</f>
        <v>Sábado</v>
      </c>
      <c r="D919" s="3" t="s">
        <v>695</v>
      </c>
      <c r="E919" s="34" t="str">
        <f>IFERROR(VLOOKUP(tbLOG[[#This Row],[LOGIN]],tbMAPA[#All],2,0), "Não localizado")</f>
        <v>Caroline Amparo Nunes</v>
      </c>
      <c r="F919" s="34" t="str">
        <f>IFERROR(VLOOKUP(tbLOG[[#This Row],[LOGIN]],tbMAPA[#All],3,0), "Não localizado")</f>
        <v>Jefte Soares Da Silva</v>
      </c>
      <c r="G919" s="3" t="s">
        <v>1550</v>
      </c>
      <c r="H919" s="3" t="s">
        <v>836</v>
      </c>
    </row>
    <row r="920" spans="1:8">
      <c r="A920" s="29">
        <v>42742.485833333332</v>
      </c>
      <c r="B920" s="29" t="str">
        <f>PROPER(TEXT(tbLOG[[#This Row],[DATA/HORA]],"mmmm"))</f>
        <v>Janeiro</v>
      </c>
      <c r="C920" s="34" t="str">
        <f>PROPER(TEXT(tbLOG[[#This Row],[DATA/HORA]],"dddd"))</f>
        <v>Sábado</v>
      </c>
      <c r="D920" s="3" t="s">
        <v>695</v>
      </c>
      <c r="E920" s="34" t="str">
        <f>IFERROR(VLOOKUP(tbLOG[[#This Row],[LOGIN]],tbMAPA[#All],2,0), "Não localizado")</f>
        <v>Caroline Amparo Nunes</v>
      </c>
      <c r="F920" s="34" t="str">
        <f>IFERROR(VLOOKUP(tbLOG[[#This Row],[LOGIN]],tbMAPA[#All],3,0), "Não localizado")</f>
        <v>Jefte Soares Da Silva</v>
      </c>
      <c r="G920" s="3" t="s">
        <v>1550</v>
      </c>
      <c r="H920" s="3" t="s">
        <v>836</v>
      </c>
    </row>
    <row r="921" spans="1:8">
      <c r="A921" s="29">
        <v>42742.485914351855</v>
      </c>
      <c r="B921" s="29" t="str">
        <f>PROPER(TEXT(tbLOG[[#This Row],[DATA/HORA]],"mmmm"))</f>
        <v>Janeiro</v>
      </c>
      <c r="C921" s="34" t="str">
        <f>PROPER(TEXT(tbLOG[[#This Row],[DATA/HORA]],"dddd"))</f>
        <v>Sábado</v>
      </c>
      <c r="D921" s="3" t="s">
        <v>695</v>
      </c>
      <c r="E921" s="34" t="str">
        <f>IFERROR(VLOOKUP(tbLOG[[#This Row],[LOGIN]],tbMAPA[#All],2,0), "Não localizado")</f>
        <v>Caroline Amparo Nunes</v>
      </c>
      <c r="F921" s="34" t="str">
        <f>IFERROR(VLOOKUP(tbLOG[[#This Row],[LOGIN]],tbMAPA[#All],3,0), "Não localizado")</f>
        <v>Jefte Soares Da Silva</v>
      </c>
      <c r="G921" s="3" t="s">
        <v>1550</v>
      </c>
      <c r="H921" s="3" t="s">
        <v>836</v>
      </c>
    </row>
    <row r="922" spans="1:8">
      <c r="A922" s="29">
        <v>42742.485914351855</v>
      </c>
      <c r="B922" s="29" t="str">
        <f>PROPER(TEXT(tbLOG[[#This Row],[DATA/HORA]],"mmmm"))</f>
        <v>Janeiro</v>
      </c>
      <c r="C922" s="34" t="str">
        <f>PROPER(TEXT(tbLOG[[#This Row],[DATA/HORA]],"dddd"))</f>
        <v>Sábado</v>
      </c>
      <c r="D922" s="3" t="s">
        <v>695</v>
      </c>
      <c r="E922" s="34" t="str">
        <f>IFERROR(VLOOKUP(tbLOG[[#This Row],[LOGIN]],tbMAPA[#All],2,0), "Não localizado")</f>
        <v>Caroline Amparo Nunes</v>
      </c>
      <c r="F922" s="34" t="str">
        <f>IFERROR(VLOOKUP(tbLOG[[#This Row],[LOGIN]],tbMAPA[#All],3,0), "Não localizado")</f>
        <v>Jefte Soares Da Silva</v>
      </c>
      <c r="G922" s="3" t="s">
        <v>1550</v>
      </c>
      <c r="H922" s="3" t="s">
        <v>290</v>
      </c>
    </row>
    <row r="923" spans="1:8">
      <c r="A923" s="29">
        <v>42742.487754629627</v>
      </c>
      <c r="B923" s="29" t="str">
        <f>PROPER(TEXT(tbLOG[[#This Row],[DATA/HORA]],"mmmm"))</f>
        <v>Janeiro</v>
      </c>
      <c r="C923" s="34" t="str">
        <f>PROPER(TEXT(tbLOG[[#This Row],[DATA/HORA]],"dddd"))</f>
        <v>Sábado</v>
      </c>
      <c r="D923" s="3" t="s">
        <v>695</v>
      </c>
      <c r="E923" s="34" t="str">
        <f>IFERROR(VLOOKUP(tbLOG[[#This Row],[LOGIN]],tbMAPA[#All],2,0), "Não localizado")</f>
        <v>Caroline Amparo Nunes</v>
      </c>
      <c r="F923" s="34" t="str">
        <f>IFERROR(VLOOKUP(tbLOG[[#This Row],[LOGIN]],tbMAPA[#All],3,0), "Não localizado")</f>
        <v>Jefte Soares Da Silva</v>
      </c>
      <c r="G923" s="3" t="s">
        <v>1550</v>
      </c>
      <c r="H923" s="3" t="s">
        <v>836</v>
      </c>
    </row>
    <row r="924" spans="1:8">
      <c r="A924" s="29">
        <v>42742.488993055558</v>
      </c>
      <c r="B924" s="29" t="str">
        <f>PROPER(TEXT(tbLOG[[#This Row],[DATA/HORA]],"mmmm"))</f>
        <v>Janeiro</v>
      </c>
      <c r="C924" s="34" t="str">
        <f>PROPER(TEXT(tbLOG[[#This Row],[DATA/HORA]],"dddd"))</f>
        <v>Sábado</v>
      </c>
      <c r="D924" s="3" t="s">
        <v>695</v>
      </c>
      <c r="E924" s="34" t="str">
        <f>IFERROR(VLOOKUP(tbLOG[[#This Row],[LOGIN]],tbMAPA[#All],2,0), "Não localizado")</f>
        <v>Caroline Amparo Nunes</v>
      </c>
      <c r="F924" s="34" t="str">
        <f>IFERROR(VLOOKUP(tbLOG[[#This Row],[LOGIN]],tbMAPA[#All],3,0), "Não localizado")</f>
        <v>Jefte Soares Da Silva</v>
      </c>
      <c r="G924" s="3" t="s">
        <v>1550</v>
      </c>
      <c r="H924" s="3" t="s">
        <v>836</v>
      </c>
    </row>
    <row r="925" spans="1:8">
      <c r="A925" s="29">
        <v>42742.489398148151</v>
      </c>
      <c r="B925" s="29" t="str">
        <f>PROPER(TEXT(tbLOG[[#This Row],[DATA/HORA]],"mmmm"))</f>
        <v>Janeiro</v>
      </c>
      <c r="C925" s="34" t="str">
        <f>PROPER(TEXT(tbLOG[[#This Row],[DATA/HORA]],"dddd"))</f>
        <v>Sábado</v>
      </c>
      <c r="D925" s="3" t="s">
        <v>695</v>
      </c>
      <c r="E925" s="34" t="str">
        <f>IFERROR(VLOOKUP(tbLOG[[#This Row],[LOGIN]],tbMAPA[#All],2,0), "Não localizado")</f>
        <v>Caroline Amparo Nunes</v>
      </c>
      <c r="F925" s="34" t="str">
        <f>IFERROR(VLOOKUP(tbLOG[[#This Row],[LOGIN]],tbMAPA[#All],3,0), "Não localizado")</f>
        <v>Jefte Soares Da Silva</v>
      </c>
      <c r="G925" s="3" t="s">
        <v>1550</v>
      </c>
      <c r="H925" s="3" t="s">
        <v>836</v>
      </c>
    </row>
    <row r="926" spans="1:8">
      <c r="A926" s="29">
        <v>42742.489490740743</v>
      </c>
      <c r="B926" s="29" t="str">
        <f>PROPER(TEXT(tbLOG[[#This Row],[DATA/HORA]],"mmmm"))</f>
        <v>Janeiro</v>
      </c>
      <c r="C926" s="34" t="str">
        <f>PROPER(TEXT(tbLOG[[#This Row],[DATA/HORA]],"dddd"))</f>
        <v>Sábado</v>
      </c>
      <c r="D926" s="3" t="s">
        <v>695</v>
      </c>
      <c r="E926" s="34" t="str">
        <f>IFERROR(VLOOKUP(tbLOG[[#This Row],[LOGIN]],tbMAPA[#All],2,0), "Não localizado")</f>
        <v>Caroline Amparo Nunes</v>
      </c>
      <c r="F926" s="34" t="str">
        <f>IFERROR(VLOOKUP(tbLOG[[#This Row],[LOGIN]],tbMAPA[#All],3,0), "Não localizado")</f>
        <v>Jefte Soares Da Silva</v>
      </c>
      <c r="G926" s="3" t="s">
        <v>1550</v>
      </c>
      <c r="H926" s="3" t="s">
        <v>836</v>
      </c>
    </row>
    <row r="927" spans="1:8">
      <c r="A927" s="29">
        <v>42742.489502314813</v>
      </c>
      <c r="B927" s="29" t="str">
        <f>PROPER(TEXT(tbLOG[[#This Row],[DATA/HORA]],"mmmm"))</f>
        <v>Janeiro</v>
      </c>
      <c r="C927" s="34" t="str">
        <f>PROPER(TEXT(tbLOG[[#This Row],[DATA/HORA]],"dddd"))</f>
        <v>Sábado</v>
      </c>
      <c r="D927" s="3" t="s">
        <v>695</v>
      </c>
      <c r="E927" s="34" t="str">
        <f>IFERROR(VLOOKUP(tbLOG[[#This Row],[LOGIN]],tbMAPA[#All],2,0), "Não localizado")</f>
        <v>Caroline Amparo Nunes</v>
      </c>
      <c r="F927" s="34" t="str">
        <f>IFERROR(VLOOKUP(tbLOG[[#This Row],[LOGIN]],tbMAPA[#All],3,0), "Não localizado")</f>
        <v>Jefte Soares Da Silva</v>
      </c>
      <c r="G927" s="3" t="s">
        <v>1550</v>
      </c>
      <c r="H927" s="3" t="s">
        <v>290</v>
      </c>
    </row>
    <row r="928" spans="1:8">
      <c r="A928" s="29">
        <v>42742.490312499998</v>
      </c>
      <c r="B928" s="29" t="str">
        <f>PROPER(TEXT(tbLOG[[#This Row],[DATA/HORA]],"mmmm"))</f>
        <v>Janeiro</v>
      </c>
      <c r="C928" s="34" t="str">
        <f>PROPER(TEXT(tbLOG[[#This Row],[DATA/HORA]],"dddd"))</f>
        <v>Sábado</v>
      </c>
      <c r="D928" s="3" t="s">
        <v>695</v>
      </c>
      <c r="E928" s="34" t="str">
        <f>IFERROR(VLOOKUP(tbLOG[[#This Row],[LOGIN]],tbMAPA[#All],2,0), "Não localizado")</f>
        <v>Caroline Amparo Nunes</v>
      </c>
      <c r="F928" s="34" t="str">
        <f>IFERROR(VLOOKUP(tbLOG[[#This Row],[LOGIN]],tbMAPA[#All],3,0), "Não localizado")</f>
        <v>Jefte Soares Da Silva</v>
      </c>
      <c r="G928" s="3" t="s">
        <v>1550</v>
      </c>
      <c r="H928" s="3" t="s">
        <v>836</v>
      </c>
    </row>
    <row r="929" spans="1:8">
      <c r="A929" s="29">
        <v>42742.491261574076</v>
      </c>
      <c r="B929" s="29" t="str">
        <f>PROPER(TEXT(tbLOG[[#This Row],[DATA/HORA]],"mmmm"))</f>
        <v>Janeiro</v>
      </c>
      <c r="C929" s="34" t="str">
        <f>PROPER(TEXT(tbLOG[[#This Row],[DATA/HORA]],"dddd"))</f>
        <v>Sábado</v>
      </c>
      <c r="D929" s="3" t="s">
        <v>695</v>
      </c>
      <c r="E929" s="34" t="str">
        <f>IFERROR(VLOOKUP(tbLOG[[#This Row],[LOGIN]],tbMAPA[#All],2,0), "Não localizado")</f>
        <v>Caroline Amparo Nunes</v>
      </c>
      <c r="F929" s="34" t="str">
        <f>IFERROR(VLOOKUP(tbLOG[[#This Row],[LOGIN]],tbMAPA[#All],3,0), "Não localizado")</f>
        <v>Jefte Soares Da Silva</v>
      </c>
      <c r="G929" s="3" t="s">
        <v>1550</v>
      </c>
      <c r="H929" s="3" t="s">
        <v>836</v>
      </c>
    </row>
    <row r="930" spans="1:8">
      <c r="A930" s="29">
        <v>42742.491597222222</v>
      </c>
      <c r="B930" s="29" t="str">
        <f>PROPER(TEXT(tbLOG[[#This Row],[DATA/HORA]],"mmmm"))</f>
        <v>Janeiro</v>
      </c>
      <c r="C930" s="34" t="str">
        <f>PROPER(TEXT(tbLOG[[#This Row],[DATA/HORA]],"dddd"))</f>
        <v>Sábado</v>
      </c>
      <c r="D930" s="3" t="s">
        <v>695</v>
      </c>
      <c r="E930" s="34" t="str">
        <f>IFERROR(VLOOKUP(tbLOG[[#This Row],[LOGIN]],tbMAPA[#All],2,0), "Não localizado")</f>
        <v>Caroline Amparo Nunes</v>
      </c>
      <c r="F930" s="34" t="str">
        <f>IFERROR(VLOOKUP(tbLOG[[#This Row],[LOGIN]],tbMAPA[#All],3,0), "Não localizado")</f>
        <v>Jefte Soares Da Silva</v>
      </c>
      <c r="G930" s="3" t="s">
        <v>1550</v>
      </c>
      <c r="H930" s="3" t="s">
        <v>836</v>
      </c>
    </row>
    <row r="931" spans="1:8">
      <c r="A931" s="29">
        <v>42742.491597222222</v>
      </c>
      <c r="B931" s="29" t="str">
        <f>PROPER(TEXT(tbLOG[[#This Row],[DATA/HORA]],"mmmm"))</f>
        <v>Janeiro</v>
      </c>
      <c r="C931" s="34" t="str">
        <f>PROPER(TEXT(tbLOG[[#This Row],[DATA/HORA]],"dddd"))</f>
        <v>Sábado</v>
      </c>
      <c r="D931" s="3" t="s">
        <v>695</v>
      </c>
      <c r="E931" s="34" t="str">
        <f>IFERROR(VLOOKUP(tbLOG[[#This Row],[LOGIN]],tbMAPA[#All],2,0), "Não localizado")</f>
        <v>Caroline Amparo Nunes</v>
      </c>
      <c r="F931" s="34" t="str">
        <f>IFERROR(VLOOKUP(tbLOG[[#This Row],[LOGIN]],tbMAPA[#All],3,0), "Não localizado")</f>
        <v>Jefte Soares Da Silva</v>
      </c>
      <c r="G931" s="3" t="s">
        <v>1550</v>
      </c>
      <c r="H931" s="3" t="s">
        <v>290</v>
      </c>
    </row>
    <row r="932" spans="1:8">
      <c r="A932" s="29">
        <v>42742.491712962961</v>
      </c>
      <c r="B932" s="29" t="str">
        <f>PROPER(TEXT(tbLOG[[#This Row],[DATA/HORA]],"mmmm"))</f>
        <v>Janeiro</v>
      </c>
      <c r="C932" s="34" t="str">
        <f>PROPER(TEXT(tbLOG[[#This Row],[DATA/HORA]],"dddd"))</f>
        <v>Sábado</v>
      </c>
      <c r="D932" s="3" t="s">
        <v>695</v>
      </c>
      <c r="E932" s="34" t="str">
        <f>IFERROR(VLOOKUP(tbLOG[[#This Row],[LOGIN]],tbMAPA[#All],2,0), "Não localizado")</f>
        <v>Caroline Amparo Nunes</v>
      </c>
      <c r="F932" s="34" t="str">
        <f>IFERROR(VLOOKUP(tbLOG[[#This Row],[LOGIN]],tbMAPA[#All],3,0), "Não localizado")</f>
        <v>Jefte Soares Da Silva</v>
      </c>
      <c r="G932" s="3" t="s">
        <v>1550</v>
      </c>
      <c r="H932" s="3" t="s">
        <v>836</v>
      </c>
    </row>
    <row r="933" spans="1:8">
      <c r="A933" s="29">
        <v>42742.491828703707</v>
      </c>
      <c r="B933" s="29" t="str">
        <f>PROPER(TEXT(tbLOG[[#This Row],[DATA/HORA]],"mmmm"))</f>
        <v>Janeiro</v>
      </c>
      <c r="C933" s="34" t="str">
        <f>PROPER(TEXT(tbLOG[[#This Row],[DATA/HORA]],"dddd"))</f>
        <v>Sábado</v>
      </c>
      <c r="D933" s="3" t="s">
        <v>695</v>
      </c>
      <c r="E933" s="34" t="str">
        <f>IFERROR(VLOOKUP(tbLOG[[#This Row],[LOGIN]],tbMAPA[#All],2,0), "Não localizado")</f>
        <v>Caroline Amparo Nunes</v>
      </c>
      <c r="F933" s="34" t="str">
        <f>IFERROR(VLOOKUP(tbLOG[[#This Row],[LOGIN]],tbMAPA[#All],3,0), "Não localizado")</f>
        <v>Jefte Soares Da Silva</v>
      </c>
      <c r="G933" s="3" t="s">
        <v>1550</v>
      </c>
      <c r="H933" s="3" t="s">
        <v>836</v>
      </c>
    </row>
    <row r="934" spans="1:8">
      <c r="A934" s="29">
        <v>42742.491828703707</v>
      </c>
      <c r="B934" s="29" t="str">
        <f>PROPER(TEXT(tbLOG[[#This Row],[DATA/HORA]],"mmmm"))</f>
        <v>Janeiro</v>
      </c>
      <c r="C934" s="34" t="str">
        <f>PROPER(TEXT(tbLOG[[#This Row],[DATA/HORA]],"dddd"))</f>
        <v>Sábado</v>
      </c>
      <c r="D934" s="3" t="s">
        <v>695</v>
      </c>
      <c r="E934" s="34" t="str">
        <f>IFERROR(VLOOKUP(tbLOG[[#This Row],[LOGIN]],tbMAPA[#All],2,0), "Não localizado")</f>
        <v>Caroline Amparo Nunes</v>
      </c>
      <c r="F934" s="34" t="str">
        <f>IFERROR(VLOOKUP(tbLOG[[#This Row],[LOGIN]],tbMAPA[#All],3,0), "Não localizado")</f>
        <v>Jefte Soares Da Silva</v>
      </c>
      <c r="G934" s="3" t="s">
        <v>1550</v>
      </c>
      <c r="H934" s="3" t="s">
        <v>290</v>
      </c>
    </row>
    <row r="935" spans="1:8">
      <c r="A935" s="29">
        <v>42742.493715277778</v>
      </c>
      <c r="B935" s="29" t="str">
        <f>PROPER(TEXT(tbLOG[[#This Row],[DATA/HORA]],"mmmm"))</f>
        <v>Janeiro</v>
      </c>
      <c r="C935" s="34" t="str">
        <f>PROPER(TEXT(tbLOG[[#This Row],[DATA/HORA]],"dddd"))</f>
        <v>Sábado</v>
      </c>
      <c r="D935" s="3" t="s">
        <v>695</v>
      </c>
      <c r="E935" s="34" t="str">
        <f>IFERROR(VLOOKUP(tbLOG[[#This Row],[LOGIN]],tbMAPA[#All],2,0), "Não localizado")</f>
        <v>Caroline Amparo Nunes</v>
      </c>
      <c r="F935" s="34" t="str">
        <f>IFERROR(VLOOKUP(tbLOG[[#This Row],[LOGIN]],tbMAPA[#All],3,0), "Não localizado")</f>
        <v>Jefte Soares Da Silva</v>
      </c>
      <c r="G935" s="3" t="s">
        <v>1550</v>
      </c>
      <c r="H935" s="3" t="s">
        <v>836</v>
      </c>
    </row>
    <row r="936" spans="1:8">
      <c r="A936" s="29">
        <v>42742.493726851855</v>
      </c>
      <c r="B936" s="29" t="str">
        <f>PROPER(TEXT(tbLOG[[#This Row],[DATA/HORA]],"mmmm"))</f>
        <v>Janeiro</v>
      </c>
      <c r="C936" s="34" t="str">
        <f>PROPER(TEXT(tbLOG[[#This Row],[DATA/HORA]],"dddd"))</f>
        <v>Sábado</v>
      </c>
      <c r="D936" s="3" t="s">
        <v>695</v>
      </c>
      <c r="E936" s="34" t="str">
        <f>IFERROR(VLOOKUP(tbLOG[[#This Row],[LOGIN]],tbMAPA[#All],2,0), "Não localizado")</f>
        <v>Caroline Amparo Nunes</v>
      </c>
      <c r="F936" s="34" t="str">
        <f>IFERROR(VLOOKUP(tbLOG[[#This Row],[LOGIN]],tbMAPA[#All],3,0), "Não localizado")</f>
        <v>Jefte Soares Da Silva</v>
      </c>
      <c r="G936" s="3" t="s">
        <v>1550</v>
      </c>
      <c r="H936" s="3" t="s">
        <v>836</v>
      </c>
    </row>
    <row r="937" spans="1:8">
      <c r="A937" s="29">
        <v>42742.493807870371</v>
      </c>
      <c r="B937" s="29" t="str">
        <f>PROPER(TEXT(tbLOG[[#This Row],[DATA/HORA]],"mmmm"))</f>
        <v>Janeiro</v>
      </c>
      <c r="C937" s="34" t="str">
        <f>PROPER(TEXT(tbLOG[[#This Row],[DATA/HORA]],"dddd"))</f>
        <v>Sábado</v>
      </c>
      <c r="D937" s="3" t="s">
        <v>695</v>
      </c>
      <c r="E937" s="34" t="str">
        <f>IFERROR(VLOOKUP(tbLOG[[#This Row],[LOGIN]],tbMAPA[#All],2,0), "Não localizado")</f>
        <v>Caroline Amparo Nunes</v>
      </c>
      <c r="F937" s="34" t="str">
        <f>IFERROR(VLOOKUP(tbLOG[[#This Row],[LOGIN]],tbMAPA[#All],3,0), "Não localizado")</f>
        <v>Jefte Soares Da Silva</v>
      </c>
      <c r="G937" s="3" t="s">
        <v>1550</v>
      </c>
      <c r="H937" s="3" t="s">
        <v>836</v>
      </c>
    </row>
    <row r="938" spans="1:8">
      <c r="A938" s="29">
        <v>42742.49391203704</v>
      </c>
      <c r="B938" s="29" t="str">
        <f>PROPER(TEXT(tbLOG[[#This Row],[DATA/HORA]],"mmmm"))</f>
        <v>Janeiro</v>
      </c>
      <c r="C938" s="34" t="str">
        <f>PROPER(TEXT(tbLOG[[#This Row],[DATA/HORA]],"dddd"))</f>
        <v>Sábado</v>
      </c>
      <c r="D938" s="3" t="s">
        <v>695</v>
      </c>
      <c r="E938" s="34" t="str">
        <f>IFERROR(VLOOKUP(tbLOG[[#This Row],[LOGIN]],tbMAPA[#All],2,0), "Não localizado")</f>
        <v>Caroline Amparo Nunes</v>
      </c>
      <c r="F938" s="34" t="str">
        <f>IFERROR(VLOOKUP(tbLOG[[#This Row],[LOGIN]],tbMAPA[#All],3,0), "Não localizado")</f>
        <v>Jefte Soares Da Silva</v>
      </c>
      <c r="G938" s="3" t="s">
        <v>1550</v>
      </c>
      <c r="H938" s="3" t="s">
        <v>836</v>
      </c>
    </row>
    <row r="939" spans="1:8">
      <c r="A939" s="29">
        <v>42742.49391203704</v>
      </c>
      <c r="B939" s="29" t="str">
        <f>PROPER(TEXT(tbLOG[[#This Row],[DATA/HORA]],"mmmm"))</f>
        <v>Janeiro</v>
      </c>
      <c r="C939" s="34" t="str">
        <f>PROPER(TEXT(tbLOG[[#This Row],[DATA/HORA]],"dddd"))</f>
        <v>Sábado</v>
      </c>
      <c r="D939" s="3" t="s">
        <v>695</v>
      </c>
      <c r="E939" s="34" t="str">
        <f>IFERROR(VLOOKUP(tbLOG[[#This Row],[LOGIN]],tbMAPA[#All],2,0), "Não localizado")</f>
        <v>Caroline Amparo Nunes</v>
      </c>
      <c r="F939" s="34" t="str">
        <f>IFERROR(VLOOKUP(tbLOG[[#This Row],[LOGIN]],tbMAPA[#All],3,0), "Não localizado")</f>
        <v>Jefte Soares Da Silva</v>
      </c>
      <c r="G939" s="3" t="s">
        <v>1550</v>
      </c>
      <c r="H939" s="3" t="s">
        <v>290</v>
      </c>
    </row>
    <row r="940" spans="1:8">
      <c r="A940" s="29">
        <v>42742.496886574074</v>
      </c>
      <c r="B940" s="29" t="str">
        <f>PROPER(TEXT(tbLOG[[#This Row],[DATA/HORA]],"mmmm"))</f>
        <v>Janeiro</v>
      </c>
      <c r="C940" s="34" t="str">
        <f>PROPER(TEXT(tbLOG[[#This Row],[DATA/HORA]],"dddd"))</f>
        <v>Sábado</v>
      </c>
      <c r="D940" s="3" t="s">
        <v>695</v>
      </c>
      <c r="E940" s="34" t="str">
        <f>IFERROR(VLOOKUP(tbLOG[[#This Row],[LOGIN]],tbMAPA[#All],2,0), "Não localizado")</f>
        <v>Caroline Amparo Nunes</v>
      </c>
      <c r="F940" s="34" t="str">
        <f>IFERROR(VLOOKUP(tbLOG[[#This Row],[LOGIN]],tbMAPA[#All],3,0), "Não localizado")</f>
        <v>Jefte Soares Da Silva</v>
      </c>
      <c r="G940" s="3" t="s">
        <v>1550</v>
      </c>
      <c r="H940" s="3" t="s">
        <v>836</v>
      </c>
    </row>
    <row r="941" spans="1:8">
      <c r="A941" s="29">
        <v>42742.49927083333</v>
      </c>
      <c r="B941" s="29" t="str">
        <f>PROPER(TEXT(tbLOG[[#This Row],[DATA/HORA]],"mmmm"))</f>
        <v>Janeiro</v>
      </c>
      <c r="C941" s="34" t="str">
        <f>PROPER(TEXT(tbLOG[[#This Row],[DATA/HORA]],"dddd"))</f>
        <v>Sábado</v>
      </c>
      <c r="D941" s="3" t="s">
        <v>695</v>
      </c>
      <c r="E941" s="34" t="str">
        <f>IFERROR(VLOOKUP(tbLOG[[#This Row],[LOGIN]],tbMAPA[#All],2,0), "Não localizado")</f>
        <v>Caroline Amparo Nunes</v>
      </c>
      <c r="F941" s="34" t="str">
        <f>IFERROR(VLOOKUP(tbLOG[[#This Row],[LOGIN]],tbMAPA[#All],3,0), "Não localizado")</f>
        <v>Jefte Soares Da Silva</v>
      </c>
      <c r="G941" s="3" t="s">
        <v>1550</v>
      </c>
      <c r="H941" s="3" t="s">
        <v>836</v>
      </c>
    </row>
    <row r="942" spans="1:8">
      <c r="A942" s="29">
        <v>42742.499340277776</v>
      </c>
      <c r="B942" s="29" t="str">
        <f>PROPER(TEXT(tbLOG[[#This Row],[DATA/HORA]],"mmmm"))</f>
        <v>Janeiro</v>
      </c>
      <c r="C942" s="34" t="str">
        <f>PROPER(TEXT(tbLOG[[#This Row],[DATA/HORA]],"dddd"))</f>
        <v>Sábado</v>
      </c>
      <c r="D942" s="3" t="s">
        <v>695</v>
      </c>
      <c r="E942" s="34" t="str">
        <f>IFERROR(VLOOKUP(tbLOG[[#This Row],[LOGIN]],tbMAPA[#All],2,0), "Não localizado")</f>
        <v>Caroline Amparo Nunes</v>
      </c>
      <c r="F942" s="34" t="str">
        <f>IFERROR(VLOOKUP(tbLOG[[#This Row],[LOGIN]],tbMAPA[#All],3,0), "Não localizado")</f>
        <v>Jefte Soares Da Silva</v>
      </c>
      <c r="G942" s="3" t="s">
        <v>1550</v>
      </c>
      <c r="H942" s="3" t="s">
        <v>836</v>
      </c>
    </row>
    <row r="943" spans="1:8">
      <c r="A943" s="29">
        <v>42742.499421296299</v>
      </c>
      <c r="B943" s="29" t="str">
        <f>PROPER(TEXT(tbLOG[[#This Row],[DATA/HORA]],"mmmm"))</f>
        <v>Janeiro</v>
      </c>
      <c r="C943" s="34" t="str">
        <f>PROPER(TEXT(tbLOG[[#This Row],[DATA/HORA]],"dddd"))</f>
        <v>Sábado</v>
      </c>
      <c r="D943" s="3" t="s">
        <v>695</v>
      </c>
      <c r="E943" s="34" t="str">
        <f>IFERROR(VLOOKUP(tbLOG[[#This Row],[LOGIN]],tbMAPA[#All],2,0), "Não localizado")</f>
        <v>Caroline Amparo Nunes</v>
      </c>
      <c r="F943" s="34" t="str">
        <f>IFERROR(VLOOKUP(tbLOG[[#This Row],[LOGIN]],tbMAPA[#All],3,0), "Não localizado")</f>
        <v>Jefte Soares Da Silva</v>
      </c>
      <c r="G943" s="3" t="s">
        <v>1550</v>
      </c>
      <c r="H943" s="3" t="s">
        <v>836</v>
      </c>
    </row>
    <row r="944" spans="1:8">
      <c r="A944" s="29">
        <v>42742.499421296299</v>
      </c>
      <c r="B944" s="29" t="str">
        <f>PROPER(TEXT(tbLOG[[#This Row],[DATA/HORA]],"mmmm"))</f>
        <v>Janeiro</v>
      </c>
      <c r="C944" s="34" t="str">
        <f>PROPER(TEXT(tbLOG[[#This Row],[DATA/HORA]],"dddd"))</f>
        <v>Sábado</v>
      </c>
      <c r="D944" s="3" t="s">
        <v>695</v>
      </c>
      <c r="E944" s="34" t="str">
        <f>IFERROR(VLOOKUP(tbLOG[[#This Row],[LOGIN]],tbMAPA[#All],2,0), "Não localizado")</f>
        <v>Caroline Amparo Nunes</v>
      </c>
      <c r="F944" s="34" t="str">
        <f>IFERROR(VLOOKUP(tbLOG[[#This Row],[LOGIN]],tbMAPA[#All],3,0), "Não localizado")</f>
        <v>Jefte Soares Da Silva</v>
      </c>
      <c r="G944" s="3" t="s">
        <v>1550</v>
      </c>
      <c r="H944" s="3" t="s">
        <v>290</v>
      </c>
    </row>
    <row r="945" spans="1:8">
      <c r="A945" s="29">
        <v>42742.500057870369</v>
      </c>
      <c r="B945" s="29" t="str">
        <f>PROPER(TEXT(tbLOG[[#This Row],[DATA/HORA]],"mmmm"))</f>
        <v>Janeiro</v>
      </c>
      <c r="C945" s="34" t="str">
        <f>PROPER(TEXT(tbLOG[[#This Row],[DATA/HORA]],"dddd"))</f>
        <v>Sábado</v>
      </c>
      <c r="D945" s="3" t="s">
        <v>695</v>
      </c>
      <c r="E945" s="34" t="str">
        <f>IFERROR(VLOOKUP(tbLOG[[#This Row],[LOGIN]],tbMAPA[#All],2,0), "Não localizado")</f>
        <v>Caroline Amparo Nunes</v>
      </c>
      <c r="F945" s="34" t="str">
        <f>IFERROR(VLOOKUP(tbLOG[[#This Row],[LOGIN]],tbMAPA[#All],3,0), "Não localizado")</f>
        <v>Jefte Soares Da Silva</v>
      </c>
      <c r="G945" s="3" t="s">
        <v>1550</v>
      </c>
      <c r="H945" s="3" t="s">
        <v>836</v>
      </c>
    </row>
    <row r="946" spans="1:8">
      <c r="A946" s="29">
        <v>42742.504641203705</v>
      </c>
      <c r="B946" s="29" t="str">
        <f>PROPER(TEXT(tbLOG[[#This Row],[DATA/HORA]],"mmmm"))</f>
        <v>Janeiro</v>
      </c>
      <c r="C946" s="34" t="str">
        <f>PROPER(TEXT(tbLOG[[#This Row],[DATA/HORA]],"dddd"))</f>
        <v>Sábado</v>
      </c>
      <c r="D946" s="3" t="s">
        <v>695</v>
      </c>
      <c r="E946" s="34" t="str">
        <f>IFERROR(VLOOKUP(tbLOG[[#This Row],[LOGIN]],tbMAPA[#All],2,0), "Não localizado")</f>
        <v>Caroline Amparo Nunes</v>
      </c>
      <c r="F946" s="34" t="str">
        <f>IFERROR(VLOOKUP(tbLOG[[#This Row],[LOGIN]],tbMAPA[#All],3,0), "Não localizado")</f>
        <v>Jefte Soares Da Silva</v>
      </c>
      <c r="G946" s="3" t="s">
        <v>1550</v>
      </c>
      <c r="H946" s="3" t="s">
        <v>836</v>
      </c>
    </row>
    <row r="947" spans="1:8">
      <c r="A947" s="29">
        <v>42742.505069444444</v>
      </c>
      <c r="B947" s="29" t="str">
        <f>PROPER(TEXT(tbLOG[[#This Row],[DATA/HORA]],"mmmm"))</f>
        <v>Janeiro</v>
      </c>
      <c r="C947" s="34" t="str">
        <f>PROPER(TEXT(tbLOG[[#This Row],[DATA/HORA]],"dddd"))</f>
        <v>Sábado</v>
      </c>
      <c r="D947" s="3" t="s">
        <v>695</v>
      </c>
      <c r="E947" s="34" t="str">
        <f>IFERROR(VLOOKUP(tbLOG[[#This Row],[LOGIN]],tbMAPA[#All],2,0), "Não localizado")</f>
        <v>Caroline Amparo Nunes</v>
      </c>
      <c r="F947" s="34" t="str">
        <f>IFERROR(VLOOKUP(tbLOG[[#This Row],[LOGIN]],tbMAPA[#All],3,0), "Não localizado")</f>
        <v>Jefte Soares Da Silva</v>
      </c>
      <c r="G947" s="3" t="s">
        <v>1550</v>
      </c>
      <c r="H947" s="3" t="s">
        <v>836</v>
      </c>
    </row>
    <row r="948" spans="1:8">
      <c r="A948" s="29">
        <v>42742.505127314813</v>
      </c>
      <c r="B948" s="29" t="str">
        <f>PROPER(TEXT(tbLOG[[#This Row],[DATA/HORA]],"mmmm"))</f>
        <v>Janeiro</v>
      </c>
      <c r="C948" s="34" t="str">
        <f>PROPER(TEXT(tbLOG[[#This Row],[DATA/HORA]],"dddd"))</f>
        <v>Sábado</v>
      </c>
      <c r="D948" s="3" t="s">
        <v>695</v>
      </c>
      <c r="E948" s="34" t="str">
        <f>IFERROR(VLOOKUP(tbLOG[[#This Row],[LOGIN]],tbMAPA[#All],2,0), "Não localizado")</f>
        <v>Caroline Amparo Nunes</v>
      </c>
      <c r="F948" s="34" t="str">
        <f>IFERROR(VLOOKUP(tbLOG[[#This Row],[LOGIN]],tbMAPA[#All],3,0), "Não localizado")</f>
        <v>Jefte Soares Da Silva</v>
      </c>
      <c r="G948" s="3" t="s">
        <v>1550</v>
      </c>
      <c r="H948" s="3" t="s">
        <v>836</v>
      </c>
    </row>
    <row r="949" spans="1:8">
      <c r="A949" s="29">
        <v>42742.505243055559</v>
      </c>
      <c r="B949" s="29" t="str">
        <f>PROPER(TEXT(tbLOG[[#This Row],[DATA/HORA]],"mmmm"))</f>
        <v>Janeiro</v>
      </c>
      <c r="C949" s="34" t="str">
        <f>PROPER(TEXT(tbLOG[[#This Row],[DATA/HORA]],"dddd"))</f>
        <v>Sábado</v>
      </c>
      <c r="D949" s="3" t="s">
        <v>695</v>
      </c>
      <c r="E949" s="34" t="str">
        <f>IFERROR(VLOOKUP(tbLOG[[#This Row],[LOGIN]],tbMAPA[#All],2,0), "Não localizado")</f>
        <v>Caroline Amparo Nunes</v>
      </c>
      <c r="F949" s="34" t="str">
        <f>IFERROR(VLOOKUP(tbLOG[[#This Row],[LOGIN]],tbMAPA[#All],3,0), "Não localizado")</f>
        <v>Jefte Soares Da Silva</v>
      </c>
      <c r="G949" s="3" t="s">
        <v>1550</v>
      </c>
      <c r="H949" s="3" t="s">
        <v>836</v>
      </c>
    </row>
    <row r="950" spans="1:8">
      <c r="A950" s="29">
        <v>42742.505243055559</v>
      </c>
      <c r="B950" s="29" t="str">
        <f>PROPER(TEXT(tbLOG[[#This Row],[DATA/HORA]],"mmmm"))</f>
        <v>Janeiro</v>
      </c>
      <c r="C950" s="34" t="str">
        <f>PROPER(TEXT(tbLOG[[#This Row],[DATA/HORA]],"dddd"))</f>
        <v>Sábado</v>
      </c>
      <c r="D950" s="3" t="s">
        <v>695</v>
      </c>
      <c r="E950" s="34" t="str">
        <f>IFERROR(VLOOKUP(tbLOG[[#This Row],[LOGIN]],tbMAPA[#All],2,0), "Não localizado")</f>
        <v>Caroline Amparo Nunes</v>
      </c>
      <c r="F950" s="34" t="str">
        <f>IFERROR(VLOOKUP(tbLOG[[#This Row],[LOGIN]],tbMAPA[#All],3,0), "Não localizado")</f>
        <v>Jefte Soares Da Silva</v>
      </c>
      <c r="G950" s="3" t="s">
        <v>1550</v>
      </c>
      <c r="H950" s="3" t="s">
        <v>290</v>
      </c>
    </row>
    <row r="951" spans="1:8">
      <c r="A951" s="29">
        <v>42742.506979166668</v>
      </c>
      <c r="B951" s="29" t="str">
        <f>PROPER(TEXT(tbLOG[[#This Row],[DATA/HORA]],"mmmm"))</f>
        <v>Janeiro</v>
      </c>
      <c r="C951" s="34" t="str">
        <f>PROPER(TEXT(tbLOG[[#This Row],[DATA/HORA]],"dddd"))</f>
        <v>Sábado</v>
      </c>
      <c r="D951" s="3" t="s">
        <v>695</v>
      </c>
      <c r="E951" s="34" t="str">
        <f>IFERROR(VLOOKUP(tbLOG[[#This Row],[LOGIN]],tbMAPA[#All],2,0), "Não localizado")</f>
        <v>Caroline Amparo Nunes</v>
      </c>
      <c r="F951" s="34" t="str">
        <f>IFERROR(VLOOKUP(tbLOG[[#This Row],[LOGIN]],tbMAPA[#All],3,0), "Não localizado")</f>
        <v>Jefte Soares Da Silva</v>
      </c>
      <c r="G951" s="3" t="s">
        <v>1550</v>
      </c>
      <c r="H951" s="3" t="s">
        <v>836</v>
      </c>
    </row>
    <row r="952" spans="1:8">
      <c r="A952" s="29">
        <v>42742.506990740738</v>
      </c>
      <c r="B952" s="29" t="str">
        <f>PROPER(TEXT(tbLOG[[#This Row],[DATA/HORA]],"mmmm"))</f>
        <v>Janeiro</v>
      </c>
      <c r="C952" s="34" t="str">
        <f>PROPER(TEXT(tbLOG[[#This Row],[DATA/HORA]],"dddd"))</f>
        <v>Sábado</v>
      </c>
      <c r="D952" s="3" t="s">
        <v>695</v>
      </c>
      <c r="E952" s="34" t="str">
        <f>IFERROR(VLOOKUP(tbLOG[[#This Row],[LOGIN]],tbMAPA[#All],2,0), "Não localizado")</f>
        <v>Caroline Amparo Nunes</v>
      </c>
      <c r="F952" s="34" t="str">
        <f>IFERROR(VLOOKUP(tbLOG[[#This Row],[LOGIN]],tbMAPA[#All],3,0), "Não localizado")</f>
        <v>Jefte Soares Da Silva</v>
      </c>
      <c r="G952" s="3" t="s">
        <v>1550</v>
      </c>
      <c r="H952" s="3" t="s">
        <v>836</v>
      </c>
    </row>
    <row r="953" spans="1:8">
      <c r="A953" s="29">
        <v>42742.507372685184</v>
      </c>
      <c r="B953" s="29" t="str">
        <f>PROPER(TEXT(tbLOG[[#This Row],[DATA/HORA]],"mmmm"))</f>
        <v>Janeiro</v>
      </c>
      <c r="C953" s="34" t="str">
        <f>PROPER(TEXT(tbLOG[[#This Row],[DATA/HORA]],"dddd"))</f>
        <v>Sábado</v>
      </c>
      <c r="D953" s="3" t="s">
        <v>695</v>
      </c>
      <c r="E953" s="34" t="str">
        <f>IFERROR(VLOOKUP(tbLOG[[#This Row],[LOGIN]],tbMAPA[#All],2,0), "Não localizado")</f>
        <v>Caroline Amparo Nunes</v>
      </c>
      <c r="F953" s="34" t="str">
        <f>IFERROR(VLOOKUP(tbLOG[[#This Row],[LOGIN]],tbMAPA[#All],3,0), "Não localizado")</f>
        <v>Jefte Soares Da Silva</v>
      </c>
      <c r="G953" s="3" t="s">
        <v>1550</v>
      </c>
      <c r="H953" s="3" t="s">
        <v>836</v>
      </c>
    </row>
    <row r="954" spans="1:8">
      <c r="A954" s="29">
        <v>42742.507476851853</v>
      </c>
      <c r="B954" s="29" t="str">
        <f>PROPER(TEXT(tbLOG[[#This Row],[DATA/HORA]],"mmmm"))</f>
        <v>Janeiro</v>
      </c>
      <c r="C954" s="34" t="str">
        <f>PROPER(TEXT(tbLOG[[#This Row],[DATA/HORA]],"dddd"))</f>
        <v>Sábado</v>
      </c>
      <c r="D954" s="3" t="s">
        <v>695</v>
      </c>
      <c r="E954" s="34" t="str">
        <f>IFERROR(VLOOKUP(tbLOG[[#This Row],[LOGIN]],tbMAPA[#All],2,0), "Não localizado")</f>
        <v>Caroline Amparo Nunes</v>
      </c>
      <c r="F954" s="34" t="str">
        <f>IFERROR(VLOOKUP(tbLOG[[#This Row],[LOGIN]],tbMAPA[#All],3,0), "Não localizado")</f>
        <v>Jefte Soares Da Silva</v>
      </c>
      <c r="G954" s="3" t="s">
        <v>1550</v>
      </c>
      <c r="H954" s="3" t="s">
        <v>836</v>
      </c>
    </row>
    <row r="955" spans="1:8">
      <c r="A955" s="29">
        <v>42742.507476851853</v>
      </c>
      <c r="B955" s="29" t="str">
        <f>PROPER(TEXT(tbLOG[[#This Row],[DATA/HORA]],"mmmm"))</f>
        <v>Janeiro</v>
      </c>
      <c r="C955" s="34" t="str">
        <f>PROPER(TEXT(tbLOG[[#This Row],[DATA/HORA]],"dddd"))</f>
        <v>Sábado</v>
      </c>
      <c r="D955" s="3" t="s">
        <v>695</v>
      </c>
      <c r="E955" s="34" t="str">
        <f>IFERROR(VLOOKUP(tbLOG[[#This Row],[LOGIN]],tbMAPA[#All],2,0), "Não localizado")</f>
        <v>Caroline Amparo Nunes</v>
      </c>
      <c r="F955" s="34" t="str">
        <f>IFERROR(VLOOKUP(tbLOG[[#This Row],[LOGIN]],tbMAPA[#All],3,0), "Não localizado")</f>
        <v>Jefte Soares Da Silva</v>
      </c>
      <c r="G955" s="3" t="s">
        <v>1550</v>
      </c>
      <c r="H955" s="3" t="s">
        <v>290</v>
      </c>
    </row>
    <row r="956" spans="1:8">
      <c r="A956" s="29">
        <v>42742.50885416667</v>
      </c>
      <c r="B956" s="29" t="str">
        <f>PROPER(TEXT(tbLOG[[#This Row],[DATA/HORA]],"mmmm"))</f>
        <v>Janeiro</v>
      </c>
      <c r="C956" s="34" t="str">
        <f>PROPER(TEXT(tbLOG[[#This Row],[DATA/HORA]],"dddd"))</f>
        <v>Sábado</v>
      </c>
      <c r="D956" s="3" t="s">
        <v>695</v>
      </c>
      <c r="E956" s="34" t="str">
        <f>IFERROR(VLOOKUP(tbLOG[[#This Row],[LOGIN]],tbMAPA[#All],2,0), "Não localizado")</f>
        <v>Caroline Amparo Nunes</v>
      </c>
      <c r="F956" s="34" t="str">
        <f>IFERROR(VLOOKUP(tbLOG[[#This Row],[LOGIN]],tbMAPA[#All],3,0), "Não localizado")</f>
        <v>Jefte Soares Da Silva</v>
      </c>
      <c r="G956" s="3" t="s">
        <v>1550</v>
      </c>
      <c r="H956" s="3" t="s">
        <v>836</v>
      </c>
    </row>
    <row r="957" spans="1:8">
      <c r="A957" s="29">
        <v>42742.508877314816</v>
      </c>
      <c r="B957" s="29" t="str">
        <f>PROPER(TEXT(tbLOG[[#This Row],[DATA/HORA]],"mmmm"))</f>
        <v>Janeiro</v>
      </c>
      <c r="C957" s="34" t="str">
        <f>PROPER(TEXT(tbLOG[[#This Row],[DATA/HORA]],"dddd"))</f>
        <v>Sábado</v>
      </c>
      <c r="D957" s="3" t="s">
        <v>695</v>
      </c>
      <c r="E957" s="34" t="str">
        <f>IFERROR(VLOOKUP(tbLOG[[#This Row],[LOGIN]],tbMAPA[#All],2,0), "Não localizado")</f>
        <v>Caroline Amparo Nunes</v>
      </c>
      <c r="F957" s="34" t="str">
        <f>IFERROR(VLOOKUP(tbLOG[[#This Row],[LOGIN]],tbMAPA[#All],3,0), "Não localizado")</f>
        <v>Jefte Soares Da Silva</v>
      </c>
      <c r="G957" s="3" t="s">
        <v>1550</v>
      </c>
      <c r="H957" s="3" t="s">
        <v>836</v>
      </c>
    </row>
    <row r="958" spans="1:8">
      <c r="A958" s="29">
        <v>42742.508935185186</v>
      </c>
      <c r="B958" s="29" t="str">
        <f>PROPER(TEXT(tbLOG[[#This Row],[DATA/HORA]],"mmmm"))</f>
        <v>Janeiro</v>
      </c>
      <c r="C958" s="34" t="str">
        <f>PROPER(TEXT(tbLOG[[#This Row],[DATA/HORA]],"dddd"))</f>
        <v>Sábado</v>
      </c>
      <c r="D958" s="3" t="s">
        <v>695</v>
      </c>
      <c r="E958" s="34" t="str">
        <f>IFERROR(VLOOKUP(tbLOG[[#This Row],[LOGIN]],tbMAPA[#All],2,0), "Não localizado")</f>
        <v>Caroline Amparo Nunes</v>
      </c>
      <c r="F958" s="34" t="str">
        <f>IFERROR(VLOOKUP(tbLOG[[#This Row],[LOGIN]],tbMAPA[#All],3,0), "Não localizado")</f>
        <v>Jefte Soares Da Silva</v>
      </c>
      <c r="G958" s="3" t="s">
        <v>1550</v>
      </c>
      <c r="H958" s="3" t="s">
        <v>836</v>
      </c>
    </row>
    <row r="959" spans="1:8">
      <c r="A959" s="29">
        <v>42742.509039351855</v>
      </c>
      <c r="B959" s="29" t="str">
        <f>PROPER(TEXT(tbLOG[[#This Row],[DATA/HORA]],"mmmm"))</f>
        <v>Janeiro</v>
      </c>
      <c r="C959" s="34" t="str">
        <f>PROPER(TEXT(tbLOG[[#This Row],[DATA/HORA]],"dddd"))</f>
        <v>Sábado</v>
      </c>
      <c r="D959" s="3" t="s">
        <v>695</v>
      </c>
      <c r="E959" s="34" t="str">
        <f>IFERROR(VLOOKUP(tbLOG[[#This Row],[LOGIN]],tbMAPA[#All],2,0), "Não localizado")</f>
        <v>Caroline Amparo Nunes</v>
      </c>
      <c r="F959" s="34" t="str">
        <f>IFERROR(VLOOKUP(tbLOG[[#This Row],[LOGIN]],tbMAPA[#All],3,0), "Não localizado")</f>
        <v>Jefte Soares Da Silva</v>
      </c>
      <c r="G959" s="3" t="s">
        <v>1550</v>
      </c>
      <c r="H959" s="3" t="s">
        <v>836</v>
      </c>
    </row>
    <row r="960" spans="1:8">
      <c r="A960" s="29">
        <v>42742.509039351855</v>
      </c>
      <c r="B960" s="29" t="str">
        <f>PROPER(TEXT(tbLOG[[#This Row],[DATA/HORA]],"mmmm"))</f>
        <v>Janeiro</v>
      </c>
      <c r="C960" s="34" t="str">
        <f>PROPER(TEXT(tbLOG[[#This Row],[DATA/HORA]],"dddd"))</f>
        <v>Sábado</v>
      </c>
      <c r="D960" s="3" t="s">
        <v>695</v>
      </c>
      <c r="E960" s="34" t="str">
        <f>IFERROR(VLOOKUP(tbLOG[[#This Row],[LOGIN]],tbMAPA[#All],2,0), "Não localizado")</f>
        <v>Caroline Amparo Nunes</v>
      </c>
      <c r="F960" s="34" t="str">
        <f>IFERROR(VLOOKUP(tbLOG[[#This Row],[LOGIN]],tbMAPA[#All],3,0), "Não localizado")</f>
        <v>Jefte Soares Da Silva</v>
      </c>
      <c r="G960" s="3" t="s">
        <v>1550</v>
      </c>
      <c r="H960" s="3" t="s">
        <v>290</v>
      </c>
    </row>
    <row r="961" spans="1:8">
      <c r="A961" s="29">
        <v>42742.512094907404</v>
      </c>
      <c r="B961" s="29" t="str">
        <f>PROPER(TEXT(tbLOG[[#This Row],[DATA/HORA]],"mmmm"))</f>
        <v>Janeiro</v>
      </c>
      <c r="C961" s="34" t="str">
        <f>PROPER(TEXT(tbLOG[[#This Row],[DATA/HORA]],"dddd"))</f>
        <v>Sábado</v>
      </c>
      <c r="D961" s="3" t="s">
        <v>695</v>
      </c>
      <c r="E961" s="34" t="str">
        <f>IFERROR(VLOOKUP(tbLOG[[#This Row],[LOGIN]],tbMAPA[#All],2,0), "Não localizado")</f>
        <v>Caroline Amparo Nunes</v>
      </c>
      <c r="F961" s="34" t="str">
        <f>IFERROR(VLOOKUP(tbLOG[[#This Row],[LOGIN]],tbMAPA[#All],3,0), "Não localizado")</f>
        <v>Jefte Soares Da Silva</v>
      </c>
      <c r="G961" s="3" t="s">
        <v>1550</v>
      </c>
      <c r="H961" s="3" t="s">
        <v>836</v>
      </c>
    </row>
    <row r="962" spans="1:8">
      <c r="A962" s="29">
        <v>42742.512106481481</v>
      </c>
      <c r="B962" s="29" t="str">
        <f>PROPER(TEXT(tbLOG[[#This Row],[DATA/HORA]],"mmmm"))</f>
        <v>Janeiro</v>
      </c>
      <c r="C962" s="34" t="str">
        <f>PROPER(TEXT(tbLOG[[#This Row],[DATA/HORA]],"dddd"))</f>
        <v>Sábado</v>
      </c>
      <c r="D962" s="3" t="s">
        <v>695</v>
      </c>
      <c r="E962" s="34" t="str">
        <f>IFERROR(VLOOKUP(tbLOG[[#This Row],[LOGIN]],tbMAPA[#All],2,0), "Não localizado")</f>
        <v>Caroline Amparo Nunes</v>
      </c>
      <c r="F962" s="34" t="str">
        <f>IFERROR(VLOOKUP(tbLOG[[#This Row],[LOGIN]],tbMAPA[#All],3,0), "Não localizado")</f>
        <v>Jefte Soares Da Silva</v>
      </c>
      <c r="G962" s="3" t="s">
        <v>1550</v>
      </c>
      <c r="H962" s="3" t="s">
        <v>836</v>
      </c>
    </row>
    <row r="963" spans="1:8">
      <c r="A963" s="29">
        <v>42742.512326388889</v>
      </c>
      <c r="B963" s="29" t="str">
        <f>PROPER(TEXT(tbLOG[[#This Row],[DATA/HORA]],"mmmm"))</f>
        <v>Janeiro</v>
      </c>
      <c r="C963" s="34" t="str">
        <f>PROPER(TEXT(tbLOG[[#This Row],[DATA/HORA]],"dddd"))</f>
        <v>Sábado</v>
      </c>
      <c r="D963" s="3" t="s">
        <v>695</v>
      </c>
      <c r="E963" s="34" t="str">
        <f>IFERROR(VLOOKUP(tbLOG[[#This Row],[LOGIN]],tbMAPA[#All],2,0), "Não localizado")</f>
        <v>Caroline Amparo Nunes</v>
      </c>
      <c r="F963" s="34" t="str">
        <f>IFERROR(VLOOKUP(tbLOG[[#This Row],[LOGIN]],tbMAPA[#All],3,0), "Não localizado")</f>
        <v>Jefte Soares Da Silva</v>
      </c>
      <c r="G963" s="3" t="s">
        <v>1550</v>
      </c>
      <c r="H963" s="3" t="s">
        <v>836</v>
      </c>
    </row>
    <row r="964" spans="1:8">
      <c r="A964" s="29">
        <v>42742.512418981481</v>
      </c>
      <c r="B964" s="29" t="str">
        <f>PROPER(TEXT(tbLOG[[#This Row],[DATA/HORA]],"mmmm"))</f>
        <v>Janeiro</v>
      </c>
      <c r="C964" s="34" t="str">
        <f>PROPER(TEXT(tbLOG[[#This Row],[DATA/HORA]],"dddd"))</f>
        <v>Sábado</v>
      </c>
      <c r="D964" s="3" t="s">
        <v>695</v>
      </c>
      <c r="E964" s="34" t="str">
        <f>IFERROR(VLOOKUP(tbLOG[[#This Row],[LOGIN]],tbMAPA[#All],2,0), "Não localizado")</f>
        <v>Caroline Amparo Nunes</v>
      </c>
      <c r="F964" s="34" t="str">
        <f>IFERROR(VLOOKUP(tbLOG[[#This Row],[LOGIN]],tbMAPA[#All],3,0), "Não localizado")</f>
        <v>Jefte Soares Da Silva</v>
      </c>
      <c r="G964" s="3" t="s">
        <v>1550</v>
      </c>
      <c r="H964" s="3" t="s">
        <v>836</v>
      </c>
    </row>
    <row r="965" spans="1:8">
      <c r="A965" s="29">
        <v>42742.512418981481</v>
      </c>
      <c r="B965" s="29" t="str">
        <f>PROPER(TEXT(tbLOG[[#This Row],[DATA/HORA]],"mmmm"))</f>
        <v>Janeiro</v>
      </c>
      <c r="C965" s="34" t="str">
        <f>PROPER(TEXT(tbLOG[[#This Row],[DATA/HORA]],"dddd"))</f>
        <v>Sábado</v>
      </c>
      <c r="D965" s="3" t="s">
        <v>695</v>
      </c>
      <c r="E965" s="34" t="str">
        <f>IFERROR(VLOOKUP(tbLOG[[#This Row],[LOGIN]],tbMAPA[#All],2,0), "Não localizado")</f>
        <v>Caroline Amparo Nunes</v>
      </c>
      <c r="F965" s="34" t="str">
        <f>IFERROR(VLOOKUP(tbLOG[[#This Row],[LOGIN]],tbMAPA[#All],3,0), "Não localizado")</f>
        <v>Jefte Soares Da Silva</v>
      </c>
      <c r="G965" s="3" t="s">
        <v>1550</v>
      </c>
      <c r="H965" s="3" t="s">
        <v>290</v>
      </c>
    </row>
    <row r="966" spans="1:8">
      <c r="A966" s="29">
        <v>42742.512488425928</v>
      </c>
      <c r="B966" s="29" t="str">
        <f>PROPER(TEXT(tbLOG[[#This Row],[DATA/HORA]],"mmmm"))</f>
        <v>Janeiro</v>
      </c>
      <c r="C966" s="34" t="str">
        <f>PROPER(TEXT(tbLOG[[#This Row],[DATA/HORA]],"dddd"))</f>
        <v>Sábado</v>
      </c>
      <c r="D966" s="3" t="s">
        <v>695</v>
      </c>
      <c r="E966" s="34" t="str">
        <f>IFERROR(VLOOKUP(tbLOG[[#This Row],[LOGIN]],tbMAPA[#All],2,0), "Não localizado")</f>
        <v>Caroline Amparo Nunes</v>
      </c>
      <c r="F966" s="34" t="str">
        <f>IFERROR(VLOOKUP(tbLOG[[#This Row],[LOGIN]],tbMAPA[#All],3,0), "Não localizado")</f>
        <v>Jefte Soares Da Silva</v>
      </c>
      <c r="G966" s="3" t="s">
        <v>1550</v>
      </c>
      <c r="H966" s="3" t="s">
        <v>836</v>
      </c>
    </row>
    <row r="967" spans="1:8">
      <c r="A967" s="29">
        <v>42742.513958333337</v>
      </c>
      <c r="B967" s="29" t="str">
        <f>PROPER(TEXT(tbLOG[[#This Row],[DATA/HORA]],"mmmm"))</f>
        <v>Janeiro</v>
      </c>
      <c r="C967" s="34" t="str">
        <f>PROPER(TEXT(tbLOG[[#This Row],[DATA/HORA]],"dddd"))</f>
        <v>Sábado</v>
      </c>
      <c r="D967" s="3" t="s">
        <v>695</v>
      </c>
      <c r="E967" s="34" t="str">
        <f>IFERROR(VLOOKUP(tbLOG[[#This Row],[LOGIN]],tbMAPA[#All],2,0), "Não localizado")</f>
        <v>Caroline Amparo Nunes</v>
      </c>
      <c r="F967" s="34" t="str">
        <f>IFERROR(VLOOKUP(tbLOG[[#This Row],[LOGIN]],tbMAPA[#All],3,0), "Não localizado")</f>
        <v>Jefte Soares Da Silva</v>
      </c>
      <c r="G967" s="3" t="s">
        <v>1550</v>
      </c>
      <c r="H967" s="3" t="s">
        <v>836</v>
      </c>
    </row>
    <row r="968" spans="1:8">
      <c r="A968" s="29">
        <v>42742.514143518521</v>
      </c>
      <c r="B968" s="29" t="str">
        <f>PROPER(TEXT(tbLOG[[#This Row],[DATA/HORA]],"mmmm"))</f>
        <v>Janeiro</v>
      </c>
      <c r="C968" s="34" t="str">
        <f>PROPER(TEXT(tbLOG[[#This Row],[DATA/HORA]],"dddd"))</f>
        <v>Sábado</v>
      </c>
      <c r="D968" s="3" t="s">
        <v>695</v>
      </c>
      <c r="E968" s="34" t="str">
        <f>IFERROR(VLOOKUP(tbLOG[[#This Row],[LOGIN]],tbMAPA[#All],2,0), "Não localizado")</f>
        <v>Caroline Amparo Nunes</v>
      </c>
      <c r="F968" s="34" t="str">
        <f>IFERROR(VLOOKUP(tbLOG[[#This Row],[LOGIN]],tbMAPA[#All],3,0), "Não localizado")</f>
        <v>Jefte Soares Da Silva</v>
      </c>
      <c r="G968" s="3" t="s">
        <v>1550</v>
      </c>
      <c r="H968" s="3" t="s">
        <v>836</v>
      </c>
    </row>
    <row r="969" spans="1:8">
      <c r="A969" s="29">
        <v>42742.514143518521</v>
      </c>
      <c r="B969" s="29" t="str">
        <f>PROPER(TEXT(tbLOG[[#This Row],[DATA/HORA]],"mmmm"))</f>
        <v>Janeiro</v>
      </c>
      <c r="C969" s="34" t="str">
        <f>PROPER(TEXT(tbLOG[[#This Row],[DATA/HORA]],"dddd"))</f>
        <v>Sábado</v>
      </c>
      <c r="D969" s="3" t="s">
        <v>695</v>
      </c>
      <c r="E969" s="34" t="str">
        <f>IFERROR(VLOOKUP(tbLOG[[#This Row],[LOGIN]],tbMAPA[#All],2,0), "Não localizado")</f>
        <v>Caroline Amparo Nunes</v>
      </c>
      <c r="F969" s="34" t="str">
        <f>IFERROR(VLOOKUP(tbLOG[[#This Row],[LOGIN]],tbMAPA[#All],3,0), "Não localizado")</f>
        <v>Jefte Soares Da Silva</v>
      </c>
      <c r="G969" s="3" t="s">
        <v>1550</v>
      </c>
      <c r="H969" s="3" t="s">
        <v>290</v>
      </c>
    </row>
    <row r="970" spans="1:8">
      <c r="A970" s="29">
        <v>42742.514270833337</v>
      </c>
      <c r="B970" s="29" t="str">
        <f>PROPER(TEXT(tbLOG[[#This Row],[DATA/HORA]],"mmmm"))</f>
        <v>Janeiro</v>
      </c>
      <c r="C970" s="34" t="str">
        <f>PROPER(TEXT(tbLOG[[#This Row],[DATA/HORA]],"dddd"))</f>
        <v>Sábado</v>
      </c>
      <c r="D970" s="3" t="s">
        <v>695</v>
      </c>
      <c r="E970" s="34" t="str">
        <f>IFERROR(VLOOKUP(tbLOG[[#This Row],[LOGIN]],tbMAPA[#All],2,0), "Não localizado")</f>
        <v>Caroline Amparo Nunes</v>
      </c>
      <c r="F970" s="34" t="str">
        <f>IFERROR(VLOOKUP(tbLOG[[#This Row],[LOGIN]],tbMAPA[#All],3,0), "Não localizado")</f>
        <v>Jefte Soares Da Silva</v>
      </c>
      <c r="G970" s="3" t="s">
        <v>1550</v>
      </c>
      <c r="H970" s="3" t="s">
        <v>836</v>
      </c>
    </row>
    <row r="971" spans="1:8">
      <c r="A971" s="29">
        <v>42742.514270833337</v>
      </c>
      <c r="B971" s="29" t="str">
        <f>PROPER(TEXT(tbLOG[[#This Row],[DATA/HORA]],"mmmm"))</f>
        <v>Janeiro</v>
      </c>
      <c r="C971" s="34" t="str">
        <f>PROPER(TEXT(tbLOG[[#This Row],[DATA/HORA]],"dddd"))</f>
        <v>Sábado</v>
      </c>
      <c r="D971" s="3" t="s">
        <v>695</v>
      </c>
      <c r="E971" s="34" t="str">
        <f>IFERROR(VLOOKUP(tbLOG[[#This Row],[LOGIN]],tbMAPA[#All],2,0), "Não localizado")</f>
        <v>Caroline Amparo Nunes</v>
      </c>
      <c r="F971" s="34" t="str">
        <f>IFERROR(VLOOKUP(tbLOG[[#This Row],[LOGIN]],tbMAPA[#All],3,0), "Não localizado")</f>
        <v>Jefte Soares Da Silva</v>
      </c>
      <c r="G971" s="3" t="s">
        <v>1550</v>
      </c>
      <c r="H971" s="3" t="s">
        <v>290</v>
      </c>
    </row>
    <row r="972" spans="1:8">
      <c r="A972" s="29">
        <v>42742.519745370373</v>
      </c>
      <c r="B972" s="29" t="str">
        <f>PROPER(TEXT(tbLOG[[#This Row],[DATA/HORA]],"mmmm"))</f>
        <v>Janeiro</v>
      </c>
      <c r="C972" s="34" t="str">
        <f>PROPER(TEXT(tbLOG[[#This Row],[DATA/HORA]],"dddd"))</f>
        <v>Sábado</v>
      </c>
      <c r="D972" s="3" t="s">
        <v>695</v>
      </c>
      <c r="E972" s="34" t="str">
        <f>IFERROR(VLOOKUP(tbLOG[[#This Row],[LOGIN]],tbMAPA[#All],2,0), "Não localizado")</f>
        <v>Caroline Amparo Nunes</v>
      </c>
      <c r="F972" s="34" t="str">
        <f>IFERROR(VLOOKUP(tbLOG[[#This Row],[LOGIN]],tbMAPA[#All],3,0), "Não localizado")</f>
        <v>Jefte Soares Da Silva</v>
      </c>
      <c r="G972" s="3" t="s">
        <v>1550</v>
      </c>
      <c r="H972" s="3" t="s">
        <v>836</v>
      </c>
    </row>
    <row r="973" spans="1:8">
      <c r="A973" s="29">
        <v>42742.522662037038</v>
      </c>
      <c r="B973" s="29" t="str">
        <f>PROPER(TEXT(tbLOG[[#This Row],[DATA/HORA]],"mmmm"))</f>
        <v>Janeiro</v>
      </c>
      <c r="C973" s="34" t="str">
        <f>PROPER(TEXT(tbLOG[[#This Row],[DATA/HORA]],"dddd"))</f>
        <v>Sábado</v>
      </c>
      <c r="D973" s="3" t="s">
        <v>695</v>
      </c>
      <c r="E973" s="34" t="str">
        <f>IFERROR(VLOOKUP(tbLOG[[#This Row],[LOGIN]],tbMAPA[#All],2,0), "Não localizado")</f>
        <v>Caroline Amparo Nunes</v>
      </c>
      <c r="F973" s="34" t="str">
        <f>IFERROR(VLOOKUP(tbLOG[[#This Row],[LOGIN]],tbMAPA[#All],3,0), "Não localizado")</f>
        <v>Jefte Soares Da Silva</v>
      </c>
      <c r="G973" s="3" t="s">
        <v>1550</v>
      </c>
      <c r="H973" s="3" t="s">
        <v>836</v>
      </c>
    </row>
    <row r="974" spans="1:8">
      <c r="A974" s="29">
        <v>42742.523125</v>
      </c>
      <c r="B974" s="29" t="str">
        <f>PROPER(TEXT(tbLOG[[#This Row],[DATA/HORA]],"mmmm"))</f>
        <v>Janeiro</v>
      </c>
      <c r="C974" s="34" t="str">
        <f>PROPER(TEXT(tbLOG[[#This Row],[DATA/HORA]],"dddd"))</f>
        <v>Sábado</v>
      </c>
      <c r="D974" s="3" t="s">
        <v>695</v>
      </c>
      <c r="E974" s="34" t="str">
        <f>IFERROR(VLOOKUP(tbLOG[[#This Row],[LOGIN]],tbMAPA[#All],2,0), "Não localizado")</f>
        <v>Caroline Amparo Nunes</v>
      </c>
      <c r="F974" s="34" t="str">
        <f>IFERROR(VLOOKUP(tbLOG[[#This Row],[LOGIN]],tbMAPA[#All],3,0), "Não localizado")</f>
        <v>Jefte Soares Da Silva</v>
      </c>
      <c r="G974" s="3" t="s">
        <v>1550</v>
      </c>
      <c r="H974" s="3" t="s">
        <v>836</v>
      </c>
    </row>
    <row r="975" spans="1:8">
      <c r="A975" s="29">
        <v>42742.524571759262</v>
      </c>
      <c r="B975" s="29" t="str">
        <f>PROPER(TEXT(tbLOG[[#This Row],[DATA/HORA]],"mmmm"))</f>
        <v>Janeiro</v>
      </c>
      <c r="C975" s="34" t="str">
        <f>PROPER(TEXT(tbLOG[[#This Row],[DATA/HORA]],"dddd"))</f>
        <v>Sábado</v>
      </c>
      <c r="D975" s="3" t="s">
        <v>695</v>
      </c>
      <c r="E975" s="34" t="str">
        <f>IFERROR(VLOOKUP(tbLOG[[#This Row],[LOGIN]],tbMAPA[#All],2,0), "Não localizado")</f>
        <v>Caroline Amparo Nunes</v>
      </c>
      <c r="F975" s="34" t="str">
        <f>IFERROR(VLOOKUP(tbLOG[[#This Row],[LOGIN]],tbMAPA[#All],3,0), "Não localizado")</f>
        <v>Jefte Soares Da Silva</v>
      </c>
      <c r="G975" s="3" t="s">
        <v>1550</v>
      </c>
      <c r="H975" s="3" t="s">
        <v>836</v>
      </c>
    </row>
    <row r="976" spans="1:8">
      <c r="A976" s="29">
        <v>42742.524571759262</v>
      </c>
      <c r="B976" s="29" t="str">
        <f>PROPER(TEXT(tbLOG[[#This Row],[DATA/HORA]],"mmmm"))</f>
        <v>Janeiro</v>
      </c>
      <c r="C976" s="34" t="str">
        <f>PROPER(TEXT(tbLOG[[#This Row],[DATA/HORA]],"dddd"))</f>
        <v>Sábado</v>
      </c>
      <c r="D976" s="3" t="s">
        <v>695</v>
      </c>
      <c r="E976" s="34" t="str">
        <f>IFERROR(VLOOKUP(tbLOG[[#This Row],[LOGIN]],tbMAPA[#All],2,0), "Não localizado")</f>
        <v>Caroline Amparo Nunes</v>
      </c>
      <c r="F976" s="34" t="str">
        <f>IFERROR(VLOOKUP(tbLOG[[#This Row],[LOGIN]],tbMAPA[#All],3,0), "Não localizado")</f>
        <v>Jefte Soares Da Silva</v>
      </c>
      <c r="G976" s="3" t="s">
        <v>1550</v>
      </c>
      <c r="H976" s="3" t="s">
        <v>290</v>
      </c>
    </row>
    <row r="977" spans="1:8">
      <c r="A977" s="29">
        <v>42742.524733796294</v>
      </c>
      <c r="B977" s="29" t="str">
        <f>PROPER(TEXT(tbLOG[[#This Row],[DATA/HORA]],"mmmm"))</f>
        <v>Janeiro</v>
      </c>
      <c r="C977" s="34" t="str">
        <f>PROPER(TEXT(tbLOG[[#This Row],[DATA/HORA]],"dddd"))</f>
        <v>Sábado</v>
      </c>
      <c r="D977" s="3" t="s">
        <v>695</v>
      </c>
      <c r="E977" s="34" t="str">
        <f>IFERROR(VLOOKUP(tbLOG[[#This Row],[LOGIN]],tbMAPA[#All],2,0), "Não localizado")</f>
        <v>Caroline Amparo Nunes</v>
      </c>
      <c r="F977" s="34" t="str">
        <f>IFERROR(VLOOKUP(tbLOG[[#This Row],[LOGIN]],tbMAPA[#All],3,0), "Não localizado")</f>
        <v>Jefte Soares Da Silva</v>
      </c>
      <c r="G977" s="3" t="s">
        <v>1550</v>
      </c>
      <c r="H977" s="3" t="s">
        <v>836</v>
      </c>
    </row>
    <row r="978" spans="1:8">
      <c r="A978" s="29">
        <v>42742.524733796294</v>
      </c>
      <c r="B978" s="29" t="str">
        <f>PROPER(TEXT(tbLOG[[#This Row],[DATA/HORA]],"mmmm"))</f>
        <v>Janeiro</v>
      </c>
      <c r="C978" s="34" t="str">
        <f>PROPER(TEXT(tbLOG[[#This Row],[DATA/HORA]],"dddd"))</f>
        <v>Sábado</v>
      </c>
      <c r="D978" s="3" t="s">
        <v>695</v>
      </c>
      <c r="E978" s="34" t="str">
        <f>IFERROR(VLOOKUP(tbLOG[[#This Row],[LOGIN]],tbMAPA[#All],2,0), "Não localizado")</f>
        <v>Caroline Amparo Nunes</v>
      </c>
      <c r="F978" s="34" t="str">
        <f>IFERROR(VLOOKUP(tbLOG[[#This Row],[LOGIN]],tbMAPA[#All],3,0), "Não localizado")</f>
        <v>Jefte Soares Da Silva</v>
      </c>
      <c r="G978" s="3" t="s">
        <v>1550</v>
      </c>
      <c r="H978" s="3" t="s">
        <v>290</v>
      </c>
    </row>
    <row r="979" spans="1:8">
      <c r="A979" s="29">
        <v>42742.524861111109</v>
      </c>
      <c r="B979" s="29" t="str">
        <f>PROPER(TEXT(tbLOG[[#This Row],[DATA/HORA]],"mmmm"))</f>
        <v>Janeiro</v>
      </c>
      <c r="C979" s="34" t="str">
        <f>PROPER(TEXT(tbLOG[[#This Row],[DATA/HORA]],"dddd"))</f>
        <v>Sábado</v>
      </c>
      <c r="D979" s="3" t="s">
        <v>695</v>
      </c>
      <c r="E979" s="34" t="str">
        <f>IFERROR(VLOOKUP(tbLOG[[#This Row],[LOGIN]],tbMAPA[#All],2,0), "Não localizado")</f>
        <v>Caroline Amparo Nunes</v>
      </c>
      <c r="F979" s="34" t="str">
        <f>IFERROR(VLOOKUP(tbLOG[[#This Row],[LOGIN]],tbMAPA[#All],3,0), "Não localizado")</f>
        <v>Jefte Soares Da Silva</v>
      </c>
      <c r="G979" s="3" t="s">
        <v>1550</v>
      </c>
      <c r="H979" s="3" t="s">
        <v>836</v>
      </c>
    </row>
    <row r="980" spans="1:8">
      <c r="A980" s="29">
        <v>42742.526504629626</v>
      </c>
      <c r="B980" s="29" t="str">
        <f>PROPER(TEXT(tbLOG[[#This Row],[DATA/HORA]],"mmmm"))</f>
        <v>Janeiro</v>
      </c>
      <c r="C980" s="34" t="str">
        <f>PROPER(TEXT(tbLOG[[#This Row],[DATA/HORA]],"dddd"))</f>
        <v>Sábado</v>
      </c>
      <c r="D980" s="3" t="s">
        <v>695</v>
      </c>
      <c r="E980" s="34" t="str">
        <f>IFERROR(VLOOKUP(tbLOG[[#This Row],[LOGIN]],tbMAPA[#All],2,0), "Não localizado")</f>
        <v>Caroline Amparo Nunes</v>
      </c>
      <c r="F980" s="34" t="str">
        <f>IFERROR(VLOOKUP(tbLOG[[#This Row],[LOGIN]],tbMAPA[#All],3,0), "Não localizado")</f>
        <v>Jefte Soares Da Silva</v>
      </c>
      <c r="G980" s="3" t="s">
        <v>1550</v>
      </c>
      <c r="H980" s="3" t="s">
        <v>836</v>
      </c>
    </row>
    <row r="981" spans="1:8">
      <c r="A981" s="29">
        <v>42742.526585648149</v>
      </c>
      <c r="B981" s="29" t="str">
        <f>PROPER(TEXT(tbLOG[[#This Row],[DATA/HORA]],"mmmm"))</f>
        <v>Janeiro</v>
      </c>
      <c r="C981" s="34" t="str">
        <f>PROPER(TEXT(tbLOG[[#This Row],[DATA/HORA]],"dddd"))</f>
        <v>Sábado</v>
      </c>
      <c r="D981" s="3" t="s">
        <v>695</v>
      </c>
      <c r="E981" s="34" t="str">
        <f>IFERROR(VLOOKUP(tbLOG[[#This Row],[LOGIN]],tbMAPA[#All],2,0), "Não localizado")</f>
        <v>Caroline Amparo Nunes</v>
      </c>
      <c r="F981" s="34" t="str">
        <f>IFERROR(VLOOKUP(tbLOG[[#This Row],[LOGIN]],tbMAPA[#All],3,0), "Não localizado")</f>
        <v>Jefte Soares Da Silva</v>
      </c>
      <c r="G981" s="3" t="s">
        <v>1550</v>
      </c>
      <c r="H981" s="3" t="s">
        <v>836</v>
      </c>
    </row>
    <row r="982" spans="1:8">
      <c r="A982" s="29">
        <v>42742.526712962965</v>
      </c>
      <c r="B982" s="29" t="str">
        <f>PROPER(TEXT(tbLOG[[#This Row],[DATA/HORA]],"mmmm"))</f>
        <v>Janeiro</v>
      </c>
      <c r="C982" s="34" t="str">
        <f>PROPER(TEXT(tbLOG[[#This Row],[DATA/HORA]],"dddd"))</f>
        <v>Sábado</v>
      </c>
      <c r="D982" s="3" t="s">
        <v>695</v>
      </c>
      <c r="E982" s="34" t="str">
        <f>IFERROR(VLOOKUP(tbLOG[[#This Row],[LOGIN]],tbMAPA[#All],2,0), "Não localizado")</f>
        <v>Caroline Amparo Nunes</v>
      </c>
      <c r="F982" s="34" t="str">
        <f>IFERROR(VLOOKUP(tbLOG[[#This Row],[LOGIN]],tbMAPA[#All],3,0), "Não localizado")</f>
        <v>Jefte Soares Da Silva</v>
      </c>
      <c r="G982" s="3" t="s">
        <v>1550</v>
      </c>
      <c r="H982" s="3" t="s">
        <v>836</v>
      </c>
    </row>
    <row r="983" spans="1:8">
      <c r="A983" s="29">
        <v>42742.52679398148</v>
      </c>
      <c r="B983" s="29" t="str">
        <f>PROPER(TEXT(tbLOG[[#This Row],[DATA/HORA]],"mmmm"))</f>
        <v>Janeiro</v>
      </c>
      <c r="C983" s="34" t="str">
        <f>PROPER(TEXT(tbLOG[[#This Row],[DATA/HORA]],"dddd"))</f>
        <v>Sábado</v>
      </c>
      <c r="D983" s="3" t="s">
        <v>695</v>
      </c>
      <c r="E983" s="34" t="str">
        <f>IFERROR(VLOOKUP(tbLOG[[#This Row],[LOGIN]],tbMAPA[#All],2,0), "Não localizado")</f>
        <v>Caroline Amparo Nunes</v>
      </c>
      <c r="F983" s="34" t="str">
        <f>IFERROR(VLOOKUP(tbLOG[[#This Row],[LOGIN]],tbMAPA[#All],3,0), "Não localizado")</f>
        <v>Jefte Soares Da Silva</v>
      </c>
      <c r="G983" s="3" t="s">
        <v>1550</v>
      </c>
      <c r="H983" s="3" t="s">
        <v>836</v>
      </c>
    </row>
    <row r="984" spans="1:8">
      <c r="A984" s="29">
        <v>42742.52679398148</v>
      </c>
      <c r="B984" s="29" t="str">
        <f>PROPER(TEXT(tbLOG[[#This Row],[DATA/HORA]],"mmmm"))</f>
        <v>Janeiro</v>
      </c>
      <c r="C984" s="34" t="str">
        <f>PROPER(TEXT(tbLOG[[#This Row],[DATA/HORA]],"dddd"))</f>
        <v>Sábado</v>
      </c>
      <c r="D984" s="3" t="s">
        <v>695</v>
      </c>
      <c r="E984" s="34" t="str">
        <f>IFERROR(VLOOKUP(tbLOG[[#This Row],[LOGIN]],tbMAPA[#All],2,0), "Não localizado")</f>
        <v>Caroline Amparo Nunes</v>
      </c>
      <c r="F984" s="34" t="str">
        <f>IFERROR(VLOOKUP(tbLOG[[#This Row],[LOGIN]],tbMAPA[#All],3,0), "Não localizado")</f>
        <v>Jefte Soares Da Silva</v>
      </c>
      <c r="G984" s="3" t="s">
        <v>1550</v>
      </c>
      <c r="H984" s="3" t="s">
        <v>290</v>
      </c>
    </row>
    <row r="985" spans="1:8">
      <c r="A985" s="29">
        <v>42742.529328703706</v>
      </c>
      <c r="B985" s="29" t="str">
        <f>PROPER(TEXT(tbLOG[[#This Row],[DATA/HORA]],"mmmm"))</f>
        <v>Janeiro</v>
      </c>
      <c r="C985" s="34" t="str">
        <f>PROPER(TEXT(tbLOG[[#This Row],[DATA/HORA]],"dddd"))</f>
        <v>Sábado</v>
      </c>
      <c r="D985" s="3" t="s">
        <v>695</v>
      </c>
      <c r="E985" s="34" t="str">
        <f>IFERROR(VLOOKUP(tbLOG[[#This Row],[LOGIN]],tbMAPA[#All],2,0), "Não localizado")</f>
        <v>Caroline Amparo Nunes</v>
      </c>
      <c r="F985" s="34" t="str">
        <f>IFERROR(VLOOKUP(tbLOG[[#This Row],[LOGIN]],tbMAPA[#All],3,0), "Não localizado")</f>
        <v>Jefte Soares Da Silva</v>
      </c>
      <c r="G985" s="3" t="s">
        <v>1550</v>
      </c>
      <c r="H985" s="3" t="s">
        <v>836</v>
      </c>
    </row>
    <row r="986" spans="1:8">
      <c r="A986" s="29">
        <v>42742.529340277775</v>
      </c>
      <c r="B986" s="29" t="str">
        <f>PROPER(TEXT(tbLOG[[#This Row],[DATA/HORA]],"mmmm"))</f>
        <v>Janeiro</v>
      </c>
      <c r="C986" s="34" t="str">
        <f>PROPER(TEXT(tbLOG[[#This Row],[DATA/HORA]],"dddd"))</f>
        <v>Sábado</v>
      </c>
      <c r="D986" s="3" t="s">
        <v>695</v>
      </c>
      <c r="E986" s="34" t="str">
        <f>IFERROR(VLOOKUP(tbLOG[[#This Row],[LOGIN]],tbMAPA[#All],2,0), "Não localizado")</f>
        <v>Caroline Amparo Nunes</v>
      </c>
      <c r="F986" s="34" t="str">
        <f>IFERROR(VLOOKUP(tbLOG[[#This Row],[LOGIN]],tbMAPA[#All],3,0), "Não localizado")</f>
        <v>Jefte Soares Da Silva</v>
      </c>
      <c r="G986" s="3" t="s">
        <v>1550</v>
      </c>
      <c r="H986" s="3" t="s">
        <v>836</v>
      </c>
    </row>
    <row r="987" spans="1:8">
      <c r="A987" s="29">
        <v>42742.529444444444</v>
      </c>
      <c r="B987" s="29" t="str">
        <f>PROPER(TEXT(tbLOG[[#This Row],[DATA/HORA]],"mmmm"))</f>
        <v>Janeiro</v>
      </c>
      <c r="C987" s="34" t="str">
        <f>PROPER(TEXT(tbLOG[[#This Row],[DATA/HORA]],"dddd"))</f>
        <v>Sábado</v>
      </c>
      <c r="D987" s="3" t="s">
        <v>695</v>
      </c>
      <c r="E987" s="34" t="str">
        <f>IFERROR(VLOOKUP(tbLOG[[#This Row],[LOGIN]],tbMAPA[#All],2,0), "Não localizado")</f>
        <v>Caroline Amparo Nunes</v>
      </c>
      <c r="F987" s="34" t="str">
        <f>IFERROR(VLOOKUP(tbLOG[[#This Row],[LOGIN]],tbMAPA[#All],3,0), "Não localizado")</f>
        <v>Jefte Soares Da Silva</v>
      </c>
      <c r="G987" s="3" t="s">
        <v>1550</v>
      </c>
      <c r="H987" s="3" t="s">
        <v>836</v>
      </c>
    </row>
    <row r="988" spans="1:8">
      <c r="A988" s="29">
        <v>42742.529537037037</v>
      </c>
      <c r="B988" s="29" t="str">
        <f>PROPER(TEXT(tbLOG[[#This Row],[DATA/HORA]],"mmmm"))</f>
        <v>Janeiro</v>
      </c>
      <c r="C988" s="34" t="str">
        <f>PROPER(TEXT(tbLOG[[#This Row],[DATA/HORA]],"dddd"))</f>
        <v>Sábado</v>
      </c>
      <c r="D988" s="3" t="s">
        <v>695</v>
      </c>
      <c r="E988" s="34" t="str">
        <f>IFERROR(VLOOKUP(tbLOG[[#This Row],[LOGIN]],tbMAPA[#All],2,0), "Não localizado")</f>
        <v>Caroline Amparo Nunes</v>
      </c>
      <c r="F988" s="34" t="str">
        <f>IFERROR(VLOOKUP(tbLOG[[#This Row],[LOGIN]],tbMAPA[#All],3,0), "Não localizado")</f>
        <v>Jefte Soares Da Silva</v>
      </c>
      <c r="G988" s="3" t="s">
        <v>1550</v>
      </c>
      <c r="H988" s="3" t="s">
        <v>836</v>
      </c>
    </row>
    <row r="989" spans="1:8">
      <c r="A989" s="29">
        <v>42742.529537037037</v>
      </c>
      <c r="B989" s="29" t="str">
        <f>PROPER(TEXT(tbLOG[[#This Row],[DATA/HORA]],"mmmm"))</f>
        <v>Janeiro</v>
      </c>
      <c r="C989" s="34" t="str">
        <f>PROPER(TEXT(tbLOG[[#This Row],[DATA/HORA]],"dddd"))</f>
        <v>Sábado</v>
      </c>
      <c r="D989" s="3" t="s">
        <v>695</v>
      </c>
      <c r="E989" s="34" t="str">
        <f>IFERROR(VLOOKUP(tbLOG[[#This Row],[LOGIN]],tbMAPA[#All],2,0), "Não localizado")</f>
        <v>Caroline Amparo Nunes</v>
      </c>
      <c r="F989" s="34" t="str">
        <f>IFERROR(VLOOKUP(tbLOG[[#This Row],[LOGIN]],tbMAPA[#All],3,0), "Não localizado")</f>
        <v>Jefte Soares Da Silva</v>
      </c>
      <c r="G989" s="3" t="s">
        <v>1550</v>
      </c>
      <c r="H989" s="3" t="s">
        <v>290</v>
      </c>
    </row>
    <row r="990" spans="1:8">
      <c r="A990" s="29">
        <v>42742.531539351854</v>
      </c>
      <c r="B990" s="29" t="str">
        <f>PROPER(TEXT(tbLOG[[#This Row],[DATA/HORA]],"mmmm"))</f>
        <v>Janeiro</v>
      </c>
      <c r="C990" s="34" t="str">
        <f>PROPER(TEXT(tbLOG[[#This Row],[DATA/HORA]],"dddd"))</f>
        <v>Sábado</v>
      </c>
      <c r="D990" s="3" t="s">
        <v>695</v>
      </c>
      <c r="E990" s="34" t="str">
        <f>IFERROR(VLOOKUP(tbLOG[[#This Row],[LOGIN]],tbMAPA[#All],2,0), "Não localizado")</f>
        <v>Caroline Amparo Nunes</v>
      </c>
      <c r="F990" s="34" t="str">
        <f>IFERROR(VLOOKUP(tbLOG[[#This Row],[LOGIN]],tbMAPA[#All],3,0), "Não localizado")</f>
        <v>Jefte Soares Da Silva</v>
      </c>
      <c r="G990" s="3" t="s">
        <v>1550</v>
      </c>
      <c r="H990" s="3" t="s">
        <v>836</v>
      </c>
    </row>
    <row r="991" spans="1:8">
      <c r="A991" s="29">
        <v>42742.531574074077</v>
      </c>
      <c r="B991" s="29" t="str">
        <f>PROPER(TEXT(tbLOG[[#This Row],[DATA/HORA]],"mmmm"))</f>
        <v>Janeiro</v>
      </c>
      <c r="C991" s="34" t="str">
        <f>PROPER(TEXT(tbLOG[[#This Row],[DATA/HORA]],"dddd"))</f>
        <v>Sábado</v>
      </c>
      <c r="D991" s="3" t="s">
        <v>695</v>
      </c>
      <c r="E991" s="34" t="str">
        <f>IFERROR(VLOOKUP(tbLOG[[#This Row],[LOGIN]],tbMAPA[#All],2,0), "Não localizado")</f>
        <v>Caroline Amparo Nunes</v>
      </c>
      <c r="F991" s="34" t="str">
        <f>IFERROR(VLOOKUP(tbLOG[[#This Row],[LOGIN]],tbMAPA[#All],3,0), "Não localizado")</f>
        <v>Jefte Soares Da Silva</v>
      </c>
      <c r="G991" s="3" t="s">
        <v>1550</v>
      </c>
      <c r="H991" s="3" t="s">
        <v>836</v>
      </c>
    </row>
    <row r="992" spans="1:8">
      <c r="A992" s="29">
        <v>42742.531655092593</v>
      </c>
      <c r="B992" s="29" t="str">
        <f>PROPER(TEXT(tbLOG[[#This Row],[DATA/HORA]],"mmmm"))</f>
        <v>Janeiro</v>
      </c>
      <c r="C992" s="34" t="str">
        <f>PROPER(TEXT(tbLOG[[#This Row],[DATA/HORA]],"dddd"))</f>
        <v>Sábado</v>
      </c>
      <c r="D992" s="3" t="s">
        <v>695</v>
      </c>
      <c r="E992" s="34" t="str">
        <f>IFERROR(VLOOKUP(tbLOG[[#This Row],[LOGIN]],tbMAPA[#All],2,0), "Não localizado")</f>
        <v>Caroline Amparo Nunes</v>
      </c>
      <c r="F992" s="34" t="str">
        <f>IFERROR(VLOOKUP(tbLOG[[#This Row],[LOGIN]],tbMAPA[#All],3,0), "Não localizado")</f>
        <v>Jefte Soares Da Silva</v>
      </c>
      <c r="G992" s="3" t="s">
        <v>1550</v>
      </c>
      <c r="H992" s="3" t="s">
        <v>836</v>
      </c>
    </row>
    <row r="993" spans="1:8">
      <c r="A993" s="29">
        <v>42742.531817129631</v>
      </c>
      <c r="B993" s="29" t="str">
        <f>PROPER(TEXT(tbLOG[[#This Row],[DATA/HORA]],"mmmm"))</f>
        <v>Janeiro</v>
      </c>
      <c r="C993" s="34" t="str">
        <f>PROPER(TEXT(tbLOG[[#This Row],[DATA/HORA]],"dddd"))</f>
        <v>Sábado</v>
      </c>
      <c r="D993" s="3" t="s">
        <v>695</v>
      </c>
      <c r="E993" s="34" t="str">
        <f>IFERROR(VLOOKUP(tbLOG[[#This Row],[LOGIN]],tbMAPA[#All],2,0), "Não localizado")</f>
        <v>Caroline Amparo Nunes</v>
      </c>
      <c r="F993" s="34" t="str">
        <f>IFERROR(VLOOKUP(tbLOG[[#This Row],[LOGIN]],tbMAPA[#All],3,0), "Não localizado")</f>
        <v>Jefte Soares Da Silva</v>
      </c>
      <c r="G993" s="3" t="s">
        <v>1550</v>
      </c>
      <c r="H993" s="3" t="s">
        <v>836</v>
      </c>
    </row>
    <row r="994" spans="1:8">
      <c r="A994" s="29">
        <v>42742.531817129631</v>
      </c>
      <c r="B994" s="29" t="str">
        <f>PROPER(TEXT(tbLOG[[#This Row],[DATA/HORA]],"mmmm"))</f>
        <v>Janeiro</v>
      </c>
      <c r="C994" s="34" t="str">
        <f>PROPER(TEXT(tbLOG[[#This Row],[DATA/HORA]],"dddd"))</f>
        <v>Sábado</v>
      </c>
      <c r="D994" s="3" t="s">
        <v>695</v>
      </c>
      <c r="E994" s="34" t="str">
        <f>IFERROR(VLOOKUP(tbLOG[[#This Row],[LOGIN]],tbMAPA[#All],2,0), "Não localizado")</f>
        <v>Caroline Amparo Nunes</v>
      </c>
      <c r="F994" s="34" t="str">
        <f>IFERROR(VLOOKUP(tbLOG[[#This Row],[LOGIN]],tbMAPA[#All],3,0), "Não localizado")</f>
        <v>Jefte Soares Da Silva</v>
      </c>
      <c r="G994" s="3" t="s">
        <v>1550</v>
      </c>
      <c r="H994" s="3" t="s">
        <v>290</v>
      </c>
    </row>
    <row r="995" spans="1:8">
      <c r="A995" s="29">
        <v>42742.533912037034</v>
      </c>
      <c r="B995" s="29" t="str">
        <f>PROPER(TEXT(tbLOG[[#This Row],[DATA/HORA]],"mmmm"))</f>
        <v>Janeiro</v>
      </c>
      <c r="C995" s="34" t="str">
        <f>PROPER(TEXT(tbLOG[[#This Row],[DATA/HORA]],"dddd"))</f>
        <v>Sábado</v>
      </c>
      <c r="D995" s="3" t="s">
        <v>695</v>
      </c>
      <c r="E995" s="34" t="str">
        <f>IFERROR(VLOOKUP(tbLOG[[#This Row],[LOGIN]],tbMAPA[#All],2,0), "Não localizado")</f>
        <v>Caroline Amparo Nunes</v>
      </c>
      <c r="F995" s="34" t="str">
        <f>IFERROR(VLOOKUP(tbLOG[[#This Row],[LOGIN]],tbMAPA[#All],3,0), "Não localizado")</f>
        <v>Jefte Soares Da Silva</v>
      </c>
      <c r="G995" s="3" t="s">
        <v>1550</v>
      </c>
      <c r="H995" s="3" t="s">
        <v>836</v>
      </c>
    </row>
    <row r="996" spans="1:8">
      <c r="A996" s="29">
        <v>42742.533958333333</v>
      </c>
      <c r="B996" s="29" t="str">
        <f>PROPER(TEXT(tbLOG[[#This Row],[DATA/HORA]],"mmmm"))</f>
        <v>Janeiro</v>
      </c>
      <c r="C996" s="34" t="str">
        <f>PROPER(TEXT(tbLOG[[#This Row],[DATA/HORA]],"dddd"))</f>
        <v>Sábado</v>
      </c>
      <c r="D996" s="3" t="s">
        <v>695</v>
      </c>
      <c r="E996" s="34" t="str">
        <f>IFERROR(VLOOKUP(tbLOG[[#This Row],[LOGIN]],tbMAPA[#All],2,0), "Não localizado")</f>
        <v>Caroline Amparo Nunes</v>
      </c>
      <c r="F996" s="34" t="str">
        <f>IFERROR(VLOOKUP(tbLOG[[#This Row],[LOGIN]],tbMAPA[#All],3,0), "Não localizado")</f>
        <v>Jefte Soares Da Silva</v>
      </c>
      <c r="G996" s="3" t="s">
        <v>1550</v>
      </c>
      <c r="H996" s="3" t="s">
        <v>836</v>
      </c>
    </row>
    <row r="997" spans="1:8">
      <c r="A997" s="29">
        <v>42742.534155092595</v>
      </c>
      <c r="B997" s="29" t="str">
        <f>PROPER(TEXT(tbLOG[[#This Row],[DATA/HORA]],"mmmm"))</f>
        <v>Janeiro</v>
      </c>
      <c r="C997" s="34" t="str">
        <f>PROPER(TEXT(tbLOG[[#This Row],[DATA/HORA]],"dddd"))</f>
        <v>Sábado</v>
      </c>
      <c r="D997" s="3" t="s">
        <v>695</v>
      </c>
      <c r="E997" s="34" t="str">
        <f>IFERROR(VLOOKUP(tbLOG[[#This Row],[LOGIN]],tbMAPA[#All],2,0), "Não localizado")</f>
        <v>Caroline Amparo Nunes</v>
      </c>
      <c r="F997" s="34" t="str">
        <f>IFERROR(VLOOKUP(tbLOG[[#This Row],[LOGIN]],tbMAPA[#All],3,0), "Não localizado")</f>
        <v>Jefte Soares Da Silva</v>
      </c>
      <c r="G997" s="3" t="s">
        <v>1550</v>
      </c>
      <c r="H997" s="3" t="s">
        <v>836</v>
      </c>
    </row>
    <row r="998" spans="1:8">
      <c r="A998" s="29">
        <v>42742.53429398148</v>
      </c>
      <c r="B998" s="29" t="str">
        <f>PROPER(TEXT(tbLOG[[#This Row],[DATA/HORA]],"mmmm"))</f>
        <v>Janeiro</v>
      </c>
      <c r="C998" s="34" t="str">
        <f>PROPER(TEXT(tbLOG[[#This Row],[DATA/HORA]],"dddd"))</f>
        <v>Sábado</v>
      </c>
      <c r="D998" s="3" t="s">
        <v>695</v>
      </c>
      <c r="E998" s="34" t="str">
        <f>IFERROR(VLOOKUP(tbLOG[[#This Row],[LOGIN]],tbMAPA[#All],2,0), "Não localizado")</f>
        <v>Caroline Amparo Nunes</v>
      </c>
      <c r="F998" s="34" t="str">
        <f>IFERROR(VLOOKUP(tbLOG[[#This Row],[LOGIN]],tbMAPA[#All],3,0), "Não localizado")</f>
        <v>Jefte Soares Da Silva</v>
      </c>
      <c r="G998" s="3" t="s">
        <v>1550</v>
      </c>
      <c r="H998" s="3" t="s">
        <v>836</v>
      </c>
    </row>
    <row r="999" spans="1:8">
      <c r="A999" s="29">
        <v>42742.53429398148</v>
      </c>
      <c r="B999" s="29" t="str">
        <f>PROPER(TEXT(tbLOG[[#This Row],[DATA/HORA]],"mmmm"))</f>
        <v>Janeiro</v>
      </c>
      <c r="C999" s="34" t="str">
        <f>PROPER(TEXT(tbLOG[[#This Row],[DATA/HORA]],"dddd"))</f>
        <v>Sábado</v>
      </c>
      <c r="D999" s="3" t="s">
        <v>695</v>
      </c>
      <c r="E999" s="34" t="str">
        <f>IFERROR(VLOOKUP(tbLOG[[#This Row],[LOGIN]],tbMAPA[#All],2,0), "Não localizado")</f>
        <v>Caroline Amparo Nunes</v>
      </c>
      <c r="F999" s="34" t="str">
        <f>IFERROR(VLOOKUP(tbLOG[[#This Row],[LOGIN]],tbMAPA[#All],3,0), "Não localizado")</f>
        <v>Jefte Soares Da Silva</v>
      </c>
      <c r="G999" s="3" t="s">
        <v>1550</v>
      </c>
      <c r="H999" s="3" t="s">
        <v>290</v>
      </c>
    </row>
    <row r="1000" spans="1:8">
      <c r="A1000" s="29">
        <v>42742.538599537038</v>
      </c>
      <c r="B1000" s="29" t="str">
        <f>PROPER(TEXT(tbLOG[[#This Row],[DATA/HORA]],"mmmm"))</f>
        <v>Janeiro</v>
      </c>
      <c r="C1000" s="34" t="str">
        <f>PROPER(TEXT(tbLOG[[#This Row],[DATA/HORA]],"dddd"))</f>
        <v>Sábado</v>
      </c>
      <c r="D1000" s="3" t="s">
        <v>695</v>
      </c>
      <c r="E1000" s="34" t="str">
        <f>IFERROR(VLOOKUP(tbLOG[[#This Row],[LOGIN]],tbMAPA[#All],2,0), "Não localizado")</f>
        <v>Caroline Amparo Nunes</v>
      </c>
      <c r="F1000" s="34" t="str">
        <f>IFERROR(VLOOKUP(tbLOG[[#This Row],[LOGIN]],tbMAPA[#All],3,0), "Não localizado")</f>
        <v>Jefte Soares Da Silva</v>
      </c>
      <c r="G1000" s="3" t="s">
        <v>1550</v>
      </c>
      <c r="H1000" s="3" t="s">
        <v>836</v>
      </c>
    </row>
    <row r="1001" spans="1:8">
      <c r="A1001" s="29">
        <v>42742.538622685184</v>
      </c>
      <c r="B1001" s="29" t="str">
        <f>PROPER(TEXT(tbLOG[[#This Row],[DATA/HORA]],"mmmm"))</f>
        <v>Janeiro</v>
      </c>
      <c r="C1001" s="34" t="str">
        <f>PROPER(TEXT(tbLOG[[#This Row],[DATA/HORA]],"dddd"))</f>
        <v>Sábado</v>
      </c>
      <c r="D1001" s="3" t="s">
        <v>695</v>
      </c>
      <c r="E1001" s="34" t="str">
        <f>IFERROR(VLOOKUP(tbLOG[[#This Row],[LOGIN]],tbMAPA[#All],2,0), "Não localizado")</f>
        <v>Caroline Amparo Nunes</v>
      </c>
      <c r="F1001" s="34" t="str">
        <f>IFERROR(VLOOKUP(tbLOG[[#This Row],[LOGIN]],tbMAPA[#All],3,0), "Não localizado")</f>
        <v>Jefte Soares Da Silva</v>
      </c>
      <c r="G1001" s="3" t="s">
        <v>1550</v>
      </c>
      <c r="H1001" s="3" t="s">
        <v>836</v>
      </c>
    </row>
    <row r="1002" spans="1:8">
      <c r="A1002" s="29">
        <v>42742.538657407407</v>
      </c>
      <c r="B1002" s="29" t="str">
        <f>PROPER(TEXT(tbLOG[[#This Row],[DATA/HORA]],"mmmm"))</f>
        <v>Janeiro</v>
      </c>
      <c r="C1002" s="34" t="str">
        <f>PROPER(TEXT(tbLOG[[#This Row],[DATA/HORA]],"dddd"))</f>
        <v>Sábado</v>
      </c>
      <c r="D1002" s="3" t="s">
        <v>695</v>
      </c>
      <c r="E1002" s="34" t="str">
        <f>IFERROR(VLOOKUP(tbLOG[[#This Row],[LOGIN]],tbMAPA[#All],2,0), "Não localizado")</f>
        <v>Caroline Amparo Nunes</v>
      </c>
      <c r="F1002" s="34" t="str">
        <f>IFERROR(VLOOKUP(tbLOG[[#This Row],[LOGIN]],tbMAPA[#All],3,0), "Não localizado")</f>
        <v>Jefte Soares Da Silva</v>
      </c>
      <c r="G1002" s="3" t="s">
        <v>1550</v>
      </c>
      <c r="H1002" s="3" t="s">
        <v>836</v>
      </c>
    </row>
    <row r="1003" spans="1:8">
      <c r="A1003" s="29">
        <v>42742.538807870369</v>
      </c>
      <c r="B1003" s="29" t="str">
        <f>PROPER(TEXT(tbLOG[[#This Row],[DATA/HORA]],"mmmm"))</f>
        <v>Janeiro</v>
      </c>
      <c r="C1003" s="34" t="str">
        <f>PROPER(TEXT(tbLOG[[#This Row],[DATA/HORA]],"dddd"))</f>
        <v>Sábado</v>
      </c>
      <c r="D1003" s="3" t="s">
        <v>695</v>
      </c>
      <c r="E1003" s="34" t="str">
        <f>IFERROR(VLOOKUP(tbLOG[[#This Row],[LOGIN]],tbMAPA[#All],2,0), "Não localizado")</f>
        <v>Caroline Amparo Nunes</v>
      </c>
      <c r="F1003" s="34" t="str">
        <f>IFERROR(VLOOKUP(tbLOG[[#This Row],[LOGIN]],tbMAPA[#All],3,0), "Não localizado")</f>
        <v>Jefte Soares Da Silva</v>
      </c>
      <c r="G1003" s="3" t="s">
        <v>1550</v>
      </c>
      <c r="H1003" s="3" t="s">
        <v>836</v>
      </c>
    </row>
    <row r="1004" spans="1:8">
      <c r="A1004" s="29">
        <v>42742.538969907408</v>
      </c>
      <c r="B1004" s="29" t="str">
        <f>PROPER(TEXT(tbLOG[[#This Row],[DATA/HORA]],"mmmm"))</f>
        <v>Janeiro</v>
      </c>
      <c r="C1004" s="34" t="str">
        <f>PROPER(TEXT(tbLOG[[#This Row],[DATA/HORA]],"dddd"))</f>
        <v>Sábado</v>
      </c>
      <c r="D1004" s="3" t="s">
        <v>695</v>
      </c>
      <c r="E1004" s="34" t="str">
        <f>IFERROR(VLOOKUP(tbLOG[[#This Row],[LOGIN]],tbMAPA[#All],2,0), "Não localizado")</f>
        <v>Caroline Amparo Nunes</v>
      </c>
      <c r="F1004" s="34" t="str">
        <f>IFERROR(VLOOKUP(tbLOG[[#This Row],[LOGIN]],tbMAPA[#All],3,0), "Não localizado")</f>
        <v>Jefte Soares Da Silva</v>
      </c>
      <c r="G1004" s="3" t="s">
        <v>1550</v>
      </c>
      <c r="H1004" s="3" t="s">
        <v>836</v>
      </c>
    </row>
    <row r="1005" spans="1:8">
      <c r="A1005" s="29">
        <v>42742.538969907408</v>
      </c>
      <c r="B1005" s="29" t="str">
        <f>PROPER(TEXT(tbLOG[[#This Row],[DATA/HORA]],"mmmm"))</f>
        <v>Janeiro</v>
      </c>
      <c r="C1005" s="34" t="str">
        <f>PROPER(TEXT(tbLOG[[#This Row],[DATA/HORA]],"dddd"))</f>
        <v>Sábado</v>
      </c>
      <c r="D1005" s="3" t="s">
        <v>695</v>
      </c>
      <c r="E1005" s="34" t="str">
        <f>IFERROR(VLOOKUP(tbLOG[[#This Row],[LOGIN]],tbMAPA[#All],2,0), "Não localizado")</f>
        <v>Caroline Amparo Nunes</v>
      </c>
      <c r="F1005" s="34" t="str">
        <f>IFERROR(VLOOKUP(tbLOG[[#This Row],[LOGIN]],tbMAPA[#All],3,0), "Não localizado")</f>
        <v>Jefte Soares Da Silva</v>
      </c>
      <c r="G1005" s="3" t="s">
        <v>1550</v>
      </c>
      <c r="H1005" s="3" t="s">
        <v>290</v>
      </c>
    </row>
    <row r="1006" spans="1:8">
      <c r="A1006" s="29">
        <v>42742.545405092591</v>
      </c>
      <c r="B1006" s="29" t="str">
        <f>PROPER(TEXT(tbLOG[[#This Row],[DATA/HORA]],"mmmm"))</f>
        <v>Janeiro</v>
      </c>
      <c r="C1006" s="34" t="str">
        <f>PROPER(TEXT(tbLOG[[#This Row],[DATA/HORA]],"dddd"))</f>
        <v>Sábado</v>
      </c>
      <c r="D1006" s="3" t="s">
        <v>695</v>
      </c>
      <c r="E1006" s="34" t="str">
        <f>IFERROR(VLOOKUP(tbLOG[[#This Row],[LOGIN]],tbMAPA[#All],2,0), "Não localizado")</f>
        <v>Caroline Amparo Nunes</v>
      </c>
      <c r="F1006" s="34" t="str">
        <f>IFERROR(VLOOKUP(tbLOG[[#This Row],[LOGIN]],tbMAPA[#All],3,0), "Não localizado")</f>
        <v>Jefte Soares Da Silva</v>
      </c>
      <c r="G1006" s="3" t="s">
        <v>1550</v>
      </c>
      <c r="H1006" s="3" t="s">
        <v>836</v>
      </c>
    </row>
    <row r="1007" spans="1:8">
      <c r="A1007" s="29">
        <v>42742.547210648147</v>
      </c>
      <c r="B1007" s="29" t="str">
        <f>PROPER(TEXT(tbLOG[[#This Row],[DATA/HORA]],"mmmm"))</f>
        <v>Janeiro</v>
      </c>
      <c r="C1007" s="34" t="str">
        <f>PROPER(TEXT(tbLOG[[#This Row],[DATA/HORA]],"dddd"))</f>
        <v>Sábado</v>
      </c>
      <c r="D1007" s="3" t="s">
        <v>695</v>
      </c>
      <c r="E1007" s="34" t="str">
        <f>IFERROR(VLOOKUP(tbLOG[[#This Row],[LOGIN]],tbMAPA[#All],2,0), "Não localizado")</f>
        <v>Caroline Amparo Nunes</v>
      </c>
      <c r="F1007" s="34" t="str">
        <f>IFERROR(VLOOKUP(tbLOG[[#This Row],[LOGIN]],tbMAPA[#All],3,0), "Não localizado")</f>
        <v>Jefte Soares Da Silva</v>
      </c>
      <c r="G1007" s="3" t="s">
        <v>1550</v>
      </c>
      <c r="H1007" s="3" t="s">
        <v>836</v>
      </c>
    </row>
    <row r="1008" spans="1:8">
      <c r="A1008" s="29">
        <v>42742.547523148147</v>
      </c>
      <c r="B1008" s="29" t="str">
        <f>PROPER(TEXT(tbLOG[[#This Row],[DATA/HORA]],"mmmm"))</f>
        <v>Janeiro</v>
      </c>
      <c r="C1008" s="34" t="str">
        <f>PROPER(TEXT(tbLOG[[#This Row],[DATA/HORA]],"dddd"))</f>
        <v>Sábado</v>
      </c>
      <c r="D1008" s="3" t="s">
        <v>695</v>
      </c>
      <c r="E1008" s="34" t="str">
        <f>IFERROR(VLOOKUP(tbLOG[[#This Row],[LOGIN]],tbMAPA[#All],2,0), "Não localizado")</f>
        <v>Caroline Amparo Nunes</v>
      </c>
      <c r="F1008" s="34" t="str">
        <f>IFERROR(VLOOKUP(tbLOG[[#This Row],[LOGIN]],tbMAPA[#All],3,0), "Não localizado")</f>
        <v>Jefte Soares Da Silva</v>
      </c>
      <c r="G1008" s="3" t="s">
        <v>1550</v>
      </c>
      <c r="H1008" s="3" t="s">
        <v>836</v>
      </c>
    </row>
    <row r="1009" spans="1:8">
      <c r="A1009" s="29">
        <v>42742.54760416667</v>
      </c>
      <c r="B1009" s="29" t="str">
        <f>PROPER(TEXT(tbLOG[[#This Row],[DATA/HORA]],"mmmm"))</f>
        <v>Janeiro</v>
      </c>
      <c r="C1009" s="34" t="str">
        <f>PROPER(TEXT(tbLOG[[#This Row],[DATA/HORA]],"dddd"))</f>
        <v>Sábado</v>
      </c>
      <c r="D1009" s="3" t="s">
        <v>695</v>
      </c>
      <c r="E1009" s="34" t="str">
        <f>IFERROR(VLOOKUP(tbLOG[[#This Row],[LOGIN]],tbMAPA[#All],2,0), "Não localizado")</f>
        <v>Caroline Amparo Nunes</v>
      </c>
      <c r="F1009" s="34" t="str">
        <f>IFERROR(VLOOKUP(tbLOG[[#This Row],[LOGIN]],tbMAPA[#All],3,0), "Não localizado")</f>
        <v>Jefte Soares Da Silva</v>
      </c>
      <c r="G1009" s="3" t="s">
        <v>1550</v>
      </c>
      <c r="H1009" s="3" t="s">
        <v>836</v>
      </c>
    </row>
    <row r="1010" spans="1:8">
      <c r="A1010" s="29">
        <v>42742.54760416667</v>
      </c>
      <c r="B1010" s="29" t="str">
        <f>PROPER(TEXT(tbLOG[[#This Row],[DATA/HORA]],"mmmm"))</f>
        <v>Janeiro</v>
      </c>
      <c r="C1010" s="34" t="str">
        <f>PROPER(TEXT(tbLOG[[#This Row],[DATA/HORA]],"dddd"))</f>
        <v>Sábado</v>
      </c>
      <c r="D1010" s="3" t="s">
        <v>695</v>
      </c>
      <c r="E1010" s="34" t="str">
        <f>IFERROR(VLOOKUP(tbLOG[[#This Row],[LOGIN]],tbMAPA[#All],2,0), "Não localizado")</f>
        <v>Caroline Amparo Nunes</v>
      </c>
      <c r="F1010" s="34" t="str">
        <f>IFERROR(VLOOKUP(tbLOG[[#This Row],[LOGIN]],tbMAPA[#All],3,0), "Não localizado")</f>
        <v>Jefte Soares Da Silva</v>
      </c>
      <c r="G1010" s="3" t="s">
        <v>1550</v>
      </c>
      <c r="H1010" s="3" t="s">
        <v>290</v>
      </c>
    </row>
    <row r="1011" spans="1:8">
      <c r="A1011" s="29">
        <v>42742.548113425924</v>
      </c>
      <c r="B1011" s="29" t="str">
        <f>PROPER(TEXT(tbLOG[[#This Row],[DATA/HORA]],"mmmm"))</f>
        <v>Janeiro</v>
      </c>
      <c r="C1011" s="34" t="str">
        <f>PROPER(TEXT(tbLOG[[#This Row],[DATA/HORA]],"dddd"))</f>
        <v>Sábado</v>
      </c>
      <c r="D1011" s="3" t="s">
        <v>695</v>
      </c>
      <c r="E1011" s="34" t="str">
        <f>IFERROR(VLOOKUP(tbLOG[[#This Row],[LOGIN]],tbMAPA[#All],2,0), "Não localizado")</f>
        <v>Caroline Amparo Nunes</v>
      </c>
      <c r="F1011" s="34" t="str">
        <f>IFERROR(VLOOKUP(tbLOG[[#This Row],[LOGIN]],tbMAPA[#All],3,0), "Não localizado")</f>
        <v>Jefte Soares Da Silva</v>
      </c>
      <c r="G1011" s="3" t="s">
        <v>1550</v>
      </c>
      <c r="H1011" s="3" t="s">
        <v>836</v>
      </c>
    </row>
    <row r="1012" spans="1:8">
      <c r="A1012" s="29">
        <v>42742.548113425924</v>
      </c>
      <c r="B1012" s="29" t="str">
        <f>PROPER(TEXT(tbLOG[[#This Row],[DATA/HORA]],"mmmm"))</f>
        <v>Janeiro</v>
      </c>
      <c r="C1012" s="34" t="str">
        <f>PROPER(TEXT(tbLOG[[#This Row],[DATA/HORA]],"dddd"))</f>
        <v>Sábado</v>
      </c>
      <c r="D1012" s="3" t="s">
        <v>695</v>
      </c>
      <c r="E1012" s="34" t="str">
        <f>IFERROR(VLOOKUP(tbLOG[[#This Row],[LOGIN]],tbMAPA[#All],2,0), "Não localizado")</f>
        <v>Caroline Amparo Nunes</v>
      </c>
      <c r="F1012" s="34" t="str">
        <f>IFERROR(VLOOKUP(tbLOG[[#This Row],[LOGIN]],tbMAPA[#All],3,0), "Não localizado")</f>
        <v>Jefte Soares Da Silva</v>
      </c>
      <c r="G1012" s="3" t="s">
        <v>1550</v>
      </c>
      <c r="H1012" s="3" t="s">
        <v>290</v>
      </c>
    </row>
    <row r="1013" spans="1:8">
      <c r="A1013" s="29">
        <v>42742.548206018517</v>
      </c>
      <c r="B1013" s="29" t="str">
        <f>PROPER(TEXT(tbLOG[[#This Row],[DATA/HORA]],"mmmm"))</f>
        <v>Janeiro</v>
      </c>
      <c r="C1013" s="34" t="str">
        <f>PROPER(TEXT(tbLOG[[#This Row],[DATA/HORA]],"dddd"))</f>
        <v>Sábado</v>
      </c>
      <c r="D1013" s="3" t="s">
        <v>695</v>
      </c>
      <c r="E1013" s="34" t="str">
        <f>IFERROR(VLOOKUP(tbLOG[[#This Row],[LOGIN]],tbMAPA[#All],2,0), "Não localizado")</f>
        <v>Caroline Amparo Nunes</v>
      </c>
      <c r="F1013" s="34" t="str">
        <f>IFERROR(VLOOKUP(tbLOG[[#This Row],[LOGIN]],tbMAPA[#All],3,0), "Não localizado")</f>
        <v>Jefte Soares Da Silva</v>
      </c>
      <c r="G1013" s="3" t="s">
        <v>1550</v>
      </c>
      <c r="H1013" s="3" t="s">
        <v>836</v>
      </c>
    </row>
    <row r="1014" spans="1:8">
      <c r="A1014" s="29">
        <v>42742.548206018517</v>
      </c>
      <c r="B1014" s="29" t="str">
        <f>PROPER(TEXT(tbLOG[[#This Row],[DATA/HORA]],"mmmm"))</f>
        <v>Janeiro</v>
      </c>
      <c r="C1014" s="34" t="str">
        <f>PROPER(TEXT(tbLOG[[#This Row],[DATA/HORA]],"dddd"))</f>
        <v>Sábado</v>
      </c>
      <c r="D1014" s="3" t="s">
        <v>695</v>
      </c>
      <c r="E1014" s="34" t="str">
        <f>IFERROR(VLOOKUP(tbLOG[[#This Row],[LOGIN]],tbMAPA[#All],2,0), "Não localizado")</f>
        <v>Caroline Amparo Nunes</v>
      </c>
      <c r="F1014" s="34" t="str">
        <f>IFERROR(VLOOKUP(tbLOG[[#This Row],[LOGIN]],tbMAPA[#All],3,0), "Não localizado")</f>
        <v>Jefte Soares Da Silva</v>
      </c>
      <c r="G1014" s="3" t="s">
        <v>1550</v>
      </c>
      <c r="H1014" s="3" t="s">
        <v>290</v>
      </c>
    </row>
    <row r="1015" spans="1:8">
      <c r="A1015" s="29">
        <v>42742.566423611112</v>
      </c>
      <c r="B1015" s="29" t="str">
        <f>PROPER(TEXT(tbLOG[[#This Row],[DATA/HORA]],"mmmm"))</f>
        <v>Janeiro</v>
      </c>
      <c r="C1015" s="34" t="str">
        <f>PROPER(TEXT(tbLOG[[#This Row],[DATA/HORA]],"dddd"))</f>
        <v>Sábado</v>
      </c>
      <c r="D1015" s="3" t="s">
        <v>695</v>
      </c>
      <c r="E1015" s="34" t="str">
        <f>IFERROR(VLOOKUP(tbLOG[[#This Row],[LOGIN]],tbMAPA[#All],2,0), "Não localizado")</f>
        <v>Caroline Amparo Nunes</v>
      </c>
      <c r="F1015" s="34" t="str">
        <f>IFERROR(VLOOKUP(tbLOG[[#This Row],[LOGIN]],tbMAPA[#All],3,0), "Não localizado")</f>
        <v>Jefte Soares Da Silva</v>
      </c>
      <c r="G1015" s="3" t="s">
        <v>1550</v>
      </c>
      <c r="H1015" s="3" t="s">
        <v>836</v>
      </c>
    </row>
    <row r="1016" spans="1:8">
      <c r="A1016" s="29">
        <v>42742.566435185188</v>
      </c>
      <c r="B1016" s="29" t="str">
        <f>PROPER(TEXT(tbLOG[[#This Row],[DATA/HORA]],"mmmm"))</f>
        <v>Janeiro</v>
      </c>
      <c r="C1016" s="34" t="str">
        <f>PROPER(TEXT(tbLOG[[#This Row],[DATA/HORA]],"dddd"))</f>
        <v>Sábado</v>
      </c>
      <c r="D1016" s="3" t="s">
        <v>695</v>
      </c>
      <c r="E1016" s="34" t="str">
        <f>IFERROR(VLOOKUP(tbLOG[[#This Row],[LOGIN]],tbMAPA[#All],2,0), "Não localizado")</f>
        <v>Caroline Amparo Nunes</v>
      </c>
      <c r="F1016" s="34" t="str">
        <f>IFERROR(VLOOKUP(tbLOG[[#This Row],[LOGIN]],tbMAPA[#All],3,0), "Não localizado")</f>
        <v>Jefte Soares Da Silva</v>
      </c>
      <c r="G1016" s="3" t="s">
        <v>1550</v>
      </c>
      <c r="H1016" s="3" t="s">
        <v>836</v>
      </c>
    </row>
    <row r="1017" spans="1:8">
      <c r="A1017" s="29">
        <v>42742.566678240742</v>
      </c>
      <c r="B1017" s="29" t="str">
        <f>PROPER(TEXT(tbLOG[[#This Row],[DATA/HORA]],"mmmm"))</f>
        <v>Janeiro</v>
      </c>
      <c r="C1017" s="34" t="str">
        <f>PROPER(TEXT(tbLOG[[#This Row],[DATA/HORA]],"dddd"))</f>
        <v>Sábado</v>
      </c>
      <c r="D1017" s="3" t="s">
        <v>695</v>
      </c>
      <c r="E1017" s="34" t="str">
        <f>IFERROR(VLOOKUP(tbLOG[[#This Row],[LOGIN]],tbMAPA[#All],2,0), "Não localizado")</f>
        <v>Caroline Amparo Nunes</v>
      </c>
      <c r="F1017" s="34" t="str">
        <f>IFERROR(VLOOKUP(tbLOG[[#This Row],[LOGIN]],tbMAPA[#All],3,0), "Não localizado")</f>
        <v>Jefte Soares Da Silva</v>
      </c>
      <c r="G1017" s="3" t="s">
        <v>1550</v>
      </c>
      <c r="H1017" s="3" t="s">
        <v>836</v>
      </c>
    </row>
    <row r="1018" spans="1:8">
      <c r="A1018" s="29">
        <v>42742.566782407404</v>
      </c>
      <c r="B1018" s="29" t="str">
        <f>PROPER(TEXT(tbLOG[[#This Row],[DATA/HORA]],"mmmm"))</f>
        <v>Janeiro</v>
      </c>
      <c r="C1018" s="34" t="str">
        <f>PROPER(TEXT(tbLOG[[#This Row],[DATA/HORA]],"dddd"))</f>
        <v>Sábado</v>
      </c>
      <c r="D1018" s="3" t="s">
        <v>695</v>
      </c>
      <c r="E1018" s="34" t="str">
        <f>IFERROR(VLOOKUP(tbLOG[[#This Row],[LOGIN]],tbMAPA[#All],2,0), "Não localizado")</f>
        <v>Caroline Amparo Nunes</v>
      </c>
      <c r="F1018" s="34" t="str">
        <f>IFERROR(VLOOKUP(tbLOG[[#This Row],[LOGIN]],tbMAPA[#All],3,0), "Não localizado")</f>
        <v>Jefte Soares Da Silva</v>
      </c>
      <c r="G1018" s="3" t="s">
        <v>1550</v>
      </c>
      <c r="H1018" s="3" t="s">
        <v>836</v>
      </c>
    </row>
    <row r="1019" spans="1:8">
      <c r="A1019" s="29">
        <v>42742.566782407404</v>
      </c>
      <c r="B1019" s="29" t="str">
        <f>PROPER(TEXT(tbLOG[[#This Row],[DATA/HORA]],"mmmm"))</f>
        <v>Janeiro</v>
      </c>
      <c r="C1019" s="34" t="str">
        <f>PROPER(TEXT(tbLOG[[#This Row],[DATA/HORA]],"dddd"))</f>
        <v>Sábado</v>
      </c>
      <c r="D1019" s="3" t="s">
        <v>695</v>
      </c>
      <c r="E1019" s="34" t="str">
        <f>IFERROR(VLOOKUP(tbLOG[[#This Row],[LOGIN]],tbMAPA[#All],2,0), "Não localizado")</f>
        <v>Caroline Amparo Nunes</v>
      </c>
      <c r="F1019" s="34" t="str">
        <f>IFERROR(VLOOKUP(tbLOG[[#This Row],[LOGIN]],tbMAPA[#All],3,0), "Não localizado")</f>
        <v>Jefte Soares Da Silva</v>
      </c>
      <c r="G1019" s="3" t="s">
        <v>1550</v>
      </c>
      <c r="H1019" s="3" t="s">
        <v>290</v>
      </c>
    </row>
    <row r="1020" spans="1:8">
      <c r="A1020" s="29">
        <v>42742.567557870374</v>
      </c>
      <c r="B1020" s="29" t="str">
        <f>PROPER(TEXT(tbLOG[[#This Row],[DATA/HORA]],"mmmm"))</f>
        <v>Janeiro</v>
      </c>
      <c r="C1020" s="34" t="str">
        <f>PROPER(TEXT(tbLOG[[#This Row],[DATA/HORA]],"dddd"))</f>
        <v>Sábado</v>
      </c>
      <c r="D1020" s="3" t="s">
        <v>695</v>
      </c>
      <c r="E1020" s="34" t="str">
        <f>IFERROR(VLOOKUP(tbLOG[[#This Row],[LOGIN]],tbMAPA[#All],2,0), "Não localizado")</f>
        <v>Caroline Amparo Nunes</v>
      </c>
      <c r="F1020" s="34" t="str">
        <f>IFERROR(VLOOKUP(tbLOG[[#This Row],[LOGIN]],tbMAPA[#All],3,0), "Não localizado")</f>
        <v>Jefte Soares Da Silva</v>
      </c>
      <c r="G1020" s="3" t="s">
        <v>1550</v>
      </c>
      <c r="H1020" s="3" t="s">
        <v>836</v>
      </c>
    </row>
    <row r="1021" spans="1:8">
      <c r="A1021" s="29">
        <v>42742.56758101852</v>
      </c>
      <c r="B1021" s="29" t="str">
        <f>PROPER(TEXT(tbLOG[[#This Row],[DATA/HORA]],"mmmm"))</f>
        <v>Janeiro</v>
      </c>
      <c r="C1021" s="34" t="str">
        <f>PROPER(TEXT(tbLOG[[#This Row],[DATA/HORA]],"dddd"))</f>
        <v>Sábado</v>
      </c>
      <c r="D1021" s="3" t="s">
        <v>695</v>
      </c>
      <c r="E1021" s="34" t="str">
        <f>IFERROR(VLOOKUP(tbLOG[[#This Row],[LOGIN]],tbMAPA[#All],2,0), "Não localizado")</f>
        <v>Caroline Amparo Nunes</v>
      </c>
      <c r="F1021" s="34" t="str">
        <f>IFERROR(VLOOKUP(tbLOG[[#This Row],[LOGIN]],tbMAPA[#All],3,0), "Não localizado")</f>
        <v>Jefte Soares Da Silva</v>
      </c>
      <c r="G1021" s="3" t="s">
        <v>1550</v>
      </c>
      <c r="H1021" s="3" t="s">
        <v>836</v>
      </c>
    </row>
    <row r="1022" spans="1:8">
      <c r="A1022" s="29">
        <v>42742.567743055559</v>
      </c>
      <c r="B1022" s="29" t="str">
        <f>PROPER(TEXT(tbLOG[[#This Row],[DATA/HORA]],"mmmm"))</f>
        <v>Janeiro</v>
      </c>
      <c r="C1022" s="34" t="str">
        <f>PROPER(TEXT(tbLOG[[#This Row],[DATA/HORA]],"dddd"))</f>
        <v>Sábado</v>
      </c>
      <c r="D1022" s="3" t="s">
        <v>695</v>
      </c>
      <c r="E1022" s="34" t="str">
        <f>IFERROR(VLOOKUP(tbLOG[[#This Row],[LOGIN]],tbMAPA[#All],2,0), "Não localizado")</f>
        <v>Caroline Amparo Nunes</v>
      </c>
      <c r="F1022" s="34" t="str">
        <f>IFERROR(VLOOKUP(tbLOG[[#This Row],[LOGIN]],tbMAPA[#All],3,0), "Não localizado")</f>
        <v>Jefte Soares Da Silva</v>
      </c>
      <c r="G1022" s="3" t="s">
        <v>1550</v>
      </c>
      <c r="H1022" s="3" t="s">
        <v>836</v>
      </c>
    </row>
    <row r="1023" spans="1:8">
      <c r="A1023" s="29">
        <v>42742.567847222221</v>
      </c>
      <c r="B1023" s="29" t="str">
        <f>PROPER(TEXT(tbLOG[[#This Row],[DATA/HORA]],"mmmm"))</f>
        <v>Janeiro</v>
      </c>
      <c r="C1023" s="34" t="str">
        <f>PROPER(TEXT(tbLOG[[#This Row],[DATA/HORA]],"dddd"))</f>
        <v>Sábado</v>
      </c>
      <c r="D1023" s="3" t="s">
        <v>695</v>
      </c>
      <c r="E1023" s="34" t="str">
        <f>IFERROR(VLOOKUP(tbLOG[[#This Row],[LOGIN]],tbMAPA[#All],2,0), "Não localizado")</f>
        <v>Caroline Amparo Nunes</v>
      </c>
      <c r="F1023" s="34" t="str">
        <f>IFERROR(VLOOKUP(tbLOG[[#This Row],[LOGIN]],tbMAPA[#All],3,0), "Não localizado")</f>
        <v>Jefte Soares Da Silva</v>
      </c>
      <c r="G1023" s="3" t="s">
        <v>1550</v>
      </c>
      <c r="H1023" s="3" t="s">
        <v>836</v>
      </c>
    </row>
    <row r="1024" spans="1:8">
      <c r="A1024" s="29">
        <v>42742.567847222221</v>
      </c>
      <c r="B1024" s="29" t="str">
        <f>PROPER(TEXT(tbLOG[[#This Row],[DATA/HORA]],"mmmm"))</f>
        <v>Janeiro</v>
      </c>
      <c r="C1024" s="34" t="str">
        <f>PROPER(TEXT(tbLOG[[#This Row],[DATA/HORA]],"dddd"))</f>
        <v>Sábado</v>
      </c>
      <c r="D1024" s="3" t="s">
        <v>695</v>
      </c>
      <c r="E1024" s="34" t="str">
        <f>IFERROR(VLOOKUP(tbLOG[[#This Row],[LOGIN]],tbMAPA[#All],2,0), "Não localizado")</f>
        <v>Caroline Amparo Nunes</v>
      </c>
      <c r="F1024" s="34" t="str">
        <f>IFERROR(VLOOKUP(tbLOG[[#This Row],[LOGIN]],tbMAPA[#All],3,0), "Não localizado")</f>
        <v>Jefte Soares Da Silva</v>
      </c>
      <c r="G1024" s="3" t="s">
        <v>1550</v>
      </c>
      <c r="H1024" s="3" t="s">
        <v>290</v>
      </c>
    </row>
    <row r="1025" spans="1:8">
      <c r="A1025" s="29">
        <v>42742.569143518522</v>
      </c>
      <c r="B1025" s="29" t="str">
        <f>PROPER(TEXT(tbLOG[[#This Row],[DATA/HORA]],"mmmm"))</f>
        <v>Janeiro</v>
      </c>
      <c r="C1025" s="34" t="str">
        <f>PROPER(TEXT(tbLOG[[#This Row],[DATA/HORA]],"dddd"))</f>
        <v>Sábado</v>
      </c>
      <c r="D1025" s="3" t="s">
        <v>695</v>
      </c>
      <c r="E1025" s="34" t="str">
        <f>IFERROR(VLOOKUP(tbLOG[[#This Row],[LOGIN]],tbMAPA[#All],2,0), "Não localizado")</f>
        <v>Caroline Amparo Nunes</v>
      </c>
      <c r="F1025" s="34" t="str">
        <f>IFERROR(VLOOKUP(tbLOG[[#This Row],[LOGIN]],tbMAPA[#All],3,0), "Não localizado")</f>
        <v>Jefte Soares Da Silva</v>
      </c>
      <c r="G1025" s="3" t="s">
        <v>1550</v>
      </c>
      <c r="H1025" s="3" t="s">
        <v>836</v>
      </c>
    </row>
    <row r="1026" spans="1:8">
      <c r="A1026" s="29">
        <v>42742.569166666668</v>
      </c>
      <c r="B1026" s="29" t="str">
        <f>PROPER(TEXT(tbLOG[[#This Row],[DATA/HORA]],"mmmm"))</f>
        <v>Janeiro</v>
      </c>
      <c r="C1026" s="34" t="str">
        <f>PROPER(TEXT(tbLOG[[#This Row],[DATA/HORA]],"dddd"))</f>
        <v>Sábado</v>
      </c>
      <c r="D1026" s="3" t="s">
        <v>695</v>
      </c>
      <c r="E1026" s="34" t="str">
        <f>IFERROR(VLOOKUP(tbLOG[[#This Row],[LOGIN]],tbMAPA[#All],2,0), "Não localizado")</f>
        <v>Caroline Amparo Nunes</v>
      </c>
      <c r="F1026" s="34" t="str">
        <f>IFERROR(VLOOKUP(tbLOG[[#This Row],[LOGIN]],tbMAPA[#All],3,0), "Não localizado")</f>
        <v>Jefte Soares Da Silva</v>
      </c>
      <c r="G1026" s="3" t="s">
        <v>1550</v>
      </c>
      <c r="H1026" s="3" t="s">
        <v>836</v>
      </c>
    </row>
    <row r="1027" spans="1:8">
      <c r="A1027" s="29">
        <v>42742.569305555553</v>
      </c>
      <c r="B1027" s="29" t="str">
        <f>PROPER(TEXT(tbLOG[[#This Row],[DATA/HORA]],"mmmm"))</f>
        <v>Janeiro</v>
      </c>
      <c r="C1027" s="34" t="str">
        <f>PROPER(TEXT(tbLOG[[#This Row],[DATA/HORA]],"dddd"))</f>
        <v>Sábado</v>
      </c>
      <c r="D1027" s="3" t="s">
        <v>695</v>
      </c>
      <c r="E1027" s="34" t="str">
        <f>IFERROR(VLOOKUP(tbLOG[[#This Row],[LOGIN]],tbMAPA[#All],2,0), "Não localizado")</f>
        <v>Caroline Amparo Nunes</v>
      </c>
      <c r="F1027" s="34" t="str">
        <f>IFERROR(VLOOKUP(tbLOG[[#This Row],[LOGIN]],tbMAPA[#All],3,0), "Não localizado")</f>
        <v>Jefte Soares Da Silva</v>
      </c>
      <c r="G1027" s="3" t="s">
        <v>1550</v>
      </c>
      <c r="H1027" s="3" t="s">
        <v>836</v>
      </c>
    </row>
    <row r="1028" spans="1:8">
      <c r="A1028" s="29">
        <v>42742.56931712963</v>
      </c>
      <c r="B1028" s="29" t="str">
        <f>PROPER(TEXT(tbLOG[[#This Row],[DATA/HORA]],"mmmm"))</f>
        <v>Janeiro</v>
      </c>
      <c r="C1028" s="34" t="str">
        <f>PROPER(TEXT(tbLOG[[#This Row],[DATA/HORA]],"dddd"))</f>
        <v>Sábado</v>
      </c>
      <c r="D1028" s="3" t="s">
        <v>695</v>
      </c>
      <c r="E1028" s="34" t="str">
        <f>IFERROR(VLOOKUP(tbLOG[[#This Row],[LOGIN]],tbMAPA[#All],2,0), "Não localizado")</f>
        <v>Caroline Amparo Nunes</v>
      </c>
      <c r="F1028" s="34" t="str">
        <f>IFERROR(VLOOKUP(tbLOG[[#This Row],[LOGIN]],tbMAPA[#All],3,0), "Não localizado")</f>
        <v>Jefte Soares Da Silva</v>
      </c>
      <c r="G1028" s="3" t="s">
        <v>1550</v>
      </c>
      <c r="H1028" s="3" t="s">
        <v>290</v>
      </c>
    </row>
    <row r="1029" spans="1:8">
      <c r="A1029" s="29">
        <v>42742.570081018515</v>
      </c>
      <c r="B1029" s="29" t="str">
        <f>PROPER(TEXT(tbLOG[[#This Row],[DATA/HORA]],"mmmm"))</f>
        <v>Janeiro</v>
      </c>
      <c r="C1029" s="34" t="str">
        <f>PROPER(TEXT(tbLOG[[#This Row],[DATA/HORA]],"dddd"))</f>
        <v>Sábado</v>
      </c>
      <c r="D1029" s="3" t="s">
        <v>695</v>
      </c>
      <c r="E1029" s="34" t="str">
        <f>IFERROR(VLOOKUP(tbLOG[[#This Row],[LOGIN]],tbMAPA[#All],2,0), "Não localizado")</f>
        <v>Caroline Amparo Nunes</v>
      </c>
      <c r="F1029" s="34" t="str">
        <f>IFERROR(VLOOKUP(tbLOG[[#This Row],[LOGIN]],tbMAPA[#All],3,0), "Não localizado")</f>
        <v>Jefte Soares Da Silva</v>
      </c>
      <c r="G1029" s="3" t="s">
        <v>1550</v>
      </c>
      <c r="H1029" s="3" t="s">
        <v>836</v>
      </c>
    </row>
    <row r="1030" spans="1:8">
      <c r="A1030" s="29">
        <v>42742.570092592592</v>
      </c>
      <c r="B1030" s="29" t="str">
        <f>PROPER(TEXT(tbLOG[[#This Row],[DATA/HORA]],"mmmm"))</f>
        <v>Janeiro</v>
      </c>
      <c r="C1030" s="34" t="str">
        <f>PROPER(TEXT(tbLOG[[#This Row],[DATA/HORA]],"dddd"))</f>
        <v>Sábado</v>
      </c>
      <c r="D1030" s="3" t="s">
        <v>695</v>
      </c>
      <c r="E1030" s="34" t="str">
        <f>IFERROR(VLOOKUP(tbLOG[[#This Row],[LOGIN]],tbMAPA[#All],2,0), "Não localizado")</f>
        <v>Caroline Amparo Nunes</v>
      </c>
      <c r="F1030" s="34" t="str">
        <f>IFERROR(VLOOKUP(tbLOG[[#This Row],[LOGIN]],tbMAPA[#All],3,0), "Não localizado")</f>
        <v>Jefte Soares Da Silva</v>
      </c>
      <c r="G1030" s="3" t="s">
        <v>1550</v>
      </c>
      <c r="H1030" s="3" t="s">
        <v>836</v>
      </c>
    </row>
    <row r="1031" spans="1:8">
      <c r="A1031" s="29">
        <v>42742.570150462961</v>
      </c>
      <c r="B1031" s="29" t="str">
        <f>PROPER(TEXT(tbLOG[[#This Row],[DATA/HORA]],"mmmm"))</f>
        <v>Janeiro</v>
      </c>
      <c r="C1031" s="34" t="str">
        <f>PROPER(TEXT(tbLOG[[#This Row],[DATA/HORA]],"dddd"))</f>
        <v>Sábado</v>
      </c>
      <c r="D1031" s="3" t="s">
        <v>695</v>
      </c>
      <c r="E1031" s="34" t="str">
        <f>IFERROR(VLOOKUP(tbLOG[[#This Row],[LOGIN]],tbMAPA[#All],2,0), "Não localizado")</f>
        <v>Caroline Amparo Nunes</v>
      </c>
      <c r="F1031" s="34" t="str">
        <f>IFERROR(VLOOKUP(tbLOG[[#This Row],[LOGIN]],tbMAPA[#All],3,0), "Não localizado")</f>
        <v>Jefte Soares Da Silva</v>
      </c>
      <c r="G1031" s="3" t="s">
        <v>1550</v>
      </c>
      <c r="H1031" s="3" t="s">
        <v>836</v>
      </c>
    </row>
    <row r="1032" spans="1:8">
      <c r="A1032" s="29">
        <v>42742.570185185185</v>
      </c>
      <c r="B1032" s="29" t="str">
        <f>PROPER(TEXT(tbLOG[[#This Row],[DATA/HORA]],"mmmm"))</f>
        <v>Janeiro</v>
      </c>
      <c r="C1032" s="34" t="str">
        <f>PROPER(TEXT(tbLOG[[#This Row],[DATA/HORA]],"dddd"))</f>
        <v>Sábado</v>
      </c>
      <c r="D1032" s="3" t="s">
        <v>695</v>
      </c>
      <c r="E1032" s="34" t="str">
        <f>IFERROR(VLOOKUP(tbLOG[[#This Row],[LOGIN]],tbMAPA[#All],2,0), "Não localizado")</f>
        <v>Caroline Amparo Nunes</v>
      </c>
      <c r="F1032" s="34" t="str">
        <f>IFERROR(VLOOKUP(tbLOG[[#This Row],[LOGIN]],tbMAPA[#All],3,0), "Não localizado")</f>
        <v>Jefte Soares Da Silva</v>
      </c>
      <c r="G1032" s="3" t="s">
        <v>1550</v>
      </c>
      <c r="H1032" s="3" t="s">
        <v>836</v>
      </c>
    </row>
    <row r="1033" spans="1:8">
      <c r="A1033" s="29">
        <v>42742.5702662037</v>
      </c>
      <c r="B1033" s="29" t="str">
        <f>PROPER(TEXT(tbLOG[[#This Row],[DATA/HORA]],"mmmm"))</f>
        <v>Janeiro</v>
      </c>
      <c r="C1033" s="34" t="str">
        <f>PROPER(TEXT(tbLOG[[#This Row],[DATA/HORA]],"dddd"))</f>
        <v>Sábado</v>
      </c>
      <c r="D1033" s="3" t="s">
        <v>695</v>
      </c>
      <c r="E1033" s="34" t="str">
        <f>IFERROR(VLOOKUP(tbLOG[[#This Row],[LOGIN]],tbMAPA[#All],2,0), "Não localizado")</f>
        <v>Caroline Amparo Nunes</v>
      </c>
      <c r="F1033" s="34" t="str">
        <f>IFERROR(VLOOKUP(tbLOG[[#This Row],[LOGIN]],tbMAPA[#All],3,0), "Não localizado")</f>
        <v>Jefte Soares Da Silva</v>
      </c>
      <c r="G1033" s="3" t="s">
        <v>1550</v>
      </c>
      <c r="H1033" s="3" t="s">
        <v>836</v>
      </c>
    </row>
    <row r="1034" spans="1:8">
      <c r="A1034" s="29">
        <v>42742.570416666669</v>
      </c>
      <c r="B1034" s="29" t="str">
        <f>PROPER(TEXT(tbLOG[[#This Row],[DATA/HORA]],"mmmm"))</f>
        <v>Janeiro</v>
      </c>
      <c r="C1034" s="34" t="str">
        <f>PROPER(TEXT(tbLOG[[#This Row],[DATA/HORA]],"dddd"))</f>
        <v>Sábado</v>
      </c>
      <c r="D1034" s="3" t="s">
        <v>695</v>
      </c>
      <c r="E1034" s="34" t="str">
        <f>IFERROR(VLOOKUP(tbLOG[[#This Row],[LOGIN]],tbMAPA[#All],2,0), "Não localizado")</f>
        <v>Caroline Amparo Nunes</v>
      </c>
      <c r="F1034" s="34" t="str">
        <f>IFERROR(VLOOKUP(tbLOG[[#This Row],[LOGIN]],tbMAPA[#All],3,0), "Não localizado")</f>
        <v>Jefte Soares Da Silva</v>
      </c>
      <c r="G1034" s="3" t="s">
        <v>1550</v>
      </c>
      <c r="H1034" s="3" t="s">
        <v>836</v>
      </c>
    </row>
    <row r="1035" spans="1:8">
      <c r="A1035" s="29">
        <v>42742.570416666669</v>
      </c>
      <c r="B1035" s="29" t="str">
        <f>PROPER(TEXT(tbLOG[[#This Row],[DATA/HORA]],"mmmm"))</f>
        <v>Janeiro</v>
      </c>
      <c r="C1035" s="34" t="str">
        <f>PROPER(TEXT(tbLOG[[#This Row],[DATA/HORA]],"dddd"))</f>
        <v>Sábado</v>
      </c>
      <c r="D1035" s="3" t="s">
        <v>695</v>
      </c>
      <c r="E1035" s="34" t="str">
        <f>IFERROR(VLOOKUP(tbLOG[[#This Row],[LOGIN]],tbMAPA[#All],2,0), "Não localizado")</f>
        <v>Caroline Amparo Nunes</v>
      </c>
      <c r="F1035" s="34" t="str">
        <f>IFERROR(VLOOKUP(tbLOG[[#This Row],[LOGIN]],tbMAPA[#All],3,0), "Não localizado")</f>
        <v>Jefte Soares Da Silva</v>
      </c>
      <c r="G1035" s="3" t="s">
        <v>1550</v>
      </c>
      <c r="H1035" s="3" t="s">
        <v>290</v>
      </c>
    </row>
    <row r="1036" spans="1:8">
      <c r="A1036" s="29">
        <v>42742.570532407408</v>
      </c>
      <c r="B1036" s="29" t="str">
        <f>PROPER(TEXT(tbLOG[[#This Row],[DATA/HORA]],"mmmm"))</f>
        <v>Janeiro</v>
      </c>
      <c r="C1036" s="34" t="str">
        <f>PROPER(TEXT(tbLOG[[#This Row],[DATA/HORA]],"dddd"))</f>
        <v>Sábado</v>
      </c>
      <c r="D1036" s="3" t="s">
        <v>695</v>
      </c>
      <c r="E1036" s="34" t="str">
        <f>IFERROR(VLOOKUP(tbLOG[[#This Row],[LOGIN]],tbMAPA[#All],2,0), "Não localizado")</f>
        <v>Caroline Amparo Nunes</v>
      </c>
      <c r="F1036" s="34" t="str">
        <f>IFERROR(VLOOKUP(tbLOG[[#This Row],[LOGIN]],tbMAPA[#All],3,0), "Não localizado")</f>
        <v>Jefte Soares Da Silva</v>
      </c>
      <c r="G1036" s="3" t="s">
        <v>1550</v>
      </c>
      <c r="H1036" s="3" t="s">
        <v>836</v>
      </c>
    </row>
    <row r="1037" spans="1:8">
      <c r="A1037" s="29">
        <v>42742.570532407408</v>
      </c>
      <c r="B1037" s="29" t="str">
        <f>PROPER(TEXT(tbLOG[[#This Row],[DATA/HORA]],"mmmm"))</f>
        <v>Janeiro</v>
      </c>
      <c r="C1037" s="34" t="str">
        <f>PROPER(TEXT(tbLOG[[#This Row],[DATA/HORA]],"dddd"))</f>
        <v>Sábado</v>
      </c>
      <c r="D1037" s="3" t="s">
        <v>695</v>
      </c>
      <c r="E1037" s="34" t="str">
        <f>IFERROR(VLOOKUP(tbLOG[[#This Row],[LOGIN]],tbMAPA[#All],2,0), "Não localizado")</f>
        <v>Caroline Amparo Nunes</v>
      </c>
      <c r="F1037" s="34" t="str">
        <f>IFERROR(VLOOKUP(tbLOG[[#This Row],[LOGIN]],tbMAPA[#All],3,0), "Não localizado")</f>
        <v>Jefte Soares Da Silva</v>
      </c>
      <c r="G1037" s="3" t="s">
        <v>1550</v>
      </c>
      <c r="H1037" s="3" t="s">
        <v>290</v>
      </c>
    </row>
    <row r="1038" spans="1:8">
      <c r="A1038" s="29">
        <v>42742.571851851855</v>
      </c>
      <c r="B1038" s="29" t="str">
        <f>PROPER(TEXT(tbLOG[[#This Row],[DATA/HORA]],"mmmm"))</f>
        <v>Janeiro</v>
      </c>
      <c r="C1038" s="34" t="str">
        <f>PROPER(TEXT(tbLOG[[#This Row],[DATA/HORA]],"dddd"))</f>
        <v>Sábado</v>
      </c>
      <c r="D1038" s="3" t="s">
        <v>695</v>
      </c>
      <c r="E1038" s="34" t="str">
        <f>IFERROR(VLOOKUP(tbLOG[[#This Row],[LOGIN]],tbMAPA[#All],2,0), "Não localizado")</f>
        <v>Caroline Amparo Nunes</v>
      </c>
      <c r="F1038" s="34" t="str">
        <f>IFERROR(VLOOKUP(tbLOG[[#This Row],[LOGIN]],tbMAPA[#All],3,0), "Não localizado")</f>
        <v>Jefte Soares Da Silva</v>
      </c>
      <c r="G1038" s="3" t="s">
        <v>1550</v>
      </c>
      <c r="H1038" s="3" t="s">
        <v>836</v>
      </c>
    </row>
    <row r="1039" spans="1:8">
      <c r="A1039" s="29">
        <v>42742.571898148148</v>
      </c>
      <c r="B1039" s="29" t="str">
        <f>PROPER(TEXT(tbLOG[[#This Row],[DATA/HORA]],"mmmm"))</f>
        <v>Janeiro</v>
      </c>
      <c r="C1039" s="34" t="str">
        <f>PROPER(TEXT(tbLOG[[#This Row],[DATA/HORA]],"dddd"))</f>
        <v>Sábado</v>
      </c>
      <c r="D1039" s="3" t="s">
        <v>695</v>
      </c>
      <c r="E1039" s="34" t="str">
        <f>IFERROR(VLOOKUP(tbLOG[[#This Row],[LOGIN]],tbMAPA[#All],2,0), "Não localizado")</f>
        <v>Caroline Amparo Nunes</v>
      </c>
      <c r="F1039" s="34" t="str">
        <f>IFERROR(VLOOKUP(tbLOG[[#This Row],[LOGIN]],tbMAPA[#All],3,0), "Não localizado")</f>
        <v>Jefte Soares Da Silva</v>
      </c>
      <c r="G1039" s="3" t="s">
        <v>1550</v>
      </c>
      <c r="H1039" s="3" t="s">
        <v>836</v>
      </c>
    </row>
    <row r="1040" spans="1:8">
      <c r="A1040" s="29">
        <v>42742.572129629632</v>
      </c>
      <c r="B1040" s="29" t="str">
        <f>PROPER(TEXT(tbLOG[[#This Row],[DATA/HORA]],"mmmm"))</f>
        <v>Janeiro</v>
      </c>
      <c r="C1040" s="34" t="str">
        <f>PROPER(TEXT(tbLOG[[#This Row],[DATA/HORA]],"dddd"))</f>
        <v>Sábado</v>
      </c>
      <c r="D1040" s="3" t="s">
        <v>695</v>
      </c>
      <c r="E1040" s="34" t="str">
        <f>IFERROR(VLOOKUP(tbLOG[[#This Row],[LOGIN]],tbMAPA[#All],2,0), "Não localizado")</f>
        <v>Caroline Amparo Nunes</v>
      </c>
      <c r="F1040" s="34" t="str">
        <f>IFERROR(VLOOKUP(tbLOG[[#This Row],[LOGIN]],tbMAPA[#All],3,0), "Não localizado")</f>
        <v>Jefte Soares Da Silva</v>
      </c>
      <c r="G1040" s="3" t="s">
        <v>1550</v>
      </c>
      <c r="H1040" s="3" t="s">
        <v>836</v>
      </c>
    </row>
    <row r="1041" spans="1:8">
      <c r="A1041" s="29">
        <v>42742.572129629632</v>
      </c>
      <c r="B1041" s="29" t="str">
        <f>PROPER(TEXT(tbLOG[[#This Row],[DATA/HORA]],"mmmm"))</f>
        <v>Janeiro</v>
      </c>
      <c r="C1041" s="34" t="str">
        <f>PROPER(TEXT(tbLOG[[#This Row],[DATA/HORA]],"dddd"))</f>
        <v>Sábado</v>
      </c>
      <c r="D1041" s="3" t="s">
        <v>695</v>
      </c>
      <c r="E1041" s="34" t="str">
        <f>IFERROR(VLOOKUP(tbLOG[[#This Row],[LOGIN]],tbMAPA[#All],2,0), "Não localizado")</f>
        <v>Caroline Amparo Nunes</v>
      </c>
      <c r="F1041" s="34" t="str">
        <f>IFERROR(VLOOKUP(tbLOG[[#This Row],[LOGIN]],tbMAPA[#All],3,0), "Não localizado")</f>
        <v>Jefte Soares Da Silva</v>
      </c>
      <c r="G1041" s="3" t="s">
        <v>1550</v>
      </c>
      <c r="H1041" s="3" t="s">
        <v>290</v>
      </c>
    </row>
    <row r="1042" spans="1:8">
      <c r="A1042" s="29">
        <v>42742.572280092594</v>
      </c>
      <c r="B1042" s="29" t="str">
        <f>PROPER(TEXT(tbLOG[[#This Row],[DATA/HORA]],"mmmm"))</f>
        <v>Janeiro</v>
      </c>
      <c r="C1042" s="34" t="str">
        <f>PROPER(TEXT(tbLOG[[#This Row],[DATA/HORA]],"dddd"))</f>
        <v>Sábado</v>
      </c>
      <c r="D1042" s="3" t="s">
        <v>695</v>
      </c>
      <c r="E1042" s="34" t="str">
        <f>IFERROR(VLOOKUP(tbLOG[[#This Row],[LOGIN]],tbMAPA[#All],2,0), "Não localizado")</f>
        <v>Caroline Amparo Nunes</v>
      </c>
      <c r="F1042" s="34" t="str">
        <f>IFERROR(VLOOKUP(tbLOG[[#This Row],[LOGIN]],tbMAPA[#All],3,0), "Não localizado")</f>
        <v>Jefte Soares Da Silva</v>
      </c>
      <c r="G1042" s="3" t="s">
        <v>1550</v>
      </c>
      <c r="H1042" s="3" t="s">
        <v>836</v>
      </c>
    </row>
    <row r="1043" spans="1:8">
      <c r="A1043" s="29">
        <v>42742.572280092594</v>
      </c>
      <c r="B1043" s="29" t="str">
        <f>PROPER(TEXT(tbLOG[[#This Row],[DATA/HORA]],"mmmm"))</f>
        <v>Janeiro</v>
      </c>
      <c r="C1043" s="34" t="str">
        <f>PROPER(TEXT(tbLOG[[#This Row],[DATA/HORA]],"dddd"))</f>
        <v>Sábado</v>
      </c>
      <c r="D1043" s="3" t="s">
        <v>695</v>
      </c>
      <c r="E1043" s="34" t="str">
        <f>IFERROR(VLOOKUP(tbLOG[[#This Row],[LOGIN]],tbMAPA[#All],2,0), "Não localizado")</f>
        <v>Caroline Amparo Nunes</v>
      </c>
      <c r="F1043" s="34" t="str">
        <f>IFERROR(VLOOKUP(tbLOG[[#This Row],[LOGIN]],tbMAPA[#All],3,0), "Não localizado")</f>
        <v>Jefte Soares Da Silva</v>
      </c>
      <c r="G1043" s="3" t="s">
        <v>1550</v>
      </c>
      <c r="H1043" s="3" t="s">
        <v>290</v>
      </c>
    </row>
    <row r="1044" spans="1:8">
      <c r="A1044" s="29">
        <v>42742.574884259258</v>
      </c>
      <c r="B1044" s="29" t="str">
        <f>PROPER(TEXT(tbLOG[[#This Row],[DATA/HORA]],"mmmm"))</f>
        <v>Janeiro</v>
      </c>
      <c r="C1044" s="34" t="str">
        <f>PROPER(TEXT(tbLOG[[#This Row],[DATA/HORA]],"dddd"))</f>
        <v>Sábado</v>
      </c>
      <c r="D1044" s="3" t="s">
        <v>695</v>
      </c>
      <c r="E1044" s="34" t="str">
        <f>IFERROR(VLOOKUP(tbLOG[[#This Row],[LOGIN]],tbMAPA[#All],2,0), "Não localizado")</f>
        <v>Caroline Amparo Nunes</v>
      </c>
      <c r="F1044" s="34" t="str">
        <f>IFERROR(VLOOKUP(tbLOG[[#This Row],[LOGIN]],tbMAPA[#All],3,0), "Não localizado")</f>
        <v>Jefte Soares Da Silva</v>
      </c>
      <c r="G1044" s="3" t="s">
        <v>1550</v>
      </c>
      <c r="H1044" s="3" t="s">
        <v>836</v>
      </c>
    </row>
    <row r="1045" spans="1:8">
      <c r="A1045" s="29">
        <v>42742.574907407405</v>
      </c>
      <c r="B1045" s="29" t="str">
        <f>PROPER(TEXT(tbLOG[[#This Row],[DATA/HORA]],"mmmm"))</f>
        <v>Janeiro</v>
      </c>
      <c r="C1045" s="34" t="str">
        <f>PROPER(TEXT(tbLOG[[#This Row],[DATA/HORA]],"dddd"))</f>
        <v>Sábado</v>
      </c>
      <c r="D1045" s="3" t="s">
        <v>695</v>
      </c>
      <c r="E1045" s="34" t="str">
        <f>IFERROR(VLOOKUP(tbLOG[[#This Row],[LOGIN]],tbMAPA[#All],2,0), "Não localizado")</f>
        <v>Caroline Amparo Nunes</v>
      </c>
      <c r="F1045" s="34" t="str">
        <f>IFERROR(VLOOKUP(tbLOG[[#This Row],[LOGIN]],tbMAPA[#All],3,0), "Não localizado")</f>
        <v>Jefte Soares Da Silva</v>
      </c>
      <c r="G1045" s="3" t="s">
        <v>1550</v>
      </c>
      <c r="H1045" s="3" t="s">
        <v>836</v>
      </c>
    </row>
    <row r="1046" spans="1:8">
      <c r="A1046" s="29">
        <v>42742.575057870374</v>
      </c>
      <c r="B1046" s="29" t="str">
        <f>PROPER(TEXT(tbLOG[[#This Row],[DATA/HORA]],"mmmm"))</f>
        <v>Janeiro</v>
      </c>
      <c r="C1046" s="34" t="str">
        <f>PROPER(TEXT(tbLOG[[#This Row],[DATA/HORA]],"dddd"))</f>
        <v>Sábado</v>
      </c>
      <c r="D1046" s="3" t="s">
        <v>695</v>
      </c>
      <c r="E1046" s="34" t="str">
        <f>IFERROR(VLOOKUP(tbLOG[[#This Row],[LOGIN]],tbMAPA[#All],2,0), "Não localizado")</f>
        <v>Caroline Amparo Nunes</v>
      </c>
      <c r="F1046" s="34" t="str">
        <f>IFERROR(VLOOKUP(tbLOG[[#This Row],[LOGIN]],tbMAPA[#All],3,0), "Não localizado")</f>
        <v>Jefte Soares Da Silva</v>
      </c>
      <c r="G1046" s="3" t="s">
        <v>1550</v>
      </c>
      <c r="H1046" s="3" t="s">
        <v>836</v>
      </c>
    </row>
    <row r="1047" spans="1:8">
      <c r="A1047" s="29">
        <v>42742.575138888889</v>
      </c>
      <c r="B1047" s="29" t="str">
        <f>PROPER(TEXT(tbLOG[[#This Row],[DATA/HORA]],"mmmm"))</f>
        <v>Janeiro</v>
      </c>
      <c r="C1047" s="34" t="str">
        <f>PROPER(TEXT(tbLOG[[#This Row],[DATA/HORA]],"dddd"))</f>
        <v>Sábado</v>
      </c>
      <c r="D1047" s="3" t="s">
        <v>695</v>
      </c>
      <c r="E1047" s="34" t="str">
        <f>IFERROR(VLOOKUP(tbLOG[[#This Row],[LOGIN]],tbMAPA[#All],2,0), "Não localizado")</f>
        <v>Caroline Amparo Nunes</v>
      </c>
      <c r="F1047" s="34" t="str">
        <f>IFERROR(VLOOKUP(tbLOG[[#This Row],[LOGIN]],tbMAPA[#All],3,0), "Não localizado")</f>
        <v>Jefte Soares Da Silva</v>
      </c>
      <c r="G1047" s="3" t="s">
        <v>1550</v>
      </c>
      <c r="H1047" s="3" t="s">
        <v>836</v>
      </c>
    </row>
    <row r="1048" spans="1:8">
      <c r="A1048" s="29">
        <v>42742.575138888889</v>
      </c>
      <c r="B1048" s="29" t="str">
        <f>PROPER(TEXT(tbLOG[[#This Row],[DATA/HORA]],"mmmm"))</f>
        <v>Janeiro</v>
      </c>
      <c r="C1048" s="34" t="str">
        <f>PROPER(TEXT(tbLOG[[#This Row],[DATA/HORA]],"dddd"))</f>
        <v>Sábado</v>
      </c>
      <c r="D1048" s="3" t="s">
        <v>695</v>
      </c>
      <c r="E1048" s="34" t="str">
        <f>IFERROR(VLOOKUP(tbLOG[[#This Row],[LOGIN]],tbMAPA[#All],2,0), "Não localizado")</f>
        <v>Caroline Amparo Nunes</v>
      </c>
      <c r="F1048" s="34" t="str">
        <f>IFERROR(VLOOKUP(tbLOG[[#This Row],[LOGIN]],tbMAPA[#All],3,0), "Não localizado")</f>
        <v>Jefte Soares Da Silva</v>
      </c>
      <c r="G1048" s="3" t="s">
        <v>1550</v>
      </c>
      <c r="H1048" s="3" t="s">
        <v>290</v>
      </c>
    </row>
    <row r="1049" spans="1:8">
      <c r="A1049" s="29">
        <v>42742.576053240744</v>
      </c>
      <c r="B1049" s="29" t="str">
        <f>PROPER(TEXT(tbLOG[[#This Row],[DATA/HORA]],"mmmm"))</f>
        <v>Janeiro</v>
      </c>
      <c r="C1049" s="34" t="str">
        <f>PROPER(TEXT(tbLOG[[#This Row],[DATA/HORA]],"dddd"))</f>
        <v>Sábado</v>
      </c>
      <c r="D1049" s="3" t="s">
        <v>695</v>
      </c>
      <c r="E1049" s="34" t="str">
        <f>IFERROR(VLOOKUP(tbLOG[[#This Row],[LOGIN]],tbMAPA[#All],2,0), "Não localizado")</f>
        <v>Caroline Amparo Nunes</v>
      </c>
      <c r="F1049" s="34" t="str">
        <f>IFERROR(VLOOKUP(tbLOG[[#This Row],[LOGIN]],tbMAPA[#All],3,0), "Não localizado")</f>
        <v>Jefte Soares Da Silva</v>
      </c>
      <c r="G1049" s="3" t="s">
        <v>1550</v>
      </c>
      <c r="H1049" s="3" t="s">
        <v>836</v>
      </c>
    </row>
    <row r="1050" spans="1:8">
      <c r="A1050" s="29">
        <v>42742.576874999999</v>
      </c>
      <c r="B1050" s="29" t="str">
        <f>PROPER(TEXT(tbLOG[[#This Row],[DATA/HORA]],"mmmm"))</f>
        <v>Janeiro</v>
      </c>
      <c r="C1050" s="34" t="str">
        <f>PROPER(TEXT(tbLOG[[#This Row],[DATA/HORA]],"dddd"))</f>
        <v>Sábado</v>
      </c>
      <c r="D1050" s="3" t="s">
        <v>695</v>
      </c>
      <c r="E1050" s="34" t="str">
        <f>IFERROR(VLOOKUP(tbLOG[[#This Row],[LOGIN]],tbMAPA[#All],2,0), "Não localizado")</f>
        <v>Caroline Amparo Nunes</v>
      </c>
      <c r="F1050" s="34" t="str">
        <f>IFERROR(VLOOKUP(tbLOG[[#This Row],[LOGIN]],tbMAPA[#All],3,0), "Não localizado")</f>
        <v>Jefte Soares Da Silva</v>
      </c>
      <c r="G1050" s="3" t="s">
        <v>1550</v>
      </c>
      <c r="H1050" s="3" t="s">
        <v>836</v>
      </c>
    </row>
    <row r="1051" spans="1:8">
      <c r="A1051" s="29">
        <v>42742.576967592591</v>
      </c>
      <c r="B1051" s="29" t="str">
        <f>PROPER(TEXT(tbLOG[[#This Row],[DATA/HORA]],"mmmm"))</f>
        <v>Janeiro</v>
      </c>
      <c r="C1051" s="34" t="str">
        <f>PROPER(TEXT(tbLOG[[#This Row],[DATA/HORA]],"dddd"))</f>
        <v>Sábado</v>
      </c>
      <c r="D1051" s="3" t="s">
        <v>695</v>
      </c>
      <c r="E1051" s="34" t="str">
        <f>IFERROR(VLOOKUP(tbLOG[[#This Row],[LOGIN]],tbMAPA[#All],2,0), "Não localizado")</f>
        <v>Caroline Amparo Nunes</v>
      </c>
      <c r="F1051" s="34" t="str">
        <f>IFERROR(VLOOKUP(tbLOG[[#This Row],[LOGIN]],tbMAPA[#All],3,0), "Não localizado")</f>
        <v>Jefte Soares Da Silva</v>
      </c>
      <c r="G1051" s="3" t="s">
        <v>1550</v>
      </c>
      <c r="H1051" s="3" t="s">
        <v>836</v>
      </c>
    </row>
    <row r="1052" spans="1:8">
      <c r="A1052" s="29">
        <v>42742.577662037038</v>
      </c>
      <c r="B1052" s="29" t="str">
        <f>PROPER(TEXT(tbLOG[[#This Row],[DATA/HORA]],"mmmm"))</f>
        <v>Janeiro</v>
      </c>
      <c r="C1052" s="34" t="str">
        <f>PROPER(TEXT(tbLOG[[#This Row],[DATA/HORA]],"dddd"))</f>
        <v>Sábado</v>
      </c>
      <c r="D1052" s="3" t="s">
        <v>695</v>
      </c>
      <c r="E1052" s="34" t="str">
        <f>IFERROR(VLOOKUP(tbLOG[[#This Row],[LOGIN]],tbMAPA[#All],2,0), "Não localizado")</f>
        <v>Caroline Amparo Nunes</v>
      </c>
      <c r="F1052" s="34" t="str">
        <f>IFERROR(VLOOKUP(tbLOG[[#This Row],[LOGIN]],tbMAPA[#All],3,0), "Não localizado")</f>
        <v>Jefte Soares Da Silva</v>
      </c>
      <c r="G1052" s="3" t="s">
        <v>1550</v>
      </c>
      <c r="H1052" s="3" t="s">
        <v>836</v>
      </c>
    </row>
    <row r="1053" spans="1:8">
      <c r="A1053" s="29">
        <v>42742.577800925923</v>
      </c>
      <c r="B1053" s="29" t="str">
        <f>PROPER(TEXT(tbLOG[[#This Row],[DATA/HORA]],"mmmm"))</f>
        <v>Janeiro</v>
      </c>
      <c r="C1053" s="34" t="str">
        <f>PROPER(TEXT(tbLOG[[#This Row],[DATA/HORA]],"dddd"))</f>
        <v>Sábado</v>
      </c>
      <c r="D1053" s="3" t="s">
        <v>695</v>
      </c>
      <c r="E1053" s="34" t="str">
        <f>IFERROR(VLOOKUP(tbLOG[[#This Row],[LOGIN]],tbMAPA[#All],2,0), "Não localizado")</f>
        <v>Caroline Amparo Nunes</v>
      </c>
      <c r="F1053" s="34" t="str">
        <f>IFERROR(VLOOKUP(tbLOG[[#This Row],[LOGIN]],tbMAPA[#All],3,0), "Não localizado")</f>
        <v>Jefte Soares Da Silva</v>
      </c>
      <c r="G1053" s="3" t="s">
        <v>1550</v>
      </c>
      <c r="H1053" s="3" t="s">
        <v>836</v>
      </c>
    </row>
    <row r="1054" spans="1:8">
      <c r="A1054" s="29">
        <v>42742.577800925923</v>
      </c>
      <c r="B1054" s="29" t="str">
        <f>PROPER(TEXT(tbLOG[[#This Row],[DATA/HORA]],"mmmm"))</f>
        <v>Janeiro</v>
      </c>
      <c r="C1054" s="34" t="str">
        <f>PROPER(TEXT(tbLOG[[#This Row],[DATA/HORA]],"dddd"))</f>
        <v>Sábado</v>
      </c>
      <c r="D1054" s="3" t="s">
        <v>695</v>
      </c>
      <c r="E1054" s="34" t="str">
        <f>IFERROR(VLOOKUP(tbLOG[[#This Row],[LOGIN]],tbMAPA[#All],2,0), "Não localizado")</f>
        <v>Caroline Amparo Nunes</v>
      </c>
      <c r="F1054" s="34" t="str">
        <f>IFERROR(VLOOKUP(tbLOG[[#This Row],[LOGIN]],tbMAPA[#All],3,0), "Não localizado")</f>
        <v>Jefte Soares Da Silva</v>
      </c>
      <c r="G1054" s="3" t="s">
        <v>1550</v>
      </c>
      <c r="H1054" s="3" t="s">
        <v>290</v>
      </c>
    </row>
    <row r="1055" spans="1:8">
      <c r="A1055" s="29">
        <v>42742.578750000001</v>
      </c>
      <c r="B1055" s="29" t="str">
        <f>PROPER(TEXT(tbLOG[[#This Row],[DATA/HORA]],"mmmm"))</f>
        <v>Janeiro</v>
      </c>
      <c r="C1055" s="34" t="str">
        <f>PROPER(TEXT(tbLOG[[#This Row],[DATA/HORA]],"dddd"))</f>
        <v>Sábado</v>
      </c>
      <c r="D1055" s="3" t="s">
        <v>695</v>
      </c>
      <c r="E1055" s="34" t="str">
        <f>IFERROR(VLOOKUP(tbLOG[[#This Row],[LOGIN]],tbMAPA[#All],2,0), "Não localizado")</f>
        <v>Caroline Amparo Nunes</v>
      </c>
      <c r="F1055" s="34" t="str">
        <f>IFERROR(VLOOKUP(tbLOG[[#This Row],[LOGIN]],tbMAPA[#All],3,0), "Não localizado")</f>
        <v>Jefte Soares Da Silva</v>
      </c>
      <c r="G1055" s="3" t="s">
        <v>1550</v>
      </c>
      <c r="H1055" s="3" t="s">
        <v>836</v>
      </c>
    </row>
    <row r="1056" spans="1:8">
      <c r="A1056" s="29">
        <v>42742.578784722224</v>
      </c>
      <c r="B1056" s="29" t="str">
        <f>PROPER(TEXT(tbLOG[[#This Row],[DATA/HORA]],"mmmm"))</f>
        <v>Janeiro</v>
      </c>
      <c r="C1056" s="34" t="str">
        <f>PROPER(TEXT(tbLOG[[#This Row],[DATA/HORA]],"dddd"))</f>
        <v>Sábado</v>
      </c>
      <c r="D1056" s="3" t="s">
        <v>695</v>
      </c>
      <c r="E1056" s="34" t="str">
        <f>IFERROR(VLOOKUP(tbLOG[[#This Row],[LOGIN]],tbMAPA[#All],2,0), "Não localizado")</f>
        <v>Caroline Amparo Nunes</v>
      </c>
      <c r="F1056" s="34" t="str">
        <f>IFERROR(VLOOKUP(tbLOG[[#This Row],[LOGIN]],tbMAPA[#All],3,0), "Não localizado")</f>
        <v>Jefte Soares Da Silva</v>
      </c>
      <c r="G1056" s="3" t="s">
        <v>1550</v>
      </c>
      <c r="H1056" s="3" t="s">
        <v>836</v>
      </c>
    </row>
    <row r="1057" spans="1:8">
      <c r="A1057" s="29">
        <v>42742.578993055555</v>
      </c>
      <c r="B1057" s="29" t="str">
        <f>PROPER(TEXT(tbLOG[[#This Row],[DATA/HORA]],"mmmm"))</f>
        <v>Janeiro</v>
      </c>
      <c r="C1057" s="34" t="str">
        <f>PROPER(TEXT(tbLOG[[#This Row],[DATA/HORA]],"dddd"))</f>
        <v>Sábado</v>
      </c>
      <c r="D1057" s="3" t="s">
        <v>695</v>
      </c>
      <c r="E1057" s="34" t="str">
        <f>IFERROR(VLOOKUP(tbLOG[[#This Row],[LOGIN]],tbMAPA[#All],2,0), "Não localizado")</f>
        <v>Caroline Amparo Nunes</v>
      </c>
      <c r="F1057" s="34" t="str">
        <f>IFERROR(VLOOKUP(tbLOG[[#This Row],[LOGIN]],tbMAPA[#All],3,0), "Não localizado")</f>
        <v>Jefte Soares Da Silva</v>
      </c>
      <c r="G1057" s="3" t="s">
        <v>1550</v>
      </c>
      <c r="H1057" s="3" t="s">
        <v>836</v>
      </c>
    </row>
    <row r="1058" spans="1:8">
      <c r="A1058" s="29">
        <v>42742.578993055555</v>
      </c>
      <c r="B1058" s="29" t="str">
        <f>PROPER(TEXT(tbLOG[[#This Row],[DATA/HORA]],"mmmm"))</f>
        <v>Janeiro</v>
      </c>
      <c r="C1058" s="34" t="str">
        <f>PROPER(TEXT(tbLOG[[#This Row],[DATA/HORA]],"dddd"))</f>
        <v>Sábado</v>
      </c>
      <c r="D1058" s="3" t="s">
        <v>695</v>
      </c>
      <c r="E1058" s="34" t="str">
        <f>IFERROR(VLOOKUP(tbLOG[[#This Row],[LOGIN]],tbMAPA[#All],2,0), "Não localizado")</f>
        <v>Caroline Amparo Nunes</v>
      </c>
      <c r="F1058" s="34" t="str">
        <f>IFERROR(VLOOKUP(tbLOG[[#This Row],[LOGIN]],tbMAPA[#All],3,0), "Não localizado")</f>
        <v>Jefte Soares Da Silva</v>
      </c>
      <c r="G1058" s="3" t="s">
        <v>1550</v>
      </c>
      <c r="H1058" s="3" t="s">
        <v>290</v>
      </c>
    </row>
    <row r="1059" spans="1:8">
      <c r="A1059" s="29">
        <v>42742.579074074078</v>
      </c>
      <c r="B1059" s="29" t="str">
        <f>PROPER(TEXT(tbLOG[[#This Row],[DATA/HORA]],"mmmm"))</f>
        <v>Janeiro</v>
      </c>
      <c r="C1059" s="34" t="str">
        <f>PROPER(TEXT(tbLOG[[#This Row],[DATA/HORA]],"dddd"))</f>
        <v>Sábado</v>
      </c>
      <c r="D1059" s="3" t="s">
        <v>695</v>
      </c>
      <c r="E1059" s="34" t="str">
        <f>IFERROR(VLOOKUP(tbLOG[[#This Row],[LOGIN]],tbMAPA[#All],2,0), "Não localizado")</f>
        <v>Caroline Amparo Nunes</v>
      </c>
      <c r="F1059" s="34" t="str">
        <f>IFERROR(VLOOKUP(tbLOG[[#This Row],[LOGIN]],tbMAPA[#All],3,0), "Não localizado")</f>
        <v>Jefte Soares Da Silva</v>
      </c>
      <c r="G1059" s="3" t="s">
        <v>1550</v>
      </c>
      <c r="H1059" s="3" t="s">
        <v>836</v>
      </c>
    </row>
    <row r="1060" spans="1:8">
      <c r="A1060" s="29">
        <v>42742.579074074078</v>
      </c>
      <c r="B1060" s="29" t="str">
        <f>PROPER(TEXT(tbLOG[[#This Row],[DATA/HORA]],"mmmm"))</f>
        <v>Janeiro</v>
      </c>
      <c r="C1060" s="34" t="str">
        <f>PROPER(TEXT(tbLOG[[#This Row],[DATA/HORA]],"dddd"))</f>
        <v>Sábado</v>
      </c>
      <c r="D1060" s="3" t="s">
        <v>695</v>
      </c>
      <c r="E1060" s="34" t="str">
        <f>IFERROR(VLOOKUP(tbLOG[[#This Row],[LOGIN]],tbMAPA[#All],2,0), "Não localizado")</f>
        <v>Caroline Amparo Nunes</v>
      </c>
      <c r="F1060" s="34" t="str">
        <f>IFERROR(VLOOKUP(tbLOG[[#This Row],[LOGIN]],tbMAPA[#All],3,0), "Não localizado")</f>
        <v>Jefte Soares Da Silva</v>
      </c>
      <c r="G1060" s="3" t="s">
        <v>1550</v>
      </c>
      <c r="H1060" s="3" t="s">
        <v>290</v>
      </c>
    </row>
    <row r="1061" spans="1:8">
      <c r="A1061" s="29">
        <v>42742.579247685186</v>
      </c>
      <c r="B1061" s="29" t="str">
        <f>PROPER(TEXT(tbLOG[[#This Row],[DATA/HORA]],"mmmm"))</f>
        <v>Janeiro</v>
      </c>
      <c r="C1061" s="34" t="str">
        <f>PROPER(TEXT(tbLOG[[#This Row],[DATA/HORA]],"dddd"))</f>
        <v>Sábado</v>
      </c>
      <c r="D1061" s="3" t="s">
        <v>695</v>
      </c>
      <c r="E1061" s="34" t="str">
        <f>IFERROR(VLOOKUP(tbLOG[[#This Row],[LOGIN]],tbMAPA[#All],2,0), "Não localizado")</f>
        <v>Caroline Amparo Nunes</v>
      </c>
      <c r="F1061" s="34" t="str">
        <f>IFERROR(VLOOKUP(tbLOG[[#This Row],[LOGIN]],tbMAPA[#All],3,0), "Não localizado")</f>
        <v>Jefte Soares Da Silva</v>
      </c>
      <c r="G1061" s="3" t="s">
        <v>1550</v>
      </c>
      <c r="H1061" s="3" t="s">
        <v>836</v>
      </c>
    </row>
    <row r="1062" spans="1:8">
      <c r="A1062" s="29">
        <v>42742.579247685186</v>
      </c>
      <c r="B1062" s="29" t="str">
        <f>PROPER(TEXT(tbLOG[[#This Row],[DATA/HORA]],"mmmm"))</f>
        <v>Janeiro</v>
      </c>
      <c r="C1062" s="34" t="str">
        <f>PROPER(TEXT(tbLOG[[#This Row],[DATA/HORA]],"dddd"))</f>
        <v>Sábado</v>
      </c>
      <c r="D1062" s="3" t="s">
        <v>695</v>
      </c>
      <c r="E1062" s="34" t="str">
        <f>IFERROR(VLOOKUP(tbLOG[[#This Row],[LOGIN]],tbMAPA[#All],2,0), "Não localizado")</f>
        <v>Caroline Amparo Nunes</v>
      </c>
      <c r="F1062" s="34" t="str">
        <f>IFERROR(VLOOKUP(tbLOG[[#This Row],[LOGIN]],tbMAPA[#All],3,0), "Não localizado")</f>
        <v>Jefte Soares Da Silva</v>
      </c>
      <c r="G1062" s="3" t="s">
        <v>1550</v>
      </c>
      <c r="H1062" s="3" t="s">
        <v>290</v>
      </c>
    </row>
    <row r="1063" spans="1:8">
      <c r="A1063" s="29">
        <v>42742.579340277778</v>
      </c>
      <c r="B1063" s="29" t="str">
        <f>PROPER(TEXT(tbLOG[[#This Row],[DATA/HORA]],"mmmm"))</f>
        <v>Janeiro</v>
      </c>
      <c r="C1063" s="34" t="str">
        <f>PROPER(TEXT(tbLOG[[#This Row],[DATA/HORA]],"dddd"))</f>
        <v>Sábado</v>
      </c>
      <c r="D1063" s="3" t="s">
        <v>695</v>
      </c>
      <c r="E1063" s="34" t="str">
        <f>IFERROR(VLOOKUP(tbLOG[[#This Row],[LOGIN]],tbMAPA[#All],2,0), "Não localizado")</f>
        <v>Caroline Amparo Nunes</v>
      </c>
      <c r="F1063" s="34" t="str">
        <f>IFERROR(VLOOKUP(tbLOG[[#This Row],[LOGIN]],tbMAPA[#All],3,0), "Não localizado")</f>
        <v>Jefte Soares Da Silva</v>
      </c>
      <c r="G1063" s="3" t="s">
        <v>1550</v>
      </c>
      <c r="H1063" s="3" t="s">
        <v>836</v>
      </c>
    </row>
    <row r="1064" spans="1:8">
      <c r="A1064" s="29">
        <v>42742.579340277778</v>
      </c>
      <c r="B1064" s="29" t="str">
        <f>PROPER(TEXT(tbLOG[[#This Row],[DATA/HORA]],"mmmm"))</f>
        <v>Janeiro</v>
      </c>
      <c r="C1064" s="34" t="str">
        <f>PROPER(TEXT(tbLOG[[#This Row],[DATA/HORA]],"dddd"))</f>
        <v>Sábado</v>
      </c>
      <c r="D1064" s="3" t="s">
        <v>695</v>
      </c>
      <c r="E1064" s="34" t="str">
        <f>IFERROR(VLOOKUP(tbLOG[[#This Row],[LOGIN]],tbMAPA[#All],2,0), "Não localizado")</f>
        <v>Caroline Amparo Nunes</v>
      </c>
      <c r="F1064" s="34" t="str">
        <f>IFERROR(VLOOKUP(tbLOG[[#This Row],[LOGIN]],tbMAPA[#All],3,0), "Não localizado")</f>
        <v>Jefte Soares Da Silva</v>
      </c>
      <c r="G1064" s="3" t="s">
        <v>1550</v>
      </c>
      <c r="H1064" s="3" t="s">
        <v>290</v>
      </c>
    </row>
    <row r="1065" spans="1:8">
      <c r="A1065" s="29">
        <v>42742.579432870371</v>
      </c>
      <c r="B1065" s="29" t="str">
        <f>PROPER(TEXT(tbLOG[[#This Row],[DATA/HORA]],"mmmm"))</f>
        <v>Janeiro</v>
      </c>
      <c r="C1065" s="34" t="str">
        <f>PROPER(TEXT(tbLOG[[#This Row],[DATA/HORA]],"dddd"))</f>
        <v>Sábado</v>
      </c>
      <c r="D1065" s="3" t="s">
        <v>695</v>
      </c>
      <c r="E1065" s="34" t="str">
        <f>IFERROR(VLOOKUP(tbLOG[[#This Row],[LOGIN]],tbMAPA[#All],2,0), "Não localizado")</f>
        <v>Caroline Amparo Nunes</v>
      </c>
      <c r="F1065" s="34" t="str">
        <f>IFERROR(VLOOKUP(tbLOG[[#This Row],[LOGIN]],tbMAPA[#All],3,0), "Não localizado")</f>
        <v>Jefte Soares Da Silva</v>
      </c>
      <c r="G1065" s="3" t="s">
        <v>1550</v>
      </c>
      <c r="H1065" s="3" t="s">
        <v>836</v>
      </c>
    </row>
    <row r="1066" spans="1:8">
      <c r="A1066" s="29">
        <v>42742.579432870371</v>
      </c>
      <c r="B1066" s="29" t="str">
        <f>PROPER(TEXT(tbLOG[[#This Row],[DATA/HORA]],"mmmm"))</f>
        <v>Janeiro</v>
      </c>
      <c r="C1066" s="34" t="str">
        <f>PROPER(TEXT(tbLOG[[#This Row],[DATA/HORA]],"dddd"))</f>
        <v>Sábado</v>
      </c>
      <c r="D1066" s="3" t="s">
        <v>695</v>
      </c>
      <c r="E1066" s="34" t="str">
        <f>IFERROR(VLOOKUP(tbLOG[[#This Row],[LOGIN]],tbMAPA[#All],2,0), "Não localizado")</f>
        <v>Caroline Amparo Nunes</v>
      </c>
      <c r="F1066" s="34" t="str">
        <f>IFERROR(VLOOKUP(tbLOG[[#This Row],[LOGIN]],tbMAPA[#All],3,0), "Não localizado")</f>
        <v>Jefte Soares Da Silva</v>
      </c>
      <c r="G1066" s="3" t="s">
        <v>1550</v>
      </c>
      <c r="H1066" s="3" t="s">
        <v>290</v>
      </c>
    </row>
    <row r="1067" spans="1:8">
      <c r="A1067" s="29">
        <v>42742.579502314817</v>
      </c>
      <c r="B1067" s="29" t="str">
        <f>PROPER(TEXT(tbLOG[[#This Row],[DATA/HORA]],"mmmm"))</f>
        <v>Janeiro</v>
      </c>
      <c r="C1067" s="34" t="str">
        <f>PROPER(TEXT(tbLOG[[#This Row],[DATA/HORA]],"dddd"))</f>
        <v>Sábado</v>
      </c>
      <c r="D1067" s="3" t="s">
        <v>695</v>
      </c>
      <c r="E1067" s="34" t="str">
        <f>IFERROR(VLOOKUP(tbLOG[[#This Row],[LOGIN]],tbMAPA[#All],2,0), "Não localizado")</f>
        <v>Caroline Amparo Nunes</v>
      </c>
      <c r="F1067" s="34" t="str">
        <f>IFERROR(VLOOKUP(tbLOG[[#This Row],[LOGIN]],tbMAPA[#All],3,0), "Não localizado")</f>
        <v>Jefte Soares Da Silva</v>
      </c>
      <c r="G1067" s="3" t="s">
        <v>1550</v>
      </c>
      <c r="H1067" s="3" t="s">
        <v>836</v>
      </c>
    </row>
    <row r="1068" spans="1:8">
      <c r="A1068" s="29">
        <v>42742.579560185186</v>
      </c>
      <c r="B1068" s="29" t="str">
        <f>PROPER(TEXT(tbLOG[[#This Row],[DATA/HORA]],"mmmm"))</f>
        <v>Janeiro</v>
      </c>
      <c r="C1068" s="34" t="str">
        <f>PROPER(TEXT(tbLOG[[#This Row],[DATA/HORA]],"dddd"))</f>
        <v>Sábado</v>
      </c>
      <c r="D1068" s="3" t="s">
        <v>695</v>
      </c>
      <c r="E1068" s="34" t="str">
        <f>IFERROR(VLOOKUP(tbLOG[[#This Row],[LOGIN]],tbMAPA[#All],2,0), "Não localizado")</f>
        <v>Caroline Amparo Nunes</v>
      </c>
      <c r="F1068" s="34" t="str">
        <f>IFERROR(VLOOKUP(tbLOG[[#This Row],[LOGIN]],tbMAPA[#All],3,0), "Não localizado")</f>
        <v>Jefte Soares Da Silva</v>
      </c>
      <c r="G1068" s="3" t="s">
        <v>1550</v>
      </c>
      <c r="H1068" s="3" t="s">
        <v>836</v>
      </c>
    </row>
    <row r="1069" spans="1:8">
      <c r="A1069" s="29">
        <v>42742.579560185186</v>
      </c>
      <c r="B1069" s="29" t="str">
        <f>PROPER(TEXT(tbLOG[[#This Row],[DATA/HORA]],"mmmm"))</f>
        <v>Janeiro</v>
      </c>
      <c r="C1069" s="34" t="str">
        <f>PROPER(TEXT(tbLOG[[#This Row],[DATA/HORA]],"dddd"))</f>
        <v>Sábado</v>
      </c>
      <c r="D1069" s="3" t="s">
        <v>695</v>
      </c>
      <c r="E1069" s="34" t="str">
        <f>IFERROR(VLOOKUP(tbLOG[[#This Row],[LOGIN]],tbMAPA[#All],2,0), "Não localizado")</f>
        <v>Caroline Amparo Nunes</v>
      </c>
      <c r="F1069" s="34" t="str">
        <f>IFERROR(VLOOKUP(tbLOG[[#This Row],[LOGIN]],tbMAPA[#All],3,0), "Não localizado")</f>
        <v>Jefte Soares Da Silva</v>
      </c>
      <c r="G1069" s="3" t="s">
        <v>1550</v>
      </c>
      <c r="H1069" s="3" t="s">
        <v>290</v>
      </c>
    </row>
    <row r="1070" spans="1:8">
      <c r="A1070" s="29">
        <v>42742.581770833334</v>
      </c>
      <c r="B1070" s="29" t="str">
        <f>PROPER(TEXT(tbLOG[[#This Row],[DATA/HORA]],"mmmm"))</f>
        <v>Janeiro</v>
      </c>
      <c r="C1070" s="34" t="str">
        <f>PROPER(TEXT(tbLOG[[#This Row],[DATA/HORA]],"dddd"))</f>
        <v>Sábado</v>
      </c>
      <c r="D1070" s="3" t="s">
        <v>695</v>
      </c>
      <c r="E1070" s="34" t="str">
        <f>IFERROR(VLOOKUP(tbLOG[[#This Row],[LOGIN]],tbMAPA[#All],2,0), "Não localizado")</f>
        <v>Caroline Amparo Nunes</v>
      </c>
      <c r="F1070" s="34" t="str">
        <f>IFERROR(VLOOKUP(tbLOG[[#This Row],[LOGIN]],tbMAPA[#All],3,0), "Não localizado")</f>
        <v>Jefte Soares Da Silva</v>
      </c>
      <c r="G1070" s="3" t="s">
        <v>1550</v>
      </c>
      <c r="H1070" s="3" t="s">
        <v>836</v>
      </c>
    </row>
    <row r="1071" spans="1:8">
      <c r="A1071" s="29">
        <v>42742.581793981481</v>
      </c>
      <c r="B1071" s="29" t="str">
        <f>PROPER(TEXT(tbLOG[[#This Row],[DATA/HORA]],"mmmm"))</f>
        <v>Janeiro</v>
      </c>
      <c r="C1071" s="34" t="str">
        <f>PROPER(TEXT(tbLOG[[#This Row],[DATA/HORA]],"dddd"))</f>
        <v>Sábado</v>
      </c>
      <c r="D1071" s="3" t="s">
        <v>695</v>
      </c>
      <c r="E1071" s="34" t="str">
        <f>IFERROR(VLOOKUP(tbLOG[[#This Row],[LOGIN]],tbMAPA[#All],2,0), "Não localizado")</f>
        <v>Caroline Amparo Nunes</v>
      </c>
      <c r="F1071" s="34" t="str">
        <f>IFERROR(VLOOKUP(tbLOG[[#This Row],[LOGIN]],tbMAPA[#All],3,0), "Não localizado")</f>
        <v>Jefte Soares Da Silva</v>
      </c>
      <c r="G1071" s="3" t="s">
        <v>1550</v>
      </c>
      <c r="H1071" s="3" t="s">
        <v>836</v>
      </c>
    </row>
    <row r="1072" spans="1:8">
      <c r="A1072" s="29">
        <v>42742.58185185185</v>
      </c>
      <c r="B1072" s="29" t="str">
        <f>PROPER(TEXT(tbLOG[[#This Row],[DATA/HORA]],"mmmm"))</f>
        <v>Janeiro</v>
      </c>
      <c r="C1072" s="34" t="str">
        <f>PROPER(TEXT(tbLOG[[#This Row],[DATA/HORA]],"dddd"))</f>
        <v>Sábado</v>
      </c>
      <c r="D1072" s="3" t="s">
        <v>695</v>
      </c>
      <c r="E1072" s="34" t="str">
        <f>IFERROR(VLOOKUP(tbLOG[[#This Row],[LOGIN]],tbMAPA[#All],2,0), "Não localizado")</f>
        <v>Caroline Amparo Nunes</v>
      </c>
      <c r="F1072" s="34" t="str">
        <f>IFERROR(VLOOKUP(tbLOG[[#This Row],[LOGIN]],tbMAPA[#All],3,0), "Não localizado")</f>
        <v>Jefte Soares Da Silva</v>
      </c>
      <c r="G1072" s="3" t="s">
        <v>1550</v>
      </c>
      <c r="H1072" s="3" t="s">
        <v>836</v>
      </c>
    </row>
    <row r="1073" spans="1:8">
      <c r="A1073" s="29">
        <v>42742.581932870373</v>
      </c>
      <c r="B1073" s="29" t="str">
        <f>PROPER(TEXT(tbLOG[[#This Row],[DATA/HORA]],"mmmm"))</f>
        <v>Janeiro</v>
      </c>
      <c r="C1073" s="34" t="str">
        <f>PROPER(TEXT(tbLOG[[#This Row],[DATA/HORA]],"dddd"))</f>
        <v>Sábado</v>
      </c>
      <c r="D1073" s="3" t="s">
        <v>695</v>
      </c>
      <c r="E1073" s="34" t="str">
        <f>IFERROR(VLOOKUP(tbLOG[[#This Row],[LOGIN]],tbMAPA[#All],2,0), "Não localizado")</f>
        <v>Caroline Amparo Nunes</v>
      </c>
      <c r="F1073" s="34" t="str">
        <f>IFERROR(VLOOKUP(tbLOG[[#This Row],[LOGIN]],tbMAPA[#All],3,0), "Não localizado")</f>
        <v>Jefte Soares Da Silva</v>
      </c>
      <c r="G1073" s="3" t="s">
        <v>1550</v>
      </c>
      <c r="H1073" s="3" t="s">
        <v>836</v>
      </c>
    </row>
    <row r="1074" spans="1:8">
      <c r="A1074" s="29">
        <v>42742.581932870373</v>
      </c>
      <c r="B1074" s="29" t="str">
        <f>PROPER(TEXT(tbLOG[[#This Row],[DATA/HORA]],"mmmm"))</f>
        <v>Janeiro</v>
      </c>
      <c r="C1074" s="34" t="str">
        <f>PROPER(TEXT(tbLOG[[#This Row],[DATA/HORA]],"dddd"))</f>
        <v>Sábado</v>
      </c>
      <c r="D1074" s="3" t="s">
        <v>695</v>
      </c>
      <c r="E1074" s="34" t="str">
        <f>IFERROR(VLOOKUP(tbLOG[[#This Row],[LOGIN]],tbMAPA[#All],2,0), "Não localizado")</f>
        <v>Caroline Amparo Nunes</v>
      </c>
      <c r="F1074" s="34" t="str">
        <f>IFERROR(VLOOKUP(tbLOG[[#This Row],[LOGIN]],tbMAPA[#All],3,0), "Não localizado")</f>
        <v>Jefte Soares Da Silva</v>
      </c>
      <c r="G1074" s="3" t="s">
        <v>1550</v>
      </c>
      <c r="H1074" s="3" t="s">
        <v>290</v>
      </c>
    </row>
    <row r="1075" spans="1:8">
      <c r="A1075" s="29">
        <v>42742.584317129629</v>
      </c>
      <c r="B1075" s="29" t="str">
        <f>PROPER(TEXT(tbLOG[[#This Row],[DATA/HORA]],"mmmm"))</f>
        <v>Janeiro</v>
      </c>
      <c r="C1075" s="34" t="str">
        <f>PROPER(TEXT(tbLOG[[#This Row],[DATA/HORA]],"dddd"))</f>
        <v>Sábado</v>
      </c>
      <c r="D1075" s="3" t="s">
        <v>695</v>
      </c>
      <c r="E1075" s="34" t="str">
        <f>IFERROR(VLOOKUP(tbLOG[[#This Row],[LOGIN]],tbMAPA[#All],2,0), "Não localizado")</f>
        <v>Caroline Amparo Nunes</v>
      </c>
      <c r="F1075" s="34" t="str">
        <f>IFERROR(VLOOKUP(tbLOG[[#This Row],[LOGIN]],tbMAPA[#All],3,0), "Não localizado")</f>
        <v>Jefte Soares Da Silva</v>
      </c>
      <c r="G1075" s="3" t="s">
        <v>1550</v>
      </c>
      <c r="H1075" s="3" t="s">
        <v>836</v>
      </c>
    </row>
    <row r="1076" spans="1:8">
      <c r="A1076" s="29">
        <v>42742.584340277775</v>
      </c>
      <c r="B1076" s="29" t="str">
        <f>PROPER(TEXT(tbLOG[[#This Row],[DATA/HORA]],"mmmm"))</f>
        <v>Janeiro</v>
      </c>
      <c r="C1076" s="34" t="str">
        <f>PROPER(TEXT(tbLOG[[#This Row],[DATA/HORA]],"dddd"))</f>
        <v>Sábado</v>
      </c>
      <c r="D1076" s="3" t="s">
        <v>695</v>
      </c>
      <c r="E1076" s="34" t="str">
        <f>IFERROR(VLOOKUP(tbLOG[[#This Row],[LOGIN]],tbMAPA[#All],2,0), "Não localizado")</f>
        <v>Caroline Amparo Nunes</v>
      </c>
      <c r="F1076" s="34" t="str">
        <f>IFERROR(VLOOKUP(tbLOG[[#This Row],[LOGIN]],tbMAPA[#All],3,0), "Não localizado")</f>
        <v>Jefte Soares Da Silva</v>
      </c>
      <c r="G1076" s="3" t="s">
        <v>1550</v>
      </c>
      <c r="H1076" s="3" t="s">
        <v>836</v>
      </c>
    </row>
    <row r="1077" spans="1:8">
      <c r="A1077" s="29">
        <v>42742.584456018521</v>
      </c>
      <c r="B1077" s="29" t="str">
        <f>PROPER(TEXT(tbLOG[[#This Row],[DATA/HORA]],"mmmm"))</f>
        <v>Janeiro</v>
      </c>
      <c r="C1077" s="34" t="str">
        <f>PROPER(TEXT(tbLOG[[#This Row],[DATA/HORA]],"dddd"))</f>
        <v>Sábado</v>
      </c>
      <c r="D1077" s="3" t="s">
        <v>695</v>
      </c>
      <c r="E1077" s="34" t="str">
        <f>IFERROR(VLOOKUP(tbLOG[[#This Row],[LOGIN]],tbMAPA[#All],2,0), "Não localizado")</f>
        <v>Caroline Amparo Nunes</v>
      </c>
      <c r="F1077" s="34" t="str">
        <f>IFERROR(VLOOKUP(tbLOG[[#This Row],[LOGIN]],tbMAPA[#All],3,0), "Não localizado")</f>
        <v>Jefte Soares Da Silva</v>
      </c>
      <c r="G1077" s="3" t="s">
        <v>1550</v>
      </c>
      <c r="H1077" s="3" t="s">
        <v>836</v>
      </c>
    </row>
    <row r="1078" spans="1:8">
      <c r="A1078" s="29">
        <v>42742.58457175926</v>
      </c>
      <c r="B1078" s="29" t="str">
        <f>PROPER(TEXT(tbLOG[[#This Row],[DATA/HORA]],"mmmm"))</f>
        <v>Janeiro</v>
      </c>
      <c r="C1078" s="34" t="str">
        <f>PROPER(TEXT(tbLOG[[#This Row],[DATA/HORA]],"dddd"))</f>
        <v>Sábado</v>
      </c>
      <c r="D1078" s="3" t="s">
        <v>695</v>
      </c>
      <c r="E1078" s="34" t="str">
        <f>IFERROR(VLOOKUP(tbLOG[[#This Row],[LOGIN]],tbMAPA[#All],2,0), "Não localizado")</f>
        <v>Caroline Amparo Nunes</v>
      </c>
      <c r="F1078" s="34" t="str">
        <f>IFERROR(VLOOKUP(tbLOG[[#This Row],[LOGIN]],tbMAPA[#All],3,0), "Não localizado")</f>
        <v>Jefte Soares Da Silva</v>
      </c>
      <c r="G1078" s="3" t="s">
        <v>1550</v>
      </c>
      <c r="H1078" s="3" t="s">
        <v>836</v>
      </c>
    </row>
    <row r="1079" spans="1:8">
      <c r="A1079" s="29">
        <v>42742.58457175926</v>
      </c>
      <c r="B1079" s="29" t="str">
        <f>PROPER(TEXT(tbLOG[[#This Row],[DATA/HORA]],"mmmm"))</f>
        <v>Janeiro</v>
      </c>
      <c r="C1079" s="34" t="str">
        <f>PROPER(TEXT(tbLOG[[#This Row],[DATA/HORA]],"dddd"))</f>
        <v>Sábado</v>
      </c>
      <c r="D1079" s="3" t="s">
        <v>695</v>
      </c>
      <c r="E1079" s="34" t="str">
        <f>IFERROR(VLOOKUP(tbLOG[[#This Row],[LOGIN]],tbMAPA[#All],2,0), "Não localizado")</f>
        <v>Caroline Amparo Nunes</v>
      </c>
      <c r="F1079" s="34" t="str">
        <f>IFERROR(VLOOKUP(tbLOG[[#This Row],[LOGIN]],tbMAPA[#All],3,0), "Não localizado")</f>
        <v>Jefte Soares Da Silva</v>
      </c>
      <c r="G1079" s="3" t="s">
        <v>1550</v>
      </c>
      <c r="H1079" s="3" t="s">
        <v>290</v>
      </c>
    </row>
    <row r="1080" spans="1:8">
      <c r="A1080" s="29">
        <v>42742.585138888891</v>
      </c>
      <c r="B1080" s="29" t="str">
        <f>PROPER(TEXT(tbLOG[[#This Row],[DATA/HORA]],"mmmm"))</f>
        <v>Janeiro</v>
      </c>
      <c r="C1080" s="34" t="str">
        <f>PROPER(TEXT(tbLOG[[#This Row],[DATA/HORA]],"dddd"))</f>
        <v>Sábado</v>
      </c>
      <c r="D1080" s="3" t="s">
        <v>695</v>
      </c>
      <c r="E1080" s="34" t="str">
        <f>IFERROR(VLOOKUP(tbLOG[[#This Row],[LOGIN]],tbMAPA[#All],2,0), "Não localizado")</f>
        <v>Caroline Amparo Nunes</v>
      </c>
      <c r="F1080" s="34" t="str">
        <f>IFERROR(VLOOKUP(tbLOG[[#This Row],[LOGIN]],tbMAPA[#All],3,0), "Não localizado")</f>
        <v>Jefte Soares Da Silva</v>
      </c>
      <c r="G1080" s="3" t="s">
        <v>1550</v>
      </c>
      <c r="H1080" s="3" t="s">
        <v>836</v>
      </c>
    </row>
    <row r="1081" spans="1:8">
      <c r="A1081" s="29">
        <v>42742.586041666669</v>
      </c>
      <c r="B1081" s="29" t="str">
        <f>PROPER(TEXT(tbLOG[[#This Row],[DATA/HORA]],"mmmm"))</f>
        <v>Janeiro</v>
      </c>
      <c r="C1081" s="34" t="str">
        <f>PROPER(TEXT(tbLOG[[#This Row],[DATA/HORA]],"dddd"))</f>
        <v>Sábado</v>
      </c>
      <c r="D1081" s="3" t="s">
        <v>695</v>
      </c>
      <c r="E1081" s="34" t="str">
        <f>IFERROR(VLOOKUP(tbLOG[[#This Row],[LOGIN]],tbMAPA[#All],2,0), "Não localizado")</f>
        <v>Caroline Amparo Nunes</v>
      </c>
      <c r="F1081" s="34" t="str">
        <f>IFERROR(VLOOKUP(tbLOG[[#This Row],[LOGIN]],tbMAPA[#All],3,0), "Não localizado")</f>
        <v>Jefte Soares Da Silva</v>
      </c>
      <c r="G1081" s="3" t="s">
        <v>1550</v>
      </c>
      <c r="H1081" s="3" t="s">
        <v>836</v>
      </c>
    </row>
    <row r="1082" spans="1:8">
      <c r="A1082" s="29">
        <v>42742.586122685185</v>
      </c>
      <c r="B1082" s="29" t="str">
        <f>PROPER(TEXT(tbLOG[[#This Row],[DATA/HORA]],"mmmm"))</f>
        <v>Janeiro</v>
      </c>
      <c r="C1082" s="34" t="str">
        <f>PROPER(TEXT(tbLOG[[#This Row],[DATA/HORA]],"dddd"))</f>
        <v>Sábado</v>
      </c>
      <c r="D1082" s="3" t="s">
        <v>695</v>
      </c>
      <c r="E1082" s="34" t="str">
        <f>IFERROR(VLOOKUP(tbLOG[[#This Row],[LOGIN]],tbMAPA[#All],2,0), "Não localizado")</f>
        <v>Caroline Amparo Nunes</v>
      </c>
      <c r="F1082" s="34" t="str">
        <f>IFERROR(VLOOKUP(tbLOG[[#This Row],[LOGIN]],tbMAPA[#All],3,0), "Não localizado")</f>
        <v>Jefte Soares Da Silva</v>
      </c>
      <c r="G1082" s="3" t="s">
        <v>1550</v>
      </c>
      <c r="H1082" s="3" t="s">
        <v>836</v>
      </c>
    </row>
    <row r="1083" spans="1:8">
      <c r="A1083" s="29">
        <v>42742.586261574077</v>
      </c>
      <c r="B1083" s="29" t="str">
        <f>PROPER(TEXT(tbLOG[[#This Row],[DATA/HORA]],"mmmm"))</f>
        <v>Janeiro</v>
      </c>
      <c r="C1083" s="34" t="str">
        <f>PROPER(TEXT(tbLOG[[#This Row],[DATA/HORA]],"dddd"))</f>
        <v>Sábado</v>
      </c>
      <c r="D1083" s="3" t="s">
        <v>695</v>
      </c>
      <c r="E1083" s="34" t="str">
        <f>IFERROR(VLOOKUP(tbLOG[[#This Row],[LOGIN]],tbMAPA[#All],2,0), "Não localizado")</f>
        <v>Caroline Amparo Nunes</v>
      </c>
      <c r="F1083" s="34" t="str">
        <f>IFERROR(VLOOKUP(tbLOG[[#This Row],[LOGIN]],tbMAPA[#All],3,0), "Não localizado")</f>
        <v>Jefte Soares Da Silva</v>
      </c>
      <c r="G1083" s="3" t="s">
        <v>1550</v>
      </c>
      <c r="H1083" s="3" t="s">
        <v>836</v>
      </c>
    </row>
    <row r="1084" spans="1:8">
      <c r="A1084" s="29">
        <v>42742.586261574077</v>
      </c>
      <c r="B1084" s="29" t="str">
        <f>PROPER(TEXT(tbLOG[[#This Row],[DATA/HORA]],"mmmm"))</f>
        <v>Janeiro</v>
      </c>
      <c r="C1084" s="34" t="str">
        <f>PROPER(TEXT(tbLOG[[#This Row],[DATA/HORA]],"dddd"))</f>
        <v>Sábado</v>
      </c>
      <c r="D1084" s="3" t="s">
        <v>695</v>
      </c>
      <c r="E1084" s="34" t="str">
        <f>IFERROR(VLOOKUP(tbLOG[[#This Row],[LOGIN]],tbMAPA[#All],2,0), "Não localizado")</f>
        <v>Caroline Amparo Nunes</v>
      </c>
      <c r="F1084" s="34" t="str">
        <f>IFERROR(VLOOKUP(tbLOG[[#This Row],[LOGIN]],tbMAPA[#All],3,0), "Não localizado")</f>
        <v>Jefte Soares Da Silva</v>
      </c>
      <c r="G1084" s="3" t="s">
        <v>1550</v>
      </c>
      <c r="H1084" s="3" t="s">
        <v>290</v>
      </c>
    </row>
    <row r="1085" spans="1:8">
      <c r="A1085" s="29">
        <v>42742.588819444441</v>
      </c>
      <c r="B1085" s="29" t="str">
        <f>PROPER(TEXT(tbLOG[[#This Row],[DATA/HORA]],"mmmm"))</f>
        <v>Janeiro</v>
      </c>
      <c r="C1085" s="34" t="str">
        <f>PROPER(TEXT(tbLOG[[#This Row],[DATA/HORA]],"dddd"))</f>
        <v>Sábado</v>
      </c>
      <c r="D1085" s="3" t="s">
        <v>695</v>
      </c>
      <c r="E1085" s="34" t="str">
        <f>IFERROR(VLOOKUP(tbLOG[[#This Row],[LOGIN]],tbMAPA[#All],2,0), "Não localizado")</f>
        <v>Caroline Amparo Nunes</v>
      </c>
      <c r="F1085" s="34" t="str">
        <f>IFERROR(VLOOKUP(tbLOG[[#This Row],[LOGIN]],tbMAPA[#All],3,0), "Não localizado")</f>
        <v>Jefte Soares Da Silva</v>
      </c>
      <c r="G1085" s="3" t="s">
        <v>1550</v>
      </c>
      <c r="H1085" s="3" t="s">
        <v>836</v>
      </c>
    </row>
    <row r="1086" spans="1:8">
      <c r="A1086" s="29">
        <v>42742.588831018518</v>
      </c>
      <c r="B1086" s="29" t="str">
        <f>PROPER(TEXT(tbLOG[[#This Row],[DATA/HORA]],"mmmm"))</f>
        <v>Janeiro</v>
      </c>
      <c r="C1086" s="34" t="str">
        <f>PROPER(TEXT(tbLOG[[#This Row],[DATA/HORA]],"dddd"))</f>
        <v>Sábado</v>
      </c>
      <c r="D1086" s="3" t="s">
        <v>695</v>
      </c>
      <c r="E1086" s="34" t="str">
        <f>IFERROR(VLOOKUP(tbLOG[[#This Row],[LOGIN]],tbMAPA[#All],2,0), "Não localizado")</f>
        <v>Caroline Amparo Nunes</v>
      </c>
      <c r="F1086" s="34" t="str">
        <f>IFERROR(VLOOKUP(tbLOG[[#This Row],[LOGIN]],tbMAPA[#All],3,0), "Não localizado")</f>
        <v>Jefte Soares Da Silva</v>
      </c>
      <c r="G1086" s="3" t="s">
        <v>1550</v>
      </c>
      <c r="H1086" s="3" t="s">
        <v>836</v>
      </c>
    </row>
    <row r="1087" spans="1:8">
      <c r="A1087" s="29">
        <v>42742.588969907411</v>
      </c>
      <c r="B1087" s="29" t="str">
        <f>PROPER(TEXT(tbLOG[[#This Row],[DATA/HORA]],"mmmm"))</f>
        <v>Janeiro</v>
      </c>
      <c r="C1087" s="34" t="str">
        <f>PROPER(TEXT(tbLOG[[#This Row],[DATA/HORA]],"dddd"))</f>
        <v>Sábado</v>
      </c>
      <c r="D1087" s="3" t="s">
        <v>695</v>
      </c>
      <c r="E1087" s="34" t="str">
        <f>IFERROR(VLOOKUP(tbLOG[[#This Row],[LOGIN]],tbMAPA[#All],2,0), "Não localizado")</f>
        <v>Caroline Amparo Nunes</v>
      </c>
      <c r="F1087" s="34" t="str">
        <f>IFERROR(VLOOKUP(tbLOG[[#This Row],[LOGIN]],tbMAPA[#All],3,0), "Não localizado")</f>
        <v>Jefte Soares Da Silva</v>
      </c>
      <c r="G1087" s="3" t="s">
        <v>1550</v>
      </c>
      <c r="H1087" s="3" t="s">
        <v>836</v>
      </c>
    </row>
    <row r="1088" spans="1:8">
      <c r="A1088" s="29">
        <v>42742.589143518519</v>
      </c>
      <c r="B1088" s="29" t="str">
        <f>PROPER(TEXT(tbLOG[[#This Row],[DATA/HORA]],"mmmm"))</f>
        <v>Janeiro</v>
      </c>
      <c r="C1088" s="34" t="str">
        <f>PROPER(TEXT(tbLOG[[#This Row],[DATA/HORA]],"dddd"))</f>
        <v>Sábado</v>
      </c>
      <c r="D1088" s="3" t="s">
        <v>695</v>
      </c>
      <c r="E1088" s="34" t="str">
        <f>IFERROR(VLOOKUP(tbLOG[[#This Row],[LOGIN]],tbMAPA[#All],2,0), "Não localizado")</f>
        <v>Caroline Amparo Nunes</v>
      </c>
      <c r="F1088" s="34" t="str">
        <f>IFERROR(VLOOKUP(tbLOG[[#This Row],[LOGIN]],tbMAPA[#All],3,0), "Não localizado")</f>
        <v>Jefte Soares Da Silva</v>
      </c>
      <c r="G1088" s="3" t="s">
        <v>1550</v>
      </c>
      <c r="H1088" s="3" t="s">
        <v>836</v>
      </c>
    </row>
    <row r="1089" spans="1:8">
      <c r="A1089" s="29">
        <v>42742.589155092595</v>
      </c>
      <c r="B1089" s="29" t="str">
        <f>PROPER(TEXT(tbLOG[[#This Row],[DATA/HORA]],"mmmm"))</f>
        <v>Janeiro</v>
      </c>
      <c r="C1089" s="34" t="str">
        <f>PROPER(TEXT(tbLOG[[#This Row],[DATA/HORA]],"dddd"))</f>
        <v>Sábado</v>
      </c>
      <c r="D1089" s="3" t="s">
        <v>695</v>
      </c>
      <c r="E1089" s="34" t="str">
        <f>IFERROR(VLOOKUP(tbLOG[[#This Row],[LOGIN]],tbMAPA[#All],2,0), "Não localizado")</f>
        <v>Caroline Amparo Nunes</v>
      </c>
      <c r="F1089" s="34" t="str">
        <f>IFERROR(VLOOKUP(tbLOG[[#This Row],[LOGIN]],tbMAPA[#All],3,0), "Não localizado")</f>
        <v>Jefte Soares Da Silva</v>
      </c>
      <c r="G1089" s="3" t="s">
        <v>1550</v>
      </c>
      <c r="H1089" s="3" t="s">
        <v>290</v>
      </c>
    </row>
    <row r="1090" spans="1:8">
      <c r="A1090" s="29">
        <v>42742.58929398148</v>
      </c>
      <c r="B1090" s="29" t="str">
        <f>PROPER(TEXT(tbLOG[[#This Row],[DATA/HORA]],"mmmm"))</f>
        <v>Janeiro</v>
      </c>
      <c r="C1090" s="34" t="str">
        <f>PROPER(TEXT(tbLOG[[#This Row],[DATA/HORA]],"dddd"))</f>
        <v>Sábado</v>
      </c>
      <c r="D1090" s="3" t="s">
        <v>695</v>
      </c>
      <c r="E1090" s="34" t="str">
        <f>IFERROR(VLOOKUP(tbLOG[[#This Row],[LOGIN]],tbMAPA[#All],2,0), "Não localizado")</f>
        <v>Caroline Amparo Nunes</v>
      </c>
      <c r="F1090" s="34" t="str">
        <f>IFERROR(VLOOKUP(tbLOG[[#This Row],[LOGIN]],tbMAPA[#All],3,0), "Não localizado")</f>
        <v>Jefte Soares Da Silva</v>
      </c>
      <c r="G1090" s="3" t="s">
        <v>1550</v>
      </c>
      <c r="H1090" s="3" t="s">
        <v>836</v>
      </c>
    </row>
    <row r="1091" spans="1:8">
      <c r="A1091" s="29">
        <v>42742.58929398148</v>
      </c>
      <c r="B1091" s="29" t="str">
        <f>PROPER(TEXT(tbLOG[[#This Row],[DATA/HORA]],"mmmm"))</f>
        <v>Janeiro</v>
      </c>
      <c r="C1091" s="34" t="str">
        <f>PROPER(TEXT(tbLOG[[#This Row],[DATA/HORA]],"dddd"))</f>
        <v>Sábado</v>
      </c>
      <c r="D1091" s="3" t="s">
        <v>695</v>
      </c>
      <c r="E1091" s="34" t="str">
        <f>IFERROR(VLOOKUP(tbLOG[[#This Row],[LOGIN]],tbMAPA[#All],2,0), "Não localizado")</f>
        <v>Caroline Amparo Nunes</v>
      </c>
      <c r="F1091" s="34" t="str">
        <f>IFERROR(VLOOKUP(tbLOG[[#This Row],[LOGIN]],tbMAPA[#All],3,0), "Não localizado")</f>
        <v>Jefte Soares Da Silva</v>
      </c>
      <c r="G1091" s="3" t="s">
        <v>1550</v>
      </c>
      <c r="H1091" s="3" t="s">
        <v>290</v>
      </c>
    </row>
    <row r="1092" spans="1:8">
      <c r="A1092" s="29">
        <v>42742.59039351852</v>
      </c>
      <c r="B1092" s="29" t="str">
        <f>PROPER(TEXT(tbLOG[[#This Row],[DATA/HORA]],"mmmm"))</f>
        <v>Janeiro</v>
      </c>
      <c r="C1092" s="34" t="str">
        <f>PROPER(TEXT(tbLOG[[#This Row],[DATA/HORA]],"dddd"))</f>
        <v>Sábado</v>
      </c>
      <c r="D1092" s="3" t="s">
        <v>695</v>
      </c>
      <c r="E1092" s="34" t="str">
        <f>IFERROR(VLOOKUP(tbLOG[[#This Row],[LOGIN]],tbMAPA[#All],2,0), "Não localizado")</f>
        <v>Caroline Amparo Nunes</v>
      </c>
      <c r="F1092" s="34" t="str">
        <f>IFERROR(VLOOKUP(tbLOG[[#This Row],[LOGIN]],tbMAPA[#All],3,0), "Não localizado")</f>
        <v>Jefte Soares Da Silva</v>
      </c>
      <c r="G1092" s="3" t="s">
        <v>1550</v>
      </c>
      <c r="H1092" s="3" t="s">
        <v>836</v>
      </c>
    </row>
    <row r="1093" spans="1:8">
      <c r="A1093" s="29">
        <v>42742.590428240743</v>
      </c>
      <c r="B1093" s="29" t="str">
        <f>PROPER(TEXT(tbLOG[[#This Row],[DATA/HORA]],"mmmm"))</f>
        <v>Janeiro</v>
      </c>
      <c r="C1093" s="34" t="str">
        <f>PROPER(TEXT(tbLOG[[#This Row],[DATA/HORA]],"dddd"))</f>
        <v>Sábado</v>
      </c>
      <c r="D1093" s="3" t="s">
        <v>695</v>
      </c>
      <c r="E1093" s="34" t="str">
        <f>IFERROR(VLOOKUP(tbLOG[[#This Row],[LOGIN]],tbMAPA[#All],2,0), "Não localizado")</f>
        <v>Caroline Amparo Nunes</v>
      </c>
      <c r="F1093" s="34" t="str">
        <f>IFERROR(VLOOKUP(tbLOG[[#This Row],[LOGIN]],tbMAPA[#All],3,0), "Não localizado")</f>
        <v>Jefte Soares Da Silva</v>
      </c>
      <c r="G1093" s="3" t="s">
        <v>1550</v>
      </c>
      <c r="H1093" s="3" t="s">
        <v>836</v>
      </c>
    </row>
    <row r="1094" spans="1:8">
      <c r="A1094" s="29">
        <v>42742.590590277781</v>
      </c>
      <c r="B1094" s="29" t="str">
        <f>PROPER(TEXT(tbLOG[[#This Row],[DATA/HORA]],"mmmm"))</f>
        <v>Janeiro</v>
      </c>
      <c r="C1094" s="34" t="str">
        <f>PROPER(TEXT(tbLOG[[#This Row],[DATA/HORA]],"dddd"))</f>
        <v>Sábado</v>
      </c>
      <c r="D1094" s="3" t="s">
        <v>695</v>
      </c>
      <c r="E1094" s="34" t="str">
        <f>IFERROR(VLOOKUP(tbLOG[[#This Row],[LOGIN]],tbMAPA[#All],2,0), "Não localizado")</f>
        <v>Caroline Amparo Nunes</v>
      </c>
      <c r="F1094" s="34" t="str">
        <f>IFERROR(VLOOKUP(tbLOG[[#This Row],[LOGIN]],tbMAPA[#All],3,0), "Não localizado")</f>
        <v>Jefte Soares Da Silva</v>
      </c>
      <c r="G1094" s="3" t="s">
        <v>1550</v>
      </c>
      <c r="H1094" s="3" t="s">
        <v>836</v>
      </c>
    </row>
    <row r="1095" spans="1:8">
      <c r="A1095" s="29">
        <v>42742.590717592589</v>
      </c>
      <c r="B1095" s="29" t="str">
        <f>PROPER(TEXT(tbLOG[[#This Row],[DATA/HORA]],"mmmm"))</f>
        <v>Janeiro</v>
      </c>
      <c r="C1095" s="34" t="str">
        <f>PROPER(TEXT(tbLOG[[#This Row],[DATA/HORA]],"dddd"))</f>
        <v>Sábado</v>
      </c>
      <c r="D1095" s="3" t="s">
        <v>695</v>
      </c>
      <c r="E1095" s="34" t="str">
        <f>IFERROR(VLOOKUP(tbLOG[[#This Row],[LOGIN]],tbMAPA[#All],2,0), "Não localizado")</f>
        <v>Caroline Amparo Nunes</v>
      </c>
      <c r="F1095" s="34" t="str">
        <f>IFERROR(VLOOKUP(tbLOG[[#This Row],[LOGIN]],tbMAPA[#All],3,0), "Não localizado")</f>
        <v>Jefte Soares Da Silva</v>
      </c>
      <c r="G1095" s="3" t="s">
        <v>1550</v>
      </c>
      <c r="H1095" s="3" t="s">
        <v>836</v>
      </c>
    </row>
    <row r="1096" spans="1:8">
      <c r="A1096" s="29">
        <v>42742.590717592589</v>
      </c>
      <c r="B1096" s="29" t="str">
        <f>PROPER(TEXT(tbLOG[[#This Row],[DATA/HORA]],"mmmm"))</f>
        <v>Janeiro</v>
      </c>
      <c r="C1096" s="34" t="str">
        <f>PROPER(TEXT(tbLOG[[#This Row],[DATA/HORA]],"dddd"))</f>
        <v>Sábado</v>
      </c>
      <c r="D1096" s="3" t="s">
        <v>695</v>
      </c>
      <c r="E1096" s="34" t="str">
        <f>IFERROR(VLOOKUP(tbLOG[[#This Row],[LOGIN]],tbMAPA[#All],2,0), "Não localizado")</f>
        <v>Caroline Amparo Nunes</v>
      </c>
      <c r="F1096" s="34" t="str">
        <f>IFERROR(VLOOKUP(tbLOG[[#This Row],[LOGIN]],tbMAPA[#All],3,0), "Não localizado")</f>
        <v>Jefte Soares Da Silva</v>
      </c>
      <c r="G1096" s="3" t="s">
        <v>1550</v>
      </c>
      <c r="H1096" s="3" t="s">
        <v>290</v>
      </c>
    </row>
    <row r="1097" spans="1:8">
      <c r="A1097" s="29">
        <v>42742.591724537036</v>
      </c>
      <c r="B1097" s="29" t="str">
        <f>PROPER(TEXT(tbLOG[[#This Row],[DATA/HORA]],"mmmm"))</f>
        <v>Janeiro</v>
      </c>
      <c r="C1097" s="34" t="str">
        <f>PROPER(TEXT(tbLOG[[#This Row],[DATA/HORA]],"dddd"))</f>
        <v>Sábado</v>
      </c>
      <c r="D1097" s="3" t="s">
        <v>695</v>
      </c>
      <c r="E1097" s="34" t="str">
        <f>IFERROR(VLOOKUP(tbLOG[[#This Row],[LOGIN]],tbMAPA[#All],2,0), "Não localizado")</f>
        <v>Caroline Amparo Nunes</v>
      </c>
      <c r="F1097" s="34" t="str">
        <f>IFERROR(VLOOKUP(tbLOG[[#This Row],[LOGIN]],tbMAPA[#All],3,0), "Não localizado")</f>
        <v>Jefte Soares Da Silva</v>
      </c>
      <c r="G1097" s="3" t="s">
        <v>1550</v>
      </c>
      <c r="H1097" s="3" t="s">
        <v>836</v>
      </c>
    </row>
    <row r="1098" spans="1:8">
      <c r="A1098" s="29">
        <v>42742.591736111113</v>
      </c>
      <c r="B1098" s="29" t="str">
        <f>PROPER(TEXT(tbLOG[[#This Row],[DATA/HORA]],"mmmm"))</f>
        <v>Janeiro</v>
      </c>
      <c r="C1098" s="34" t="str">
        <f>PROPER(TEXT(tbLOG[[#This Row],[DATA/HORA]],"dddd"))</f>
        <v>Sábado</v>
      </c>
      <c r="D1098" s="3" t="s">
        <v>695</v>
      </c>
      <c r="E1098" s="34" t="str">
        <f>IFERROR(VLOOKUP(tbLOG[[#This Row],[LOGIN]],tbMAPA[#All],2,0), "Não localizado")</f>
        <v>Caroline Amparo Nunes</v>
      </c>
      <c r="F1098" s="34" t="str">
        <f>IFERROR(VLOOKUP(tbLOG[[#This Row],[LOGIN]],tbMAPA[#All],3,0), "Não localizado")</f>
        <v>Jefte Soares Da Silva</v>
      </c>
      <c r="G1098" s="3" t="s">
        <v>1550</v>
      </c>
      <c r="H1098" s="3" t="s">
        <v>836</v>
      </c>
    </row>
    <row r="1099" spans="1:8">
      <c r="A1099" s="29">
        <v>42742.591828703706</v>
      </c>
      <c r="B1099" s="29" t="str">
        <f>PROPER(TEXT(tbLOG[[#This Row],[DATA/HORA]],"mmmm"))</f>
        <v>Janeiro</v>
      </c>
      <c r="C1099" s="34" t="str">
        <f>PROPER(TEXT(tbLOG[[#This Row],[DATA/HORA]],"dddd"))</f>
        <v>Sábado</v>
      </c>
      <c r="D1099" s="3" t="s">
        <v>695</v>
      </c>
      <c r="E1099" s="34" t="str">
        <f>IFERROR(VLOOKUP(tbLOG[[#This Row],[LOGIN]],tbMAPA[#All],2,0), "Não localizado")</f>
        <v>Caroline Amparo Nunes</v>
      </c>
      <c r="F1099" s="34" t="str">
        <f>IFERROR(VLOOKUP(tbLOG[[#This Row],[LOGIN]],tbMAPA[#All],3,0), "Não localizado")</f>
        <v>Jefte Soares Da Silva</v>
      </c>
      <c r="G1099" s="3" t="s">
        <v>1550</v>
      </c>
      <c r="H1099" s="3" t="s">
        <v>836</v>
      </c>
    </row>
    <row r="1100" spans="1:8">
      <c r="A1100" s="29">
        <v>42742.591932870368</v>
      </c>
      <c r="B1100" s="29" t="str">
        <f>PROPER(TEXT(tbLOG[[#This Row],[DATA/HORA]],"mmmm"))</f>
        <v>Janeiro</v>
      </c>
      <c r="C1100" s="34" t="str">
        <f>PROPER(TEXT(tbLOG[[#This Row],[DATA/HORA]],"dddd"))</f>
        <v>Sábado</v>
      </c>
      <c r="D1100" s="3" t="s">
        <v>695</v>
      </c>
      <c r="E1100" s="34" t="str">
        <f>IFERROR(VLOOKUP(tbLOG[[#This Row],[LOGIN]],tbMAPA[#All],2,0), "Não localizado")</f>
        <v>Caroline Amparo Nunes</v>
      </c>
      <c r="F1100" s="34" t="str">
        <f>IFERROR(VLOOKUP(tbLOG[[#This Row],[LOGIN]],tbMAPA[#All],3,0), "Não localizado")</f>
        <v>Jefte Soares Da Silva</v>
      </c>
      <c r="G1100" s="3" t="s">
        <v>1550</v>
      </c>
      <c r="H1100" s="3" t="s">
        <v>836</v>
      </c>
    </row>
    <row r="1101" spans="1:8">
      <c r="A1101" s="29">
        <v>42742.591932870368</v>
      </c>
      <c r="B1101" s="29" t="str">
        <f>PROPER(TEXT(tbLOG[[#This Row],[DATA/HORA]],"mmmm"))</f>
        <v>Janeiro</v>
      </c>
      <c r="C1101" s="34" t="str">
        <f>PROPER(TEXT(tbLOG[[#This Row],[DATA/HORA]],"dddd"))</f>
        <v>Sábado</v>
      </c>
      <c r="D1101" s="3" t="s">
        <v>695</v>
      </c>
      <c r="E1101" s="34" t="str">
        <f>IFERROR(VLOOKUP(tbLOG[[#This Row],[LOGIN]],tbMAPA[#All],2,0), "Não localizado")</f>
        <v>Caroline Amparo Nunes</v>
      </c>
      <c r="F1101" s="34" t="str">
        <f>IFERROR(VLOOKUP(tbLOG[[#This Row],[LOGIN]],tbMAPA[#All],3,0), "Não localizado")</f>
        <v>Jefte Soares Da Silva</v>
      </c>
      <c r="G1101" s="3" t="s">
        <v>1550</v>
      </c>
      <c r="H1101" s="3" t="s">
        <v>290</v>
      </c>
    </row>
    <row r="1102" spans="1:8">
      <c r="A1102" s="29">
        <v>42742.595046296294</v>
      </c>
      <c r="B1102" s="29" t="str">
        <f>PROPER(TEXT(tbLOG[[#This Row],[DATA/HORA]],"mmmm"))</f>
        <v>Janeiro</v>
      </c>
      <c r="C1102" s="34" t="str">
        <f>PROPER(TEXT(tbLOG[[#This Row],[DATA/HORA]],"dddd"))</f>
        <v>Sábado</v>
      </c>
      <c r="D1102" s="3" t="s">
        <v>695</v>
      </c>
      <c r="E1102" s="34" t="str">
        <f>IFERROR(VLOOKUP(tbLOG[[#This Row],[LOGIN]],tbMAPA[#All],2,0), "Não localizado")</f>
        <v>Caroline Amparo Nunes</v>
      </c>
      <c r="F1102" s="34" t="str">
        <f>IFERROR(VLOOKUP(tbLOG[[#This Row],[LOGIN]],tbMAPA[#All],3,0), "Não localizado")</f>
        <v>Jefte Soares Da Silva</v>
      </c>
      <c r="G1102" s="3" t="s">
        <v>1550</v>
      </c>
      <c r="H1102" s="3" t="s">
        <v>836</v>
      </c>
    </row>
    <row r="1103" spans="1:8">
      <c r="A1103" s="29">
        <v>42742.595069444447</v>
      </c>
      <c r="B1103" s="29" t="str">
        <f>PROPER(TEXT(tbLOG[[#This Row],[DATA/HORA]],"mmmm"))</f>
        <v>Janeiro</v>
      </c>
      <c r="C1103" s="34" t="str">
        <f>PROPER(TEXT(tbLOG[[#This Row],[DATA/HORA]],"dddd"))</f>
        <v>Sábado</v>
      </c>
      <c r="D1103" s="3" t="s">
        <v>695</v>
      </c>
      <c r="E1103" s="34" t="str">
        <f>IFERROR(VLOOKUP(tbLOG[[#This Row],[LOGIN]],tbMAPA[#All],2,0), "Não localizado")</f>
        <v>Caroline Amparo Nunes</v>
      </c>
      <c r="F1103" s="34" t="str">
        <f>IFERROR(VLOOKUP(tbLOG[[#This Row],[LOGIN]],tbMAPA[#All],3,0), "Não localizado")</f>
        <v>Jefte Soares Da Silva</v>
      </c>
      <c r="G1103" s="3" t="s">
        <v>1550</v>
      </c>
      <c r="H1103" s="3" t="s">
        <v>836</v>
      </c>
    </row>
    <row r="1104" spans="1:8">
      <c r="A1104" s="29">
        <v>42742.595266203702</v>
      </c>
      <c r="B1104" s="29" t="str">
        <f>PROPER(TEXT(tbLOG[[#This Row],[DATA/HORA]],"mmmm"))</f>
        <v>Janeiro</v>
      </c>
      <c r="C1104" s="34" t="str">
        <f>PROPER(TEXT(tbLOG[[#This Row],[DATA/HORA]],"dddd"))</f>
        <v>Sábado</v>
      </c>
      <c r="D1104" s="3" t="s">
        <v>695</v>
      </c>
      <c r="E1104" s="34" t="str">
        <f>IFERROR(VLOOKUP(tbLOG[[#This Row],[LOGIN]],tbMAPA[#All],2,0), "Não localizado")</f>
        <v>Caroline Amparo Nunes</v>
      </c>
      <c r="F1104" s="34" t="str">
        <f>IFERROR(VLOOKUP(tbLOG[[#This Row],[LOGIN]],tbMAPA[#All],3,0), "Não localizado")</f>
        <v>Jefte Soares Da Silva</v>
      </c>
      <c r="G1104" s="3" t="s">
        <v>1550</v>
      </c>
      <c r="H1104" s="3" t="s">
        <v>836</v>
      </c>
    </row>
    <row r="1105" spans="1:8">
      <c r="A1105" s="29">
        <v>42742.595347222225</v>
      </c>
      <c r="B1105" s="29" t="str">
        <f>PROPER(TEXT(tbLOG[[#This Row],[DATA/HORA]],"mmmm"))</f>
        <v>Janeiro</v>
      </c>
      <c r="C1105" s="34" t="str">
        <f>PROPER(TEXT(tbLOG[[#This Row],[DATA/HORA]],"dddd"))</f>
        <v>Sábado</v>
      </c>
      <c r="D1105" s="3" t="s">
        <v>695</v>
      </c>
      <c r="E1105" s="34" t="str">
        <f>IFERROR(VLOOKUP(tbLOG[[#This Row],[LOGIN]],tbMAPA[#All],2,0), "Não localizado")</f>
        <v>Caroline Amparo Nunes</v>
      </c>
      <c r="F1105" s="34" t="str">
        <f>IFERROR(VLOOKUP(tbLOG[[#This Row],[LOGIN]],tbMAPA[#All],3,0), "Não localizado")</f>
        <v>Jefte Soares Da Silva</v>
      </c>
      <c r="G1105" s="3" t="s">
        <v>1550</v>
      </c>
      <c r="H1105" s="3" t="s">
        <v>836</v>
      </c>
    </row>
    <row r="1106" spans="1:8">
      <c r="A1106" s="29">
        <v>42742.595347222225</v>
      </c>
      <c r="B1106" s="29" t="str">
        <f>PROPER(TEXT(tbLOG[[#This Row],[DATA/HORA]],"mmmm"))</f>
        <v>Janeiro</v>
      </c>
      <c r="C1106" s="34" t="str">
        <f>PROPER(TEXT(tbLOG[[#This Row],[DATA/HORA]],"dddd"))</f>
        <v>Sábado</v>
      </c>
      <c r="D1106" s="3" t="s">
        <v>695</v>
      </c>
      <c r="E1106" s="34" t="str">
        <f>IFERROR(VLOOKUP(tbLOG[[#This Row],[LOGIN]],tbMAPA[#All],2,0), "Não localizado")</f>
        <v>Caroline Amparo Nunes</v>
      </c>
      <c r="F1106" s="34" t="str">
        <f>IFERROR(VLOOKUP(tbLOG[[#This Row],[LOGIN]],tbMAPA[#All],3,0), "Não localizado")</f>
        <v>Jefte Soares Da Silva</v>
      </c>
      <c r="G1106" s="3" t="s">
        <v>1550</v>
      </c>
      <c r="H1106" s="3" t="s">
        <v>290</v>
      </c>
    </row>
    <row r="1107" spans="1:8">
      <c r="A1107" s="29">
        <v>42742.597812499997</v>
      </c>
      <c r="B1107" s="29" t="str">
        <f>PROPER(TEXT(tbLOG[[#This Row],[DATA/HORA]],"mmmm"))</f>
        <v>Janeiro</v>
      </c>
      <c r="C1107" s="34" t="str">
        <f>PROPER(TEXT(tbLOG[[#This Row],[DATA/HORA]],"dddd"))</f>
        <v>Sábado</v>
      </c>
      <c r="D1107" s="3" t="s">
        <v>695</v>
      </c>
      <c r="E1107" s="34" t="str">
        <f>IFERROR(VLOOKUP(tbLOG[[#This Row],[LOGIN]],tbMAPA[#All],2,0), "Não localizado")</f>
        <v>Caroline Amparo Nunes</v>
      </c>
      <c r="F1107" s="34" t="str">
        <f>IFERROR(VLOOKUP(tbLOG[[#This Row],[LOGIN]],tbMAPA[#All],3,0), "Não localizado")</f>
        <v>Jefte Soares Da Silva</v>
      </c>
      <c r="G1107" s="3" t="s">
        <v>1550</v>
      </c>
      <c r="H1107" s="3" t="s">
        <v>836</v>
      </c>
    </row>
    <row r="1108" spans="1:8">
      <c r="A1108" s="29">
        <v>42742.59783564815</v>
      </c>
      <c r="B1108" s="29" t="str">
        <f>PROPER(TEXT(tbLOG[[#This Row],[DATA/HORA]],"mmmm"))</f>
        <v>Janeiro</v>
      </c>
      <c r="C1108" s="34" t="str">
        <f>PROPER(TEXT(tbLOG[[#This Row],[DATA/HORA]],"dddd"))</f>
        <v>Sábado</v>
      </c>
      <c r="D1108" s="3" t="s">
        <v>695</v>
      </c>
      <c r="E1108" s="34" t="str">
        <f>IFERROR(VLOOKUP(tbLOG[[#This Row],[LOGIN]],tbMAPA[#All],2,0), "Não localizado")</f>
        <v>Caroline Amparo Nunes</v>
      </c>
      <c r="F1108" s="34" t="str">
        <f>IFERROR(VLOOKUP(tbLOG[[#This Row],[LOGIN]],tbMAPA[#All],3,0), "Não localizado")</f>
        <v>Jefte Soares Da Silva</v>
      </c>
      <c r="G1108" s="3" t="s">
        <v>1550</v>
      </c>
      <c r="H1108" s="3" t="s">
        <v>836</v>
      </c>
    </row>
    <row r="1109" spans="1:8">
      <c r="A1109" s="29">
        <v>42742.597962962966</v>
      </c>
      <c r="B1109" s="29" t="str">
        <f>PROPER(TEXT(tbLOG[[#This Row],[DATA/HORA]],"mmmm"))</f>
        <v>Janeiro</v>
      </c>
      <c r="C1109" s="34" t="str">
        <f>PROPER(TEXT(tbLOG[[#This Row],[DATA/HORA]],"dddd"))</f>
        <v>Sábado</v>
      </c>
      <c r="D1109" s="3" t="s">
        <v>695</v>
      </c>
      <c r="E1109" s="34" t="str">
        <f>IFERROR(VLOOKUP(tbLOG[[#This Row],[LOGIN]],tbMAPA[#All],2,0), "Não localizado")</f>
        <v>Caroline Amparo Nunes</v>
      </c>
      <c r="F1109" s="34" t="str">
        <f>IFERROR(VLOOKUP(tbLOG[[#This Row],[LOGIN]],tbMAPA[#All],3,0), "Não localizado")</f>
        <v>Jefte Soares Da Silva</v>
      </c>
      <c r="G1109" s="3" t="s">
        <v>1550</v>
      </c>
      <c r="H1109" s="3" t="s">
        <v>836</v>
      </c>
    </row>
    <row r="1110" spans="1:8">
      <c r="A1110" s="29">
        <v>42742.598101851851</v>
      </c>
      <c r="B1110" s="29" t="str">
        <f>PROPER(TEXT(tbLOG[[#This Row],[DATA/HORA]],"mmmm"))</f>
        <v>Janeiro</v>
      </c>
      <c r="C1110" s="34" t="str">
        <f>PROPER(TEXT(tbLOG[[#This Row],[DATA/HORA]],"dddd"))</f>
        <v>Sábado</v>
      </c>
      <c r="D1110" s="3" t="s">
        <v>695</v>
      </c>
      <c r="E1110" s="34" t="str">
        <f>IFERROR(VLOOKUP(tbLOG[[#This Row],[LOGIN]],tbMAPA[#All],2,0), "Não localizado")</f>
        <v>Caroline Amparo Nunes</v>
      </c>
      <c r="F1110" s="34" t="str">
        <f>IFERROR(VLOOKUP(tbLOG[[#This Row],[LOGIN]],tbMAPA[#All],3,0), "Não localizado")</f>
        <v>Jefte Soares Da Silva</v>
      </c>
      <c r="G1110" s="3" t="s">
        <v>1550</v>
      </c>
      <c r="H1110" s="3" t="s">
        <v>836</v>
      </c>
    </row>
    <row r="1111" spans="1:8">
      <c r="A1111" s="29">
        <v>42742.598101851851</v>
      </c>
      <c r="B1111" s="29" t="str">
        <f>PROPER(TEXT(tbLOG[[#This Row],[DATA/HORA]],"mmmm"))</f>
        <v>Janeiro</v>
      </c>
      <c r="C1111" s="34" t="str">
        <f>PROPER(TEXT(tbLOG[[#This Row],[DATA/HORA]],"dddd"))</f>
        <v>Sábado</v>
      </c>
      <c r="D1111" s="3" t="s">
        <v>695</v>
      </c>
      <c r="E1111" s="34" t="str">
        <f>IFERROR(VLOOKUP(tbLOG[[#This Row],[LOGIN]],tbMAPA[#All],2,0), "Não localizado")</f>
        <v>Caroline Amparo Nunes</v>
      </c>
      <c r="F1111" s="34" t="str">
        <f>IFERROR(VLOOKUP(tbLOG[[#This Row],[LOGIN]],tbMAPA[#All],3,0), "Não localizado")</f>
        <v>Jefte Soares Da Silva</v>
      </c>
      <c r="G1111" s="3" t="s">
        <v>1550</v>
      </c>
      <c r="H1111" s="3" t="s">
        <v>290</v>
      </c>
    </row>
    <row r="1112" spans="1:8">
      <c r="A1112" s="29">
        <v>42742.598726851851</v>
      </c>
      <c r="B1112" s="29" t="str">
        <f>PROPER(TEXT(tbLOG[[#This Row],[DATA/HORA]],"mmmm"))</f>
        <v>Janeiro</v>
      </c>
      <c r="C1112" s="34" t="str">
        <f>PROPER(TEXT(tbLOG[[#This Row],[DATA/HORA]],"dddd"))</f>
        <v>Sábado</v>
      </c>
      <c r="D1112" s="3" t="s">
        <v>695</v>
      </c>
      <c r="E1112" s="34" t="str">
        <f>IFERROR(VLOOKUP(tbLOG[[#This Row],[LOGIN]],tbMAPA[#All],2,0), "Não localizado")</f>
        <v>Caroline Amparo Nunes</v>
      </c>
      <c r="F1112" s="34" t="str">
        <f>IFERROR(VLOOKUP(tbLOG[[#This Row],[LOGIN]],tbMAPA[#All],3,0), "Não localizado")</f>
        <v>Jefte Soares Da Silva</v>
      </c>
      <c r="G1112" s="3" t="s">
        <v>1550</v>
      </c>
      <c r="H1112" s="3" t="s">
        <v>836</v>
      </c>
    </row>
    <row r="1113" spans="1:8">
      <c r="A1113" s="29">
        <v>42742.598738425928</v>
      </c>
      <c r="B1113" s="29" t="str">
        <f>PROPER(TEXT(tbLOG[[#This Row],[DATA/HORA]],"mmmm"))</f>
        <v>Janeiro</v>
      </c>
      <c r="C1113" s="34" t="str">
        <f>PROPER(TEXT(tbLOG[[#This Row],[DATA/HORA]],"dddd"))</f>
        <v>Sábado</v>
      </c>
      <c r="D1113" s="3" t="s">
        <v>695</v>
      </c>
      <c r="E1113" s="34" t="str">
        <f>IFERROR(VLOOKUP(tbLOG[[#This Row],[LOGIN]],tbMAPA[#All],2,0), "Não localizado")</f>
        <v>Caroline Amparo Nunes</v>
      </c>
      <c r="F1113" s="34" t="str">
        <f>IFERROR(VLOOKUP(tbLOG[[#This Row],[LOGIN]],tbMAPA[#All],3,0), "Não localizado")</f>
        <v>Jefte Soares Da Silva</v>
      </c>
      <c r="G1113" s="3" t="s">
        <v>1550</v>
      </c>
      <c r="H1113" s="3" t="s">
        <v>290</v>
      </c>
    </row>
    <row r="1114" spans="1:8">
      <c r="A1114" s="29">
        <v>42742.599456018521</v>
      </c>
      <c r="B1114" s="29" t="str">
        <f>PROPER(TEXT(tbLOG[[#This Row],[DATA/HORA]],"mmmm"))</f>
        <v>Janeiro</v>
      </c>
      <c r="C1114" s="34" t="str">
        <f>PROPER(TEXT(tbLOG[[#This Row],[DATA/HORA]],"dddd"))</f>
        <v>Sábado</v>
      </c>
      <c r="D1114" s="3" t="s">
        <v>695</v>
      </c>
      <c r="E1114" s="34" t="str">
        <f>IFERROR(VLOOKUP(tbLOG[[#This Row],[LOGIN]],tbMAPA[#All],2,0), "Não localizado")</f>
        <v>Caroline Amparo Nunes</v>
      </c>
      <c r="F1114" s="34" t="str">
        <f>IFERROR(VLOOKUP(tbLOG[[#This Row],[LOGIN]],tbMAPA[#All],3,0), "Não localizado")</f>
        <v>Jefte Soares Da Silva</v>
      </c>
      <c r="G1114" s="3" t="s">
        <v>1550</v>
      </c>
      <c r="H1114" s="3" t="s">
        <v>836</v>
      </c>
    </row>
    <row r="1115" spans="1:8">
      <c r="A1115" s="29">
        <v>42742.599490740744</v>
      </c>
      <c r="B1115" s="29" t="str">
        <f>PROPER(TEXT(tbLOG[[#This Row],[DATA/HORA]],"mmmm"))</f>
        <v>Janeiro</v>
      </c>
      <c r="C1115" s="34" t="str">
        <f>PROPER(TEXT(tbLOG[[#This Row],[DATA/HORA]],"dddd"))</f>
        <v>Sábado</v>
      </c>
      <c r="D1115" s="3" t="s">
        <v>695</v>
      </c>
      <c r="E1115" s="34" t="str">
        <f>IFERROR(VLOOKUP(tbLOG[[#This Row],[LOGIN]],tbMAPA[#All],2,0), "Não localizado")</f>
        <v>Caroline Amparo Nunes</v>
      </c>
      <c r="F1115" s="34" t="str">
        <f>IFERROR(VLOOKUP(tbLOG[[#This Row],[LOGIN]],tbMAPA[#All],3,0), "Não localizado")</f>
        <v>Jefte Soares Da Silva</v>
      </c>
      <c r="G1115" s="3" t="s">
        <v>1550</v>
      </c>
      <c r="H1115" s="3" t="s">
        <v>836</v>
      </c>
    </row>
    <row r="1116" spans="1:8">
      <c r="A1116" s="29">
        <v>42742.599548611113</v>
      </c>
      <c r="B1116" s="29" t="str">
        <f>PROPER(TEXT(tbLOG[[#This Row],[DATA/HORA]],"mmmm"))</f>
        <v>Janeiro</v>
      </c>
      <c r="C1116" s="34" t="str">
        <f>PROPER(TEXT(tbLOG[[#This Row],[DATA/HORA]],"dddd"))</f>
        <v>Sábado</v>
      </c>
      <c r="D1116" s="3" t="s">
        <v>695</v>
      </c>
      <c r="E1116" s="34" t="str">
        <f>IFERROR(VLOOKUP(tbLOG[[#This Row],[LOGIN]],tbMAPA[#All],2,0), "Não localizado")</f>
        <v>Caroline Amparo Nunes</v>
      </c>
      <c r="F1116" s="34" t="str">
        <f>IFERROR(VLOOKUP(tbLOG[[#This Row],[LOGIN]],tbMAPA[#All],3,0), "Não localizado")</f>
        <v>Jefte Soares Da Silva</v>
      </c>
      <c r="G1116" s="3" t="s">
        <v>1550</v>
      </c>
      <c r="H1116" s="3" t="s">
        <v>836</v>
      </c>
    </row>
    <row r="1117" spans="1:8">
      <c r="A1117" s="29">
        <v>42742.599629629629</v>
      </c>
      <c r="B1117" s="29" t="str">
        <f>PROPER(TEXT(tbLOG[[#This Row],[DATA/HORA]],"mmmm"))</f>
        <v>Janeiro</v>
      </c>
      <c r="C1117" s="34" t="str">
        <f>PROPER(TEXT(tbLOG[[#This Row],[DATA/HORA]],"dddd"))</f>
        <v>Sábado</v>
      </c>
      <c r="D1117" s="3" t="s">
        <v>695</v>
      </c>
      <c r="E1117" s="34" t="str">
        <f>IFERROR(VLOOKUP(tbLOG[[#This Row],[LOGIN]],tbMAPA[#All],2,0), "Não localizado")</f>
        <v>Caroline Amparo Nunes</v>
      </c>
      <c r="F1117" s="34" t="str">
        <f>IFERROR(VLOOKUP(tbLOG[[#This Row],[LOGIN]],tbMAPA[#All],3,0), "Não localizado")</f>
        <v>Jefte Soares Da Silva</v>
      </c>
      <c r="G1117" s="3" t="s">
        <v>1550</v>
      </c>
      <c r="H1117" s="3" t="s">
        <v>836</v>
      </c>
    </row>
    <row r="1118" spans="1:8">
      <c r="A1118" s="29">
        <v>42742.599641203706</v>
      </c>
      <c r="B1118" s="29" t="str">
        <f>PROPER(TEXT(tbLOG[[#This Row],[DATA/HORA]],"mmmm"))</f>
        <v>Janeiro</v>
      </c>
      <c r="C1118" s="34" t="str">
        <f>PROPER(TEXT(tbLOG[[#This Row],[DATA/HORA]],"dddd"))</f>
        <v>Sábado</v>
      </c>
      <c r="D1118" s="3" t="s">
        <v>695</v>
      </c>
      <c r="E1118" s="34" t="str">
        <f>IFERROR(VLOOKUP(tbLOG[[#This Row],[LOGIN]],tbMAPA[#All],2,0), "Não localizado")</f>
        <v>Caroline Amparo Nunes</v>
      </c>
      <c r="F1118" s="34" t="str">
        <f>IFERROR(VLOOKUP(tbLOG[[#This Row],[LOGIN]],tbMAPA[#All],3,0), "Não localizado")</f>
        <v>Jefte Soares Da Silva</v>
      </c>
      <c r="G1118" s="3" t="s">
        <v>1550</v>
      </c>
      <c r="H1118" s="3" t="s">
        <v>290</v>
      </c>
    </row>
    <row r="1119" spans="1:8">
      <c r="A1119" s="29">
        <v>42742.60019675926</v>
      </c>
      <c r="B1119" s="29" t="str">
        <f>PROPER(TEXT(tbLOG[[#This Row],[DATA/HORA]],"mmmm"))</f>
        <v>Janeiro</v>
      </c>
      <c r="C1119" s="34" t="str">
        <f>PROPER(TEXT(tbLOG[[#This Row],[DATA/HORA]],"dddd"))</f>
        <v>Sábado</v>
      </c>
      <c r="D1119" s="3" t="s">
        <v>695</v>
      </c>
      <c r="E1119" s="34" t="str">
        <f>IFERROR(VLOOKUP(tbLOG[[#This Row],[LOGIN]],tbMAPA[#All],2,0), "Não localizado")</f>
        <v>Caroline Amparo Nunes</v>
      </c>
      <c r="F1119" s="34" t="str">
        <f>IFERROR(VLOOKUP(tbLOG[[#This Row],[LOGIN]],tbMAPA[#All],3,0), "Não localizado")</f>
        <v>Jefte Soares Da Silva</v>
      </c>
      <c r="G1119" s="3" t="s">
        <v>1550</v>
      </c>
      <c r="H1119" s="3" t="s">
        <v>836</v>
      </c>
    </row>
    <row r="1120" spans="1:8">
      <c r="A1120" s="29">
        <v>42742.601122685184</v>
      </c>
      <c r="B1120" s="29" t="str">
        <f>PROPER(TEXT(tbLOG[[#This Row],[DATA/HORA]],"mmmm"))</f>
        <v>Janeiro</v>
      </c>
      <c r="C1120" s="34" t="str">
        <f>PROPER(TEXT(tbLOG[[#This Row],[DATA/HORA]],"dddd"))</f>
        <v>Sábado</v>
      </c>
      <c r="D1120" s="3" t="s">
        <v>695</v>
      </c>
      <c r="E1120" s="34" t="str">
        <f>IFERROR(VLOOKUP(tbLOG[[#This Row],[LOGIN]],tbMAPA[#All],2,0), "Não localizado")</f>
        <v>Caroline Amparo Nunes</v>
      </c>
      <c r="F1120" s="34" t="str">
        <f>IFERROR(VLOOKUP(tbLOG[[#This Row],[LOGIN]],tbMAPA[#All],3,0), "Não localizado")</f>
        <v>Jefte Soares Da Silva</v>
      </c>
      <c r="G1120" s="3" t="s">
        <v>1550</v>
      </c>
      <c r="H1120" s="3" t="s">
        <v>836</v>
      </c>
    </row>
    <row r="1121" spans="1:8">
      <c r="A1121" s="29">
        <v>42742.601215277777</v>
      </c>
      <c r="B1121" s="29" t="str">
        <f>PROPER(TEXT(tbLOG[[#This Row],[DATA/HORA]],"mmmm"))</f>
        <v>Janeiro</v>
      </c>
      <c r="C1121" s="34" t="str">
        <f>PROPER(TEXT(tbLOG[[#This Row],[DATA/HORA]],"dddd"))</f>
        <v>Sábado</v>
      </c>
      <c r="D1121" s="3" t="s">
        <v>695</v>
      </c>
      <c r="E1121" s="34" t="str">
        <f>IFERROR(VLOOKUP(tbLOG[[#This Row],[LOGIN]],tbMAPA[#All],2,0), "Não localizado")</f>
        <v>Caroline Amparo Nunes</v>
      </c>
      <c r="F1121" s="34" t="str">
        <f>IFERROR(VLOOKUP(tbLOG[[#This Row],[LOGIN]],tbMAPA[#All],3,0), "Não localizado")</f>
        <v>Jefte Soares Da Silva</v>
      </c>
      <c r="G1121" s="3" t="s">
        <v>1550</v>
      </c>
      <c r="H1121" s="3" t="s">
        <v>836</v>
      </c>
    </row>
    <row r="1122" spans="1:8">
      <c r="A1122" s="29">
        <v>42742.601215277777</v>
      </c>
      <c r="B1122" s="29" t="str">
        <f>PROPER(TEXT(tbLOG[[#This Row],[DATA/HORA]],"mmmm"))</f>
        <v>Janeiro</v>
      </c>
      <c r="C1122" s="34" t="str">
        <f>PROPER(TEXT(tbLOG[[#This Row],[DATA/HORA]],"dddd"))</f>
        <v>Sábado</v>
      </c>
      <c r="D1122" s="3" t="s">
        <v>695</v>
      </c>
      <c r="E1122" s="34" t="str">
        <f>IFERROR(VLOOKUP(tbLOG[[#This Row],[LOGIN]],tbMAPA[#All],2,0), "Não localizado")</f>
        <v>Caroline Amparo Nunes</v>
      </c>
      <c r="F1122" s="34" t="str">
        <f>IFERROR(VLOOKUP(tbLOG[[#This Row],[LOGIN]],tbMAPA[#All],3,0), "Não localizado")</f>
        <v>Jefte Soares Da Silva</v>
      </c>
      <c r="G1122" s="3" t="s">
        <v>1550</v>
      </c>
      <c r="H1122" s="3" t="s">
        <v>290</v>
      </c>
    </row>
    <row r="1123" spans="1:8">
      <c r="A1123" s="29">
        <v>42742.601331018515</v>
      </c>
      <c r="B1123" s="29" t="str">
        <f>PROPER(TEXT(tbLOG[[#This Row],[DATA/HORA]],"mmmm"))</f>
        <v>Janeiro</v>
      </c>
      <c r="C1123" s="34" t="str">
        <f>PROPER(TEXT(tbLOG[[#This Row],[DATA/HORA]],"dddd"))</f>
        <v>Sábado</v>
      </c>
      <c r="D1123" s="3" t="s">
        <v>695</v>
      </c>
      <c r="E1123" s="34" t="str">
        <f>IFERROR(VLOOKUP(tbLOG[[#This Row],[LOGIN]],tbMAPA[#All],2,0), "Não localizado")</f>
        <v>Caroline Amparo Nunes</v>
      </c>
      <c r="F1123" s="34" t="str">
        <f>IFERROR(VLOOKUP(tbLOG[[#This Row],[LOGIN]],tbMAPA[#All],3,0), "Não localizado")</f>
        <v>Jefte Soares Da Silva</v>
      </c>
      <c r="G1123" s="3" t="s">
        <v>1550</v>
      </c>
      <c r="H1123" s="3" t="s">
        <v>836</v>
      </c>
    </row>
    <row r="1124" spans="1:8">
      <c r="A1124" s="29">
        <v>42742.601331018515</v>
      </c>
      <c r="B1124" s="29" t="str">
        <f>PROPER(TEXT(tbLOG[[#This Row],[DATA/HORA]],"mmmm"))</f>
        <v>Janeiro</v>
      </c>
      <c r="C1124" s="34" t="str">
        <f>PROPER(TEXT(tbLOG[[#This Row],[DATA/HORA]],"dddd"))</f>
        <v>Sábado</v>
      </c>
      <c r="D1124" s="3" t="s">
        <v>695</v>
      </c>
      <c r="E1124" s="34" t="str">
        <f>IFERROR(VLOOKUP(tbLOG[[#This Row],[LOGIN]],tbMAPA[#All],2,0), "Não localizado")</f>
        <v>Caroline Amparo Nunes</v>
      </c>
      <c r="F1124" s="34" t="str">
        <f>IFERROR(VLOOKUP(tbLOG[[#This Row],[LOGIN]],tbMAPA[#All],3,0), "Não localizado")</f>
        <v>Jefte Soares Da Silva</v>
      </c>
      <c r="G1124" s="3" t="s">
        <v>1550</v>
      </c>
      <c r="H1124" s="3" t="s">
        <v>290</v>
      </c>
    </row>
    <row r="1125" spans="1:8">
      <c r="A1125" s="29">
        <v>42742.601840277777</v>
      </c>
      <c r="B1125" s="29" t="str">
        <f>PROPER(TEXT(tbLOG[[#This Row],[DATA/HORA]],"mmmm"))</f>
        <v>Janeiro</v>
      </c>
      <c r="C1125" s="34" t="str">
        <f>PROPER(TEXT(tbLOG[[#This Row],[DATA/HORA]],"dddd"))</f>
        <v>Sábado</v>
      </c>
      <c r="D1125" s="3" t="s">
        <v>695</v>
      </c>
      <c r="E1125" s="34" t="str">
        <f>IFERROR(VLOOKUP(tbLOG[[#This Row],[LOGIN]],tbMAPA[#All],2,0), "Não localizado")</f>
        <v>Caroline Amparo Nunes</v>
      </c>
      <c r="F1125" s="34" t="str">
        <f>IFERROR(VLOOKUP(tbLOG[[#This Row],[LOGIN]],tbMAPA[#All],3,0), "Não localizado")</f>
        <v>Jefte Soares Da Silva</v>
      </c>
      <c r="G1125" s="3" t="s">
        <v>1550</v>
      </c>
      <c r="H1125" s="3" t="s">
        <v>836</v>
      </c>
    </row>
    <row r="1126" spans="1:8">
      <c r="A1126" s="29">
        <v>42742.601840277777</v>
      </c>
      <c r="B1126" s="29" t="str">
        <f>PROPER(TEXT(tbLOG[[#This Row],[DATA/HORA]],"mmmm"))</f>
        <v>Janeiro</v>
      </c>
      <c r="C1126" s="34" t="str">
        <f>PROPER(TEXT(tbLOG[[#This Row],[DATA/HORA]],"dddd"))</f>
        <v>Sábado</v>
      </c>
      <c r="D1126" s="3" t="s">
        <v>695</v>
      </c>
      <c r="E1126" s="34" t="str">
        <f>IFERROR(VLOOKUP(tbLOG[[#This Row],[LOGIN]],tbMAPA[#All],2,0), "Não localizado")</f>
        <v>Caroline Amparo Nunes</v>
      </c>
      <c r="F1126" s="34" t="str">
        <f>IFERROR(VLOOKUP(tbLOG[[#This Row],[LOGIN]],tbMAPA[#All],3,0), "Não localizado")</f>
        <v>Jefte Soares Da Silva</v>
      </c>
      <c r="G1126" s="3" t="s">
        <v>1550</v>
      </c>
      <c r="H1126" s="3" t="s">
        <v>836</v>
      </c>
    </row>
    <row r="1127" spans="1:8">
      <c r="A1127" s="29">
        <v>42742.601840277777</v>
      </c>
      <c r="B1127" s="29" t="str">
        <f>PROPER(TEXT(tbLOG[[#This Row],[DATA/HORA]],"mmmm"))</f>
        <v>Janeiro</v>
      </c>
      <c r="C1127" s="34" t="str">
        <f>PROPER(TEXT(tbLOG[[#This Row],[DATA/HORA]],"dddd"))</f>
        <v>Sábado</v>
      </c>
      <c r="D1127" s="3" t="s">
        <v>695</v>
      </c>
      <c r="E1127" s="34" t="str">
        <f>IFERROR(VLOOKUP(tbLOG[[#This Row],[LOGIN]],tbMAPA[#All],2,0), "Não localizado")</f>
        <v>Caroline Amparo Nunes</v>
      </c>
      <c r="F1127" s="34" t="str">
        <f>IFERROR(VLOOKUP(tbLOG[[#This Row],[LOGIN]],tbMAPA[#All],3,0), "Não localizado")</f>
        <v>Jefte Soares Da Silva</v>
      </c>
      <c r="G1127" s="3" t="s">
        <v>1550</v>
      </c>
      <c r="H1127" s="3" t="s">
        <v>836</v>
      </c>
    </row>
    <row r="1128" spans="1:8">
      <c r="A1128" s="29">
        <v>42742.602731481478</v>
      </c>
      <c r="B1128" s="29" t="str">
        <f>PROPER(TEXT(tbLOG[[#This Row],[DATA/HORA]],"mmmm"))</f>
        <v>Janeiro</v>
      </c>
      <c r="C1128" s="34" t="str">
        <f>PROPER(TEXT(tbLOG[[#This Row],[DATA/HORA]],"dddd"))</f>
        <v>Sábado</v>
      </c>
      <c r="D1128" s="3" t="s">
        <v>695</v>
      </c>
      <c r="E1128" s="34" t="str">
        <f>IFERROR(VLOOKUP(tbLOG[[#This Row],[LOGIN]],tbMAPA[#All],2,0), "Não localizado")</f>
        <v>Caroline Amparo Nunes</v>
      </c>
      <c r="F1128" s="34" t="str">
        <f>IFERROR(VLOOKUP(tbLOG[[#This Row],[LOGIN]],tbMAPA[#All],3,0), "Não localizado")</f>
        <v>Jefte Soares Da Silva</v>
      </c>
      <c r="G1128" s="3" t="s">
        <v>1550</v>
      </c>
      <c r="H1128" s="3" t="s">
        <v>836</v>
      </c>
    </row>
    <row r="1129" spans="1:8">
      <c r="A1129" s="29">
        <v>42742.602962962963</v>
      </c>
      <c r="B1129" s="29" t="str">
        <f>PROPER(TEXT(tbLOG[[#This Row],[DATA/HORA]],"mmmm"))</f>
        <v>Janeiro</v>
      </c>
      <c r="C1129" s="34" t="str">
        <f>PROPER(TEXT(tbLOG[[#This Row],[DATA/HORA]],"dddd"))</f>
        <v>Sábado</v>
      </c>
      <c r="D1129" s="3" t="s">
        <v>695</v>
      </c>
      <c r="E1129" s="34" t="str">
        <f>IFERROR(VLOOKUP(tbLOG[[#This Row],[LOGIN]],tbMAPA[#All],2,0), "Não localizado")</f>
        <v>Caroline Amparo Nunes</v>
      </c>
      <c r="F1129" s="34" t="str">
        <f>IFERROR(VLOOKUP(tbLOG[[#This Row],[LOGIN]],tbMAPA[#All],3,0), "Não localizado")</f>
        <v>Jefte Soares Da Silva</v>
      </c>
      <c r="G1129" s="3" t="s">
        <v>1550</v>
      </c>
      <c r="H1129" s="3" t="s">
        <v>836</v>
      </c>
    </row>
    <row r="1130" spans="1:8">
      <c r="A1130" s="29">
        <v>42742.603067129632</v>
      </c>
      <c r="B1130" s="29" t="str">
        <f>PROPER(TEXT(tbLOG[[#This Row],[DATA/HORA]],"mmmm"))</f>
        <v>Janeiro</v>
      </c>
      <c r="C1130" s="34" t="str">
        <f>PROPER(TEXT(tbLOG[[#This Row],[DATA/HORA]],"dddd"))</f>
        <v>Sábado</v>
      </c>
      <c r="D1130" s="3" t="s">
        <v>695</v>
      </c>
      <c r="E1130" s="34" t="str">
        <f>IFERROR(VLOOKUP(tbLOG[[#This Row],[LOGIN]],tbMAPA[#All],2,0), "Não localizado")</f>
        <v>Caroline Amparo Nunes</v>
      </c>
      <c r="F1130" s="34" t="str">
        <f>IFERROR(VLOOKUP(tbLOG[[#This Row],[LOGIN]],tbMAPA[#All],3,0), "Não localizado")</f>
        <v>Jefte Soares Da Silva</v>
      </c>
      <c r="G1130" s="3" t="s">
        <v>1550</v>
      </c>
      <c r="H1130" s="3" t="s">
        <v>836</v>
      </c>
    </row>
    <row r="1131" spans="1:8">
      <c r="A1131" s="29">
        <v>42742.603067129632</v>
      </c>
      <c r="B1131" s="29" t="str">
        <f>PROPER(TEXT(tbLOG[[#This Row],[DATA/HORA]],"mmmm"))</f>
        <v>Janeiro</v>
      </c>
      <c r="C1131" s="34" t="str">
        <f>PROPER(TEXT(tbLOG[[#This Row],[DATA/HORA]],"dddd"))</f>
        <v>Sábado</v>
      </c>
      <c r="D1131" s="3" t="s">
        <v>695</v>
      </c>
      <c r="E1131" s="34" t="str">
        <f>IFERROR(VLOOKUP(tbLOG[[#This Row],[LOGIN]],tbMAPA[#All],2,0), "Não localizado")</f>
        <v>Caroline Amparo Nunes</v>
      </c>
      <c r="F1131" s="34" t="str">
        <f>IFERROR(VLOOKUP(tbLOG[[#This Row],[LOGIN]],tbMAPA[#All],3,0), "Não localizado")</f>
        <v>Jefte Soares Da Silva</v>
      </c>
      <c r="G1131" s="3" t="s">
        <v>1550</v>
      </c>
      <c r="H1131" s="3" t="s">
        <v>290</v>
      </c>
    </row>
    <row r="1132" spans="1:8">
      <c r="A1132" s="29">
        <v>42742.603680555556</v>
      </c>
      <c r="B1132" s="29" t="str">
        <f>PROPER(TEXT(tbLOG[[#This Row],[DATA/HORA]],"mmmm"))</f>
        <v>Janeiro</v>
      </c>
      <c r="C1132" s="34" t="str">
        <f>PROPER(TEXT(tbLOG[[#This Row],[DATA/HORA]],"dddd"))</f>
        <v>Sábado</v>
      </c>
      <c r="D1132" s="3" t="s">
        <v>695</v>
      </c>
      <c r="E1132" s="34" t="str">
        <f>IFERROR(VLOOKUP(tbLOG[[#This Row],[LOGIN]],tbMAPA[#All],2,0), "Não localizado")</f>
        <v>Caroline Amparo Nunes</v>
      </c>
      <c r="F1132" s="34" t="str">
        <f>IFERROR(VLOOKUP(tbLOG[[#This Row],[LOGIN]],tbMAPA[#All],3,0), "Não localizado")</f>
        <v>Jefte Soares Da Silva</v>
      </c>
      <c r="G1132" s="3" t="s">
        <v>1550</v>
      </c>
      <c r="H1132" s="3" t="s">
        <v>290</v>
      </c>
    </row>
    <row r="1133" spans="1:8">
      <c r="A1133" s="29">
        <v>42742.603773148148</v>
      </c>
      <c r="B1133" s="29" t="str">
        <f>PROPER(TEXT(tbLOG[[#This Row],[DATA/HORA]],"mmmm"))</f>
        <v>Janeiro</v>
      </c>
      <c r="C1133" s="34" t="str">
        <f>PROPER(TEXT(tbLOG[[#This Row],[DATA/HORA]],"dddd"))</f>
        <v>Sábado</v>
      </c>
      <c r="D1133" s="3" t="s">
        <v>695</v>
      </c>
      <c r="E1133" s="34" t="str">
        <f>IFERROR(VLOOKUP(tbLOG[[#This Row],[LOGIN]],tbMAPA[#All],2,0), "Não localizado")</f>
        <v>Caroline Amparo Nunes</v>
      </c>
      <c r="F1133" s="34" t="str">
        <f>IFERROR(VLOOKUP(tbLOG[[#This Row],[LOGIN]],tbMAPA[#All],3,0), "Não localizado")</f>
        <v>Jefte Soares Da Silva</v>
      </c>
      <c r="G1133" s="3" t="s">
        <v>1550</v>
      </c>
      <c r="H1133" s="3" t="s">
        <v>291</v>
      </c>
    </row>
    <row r="1134" spans="1:8">
      <c r="A1134" s="29">
        <v>42742.603773148148</v>
      </c>
      <c r="B1134" s="29" t="str">
        <f>PROPER(TEXT(tbLOG[[#This Row],[DATA/HORA]],"mmmm"))</f>
        <v>Janeiro</v>
      </c>
      <c r="C1134" s="34" t="str">
        <f>PROPER(TEXT(tbLOG[[#This Row],[DATA/HORA]],"dddd"))</f>
        <v>Sábado</v>
      </c>
      <c r="D1134" s="3" t="s">
        <v>695</v>
      </c>
      <c r="E1134" s="34" t="str">
        <f>IFERROR(VLOOKUP(tbLOG[[#This Row],[LOGIN]],tbMAPA[#All],2,0), "Não localizado")</f>
        <v>Caroline Amparo Nunes</v>
      </c>
      <c r="F1134" s="34" t="str">
        <f>IFERROR(VLOOKUP(tbLOG[[#This Row],[LOGIN]],tbMAPA[#All],3,0), "Não localizado")</f>
        <v>Jefte Soares Da Silva</v>
      </c>
      <c r="G1134" s="3" t="s">
        <v>1550</v>
      </c>
      <c r="H1134" s="3" t="s">
        <v>290</v>
      </c>
    </row>
    <row r="1135" spans="1:8">
      <c r="A1135" s="29">
        <v>42744.37872685185</v>
      </c>
      <c r="B1135" s="29" t="str">
        <f>PROPER(TEXT(tbLOG[[#This Row],[DATA/HORA]],"mmmm"))</f>
        <v>Janeiro</v>
      </c>
      <c r="C1135" s="34" t="str">
        <f>PROPER(TEXT(tbLOG[[#This Row],[DATA/HORA]],"dddd"))</f>
        <v>Segunda-Feira</v>
      </c>
      <c r="D1135" s="3" t="s">
        <v>297</v>
      </c>
      <c r="E1135" s="34" t="str">
        <f>IFERROR(VLOOKUP(tbLOG[[#This Row],[LOGIN]],tbMAPA[#All],2,0), "Não localizado")</f>
        <v>Ivanildo Cavalcante De Souza Junior</v>
      </c>
      <c r="F1135" s="34" t="str">
        <f>IFERROR(VLOOKUP(tbLOG[[#This Row],[LOGIN]],tbMAPA[#All],3,0), "Não localizado")</f>
        <v>Jefte Soares Da Silva</v>
      </c>
      <c r="G1135" s="3" t="s">
        <v>298</v>
      </c>
      <c r="H1135" s="3" t="s">
        <v>994</v>
      </c>
    </row>
    <row r="1136" spans="1:8">
      <c r="A1136" s="29">
        <v>42744.382280092592</v>
      </c>
      <c r="B1136" s="29" t="str">
        <f>PROPER(TEXT(tbLOG[[#This Row],[DATA/HORA]],"mmmm"))</f>
        <v>Janeiro</v>
      </c>
      <c r="C1136" s="34" t="str">
        <f>PROPER(TEXT(tbLOG[[#This Row],[DATA/HORA]],"dddd"))</f>
        <v>Segunda-Feira</v>
      </c>
      <c r="D1136" s="3" t="s">
        <v>297</v>
      </c>
      <c r="E1136" s="34" t="str">
        <f>IFERROR(VLOOKUP(tbLOG[[#This Row],[LOGIN]],tbMAPA[#All],2,0), "Não localizado")</f>
        <v>Ivanildo Cavalcante De Souza Junior</v>
      </c>
      <c r="F1136" s="34" t="str">
        <f>IFERROR(VLOOKUP(tbLOG[[#This Row],[LOGIN]],tbMAPA[#All],3,0), "Não localizado")</f>
        <v>Jefte Soares Da Silva</v>
      </c>
      <c r="G1136" s="3" t="s">
        <v>298</v>
      </c>
      <c r="H1136" s="3" t="s">
        <v>291</v>
      </c>
    </row>
    <row r="1137" spans="1:8">
      <c r="A1137" s="29">
        <v>42744.382280092592</v>
      </c>
      <c r="B1137" s="29" t="str">
        <f>PROPER(TEXT(tbLOG[[#This Row],[DATA/HORA]],"mmmm"))</f>
        <v>Janeiro</v>
      </c>
      <c r="C1137" s="34" t="str">
        <f>PROPER(TEXT(tbLOG[[#This Row],[DATA/HORA]],"dddd"))</f>
        <v>Segunda-Feira</v>
      </c>
      <c r="D1137" s="3" t="s">
        <v>297</v>
      </c>
      <c r="E1137" s="34" t="str">
        <f>IFERROR(VLOOKUP(tbLOG[[#This Row],[LOGIN]],tbMAPA[#All],2,0), "Não localizado")</f>
        <v>Ivanildo Cavalcante De Souza Junior</v>
      </c>
      <c r="F1137" s="34" t="str">
        <f>IFERROR(VLOOKUP(tbLOG[[#This Row],[LOGIN]],tbMAPA[#All],3,0), "Não localizado")</f>
        <v>Jefte Soares Da Silva</v>
      </c>
      <c r="G1137" s="3" t="s">
        <v>298</v>
      </c>
      <c r="H1137" s="3" t="s">
        <v>290</v>
      </c>
    </row>
    <row r="1138" spans="1:8">
      <c r="A1138" s="29">
        <v>42744.382395833331</v>
      </c>
      <c r="B1138" s="29" t="str">
        <f>PROPER(TEXT(tbLOG[[#This Row],[DATA/HORA]],"mmmm"))</f>
        <v>Janeiro</v>
      </c>
      <c r="C1138" s="34" t="str">
        <f>PROPER(TEXT(tbLOG[[#This Row],[DATA/HORA]],"dddd"))</f>
        <v>Segunda-Feira</v>
      </c>
      <c r="D1138" s="3" t="s">
        <v>297</v>
      </c>
      <c r="E1138" s="34" t="str">
        <f>IFERROR(VLOOKUP(tbLOG[[#This Row],[LOGIN]],tbMAPA[#All],2,0), "Não localizado")</f>
        <v>Ivanildo Cavalcante De Souza Junior</v>
      </c>
      <c r="F1138" s="34" t="str">
        <f>IFERROR(VLOOKUP(tbLOG[[#This Row],[LOGIN]],tbMAPA[#All],3,0), "Não localizado")</f>
        <v>Jefte Soares Da Silva</v>
      </c>
      <c r="G1138" s="3" t="s">
        <v>298</v>
      </c>
      <c r="H1138" s="3" t="s">
        <v>292</v>
      </c>
    </row>
    <row r="1139" spans="1:8">
      <c r="A1139" s="29">
        <v>42744.382395833331</v>
      </c>
      <c r="B1139" s="29" t="str">
        <f>PROPER(TEXT(tbLOG[[#This Row],[DATA/HORA]],"mmmm"))</f>
        <v>Janeiro</v>
      </c>
      <c r="C1139" s="34" t="str">
        <f>PROPER(TEXT(tbLOG[[#This Row],[DATA/HORA]],"dddd"))</f>
        <v>Segunda-Feira</v>
      </c>
      <c r="D1139" s="3" t="s">
        <v>297</v>
      </c>
      <c r="E1139" s="34" t="str">
        <f>IFERROR(VLOOKUP(tbLOG[[#This Row],[LOGIN]],tbMAPA[#All],2,0), "Não localizado")</f>
        <v>Ivanildo Cavalcante De Souza Junior</v>
      </c>
      <c r="F1139" s="34" t="str">
        <f>IFERROR(VLOOKUP(tbLOG[[#This Row],[LOGIN]],tbMAPA[#All],3,0), "Não localizado")</f>
        <v>Jefte Soares Da Silva</v>
      </c>
      <c r="G1139" s="3" t="s">
        <v>298</v>
      </c>
      <c r="H1139" s="3" t="s">
        <v>994</v>
      </c>
    </row>
    <row r="1140" spans="1:8">
      <c r="A1140" s="29">
        <v>42744.382662037038</v>
      </c>
      <c r="B1140" s="29" t="str">
        <f>PROPER(TEXT(tbLOG[[#This Row],[DATA/HORA]],"mmmm"))</f>
        <v>Janeiro</v>
      </c>
      <c r="C1140" s="34" t="str">
        <f>PROPER(TEXT(tbLOG[[#This Row],[DATA/HORA]],"dddd"))</f>
        <v>Segunda-Feira</v>
      </c>
      <c r="D1140" s="3" t="s">
        <v>297</v>
      </c>
      <c r="E1140" s="34" t="str">
        <f>IFERROR(VLOOKUP(tbLOG[[#This Row],[LOGIN]],tbMAPA[#All],2,0), "Não localizado")</f>
        <v>Ivanildo Cavalcante De Souza Junior</v>
      </c>
      <c r="F1140" s="34" t="str">
        <f>IFERROR(VLOOKUP(tbLOG[[#This Row],[LOGIN]],tbMAPA[#All],3,0), "Não localizado")</f>
        <v>Jefte Soares Da Silva</v>
      </c>
      <c r="G1140" s="3" t="s">
        <v>298</v>
      </c>
      <c r="H1140" s="3" t="s">
        <v>291</v>
      </c>
    </row>
    <row r="1141" spans="1:8">
      <c r="A1141" s="29">
        <v>42744.382662037038</v>
      </c>
      <c r="B1141" s="29" t="str">
        <f>PROPER(TEXT(tbLOG[[#This Row],[DATA/HORA]],"mmmm"))</f>
        <v>Janeiro</v>
      </c>
      <c r="C1141" s="34" t="str">
        <f>PROPER(TEXT(tbLOG[[#This Row],[DATA/HORA]],"dddd"))</f>
        <v>Segunda-Feira</v>
      </c>
      <c r="D1141" s="3" t="s">
        <v>297</v>
      </c>
      <c r="E1141" s="34" t="str">
        <f>IFERROR(VLOOKUP(tbLOG[[#This Row],[LOGIN]],tbMAPA[#All],2,0), "Não localizado")</f>
        <v>Ivanildo Cavalcante De Souza Junior</v>
      </c>
      <c r="F1141" s="34" t="str">
        <f>IFERROR(VLOOKUP(tbLOG[[#This Row],[LOGIN]],tbMAPA[#All],3,0), "Não localizado")</f>
        <v>Jefte Soares Da Silva</v>
      </c>
      <c r="G1141" s="3" t="s">
        <v>298</v>
      </c>
      <c r="H1141" s="3" t="s">
        <v>290</v>
      </c>
    </row>
    <row r="1142" spans="1:8">
      <c r="A1142" s="29">
        <v>42744.382777777777</v>
      </c>
      <c r="B1142" s="29" t="str">
        <f>PROPER(TEXT(tbLOG[[#This Row],[DATA/HORA]],"mmmm"))</f>
        <v>Janeiro</v>
      </c>
      <c r="C1142" s="34" t="str">
        <f>PROPER(TEXT(tbLOG[[#This Row],[DATA/HORA]],"dddd"))</f>
        <v>Segunda-Feira</v>
      </c>
      <c r="D1142" s="3" t="s">
        <v>297</v>
      </c>
      <c r="E1142" s="34" t="str">
        <f>IFERROR(VLOOKUP(tbLOG[[#This Row],[LOGIN]],tbMAPA[#All],2,0), "Não localizado")</f>
        <v>Ivanildo Cavalcante De Souza Junior</v>
      </c>
      <c r="F1142" s="34" t="str">
        <f>IFERROR(VLOOKUP(tbLOG[[#This Row],[LOGIN]],tbMAPA[#All],3,0), "Não localizado")</f>
        <v>Jefte Soares Da Silva</v>
      </c>
      <c r="G1142" s="3" t="s">
        <v>298</v>
      </c>
      <c r="H1142" s="3" t="s">
        <v>292</v>
      </c>
    </row>
    <row r="1143" spans="1:8">
      <c r="A1143" s="29">
        <v>42744.382777777777</v>
      </c>
      <c r="B1143" s="29" t="str">
        <f>PROPER(TEXT(tbLOG[[#This Row],[DATA/HORA]],"mmmm"))</f>
        <v>Janeiro</v>
      </c>
      <c r="C1143" s="34" t="str">
        <f>PROPER(TEXT(tbLOG[[#This Row],[DATA/HORA]],"dddd"))</f>
        <v>Segunda-Feira</v>
      </c>
      <c r="D1143" s="3" t="s">
        <v>297</v>
      </c>
      <c r="E1143" s="34" t="str">
        <f>IFERROR(VLOOKUP(tbLOG[[#This Row],[LOGIN]],tbMAPA[#All],2,0), "Não localizado")</f>
        <v>Ivanildo Cavalcante De Souza Junior</v>
      </c>
      <c r="F1143" s="34" t="str">
        <f>IFERROR(VLOOKUP(tbLOG[[#This Row],[LOGIN]],tbMAPA[#All],3,0), "Não localizado")</f>
        <v>Jefte Soares Da Silva</v>
      </c>
      <c r="G1143" s="3" t="s">
        <v>298</v>
      </c>
      <c r="H1143" s="3" t="s">
        <v>994</v>
      </c>
    </row>
    <row r="1144" spans="1:8">
      <c r="A1144" s="29">
        <v>42744.383819444447</v>
      </c>
      <c r="B1144" s="29" t="str">
        <f>PROPER(TEXT(tbLOG[[#This Row],[DATA/HORA]],"mmmm"))</f>
        <v>Janeiro</v>
      </c>
      <c r="C1144" s="34" t="str">
        <f>PROPER(TEXT(tbLOG[[#This Row],[DATA/HORA]],"dddd"))</f>
        <v>Segunda-Feira</v>
      </c>
      <c r="D1144" s="3" t="s">
        <v>297</v>
      </c>
      <c r="E1144" s="34" t="str">
        <f>IFERROR(VLOOKUP(tbLOG[[#This Row],[LOGIN]],tbMAPA[#All],2,0), "Não localizado")</f>
        <v>Ivanildo Cavalcante De Souza Junior</v>
      </c>
      <c r="F1144" s="34" t="str">
        <f>IFERROR(VLOOKUP(tbLOG[[#This Row],[LOGIN]],tbMAPA[#All],3,0), "Não localizado")</f>
        <v>Jefte Soares Da Silva</v>
      </c>
      <c r="G1144" s="3" t="s">
        <v>298</v>
      </c>
      <c r="H1144" s="3" t="s">
        <v>291</v>
      </c>
    </row>
    <row r="1145" spans="1:8">
      <c r="A1145" s="29">
        <v>42744.383819444447</v>
      </c>
      <c r="B1145" s="29" t="str">
        <f>PROPER(TEXT(tbLOG[[#This Row],[DATA/HORA]],"mmmm"))</f>
        <v>Janeiro</v>
      </c>
      <c r="C1145" s="34" t="str">
        <f>PROPER(TEXT(tbLOG[[#This Row],[DATA/HORA]],"dddd"))</f>
        <v>Segunda-Feira</v>
      </c>
      <c r="D1145" s="3" t="s">
        <v>297</v>
      </c>
      <c r="E1145" s="34" t="str">
        <f>IFERROR(VLOOKUP(tbLOG[[#This Row],[LOGIN]],tbMAPA[#All],2,0), "Não localizado")</f>
        <v>Ivanildo Cavalcante De Souza Junior</v>
      </c>
      <c r="F1145" s="34" t="str">
        <f>IFERROR(VLOOKUP(tbLOG[[#This Row],[LOGIN]],tbMAPA[#All],3,0), "Não localizado")</f>
        <v>Jefte Soares Da Silva</v>
      </c>
      <c r="G1145" s="3" t="s">
        <v>298</v>
      </c>
      <c r="H1145" s="3" t="s">
        <v>290</v>
      </c>
    </row>
    <row r="1146" spans="1:8">
      <c r="A1146" s="29">
        <v>42744.383935185186</v>
      </c>
      <c r="B1146" s="29" t="str">
        <f>PROPER(TEXT(tbLOG[[#This Row],[DATA/HORA]],"mmmm"))</f>
        <v>Janeiro</v>
      </c>
      <c r="C1146" s="34" t="str">
        <f>PROPER(TEXT(tbLOG[[#This Row],[DATA/HORA]],"dddd"))</f>
        <v>Segunda-Feira</v>
      </c>
      <c r="D1146" s="3" t="s">
        <v>297</v>
      </c>
      <c r="E1146" s="34" t="str">
        <f>IFERROR(VLOOKUP(tbLOG[[#This Row],[LOGIN]],tbMAPA[#All],2,0), "Não localizado")</f>
        <v>Ivanildo Cavalcante De Souza Junior</v>
      </c>
      <c r="F1146" s="34" t="str">
        <f>IFERROR(VLOOKUP(tbLOG[[#This Row],[LOGIN]],tbMAPA[#All],3,0), "Não localizado")</f>
        <v>Jefte Soares Da Silva</v>
      </c>
      <c r="G1146" s="3" t="s">
        <v>298</v>
      </c>
      <c r="H1146" s="3" t="s">
        <v>292</v>
      </c>
    </row>
    <row r="1147" spans="1:8">
      <c r="A1147" s="29">
        <v>42744.383935185186</v>
      </c>
      <c r="B1147" s="29" t="str">
        <f>PROPER(TEXT(tbLOG[[#This Row],[DATA/HORA]],"mmmm"))</f>
        <v>Janeiro</v>
      </c>
      <c r="C1147" s="34" t="str">
        <f>PROPER(TEXT(tbLOG[[#This Row],[DATA/HORA]],"dddd"))</f>
        <v>Segunda-Feira</v>
      </c>
      <c r="D1147" s="3" t="s">
        <v>297</v>
      </c>
      <c r="E1147" s="34" t="str">
        <f>IFERROR(VLOOKUP(tbLOG[[#This Row],[LOGIN]],tbMAPA[#All],2,0), "Não localizado")</f>
        <v>Ivanildo Cavalcante De Souza Junior</v>
      </c>
      <c r="F1147" s="34" t="str">
        <f>IFERROR(VLOOKUP(tbLOG[[#This Row],[LOGIN]],tbMAPA[#All],3,0), "Não localizado")</f>
        <v>Jefte Soares Da Silva</v>
      </c>
      <c r="G1147" s="3" t="s">
        <v>298</v>
      </c>
      <c r="H1147" s="3" t="s">
        <v>994</v>
      </c>
    </row>
    <row r="1148" spans="1:8">
      <c r="A1148" s="29">
        <v>42744.383958333332</v>
      </c>
      <c r="B1148" s="29" t="str">
        <f>PROPER(TEXT(tbLOG[[#This Row],[DATA/HORA]],"mmmm"))</f>
        <v>Janeiro</v>
      </c>
      <c r="C1148" s="34" t="str">
        <f>PROPER(TEXT(tbLOG[[#This Row],[DATA/HORA]],"dddd"))</f>
        <v>Segunda-Feira</v>
      </c>
      <c r="D1148" s="3" t="s">
        <v>297</v>
      </c>
      <c r="E1148" s="34" t="str">
        <f>IFERROR(VLOOKUP(tbLOG[[#This Row],[LOGIN]],tbMAPA[#All],2,0), "Não localizado")</f>
        <v>Ivanildo Cavalcante De Souza Junior</v>
      </c>
      <c r="F1148" s="34" t="str">
        <f>IFERROR(VLOOKUP(tbLOG[[#This Row],[LOGIN]],tbMAPA[#All],3,0), "Não localizado")</f>
        <v>Jefte Soares Da Silva</v>
      </c>
      <c r="G1148" s="3" t="s">
        <v>298</v>
      </c>
      <c r="H1148" s="3" t="s">
        <v>291</v>
      </c>
    </row>
    <row r="1149" spans="1:8">
      <c r="A1149" s="29">
        <v>42744.383958333332</v>
      </c>
      <c r="B1149" s="29" t="str">
        <f>PROPER(TEXT(tbLOG[[#This Row],[DATA/HORA]],"mmmm"))</f>
        <v>Janeiro</v>
      </c>
      <c r="C1149" s="34" t="str">
        <f>PROPER(TEXT(tbLOG[[#This Row],[DATA/HORA]],"dddd"))</f>
        <v>Segunda-Feira</v>
      </c>
      <c r="D1149" s="3" t="s">
        <v>297</v>
      </c>
      <c r="E1149" s="34" t="str">
        <f>IFERROR(VLOOKUP(tbLOG[[#This Row],[LOGIN]],tbMAPA[#All],2,0), "Não localizado")</f>
        <v>Ivanildo Cavalcante De Souza Junior</v>
      </c>
      <c r="F1149" s="34" t="str">
        <f>IFERROR(VLOOKUP(tbLOG[[#This Row],[LOGIN]],tbMAPA[#All],3,0), "Não localizado")</f>
        <v>Jefte Soares Da Silva</v>
      </c>
      <c r="G1149" s="3" t="s">
        <v>298</v>
      </c>
      <c r="H1149" s="3" t="s">
        <v>290</v>
      </c>
    </row>
    <row r="1150" spans="1:8">
      <c r="A1150" s="29">
        <v>42744.384444444448</v>
      </c>
      <c r="B1150" s="29" t="str">
        <f>PROPER(TEXT(tbLOG[[#This Row],[DATA/HORA]],"mmmm"))</f>
        <v>Janeiro</v>
      </c>
      <c r="C1150" s="34" t="str">
        <f>PROPER(TEXT(tbLOG[[#This Row],[DATA/HORA]],"dddd"))</f>
        <v>Segunda-Feira</v>
      </c>
      <c r="D1150" s="3" t="s">
        <v>297</v>
      </c>
      <c r="E1150" s="34" t="str">
        <f>IFERROR(VLOOKUP(tbLOG[[#This Row],[LOGIN]],tbMAPA[#All],2,0), "Não localizado")</f>
        <v>Ivanildo Cavalcante De Souza Junior</v>
      </c>
      <c r="F1150" s="34" t="str">
        <f>IFERROR(VLOOKUP(tbLOG[[#This Row],[LOGIN]],tbMAPA[#All],3,0), "Não localizado")</f>
        <v>Jefte Soares Da Silva</v>
      </c>
      <c r="G1150" s="3" t="s">
        <v>298</v>
      </c>
      <c r="H1150" s="3" t="s">
        <v>1584</v>
      </c>
    </row>
    <row r="1151" spans="1:8">
      <c r="A1151" s="29">
        <v>42744.384444444448</v>
      </c>
      <c r="B1151" s="29" t="str">
        <f>PROPER(TEXT(tbLOG[[#This Row],[DATA/HORA]],"mmmm"))</f>
        <v>Janeiro</v>
      </c>
      <c r="C1151" s="34" t="str">
        <f>PROPER(TEXT(tbLOG[[#This Row],[DATA/HORA]],"dddd"))</f>
        <v>Segunda-Feira</v>
      </c>
      <c r="D1151" s="3" t="s">
        <v>297</v>
      </c>
      <c r="E1151" s="34" t="str">
        <f>IFERROR(VLOOKUP(tbLOG[[#This Row],[LOGIN]],tbMAPA[#All],2,0), "Não localizado")</f>
        <v>Ivanildo Cavalcante De Souza Junior</v>
      </c>
      <c r="F1151" s="34" t="str">
        <f>IFERROR(VLOOKUP(tbLOG[[#This Row],[LOGIN]],tbMAPA[#All],3,0), "Não localizado")</f>
        <v>Jefte Soares Da Silva</v>
      </c>
      <c r="G1151" s="3" t="s">
        <v>298</v>
      </c>
      <c r="H1151" s="3" t="s">
        <v>290</v>
      </c>
    </row>
    <row r="1152" spans="1:8">
      <c r="A1152" s="29">
        <v>42744.385011574072</v>
      </c>
      <c r="B1152" s="29" t="str">
        <f>PROPER(TEXT(tbLOG[[#This Row],[DATA/HORA]],"mmmm"))</f>
        <v>Janeiro</v>
      </c>
      <c r="C1152" s="34" t="str">
        <f>PROPER(TEXT(tbLOG[[#This Row],[DATA/HORA]],"dddd"))</f>
        <v>Segunda-Feira</v>
      </c>
      <c r="D1152" s="3" t="s">
        <v>297</v>
      </c>
      <c r="E1152" s="34" t="str">
        <f>IFERROR(VLOOKUP(tbLOG[[#This Row],[LOGIN]],tbMAPA[#All],2,0), "Não localizado")</f>
        <v>Ivanildo Cavalcante De Souza Junior</v>
      </c>
      <c r="F1152" s="34" t="str">
        <f>IFERROR(VLOOKUP(tbLOG[[#This Row],[LOGIN]],tbMAPA[#All],3,0), "Não localizado")</f>
        <v>Jefte Soares Da Silva</v>
      </c>
      <c r="G1152" s="3" t="s">
        <v>298</v>
      </c>
      <c r="H1152" s="3" t="s">
        <v>292</v>
      </c>
    </row>
    <row r="1153" spans="1:8">
      <c r="A1153" s="29">
        <v>42744.385011574072</v>
      </c>
      <c r="B1153" s="29" t="str">
        <f>PROPER(TEXT(tbLOG[[#This Row],[DATA/HORA]],"mmmm"))</f>
        <v>Janeiro</v>
      </c>
      <c r="C1153" s="34" t="str">
        <f>PROPER(TEXT(tbLOG[[#This Row],[DATA/HORA]],"dddd"))</f>
        <v>Segunda-Feira</v>
      </c>
      <c r="D1153" s="3" t="s">
        <v>297</v>
      </c>
      <c r="E1153" s="34" t="str">
        <f>IFERROR(VLOOKUP(tbLOG[[#This Row],[LOGIN]],tbMAPA[#All],2,0), "Não localizado")</f>
        <v>Ivanildo Cavalcante De Souza Junior</v>
      </c>
      <c r="F1153" s="34" t="str">
        <f>IFERROR(VLOOKUP(tbLOG[[#This Row],[LOGIN]],tbMAPA[#All],3,0), "Não localizado")</f>
        <v>Jefte Soares Da Silva</v>
      </c>
      <c r="G1153" s="3" t="s">
        <v>298</v>
      </c>
      <c r="H1153" s="3" t="s">
        <v>994</v>
      </c>
    </row>
    <row r="1154" spans="1:8">
      <c r="A1154" s="29">
        <v>42744.385069444441</v>
      </c>
      <c r="B1154" s="29" t="str">
        <f>PROPER(TEXT(tbLOG[[#This Row],[DATA/HORA]],"mmmm"))</f>
        <v>Janeiro</v>
      </c>
      <c r="C1154" s="34" t="str">
        <f>PROPER(TEXT(tbLOG[[#This Row],[DATA/HORA]],"dddd"))</f>
        <v>Segunda-Feira</v>
      </c>
      <c r="D1154" s="3" t="s">
        <v>297</v>
      </c>
      <c r="E1154" s="34" t="str">
        <f>IFERROR(VLOOKUP(tbLOG[[#This Row],[LOGIN]],tbMAPA[#All],2,0), "Não localizado")</f>
        <v>Ivanildo Cavalcante De Souza Junior</v>
      </c>
      <c r="F1154" s="34" t="str">
        <f>IFERROR(VLOOKUP(tbLOG[[#This Row],[LOGIN]],tbMAPA[#All],3,0), "Não localizado")</f>
        <v>Jefte Soares Da Silva</v>
      </c>
      <c r="G1154" s="3" t="s">
        <v>298</v>
      </c>
      <c r="H1154" s="3" t="s">
        <v>299</v>
      </c>
    </row>
    <row r="1155" spans="1:8">
      <c r="A1155" s="29">
        <v>42744.386006944442</v>
      </c>
      <c r="B1155" s="29" t="str">
        <f>PROPER(TEXT(tbLOG[[#This Row],[DATA/HORA]],"mmmm"))</f>
        <v>Janeiro</v>
      </c>
      <c r="C1155" s="34" t="str">
        <f>PROPER(TEXT(tbLOG[[#This Row],[DATA/HORA]],"dddd"))</f>
        <v>Segunda-Feira</v>
      </c>
      <c r="D1155" s="3" t="s">
        <v>297</v>
      </c>
      <c r="E1155" s="34" t="str">
        <f>IFERROR(VLOOKUP(tbLOG[[#This Row],[LOGIN]],tbMAPA[#All],2,0), "Não localizado")</f>
        <v>Ivanildo Cavalcante De Souza Junior</v>
      </c>
      <c r="F1155" s="34" t="str">
        <f>IFERROR(VLOOKUP(tbLOG[[#This Row],[LOGIN]],tbMAPA[#All],3,0), "Não localizado")</f>
        <v>Jefte Soares Da Silva</v>
      </c>
      <c r="G1155" s="3" t="s">
        <v>298</v>
      </c>
      <c r="H1155" s="3" t="s">
        <v>292</v>
      </c>
    </row>
    <row r="1156" spans="1:8">
      <c r="A1156" s="29">
        <v>42744.386030092595</v>
      </c>
      <c r="B1156" s="29" t="str">
        <f>PROPER(TEXT(tbLOG[[#This Row],[DATA/HORA]],"mmmm"))</f>
        <v>Janeiro</v>
      </c>
      <c r="C1156" s="34" t="str">
        <f>PROPER(TEXT(tbLOG[[#This Row],[DATA/HORA]],"dddd"))</f>
        <v>Segunda-Feira</v>
      </c>
      <c r="D1156" s="3" t="s">
        <v>297</v>
      </c>
      <c r="E1156" s="34" t="str">
        <f>IFERROR(VLOOKUP(tbLOG[[#This Row],[LOGIN]],tbMAPA[#All],2,0), "Não localizado")</f>
        <v>Ivanildo Cavalcante De Souza Junior</v>
      </c>
      <c r="F1156" s="34" t="str">
        <f>IFERROR(VLOOKUP(tbLOG[[#This Row],[LOGIN]],tbMAPA[#All],3,0), "Não localizado")</f>
        <v>Jefte Soares Da Silva</v>
      </c>
      <c r="G1156" s="3" t="s">
        <v>298</v>
      </c>
      <c r="H1156" s="3" t="s">
        <v>291</v>
      </c>
    </row>
    <row r="1157" spans="1:8">
      <c r="A1157" s="29">
        <v>42744.386030092595</v>
      </c>
      <c r="B1157" s="29" t="str">
        <f>PROPER(TEXT(tbLOG[[#This Row],[DATA/HORA]],"mmmm"))</f>
        <v>Janeiro</v>
      </c>
      <c r="C1157" s="34" t="str">
        <f>PROPER(TEXT(tbLOG[[#This Row],[DATA/HORA]],"dddd"))</f>
        <v>Segunda-Feira</v>
      </c>
      <c r="D1157" s="3" t="s">
        <v>297</v>
      </c>
      <c r="E1157" s="34" t="str">
        <f>IFERROR(VLOOKUP(tbLOG[[#This Row],[LOGIN]],tbMAPA[#All],2,0), "Não localizado")</f>
        <v>Ivanildo Cavalcante De Souza Junior</v>
      </c>
      <c r="F1157" s="34" t="str">
        <f>IFERROR(VLOOKUP(tbLOG[[#This Row],[LOGIN]],tbMAPA[#All],3,0), "Não localizado")</f>
        <v>Jefte Soares Da Silva</v>
      </c>
      <c r="G1157" s="3" t="s">
        <v>298</v>
      </c>
      <c r="H1157" s="3" t="s">
        <v>290</v>
      </c>
    </row>
    <row r="1158" spans="1:8">
      <c r="A1158" s="29">
        <v>42744.389062499999</v>
      </c>
      <c r="B1158" s="29" t="str">
        <f>PROPER(TEXT(tbLOG[[#This Row],[DATA/HORA]],"mmmm"))</f>
        <v>Janeiro</v>
      </c>
      <c r="C1158" s="34" t="str">
        <f>PROPER(TEXT(tbLOG[[#This Row],[DATA/HORA]],"dddd"))</f>
        <v>Segunda-Feira</v>
      </c>
      <c r="D1158" s="3" t="s">
        <v>300</v>
      </c>
      <c r="E1158" s="34" t="str">
        <f>IFERROR(VLOOKUP(tbLOG[[#This Row],[LOGIN]],tbMAPA[#All],2,0), "Não localizado")</f>
        <v>Jefte Soares Da Silva</v>
      </c>
      <c r="F1158" s="34" t="str">
        <f>IFERROR(VLOOKUP(tbLOG[[#This Row],[LOGIN]],tbMAPA[#All],3,0), "Não localizado")</f>
        <v>Daniela Andrade Silva</v>
      </c>
      <c r="G1158" s="3" t="s">
        <v>1000</v>
      </c>
      <c r="H1158" s="3" t="s">
        <v>1585</v>
      </c>
    </row>
    <row r="1159" spans="1:8">
      <c r="A1159" s="29">
        <v>42744.389062499999</v>
      </c>
      <c r="B1159" s="29" t="str">
        <f>PROPER(TEXT(tbLOG[[#This Row],[DATA/HORA]],"mmmm"))</f>
        <v>Janeiro</v>
      </c>
      <c r="C1159" s="34" t="str">
        <f>PROPER(TEXT(tbLOG[[#This Row],[DATA/HORA]],"dddd"))</f>
        <v>Segunda-Feira</v>
      </c>
      <c r="D1159" s="3" t="s">
        <v>300</v>
      </c>
      <c r="E1159" s="34" t="str">
        <f>IFERROR(VLOOKUP(tbLOG[[#This Row],[LOGIN]],tbMAPA[#All],2,0), "Não localizado")</f>
        <v>Jefte Soares Da Silva</v>
      </c>
      <c r="F1159" s="34" t="str">
        <f>IFERROR(VLOOKUP(tbLOG[[#This Row],[LOGIN]],tbMAPA[#All],3,0), "Não localizado")</f>
        <v>Daniela Andrade Silva</v>
      </c>
      <c r="G1159" s="3" t="s">
        <v>1000</v>
      </c>
      <c r="H1159" s="3" t="s">
        <v>290</v>
      </c>
    </row>
    <row r="1160" spans="1:8">
      <c r="A1160" s="29">
        <v>42744.390208333331</v>
      </c>
      <c r="B1160" s="29" t="str">
        <f>PROPER(TEXT(tbLOG[[#This Row],[DATA/HORA]],"mmmm"))</f>
        <v>Janeiro</v>
      </c>
      <c r="C1160" s="34" t="str">
        <f>PROPER(TEXT(tbLOG[[#This Row],[DATA/HORA]],"dddd"))</f>
        <v>Segunda-Feira</v>
      </c>
      <c r="D1160" s="3" t="s">
        <v>300</v>
      </c>
      <c r="E1160" s="34" t="str">
        <f>IFERROR(VLOOKUP(tbLOG[[#This Row],[LOGIN]],tbMAPA[#All],2,0), "Não localizado")</f>
        <v>Jefte Soares Da Silva</v>
      </c>
      <c r="F1160" s="34" t="str">
        <f>IFERROR(VLOOKUP(tbLOG[[#This Row],[LOGIN]],tbMAPA[#All],3,0), "Não localizado")</f>
        <v>Daniela Andrade Silva</v>
      </c>
      <c r="G1160" s="3" t="s">
        <v>1000</v>
      </c>
      <c r="H1160" s="3" t="s">
        <v>1586</v>
      </c>
    </row>
    <row r="1161" spans="1:8">
      <c r="A1161" s="29">
        <v>42744.390208333331</v>
      </c>
      <c r="B1161" s="29" t="str">
        <f>PROPER(TEXT(tbLOG[[#This Row],[DATA/HORA]],"mmmm"))</f>
        <v>Janeiro</v>
      </c>
      <c r="C1161" s="34" t="str">
        <f>PROPER(TEXT(tbLOG[[#This Row],[DATA/HORA]],"dddd"))</f>
        <v>Segunda-Feira</v>
      </c>
      <c r="D1161" s="3" t="s">
        <v>300</v>
      </c>
      <c r="E1161" s="34" t="str">
        <f>IFERROR(VLOOKUP(tbLOG[[#This Row],[LOGIN]],tbMAPA[#All],2,0), "Não localizado")</f>
        <v>Jefte Soares Da Silva</v>
      </c>
      <c r="F1161" s="34" t="str">
        <f>IFERROR(VLOOKUP(tbLOG[[#This Row],[LOGIN]],tbMAPA[#All],3,0), "Não localizado")</f>
        <v>Daniela Andrade Silva</v>
      </c>
      <c r="G1161" s="3" t="s">
        <v>1000</v>
      </c>
      <c r="H1161" s="3" t="s">
        <v>290</v>
      </c>
    </row>
    <row r="1162" spans="1:8">
      <c r="A1162" s="29">
        <v>42744.391076388885</v>
      </c>
      <c r="B1162" s="29" t="str">
        <f>PROPER(TEXT(tbLOG[[#This Row],[DATA/HORA]],"mmmm"))</f>
        <v>Janeiro</v>
      </c>
      <c r="C1162" s="34" t="str">
        <f>PROPER(TEXT(tbLOG[[#This Row],[DATA/HORA]],"dddd"))</f>
        <v>Segunda-Feira</v>
      </c>
      <c r="D1162" s="3" t="s">
        <v>319</v>
      </c>
      <c r="E1162" s="34" t="str">
        <f>IFERROR(VLOOKUP(tbLOG[[#This Row],[LOGIN]],tbMAPA[#All],2,0), "Não localizado")</f>
        <v>Jonatas Gomes Tenorio</v>
      </c>
      <c r="F1162" s="34" t="str">
        <f>IFERROR(VLOOKUP(tbLOG[[#This Row],[LOGIN]],tbMAPA[#All],3,0), "Não localizado")</f>
        <v>Jefte Soares Da Silva</v>
      </c>
      <c r="G1162" s="3" t="s">
        <v>1587</v>
      </c>
      <c r="H1162" s="3" t="s">
        <v>1588</v>
      </c>
    </row>
    <row r="1163" spans="1:8">
      <c r="A1163" s="29">
        <v>42744.391087962962</v>
      </c>
      <c r="B1163" s="29" t="str">
        <f>PROPER(TEXT(tbLOG[[#This Row],[DATA/HORA]],"mmmm"))</f>
        <v>Janeiro</v>
      </c>
      <c r="C1163" s="34" t="str">
        <f>PROPER(TEXT(tbLOG[[#This Row],[DATA/HORA]],"dddd"))</f>
        <v>Segunda-Feira</v>
      </c>
      <c r="D1163" s="3" t="s">
        <v>319</v>
      </c>
      <c r="E1163" s="34" t="str">
        <f>IFERROR(VLOOKUP(tbLOG[[#This Row],[LOGIN]],tbMAPA[#All],2,0), "Não localizado")</f>
        <v>Jonatas Gomes Tenorio</v>
      </c>
      <c r="F1163" s="34" t="str">
        <f>IFERROR(VLOOKUP(tbLOG[[#This Row],[LOGIN]],tbMAPA[#All],3,0), "Não localizado")</f>
        <v>Jefte Soares Da Silva</v>
      </c>
      <c r="G1163" s="3" t="s">
        <v>1587</v>
      </c>
      <c r="H1163" s="3" t="s">
        <v>290</v>
      </c>
    </row>
    <row r="1164" spans="1:8">
      <c r="A1164" s="29">
        <v>42744.393043981479</v>
      </c>
      <c r="B1164" s="29" t="str">
        <f>PROPER(TEXT(tbLOG[[#This Row],[DATA/HORA]],"mmmm"))</f>
        <v>Janeiro</v>
      </c>
      <c r="C1164" s="34" t="str">
        <f>PROPER(TEXT(tbLOG[[#This Row],[DATA/HORA]],"dddd"))</f>
        <v>Segunda-Feira</v>
      </c>
      <c r="D1164" s="3" t="s">
        <v>297</v>
      </c>
      <c r="E1164" s="34" t="str">
        <f>IFERROR(VLOOKUP(tbLOG[[#This Row],[LOGIN]],tbMAPA[#All],2,0), "Não localizado")</f>
        <v>Ivanildo Cavalcante De Souza Junior</v>
      </c>
      <c r="F1164" s="34" t="str">
        <f>IFERROR(VLOOKUP(tbLOG[[#This Row],[LOGIN]],tbMAPA[#All],3,0), "Não localizado")</f>
        <v>Jefte Soares Da Silva</v>
      </c>
      <c r="G1164" s="3" t="s">
        <v>298</v>
      </c>
      <c r="H1164" s="3" t="s">
        <v>292</v>
      </c>
    </row>
    <row r="1165" spans="1:8">
      <c r="A1165" s="29">
        <v>42744.393043981479</v>
      </c>
      <c r="B1165" s="29" t="str">
        <f>PROPER(TEXT(tbLOG[[#This Row],[DATA/HORA]],"mmmm"))</f>
        <v>Janeiro</v>
      </c>
      <c r="C1165" s="34" t="str">
        <f>PROPER(TEXT(tbLOG[[#This Row],[DATA/HORA]],"dddd"))</f>
        <v>Segunda-Feira</v>
      </c>
      <c r="D1165" s="3" t="s">
        <v>297</v>
      </c>
      <c r="E1165" s="34" t="str">
        <f>IFERROR(VLOOKUP(tbLOG[[#This Row],[LOGIN]],tbMAPA[#All],2,0), "Não localizado")</f>
        <v>Ivanildo Cavalcante De Souza Junior</v>
      </c>
      <c r="F1165" s="34" t="str">
        <f>IFERROR(VLOOKUP(tbLOG[[#This Row],[LOGIN]],tbMAPA[#All],3,0), "Não localizado")</f>
        <v>Jefte Soares Da Silva</v>
      </c>
      <c r="G1165" s="3" t="s">
        <v>298</v>
      </c>
      <c r="H1165" s="3" t="s">
        <v>994</v>
      </c>
    </row>
    <row r="1166" spans="1:8">
      <c r="A1166" s="29">
        <v>42744.393321759257</v>
      </c>
      <c r="B1166" s="29" t="str">
        <f>PROPER(TEXT(tbLOG[[#This Row],[DATA/HORA]],"mmmm"))</f>
        <v>Janeiro</v>
      </c>
      <c r="C1166" s="34" t="str">
        <f>PROPER(TEXT(tbLOG[[#This Row],[DATA/HORA]],"dddd"))</f>
        <v>Segunda-Feira</v>
      </c>
      <c r="D1166" s="3" t="s">
        <v>297</v>
      </c>
      <c r="E1166" s="34" t="str">
        <f>IFERROR(VLOOKUP(tbLOG[[#This Row],[LOGIN]],tbMAPA[#All],2,0), "Não localizado")</f>
        <v>Ivanildo Cavalcante De Souza Junior</v>
      </c>
      <c r="F1166" s="34" t="str">
        <f>IFERROR(VLOOKUP(tbLOG[[#This Row],[LOGIN]],tbMAPA[#All],3,0), "Não localizado")</f>
        <v>Jefte Soares Da Silva</v>
      </c>
      <c r="G1166" s="3" t="s">
        <v>298</v>
      </c>
      <c r="H1166" s="3" t="s">
        <v>291</v>
      </c>
    </row>
    <row r="1167" spans="1:8">
      <c r="A1167" s="29">
        <v>42744.393321759257</v>
      </c>
      <c r="B1167" s="29" t="str">
        <f>PROPER(TEXT(tbLOG[[#This Row],[DATA/HORA]],"mmmm"))</f>
        <v>Janeiro</v>
      </c>
      <c r="C1167" s="34" t="str">
        <f>PROPER(TEXT(tbLOG[[#This Row],[DATA/HORA]],"dddd"))</f>
        <v>Segunda-Feira</v>
      </c>
      <c r="D1167" s="3" t="s">
        <v>297</v>
      </c>
      <c r="E1167" s="34" t="str">
        <f>IFERROR(VLOOKUP(tbLOG[[#This Row],[LOGIN]],tbMAPA[#All],2,0), "Não localizado")</f>
        <v>Ivanildo Cavalcante De Souza Junior</v>
      </c>
      <c r="F1167" s="34" t="str">
        <f>IFERROR(VLOOKUP(tbLOG[[#This Row],[LOGIN]],tbMAPA[#All],3,0), "Não localizado")</f>
        <v>Jefte Soares Da Silva</v>
      </c>
      <c r="G1167" s="3" t="s">
        <v>298</v>
      </c>
      <c r="H1167" s="3" t="s">
        <v>290</v>
      </c>
    </row>
    <row r="1168" spans="1:8">
      <c r="A1168" s="29">
        <v>42744.398229166669</v>
      </c>
      <c r="B1168" s="29" t="str">
        <f>PROPER(TEXT(tbLOG[[#This Row],[DATA/HORA]],"mmmm"))</f>
        <v>Janeiro</v>
      </c>
      <c r="C1168" s="34" t="str">
        <f>PROPER(TEXT(tbLOG[[#This Row],[DATA/HORA]],"dddd"))</f>
        <v>Segunda-Feira</v>
      </c>
      <c r="D1168" s="3" t="s">
        <v>297</v>
      </c>
      <c r="E1168" s="34" t="str">
        <f>IFERROR(VLOOKUP(tbLOG[[#This Row],[LOGIN]],tbMAPA[#All],2,0), "Não localizado")</f>
        <v>Ivanildo Cavalcante De Souza Junior</v>
      </c>
      <c r="F1168" s="34" t="str">
        <f>IFERROR(VLOOKUP(tbLOG[[#This Row],[LOGIN]],tbMAPA[#All],3,0), "Não localizado")</f>
        <v>Jefte Soares Da Silva</v>
      </c>
      <c r="G1168" s="3" t="s">
        <v>298</v>
      </c>
      <c r="H1168" s="3" t="s">
        <v>292</v>
      </c>
    </row>
    <row r="1169" spans="1:8">
      <c r="A1169" s="29">
        <v>42744.398229166669</v>
      </c>
      <c r="B1169" s="29" t="str">
        <f>PROPER(TEXT(tbLOG[[#This Row],[DATA/HORA]],"mmmm"))</f>
        <v>Janeiro</v>
      </c>
      <c r="C1169" s="34" t="str">
        <f>PROPER(TEXT(tbLOG[[#This Row],[DATA/HORA]],"dddd"))</f>
        <v>Segunda-Feira</v>
      </c>
      <c r="D1169" s="3" t="s">
        <v>297</v>
      </c>
      <c r="E1169" s="34" t="str">
        <f>IFERROR(VLOOKUP(tbLOG[[#This Row],[LOGIN]],tbMAPA[#All],2,0), "Não localizado")</f>
        <v>Ivanildo Cavalcante De Souza Junior</v>
      </c>
      <c r="F1169" s="34" t="str">
        <f>IFERROR(VLOOKUP(tbLOG[[#This Row],[LOGIN]],tbMAPA[#All],3,0), "Não localizado")</f>
        <v>Jefte Soares Da Silva</v>
      </c>
      <c r="G1169" s="3" t="s">
        <v>298</v>
      </c>
      <c r="H1169" s="3" t="s">
        <v>994</v>
      </c>
    </row>
    <row r="1170" spans="1:8">
      <c r="A1170" s="29">
        <v>42744.398518518516</v>
      </c>
      <c r="B1170" s="29" t="str">
        <f>PROPER(TEXT(tbLOG[[#This Row],[DATA/HORA]],"mmmm"))</f>
        <v>Janeiro</v>
      </c>
      <c r="C1170" s="34" t="str">
        <f>PROPER(TEXT(tbLOG[[#This Row],[DATA/HORA]],"dddd"))</f>
        <v>Segunda-Feira</v>
      </c>
      <c r="D1170" s="3" t="s">
        <v>297</v>
      </c>
      <c r="E1170" s="34" t="str">
        <f>IFERROR(VLOOKUP(tbLOG[[#This Row],[LOGIN]],tbMAPA[#All],2,0), "Não localizado")</f>
        <v>Ivanildo Cavalcante De Souza Junior</v>
      </c>
      <c r="F1170" s="34" t="str">
        <f>IFERROR(VLOOKUP(tbLOG[[#This Row],[LOGIN]],tbMAPA[#All],3,0), "Não localizado")</f>
        <v>Jefte Soares Da Silva</v>
      </c>
      <c r="G1170" s="3" t="s">
        <v>298</v>
      </c>
      <c r="H1170" s="3" t="s">
        <v>291</v>
      </c>
    </row>
    <row r="1171" spans="1:8">
      <c r="A1171" s="29">
        <v>42744.398518518516</v>
      </c>
      <c r="B1171" s="29" t="str">
        <f>PROPER(TEXT(tbLOG[[#This Row],[DATA/HORA]],"mmmm"))</f>
        <v>Janeiro</v>
      </c>
      <c r="C1171" s="34" t="str">
        <f>PROPER(TEXT(tbLOG[[#This Row],[DATA/HORA]],"dddd"))</f>
        <v>Segunda-Feira</v>
      </c>
      <c r="D1171" s="3" t="s">
        <v>297</v>
      </c>
      <c r="E1171" s="34" t="str">
        <f>IFERROR(VLOOKUP(tbLOG[[#This Row],[LOGIN]],tbMAPA[#All],2,0), "Não localizado")</f>
        <v>Ivanildo Cavalcante De Souza Junior</v>
      </c>
      <c r="F1171" s="34" t="str">
        <f>IFERROR(VLOOKUP(tbLOG[[#This Row],[LOGIN]],tbMAPA[#All],3,0), "Não localizado")</f>
        <v>Jefte Soares Da Silva</v>
      </c>
      <c r="G1171" s="3" t="s">
        <v>298</v>
      </c>
      <c r="H1171" s="3" t="s">
        <v>290</v>
      </c>
    </row>
    <row r="1172" spans="1:8">
      <c r="A1172" s="29">
        <v>42744.398645833331</v>
      </c>
      <c r="B1172" s="29" t="str">
        <f>PROPER(TEXT(tbLOG[[#This Row],[DATA/HORA]],"mmmm"))</f>
        <v>Janeiro</v>
      </c>
      <c r="C1172" s="34" t="str">
        <f>PROPER(TEXT(tbLOG[[#This Row],[DATA/HORA]],"dddd"))</f>
        <v>Segunda-Feira</v>
      </c>
      <c r="D1172" s="3" t="s">
        <v>297</v>
      </c>
      <c r="E1172" s="34" t="str">
        <f>IFERROR(VLOOKUP(tbLOG[[#This Row],[LOGIN]],tbMAPA[#All],2,0), "Não localizado")</f>
        <v>Ivanildo Cavalcante De Souza Junior</v>
      </c>
      <c r="F1172" s="34" t="str">
        <f>IFERROR(VLOOKUP(tbLOG[[#This Row],[LOGIN]],tbMAPA[#All],3,0), "Não localizado")</f>
        <v>Jefte Soares Da Silva</v>
      </c>
      <c r="G1172" s="3" t="s">
        <v>298</v>
      </c>
      <c r="H1172" s="3" t="s">
        <v>292</v>
      </c>
    </row>
    <row r="1173" spans="1:8">
      <c r="A1173" s="29">
        <v>42744.398645833331</v>
      </c>
      <c r="B1173" s="29" t="str">
        <f>PROPER(TEXT(tbLOG[[#This Row],[DATA/HORA]],"mmmm"))</f>
        <v>Janeiro</v>
      </c>
      <c r="C1173" s="34" t="str">
        <f>PROPER(TEXT(tbLOG[[#This Row],[DATA/HORA]],"dddd"))</f>
        <v>Segunda-Feira</v>
      </c>
      <c r="D1173" s="3" t="s">
        <v>297</v>
      </c>
      <c r="E1173" s="34" t="str">
        <f>IFERROR(VLOOKUP(tbLOG[[#This Row],[LOGIN]],tbMAPA[#All],2,0), "Não localizado")</f>
        <v>Ivanildo Cavalcante De Souza Junior</v>
      </c>
      <c r="F1173" s="34" t="str">
        <f>IFERROR(VLOOKUP(tbLOG[[#This Row],[LOGIN]],tbMAPA[#All],3,0), "Não localizado")</f>
        <v>Jefte Soares Da Silva</v>
      </c>
      <c r="G1173" s="3" t="s">
        <v>298</v>
      </c>
      <c r="H1173" s="3" t="s">
        <v>994</v>
      </c>
    </row>
    <row r="1174" spans="1:8">
      <c r="A1174" s="29">
        <v>42744.398657407408</v>
      </c>
      <c r="B1174" s="29" t="str">
        <f>PROPER(TEXT(tbLOG[[#This Row],[DATA/HORA]],"mmmm"))</f>
        <v>Janeiro</v>
      </c>
      <c r="C1174" s="34" t="str">
        <f>PROPER(TEXT(tbLOG[[#This Row],[DATA/HORA]],"dddd"))</f>
        <v>Segunda-Feira</v>
      </c>
      <c r="D1174" s="3" t="s">
        <v>297</v>
      </c>
      <c r="E1174" s="34" t="str">
        <f>IFERROR(VLOOKUP(tbLOG[[#This Row],[LOGIN]],tbMAPA[#All],2,0), "Não localizado")</f>
        <v>Ivanildo Cavalcante De Souza Junior</v>
      </c>
      <c r="F1174" s="34" t="str">
        <f>IFERROR(VLOOKUP(tbLOG[[#This Row],[LOGIN]],tbMAPA[#All],3,0), "Não localizado")</f>
        <v>Jefte Soares Da Silva</v>
      </c>
      <c r="G1174" s="3" t="s">
        <v>298</v>
      </c>
      <c r="H1174" s="3" t="s">
        <v>291</v>
      </c>
    </row>
    <row r="1175" spans="1:8">
      <c r="A1175" s="29">
        <v>42744.398657407408</v>
      </c>
      <c r="B1175" s="29" t="str">
        <f>PROPER(TEXT(tbLOG[[#This Row],[DATA/HORA]],"mmmm"))</f>
        <v>Janeiro</v>
      </c>
      <c r="C1175" s="34" t="str">
        <f>PROPER(TEXT(tbLOG[[#This Row],[DATA/HORA]],"dddd"))</f>
        <v>Segunda-Feira</v>
      </c>
      <c r="D1175" s="3" t="s">
        <v>297</v>
      </c>
      <c r="E1175" s="34" t="str">
        <f>IFERROR(VLOOKUP(tbLOG[[#This Row],[LOGIN]],tbMAPA[#All],2,0), "Não localizado")</f>
        <v>Ivanildo Cavalcante De Souza Junior</v>
      </c>
      <c r="F1175" s="34" t="str">
        <f>IFERROR(VLOOKUP(tbLOG[[#This Row],[LOGIN]],tbMAPA[#All],3,0), "Não localizado")</f>
        <v>Jefte Soares Da Silva</v>
      </c>
      <c r="G1175" s="3" t="s">
        <v>298</v>
      </c>
      <c r="H1175" s="3" t="s">
        <v>290</v>
      </c>
    </row>
    <row r="1176" spans="1:8">
      <c r="A1176" s="29">
        <v>42744.39912037037</v>
      </c>
      <c r="B1176" s="29" t="str">
        <f>PROPER(TEXT(tbLOG[[#This Row],[DATA/HORA]],"mmmm"))</f>
        <v>Janeiro</v>
      </c>
      <c r="C1176" s="34" t="str">
        <f>PROPER(TEXT(tbLOG[[#This Row],[DATA/HORA]],"dddd"))</f>
        <v>Segunda-Feira</v>
      </c>
      <c r="D1176" s="3" t="s">
        <v>319</v>
      </c>
      <c r="E1176" s="34" t="str">
        <f>IFERROR(VLOOKUP(tbLOG[[#This Row],[LOGIN]],tbMAPA[#All],2,0), "Não localizado")</f>
        <v>Jonatas Gomes Tenorio</v>
      </c>
      <c r="F1176" s="34" t="str">
        <f>IFERROR(VLOOKUP(tbLOG[[#This Row],[LOGIN]],tbMAPA[#All],3,0), "Não localizado")</f>
        <v>Jefte Soares Da Silva</v>
      </c>
      <c r="G1176" s="3" t="s">
        <v>1587</v>
      </c>
      <c r="H1176" s="3" t="s">
        <v>1588</v>
      </c>
    </row>
    <row r="1177" spans="1:8">
      <c r="A1177" s="29">
        <v>42744.39912037037</v>
      </c>
      <c r="B1177" s="29" t="str">
        <f>PROPER(TEXT(tbLOG[[#This Row],[DATA/HORA]],"mmmm"))</f>
        <v>Janeiro</v>
      </c>
      <c r="C1177" s="34" t="str">
        <f>PROPER(TEXT(tbLOG[[#This Row],[DATA/HORA]],"dddd"))</f>
        <v>Segunda-Feira</v>
      </c>
      <c r="D1177" s="3" t="s">
        <v>319</v>
      </c>
      <c r="E1177" s="34" t="str">
        <f>IFERROR(VLOOKUP(tbLOG[[#This Row],[LOGIN]],tbMAPA[#All],2,0), "Não localizado")</f>
        <v>Jonatas Gomes Tenorio</v>
      </c>
      <c r="F1177" s="34" t="str">
        <f>IFERROR(VLOOKUP(tbLOG[[#This Row],[LOGIN]],tbMAPA[#All],3,0), "Não localizado")</f>
        <v>Jefte Soares Da Silva</v>
      </c>
      <c r="G1177" s="3" t="s">
        <v>1587</v>
      </c>
      <c r="H1177" s="3" t="s">
        <v>290</v>
      </c>
    </row>
    <row r="1178" spans="1:8">
      <c r="A1178" s="29">
        <v>42744.399340277778</v>
      </c>
      <c r="B1178" s="29" t="str">
        <f>PROPER(TEXT(tbLOG[[#This Row],[DATA/HORA]],"mmmm"))</f>
        <v>Janeiro</v>
      </c>
      <c r="C1178" s="34" t="str">
        <f>PROPER(TEXT(tbLOG[[#This Row],[DATA/HORA]],"dddd"))</f>
        <v>Segunda-Feira</v>
      </c>
      <c r="D1178" s="3" t="s">
        <v>297</v>
      </c>
      <c r="E1178" s="34" t="str">
        <f>IFERROR(VLOOKUP(tbLOG[[#This Row],[LOGIN]],tbMAPA[#All],2,0), "Não localizado")</f>
        <v>Ivanildo Cavalcante De Souza Junior</v>
      </c>
      <c r="F1178" s="34" t="str">
        <f>IFERROR(VLOOKUP(tbLOG[[#This Row],[LOGIN]],tbMAPA[#All],3,0), "Não localizado")</f>
        <v>Jefte Soares Da Silva</v>
      </c>
      <c r="G1178" s="3" t="s">
        <v>298</v>
      </c>
      <c r="H1178" s="3" t="s">
        <v>292</v>
      </c>
    </row>
    <row r="1179" spans="1:8">
      <c r="A1179" s="29">
        <v>42744.399340277778</v>
      </c>
      <c r="B1179" s="29" t="str">
        <f>PROPER(TEXT(tbLOG[[#This Row],[DATA/HORA]],"mmmm"))</f>
        <v>Janeiro</v>
      </c>
      <c r="C1179" s="34" t="str">
        <f>PROPER(TEXT(tbLOG[[#This Row],[DATA/HORA]],"dddd"))</f>
        <v>Segunda-Feira</v>
      </c>
      <c r="D1179" s="3" t="s">
        <v>297</v>
      </c>
      <c r="E1179" s="34" t="str">
        <f>IFERROR(VLOOKUP(tbLOG[[#This Row],[LOGIN]],tbMAPA[#All],2,0), "Não localizado")</f>
        <v>Ivanildo Cavalcante De Souza Junior</v>
      </c>
      <c r="F1179" s="34" t="str">
        <f>IFERROR(VLOOKUP(tbLOG[[#This Row],[LOGIN]],tbMAPA[#All],3,0), "Não localizado")</f>
        <v>Jefte Soares Da Silva</v>
      </c>
      <c r="G1179" s="3" t="s">
        <v>298</v>
      </c>
      <c r="H1179" s="3" t="s">
        <v>994</v>
      </c>
    </row>
    <row r="1180" spans="1:8">
      <c r="A1180" s="29">
        <v>42744.399398148147</v>
      </c>
      <c r="B1180" s="29" t="str">
        <f>PROPER(TEXT(tbLOG[[#This Row],[DATA/HORA]],"mmmm"))</f>
        <v>Janeiro</v>
      </c>
      <c r="C1180" s="34" t="str">
        <f>PROPER(TEXT(tbLOG[[#This Row],[DATA/HORA]],"dddd"))</f>
        <v>Segunda-Feira</v>
      </c>
      <c r="D1180" s="3" t="s">
        <v>297</v>
      </c>
      <c r="E1180" s="34" t="str">
        <f>IFERROR(VLOOKUP(tbLOG[[#This Row],[LOGIN]],tbMAPA[#All],2,0), "Não localizado")</f>
        <v>Ivanildo Cavalcante De Souza Junior</v>
      </c>
      <c r="F1180" s="34" t="str">
        <f>IFERROR(VLOOKUP(tbLOG[[#This Row],[LOGIN]],tbMAPA[#All],3,0), "Não localizado")</f>
        <v>Jefte Soares Da Silva</v>
      </c>
      <c r="G1180" s="3" t="s">
        <v>298</v>
      </c>
      <c r="H1180" s="3" t="s">
        <v>299</v>
      </c>
    </row>
    <row r="1181" spans="1:8">
      <c r="A1181" s="29">
        <v>42744.399409722224</v>
      </c>
      <c r="B1181" s="29" t="str">
        <f>PROPER(TEXT(tbLOG[[#This Row],[DATA/HORA]],"mmmm"))</f>
        <v>Janeiro</v>
      </c>
      <c r="C1181" s="34" t="str">
        <f>PROPER(TEXT(tbLOG[[#This Row],[DATA/HORA]],"dddd"))</f>
        <v>Segunda-Feira</v>
      </c>
      <c r="D1181" s="3" t="s">
        <v>297</v>
      </c>
      <c r="E1181" s="34" t="str">
        <f>IFERROR(VLOOKUP(tbLOG[[#This Row],[LOGIN]],tbMAPA[#All],2,0), "Não localizado")</f>
        <v>Ivanildo Cavalcante De Souza Junior</v>
      </c>
      <c r="F1181" s="34" t="str">
        <f>IFERROR(VLOOKUP(tbLOG[[#This Row],[LOGIN]],tbMAPA[#All],3,0), "Não localizado")</f>
        <v>Jefte Soares Da Silva</v>
      </c>
      <c r="G1181" s="3" t="s">
        <v>298</v>
      </c>
      <c r="H1181" s="3" t="s">
        <v>331</v>
      </c>
    </row>
    <row r="1182" spans="1:8">
      <c r="A1182" s="29">
        <v>42744.400243055556</v>
      </c>
      <c r="B1182" s="29" t="str">
        <f>PROPER(TEXT(tbLOG[[#This Row],[DATA/HORA]],"mmmm"))</f>
        <v>Janeiro</v>
      </c>
      <c r="C1182" s="34" t="str">
        <f>PROPER(TEXT(tbLOG[[#This Row],[DATA/HORA]],"dddd"))</f>
        <v>Segunda-Feira</v>
      </c>
      <c r="D1182" s="3" t="s">
        <v>297</v>
      </c>
      <c r="E1182" s="34" t="str">
        <f>IFERROR(VLOOKUP(tbLOG[[#This Row],[LOGIN]],tbMAPA[#All],2,0), "Não localizado")</f>
        <v>Ivanildo Cavalcante De Souza Junior</v>
      </c>
      <c r="F1182" s="34" t="str">
        <f>IFERROR(VLOOKUP(tbLOG[[#This Row],[LOGIN]],tbMAPA[#All],3,0), "Não localizado")</f>
        <v>Jefte Soares Da Silva</v>
      </c>
      <c r="G1182" s="3" t="s">
        <v>298</v>
      </c>
      <c r="H1182" s="3" t="s">
        <v>291</v>
      </c>
    </row>
    <row r="1183" spans="1:8">
      <c r="A1183" s="29">
        <v>42744.400243055556</v>
      </c>
      <c r="B1183" s="29" t="str">
        <f>PROPER(TEXT(tbLOG[[#This Row],[DATA/HORA]],"mmmm"))</f>
        <v>Janeiro</v>
      </c>
      <c r="C1183" s="34" t="str">
        <f>PROPER(TEXT(tbLOG[[#This Row],[DATA/HORA]],"dddd"))</f>
        <v>Segunda-Feira</v>
      </c>
      <c r="D1183" s="3" t="s">
        <v>297</v>
      </c>
      <c r="E1183" s="34" t="str">
        <f>IFERROR(VLOOKUP(tbLOG[[#This Row],[LOGIN]],tbMAPA[#All],2,0), "Não localizado")</f>
        <v>Ivanildo Cavalcante De Souza Junior</v>
      </c>
      <c r="F1183" s="34" t="str">
        <f>IFERROR(VLOOKUP(tbLOG[[#This Row],[LOGIN]],tbMAPA[#All],3,0), "Não localizado")</f>
        <v>Jefte Soares Da Silva</v>
      </c>
      <c r="G1183" s="3" t="s">
        <v>298</v>
      </c>
      <c r="H1183" s="3" t="s">
        <v>292</v>
      </c>
    </row>
    <row r="1184" spans="1:8">
      <c r="A1184" s="29">
        <v>42744.400243055556</v>
      </c>
      <c r="B1184" s="29" t="str">
        <f>PROPER(TEXT(tbLOG[[#This Row],[DATA/HORA]],"mmmm"))</f>
        <v>Janeiro</v>
      </c>
      <c r="C1184" s="34" t="str">
        <f>PROPER(TEXT(tbLOG[[#This Row],[DATA/HORA]],"dddd"))</f>
        <v>Segunda-Feira</v>
      </c>
      <c r="D1184" s="3" t="s">
        <v>297</v>
      </c>
      <c r="E1184" s="34" t="str">
        <f>IFERROR(VLOOKUP(tbLOG[[#This Row],[LOGIN]],tbMAPA[#All],2,0), "Não localizado")</f>
        <v>Ivanildo Cavalcante De Souza Junior</v>
      </c>
      <c r="F1184" s="34" t="str">
        <f>IFERROR(VLOOKUP(tbLOG[[#This Row],[LOGIN]],tbMAPA[#All],3,0), "Não localizado")</f>
        <v>Jefte Soares Da Silva</v>
      </c>
      <c r="G1184" s="3" t="s">
        <v>298</v>
      </c>
      <c r="H1184" s="3" t="s">
        <v>290</v>
      </c>
    </row>
    <row r="1185" spans="1:8">
      <c r="A1185" s="29">
        <v>42744.400335648148</v>
      </c>
      <c r="B1185" s="29" t="str">
        <f>PROPER(TEXT(tbLOG[[#This Row],[DATA/HORA]],"mmmm"))</f>
        <v>Janeiro</v>
      </c>
      <c r="C1185" s="34" t="str">
        <f>PROPER(TEXT(tbLOG[[#This Row],[DATA/HORA]],"dddd"))</f>
        <v>Segunda-Feira</v>
      </c>
      <c r="D1185" s="3" t="s">
        <v>297</v>
      </c>
      <c r="E1185" s="34" t="str">
        <f>IFERROR(VLOOKUP(tbLOG[[#This Row],[LOGIN]],tbMAPA[#All],2,0), "Não localizado")</f>
        <v>Ivanildo Cavalcante De Souza Junior</v>
      </c>
      <c r="F1185" s="34" t="str">
        <f>IFERROR(VLOOKUP(tbLOG[[#This Row],[LOGIN]],tbMAPA[#All],3,0), "Não localizado")</f>
        <v>Jefte Soares Da Silva</v>
      </c>
      <c r="G1185" s="3" t="s">
        <v>298</v>
      </c>
      <c r="H1185" s="3" t="s">
        <v>292</v>
      </c>
    </row>
    <row r="1186" spans="1:8">
      <c r="A1186" s="29">
        <v>42744.400335648148</v>
      </c>
      <c r="B1186" s="29" t="str">
        <f>PROPER(TEXT(tbLOG[[#This Row],[DATA/HORA]],"mmmm"))</f>
        <v>Janeiro</v>
      </c>
      <c r="C1186" s="34" t="str">
        <f>PROPER(TEXT(tbLOG[[#This Row],[DATA/HORA]],"dddd"))</f>
        <v>Segunda-Feira</v>
      </c>
      <c r="D1186" s="3" t="s">
        <v>297</v>
      </c>
      <c r="E1186" s="34" t="str">
        <f>IFERROR(VLOOKUP(tbLOG[[#This Row],[LOGIN]],tbMAPA[#All],2,0), "Não localizado")</f>
        <v>Ivanildo Cavalcante De Souza Junior</v>
      </c>
      <c r="F1186" s="34" t="str">
        <f>IFERROR(VLOOKUP(tbLOG[[#This Row],[LOGIN]],tbMAPA[#All],3,0), "Não localizado")</f>
        <v>Jefte Soares Da Silva</v>
      </c>
      <c r="G1186" s="3" t="s">
        <v>298</v>
      </c>
      <c r="H1186" s="3" t="s">
        <v>994</v>
      </c>
    </row>
    <row r="1187" spans="1:8">
      <c r="A1187" s="29">
        <v>42744.400370370371</v>
      </c>
      <c r="B1187" s="29" t="str">
        <f>PROPER(TEXT(tbLOG[[#This Row],[DATA/HORA]],"mmmm"))</f>
        <v>Janeiro</v>
      </c>
      <c r="C1187" s="34" t="str">
        <f>PROPER(TEXT(tbLOG[[#This Row],[DATA/HORA]],"dddd"))</f>
        <v>Segunda-Feira</v>
      </c>
      <c r="D1187" s="3" t="s">
        <v>297</v>
      </c>
      <c r="E1187" s="34" t="str">
        <f>IFERROR(VLOOKUP(tbLOG[[#This Row],[LOGIN]],tbMAPA[#All],2,0), "Não localizado")</f>
        <v>Ivanildo Cavalcante De Souza Junior</v>
      </c>
      <c r="F1187" s="34" t="str">
        <f>IFERROR(VLOOKUP(tbLOG[[#This Row],[LOGIN]],tbMAPA[#All],3,0), "Não localizado")</f>
        <v>Jefte Soares Da Silva</v>
      </c>
      <c r="G1187" s="3" t="s">
        <v>298</v>
      </c>
      <c r="H1187" s="3" t="s">
        <v>299</v>
      </c>
    </row>
    <row r="1188" spans="1:8">
      <c r="A1188" s="29">
        <v>42744.400601851848</v>
      </c>
      <c r="B1188" s="29" t="str">
        <f>PROPER(TEXT(tbLOG[[#This Row],[DATA/HORA]],"mmmm"))</f>
        <v>Janeiro</v>
      </c>
      <c r="C1188" s="34" t="str">
        <f>PROPER(TEXT(tbLOG[[#This Row],[DATA/HORA]],"dddd"))</f>
        <v>Segunda-Feira</v>
      </c>
      <c r="D1188" s="3" t="s">
        <v>297</v>
      </c>
      <c r="E1188" s="34" t="str">
        <f>IFERROR(VLOOKUP(tbLOG[[#This Row],[LOGIN]],tbMAPA[#All],2,0), "Não localizado")</f>
        <v>Ivanildo Cavalcante De Souza Junior</v>
      </c>
      <c r="F1188" s="34" t="str">
        <f>IFERROR(VLOOKUP(tbLOG[[#This Row],[LOGIN]],tbMAPA[#All],3,0), "Não localizado")</f>
        <v>Jefte Soares Da Silva</v>
      </c>
      <c r="G1188" s="3" t="s">
        <v>298</v>
      </c>
      <c r="H1188" s="3" t="s">
        <v>291</v>
      </c>
    </row>
    <row r="1189" spans="1:8">
      <c r="A1189" s="29">
        <v>42744.400601851848</v>
      </c>
      <c r="B1189" s="29" t="str">
        <f>PROPER(TEXT(tbLOG[[#This Row],[DATA/HORA]],"mmmm"))</f>
        <v>Janeiro</v>
      </c>
      <c r="C1189" s="34" t="str">
        <f>PROPER(TEXT(tbLOG[[#This Row],[DATA/HORA]],"dddd"))</f>
        <v>Segunda-Feira</v>
      </c>
      <c r="D1189" s="3" t="s">
        <v>297</v>
      </c>
      <c r="E1189" s="34" t="str">
        <f>IFERROR(VLOOKUP(tbLOG[[#This Row],[LOGIN]],tbMAPA[#All],2,0), "Não localizado")</f>
        <v>Ivanildo Cavalcante De Souza Junior</v>
      </c>
      <c r="F1189" s="34" t="str">
        <f>IFERROR(VLOOKUP(tbLOG[[#This Row],[LOGIN]],tbMAPA[#All],3,0), "Não localizado")</f>
        <v>Jefte Soares Da Silva</v>
      </c>
      <c r="G1189" s="3" t="s">
        <v>298</v>
      </c>
      <c r="H1189" s="3" t="s">
        <v>292</v>
      </c>
    </row>
    <row r="1190" spans="1:8">
      <c r="A1190" s="29">
        <v>42744.400601851848</v>
      </c>
      <c r="B1190" s="29" t="str">
        <f>PROPER(TEXT(tbLOG[[#This Row],[DATA/HORA]],"mmmm"))</f>
        <v>Janeiro</v>
      </c>
      <c r="C1190" s="34" t="str">
        <f>PROPER(TEXT(tbLOG[[#This Row],[DATA/HORA]],"dddd"))</f>
        <v>Segunda-Feira</v>
      </c>
      <c r="D1190" s="3" t="s">
        <v>297</v>
      </c>
      <c r="E1190" s="34" t="str">
        <f>IFERROR(VLOOKUP(tbLOG[[#This Row],[LOGIN]],tbMAPA[#All],2,0), "Não localizado")</f>
        <v>Ivanildo Cavalcante De Souza Junior</v>
      </c>
      <c r="F1190" s="34" t="str">
        <f>IFERROR(VLOOKUP(tbLOG[[#This Row],[LOGIN]],tbMAPA[#All],3,0), "Não localizado")</f>
        <v>Jefte Soares Da Silva</v>
      </c>
      <c r="G1190" s="3" t="s">
        <v>298</v>
      </c>
      <c r="H1190" s="3" t="s">
        <v>290</v>
      </c>
    </row>
    <row r="1191" spans="1:8">
      <c r="A1191" s="29">
        <v>42744.401261574072</v>
      </c>
      <c r="B1191" s="29" t="str">
        <f>PROPER(TEXT(tbLOG[[#This Row],[DATA/HORA]],"mmmm"))</f>
        <v>Janeiro</v>
      </c>
      <c r="C1191" s="34" t="str">
        <f>PROPER(TEXT(tbLOG[[#This Row],[DATA/HORA]],"dddd"))</f>
        <v>Segunda-Feira</v>
      </c>
      <c r="D1191" s="3" t="s">
        <v>319</v>
      </c>
      <c r="E1191" s="34" t="str">
        <f>IFERROR(VLOOKUP(tbLOG[[#This Row],[LOGIN]],tbMAPA[#All],2,0), "Não localizado")</f>
        <v>Jonatas Gomes Tenorio</v>
      </c>
      <c r="F1191" s="34" t="str">
        <f>IFERROR(VLOOKUP(tbLOG[[#This Row],[LOGIN]],tbMAPA[#All],3,0), "Não localizado")</f>
        <v>Jefte Soares Da Silva</v>
      </c>
      <c r="G1191" s="3" t="s">
        <v>1587</v>
      </c>
      <c r="H1191" s="3" t="s">
        <v>1588</v>
      </c>
    </row>
    <row r="1192" spans="1:8">
      <c r="A1192" s="29">
        <v>42744.401261574072</v>
      </c>
      <c r="B1192" s="29" t="str">
        <f>PROPER(TEXT(tbLOG[[#This Row],[DATA/HORA]],"mmmm"))</f>
        <v>Janeiro</v>
      </c>
      <c r="C1192" s="34" t="str">
        <f>PROPER(TEXT(tbLOG[[#This Row],[DATA/HORA]],"dddd"))</f>
        <v>Segunda-Feira</v>
      </c>
      <c r="D1192" s="3" t="s">
        <v>319</v>
      </c>
      <c r="E1192" s="34" t="str">
        <f>IFERROR(VLOOKUP(tbLOG[[#This Row],[LOGIN]],tbMAPA[#All],2,0), "Não localizado")</f>
        <v>Jonatas Gomes Tenorio</v>
      </c>
      <c r="F1192" s="34" t="str">
        <f>IFERROR(VLOOKUP(tbLOG[[#This Row],[LOGIN]],tbMAPA[#All],3,0), "Não localizado")</f>
        <v>Jefte Soares Da Silva</v>
      </c>
      <c r="G1192" s="3" t="s">
        <v>1587</v>
      </c>
      <c r="H1192" s="3" t="s">
        <v>290</v>
      </c>
    </row>
    <row r="1193" spans="1:8">
      <c r="A1193" s="29">
        <v>42744.402175925927</v>
      </c>
      <c r="B1193" s="29" t="str">
        <f>PROPER(TEXT(tbLOG[[#This Row],[DATA/HORA]],"mmmm"))</f>
        <v>Janeiro</v>
      </c>
      <c r="C1193" s="34" t="str">
        <f>PROPER(TEXT(tbLOG[[#This Row],[DATA/HORA]],"dddd"))</f>
        <v>Segunda-Feira</v>
      </c>
      <c r="D1193" s="3" t="s">
        <v>297</v>
      </c>
      <c r="E1193" s="34" t="str">
        <f>IFERROR(VLOOKUP(tbLOG[[#This Row],[LOGIN]],tbMAPA[#All],2,0), "Não localizado")</f>
        <v>Ivanildo Cavalcante De Souza Junior</v>
      </c>
      <c r="F1193" s="34" t="str">
        <f>IFERROR(VLOOKUP(tbLOG[[#This Row],[LOGIN]],tbMAPA[#All],3,0), "Não localizado")</f>
        <v>Jefte Soares Da Silva</v>
      </c>
      <c r="G1193" s="3" t="s">
        <v>298</v>
      </c>
      <c r="H1193" s="3" t="s">
        <v>292</v>
      </c>
    </row>
    <row r="1194" spans="1:8">
      <c r="A1194" s="29">
        <v>42744.402175925927</v>
      </c>
      <c r="B1194" s="29" t="str">
        <f>PROPER(TEXT(tbLOG[[#This Row],[DATA/HORA]],"mmmm"))</f>
        <v>Janeiro</v>
      </c>
      <c r="C1194" s="34" t="str">
        <f>PROPER(TEXT(tbLOG[[#This Row],[DATA/HORA]],"dddd"))</f>
        <v>Segunda-Feira</v>
      </c>
      <c r="D1194" s="3" t="s">
        <v>297</v>
      </c>
      <c r="E1194" s="34" t="str">
        <f>IFERROR(VLOOKUP(tbLOG[[#This Row],[LOGIN]],tbMAPA[#All],2,0), "Não localizado")</f>
        <v>Ivanildo Cavalcante De Souza Junior</v>
      </c>
      <c r="F1194" s="34" t="str">
        <f>IFERROR(VLOOKUP(tbLOG[[#This Row],[LOGIN]],tbMAPA[#All],3,0), "Não localizado")</f>
        <v>Jefte Soares Da Silva</v>
      </c>
      <c r="G1194" s="3" t="s">
        <v>298</v>
      </c>
      <c r="H1194" s="3" t="s">
        <v>994</v>
      </c>
    </row>
    <row r="1195" spans="1:8">
      <c r="A1195" s="29">
        <v>42744.402222222219</v>
      </c>
      <c r="B1195" s="29" t="str">
        <f>PROPER(TEXT(tbLOG[[#This Row],[DATA/HORA]],"mmmm"))</f>
        <v>Janeiro</v>
      </c>
      <c r="C1195" s="34" t="str">
        <f>PROPER(TEXT(tbLOG[[#This Row],[DATA/HORA]],"dddd"))</f>
        <v>Segunda-Feira</v>
      </c>
      <c r="D1195" s="3" t="s">
        <v>297</v>
      </c>
      <c r="E1195" s="34" t="str">
        <f>IFERROR(VLOOKUP(tbLOG[[#This Row],[LOGIN]],tbMAPA[#All],2,0), "Não localizado")</f>
        <v>Ivanildo Cavalcante De Souza Junior</v>
      </c>
      <c r="F1195" s="34" t="str">
        <f>IFERROR(VLOOKUP(tbLOG[[#This Row],[LOGIN]],tbMAPA[#All],3,0), "Não localizado")</f>
        <v>Jefte Soares Da Silva</v>
      </c>
      <c r="G1195" s="3" t="s">
        <v>298</v>
      </c>
      <c r="H1195" s="3" t="s">
        <v>299</v>
      </c>
    </row>
    <row r="1196" spans="1:8">
      <c r="A1196" s="29">
        <v>42744.403449074074</v>
      </c>
      <c r="B1196" s="29" t="str">
        <f>PROPER(TEXT(tbLOG[[#This Row],[DATA/HORA]],"mmmm"))</f>
        <v>Janeiro</v>
      </c>
      <c r="C1196" s="34" t="str">
        <f>PROPER(TEXT(tbLOG[[#This Row],[DATA/HORA]],"dddd"))</f>
        <v>Segunda-Feira</v>
      </c>
      <c r="D1196" s="3" t="s">
        <v>297</v>
      </c>
      <c r="E1196" s="34" t="str">
        <f>IFERROR(VLOOKUP(tbLOG[[#This Row],[LOGIN]],tbMAPA[#All],2,0), "Não localizado")</f>
        <v>Ivanildo Cavalcante De Souza Junior</v>
      </c>
      <c r="F1196" s="34" t="str">
        <f>IFERROR(VLOOKUP(tbLOG[[#This Row],[LOGIN]],tbMAPA[#All],3,0), "Não localizado")</f>
        <v>Jefte Soares Da Silva</v>
      </c>
      <c r="G1196" s="3" t="s">
        <v>298</v>
      </c>
      <c r="H1196" s="3" t="s">
        <v>291</v>
      </c>
    </row>
    <row r="1197" spans="1:8">
      <c r="A1197" s="29">
        <v>42744.403449074074</v>
      </c>
      <c r="B1197" s="29" t="str">
        <f>PROPER(TEXT(tbLOG[[#This Row],[DATA/HORA]],"mmmm"))</f>
        <v>Janeiro</v>
      </c>
      <c r="C1197" s="34" t="str">
        <f>PROPER(TEXT(tbLOG[[#This Row],[DATA/HORA]],"dddd"))</f>
        <v>Segunda-Feira</v>
      </c>
      <c r="D1197" s="3" t="s">
        <v>297</v>
      </c>
      <c r="E1197" s="34" t="str">
        <f>IFERROR(VLOOKUP(tbLOG[[#This Row],[LOGIN]],tbMAPA[#All],2,0), "Não localizado")</f>
        <v>Ivanildo Cavalcante De Souza Junior</v>
      </c>
      <c r="F1197" s="34" t="str">
        <f>IFERROR(VLOOKUP(tbLOG[[#This Row],[LOGIN]],tbMAPA[#All],3,0), "Não localizado")</f>
        <v>Jefte Soares Da Silva</v>
      </c>
      <c r="G1197" s="3" t="s">
        <v>298</v>
      </c>
      <c r="H1197" s="3" t="s">
        <v>292</v>
      </c>
    </row>
    <row r="1198" spans="1:8">
      <c r="A1198" s="29">
        <v>42744.403449074074</v>
      </c>
      <c r="B1198" s="29" t="str">
        <f>PROPER(TEXT(tbLOG[[#This Row],[DATA/HORA]],"mmmm"))</f>
        <v>Janeiro</v>
      </c>
      <c r="C1198" s="34" t="str">
        <f>PROPER(TEXT(tbLOG[[#This Row],[DATA/HORA]],"dddd"))</f>
        <v>Segunda-Feira</v>
      </c>
      <c r="D1198" s="3" t="s">
        <v>297</v>
      </c>
      <c r="E1198" s="34" t="str">
        <f>IFERROR(VLOOKUP(tbLOG[[#This Row],[LOGIN]],tbMAPA[#All],2,0), "Não localizado")</f>
        <v>Ivanildo Cavalcante De Souza Junior</v>
      </c>
      <c r="F1198" s="34" t="str">
        <f>IFERROR(VLOOKUP(tbLOG[[#This Row],[LOGIN]],tbMAPA[#All],3,0), "Não localizado")</f>
        <v>Jefte Soares Da Silva</v>
      </c>
      <c r="G1198" s="3" t="s">
        <v>298</v>
      </c>
      <c r="H1198" s="3" t="s">
        <v>290</v>
      </c>
    </row>
    <row r="1199" spans="1:8">
      <c r="A1199" s="29">
        <v>42744.403807870367</v>
      </c>
      <c r="B1199" s="29" t="str">
        <f>PROPER(TEXT(tbLOG[[#This Row],[DATA/HORA]],"mmmm"))</f>
        <v>Janeiro</v>
      </c>
      <c r="C1199" s="34" t="str">
        <f>PROPER(TEXT(tbLOG[[#This Row],[DATA/HORA]],"dddd"))</f>
        <v>Segunda-Feira</v>
      </c>
      <c r="D1199" s="3" t="s">
        <v>319</v>
      </c>
      <c r="E1199" s="34" t="str">
        <f>IFERROR(VLOOKUP(tbLOG[[#This Row],[LOGIN]],tbMAPA[#All],2,0), "Não localizado")</f>
        <v>Jonatas Gomes Tenorio</v>
      </c>
      <c r="F1199" s="34" t="str">
        <f>IFERROR(VLOOKUP(tbLOG[[#This Row],[LOGIN]],tbMAPA[#All],3,0), "Não localizado")</f>
        <v>Jefte Soares Da Silva</v>
      </c>
      <c r="G1199" s="3" t="s">
        <v>1587</v>
      </c>
      <c r="H1199" s="3" t="s">
        <v>994</v>
      </c>
    </row>
    <row r="1200" spans="1:8">
      <c r="A1200" s="29">
        <v>42744.40421296296</v>
      </c>
      <c r="B1200" s="29" t="str">
        <f>PROPER(TEXT(tbLOG[[#This Row],[DATA/HORA]],"mmmm"))</f>
        <v>Janeiro</v>
      </c>
      <c r="C1200" s="34" t="str">
        <f>PROPER(TEXT(tbLOG[[#This Row],[DATA/HORA]],"dddd"))</f>
        <v>Segunda-Feira</v>
      </c>
      <c r="D1200" s="3" t="s">
        <v>319</v>
      </c>
      <c r="E1200" s="34" t="str">
        <f>IFERROR(VLOOKUP(tbLOG[[#This Row],[LOGIN]],tbMAPA[#All],2,0), "Não localizado")</f>
        <v>Jonatas Gomes Tenorio</v>
      </c>
      <c r="F1200" s="34" t="str">
        <f>IFERROR(VLOOKUP(tbLOG[[#This Row],[LOGIN]],tbMAPA[#All],3,0), "Não localizado")</f>
        <v>Jefte Soares Da Silva</v>
      </c>
      <c r="G1200" s="3" t="s">
        <v>1587</v>
      </c>
      <c r="H1200" s="3" t="s">
        <v>291</v>
      </c>
    </row>
    <row r="1201" spans="1:8">
      <c r="A1201" s="29">
        <v>42744.404224537036</v>
      </c>
      <c r="B1201" s="29" t="str">
        <f>PROPER(TEXT(tbLOG[[#This Row],[DATA/HORA]],"mmmm"))</f>
        <v>Janeiro</v>
      </c>
      <c r="C1201" s="34" t="str">
        <f>PROPER(TEXT(tbLOG[[#This Row],[DATA/HORA]],"dddd"))</f>
        <v>Segunda-Feira</v>
      </c>
      <c r="D1201" s="3" t="s">
        <v>319</v>
      </c>
      <c r="E1201" s="34" t="str">
        <f>IFERROR(VLOOKUP(tbLOG[[#This Row],[LOGIN]],tbMAPA[#All],2,0), "Não localizado")</f>
        <v>Jonatas Gomes Tenorio</v>
      </c>
      <c r="F1201" s="34" t="str">
        <f>IFERROR(VLOOKUP(tbLOG[[#This Row],[LOGIN]],tbMAPA[#All],3,0), "Não localizado")</f>
        <v>Jefte Soares Da Silva</v>
      </c>
      <c r="G1201" s="3" t="s">
        <v>1587</v>
      </c>
      <c r="H1201" s="3" t="s">
        <v>290</v>
      </c>
    </row>
    <row r="1202" spans="1:8">
      <c r="A1202" s="29">
        <v>42744.4221412037</v>
      </c>
      <c r="B1202" s="29" t="str">
        <f>PROPER(TEXT(tbLOG[[#This Row],[DATA/HORA]],"mmmm"))</f>
        <v>Janeiro</v>
      </c>
      <c r="C1202" s="34" t="str">
        <f>PROPER(TEXT(tbLOG[[#This Row],[DATA/HORA]],"dddd"))</f>
        <v>Segunda-Feira</v>
      </c>
      <c r="D1202" s="3" t="s">
        <v>297</v>
      </c>
      <c r="E1202" s="34" t="str">
        <f>IFERROR(VLOOKUP(tbLOG[[#This Row],[LOGIN]],tbMAPA[#All],2,0), "Não localizado")</f>
        <v>Ivanildo Cavalcante De Souza Junior</v>
      </c>
      <c r="F1202" s="34" t="str">
        <f>IFERROR(VLOOKUP(tbLOG[[#This Row],[LOGIN]],tbMAPA[#All],3,0), "Não localizado")</f>
        <v>Jefte Soares Da Silva</v>
      </c>
      <c r="G1202" s="3" t="s">
        <v>298</v>
      </c>
      <c r="H1202" s="3" t="s">
        <v>1589</v>
      </c>
    </row>
    <row r="1203" spans="1:8">
      <c r="A1203" s="29">
        <v>42744.422152777777</v>
      </c>
      <c r="B1203" s="29" t="str">
        <f>PROPER(TEXT(tbLOG[[#This Row],[DATA/HORA]],"mmmm"))</f>
        <v>Janeiro</v>
      </c>
      <c r="C1203" s="34" t="str">
        <f>PROPER(TEXT(tbLOG[[#This Row],[DATA/HORA]],"dddd"))</f>
        <v>Segunda-Feira</v>
      </c>
      <c r="D1203" s="3" t="s">
        <v>297</v>
      </c>
      <c r="E1203" s="34" t="str">
        <f>IFERROR(VLOOKUP(tbLOG[[#This Row],[LOGIN]],tbMAPA[#All],2,0), "Não localizado")</f>
        <v>Ivanildo Cavalcante De Souza Junior</v>
      </c>
      <c r="F1203" s="34" t="str">
        <f>IFERROR(VLOOKUP(tbLOG[[#This Row],[LOGIN]],tbMAPA[#All],3,0), "Não localizado")</f>
        <v>Jefte Soares Da Silva</v>
      </c>
      <c r="G1203" s="3" t="s">
        <v>298</v>
      </c>
      <c r="H1203" s="3" t="s">
        <v>290</v>
      </c>
    </row>
    <row r="1204" spans="1:8">
      <c r="A1204" s="29">
        <v>42744.422337962962</v>
      </c>
      <c r="B1204" s="29" t="str">
        <f>PROPER(TEXT(tbLOG[[#This Row],[DATA/HORA]],"mmmm"))</f>
        <v>Janeiro</v>
      </c>
      <c r="C1204" s="34" t="str">
        <f>PROPER(TEXT(tbLOG[[#This Row],[DATA/HORA]],"dddd"))</f>
        <v>Segunda-Feira</v>
      </c>
      <c r="D1204" s="3" t="s">
        <v>297</v>
      </c>
      <c r="E1204" s="34" t="str">
        <f>IFERROR(VLOOKUP(tbLOG[[#This Row],[LOGIN]],tbMAPA[#All],2,0), "Não localizado")</f>
        <v>Ivanildo Cavalcante De Souza Junior</v>
      </c>
      <c r="F1204" s="34" t="str">
        <f>IFERROR(VLOOKUP(tbLOG[[#This Row],[LOGIN]],tbMAPA[#All],3,0), "Não localizado")</f>
        <v>Jefte Soares Da Silva</v>
      </c>
      <c r="G1204" s="3" t="s">
        <v>298</v>
      </c>
      <c r="H1204" s="3" t="s">
        <v>1589</v>
      </c>
    </row>
    <row r="1205" spans="1:8">
      <c r="A1205" s="29">
        <v>42744.422337962962</v>
      </c>
      <c r="B1205" s="29" t="str">
        <f>PROPER(TEXT(tbLOG[[#This Row],[DATA/HORA]],"mmmm"))</f>
        <v>Janeiro</v>
      </c>
      <c r="C1205" s="34" t="str">
        <f>PROPER(TEXT(tbLOG[[#This Row],[DATA/HORA]],"dddd"))</f>
        <v>Segunda-Feira</v>
      </c>
      <c r="D1205" s="3" t="s">
        <v>297</v>
      </c>
      <c r="E1205" s="34" t="str">
        <f>IFERROR(VLOOKUP(tbLOG[[#This Row],[LOGIN]],tbMAPA[#All],2,0), "Não localizado")</f>
        <v>Ivanildo Cavalcante De Souza Junior</v>
      </c>
      <c r="F1205" s="34" t="str">
        <f>IFERROR(VLOOKUP(tbLOG[[#This Row],[LOGIN]],tbMAPA[#All],3,0), "Não localizado")</f>
        <v>Jefte Soares Da Silva</v>
      </c>
      <c r="G1205" s="3" t="s">
        <v>298</v>
      </c>
      <c r="H1205" s="3" t="s">
        <v>290</v>
      </c>
    </row>
    <row r="1206" spans="1:8">
      <c r="A1206" s="29">
        <v>42744.423032407409</v>
      </c>
      <c r="B1206" s="29" t="str">
        <f>PROPER(TEXT(tbLOG[[#This Row],[DATA/HORA]],"mmmm"))</f>
        <v>Janeiro</v>
      </c>
      <c r="C1206" s="34" t="str">
        <f>PROPER(TEXT(tbLOG[[#This Row],[DATA/HORA]],"dddd"))</f>
        <v>Segunda-Feira</v>
      </c>
      <c r="D1206" s="3" t="s">
        <v>297</v>
      </c>
      <c r="E1206" s="34" t="str">
        <f>IFERROR(VLOOKUP(tbLOG[[#This Row],[LOGIN]],tbMAPA[#All],2,0), "Não localizado")</f>
        <v>Ivanildo Cavalcante De Souza Junior</v>
      </c>
      <c r="F1206" s="34" t="str">
        <f>IFERROR(VLOOKUP(tbLOG[[#This Row],[LOGIN]],tbMAPA[#All],3,0), "Não localizado")</f>
        <v>Jefte Soares Da Silva</v>
      </c>
      <c r="G1206" s="3" t="s">
        <v>298</v>
      </c>
      <c r="H1206" s="3" t="s">
        <v>994</v>
      </c>
    </row>
    <row r="1207" spans="1:8">
      <c r="A1207" s="29">
        <v>42744.423159722224</v>
      </c>
      <c r="B1207" s="29" t="str">
        <f>PROPER(TEXT(tbLOG[[#This Row],[DATA/HORA]],"mmmm"))</f>
        <v>Janeiro</v>
      </c>
      <c r="C1207" s="34" t="str">
        <f>PROPER(TEXT(tbLOG[[#This Row],[DATA/HORA]],"dddd"))</f>
        <v>Segunda-Feira</v>
      </c>
      <c r="D1207" s="3" t="s">
        <v>297</v>
      </c>
      <c r="E1207" s="34" t="str">
        <f>IFERROR(VLOOKUP(tbLOG[[#This Row],[LOGIN]],tbMAPA[#All],2,0), "Não localizado")</f>
        <v>Ivanildo Cavalcante De Souza Junior</v>
      </c>
      <c r="F1207" s="34" t="str">
        <f>IFERROR(VLOOKUP(tbLOG[[#This Row],[LOGIN]],tbMAPA[#All],3,0), "Não localizado")</f>
        <v>Jefte Soares Da Silva</v>
      </c>
      <c r="G1207" s="3" t="s">
        <v>298</v>
      </c>
      <c r="H1207" s="3" t="s">
        <v>331</v>
      </c>
    </row>
    <row r="1208" spans="1:8">
      <c r="A1208" s="29">
        <v>42744.423217592594</v>
      </c>
      <c r="B1208" s="29" t="str">
        <f>PROPER(TEXT(tbLOG[[#This Row],[DATA/HORA]],"mmmm"))</f>
        <v>Janeiro</v>
      </c>
      <c r="C1208" s="34" t="str">
        <f>PROPER(TEXT(tbLOG[[#This Row],[DATA/HORA]],"dddd"))</f>
        <v>Segunda-Feira</v>
      </c>
      <c r="D1208" s="3" t="s">
        <v>297</v>
      </c>
      <c r="E1208" s="34" t="str">
        <f>IFERROR(VLOOKUP(tbLOG[[#This Row],[LOGIN]],tbMAPA[#All],2,0), "Não localizado")</f>
        <v>Ivanildo Cavalcante De Souza Junior</v>
      </c>
      <c r="F1208" s="34" t="str">
        <f>IFERROR(VLOOKUP(tbLOG[[#This Row],[LOGIN]],tbMAPA[#All],3,0), "Não localizado")</f>
        <v>Jefte Soares Da Silva</v>
      </c>
      <c r="G1208" s="3" t="s">
        <v>298</v>
      </c>
      <c r="H1208" s="3" t="s">
        <v>292</v>
      </c>
    </row>
    <row r="1209" spans="1:8">
      <c r="A1209" s="29">
        <v>42744.42324074074</v>
      </c>
      <c r="B1209" s="29" t="str">
        <f>PROPER(TEXT(tbLOG[[#This Row],[DATA/HORA]],"mmmm"))</f>
        <v>Janeiro</v>
      </c>
      <c r="C1209" s="34" t="str">
        <f>PROPER(TEXT(tbLOG[[#This Row],[DATA/HORA]],"dddd"))</f>
        <v>Segunda-Feira</v>
      </c>
      <c r="D1209" s="3" t="s">
        <v>297</v>
      </c>
      <c r="E1209" s="34" t="str">
        <f>IFERROR(VLOOKUP(tbLOG[[#This Row],[LOGIN]],tbMAPA[#All],2,0), "Não localizado")</f>
        <v>Ivanildo Cavalcante De Souza Junior</v>
      </c>
      <c r="F1209" s="34" t="str">
        <f>IFERROR(VLOOKUP(tbLOG[[#This Row],[LOGIN]],tbMAPA[#All],3,0), "Não localizado")</f>
        <v>Jefte Soares Da Silva</v>
      </c>
      <c r="G1209" s="3" t="s">
        <v>298</v>
      </c>
      <c r="H1209" s="3" t="s">
        <v>292</v>
      </c>
    </row>
    <row r="1210" spans="1:8">
      <c r="A1210" s="29">
        <v>42744.423275462963</v>
      </c>
      <c r="B1210" s="29" t="str">
        <f>PROPER(TEXT(tbLOG[[#This Row],[DATA/HORA]],"mmmm"))</f>
        <v>Janeiro</v>
      </c>
      <c r="C1210" s="34" t="str">
        <f>PROPER(TEXT(tbLOG[[#This Row],[DATA/HORA]],"dddd"))</f>
        <v>Segunda-Feira</v>
      </c>
      <c r="D1210" s="3" t="s">
        <v>297</v>
      </c>
      <c r="E1210" s="34" t="str">
        <f>IFERROR(VLOOKUP(tbLOG[[#This Row],[LOGIN]],tbMAPA[#All],2,0), "Não localizado")</f>
        <v>Ivanildo Cavalcante De Souza Junior</v>
      </c>
      <c r="F1210" s="34" t="str">
        <f>IFERROR(VLOOKUP(tbLOG[[#This Row],[LOGIN]],tbMAPA[#All],3,0), "Não localizado")</f>
        <v>Jefte Soares Da Silva</v>
      </c>
      <c r="G1210" s="3" t="s">
        <v>298</v>
      </c>
      <c r="H1210" s="3" t="s">
        <v>315</v>
      </c>
    </row>
    <row r="1211" spans="1:8">
      <c r="A1211" s="29">
        <v>42744.423761574071</v>
      </c>
      <c r="B1211" s="29" t="str">
        <f>PROPER(TEXT(tbLOG[[#This Row],[DATA/HORA]],"mmmm"))</f>
        <v>Janeiro</v>
      </c>
      <c r="C1211" s="34" t="str">
        <f>PROPER(TEXT(tbLOG[[#This Row],[DATA/HORA]],"dddd"))</f>
        <v>Segunda-Feira</v>
      </c>
      <c r="D1211" s="3" t="s">
        <v>297</v>
      </c>
      <c r="E1211" s="34" t="str">
        <f>IFERROR(VLOOKUP(tbLOG[[#This Row],[LOGIN]],tbMAPA[#All],2,0), "Não localizado")</f>
        <v>Ivanildo Cavalcante De Souza Junior</v>
      </c>
      <c r="F1211" s="34" t="str">
        <f>IFERROR(VLOOKUP(tbLOG[[#This Row],[LOGIN]],tbMAPA[#All],3,0), "Não localizado")</f>
        <v>Jefte Soares Da Silva</v>
      </c>
      <c r="G1211" s="3" t="s">
        <v>298</v>
      </c>
      <c r="H1211" s="3" t="s">
        <v>315</v>
      </c>
    </row>
    <row r="1212" spans="1:8">
      <c r="A1212" s="29">
        <v>42744.424340277779</v>
      </c>
      <c r="B1212" s="29" t="str">
        <f>PROPER(TEXT(tbLOG[[#This Row],[DATA/HORA]],"mmmm"))</f>
        <v>Janeiro</v>
      </c>
      <c r="C1212" s="34" t="str">
        <f>PROPER(TEXT(tbLOG[[#This Row],[DATA/HORA]],"dddd"))</f>
        <v>Segunda-Feira</v>
      </c>
      <c r="D1212" s="3" t="s">
        <v>297</v>
      </c>
      <c r="E1212" s="34" t="str">
        <f>IFERROR(VLOOKUP(tbLOG[[#This Row],[LOGIN]],tbMAPA[#All],2,0), "Não localizado")</f>
        <v>Ivanildo Cavalcante De Souza Junior</v>
      </c>
      <c r="F1212" s="34" t="str">
        <f>IFERROR(VLOOKUP(tbLOG[[#This Row],[LOGIN]],tbMAPA[#All],3,0), "Não localizado")</f>
        <v>Jefte Soares Da Silva</v>
      </c>
      <c r="G1212" s="3" t="s">
        <v>298</v>
      </c>
      <c r="H1212" s="3" t="s">
        <v>292</v>
      </c>
    </row>
    <row r="1213" spans="1:8">
      <c r="A1213" s="29">
        <v>42744.424675925926</v>
      </c>
      <c r="B1213" s="29" t="str">
        <f>PROPER(TEXT(tbLOG[[#This Row],[DATA/HORA]],"mmmm"))</f>
        <v>Janeiro</v>
      </c>
      <c r="C1213" s="34" t="str">
        <f>PROPER(TEXT(tbLOG[[#This Row],[DATA/HORA]],"dddd"))</f>
        <v>Segunda-Feira</v>
      </c>
      <c r="D1213" s="3" t="s">
        <v>297</v>
      </c>
      <c r="E1213" s="34" t="str">
        <f>IFERROR(VLOOKUP(tbLOG[[#This Row],[LOGIN]],tbMAPA[#All],2,0), "Não localizado")</f>
        <v>Ivanildo Cavalcante De Souza Junior</v>
      </c>
      <c r="F1213" s="34" t="str">
        <f>IFERROR(VLOOKUP(tbLOG[[#This Row],[LOGIN]],tbMAPA[#All],3,0), "Não localizado")</f>
        <v>Jefte Soares Da Silva</v>
      </c>
      <c r="G1213" s="3" t="s">
        <v>298</v>
      </c>
      <c r="H1213" s="3" t="s">
        <v>292</v>
      </c>
    </row>
    <row r="1214" spans="1:8">
      <c r="A1214" s="29">
        <v>42744.424733796295</v>
      </c>
      <c r="B1214" s="29" t="str">
        <f>PROPER(TEXT(tbLOG[[#This Row],[DATA/HORA]],"mmmm"))</f>
        <v>Janeiro</v>
      </c>
      <c r="C1214" s="34" t="str">
        <f>PROPER(TEXT(tbLOG[[#This Row],[DATA/HORA]],"dddd"))</f>
        <v>Segunda-Feira</v>
      </c>
      <c r="D1214" s="3" t="s">
        <v>297</v>
      </c>
      <c r="E1214" s="34" t="str">
        <f>IFERROR(VLOOKUP(tbLOG[[#This Row],[LOGIN]],tbMAPA[#All],2,0), "Não localizado")</f>
        <v>Ivanildo Cavalcante De Souza Junior</v>
      </c>
      <c r="F1214" s="34" t="str">
        <f>IFERROR(VLOOKUP(tbLOG[[#This Row],[LOGIN]],tbMAPA[#All],3,0), "Não localizado")</f>
        <v>Jefte Soares Da Silva</v>
      </c>
      <c r="G1214" s="3" t="s">
        <v>298</v>
      </c>
      <c r="H1214" s="3" t="s">
        <v>317</v>
      </c>
    </row>
    <row r="1215" spans="1:8">
      <c r="A1215" s="29">
        <v>42744.424791666665</v>
      </c>
      <c r="B1215" s="29" t="str">
        <f>PROPER(TEXT(tbLOG[[#This Row],[DATA/HORA]],"mmmm"))</f>
        <v>Janeiro</v>
      </c>
      <c r="C1215" s="34" t="str">
        <f>PROPER(TEXT(tbLOG[[#This Row],[DATA/HORA]],"dddd"))</f>
        <v>Segunda-Feira</v>
      </c>
      <c r="D1215" s="3" t="s">
        <v>297</v>
      </c>
      <c r="E1215" s="34" t="str">
        <f>IFERROR(VLOOKUP(tbLOG[[#This Row],[LOGIN]],tbMAPA[#All],2,0), "Não localizado")</f>
        <v>Ivanildo Cavalcante De Souza Junior</v>
      </c>
      <c r="F1215" s="34" t="str">
        <f>IFERROR(VLOOKUP(tbLOG[[#This Row],[LOGIN]],tbMAPA[#All],3,0), "Não localizado")</f>
        <v>Jefte Soares Da Silva</v>
      </c>
      <c r="G1215" s="3" t="s">
        <v>298</v>
      </c>
      <c r="H1215" s="3" t="s">
        <v>291</v>
      </c>
    </row>
    <row r="1216" spans="1:8">
      <c r="A1216" s="29">
        <v>42744.424791666665</v>
      </c>
      <c r="B1216" s="29" t="str">
        <f>PROPER(TEXT(tbLOG[[#This Row],[DATA/HORA]],"mmmm"))</f>
        <v>Janeiro</v>
      </c>
      <c r="C1216" s="34" t="str">
        <f>PROPER(TEXT(tbLOG[[#This Row],[DATA/HORA]],"dddd"))</f>
        <v>Segunda-Feira</v>
      </c>
      <c r="D1216" s="3" t="s">
        <v>297</v>
      </c>
      <c r="E1216" s="34" t="str">
        <f>IFERROR(VLOOKUP(tbLOG[[#This Row],[LOGIN]],tbMAPA[#All],2,0), "Não localizado")</f>
        <v>Ivanildo Cavalcante De Souza Junior</v>
      </c>
      <c r="F1216" s="34" t="str">
        <f>IFERROR(VLOOKUP(tbLOG[[#This Row],[LOGIN]],tbMAPA[#All],3,0), "Não localizado")</f>
        <v>Jefte Soares Da Silva</v>
      </c>
      <c r="G1216" s="3" t="s">
        <v>298</v>
      </c>
      <c r="H1216" s="3" t="s">
        <v>290</v>
      </c>
    </row>
    <row r="1217" spans="1:8">
      <c r="A1217" s="29">
        <v>42744.428449074076</v>
      </c>
      <c r="B1217" s="29" t="str">
        <f>PROPER(TEXT(tbLOG[[#This Row],[DATA/HORA]],"mmmm"))</f>
        <v>Janeiro</v>
      </c>
      <c r="C1217" s="34" t="str">
        <f>PROPER(TEXT(tbLOG[[#This Row],[DATA/HORA]],"dddd"))</f>
        <v>Segunda-Feira</v>
      </c>
      <c r="D1217" s="3" t="s">
        <v>297</v>
      </c>
      <c r="E1217" s="34" t="str">
        <f>IFERROR(VLOOKUP(tbLOG[[#This Row],[LOGIN]],tbMAPA[#All],2,0), "Não localizado")</f>
        <v>Ivanildo Cavalcante De Souza Junior</v>
      </c>
      <c r="F1217" s="34" t="str">
        <f>IFERROR(VLOOKUP(tbLOG[[#This Row],[LOGIN]],tbMAPA[#All],3,0), "Não localizado")</f>
        <v>Jefte Soares Da Silva</v>
      </c>
      <c r="G1217" s="3" t="s">
        <v>298</v>
      </c>
      <c r="H1217" s="3" t="s">
        <v>292</v>
      </c>
    </row>
    <row r="1218" spans="1:8">
      <c r="A1218" s="29">
        <v>42744.428449074076</v>
      </c>
      <c r="B1218" s="29" t="str">
        <f>PROPER(TEXT(tbLOG[[#This Row],[DATA/HORA]],"mmmm"))</f>
        <v>Janeiro</v>
      </c>
      <c r="C1218" s="34" t="str">
        <f>PROPER(TEXT(tbLOG[[#This Row],[DATA/HORA]],"dddd"))</f>
        <v>Segunda-Feira</v>
      </c>
      <c r="D1218" s="3" t="s">
        <v>297</v>
      </c>
      <c r="E1218" s="34" t="str">
        <f>IFERROR(VLOOKUP(tbLOG[[#This Row],[LOGIN]],tbMAPA[#All],2,0), "Não localizado")</f>
        <v>Ivanildo Cavalcante De Souza Junior</v>
      </c>
      <c r="F1218" s="34" t="str">
        <f>IFERROR(VLOOKUP(tbLOG[[#This Row],[LOGIN]],tbMAPA[#All],3,0), "Não localizado")</f>
        <v>Jefte Soares Da Silva</v>
      </c>
      <c r="G1218" s="3" t="s">
        <v>298</v>
      </c>
      <c r="H1218" s="3" t="s">
        <v>994</v>
      </c>
    </row>
    <row r="1219" spans="1:8">
      <c r="A1219" s="29">
        <v>42744.428472222222</v>
      </c>
      <c r="B1219" s="29" t="str">
        <f>PROPER(TEXT(tbLOG[[#This Row],[DATA/HORA]],"mmmm"))</f>
        <v>Janeiro</v>
      </c>
      <c r="C1219" s="34" t="str">
        <f>PROPER(TEXT(tbLOG[[#This Row],[DATA/HORA]],"dddd"))</f>
        <v>Segunda-Feira</v>
      </c>
      <c r="D1219" s="3" t="s">
        <v>297</v>
      </c>
      <c r="E1219" s="34" t="str">
        <f>IFERROR(VLOOKUP(tbLOG[[#This Row],[LOGIN]],tbMAPA[#All],2,0), "Não localizado")</f>
        <v>Ivanildo Cavalcante De Souza Junior</v>
      </c>
      <c r="F1219" s="34" t="str">
        <f>IFERROR(VLOOKUP(tbLOG[[#This Row],[LOGIN]],tbMAPA[#All],3,0), "Não localizado")</f>
        <v>Jefte Soares Da Silva</v>
      </c>
      <c r="G1219" s="3" t="s">
        <v>298</v>
      </c>
      <c r="H1219" s="3" t="s">
        <v>292</v>
      </c>
    </row>
    <row r="1220" spans="1:8">
      <c r="A1220" s="29">
        <v>42744.428530092591</v>
      </c>
      <c r="B1220" s="29" t="str">
        <f>PROPER(TEXT(tbLOG[[#This Row],[DATA/HORA]],"mmmm"))</f>
        <v>Janeiro</v>
      </c>
      <c r="C1220" s="34" t="str">
        <f>PROPER(TEXT(tbLOG[[#This Row],[DATA/HORA]],"dddd"))</f>
        <v>Segunda-Feira</v>
      </c>
      <c r="D1220" s="3" t="s">
        <v>297</v>
      </c>
      <c r="E1220" s="34" t="str">
        <f>IFERROR(VLOOKUP(tbLOG[[#This Row],[LOGIN]],tbMAPA[#All],2,0), "Não localizado")</f>
        <v>Ivanildo Cavalcante De Souza Junior</v>
      </c>
      <c r="F1220" s="34" t="str">
        <f>IFERROR(VLOOKUP(tbLOG[[#This Row],[LOGIN]],tbMAPA[#All],3,0), "Não localizado")</f>
        <v>Jefte Soares Da Silva</v>
      </c>
      <c r="G1220" s="3" t="s">
        <v>298</v>
      </c>
      <c r="H1220" s="3" t="s">
        <v>315</v>
      </c>
    </row>
    <row r="1221" spans="1:8">
      <c r="A1221" s="29">
        <v>42744.428715277776</v>
      </c>
      <c r="B1221" s="29" t="str">
        <f>PROPER(TEXT(tbLOG[[#This Row],[DATA/HORA]],"mmmm"))</f>
        <v>Janeiro</v>
      </c>
      <c r="C1221" s="34" t="str">
        <f>PROPER(TEXT(tbLOG[[#This Row],[DATA/HORA]],"dddd"))</f>
        <v>Segunda-Feira</v>
      </c>
      <c r="D1221" s="3" t="s">
        <v>297</v>
      </c>
      <c r="E1221" s="34" t="str">
        <f>IFERROR(VLOOKUP(tbLOG[[#This Row],[LOGIN]],tbMAPA[#All],2,0), "Não localizado")</f>
        <v>Ivanildo Cavalcante De Souza Junior</v>
      </c>
      <c r="F1221" s="34" t="str">
        <f>IFERROR(VLOOKUP(tbLOG[[#This Row],[LOGIN]],tbMAPA[#All],3,0), "Não localizado")</f>
        <v>Jefte Soares Da Silva</v>
      </c>
      <c r="G1221" s="3" t="s">
        <v>298</v>
      </c>
      <c r="H1221" s="3" t="s">
        <v>292</v>
      </c>
    </row>
    <row r="1222" spans="1:8">
      <c r="A1222" s="29">
        <v>42744.428738425922</v>
      </c>
      <c r="B1222" s="29" t="str">
        <f>PROPER(TEXT(tbLOG[[#This Row],[DATA/HORA]],"mmmm"))</f>
        <v>Janeiro</v>
      </c>
      <c r="C1222" s="34" t="str">
        <f>PROPER(TEXT(tbLOG[[#This Row],[DATA/HORA]],"dddd"))</f>
        <v>Segunda-Feira</v>
      </c>
      <c r="D1222" s="3" t="s">
        <v>297</v>
      </c>
      <c r="E1222" s="34" t="str">
        <f>IFERROR(VLOOKUP(tbLOG[[#This Row],[LOGIN]],tbMAPA[#All],2,0), "Não localizado")</f>
        <v>Ivanildo Cavalcante De Souza Junior</v>
      </c>
      <c r="F1222" s="34" t="str">
        <f>IFERROR(VLOOKUP(tbLOG[[#This Row],[LOGIN]],tbMAPA[#All],3,0), "Não localizado")</f>
        <v>Jefte Soares Da Silva</v>
      </c>
      <c r="G1222" s="3" t="s">
        <v>298</v>
      </c>
      <c r="H1222" s="3" t="s">
        <v>292</v>
      </c>
    </row>
    <row r="1223" spans="1:8">
      <c r="A1223" s="29">
        <v>42744.428738425922</v>
      </c>
      <c r="B1223" s="29" t="str">
        <f>PROPER(TEXT(tbLOG[[#This Row],[DATA/HORA]],"mmmm"))</f>
        <v>Janeiro</v>
      </c>
      <c r="C1223" s="34" t="str">
        <f>PROPER(TEXT(tbLOG[[#This Row],[DATA/HORA]],"dddd"))</f>
        <v>Segunda-Feira</v>
      </c>
      <c r="D1223" s="3" t="s">
        <v>297</v>
      </c>
      <c r="E1223" s="34" t="str">
        <f>IFERROR(VLOOKUP(tbLOG[[#This Row],[LOGIN]],tbMAPA[#All],2,0), "Não localizado")</f>
        <v>Ivanildo Cavalcante De Souza Junior</v>
      </c>
      <c r="F1223" s="34" t="str">
        <f>IFERROR(VLOOKUP(tbLOG[[#This Row],[LOGIN]],tbMAPA[#All],3,0), "Não localizado")</f>
        <v>Jefte Soares Da Silva</v>
      </c>
      <c r="G1223" s="3" t="s">
        <v>298</v>
      </c>
      <c r="H1223" s="3" t="s">
        <v>317</v>
      </c>
    </row>
    <row r="1224" spans="1:8">
      <c r="A1224" s="29">
        <v>42744.429027777776</v>
      </c>
      <c r="B1224" s="29" t="str">
        <f>PROPER(TEXT(tbLOG[[#This Row],[DATA/HORA]],"mmmm"))</f>
        <v>Janeiro</v>
      </c>
      <c r="C1224" s="34" t="str">
        <f>PROPER(TEXT(tbLOG[[#This Row],[DATA/HORA]],"dddd"))</f>
        <v>Segunda-Feira</v>
      </c>
      <c r="D1224" s="3" t="s">
        <v>297</v>
      </c>
      <c r="E1224" s="34" t="str">
        <f>IFERROR(VLOOKUP(tbLOG[[#This Row],[LOGIN]],tbMAPA[#All],2,0), "Não localizado")</f>
        <v>Ivanildo Cavalcante De Souza Junior</v>
      </c>
      <c r="F1224" s="34" t="str">
        <f>IFERROR(VLOOKUP(tbLOG[[#This Row],[LOGIN]],tbMAPA[#All],3,0), "Não localizado")</f>
        <v>Jefte Soares Da Silva</v>
      </c>
      <c r="G1224" s="3" t="s">
        <v>298</v>
      </c>
      <c r="H1224" s="3" t="s">
        <v>835</v>
      </c>
    </row>
    <row r="1225" spans="1:8">
      <c r="A1225" s="29">
        <v>42744.429143518515</v>
      </c>
      <c r="B1225" s="29" t="str">
        <f>PROPER(TEXT(tbLOG[[#This Row],[DATA/HORA]],"mmmm"))</f>
        <v>Janeiro</v>
      </c>
      <c r="C1225" s="34" t="str">
        <f>PROPER(TEXT(tbLOG[[#This Row],[DATA/HORA]],"dddd"))</f>
        <v>Segunda-Feira</v>
      </c>
      <c r="D1225" s="3" t="s">
        <v>297</v>
      </c>
      <c r="E1225" s="34" t="str">
        <f>IFERROR(VLOOKUP(tbLOG[[#This Row],[LOGIN]],tbMAPA[#All],2,0), "Não localizado")</f>
        <v>Ivanildo Cavalcante De Souza Junior</v>
      </c>
      <c r="F1225" s="34" t="str">
        <f>IFERROR(VLOOKUP(tbLOG[[#This Row],[LOGIN]],tbMAPA[#All],3,0), "Não localizado")</f>
        <v>Jefte Soares Da Silva</v>
      </c>
      <c r="G1225" s="3" t="s">
        <v>298</v>
      </c>
      <c r="H1225" s="3" t="s">
        <v>836</v>
      </c>
    </row>
    <row r="1226" spans="1:8">
      <c r="A1226" s="29">
        <v>42744.429375</v>
      </c>
      <c r="B1226" s="29" t="str">
        <f>PROPER(TEXT(tbLOG[[#This Row],[DATA/HORA]],"mmmm"))</f>
        <v>Janeiro</v>
      </c>
      <c r="C1226" s="34" t="str">
        <f>PROPER(TEXT(tbLOG[[#This Row],[DATA/HORA]],"dddd"))</f>
        <v>Segunda-Feira</v>
      </c>
      <c r="D1226" s="3" t="s">
        <v>297</v>
      </c>
      <c r="E1226" s="34" t="str">
        <f>IFERROR(VLOOKUP(tbLOG[[#This Row],[LOGIN]],tbMAPA[#All],2,0), "Não localizado")</f>
        <v>Ivanildo Cavalcante De Souza Junior</v>
      </c>
      <c r="F1226" s="34" t="str">
        <f>IFERROR(VLOOKUP(tbLOG[[#This Row],[LOGIN]],tbMAPA[#All],3,0), "Não localizado")</f>
        <v>Jefte Soares Da Silva</v>
      </c>
      <c r="G1226" s="3" t="s">
        <v>298</v>
      </c>
      <c r="H1226" s="3" t="s">
        <v>836</v>
      </c>
    </row>
    <row r="1227" spans="1:8">
      <c r="A1227" s="29">
        <v>42744.429479166669</v>
      </c>
      <c r="B1227" s="29" t="str">
        <f>PROPER(TEXT(tbLOG[[#This Row],[DATA/HORA]],"mmmm"))</f>
        <v>Janeiro</v>
      </c>
      <c r="C1227" s="34" t="str">
        <f>PROPER(TEXT(tbLOG[[#This Row],[DATA/HORA]],"dddd"))</f>
        <v>Segunda-Feira</v>
      </c>
      <c r="D1227" s="3" t="s">
        <v>297</v>
      </c>
      <c r="E1227" s="34" t="str">
        <f>IFERROR(VLOOKUP(tbLOG[[#This Row],[LOGIN]],tbMAPA[#All],2,0), "Não localizado")</f>
        <v>Ivanildo Cavalcante De Souza Junior</v>
      </c>
      <c r="F1227" s="34" t="str">
        <f>IFERROR(VLOOKUP(tbLOG[[#This Row],[LOGIN]],tbMAPA[#All],3,0), "Não localizado")</f>
        <v>Jefte Soares Da Silva</v>
      </c>
      <c r="G1227" s="3" t="s">
        <v>298</v>
      </c>
      <c r="H1227" s="3" t="s">
        <v>836</v>
      </c>
    </row>
    <row r="1228" spans="1:8">
      <c r="A1228" s="29">
        <v>42744.430011574077</v>
      </c>
      <c r="B1228" s="29" t="str">
        <f>PROPER(TEXT(tbLOG[[#This Row],[DATA/HORA]],"mmmm"))</f>
        <v>Janeiro</v>
      </c>
      <c r="C1228" s="34" t="str">
        <f>PROPER(TEXT(tbLOG[[#This Row],[DATA/HORA]],"dddd"))</f>
        <v>Segunda-Feira</v>
      </c>
      <c r="D1228" s="3" t="s">
        <v>297</v>
      </c>
      <c r="E1228" s="34" t="str">
        <f>IFERROR(VLOOKUP(tbLOG[[#This Row],[LOGIN]],tbMAPA[#All],2,0), "Não localizado")</f>
        <v>Ivanildo Cavalcante De Souza Junior</v>
      </c>
      <c r="F1228" s="34" t="str">
        <f>IFERROR(VLOOKUP(tbLOG[[#This Row],[LOGIN]],tbMAPA[#All],3,0), "Não localizado")</f>
        <v>Jefte Soares Da Silva</v>
      </c>
      <c r="G1228" s="3" t="s">
        <v>298</v>
      </c>
      <c r="H1228" s="3" t="s">
        <v>309</v>
      </c>
    </row>
    <row r="1229" spans="1:8">
      <c r="A1229" s="29">
        <v>42744.43005787037</v>
      </c>
      <c r="B1229" s="29" t="str">
        <f>PROPER(TEXT(tbLOG[[#This Row],[DATA/HORA]],"mmmm"))</f>
        <v>Janeiro</v>
      </c>
      <c r="C1229" s="34" t="str">
        <f>PROPER(TEXT(tbLOG[[#This Row],[DATA/HORA]],"dddd"))</f>
        <v>Segunda-Feira</v>
      </c>
      <c r="D1229" s="3" t="s">
        <v>297</v>
      </c>
      <c r="E1229" s="34" t="str">
        <f>IFERROR(VLOOKUP(tbLOG[[#This Row],[LOGIN]],tbMAPA[#All],2,0), "Não localizado")</f>
        <v>Ivanildo Cavalcante De Souza Junior</v>
      </c>
      <c r="F1229" s="34" t="str">
        <f>IFERROR(VLOOKUP(tbLOG[[#This Row],[LOGIN]],tbMAPA[#All],3,0), "Não localizado")</f>
        <v>Jefte Soares Da Silva</v>
      </c>
      <c r="G1229" s="3" t="s">
        <v>298</v>
      </c>
      <c r="H1229" s="3" t="s">
        <v>309</v>
      </c>
    </row>
    <row r="1230" spans="1:8">
      <c r="A1230" s="29">
        <v>42744.430312500001</v>
      </c>
      <c r="B1230" s="29" t="str">
        <f>PROPER(TEXT(tbLOG[[#This Row],[DATA/HORA]],"mmmm"))</f>
        <v>Janeiro</v>
      </c>
      <c r="C1230" s="34" t="str">
        <f>PROPER(TEXT(tbLOG[[#This Row],[DATA/HORA]],"dddd"))</f>
        <v>Segunda-Feira</v>
      </c>
      <c r="D1230" s="3" t="s">
        <v>297</v>
      </c>
      <c r="E1230" s="34" t="str">
        <f>IFERROR(VLOOKUP(tbLOG[[#This Row],[LOGIN]],tbMAPA[#All],2,0), "Não localizado")</f>
        <v>Ivanildo Cavalcante De Souza Junior</v>
      </c>
      <c r="F1230" s="34" t="str">
        <f>IFERROR(VLOOKUP(tbLOG[[#This Row],[LOGIN]],tbMAPA[#All],3,0), "Não localizado")</f>
        <v>Jefte Soares Da Silva</v>
      </c>
      <c r="G1230" s="3" t="s">
        <v>298</v>
      </c>
      <c r="H1230" s="3" t="s">
        <v>309</v>
      </c>
    </row>
    <row r="1231" spans="1:8">
      <c r="A1231" s="29">
        <v>42744.430474537039</v>
      </c>
      <c r="B1231" s="29" t="str">
        <f>PROPER(TEXT(tbLOG[[#This Row],[DATA/HORA]],"mmmm"))</f>
        <v>Janeiro</v>
      </c>
      <c r="C1231" s="34" t="str">
        <f>PROPER(TEXT(tbLOG[[#This Row],[DATA/HORA]],"dddd"))</f>
        <v>Segunda-Feira</v>
      </c>
      <c r="D1231" s="3" t="s">
        <v>297</v>
      </c>
      <c r="E1231" s="34" t="str">
        <f>IFERROR(VLOOKUP(tbLOG[[#This Row],[LOGIN]],tbMAPA[#All],2,0), "Não localizado")</f>
        <v>Ivanildo Cavalcante De Souza Junior</v>
      </c>
      <c r="F1231" s="34" t="str">
        <f>IFERROR(VLOOKUP(tbLOG[[#This Row],[LOGIN]],tbMAPA[#All],3,0), "Não localizado")</f>
        <v>Jefte Soares Da Silva</v>
      </c>
      <c r="G1231" s="3" t="s">
        <v>298</v>
      </c>
      <c r="H1231" s="3" t="s">
        <v>309</v>
      </c>
    </row>
    <row r="1232" spans="1:8">
      <c r="A1232" s="29">
        <v>42744.430567129632</v>
      </c>
      <c r="B1232" s="29" t="str">
        <f>PROPER(TEXT(tbLOG[[#This Row],[DATA/HORA]],"mmmm"))</f>
        <v>Janeiro</v>
      </c>
      <c r="C1232" s="34" t="str">
        <f>PROPER(TEXT(tbLOG[[#This Row],[DATA/HORA]],"dddd"))</f>
        <v>Segunda-Feira</v>
      </c>
      <c r="D1232" s="3" t="s">
        <v>297</v>
      </c>
      <c r="E1232" s="34" t="str">
        <f>IFERROR(VLOOKUP(tbLOG[[#This Row],[LOGIN]],tbMAPA[#All],2,0), "Não localizado")</f>
        <v>Ivanildo Cavalcante De Souza Junior</v>
      </c>
      <c r="F1232" s="34" t="str">
        <f>IFERROR(VLOOKUP(tbLOG[[#This Row],[LOGIN]],tbMAPA[#All],3,0), "Não localizado")</f>
        <v>Jefte Soares Da Silva</v>
      </c>
      <c r="G1232" s="3" t="s">
        <v>298</v>
      </c>
      <c r="H1232" s="3" t="s">
        <v>290</v>
      </c>
    </row>
    <row r="1233" spans="1:8">
      <c r="A1233" s="29">
        <v>42744.431087962963</v>
      </c>
      <c r="B1233" s="29" t="str">
        <f>PROPER(TEXT(tbLOG[[#This Row],[DATA/HORA]],"mmmm"))</f>
        <v>Janeiro</v>
      </c>
      <c r="C1233" s="34" t="str">
        <f>PROPER(TEXT(tbLOG[[#This Row],[DATA/HORA]],"dddd"))</f>
        <v>Segunda-Feira</v>
      </c>
      <c r="D1233" s="3" t="s">
        <v>297</v>
      </c>
      <c r="E1233" s="34" t="str">
        <f>IFERROR(VLOOKUP(tbLOG[[#This Row],[LOGIN]],tbMAPA[#All],2,0), "Não localizado")</f>
        <v>Ivanildo Cavalcante De Souza Junior</v>
      </c>
      <c r="F1233" s="34" t="str">
        <f>IFERROR(VLOOKUP(tbLOG[[#This Row],[LOGIN]],tbMAPA[#All],3,0), "Não localizado")</f>
        <v>Jefte Soares Da Silva</v>
      </c>
      <c r="G1233" s="3" t="s">
        <v>298</v>
      </c>
      <c r="H1233" s="3" t="s">
        <v>836</v>
      </c>
    </row>
    <row r="1234" spans="1:8">
      <c r="A1234" s="29">
        <v>42744.431157407409</v>
      </c>
      <c r="B1234" s="29" t="str">
        <f>PROPER(TEXT(tbLOG[[#This Row],[DATA/HORA]],"mmmm"))</f>
        <v>Janeiro</v>
      </c>
      <c r="C1234" s="34" t="str">
        <f>PROPER(TEXT(tbLOG[[#This Row],[DATA/HORA]],"dddd"))</f>
        <v>Segunda-Feira</v>
      </c>
      <c r="D1234" s="3" t="s">
        <v>297</v>
      </c>
      <c r="E1234" s="34" t="str">
        <f>IFERROR(VLOOKUP(tbLOG[[#This Row],[LOGIN]],tbMAPA[#All],2,0), "Não localizado")</f>
        <v>Ivanildo Cavalcante De Souza Junior</v>
      </c>
      <c r="F1234" s="34" t="str">
        <f>IFERROR(VLOOKUP(tbLOG[[#This Row],[LOGIN]],tbMAPA[#All],3,0), "Não localizado")</f>
        <v>Jefte Soares Da Silva</v>
      </c>
      <c r="G1234" s="3" t="s">
        <v>298</v>
      </c>
      <c r="H1234" s="3" t="s">
        <v>836</v>
      </c>
    </row>
    <row r="1235" spans="1:8">
      <c r="A1235" s="29">
        <v>42744.431215277778</v>
      </c>
      <c r="B1235" s="29" t="str">
        <f>PROPER(TEXT(tbLOG[[#This Row],[DATA/HORA]],"mmmm"))</f>
        <v>Janeiro</v>
      </c>
      <c r="C1235" s="34" t="str">
        <f>PROPER(TEXT(tbLOG[[#This Row],[DATA/HORA]],"dddd"))</f>
        <v>Segunda-Feira</v>
      </c>
      <c r="D1235" s="3" t="s">
        <v>297</v>
      </c>
      <c r="E1235" s="34" t="str">
        <f>IFERROR(VLOOKUP(tbLOG[[#This Row],[LOGIN]],tbMAPA[#All],2,0), "Não localizado")</f>
        <v>Ivanildo Cavalcante De Souza Junior</v>
      </c>
      <c r="F1235" s="34" t="str">
        <f>IFERROR(VLOOKUP(tbLOG[[#This Row],[LOGIN]],tbMAPA[#All],3,0), "Não localizado")</f>
        <v>Jefte Soares Da Silva</v>
      </c>
      <c r="G1235" s="3" t="s">
        <v>298</v>
      </c>
      <c r="H1235" s="3" t="s">
        <v>836</v>
      </c>
    </row>
    <row r="1236" spans="1:8">
      <c r="A1236" s="29">
        <v>42744.431284722225</v>
      </c>
      <c r="B1236" s="29" t="str">
        <f>PROPER(TEXT(tbLOG[[#This Row],[DATA/HORA]],"mmmm"))</f>
        <v>Janeiro</v>
      </c>
      <c r="C1236" s="34" t="str">
        <f>PROPER(TEXT(tbLOG[[#This Row],[DATA/HORA]],"dddd"))</f>
        <v>Segunda-Feira</v>
      </c>
      <c r="D1236" s="3" t="s">
        <v>297</v>
      </c>
      <c r="E1236" s="34" t="str">
        <f>IFERROR(VLOOKUP(tbLOG[[#This Row],[LOGIN]],tbMAPA[#All],2,0), "Não localizado")</f>
        <v>Ivanildo Cavalcante De Souza Junior</v>
      </c>
      <c r="F1236" s="34" t="str">
        <f>IFERROR(VLOOKUP(tbLOG[[#This Row],[LOGIN]],tbMAPA[#All],3,0), "Não localizado")</f>
        <v>Jefte Soares Da Silva</v>
      </c>
      <c r="G1236" s="3" t="s">
        <v>298</v>
      </c>
      <c r="H1236" s="3" t="s">
        <v>836</v>
      </c>
    </row>
    <row r="1237" spans="1:8">
      <c r="A1237" s="29">
        <v>42744.431342592594</v>
      </c>
      <c r="B1237" s="29" t="str">
        <f>PROPER(TEXT(tbLOG[[#This Row],[DATA/HORA]],"mmmm"))</f>
        <v>Janeiro</v>
      </c>
      <c r="C1237" s="34" t="str">
        <f>PROPER(TEXT(tbLOG[[#This Row],[DATA/HORA]],"dddd"))</f>
        <v>Segunda-Feira</v>
      </c>
      <c r="D1237" s="3" t="s">
        <v>297</v>
      </c>
      <c r="E1237" s="34" t="str">
        <f>IFERROR(VLOOKUP(tbLOG[[#This Row],[LOGIN]],tbMAPA[#All],2,0), "Não localizado")</f>
        <v>Ivanildo Cavalcante De Souza Junior</v>
      </c>
      <c r="F1237" s="34" t="str">
        <f>IFERROR(VLOOKUP(tbLOG[[#This Row],[LOGIN]],tbMAPA[#All],3,0), "Não localizado")</f>
        <v>Jefte Soares Da Silva</v>
      </c>
      <c r="G1237" s="3" t="s">
        <v>298</v>
      </c>
      <c r="H1237" s="3" t="s">
        <v>836</v>
      </c>
    </row>
    <row r="1238" spans="1:8">
      <c r="A1238" s="29">
        <v>42744.431585648148</v>
      </c>
      <c r="B1238" s="29" t="str">
        <f>PROPER(TEXT(tbLOG[[#This Row],[DATA/HORA]],"mmmm"))</f>
        <v>Janeiro</v>
      </c>
      <c r="C1238" s="34" t="str">
        <f>PROPER(TEXT(tbLOG[[#This Row],[DATA/HORA]],"dddd"))</f>
        <v>Segunda-Feira</v>
      </c>
      <c r="D1238" s="3" t="s">
        <v>297</v>
      </c>
      <c r="E1238" s="34" t="str">
        <f>IFERROR(VLOOKUP(tbLOG[[#This Row],[LOGIN]],tbMAPA[#All],2,0), "Não localizado")</f>
        <v>Ivanildo Cavalcante De Souza Junior</v>
      </c>
      <c r="F1238" s="34" t="str">
        <f>IFERROR(VLOOKUP(tbLOG[[#This Row],[LOGIN]],tbMAPA[#All],3,0), "Não localizado")</f>
        <v>Jefte Soares Da Silva</v>
      </c>
      <c r="G1238" s="3" t="s">
        <v>298</v>
      </c>
      <c r="H1238" s="3" t="s">
        <v>836</v>
      </c>
    </row>
    <row r="1239" spans="1:8">
      <c r="A1239" s="29">
        <v>42744.431909722225</v>
      </c>
      <c r="B1239" s="29" t="str">
        <f>PROPER(TEXT(tbLOG[[#This Row],[DATA/HORA]],"mmmm"))</f>
        <v>Janeiro</v>
      </c>
      <c r="C1239" s="34" t="str">
        <f>PROPER(TEXT(tbLOG[[#This Row],[DATA/HORA]],"dddd"))</f>
        <v>Segunda-Feira</v>
      </c>
      <c r="D1239" s="3" t="s">
        <v>297</v>
      </c>
      <c r="E1239" s="34" t="str">
        <f>IFERROR(VLOOKUP(tbLOG[[#This Row],[LOGIN]],tbMAPA[#All],2,0), "Não localizado")</f>
        <v>Ivanildo Cavalcante De Souza Junior</v>
      </c>
      <c r="F1239" s="34" t="str">
        <f>IFERROR(VLOOKUP(tbLOG[[#This Row],[LOGIN]],tbMAPA[#All],3,0), "Não localizado")</f>
        <v>Jefte Soares Da Silva</v>
      </c>
      <c r="G1239" s="3" t="s">
        <v>298</v>
      </c>
      <c r="H1239" s="3" t="s">
        <v>836</v>
      </c>
    </row>
    <row r="1240" spans="1:8">
      <c r="A1240" s="29">
        <v>42744.431967592594</v>
      </c>
      <c r="B1240" s="29" t="str">
        <f>PROPER(TEXT(tbLOG[[#This Row],[DATA/HORA]],"mmmm"))</f>
        <v>Janeiro</v>
      </c>
      <c r="C1240" s="34" t="str">
        <f>PROPER(TEXT(tbLOG[[#This Row],[DATA/HORA]],"dddd"))</f>
        <v>Segunda-Feira</v>
      </c>
      <c r="D1240" s="3" t="s">
        <v>297</v>
      </c>
      <c r="E1240" s="34" t="str">
        <f>IFERROR(VLOOKUP(tbLOG[[#This Row],[LOGIN]],tbMAPA[#All],2,0), "Não localizado")</f>
        <v>Ivanildo Cavalcante De Souza Junior</v>
      </c>
      <c r="F1240" s="34" t="str">
        <f>IFERROR(VLOOKUP(tbLOG[[#This Row],[LOGIN]],tbMAPA[#All],3,0), "Não localizado")</f>
        <v>Jefte Soares Da Silva</v>
      </c>
      <c r="G1240" s="3" t="s">
        <v>298</v>
      </c>
      <c r="H1240" s="3" t="s">
        <v>836</v>
      </c>
    </row>
    <row r="1241" spans="1:8">
      <c r="A1241" s="29">
        <v>42744.432013888887</v>
      </c>
      <c r="B1241" s="29" t="str">
        <f>PROPER(TEXT(tbLOG[[#This Row],[DATA/HORA]],"mmmm"))</f>
        <v>Janeiro</v>
      </c>
      <c r="C1241" s="34" t="str">
        <f>PROPER(TEXT(tbLOG[[#This Row],[DATA/HORA]],"dddd"))</f>
        <v>Segunda-Feira</v>
      </c>
      <c r="D1241" s="3" t="s">
        <v>297</v>
      </c>
      <c r="E1241" s="34" t="str">
        <f>IFERROR(VLOOKUP(tbLOG[[#This Row],[LOGIN]],tbMAPA[#All],2,0), "Não localizado")</f>
        <v>Ivanildo Cavalcante De Souza Junior</v>
      </c>
      <c r="F1241" s="34" t="str">
        <f>IFERROR(VLOOKUP(tbLOG[[#This Row],[LOGIN]],tbMAPA[#All],3,0), "Não localizado")</f>
        <v>Jefte Soares Da Silva</v>
      </c>
      <c r="G1241" s="3" t="s">
        <v>298</v>
      </c>
      <c r="H1241" s="3" t="s">
        <v>836</v>
      </c>
    </row>
    <row r="1242" spans="1:8">
      <c r="A1242" s="29">
        <v>42744.432141203702</v>
      </c>
      <c r="B1242" s="29" t="str">
        <f>PROPER(TEXT(tbLOG[[#This Row],[DATA/HORA]],"mmmm"))</f>
        <v>Janeiro</v>
      </c>
      <c r="C1242" s="34" t="str">
        <f>PROPER(TEXT(tbLOG[[#This Row],[DATA/HORA]],"dddd"))</f>
        <v>Segunda-Feira</v>
      </c>
      <c r="D1242" s="3" t="s">
        <v>297</v>
      </c>
      <c r="E1242" s="34" t="str">
        <f>IFERROR(VLOOKUP(tbLOG[[#This Row],[LOGIN]],tbMAPA[#All],2,0), "Não localizado")</f>
        <v>Ivanildo Cavalcante De Souza Junior</v>
      </c>
      <c r="F1242" s="34" t="str">
        <f>IFERROR(VLOOKUP(tbLOG[[#This Row],[LOGIN]],tbMAPA[#All],3,0), "Não localizado")</f>
        <v>Jefte Soares Da Silva</v>
      </c>
      <c r="G1242" s="3" t="s">
        <v>298</v>
      </c>
      <c r="H1242" s="3" t="s">
        <v>836</v>
      </c>
    </row>
    <row r="1243" spans="1:8">
      <c r="A1243" s="29">
        <v>42744.432685185187</v>
      </c>
      <c r="B1243" s="29" t="str">
        <f>PROPER(TEXT(tbLOG[[#This Row],[DATA/HORA]],"mmmm"))</f>
        <v>Janeiro</v>
      </c>
      <c r="C1243" s="34" t="str">
        <f>PROPER(TEXT(tbLOG[[#This Row],[DATA/HORA]],"dddd"))</f>
        <v>Segunda-Feira</v>
      </c>
      <c r="D1243" s="3" t="s">
        <v>297</v>
      </c>
      <c r="E1243" s="34" t="str">
        <f>IFERROR(VLOOKUP(tbLOG[[#This Row],[LOGIN]],tbMAPA[#All],2,0), "Não localizado")</f>
        <v>Ivanildo Cavalcante De Souza Junior</v>
      </c>
      <c r="F1243" s="34" t="str">
        <f>IFERROR(VLOOKUP(tbLOG[[#This Row],[LOGIN]],tbMAPA[#All],3,0), "Não localizado")</f>
        <v>Jefte Soares Da Silva</v>
      </c>
      <c r="G1243" s="3" t="s">
        <v>298</v>
      </c>
      <c r="H1243" s="3" t="s">
        <v>836</v>
      </c>
    </row>
    <row r="1244" spans="1:8">
      <c r="A1244" s="29">
        <v>42744.432800925926</v>
      </c>
      <c r="B1244" s="29" t="str">
        <f>PROPER(TEXT(tbLOG[[#This Row],[DATA/HORA]],"mmmm"))</f>
        <v>Janeiro</v>
      </c>
      <c r="C1244" s="34" t="str">
        <f>PROPER(TEXT(tbLOG[[#This Row],[DATA/HORA]],"dddd"))</f>
        <v>Segunda-Feira</v>
      </c>
      <c r="D1244" s="3" t="s">
        <v>297</v>
      </c>
      <c r="E1244" s="34" t="str">
        <f>IFERROR(VLOOKUP(tbLOG[[#This Row],[LOGIN]],tbMAPA[#All],2,0), "Não localizado")</f>
        <v>Ivanildo Cavalcante De Souza Junior</v>
      </c>
      <c r="F1244" s="34" t="str">
        <f>IFERROR(VLOOKUP(tbLOG[[#This Row],[LOGIN]],tbMAPA[#All],3,0), "Não localizado")</f>
        <v>Jefte Soares Da Silva</v>
      </c>
      <c r="G1244" s="3" t="s">
        <v>298</v>
      </c>
      <c r="H1244" s="3" t="s">
        <v>309</v>
      </c>
    </row>
    <row r="1245" spans="1:8">
      <c r="A1245" s="29">
        <v>42744.433009259257</v>
      </c>
      <c r="B1245" s="29" t="str">
        <f>PROPER(TEXT(tbLOG[[#This Row],[DATA/HORA]],"mmmm"))</f>
        <v>Janeiro</v>
      </c>
      <c r="C1245" s="34" t="str">
        <f>PROPER(TEXT(tbLOG[[#This Row],[DATA/HORA]],"dddd"))</f>
        <v>Segunda-Feira</v>
      </c>
      <c r="D1245" s="3" t="s">
        <v>297</v>
      </c>
      <c r="E1245" s="34" t="str">
        <f>IFERROR(VLOOKUP(tbLOG[[#This Row],[LOGIN]],tbMAPA[#All],2,0), "Não localizado")</f>
        <v>Ivanildo Cavalcante De Souza Junior</v>
      </c>
      <c r="F1245" s="34" t="str">
        <f>IFERROR(VLOOKUP(tbLOG[[#This Row],[LOGIN]],tbMAPA[#All],3,0), "Não localizado")</f>
        <v>Jefte Soares Da Silva</v>
      </c>
      <c r="G1245" s="3" t="s">
        <v>298</v>
      </c>
      <c r="H1245" s="3" t="s">
        <v>309</v>
      </c>
    </row>
    <row r="1246" spans="1:8">
      <c r="A1246" s="29">
        <v>42744.433055555557</v>
      </c>
      <c r="B1246" s="29" t="str">
        <f>PROPER(TEXT(tbLOG[[#This Row],[DATA/HORA]],"mmmm"))</f>
        <v>Janeiro</v>
      </c>
      <c r="C1246" s="34" t="str">
        <f>PROPER(TEXT(tbLOG[[#This Row],[DATA/HORA]],"dddd"))</f>
        <v>Segunda-Feira</v>
      </c>
      <c r="D1246" s="3" t="s">
        <v>297</v>
      </c>
      <c r="E1246" s="34" t="str">
        <f>IFERROR(VLOOKUP(tbLOG[[#This Row],[LOGIN]],tbMAPA[#All],2,0), "Não localizado")</f>
        <v>Ivanildo Cavalcante De Souza Junior</v>
      </c>
      <c r="F1246" s="34" t="str">
        <f>IFERROR(VLOOKUP(tbLOG[[#This Row],[LOGIN]],tbMAPA[#All],3,0), "Não localizado")</f>
        <v>Jefte Soares Da Silva</v>
      </c>
      <c r="G1246" s="3" t="s">
        <v>298</v>
      </c>
      <c r="H1246" s="3" t="s">
        <v>309</v>
      </c>
    </row>
    <row r="1247" spans="1:8">
      <c r="A1247" s="29">
        <v>42744.433055555557</v>
      </c>
      <c r="B1247" s="29" t="str">
        <f>PROPER(TEXT(tbLOG[[#This Row],[DATA/HORA]],"mmmm"))</f>
        <v>Janeiro</v>
      </c>
      <c r="C1247" s="34" t="str">
        <f>PROPER(TEXT(tbLOG[[#This Row],[DATA/HORA]],"dddd"))</f>
        <v>Segunda-Feira</v>
      </c>
      <c r="D1247" s="3" t="s">
        <v>297</v>
      </c>
      <c r="E1247" s="34" t="str">
        <f>IFERROR(VLOOKUP(tbLOG[[#This Row],[LOGIN]],tbMAPA[#All],2,0), "Não localizado")</f>
        <v>Ivanildo Cavalcante De Souza Junior</v>
      </c>
      <c r="F1247" s="34" t="str">
        <f>IFERROR(VLOOKUP(tbLOG[[#This Row],[LOGIN]],tbMAPA[#All],3,0), "Não localizado")</f>
        <v>Jefte Soares Da Silva</v>
      </c>
      <c r="G1247" s="3" t="s">
        <v>298</v>
      </c>
      <c r="H1247" s="3" t="s">
        <v>310</v>
      </c>
    </row>
    <row r="1248" spans="1:8">
      <c r="A1248" s="29">
        <v>42744.43310185185</v>
      </c>
      <c r="B1248" s="29" t="str">
        <f>PROPER(TEXT(tbLOG[[#This Row],[DATA/HORA]],"mmmm"))</f>
        <v>Janeiro</v>
      </c>
      <c r="C1248" s="34" t="str">
        <f>PROPER(TEXT(tbLOG[[#This Row],[DATA/HORA]],"dddd"))</f>
        <v>Segunda-Feira</v>
      </c>
      <c r="D1248" s="3" t="s">
        <v>297</v>
      </c>
      <c r="E1248" s="34" t="str">
        <f>IFERROR(VLOOKUP(tbLOG[[#This Row],[LOGIN]],tbMAPA[#All],2,0), "Não localizado")</f>
        <v>Ivanildo Cavalcante De Souza Junior</v>
      </c>
      <c r="F1248" s="34" t="str">
        <f>IFERROR(VLOOKUP(tbLOG[[#This Row],[LOGIN]],tbMAPA[#All],3,0), "Não localizado")</f>
        <v>Jefte Soares Da Silva</v>
      </c>
      <c r="G1248" s="3" t="s">
        <v>298</v>
      </c>
      <c r="H1248" s="3" t="s">
        <v>309</v>
      </c>
    </row>
    <row r="1249" spans="1:8">
      <c r="A1249" s="29">
        <v>42744.43310185185</v>
      </c>
      <c r="B1249" s="29" t="str">
        <f>PROPER(TEXT(tbLOG[[#This Row],[DATA/HORA]],"mmmm"))</f>
        <v>Janeiro</v>
      </c>
      <c r="C1249" s="34" t="str">
        <f>PROPER(TEXT(tbLOG[[#This Row],[DATA/HORA]],"dddd"))</f>
        <v>Segunda-Feira</v>
      </c>
      <c r="D1249" s="3" t="s">
        <v>297</v>
      </c>
      <c r="E1249" s="34" t="str">
        <f>IFERROR(VLOOKUP(tbLOG[[#This Row],[LOGIN]],tbMAPA[#All],2,0), "Não localizado")</f>
        <v>Ivanildo Cavalcante De Souza Junior</v>
      </c>
      <c r="F1249" s="34" t="str">
        <f>IFERROR(VLOOKUP(tbLOG[[#This Row],[LOGIN]],tbMAPA[#All],3,0), "Não localizado")</f>
        <v>Jefte Soares Da Silva</v>
      </c>
      <c r="G1249" s="3" t="s">
        <v>298</v>
      </c>
      <c r="H1249" s="3" t="s">
        <v>309</v>
      </c>
    </row>
    <row r="1250" spans="1:8">
      <c r="A1250" s="29">
        <v>42744.43310185185</v>
      </c>
      <c r="B1250" s="29" t="str">
        <f>PROPER(TEXT(tbLOG[[#This Row],[DATA/HORA]],"mmmm"))</f>
        <v>Janeiro</v>
      </c>
      <c r="C1250" s="34" t="str">
        <f>PROPER(TEXT(tbLOG[[#This Row],[DATA/HORA]],"dddd"))</f>
        <v>Segunda-Feira</v>
      </c>
      <c r="D1250" s="3" t="s">
        <v>297</v>
      </c>
      <c r="E1250" s="34" t="str">
        <f>IFERROR(VLOOKUP(tbLOG[[#This Row],[LOGIN]],tbMAPA[#All],2,0), "Não localizado")</f>
        <v>Ivanildo Cavalcante De Souza Junior</v>
      </c>
      <c r="F1250" s="34" t="str">
        <f>IFERROR(VLOOKUP(tbLOG[[#This Row],[LOGIN]],tbMAPA[#All],3,0), "Não localizado")</f>
        <v>Jefte Soares Da Silva</v>
      </c>
      <c r="G1250" s="3" t="s">
        <v>298</v>
      </c>
      <c r="H1250" s="3" t="s">
        <v>314</v>
      </c>
    </row>
    <row r="1251" spans="1:8">
      <c r="A1251" s="29">
        <v>42744.43341435185</v>
      </c>
      <c r="B1251" s="29" t="str">
        <f>PROPER(TEXT(tbLOG[[#This Row],[DATA/HORA]],"mmmm"))</f>
        <v>Janeiro</v>
      </c>
      <c r="C1251" s="34" t="str">
        <f>PROPER(TEXT(tbLOG[[#This Row],[DATA/HORA]],"dddd"))</f>
        <v>Segunda-Feira</v>
      </c>
      <c r="D1251" s="3" t="s">
        <v>297</v>
      </c>
      <c r="E1251" s="34" t="str">
        <f>IFERROR(VLOOKUP(tbLOG[[#This Row],[LOGIN]],tbMAPA[#All],2,0), "Não localizado")</f>
        <v>Ivanildo Cavalcante De Souza Junior</v>
      </c>
      <c r="F1251" s="34" t="str">
        <f>IFERROR(VLOOKUP(tbLOG[[#This Row],[LOGIN]],tbMAPA[#All],3,0), "Não localizado")</f>
        <v>Jefte Soares Da Silva</v>
      </c>
      <c r="G1251" s="3" t="s">
        <v>298</v>
      </c>
      <c r="H1251" s="3" t="s">
        <v>309</v>
      </c>
    </row>
    <row r="1252" spans="1:8">
      <c r="A1252" s="29">
        <v>42744.434421296297</v>
      </c>
      <c r="B1252" s="29" t="str">
        <f>PROPER(TEXT(tbLOG[[#This Row],[DATA/HORA]],"mmmm"))</f>
        <v>Janeiro</v>
      </c>
      <c r="C1252" s="34" t="str">
        <f>PROPER(TEXT(tbLOG[[#This Row],[DATA/HORA]],"dddd"))</f>
        <v>Segunda-Feira</v>
      </c>
      <c r="D1252" s="3" t="s">
        <v>297</v>
      </c>
      <c r="E1252" s="34" t="str">
        <f>IFERROR(VLOOKUP(tbLOG[[#This Row],[LOGIN]],tbMAPA[#All],2,0), "Não localizado")</f>
        <v>Ivanildo Cavalcante De Souza Junior</v>
      </c>
      <c r="F1252" s="34" t="str">
        <f>IFERROR(VLOOKUP(tbLOG[[#This Row],[LOGIN]],tbMAPA[#All],3,0), "Não localizado")</f>
        <v>Jefte Soares Da Silva</v>
      </c>
      <c r="G1252" s="3" t="s">
        <v>298</v>
      </c>
      <c r="H1252" s="3" t="s">
        <v>836</v>
      </c>
    </row>
    <row r="1253" spans="1:8">
      <c r="A1253" s="29">
        <v>42744.434699074074</v>
      </c>
      <c r="B1253" s="29" t="str">
        <f>PROPER(TEXT(tbLOG[[#This Row],[DATA/HORA]],"mmmm"))</f>
        <v>Janeiro</v>
      </c>
      <c r="C1253" s="34" t="str">
        <f>PROPER(TEXT(tbLOG[[#This Row],[DATA/HORA]],"dddd"))</f>
        <v>Segunda-Feira</v>
      </c>
      <c r="D1253" s="3" t="s">
        <v>297</v>
      </c>
      <c r="E1253" s="34" t="str">
        <f>IFERROR(VLOOKUP(tbLOG[[#This Row],[LOGIN]],tbMAPA[#All],2,0), "Não localizado")</f>
        <v>Ivanildo Cavalcante De Souza Junior</v>
      </c>
      <c r="F1253" s="34" t="str">
        <f>IFERROR(VLOOKUP(tbLOG[[#This Row],[LOGIN]],tbMAPA[#All],3,0), "Não localizado")</f>
        <v>Jefte Soares Da Silva</v>
      </c>
      <c r="G1253" s="3" t="s">
        <v>298</v>
      </c>
      <c r="H1253" s="3" t="s">
        <v>836</v>
      </c>
    </row>
    <row r="1254" spans="1:8">
      <c r="A1254" s="29">
        <v>42744.434872685182</v>
      </c>
      <c r="B1254" s="29" t="str">
        <f>PROPER(TEXT(tbLOG[[#This Row],[DATA/HORA]],"mmmm"))</f>
        <v>Janeiro</v>
      </c>
      <c r="C1254" s="34" t="str">
        <f>PROPER(TEXT(tbLOG[[#This Row],[DATA/HORA]],"dddd"))</f>
        <v>Segunda-Feira</v>
      </c>
      <c r="D1254" s="3" t="s">
        <v>297</v>
      </c>
      <c r="E1254" s="34" t="str">
        <f>IFERROR(VLOOKUP(tbLOG[[#This Row],[LOGIN]],tbMAPA[#All],2,0), "Não localizado")</f>
        <v>Ivanildo Cavalcante De Souza Junior</v>
      </c>
      <c r="F1254" s="34" t="str">
        <f>IFERROR(VLOOKUP(tbLOG[[#This Row],[LOGIN]],tbMAPA[#All],3,0), "Não localizado")</f>
        <v>Jefte Soares Da Silva</v>
      </c>
      <c r="G1254" s="3" t="s">
        <v>298</v>
      </c>
      <c r="H1254" s="3" t="s">
        <v>836</v>
      </c>
    </row>
    <row r="1255" spans="1:8">
      <c r="A1255" s="29">
        <v>42744.434942129628</v>
      </c>
      <c r="B1255" s="29" t="str">
        <f>PROPER(TEXT(tbLOG[[#This Row],[DATA/HORA]],"mmmm"))</f>
        <v>Janeiro</v>
      </c>
      <c r="C1255" s="34" t="str">
        <f>PROPER(TEXT(tbLOG[[#This Row],[DATA/HORA]],"dddd"))</f>
        <v>Segunda-Feira</v>
      </c>
      <c r="D1255" s="3" t="s">
        <v>297</v>
      </c>
      <c r="E1255" s="34" t="str">
        <f>IFERROR(VLOOKUP(tbLOG[[#This Row],[LOGIN]],tbMAPA[#All],2,0), "Não localizado")</f>
        <v>Ivanildo Cavalcante De Souza Junior</v>
      </c>
      <c r="F1255" s="34" t="str">
        <f>IFERROR(VLOOKUP(tbLOG[[#This Row],[LOGIN]],tbMAPA[#All],3,0), "Não localizado")</f>
        <v>Jefte Soares Da Silva</v>
      </c>
      <c r="G1255" s="3" t="s">
        <v>298</v>
      </c>
      <c r="H1255" s="3" t="s">
        <v>836</v>
      </c>
    </row>
    <row r="1256" spans="1:8">
      <c r="A1256" s="29">
        <v>42744.435023148151</v>
      </c>
      <c r="B1256" s="29" t="str">
        <f>PROPER(TEXT(tbLOG[[#This Row],[DATA/HORA]],"mmmm"))</f>
        <v>Janeiro</v>
      </c>
      <c r="C1256" s="34" t="str">
        <f>PROPER(TEXT(tbLOG[[#This Row],[DATA/HORA]],"dddd"))</f>
        <v>Segunda-Feira</v>
      </c>
      <c r="D1256" s="3" t="s">
        <v>297</v>
      </c>
      <c r="E1256" s="34" t="str">
        <f>IFERROR(VLOOKUP(tbLOG[[#This Row],[LOGIN]],tbMAPA[#All],2,0), "Não localizado")</f>
        <v>Ivanildo Cavalcante De Souza Junior</v>
      </c>
      <c r="F1256" s="34" t="str">
        <f>IFERROR(VLOOKUP(tbLOG[[#This Row],[LOGIN]],tbMAPA[#All],3,0), "Não localizado")</f>
        <v>Jefte Soares Da Silva</v>
      </c>
      <c r="G1256" s="3" t="s">
        <v>298</v>
      </c>
      <c r="H1256" s="3" t="s">
        <v>290</v>
      </c>
    </row>
    <row r="1257" spans="1:8">
      <c r="A1257" s="29">
        <v>42744.435081018521</v>
      </c>
      <c r="B1257" s="29" t="str">
        <f>PROPER(TEXT(tbLOG[[#This Row],[DATA/HORA]],"mmmm"))</f>
        <v>Janeiro</v>
      </c>
      <c r="C1257" s="34" t="str">
        <f>PROPER(TEXT(tbLOG[[#This Row],[DATA/HORA]],"dddd"))</f>
        <v>Segunda-Feira</v>
      </c>
      <c r="D1257" s="3" t="s">
        <v>297</v>
      </c>
      <c r="E1257" s="34" t="str">
        <f>IFERROR(VLOOKUP(tbLOG[[#This Row],[LOGIN]],tbMAPA[#All],2,0), "Não localizado")</f>
        <v>Ivanildo Cavalcante De Souza Junior</v>
      </c>
      <c r="F1257" s="34" t="str">
        <f>IFERROR(VLOOKUP(tbLOG[[#This Row],[LOGIN]],tbMAPA[#All],3,0), "Não localizado")</f>
        <v>Jefte Soares Da Silva</v>
      </c>
      <c r="G1257" s="3" t="s">
        <v>298</v>
      </c>
      <c r="H1257" s="3" t="s">
        <v>291</v>
      </c>
    </row>
    <row r="1258" spans="1:8">
      <c r="A1258" s="29">
        <v>42744.435081018521</v>
      </c>
      <c r="B1258" s="29" t="str">
        <f>PROPER(TEXT(tbLOG[[#This Row],[DATA/HORA]],"mmmm"))</f>
        <v>Janeiro</v>
      </c>
      <c r="C1258" s="34" t="str">
        <f>PROPER(TEXT(tbLOG[[#This Row],[DATA/HORA]],"dddd"))</f>
        <v>Segunda-Feira</v>
      </c>
      <c r="D1258" s="3" t="s">
        <v>297</v>
      </c>
      <c r="E1258" s="34" t="str">
        <f>IFERROR(VLOOKUP(tbLOG[[#This Row],[LOGIN]],tbMAPA[#All],2,0), "Não localizado")</f>
        <v>Ivanildo Cavalcante De Souza Junior</v>
      </c>
      <c r="F1258" s="34" t="str">
        <f>IFERROR(VLOOKUP(tbLOG[[#This Row],[LOGIN]],tbMAPA[#All],3,0), "Não localizado")</f>
        <v>Jefte Soares Da Silva</v>
      </c>
      <c r="G1258" s="3" t="s">
        <v>298</v>
      </c>
      <c r="H1258" s="3" t="s">
        <v>290</v>
      </c>
    </row>
    <row r="1259" spans="1:8">
      <c r="A1259" s="29">
        <v>42744.45171296296</v>
      </c>
      <c r="B1259" s="29" t="str">
        <f>PROPER(TEXT(tbLOG[[#This Row],[DATA/HORA]],"mmmm"))</f>
        <v>Janeiro</v>
      </c>
      <c r="C1259" s="34" t="str">
        <f>PROPER(TEXT(tbLOG[[#This Row],[DATA/HORA]],"dddd"))</f>
        <v>Segunda-Feira</v>
      </c>
      <c r="D1259" s="3" t="s">
        <v>604</v>
      </c>
      <c r="E1259" s="34" t="str">
        <f>IFERROR(VLOOKUP(tbLOG[[#This Row],[LOGIN]],tbMAPA[#All],2,0), "Não localizado")</f>
        <v>Renan Cazumba Tegani</v>
      </c>
      <c r="F1259" s="34" t="str">
        <f>IFERROR(VLOOKUP(tbLOG[[#This Row],[LOGIN]],tbMAPA[#All],3,0), "Não localizado")</f>
        <v>Reginaldo Santana De Souza</v>
      </c>
      <c r="G1259" s="3" t="s">
        <v>1211</v>
      </c>
      <c r="H1259" s="3" t="s">
        <v>994</v>
      </c>
    </row>
    <row r="1260" spans="1:8">
      <c r="A1260" s="29">
        <v>42744.45716435185</v>
      </c>
      <c r="B1260" s="29" t="str">
        <f>PROPER(TEXT(tbLOG[[#This Row],[DATA/HORA]],"mmmm"))</f>
        <v>Janeiro</v>
      </c>
      <c r="C1260" s="34" t="str">
        <f>PROPER(TEXT(tbLOG[[#This Row],[DATA/HORA]],"dddd"))</f>
        <v>Segunda-Feira</v>
      </c>
      <c r="D1260" s="3" t="s">
        <v>604</v>
      </c>
      <c r="E1260" s="34" t="str">
        <f>IFERROR(VLOOKUP(tbLOG[[#This Row],[LOGIN]],tbMAPA[#All],2,0), "Não localizado")</f>
        <v>Renan Cazumba Tegani</v>
      </c>
      <c r="F1260" s="34" t="str">
        <f>IFERROR(VLOOKUP(tbLOG[[#This Row],[LOGIN]],tbMAPA[#All],3,0), "Não localizado")</f>
        <v>Reginaldo Santana De Souza</v>
      </c>
      <c r="G1260" s="3" t="s">
        <v>1211</v>
      </c>
      <c r="H1260" s="3" t="s">
        <v>836</v>
      </c>
    </row>
    <row r="1261" spans="1:8">
      <c r="A1261" s="29">
        <v>42744.457187499997</v>
      </c>
      <c r="B1261" s="29" t="str">
        <f>PROPER(TEXT(tbLOG[[#This Row],[DATA/HORA]],"mmmm"))</f>
        <v>Janeiro</v>
      </c>
      <c r="C1261" s="34" t="str">
        <f>PROPER(TEXT(tbLOG[[#This Row],[DATA/HORA]],"dddd"))</f>
        <v>Segunda-Feira</v>
      </c>
      <c r="D1261" s="3" t="s">
        <v>604</v>
      </c>
      <c r="E1261" s="34" t="str">
        <f>IFERROR(VLOOKUP(tbLOG[[#This Row],[LOGIN]],tbMAPA[#All],2,0), "Não localizado")</f>
        <v>Renan Cazumba Tegani</v>
      </c>
      <c r="F1261" s="34" t="str">
        <f>IFERROR(VLOOKUP(tbLOG[[#This Row],[LOGIN]],tbMAPA[#All],3,0), "Não localizado")</f>
        <v>Reginaldo Santana De Souza</v>
      </c>
      <c r="G1261" s="3" t="s">
        <v>1211</v>
      </c>
      <c r="H1261" s="3" t="s">
        <v>836</v>
      </c>
    </row>
    <row r="1262" spans="1:8">
      <c r="A1262" s="29">
        <v>42744.458182870374</v>
      </c>
      <c r="B1262" s="29" t="str">
        <f>PROPER(TEXT(tbLOG[[#This Row],[DATA/HORA]],"mmmm"))</f>
        <v>Janeiro</v>
      </c>
      <c r="C1262" s="34" t="str">
        <f>PROPER(TEXT(tbLOG[[#This Row],[DATA/HORA]],"dddd"))</f>
        <v>Segunda-Feira</v>
      </c>
      <c r="D1262" s="3" t="s">
        <v>604</v>
      </c>
      <c r="E1262" s="34" t="str">
        <f>IFERROR(VLOOKUP(tbLOG[[#This Row],[LOGIN]],tbMAPA[#All],2,0), "Não localizado")</f>
        <v>Renan Cazumba Tegani</v>
      </c>
      <c r="F1262" s="34" t="str">
        <f>IFERROR(VLOOKUP(tbLOG[[#This Row],[LOGIN]],tbMAPA[#All],3,0), "Não localizado")</f>
        <v>Reginaldo Santana De Souza</v>
      </c>
      <c r="G1262" s="3" t="s">
        <v>1211</v>
      </c>
      <c r="H1262" s="3" t="s">
        <v>836</v>
      </c>
    </row>
    <row r="1263" spans="1:8">
      <c r="A1263" s="29">
        <v>42744.461423611108</v>
      </c>
      <c r="B1263" s="29" t="str">
        <f>PROPER(TEXT(tbLOG[[#This Row],[DATA/HORA]],"mmmm"))</f>
        <v>Janeiro</v>
      </c>
      <c r="C1263" s="34" t="str">
        <f>PROPER(TEXT(tbLOG[[#This Row],[DATA/HORA]],"dddd"))</f>
        <v>Segunda-Feira</v>
      </c>
      <c r="D1263" s="3" t="s">
        <v>604</v>
      </c>
      <c r="E1263" s="34" t="str">
        <f>IFERROR(VLOOKUP(tbLOG[[#This Row],[LOGIN]],tbMAPA[#All],2,0), "Não localizado")</f>
        <v>Renan Cazumba Tegani</v>
      </c>
      <c r="F1263" s="34" t="str">
        <f>IFERROR(VLOOKUP(tbLOG[[#This Row],[LOGIN]],tbMAPA[#All],3,0), "Não localizado")</f>
        <v>Reginaldo Santana De Souza</v>
      </c>
      <c r="G1263" s="3" t="s">
        <v>1211</v>
      </c>
      <c r="H1263" s="3" t="s">
        <v>836</v>
      </c>
    </row>
    <row r="1264" spans="1:8">
      <c r="A1264" s="29">
        <v>42744.461435185185</v>
      </c>
      <c r="B1264" s="29" t="str">
        <f>PROPER(TEXT(tbLOG[[#This Row],[DATA/HORA]],"mmmm"))</f>
        <v>Janeiro</v>
      </c>
      <c r="C1264" s="34" t="str">
        <f>PROPER(TEXT(tbLOG[[#This Row],[DATA/HORA]],"dddd"))</f>
        <v>Segunda-Feira</v>
      </c>
      <c r="D1264" s="3" t="s">
        <v>604</v>
      </c>
      <c r="E1264" s="34" t="str">
        <f>IFERROR(VLOOKUP(tbLOG[[#This Row],[LOGIN]],tbMAPA[#All],2,0), "Não localizado")</f>
        <v>Renan Cazumba Tegani</v>
      </c>
      <c r="F1264" s="34" t="str">
        <f>IFERROR(VLOOKUP(tbLOG[[#This Row],[LOGIN]],tbMAPA[#All],3,0), "Não localizado")</f>
        <v>Reginaldo Santana De Souza</v>
      </c>
      <c r="G1264" s="3" t="s">
        <v>1211</v>
      </c>
      <c r="H1264" s="3" t="s">
        <v>836</v>
      </c>
    </row>
    <row r="1265" spans="1:8">
      <c r="A1265" s="29">
        <v>42744.461481481485</v>
      </c>
      <c r="B1265" s="29" t="str">
        <f>PROPER(TEXT(tbLOG[[#This Row],[DATA/HORA]],"mmmm"))</f>
        <v>Janeiro</v>
      </c>
      <c r="C1265" s="34" t="str">
        <f>PROPER(TEXT(tbLOG[[#This Row],[DATA/HORA]],"dddd"))</f>
        <v>Segunda-Feira</v>
      </c>
      <c r="D1265" s="3" t="s">
        <v>604</v>
      </c>
      <c r="E1265" s="34" t="str">
        <f>IFERROR(VLOOKUP(tbLOG[[#This Row],[LOGIN]],tbMAPA[#All],2,0), "Não localizado")</f>
        <v>Renan Cazumba Tegani</v>
      </c>
      <c r="F1265" s="34" t="str">
        <f>IFERROR(VLOOKUP(tbLOG[[#This Row],[LOGIN]],tbMAPA[#All],3,0), "Não localizado")</f>
        <v>Reginaldo Santana De Souza</v>
      </c>
      <c r="G1265" s="3" t="s">
        <v>1211</v>
      </c>
      <c r="H1265" s="3" t="s">
        <v>836</v>
      </c>
    </row>
    <row r="1266" spans="1:8">
      <c r="A1266" s="29">
        <v>42744.463310185187</v>
      </c>
      <c r="B1266" s="29" t="str">
        <f>PROPER(TEXT(tbLOG[[#This Row],[DATA/HORA]],"mmmm"))</f>
        <v>Janeiro</v>
      </c>
      <c r="C1266" s="34" t="str">
        <f>PROPER(TEXT(tbLOG[[#This Row],[DATA/HORA]],"dddd"))</f>
        <v>Segunda-Feira</v>
      </c>
      <c r="D1266" s="3" t="s">
        <v>604</v>
      </c>
      <c r="E1266" s="34" t="str">
        <f>IFERROR(VLOOKUP(tbLOG[[#This Row],[LOGIN]],tbMAPA[#All],2,0), "Não localizado")</f>
        <v>Renan Cazumba Tegani</v>
      </c>
      <c r="F1266" s="34" t="str">
        <f>IFERROR(VLOOKUP(tbLOG[[#This Row],[LOGIN]],tbMAPA[#All],3,0), "Não localizado")</f>
        <v>Reginaldo Santana De Souza</v>
      </c>
      <c r="G1266" s="3" t="s">
        <v>1211</v>
      </c>
      <c r="H1266" s="3" t="s">
        <v>836</v>
      </c>
    </row>
    <row r="1267" spans="1:8">
      <c r="A1267" s="29">
        <v>42744.463333333333</v>
      </c>
      <c r="B1267" s="29" t="str">
        <f>PROPER(TEXT(tbLOG[[#This Row],[DATA/HORA]],"mmmm"))</f>
        <v>Janeiro</v>
      </c>
      <c r="C1267" s="34" t="str">
        <f>PROPER(TEXT(tbLOG[[#This Row],[DATA/HORA]],"dddd"))</f>
        <v>Segunda-Feira</v>
      </c>
      <c r="D1267" s="3" t="s">
        <v>604</v>
      </c>
      <c r="E1267" s="34" t="str">
        <f>IFERROR(VLOOKUP(tbLOG[[#This Row],[LOGIN]],tbMAPA[#All],2,0), "Não localizado")</f>
        <v>Renan Cazumba Tegani</v>
      </c>
      <c r="F1267" s="34" t="str">
        <f>IFERROR(VLOOKUP(tbLOG[[#This Row],[LOGIN]],tbMAPA[#All],3,0), "Não localizado")</f>
        <v>Reginaldo Santana De Souza</v>
      </c>
      <c r="G1267" s="3" t="s">
        <v>1211</v>
      </c>
      <c r="H1267" s="3" t="s">
        <v>836</v>
      </c>
    </row>
    <row r="1268" spans="1:8">
      <c r="A1268" s="29">
        <v>42744.463379629633</v>
      </c>
      <c r="B1268" s="29" t="str">
        <f>PROPER(TEXT(tbLOG[[#This Row],[DATA/HORA]],"mmmm"))</f>
        <v>Janeiro</v>
      </c>
      <c r="C1268" s="34" t="str">
        <f>PROPER(TEXT(tbLOG[[#This Row],[DATA/HORA]],"dddd"))</f>
        <v>Segunda-Feira</v>
      </c>
      <c r="D1268" s="3" t="s">
        <v>604</v>
      </c>
      <c r="E1268" s="34" t="str">
        <f>IFERROR(VLOOKUP(tbLOG[[#This Row],[LOGIN]],tbMAPA[#All],2,0), "Não localizado")</f>
        <v>Renan Cazumba Tegani</v>
      </c>
      <c r="F1268" s="34" t="str">
        <f>IFERROR(VLOOKUP(tbLOG[[#This Row],[LOGIN]],tbMAPA[#All],3,0), "Não localizado")</f>
        <v>Reginaldo Santana De Souza</v>
      </c>
      <c r="G1268" s="3" t="s">
        <v>1211</v>
      </c>
      <c r="H1268" s="3" t="s">
        <v>836</v>
      </c>
    </row>
    <row r="1269" spans="1:8">
      <c r="A1269" s="29">
        <v>42744.467835648145</v>
      </c>
      <c r="B1269" s="29" t="str">
        <f>PROPER(TEXT(tbLOG[[#This Row],[DATA/HORA]],"mmmm"))</f>
        <v>Janeiro</v>
      </c>
      <c r="C1269" s="34" t="str">
        <f>PROPER(TEXT(tbLOG[[#This Row],[DATA/HORA]],"dddd"))</f>
        <v>Segunda-Feira</v>
      </c>
      <c r="D1269" s="3" t="s">
        <v>604</v>
      </c>
      <c r="E1269" s="34" t="str">
        <f>IFERROR(VLOOKUP(tbLOG[[#This Row],[LOGIN]],tbMAPA[#All],2,0), "Não localizado")</f>
        <v>Renan Cazumba Tegani</v>
      </c>
      <c r="F1269" s="34" t="str">
        <f>IFERROR(VLOOKUP(tbLOG[[#This Row],[LOGIN]],tbMAPA[#All],3,0), "Não localizado")</f>
        <v>Reginaldo Santana De Souza</v>
      </c>
      <c r="G1269" s="3" t="s">
        <v>1211</v>
      </c>
      <c r="H1269" s="3" t="s">
        <v>836</v>
      </c>
    </row>
    <row r="1270" spans="1:8">
      <c r="A1270" s="29">
        <v>42744.467847222222</v>
      </c>
      <c r="B1270" s="29" t="str">
        <f>PROPER(TEXT(tbLOG[[#This Row],[DATA/HORA]],"mmmm"))</f>
        <v>Janeiro</v>
      </c>
      <c r="C1270" s="34" t="str">
        <f>PROPER(TEXT(tbLOG[[#This Row],[DATA/HORA]],"dddd"))</f>
        <v>Segunda-Feira</v>
      </c>
      <c r="D1270" s="3" t="s">
        <v>604</v>
      </c>
      <c r="E1270" s="34" t="str">
        <f>IFERROR(VLOOKUP(tbLOG[[#This Row],[LOGIN]],tbMAPA[#All],2,0), "Não localizado")</f>
        <v>Renan Cazumba Tegani</v>
      </c>
      <c r="F1270" s="34" t="str">
        <f>IFERROR(VLOOKUP(tbLOG[[#This Row],[LOGIN]],tbMAPA[#All],3,0), "Não localizado")</f>
        <v>Reginaldo Santana De Souza</v>
      </c>
      <c r="G1270" s="3" t="s">
        <v>1211</v>
      </c>
      <c r="H1270" s="3" t="s">
        <v>836</v>
      </c>
    </row>
    <row r="1271" spans="1:8">
      <c r="A1271" s="29">
        <v>42744.467870370368</v>
      </c>
      <c r="B1271" s="29" t="str">
        <f>PROPER(TEXT(tbLOG[[#This Row],[DATA/HORA]],"mmmm"))</f>
        <v>Janeiro</v>
      </c>
      <c r="C1271" s="34" t="str">
        <f>PROPER(TEXT(tbLOG[[#This Row],[DATA/HORA]],"dddd"))</f>
        <v>Segunda-Feira</v>
      </c>
      <c r="D1271" s="3" t="s">
        <v>604</v>
      </c>
      <c r="E1271" s="34" t="str">
        <f>IFERROR(VLOOKUP(tbLOG[[#This Row],[LOGIN]],tbMAPA[#All],2,0), "Não localizado")</f>
        <v>Renan Cazumba Tegani</v>
      </c>
      <c r="F1271" s="34" t="str">
        <f>IFERROR(VLOOKUP(tbLOG[[#This Row],[LOGIN]],tbMAPA[#All],3,0), "Não localizado")</f>
        <v>Reginaldo Santana De Souza</v>
      </c>
      <c r="G1271" s="3" t="s">
        <v>1211</v>
      </c>
      <c r="H1271" s="3" t="s">
        <v>836</v>
      </c>
    </row>
    <row r="1272" spans="1:8">
      <c r="A1272" s="29">
        <v>42744.467928240738</v>
      </c>
      <c r="B1272" s="29" t="str">
        <f>PROPER(TEXT(tbLOG[[#This Row],[DATA/HORA]],"mmmm"))</f>
        <v>Janeiro</v>
      </c>
      <c r="C1272" s="34" t="str">
        <f>PROPER(TEXT(tbLOG[[#This Row],[DATA/HORA]],"dddd"))</f>
        <v>Segunda-Feira</v>
      </c>
      <c r="D1272" s="3" t="s">
        <v>604</v>
      </c>
      <c r="E1272" s="34" t="str">
        <f>IFERROR(VLOOKUP(tbLOG[[#This Row],[LOGIN]],tbMAPA[#All],2,0), "Não localizado")</f>
        <v>Renan Cazumba Tegani</v>
      </c>
      <c r="F1272" s="34" t="str">
        <f>IFERROR(VLOOKUP(tbLOG[[#This Row],[LOGIN]],tbMAPA[#All],3,0), "Não localizado")</f>
        <v>Reginaldo Santana De Souza</v>
      </c>
      <c r="G1272" s="3" t="s">
        <v>1211</v>
      </c>
      <c r="H1272" s="3" t="s">
        <v>836</v>
      </c>
    </row>
    <row r="1273" spans="1:8">
      <c r="A1273" s="29">
        <v>42744.469861111109</v>
      </c>
      <c r="B1273" s="29" t="str">
        <f>PROPER(TEXT(tbLOG[[#This Row],[DATA/HORA]],"mmmm"))</f>
        <v>Janeiro</v>
      </c>
      <c r="C1273" s="34" t="str">
        <f>PROPER(TEXT(tbLOG[[#This Row],[DATA/HORA]],"dddd"))</f>
        <v>Segunda-Feira</v>
      </c>
      <c r="D1273" s="3" t="s">
        <v>604</v>
      </c>
      <c r="E1273" s="34" t="str">
        <f>IFERROR(VLOOKUP(tbLOG[[#This Row],[LOGIN]],tbMAPA[#All],2,0), "Não localizado")</f>
        <v>Renan Cazumba Tegani</v>
      </c>
      <c r="F1273" s="34" t="str">
        <f>IFERROR(VLOOKUP(tbLOG[[#This Row],[LOGIN]],tbMAPA[#All],3,0), "Não localizado")</f>
        <v>Reginaldo Santana De Souza</v>
      </c>
      <c r="G1273" s="3" t="s">
        <v>1211</v>
      </c>
      <c r="H1273" s="3" t="s">
        <v>836</v>
      </c>
    </row>
    <row r="1274" spans="1:8">
      <c r="A1274" s="29">
        <v>42744.469872685186</v>
      </c>
      <c r="B1274" s="29" t="str">
        <f>PROPER(TEXT(tbLOG[[#This Row],[DATA/HORA]],"mmmm"))</f>
        <v>Janeiro</v>
      </c>
      <c r="C1274" s="34" t="str">
        <f>PROPER(TEXT(tbLOG[[#This Row],[DATA/HORA]],"dddd"))</f>
        <v>Segunda-Feira</v>
      </c>
      <c r="D1274" s="3" t="s">
        <v>604</v>
      </c>
      <c r="E1274" s="34" t="str">
        <f>IFERROR(VLOOKUP(tbLOG[[#This Row],[LOGIN]],tbMAPA[#All],2,0), "Não localizado")</f>
        <v>Renan Cazumba Tegani</v>
      </c>
      <c r="F1274" s="34" t="str">
        <f>IFERROR(VLOOKUP(tbLOG[[#This Row],[LOGIN]],tbMAPA[#All],3,0), "Não localizado")</f>
        <v>Reginaldo Santana De Souza</v>
      </c>
      <c r="G1274" s="3" t="s">
        <v>1211</v>
      </c>
      <c r="H1274" s="3" t="s">
        <v>836</v>
      </c>
    </row>
    <row r="1275" spans="1:8">
      <c r="A1275" s="29">
        <v>42744.470185185186</v>
      </c>
      <c r="B1275" s="29" t="str">
        <f>PROPER(TEXT(tbLOG[[#This Row],[DATA/HORA]],"mmmm"))</f>
        <v>Janeiro</v>
      </c>
      <c r="C1275" s="34" t="str">
        <f>PROPER(TEXT(tbLOG[[#This Row],[DATA/HORA]],"dddd"))</f>
        <v>Segunda-Feira</v>
      </c>
      <c r="D1275" s="3" t="s">
        <v>604</v>
      </c>
      <c r="E1275" s="34" t="str">
        <f>IFERROR(VLOOKUP(tbLOG[[#This Row],[LOGIN]],tbMAPA[#All],2,0), "Não localizado")</f>
        <v>Renan Cazumba Tegani</v>
      </c>
      <c r="F1275" s="34" t="str">
        <f>IFERROR(VLOOKUP(tbLOG[[#This Row],[LOGIN]],tbMAPA[#All],3,0), "Não localizado")</f>
        <v>Reginaldo Santana De Souza</v>
      </c>
      <c r="G1275" s="3" t="s">
        <v>1211</v>
      </c>
      <c r="H1275" s="3" t="s">
        <v>836</v>
      </c>
    </row>
    <row r="1276" spans="1:8">
      <c r="A1276" s="29">
        <v>42744.482268518521</v>
      </c>
      <c r="B1276" s="29" t="str">
        <f>PROPER(TEXT(tbLOG[[#This Row],[DATA/HORA]],"mmmm"))</f>
        <v>Janeiro</v>
      </c>
      <c r="C1276" s="34" t="str">
        <f>PROPER(TEXT(tbLOG[[#This Row],[DATA/HORA]],"dddd"))</f>
        <v>Segunda-Feira</v>
      </c>
      <c r="D1276" s="3" t="s">
        <v>604</v>
      </c>
      <c r="E1276" s="34" t="str">
        <f>IFERROR(VLOOKUP(tbLOG[[#This Row],[LOGIN]],tbMAPA[#All],2,0), "Não localizado")</f>
        <v>Renan Cazumba Tegani</v>
      </c>
      <c r="F1276" s="34" t="str">
        <f>IFERROR(VLOOKUP(tbLOG[[#This Row],[LOGIN]],tbMAPA[#All],3,0), "Não localizado")</f>
        <v>Reginaldo Santana De Souza</v>
      </c>
      <c r="G1276" s="3" t="s">
        <v>1211</v>
      </c>
      <c r="H1276" s="3" t="s">
        <v>836</v>
      </c>
    </row>
    <row r="1277" spans="1:8">
      <c r="A1277" s="29">
        <v>42744.482291666667</v>
      </c>
      <c r="B1277" s="29" t="str">
        <f>PROPER(TEXT(tbLOG[[#This Row],[DATA/HORA]],"mmmm"))</f>
        <v>Janeiro</v>
      </c>
      <c r="C1277" s="34" t="str">
        <f>PROPER(TEXT(tbLOG[[#This Row],[DATA/HORA]],"dddd"))</f>
        <v>Segunda-Feira</v>
      </c>
      <c r="D1277" s="3" t="s">
        <v>604</v>
      </c>
      <c r="E1277" s="34" t="str">
        <f>IFERROR(VLOOKUP(tbLOG[[#This Row],[LOGIN]],tbMAPA[#All],2,0), "Não localizado")</f>
        <v>Renan Cazumba Tegani</v>
      </c>
      <c r="F1277" s="34" t="str">
        <f>IFERROR(VLOOKUP(tbLOG[[#This Row],[LOGIN]],tbMAPA[#All],3,0), "Não localizado")</f>
        <v>Reginaldo Santana De Souza</v>
      </c>
      <c r="G1277" s="3" t="s">
        <v>1211</v>
      </c>
      <c r="H1277" s="3" t="s">
        <v>836</v>
      </c>
    </row>
    <row r="1278" spans="1:8">
      <c r="A1278" s="29">
        <v>42744.482349537036</v>
      </c>
      <c r="B1278" s="29" t="str">
        <f>PROPER(TEXT(tbLOG[[#This Row],[DATA/HORA]],"mmmm"))</f>
        <v>Janeiro</v>
      </c>
      <c r="C1278" s="34" t="str">
        <f>PROPER(TEXT(tbLOG[[#This Row],[DATA/HORA]],"dddd"))</f>
        <v>Segunda-Feira</v>
      </c>
      <c r="D1278" s="3" t="s">
        <v>604</v>
      </c>
      <c r="E1278" s="34" t="str">
        <f>IFERROR(VLOOKUP(tbLOG[[#This Row],[LOGIN]],tbMAPA[#All],2,0), "Não localizado")</f>
        <v>Renan Cazumba Tegani</v>
      </c>
      <c r="F1278" s="34" t="str">
        <f>IFERROR(VLOOKUP(tbLOG[[#This Row],[LOGIN]],tbMAPA[#All],3,0), "Não localizado")</f>
        <v>Reginaldo Santana De Souza</v>
      </c>
      <c r="G1278" s="3" t="s">
        <v>1211</v>
      </c>
      <c r="H1278" s="3" t="s">
        <v>836</v>
      </c>
    </row>
    <row r="1279" spans="1:8">
      <c r="A1279" s="29">
        <v>42744.485277777778</v>
      </c>
      <c r="B1279" s="29" t="str">
        <f>PROPER(TEXT(tbLOG[[#This Row],[DATA/HORA]],"mmmm"))</f>
        <v>Janeiro</v>
      </c>
      <c r="C1279" s="34" t="str">
        <f>PROPER(TEXT(tbLOG[[#This Row],[DATA/HORA]],"dddd"))</f>
        <v>Segunda-Feira</v>
      </c>
      <c r="D1279" s="3" t="s">
        <v>604</v>
      </c>
      <c r="E1279" s="34" t="str">
        <f>IFERROR(VLOOKUP(tbLOG[[#This Row],[LOGIN]],tbMAPA[#All],2,0), "Não localizado")</f>
        <v>Renan Cazumba Tegani</v>
      </c>
      <c r="F1279" s="34" t="str">
        <f>IFERROR(VLOOKUP(tbLOG[[#This Row],[LOGIN]],tbMAPA[#All],3,0), "Não localizado")</f>
        <v>Reginaldo Santana De Souza</v>
      </c>
      <c r="G1279" s="3" t="s">
        <v>1211</v>
      </c>
      <c r="H1279" s="3" t="s">
        <v>836</v>
      </c>
    </row>
    <row r="1280" spans="1:8">
      <c r="A1280" s="29">
        <v>42744.485289351855</v>
      </c>
      <c r="B1280" s="29" t="str">
        <f>PROPER(TEXT(tbLOG[[#This Row],[DATA/HORA]],"mmmm"))</f>
        <v>Janeiro</v>
      </c>
      <c r="C1280" s="34" t="str">
        <f>PROPER(TEXT(tbLOG[[#This Row],[DATA/HORA]],"dddd"))</f>
        <v>Segunda-Feira</v>
      </c>
      <c r="D1280" s="3" t="s">
        <v>604</v>
      </c>
      <c r="E1280" s="34" t="str">
        <f>IFERROR(VLOOKUP(tbLOG[[#This Row],[LOGIN]],tbMAPA[#All],2,0), "Não localizado")</f>
        <v>Renan Cazumba Tegani</v>
      </c>
      <c r="F1280" s="34" t="str">
        <f>IFERROR(VLOOKUP(tbLOG[[#This Row],[LOGIN]],tbMAPA[#All],3,0), "Não localizado")</f>
        <v>Reginaldo Santana De Souza</v>
      </c>
      <c r="G1280" s="3" t="s">
        <v>1211</v>
      </c>
      <c r="H1280" s="3" t="s">
        <v>836</v>
      </c>
    </row>
    <row r="1281" spans="1:8">
      <c r="A1281" s="29">
        <v>42744.485439814816</v>
      </c>
      <c r="B1281" s="29" t="str">
        <f>PROPER(TEXT(tbLOG[[#This Row],[DATA/HORA]],"mmmm"))</f>
        <v>Janeiro</v>
      </c>
      <c r="C1281" s="34" t="str">
        <f>PROPER(TEXT(tbLOG[[#This Row],[DATA/HORA]],"dddd"))</f>
        <v>Segunda-Feira</v>
      </c>
      <c r="D1281" s="3" t="s">
        <v>604</v>
      </c>
      <c r="E1281" s="34" t="str">
        <f>IFERROR(VLOOKUP(tbLOG[[#This Row],[LOGIN]],tbMAPA[#All],2,0), "Não localizado")</f>
        <v>Renan Cazumba Tegani</v>
      </c>
      <c r="F1281" s="34" t="str">
        <f>IFERROR(VLOOKUP(tbLOG[[#This Row],[LOGIN]],tbMAPA[#All],3,0), "Não localizado")</f>
        <v>Reginaldo Santana De Souza</v>
      </c>
      <c r="G1281" s="3" t="s">
        <v>1211</v>
      </c>
      <c r="H1281" s="3" t="s">
        <v>836</v>
      </c>
    </row>
    <row r="1282" spans="1:8">
      <c r="A1282" s="29">
        <v>42744.492349537039</v>
      </c>
      <c r="B1282" s="29" t="str">
        <f>PROPER(TEXT(tbLOG[[#This Row],[DATA/HORA]],"mmmm"))</f>
        <v>Janeiro</v>
      </c>
      <c r="C1282" s="34" t="str">
        <f>PROPER(TEXT(tbLOG[[#This Row],[DATA/HORA]],"dddd"))</f>
        <v>Segunda-Feira</v>
      </c>
      <c r="D1282" s="3" t="s">
        <v>604</v>
      </c>
      <c r="E1282" s="34" t="str">
        <f>IFERROR(VLOOKUP(tbLOG[[#This Row],[LOGIN]],tbMAPA[#All],2,0), "Não localizado")</f>
        <v>Renan Cazumba Tegani</v>
      </c>
      <c r="F1282" s="34" t="str">
        <f>IFERROR(VLOOKUP(tbLOG[[#This Row],[LOGIN]],tbMAPA[#All],3,0), "Não localizado")</f>
        <v>Reginaldo Santana De Souza</v>
      </c>
      <c r="G1282" s="3" t="s">
        <v>1211</v>
      </c>
      <c r="H1282" s="3" t="s">
        <v>836</v>
      </c>
    </row>
    <row r="1283" spans="1:8">
      <c r="A1283" s="29">
        <v>42744.492361111108</v>
      </c>
      <c r="B1283" s="29" t="str">
        <f>PROPER(TEXT(tbLOG[[#This Row],[DATA/HORA]],"mmmm"))</f>
        <v>Janeiro</v>
      </c>
      <c r="C1283" s="34" t="str">
        <f>PROPER(TEXT(tbLOG[[#This Row],[DATA/HORA]],"dddd"))</f>
        <v>Segunda-Feira</v>
      </c>
      <c r="D1283" s="3" t="s">
        <v>604</v>
      </c>
      <c r="E1283" s="34" t="str">
        <f>IFERROR(VLOOKUP(tbLOG[[#This Row],[LOGIN]],tbMAPA[#All],2,0), "Não localizado")</f>
        <v>Renan Cazumba Tegani</v>
      </c>
      <c r="F1283" s="34" t="str">
        <f>IFERROR(VLOOKUP(tbLOG[[#This Row],[LOGIN]],tbMAPA[#All],3,0), "Não localizado")</f>
        <v>Reginaldo Santana De Souza</v>
      </c>
      <c r="G1283" s="3" t="s">
        <v>1211</v>
      </c>
      <c r="H1283" s="3" t="s">
        <v>836</v>
      </c>
    </row>
    <row r="1284" spans="1:8">
      <c r="A1284" s="29">
        <v>42744.492407407408</v>
      </c>
      <c r="B1284" s="29" t="str">
        <f>PROPER(TEXT(tbLOG[[#This Row],[DATA/HORA]],"mmmm"))</f>
        <v>Janeiro</v>
      </c>
      <c r="C1284" s="34" t="str">
        <f>PROPER(TEXT(tbLOG[[#This Row],[DATA/HORA]],"dddd"))</f>
        <v>Segunda-Feira</v>
      </c>
      <c r="D1284" s="3" t="s">
        <v>604</v>
      </c>
      <c r="E1284" s="34" t="str">
        <f>IFERROR(VLOOKUP(tbLOG[[#This Row],[LOGIN]],tbMAPA[#All],2,0), "Não localizado")</f>
        <v>Renan Cazumba Tegani</v>
      </c>
      <c r="F1284" s="34" t="str">
        <f>IFERROR(VLOOKUP(tbLOG[[#This Row],[LOGIN]],tbMAPA[#All],3,0), "Não localizado")</f>
        <v>Reginaldo Santana De Souza</v>
      </c>
      <c r="G1284" s="3" t="s">
        <v>1211</v>
      </c>
      <c r="H1284" s="3" t="s">
        <v>836</v>
      </c>
    </row>
    <row r="1285" spans="1:8">
      <c r="A1285" s="29">
        <v>42744.492546296293</v>
      </c>
      <c r="B1285" s="29" t="str">
        <f>PROPER(TEXT(tbLOG[[#This Row],[DATA/HORA]],"mmmm"))</f>
        <v>Janeiro</v>
      </c>
      <c r="C1285" s="34" t="str">
        <f>PROPER(TEXT(tbLOG[[#This Row],[DATA/HORA]],"dddd"))</f>
        <v>Segunda-Feira</v>
      </c>
      <c r="D1285" s="3" t="s">
        <v>604</v>
      </c>
      <c r="E1285" s="34" t="str">
        <f>IFERROR(VLOOKUP(tbLOG[[#This Row],[LOGIN]],tbMAPA[#All],2,0), "Não localizado")</f>
        <v>Renan Cazumba Tegani</v>
      </c>
      <c r="F1285" s="34" t="str">
        <f>IFERROR(VLOOKUP(tbLOG[[#This Row],[LOGIN]],tbMAPA[#All],3,0), "Não localizado")</f>
        <v>Reginaldo Santana De Souza</v>
      </c>
      <c r="G1285" s="3" t="s">
        <v>1211</v>
      </c>
      <c r="H1285" s="3" t="s">
        <v>836</v>
      </c>
    </row>
    <row r="1286" spans="1:8">
      <c r="A1286" s="29">
        <v>42744.498530092591</v>
      </c>
      <c r="B1286" s="29" t="str">
        <f>PROPER(TEXT(tbLOG[[#This Row],[DATA/HORA]],"mmmm"))</f>
        <v>Janeiro</v>
      </c>
      <c r="C1286" s="34" t="str">
        <f>PROPER(TEXT(tbLOG[[#This Row],[DATA/HORA]],"dddd"))</f>
        <v>Segunda-Feira</v>
      </c>
      <c r="D1286" s="3" t="s">
        <v>604</v>
      </c>
      <c r="E1286" s="34" t="str">
        <f>IFERROR(VLOOKUP(tbLOG[[#This Row],[LOGIN]],tbMAPA[#All],2,0), "Não localizado")</f>
        <v>Renan Cazumba Tegani</v>
      </c>
      <c r="F1286" s="34" t="str">
        <f>IFERROR(VLOOKUP(tbLOG[[#This Row],[LOGIN]],tbMAPA[#All],3,0), "Não localizado")</f>
        <v>Reginaldo Santana De Souza</v>
      </c>
      <c r="G1286" s="3" t="s">
        <v>1211</v>
      </c>
      <c r="H1286" s="3" t="s">
        <v>836</v>
      </c>
    </row>
    <row r="1287" spans="1:8">
      <c r="A1287" s="29">
        <v>42744.498541666668</v>
      </c>
      <c r="B1287" s="29" t="str">
        <f>PROPER(TEXT(tbLOG[[#This Row],[DATA/HORA]],"mmmm"))</f>
        <v>Janeiro</v>
      </c>
      <c r="C1287" s="34" t="str">
        <f>PROPER(TEXT(tbLOG[[#This Row],[DATA/HORA]],"dddd"))</f>
        <v>Segunda-Feira</v>
      </c>
      <c r="D1287" s="3" t="s">
        <v>604</v>
      </c>
      <c r="E1287" s="34" t="str">
        <f>IFERROR(VLOOKUP(tbLOG[[#This Row],[LOGIN]],tbMAPA[#All],2,0), "Não localizado")</f>
        <v>Renan Cazumba Tegani</v>
      </c>
      <c r="F1287" s="34" t="str">
        <f>IFERROR(VLOOKUP(tbLOG[[#This Row],[LOGIN]],tbMAPA[#All],3,0), "Não localizado")</f>
        <v>Reginaldo Santana De Souza</v>
      </c>
      <c r="G1287" s="3" t="s">
        <v>1211</v>
      </c>
      <c r="H1287" s="3" t="s">
        <v>836</v>
      </c>
    </row>
    <row r="1288" spans="1:8">
      <c r="A1288" s="29">
        <v>42744.498611111114</v>
      </c>
      <c r="B1288" s="29" t="str">
        <f>PROPER(TEXT(tbLOG[[#This Row],[DATA/HORA]],"mmmm"))</f>
        <v>Janeiro</v>
      </c>
      <c r="C1288" s="34" t="str">
        <f>PROPER(TEXT(tbLOG[[#This Row],[DATA/HORA]],"dddd"))</f>
        <v>Segunda-Feira</v>
      </c>
      <c r="D1288" s="3" t="s">
        <v>604</v>
      </c>
      <c r="E1288" s="34" t="str">
        <f>IFERROR(VLOOKUP(tbLOG[[#This Row],[LOGIN]],tbMAPA[#All],2,0), "Não localizado")</f>
        <v>Renan Cazumba Tegani</v>
      </c>
      <c r="F1288" s="34" t="str">
        <f>IFERROR(VLOOKUP(tbLOG[[#This Row],[LOGIN]],tbMAPA[#All],3,0), "Não localizado")</f>
        <v>Reginaldo Santana De Souza</v>
      </c>
      <c r="G1288" s="3" t="s">
        <v>1211</v>
      </c>
      <c r="H1288" s="3" t="s">
        <v>836</v>
      </c>
    </row>
    <row r="1289" spans="1:8">
      <c r="A1289" s="29">
        <v>42744.501087962963</v>
      </c>
      <c r="B1289" s="29" t="str">
        <f>PROPER(TEXT(tbLOG[[#This Row],[DATA/HORA]],"mmmm"))</f>
        <v>Janeiro</v>
      </c>
      <c r="C1289" s="34" t="str">
        <f>PROPER(TEXT(tbLOG[[#This Row],[DATA/HORA]],"dddd"))</f>
        <v>Segunda-Feira</v>
      </c>
      <c r="D1289" s="3" t="s">
        <v>604</v>
      </c>
      <c r="E1289" s="34" t="str">
        <f>IFERROR(VLOOKUP(tbLOG[[#This Row],[LOGIN]],tbMAPA[#All],2,0), "Não localizado")</f>
        <v>Renan Cazumba Tegani</v>
      </c>
      <c r="F1289" s="34" t="str">
        <f>IFERROR(VLOOKUP(tbLOG[[#This Row],[LOGIN]],tbMAPA[#All],3,0), "Não localizado")</f>
        <v>Reginaldo Santana De Souza</v>
      </c>
      <c r="G1289" s="3" t="s">
        <v>1211</v>
      </c>
      <c r="H1289" s="3" t="s">
        <v>836</v>
      </c>
    </row>
    <row r="1290" spans="1:8">
      <c r="A1290" s="29">
        <v>42744.501099537039</v>
      </c>
      <c r="B1290" s="29" t="str">
        <f>PROPER(TEXT(tbLOG[[#This Row],[DATA/HORA]],"mmmm"))</f>
        <v>Janeiro</v>
      </c>
      <c r="C1290" s="34" t="str">
        <f>PROPER(TEXT(tbLOG[[#This Row],[DATA/HORA]],"dddd"))</f>
        <v>Segunda-Feira</v>
      </c>
      <c r="D1290" s="3" t="s">
        <v>604</v>
      </c>
      <c r="E1290" s="34" t="str">
        <f>IFERROR(VLOOKUP(tbLOG[[#This Row],[LOGIN]],tbMAPA[#All],2,0), "Não localizado")</f>
        <v>Renan Cazumba Tegani</v>
      </c>
      <c r="F1290" s="34" t="str">
        <f>IFERROR(VLOOKUP(tbLOG[[#This Row],[LOGIN]],tbMAPA[#All],3,0), "Não localizado")</f>
        <v>Reginaldo Santana De Souza</v>
      </c>
      <c r="G1290" s="3" t="s">
        <v>1211</v>
      </c>
      <c r="H1290" s="3" t="s">
        <v>836</v>
      </c>
    </row>
    <row r="1291" spans="1:8">
      <c r="A1291" s="29">
        <v>42744.501134259262</v>
      </c>
      <c r="B1291" s="29" t="str">
        <f>PROPER(TEXT(tbLOG[[#This Row],[DATA/HORA]],"mmmm"))</f>
        <v>Janeiro</v>
      </c>
      <c r="C1291" s="34" t="str">
        <f>PROPER(TEXT(tbLOG[[#This Row],[DATA/HORA]],"dddd"))</f>
        <v>Segunda-Feira</v>
      </c>
      <c r="D1291" s="3" t="s">
        <v>604</v>
      </c>
      <c r="E1291" s="34" t="str">
        <f>IFERROR(VLOOKUP(tbLOG[[#This Row],[LOGIN]],tbMAPA[#All],2,0), "Não localizado")</f>
        <v>Renan Cazumba Tegani</v>
      </c>
      <c r="F1291" s="34" t="str">
        <f>IFERROR(VLOOKUP(tbLOG[[#This Row],[LOGIN]],tbMAPA[#All],3,0), "Não localizado")</f>
        <v>Reginaldo Santana De Souza</v>
      </c>
      <c r="G1291" s="3" t="s">
        <v>1211</v>
      </c>
      <c r="H1291" s="3" t="s">
        <v>836</v>
      </c>
    </row>
    <row r="1292" spans="1:8">
      <c r="A1292" s="29">
        <v>42744.50172453704</v>
      </c>
      <c r="B1292" s="29" t="str">
        <f>PROPER(TEXT(tbLOG[[#This Row],[DATA/HORA]],"mmmm"))</f>
        <v>Janeiro</v>
      </c>
      <c r="C1292" s="34" t="str">
        <f>PROPER(TEXT(tbLOG[[#This Row],[DATA/HORA]],"dddd"))</f>
        <v>Segunda-Feira</v>
      </c>
      <c r="D1292" s="3" t="s">
        <v>604</v>
      </c>
      <c r="E1292" s="34" t="str">
        <f>IFERROR(VLOOKUP(tbLOG[[#This Row],[LOGIN]],tbMAPA[#All],2,0), "Não localizado")</f>
        <v>Renan Cazumba Tegani</v>
      </c>
      <c r="F1292" s="34" t="str">
        <f>IFERROR(VLOOKUP(tbLOG[[#This Row],[LOGIN]],tbMAPA[#All],3,0), "Não localizado")</f>
        <v>Reginaldo Santana De Souza</v>
      </c>
      <c r="G1292" s="3" t="s">
        <v>1211</v>
      </c>
      <c r="H1292" s="3" t="s">
        <v>290</v>
      </c>
    </row>
    <row r="1293" spans="1:8">
      <c r="A1293" s="29">
        <v>42744.530023148145</v>
      </c>
      <c r="B1293" s="29" t="str">
        <f>PROPER(TEXT(tbLOG[[#This Row],[DATA/HORA]],"mmmm"))</f>
        <v>Janeiro</v>
      </c>
      <c r="C1293" s="34" t="str">
        <f>PROPER(TEXT(tbLOG[[#This Row],[DATA/HORA]],"dddd"))</f>
        <v>Segunda-Feira</v>
      </c>
      <c r="D1293" s="3" t="s">
        <v>604</v>
      </c>
      <c r="E1293" s="34" t="str">
        <f>IFERROR(VLOOKUP(tbLOG[[#This Row],[LOGIN]],tbMAPA[#All],2,0), "Não localizado")</f>
        <v>Renan Cazumba Tegani</v>
      </c>
      <c r="F1293" s="34" t="str">
        <f>IFERROR(VLOOKUP(tbLOG[[#This Row],[LOGIN]],tbMAPA[#All],3,0), "Não localizado")</f>
        <v>Reginaldo Santana De Souza</v>
      </c>
      <c r="G1293" s="3" t="s">
        <v>1211</v>
      </c>
      <c r="H1293" s="3" t="s">
        <v>994</v>
      </c>
    </row>
    <row r="1294" spans="1:8">
      <c r="A1294" s="29">
        <v>42744.530694444446</v>
      </c>
      <c r="B1294" s="29" t="str">
        <f>PROPER(TEXT(tbLOG[[#This Row],[DATA/HORA]],"mmmm"))</f>
        <v>Janeiro</v>
      </c>
      <c r="C1294" s="34" t="str">
        <f>PROPER(TEXT(tbLOG[[#This Row],[DATA/HORA]],"dddd"))</f>
        <v>Segunda-Feira</v>
      </c>
      <c r="D1294" s="3" t="s">
        <v>604</v>
      </c>
      <c r="E1294" s="34" t="str">
        <f>IFERROR(VLOOKUP(tbLOG[[#This Row],[LOGIN]],tbMAPA[#All],2,0), "Não localizado")</f>
        <v>Renan Cazumba Tegani</v>
      </c>
      <c r="F1294" s="34" t="str">
        <f>IFERROR(VLOOKUP(tbLOG[[#This Row],[LOGIN]],tbMAPA[#All],3,0), "Não localizado")</f>
        <v>Reginaldo Santana De Souza</v>
      </c>
      <c r="G1294" s="3" t="s">
        <v>1211</v>
      </c>
      <c r="H1294" s="3" t="s">
        <v>836</v>
      </c>
    </row>
    <row r="1295" spans="1:8">
      <c r="A1295" s="29">
        <v>42744.530729166669</v>
      </c>
      <c r="B1295" s="29" t="str">
        <f>PROPER(TEXT(tbLOG[[#This Row],[DATA/HORA]],"mmmm"))</f>
        <v>Janeiro</v>
      </c>
      <c r="C1295" s="34" t="str">
        <f>PROPER(TEXT(tbLOG[[#This Row],[DATA/HORA]],"dddd"))</f>
        <v>Segunda-Feira</v>
      </c>
      <c r="D1295" s="3" t="s">
        <v>604</v>
      </c>
      <c r="E1295" s="34" t="str">
        <f>IFERROR(VLOOKUP(tbLOG[[#This Row],[LOGIN]],tbMAPA[#All],2,0), "Não localizado")</f>
        <v>Renan Cazumba Tegani</v>
      </c>
      <c r="F1295" s="34" t="str">
        <f>IFERROR(VLOOKUP(tbLOG[[#This Row],[LOGIN]],tbMAPA[#All],3,0), "Não localizado")</f>
        <v>Reginaldo Santana De Souza</v>
      </c>
      <c r="G1295" s="3" t="s">
        <v>1211</v>
      </c>
      <c r="H1295" s="3" t="s">
        <v>836</v>
      </c>
    </row>
    <row r="1296" spans="1:8">
      <c r="A1296" s="29">
        <v>42744.531099537038</v>
      </c>
      <c r="B1296" s="29" t="str">
        <f>PROPER(TEXT(tbLOG[[#This Row],[DATA/HORA]],"mmmm"))</f>
        <v>Janeiro</v>
      </c>
      <c r="C1296" s="34" t="str">
        <f>PROPER(TEXT(tbLOG[[#This Row],[DATA/HORA]],"dddd"))</f>
        <v>Segunda-Feira</v>
      </c>
      <c r="D1296" s="3" t="s">
        <v>604</v>
      </c>
      <c r="E1296" s="34" t="str">
        <f>IFERROR(VLOOKUP(tbLOG[[#This Row],[LOGIN]],tbMAPA[#All],2,0), "Não localizado")</f>
        <v>Renan Cazumba Tegani</v>
      </c>
      <c r="F1296" s="34" t="str">
        <f>IFERROR(VLOOKUP(tbLOG[[#This Row],[LOGIN]],tbMAPA[#All],3,0), "Não localizado")</f>
        <v>Reginaldo Santana De Souza</v>
      </c>
      <c r="G1296" s="3" t="s">
        <v>1211</v>
      </c>
      <c r="H1296" s="3" t="s">
        <v>836</v>
      </c>
    </row>
    <row r="1297" spans="1:8">
      <c r="A1297" s="29">
        <v>42744.531284722223</v>
      </c>
      <c r="B1297" s="29" t="str">
        <f>PROPER(TEXT(tbLOG[[#This Row],[DATA/HORA]],"mmmm"))</f>
        <v>Janeiro</v>
      </c>
      <c r="C1297" s="34" t="str">
        <f>PROPER(TEXT(tbLOG[[#This Row],[DATA/HORA]],"dddd"))</f>
        <v>Segunda-Feira</v>
      </c>
      <c r="D1297" s="3" t="s">
        <v>604</v>
      </c>
      <c r="E1297" s="34" t="str">
        <f>IFERROR(VLOOKUP(tbLOG[[#This Row],[LOGIN]],tbMAPA[#All],2,0), "Não localizado")</f>
        <v>Renan Cazumba Tegani</v>
      </c>
      <c r="F1297" s="34" t="str">
        <f>IFERROR(VLOOKUP(tbLOG[[#This Row],[LOGIN]],tbMAPA[#All],3,0), "Não localizado")</f>
        <v>Reginaldo Santana De Souza</v>
      </c>
      <c r="G1297" s="3" t="s">
        <v>1211</v>
      </c>
      <c r="H1297" s="3" t="s">
        <v>836</v>
      </c>
    </row>
    <row r="1298" spans="1:8">
      <c r="A1298" s="29">
        <v>42744.531423611108</v>
      </c>
      <c r="B1298" s="29" t="str">
        <f>PROPER(TEXT(tbLOG[[#This Row],[DATA/HORA]],"mmmm"))</f>
        <v>Janeiro</v>
      </c>
      <c r="C1298" s="34" t="str">
        <f>PROPER(TEXT(tbLOG[[#This Row],[DATA/HORA]],"dddd"))</f>
        <v>Segunda-Feira</v>
      </c>
      <c r="D1298" s="3" t="s">
        <v>604</v>
      </c>
      <c r="E1298" s="34" t="str">
        <f>IFERROR(VLOOKUP(tbLOG[[#This Row],[LOGIN]],tbMAPA[#All],2,0), "Não localizado")</f>
        <v>Renan Cazumba Tegani</v>
      </c>
      <c r="F1298" s="34" t="str">
        <f>IFERROR(VLOOKUP(tbLOG[[#This Row],[LOGIN]],tbMAPA[#All],3,0), "Não localizado")</f>
        <v>Reginaldo Santana De Souza</v>
      </c>
      <c r="G1298" s="3" t="s">
        <v>1211</v>
      </c>
      <c r="H1298" s="3" t="s">
        <v>836</v>
      </c>
    </row>
    <row r="1299" spans="1:8">
      <c r="A1299" s="29">
        <v>42744.531446759262</v>
      </c>
      <c r="B1299" s="29" t="str">
        <f>PROPER(TEXT(tbLOG[[#This Row],[DATA/HORA]],"mmmm"))</f>
        <v>Janeiro</v>
      </c>
      <c r="C1299" s="34" t="str">
        <f>PROPER(TEXT(tbLOG[[#This Row],[DATA/HORA]],"dddd"))</f>
        <v>Segunda-Feira</v>
      </c>
      <c r="D1299" s="3" t="s">
        <v>604</v>
      </c>
      <c r="E1299" s="34" t="str">
        <f>IFERROR(VLOOKUP(tbLOG[[#This Row],[LOGIN]],tbMAPA[#All],2,0), "Não localizado")</f>
        <v>Renan Cazumba Tegani</v>
      </c>
      <c r="F1299" s="34" t="str">
        <f>IFERROR(VLOOKUP(tbLOG[[#This Row],[LOGIN]],tbMAPA[#All],3,0), "Não localizado")</f>
        <v>Reginaldo Santana De Souza</v>
      </c>
      <c r="G1299" s="3" t="s">
        <v>1211</v>
      </c>
      <c r="H1299" s="3" t="s">
        <v>836</v>
      </c>
    </row>
    <row r="1300" spans="1:8">
      <c r="A1300" s="29">
        <v>42744.531469907408</v>
      </c>
      <c r="B1300" s="29" t="str">
        <f>PROPER(TEXT(tbLOG[[#This Row],[DATA/HORA]],"mmmm"))</f>
        <v>Janeiro</v>
      </c>
      <c r="C1300" s="34" t="str">
        <f>PROPER(TEXT(tbLOG[[#This Row],[DATA/HORA]],"dddd"))</f>
        <v>Segunda-Feira</v>
      </c>
      <c r="D1300" s="3" t="s">
        <v>604</v>
      </c>
      <c r="E1300" s="34" t="str">
        <f>IFERROR(VLOOKUP(tbLOG[[#This Row],[LOGIN]],tbMAPA[#All],2,0), "Não localizado")</f>
        <v>Renan Cazumba Tegani</v>
      </c>
      <c r="F1300" s="34" t="str">
        <f>IFERROR(VLOOKUP(tbLOG[[#This Row],[LOGIN]],tbMAPA[#All],3,0), "Não localizado")</f>
        <v>Reginaldo Santana De Souza</v>
      </c>
      <c r="G1300" s="3" t="s">
        <v>1211</v>
      </c>
      <c r="H1300" s="3" t="s">
        <v>836</v>
      </c>
    </row>
    <row r="1301" spans="1:8">
      <c r="A1301" s="29">
        <v>42744.531493055554</v>
      </c>
      <c r="B1301" s="29" t="str">
        <f>PROPER(TEXT(tbLOG[[#This Row],[DATA/HORA]],"mmmm"))</f>
        <v>Janeiro</v>
      </c>
      <c r="C1301" s="34" t="str">
        <f>PROPER(TEXT(tbLOG[[#This Row],[DATA/HORA]],"dddd"))</f>
        <v>Segunda-Feira</v>
      </c>
      <c r="D1301" s="3" t="s">
        <v>604</v>
      </c>
      <c r="E1301" s="34" t="str">
        <f>IFERROR(VLOOKUP(tbLOG[[#This Row],[LOGIN]],tbMAPA[#All],2,0), "Não localizado")</f>
        <v>Renan Cazumba Tegani</v>
      </c>
      <c r="F1301" s="34" t="str">
        <f>IFERROR(VLOOKUP(tbLOG[[#This Row],[LOGIN]],tbMAPA[#All],3,0), "Não localizado")</f>
        <v>Reginaldo Santana De Souza</v>
      </c>
      <c r="G1301" s="3" t="s">
        <v>1211</v>
      </c>
      <c r="H1301" s="3" t="s">
        <v>836</v>
      </c>
    </row>
    <row r="1302" spans="1:8">
      <c r="A1302" s="29">
        <v>42744.5315625</v>
      </c>
      <c r="B1302" s="29" t="str">
        <f>PROPER(TEXT(tbLOG[[#This Row],[DATA/HORA]],"mmmm"))</f>
        <v>Janeiro</v>
      </c>
      <c r="C1302" s="34" t="str">
        <f>PROPER(TEXT(tbLOG[[#This Row],[DATA/HORA]],"dddd"))</f>
        <v>Segunda-Feira</v>
      </c>
      <c r="D1302" s="3" t="s">
        <v>604</v>
      </c>
      <c r="E1302" s="34" t="str">
        <f>IFERROR(VLOOKUP(tbLOG[[#This Row],[LOGIN]],tbMAPA[#All],2,0), "Não localizado")</f>
        <v>Renan Cazumba Tegani</v>
      </c>
      <c r="F1302" s="34" t="str">
        <f>IFERROR(VLOOKUP(tbLOG[[#This Row],[LOGIN]],tbMAPA[#All],3,0), "Não localizado")</f>
        <v>Reginaldo Santana De Souza</v>
      </c>
      <c r="G1302" s="3" t="s">
        <v>1211</v>
      </c>
      <c r="H1302" s="3" t="s">
        <v>836</v>
      </c>
    </row>
    <row r="1303" spans="1:8">
      <c r="A1303" s="29">
        <v>42744.531597222223</v>
      </c>
      <c r="B1303" s="29" t="str">
        <f>PROPER(TEXT(tbLOG[[#This Row],[DATA/HORA]],"mmmm"))</f>
        <v>Janeiro</v>
      </c>
      <c r="C1303" s="34" t="str">
        <f>PROPER(TEXT(tbLOG[[#This Row],[DATA/HORA]],"dddd"))</f>
        <v>Segunda-Feira</v>
      </c>
      <c r="D1303" s="3" t="s">
        <v>604</v>
      </c>
      <c r="E1303" s="34" t="str">
        <f>IFERROR(VLOOKUP(tbLOG[[#This Row],[LOGIN]],tbMAPA[#All],2,0), "Não localizado")</f>
        <v>Renan Cazumba Tegani</v>
      </c>
      <c r="F1303" s="34" t="str">
        <f>IFERROR(VLOOKUP(tbLOG[[#This Row],[LOGIN]],tbMAPA[#All],3,0), "Não localizado")</f>
        <v>Reginaldo Santana De Souza</v>
      </c>
      <c r="G1303" s="3" t="s">
        <v>1211</v>
      </c>
      <c r="H1303" s="3" t="s">
        <v>836</v>
      </c>
    </row>
    <row r="1304" spans="1:8">
      <c r="A1304" s="29">
        <v>42744.531736111108</v>
      </c>
      <c r="B1304" s="29" t="str">
        <f>PROPER(TEXT(tbLOG[[#This Row],[DATA/HORA]],"mmmm"))</f>
        <v>Janeiro</v>
      </c>
      <c r="C1304" s="34" t="str">
        <f>PROPER(TEXT(tbLOG[[#This Row],[DATA/HORA]],"dddd"))</f>
        <v>Segunda-Feira</v>
      </c>
      <c r="D1304" s="3" t="s">
        <v>604</v>
      </c>
      <c r="E1304" s="34" t="str">
        <f>IFERROR(VLOOKUP(tbLOG[[#This Row],[LOGIN]],tbMAPA[#All],2,0), "Não localizado")</f>
        <v>Renan Cazumba Tegani</v>
      </c>
      <c r="F1304" s="34" t="str">
        <f>IFERROR(VLOOKUP(tbLOG[[#This Row],[LOGIN]],tbMAPA[#All],3,0), "Não localizado")</f>
        <v>Reginaldo Santana De Souza</v>
      </c>
      <c r="G1304" s="3" t="s">
        <v>1211</v>
      </c>
      <c r="H1304" s="3" t="s">
        <v>836</v>
      </c>
    </row>
    <row r="1305" spans="1:8">
      <c r="A1305" s="29">
        <v>42744.531817129631</v>
      </c>
      <c r="B1305" s="29" t="str">
        <f>PROPER(TEXT(tbLOG[[#This Row],[DATA/HORA]],"mmmm"))</f>
        <v>Janeiro</v>
      </c>
      <c r="C1305" s="34" t="str">
        <f>PROPER(TEXT(tbLOG[[#This Row],[DATA/HORA]],"dddd"))</f>
        <v>Segunda-Feira</v>
      </c>
      <c r="D1305" s="3" t="s">
        <v>604</v>
      </c>
      <c r="E1305" s="34" t="str">
        <f>IFERROR(VLOOKUP(tbLOG[[#This Row],[LOGIN]],tbMAPA[#All],2,0), "Não localizado")</f>
        <v>Renan Cazumba Tegani</v>
      </c>
      <c r="F1305" s="34" t="str">
        <f>IFERROR(VLOOKUP(tbLOG[[#This Row],[LOGIN]],tbMAPA[#All],3,0), "Não localizado")</f>
        <v>Reginaldo Santana De Souza</v>
      </c>
      <c r="G1305" s="3" t="s">
        <v>1211</v>
      </c>
      <c r="H1305" s="3" t="s">
        <v>836</v>
      </c>
    </row>
    <row r="1306" spans="1:8">
      <c r="A1306" s="29">
        <v>42744.531863425924</v>
      </c>
      <c r="B1306" s="29" t="str">
        <f>PROPER(TEXT(tbLOG[[#This Row],[DATA/HORA]],"mmmm"))</f>
        <v>Janeiro</v>
      </c>
      <c r="C1306" s="34" t="str">
        <f>PROPER(TEXT(tbLOG[[#This Row],[DATA/HORA]],"dddd"))</f>
        <v>Segunda-Feira</v>
      </c>
      <c r="D1306" s="3" t="s">
        <v>604</v>
      </c>
      <c r="E1306" s="34" t="str">
        <f>IFERROR(VLOOKUP(tbLOG[[#This Row],[LOGIN]],tbMAPA[#All],2,0), "Não localizado")</f>
        <v>Renan Cazumba Tegani</v>
      </c>
      <c r="F1306" s="34" t="str">
        <f>IFERROR(VLOOKUP(tbLOG[[#This Row],[LOGIN]],tbMAPA[#All],3,0), "Não localizado")</f>
        <v>Reginaldo Santana De Souza</v>
      </c>
      <c r="G1306" s="3" t="s">
        <v>1211</v>
      </c>
      <c r="H1306" s="3" t="s">
        <v>836</v>
      </c>
    </row>
    <row r="1307" spans="1:8">
      <c r="A1307" s="29">
        <v>42744.531898148147</v>
      </c>
      <c r="B1307" s="29" t="str">
        <f>PROPER(TEXT(tbLOG[[#This Row],[DATA/HORA]],"mmmm"))</f>
        <v>Janeiro</v>
      </c>
      <c r="C1307" s="34" t="str">
        <f>PROPER(TEXT(tbLOG[[#This Row],[DATA/HORA]],"dddd"))</f>
        <v>Segunda-Feira</v>
      </c>
      <c r="D1307" s="3" t="s">
        <v>604</v>
      </c>
      <c r="E1307" s="34" t="str">
        <f>IFERROR(VLOOKUP(tbLOG[[#This Row],[LOGIN]],tbMAPA[#All],2,0), "Não localizado")</f>
        <v>Renan Cazumba Tegani</v>
      </c>
      <c r="F1307" s="34" t="str">
        <f>IFERROR(VLOOKUP(tbLOG[[#This Row],[LOGIN]],tbMAPA[#All],3,0), "Não localizado")</f>
        <v>Reginaldo Santana De Souza</v>
      </c>
      <c r="G1307" s="3" t="s">
        <v>1211</v>
      </c>
      <c r="H1307" s="3" t="s">
        <v>836</v>
      </c>
    </row>
    <row r="1308" spans="1:8">
      <c r="A1308" s="29">
        <v>42744.531921296293</v>
      </c>
      <c r="B1308" s="29" t="str">
        <f>PROPER(TEXT(tbLOG[[#This Row],[DATA/HORA]],"mmmm"))</f>
        <v>Janeiro</v>
      </c>
      <c r="C1308" s="34" t="str">
        <f>PROPER(TEXT(tbLOG[[#This Row],[DATA/HORA]],"dddd"))</f>
        <v>Segunda-Feira</v>
      </c>
      <c r="D1308" s="3" t="s">
        <v>604</v>
      </c>
      <c r="E1308" s="34" t="str">
        <f>IFERROR(VLOOKUP(tbLOG[[#This Row],[LOGIN]],tbMAPA[#All],2,0), "Não localizado")</f>
        <v>Renan Cazumba Tegani</v>
      </c>
      <c r="F1308" s="34" t="str">
        <f>IFERROR(VLOOKUP(tbLOG[[#This Row],[LOGIN]],tbMAPA[#All],3,0), "Não localizado")</f>
        <v>Reginaldo Santana De Souza</v>
      </c>
      <c r="G1308" s="3" t="s">
        <v>1211</v>
      </c>
      <c r="H1308" s="3" t="s">
        <v>836</v>
      </c>
    </row>
    <row r="1309" spans="1:8">
      <c r="A1309" s="29">
        <v>42744.531944444447</v>
      </c>
      <c r="B1309" s="29" t="str">
        <f>PROPER(TEXT(tbLOG[[#This Row],[DATA/HORA]],"mmmm"))</f>
        <v>Janeiro</v>
      </c>
      <c r="C1309" s="34" t="str">
        <f>PROPER(TEXT(tbLOG[[#This Row],[DATA/HORA]],"dddd"))</f>
        <v>Segunda-Feira</v>
      </c>
      <c r="D1309" s="3" t="s">
        <v>604</v>
      </c>
      <c r="E1309" s="34" t="str">
        <f>IFERROR(VLOOKUP(tbLOG[[#This Row],[LOGIN]],tbMAPA[#All],2,0), "Não localizado")</f>
        <v>Renan Cazumba Tegani</v>
      </c>
      <c r="F1309" s="34" t="str">
        <f>IFERROR(VLOOKUP(tbLOG[[#This Row],[LOGIN]],tbMAPA[#All],3,0), "Não localizado")</f>
        <v>Reginaldo Santana De Souza</v>
      </c>
      <c r="G1309" s="3" t="s">
        <v>1211</v>
      </c>
      <c r="H1309" s="3" t="s">
        <v>836</v>
      </c>
    </row>
    <row r="1310" spans="1:8">
      <c r="A1310" s="29">
        <v>42744.53197916667</v>
      </c>
      <c r="B1310" s="29" t="str">
        <f>PROPER(TEXT(tbLOG[[#This Row],[DATA/HORA]],"mmmm"))</f>
        <v>Janeiro</v>
      </c>
      <c r="C1310" s="34" t="str">
        <f>PROPER(TEXT(tbLOG[[#This Row],[DATA/HORA]],"dddd"))</f>
        <v>Segunda-Feira</v>
      </c>
      <c r="D1310" s="3" t="s">
        <v>604</v>
      </c>
      <c r="E1310" s="34" t="str">
        <f>IFERROR(VLOOKUP(tbLOG[[#This Row],[LOGIN]],tbMAPA[#All],2,0), "Não localizado")</f>
        <v>Renan Cazumba Tegani</v>
      </c>
      <c r="F1310" s="34" t="str">
        <f>IFERROR(VLOOKUP(tbLOG[[#This Row],[LOGIN]],tbMAPA[#All],3,0), "Não localizado")</f>
        <v>Reginaldo Santana De Souza</v>
      </c>
      <c r="G1310" s="3" t="s">
        <v>1211</v>
      </c>
      <c r="H1310" s="3" t="s">
        <v>836</v>
      </c>
    </row>
    <row r="1311" spans="1:8">
      <c r="A1311" s="29">
        <v>42744.532013888886</v>
      </c>
      <c r="B1311" s="29" t="str">
        <f>PROPER(TEXT(tbLOG[[#This Row],[DATA/HORA]],"mmmm"))</f>
        <v>Janeiro</v>
      </c>
      <c r="C1311" s="34" t="str">
        <f>PROPER(TEXT(tbLOG[[#This Row],[DATA/HORA]],"dddd"))</f>
        <v>Segunda-Feira</v>
      </c>
      <c r="D1311" s="3" t="s">
        <v>604</v>
      </c>
      <c r="E1311" s="34" t="str">
        <f>IFERROR(VLOOKUP(tbLOG[[#This Row],[LOGIN]],tbMAPA[#All],2,0), "Não localizado")</f>
        <v>Renan Cazumba Tegani</v>
      </c>
      <c r="F1311" s="34" t="str">
        <f>IFERROR(VLOOKUP(tbLOG[[#This Row],[LOGIN]],tbMAPA[#All],3,0), "Não localizado")</f>
        <v>Reginaldo Santana De Souza</v>
      </c>
      <c r="G1311" s="3" t="s">
        <v>1211</v>
      </c>
      <c r="H1311" s="3" t="s">
        <v>291</v>
      </c>
    </row>
    <row r="1312" spans="1:8">
      <c r="A1312" s="29">
        <v>42744.532013888886</v>
      </c>
      <c r="B1312" s="29" t="str">
        <f>PROPER(TEXT(tbLOG[[#This Row],[DATA/HORA]],"mmmm"))</f>
        <v>Janeiro</v>
      </c>
      <c r="C1312" s="34" t="str">
        <f>PROPER(TEXT(tbLOG[[#This Row],[DATA/HORA]],"dddd"))</f>
        <v>Segunda-Feira</v>
      </c>
      <c r="D1312" s="3" t="s">
        <v>604</v>
      </c>
      <c r="E1312" s="34" t="str">
        <f>IFERROR(VLOOKUP(tbLOG[[#This Row],[LOGIN]],tbMAPA[#All],2,0), "Não localizado")</f>
        <v>Renan Cazumba Tegani</v>
      </c>
      <c r="F1312" s="34" t="str">
        <f>IFERROR(VLOOKUP(tbLOG[[#This Row],[LOGIN]],tbMAPA[#All],3,0), "Não localizado")</f>
        <v>Reginaldo Santana De Souza</v>
      </c>
      <c r="G1312" s="3" t="s">
        <v>1211</v>
      </c>
      <c r="H1312" s="3" t="s">
        <v>290</v>
      </c>
    </row>
    <row r="1313" spans="1:8">
      <c r="A1313" s="29">
        <v>42744.532453703701</v>
      </c>
      <c r="B1313" s="29" t="str">
        <f>PROPER(TEXT(tbLOG[[#This Row],[DATA/HORA]],"mmmm"))</f>
        <v>Janeiro</v>
      </c>
      <c r="C1313" s="34" t="str">
        <f>PROPER(TEXT(tbLOG[[#This Row],[DATA/HORA]],"dddd"))</f>
        <v>Segunda-Feira</v>
      </c>
      <c r="D1313" s="3" t="s">
        <v>604</v>
      </c>
      <c r="E1313" s="34" t="str">
        <f>IFERROR(VLOOKUP(tbLOG[[#This Row],[LOGIN]],tbMAPA[#All],2,0), "Não localizado")</f>
        <v>Renan Cazumba Tegani</v>
      </c>
      <c r="F1313" s="34" t="str">
        <f>IFERROR(VLOOKUP(tbLOG[[#This Row],[LOGIN]],tbMAPA[#All],3,0), "Não localizado")</f>
        <v>Reginaldo Santana De Souza</v>
      </c>
      <c r="G1313" s="3" t="s">
        <v>1211</v>
      </c>
      <c r="H1313" s="3" t="s">
        <v>994</v>
      </c>
    </row>
    <row r="1314" spans="1:8">
      <c r="A1314" s="29">
        <v>42744.532557870371</v>
      </c>
      <c r="B1314" s="29" t="str">
        <f>PROPER(TEXT(tbLOG[[#This Row],[DATA/HORA]],"mmmm"))</f>
        <v>Janeiro</v>
      </c>
      <c r="C1314" s="34" t="str">
        <f>PROPER(TEXT(tbLOG[[#This Row],[DATA/HORA]],"dddd"))</f>
        <v>Segunda-Feira</v>
      </c>
      <c r="D1314" s="3" t="s">
        <v>604</v>
      </c>
      <c r="E1314" s="34" t="str">
        <f>IFERROR(VLOOKUP(tbLOG[[#This Row],[LOGIN]],tbMAPA[#All],2,0), "Não localizado")</f>
        <v>Renan Cazumba Tegani</v>
      </c>
      <c r="F1314" s="34" t="str">
        <f>IFERROR(VLOOKUP(tbLOG[[#This Row],[LOGIN]],tbMAPA[#All],3,0), "Não localizado")</f>
        <v>Reginaldo Santana De Souza</v>
      </c>
      <c r="G1314" s="3" t="s">
        <v>1211</v>
      </c>
      <c r="H1314" s="3" t="s">
        <v>290</v>
      </c>
    </row>
    <row r="1315" spans="1:8">
      <c r="A1315" s="29">
        <v>42744.532754629632</v>
      </c>
      <c r="B1315" s="29" t="str">
        <f>PROPER(TEXT(tbLOG[[#This Row],[DATA/HORA]],"mmmm"))</f>
        <v>Janeiro</v>
      </c>
      <c r="C1315" s="34" t="str">
        <f>PROPER(TEXT(tbLOG[[#This Row],[DATA/HORA]],"dddd"))</f>
        <v>Segunda-Feira</v>
      </c>
      <c r="D1315" s="3" t="s">
        <v>604</v>
      </c>
      <c r="E1315" s="34" t="str">
        <f>IFERROR(VLOOKUP(tbLOG[[#This Row],[LOGIN]],tbMAPA[#All],2,0), "Não localizado")</f>
        <v>Renan Cazumba Tegani</v>
      </c>
      <c r="F1315" s="34" t="str">
        <f>IFERROR(VLOOKUP(tbLOG[[#This Row],[LOGIN]],tbMAPA[#All],3,0), "Não localizado")</f>
        <v>Reginaldo Santana De Souza</v>
      </c>
      <c r="G1315" s="3" t="s">
        <v>1211</v>
      </c>
      <c r="H1315" s="3" t="s">
        <v>836</v>
      </c>
    </row>
    <row r="1316" spans="1:8">
      <c r="A1316" s="29">
        <v>42744.532789351855</v>
      </c>
      <c r="B1316" s="29" t="str">
        <f>PROPER(TEXT(tbLOG[[#This Row],[DATA/HORA]],"mmmm"))</f>
        <v>Janeiro</v>
      </c>
      <c r="C1316" s="34" t="str">
        <f>PROPER(TEXT(tbLOG[[#This Row],[DATA/HORA]],"dddd"))</f>
        <v>Segunda-Feira</v>
      </c>
      <c r="D1316" s="3" t="s">
        <v>604</v>
      </c>
      <c r="E1316" s="34" t="str">
        <f>IFERROR(VLOOKUP(tbLOG[[#This Row],[LOGIN]],tbMAPA[#All],2,0), "Não localizado")</f>
        <v>Renan Cazumba Tegani</v>
      </c>
      <c r="F1316" s="34" t="str">
        <f>IFERROR(VLOOKUP(tbLOG[[#This Row],[LOGIN]],tbMAPA[#All],3,0), "Não localizado")</f>
        <v>Reginaldo Santana De Souza</v>
      </c>
      <c r="G1316" s="3" t="s">
        <v>1211</v>
      </c>
      <c r="H1316" s="3" t="s">
        <v>836</v>
      </c>
    </row>
    <row r="1317" spans="1:8">
      <c r="A1317" s="29">
        <v>42744.532812500001</v>
      </c>
      <c r="B1317" s="29" t="str">
        <f>PROPER(TEXT(tbLOG[[#This Row],[DATA/HORA]],"mmmm"))</f>
        <v>Janeiro</v>
      </c>
      <c r="C1317" s="34" t="str">
        <f>PROPER(TEXT(tbLOG[[#This Row],[DATA/HORA]],"dddd"))</f>
        <v>Segunda-Feira</v>
      </c>
      <c r="D1317" s="3" t="s">
        <v>604</v>
      </c>
      <c r="E1317" s="34" t="str">
        <f>IFERROR(VLOOKUP(tbLOG[[#This Row],[LOGIN]],tbMAPA[#All],2,0), "Não localizado")</f>
        <v>Renan Cazumba Tegani</v>
      </c>
      <c r="F1317" s="34" t="str">
        <f>IFERROR(VLOOKUP(tbLOG[[#This Row],[LOGIN]],tbMAPA[#All],3,0), "Não localizado")</f>
        <v>Reginaldo Santana De Souza</v>
      </c>
      <c r="G1317" s="3" t="s">
        <v>1211</v>
      </c>
      <c r="H1317" s="3" t="s">
        <v>836</v>
      </c>
    </row>
    <row r="1318" spans="1:8">
      <c r="A1318" s="29">
        <v>42744.532835648148</v>
      </c>
      <c r="B1318" s="29" t="str">
        <f>PROPER(TEXT(tbLOG[[#This Row],[DATA/HORA]],"mmmm"))</f>
        <v>Janeiro</v>
      </c>
      <c r="C1318" s="34" t="str">
        <f>PROPER(TEXT(tbLOG[[#This Row],[DATA/HORA]],"dddd"))</f>
        <v>Segunda-Feira</v>
      </c>
      <c r="D1318" s="3" t="s">
        <v>604</v>
      </c>
      <c r="E1318" s="34" t="str">
        <f>IFERROR(VLOOKUP(tbLOG[[#This Row],[LOGIN]],tbMAPA[#All],2,0), "Não localizado")</f>
        <v>Renan Cazumba Tegani</v>
      </c>
      <c r="F1318" s="34" t="str">
        <f>IFERROR(VLOOKUP(tbLOG[[#This Row],[LOGIN]],tbMAPA[#All],3,0), "Não localizado")</f>
        <v>Reginaldo Santana De Souza</v>
      </c>
      <c r="G1318" s="3" t="s">
        <v>1211</v>
      </c>
      <c r="H1318" s="3" t="s">
        <v>836</v>
      </c>
    </row>
    <row r="1319" spans="1:8">
      <c r="A1319" s="29">
        <v>42744.532858796294</v>
      </c>
      <c r="B1319" s="29" t="str">
        <f>PROPER(TEXT(tbLOG[[#This Row],[DATA/HORA]],"mmmm"))</f>
        <v>Janeiro</v>
      </c>
      <c r="C1319" s="34" t="str">
        <f>PROPER(TEXT(tbLOG[[#This Row],[DATA/HORA]],"dddd"))</f>
        <v>Segunda-Feira</v>
      </c>
      <c r="D1319" s="3" t="s">
        <v>604</v>
      </c>
      <c r="E1319" s="34" t="str">
        <f>IFERROR(VLOOKUP(tbLOG[[#This Row],[LOGIN]],tbMAPA[#All],2,0), "Não localizado")</f>
        <v>Renan Cazumba Tegani</v>
      </c>
      <c r="F1319" s="34" t="str">
        <f>IFERROR(VLOOKUP(tbLOG[[#This Row],[LOGIN]],tbMAPA[#All],3,0), "Não localizado")</f>
        <v>Reginaldo Santana De Souza</v>
      </c>
      <c r="G1319" s="3" t="s">
        <v>1211</v>
      </c>
      <c r="H1319" s="3" t="s">
        <v>836</v>
      </c>
    </row>
    <row r="1320" spans="1:8">
      <c r="A1320" s="29">
        <v>42744.532870370371</v>
      </c>
      <c r="B1320" s="29" t="str">
        <f>PROPER(TEXT(tbLOG[[#This Row],[DATA/HORA]],"mmmm"))</f>
        <v>Janeiro</v>
      </c>
      <c r="C1320" s="34" t="str">
        <f>PROPER(TEXT(tbLOG[[#This Row],[DATA/HORA]],"dddd"))</f>
        <v>Segunda-Feira</v>
      </c>
      <c r="D1320" s="3" t="s">
        <v>604</v>
      </c>
      <c r="E1320" s="34" t="str">
        <f>IFERROR(VLOOKUP(tbLOG[[#This Row],[LOGIN]],tbMAPA[#All],2,0), "Não localizado")</f>
        <v>Renan Cazumba Tegani</v>
      </c>
      <c r="F1320" s="34" t="str">
        <f>IFERROR(VLOOKUP(tbLOG[[#This Row],[LOGIN]],tbMAPA[#All],3,0), "Não localizado")</f>
        <v>Reginaldo Santana De Souza</v>
      </c>
      <c r="G1320" s="3" t="s">
        <v>1211</v>
      </c>
      <c r="H1320" s="3" t="s">
        <v>836</v>
      </c>
    </row>
    <row r="1321" spans="1:8">
      <c r="A1321" s="29">
        <v>42744.532881944448</v>
      </c>
      <c r="B1321" s="29" t="str">
        <f>PROPER(TEXT(tbLOG[[#This Row],[DATA/HORA]],"mmmm"))</f>
        <v>Janeiro</v>
      </c>
      <c r="C1321" s="34" t="str">
        <f>PROPER(TEXT(tbLOG[[#This Row],[DATA/HORA]],"dddd"))</f>
        <v>Segunda-Feira</v>
      </c>
      <c r="D1321" s="3" t="s">
        <v>604</v>
      </c>
      <c r="E1321" s="34" t="str">
        <f>IFERROR(VLOOKUP(tbLOG[[#This Row],[LOGIN]],tbMAPA[#All],2,0), "Não localizado")</f>
        <v>Renan Cazumba Tegani</v>
      </c>
      <c r="F1321" s="34" t="str">
        <f>IFERROR(VLOOKUP(tbLOG[[#This Row],[LOGIN]],tbMAPA[#All],3,0), "Não localizado")</f>
        <v>Reginaldo Santana De Souza</v>
      </c>
      <c r="G1321" s="3" t="s">
        <v>1211</v>
      </c>
      <c r="H1321" s="3" t="s">
        <v>836</v>
      </c>
    </row>
    <row r="1322" spans="1:8">
      <c r="A1322" s="29">
        <v>42744.532905092594</v>
      </c>
      <c r="B1322" s="29" t="str">
        <f>PROPER(TEXT(tbLOG[[#This Row],[DATA/HORA]],"mmmm"))</f>
        <v>Janeiro</v>
      </c>
      <c r="C1322" s="34" t="str">
        <f>PROPER(TEXT(tbLOG[[#This Row],[DATA/HORA]],"dddd"))</f>
        <v>Segunda-Feira</v>
      </c>
      <c r="D1322" s="3" t="s">
        <v>604</v>
      </c>
      <c r="E1322" s="34" t="str">
        <f>IFERROR(VLOOKUP(tbLOG[[#This Row],[LOGIN]],tbMAPA[#All],2,0), "Não localizado")</f>
        <v>Renan Cazumba Tegani</v>
      </c>
      <c r="F1322" s="34" t="str">
        <f>IFERROR(VLOOKUP(tbLOG[[#This Row],[LOGIN]],tbMAPA[#All],3,0), "Não localizado")</f>
        <v>Reginaldo Santana De Souza</v>
      </c>
      <c r="G1322" s="3" t="s">
        <v>1211</v>
      </c>
      <c r="H1322" s="3" t="s">
        <v>836</v>
      </c>
    </row>
    <row r="1323" spans="1:8">
      <c r="A1323" s="29">
        <v>42744.53292824074</v>
      </c>
      <c r="B1323" s="29" t="str">
        <f>PROPER(TEXT(tbLOG[[#This Row],[DATA/HORA]],"mmmm"))</f>
        <v>Janeiro</v>
      </c>
      <c r="C1323" s="34" t="str">
        <f>PROPER(TEXT(tbLOG[[#This Row],[DATA/HORA]],"dddd"))</f>
        <v>Segunda-Feira</v>
      </c>
      <c r="D1323" s="3" t="s">
        <v>604</v>
      </c>
      <c r="E1323" s="34" t="str">
        <f>IFERROR(VLOOKUP(tbLOG[[#This Row],[LOGIN]],tbMAPA[#All],2,0), "Não localizado")</f>
        <v>Renan Cazumba Tegani</v>
      </c>
      <c r="F1323" s="34" t="str">
        <f>IFERROR(VLOOKUP(tbLOG[[#This Row],[LOGIN]],tbMAPA[#All],3,0), "Não localizado")</f>
        <v>Reginaldo Santana De Souza</v>
      </c>
      <c r="G1323" s="3" t="s">
        <v>1211</v>
      </c>
      <c r="H1323" s="3" t="s">
        <v>836</v>
      </c>
    </row>
    <row r="1324" spans="1:8">
      <c r="A1324" s="29">
        <v>42744.532939814817</v>
      </c>
      <c r="B1324" s="29" t="str">
        <f>PROPER(TEXT(tbLOG[[#This Row],[DATA/HORA]],"mmmm"))</f>
        <v>Janeiro</v>
      </c>
      <c r="C1324" s="34" t="str">
        <f>PROPER(TEXT(tbLOG[[#This Row],[DATA/HORA]],"dddd"))</f>
        <v>Segunda-Feira</v>
      </c>
      <c r="D1324" s="3" t="s">
        <v>604</v>
      </c>
      <c r="E1324" s="34" t="str">
        <f>IFERROR(VLOOKUP(tbLOG[[#This Row],[LOGIN]],tbMAPA[#All],2,0), "Não localizado")</f>
        <v>Renan Cazumba Tegani</v>
      </c>
      <c r="F1324" s="34" t="str">
        <f>IFERROR(VLOOKUP(tbLOG[[#This Row],[LOGIN]],tbMAPA[#All],3,0), "Não localizado")</f>
        <v>Reginaldo Santana De Souza</v>
      </c>
      <c r="G1324" s="3" t="s">
        <v>1211</v>
      </c>
      <c r="H1324" s="3" t="s">
        <v>836</v>
      </c>
    </row>
    <row r="1325" spans="1:8">
      <c r="A1325" s="29">
        <v>42744.532962962963</v>
      </c>
      <c r="B1325" s="29" t="str">
        <f>PROPER(TEXT(tbLOG[[#This Row],[DATA/HORA]],"mmmm"))</f>
        <v>Janeiro</v>
      </c>
      <c r="C1325" s="34" t="str">
        <f>PROPER(TEXT(tbLOG[[#This Row],[DATA/HORA]],"dddd"))</f>
        <v>Segunda-Feira</v>
      </c>
      <c r="D1325" s="3" t="s">
        <v>604</v>
      </c>
      <c r="E1325" s="34" t="str">
        <f>IFERROR(VLOOKUP(tbLOG[[#This Row],[LOGIN]],tbMAPA[#All],2,0), "Não localizado")</f>
        <v>Renan Cazumba Tegani</v>
      </c>
      <c r="F1325" s="34" t="str">
        <f>IFERROR(VLOOKUP(tbLOG[[#This Row],[LOGIN]],tbMAPA[#All],3,0), "Não localizado")</f>
        <v>Reginaldo Santana De Souza</v>
      </c>
      <c r="G1325" s="3" t="s">
        <v>1211</v>
      </c>
      <c r="H1325" s="3" t="s">
        <v>836</v>
      </c>
    </row>
    <row r="1326" spans="1:8">
      <c r="A1326" s="29">
        <v>42744.53297453704</v>
      </c>
      <c r="B1326" s="29" t="str">
        <f>PROPER(TEXT(tbLOG[[#This Row],[DATA/HORA]],"mmmm"))</f>
        <v>Janeiro</v>
      </c>
      <c r="C1326" s="34" t="str">
        <f>PROPER(TEXT(tbLOG[[#This Row],[DATA/HORA]],"dddd"))</f>
        <v>Segunda-Feira</v>
      </c>
      <c r="D1326" s="3" t="s">
        <v>604</v>
      </c>
      <c r="E1326" s="34" t="str">
        <f>IFERROR(VLOOKUP(tbLOG[[#This Row],[LOGIN]],tbMAPA[#All],2,0), "Não localizado")</f>
        <v>Renan Cazumba Tegani</v>
      </c>
      <c r="F1326" s="34" t="str">
        <f>IFERROR(VLOOKUP(tbLOG[[#This Row],[LOGIN]],tbMAPA[#All],3,0), "Não localizado")</f>
        <v>Reginaldo Santana De Souza</v>
      </c>
      <c r="G1326" s="3" t="s">
        <v>1211</v>
      </c>
      <c r="H1326" s="3" t="s">
        <v>836</v>
      </c>
    </row>
    <row r="1327" spans="1:8">
      <c r="A1327" s="29">
        <v>42744.532986111109</v>
      </c>
      <c r="B1327" s="29" t="str">
        <f>PROPER(TEXT(tbLOG[[#This Row],[DATA/HORA]],"mmmm"))</f>
        <v>Janeiro</v>
      </c>
      <c r="C1327" s="34" t="str">
        <f>PROPER(TEXT(tbLOG[[#This Row],[DATA/HORA]],"dddd"))</f>
        <v>Segunda-Feira</v>
      </c>
      <c r="D1327" s="3" t="s">
        <v>604</v>
      </c>
      <c r="E1327" s="34" t="str">
        <f>IFERROR(VLOOKUP(tbLOG[[#This Row],[LOGIN]],tbMAPA[#All],2,0), "Não localizado")</f>
        <v>Renan Cazumba Tegani</v>
      </c>
      <c r="F1327" s="34" t="str">
        <f>IFERROR(VLOOKUP(tbLOG[[#This Row],[LOGIN]],tbMAPA[#All],3,0), "Não localizado")</f>
        <v>Reginaldo Santana De Souza</v>
      </c>
      <c r="G1327" s="3" t="s">
        <v>1211</v>
      </c>
      <c r="H1327" s="3" t="s">
        <v>836</v>
      </c>
    </row>
    <row r="1328" spans="1:8">
      <c r="A1328" s="29">
        <v>42744.533009259256</v>
      </c>
      <c r="B1328" s="29" t="str">
        <f>PROPER(TEXT(tbLOG[[#This Row],[DATA/HORA]],"mmmm"))</f>
        <v>Janeiro</v>
      </c>
      <c r="C1328" s="34" t="str">
        <f>PROPER(TEXT(tbLOG[[#This Row],[DATA/HORA]],"dddd"))</f>
        <v>Segunda-Feira</v>
      </c>
      <c r="D1328" s="3" t="s">
        <v>604</v>
      </c>
      <c r="E1328" s="34" t="str">
        <f>IFERROR(VLOOKUP(tbLOG[[#This Row],[LOGIN]],tbMAPA[#All],2,0), "Não localizado")</f>
        <v>Renan Cazumba Tegani</v>
      </c>
      <c r="F1328" s="34" t="str">
        <f>IFERROR(VLOOKUP(tbLOG[[#This Row],[LOGIN]],tbMAPA[#All],3,0), "Não localizado")</f>
        <v>Reginaldo Santana De Souza</v>
      </c>
      <c r="G1328" s="3" t="s">
        <v>1211</v>
      </c>
      <c r="H1328" s="3" t="s">
        <v>836</v>
      </c>
    </row>
    <row r="1329" spans="1:8">
      <c r="A1329" s="29">
        <v>42744.533032407409</v>
      </c>
      <c r="B1329" s="29" t="str">
        <f>PROPER(TEXT(tbLOG[[#This Row],[DATA/HORA]],"mmmm"))</f>
        <v>Janeiro</v>
      </c>
      <c r="C1329" s="34" t="str">
        <f>PROPER(TEXT(tbLOG[[#This Row],[DATA/HORA]],"dddd"))</f>
        <v>Segunda-Feira</v>
      </c>
      <c r="D1329" s="3" t="s">
        <v>604</v>
      </c>
      <c r="E1329" s="34" t="str">
        <f>IFERROR(VLOOKUP(tbLOG[[#This Row],[LOGIN]],tbMAPA[#All],2,0), "Não localizado")</f>
        <v>Renan Cazumba Tegani</v>
      </c>
      <c r="F1329" s="34" t="str">
        <f>IFERROR(VLOOKUP(tbLOG[[#This Row],[LOGIN]],tbMAPA[#All],3,0), "Não localizado")</f>
        <v>Reginaldo Santana De Souza</v>
      </c>
      <c r="G1329" s="3" t="s">
        <v>1211</v>
      </c>
      <c r="H1329" s="3" t="s">
        <v>836</v>
      </c>
    </row>
    <row r="1330" spans="1:8">
      <c r="A1330" s="29">
        <v>42744.533043981479</v>
      </c>
      <c r="B1330" s="29" t="str">
        <f>PROPER(TEXT(tbLOG[[#This Row],[DATA/HORA]],"mmmm"))</f>
        <v>Janeiro</v>
      </c>
      <c r="C1330" s="34" t="str">
        <f>PROPER(TEXT(tbLOG[[#This Row],[DATA/HORA]],"dddd"))</f>
        <v>Segunda-Feira</v>
      </c>
      <c r="D1330" s="3" t="s">
        <v>604</v>
      </c>
      <c r="E1330" s="34" t="str">
        <f>IFERROR(VLOOKUP(tbLOG[[#This Row],[LOGIN]],tbMAPA[#All],2,0), "Não localizado")</f>
        <v>Renan Cazumba Tegani</v>
      </c>
      <c r="F1330" s="34" t="str">
        <f>IFERROR(VLOOKUP(tbLOG[[#This Row],[LOGIN]],tbMAPA[#All],3,0), "Não localizado")</f>
        <v>Reginaldo Santana De Souza</v>
      </c>
      <c r="G1330" s="3" t="s">
        <v>1211</v>
      </c>
      <c r="H1330" s="3" t="s">
        <v>836</v>
      </c>
    </row>
    <row r="1331" spans="1:8">
      <c r="A1331" s="29">
        <v>42744.533078703702</v>
      </c>
      <c r="B1331" s="29" t="str">
        <f>PROPER(TEXT(tbLOG[[#This Row],[DATA/HORA]],"mmmm"))</f>
        <v>Janeiro</v>
      </c>
      <c r="C1331" s="34" t="str">
        <f>PROPER(TEXT(tbLOG[[#This Row],[DATA/HORA]],"dddd"))</f>
        <v>Segunda-Feira</v>
      </c>
      <c r="D1331" s="3" t="s">
        <v>604</v>
      </c>
      <c r="E1331" s="34" t="str">
        <f>IFERROR(VLOOKUP(tbLOG[[#This Row],[LOGIN]],tbMAPA[#All],2,0), "Não localizado")</f>
        <v>Renan Cazumba Tegani</v>
      </c>
      <c r="F1331" s="34" t="str">
        <f>IFERROR(VLOOKUP(tbLOG[[#This Row],[LOGIN]],tbMAPA[#All],3,0), "Não localizado")</f>
        <v>Reginaldo Santana De Souza</v>
      </c>
      <c r="G1331" s="3" t="s">
        <v>1211</v>
      </c>
      <c r="H1331" s="3" t="s">
        <v>290</v>
      </c>
    </row>
    <row r="1332" spans="1:8">
      <c r="A1332" s="29">
        <v>42744.536041666666</v>
      </c>
      <c r="B1332" s="29" t="str">
        <f>PROPER(TEXT(tbLOG[[#This Row],[DATA/HORA]],"mmmm"))</f>
        <v>Janeiro</v>
      </c>
      <c r="C1332" s="34" t="str">
        <f>PROPER(TEXT(tbLOG[[#This Row],[DATA/HORA]],"dddd"))</f>
        <v>Segunda-Feira</v>
      </c>
      <c r="D1332" s="3" t="s">
        <v>604</v>
      </c>
      <c r="E1332" s="34" t="str">
        <f>IFERROR(VLOOKUP(tbLOG[[#This Row],[LOGIN]],tbMAPA[#All],2,0), "Não localizado")</f>
        <v>Renan Cazumba Tegani</v>
      </c>
      <c r="F1332" s="34" t="str">
        <f>IFERROR(VLOOKUP(tbLOG[[#This Row],[LOGIN]],tbMAPA[#All],3,0), "Não localizado")</f>
        <v>Reginaldo Santana De Souza</v>
      </c>
      <c r="G1332" s="3" t="s">
        <v>1211</v>
      </c>
      <c r="H1332" s="3" t="s">
        <v>836</v>
      </c>
    </row>
    <row r="1333" spans="1:8">
      <c r="A1333" s="29">
        <v>42744.536145833335</v>
      </c>
      <c r="B1333" s="29" t="str">
        <f>PROPER(TEXT(tbLOG[[#This Row],[DATA/HORA]],"mmmm"))</f>
        <v>Janeiro</v>
      </c>
      <c r="C1333" s="34" t="str">
        <f>PROPER(TEXT(tbLOG[[#This Row],[DATA/HORA]],"dddd"))</f>
        <v>Segunda-Feira</v>
      </c>
      <c r="D1333" s="3" t="s">
        <v>604</v>
      </c>
      <c r="E1333" s="34" t="str">
        <f>IFERROR(VLOOKUP(tbLOG[[#This Row],[LOGIN]],tbMAPA[#All],2,0), "Não localizado")</f>
        <v>Renan Cazumba Tegani</v>
      </c>
      <c r="F1333" s="34" t="str">
        <f>IFERROR(VLOOKUP(tbLOG[[#This Row],[LOGIN]],tbMAPA[#All],3,0), "Não localizado")</f>
        <v>Reginaldo Santana De Souza</v>
      </c>
      <c r="G1333" s="3" t="s">
        <v>1211</v>
      </c>
      <c r="H1333" s="3" t="s">
        <v>836</v>
      </c>
    </row>
    <row r="1334" spans="1:8">
      <c r="A1334" s="29">
        <v>42744.536215277774</v>
      </c>
      <c r="B1334" s="29" t="str">
        <f>PROPER(TEXT(tbLOG[[#This Row],[DATA/HORA]],"mmmm"))</f>
        <v>Janeiro</v>
      </c>
      <c r="C1334" s="34" t="str">
        <f>PROPER(TEXT(tbLOG[[#This Row],[DATA/HORA]],"dddd"))</f>
        <v>Segunda-Feira</v>
      </c>
      <c r="D1334" s="3" t="s">
        <v>604</v>
      </c>
      <c r="E1334" s="34" t="str">
        <f>IFERROR(VLOOKUP(tbLOG[[#This Row],[LOGIN]],tbMAPA[#All],2,0), "Não localizado")</f>
        <v>Renan Cazumba Tegani</v>
      </c>
      <c r="F1334" s="34" t="str">
        <f>IFERROR(VLOOKUP(tbLOG[[#This Row],[LOGIN]],tbMAPA[#All],3,0), "Não localizado")</f>
        <v>Reginaldo Santana De Souza</v>
      </c>
      <c r="G1334" s="3" t="s">
        <v>1211</v>
      </c>
      <c r="H1334" s="3" t="s">
        <v>836</v>
      </c>
    </row>
    <row r="1335" spans="1:8">
      <c r="A1335" s="29">
        <v>42744.536793981482</v>
      </c>
      <c r="B1335" s="29" t="str">
        <f>PROPER(TEXT(tbLOG[[#This Row],[DATA/HORA]],"mmmm"))</f>
        <v>Janeiro</v>
      </c>
      <c r="C1335" s="34" t="str">
        <f>PROPER(TEXT(tbLOG[[#This Row],[DATA/HORA]],"dddd"))</f>
        <v>Segunda-Feira</v>
      </c>
      <c r="D1335" s="3" t="s">
        <v>604</v>
      </c>
      <c r="E1335" s="34" t="str">
        <f>IFERROR(VLOOKUP(tbLOG[[#This Row],[LOGIN]],tbMAPA[#All],2,0), "Não localizado")</f>
        <v>Renan Cazumba Tegani</v>
      </c>
      <c r="F1335" s="34" t="str">
        <f>IFERROR(VLOOKUP(tbLOG[[#This Row],[LOGIN]],tbMAPA[#All],3,0), "Não localizado")</f>
        <v>Reginaldo Santana De Souza</v>
      </c>
      <c r="G1335" s="3" t="s">
        <v>1211</v>
      </c>
      <c r="H1335" s="3" t="s">
        <v>836</v>
      </c>
    </row>
    <row r="1336" spans="1:8">
      <c r="A1336" s="29">
        <v>42744.536805555559</v>
      </c>
      <c r="B1336" s="29" t="str">
        <f>PROPER(TEXT(tbLOG[[#This Row],[DATA/HORA]],"mmmm"))</f>
        <v>Janeiro</v>
      </c>
      <c r="C1336" s="34" t="str">
        <f>PROPER(TEXT(tbLOG[[#This Row],[DATA/HORA]],"dddd"))</f>
        <v>Segunda-Feira</v>
      </c>
      <c r="D1336" s="3" t="s">
        <v>604</v>
      </c>
      <c r="E1336" s="34" t="str">
        <f>IFERROR(VLOOKUP(tbLOG[[#This Row],[LOGIN]],tbMAPA[#All],2,0), "Não localizado")</f>
        <v>Renan Cazumba Tegani</v>
      </c>
      <c r="F1336" s="34" t="str">
        <f>IFERROR(VLOOKUP(tbLOG[[#This Row],[LOGIN]],tbMAPA[#All],3,0), "Não localizado")</f>
        <v>Reginaldo Santana De Souza</v>
      </c>
      <c r="G1336" s="3" t="s">
        <v>1211</v>
      </c>
      <c r="H1336" s="3" t="s">
        <v>836</v>
      </c>
    </row>
    <row r="1337" spans="1:8">
      <c r="A1337" s="29">
        <v>42744.536944444444</v>
      </c>
      <c r="B1337" s="29" t="str">
        <f>PROPER(TEXT(tbLOG[[#This Row],[DATA/HORA]],"mmmm"))</f>
        <v>Janeiro</v>
      </c>
      <c r="C1337" s="34" t="str">
        <f>PROPER(TEXT(tbLOG[[#This Row],[DATA/HORA]],"dddd"))</f>
        <v>Segunda-Feira</v>
      </c>
      <c r="D1337" s="3" t="s">
        <v>604</v>
      </c>
      <c r="E1337" s="34" t="str">
        <f>IFERROR(VLOOKUP(tbLOG[[#This Row],[LOGIN]],tbMAPA[#All],2,0), "Não localizado")</f>
        <v>Renan Cazumba Tegani</v>
      </c>
      <c r="F1337" s="34" t="str">
        <f>IFERROR(VLOOKUP(tbLOG[[#This Row],[LOGIN]],tbMAPA[#All],3,0), "Não localizado")</f>
        <v>Reginaldo Santana De Souza</v>
      </c>
      <c r="G1337" s="3" t="s">
        <v>1211</v>
      </c>
      <c r="H1337" s="3" t="s">
        <v>290</v>
      </c>
    </row>
    <row r="1338" spans="1:8">
      <c r="A1338" s="29">
        <v>42744.538645833331</v>
      </c>
      <c r="B1338" s="29" t="str">
        <f>PROPER(TEXT(tbLOG[[#This Row],[DATA/HORA]],"mmmm"))</f>
        <v>Janeiro</v>
      </c>
      <c r="C1338" s="34" t="str">
        <f>PROPER(TEXT(tbLOG[[#This Row],[DATA/HORA]],"dddd"))</f>
        <v>Segunda-Feira</v>
      </c>
      <c r="D1338" s="3" t="s">
        <v>604</v>
      </c>
      <c r="E1338" s="34" t="str">
        <f>IFERROR(VLOOKUP(tbLOG[[#This Row],[LOGIN]],tbMAPA[#All],2,0), "Não localizado")</f>
        <v>Renan Cazumba Tegani</v>
      </c>
      <c r="F1338" s="34" t="str">
        <f>IFERROR(VLOOKUP(tbLOG[[#This Row],[LOGIN]],tbMAPA[#All],3,0), "Não localizado")</f>
        <v>Reginaldo Santana De Souza</v>
      </c>
      <c r="G1338" s="3" t="s">
        <v>1211</v>
      </c>
      <c r="H1338" s="3" t="s">
        <v>836</v>
      </c>
    </row>
    <row r="1339" spans="1:8">
      <c r="A1339" s="29">
        <v>42744.538668981484</v>
      </c>
      <c r="B1339" s="29" t="str">
        <f>PROPER(TEXT(tbLOG[[#This Row],[DATA/HORA]],"mmmm"))</f>
        <v>Janeiro</v>
      </c>
      <c r="C1339" s="34" t="str">
        <f>PROPER(TEXT(tbLOG[[#This Row],[DATA/HORA]],"dddd"))</f>
        <v>Segunda-Feira</v>
      </c>
      <c r="D1339" s="3" t="s">
        <v>604</v>
      </c>
      <c r="E1339" s="34" t="str">
        <f>IFERROR(VLOOKUP(tbLOG[[#This Row],[LOGIN]],tbMAPA[#All],2,0), "Não localizado")</f>
        <v>Renan Cazumba Tegani</v>
      </c>
      <c r="F1339" s="34" t="str">
        <f>IFERROR(VLOOKUP(tbLOG[[#This Row],[LOGIN]],tbMAPA[#All],3,0), "Não localizado")</f>
        <v>Reginaldo Santana De Souza</v>
      </c>
      <c r="G1339" s="3" t="s">
        <v>1211</v>
      </c>
      <c r="H1339" s="3" t="s">
        <v>836</v>
      </c>
    </row>
    <row r="1340" spans="1:8">
      <c r="A1340" s="29">
        <v>42744.538715277777</v>
      </c>
      <c r="B1340" s="29" t="str">
        <f>PROPER(TEXT(tbLOG[[#This Row],[DATA/HORA]],"mmmm"))</f>
        <v>Janeiro</v>
      </c>
      <c r="C1340" s="34" t="str">
        <f>PROPER(TEXT(tbLOG[[#This Row],[DATA/HORA]],"dddd"))</f>
        <v>Segunda-Feira</v>
      </c>
      <c r="D1340" s="3" t="s">
        <v>604</v>
      </c>
      <c r="E1340" s="34" t="str">
        <f>IFERROR(VLOOKUP(tbLOG[[#This Row],[LOGIN]],tbMAPA[#All],2,0), "Não localizado")</f>
        <v>Renan Cazumba Tegani</v>
      </c>
      <c r="F1340" s="34" t="str">
        <f>IFERROR(VLOOKUP(tbLOG[[#This Row],[LOGIN]],tbMAPA[#All],3,0), "Não localizado")</f>
        <v>Reginaldo Santana De Souza</v>
      </c>
      <c r="G1340" s="3" t="s">
        <v>1211</v>
      </c>
      <c r="H1340" s="3" t="s">
        <v>836</v>
      </c>
    </row>
    <row r="1341" spans="1:8">
      <c r="A1341" s="29">
        <v>42744.542743055557</v>
      </c>
      <c r="B1341" s="29" t="str">
        <f>PROPER(TEXT(tbLOG[[#This Row],[DATA/HORA]],"mmmm"))</f>
        <v>Janeiro</v>
      </c>
      <c r="C1341" s="34" t="str">
        <f>PROPER(TEXT(tbLOG[[#This Row],[DATA/HORA]],"dddd"))</f>
        <v>Segunda-Feira</v>
      </c>
      <c r="D1341" s="3" t="s">
        <v>604</v>
      </c>
      <c r="E1341" s="34" t="str">
        <f>IFERROR(VLOOKUP(tbLOG[[#This Row],[LOGIN]],tbMAPA[#All],2,0), "Não localizado")</f>
        <v>Renan Cazumba Tegani</v>
      </c>
      <c r="F1341" s="34" t="str">
        <f>IFERROR(VLOOKUP(tbLOG[[#This Row],[LOGIN]],tbMAPA[#All],3,0), "Não localizado")</f>
        <v>Reginaldo Santana De Souza</v>
      </c>
      <c r="G1341" s="3" t="s">
        <v>1211</v>
      </c>
      <c r="H1341" s="3" t="s">
        <v>836</v>
      </c>
    </row>
    <row r="1342" spans="1:8">
      <c r="A1342" s="29">
        <v>42744.548148148147</v>
      </c>
      <c r="B1342" s="29" t="str">
        <f>PROPER(TEXT(tbLOG[[#This Row],[DATA/HORA]],"mmmm"))</f>
        <v>Janeiro</v>
      </c>
      <c r="C1342" s="34" t="str">
        <f>PROPER(TEXT(tbLOG[[#This Row],[DATA/HORA]],"dddd"))</f>
        <v>Segunda-Feira</v>
      </c>
      <c r="D1342" s="3" t="s">
        <v>604</v>
      </c>
      <c r="E1342" s="34" t="str">
        <f>IFERROR(VLOOKUP(tbLOG[[#This Row],[LOGIN]],tbMAPA[#All],2,0), "Não localizado")</f>
        <v>Renan Cazumba Tegani</v>
      </c>
      <c r="F1342" s="34" t="str">
        <f>IFERROR(VLOOKUP(tbLOG[[#This Row],[LOGIN]],tbMAPA[#All],3,0), "Não localizado")</f>
        <v>Reginaldo Santana De Souza</v>
      </c>
      <c r="G1342" s="3" t="s">
        <v>1211</v>
      </c>
      <c r="H1342" s="3" t="s">
        <v>836</v>
      </c>
    </row>
    <row r="1343" spans="1:8">
      <c r="A1343" s="29">
        <v>42744.548206018517</v>
      </c>
      <c r="B1343" s="29" t="str">
        <f>PROPER(TEXT(tbLOG[[#This Row],[DATA/HORA]],"mmmm"))</f>
        <v>Janeiro</v>
      </c>
      <c r="C1343" s="34" t="str">
        <f>PROPER(TEXT(tbLOG[[#This Row],[DATA/HORA]],"dddd"))</f>
        <v>Segunda-Feira</v>
      </c>
      <c r="D1343" s="3" t="s">
        <v>604</v>
      </c>
      <c r="E1343" s="34" t="str">
        <f>IFERROR(VLOOKUP(tbLOG[[#This Row],[LOGIN]],tbMAPA[#All],2,0), "Não localizado")</f>
        <v>Renan Cazumba Tegani</v>
      </c>
      <c r="F1343" s="34" t="str">
        <f>IFERROR(VLOOKUP(tbLOG[[#This Row],[LOGIN]],tbMAPA[#All],3,0), "Não localizado")</f>
        <v>Reginaldo Santana De Souza</v>
      </c>
      <c r="G1343" s="3" t="s">
        <v>1211</v>
      </c>
      <c r="H1343" s="3" t="s">
        <v>836</v>
      </c>
    </row>
    <row r="1344" spans="1:8">
      <c r="A1344" s="29">
        <v>42744.54855324074</v>
      </c>
      <c r="B1344" s="29" t="str">
        <f>PROPER(TEXT(tbLOG[[#This Row],[DATA/HORA]],"mmmm"))</f>
        <v>Janeiro</v>
      </c>
      <c r="C1344" s="34" t="str">
        <f>PROPER(TEXT(tbLOG[[#This Row],[DATA/HORA]],"dddd"))</f>
        <v>Segunda-Feira</v>
      </c>
      <c r="D1344" s="3" t="s">
        <v>604</v>
      </c>
      <c r="E1344" s="34" t="str">
        <f>IFERROR(VLOOKUP(tbLOG[[#This Row],[LOGIN]],tbMAPA[#All],2,0), "Não localizado")</f>
        <v>Renan Cazumba Tegani</v>
      </c>
      <c r="F1344" s="34" t="str">
        <f>IFERROR(VLOOKUP(tbLOG[[#This Row],[LOGIN]],tbMAPA[#All],3,0), "Não localizado")</f>
        <v>Reginaldo Santana De Souza</v>
      </c>
      <c r="G1344" s="3" t="s">
        <v>1211</v>
      </c>
      <c r="H1344" s="3" t="s">
        <v>836</v>
      </c>
    </row>
    <row r="1345" spans="1:8">
      <c r="A1345" s="29">
        <v>42744.549814814818</v>
      </c>
      <c r="B1345" s="29" t="str">
        <f>PROPER(TEXT(tbLOG[[#This Row],[DATA/HORA]],"mmmm"))</f>
        <v>Janeiro</v>
      </c>
      <c r="C1345" s="34" t="str">
        <f>PROPER(TEXT(tbLOG[[#This Row],[DATA/HORA]],"dddd"))</f>
        <v>Segunda-Feira</v>
      </c>
      <c r="D1345" s="3" t="s">
        <v>604</v>
      </c>
      <c r="E1345" s="34" t="str">
        <f>IFERROR(VLOOKUP(tbLOG[[#This Row],[LOGIN]],tbMAPA[#All],2,0), "Não localizado")</f>
        <v>Renan Cazumba Tegani</v>
      </c>
      <c r="F1345" s="34" t="str">
        <f>IFERROR(VLOOKUP(tbLOG[[#This Row],[LOGIN]],tbMAPA[#All],3,0), "Não localizado")</f>
        <v>Reginaldo Santana De Souza</v>
      </c>
      <c r="G1345" s="3" t="s">
        <v>1211</v>
      </c>
      <c r="H1345" s="3" t="s">
        <v>836</v>
      </c>
    </row>
    <row r="1346" spans="1:8">
      <c r="A1346" s="29">
        <v>42744.553715277776</v>
      </c>
      <c r="B1346" s="29" t="str">
        <f>PROPER(TEXT(tbLOG[[#This Row],[DATA/HORA]],"mmmm"))</f>
        <v>Janeiro</v>
      </c>
      <c r="C1346" s="34" t="str">
        <f>PROPER(TEXT(tbLOG[[#This Row],[DATA/HORA]],"dddd"))</f>
        <v>Segunda-Feira</v>
      </c>
      <c r="D1346" s="3" t="s">
        <v>604</v>
      </c>
      <c r="E1346" s="34" t="str">
        <f>IFERROR(VLOOKUP(tbLOG[[#This Row],[LOGIN]],tbMAPA[#All],2,0), "Não localizado")</f>
        <v>Renan Cazumba Tegani</v>
      </c>
      <c r="F1346" s="34" t="str">
        <f>IFERROR(VLOOKUP(tbLOG[[#This Row],[LOGIN]],tbMAPA[#All],3,0), "Não localizado")</f>
        <v>Reginaldo Santana De Souza</v>
      </c>
      <c r="G1346" s="3" t="s">
        <v>1211</v>
      </c>
      <c r="H1346" s="3" t="s">
        <v>836</v>
      </c>
    </row>
    <row r="1347" spans="1:8">
      <c r="A1347" s="29">
        <v>42744.553726851853</v>
      </c>
      <c r="B1347" s="29" t="str">
        <f>PROPER(TEXT(tbLOG[[#This Row],[DATA/HORA]],"mmmm"))</f>
        <v>Janeiro</v>
      </c>
      <c r="C1347" s="34" t="str">
        <f>PROPER(TEXT(tbLOG[[#This Row],[DATA/HORA]],"dddd"))</f>
        <v>Segunda-Feira</v>
      </c>
      <c r="D1347" s="3" t="s">
        <v>604</v>
      </c>
      <c r="E1347" s="34" t="str">
        <f>IFERROR(VLOOKUP(tbLOG[[#This Row],[LOGIN]],tbMAPA[#All],2,0), "Não localizado")</f>
        <v>Renan Cazumba Tegani</v>
      </c>
      <c r="F1347" s="34" t="str">
        <f>IFERROR(VLOOKUP(tbLOG[[#This Row],[LOGIN]],tbMAPA[#All],3,0), "Não localizado")</f>
        <v>Reginaldo Santana De Souza</v>
      </c>
      <c r="G1347" s="3" t="s">
        <v>1211</v>
      </c>
      <c r="H1347" s="3" t="s">
        <v>836</v>
      </c>
    </row>
    <row r="1348" spans="1:8">
      <c r="A1348" s="29">
        <v>42744.554085648146</v>
      </c>
      <c r="B1348" s="29" t="str">
        <f>PROPER(TEXT(tbLOG[[#This Row],[DATA/HORA]],"mmmm"))</f>
        <v>Janeiro</v>
      </c>
      <c r="C1348" s="34" t="str">
        <f>PROPER(TEXT(tbLOG[[#This Row],[DATA/HORA]],"dddd"))</f>
        <v>Segunda-Feira</v>
      </c>
      <c r="D1348" s="3" t="s">
        <v>604</v>
      </c>
      <c r="E1348" s="34" t="str">
        <f>IFERROR(VLOOKUP(tbLOG[[#This Row],[LOGIN]],tbMAPA[#All],2,0), "Não localizado")</f>
        <v>Renan Cazumba Tegani</v>
      </c>
      <c r="F1348" s="34" t="str">
        <f>IFERROR(VLOOKUP(tbLOG[[#This Row],[LOGIN]],tbMAPA[#All],3,0), "Não localizado")</f>
        <v>Reginaldo Santana De Souza</v>
      </c>
      <c r="G1348" s="3" t="s">
        <v>1211</v>
      </c>
      <c r="H1348" s="3" t="s">
        <v>836</v>
      </c>
    </row>
    <row r="1349" spans="1:8">
      <c r="A1349" s="29">
        <v>42744.556134259263</v>
      </c>
      <c r="B1349" s="29" t="str">
        <f>PROPER(TEXT(tbLOG[[#This Row],[DATA/HORA]],"mmmm"))</f>
        <v>Janeiro</v>
      </c>
      <c r="C1349" s="34" t="str">
        <f>PROPER(TEXT(tbLOG[[#This Row],[DATA/HORA]],"dddd"))</f>
        <v>Segunda-Feira</v>
      </c>
      <c r="D1349" s="3" t="s">
        <v>604</v>
      </c>
      <c r="E1349" s="34" t="str">
        <f>IFERROR(VLOOKUP(tbLOG[[#This Row],[LOGIN]],tbMAPA[#All],2,0), "Não localizado")</f>
        <v>Renan Cazumba Tegani</v>
      </c>
      <c r="F1349" s="34" t="str">
        <f>IFERROR(VLOOKUP(tbLOG[[#This Row],[LOGIN]],tbMAPA[#All],3,0), "Não localizado")</f>
        <v>Reginaldo Santana De Souza</v>
      </c>
      <c r="G1349" s="3" t="s">
        <v>1211</v>
      </c>
      <c r="H1349" s="3" t="s">
        <v>836</v>
      </c>
    </row>
    <row r="1350" spans="1:8">
      <c r="A1350" s="29">
        <v>42744.563622685186</v>
      </c>
      <c r="B1350" s="29" t="str">
        <f>PROPER(TEXT(tbLOG[[#This Row],[DATA/HORA]],"mmmm"))</f>
        <v>Janeiro</v>
      </c>
      <c r="C1350" s="34" t="str">
        <f>PROPER(TEXT(tbLOG[[#This Row],[DATA/HORA]],"dddd"))</f>
        <v>Segunda-Feira</v>
      </c>
      <c r="D1350" s="3" t="s">
        <v>604</v>
      </c>
      <c r="E1350" s="34" t="str">
        <f>IFERROR(VLOOKUP(tbLOG[[#This Row],[LOGIN]],tbMAPA[#All],2,0), "Não localizado")</f>
        <v>Renan Cazumba Tegani</v>
      </c>
      <c r="F1350" s="34" t="str">
        <f>IFERROR(VLOOKUP(tbLOG[[#This Row],[LOGIN]],tbMAPA[#All],3,0), "Não localizado")</f>
        <v>Reginaldo Santana De Souza</v>
      </c>
      <c r="G1350" s="3" t="s">
        <v>1211</v>
      </c>
      <c r="H1350" s="3" t="s">
        <v>836</v>
      </c>
    </row>
    <row r="1351" spans="1:8">
      <c r="A1351" s="29">
        <v>42744.563657407409</v>
      </c>
      <c r="B1351" s="29" t="str">
        <f>PROPER(TEXT(tbLOG[[#This Row],[DATA/HORA]],"mmmm"))</f>
        <v>Janeiro</v>
      </c>
      <c r="C1351" s="34" t="str">
        <f>PROPER(TEXT(tbLOG[[#This Row],[DATA/HORA]],"dddd"))</f>
        <v>Segunda-Feira</v>
      </c>
      <c r="D1351" s="3" t="s">
        <v>604</v>
      </c>
      <c r="E1351" s="34" t="str">
        <f>IFERROR(VLOOKUP(tbLOG[[#This Row],[LOGIN]],tbMAPA[#All],2,0), "Não localizado")</f>
        <v>Renan Cazumba Tegani</v>
      </c>
      <c r="F1351" s="34" t="str">
        <f>IFERROR(VLOOKUP(tbLOG[[#This Row],[LOGIN]],tbMAPA[#All],3,0), "Não localizado")</f>
        <v>Reginaldo Santana De Souza</v>
      </c>
      <c r="G1351" s="3" t="s">
        <v>1211</v>
      </c>
      <c r="H1351" s="3" t="s">
        <v>836</v>
      </c>
    </row>
    <row r="1352" spans="1:8">
      <c r="A1352" s="29">
        <v>42744.563807870371</v>
      </c>
      <c r="B1352" s="29" t="str">
        <f>PROPER(TEXT(tbLOG[[#This Row],[DATA/HORA]],"mmmm"))</f>
        <v>Janeiro</v>
      </c>
      <c r="C1352" s="34" t="str">
        <f>PROPER(TEXT(tbLOG[[#This Row],[DATA/HORA]],"dddd"))</f>
        <v>Segunda-Feira</v>
      </c>
      <c r="D1352" s="3" t="s">
        <v>604</v>
      </c>
      <c r="E1352" s="34" t="str">
        <f>IFERROR(VLOOKUP(tbLOG[[#This Row],[LOGIN]],tbMAPA[#All],2,0), "Não localizado")</f>
        <v>Renan Cazumba Tegani</v>
      </c>
      <c r="F1352" s="34" t="str">
        <f>IFERROR(VLOOKUP(tbLOG[[#This Row],[LOGIN]],tbMAPA[#All],3,0), "Não localizado")</f>
        <v>Reginaldo Santana De Souza</v>
      </c>
      <c r="G1352" s="3" t="s">
        <v>1211</v>
      </c>
      <c r="H1352" s="3" t="s">
        <v>836</v>
      </c>
    </row>
    <row r="1353" spans="1:8">
      <c r="A1353" s="29">
        <v>42744.567511574074</v>
      </c>
      <c r="B1353" s="29" t="str">
        <f>PROPER(TEXT(tbLOG[[#This Row],[DATA/HORA]],"mmmm"))</f>
        <v>Janeiro</v>
      </c>
      <c r="C1353" s="34" t="str">
        <f>PROPER(TEXT(tbLOG[[#This Row],[DATA/HORA]],"dddd"))</f>
        <v>Segunda-Feira</v>
      </c>
      <c r="D1353" s="3" t="s">
        <v>604</v>
      </c>
      <c r="E1353" s="34" t="str">
        <f>IFERROR(VLOOKUP(tbLOG[[#This Row],[LOGIN]],tbMAPA[#All],2,0), "Não localizado")</f>
        <v>Renan Cazumba Tegani</v>
      </c>
      <c r="F1353" s="34" t="str">
        <f>IFERROR(VLOOKUP(tbLOG[[#This Row],[LOGIN]],tbMAPA[#All],3,0), "Não localizado")</f>
        <v>Reginaldo Santana De Souza</v>
      </c>
      <c r="G1353" s="3" t="s">
        <v>1211</v>
      </c>
      <c r="H1353" s="3" t="s">
        <v>836</v>
      </c>
    </row>
    <row r="1354" spans="1:8">
      <c r="A1354" s="29">
        <v>42744.567523148151</v>
      </c>
      <c r="B1354" s="29" t="str">
        <f>PROPER(TEXT(tbLOG[[#This Row],[DATA/HORA]],"mmmm"))</f>
        <v>Janeiro</v>
      </c>
      <c r="C1354" s="34" t="str">
        <f>PROPER(TEXT(tbLOG[[#This Row],[DATA/HORA]],"dddd"))</f>
        <v>Segunda-Feira</v>
      </c>
      <c r="D1354" s="3" t="s">
        <v>604</v>
      </c>
      <c r="E1354" s="34" t="str">
        <f>IFERROR(VLOOKUP(tbLOG[[#This Row],[LOGIN]],tbMAPA[#All],2,0), "Não localizado")</f>
        <v>Renan Cazumba Tegani</v>
      </c>
      <c r="F1354" s="34" t="str">
        <f>IFERROR(VLOOKUP(tbLOG[[#This Row],[LOGIN]],tbMAPA[#All],3,0), "Não localizado")</f>
        <v>Reginaldo Santana De Souza</v>
      </c>
      <c r="G1354" s="3" t="s">
        <v>1211</v>
      </c>
      <c r="H1354" s="3" t="s">
        <v>836</v>
      </c>
    </row>
    <row r="1355" spans="1:8">
      <c r="A1355" s="29">
        <v>42744.567557870374</v>
      </c>
      <c r="B1355" s="29" t="str">
        <f>PROPER(TEXT(tbLOG[[#This Row],[DATA/HORA]],"mmmm"))</f>
        <v>Janeiro</v>
      </c>
      <c r="C1355" s="34" t="str">
        <f>PROPER(TEXT(tbLOG[[#This Row],[DATA/HORA]],"dddd"))</f>
        <v>Segunda-Feira</v>
      </c>
      <c r="D1355" s="3" t="s">
        <v>604</v>
      </c>
      <c r="E1355" s="34" t="str">
        <f>IFERROR(VLOOKUP(tbLOG[[#This Row],[LOGIN]],tbMAPA[#All],2,0), "Não localizado")</f>
        <v>Renan Cazumba Tegani</v>
      </c>
      <c r="F1355" s="34" t="str">
        <f>IFERROR(VLOOKUP(tbLOG[[#This Row],[LOGIN]],tbMAPA[#All],3,0), "Não localizado")</f>
        <v>Reginaldo Santana De Souza</v>
      </c>
      <c r="G1355" s="3" t="s">
        <v>1211</v>
      </c>
      <c r="H1355" s="3" t="s">
        <v>836</v>
      </c>
    </row>
    <row r="1356" spans="1:8">
      <c r="A1356" s="29">
        <v>42744.580185185187</v>
      </c>
      <c r="B1356" s="29" t="str">
        <f>PROPER(TEXT(tbLOG[[#This Row],[DATA/HORA]],"mmmm"))</f>
        <v>Janeiro</v>
      </c>
      <c r="C1356" s="34" t="str">
        <f>PROPER(TEXT(tbLOG[[#This Row],[DATA/HORA]],"dddd"))</f>
        <v>Segunda-Feira</v>
      </c>
      <c r="D1356" s="3" t="s">
        <v>604</v>
      </c>
      <c r="E1356" s="34" t="str">
        <f>IFERROR(VLOOKUP(tbLOG[[#This Row],[LOGIN]],tbMAPA[#All],2,0), "Não localizado")</f>
        <v>Renan Cazumba Tegani</v>
      </c>
      <c r="F1356" s="34" t="str">
        <f>IFERROR(VLOOKUP(tbLOG[[#This Row],[LOGIN]],tbMAPA[#All],3,0), "Não localizado")</f>
        <v>Reginaldo Santana De Souza</v>
      </c>
      <c r="G1356" s="3" t="s">
        <v>1211</v>
      </c>
      <c r="H1356" s="3" t="s">
        <v>836</v>
      </c>
    </row>
    <row r="1357" spans="1:8">
      <c r="A1357" s="29">
        <v>42744.580196759256</v>
      </c>
      <c r="B1357" s="29" t="str">
        <f>PROPER(TEXT(tbLOG[[#This Row],[DATA/HORA]],"mmmm"))</f>
        <v>Janeiro</v>
      </c>
      <c r="C1357" s="34" t="str">
        <f>PROPER(TEXT(tbLOG[[#This Row],[DATA/HORA]],"dddd"))</f>
        <v>Segunda-Feira</v>
      </c>
      <c r="D1357" s="3" t="s">
        <v>604</v>
      </c>
      <c r="E1357" s="34" t="str">
        <f>IFERROR(VLOOKUP(tbLOG[[#This Row],[LOGIN]],tbMAPA[#All],2,0), "Não localizado")</f>
        <v>Renan Cazumba Tegani</v>
      </c>
      <c r="F1357" s="34" t="str">
        <f>IFERROR(VLOOKUP(tbLOG[[#This Row],[LOGIN]],tbMAPA[#All],3,0), "Não localizado")</f>
        <v>Reginaldo Santana De Souza</v>
      </c>
      <c r="G1357" s="3" t="s">
        <v>1211</v>
      </c>
      <c r="H1357" s="3" t="s">
        <v>836</v>
      </c>
    </row>
    <row r="1358" spans="1:8">
      <c r="A1358" s="29">
        <v>42744.580405092594</v>
      </c>
      <c r="B1358" s="29" t="str">
        <f>PROPER(TEXT(tbLOG[[#This Row],[DATA/HORA]],"mmmm"))</f>
        <v>Janeiro</v>
      </c>
      <c r="C1358" s="34" t="str">
        <f>PROPER(TEXT(tbLOG[[#This Row],[DATA/HORA]],"dddd"))</f>
        <v>Segunda-Feira</v>
      </c>
      <c r="D1358" s="3" t="s">
        <v>604</v>
      </c>
      <c r="E1358" s="34" t="str">
        <f>IFERROR(VLOOKUP(tbLOG[[#This Row],[LOGIN]],tbMAPA[#All],2,0), "Não localizado")</f>
        <v>Renan Cazumba Tegani</v>
      </c>
      <c r="F1358" s="34" t="str">
        <f>IFERROR(VLOOKUP(tbLOG[[#This Row],[LOGIN]],tbMAPA[#All],3,0), "Não localizado")</f>
        <v>Reginaldo Santana De Souza</v>
      </c>
      <c r="G1358" s="3" t="s">
        <v>1211</v>
      </c>
      <c r="H1358" s="3" t="s">
        <v>836</v>
      </c>
    </row>
    <row r="1359" spans="1:8">
      <c r="A1359" s="29">
        <v>42744.588587962964</v>
      </c>
      <c r="B1359" s="29" t="str">
        <f>PROPER(TEXT(tbLOG[[#This Row],[DATA/HORA]],"mmmm"))</f>
        <v>Janeiro</v>
      </c>
      <c r="C1359" s="34" t="str">
        <f>PROPER(TEXT(tbLOG[[#This Row],[DATA/HORA]],"dddd"))</f>
        <v>Segunda-Feira</v>
      </c>
      <c r="D1359" s="3" t="s">
        <v>604</v>
      </c>
      <c r="E1359" s="34" t="str">
        <f>IFERROR(VLOOKUP(tbLOG[[#This Row],[LOGIN]],tbMAPA[#All],2,0), "Não localizado")</f>
        <v>Renan Cazumba Tegani</v>
      </c>
      <c r="F1359" s="34" t="str">
        <f>IFERROR(VLOOKUP(tbLOG[[#This Row],[LOGIN]],tbMAPA[#All],3,0), "Não localizado")</f>
        <v>Reginaldo Santana De Souza</v>
      </c>
      <c r="G1359" s="3" t="s">
        <v>1211</v>
      </c>
      <c r="H1359" s="3" t="s">
        <v>836</v>
      </c>
    </row>
    <row r="1360" spans="1:8">
      <c r="A1360" s="29">
        <v>42744.58861111111</v>
      </c>
      <c r="B1360" s="29" t="str">
        <f>PROPER(TEXT(tbLOG[[#This Row],[DATA/HORA]],"mmmm"))</f>
        <v>Janeiro</v>
      </c>
      <c r="C1360" s="34" t="str">
        <f>PROPER(TEXT(tbLOG[[#This Row],[DATA/HORA]],"dddd"))</f>
        <v>Segunda-Feira</v>
      </c>
      <c r="D1360" s="3" t="s">
        <v>604</v>
      </c>
      <c r="E1360" s="34" t="str">
        <f>IFERROR(VLOOKUP(tbLOG[[#This Row],[LOGIN]],tbMAPA[#All],2,0), "Não localizado")</f>
        <v>Renan Cazumba Tegani</v>
      </c>
      <c r="F1360" s="34" t="str">
        <f>IFERROR(VLOOKUP(tbLOG[[#This Row],[LOGIN]],tbMAPA[#All],3,0), "Não localizado")</f>
        <v>Reginaldo Santana De Souza</v>
      </c>
      <c r="G1360" s="3" t="s">
        <v>1211</v>
      </c>
      <c r="H1360" s="3" t="s">
        <v>836</v>
      </c>
    </row>
    <row r="1361" spans="1:8">
      <c r="A1361" s="29">
        <v>42744.58866898148</v>
      </c>
      <c r="B1361" s="29" t="str">
        <f>PROPER(TEXT(tbLOG[[#This Row],[DATA/HORA]],"mmmm"))</f>
        <v>Janeiro</v>
      </c>
      <c r="C1361" s="34" t="str">
        <f>PROPER(TEXT(tbLOG[[#This Row],[DATA/HORA]],"dddd"))</f>
        <v>Segunda-Feira</v>
      </c>
      <c r="D1361" s="3" t="s">
        <v>604</v>
      </c>
      <c r="E1361" s="34" t="str">
        <f>IFERROR(VLOOKUP(tbLOG[[#This Row],[LOGIN]],tbMAPA[#All],2,0), "Não localizado")</f>
        <v>Renan Cazumba Tegani</v>
      </c>
      <c r="F1361" s="34" t="str">
        <f>IFERROR(VLOOKUP(tbLOG[[#This Row],[LOGIN]],tbMAPA[#All],3,0), "Não localizado")</f>
        <v>Reginaldo Santana De Souza</v>
      </c>
      <c r="G1361" s="3" t="s">
        <v>1211</v>
      </c>
      <c r="H1361" s="3" t="s">
        <v>836</v>
      </c>
    </row>
    <row r="1362" spans="1:8">
      <c r="A1362" s="29">
        <v>42744.589375000003</v>
      </c>
      <c r="B1362" s="29" t="str">
        <f>PROPER(TEXT(tbLOG[[#This Row],[DATA/HORA]],"mmmm"))</f>
        <v>Janeiro</v>
      </c>
      <c r="C1362" s="34" t="str">
        <f>PROPER(TEXT(tbLOG[[#This Row],[DATA/HORA]],"dddd"))</f>
        <v>Segunda-Feira</v>
      </c>
      <c r="D1362" s="3" t="s">
        <v>604</v>
      </c>
      <c r="E1362" s="34" t="str">
        <f>IFERROR(VLOOKUP(tbLOG[[#This Row],[LOGIN]],tbMAPA[#All],2,0), "Não localizado")</f>
        <v>Renan Cazumba Tegani</v>
      </c>
      <c r="F1362" s="34" t="str">
        <f>IFERROR(VLOOKUP(tbLOG[[#This Row],[LOGIN]],tbMAPA[#All],3,0), "Não localizado")</f>
        <v>Reginaldo Santana De Souza</v>
      </c>
      <c r="G1362" s="3" t="s">
        <v>1211</v>
      </c>
      <c r="H1362" s="3" t="s">
        <v>836</v>
      </c>
    </row>
    <row r="1363" spans="1:8">
      <c r="A1363" s="29">
        <v>42744.591307870367</v>
      </c>
      <c r="B1363" s="29" t="str">
        <f>PROPER(TEXT(tbLOG[[#This Row],[DATA/HORA]],"mmmm"))</f>
        <v>Janeiro</v>
      </c>
      <c r="C1363" s="34" t="str">
        <f>PROPER(TEXT(tbLOG[[#This Row],[DATA/HORA]],"dddd"))</f>
        <v>Segunda-Feira</v>
      </c>
      <c r="D1363" s="3" t="s">
        <v>604</v>
      </c>
      <c r="E1363" s="34" t="str">
        <f>IFERROR(VLOOKUP(tbLOG[[#This Row],[LOGIN]],tbMAPA[#All],2,0), "Não localizado")</f>
        <v>Renan Cazumba Tegani</v>
      </c>
      <c r="F1363" s="34" t="str">
        <f>IFERROR(VLOOKUP(tbLOG[[#This Row],[LOGIN]],tbMAPA[#All],3,0), "Não localizado")</f>
        <v>Reginaldo Santana De Souza</v>
      </c>
      <c r="G1363" s="3" t="s">
        <v>1211</v>
      </c>
      <c r="H1363" s="3" t="s">
        <v>836</v>
      </c>
    </row>
    <row r="1364" spans="1:8">
      <c r="A1364" s="29">
        <v>42744.593564814815</v>
      </c>
      <c r="B1364" s="29" t="str">
        <f>PROPER(TEXT(tbLOG[[#This Row],[DATA/HORA]],"mmmm"))</f>
        <v>Janeiro</v>
      </c>
      <c r="C1364" s="34" t="str">
        <f>PROPER(TEXT(tbLOG[[#This Row],[DATA/HORA]],"dddd"))</f>
        <v>Segunda-Feira</v>
      </c>
      <c r="D1364" s="3" t="s">
        <v>604</v>
      </c>
      <c r="E1364" s="34" t="str">
        <f>IFERROR(VLOOKUP(tbLOG[[#This Row],[LOGIN]],tbMAPA[#All],2,0), "Não localizado")</f>
        <v>Renan Cazumba Tegani</v>
      </c>
      <c r="F1364" s="34" t="str">
        <f>IFERROR(VLOOKUP(tbLOG[[#This Row],[LOGIN]],tbMAPA[#All],3,0), "Não localizado")</f>
        <v>Reginaldo Santana De Souza</v>
      </c>
      <c r="G1364" s="3" t="s">
        <v>1211</v>
      </c>
      <c r="H1364" s="3" t="s">
        <v>836</v>
      </c>
    </row>
    <row r="1365" spans="1:8">
      <c r="A1365" s="29">
        <v>42744.596643518518</v>
      </c>
      <c r="B1365" s="29" t="str">
        <f>PROPER(TEXT(tbLOG[[#This Row],[DATA/HORA]],"mmmm"))</f>
        <v>Janeiro</v>
      </c>
      <c r="C1365" s="34" t="str">
        <f>PROPER(TEXT(tbLOG[[#This Row],[DATA/HORA]],"dddd"))</f>
        <v>Segunda-Feira</v>
      </c>
      <c r="D1365" s="3" t="s">
        <v>604</v>
      </c>
      <c r="E1365" s="34" t="str">
        <f>IFERROR(VLOOKUP(tbLOG[[#This Row],[LOGIN]],tbMAPA[#All],2,0), "Não localizado")</f>
        <v>Renan Cazumba Tegani</v>
      </c>
      <c r="F1365" s="34" t="str">
        <f>IFERROR(VLOOKUP(tbLOG[[#This Row],[LOGIN]],tbMAPA[#All],3,0), "Não localizado")</f>
        <v>Reginaldo Santana De Souza</v>
      </c>
      <c r="G1365" s="3" t="s">
        <v>1211</v>
      </c>
      <c r="H1365" s="3" t="s">
        <v>836</v>
      </c>
    </row>
    <row r="1366" spans="1:8">
      <c r="A1366" s="29">
        <v>42744.596666666665</v>
      </c>
      <c r="B1366" s="29" t="str">
        <f>PROPER(TEXT(tbLOG[[#This Row],[DATA/HORA]],"mmmm"))</f>
        <v>Janeiro</v>
      </c>
      <c r="C1366" s="34" t="str">
        <f>PROPER(TEXT(tbLOG[[#This Row],[DATA/HORA]],"dddd"))</f>
        <v>Segunda-Feira</v>
      </c>
      <c r="D1366" s="3" t="s">
        <v>604</v>
      </c>
      <c r="E1366" s="34" t="str">
        <f>IFERROR(VLOOKUP(tbLOG[[#This Row],[LOGIN]],tbMAPA[#All],2,0), "Não localizado")</f>
        <v>Renan Cazumba Tegani</v>
      </c>
      <c r="F1366" s="34" t="str">
        <f>IFERROR(VLOOKUP(tbLOG[[#This Row],[LOGIN]],tbMAPA[#All],3,0), "Não localizado")</f>
        <v>Reginaldo Santana De Souza</v>
      </c>
      <c r="G1366" s="3" t="s">
        <v>1211</v>
      </c>
      <c r="H1366" s="3" t="s">
        <v>836</v>
      </c>
    </row>
    <row r="1367" spans="1:8">
      <c r="A1367" s="29">
        <v>42744.596863425926</v>
      </c>
      <c r="B1367" s="29" t="str">
        <f>PROPER(TEXT(tbLOG[[#This Row],[DATA/HORA]],"mmmm"))</f>
        <v>Janeiro</v>
      </c>
      <c r="C1367" s="34" t="str">
        <f>PROPER(TEXT(tbLOG[[#This Row],[DATA/HORA]],"dddd"))</f>
        <v>Segunda-Feira</v>
      </c>
      <c r="D1367" s="3" t="s">
        <v>604</v>
      </c>
      <c r="E1367" s="34" t="str">
        <f>IFERROR(VLOOKUP(tbLOG[[#This Row],[LOGIN]],tbMAPA[#All],2,0), "Não localizado")</f>
        <v>Renan Cazumba Tegani</v>
      </c>
      <c r="F1367" s="34" t="str">
        <f>IFERROR(VLOOKUP(tbLOG[[#This Row],[LOGIN]],tbMAPA[#All],3,0), "Não localizado")</f>
        <v>Reginaldo Santana De Souza</v>
      </c>
      <c r="G1367" s="3" t="s">
        <v>1211</v>
      </c>
      <c r="H1367" s="3" t="s">
        <v>836</v>
      </c>
    </row>
    <row r="1368" spans="1:8">
      <c r="A1368" s="29">
        <v>42744.598090277781</v>
      </c>
      <c r="B1368" s="29" t="str">
        <f>PROPER(TEXT(tbLOG[[#This Row],[DATA/HORA]],"mmmm"))</f>
        <v>Janeiro</v>
      </c>
      <c r="C1368" s="34" t="str">
        <f>PROPER(TEXT(tbLOG[[#This Row],[DATA/HORA]],"dddd"))</f>
        <v>Segunda-Feira</v>
      </c>
      <c r="D1368" s="3" t="s">
        <v>604</v>
      </c>
      <c r="E1368" s="34" t="str">
        <f>IFERROR(VLOOKUP(tbLOG[[#This Row],[LOGIN]],tbMAPA[#All],2,0), "Não localizado")</f>
        <v>Renan Cazumba Tegani</v>
      </c>
      <c r="F1368" s="34" t="str">
        <f>IFERROR(VLOOKUP(tbLOG[[#This Row],[LOGIN]],tbMAPA[#All],3,0), "Não localizado")</f>
        <v>Reginaldo Santana De Souza</v>
      </c>
      <c r="G1368" s="3" t="s">
        <v>1211</v>
      </c>
      <c r="H1368" s="3" t="s">
        <v>836</v>
      </c>
    </row>
    <row r="1369" spans="1:8">
      <c r="A1369" s="29">
        <v>42744.599965277775</v>
      </c>
      <c r="B1369" s="29" t="str">
        <f>PROPER(TEXT(tbLOG[[#This Row],[DATA/HORA]],"mmmm"))</f>
        <v>Janeiro</v>
      </c>
      <c r="C1369" s="34" t="str">
        <f>PROPER(TEXT(tbLOG[[#This Row],[DATA/HORA]],"dddd"))</f>
        <v>Segunda-Feira</v>
      </c>
      <c r="D1369" s="3" t="s">
        <v>604</v>
      </c>
      <c r="E1369" s="34" t="str">
        <f>IFERROR(VLOOKUP(tbLOG[[#This Row],[LOGIN]],tbMAPA[#All],2,0), "Não localizado")</f>
        <v>Renan Cazumba Tegani</v>
      </c>
      <c r="F1369" s="34" t="str">
        <f>IFERROR(VLOOKUP(tbLOG[[#This Row],[LOGIN]],tbMAPA[#All],3,0), "Não localizado")</f>
        <v>Reginaldo Santana De Souza</v>
      </c>
      <c r="G1369" s="3" t="s">
        <v>1211</v>
      </c>
      <c r="H1369" s="3" t="s">
        <v>836</v>
      </c>
    </row>
    <row r="1370" spans="1:8">
      <c r="A1370" s="29">
        <v>42744.599976851852</v>
      </c>
      <c r="B1370" s="29" t="str">
        <f>PROPER(TEXT(tbLOG[[#This Row],[DATA/HORA]],"mmmm"))</f>
        <v>Janeiro</v>
      </c>
      <c r="C1370" s="34" t="str">
        <f>PROPER(TEXT(tbLOG[[#This Row],[DATA/HORA]],"dddd"))</f>
        <v>Segunda-Feira</v>
      </c>
      <c r="D1370" s="3" t="s">
        <v>604</v>
      </c>
      <c r="E1370" s="34" t="str">
        <f>IFERROR(VLOOKUP(tbLOG[[#This Row],[LOGIN]],tbMAPA[#All],2,0), "Não localizado")</f>
        <v>Renan Cazumba Tegani</v>
      </c>
      <c r="F1370" s="34" t="str">
        <f>IFERROR(VLOOKUP(tbLOG[[#This Row],[LOGIN]],tbMAPA[#All],3,0), "Não localizado")</f>
        <v>Reginaldo Santana De Souza</v>
      </c>
      <c r="G1370" s="3" t="s">
        <v>1211</v>
      </c>
      <c r="H1370" s="3" t="s">
        <v>836</v>
      </c>
    </row>
    <row r="1371" spans="1:8">
      <c r="A1371" s="29">
        <v>42744.600081018521</v>
      </c>
      <c r="B1371" s="29" t="str">
        <f>PROPER(TEXT(tbLOG[[#This Row],[DATA/HORA]],"mmmm"))</f>
        <v>Janeiro</v>
      </c>
      <c r="C1371" s="34" t="str">
        <f>PROPER(TEXT(tbLOG[[#This Row],[DATA/HORA]],"dddd"))</f>
        <v>Segunda-Feira</v>
      </c>
      <c r="D1371" s="3" t="s">
        <v>604</v>
      </c>
      <c r="E1371" s="34" t="str">
        <f>IFERROR(VLOOKUP(tbLOG[[#This Row],[LOGIN]],tbMAPA[#All],2,0), "Não localizado")</f>
        <v>Renan Cazumba Tegani</v>
      </c>
      <c r="F1371" s="34" t="str">
        <f>IFERROR(VLOOKUP(tbLOG[[#This Row],[LOGIN]],tbMAPA[#All],3,0), "Não localizado")</f>
        <v>Reginaldo Santana De Souza</v>
      </c>
      <c r="G1371" s="3" t="s">
        <v>1211</v>
      </c>
      <c r="H1371" s="3" t="s">
        <v>836</v>
      </c>
    </row>
    <row r="1372" spans="1:8">
      <c r="A1372" s="29">
        <v>42744.604502314818</v>
      </c>
      <c r="B1372" s="29" t="str">
        <f>PROPER(TEXT(tbLOG[[#This Row],[DATA/HORA]],"mmmm"))</f>
        <v>Janeiro</v>
      </c>
      <c r="C1372" s="34" t="str">
        <f>PROPER(TEXT(tbLOG[[#This Row],[DATA/HORA]],"dddd"))</f>
        <v>Segunda-Feira</v>
      </c>
      <c r="D1372" s="3" t="s">
        <v>604</v>
      </c>
      <c r="E1372" s="34" t="str">
        <f>IFERROR(VLOOKUP(tbLOG[[#This Row],[LOGIN]],tbMAPA[#All],2,0), "Não localizado")</f>
        <v>Renan Cazumba Tegani</v>
      </c>
      <c r="F1372" s="34" t="str">
        <f>IFERROR(VLOOKUP(tbLOG[[#This Row],[LOGIN]],tbMAPA[#All],3,0), "Não localizado")</f>
        <v>Reginaldo Santana De Souza</v>
      </c>
      <c r="G1372" s="3" t="s">
        <v>1211</v>
      </c>
      <c r="H1372" s="3" t="s">
        <v>836</v>
      </c>
    </row>
    <row r="1373" spans="1:8">
      <c r="A1373" s="29">
        <v>42744.604513888888</v>
      </c>
      <c r="B1373" s="29" t="str">
        <f>PROPER(TEXT(tbLOG[[#This Row],[DATA/HORA]],"mmmm"))</f>
        <v>Janeiro</v>
      </c>
      <c r="C1373" s="34" t="str">
        <f>PROPER(TEXT(tbLOG[[#This Row],[DATA/HORA]],"dddd"))</f>
        <v>Segunda-Feira</v>
      </c>
      <c r="D1373" s="3" t="s">
        <v>604</v>
      </c>
      <c r="E1373" s="34" t="str">
        <f>IFERROR(VLOOKUP(tbLOG[[#This Row],[LOGIN]],tbMAPA[#All],2,0), "Não localizado")</f>
        <v>Renan Cazumba Tegani</v>
      </c>
      <c r="F1373" s="34" t="str">
        <f>IFERROR(VLOOKUP(tbLOG[[#This Row],[LOGIN]],tbMAPA[#All],3,0), "Não localizado")</f>
        <v>Reginaldo Santana De Souza</v>
      </c>
      <c r="G1373" s="3" t="s">
        <v>1211</v>
      </c>
      <c r="H1373" s="3" t="s">
        <v>836</v>
      </c>
    </row>
    <row r="1374" spans="1:8">
      <c r="A1374" s="29">
        <v>42744.604560185187</v>
      </c>
      <c r="B1374" s="29" t="str">
        <f>PROPER(TEXT(tbLOG[[#This Row],[DATA/HORA]],"mmmm"))</f>
        <v>Janeiro</v>
      </c>
      <c r="C1374" s="34" t="str">
        <f>PROPER(TEXT(tbLOG[[#This Row],[DATA/HORA]],"dddd"))</f>
        <v>Segunda-Feira</v>
      </c>
      <c r="D1374" s="3" t="s">
        <v>604</v>
      </c>
      <c r="E1374" s="34" t="str">
        <f>IFERROR(VLOOKUP(tbLOG[[#This Row],[LOGIN]],tbMAPA[#All],2,0), "Não localizado")</f>
        <v>Renan Cazumba Tegani</v>
      </c>
      <c r="F1374" s="34" t="str">
        <f>IFERROR(VLOOKUP(tbLOG[[#This Row],[LOGIN]],tbMAPA[#All],3,0), "Não localizado")</f>
        <v>Reginaldo Santana De Souza</v>
      </c>
      <c r="G1374" s="3" t="s">
        <v>1211</v>
      </c>
      <c r="H1374" s="3" t="s">
        <v>836</v>
      </c>
    </row>
    <row r="1375" spans="1:8">
      <c r="A1375" s="29">
        <v>42744.607731481483</v>
      </c>
      <c r="B1375" s="29" t="str">
        <f>PROPER(TEXT(tbLOG[[#This Row],[DATA/HORA]],"mmmm"))</f>
        <v>Janeiro</v>
      </c>
      <c r="C1375" s="34" t="str">
        <f>PROPER(TEXT(tbLOG[[#This Row],[DATA/HORA]],"dddd"))</f>
        <v>Segunda-Feira</v>
      </c>
      <c r="D1375" s="3" t="s">
        <v>604</v>
      </c>
      <c r="E1375" s="34" t="str">
        <f>IFERROR(VLOOKUP(tbLOG[[#This Row],[LOGIN]],tbMAPA[#All],2,0), "Não localizado")</f>
        <v>Renan Cazumba Tegani</v>
      </c>
      <c r="F1375" s="34" t="str">
        <f>IFERROR(VLOOKUP(tbLOG[[#This Row],[LOGIN]],tbMAPA[#All],3,0), "Não localizado")</f>
        <v>Reginaldo Santana De Souza</v>
      </c>
      <c r="G1375" s="3" t="s">
        <v>1211</v>
      </c>
      <c r="H1375" s="3" t="s">
        <v>836</v>
      </c>
    </row>
    <row r="1376" spans="1:8">
      <c r="A1376" s="29">
        <v>42744.607789351852</v>
      </c>
      <c r="B1376" s="29" t="str">
        <f>PROPER(TEXT(tbLOG[[#This Row],[DATA/HORA]],"mmmm"))</f>
        <v>Janeiro</v>
      </c>
      <c r="C1376" s="34" t="str">
        <f>PROPER(TEXT(tbLOG[[#This Row],[DATA/HORA]],"dddd"))</f>
        <v>Segunda-Feira</v>
      </c>
      <c r="D1376" s="3" t="s">
        <v>604</v>
      </c>
      <c r="E1376" s="34" t="str">
        <f>IFERROR(VLOOKUP(tbLOG[[#This Row],[LOGIN]],tbMAPA[#All],2,0), "Não localizado")</f>
        <v>Renan Cazumba Tegani</v>
      </c>
      <c r="F1376" s="34" t="str">
        <f>IFERROR(VLOOKUP(tbLOG[[#This Row],[LOGIN]],tbMAPA[#All],3,0), "Não localizado")</f>
        <v>Reginaldo Santana De Souza</v>
      </c>
      <c r="G1376" s="3" t="s">
        <v>1211</v>
      </c>
      <c r="H1376" s="3" t="s">
        <v>836</v>
      </c>
    </row>
    <row r="1377" spans="1:8">
      <c r="A1377" s="29">
        <v>42744.607800925929</v>
      </c>
      <c r="B1377" s="29" t="str">
        <f>PROPER(TEXT(tbLOG[[#This Row],[DATA/HORA]],"mmmm"))</f>
        <v>Janeiro</v>
      </c>
      <c r="C1377" s="34" t="str">
        <f>PROPER(TEXT(tbLOG[[#This Row],[DATA/HORA]],"dddd"))</f>
        <v>Segunda-Feira</v>
      </c>
      <c r="D1377" s="3" t="s">
        <v>604</v>
      </c>
      <c r="E1377" s="34" t="str">
        <f>IFERROR(VLOOKUP(tbLOG[[#This Row],[LOGIN]],tbMAPA[#All],2,0), "Não localizado")</f>
        <v>Renan Cazumba Tegani</v>
      </c>
      <c r="F1377" s="34" t="str">
        <f>IFERROR(VLOOKUP(tbLOG[[#This Row],[LOGIN]],tbMAPA[#All],3,0), "Não localizado")</f>
        <v>Reginaldo Santana De Souza</v>
      </c>
      <c r="G1377" s="3" t="s">
        <v>1211</v>
      </c>
      <c r="H1377" s="3" t="s">
        <v>290</v>
      </c>
    </row>
    <row r="1378" spans="1:8">
      <c r="A1378" s="29">
        <v>42744.652499999997</v>
      </c>
      <c r="B1378" s="29" t="str">
        <f>PROPER(TEXT(tbLOG[[#This Row],[DATA/HORA]],"mmmm"))</f>
        <v>Janeiro</v>
      </c>
      <c r="C1378" s="34" t="str">
        <f>PROPER(TEXT(tbLOG[[#This Row],[DATA/HORA]],"dddd"))</f>
        <v>Segunda-Feira</v>
      </c>
      <c r="D1378" s="3" t="s">
        <v>604</v>
      </c>
      <c r="E1378" s="34" t="str">
        <f>IFERROR(VLOOKUP(tbLOG[[#This Row],[LOGIN]],tbMAPA[#All],2,0), "Não localizado")</f>
        <v>Renan Cazumba Tegani</v>
      </c>
      <c r="F1378" s="34" t="str">
        <f>IFERROR(VLOOKUP(tbLOG[[#This Row],[LOGIN]],tbMAPA[#All],3,0), "Não localizado")</f>
        <v>Reginaldo Santana De Souza</v>
      </c>
      <c r="G1378" s="3" t="s">
        <v>1211</v>
      </c>
      <c r="H1378" s="3" t="s">
        <v>836</v>
      </c>
    </row>
    <row r="1379" spans="1:8">
      <c r="A1379" s="29">
        <v>42744.652604166666</v>
      </c>
      <c r="B1379" s="29" t="str">
        <f>PROPER(TEXT(tbLOG[[#This Row],[DATA/HORA]],"mmmm"))</f>
        <v>Janeiro</v>
      </c>
      <c r="C1379" s="34" t="str">
        <f>PROPER(TEXT(tbLOG[[#This Row],[DATA/HORA]],"dddd"))</f>
        <v>Segunda-Feira</v>
      </c>
      <c r="D1379" s="3" t="s">
        <v>604</v>
      </c>
      <c r="E1379" s="34" t="str">
        <f>IFERROR(VLOOKUP(tbLOG[[#This Row],[LOGIN]],tbMAPA[#All],2,0), "Não localizado")</f>
        <v>Renan Cazumba Tegani</v>
      </c>
      <c r="F1379" s="34" t="str">
        <f>IFERROR(VLOOKUP(tbLOG[[#This Row],[LOGIN]],tbMAPA[#All],3,0), "Não localizado")</f>
        <v>Reginaldo Santana De Souza</v>
      </c>
      <c r="G1379" s="3" t="s">
        <v>1211</v>
      </c>
      <c r="H1379" s="3" t="s">
        <v>836</v>
      </c>
    </row>
    <row r="1380" spans="1:8">
      <c r="A1380" s="29">
        <v>42744.652766203704</v>
      </c>
      <c r="B1380" s="29" t="str">
        <f>PROPER(TEXT(tbLOG[[#This Row],[DATA/HORA]],"mmmm"))</f>
        <v>Janeiro</v>
      </c>
      <c r="C1380" s="34" t="str">
        <f>PROPER(TEXT(tbLOG[[#This Row],[DATA/HORA]],"dddd"))</f>
        <v>Segunda-Feira</v>
      </c>
      <c r="D1380" s="3" t="s">
        <v>604</v>
      </c>
      <c r="E1380" s="34" t="str">
        <f>IFERROR(VLOOKUP(tbLOG[[#This Row],[LOGIN]],tbMAPA[#All],2,0), "Não localizado")</f>
        <v>Renan Cazumba Tegani</v>
      </c>
      <c r="F1380" s="34" t="str">
        <f>IFERROR(VLOOKUP(tbLOG[[#This Row],[LOGIN]],tbMAPA[#All],3,0), "Não localizado")</f>
        <v>Reginaldo Santana De Souza</v>
      </c>
      <c r="G1380" s="3" t="s">
        <v>1211</v>
      </c>
      <c r="H1380" s="3" t="s">
        <v>836</v>
      </c>
    </row>
    <row r="1381" spans="1:8">
      <c r="A1381" s="29">
        <v>42744.654745370368</v>
      </c>
      <c r="B1381" s="29" t="str">
        <f>PROPER(TEXT(tbLOG[[#This Row],[DATA/HORA]],"mmmm"))</f>
        <v>Janeiro</v>
      </c>
      <c r="C1381" s="34" t="str">
        <f>PROPER(TEXT(tbLOG[[#This Row],[DATA/HORA]],"dddd"))</f>
        <v>Segunda-Feira</v>
      </c>
      <c r="D1381" s="3" t="s">
        <v>604</v>
      </c>
      <c r="E1381" s="34" t="str">
        <f>IFERROR(VLOOKUP(tbLOG[[#This Row],[LOGIN]],tbMAPA[#All],2,0), "Não localizado")</f>
        <v>Renan Cazumba Tegani</v>
      </c>
      <c r="F1381" s="34" t="str">
        <f>IFERROR(VLOOKUP(tbLOG[[#This Row],[LOGIN]],tbMAPA[#All],3,0), "Não localizado")</f>
        <v>Reginaldo Santana De Souza</v>
      </c>
      <c r="G1381" s="3" t="s">
        <v>1211</v>
      </c>
      <c r="H1381" s="3" t="s">
        <v>836</v>
      </c>
    </row>
    <row r="1382" spans="1:8">
      <c r="A1382" s="29">
        <v>42744.654791666668</v>
      </c>
      <c r="B1382" s="29" t="str">
        <f>PROPER(TEXT(tbLOG[[#This Row],[DATA/HORA]],"mmmm"))</f>
        <v>Janeiro</v>
      </c>
      <c r="C1382" s="34" t="str">
        <f>PROPER(TEXT(tbLOG[[#This Row],[DATA/HORA]],"dddd"))</f>
        <v>Segunda-Feira</v>
      </c>
      <c r="D1382" s="3" t="s">
        <v>604</v>
      </c>
      <c r="E1382" s="34" t="str">
        <f>IFERROR(VLOOKUP(tbLOG[[#This Row],[LOGIN]],tbMAPA[#All],2,0), "Não localizado")</f>
        <v>Renan Cazumba Tegani</v>
      </c>
      <c r="F1382" s="34" t="str">
        <f>IFERROR(VLOOKUP(tbLOG[[#This Row],[LOGIN]],tbMAPA[#All],3,0), "Não localizado")</f>
        <v>Reginaldo Santana De Souza</v>
      </c>
      <c r="G1382" s="3" t="s">
        <v>1211</v>
      </c>
      <c r="H1382" s="3" t="s">
        <v>836</v>
      </c>
    </row>
    <row r="1383" spans="1:8">
      <c r="A1383" s="29">
        <v>42744.65483796296</v>
      </c>
      <c r="B1383" s="29" t="str">
        <f>PROPER(TEXT(tbLOG[[#This Row],[DATA/HORA]],"mmmm"))</f>
        <v>Janeiro</v>
      </c>
      <c r="C1383" s="34" t="str">
        <f>PROPER(TEXT(tbLOG[[#This Row],[DATA/HORA]],"dddd"))</f>
        <v>Segunda-Feira</v>
      </c>
      <c r="D1383" s="3" t="s">
        <v>604</v>
      </c>
      <c r="E1383" s="34" t="str">
        <f>IFERROR(VLOOKUP(tbLOG[[#This Row],[LOGIN]],tbMAPA[#All],2,0), "Não localizado")</f>
        <v>Renan Cazumba Tegani</v>
      </c>
      <c r="F1383" s="34" t="str">
        <f>IFERROR(VLOOKUP(tbLOG[[#This Row],[LOGIN]],tbMAPA[#All],3,0), "Não localizado")</f>
        <v>Reginaldo Santana De Souza</v>
      </c>
      <c r="G1383" s="3" t="s">
        <v>1211</v>
      </c>
      <c r="H1383" s="3" t="s">
        <v>836</v>
      </c>
    </row>
    <row r="1384" spans="1:8">
      <c r="A1384" s="29">
        <v>42744.654895833337</v>
      </c>
      <c r="B1384" s="29" t="str">
        <f>PROPER(TEXT(tbLOG[[#This Row],[DATA/HORA]],"mmmm"))</f>
        <v>Janeiro</v>
      </c>
      <c r="C1384" s="34" t="str">
        <f>PROPER(TEXT(tbLOG[[#This Row],[DATA/HORA]],"dddd"))</f>
        <v>Segunda-Feira</v>
      </c>
      <c r="D1384" s="3" t="s">
        <v>604</v>
      </c>
      <c r="E1384" s="34" t="str">
        <f>IFERROR(VLOOKUP(tbLOG[[#This Row],[LOGIN]],tbMAPA[#All],2,0), "Não localizado")</f>
        <v>Renan Cazumba Tegani</v>
      </c>
      <c r="F1384" s="34" t="str">
        <f>IFERROR(VLOOKUP(tbLOG[[#This Row],[LOGIN]],tbMAPA[#All],3,0), "Não localizado")</f>
        <v>Reginaldo Santana De Souza</v>
      </c>
      <c r="G1384" s="3" t="s">
        <v>1211</v>
      </c>
      <c r="H1384" s="3" t="s">
        <v>836</v>
      </c>
    </row>
    <row r="1385" spans="1:8">
      <c r="A1385" s="29">
        <v>42744.658032407409</v>
      </c>
      <c r="B1385" s="29" t="str">
        <f>PROPER(TEXT(tbLOG[[#This Row],[DATA/HORA]],"mmmm"))</f>
        <v>Janeiro</v>
      </c>
      <c r="C1385" s="34" t="str">
        <f>PROPER(TEXT(tbLOG[[#This Row],[DATA/HORA]],"dddd"))</f>
        <v>Segunda-Feira</v>
      </c>
      <c r="D1385" s="3" t="s">
        <v>604</v>
      </c>
      <c r="E1385" s="34" t="str">
        <f>IFERROR(VLOOKUP(tbLOG[[#This Row],[LOGIN]],tbMAPA[#All],2,0), "Não localizado")</f>
        <v>Renan Cazumba Tegani</v>
      </c>
      <c r="F1385" s="34" t="str">
        <f>IFERROR(VLOOKUP(tbLOG[[#This Row],[LOGIN]],tbMAPA[#All],3,0), "Não localizado")</f>
        <v>Reginaldo Santana De Souza</v>
      </c>
      <c r="G1385" s="3" t="s">
        <v>1211</v>
      </c>
      <c r="H1385" s="3" t="s">
        <v>836</v>
      </c>
    </row>
    <row r="1386" spans="1:8">
      <c r="A1386" s="29">
        <v>42744.658067129632</v>
      </c>
      <c r="B1386" s="29" t="str">
        <f>PROPER(TEXT(tbLOG[[#This Row],[DATA/HORA]],"mmmm"))</f>
        <v>Janeiro</v>
      </c>
      <c r="C1386" s="34" t="str">
        <f>PROPER(TEXT(tbLOG[[#This Row],[DATA/HORA]],"dddd"))</f>
        <v>Segunda-Feira</v>
      </c>
      <c r="D1386" s="3" t="s">
        <v>604</v>
      </c>
      <c r="E1386" s="34" t="str">
        <f>IFERROR(VLOOKUP(tbLOG[[#This Row],[LOGIN]],tbMAPA[#All],2,0), "Não localizado")</f>
        <v>Renan Cazumba Tegani</v>
      </c>
      <c r="F1386" s="34" t="str">
        <f>IFERROR(VLOOKUP(tbLOG[[#This Row],[LOGIN]],tbMAPA[#All],3,0), "Não localizado")</f>
        <v>Reginaldo Santana De Souza</v>
      </c>
      <c r="G1386" s="3" t="s">
        <v>1211</v>
      </c>
      <c r="H1386" s="3" t="s">
        <v>836</v>
      </c>
    </row>
    <row r="1387" spans="1:8">
      <c r="A1387" s="29">
        <v>42744.658159722225</v>
      </c>
      <c r="B1387" s="29" t="str">
        <f>PROPER(TEXT(tbLOG[[#This Row],[DATA/HORA]],"mmmm"))</f>
        <v>Janeiro</v>
      </c>
      <c r="C1387" s="34" t="str">
        <f>PROPER(TEXT(tbLOG[[#This Row],[DATA/HORA]],"dddd"))</f>
        <v>Segunda-Feira</v>
      </c>
      <c r="D1387" s="3" t="s">
        <v>604</v>
      </c>
      <c r="E1387" s="34" t="str">
        <f>IFERROR(VLOOKUP(tbLOG[[#This Row],[LOGIN]],tbMAPA[#All],2,0), "Não localizado")</f>
        <v>Renan Cazumba Tegani</v>
      </c>
      <c r="F1387" s="34" t="str">
        <f>IFERROR(VLOOKUP(tbLOG[[#This Row],[LOGIN]],tbMAPA[#All],3,0), "Não localizado")</f>
        <v>Reginaldo Santana De Souza</v>
      </c>
      <c r="G1387" s="3" t="s">
        <v>1211</v>
      </c>
      <c r="H1387" s="3" t="s">
        <v>836</v>
      </c>
    </row>
    <row r="1388" spans="1:8">
      <c r="A1388" s="29">
        <v>42744.659687500003</v>
      </c>
      <c r="B1388" s="29" t="str">
        <f>PROPER(TEXT(tbLOG[[#This Row],[DATA/HORA]],"mmmm"))</f>
        <v>Janeiro</v>
      </c>
      <c r="C1388" s="34" t="str">
        <f>PROPER(TEXT(tbLOG[[#This Row],[DATA/HORA]],"dddd"))</f>
        <v>Segunda-Feira</v>
      </c>
      <c r="D1388" s="3" t="s">
        <v>604</v>
      </c>
      <c r="E1388" s="34" t="str">
        <f>IFERROR(VLOOKUP(tbLOG[[#This Row],[LOGIN]],tbMAPA[#All],2,0), "Não localizado")</f>
        <v>Renan Cazumba Tegani</v>
      </c>
      <c r="F1388" s="34" t="str">
        <f>IFERROR(VLOOKUP(tbLOG[[#This Row],[LOGIN]],tbMAPA[#All],3,0), "Não localizado")</f>
        <v>Reginaldo Santana De Souza</v>
      </c>
      <c r="G1388" s="3" t="s">
        <v>1211</v>
      </c>
      <c r="H1388" s="3" t="s">
        <v>836</v>
      </c>
    </row>
    <row r="1389" spans="1:8">
      <c r="A1389" s="29">
        <v>42744.66033564815</v>
      </c>
      <c r="B1389" s="29" t="str">
        <f>PROPER(TEXT(tbLOG[[#This Row],[DATA/HORA]],"mmmm"))</f>
        <v>Janeiro</v>
      </c>
      <c r="C1389" s="34" t="str">
        <f>PROPER(TEXT(tbLOG[[#This Row],[DATA/HORA]],"dddd"))</f>
        <v>Segunda-Feira</v>
      </c>
      <c r="D1389" s="3" t="s">
        <v>604</v>
      </c>
      <c r="E1389" s="34" t="str">
        <f>IFERROR(VLOOKUP(tbLOG[[#This Row],[LOGIN]],tbMAPA[#All],2,0), "Não localizado")</f>
        <v>Renan Cazumba Tegani</v>
      </c>
      <c r="F1389" s="34" t="str">
        <f>IFERROR(VLOOKUP(tbLOG[[#This Row],[LOGIN]],tbMAPA[#All],3,0), "Não localizado")</f>
        <v>Reginaldo Santana De Souza</v>
      </c>
      <c r="G1389" s="3" t="s">
        <v>1211</v>
      </c>
      <c r="H1389" s="3" t="s">
        <v>836</v>
      </c>
    </row>
    <row r="1390" spans="1:8">
      <c r="A1390" s="29">
        <v>42744.66034722222</v>
      </c>
      <c r="B1390" s="29" t="str">
        <f>PROPER(TEXT(tbLOG[[#This Row],[DATA/HORA]],"mmmm"))</f>
        <v>Janeiro</v>
      </c>
      <c r="C1390" s="34" t="str">
        <f>PROPER(TEXT(tbLOG[[#This Row],[DATA/HORA]],"dddd"))</f>
        <v>Segunda-Feira</v>
      </c>
      <c r="D1390" s="3" t="s">
        <v>604</v>
      </c>
      <c r="E1390" s="34" t="str">
        <f>IFERROR(VLOOKUP(tbLOG[[#This Row],[LOGIN]],tbMAPA[#All],2,0), "Não localizado")</f>
        <v>Renan Cazumba Tegani</v>
      </c>
      <c r="F1390" s="34" t="str">
        <f>IFERROR(VLOOKUP(tbLOG[[#This Row],[LOGIN]],tbMAPA[#All],3,0), "Não localizado")</f>
        <v>Reginaldo Santana De Souza</v>
      </c>
      <c r="G1390" s="3" t="s">
        <v>1211</v>
      </c>
      <c r="H1390" s="3" t="s">
        <v>836</v>
      </c>
    </row>
    <row r="1391" spans="1:8">
      <c r="A1391" s="29">
        <v>42744.660381944443</v>
      </c>
      <c r="B1391" s="29" t="str">
        <f>PROPER(TEXT(tbLOG[[#This Row],[DATA/HORA]],"mmmm"))</f>
        <v>Janeiro</v>
      </c>
      <c r="C1391" s="34" t="str">
        <f>PROPER(TEXT(tbLOG[[#This Row],[DATA/HORA]],"dddd"))</f>
        <v>Segunda-Feira</v>
      </c>
      <c r="D1391" s="3" t="s">
        <v>604</v>
      </c>
      <c r="E1391" s="34" t="str">
        <f>IFERROR(VLOOKUP(tbLOG[[#This Row],[LOGIN]],tbMAPA[#All],2,0), "Não localizado")</f>
        <v>Renan Cazumba Tegani</v>
      </c>
      <c r="F1391" s="34" t="str">
        <f>IFERROR(VLOOKUP(tbLOG[[#This Row],[LOGIN]],tbMAPA[#All],3,0), "Não localizado")</f>
        <v>Reginaldo Santana De Souza</v>
      </c>
      <c r="G1391" s="3" t="s">
        <v>1211</v>
      </c>
      <c r="H1391" s="3" t="s">
        <v>836</v>
      </c>
    </row>
    <row r="1392" spans="1:8">
      <c r="A1392" s="29">
        <v>42744.660601851851</v>
      </c>
      <c r="B1392" s="29" t="str">
        <f>PROPER(TEXT(tbLOG[[#This Row],[DATA/HORA]],"mmmm"))</f>
        <v>Janeiro</v>
      </c>
      <c r="C1392" s="34" t="str">
        <f>PROPER(TEXT(tbLOG[[#This Row],[DATA/HORA]],"dddd"))</f>
        <v>Segunda-Feira</v>
      </c>
      <c r="D1392" s="3" t="s">
        <v>604</v>
      </c>
      <c r="E1392" s="34" t="str">
        <f>IFERROR(VLOOKUP(tbLOG[[#This Row],[LOGIN]],tbMAPA[#All],2,0), "Não localizado")</f>
        <v>Renan Cazumba Tegani</v>
      </c>
      <c r="F1392" s="34" t="str">
        <f>IFERROR(VLOOKUP(tbLOG[[#This Row],[LOGIN]],tbMAPA[#All],3,0), "Não localizado")</f>
        <v>Reginaldo Santana De Souza</v>
      </c>
      <c r="G1392" s="3" t="s">
        <v>1211</v>
      </c>
      <c r="H1392" s="3" t="s">
        <v>290</v>
      </c>
    </row>
    <row r="1393" spans="1:8">
      <c r="A1393" s="29">
        <v>42744.660636574074</v>
      </c>
      <c r="B1393" s="29" t="str">
        <f>PROPER(TEXT(tbLOG[[#This Row],[DATA/HORA]],"mmmm"))</f>
        <v>Janeiro</v>
      </c>
      <c r="C1393" s="34" t="str">
        <f>PROPER(TEXT(tbLOG[[#This Row],[DATA/HORA]],"dddd"))</f>
        <v>Segunda-Feira</v>
      </c>
      <c r="D1393" s="3" t="s">
        <v>604</v>
      </c>
      <c r="E1393" s="34" t="str">
        <f>IFERROR(VLOOKUP(tbLOG[[#This Row],[LOGIN]],tbMAPA[#All],2,0), "Não localizado")</f>
        <v>Renan Cazumba Tegani</v>
      </c>
      <c r="F1393" s="34" t="str">
        <f>IFERROR(VLOOKUP(tbLOG[[#This Row],[LOGIN]],tbMAPA[#All],3,0), "Não localizado")</f>
        <v>Reginaldo Santana De Souza</v>
      </c>
      <c r="G1393" s="3" t="s">
        <v>1211</v>
      </c>
      <c r="H1393" s="3" t="s">
        <v>290</v>
      </c>
    </row>
    <row r="1394" spans="1:8">
      <c r="A1394" s="29">
        <v>42744.662627314814</v>
      </c>
      <c r="B1394" s="29" t="str">
        <f>PROPER(TEXT(tbLOG[[#This Row],[DATA/HORA]],"mmmm"))</f>
        <v>Janeiro</v>
      </c>
      <c r="C1394" s="34" t="str">
        <f>PROPER(TEXT(tbLOG[[#This Row],[DATA/HORA]],"dddd"))</f>
        <v>Segunda-Feira</v>
      </c>
      <c r="D1394" s="3" t="s">
        <v>604</v>
      </c>
      <c r="E1394" s="34" t="str">
        <f>IFERROR(VLOOKUP(tbLOG[[#This Row],[LOGIN]],tbMAPA[#All],2,0), "Não localizado")</f>
        <v>Renan Cazumba Tegani</v>
      </c>
      <c r="F1394" s="34" t="str">
        <f>IFERROR(VLOOKUP(tbLOG[[#This Row],[LOGIN]],tbMAPA[#All],3,0), "Não localizado")</f>
        <v>Reginaldo Santana De Souza</v>
      </c>
      <c r="G1394" s="3" t="s">
        <v>1211</v>
      </c>
      <c r="H1394" s="3" t="s">
        <v>836</v>
      </c>
    </row>
    <row r="1395" spans="1:8">
      <c r="A1395" s="29">
        <v>42744.662685185183</v>
      </c>
      <c r="B1395" s="29" t="str">
        <f>PROPER(TEXT(tbLOG[[#This Row],[DATA/HORA]],"mmmm"))</f>
        <v>Janeiro</v>
      </c>
      <c r="C1395" s="34" t="str">
        <f>PROPER(TEXT(tbLOG[[#This Row],[DATA/HORA]],"dddd"))</f>
        <v>Segunda-Feira</v>
      </c>
      <c r="D1395" s="3" t="s">
        <v>604</v>
      </c>
      <c r="E1395" s="34" t="str">
        <f>IFERROR(VLOOKUP(tbLOG[[#This Row],[LOGIN]],tbMAPA[#All],2,0), "Não localizado")</f>
        <v>Renan Cazumba Tegani</v>
      </c>
      <c r="F1395" s="34" t="str">
        <f>IFERROR(VLOOKUP(tbLOG[[#This Row],[LOGIN]],tbMAPA[#All],3,0), "Não localizado")</f>
        <v>Reginaldo Santana De Souza</v>
      </c>
      <c r="G1395" s="3" t="s">
        <v>1211</v>
      </c>
      <c r="H1395" s="3" t="s">
        <v>836</v>
      </c>
    </row>
    <row r="1396" spans="1:8">
      <c r="A1396" s="29">
        <v>42744.662800925929</v>
      </c>
      <c r="B1396" s="29" t="str">
        <f>PROPER(TEXT(tbLOG[[#This Row],[DATA/HORA]],"mmmm"))</f>
        <v>Janeiro</v>
      </c>
      <c r="C1396" s="34" t="str">
        <f>PROPER(TEXT(tbLOG[[#This Row],[DATA/HORA]],"dddd"))</f>
        <v>Segunda-Feira</v>
      </c>
      <c r="D1396" s="3" t="s">
        <v>604</v>
      </c>
      <c r="E1396" s="34" t="str">
        <f>IFERROR(VLOOKUP(tbLOG[[#This Row],[LOGIN]],tbMAPA[#All],2,0), "Não localizado")</f>
        <v>Renan Cazumba Tegani</v>
      </c>
      <c r="F1396" s="34" t="str">
        <f>IFERROR(VLOOKUP(tbLOG[[#This Row],[LOGIN]],tbMAPA[#All],3,0), "Não localizado")</f>
        <v>Reginaldo Santana De Souza</v>
      </c>
      <c r="G1396" s="3" t="s">
        <v>1211</v>
      </c>
      <c r="H1396" s="3" t="s">
        <v>836</v>
      </c>
    </row>
    <row r="1397" spans="1:8">
      <c r="A1397" s="29">
        <v>42744.667986111112</v>
      </c>
      <c r="B1397" s="29" t="str">
        <f>PROPER(TEXT(tbLOG[[#This Row],[DATA/HORA]],"mmmm"))</f>
        <v>Janeiro</v>
      </c>
      <c r="C1397" s="34" t="str">
        <f>PROPER(TEXT(tbLOG[[#This Row],[DATA/HORA]],"dddd"))</f>
        <v>Segunda-Feira</v>
      </c>
      <c r="D1397" s="3" t="s">
        <v>604</v>
      </c>
      <c r="E1397" s="34" t="str">
        <f>IFERROR(VLOOKUP(tbLOG[[#This Row],[LOGIN]],tbMAPA[#All],2,0), "Não localizado")</f>
        <v>Renan Cazumba Tegani</v>
      </c>
      <c r="F1397" s="34" t="str">
        <f>IFERROR(VLOOKUP(tbLOG[[#This Row],[LOGIN]],tbMAPA[#All],3,0), "Não localizado")</f>
        <v>Reginaldo Santana De Souza</v>
      </c>
      <c r="G1397" s="3" t="s">
        <v>1211</v>
      </c>
      <c r="H1397" s="3" t="s">
        <v>836</v>
      </c>
    </row>
    <row r="1398" spans="1:8">
      <c r="A1398" s="29">
        <v>42744.668032407404</v>
      </c>
      <c r="B1398" s="29" t="str">
        <f>PROPER(TEXT(tbLOG[[#This Row],[DATA/HORA]],"mmmm"))</f>
        <v>Janeiro</v>
      </c>
      <c r="C1398" s="34" t="str">
        <f>PROPER(TEXT(tbLOG[[#This Row],[DATA/HORA]],"dddd"))</f>
        <v>Segunda-Feira</v>
      </c>
      <c r="D1398" s="3" t="s">
        <v>604</v>
      </c>
      <c r="E1398" s="34" t="str">
        <f>IFERROR(VLOOKUP(tbLOG[[#This Row],[LOGIN]],tbMAPA[#All],2,0), "Não localizado")</f>
        <v>Renan Cazumba Tegani</v>
      </c>
      <c r="F1398" s="34" t="str">
        <f>IFERROR(VLOOKUP(tbLOG[[#This Row],[LOGIN]],tbMAPA[#All],3,0), "Não localizado")</f>
        <v>Reginaldo Santana De Souza</v>
      </c>
      <c r="G1398" s="3" t="s">
        <v>1211</v>
      </c>
      <c r="H1398" s="3" t="s">
        <v>836</v>
      </c>
    </row>
    <row r="1399" spans="1:8">
      <c r="A1399" s="29">
        <v>42744.668090277781</v>
      </c>
      <c r="B1399" s="29" t="str">
        <f>PROPER(TEXT(tbLOG[[#This Row],[DATA/HORA]],"mmmm"))</f>
        <v>Janeiro</v>
      </c>
      <c r="C1399" s="34" t="str">
        <f>PROPER(TEXT(tbLOG[[#This Row],[DATA/HORA]],"dddd"))</f>
        <v>Segunda-Feira</v>
      </c>
      <c r="D1399" s="3" t="s">
        <v>604</v>
      </c>
      <c r="E1399" s="34" t="str">
        <f>IFERROR(VLOOKUP(tbLOG[[#This Row],[LOGIN]],tbMAPA[#All],2,0), "Não localizado")</f>
        <v>Renan Cazumba Tegani</v>
      </c>
      <c r="F1399" s="34" t="str">
        <f>IFERROR(VLOOKUP(tbLOG[[#This Row],[LOGIN]],tbMAPA[#All],3,0), "Não localizado")</f>
        <v>Reginaldo Santana De Souza</v>
      </c>
      <c r="G1399" s="3" t="s">
        <v>1211</v>
      </c>
      <c r="H1399" s="3" t="s">
        <v>836</v>
      </c>
    </row>
    <row r="1400" spans="1:8">
      <c r="A1400" s="29">
        <v>42744.671956018516</v>
      </c>
      <c r="B1400" s="29" t="str">
        <f>PROPER(TEXT(tbLOG[[#This Row],[DATA/HORA]],"mmmm"))</f>
        <v>Janeiro</v>
      </c>
      <c r="C1400" s="34" t="str">
        <f>PROPER(TEXT(tbLOG[[#This Row],[DATA/HORA]],"dddd"))</f>
        <v>Segunda-Feira</v>
      </c>
      <c r="D1400" s="3" t="s">
        <v>604</v>
      </c>
      <c r="E1400" s="34" t="str">
        <f>IFERROR(VLOOKUP(tbLOG[[#This Row],[LOGIN]],tbMAPA[#All],2,0), "Não localizado")</f>
        <v>Renan Cazumba Tegani</v>
      </c>
      <c r="F1400" s="34" t="str">
        <f>IFERROR(VLOOKUP(tbLOG[[#This Row],[LOGIN]],tbMAPA[#All],3,0), "Não localizado")</f>
        <v>Reginaldo Santana De Souza</v>
      </c>
      <c r="G1400" s="3" t="s">
        <v>1211</v>
      </c>
      <c r="H1400" s="3" t="s">
        <v>836</v>
      </c>
    </row>
    <row r="1401" spans="1:8">
      <c r="A1401" s="29">
        <v>42744.674317129633</v>
      </c>
      <c r="B1401" s="29" t="str">
        <f>PROPER(TEXT(tbLOG[[#This Row],[DATA/HORA]],"mmmm"))</f>
        <v>Janeiro</v>
      </c>
      <c r="C1401" s="34" t="str">
        <f>PROPER(TEXT(tbLOG[[#This Row],[DATA/HORA]],"dddd"))</f>
        <v>Segunda-Feira</v>
      </c>
      <c r="D1401" s="3" t="s">
        <v>604</v>
      </c>
      <c r="E1401" s="34" t="str">
        <f>IFERROR(VLOOKUP(tbLOG[[#This Row],[LOGIN]],tbMAPA[#All],2,0), "Não localizado")</f>
        <v>Renan Cazumba Tegani</v>
      </c>
      <c r="F1401" s="34" t="str">
        <f>IFERROR(VLOOKUP(tbLOG[[#This Row],[LOGIN]],tbMAPA[#All],3,0), "Não localizado")</f>
        <v>Reginaldo Santana De Souza</v>
      </c>
      <c r="G1401" s="3" t="s">
        <v>1211</v>
      </c>
      <c r="H1401" s="3" t="s">
        <v>836</v>
      </c>
    </row>
    <row r="1402" spans="1:8">
      <c r="A1402" s="29">
        <v>42744.676168981481</v>
      </c>
      <c r="B1402" s="29" t="str">
        <f>PROPER(TEXT(tbLOG[[#This Row],[DATA/HORA]],"mmmm"))</f>
        <v>Janeiro</v>
      </c>
      <c r="C1402" s="34" t="str">
        <f>PROPER(TEXT(tbLOG[[#This Row],[DATA/HORA]],"dddd"))</f>
        <v>Segunda-Feira</v>
      </c>
      <c r="D1402" s="3" t="s">
        <v>604</v>
      </c>
      <c r="E1402" s="34" t="str">
        <f>IFERROR(VLOOKUP(tbLOG[[#This Row],[LOGIN]],tbMAPA[#All],2,0), "Não localizado")</f>
        <v>Renan Cazumba Tegani</v>
      </c>
      <c r="F1402" s="34" t="str">
        <f>IFERROR(VLOOKUP(tbLOG[[#This Row],[LOGIN]],tbMAPA[#All],3,0), "Não localizado")</f>
        <v>Reginaldo Santana De Souza</v>
      </c>
      <c r="G1402" s="3" t="s">
        <v>1211</v>
      </c>
      <c r="H1402" s="3" t="s">
        <v>836</v>
      </c>
    </row>
    <row r="1403" spans="1:8">
      <c r="A1403" s="29">
        <v>42744.676192129627</v>
      </c>
      <c r="B1403" s="29" t="str">
        <f>PROPER(TEXT(tbLOG[[#This Row],[DATA/HORA]],"mmmm"))</f>
        <v>Janeiro</v>
      </c>
      <c r="C1403" s="34" t="str">
        <f>PROPER(TEXT(tbLOG[[#This Row],[DATA/HORA]],"dddd"))</f>
        <v>Segunda-Feira</v>
      </c>
      <c r="D1403" s="3" t="s">
        <v>604</v>
      </c>
      <c r="E1403" s="34" t="str">
        <f>IFERROR(VLOOKUP(tbLOG[[#This Row],[LOGIN]],tbMAPA[#All],2,0), "Não localizado")</f>
        <v>Renan Cazumba Tegani</v>
      </c>
      <c r="F1403" s="34" t="str">
        <f>IFERROR(VLOOKUP(tbLOG[[#This Row],[LOGIN]],tbMAPA[#All],3,0), "Não localizado")</f>
        <v>Reginaldo Santana De Souza</v>
      </c>
      <c r="G1403" s="3" t="s">
        <v>1211</v>
      </c>
      <c r="H1403" s="3" t="s">
        <v>836</v>
      </c>
    </row>
    <row r="1404" spans="1:8">
      <c r="A1404" s="29">
        <v>42744.676215277781</v>
      </c>
      <c r="B1404" s="29" t="str">
        <f>PROPER(TEXT(tbLOG[[#This Row],[DATA/HORA]],"mmmm"))</f>
        <v>Janeiro</v>
      </c>
      <c r="C1404" s="34" t="str">
        <f>PROPER(TEXT(tbLOG[[#This Row],[DATA/HORA]],"dddd"))</f>
        <v>Segunda-Feira</v>
      </c>
      <c r="D1404" s="3" t="s">
        <v>604</v>
      </c>
      <c r="E1404" s="34" t="str">
        <f>IFERROR(VLOOKUP(tbLOG[[#This Row],[LOGIN]],tbMAPA[#All],2,0), "Não localizado")</f>
        <v>Renan Cazumba Tegani</v>
      </c>
      <c r="F1404" s="34" t="str">
        <f>IFERROR(VLOOKUP(tbLOG[[#This Row],[LOGIN]],tbMAPA[#All],3,0), "Não localizado")</f>
        <v>Reginaldo Santana De Souza</v>
      </c>
      <c r="G1404" s="3" t="s">
        <v>1211</v>
      </c>
      <c r="H1404" s="3" t="s">
        <v>836</v>
      </c>
    </row>
    <row r="1405" spans="1:8">
      <c r="A1405" s="29">
        <v>42744.679270833331</v>
      </c>
      <c r="B1405" s="29" t="str">
        <f>PROPER(TEXT(tbLOG[[#This Row],[DATA/HORA]],"mmmm"))</f>
        <v>Janeiro</v>
      </c>
      <c r="C1405" s="34" t="str">
        <f>PROPER(TEXT(tbLOG[[#This Row],[DATA/HORA]],"dddd"))</f>
        <v>Segunda-Feira</v>
      </c>
      <c r="D1405" s="3" t="s">
        <v>604</v>
      </c>
      <c r="E1405" s="34" t="str">
        <f>IFERROR(VLOOKUP(tbLOG[[#This Row],[LOGIN]],tbMAPA[#All],2,0), "Não localizado")</f>
        <v>Renan Cazumba Tegani</v>
      </c>
      <c r="F1405" s="34" t="str">
        <f>IFERROR(VLOOKUP(tbLOG[[#This Row],[LOGIN]],tbMAPA[#All],3,0), "Não localizado")</f>
        <v>Reginaldo Santana De Souza</v>
      </c>
      <c r="G1405" s="3" t="s">
        <v>1211</v>
      </c>
      <c r="H1405" s="3" t="s">
        <v>836</v>
      </c>
    </row>
    <row r="1406" spans="1:8">
      <c r="A1406" s="29">
        <v>42744.67931712963</v>
      </c>
      <c r="B1406" s="29" t="str">
        <f>PROPER(TEXT(tbLOG[[#This Row],[DATA/HORA]],"mmmm"))</f>
        <v>Janeiro</v>
      </c>
      <c r="C1406" s="34" t="str">
        <f>PROPER(TEXT(tbLOG[[#This Row],[DATA/HORA]],"dddd"))</f>
        <v>Segunda-Feira</v>
      </c>
      <c r="D1406" s="3" t="s">
        <v>604</v>
      </c>
      <c r="E1406" s="34" t="str">
        <f>IFERROR(VLOOKUP(tbLOG[[#This Row],[LOGIN]],tbMAPA[#All],2,0), "Não localizado")</f>
        <v>Renan Cazumba Tegani</v>
      </c>
      <c r="F1406" s="34" t="str">
        <f>IFERROR(VLOOKUP(tbLOG[[#This Row],[LOGIN]],tbMAPA[#All],3,0), "Não localizado")</f>
        <v>Reginaldo Santana De Souza</v>
      </c>
      <c r="G1406" s="3" t="s">
        <v>1211</v>
      </c>
      <c r="H1406" s="3" t="s">
        <v>836</v>
      </c>
    </row>
    <row r="1407" spans="1:8">
      <c r="A1407" s="29">
        <v>42744.679444444446</v>
      </c>
      <c r="B1407" s="29" t="str">
        <f>PROPER(TEXT(tbLOG[[#This Row],[DATA/HORA]],"mmmm"))</f>
        <v>Janeiro</v>
      </c>
      <c r="C1407" s="34" t="str">
        <f>PROPER(TEXT(tbLOG[[#This Row],[DATA/HORA]],"dddd"))</f>
        <v>Segunda-Feira</v>
      </c>
      <c r="D1407" s="3" t="s">
        <v>604</v>
      </c>
      <c r="E1407" s="34" t="str">
        <f>IFERROR(VLOOKUP(tbLOG[[#This Row],[LOGIN]],tbMAPA[#All],2,0), "Não localizado")</f>
        <v>Renan Cazumba Tegani</v>
      </c>
      <c r="F1407" s="34" t="str">
        <f>IFERROR(VLOOKUP(tbLOG[[#This Row],[LOGIN]],tbMAPA[#All],3,0), "Não localizado")</f>
        <v>Reginaldo Santana De Souza</v>
      </c>
      <c r="G1407" s="3" t="s">
        <v>1211</v>
      </c>
      <c r="H1407" s="3" t="s">
        <v>836</v>
      </c>
    </row>
    <row r="1408" spans="1:8">
      <c r="A1408" s="29">
        <v>42744.689317129632</v>
      </c>
      <c r="B1408" s="29" t="str">
        <f>PROPER(TEXT(tbLOG[[#This Row],[DATA/HORA]],"mmmm"))</f>
        <v>Janeiro</v>
      </c>
      <c r="C1408" s="34" t="str">
        <f>PROPER(TEXT(tbLOG[[#This Row],[DATA/HORA]],"dddd"))</f>
        <v>Segunda-Feira</v>
      </c>
      <c r="D1408" s="3" t="s">
        <v>604</v>
      </c>
      <c r="E1408" s="34" t="str">
        <f>IFERROR(VLOOKUP(tbLOG[[#This Row],[LOGIN]],tbMAPA[#All],2,0), "Não localizado")</f>
        <v>Renan Cazumba Tegani</v>
      </c>
      <c r="F1408" s="34" t="str">
        <f>IFERROR(VLOOKUP(tbLOG[[#This Row],[LOGIN]],tbMAPA[#All],3,0), "Não localizado")</f>
        <v>Reginaldo Santana De Souza</v>
      </c>
      <c r="G1408" s="3" t="s">
        <v>1211</v>
      </c>
      <c r="H1408" s="3" t="s">
        <v>836</v>
      </c>
    </row>
    <row r="1409" spans="1:8">
      <c r="A1409" s="29">
        <v>42744.691238425927</v>
      </c>
      <c r="B1409" s="29" t="str">
        <f>PROPER(TEXT(tbLOG[[#This Row],[DATA/HORA]],"mmmm"))</f>
        <v>Janeiro</v>
      </c>
      <c r="C1409" s="34" t="str">
        <f>PROPER(TEXT(tbLOG[[#This Row],[DATA/HORA]],"dddd"))</f>
        <v>Segunda-Feira</v>
      </c>
      <c r="D1409" s="3" t="s">
        <v>604</v>
      </c>
      <c r="E1409" s="34" t="str">
        <f>IFERROR(VLOOKUP(tbLOG[[#This Row],[LOGIN]],tbMAPA[#All],2,0), "Não localizado")</f>
        <v>Renan Cazumba Tegani</v>
      </c>
      <c r="F1409" s="34" t="str">
        <f>IFERROR(VLOOKUP(tbLOG[[#This Row],[LOGIN]],tbMAPA[#All],3,0), "Não localizado")</f>
        <v>Reginaldo Santana De Souza</v>
      </c>
      <c r="G1409" s="3" t="s">
        <v>1211</v>
      </c>
      <c r="H1409" s="3" t="s">
        <v>836</v>
      </c>
    </row>
    <row r="1410" spans="1:8">
      <c r="A1410" s="29">
        <v>42744.691250000003</v>
      </c>
      <c r="B1410" s="29" t="str">
        <f>PROPER(TEXT(tbLOG[[#This Row],[DATA/HORA]],"mmmm"))</f>
        <v>Janeiro</v>
      </c>
      <c r="C1410" s="34" t="str">
        <f>PROPER(TEXT(tbLOG[[#This Row],[DATA/HORA]],"dddd"))</f>
        <v>Segunda-Feira</v>
      </c>
      <c r="D1410" s="3" t="s">
        <v>604</v>
      </c>
      <c r="E1410" s="34" t="str">
        <f>IFERROR(VLOOKUP(tbLOG[[#This Row],[LOGIN]],tbMAPA[#All],2,0), "Não localizado")</f>
        <v>Renan Cazumba Tegani</v>
      </c>
      <c r="F1410" s="34" t="str">
        <f>IFERROR(VLOOKUP(tbLOG[[#This Row],[LOGIN]],tbMAPA[#All],3,0), "Não localizado")</f>
        <v>Reginaldo Santana De Souza</v>
      </c>
      <c r="G1410" s="3" t="s">
        <v>1211</v>
      </c>
      <c r="H1410" s="3" t="s">
        <v>836</v>
      </c>
    </row>
    <row r="1411" spans="1:8">
      <c r="A1411" s="29">
        <v>42744.691458333335</v>
      </c>
      <c r="B1411" s="29" t="str">
        <f>PROPER(TEXT(tbLOG[[#This Row],[DATA/HORA]],"mmmm"))</f>
        <v>Janeiro</v>
      </c>
      <c r="C1411" s="34" t="str">
        <f>PROPER(TEXT(tbLOG[[#This Row],[DATA/HORA]],"dddd"))</f>
        <v>Segunda-Feira</v>
      </c>
      <c r="D1411" s="3" t="s">
        <v>604</v>
      </c>
      <c r="E1411" s="34" t="str">
        <f>IFERROR(VLOOKUP(tbLOG[[#This Row],[LOGIN]],tbMAPA[#All],2,0), "Não localizado")</f>
        <v>Renan Cazumba Tegani</v>
      </c>
      <c r="F1411" s="34" t="str">
        <f>IFERROR(VLOOKUP(tbLOG[[#This Row],[LOGIN]],tbMAPA[#All],3,0), "Não localizado")</f>
        <v>Reginaldo Santana De Souza</v>
      </c>
      <c r="G1411" s="3" t="s">
        <v>1211</v>
      </c>
      <c r="H1411" s="3" t="s">
        <v>836</v>
      </c>
    </row>
    <row r="1412" spans="1:8">
      <c r="A1412" s="29">
        <v>42744.693993055553</v>
      </c>
      <c r="B1412" s="29" t="str">
        <f>PROPER(TEXT(tbLOG[[#This Row],[DATA/HORA]],"mmmm"))</f>
        <v>Janeiro</v>
      </c>
      <c r="C1412" s="34" t="str">
        <f>PROPER(TEXT(tbLOG[[#This Row],[DATA/HORA]],"dddd"))</f>
        <v>Segunda-Feira</v>
      </c>
      <c r="D1412" s="3" t="s">
        <v>604</v>
      </c>
      <c r="E1412" s="34" t="str">
        <f>IFERROR(VLOOKUP(tbLOG[[#This Row],[LOGIN]],tbMAPA[#All],2,0), "Não localizado")</f>
        <v>Renan Cazumba Tegani</v>
      </c>
      <c r="F1412" s="34" t="str">
        <f>IFERROR(VLOOKUP(tbLOG[[#This Row],[LOGIN]],tbMAPA[#All],3,0), "Não localizado")</f>
        <v>Reginaldo Santana De Souza</v>
      </c>
      <c r="G1412" s="3" t="s">
        <v>1211</v>
      </c>
      <c r="H1412" s="3" t="s">
        <v>836</v>
      </c>
    </row>
    <row r="1413" spans="1:8">
      <c r="A1413" s="29">
        <v>42744.694004629629</v>
      </c>
      <c r="B1413" s="29" t="str">
        <f>PROPER(TEXT(tbLOG[[#This Row],[DATA/HORA]],"mmmm"))</f>
        <v>Janeiro</v>
      </c>
      <c r="C1413" s="34" t="str">
        <f>PROPER(TEXT(tbLOG[[#This Row],[DATA/HORA]],"dddd"))</f>
        <v>Segunda-Feira</v>
      </c>
      <c r="D1413" s="3" t="s">
        <v>604</v>
      </c>
      <c r="E1413" s="34" t="str">
        <f>IFERROR(VLOOKUP(tbLOG[[#This Row],[LOGIN]],tbMAPA[#All],2,0), "Não localizado")</f>
        <v>Renan Cazumba Tegani</v>
      </c>
      <c r="F1413" s="34" t="str">
        <f>IFERROR(VLOOKUP(tbLOG[[#This Row],[LOGIN]],tbMAPA[#All],3,0), "Não localizado")</f>
        <v>Reginaldo Santana De Souza</v>
      </c>
      <c r="G1413" s="3" t="s">
        <v>1211</v>
      </c>
      <c r="H1413" s="3" t="s">
        <v>836</v>
      </c>
    </row>
    <row r="1414" spans="1:8">
      <c r="A1414" s="29">
        <v>42744.694074074076</v>
      </c>
      <c r="B1414" s="29" t="str">
        <f>PROPER(TEXT(tbLOG[[#This Row],[DATA/HORA]],"mmmm"))</f>
        <v>Janeiro</v>
      </c>
      <c r="C1414" s="34" t="str">
        <f>PROPER(TEXT(tbLOG[[#This Row],[DATA/HORA]],"dddd"))</f>
        <v>Segunda-Feira</v>
      </c>
      <c r="D1414" s="3" t="s">
        <v>604</v>
      </c>
      <c r="E1414" s="34" t="str">
        <f>IFERROR(VLOOKUP(tbLOG[[#This Row],[LOGIN]],tbMAPA[#All],2,0), "Não localizado")</f>
        <v>Renan Cazumba Tegani</v>
      </c>
      <c r="F1414" s="34" t="str">
        <f>IFERROR(VLOOKUP(tbLOG[[#This Row],[LOGIN]],tbMAPA[#All],3,0), "Não localizado")</f>
        <v>Reginaldo Santana De Souza</v>
      </c>
      <c r="G1414" s="3" t="s">
        <v>1211</v>
      </c>
      <c r="H1414" s="3" t="s">
        <v>836</v>
      </c>
    </row>
    <row r="1415" spans="1:8">
      <c r="A1415" s="29">
        <v>42744.695914351854</v>
      </c>
      <c r="B1415" s="29" t="str">
        <f>PROPER(TEXT(tbLOG[[#This Row],[DATA/HORA]],"mmmm"))</f>
        <v>Janeiro</v>
      </c>
      <c r="C1415" s="34" t="str">
        <f>PROPER(TEXT(tbLOG[[#This Row],[DATA/HORA]],"dddd"))</f>
        <v>Segunda-Feira</v>
      </c>
      <c r="D1415" s="3" t="s">
        <v>604</v>
      </c>
      <c r="E1415" s="34" t="str">
        <f>IFERROR(VLOOKUP(tbLOG[[#This Row],[LOGIN]],tbMAPA[#All],2,0), "Não localizado")</f>
        <v>Renan Cazumba Tegani</v>
      </c>
      <c r="F1415" s="34" t="str">
        <f>IFERROR(VLOOKUP(tbLOG[[#This Row],[LOGIN]],tbMAPA[#All],3,0), "Não localizado")</f>
        <v>Reginaldo Santana De Souza</v>
      </c>
      <c r="G1415" s="3" t="s">
        <v>1211</v>
      </c>
      <c r="H1415" s="3" t="s">
        <v>836</v>
      </c>
    </row>
    <row r="1416" spans="1:8">
      <c r="A1416" s="29">
        <v>42744.695925925924</v>
      </c>
      <c r="B1416" s="29" t="str">
        <f>PROPER(TEXT(tbLOG[[#This Row],[DATA/HORA]],"mmmm"))</f>
        <v>Janeiro</v>
      </c>
      <c r="C1416" s="34" t="str">
        <f>PROPER(TEXT(tbLOG[[#This Row],[DATA/HORA]],"dddd"))</f>
        <v>Segunda-Feira</v>
      </c>
      <c r="D1416" s="3" t="s">
        <v>604</v>
      </c>
      <c r="E1416" s="34" t="str">
        <f>IFERROR(VLOOKUP(tbLOG[[#This Row],[LOGIN]],tbMAPA[#All],2,0), "Não localizado")</f>
        <v>Renan Cazumba Tegani</v>
      </c>
      <c r="F1416" s="34" t="str">
        <f>IFERROR(VLOOKUP(tbLOG[[#This Row],[LOGIN]],tbMAPA[#All],3,0), "Não localizado")</f>
        <v>Reginaldo Santana De Souza</v>
      </c>
      <c r="G1416" s="3" t="s">
        <v>1211</v>
      </c>
      <c r="H1416" s="3" t="s">
        <v>836</v>
      </c>
    </row>
    <row r="1417" spans="1:8">
      <c r="A1417" s="29">
        <v>42744.695972222224</v>
      </c>
      <c r="B1417" s="29" t="str">
        <f>PROPER(TEXT(tbLOG[[#This Row],[DATA/HORA]],"mmmm"))</f>
        <v>Janeiro</v>
      </c>
      <c r="C1417" s="34" t="str">
        <f>PROPER(TEXT(tbLOG[[#This Row],[DATA/HORA]],"dddd"))</f>
        <v>Segunda-Feira</v>
      </c>
      <c r="D1417" s="3" t="s">
        <v>604</v>
      </c>
      <c r="E1417" s="34" t="str">
        <f>IFERROR(VLOOKUP(tbLOG[[#This Row],[LOGIN]],tbMAPA[#All],2,0), "Não localizado")</f>
        <v>Renan Cazumba Tegani</v>
      </c>
      <c r="F1417" s="34" t="str">
        <f>IFERROR(VLOOKUP(tbLOG[[#This Row],[LOGIN]],tbMAPA[#All],3,0), "Não localizado")</f>
        <v>Reginaldo Santana De Souza</v>
      </c>
      <c r="G1417" s="3" t="s">
        <v>1211</v>
      </c>
      <c r="H1417" s="3" t="s">
        <v>836</v>
      </c>
    </row>
    <row r="1418" spans="1:8">
      <c r="A1418" s="29">
        <v>42744.697569444441</v>
      </c>
      <c r="B1418" s="29" t="str">
        <f>PROPER(TEXT(tbLOG[[#This Row],[DATA/HORA]],"mmmm"))</f>
        <v>Janeiro</v>
      </c>
      <c r="C1418" s="34" t="str">
        <f>PROPER(TEXT(tbLOG[[#This Row],[DATA/HORA]],"dddd"))</f>
        <v>Segunda-Feira</v>
      </c>
      <c r="D1418" s="3" t="s">
        <v>604</v>
      </c>
      <c r="E1418" s="34" t="str">
        <f>IFERROR(VLOOKUP(tbLOG[[#This Row],[LOGIN]],tbMAPA[#All],2,0), "Não localizado")</f>
        <v>Renan Cazumba Tegani</v>
      </c>
      <c r="F1418" s="34" t="str">
        <f>IFERROR(VLOOKUP(tbLOG[[#This Row],[LOGIN]],tbMAPA[#All],3,0), "Não localizado")</f>
        <v>Reginaldo Santana De Souza</v>
      </c>
      <c r="G1418" s="3" t="s">
        <v>1211</v>
      </c>
      <c r="H1418" s="3" t="s">
        <v>836</v>
      </c>
    </row>
    <row r="1419" spans="1:8">
      <c r="A1419" s="29">
        <v>42744.697604166664</v>
      </c>
      <c r="B1419" s="29" t="str">
        <f>PROPER(TEXT(tbLOG[[#This Row],[DATA/HORA]],"mmmm"))</f>
        <v>Janeiro</v>
      </c>
      <c r="C1419" s="34" t="str">
        <f>PROPER(TEXT(tbLOG[[#This Row],[DATA/HORA]],"dddd"))</f>
        <v>Segunda-Feira</v>
      </c>
      <c r="D1419" s="3" t="s">
        <v>604</v>
      </c>
      <c r="E1419" s="34" t="str">
        <f>IFERROR(VLOOKUP(tbLOG[[#This Row],[LOGIN]],tbMAPA[#All],2,0), "Não localizado")</f>
        <v>Renan Cazumba Tegani</v>
      </c>
      <c r="F1419" s="34" t="str">
        <f>IFERROR(VLOOKUP(tbLOG[[#This Row],[LOGIN]],tbMAPA[#All],3,0), "Não localizado")</f>
        <v>Reginaldo Santana De Souza</v>
      </c>
      <c r="G1419" s="3" t="s">
        <v>1211</v>
      </c>
      <c r="H1419" s="3" t="s">
        <v>836</v>
      </c>
    </row>
    <row r="1420" spans="1:8">
      <c r="A1420" s="29">
        <v>42744.697604166664</v>
      </c>
      <c r="B1420" s="29" t="str">
        <f>PROPER(TEXT(tbLOG[[#This Row],[DATA/HORA]],"mmmm"))</f>
        <v>Janeiro</v>
      </c>
      <c r="C1420" s="34" t="str">
        <f>PROPER(TEXT(tbLOG[[#This Row],[DATA/HORA]],"dddd"))</f>
        <v>Segunda-Feira</v>
      </c>
      <c r="D1420" s="3" t="s">
        <v>604</v>
      </c>
      <c r="E1420" s="34" t="str">
        <f>IFERROR(VLOOKUP(tbLOG[[#This Row],[LOGIN]],tbMAPA[#All],2,0), "Não localizado")</f>
        <v>Renan Cazumba Tegani</v>
      </c>
      <c r="F1420" s="34" t="str">
        <f>IFERROR(VLOOKUP(tbLOG[[#This Row],[LOGIN]],tbMAPA[#All],3,0), "Não localizado")</f>
        <v>Reginaldo Santana De Souza</v>
      </c>
      <c r="G1420" s="3" t="s">
        <v>1211</v>
      </c>
      <c r="H1420" s="3" t="s">
        <v>836</v>
      </c>
    </row>
    <row r="1421" spans="1:8">
      <c r="A1421" s="29">
        <v>42744.697627314818</v>
      </c>
      <c r="B1421" s="29" t="str">
        <f>PROPER(TEXT(tbLOG[[#This Row],[DATA/HORA]],"mmmm"))</f>
        <v>Janeiro</v>
      </c>
      <c r="C1421" s="34" t="str">
        <f>PROPER(TEXT(tbLOG[[#This Row],[DATA/HORA]],"dddd"))</f>
        <v>Segunda-Feira</v>
      </c>
      <c r="D1421" s="3" t="s">
        <v>604</v>
      </c>
      <c r="E1421" s="34" t="str">
        <f>IFERROR(VLOOKUP(tbLOG[[#This Row],[LOGIN]],tbMAPA[#All],2,0), "Não localizado")</f>
        <v>Renan Cazumba Tegani</v>
      </c>
      <c r="F1421" s="34" t="str">
        <f>IFERROR(VLOOKUP(tbLOG[[#This Row],[LOGIN]],tbMAPA[#All],3,0), "Não localizado")</f>
        <v>Reginaldo Santana De Souza</v>
      </c>
      <c r="G1421" s="3" t="s">
        <v>1211</v>
      </c>
      <c r="H1421" s="3" t="s">
        <v>836</v>
      </c>
    </row>
    <row r="1422" spans="1:8">
      <c r="A1422" s="29">
        <v>42744.697685185187</v>
      </c>
      <c r="B1422" s="29" t="str">
        <f>PROPER(TEXT(tbLOG[[#This Row],[DATA/HORA]],"mmmm"))</f>
        <v>Janeiro</v>
      </c>
      <c r="C1422" s="34" t="str">
        <f>PROPER(TEXT(tbLOG[[#This Row],[DATA/HORA]],"dddd"))</f>
        <v>Segunda-Feira</v>
      </c>
      <c r="D1422" s="3" t="s">
        <v>604</v>
      </c>
      <c r="E1422" s="34" t="str">
        <f>IFERROR(VLOOKUP(tbLOG[[#This Row],[LOGIN]],tbMAPA[#All],2,0), "Não localizado")</f>
        <v>Renan Cazumba Tegani</v>
      </c>
      <c r="F1422" s="34" t="str">
        <f>IFERROR(VLOOKUP(tbLOG[[#This Row],[LOGIN]],tbMAPA[#All],3,0), "Não localizado")</f>
        <v>Reginaldo Santana De Souza</v>
      </c>
      <c r="G1422" s="3" t="s">
        <v>1211</v>
      </c>
      <c r="H1422" s="3" t="s">
        <v>836</v>
      </c>
    </row>
    <row r="1423" spans="1:8">
      <c r="A1423" s="29">
        <v>42744.699652777781</v>
      </c>
      <c r="B1423" s="29" t="str">
        <f>PROPER(TEXT(tbLOG[[#This Row],[DATA/HORA]],"mmmm"))</f>
        <v>Janeiro</v>
      </c>
      <c r="C1423" s="34" t="str">
        <f>PROPER(TEXT(tbLOG[[#This Row],[DATA/HORA]],"dddd"))</f>
        <v>Segunda-Feira</v>
      </c>
      <c r="D1423" s="3" t="s">
        <v>604</v>
      </c>
      <c r="E1423" s="34" t="str">
        <f>IFERROR(VLOOKUP(tbLOG[[#This Row],[LOGIN]],tbMAPA[#All],2,0), "Não localizado")</f>
        <v>Renan Cazumba Tegani</v>
      </c>
      <c r="F1423" s="34" t="str">
        <f>IFERROR(VLOOKUP(tbLOG[[#This Row],[LOGIN]],tbMAPA[#All],3,0), "Não localizado")</f>
        <v>Reginaldo Santana De Souza</v>
      </c>
      <c r="G1423" s="3" t="s">
        <v>1211</v>
      </c>
      <c r="H1423" s="3" t="s">
        <v>836</v>
      </c>
    </row>
    <row r="1424" spans="1:8">
      <c r="A1424" s="29">
        <v>42744.699664351851</v>
      </c>
      <c r="B1424" s="29" t="str">
        <f>PROPER(TEXT(tbLOG[[#This Row],[DATA/HORA]],"mmmm"))</f>
        <v>Janeiro</v>
      </c>
      <c r="C1424" s="34" t="str">
        <f>PROPER(TEXT(tbLOG[[#This Row],[DATA/HORA]],"dddd"))</f>
        <v>Segunda-Feira</v>
      </c>
      <c r="D1424" s="3" t="s">
        <v>604</v>
      </c>
      <c r="E1424" s="34" t="str">
        <f>IFERROR(VLOOKUP(tbLOG[[#This Row],[LOGIN]],tbMAPA[#All],2,0), "Não localizado")</f>
        <v>Renan Cazumba Tegani</v>
      </c>
      <c r="F1424" s="34" t="str">
        <f>IFERROR(VLOOKUP(tbLOG[[#This Row],[LOGIN]],tbMAPA[#All],3,0), "Não localizado")</f>
        <v>Reginaldo Santana De Souza</v>
      </c>
      <c r="G1424" s="3" t="s">
        <v>1211</v>
      </c>
      <c r="H1424" s="3" t="s">
        <v>836</v>
      </c>
    </row>
    <row r="1425" spans="1:8">
      <c r="A1425" s="29">
        <v>42744.69971064815</v>
      </c>
      <c r="B1425" s="29" t="str">
        <f>PROPER(TEXT(tbLOG[[#This Row],[DATA/HORA]],"mmmm"))</f>
        <v>Janeiro</v>
      </c>
      <c r="C1425" s="34" t="str">
        <f>PROPER(TEXT(tbLOG[[#This Row],[DATA/HORA]],"dddd"))</f>
        <v>Segunda-Feira</v>
      </c>
      <c r="D1425" s="3" t="s">
        <v>604</v>
      </c>
      <c r="E1425" s="34" t="str">
        <f>IFERROR(VLOOKUP(tbLOG[[#This Row],[LOGIN]],tbMAPA[#All],2,0), "Não localizado")</f>
        <v>Renan Cazumba Tegani</v>
      </c>
      <c r="F1425" s="34" t="str">
        <f>IFERROR(VLOOKUP(tbLOG[[#This Row],[LOGIN]],tbMAPA[#All],3,0), "Não localizado")</f>
        <v>Reginaldo Santana De Souza</v>
      </c>
      <c r="G1425" s="3" t="s">
        <v>1211</v>
      </c>
      <c r="H1425" s="3" t="s">
        <v>836</v>
      </c>
    </row>
    <row r="1426" spans="1:8">
      <c r="A1426" s="29">
        <v>42744.701238425929</v>
      </c>
      <c r="B1426" s="29" t="str">
        <f>PROPER(TEXT(tbLOG[[#This Row],[DATA/HORA]],"mmmm"))</f>
        <v>Janeiro</v>
      </c>
      <c r="C1426" s="34" t="str">
        <f>PROPER(TEXT(tbLOG[[#This Row],[DATA/HORA]],"dddd"))</f>
        <v>Segunda-Feira</v>
      </c>
      <c r="D1426" s="3" t="s">
        <v>604</v>
      </c>
      <c r="E1426" s="34" t="str">
        <f>IFERROR(VLOOKUP(tbLOG[[#This Row],[LOGIN]],tbMAPA[#All],2,0), "Não localizado")</f>
        <v>Renan Cazumba Tegani</v>
      </c>
      <c r="F1426" s="34" t="str">
        <f>IFERROR(VLOOKUP(tbLOG[[#This Row],[LOGIN]],tbMAPA[#All],3,0), "Não localizado")</f>
        <v>Reginaldo Santana De Souza</v>
      </c>
      <c r="G1426" s="3" t="s">
        <v>1211</v>
      </c>
      <c r="H1426" s="3" t="s">
        <v>836</v>
      </c>
    </row>
    <row r="1427" spans="1:8">
      <c r="A1427" s="29">
        <v>42744.703159722223</v>
      </c>
      <c r="B1427" s="29" t="str">
        <f>PROPER(TEXT(tbLOG[[#This Row],[DATA/HORA]],"mmmm"))</f>
        <v>Janeiro</v>
      </c>
      <c r="C1427" s="34" t="str">
        <f>PROPER(TEXT(tbLOG[[#This Row],[DATA/HORA]],"dddd"))</f>
        <v>Segunda-Feira</v>
      </c>
      <c r="D1427" s="3" t="s">
        <v>604</v>
      </c>
      <c r="E1427" s="34" t="str">
        <f>IFERROR(VLOOKUP(tbLOG[[#This Row],[LOGIN]],tbMAPA[#All],2,0), "Não localizado")</f>
        <v>Renan Cazumba Tegani</v>
      </c>
      <c r="F1427" s="34" t="str">
        <f>IFERROR(VLOOKUP(tbLOG[[#This Row],[LOGIN]],tbMAPA[#All],3,0), "Não localizado")</f>
        <v>Reginaldo Santana De Souza</v>
      </c>
      <c r="G1427" s="3" t="s">
        <v>1211</v>
      </c>
      <c r="H1427" s="3" t="s">
        <v>836</v>
      </c>
    </row>
    <row r="1428" spans="1:8">
      <c r="A1428" s="29">
        <v>42744.7031712963</v>
      </c>
      <c r="B1428" s="29" t="str">
        <f>PROPER(TEXT(tbLOG[[#This Row],[DATA/HORA]],"mmmm"))</f>
        <v>Janeiro</v>
      </c>
      <c r="C1428" s="34" t="str">
        <f>PROPER(TEXT(tbLOG[[#This Row],[DATA/HORA]],"dddd"))</f>
        <v>Segunda-Feira</v>
      </c>
      <c r="D1428" s="3" t="s">
        <v>604</v>
      </c>
      <c r="E1428" s="34" t="str">
        <f>IFERROR(VLOOKUP(tbLOG[[#This Row],[LOGIN]],tbMAPA[#All],2,0), "Não localizado")</f>
        <v>Renan Cazumba Tegani</v>
      </c>
      <c r="F1428" s="34" t="str">
        <f>IFERROR(VLOOKUP(tbLOG[[#This Row],[LOGIN]],tbMAPA[#All],3,0), "Não localizado")</f>
        <v>Reginaldo Santana De Souza</v>
      </c>
      <c r="G1428" s="3" t="s">
        <v>1211</v>
      </c>
      <c r="H1428" s="3" t="s">
        <v>836</v>
      </c>
    </row>
    <row r="1429" spans="1:8">
      <c r="A1429" s="29">
        <v>42744.703402777777</v>
      </c>
      <c r="B1429" s="29" t="str">
        <f>PROPER(TEXT(tbLOG[[#This Row],[DATA/HORA]],"mmmm"))</f>
        <v>Janeiro</v>
      </c>
      <c r="C1429" s="34" t="str">
        <f>PROPER(TEXT(tbLOG[[#This Row],[DATA/HORA]],"dddd"))</f>
        <v>Segunda-Feira</v>
      </c>
      <c r="D1429" s="3" t="s">
        <v>604</v>
      </c>
      <c r="E1429" s="34" t="str">
        <f>IFERROR(VLOOKUP(tbLOG[[#This Row],[LOGIN]],tbMAPA[#All],2,0), "Não localizado")</f>
        <v>Renan Cazumba Tegani</v>
      </c>
      <c r="F1429" s="34" t="str">
        <f>IFERROR(VLOOKUP(tbLOG[[#This Row],[LOGIN]],tbMAPA[#All],3,0), "Não localizado")</f>
        <v>Reginaldo Santana De Souza</v>
      </c>
      <c r="G1429" s="3" t="s">
        <v>1211</v>
      </c>
      <c r="H1429" s="3" t="s">
        <v>836</v>
      </c>
    </row>
    <row r="1430" spans="1:8">
      <c r="A1430" s="29">
        <v>42744.703634259262</v>
      </c>
      <c r="B1430" s="29" t="str">
        <f>PROPER(TEXT(tbLOG[[#This Row],[DATA/HORA]],"mmmm"))</f>
        <v>Janeiro</v>
      </c>
      <c r="C1430" s="34" t="str">
        <f>PROPER(TEXT(tbLOG[[#This Row],[DATA/HORA]],"dddd"))</f>
        <v>Segunda-Feira</v>
      </c>
      <c r="D1430" s="3" t="s">
        <v>604</v>
      </c>
      <c r="E1430" s="34" t="str">
        <f>IFERROR(VLOOKUP(tbLOG[[#This Row],[LOGIN]],tbMAPA[#All],2,0), "Não localizado")</f>
        <v>Renan Cazumba Tegani</v>
      </c>
      <c r="F1430" s="34" t="str">
        <f>IFERROR(VLOOKUP(tbLOG[[#This Row],[LOGIN]],tbMAPA[#All],3,0), "Não localizado")</f>
        <v>Reginaldo Santana De Souza</v>
      </c>
      <c r="G1430" s="3" t="s">
        <v>1211</v>
      </c>
      <c r="H1430" s="3" t="s">
        <v>836</v>
      </c>
    </row>
    <row r="1431" spans="1:8">
      <c r="A1431" s="29">
        <v>42744.707662037035</v>
      </c>
      <c r="B1431" s="29" t="str">
        <f>PROPER(TEXT(tbLOG[[#This Row],[DATA/HORA]],"mmmm"))</f>
        <v>Janeiro</v>
      </c>
      <c r="C1431" s="34" t="str">
        <f>PROPER(TEXT(tbLOG[[#This Row],[DATA/HORA]],"dddd"))</f>
        <v>Segunda-Feira</v>
      </c>
      <c r="D1431" s="3" t="s">
        <v>604</v>
      </c>
      <c r="E1431" s="34" t="str">
        <f>IFERROR(VLOOKUP(tbLOG[[#This Row],[LOGIN]],tbMAPA[#All],2,0), "Não localizado")</f>
        <v>Renan Cazumba Tegani</v>
      </c>
      <c r="F1431" s="34" t="str">
        <f>IFERROR(VLOOKUP(tbLOG[[#This Row],[LOGIN]],tbMAPA[#All],3,0), "Não localizado")</f>
        <v>Reginaldo Santana De Souza</v>
      </c>
      <c r="G1431" s="3" t="s">
        <v>1211</v>
      </c>
      <c r="H1431" s="3" t="s">
        <v>836</v>
      </c>
    </row>
    <row r="1432" spans="1:8">
      <c r="A1432" s="29">
        <v>42744.710393518515</v>
      </c>
      <c r="B1432" s="29" t="str">
        <f>PROPER(TEXT(tbLOG[[#This Row],[DATA/HORA]],"mmmm"))</f>
        <v>Janeiro</v>
      </c>
      <c r="C1432" s="34" t="str">
        <f>PROPER(TEXT(tbLOG[[#This Row],[DATA/HORA]],"dddd"))</f>
        <v>Segunda-Feira</v>
      </c>
      <c r="D1432" s="3" t="s">
        <v>604</v>
      </c>
      <c r="E1432" s="34" t="str">
        <f>IFERROR(VLOOKUP(tbLOG[[#This Row],[LOGIN]],tbMAPA[#All],2,0), "Não localizado")</f>
        <v>Renan Cazumba Tegani</v>
      </c>
      <c r="F1432" s="34" t="str">
        <f>IFERROR(VLOOKUP(tbLOG[[#This Row],[LOGIN]],tbMAPA[#All],3,0), "Não localizado")</f>
        <v>Reginaldo Santana De Souza</v>
      </c>
      <c r="G1432" s="3" t="s">
        <v>1211</v>
      </c>
      <c r="H1432" s="3" t="s">
        <v>836</v>
      </c>
    </row>
    <row r="1433" spans="1:8">
      <c r="A1433" s="29">
        <v>42744.710405092592</v>
      </c>
      <c r="B1433" s="29" t="str">
        <f>PROPER(TEXT(tbLOG[[#This Row],[DATA/HORA]],"mmmm"))</f>
        <v>Janeiro</v>
      </c>
      <c r="C1433" s="34" t="str">
        <f>PROPER(TEXT(tbLOG[[#This Row],[DATA/HORA]],"dddd"))</f>
        <v>Segunda-Feira</v>
      </c>
      <c r="D1433" s="3" t="s">
        <v>604</v>
      </c>
      <c r="E1433" s="34" t="str">
        <f>IFERROR(VLOOKUP(tbLOG[[#This Row],[LOGIN]],tbMAPA[#All],2,0), "Não localizado")</f>
        <v>Renan Cazumba Tegani</v>
      </c>
      <c r="F1433" s="34" t="str">
        <f>IFERROR(VLOOKUP(tbLOG[[#This Row],[LOGIN]],tbMAPA[#All],3,0), "Não localizado")</f>
        <v>Reginaldo Santana De Souza</v>
      </c>
      <c r="G1433" s="3" t="s">
        <v>1211</v>
      </c>
      <c r="H1433" s="3" t="s">
        <v>836</v>
      </c>
    </row>
    <row r="1434" spans="1:8">
      <c r="A1434" s="29">
        <v>42744.710694444446</v>
      </c>
      <c r="B1434" s="29" t="str">
        <f>PROPER(TEXT(tbLOG[[#This Row],[DATA/HORA]],"mmmm"))</f>
        <v>Janeiro</v>
      </c>
      <c r="C1434" s="34" t="str">
        <f>PROPER(TEXT(tbLOG[[#This Row],[DATA/HORA]],"dddd"))</f>
        <v>Segunda-Feira</v>
      </c>
      <c r="D1434" s="3" t="s">
        <v>604</v>
      </c>
      <c r="E1434" s="34" t="str">
        <f>IFERROR(VLOOKUP(tbLOG[[#This Row],[LOGIN]],tbMAPA[#All],2,0), "Não localizado")</f>
        <v>Renan Cazumba Tegani</v>
      </c>
      <c r="F1434" s="34" t="str">
        <f>IFERROR(VLOOKUP(tbLOG[[#This Row],[LOGIN]],tbMAPA[#All],3,0), "Não localizado")</f>
        <v>Reginaldo Santana De Souza</v>
      </c>
      <c r="G1434" s="3" t="s">
        <v>1211</v>
      </c>
      <c r="H1434" s="3" t="s">
        <v>836</v>
      </c>
    </row>
    <row r="1435" spans="1:8">
      <c r="A1435" s="29">
        <v>42744.717152777775</v>
      </c>
      <c r="B1435" s="29" t="str">
        <f>PROPER(TEXT(tbLOG[[#This Row],[DATA/HORA]],"mmmm"))</f>
        <v>Janeiro</v>
      </c>
      <c r="C1435" s="34" t="str">
        <f>PROPER(TEXT(tbLOG[[#This Row],[DATA/HORA]],"dddd"))</f>
        <v>Segunda-Feira</v>
      </c>
      <c r="D1435" s="3" t="s">
        <v>604</v>
      </c>
      <c r="E1435" s="34" t="str">
        <f>IFERROR(VLOOKUP(tbLOG[[#This Row],[LOGIN]],tbMAPA[#All],2,0), "Não localizado")</f>
        <v>Renan Cazumba Tegani</v>
      </c>
      <c r="F1435" s="34" t="str">
        <f>IFERROR(VLOOKUP(tbLOG[[#This Row],[LOGIN]],tbMAPA[#All],3,0), "Não localizado")</f>
        <v>Reginaldo Santana De Souza</v>
      </c>
      <c r="G1435" s="3" t="s">
        <v>1211</v>
      </c>
      <c r="H1435" s="3" t="s">
        <v>836</v>
      </c>
    </row>
    <row r="1436" spans="1:8">
      <c r="A1436" s="29">
        <v>42744.719953703701</v>
      </c>
      <c r="B1436" s="29" t="str">
        <f>PROPER(TEXT(tbLOG[[#This Row],[DATA/HORA]],"mmmm"))</f>
        <v>Janeiro</v>
      </c>
      <c r="C1436" s="34" t="str">
        <f>PROPER(TEXT(tbLOG[[#This Row],[DATA/HORA]],"dddd"))</f>
        <v>Segunda-Feira</v>
      </c>
      <c r="D1436" s="3" t="s">
        <v>604</v>
      </c>
      <c r="E1436" s="34" t="str">
        <f>IFERROR(VLOOKUP(tbLOG[[#This Row],[LOGIN]],tbMAPA[#All],2,0), "Não localizado")</f>
        <v>Renan Cazumba Tegani</v>
      </c>
      <c r="F1436" s="34" t="str">
        <f>IFERROR(VLOOKUP(tbLOG[[#This Row],[LOGIN]],tbMAPA[#All],3,0), "Não localizado")</f>
        <v>Reginaldo Santana De Souza</v>
      </c>
      <c r="G1436" s="3" t="s">
        <v>1211</v>
      </c>
      <c r="H1436" s="3" t="s">
        <v>836</v>
      </c>
    </row>
    <row r="1437" spans="1:8">
      <c r="A1437" s="29">
        <v>42744.722569444442</v>
      </c>
      <c r="B1437" s="29" t="str">
        <f>PROPER(TEXT(tbLOG[[#This Row],[DATA/HORA]],"mmmm"))</f>
        <v>Janeiro</v>
      </c>
      <c r="C1437" s="34" t="str">
        <f>PROPER(TEXT(tbLOG[[#This Row],[DATA/HORA]],"dddd"))</f>
        <v>Segunda-Feira</v>
      </c>
      <c r="D1437" s="3" t="s">
        <v>604</v>
      </c>
      <c r="E1437" s="34" t="str">
        <f>IFERROR(VLOOKUP(tbLOG[[#This Row],[LOGIN]],tbMAPA[#All],2,0), "Não localizado")</f>
        <v>Renan Cazumba Tegani</v>
      </c>
      <c r="F1437" s="34" t="str">
        <f>IFERROR(VLOOKUP(tbLOG[[#This Row],[LOGIN]],tbMAPA[#All],3,0), "Não localizado")</f>
        <v>Reginaldo Santana De Souza</v>
      </c>
      <c r="G1437" s="3" t="s">
        <v>1211</v>
      </c>
      <c r="H1437" s="3" t="s">
        <v>836</v>
      </c>
    </row>
    <row r="1438" spans="1:8">
      <c r="A1438" s="29">
        <v>42744.722916666666</v>
      </c>
      <c r="B1438" s="29" t="str">
        <f>PROPER(TEXT(tbLOG[[#This Row],[DATA/HORA]],"mmmm"))</f>
        <v>Janeiro</v>
      </c>
      <c r="C1438" s="34" t="str">
        <f>PROPER(TEXT(tbLOG[[#This Row],[DATA/HORA]],"dddd"))</f>
        <v>Segunda-Feira</v>
      </c>
      <c r="D1438" s="3" t="s">
        <v>604</v>
      </c>
      <c r="E1438" s="34" t="str">
        <f>IFERROR(VLOOKUP(tbLOG[[#This Row],[LOGIN]],tbMAPA[#All],2,0), "Não localizado")</f>
        <v>Renan Cazumba Tegani</v>
      </c>
      <c r="F1438" s="34" t="str">
        <f>IFERROR(VLOOKUP(tbLOG[[#This Row],[LOGIN]],tbMAPA[#All],3,0), "Não localizado")</f>
        <v>Reginaldo Santana De Souza</v>
      </c>
      <c r="G1438" s="3" t="s">
        <v>1211</v>
      </c>
      <c r="H1438" s="3" t="s">
        <v>836</v>
      </c>
    </row>
    <row r="1439" spans="1:8">
      <c r="A1439" s="29">
        <v>42744.722986111112</v>
      </c>
      <c r="B1439" s="29" t="str">
        <f>PROPER(TEXT(tbLOG[[#This Row],[DATA/HORA]],"mmmm"))</f>
        <v>Janeiro</v>
      </c>
      <c r="C1439" s="34" t="str">
        <f>PROPER(TEXT(tbLOG[[#This Row],[DATA/HORA]],"dddd"))</f>
        <v>Segunda-Feira</v>
      </c>
      <c r="D1439" s="3" t="s">
        <v>604</v>
      </c>
      <c r="E1439" s="34" t="str">
        <f>IFERROR(VLOOKUP(tbLOG[[#This Row],[LOGIN]],tbMAPA[#All],2,0), "Não localizado")</f>
        <v>Renan Cazumba Tegani</v>
      </c>
      <c r="F1439" s="34" t="str">
        <f>IFERROR(VLOOKUP(tbLOG[[#This Row],[LOGIN]],tbMAPA[#All],3,0), "Não localizado")</f>
        <v>Reginaldo Santana De Souza</v>
      </c>
      <c r="G1439" s="3" t="s">
        <v>1211</v>
      </c>
      <c r="H1439" s="3" t="s">
        <v>836</v>
      </c>
    </row>
    <row r="1440" spans="1:8">
      <c r="A1440" s="29">
        <v>42744.724988425929</v>
      </c>
      <c r="B1440" s="29" t="str">
        <f>PROPER(TEXT(tbLOG[[#This Row],[DATA/HORA]],"mmmm"))</f>
        <v>Janeiro</v>
      </c>
      <c r="C1440" s="34" t="str">
        <f>PROPER(TEXT(tbLOG[[#This Row],[DATA/HORA]],"dddd"))</f>
        <v>Segunda-Feira</v>
      </c>
      <c r="D1440" s="3" t="s">
        <v>604</v>
      </c>
      <c r="E1440" s="34" t="str">
        <f>IFERROR(VLOOKUP(tbLOG[[#This Row],[LOGIN]],tbMAPA[#All],2,0), "Não localizado")</f>
        <v>Renan Cazumba Tegani</v>
      </c>
      <c r="F1440" s="34" t="str">
        <f>IFERROR(VLOOKUP(tbLOG[[#This Row],[LOGIN]],tbMAPA[#All],3,0), "Não localizado")</f>
        <v>Reginaldo Santana De Souza</v>
      </c>
      <c r="G1440" s="3" t="s">
        <v>1211</v>
      </c>
      <c r="H1440" s="3" t="s">
        <v>836</v>
      </c>
    </row>
    <row r="1441" spans="1:8">
      <c r="A1441" s="29">
        <v>42744.724999999999</v>
      </c>
      <c r="B1441" s="29" t="str">
        <f>PROPER(TEXT(tbLOG[[#This Row],[DATA/HORA]],"mmmm"))</f>
        <v>Janeiro</v>
      </c>
      <c r="C1441" s="34" t="str">
        <f>PROPER(TEXT(tbLOG[[#This Row],[DATA/HORA]],"dddd"))</f>
        <v>Segunda-Feira</v>
      </c>
      <c r="D1441" s="3" t="s">
        <v>604</v>
      </c>
      <c r="E1441" s="34" t="str">
        <f>IFERROR(VLOOKUP(tbLOG[[#This Row],[LOGIN]],tbMAPA[#All],2,0), "Não localizado")</f>
        <v>Renan Cazumba Tegani</v>
      </c>
      <c r="F1441" s="34" t="str">
        <f>IFERROR(VLOOKUP(tbLOG[[#This Row],[LOGIN]],tbMAPA[#All],3,0), "Não localizado")</f>
        <v>Reginaldo Santana De Souza</v>
      </c>
      <c r="G1441" s="3" t="s">
        <v>1211</v>
      </c>
      <c r="H1441" s="3" t="s">
        <v>836</v>
      </c>
    </row>
    <row r="1442" spans="1:8">
      <c r="A1442" s="29">
        <v>42744.725092592591</v>
      </c>
      <c r="B1442" s="29" t="str">
        <f>PROPER(TEXT(tbLOG[[#This Row],[DATA/HORA]],"mmmm"))</f>
        <v>Janeiro</v>
      </c>
      <c r="C1442" s="34" t="str">
        <f>PROPER(TEXT(tbLOG[[#This Row],[DATA/HORA]],"dddd"))</f>
        <v>Segunda-Feira</v>
      </c>
      <c r="D1442" s="3" t="s">
        <v>604</v>
      </c>
      <c r="E1442" s="34" t="str">
        <f>IFERROR(VLOOKUP(tbLOG[[#This Row],[LOGIN]],tbMAPA[#All],2,0), "Não localizado")</f>
        <v>Renan Cazumba Tegani</v>
      </c>
      <c r="F1442" s="34" t="str">
        <f>IFERROR(VLOOKUP(tbLOG[[#This Row],[LOGIN]],tbMAPA[#All],3,0), "Não localizado")</f>
        <v>Reginaldo Santana De Souza</v>
      </c>
      <c r="G1442" s="3" t="s">
        <v>1211</v>
      </c>
      <c r="H1442" s="3" t="s">
        <v>836</v>
      </c>
    </row>
    <row r="1443" spans="1:8">
      <c r="A1443" s="29">
        <v>42744.729305555556</v>
      </c>
      <c r="B1443" s="29" t="str">
        <f>PROPER(TEXT(tbLOG[[#This Row],[DATA/HORA]],"mmmm"))</f>
        <v>Janeiro</v>
      </c>
      <c r="C1443" s="34" t="str">
        <f>PROPER(TEXT(tbLOG[[#This Row],[DATA/HORA]],"dddd"))</f>
        <v>Segunda-Feira</v>
      </c>
      <c r="D1443" s="3" t="s">
        <v>604</v>
      </c>
      <c r="E1443" s="34" t="str">
        <f>IFERROR(VLOOKUP(tbLOG[[#This Row],[LOGIN]],tbMAPA[#All],2,0), "Não localizado")</f>
        <v>Renan Cazumba Tegani</v>
      </c>
      <c r="F1443" s="34" t="str">
        <f>IFERROR(VLOOKUP(tbLOG[[#This Row],[LOGIN]],tbMAPA[#All],3,0), "Não localizado")</f>
        <v>Reginaldo Santana De Souza</v>
      </c>
      <c r="G1443" s="3" t="s">
        <v>1211</v>
      </c>
      <c r="H1443" s="3" t="s">
        <v>836</v>
      </c>
    </row>
    <row r="1444" spans="1:8">
      <c r="A1444" s="29">
        <v>42744.729317129626</v>
      </c>
      <c r="B1444" s="29" t="str">
        <f>PROPER(TEXT(tbLOG[[#This Row],[DATA/HORA]],"mmmm"))</f>
        <v>Janeiro</v>
      </c>
      <c r="C1444" s="34" t="str">
        <f>PROPER(TEXT(tbLOG[[#This Row],[DATA/HORA]],"dddd"))</f>
        <v>Segunda-Feira</v>
      </c>
      <c r="D1444" s="3" t="s">
        <v>604</v>
      </c>
      <c r="E1444" s="34" t="str">
        <f>IFERROR(VLOOKUP(tbLOG[[#This Row],[LOGIN]],tbMAPA[#All],2,0), "Não localizado")</f>
        <v>Renan Cazumba Tegani</v>
      </c>
      <c r="F1444" s="34" t="str">
        <f>IFERROR(VLOOKUP(tbLOG[[#This Row],[LOGIN]],tbMAPA[#All],3,0), "Não localizado")</f>
        <v>Reginaldo Santana De Souza</v>
      </c>
      <c r="G1444" s="3" t="s">
        <v>1211</v>
      </c>
      <c r="H1444" s="3" t="s">
        <v>836</v>
      </c>
    </row>
    <row r="1445" spans="1:8">
      <c r="A1445" s="29">
        <v>42744.729398148149</v>
      </c>
      <c r="B1445" s="29" t="str">
        <f>PROPER(TEXT(tbLOG[[#This Row],[DATA/HORA]],"mmmm"))</f>
        <v>Janeiro</v>
      </c>
      <c r="C1445" s="34" t="str">
        <f>PROPER(TEXT(tbLOG[[#This Row],[DATA/HORA]],"dddd"))</f>
        <v>Segunda-Feira</v>
      </c>
      <c r="D1445" s="3" t="s">
        <v>604</v>
      </c>
      <c r="E1445" s="34" t="str">
        <f>IFERROR(VLOOKUP(tbLOG[[#This Row],[LOGIN]],tbMAPA[#All],2,0), "Não localizado")</f>
        <v>Renan Cazumba Tegani</v>
      </c>
      <c r="F1445" s="34" t="str">
        <f>IFERROR(VLOOKUP(tbLOG[[#This Row],[LOGIN]],tbMAPA[#All],3,0), "Não localizado")</f>
        <v>Reginaldo Santana De Souza</v>
      </c>
      <c r="G1445" s="3" t="s">
        <v>1211</v>
      </c>
      <c r="H1445" s="3" t="s">
        <v>836</v>
      </c>
    </row>
    <row r="1446" spans="1:8">
      <c r="A1446" s="29">
        <v>42744.729432870372</v>
      </c>
      <c r="B1446" s="29" t="str">
        <f>PROPER(TEXT(tbLOG[[#This Row],[DATA/HORA]],"mmmm"))</f>
        <v>Janeiro</v>
      </c>
      <c r="C1446" s="34" t="str">
        <f>PROPER(TEXT(tbLOG[[#This Row],[DATA/HORA]],"dddd"))</f>
        <v>Segunda-Feira</v>
      </c>
      <c r="D1446" s="3" t="s">
        <v>604</v>
      </c>
      <c r="E1446" s="34" t="str">
        <f>IFERROR(VLOOKUP(tbLOG[[#This Row],[LOGIN]],tbMAPA[#All],2,0), "Não localizado")</f>
        <v>Renan Cazumba Tegani</v>
      </c>
      <c r="F1446" s="34" t="str">
        <f>IFERROR(VLOOKUP(tbLOG[[#This Row],[LOGIN]],tbMAPA[#All],3,0), "Não localizado")</f>
        <v>Reginaldo Santana De Souza</v>
      </c>
      <c r="G1446" s="3" t="s">
        <v>1211</v>
      </c>
      <c r="H1446" s="3" t="s">
        <v>836</v>
      </c>
    </row>
    <row r="1447" spans="1:8">
      <c r="A1447" s="29">
        <v>42744.729618055557</v>
      </c>
      <c r="B1447" s="29" t="str">
        <f>PROPER(TEXT(tbLOG[[#This Row],[DATA/HORA]],"mmmm"))</f>
        <v>Janeiro</v>
      </c>
      <c r="C1447" s="34" t="str">
        <f>PROPER(TEXT(tbLOG[[#This Row],[DATA/HORA]],"dddd"))</f>
        <v>Segunda-Feira</v>
      </c>
      <c r="D1447" s="3" t="s">
        <v>604</v>
      </c>
      <c r="E1447" s="34" t="str">
        <f>IFERROR(VLOOKUP(tbLOG[[#This Row],[LOGIN]],tbMAPA[#All],2,0), "Não localizado")</f>
        <v>Renan Cazumba Tegani</v>
      </c>
      <c r="F1447" s="34" t="str">
        <f>IFERROR(VLOOKUP(tbLOG[[#This Row],[LOGIN]],tbMAPA[#All],3,0), "Não localizado")</f>
        <v>Reginaldo Santana De Souza</v>
      </c>
      <c r="G1447" s="3" t="s">
        <v>1211</v>
      </c>
      <c r="H1447" s="3" t="s">
        <v>290</v>
      </c>
    </row>
    <row r="1448" spans="1:8">
      <c r="A1448" s="29">
        <v>42744.731307870374</v>
      </c>
      <c r="B1448" s="29" t="str">
        <f>PROPER(TEXT(tbLOG[[#This Row],[DATA/HORA]],"mmmm"))</f>
        <v>Janeiro</v>
      </c>
      <c r="C1448" s="34" t="str">
        <f>PROPER(TEXT(tbLOG[[#This Row],[DATA/HORA]],"dddd"))</f>
        <v>Segunda-Feira</v>
      </c>
      <c r="D1448" s="3" t="s">
        <v>604</v>
      </c>
      <c r="E1448" s="34" t="str">
        <f>IFERROR(VLOOKUP(tbLOG[[#This Row],[LOGIN]],tbMAPA[#All],2,0), "Não localizado")</f>
        <v>Renan Cazumba Tegani</v>
      </c>
      <c r="F1448" s="34" t="str">
        <f>IFERROR(VLOOKUP(tbLOG[[#This Row],[LOGIN]],tbMAPA[#All],3,0), "Não localizado")</f>
        <v>Reginaldo Santana De Souza</v>
      </c>
      <c r="G1448" s="3" t="s">
        <v>1211</v>
      </c>
      <c r="H1448" s="3" t="s">
        <v>836</v>
      </c>
    </row>
    <row r="1449" spans="1:8">
      <c r="A1449" s="29">
        <v>42744.731423611112</v>
      </c>
      <c r="B1449" s="29" t="str">
        <f>PROPER(TEXT(tbLOG[[#This Row],[DATA/HORA]],"mmmm"))</f>
        <v>Janeiro</v>
      </c>
      <c r="C1449" s="34" t="str">
        <f>PROPER(TEXT(tbLOG[[#This Row],[DATA/HORA]],"dddd"))</f>
        <v>Segunda-Feira</v>
      </c>
      <c r="D1449" s="3" t="s">
        <v>604</v>
      </c>
      <c r="E1449" s="34" t="str">
        <f>IFERROR(VLOOKUP(tbLOG[[#This Row],[LOGIN]],tbMAPA[#All],2,0), "Não localizado")</f>
        <v>Renan Cazumba Tegani</v>
      </c>
      <c r="F1449" s="34" t="str">
        <f>IFERROR(VLOOKUP(tbLOG[[#This Row],[LOGIN]],tbMAPA[#All],3,0), "Não localizado")</f>
        <v>Reginaldo Santana De Souza</v>
      </c>
      <c r="G1449" s="3" t="s">
        <v>1211</v>
      </c>
      <c r="H1449" s="3" t="s">
        <v>836</v>
      </c>
    </row>
    <row r="1450" spans="1:8">
      <c r="A1450" s="29">
        <v>42744.733414351853</v>
      </c>
      <c r="B1450" s="29" t="str">
        <f>PROPER(TEXT(tbLOG[[#This Row],[DATA/HORA]],"mmmm"))</f>
        <v>Janeiro</v>
      </c>
      <c r="C1450" s="34" t="str">
        <f>PROPER(TEXT(tbLOG[[#This Row],[DATA/HORA]],"dddd"))</f>
        <v>Segunda-Feira</v>
      </c>
      <c r="D1450" s="3" t="s">
        <v>604</v>
      </c>
      <c r="E1450" s="34" t="str">
        <f>IFERROR(VLOOKUP(tbLOG[[#This Row],[LOGIN]],tbMAPA[#All],2,0), "Não localizado")</f>
        <v>Renan Cazumba Tegani</v>
      </c>
      <c r="F1450" s="34" t="str">
        <f>IFERROR(VLOOKUP(tbLOG[[#This Row],[LOGIN]],tbMAPA[#All],3,0), "Não localizado")</f>
        <v>Reginaldo Santana De Souza</v>
      </c>
      <c r="G1450" s="3" t="s">
        <v>1211</v>
      </c>
      <c r="H1450" s="3" t="s">
        <v>836</v>
      </c>
    </row>
    <row r="1451" spans="1:8">
      <c r="A1451" s="29">
        <v>42744.733437499999</v>
      </c>
      <c r="B1451" s="29" t="str">
        <f>PROPER(TEXT(tbLOG[[#This Row],[DATA/HORA]],"mmmm"))</f>
        <v>Janeiro</v>
      </c>
      <c r="C1451" s="34" t="str">
        <f>PROPER(TEXT(tbLOG[[#This Row],[DATA/HORA]],"dddd"))</f>
        <v>Segunda-Feira</v>
      </c>
      <c r="D1451" s="3" t="s">
        <v>604</v>
      </c>
      <c r="E1451" s="34" t="str">
        <f>IFERROR(VLOOKUP(tbLOG[[#This Row],[LOGIN]],tbMAPA[#All],2,0), "Não localizado")</f>
        <v>Renan Cazumba Tegani</v>
      </c>
      <c r="F1451" s="34" t="str">
        <f>IFERROR(VLOOKUP(tbLOG[[#This Row],[LOGIN]],tbMAPA[#All],3,0), "Não localizado")</f>
        <v>Reginaldo Santana De Souza</v>
      </c>
      <c r="G1451" s="3" t="s">
        <v>1211</v>
      </c>
      <c r="H1451" s="3" t="s">
        <v>836</v>
      </c>
    </row>
    <row r="1452" spans="1:8">
      <c r="A1452" s="29">
        <v>42744.733518518522</v>
      </c>
      <c r="B1452" s="29" t="str">
        <f>PROPER(TEXT(tbLOG[[#This Row],[DATA/HORA]],"mmmm"))</f>
        <v>Janeiro</v>
      </c>
      <c r="C1452" s="34" t="str">
        <f>PROPER(TEXT(tbLOG[[#This Row],[DATA/HORA]],"dddd"))</f>
        <v>Segunda-Feira</v>
      </c>
      <c r="D1452" s="3" t="s">
        <v>604</v>
      </c>
      <c r="E1452" s="34" t="str">
        <f>IFERROR(VLOOKUP(tbLOG[[#This Row],[LOGIN]],tbMAPA[#All],2,0), "Não localizado")</f>
        <v>Renan Cazumba Tegani</v>
      </c>
      <c r="F1452" s="34" t="str">
        <f>IFERROR(VLOOKUP(tbLOG[[#This Row],[LOGIN]],tbMAPA[#All],3,0), "Não localizado")</f>
        <v>Reginaldo Santana De Souza</v>
      </c>
      <c r="G1452" s="3" t="s">
        <v>1211</v>
      </c>
      <c r="H1452" s="3" t="s">
        <v>836</v>
      </c>
    </row>
    <row r="1453" spans="1:8">
      <c r="A1453" s="29">
        <v>42744.7341087963</v>
      </c>
      <c r="B1453" s="29" t="str">
        <f>PROPER(TEXT(tbLOG[[#This Row],[DATA/HORA]],"mmmm"))</f>
        <v>Janeiro</v>
      </c>
      <c r="C1453" s="34" t="str">
        <f>PROPER(TEXT(tbLOG[[#This Row],[DATA/HORA]],"dddd"))</f>
        <v>Segunda-Feira</v>
      </c>
      <c r="D1453" s="3" t="s">
        <v>604</v>
      </c>
      <c r="E1453" s="34" t="str">
        <f>IFERROR(VLOOKUP(tbLOG[[#This Row],[LOGIN]],tbMAPA[#All],2,0), "Não localizado")</f>
        <v>Renan Cazumba Tegani</v>
      </c>
      <c r="F1453" s="34" t="str">
        <f>IFERROR(VLOOKUP(tbLOG[[#This Row],[LOGIN]],tbMAPA[#All],3,0), "Não localizado")</f>
        <v>Reginaldo Santana De Souza</v>
      </c>
      <c r="G1453" s="3" t="s">
        <v>1211</v>
      </c>
      <c r="H1453" s="3" t="s">
        <v>836</v>
      </c>
    </row>
    <row r="1454" spans="1:8">
      <c r="A1454" s="29">
        <v>42744.734120370369</v>
      </c>
      <c r="B1454" s="29" t="str">
        <f>PROPER(TEXT(tbLOG[[#This Row],[DATA/HORA]],"mmmm"))</f>
        <v>Janeiro</v>
      </c>
      <c r="C1454" s="34" t="str">
        <f>PROPER(TEXT(tbLOG[[#This Row],[DATA/HORA]],"dddd"))</f>
        <v>Segunda-Feira</v>
      </c>
      <c r="D1454" s="3" t="s">
        <v>604</v>
      </c>
      <c r="E1454" s="34" t="str">
        <f>IFERROR(VLOOKUP(tbLOG[[#This Row],[LOGIN]],tbMAPA[#All],2,0), "Não localizado")</f>
        <v>Renan Cazumba Tegani</v>
      </c>
      <c r="F1454" s="34" t="str">
        <f>IFERROR(VLOOKUP(tbLOG[[#This Row],[LOGIN]],tbMAPA[#All],3,0), "Não localizado")</f>
        <v>Reginaldo Santana De Souza</v>
      </c>
      <c r="G1454" s="3" t="s">
        <v>1211</v>
      </c>
      <c r="H1454" s="3" t="s">
        <v>836</v>
      </c>
    </row>
    <row r="1455" spans="1:8">
      <c r="A1455" s="29">
        <v>42744.734189814815</v>
      </c>
      <c r="B1455" s="29" t="str">
        <f>PROPER(TEXT(tbLOG[[#This Row],[DATA/HORA]],"mmmm"))</f>
        <v>Janeiro</v>
      </c>
      <c r="C1455" s="34" t="str">
        <f>PROPER(TEXT(tbLOG[[#This Row],[DATA/HORA]],"dddd"))</f>
        <v>Segunda-Feira</v>
      </c>
      <c r="D1455" s="3" t="s">
        <v>604</v>
      </c>
      <c r="E1455" s="34" t="str">
        <f>IFERROR(VLOOKUP(tbLOG[[#This Row],[LOGIN]],tbMAPA[#All],2,0), "Não localizado")</f>
        <v>Renan Cazumba Tegani</v>
      </c>
      <c r="F1455" s="34" t="str">
        <f>IFERROR(VLOOKUP(tbLOG[[#This Row],[LOGIN]],tbMAPA[#All],3,0), "Não localizado")</f>
        <v>Reginaldo Santana De Souza</v>
      </c>
      <c r="G1455" s="3" t="s">
        <v>1211</v>
      </c>
      <c r="H1455" s="3" t="s">
        <v>836</v>
      </c>
    </row>
    <row r="1456" spans="1:8">
      <c r="A1456" s="29">
        <v>42744.73542824074</v>
      </c>
      <c r="B1456" s="29" t="str">
        <f>PROPER(TEXT(tbLOG[[#This Row],[DATA/HORA]],"mmmm"))</f>
        <v>Janeiro</v>
      </c>
      <c r="C1456" s="34" t="str">
        <f>PROPER(TEXT(tbLOG[[#This Row],[DATA/HORA]],"dddd"))</f>
        <v>Segunda-Feira</v>
      </c>
      <c r="D1456" s="3" t="s">
        <v>604</v>
      </c>
      <c r="E1456" s="34" t="str">
        <f>IFERROR(VLOOKUP(tbLOG[[#This Row],[LOGIN]],tbMAPA[#All],2,0), "Não localizado")</f>
        <v>Renan Cazumba Tegani</v>
      </c>
      <c r="F1456" s="34" t="str">
        <f>IFERROR(VLOOKUP(tbLOG[[#This Row],[LOGIN]],tbMAPA[#All],3,0), "Não localizado")</f>
        <v>Reginaldo Santana De Souza</v>
      </c>
      <c r="G1456" s="3" t="s">
        <v>1211</v>
      </c>
      <c r="H1456" s="3" t="s">
        <v>836</v>
      </c>
    </row>
    <row r="1457" spans="1:8">
      <c r="A1457" s="29">
        <v>42744.737233796295</v>
      </c>
      <c r="B1457" s="29" t="str">
        <f>PROPER(TEXT(tbLOG[[#This Row],[DATA/HORA]],"mmmm"))</f>
        <v>Janeiro</v>
      </c>
      <c r="C1457" s="34" t="str">
        <f>PROPER(TEXT(tbLOG[[#This Row],[DATA/HORA]],"dddd"))</f>
        <v>Segunda-Feira</v>
      </c>
      <c r="D1457" s="3" t="s">
        <v>604</v>
      </c>
      <c r="E1457" s="34" t="str">
        <f>IFERROR(VLOOKUP(tbLOG[[#This Row],[LOGIN]],tbMAPA[#All],2,0), "Não localizado")</f>
        <v>Renan Cazumba Tegani</v>
      </c>
      <c r="F1457" s="34" t="str">
        <f>IFERROR(VLOOKUP(tbLOG[[#This Row],[LOGIN]],tbMAPA[#All],3,0), "Não localizado")</f>
        <v>Reginaldo Santana De Souza</v>
      </c>
      <c r="G1457" s="3" t="s">
        <v>1211</v>
      </c>
      <c r="H1457" s="3" t="s">
        <v>836</v>
      </c>
    </row>
    <row r="1458" spans="1:8">
      <c r="A1458" s="29">
        <v>42744.737256944441</v>
      </c>
      <c r="B1458" s="29" t="str">
        <f>PROPER(TEXT(tbLOG[[#This Row],[DATA/HORA]],"mmmm"))</f>
        <v>Janeiro</v>
      </c>
      <c r="C1458" s="34" t="str">
        <f>PROPER(TEXT(tbLOG[[#This Row],[DATA/HORA]],"dddd"))</f>
        <v>Segunda-Feira</v>
      </c>
      <c r="D1458" s="3" t="s">
        <v>604</v>
      </c>
      <c r="E1458" s="34" t="str">
        <f>IFERROR(VLOOKUP(tbLOG[[#This Row],[LOGIN]],tbMAPA[#All],2,0), "Não localizado")</f>
        <v>Renan Cazumba Tegani</v>
      </c>
      <c r="F1458" s="34" t="str">
        <f>IFERROR(VLOOKUP(tbLOG[[#This Row],[LOGIN]],tbMAPA[#All],3,0), "Não localizado")</f>
        <v>Reginaldo Santana De Souza</v>
      </c>
      <c r="G1458" s="3" t="s">
        <v>1211</v>
      </c>
      <c r="H1458" s="3" t="s">
        <v>836</v>
      </c>
    </row>
    <row r="1459" spans="1:8">
      <c r="A1459" s="29">
        <v>42744.737442129626</v>
      </c>
      <c r="B1459" s="29" t="str">
        <f>PROPER(TEXT(tbLOG[[#This Row],[DATA/HORA]],"mmmm"))</f>
        <v>Janeiro</v>
      </c>
      <c r="C1459" s="34" t="str">
        <f>PROPER(TEXT(tbLOG[[#This Row],[DATA/HORA]],"dddd"))</f>
        <v>Segunda-Feira</v>
      </c>
      <c r="D1459" s="3" t="s">
        <v>604</v>
      </c>
      <c r="E1459" s="34" t="str">
        <f>IFERROR(VLOOKUP(tbLOG[[#This Row],[LOGIN]],tbMAPA[#All],2,0), "Não localizado")</f>
        <v>Renan Cazumba Tegani</v>
      </c>
      <c r="F1459" s="34" t="str">
        <f>IFERROR(VLOOKUP(tbLOG[[#This Row],[LOGIN]],tbMAPA[#All],3,0), "Não localizado")</f>
        <v>Reginaldo Santana De Souza</v>
      </c>
      <c r="G1459" s="3" t="s">
        <v>1211</v>
      </c>
      <c r="H1459" s="3" t="s">
        <v>836</v>
      </c>
    </row>
    <row r="1460" spans="1:8">
      <c r="A1460" s="29">
        <v>42744.73982638889</v>
      </c>
      <c r="B1460" s="29" t="str">
        <f>PROPER(TEXT(tbLOG[[#This Row],[DATA/HORA]],"mmmm"))</f>
        <v>Janeiro</v>
      </c>
      <c r="C1460" s="34" t="str">
        <f>PROPER(TEXT(tbLOG[[#This Row],[DATA/HORA]],"dddd"))</f>
        <v>Segunda-Feira</v>
      </c>
      <c r="D1460" s="3" t="s">
        <v>604</v>
      </c>
      <c r="E1460" s="34" t="str">
        <f>IFERROR(VLOOKUP(tbLOG[[#This Row],[LOGIN]],tbMAPA[#All],2,0), "Não localizado")</f>
        <v>Renan Cazumba Tegani</v>
      </c>
      <c r="F1460" s="34" t="str">
        <f>IFERROR(VLOOKUP(tbLOG[[#This Row],[LOGIN]],tbMAPA[#All],3,0), "Não localizado")</f>
        <v>Reginaldo Santana De Souza</v>
      </c>
      <c r="G1460" s="3" t="s">
        <v>1211</v>
      </c>
      <c r="H1460" s="3" t="s">
        <v>836</v>
      </c>
    </row>
    <row r="1461" spans="1:8">
      <c r="A1461" s="29">
        <v>42744.743148148147</v>
      </c>
      <c r="B1461" s="29" t="str">
        <f>PROPER(TEXT(tbLOG[[#This Row],[DATA/HORA]],"mmmm"))</f>
        <v>Janeiro</v>
      </c>
      <c r="C1461" s="34" t="str">
        <f>PROPER(TEXT(tbLOG[[#This Row],[DATA/HORA]],"dddd"))</f>
        <v>Segunda-Feira</v>
      </c>
      <c r="D1461" s="3" t="s">
        <v>604</v>
      </c>
      <c r="E1461" s="34" t="str">
        <f>IFERROR(VLOOKUP(tbLOG[[#This Row],[LOGIN]],tbMAPA[#All],2,0), "Não localizado")</f>
        <v>Renan Cazumba Tegani</v>
      </c>
      <c r="F1461" s="34" t="str">
        <f>IFERROR(VLOOKUP(tbLOG[[#This Row],[LOGIN]],tbMAPA[#All],3,0), "Não localizado")</f>
        <v>Reginaldo Santana De Souza</v>
      </c>
      <c r="G1461" s="3" t="s">
        <v>1211</v>
      </c>
      <c r="H1461" s="3" t="s">
        <v>836</v>
      </c>
    </row>
    <row r="1462" spans="1:8">
      <c r="A1462" s="29">
        <v>42744.743171296293</v>
      </c>
      <c r="B1462" s="29" t="str">
        <f>PROPER(TEXT(tbLOG[[#This Row],[DATA/HORA]],"mmmm"))</f>
        <v>Janeiro</v>
      </c>
      <c r="C1462" s="34" t="str">
        <f>PROPER(TEXT(tbLOG[[#This Row],[DATA/HORA]],"dddd"))</f>
        <v>Segunda-Feira</v>
      </c>
      <c r="D1462" s="3" t="s">
        <v>604</v>
      </c>
      <c r="E1462" s="34" t="str">
        <f>IFERROR(VLOOKUP(tbLOG[[#This Row],[LOGIN]],tbMAPA[#All],2,0), "Não localizado")</f>
        <v>Renan Cazumba Tegani</v>
      </c>
      <c r="F1462" s="34" t="str">
        <f>IFERROR(VLOOKUP(tbLOG[[#This Row],[LOGIN]],tbMAPA[#All],3,0), "Não localizado")</f>
        <v>Reginaldo Santana De Souza</v>
      </c>
      <c r="G1462" s="3" t="s">
        <v>1211</v>
      </c>
      <c r="H1462" s="3" t="s">
        <v>836</v>
      </c>
    </row>
    <row r="1463" spans="1:8">
      <c r="A1463" s="29">
        <v>42744.743310185186</v>
      </c>
      <c r="B1463" s="29" t="str">
        <f>PROPER(TEXT(tbLOG[[#This Row],[DATA/HORA]],"mmmm"))</f>
        <v>Janeiro</v>
      </c>
      <c r="C1463" s="34" t="str">
        <f>PROPER(TEXT(tbLOG[[#This Row],[DATA/HORA]],"dddd"))</f>
        <v>Segunda-Feira</v>
      </c>
      <c r="D1463" s="3" t="s">
        <v>604</v>
      </c>
      <c r="E1463" s="34" t="str">
        <f>IFERROR(VLOOKUP(tbLOG[[#This Row],[LOGIN]],tbMAPA[#All],2,0), "Não localizado")</f>
        <v>Renan Cazumba Tegani</v>
      </c>
      <c r="F1463" s="34" t="str">
        <f>IFERROR(VLOOKUP(tbLOG[[#This Row],[LOGIN]],tbMAPA[#All],3,0), "Não localizado")</f>
        <v>Reginaldo Santana De Souza</v>
      </c>
      <c r="G1463" s="3" t="s">
        <v>1211</v>
      </c>
      <c r="H1463" s="3" t="s">
        <v>836</v>
      </c>
    </row>
    <row r="1464" spans="1:8">
      <c r="A1464" s="29">
        <v>42744.743437500001</v>
      </c>
      <c r="B1464" s="29" t="str">
        <f>PROPER(TEXT(tbLOG[[#This Row],[DATA/HORA]],"mmmm"))</f>
        <v>Janeiro</v>
      </c>
      <c r="C1464" s="34" t="str">
        <f>PROPER(TEXT(tbLOG[[#This Row],[DATA/HORA]],"dddd"))</f>
        <v>Segunda-Feira</v>
      </c>
      <c r="D1464" s="3" t="s">
        <v>604</v>
      </c>
      <c r="E1464" s="34" t="str">
        <f>IFERROR(VLOOKUP(tbLOG[[#This Row],[LOGIN]],tbMAPA[#All],2,0), "Não localizado")</f>
        <v>Renan Cazumba Tegani</v>
      </c>
      <c r="F1464" s="34" t="str">
        <f>IFERROR(VLOOKUP(tbLOG[[#This Row],[LOGIN]],tbMAPA[#All],3,0), "Não localizado")</f>
        <v>Reginaldo Santana De Souza</v>
      </c>
      <c r="G1464" s="3" t="s">
        <v>1211</v>
      </c>
      <c r="H1464" s="3" t="s">
        <v>836</v>
      </c>
    </row>
    <row r="1465" spans="1:8">
      <c r="A1465" s="29">
        <v>42744.743449074071</v>
      </c>
      <c r="B1465" s="29" t="str">
        <f>PROPER(TEXT(tbLOG[[#This Row],[DATA/HORA]],"mmmm"))</f>
        <v>Janeiro</v>
      </c>
      <c r="C1465" s="34" t="str">
        <f>PROPER(TEXT(tbLOG[[#This Row],[DATA/HORA]],"dddd"))</f>
        <v>Segunda-Feira</v>
      </c>
      <c r="D1465" s="3" t="s">
        <v>604</v>
      </c>
      <c r="E1465" s="34" t="str">
        <f>IFERROR(VLOOKUP(tbLOG[[#This Row],[LOGIN]],tbMAPA[#All],2,0), "Não localizado")</f>
        <v>Renan Cazumba Tegani</v>
      </c>
      <c r="F1465" s="34" t="str">
        <f>IFERROR(VLOOKUP(tbLOG[[#This Row],[LOGIN]],tbMAPA[#All],3,0), "Não localizado")</f>
        <v>Reginaldo Santana De Souza</v>
      </c>
      <c r="G1465" s="3" t="s">
        <v>1211</v>
      </c>
      <c r="H1465" s="3" t="s">
        <v>290</v>
      </c>
    </row>
    <row r="1466" spans="1:8">
      <c r="A1466" s="29">
        <v>42744.743483796294</v>
      </c>
      <c r="B1466" s="29" t="str">
        <f>PROPER(TEXT(tbLOG[[#This Row],[DATA/HORA]],"mmmm"))</f>
        <v>Janeiro</v>
      </c>
      <c r="C1466" s="34" t="str">
        <f>PROPER(TEXT(tbLOG[[#This Row],[DATA/HORA]],"dddd"))</f>
        <v>Segunda-Feira</v>
      </c>
      <c r="D1466" s="3" t="s">
        <v>604</v>
      </c>
      <c r="E1466" s="34" t="str">
        <f>IFERROR(VLOOKUP(tbLOG[[#This Row],[LOGIN]],tbMAPA[#All],2,0), "Não localizado")</f>
        <v>Renan Cazumba Tegani</v>
      </c>
      <c r="F1466" s="34" t="str">
        <f>IFERROR(VLOOKUP(tbLOG[[#This Row],[LOGIN]],tbMAPA[#All],3,0), "Não localizado")</f>
        <v>Reginaldo Santana De Souza</v>
      </c>
      <c r="G1466" s="3" t="s">
        <v>1211</v>
      </c>
      <c r="H1466" s="3" t="s">
        <v>836</v>
      </c>
    </row>
    <row r="1467" spans="1:8">
      <c r="A1467" s="29">
        <v>42744.743506944447</v>
      </c>
      <c r="B1467" s="29" t="str">
        <f>PROPER(TEXT(tbLOG[[#This Row],[DATA/HORA]],"mmmm"))</f>
        <v>Janeiro</v>
      </c>
      <c r="C1467" s="34" t="str">
        <f>PROPER(TEXT(tbLOG[[#This Row],[DATA/HORA]],"dddd"))</f>
        <v>Segunda-Feira</v>
      </c>
      <c r="D1467" s="3" t="s">
        <v>604</v>
      </c>
      <c r="E1467" s="34" t="str">
        <f>IFERROR(VLOOKUP(tbLOG[[#This Row],[LOGIN]],tbMAPA[#All],2,0), "Não localizado")</f>
        <v>Renan Cazumba Tegani</v>
      </c>
      <c r="F1467" s="34" t="str">
        <f>IFERROR(VLOOKUP(tbLOG[[#This Row],[LOGIN]],tbMAPA[#All],3,0), "Não localizado")</f>
        <v>Reginaldo Santana De Souza</v>
      </c>
      <c r="G1467" s="3" t="s">
        <v>1211</v>
      </c>
      <c r="H1467" s="3" t="s">
        <v>836</v>
      </c>
    </row>
    <row r="1468" spans="1:8">
      <c r="A1468" s="29">
        <v>42744.743530092594</v>
      </c>
      <c r="B1468" s="29" t="str">
        <f>PROPER(TEXT(tbLOG[[#This Row],[DATA/HORA]],"mmmm"))</f>
        <v>Janeiro</v>
      </c>
      <c r="C1468" s="34" t="str">
        <f>PROPER(TEXT(tbLOG[[#This Row],[DATA/HORA]],"dddd"))</f>
        <v>Segunda-Feira</v>
      </c>
      <c r="D1468" s="3" t="s">
        <v>604</v>
      </c>
      <c r="E1468" s="34" t="str">
        <f>IFERROR(VLOOKUP(tbLOG[[#This Row],[LOGIN]],tbMAPA[#All],2,0), "Não localizado")</f>
        <v>Renan Cazumba Tegani</v>
      </c>
      <c r="F1468" s="34" t="str">
        <f>IFERROR(VLOOKUP(tbLOG[[#This Row],[LOGIN]],tbMAPA[#All],3,0), "Não localizado")</f>
        <v>Reginaldo Santana De Souza</v>
      </c>
      <c r="G1468" s="3" t="s">
        <v>1211</v>
      </c>
      <c r="H1468" s="3" t="s">
        <v>836</v>
      </c>
    </row>
    <row r="1469" spans="1:8">
      <c r="A1469" s="29">
        <v>42744.743564814817</v>
      </c>
      <c r="B1469" s="29" t="str">
        <f>PROPER(TEXT(tbLOG[[#This Row],[DATA/HORA]],"mmmm"))</f>
        <v>Janeiro</v>
      </c>
      <c r="C1469" s="34" t="str">
        <f>PROPER(TEXT(tbLOG[[#This Row],[DATA/HORA]],"dddd"))</f>
        <v>Segunda-Feira</v>
      </c>
      <c r="D1469" s="3" t="s">
        <v>604</v>
      </c>
      <c r="E1469" s="34" t="str">
        <f>IFERROR(VLOOKUP(tbLOG[[#This Row],[LOGIN]],tbMAPA[#All],2,0), "Não localizado")</f>
        <v>Renan Cazumba Tegani</v>
      </c>
      <c r="F1469" s="34" t="str">
        <f>IFERROR(VLOOKUP(tbLOG[[#This Row],[LOGIN]],tbMAPA[#All],3,0), "Não localizado")</f>
        <v>Reginaldo Santana De Souza</v>
      </c>
      <c r="G1469" s="3" t="s">
        <v>1211</v>
      </c>
      <c r="H1469" s="3" t="s">
        <v>836</v>
      </c>
    </row>
    <row r="1470" spans="1:8">
      <c r="A1470" s="29">
        <v>42744.74359953704</v>
      </c>
      <c r="B1470" s="29" t="str">
        <f>PROPER(TEXT(tbLOG[[#This Row],[DATA/HORA]],"mmmm"))</f>
        <v>Janeiro</v>
      </c>
      <c r="C1470" s="34" t="str">
        <f>PROPER(TEXT(tbLOG[[#This Row],[DATA/HORA]],"dddd"))</f>
        <v>Segunda-Feira</v>
      </c>
      <c r="D1470" s="3" t="s">
        <v>604</v>
      </c>
      <c r="E1470" s="34" t="str">
        <f>IFERROR(VLOOKUP(tbLOG[[#This Row],[LOGIN]],tbMAPA[#All],2,0), "Não localizado")</f>
        <v>Renan Cazumba Tegani</v>
      </c>
      <c r="F1470" s="34" t="str">
        <f>IFERROR(VLOOKUP(tbLOG[[#This Row],[LOGIN]],tbMAPA[#All],3,0), "Não localizado")</f>
        <v>Reginaldo Santana De Souza</v>
      </c>
      <c r="G1470" s="3" t="s">
        <v>1211</v>
      </c>
      <c r="H1470" s="3" t="s">
        <v>836</v>
      </c>
    </row>
    <row r="1471" spans="1:8">
      <c r="A1471" s="29">
        <v>42744.743622685186</v>
      </c>
      <c r="B1471" s="29" t="str">
        <f>PROPER(TEXT(tbLOG[[#This Row],[DATA/HORA]],"mmmm"))</f>
        <v>Janeiro</v>
      </c>
      <c r="C1471" s="34" t="str">
        <f>PROPER(TEXT(tbLOG[[#This Row],[DATA/HORA]],"dddd"))</f>
        <v>Segunda-Feira</v>
      </c>
      <c r="D1471" s="3" t="s">
        <v>604</v>
      </c>
      <c r="E1471" s="34" t="str">
        <f>IFERROR(VLOOKUP(tbLOG[[#This Row],[LOGIN]],tbMAPA[#All],2,0), "Não localizado")</f>
        <v>Renan Cazumba Tegani</v>
      </c>
      <c r="F1471" s="34" t="str">
        <f>IFERROR(VLOOKUP(tbLOG[[#This Row],[LOGIN]],tbMAPA[#All],3,0), "Não localizado")</f>
        <v>Reginaldo Santana De Souza</v>
      </c>
      <c r="G1471" s="3" t="s">
        <v>1211</v>
      </c>
      <c r="H1471" s="3" t="s">
        <v>836</v>
      </c>
    </row>
    <row r="1472" spans="1:8">
      <c r="A1472" s="29">
        <v>42744.743645833332</v>
      </c>
      <c r="B1472" s="29" t="str">
        <f>PROPER(TEXT(tbLOG[[#This Row],[DATA/HORA]],"mmmm"))</f>
        <v>Janeiro</v>
      </c>
      <c r="C1472" s="34" t="str">
        <f>PROPER(TEXT(tbLOG[[#This Row],[DATA/HORA]],"dddd"))</f>
        <v>Segunda-Feira</v>
      </c>
      <c r="D1472" s="3" t="s">
        <v>604</v>
      </c>
      <c r="E1472" s="34" t="str">
        <f>IFERROR(VLOOKUP(tbLOG[[#This Row],[LOGIN]],tbMAPA[#All],2,0), "Não localizado")</f>
        <v>Renan Cazumba Tegani</v>
      </c>
      <c r="F1472" s="34" t="str">
        <f>IFERROR(VLOOKUP(tbLOG[[#This Row],[LOGIN]],tbMAPA[#All],3,0), "Não localizado")</f>
        <v>Reginaldo Santana De Souza</v>
      </c>
      <c r="G1472" s="3" t="s">
        <v>1211</v>
      </c>
      <c r="H1472" s="3" t="s">
        <v>836</v>
      </c>
    </row>
    <row r="1473" spans="1:8">
      <c r="A1473" s="29">
        <v>42744.743680555555</v>
      </c>
      <c r="B1473" s="29" t="str">
        <f>PROPER(TEXT(tbLOG[[#This Row],[DATA/HORA]],"mmmm"))</f>
        <v>Janeiro</v>
      </c>
      <c r="C1473" s="34" t="str">
        <f>PROPER(TEXT(tbLOG[[#This Row],[DATA/HORA]],"dddd"))</f>
        <v>Segunda-Feira</v>
      </c>
      <c r="D1473" s="3" t="s">
        <v>604</v>
      </c>
      <c r="E1473" s="34" t="str">
        <f>IFERROR(VLOOKUP(tbLOG[[#This Row],[LOGIN]],tbMAPA[#All],2,0), "Não localizado")</f>
        <v>Renan Cazumba Tegani</v>
      </c>
      <c r="F1473" s="34" t="str">
        <f>IFERROR(VLOOKUP(tbLOG[[#This Row],[LOGIN]],tbMAPA[#All],3,0), "Não localizado")</f>
        <v>Reginaldo Santana De Souza</v>
      </c>
      <c r="G1473" s="3" t="s">
        <v>1211</v>
      </c>
      <c r="H1473" s="3" t="s">
        <v>290</v>
      </c>
    </row>
    <row r="1474" spans="1:8">
      <c r="A1474" s="29">
        <v>42744.743796296294</v>
      </c>
      <c r="B1474" s="29" t="str">
        <f>PROPER(TEXT(tbLOG[[#This Row],[DATA/HORA]],"mmmm"))</f>
        <v>Janeiro</v>
      </c>
      <c r="C1474" s="34" t="str">
        <f>PROPER(TEXT(tbLOG[[#This Row],[DATA/HORA]],"dddd"))</f>
        <v>Segunda-Feira</v>
      </c>
      <c r="D1474" s="3" t="s">
        <v>604</v>
      </c>
      <c r="E1474" s="34" t="str">
        <f>IFERROR(VLOOKUP(tbLOG[[#This Row],[LOGIN]],tbMAPA[#All],2,0), "Não localizado")</f>
        <v>Renan Cazumba Tegani</v>
      </c>
      <c r="F1474" s="34" t="str">
        <f>IFERROR(VLOOKUP(tbLOG[[#This Row],[LOGIN]],tbMAPA[#All],3,0), "Não localizado")</f>
        <v>Reginaldo Santana De Souza</v>
      </c>
      <c r="G1474" s="3" t="s">
        <v>1211</v>
      </c>
      <c r="H1474" s="3" t="s">
        <v>836</v>
      </c>
    </row>
    <row r="1475" spans="1:8">
      <c r="A1475" s="29">
        <v>42744.743807870371</v>
      </c>
      <c r="B1475" s="29" t="str">
        <f>PROPER(TEXT(tbLOG[[#This Row],[DATA/HORA]],"mmmm"))</f>
        <v>Janeiro</v>
      </c>
      <c r="C1475" s="34" t="str">
        <f>PROPER(TEXT(tbLOG[[#This Row],[DATA/HORA]],"dddd"))</f>
        <v>Segunda-Feira</v>
      </c>
      <c r="D1475" s="3" t="s">
        <v>604</v>
      </c>
      <c r="E1475" s="34" t="str">
        <f>IFERROR(VLOOKUP(tbLOG[[#This Row],[LOGIN]],tbMAPA[#All],2,0), "Não localizado")</f>
        <v>Renan Cazumba Tegani</v>
      </c>
      <c r="F1475" s="34" t="str">
        <f>IFERROR(VLOOKUP(tbLOG[[#This Row],[LOGIN]],tbMAPA[#All],3,0), "Não localizado")</f>
        <v>Reginaldo Santana De Souza</v>
      </c>
      <c r="G1475" s="3" t="s">
        <v>1211</v>
      </c>
      <c r="H1475" s="3" t="s">
        <v>836</v>
      </c>
    </row>
    <row r="1476" spans="1:8">
      <c r="A1476" s="29">
        <v>42744.743854166663</v>
      </c>
      <c r="B1476" s="29" t="str">
        <f>PROPER(TEXT(tbLOG[[#This Row],[DATA/HORA]],"mmmm"))</f>
        <v>Janeiro</v>
      </c>
      <c r="C1476" s="34" t="str">
        <f>PROPER(TEXT(tbLOG[[#This Row],[DATA/HORA]],"dddd"))</f>
        <v>Segunda-Feira</v>
      </c>
      <c r="D1476" s="3" t="s">
        <v>604</v>
      </c>
      <c r="E1476" s="34" t="str">
        <f>IFERROR(VLOOKUP(tbLOG[[#This Row],[LOGIN]],tbMAPA[#All],2,0), "Não localizado")</f>
        <v>Renan Cazumba Tegani</v>
      </c>
      <c r="F1476" s="34" t="str">
        <f>IFERROR(VLOOKUP(tbLOG[[#This Row],[LOGIN]],tbMAPA[#All],3,0), "Não localizado")</f>
        <v>Reginaldo Santana De Souza</v>
      </c>
      <c r="G1476" s="3" t="s">
        <v>1211</v>
      </c>
      <c r="H1476" s="3" t="s">
        <v>836</v>
      </c>
    </row>
    <row r="1477" spans="1:8">
      <c r="A1477" s="29">
        <v>42744.743900462963</v>
      </c>
      <c r="B1477" s="29" t="str">
        <f>PROPER(TEXT(tbLOG[[#This Row],[DATA/HORA]],"mmmm"))</f>
        <v>Janeiro</v>
      </c>
      <c r="C1477" s="34" t="str">
        <f>PROPER(TEXT(tbLOG[[#This Row],[DATA/HORA]],"dddd"))</f>
        <v>Segunda-Feira</v>
      </c>
      <c r="D1477" s="3" t="s">
        <v>604</v>
      </c>
      <c r="E1477" s="34" t="str">
        <f>IFERROR(VLOOKUP(tbLOG[[#This Row],[LOGIN]],tbMAPA[#All],2,0), "Não localizado")</f>
        <v>Renan Cazumba Tegani</v>
      </c>
      <c r="F1477" s="34" t="str">
        <f>IFERROR(VLOOKUP(tbLOG[[#This Row],[LOGIN]],tbMAPA[#All],3,0), "Não localizado")</f>
        <v>Reginaldo Santana De Souza</v>
      </c>
      <c r="G1477" s="3" t="s">
        <v>1211</v>
      </c>
      <c r="H1477" s="3" t="s">
        <v>836</v>
      </c>
    </row>
    <row r="1478" spans="1:8">
      <c r="A1478" s="29">
        <v>42744.744259259256</v>
      </c>
      <c r="B1478" s="29" t="str">
        <f>PROPER(TEXT(tbLOG[[#This Row],[DATA/HORA]],"mmmm"))</f>
        <v>Janeiro</v>
      </c>
      <c r="C1478" s="34" t="str">
        <f>PROPER(TEXT(tbLOG[[#This Row],[DATA/HORA]],"dddd"))</f>
        <v>Segunda-Feira</v>
      </c>
      <c r="D1478" s="3" t="s">
        <v>604</v>
      </c>
      <c r="E1478" s="34" t="str">
        <f>IFERROR(VLOOKUP(tbLOG[[#This Row],[LOGIN]],tbMAPA[#All],2,0), "Não localizado")</f>
        <v>Renan Cazumba Tegani</v>
      </c>
      <c r="F1478" s="34" t="str">
        <f>IFERROR(VLOOKUP(tbLOG[[#This Row],[LOGIN]],tbMAPA[#All],3,0), "Não localizado")</f>
        <v>Reginaldo Santana De Souza</v>
      </c>
      <c r="G1478" s="3" t="s">
        <v>1211</v>
      </c>
      <c r="H1478" s="3" t="s">
        <v>836</v>
      </c>
    </row>
    <row r="1479" spans="1:8">
      <c r="A1479" s="29">
        <v>42744.744270833333</v>
      </c>
      <c r="B1479" s="29" t="str">
        <f>PROPER(TEXT(tbLOG[[#This Row],[DATA/HORA]],"mmmm"))</f>
        <v>Janeiro</v>
      </c>
      <c r="C1479" s="34" t="str">
        <f>PROPER(TEXT(tbLOG[[#This Row],[DATA/HORA]],"dddd"))</f>
        <v>Segunda-Feira</v>
      </c>
      <c r="D1479" s="3" t="s">
        <v>604</v>
      </c>
      <c r="E1479" s="34" t="str">
        <f>IFERROR(VLOOKUP(tbLOG[[#This Row],[LOGIN]],tbMAPA[#All],2,0), "Não localizado")</f>
        <v>Renan Cazumba Tegani</v>
      </c>
      <c r="F1479" s="34" t="str">
        <f>IFERROR(VLOOKUP(tbLOG[[#This Row],[LOGIN]],tbMAPA[#All],3,0), "Não localizado")</f>
        <v>Reginaldo Santana De Souza</v>
      </c>
      <c r="G1479" s="3" t="s">
        <v>1211</v>
      </c>
      <c r="H1479" s="3" t="s">
        <v>836</v>
      </c>
    </row>
    <row r="1480" spans="1:8">
      <c r="A1480" s="29">
        <v>42744.744351851848</v>
      </c>
      <c r="B1480" s="29" t="str">
        <f>PROPER(TEXT(tbLOG[[#This Row],[DATA/HORA]],"mmmm"))</f>
        <v>Janeiro</v>
      </c>
      <c r="C1480" s="34" t="str">
        <f>PROPER(TEXT(tbLOG[[#This Row],[DATA/HORA]],"dddd"))</f>
        <v>Segunda-Feira</v>
      </c>
      <c r="D1480" s="3" t="s">
        <v>604</v>
      </c>
      <c r="E1480" s="34" t="str">
        <f>IFERROR(VLOOKUP(tbLOG[[#This Row],[LOGIN]],tbMAPA[#All],2,0), "Não localizado")</f>
        <v>Renan Cazumba Tegani</v>
      </c>
      <c r="F1480" s="34" t="str">
        <f>IFERROR(VLOOKUP(tbLOG[[#This Row],[LOGIN]],tbMAPA[#All],3,0), "Não localizado")</f>
        <v>Reginaldo Santana De Souza</v>
      </c>
      <c r="G1480" s="3" t="s">
        <v>1211</v>
      </c>
      <c r="H1480" s="3" t="s">
        <v>836</v>
      </c>
    </row>
    <row r="1481" spans="1:8">
      <c r="A1481" s="29">
        <v>42744.744537037041</v>
      </c>
      <c r="B1481" s="29" t="str">
        <f>PROPER(TEXT(tbLOG[[#This Row],[DATA/HORA]],"mmmm"))</f>
        <v>Janeiro</v>
      </c>
      <c r="C1481" s="34" t="str">
        <f>PROPER(TEXT(tbLOG[[#This Row],[DATA/HORA]],"dddd"))</f>
        <v>Segunda-Feira</v>
      </c>
      <c r="D1481" s="3" t="s">
        <v>604</v>
      </c>
      <c r="E1481" s="34" t="str">
        <f>IFERROR(VLOOKUP(tbLOG[[#This Row],[LOGIN]],tbMAPA[#All],2,0), "Não localizado")</f>
        <v>Renan Cazumba Tegani</v>
      </c>
      <c r="F1481" s="34" t="str">
        <f>IFERROR(VLOOKUP(tbLOG[[#This Row],[LOGIN]],tbMAPA[#All],3,0), "Não localizado")</f>
        <v>Reginaldo Santana De Souza</v>
      </c>
      <c r="G1481" s="3" t="s">
        <v>1211</v>
      </c>
      <c r="H1481" s="3" t="s">
        <v>836</v>
      </c>
    </row>
    <row r="1482" spans="1:8">
      <c r="A1482" s="29">
        <v>42744.744560185187</v>
      </c>
      <c r="B1482" s="29" t="str">
        <f>PROPER(TEXT(tbLOG[[#This Row],[DATA/HORA]],"mmmm"))</f>
        <v>Janeiro</v>
      </c>
      <c r="C1482" s="34" t="str">
        <f>PROPER(TEXT(tbLOG[[#This Row],[DATA/HORA]],"dddd"))</f>
        <v>Segunda-Feira</v>
      </c>
      <c r="D1482" s="3" t="s">
        <v>604</v>
      </c>
      <c r="E1482" s="34" t="str">
        <f>IFERROR(VLOOKUP(tbLOG[[#This Row],[LOGIN]],tbMAPA[#All],2,0), "Não localizado")</f>
        <v>Renan Cazumba Tegani</v>
      </c>
      <c r="F1482" s="34" t="str">
        <f>IFERROR(VLOOKUP(tbLOG[[#This Row],[LOGIN]],tbMAPA[#All],3,0), "Não localizado")</f>
        <v>Reginaldo Santana De Souza</v>
      </c>
      <c r="G1482" s="3" t="s">
        <v>1211</v>
      </c>
      <c r="H1482" s="3" t="s">
        <v>836</v>
      </c>
    </row>
    <row r="1483" spans="1:8">
      <c r="A1483" s="29">
        <v>42744.746435185189</v>
      </c>
      <c r="B1483" s="29" t="str">
        <f>PROPER(TEXT(tbLOG[[#This Row],[DATA/HORA]],"mmmm"))</f>
        <v>Janeiro</v>
      </c>
      <c r="C1483" s="34" t="str">
        <f>PROPER(TEXT(tbLOG[[#This Row],[DATA/HORA]],"dddd"))</f>
        <v>Segunda-Feira</v>
      </c>
      <c r="D1483" s="3" t="s">
        <v>604</v>
      </c>
      <c r="E1483" s="34" t="str">
        <f>IFERROR(VLOOKUP(tbLOG[[#This Row],[LOGIN]],tbMAPA[#All],2,0), "Não localizado")</f>
        <v>Renan Cazumba Tegani</v>
      </c>
      <c r="F1483" s="34" t="str">
        <f>IFERROR(VLOOKUP(tbLOG[[#This Row],[LOGIN]],tbMAPA[#All],3,0), "Não localizado")</f>
        <v>Reginaldo Santana De Souza</v>
      </c>
      <c r="G1483" s="3" t="s">
        <v>1211</v>
      </c>
      <c r="H1483" s="3" t="s">
        <v>836</v>
      </c>
    </row>
    <row r="1484" spans="1:8">
      <c r="A1484" s="29">
        <v>42744.746481481481</v>
      </c>
      <c r="B1484" s="29" t="str">
        <f>PROPER(TEXT(tbLOG[[#This Row],[DATA/HORA]],"mmmm"))</f>
        <v>Janeiro</v>
      </c>
      <c r="C1484" s="34" t="str">
        <f>PROPER(TEXT(tbLOG[[#This Row],[DATA/HORA]],"dddd"))</f>
        <v>Segunda-Feira</v>
      </c>
      <c r="D1484" s="3" t="s">
        <v>604</v>
      </c>
      <c r="E1484" s="34" t="str">
        <f>IFERROR(VLOOKUP(tbLOG[[#This Row],[LOGIN]],tbMAPA[#All],2,0), "Não localizado")</f>
        <v>Renan Cazumba Tegani</v>
      </c>
      <c r="F1484" s="34" t="str">
        <f>IFERROR(VLOOKUP(tbLOG[[#This Row],[LOGIN]],tbMAPA[#All],3,0), "Não localizado")</f>
        <v>Reginaldo Santana De Souza</v>
      </c>
      <c r="G1484" s="3" t="s">
        <v>1211</v>
      </c>
      <c r="H1484" s="3" t="s">
        <v>836</v>
      </c>
    </row>
    <row r="1485" spans="1:8">
      <c r="A1485" s="29">
        <v>42744.746504629627</v>
      </c>
      <c r="B1485" s="29" t="str">
        <f>PROPER(TEXT(tbLOG[[#This Row],[DATA/HORA]],"mmmm"))</f>
        <v>Janeiro</v>
      </c>
      <c r="C1485" s="34" t="str">
        <f>PROPER(TEXT(tbLOG[[#This Row],[DATA/HORA]],"dddd"))</f>
        <v>Segunda-Feira</v>
      </c>
      <c r="D1485" s="3" t="s">
        <v>604</v>
      </c>
      <c r="E1485" s="34" t="str">
        <f>IFERROR(VLOOKUP(tbLOG[[#This Row],[LOGIN]],tbMAPA[#All],2,0), "Não localizado")</f>
        <v>Renan Cazumba Tegani</v>
      </c>
      <c r="F1485" s="34" t="str">
        <f>IFERROR(VLOOKUP(tbLOG[[#This Row],[LOGIN]],tbMAPA[#All],3,0), "Não localizado")</f>
        <v>Reginaldo Santana De Souza</v>
      </c>
      <c r="G1485" s="3" t="s">
        <v>1211</v>
      </c>
      <c r="H1485" s="3" t="s">
        <v>290</v>
      </c>
    </row>
    <row r="1486" spans="1:8">
      <c r="A1486" s="29">
        <v>42744.747164351851</v>
      </c>
      <c r="B1486" s="29" t="str">
        <f>PROPER(TEXT(tbLOG[[#This Row],[DATA/HORA]],"mmmm"))</f>
        <v>Janeiro</v>
      </c>
      <c r="C1486" s="34" t="str">
        <f>PROPER(TEXT(tbLOG[[#This Row],[DATA/HORA]],"dddd"))</f>
        <v>Segunda-Feira</v>
      </c>
      <c r="D1486" s="3" t="s">
        <v>604</v>
      </c>
      <c r="E1486" s="34" t="str">
        <f>IFERROR(VLOOKUP(tbLOG[[#This Row],[LOGIN]],tbMAPA[#All],2,0), "Não localizado")</f>
        <v>Renan Cazumba Tegani</v>
      </c>
      <c r="F1486" s="34" t="str">
        <f>IFERROR(VLOOKUP(tbLOG[[#This Row],[LOGIN]],tbMAPA[#All],3,0), "Não localizado")</f>
        <v>Reginaldo Santana De Souza</v>
      </c>
      <c r="G1486" s="3" t="s">
        <v>1211</v>
      </c>
      <c r="H1486" s="3" t="s">
        <v>290</v>
      </c>
    </row>
    <row r="1487" spans="1:8">
      <c r="A1487" s="29">
        <v>42744.748541666668</v>
      </c>
      <c r="B1487" s="29" t="str">
        <f>PROPER(TEXT(tbLOG[[#This Row],[DATA/HORA]],"mmmm"))</f>
        <v>Janeiro</v>
      </c>
      <c r="C1487" s="34" t="str">
        <f>PROPER(TEXT(tbLOG[[#This Row],[DATA/HORA]],"dddd"))</f>
        <v>Segunda-Feira</v>
      </c>
      <c r="D1487" s="3" t="s">
        <v>604</v>
      </c>
      <c r="E1487" s="34" t="str">
        <f>IFERROR(VLOOKUP(tbLOG[[#This Row],[LOGIN]],tbMAPA[#All],2,0), "Não localizado")</f>
        <v>Renan Cazumba Tegani</v>
      </c>
      <c r="F1487" s="34" t="str">
        <f>IFERROR(VLOOKUP(tbLOG[[#This Row],[LOGIN]],tbMAPA[#All],3,0), "Não localizado")</f>
        <v>Reginaldo Santana De Souza</v>
      </c>
      <c r="G1487" s="3" t="s">
        <v>1211</v>
      </c>
      <c r="H1487" s="3" t="s">
        <v>836</v>
      </c>
    </row>
    <row r="1488" spans="1:8">
      <c r="A1488" s="29">
        <v>42744.748553240737</v>
      </c>
      <c r="B1488" s="29" t="str">
        <f>PROPER(TEXT(tbLOG[[#This Row],[DATA/HORA]],"mmmm"))</f>
        <v>Janeiro</v>
      </c>
      <c r="C1488" s="34" t="str">
        <f>PROPER(TEXT(tbLOG[[#This Row],[DATA/HORA]],"dddd"))</f>
        <v>Segunda-Feira</v>
      </c>
      <c r="D1488" s="3" t="s">
        <v>604</v>
      </c>
      <c r="E1488" s="34" t="str">
        <f>IFERROR(VLOOKUP(tbLOG[[#This Row],[LOGIN]],tbMAPA[#All],2,0), "Não localizado")</f>
        <v>Renan Cazumba Tegani</v>
      </c>
      <c r="F1488" s="34" t="str">
        <f>IFERROR(VLOOKUP(tbLOG[[#This Row],[LOGIN]],tbMAPA[#All],3,0), "Não localizado")</f>
        <v>Reginaldo Santana De Souza</v>
      </c>
      <c r="G1488" s="3" t="s">
        <v>1211</v>
      </c>
      <c r="H1488" s="3" t="s">
        <v>836</v>
      </c>
    </row>
    <row r="1489" spans="1:8">
      <c r="A1489" s="29">
        <v>42744.748599537037</v>
      </c>
      <c r="B1489" s="29" t="str">
        <f>PROPER(TEXT(tbLOG[[#This Row],[DATA/HORA]],"mmmm"))</f>
        <v>Janeiro</v>
      </c>
      <c r="C1489" s="34" t="str">
        <f>PROPER(TEXT(tbLOG[[#This Row],[DATA/HORA]],"dddd"))</f>
        <v>Segunda-Feira</v>
      </c>
      <c r="D1489" s="3" t="s">
        <v>604</v>
      </c>
      <c r="E1489" s="34" t="str">
        <f>IFERROR(VLOOKUP(tbLOG[[#This Row],[LOGIN]],tbMAPA[#All],2,0), "Não localizado")</f>
        <v>Renan Cazumba Tegani</v>
      </c>
      <c r="F1489" s="34" t="str">
        <f>IFERROR(VLOOKUP(tbLOG[[#This Row],[LOGIN]],tbMAPA[#All],3,0), "Não localizado")</f>
        <v>Reginaldo Santana De Souza</v>
      </c>
      <c r="G1489" s="3" t="s">
        <v>1211</v>
      </c>
      <c r="H1489" s="3" t="s">
        <v>836</v>
      </c>
    </row>
    <row r="1490" spans="1:8">
      <c r="A1490" s="29">
        <v>42744.750208333331</v>
      </c>
      <c r="B1490" s="29" t="str">
        <f>PROPER(TEXT(tbLOG[[#This Row],[DATA/HORA]],"mmmm"))</f>
        <v>Janeiro</v>
      </c>
      <c r="C1490" s="34" t="str">
        <f>PROPER(TEXT(tbLOG[[#This Row],[DATA/HORA]],"dddd"))</f>
        <v>Segunda-Feira</v>
      </c>
      <c r="D1490" s="3" t="s">
        <v>604</v>
      </c>
      <c r="E1490" s="34" t="str">
        <f>IFERROR(VLOOKUP(tbLOG[[#This Row],[LOGIN]],tbMAPA[#All],2,0), "Não localizado")</f>
        <v>Renan Cazumba Tegani</v>
      </c>
      <c r="F1490" s="34" t="str">
        <f>IFERROR(VLOOKUP(tbLOG[[#This Row],[LOGIN]],tbMAPA[#All],3,0), "Não localizado")</f>
        <v>Reginaldo Santana De Souza</v>
      </c>
      <c r="G1490" s="3" t="s">
        <v>1211</v>
      </c>
      <c r="H1490" s="3" t="s">
        <v>836</v>
      </c>
    </row>
    <row r="1491" spans="1:8">
      <c r="A1491" s="29">
        <v>42744.750219907408</v>
      </c>
      <c r="B1491" s="29" t="str">
        <f>PROPER(TEXT(tbLOG[[#This Row],[DATA/HORA]],"mmmm"))</f>
        <v>Janeiro</v>
      </c>
      <c r="C1491" s="34" t="str">
        <f>PROPER(TEXT(tbLOG[[#This Row],[DATA/HORA]],"dddd"))</f>
        <v>Segunda-Feira</v>
      </c>
      <c r="D1491" s="3" t="s">
        <v>604</v>
      </c>
      <c r="E1491" s="34" t="str">
        <f>IFERROR(VLOOKUP(tbLOG[[#This Row],[LOGIN]],tbMAPA[#All],2,0), "Não localizado")</f>
        <v>Renan Cazumba Tegani</v>
      </c>
      <c r="F1491" s="34" t="str">
        <f>IFERROR(VLOOKUP(tbLOG[[#This Row],[LOGIN]],tbMAPA[#All],3,0), "Não localizado")</f>
        <v>Reginaldo Santana De Souza</v>
      </c>
      <c r="G1491" s="3" t="s">
        <v>1211</v>
      </c>
      <c r="H1491" s="3" t="s">
        <v>836</v>
      </c>
    </row>
    <row r="1492" spans="1:8">
      <c r="A1492" s="29">
        <v>42744.750358796293</v>
      </c>
      <c r="B1492" s="29" t="str">
        <f>PROPER(TEXT(tbLOG[[#This Row],[DATA/HORA]],"mmmm"))</f>
        <v>Janeiro</v>
      </c>
      <c r="C1492" s="34" t="str">
        <f>PROPER(TEXT(tbLOG[[#This Row],[DATA/HORA]],"dddd"))</f>
        <v>Segunda-Feira</v>
      </c>
      <c r="D1492" s="3" t="s">
        <v>604</v>
      </c>
      <c r="E1492" s="34" t="str">
        <f>IFERROR(VLOOKUP(tbLOG[[#This Row],[LOGIN]],tbMAPA[#All],2,0), "Não localizado")</f>
        <v>Renan Cazumba Tegani</v>
      </c>
      <c r="F1492" s="34" t="str">
        <f>IFERROR(VLOOKUP(tbLOG[[#This Row],[LOGIN]],tbMAPA[#All],3,0), "Não localizado")</f>
        <v>Reginaldo Santana De Souza</v>
      </c>
      <c r="G1492" s="3" t="s">
        <v>1211</v>
      </c>
      <c r="H1492" s="3" t="s">
        <v>836</v>
      </c>
    </row>
    <row r="1493" spans="1:8">
      <c r="A1493" s="29">
        <v>42744.751898148148</v>
      </c>
      <c r="B1493" s="29" t="str">
        <f>PROPER(TEXT(tbLOG[[#This Row],[DATA/HORA]],"mmmm"))</f>
        <v>Janeiro</v>
      </c>
      <c r="C1493" s="34" t="str">
        <f>PROPER(TEXT(tbLOG[[#This Row],[DATA/HORA]],"dddd"))</f>
        <v>Segunda-Feira</v>
      </c>
      <c r="D1493" s="3" t="s">
        <v>604</v>
      </c>
      <c r="E1493" s="34" t="str">
        <f>IFERROR(VLOOKUP(tbLOG[[#This Row],[LOGIN]],tbMAPA[#All],2,0), "Não localizado")</f>
        <v>Renan Cazumba Tegani</v>
      </c>
      <c r="F1493" s="34" t="str">
        <f>IFERROR(VLOOKUP(tbLOG[[#This Row],[LOGIN]],tbMAPA[#All],3,0), "Não localizado")</f>
        <v>Reginaldo Santana De Souza</v>
      </c>
      <c r="G1493" s="3" t="s">
        <v>1211</v>
      </c>
      <c r="H1493" s="3" t="s">
        <v>836</v>
      </c>
    </row>
    <row r="1494" spans="1:8">
      <c r="A1494" s="29">
        <v>42744.751932870371</v>
      </c>
      <c r="B1494" s="29" t="str">
        <f>PROPER(TEXT(tbLOG[[#This Row],[DATA/HORA]],"mmmm"))</f>
        <v>Janeiro</v>
      </c>
      <c r="C1494" s="34" t="str">
        <f>PROPER(TEXT(tbLOG[[#This Row],[DATA/HORA]],"dddd"))</f>
        <v>Segunda-Feira</v>
      </c>
      <c r="D1494" s="3" t="s">
        <v>604</v>
      </c>
      <c r="E1494" s="34" t="str">
        <f>IFERROR(VLOOKUP(tbLOG[[#This Row],[LOGIN]],tbMAPA[#All],2,0), "Não localizado")</f>
        <v>Renan Cazumba Tegani</v>
      </c>
      <c r="F1494" s="34" t="str">
        <f>IFERROR(VLOOKUP(tbLOG[[#This Row],[LOGIN]],tbMAPA[#All],3,0), "Não localizado")</f>
        <v>Reginaldo Santana De Souza</v>
      </c>
      <c r="G1494" s="3" t="s">
        <v>1211</v>
      </c>
      <c r="H1494" s="3" t="s">
        <v>836</v>
      </c>
    </row>
    <row r="1495" spans="1:8">
      <c r="A1495" s="29">
        <v>42744.752071759256</v>
      </c>
      <c r="B1495" s="29" t="str">
        <f>PROPER(TEXT(tbLOG[[#This Row],[DATA/HORA]],"mmmm"))</f>
        <v>Janeiro</v>
      </c>
      <c r="C1495" s="34" t="str">
        <f>PROPER(TEXT(tbLOG[[#This Row],[DATA/HORA]],"dddd"))</f>
        <v>Segunda-Feira</v>
      </c>
      <c r="D1495" s="3" t="s">
        <v>604</v>
      </c>
      <c r="E1495" s="34" t="str">
        <f>IFERROR(VLOOKUP(tbLOG[[#This Row],[LOGIN]],tbMAPA[#All],2,0), "Não localizado")</f>
        <v>Renan Cazumba Tegani</v>
      </c>
      <c r="F1495" s="34" t="str">
        <f>IFERROR(VLOOKUP(tbLOG[[#This Row],[LOGIN]],tbMAPA[#All],3,0), "Não localizado")</f>
        <v>Reginaldo Santana De Souza</v>
      </c>
      <c r="G1495" s="3" t="s">
        <v>1211</v>
      </c>
      <c r="H1495" s="3" t="s">
        <v>836</v>
      </c>
    </row>
    <row r="1496" spans="1:8">
      <c r="A1496" s="29">
        <v>42744.753634259258</v>
      </c>
      <c r="B1496" s="29" t="str">
        <f>PROPER(TEXT(tbLOG[[#This Row],[DATA/HORA]],"mmmm"))</f>
        <v>Janeiro</v>
      </c>
      <c r="C1496" s="34" t="str">
        <f>PROPER(TEXT(tbLOG[[#This Row],[DATA/HORA]],"dddd"))</f>
        <v>Segunda-Feira</v>
      </c>
      <c r="D1496" s="3" t="s">
        <v>604</v>
      </c>
      <c r="E1496" s="34" t="str">
        <f>IFERROR(VLOOKUP(tbLOG[[#This Row],[LOGIN]],tbMAPA[#All],2,0), "Não localizado")</f>
        <v>Renan Cazumba Tegani</v>
      </c>
      <c r="F1496" s="34" t="str">
        <f>IFERROR(VLOOKUP(tbLOG[[#This Row],[LOGIN]],tbMAPA[#All],3,0), "Não localizado")</f>
        <v>Reginaldo Santana De Souza</v>
      </c>
      <c r="G1496" s="3" t="s">
        <v>1211</v>
      </c>
      <c r="H1496" s="3" t="s">
        <v>836</v>
      </c>
    </row>
    <row r="1497" spans="1:8">
      <c r="A1497" s="29">
        <v>42744.753657407404</v>
      </c>
      <c r="B1497" s="29" t="str">
        <f>PROPER(TEXT(tbLOG[[#This Row],[DATA/HORA]],"mmmm"))</f>
        <v>Janeiro</v>
      </c>
      <c r="C1497" s="34" t="str">
        <f>PROPER(TEXT(tbLOG[[#This Row],[DATA/HORA]],"dddd"))</f>
        <v>Segunda-Feira</v>
      </c>
      <c r="D1497" s="3" t="s">
        <v>604</v>
      </c>
      <c r="E1497" s="34" t="str">
        <f>IFERROR(VLOOKUP(tbLOG[[#This Row],[LOGIN]],tbMAPA[#All],2,0), "Não localizado")</f>
        <v>Renan Cazumba Tegani</v>
      </c>
      <c r="F1497" s="34" t="str">
        <f>IFERROR(VLOOKUP(tbLOG[[#This Row],[LOGIN]],tbMAPA[#All],3,0), "Não localizado")</f>
        <v>Reginaldo Santana De Souza</v>
      </c>
      <c r="G1497" s="3" t="s">
        <v>1211</v>
      </c>
      <c r="H1497" s="3" t="s">
        <v>836</v>
      </c>
    </row>
    <row r="1498" spans="1:8">
      <c r="A1498" s="29">
        <v>42744.753668981481</v>
      </c>
      <c r="B1498" s="29" t="str">
        <f>PROPER(TEXT(tbLOG[[#This Row],[DATA/HORA]],"mmmm"))</f>
        <v>Janeiro</v>
      </c>
      <c r="C1498" s="34" t="str">
        <f>PROPER(TEXT(tbLOG[[#This Row],[DATA/HORA]],"dddd"))</f>
        <v>Segunda-Feira</v>
      </c>
      <c r="D1498" s="3" t="s">
        <v>604</v>
      </c>
      <c r="E1498" s="34" t="str">
        <f>IFERROR(VLOOKUP(tbLOG[[#This Row],[LOGIN]],tbMAPA[#All],2,0), "Não localizado")</f>
        <v>Renan Cazumba Tegani</v>
      </c>
      <c r="F1498" s="34" t="str">
        <f>IFERROR(VLOOKUP(tbLOG[[#This Row],[LOGIN]],tbMAPA[#All],3,0), "Não localizado")</f>
        <v>Reginaldo Santana De Souza</v>
      </c>
      <c r="G1498" s="3" t="s">
        <v>1211</v>
      </c>
      <c r="H1498" s="3" t="s">
        <v>836</v>
      </c>
    </row>
    <row r="1499" spans="1:8">
      <c r="A1499" s="29">
        <v>42744.753703703704</v>
      </c>
      <c r="B1499" s="29" t="str">
        <f>PROPER(TEXT(tbLOG[[#This Row],[DATA/HORA]],"mmmm"))</f>
        <v>Janeiro</v>
      </c>
      <c r="C1499" s="34" t="str">
        <f>PROPER(TEXT(tbLOG[[#This Row],[DATA/HORA]],"dddd"))</f>
        <v>Segunda-Feira</v>
      </c>
      <c r="D1499" s="3" t="s">
        <v>604</v>
      </c>
      <c r="E1499" s="34" t="str">
        <f>IFERROR(VLOOKUP(tbLOG[[#This Row],[LOGIN]],tbMAPA[#All],2,0), "Não localizado")</f>
        <v>Renan Cazumba Tegani</v>
      </c>
      <c r="F1499" s="34" t="str">
        <f>IFERROR(VLOOKUP(tbLOG[[#This Row],[LOGIN]],tbMAPA[#All],3,0), "Não localizado")</f>
        <v>Reginaldo Santana De Souza</v>
      </c>
      <c r="G1499" s="3" t="s">
        <v>1211</v>
      </c>
      <c r="H1499" s="3" t="s">
        <v>290</v>
      </c>
    </row>
    <row r="1500" spans="1:8">
      <c r="A1500" s="29">
        <v>42744.757824074077</v>
      </c>
      <c r="B1500" s="29" t="str">
        <f>PROPER(TEXT(tbLOG[[#This Row],[DATA/HORA]],"mmmm"))</f>
        <v>Janeiro</v>
      </c>
      <c r="C1500" s="34" t="str">
        <f>PROPER(TEXT(tbLOG[[#This Row],[DATA/HORA]],"dddd"))</f>
        <v>Segunda-Feira</v>
      </c>
      <c r="D1500" s="3" t="s">
        <v>604</v>
      </c>
      <c r="E1500" s="34" t="str">
        <f>IFERROR(VLOOKUP(tbLOG[[#This Row],[LOGIN]],tbMAPA[#All],2,0), "Não localizado")</f>
        <v>Renan Cazumba Tegani</v>
      </c>
      <c r="F1500" s="34" t="str">
        <f>IFERROR(VLOOKUP(tbLOG[[#This Row],[LOGIN]],tbMAPA[#All],3,0), "Não localizado")</f>
        <v>Reginaldo Santana De Souza</v>
      </c>
      <c r="G1500" s="3" t="s">
        <v>1211</v>
      </c>
      <c r="H1500" s="3" t="s">
        <v>290</v>
      </c>
    </row>
    <row r="1501" spans="1:8">
      <c r="A1501" s="29">
        <v>42744.757847222223</v>
      </c>
      <c r="B1501" s="29" t="str">
        <f>PROPER(TEXT(tbLOG[[#This Row],[DATA/HORA]],"mmmm"))</f>
        <v>Janeiro</v>
      </c>
      <c r="C1501" s="34" t="str">
        <f>PROPER(TEXT(tbLOG[[#This Row],[DATA/HORA]],"dddd"))</f>
        <v>Segunda-Feira</v>
      </c>
      <c r="D1501" s="3" t="s">
        <v>604</v>
      </c>
      <c r="E1501" s="34" t="str">
        <f>IFERROR(VLOOKUP(tbLOG[[#This Row],[LOGIN]],tbMAPA[#All],2,0), "Não localizado")</f>
        <v>Renan Cazumba Tegani</v>
      </c>
      <c r="F1501" s="34" t="str">
        <f>IFERROR(VLOOKUP(tbLOG[[#This Row],[LOGIN]],tbMAPA[#All],3,0), "Não localizado")</f>
        <v>Reginaldo Santana De Souza</v>
      </c>
      <c r="G1501" s="3" t="s">
        <v>1211</v>
      </c>
      <c r="H1501" s="3" t="s">
        <v>291</v>
      </c>
    </row>
    <row r="1502" spans="1:8">
      <c r="A1502" s="29">
        <v>42744.757847222223</v>
      </c>
      <c r="B1502" s="29" t="str">
        <f>PROPER(TEXT(tbLOG[[#This Row],[DATA/HORA]],"mmmm"))</f>
        <v>Janeiro</v>
      </c>
      <c r="C1502" s="34" t="str">
        <f>PROPER(TEXT(tbLOG[[#This Row],[DATA/HORA]],"dddd"))</f>
        <v>Segunda-Feira</v>
      </c>
      <c r="D1502" s="3" t="s">
        <v>604</v>
      </c>
      <c r="E1502" s="34" t="str">
        <f>IFERROR(VLOOKUP(tbLOG[[#This Row],[LOGIN]],tbMAPA[#All],2,0), "Não localizado")</f>
        <v>Renan Cazumba Tegani</v>
      </c>
      <c r="F1502" s="34" t="str">
        <f>IFERROR(VLOOKUP(tbLOG[[#This Row],[LOGIN]],tbMAPA[#All],3,0), "Não localizado")</f>
        <v>Reginaldo Santana De Souza</v>
      </c>
      <c r="G1502" s="3" t="s">
        <v>1211</v>
      </c>
      <c r="H1502" s="3" t="s">
        <v>290</v>
      </c>
    </row>
    <row r="1503" spans="1:8">
      <c r="A1503" s="29">
        <v>42744.80300925926</v>
      </c>
      <c r="B1503" s="29" t="str">
        <f>PROPER(TEXT(tbLOG[[#This Row],[DATA/HORA]],"mmmm"))</f>
        <v>Janeiro</v>
      </c>
      <c r="C1503" s="34" t="str">
        <f>PROPER(TEXT(tbLOG[[#This Row],[DATA/HORA]],"dddd"))</f>
        <v>Segunda-Feira</v>
      </c>
      <c r="D1503" s="3" t="s">
        <v>324</v>
      </c>
      <c r="E1503" s="34" t="str">
        <f>IFERROR(VLOOKUP(tbLOG[[#This Row],[LOGIN]],tbMAPA[#All],2,0), "Não localizado")</f>
        <v>Caio Eiji Arai</v>
      </c>
      <c r="F1503" s="34" t="str">
        <f>IFERROR(VLOOKUP(tbLOG[[#This Row],[LOGIN]],tbMAPA[#All],3,0), "Não localizado")</f>
        <v>Vinicius Loula De Sousa</v>
      </c>
      <c r="G1503" s="3" t="s">
        <v>999</v>
      </c>
      <c r="H1503" s="3" t="s">
        <v>1588</v>
      </c>
    </row>
    <row r="1504" spans="1:8">
      <c r="A1504" s="29">
        <v>42744.80300925926</v>
      </c>
      <c r="B1504" s="29" t="str">
        <f>PROPER(TEXT(tbLOG[[#This Row],[DATA/HORA]],"mmmm"))</f>
        <v>Janeiro</v>
      </c>
      <c r="C1504" s="34" t="str">
        <f>PROPER(TEXT(tbLOG[[#This Row],[DATA/HORA]],"dddd"))</f>
        <v>Segunda-Feira</v>
      </c>
      <c r="D1504" s="3" t="s">
        <v>324</v>
      </c>
      <c r="E1504" s="34" t="str">
        <f>IFERROR(VLOOKUP(tbLOG[[#This Row],[LOGIN]],tbMAPA[#All],2,0), "Não localizado")</f>
        <v>Caio Eiji Arai</v>
      </c>
      <c r="F1504" s="34" t="str">
        <f>IFERROR(VLOOKUP(tbLOG[[#This Row],[LOGIN]],tbMAPA[#All],3,0), "Não localizado")</f>
        <v>Vinicius Loula De Sousa</v>
      </c>
      <c r="G1504" s="3" t="s">
        <v>999</v>
      </c>
      <c r="H1504" s="3" t="s">
        <v>290</v>
      </c>
    </row>
    <row r="1505" spans="1:8">
      <c r="A1505" s="29">
        <v>42744.805891203701</v>
      </c>
      <c r="B1505" s="29" t="str">
        <f>PROPER(TEXT(tbLOG[[#This Row],[DATA/HORA]],"mmmm"))</f>
        <v>Janeiro</v>
      </c>
      <c r="C1505" s="34" t="str">
        <f>PROPER(TEXT(tbLOG[[#This Row],[DATA/HORA]],"dddd"))</f>
        <v>Segunda-Feira</v>
      </c>
      <c r="D1505" s="3" t="s">
        <v>801</v>
      </c>
      <c r="E1505" s="34" t="str">
        <f>IFERROR(VLOOKUP(tbLOG[[#This Row],[LOGIN]],tbMAPA[#All],2,0), "Não localizado")</f>
        <v>Vinicius Loula De Sousa</v>
      </c>
      <c r="F1505" s="34" t="str">
        <f>IFERROR(VLOOKUP(tbLOG[[#This Row],[LOGIN]],tbMAPA[#All],3,0), "Não localizado")</f>
        <v>Daniela Andrade Silva</v>
      </c>
      <c r="G1505" s="3" t="s">
        <v>2157</v>
      </c>
      <c r="H1505" s="3" t="s">
        <v>2158</v>
      </c>
    </row>
    <row r="1506" spans="1:8">
      <c r="A1506" s="29">
        <v>42744.805902777778</v>
      </c>
      <c r="B1506" s="29" t="str">
        <f>PROPER(TEXT(tbLOG[[#This Row],[DATA/HORA]],"mmmm"))</f>
        <v>Janeiro</v>
      </c>
      <c r="C1506" s="34" t="str">
        <f>PROPER(TEXT(tbLOG[[#This Row],[DATA/HORA]],"dddd"))</f>
        <v>Segunda-Feira</v>
      </c>
      <c r="D1506" s="3" t="s">
        <v>801</v>
      </c>
      <c r="E1506" s="34" t="str">
        <f>IFERROR(VLOOKUP(tbLOG[[#This Row],[LOGIN]],tbMAPA[#All],2,0), "Não localizado")</f>
        <v>Vinicius Loula De Sousa</v>
      </c>
      <c r="F1506" s="34" t="str">
        <f>IFERROR(VLOOKUP(tbLOG[[#This Row],[LOGIN]],tbMAPA[#All],3,0), "Não localizado")</f>
        <v>Daniela Andrade Silva</v>
      </c>
      <c r="G1506" s="3" t="s">
        <v>2157</v>
      </c>
      <c r="H1506" s="3" t="s">
        <v>290</v>
      </c>
    </row>
    <row r="1507" spans="1:8">
      <c r="A1507" s="29">
        <v>42745.387048611112</v>
      </c>
      <c r="B1507" s="29" t="str">
        <f>PROPER(TEXT(tbLOG[[#This Row],[DATA/HORA]],"mmmm"))</f>
        <v>Janeiro</v>
      </c>
      <c r="C1507" s="34" t="str">
        <f>PROPER(TEXT(tbLOG[[#This Row],[DATA/HORA]],"dddd"))</f>
        <v>Terça-Feira</v>
      </c>
      <c r="D1507" s="3" t="s">
        <v>297</v>
      </c>
      <c r="E1507" s="34" t="str">
        <f>IFERROR(VLOOKUP(tbLOG[[#This Row],[LOGIN]],tbMAPA[#All],2,0), "Não localizado")</f>
        <v>Ivanildo Cavalcante De Souza Junior</v>
      </c>
      <c r="F1507" s="34" t="str">
        <f>IFERROR(VLOOKUP(tbLOG[[#This Row],[LOGIN]],tbMAPA[#All],3,0), "Não localizado")</f>
        <v>Jefte Soares Da Silva</v>
      </c>
      <c r="G1507" s="3" t="s">
        <v>298</v>
      </c>
      <c r="H1507" s="3" t="s">
        <v>994</v>
      </c>
    </row>
    <row r="1508" spans="1:8">
      <c r="A1508" s="29">
        <v>42745.387071759258</v>
      </c>
      <c r="B1508" s="29" t="str">
        <f>PROPER(TEXT(tbLOG[[#This Row],[DATA/HORA]],"mmmm"))</f>
        <v>Janeiro</v>
      </c>
      <c r="C1508" s="34" t="str">
        <f>PROPER(TEXT(tbLOG[[#This Row],[DATA/HORA]],"dddd"))</f>
        <v>Terça-Feira</v>
      </c>
      <c r="D1508" s="3" t="s">
        <v>297</v>
      </c>
      <c r="E1508" s="34" t="str">
        <f>IFERROR(VLOOKUP(tbLOG[[#This Row],[LOGIN]],tbMAPA[#All],2,0), "Não localizado")</f>
        <v>Ivanildo Cavalcante De Souza Junior</v>
      </c>
      <c r="F1508" s="34" t="str">
        <f>IFERROR(VLOOKUP(tbLOG[[#This Row],[LOGIN]],tbMAPA[#All],3,0), "Não localizado")</f>
        <v>Jefte Soares Da Silva</v>
      </c>
      <c r="G1508" s="3" t="s">
        <v>298</v>
      </c>
      <c r="H1508" s="3" t="s">
        <v>299</v>
      </c>
    </row>
    <row r="1509" spans="1:8">
      <c r="A1509" s="29">
        <v>42745.387384259258</v>
      </c>
      <c r="B1509" s="29" t="str">
        <f>PROPER(TEXT(tbLOG[[#This Row],[DATA/HORA]],"mmmm"))</f>
        <v>Janeiro</v>
      </c>
      <c r="C1509" s="34" t="str">
        <f>PROPER(TEXT(tbLOG[[#This Row],[DATA/HORA]],"dddd"))</f>
        <v>Terça-Feira</v>
      </c>
      <c r="D1509" s="3" t="s">
        <v>297</v>
      </c>
      <c r="E1509" s="34" t="str">
        <f>IFERROR(VLOOKUP(tbLOG[[#This Row],[LOGIN]],tbMAPA[#All],2,0), "Não localizado")</f>
        <v>Ivanildo Cavalcante De Souza Junior</v>
      </c>
      <c r="F1509" s="34" t="str">
        <f>IFERROR(VLOOKUP(tbLOG[[#This Row],[LOGIN]],tbMAPA[#All],3,0), "Não localizado")</f>
        <v>Jefte Soares Da Silva</v>
      </c>
      <c r="G1509" s="3" t="s">
        <v>298</v>
      </c>
      <c r="H1509" s="3" t="s">
        <v>291</v>
      </c>
    </row>
    <row r="1510" spans="1:8">
      <c r="A1510" s="29">
        <v>42745.387384259258</v>
      </c>
      <c r="B1510" s="29" t="str">
        <f>PROPER(TEXT(tbLOG[[#This Row],[DATA/HORA]],"mmmm"))</f>
        <v>Janeiro</v>
      </c>
      <c r="C1510" s="34" t="str">
        <f>PROPER(TEXT(tbLOG[[#This Row],[DATA/HORA]],"dddd"))</f>
        <v>Terça-Feira</v>
      </c>
      <c r="D1510" s="3" t="s">
        <v>297</v>
      </c>
      <c r="E1510" s="34" t="str">
        <f>IFERROR(VLOOKUP(tbLOG[[#This Row],[LOGIN]],tbMAPA[#All],2,0), "Não localizado")</f>
        <v>Ivanildo Cavalcante De Souza Junior</v>
      </c>
      <c r="F1510" s="34" t="str">
        <f>IFERROR(VLOOKUP(tbLOG[[#This Row],[LOGIN]],tbMAPA[#All],3,0), "Não localizado")</f>
        <v>Jefte Soares Da Silva</v>
      </c>
      <c r="G1510" s="3" t="s">
        <v>298</v>
      </c>
      <c r="H1510" s="3" t="s">
        <v>292</v>
      </c>
    </row>
    <row r="1511" spans="1:8">
      <c r="A1511" s="29">
        <v>42745.387384259258</v>
      </c>
      <c r="B1511" s="29" t="str">
        <f>PROPER(TEXT(tbLOG[[#This Row],[DATA/HORA]],"mmmm"))</f>
        <v>Janeiro</v>
      </c>
      <c r="C1511" s="34" t="str">
        <f>PROPER(TEXT(tbLOG[[#This Row],[DATA/HORA]],"dddd"))</f>
        <v>Terça-Feira</v>
      </c>
      <c r="D1511" s="3" t="s">
        <v>297</v>
      </c>
      <c r="E1511" s="34" t="str">
        <f>IFERROR(VLOOKUP(tbLOG[[#This Row],[LOGIN]],tbMAPA[#All],2,0), "Não localizado")</f>
        <v>Ivanildo Cavalcante De Souza Junior</v>
      </c>
      <c r="F1511" s="34" t="str">
        <f>IFERROR(VLOOKUP(tbLOG[[#This Row],[LOGIN]],tbMAPA[#All],3,0), "Não localizado")</f>
        <v>Jefte Soares Da Silva</v>
      </c>
      <c r="G1511" s="3" t="s">
        <v>298</v>
      </c>
      <c r="H1511" s="3" t="s">
        <v>290</v>
      </c>
    </row>
    <row r="1512" spans="1:8">
      <c r="A1512" s="29">
        <v>42745.389965277776</v>
      </c>
      <c r="B1512" s="29" t="str">
        <f>PROPER(TEXT(tbLOG[[#This Row],[DATA/HORA]],"mmmm"))</f>
        <v>Janeiro</v>
      </c>
      <c r="C1512" s="34" t="str">
        <f>PROPER(TEXT(tbLOG[[#This Row],[DATA/HORA]],"dddd"))</f>
        <v>Terça-Feira</v>
      </c>
      <c r="D1512" s="3" t="s">
        <v>297</v>
      </c>
      <c r="E1512" s="34" t="str">
        <f>IFERROR(VLOOKUP(tbLOG[[#This Row],[LOGIN]],tbMAPA[#All],2,0), "Não localizado")</f>
        <v>Ivanildo Cavalcante De Souza Junior</v>
      </c>
      <c r="F1512" s="34" t="str">
        <f>IFERROR(VLOOKUP(tbLOG[[#This Row],[LOGIN]],tbMAPA[#All],3,0), "Não localizado")</f>
        <v>Jefte Soares Da Silva</v>
      </c>
      <c r="G1512" s="3" t="s">
        <v>298</v>
      </c>
      <c r="H1512" s="3" t="s">
        <v>292</v>
      </c>
    </row>
    <row r="1513" spans="1:8">
      <c r="A1513" s="29">
        <v>42745.389976851853</v>
      </c>
      <c r="B1513" s="29" t="str">
        <f>PROPER(TEXT(tbLOG[[#This Row],[DATA/HORA]],"mmmm"))</f>
        <v>Janeiro</v>
      </c>
      <c r="C1513" s="34" t="str">
        <f>PROPER(TEXT(tbLOG[[#This Row],[DATA/HORA]],"dddd"))</f>
        <v>Terça-Feira</v>
      </c>
      <c r="D1513" s="3" t="s">
        <v>297</v>
      </c>
      <c r="E1513" s="34" t="str">
        <f>IFERROR(VLOOKUP(tbLOG[[#This Row],[LOGIN]],tbMAPA[#All],2,0), "Não localizado")</f>
        <v>Ivanildo Cavalcante De Souza Junior</v>
      </c>
      <c r="F1513" s="34" t="str">
        <f>IFERROR(VLOOKUP(tbLOG[[#This Row],[LOGIN]],tbMAPA[#All],3,0), "Não localizado")</f>
        <v>Jefte Soares Da Silva</v>
      </c>
      <c r="G1513" s="3" t="s">
        <v>298</v>
      </c>
      <c r="H1513" s="3" t="s">
        <v>994</v>
      </c>
    </row>
    <row r="1514" spans="1:8">
      <c r="A1514" s="29">
        <v>42745.396215277775</v>
      </c>
      <c r="B1514" s="29" t="str">
        <f>PROPER(TEXT(tbLOG[[#This Row],[DATA/HORA]],"mmmm"))</f>
        <v>Janeiro</v>
      </c>
      <c r="C1514" s="34" t="str">
        <f>PROPER(TEXT(tbLOG[[#This Row],[DATA/HORA]],"dddd"))</f>
        <v>Terça-Feira</v>
      </c>
      <c r="D1514" s="3" t="s">
        <v>297</v>
      </c>
      <c r="E1514" s="34" t="str">
        <f>IFERROR(VLOOKUP(tbLOG[[#This Row],[LOGIN]],tbMAPA[#All],2,0), "Não localizado")</f>
        <v>Ivanildo Cavalcante De Souza Junior</v>
      </c>
      <c r="F1514" s="34" t="str">
        <f>IFERROR(VLOOKUP(tbLOG[[#This Row],[LOGIN]],tbMAPA[#All],3,0), "Não localizado")</f>
        <v>Jefte Soares Da Silva</v>
      </c>
      <c r="G1514" s="3" t="s">
        <v>298</v>
      </c>
      <c r="H1514" s="3" t="s">
        <v>291</v>
      </c>
    </row>
    <row r="1515" spans="1:8">
      <c r="A1515" s="29">
        <v>42745.396215277775</v>
      </c>
      <c r="B1515" s="29" t="str">
        <f>PROPER(TEXT(tbLOG[[#This Row],[DATA/HORA]],"mmmm"))</f>
        <v>Janeiro</v>
      </c>
      <c r="C1515" s="34" t="str">
        <f>PROPER(TEXT(tbLOG[[#This Row],[DATA/HORA]],"dddd"))</f>
        <v>Terça-Feira</v>
      </c>
      <c r="D1515" s="3" t="s">
        <v>297</v>
      </c>
      <c r="E1515" s="34" t="str">
        <f>IFERROR(VLOOKUP(tbLOG[[#This Row],[LOGIN]],tbMAPA[#All],2,0), "Não localizado")</f>
        <v>Ivanildo Cavalcante De Souza Junior</v>
      </c>
      <c r="F1515" s="34" t="str">
        <f>IFERROR(VLOOKUP(tbLOG[[#This Row],[LOGIN]],tbMAPA[#All],3,0), "Não localizado")</f>
        <v>Jefte Soares Da Silva</v>
      </c>
      <c r="G1515" s="3" t="s">
        <v>298</v>
      </c>
      <c r="H1515" s="3" t="s">
        <v>290</v>
      </c>
    </row>
    <row r="1516" spans="1:8">
      <c r="A1516" s="29">
        <v>42745.399351851855</v>
      </c>
      <c r="B1516" s="29" t="str">
        <f>PROPER(TEXT(tbLOG[[#This Row],[DATA/HORA]],"mmmm"))</f>
        <v>Janeiro</v>
      </c>
      <c r="C1516" s="34" t="str">
        <f>PROPER(TEXT(tbLOG[[#This Row],[DATA/HORA]],"dddd"))</f>
        <v>Terça-Feira</v>
      </c>
      <c r="D1516" s="3" t="s">
        <v>300</v>
      </c>
      <c r="E1516" s="34" t="str">
        <f>IFERROR(VLOOKUP(tbLOG[[#This Row],[LOGIN]],tbMAPA[#All],2,0), "Não localizado")</f>
        <v>Jefte Soares Da Silva</v>
      </c>
      <c r="F1516" s="34" t="str">
        <f>IFERROR(VLOOKUP(tbLOG[[#This Row],[LOGIN]],tbMAPA[#All],3,0), "Não localizado")</f>
        <v>Daniela Andrade Silva</v>
      </c>
      <c r="G1516" s="3" t="s">
        <v>1000</v>
      </c>
      <c r="H1516" s="3" t="s">
        <v>292</v>
      </c>
    </row>
    <row r="1517" spans="1:8">
      <c r="A1517" s="29">
        <v>42745.399363425924</v>
      </c>
      <c r="B1517" s="29" t="str">
        <f>PROPER(TEXT(tbLOG[[#This Row],[DATA/HORA]],"mmmm"))</f>
        <v>Janeiro</v>
      </c>
      <c r="C1517" s="34" t="str">
        <f>PROPER(TEXT(tbLOG[[#This Row],[DATA/HORA]],"dddd"))</f>
        <v>Terça-Feira</v>
      </c>
      <c r="D1517" s="3" t="s">
        <v>300</v>
      </c>
      <c r="E1517" s="34" t="str">
        <f>IFERROR(VLOOKUP(tbLOG[[#This Row],[LOGIN]],tbMAPA[#All],2,0), "Não localizado")</f>
        <v>Jefte Soares Da Silva</v>
      </c>
      <c r="F1517" s="34" t="str">
        <f>IFERROR(VLOOKUP(tbLOG[[#This Row],[LOGIN]],tbMAPA[#All],3,0), "Não localizado")</f>
        <v>Daniela Andrade Silva</v>
      </c>
      <c r="G1517" s="3" t="s">
        <v>1000</v>
      </c>
      <c r="H1517" s="3" t="s">
        <v>994</v>
      </c>
    </row>
    <row r="1518" spans="1:8">
      <c r="A1518" s="29">
        <v>42745.399398148147</v>
      </c>
      <c r="B1518" s="29" t="str">
        <f>PROPER(TEXT(tbLOG[[#This Row],[DATA/HORA]],"mmmm"))</f>
        <v>Janeiro</v>
      </c>
      <c r="C1518" s="34" t="str">
        <f>PROPER(TEXT(tbLOG[[#This Row],[DATA/HORA]],"dddd"))</f>
        <v>Terça-Feira</v>
      </c>
      <c r="D1518" s="3" t="s">
        <v>300</v>
      </c>
      <c r="E1518" s="34" t="str">
        <f>IFERROR(VLOOKUP(tbLOG[[#This Row],[LOGIN]],tbMAPA[#All],2,0), "Não localizado")</f>
        <v>Jefte Soares Da Silva</v>
      </c>
      <c r="F1518" s="34" t="str">
        <f>IFERROR(VLOOKUP(tbLOG[[#This Row],[LOGIN]],tbMAPA[#All],3,0), "Não localizado")</f>
        <v>Daniela Andrade Silva</v>
      </c>
      <c r="G1518" s="3" t="s">
        <v>1000</v>
      </c>
      <c r="H1518" s="3" t="s">
        <v>315</v>
      </c>
    </row>
    <row r="1519" spans="1:8">
      <c r="A1519" s="29">
        <v>42745.399571759262</v>
      </c>
      <c r="B1519" s="29" t="str">
        <f>PROPER(TEXT(tbLOG[[#This Row],[DATA/HORA]],"mmmm"))</f>
        <v>Janeiro</v>
      </c>
      <c r="C1519" s="34" t="str">
        <f>PROPER(TEXT(tbLOG[[#This Row],[DATA/HORA]],"dddd"))</f>
        <v>Terça-Feira</v>
      </c>
      <c r="D1519" s="3" t="s">
        <v>300</v>
      </c>
      <c r="E1519" s="34" t="str">
        <f>IFERROR(VLOOKUP(tbLOG[[#This Row],[LOGIN]],tbMAPA[#All],2,0), "Não localizado")</f>
        <v>Jefte Soares Da Silva</v>
      </c>
      <c r="F1519" s="34" t="str">
        <f>IFERROR(VLOOKUP(tbLOG[[#This Row],[LOGIN]],tbMAPA[#All],3,0), "Não localizado")</f>
        <v>Daniela Andrade Silva</v>
      </c>
      <c r="G1519" s="3" t="s">
        <v>1000</v>
      </c>
      <c r="H1519" s="3" t="s">
        <v>292</v>
      </c>
    </row>
    <row r="1520" spans="1:8">
      <c r="A1520" s="29">
        <v>42745.399583333332</v>
      </c>
      <c r="B1520" s="29" t="str">
        <f>PROPER(TEXT(tbLOG[[#This Row],[DATA/HORA]],"mmmm"))</f>
        <v>Janeiro</v>
      </c>
      <c r="C1520" s="34" t="str">
        <f>PROPER(TEXT(tbLOG[[#This Row],[DATA/HORA]],"dddd"))</f>
        <v>Terça-Feira</v>
      </c>
      <c r="D1520" s="3" t="s">
        <v>300</v>
      </c>
      <c r="E1520" s="34" t="str">
        <f>IFERROR(VLOOKUP(tbLOG[[#This Row],[LOGIN]],tbMAPA[#All],2,0), "Não localizado")</f>
        <v>Jefte Soares Da Silva</v>
      </c>
      <c r="F1520" s="34" t="str">
        <f>IFERROR(VLOOKUP(tbLOG[[#This Row],[LOGIN]],tbMAPA[#All],3,0), "Não localizado")</f>
        <v>Daniela Andrade Silva</v>
      </c>
      <c r="G1520" s="3" t="s">
        <v>1000</v>
      </c>
      <c r="H1520" s="3" t="s">
        <v>292</v>
      </c>
    </row>
    <row r="1521" spans="1:8">
      <c r="A1521" s="29">
        <v>42745.399583333332</v>
      </c>
      <c r="B1521" s="29" t="str">
        <f>PROPER(TEXT(tbLOG[[#This Row],[DATA/HORA]],"mmmm"))</f>
        <v>Janeiro</v>
      </c>
      <c r="C1521" s="34" t="str">
        <f>PROPER(TEXT(tbLOG[[#This Row],[DATA/HORA]],"dddd"))</f>
        <v>Terça-Feira</v>
      </c>
      <c r="D1521" s="3" t="s">
        <v>300</v>
      </c>
      <c r="E1521" s="34" t="str">
        <f>IFERROR(VLOOKUP(tbLOG[[#This Row],[LOGIN]],tbMAPA[#All],2,0), "Não localizado")</f>
        <v>Jefte Soares Da Silva</v>
      </c>
      <c r="F1521" s="34" t="str">
        <f>IFERROR(VLOOKUP(tbLOG[[#This Row],[LOGIN]],tbMAPA[#All],3,0), "Não localizado")</f>
        <v>Daniela Andrade Silva</v>
      </c>
      <c r="G1521" s="3" t="s">
        <v>1000</v>
      </c>
      <c r="H1521" s="3" t="s">
        <v>317</v>
      </c>
    </row>
    <row r="1522" spans="1:8">
      <c r="A1522" s="29">
        <v>42745.401053240741</v>
      </c>
      <c r="B1522" s="29" t="str">
        <f>PROPER(TEXT(tbLOG[[#This Row],[DATA/HORA]],"mmmm"))</f>
        <v>Janeiro</v>
      </c>
      <c r="C1522" s="34" t="str">
        <f>PROPER(TEXT(tbLOG[[#This Row],[DATA/HORA]],"dddd"))</f>
        <v>Terça-Feira</v>
      </c>
      <c r="D1522" s="3" t="s">
        <v>300</v>
      </c>
      <c r="E1522" s="34" t="str">
        <f>IFERROR(VLOOKUP(tbLOG[[#This Row],[LOGIN]],tbMAPA[#All],2,0), "Não localizado")</f>
        <v>Jefte Soares Da Silva</v>
      </c>
      <c r="F1522" s="34" t="str">
        <f>IFERROR(VLOOKUP(tbLOG[[#This Row],[LOGIN]],tbMAPA[#All],3,0), "Não localizado")</f>
        <v>Daniela Andrade Silva</v>
      </c>
      <c r="G1522" s="3" t="s">
        <v>1000</v>
      </c>
      <c r="H1522" s="3" t="s">
        <v>835</v>
      </c>
    </row>
    <row r="1523" spans="1:8">
      <c r="A1523" s="29">
        <v>42745.401446759257</v>
      </c>
      <c r="B1523" s="29" t="str">
        <f>PROPER(TEXT(tbLOG[[#This Row],[DATA/HORA]],"mmmm"))</f>
        <v>Janeiro</v>
      </c>
      <c r="C1523" s="34" t="str">
        <f>PROPER(TEXT(tbLOG[[#This Row],[DATA/HORA]],"dddd"))</f>
        <v>Terça-Feira</v>
      </c>
      <c r="D1523" s="3" t="s">
        <v>300</v>
      </c>
      <c r="E1523" s="34" t="str">
        <f>IFERROR(VLOOKUP(tbLOG[[#This Row],[LOGIN]],tbMAPA[#All],2,0), "Não localizado")</f>
        <v>Jefte Soares Da Silva</v>
      </c>
      <c r="F1523" s="34" t="str">
        <f>IFERROR(VLOOKUP(tbLOG[[#This Row],[LOGIN]],tbMAPA[#All],3,0), "Não localizado")</f>
        <v>Daniela Andrade Silva</v>
      </c>
      <c r="G1523" s="3" t="s">
        <v>1000</v>
      </c>
      <c r="H1523" s="3" t="s">
        <v>836</v>
      </c>
    </row>
    <row r="1524" spans="1:8">
      <c r="A1524" s="29">
        <v>42745.401863425926</v>
      </c>
      <c r="B1524" s="29" t="str">
        <f>PROPER(TEXT(tbLOG[[#This Row],[DATA/HORA]],"mmmm"))</f>
        <v>Janeiro</v>
      </c>
      <c r="C1524" s="34" t="str">
        <f>PROPER(TEXT(tbLOG[[#This Row],[DATA/HORA]],"dddd"))</f>
        <v>Terça-Feira</v>
      </c>
      <c r="D1524" s="3" t="s">
        <v>300</v>
      </c>
      <c r="E1524" s="34" t="str">
        <f>IFERROR(VLOOKUP(tbLOG[[#This Row],[LOGIN]],tbMAPA[#All],2,0), "Não localizado")</f>
        <v>Jefte Soares Da Silva</v>
      </c>
      <c r="F1524" s="34" t="str">
        <f>IFERROR(VLOOKUP(tbLOG[[#This Row],[LOGIN]],tbMAPA[#All],3,0), "Não localizado")</f>
        <v>Daniela Andrade Silva</v>
      </c>
      <c r="G1524" s="3" t="s">
        <v>1000</v>
      </c>
      <c r="H1524" s="3" t="s">
        <v>292</v>
      </c>
    </row>
    <row r="1525" spans="1:8">
      <c r="A1525" s="29">
        <v>42745.401921296296</v>
      </c>
      <c r="B1525" s="29" t="str">
        <f>PROPER(TEXT(tbLOG[[#This Row],[DATA/HORA]],"mmmm"))</f>
        <v>Janeiro</v>
      </c>
      <c r="C1525" s="34" t="str">
        <f>PROPER(TEXT(tbLOG[[#This Row],[DATA/HORA]],"dddd"))</f>
        <v>Terça-Feira</v>
      </c>
      <c r="D1525" s="3" t="s">
        <v>300</v>
      </c>
      <c r="E1525" s="34" t="str">
        <f>IFERROR(VLOOKUP(tbLOG[[#This Row],[LOGIN]],tbMAPA[#All],2,0), "Não localizado")</f>
        <v>Jefte Soares Da Silva</v>
      </c>
      <c r="F1525" s="34" t="str">
        <f>IFERROR(VLOOKUP(tbLOG[[#This Row],[LOGIN]],tbMAPA[#All],3,0), "Não localizado")</f>
        <v>Daniela Andrade Silva</v>
      </c>
      <c r="G1525" s="3" t="s">
        <v>1000</v>
      </c>
      <c r="H1525" s="3" t="s">
        <v>290</v>
      </c>
    </row>
    <row r="1526" spans="1:8">
      <c r="A1526" s="29">
        <v>42745.401990740742</v>
      </c>
      <c r="B1526" s="29" t="str">
        <f>PROPER(TEXT(tbLOG[[#This Row],[DATA/HORA]],"mmmm"))</f>
        <v>Janeiro</v>
      </c>
      <c r="C1526" s="34" t="str">
        <f>PROPER(TEXT(tbLOG[[#This Row],[DATA/HORA]],"dddd"))</f>
        <v>Terça-Feira</v>
      </c>
      <c r="D1526" s="3" t="s">
        <v>300</v>
      </c>
      <c r="E1526" s="34" t="str">
        <f>IFERROR(VLOOKUP(tbLOG[[#This Row],[LOGIN]],tbMAPA[#All],2,0), "Não localizado")</f>
        <v>Jefte Soares Da Silva</v>
      </c>
      <c r="F1526" s="34" t="str">
        <f>IFERROR(VLOOKUP(tbLOG[[#This Row],[LOGIN]],tbMAPA[#All],3,0), "Não localizado")</f>
        <v>Daniela Andrade Silva</v>
      </c>
      <c r="G1526" s="3" t="s">
        <v>1000</v>
      </c>
      <c r="H1526" s="3" t="s">
        <v>291</v>
      </c>
    </row>
    <row r="1527" spans="1:8">
      <c r="A1527" s="29">
        <v>42745.401990740742</v>
      </c>
      <c r="B1527" s="29" t="str">
        <f>PROPER(TEXT(tbLOG[[#This Row],[DATA/HORA]],"mmmm"))</f>
        <v>Janeiro</v>
      </c>
      <c r="C1527" s="34" t="str">
        <f>PROPER(TEXT(tbLOG[[#This Row],[DATA/HORA]],"dddd"))</f>
        <v>Terça-Feira</v>
      </c>
      <c r="D1527" s="3" t="s">
        <v>300</v>
      </c>
      <c r="E1527" s="34" t="str">
        <f>IFERROR(VLOOKUP(tbLOG[[#This Row],[LOGIN]],tbMAPA[#All],2,0), "Não localizado")</f>
        <v>Jefte Soares Da Silva</v>
      </c>
      <c r="F1527" s="34" t="str">
        <f>IFERROR(VLOOKUP(tbLOG[[#This Row],[LOGIN]],tbMAPA[#All],3,0), "Não localizado")</f>
        <v>Daniela Andrade Silva</v>
      </c>
      <c r="G1527" s="3" t="s">
        <v>1000</v>
      </c>
      <c r="H1527" s="3" t="s">
        <v>290</v>
      </c>
    </row>
    <row r="1528" spans="1:8">
      <c r="A1528" s="29">
        <v>42745.410173611112</v>
      </c>
      <c r="B1528" s="29" t="str">
        <f>PROPER(TEXT(tbLOG[[#This Row],[DATA/HORA]],"mmmm"))</f>
        <v>Janeiro</v>
      </c>
      <c r="C1528" s="34" t="str">
        <f>PROPER(TEXT(tbLOG[[#This Row],[DATA/HORA]],"dddd"))</f>
        <v>Terça-Feira</v>
      </c>
      <c r="D1528" s="3" t="s">
        <v>300</v>
      </c>
      <c r="E1528" s="34" t="str">
        <f>IFERROR(VLOOKUP(tbLOG[[#This Row],[LOGIN]],tbMAPA[#All],2,0), "Não localizado")</f>
        <v>Jefte Soares Da Silva</v>
      </c>
      <c r="F1528" s="34" t="str">
        <f>IFERROR(VLOOKUP(tbLOG[[#This Row],[LOGIN]],tbMAPA[#All],3,0), "Não localizado")</f>
        <v>Daniela Andrade Silva</v>
      </c>
      <c r="G1528" s="3" t="s">
        <v>1000</v>
      </c>
      <c r="H1528" s="3" t="s">
        <v>292</v>
      </c>
    </row>
    <row r="1529" spans="1:8">
      <c r="A1529" s="29">
        <v>42745.410173611112</v>
      </c>
      <c r="B1529" s="29" t="str">
        <f>PROPER(TEXT(tbLOG[[#This Row],[DATA/HORA]],"mmmm"))</f>
        <v>Janeiro</v>
      </c>
      <c r="C1529" s="34" t="str">
        <f>PROPER(TEXT(tbLOG[[#This Row],[DATA/HORA]],"dddd"))</f>
        <v>Terça-Feira</v>
      </c>
      <c r="D1529" s="3" t="s">
        <v>300</v>
      </c>
      <c r="E1529" s="34" t="str">
        <f>IFERROR(VLOOKUP(tbLOG[[#This Row],[LOGIN]],tbMAPA[#All],2,0), "Não localizado")</f>
        <v>Jefte Soares Da Silva</v>
      </c>
      <c r="F1529" s="34" t="str">
        <f>IFERROR(VLOOKUP(tbLOG[[#This Row],[LOGIN]],tbMAPA[#All],3,0), "Não localizado")</f>
        <v>Daniela Andrade Silva</v>
      </c>
      <c r="G1529" s="3" t="s">
        <v>1000</v>
      </c>
      <c r="H1529" s="3" t="s">
        <v>994</v>
      </c>
    </row>
    <row r="1530" spans="1:8">
      <c r="A1530" s="29">
        <v>42745.411134259259</v>
      </c>
      <c r="B1530" s="29" t="str">
        <f>PROPER(TEXT(tbLOG[[#This Row],[DATA/HORA]],"mmmm"))</f>
        <v>Janeiro</v>
      </c>
      <c r="C1530" s="34" t="str">
        <f>PROPER(TEXT(tbLOG[[#This Row],[DATA/HORA]],"dddd"))</f>
        <v>Terça-Feira</v>
      </c>
      <c r="D1530" s="3" t="s">
        <v>300</v>
      </c>
      <c r="E1530" s="34" t="str">
        <f>IFERROR(VLOOKUP(tbLOG[[#This Row],[LOGIN]],tbMAPA[#All],2,0), "Não localizado")</f>
        <v>Jefte Soares Da Silva</v>
      </c>
      <c r="F1530" s="34" t="str">
        <f>IFERROR(VLOOKUP(tbLOG[[#This Row],[LOGIN]],tbMAPA[#All],3,0), "Não localizado")</f>
        <v>Daniela Andrade Silva</v>
      </c>
      <c r="G1530" s="3" t="s">
        <v>1000</v>
      </c>
      <c r="H1530" s="3" t="s">
        <v>836</v>
      </c>
    </row>
    <row r="1531" spans="1:8">
      <c r="A1531" s="29">
        <v>42745.412280092591</v>
      </c>
      <c r="B1531" s="29" t="str">
        <f>PROPER(TEXT(tbLOG[[#This Row],[DATA/HORA]],"mmmm"))</f>
        <v>Janeiro</v>
      </c>
      <c r="C1531" s="34" t="str">
        <f>PROPER(TEXT(tbLOG[[#This Row],[DATA/HORA]],"dddd"))</f>
        <v>Terça-Feira</v>
      </c>
      <c r="D1531" s="3" t="s">
        <v>300</v>
      </c>
      <c r="E1531" s="34" t="str">
        <f>IFERROR(VLOOKUP(tbLOG[[#This Row],[LOGIN]],tbMAPA[#All],2,0), "Não localizado")</f>
        <v>Jefte Soares Da Silva</v>
      </c>
      <c r="F1531" s="34" t="str">
        <f>IFERROR(VLOOKUP(tbLOG[[#This Row],[LOGIN]],tbMAPA[#All],3,0), "Não localizado")</f>
        <v>Daniela Andrade Silva</v>
      </c>
      <c r="G1531" s="3" t="s">
        <v>1000</v>
      </c>
      <c r="H1531" s="3" t="s">
        <v>290</v>
      </c>
    </row>
    <row r="1532" spans="1:8">
      <c r="A1532" s="29">
        <v>42745.412777777776</v>
      </c>
      <c r="B1532" s="29" t="str">
        <f>PROPER(TEXT(tbLOG[[#This Row],[DATA/HORA]],"mmmm"))</f>
        <v>Janeiro</v>
      </c>
      <c r="C1532" s="34" t="str">
        <f>PROPER(TEXT(tbLOG[[#This Row],[DATA/HORA]],"dddd"))</f>
        <v>Terça-Feira</v>
      </c>
      <c r="D1532" s="3" t="s">
        <v>300</v>
      </c>
      <c r="E1532" s="34" t="str">
        <f>IFERROR(VLOOKUP(tbLOG[[#This Row],[LOGIN]],tbMAPA[#All],2,0), "Não localizado")</f>
        <v>Jefte Soares Da Silva</v>
      </c>
      <c r="F1532" s="34" t="str">
        <f>IFERROR(VLOOKUP(tbLOG[[#This Row],[LOGIN]],tbMAPA[#All],3,0), "Não localizado")</f>
        <v>Daniela Andrade Silva</v>
      </c>
      <c r="G1532" s="3" t="s">
        <v>1000</v>
      </c>
      <c r="H1532" s="3" t="s">
        <v>290</v>
      </c>
    </row>
    <row r="1533" spans="1:8">
      <c r="A1533" s="29">
        <v>42745.412824074076</v>
      </c>
      <c r="B1533" s="29" t="str">
        <f>PROPER(TEXT(tbLOG[[#This Row],[DATA/HORA]],"mmmm"))</f>
        <v>Janeiro</v>
      </c>
      <c r="C1533" s="34" t="str">
        <f>PROPER(TEXT(tbLOG[[#This Row],[DATA/HORA]],"dddd"))</f>
        <v>Terça-Feira</v>
      </c>
      <c r="D1533" s="3" t="s">
        <v>300</v>
      </c>
      <c r="E1533" s="34" t="str">
        <f>IFERROR(VLOOKUP(tbLOG[[#This Row],[LOGIN]],tbMAPA[#All],2,0), "Não localizado")</f>
        <v>Jefte Soares Da Silva</v>
      </c>
      <c r="F1533" s="34" t="str">
        <f>IFERROR(VLOOKUP(tbLOG[[#This Row],[LOGIN]],tbMAPA[#All],3,0), "Não localizado")</f>
        <v>Daniela Andrade Silva</v>
      </c>
      <c r="G1533" s="3" t="s">
        <v>1000</v>
      </c>
      <c r="H1533" s="3" t="s">
        <v>291</v>
      </c>
    </row>
    <row r="1534" spans="1:8">
      <c r="A1534" s="29">
        <v>42745.412824074076</v>
      </c>
      <c r="B1534" s="29" t="str">
        <f>PROPER(TEXT(tbLOG[[#This Row],[DATA/HORA]],"mmmm"))</f>
        <v>Janeiro</v>
      </c>
      <c r="C1534" s="34" t="str">
        <f>PROPER(TEXT(tbLOG[[#This Row],[DATA/HORA]],"dddd"))</f>
        <v>Terça-Feira</v>
      </c>
      <c r="D1534" s="3" t="s">
        <v>300</v>
      </c>
      <c r="E1534" s="34" t="str">
        <f>IFERROR(VLOOKUP(tbLOG[[#This Row],[LOGIN]],tbMAPA[#All],2,0), "Não localizado")</f>
        <v>Jefte Soares Da Silva</v>
      </c>
      <c r="F1534" s="34" t="str">
        <f>IFERROR(VLOOKUP(tbLOG[[#This Row],[LOGIN]],tbMAPA[#All],3,0), "Não localizado")</f>
        <v>Daniela Andrade Silva</v>
      </c>
      <c r="G1534" s="3" t="s">
        <v>1000</v>
      </c>
      <c r="H1534" s="3" t="s">
        <v>290</v>
      </c>
    </row>
    <row r="1535" spans="1:8">
      <c r="A1535" s="29">
        <v>42745.431562500002</v>
      </c>
      <c r="B1535" s="29" t="str">
        <f>PROPER(TEXT(tbLOG[[#This Row],[DATA/HORA]],"mmmm"))</f>
        <v>Janeiro</v>
      </c>
      <c r="C1535" s="34" t="str">
        <f>PROPER(TEXT(tbLOG[[#This Row],[DATA/HORA]],"dddd"))</f>
        <v>Terça-Feira</v>
      </c>
      <c r="D1535" s="3" t="s">
        <v>604</v>
      </c>
      <c r="E1535" s="34" t="str">
        <f>IFERROR(VLOOKUP(tbLOG[[#This Row],[LOGIN]],tbMAPA[#All],2,0), "Não localizado")</f>
        <v>Renan Cazumba Tegani</v>
      </c>
      <c r="F1535" s="34" t="str">
        <f>IFERROR(VLOOKUP(tbLOG[[#This Row],[LOGIN]],tbMAPA[#All],3,0), "Não localizado")</f>
        <v>Reginaldo Santana De Souza</v>
      </c>
      <c r="G1535" s="3" t="s">
        <v>1211</v>
      </c>
      <c r="H1535" s="3" t="s">
        <v>994</v>
      </c>
    </row>
    <row r="1536" spans="1:8">
      <c r="A1536" s="29">
        <v>42745.434988425928</v>
      </c>
      <c r="B1536" s="29" t="str">
        <f>PROPER(TEXT(tbLOG[[#This Row],[DATA/HORA]],"mmmm"))</f>
        <v>Janeiro</v>
      </c>
      <c r="C1536" s="34" t="str">
        <f>PROPER(TEXT(tbLOG[[#This Row],[DATA/HORA]],"dddd"))</f>
        <v>Terça-Feira</v>
      </c>
      <c r="D1536" s="3" t="s">
        <v>604</v>
      </c>
      <c r="E1536" s="34" t="str">
        <f>IFERROR(VLOOKUP(tbLOG[[#This Row],[LOGIN]],tbMAPA[#All],2,0), "Não localizado")</f>
        <v>Renan Cazumba Tegani</v>
      </c>
      <c r="F1536" s="34" t="str">
        <f>IFERROR(VLOOKUP(tbLOG[[#This Row],[LOGIN]],tbMAPA[#All],3,0), "Não localizado")</f>
        <v>Reginaldo Santana De Souza</v>
      </c>
      <c r="G1536" s="3" t="s">
        <v>1211</v>
      </c>
      <c r="H1536" s="3" t="s">
        <v>836</v>
      </c>
    </row>
    <row r="1537" spans="1:8">
      <c r="A1537" s="29">
        <v>42745.435011574074</v>
      </c>
      <c r="B1537" s="29" t="str">
        <f>PROPER(TEXT(tbLOG[[#This Row],[DATA/HORA]],"mmmm"))</f>
        <v>Janeiro</v>
      </c>
      <c r="C1537" s="34" t="str">
        <f>PROPER(TEXT(tbLOG[[#This Row],[DATA/HORA]],"dddd"))</f>
        <v>Terça-Feira</v>
      </c>
      <c r="D1537" s="3" t="s">
        <v>604</v>
      </c>
      <c r="E1537" s="34" t="str">
        <f>IFERROR(VLOOKUP(tbLOG[[#This Row],[LOGIN]],tbMAPA[#All],2,0), "Não localizado")</f>
        <v>Renan Cazumba Tegani</v>
      </c>
      <c r="F1537" s="34" t="str">
        <f>IFERROR(VLOOKUP(tbLOG[[#This Row],[LOGIN]],tbMAPA[#All],3,0), "Não localizado")</f>
        <v>Reginaldo Santana De Souza</v>
      </c>
      <c r="G1537" s="3" t="s">
        <v>1211</v>
      </c>
      <c r="H1537" s="3" t="s">
        <v>836</v>
      </c>
    </row>
    <row r="1538" spans="1:8">
      <c r="A1538" s="29">
        <v>42745.43513888889</v>
      </c>
      <c r="B1538" s="29" t="str">
        <f>PROPER(TEXT(tbLOG[[#This Row],[DATA/HORA]],"mmmm"))</f>
        <v>Janeiro</v>
      </c>
      <c r="C1538" s="34" t="str">
        <f>PROPER(TEXT(tbLOG[[#This Row],[DATA/HORA]],"dddd"))</f>
        <v>Terça-Feira</v>
      </c>
      <c r="D1538" s="3" t="s">
        <v>604</v>
      </c>
      <c r="E1538" s="34" t="str">
        <f>IFERROR(VLOOKUP(tbLOG[[#This Row],[LOGIN]],tbMAPA[#All],2,0), "Não localizado")</f>
        <v>Renan Cazumba Tegani</v>
      </c>
      <c r="F1538" s="34" t="str">
        <f>IFERROR(VLOOKUP(tbLOG[[#This Row],[LOGIN]],tbMAPA[#All],3,0), "Não localizado")</f>
        <v>Reginaldo Santana De Souza</v>
      </c>
      <c r="G1538" s="3" t="s">
        <v>1211</v>
      </c>
      <c r="H1538" s="3" t="s">
        <v>836</v>
      </c>
    </row>
    <row r="1539" spans="1:8">
      <c r="A1539" s="29">
        <v>42745.438252314816</v>
      </c>
      <c r="B1539" s="29" t="str">
        <f>PROPER(TEXT(tbLOG[[#This Row],[DATA/HORA]],"mmmm"))</f>
        <v>Janeiro</v>
      </c>
      <c r="C1539" s="34" t="str">
        <f>PROPER(TEXT(tbLOG[[#This Row],[DATA/HORA]],"dddd"))</f>
        <v>Terça-Feira</v>
      </c>
      <c r="D1539" s="3" t="s">
        <v>604</v>
      </c>
      <c r="E1539" s="34" t="str">
        <f>IFERROR(VLOOKUP(tbLOG[[#This Row],[LOGIN]],tbMAPA[#All],2,0), "Não localizado")</f>
        <v>Renan Cazumba Tegani</v>
      </c>
      <c r="F1539" s="34" t="str">
        <f>IFERROR(VLOOKUP(tbLOG[[#This Row],[LOGIN]],tbMAPA[#All],3,0), "Não localizado")</f>
        <v>Reginaldo Santana De Souza</v>
      </c>
      <c r="G1539" s="3" t="s">
        <v>1211</v>
      </c>
      <c r="H1539" s="3" t="s">
        <v>836</v>
      </c>
    </row>
    <row r="1540" spans="1:8">
      <c r="A1540" s="29">
        <v>42745.438263888886</v>
      </c>
      <c r="B1540" s="29" t="str">
        <f>PROPER(TEXT(tbLOG[[#This Row],[DATA/HORA]],"mmmm"))</f>
        <v>Janeiro</v>
      </c>
      <c r="C1540" s="34" t="str">
        <f>PROPER(TEXT(tbLOG[[#This Row],[DATA/HORA]],"dddd"))</f>
        <v>Terça-Feira</v>
      </c>
      <c r="D1540" s="3" t="s">
        <v>604</v>
      </c>
      <c r="E1540" s="34" t="str">
        <f>IFERROR(VLOOKUP(tbLOG[[#This Row],[LOGIN]],tbMAPA[#All],2,0), "Não localizado")</f>
        <v>Renan Cazumba Tegani</v>
      </c>
      <c r="F1540" s="34" t="str">
        <f>IFERROR(VLOOKUP(tbLOG[[#This Row],[LOGIN]],tbMAPA[#All],3,0), "Não localizado")</f>
        <v>Reginaldo Santana De Souza</v>
      </c>
      <c r="G1540" s="3" t="s">
        <v>1211</v>
      </c>
      <c r="H1540" s="3" t="s">
        <v>836</v>
      </c>
    </row>
    <row r="1541" spans="1:8">
      <c r="A1541" s="29">
        <v>42745.438368055555</v>
      </c>
      <c r="B1541" s="29" t="str">
        <f>PROPER(TEXT(tbLOG[[#This Row],[DATA/HORA]],"mmmm"))</f>
        <v>Janeiro</v>
      </c>
      <c r="C1541" s="34" t="str">
        <f>PROPER(TEXT(tbLOG[[#This Row],[DATA/HORA]],"dddd"))</f>
        <v>Terça-Feira</v>
      </c>
      <c r="D1541" s="3" t="s">
        <v>604</v>
      </c>
      <c r="E1541" s="34" t="str">
        <f>IFERROR(VLOOKUP(tbLOG[[#This Row],[LOGIN]],tbMAPA[#All],2,0), "Não localizado")</f>
        <v>Renan Cazumba Tegani</v>
      </c>
      <c r="F1541" s="34" t="str">
        <f>IFERROR(VLOOKUP(tbLOG[[#This Row],[LOGIN]],tbMAPA[#All],3,0), "Não localizado")</f>
        <v>Reginaldo Santana De Souza</v>
      </c>
      <c r="G1541" s="3" t="s">
        <v>1211</v>
      </c>
      <c r="H1541" s="3" t="s">
        <v>836</v>
      </c>
    </row>
    <row r="1542" spans="1:8">
      <c r="A1542" s="29">
        <v>42745.442164351851</v>
      </c>
      <c r="B1542" s="29" t="str">
        <f>PROPER(TEXT(tbLOG[[#This Row],[DATA/HORA]],"mmmm"))</f>
        <v>Janeiro</v>
      </c>
      <c r="C1542" s="34" t="str">
        <f>PROPER(TEXT(tbLOG[[#This Row],[DATA/HORA]],"dddd"))</f>
        <v>Terça-Feira</v>
      </c>
      <c r="D1542" s="3" t="s">
        <v>604</v>
      </c>
      <c r="E1542" s="34" t="str">
        <f>IFERROR(VLOOKUP(tbLOG[[#This Row],[LOGIN]],tbMAPA[#All],2,0), "Não localizado")</f>
        <v>Renan Cazumba Tegani</v>
      </c>
      <c r="F1542" s="34" t="str">
        <f>IFERROR(VLOOKUP(tbLOG[[#This Row],[LOGIN]],tbMAPA[#All],3,0), "Não localizado")</f>
        <v>Reginaldo Santana De Souza</v>
      </c>
      <c r="G1542" s="3" t="s">
        <v>1211</v>
      </c>
      <c r="H1542" s="3" t="s">
        <v>836</v>
      </c>
    </row>
    <row r="1543" spans="1:8">
      <c r="A1543" s="29">
        <v>42745.442175925928</v>
      </c>
      <c r="B1543" s="29" t="str">
        <f>PROPER(TEXT(tbLOG[[#This Row],[DATA/HORA]],"mmmm"))</f>
        <v>Janeiro</v>
      </c>
      <c r="C1543" s="34" t="str">
        <f>PROPER(TEXT(tbLOG[[#This Row],[DATA/HORA]],"dddd"))</f>
        <v>Terça-Feira</v>
      </c>
      <c r="D1543" s="3" t="s">
        <v>604</v>
      </c>
      <c r="E1543" s="34" t="str">
        <f>IFERROR(VLOOKUP(tbLOG[[#This Row],[LOGIN]],tbMAPA[#All],2,0), "Não localizado")</f>
        <v>Renan Cazumba Tegani</v>
      </c>
      <c r="F1543" s="34" t="str">
        <f>IFERROR(VLOOKUP(tbLOG[[#This Row],[LOGIN]],tbMAPA[#All],3,0), "Não localizado")</f>
        <v>Reginaldo Santana De Souza</v>
      </c>
      <c r="G1543" s="3" t="s">
        <v>1211</v>
      </c>
      <c r="H1543" s="3" t="s">
        <v>836</v>
      </c>
    </row>
    <row r="1544" spans="1:8">
      <c r="A1544" s="29">
        <v>42745.442210648151</v>
      </c>
      <c r="B1544" s="29" t="str">
        <f>PROPER(TEXT(tbLOG[[#This Row],[DATA/HORA]],"mmmm"))</f>
        <v>Janeiro</v>
      </c>
      <c r="C1544" s="34" t="str">
        <f>PROPER(TEXT(tbLOG[[#This Row],[DATA/HORA]],"dddd"))</f>
        <v>Terça-Feira</v>
      </c>
      <c r="D1544" s="3" t="s">
        <v>604</v>
      </c>
      <c r="E1544" s="34" t="str">
        <f>IFERROR(VLOOKUP(tbLOG[[#This Row],[LOGIN]],tbMAPA[#All],2,0), "Não localizado")</f>
        <v>Renan Cazumba Tegani</v>
      </c>
      <c r="F1544" s="34" t="str">
        <f>IFERROR(VLOOKUP(tbLOG[[#This Row],[LOGIN]],tbMAPA[#All],3,0), "Não localizado")</f>
        <v>Reginaldo Santana De Souza</v>
      </c>
      <c r="G1544" s="3" t="s">
        <v>1211</v>
      </c>
      <c r="H1544" s="3" t="s">
        <v>836</v>
      </c>
    </row>
    <row r="1545" spans="1:8">
      <c r="A1545" s="29">
        <v>42745.457708333335</v>
      </c>
      <c r="B1545" s="29" t="str">
        <f>PROPER(TEXT(tbLOG[[#This Row],[DATA/HORA]],"mmmm"))</f>
        <v>Janeiro</v>
      </c>
      <c r="C1545" s="34" t="str">
        <f>PROPER(TEXT(tbLOG[[#This Row],[DATA/HORA]],"dddd"))</f>
        <v>Terça-Feira</v>
      </c>
      <c r="D1545" s="3" t="s">
        <v>604</v>
      </c>
      <c r="E1545" s="34" t="str">
        <f>IFERROR(VLOOKUP(tbLOG[[#This Row],[LOGIN]],tbMAPA[#All],2,0), "Não localizado")</f>
        <v>Renan Cazumba Tegani</v>
      </c>
      <c r="F1545" s="34" t="str">
        <f>IFERROR(VLOOKUP(tbLOG[[#This Row],[LOGIN]],tbMAPA[#All],3,0), "Não localizado")</f>
        <v>Reginaldo Santana De Souza</v>
      </c>
      <c r="G1545" s="3" t="s">
        <v>1211</v>
      </c>
      <c r="H1545" s="3" t="s">
        <v>836</v>
      </c>
    </row>
    <row r="1546" spans="1:8">
      <c r="A1546" s="29">
        <v>42745.457719907405</v>
      </c>
      <c r="B1546" s="29" t="str">
        <f>PROPER(TEXT(tbLOG[[#This Row],[DATA/HORA]],"mmmm"))</f>
        <v>Janeiro</v>
      </c>
      <c r="C1546" s="34" t="str">
        <f>PROPER(TEXT(tbLOG[[#This Row],[DATA/HORA]],"dddd"))</f>
        <v>Terça-Feira</v>
      </c>
      <c r="D1546" s="3" t="s">
        <v>604</v>
      </c>
      <c r="E1546" s="34" t="str">
        <f>IFERROR(VLOOKUP(tbLOG[[#This Row],[LOGIN]],tbMAPA[#All],2,0), "Não localizado")</f>
        <v>Renan Cazumba Tegani</v>
      </c>
      <c r="F1546" s="34" t="str">
        <f>IFERROR(VLOOKUP(tbLOG[[#This Row],[LOGIN]],tbMAPA[#All],3,0), "Não localizado")</f>
        <v>Reginaldo Santana De Souza</v>
      </c>
      <c r="G1546" s="3" t="s">
        <v>1211</v>
      </c>
      <c r="H1546" s="3" t="s">
        <v>836</v>
      </c>
    </row>
    <row r="1547" spans="1:8">
      <c r="A1547" s="29">
        <v>42745.457812499997</v>
      </c>
      <c r="B1547" s="29" t="str">
        <f>PROPER(TEXT(tbLOG[[#This Row],[DATA/HORA]],"mmmm"))</f>
        <v>Janeiro</v>
      </c>
      <c r="C1547" s="34" t="str">
        <f>PROPER(TEXT(tbLOG[[#This Row],[DATA/HORA]],"dddd"))</f>
        <v>Terça-Feira</v>
      </c>
      <c r="D1547" s="3" t="s">
        <v>604</v>
      </c>
      <c r="E1547" s="34" t="str">
        <f>IFERROR(VLOOKUP(tbLOG[[#This Row],[LOGIN]],tbMAPA[#All],2,0), "Não localizado")</f>
        <v>Renan Cazumba Tegani</v>
      </c>
      <c r="F1547" s="34" t="str">
        <f>IFERROR(VLOOKUP(tbLOG[[#This Row],[LOGIN]],tbMAPA[#All],3,0), "Não localizado")</f>
        <v>Reginaldo Santana De Souza</v>
      </c>
      <c r="G1547" s="3" t="s">
        <v>1211</v>
      </c>
      <c r="H1547" s="3" t="s">
        <v>836</v>
      </c>
    </row>
    <row r="1548" spans="1:8">
      <c r="A1548" s="29">
        <v>42745.45988425926</v>
      </c>
      <c r="B1548" s="29" t="str">
        <f>PROPER(TEXT(tbLOG[[#This Row],[DATA/HORA]],"mmmm"))</f>
        <v>Janeiro</v>
      </c>
      <c r="C1548" s="34" t="str">
        <f>PROPER(TEXT(tbLOG[[#This Row],[DATA/HORA]],"dddd"))</f>
        <v>Terça-Feira</v>
      </c>
      <c r="D1548" s="3" t="s">
        <v>604</v>
      </c>
      <c r="E1548" s="34" t="str">
        <f>IFERROR(VLOOKUP(tbLOG[[#This Row],[LOGIN]],tbMAPA[#All],2,0), "Não localizado")</f>
        <v>Renan Cazumba Tegani</v>
      </c>
      <c r="F1548" s="34" t="str">
        <f>IFERROR(VLOOKUP(tbLOG[[#This Row],[LOGIN]],tbMAPA[#All],3,0), "Não localizado")</f>
        <v>Reginaldo Santana De Souza</v>
      </c>
      <c r="G1548" s="3" t="s">
        <v>1211</v>
      </c>
      <c r="H1548" s="3" t="s">
        <v>836</v>
      </c>
    </row>
    <row r="1549" spans="1:8">
      <c r="A1549" s="29">
        <v>42745.45994212963</v>
      </c>
      <c r="B1549" s="29" t="str">
        <f>PROPER(TEXT(tbLOG[[#This Row],[DATA/HORA]],"mmmm"))</f>
        <v>Janeiro</v>
      </c>
      <c r="C1549" s="34" t="str">
        <f>PROPER(TEXT(tbLOG[[#This Row],[DATA/HORA]],"dddd"))</f>
        <v>Terça-Feira</v>
      </c>
      <c r="D1549" s="3" t="s">
        <v>604</v>
      </c>
      <c r="E1549" s="34" t="str">
        <f>IFERROR(VLOOKUP(tbLOG[[#This Row],[LOGIN]],tbMAPA[#All],2,0), "Não localizado")</f>
        <v>Renan Cazumba Tegani</v>
      </c>
      <c r="F1549" s="34" t="str">
        <f>IFERROR(VLOOKUP(tbLOG[[#This Row],[LOGIN]],tbMAPA[#All],3,0), "Não localizado")</f>
        <v>Reginaldo Santana De Souza</v>
      </c>
      <c r="G1549" s="3" t="s">
        <v>1211</v>
      </c>
      <c r="H1549" s="3" t="s">
        <v>836</v>
      </c>
    </row>
    <row r="1550" spans="1:8">
      <c r="A1550" s="29">
        <v>42745.459988425922</v>
      </c>
      <c r="B1550" s="29" t="str">
        <f>PROPER(TEXT(tbLOG[[#This Row],[DATA/HORA]],"mmmm"))</f>
        <v>Janeiro</v>
      </c>
      <c r="C1550" s="34" t="str">
        <f>PROPER(TEXT(tbLOG[[#This Row],[DATA/HORA]],"dddd"))</f>
        <v>Terça-Feira</v>
      </c>
      <c r="D1550" s="3" t="s">
        <v>604</v>
      </c>
      <c r="E1550" s="34" t="str">
        <f>IFERROR(VLOOKUP(tbLOG[[#This Row],[LOGIN]],tbMAPA[#All],2,0), "Não localizado")</f>
        <v>Renan Cazumba Tegani</v>
      </c>
      <c r="F1550" s="34" t="str">
        <f>IFERROR(VLOOKUP(tbLOG[[#This Row],[LOGIN]],tbMAPA[#All],3,0), "Não localizado")</f>
        <v>Reginaldo Santana De Souza</v>
      </c>
      <c r="G1550" s="3" t="s">
        <v>1211</v>
      </c>
      <c r="H1550" s="3" t="s">
        <v>836</v>
      </c>
    </row>
    <row r="1551" spans="1:8">
      <c r="A1551" s="29">
        <v>42745.460011574076</v>
      </c>
      <c r="B1551" s="29" t="str">
        <f>PROPER(TEXT(tbLOG[[#This Row],[DATA/HORA]],"mmmm"))</f>
        <v>Janeiro</v>
      </c>
      <c r="C1551" s="34" t="str">
        <f>PROPER(TEXT(tbLOG[[#This Row],[DATA/HORA]],"dddd"))</f>
        <v>Terça-Feira</v>
      </c>
      <c r="D1551" s="3" t="s">
        <v>604</v>
      </c>
      <c r="E1551" s="34" t="str">
        <f>IFERROR(VLOOKUP(tbLOG[[#This Row],[LOGIN]],tbMAPA[#All],2,0), "Não localizado")</f>
        <v>Renan Cazumba Tegani</v>
      </c>
      <c r="F1551" s="34" t="str">
        <f>IFERROR(VLOOKUP(tbLOG[[#This Row],[LOGIN]],tbMAPA[#All],3,0), "Não localizado")</f>
        <v>Reginaldo Santana De Souza</v>
      </c>
      <c r="G1551" s="3" t="s">
        <v>1211</v>
      </c>
      <c r="H1551" s="3" t="s">
        <v>836</v>
      </c>
    </row>
    <row r="1552" spans="1:8">
      <c r="A1552" s="29">
        <v>42745.467395833337</v>
      </c>
      <c r="B1552" s="29" t="str">
        <f>PROPER(TEXT(tbLOG[[#This Row],[DATA/HORA]],"mmmm"))</f>
        <v>Janeiro</v>
      </c>
      <c r="C1552" s="34" t="str">
        <f>PROPER(TEXT(tbLOG[[#This Row],[DATA/HORA]],"dddd"))</f>
        <v>Terça-Feira</v>
      </c>
      <c r="D1552" s="3" t="s">
        <v>604</v>
      </c>
      <c r="E1552" s="34" t="str">
        <f>IFERROR(VLOOKUP(tbLOG[[#This Row],[LOGIN]],tbMAPA[#All],2,0), "Não localizado")</f>
        <v>Renan Cazumba Tegani</v>
      </c>
      <c r="F1552" s="34" t="str">
        <f>IFERROR(VLOOKUP(tbLOG[[#This Row],[LOGIN]],tbMAPA[#All],3,0), "Não localizado")</f>
        <v>Reginaldo Santana De Souza</v>
      </c>
      <c r="G1552" s="3" t="s">
        <v>1211</v>
      </c>
      <c r="H1552" s="3" t="s">
        <v>836</v>
      </c>
    </row>
    <row r="1553" spans="1:8">
      <c r="A1553" s="29">
        <v>42745.467430555553</v>
      </c>
      <c r="B1553" s="29" t="str">
        <f>PROPER(TEXT(tbLOG[[#This Row],[DATA/HORA]],"mmmm"))</f>
        <v>Janeiro</v>
      </c>
      <c r="C1553" s="34" t="str">
        <f>PROPER(TEXT(tbLOG[[#This Row],[DATA/HORA]],"dddd"))</f>
        <v>Terça-Feira</v>
      </c>
      <c r="D1553" s="3" t="s">
        <v>604</v>
      </c>
      <c r="E1553" s="34" t="str">
        <f>IFERROR(VLOOKUP(tbLOG[[#This Row],[LOGIN]],tbMAPA[#All],2,0), "Não localizado")</f>
        <v>Renan Cazumba Tegani</v>
      </c>
      <c r="F1553" s="34" t="str">
        <f>IFERROR(VLOOKUP(tbLOG[[#This Row],[LOGIN]],tbMAPA[#All],3,0), "Não localizado")</f>
        <v>Reginaldo Santana De Souza</v>
      </c>
      <c r="G1553" s="3" t="s">
        <v>1211</v>
      </c>
      <c r="H1553" s="3" t="s">
        <v>836</v>
      </c>
    </row>
    <row r="1554" spans="1:8">
      <c r="A1554" s="29">
        <v>42745.467476851853</v>
      </c>
      <c r="B1554" s="29" t="str">
        <f>PROPER(TEXT(tbLOG[[#This Row],[DATA/HORA]],"mmmm"))</f>
        <v>Janeiro</v>
      </c>
      <c r="C1554" s="34" t="str">
        <f>PROPER(TEXT(tbLOG[[#This Row],[DATA/HORA]],"dddd"))</f>
        <v>Terça-Feira</v>
      </c>
      <c r="D1554" s="3" t="s">
        <v>604</v>
      </c>
      <c r="E1554" s="34" t="str">
        <f>IFERROR(VLOOKUP(tbLOG[[#This Row],[LOGIN]],tbMAPA[#All],2,0), "Não localizado")</f>
        <v>Renan Cazumba Tegani</v>
      </c>
      <c r="F1554" s="34" t="str">
        <f>IFERROR(VLOOKUP(tbLOG[[#This Row],[LOGIN]],tbMAPA[#All],3,0), "Não localizado")</f>
        <v>Reginaldo Santana De Souza</v>
      </c>
      <c r="G1554" s="3" t="s">
        <v>1211</v>
      </c>
      <c r="H1554" s="3" t="s">
        <v>836</v>
      </c>
    </row>
    <row r="1555" spans="1:8">
      <c r="A1555" s="29">
        <v>42745.470462962963</v>
      </c>
      <c r="B1555" s="29" t="str">
        <f>PROPER(TEXT(tbLOG[[#This Row],[DATA/HORA]],"mmmm"))</f>
        <v>Janeiro</v>
      </c>
      <c r="C1555" s="34" t="str">
        <f>PROPER(TEXT(tbLOG[[#This Row],[DATA/HORA]],"dddd"))</f>
        <v>Terça-Feira</v>
      </c>
      <c r="D1555" s="3" t="s">
        <v>604</v>
      </c>
      <c r="E1555" s="34" t="str">
        <f>IFERROR(VLOOKUP(tbLOG[[#This Row],[LOGIN]],tbMAPA[#All],2,0), "Não localizado")</f>
        <v>Renan Cazumba Tegani</v>
      </c>
      <c r="F1555" s="34" t="str">
        <f>IFERROR(VLOOKUP(tbLOG[[#This Row],[LOGIN]],tbMAPA[#All],3,0), "Não localizado")</f>
        <v>Reginaldo Santana De Souza</v>
      </c>
      <c r="G1555" s="3" t="s">
        <v>1211</v>
      </c>
      <c r="H1555" s="3" t="s">
        <v>836</v>
      </c>
    </row>
    <row r="1556" spans="1:8">
      <c r="A1556" s="29">
        <v>42745.472905092596</v>
      </c>
      <c r="B1556" s="29" t="str">
        <f>PROPER(TEXT(tbLOG[[#This Row],[DATA/HORA]],"mmmm"))</f>
        <v>Janeiro</v>
      </c>
      <c r="C1556" s="34" t="str">
        <f>PROPER(TEXT(tbLOG[[#This Row],[DATA/HORA]],"dddd"))</f>
        <v>Terça-Feira</v>
      </c>
      <c r="D1556" s="3" t="s">
        <v>604</v>
      </c>
      <c r="E1556" s="34" t="str">
        <f>IFERROR(VLOOKUP(tbLOG[[#This Row],[LOGIN]],tbMAPA[#All],2,0), "Não localizado")</f>
        <v>Renan Cazumba Tegani</v>
      </c>
      <c r="F1556" s="34" t="str">
        <f>IFERROR(VLOOKUP(tbLOG[[#This Row],[LOGIN]],tbMAPA[#All],3,0), "Não localizado")</f>
        <v>Reginaldo Santana De Souza</v>
      </c>
      <c r="G1556" s="3" t="s">
        <v>1211</v>
      </c>
      <c r="H1556" s="3" t="s">
        <v>836</v>
      </c>
    </row>
    <row r="1557" spans="1:8">
      <c r="A1557" s="29">
        <v>42745.473749999997</v>
      </c>
      <c r="B1557" s="29" t="str">
        <f>PROPER(TEXT(tbLOG[[#This Row],[DATA/HORA]],"mmmm"))</f>
        <v>Janeiro</v>
      </c>
      <c r="C1557" s="34" t="str">
        <f>PROPER(TEXT(tbLOG[[#This Row],[DATA/HORA]],"dddd"))</f>
        <v>Terça-Feira</v>
      </c>
      <c r="D1557" s="3" t="s">
        <v>604</v>
      </c>
      <c r="E1557" s="34" t="str">
        <f>IFERROR(VLOOKUP(tbLOG[[#This Row],[LOGIN]],tbMAPA[#All],2,0), "Não localizado")</f>
        <v>Renan Cazumba Tegani</v>
      </c>
      <c r="F1557" s="34" t="str">
        <f>IFERROR(VLOOKUP(tbLOG[[#This Row],[LOGIN]],tbMAPA[#All],3,0), "Não localizado")</f>
        <v>Reginaldo Santana De Souza</v>
      </c>
      <c r="G1557" s="3" t="s">
        <v>1211</v>
      </c>
      <c r="H1557" s="3" t="s">
        <v>290</v>
      </c>
    </row>
    <row r="1558" spans="1:8">
      <c r="A1558" s="29">
        <v>42745.475069444445</v>
      </c>
      <c r="B1558" s="29" t="str">
        <f>PROPER(TEXT(tbLOG[[#This Row],[DATA/HORA]],"mmmm"))</f>
        <v>Janeiro</v>
      </c>
      <c r="C1558" s="34" t="str">
        <f>PROPER(TEXT(tbLOG[[#This Row],[DATA/HORA]],"dddd"))</f>
        <v>Terça-Feira</v>
      </c>
      <c r="D1558" s="3" t="s">
        <v>604</v>
      </c>
      <c r="E1558" s="34" t="str">
        <f>IFERROR(VLOOKUP(tbLOG[[#This Row],[LOGIN]],tbMAPA[#All],2,0), "Não localizado")</f>
        <v>Renan Cazumba Tegani</v>
      </c>
      <c r="F1558" s="34" t="str">
        <f>IFERROR(VLOOKUP(tbLOG[[#This Row],[LOGIN]],tbMAPA[#All],3,0), "Não localizado")</f>
        <v>Reginaldo Santana De Souza</v>
      </c>
      <c r="G1558" s="3" t="s">
        <v>1211</v>
      </c>
      <c r="H1558" s="3" t="s">
        <v>836</v>
      </c>
    </row>
    <row r="1559" spans="1:8">
      <c r="A1559" s="29">
        <v>42745.475115740737</v>
      </c>
      <c r="B1559" s="29" t="str">
        <f>PROPER(TEXT(tbLOG[[#This Row],[DATA/HORA]],"mmmm"))</f>
        <v>Janeiro</v>
      </c>
      <c r="C1559" s="34" t="str">
        <f>PROPER(TEXT(tbLOG[[#This Row],[DATA/HORA]],"dddd"))</f>
        <v>Terça-Feira</v>
      </c>
      <c r="D1559" s="3" t="s">
        <v>604</v>
      </c>
      <c r="E1559" s="34" t="str">
        <f>IFERROR(VLOOKUP(tbLOG[[#This Row],[LOGIN]],tbMAPA[#All],2,0), "Não localizado")</f>
        <v>Renan Cazumba Tegani</v>
      </c>
      <c r="F1559" s="34" t="str">
        <f>IFERROR(VLOOKUP(tbLOG[[#This Row],[LOGIN]],tbMAPA[#All],3,0), "Não localizado")</f>
        <v>Reginaldo Santana De Souza</v>
      </c>
      <c r="G1559" s="3" t="s">
        <v>1211</v>
      </c>
      <c r="H1559" s="3" t="s">
        <v>836</v>
      </c>
    </row>
    <row r="1560" spans="1:8">
      <c r="A1560" s="29">
        <v>42745.475127314814</v>
      </c>
      <c r="B1560" s="29" t="str">
        <f>PROPER(TEXT(tbLOG[[#This Row],[DATA/HORA]],"mmmm"))</f>
        <v>Janeiro</v>
      </c>
      <c r="C1560" s="34" t="str">
        <f>PROPER(TEXT(tbLOG[[#This Row],[DATA/HORA]],"dddd"))</f>
        <v>Terça-Feira</v>
      </c>
      <c r="D1560" s="3" t="s">
        <v>604</v>
      </c>
      <c r="E1560" s="34" t="str">
        <f>IFERROR(VLOOKUP(tbLOG[[#This Row],[LOGIN]],tbMAPA[#All],2,0), "Não localizado")</f>
        <v>Renan Cazumba Tegani</v>
      </c>
      <c r="F1560" s="34" t="str">
        <f>IFERROR(VLOOKUP(tbLOG[[#This Row],[LOGIN]],tbMAPA[#All],3,0), "Não localizado")</f>
        <v>Reginaldo Santana De Souza</v>
      </c>
      <c r="G1560" s="3" t="s">
        <v>1211</v>
      </c>
      <c r="H1560" s="3" t="s">
        <v>836</v>
      </c>
    </row>
    <row r="1561" spans="1:8">
      <c r="A1561" s="29">
        <v>42745.47515046296</v>
      </c>
      <c r="B1561" s="29" t="str">
        <f>PROPER(TEXT(tbLOG[[#This Row],[DATA/HORA]],"mmmm"))</f>
        <v>Janeiro</v>
      </c>
      <c r="C1561" s="34" t="str">
        <f>PROPER(TEXT(tbLOG[[#This Row],[DATA/HORA]],"dddd"))</f>
        <v>Terça-Feira</v>
      </c>
      <c r="D1561" s="3" t="s">
        <v>604</v>
      </c>
      <c r="E1561" s="34" t="str">
        <f>IFERROR(VLOOKUP(tbLOG[[#This Row],[LOGIN]],tbMAPA[#All],2,0), "Não localizado")</f>
        <v>Renan Cazumba Tegani</v>
      </c>
      <c r="F1561" s="34" t="str">
        <f>IFERROR(VLOOKUP(tbLOG[[#This Row],[LOGIN]],tbMAPA[#All],3,0), "Não localizado")</f>
        <v>Reginaldo Santana De Souza</v>
      </c>
      <c r="G1561" s="3" t="s">
        <v>1211</v>
      </c>
      <c r="H1561" s="3" t="s">
        <v>836</v>
      </c>
    </row>
    <row r="1562" spans="1:8">
      <c r="A1562" s="29">
        <v>42745.475162037037</v>
      </c>
      <c r="B1562" s="29" t="str">
        <f>PROPER(TEXT(tbLOG[[#This Row],[DATA/HORA]],"mmmm"))</f>
        <v>Janeiro</v>
      </c>
      <c r="C1562" s="34" t="str">
        <f>PROPER(TEXT(tbLOG[[#This Row],[DATA/HORA]],"dddd"))</f>
        <v>Terça-Feira</v>
      </c>
      <c r="D1562" s="3" t="s">
        <v>604</v>
      </c>
      <c r="E1562" s="34" t="str">
        <f>IFERROR(VLOOKUP(tbLOG[[#This Row],[LOGIN]],tbMAPA[#All],2,0), "Não localizado")</f>
        <v>Renan Cazumba Tegani</v>
      </c>
      <c r="F1562" s="34" t="str">
        <f>IFERROR(VLOOKUP(tbLOG[[#This Row],[LOGIN]],tbMAPA[#All],3,0), "Não localizado")</f>
        <v>Reginaldo Santana De Souza</v>
      </c>
      <c r="G1562" s="3" t="s">
        <v>1211</v>
      </c>
      <c r="H1562" s="3" t="s">
        <v>836</v>
      </c>
    </row>
    <row r="1563" spans="1:8">
      <c r="A1563" s="29">
        <v>42745.480532407404</v>
      </c>
      <c r="B1563" s="29" t="str">
        <f>PROPER(TEXT(tbLOG[[#This Row],[DATA/HORA]],"mmmm"))</f>
        <v>Janeiro</v>
      </c>
      <c r="C1563" s="34" t="str">
        <f>PROPER(TEXT(tbLOG[[#This Row],[DATA/HORA]],"dddd"))</f>
        <v>Terça-Feira</v>
      </c>
      <c r="D1563" s="3" t="s">
        <v>604</v>
      </c>
      <c r="E1563" s="34" t="str">
        <f>IFERROR(VLOOKUP(tbLOG[[#This Row],[LOGIN]],tbMAPA[#All],2,0), "Não localizado")</f>
        <v>Renan Cazumba Tegani</v>
      </c>
      <c r="F1563" s="34" t="str">
        <f>IFERROR(VLOOKUP(tbLOG[[#This Row],[LOGIN]],tbMAPA[#All],3,0), "Não localizado")</f>
        <v>Reginaldo Santana De Souza</v>
      </c>
      <c r="G1563" s="3" t="s">
        <v>1211</v>
      </c>
      <c r="H1563" s="3" t="s">
        <v>836</v>
      </c>
    </row>
    <row r="1564" spans="1:8">
      <c r="A1564" s="29">
        <v>42745.48060185185</v>
      </c>
      <c r="B1564" s="29" t="str">
        <f>PROPER(TEXT(tbLOG[[#This Row],[DATA/HORA]],"mmmm"))</f>
        <v>Janeiro</v>
      </c>
      <c r="C1564" s="34" t="str">
        <f>PROPER(TEXT(tbLOG[[#This Row],[DATA/HORA]],"dddd"))</f>
        <v>Terça-Feira</v>
      </c>
      <c r="D1564" s="3" t="s">
        <v>604</v>
      </c>
      <c r="E1564" s="34" t="str">
        <f>IFERROR(VLOOKUP(tbLOG[[#This Row],[LOGIN]],tbMAPA[#All],2,0), "Não localizado")</f>
        <v>Renan Cazumba Tegani</v>
      </c>
      <c r="F1564" s="34" t="str">
        <f>IFERROR(VLOOKUP(tbLOG[[#This Row],[LOGIN]],tbMAPA[#All],3,0), "Não localizado")</f>
        <v>Reginaldo Santana De Souza</v>
      </c>
      <c r="G1564" s="3" t="s">
        <v>1211</v>
      </c>
      <c r="H1564" s="3" t="s">
        <v>836</v>
      </c>
    </row>
    <row r="1565" spans="1:8">
      <c r="A1565" s="29">
        <v>42745.480891203704</v>
      </c>
      <c r="B1565" s="29" t="str">
        <f>PROPER(TEXT(tbLOG[[#This Row],[DATA/HORA]],"mmmm"))</f>
        <v>Janeiro</v>
      </c>
      <c r="C1565" s="34" t="str">
        <f>PROPER(TEXT(tbLOG[[#This Row],[DATA/HORA]],"dddd"))</f>
        <v>Terça-Feira</v>
      </c>
      <c r="D1565" s="3" t="s">
        <v>604</v>
      </c>
      <c r="E1565" s="34" t="str">
        <f>IFERROR(VLOOKUP(tbLOG[[#This Row],[LOGIN]],tbMAPA[#All],2,0), "Não localizado")</f>
        <v>Renan Cazumba Tegani</v>
      </c>
      <c r="F1565" s="34" t="str">
        <f>IFERROR(VLOOKUP(tbLOG[[#This Row],[LOGIN]],tbMAPA[#All],3,0), "Não localizado")</f>
        <v>Reginaldo Santana De Souza</v>
      </c>
      <c r="G1565" s="3" t="s">
        <v>1211</v>
      </c>
      <c r="H1565" s="3" t="s">
        <v>290</v>
      </c>
    </row>
    <row r="1566" spans="1:8">
      <c r="A1566" s="29">
        <v>42745.484247685185</v>
      </c>
      <c r="B1566" s="29" t="str">
        <f>PROPER(TEXT(tbLOG[[#This Row],[DATA/HORA]],"mmmm"))</f>
        <v>Janeiro</v>
      </c>
      <c r="C1566" s="34" t="str">
        <f>PROPER(TEXT(tbLOG[[#This Row],[DATA/HORA]],"dddd"))</f>
        <v>Terça-Feira</v>
      </c>
      <c r="D1566" s="3" t="s">
        <v>604</v>
      </c>
      <c r="E1566" s="34" t="str">
        <f>IFERROR(VLOOKUP(tbLOG[[#This Row],[LOGIN]],tbMAPA[#All],2,0), "Não localizado")</f>
        <v>Renan Cazumba Tegani</v>
      </c>
      <c r="F1566" s="34" t="str">
        <f>IFERROR(VLOOKUP(tbLOG[[#This Row],[LOGIN]],tbMAPA[#All],3,0), "Não localizado")</f>
        <v>Reginaldo Santana De Souza</v>
      </c>
      <c r="G1566" s="3" t="s">
        <v>1211</v>
      </c>
      <c r="H1566" s="3" t="s">
        <v>836</v>
      </c>
    </row>
    <row r="1567" spans="1:8">
      <c r="A1567" s="29">
        <v>42745.484305555554</v>
      </c>
      <c r="B1567" s="29" t="str">
        <f>PROPER(TEXT(tbLOG[[#This Row],[DATA/HORA]],"mmmm"))</f>
        <v>Janeiro</v>
      </c>
      <c r="C1567" s="34" t="str">
        <f>PROPER(TEXT(tbLOG[[#This Row],[DATA/HORA]],"dddd"))</f>
        <v>Terça-Feira</v>
      </c>
      <c r="D1567" s="3" t="s">
        <v>604</v>
      </c>
      <c r="E1567" s="34" t="str">
        <f>IFERROR(VLOOKUP(tbLOG[[#This Row],[LOGIN]],tbMAPA[#All],2,0), "Não localizado")</f>
        <v>Renan Cazumba Tegani</v>
      </c>
      <c r="F1567" s="34" t="str">
        <f>IFERROR(VLOOKUP(tbLOG[[#This Row],[LOGIN]],tbMAPA[#All],3,0), "Não localizado")</f>
        <v>Reginaldo Santana De Souza</v>
      </c>
      <c r="G1567" s="3" t="s">
        <v>1211</v>
      </c>
      <c r="H1567" s="3" t="s">
        <v>836</v>
      </c>
    </row>
    <row r="1568" spans="1:8">
      <c r="A1568" s="29">
        <v>42745.48846064815</v>
      </c>
      <c r="B1568" s="29" t="str">
        <f>PROPER(TEXT(tbLOG[[#This Row],[DATA/HORA]],"mmmm"))</f>
        <v>Janeiro</v>
      </c>
      <c r="C1568" s="34" t="str">
        <f>PROPER(TEXT(tbLOG[[#This Row],[DATA/HORA]],"dddd"))</f>
        <v>Terça-Feira</v>
      </c>
      <c r="D1568" s="3" t="s">
        <v>604</v>
      </c>
      <c r="E1568" s="34" t="str">
        <f>IFERROR(VLOOKUP(tbLOG[[#This Row],[LOGIN]],tbMAPA[#All],2,0), "Não localizado")</f>
        <v>Renan Cazumba Tegani</v>
      </c>
      <c r="F1568" s="34" t="str">
        <f>IFERROR(VLOOKUP(tbLOG[[#This Row],[LOGIN]],tbMAPA[#All],3,0), "Não localizado")</f>
        <v>Reginaldo Santana De Souza</v>
      </c>
      <c r="G1568" s="3" t="s">
        <v>1211</v>
      </c>
      <c r="H1568" s="3" t="s">
        <v>836</v>
      </c>
    </row>
    <row r="1569" spans="1:8">
      <c r="A1569" s="29">
        <v>42745.488483796296</v>
      </c>
      <c r="B1569" s="29" t="str">
        <f>PROPER(TEXT(tbLOG[[#This Row],[DATA/HORA]],"mmmm"))</f>
        <v>Janeiro</v>
      </c>
      <c r="C1569" s="34" t="str">
        <f>PROPER(TEXT(tbLOG[[#This Row],[DATA/HORA]],"dddd"))</f>
        <v>Terça-Feira</v>
      </c>
      <c r="D1569" s="3" t="s">
        <v>604</v>
      </c>
      <c r="E1569" s="34" t="str">
        <f>IFERROR(VLOOKUP(tbLOG[[#This Row],[LOGIN]],tbMAPA[#All],2,0), "Não localizado")</f>
        <v>Renan Cazumba Tegani</v>
      </c>
      <c r="F1569" s="34" t="str">
        <f>IFERROR(VLOOKUP(tbLOG[[#This Row],[LOGIN]],tbMAPA[#All],3,0), "Não localizado")</f>
        <v>Reginaldo Santana De Souza</v>
      </c>
      <c r="G1569" s="3" t="s">
        <v>1211</v>
      </c>
      <c r="H1569" s="3" t="s">
        <v>836</v>
      </c>
    </row>
    <row r="1570" spans="1:8">
      <c r="A1570" s="29">
        <v>42745.488530092596</v>
      </c>
      <c r="B1570" s="29" t="str">
        <f>PROPER(TEXT(tbLOG[[#This Row],[DATA/HORA]],"mmmm"))</f>
        <v>Janeiro</v>
      </c>
      <c r="C1570" s="34" t="str">
        <f>PROPER(TEXT(tbLOG[[#This Row],[DATA/HORA]],"dddd"))</f>
        <v>Terça-Feira</v>
      </c>
      <c r="D1570" s="3" t="s">
        <v>604</v>
      </c>
      <c r="E1570" s="34" t="str">
        <f>IFERROR(VLOOKUP(tbLOG[[#This Row],[LOGIN]],tbMAPA[#All],2,0), "Não localizado")</f>
        <v>Renan Cazumba Tegani</v>
      </c>
      <c r="F1570" s="34" t="str">
        <f>IFERROR(VLOOKUP(tbLOG[[#This Row],[LOGIN]],tbMAPA[#All],3,0), "Não localizado")</f>
        <v>Reginaldo Santana De Souza</v>
      </c>
      <c r="G1570" s="3" t="s">
        <v>1211</v>
      </c>
      <c r="H1570" s="3" t="s">
        <v>836</v>
      </c>
    </row>
    <row r="1571" spans="1:8">
      <c r="A1571" s="29">
        <v>42745.488541666666</v>
      </c>
      <c r="B1571" s="29" t="str">
        <f>PROPER(TEXT(tbLOG[[#This Row],[DATA/HORA]],"mmmm"))</f>
        <v>Janeiro</v>
      </c>
      <c r="C1571" s="34" t="str">
        <f>PROPER(TEXT(tbLOG[[#This Row],[DATA/HORA]],"dddd"))</f>
        <v>Terça-Feira</v>
      </c>
      <c r="D1571" s="3" t="s">
        <v>604</v>
      </c>
      <c r="E1571" s="34" t="str">
        <f>IFERROR(VLOOKUP(tbLOG[[#This Row],[LOGIN]],tbMAPA[#All],2,0), "Não localizado")</f>
        <v>Renan Cazumba Tegani</v>
      </c>
      <c r="F1571" s="34" t="str">
        <f>IFERROR(VLOOKUP(tbLOG[[#This Row],[LOGIN]],tbMAPA[#All],3,0), "Não localizado")</f>
        <v>Reginaldo Santana De Souza</v>
      </c>
      <c r="G1571" s="3" t="s">
        <v>1211</v>
      </c>
      <c r="H1571" s="3" t="s">
        <v>836</v>
      </c>
    </row>
    <row r="1572" spans="1:8">
      <c r="A1572" s="29">
        <v>42745.490925925929</v>
      </c>
      <c r="B1572" s="29" t="str">
        <f>PROPER(TEXT(tbLOG[[#This Row],[DATA/HORA]],"mmmm"))</f>
        <v>Janeiro</v>
      </c>
      <c r="C1572" s="34" t="str">
        <f>PROPER(TEXT(tbLOG[[#This Row],[DATA/HORA]],"dddd"))</f>
        <v>Terça-Feira</v>
      </c>
      <c r="D1572" s="3" t="s">
        <v>604</v>
      </c>
      <c r="E1572" s="34" t="str">
        <f>IFERROR(VLOOKUP(tbLOG[[#This Row],[LOGIN]],tbMAPA[#All],2,0), "Não localizado")</f>
        <v>Renan Cazumba Tegani</v>
      </c>
      <c r="F1572" s="34" t="str">
        <f>IFERROR(VLOOKUP(tbLOG[[#This Row],[LOGIN]],tbMAPA[#All],3,0), "Não localizado")</f>
        <v>Reginaldo Santana De Souza</v>
      </c>
      <c r="G1572" s="3" t="s">
        <v>1211</v>
      </c>
      <c r="H1572" s="3" t="s">
        <v>836</v>
      </c>
    </row>
    <row r="1573" spans="1:8">
      <c r="A1573" s="29">
        <v>42745.490937499999</v>
      </c>
      <c r="B1573" s="29" t="str">
        <f>PROPER(TEXT(tbLOG[[#This Row],[DATA/HORA]],"mmmm"))</f>
        <v>Janeiro</v>
      </c>
      <c r="C1573" s="34" t="str">
        <f>PROPER(TEXT(tbLOG[[#This Row],[DATA/HORA]],"dddd"))</f>
        <v>Terça-Feira</v>
      </c>
      <c r="D1573" s="3" t="s">
        <v>604</v>
      </c>
      <c r="E1573" s="34" t="str">
        <f>IFERROR(VLOOKUP(tbLOG[[#This Row],[LOGIN]],tbMAPA[#All],2,0), "Não localizado")</f>
        <v>Renan Cazumba Tegani</v>
      </c>
      <c r="F1573" s="34" t="str">
        <f>IFERROR(VLOOKUP(tbLOG[[#This Row],[LOGIN]],tbMAPA[#All],3,0), "Não localizado")</f>
        <v>Reginaldo Santana De Souza</v>
      </c>
      <c r="G1573" s="3" t="s">
        <v>1211</v>
      </c>
      <c r="H1573" s="3" t="s">
        <v>836</v>
      </c>
    </row>
    <row r="1574" spans="1:8">
      <c r="A1574" s="29">
        <v>42745.49113425926</v>
      </c>
      <c r="B1574" s="29" t="str">
        <f>PROPER(TEXT(tbLOG[[#This Row],[DATA/HORA]],"mmmm"))</f>
        <v>Janeiro</v>
      </c>
      <c r="C1574" s="34" t="str">
        <f>PROPER(TEXT(tbLOG[[#This Row],[DATA/HORA]],"dddd"))</f>
        <v>Terça-Feira</v>
      </c>
      <c r="D1574" s="3" t="s">
        <v>604</v>
      </c>
      <c r="E1574" s="34" t="str">
        <f>IFERROR(VLOOKUP(tbLOG[[#This Row],[LOGIN]],tbMAPA[#All],2,0), "Não localizado")</f>
        <v>Renan Cazumba Tegani</v>
      </c>
      <c r="F1574" s="34" t="str">
        <f>IFERROR(VLOOKUP(tbLOG[[#This Row],[LOGIN]],tbMAPA[#All],3,0), "Não localizado")</f>
        <v>Reginaldo Santana De Souza</v>
      </c>
      <c r="G1574" s="3" t="s">
        <v>1211</v>
      </c>
      <c r="H1574" s="3" t="s">
        <v>836</v>
      </c>
    </row>
    <row r="1575" spans="1:8">
      <c r="A1575" s="29">
        <v>42745.494988425926</v>
      </c>
      <c r="B1575" s="29" t="str">
        <f>PROPER(TEXT(tbLOG[[#This Row],[DATA/HORA]],"mmmm"))</f>
        <v>Janeiro</v>
      </c>
      <c r="C1575" s="34" t="str">
        <f>PROPER(TEXT(tbLOG[[#This Row],[DATA/HORA]],"dddd"))</f>
        <v>Terça-Feira</v>
      </c>
      <c r="D1575" s="3" t="s">
        <v>604</v>
      </c>
      <c r="E1575" s="34" t="str">
        <f>IFERROR(VLOOKUP(tbLOG[[#This Row],[LOGIN]],tbMAPA[#All],2,0), "Não localizado")</f>
        <v>Renan Cazumba Tegani</v>
      </c>
      <c r="F1575" s="34" t="str">
        <f>IFERROR(VLOOKUP(tbLOG[[#This Row],[LOGIN]],tbMAPA[#All],3,0), "Não localizado")</f>
        <v>Reginaldo Santana De Souza</v>
      </c>
      <c r="G1575" s="3" t="s">
        <v>1211</v>
      </c>
      <c r="H1575" s="3" t="s">
        <v>836</v>
      </c>
    </row>
    <row r="1576" spans="1:8">
      <c r="A1576" s="29">
        <v>42745.495011574072</v>
      </c>
      <c r="B1576" s="29" t="str">
        <f>PROPER(TEXT(tbLOG[[#This Row],[DATA/HORA]],"mmmm"))</f>
        <v>Janeiro</v>
      </c>
      <c r="C1576" s="34" t="str">
        <f>PROPER(TEXT(tbLOG[[#This Row],[DATA/HORA]],"dddd"))</f>
        <v>Terça-Feira</v>
      </c>
      <c r="D1576" s="3" t="s">
        <v>604</v>
      </c>
      <c r="E1576" s="34" t="str">
        <f>IFERROR(VLOOKUP(tbLOG[[#This Row],[LOGIN]],tbMAPA[#All],2,0), "Não localizado")</f>
        <v>Renan Cazumba Tegani</v>
      </c>
      <c r="F1576" s="34" t="str">
        <f>IFERROR(VLOOKUP(tbLOG[[#This Row],[LOGIN]],tbMAPA[#All],3,0), "Não localizado")</f>
        <v>Reginaldo Santana De Souza</v>
      </c>
      <c r="G1576" s="3" t="s">
        <v>1211</v>
      </c>
      <c r="H1576" s="3" t="s">
        <v>836</v>
      </c>
    </row>
    <row r="1577" spans="1:8">
      <c r="A1577" s="29">
        <v>42745.495115740741</v>
      </c>
      <c r="B1577" s="29" t="str">
        <f>PROPER(TEXT(tbLOG[[#This Row],[DATA/HORA]],"mmmm"))</f>
        <v>Janeiro</v>
      </c>
      <c r="C1577" s="34" t="str">
        <f>PROPER(TEXT(tbLOG[[#This Row],[DATA/HORA]],"dddd"))</f>
        <v>Terça-Feira</v>
      </c>
      <c r="D1577" s="3" t="s">
        <v>604</v>
      </c>
      <c r="E1577" s="34" t="str">
        <f>IFERROR(VLOOKUP(tbLOG[[#This Row],[LOGIN]],tbMAPA[#All],2,0), "Não localizado")</f>
        <v>Renan Cazumba Tegani</v>
      </c>
      <c r="F1577" s="34" t="str">
        <f>IFERROR(VLOOKUP(tbLOG[[#This Row],[LOGIN]],tbMAPA[#All],3,0), "Não localizado")</f>
        <v>Reginaldo Santana De Souza</v>
      </c>
      <c r="G1577" s="3" t="s">
        <v>1211</v>
      </c>
      <c r="H1577" s="3" t="s">
        <v>836</v>
      </c>
    </row>
    <row r="1578" spans="1:8">
      <c r="A1578" s="29">
        <v>42745.497557870367</v>
      </c>
      <c r="B1578" s="29" t="str">
        <f>PROPER(TEXT(tbLOG[[#This Row],[DATA/HORA]],"mmmm"))</f>
        <v>Janeiro</v>
      </c>
      <c r="C1578" s="34" t="str">
        <f>PROPER(TEXT(tbLOG[[#This Row],[DATA/HORA]],"dddd"))</f>
        <v>Terça-Feira</v>
      </c>
      <c r="D1578" s="3" t="s">
        <v>604</v>
      </c>
      <c r="E1578" s="34" t="str">
        <f>IFERROR(VLOOKUP(tbLOG[[#This Row],[LOGIN]],tbMAPA[#All],2,0), "Não localizado")</f>
        <v>Renan Cazumba Tegani</v>
      </c>
      <c r="F1578" s="34" t="str">
        <f>IFERROR(VLOOKUP(tbLOG[[#This Row],[LOGIN]],tbMAPA[#All],3,0), "Não localizado")</f>
        <v>Reginaldo Santana De Souza</v>
      </c>
      <c r="G1578" s="3" t="s">
        <v>1211</v>
      </c>
      <c r="H1578" s="3" t="s">
        <v>836</v>
      </c>
    </row>
    <row r="1579" spans="1:8">
      <c r="A1579" s="29">
        <v>42745.497627314813</v>
      </c>
      <c r="B1579" s="29" t="str">
        <f>PROPER(TEXT(tbLOG[[#This Row],[DATA/HORA]],"mmmm"))</f>
        <v>Janeiro</v>
      </c>
      <c r="C1579" s="34" t="str">
        <f>PROPER(TEXT(tbLOG[[#This Row],[DATA/HORA]],"dddd"))</f>
        <v>Terça-Feira</v>
      </c>
      <c r="D1579" s="3" t="s">
        <v>604</v>
      </c>
      <c r="E1579" s="34" t="str">
        <f>IFERROR(VLOOKUP(tbLOG[[#This Row],[LOGIN]],tbMAPA[#All],2,0), "Não localizado")</f>
        <v>Renan Cazumba Tegani</v>
      </c>
      <c r="F1579" s="34" t="str">
        <f>IFERROR(VLOOKUP(tbLOG[[#This Row],[LOGIN]],tbMAPA[#All],3,0), "Não localizado")</f>
        <v>Reginaldo Santana De Souza</v>
      </c>
      <c r="G1579" s="3" t="s">
        <v>1211</v>
      </c>
      <c r="H1579" s="3" t="s">
        <v>836</v>
      </c>
    </row>
    <row r="1580" spans="1:8">
      <c r="A1580" s="29">
        <v>42745.497754629629</v>
      </c>
      <c r="B1580" s="29" t="str">
        <f>PROPER(TEXT(tbLOG[[#This Row],[DATA/HORA]],"mmmm"))</f>
        <v>Janeiro</v>
      </c>
      <c r="C1580" s="34" t="str">
        <f>PROPER(TEXT(tbLOG[[#This Row],[DATA/HORA]],"dddd"))</f>
        <v>Terça-Feira</v>
      </c>
      <c r="D1580" s="3" t="s">
        <v>604</v>
      </c>
      <c r="E1580" s="34" t="str">
        <f>IFERROR(VLOOKUP(tbLOG[[#This Row],[LOGIN]],tbMAPA[#All],2,0), "Não localizado")</f>
        <v>Renan Cazumba Tegani</v>
      </c>
      <c r="F1580" s="34" t="str">
        <f>IFERROR(VLOOKUP(tbLOG[[#This Row],[LOGIN]],tbMAPA[#All],3,0), "Não localizado")</f>
        <v>Reginaldo Santana De Souza</v>
      </c>
      <c r="G1580" s="3" t="s">
        <v>1211</v>
      </c>
      <c r="H1580" s="3" t="s">
        <v>836</v>
      </c>
    </row>
    <row r="1581" spans="1:8">
      <c r="A1581" s="29">
        <v>42745.497777777775</v>
      </c>
      <c r="B1581" s="29" t="str">
        <f>PROPER(TEXT(tbLOG[[#This Row],[DATA/HORA]],"mmmm"))</f>
        <v>Janeiro</v>
      </c>
      <c r="C1581" s="34" t="str">
        <f>PROPER(TEXT(tbLOG[[#This Row],[DATA/HORA]],"dddd"))</f>
        <v>Terça-Feira</v>
      </c>
      <c r="D1581" s="3" t="s">
        <v>604</v>
      </c>
      <c r="E1581" s="34" t="str">
        <f>IFERROR(VLOOKUP(tbLOG[[#This Row],[LOGIN]],tbMAPA[#All],2,0), "Não localizado")</f>
        <v>Renan Cazumba Tegani</v>
      </c>
      <c r="F1581" s="34" t="str">
        <f>IFERROR(VLOOKUP(tbLOG[[#This Row],[LOGIN]],tbMAPA[#All],3,0), "Não localizado")</f>
        <v>Reginaldo Santana De Souza</v>
      </c>
      <c r="G1581" s="3" t="s">
        <v>1211</v>
      </c>
      <c r="H1581" s="3" t="s">
        <v>290</v>
      </c>
    </row>
    <row r="1582" spans="1:8">
      <c r="A1582" s="29">
        <v>42745.500925925924</v>
      </c>
      <c r="B1582" s="29" t="str">
        <f>PROPER(TEXT(tbLOG[[#This Row],[DATA/HORA]],"mmmm"))</f>
        <v>Janeiro</v>
      </c>
      <c r="C1582" s="34" t="str">
        <f>PROPER(TEXT(tbLOG[[#This Row],[DATA/HORA]],"dddd"))</f>
        <v>Terça-Feira</v>
      </c>
      <c r="D1582" s="3" t="s">
        <v>604</v>
      </c>
      <c r="E1582" s="34" t="str">
        <f>IFERROR(VLOOKUP(tbLOG[[#This Row],[LOGIN]],tbMAPA[#All],2,0), "Não localizado")</f>
        <v>Renan Cazumba Tegani</v>
      </c>
      <c r="F1582" s="34" t="str">
        <f>IFERROR(VLOOKUP(tbLOG[[#This Row],[LOGIN]],tbMAPA[#All],3,0), "Não localizado")</f>
        <v>Reginaldo Santana De Souza</v>
      </c>
      <c r="G1582" s="3" t="s">
        <v>1211</v>
      </c>
      <c r="H1582" s="3" t="s">
        <v>836</v>
      </c>
    </row>
    <row r="1583" spans="1:8">
      <c r="A1583" s="29">
        <v>42745.500949074078</v>
      </c>
      <c r="B1583" s="29" t="str">
        <f>PROPER(TEXT(tbLOG[[#This Row],[DATA/HORA]],"mmmm"))</f>
        <v>Janeiro</v>
      </c>
      <c r="C1583" s="34" t="str">
        <f>PROPER(TEXT(tbLOG[[#This Row],[DATA/HORA]],"dddd"))</f>
        <v>Terça-Feira</v>
      </c>
      <c r="D1583" s="3" t="s">
        <v>604</v>
      </c>
      <c r="E1583" s="34" t="str">
        <f>IFERROR(VLOOKUP(tbLOG[[#This Row],[LOGIN]],tbMAPA[#All],2,0), "Não localizado")</f>
        <v>Renan Cazumba Tegani</v>
      </c>
      <c r="F1583" s="34" t="str">
        <f>IFERROR(VLOOKUP(tbLOG[[#This Row],[LOGIN]],tbMAPA[#All],3,0), "Não localizado")</f>
        <v>Reginaldo Santana De Souza</v>
      </c>
      <c r="G1583" s="3" t="s">
        <v>1211</v>
      </c>
      <c r="H1583" s="3" t="s">
        <v>836</v>
      </c>
    </row>
    <row r="1584" spans="1:8">
      <c r="A1584" s="29">
        <v>42745.501076388886</v>
      </c>
      <c r="B1584" s="29" t="str">
        <f>PROPER(TEXT(tbLOG[[#This Row],[DATA/HORA]],"mmmm"))</f>
        <v>Janeiro</v>
      </c>
      <c r="C1584" s="34" t="str">
        <f>PROPER(TEXT(tbLOG[[#This Row],[DATA/HORA]],"dddd"))</f>
        <v>Terça-Feira</v>
      </c>
      <c r="D1584" s="3" t="s">
        <v>604</v>
      </c>
      <c r="E1584" s="34" t="str">
        <f>IFERROR(VLOOKUP(tbLOG[[#This Row],[LOGIN]],tbMAPA[#All],2,0), "Não localizado")</f>
        <v>Renan Cazumba Tegani</v>
      </c>
      <c r="F1584" s="34" t="str">
        <f>IFERROR(VLOOKUP(tbLOG[[#This Row],[LOGIN]],tbMAPA[#All],3,0), "Não localizado")</f>
        <v>Reginaldo Santana De Souza</v>
      </c>
      <c r="G1584" s="3" t="s">
        <v>1211</v>
      </c>
      <c r="H1584" s="3" t="s">
        <v>836</v>
      </c>
    </row>
    <row r="1585" spans="1:8">
      <c r="A1585" s="29">
        <v>42745.501180555555</v>
      </c>
      <c r="B1585" s="29" t="str">
        <f>PROPER(TEXT(tbLOG[[#This Row],[DATA/HORA]],"mmmm"))</f>
        <v>Janeiro</v>
      </c>
      <c r="C1585" s="34" t="str">
        <f>PROPER(TEXT(tbLOG[[#This Row],[DATA/HORA]],"dddd"))</f>
        <v>Terça-Feira</v>
      </c>
      <c r="D1585" s="3" t="s">
        <v>604</v>
      </c>
      <c r="E1585" s="34" t="str">
        <f>IFERROR(VLOOKUP(tbLOG[[#This Row],[LOGIN]],tbMAPA[#All],2,0), "Não localizado")</f>
        <v>Renan Cazumba Tegani</v>
      </c>
      <c r="F1585" s="34" t="str">
        <f>IFERROR(VLOOKUP(tbLOG[[#This Row],[LOGIN]],tbMAPA[#All],3,0), "Não localizado")</f>
        <v>Reginaldo Santana De Souza</v>
      </c>
      <c r="G1585" s="3" t="s">
        <v>1211</v>
      </c>
      <c r="H1585" s="3" t="s">
        <v>836</v>
      </c>
    </row>
    <row r="1586" spans="1:8">
      <c r="A1586" s="29">
        <v>42745.503842592596</v>
      </c>
      <c r="B1586" s="29" t="str">
        <f>PROPER(TEXT(tbLOG[[#This Row],[DATA/HORA]],"mmmm"))</f>
        <v>Janeiro</v>
      </c>
      <c r="C1586" s="34" t="str">
        <f>PROPER(TEXT(tbLOG[[#This Row],[DATA/HORA]],"dddd"))</f>
        <v>Terça-Feira</v>
      </c>
      <c r="D1586" s="3" t="s">
        <v>604</v>
      </c>
      <c r="E1586" s="34" t="str">
        <f>IFERROR(VLOOKUP(tbLOG[[#This Row],[LOGIN]],tbMAPA[#All],2,0), "Não localizado")</f>
        <v>Renan Cazumba Tegani</v>
      </c>
      <c r="F1586" s="34" t="str">
        <f>IFERROR(VLOOKUP(tbLOG[[#This Row],[LOGIN]],tbMAPA[#All],3,0), "Não localizado")</f>
        <v>Reginaldo Santana De Souza</v>
      </c>
      <c r="G1586" s="3" t="s">
        <v>1211</v>
      </c>
      <c r="H1586" s="3" t="s">
        <v>836</v>
      </c>
    </row>
    <row r="1587" spans="1:8">
      <c r="A1587" s="29">
        <v>42745.503877314812</v>
      </c>
      <c r="B1587" s="29" t="str">
        <f>PROPER(TEXT(tbLOG[[#This Row],[DATA/HORA]],"mmmm"))</f>
        <v>Janeiro</v>
      </c>
      <c r="C1587" s="34" t="str">
        <f>PROPER(TEXT(tbLOG[[#This Row],[DATA/HORA]],"dddd"))</f>
        <v>Terça-Feira</v>
      </c>
      <c r="D1587" s="3" t="s">
        <v>604</v>
      </c>
      <c r="E1587" s="34" t="str">
        <f>IFERROR(VLOOKUP(tbLOG[[#This Row],[LOGIN]],tbMAPA[#All],2,0), "Não localizado")</f>
        <v>Renan Cazumba Tegani</v>
      </c>
      <c r="F1587" s="34" t="str">
        <f>IFERROR(VLOOKUP(tbLOG[[#This Row],[LOGIN]],tbMAPA[#All],3,0), "Não localizado")</f>
        <v>Reginaldo Santana De Souza</v>
      </c>
      <c r="G1587" s="3" t="s">
        <v>1211</v>
      </c>
      <c r="H1587" s="3" t="s">
        <v>836</v>
      </c>
    </row>
    <row r="1588" spans="1:8">
      <c r="A1588" s="29">
        <v>42745.503958333335</v>
      </c>
      <c r="B1588" s="29" t="str">
        <f>PROPER(TEXT(tbLOG[[#This Row],[DATA/HORA]],"mmmm"))</f>
        <v>Janeiro</v>
      </c>
      <c r="C1588" s="34" t="str">
        <f>PROPER(TEXT(tbLOG[[#This Row],[DATA/HORA]],"dddd"))</f>
        <v>Terça-Feira</v>
      </c>
      <c r="D1588" s="3" t="s">
        <v>604</v>
      </c>
      <c r="E1588" s="34" t="str">
        <f>IFERROR(VLOOKUP(tbLOG[[#This Row],[LOGIN]],tbMAPA[#All],2,0), "Não localizado")</f>
        <v>Renan Cazumba Tegani</v>
      </c>
      <c r="F1588" s="34" t="str">
        <f>IFERROR(VLOOKUP(tbLOG[[#This Row],[LOGIN]],tbMAPA[#All],3,0), "Não localizado")</f>
        <v>Reginaldo Santana De Souza</v>
      </c>
      <c r="G1588" s="3" t="s">
        <v>1211</v>
      </c>
      <c r="H1588" s="3" t="s">
        <v>836</v>
      </c>
    </row>
    <row r="1589" spans="1:8">
      <c r="A1589" s="29">
        <v>42745.504050925927</v>
      </c>
      <c r="B1589" s="29" t="str">
        <f>PROPER(TEXT(tbLOG[[#This Row],[DATA/HORA]],"mmmm"))</f>
        <v>Janeiro</v>
      </c>
      <c r="C1589" s="34" t="str">
        <f>PROPER(TEXT(tbLOG[[#This Row],[DATA/HORA]],"dddd"))</f>
        <v>Terça-Feira</v>
      </c>
      <c r="D1589" s="3" t="s">
        <v>604</v>
      </c>
      <c r="E1589" s="34" t="str">
        <f>IFERROR(VLOOKUP(tbLOG[[#This Row],[LOGIN]],tbMAPA[#All],2,0), "Não localizado")</f>
        <v>Renan Cazumba Tegani</v>
      </c>
      <c r="F1589" s="34" t="str">
        <f>IFERROR(VLOOKUP(tbLOG[[#This Row],[LOGIN]],tbMAPA[#All],3,0), "Não localizado")</f>
        <v>Reginaldo Santana De Souza</v>
      </c>
      <c r="G1589" s="3" t="s">
        <v>1211</v>
      </c>
      <c r="H1589" s="3" t="s">
        <v>836</v>
      </c>
    </row>
    <row r="1590" spans="1:8">
      <c r="A1590" s="29">
        <v>42745.504120370373</v>
      </c>
      <c r="B1590" s="29" t="str">
        <f>PROPER(TEXT(tbLOG[[#This Row],[DATA/HORA]],"mmmm"))</f>
        <v>Janeiro</v>
      </c>
      <c r="C1590" s="34" t="str">
        <f>PROPER(TEXT(tbLOG[[#This Row],[DATA/HORA]],"dddd"))</f>
        <v>Terça-Feira</v>
      </c>
      <c r="D1590" s="3" t="s">
        <v>604</v>
      </c>
      <c r="E1590" s="34" t="str">
        <f>IFERROR(VLOOKUP(tbLOG[[#This Row],[LOGIN]],tbMAPA[#All],2,0), "Não localizado")</f>
        <v>Renan Cazumba Tegani</v>
      </c>
      <c r="F1590" s="34" t="str">
        <f>IFERROR(VLOOKUP(tbLOG[[#This Row],[LOGIN]],tbMAPA[#All],3,0), "Não localizado")</f>
        <v>Reginaldo Santana De Souza</v>
      </c>
      <c r="G1590" s="3" t="s">
        <v>1211</v>
      </c>
      <c r="H1590" s="3" t="s">
        <v>836</v>
      </c>
    </row>
    <row r="1591" spans="1:8">
      <c r="A1591" s="29">
        <v>42745.505833333336</v>
      </c>
      <c r="B1591" s="29" t="str">
        <f>PROPER(TEXT(tbLOG[[#This Row],[DATA/HORA]],"mmmm"))</f>
        <v>Janeiro</v>
      </c>
      <c r="C1591" s="34" t="str">
        <f>PROPER(TEXT(tbLOG[[#This Row],[DATA/HORA]],"dddd"))</f>
        <v>Terça-Feira</v>
      </c>
      <c r="D1591" s="3" t="s">
        <v>604</v>
      </c>
      <c r="E1591" s="34" t="str">
        <f>IFERROR(VLOOKUP(tbLOG[[#This Row],[LOGIN]],tbMAPA[#All],2,0), "Não localizado")</f>
        <v>Renan Cazumba Tegani</v>
      </c>
      <c r="F1591" s="34" t="str">
        <f>IFERROR(VLOOKUP(tbLOG[[#This Row],[LOGIN]],tbMAPA[#All],3,0), "Não localizado")</f>
        <v>Reginaldo Santana De Souza</v>
      </c>
      <c r="G1591" s="3" t="s">
        <v>1211</v>
      </c>
      <c r="H1591" s="3" t="s">
        <v>836</v>
      </c>
    </row>
    <row r="1592" spans="1:8">
      <c r="A1592" s="29">
        <v>42745.505844907406</v>
      </c>
      <c r="B1592" s="29" t="str">
        <f>PROPER(TEXT(tbLOG[[#This Row],[DATA/HORA]],"mmmm"))</f>
        <v>Janeiro</v>
      </c>
      <c r="C1592" s="34" t="str">
        <f>PROPER(TEXT(tbLOG[[#This Row],[DATA/HORA]],"dddd"))</f>
        <v>Terça-Feira</v>
      </c>
      <c r="D1592" s="3" t="s">
        <v>604</v>
      </c>
      <c r="E1592" s="34" t="str">
        <f>IFERROR(VLOOKUP(tbLOG[[#This Row],[LOGIN]],tbMAPA[#All],2,0), "Não localizado")</f>
        <v>Renan Cazumba Tegani</v>
      </c>
      <c r="F1592" s="34" t="str">
        <f>IFERROR(VLOOKUP(tbLOG[[#This Row],[LOGIN]],tbMAPA[#All],3,0), "Não localizado")</f>
        <v>Reginaldo Santana De Souza</v>
      </c>
      <c r="G1592" s="3" t="s">
        <v>1211</v>
      </c>
      <c r="H1592" s="3" t="s">
        <v>836</v>
      </c>
    </row>
    <row r="1593" spans="1:8">
      <c r="A1593" s="29">
        <v>42745.505949074075</v>
      </c>
      <c r="B1593" s="29" t="str">
        <f>PROPER(TEXT(tbLOG[[#This Row],[DATA/HORA]],"mmmm"))</f>
        <v>Janeiro</v>
      </c>
      <c r="C1593" s="34" t="str">
        <f>PROPER(TEXT(tbLOG[[#This Row],[DATA/HORA]],"dddd"))</f>
        <v>Terça-Feira</v>
      </c>
      <c r="D1593" s="3" t="s">
        <v>604</v>
      </c>
      <c r="E1593" s="34" t="str">
        <f>IFERROR(VLOOKUP(tbLOG[[#This Row],[LOGIN]],tbMAPA[#All],2,0), "Não localizado")</f>
        <v>Renan Cazumba Tegani</v>
      </c>
      <c r="F1593" s="34" t="str">
        <f>IFERROR(VLOOKUP(tbLOG[[#This Row],[LOGIN]],tbMAPA[#All],3,0), "Não localizado")</f>
        <v>Reginaldo Santana De Souza</v>
      </c>
      <c r="G1593" s="3" t="s">
        <v>1211</v>
      </c>
      <c r="H1593" s="3" t="s">
        <v>836</v>
      </c>
    </row>
    <row r="1594" spans="1:8">
      <c r="A1594" s="29">
        <v>42745.508321759262</v>
      </c>
      <c r="B1594" s="29" t="str">
        <f>PROPER(TEXT(tbLOG[[#This Row],[DATA/HORA]],"mmmm"))</f>
        <v>Janeiro</v>
      </c>
      <c r="C1594" s="34" t="str">
        <f>PROPER(TEXT(tbLOG[[#This Row],[DATA/HORA]],"dddd"))</f>
        <v>Terça-Feira</v>
      </c>
      <c r="D1594" s="3" t="s">
        <v>604</v>
      </c>
      <c r="E1594" s="34" t="str">
        <f>IFERROR(VLOOKUP(tbLOG[[#This Row],[LOGIN]],tbMAPA[#All],2,0), "Não localizado")</f>
        <v>Renan Cazumba Tegani</v>
      </c>
      <c r="F1594" s="34" t="str">
        <f>IFERROR(VLOOKUP(tbLOG[[#This Row],[LOGIN]],tbMAPA[#All],3,0), "Não localizado")</f>
        <v>Reginaldo Santana De Souza</v>
      </c>
      <c r="G1594" s="3" t="s">
        <v>1211</v>
      </c>
      <c r="H1594" s="3" t="s">
        <v>836</v>
      </c>
    </row>
    <row r="1595" spans="1:8">
      <c r="A1595" s="29">
        <v>42745.508449074077</v>
      </c>
      <c r="B1595" s="29" t="str">
        <f>PROPER(TEXT(tbLOG[[#This Row],[DATA/HORA]],"mmmm"))</f>
        <v>Janeiro</v>
      </c>
      <c r="C1595" s="34" t="str">
        <f>PROPER(TEXT(tbLOG[[#This Row],[DATA/HORA]],"dddd"))</f>
        <v>Terça-Feira</v>
      </c>
      <c r="D1595" s="3" t="s">
        <v>604</v>
      </c>
      <c r="E1595" s="34" t="str">
        <f>IFERROR(VLOOKUP(tbLOG[[#This Row],[LOGIN]],tbMAPA[#All],2,0), "Não localizado")</f>
        <v>Renan Cazumba Tegani</v>
      </c>
      <c r="F1595" s="34" t="str">
        <f>IFERROR(VLOOKUP(tbLOG[[#This Row],[LOGIN]],tbMAPA[#All],3,0), "Não localizado")</f>
        <v>Reginaldo Santana De Souza</v>
      </c>
      <c r="G1595" s="3" t="s">
        <v>1211</v>
      </c>
      <c r="H1595" s="3" t="s">
        <v>836</v>
      </c>
    </row>
    <row r="1596" spans="1:8">
      <c r="A1596" s="29">
        <v>42745.508472222224</v>
      </c>
      <c r="B1596" s="29" t="str">
        <f>PROPER(TEXT(tbLOG[[#This Row],[DATA/HORA]],"mmmm"))</f>
        <v>Janeiro</v>
      </c>
      <c r="C1596" s="34" t="str">
        <f>PROPER(TEXT(tbLOG[[#This Row],[DATA/HORA]],"dddd"))</f>
        <v>Terça-Feira</v>
      </c>
      <c r="D1596" s="3" t="s">
        <v>604</v>
      </c>
      <c r="E1596" s="34" t="str">
        <f>IFERROR(VLOOKUP(tbLOG[[#This Row],[LOGIN]],tbMAPA[#All],2,0), "Não localizado")</f>
        <v>Renan Cazumba Tegani</v>
      </c>
      <c r="F1596" s="34" t="str">
        <f>IFERROR(VLOOKUP(tbLOG[[#This Row],[LOGIN]],tbMAPA[#All],3,0), "Não localizado")</f>
        <v>Reginaldo Santana De Souza</v>
      </c>
      <c r="G1596" s="3" t="s">
        <v>1211</v>
      </c>
      <c r="H1596" s="3" t="s">
        <v>836</v>
      </c>
    </row>
    <row r="1597" spans="1:8">
      <c r="A1597" s="29">
        <v>42745.510439814818</v>
      </c>
      <c r="B1597" s="29" t="str">
        <f>PROPER(TEXT(tbLOG[[#This Row],[DATA/HORA]],"mmmm"))</f>
        <v>Janeiro</v>
      </c>
      <c r="C1597" s="34" t="str">
        <f>PROPER(TEXT(tbLOG[[#This Row],[DATA/HORA]],"dddd"))</f>
        <v>Terça-Feira</v>
      </c>
      <c r="D1597" s="3" t="s">
        <v>604</v>
      </c>
      <c r="E1597" s="34" t="str">
        <f>IFERROR(VLOOKUP(tbLOG[[#This Row],[LOGIN]],tbMAPA[#All],2,0), "Não localizado")</f>
        <v>Renan Cazumba Tegani</v>
      </c>
      <c r="F1597" s="34" t="str">
        <f>IFERROR(VLOOKUP(tbLOG[[#This Row],[LOGIN]],tbMAPA[#All],3,0), "Não localizado")</f>
        <v>Reginaldo Santana De Souza</v>
      </c>
      <c r="G1597" s="3" t="s">
        <v>1211</v>
      </c>
      <c r="H1597" s="3" t="s">
        <v>836</v>
      </c>
    </row>
    <row r="1598" spans="1:8">
      <c r="A1598" s="29">
        <v>42745.510462962964</v>
      </c>
      <c r="B1598" s="29" t="str">
        <f>PROPER(TEXT(tbLOG[[#This Row],[DATA/HORA]],"mmmm"))</f>
        <v>Janeiro</v>
      </c>
      <c r="C1598" s="34" t="str">
        <f>PROPER(TEXT(tbLOG[[#This Row],[DATA/HORA]],"dddd"))</f>
        <v>Terça-Feira</v>
      </c>
      <c r="D1598" s="3" t="s">
        <v>604</v>
      </c>
      <c r="E1598" s="34" t="str">
        <f>IFERROR(VLOOKUP(tbLOG[[#This Row],[LOGIN]],tbMAPA[#All],2,0), "Não localizado")</f>
        <v>Renan Cazumba Tegani</v>
      </c>
      <c r="F1598" s="34" t="str">
        <f>IFERROR(VLOOKUP(tbLOG[[#This Row],[LOGIN]],tbMAPA[#All],3,0), "Não localizado")</f>
        <v>Reginaldo Santana De Souza</v>
      </c>
      <c r="G1598" s="3" t="s">
        <v>1211</v>
      </c>
      <c r="H1598" s="3" t="s">
        <v>836</v>
      </c>
    </row>
    <row r="1599" spans="1:8">
      <c r="A1599" s="29">
        <v>42745.510497685187</v>
      </c>
      <c r="B1599" s="29" t="str">
        <f>PROPER(TEXT(tbLOG[[#This Row],[DATA/HORA]],"mmmm"))</f>
        <v>Janeiro</v>
      </c>
      <c r="C1599" s="34" t="str">
        <f>PROPER(TEXT(tbLOG[[#This Row],[DATA/HORA]],"dddd"))</f>
        <v>Terça-Feira</v>
      </c>
      <c r="D1599" s="3" t="s">
        <v>604</v>
      </c>
      <c r="E1599" s="34" t="str">
        <f>IFERROR(VLOOKUP(tbLOG[[#This Row],[LOGIN]],tbMAPA[#All],2,0), "Não localizado")</f>
        <v>Renan Cazumba Tegani</v>
      </c>
      <c r="F1599" s="34" t="str">
        <f>IFERROR(VLOOKUP(tbLOG[[#This Row],[LOGIN]],tbMAPA[#All],3,0), "Não localizado")</f>
        <v>Reginaldo Santana De Souza</v>
      </c>
      <c r="G1599" s="3" t="s">
        <v>1211</v>
      </c>
      <c r="H1599" s="3" t="s">
        <v>836</v>
      </c>
    </row>
    <row r="1600" spans="1:8">
      <c r="A1600" s="29">
        <v>42745.510520833333</v>
      </c>
      <c r="B1600" s="29" t="str">
        <f>PROPER(TEXT(tbLOG[[#This Row],[DATA/HORA]],"mmmm"))</f>
        <v>Janeiro</v>
      </c>
      <c r="C1600" s="34" t="str">
        <f>PROPER(TEXT(tbLOG[[#This Row],[DATA/HORA]],"dddd"))</f>
        <v>Terça-Feira</v>
      </c>
      <c r="D1600" s="3" t="s">
        <v>604</v>
      </c>
      <c r="E1600" s="34" t="str">
        <f>IFERROR(VLOOKUP(tbLOG[[#This Row],[LOGIN]],tbMAPA[#All],2,0), "Não localizado")</f>
        <v>Renan Cazumba Tegani</v>
      </c>
      <c r="F1600" s="34" t="str">
        <f>IFERROR(VLOOKUP(tbLOG[[#This Row],[LOGIN]],tbMAPA[#All],3,0), "Não localizado")</f>
        <v>Reginaldo Santana De Souza</v>
      </c>
      <c r="G1600" s="3" t="s">
        <v>1211</v>
      </c>
      <c r="H1600" s="3" t="s">
        <v>836</v>
      </c>
    </row>
    <row r="1601" spans="1:8">
      <c r="A1601" s="29">
        <v>42745.51053240741</v>
      </c>
      <c r="B1601" s="29" t="str">
        <f>PROPER(TEXT(tbLOG[[#This Row],[DATA/HORA]],"mmmm"))</f>
        <v>Janeiro</v>
      </c>
      <c r="C1601" s="34" t="str">
        <f>PROPER(TEXT(tbLOG[[#This Row],[DATA/HORA]],"dddd"))</f>
        <v>Terça-Feira</v>
      </c>
      <c r="D1601" s="3" t="s">
        <v>604</v>
      </c>
      <c r="E1601" s="34" t="str">
        <f>IFERROR(VLOOKUP(tbLOG[[#This Row],[LOGIN]],tbMAPA[#All],2,0), "Não localizado")</f>
        <v>Renan Cazumba Tegani</v>
      </c>
      <c r="F1601" s="34" t="str">
        <f>IFERROR(VLOOKUP(tbLOG[[#This Row],[LOGIN]],tbMAPA[#All],3,0), "Não localizado")</f>
        <v>Reginaldo Santana De Souza</v>
      </c>
      <c r="G1601" s="3" t="s">
        <v>1211</v>
      </c>
      <c r="H1601" s="3" t="s">
        <v>836</v>
      </c>
    </row>
    <row r="1602" spans="1:8">
      <c r="A1602" s="29">
        <v>42745.510567129626</v>
      </c>
      <c r="B1602" s="29" t="str">
        <f>PROPER(TEXT(tbLOG[[#This Row],[DATA/HORA]],"mmmm"))</f>
        <v>Janeiro</v>
      </c>
      <c r="C1602" s="34" t="str">
        <f>PROPER(TEXT(tbLOG[[#This Row],[DATA/HORA]],"dddd"))</f>
        <v>Terça-Feira</v>
      </c>
      <c r="D1602" s="3" t="s">
        <v>604</v>
      </c>
      <c r="E1602" s="34" t="str">
        <f>IFERROR(VLOOKUP(tbLOG[[#This Row],[LOGIN]],tbMAPA[#All],2,0), "Não localizado")</f>
        <v>Renan Cazumba Tegani</v>
      </c>
      <c r="F1602" s="34" t="str">
        <f>IFERROR(VLOOKUP(tbLOG[[#This Row],[LOGIN]],tbMAPA[#All],3,0), "Não localizado")</f>
        <v>Reginaldo Santana De Souza</v>
      </c>
      <c r="G1602" s="3" t="s">
        <v>1211</v>
      </c>
      <c r="H1602" s="3" t="s">
        <v>836</v>
      </c>
    </row>
    <row r="1603" spans="1:8">
      <c r="A1603" s="29">
        <v>42745.510625000003</v>
      </c>
      <c r="B1603" s="29" t="str">
        <f>PROPER(TEXT(tbLOG[[#This Row],[DATA/HORA]],"mmmm"))</f>
        <v>Janeiro</v>
      </c>
      <c r="C1603" s="34" t="str">
        <f>PROPER(TEXT(tbLOG[[#This Row],[DATA/HORA]],"dddd"))</f>
        <v>Terça-Feira</v>
      </c>
      <c r="D1603" s="3" t="s">
        <v>604</v>
      </c>
      <c r="E1603" s="34" t="str">
        <f>IFERROR(VLOOKUP(tbLOG[[#This Row],[LOGIN]],tbMAPA[#All],2,0), "Não localizado")</f>
        <v>Renan Cazumba Tegani</v>
      </c>
      <c r="F1603" s="34" t="str">
        <f>IFERROR(VLOOKUP(tbLOG[[#This Row],[LOGIN]],tbMAPA[#All],3,0), "Não localizado")</f>
        <v>Reginaldo Santana De Souza</v>
      </c>
      <c r="G1603" s="3" t="s">
        <v>1211</v>
      </c>
      <c r="H1603" s="3" t="s">
        <v>290</v>
      </c>
    </row>
    <row r="1604" spans="1:8">
      <c r="A1604" s="29">
        <v>42745.54383101852</v>
      </c>
      <c r="B1604" s="29" t="str">
        <f>PROPER(TEXT(tbLOG[[#This Row],[DATA/HORA]],"mmmm"))</f>
        <v>Janeiro</v>
      </c>
      <c r="C1604" s="34" t="str">
        <f>PROPER(TEXT(tbLOG[[#This Row],[DATA/HORA]],"dddd"))</f>
        <v>Terça-Feira</v>
      </c>
      <c r="D1604" s="3" t="s">
        <v>604</v>
      </c>
      <c r="E1604" s="34" t="str">
        <f>IFERROR(VLOOKUP(tbLOG[[#This Row],[LOGIN]],tbMAPA[#All],2,0), "Não localizado")</f>
        <v>Renan Cazumba Tegani</v>
      </c>
      <c r="F1604" s="34" t="str">
        <f>IFERROR(VLOOKUP(tbLOG[[#This Row],[LOGIN]],tbMAPA[#All],3,0), "Não localizado")</f>
        <v>Reginaldo Santana De Souza</v>
      </c>
      <c r="G1604" s="3" t="s">
        <v>1211</v>
      </c>
      <c r="H1604" s="3" t="s">
        <v>836</v>
      </c>
    </row>
    <row r="1605" spans="1:8">
      <c r="A1605" s="29">
        <v>42745.543842592589</v>
      </c>
      <c r="B1605" s="29" t="str">
        <f>PROPER(TEXT(tbLOG[[#This Row],[DATA/HORA]],"mmmm"))</f>
        <v>Janeiro</v>
      </c>
      <c r="C1605" s="34" t="str">
        <f>PROPER(TEXT(tbLOG[[#This Row],[DATA/HORA]],"dddd"))</f>
        <v>Terça-Feira</v>
      </c>
      <c r="D1605" s="3" t="s">
        <v>604</v>
      </c>
      <c r="E1605" s="34" t="str">
        <f>IFERROR(VLOOKUP(tbLOG[[#This Row],[LOGIN]],tbMAPA[#All],2,0), "Não localizado")</f>
        <v>Renan Cazumba Tegani</v>
      </c>
      <c r="F1605" s="34" t="str">
        <f>IFERROR(VLOOKUP(tbLOG[[#This Row],[LOGIN]],tbMAPA[#All],3,0), "Não localizado")</f>
        <v>Reginaldo Santana De Souza</v>
      </c>
      <c r="G1605" s="3" t="s">
        <v>1211</v>
      </c>
      <c r="H1605" s="3" t="s">
        <v>836</v>
      </c>
    </row>
    <row r="1606" spans="1:8">
      <c r="A1606" s="29">
        <v>42745.543993055559</v>
      </c>
      <c r="B1606" s="29" t="str">
        <f>PROPER(TEXT(tbLOG[[#This Row],[DATA/HORA]],"mmmm"))</f>
        <v>Janeiro</v>
      </c>
      <c r="C1606" s="34" t="str">
        <f>PROPER(TEXT(tbLOG[[#This Row],[DATA/HORA]],"dddd"))</f>
        <v>Terça-Feira</v>
      </c>
      <c r="D1606" s="3" t="s">
        <v>604</v>
      </c>
      <c r="E1606" s="34" t="str">
        <f>IFERROR(VLOOKUP(tbLOG[[#This Row],[LOGIN]],tbMAPA[#All],2,0), "Não localizado")</f>
        <v>Renan Cazumba Tegani</v>
      </c>
      <c r="F1606" s="34" t="str">
        <f>IFERROR(VLOOKUP(tbLOG[[#This Row],[LOGIN]],tbMAPA[#All],3,0), "Não localizado")</f>
        <v>Reginaldo Santana De Souza</v>
      </c>
      <c r="G1606" s="3" t="s">
        <v>1211</v>
      </c>
      <c r="H1606" s="3" t="s">
        <v>836</v>
      </c>
    </row>
    <row r="1607" spans="1:8">
      <c r="A1607" s="29">
        <v>42745.559293981481</v>
      </c>
      <c r="B1607" s="29" t="str">
        <f>PROPER(TEXT(tbLOG[[#This Row],[DATA/HORA]],"mmmm"))</f>
        <v>Janeiro</v>
      </c>
      <c r="C1607" s="34" t="str">
        <f>PROPER(TEXT(tbLOG[[#This Row],[DATA/HORA]],"dddd"))</f>
        <v>Terça-Feira</v>
      </c>
      <c r="D1607" s="3" t="s">
        <v>604</v>
      </c>
      <c r="E1607" s="34" t="str">
        <f>IFERROR(VLOOKUP(tbLOG[[#This Row],[LOGIN]],tbMAPA[#All],2,0), "Não localizado")</f>
        <v>Renan Cazumba Tegani</v>
      </c>
      <c r="F1607" s="34" t="str">
        <f>IFERROR(VLOOKUP(tbLOG[[#This Row],[LOGIN]],tbMAPA[#All],3,0), "Não localizado")</f>
        <v>Reginaldo Santana De Souza</v>
      </c>
      <c r="G1607" s="3" t="s">
        <v>1211</v>
      </c>
      <c r="H1607" s="3" t="s">
        <v>836</v>
      </c>
    </row>
    <row r="1608" spans="1:8">
      <c r="A1608" s="29">
        <v>42745.563680555555</v>
      </c>
      <c r="B1608" s="29" t="str">
        <f>PROPER(TEXT(tbLOG[[#This Row],[DATA/HORA]],"mmmm"))</f>
        <v>Janeiro</v>
      </c>
      <c r="C1608" s="34" t="str">
        <f>PROPER(TEXT(tbLOG[[#This Row],[DATA/HORA]],"dddd"))</f>
        <v>Terça-Feira</v>
      </c>
      <c r="D1608" s="3" t="s">
        <v>604</v>
      </c>
      <c r="E1608" s="34" t="str">
        <f>IFERROR(VLOOKUP(tbLOG[[#This Row],[LOGIN]],tbMAPA[#All],2,0), "Não localizado")</f>
        <v>Renan Cazumba Tegani</v>
      </c>
      <c r="F1608" s="34" t="str">
        <f>IFERROR(VLOOKUP(tbLOG[[#This Row],[LOGIN]],tbMAPA[#All],3,0), "Não localizado")</f>
        <v>Reginaldo Santana De Souza</v>
      </c>
      <c r="G1608" s="3" t="s">
        <v>1211</v>
      </c>
      <c r="H1608" s="3" t="s">
        <v>836</v>
      </c>
    </row>
    <row r="1609" spans="1:8">
      <c r="A1609" s="29">
        <v>42745.563715277778</v>
      </c>
      <c r="B1609" s="29" t="str">
        <f>PROPER(TEXT(tbLOG[[#This Row],[DATA/HORA]],"mmmm"))</f>
        <v>Janeiro</v>
      </c>
      <c r="C1609" s="34" t="str">
        <f>PROPER(TEXT(tbLOG[[#This Row],[DATA/HORA]],"dddd"))</f>
        <v>Terça-Feira</v>
      </c>
      <c r="D1609" s="3" t="s">
        <v>604</v>
      </c>
      <c r="E1609" s="34" t="str">
        <f>IFERROR(VLOOKUP(tbLOG[[#This Row],[LOGIN]],tbMAPA[#All],2,0), "Não localizado")</f>
        <v>Renan Cazumba Tegani</v>
      </c>
      <c r="F1609" s="34" t="str">
        <f>IFERROR(VLOOKUP(tbLOG[[#This Row],[LOGIN]],tbMAPA[#All],3,0), "Não localizado")</f>
        <v>Reginaldo Santana De Souza</v>
      </c>
      <c r="G1609" s="3" t="s">
        <v>1211</v>
      </c>
      <c r="H1609" s="3" t="s">
        <v>836</v>
      </c>
    </row>
    <row r="1610" spans="1:8">
      <c r="A1610" s="29">
        <v>42745.563738425924</v>
      </c>
      <c r="B1610" s="29" t="str">
        <f>PROPER(TEXT(tbLOG[[#This Row],[DATA/HORA]],"mmmm"))</f>
        <v>Janeiro</v>
      </c>
      <c r="C1610" s="34" t="str">
        <f>PROPER(TEXT(tbLOG[[#This Row],[DATA/HORA]],"dddd"))</f>
        <v>Terça-Feira</v>
      </c>
      <c r="D1610" s="3" t="s">
        <v>604</v>
      </c>
      <c r="E1610" s="34" t="str">
        <f>IFERROR(VLOOKUP(tbLOG[[#This Row],[LOGIN]],tbMAPA[#All],2,0), "Não localizado")</f>
        <v>Renan Cazumba Tegani</v>
      </c>
      <c r="F1610" s="34" t="str">
        <f>IFERROR(VLOOKUP(tbLOG[[#This Row],[LOGIN]],tbMAPA[#All],3,0), "Não localizado")</f>
        <v>Reginaldo Santana De Souza</v>
      </c>
      <c r="G1610" s="3" t="s">
        <v>1211</v>
      </c>
      <c r="H1610" s="3" t="s">
        <v>836</v>
      </c>
    </row>
    <row r="1611" spans="1:8">
      <c r="A1611" s="29">
        <v>42745.563807870371</v>
      </c>
      <c r="B1611" s="29" t="str">
        <f>PROPER(TEXT(tbLOG[[#This Row],[DATA/HORA]],"mmmm"))</f>
        <v>Janeiro</v>
      </c>
      <c r="C1611" s="34" t="str">
        <f>PROPER(TEXT(tbLOG[[#This Row],[DATA/HORA]],"dddd"))</f>
        <v>Terça-Feira</v>
      </c>
      <c r="D1611" s="3" t="s">
        <v>604</v>
      </c>
      <c r="E1611" s="34" t="str">
        <f>IFERROR(VLOOKUP(tbLOG[[#This Row],[LOGIN]],tbMAPA[#All],2,0), "Não localizado")</f>
        <v>Renan Cazumba Tegani</v>
      </c>
      <c r="F1611" s="34" t="str">
        <f>IFERROR(VLOOKUP(tbLOG[[#This Row],[LOGIN]],tbMAPA[#All],3,0), "Não localizado")</f>
        <v>Reginaldo Santana De Souza</v>
      </c>
      <c r="G1611" s="3" t="s">
        <v>1211</v>
      </c>
      <c r="H1611" s="3" t="s">
        <v>836</v>
      </c>
    </row>
    <row r="1612" spans="1:8">
      <c r="A1612" s="29">
        <v>42745.566134259258</v>
      </c>
      <c r="B1612" s="29" t="str">
        <f>PROPER(TEXT(tbLOG[[#This Row],[DATA/HORA]],"mmmm"))</f>
        <v>Janeiro</v>
      </c>
      <c r="C1612" s="34" t="str">
        <f>PROPER(TEXT(tbLOG[[#This Row],[DATA/HORA]],"dddd"))</f>
        <v>Terça-Feira</v>
      </c>
      <c r="D1612" s="3" t="s">
        <v>604</v>
      </c>
      <c r="E1612" s="34" t="str">
        <f>IFERROR(VLOOKUP(tbLOG[[#This Row],[LOGIN]],tbMAPA[#All],2,0), "Não localizado")</f>
        <v>Renan Cazumba Tegani</v>
      </c>
      <c r="F1612" s="34" t="str">
        <f>IFERROR(VLOOKUP(tbLOG[[#This Row],[LOGIN]],tbMAPA[#All],3,0), "Não localizado")</f>
        <v>Reginaldo Santana De Souza</v>
      </c>
      <c r="G1612" s="3" t="s">
        <v>1211</v>
      </c>
      <c r="H1612" s="3" t="s">
        <v>836</v>
      </c>
    </row>
    <row r="1613" spans="1:8">
      <c r="A1613" s="29">
        <v>42745.566192129627</v>
      </c>
      <c r="B1613" s="29" t="str">
        <f>PROPER(TEXT(tbLOG[[#This Row],[DATA/HORA]],"mmmm"))</f>
        <v>Janeiro</v>
      </c>
      <c r="C1613" s="34" t="str">
        <f>PROPER(TEXT(tbLOG[[#This Row],[DATA/HORA]],"dddd"))</f>
        <v>Terça-Feira</v>
      </c>
      <c r="D1613" s="3" t="s">
        <v>604</v>
      </c>
      <c r="E1613" s="34" t="str">
        <f>IFERROR(VLOOKUP(tbLOG[[#This Row],[LOGIN]],tbMAPA[#All],2,0), "Não localizado")</f>
        <v>Renan Cazumba Tegani</v>
      </c>
      <c r="F1613" s="34" t="str">
        <f>IFERROR(VLOOKUP(tbLOG[[#This Row],[LOGIN]],tbMAPA[#All],3,0), "Não localizado")</f>
        <v>Reginaldo Santana De Souza</v>
      </c>
      <c r="G1613" s="3" t="s">
        <v>1211</v>
      </c>
      <c r="H1613" s="3" t="s">
        <v>836</v>
      </c>
    </row>
    <row r="1614" spans="1:8">
      <c r="A1614" s="29">
        <v>42745.56621527778</v>
      </c>
      <c r="B1614" s="29" t="str">
        <f>PROPER(TEXT(tbLOG[[#This Row],[DATA/HORA]],"mmmm"))</f>
        <v>Janeiro</v>
      </c>
      <c r="C1614" s="34" t="str">
        <f>PROPER(TEXT(tbLOG[[#This Row],[DATA/HORA]],"dddd"))</f>
        <v>Terça-Feira</v>
      </c>
      <c r="D1614" s="3" t="s">
        <v>604</v>
      </c>
      <c r="E1614" s="34" t="str">
        <f>IFERROR(VLOOKUP(tbLOG[[#This Row],[LOGIN]],tbMAPA[#All],2,0), "Não localizado")</f>
        <v>Renan Cazumba Tegani</v>
      </c>
      <c r="F1614" s="34" t="str">
        <f>IFERROR(VLOOKUP(tbLOG[[#This Row],[LOGIN]],tbMAPA[#All],3,0), "Não localizado")</f>
        <v>Reginaldo Santana De Souza</v>
      </c>
      <c r="G1614" s="3" t="s">
        <v>1211</v>
      </c>
      <c r="H1614" s="3" t="s">
        <v>836</v>
      </c>
    </row>
    <row r="1615" spans="1:8">
      <c r="A1615" s="29">
        <v>42745.566493055558</v>
      </c>
      <c r="B1615" s="29" t="str">
        <f>PROPER(TEXT(tbLOG[[#This Row],[DATA/HORA]],"mmmm"))</f>
        <v>Janeiro</v>
      </c>
      <c r="C1615" s="34" t="str">
        <f>PROPER(TEXT(tbLOG[[#This Row],[DATA/HORA]],"dddd"))</f>
        <v>Terça-Feira</v>
      </c>
      <c r="D1615" s="3" t="s">
        <v>604</v>
      </c>
      <c r="E1615" s="34" t="str">
        <f>IFERROR(VLOOKUP(tbLOG[[#This Row],[LOGIN]],tbMAPA[#All],2,0), "Não localizado")</f>
        <v>Renan Cazumba Tegani</v>
      </c>
      <c r="F1615" s="34" t="str">
        <f>IFERROR(VLOOKUP(tbLOG[[#This Row],[LOGIN]],tbMAPA[#All],3,0), "Não localizado")</f>
        <v>Reginaldo Santana De Souza</v>
      </c>
      <c r="G1615" s="3" t="s">
        <v>1211</v>
      </c>
      <c r="H1615" s="3" t="s">
        <v>290</v>
      </c>
    </row>
    <row r="1616" spans="1:8">
      <c r="A1616" s="29">
        <v>42745.569016203706</v>
      </c>
      <c r="B1616" s="29" t="str">
        <f>PROPER(TEXT(tbLOG[[#This Row],[DATA/HORA]],"mmmm"))</f>
        <v>Janeiro</v>
      </c>
      <c r="C1616" s="34" t="str">
        <f>PROPER(TEXT(tbLOG[[#This Row],[DATA/HORA]],"dddd"))</f>
        <v>Terça-Feira</v>
      </c>
      <c r="D1616" s="3" t="s">
        <v>604</v>
      </c>
      <c r="E1616" s="34" t="str">
        <f>IFERROR(VLOOKUP(tbLOG[[#This Row],[LOGIN]],tbMAPA[#All],2,0), "Não localizado")</f>
        <v>Renan Cazumba Tegani</v>
      </c>
      <c r="F1616" s="34" t="str">
        <f>IFERROR(VLOOKUP(tbLOG[[#This Row],[LOGIN]],tbMAPA[#All],3,0), "Não localizado")</f>
        <v>Reginaldo Santana De Souza</v>
      </c>
      <c r="G1616" s="3" t="s">
        <v>1211</v>
      </c>
      <c r="H1616" s="3" t="s">
        <v>836</v>
      </c>
    </row>
    <row r="1617" spans="1:8">
      <c r="A1617" s="29">
        <v>42745.569050925929</v>
      </c>
      <c r="B1617" s="29" t="str">
        <f>PROPER(TEXT(tbLOG[[#This Row],[DATA/HORA]],"mmmm"))</f>
        <v>Janeiro</v>
      </c>
      <c r="C1617" s="34" t="str">
        <f>PROPER(TEXT(tbLOG[[#This Row],[DATA/HORA]],"dddd"))</f>
        <v>Terça-Feira</v>
      </c>
      <c r="D1617" s="3" t="s">
        <v>604</v>
      </c>
      <c r="E1617" s="34" t="str">
        <f>IFERROR(VLOOKUP(tbLOG[[#This Row],[LOGIN]],tbMAPA[#All],2,0), "Não localizado")</f>
        <v>Renan Cazumba Tegani</v>
      </c>
      <c r="F1617" s="34" t="str">
        <f>IFERROR(VLOOKUP(tbLOG[[#This Row],[LOGIN]],tbMAPA[#All],3,0), "Não localizado")</f>
        <v>Reginaldo Santana De Souza</v>
      </c>
      <c r="G1617" s="3" t="s">
        <v>1211</v>
      </c>
      <c r="H1617" s="3" t="s">
        <v>836</v>
      </c>
    </row>
    <row r="1618" spans="1:8">
      <c r="A1618" s="29">
        <v>42745.569780092592</v>
      </c>
      <c r="B1618" s="29" t="str">
        <f>PROPER(TEXT(tbLOG[[#This Row],[DATA/HORA]],"mmmm"))</f>
        <v>Janeiro</v>
      </c>
      <c r="C1618" s="34" t="str">
        <f>PROPER(TEXT(tbLOG[[#This Row],[DATA/HORA]],"dddd"))</f>
        <v>Terça-Feira</v>
      </c>
      <c r="D1618" s="3" t="s">
        <v>604</v>
      </c>
      <c r="E1618" s="34" t="str">
        <f>IFERROR(VLOOKUP(tbLOG[[#This Row],[LOGIN]],tbMAPA[#All],2,0), "Não localizado")</f>
        <v>Renan Cazumba Tegani</v>
      </c>
      <c r="F1618" s="34" t="str">
        <f>IFERROR(VLOOKUP(tbLOG[[#This Row],[LOGIN]],tbMAPA[#All],3,0), "Não localizado")</f>
        <v>Reginaldo Santana De Souza</v>
      </c>
      <c r="G1618" s="3" t="s">
        <v>1211</v>
      </c>
      <c r="H1618" s="3" t="s">
        <v>836</v>
      </c>
    </row>
    <row r="1619" spans="1:8">
      <c r="A1619" s="29">
        <v>42745.569826388892</v>
      </c>
      <c r="B1619" s="29" t="str">
        <f>PROPER(TEXT(tbLOG[[#This Row],[DATA/HORA]],"mmmm"))</f>
        <v>Janeiro</v>
      </c>
      <c r="C1619" s="34" t="str">
        <f>PROPER(TEXT(tbLOG[[#This Row],[DATA/HORA]],"dddd"))</f>
        <v>Terça-Feira</v>
      </c>
      <c r="D1619" s="3" t="s">
        <v>604</v>
      </c>
      <c r="E1619" s="34" t="str">
        <f>IFERROR(VLOOKUP(tbLOG[[#This Row],[LOGIN]],tbMAPA[#All],2,0), "Não localizado")</f>
        <v>Renan Cazumba Tegani</v>
      </c>
      <c r="F1619" s="34" t="str">
        <f>IFERROR(VLOOKUP(tbLOG[[#This Row],[LOGIN]],tbMAPA[#All],3,0), "Não localizado")</f>
        <v>Reginaldo Santana De Souza</v>
      </c>
      <c r="G1619" s="3" t="s">
        <v>1211</v>
      </c>
      <c r="H1619" s="3" t="s">
        <v>836</v>
      </c>
    </row>
    <row r="1620" spans="1:8">
      <c r="A1620" s="29">
        <v>42745.571736111109</v>
      </c>
      <c r="B1620" s="29" t="str">
        <f>PROPER(TEXT(tbLOG[[#This Row],[DATA/HORA]],"mmmm"))</f>
        <v>Janeiro</v>
      </c>
      <c r="C1620" s="34" t="str">
        <f>PROPER(TEXT(tbLOG[[#This Row],[DATA/HORA]],"dddd"))</f>
        <v>Terça-Feira</v>
      </c>
      <c r="D1620" s="3" t="s">
        <v>604</v>
      </c>
      <c r="E1620" s="34" t="str">
        <f>IFERROR(VLOOKUP(tbLOG[[#This Row],[LOGIN]],tbMAPA[#All],2,0), "Não localizado")</f>
        <v>Renan Cazumba Tegani</v>
      </c>
      <c r="F1620" s="34" t="str">
        <f>IFERROR(VLOOKUP(tbLOG[[#This Row],[LOGIN]],tbMAPA[#All],3,0), "Não localizado")</f>
        <v>Reginaldo Santana De Souza</v>
      </c>
      <c r="G1620" s="3" t="s">
        <v>1211</v>
      </c>
      <c r="H1620" s="3" t="s">
        <v>836</v>
      </c>
    </row>
    <row r="1621" spans="1:8">
      <c r="A1621" s="29">
        <v>42745.571805555555</v>
      </c>
      <c r="B1621" s="29" t="str">
        <f>PROPER(TEXT(tbLOG[[#This Row],[DATA/HORA]],"mmmm"))</f>
        <v>Janeiro</v>
      </c>
      <c r="C1621" s="34" t="str">
        <f>PROPER(TEXT(tbLOG[[#This Row],[DATA/HORA]],"dddd"))</f>
        <v>Terça-Feira</v>
      </c>
      <c r="D1621" s="3" t="s">
        <v>604</v>
      </c>
      <c r="E1621" s="34" t="str">
        <f>IFERROR(VLOOKUP(tbLOG[[#This Row],[LOGIN]],tbMAPA[#All],2,0), "Não localizado")</f>
        <v>Renan Cazumba Tegani</v>
      </c>
      <c r="F1621" s="34" t="str">
        <f>IFERROR(VLOOKUP(tbLOG[[#This Row],[LOGIN]],tbMAPA[#All],3,0), "Não localizado")</f>
        <v>Reginaldo Santana De Souza</v>
      </c>
      <c r="G1621" s="3" t="s">
        <v>1211</v>
      </c>
      <c r="H1621" s="3" t="s">
        <v>836</v>
      </c>
    </row>
    <row r="1622" spans="1:8">
      <c r="A1622" s="29">
        <v>42745.571863425925</v>
      </c>
      <c r="B1622" s="29" t="str">
        <f>PROPER(TEXT(tbLOG[[#This Row],[DATA/HORA]],"mmmm"))</f>
        <v>Janeiro</v>
      </c>
      <c r="C1622" s="34" t="str">
        <f>PROPER(TEXT(tbLOG[[#This Row],[DATA/HORA]],"dddd"))</f>
        <v>Terça-Feira</v>
      </c>
      <c r="D1622" s="3" t="s">
        <v>604</v>
      </c>
      <c r="E1622" s="34" t="str">
        <f>IFERROR(VLOOKUP(tbLOG[[#This Row],[LOGIN]],tbMAPA[#All],2,0), "Não localizado")</f>
        <v>Renan Cazumba Tegani</v>
      </c>
      <c r="F1622" s="34" t="str">
        <f>IFERROR(VLOOKUP(tbLOG[[#This Row],[LOGIN]],tbMAPA[#All],3,0), "Não localizado")</f>
        <v>Reginaldo Santana De Souza</v>
      </c>
      <c r="G1622" s="3" t="s">
        <v>1211</v>
      </c>
      <c r="H1622" s="3" t="s">
        <v>836</v>
      </c>
    </row>
    <row r="1623" spans="1:8">
      <c r="A1623" s="29">
        <v>42745.637199074074</v>
      </c>
      <c r="B1623" s="29" t="str">
        <f>PROPER(TEXT(tbLOG[[#This Row],[DATA/HORA]],"mmmm"))</f>
        <v>Janeiro</v>
      </c>
      <c r="C1623" s="34" t="str">
        <f>PROPER(TEXT(tbLOG[[#This Row],[DATA/HORA]],"dddd"))</f>
        <v>Terça-Feira</v>
      </c>
      <c r="D1623" s="3" t="s">
        <v>604</v>
      </c>
      <c r="E1623" s="34" t="str">
        <f>IFERROR(VLOOKUP(tbLOG[[#This Row],[LOGIN]],tbMAPA[#All],2,0), "Não localizado")</f>
        <v>Renan Cazumba Tegani</v>
      </c>
      <c r="F1623" s="34" t="str">
        <f>IFERROR(VLOOKUP(tbLOG[[#This Row],[LOGIN]],tbMAPA[#All],3,0), "Não localizado")</f>
        <v>Reginaldo Santana De Souza</v>
      </c>
      <c r="G1623" s="3" t="s">
        <v>1211</v>
      </c>
      <c r="H1623" s="3" t="s">
        <v>836</v>
      </c>
    </row>
    <row r="1624" spans="1:8">
      <c r="A1624" s="29">
        <v>42745.644050925926</v>
      </c>
      <c r="B1624" s="29" t="str">
        <f>PROPER(TEXT(tbLOG[[#This Row],[DATA/HORA]],"mmmm"))</f>
        <v>Janeiro</v>
      </c>
      <c r="C1624" s="34" t="str">
        <f>PROPER(TEXT(tbLOG[[#This Row],[DATA/HORA]],"dddd"))</f>
        <v>Terça-Feira</v>
      </c>
      <c r="D1624" s="3" t="s">
        <v>604</v>
      </c>
      <c r="E1624" s="34" t="str">
        <f>IFERROR(VLOOKUP(tbLOG[[#This Row],[LOGIN]],tbMAPA[#All],2,0), "Não localizado")</f>
        <v>Renan Cazumba Tegani</v>
      </c>
      <c r="F1624" s="34" t="str">
        <f>IFERROR(VLOOKUP(tbLOG[[#This Row],[LOGIN]],tbMAPA[#All],3,0), "Não localizado")</f>
        <v>Reginaldo Santana De Souza</v>
      </c>
      <c r="G1624" s="3" t="s">
        <v>1211</v>
      </c>
      <c r="H1624" s="3" t="s">
        <v>836</v>
      </c>
    </row>
    <row r="1625" spans="1:8">
      <c r="A1625" s="29">
        <v>42745.647650462961</v>
      </c>
      <c r="B1625" s="29" t="str">
        <f>PROPER(TEXT(tbLOG[[#This Row],[DATA/HORA]],"mmmm"))</f>
        <v>Janeiro</v>
      </c>
      <c r="C1625" s="34" t="str">
        <f>PROPER(TEXT(tbLOG[[#This Row],[DATA/HORA]],"dddd"))</f>
        <v>Terça-Feira</v>
      </c>
      <c r="D1625" s="3" t="s">
        <v>604</v>
      </c>
      <c r="E1625" s="34" t="str">
        <f>IFERROR(VLOOKUP(tbLOG[[#This Row],[LOGIN]],tbMAPA[#All],2,0), "Não localizado")</f>
        <v>Renan Cazumba Tegani</v>
      </c>
      <c r="F1625" s="34" t="str">
        <f>IFERROR(VLOOKUP(tbLOG[[#This Row],[LOGIN]],tbMAPA[#All],3,0), "Não localizado")</f>
        <v>Reginaldo Santana De Souza</v>
      </c>
      <c r="G1625" s="3" t="s">
        <v>1211</v>
      </c>
      <c r="H1625" s="3" t="s">
        <v>836</v>
      </c>
    </row>
    <row r="1626" spans="1:8">
      <c r="A1626" s="29">
        <v>42745.651736111111</v>
      </c>
      <c r="B1626" s="29" t="str">
        <f>PROPER(TEXT(tbLOG[[#This Row],[DATA/HORA]],"mmmm"))</f>
        <v>Janeiro</v>
      </c>
      <c r="C1626" s="34" t="str">
        <f>PROPER(TEXT(tbLOG[[#This Row],[DATA/HORA]],"dddd"))</f>
        <v>Terça-Feira</v>
      </c>
      <c r="D1626" s="3" t="s">
        <v>604</v>
      </c>
      <c r="E1626" s="34" t="str">
        <f>IFERROR(VLOOKUP(tbLOG[[#This Row],[LOGIN]],tbMAPA[#All],2,0), "Não localizado")</f>
        <v>Renan Cazumba Tegani</v>
      </c>
      <c r="F1626" s="34" t="str">
        <f>IFERROR(VLOOKUP(tbLOG[[#This Row],[LOGIN]],tbMAPA[#All],3,0), "Não localizado")</f>
        <v>Reginaldo Santana De Souza</v>
      </c>
      <c r="G1626" s="3" t="s">
        <v>1211</v>
      </c>
      <c r="H1626" s="3" t="s">
        <v>836</v>
      </c>
    </row>
    <row r="1627" spans="1:8">
      <c r="A1627" s="29">
        <v>42745.65179398148</v>
      </c>
      <c r="B1627" s="29" t="str">
        <f>PROPER(TEXT(tbLOG[[#This Row],[DATA/HORA]],"mmmm"))</f>
        <v>Janeiro</v>
      </c>
      <c r="C1627" s="34" t="str">
        <f>PROPER(TEXT(tbLOG[[#This Row],[DATA/HORA]],"dddd"))</f>
        <v>Terça-Feira</v>
      </c>
      <c r="D1627" s="3" t="s">
        <v>604</v>
      </c>
      <c r="E1627" s="34" t="str">
        <f>IFERROR(VLOOKUP(tbLOG[[#This Row],[LOGIN]],tbMAPA[#All],2,0), "Não localizado")</f>
        <v>Renan Cazumba Tegani</v>
      </c>
      <c r="F1627" s="34" t="str">
        <f>IFERROR(VLOOKUP(tbLOG[[#This Row],[LOGIN]],tbMAPA[#All],3,0), "Não localizado")</f>
        <v>Reginaldo Santana De Souza</v>
      </c>
      <c r="G1627" s="3" t="s">
        <v>1211</v>
      </c>
      <c r="H1627" s="3" t="s">
        <v>836</v>
      </c>
    </row>
    <row r="1628" spans="1:8">
      <c r="A1628" s="29">
        <v>42745.654062499998</v>
      </c>
      <c r="B1628" s="29" t="str">
        <f>PROPER(TEXT(tbLOG[[#This Row],[DATA/HORA]],"mmmm"))</f>
        <v>Janeiro</v>
      </c>
      <c r="C1628" s="34" t="str">
        <f>PROPER(TEXT(tbLOG[[#This Row],[DATA/HORA]],"dddd"))</f>
        <v>Terça-Feira</v>
      </c>
      <c r="D1628" s="3" t="s">
        <v>604</v>
      </c>
      <c r="E1628" s="34" t="str">
        <f>IFERROR(VLOOKUP(tbLOG[[#This Row],[LOGIN]],tbMAPA[#All],2,0), "Não localizado")</f>
        <v>Renan Cazumba Tegani</v>
      </c>
      <c r="F1628" s="34" t="str">
        <f>IFERROR(VLOOKUP(tbLOG[[#This Row],[LOGIN]],tbMAPA[#All],3,0), "Não localizado")</f>
        <v>Reginaldo Santana De Souza</v>
      </c>
      <c r="G1628" s="3" t="s">
        <v>1211</v>
      </c>
      <c r="H1628" s="3" t="s">
        <v>836</v>
      </c>
    </row>
    <row r="1629" spans="1:8">
      <c r="A1629" s="29">
        <v>42745.65828703704</v>
      </c>
      <c r="B1629" s="29" t="str">
        <f>PROPER(TEXT(tbLOG[[#This Row],[DATA/HORA]],"mmmm"))</f>
        <v>Janeiro</v>
      </c>
      <c r="C1629" s="34" t="str">
        <f>PROPER(TEXT(tbLOG[[#This Row],[DATA/HORA]],"dddd"))</f>
        <v>Terça-Feira</v>
      </c>
      <c r="D1629" s="3" t="s">
        <v>604</v>
      </c>
      <c r="E1629" s="34" t="str">
        <f>IFERROR(VLOOKUP(tbLOG[[#This Row],[LOGIN]],tbMAPA[#All],2,0), "Não localizado")</f>
        <v>Renan Cazumba Tegani</v>
      </c>
      <c r="F1629" s="34" t="str">
        <f>IFERROR(VLOOKUP(tbLOG[[#This Row],[LOGIN]],tbMAPA[#All],3,0), "Não localizado")</f>
        <v>Reginaldo Santana De Souza</v>
      </c>
      <c r="G1629" s="3" t="s">
        <v>1211</v>
      </c>
      <c r="H1629" s="3" t="s">
        <v>836</v>
      </c>
    </row>
    <row r="1630" spans="1:8">
      <c r="A1630" s="29">
        <v>42745.658333333333</v>
      </c>
      <c r="B1630" s="29" t="str">
        <f>PROPER(TEXT(tbLOG[[#This Row],[DATA/HORA]],"mmmm"))</f>
        <v>Janeiro</v>
      </c>
      <c r="C1630" s="34" t="str">
        <f>PROPER(TEXT(tbLOG[[#This Row],[DATA/HORA]],"dddd"))</f>
        <v>Terça-Feira</v>
      </c>
      <c r="D1630" s="3" t="s">
        <v>604</v>
      </c>
      <c r="E1630" s="34" t="str">
        <f>IFERROR(VLOOKUP(tbLOG[[#This Row],[LOGIN]],tbMAPA[#All],2,0), "Não localizado")</f>
        <v>Renan Cazumba Tegani</v>
      </c>
      <c r="F1630" s="34" t="str">
        <f>IFERROR(VLOOKUP(tbLOG[[#This Row],[LOGIN]],tbMAPA[#All],3,0), "Não localizado")</f>
        <v>Reginaldo Santana De Souza</v>
      </c>
      <c r="G1630" s="3" t="s">
        <v>1211</v>
      </c>
      <c r="H1630" s="3" t="s">
        <v>836</v>
      </c>
    </row>
    <row r="1631" spans="1:8">
      <c r="A1631" s="29">
        <v>42745.672083333331</v>
      </c>
      <c r="B1631" s="29" t="str">
        <f>PROPER(TEXT(tbLOG[[#This Row],[DATA/HORA]],"mmmm"))</f>
        <v>Janeiro</v>
      </c>
      <c r="C1631" s="34" t="str">
        <f>PROPER(TEXT(tbLOG[[#This Row],[DATA/HORA]],"dddd"))</f>
        <v>Terça-Feira</v>
      </c>
      <c r="D1631" s="3" t="s">
        <v>604</v>
      </c>
      <c r="E1631" s="34" t="str">
        <f>IFERROR(VLOOKUP(tbLOG[[#This Row],[LOGIN]],tbMAPA[#All],2,0), "Não localizado")</f>
        <v>Renan Cazumba Tegani</v>
      </c>
      <c r="F1631" s="34" t="str">
        <f>IFERROR(VLOOKUP(tbLOG[[#This Row],[LOGIN]],tbMAPA[#All],3,0), "Não localizado")</f>
        <v>Reginaldo Santana De Souza</v>
      </c>
      <c r="G1631" s="3" t="s">
        <v>1211</v>
      </c>
      <c r="H1631" s="3" t="s">
        <v>836</v>
      </c>
    </row>
    <row r="1632" spans="1:8">
      <c r="A1632" s="29">
        <v>42745.696099537039</v>
      </c>
      <c r="B1632" s="29" t="str">
        <f>PROPER(TEXT(tbLOG[[#This Row],[DATA/HORA]],"mmmm"))</f>
        <v>Janeiro</v>
      </c>
      <c r="C1632" s="34" t="str">
        <f>PROPER(TEXT(tbLOG[[#This Row],[DATA/HORA]],"dddd"))</f>
        <v>Terça-Feira</v>
      </c>
      <c r="D1632" s="3" t="s">
        <v>604</v>
      </c>
      <c r="E1632" s="34" t="str">
        <f>IFERROR(VLOOKUP(tbLOG[[#This Row],[LOGIN]],tbMAPA[#All],2,0), "Não localizado")</f>
        <v>Renan Cazumba Tegani</v>
      </c>
      <c r="F1632" s="34" t="str">
        <f>IFERROR(VLOOKUP(tbLOG[[#This Row],[LOGIN]],tbMAPA[#All],3,0), "Não localizado")</f>
        <v>Reginaldo Santana De Souza</v>
      </c>
      <c r="G1632" s="3" t="s">
        <v>1211</v>
      </c>
      <c r="H1632" s="3" t="s">
        <v>290</v>
      </c>
    </row>
    <row r="1633" spans="1:8">
      <c r="A1633" s="29">
        <v>42745.712685185186</v>
      </c>
      <c r="B1633" s="29" t="str">
        <f>PROPER(TEXT(tbLOG[[#This Row],[DATA/HORA]],"mmmm"))</f>
        <v>Janeiro</v>
      </c>
      <c r="C1633" s="34" t="str">
        <f>PROPER(TEXT(tbLOG[[#This Row],[DATA/HORA]],"dddd"))</f>
        <v>Terça-Feira</v>
      </c>
      <c r="D1633" s="3" t="s">
        <v>604</v>
      </c>
      <c r="E1633" s="34" t="str">
        <f>IFERROR(VLOOKUP(tbLOG[[#This Row],[LOGIN]],tbMAPA[#All],2,0), "Não localizado")</f>
        <v>Renan Cazumba Tegani</v>
      </c>
      <c r="F1633" s="34" t="str">
        <f>IFERROR(VLOOKUP(tbLOG[[#This Row],[LOGIN]],tbMAPA[#All],3,0), "Não localizado")</f>
        <v>Reginaldo Santana De Souza</v>
      </c>
      <c r="G1633" s="3" t="s">
        <v>1211</v>
      </c>
      <c r="H1633" s="3" t="s">
        <v>836</v>
      </c>
    </row>
    <row r="1634" spans="1:8">
      <c r="A1634" s="29">
        <v>42745.712754629632</v>
      </c>
      <c r="B1634" s="29" t="str">
        <f>PROPER(TEXT(tbLOG[[#This Row],[DATA/HORA]],"mmmm"))</f>
        <v>Janeiro</v>
      </c>
      <c r="C1634" s="34" t="str">
        <f>PROPER(TEXT(tbLOG[[#This Row],[DATA/HORA]],"dddd"))</f>
        <v>Terça-Feira</v>
      </c>
      <c r="D1634" s="3" t="s">
        <v>604</v>
      </c>
      <c r="E1634" s="34" t="str">
        <f>IFERROR(VLOOKUP(tbLOG[[#This Row],[LOGIN]],tbMAPA[#All],2,0), "Não localizado")</f>
        <v>Renan Cazumba Tegani</v>
      </c>
      <c r="F1634" s="34" t="str">
        <f>IFERROR(VLOOKUP(tbLOG[[#This Row],[LOGIN]],tbMAPA[#All],3,0), "Não localizado")</f>
        <v>Reginaldo Santana De Souza</v>
      </c>
      <c r="G1634" s="3" t="s">
        <v>1211</v>
      </c>
      <c r="H1634" s="3" t="s">
        <v>290</v>
      </c>
    </row>
    <row r="1635" spans="1:8">
      <c r="A1635" s="29">
        <v>42745.722939814812</v>
      </c>
      <c r="B1635" s="29" t="str">
        <f>PROPER(TEXT(tbLOG[[#This Row],[DATA/HORA]],"mmmm"))</f>
        <v>Janeiro</v>
      </c>
      <c r="C1635" s="34" t="str">
        <f>PROPER(TEXT(tbLOG[[#This Row],[DATA/HORA]],"dddd"))</f>
        <v>Terça-Feira</v>
      </c>
      <c r="D1635" s="3" t="s">
        <v>604</v>
      </c>
      <c r="E1635" s="34" t="str">
        <f>IFERROR(VLOOKUP(tbLOG[[#This Row],[LOGIN]],tbMAPA[#All],2,0), "Não localizado")</f>
        <v>Renan Cazumba Tegani</v>
      </c>
      <c r="F1635" s="34" t="str">
        <f>IFERROR(VLOOKUP(tbLOG[[#This Row],[LOGIN]],tbMAPA[#All],3,0), "Não localizado")</f>
        <v>Reginaldo Santana De Souza</v>
      </c>
      <c r="G1635" s="3" t="s">
        <v>1211</v>
      </c>
      <c r="H1635" s="3" t="s">
        <v>836</v>
      </c>
    </row>
    <row r="1636" spans="1:8">
      <c r="A1636" s="29">
        <v>42745.722974537035</v>
      </c>
      <c r="B1636" s="29" t="str">
        <f>PROPER(TEXT(tbLOG[[#This Row],[DATA/HORA]],"mmmm"))</f>
        <v>Janeiro</v>
      </c>
      <c r="C1636" s="34" t="str">
        <f>PROPER(TEXT(tbLOG[[#This Row],[DATA/HORA]],"dddd"))</f>
        <v>Terça-Feira</v>
      </c>
      <c r="D1636" s="3" t="s">
        <v>604</v>
      </c>
      <c r="E1636" s="34" t="str">
        <f>IFERROR(VLOOKUP(tbLOG[[#This Row],[LOGIN]],tbMAPA[#All],2,0), "Não localizado")</f>
        <v>Renan Cazumba Tegani</v>
      </c>
      <c r="F1636" s="34" t="str">
        <f>IFERROR(VLOOKUP(tbLOG[[#This Row],[LOGIN]],tbMAPA[#All],3,0), "Não localizado")</f>
        <v>Reginaldo Santana De Souza</v>
      </c>
      <c r="G1636" s="3" t="s">
        <v>1211</v>
      </c>
      <c r="H1636" s="3" t="s">
        <v>836</v>
      </c>
    </row>
    <row r="1637" spans="1:8">
      <c r="A1637" s="29">
        <v>42745.723067129627</v>
      </c>
      <c r="B1637" s="29" t="str">
        <f>PROPER(TEXT(tbLOG[[#This Row],[DATA/HORA]],"mmmm"))</f>
        <v>Janeiro</v>
      </c>
      <c r="C1637" s="34" t="str">
        <f>PROPER(TEXT(tbLOG[[#This Row],[DATA/HORA]],"dddd"))</f>
        <v>Terça-Feira</v>
      </c>
      <c r="D1637" s="3" t="s">
        <v>604</v>
      </c>
      <c r="E1637" s="34" t="str">
        <f>IFERROR(VLOOKUP(tbLOG[[#This Row],[LOGIN]],tbMAPA[#All],2,0), "Não localizado")</f>
        <v>Renan Cazumba Tegani</v>
      </c>
      <c r="F1637" s="34" t="str">
        <f>IFERROR(VLOOKUP(tbLOG[[#This Row],[LOGIN]],tbMAPA[#All],3,0), "Não localizado")</f>
        <v>Reginaldo Santana De Souza</v>
      </c>
      <c r="G1637" s="3" t="s">
        <v>1211</v>
      </c>
      <c r="H1637" s="3" t="s">
        <v>290</v>
      </c>
    </row>
    <row r="1638" spans="1:8">
      <c r="A1638" s="29">
        <v>42745.725405092591</v>
      </c>
      <c r="B1638" s="29" t="str">
        <f>PROPER(TEXT(tbLOG[[#This Row],[DATA/HORA]],"mmmm"))</f>
        <v>Janeiro</v>
      </c>
      <c r="C1638" s="34" t="str">
        <f>PROPER(TEXT(tbLOG[[#This Row],[DATA/HORA]],"dddd"))</f>
        <v>Terça-Feira</v>
      </c>
      <c r="D1638" s="3" t="s">
        <v>604</v>
      </c>
      <c r="E1638" s="34" t="str">
        <f>IFERROR(VLOOKUP(tbLOG[[#This Row],[LOGIN]],tbMAPA[#All],2,0), "Não localizado")</f>
        <v>Renan Cazumba Tegani</v>
      </c>
      <c r="F1638" s="34" t="str">
        <f>IFERROR(VLOOKUP(tbLOG[[#This Row],[LOGIN]],tbMAPA[#All],3,0), "Não localizado")</f>
        <v>Reginaldo Santana De Souza</v>
      </c>
      <c r="G1638" s="3" t="s">
        <v>1211</v>
      </c>
      <c r="H1638" s="3" t="s">
        <v>290</v>
      </c>
    </row>
    <row r="1639" spans="1:8">
      <c r="A1639" s="29">
        <v>42745.746354166666</v>
      </c>
      <c r="B1639" s="29" t="str">
        <f>PROPER(TEXT(tbLOG[[#This Row],[DATA/HORA]],"mmmm"))</f>
        <v>Janeiro</v>
      </c>
      <c r="C1639" s="34" t="str">
        <f>PROPER(TEXT(tbLOG[[#This Row],[DATA/HORA]],"dddd"))</f>
        <v>Terça-Feira</v>
      </c>
      <c r="D1639" s="3" t="s">
        <v>604</v>
      </c>
      <c r="E1639" s="34" t="str">
        <f>IFERROR(VLOOKUP(tbLOG[[#This Row],[LOGIN]],tbMAPA[#All],2,0), "Não localizado")</f>
        <v>Renan Cazumba Tegani</v>
      </c>
      <c r="F1639" s="34" t="str">
        <f>IFERROR(VLOOKUP(tbLOG[[#This Row],[LOGIN]],tbMAPA[#All],3,0), "Não localizado")</f>
        <v>Reginaldo Santana De Souza</v>
      </c>
      <c r="G1639" s="3" t="s">
        <v>1211</v>
      </c>
      <c r="H1639" s="3" t="s">
        <v>290</v>
      </c>
    </row>
    <row r="1640" spans="1:8">
      <c r="A1640" s="29">
        <v>42745.746365740742</v>
      </c>
      <c r="B1640" s="29" t="str">
        <f>PROPER(TEXT(tbLOG[[#This Row],[DATA/HORA]],"mmmm"))</f>
        <v>Janeiro</v>
      </c>
      <c r="C1640" s="34" t="str">
        <f>PROPER(TEXT(tbLOG[[#This Row],[DATA/HORA]],"dddd"))</f>
        <v>Terça-Feira</v>
      </c>
      <c r="D1640" s="3" t="s">
        <v>604</v>
      </c>
      <c r="E1640" s="34" t="str">
        <f>IFERROR(VLOOKUP(tbLOG[[#This Row],[LOGIN]],tbMAPA[#All],2,0), "Não localizado")</f>
        <v>Renan Cazumba Tegani</v>
      </c>
      <c r="F1640" s="34" t="str">
        <f>IFERROR(VLOOKUP(tbLOG[[#This Row],[LOGIN]],tbMAPA[#All],3,0), "Não localizado")</f>
        <v>Reginaldo Santana De Souza</v>
      </c>
      <c r="G1640" s="3" t="s">
        <v>1211</v>
      </c>
      <c r="H1640" s="3" t="s">
        <v>291</v>
      </c>
    </row>
    <row r="1641" spans="1:8">
      <c r="A1641" s="29">
        <v>42745.746365740742</v>
      </c>
      <c r="B1641" s="29" t="str">
        <f>PROPER(TEXT(tbLOG[[#This Row],[DATA/HORA]],"mmmm"))</f>
        <v>Janeiro</v>
      </c>
      <c r="C1641" s="34" t="str">
        <f>PROPER(TEXT(tbLOG[[#This Row],[DATA/HORA]],"dddd"))</f>
        <v>Terça-Feira</v>
      </c>
      <c r="D1641" s="3" t="s">
        <v>604</v>
      </c>
      <c r="E1641" s="34" t="str">
        <f>IFERROR(VLOOKUP(tbLOG[[#This Row],[LOGIN]],tbMAPA[#All],2,0), "Não localizado")</f>
        <v>Renan Cazumba Tegani</v>
      </c>
      <c r="F1641" s="34" t="str">
        <f>IFERROR(VLOOKUP(tbLOG[[#This Row],[LOGIN]],tbMAPA[#All],3,0), "Não localizado")</f>
        <v>Reginaldo Santana De Souza</v>
      </c>
      <c r="G1641" s="3" t="s">
        <v>1211</v>
      </c>
      <c r="H1641" s="3" t="s">
        <v>290</v>
      </c>
    </row>
    <row r="1642" spans="1:8">
      <c r="A1642" s="29">
        <v>42745.74732638889</v>
      </c>
      <c r="B1642" s="29" t="str">
        <f>PROPER(TEXT(tbLOG[[#This Row],[DATA/HORA]],"mmmm"))</f>
        <v>Janeiro</v>
      </c>
      <c r="C1642" s="34" t="str">
        <f>PROPER(TEXT(tbLOG[[#This Row],[DATA/HORA]],"dddd"))</f>
        <v>Terça-Feira</v>
      </c>
      <c r="D1642" s="3" t="s">
        <v>604</v>
      </c>
      <c r="E1642" s="34" t="str">
        <f>IFERROR(VLOOKUP(tbLOG[[#This Row],[LOGIN]],tbMAPA[#All],2,0), "Não localizado")</f>
        <v>Renan Cazumba Tegani</v>
      </c>
      <c r="F1642" s="34" t="str">
        <f>IFERROR(VLOOKUP(tbLOG[[#This Row],[LOGIN]],tbMAPA[#All],3,0), "Não localizado")</f>
        <v>Reginaldo Santana De Souza</v>
      </c>
      <c r="G1642" s="3" t="s">
        <v>1211</v>
      </c>
      <c r="H1642" s="3" t="s">
        <v>994</v>
      </c>
    </row>
    <row r="1643" spans="1:8">
      <c r="A1643" s="29">
        <v>42745.748414351852</v>
      </c>
      <c r="B1643" s="29" t="str">
        <f>PROPER(TEXT(tbLOG[[#This Row],[DATA/HORA]],"mmmm"))</f>
        <v>Janeiro</v>
      </c>
      <c r="C1643" s="34" t="str">
        <f>PROPER(TEXT(tbLOG[[#This Row],[DATA/HORA]],"dddd"))</f>
        <v>Terça-Feira</v>
      </c>
      <c r="D1643" s="3" t="s">
        <v>604</v>
      </c>
      <c r="E1643" s="34" t="str">
        <f>IFERROR(VLOOKUP(tbLOG[[#This Row],[LOGIN]],tbMAPA[#All],2,0), "Não localizado")</f>
        <v>Renan Cazumba Tegani</v>
      </c>
      <c r="F1643" s="34" t="str">
        <f>IFERROR(VLOOKUP(tbLOG[[#This Row],[LOGIN]],tbMAPA[#All],3,0), "Não localizado")</f>
        <v>Reginaldo Santana De Souza</v>
      </c>
      <c r="G1643" s="3" t="s">
        <v>1211</v>
      </c>
      <c r="H1643" s="3" t="s">
        <v>836</v>
      </c>
    </row>
    <row r="1644" spans="1:8">
      <c r="A1644" s="29">
        <v>42745.748437499999</v>
      </c>
      <c r="B1644" s="29" t="str">
        <f>PROPER(TEXT(tbLOG[[#This Row],[DATA/HORA]],"mmmm"))</f>
        <v>Janeiro</v>
      </c>
      <c r="C1644" s="34" t="str">
        <f>PROPER(TEXT(tbLOG[[#This Row],[DATA/HORA]],"dddd"))</f>
        <v>Terça-Feira</v>
      </c>
      <c r="D1644" s="3" t="s">
        <v>604</v>
      </c>
      <c r="E1644" s="34" t="str">
        <f>IFERROR(VLOOKUP(tbLOG[[#This Row],[LOGIN]],tbMAPA[#All],2,0), "Não localizado")</f>
        <v>Renan Cazumba Tegani</v>
      </c>
      <c r="F1644" s="34" t="str">
        <f>IFERROR(VLOOKUP(tbLOG[[#This Row],[LOGIN]],tbMAPA[#All],3,0), "Não localizado")</f>
        <v>Reginaldo Santana De Souza</v>
      </c>
      <c r="G1644" s="3" t="s">
        <v>1211</v>
      </c>
      <c r="H1644" s="3" t="s">
        <v>290</v>
      </c>
    </row>
    <row r="1645" spans="1:8">
      <c r="A1645" s="29">
        <v>42745.748842592591</v>
      </c>
      <c r="B1645" s="29" t="str">
        <f>PROPER(TEXT(tbLOG[[#This Row],[DATA/HORA]],"mmmm"))</f>
        <v>Janeiro</v>
      </c>
      <c r="C1645" s="34" t="str">
        <f>PROPER(TEXT(tbLOG[[#This Row],[DATA/HORA]],"dddd"))</f>
        <v>Terça-Feira</v>
      </c>
      <c r="D1645" s="3" t="s">
        <v>604</v>
      </c>
      <c r="E1645" s="34" t="str">
        <f>IFERROR(VLOOKUP(tbLOG[[#This Row],[LOGIN]],tbMAPA[#All],2,0), "Não localizado")</f>
        <v>Renan Cazumba Tegani</v>
      </c>
      <c r="F1645" s="34" t="str">
        <f>IFERROR(VLOOKUP(tbLOG[[#This Row],[LOGIN]],tbMAPA[#All],3,0), "Não localizado")</f>
        <v>Reginaldo Santana De Souza</v>
      </c>
      <c r="G1645" s="3" t="s">
        <v>1211</v>
      </c>
      <c r="H1645" s="3" t="s">
        <v>290</v>
      </c>
    </row>
    <row r="1646" spans="1:8">
      <c r="A1646" s="29">
        <v>42745.748877314814</v>
      </c>
      <c r="B1646" s="29" t="str">
        <f>PROPER(TEXT(tbLOG[[#This Row],[DATA/HORA]],"mmmm"))</f>
        <v>Janeiro</v>
      </c>
      <c r="C1646" s="34" t="str">
        <f>PROPER(TEXT(tbLOG[[#This Row],[DATA/HORA]],"dddd"))</f>
        <v>Terça-Feira</v>
      </c>
      <c r="D1646" s="3" t="s">
        <v>604</v>
      </c>
      <c r="E1646" s="34" t="str">
        <f>IFERROR(VLOOKUP(tbLOG[[#This Row],[LOGIN]],tbMAPA[#All],2,0), "Não localizado")</f>
        <v>Renan Cazumba Tegani</v>
      </c>
      <c r="F1646" s="34" t="str">
        <f>IFERROR(VLOOKUP(tbLOG[[#This Row],[LOGIN]],tbMAPA[#All],3,0), "Não localizado")</f>
        <v>Reginaldo Santana De Souza</v>
      </c>
      <c r="G1646" s="3" t="s">
        <v>1211</v>
      </c>
      <c r="H1646" s="3" t="s">
        <v>291</v>
      </c>
    </row>
    <row r="1647" spans="1:8">
      <c r="A1647" s="29">
        <v>42745.748877314814</v>
      </c>
      <c r="B1647" s="29" t="str">
        <f>PROPER(TEXT(tbLOG[[#This Row],[DATA/HORA]],"mmmm"))</f>
        <v>Janeiro</v>
      </c>
      <c r="C1647" s="34" t="str">
        <f>PROPER(TEXT(tbLOG[[#This Row],[DATA/HORA]],"dddd"))</f>
        <v>Terça-Feira</v>
      </c>
      <c r="D1647" s="3" t="s">
        <v>604</v>
      </c>
      <c r="E1647" s="34" t="str">
        <f>IFERROR(VLOOKUP(tbLOG[[#This Row],[LOGIN]],tbMAPA[#All],2,0), "Não localizado")</f>
        <v>Renan Cazumba Tegani</v>
      </c>
      <c r="F1647" s="34" t="str">
        <f>IFERROR(VLOOKUP(tbLOG[[#This Row],[LOGIN]],tbMAPA[#All],3,0), "Não localizado")</f>
        <v>Reginaldo Santana De Souza</v>
      </c>
      <c r="G1647" s="3" t="s">
        <v>1211</v>
      </c>
      <c r="H1647" s="3" t="s">
        <v>290</v>
      </c>
    </row>
    <row r="1648" spans="1:8">
      <c r="A1648" s="29">
        <v>42745.847361111111</v>
      </c>
      <c r="B1648" s="29" t="str">
        <f>PROPER(TEXT(tbLOG[[#This Row],[DATA/HORA]],"mmmm"))</f>
        <v>Janeiro</v>
      </c>
      <c r="C1648" s="34" t="str">
        <f>PROPER(TEXT(tbLOG[[#This Row],[DATA/HORA]],"dddd"))</f>
        <v>Terça-Feira</v>
      </c>
      <c r="D1648" s="3" t="s">
        <v>2469</v>
      </c>
      <c r="E1648" s="34" t="str">
        <f>IFERROR(VLOOKUP(tbLOG[[#This Row],[LOGIN]],tbMAPA[#All],2,0), "Não localizado")</f>
        <v>Vinicius Loula De Sousa</v>
      </c>
      <c r="F1648" s="34" t="str">
        <f>IFERROR(VLOOKUP(tbLOG[[#This Row],[LOGIN]],tbMAPA[#All],3,0), "Não localizado")</f>
        <v>Daniela Andrade Silva</v>
      </c>
      <c r="G1648" s="3" t="s">
        <v>2157</v>
      </c>
      <c r="H1648" s="3" t="s">
        <v>291</v>
      </c>
    </row>
    <row r="1649" spans="1:8">
      <c r="A1649" s="29">
        <v>42745.847361111111</v>
      </c>
      <c r="B1649" s="29" t="str">
        <f>PROPER(TEXT(tbLOG[[#This Row],[DATA/HORA]],"mmmm"))</f>
        <v>Janeiro</v>
      </c>
      <c r="C1649" s="34" t="str">
        <f>PROPER(TEXT(tbLOG[[#This Row],[DATA/HORA]],"dddd"))</f>
        <v>Terça-Feira</v>
      </c>
      <c r="D1649" s="3" t="s">
        <v>2469</v>
      </c>
      <c r="E1649" s="34" t="str">
        <f>IFERROR(VLOOKUP(tbLOG[[#This Row],[LOGIN]],tbMAPA[#All],2,0), "Não localizado")</f>
        <v>Vinicius Loula De Sousa</v>
      </c>
      <c r="F1649" s="34" t="str">
        <f>IFERROR(VLOOKUP(tbLOG[[#This Row],[LOGIN]],tbMAPA[#All],3,0), "Não localizado")</f>
        <v>Daniela Andrade Silva</v>
      </c>
      <c r="G1649" s="3" t="s">
        <v>2157</v>
      </c>
      <c r="H1649" s="3" t="s">
        <v>290</v>
      </c>
    </row>
    <row r="1650" spans="1:8">
      <c r="A1650" s="29">
        <v>42745.854814814818</v>
      </c>
      <c r="B1650" s="29" t="str">
        <f>PROPER(TEXT(tbLOG[[#This Row],[DATA/HORA]],"mmmm"))</f>
        <v>Janeiro</v>
      </c>
      <c r="C1650" s="34" t="str">
        <f>PROPER(TEXT(tbLOG[[#This Row],[DATA/HORA]],"dddd"))</f>
        <v>Terça-Feira</v>
      </c>
      <c r="D1650" s="3" t="s">
        <v>324</v>
      </c>
      <c r="E1650" s="34" t="str">
        <f>IFERROR(VLOOKUP(tbLOG[[#This Row],[LOGIN]],tbMAPA[#All],2,0), "Não localizado")</f>
        <v>Caio Eiji Arai</v>
      </c>
      <c r="F1650" s="34" t="str">
        <f>IFERROR(VLOOKUP(tbLOG[[#This Row],[LOGIN]],tbMAPA[#All],3,0), "Não localizado")</f>
        <v>Vinicius Loula De Sousa</v>
      </c>
      <c r="G1650" s="3" t="s">
        <v>999</v>
      </c>
      <c r="H1650" s="3" t="s">
        <v>2470</v>
      </c>
    </row>
    <row r="1651" spans="1:8">
      <c r="A1651" s="29">
        <v>42745.854814814818</v>
      </c>
      <c r="B1651" s="29" t="str">
        <f>PROPER(TEXT(tbLOG[[#This Row],[DATA/HORA]],"mmmm"))</f>
        <v>Janeiro</v>
      </c>
      <c r="C1651" s="34" t="str">
        <f>PROPER(TEXT(tbLOG[[#This Row],[DATA/HORA]],"dddd"))</f>
        <v>Terça-Feira</v>
      </c>
      <c r="D1651" s="3" t="s">
        <v>324</v>
      </c>
      <c r="E1651" s="34" t="str">
        <f>IFERROR(VLOOKUP(tbLOG[[#This Row],[LOGIN]],tbMAPA[#All],2,0), "Não localizado")</f>
        <v>Caio Eiji Arai</v>
      </c>
      <c r="F1651" s="34" t="str">
        <f>IFERROR(VLOOKUP(tbLOG[[#This Row],[LOGIN]],tbMAPA[#All],3,0), "Não localizado")</f>
        <v>Vinicius Loula De Sousa</v>
      </c>
      <c r="G1651" s="3" t="s">
        <v>999</v>
      </c>
      <c r="H1651" s="3" t="s">
        <v>290</v>
      </c>
    </row>
    <row r="1652" spans="1:8">
      <c r="A1652" s="29">
        <v>42745.85837962963</v>
      </c>
      <c r="B1652" s="29" t="str">
        <f>PROPER(TEXT(tbLOG[[#This Row],[DATA/HORA]],"mmmm"))</f>
        <v>Janeiro</v>
      </c>
      <c r="C1652" s="34" t="str">
        <f>PROPER(TEXT(tbLOG[[#This Row],[DATA/HORA]],"dddd"))</f>
        <v>Terça-Feira</v>
      </c>
      <c r="D1652" s="3" t="s">
        <v>2469</v>
      </c>
      <c r="E1652" s="34" t="str">
        <f>IFERROR(VLOOKUP(tbLOG[[#This Row],[LOGIN]],tbMAPA[#All],2,0), "Não localizado")</f>
        <v>Vinicius Loula De Sousa</v>
      </c>
      <c r="F1652" s="34" t="str">
        <f>IFERROR(VLOOKUP(tbLOG[[#This Row],[LOGIN]],tbMAPA[#All],3,0), "Não localizado")</f>
        <v>Daniela Andrade Silva</v>
      </c>
      <c r="G1652" s="3" t="s">
        <v>2157</v>
      </c>
      <c r="H1652" s="3" t="s">
        <v>291</v>
      </c>
    </row>
    <row r="1653" spans="1:8">
      <c r="A1653" s="29">
        <v>42745.85837962963</v>
      </c>
      <c r="B1653" s="29" t="str">
        <f>PROPER(TEXT(tbLOG[[#This Row],[DATA/HORA]],"mmmm"))</f>
        <v>Janeiro</v>
      </c>
      <c r="C1653" s="34" t="str">
        <f>PROPER(TEXT(tbLOG[[#This Row],[DATA/HORA]],"dddd"))</f>
        <v>Terça-Feira</v>
      </c>
      <c r="D1653" s="3" t="s">
        <v>2469</v>
      </c>
      <c r="E1653" s="34" t="str">
        <f>IFERROR(VLOOKUP(tbLOG[[#This Row],[LOGIN]],tbMAPA[#All],2,0), "Não localizado")</f>
        <v>Vinicius Loula De Sousa</v>
      </c>
      <c r="F1653" s="34" t="str">
        <f>IFERROR(VLOOKUP(tbLOG[[#This Row],[LOGIN]],tbMAPA[#All],3,0), "Não localizado")</f>
        <v>Daniela Andrade Silva</v>
      </c>
      <c r="G1653" s="3" t="s">
        <v>2157</v>
      </c>
      <c r="H1653" s="3" t="s">
        <v>290</v>
      </c>
    </row>
    <row r="1654" spans="1:8">
      <c r="A1654" s="29">
        <v>42746.357627314814</v>
      </c>
      <c r="B1654" s="29" t="str">
        <f>PROPER(TEXT(tbLOG[[#This Row],[DATA/HORA]],"mmmm"))</f>
        <v>Janeiro</v>
      </c>
      <c r="C1654" s="34" t="str">
        <f>PROPER(TEXT(tbLOG[[#This Row],[DATA/HORA]],"dddd"))</f>
        <v>Quarta-Feira</v>
      </c>
      <c r="D1654" s="3" t="s">
        <v>297</v>
      </c>
      <c r="E1654" s="34" t="str">
        <f>IFERROR(VLOOKUP(tbLOG[[#This Row],[LOGIN]],tbMAPA[#All],2,0), "Não localizado")</f>
        <v>Ivanildo Cavalcante De Souza Junior</v>
      </c>
      <c r="F1654" s="34" t="str">
        <f>IFERROR(VLOOKUP(tbLOG[[#This Row],[LOGIN]],tbMAPA[#All],3,0), "Não localizado")</f>
        <v>Jefte Soares Da Silva</v>
      </c>
      <c r="G1654" s="3" t="s">
        <v>298</v>
      </c>
      <c r="H1654" s="3" t="s">
        <v>994</v>
      </c>
    </row>
    <row r="1655" spans="1:8">
      <c r="A1655" s="29">
        <v>42746.35765046296</v>
      </c>
      <c r="B1655" s="29" t="str">
        <f>PROPER(TEXT(tbLOG[[#This Row],[DATA/HORA]],"mmmm"))</f>
        <v>Janeiro</v>
      </c>
      <c r="C1655" s="34" t="str">
        <f>PROPER(TEXT(tbLOG[[#This Row],[DATA/HORA]],"dddd"))</f>
        <v>Quarta-Feira</v>
      </c>
      <c r="D1655" s="3" t="s">
        <v>297</v>
      </c>
      <c r="E1655" s="34" t="str">
        <f>IFERROR(VLOOKUP(tbLOG[[#This Row],[LOGIN]],tbMAPA[#All],2,0), "Não localizado")</f>
        <v>Ivanildo Cavalcante De Souza Junior</v>
      </c>
      <c r="F1655" s="34" t="str">
        <f>IFERROR(VLOOKUP(tbLOG[[#This Row],[LOGIN]],tbMAPA[#All],3,0), "Não localizado")</f>
        <v>Jefte Soares Da Silva</v>
      </c>
      <c r="G1655" s="3" t="s">
        <v>298</v>
      </c>
      <c r="H1655" s="3" t="s">
        <v>299</v>
      </c>
    </row>
    <row r="1656" spans="1:8">
      <c r="A1656" s="29">
        <v>42746.364386574074</v>
      </c>
      <c r="B1656" s="29" t="str">
        <f>PROPER(TEXT(tbLOG[[#This Row],[DATA/HORA]],"mmmm"))</f>
        <v>Janeiro</v>
      </c>
      <c r="C1656" s="34" t="str">
        <f>PROPER(TEXT(tbLOG[[#This Row],[DATA/HORA]],"dddd"))</f>
        <v>Quarta-Feira</v>
      </c>
      <c r="D1656" s="3" t="s">
        <v>297</v>
      </c>
      <c r="E1656" s="34" t="str">
        <f>IFERROR(VLOOKUP(tbLOG[[#This Row],[LOGIN]],tbMAPA[#All],2,0), "Não localizado")</f>
        <v>Ivanildo Cavalcante De Souza Junior</v>
      </c>
      <c r="F1656" s="34" t="str">
        <f>IFERROR(VLOOKUP(tbLOG[[#This Row],[LOGIN]],tbMAPA[#All],3,0), "Não localizado")</f>
        <v>Jefte Soares Da Silva</v>
      </c>
      <c r="G1656" s="3" t="s">
        <v>298</v>
      </c>
      <c r="H1656" s="3" t="s">
        <v>290</v>
      </c>
    </row>
    <row r="1657" spans="1:8">
      <c r="A1657" s="29">
        <v>42746.364490740743</v>
      </c>
      <c r="B1657" s="29" t="str">
        <f>PROPER(TEXT(tbLOG[[#This Row],[DATA/HORA]],"mmmm"))</f>
        <v>Janeiro</v>
      </c>
      <c r="C1657" s="34" t="str">
        <f>PROPER(TEXT(tbLOG[[#This Row],[DATA/HORA]],"dddd"))</f>
        <v>Quarta-Feira</v>
      </c>
      <c r="D1657" s="3" t="s">
        <v>297</v>
      </c>
      <c r="E1657" s="34" t="str">
        <f>IFERROR(VLOOKUP(tbLOG[[#This Row],[LOGIN]],tbMAPA[#All],2,0), "Não localizado")</f>
        <v>Ivanildo Cavalcante De Souza Junior</v>
      </c>
      <c r="F1657" s="34" t="str">
        <f>IFERROR(VLOOKUP(tbLOG[[#This Row],[LOGIN]],tbMAPA[#All],3,0), "Não localizado")</f>
        <v>Jefte Soares Da Silva</v>
      </c>
      <c r="G1657" s="3" t="s">
        <v>298</v>
      </c>
      <c r="H1657" s="3" t="s">
        <v>291</v>
      </c>
    </row>
    <row r="1658" spans="1:8">
      <c r="A1658" s="29">
        <v>42746.364490740743</v>
      </c>
      <c r="B1658" s="29" t="str">
        <f>PROPER(TEXT(tbLOG[[#This Row],[DATA/HORA]],"mmmm"))</f>
        <v>Janeiro</v>
      </c>
      <c r="C1658" s="34" t="str">
        <f>PROPER(TEXT(tbLOG[[#This Row],[DATA/HORA]],"dddd"))</f>
        <v>Quarta-Feira</v>
      </c>
      <c r="D1658" s="3" t="s">
        <v>297</v>
      </c>
      <c r="E1658" s="34" t="str">
        <f>IFERROR(VLOOKUP(tbLOG[[#This Row],[LOGIN]],tbMAPA[#All],2,0), "Não localizado")</f>
        <v>Ivanildo Cavalcante De Souza Junior</v>
      </c>
      <c r="F1658" s="34" t="str">
        <f>IFERROR(VLOOKUP(tbLOG[[#This Row],[LOGIN]],tbMAPA[#All],3,0), "Não localizado")</f>
        <v>Jefte Soares Da Silva</v>
      </c>
      <c r="G1658" s="3" t="s">
        <v>298</v>
      </c>
      <c r="H1658" s="3" t="s">
        <v>290</v>
      </c>
    </row>
    <row r="1659" spans="1:8">
      <c r="A1659" s="29">
        <v>42746.372546296298</v>
      </c>
      <c r="B1659" s="29" t="str">
        <f>PROPER(TEXT(tbLOG[[#This Row],[DATA/HORA]],"mmmm"))</f>
        <v>Janeiro</v>
      </c>
      <c r="C1659" s="34" t="str">
        <f>PROPER(TEXT(tbLOG[[#This Row],[DATA/HORA]],"dddd"))</f>
        <v>Quarta-Feira</v>
      </c>
      <c r="D1659" s="3" t="s">
        <v>300</v>
      </c>
      <c r="E1659" s="34" t="str">
        <f>IFERROR(VLOOKUP(tbLOG[[#This Row],[LOGIN]],tbMAPA[#All],2,0), "Não localizado")</f>
        <v>Jefte Soares Da Silva</v>
      </c>
      <c r="F1659" s="34" t="str">
        <f>IFERROR(VLOOKUP(tbLOG[[#This Row],[LOGIN]],tbMAPA[#All],3,0), "Não localizado")</f>
        <v>Daniela Andrade Silva</v>
      </c>
      <c r="G1659" s="3" t="s">
        <v>1000</v>
      </c>
      <c r="H1659" s="3" t="s">
        <v>292</v>
      </c>
    </row>
    <row r="1660" spans="1:8">
      <c r="A1660" s="29">
        <v>42746.372546296298</v>
      </c>
      <c r="B1660" s="29" t="str">
        <f>PROPER(TEXT(tbLOG[[#This Row],[DATA/HORA]],"mmmm"))</f>
        <v>Janeiro</v>
      </c>
      <c r="C1660" s="34" t="str">
        <f>PROPER(TEXT(tbLOG[[#This Row],[DATA/HORA]],"dddd"))</f>
        <v>Quarta-Feira</v>
      </c>
      <c r="D1660" s="3" t="s">
        <v>300</v>
      </c>
      <c r="E1660" s="34" t="str">
        <f>IFERROR(VLOOKUP(tbLOG[[#This Row],[LOGIN]],tbMAPA[#All],2,0), "Não localizado")</f>
        <v>Jefte Soares Da Silva</v>
      </c>
      <c r="F1660" s="34" t="str">
        <f>IFERROR(VLOOKUP(tbLOG[[#This Row],[LOGIN]],tbMAPA[#All],3,0), "Não localizado")</f>
        <v>Daniela Andrade Silva</v>
      </c>
      <c r="G1660" s="3" t="s">
        <v>1000</v>
      </c>
      <c r="H1660" s="3" t="s">
        <v>994</v>
      </c>
    </row>
    <row r="1661" spans="1:8">
      <c r="A1661" s="29">
        <v>42746.372754629629</v>
      </c>
      <c r="B1661" s="29" t="str">
        <f>PROPER(TEXT(tbLOG[[#This Row],[DATA/HORA]],"mmmm"))</f>
        <v>Janeiro</v>
      </c>
      <c r="C1661" s="34" t="str">
        <f>PROPER(TEXT(tbLOG[[#This Row],[DATA/HORA]],"dddd"))</f>
        <v>Quarta-Feira</v>
      </c>
      <c r="D1661" s="3" t="s">
        <v>300</v>
      </c>
      <c r="E1661" s="34" t="str">
        <f>IFERROR(VLOOKUP(tbLOG[[#This Row],[LOGIN]],tbMAPA[#All],2,0), "Não localizado")</f>
        <v>Jefte Soares Da Silva</v>
      </c>
      <c r="F1661" s="34" t="str">
        <f>IFERROR(VLOOKUP(tbLOG[[#This Row],[LOGIN]],tbMAPA[#All],3,0), "Não localizado")</f>
        <v>Daniela Andrade Silva</v>
      </c>
      <c r="G1661" s="3" t="s">
        <v>1000</v>
      </c>
      <c r="H1661" s="3" t="s">
        <v>315</v>
      </c>
    </row>
    <row r="1662" spans="1:8">
      <c r="A1662" s="29">
        <v>42746.372986111113</v>
      </c>
      <c r="B1662" s="29" t="str">
        <f>PROPER(TEXT(tbLOG[[#This Row],[DATA/HORA]],"mmmm"))</f>
        <v>Janeiro</v>
      </c>
      <c r="C1662" s="34" t="str">
        <f>PROPER(TEXT(tbLOG[[#This Row],[DATA/HORA]],"dddd"))</f>
        <v>Quarta-Feira</v>
      </c>
      <c r="D1662" s="3" t="s">
        <v>300</v>
      </c>
      <c r="E1662" s="34" t="str">
        <f>IFERROR(VLOOKUP(tbLOG[[#This Row],[LOGIN]],tbMAPA[#All],2,0), "Não localizado")</f>
        <v>Jefte Soares Da Silva</v>
      </c>
      <c r="F1662" s="34" t="str">
        <f>IFERROR(VLOOKUP(tbLOG[[#This Row],[LOGIN]],tbMAPA[#All],3,0), "Não localizado")</f>
        <v>Daniela Andrade Silva</v>
      </c>
      <c r="G1662" s="3" t="s">
        <v>1000</v>
      </c>
      <c r="H1662" s="3" t="s">
        <v>292</v>
      </c>
    </row>
    <row r="1663" spans="1:8">
      <c r="A1663" s="29">
        <v>42746.37300925926</v>
      </c>
      <c r="B1663" s="29" t="str">
        <f>PROPER(TEXT(tbLOG[[#This Row],[DATA/HORA]],"mmmm"))</f>
        <v>Janeiro</v>
      </c>
      <c r="C1663" s="34" t="str">
        <f>PROPER(TEXT(tbLOG[[#This Row],[DATA/HORA]],"dddd"))</f>
        <v>Quarta-Feira</v>
      </c>
      <c r="D1663" s="3" t="s">
        <v>300</v>
      </c>
      <c r="E1663" s="34" t="str">
        <f>IFERROR(VLOOKUP(tbLOG[[#This Row],[LOGIN]],tbMAPA[#All],2,0), "Não localizado")</f>
        <v>Jefte Soares Da Silva</v>
      </c>
      <c r="F1663" s="34" t="str">
        <f>IFERROR(VLOOKUP(tbLOG[[#This Row],[LOGIN]],tbMAPA[#All],3,0), "Não localizado")</f>
        <v>Daniela Andrade Silva</v>
      </c>
      <c r="G1663" s="3" t="s">
        <v>1000</v>
      </c>
      <c r="H1663" s="3" t="s">
        <v>292</v>
      </c>
    </row>
    <row r="1664" spans="1:8">
      <c r="A1664" s="29">
        <v>42746.37300925926</v>
      </c>
      <c r="B1664" s="29" t="str">
        <f>PROPER(TEXT(tbLOG[[#This Row],[DATA/HORA]],"mmmm"))</f>
        <v>Janeiro</v>
      </c>
      <c r="C1664" s="34" t="str">
        <f>PROPER(TEXT(tbLOG[[#This Row],[DATA/HORA]],"dddd"))</f>
        <v>Quarta-Feira</v>
      </c>
      <c r="D1664" s="3" t="s">
        <v>300</v>
      </c>
      <c r="E1664" s="34" t="str">
        <f>IFERROR(VLOOKUP(tbLOG[[#This Row],[LOGIN]],tbMAPA[#All],2,0), "Não localizado")</f>
        <v>Jefte Soares Da Silva</v>
      </c>
      <c r="F1664" s="34" t="str">
        <f>IFERROR(VLOOKUP(tbLOG[[#This Row],[LOGIN]],tbMAPA[#All],3,0), "Não localizado")</f>
        <v>Daniela Andrade Silva</v>
      </c>
      <c r="G1664" s="3" t="s">
        <v>1000</v>
      </c>
      <c r="H1664" s="3" t="s">
        <v>317</v>
      </c>
    </row>
    <row r="1665" spans="1:8">
      <c r="A1665" s="29">
        <v>42746.373715277776</v>
      </c>
      <c r="B1665" s="29" t="str">
        <f>PROPER(TEXT(tbLOG[[#This Row],[DATA/HORA]],"mmmm"))</f>
        <v>Janeiro</v>
      </c>
      <c r="C1665" s="34" t="str">
        <f>PROPER(TEXT(tbLOG[[#This Row],[DATA/HORA]],"dddd"))</f>
        <v>Quarta-Feira</v>
      </c>
      <c r="D1665" s="3" t="s">
        <v>300</v>
      </c>
      <c r="E1665" s="34" t="str">
        <f>IFERROR(VLOOKUP(tbLOG[[#This Row],[LOGIN]],tbMAPA[#All],2,0), "Não localizado")</f>
        <v>Jefte Soares Da Silva</v>
      </c>
      <c r="F1665" s="34" t="str">
        <f>IFERROR(VLOOKUP(tbLOG[[#This Row],[LOGIN]],tbMAPA[#All],3,0), "Não localizado")</f>
        <v>Daniela Andrade Silva</v>
      </c>
      <c r="G1665" s="3" t="s">
        <v>1000</v>
      </c>
      <c r="H1665" s="3" t="s">
        <v>292</v>
      </c>
    </row>
    <row r="1666" spans="1:8">
      <c r="A1666" s="29">
        <v>42746.373888888891</v>
      </c>
      <c r="B1666" s="29" t="str">
        <f>PROPER(TEXT(tbLOG[[#This Row],[DATA/HORA]],"mmmm"))</f>
        <v>Janeiro</v>
      </c>
      <c r="C1666" s="34" t="str">
        <f>PROPER(TEXT(tbLOG[[#This Row],[DATA/HORA]],"dddd"))</f>
        <v>Quarta-Feira</v>
      </c>
      <c r="D1666" s="3" t="s">
        <v>300</v>
      </c>
      <c r="E1666" s="34" t="str">
        <f>IFERROR(VLOOKUP(tbLOG[[#This Row],[LOGIN]],tbMAPA[#All],2,0), "Não localizado")</f>
        <v>Jefte Soares Da Silva</v>
      </c>
      <c r="F1666" s="34" t="str">
        <f>IFERROR(VLOOKUP(tbLOG[[#This Row],[LOGIN]],tbMAPA[#All],3,0), "Não localizado")</f>
        <v>Daniela Andrade Silva</v>
      </c>
      <c r="G1666" s="3" t="s">
        <v>1000</v>
      </c>
      <c r="H1666" s="3" t="s">
        <v>835</v>
      </c>
    </row>
    <row r="1667" spans="1:8">
      <c r="A1667" s="29">
        <v>42746.374351851853</v>
      </c>
      <c r="B1667" s="29" t="str">
        <f>PROPER(TEXT(tbLOG[[#This Row],[DATA/HORA]],"mmmm"))</f>
        <v>Janeiro</v>
      </c>
      <c r="C1667" s="34" t="str">
        <f>PROPER(TEXT(tbLOG[[#This Row],[DATA/HORA]],"dddd"))</f>
        <v>Quarta-Feira</v>
      </c>
      <c r="D1667" s="3" t="s">
        <v>300</v>
      </c>
      <c r="E1667" s="34" t="str">
        <f>IFERROR(VLOOKUP(tbLOG[[#This Row],[LOGIN]],tbMAPA[#All],2,0), "Não localizado")</f>
        <v>Jefte Soares Da Silva</v>
      </c>
      <c r="F1667" s="34" t="str">
        <f>IFERROR(VLOOKUP(tbLOG[[#This Row],[LOGIN]],tbMAPA[#All],3,0), "Não localizado")</f>
        <v>Daniela Andrade Silva</v>
      </c>
      <c r="G1667" s="3" t="s">
        <v>1000</v>
      </c>
      <c r="H1667" s="3" t="s">
        <v>836</v>
      </c>
    </row>
    <row r="1668" spans="1:8">
      <c r="A1668" s="29">
        <v>42746.378611111111</v>
      </c>
      <c r="B1668" s="29" t="str">
        <f>PROPER(TEXT(tbLOG[[#This Row],[DATA/HORA]],"mmmm"))</f>
        <v>Janeiro</v>
      </c>
      <c r="C1668" s="34" t="str">
        <f>PROPER(TEXT(tbLOG[[#This Row],[DATA/HORA]],"dddd"))</f>
        <v>Quarta-Feira</v>
      </c>
      <c r="D1668" s="3" t="s">
        <v>300</v>
      </c>
      <c r="E1668" s="34" t="str">
        <f>IFERROR(VLOOKUP(tbLOG[[#This Row],[LOGIN]],tbMAPA[#All],2,0), "Não localizado")</f>
        <v>Jefte Soares Da Silva</v>
      </c>
      <c r="F1668" s="34" t="str">
        <f>IFERROR(VLOOKUP(tbLOG[[#This Row],[LOGIN]],tbMAPA[#All],3,0), "Não localizado")</f>
        <v>Daniela Andrade Silva</v>
      </c>
      <c r="G1668" s="3" t="s">
        <v>1000</v>
      </c>
      <c r="H1668" s="3" t="s">
        <v>290</v>
      </c>
    </row>
    <row r="1669" spans="1:8">
      <c r="A1669" s="29">
        <v>42746.378668981481</v>
      </c>
      <c r="B1669" s="29" t="str">
        <f>PROPER(TEXT(tbLOG[[#This Row],[DATA/HORA]],"mmmm"))</f>
        <v>Janeiro</v>
      </c>
      <c r="C1669" s="34" t="str">
        <f>PROPER(TEXT(tbLOG[[#This Row],[DATA/HORA]],"dddd"))</f>
        <v>Quarta-Feira</v>
      </c>
      <c r="D1669" s="3" t="s">
        <v>300</v>
      </c>
      <c r="E1669" s="34" t="str">
        <f>IFERROR(VLOOKUP(tbLOG[[#This Row],[LOGIN]],tbMAPA[#All],2,0), "Não localizado")</f>
        <v>Jefte Soares Da Silva</v>
      </c>
      <c r="F1669" s="34" t="str">
        <f>IFERROR(VLOOKUP(tbLOG[[#This Row],[LOGIN]],tbMAPA[#All],3,0), "Não localizado")</f>
        <v>Daniela Andrade Silva</v>
      </c>
      <c r="G1669" s="3" t="s">
        <v>1000</v>
      </c>
      <c r="H1669" s="3" t="s">
        <v>291</v>
      </c>
    </row>
    <row r="1670" spans="1:8">
      <c r="A1670" s="29">
        <v>42746.378668981481</v>
      </c>
      <c r="B1670" s="29" t="str">
        <f>PROPER(TEXT(tbLOG[[#This Row],[DATA/HORA]],"mmmm"))</f>
        <v>Janeiro</v>
      </c>
      <c r="C1670" s="34" t="str">
        <f>PROPER(TEXT(tbLOG[[#This Row],[DATA/HORA]],"dddd"))</f>
        <v>Quarta-Feira</v>
      </c>
      <c r="D1670" s="3" t="s">
        <v>300</v>
      </c>
      <c r="E1670" s="34" t="str">
        <f>IFERROR(VLOOKUP(tbLOG[[#This Row],[LOGIN]],tbMAPA[#All],2,0), "Não localizado")</f>
        <v>Jefte Soares Da Silva</v>
      </c>
      <c r="F1670" s="34" t="str">
        <f>IFERROR(VLOOKUP(tbLOG[[#This Row],[LOGIN]],tbMAPA[#All],3,0), "Não localizado")</f>
        <v>Daniela Andrade Silva</v>
      </c>
      <c r="G1670" s="3" t="s">
        <v>1000</v>
      </c>
      <c r="H1670" s="3" t="s">
        <v>290</v>
      </c>
    </row>
    <row r="1671" spans="1:8">
      <c r="A1671" s="29">
        <v>42746.412141203706</v>
      </c>
      <c r="B1671" s="29" t="str">
        <f>PROPER(TEXT(tbLOG[[#This Row],[DATA/HORA]],"mmmm"))</f>
        <v>Janeiro</v>
      </c>
      <c r="C1671" s="34" t="str">
        <f>PROPER(TEXT(tbLOG[[#This Row],[DATA/HORA]],"dddd"))</f>
        <v>Quarta-Feira</v>
      </c>
      <c r="D1671" s="3" t="s">
        <v>604</v>
      </c>
      <c r="E1671" s="34" t="str">
        <f>IFERROR(VLOOKUP(tbLOG[[#This Row],[LOGIN]],tbMAPA[#All],2,0), "Não localizado")</f>
        <v>Renan Cazumba Tegani</v>
      </c>
      <c r="F1671" s="34" t="str">
        <f>IFERROR(VLOOKUP(tbLOG[[#This Row],[LOGIN]],tbMAPA[#All],3,0), "Não localizado")</f>
        <v>Reginaldo Santana De Souza</v>
      </c>
      <c r="G1671" s="3" t="s">
        <v>1211</v>
      </c>
      <c r="H1671" s="3" t="s">
        <v>994</v>
      </c>
    </row>
    <row r="1672" spans="1:8">
      <c r="A1672" s="29">
        <v>42746.421087962961</v>
      </c>
      <c r="B1672" s="29" t="str">
        <f>PROPER(TEXT(tbLOG[[#This Row],[DATA/HORA]],"mmmm"))</f>
        <v>Janeiro</v>
      </c>
      <c r="C1672" s="34" t="str">
        <f>PROPER(TEXT(tbLOG[[#This Row],[DATA/HORA]],"dddd"))</f>
        <v>Quarta-Feira</v>
      </c>
      <c r="D1672" s="3" t="s">
        <v>604</v>
      </c>
      <c r="E1672" s="34" t="str">
        <f>IFERROR(VLOOKUP(tbLOG[[#This Row],[LOGIN]],tbMAPA[#All],2,0), "Não localizado")</f>
        <v>Renan Cazumba Tegani</v>
      </c>
      <c r="F1672" s="34" t="str">
        <f>IFERROR(VLOOKUP(tbLOG[[#This Row],[LOGIN]],tbMAPA[#All],3,0), "Não localizado")</f>
        <v>Reginaldo Santana De Souza</v>
      </c>
      <c r="G1672" s="3" t="s">
        <v>1211</v>
      </c>
      <c r="H1672" s="3" t="s">
        <v>836</v>
      </c>
    </row>
    <row r="1673" spans="1:8">
      <c r="A1673" s="29">
        <v>42746.421134259261</v>
      </c>
      <c r="B1673" s="29" t="str">
        <f>PROPER(TEXT(tbLOG[[#This Row],[DATA/HORA]],"mmmm"))</f>
        <v>Janeiro</v>
      </c>
      <c r="C1673" s="34" t="str">
        <f>PROPER(TEXT(tbLOG[[#This Row],[DATA/HORA]],"dddd"))</f>
        <v>Quarta-Feira</v>
      </c>
      <c r="D1673" s="3" t="s">
        <v>604</v>
      </c>
      <c r="E1673" s="34" t="str">
        <f>IFERROR(VLOOKUP(tbLOG[[#This Row],[LOGIN]],tbMAPA[#All],2,0), "Não localizado")</f>
        <v>Renan Cazumba Tegani</v>
      </c>
      <c r="F1673" s="34" t="str">
        <f>IFERROR(VLOOKUP(tbLOG[[#This Row],[LOGIN]],tbMAPA[#All],3,0), "Não localizado")</f>
        <v>Reginaldo Santana De Souza</v>
      </c>
      <c r="G1673" s="3" t="s">
        <v>1211</v>
      </c>
      <c r="H1673" s="3" t="s">
        <v>836</v>
      </c>
    </row>
    <row r="1674" spans="1:8">
      <c r="A1674" s="29">
        <v>42746.426585648151</v>
      </c>
      <c r="B1674" s="29" t="str">
        <f>PROPER(TEXT(tbLOG[[#This Row],[DATA/HORA]],"mmmm"))</f>
        <v>Janeiro</v>
      </c>
      <c r="C1674" s="34" t="str">
        <f>PROPER(TEXT(tbLOG[[#This Row],[DATA/HORA]],"dddd"))</f>
        <v>Quarta-Feira</v>
      </c>
      <c r="D1674" s="3" t="s">
        <v>604</v>
      </c>
      <c r="E1674" s="34" t="str">
        <f>IFERROR(VLOOKUP(tbLOG[[#This Row],[LOGIN]],tbMAPA[#All],2,0), "Não localizado")</f>
        <v>Renan Cazumba Tegani</v>
      </c>
      <c r="F1674" s="34" t="str">
        <f>IFERROR(VLOOKUP(tbLOG[[#This Row],[LOGIN]],tbMAPA[#All],3,0), "Não localizado")</f>
        <v>Reginaldo Santana De Souza</v>
      </c>
      <c r="G1674" s="3" t="s">
        <v>1211</v>
      </c>
      <c r="H1674" s="3" t="s">
        <v>836</v>
      </c>
    </row>
    <row r="1675" spans="1:8">
      <c r="A1675" s="29">
        <v>42746.429768518516</v>
      </c>
      <c r="B1675" s="29" t="str">
        <f>PROPER(TEXT(tbLOG[[#This Row],[DATA/HORA]],"mmmm"))</f>
        <v>Janeiro</v>
      </c>
      <c r="C1675" s="34" t="str">
        <f>PROPER(TEXT(tbLOG[[#This Row],[DATA/HORA]],"dddd"))</f>
        <v>Quarta-Feira</v>
      </c>
      <c r="D1675" s="3" t="s">
        <v>604</v>
      </c>
      <c r="E1675" s="34" t="str">
        <f>IFERROR(VLOOKUP(tbLOG[[#This Row],[LOGIN]],tbMAPA[#All],2,0), "Não localizado")</f>
        <v>Renan Cazumba Tegani</v>
      </c>
      <c r="F1675" s="34" t="str">
        <f>IFERROR(VLOOKUP(tbLOG[[#This Row],[LOGIN]],tbMAPA[#All],3,0), "Não localizado")</f>
        <v>Reginaldo Santana De Souza</v>
      </c>
      <c r="G1675" s="3" t="s">
        <v>1211</v>
      </c>
      <c r="H1675" s="3" t="s">
        <v>836</v>
      </c>
    </row>
    <row r="1676" spans="1:8">
      <c r="A1676" s="29">
        <v>42746.429791666669</v>
      </c>
      <c r="B1676" s="29" t="str">
        <f>PROPER(TEXT(tbLOG[[#This Row],[DATA/HORA]],"mmmm"))</f>
        <v>Janeiro</v>
      </c>
      <c r="C1676" s="34" t="str">
        <f>PROPER(TEXT(tbLOG[[#This Row],[DATA/HORA]],"dddd"))</f>
        <v>Quarta-Feira</v>
      </c>
      <c r="D1676" s="3" t="s">
        <v>604</v>
      </c>
      <c r="E1676" s="34" t="str">
        <f>IFERROR(VLOOKUP(tbLOG[[#This Row],[LOGIN]],tbMAPA[#All],2,0), "Não localizado")</f>
        <v>Renan Cazumba Tegani</v>
      </c>
      <c r="F1676" s="34" t="str">
        <f>IFERROR(VLOOKUP(tbLOG[[#This Row],[LOGIN]],tbMAPA[#All],3,0), "Não localizado")</f>
        <v>Reginaldo Santana De Souza</v>
      </c>
      <c r="G1676" s="3" t="s">
        <v>1211</v>
      </c>
      <c r="H1676" s="3" t="s">
        <v>836</v>
      </c>
    </row>
    <row r="1677" spans="1:8">
      <c r="A1677" s="29">
        <v>42746.432939814818</v>
      </c>
      <c r="B1677" s="29" t="str">
        <f>PROPER(TEXT(tbLOG[[#This Row],[DATA/HORA]],"mmmm"))</f>
        <v>Janeiro</v>
      </c>
      <c r="C1677" s="34" t="str">
        <f>PROPER(TEXT(tbLOG[[#This Row],[DATA/HORA]],"dddd"))</f>
        <v>Quarta-Feira</v>
      </c>
      <c r="D1677" s="3" t="s">
        <v>604</v>
      </c>
      <c r="E1677" s="34" t="str">
        <f>IFERROR(VLOOKUP(tbLOG[[#This Row],[LOGIN]],tbMAPA[#All],2,0), "Não localizado")</f>
        <v>Renan Cazumba Tegani</v>
      </c>
      <c r="F1677" s="34" t="str">
        <f>IFERROR(VLOOKUP(tbLOG[[#This Row],[LOGIN]],tbMAPA[#All],3,0), "Não localizado")</f>
        <v>Reginaldo Santana De Souza</v>
      </c>
      <c r="G1677" s="3" t="s">
        <v>1211</v>
      </c>
      <c r="H1677" s="3" t="s">
        <v>836</v>
      </c>
    </row>
    <row r="1678" spans="1:8">
      <c r="A1678" s="29">
        <v>42746.432974537034</v>
      </c>
      <c r="B1678" s="29" t="str">
        <f>PROPER(TEXT(tbLOG[[#This Row],[DATA/HORA]],"mmmm"))</f>
        <v>Janeiro</v>
      </c>
      <c r="C1678" s="34" t="str">
        <f>PROPER(TEXT(tbLOG[[#This Row],[DATA/HORA]],"dddd"))</f>
        <v>Quarta-Feira</v>
      </c>
      <c r="D1678" s="3" t="s">
        <v>604</v>
      </c>
      <c r="E1678" s="34" t="str">
        <f>IFERROR(VLOOKUP(tbLOG[[#This Row],[LOGIN]],tbMAPA[#All],2,0), "Não localizado")</f>
        <v>Renan Cazumba Tegani</v>
      </c>
      <c r="F1678" s="34" t="str">
        <f>IFERROR(VLOOKUP(tbLOG[[#This Row],[LOGIN]],tbMAPA[#All],3,0), "Não localizado")</f>
        <v>Reginaldo Santana De Souza</v>
      </c>
      <c r="G1678" s="3" t="s">
        <v>1211</v>
      </c>
      <c r="H1678" s="3" t="s">
        <v>836</v>
      </c>
    </row>
    <row r="1679" spans="1:8">
      <c r="A1679" s="29">
        <v>42746.437349537038</v>
      </c>
      <c r="B1679" s="29" t="str">
        <f>PROPER(TEXT(tbLOG[[#This Row],[DATA/HORA]],"mmmm"))</f>
        <v>Janeiro</v>
      </c>
      <c r="C1679" s="34" t="str">
        <f>PROPER(TEXT(tbLOG[[#This Row],[DATA/HORA]],"dddd"))</f>
        <v>Quarta-Feira</v>
      </c>
      <c r="D1679" s="3" t="s">
        <v>604</v>
      </c>
      <c r="E1679" s="34" t="str">
        <f>IFERROR(VLOOKUP(tbLOG[[#This Row],[LOGIN]],tbMAPA[#All],2,0), "Não localizado")</f>
        <v>Renan Cazumba Tegani</v>
      </c>
      <c r="F1679" s="34" t="str">
        <f>IFERROR(VLOOKUP(tbLOG[[#This Row],[LOGIN]],tbMAPA[#All],3,0), "Não localizado")</f>
        <v>Reginaldo Santana De Souza</v>
      </c>
      <c r="G1679" s="3" t="s">
        <v>1211</v>
      </c>
      <c r="H1679" s="3" t="s">
        <v>836</v>
      </c>
    </row>
    <row r="1680" spans="1:8">
      <c r="A1680" s="29">
        <v>42746.440682870372</v>
      </c>
      <c r="B1680" s="29" t="str">
        <f>PROPER(TEXT(tbLOG[[#This Row],[DATA/HORA]],"mmmm"))</f>
        <v>Janeiro</v>
      </c>
      <c r="C1680" s="34" t="str">
        <f>PROPER(TEXT(tbLOG[[#This Row],[DATA/HORA]],"dddd"))</f>
        <v>Quarta-Feira</v>
      </c>
      <c r="D1680" s="3" t="s">
        <v>604</v>
      </c>
      <c r="E1680" s="34" t="str">
        <f>IFERROR(VLOOKUP(tbLOG[[#This Row],[LOGIN]],tbMAPA[#All],2,0), "Não localizado")</f>
        <v>Renan Cazumba Tegani</v>
      </c>
      <c r="F1680" s="34" t="str">
        <f>IFERROR(VLOOKUP(tbLOG[[#This Row],[LOGIN]],tbMAPA[#All],3,0), "Não localizado")</f>
        <v>Reginaldo Santana De Souza</v>
      </c>
      <c r="G1680" s="3" t="s">
        <v>1211</v>
      </c>
      <c r="H1680" s="3" t="s">
        <v>836</v>
      </c>
    </row>
    <row r="1681" spans="1:8">
      <c r="A1681" s="29">
        <v>42746.442291666666</v>
      </c>
      <c r="B1681" s="29" t="str">
        <f>PROPER(TEXT(tbLOG[[#This Row],[DATA/HORA]],"mmmm"))</f>
        <v>Janeiro</v>
      </c>
      <c r="C1681" s="34" t="str">
        <f>PROPER(TEXT(tbLOG[[#This Row],[DATA/HORA]],"dddd"))</f>
        <v>Quarta-Feira</v>
      </c>
      <c r="D1681" s="3" t="s">
        <v>604</v>
      </c>
      <c r="E1681" s="34" t="str">
        <f>IFERROR(VLOOKUP(tbLOG[[#This Row],[LOGIN]],tbMAPA[#All],2,0), "Não localizado")</f>
        <v>Renan Cazumba Tegani</v>
      </c>
      <c r="F1681" s="34" t="str">
        <f>IFERROR(VLOOKUP(tbLOG[[#This Row],[LOGIN]],tbMAPA[#All],3,0), "Não localizado")</f>
        <v>Reginaldo Santana De Souza</v>
      </c>
      <c r="G1681" s="3" t="s">
        <v>1211</v>
      </c>
      <c r="H1681" s="3" t="s">
        <v>836</v>
      </c>
    </row>
    <row r="1682" spans="1:8">
      <c r="A1682" s="29">
        <v>42746.447835648149</v>
      </c>
      <c r="B1682" s="29" t="str">
        <f>PROPER(TEXT(tbLOG[[#This Row],[DATA/HORA]],"mmmm"))</f>
        <v>Janeiro</v>
      </c>
      <c r="C1682" s="34" t="str">
        <f>PROPER(TEXT(tbLOG[[#This Row],[DATA/HORA]],"dddd"))</f>
        <v>Quarta-Feira</v>
      </c>
      <c r="D1682" s="3" t="s">
        <v>604</v>
      </c>
      <c r="E1682" s="34" t="str">
        <f>IFERROR(VLOOKUP(tbLOG[[#This Row],[LOGIN]],tbMAPA[#All],2,0), "Não localizado")</f>
        <v>Renan Cazumba Tegani</v>
      </c>
      <c r="F1682" s="34" t="str">
        <f>IFERROR(VLOOKUP(tbLOG[[#This Row],[LOGIN]],tbMAPA[#All],3,0), "Não localizado")</f>
        <v>Reginaldo Santana De Souza</v>
      </c>
      <c r="G1682" s="3" t="s">
        <v>1211</v>
      </c>
      <c r="H1682" s="3" t="s">
        <v>836</v>
      </c>
    </row>
    <row r="1683" spans="1:8">
      <c r="A1683" s="29">
        <v>42746.447858796295</v>
      </c>
      <c r="B1683" s="29" t="str">
        <f>PROPER(TEXT(tbLOG[[#This Row],[DATA/HORA]],"mmmm"))</f>
        <v>Janeiro</v>
      </c>
      <c r="C1683" s="34" t="str">
        <f>PROPER(TEXT(tbLOG[[#This Row],[DATA/HORA]],"dddd"))</f>
        <v>Quarta-Feira</v>
      </c>
      <c r="D1683" s="3" t="s">
        <v>604</v>
      </c>
      <c r="E1683" s="34" t="str">
        <f>IFERROR(VLOOKUP(tbLOG[[#This Row],[LOGIN]],tbMAPA[#All],2,0), "Não localizado")</f>
        <v>Renan Cazumba Tegani</v>
      </c>
      <c r="F1683" s="34" t="str">
        <f>IFERROR(VLOOKUP(tbLOG[[#This Row],[LOGIN]],tbMAPA[#All],3,0), "Não localizado")</f>
        <v>Reginaldo Santana De Souza</v>
      </c>
      <c r="G1683" s="3" t="s">
        <v>1211</v>
      </c>
      <c r="H1683" s="3" t="s">
        <v>836</v>
      </c>
    </row>
    <row r="1684" spans="1:8">
      <c r="A1684" s="29">
        <v>42746.44798611111</v>
      </c>
      <c r="B1684" s="29" t="str">
        <f>PROPER(TEXT(tbLOG[[#This Row],[DATA/HORA]],"mmmm"))</f>
        <v>Janeiro</v>
      </c>
      <c r="C1684" s="34" t="str">
        <f>PROPER(TEXT(tbLOG[[#This Row],[DATA/HORA]],"dddd"))</f>
        <v>Quarta-Feira</v>
      </c>
      <c r="D1684" s="3" t="s">
        <v>604</v>
      </c>
      <c r="E1684" s="34" t="str">
        <f>IFERROR(VLOOKUP(tbLOG[[#This Row],[LOGIN]],tbMAPA[#All],2,0), "Não localizado")</f>
        <v>Renan Cazumba Tegani</v>
      </c>
      <c r="F1684" s="34" t="str">
        <f>IFERROR(VLOOKUP(tbLOG[[#This Row],[LOGIN]],tbMAPA[#All],3,0), "Não localizado")</f>
        <v>Reginaldo Santana De Souza</v>
      </c>
      <c r="G1684" s="3" t="s">
        <v>1211</v>
      </c>
      <c r="H1684" s="3" t="s">
        <v>836</v>
      </c>
    </row>
    <row r="1685" spans="1:8">
      <c r="A1685" s="29">
        <v>42746.449872685182</v>
      </c>
      <c r="B1685" s="29" t="str">
        <f>PROPER(TEXT(tbLOG[[#This Row],[DATA/HORA]],"mmmm"))</f>
        <v>Janeiro</v>
      </c>
      <c r="C1685" s="34" t="str">
        <f>PROPER(TEXT(tbLOG[[#This Row],[DATA/HORA]],"dddd"))</f>
        <v>Quarta-Feira</v>
      </c>
      <c r="D1685" s="3" t="s">
        <v>604</v>
      </c>
      <c r="E1685" s="34" t="str">
        <f>IFERROR(VLOOKUP(tbLOG[[#This Row],[LOGIN]],tbMAPA[#All],2,0), "Não localizado")</f>
        <v>Renan Cazumba Tegani</v>
      </c>
      <c r="F1685" s="34" t="str">
        <f>IFERROR(VLOOKUP(tbLOG[[#This Row],[LOGIN]],tbMAPA[#All],3,0), "Não localizado")</f>
        <v>Reginaldo Santana De Souza</v>
      </c>
      <c r="G1685" s="3" t="s">
        <v>1211</v>
      </c>
      <c r="H1685" s="3" t="s">
        <v>836</v>
      </c>
    </row>
    <row r="1686" spans="1:8">
      <c r="A1686" s="29">
        <v>42746.453090277777</v>
      </c>
      <c r="B1686" s="29" t="str">
        <f>PROPER(TEXT(tbLOG[[#This Row],[DATA/HORA]],"mmmm"))</f>
        <v>Janeiro</v>
      </c>
      <c r="C1686" s="34" t="str">
        <f>PROPER(TEXT(tbLOG[[#This Row],[DATA/HORA]],"dddd"))</f>
        <v>Quarta-Feira</v>
      </c>
      <c r="D1686" s="3" t="s">
        <v>604</v>
      </c>
      <c r="E1686" s="34" t="str">
        <f>IFERROR(VLOOKUP(tbLOG[[#This Row],[LOGIN]],tbMAPA[#All],2,0), "Não localizado")</f>
        <v>Renan Cazumba Tegani</v>
      </c>
      <c r="F1686" s="34" t="str">
        <f>IFERROR(VLOOKUP(tbLOG[[#This Row],[LOGIN]],tbMAPA[#All],3,0), "Não localizado")</f>
        <v>Reginaldo Santana De Souza</v>
      </c>
      <c r="G1686" s="3" t="s">
        <v>1211</v>
      </c>
      <c r="H1686" s="3" t="s">
        <v>836</v>
      </c>
    </row>
    <row r="1687" spans="1:8">
      <c r="A1687" s="29">
        <v>42746.454027777778</v>
      </c>
      <c r="B1687" s="29" t="str">
        <f>PROPER(TEXT(tbLOG[[#This Row],[DATA/HORA]],"mmmm"))</f>
        <v>Janeiro</v>
      </c>
      <c r="C1687" s="34" t="str">
        <f>PROPER(TEXT(tbLOG[[#This Row],[DATA/HORA]],"dddd"))</f>
        <v>Quarta-Feira</v>
      </c>
      <c r="D1687" s="3" t="s">
        <v>604</v>
      </c>
      <c r="E1687" s="34" t="str">
        <f>IFERROR(VLOOKUP(tbLOG[[#This Row],[LOGIN]],tbMAPA[#All],2,0), "Não localizado")</f>
        <v>Renan Cazumba Tegani</v>
      </c>
      <c r="F1687" s="34" t="str">
        <f>IFERROR(VLOOKUP(tbLOG[[#This Row],[LOGIN]],tbMAPA[#All],3,0), "Não localizado")</f>
        <v>Reginaldo Santana De Souza</v>
      </c>
      <c r="G1687" s="3" t="s">
        <v>1211</v>
      </c>
      <c r="H1687" s="3" t="s">
        <v>836</v>
      </c>
    </row>
    <row r="1688" spans="1:8">
      <c r="A1688" s="29">
        <v>42746.459236111114</v>
      </c>
      <c r="B1688" s="29" t="str">
        <f>PROPER(TEXT(tbLOG[[#This Row],[DATA/HORA]],"mmmm"))</f>
        <v>Janeiro</v>
      </c>
      <c r="C1688" s="34" t="str">
        <f>PROPER(TEXT(tbLOG[[#This Row],[DATA/HORA]],"dddd"))</f>
        <v>Quarta-Feira</v>
      </c>
      <c r="D1688" s="3" t="s">
        <v>604</v>
      </c>
      <c r="E1688" s="34" t="str">
        <f>IFERROR(VLOOKUP(tbLOG[[#This Row],[LOGIN]],tbMAPA[#All],2,0), "Não localizado")</f>
        <v>Renan Cazumba Tegani</v>
      </c>
      <c r="F1688" s="34" t="str">
        <f>IFERROR(VLOOKUP(tbLOG[[#This Row],[LOGIN]],tbMAPA[#All],3,0), "Não localizado")</f>
        <v>Reginaldo Santana De Souza</v>
      </c>
      <c r="G1688" s="3" t="s">
        <v>1211</v>
      </c>
      <c r="H1688" s="3" t="s">
        <v>836</v>
      </c>
    </row>
    <row r="1689" spans="1:8">
      <c r="A1689" s="29">
        <v>42746.45925925926</v>
      </c>
      <c r="B1689" s="29" t="str">
        <f>PROPER(TEXT(tbLOG[[#This Row],[DATA/HORA]],"mmmm"))</f>
        <v>Janeiro</v>
      </c>
      <c r="C1689" s="34" t="str">
        <f>PROPER(TEXT(tbLOG[[#This Row],[DATA/HORA]],"dddd"))</f>
        <v>Quarta-Feira</v>
      </c>
      <c r="D1689" s="3" t="s">
        <v>604</v>
      </c>
      <c r="E1689" s="34" t="str">
        <f>IFERROR(VLOOKUP(tbLOG[[#This Row],[LOGIN]],tbMAPA[#All],2,0), "Não localizado")</f>
        <v>Renan Cazumba Tegani</v>
      </c>
      <c r="F1689" s="34" t="str">
        <f>IFERROR(VLOOKUP(tbLOG[[#This Row],[LOGIN]],tbMAPA[#All],3,0), "Não localizado")</f>
        <v>Reginaldo Santana De Souza</v>
      </c>
      <c r="G1689" s="3" t="s">
        <v>1211</v>
      </c>
      <c r="H1689" s="3" t="s">
        <v>836</v>
      </c>
    </row>
    <row r="1690" spans="1:8">
      <c r="A1690" s="29">
        <v>42746.459340277775</v>
      </c>
      <c r="B1690" s="29" t="str">
        <f>PROPER(TEXT(tbLOG[[#This Row],[DATA/HORA]],"mmmm"))</f>
        <v>Janeiro</v>
      </c>
      <c r="C1690" s="34" t="str">
        <f>PROPER(TEXT(tbLOG[[#This Row],[DATA/HORA]],"dddd"))</f>
        <v>Quarta-Feira</v>
      </c>
      <c r="D1690" s="3" t="s">
        <v>604</v>
      </c>
      <c r="E1690" s="34" t="str">
        <f>IFERROR(VLOOKUP(tbLOG[[#This Row],[LOGIN]],tbMAPA[#All],2,0), "Não localizado")</f>
        <v>Renan Cazumba Tegani</v>
      </c>
      <c r="F1690" s="34" t="str">
        <f>IFERROR(VLOOKUP(tbLOG[[#This Row],[LOGIN]],tbMAPA[#All],3,0), "Não localizado")</f>
        <v>Reginaldo Santana De Souza</v>
      </c>
      <c r="G1690" s="3" t="s">
        <v>1211</v>
      </c>
      <c r="H1690" s="3" t="s">
        <v>836</v>
      </c>
    </row>
    <row r="1691" spans="1:8">
      <c r="A1691" s="29">
        <v>42746.459351851852</v>
      </c>
      <c r="B1691" s="29" t="str">
        <f>PROPER(TEXT(tbLOG[[#This Row],[DATA/HORA]],"mmmm"))</f>
        <v>Janeiro</v>
      </c>
      <c r="C1691" s="34" t="str">
        <f>PROPER(TEXT(tbLOG[[#This Row],[DATA/HORA]],"dddd"))</f>
        <v>Quarta-Feira</v>
      </c>
      <c r="D1691" s="3" t="s">
        <v>604</v>
      </c>
      <c r="E1691" s="34" t="str">
        <f>IFERROR(VLOOKUP(tbLOG[[#This Row],[LOGIN]],tbMAPA[#All],2,0), "Não localizado")</f>
        <v>Renan Cazumba Tegani</v>
      </c>
      <c r="F1691" s="34" t="str">
        <f>IFERROR(VLOOKUP(tbLOG[[#This Row],[LOGIN]],tbMAPA[#All],3,0), "Não localizado")</f>
        <v>Reginaldo Santana De Souza</v>
      </c>
      <c r="G1691" s="3" t="s">
        <v>1211</v>
      </c>
      <c r="H1691" s="3" t="s">
        <v>836</v>
      </c>
    </row>
    <row r="1692" spans="1:8">
      <c r="A1692" s="29">
        <v>42746.459456018521</v>
      </c>
      <c r="B1692" s="29" t="str">
        <f>PROPER(TEXT(tbLOG[[#This Row],[DATA/HORA]],"mmmm"))</f>
        <v>Janeiro</v>
      </c>
      <c r="C1692" s="34" t="str">
        <f>PROPER(TEXT(tbLOG[[#This Row],[DATA/HORA]],"dddd"))</f>
        <v>Quarta-Feira</v>
      </c>
      <c r="D1692" s="3" t="s">
        <v>604</v>
      </c>
      <c r="E1692" s="34" t="str">
        <f>IFERROR(VLOOKUP(tbLOG[[#This Row],[LOGIN]],tbMAPA[#All],2,0), "Não localizado")</f>
        <v>Renan Cazumba Tegani</v>
      </c>
      <c r="F1692" s="34" t="str">
        <f>IFERROR(VLOOKUP(tbLOG[[#This Row],[LOGIN]],tbMAPA[#All],3,0), "Não localizado")</f>
        <v>Reginaldo Santana De Souza</v>
      </c>
      <c r="G1692" s="3" t="s">
        <v>1211</v>
      </c>
      <c r="H1692" s="3" t="s">
        <v>836</v>
      </c>
    </row>
    <row r="1693" spans="1:8">
      <c r="A1693" s="29">
        <v>42746.465115740742</v>
      </c>
      <c r="B1693" s="29" t="str">
        <f>PROPER(TEXT(tbLOG[[#This Row],[DATA/HORA]],"mmmm"))</f>
        <v>Janeiro</v>
      </c>
      <c r="C1693" s="34" t="str">
        <f>PROPER(TEXT(tbLOG[[#This Row],[DATA/HORA]],"dddd"))</f>
        <v>Quarta-Feira</v>
      </c>
      <c r="D1693" s="3" t="s">
        <v>604</v>
      </c>
      <c r="E1693" s="34" t="str">
        <f>IFERROR(VLOOKUP(tbLOG[[#This Row],[LOGIN]],tbMAPA[#All],2,0), "Não localizado")</f>
        <v>Renan Cazumba Tegani</v>
      </c>
      <c r="F1693" s="34" t="str">
        <f>IFERROR(VLOOKUP(tbLOG[[#This Row],[LOGIN]],tbMAPA[#All],3,0), "Não localizado")</f>
        <v>Reginaldo Santana De Souza</v>
      </c>
      <c r="G1693" s="3" t="s">
        <v>1211</v>
      </c>
      <c r="H1693" s="3" t="s">
        <v>836</v>
      </c>
    </row>
    <row r="1694" spans="1:8">
      <c r="A1694" s="29">
        <v>42746.465127314812</v>
      </c>
      <c r="B1694" s="29" t="str">
        <f>PROPER(TEXT(tbLOG[[#This Row],[DATA/HORA]],"mmmm"))</f>
        <v>Janeiro</v>
      </c>
      <c r="C1694" s="34" t="str">
        <f>PROPER(TEXT(tbLOG[[#This Row],[DATA/HORA]],"dddd"))</f>
        <v>Quarta-Feira</v>
      </c>
      <c r="D1694" s="3" t="s">
        <v>604</v>
      </c>
      <c r="E1694" s="34" t="str">
        <f>IFERROR(VLOOKUP(tbLOG[[#This Row],[LOGIN]],tbMAPA[#All],2,0), "Não localizado")</f>
        <v>Renan Cazumba Tegani</v>
      </c>
      <c r="F1694" s="34" t="str">
        <f>IFERROR(VLOOKUP(tbLOG[[#This Row],[LOGIN]],tbMAPA[#All],3,0), "Não localizado")</f>
        <v>Reginaldo Santana De Souza</v>
      </c>
      <c r="G1694" s="3" t="s">
        <v>1211</v>
      </c>
      <c r="H1694" s="3" t="s">
        <v>836</v>
      </c>
    </row>
    <row r="1695" spans="1:8">
      <c r="A1695" s="29">
        <v>42746.467835648145</v>
      </c>
      <c r="B1695" s="29" t="str">
        <f>PROPER(TEXT(tbLOG[[#This Row],[DATA/HORA]],"mmmm"))</f>
        <v>Janeiro</v>
      </c>
      <c r="C1695" s="34" t="str">
        <f>PROPER(TEXT(tbLOG[[#This Row],[DATA/HORA]],"dddd"))</f>
        <v>Quarta-Feira</v>
      </c>
      <c r="D1695" s="3" t="s">
        <v>604</v>
      </c>
      <c r="E1695" s="34" t="str">
        <f>IFERROR(VLOOKUP(tbLOG[[#This Row],[LOGIN]],tbMAPA[#All],2,0), "Não localizado")</f>
        <v>Renan Cazumba Tegani</v>
      </c>
      <c r="F1695" s="34" t="str">
        <f>IFERROR(VLOOKUP(tbLOG[[#This Row],[LOGIN]],tbMAPA[#All],3,0), "Não localizado")</f>
        <v>Reginaldo Santana De Souza</v>
      </c>
      <c r="G1695" s="3" t="s">
        <v>1211</v>
      </c>
      <c r="H1695" s="3" t="s">
        <v>836</v>
      </c>
    </row>
    <row r="1696" spans="1:8">
      <c r="A1696" s="29">
        <v>42746.473391203705</v>
      </c>
      <c r="B1696" s="29" t="str">
        <f>PROPER(TEXT(tbLOG[[#This Row],[DATA/HORA]],"mmmm"))</f>
        <v>Janeiro</v>
      </c>
      <c r="C1696" s="34" t="str">
        <f>PROPER(TEXT(tbLOG[[#This Row],[DATA/HORA]],"dddd"))</f>
        <v>Quarta-Feira</v>
      </c>
      <c r="D1696" s="3" t="s">
        <v>604</v>
      </c>
      <c r="E1696" s="34" t="str">
        <f>IFERROR(VLOOKUP(tbLOG[[#This Row],[LOGIN]],tbMAPA[#All],2,0), "Não localizado")</f>
        <v>Renan Cazumba Tegani</v>
      </c>
      <c r="F1696" s="34" t="str">
        <f>IFERROR(VLOOKUP(tbLOG[[#This Row],[LOGIN]],tbMAPA[#All],3,0), "Não localizado")</f>
        <v>Reginaldo Santana De Souza</v>
      </c>
      <c r="G1696" s="3" t="s">
        <v>1211</v>
      </c>
      <c r="H1696" s="3" t="s">
        <v>836</v>
      </c>
    </row>
    <row r="1697" spans="1:8">
      <c r="A1697" s="29">
        <v>42746.473495370374</v>
      </c>
      <c r="B1697" s="29" t="str">
        <f>PROPER(TEXT(tbLOG[[#This Row],[DATA/HORA]],"mmmm"))</f>
        <v>Janeiro</v>
      </c>
      <c r="C1697" s="34" t="str">
        <f>PROPER(TEXT(tbLOG[[#This Row],[DATA/HORA]],"dddd"))</f>
        <v>Quarta-Feira</v>
      </c>
      <c r="D1697" s="3" t="s">
        <v>604</v>
      </c>
      <c r="E1697" s="34" t="str">
        <f>IFERROR(VLOOKUP(tbLOG[[#This Row],[LOGIN]],tbMAPA[#All],2,0), "Não localizado")</f>
        <v>Renan Cazumba Tegani</v>
      </c>
      <c r="F1697" s="34" t="str">
        <f>IFERROR(VLOOKUP(tbLOG[[#This Row],[LOGIN]],tbMAPA[#All],3,0), "Não localizado")</f>
        <v>Reginaldo Santana De Souza</v>
      </c>
      <c r="G1697" s="3" t="s">
        <v>1211</v>
      </c>
      <c r="H1697" s="3" t="s">
        <v>836</v>
      </c>
    </row>
    <row r="1698" spans="1:8">
      <c r="A1698" s="29">
        <v>42746.474317129629</v>
      </c>
      <c r="B1698" s="29" t="str">
        <f>PROPER(TEXT(tbLOG[[#This Row],[DATA/HORA]],"mmmm"))</f>
        <v>Janeiro</v>
      </c>
      <c r="C1698" s="34" t="str">
        <f>PROPER(TEXT(tbLOG[[#This Row],[DATA/HORA]],"dddd"))</f>
        <v>Quarta-Feira</v>
      </c>
      <c r="D1698" s="3" t="s">
        <v>604</v>
      </c>
      <c r="E1698" s="34" t="str">
        <f>IFERROR(VLOOKUP(tbLOG[[#This Row],[LOGIN]],tbMAPA[#All],2,0), "Não localizado")</f>
        <v>Renan Cazumba Tegani</v>
      </c>
      <c r="F1698" s="34" t="str">
        <f>IFERROR(VLOOKUP(tbLOG[[#This Row],[LOGIN]],tbMAPA[#All],3,0), "Não localizado")</f>
        <v>Reginaldo Santana De Souza</v>
      </c>
      <c r="G1698" s="3" t="s">
        <v>1211</v>
      </c>
      <c r="H1698" s="3" t="s">
        <v>836</v>
      </c>
    </row>
    <row r="1699" spans="1:8">
      <c r="A1699" s="29">
        <v>42746.475671296299</v>
      </c>
      <c r="B1699" s="29" t="str">
        <f>PROPER(TEXT(tbLOG[[#This Row],[DATA/HORA]],"mmmm"))</f>
        <v>Janeiro</v>
      </c>
      <c r="C1699" s="34" t="str">
        <f>PROPER(TEXT(tbLOG[[#This Row],[DATA/HORA]],"dddd"))</f>
        <v>Quarta-Feira</v>
      </c>
      <c r="D1699" s="3" t="s">
        <v>604</v>
      </c>
      <c r="E1699" s="34" t="str">
        <f>IFERROR(VLOOKUP(tbLOG[[#This Row],[LOGIN]],tbMAPA[#All],2,0), "Não localizado")</f>
        <v>Renan Cazumba Tegani</v>
      </c>
      <c r="F1699" s="34" t="str">
        <f>IFERROR(VLOOKUP(tbLOG[[#This Row],[LOGIN]],tbMAPA[#All],3,0), "Não localizado")</f>
        <v>Reginaldo Santana De Souza</v>
      </c>
      <c r="G1699" s="3" t="s">
        <v>1211</v>
      </c>
      <c r="H1699" s="3" t="s">
        <v>836</v>
      </c>
    </row>
    <row r="1700" spans="1:8">
      <c r="A1700" s="29">
        <v>42746.477268518516</v>
      </c>
      <c r="B1700" s="29" t="str">
        <f>PROPER(TEXT(tbLOG[[#This Row],[DATA/HORA]],"mmmm"))</f>
        <v>Janeiro</v>
      </c>
      <c r="C1700" s="34" t="str">
        <f>PROPER(TEXT(tbLOG[[#This Row],[DATA/HORA]],"dddd"))</f>
        <v>Quarta-Feira</v>
      </c>
      <c r="D1700" s="3" t="s">
        <v>604</v>
      </c>
      <c r="E1700" s="34" t="str">
        <f>IFERROR(VLOOKUP(tbLOG[[#This Row],[LOGIN]],tbMAPA[#All],2,0), "Não localizado")</f>
        <v>Renan Cazumba Tegani</v>
      </c>
      <c r="F1700" s="34" t="str">
        <f>IFERROR(VLOOKUP(tbLOG[[#This Row],[LOGIN]],tbMAPA[#All],3,0), "Não localizado")</f>
        <v>Reginaldo Santana De Souza</v>
      </c>
      <c r="G1700" s="3" t="s">
        <v>1211</v>
      </c>
      <c r="H1700" s="3" t="s">
        <v>836</v>
      </c>
    </row>
    <row r="1701" spans="1:8">
      <c r="A1701" s="29">
        <v>42746.477523148147</v>
      </c>
      <c r="B1701" s="29" t="str">
        <f>PROPER(TEXT(tbLOG[[#This Row],[DATA/HORA]],"mmmm"))</f>
        <v>Janeiro</v>
      </c>
      <c r="C1701" s="34" t="str">
        <f>PROPER(TEXT(tbLOG[[#This Row],[DATA/HORA]],"dddd"))</f>
        <v>Quarta-Feira</v>
      </c>
      <c r="D1701" s="3" t="s">
        <v>604</v>
      </c>
      <c r="E1701" s="34" t="str">
        <f>IFERROR(VLOOKUP(tbLOG[[#This Row],[LOGIN]],tbMAPA[#All],2,0), "Não localizado")</f>
        <v>Renan Cazumba Tegani</v>
      </c>
      <c r="F1701" s="34" t="str">
        <f>IFERROR(VLOOKUP(tbLOG[[#This Row],[LOGIN]],tbMAPA[#All],3,0), "Não localizado")</f>
        <v>Reginaldo Santana De Souza</v>
      </c>
      <c r="G1701" s="3" t="s">
        <v>1211</v>
      </c>
      <c r="H1701" s="3" t="s">
        <v>836</v>
      </c>
    </row>
    <row r="1702" spans="1:8">
      <c r="A1702" s="29">
        <v>42746.477592592593</v>
      </c>
      <c r="B1702" s="29" t="str">
        <f>PROPER(TEXT(tbLOG[[#This Row],[DATA/HORA]],"mmmm"))</f>
        <v>Janeiro</v>
      </c>
      <c r="C1702" s="34" t="str">
        <f>PROPER(TEXT(tbLOG[[#This Row],[DATA/HORA]],"dddd"))</f>
        <v>Quarta-Feira</v>
      </c>
      <c r="D1702" s="3" t="s">
        <v>604</v>
      </c>
      <c r="E1702" s="34" t="str">
        <f>IFERROR(VLOOKUP(tbLOG[[#This Row],[LOGIN]],tbMAPA[#All],2,0), "Não localizado")</f>
        <v>Renan Cazumba Tegani</v>
      </c>
      <c r="F1702" s="34" t="str">
        <f>IFERROR(VLOOKUP(tbLOG[[#This Row],[LOGIN]],tbMAPA[#All],3,0), "Não localizado")</f>
        <v>Reginaldo Santana De Souza</v>
      </c>
      <c r="G1702" s="3" t="s">
        <v>1211</v>
      </c>
      <c r="H1702" s="3" t="s">
        <v>836</v>
      </c>
    </row>
    <row r="1703" spans="1:8">
      <c r="A1703" s="29">
        <v>42746.478009259263</v>
      </c>
      <c r="B1703" s="29" t="str">
        <f>PROPER(TEXT(tbLOG[[#This Row],[DATA/HORA]],"mmmm"))</f>
        <v>Janeiro</v>
      </c>
      <c r="C1703" s="34" t="str">
        <f>PROPER(TEXT(tbLOG[[#This Row],[DATA/HORA]],"dddd"))</f>
        <v>Quarta-Feira</v>
      </c>
      <c r="D1703" s="3" t="s">
        <v>604</v>
      </c>
      <c r="E1703" s="34" t="str">
        <f>IFERROR(VLOOKUP(tbLOG[[#This Row],[LOGIN]],tbMAPA[#All],2,0), "Não localizado")</f>
        <v>Renan Cazumba Tegani</v>
      </c>
      <c r="F1703" s="34" t="str">
        <f>IFERROR(VLOOKUP(tbLOG[[#This Row],[LOGIN]],tbMAPA[#All],3,0), "Não localizado")</f>
        <v>Reginaldo Santana De Souza</v>
      </c>
      <c r="G1703" s="3" t="s">
        <v>1211</v>
      </c>
      <c r="H1703" s="3" t="s">
        <v>836</v>
      </c>
    </row>
    <row r="1704" spans="1:8">
      <c r="A1704" s="29">
        <v>42746.478194444448</v>
      </c>
      <c r="B1704" s="29" t="str">
        <f>PROPER(TEXT(tbLOG[[#This Row],[DATA/HORA]],"mmmm"))</f>
        <v>Janeiro</v>
      </c>
      <c r="C1704" s="34" t="str">
        <f>PROPER(TEXT(tbLOG[[#This Row],[DATA/HORA]],"dddd"))</f>
        <v>Quarta-Feira</v>
      </c>
      <c r="D1704" s="3" t="s">
        <v>604</v>
      </c>
      <c r="E1704" s="34" t="str">
        <f>IFERROR(VLOOKUP(tbLOG[[#This Row],[LOGIN]],tbMAPA[#All],2,0), "Não localizado")</f>
        <v>Renan Cazumba Tegani</v>
      </c>
      <c r="F1704" s="34" t="str">
        <f>IFERROR(VLOOKUP(tbLOG[[#This Row],[LOGIN]],tbMAPA[#All],3,0), "Não localizado")</f>
        <v>Reginaldo Santana De Souza</v>
      </c>
      <c r="G1704" s="3" t="s">
        <v>1211</v>
      </c>
      <c r="H1704" s="3" t="s">
        <v>290</v>
      </c>
    </row>
    <row r="1705" spans="1:8">
      <c r="A1705" s="29">
        <v>42746.488796296297</v>
      </c>
      <c r="B1705" s="29" t="str">
        <f>PROPER(TEXT(tbLOG[[#This Row],[DATA/HORA]],"mmmm"))</f>
        <v>Janeiro</v>
      </c>
      <c r="C1705" s="34" t="str">
        <f>PROPER(TEXT(tbLOG[[#This Row],[DATA/HORA]],"dddd"))</f>
        <v>Quarta-Feira</v>
      </c>
      <c r="D1705" s="3" t="s">
        <v>604</v>
      </c>
      <c r="E1705" s="34" t="str">
        <f>IFERROR(VLOOKUP(tbLOG[[#This Row],[LOGIN]],tbMAPA[#All],2,0), "Não localizado")</f>
        <v>Renan Cazumba Tegani</v>
      </c>
      <c r="F1705" s="34" t="str">
        <f>IFERROR(VLOOKUP(tbLOG[[#This Row],[LOGIN]],tbMAPA[#All],3,0), "Não localizado")</f>
        <v>Reginaldo Santana De Souza</v>
      </c>
      <c r="G1705" s="3" t="s">
        <v>1211</v>
      </c>
      <c r="H1705" s="3" t="s">
        <v>836</v>
      </c>
    </row>
    <row r="1706" spans="1:8">
      <c r="A1706" s="29">
        <v>42746.490613425929</v>
      </c>
      <c r="B1706" s="29" t="str">
        <f>PROPER(TEXT(tbLOG[[#This Row],[DATA/HORA]],"mmmm"))</f>
        <v>Janeiro</v>
      </c>
      <c r="C1706" s="34" t="str">
        <f>PROPER(TEXT(tbLOG[[#This Row],[DATA/HORA]],"dddd"))</f>
        <v>Quarta-Feira</v>
      </c>
      <c r="D1706" s="3" t="s">
        <v>604</v>
      </c>
      <c r="E1706" s="34" t="str">
        <f>IFERROR(VLOOKUP(tbLOG[[#This Row],[LOGIN]],tbMAPA[#All],2,0), "Não localizado")</f>
        <v>Renan Cazumba Tegani</v>
      </c>
      <c r="F1706" s="34" t="str">
        <f>IFERROR(VLOOKUP(tbLOG[[#This Row],[LOGIN]],tbMAPA[#All],3,0), "Não localizado")</f>
        <v>Reginaldo Santana De Souza</v>
      </c>
      <c r="G1706" s="3" t="s">
        <v>1211</v>
      </c>
      <c r="H1706" s="3" t="s">
        <v>836</v>
      </c>
    </row>
    <row r="1707" spans="1:8">
      <c r="A1707" s="29">
        <v>42746.493020833332</v>
      </c>
      <c r="B1707" s="29" t="str">
        <f>PROPER(TEXT(tbLOG[[#This Row],[DATA/HORA]],"mmmm"))</f>
        <v>Janeiro</v>
      </c>
      <c r="C1707" s="34" t="str">
        <f>PROPER(TEXT(tbLOG[[#This Row],[DATA/HORA]],"dddd"))</f>
        <v>Quarta-Feira</v>
      </c>
      <c r="D1707" s="3" t="s">
        <v>604</v>
      </c>
      <c r="E1707" s="34" t="str">
        <f>IFERROR(VLOOKUP(tbLOG[[#This Row],[LOGIN]],tbMAPA[#All],2,0), "Não localizado")</f>
        <v>Renan Cazumba Tegani</v>
      </c>
      <c r="F1707" s="34" t="str">
        <f>IFERROR(VLOOKUP(tbLOG[[#This Row],[LOGIN]],tbMAPA[#All],3,0), "Não localizado")</f>
        <v>Reginaldo Santana De Souza</v>
      </c>
      <c r="G1707" s="3" t="s">
        <v>1211</v>
      </c>
      <c r="H1707" s="3" t="s">
        <v>836</v>
      </c>
    </row>
    <row r="1708" spans="1:8">
      <c r="A1708" s="29">
        <v>42746.50577546296</v>
      </c>
      <c r="B1708" s="29" t="str">
        <f>PROPER(TEXT(tbLOG[[#This Row],[DATA/HORA]],"mmmm"))</f>
        <v>Janeiro</v>
      </c>
      <c r="C1708" s="34" t="str">
        <f>PROPER(TEXT(tbLOG[[#This Row],[DATA/HORA]],"dddd"))</f>
        <v>Quarta-Feira</v>
      </c>
      <c r="D1708" s="3" t="s">
        <v>604</v>
      </c>
      <c r="E1708" s="34" t="str">
        <f>IFERROR(VLOOKUP(tbLOG[[#This Row],[LOGIN]],tbMAPA[#All],2,0), "Não localizado")</f>
        <v>Renan Cazumba Tegani</v>
      </c>
      <c r="F1708" s="34" t="str">
        <f>IFERROR(VLOOKUP(tbLOG[[#This Row],[LOGIN]],tbMAPA[#All],3,0), "Não localizado")</f>
        <v>Reginaldo Santana De Souza</v>
      </c>
      <c r="G1708" s="3" t="s">
        <v>1211</v>
      </c>
      <c r="H1708" s="3" t="s">
        <v>836</v>
      </c>
    </row>
    <row r="1709" spans="1:8">
      <c r="A1709" s="29">
        <v>42746.508379629631</v>
      </c>
      <c r="B1709" s="29" t="str">
        <f>PROPER(TEXT(tbLOG[[#This Row],[DATA/HORA]],"mmmm"))</f>
        <v>Janeiro</v>
      </c>
      <c r="C1709" s="34" t="str">
        <f>PROPER(TEXT(tbLOG[[#This Row],[DATA/HORA]],"dddd"))</f>
        <v>Quarta-Feira</v>
      </c>
      <c r="D1709" s="3" t="s">
        <v>604</v>
      </c>
      <c r="E1709" s="34" t="str">
        <f>IFERROR(VLOOKUP(tbLOG[[#This Row],[LOGIN]],tbMAPA[#All],2,0), "Não localizado")</f>
        <v>Renan Cazumba Tegani</v>
      </c>
      <c r="F1709" s="34" t="str">
        <f>IFERROR(VLOOKUP(tbLOG[[#This Row],[LOGIN]],tbMAPA[#All],3,0), "Não localizado")</f>
        <v>Reginaldo Santana De Souza</v>
      </c>
      <c r="G1709" s="3" t="s">
        <v>1211</v>
      </c>
      <c r="H1709" s="3" t="s">
        <v>836</v>
      </c>
    </row>
    <row r="1710" spans="1:8">
      <c r="A1710" s="29">
        <v>42746.509942129633</v>
      </c>
      <c r="B1710" s="29" t="str">
        <f>PROPER(TEXT(tbLOG[[#This Row],[DATA/HORA]],"mmmm"))</f>
        <v>Janeiro</v>
      </c>
      <c r="C1710" s="34" t="str">
        <f>PROPER(TEXT(tbLOG[[#This Row],[DATA/HORA]],"dddd"))</f>
        <v>Quarta-Feira</v>
      </c>
      <c r="D1710" s="3" t="s">
        <v>604</v>
      </c>
      <c r="E1710" s="34" t="str">
        <f>IFERROR(VLOOKUP(tbLOG[[#This Row],[LOGIN]],tbMAPA[#All],2,0), "Não localizado")</f>
        <v>Renan Cazumba Tegani</v>
      </c>
      <c r="F1710" s="34" t="str">
        <f>IFERROR(VLOOKUP(tbLOG[[#This Row],[LOGIN]],tbMAPA[#All],3,0), "Não localizado")</f>
        <v>Reginaldo Santana De Souza</v>
      </c>
      <c r="G1710" s="3" t="s">
        <v>1211</v>
      </c>
      <c r="H1710" s="3" t="s">
        <v>836</v>
      </c>
    </row>
    <row r="1711" spans="1:8">
      <c r="A1711" s="29">
        <v>42746.510648148149</v>
      </c>
      <c r="B1711" s="29" t="str">
        <f>PROPER(TEXT(tbLOG[[#This Row],[DATA/HORA]],"mmmm"))</f>
        <v>Janeiro</v>
      </c>
      <c r="C1711" s="34" t="str">
        <f>PROPER(TEXT(tbLOG[[#This Row],[DATA/HORA]],"dddd"))</f>
        <v>Quarta-Feira</v>
      </c>
      <c r="D1711" s="3" t="s">
        <v>604</v>
      </c>
      <c r="E1711" s="34" t="str">
        <f>IFERROR(VLOOKUP(tbLOG[[#This Row],[LOGIN]],tbMAPA[#All],2,0), "Não localizado")</f>
        <v>Renan Cazumba Tegani</v>
      </c>
      <c r="F1711" s="34" t="str">
        <f>IFERROR(VLOOKUP(tbLOG[[#This Row],[LOGIN]],tbMAPA[#All],3,0), "Não localizado")</f>
        <v>Reginaldo Santana De Souza</v>
      </c>
      <c r="G1711" s="3" t="s">
        <v>1211</v>
      </c>
      <c r="H1711" s="3" t="s">
        <v>836</v>
      </c>
    </row>
    <row r="1712" spans="1:8">
      <c r="A1712" s="29">
        <v>42746.513310185182</v>
      </c>
      <c r="B1712" s="29" t="str">
        <f>PROPER(TEXT(tbLOG[[#This Row],[DATA/HORA]],"mmmm"))</f>
        <v>Janeiro</v>
      </c>
      <c r="C1712" s="34" t="str">
        <f>PROPER(TEXT(tbLOG[[#This Row],[DATA/HORA]],"dddd"))</f>
        <v>Quarta-Feira</v>
      </c>
      <c r="D1712" s="3" t="s">
        <v>604</v>
      </c>
      <c r="E1712" s="34" t="str">
        <f>IFERROR(VLOOKUP(tbLOG[[#This Row],[LOGIN]],tbMAPA[#All],2,0), "Não localizado")</f>
        <v>Renan Cazumba Tegani</v>
      </c>
      <c r="F1712" s="34" t="str">
        <f>IFERROR(VLOOKUP(tbLOG[[#This Row],[LOGIN]],tbMAPA[#All],3,0), "Não localizado")</f>
        <v>Reginaldo Santana De Souza</v>
      </c>
      <c r="G1712" s="3" t="s">
        <v>1211</v>
      </c>
      <c r="H1712" s="3" t="s">
        <v>836</v>
      </c>
    </row>
    <row r="1713" spans="1:8">
      <c r="A1713" s="29">
        <v>42746.513472222221</v>
      </c>
      <c r="B1713" s="29" t="str">
        <f>PROPER(TEXT(tbLOG[[#This Row],[DATA/HORA]],"mmmm"))</f>
        <v>Janeiro</v>
      </c>
      <c r="C1713" s="34" t="str">
        <f>PROPER(TEXT(tbLOG[[#This Row],[DATA/HORA]],"dddd"))</f>
        <v>Quarta-Feira</v>
      </c>
      <c r="D1713" s="3" t="s">
        <v>604</v>
      </c>
      <c r="E1713" s="34" t="str">
        <f>IFERROR(VLOOKUP(tbLOG[[#This Row],[LOGIN]],tbMAPA[#All],2,0), "Não localizado")</f>
        <v>Renan Cazumba Tegani</v>
      </c>
      <c r="F1713" s="34" t="str">
        <f>IFERROR(VLOOKUP(tbLOG[[#This Row],[LOGIN]],tbMAPA[#All],3,0), "Não localizado")</f>
        <v>Reginaldo Santana De Souza</v>
      </c>
      <c r="G1713" s="3" t="s">
        <v>1211</v>
      </c>
      <c r="H1713" s="3" t="s">
        <v>836</v>
      </c>
    </row>
    <row r="1714" spans="1:8">
      <c r="A1714" s="29">
        <v>42746.516319444447</v>
      </c>
      <c r="B1714" s="29" t="str">
        <f>PROPER(TEXT(tbLOG[[#This Row],[DATA/HORA]],"mmmm"))</f>
        <v>Janeiro</v>
      </c>
      <c r="C1714" s="34" t="str">
        <f>PROPER(TEXT(tbLOG[[#This Row],[DATA/HORA]],"dddd"))</f>
        <v>Quarta-Feira</v>
      </c>
      <c r="D1714" s="3" t="s">
        <v>604</v>
      </c>
      <c r="E1714" s="34" t="str">
        <f>IFERROR(VLOOKUP(tbLOG[[#This Row],[LOGIN]],tbMAPA[#All],2,0), "Não localizado")</f>
        <v>Renan Cazumba Tegani</v>
      </c>
      <c r="F1714" s="34" t="str">
        <f>IFERROR(VLOOKUP(tbLOG[[#This Row],[LOGIN]],tbMAPA[#All],3,0), "Não localizado")</f>
        <v>Reginaldo Santana De Souza</v>
      </c>
      <c r="G1714" s="3" t="s">
        <v>1211</v>
      </c>
      <c r="H1714" s="3" t="s">
        <v>836</v>
      </c>
    </row>
    <row r="1715" spans="1:8">
      <c r="A1715" s="29">
        <v>42746.516342592593</v>
      </c>
      <c r="B1715" s="29" t="str">
        <f>PROPER(TEXT(tbLOG[[#This Row],[DATA/HORA]],"mmmm"))</f>
        <v>Janeiro</v>
      </c>
      <c r="C1715" s="34" t="str">
        <f>PROPER(TEXT(tbLOG[[#This Row],[DATA/HORA]],"dddd"))</f>
        <v>Quarta-Feira</v>
      </c>
      <c r="D1715" s="3" t="s">
        <v>604</v>
      </c>
      <c r="E1715" s="34" t="str">
        <f>IFERROR(VLOOKUP(tbLOG[[#This Row],[LOGIN]],tbMAPA[#All],2,0), "Não localizado")</f>
        <v>Renan Cazumba Tegani</v>
      </c>
      <c r="F1715" s="34" t="str">
        <f>IFERROR(VLOOKUP(tbLOG[[#This Row],[LOGIN]],tbMAPA[#All],3,0), "Não localizado")</f>
        <v>Reginaldo Santana De Souza</v>
      </c>
      <c r="G1715" s="3" t="s">
        <v>1211</v>
      </c>
      <c r="H1715" s="3" t="s">
        <v>836</v>
      </c>
    </row>
    <row r="1716" spans="1:8">
      <c r="A1716" s="29">
        <v>42746.516412037039</v>
      </c>
      <c r="B1716" s="29" t="str">
        <f>PROPER(TEXT(tbLOG[[#This Row],[DATA/HORA]],"mmmm"))</f>
        <v>Janeiro</v>
      </c>
      <c r="C1716" s="34" t="str">
        <f>PROPER(TEXT(tbLOG[[#This Row],[DATA/HORA]],"dddd"))</f>
        <v>Quarta-Feira</v>
      </c>
      <c r="D1716" s="3" t="s">
        <v>604</v>
      </c>
      <c r="E1716" s="34" t="str">
        <f>IFERROR(VLOOKUP(tbLOG[[#This Row],[LOGIN]],tbMAPA[#All],2,0), "Não localizado")</f>
        <v>Renan Cazumba Tegani</v>
      </c>
      <c r="F1716" s="34" t="str">
        <f>IFERROR(VLOOKUP(tbLOG[[#This Row],[LOGIN]],tbMAPA[#All],3,0), "Não localizado")</f>
        <v>Reginaldo Santana De Souza</v>
      </c>
      <c r="G1716" s="3" t="s">
        <v>1211</v>
      </c>
      <c r="H1716" s="3" t="s">
        <v>836</v>
      </c>
    </row>
    <row r="1717" spans="1:8">
      <c r="A1717" s="29">
        <v>42746.516493055555</v>
      </c>
      <c r="B1717" s="29" t="str">
        <f>PROPER(TEXT(tbLOG[[#This Row],[DATA/HORA]],"mmmm"))</f>
        <v>Janeiro</v>
      </c>
      <c r="C1717" s="34" t="str">
        <f>PROPER(TEXT(tbLOG[[#This Row],[DATA/HORA]],"dddd"))</f>
        <v>Quarta-Feira</v>
      </c>
      <c r="D1717" s="3" t="s">
        <v>604</v>
      </c>
      <c r="E1717" s="34" t="str">
        <f>IFERROR(VLOOKUP(tbLOG[[#This Row],[LOGIN]],tbMAPA[#All],2,0), "Não localizado")</f>
        <v>Renan Cazumba Tegani</v>
      </c>
      <c r="F1717" s="34" t="str">
        <f>IFERROR(VLOOKUP(tbLOG[[#This Row],[LOGIN]],tbMAPA[#All],3,0), "Não localizado")</f>
        <v>Reginaldo Santana De Souza</v>
      </c>
      <c r="G1717" s="3" t="s">
        <v>1211</v>
      </c>
      <c r="H1717" s="3" t="s">
        <v>836</v>
      </c>
    </row>
    <row r="1718" spans="1:8">
      <c r="A1718" s="29">
        <v>42746.519155092596</v>
      </c>
      <c r="B1718" s="29" t="str">
        <f>PROPER(TEXT(tbLOG[[#This Row],[DATA/HORA]],"mmmm"))</f>
        <v>Janeiro</v>
      </c>
      <c r="C1718" s="34" t="str">
        <f>PROPER(TEXT(tbLOG[[#This Row],[DATA/HORA]],"dddd"))</f>
        <v>Quarta-Feira</v>
      </c>
      <c r="D1718" s="3" t="s">
        <v>604</v>
      </c>
      <c r="E1718" s="34" t="str">
        <f>IFERROR(VLOOKUP(tbLOG[[#This Row],[LOGIN]],tbMAPA[#All],2,0), "Não localizado")</f>
        <v>Renan Cazumba Tegani</v>
      </c>
      <c r="F1718" s="34" t="str">
        <f>IFERROR(VLOOKUP(tbLOG[[#This Row],[LOGIN]],tbMAPA[#All],3,0), "Não localizado")</f>
        <v>Reginaldo Santana De Souza</v>
      </c>
      <c r="G1718" s="3" t="s">
        <v>1211</v>
      </c>
      <c r="H1718" s="3" t="s">
        <v>836</v>
      </c>
    </row>
    <row r="1719" spans="1:8">
      <c r="A1719" s="29">
        <v>42746.51935185185</v>
      </c>
      <c r="B1719" s="29" t="str">
        <f>PROPER(TEXT(tbLOG[[#This Row],[DATA/HORA]],"mmmm"))</f>
        <v>Janeiro</v>
      </c>
      <c r="C1719" s="34" t="str">
        <f>PROPER(TEXT(tbLOG[[#This Row],[DATA/HORA]],"dddd"))</f>
        <v>Quarta-Feira</v>
      </c>
      <c r="D1719" s="3" t="s">
        <v>604</v>
      </c>
      <c r="E1719" s="34" t="str">
        <f>IFERROR(VLOOKUP(tbLOG[[#This Row],[LOGIN]],tbMAPA[#All],2,0), "Não localizado")</f>
        <v>Renan Cazumba Tegani</v>
      </c>
      <c r="F1719" s="34" t="str">
        <f>IFERROR(VLOOKUP(tbLOG[[#This Row],[LOGIN]],tbMAPA[#All],3,0), "Não localizado")</f>
        <v>Reginaldo Santana De Souza</v>
      </c>
      <c r="G1719" s="3" t="s">
        <v>1211</v>
      </c>
      <c r="H1719" s="3" t="s">
        <v>836</v>
      </c>
    </row>
    <row r="1720" spans="1:8">
      <c r="A1720" s="29">
        <v>42746.519375000003</v>
      </c>
      <c r="B1720" s="29" t="str">
        <f>PROPER(TEXT(tbLOG[[#This Row],[DATA/HORA]],"mmmm"))</f>
        <v>Janeiro</v>
      </c>
      <c r="C1720" s="34" t="str">
        <f>PROPER(TEXT(tbLOG[[#This Row],[DATA/HORA]],"dddd"))</f>
        <v>Quarta-Feira</v>
      </c>
      <c r="D1720" s="3" t="s">
        <v>604</v>
      </c>
      <c r="E1720" s="34" t="str">
        <f>IFERROR(VLOOKUP(tbLOG[[#This Row],[LOGIN]],tbMAPA[#All],2,0), "Não localizado")</f>
        <v>Renan Cazumba Tegani</v>
      </c>
      <c r="F1720" s="34" t="str">
        <f>IFERROR(VLOOKUP(tbLOG[[#This Row],[LOGIN]],tbMAPA[#All],3,0), "Não localizado")</f>
        <v>Reginaldo Santana De Souza</v>
      </c>
      <c r="G1720" s="3" t="s">
        <v>1211</v>
      </c>
      <c r="H1720" s="3" t="s">
        <v>836</v>
      </c>
    </row>
    <row r="1721" spans="1:8">
      <c r="A1721" s="29">
        <v>42746.519456018519</v>
      </c>
      <c r="B1721" s="29" t="str">
        <f>PROPER(TEXT(tbLOG[[#This Row],[DATA/HORA]],"mmmm"))</f>
        <v>Janeiro</v>
      </c>
      <c r="C1721" s="34" t="str">
        <f>PROPER(TEXT(tbLOG[[#This Row],[DATA/HORA]],"dddd"))</f>
        <v>Quarta-Feira</v>
      </c>
      <c r="D1721" s="3" t="s">
        <v>604</v>
      </c>
      <c r="E1721" s="34" t="str">
        <f>IFERROR(VLOOKUP(tbLOG[[#This Row],[LOGIN]],tbMAPA[#All],2,0), "Não localizado")</f>
        <v>Renan Cazumba Tegani</v>
      </c>
      <c r="F1721" s="34" t="str">
        <f>IFERROR(VLOOKUP(tbLOG[[#This Row],[LOGIN]],tbMAPA[#All],3,0), "Não localizado")</f>
        <v>Reginaldo Santana De Souza</v>
      </c>
      <c r="G1721" s="3" t="s">
        <v>1211</v>
      </c>
      <c r="H1721" s="3" t="s">
        <v>836</v>
      </c>
    </row>
    <row r="1722" spans="1:8">
      <c r="A1722" s="29">
        <v>42746.520324074074</v>
      </c>
      <c r="B1722" s="29" t="str">
        <f>PROPER(TEXT(tbLOG[[#This Row],[DATA/HORA]],"mmmm"))</f>
        <v>Janeiro</v>
      </c>
      <c r="C1722" s="34" t="str">
        <f>PROPER(TEXT(tbLOG[[#This Row],[DATA/HORA]],"dddd"))</f>
        <v>Quarta-Feira</v>
      </c>
      <c r="D1722" s="3" t="s">
        <v>604</v>
      </c>
      <c r="E1722" s="34" t="str">
        <f>IFERROR(VLOOKUP(tbLOG[[#This Row],[LOGIN]],tbMAPA[#All],2,0), "Não localizado")</f>
        <v>Renan Cazumba Tegani</v>
      </c>
      <c r="F1722" s="34" t="str">
        <f>IFERROR(VLOOKUP(tbLOG[[#This Row],[LOGIN]],tbMAPA[#All],3,0), "Não localizado")</f>
        <v>Reginaldo Santana De Souza</v>
      </c>
      <c r="G1722" s="3" t="s">
        <v>1211</v>
      </c>
      <c r="H1722" s="3" t="s">
        <v>836</v>
      </c>
    </row>
    <row r="1723" spans="1:8">
      <c r="A1723" s="29">
        <v>42746.527557870373</v>
      </c>
      <c r="B1723" s="29" t="str">
        <f>PROPER(TEXT(tbLOG[[#This Row],[DATA/HORA]],"mmmm"))</f>
        <v>Janeiro</v>
      </c>
      <c r="C1723" s="34" t="str">
        <f>PROPER(TEXT(tbLOG[[#This Row],[DATA/HORA]],"dddd"))</f>
        <v>Quarta-Feira</v>
      </c>
      <c r="D1723" s="3" t="s">
        <v>604</v>
      </c>
      <c r="E1723" s="34" t="str">
        <f>IFERROR(VLOOKUP(tbLOG[[#This Row],[LOGIN]],tbMAPA[#All],2,0), "Não localizado")</f>
        <v>Renan Cazumba Tegani</v>
      </c>
      <c r="F1723" s="34" t="str">
        <f>IFERROR(VLOOKUP(tbLOG[[#This Row],[LOGIN]],tbMAPA[#All],3,0), "Não localizado")</f>
        <v>Reginaldo Santana De Souza</v>
      </c>
      <c r="G1723" s="3" t="s">
        <v>1211</v>
      </c>
      <c r="H1723" s="3" t="s">
        <v>836</v>
      </c>
    </row>
    <row r="1724" spans="1:8">
      <c r="A1724" s="29">
        <v>42746.527581018519</v>
      </c>
      <c r="B1724" s="29" t="str">
        <f>PROPER(TEXT(tbLOG[[#This Row],[DATA/HORA]],"mmmm"))</f>
        <v>Janeiro</v>
      </c>
      <c r="C1724" s="34" t="str">
        <f>PROPER(TEXT(tbLOG[[#This Row],[DATA/HORA]],"dddd"))</f>
        <v>Quarta-Feira</v>
      </c>
      <c r="D1724" s="3" t="s">
        <v>604</v>
      </c>
      <c r="E1724" s="34" t="str">
        <f>IFERROR(VLOOKUP(tbLOG[[#This Row],[LOGIN]],tbMAPA[#All],2,0), "Não localizado")</f>
        <v>Renan Cazumba Tegani</v>
      </c>
      <c r="F1724" s="34" t="str">
        <f>IFERROR(VLOOKUP(tbLOG[[#This Row],[LOGIN]],tbMAPA[#All],3,0), "Não localizado")</f>
        <v>Reginaldo Santana De Souza</v>
      </c>
      <c r="G1724" s="3" t="s">
        <v>1211</v>
      </c>
      <c r="H1724" s="3" t="s">
        <v>836</v>
      </c>
    </row>
    <row r="1725" spans="1:8">
      <c r="A1725" s="29">
        <v>42746.527627314812</v>
      </c>
      <c r="B1725" s="29" t="str">
        <f>PROPER(TEXT(tbLOG[[#This Row],[DATA/HORA]],"mmmm"))</f>
        <v>Janeiro</v>
      </c>
      <c r="C1725" s="34" t="str">
        <f>PROPER(TEXT(tbLOG[[#This Row],[DATA/HORA]],"dddd"))</f>
        <v>Quarta-Feira</v>
      </c>
      <c r="D1725" s="3" t="s">
        <v>604</v>
      </c>
      <c r="E1725" s="34" t="str">
        <f>IFERROR(VLOOKUP(tbLOG[[#This Row],[LOGIN]],tbMAPA[#All],2,0), "Não localizado")</f>
        <v>Renan Cazumba Tegani</v>
      </c>
      <c r="F1725" s="34" t="str">
        <f>IFERROR(VLOOKUP(tbLOG[[#This Row],[LOGIN]],tbMAPA[#All],3,0), "Não localizado")</f>
        <v>Reginaldo Santana De Souza</v>
      </c>
      <c r="G1725" s="3" t="s">
        <v>1211</v>
      </c>
      <c r="H1725" s="3" t="s">
        <v>836</v>
      </c>
    </row>
    <row r="1726" spans="1:8">
      <c r="A1726" s="29">
        <v>42746.527708333335</v>
      </c>
      <c r="B1726" s="29" t="str">
        <f>PROPER(TEXT(tbLOG[[#This Row],[DATA/HORA]],"mmmm"))</f>
        <v>Janeiro</v>
      </c>
      <c r="C1726" s="34" t="str">
        <f>PROPER(TEXT(tbLOG[[#This Row],[DATA/HORA]],"dddd"))</f>
        <v>Quarta-Feira</v>
      </c>
      <c r="D1726" s="3" t="s">
        <v>604</v>
      </c>
      <c r="E1726" s="34" t="str">
        <f>IFERROR(VLOOKUP(tbLOG[[#This Row],[LOGIN]],tbMAPA[#All],2,0), "Não localizado")</f>
        <v>Renan Cazumba Tegani</v>
      </c>
      <c r="F1726" s="34" t="str">
        <f>IFERROR(VLOOKUP(tbLOG[[#This Row],[LOGIN]],tbMAPA[#All],3,0), "Não localizado")</f>
        <v>Reginaldo Santana De Souza</v>
      </c>
      <c r="G1726" s="3" t="s">
        <v>1211</v>
      </c>
      <c r="H1726" s="3" t="s">
        <v>836</v>
      </c>
    </row>
    <row r="1727" spans="1:8">
      <c r="A1727" s="29">
        <v>42746.527731481481</v>
      </c>
      <c r="B1727" s="29" t="str">
        <f>PROPER(TEXT(tbLOG[[#This Row],[DATA/HORA]],"mmmm"))</f>
        <v>Janeiro</v>
      </c>
      <c r="C1727" s="34" t="str">
        <f>PROPER(TEXT(tbLOG[[#This Row],[DATA/HORA]],"dddd"))</f>
        <v>Quarta-Feira</v>
      </c>
      <c r="D1727" s="3" t="s">
        <v>604</v>
      </c>
      <c r="E1727" s="34" t="str">
        <f>IFERROR(VLOOKUP(tbLOG[[#This Row],[LOGIN]],tbMAPA[#All],2,0), "Não localizado")</f>
        <v>Renan Cazumba Tegani</v>
      </c>
      <c r="F1727" s="34" t="str">
        <f>IFERROR(VLOOKUP(tbLOG[[#This Row],[LOGIN]],tbMAPA[#All],3,0), "Não localizado")</f>
        <v>Reginaldo Santana De Souza</v>
      </c>
      <c r="G1727" s="3" t="s">
        <v>1211</v>
      </c>
      <c r="H1727" s="3" t="s">
        <v>836</v>
      </c>
    </row>
    <row r="1728" spans="1:8">
      <c r="A1728" s="29">
        <v>42746.529398148145</v>
      </c>
      <c r="B1728" s="29" t="str">
        <f>PROPER(TEXT(tbLOG[[#This Row],[DATA/HORA]],"mmmm"))</f>
        <v>Janeiro</v>
      </c>
      <c r="C1728" s="34" t="str">
        <f>PROPER(TEXT(tbLOG[[#This Row],[DATA/HORA]],"dddd"))</f>
        <v>Quarta-Feira</v>
      </c>
      <c r="D1728" s="3" t="s">
        <v>604</v>
      </c>
      <c r="E1728" s="34" t="str">
        <f>IFERROR(VLOOKUP(tbLOG[[#This Row],[LOGIN]],tbMAPA[#All],2,0), "Não localizado")</f>
        <v>Renan Cazumba Tegani</v>
      </c>
      <c r="F1728" s="34" t="str">
        <f>IFERROR(VLOOKUP(tbLOG[[#This Row],[LOGIN]],tbMAPA[#All],3,0), "Não localizado")</f>
        <v>Reginaldo Santana De Souza</v>
      </c>
      <c r="G1728" s="3" t="s">
        <v>1211</v>
      </c>
      <c r="H1728" s="3" t="s">
        <v>836</v>
      </c>
    </row>
    <row r="1729" spans="1:8">
      <c r="A1729" s="29">
        <v>42746.529421296298</v>
      </c>
      <c r="B1729" s="29" t="str">
        <f>PROPER(TEXT(tbLOG[[#This Row],[DATA/HORA]],"mmmm"))</f>
        <v>Janeiro</v>
      </c>
      <c r="C1729" s="34" t="str">
        <f>PROPER(TEXT(tbLOG[[#This Row],[DATA/HORA]],"dddd"))</f>
        <v>Quarta-Feira</v>
      </c>
      <c r="D1729" s="3" t="s">
        <v>604</v>
      </c>
      <c r="E1729" s="34" t="str">
        <f>IFERROR(VLOOKUP(tbLOG[[#This Row],[LOGIN]],tbMAPA[#All],2,0), "Não localizado")</f>
        <v>Renan Cazumba Tegani</v>
      </c>
      <c r="F1729" s="34" t="str">
        <f>IFERROR(VLOOKUP(tbLOG[[#This Row],[LOGIN]],tbMAPA[#All],3,0), "Não localizado")</f>
        <v>Reginaldo Santana De Souza</v>
      </c>
      <c r="G1729" s="3" t="s">
        <v>1211</v>
      </c>
      <c r="H1729" s="3" t="s">
        <v>836</v>
      </c>
    </row>
    <row r="1730" spans="1:8">
      <c r="A1730" s="29">
        <v>42746.529456018521</v>
      </c>
      <c r="B1730" s="29" t="str">
        <f>PROPER(TEXT(tbLOG[[#This Row],[DATA/HORA]],"mmmm"))</f>
        <v>Janeiro</v>
      </c>
      <c r="C1730" s="34" t="str">
        <f>PROPER(TEXT(tbLOG[[#This Row],[DATA/HORA]],"dddd"))</f>
        <v>Quarta-Feira</v>
      </c>
      <c r="D1730" s="3" t="s">
        <v>604</v>
      </c>
      <c r="E1730" s="34" t="str">
        <f>IFERROR(VLOOKUP(tbLOG[[#This Row],[LOGIN]],tbMAPA[#All],2,0), "Não localizado")</f>
        <v>Renan Cazumba Tegani</v>
      </c>
      <c r="F1730" s="34" t="str">
        <f>IFERROR(VLOOKUP(tbLOG[[#This Row],[LOGIN]],tbMAPA[#All],3,0), "Não localizado")</f>
        <v>Reginaldo Santana De Souza</v>
      </c>
      <c r="G1730" s="3" t="s">
        <v>1211</v>
      </c>
      <c r="H1730" s="3" t="s">
        <v>836</v>
      </c>
    </row>
    <row r="1731" spans="1:8">
      <c r="A1731" s="29">
        <v>42746.529513888891</v>
      </c>
      <c r="B1731" s="29" t="str">
        <f>PROPER(TEXT(tbLOG[[#This Row],[DATA/HORA]],"mmmm"))</f>
        <v>Janeiro</v>
      </c>
      <c r="C1731" s="34" t="str">
        <f>PROPER(TEXT(tbLOG[[#This Row],[DATA/HORA]],"dddd"))</f>
        <v>Quarta-Feira</v>
      </c>
      <c r="D1731" s="3" t="s">
        <v>604</v>
      </c>
      <c r="E1731" s="34" t="str">
        <f>IFERROR(VLOOKUP(tbLOG[[#This Row],[LOGIN]],tbMAPA[#All],2,0), "Não localizado")</f>
        <v>Renan Cazumba Tegani</v>
      </c>
      <c r="F1731" s="34" t="str">
        <f>IFERROR(VLOOKUP(tbLOG[[#This Row],[LOGIN]],tbMAPA[#All],3,0), "Não localizado")</f>
        <v>Reginaldo Santana De Souza</v>
      </c>
      <c r="G1731" s="3" t="s">
        <v>1211</v>
      </c>
      <c r="H1731" s="3" t="s">
        <v>836</v>
      </c>
    </row>
    <row r="1732" spans="1:8">
      <c r="A1732" s="29">
        <v>42746.531423611108</v>
      </c>
      <c r="B1732" s="29" t="str">
        <f>PROPER(TEXT(tbLOG[[#This Row],[DATA/HORA]],"mmmm"))</f>
        <v>Janeiro</v>
      </c>
      <c r="C1732" s="34" t="str">
        <f>PROPER(TEXT(tbLOG[[#This Row],[DATA/HORA]],"dddd"))</f>
        <v>Quarta-Feira</v>
      </c>
      <c r="D1732" s="3" t="s">
        <v>604</v>
      </c>
      <c r="E1732" s="34" t="str">
        <f>IFERROR(VLOOKUP(tbLOG[[#This Row],[LOGIN]],tbMAPA[#All],2,0), "Não localizado")</f>
        <v>Renan Cazumba Tegani</v>
      </c>
      <c r="F1732" s="34" t="str">
        <f>IFERROR(VLOOKUP(tbLOG[[#This Row],[LOGIN]],tbMAPA[#All],3,0), "Não localizado")</f>
        <v>Reginaldo Santana De Souza</v>
      </c>
      <c r="G1732" s="3" t="s">
        <v>1211</v>
      </c>
      <c r="H1732" s="3" t="s">
        <v>836</v>
      </c>
    </row>
    <row r="1733" spans="1:8">
      <c r="A1733" s="29">
        <v>42746.531458333331</v>
      </c>
      <c r="B1733" s="29" t="str">
        <f>PROPER(TEXT(tbLOG[[#This Row],[DATA/HORA]],"mmmm"))</f>
        <v>Janeiro</v>
      </c>
      <c r="C1733" s="34" t="str">
        <f>PROPER(TEXT(tbLOG[[#This Row],[DATA/HORA]],"dddd"))</f>
        <v>Quarta-Feira</v>
      </c>
      <c r="D1733" s="3" t="s">
        <v>604</v>
      </c>
      <c r="E1733" s="34" t="str">
        <f>IFERROR(VLOOKUP(tbLOG[[#This Row],[LOGIN]],tbMAPA[#All],2,0), "Não localizado")</f>
        <v>Renan Cazumba Tegani</v>
      </c>
      <c r="F1733" s="34" t="str">
        <f>IFERROR(VLOOKUP(tbLOG[[#This Row],[LOGIN]],tbMAPA[#All],3,0), "Não localizado")</f>
        <v>Reginaldo Santana De Souza</v>
      </c>
      <c r="G1733" s="3" t="s">
        <v>1211</v>
      </c>
      <c r="H1733" s="3" t="s">
        <v>836</v>
      </c>
    </row>
    <row r="1734" spans="1:8">
      <c r="A1734" s="29">
        <v>42746.5315162037</v>
      </c>
      <c r="B1734" s="29" t="str">
        <f>PROPER(TEXT(tbLOG[[#This Row],[DATA/HORA]],"mmmm"))</f>
        <v>Janeiro</v>
      </c>
      <c r="C1734" s="34" t="str">
        <f>PROPER(TEXT(tbLOG[[#This Row],[DATA/HORA]],"dddd"))</f>
        <v>Quarta-Feira</v>
      </c>
      <c r="D1734" s="3" t="s">
        <v>604</v>
      </c>
      <c r="E1734" s="34" t="str">
        <f>IFERROR(VLOOKUP(tbLOG[[#This Row],[LOGIN]],tbMAPA[#All],2,0), "Não localizado")</f>
        <v>Renan Cazumba Tegani</v>
      </c>
      <c r="F1734" s="34" t="str">
        <f>IFERROR(VLOOKUP(tbLOG[[#This Row],[LOGIN]],tbMAPA[#All],3,0), "Não localizado")</f>
        <v>Reginaldo Santana De Souza</v>
      </c>
      <c r="G1734" s="3" t="s">
        <v>1211</v>
      </c>
      <c r="H1734" s="3" t="s">
        <v>836</v>
      </c>
    </row>
    <row r="1735" spans="1:8">
      <c r="A1735" s="29">
        <v>42746.531539351854</v>
      </c>
      <c r="B1735" s="29" t="str">
        <f>PROPER(TEXT(tbLOG[[#This Row],[DATA/HORA]],"mmmm"))</f>
        <v>Janeiro</v>
      </c>
      <c r="C1735" s="34" t="str">
        <f>PROPER(TEXT(tbLOG[[#This Row],[DATA/HORA]],"dddd"))</f>
        <v>Quarta-Feira</v>
      </c>
      <c r="D1735" s="3" t="s">
        <v>604</v>
      </c>
      <c r="E1735" s="34" t="str">
        <f>IFERROR(VLOOKUP(tbLOG[[#This Row],[LOGIN]],tbMAPA[#All],2,0), "Não localizado")</f>
        <v>Renan Cazumba Tegani</v>
      </c>
      <c r="F1735" s="34" t="str">
        <f>IFERROR(VLOOKUP(tbLOG[[#This Row],[LOGIN]],tbMAPA[#All],3,0), "Não localizado")</f>
        <v>Reginaldo Santana De Souza</v>
      </c>
      <c r="G1735" s="3" t="s">
        <v>1211</v>
      </c>
      <c r="H1735" s="3" t="s">
        <v>836</v>
      </c>
    </row>
    <row r="1736" spans="1:8">
      <c r="A1736" s="29">
        <v>42746.531724537039</v>
      </c>
      <c r="B1736" s="29" t="str">
        <f>PROPER(TEXT(tbLOG[[#This Row],[DATA/HORA]],"mmmm"))</f>
        <v>Janeiro</v>
      </c>
      <c r="C1736" s="34" t="str">
        <f>PROPER(TEXT(tbLOG[[#This Row],[DATA/HORA]],"dddd"))</f>
        <v>Quarta-Feira</v>
      </c>
      <c r="D1736" s="3" t="s">
        <v>604</v>
      </c>
      <c r="E1736" s="34" t="str">
        <f>IFERROR(VLOOKUP(tbLOG[[#This Row],[LOGIN]],tbMAPA[#All],2,0), "Não localizado")</f>
        <v>Renan Cazumba Tegani</v>
      </c>
      <c r="F1736" s="34" t="str">
        <f>IFERROR(VLOOKUP(tbLOG[[#This Row],[LOGIN]],tbMAPA[#All],3,0), "Não localizado")</f>
        <v>Reginaldo Santana De Souza</v>
      </c>
      <c r="G1736" s="3" t="s">
        <v>1211</v>
      </c>
      <c r="H1736" s="3" t="s">
        <v>290</v>
      </c>
    </row>
    <row r="1737" spans="1:8">
      <c r="A1737" s="29">
        <v>42746.532395833332</v>
      </c>
      <c r="B1737" s="29" t="str">
        <f>PROPER(TEXT(tbLOG[[#This Row],[DATA/HORA]],"mmmm"))</f>
        <v>Janeiro</v>
      </c>
      <c r="C1737" s="34" t="str">
        <f>PROPER(TEXT(tbLOG[[#This Row],[DATA/HORA]],"dddd"))</f>
        <v>Quarta-Feira</v>
      </c>
      <c r="D1737" s="3" t="s">
        <v>604</v>
      </c>
      <c r="E1737" s="34" t="str">
        <f>IFERROR(VLOOKUP(tbLOG[[#This Row],[LOGIN]],tbMAPA[#All],2,0), "Não localizado")</f>
        <v>Renan Cazumba Tegani</v>
      </c>
      <c r="F1737" s="34" t="str">
        <f>IFERROR(VLOOKUP(tbLOG[[#This Row],[LOGIN]],tbMAPA[#All],3,0), "Não localizado")</f>
        <v>Reginaldo Santana De Souza</v>
      </c>
      <c r="G1737" s="3" t="s">
        <v>1211</v>
      </c>
      <c r="H1737" s="3" t="s">
        <v>836</v>
      </c>
    </row>
    <row r="1738" spans="1:8">
      <c r="A1738" s="29">
        <v>42746.532418981478</v>
      </c>
      <c r="B1738" s="29" t="str">
        <f>PROPER(TEXT(tbLOG[[#This Row],[DATA/HORA]],"mmmm"))</f>
        <v>Janeiro</v>
      </c>
      <c r="C1738" s="34" t="str">
        <f>PROPER(TEXT(tbLOG[[#This Row],[DATA/HORA]],"dddd"))</f>
        <v>Quarta-Feira</v>
      </c>
      <c r="D1738" s="3" t="s">
        <v>604</v>
      </c>
      <c r="E1738" s="34" t="str">
        <f>IFERROR(VLOOKUP(tbLOG[[#This Row],[LOGIN]],tbMAPA[#All],2,0), "Não localizado")</f>
        <v>Renan Cazumba Tegani</v>
      </c>
      <c r="F1738" s="34" t="str">
        <f>IFERROR(VLOOKUP(tbLOG[[#This Row],[LOGIN]],tbMAPA[#All],3,0), "Não localizado")</f>
        <v>Reginaldo Santana De Souza</v>
      </c>
      <c r="G1738" s="3" t="s">
        <v>1211</v>
      </c>
      <c r="H1738" s="3" t="s">
        <v>836</v>
      </c>
    </row>
    <row r="1739" spans="1:8">
      <c r="A1739" s="29">
        <v>42746.532476851855</v>
      </c>
      <c r="B1739" s="29" t="str">
        <f>PROPER(TEXT(tbLOG[[#This Row],[DATA/HORA]],"mmmm"))</f>
        <v>Janeiro</v>
      </c>
      <c r="C1739" s="34" t="str">
        <f>PROPER(TEXT(tbLOG[[#This Row],[DATA/HORA]],"dddd"))</f>
        <v>Quarta-Feira</v>
      </c>
      <c r="D1739" s="3" t="s">
        <v>604</v>
      </c>
      <c r="E1739" s="34" t="str">
        <f>IFERROR(VLOOKUP(tbLOG[[#This Row],[LOGIN]],tbMAPA[#All],2,0), "Não localizado")</f>
        <v>Renan Cazumba Tegani</v>
      </c>
      <c r="F1739" s="34" t="str">
        <f>IFERROR(VLOOKUP(tbLOG[[#This Row],[LOGIN]],tbMAPA[#All],3,0), "Não localizado")</f>
        <v>Reginaldo Santana De Souza</v>
      </c>
      <c r="G1739" s="3" t="s">
        <v>1211</v>
      </c>
      <c r="H1739" s="3" t="s">
        <v>836</v>
      </c>
    </row>
    <row r="1740" spans="1:8">
      <c r="A1740" s="29">
        <v>42746.532500000001</v>
      </c>
      <c r="B1740" s="29" t="str">
        <f>PROPER(TEXT(tbLOG[[#This Row],[DATA/HORA]],"mmmm"))</f>
        <v>Janeiro</v>
      </c>
      <c r="C1740" s="34" t="str">
        <f>PROPER(TEXT(tbLOG[[#This Row],[DATA/HORA]],"dddd"))</f>
        <v>Quarta-Feira</v>
      </c>
      <c r="D1740" s="3" t="s">
        <v>604</v>
      </c>
      <c r="E1740" s="34" t="str">
        <f>IFERROR(VLOOKUP(tbLOG[[#This Row],[LOGIN]],tbMAPA[#All],2,0), "Não localizado")</f>
        <v>Renan Cazumba Tegani</v>
      </c>
      <c r="F1740" s="34" t="str">
        <f>IFERROR(VLOOKUP(tbLOG[[#This Row],[LOGIN]],tbMAPA[#All],3,0), "Não localizado")</f>
        <v>Reginaldo Santana De Souza</v>
      </c>
      <c r="G1740" s="3" t="s">
        <v>1211</v>
      </c>
      <c r="H1740" s="3" t="s">
        <v>836</v>
      </c>
    </row>
    <row r="1741" spans="1:8">
      <c r="A1741" s="29">
        <v>42746.538437499999</v>
      </c>
      <c r="B1741" s="29" t="str">
        <f>PROPER(TEXT(tbLOG[[#This Row],[DATA/HORA]],"mmmm"))</f>
        <v>Janeiro</v>
      </c>
      <c r="C1741" s="34" t="str">
        <f>PROPER(TEXT(tbLOG[[#This Row],[DATA/HORA]],"dddd"))</f>
        <v>Quarta-Feira</v>
      </c>
      <c r="D1741" s="3" t="s">
        <v>604</v>
      </c>
      <c r="E1741" s="34" t="str">
        <f>IFERROR(VLOOKUP(tbLOG[[#This Row],[LOGIN]],tbMAPA[#All],2,0), "Não localizado")</f>
        <v>Renan Cazumba Tegani</v>
      </c>
      <c r="F1741" s="34" t="str">
        <f>IFERROR(VLOOKUP(tbLOG[[#This Row],[LOGIN]],tbMAPA[#All],3,0), "Não localizado")</f>
        <v>Reginaldo Santana De Souza</v>
      </c>
      <c r="G1741" s="3" t="s">
        <v>1211</v>
      </c>
      <c r="H1741" s="3" t="s">
        <v>836</v>
      </c>
    </row>
    <row r="1742" spans="1:8">
      <c r="A1742" s="29">
        <v>42746.538483796299</v>
      </c>
      <c r="B1742" s="29" t="str">
        <f>PROPER(TEXT(tbLOG[[#This Row],[DATA/HORA]],"mmmm"))</f>
        <v>Janeiro</v>
      </c>
      <c r="C1742" s="34" t="str">
        <f>PROPER(TEXT(tbLOG[[#This Row],[DATA/HORA]],"dddd"))</f>
        <v>Quarta-Feira</v>
      </c>
      <c r="D1742" s="3" t="s">
        <v>604</v>
      </c>
      <c r="E1742" s="34" t="str">
        <f>IFERROR(VLOOKUP(tbLOG[[#This Row],[LOGIN]],tbMAPA[#All],2,0), "Não localizado")</f>
        <v>Renan Cazumba Tegani</v>
      </c>
      <c r="F1742" s="34" t="str">
        <f>IFERROR(VLOOKUP(tbLOG[[#This Row],[LOGIN]],tbMAPA[#All],3,0), "Não localizado")</f>
        <v>Reginaldo Santana De Souza</v>
      </c>
      <c r="G1742" s="3" t="s">
        <v>1211</v>
      </c>
      <c r="H1742" s="3" t="s">
        <v>836</v>
      </c>
    </row>
    <row r="1743" spans="1:8">
      <c r="A1743" s="29">
        <v>42746.538506944446</v>
      </c>
      <c r="B1743" s="29" t="str">
        <f>PROPER(TEXT(tbLOG[[#This Row],[DATA/HORA]],"mmmm"))</f>
        <v>Janeiro</v>
      </c>
      <c r="C1743" s="34" t="str">
        <f>PROPER(TEXT(tbLOG[[#This Row],[DATA/HORA]],"dddd"))</f>
        <v>Quarta-Feira</v>
      </c>
      <c r="D1743" s="3" t="s">
        <v>604</v>
      </c>
      <c r="E1743" s="34" t="str">
        <f>IFERROR(VLOOKUP(tbLOG[[#This Row],[LOGIN]],tbMAPA[#All],2,0), "Não localizado")</f>
        <v>Renan Cazumba Tegani</v>
      </c>
      <c r="F1743" s="34" t="str">
        <f>IFERROR(VLOOKUP(tbLOG[[#This Row],[LOGIN]],tbMAPA[#All],3,0), "Não localizado")</f>
        <v>Reginaldo Santana De Souza</v>
      </c>
      <c r="G1743" s="3" t="s">
        <v>1211</v>
      </c>
      <c r="H1743" s="3" t="s">
        <v>836</v>
      </c>
    </row>
    <row r="1744" spans="1:8">
      <c r="A1744" s="29">
        <v>42746.538564814815</v>
      </c>
      <c r="B1744" s="29" t="str">
        <f>PROPER(TEXT(tbLOG[[#This Row],[DATA/HORA]],"mmmm"))</f>
        <v>Janeiro</v>
      </c>
      <c r="C1744" s="34" t="str">
        <f>PROPER(TEXT(tbLOG[[#This Row],[DATA/HORA]],"dddd"))</f>
        <v>Quarta-Feira</v>
      </c>
      <c r="D1744" s="3" t="s">
        <v>604</v>
      </c>
      <c r="E1744" s="34" t="str">
        <f>IFERROR(VLOOKUP(tbLOG[[#This Row],[LOGIN]],tbMAPA[#All],2,0), "Não localizado")</f>
        <v>Renan Cazumba Tegani</v>
      </c>
      <c r="F1744" s="34" t="str">
        <f>IFERROR(VLOOKUP(tbLOG[[#This Row],[LOGIN]],tbMAPA[#All],3,0), "Não localizado")</f>
        <v>Reginaldo Santana De Souza</v>
      </c>
      <c r="G1744" s="3" t="s">
        <v>1211</v>
      </c>
      <c r="H1744" s="3" t="s">
        <v>836</v>
      </c>
    </row>
    <row r="1745" spans="1:8">
      <c r="A1745" s="29">
        <v>42746.538587962961</v>
      </c>
      <c r="B1745" s="29" t="str">
        <f>PROPER(TEXT(tbLOG[[#This Row],[DATA/HORA]],"mmmm"))</f>
        <v>Janeiro</v>
      </c>
      <c r="C1745" s="34" t="str">
        <f>PROPER(TEXT(tbLOG[[#This Row],[DATA/HORA]],"dddd"))</f>
        <v>Quarta-Feira</v>
      </c>
      <c r="D1745" s="3" t="s">
        <v>604</v>
      </c>
      <c r="E1745" s="34" t="str">
        <f>IFERROR(VLOOKUP(tbLOG[[#This Row],[LOGIN]],tbMAPA[#All],2,0), "Não localizado")</f>
        <v>Renan Cazumba Tegani</v>
      </c>
      <c r="F1745" s="34" t="str">
        <f>IFERROR(VLOOKUP(tbLOG[[#This Row],[LOGIN]],tbMAPA[#All],3,0), "Não localizado")</f>
        <v>Reginaldo Santana De Souza</v>
      </c>
      <c r="G1745" s="3" t="s">
        <v>1211</v>
      </c>
      <c r="H1745" s="3" t="s">
        <v>836</v>
      </c>
    </row>
    <row r="1746" spans="1:8">
      <c r="A1746" s="29">
        <v>42746.538611111115</v>
      </c>
      <c r="B1746" s="29" t="str">
        <f>PROPER(TEXT(tbLOG[[#This Row],[DATA/HORA]],"mmmm"))</f>
        <v>Janeiro</v>
      </c>
      <c r="C1746" s="34" t="str">
        <f>PROPER(TEXT(tbLOG[[#This Row],[DATA/HORA]],"dddd"))</f>
        <v>Quarta-Feira</v>
      </c>
      <c r="D1746" s="3" t="s">
        <v>604</v>
      </c>
      <c r="E1746" s="34" t="str">
        <f>IFERROR(VLOOKUP(tbLOG[[#This Row],[LOGIN]],tbMAPA[#All],2,0), "Não localizado")</f>
        <v>Renan Cazumba Tegani</v>
      </c>
      <c r="F1746" s="34" t="str">
        <f>IFERROR(VLOOKUP(tbLOG[[#This Row],[LOGIN]],tbMAPA[#All],3,0), "Não localizado")</f>
        <v>Reginaldo Santana De Souza</v>
      </c>
      <c r="G1746" s="3" t="s">
        <v>1211</v>
      </c>
      <c r="H1746" s="3" t="s">
        <v>836</v>
      </c>
    </row>
    <row r="1747" spans="1:8">
      <c r="A1747" s="29">
        <v>42746.540960648148</v>
      </c>
      <c r="B1747" s="29" t="str">
        <f>PROPER(TEXT(tbLOG[[#This Row],[DATA/HORA]],"mmmm"))</f>
        <v>Janeiro</v>
      </c>
      <c r="C1747" s="34" t="str">
        <f>PROPER(TEXT(tbLOG[[#This Row],[DATA/HORA]],"dddd"))</f>
        <v>Quarta-Feira</v>
      </c>
      <c r="D1747" s="3" t="s">
        <v>604</v>
      </c>
      <c r="E1747" s="34" t="str">
        <f>IFERROR(VLOOKUP(tbLOG[[#This Row],[LOGIN]],tbMAPA[#All],2,0), "Não localizado")</f>
        <v>Renan Cazumba Tegani</v>
      </c>
      <c r="F1747" s="34" t="str">
        <f>IFERROR(VLOOKUP(tbLOG[[#This Row],[LOGIN]],tbMAPA[#All],3,0), "Não localizado")</f>
        <v>Reginaldo Santana De Souza</v>
      </c>
      <c r="G1747" s="3" t="s">
        <v>1211</v>
      </c>
      <c r="H1747" s="3" t="s">
        <v>836</v>
      </c>
    </row>
    <row r="1748" spans="1:8">
      <c r="A1748" s="29">
        <v>42746.540972222225</v>
      </c>
      <c r="B1748" s="29" t="str">
        <f>PROPER(TEXT(tbLOG[[#This Row],[DATA/HORA]],"mmmm"))</f>
        <v>Janeiro</v>
      </c>
      <c r="C1748" s="34" t="str">
        <f>PROPER(TEXT(tbLOG[[#This Row],[DATA/HORA]],"dddd"))</f>
        <v>Quarta-Feira</v>
      </c>
      <c r="D1748" s="3" t="s">
        <v>604</v>
      </c>
      <c r="E1748" s="34" t="str">
        <f>IFERROR(VLOOKUP(tbLOG[[#This Row],[LOGIN]],tbMAPA[#All],2,0), "Não localizado")</f>
        <v>Renan Cazumba Tegani</v>
      </c>
      <c r="F1748" s="34" t="str">
        <f>IFERROR(VLOOKUP(tbLOG[[#This Row],[LOGIN]],tbMAPA[#All],3,0), "Não localizado")</f>
        <v>Reginaldo Santana De Souza</v>
      </c>
      <c r="G1748" s="3" t="s">
        <v>1211</v>
      </c>
      <c r="H1748" s="3" t="s">
        <v>836</v>
      </c>
    </row>
    <row r="1749" spans="1:8">
      <c r="A1749" s="29">
        <v>42746.541006944448</v>
      </c>
      <c r="B1749" s="29" t="str">
        <f>PROPER(TEXT(tbLOG[[#This Row],[DATA/HORA]],"mmmm"))</f>
        <v>Janeiro</v>
      </c>
      <c r="C1749" s="34" t="str">
        <f>PROPER(TEXT(tbLOG[[#This Row],[DATA/HORA]],"dddd"))</f>
        <v>Quarta-Feira</v>
      </c>
      <c r="D1749" s="3" t="s">
        <v>604</v>
      </c>
      <c r="E1749" s="34" t="str">
        <f>IFERROR(VLOOKUP(tbLOG[[#This Row],[LOGIN]],tbMAPA[#All],2,0), "Não localizado")</f>
        <v>Renan Cazumba Tegani</v>
      </c>
      <c r="F1749" s="34" t="str">
        <f>IFERROR(VLOOKUP(tbLOG[[#This Row],[LOGIN]],tbMAPA[#All],3,0), "Não localizado")</f>
        <v>Reginaldo Santana De Souza</v>
      </c>
      <c r="G1749" s="3" t="s">
        <v>1211</v>
      </c>
      <c r="H1749" s="3" t="s">
        <v>836</v>
      </c>
    </row>
    <row r="1750" spans="1:8">
      <c r="A1750" s="29">
        <v>42746.541863425926</v>
      </c>
      <c r="B1750" s="29" t="str">
        <f>PROPER(TEXT(tbLOG[[#This Row],[DATA/HORA]],"mmmm"))</f>
        <v>Janeiro</v>
      </c>
      <c r="C1750" s="34" t="str">
        <f>PROPER(TEXT(tbLOG[[#This Row],[DATA/HORA]],"dddd"))</f>
        <v>Quarta-Feira</v>
      </c>
      <c r="D1750" s="3" t="s">
        <v>604</v>
      </c>
      <c r="E1750" s="34" t="str">
        <f>IFERROR(VLOOKUP(tbLOG[[#This Row],[LOGIN]],tbMAPA[#All],2,0), "Não localizado")</f>
        <v>Renan Cazumba Tegani</v>
      </c>
      <c r="F1750" s="34" t="str">
        <f>IFERROR(VLOOKUP(tbLOG[[#This Row],[LOGIN]],tbMAPA[#All],3,0), "Não localizado")</f>
        <v>Reginaldo Santana De Souza</v>
      </c>
      <c r="G1750" s="3" t="s">
        <v>1211</v>
      </c>
      <c r="H1750" s="3" t="s">
        <v>836</v>
      </c>
    </row>
    <row r="1751" spans="1:8">
      <c r="A1751" s="29">
        <v>42746.541886574072</v>
      </c>
      <c r="B1751" s="29" t="str">
        <f>PROPER(TEXT(tbLOG[[#This Row],[DATA/HORA]],"mmmm"))</f>
        <v>Janeiro</v>
      </c>
      <c r="C1751" s="34" t="str">
        <f>PROPER(TEXT(tbLOG[[#This Row],[DATA/HORA]],"dddd"))</f>
        <v>Quarta-Feira</v>
      </c>
      <c r="D1751" s="3" t="s">
        <v>604</v>
      </c>
      <c r="E1751" s="34" t="str">
        <f>IFERROR(VLOOKUP(tbLOG[[#This Row],[LOGIN]],tbMAPA[#All],2,0), "Não localizado")</f>
        <v>Renan Cazumba Tegani</v>
      </c>
      <c r="F1751" s="34" t="str">
        <f>IFERROR(VLOOKUP(tbLOG[[#This Row],[LOGIN]],tbMAPA[#All],3,0), "Não localizado")</f>
        <v>Reginaldo Santana De Souza</v>
      </c>
      <c r="G1751" s="3" t="s">
        <v>1211</v>
      </c>
      <c r="H1751" s="3" t="s">
        <v>836</v>
      </c>
    </row>
    <row r="1752" spans="1:8">
      <c r="A1752" s="29">
        <v>42746.605208333334</v>
      </c>
      <c r="B1752" s="29" t="str">
        <f>PROPER(TEXT(tbLOG[[#This Row],[DATA/HORA]],"mmmm"))</f>
        <v>Janeiro</v>
      </c>
      <c r="C1752" s="34" t="str">
        <f>PROPER(TEXT(tbLOG[[#This Row],[DATA/HORA]],"dddd"))</f>
        <v>Quarta-Feira</v>
      </c>
      <c r="D1752" s="3" t="s">
        <v>604</v>
      </c>
      <c r="E1752" s="34" t="str">
        <f>IFERROR(VLOOKUP(tbLOG[[#This Row],[LOGIN]],tbMAPA[#All],2,0), "Não localizado")</f>
        <v>Renan Cazumba Tegani</v>
      </c>
      <c r="F1752" s="34" t="str">
        <f>IFERROR(VLOOKUP(tbLOG[[#This Row],[LOGIN]],tbMAPA[#All],3,0), "Não localizado")</f>
        <v>Reginaldo Santana De Souza</v>
      </c>
      <c r="G1752" s="3" t="s">
        <v>1211</v>
      </c>
      <c r="H1752" s="3" t="s">
        <v>290</v>
      </c>
    </row>
    <row r="1753" spans="1:8">
      <c r="A1753" s="29">
        <v>42746.663252314815</v>
      </c>
      <c r="B1753" s="29" t="str">
        <f>PROPER(TEXT(tbLOG[[#This Row],[DATA/HORA]],"mmmm"))</f>
        <v>Janeiro</v>
      </c>
      <c r="C1753" s="34" t="str">
        <f>PROPER(TEXT(tbLOG[[#This Row],[DATA/HORA]],"dddd"))</f>
        <v>Quarta-Feira</v>
      </c>
      <c r="D1753" s="3" t="s">
        <v>604</v>
      </c>
      <c r="E1753" s="34" t="str">
        <f>IFERROR(VLOOKUP(tbLOG[[#This Row],[LOGIN]],tbMAPA[#All],2,0), "Não localizado")</f>
        <v>Renan Cazumba Tegani</v>
      </c>
      <c r="F1753" s="34" t="str">
        <f>IFERROR(VLOOKUP(tbLOG[[#This Row],[LOGIN]],tbMAPA[#All],3,0), "Não localizado")</f>
        <v>Reginaldo Santana De Souza</v>
      </c>
      <c r="G1753" s="3" t="s">
        <v>1211</v>
      </c>
      <c r="H1753" s="3" t="s">
        <v>290</v>
      </c>
    </row>
    <row r="1754" spans="1:8">
      <c r="A1754" s="29">
        <v>42746.737210648149</v>
      </c>
      <c r="B1754" s="29" t="str">
        <f>PROPER(TEXT(tbLOG[[#This Row],[DATA/HORA]],"mmmm"))</f>
        <v>Janeiro</v>
      </c>
      <c r="C1754" s="34" t="str">
        <f>PROPER(TEXT(tbLOG[[#This Row],[DATA/HORA]],"dddd"))</f>
        <v>Quarta-Feira</v>
      </c>
      <c r="D1754" s="3" t="s">
        <v>604</v>
      </c>
      <c r="E1754" s="34" t="str">
        <f>IFERROR(VLOOKUP(tbLOG[[#This Row],[LOGIN]],tbMAPA[#All],2,0), "Não localizado")</f>
        <v>Renan Cazumba Tegani</v>
      </c>
      <c r="F1754" s="34" t="str">
        <f>IFERROR(VLOOKUP(tbLOG[[#This Row],[LOGIN]],tbMAPA[#All],3,0), "Não localizado")</f>
        <v>Reginaldo Santana De Souza</v>
      </c>
      <c r="G1754" s="3" t="s">
        <v>1211</v>
      </c>
      <c r="H1754" s="3" t="s">
        <v>290</v>
      </c>
    </row>
    <row r="1755" spans="1:8">
      <c r="A1755" s="29">
        <v>42746.758900462963</v>
      </c>
      <c r="B1755" s="29" t="str">
        <f>PROPER(TEXT(tbLOG[[#This Row],[DATA/HORA]],"mmmm"))</f>
        <v>Janeiro</v>
      </c>
      <c r="C1755" s="34" t="str">
        <f>PROPER(TEXT(tbLOG[[#This Row],[DATA/HORA]],"dddd"))</f>
        <v>Quarta-Feira</v>
      </c>
      <c r="D1755" s="3" t="s">
        <v>604</v>
      </c>
      <c r="E1755" s="34" t="str">
        <f>IFERROR(VLOOKUP(tbLOG[[#This Row],[LOGIN]],tbMAPA[#All],2,0), "Não localizado")</f>
        <v>Renan Cazumba Tegani</v>
      </c>
      <c r="F1755" s="34" t="str">
        <f>IFERROR(VLOOKUP(tbLOG[[#This Row],[LOGIN]],tbMAPA[#All],3,0), "Não localizado")</f>
        <v>Reginaldo Santana De Souza</v>
      </c>
      <c r="G1755" s="3" t="s">
        <v>1211</v>
      </c>
      <c r="H1755" s="3" t="s">
        <v>291</v>
      </c>
    </row>
    <row r="1756" spans="1:8">
      <c r="A1756" s="29">
        <v>42746.758900462963</v>
      </c>
      <c r="B1756" s="29" t="str">
        <f>PROPER(TEXT(tbLOG[[#This Row],[DATA/HORA]],"mmmm"))</f>
        <v>Janeiro</v>
      </c>
      <c r="C1756" s="34" t="str">
        <f>PROPER(TEXT(tbLOG[[#This Row],[DATA/HORA]],"dddd"))</f>
        <v>Quarta-Feira</v>
      </c>
      <c r="D1756" s="3" t="s">
        <v>604</v>
      </c>
      <c r="E1756" s="34" t="str">
        <f>IFERROR(VLOOKUP(tbLOG[[#This Row],[LOGIN]],tbMAPA[#All],2,0), "Não localizado")</f>
        <v>Renan Cazumba Tegani</v>
      </c>
      <c r="F1756" s="34" t="str">
        <f>IFERROR(VLOOKUP(tbLOG[[#This Row],[LOGIN]],tbMAPA[#All],3,0), "Não localizado")</f>
        <v>Reginaldo Santana De Souza</v>
      </c>
      <c r="G1756" s="3" t="s">
        <v>1211</v>
      </c>
      <c r="H1756" s="3" t="s">
        <v>290</v>
      </c>
    </row>
    <row r="1757" spans="1:8">
      <c r="A1757" s="29">
        <v>42746.825196759259</v>
      </c>
      <c r="B1757" s="29" t="str">
        <f>PROPER(TEXT(tbLOG[[#This Row],[DATA/HORA]],"mmmm"))</f>
        <v>Janeiro</v>
      </c>
      <c r="C1757" s="34" t="str">
        <f>PROPER(TEXT(tbLOG[[#This Row],[DATA/HORA]],"dddd"))</f>
        <v>Quarta-Feira</v>
      </c>
      <c r="D1757" s="3" t="s">
        <v>324</v>
      </c>
      <c r="E1757" s="34" t="str">
        <f>IFERROR(VLOOKUP(tbLOG[[#This Row],[LOGIN]],tbMAPA[#All],2,0), "Não localizado")</f>
        <v>Caio Eiji Arai</v>
      </c>
      <c r="F1757" s="34" t="str">
        <f>IFERROR(VLOOKUP(tbLOG[[#This Row],[LOGIN]],tbMAPA[#All],3,0), "Não localizado")</f>
        <v>Vinicius Loula De Sousa</v>
      </c>
      <c r="G1757" s="3" t="s">
        <v>999</v>
      </c>
      <c r="H1757" s="3" t="s">
        <v>2470</v>
      </c>
    </row>
    <row r="1758" spans="1:8">
      <c r="A1758" s="29">
        <v>42746.825196759259</v>
      </c>
      <c r="B1758" s="29" t="str">
        <f>PROPER(TEXT(tbLOG[[#This Row],[DATA/HORA]],"mmmm"))</f>
        <v>Janeiro</v>
      </c>
      <c r="C1758" s="34" t="str">
        <f>PROPER(TEXT(tbLOG[[#This Row],[DATA/HORA]],"dddd"))</f>
        <v>Quarta-Feira</v>
      </c>
      <c r="D1758" s="3" t="s">
        <v>324</v>
      </c>
      <c r="E1758" s="34" t="str">
        <f>IFERROR(VLOOKUP(tbLOG[[#This Row],[LOGIN]],tbMAPA[#All],2,0), "Não localizado")</f>
        <v>Caio Eiji Arai</v>
      </c>
      <c r="F1758" s="34" t="str">
        <f>IFERROR(VLOOKUP(tbLOG[[#This Row],[LOGIN]],tbMAPA[#All],3,0), "Não localizado")</f>
        <v>Vinicius Loula De Sousa</v>
      </c>
      <c r="G1758" s="3" t="s">
        <v>999</v>
      </c>
      <c r="H1758" s="3" t="s">
        <v>290</v>
      </c>
    </row>
    <row r="1759" spans="1:8">
      <c r="A1759" s="29">
        <v>42746.83320601852</v>
      </c>
      <c r="B1759" s="29" t="str">
        <f>PROPER(TEXT(tbLOG[[#This Row],[DATA/HORA]],"mmmm"))</f>
        <v>Janeiro</v>
      </c>
      <c r="C1759" s="34" t="str">
        <f>PROPER(TEXT(tbLOG[[#This Row],[DATA/HORA]],"dddd"))</f>
        <v>Quarta-Feira</v>
      </c>
      <c r="D1759" s="3" t="s">
        <v>801</v>
      </c>
      <c r="E1759" s="34" t="str">
        <f>IFERROR(VLOOKUP(tbLOG[[#This Row],[LOGIN]],tbMAPA[#All],2,0), "Não localizado")</f>
        <v>Vinicius Loula De Sousa</v>
      </c>
      <c r="F1759" s="34" t="str">
        <f>IFERROR(VLOOKUP(tbLOG[[#This Row],[LOGIN]],tbMAPA[#All],3,0), "Não localizado")</f>
        <v>Daniela Andrade Silva</v>
      </c>
      <c r="G1759" s="3" t="s">
        <v>2157</v>
      </c>
      <c r="H1759" s="3" t="s">
        <v>291</v>
      </c>
    </row>
    <row r="1760" spans="1:8">
      <c r="A1760" s="29">
        <v>42746.83320601852</v>
      </c>
      <c r="B1760" s="29" t="str">
        <f>PROPER(TEXT(tbLOG[[#This Row],[DATA/HORA]],"mmmm"))</f>
        <v>Janeiro</v>
      </c>
      <c r="C1760" s="34" t="str">
        <f>PROPER(TEXT(tbLOG[[#This Row],[DATA/HORA]],"dddd"))</f>
        <v>Quarta-Feira</v>
      </c>
      <c r="D1760" s="3" t="s">
        <v>801</v>
      </c>
      <c r="E1760" s="34" t="str">
        <f>IFERROR(VLOOKUP(tbLOG[[#This Row],[LOGIN]],tbMAPA[#All],2,0), "Não localizado")</f>
        <v>Vinicius Loula De Sousa</v>
      </c>
      <c r="F1760" s="34" t="str">
        <f>IFERROR(VLOOKUP(tbLOG[[#This Row],[LOGIN]],tbMAPA[#All],3,0), "Não localizado")</f>
        <v>Daniela Andrade Silva</v>
      </c>
      <c r="G1760" s="3" t="s">
        <v>2157</v>
      </c>
      <c r="H1760" s="3" t="s">
        <v>290</v>
      </c>
    </row>
    <row r="1761" spans="1:8">
      <c r="A1761" s="29">
        <v>42746.833622685182</v>
      </c>
      <c r="B1761" s="29" t="str">
        <f>PROPER(TEXT(tbLOG[[#This Row],[DATA/HORA]],"mmmm"))</f>
        <v>Janeiro</v>
      </c>
      <c r="C1761" s="34" t="str">
        <f>PROPER(TEXT(tbLOG[[#This Row],[DATA/HORA]],"dddd"))</f>
        <v>Quarta-Feira</v>
      </c>
      <c r="D1761" s="3" t="s">
        <v>324</v>
      </c>
      <c r="E1761" s="34" t="str">
        <f>IFERROR(VLOOKUP(tbLOG[[#This Row],[LOGIN]],tbMAPA[#All],2,0), "Não localizado")</f>
        <v>Caio Eiji Arai</v>
      </c>
      <c r="F1761" s="34" t="str">
        <f>IFERROR(VLOOKUP(tbLOG[[#This Row],[LOGIN]],tbMAPA[#All],3,0), "Não localizado")</f>
        <v>Vinicius Loula De Sousa</v>
      </c>
      <c r="G1761" s="3" t="s">
        <v>999</v>
      </c>
      <c r="H1761" s="3" t="s">
        <v>2470</v>
      </c>
    </row>
    <row r="1762" spans="1:8">
      <c r="A1762" s="29">
        <v>42746.833622685182</v>
      </c>
      <c r="B1762" s="29" t="str">
        <f>PROPER(TEXT(tbLOG[[#This Row],[DATA/HORA]],"mmmm"))</f>
        <v>Janeiro</v>
      </c>
      <c r="C1762" s="34" t="str">
        <f>PROPER(TEXT(tbLOG[[#This Row],[DATA/HORA]],"dddd"))</f>
        <v>Quarta-Feira</v>
      </c>
      <c r="D1762" s="3" t="s">
        <v>324</v>
      </c>
      <c r="E1762" s="34" t="str">
        <f>IFERROR(VLOOKUP(tbLOG[[#This Row],[LOGIN]],tbMAPA[#All],2,0), "Não localizado")</f>
        <v>Caio Eiji Arai</v>
      </c>
      <c r="F1762" s="34" t="str">
        <f>IFERROR(VLOOKUP(tbLOG[[#This Row],[LOGIN]],tbMAPA[#All],3,0), "Não localizado")</f>
        <v>Vinicius Loula De Sousa</v>
      </c>
      <c r="G1762" s="3" t="s">
        <v>999</v>
      </c>
      <c r="H1762" s="3" t="s">
        <v>290</v>
      </c>
    </row>
    <row r="1763" spans="1:8">
      <c r="A1763" s="29">
        <v>42747.394386574073</v>
      </c>
      <c r="B1763" s="29" t="str">
        <f>PROPER(TEXT(tbLOG[[#This Row],[DATA/HORA]],"mmmm"))</f>
        <v>Janeiro</v>
      </c>
      <c r="C1763" s="34" t="str">
        <f>PROPER(TEXT(tbLOG[[#This Row],[DATA/HORA]],"dddd"))</f>
        <v>Quinta-Feira</v>
      </c>
      <c r="D1763" s="3" t="s">
        <v>300</v>
      </c>
      <c r="E1763" s="34" t="str">
        <f>IFERROR(VLOOKUP(tbLOG[[#This Row],[LOGIN]],tbMAPA[#All],2,0), "Não localizado")</f>
        <v>Jefte Soares Da Silva</v>
      </c>
      <c r="F1763" s="34" t="str">
        <f>IFERROR(VLOOKUP(tbLOG[[#This Row],[LOGIN]],tbMAPA[#All],3,0), "Não localizado")</f>
        <v>Daniela Andrade Silva</v>
      </c>
      <c r="G1763" s="3" t="s">
        <v>1000</v>
      </c>
      <c r="H1763" s="3" t="s">
        <v>994</v>
      </c>
    </row>
    <row r="1764" spans="1:8">
      <c r="A1764" s="29">
        <v>42747.394965277781</v>
      </c>
      <c r="B1764" s="29" t="str">
        <f>PROPER(TEXT(tbLOG[[#This Row],[DATA/HORA]],"mmmm"))</f>
        <v>Janeiro</v>
      </c>
      <c r="C1764" s="34" t="str">
        <f>PROPER(TEXT(tbLOG[[#This Row],[DATA/HORA]],"dddd"))</f>
        <v>Quinta-Feira</v>
      </c>
      <c r="D1764" s="3" t="s">
        <v>300</v>
      </c>
      <c r="E1764" s="34" t="str">
        <f>IFERROR(VLOOKUP(tbLOG[[#This Row],[LOGIN]],tbMAPA[#All],2,0), "Não localizado")</f>
        <v>Jefte Soares Da Silva</v>
      </c>
      <c r="F1764" s="34" t="str">
        <f>IFERROR(VLOOKUP(tbLOG[[#This Row],[LOGIN]],tbMAPA[#All],3,0), "Não localizado")</f>
        <v>Daniela Andrade Silva</v>
      </c>
      <c r="G1764" s="3" t="s">
        <v>1000</v>
      </c>
      <c r="H1764" s="3" t="s">
        <v>315</v>
      </c>
    </row>
    <row r="1765" spans="1:8">
      <c r="A1765" s="29">
        <v>42747.395138888889</v>
      </c>
      <c r="B1765" s="29" t="str">
        <f>PROPER(TEXT(tbLOG[[#This Row],[DATA/HORA]],"mmmm"))</f>
        <v>Janeiro</v>
      </c>
      <c r="C1765" s="34" t="str">
        <f>PROPER(TEXT(tbLOG[[#This Row],[DATA/HORA]],"dddd"))</f>
        <v>Quinta-Feira</v>
      </c>
      <c r="D1765" s="3" t="s">
        <v>300</v>
      </c>
      <c r="E1765" s="34" t="str">
        <f>IFERROR(VLOOKUP(tbLOG[[#This Row],[LOGIN]],tbMAPA[#All],2,0), "Não localizado")</f>
        <v>Jefte Soares Da Silva</v>
      </c>
      <c r="F1765" s="34" t="str">
        <f>IFERROR(VLOOKUP(tbLOG[[#This Row],[LOGIN]],tbMAPA[#All],3,0), "Não localizado")</f>
        <v>Daniela Andrade Silva</v>
      </c>
      <c r="G1765" s="3" t="s">
        <v>1000</v>
      </c>
      <c r="H1765" s="3" t="s">
        <v>292</v>
      </c>
    </row>
    <row r="1766" spans="1:8">
      <c r="A1766" s="29">
        <v>42747.395150462966</v>
      </c>
      <c r="B1766" s="29" t="str">
        <f>PROPER(TEXT(tbLOG[[#This Row],[DATA/HORA]],"mmmm"))</f>
        <v>Janeiro</v>
      </c>
      <c r="C1766" s="34" t="str">
        <f>PROPER(TEXT(tbLOG[[#This Row],[DATA/HORA]],"dddd"))</f>
        <v>Quinta-Feira</v>
      </c>
      <c r="D1766" s="3" t="s">
        <v>300</v>
      </c>
      <c r="E1766" s="34" t="str">
        <f>IFERROR(VLOOKUP(tbLOG[[#This Row],[LOGIN]],tbMAPA[#All],2,0), "Não localizado")</f>
        <v>Jefte Soares Da Silva</v>
      </c>
      <c r="F1766" s="34" t="str">
        <f>IFERROR(VLOOKUP(tbLOG[[#This Row],[LOGIN]],tbMAPA[#All],3,0), "Não localizado")</f>
        <v>Daniela Andrade Silva</v>
      </c>
      <c r="G1766" s="3" t="s">
        <v>1000</v>
      </c>
      <c r="H1766" s="3" t="s">
        <v>292</v>
      </c>
    </row>
    <row r="1767" spans="1:8">
      <c r="A1767" s="29">
        <v>42747.395162037035</v>
      </c>
      <c r="B1767" s="29" t="str">
        <f>PROPER(TEXT(tbLOG[[#This Row],[DATA/HORA]],"mmmm"))</f>
        <v>Janeiro</v>
      </c>
      <c r="C1767" s="34" t="str">
        <f>PROPER(TEXT(tbLOG[[#This Row],[DATA/HORA]],"dddd"))</f>
        <v>Quinta-Feira</v>
      </c>
      <c r="D1767" s="3" t="s">
        <v>300</v>
      </c>
      <c r="E1767" s="34" t="str">
        <f>IFERROR(VLOOKUP(tbLOG[[#This Row],[LOGIN]],tbMAPA[#All],2,0), "Não localizado")</f>
        <v>Jefte Soares Da Silva</v>
      </c>
      <c r="F1767" s="34" t="str">
        <f>IFERROR(VLOOKUP(tbLOG[[#This Row],[LOGIN]],tbMAPA[#All],3,0), "Não localizado")</f>
        <v>Daniela Andrade Silva</v>
      </c>
      <c r="G1767" s="3" t="s">
        <v>1000</v>
      </c>
      <c r="H1767" s="3" t="s">
        <v>317</v>
      </c>
    </row>
    <row r="1768" spans="1:8">
      <c r="A1768" s="29">
        <v>42747.396747685183</v>
      </c>
      <c r="B1768" s="29" t="str">
        <f>PROPER(TEXT(tbLOG[[#This Row],[DATA/HORA]],"mmmm"))</f>
        <v>Janeiro</v>
      </c>
      <c r="C1768" s="34" t="str">
        <f>PROPER(TEXT(tbLOG[[#This Row],[DATA/HORA]],"dddd"))</f>
        <v>Quinta-Feira</v>
      </c>
      <c r="D1768" s="3" t="s">
        <v>300</v>
      </c>
      <c r="E1768" s="34" t="str">
        <f>IFERROR(VLOOKUP(tbLOG[[#This Row],[LOGIN]],tbMAPA[#All],2,0), "Não localizado")</f>
        <v>Jefte Soares Da Silva</v>
      </c>
      <c r="F1768" s="34" t="str">
        <f>IFERROR(VLOOKUP(tbLOG[[#This Row],[LOGIN]],tbMAPA[#All],3,0), "Não localizado")</f>
        <v>Daniela Andrade Silva</v>
      </c>
      <c r="G1768" s="3" t="s">
        <v>1000</v>
      </c>
      <c r="H1768" s="3" t="s">
        <v>835</v>
      </c>
    </row>
    <row r="1769" spans="1:8">
      <c r="A1769" s="29">
        <v>42747.397418981483</v>
      </c>
      <c r="B1769" s="29" t="str">
        <f>PROPER(TEXT(tbLOG[[#This Row],[DATA/HORA]],"mmmm"))</f>
        <v>Janeiro</v>
      </c>
      <c r="C1769" s="34" t="str">
        <f>PROPER(TEXT(tbLOG[[#This Row],[DATA/HORA]],"dddd"))</f>
        <v>Quinta-Feira</v>
      </c>
      <c r="D1769" s="3" t="s">
        <v>300</v>
      </c>
      <c r="E1769" s="34" t="str">
        <f>IFERROR(VLOOKUP(tbLOG[[#This Row],[LOGIN]],tbMAPA[#All],2,0), "Não localizado")</f>
        <v>Jefte Soares Da Silva</v>
      </c>
      <c r="F1769" s="34" t="str">
        <f>IFERROR(VLOOKUP(tbLOG[[#This Row],[LOGIN]],tbMAPA[#All],3,0), "Não localizado")</f>
        <v>Daniela Andrade Silva</v>
      </c>
      <c r="G1769" s="3" t="s">
        <v>1000</v>
      </c>
      <c r="H1769" s="3" t="s">
        <v>836</v>
      </c>
    </row>
    <row r="1770" spans="1:8">
      <c r="A1770" s="29">
        <v>42747.398900462962</v>
      </c>
      <c r="B1770" s="29" t="str">
        <f>PROPER(TEXT(tbLOG[[#This Row],[DATA/HORA]],"mmmm"))</f>
        <v>Janeiro</v>
      </c>
      <c r="C1770" s="34" t="str">
        <f>PROPER(TEXT(tbLOG[[#This Row],[DATA/HORA]],"dddd"))</f>
        <v>Quinta-Feira</v>
      </c>
      <c r="D1770" s="3" t="s">
        <v>300</v>
      </c>
      <c r="E1770" s="34" t="str">
        <f>IFERROR(VLOOKUP(tbLOG[[#This Row],[LOGIN]],tbMAPA[#All],2,0), "Não localizado")</f>
        <v>Jefte Soares Da Silva</v>
      </c>
      <c r="F1770" s="34" t="str">
        <f>IFERROR(VLOOKUP(tbLOG[[#This Row],[LOGIN]],tbMAPA[#All],3,0), "Não localizado")</f>
        <v>Daniela Andrade Silva</v>
      </c>
      <c r="G1770" s="3" t="s">
        <v>1000</v>
      </c>
      <c r="H1770" s="3" t="s">
        <v>836</v>
      </c>
    </row>
    <row r="1771" spans="1:8">
      <c r="A1771" s="29">
        <v>42747.402951388889</v>
      </c>
      <c r="B1771" s="29" t="str">
        <f>PROPER(TEXT(tbLOG[[#This Row],[DATA/HORA]],"mmmm"))</f>
        <v>Janeiro</v>
      </c>
      <c r="C1771" s="34" t="str">
        <f>PROPER(TEXT(tbLOG[[#This Row],[DATA/HORA]],"dddd"))</f>
        <v>Quinta-Feira</v>
      </c>
      <c r="D1771" s="3" t="s">
        <v>300</v>
      </c>
      <c r="E1771" s="34" t="str">
        <f>IFERROR(VLOOKUP(tbLOG[[#This Row],[LOGIN]],tbMAPA[#All],2,0), "Não localizado")</f>
        <v>Jefte Soares Da Silva</v>
      </c>
      <c r="F1771" s="34" t="str">
        <f>IFERROR(VLOOKUP(tbLOG[[#This Row],[LOGIN]],tbMAPA[#All],3,0), "Não localizado")</f>
        <v>Daniela Andrade Silva</v>
      </c>
      <c r="G1771" s="3" t="s">
        <v>1000</v>
      </c>
      <c r="H1771" s="3" t="s">
        <v>290</v>
      </c>
    </row>
    <row r="1772" spans="1:8">
      <c r="A1772" s="29">
        <v>42747.403032407405</v>
      </c>
      <c r="B1772" s="29" t="str">
        <f>PROPER(TEXT(tbLOG[[#This Row],[DATA/HORA]],"mmmm"))</f>
        <v>Janeiro</v>
      </c>
      <c r="C1772" s="34" t="str">
        <f>PROPER(TEXT(tbLOG[[#This Row],[DATA/HORA]],"dddd"))</f>
        <v>Quinta-Feira</v>
      </c>
      <c r="D1772" s="3" t="s">
        <v>300</v>
      </c>
      <c r="E1772" s="34" t="str">
        <f>IFERROR(VLOOKUP(tbLOG[[#This Row],[LOGIN]],tbMAPA[#All],2,0), "Não localizado")</f>
        <v>Jefte Soares Da Silva</v>
      </c>
      <c r="F1772" s="34" t="str">
        <f>IFERROR(VLOOKUP(tbLOG[[#This Row],[LOGIN]],tbMAPA[#All],3,0), "Não localizado")</f>
        <v>Daniela Andrade Silva</v>
      </c>
      <c r="G1772" s="3" t="s">
        <v>1000</v>
      </c>
      <c r="H1772" s="3" t="s">
        <v>291</v>
      </c>
    </row>
    <row r="1773" spans="1:8">
      <c r="A1773" s="29">
        <v>42747.403032407405</v>
      </c>
      <c r="B1773" s="29" t="str">
        <f>PROPER(TEXT(tbLOG[[#This Row],[DATA/HORA]],"mmmm"))</f>
        <v>Janeiro</v>
      </c>
      <c r="C1773" s="34" t="str">
        <f>PROPER(TEXT(tbLOG[[#This Row],[DATA/HORA]],"dddd"))</f>
        <v>Quinta-Feira</v>
      </c>
      <c r="D1773" s="3" t="s">
        <v>300</v>
      </c>
      <c r="E1773" s="34" t="str">
        <f>IFERROR(VLOOKUP(tbLOG[[#This Row],[LOGIN]],tbMAPA[#All],2,0), "Não localizado")</f>
        <v>Jefte Soares Da Silva</v>
      </c>
      <c r="F1773" s="34" t="str">
        <f>IFERROR(VLOOKUP(tbLOG[[#This Row],[LOGIN]],tbMAPA[#All],3,0), "Não localizado")</f>
        <v>Daniela Andrade Silva</v>
      </c>
      <c r="G1773" s="3" t="s">
        <v>1000</v>
      </c>
      <c r="H1773" s="3" t="s">
        <v>290</v>
      </c>
    </row>
    <row r="1774" spans="1:8">
      <c r="A1774" s="29">
        <v>42747.456250000003</v>
      </c>
      <c r="B1774" s="29" t="str">
        <f>PROPER(TEXT(tbLOG[[#This Row],[DATA/HORA]],"mmmm"))</f>
        <v>Janeiro</v>
      </c>
      <c r="C1774" s="34" t="str">
        <f>PROPER(TEXT(tbLOG[[#This Row],[DATA/HORA]],"dddd"))</f>
        <v>Quinta-Feira</v>
      </c>
      <c r="D1774" s="3" t="s">
        <v>604</v>
      </c>
      <c r="E1774" s="34" t="str">
        <f>IFERROR(VLOOKUP(tbLOG[[#This Row],[LOGIN]],tbMAPA[#All],2,0), "Não localizado")</f>
        <v>Renan Cazumba Tegani</v>
      </c>
      <c r="F1774" s="34" t="str">
        <f>IFERROR(VLOOKUP(tbLOG[[#This Row],[LOGIN]],tbMAPA[#All],3,0), "Não localizado")</f>
        <v>Reginaldo Santana De Souza</v>
      </c>
      <c r="G1774" s="3" t="s">
        <v>1211</v>
      </c>
      <c r="H1774" s="3" t="s">
        <v>994</v>
      </c>
    </row>
    <row r="1775" spans="1:8">
      <c r="A1775" s="29">
        <v>42747.457303240742</v>
      </c>
      <c r="B1775" s="29" t="str">
        <f>PROPER(TEXT(tbLOG[[#This Row],[DATA/HORA]],"mmmm"))</f>
        <v>Janeiro</v>
      </c>
      <c r="C1775" s="34" t="str">
        <f>PROPER(TEXT(tbLOG[[#This Row],[DATA/HORA]],"dddd"))</f>
        <v>Quinta-Feira</v>
      </c>
      <c r="D1775" s="3" t="s">
        <v>604</v>
      </c>
      <c r="E1775" s="34" t="str">
        <f>IFERROR(VLOOKUP(tbLOG[[#This Row],[LOGIN]],tbMAPA[#All],2,0), "Não localizado")</f>
        <v>Renan Cazumba Tegani</v>
      </c>
      <c r="F1775" s="34" t="str">
        <f>IFERROR(VLOOKUP(tbLOG[[#This Row],[LOGIN]],tbMAPA[#All],3,0), "Não localizado")</f>
        <v>Reginaldo Santana De Souza</v>
      </c>
      <c r="G1775" s="3" t="s">
        <v>1211</v>
      </c>
      <c r="H1775" s="3" t="s">
        <v>836</v>
      </c>
    </row>
    <row r="1776" spans="1:8">
      <c r="A1776" s="29">
        <v>42747.457395833335</v>
      </c>
      <c r="B1776" s="29" t="str">
        <f>PROPER(TEXT(tbLOG[[#This Row],[DATA/HORA]],"mmmm"))</f>
        <v>Janeiro</v>
      </c>
      <c r="C1776" s="34" t="str">
        <f>PROPER(TEXT(tbLOG[[#This Row],[DATA/HORA]],"dddd"))</f>
        <v>Quinta-Feira</v>
      </c>
      <c r="D1776" s="3" t="s">
        <v>604</v>
      </c>
      <c r="E1776" s="34" t="str">
        <f>IFERROR(VLOOKUP(tbLOG[[#This Row],[LOGIN]],tbMAPA[#All],2,0), "Não localizado")</f>
        <v>Renan Cazumba Tegani</v>
      </c>
      <c r="F1776" s="34" t="str">
        <f>IFERROR(VLOOKUP(tbLOG[[#This Row],[LOGIN]],tbMAPA[#All],3,0), "Não localizado")</f>
        <v>Reginaldo Santana De Souza</v>
      </c>
      <c r="G1776" s="3" t="s">
        <v>1211</v>
      </c>
      <c r="H1776" s="3" t="s">
        <v>836</v>
      </c>
    </row>
    <row r="1777" spans="1:8">
      <c r="A1777" s="29">
        <v>42747.457418981481</v>
      </c>
      <c r="B1777" s="29" t="str">
        <f>PROPER(TEXT(tbLOG[[#This Row],[DATA/HORA]],"mmmm"))</f>
        <v>Janeiro</v>
      </c>
      <c r="C1777" s="34" t="str">
        <f>PROPER(TEXT(tbLOG[[#This Row],[DATA/HORA]],"dddd"))</f>
        <v>Quinta-Feira</v>
      </c>
      <c r="D1777" s="3" t="s">
        <v>604</v>
      </c>
      <c r="E1777" s="34" t="str">
        <f>IFERROR(VLOOKUP(tbLOG[[#This Row],[LOGIN]],tbMAPA[#All],2,0), "Não localizado")</f>
        <v>Renan Cazumba Tegani</v>
      </c>
      <c r="F1777" s="34" t="str">
        <f>IFERROR(VLOOKUP(tbLOG[[#This Row],[LOGIN]],tbMAPA[#All],3,0), "Não localizado")</f>
        <v>Reginaldo Santana De Souza</v>
      </c>
      <c r="G1777" s="3" t="s">
        <v>1211</v>
      </c>
      <c r="H1777" s="3" t="s">
        <v>836</v>
      </c>
    </row>
    <row r="1778" spans="1:8">
      <c r="A1778" s="29">
        <v>42747.45752314815</v>
      </c>
      <c r="B1778" s="29" t="str">
        <f>PROPER(TEXT(tbLOG[[#This Row],[DATA/HORA]],"mmmm"))</f>
        <v>Janeiro</v>
      </c>
      <c r="C1778" s="34" t="str">
        <f>PROPER(TEXT(tbLOG[[#This Row],[DATA/HORA]],"dddd"))</f>
        <v>Quinta-Feira</v>
      </c>
      <c r="D1778" s="3" t="s">
        <v>604</v>
      </c>
      <c r="E1778" s="34" t="str">
        <f>IFERROR(VLOOKUP(tbLOG[[#This Row],[LOGIN]],tbMAPA[#All],2,0), "Não localizado")</f>
        <v>Renan Cazumba Tegani</v>
      </c>
      <c r="F1778" s="34" t="str">
        <f>IFERROR(VLOOKUP(tbLOG[[#This Row],[LOGIN]],tbMAPA[#All],3,0), "Não localizado")</f>
        <v>Reginaldo Santana De Souza</v>
      </c>
      <c r="G1778" s="3" t="s">
        <v>1211</v>
      </c>
      <c r="H1778" s="3" t="s">
        <v>836</v>
      </c>
    </row>
    <row r="1779" spans="1:8">
      <c r="A1779" s="29">
        <v>42747.458136574074</v>
      </c>
      <c r="B1779" s="29" t="str">
        <f>PROPER(TEXT(tbLOG[[#This Row],[DATA/HORA]],"mmmm"))</f>
        <v>Janeiro</v>
      </c>
      <c r="C1779" s="34" t="str">
        <f>PROPER(TEXT(tbLOG[[#This Row],[DATA/HORA]],"dddd"))</f>
        <v>Quinta-Feira</v>
      </c>
      <c r="D1779" s="3" t="s">
        <v>604</v>
      </c>
      <c r="E1779" s="34" t="str">
        <f>IFERROR(VLOOKUP(tbLOG[[#This Row],[LOGIN]],tbMAPA[#All],2,0), "Não localizado")</f>
        <v>Renan Cazumba Tegani</v>
      </c>
      <c r="F1779" s="34" t="str">
        <f>IFERROR(VLOOKUP(tbLOG[[#This Row],[LOGIN]],tbMAPA[#All],3,0), "Não localizado")</f>
        <v>Reginaldo Santana De Souza</v>
      </c>
      <c r="G1779" s="3" t="s">
        <v>1211</v>
      </c>
      <c r="H1779" s="3" t="s">
        <v>836</v>
      </c>
    </row>
    <row r="1780" spans="1:8">
      <c r="A1780" s="29">
        <v>42747.458148148151</v>
      </c>
      <c r="B1780" s="29" t="str">
        <f>PROPER(TEXT(tbLOG[[#This Row],[DATA/HORA]],"mmmm"))</f>
        <v>Janeiro</v>
      </c>
      <c r="C1780" s="34" t="str">
        <f>PROPER(TEXT(tbLOG[[#This Row],[DATA/HORA]],"dddd"))</f>
        <v>Quinta-Feira</v>
      </c>
      <c r="D1780" s="3" t="s">
        <v>604</v>
      </c>
      <c r="E1780" s="34" t="str">
        <f>IFERROR(VLOOKUP(tbLOG[[#This Row],[LOGIN]],tbMAPA[#All],2,0), "Não localizado")</f>
        <v>Renan Cazumba Tegani</v>
      </c>
      <c r="F1780" s="34" t="str">
        <f>IFERROR(VLOOKUP(tbLOG[[#This Row],[LOGIN]],tbMAPA[#All],3,0), "Não localizado")</f>
        <v>Reginaldo Santana De Souza</v>
      </c>
      <c r="G1780" s="3" t="s">
        <v>1211</v>
      </c>
      <c r="H1780" s="3" t="s">
        <v>836</v>
      </c>
    </row>
    <row r="1781" spans="1:8">
      <c r="A1781" s="29">
        <v>42747.458229166667</v>
      </c>
      <c r="B1781" s="29" t="str">
        <f>PROPER(TEXT(tbLOG[[#This Row],[DATA/HORA]],"mmmm"))</f>
        <v>Janeiro</v>
      </c>
      <c r="C1781" s="34" t="str">
        <f>PROPER(TEXT(tbLOG[[#This Row],[DATA/HORA]],"dddd"))</f>
        <v>Quinta-Feira</v>
      </c>
      <c r="D1781" s="3" t="s">
        <v>604</v>
      </c>
      <c r="E1781" s="34" t="str">
        <f>IFERROR(VLOOKUP(tbLOG[[#This Row],[LOGIN]],tbMAPA[#All],2,0), "Não localizado")</f>
        <v>Renan Cazumba Tegani</v>
      </c>
      <c r="F1781" s="34" t="str">
        <f>IFERROR(VLOOKUP(tbLOG[[#This Row],[LOGIN]],tbMAPA[#All],3,0), "Não localizado")</f>
        <v>Reginaldo Santana De Souza</v>
      </c>
      <c r="G1781" s="3" t="s">
        <v>1211</v>
      </c>
      <c r="H1781" s="3" t="s">
        <v>836</v>
      </c>
    </row>
    <row r="1782" spans="1:8">
      <c r="A1782" s="29">
        <v>42747.458252314813</v>
      </c>
      <c r="B1782" s="29" t="str">
        <f>PROPER(TEXT(tbLOG[[#This Row],[DATA/HORA]],"mmmm"))</f>
        <v>Janeiro</v>
      </c>
      <c r="C1782" s="34" t="str">
        <f>PROPER(TEXT(tbLOG[[#This Row],[DATA/HORA]],"dddd"))</f>
        <v>Quinta-Feira</v>
      </c>
      <c r="D1782" s="3" t="s">
        <v>604</v>
      </c>
      <c r="E1782" s="34" t="str">
        <f>IFERROR(VLOOKUP(tbLOG[[#This Row],[LOGIN]],tbMAPA[#All],2,0), "Não localizado")</f>
        <v>Renan Cazumba Tegani</v>
      </c>
      <c r="F1782" s="34" t="str">
        <f>IFERROR(VLOOKUP(tbLOG[[#This Row],[LOGIN]],tbMAPA[#All],3,0), "Não localizado")</f>
        <v>Reginaldo Santana De Souza</v>
      </c>
      <c r="G1782" s="3" t="s">
        <v>1211</v>
      </c>
      <c r="H1782" s="3" t="s">
        <v>290</v>
      </c>
    </row>
    <row r="1783" spans="1:8">
      <c r="A1783" s="29">
        <v>42747.461215277777</v>
      </c>
      <c r="B1783" s="29" t="str">
        <f>PROPER(TEXT(tbLOG[[#This Row],[DATA/HORA]],"mmmm"))</f>
        <v>Janeiro</v>
      </c>
      <c r="C1783" s="34" t="str">
        <f>PROPER(TEXT(tbLOG[[#This Row],[DATA/HORA]],"dddd"))</f>
        <v>Quinta-Feira</v>
      </c>
      <c r="D1783" s="3" t="s">
        <v>604</v>
      </c>
      <c r="E1783" s="34" t="str">
        <f>IFERROR(VLOOKUP(tbLOG[[#This Row],[LOGIN]],tbMAPA[#All],2,0), "Não localizado")</f>
        <v>Renan Cazumba Tegani</v>
      </c>
      <c r="F1783" s="34" t="str">
        <f>IFERROR(VLOOKUP(tbLOG[[#This Row],[LOGIN]],tbMAPA[#All],3,0), "Não localizado")</f>
        <v>Reginaldo Santana De Souza</v>
      </c>
      <c r="G1783" s="3" t="s">
        <v>1211</v>
      </c>
      <c r="H1783" s="3" t="s">
        <v>836</v>
      </c>
    </row>
    <row r="1784" spans="1:8">
      <c r="A1784" s="29">
        <v>42747.461273148147</v>
      </c>
      <c r="B1784" s="29" t="str">
        <f>PROPER(TEXT(tbLOG[[#This Row],[DATA/HORA]],"mmmm"))</f>
        <v>Janeiro</v>
      </c>
      <c r="C1784" s="34" t="str">
        <f>PROPER(TEXT(tbLOG[[#This Row],[DATA/HORA]],"dddd"))</f>
        <v>Quinta-Feira</v>
      </c>
      <c r="D1784" s="3" t="s">
        <v>604</v>
      </c>
      <c r="E1784" s="34" t="str">
        <f>IFERROR(VLOOKUP(tbLOG[[#This Row],[LOGIN]],tbMAPA[#All],2,0), "Não localizado")</f>
        <v>Renan Cazumba Tegani</v>
      </c>
      <c r="F1784" s="34" t="str">
        <f>IFERROR(VLOOKUP(tbLOG[[#This Row],[LOGIN]],tbMAPA[#All],3,0), "Não localizado")</f>
        <v>Reginaldo Santana De Souza</v>
      </c>
      <c r="G1784" s="3" t="s">
        <v>1211</v>
      </c>
      <c r="H1784" s="3" t="s">
        <v>836</v>
      </c>
    </row>
    <row r="1785" spans="1:8">
      <c r="A1785" s="29">
        <v>42747.461539351854</v>
      </c>
      <c r="B1785" s="29" t="str">
        <f>PROPER(TEXT(tbLOG[[#This Row],[DATA/HORA]],"mmmm"))</f>
        <v>Janeiro</v>
      </c>
      <c r="C1785" s="34" t="str">
        <f>PROPER(TEXT(tbLOG[[#This Row],[DATA/HORA]],"dddd"))</f>
        <v>Quinta-Feira</v>
      </c>
      <c r="D1785" s="3" t="s">
        <v>604</v>
      </c>
      <c r="E1785" s="34" t="str">
        <f>IFERROR(VLOOKUP(tbLOG[[#This Row],[LOGIN]],tbMAPA[#All],2,0), "Não localizado")</f>
        <v>Renan Cazumba Tegani</v>
      </c>
      <c r="F1785" s="34" t="str">
        <f>IFERROR(VLOOKUP(tbLOG[[#This Row],[LOGIN]],tbMAPA[#All],3,0), "Não localizado")</f>
        <v>Reginaldo Santana De Souza</v>
      </c>
      <c r="G1785" s="3" t="s">
        <v>1211</v>
      </c>
      <c r="H1785" s="3" t="s">
        <v>836</v>
      </c>
    </row>
    <row r="1786" spans="1:8">
      <c r="A1786" s="29">
        <v>42747.462962962964</v>
      </c>
      <c r="B1786" s="29" t="str">
        <f>PROPER(TEXT(tbLOG[[#This Row],[DATA/HORA]],"mmmm"))</f>
        <v>Janeiro</v>
      </c>
      <c r="C1786" s="34" t="str">
        <f>PROPER(TEXT(tbLOG[[#This Row],[DATA/HORA]],"dddd"))</f>
        <v>Quinta-Feira</v>
      </c>
      <c r="D1786" s="3" t="s">
        <v>604</v>
      </c>
      <c r="E1786" s="34" t="str">
        <f>IFERROR(VLOOKUP(tbLOG[[#This Row],[LOGIN]],tbMAPA[#All],2,0), "Não localizado")</f>
        <v>Renan Cazumba Tegani</v>
      </c>
      <c r="F1786" s="34" t="str">
        <f>IFERROR(VLOOKUP(tbLOG[[#This Row],[LOGIN]],tbMAPA[#All],3,0), "Não localizado")</f>
        <v>Reginaldo Santana De Souza</v>
      </c>
      <c r="G1786" s="3" t="s">
        <v>1211</v>
      </c>
      <c r="H1786" s="3" t="s">
        <v>836</v>
      </c>
    </row>
    <row r="1787" spans="1:8">
      <c r="A1787" s="29">
        <v>42747.46297453704</v>
      </c>
      <c r="B1787" s="29" t="str">
        <f>PROPER(TEXT(tbLOG[[#This Row],[DATA/HORA]],"mmmm"))</f>
        <v>Janeiro</v>
      </c>
      <c r="C1787" s="34" t="str">
        <f>PROPER(TEXT(tbLOG[[#This Row],[DATA/HORA]],"dddd"))</f>
        <v>Quinta-Feira</v>
      </c>
      <c r="D1787" s="3" t="s">
        <v>604</v>
      </c>
      <c r="E1787" s="34" t="str">
        <f>IFERROR(VLOOKUP(tbLOG[[#This Row],[LOGIN]],tbMAPA[#All],2,0), "Não localizado")</f>
        <v>Renan Cazumba Tegani</v>
      </c>
      <c r="F1787" s="34" t="str">
        <f>IFERROR(VLOOKUP(tbLOG[[#This Row],[LOGIN]],tbMAPA[#All],3,0), "Não localizado")</f>
        <v>Reginaldo Santana De Souza</v>
      </c>
      <c r="G1787" s="3" t="s">
        <v>1211</v>
      </c>
      <c r="H1787" s="3" t="s">
        <v>836</v>
      </c>
    </row>
    <row r="1788" spans="1:8">
      <c r="A1788" s="29">
        <v>42747.463055555556</v>
      </c>
      <c r="B1788" s="29" t="str">
        <f>PROPER(TEXT(tbLOG[[#This Row],[DATA/HORA]],"mmmm"))</f>
        <v>Janeiro</v>
      </c>
      <c r="C1788" s="34" t="str">
        <f>PROPER(TEXT(tbLOG[[#This Row],[DATA/HORA]],"dddd"))</f>
        <v>Quinta-Feira</v>
      </c>
      <c r="D1788" s="3" t="s">
        <v>604</v>
      </c>
      <c r="E1788" s="34" t="str">
        <f>IFERROR(VLOOKUP(tbLOG[[#This Row],[LOGIN]],tbMAPA[#All],2,0), "Não localizado")</f>
        <v>Renan Cazumba Tegani</v>
      </c>
      <c r="F1788" s="34" t="str">
        <f>IFERROR(VLOOKUP(tbLOG[[#This Row],[LOGIN]],tbMAPA[#All],3,0), "Não localizado")</f>
        <v>Reginaldo Santana De Souza</v>
      </c>
      <c r="G1788" s="3" t="s">
        <v>1211</v>
      </c>
      <c r="H1788" s="3" t="s">
        <v>836</v>
      </c>
    </row>
    <row r="1789" spans="1:8">
      <c r="A1789" s="29">
        <v>42747.463182870371</v>
      </c>
      <c r="B1789" s="29" t="str">
        <f>PROPER(TEXT(tbLOG[[#This Row],[DATA/HORA]],"mmmm"))</f>
        <v>Janeiro</v>
      </c>
      <c r="C1789" s="34" t="str">
        <f>PROPER(TEXT(tbLOG[[#This Row],[DATA/HORA]],"dddd"))</f>
        <v>Quinta-Feira</v>
      </c>
      <c r="D1789" s="3" t="s">
        <v>604</v>
      </c>
      <c r="E1789" s="34" t="str">
        <f>IFERROR(VLOOKUP(tbLOG[[#This Row],[LOGIN]],tbMAPA[#All],2,0), "Não localizado")</f>
        <v>Renan Cazumba Tegani</v>
      </c>
      <c r="F1789" s="34" t="str">
        <f>IFERROR(VLOOKUP(tbLOG[[#This Row],[LOGIN]],tbMAPA[#All],3,0), "Não localizado")</f>
        <v>Reginaldo Santana De Souza</v>
      </c>
      <c r="G1789" s="3" t="s">
        <v>1211</v>
      </c>
      <c r="H1789" s="3" t="s">
        <v>836</v>
      </c>
    </row>
    <row r="1790" spans="1:8">
      <c r="A1790" s="29">
        <v>42747.463229166664</v>
      </c>
      <c r="B1790" s="29" t="str">
        <f>PROPER(TEXT(tbLOG[[#This Row],[DATA/HORA]],"mmmm"))</f>
        <v>Janeiro</v>
      </c>
      <c r="C1790" s="34" t="str">
        <f>PROPER(TEXT(tbLOG[[#This Row],[DATA/HORA]],"dddd"))</f>
        <v>Quinta-Feira</v>
      </c>
      <c r="D1790" s="3" t="s">
        <v>604</v>
      </c>
      <c r="E1790" s="34" t="str">
        <f>IFERROR(VLOOKUP(tbLOG[[#This Row],[LOGIN]],tbMAPA[#All],2,0), "Não localizado")</f>
        <v>Renan Cazumba Tegani</v>
      </c>
      <c r="F1790" s="34" t="str">
        <f>IFERROR(VLOOKUP(tbLOG[[#This Row],[LOGIN]],tbMAPA[#All],3,0), "Não localizado")</f>
        <v>Reginaldo Santana De Souza</v>
      </c>
      <c r="G1790" s="3" t="s">
        <v>1211</v>
      </c>
      <c r="H1790" s="3" t="s">
        <v>836</v>
      </c>
    </row>
    <row r="1791" spans="1:8">
      <c r="A1791" s="29">
        <v>42747.465763888889</v>
      </c>
      <c r="B1791" s="29" t="str">
        <f>PROPER(TEXT(tbLOG[[#This Row],[DATA/HORA]],"mmmm"))</f>
        <v>Janeiro</v>
      </c>
      <c r="C1791" s="34" t="str">
        <f>PROPER(TEXT(tbLOG[[#This Row],[DATA/HORA]],"dddd"))</f>
        <v>Quinta-Feira</v>
      </c>
      <c r="D1791" s="3" t="s">
        <v>604</v>
      </c>
      <c r="E1791" s="34" t="str">
        <f>IFERROR(VLOOKUP(tbLOG[[#This Row],[LOGIN]],tbMAPA[#All],2,0), "Não localizado")</f>
        <v>Renan Cazumba Tegani</v>
      </c>
      <c r="F1791" s="34" t="str">
        <f>IFERROR(VLOOKUP(tbLOG[[#This Row],[LOGIN]],tbMAPA[#All],3,0), "Não localizado")</f>
        <v>Reginaldo Santana De Souza</v>
      </c>
      <c r="G1791" s="3" t="s">
        <v>1211</v>
      </c>
      <c r="H1791" s="3" t="s">
        <v>836</v>
      </c>
    </row>
    <row r="1792" spans="1:8">
      <c r="A1792" s="29">
        <v>42747.465787037036</v>
      </c>
      <c r="B1792" s="29" t="str">
        <f>PROPER(TEXT(tbLOG[[#This Row],[DATA/HORA]],"mmmm"))</f>
        <v>Janeiro</v>
      </c>
      <c r="C1792" s="34" t="str">
        <f>PROPER(TEXT(tbLOG[[#This Row],[DATA/HORA]],"dddd"))</f>
        <v>Quinta-Feira</v>
      </c>
      <c r="D1792" s="3" t="s">
        <v>604</v>
      </c>
      <c r="E1792" s="34" t="str">
        <f>IFERROR(VLOOKUP(tbLOG[[#This Row],[LOGIN]],tbMAPA[#All],2,0), "Não localizado")</f>
        <v>Renan Cazumba Tegani</v>
      </c>
      <c r="F1792" s="34" t="str">
        <f>IFERROR(VLOOKUP(tbLOG[[#This Row],[LOGIN]],tbMAPA[#All],3,0), "Não localizado")</f>
        <v>Reginaldo Santana De Souza</v>
      </c>
      <c r="G1792" s="3" t="s">
        <v>1211</v>
      </c>
      <c r="H1792" s="3" t="s">
        <v>836</v>
      </c>
    </row>
    <row r="1793" spans="1:8">
      <c r="A1793" s="29">
        <v>42747.465868055559</v>
      </c>
      <c r="B1793" s="29" t="str">
        <f>PROPER(TEXT(tbLOG[[#This Row],[DATA/HORA]],"mmmm"))</f>
        <v>Janeiro</v>
      </c>
      <c r="C1793" s="34" t="str">
        <f>PROPER(TEXT(tbLOG[[#This Row],[DATA/HORA]],"dddd"))</f>
        <v>Quinta-Feira</v>
      </c>
      <c r="D1793" s="3" t="s">
        <v>604</v>
      </c>
      <c r="E1793" s="34" t="str">
        <f>IFERROR(VLOOKUP(tbLOG[[#This Row],[LOGIN]],tbMAPA[#All],2,0), "Não localizado")</f>
        <v>Renan Cazumba Tegani</v>
      </c>
      <c r="F1793" s="34" t="str">
        <f>IFERROR(VLOOKUP(tbLOG[[#This Row],[LOGIN]],tbMAPA[#All],3,0), "Não localizado")</f>
        <v>Reginaldo Santana De Souza</v>
      </c>
      <c r="G1793" s="3" t="s">
        <v>1211</v>
      </c>
      <c r="H1793" s="3" t="s">
        <v>836</v>
      </c>
    </row>
    <row r="1794" spans="1:8">
      <c r="A1794" s="29">
        <v>42747.468831018516</v>
      </c>
      <c r="B1794" s="29" t="str">
        <f>PROPER(TEXT(tbLOG[[#This Row],[DATA/HORA]],"mmmm"))</f>
        <v>Janeiro</v>
      </c>
      <c r="C1794" s="34" t="str">
        <f>PROPER(TEXT(tbLOG[[#This Row],[DATA/HORA]],"dddd"))</f>
        <v>Quinta-Feira</v>
      </c>
      <c r="D1794" s="3" t="s">
        <v>604</v>
      </c>
      <c r="E1794" s="34" t="str">
        <f>IFERROR(VLOOKUP(tbLOG[[#This Row],[LOGIN]],tbMAPA[#All],2,0), "Não localizado")</f>
        <v>Renan Cazumba Tegani</v>
      </c>
      <c r="F1794" s="34" t="str">
        <f>IFERROR(VLOOKUP(tbLOG[[#This Row],[LOGIN]],tbMAPA[#All],3,0), "Não localizado")</f>
        <v>Reginaldo Santana De Souza</v>
      </c>
      <c r="G1794" s="3" t="s">
        <v>1211</v>
      </c>
      <c r="H1794" s="3" t="s">
        <v>836</v>
      </c>
    </row>
    <row r="1795" spans="1:8">
      <c r="A1795" s="29">
        <v>42747.469131944446</v>
      </c>
      <c r="B1795" s="29" t="str">
        <f>PROPER(TEXT(tbLOG[[#This Row],[DATA/HORA]],"mmmm"))</f>
        <v>Janeiro</v>
      </c>
      <c r="C1795" s="34" t="str">
        <f>PROPER(TEXT(tbLOG[[#This Row],[DATA/HORA]],"dddd"))</f>
        <v>Quinta-Feira</v>
      </c>
      <c r="D1795" s="3" t="s">
        <v>604</v>
      </c>
      <c r="E1795" s="34" t="str">
        <f>IFERROR(VLOOKUP(tbLOG[[#This Row],[LOGIN]],tbMAPA[#All],2,0), "Não localizado")</f>
        <v>Renan Cazumba Tegani</v>
      </c>
      <c r="F1795" s="34" t="str">
        <f>IFERROR(VLOOKUP(tbLOG[[#This Row],[LOGIN]],tbMAPA[#All],3,0), "Não localizado")</f>
        <v>Reginaldo Santana De Souza</v>
      </c>
      <c r="G1795" s="3" t="s">
        <v>1211</v>
      </c>
      <c r="H1795" s="3" t="s">
        <v>290</v>
      </c>
    </row>
    <row r="1796" spans="1:8">
      <c r="A1796" s="29">
        <v>42747.469155092593</v>
      </c>
      <c r="B1796" s="29" t="str">
        <f>PROPER(TEXT(tbLOG[[#This Row],[DATA/HORA]],"mmmm"))</f>
        <v>Janeiro</v>
      </c>
      <c r="C1796" s="34" t="str">
        <f>PROPER(TEXT(tbLOG[[#This Row],[DATA/HORA]],"dddd"))</f>
        <v>Quinta-Feira</v>
      </c>
      <c r="D1796" s="3" t="s">
        <v>604</v>
      </c>
      <c r="E1796" s="34" t="str">
        <f>IFERROR(VLOOKUP(tbLOG[[#This Row],[LOGIN]],tbMAPA[#All],2,0), "Não localizado")</f>
        <v>Renan Cazumba Tegani</v>
      </c>
      <c r="F1796" s="34" t="str">
        <f>IFERROR(VLOOKUP(tbLOG[[#This Row],[LOGIN]],tbMAPA[#All],3,0), "Não localizado")</f>
        <v>Reginaldo Santana De Souza</v>
      </c>
      <c r="G1796" s="3" t="s">
        <v>1211</v>
      </c>
      <c r="H1796" s="3" t="s">
        <v>290</v>
      </c>
    </row>
    <row r="1797" spans="1:8">
      <c r="A1797" s="29">
        <v>42747.47210648148</v>
      </c>
      <c r="B1797" s="29" t="str">
        <f>PROPER(TEXT(tbLOG[[#This Row],[DATA/HORA]],"mmmm"))</f>
        <v>Janeiro</v>
      </c>
      <c r="C1797" s="34" t="str">
        <f>PROPER(TEXT(tbLOG[[#This Row],[DATA/HORA]],"dddd"))</f>
        <v>Quinta-Feira</v>
      </c>
      <c r="D1797" s="3" t="s">
        <v>604</v>
      </c>
      <c r="E1797" s="34" t="str">
        <f>IFERROR(VLOOKUP(tbLOG[[#This Row],[LOGIN]],tbMAPA[#All],2,0), "Não localizado")</f>
        <v>Renan Cazumba Tegani</v>
      </c>
      <c r="F1797" s="34" t="str">
        <f>IFERROR(VLOOKUP(tbLOG[[#This Row],[LOGIN]],tbMAPA[#All],3,0), "Não localizado")</f>
        <v>Reginaldo Santana De Souza</v>
      </c>
      <c r="G1797" s="3" t="s">
        <v>1211</v>
      </c>
      <c r="H1797" s="3" t="s">
        <v>836</v>
      </c>
    </row>
    <row r="1798" spans="1:8">
      <c r="A1798" s="29">
        <v>42747.472118055557</v>
      </c>
      <c r="B1798" s="29" t="str">
        <f>PROPER(TEXT(tbLOG[[#This Row],[DATA/HORA]],"mmmm"))</f>
        <v>Janeiro</v>
      </c>
      <c r="C1798" s="34" t="str">
        <f>PROPER(TEXT(tbLOG[[#This Row],[DATA/HORA]],"dddd"))</f>
        <v>Quinta-Feira</v>
      </c>
      <c r="D1798" s="3" t="s">
        <v>604</v>
      </c>
      <c r="E1798" s="34" t="str">
        <f>IFERROR(VLOOKUP(tbLOG[[#This Row],[LOGIN]],tbMAPA[#All],2,0), "Não localizado")</f>
        <v>Renan Cazumba Tegani</v>
      </c>
      <c r="F1798" s="34" t="str">
        <f>IFERROR(VLOOKUP(tbLOG[[#This Row],[LOGIN]],tbMAPA[#All],3,0), "Não localizado")</f>
        <v>Reginaldo Santana De Souza</v>
      </c>
      <c r="G1798" s="3" t="s">
        <v>1211</v>
      </c>
      <c r="H1798" s="3" t="s">
        <v>836</v>
      </c>
    </row>
    <row r="1799" spans="1:8">
      <c r="A1799" s="29">
        <v>42747.472187500003</v>
      </c>
      <c r="B1799" s="29" t="str">
        <f>PROPER(TEXT(tbLOG[[#This Row],[DATA/HORA]],"mmmm"))</f>
        <v>Janeiro</v>
      </c>
      <c r="C1799" s="34" t="str">
        <f>PROPER(TEXT(tbLOG[[#This Row],[DATA/HORA]],"dddd"))</f>
        <v>Quinta-Feira</v>
      </c>
      <c r="D1799" s="3" t="s">
        <v>604</v>
      </c>
      <c r="E1799" s="34" t="str">
        <f>IFERROR(VLOOKUP(tbLOG[[#This Row],[LOGIN]],tbMAPA[#All],2,0), "Não localizado")</f>
        <v>Renan Cazumba Tegani</v>
      </c>
      <c r="F1799" s="34" t="str">
        <f>IFERROR(VLOOKUP(tbLOG[[#This Row],[LOGIN]],tbMAPA[#All],3,0), "Não localizado")</f>
        <v>Reginaldo Santana De Souza</v>
      </c>
      <c r="G1799" s="3" t="s">
        <v>1211</v>
      </c>
      <c r="H1799" s="3" t="s">
        <v>836</v>
      </c>
    </row>
    <row r="1800" spans="1:8">
      <c r="A1800" s="29">
        <v>42747.47693287037</v>
      </c>
      <c r="B1800" s="29" t="str">
        <f>PROPER(TEXT(tbLOG[[#This Row],[DATA/HORA]],"mmmm"))</f>
        <v>Janeiro</v>
      </c>
      <c r="C1800" s="34" t="str">
        <f>PROPER(TEXT(tbLOG[[#This Row],[DATA/HORA]],"dddd"))</f>
        <v>Quinta-Feira</v>
      </c>
      <c r="D1800" s="3" t="s">
        <v>604</v>
      </c>
      <c r="E1800" s="34" t="str">
        <f>IFERROR(VLOOKUP(tbLOG[[#This Row],[LOGIN]],tbMAPA[#All],2,0), "Não localizado")</f>
        <v>Renan Cazumba Tegani</v>
      </c>
      <c r="F1800" s="34" t="str">
        <f>IFERROR(VLOOKUP(tbLOG[[#This Row],[LOGIN]],tbMAPA[#All],3,0), "Não localizado")</f>
        <v>Reginaldo Santana De Souza</v>
      </c>
      <c r="G1800" s="3" t="s">
        <v>1211</v>
      </c>
      <c r="H1800" s="3" t="s">
        <v>836</v>
      </c>
    </row>
    <row r="1801" spans="1:8">
      <c r="A1801" s="29">
        <v>42747.476944444446</v>
      </c>
      <c r="B1801" s="29" t="str">
        <f>PROPER(TEXT(tbLOG[[#This Row],[DATA/HORA]],"mmmm"))</f>
        <v>Janeiro</v>
      </c>
      <c r="C1801" s="34" t="str">
        <f>PROPER(TEXT(tbLOG[[#This Row],[DATA/HORA]],"dddd"))</f>
        <v>Quinta-Feira</v>
      </c>
      <c r="D1801" s="3" t="s">
        <v>604</v>
      </c>
      <c r="E1801" s="34" t="str">
        <f>IFERROR(VLOOKUP(tbLOG[[#This Row],[LOGIN]],tbMAPA[#All],2,0), "Não localizado")</f>
        <v>Renan Cazumba Tegani</v>
      </c>
      <c r="F1801" s="34" t="str">
        <f>IFERROR(VLOOKUP(tbLOG[[#This Row],[LOGIN]],tbMAPA[#All],3,0), "Não localizado")</f>
        <v>Reginaldo Santana De Souza</v>
      </c>
      <c r="G1801" s="3" t="s">
        <v>1211</v>
      </c>
      <c r="H1801" s="3" t="s">
        <v>836</v>
      </c>
    </row>
    <row r="1802" spans="1:8">
      <c r="A1802" s="29">
        <v>42747.476979166669</v>
      </c>
      <c r="B1802" s="29" t="str">
        <f>PROPER(TEXT(tbLOG[[#This Row],[DATA/HORA]],"mmmm"))</f>
        <v>Janeiro</v>
      </c>
      <c r="C1802" s="34" t="str">
        <f>PROPER(TEXT(tbLOG[[#This Row],[DATA/HORA]],"dddd"))</f>
        <v>Quinta-Feira</v>
      </c>
      <c r="D1802" s="3" t="s">
        <v>604</v>
      </c>
      <c r="E1802" s="34" t="str">
        <f>IFERROR(VLOOKUP(tbLOG[[#This Row],[LOGIN]],tbMAPA[#All],2,0), "Não localizado")</f>
        <v>Renan Cazumba Tegani</v>
      </c>
      <c r="F1802" s="34" t="str">
        <f>IFERROR(VLOOKUP(tbLOG[[#This Row],[LOGIN]],tbMAPA[#All],3,0), "Não localizado")</f>
        <v>Reginaldo Santana De Souza</v>
      </c>
      <c r="G1802" s="3" t="s">
        <v>1211</v>
      </c>
      <c r="H1802" s="3" t="s">
        <v>836</v>
      </c>
    </row>
    <row r="1803" spans="1:8">
      <c r="A1803" s="29">
        <v>42747.479108796295</v>
      </c>
      <c r="B1803" s="29" t="str">
        <f>PROPER(TEXT(tbLOG[[#This Row],[DATA/HORA]],"mmmm"))</f>
        <v>Janeiro</v>
      </c>
      <c r="C1803" s="34" t="str">
        <f>PROPER(TEXT(tbLOG[[#This Row],[DATA/HORA]],"dddd"))</f>
        <v>Quinta-Feira</v>
      </c>
      <c r="D1803" s="3" t="s">
        <v>604</v>
      </c>
      <c r="E1803" s="34" t="str">
        <f>IFERROR(VLOOKUP(tbLOG[[#This Row],[LOGIN]],tbMAPA[#All],2,0), "Não localizado")</f>
        <v>Renan Cazumba Tegani</v>
      </c>
      <c r="F1803" s="34" t="str">
        <f>IFERROR(VLOOKUP(tbLOG[[#This Row],[LOGIN]],tbMAPA[#All],3,0), "Não localizado")</f>
        <v>Reginaldo Santana De Souza</v>
      </c>
      <c r="G1803" s="3" t="s">
        <v>1211</v>
      </c>
      <c r="H1803" s="3" t="s">
        <v>836</v>
      </c>
    </row>
    <row r="1804" spans="1:8">
      <c r="A1804" s="29">
        <v>42747.479131944441</v>
      </c>
      <c r="B1804" s="29" t="str">
        <f>PROPER(TEXT(tbLOG[[#This Row],[DATA/HORA]],"mmmm"))</f>
        <v>Janeiro</v>
      </c>
      <c r="C1804" s="34" t="str">
        <f>PROPER(TEXT(tbLOG[[#This Row],[DATA/HORA]],"dddd"))</f>
        <v>Quinta-Feira</v>
      </c>
      <c r="D1804" s="3" t="s">
        <v>604</v>
      </c>
      <c r="E1804" s="34" t="str">
        <f>IFERROR(VLOOKUP(tbLOG[[#This Row],[LOGIN]],tbMAPA[#All],2,0), "Não localizado")</f>
        <v>Renan Cazumba Tegani</v>
      </c>
      <c r="F1804" s="34" t="str">
        <f>IFERROR(VLOOKUP(tbLOG[[#This Row],[LOGIN]],tbMAPA[#All],3,0), "Não localizado")</f>
        <v>Reginaldo Santana De Souza</v>
      </c>
      <c r="G1804" s="3" t="s">
        <v>1211</v>
      </c>
      <c r="H1804" s="3" t="s">
        <v>836</v>
      </c>
    </row>
    <row r="1805" spans="1:8">
      <c r="A1805" s="29">
        <v>42747.479155092595</v>
      </c>
      <c r="B1805" s="29" t="str">
        <f>PROPER(TEXT(tbLOG[[#This Row],[DATA/HORA]],"mmmm"))</f>
        <v>Janeiro</v>
      </c>
      <c r="C1805" s="34" t="str">
        <f>PROPER(TEXT(tbLOG[[#This Row],[DATA/HORA]],"dddd"))</f>
        <v>Quinta-Feira</v>
      </c>
      <c r="D1805" s="3" t="s">
        <v>604</v>
      </c>
      <c r="E1805" s="34" t="str">
        <f>IFERROR(VLOOKUP(tbLOG[[#This Row],[LOGIN]],tbMAPA[#All],2,0), "Não localizado")</f>
        <v>Renan Cazumba Tegani</v>
      </c>
      <c r="F1805" s="34" t="str">
        <f>IFERROR(VLOOKUP(tbLOG[[#This Row],[LOGIN]],tbMAPA[#All],3,0), "Não localizado")</f>
        <v>Reginaldo Santana De Souza</v>
      </c>
      <c r="G1805" s="3" t="s">
        <v>1211</v>
      </c>
      <c r="H1805" s="3" t="s">
        <v>836</v>
      </c>
    </row>
    <row r="1806" spans="1:8">
      <c r="A1806" s="29">
        <v>42747.482453703706</v>
      </c>
      <c r="B1806" s="29" t="str">
        <f>PROPER(TEXT(tbLOG[[#This Row],[DATA/HORA]],"mmmm"))</f>
        <v>Janeiro</v>
      </c>
      <c r="C1806" s="34" t="str">
        <f>PROPER(TEXT(tbLOG[[#This Row],[DATA/HORA]],"dddd"))</f>
        <v>Quinta-Feira</v>
      </c>
      <c r="D1806" s="3" t="s">
        <v>604</v>
      </c>
      <c r="E1806" s="34" t="str">
        <f>IFERROR(VLOOKUP(tbLOG[[#This Row],[LOGIN]],tbMAPA[#All],2,0), "Não localizado")</f>
        <v>Renan Cazumba Tegani</v>
      </c>
      <c r="F1806" s="34" t="str">
        <f>IFERROR(VLOOKUP(tbLOG[[#This Row],[LOGIN]],tbMAPA[#All],3,0), "Não localizado")</f>
        <v>Reginaldo Santana De Souza</v>
      </c>
      <c r="G1806" s="3" t="s">
        <v>1211</v>
      </c>
      <c r="H1806" s="3" t="s">
        <v>836</v>
      </c>
    </row>
    <row r="1807" spans="1:8">
      <c r="A1807" s="29">
        <v>42747.482476851852</v>
      </c>
      <c r="B1807" s="29" t="str">
        <f>PROPER(TEXT(tbLOG[[#This Row],[DATA/HORA]],"mmmm"))</f>
        <v>Janeiro</v>
      </c>
      <c r="C1807" s="34" t="str">
        <f>PROPER(TEXT(tbLOG[[#This Row],[DATA/HORA]],"dddd"))</f>
        <v>Quinta-Feira</v>
      </c>
      <c r="D1807" s="3" t="s">
        <v>604</v>
      </c>
      <c r="E1807" s="34" t="str">
        <f>IFERROR(VLOOKUP(tbLOG[[#This Row],[LOGIN]],tbMAPA[#All],2,0), "Não localizado")</f>
        <v>Renan Cazumba Tegani</v>
      </c>
      <c r="F1807" s="34" t="str">
        <f>IFERROR(VLOOKUP(tbLOG[[#This Row],[LOGIN]],tbMAPA[#All],3,0), "Não localizado")</f>
        <v>Reginaldo Santana De Souza</v>
      </c>
      <c r="G1807" s="3" t="s">
        <v>1211</v>
      </c>
      <c r="H1807" s="3" t="s">
        <v>836</v>
      </c>
    </row>
    <row r="1808" spans="1:8">
      <c r="A1808" s="29">
        <v>42747.482534722221</v>
      </c>
      <c r="B1808" s="29" t="str">
        <f>PROPER(TEXT(tbLOG[[#This Row],[DATA/HORA]],"mmmm"))</f>
        <v>Janeiro</v>
      </c>
      <c r="C1808" s="34" t="str">
        <f>PROPER(TEXT(tbLOG[[#This Row],[DATA/HORA]],"dddd"))</f>
        <v>Quinta-Feira</v>
      </c>
      <c r="D1808" s="3" t="s">
        <v>604</v>
      </c>
      <c r="E1808" s="34" t="str">
        <f>IFERROR(VLOOKUP(tbLOG[[#This Row],[LOGIN]],tbMAPA[#All],2,0), "Não localizado")</f>
        <v>Renan Cazumba Tegani</v>
      </c>
      <c r="F1808" s="34" t="str">
        <f>IFERROR(VLOOKUP(tbLOG[[#This Row],[LOGIN]],tbMAPA[#All],3,0), "Não localizado")</f>
        <v>Reginaldo Santana De Souza</v>
      </c>
      <c r="G1808" s="3" t="s">
        <v>1211</v>
      </c>
      <c r="H1808" s="3" t="s">
        <v>836</v>
      </c>
    </row>
    <row r="1809" spans="1:8">
      <c r="A1809" s="29">
        <v>42747.485567129632</v>
      </c>
      <c r="B1809" s="29" t="str">
        <f>PROPER(TEXT(tbLOG[[#This Row],[DATA/HORA]],"mmmm"))</f>
        <v>Janeiro</v>
      </c>
      <c r="C1809" s="34" t="str">
        <f>PROPER(TEXT(tbLOG[[#This Row],[DATA/HORA]],"dddd"))</f>
        <v>Quinta-Feira</v>
      </c>
      <c r="D1809" s="3" t="s">
        <v>604</v>
      </c>
      <c r="E1809" s="34" t="str">
        <f>IFERROR(VLOOKUP(tbLOG[[#This Row],[LOGIN]],tbMAPA[#All],2,0), "Não localizado")</f>
        <v>Renan Cazumba Tegani</v>
      </c>
      <c r="F1809" s="34" t="str">
        <f>IFERROR(VLOOKUP(tbLOG[[#This Row],[LOGIN]],tbMAPA[#All],3,0), "Não localizado")</f>
        <v>Reginaldo Santana De Souza</v>
      </c>
      <c r="G1809" s="3" t="s">
        <v>1211</v>
      </c>
      <c r="H1809" s="3" t="s">
        <v>836</v>
      </c>
    </row>
    <row r="1810" spans="1:8">
      <c r="A1810" s="29">
        <v>42747.485590277778</v>
      </c>
      <c r="B1810" s="29" t="str">
        <f>PROPER(TEXT(tbLOG[[#This Row],[DATA/HORA]],"mmmm"))</f>
        <v>Janeiro</v>
      </c>
      <c r="C1810" s="34" t="str">
        <f>PROPER(TEXT(tbLOG[[#This Row],[DATA/HORA]],"dddd"))</f>
        <v>Quinta-Feira</v>
      </c>
      <c r="D1810" s="3" t="s">
        <v>604</v>
      </c>
      <c r="E1810" s="34" t="str">
        <f>IFERROR(VLOOKUP(tbLOG[[#This Row],[LOGIN]],tbMAPA[#All],2,0), "Não localizado")</f>
        <v>Renan Cazumba Tegani</v>
      </c>
      <c r="F1810" s="34" t="str">
        <f>IFERROR(VLOOKUP(tbLOG[[#This Row],[LOGIN]],tbMAPA[#All],3,0), "Não localizado")</f>
        <v>Reginaldo Santana De Souza</v>
      </c>
      <c r="G1810" s="3" t="s">
        <v>1211</v>
      </c>
      <c r="H1810" s="3" t="s">
        <v>836</v>
      </c>
    </row>
    <row r="1811" spans="1:8">
      <c r="A1811" s="29">
        <v>42747.485671296294</v>
      </c>
      <c r="B1811" s="29" t="str">
        <f>PROPER(TEXT(tbLOG[[#This Row],[DATA/HORA]],"mmmm"))</f>
        <v>Janeiro</v>
      </c>
      <c r="C1811" s="34" t="str">
        <f>PROPER(TEXT(tbLOG[[#This Row],[DATA/HORA]],"dddd"))</f>
        <v>Quinta-Feira</v>
      </c>
      <c r="D1811" s="3" t="s">
        <v>604</v>
      </c>
      <c r="E1811" s="34" t="str">
        <f>IFERROR(VLOOKUP(tbLOG[[#This Row],[LOGIN]],tbMAPA[#All],2,0), "Não localizado")</f>
        <v>Renan Cazumba Tegani</v>
      </c>
      <c r="F1811" s="34" t="str">
        <f>IFERROR(VLOOKUP(tbLOG[[#This Row],[LOGIN]],tbMAPA[#All],3,0), "Não localizado")</f>
        <v>Reginaldo Santana De Souza</v>
      </c>
      <c r="G1811" s="3" t="s">
        <v>1211</v>
      </c>
      <c r="H1811" s="3" t="s">
        <v>836</v>
      </c>
    </row>
    <row r="1812" spans="1:8">
      <c r="A1812" s="29">
        <v>42747.491018518522</v>
      </c>
      <c r="B1812" s="29" t="str">
        <f>PROPER(TEXT(tbLOG[[#This Row],[DATA/HORA]],"mmmm"))</f>
        <v>Janeiro</v>
      </c>
      <c r="C1812" s="34" t="str">
        <f>PROPER(TEXT(tbLOG[[#This Row],[DATA/HORA]],"dddd"))</f>
        <v>Quinta-Feira</v>
      </c>
      <c r="D1812" s="3" t="s">
        <v>604</v>
      </c>
      <c r="E1812" s="34" t="str">
        <f>IFERROR(VLOOKUP(tbLOG[[#This Row],[LOGIN]],tbMAPA[#All],2,0), "Não localizado")</f>
        <v>Renan Cazumba Tegani</v>
      </c>
      <c r="F1812" s="34" t="str">
        <f>IFERROR(VLOOKUP(tbLOG[[#This Row],[LOGIN]],tbMAPA[#All],3,0), "Não localizado")</f>
        <v>Reginaldo Santana De Souza</v>
      </c>
      <c r="G1812" s="3" t="s">
        <v>1211</v>
      </c>
      <c r="H1812" s="3" t="s">
        <v>836</v>
      </c>
    </row>
    <row r="1813" spans="1:8">
      <c r="A1813" s="29">
        <v>42747.491238425922</v>
      </c>
      <c r="B1813" s="29" t="str">
        <f>PROPER(TEXT(tbLOG[[#This Row],[DATA/HORA]],"mmmm"))</f>
        <v>Janeiro</v>
      </c>
      <c r="C1813" s="34" t="str">
        <f>PROPER(TEXT(tbLOG[[#This Row],[DATA/HORA]],"dddd"))</f>
        <v>Quinta-Feira</v>
      </c>
      <c r="D1813" s="3" t="s">
        <v>604</v>
      </c>
      <c r="E1813" s="34" t="str">
        <f>IFERROR(VLOOKUP(tbLOG[[#This Row],[LOGIN]],tbMAPA[#All],2,0), "Não localizado")</f>
        <v>Renan Cazumba Tegani</v>
      </c>
      <c r="F1813" s="34" t="str">
        <f>IFERROR(VLOOKUP(tbLOG[[#This Row],[LOGIN]],tbMAPA[#All],3,0), "Não localizado")</f>
        <v>Reginaldo Santana De Souza</v>
      </c>
      <c r="G1813" s="3" t="s">
        <v>1211</v>
      </c>
      <c r="H1813" s="3" t="s">
        <v>836</v>
      </c>
    </row>
    <row r="1814" spans="1:8">
      <c r="A1814" s="29">
        <v>42747.491875</v>
      </c>
      <c r="B1814" s="29" t="str">
        <f>PROPER(TEXT(tbLOG[[#This Row],[DATA/HORA]],"mmmm"))</f>
        <v>Janeiro</v>
      </c>
      <c r="C1814" s="34" t="str">
        <f>PROPER(TEXT(tbLOG[[#This Row],[DATA/HORA]],"dddd"))</f>
        <v>Quinta-Feira</v>
      </c>
      <c r="D1814" s="3" t="s">
        <v>604</v>
      </c>
      <c r="E1814" s="34" t="str">
        <f>IFERROR(VLOOKUP(tbLOG[[#This Row],[LOGIN]],tbMAPA[#All],2,0), "Não localizado")</f>
        <v>Renan Cazumba Tegani</v>
      </c>
      <c r="F1814" s="34" t="str">
        <f>IFERROR(VLOOKUP(tbLOG[[#This Row],[LOGIN]],tbMAPA[#All],3,0), "Não localizado")</f>
        <v>Reginaldo Santana De Souza</v>
      </c>
      <c r="G1814" s="3" t="s">
        <v>1211</v>
      </c>
      <c r="H1814" s="3" t="s">
        <v>836</v>
      </c>
    </row>
    <row r="1815" spans="1:8">
      <c r="A1815" s="29">
        <v>42747.492997685185</v>
      </c>
      <c r="B1815" s="29" t="str">
        <f>PROPER(TEXT(tbLOG[[#This Row],[DATA/HORA]],"mmmm"))</f>
        <v>Janeiro</v>
      </c>
      <c r="C1815" s="34" t="str">
        <f>PROPER(TEXT(tbLOG[[#This Row],[DATA/HORA]],"dddd"))</f>
        <v>Quinta-Feira</v>
      </c>
      <c r="D1815" s="3" t="s">
        <v>604</v>
      </c>
      <c r="E1815" s="34" t="str">
        <f>IFERROR(VLOOKUP(tbLOG[[#This Row],[LOGIN]],tbMAPA[#All],2,0), "Não localizado")</f>
        <v>Renan Cazumba Tegani</v>
      </c>
      <c r="F1815" s="34" t="str">
        <f>IFERROR(VLOOKUP(tbLOG[[#This Row],[LOGIN]],tbMAPA[#All],3,0), "Não localizado")</f>
        <v>Reginaldo Santana De Souza</v>
      </c>
      <c r="G1815" s="3" t="s">
        <v>1211</v>
      </c>
      <c r="H1815" s="3" t="s">
        <v>836</v>
      </c>
    </row>
    <row r="1816" spans="1:8">
      <c r="A1816" s="29">
        <v>42747.495474537034</v>
      </c>
      <c r="B1816" s="29" t="str">
        <f>PROPER(TEXT(tbLOG[[#This Row],[DATA/HORA]],"mmmm"))</f>
        <v>Janeiro</v>
      </c>
      <c r="C1816" s="34" t="str">
        <f>PROPER(TEXT(tbLOG[[#This Row],[DATA/HORA]],"dddd"))</f>
        <v>Quinta-Feira</v>
      </c>
      <c r="D1816" s="3" t="s">
        <v>604</v>
      </c>
      <c r="E1816" s="34" t="str">
        <f>IFERROR(VLOOKUP(tbLOG[[#This Row],[LOGIN]],tbMAPA[#All],2,0), "Não localizado")</f>
        <v>Renan Cazumba Tegani</v>
      </c>
      <c r="F1816" s="34" t="str">
        <f>IFERROR(VLOOKUP(tbLOG[[#This Row],[LOGIN]],tbMAPA[#All],3,0), "Não localizado")</f>
        <v>Reginaldo Santana De Souza</v>
      </c>
      <c r="G1816" s="3" t="s">
        <v>1211</v>
      </c>
      <c r="H1816" s="3" t="s">
        <v>836</v>
      </c>
    </row>
    <row r="1817" spans="1:8">
      <c r="A1817" s="29">
        <v>42747.495509259257</v>
      </c>
      <c r="B1817" s="29" t="str">
        <f>PROPER(TEXT(tbLOG[[#This Row],[DATA/HORA]],"mmmm"))</f>
        <v>Janeiro</v>
      </c>
      <c r="C1817" s="34" t="str">
        <f>PROPER(TEXT(tbLOG[[#This Row],[DATA/HORA]],"dddd"))</f>
        <v>Quinta-Feira</v>
      </c>
      <c r="D1817" s="3" t="s">
        <v>604</v>
      </c>
      <c r="E1817" s="34" t="str">
        <f>IFERROR(VLOOKUP(tbLOG[[#This Row],[LOGIN]],tbMAPA[#All],2,0), "Não localizado")</f>
        <v>Renan Cazumba Tegani</v>
      </c>
      <c r="F1817" s="34" t="str">
        <f>IFERROR(VLOOKUP(tbLOG[[#This Row],[LOGIN]],tbMAPA[#All],3,0), "Não localizado")</f>
        <v>Reginaldo Santana De Souza</v>
      </c>
      <c r="G1817" s="3" t="s">
        <v>1211</v>
      </c>
      <c r="H1817" s="3" t="s">
        <v>836</v>
      </c>
    </row>
    <row r="1818" spans="1:8">
      <c r="A1818" s="29">
        <v>42747.495659722219</v>
      </c>
      <c r="B1818" s="29" t="str">
        <f>PROPER(TEXT(tbLOG[[#This Row],[DATA/HORA]],"mmmm"))</f>
        <v>Janeiro</v>
      </c>
      <c r="C1818" s="34" t="str">
        <f>PROPER(TEXT(tbLOG[[#This Row],[DATA/HORA]],"dddd"))</f>
        <v>Quinta-Feira</v>
      </c>
      <c r="D1818" s="3" t="s">
        <v>604</v>
      </c>
      <c r="E1818" s="34" t="str">
        <f>IFERROR(VLOOKUP(tbLOG[[#This Row],[LOGIN]],tbMAPA[#All],2,0), "Não localizado")</f>
        <v>Renan Cazumba Tegani</v>
      </c>
      <c r="F1818" s="34" t="str">
        <f>IFERROR(VLOOKUP(tbLOG[[#This Row],[LOGIN]],tbMAPA[#All],3,0), "Não localizado")</f>
        <v>Reginaldo Santana De Souza</v>
      </c>
      <c r="G1818" s="3" t="s">
        <v>1211</v>
      </c>
      <c r="H1818" s="3" t="s">
        <v>836</v>
      </c>
    </row>
    <row r="1819" spans="1:8">
      <c r="A1819" s="29">
        <v>42747.500844907408</v>
      </c>
      <c r="B1819" s="29" t="str">
        <f>PROPER(TEXT(tbLOG[[#This Row],[DATA/HORA]],"mmmm"))</f>
        <v>Janeiro</v>
      </c>
      <c r="C1819" s="34" t="str">
        <f>PROPER(TEXT(tbLOG[[#This Row],[DATA/HORA]],"dddd"))</f>
        <v>Quinta-Feira</v>
      </c>
      <c r="D1819" s="3" t="s">
        <v>604</v>
      </c>
      <c r="E1819" s="34" t="str">
        <f>IFERROR(VLOOKUP(tbLOG[[#This Row],[LOGIN]],tbMAPA[#All],2,0), "Não localizado")</f>
        <v>Renan Cazumba Tegani</v>
      </c>
      <c r="F1819" s="34" t="str">
        <f>IFERROR(VLOOKUP(tbLOG[[#This Row],[LOGIN]],tbMAPA[#All],3,0), "Não localizado")</f>
        <v>Reginaldo Santana De Souza</v>
      </c>
      <c r="G1819" s="3" t="s">
        <v>1211</v>
      </c>
      <c r="H1819" s="3" t="s">
        <v>836</v>
      </c>
    </row>
    <row r="1820" spans="1:8">
      <c r="A1820" s="29">
        <v>42747.502245370371</v>
      </c>
      <c r="B1820" s="29" t="str">
        <f>PROPER(TEXT(tbLOG[[#This Row],[DATA/HORA]],"mmmm"))</f>
        <v>Janeiro</v>
      </c>
      <c r="C1820" s="34" t="str">
        <f>PROPER(TEXT(tbLOG[[#This Row],[DATA/HORA]],"dddd"))</f>
        <v>Quinta-Feira</v>
      </c>
      <c r="D1820" s="3" t="s">
        <v>604</v>
      </c>
      <c r="E1820" s="34" t="str">
        <f>IFERROR(VLOOKUP(tbLOG[[#This Row],[LOGIN]],tbMAPA[#All],2,0), "Não localizado")</f>
        <v>Renan Cazumba Tegani</v>
      </c>
      <c r="F1820" s="34" t="str">
        <f>IFERROR(VLOOKUP(tbLOG[[#This Row],[LOGIN]],tbMAPA[#All],3,0), "Não localizado")</f>
        <v>Reginaldo Santana De Souza</v>
      </c>
      <c r="G1820" s="3" t="s">
        <v>1211</v>
      </c>
      <c r="H1820" s="3" t="s">
        <v>836</v>
      </c>
    </row>
    <row r="1821" spans="1:8">
      <c r="A1821" s="29">
        <v>42747.502256944441</v>
      </c>
      <c r="B1821" s="29" t="str">
        <f>PROPER(TEXT(tbLOG[[#This Row],[DATA/HORA]],"mmmm"))</f>
        <v>Janeiro</v>
      </c>
      <c r="C1821" s="34" t="str">
        <f>PROPER(TEXT(tbLOG[[#This Row],[DATA/HORA]],"dddd"))</f>
        <v>Quinta-Feira</v>
      </c>
      <c r="D1821" s="3" t="s">
        <v>604</v>
      </c>
      <c r="E1821" s="34" t="str">
        <f>IFERROR(VLOOKUP(tbLOG[[#This Row],[LOGIN]],tbMAPA[#All],2,0), "Não localizado")</f>
        <v>Renan Cazumba Tegani</v>
      </c>
      <c r="F1821" s="34" t="str">
        <f>IFERROR(VLOOKUP(tbLOG[[#This Row],[LOGIN]],tbMAPA[#All],3,0), "Não localizado")</f>
        <v>Reginaldo Santana De Souza</v>
      </c>
      <c r="G1821" s="3" t="s">
        <v>1211</v>
      </c>
      <c r="H1821" s="3" t="s">
        <v>836</v>
      </c>
    </row>
    <row r="1822" spans="1:8">
      <c r="A1822" s="29">
        <v>42747.502314814818</v>
      </c>
      <c r="B1822" s="29" t="str">
        <f>PROPER(TEXT(tbLOG[[#This Row],[DATA/HORA]],"mmmm"))</f>
        <v>Janeiro</v>
      </c>
      <c r="C1822" s="34" t="str">
        <f>PROPER(TEXT(tbLOG[[#This Row],[DATA/HORA]],"dddd"))</f>
        <v>Quinta-Feira</v>
      </c>
      <c r="D1822" s="3" t="s">
        <v>604</v>
      </c>
      <c r="E1822" s="34" t="str">
        <f>IFERROR(VLOOKUP(tbLOG[[#This Row],[LOGIN]],tbMAPA[#All],2,0), "Não localizado")</f>
        <v>Renan Cazumba Tegani</v>
      </c>
      <c r="F1822" s="34" t="str">
        <f>IFERROR(VLOOKUP(tbLOG[[#This Row],[LOGIN]],tbMAPA[#All],3,0), "Não localizado")</f>
        <v>Reginaldo Santana De Souza</v>
      </c>
      <c r="G1822" s="3" t="s">
        <v>1211</v>
      </c>
      <c r="H1822" s="3" t="s">
        <v>836</v>
      </c>
    </row>
    <row r="1823" spans="1:8">
      <c r="A1823" s="29">
        <v>42747.50576388889</v>
      </c>
      <c r="B1823" s="29" t="str">
        <f>PROPER(TEXT(tbLOG[[#This Row],[DATA/HORA]],"mmmm"))</f>
        <v>Janeiro</v>
      </c>
      <c r="C1823" s="34" t="str">
        <f>PROPER(TEXT(tbLOG[[#This Row],[DATA/HORA]],"dddd"))</f>
        <v>Quinta-Feira</v>
      </c>
      <c r="D1823" s="3" t="s">
        <v>604</v>
      </c>
      <c r="E1823" s="34" t="str">
        <f>IFERROR(VLOOKUP(tbLOG[[#This Row],[LOGIN]],tbMAPA[#All],2,0), "Não localizado")</f>
        <v>Renan Cazumba Tegani</v>
      </c>
      <c r="F1823" s="34" t="str">
        <f>IFERROR(VLOOKUP(tbLOG[[#This Row],[LOGIN]],tbMAPA[#All],3,0), "Não localizado")</f>
        <v>Reginaldo Santana De Souza</v>
      </c>
      <c r="G1823" s="3" t="s">
        <v>1211</v>
      </c>
      <c r="H1823" s="3" t="s">
        <v>836</v>
      </c>
    </row>
    <row r="1824" spans="1:8">
      <c r="A1824" s="29">
        <v>42747.50577546296</v>
      </c>
      <c r="B1824" s="29" t="str">
        <f>PROPER(TEXT(tbLOG[[#This Row],[DATA/HORA]],"mmmm"))</f>
        <v>Janeiro</v>
      </c>
      <c r="C1824" s="34" t="str">
        <f>PROPER(TEXT(tbLOG[[#This Row],[DATA/HORA]],"dddd"))</f>
        <v>Quinta-Feira</v>
      </c>
      <c r="D1824" s="3" t="s">
        <v>604</v>
      </c>
      <c r="E1824" s="34" t="str">
        <f>IFERROR(VLOOKUP(tbLOG[[#This Row],[LOGIN]],tbMAPA[#All],2,0), "Não localizado")</f>
        <v>Renan Cazumba Tegani</v>
      </c>
      <c r="F1824" s="34" t="str">
        <f>IFERROR(VLOOKUP(tbLOG[[#This Row],[LOGIN]],tbMAPA[#All],3,0), "Não localizado")</f>
        <v>Reginaldo Santana De Souza</v>
      </c>
      <c r="G1824" s="3" t="s">
        <v>1211</v>
      </c>
      <c r="H1824" s="3" t="s">
        <v>836</v>
      </c>
    </row>
    <row r="1825" spans="1:8">
      <c r="A1825" s="29">
        <v>42747.505925925929</v>
      </c>
      <c r="B1825" s="29" t="str">
        <f>PROPER(TEXT(tbLOG[[#This Row],[DATA/HORA]],"mmmm"))</f>
        <v>Janeiro</v>
      </c>
      <c r="C1825" s="34" t="str">
        <f>PROPER(TEXT(tbLOG[[#This Row],[DATA/HORA]],"dddd"))</f>
        <v>Quinta-Feira</v>
      </c>
      <c r="D1825" s="3" t="s">
        <v>604</v>
      </c>
      <c r="E1825" s="34" t="str">
        <f>IFERROR(VLOOKUP(tbLOG[[#This Row],[LOGIN]],tbMAPA[#All],2,0), "Não localizado")</f>
        <v>Renan Cazumba Tegani</v>
      </c>
      <c r="F1825" s="34" t="str">
        <f>IFERROR(VLOOKUP(tbLOG[[#This Row],[LOGIN]],tbMAPA[#All],3,0), "Não localizado")</f>
        <v>Reginaldo Santana De Souza</v>
      </c>
      <c r="G1825" s="3" t="s">
        <v>1211</v>
      </c>
      <c r="H1825" s="3" t="s">
        <v>836</v>
      </c>
    </row>
    <row r="1826" spans="1:8">
      <c r="A1826" s="29">
        <v>42747.509456018517</v>
      </c>
      <c r="B1826" s="29" t="str">
        <f>PROPER(TEXT(tbLOG[[#This Row],[DATA/HORA]],"mmmm"))</f>
        <v>Janeiro</v>
      </c>
      <c r="C1826" s="34" t="str">
        <f>PROPER(TEXT(tbLOG[[#This Row],[DATA/HORA]],"dddd"))</f>
        <v>Quinta-Feira</v>
      </c>
      <c r="D1826" s="3" t="s">
        <v>604</v>
      </c>
      <c r="E1826" s="34" t="str">
        <f>IFERROR(VLOOKUP(tbLOG[[#This Row],[LOGIN]],tbMAPA[#All],2,0), "Não localizado")</f>
        <v>Renan Cazumba Tegani</v>
      </c>
      <c r="F1826" s="34" t="str">
        <f>IFERROR(VLOOKUP(tbLOG[[#This Row],[LOGIN]],tbMAPA[#All],3,0), "Não localizado")</f>
        <v>Reginaldo Santana De Souza</v>
      </c>
      <c r="G1826" s="3" t="s">
        <v>1211</v>
      </c>
      <c r="H1826" s="3" t="s">
        <v>836</v>
      </c>
    </row>
    <row r="1827" spans="1:8">
      <c r="A1827" s="29">
        <v>42747.509479166663</v>
      </c>
      <c r="B1827" s="29" t="str">
        <f>PROPER(TEXT(tbLOG[[#This Row],[DATA/HORA]],"mmmm"))</f>
        <v>Janeiro</v>
      </c>
      <c r="C1827" s="34" t="str">
        <f>PROPER(TEXT(tbLOG[[#This Row],[DATA/HORA]],"dddd"))</f>
        <v>Quinta-Feira</v>
      </c>
      <c r="D1827" s="3" t="s">
        <v>604</v>
      </c>
      <c r="E1827" s="34" t="str">
        <f>IFERROR(VLOOKUP(tbLOG[[#This Row],[LOGIN]],tbMAPA[#All],2,0), "Não localizado")</f>
        <v>Renan Cazumba Tegani</v>
      </c>
      <c r="F1827" s="34" t="str">
        <f>IFERROR(VLOOKUP(tbLOG[[#This Row],[LOGIN]],tbMAPA[#All],3,0), "Não localizado")</f>
        <v>Reginaldo Santana De Souza</v>
      </c>
      <c r="G1827" s="3" t="s">
        <v>1211</v>
      </c>
      <c r="H1827" s="3" t="s">
        <v>836</v>
      </c>
    </row>
    <row r="1828" spans="1:8">
      <c r="A1828" s="29">
        <v>42747.509525462963</v>
      </c>
      <c r="B1828" s="29" t="str">
        <f>PROPER(TEXT(tbLOG[[#This Row],[DATA/HORA]],"mmmm"))</f>
        <v>Janeiro</v>
      </c>
      <c r="C1828" s="34" t="str">
        <f>PROPER(TEXT(tbLOG[[#This Row],[DATA/HORA]],"dddd"))</f>
        <v>Quinta-Feira</v>
      </c>
      <c r="D1828" s="3" t="s">
        <v>604</v>
      </c>
      <c r="E1828" s="34" t="str">
        <f>IFERROR(VLOOKUP(tbLOG[[#This Row],[LOGIN]],tbMAPA[#All],2,0), "Não localizado")</f>
        <v>Renan Cazumba Tegani</v>
      </c>
      <c r="F1828" s="34" t="str">
        <f>IFERROR(VLOOKUP(tbLOG[[#This Row],[LOGIN]],tbMAPA[#All],3,0), "Não localizado")</f>
        <v>Reginaldo Santana De Souza</v>
      </c>
      <c r="G1828" s="3" t="s">
        <v>1211</v>
      </c>
      <c r="H1828" s="3" t="s">
        <v>836</v>
      </c>
    </row>
    <row r="1829" spans="1:8">
      <c r="A1829" s="29">
        <v>42747.512662037036</v>
      </c>
      <c r="B1829" s="29" t="str">
        <f>PROPER(TEXT(tbLOG[[#This Row],[DATA/HORA]],"mmmm"))</f>
        <v>Janeiro</v>
      </c>
      <c r="C1829" s="34" t="str">
        <f>PROPER(TEXT(tbLOG[[#This Row],[DATA/HORA]],"dddd"))</f>
        <v>Quinta-Feira</v>
      </c>
      <c r="D1829" s="3" t="s">
        <v>604</v>
      </c>
      <c r="E1829" s="34" t="str">
        <f>IFERROR(VLOOKUP(tbLOG[[#This Row],[LOGIN]],tbMAPA[#All],2,0), "Não localizado")</f>
        <v>Renan Cazumba Tegani</v>
      </c>
      <c r="F1829" s="34" t="str">
        <f>IFERROR(VLOOKUP(tbLOG[[#This Row],[LOGIN]],tbMAPA[#All],3,0), "Não localizado")</f>
        <v>Reginaldo Santana De Souza</v>
      </c>
      <c r="G1829" s="3" t="s">
        <v>1211</v>
      </c>
      <c r="H1829" s="3" t="s">
        <v>836</v>
      </c>
    </row>
    <row r="1830" spans="1:8">
      <c r="A1830" s="29">
        <v>42747.512743055559</v>
      </c>
      <c r="B1830" s="29" t="str">
        <f>PROPER(TEXT(tbLOG[[#This Row],[DATA/HORA]],"mmmm"))</f>
        <v>Janeiro</v>
      </c>
      <c r="C1830" s="34" t="str">
        <f>PROPER(TEXT(tbLOG[[#This Row],[DATA/HORA]],"dddd"))</f>
        <v>Quinta-Feira</v>
      </c>
      <c r="D1830" s="3" t="s">
        <v>604</v>
      </c>
      <c r="E1830" s="34" t="str">
        <f>IFERROR(VLOOKUP(tbLOG[[#This Row],[LOGIN]],tbMAPA[#All],2,0), "Não localizado")</f>
        <v>Renan Cazumba Tegani</v>
      </c>
      <c r="F1830" s="34" t="str">
        <f>IFERROR(VLOOKUP(tbLOG[[#This Row],[LOGIN]],tbMAPA[#All],3,0), "Não localizado")</f>
        <v>Reginaldo Santana De Souza</v>
      </c>
      <c r="G1830" s="3" t="s">
        <v>1211</v>
      </c>
      <c r="H1830" s="3" t="s">
        <v>836</v>
      </c>
    </row>
    <row r="1831" spans="1:8">
      <c r="A1831" s="29">
        <v>42747.513032407405</v>
      </c>
      <c r="B1831" s="29" t="str">
        <f>PROPER(TEXT(tbLOG[[#This Row],[DATA/HORA]],"mmmm"))</f>
        <v>Janeiro</v>
      </c>
      <c r="C1831" s="34" t="str">
        <f>PROPER(TEXT(tbLOG[[#This Row],[DATA/HORA]],"dddd"))</f>
        <v>Quinta-Feira</v>
      </c>
      <c r="D1831" s="3" t="s">
        <v>604</v>
      </c>
      <c r="E1831" s="34" t="str">
        <f>IFERROR(VLOOKUP(tbLOG[[#This Row],[LOGIN]],tbMAPA[#All],2,0), "Não localizado")</f>
        <v>Renan Cazumba Tegani</v>
      </c>
      <c r="F1831" s="34" t="str">
        <f>IFERROR(VLOOKUP(tbLOG[[#This Row],[LOGIN]],tbMAPA[#All],3,0), "Não localizado")</f>
        <v>Reginaldo Santana De Souza</v>
      </c>
      <c r="G1831" s="3" t="s">
        <v>1211</v>
      </c>
      <c r="H1831" s="3" t="s">
        <v>836</v>
      </c>
    </row>
    <row r="1832" spans="1:8">
      <c r="A1832" s="29">
        <v>42747.515266203707</v>
      </c>
      <c r="B1832" s="29" t="str">
        <f>PROPER(TEXT(tbLOG[[#This Row],[DATA/HORA]],"mmmm"))</f>
        <v>Janeiro</v>
      </c>
      <c r="C1832" s="34" t="str">
        <f>PROPER(TEXT(tbLOG[[#This Row],[DATA/HORA]],"dddd"))</f>
        <v>Quinta-Feira</v>
      </c>
      <c r="D1832" s="3" t="s">
        <v>604</v>
      </c>
      <c r="E1832" s="34" t="str">
        <f>IFERROR(VLOOKUP(tbLOG[[#This Row],[LOGIN]],tbMAPA[#All],2,0), "Não localizado")</f>
        <v>Renan Cazumba Tegani</v>
      </c>
      <c r="F1832" s="34" t="str">
        <f>IFERROR(VLOOKUP(tbLOG[[#This Row],[LOGIN]],tbMAPA[#All],3,0), "Não localizado")</f>
        <v>Reginaldo Santana De Souza</v>
      </c>
      <c r="G1832" s="3" t="s">
        <v>1211</v>
      </c>
      <c r="H1832" s="3" t="s">
        <v>836</v>
      </c>
    </row>
    <row r="1833" spans="1:8">
      <c r="A1833" s="29">
        <v>42747.517870370371</v>
      </c>
      <c r="B1833" s="29" t="str">
        <f>PROPER(TEXT(tbLOG[[#This Row],[DATA/HORA]],"mmmm"))</f>
        <v>Janeiro</v>
      </c>
      <c r="C1833" s="34" t="str">
        <f>PROPER(TEXT(tbLOG[[#This Row],[DATA/HORA]],"dddd"))</f>
        <v>Quinta-Feira</v>
      </c>
      <c r="D1833" s="3" t="s">
        <v>604</v>
      </c>
      <c r="E1833" s="34" t="str">
        <f>IFERROR(VLOOKUP(tbLOG[[#This Row],[LOGIN]],tbMAPA[#All],2,0), "Não localizado")</f>
        <v>Renan Cazumba Tegani</v>
      </c>
      <c r="F1833" s="34" t="str">
        <f>IFERROR(VLOOKUP(tbLOG[[#This Row],[LOGIN]],tbMAPA[#All],3,0), "Não localizado")</f>
        <v>Reginaldo Santana De Souza</v>
      </c>
      <c r="G1833" s="3" t="s">
        <v>1211</v>
      </c>
      <c r="H1833" s="3" t="s">
        <v>836</v>
      </c>
    </row>
    <row r="1834" spans="1:8">
      <c r="A1834" s="29">
        <v>42747.517893518518</v>
      </c>
      <c r="B1834" s="29" t="str">
        <f>PROPER(TEXT(tbLOG[[#This Row],[DATA/HORA]],"mmmm"))</f>
        <v>Janeiro</v>
      </c>
      <c r="C1834" s="34" t="str">
        <f>PROPER(TEXT(tbLOG[[#This Row],[DATA/HORA]],"dddd"))</f>
        <v>Quinta-Feira</v>
      </c>
      <c r="D1834" s="3" t="s">
        <v>604</v>
      </c>
      <c r="E1834" s="34" t="str">
        <f>IFERROR(VLOOKUP(tbLOG[[#This Row],[LOGIN]],tbMAPA[#All],2,0), "Não localizado")</f>
        <v>Renan Cazumba Tegani</v>
      </c>
      <c r="F1834" s="34" t="str">
        <f>IFERROR(VLOOKUP(tbLOG[[#This Row],[LOGIN]],tbMAPA[#All],3,0), "Não localizado")</f>
        <v>Reginaldo Santana De Souza</v>
      </c>
      <c r="G1834" s="3" t="s">
        <v>1211</v>
      </c>
      <c r="H1834" s="3" t="s">
        <v>836</v>
      </c>
    </row>
    <row r="1835" spans="1:8">
      <c r="A1835" s="29">
        <v>42747.518067129633</v>
      </c>
      <c r="B1835" s="29" t="str">
        <f>PROPER(TEXT(tbLOG[[#This Row],[DATA/HORA]],"mmmm"))</f>
        <v>Janeiro</v>
      </c>
      <c r="C1835" s="34" t="str">
        <f>PROPER(TEXT(tbLOG[[#This Row],[DATA/HORA]],"dddd"))</f>
        <v>Quinta-Feira</v>
      </c>
      <c r="D1835" s="3" t="s">
        <v>604</v>
      </c>
      <c r="E1835" s="34" t="str">
        <f>IFERROR(VLOOKUP(tbLOG[[#This Row],[LOGIN]],tbMAPA[#All],2,0), "Não localizado")</f>
        <v>Renan Cazumba Tegani</v>
      </c>
      <c r="F1835" s="34" t="str">
        <f>IFERROR(VLOOKUP(tbLOG[[#This Row],[LOGIN]],tbMAPA[#All],3,0), "Não localizado")</f>
        <v>Reginaldo Santana De Souza</v>
      </c>
      <c r="G1835" s="3" t="s">
        <v>1211</v>
      </c>
      <c r="H1835" s="3" t="s">
        <v>836</v>
      </c>
    </row>
    <row r="1836" spans="1:8">
      <c r="A1836" s="29">
        <v>42747.520312499997</v>
      </c>
      <c r="B1836" s="29" t="str">
        <f>PROPER(TEXT(tbLOG[[#This Row],[DATA/HORA]],"mmmm"))</f>
        <v>Janeiro</v>
      </c>
      <c r="C1836" s="34" t="str">
        <f>PROPER(TEXT(tbLOG[[#This Row],[DATA/HORA]],"dddd"))</f>
        <v>Quinta-Feira</v>
      </c>
      <c r="D1836" s="3" t="s">
        <v>604</v>
      </c>
      <c r="E1836" s="34" t="str">
        <f>IFERROR(VLOOKUP(tbLOG[[#This Row],[LOGIN]],tbMAPA[#All],2,0), "Não localizado")</f>
        <v>Renan Cazumba Tegani</v>
      </c>
      <c r="F1836" s="34" t="str">
        <f>IFERROR(VLOOKUP(tbLOG[[#This Row],[LOGIN]],tbMAPA[#All],3,0), "Não localizado")</f>
        <v>Reginaldo Santana De Souza</v>
      </c>
      <c r="G1836" s="3" t="s">
        <v>1211</v>
      </c>
      <c r="H1836" s="3" t="s">
        <v>836</v>
      </c>
    </row>
    <row r="1837" spans="1:8">
      <c r="A1837" s="29">
        <v>42747.520335648151</v>
      </c>
      <c r="B1837" s="29" t="str">
        <f>PROPER(TEXT(tbLOG[[#This Row],[DATA/HORA]],"mmmm"))</f>
        <v>Janeiro</v>
      </c>
      <c r="C1837" s="34" t="str">
        <f>PROPER(TEXT(tbLOG[[#This Row],[DATA/HORA]],"dddd"))</f>
        <v>Quinta-Feira</v>
      </c>
      <c r="D1837" s="3" t="s">
        <v>604</v>
      </c>
      <c r="E1837" s="34" t="str">
        <f>IFERROR(VLOOKUP(tbLOG[[#This Row],[LOGIN]],tbMAPA[#All],2,0), "Não localizado")</f>
        <v>Renan Cazumba Tegani</v>
      </c>
      <c r="F1837" s="34" t="str">
        <f>IFERROR(VLOOKUP(tbLOG[[#This Row],[LOGIN]],tbMAPA[#All],3,0), "Não localizado")</f>
        <v>Reginaldo Santana De Souza</v>
      </c>
      <c r="G1837" s="3" t="s">
        <v>1211</v>
      </c>
      <c r="H1837" s="3" t="s">
        <v>836</v>
      </c>
    </row>
    <row r="1838" spans="1:8">
      <c r="A1838" s="29">
        <v>42747.52039351852</v>
      </c>
      <c r="B1838" s="29" t="str">
        <f>PROPER(TEXT(tbLOG[[#This Row],[DATA/HORA]],"mmmm"))</f>
        <v>Janeiro</v>
      </c>
      <c r="C1838" s="34" t="str">
        <f>PROPER(TEXT(tbLOG[[#This Row],[DATA/HORA]],"dddd"))</f>
        <v>Quinta-Feira</v>
      </c>
      <c r="D1838" s="3" t="s">
        <v>604</v>
      </c>
      <c r="E1838" s="34" t="str">
        <f>IFERROR(VLOOKUP(tbLOG[[#This Row],[LOGIN]],tbMAPA[#All],2,0), "Não localizado")</f>
        <v>Renan Cazumba Tegani</v>
      </c>
      <c r="F1838" s="34" t="str">
        <f>IFERROR(VLOOKUP(tbLOG[[#This Row],[LOGIN]],tbMAPA[#All],3,0), "Não localizado")</f>
        <v>Reginaldo Santana De Souza</v>
      </c>
      <c r="G1838" s="3" t="s">
        <v>1211</v>
      </c>
      <c r="H1838" s="3" t="s">
        <v>836</v>
      </c>
    </row>
    <row r="1839" spans="1:8">
      <c r="A1839" s="29">
        <v>42747.523240740738</v>
      </c>
      <c r="B1839" s="29" t="str">
        <f>PROPER(TEXT(tbLOG[[#This Row],[DATA/HORA]],"mmmm"))</f>
        <v>Janeiro</v>
      </c>
      <c r="C1839" s="34" t="str">
        <f>PROPER(TEXT(tbLOG[[#This Row],[DATA/HORA]],"dddd"))</f>
        <v>Quinta-Feira</v>
      </c>
      <c r="D1839" s="3" t="s">
        <v>604</v>
      </c>
      <c r="E1839" s="34" t="str">
        <f>IFERROR(VLOOKUP(tbLOG[[#This Row],[LOGIN]],tbMAPA[#All],2,0), "Não localizado")</f>
        <v>Renan Cazumba Tegani</v>
      </c>
      <c r="F1839" s="34" t="str">
        <f>IFERROR(VLOOKUP(tbLOG[[#This Row],[LOGIN]],tbMAPA[#All],3,0), "Não localizado")</f>
        <v>Reginaldo Santana De Souza</v>
      </c>
      <c r="G1839" s="3" t="s">
        <v>1211</v>
      </c>
      <c r="H1839" s="3" t="s">
        <v>836</v>
      </c>
    </row>
    <row r="1840" spans="1:8">
      <c r="A1840" s="29">
        <v>42747.523252314815</v>
      </c>
      <c r="B1840" s="29" t="str">
        <f>PROPER(TEXT(tbLOG[[#This Row],[DATA/HORA]],"mmmm"))</f>
        <v>Janeiro</v>
      </c>
      <c r="C1840" s="34" t="str">
        <f>PROPER(TEXT(tbLOG[[#This Row],[DATA/HORA]],"dddd"))</f>
        <v>Quinta-Feira</v>
      </c>
      <c r="D1840" s="3" t="s">
        <v>604</v>
      </c>
      <c r="E1840" s="34" t="str">
        <f>IFERROR(VLOOKUP(tbLOG[[#This Row],[LOGIN]],tbMAPA[#All],2,0), "Não localizado")</f>
        <v>Renan Cazumba Tegani</v>
      </c>
      <c r="F1840" s="34" t="str">
        <f>IFERROR(VLOOKUP(tbLOG[[#This Row],[LOGIN]],tbMAPA[#All],3,0), "Não localizado")</f>
        <v>Reginaldo Santana De Souza</v>
      </c>
      <c r="G1840" s="3" t="s">
        <v>1211</v>
      </c>
      <c r="H1840" s="3" t="s">
        <v>836</v>
      </c>
    </row>
    <row r="1841" spans="1:8">
      <c r="A1841" s="29">
        <v>42747.523287037038</v>
      </c>
      <c r="B1841" s="29" t="str">
        <f>PROPER(TEXT(tbLOG[[#This Row],[DATA/HORA]],"mmmm"))</f>
        <v>Janeiro</v>
      </c>
      <c r="C1841" s="34" t="str">
        <f>PROPER(TEXT(tbLOG[[#This Row],[DATA/HORA]],"dddd"))</f>
        <v>Quinta-Feira</v>
      </c>
      <c r="D1841" s="3" t="s">
        <v>604</v>
      </c>
      <c r="E1841" s="34" t="str">
        <f>IFERROR(VLOOKUP(tbLOG[[#This Row],[LOGIN]],tbMAPA[#All],2,0), "Não localizado")</f>
        <v>Renan Cazumba Tegani</v>
      </c>
      <c r="F1841" s="34" t="str">
        <f>IFERROR(VLOOKUP(tbLOG[[#This Row],[LOGIN]],tbMAPA[#All],3,0), "Não localizado")</f>
        <v>Reginaldo Santana De Souza</v>
      </c>
      <c r="G1841" s="3" t="s">
        <v>1211</v>
      </c>
      <c r="H1841" s="3" t="s">
        <v>836</v>
      </c>
    </row>
    <row r="1842" spans="1:8">
      <c r="A1842" s="29">
        <v>42747.523472222223</v>
      </c>
      <c r="B1842" s="29" t="str">
        <f>PROPER(TEXT(tbLOG[[#This Row],[DATA/HORA]],"mmmm"))</f>
        <v>Janeiro</v>
      </c>
      <c r="C1842" s="34" t="str">
        <f>PROPER(TEXT(tbLOG[[#This Row],[DATA/HORA]],"dddd"))</f>
        <v>Quinta-Feira</v>
      </c>
      <c r="D1842" s="3" t="s">
        <v>604</v>
      </c>
      <c r="E1842" s="34" t="str">
        <f>IFERROR(VLOOKUP(tbLOG[[#This Row],[LOGIN]],tbMAPA[#All],2,0), "Não localizado")</f>
        <v>Renan Cazumba Tegani</v>
      </c>
      <c r="F1842" s="34" t="str">
        <f>IFERROR(VLOOKUP(tbLOG[[#This Row],[LOGIN]],tbMAPA[#All],3,0), "Não localizado")</f>
        <v>Reginaldo Santana De Souza</v>
      </c>
      <c r="G1842" s="3" t="s">
        <v>1211</v>
      </c>
      <c r="H1842" s="3" t="s">
        <v>836</v>
      </c>
    </row>
    <row r="1843" spans="1:8">
      <c r="A1843" s="29">
        <v>42747.523518518516</v>
      </c>
      <c r="B1843" s="29" t="str">
        <f>PROPER(TEXT(tbLOG[[#This Row],[DATA/HORA]],"mmmm"))</f>
        <v>Janeiro</v>
      </c>
      <c r="C1843" s="34" t="str">
        <f>PROPER(TEXT(tbLOG[[#This Row],[DATA/HORA]],"dddd"))</f>
        <v>Quinta-Feira</v>
      </c>
      <c r="D1843" s="3" t="s">
        <v>604</v>
      </c>
      <c r="E1843" s="34" t="str">
        <f>IFERROR(VLOOKUP(tbLOG[[#This Row],[LOGIN]],tbMAPA[#All],2,0), "Não localizado")</f>
        <v>Renan Cazumba Tegani</v>
      </c>
      <c r="F1843" s="34" t="str">
        <f>IFERROR(VLOOKUP(tbLOG[[#This Row],[LOGIN]],tbMAPA[#All],3,0), "Não localizado")</f>
        <v>Reginaldo Santana De Souza</v>
      </c>
      <c r="G1843" s="3" t="s">
        <v>1211</v>
      </c>
      <c r="H1843" s="3" t="s">
        <v>836</v>
      </c>
    </row>
    <row r="1844" spans="1:8">
      <c r="A1844" s="29">
        <v>42747.526284722226</v>
      </c>
      <c r="B1844" s="29" t="str">
        <f>PROPER(TEXT(tbLOG[[#This Row],[DATA/HORA]],"mmmm"))</f>
        <v>Janeiro</v>
      </c>
      <c r="C1844" s="34" t="str">
        <f>PROPER(TEXT(tbLOG[[#This Row],[DATA/HORA]],"dddd"))</f>
        <v>Quinta-Feira</v>
      </c>
      <c r="D1844" s="3" t="s">
        <v>604</v>
      </c>
      <c r="E1844" s="34" t="str">
        <f>IFERROR(VLOOKUP(tbLOG[[#This Row],[LOGIN]],tbMAPA[#All],2,0), "Não localizado")</f>
        <v>Renan Cazumba Tegani</v>
      </c>
      <c r="F1844" s="34" t="str">
        <f>IFERROR(VLOOKUP(tbLOG[[#This Row],[LOGIN]],tbMAPA[#All],3,0), "Não localizado")</f>
        <v>Reginaldo Santana De Souza</v>
      </c>
      <c r="G1844" s="3" t="s">
        <v>1211</v>
      </c>
      <c r="H1844" s="3" t="s">
        <v>836</v>
      </c>
    </row>
    <row r="1845" spans="1:8">
      <c r="A1845" s="29">
        <v>42747.526319444441</v>
      </c>
      <c r="B1845" s="29" t="str">
        <f>PROPER(TEXT(tbLOG[[#This Row],[DATA/HORA]],"mmmm"))</f>
        <v>Janeiro</v>
      </c>
      <c r="C1845" s="34" t="str">
        <f>PROPER(TEXT(tbLOG[[#This Row],[DATA/HORA]],"dddd"))</f>
        <v>Quinta-Feira</v>
      </c>
      <c r="D1845" s="3" t="s">
        <v>604</v>
      </c>
      <c r="E1845" s="34" t="str">
        <f>IFERROR(VLOOKUP(tbLOG[[#This Row],[LOGIN]],tbMAPA[#All],2,0), "Não localizado")</f>
        <v>Renan Cazumba Tegani</v>
      </c>
      <c r="F1845" s="34" t="str">
        <f>IFERROR(VLOOKUP(tbLOG[[#This Row],[LOGIN]],tbMAPA[#All],3,0), "Não localizado")</f>
        <v>Reginaldo Santana De Souza</v>
      </c>
      <c r="G1845" s="3" t="s">
        <v>1211</v>
      </c>
      <c r="H1845" s="3" t="s">
        <v>836</v>
      </c>
    </row>
    <row r="1846" spans="1:8">
      <c r="A1846" s="29">
        <v>42747.526342592595</v>
      </c>
      <c r="B1846" s="29" t="str">
        <f>PROPER(TEXT(tbLOG[[#This Row],[DATA/HORA]],"mmmm"))</f>
        <v>Janeiro</v>
      </c>
      <c r="C1846" s="34" t="str">
        <f>PROPER(TEXT(tbLOG[[#This Row],[DATA/HORA]],"dddd"))</f>
        <v>Quinta-Feira</v>
      </c>
      <c r="D1846" s="3" t="s">
        <v>604</v>
      </c>
      <c r="E1846" s="34" t="str">
        <f>IFERROR(VLOOKUP(tbLOG[[#This Row],[LOGIN]],tbMAPA[#All],2,0), "Não localizado")</f>
        <v>Renan Cazumba Tegani</v>
      </c>
      <c r="F1846" s="34" t="str">
        <f>IFERROR(VLOOKUP(tbLOG[[#This Row],[LOGIN]],tbMAPA[#All],3,0), "Não localizado")</f>
        <v>Reginaldo Santana De Souza</v>
      </c>
      <c r="G1846" s="3" t="s">
        <v>1211</v>
      </c>
      <c r="H1846" s="3" t="s">
        <v>836</v>
      </c>
    </row>
    <row r="1847" spans="1:8">
      <c r="A1847" s="29">
        <v>42747.526400462964</v>
      </c>
      <c r="B1847" s="29" t="str">
        <f>PROPER(TEXT(tbLOG[[#This Row],[DATA/HORA]],"mmmm"))</f>
        <v>Janeiro</v>
      </c>
      <c r="C1847" s="34" t="str">
        <f>PROPER(TEXT(tbLOG[[#This Row],[DATA/HORA]],"dddd"))</f>
        <v>Quinta-Feira</v>
      </c>
      <c r="D1847" s="3" t="s">
        <v>604</v>
      </c>
      <c r="E1847" s="34" t="str">
        <f>IFERROR(VLOOKUP(tbLOG[[#This Row],[LOGIN]],tbMAPA[#All],2,0), "Não localizado")</f>
        <v>Renan Cazumba Tegani</v>
      </c>
      <c r="F1847" s="34" t="str">
        <f>IFERROR(VLOOKUP(tbLOG[[#This Row],[LOGIN]],tbMAPA[#All],3,0), "Não localizado")</f>
        <v>Reginaldo Santana De Souza</v>
      </c>
      <c r="G1847" s="3" t="s">
        <v>1211</v>
      </c>
      <c r="H1847" s="3" t="s">
        <v>836</v>
      </c>
    </row>
    <row r="1848" spans="1:8">
      <c r="A1848" s="29">
        <v>42747.532372685186</v>
      </c>
      <c r="B1848" s="29" t="str">
        <f>PROPER(TEXT(tbLOG[[#This Row],[DATA/HORA]],"mmmm"))</f>
        <v>Janeiro</v>
      </c>
      <c r="C1848" s="34" t="str">
        <f>PROPER(TEXT(tbLOG[[#This Row],[DATA/HORA]],"dddd"))</f>
        <v>Quinta-Feira</v>
      </c>
      <c r="D1848" s="3" t="s">
        <v>604</v>
      </c>
      <c r="E1848" s="34" t="str">
        <f>IFERROR(VLOOKUP(tbLOG[[#This Row],[LOGIN]],tbMAPA[#All],2,0), "Não localizado")</f>
        <v>Renan Cazumba Tegani</v>
      </c>
      <c r="F1848" s="34" t="str">
        <f>IFERROR(VLOOKUP(tbLOG[[#This Row],[LOGIN]],tbMAPA[#All],3,0), "Não localizado")</f>
        <v>Reginaldo Santana De Souza</v>
      </c>
      <c r="G1848" s="3" t="s">
        <v>1211</v>
      </c>
      <c r="H1848" s="3" t="s">
        <v>836</v>
      </c>
    </row>
    <row r="1849" spans="1:8">
      <c r="A1849" s="29">
        <v>42747.532395833332</v>
      </c>
      <c r="B1849" s="29" t="str">
        <f>PROPER(TEXT(tbLOG[[#This Row],[DATA/HORA]],"mmmm"))</f>
        <v>Janeiro</v>
      </c>
      <c r="C1849" s="34" t="str">
        <f>PROPER(TEXT(tbLOG[[#This Row],[DATA/HORA]],"dddd"))</f>
        <v>Quinta-Feira</v>
      </c>
      <c r="D1849" s="3" t="s">
        <v>604</v>
      </c>
      <c r="E1849" s="34" t="str">
        <f>IFERROR(VLOOKUP(tbLOG[[#This Row],[LOGIN]],tbMAPA[#All],2,0), "Não localizado")</f>
        <v>Renan Cazumba Tegani</v>
      </c>
      <c r="F1849" s="34" t="str">
        <f>IFERROR(VLOOKUP(tbLOG[[#This Row],[LOGIN]],tbMAPA[#All],3,0), "Não localizado")</f>
        <v>Reginaldo Santana De Souza</v>
      </c>
      <c r="G1849" s="3" t="s">
        <v>1211</v>
      </c>
      <c r="H1849" s="3" t="s">
        <v>836</v>
      </c>
    </row>
    <row r="1850" spans="1:8">
      <c r="A1850" s="29">
        <v>42747.53266203704</v>
      </c>
      <c r="B1850" s="29" t="str">
        <f>PROPER(TEXT(tbLOG[[#This Row],[DATA/HORA]],"mmmm"))</f>
        <v>Janeiro</v>
      </c>
      <c r="C1850" s="34" t="str">
        <f>PROPER(TEXT(tbLOG[[#This Row],[DATA/HORA]],"dddd"))</f>
        <v>Quinta-Feira</v>
      </c>
      <c r="D1850" s="3" t="s">
        <v>604</v>
      </c>
      <c r="E1850" s="34" t="str">
        <f>IFERROR(VLOOKUP(tbLOG[[#This Row],[LOGIN]],tbMAPA[#All],2,0), "Não localizado")</f>
        <v>Renan Cazumba Tegani</v>
      </c>
      <c r="F1850" s="34" t="str">
        <f>IFERROR(VLOOKUP(tbLOG[[#This Row],[LOGIN]],tbMAPA[#All],3,0), "Não localizado")</f>
        <v>Reginaldo Santana De Souza</v>
      </c>
      <c r="G1850" s="3" t="s">
        <v>1211</v>
      </c>
      <c r="H1850" s="3" t="s">
        <v>836</v>
      </c>
    </row>
    <row r="1851" spans="1:8">
      <c r="A1851" s="29">
        <v>42747.549791666665</v>
      </c>
      <c r="B1851" s="29" t="str">
        <f>PROPER(TEXT(tbLOG[[#This Row],[DATA/HORA]],"mmmm"))</f>
        <v>Janeiro</v>
      </c>
      <c r="C1851" s="34" t="str">
        <f>PROPER(TEXT(tbLOG[[#This Row],[DATA/HORA]],"dddd"))</f>
        <v>Quinta-Feira</v>
      </c>
      <c r="D1851" s="3" t="s">
        <v>604</v>
      </c>
      <c r="E1851" s="34" t="str">
        <f>IFERROR(VLOOKUP(tbLOG[[#This Row],[LOGIN]],tbMAPA[#All],2,0), "Não localizado")</f>
        <v>Renan Cazumba Tegani</v>
      </c>
      <c r="F1851" s="34" t="str">
        <f>IFERROR(VLOOKUP(tbLOG[[#This Row],[LOGIN]],tbMAPA[#All],3,0), "Não localizado")</f>
        <v>Reginaldo Santana De Souza</v>
      </c>
      <c r="G1851" s="3" t="s">
        <v>1211</v>
      </c>
      <c r="H1851" s="3" t="s">
        <v>836</v>
      </c>
    </row>
    <row r="1852" spans="1:8">
      <c r="A1852" s="29">
        <v>42747.549826388888</v>
      </c>
      <c r="B1852" s="29" t="str">
        <f>PROPER(TEXT(tbLOG[[#This Row],[DATA/HORA]],"mmmm"))</f>
        <v>Janeiro</v>
      </c>
      <c r="C1852" s="34" t="str">
        <f>PROPER(TEXT(tbLOG[[#This Row],[DATA/HORA]],"dddd"))</f>
        <v>Quinta-Feira</v>
      </c>
      <c r="D1852" s="3" t="s">
        <v>604</v>
      </c>
      <c r="E1852" s="34" t="str">
        <f>IFERROR(VLOOKUP(tbLOG[[#This Row],[LOGIN]],tbMAPA[#All],2,0), "Não localizado")</f>
        <v>Renan Cazumba Tegani</v>
      </c>
      <c r="F1852" s="34" t="str">
        <f>IFERROR(VLOOKUP(tbLOG[[#This Row],[LOGIN]],tbMAPA[#All],3,0), "Não localizado")</f>
        <v>Reginaldo Santana De Souza</v>
      </c>
      <c r="G1852" s="3" t="s">
        <v>1211</v>
      </c>
      <c r="H1852" s="3" t="s">
        <v>836</v>
      </c>
    </row>
    <row r="1853" spans="1:8">
      <c r="A1853" s="29">
        <v>42747.550034722219</v>
      </c>
      <c r="B1853" s="29" t="str">
        <f>PROPER(TEXT(tbLOG[[#This Row],[DATA/HORA]],"mmmm"))</f>
        <v>Janeiro</v>
      </c>
      <c r="C1853" s="34" t="str">
        <f>PROPER(TEXT(tbLOG[[#This Row],[DATA/HORA]],"dddd"))</f>
        <v>Quinta-Feira</v>
      </c>
      <c r="D1853" s="3" t="s">
        <v>604</v>
      </c>
      <c r="E1853" s="34" t="str">
        <f>IFERROR(VLOOKUP(tbLOG[[#This Row],[LOGIN]],tbMAPA[#All],2,0), "Não localizado")</f>
        <v>Renan Cazumba Tegani</v>
      </c>
      <c r="F1853" s="34" t="str">
        <f>IFERROR(VLOOKUP(tbLOG[[#This Row],[LOGIN]],tbMAPA[#All],3,0), "Não localizado")</f>
        <v>Reginaldo Santana De Souza</v>
      </c>
      <c r="G1853" s="3" t="s">
        <v>1211</v>
      </c>
      <c r="H1853" s="3" t="s">
        <v>836</v>
      </c>
    </row>
    <row r="1854" spans="1:8">
      <c r="A1854" s="29">
        <v>42747.550185185188</v>
      </c>
      <c r="B1854" s="29" t="str">
        <f>PROPER(TEXT(tbLOG[[#This Row],[DATA/HORA]],"mmmm"))</f>
        <v>Janeiro</v>
      </c>
      <c r="C1854" s="34" t="str">
        <f>PROPER(TEXT(tbLOG[[#This Row],[DATA/HORA]],"dddd"))</f>
        <v>Quinta-Feira</v>
      </c>
      <c r="D1854" s="3" t="s">
        <v>604</v>
      </c>
      <c r="E1854" s="34" t="str">
        <f>IFERROR(VLOOKUP(tbLOG[[#This Row],[LOGIN]],tbMAPA[#All],2,0), "Não localizado")</f>
        <v>Renan Cazumba Tegani</v>
      </c>
      <c r="F1854" s="34" t="str">
        <f>IFERROR(VLOOKUP(tbLOG[[#This Row],[LOGIN]],tbMAPA[#All],3,0), "Não localizado")</f>
        <v>Reginaldo Santana De Souza</v>
      </c>
      <c r="G1854" s="3" t="s">
        <v>1211</v>
      </c>
      <c r="H1854" s="3" t="s">
        <v>836</v>
      </c>
    </row>
    <row r="1855" spans="1:8">
      <c r="A1855" s="29">
        <v>42747.551770833335</v>
      </c>
      <c r="B1855" s="29" t="str">
        <f>PROPER(TEXT(tbLOG[[#This Row],[DATA/HORA]],"mmmm"))</f>
        <v>Janeiro</v>
      </c>
      <c r="C1855" s="34" t="str">
        <f>PROPER(TEXT(tbLOG[[#This Row],[DATA/HORA]],"dddd"))</f>
        <v>Quinta-Feira</v>
      </c>
      <c r="D1855" s="3" t="s">
        <v>604</v>
      </c>
      <c r="E1855" s="34" t="str">
        <f>IFERROR(VLOOKUP(tbLOG[[#This Row],[LOGIN]],tbMAPA[#All],2,0), "Não localizado")</f>
        <v>Renan Cazumba Tegani</v>
      </c>
      <c r="F1855" s="34" t="str">
        <f>IFERROR(VLOOKUP(tbLOG[[#This Row],[LOGIN]],tbMAPA[#All],3,0), "Não localizado")</f>
        <v>Reginaldo Santana De Souza</v>
      </c>
      <c r="G1855" s="3" t="s">
        <v>1211</v>
      </c>
      <c r="H1855" s="3" t="s">
        <v>836</v>
      </c>
    </row>
    <row r="1856" spans="1:8">
      <c r="A1856" s="29">
        <v>42747.551782407405</v>
      </c>
      <c r="B1856" s="29" t="str">
        <f>PROPER(TEXT(tbLOG[[#This Row],[DATA/HORA]],"mmmm"))</f>
        <v>Janeiro</v>
      </c>
      <c r="C1856" s="34" t="str">
        <f>PROPER(TEXT(tbLOG[[#This Row],[DATA/HORA]],"dddd"))</f>
        <v>Quinta-Feira</v>
      </c>
      <c r="D1856" s="3" t="s">
        <v>604</v>
      </c>
      <c r="E1856" s="34" t="str">
        <f>IFERROR(VLOOKUP(tbLOG[[#This Row],[LOGIN]],tbMAPA[#All],2,0), "Não localizado")</f>
        <v>Renan Cazumba Tegani</v>
      </c>
      <c r="F1856" s="34" t="str">
        <f>IFERROR(VLOOKUP(tbLOG[[#This Row],[LOGIN]],tbMAPA[#All],3,0), "Não localizado")</f>
        <v>Reginaldo Santana De Souza</v>
      </c>
      <c r="G1856" s="3" t="s">
        <v>1211</v>
      </c>
      <c r="H1856" s="3" t="s">
        <v>836</v>
      </c>
    </row>
    <row r="1857" spans="1:8">
      <c r="A1857" s="29">
        <v>42747.551828703705</v>
      </c>
      <c r="B1857" s="29" t="str">
        <f>PROPER(TEXT(tbLOG[[#This Row],[DATA/HORA]],"mmmm"))</f>
        <v>Janeiro</v>
      </c>
      <c r="C1857" s="34" t="str">
        <f>PROPER(TEXT(tbLOG[[#This Row],[DATA/HORA]],"dddd"))</f>
        <v>Quinta-Feira</v>
      </c>
      <c r="D1857" s="3" t="s">
        <v>604</v>
      </c>
      <c r="E1857" s="34" t="str">
        <f>IFERROR(VLOOKUP(tbLOG[[#This Row],[LOGIN]],tbMAPA[#All],2,0), "Não localizado")</f>
        <v>Renan Cazumba Tegani</v>
      </c>
      <c r="F1857" s="34" t="str">
        <f>IFERROR(VLOOKUP(tbLOG[[#This Row],[LOGIN]],tbMAPA[#All],3,0), "Não localizado")</f>
        <v>Reginaldo Santana De Souza</v>
      </c>
      <c r="G1857" s="3" t="s">
        <v>1211</v>
      </c>
      <c r="H1857" s="3" t="s">
        <v>836</v>
      </c>
    </row>
    <row r="1858" spans="1:8">
      <c r="A1858" s="29">
        <v>42747.551863425928</v>
      </c>
      <c r="B1858" s="29" t="str">
        <f>PROPER(TEXT(tbLOG[[#This Row],[DATA/HORA]],"mmmm"))</f>
        <v>Janeiro</v>
      </c>
      <c r="C1858" s="34" t="str">
        <f>PROPER(TEXT(tbLOG[[#This Row],[DATA/HORA]],"dddd"))</f>
        <v>Quinta-Feira</v>
      </c>
      <c r="D1858" s="3" t="s">
        <v>604</v>
      </c>
      <c r="E1858" s="34" t="str">
        <f>IFERROR(VLOOKUP(tbLOG[[#This Row],[LOGIN]],tbMAPA[#All],2,0), "Não localizado")</f>
        <v>Renan Cazumba Tegani</v>
      </c>
      <c r="F1858" s="34" t="str">
        <f>IFERROR(VLOOKUP(tbLOG[[#This Row],[LOGIN]],tbMAPA[#All],3,0), "Não localizado")</f>
        <v>Reginaldo Santana De Souza</v>
      </c>
      <c r="G1858" s="3" t="s">
        <v>1211</v>
      </c>
      <c r="H1858" s="3" t="s">
        <v>836</v>
      </c>
    </row>
    <row r="1859" spans="1:8">
      <c r="A1859" s="29">
        <v>42747.553935185184</v>
      </c>
      <c r="B1859" s="29" t="str">
        <f>PROPER(TEXT(tbLOG[[#This Row],[DATA/HORA]],"mmmm"))</f>
        <v>Janeiro</v>
      </c>
      <c r="C1859" s="34" t="str">
        <f>PROPER(TEXT(tbLOG[[#This Row],[DATA/HORA]],"dddd"))</f>
        <v>Quinta-Feira</v>
      </c>
      <c r="D1859" s="3" t="s">
        <v>604</v>
      </c>
      <c r="E1859" s="34" t="str">
        <f>IFERROR(VLOOKUP(tbLOG[[#This Row],[LOGIN]],tbMAPA[#All],2,0), "Não localizado")</f>
        <v>Renan Cazumba Tegani</v>
      </c>
      <c r="F1859" s="34" t="str">
        <f>IFERROR(VLOOKUP(tbLOG[[#This Row],[LOGIN]],tbMAPA[#All],3,0), "Não localizado")</f>
        <v>Reginaldo Santana De Souza</v>
      </c>
      <c r="G1859" s="3" t="s">
        <v>1211</v>
      </c>
      <c r="H1859" s="3" t="s">
        <v>836</v>
      </c>
    </row>
    <row r="1860" spans="1:8">
      <c r="A1860" s="29">
        <v>42747.553946759261</v>
      </c>
      <c r="B1860" s="29" t="str">
        <f>PROPER(TEXT(tbLOG[[#This Row],[DATA/HORA]],"mmmm"))</f>
        <v>Janeiro</v>
      </c>
      <c r="C1860" s="34" t="str">
        <f>PROPER(TEXT(tbLOG[[#This Row],[DATA/HORA]],"dddd"))</f>
        <v>Quinta-Feira</v>
      </c>
      <c r="D1860" s="3" t="s">
        <v>604</v>
      </c>
      <c r="E1860" s="34" t="str">
        <f>IFERROR(VLOOKUP(tbLOG[[#This Row],[LOGIN]],tbMAPA[#All],2,0), "Não localizado")</f>
        <v>Renan Cazumba Tegani</v>
      </c>
      <c r="F1860" s="34" t="str">
        <f>IFERROR(VLOOKUP(tbLOG[[#This Row],[LOGIN]],tbMAPA[#All],3,0), "Não localizado")</f>
        <v>Reginaldo Santana De Souza</v>
      </c>
      <c r="G1860" s="3" t="s">
        <v>1211</v>
      </c>
      <c r="H1860" s="3" t="s">
        <v>836</v>
      </c>
    </row>
    <row r="1861" spans="1:8">
      <c r="A1861" s="29">
        <v>42747.553981481484</v>
      </c>
      <c r="B1861" s="29" t="str">
        <f>PROPER(TEXT(tbLOG[[#This Row],[DATA/HORA]],"mmmm"))</f>
        <v>Janeiro</v>
      </c>
      <c r="C1861" s="34" t="str">
        <f>PROPER(TEXT(tbLOG[[#This Row],[DATA/HORA]],"dddd"))</f>
        <v>Quinta-Feira</v>
      </c>
      <c r="D1861" s="3" t="s">
        <v>604</v>
      </c>
      <c r="E1861" s="34" t="str">
        <f>IFERROR(VLOOKUP(tbLOG[[#This Row],[LOGIN]],tbMAPA[#All],2,0), "Não localizado")</f>
        <v>Renan Cazumba Tegani</v>
      </c>
      <c r="F1861" s="34" t="str">
        <f>IFERROR(VLOOKUP(tbLOG[[#This Row],[LOGIN]],tbMAPA[#All],3,0), "Não localizado")</f>
        <v>Reginaldo Santana De Souza</v>
      </c>
      <c r="G1861" s="3" t="s">
        <v>1211</v>
      </c>
      <c r="H1861" s="3" t="s">
        <v>836</v>
      </c>
    </row>
    <row r="1862" spans="1:8">
      <c r="A1862" s="29">
        <v>42747.559583333335</v>
      </c>
      <c r="B1862" s="29" t="str">
        <f>PROPER(TEXT(tbLOG[[#This Row],[DATA/HORA]],"mmmm"))</f>
        <v>Janeiro</v>
      </c>
      <c r="C1862" s="34" t="str">
        <f>PROPER(TEXT(tbLOG[[#This Row],[DATA/HORA]],"dddd"))</f>
        <v>Quinta-Feira</v>
      </c>
      <c r="D1862" s="3" t="s">
        <v>604</v>
      </c>
      <c r="E1862" s="34" t="str">
        <f>IFERROR(VLOOKUP(tbLOG[[#This Row],[LOGIN]],tbMAPA[#All],2,0), "Não localizado")</f>
        <v>Renan Cazumba Tegani</v>
      </c>
      <c r="F1862" s="34" t="str">
        <f>IFERROR(VLOOKUP(tbLOG[[#This Row],[LOGIN]],tbMAPA[#All],3,0), "Não localizado")</f>
        <v>Reginaldo Santana De Souza</v>
      </c>
      <c r="G1862" s="3" t="s">
        <v>1211</v>
      </c>
      <c r="H1862" s="3" t="s">
        <v>836</v>
      </c>
    </row>
    <row r="1863" spans="1:8">
      <c r="A1863" s="29">
        <v>42747.559618055559</v>
      </c>
      <c r="B1863" s="29" t="str">
        <f>PROPER(TEXT(tbLOG[[#This Row],[DATA/HORA]],"mmmm"))</f>
        <v>Janeiro</v>
      </c>
      <c r="C1863" s="34" t="str">
        <f>PROPER(TEXT(tbLOG[[#This Row],[DATA/HORA]],"dddd"))</f>
        <v>Quinta-Feira</v>
      </c>
      <c r="D1863" s="3" t="s">
        <v>604</v>
      </c>
      <c r="E1863" s="34" t="str">
        <f>IFERROR(VLOOKUP(tbLOG[[#This Row],[LOGIN]],tbMAPA[#All],2,0), "Não localizado")</f>
        <v>Renan Cazumba Tegani</v>
      </c>
      <c r="F1863" s="34" t="str">
        <f>IFERROR(VLOOKUP(tbLOG[[#This Row],[LOGIN]],tbMAPA[#All],3,0), "Não localizado")</f>
        <v>Reginaldo Santana De Souza</v>
      </c>
      <c r="G1863" s="3" t="s">
        <v>1211</v>
      </c>
      <c r="H1863" s="3" t="s">
        <v>836</v>
      </c>
    </row>
    <row r="1864" spans="1:8">
      <c r="A1864" s="29">
        <v>42747.559652777774</v>
      </c>
      <c r="B1864" s="29" t="str">
        <f>PROPER(TEXT(tbLOG[[#This Row],[DATA/HORA]],"mmmm"))</f>
        <v>Janeiro</v>
      </c>
      <c r="C1864" s="34" t="str">
        <f>PROPER(TEXT(tbLOG[[#This Row],[DATA/HORA]],"dddd"))</f>
        <v>Quinta-Feira</v>
      </c>
      <c r="D1864" s="3" t="s">
        <v>604</v>
      </c>
      <c r="E1864" s="34" t="str">
        <f>IFERROR(VLOOKUP(tbLOG[[#This Row],[LOGIN]],tbMAPA[#All],2,0), "Não localizado")</f>
        <v>Renan Cazumba Tegani</v>
      </c>
      <c r="F1864" s="34" t="str">
        <f>IFERROR(VLOOKUP(tbLOG[[#This Row],[LOGIN]],tbMAPA[#All],3,0), "Não localizado")</f>
        <v>Reginaldo Santana De Souza</v>
      </c>
      <c r="G1864" s="3" t="s">
        <v>1211</v>
      </c>
      <c r="H1864" s="3" t="s">
        <v>836</v>
      </c>
    </row>
    <row r="1865" spans="1:8">
      <c r="A1865" s="29">
        <v>42747.565775462965</v>
      </c>
      <c r="B1865" s="29" t="str">
        <f>PROPER(TEXT(tbLOG[[#This Row],[DATA/HORA]],"mmmm"))</f>
        <v>Janeiro</v>
      </c>
      <c r="C1865" s="34" t="str">
        <f>PROPER(TEXT(tbLOG[[#This Row],[DATA/HORA]],"dddd"))</f>
        <v>Quinta-Feira</v>
      </c>
      <c r="D1865" s="3" t="s">
        <v>604</v>
      </c>
      <c r="E1865" s="34" t="str">
        <f>IFERROR(VLOOKUP(tbLOG[[#This Row],[LOGIN]],tbMAPA[#All],2,0), "Não localizado")</f>
        <v>Renan Cazumba Tegani</v>
      </c>
      <c r="F1865" s="34" t="str">
        <f>IFERROR(VLOOKUP(tbLOG[[#This Row],[LOGIN]],tbMAPA[#All],3,0), "Não localizado")</f>
        <v>Reginaldo Santana De Souza</v>
      </c>
      <c r="G1865" s="3" t="s">
        <v>1211</v>
      </c>
      <c r="H1865" s="3" t="s">
        <v>836</v>
      </c>
    </row>
    <row r="1866" spans="1:8">
      <c r="A1866" s="29">
        <v>42747.56622685185</v>
      </c>
      <c r="B1866" s="29" t="str">
        <f>PROPER(TEXT(tbLOG[[#This Row],[DATA/HORA]],"mmmm"))</f>
        <v>Janeiro</v>
      </c>
      <c r="C1866" s="34" t="str">
        <f>PROPER(TEXT(tbLOG[[#This Row],[DATA/HORA]],"dddd"))</f>
        <v>Quinta-Feira</v>
      </c>
      <c r="D1866" s="3" t="s">
        <v>604</v>
      </c>
      <c r="E1866" s="34" t="str">
        <f>IFERROR(VLOOKUP(tbLOG[[#This Row],[LOGIN]],tbMAPA[#All],2,0), "Não localizado")</f>
        <v>Renan Cazumba Tegani</v>
      </c>
      <c r="F1866" s="34" t="str">
        <f>IFERROR(VLOOKUP(tbLOG[[#This Row],[LOGIN]],tbMAPA[#All],3,0), "Não localizado")</f>
        <v>Reginaldo Santana De Souza</v>
      </c>
      <c r="G1866" s="3" t="s">
        <v>1211</v>
      </c>
      <c r="H1866" s="3" t="s">
        <v>836</v>
      </c>
    </row>
    <row r="1867" spans="1:8">
      <c r="A1867" s="29">
        <v>42747.566354166665</v>
      </c>
      <c r="B1867" s="29" t="str">
        <f>PROPER(TEXT(tbLOG[[#This Row],[DATA/HORA]],"mmmm"))</f>
        <v>Janeiro</v>
      </c>
      <c r="C1867" s="34" t="str">
        <f>PROPER(TEXT(tbLOG[[#This Row],[DATA/HORA]],"dddd"))</f>
        <v>Quinta-Feira</v>
      </c>
      <c r="D1867" s="3" t="s">
        <v>604</v>
      </c>
      <c r="E1867" s="34" t="str">
        <f>IFERROR(VLOOKUP(tbLOG[[#This Row],[LOGIN]],tbMAPA[#All],2,0), "Não localizado")</f>
        <v>Renan Cazumba Tegani</v>
      </c>
      <c r="F1867" s="34" t="str">
        <f>IFERROR(VLOOKUP(tbLOG[[#This Row],[LOGIN]],tbMAPA[#All],3,0), "Não localizado")</f>
        <v>Reginaldo Santana De Souza</v>
      </c>
      <c r="G1867" s="3" t="s">
        <v>1211</v>
      </c>
      <c r="H1867" s="3" t="s">
        <v>836</v>
      </c>
    </row>
    <row r="1868" spans="1:8">
      <c r="A1868" s="29">
        <v>42747.570104166669</v>
      </c>
      <c r="B1868" s="29" t="str">
        <f>PROPER(TEXT(tbLOG[[#This Row],[DATA/HORA]],"mmmm"))</f>
        <v>Janeiro</v>
      </c>
      <c r="C1868" s="34" t="str">
        <f>PROPER(TEXT(tbLOG[[#This Row],[DATA/HORA]],"dddd"))</f>
        <v>Quinta-Feira</v>
      </c>
      <c r="D1868" s="3" t="s">
        <v>604</v>
      </c>
      <c r="E1868" s="34" t="str">
        <f>IFERROR(VLOOKUP(tbLOG[[#This Row],[LOGIN]],tbMAPA[#All],2,0), "Não localizado")</f>
        <v>Renan Cazumba Tegani</v>
      </c>
      <c r="F1868" s="34" t="str">
        <f>IFERROR(VLOOKUP(tbLOG[[#This Row],[LOGIN]],tbMAPA[#All],3,0), "Não localizado")</f>
        <v>Reginaldo Santana De Souza</v>
      </c>
      <c r="G1868" s="3" t="s">
        <v>1211</v>
      </c>
      <c r="H1868" s="3" t="s">
        <v>836</v>
      </c>
    </row>
    <row r="1869" spans="1:8">
      <c r="A1869" s="29">
        <v>42747.570138888892</v>
      </c>
      <c r="B1869" s="29" t="str">
        <f>PROPER(TEXT(tbLOG[[#This Row],[DATA/HORA]],"mmmm"))</f>
        <v>Janeiro</v>
      </c>
      <c r="C1869" s="34" t="str">
        <f>PROPER(TEXT(tbLOG[[#This Row],[DATA/HORA]],"dddd"))</f>
        <v>Quinta-Feira</v>
      </c>
      <c r="D1869" s="3" t="s">
        <v>604</v>
      </c>
      <c r="E1869" s="34" t="str">
        <f>IFERROR(VLOOKUP(tbLOG[[#This Row],[LOGIN]],tbMAPA[#All],2,0), "Não localizado")</f>
        <v>Renan Cazumba Tegani</v>
      </c>
      <c r="F1869" s="34" t="str">
        <f>IFERROR(VLOOKUP(tbLOG[[#This Row],[LOGIN]],tbMAPA[#All],3,0), "Não localizado")</f>
        <v>Reginaldo Santana De Souza</v>
      </c>
      <c r="G1869" s="3" t="s">
        <v>1211</v>
      </c>
      <c r="H1869" s="3" t="s">
        <v>836</v>
      </c>
    </row>
    <row r="1870" spans="1:8">
      <c r="A1870" s="29">
        <v>42747.570219907408</v>
      </c>
      <c r="B1870" s="29" t="str">
        <f>PROPER(TEXT(tbLOG[[#This Row],[DATA/HORA]],"mmmm"))</f>
        <v>Janeiro</v>
      </c>
      <c r="C1870" s="34" t="str">
        <f>PROPER(TEXT(tbLOG[[#This Row],[DATA/HORA]],"dddd"))</f>
        <v>Quinta-Feira</v>
      </c>
      <c r="D1870" s="3" t="s">
        <v>604</v>
      </c>
      <c r="E1870" s="34" t="str">
        <f>IFERROR(VLOOKUP(tbLOG[[#This Row],[LOGIN]],tbMAPA[#All],2,0), "Não localizado")</f>
        <v>Renan Cazumba Tegani</v>
      </c>
      <c r="F1870" s="34" t="str">
        <f>IFERROR(VLOOKUP(tbLOG[[#This Row],[LOGIN]],tbMAPA[#All],3,0), "Não localizado")</f>
        <v>Reginaldo Santana De Souza</v>
      </c>
      <c r="G1870" s="3" t="s">
        <v>1211</v>
      </c>
      <c r="H1870" s="3" t="s">
        <v>836</v>
      </c>
    </row>
    <row r="1871" spans="1:8">
      <c r="A1871" s="29">
        <v>42747.5702662037</v>
      </c>
      <c r="B1871" s="29" t="str">
        <f>PROPER(TEXT(tbLOG[[#This Row],[DATA/HORA]],"mmmm"))</f>
        <v>Janeiro</v>
      </c>
      <c r="C1871" s="34" t="str">
        <f>PROPER(TEXT(tbLOG[[#This Row],[DATA/HORA]],"dddd"))</f>
        <v>Quinta-Feira</v>
      </c>
      <c r="D1871" s="3" t="s">
        <v>604</v>
      </c>
      <c r="E1871" s="34" t="str">
        <f>IFERROR(VLOOKUP(tbLOG[[#This Row],[LOGIN]],tbMAPA[#All],2,0), "Não localizado")</f>
        <v>Renan Cazumba Tegani</v>
      </c>
      <c r="F1871" s="34" t="str">
        <f>IFERROR(VLOOKUP(tbLOG[[#This Row],[LOGIN]],tbMAPA[#All],3,0), "Não localizado")</f>
        <v>Reginaldo Santana De Souza</v>
      </c>
      <c r="G1871" s="3" t="s">
        <v>1211</v>
      </c>
      <c r="H1871" s="3" t="s">
        <v>290</v>
      </c>
    </row>
    <row r="1872" spans="1:8">
      <c r="A1872" s="29">
        <v>42747.580138888887</v>
      </c>
      <c r="B1872" s="29" t="str">
        <f>PROPER(TEXT(tbLOG[[#This Row],[DATA/HORA]],"mmmm"))</f>
        <v>Janeiro</v>
      </c>
      <c r="C1872" s="34" t="str">
        <f>PROPER(TEXT(tbLOG[[#This Row],[DATA/HORA]],"dddd"))</f>
        <v>Quinta-Feira</v>
      </c>
      <c r="D1872" s="3" t="s">
        <v>604</v>
      </c>
      <c r="E1872" s="34" t="str">
        <f>IFERROR(VLOOKUP(tbLOG[[#This Row],[LOGIN]],tbMAPA[#All],2,0), "Não localizado")</f>
        <v>Renan Cazumba Tegani</v>
      </c>
      <c r="F1872" s="34" t="str">
        <f>IFERROR(VLOOKUP(tbLOG[[#This Row],[LOGIN]],tbMAPA[#All],3,0), "Não localizado")</f>
        <v>Reginaldo Santana De Souza</v>
      </c>
      <c r="G1872" s="3" t="s">
        <v>1211</v>
      </c>
      <c r="H1872" s="3" t="s">
        <v>836</v>
      </c>
    </row>
    <row r="1873" spans="1:8">
      <c r="A1873" s="29">
        <v>42747.58016203704</v>
      </c>
      <c r="B1873" s="29" t="str">
        <f>PROPER(TEXT(tbLOG[[#This Row],[DATA/HORA]],"mmmm"))</f>
        <v>Janeiro</v>
      </c>
      <c r="C1873" s="34" t="str">
        <f>PROPER(TEXT(tbLOG[[#This Row],[DATA/HORA]],"dddd"))</f>
        <v>Quinta-Feira</v>
      </c>
      <c r="D1873" s="3" t="s">
        <v>604</v>
      </c>
      <c r="E1873" s="34" t="str">
        <f>IFERROR(VLOOKUP(tbLOG[[#This Row],[LOGIN]],tbMAPA[#All],2,0), "Não localizado")</f>
        <v>Renan Cazumba Tegani</v>
      </c>
      <c r="F1873" s="34" t="str">
        <f>IFERROR(VLOOKUP(tbLOG[[#This Row],[LOGIN]],tbMAPA[#All],3,0), "Não localizado")</f>
        <v>Reginaldo Santana De Souza</v>
      </c>
      <c r="G1873" s="3" t="s">
        <v>1211</v>
      </c>
      <c r="H1873" s="3" t="s">
        <v>836</v>
      </c>
    </row>
    <row r="1874" spans="1:8">
      <c r="A1874" s="29">
        <v>42747.580231481479</v>
      </c>
      <c r="B1874" s="29" t="str">
        <f>PROPER(TEXT(tbLOG[[#This Row],[DATA/HORA]],"mmmm"))</f>
        <v>Janeiro</v>
      </c>
      <c r="C1874" s="34" t="str">
        <f>PROPER(TEXT(tbLOG[[#This Row],[DATA/HORA]],"dddd"))</f>
        <v>Quinta-Feira</v>
      </c>
      <c r="D1874" s="3" t="s">
        <v>604</v>
      </c>
      <c r="E1874" s="34" t="str">
        <f>IFERROR(VLOOKUP(tbLOG[[#This Row],[LOGIN]],tbMAPA[#All],2,0), "Não localizado")</f>
        <v>Renan Cazumba Tegani</v>
      </c>
      <c r="F1874" s="34" t="str">
        <f>IFERROR(VLOOKUP(tbLOG[[#This Row],[LOGIN]],tbMAPA[#All],3,0), "Não localizado")</f>
        <v>Reginaldo Santana De Souza</v>
      </c>
      <c r="G1874" s="3" t="s">
        <v>1211</v>
      </c>
      <c r="H1874" s="3" t="s">
        <v>836</v>
      </c>
    </row>
    <row r="1875" spans="1:8">
      <c r="A1875" s="29">
        <v>42747.580509259256</v>
      </c>
      <c r="B1875" s="29" t="str">
        <f>PROPER(TEXT(tbLOG[[#This Row],[DATA/HORA]],"mmmm"))</f>
        <v>Janeiro</v>
      </c>
      <c r="C1875" s="34" t="str">
        <f>PROPER(TEXT(tbLOG[[#This Row],[DATA/HORA]],"dddd"))</f>
        <v>Quinta-Feira</v>
      </c>
      <c r="D1875" s="3" t="s">
        <v>604</v>
      </c>
      <c r="E1875" s="34" t="str">
        <f>IFERROR(VLOOKUP(tbLOG[[#This Row],[LOGIN]],tbMAPA[#All],2,0), "Não localizado")</f>
        <v>Renan Cazumba Tegani</v>
      </c>
      <c r="F1875" s="34" t="str">
        <f>IFERROR(VLOOKUP(tbLOG[[#This Row],[LOGIN]],tbMAPA[#All],3,0), "Não localizado")</f>
        <v>Reginaldo Santana De Souza</v>
      </c>
      <c r="G1875" s="3" t="s">
        <v>1211</v>
      </c>
      <c r="H1875" s="3" t="s">
        <v>836</v>
      </c>
    </row>
    <row r="1876" spans="1:8">
      <c r="A1876" s="29">
        <v>42747.580879629626</v>
      </c>
      <c r="B1876" s="29" t="str">
        <f>PROPER(TEXT(tbLOG[[#This Row],[DATA/HORA]],"mmmm"))</f>
        <v>Janeiro</v>
      </c>
      <c r="C1876" s="34" t="str">
        <f>PROPER(TEXT(tbLOG[[#This Row],[DATA/HORA]],"dddd"))</f>
        <v>Quinta-Feira</v>
      </c>
      <c r="D1876" s="3" t="s">
        <v>604</v>
      </c>
      <c r="E1876" s="34" t="str">
        <f>IFERROR(VLOOKUP(tbLOG[[#This Row],[LOGIN]],tbMAPA[#All],2,0), "Não localizado")</f>
        <v>Renan Cazumba Tegani</v>
      </c>
      <c r="F1876" s="34" t="str">
        <f>IFERROR(VLOOKUP(tbLOG[[#This Row],[LOGIN]],tbMAPA[#All],3,0), "Não localizado")</f>
        <v>Reginaldo Santana De Souza</v>
      </c>
      <c r="G1876" s="3" t="s">
        <v>1211</v>
      </c>
      <c r="H1876" s="3" t="s">
        <v>290</v>
      </c>
    </row>
    <row r="1877" spans="1:8">
      <c r="A1877" s="29">
        <v>42747.637442129628</v>
      </c>
      <c r="B1877" s="29" t="str">
        <f>PROPER(TEXT(tbLOG[[#This Row],[DATA/HORA]],"mmmm"))</f>
        <v>Janeiro</v>
      </c>
      <c r="C1877" s="34" t="str">
        <f>PROPER(TEXT(tbLOG[[#This Row],[DATA/HORA]],"dddd"))</f>
        <v>Quinta-Feira</v>
      </c>
      <c r="D1877" s="3" t="s">
        <v>604</v>
      </c>
      <c r="E1877" s="34" t="str">
        <f>IFERROR(VLOOKUP(tbLOG[[#This Row],[LOGIN]],tbMAPA[#All],2,0), "Não localizado")</f>
        <v>Renan Cazumba Tegani</v>
      </c>
      <c r="F1877" s="34" t="str">
        <f>IFERROR(VLOOKUP(tbLOG[[#This Row],[LOGIN]],tbMAPA[#All],3,0), "Não localizado")</f>
        <v>Reginaldo Santana De Souza</v>
      </c>
      <c r="G1877" s="3" t="s">
        <v>1211</v>
      </c>
      <c r="H1877" s="3" t="s">
        <v>836</v>
      </c>
    </row>
    <row r="1878" spans="1:8">
      <c r="A1878" s="29">
        <v>42747.637453703705</v>
      </c>
      <c r="B1878" s="29" t="str">
        <f>PROPER(TEXT(tbLOG[[#This Row],[DATA/HORA]],"mmmm"))</f>
        <v>Janeiro</v>
      </c>
      <c r="C1878" s="34" t="str">
        <f>PROPER(TEXT(tbLOG[[#This Row],[DATA/HORA]],"dddd"))</f>
        <v>Quinta-Feira</v>
      </c>
      <c r="D1878" s="3" t="s">
        <v>604</v>
      </c>
      <c r="E1878" s="34" t="str">
        <f>IFERROR(VLOOKUP(tbLOG[[#This Row],[LOGIN]],tbMAPA[#All],2,0), "Não localizado")</f>
        <v>Renan Cazumba Tegani</v>
      </c>
      <c r="F1878" s="34" t="str">
        <f>IFERROR(VLOOKUP(tbLOG[[#This Row],[LOGIN]],tbMAPA[#All],3,0), "Não localizado")</f>
        <v>Reginaldo Santana De Souza</v>
      </c>
      <c r="G1878" s="3" t="s">
        <v>1211</v>
      </c>
      <c r="H1878" s="3" t="s">
        <v>836</v>
      </c>
    </row>
    <row r="1879" spans="1:8">
      <c r="A1879" s="29">
        <v>42747.637488425928</v>
      </c>
      <c r="B1879" s="29" t="str">
        <f>PROPER(TEXT(tbLOG[[#This Row],[DATA/HORA]],"mmmm"))</f>
        <v>Janeiro</v>
      </c>
      <c r="C1879" s="34" t="str">
        <f>PROPER(TEXT(tbLOG[[#This Row],[DATA/HORA]],"dddd"))</f>
        <v>Quinta-Feira</v>
      </c>
      <c r="D1879" s="3" t="s">
        <v>604</v>
      </c>
      <c r="E1879" s="34" t="str">
        <f>IFERROR(VLOOKUP(tbLOG[[#This Row],[LOGIN]],tbMAPA[#All],2,0), "Não localizado")</f>
        <v>Renan Cazumba Tegani</v>
      </c>
      <c r="F1879" s="34" t="str">
        <f>IFERROR(VLOOKUP(tbLOG[[#This Row],[LOGIN]],tbMAPA[#All],3,0), "Não localizado")</f>
        <v>Reginaldo Santana De Souza</v>
      </c>
      <c r="G1879" s="3" t="s">
        <v>1211</v>
      </c>
      <c r="H1879" s="3" t="s">
        <v>836</v>
      </c>
    </row>
    <row r="1880" spans="1:8">
      <c r="A1880" s="29">
        <v>42747.637789351851</v>
      </c>
      <c r="B1880" s="29" t="str">
        <f>PROPER(TEXT(tbLOG[[#This Row],[DATA/HORA]],"mmmm"))</f>
        <v>Janeiro</v>
      </c>
      <c r="C1880" s="34" t="str">
        <f>PROPER(TEXT(tbLOG[[#This Row],[DATA/HORA]],"dddd"))</f>
        <v>Quinta-Feira</v>
      </c>
      <c r="D1880" s="3" t="s">
        <v>604</v>
      </c>
      <c r="E1880" s="34" t="str">
        <f>IFERROR(VLOOKUP(tbLOG[[#This Row],[LOGIN]],tbMAPA[#All],2,0), "Não localizado")</f>
        <v>Renan Cazumba Tegani</v>
      </c>
      <c r="F1880" s="34" t="str">
        <f>IFERROR(VLOOKUP(tbLOG[[#This Row],[LOGIN]],tbMAPA[#All],3,0), "Não localizado")</f>
        <v>Reginaldo Santana De Souza</v>
      </c>
      <c r="G1880" s="3" t="s">
        <v>1211</v>
      </c>
      <c r="H1880" s="3" t="s">
        <v>836</v>
      </c>
    </row>
    <row r="1881" spans="1:8">
      <c r="A1881" s="29">
        <v>42747.643518518518</v>
      </c>
      <c r="B1881" s="29" t="str">
        <f>PROPER(TEXT(tbLOG[[#This Row],[DATA/HORA]],"mmmm"))</f>
        <v>Janeiro</v>
      </c>
      <c r="C1881" s="34" t="str">
        <f>PROPER(TEXT(tbLOG[[#This Row],[DATA/HORA]],"dddd"))</f>
        <v>Quinta-Feira</v>
      </c>
      <c r="D1881" s="3" t="s">
        <v>604</v>
      </c>
      <c r="E1881" s="34" t="str">
        <f>IFERROR(VLOOKUP(tbLOG[[#This Row],[LOGIN]],tbMAPA[#All],2,0), "Não localizado")</f>
        <v>Renan Cazumba Tegani</v>
      </c>
      <c r="F1881" s="34" t="str">
        <f>IFERROR(VLOOKUP(tbLOG[[#This Row],[LOGIN]],tbMAPA[#All],3,0), "Não localizado")</f>
        <v>Reginaldo Santana De Souza</v>
      </c>
      <c r="G1881" s="3" t="s">
        <v>1211</v>
      </c>
      <c r="H1881" s="3" t="s">
        <v>836</v>
      </c>
    </row>
    <row r="1882" spans="1:8">
      <c r="A1882" s="29">
        <v>42747.643530092595</v>
      </c>
      <c r="B1882" s="29" t="str">
        <f>PROPER(TEXT(tbLOG[[#This Row],[DATA/HORA]],"mmmm"))</f>
        <v>Janeiro</v>
      </c>
      <c r="C1882" s="34" t="str">
        <f>PROPER(TEXT(tbLOG[[#This Row],[DATA/HORA]],"dddd"))</f>
        <v>Quinta-Feira</v>
      </c>
      <c r="D1882" s="3" t="s">
        <v>604</v>
      </c>
      <c r="E1882" s="34" t="str">
        <f>IFERROR(VLOOKUP(tbLOG[[#This Row],[LOGIN]],tbMAPA[#All],2,0), "Não localizado")</f>
        <v>Renan Cazumba Tegani</v>
      </c>
      <c r="F1882" s="34" t="str">
        <f>IFERROR(VLOOKUP(tbLOG[[#This Row],[LOGIN]],tbMAPA[#All],3,0), "Não localizado")</f>
        <v>Reginaldo Santana De Souza</v>
      </c>
      <c r="G1882" s="3" t="s">
        <v>1211</v>
      </c>
      <c r="H1882" s="3" t="s">
        <v>836</v>
      </c>
    </row>
    <row r="1883" spans="1:8">
      <c r="A1883" s="29">
        <v>42747.643611111111</v>
      </c>
      <c r="B1883" s="29" t="str">
        <f>PROPER(TEXT(tbLOG[[#This Row],[DATA/HORA]],"mmmm"))</f>
        <v>Janeiro</v>
      </c>
      <c r="C1883" s="34" t="str">
        <f>PROPER(TEXT(tbLOG[[#This Row],[DATA/HORA]],"dddd"))</f>
        <v>Quinta-Feira</v>
      </c>
      <c r="D1883" s="3" t="s">
        <v>604</v>
      </c>
      <c r="E1883" s="34" t="str">
        <f>IFERROR(VLOOKUP(tbLOG[[#This Row],[LOGIN]],tbMAPA[#All],2,0), "Não localizado")</f>
        <v>Renan Cazumba Tegani</v>
      </c>
      <c r="F1883" s="34" t="str">
        <f>IFERROR(VLOOKUP(tbLOG[[#This Row],[LOGIN]],tbMAPA[#All],3,0), "Não localizado")</f>
        <v>Reginaldo Santana De Souza</v>
      </c>
      <c r="G1883" s="3" t="s">
        <v>1211</v>
      </c>
      <c r="H1883" s="3" t="s">
        <v>836</v>
      </c>
    </row>
    <row r="1884" spans="1:8">
      <c r="A1884" s="29">
        <v>42747.653692129628</v>
      </c>
      <c r="B1884" s="29" t="str">
        <f>PROPER(TEXT(tbLOG[[#This Row],[DATA/HORA]],"mmmm"))</f>
        <v>Janeiro</v>
      </c>
      <c r="C1884" s="34" t="str">
        <f>PROPER(TEXT(tbLOG[[#This Row],[DATA/HORA]],"dddd"))</f>
        <v>Quinta-Feira</v>
      </c>
      <c r="D1884" s="3" t="s">
        <v>604</v>
      </c>
      <c r="E1884" s="34" t="str">
        <f>IFERROR(VLOOKUP(tbLOG[[#This Row],[LOGIN]],tbMAPA[#All],2,0), "Não localizado")</f>
        <v>Renan Cazumba Tegani</v>
      </c>
      <c r="F1884" s="34" t="str">
        <f>IFERROR(VLOOKUP(tbLOG[[#This Row],[LOGIN]],tbMAPA[#All],3,0), "Não localizado")</f>
        <v>Reginaldo Santana De Souza</v>
      </c>
      <c r="G1884" s="3" t="s">
        <v>1211</v>
      </c>
      <c r="H1884" s="3" t="s">
        <v>836</v>
      </c>
    </row>
    <row r="1885" spans="1:8">
      <c r="A1885" s="29">
        <v>42747.6565625</v>
      </c>
      <c r="B1885" s="29" t="str">
        <f>PROPER(TEXT(tbLOG[[#This Row],[DATA/HORA]],"mmmm"))</f>
        <v>Janeiro</v>
      </c>
      <c r="C1885" s="34" t="str">
        <f>PROPER(TEXT(tbLOG[[#This Row],[DATA/HORA]],"dddd"))</f>
        <v>Quinta-Feira</v>
      </c>
      <c r="D1885" s="3" t="s">
        <v>604</v>
      </c>
      <c r="E1885" s="34" t="str">
        <f>IFERROR(VLOOKUP(tbLOG[[#This Row],[LOGIN]],tbMAPA[#All],2,0), "Não localizado")</f>
        <v>Renan Cazumba Tegani</v>
      </c>
      <c r="F1885" s="34" t="str">
        <f>IFERROR(VLOOKUP(tbLOG[[#This Row],[LOGIN]],tbMAPA[#All],3,0), "Não localizado")</f>
        <v>Reginaldo Santana De Souza</v>
      </c>
      <c r="G1885" s="3" t="s">
        <v>1211</v>
      </c>
      <c r="H1885" s="3" t="s">
        <v>836</v>
      </c>
    </row>
    <row r="1886" spans="1:8">
      <c r="A1886" s="29">
        <v>42747.659351851849</v>
      </c>
      <c r="B1886" s="29" t="str">
        <f>PROPER(TEXT(tbLOG[[#This Row],[DATA/HORA]],"mmmm"))</f>
        <v>Janeiro</v>
      </c>
      <c r="C1886" s="34" t="str">
        <f>PROPER(TEXT(tbLOG[[#This Row],[DATA/HORA]],"dddd"))</f>
        <v>Quinta-Feira</v>
      </c>
      <c r="D1886" s="3" t="s">
        <v>604</v>
      </c>
      <c r="E1886" s="34" t="str">
        <f>IFERROR(VLOOKUP(tbLOG[[#This Row],[LOGIN]],tbMAPA[#All],2,0), "Não localizado")</f>
        <v>Renan Cazumba Tegani</v>
      </c>
      <c r="F1886" s="34" t="str">
        <f>IFERROR(VLOOKUP(tbLOG[[#This Row],[LOGIN]],tbMAPA[#All],3,0), "Não localizado")</f>
        <v>Reginaldo Santana De Souza</v>
      </c>
      <c r="G1886" s="3" t="s">
        <v>1211</v>
      </c>
      <c r="H1886" s="3" t="s">
        <v>836</v>
      </c>
    </row>
    <row r="1887" spans="1:8">
      <c r="A1887" s="29">
        <v>42747.659363425926</v>
      </c>
      <c r="B1887" s="29" t="str">
        <f>PROPER(TEXT(tbLOG[[#This Row],[DATA/HORA]],"mmmm"))</f>
        <v>Janeiro</v>
      </c>
      <c r="C1887" s="34" t="str">
        <f>PROPER(TEXT(tbLOG[[#This Row],[DATA/HORA]],"dddd"))</f>
        <v>Quinta-Feira</v>
      </c>
      <c r="D1887" s="3" t="s">
        <v>604</v>
      </c>
      <c r="E1887" s="34" t="str">
        <f>IFERROR(VLOOKUP(tbLOG[[#This Row],[LOGIN]],tbMAPA[#All],2,0), "Não localizado")</f>
        <v>Renan Cazumba Tegani</v>
      </c>
      <c r="F1887" s="34" t="str">
        <f>IFERROR(VLOOKUP(tbLOG[[#This Row],[LOGIN]],tbMAPA[#All],3,0), "Não localizado")</f>
        <v>Reginaldo Santana De Souza</v>
      </c>
      <c r="G1887" s="3" t="s">
        <v>1211</v>
      </c>
      <c r="H1887" s="3" t="s">
        <v>836</v>
      </c>
    </row>
    <row r="1888" spans="1:8">
      <c r="A1888" s="29">
        <v>42747.659629629627</v>
      </c>
      <c r="B1888" s="29" t="str">
        <f>PROPER(TEXT(tbLOG[[#This Row],[DATA/HORA]],"mmmm"))</f>
        <v>Janeiro</v>
      </c>
      <c r="C1888" s="34" t="str">
        <f>PROPER(TEXT(tbLOG[[#This Row],[DATA/HORA]],"dddd"))</f>
        <v>Quinta-Feira</v>
      </c>
      <c r="D1888" s="3" t="s">
        <v>604</v>
      </c>
      <c r="E1888" s="34" t="str">
        <f>IFERROR(VLOOKUP(tbLOG[[#This Row],[LOGIN]],tbMAPA[#All],2,0), "Não localizado")</f>
        <v>Renan Cazumba Tegani</v>
      </c>
      <c r="F1888" s="34" t="str">
        <f>IFERROR(VLOOKUP(tbLOG[[#This Row],[LOGIN]],tbMAPA[#All],3,0), "Não localizado")</f>
        <v>Reginaldo Santana De Souza</v>
      </c>
      <c r="G1888" s="3" t="s">
        <v>1211</v>
      </c>
      <c r="H1888" s="3" t="s">
        <v>836</v>
      </c>
    </row>
    <row r="1889" spans="1:8">
      <c r="A1889" s="29">
        <v>42747.665034722224</v>
      </c>
      <c r="B1889" s="29" t="str">
        <f>PROPER(TEXT(tbLOG[[#This Row],[DATA/HORA]],"mmmm"))</f>
        <v>Janeiro</v>
      </c>
      <c r="C1889" s="34" t="str">
        <f>PROPER(TEXT(tbLOG[[#This Row],[DATA/HORA]],"dddd"))</f>
        <v>Quinta-Feira</v>
      </c>
      <c r="D1889" s="3" t="s">
        <v>604</v>
      </c>
      <c r="E1889" s="34" t="str">
        <f>IFERROR(VLOOKUP(tbLOG[[#This Row],[LOGIN]],tbMAPA[#All],2,0), "Não localizado")</f>
        <v>Renan Cazumba Tegani</v>
      </c>
      <c r="F1889" s="34" t="str">
        <f>IFERROR(VLOOKUP(tbLOG[[#This Row],[LOGIN]],tbMAPA[#All],3,0), "Não localizado")</f>
        <v>Reginaldo Santana De Souza</v>
      </c>
      <c r="G1889" s="3" t="s">
        <v>1211</v>
      </c>
      <c r="H1889" s="3" t="s">
        <v>836</v>
      </c>
    </row>
    <row r="1890" spans="1:8">
      <c r="A1890" s="29">
        <v>42747.665046296293</v>
      </c>
      <c r="B1890" s="29" t="str">
        <f>PROPER(TEXT(tbLOG[[#This Row],[DATA/HORA]],"mmmm"))</f>
        <v>Janeiro</v>
      </c>
      <c r="C1890" s="34" t="str">
        <f>PROPER(TEXT(tbLOG[[#This Row],[DATA/HORA]],"dddd"))</f>
        <v>Quinta-Feira</v>
      </c>
      <c r="D1890" s="3" t="s">
        <v>604</v>
      </c>
      <c r="E1890" s="34" t="str">
        <f>IFERROR(VLOOKUP(tbLOG[[#This Row],[LOGIN]],tbMAPA[#All],2,0), "Não localizado")</f>
        <v>Renan Cazumba Tegani</v>
      </c>
      <c r="F1890" s="34" t="str">
        <f>IFERROR(VLOOKUP(tbLOG[[#This Row],[LOGIN]],tbMAPA[#All],3,0), "Não localizado")</f>
        <v>Reginaldo Santana De Souza</v>
      </c>
      <c r="G1890" s="3" t="s">
        <v>1211</v>
      </c>
      <c r="H1890" s="3" t="s">
        <v>836</v>
      </c>
    </row>
    <row r="1891" spans="1:8">
      <c r="A1891" s="29">
        <v>42747.665138888886</v>
      </c>
      <c r="B1891" s="29" t="str">
        <f>PROPER(TEXT(tbLOG[[#This Row],[DATA/HORA]],"mmmm"))</f>
        <v>Janeiro</v>
      </c>
      <c r="C1891" s="34" t="str">
        <f>PROPER(TEXT(tbLOG[[#This Row],[DATA/HORA]],"dddd"))</f>
        <v>Quinta-Feira</v>
      </c>
      <c r="D1891" s="3" t="s">
        <v>604</v>
      </c>
      <c r="E1891" s="34" t="str">
        <f>IFERROR(VLOOKUP(tbLOG[[#This Row],[LOGIN]],tbMAPA[#All],2,0), "Não localizado")</f>
        <v>Renan Cazumba Tegani</v>
      </c>
      <c r="F1891" s="34" t="str">
        <f>IFERROR(VLOOKUP(tbLOG[[#This Row],[LOGIN]],tbMAPA[#All],3,0), "Não localizado")</f>
        <v>Reginaldo Santana De Souza</v>
      </c>
      <c r="G1891" s="3" t="s">
        <v>1211</v>
      </c>
      <c r="H1891" s="3" t="s">
        <v>836</v>
      </c>
    </row>
    <row r="1892" spans="1:8">
      <c r="A1892" s="29">
        <v>42747.667164351849</v>
      </c>
      <c r="B1892" s="29" t="str">
        <f>PROPER(TEXT(tbLOG[[#This Row],[DATA/HORA]],"mmmm"))</f>
        <v>Janeiro</v>
      </c>
      <c r="C1892" s="34" t="str">
        <f>PROPER(TEXT(tbLOG[[#This Row],[DATA/HORA]],"dddd"))</f>
        <v>Quinta-Feira</v>
      </c>
      <c r="D1892" s="3" t="s">
        <v>604</v>
      </c>
      <c r="E1892" s="34" t="str">
        <f>IFERROR(VLOOKUP(tbLOG[[#This Row],[LOGIN]],tbMAPA[#All],2,0), "Não localizado")</f>
        <v>Renan Cazumba Tegani</v>
      </c>
      <c r="F1892" s="34" t="str">
        <f>IFERROR(VLOOKUP(tbLOG[[#This Row],[LOGIN]],tbMAPA[#All],3,0), "Não localizado")</f>
        <v>Reginaldo Santana De Souza</v>
      </c>
      <c r="G1892" s="3" t="s">
        <v>1211</v>
      </c>
      <c r="H1892" s="3" t="s">
        <v>836</v>
      </c>
    </row>
    <row r="1893" spans="1:8">
      <c r="A1893" s="29">
        <v>42747.667824074073</v>
      </c>
      <c r="B1893" s="29" t="str">
        <f>PROPER(TEXT(tbLOG[[#This Row],[DATA/HORA]],"mmmm"))</f>
        <v>Janeiro</v>
      </c>
      <c r="C1893" s="34" t="str">
        <f>PROPER(TEXT(tbLOG[[#This Row],[DATA/HORA]],"dddd"))</f>
        <v>Quinta-Feira</v>
      </c>
      <c r="D1893" s="3" t="s">
        <v>604</v>
      </c>
      <c r="E1893" s="34" t="str">
        <f>IFERROR(VLOOKUP(tbLOG[[#This Row],[LOGIN]],tbMAPA[#All],2,0), "Não localizado")</f>
        <v>Renan Cazumba Tegani</v>
      </c>
      <c r="F1893" s="34" t="str">
        <f>IFERROR(VLOOKUP(tbLOG[[#This Row],[LOGIN]],tbMAPA[#All],3,0), "Não localizado")</f>
        <v>Reginaldo Santana De Souza</v>
      </c>
      <c r="G1893" s="3" t="s">
        <v>1211</v>
      </c>
      <c r="H1893" s="3" t="s">
        <v>836</v>
      </c>
    </row>
    <row r="1894" spans="1:8">
      <c r="A1894" s="29">
        <v>42747.667870370373</v>
      </c>
      <c r="B1894" s="29" t="str">
        <f>PROPER(TEXT(tbLOG[[#This Row],[DATA/HORA]],"mmmm"))</f>
        <v>Janeiro</v>
      </c>
      <c r="C1894" s="34" t="str">
        <f>PROPER(TEXT(tbLOG[[#This Row],[DATA/HORA]],"dddd"))</f>
        <v>Quinta-Feira</v>
      </c>
      <c r="D1894" s="3" t="s">
        <v>604</v>
      </c>
      <c r="E1894" s="34" t="str">
        <f>IFERROR(VLOOKUP(tbLOG[[#This Row],[LOGIN]],tbMAPA[#All],2,0), "Não localizado")</f>
        <v>Renan Cazumba Tegani</v>
      </c>
      <c r="F1894" s="34" t="str">
        <f>IFERROR(VLOOKUP(tbLOG[[#This Row],[LOGIN]],tbMAPA[#All],3,0), "Não localizado")</f>
        <v>Reginaldo Santana De Souza</v>
      </c>
      <c r="G1894" s="3" t="s">
        <v>1211</v>
      </c>
      <c r="H1894" s="3" t="s">
        <v>836</v>
      </c>
    </row>
    <row r="1895" spans="1:8">
      <c r="A1895" s="29">
        <v>42747.67083333333</v>
      </c>
      <c r="B1895" s="29" t="str">
        <f>PROPER(TEXT(tbLOG[[#This Row],[DATA/HORA]],"mmmm"))</f>
        <v>Janeiro</v>
      </c>
      <c r="C1895" s="34" t="str">
        <f>PROPER(TEXT(tbLOG[[#This Row],[DATA/HORA]],"dddd"))</f>
        <v>Quinta-Feira</v>
      </c>
      <c r="D1895" s="3" t="s">
        <v>604</v>
      </c>
      <c r="E1895" s="34" t="str">
        <f>IFERROR(VLOOKUP(tbLOG[[#This Row],[LOGIN]],tbMAPA[#All],2,0), "Não localizado")</f>
        <v>Renan Cazumba Tegani</v>
      </c>
      <c r="F1895" s="34" t="str">
        <f>IFERROR(VLOOKUP(tbLOG[[#This Row],[LOGIN]],tbMAPA[#All],3,0), "Não localizado")</f>
        <v>Reginaldo Santana De Souza</v>
      </c>
      <c r="G1895" s="3" t="s">
        <v>1211</v>
      </c>
      <c r="H1895" s="3" t="s">
        <v>836</v>
      </c>
    </row>
    <row r="1896" spans="1:8">
      <c r="A1896" s="29">
        <v>42747.670856481483</v>
      </c>
      <c r="B1896" s="29" t="str">
        <f>PROPER(TEXT(tbLOG[[#This Row],[DATA/HORA]],"mmmm"))</f>
        <v>Janeiro</v>
      </c>
      <c r="C1896" s="34" t="str">
        <f>PROPER(TEXT(tbLOG[[#This Row],[DATA/HORA]],"dddd"))</f>
        <v>Quinta-Feira</v>
      </c>
      <c r="D1896" s="3" t="s">
        <v>604</v>
      </c>
      <c r="E1896" s="34" t="str">
        <f>IFERROR(VLOOKUP(tbLOG[[#This Row],[LOGIN]],tbMAPA[#All],2,0), "Não localizado")</f>
        <v>Renan Cazumba Tegani</v>
      </c>
      <c r="F1896" s="34" t="str">
        <f>IFERROR(VLOOKUP(tbLOG[[#This Row],[LOGIN]],tbMAPA[#All],3,0), "Não localizado")</f>
        <v>Reginaldo Santana De Souza</v>
      </c>
      <c r="G1896" s="3" t="s">
        <v>1211</v>
      </c>
      <c r="H1896" s="3" t="s">
        <v>836</v>
      </c>
    </row>
    <row r="1897" spans="1:8">
      <c r="A1897" s="29">
        <v>42747.670925925922</v>
      </c>
      <c r="B1897" s="29" t="str">
        <f>PROPER(TEXT(tbLOG[[#This Row],[DATA/HORA]],"mmmm"))</f>
        <v>Janeiro</v>
      </c>
      <c r="C1897" s="34" t="str">
        <f>PROPER(TEXT(tbLOG[[#This Row],[DATA/HORA]],"dddd"))</f>
        <v>Quinta-Feira</v>
      </c>
      <c r="D1897" s="3" t="s">
        <v>604</v>
      </c>
      <c r="E1897" s="34" t="str">
        <f>IFERROR(VLOOKUP(tbLOG[[#This Row],[LOGIN]],tbMAPA[#All],2,0), "Não localizado")</f>
        <v>Renan Cazumba Tegani</v>
      </c>
      <c r="F1897" s="34" t="str">
        <f>IFERROR(VLOOKUP(tbLOG[[#This Row],[LOGIN]],tbMAPA[#All],3,0), "Não localizado")</f>
        <v>Reginaldo Santana De Souza</v>
      </c>
      <c r="G1897" s="3" t="s">
        <v>1211</v>
      </c>
      <c r="H1897" s="3" t="s">
        <v>836</v>
      </c>
    </row>
    <row r="1898" spans="1:8">
      <c r="A1898" s="29">
        <v>42747.670960648145</v>
      </c>
      <c r="B1898" s="29" t="str">
        <f>PROPER(TEXT(tbLOG[[#This Row],[DATA/HORA]],"mmmm"))</f>
        <v>Janeiro</v>
      </c>
      <c r="C1898" s="34" t="str">
        <f>PROPER(TEXT(tbLOG[[#This Row],[DATA/HORA]],"dddd"))</f>
        <v>Quinta-Feira</v>
      </c>
      <c r="D1898" s="3" t="s">
        <v>604</v>
      </c>
      <c r="E1898" s="34" t="str">
        <f>IFERROR(VLOOKUP(tbLOG[[#This Row],[LOGIN]],tbMAPA[#All],2,0), "Não localizado")</f>
        <v>Renan Cazumba Tegani</v>
      </c>
      <c r="F1898" s="34" t="str">
        <f>IFERROR(VLOOKUP(tbLOG[[#This Row],[LOGIN]],tbMAPA[#All],3,0), "Não localizado")</f>
        <v>Reginaldo Santana De Souza</v>
      </c>
      <c r="G1898" s="3" t="s">
        <v>1211</v>
      </c>
      <c r="H1898" s="3" t="s">
        <v>836</v>
      </c>
    </row>
    <row r="1899" spans="1:8">
      <c r="A1899" s="29">
        <v>42747.670972222222</v>
      </c>
      <c r="B1899" s="29" t="str">
        <f>PROPER(TEXT(tbLOG[[#This Row],[DATA/HORA]],"mmmm"))</f>
        <v>Janeiro</v>
      </c>
      <c r="C1899" s="34" t="str">
        <f>PROPER(TEXT(tbLOG[[#This Row],[DATA/HORA]],"dddd"))</f>
        <v>Quinta-Feira</v>
      </c>
      <c r="D1899" s="3" t="s">
        <v>604</v>
      </c>
      <c r="E1899" s="34" t="str">
        <f>IFERROR(VLOOKUP(tbLOG[[#This Row],[LOGIN]],tbMAPA[#All],2,0), "Não localizado")</f>
        <v>Renan Cazumba Tegani</v>
      </c>
      <c r="F1899" s="34" t="str">
        <f>IFERROR(VLOOKUP(tbLOG[[#This Row],[LOGIN]],tbMAPA[#All],3,0), "Não localizado")</f>
        <v>Reginaldo Santana De Souza</v>
      </c>
      <c r="G1899" s="3" t="s">
        <v>1211</v>
      </c>
      <c r="H1899" s="3" t="s">
        <v>836</v>
      </c>
    </row>
    <row r="1900" spans="1:8">
      <c r="A1900" s="29">
        <v>42747.670995370368</v>
      </c>
      <c r="B1900" s="29" t="str">
        <f>PROPER(TEXT(tbLOG[[#This Row],[DATA/HORA]],"mmmm"))</f>
        <v>Janeiro</v>
      </c>
      <c r="C1900" s="34" t="str">
        <f>PROPER(TEXT(tbLOG[[#This Row],[DATA/HORA]],"dddd"))</f>
        <v>Quinta-Feira</v>
      </c>
      <c r="D1900" s="3" t="s">
        <v>604</v>
      </c>
      <c r="E1900" s="34" t="str">
        <f>IFERROR(VLOOKUP(tbLOG[[#This Row],[LOGIN]],tbMAPA[#All],2,0), "Não localizado")</f>
        <v>Renan Cazumba Tegani</v>
      </c>
      <c r="F1900" s="34" t="str">
        <f>IFERROR(VLOOKUP(tbLOG[[#This Row],[LOGIN]],tbMAPA[#All],3,0), "Não localizado")</f>
        <v>Reginaldo Santana De Souza</v>
      </c>
      <c r="G1900" s="3" t="s">
        <v>1211</v>
      </c>
      <c r="H1900" s="3" t="s">
        <v>836</v>
      </c>
    </row>
    <row r="1901" spans="1:8">
      <c r="A1901" s="29">
        <v>42747.671006944445</v>
      </c>
      <c r="B1901" s="29" t="str">
        <f>PROPER(TEXT(tbLOG[[#This Row],[DATA/HORA]],"mmmm"))</f>
        <v>Janeiro</v>
      </c>
      <c r="C1901" s="34" t="str">
        <f>PROPER(TEXT(tbLOG[[#This Row],[DATA/HORA]],"dddd"))</f>
        <v>Quinta-Feira</v>
      </c>
      <c r="D1901" s="3" t="s">
        <v>604</v>
      </c>
      <c r="E1901" s="34" t="str">
        <f>IFERROR(VLOOKUP(tbLOG[[#This Row],[LOGIN]],tbMAPA[#All],2,0), "Não localizado")</f>
        <v>Renan Cazumba Tegani</v>
      </c>
      <c r="F1901" s="34" t="str">
        <f>IFERROR(VLOOKUP(tbLOG[[#This Row],[LOGIN]],tbMAPA[#All],3,0), "Não localizado")</f>
        <v>Reginaldo Santana De Souza</v>
      </c>
      <c r="G1901" s="3" t="s">
        <v>1211</v>
      </c>
      <c r="H1901" s="3" t="s">
        <v>836</v>
      </c>
    </row>
    <row r="1902" spans="1:8">
      <c r="A1902" s="29">
        <v>42747.671030092592</v>
      </c>
      <c r="B1902" s="29" t="str">
        <f>PROPER(TEXT(tbLOG[[#This Row],[DATA/HORA]],"mmmm"))</f>
        <v>Janeiro</v>
      </c>
      <c r="C1902" s="34" t="str">
        <f>PROPER(TEXT(tbLOG[[#This Row],[DATA/HORA]],"dddd"))</f>
        <v>Quinta-Feira</v>
      </c>
      <c r="D1902" s="3" t="s">
        <v>604</v>
      </c>
      <c r="E1902" s="34" t="str">
        <f>IFERROR(VLOOKUP(tbLOG[[#This Row],[LOGIN]],tbMAPA[#All],2,0), "Não localizado")</f>
        <v>Renan Cazumba Tegani</v>
      </c>
      <c r="F1902" s="34" t="str">
        <f>IFERROR(VLOOKUP(tbLOG[[#This Row],[LOGIN]],tbMAPA[#All],3,0), "Não localizado")</f>
        <v>Reginaldo Santana De Souza</v>
      </c>
      <c r="G1902" s="3" t="s">
        <v>1211</v>
      </c>
      <c r="H1902" s="3" t="s">
        <v>836</v>
      </c>
    </row>
    <row r="1903" spans="1:8">
      <c r="A1903" s="29">
        <v>42747.679224537038</v>
      </c>
      <c r="B1903" s="29" t="str">
        <f>PROPER(TEXT(tbLOG[[#This Row],[DATA/HORA]],"mmmm"))</f>
        <v>Janeiro</v>
      </c>
      <c r="C1903" s="34" t="str">
        <f>PROPER(TEXT(tbLOG[[#This Row],[DATA/HORA]],"dddd"))</f>
        <v>Quinta-Feira</v>
      </c>
      <c r="D1903" s="3" t="s">
        <v>604</v>
      </c>
      <c r="E1903" s="34" t="str">
        <f>IFERROR(VLOOKUP(tbLOG[[#This Row],[LOGIN]],tbMAPA[#All],2,0), "Não localizado")</f>
        <v>Renan Cazumba Tegani</v>
      </c>
      <c r="F1903" s="34" t="str">
        <f>IFERROR(VLOOKUP(tbLOG[[#This Row],[LOGIN]],tbMAPA[#All],3,0), "Não localizado")</f>
        <v>Reginaldo Santana De Souza</v>
      </c>
      <c r="G1903" s="3" t="s">
        <v>1211</v>
      </c>
      <c r="H1903" s="3" t="s">
        <v>836</v>
      </c>
    </row>
    <row r="1904" spans="1:8">
      <c r="A1904" s="29">
        <v>42747.679247685184</v>
      </c>
      <c r="B1904" s="29" t="str">
        <f>PROPER(TEXT(tbLOG[[#This Row],[DATA/HORA]],"mmmm"))</f>
        <v>Janeiro</v>
      </c>
      <c r="C1904" s="34" t="str">
        <f>PROPER(TEXT(tbLOG[[#This Row],[DATA/HORA]],"dddd"))</f>
        <v>Quinta-Feira</v>
      </c>
      <c r="D1904" s="3" t="s">
        <v>604</v>
      </c>
      <c r="E1904" s="34" t="str">
        <f>IFERROR(VLOOKUP(tbLOG[[#This Row],[LOGIN]],tbMAPA[#All],2,0), "Não localizado")</f>
        <v>Renan Cazumba Tegani</v>
      </c>
      <c r="F1904" s="34" t="str">
        <f>IFERROR(VLOOKUP(tbLOG[[#This Row],[LOGIN]],tbMAPA[#All],3,0), "Não localizado")</f>
        <v>Reginaldo Santana De Souza</v>
      </c>
      <c r="G1904" s="3" t="s">
        <v>1211</v>
      </c>
      <c r="H1904" s="3" t="s">
        <v>836</v>
      </c>
    </row>
    <row r="1905" spans="1:8">
      <c r="A1905" s="29">
        <v>42747.679293981484</v>
      </c>
      <c r="B1905" s="29" t="str">
        <f>PROPER(TEXT(tbLOG[[#This Row],[DATA/HORA]],"mmmm"))</f>
        <v>Janeiro</v>
      </c>
      <c r="C1905" s="34" t="str">
        <f>PROPER(TEXT(tbLOG[[#This Row],[DATA/HORA]],"dddd"))</f>
        <v>Quinta-Feira</v>
      </c>
      <c r="D1905" s="3" t="s">
        <v>604</v>
      </c>
      <c r="E1905" s="34" t="str">
        <f>IFERROR(VLOOKUP(tbLOG[[#This Row],[LOGIN]],tbMAPA[#All],2,0), "Não localizado")</f>
        <v>Renan Cazumba Tegani</v>
      </c>
      <c r="F1905" s="34" t="str">
        <f>IFERROR(VLOOKUP(tbLOG[[#This Row],[LOGIN]],tbMAPA[#All],3,0), "Não localizado")</f>
        <v>Reginaldo Santana De Souza</v>
      </c>
      <c r="G1905" s="3" t="s">
        <v>1211</v>
      </c>
      <c r="H1905" s="3" t="s">
        <v>836</v>
      </c>
    </row>
    <row r="1906" spans="1:8">
      <c r="A1906" s="29">
        <v>42747.681944444441</v>
      </c>
      <c r="B1906" s="29" t="str">
        <f>PROPER(TEXT(tbLOG[[#This Row],[DATA/HORA]],"mmmm"))</f>
        <v>Janeiro</v>
      </c>
      <c r="C1906" s="34" t="str">
        <f>PROPER(TEXT(tbLOG[[#This Row],[DATA/HORA]],"dddd"))</f>
        <v>Quinta-Feira</v>
      </c>
      <c r="D1906" s="3" t="s">
        <v>604</v>
      </c>
      <c r="E1906" s="34" t="str">
        <f>IFERROR(VLOOKUP(tbLOG[[#This Row],[LOGIN]],tbMAPA[#All],2,0), "Não localizado")</f>
        <v>Renan Cazumba Tegani</v>
      </c>
      <c r="F1906" s="34" t="str">
        <f>IFERROR(VLOOKUP(tbLOG[[#This Row],[LOGIN]],tbMAPA[#All],3,0), "Não localizado")</f>
        <v>Reginaldo Santana De Souza</v>
      </c>
      <c r="G1906" s="3" t="s">
        <v>1211</v>
      </c>
      <c r="H1906" s="3" t="s">
        <v>836</v>
      </c>
    </row>
    <row r="1907" spans="1:8">
      <c r="A1907" s="29">
        <v>42747.681944444441</v>
      </c>
      <c r="B1907" s="29" t="str">
        <f>PROPER(TEXT(tbLOG[[#This Row],[DATA/HORA]],"mmmm"))</f>
        <v>Janeiro</v>
      </c>
      <c r="C1907" s="34" t="str">
        <f>PROPER(TEXT(tbLOG[[#This Row],[DATA/HORA]],"dddd"))</f>
        <v>Quinta-Feira</v>
      </c>
      <c r="D1907" s="3" t="s">
        <v>604</v>
      </c>
      <c r="E1907" s="34" t="str">
        <f>IFERROR(VLOOKUP(tbLOG[[#This Row],[LOGIN]],tbMAPA[#All],2,0), "Não localizado")</f>
        <v>Renan Cazumba Tegani</v>
      </c>
      <c r="F1907" s="34" t="str">
        <f>IFERROR(VLOOKUP(tbLOG[[#This Row],[LOGIN]],tbMAPA[#All],3,0), "Não localizado")</f>
        <v>Reginaldo Santana De Souza</v>
      </c>
      <c r="G1907" s="3" t="s">
        <v>1211</v>
      </c>
      <c r="H1907" s="3" t="s">
        <v>836</v>
      </c>
    </row>
    <row r="1908" spans="1:8">
      <c r="A1908" s="29">
        <v>42747.681979166664</v>
      </c>
      <c r="B1908" s="29" t="str">
        <f>PROPER(TEXT(tbLOG[[#This Row],[DATA/HORA]],"mmmm"))</f>
        <v>Janeiro</v>
      </c>
      <c r="C1908" s="34" t="str">
        <f>PROPER(TEXT(tbLOG[[#This Row],[DATA/HORA]],"dddd"))</f>
        <v>Quinta-Feira</v>
      </c>
      <c r="D1908" s="3" t="s">
        <v>604</v>
      </c>
      <c r="E1908" s="34" t="str">
        <f>IFERROR(VLOOKUP(tbLOG[[#This Row],[LOGIN]],tbMAPA[#All],2,0), "Não localizado")</f>
        <v>Renan Cazumba Tegani</v>
      </c>
      <c r="F1908" s="34" t="str">
        <f>IFERROR(VLOOKUP(tbLOG[[#This Row],[LOGIN]],tbMAPA[#All],3,0), "Não localizado")</f>
        <v>Reginaldo Santana De Souza</v>
      </c>
      <c r="G1908" s="3" t="s">
        <v>1211</v>
      </c>
      <c r="H1908" s="3" t="s">
        <v>836</v>
      </c>
    </row>
    <row r="1909" spans="1:8">
      <c r="A1909" s="29">
        <v>42747.683854166666</v>
      </c>
      <c r="B1909" s="29" t="str">
        <f>PROPER(TEXT(tbLOG[[#This Row],[DATA/HORA]],"mmmm"))</f>
        <v>Janeiro</v>
      </c>
      <c r="C1909" s="34" t="str">
        <f>PROPER(TEXT(tbLOG[[#This Row],[DATA/HORA]],"dddd"))</f>
        <v>Quinta-Feira</v>
      </c>
      <c r="D1909" s="3" t="s">
        <v>604</v>
      </c>
      <c r="E1909" s="34" t="str">
        <f>IFERROR(VLOOKUP(tbLOG[[#This Row],[LOGIN]],tbMAPA[#All],2,0), "Não localizado")</f>
        <v>Renan Cazumba Tegani</v>
      </c>
      <c r="F1909" s="34" t="str">
        <f>IFERROR(VLOOKUP(tbLOG[[#This Row],[LOGIN]],tbMAPA[#All],3,0), "Não localizado")</f>
        <v>Reginaldo Santana De Souza</v>
      </c>
      <c r="G1909" s="3" t="s">
        <v>1211</v>
      </c>
      <c r="H1909" s="3" t="s">
        <v>836</v>
      </c>
    </row>
    <row r="1910" spans="1:8">
      <c r="A1910" s="29">
        <v>42747.683865740742</v>
      </c>
      <c r="B1910" s="29" t="str">
        <f>PROPER(TEXT(tbLOG[[#This Row],[DATA/HORA]],"mmmm"))</f>
        <v>Janeiro</v>
      </c>
      <c r="C1910" s="34" t="str">
        <f>PROPER(TEXT(tbLOG[[#This Row],[DATA/HORA]],"dddd"))</f>
        <v>Quinta-Feira</v>
      </c>
      <c r="D1910" s="3" t="s">
        <v>604</v>
      </c>
      <c r="E1910" s="34" t="str">
        <f>IFERROR(VLOOKUP(tbLOG[[#This Row],[LOGIN]],tbMAPA[#All],2,0), "Não localizado")</f>
        <v>Renan Cazumba Tegani</v>
      </c>
      <c r="F1910" s="34" t="str">
        <f>IFERROR(VLOOKUP(tbLOG[[#This Row],[LOGIN]],tbMAPA[#All],3,0), "Não localizado")</f>
        <v>Reginaldo Santana De Souza</v>
      </c>
      <c r="G1910" s="3" t="s">
        <v>1211</v>
      </c>
      <c r="H1910" s="3" t="s">
        <v>836</v>
      </c>
    </row>
    <row r="1911" spans="1:8">
      <c r="A1911" s="29">
        <v>42747.683946759258</v>
      </c>
      <c r="B1911" s="29" t="str">
        <f>PROPER(TEXT(tbLOG[[#This Row],[DATA/HORA]],"mmmm"))</f>
        <v>Janeiro</v>
      </c>
      <c r="C1911" s="34" t="str">
        <f>PROPER(TEXT(tbLOG[[#This Row],[DATA/HORA]],"dddd"))</f>
        <v>Quinta-Feira</v>
      </c>
      <c r="D1911" s="3" t="s">
        <v>604</v>
      </c>
      <c r="E1911" s="34" t="str">
        <f>IFERROR(VLOOKUP(tbLOG[[#This Row],[LOGIN]],tbMAPA[#All],2,0), "Não localizado")</f>
        <v>Renan Cazumba Tegani</v>
      </c>
      <c r="F1911" s="34" t="str">
        <f>IFERROR(VLOOKUP(tbLOG[[#This Row],[LOGIN]],tbMAPA[#All],3,0), "Não localizado")</f>
        <v>Reginaldo Santana De Souza</v>
      </c>
      <c r="G1911" s="3" t="s">
        <v>1211</v>
      </c>
      <c r="H1911" s="3" t="s">
        <v>836</v>
      </c>
    </row>
    <row r="1912" spans="1:8">
      <c r="A1912" s="29">
        <v>42747.684733796297</v>
      </c>
      <c r="B1912" s="29" t="str">
        <f>PROPER(TEXT(tbLOG[[#This Row],[DATA/HORA]],"mmmm"))</f>
        <v>Janeiro</v>
      </c>
      <c r="C1912" s="34" t="str">
        <f>PROPER(TEXT(tbLOG[[#This Row],[DATA/HORA]],"dddd"))</f>
        <v>Quinta-Feira</v>
      </c>
      <c r="D1912" s="3" t="s">
        <v>604</v>
      </c>
      <c r="E1912" s="34" t="str">
        <f>IFERROR(VLOOKUP(tbLOG[[#This Row],[LOGIN]],tbMAPA[#All],2,0), "Não localizado")</f>
        <v>Renan Cazumba Tegani</v>
      </c>
      <c r="F1912" s="34" t="str">
        <f>IFERROR(VLOOKUP(tbLOG[[#This Row],[LOGIN]],tbMAPA[#All],3,0), "Não localizado")</f>
        <v>Reginaldo Santana De Souza</v>
      </c>
      <c r="G1912" s="3" t="s">
        <v>1211</v>
      </c>
      <c r="H1912" s="3" t="s">
        <v>836</v>
      </c>
    </row>
    <row r="1913" spans="1:8">
      <c r="A1913" s="29">
        <v>42747.68645833333</v>
      </c>
      <c r="B1913" s="29" t="str">
        <f>PROPER(TEXT(tbLOG[[#This Row],[DATA/HORA]],"mmmm"))</f>
        <v>Janeiro</v>
      </c>
      <c r="C1913" s="34" t="str">
        <f>PROPER(TEXT(tbLOG[[#This Row],[DATA/HORA]],"dddd"))</f>
        <v>Quinta-Feira</v>
      </c>
      <c r="D1913" s="3" t="s">
        <v>604</v>
      </c>
      <c r="E1913" s="34" t="str">
        <f>IFERROR(VLOOKUP(tbLOG[[#This Row],[LOGIN]],tbMAPA[#All],2,0), "Não localizado")</f>
        <v>Renan Cazumba Tegani</v>
      </c>
      <c r="F1913" s="34" t="str">
        <f>IFERROR(VLOOKUP(tbLOG[[#This Row],[LOGIN]],tbMAPA[#All],3,0), "Não localizado")</f>
        <v>Reginaldo Santana De Souza</v>
      </c>
      <c r="G1913" s="3" t="s">
        <v>1211</v>
      </c>
      <c r="H1913" s="3" t="s">
        <v>836</v>
      </c>
    </row>
    <row r="1914" spans="1:8">
      <c r="A1914" s="29">
        <v>42747.689282407409</v>
      </c>
      <c r="B1914" s="29" t="str">
        <f>PROPER(TEXT(tbLOG[[#This Row],[DATA/HORA]],"mmmm"))</f>
        <v>Janeiro</v>
      </c>
      <c r="C1914" s="34" t="str">
        <f>PROPER(TEXT(tbLOG[[#This Row],[DATA/HORA]],"dddd"))</f>
        <v>Quinta-Feira</v>
      </c>
      <c r="D1914" s="3" t="s">
        <v>604</v>
      </c>
      <c r="E1914" s="34" t="str">
        <f>IFERROR(VLOOKUP(tbLOG[[#This Row],[LOGIN]],tbMAPA[#All],2,0), "Não localizado")</f>
        <v>Renan Cazumba Tegani</v>
      </c>
      <c r="F1914" s="34" t="str">
        <f>IFERROR(VLOOKUP(tbLOG[[#This Row],[LOGIN]],tbMAPA[#All],3,0), "Não localizado")</f>
        <v>Reginaldo Santana De Souza</v>
      </c>
      <c r="G1914" s="3" t="s">
        <v>1211</v>
      </c>
      <c r="H1914" s="3" t="s">
        <v>836</v>
      </c>
    </row>
    <row r="1915" spans="1:8">
      <c r="A1915" s="29">
        <v>42747.689293981479</v>
      </c>
      <c r="B1915" s="29" t="str">
        <f>PROPER(TEXT(tbLOG[[#This Row],[DATA/HORA]],"mmmm"))</f>
        <v>Janeiro</v>
      </c>
      <c r="C1915" s="34" t="str">
        <f>PROPER(TEXT(tbLOG[[#This Row],[DATA/HORA]],"dddd"))</f>
        <v>Quinta-Feira</v>
      </c>
      <c r="D1915" s="3" t="s">
        <v>604</v>
      </c>
      <c r="E1915" s="34" t="str">
        <f>IFERROR(VLOOKUP(tbLOG[[#This Row],[LOGIN]],tbMAPA[#All],2,0), "Não localizado")</f>
        <v>Renan Cazumba Tegani</v>
      </c>
      <c r="F1915" s="34" t="str">
        <f>IFERROR(VLOOKUP(tbLOG[[#This Row],[LOGIN]],tbMAPA[#All],3,0), "Não localizado")</f>
        <v>Reginaldo Santana De Souza</v>
      </c>
      <c r="G1915" s="3" t="s">
        <v>1211</v>
      </c>
      <c r="H1915" s="3" t="s">
        <v>836</v>
      </c>
    </row>
    <row r="1916" spans="1:8">
      <c r="A1916" s="29">
        <v>42747.68949074074</v>
      </c>
      <c r="B1916" s="29" t="str">
        <f>PROPER(TEXT(tbLOG[[#This Row],[DATA/HORA]],"mmmm"))</f>
        <v>Janeiro</v>
      </c>
      <c r="C1916" s="34" t="str">
        <f>PROPER(TEXT(tbLOG[[#This Row],[DATA/HORA]],"dddd"))</f>
        <v>Quinta-Feira</v>
      </c>
      <c r="D1916" s="3" t="s">
        <v>604</v>
      </c>
      <c r="E1916" s="34" t="str">
        <f>IFERROR(VLOOKUP(tbLOG[[#This Row],[LOGIN]],tbMAPA[#All],2,0), "Não localizado")</f>
        <v>Renan Cazumba Tegani</v>
      </c>
      <c r="F1916" s="34" t="str">
        <f>IFERROR(VLOOKUP(tbLOG[[#This Row],[LOGIN]],tbMAPA[#All],3,0), "Não localizado")</f>
        <v>Reginaldo Santana De Souza</v>
      </c>
      <c r="G1916" s="3" t="s">
        <v>1211</v>
      </c>
      <c r="H1916" s="3" t="s">
        <v>836</v>
      </c>
    </row>
    <row r="1917" spans="1:8">
      <c r="A1917" s="29">
        <v>42747.691412037035</v>
      </c>
      <c r="B1917" s="29" t="str">
        <f>PROPER(TEXT(tbLOG[[#This Row],[DATA/HORA]],"mmmm"))</f>
        <v>Janeiro</v>
      </c>
      <c r="C1917" s="34" t="str">
        <f>PROPER(TEXT(tbLOG[[#This Row],[DATA/HORA]],"dddd"))</f>
        <v>Quinta-Feira</v>
      </c>
      <c r="D1917" s="3" t="s">
        <v>604</v>
      </c>
      <c r="E1917" s="34" t="str">
        <f>IFERROR(VLOOKUP(tbLOG[[#This Row],[LOGIN]],tbMAPA[#All],2,0), "Não localizado")</f>
        <v>Renan Cazumba Tegani</v>
      </c>
      <c r="F1917" s="34" t="str">
        <f>IFERROR(VLOOKUP(tbLOG[[#This Row],[LOGIN]],tbMAPA[#All],3,0), "Não localizado")</f>
        <v>Reginaldo Santana De Souza</v>
      </c>
      <c r="G1917" s="3" t="s">
        <v>1211</v>
      </c>
      <c r="H1917" s="3" t="s">
        <v>836</v>
      </c>
    </row>
    <row r="1918" spans="1:8">
      <c r="A1918" s="29">
        <v>42747.694409722222</v>
      </c>
      <c r="B1918" s="29" t="str">
        <f>PROPER(TEXT(tbLOG[[#This Row],[DATA/HORA]],"mmmm"))</f>
        <v>Janeiro</v>
      </c>
      <c r="C1918" s="34" t="str">
        <f>PROPER(TEXT(tbLOG[[#This Row],[DATA/HORA]],"dddd"))</f>
        <v>Quinta-Feira</v>
      </c>
      <c r="D1918" s="3" t="s">
        <v>604</v>
      </c>
      <c r="E1918" s="34" t="str">
        <f>IFERROR(VLOOKUP(tbLOG[[#This Row],[LOGIN]],tbMAPA[#All],2,0), "Não localizado")</f>
        <v>Renan Cazumba Tegani</v>
      </c>
      <c r="F1918" s="34" t="str">
        <f>IFERROR(VLOOKUP(tbLOG[[#This Row],[LOGIN]],tbMAPA[#All],3,0), "Não localizado")</f>
        <v>Reginaldo Santana De Souza</v>
      </c>
      <c r="G1918" s="3" t="s">
        <v>1211</v>
      </c>
      <c r="H1918" s="3" t="s">
        <v>836</v>
      </c>
    </row>
    <row r="1919" spans="1:8">
      <c r="A1919" s="29">
        <v>42747.695393518516</v>
      </c>
      <c r="B1919" s="29" t="str">
        <f>PROPER(TEXT(tbLOG[[#This Row],[DATA/HORA]],"mmmm"))</f>
        <v>Janeiro</v>
      </c>
      <c r="C1919" s="34" t="str">
        <f>PROPER(TEXT(tbLOG[[#This Row],[DATA/HORA]],"dddd"))</f>
        <v>Quinta-Feira</v>
      </c>
      <c r="D1919" s="3" t="s">
        <v>604</v>
      </c>
      <c r="E1919" s="34" t="str">
        <f>IFERROR(VLOOKUP(tbLOG[[#This Row],[LOGIN]],tbMAPA[#All],2,0), "Não localizado")</f>
        <v>Renan Cazumba Tegani</v>
      </c>
      <c r="F1919" s="34" t="str">
        <f>IFERROR(VLOOKUP(tbLOG[[#This Row],[LOGIN]],tbMAPA[#All],3,0), "Não localizado")</f>
        <v>Reginaldo Santana De Souza</v>
      </c>
      <c r="G1919" s="3" t="s">
        <v>1211</v>
      </c>
      <c r="H1919" s="3" t="s">
        <v>836</v>
      </c>
    </row>
    <row r="1920" spans="1:8">
      <c r="A1920" s="29">
        <v>42747.697002314817</v>
      </c>
      <c r="B1920" s="29" t="str">
        <f>PROPER(TEXT(tbLOG[[#This Row],[DATA/HORA]],"mmmm"))</f>
        <v>Janeiro</v>
      </c>
      <c r="C1920" s="34" t="str">
        <f>PROPER(TEXT(tbLOG[[#This Row],[DATA/HORA]],"dddd"))</f>
        <v>Quinta-Feira</v>
      </c>
      <c r="D1920" s="3" t="s">
        <v>604</v>
      </c>
      <c r="E1920" s="34" t="str">
        <f>IFERROR(VLOOKUP(tbLOG[[#This Row],[LOGIN]],tbMAPA[#All],2,0), "Não localizado")</f>
        <v>Renan Cazumba Tegani</v>
      </c>
      <c r="F1920" s="34" t="str">
        <f>IFERROR(VLOOKUP(tbLOG[[#This Row],[LOGIN]],tbMAPA[#All],3,0), "Não localizado")</f>
        <v>Reginaldo Santana De Souza</v>
      </c>
      <c r="G1920" s="3" t="s">
        <v>1211</v>
      </c>
      <c r="H1920" s="3" t="s">
        <v>836</v>
      </c>
    </row>
    <row r="1921" spans="1:8">
      <c r="A1921" s="29">
        <v>42747.697025462963</v>
      </c>
      <c r="B1921" s="29" t="str">
        <f>PROPER(TEXT(tbLOG[[#This Row],[DATA/HORA]],"mmmm"))</f>
        <v>Janeiro</v>
      </c>
      <c r="C1921" s="34" t="str">
        <f>PROPER(TEXT(tbLOG[[#This Row],[DATA/HORA]],"dddd"))</f>
        <v>Quinta-Feira</v>
      </c>
      <c r="D1921" s="3" t="s">
        <v>604</v>
      </c>
      <c r="E1921" s="34" t="str">
        <f>IFERROR(VLOOKUP(tbLOG[[#This Row],[LOGIN]],tbMAPA[#All],2,0), "Não localizado")</f>
        <v>Renan Cazumba Tegani</v>
      </c>
      <c r="F1921" s="34" t="str">
        <f>IFERROR(VLOOKUP(tbLOG[[#This Row],[LOGIN]],tbMAPA[#All],3,0), "Não localizado")</f>
        <v>Reginaldo Santana De Souza</v>
      </c>
      <c r="G1921" s="3" t="s">
        <v>1211</v>
      </c>
      <c r="H1921" s="3" t="s">
        <v>836</v>
      </c>
    </row>
    <row r="1922" spans="1:8">
      <c r="A1922" s="29">
        <v>42747.697106481479</v>
      </c>
      <c r="B1922" s="29" t="str">
        <f>PROPER(TEXT(tbLOG[[#This Row],[DATA/HORA]],"mmmm"))</f>
        <v>Janeiro</v>
      </c>
      <c r="C1922" s="34" t="str">
        <f>PROPER(TEXT(tbLOG[[#This Row],[DATA/HORA]],"dddd"))</f>
        <v>Quinta-Feira</v>
      </c>
      <c r="D1922" s="3" t="s">
        <v>604</v>
      </c>
      <c r="E1922" s="34" t="str">
        <f>IFERROR(VLOOKUP(tbLOG[[#This Row],[LOGIN]],tbMAPA[#All],2,0), "Não localizado")</f>
        <v>Renan Cazumba Tegani</v>
      </c>
      <c r="F1922" s="34" t="str">
        <f>IFERROR(VLOOKUP(tbLOG[[#This Row],[LOGIN]],tbMAPA[#All],3,0), "Não localizado")</f>
        <v>Reginaldo Santana De Souza</v>
      </c>
      <c r="G1922" s="3" t="s">
        <v>1211</v>
      </c>
      <c r="H1922" s="3" t="s">
        <v>836</v>
      </c>
    </row>
    <row r="1923" spans="1:8">
      <c r="A1923" s="29">
        <v>42747.700925925928</v>
      </c>
      <c r="B1923" s="29" t="str">
        <f>PROPER(TEXT(tbLOG[[#This Row],[DATA/HORA]],"mmmm"))</f>
        <v>Janeiro</v>
      </c>
      <c r="C1923" s="34" t="str">
        <f>PROPER(TEXT(tbLOG[[#This Row],[DATA/HORA]],"dddd"))</f>
        <v>Quinta-Feira</v>
      </c>
      <c r="D1923" s="3" t="s">
        <v>604</v>
      </c>
      <c r="E1923" s="34" t="str">
        <f>IFERROR(VLOOKUP(tbLOG[[#This Row],[LOGIN]],tbMAPA[#All],2,0), "Não localizado")</f>
        <v>Renan Cazumba Tegani</v>
      </c>
      <c r="F1923" s="34" t="str">
        <f>IFERROR(VLOOKUP(tbLOG[[#This Row],[LOGIN]],tbMAPA[#All],3,0), "Não localizado")</f>
        <v>Reginaldo Santana De Souza</v>
      </c>
      <c r="G1923" s="3" t="s">
        <v>1211</v>
      </c>
      <c r="H1923" s="3" t="s">
        <v>836</v>
      </c>
    </row>
    <row r="1924" spans="1:8">
      <c r="A1924" s="29">
        <v>42747.700949074075</v>
      </c>
      <c r="B1924" s="29" t="str">
        <f>PROPER(TEXT(tbLOG[[#This Row],[DATA/HORA]],"mmmm"))</f>
        <v>Janeiro</v>
      </c>
      <c r="C1924" s="34" t="str">
        <f>PROPER(TEXT(tbLOG[[#This Row],[DATA/HORA]],"dddd"))</f>
        <v>Quinta-Feira</v>
      </c>
      <c r="D1924" s="3" t="s">
        <v>604</v>
      </c>
      <c r="E1924" s="34" t="str">
        <f>IFERROR(VLOOKUP(tbLOG[[#This Row],[LOGIN]],tbMAPA[#All],2,0), "Não localizado")</f>
        <v>Renan Cazumba Tegani</v>
      </c>
      <c r="F1924" s="34" t="str">
        <f>IFERROR(VLOOKUP(tbLOG[[#This Row],[LOGIN]],tbMAPA[#All],3,0), "Não localizado")</f>
        <v>Reginaldo Santana De Souza</v>
      </c>
      <c r="G1924" s="3" t="s">
        <v>1211</v>
      </c>
      <c r="H1924" s="3" t="s">
        <v>836</v>
      </c>
    </row>
    <row r="1925" spans="1:8">
      <c r="A1925" s="29">
        <v>42747.700983796298</v>
      </c>
      <c r="B1925" s="29" t="str">
        <f>PROPER(TEXT(tbLOG[[#This Row],[DATA/HORA]],"mmmm"))</f>
        <v>Janeiro</v>
      </c>
      <c r="C1925" s="34" t="str">
        <f>PROPER(TEXT(tbLOG[[#This Row],[DATA/HORA]],"dddd"))</f>
        <v>Quinta-Feira</v>
      </c>
      <c r="D1925" s="3" t="s">
        <v>604</v>
      </c>
      <c r="E1925" s="34" t="str">
        <f>IFERROR(VLOOKUP(tbLOG[[#This Row],[LOGIN]],tbMAPA[#All],2,0), "Não localizado")</f>
        <v>Renan Cazumba Tegani</v>
      </c>
      <c r="F1925" s="34" t="str">
        <f>IFERROR(VLOOKUP(tbLOG[[#This Row],[LOGIN]],tbMAPA[#All],3,0), "Não localizado")</f>
        <v>Reginaldo Santana De Souza</v>
      </c>
      <c r="G1925" s="3" t="s">
        <v>1211</v>
      </c>
      <c r="H1925" s="3" t="s">
        <v>836</v>
      </c>
    </row>
    <row r="1926" spans="1:8">
      <c r="A1926" s="29">
        <v>42747.701990740738</v>
      </c>
      <c r="B1926" s="29" t="str">
        <f>PROPER(TEXT(tbLOG[[#This Row],[DATA/HORA]],"mmmm"))</f>
        <v>Janeiro</v>
      </c>
      <c r="C1926" s="34" t="str">
        <f>PROPER(TEXT(tbLOG[[#This Row],[DATA/HORA]],"dddd"))</f>
        <v>Quinta-Feira</v>
      </c>
      <c r="D1926" s="3" t="s">
        <v>604</v>
      </c>
      <c r="E1926" s="34" t="str">
        <f>IFERROR(VLOOKUP(tbLOG[[#This Row],[LOGIN]],tbMAPA[#All],2,0), "Não localizado")</f>
        <v>Renan Cazumba Tegani</v>
      </c>
      <c r="F1926" s="34" t="str">
        <f>IFERROR(VLOOKUP(tbLOG[[#This Row],[LOGIN]],tbMAPA[#All],3,0), "Não localizado")</f>
        <v>Reginaldo Santana De Souza</v>
      </c>
      <c r="G1926" s="3" t="s">
        <v>1211</v>
      </c>
      <c r="H1926" s="3" t="s">
        <v>836</v>
      </c>
    </row>
    <row r="1927" spans="1:8">
      <c r="A1927" s="29">
        <v>42747.702037037037</v>
      </c>
      <c r="B1927" s="29" t="str">
        <f>PROPER(TEXT(tbLOG[[#This Row],[DATA/HORA]],"mmmm"))</f>
        <v>Janeiro</v>
      </c>
      <c r="C1927" s="34" t="str">
        <f>PROPER(TEXT(tbLOG[[#This Row],[DATA/HORA]],"dddd"))</f>
        <v>Quinta-Feira</v>
      </c>
      <c r="D1927" s="3" t="s">
        <v>604</v>
      </c>
      <c r="E1927" s="34" t="str">
        <f>IFERROR(VLOOKUP(tbLOG[[#This Row],[LOGIN]],tbMAPA[#All],2,0), "Não localizado")</f>
        <v>Renan Cazumba Tegani</v>
      </c>
      <c r="F1927" s="34" t="str">
        <f>IFERROR(VLOOKUP(tbLOG[[#This Row],[LOGIN]],tbMAPA[#All],3,0), "Não localizado")</f>
        <v>Reginaldo Santana De Souza</v>
      </c>
      <c r="G1927" s="3" t="s">
        <v>1211</v>
      </c>
      <c r="H1927" s="3" t="s">
        <v>836</v>
      </c>
    </row>
    <row r="1928" spans="1:8">
      <c r="A1928" s="29">
        <v>42747.70207175926</v>
      </c>
      <c r="B1928" s="29" t="str">
        <f>PROPER(TEXT(tbLOG[[#This Row],[DATA/HORA]],"mmmm"))</f>
        <v>Janeiro</v>
      </c>
      <c r="C1928" s="34" t="str">
        <f>PROPER(TEXT(tbLOG[[#This Row],[DATA/HORA]],"dddd"))</f>
        <v>Quinta-Feira</v>
      </c>
      <c r="D1928" s="3" t="s">
        <v>604</v>
      </c>
      <c r="E1928" s="34" t="str">
        <f>IFERROR(VLOOKUP(tbLOG[[#This Row],[LOGIN]],tbMAPA[#All],2,0), "Não localizado")</f>
        <v>Renan Cazumba Tegani</v>
      </c>
      <c r="F1928" s="34" t="str">
        <f>IFERROR(VLOOKUP(tbLOG[[#This Row],[LOGIN]],tbMAPA[#All],3,0), "Não localizado")</f>
        <v>Reginaldo Santana De Souza</v>
      </c>
      <c r="G1928" s="3" t="s">
        <v>1211</v>
      </c>
      <c r="H1928" s="3" t="s">
        <v>836</v>
      </c>
    </row>
    <row r="1929" spans="1:8">
      <c r="A1929" s="29">
        <v>42747.70212962963</v>
      </c>
      <c r="B1929" s="29" t="str">
        <f>PROPER(TEXT(tbLOG[[#This Row],[DATA/HORA]],"mmmm"))</f>
        <v>Janeiro</v>
      </c>
      <c r="C1929" s="34" t="str">
        <f>PROPER(TEXT(tbLOG[[#This Row],[DATA/HORA]],"dddd"))</f>
        <v>Quinta-Feira</v>
      </c>
      <c r="D1929" s="3" t="s">
        <v>604</v>
      </c>
      <c r="E1929" s="34" t="str">
        <f>IFERROR(VLOOKUP(tbLOG[[#This Row],[LOGIN]],tbMAPA[#All],2,0), "Não localizado")</f>
        <v>Renan Cazumba Tegani</v>
      </c>
      <c r="F1929" s="34" t="str">
        <f>IFERROR(VLOOKUP(tbLOG[[#This Row],[LOGIN]],tbMAPA[#All],3,0), "Não localizado")</f>
        <v>Reginaldo Santana De Souza</v>
      </c>
      <c r="G1929" s="3" t="s">
        <v>1211</v>
      </c>
      <c r="H1929" s="3" t="s">
        <v>836</v>
      </c>
    </row>
    <row r="1930" spans="1:8">
      <c r="A1930" s="29">
        <v>42747.702152777776</v>
      </c>
      <c r="B1930" s="29" t="str">
        <f>PROPER(TEXT(tbLOG[[#This Row],[DATA/HORA]],"mmmm"))</f>
        <v>Janeiro</v>
      </c>
      <c r="C1930" s="34" t="str">
        <f>PROPER(TEXT(tbLOG[[#This Row],[DATA/HORA]],"dddd"))</f>
        <v>Quinta-Feira</v>
      </c>
      <c r="D1930" s="3" t="s">
        <v>604</v>
      </c>
      <c r="E1930" s="34" t="str">
        <f>IFERROR(VLOOKUP(tbLOG[[#This Row],[LOGIN]],tbMAPA[#All],2,0), "Não localizado")</f>
        <v>Renan Cazumba Tegani</v>
      </c>
      <c r="F1930" s="34" t="str">
        <f>IFERROR(VLOOKUP(tbLOG[[#This Row],[LOGIN]],tbMAPA[#All],3,0), "Não localizado")</f>
        <v>Reginaldo Santana De Souza</v>
      </c>
      <c r="G1930" s="3" t="s">
        <v>1211</v>
      </c>
      <c r="H1930" s="3" t="s">
        <v>290</v>
      </c>
    </row>
    <row r="1931" spans="1:8">
      <c r="A1931" s="29">
        <v>42747.704004629632</v>
      </c>
      <c r="B1931" s="29" t="str">
        <f>PROPER(TEXT(tbLOG[[#This Row],[DATA/HORA]],"mmmm"))</f>
        <v>Janeiro</v>
      </c>
      <c r="C1931" s="34" t="str">
        <f>PROPER(TEXT(tbLOG[[#This Row],[DATA/HORA]],"dddd"))</f>
        <v>Quinta-Feira</v>
      </c>
      <c r="D1931" s="3" t="s">
        <v>604</v>
      </c>
      <c r="E1931" s="34" t="str">
        <f>IFERROR(VLOOKUP(tbLOG[[#This Row],[LOGIN]],tbMAPA[#All],2,0), "Não localizado")</f>
        <v>Renan Cazumba Tegani</v>
      </c>
      <c r="F1931" s="34" t="str">
        <f>IFERROR(VLOOKUP(tbLOG[[#This Row],[LOGIN]],tbMAPA[#All],3,0), "Não localizado")</f>
        <v>Reginaldo Santana De Souza</v>
      </c>
      <c r="G1931" s="3" t="s">
        <v>1211</v>
      </c>
      <c r="H1931" s="3" t="s">
        <v>290</v>
      </c>
    </row>
    <row r="1932" spans="1:8">
      <c r="A1932" s="29">
        <v>42747.70721064815</v>
      </c>
      <c r="B1932" s="29" t="str">
        <f>PROPER(TEXT(tbLOG[[#This Row],[DATA/HORA]],"mmmm"))</f>
        <v>Janeiro</v>
      </c>
      <c r="C1932" s="34" t="str">
        <f>PROPER(TEXT(tbLOG[[#This Row],[DATA/HORA]],"dddd"))</f>
        <v>Quinta-Feira</v>
      </c>
      <c r="D1932" s="3" t="s">
        <v>604</v>
      </c>
      <c r="E1932" s="34" t="str">
        <f>IFERROR(VLOOKUP(tbLOG[[#This Row],[LOGIN]],tbMAPA[#All],2,0), "Não localizado")</f>
        <v>Renan Cazumba Tegani</v>
      </c>
      <c r="F1932" s="34" t="str">
        <f>IFERROR(VLOOKUP(tbLOG[[#This Row],[LOGIN]],tbMAPA[#All],3,0), "Não localizado")</f>
        <v>Reginaldo Santana De Souza</v>
      </c>
      <c r="G1932" s="3" t="s">
        <v>1211</v>
      </c>
      <c r="H1932" s="3" t="s">
        <v>836</v>
      </c>
    </row>
    <row r="1933" spans="1:8">
      <c r="A1933" s="29">
        <v>42747.707245370373</v>
      </c>
      <c r="B1933" s="29" t="str">
        <f>PROPER(TEXT(tbLOG[[#This Row],[DATA/HORA]],"mmmm"))</f>
        <v>Janeiro</v>
      </c>
      <c r="C1933" s="34" t="str">
        <f>PROPER(TEXT(tbLOG[[#This Row],[DATA/HORA]],"dddd"))</f>
        <v>Quinta-Feira</v>
      </c>
      <c r="D1933" s="3" t="s">
        <v>604</v>
      </c>
      <c r="E1933" s="34" t="str">
        <f>IFERROR(VLOOKUP(tbLOG[[#This Row],[LOGIN]],tbMAPA[#All],2,0), "Não localizado")</f>
        <v>Renan Cazumba Tegani</v>
      </c>
      <c r="F1933" s="34" t="str">
        <f>IFERROR(VLOOKUP(tbLOG[[#This Row],[LOGIN]],tbMAPA[#All],3,0), "Não localizado")</f>
        <v>Reginaldo Santana De Souza</v>
      </c>
      <c r="G1933" s="3" t="s">
        <v>1211</v>
      </c>
      <c r="H1933" s="3" t="s">
        <v>836</v>
      </c>
    </row>
    <row r="1934" spans="1:8">
      <c r="A1934" s="29">
        <v>42747.707268518519</v>
      </c>
      <c r="B1934" s="29" t="str">
        <f>PROPER(TEXT(tbLOG[[#This Row],[DATA/HORA]],"mmmm"))</f>
        <v>Janeiro</v>
      </c>
      <c r="C1934" s="34" t="str">
        <f>PROPER(TEXT(tbLOG[[#This Row],[DATA/HORA]],"dddd"))</f>
        <v>Quinta-Feira</v>
      </c>
      <c r="D1934" s="3" t="s">
        <v>604</v>
      </c>
      <c r="E1934" s="34" t="str">
        <f>IFERROR(VLOOKUP(tbLOG[[#This Row],[LOGIN]],tbMAPA[#All],2,0), "Não localizado")</f>
        <v>Renan Cazumba Tegani</v>
      </c>
      <c r="F1934" s="34" t="str">
        <f>IFERROR(VLOOKUP(tbLOG[[#This Row],[LOGIN]],tbMAPA[#All],3,0), "Não localizado")</f>
        <v>Reginaldo Santana De Souza</v>
      </c>
      <c r="G1934" s="3" t="s">
        <v>1211</v>
      </c>
      <c r="H1934" s="3" t="s">
        <v>836</v>
      </c>
    </row>
    <row r="1935" spans="1:8">
      <c r="A1935" s="29">
        <v>42747.709930555553</v>
      </c>
      <c r="B1935" s="29" t="str">
        <f>PROPER(TEXT(tbLOG[[#This Row],[DATA/HORA]],"mmmm"))</f>
        <v>Janeiro</v>
      </c>
      <c r="C1935" s="34" t="str">
        <f>PROPER(TEXT(tbLOG[[#This Row],[DATA/HORA]],"dddd"))</f>
        <v>Quinta-Feira</v>
      </c>
      <c r="D1935" s="3" t="s">
        <v>604</v>
      </c>
      <c r="E1935" s="34" t="str">
        <f>IFERROR(VLOOKUP(tbLOG[[#This Row],[LOGIN]],tbMAPA[#All],2,0), "Não localizado")</f>
        <v>Renan Cazumba Tegani</v>
      </c>
      <c r="F1935" s="34" t="str">
        <f>IFERROR(VLOOKUP(tbLOG[[#This Row],[LOGIN]],tbMAPA[#All],3,0), "Não localizado")</f>
        <v>Reginaldo Santana De Souza</v>
      </c>
      <c r="G1935" s="3" t="s">
        <v>1211</v>
      </c>
      <c r="H1935" s="3" t="s">
        <v>836</v>
      </c>
    </row>
    <row r="1936" spans="1:8">
      <c r="A1936" s="29">
        <v>42747.712060185186</v>
      </c>
      <c r="B1936" s="29" t="str">
        <f>PROPER(TEXT(tbLOG[[#This Row],[DATA/HORA]],"mmmm"))</f>
        <v>Janeiro</v>
      </c>
      <c r="C1936" s="34" t="str">
        <f>PROPER(TEXT(tbLOG[[#This Row],[DATA/HORA]],"dddd"))</f>
        <v>Quinta-Feira</v>
      </c>
      <c r="D1936" s="3" t="s">
        <v>604</v>
      </c>
      <c r="E1936" s="34" t="str">
        <f>IFERROR(VLOOKUP(tbLOG[[#This Row],[LOGIN]],tbMAPA[#All],2,0), "Não localizado")</f>
        <v>Renan Cazumba Tegani</v>
      </c>
      <c r="F1936" s="34" t="str">
        <f>IFERROR(VLOOKUP(tbLOG[[#This Row],[LOGIN]],tbMAPA[#All],3,0), "Não localizado")</f>
        <v>Reginaldo Santana De Souza</v>
      </c>
      <c r="G1936" s="3" t="s">
        <v>1211</v>
      </c>
      <c r="H1936" s="3" t="s">
        <v>836</v>
      </c>
    </row>
    <row r="1937" spans="1:8">
      <c r="A1937" s="29">
        <v>42747.71234953704</v>
      </c>
      <c r="B1937" s="29" t="str">
        <f>PROPER(TEXT(tbLOG[[#This Row],[DATA/HORA]],"mmmm"))</f>
        <v>Janeiro</v>
      </c>
      <c r="C1937" s="34" t="str">
        <f>PROPER(TEXT(tbLOG[[#This Row],[DATA/HORA]],"dddd"))</f>
        <v>Quinta-Feira</v>
      </c>
      <c r="D1937" s="3" t="s">
        <v>604</v>
      </c>
      <c r="E1937" s="34" t="str">
        <f>IFERROR(VLOOKUP(tbLOG[[#This Row],[LOGIN]],tbMAPA[#All],2,0), "Não localizado")</f>
        <v>Renan Cazumba Tegani</v>
      </c>
      <c r="F1937" s="34" t="str">
        <f>IFERROR(VLOOKUP(tbLOG[[#This Row],[LOGIN]],tbMAPA[#All],3,0), "Não localizado")</f>
        <v>Reginaldo Santana De Souza</v>
      </c>
      <c r="G1937" s="3" t="s">
        <v>1211</v>
      </c>
      <c r="H1937" s="3" t="s">
        <v>836</v>
      </c>
    </row>
    <row r="1938" spans="1:8">
      <c r="A1938" s="29">
        <v>42747.714143518519</v>
      </c>
      <c r="B1938" s="29" t="str">
        <f>PROPER(TEXT(tbLOG[[#This Row],[DATA/HORA]],"mmmm"))</f>
        <v>Janeiro</v>
      </c>
      <c r="C1938" s="34" t="str">
        <f>PROPER(TEXT(tbLOG[[#This Row],[DATA/HORA]],"dddd"))</f>
        <v>Quinta-Feira</v>
      </c>
      <c r="D1938" s="3" t="s">
        <v>604</v>
      </c>
      <c r="E1938" s="34" t="str">
        <f>IFERROR(VLOOKUP(tbLOG[[#This Row],[LOGIN]],tbMAPA[#All],2,0), "Não localizado")</f>
        <v>Renan Cazumba Tegani</v>
      </c>
      <c r="F1938" s="34" t="str">
        <f>IFERROR(VLOOKUP(tbLOG[[#This Row],[LOGIN]],tbMAPA[#All],3,0), "Não localizado")</f>
        <v>Reginaldo Santana De Souza</v>
      </c>
      <c r="G1938" s="3" t="s">
        <v>1211</v>
      </c>
      <c r="H1938" s="3" t="s">
        <v>836</v>
      </c>
    </row>
    <row r="1939" spans="1:8">
      <c r="A1939" s="29">
        <v>42747.715937499997</v>
      </c>
      <c r="B1939" s="29" t="str">
        <f>PROPER(TEXT(tbLOG[[#This Row],[DATA/HORA]],"mmmm"))</f>
        <v>Janeiro</v>
      </c>
      <c r="C1939" s="34" t="str">
        <f>PROPER(TEXT(tbLOG[[#This Row],[DATA/HORA]],"dddd"))</f>
        <v>Quinta-Feira</v>
      </c>
      <c r="D1939" s="3" t="s">
        <v>604</v>
      </c>
      <c r="E1939" s="34" t="str">
        <f>IFERROR(VLOOKUP(tbLOG[[#This Row],[LOGIN]],tbMAPA[#All],2,0), "Não localizado")</f>
        <v>Renan Cazumba Tegani</v>
      </c>
      <c r="F1939" s="34" t="str">
        <f>IFERROR(VLOOKUP(tbLOG[[#This Row],[LOGIN]],tbMAPA[#All],3,0), "Não localizado")</f>
        <v>Reginaldo Santana De Souza</v>
      </c>
      <c r="G1939" s="3" t="s">
        <v>1211</v>
      </c>
      <c r="H1939" s="3" t="s">
        <v>836</v>
      </c>
    </row>
    <row r="1940" spans="1:8">
      <c r="A1940" s="29">
        <v>42747.71597222222</v>
      </c>
      <c r="B1940" s="29" t="str">
        <f>PROPER(TEXT(tbLOG[[#This Row],[DATA/HORA]],"mmmm"))</f>
        <v>Janeiro</v>
      </c>
      <c r="C1940" s="34" t="str">
        <f>PROPER(TEXT(tbLOG[[#This Row],[DATA/HORA]],"dddd"))</f>
        <v>Quinta-Feira</v>
      </c>
      <c r="D1940" s="3" t="s">
        <v>604</v>
      </c>
      <c r="E1940" s="34" t="str">
        <f>IFERROR(VLOOKUP(tbLOG[[#This Row],[LOGIN]],tbMAPA[#All],2,0), "Não localizado")</f>
        <v>Renan Cazumba Tegani</v>
      </c>
      <c r="F1940" s="34" t="str">
        <f>IFERROR(VLOOKUP(tbLOG[[#This Row],[LOGIN]],tbMAPA[#All],3,0), "Não localizado")</f>
        <v>Reginaldo Santana De Souza</v>
      </c>
      <c r="G1940" s="3" t="s">
        <v>1211</v>
      </c>
      <c r="H1940" s="3" t="s">
        <v>290</v>
      </c>
    </row>
    <row r="1941" spans="1:8">
      <c r="A1941" s="29">
        <v>42747.716516203705</v>
      </c>
      <c r="B1941" s="29" t="str">
        <f>PROPER(TEXT(tbLOG[[#This Row],[DATA/HORA]],"mmmm"))</f>
        <v>Janeiro</v>
      </c>
      <c r="C1941" s="34" t="str">
        <f>PROPER(TEXT(tbLOG[[#This Row],[DATA/HORA]],"dddd"))</f>
        <v>Quinta-Feira</v>
      </c>
      <c r="D1941" s="3" t="s">
        <v>604</v>
      </c>
      <c r="E1941" s="34" t="str">
        <f>IFERROR(VLOOKUP(tbLOG[[#This Row],[LOGIN]],tbMAPA[#All],2,0), "Não localizado")</f>
        <v>Renan Cazumba Tegani</v>
      </c>
      <c r="F1941" s="34" t="str">
        <f>IFERROR(VLOOKUP(tbLOG[[#This Row],[LOGIN]],tbMAPA[#All],3,0), "Não localizado")</f>
        <v>Reginaldo Santana De Souza</v>
      </c>
      <c r="G1941" s="3" t="s">
        <v>1211</v>
      </c>
      <c r="H1941" s="3" t="s">
        <v>836</v>
      </c>
    </row>
    <row r="1942" spans="1:8">
      <c r="A1942" s="29">
        <v>42747.716527777775</v>
      </c>
      <c r="B1942" s="29" t="str">
        <f>PROPER(TEXT(tbLOG[[#This Row],[DATA/HORA]],"mmmm"))</f>
        <v>Janeiro</v>
      </c>
      <c r="C1942" s="34" t="str">
        <f>PROPER(TEXT(tbLOG[[#This Row],[DATA/HORA]],"dddd"))</f>
        <v>Quinta-Feira</v>
      </c>
      <c r="D1942" s="3" t="s">
        <v>604</v>
      </c>
      <c r="E1942" s="34" t="str">
        <f>IFERROR(VLOOKUP(tbLOG[[#This Row],[LOGIN]],tbMAPA[#All],2,0), "Não localizado")</f>
        <v>Renan Cazumba Tegani</v>
      </c>
      <c r="F1942" s="34" t="str">
        <f>IFERROR(VLOOKUP(tbLOG[[#This Row],[LOGIN]],tbMAPA[#All],3,0), "Não localizado")</f>
        <v>Reginaldo Santana De Souza</v>
      </c>
      <c r="G1942" s="3" t="s">
        <v>1211</v>
      </c>
      <c r="H1942" s="3" t="s">
        <v>836</v>
      </c>
    </row>
    <row r="1943" spans="1:8">
      <c r="A1943" s="29">
        <v>42747.716608796298</v>
      </c>
      <c r="B1943" s="29" t="str">
        <f>PROPER(TEXT(tbLOG[[#This Row],[DATA/HORA]],"mmmm"))</f>
        <v>Janeiro</v>
      </c>
      <c r="C1943" s="34" t="str">
        <f>PROPER(TEXT(tbLOG[[#This Row],[DATA/HORA]],"dddd"))</f>
        <v>Quinta-Feira</v>
      </c>
      <c r="D1943" s="3" t="s">
        <v>604</v>
      </c>
      <c r="E1943" s="34" t="str">
        <f>IFERROR(VLOOKUP(tbLOG[[#This Row],[LOGIN]],tbMAPA[#All],2,0), "Não localizado")</f>
        <v>Renan Cazumba Tegani</v>
      </c>
      <c r="F1943" s="34" t="str">
        <f>IFERROR(VLOOKUP(tbLOG[[#This Row],[LOGIN]],tbMAPA[#All],3,0), "Não localizado")</f>
        <v>Reginaldo Santana De Souza</v>
      </c>
      <c r="G1943" s="3" t="s">
        <v>1211</v>
      </c>
      <c r="H1943" s="3" t="s">
        <v>836</v>
      </c>
    </row>
    <row r="1944" spans="1:8">
      <c r="A1944" s="29">
        <v>42747.717581018522</v>
      </c>
      <c r="B1944" s="29" t="str">
        <f>PROPER(TEXT(tbLOG[[#This Row],[DATA/HORA]],"mmmm"))</f>
        <v>Janeiro</v>
      </c>
      <c r="C1944" s="34" t="str">
        <f>PROPER(TEXT(tbLOG[[#This Row],[DATA/HORA]],"dddd"))</f>
        <v>Quinta-Feira</v>
      </c>
      <c r="D1944" s="3" t="s">
        <v>604</v>
      </c>
      <c r="E1944" s="34" t="str">
        <f>IFERROR(VLOOKUP(tbLOG[[#This Row],[LOGIN]],tbMAPA[#All],2,0), "Não localizado")</f>
        <v>Renan Cazumba Tegani</v>
      </c>
      <c r="F1944" s="34" t="str">
        <f>IFERROR(VLOOKUP(tbLOG[[#This Row],[LOGIN]],tbMAPA[#All],3,0), "Não localizado")</f>
        <v>Reginaldo Santana De Souza</v>
      </c>
      <c r="G1944" s="3" t="s">
        <v>1211</v>
      </c>
      <c r="H1944" s="3" t="s">
        <v>836</v>
      </c>
    </row>
    <row r="1945" spans="1:8">
      <c r="A1945" s="29">
        <v>42747.722743055558</v>
      </c>
      <c r="B1945" s="29" t="str">
        <f>PROPER(TEXT(tbLOG[[#This Row],[DATA/HORA]],"mmmm"))</f>
        <v>Janeiro</v>
      </c>
      <c r="C1945" s="34" t="str">
        <f>PROPER(TEXT(tbLOG[[#This Row],[DATA/HORA]],"dddd"))</f>
        <v>Quinta-Feira</v>
      </c>
      <c r="D1945" s="3" t="s">
        <v>604</v>
      </c>
      <c r="E1945" s="34" t="str">
        <f>IFERROR(VLOOKUP(tbLOG[[#This Row],[LOGIN]],tbMAPA[#All],2,0), "Não localizado")</f>
        <v>Renan Cazumba Tegani</v>
      </c>
      <c r="F1945" s="34" t="str">
        <f>IFERROR(VLOOKUP(tbLOG[[#This Row],[LOGIN]],tbMAPA[#All],3,0), "Não localizado")</f>
        <v>Reginaldo Santana De Souza</v>
      </c>
      <c r="G1945" s="3" t="s">
        <v>1211</v>
      </c>
      <c r="H1945" s="3" t="s">
        <v>836</v>
      </c>
    </row>
    <row r="1946" spans="1:8">
      <c r="A1946" s="29">
        <v>42747.726435185185</v>
      </c>
      <c r="B1946" s="29" t="str">
        <f>PROPER(TEXT(tbLOG[[#This Row],[DATA/HORA]],"mmmm"))</f>
        <v>Janeiro</v>
      </c>
      <c r="C1946" s="34" t="str">
        <f>PROPER(TEXT(tbLOG[[#This Row],[DATA/HORA]],"dddd"))</f>
        <v>Quinta-Feira</v>
      </c>
      <c r="D1946" s="3" t="s">
        <v>604</v>
      </c>
      <c r="E1946" s="34" t="str">
        <f>IFERROR(VLOOKUP(tbLOG[[#This Row],[LOGIN]],tbMAPA[#All],2,0), "Não localizado")</f>
        <v>Renan Cazumba Tegani</v>
      </c>
      <c r="F1946" s="34" t="str">
        <f>IFERROR(VLOOKUP(tbLOG[[#This Row],[LOGIN]],tbMAPA[#All],3,0), "Não localizado")</f>
        <v>Reginaldo Santana De Souza</v>
      </c>
      <c r="G1946" s="3" t="s">
        <v>1211</v>
      </c>
      <c r="H1946" s="3" t="s">
        <v>836</v>
      </c>
    </row>
    <row r="1947" spans="1:8">
      <c r="A1947" s="29">
        <v>42747.726458333331</v>
      </c>
      <c r="B1947" s="29" t="str">
        <f>PROPER(TEXT(tbLOG[[#This Row],[DATA/HORA]],"mmmm"))</f>
        <v>Janeiro</v>
      </c>
      <c r="C1947" s="34" t="str">
        <f>PROPER(TEXT(tbLOG[[#This Row],[DATA/HORA]],"dddd"))</f>
        <v>Quinta-Feira</v>
      </c>
      <c r="D1947" s="3" t="s">
        <v>604</v>
      </c>
      <c r="E1947" s="34" t="str">
        <f>IFERROR(VLOOKUP(tbLOG[[#This Row],[LOGIN]],tbMAPA[#All],2,0), "Não localizado")</f>
        <v>Renan Cazumba Tegani</v>
      </c>
      <c r="F1947" s="34" t="str">
        <f>IFERROR(VLOOKUP(tbLOG[[#This Row],[LOGIN]],tbMAPA[#All],3,0), "Não localizado")</f>
        <v>Reginaldo Santana De Souza</v>
      </c>
      <c r="G1947" s="3" t="s">
        <v>1211</v>
      </c>
      <c r="H1947" s="3" t="s">
        <v>836</v>
      </c>
    </row>
    <row r="1948" spans="1:8">
      <c r="A1948" s="29">
        <v>42747.726678240739</v>
      </c>
      <c r="B1948" s="29" t="str">
        <f>PROPER(TEXT(tbLOG[[#This Row],[DATA/HORA]],"mmmm"))</f>
        <v>Janeiro</v>
      </c>
      <c r="C1948" s="34" t="str">
        <f>PROPER(TEXT(tbLOG[[#This Row],[DATA/HORA]],"dddd"))</f>
        <v>Quinta-Feira</v>
      </c>
      <c r="D1948" s="3" t="s">
        <v>604</v>
      </c>
      <c r="E1948" s="34" t="str">
        <f>IFERROR(VLOOKUP(tbLOG[[#This Row],[LOGIN]],tbMAPA[#All],2,0), "Não localizado")</f>
        <v>Renan Cazumba Tegani</v>
      </c>
      <c r="F1948" s="34" t="str">
        <f>IFERROR(VLOOKUP(tbLOG[[#This Row],[LOGIN]],tbMAPA[#All],3,0), "Não localizado")</f>
        <v>Reginaldo Santana De Souza</v>
      </c>
      <c r="G1948" s="3" t="s">
        <v>1211</v>
      </c>
      <c r="H1948" s="3" t="s">
        <v>836</v>
      </c>
    </row>
    <row r="1949" spans="1:8">
      <c r="A1949" s="29">
        <v>42747.726724537039</v>
      </c>
      <c r="B1949" s="29" t="str">
        <f>PROPER(TEXT(tbLOG[[#This Row],[DATA/HORA]],"mmmm"))</f>
        <v>Janeiro</v>
      </c>
      <c r="C1949" s="34" t="str">
        <f>PROPER(TEXT(tbLOG[[#This Row],[DATA/HORA]],"dddd"))</f>
        <v>Quinta-Feira</v>
      </c>
      <c r="D1949" s="3" t="s">
        <v>604</v>
      </c>
      <c r="E1949" s="34" t="str">
        <f>IFERROR(VLOOKUP(tbLOG[[#This Row],[LOGIN]],tbMAPA[#All],2,0), "Não localizado")</f>
        <v>Renan Cazumba Tegani</v>
      </c>
      <c r="F1949" s="34" t="str">
        <f>IFERROR(VLOOKUP(tbLOG[[#This Row],[LOGIN]],tbMAPA[#All],3,0), "Não localizado")</f>
        <v>Reginaldo Santana De Souza</v>
      </c>
      <c r="G1949" s="3" t="s">
        <v>1211</v>
      </c>
      <c r="H1949" s="3" t="s">
        <v>836</v>
      </c>
    </row>
    <row r="1950" spans="1:8">
      <c r="A1950" s="29">
        <v>42747.726724537039</v>
      </c>
      <c r="B1950" s="29" t="str">
        <f>PROPER(TEXT(tbLOG[[#This Row],[DATA/HORA]],"mmmm"))</f>
        <v>Janeiro</v>
      </c>
      <c r="C1950" s="34" t="str">
        <f>PROPER(TEXT(tbLOG[[#This Row],[DATA/HORA]],"dddd"))</f>
        <v>Quinta-Feira</v>
      </c>
      <c r="D1950" s="3" t="s">
        <v>604</v>
      </c>
      <c r="E1950" s="34" t="str">
        <f>IFERROR(VLOOKUP(tbLOG[[#This Row],[LOGIN]],tbMAPA[#All],2,0), "Não localizado")</f>
        <v>Renan Cazumba Tegani</v>
      </c>
      <c r="F1950" s="34" t="str">
        <f>IFERROR(VLOOKUP(tbLOG[[#This Row],[LOGIN]],tbMAPA[#All],3,0), "Não localizado")</f>
        <v>Reginaldo Santana De Souza</v>
      </c>
      <c r="G1950" s="3" t="s">
        <v>1211</v>
      </c>
      <c r="H1950" s="3" t="s">
        <v>836</v>
      </c>
    </row>
    <row r="1951" spans="1:8">
      <c r="A1951" s="29">
        <v>42747.726747685185</v>
      </c>
      <c r="B1951" s="29" t="str">
        <f>PROPER(TEXT(tbLOG[[#This Row],[DATA/HORA]],"mmmm"))</f>
        <v>Janeiro</v>
      </c>
      <c r="C1951" s="34" t="str">
        <f>PROPER(TEXT(tbLOG[[#This Row],[DATA/HORA]],"dddd"))</f>
        <v>Quinta-Feira</v>
      </c>
      <c r="D1951" s="3" t="s">
        <v>604</v>
      </c>
      <c r="E1951" s="34" t="str">
        <f>IFERROR(VLOOKUP(tbLOG[[#This Row],[LOGIN]],tbMAPA[#All],2,0), "Não localizado")</f>
        <v>Renan Cazumba Tegani</v>
      </c>
      <c r="F1951" s="34" t="str">
        <f>IFERROR(VLOOKUP(tbLOG[[#This Row],[LOGIN]],tbMAPA[#All],3,0), "Não localizado")</f>
        <v>Reginaldo Santana De Souza</v>
      </c>
      <c r="G1951" s="3" t="s">
        <v>1211</v>
      </c>
      <c r="H1951" s="3" t="s">
        <v>290</v>
      </c>
    </row>
    <row r="1952" spans="1:8">
      <c r="A1952" s="29">
        <v>42747.728715277779</v>
      </c>
      <c r="B1952" s="29" t="str">
        <f>PROPER(TEXT(tbLOG[[#This Row],[DATA/HORA]],"mmmm"))</f>
        <v>Janeiro</v>
      </c>
      <c r="C1952" s="34" t="str">
        <f>PROPER(TEXT(tbLOG[[#This Row],[DATA/HORA]],"dddd"))</f>
        <v>Quinta-Feira</v>
      </c>
      <c r="D1952" s="3" t="s">
        <v>604</v>
      </c>
      <c r="E1952" s="34" t="str">
        <f>IFERROR(VLOOKUP(tbLOG[[#This Row],[LOGIN]],tbMAPA[#All],2,0), "Não localizado")</f>
        <v>Renan Cazumba Tegani</v>
      </c>
      <c r="F1952" s="34" t="str">
        <f>IFERROR(VLOOKUP(tbLOG[[#This Row],[LOGIN]],tbMAPA[#All],3,0), "Não localizado")</f>
        <v>Reginaldo Santana De Souza</v>
      </c>
      <c r="G1952" s="3" t="s">
        <v>1211</v>
      </c>
      <c r="H1952" s="3" t="s">
        <v>836</v>
      </c>
    </row>
    <row r="1953" spans="1:8">
      <c r="A1953" s="29">
        <v>42747.728738425925</v>
      </c>
      <c r="B1953" s="29" t="str">
        <f>PROPER(TEXT(tbLOG[[#This Row],[DATA/HORA]],"mmmm"))</f>
        <v>Janeiro</v>
      </c>
      <c r="C1953" s="34" t="str">
        <f>PROPER(TEXT(tbLOG[[#This Row],[DATA/HORA]],"dddd"))</f>
        <v>Quinta-Feira</v>
      </c>
      <c r="D1953" s="3" t="s">
        <v>604</v>
      </c>
      <c r="E1953" s="34" t="str">
        <f>IFERROR(VLOOKUP(tbLOG[[#This Row],[LOGIN]],tbMAPA[#All],2,0), "Não localizado")</f>
        <v>Renan Cazumba Tegani</v>
      </c>
      <c r="F1953" s="34" t="str">
        <f>IFERROR(VLOOKUP(tbLOG[[#This Row],[LOGIN]],tbMAPA[#All],3,0), "Não localizado")</f>
        <v>Reginaldo Santana De Souza</v>
      </c>
      <c r="G1953" s="3" t="s">
        <v>1211</v>
      </c>
      <c r="H1953" s="3" t="s">
        <v>836</v>
      </c>
    </row>
    <row r="1954" spans="1:8">
      <c r="A1954" s="29">
        <v>42747.729398148149</v>
      </c>
      <c r="B1954" s="29" t="str">
        <f>PROPER(TEXT(tbLOG[[#This Row],[DATA/HORA]],"mmmm"))</f>
        <v>Janeiro</v>
      </c>
      <c r="C1954" s="34" t="str">
        <f>PROPER(TEXT(tbLOG[[#This Row],[DATA/HORA]],"dddd"))</f>
        <v>Quinta-Feira</v>
      </c>
      <c r="D1954" s="3" t="s">
        <v>604</v>
      </c>
      <c r="E1954" s="34" t="str">
        <f>IFERROR(VLOOKUP(tbLOG[[#This Row],[LOGIN]],tbMAPA[#All],2,0), "Não localizado")</f>
        <v>Renan Cazumba Tegani</v>
      </c>
      <c r="F1954" s="34" t="str">
        <f>IFERROR(VLOOKUP(tbLOG[[#This Row],[LOGIN]],tbMAPA[#All],3,0), "Não localizado")</f>
        <v>Reginaldo Santana De Souza</v>
      </c>
      <c r="G1954" s="3" t="s">
        <v>1211</v>
      </c>
      <c r="H1954" s="3" t="s">
        <v>836</v>
      </c>
    </row>
    <row r="1955" spans="1:8">
      <c r="A1955" s="29">
        <v>42747.72996527778</v>
      </c>
      <c r="B1955" s="29" t="str">
        <f>PROPER(TEXT(tbLOG[[#This Row],[DATA/HORA]],"mmmm"))</f>
        <v>Janeiro</v>
      </c>
      <c r="C1955" s="34" t="str">
        <f>PROPER(TEXT(tbLOG[[#This Row],[DATA/HORA]],"dddd"))</f>
        <v>Quinta-Feira</v>
      </c>
      <c r="D1955" s="3" t="s">
        <v>604</v>
      </c>
      <c r="E1955" s="34" t="str">
        <f>IFERROR(VLOOKUP(tbLOG[[#This Row],[LOGIN]],tbMAPA[#All],2,0), "Não localizado")</f>
        <v>Renan Cazumba Tegani</v>
      </c>
      <c r="F1955" s="34" t="str">
        <f>IFERROR(VLOOKUP(tbLOG[[#This Row],[LOGIN]],tbMAPA[#All],3,0), "Não localizado")</f>
        <v>Reginaldo Santana De Souza</v>
      </c>
      <c r="G1955" s="3" t="s">
        <v>1211</v>
      </c>
      <c r="H1955" s="3" t="s">
        <v>836</v>
      </c>
    </row>
    <row r="1956" spans="1:8">
      <c r="A1956" s="29">
        <v>42747.73265046296</v>
      </c>
      <c r="B1956" s="29" t="str">
        <f>PROPER(TEXT(tbLOG[[#This Row],[DATA/HORA]],"mmmm"))</f>
        <v>Janeiro</v>
      </c>
      <c r="C1956" s="34" t="str">
        <f>PROPER(TEXT(tbLOG[[#This Row],[DATA/HORA]],"dddd"))</f>
        <v>Quinta-Feira</v>
      </c>
      <c r="D1956" s="3" t="s">
        <v>604</v>
      </c>
      <c r="E1956" s="34" t="str">
        <f>IFERROR(VLOOKUP(tbLOG[[#This Row],[LOGIN]],tbMAPA[#All],2,0), "Não localizado")</f>
        <v>Renan Cazumba Tegani</v>
      </c>
      <c r="F1956" s="34" t="str">
        <f>IFERROR(VLOOKUP(tbLOG[[#This Row],[LOGIN]],tbMAPA[#All],3,0), "Não localizado")</f>
        <v>Reginaldo Santana De Souza</v>
      </c>
      <c r="G1956" s="3" t="s">
        <v>1211</v>
      </c>
      <c r="H1956" s="3" t="s">
        <v>836</v>
      </c>
    </row>
    <row r="1957" spans="1:8">
      <c r="A1957" s="29">
        <v>42747.73537037037</v>
      </c>
      <c r="B1957" s="29" t="str">
        <f>PROPER(TEXT(tbLOG[[#This Row],[DATA/HORA]],"mmmm"))</f>
        <v>Janeiro</v>
      </c>
      <c r="C1957" s="34" t="str">
        <f>PROPER(TEXT(tbLOG[[#This Row],[DATA/HORA]],"dddd"))</f>
        <v>Quinta-Feira</v>
      </c>
      <c r="D1957" s="3" t="s">
        <v>604</v>
      </c>
      <c r="E1957" s="34" t="str">
        <f>IFERROR(VLOOKUP(tbLOG[[#This Row],[LOGIN]],tbMAPA[#All],2,0), "Não localizado")</f>
        <v>Renan Cazumba Tegani</v>
      </c>
      <c r="F1957" s="34" t="str">
        <f>IFERROR(VLOOKUP(tbLOG[[#This Row],[LOGIN]],tbMAPA[#All],3,0), "Não localizado")</f>
        <v>Reginaldo Santana De Souza</v>
      </c>
      <c r="G1957" s="3" t="s">
        <v>1211</v>
      </c>
      <c r="H1957" s="3" t="s">
        <v>836</v>
      </c>
    </row>
    <row r="1958" spans="1:8">
      <c r="A1958" s="29">
        <v>42747.737141203703</v>
      </c>
      <c r="B1958" s="29" t="str">
        <f>PROPER(TEXT(tbLOG[[#This Row],[DATA/HORA]],"mmmm"))</f>
        <v>Janeiro</v>
      </c>
      <c r="C1958" s="34" t="str">
        <f>PROPER(TEXT(tbLOG[[#This Row],[DATA/HORA]],"dddd"))</f>
        <v>Quinta-Feira</v>
      </c>
      <c r="D1958" s="3" t="s">
        <v>604</v>
      </c>
      <c r="E1958" s="34" t="str">
        <f>IFERROR(VLOOKUP(tbLOG[[#This Row],[LOGIN]],tbMAPA[#All],2,0), "Não localizado")</f>
        <v>Renan Cazumba Tegani</v>
      </c>
      <c r="F1958" s="34" t="str">
        <f>IFERROR(VLOOKUP(tbLOG[[#This Row],[LOGIN]],tbMAPA[#All],3,0), "Não localizado")</f>
        <v>Reginaldo Santana De Souza</v>
      </c>
      <c r="G1958" s="3" t="s">
        <v>1211</v>
      </c>
      <c r="H1958" s="3" t="s">
        <v>836</v>
      </c>
    </row>
    <row r="1959" spans="1:8">
      <c r="A1959" s="29">
        <v>42747.738611111112</v>
      </c>
      <c r="B1959" s="29" t="str">
        <f>PROPER(TEXT(tbLOG[[#This Row],[DATA/HORA]],"mmmm"))</f>
        <v>Janeiro</v>
      </c>
      <c r="C1959" s="34" t="str">
        <f>PROPER(TEXT(tbLOG[[#This Row],[DATA/HORA]],"dddd"))</f>
        <v>Quinta-Feira</v>
      </c>
      <c r="D1959" s="3" t="s">
        <v>604</v>
      </c>
      <c r="E1959" s="34" t="str">
        <f>IFERROR(VLOOKUP(tbLOG[[#This Row],[LOGIN]],tbMAPA[#All],2,0), "Não localizado")</f>
        <v>Renan Cazumba Tegani</v>
      </c>
      <c r="F1959" s="34" t="str">
        <f>IFERROR(VLOOKUP(tbLOG[[#This Row],[LOGIN]],tbMAPA[#All],3,0), "Não localizado")</f>
        <v>Reginaldo Santana De Souza</v>
      </c>
      <c r="G1959" s="3" t="s">
        <v>1211</v>
      </c>
      <c r="H1959" s="3" t="s">
        <v>836</v>
      </c>
    </row>
    <row r="1960" spans="1:8">
      <c r="A1960" s="29">
        <v>42747.738622685189</v>
      </c>
      <c r="B1960" s="29" t="str">
        <f>PROPER(TEXT(tbLOG[[#This Row],[DATA/HORA]],"mmmm"))</f>
        <v>Janeiro</v>
      </c>
      <c r="C1960" s="34" t="str">
        <f>PROPER(TEXT(tbLOG[[#This Row],[DATA/HORA]],"dddd"))</f>
        <v>Quinta-Feira</v>
      </c>
      <c r="D1960" s="3" t="s">
        <v>604</v>
      </c>
      <c r="E1960" s="34" t="str">
        <f>IFERROR(VLOOKUP(tbLOG[[#This Row],[LOGIN]],tbMAPA[#All],2,0), "Não localizado")</f>
        <v>Renan Cazumba Tegani</v>
      </c>
      <c r="F1960" s="34" t="str">
        <f>IFERROR(VLOOKUP(tbLOG[[#This Row],[LOGIN]],tbMAPA[#All],3,0), "Não localizado")</f>
        <v>Reginaldo Santana De Souza</v>
      </c>
      <c r="G1960" s="3" t="s">
        <v>1211</v>
      </c>
      <c r="H1960" s="3" t="s">
        <v>836</v>
      </c>
    </row>
    <row r="1961" spans="1:8">
      <c r="A1961" s="29">
        <v>42747.738692129627</v>
      </c>
      <c r="B1961" s="29" t="str">
        <f>PROPER(TEXT(tbLOG[[#This Row],[DATA/HORA]],"mmmm"))</f>
        <v>Janeiro</v>
      </c>
      <c r="C1961" s="34" t="str">
        <f>PROPER(TEXT(tbLOG[[#This Row],[DATA/HORA]],"dddd"))</f>
        <v>Quinta-Feira</v>
      </c>
      <c r="D1961" s="3" t="s">
        <v>604</v>
      </c>
      <c r="E1961" s="34" t="str">
        <f>IFERROR(VLOOKUP(tbLOG[[#This Row],[LOGIN]],tbMAPA[#All],2,0), "Não localizado")</f>
        <v>Renan Cazumba Tegani</v>
      </c>
      <c r="F1961" s="34" t="str">
        <f>IFERROR(VLOOKUP(tbLOG[[#This Row],[LOGIN]],tbMAPA[#All],3,0), "Não localizado")</f>
        <v>Reginaldo Santana De Souza</v>
      </c>
      <c r="G1961" s="3" t="s">
        <v>1211</v>
      </c>
      <c r="H1961" s="3" t="s">
        <v>836</v>
      </c>
    </row>
    <row r="1962" spans="1:8">
      <c r="A1962" s="29">
        <v>42747.740787037037</v>
      </c>
      <c r="B1962" s="29" t="str">
        <f>PROPER(TEXT(tbLOG[[#This Row],[DATA/HORA]],"mmmm"))</f>
        <v>Janeiro</v>
      </c>
      <c r="C1962" s="34" t="str">
        <f>PROPER(TEXT(tbLOG[[#This Row],[DATA/HORA]],"dddd"))</f>
        <v>Quinta-Feira</v>
      </c>
      <c r="D1962" s="3" t="s">
        <v>604</v>
      </c>
      <c r="E1962" s="34" t="str">
        <f>IFERROR(VLOOKUP(tbLOG[[#This Row],[LOGIN]],tbMAPA[#All],2,0), "Não localizado")</f>
        <v>Renan Cazumba Tegani</v>
      </c>
      <c r="F1962" s="34" t="str">
        <f>IFERROR(VLOOKUP(tbLOG[[#This Row],[LOGIN]],tbMAPA[#All],3,0), "Não localizado")</f>
        <v>Reginaldo Santana De Souza</v>
      </c>
      <c r="G1962" s="3" t="s">
        <v>1211</v>
      </c>
      <c r="H1962" s="3" t="s">
        <v>836</v>
      </c>
    </row>
    <row r="1963" spans="1:8">
      <c r="A1963" s="29">
        <v>42747.74082175926</v>
      </c>
      <c r="B1963" s="29" t="str">
        <f>PROPER(TEXT(tbLOG[[#This Row],[DATA/HORA]],"mmmm"))</f>
        <v>Janeiro</v>
      </c>
      <c r="C1963" s="34" t="str">
        <f>PROPER(TEXT(tbLOG[[#This Row],[DATA/HORA]],"dddd"))</f>
        <v>Quinta-Feira</v>
      </c>
      <c r="D1963" s="3" t="s">
        <v>604</v>
      </c>
      <c r="E1963" s="34" t="str">
        <f>IFERROR(VLOOKUP(tbLOG[[#This Row],[LOGIN]],tbMAPA[#All],2,0), "Não localizado")</f>
        <v>Renan Cazumba Tegani</v>
      </c>
      <c r="F1963" s="34" t="str">
        <f>IFERROR(VLOOKUP(tbLOG[[#This Row],[LOGIN]],tbMAPA[#All],3,0), "Não localizado")</f>
        <v>Reginaldo Santana De Souza</v>
      </c>
      <c r="G1963" s="3" t="s">
        <v>1211</v>
      </c>
      <c r="H1963" s="3" t="s">
        <v>836</v>
      </c>
    </row>
    <row r="1964" spans="1:8">
      <c r="A1964" s="29">
        <v>42747.741064814814</v>
      </c>
      <c r="B1964" s="29" t="str">
        <f>PROPER(TEXT(tbLOG[[#This Row],[DATA/HORA]],"mmmm"))</f>
        <v>Janeiro</v>
      </c>
      <c r="C1964" s="34" t="str">
        <f>PROPER(TEXT(tbLOG[[#This Row],[DATA/HORA]],"dddd"))</f>
        <v>Quinta-Feira</v>
      </c>
      <c r="D1964" s="3" t="s">
        <v>604</v>
      </c>
      <c r="E1964" s="34" t="str">
        <f>IFERROR(VLOOKUP(tbLOG[[#This Row],[LOGIN]],tbMAPA[#All],2,0), "Não localizado")</f>
        <v>Renan Cazumba Tegani</v>
      </c>
      <c r="F1964" s="34" t="str">
        <f>IFERROR(VLOOKUP(tbLOG[[#This Row],[LOGIN]],tbMAPA[#All],3,0), "Não localizado")</f>
        <v>Reginaldo Santana De Souza</v>
      </c>
      <c r="G1964" s="3" t="s">
        <v>1211</v>
      </c>
      <c r="H1964" s="3" t="s">
        <v>836</v>
      </c>
    </row>
    <row r="1965" spans="1:8">
      <c r="A1965" s="29">
        <v>42747.741203703707</v>
      </c>
      <c r="B1965" s="29" t="str">
        <f>PROPER(TEXT(tbLOG[[#This Row],[DATA/HORA]],"mmmm"))</f>
        <v>Janeiro</v>
      </c>
      <c r="C1965" s="34" t="str">
        <f>PROPER(TEXT(tbLOG[[#This Row],[DATA/HORA]],"dddd"))</f>
        <v>Quinta-Feira</v>
      </c>
      <c r="D1965" s="3" t="s">
        <v>604</v>
      </c>
      <c r="E1965" s="34" t="str">
        <f>IFERROR(VLOOKUP(tbLOG[[#This Row],[LOGIN]],tbMAPA[#All],2,0), "Não localizado")</f>
        <v>Renan Cazumba Tegani</v>
      </c>
      <c r="F1965" s="34" t="str">
        <f>IFERROR(VLOOKUP(tbLOG[[#This Row],[LOGIN]],tbMAPA[#All],3,0), "Não localizado")</f>
        <v>Reginaldo Santana De Souza</v>
      </c>
      <c r="G1965" s="3" t="s">
        <v>1211</v>
      </c>
      <c r="H1965" s="3" t="s">
        <v>290</v>
      </c>
    </row>
    <row r="1966" spans="1:8">
      <c r="A1966" s="29">
        <v>42747.741226851853</v>
      </c>
      <c r="B1966" s="29" t="str">
        <f>PROPER(TEXT(tbLOG[[#This Row],[DATA/HORA]],"mmmm"))</f>
        <v>Janeiro</v>
      </c>
      <c r="C1966" s="34" t="str">
        <f>PROPER(TEXT(tbLOG[[#This Row],[DATA/HORA]],"dddd"))</f>
        <v>Quinta-Feira</v>
      </c>
      <c r="D1966" s="3" t="s">
        <v>604</v>
      </c>
      <c r="E1966" s="34" t="str">
        <f>IFERROR(VLOOKUP(tbLOG[[#This Row],[LOGIN]],tbMAPA[#All],2,0), "Não localizado")</f>
        <v>Renan Cazumba Tegani</v>
      </c>
      <c r="F1966" s="34" t="str">
        <f>IFERROR(VLOOKUP(tbLOG[[#This Row],[LOGIN]],tbMAPA[#All],3,0), "Não localizado")</f>
        <v>Reginaldo Santana De Souza</v>
      </c>
      <c r="G1966" s="3" t="s">
        <v>1211</v>
      </c>
      <c r="H1966" s="3" t="s">
        <v>291</v>
      </c>
    </row>
    <row r="1967" spans="1:8">
      <c r="A1967" s="29">
        <v>42747.741226851853</v>
      </c>
      <c r="B1967" s="29" t="str">
        <f>PROPER(TEXT(tbLOG[[#This Row],[DATA/HORA]],"mmmm"))</f>
        <v>Janeiro</v>
      </c>
      <c r="C1967" s="34" t="str">
        <f>PROPER(TEXT(tbLOG[[#This Row],[DATA/HORA]],"dddd"))</f>
        <v>Quinta-Feira</v>
      </c>
      <c r="D1967" s="3" t="s">
        <v>604</v>
      </c>
      <c r="E1967" s="34" t="str">
        <f>IFERROR(VLOOKUP(tbLOG[[#This Row],[LOGIN]],tbMAPA[#All],2,0), "Não localizado")</f>
        <v>Renan Cazumba Tegani</v>
      </c>
      <c r="F1967" s="34" t="str">
        <f>IFERROR(VLOOKUP(tbLOG[[#This Row],[LOGIN]],tbMAPA[#All],3,0), "Não localizado")</f>
        <v>Reginaldo Santana De Souza</v>
      </c>
      <c r="G1967" s="3" t="s">
        <v>1211</v>
      </c>
      <c r="H1967" s="3" t="s">
        <v>290</v>
      </c>
    </row>
    <row r="1968" spans="1:8">
      <c r="A1968" s="29">
        <v>42747.742048611108</v>
      </c>
      <c r="B1968" s="29" t="str">
        <f>PROPER(TEXT(tbLOG[[#This Row],[DATA/HORA]],"mmmm"))</f>
        <v>Janeiro</v>
      </c>
      <c r="C1968" s="34" t="str">
        <f>PROPER(TEXT(tbLOG[[#This Row],[DATA/HORA]],"dddd"))</f>
        <v>Quinta-Feira</v>
      </c>
      <c r="D1968" s="3" t="s">
        <v>324</v>
      </c>
      <c r="E1968" s="34" t="str">
        <f>IFERROR(VLOOKUP(tbLOG[[#This Row],[LOGIN]],tbMAPA[#All],2,0), "Não localizado")</f>
        <v>Caio Eiji Arai</v>
      </c>
      <c r="F1968" s="34" t="str">
        <f>IFERROR(VLOOKUP(tbLOG[[#This Row],[LOGIN]],tbMAPA[#All],3,0), "Não localizado")</f>
        <v>Vinicius Loula De Sousa</v>
      </c>
      <c r="G1968" s="3" t="s">
        <v>999</v>
      </c>
      <c r="H1968" s="3" t="s">
        <v>994</v>
      </c>
    </row>
    <row r="1969" spans="1:8">
      <c r="A1969" s="29">
        <v>42747.742280092592</v>
      </c>
      <c r="B1969" s="29" t="str">
        <f>PROPER(TEXT(tbLOG[[#This Row],[DATA/HORA]],"mmmm"))</f>
        <v>Janeiro</v>
      </c>
      <c r="C1969" s="34" t="str">
        <f>PROPER(TEXT(tbLOG[[#This Row],[DATA/HORA]],"dddd"))</f>
        <v>Quinta-Feira</v>
      </c>
      <c r="D1969" s="3" t="s">
        <v>324</v>
      </c>
      <c r="E1969" s="34" t="str">
        <f>IFERROR(VLOOKUP(tbLOG[[#This Row],[LOGIN]],tbMAPA[#All],2,0), "Não localizado")</f>
        <v>Caio Eiji Arai</v>
      </c>
      <c r="F1969" s="34" t="str">
        <f>IFERROR(VLOOKUP(tbLOG[[#This Row],[LOGIN]],tbMAPA[#All],3,0), "Não localizado")</f>
        <v>Vinicius Loula De Sousa</v>
      </c>
      <c r="G1969" s="3" t="s">
        <v>999</v>
      </c>
      <c r="H1969" s="3" t="s">
        <v>331</v>
      </c>
    </row>
    <row r="1970" spans="1:8">
      <c r="A1970" s="29">
        <v>42747.7424537037</v>
      </c>
      <c r="B1970" s="29" t="str">
        <f>PROPER(TEXT(tbLOG[[#This Row],[DATA/HORA]],"mmmm"))</f>
        <v>Janeiro</v>
      </c>
      <c r="C1970" s="34" t="str">
        <f>PROPER(TEXT(tbLOG[[#This Row],[DATA/HORA]],"dddd"))</f>
        <v>Quinta-Feira</v>
      </c>
      <c r="D1970" s="3" t="s">
        <v>324</v>
      </c>
      <c r="E1970" s="34" t="str">
        <f>IFERROR(VLOOKUP(tbLOG[[#This Row],[LOGIN]],tbMAPA[#All],2,0), "Não localizado")</f>
        <v>Caio Eiji Arai</v>
      </c>
      <c r="F1970" s="34" t="str">
        <f>IFERROR(VLOOKUP(tbLOG[[#This Row],[LOGIN]],tbMAPA[#All],3,0), "Não localizado")</f>
        <v>Vinicius Loula De Sousa</v>
      </c>
      <c r="G1970" s="3" t="s">
        <v>999</v>
      </c>
      <c r="H1970" s="3" t="s">
        <v>331</v>
      </c>
    </row>
    <row r="1971" spans="1:8">
      <c r="A1971" s="29">
        <v>42747.742523148147</v>
      </c>
      <c r="B1971" s="29" t="str">
        <f>PROPER(TEXT(tbLOG[[#This Row],[DATA/HORA]],"mmmm"))</f>
        <v>Janeiro</v>
      </c>
      <c r="C1971" s="34" t="str">
        <f>PROPER(TEXT(tbLOG[[#This Row],[DATA/HORA]],"dddd"))</f>
        <v>Quinta-Feira</v>
      </c>
      <c r="D1971" s="3" t="s">
        <v>324</v>
      </c>
      <c r="E1971" s="34" t="str">
        <f>IFERROR(VLOOKUP(tbLOG[[#This Row],[LOGIN]],tbMAPA[#All],2,0), "Não localizado")</f>
        <v>Caio Eiji Arai</v>
      </c>
      <c r="F1971" s="34" t="str">
        <f>IFERROR(VLOOKUP(tbLOG[[#This Row],[LOGIN]],tbMAPA[#All],3,0), "Não localizado")</f>
        <v>Vinicius Loula De Sousa</v>
      </c>
      <c r="G1971" s="3" t="s">
        <v>999</v>
      </c>
      <c r="H1971" s="3" t="s">
        <v>291</v>
      </c>
    </row>
    <row r="1972" spans="1:8">
      <c r="A1972" s="29">
        <v>42747.742523148147</v>
      </c>
      <c r="B1972" s="29" t="str">
        <f>PROPER(TEXT(tbLOG[[#This Row],[DATA/HORA]],"mmmm"))</f>
        <v>Janeiro</v>
      </c>
      <c r="C1972" s="34" t="str">
        <f>PROPER(TEXT(tbLOG[[#This Row],[DATA/HORA]],"dddd"))</f>
        <v>Quinta-Feira</v>
      </c>
      <c r="D1972" s="3" t="s">
        <v>324</v>
      </c>
      <c r="E1972" s="34" t="str">
        <f>IFERROR(VLOOKUP(tbLOG[[#This Row],[LOGIN]],tbMAPA[#All],2,0), "Não localizado")</f>
        <v>Caio Eiji Arai</v>
      </c>
      <c r="F1972" s="34" t="str">
        <f>IFERROR(VLOOKUP(tbLOG[[#This Row],[LOGIN]],tbMAPA[#All],3,0), "Não localizado")</f>
        <v>Vinicius Loula De Sousa</v>
      </c>
      <c r="G1972" s="3" t="s">
        <v>999</v>
      </c>
      <c r="H1972" s="3" t="s">
        <v>290</v>
      </c>
    </row>
    <row r="1973" spans="1:8">
      <c r="A1973" s="29">
        <v>42747.747754629629</v>
      </c>
      <c r="B1973" s="29" t="str">
        <f>PROPER(TEXT(tbLOG[[#This Row],[DATA/HORA]],"mmmm"))</f>
        <v>Janeiro</v>
      </c>
      <c r="C1973" s="34" t="str">
        <f>PROPER(TEXT(tbLOG[[#This Row],[DATA/HORA]],"dddd"))</f>
        <v>Quinta-Feira</v>
      </c>
      <c r="D1973" s="3" t="s">
        <v>604</v>
      </c>
      <c r="E1973" s="34" t="str">
        <f>IFERROR(VLOOKUP(tbLOG[[#This Row],[LOGIN]],tbMAPA[#All],2,0), "Não localizado")</f>
        <v>Renan Cazumba Tegani</v>
      </c>
      <c r="F1973" s="34" t="str">
        <f>IFERROR(VLOOKUP(tbLOG[[#This Row],[LOGIN]],tbMAPA[#All],3,0), "Não localizado")</f>
        <v>Reginaldo Santana De Souza</v>
      </c>
      <c r="G1973" s="3" t="s">
        <v>1211</v>
      </c>
      <c r="H1973" s="3" t="s">
        <v>994</v>
      </c>
    </row>
    <row r="1974" spans="1:8">
      <c r="A1974" s="29">
        <v>42747.74795138889</v>
      </c>
      <c r="B1974" s="29" t="str">
        <f>PROPER(TEXT(tbLOG[[#This Row],[DATA/HORA]],"mmmm"))</f>
        <v>Janeiro</v>
      </c>
      <c r="C1974" s="34" t="str">
        <f>PROPER(TEXT(tbLOG[[#This Row],[DATA/HORA]],"dddd"))</f>
        <v>Quinta-Feira</v>
      </c>
      <c r="D1974" s="3" t="s">
        <v>604</v>
      </c>
      <c r="E1974" s="34" t="str">
        <f>IFERROR(VLOOKUP(tbLOG[[#This Row],[LOGIN]],tbMAPA[#All],2,0), "Não localizado")</f>
        <v>Renan Cazumba Tegani</v>
      </c>
      <c r="F1974" s="34" t="str">
        <f>IFERROR(VLOOKUP(tbLOG[[#This Row],[LOGIN]],tbMAPA[#All],3,0), "Não localizado")</f>
        <v>Reginaldo Santana De Souza</v>
      </c>
      <c r="G1974" s="3" t="s">
        <v>1211</v>
      </c>
      <c r="H1974" s="3" t="s">
        <v>836</v>
      </c>
    </row>
    <row r="1975" spans="1:8">
      <c r="A1975" s="29">
        <v>42747.747997685183</v>
      </c>
      <c r="B1975" s="29" t="str">
        <f>PROPER(TEXT(tbLOG[[#This Row],[DATA/HORA]],"mmmm"))</f>
        <v>Janeiro</v>
      </c>
      <c r="C1975" s="34" t="str">
        <f>PROPER(TEXT(tbLOG[[#This Row],[DATA/HORA]],"dddd"))</f>
        <v>Quinta-Feira</v>
      </c>
      <c r="D1975" s="3" t="s">
        <v>604</v>
      </c>
      <c r="E1975" s="34" t="str">
        <f>IFERROR(VLOOKUP(tbLOG[[#This Row],[LOGIN]],tbMAPA[#All],2,0), "Não localizado")</f>
        <v>Renan Cazumba Tegani</v>
      </c>
      <c r="F1975" s="34" t="str">
        <f>IFERROR(VLOOKUP(tbLOG[[#This Row],[LOGIN]],tbMAPA[#All],3,0), "Não localizado")</f>
        <v>Reginaldo Santana De Souza</v>
      </c>
      <c r="G1975" s="3" t="s">
        <v>1211</v>
      </c>
      <c r="H1975" s="3" t="s">
        <v>290</v>
      </c>
    </row>
    <row r="1976" spans="1:8">
      <c r="A1976" s="29">
        <v>42747.748182870368</v>
      </c>
      <c r="B1976" s="29" t="str">
        <f>PROPER(TEXT(tbLOG[[#This Row],[DATA/HORA]],"mmmm"))</f>
        <v>Janeiro</v>
      </c>
      <c r="C1976" s="34" t="str">
        <f>PROPER(TEXT(tbLOG[[#This Row],[DATA/HORA]],"dddd"))</f>
        <v>Quinta-Feira</v>
      </c>
      <c r="D1976" s="3" t="s">
        <v>604</v>
      </c>
      <c r="E1976" s="34" t="str">
        <f>IFERROR(VLOOKUP(tbLOG[[#This Row],[LOGIN]],tbMAPA[#All],2,0), "Não localizado")</f>
        <v>Renan Cazumba Tegani</v>
      </c>
      <c r="F1976" s="34" t="str">
        <f>IFERROR(VLOOKUP(tbLOG[[#This Row],[LOGIN]],tbMAPA[#All],3,0), "Não localizado")</f>
        <v>Reginaldo Santana De Souza</v>
      </c>
      <c r="G1976" s="3" t="s">
        <v>1211</v>
      </c>
      <c r="H1976" s="3" t="s">
        <v>290</v>
      </c>
    </row>
    <row r="1977" spans="1:8">
      <c r="A1977" s="29">
        <v>42747.748217592591</v>
      </c>
      <c r="B1977" s="29" t="str">
        <f>PROPER(TEXT(tbLOG[[#This Row],[DATA/HORA]],"mmmm"))</f>
        <v>Janeiro</v>
      </c>
      <c r="C1977" s="34" t="str">
        <f>PROPER(TEXT(tbLOG[[#This Row],[DATA/HORA]],"dddd"))</f>
        <v>Quinta-Feira</v>
      </c>
      <c r="D1977" s="3" t="s">
        <v>604</v>
      </c>
      <c r="E1977" s="34" t="str">
        <f>IFERROR(VLOOKUP(tbLOG[[#This Row],[LOGIN]],tbMAPA[#All],2,0), "Não localizado")</f>
        <v>Renan Cazumba Tegani</v>
      </c>
      <c r="F1977" s="34" t="str">
        <f>IFERROR(VLOOKUP(tbLOG[[#This Row],[LOGIN]],tbMAPA[#All],3,0), "Não localizado")</f>
        <v>Reginaldo Santana De Souza</v>
      </c>
      <c r="G1977" s="3" t="s">
        <v>1211</v>
      </c>
      <c r="H1977" s="3" t="s">
        <v>290</v>
      </c>
    </row>
    <row r="1978" spans="1:8">
      <c r="A1978" s="29">
        <v>42747.74827546296</v>
      </c>
      <c r="B1978" s="29" t="str">
        <f>PROPER(TEXT(tbLOG[[#This Row],[DATA/HORA]],"mmmm"))</f>
        <v>Janeiro</v>
      </c>
      <c r="C1978" s="34" t="str">
        <f>PROPER(TEXT(tbLOG[[#This Row],[DATA/HORA]],"dddd"))</f>
        <v>Quinta-Feira</v>
      </c>
      <c r="D1978" s="3" t="s">
        <v>604</v>
      </c>
      <c r="E1978" s="34" t="str">
        <f>IFERROR(VLOOKUP(tbLOG[[#This Row],[LOGIN]],tbMAPA[#All],2,0), "Não localizado")</f>
        <v>Renan Cazumba Tegani</v>
      </c>
      <c r="F1978" s="34" t="str">
        <f>IFERROR(VLOOKUP(tbLOG[[#This Row],[LOGIN]],tbMAPA[#All],3,0), "Não localizado")</f>
        <v>Reginaldo Santana De Souza</v>
      </c>
      <c r="G1978" s="3" t="s">
        <v>1211</v>
      </c>
      <c r="H1978" s="3" t="s">
        <v>290</v>
      </c>
    </row>
    <row r="1979" spans="1:8">
      <c r="A1979" s="29">
        <v>42747.748414351852</v>
      </c>
      <c r="B1979" s="29" t="str">
        <f>PROPER(TEXT(tbLOG[[#This Row],[DATA/HORA]],"mmmm"))</f>
        <v>Janeiro</v>
      </c>
      <c r="C1979" s="34" t="str">
        <f>PROPER(TEXT(tbLOG[[#This Row],[DATA/HORA]],"dddd"))</f>
        <v>Quinta-Feira</v>
      </c>
      <c r="D1979" s="3" t="s">
        <v>604</v>
      </c>
      <c r="E1979" s="34" t="str">
        <f>IFERROR(VLOOKUP(tbLOG[[#This Row],[LOGIN]],tbMAPA[#All],2,0), "Não localizado")</f>
        <v>Renan Cazumba Tegani</v>
      </c>
      <c r="F1979" s="34" t="str">
        <f>IFERROR(VLOOKUP(tbLOG[[#This Row],[LOGIN]],tbMAPA[#All],3,0), "Não localizado")</f>
        <v>Reginaldo Santana De Souza</v>
      </c>
      <c r="G1979" s="3" t="s">
        <v>1211</v>
      </c>
      <c r="H1979" s="3" t="s">
        <v>290</v>
      </c>
    </row>
    <row r="1980" spans="1:8">
      <c r="A1980" s="29">
        <v>42747.748472222222</v>
      </c>
      <c r="B1980" s="29" t="str">
        <f>PROPER(TEXT(tbLOG[[#This Row],[DATA/HORA]],"mmmm"))</f>
        <v>Janeiro</v>
      </c>
      <c r="C1980" s="34" t="str">
        <f>PROPER(TEXT(tbLOG[[#This Row],[DATA/HORA]],"dddd"))</f>
        <v>Quinta-Feira</v>
      </c>
      <c r="D1980" s="3" t="s">
        <v>604</v>
      </c>
      <c r="E1980" s="34" t="str">
        <f>IFERROR(VLOOKUP(tbLOG[[#This Row],[LOGIN]],tbMAPA[#All],2,0), "Não localizado")</f>
        <v>Renan Cazumba Tegani</v>
      </c>
      <c r="F1980" s="34" t="str">
        <f>IFERROR(VLOOKUP(tbLOG[[#This Row],[LOGIN]],tbMAPA[#All],3,0), "Não localizado")</f>
        <v>Reginaldo Santana De Souza</v>
      </c>
      <c r="G1980" s="3" t="s">
        <v>1211</v>
      </c>
      <c r="H1980" s="3" t="s">
        <v>291</v>
      </c>
    </row>
    <row r="1981" spans="1:8">
      <c r="A1981" s="29">
        <v>42747.748472222222</v>
      </c>
      <c r="B1981" s="29" t="str">
        <f>PROPER(TEXT(tbLOG[[#This Row],[DATA/HORA]],"mmmm"))</f>
        <v>Janeiro</v>
      </c>
      <c r="C1981" s="34" t="str">
        <f>PROPER(TEXT(tbLOG[[#This Row],[DATA/HORA]],"dddd"))</f>
        <v>Quinta-Feira</v>
      </c>
      <c r="D1981" s="3" t="s">
        <v>604</v>
      </c>
      <c r="E1981" s="34" t="str">
        <f>IFERROR(VLOOKUP(tbLOG[[#This Row],[LOGIN]],tbMAPA[#All],2,0), "Não localizado")</f>
        <v>Renan Cazumba Tegani</v>
      </c>
      <c r="F1981" s="34" t="str">
        <f>IFERROR(VLOOKUP(tbLOG[[#This Row],[LOGIN]],tbMAPA[#All],3,0), "Não localizado")</f>
        <v>Reginaldo Santana De Souza</v>
      </c>
      <c r="G1981" s="3" t="s">
        <v>1211</v>
      </c>
      <c r="H1981" s="3" t="s">
        <v>290</v>
      </c>
    </row>
    <row r="1982" spans="1:8">
      <c r="A1982" s="29">
        <v>42747.748935185184</v>
      </c>
      <c r="B1982" s="29" t="str">
        <f>PROPER(TEXT(tbLOG[[#This Row],[DATA/HORA]],"mmmm"))</f>
        <v>Janeiro</v>
      </c>
      <c r="C1982" s="34" t="str">
        <f>PROPER(TEXT(tbLOG[[#This Row],[DATA/HORA]],"dddd"))</f>
        <v>Quinta-Feira</v>
      </c>
      <c r="D1982" s="3" t="s">
        <v>324</v>
      </c>
      <c r="E1982" s="34" t="str">
        <f>IFERROR(VLOOKUP(tbLOG[[#This Row],[LOGIN]],tbMAPA[#All],2,0), "Não localizado")</f>
        <v>Caio Eiji Arai</v>
      </c>
      <c r="F1982" s="34" t="str">
        <f>IFERROR(VLOOKUP(tbLOG[[#This Row],[LOGIN]],tbMAPA[#All],3,0), "Não localizado")</f>
        <v>Vinicius Loula De Sousa</v>
      </c>
      <c r="G1982" s="3" t="s">
        <v>999</v>
      </c>
      <c r="H1982" s="3" t="s">
        <v>994</v>
      </c>
    </row>
    <row r="1983" spans="1:8">
      <c r="A1983" s="29">
        <v>42747.788124999999</v>
      </c>
      <c r="B1983" s="29" t="str">
        <f>PROPER(TEXT(tbLOG[[#This Row],[DATA/HORA]],"mmmm"))</f>
        <v>Janeiro</v>
      </c>
      <c r="C1983" s="34" t="str">
        <f>PROPER(TEXT(tbLOG[[#This Row],[DATA/HORA]],"dddd"))</f>
        <v>Quinta-Feira</v>
      </c>
      <c r="D1983" s="3" t="s">
        <v>324</v>
      </c>
      <c r="E1983" s="34" t="str">
        <f>IFERROR(VLOOKUP(tbLOG[[#This Row],[LOGIN]],tbMAPA[#All],2,0), "Não localizado")</f>
        <v>Caio Eiji Arai</v>
      </c>
      <c r="F1983" s="34" t="str">
        <f>IFERROR(VLOOKUP(tbLOG[[#This Row],[LOGIN]],tbMAPA[#All],3,0), "Não localizado")</f>
        <v>Vinicius Loula De Sousa</v>
      </c>
      <c r="G1983" s="3" t="s">
        <v>999</v>
      </c>
      <c r="H1983" s="3" t="s">
        <v>836</v>
      </c>
    </row>
    <row r="1984" spans="1:8">
      <c r="A1984" s="29">
        <v>42747.788182870368</v>
      </c>
      <c r="B1984" s="29" t="str">
        <f>PROPER(TEXT(tbLOG[[#This Row],[DATA/HORA]],"mmmm"))</f>
        <v>Janeiro</v>
      </c>
      <c r="C1984" s="34" t="str">
        <f>PROPER(TEXT(tbLOG[[#This Row],[DATA/HORA]],"dddd"))</f>
        <v>Quinta-Feira</v>
      </c>
      <c r="D1984" s="3" t="s">
        <v>324</v>
      </c>
      <c r="E1984" s="34" t="str">
        <f>IFERROR(VLOOKUP(tbLOG[[#This Row],[LOGIN]],tbMAPA[#All],2,0), "Não localizado")</f>
        <v>Caio Eiji Arai</v>
      </c>
      <c r="F1984" s="34" t="str">
        <f>IFERROR(VLOOKUP(tbLOG[[#This Row],[LOGIN]],tbMAPA[#All],3,0), "Não localizado")</f>
        <v>Vinicius Loula De Sousa</v>
      </c>
      <c r="G1984" s="3" t="s">
        <v>999</v>
      </c>
      <c r="H1984" s="3" t="s">
        <v>836</v>
      </c>
    </row>
    <row r="1985" spans="1:8">
      <c r="A1985" s="29">
        <v>42747.793726851851</v>
      </c>
      <c r="B1985" s="29" t="str">
        <f>PROPER(TEXT(tbLOG[[#This Row],[DATA/HORA]],"mmmm"))</f>
        <v>Janeiro</v>
      </c>
      <c r="C1985" s="34" t="str">
        <f>PROPER(TEXT(tbLOG[[#This Row],[DATA/HORA]],"dddd"))</f>
        <v>Quinta-Feira</v>
      </c>
      <c r="D1985" s="3" t="s">
        <v>324</v>
      </c>
      <c r="E1985" s="34" t="str">
        <f>IFERROR(VLOOKUP(tbLOG[[#This Row],[LOGIN]],tbMAPA[#All],2,0), "Não localizado")</f>
        <v>Caio Eiji Arai</v>
      </c>
      <c r="F1985" s="34" t="str">
        <f>IFERROR(VLOOKUP(tbLOG[[#This Row],[LOGIN]],tbMAPA[#All],3,0), "Não localizado")</f>
        <v>Vinicius Loula De Sousa</v>
      </c>
      <c r="G1985" s="3" t="s">
        <v>999</v>
      </c>
      <c r="H1985" s="3" t="s">
        <v>836</v>
      </c>
    </row>
    <row r="1986" spans="1:8">
      <c r="A1986" s="29">
        <v>42747.793761574074</v>
      </c>
      <c r="B1986" s="29" t="str">
        <f>PROPER(TEXT(tbLOG[[#This Row],[DATA/HORA]],"mmmm"))</f>
        <v>Janeiro</v>
      </c>
      <c r="C1986" s="34" t="str">
        <f>PROPER(TEXT(tbLOG[[#This Row],[DATA/HORA]],"dddd"))</f>
        <v>Quinta-Feira</v>
      </c>
      <c r="D1986" s="3" t="s">
        <v>324</v>
      </c>
      <c r="E1986" s="34" t="str">
        <f>IFERROR(VLOOKUP(tbLOG[[#This Row],[LOGIN]],tbMAPA[#All],2,0), "Não localizado")</f>
        <v>Caio Eiji Arai</v>
      </c>
      <c r="F1986" s="34" t="str">
        <f>IFERROR(VLOOKUP(tbLOG[[#This Row],[LOGIN]],tbMAPA[#All],3,0), "Não localizado")</f>
        <v>Vinicius Loula De Sousa</v>
      </c>
      <c r="G1986" s="3" t="s">
        <v>999</v>
      </c>
      <c r="H1986" s="3" t="s">
        <v>836</v>
      </c>
    </row>
    <row r="1987" spans="1:8">
      <c r="A1987" s="29">
        <v>42747.793796296297</v>
      </c>
      <c r="B1987" s="29" t="str">
        <f>PROPER(TEXT(tbLOG[[#This Row],[DATA/HORA]],"mmmm"))</f>
        <v>Janeiro</v>
      </c>
      <c r="C1987" s="34" t="str">
        <f>PROPER(TEXT(tbLOG[[#This Row],[DATA/HORA]],"dddd"))</f>
        <v>Quinta-Feira</v>
      </c>
      <c r="D1987" s="3" t="s">
        <v>324</v>
      </c>
      <c r="E1987" s="34" t="str">
        <f>IFERROR(VLOOKUP(tbLOG[[#This Row],[LOGIN]],tbMAPA[#All],2,0), "Não localizado")</f>
        <v>Caio Eiji Arai</v>
      </c>
      <c r="F1987" s="34" t="str">
        <f>IFERROR(VLOOKUP(tbLOG[[#This Row],[LOGIN]],tbMAPA[#All],3,0), "Não localizado")</f>
        <v>Vinicius Loula De Sousa</v>
      </c>
      <c r="G1987" s="3" t="s">
        <v>999</v>
      </c>
      <c r="H1987" s="3" t="s">
        <v>836</v>
      </c>
    </row>
    <row r="1988" spans="1:8">
      <c r="A1988" s="29">
        <v>42747.798946759256</v>
      </c>
      <c r="B1988" s="29" t="str">
        <f>PROPER(TEXT(tbLOG[[#This Row],[DATA/HORA]],"mmmm"))</f>
        <v>Janeiro</v>
      </c>
      <c r="C1988" s="34" t="str">
        <f>PROPER(TEXT(tbLOG[[#This Row],[DATA/HORA]],"dddd"))</f>
        <v>Quinta-Feira</v>
      </c>
      <c r="D1988" s="3" t="s">
        <v>324</v>
      </c>
      <c r="E1988" s="34" t="str">
        <f>IFERROR(VLOOKUP(tbLOG[[#This Row],[LOGIN]],tbMAPA[#All],2,0), "Não localizado")</f>
        <v>Caio Eiji Arai</v>
      </c>
      <c r="F1988" s="34" t="str">
        <f>IFERROR(VLOOKUP(tbLOG[[#This Row],[LOGIN]],tbMAPA[#All],3,0), "Não localizado")</f>
        <v>Vinicius Loula De Sousa</v>
      </c>
      <c r="G1988" s="3" t="s">
        <v>999</v>
      </c>
      <c r="H1988" s="3" t="s">
        <v>836</v>
      </c>
    </row>
    <row r="1989" spans="1:8">
      <c r="A1989" s="29">
        <v>42747.79896990741</v>
      </c>
      <c r="B1989" s="29" t="str">
        <f>PROPER(TEXT(tbLOG[[#This Row],[DATA/HORA]],"mmmm"))</f>
        <v>Janeiro</v>
      </c>
      <c r="C1989" s="34" t="str">
        <f>PROPER(TEXT(tbLOG[[#This Row],[DATA/HORA]],"dddd"))</f>
        <v>Quinta-Feira</v>
      </c>
      <c r="D1989" s="3" t="s">
        <v>324</v>
      </c>
      <c r="E1989" s="34" t="str">
        <f>IFERROR(VLOOKUP(tbLOG[[#This Row],[LOGIN]],tbMAPA[#All],2,0), "Não localizado")</f>
        <v>Caio Eiji Arai</v>
      </c>
      <c r="F1989" s="34" t="str">
        <f>IFERROR(VLOOKUP(tbLOG[[#This Row],[LOGIN]],tbMAPA[#All],3,0), "Não localizado")</f>
        <v>Vinicius Loula De Sousa</v>
      </c>
      <c r="G1989" s="3" t="s">
        <v>999</v>
      </c>
      <c r="H1989" s="3" t="s">
        <v>836</v>
      </c>
    </row>
    <row r="1990" spans="1:8">
      <c r="A1990" s="29">
        <v>42747.799155092594</v>
      </c>
      <c r="B1990" s="29" t="str">
        <f>PROPER(TEXT(tbLOG[[#This Row],[DATA/HORA]],"mmmm"))</f>
        <v>Janeiro</v>
      </c>
      <c r="C1990" s="34" t="str">
        <f>PROPER(TEXT(tbLOG[[#This Row],[DATA/HORA]],"dddd"))</f>
        <v>Quinta-Feira</v>
      </c>
      <c r="D1990" s="3" t="s">
        <v>324</v>
      </c>
      <c r="E1990" s="34" t="str">
        <f>IFERROR(VLOOKUP(tbLOG[[#This Row],[LOGIN]],tbMAPA[#All],2,0), "Não localizado")</f>
        <v>Caio Eiji Arai</v>
      </c>
      <c r="F1990" s="34" t="str">
        <f>IFERROR(VLOOKUP(tbLOG[[#This Row],[LOGIN]],tbMAPA[#All],3,0), "Não localizado")</f>
        <v>Vinicius Loula De Sousa</v>
      </c>
      <c r="G1990" s="3" t="s">
        <v>999</v>
      </c>
      <c r="H1990" s="3" t="s">
        <v>836</v>
      </c>
    </row>
    <row r="1991" spans="1:8">
      <c r="A1991" s="29">
        <v>42747.79923611111</v>
      </c>
      <c r="B1991" s="29" t="str">
        <f>PROPER(TEXT(tbLOG[[#This Row],[DATA/HORA]],"mmmm"))</f>
        <v>Janeiro</v>
      </c>
      <c r="C1991" s="34" t="str">
        <f>PROPER(TEXT(tbLOG[[#This Row],[DATA/HORA]],"dddd"))</f>
        <v>Quinta-Feira</v>
      </c>
      <c r="D1991" s="3" t="s">
        <v>324</v>
      </c>
      <c r="E1991" s="34" t="str">
        <f>IFERROR(VLOOKUP(tbLOG[[#This Row],[LOGIN]],tbMAPA[#All],2,0), "Não localizado")</f>
        <v>Caio Eiji Arai</v>
      </c>
      <c r="F1991" s="34" t="str">
        <f>IFERROR(VLOOKUP(tbLOG[[#This Row],[LOGIN]],tbMAPA[#All],3,0), "Não localizado")</f>
        <v>Vinicius Loula De Sousa</v>
      </c>
      <c r="G1991" s="3" t="s">
        <v>999</v>
      </c>
      <c r="H1991" s="3" t="s">
        <v>836</v>
      </c>
    </row>
    <row r="1992" spans="1:8">
      <c r="A1992" s="29">
        <v>42747.804305555554</v>
      </c>
      <c r="B1992" s="29" t="str">
        <f>PROPER(TEXT(tbLOG[[#This Row],[DATA/HORA]],"mmmm"))</f>
        <v>Janeiro</v>
      </c>
      <c r="C1992" s="34" t="str">
        <f>PROPER(TEXT(tbLOG[[#This Row],[DATA/HORA]],"dddd"))</f>
        <v>Quinta-Feira</v>
      </c>
      <c r="D1992" s="3" t="s">
        <v>324</v>
      </c>
      <c r="E1992" s="34" t="str">
        <f>IFERROR(VLOOKUP(tbLOG[[#This Row],[LOGIN]],tbMAPA[#All],2,0), "Não localizado")</f>
        <v>Caio Eiji Arai</v>
      </c>
      <c r="F1992" s="34" t="str">
        <f>IFERROR(VLOOKUP(tbLOG[[#This Row],[LOGIN]],tbMAPA[#All],3,0), "Não localizado")</f>
        <v>Vinicius Loula De Sousa</v>
      </c>
      <c r="G1992" s="3" t="s">
        <v>999</v>
      </c>
      <c r="H1992" s="3" t="s">
        <v>836</v>
      </c>
    </row>
    <row r="1993" spans="1:8">
      <c r="A1993" s="29">
        <v>42747.804375</v>
      </c>
      <c r="B1993" s="29" t="str">
        <f>PROPER(TEXT(tbLOG[[#This Row],[DATA/HORA]],"mmmm"))</f>
        <v>Janeiro</v>
      </c>
      <c r="C1993" s="34" t="str">
        <f>PROPER(TEXT(tbLOG[[#This Row],[DATA/HORA]],"dddd"))</f>
        <v>Quinta-Feira</v>
      </c>
      <c r="D1993" s="3" t="s">
        <v>324</v>
      </c>
      <c r="E1993" s="34" t="str">
        <f>IFERROR(VLOOKUP(tbLOG[[#This Row],[LOGIN]],tbMAPA[#All],2,0), "Não localizado")</f>
        <v>Caio Eiji Arai</v>
      </c>
      <c r="F1993" s="34" t="str">
        <f>IFERROR(VLOOKUP(tbLOG[[#This Row],[LOGIN]],tbMAPA[#All],3,0), "Não localizado")</f>
        <v>Vinicius Loula De Sousa</v>
      </c>
      <c r="G1993" s="3" t="s">
        <v>999</v>
      </c>
      <c r="H1993" s="3" t="s">
        <v>836</v>
      </c>
    </row>
    <row r="1994" spans="1:8">
      <c r="A1994" s="29">
        <v>42747.804398148146</v>
      </c>
      <c r="B1994" s="29" t="str">
        <f>PROPER(TEXT(tbLOG[[#This Row],[DATA/HORA]],"mmmm"))</f>
        <v>Janeiro</v>
      </c>
      <c r="C1994" s="34" t="str">
        <f>PROPER(TEXT(tbLOG[[#This Row],[DATA/HORA]],"dddd"))</f>
        <v>Quinta-Feira</v>
      </c>
      <c r="D1994" s="3" t="s">
        <v>324</v>
      </c>
      <c r="E1994" s="34" t="str">
        <f>IFERROR(VLOOKUP(tbLOG[[#This Row],[LOGIN]],tbMAPA[#All],2,0), "Não localizado")</f>
        <v>Caio Eiji Arai</v>
      </c>
      <c r="F1994" s="34" t="str">
        <f>IFERROR(VLOOKUP(tbLOG[[#This Row],[LOGIN]],tbMAPA[#All],3,0), "Não localizado")</f>
        <v>Vinicius Loula De Sousa</v>
      </c>
      <c r="G1994" s="3" t="s">
        <v>999</v>
      </c>
      <c r="H1994" s="3" t="s">
        <v>836</v>
      </c>
    </row>
    <row r="1995" spans="1:8">
      <c r="A1995" s="29">
        <v>42747.821388888886</v>
      </c>
      <c r="B1995" s="29" t="str">
        <f>PROPER(TEXT(tbLOG[[#This Row],[DATA/HORA]],"mmmm"))</f>
        <v>Janeiro</v>
      </c>
      <c r="C1995" s="34" t="str">
        <f>PROPER(TEXT(tbLOG[[#This Row],[DATA/HORA]],"dddd"))</f>
        <v>Quinta-Feira</v>
      </c>
      <c r="D1995" s="3" t="s">
        <v>324</v>
      </c>
      <c r="E1995" s="34" t="str">
        <f>IFERROR(VLOOKUP(tbLOG[[#This Row],[LOGIN]],tbMAPA[#All],2,0), "Não localizado")</f>
        <v>Caio Eiji Arai</v>
      </c>
      <c r="F1995" s="34" t="str">
        <f>IFERROR(VLOOKUP(tbLOG[[#This Row],[LOGIN]],tbMAPA[#All],3,0), "Não localizado")</f>
        <v>Vinicius Loula De Sousa</v>
      </c>
      <c r="G1995" s="3" t="s">
        <v>999</v>
      </c>
      <c r="H1995" s="3" t="s">
        <v>836</v>
      </c>
    </row>
    <row r="1996" spans="1:8">
      <c r="A1996" s="29">
        <v>42747.824189814812</v>
      </c>
      <c r="B1996" s="29" t="str">
        <f>PROPER(TEXT(tbLOG[[#This Row],[DATA/HORA]],"mmmm"))</f>
        <v>Janeiro</v>
      </c>
      <c r="C1996" s="34" t="str">
        <f>PROPER(TEXT(tbLOG[[#This Row],[DATA/HORA]],"dddd"))</f>
        <v>Quinta-Feira</v>
      </c>
      <c r="D1996" s="3" t="s">
        <v>324</v>
      </c>
      <c r="E1996" s="34" t="str">
        <f>IFERROR(VLOOKUP(tbLOG[[#This Row],[LOGIN]],tbMAPA[#All],2,0), "Não localizado")</f>
        <v>Caio Eiji Arai</v>
      </c>
      <c r="F1996" s="34" t="str">
        <f>IFERROR(VLOOKUP(tbLOG[[#This Row],[LOGIN]],tbMAPA[#All],3,0), "Não localizado")</f>
        <v>Vinicius Loula De Sousa</v>
      </c>
      <c r="G1996" s="3" t="s">
        <v>999</v>
      </c>
      <c r="H1996" s="3" t="s">
        <v>836</v>
      </c>
    </row>
    <row r="1997" spans="1:8">
      <c r="A1997" s="29">
        <v>42747.824224537035</v>
      </c>
      <c r="B1997" s="29" t="str">
        <f>PROPER(TEXT(tbLOG[[#This Row],[DATA/HORA]],"mmmm"))</f>
        <v>Janeiro</v>
      </c>
      <c r="C1997" s="34" t="str">
        <f>PROPER(TEXT(tbLOG[[#This Row],[DATA/HORA]],"dddd"))</f>
        <v>Quinta-Feira</v>
      </c>
      <c r="D1997" s="3" t="s">
        <v>324</v>
      </c>
      <c r="E1997" s="34" t="str">
        <f>IFERROR(VLOOKUP(tbLOG[[#This Row],[LOGIN]],tbMAPA[#All],2,0), "Não localizado")</f>
        <v>Caio Eiji Arai</v>
      </c>
      <c r="F1997" s="34" t="str">
        <f>IFERROR(VLOOKUP(tbLOG[[#This Row],[LOGIN]],tbMAPA[#All],3,0), "Não localizado")</f>
        <v>Vinicius Loula De Sousa</v>
      </c>
      <c r="G1997" s="3" t="s">
        <v>999</v>
      </c>
      <c r="H1997" s="3" t="s">
        <v>836</v>
      </c>
    </row>
    <row r="1998" spans="1:8">
      <c r="A1998" s="29">
        <v>42747.824490740742</v>
      </c>
      <c r="B1998" s="29" t="str">
        <f>PROPER(TEXT(tbLOG[[#This Row],[DATA/HORA]],"mmmm"))</f>
        <v>Janeiro</v>
      </c>
      <c r="C1998" s="34" t="str">
        <f>PROPER(TEXT(tbLOG[[#This Row],[DATA/HORA]],"dddd"))</f>
        <v>Quinta-Feira</v>
      </c>
      <c r="D1998" s="3" t="s">
        <v>324</v>
      </c>
      <c r="E1998" s="34" t="str">
        <f>IFERROR(VLOOKUP(tbLOG[[#This Row],[LOGIN]],tbMAPA[#All],2,0), "Não localizado")</f>
        <v>Caio Eiji Arai</v>
      </c>
      <c r="F1998" s="34" t="str">
        <f>IFERROR(VLOOKUP(tbLOG[[#This Row],[LOGIN]],tbMAPA[#All],3,0), "Não localizado")</f>
        <v>Vinicius Loula De Sousa</v>
      </c>
      <c r="G1998" s="3" t="s">
        <v>999</v>
      </c>
      <c r="H1998" s="3" t="s">
        <v>836</v>
      </c>
    </row>
    <row r="1999" spans="1:8">
      <c r="A1999" s="29">
        <v>42747.832303240742</v>
      </c>
      <c r="B1999" s="29" t="str">
        <f>PROPER(TEXT(tbLOG[[#This Row],[DATA/HORA]],"mmmm"))</f>
        <v>Janeiro</v>
      </c>
      <c r="C1999" s="34" t="str">
        <f>PROPER(TEXT(tbLOG[[#This Row],[DATA/HORA]],"dddd"))</f>
        <v>Quinta-Feira</v>
      </c>
      <c r="D1999" s="3" t="s">
        <v>324</v>
      </c>
      <c r="E1999" s="34" t="str">
        <f>IFERROR(VLOOKUP(tbLOG[[#This Row],[LOGIN]],tbMAPA[#All],2,0), "Não localizado")</f>
        <v>Caio Eiji Arai</v>
      </c>
      <c r="F1999" s="34" t="str">
        <f>IFERROR(VLOOKUP(tbLOG[[#This Row],[LOGIN]],tbMAPA[#All],3,0), "Não localizado")</f>
        <v>Vinicius Loula De Sousa</v>
      </c>
      <c r="G1999" s="3" t="s">
        <v>999</v>
      </c>
      <c r="H1999" s="3" t="s">
        <v>836</v>
      </c>
    </row>
    <row r="2000" spans="1:8">
      <c r="A2000" s="29">
        <v>42747.832326388889</v>
      </c>
      <c r="B2000" s="29" t="str">
        <f>PROPER(TEXT(tbLOG[[#This Row],[DATA/HORA]],"mmmm"))</f>
        <v>Janeiro</v>
      </c>
      <c r="C2000" s="34" t="str">
        <f>PROPER(TEXT(tbLOG[[#This Row],[DATA/HORA]],"dddd"))</f>
        <v>Quinta-Feira</v>
      </c>
      <c r="D2000" s="3" t="s">
        <v>324</v>
      </c>
      <c r="E2000" s="34" t="str">
        <f>IFERROR(VLOOKUP(tbLOG[[#This Row],[LOGIN]],tbMAPA[#All],2,0), "Não localizado")</f>
        <v>Caio Eiji Arai</v>
      </c>
      <c r="F2000" s="34" t="str">
        <f>IFERROR(VLOOKUP(tbLOG[[#This Row],[LOGIN]],tbMAPA[#All],3,0), "Não localizado")</f>
        <v>Vinicius Loula De Sousa</v>
      </c>
      <c r="G2000" s="3" t="s">
        <v>999</v>
      </c>
      <c r="H2000" s="3" t="s">
        <v>836</v>
      </c>
    </row>
    <row r="2001" spans="1:8">
      <c r="A2001" s="29">
        <v>42747.832650462966</v>
      </c>
      <c r="B2001" s="29" t="str">
        <f>PROPER(TEXT(tbLOG[[#This Row],[DATA/HORA]],"mmmm"))</f>
        <v>Janeiro</v>
      </c>
      <c r="C2001" s="34" t="str">
        <f>PROPER(TEXT(tbLOG[[#This Row],[DATA/HORA]],"dddd"))</f>
        <v>Quinta-Feira</v>
      </c>
      <c r="D2001" s="3" t="s">
        <v>324</v>
      </c>
      <c r="E2001" s="34" t="str">
        <f>IFERROR(VLOOKUP(tbLOG[[#This Row],[LOGIN]],tbMAPA[#All],2,0), "Não localizado")</f>
        <v>Caio Eiji Arai</v>
      </c>
      <c r="F2001" s="34" t="str">
        <f>IFERROR(VLOOKUP(tbLOG[[#This Row],[LOGIN]],tbMAPA[#All],3,0), "Não localizado")</f>
        <v>Vinicius Loula De Sousa</v>
      </c>
      <c r="G2001" s="3" t="s">
        <v>999</v>
      </c>
      <c r="H2001" s="3" t="s">
        <v>836</v>
      </c>
    </row>
    <row r="2002" spans="1:8">
      <c r="A2002" s="29">
        <v>42747.840624999997</v>
      </c>
      <c r="B2002" s="29" t="str">
        <f>PROPER(TEXT(tbLOG[[#This Row],[DATA/HORA]],"mmmm"))</f>
        <v>Janeiro</v>
      </c>
      <c r="C2002" s="34" t="str">
        <f>PROPER(TEXT(tbLOG[[#This Row],[DATA/HORA]],"dddd"))</f>
        <v>Quinta-Feira</v>
      </c>
      <c r="D2002" s="3" t="s">
        <v>324</v>
      </c>
      <c r="E2002" s="34" t="str">
        <f>IFERROR(VLOOKUP(tbLOG[[#This Row],[LOGIN]],tbMAPA[#All],2,0), "Não localizado")</f>
        <v>Caio Eiji Arai</v>
      </c>
      <c r="F2002" s="34" t="str">
        <f>IFERROR(VLOOKUP(tbLOG[[#This Row],[LOGIN]],tbMAPA[#All],3,0), "Não localizado")</f>
        <v>Vinicius Loula De Sousa</v>
      </c>
      <c r="G2002" s="3" t="s">
        <v>999</v>
      </c>
      <c r="H2002" s="3" t="s">
        <v>836</v>
      </c>
    </row>
    <row r="2003" spans="1:8">
      <c r="A2003" s="29">
        <v>42747.840729166666</v>
      </c>
      <c r="B2003" s="29" t="str">
        <f>PROPER(TEXT(tbLOG[[#This Row],[DATA/HORA]],"mmmm"))</f>
        <v>Janeiro</v>
      </c>
      <c r="C2003" s="34" t="str">
        <f>PROPER(TEXT(tbLOG[[#This Row],[DATA/HORA]],"dddd"))</f>
        <v>Quinta-Feira</v>
      </c>
      <c r="D2003" s="3" t="s">
        <v>324</v>
      </c>
      <c r="E2003" s="34" t="str">
        <f>IFERROR(VLOOKUP(tbLOG[[#This Row],[LOGIN]],tbMAPA[#All],2,0), "Não localizado")</f>
        <v>Caio Eiji Arai</v>
      </c>
      <c r="F2003" s="34" t="str">
        <f>IFERROR(VLOOKUP(tbLOG[[#This Row],[LOGIN]],tbMAPA[#All],3,0), "Não localizado")</f>
        <v>Vinicius Loula De Sousa</v>
      </c>
      <c r="G2003" s="3" t="s">
        <v>999</v>
      </c>
      <c r="H2003" s="3" t="s">
        <v>836</v>
      </c>
    </row>
    <row r="2004" spans="1:8">
      <c r="A2004" s="29">
        <v>42747.840798611112</v>
      </c>
      <c r="B2004" s="29" t="str">
        <f>PROPER(TEXT(tbLOG[[#This Row],[DATA/HORA]],"mmmm"))</f>
        <v>Janeiro</v>
      </c>
      <c r="C2004" s="34" t="str">
        <f>PROPER(TEXT(tbLOG[[#This Row],[DATA/HORA]],"dddd"))</f>
        <v>Quinta-Feira</v>
      </c>
      <c r="D2004" s="3" t="s">
        <v>324</v>
      </c>
      <c r="E2004" s="34" t="str">
        <f>IFERROR(VLOOKUP(tbLOG[[#This Row],[LOGIN]],tbMAPA[#All],2,0), "Não localizado")</f>
        <v>Caio Eiji Arai</v>
      </c>
      <c r="F2004" s="34" t="str">
        <f>IFERROR(VLOOKUP(tbLOG[[#This Row],[LOGIN]],tbMAPA[#All],3,0), "Não localizado")</f>
        <v>Vinicius Loula De Sousa</v>
      </c>
      <c r="G2004" s="3" t="s">
        <v>999</v>
      </c>
      <c r="H2004" s="3" t="s">
        <v>290</v>
      </c>
    </row>
    <row r="2005" spans="1:8">
      <c r="A2005" s="29">
        <v>42747.849340277775</v>
      </c>
      <c r="B2005" s="29" t="str">
        <f>PROPER(TEXT(tbLOG[[#This Row],[DATA/HORA]],"mmmm"))</f>
        <v>Janeiro</v>
      </c>
      <c r="C2005" s="34" t="str">
        <f>PROPER(TEXT(tbLOG[[#This Row],[DATA/HORA]],"dddd"))</f>
        <v>Quinta-Feira</v>
      </c>
      <c r="D2005" s="3" t="s">
        <v>324</v>
      </c>
      <c r="E2005" s="34" t="str">
        <f>IFERROR(VLOOKUP(tbLOG[[#This Row],[LOGIN]],tbMAPA[#All],2,0), "Não localizado")</f>
        <v>Caio Eiji Arai</v>
      </c>
      <c r="F2005" s="34" t="str">
        <f>IFERROR(VLOOKUP(tbLOG[[#This Row],[LOGIN]],tbMAPA[#All],3,0), "Não localizado")</f>
        <v>Vinicius Loula De Sousa</v>
      </c>
      <c r="G2005" s="3" t="s">
        <v>999</v>
      </c>
      <c r="H2005" s="3" t="s">
        <v>836</v>
      </c>
    </row>
    <row r="2006" spans="1:8">
      <c r="A2006" s="29">
        <v>42747.849374999998</v>
      </c>
      <c r="B2006" s="29" t="str">
        <f>PROPER(TEXT(tbLOG[[#This Row],[DATA/HORA]],"mmmm"))</f>
        <v>Janeiro</v>
      </c>
      <c r="C2006" s="34" t="str">
        <f>PROPER(TEXT(tbLOG[[#This Row],[DATA/HORA]],"dddd"))</f>
        <v>Quinta-Feira</v>
      </c>
      <c r="D2006" s="3" t="s">
        <v>324</v>
      </c>
      <c r="E2006" s="34" t="str">
        <f>IFERROR(VLOOKUP(tbLOG[[#This Row],[LOGIN]],tbMAPA[#All],2,0), "Não localizado")</f>
        <v>Caio Eiji Arai</v>
      </c>
      <c r="F2006" s="34" t="str">
        <f>IFERROR(VLOOKUP(tbLOG[[#This Row],[LOGIN]],tbMAPA[#All],3,0), "Não localizado")</f>
        <v>Vinicius Loula De Sousa</v>
      </c>
      <c r="G2006" s="3" t="s">
        <v>999</v>
      </c>
      <c r="H2006" s="3" t="s">
        <v>836</v>
      </c>
    </row>
    <row r="2007" spans="1:8">
      <c r="A2007" s="29">
        <v>42747.849421296298</v>
      </c>
      <c r="B2007" s="29" t="str">
        <f>PROPER(TEXT(tbLOG[[#This Row],[DATA/HORA]],"mmmm"))</f>
        <v>Janeiro</v>
      </c>
      <c r="C2007" s="34" t="str">
        <f>PROPER(TEXT(tbLOG[[#This Row],[DATA/HORA]],"dddd"))</f>
        <v>Quinta-Feira</v>
      </c>
      <c r="D2007" s="3" t="s">
        <v>324</v>
      </c>
      <c r="E2007" s="34" t="str">
        <f>IFERROR(VLOOKUP(tbLOG[[#This Row],[LOGIN]],tbMAPA[#All],2,0), "Não localizado")</f>
        <v>Caio Eiji Arai</v>
      </c>
      <c r="F2007" s="34" t="str">
        <f>IFERROR(VLOOKUP(tbLOG[[#This Row],[LOGIN]],tbMAPA[#All],3,0), "Não localizado")</f>
        <v>Vinicius Loula De Sousa</v>
      </c>
      <c r="G2007" s="3" t="s">
        <v>999</v>
      </c>
      <c r="H2007" s="3" t="s">
        <v>836</v>
      </c>
    </row>
    <row r="2008" spans="1:8">
      <c r="A2008" s="29">
        <v>42747.857372685183</v>
      </c>
      <c r="B2008" s="29" t="str">
        <f>PROPER(TEXT(tbLOG[[#This Row],[DATA/HORA]],"mmmm"))</f>
        <v>Janeiro</v>
      </c>
      <c r="C2008" s="34" t="str">
        <f>PROPER(TEXT(tbLOG[[#This Row],[DATA/HORA]],"dddd"))</f>
        <v>Quinta-Feira</v>
      </c>
      <c r="D2008" s="3" t="s">
        <v>324</v>
      </c>
      <c r="E2008" s="34" t="str">
        <f>IFERROR(VLOOKUP(tbLOG[[#This Row],[LOGIN]],tbMAPA[#All],2,0), "Não localizado")</f>
        <v>Caio Eiji Arai</v>
      </c>
      <c r="F2008" s="34" t="str">
        <f>IFERROR(VLOOKUP(tbLOG[[#This Row],[LOGIN]],tbMAPA[#All],3,0), "Não localizado")</f>
        <v>Vinicius Loula De Sousa</v>
      </c>
      <c r="G2008" s="3" t="s">
        <v>999</v>
      </c>
      <c r="H2008" s="3" t="s">
        <v>836</v>
      </c>
    </row>
    <row r="2009" spans="1:8">
      <c r="A2009" s="29">
        <v>42747.857442129629</v>
      </c>
      <c r="B2009" s="29" t="str">
        <f>PROPER(TEXT(tbLOG[[#This Row],[DATA/HORA]],"mmmm"))</f>
        <v>Janeiro</v>
      </c>
      <c r="C2009" s="34" t="str">
        <f>PROPER(TEXT(tbLOG[[#This Row],[DATA/HORA]],"dddd"))</f>
        <v>Quinta-Feira</v>
      </c>
      <c r="D2009" s="3" t="s">
        <v>324</v>
      </c>
      <c r="E2009" s="34" t="str">
        <f>IFERROR(VLOOKUP(tbLOG[[#This Row],[LOGIN]],tbMAPA[#All],2,0), "Não localizado")</f>
        <v>Caio Eiji Arai</v>
      </c>
      <c r="F2009" s="34" t="str">
        <f>IFERROR(VLOOKUP(tbLOG[[#This Row],[LOGIN]],tbMAPA[#All],3,0), "Não localizado")</f>
        <v>Vinicius Loula De Sousa</v>
      </c>
      <c r="G2009" s="3" t="s">
        <v>999</v>
      </c>
      <c r="H2009" s="3" t="s">
        <v>290</v>
      </c>
    </row>
    <row r="2010" spans="1:8">
      <c r="A2010" s="29">
        <v>42747.857905092591</v>
      </c>
      <c r="B2010" s="29" t="str">
        <f>PROPER(TEXT(tbLOG[[#This Row],[DATA/HORA]],"mmmm"))</f>
        <v>Janeiro</v>
      </c>
      <c r="C2010" s="34" t="str">
        <f>PROPER(TEXT(tbLOG[[#This Row],[DATA/HORA]],"dddd"))</f>
        <v>Quinta-Feira</v>
      </c>
      <c r="D2010" s="3" t="s">
        <v>324</v>
      </c>
      <c r="E2010" s="34" t="str">
        <f>IFERROR(VLOOKUP(tbLOG[[#This Row],[LOGIN]],tbMAPA[#All],2,0), "Não localizado")</f>
        <v>Caio Eiji Arai</v>
      </c>
      <c r="F2010" s="34" t="str">
        <f>IFERROR(VLOOKUP(tbLOG[[#This Row],[LOGIN]],tbMAPA[#All],3,0), "Não localizado")</f>
        <v>Vinicius Loula De Sousa</v>
      </c>
      <c r="G2010" s="3" t="s">
        <v>999</v>
      </c>
      <c r="H2010" s="3" t="s">
        <v>290</v>
      </c>
    </row>
    <row r="2011" spans="1:8">
      <c r="A2011" s="29">
        <v>42747.858136574076</v>
      </c>
      <c r="B2011" s="29" t="str">
        <f>PROPER(TEXT(tbLOG[[#This Row],[DATA/HORA]],"mmmm"))</f>
        <v>Janeiro</v>
      </c>
      <c r="C2011" s="34" t="str">
        <f>PROPER(TEXT(tbLOG[[#This Row],[DATA/HORA]],"dddd"))</f>
        <v>Quinta-Feira</v>
      </c>
      <c r="D2011" s="3" t="s">
        <v>324</v>
      </c>
      <c r="E2011" s="34" t="str">
        <f>IFERROR(VLOOKUP(tbLOG[[#This Row],[LOGIN]],tbMAPA[#All],2,0), "Não localizado")</f>
        <v>Caio Eiji Arai</v>
      </c>
      <c r="F2011" s="34" t="str">
        <f>IFERROR(VLOOKUP(tbLOG[[#This Row],[LOGIN]],tbMAPA[#All],3,0), "Não localizado")</f>
        <v>Vinicius Loula De Sousa</v>
      </c>
      <c r="G2011" s="3" t="s">
        <v>999</v>
      </c>
      <c r="H2011" s="3" t="s">
        <v>291</v>
      </c>
    </row>
    <row r="2012" spans="1:8">
      <c r="A2012" s="29">
        <v>42747.858136574076</v>
      </c>
      <c r="B2012" s="29" t="str">
        <f>PROPER(TEXT(tbLOG[[#This Row],[DATA/HORA]],"mmmm"))</f>
        <v>Janeiro</v>
      </c>
      <c r="C2012" s="34" t="str">
        <f>PROPER(TEXT(tbLOG[[#This Row],[DATA/HORA]],"dddd"))</f>
        <v>Quinta-Feira</v>
      </c>
      <c r="D2012" s="3" t="s">
        <v>324</v>
      </c>
      <c r="E2012" s="34" t="str">
        <f>IFERROR(VLOOKUP(tbLOG[[#This Row],[LOGIN]],tbMAPA[#All],2,0), "Não localizado")</f>
        <v>Caio Eiji Arai</v>
      </c>
      <c r="F2012" s="34" t="str">
        <f>IFERROR(VLOOKUP(tbLOG[[#This Row],[LOGIN]],tbMAPA[#All],3,0), "Não localizado")</f>
        <v>Vinicius Loula De Sousa</v>
      </c>
      <c r="G2012" s="3" t="s">
        <v>999</v>
      </c>
      <c r="H2012" s="3" t="s">
        <v>290</v>
      </c>
    </row>
    <row r="2013" spans="1:8">
      <c r="A2013" s="29">
        <v>42748.42083333333</v>
      </c>
      <c r="B2013" s="29" t="str">
        <f>PROPER(TEXT(tbLOG[[#This Row],[DATA/HORA]],"mmmm"))</f>
        <v>Janeiro</v>
      </c>
      <c r="C2013" s="34" t="str">
        <f>PROPER(TEXT(tbLOG[[#This Row],[DATA/HORA]],"dddd"))</f>
        <v>Sexta-Feira</v>
      </c>
      <c r="D2013" s="3" t="s">
        <v>297</v>
      </c>
      <c r="E2013" s="34" t="str">
        <f>IFERROR(VLOOKUP(tbLOG[[#This Row],[LOGIN]],tbMAPA[#All],2,0), "Não localizado")</f>
        <v>Ivanildo Cavalcante De Souza Junior</v>
      </c>
      <c r="F2013" s="34" t="str">
        <f>IFERROR(VLOOKUP(tbLOG[[#This Row],[LOGIN]],tbMAPA[#All],3,0), "Não localizado")</f>
        <v>Jefte Soares Da Silva</v>
      </c>
      <c r="G2013" s="3" t="s">
        <v>298</v>
      </c>
      <c r="H2013" s="3" t="s">
        <v>994</v>
      </c>
    </row>
    <row r="2014" spans="1:8">
      <c r="A2014" s="29">
        <v>42748.421087962961</v>
      </c>
      <c r="B2014" s="29" t="str">
        <f>PROPER(TEXT(tbLOG[[#This Row],[DATA/HORA]],"mmmm"))</f>
        <v>Janeiro</v>
      </c>
      <c r="C2014" s="34" t="str">
        <f>PROPER(TEXT(tbLOG[[#This Row],[DATA/HORA]],"dddd"))</f>
        <v>Sexta-Feira</v>
      </c>
      <c r="D2014" s="3" t="s">
        <v>297</v>
      </c>
      <c r="E2014" s="34" t="str">
        <f>IFERROR(VLOOKUP(tbLOG[[#This Row],[LOGIN]],tbMAPA[#All],2,0), "Não localizado")</f>
        <v>Ivanildo Cavalcante De Souza Junior</v>
      </c>
      <c r="F2014" s="34" t="str">
        <f>IFERROR(VLOOKUP(tbLOG[[#This Row],[LOGIN]],tbMAPA[#All],3,0), "Não localizado")</f>
        <v>Jefte Soares Da Silva</v>
      </c>
      <c r="G2014" s="3" t="s">
        <v>298</v>
      </c>
      <c r="H2014" s="3" t="s">
        <v>315</v>
      </c>
    </row>
    <row r="2015" spans="1:8">
      <c r="A2015" s="29">
        <v>42748.4218287037</v>
      </c>
      <c r="B2015" s="29" t="str">
        <f>PROPER(TEXT(tbLOG[[#This Row],[DATA/HORA]],"mmmm"))</f>
        <v>Janeiro</v>
      </c>
      <c r="C2015" s="34" t="str">
        <f>PROPER(TEXT(tbLOG[[#This Row],[DATA/HORA]],"dddd"))</f>
        <v>Sexta-Feira</v>
      </c>
      <c r="D2015" s="3" t="s">
        <v>297</v>
      </c>
      <c r="E2015" s="34" t="str">
        <f>IFERROR(VLOOKUP(tbLOG[[#This Row],[LOGIN]],tbMAPA[#All],2,0), "Não localizado")</f>
        <v>Ivanildo Cavalcante De Souza Junior</v>
      </c>
      <c r="F2015" s="34" t="str">
        <f>IFERROR(VLOOKUP(tbLOG[[#This Row],[LOGIN]],tbMAPA[#All],3,0), "Não localizado")</f>
        <v>Jefte Soares Da Silva</v>
      </c>
      <c r="G2015" s="3" t="s">
        <v>298</v>
      </c>
      <c r="H2015" s="3" t="s">
        <v>292</v>
      </c>
    </row>
    <row r="2016" spans="1:8">
      <c r="A2016" s="29">
        <v>42748.421840277777</v>
      </c>
      <c r="B2016" s="29" t="str">
        <f>PROPER(TEXT(tbLOG[[#This Row],[DATA/HORA]],"mmmm"))</f>
        <v>Janeiro</v>
      </c>
      <c r="C2016" s="34" t="str">
        <f>PROPER(TEXT(tbLOG[[#This Row],[DATA/HORA]],"dddd"))</f>
        <v>Sexta-Feira</v>
      </c>
      <c r="D2016" s="3" t="s">
        <v>297</v>
      </c>
      <c r="E2016" s="34" t="str">
        <f>IFERROR(VLOOKUP(tbLOG[[#This Row],[LOGIN]],tbMAPA[#All],2,0), "Não localizado")</f>
        <v>Ivanildo Cavalcante De Souza Junior</v>
      </c>
      <c r="F2016" s="34" t="str">
        <f>IFERROR(VLOOKUP(tbLOG[[#This Row],[LOGIN]],tbMAPA[#All],3,0), "Não localizado")</f>
        <v>Jefte Soares Da Silva</v>
      </c>
      <c r="G2016" s="3" t="s">
        <v>298</v>
      </c>
      <c r="H2016" s="3" t="s">
        <v>292</v>
      </c>
    </row>
    <row r="2017" spans="1:8">
      <c r="A2017" s="29">
        <v>42748.421840277777</v>
      </c>
      <c r="B2017" s="29" t="str">
        <f>PROPER(TEXT(tbLOG[[#This Row],[DATA/HORA]],"mmmm"))</f>
        <v>Janeiro</v>
      </c>
      <c r="C2017" s="34" t="str">
        <f>PROPER(TEXT(tbLOG[[#This Row],[DATA/HORA]],"dddd"))</f>
        <v>Sexta-Feira</v>
      </c>
      <c r="D2017" s="3" t="s">
        <v>297</v>
      </c>
      <c r="E2017" s="34" t="str">
        <f>IFERROR(VLOOKUP(tbLOG[[#This Row],[LOGIN]],tbMAPA[#All],2,0), "Não localizado")</f>
        <v>Ivanildo Cavalcante De Souza Junior</v>
      </c>
      <c r="F2017" s="34" t="str">
        <f>IFERROR(VLOOKUP(tbLOG[[#This Row],[LOGIN]],tbMAPA[#All],3,0), "Não localizado")</f>
        <v>Jefte Soares Da Silva</v>
      </c>
      <c r="G2017" s="3" t="s">
        <v>298</v>
      </c>
      <c r="H2017" s="3" t="s">
        <v>317</v>
      </c>
    </row>
    <row r="2018" spans="1:8">
      <c r="A2018" s="29">
        <v>42748.421909722223</v>
      </c>
      <c r="B2018" s="29" t="str">
        <f>PROPER(TEXT(tbLOG[[#This Row],[DATA/HORA]],"mmmm"))</f>
        <v>Janeiro</v>
      </c>
      <c r="C2018" s="34" t="str">
        <f>PROPER(TEXT(tbLOG[[#This Row],[DATA/HORA]],"dddd"))</f>
        <v>Sexta-Feira</v>
      </c>
      <c r="D2018" s="3" t="s">
        <v>297</v>
      </c>
      <c r="E2018" s="34" t="str">
        <f>IFERROR(VLOOKUP(tbLOG[[#This Row],[LOGIN]],tbMAPA[#All],2,0), "Não localizado")</f>
        <v>Ivanildo Cavalcante De Souza Junior</v>
      </c>
      <c r="F2018" s="34" t="str">
        <f>IFERROR(VLOOKUP(tbLOG[[#This Row],[LOGIN]],tbMAPA[#All],3,0), "Não localizado")</f>
        <v>Jefte Soares Da Silva</v>
      </c>
      <c r="G2018" s="3" t="s">
        <v>298</v>
      </c>
      <c r="H2018" s="3" t="s">
        <v>292</v>
      </c>
    </row>
    <row r="2019" spans="1:8">
      <c r="A2019" s="29">
        <v>42748.422210648147</v>
      </c>
      <c r="B2019" s="29" t="str">
        <f>PROPER(TEXT(tbLOG[[#This Row],[DATA/HORA]],"mmmm"))</f>
        <v>Janeiro</v>
      </c>
      <c r="C2019" s="34" t="str">
        <f>PROPER(TEXT(tbLOG[[#This Row],[DATA/HORA]],"dddd"))</f>
        <v>Sexta-Feira</v>
      </c>
      <c r="D2019" s="3" t="s">
        <v>297</v>
      </c>
      <c r="E2019" s="34" t="str">
        <f>IFERROR(VLOOKUP(tbLOG[[#This Row],[LOGIN]],tbMAPA[#All],2,0), "Não localizado")</f>
        <v>Ivanildo Cavalcante De Souza Junior</v>
      </c>
      <c r="F2019" s="34" t="str">
        <f>IFERROR(VLOOKUP(tbLOG[[#This Row],[LOGIN]],tbMAPA[#All],3,0), "Não localizado")</f>
        <v>Jefte Soares Da Silva</v>
      </c>
      <c r="G2019" s="3" t="s">
        <v>298</v>
      </c>
      <c r="H2019" s="3" t="s">
        <v>835</v>
      </c>
    </row>
    <row r="2020" spans="1:8">
      <c r="A2020" s="29">
        <v>42748.422291666669</v>
      </c>
      <c r="B2020" s="29" t="str">
        <f>PROPER(TEXT(tbLOG[[#This Row],[DATA/HORA]],"mmmm"))</f>
        <v>Janeiro</v>
      </c>
      <c r="C2020" s="34" t="str">
        <f>PROPER(TEXT(tbLOG[[#This Row],[DATA/HORA]],"dddd"))</f>
        <v>Sexta-Feira</v>
      </c>
      <c r="D2020" s="3" t="s">
        <v>297</v>
      </c>
      <c r="E2020" s="34" t="str">
        <f>IFERROR(VLOOKUP(tbLOG[[#This Row],[LOGIN]],tbMAPA[#All],2,0), "Não localizado")</f>
        <v>Ivanildo Cavalcante De Souza Junior</v>
      </c>
      <c r="F2020" s="34" t="str">
        <f>IFERROR(VLOOKUP(tbLOG[[#This Row],[LOGIN]],tbMAPA[#All],3,0), "Não localizado")</f>
        <v>Jefte Soares Da Silva</v>
      </c>
      <c r="G2020" s="3" t="s">
        <v>298</v>
      </c>
      <c r="H2020" s="3" t="s">
        <v>836</v>
      </c>
    </row>
    <row r="2021" spans="1:8">
      <c r="A2021" s="29">
        <v>42748.422395833331</v>
      </c>
      <c r="B2021" s="29" t="str">
        <f>PROPER(TEXT(tbLOG[[#This Row],[DATA/HORA]],"mmmm"))</f>
        <v>Janeiro</v>
      </c>
      <c r="C2021" s="34" t="str">
        <f>PROPER(TEXT(tbLOG[[#This Row],[DATA/HORA]],"dddd"))</f>
        <v>Sexta-Feira</v>
      </c>
      <c r="D2021" s="3" t="s">
        <v>297</v>
      </c>
      <c r="E2021" s="34" t="str">
        <f>IFERROR(VLOOKUP(tbLOG[[#This Row],[LOGIN]],tbMAPA[#All],2,0), "Não localizado")</f>
        <v>Ivanildo Cavalcante De Souza Junior</v>
      </c>
      <c r="F2021" s="34" t="str">
        <f>IFERROR(VLOOKUP(tbLOG[[#This Row],[LOGIN]],tbMAPA[#All],3,0), "Não localizado")</f>
        <v>Jefte Soares Da Silva</v>
      </c>
      <c r="G2021" s="3" t="s">
        <v>298</v>
      </c>
      <c r="H2021" s="3" t="s">
        <v>290</v>
      </c>
    </row>
    <row r="2022" spans="1:8">
      <c r="A2022" s="29">
        <v>42748.422407407408</v>
      </c>
      <c r="B2022" s="29" t="str">
        <f>PROPER(TEXT(tbLOG[[#This Row],[DATA/HORA]],"mmmm"))</f>
        <v>Janeiro</v>
      </c>
      <c r="C2022" s="34" t="str">
        <f>PROPER(TEXT(tbLOG[[#This Row],[DATA/HORA]],"dddd"))</f>
        <v>Sexta-Feira</v>
      </c>
      <c r="D2022" s="3" t="s">
        <v>297</v>
      </c>
      <c r="E2022" s="34" t="str">
        <f>IFERROR(VLOOKUP(tbLOG[[#This Row],[LOGIN]],tbMAPA[#All],2,0), "Não localizado")</f>
        <v>Ivanildo Cavalcante De Souza Junior</v>
      </c>
      <c r="F2022" s="34" t="str">
        <f>IFERROR(VLOOKUP(tbLOG[[#This Row],[LOGIN]],tbMAPA[#All],3,0), "Não localizado")</f>
        <v>Jefte Soares Da Silva</v>
      </c>
      <c r="G2022" s="3" t="s">
        <v>298</v>
      </c>
      <c r="H2022" s="3" t="s">
        <v>292</v>
      </c>
    </row>
    <row r="2023" spans="1:8">
      <c r="A2023" s="29">
        <v>42748.422789351855</v>
      </c>
      <c r="B2023" s="29" t="str">
        <f>PROPER(TEXT(tbLOG[[#This Row],[DATA/HORA]],"mmmm"))</f>
        <v>Janeiro</v>
      </c>
      <c r="C2023" s="34" t="str">
        <f>PROPER(TEXT(tbLOG[[#This Row],[DATA/HORA]],"dddd"))</f>
        <v>Sexta-Feira</v>
      </c>
      <c r="D2023" s="3" t="s">
        <v>297</v>
      </c>
      <c r="E2023" s="34" t="str">
        <f>IFERROR(VLOOKUP(tbLOG[[#This Row],[LOGIN]],tbMAPA[#All],2,0), "Não localizado")</f>
        <v>Ivanildo Cavalcante De Souza Junior</v>
      </c>
      <c r="F2023" s="34" t="str">
        <f>IFERROR(VLOOKUP(tbLOG[[#This Row],[LOGIN]],tbMAPA[#All],3,0), "Não localizado")</f>
        <v>Jefte Soares Da Silva</v>
      </c>
      <c r="G2023" s="3" t="s">
        <v>298</v>
      </c>
      <c r="H2023" s="3" t="s">
        <v>292</v>
      </c>
    </row>
    <row r="2024" spans="1:8">
      <c r="A2024" s="29">
        <v>42748.422893518517</v>
      </c>
      <c r="B2024" s="29" t="str">
        <f>PROPER(TEXT(tbLOG[[#This Row],[DATA/HORA]],"mmmm"))</f>
        <v>Janeiro</v>
      </c>
      <c r="C2024" s="34" t="str">
        <f>PROPER(TEXT(tbLOG[[#This Row],[DATA/HORA]],"dddd"))</f>
        <v>Sexta-Feira</v>
      </c>
      <c r="D2024" s="3" t="s">
        <v>297</v>
      </c>
      <c r="E2024" s="34" t="str">
        <f>IFERROR(VLOOKUP(tbLOG[[#This Row],[LOGIN]],tbMAPA[#All],2,0), "Não localizado")</f>
        <v>Ivanildo Cavalcante De Souza Junior</v>
      </c>
      <c r="F2024" s="34" t="str">
        <f>IFERROR(VLOOKUP(tbLOG[[#This Row],[LOGIN]],tbMAPA[#All],3,0), "Não localizado")</f>
        <v>Jefte Soares Da Silva</v>
      </c>
      <c r="G2024" s="3" t="s">
        <v>298</v>
      </c>
      <c r="H2024" s="3" t="s">
        <v>290</v>
      </c>
    </row>
    <row r="2025" spans="1:8">
      <c r="A2025" s="29">
        <v>42748.42291666667</v>
      </c>
      <c r="B2025" s="29" t="str">
        <f>PROPER(TEXT(tbLOG[[#This Row],[DATA/HORA]],"mmmm"))</f>
        <v>Janeiro</v>
      </c>
      <c r="C2025" s="34" t="str">
        <f>PROPER(TEXT(tbLOG[[#This Row],[DATA/HORA]],"dddd"))</f>
        <v>Sexta-Feira</v>
      </c>
      <c r="D2025" s="3" t="s">
        <v>297</v>
      </c>
      <c r="E2025" s="34" t="str">
        <f>IFERROR(VLOOKUP(tbLOG[[#This Row],[LOGIN]],tbMAPA[#All],2,0), "Não localizado")</f>
        <v>Ivanildo Cavalcante De Souza Junior</v>
      </c>
      <c r="F2025" s="34" t="str">
        <f>IFERROR(VLOOKUP(tbLOG[[#This Row],[LOGIN]],tbMAPA[#All],3,0), "Não localizado")</f>
        <v>Jefte Soares Da Silva</v>
      </c>
      <c r="G2025" s="3" t="s">
        <v>298</v>
      </c>
      <c r="H2025" s="3" t="s">
        <v>299</v>
      </c>
    </row>
    <row r="2026" spans="1:8">
      <c r="A2026" s="29">
        <v>42748.423171296294</v>
      </c>
      <c r="B2026" s="29" t="str">
        <f>PROPER(TEXT(tbLOG[[#This Row],[DATA/HORA]],"mmmm"))</f>
        <v>Janeiro</v>
      </c>
      <c r="C2026" s="34" t="str">
        <f>PROPER(TEXT(tbLOG[[#This Row],[DATA/HORA]],"dddd"))</f>
        <v>Sexta-Feira</v>
      </c>
      <c r="D2026" s="3" t="s">
        <v>297</v>
      </c>
      <c r="E2026" s="34" t="str">
        <f>IFERROR(VLOOKUP(tbLOG[[#This Row],[LOGIN]],tbMAPA[#All],2,0), "Não localizado")</f>
        <v>Ivanildo Cavalcante De Souza Junior</v>
      </c>
      <c r="F2026" s="34" t="str">
        <f>IFERROR(VLOOKUP(tbLOG[[#This Row],[LOGIN]],tbMAPA[#All],3,0), "Não localizado")</f>
        <v>Jefte Soares Da Silva</v>
      </c>
      <c r="G2026" s="3" t="s">
        <v>298</v>
      </c>
      <c r="H2026" s="3" t="s">
        <v>290</v>
      </c>
    </row>
    <row r="2027" spans="1:8">
      <c r="A2027" s="29">
        <v>42748.423622685186</v>
      </c>
      <c r="B2027" s="29" t="str">
        <f>PROPER(TEXT(tbLOG[[#This Row],[DATA/HORA]],"mmmm"))</f>
        <v>Janeiro</v>
      </c>
      <c r="C2027" s="34" t="str">
        <f>PROPER(TEXT(tbLOG[[#This Row],[DATA/HORA]],"dddd"))</f>
        <v>Sexta-Feira</v>
      </c>
      <c r="D2027" s="3" t="s">
        <v>297</v>
      </c>
      <c r="E2027" s="34" t="str">
        <f>IFERROR(VLOOKUP(tbLOG[[#This Row],[LOGIN]],tbMAPA[#All],2,0), "Não localizado")</f>
        <v>Ivanildo Cavalcante De Souza Junior</v>
      </c>
      <c r="F2027" s="34" t="str">
        <f>IFERROR(VLOOKUP(tbLOG[[#This Row],[LOGIN]],tbMAPA[#All],3,0), "Não localizado")</f>
        <v>Jefte Soares Da Silva</v>
      </c>
      <c r="G2027" s="3" t="s">
        <v>298</v>
      </c>
      <c r="H2027" s="3" t="s">
        <v>290</v>
      </c>
    </row>
    <row r="2028" spans="1:8">
      <c r="A2028" s="29">
        <v>42748.423784722225</v>
      </c>
      <c r="B2028" s="29" t="str">
        <f>PROPER(TEXT(tbLOG[[#This Row],[DATA/HORA]],"mmmm"))</f>
        <v>Janeiro</v>
      </c>
      <c r="C2028" s="34" t="str">
        <f>PROPER(TEXT(tbLOG[[#This Row],[DATA/HORA]],"dddd"))</f>
        <v>Sexta-Feira</v>
      </c>
      <c r="D2028" s="3" t="s">
        <v>297</v>
      </c>
      <c r="E2028" s="34" t="str">
        <f>IFERROR(VLOOKUP(tbLOG[[#This Row],[LOGIN]],tbMAPA[#All],2,0), "Não localizado")</f>
        <v>Ivanildo Cavalcante De Souza Junior</v>
      </c>
      <c r="F2028" s="34" t="str">
        <f>IFERROR(VLOOKUP(tbLOG[[#This Row],[LOGIN]],tbMAPA[#All],3,0), "Não localizado")</f>
        <v>Jefte Soares Da Silva</v>
      </c>
      <c r="G2028" s="3" t="s">
        <v>298</v>
      </c>
      <c r="H2028" s="3" t="s">
        <v>291</v>
      </c>
    </row>
    <row r="2029" spans="1:8">
      <c r="A2029" s="29">
        <v>42748.423784722225</v>
      </c>
      <c r="B2029" s="29" t="str">
        <f>PROPER(TEXT(tbLOG[[#This Row],[DATA/HORA]],"mmmm"))</f>
        <v>Janeiro</v>
      </c>
      <c r="C2029" s="34" t="str">
        <f>PROPER(TEXT(tbLOG[[#This Row],[DATA/HORA]],"dddd"))</f>
        <v>Sexta-Feira</v>
      </c>
      <c r="D2029" s="3" t="s">
        <v>297</v>
      </c>
      <c r="E2029" s="34" t="str">
        <f>IFERROR(VLOOKUP(tbLOG[[#This Row],[LOGIN]],tbMAPA[#All],2,0), "Não localizado")</f>
        <v>Ivanildo Cavalcante De Souza Junior</v>
      </c>
      <c r="F2029" s="34" t="str">
        <f>IFERROR(VLOOKUP(tbLOG[[#This Row],[LOGIN]],tbMAPA[#All],3,0), "Não localizado")</f>
        <v>Jefte Soares Da Silva</v>
      </c>
      <c r="G2029" s="3" t="s">
        <v>298</v>
      </c>
      <c r="H2029" s="3" t="s">
        <v>290</v>
      </c>
    </row>
    <row r="2030" spans="1:8">
      <c r="A2030" s="29">
        <v>42748.425775462965</v>
      </c>
      <c r="B2030" s="29" t="str">
        <f>PROPER(TEXT(tbLOG[[#This Row],[DATA/HORA]],"mmmm"))</f>
        <v>Janeiro</v>
      </c>
      <c r="C2030" s="34" t="str">
        <f>PROPER(TEXT(tbLOG[[#This Row],[DATA/HORA]],"dddd"))</f>
        <v>Sexta-Feira</v>
      </c>
      <c r="D2030" s="3" t="s">
        <v>604</v>
      </c>
      <c r="E2030" s="34" t="str">
        <f>IFERROR(VLOOKUP(tbLOG[[#This Row],[LOGIN]],tbMAPA[#All],2,0), "Não localizado")</f>
        <v>Renan Cazumba Tegani</v>
      </c>
      <c r="F2030" s="34" t="str">
        <f>IFERROR(VLOOKUP(tbLOG[[#This Row],[LOGIN]],tbMAPA[#All],3,0), "Não localizado")</f>
        <v>Reginaldo Santana De Souza</v>
      </c>
      <c r="G2030" s="3" t="s">
        <v>1211</v>
      </c>
      <c r="H2030" s="3" t="s">
        <v>994</v>
      </c>
    </row>
    <row r="2031" spans="1:8">
      <c r="A2031" s="29">
        <v>42748.432835648149</v>
      </c>
      <c r="B2031" s="29" t="str">
        <f>PROPER(TEXT(tbLOG[[#This Row],[DATA/HORA]],"mmmm"))</f>
        <v>Janeiro</v>
      </c>
      <c r="C2031" s="34" t="str">
        <f>PROPER(TEXT(tbLOG[[#This Row],[DATA/HORA]],"dddd"))</f>
        <v>Sexta-Feira</v>
      </c>
      <c r="D2031" s="3" t="s">
        <v>604</v>
      </c>
      <c r="E2031" s="34" t="str">
        <f>IFERROR(VLOOKUP(tbLOG[[#This Row],[LOGIN]],tbMAPA[#All],2,0), "Não localizado")</f>
        <v>Renan Cazumba Tegani</v>
      </c>
      <c r="F2031" s="34" t="str">
        <f>IFERROR(VLOOKUP(tbLOG[[#This Row],[LOGIN]],tbMAPA[#All],3,0), "Não localizado")</f>
        <v>Reginaldo Santana De Souza</v>
      </c>
      <c r="G2031" s="3" t="s">
        <v>1211</v>
      </c>
      <c r="H2031" s="3" t="s">
        <v>836</v>
      </c>
    </row>
    <row r="2032" spans="1:8">
      <c r="A2032" s="29">
        <v>42748.432916666665</v>
      </c>
      <c r="B2032" s="29" t="str">
        <f>PROPER(TEXT(tbLOG[[#This Row],[DATA/HORA]],"mmmm"))</f>
        <v>Janeiro</v>
      </c>
      <c r="C2032" s="34" t="str">
        <f>PROPER(TEXT(tbLOG[[#This Row],[DATA/HORA]],"dddd"))</f>
        <v>Sexta-Feira</v>
      </c>
      <c r="D2032" s="3" t="s">
        <v>604</v>
      </c>
      <c r="E2032" s="34" t="str">
        <f>IFERROR(VLOOKUP(tbLOG[[#This Row],[LOGIN]],tbMAPA[#All],2,0), "Não localizado")</f>
        <v>Renan Cazumba Tegani</v>
      </c>
      <c r="F2032" s="34" t="str">
        <f>IFERROR(VLOOKUP(tbLOG[[#This Row],[LOGIN]],tbMAPA[#All],3,0), "Não localizado")</f>
        <v>Reginaldo Santana De Souza</v>
      </c>
      <c r="G2032" s="3" t="s">
        <v>1211</v>
      </c>
      <c r="H2032" s="3" t="s">
        <v>836</v>
      </c>
    </row>
    <row r="2033" spans="1:8">
      <c r="A2033" s="29">
        <v>42748.432939814818</v>
      </c>
      <c r="B2033" s="29" t="str">
        <f>PROPER(TEXT(tbLOG[[#This Row],[DATA/HORA]],"mmmm"))</f>
        <v>Janeiro</v>
      </c>
      <c r="C2033" s="34" t="str">
        <f>PROPER(TEXT(tbLOG[[#This Row],[DATA/HORA]],"dddd"))</f>
        <v>Sexta-Feira</v>
      </c>
      <c r="D2033" s="3" t="s">
        <v>604</v>
      </c>
      <c r="E2033" s="34" t="str">
        <f>IFERROR(VLOOKUP(tbLOG[[#This Row],[LOGIN]],tbMAPA[#All],2,0), "Não localizado")</f>
        <v>Renan Cazumba Tegani</v>
      </c>
      <c r="F2033" s="34" t="str">
        <f>IFERROR(VLOOKUP(tbLOG[[#This Row],[LOGIN]],tbMAPA[#All],3,0), "Não localizado")</f>
        <v>Reginaldo Santana De Souza</v>
      </c>
      <c r="G2033" s="3" t="s">
        <v>1211</v>
      </c>
      <c r="H2033" s="3" t="s">
        <v>836</v>
      </c>
    </row>
    <row r="2034" spans="1:8">
      <c r="A2034" s="29">
        <v>42748.432939814818</v>
      </c>
      <c r="B2034" s="29" t="str">
        <f>PROPER(TEXT(tbLOG[[#This Row],[DATA/HORA]],"mmmm"))</f>
        <v>Janeiro</v>
      </c>
      <c r="C2034" s="34" t="str">
        <f>PROPER(TEXT(tbLOG[[#This Row],[DATA/HORA]],"dddd"))</f>
        <v>Sexta-Feira</v>
      </c>
      <c r="D2034" s="3" t="s">
        <v>604</v>
      </c>
      <c r="E2034" s="34" t="str">
        <f>IFERROR(VLOOKUP(tbLOG[[#This Row],[LOGIN]],tbMAPA[#All],2,0), "Não localizado")</f>
        <v>Renan Cazumba Tegani</v>
      </c>
      <c r="F2034" s="34" t="str">
        <f>IFERROR(VLOOKUP(tbLOG[[#This Row],[LOGIN]],tbMAPA[#All],3,0), "Não localizado")</f>
        <v>Reginaldo Santana De Souza</v>
      </c>
      <c r="G2034" s="3" t="s">
        <v>1211</v>
      </c>
      <c r="H2034" s="3" t="s">
        <v>836</v>
      </c>
    </row>
    <row r="2035" spans="1:8">
      <c r="A2035" s="29">
        <v>42748.432986111111</v>
      </c>
      <c r="B2035" s="29" t="str">
        <f>PROPER(TEXT(tbLOG[[#This Row],[DATA/HORA]],"mmmm"))</f>
        <v>Janeiro</v>
      </c>
      <c r="C2035" s="34" t="str">
        <f>PROPER(TEXT(tbLOG[[#This Row],[DATA/HORA]],"dddd"))</f>
        <v>Sexta-Feira</v>
      </c>
      <c r="D2035" s="3" t="s">
        <v>604</v>
      </c>
      <c r="E2035" s="34" t="str">
        <f>IFERROR(VLOOKUP(tbLOG[[#This Row],[LOGIN]],tbMAPA[#All],2,0), "Não localizado")</f>
        <v>Renan Cazumba Tegani</v>
      </c>
      <c r="F2035" s="34" t="str">
        <f>IFERROR(VLOOKUP(tbLOG[[#This Row],[LOGIN]],tbMAPA[#All],3,0), "Não localizado")</f>
        <v>Reginaldo Santana De Souza</v>
      </c>
      <c r="G2035" s="3" t="s">
        <v>1211</v>
      </c>
      <c r="H2035" s="3" t="s">
        <v>836</v>
      </c>
    </row>
    <row r="2036" spans="1:8">
      <c r="A2036" s="29">
        <v>42748.433009259257</v>
      </c>
      <c r="B2036" s="29" t="str">
        <f>PROPER(TEXT(tbLOG[[#This Row],[DATA/HORA]],"mmmm"))</f>
        <v>Janeiro</v>
      </c>
      <c r="C2036" s="34" t="str">
        <f>PROPER(TEXT(tbLOG[[#This Row],[DATA/HORA]],"dddd"))</f>
        <v>Sexta-Feira</v>
      </c>
      <c r="D2036" s="3" t="s">
        <v>604</v>
      </c>
      <c r="E2036" s="34" t="str">
        <f>IFERROR(VLOOKUP(tbLOG[[#This Row],[LOGIN]],tbMAPA[#All],2,0), "Não localizado")</f>
        <v>Renan Cazumba Tegani</v>
      </c>
      <c r="F2036" s="34" t="str">
        <f>IFERROR(VLOOKUP(tbLOG[[#This Row],[LOGIN]],tbMAPA[#All],3,0), "Não localizado")</f>
        <v>Reginaldo Santana De Souza</v>
      </c>
      <c r="G2036" s="3" t="s">
        <v>1211</v>
      </c>
      <c r="H2036" s="3" t="s">
        <v>290</v>
      </c>
    </row>
    <row r="2037" spans="1:8">
      <c r="A2037" s="29">
        <v>42748.438159722224</v>
      </c>
      <c r="B2037" s="29" t="str">
        <f>PROPER(TEXT(tbLOG[[#This Row],[DATA/HORA]],"mmmm"))</f>
        <v>Janeiro</v>
      </c>
      <c r="C2037" s="34" t="str">
        <f>PROPER(TEXT(tbLOG[[#This Row],[DATA/HORA]],"dddd"))</f>
        <v>Sexta-Feira</v>
      </c>
      <c r="D2037" s="3" t="s">
        <v>604</v>
      </c>
      <c r="E2037" s="34" t="str">
        <f>IFERROR(VLOOKUP(tbLOG[[#This Row],[LOGIN]],tbMAPA[#All],2,0), "Não localizado")</f>
        <v>Renan Cazumba Tegani</v>
      </c>
      <c r="F2037" s="34" t="str">
        <f>IFERROR(VLOOKUP(tbLOG[[#This Row],[LOGIN]],tbMAPA[#All],3,0), "Não localizado")</f>
        <v>Reginaldo Santana De Souza</v>
      </c>
      <c r="G2037" s="3" t="s">
        <v>1211</v>
      </c>
      <c r="H2037" s="3" t="s">
        <v>836</v>
      </c>
    </row>
    <row r="2038" spans="1:8">
      <c r="A2038" s="29">
        <v>42748.440555555557</v>
      </c>
      <c r="B2038" s="29" t="str">
        <f>PROPER(TEXT(tbLOG[[#This Row],[DATA/HORA]],"mmmm"))</f>
        <v>Janeiro</v>
      </c>
      <c r="C2038" s="34" t="str">
        <f>PROPER(TEXT(tbLOG[[#This Row],[DATA/HORA]],"dddd"))</f>
        <v>Sexta-Feira</v>
      </c>
      <c r="D2038" s="3" t="s">
        <v>604</v>
      </c>
      <c r="E2038" s="34" t="str">
        <f>IFERROR(VLOOKUP(tbLOG[[#This Row],[LOGIN]],tbMAPA[#All],2,0), "Não localizado")</f>
        <v>Renan Cazumba Tegani</v>
      </c>
      <c r="F2038" s="34" t="str">
        <f>IFERROR(VLOOKUP(tbLOG[[#This Row],[LOGIN]],tbMAPA[#All],3,0), "Não localizado")</f>
        <v>Reginaldo Santana De Souza</v>
      </c>
      <c r="G2038" s="3" t="s">
        <v>1211</v>
      </c>
      <c r="H2038" s="3" t="s">
        <v>836</v>
      </c>
    </row>
    <row r="2039" spans="1:8">
      <c r="A2039" s="29">
        <v>42748.440659722219</v>
      </c>
      <c r="B2039" s="29" t="str">
        <f>PROPER(TEXT(tbLOG[[#This Row],[DATA/HORA]],"mmmm"))</f>
        <v>Janeiro</v>
      </c>
      <c r="C2039" s="34" t="str">
        <f>PROPER(TEXT(tbLOG[[#This Row],[DATA/HORA]],"dddd"))</f>
        <v>Sexta-Feira</v>
      </c>
      <c r="D2039" s="3" t="s">
        <v>604</v>
      </c>
      <c r="E2039" s="34" t="str">
        <f>IFERROR(VLOOKUP(tbLOG[[#This Row],[LOGIN]],tbMAPA[#All],2,0), "Não localizado")</f>
        <v>Renan Cazumba Tegani</v>
      </c>
      <c r="F2039" s="34" t="str">
        <f>IFERROR(VLOOKUP(tbLOG[[#This Row],[LOGIN]],tbMAPA[#All],3,0), "Não localizado")</f>
        <v>Reginaldo Santana De Souza</v>
      </c>
      <c r="G2039" s="3" t="s">
        <v>1211</v>
      </c>
      <c r="H2039" s="3" t="s">
        <v>836</v>
      </c>
    </row>
    <row r="2040" spans="1:8">
      <c r="A2040" s="29">
        <v>42748.441631944443</v>
      </c>
      <c r="B2040" s="29" t="str">
        <f>PROPER(TEXT(tbLOG[[#This Row],[DATA/HORA]],"mmmm"))</f>
        <v>Janeiro</v>
      </c>
      <c r="C2040" s="34" t="str">
        <f>PROPER(TEXT(tbLOG[[#This Row],[DATA/HORA]],"dddd"))</f>
        <v>Sexta-Feira</v>
      </c>
      <c r="D2040" s="3" t="s">
        <v>604</v>
      </c>
      <c r="E2040" s="34" t="str">
        <f>IFERROR(VLOOKUP(tbLOG[[#This Row],[LOGIN]],tbMAPA[#All],2,0), "Não localizado")</f>
        <v>Renan Cazumba Tegani</v>
      </c>
      <c r="F2040" s="34" t="str">
        <f>IFERROR(VLOOKUP(tbLOG[[#This Row],[LOGIN]],tbMAPA[#All],3,0), "Não localizado")</f>
        <v>Reginaldo Santana De Souza</v>
      </c>
      <c r="G2040" s="3" t="s">
        <v>1211</v>
      </c>
      <c r="H2040" s="3" t="s">
        <v>836</v>
      </c>
    </row>
    <row r="2041" spans="1:8">
      <c r="A2041" s="29">
        <v>42748.441701388889</v>
      </c>
      <c r="B2041" s="29" t="str">
        <f>PROPER(TEXT(tbLOG[[#This Row],[DATA/HORA]],"mmmm"))</f>
        <v>Janeiro</v>
      </c>
      <c r="C2041" s="34" t="str">
        <f>PROPER(TEXT(tbLOG[[#This Row],[DATA/HORA]],"dddd"))</f>
        <v>Sexta-Feira</v>
      </c>
      <c r="D2041" s="3" t="s">
        <v>604</v>
      </c>
      <c r="E2041" s="34" t="str">
        <f>IFERROR(VLOOKUP(tbLOG[[#This Row],[LOGIN]],tbMAPA[#All],2,0), "Não localizado")</f>
        <v>Renan Cazumba Tegani</v>
      </c>
      <c r="F2041" s="34" t="str">
        <f>IFERROR(VLOOKUP(tbLOG[[#This Row],[LOGIN]],tbMAPA[#All],3,0), "Não localizado")</f>
        <v>Reginaldo Santana De Souza</v>
      </c>
      <c r="G2041" s="3" t="s">
        <v>1211</v>
      </c>
      <c r="H2041" s="3" t="s">
        <v>836</v>
      </c>
    </row>
    <row r="2042" spans="1:8">
      <c r="A2042" s="29">
        <v>42748.441759259258</v>
      </c>
      <c r="B2042" s="29" t="str">
        <f>PROPER(TEXT(tbLOG[[#This Row],[DATA/HORA]],"mmmm"))</f>
        <v>Janeiro</v>
      </c>
      <c r="C2042" s="34" t="str">
        <f>PROPER(TEXT(tbLOG[[#This Row],[DATA/HORA]],"dddd"))</f>
        <v>Sexta-Feira</v>
      </c>
      <c r="D2042" s="3" t="s">
        <v>604</v>
      </c>
      <c r="E2042" s="34" t="str">
        <f>IFERROR(VLOOKUP(tbLOG[[#This Row],[LOGIN]],tbMAPA[#All],2,0), "Não localizado")</f>
        <v>Renan Cazumba Tegani</v>
      </c>
      <c r="F2042" s="34" t="str">
        <f>IFERROR(VLOOKUP(tbLOG[[#This Row],[LOGIN]],tbMAPA[#All],3,0), "Não localizado")</f>
        <v>Reginaldo Santana De Souza</v>
      </c>
      <c r="G2042" s="3" t="s">
        <v>1211</v>
      </c>
      <c r="H2042" s="3" t="s">
        <v>836</v>
      </c>
    </row>
    <row r="2043" spans="1:8">
      <c r="A2043" s="29">
        <v>42748.441770833335</v>
      </c>
      <c r="B2043" s="29" t="str">
        <f>PROPER(TEXT(tbLOG[[#This Row],[DATA/HORA]],"mmmm"))</f>
        <v>Janeiro</v>
      </c>
      <c r="C2043" s="34" t="str">
        <f>PROPER(TEXT(tbLOG[[#This Row],[DATA/HORA]],"dddd"))</f>
        <v>Sexta-Feira</v>
      </c>
      <c r="D2043" s="3" t="s">
        <v>604</v>
      </c>
      <c r="E2043" s="34" t="str">
        <f>IFERROR(VLOOKUP(tbLOG[[#This Row],[LOGIN]],tbMAPA[#All],2,0), "Não localizado")</f>
        <v>Renan Cazumba Tegani</v>
      </c>
      <c r="F2043" s="34" t="str">
        <f>IFERROR(VLOOKUP(tbLOG[[#This Row],[LOGIN]],tbMAPA[#All],3,0), "Não localizado")</f>
        <v>Reginaldo Santana De Souza</v>
      </c>
      <c r="G2043" s="3" t="s">
        <v>1211</v>
      </c>
      <c r="H2043" s="3" t="s">
        <v>836</v>
      </c>
    </row>
    <row r="2044" spans="1:8">
      <c r="A2044" s="29">
        <v>42748.447395833333</v>
      </c>
      <c r="B2044" s="29" t="str">
        <f>PROPER(TEXT(tbLOG[[#This Row],[DATA/HORA]],"mmmm"))</f>
        <v>Janeiro</v>
      </c>
      <c r="C2044" s="34" t="str">
        <f>PROPER(TEXT(tbLOG[[#This Row],[DATA/HORA]],"dddd"))</f>
        <v>Sexta-Feira</v>
      </c>
      <c r="D2044" s="3" t="s">
        <v>604</v>
      </c>
      <c r="E2044" s="34" t="str">
        <f>IFERROR(VLOOKUP(tbLOG[[#This Row],[LOGIN]],tbMAPA[#All],2,0), "Não localizado")</f>
        <v>Renan Cazumba Tegani</v>
      </c>
      <c r="F2044" s="34" t="str">
        <f>IFERROR(VLOOKUP(tbLOG[[#This Row],[LOGIN]],tbMAPA[#All],3,0), "Não localizado")</f>
        <v>Reginaldo Santana De Souza</v>
      </c>
      <c r="G2044" s="3" t="s">
        <v>1211</v>
      </c>
      <c r="H2044" s="3" t="s">
        <v>836</v>
      </c>
    </row>
    <row r="2045" spans="1:8">
      <c r="A2045" s="29">
        <v>42748.449675925927</v>
      </c>
      <c r="B2045" s="29" t="str">
        <f>PROPER(TEXT(tbLOG[[#This Row],[DATA/HORA]],"mmmm"))</f>
        <v>Janeiro</v>
      </c>
      <c r="C2045" s="34" t="str">
        <f>PROPER(TEXT(tbLOG[[#This Row],[DATA/HORA]],"dddd"))</f>
        <v>Sexta-Feira</v>
      </c>
      <c r="D2045" s="3" t="s">
        <v>604</v>
      </c>
      <c r="E2045" s="34" t="str">
        <f>IFERROR(VLOOKUP(tbLOG[[#This Row],[LOGIN]],tbMAPA[#All],2,0), "Não localizado")</f>
        <v>Renan Cazumba Tegani</v>
      </c>
      <c r="F2045" s="34" t="str">
        <f>IFERROR(VLOOKUP(tbLOG[[#This Row],[LOGIN]],tbMAPA[#All],3,0), "Não localizado")</f>
        <v>Reginaldo Santana De Souza</v>
      </c>
      <c r="G2045" s="3" t="s">
        <v>1211</v>
      </c>
      <c r="H2045" s="3" t="s">
        <v>836</v>
      </c>
    </row>
    <row r="2046" spans="1:8">
      <c r="A2046" s="29">
        <v>42748.463275462964</v>
      </c>
      <c r="B2046" s="29" t="str">
        <f>PROPER(TEXT(tbLOG[[#This Row],[DATA/HORA]],"mmmm"))</f>
        <v>Janeiro</v>
      </c>
      <c r="C2046" s="34" t="str">
        <f>PROPER(TEXT(tbLOG[[#This Row],[DATA/HORA]],"dddd"))</f>
        <v>Sexta-Feira</v>
      </c>
      <c r="D2046" s="3" t="s">
        <v>604</v>
      </c>
      <c r="E2046" s="34" t="str">
        <f>IFERROR(VLOOKUP(tbLOG[[#This Row],[LOGIN]],tbMAPA[#All],2,0), "Não localizado")</f>
        <v>Renan Cazumba Tegani</v>
      </c>
      <c r="F2046" s="34" t="str">
        <f>IFERROR(VLOOKUP(tbLOG[[#This Row],[LOGIN]],tbMAPA[#All],3,0), "Não localizado")</f>
        <v>Reginaldo Santana De Souza</v>
      </c>
      <c r="G2046" s="3" t="s">
        <v>1211</v>
      </c>
      <c r="H2046" s="3" t="s">
        <v>836</v>
      </c>
    </row>
    <row r="2047" spans="1:8">
      <c r="A2047" s="29">
        <v>42748.467615740738</v>
      </c>
      <c r="B2047" s="29" t="str">
        <f>PROPER(TEXT(tbLOG[[#This Row],[DATA/HORA]],"mmmm"))</f>
        <v>Janeiro</v>
      </c>
      <c r="C2047" s="34" t="str">
        <f>PROPER(TEXT(tbLOG[[#This Row],[DATA/HORA]],"dddd"))</f>
        <v>Sexta-Feira</v>
      </c>
      <c r="D2047" s="3" t="s">
        <v>604</v>
      </c>
      <c r="E2047" s="34" t="str">
        <f>IFERROR(VLOOKUP(tbLOG[[#This Row],[LOGIN]],tbMAPA[#All],2,0), "Não localizado")</f>
        <v>Renan Cazumba Tegani</v>
      </c>
      <c r="F2047" s="34" t="str">
        <f>IFERROR(VLOOKUP(tbLOG[[#This Row],[LOGIN]],tbMAPA[#All],3,0), "Não localizado")</f>
        <v>Reginaldo Santana De Souza</v>
      </c>
      <c r="G2047" s="3" t="s">
        <v>1211</v>
      </c>
      <c r="H2047" s="3" t="s">
        <v>836</v>
      </c>
    </row>
    <row r="2048" spans="1:8">
      <c r="A2048" s="29">
        <v>42748.467685185184</v>
      </c>
      <c r="B2048" s="29" t="str">
        <f>PROPER(TEXT(tbLOG[[#This Row],[DATA/HORA]],"mmmm"))</f>
        <v>Janeiro</v>
      </c>
      <c r="C2048" s="34" t="str">
        <f>PROPER(TEXT(tbLOG[[#This Row],[DATA/HORA]],"dddd"))</f>
        <v>Sexta-Feira</v>
      </c>
      <c r="D2048" s="3" t="s">
        <v>604</v>
      </c>
      <c r="E2048" s="34" t="str">
        <f>IFERROR(VLOOKUP(tbLOG[[#This Row],[LOGIN]],tbMAPA[#All],2,0), "Não localizado")</f>
        <v>Renan Cazumba Tegani</v>
      </c>
      <c r="F2048" s="34" t="str">
        <f>IFERROR(VLOOKUP(tbLOG[[#This Row],[LOGIN]],tbMAPA[#All],3,0), "Não localizado")</f>
        <v>Reginaldo Santana De Souza</v>
      </c>
      <c r="G2048" s="3" t="s">
        <v>1211</v>
      </c>
      <c r="H2048" s="3" t="s">
        <v>836</v>
      </c>
    </row>
    <row r="2049" spans="1:8">
      <c r="A2049" s="29">
        <v>42748.46770833333</v>
      </c>
      <c r="B2049" s="29" t="str">
        <f>PROPER(TEXT(tbLOG[[#This Row],[DATA/HORA]],"mmmm"))</f>
        <v>Janeiro</v>
      </c>
      <c r="C2049" s="34" t="str">
        <f>PROPER(TEXT(tbLOG[[#This Row],[DATA/HORA]],"dddd"))</f>
        <v>Sexta-Feira</v>
      </c>
      <c r="D2049" s="3" t="s">
        <v>604</v>
      </c>
      <c r="E2049" s="34" t="str">
        <f>IFERROR(VLOOKUP(tbLOG[[#This Row],[LOGIN]],tbMAPA[#All],2,0), "Não localizado")</f>
        <v>Renan Cazumba Tegani</v>
      </c>
      <c r="F2049" s="34" t="str">
        <f>IFERROR(VLOOKUP(tbLOG[[#This Row],[LOGIN]],tbMAPA[#All],3,0), "Não localizado")</f>
        <v>Reginaldo Santana De Souza</v>
      </c>
      <c r="G2049" s="3" t="s">
        <v>1211</v>
      </c>
      <c r="H2049" s="3" t="s">
        <v>836</v>
      </c>
    </row>
    <row r="2050" spans="1:8">
      <c r="A2050" s="29">
        <v>42748.467719907407</v>
      </c>
      <c r="B2050" s="29" t="str">
        <f>PROPER(TEXT(tbLOG[[#This Row],[DATA/HORA]],"mmmm"))</f>
        <v>Janeiro</v>
      </c>
      <c r="C2050" s="34" t="str">
        <f>PROPER(TEXT(tbLOG[[#This Row],[DATA/HORA]],"dddd"))</f>
        <v>Sexta-Feira</v>
      </c>
      <c r="D2050" s="3" t="s">
        <v>604</v>
      </c>
      <c r="E2050" s="34" t="str">
        <f>IFERROR(VLOOKUP(tbLOG[[#This Row],[LOGIN]],tbMAPA[#All],2,0), "Não localizado")</f>
        <v>Renan Cazumba Tegani</v>
      </c>
      <c r="F2050" s="34" t="str">
        <f>IFERROR(VLOOKUP(tbLOG[[#This Row],[LOGIN]],tbMAPA[#All],3,0), "Não localizado")</f>
        <v>Reginaldo Santana De Souza</v>
      </c>
      <c r="G2050" s="3" t="s">
        <v>1211</v>
      </c>
      <c r="H2050" s="3" t="s">
        <v>836</v>
      </c>
    </row>
    <row r="2051" spans="1:8">
      <c r="A2051" s="29">
        <v>42748.467812499999</v>
      </c>
      <c r="B2051" s="29" t="str">
        <f>PROPER(TEXT(tbLOG[[#This Row],[DATA/HORA]],"mmmm"))</f>
        <v>Janeiro</v>
      </c>
      <c r="C2051" s="34" t="str">
        <f>PROPER(TEXT(tbLOG[[#This Row],[DATA/HORA]],"dddd"))</f>
        <v>Sexta-Feira</v>
      </c>
      <c r="D2051" s="3" t="s">
        <v>604</v>
      </c>
      <c r="E2051" s="34" t="str">
        <f>IFERROR(VLOOKUP(tbLOG[[#This Row],[LOGIN]],tbMAPA[#All],2,0), "Não localizado")</f>
        <v>Renan Cazumba Tegani</v>
      </c>
      <c r="F2051" s="34" t="str">
        <f>IFERROR(VLOOKUP(tbLOG[[#This Row],[LOGIN]],tbMAPA[#All],3,0), "Não localizado")</f>
        <v>Reginaldo Santana De Souza</v>
      </c>
      <c r="G2051" s="3" t="s">
        <v>1211</v>
      </c>
      <c r="H2051" s="3" t="s">
        <v>836</v>
      </c>
    </row>
    <row r="2052" spans="1:8">
      <c r="A2052" s="29">
        <v>42748.46947916667</v>
      </c>
      <c r="B2052" s="29" t="str">
        <f>PROPER(TEXT(tbLOG[[#This Row],[DATA/HORA]],"mmmm"))</f>
        <v>Janeiro</v>
      </c>
      <c r="C2052" s="34" t="str">
        <f>PROPER(TEXT(tbLOG[[#This Row],[DATA/HORA]],"dddd"))</f>
        <v>Sexta-Feira</v>
      </c>
      <c r="D2052" s="3" t="s">
        <v>604</v>
      </c>
      <c r="E2052" s="34" t="str">
        <f>IFERROR(VLOOKUP(tbLOG[[#This Row],[LOGIN]],tbMAPA[#All],2,0), "Não localizado")</f>
        <v>Renan Cazumba Tegani</v>
      </c>
      <c r="F2052" s="34" t="str">
        <f>IFERROR(VLOOKUP(tbLOG[[#This Row],[LOGIN]],tbMAPA[#All],3,0), "Não localizado")</f>
        <v>Reginaldo Santana De Souza</v>
      </c>
      <c r="G2052" s="3" t="s">
        <v>1211</v>
      </c>
      <c r="H2052" s="3" t="s">
        <v>836</v>
      </c>
    </row>
    <row r="2053" spans="1:8">
      <c r="A2053" s="29">
        <v>42748.476018518515</v>
      </c>
      <c r="B2053" s="29" t="str">
        <f>PROPER(TEXT(tbLOG[[#This Row],[DATA/HORA]],"mmmm"))</f>
        <v>Janeiro</v>
      </c>
      <c r="C2053" s="34" t="str">
        <f>PROPER(TEXT(tbLOG[[#This Row],[DATA/HORA]],"dddd"))</f>
        <v>Sexta-Feira</v>
      </c>
      <c r="D2053" s="3" t="s">
        <v>604</v>
      </c>
      <c r="E2053" s="34" t="str">
        <f>IFERROR(VLOOKUP(tbLOG[[#This Row],[LOGIN]],tbMAPA[#All],2,0), "Não localizado")</f>
        <v>Renan Cazumba Tegani</v>
      </c>
      <c r="F2053" s="34" t="str">
        <f>IFERROR(VLOOKUP(tbLOG[[#This Row],[LOGIN]],tbMAPA[#All],3,0), "Não localizado")</f>
        <v>Reginaldo Santana De Souza</v>
      </c>
      <c r="G2053" s="3" t="s">
        <v>1211</v>
      </c>
      <c r="H2053" s="3" t="s">
        <v>836</v>
      </c>
    </row>
    <row r="2054" spans="1:8">
      <c r="A2054" s="29">
        <v>42748.476030092592</v>
      </c>
      <c r="B2054" s="29" t="str">
        <f>PROPER(TEXT(tbLOG[[#This Row],[DATA/HORA]],"mmmm"))</f>
        <v>Janeiro</v>
      </c>
      <c r="C2054" s="34" t="str">
        <f>PROPER(TEXT(tbLOG[[#This Row],[DATA/HORA]],"dddd"))</f>
        <v>Sexta-Feira</v>
      </c>
      <c r="D2054" s="3" t="s">
        <v>604</v>
      </c>
      <c r="E2054" s="34" t="str">
        <f>IFERROR(VLOOKUP(tbLOG[[#This Row],[LOGIN]],tbMAPA[#All],2,0), "Não localizado")</f>
        <v>Renan Cazumba Tegani</v>
      </c>
      <c r="F2054" s="34" t="str">
        <f>IFERROR(VLOOKUP(tbLOG[[#This Row],[LOGIN]],tbMAPA[#All],3,0), "Não localizado")</f>
        <v>Reginaldo Santana De Souza</v>
      </c>
      <c r="G2054" s="3" t="s">
        <v>1211</v>
      </c>
      <c r="H2054" s="3" t="s">
        <v>836</v>
      </c>
    </row>
    <row r="2055" spans="1:8">
      <c r="A2055" s="29">
        <v>42748.476168981484</v>
      </c>
      <c r="B2055" s="29" t="str">
        <f>PROPER(TEXT(tbLOG[[#This Row],[DATA/HORA]],"mmmm"))</f>
        <v>Janeiro</v>
      </c>
      <c r="C2055" s="34" t="str">
        <f>PROPER(TEXT(tbLOG[[#This Row],[DATA/HORA]],"dddd"))</f>
        <v>Sexta-Feira</v>
      </c>
      <c r="D2055" s="3" t="s">
        <v>604</v>
      </c>
      <c r="E2055" s="34" t="str">
        <f>IFERROR(VLOOKUP(tbLOG[[#This Row],[LOGIN]],tbMAPA[#All],2,0), "Não localizado")</f>
        <v>Renan Cazumba Tegani</v>
      </c>
      <c r="F2055" s="34" t="str">
        <f>IFERROR(VLOOKUP(tbLOG[[#This Row],[LOGIN]],tbMAPA[#All],3,0), "Não localizado")</f>
        <v>Reginaldo Santana De Souza</v>
      </c>
      <c r="G2055" s="3" t="s">
        <v>1211</v>
      </c>
      <c r="H2055" s="3" t="s">
        <v>836</v>
      </c>
    </row>
    <row r="2056" spans="1:8">
      <c r="A2056" s="29">
        <v>42748.476331018515</v>
      </c>
      <c r="B2056" s="29" t="str">
        <f>PROPER(TEXT(tbLOG[[#This Row],[DATA/HORA]],"mmmm"))</f>
        <v>Janeiro</v>
      </c>
      <c r="C2056" s="34" t="str">
        <f>PROPER(TEXT(tbLOG[[#This Row],[DATA/HORA]],"dddd"))</f>
        <v>Sexta-Feira</v>
      </c>
      <c r="D2056" s="3" t="s">
        <v>604</v>
      </c>
      <c r="E2056" s="34" t="str">
        <f>IFERROR(VLOOKUP(tbLOG[[#This Row],[LOGIN]],tbMAPA[#All],2,0), "Não localizado")</f>
        <v>Renan Cazumba Tegani</v>
      </c>
      <c r="F2056" s="34" t="str">
        <f>IFERROR(VLOOKUP(tbLOG[[#This Row],[LOGIN]],tbMAPA[#All],3,0), "Não localizado")</f>
        <v>Reginaldo Santana De Souza</v>
      </c>
      <c r="G2056" s="3" t="s">
        <v>1211</v>
      </c>
      <c r="H2056" s="3" t="s">
        <v>836</v>
      </c>
    </row>
    <row r="2057" spans="1:8">
      <c r="A2057" s="29">
        <v>42748.477569444447</v>
      </c>
      <c r="B2057" s="29" t="str">
        <f>PROPER(TEXT(tbLOG[[#This Row],[DATA/HORA]],"mmmm"))</f>
        <v>Janeiro</v>
      </c>
      <c r="C2057" s="34" t="str">
        <f>PROPER(TEXT(tbLOG[[#This Row],[DATA/HORA]],"dddd"))</f>
        <v>Sexta-Feira</v>
      </c>
      <c r="D2057" s="3" t="s">
        <v>604</v>
      </c>
      <c r="E2057" s="34" t="str">
        <f>IFERROR(VLOOKUP(tbLOG[[#This Row],[LOGIN]],tbMAPA[#All],2,0), "Não localizado")</f>
        <v>Renan Cazumba Tegani</v>
      </c>
      <c r="F2057" s="34" t="str">
        <f>IFERROR(VLOOKUP(tbLOG[[#This Row],[LOGIN]],tbMAPA[#All],3,0), "Não localizado")</f>
        <v>Reginaldo Santana De Souza</v>
      </c>
      <c r="G2057" s="3" t="s">
        <v>1211</v>
      </c>
      <c r="H2057" s="3" t="s">
        <v>836</v>
      </c>
    </row>
    <row r="2058" spans="1:8">
      <c r="A2058" s="29">
        <v>42748.480046296296</v>
      </c>
      <c r="B2058" s="29" t="str">
        <f>PROPER(TEXT(tbLOG[[#This Row],[DATA/HORA]],"mmmm"))</f>
        <v>Janeiro</v>
      </c>
      <c r="C2058" s="34" t="str">
        <f>PROPER(TEXT(tbLOG[[#This Row],[DATA/HORA]],"dddd"))</f>
        <v>Sexta-Feira</v>
      </c>
      <c r="D2058" s="3" t="s">
        <v>604</v>
      </c>
      <c r="E2058" s="34" t="str">
        <f>IFERROR(VLOOKUP(tbLOG[[#This Row],[LOGIN]],tbMAPA[#All],2,0), "Não localizado")</f>
        <v>Renan Cazumba Tegani</v>
      </c>
      <c r="F2058" s="34" t="str">
        <f>IFERROR(VLOOKUP(tbLOG[[#This Row],[LOGIN]],tbMAPA[#All],3,0), "Não localizado")</f>
        <v>Reginaldo Santana De Souza</v>
      </c>
      <c r="G2058" s="3" t="s">
        <v>1211</v>
      </c>
      <c r="H2058" s="3" t="s">
        <v>836</v>
      </c>
    </row>
    <row r="2059" spans="1:8">
      <c r="A2059" s="29">
        <v>42748.48128472222</v>
      </c>
      <c r="B2059" s="29" t="str">
        <f>PROPER(TEXT(tbLOG[[#This Row],[DATA/HORA]],"mmmm"))</f>
        <v>Janeiro</v>
      </c>
      <c r="C2059" s="34" t="str">
        <f>PROPER(TEXT(tbLOG[[#This Row],[DATA/HORA]],"dddd"))</f>
        <v>Sexta-Feira</v>
      </c>
      <c r="D2059" s="3" t="s">
        <v>604</v>
      </c>
      <c r="E2059" s="34" t="str">
        <f>IFERROR(VLOOKUP(tbLOG[[#This Row],[LOGIN]],tbMAPA[#All],2,0), "Não localizado")</f>
        <v>Renan Cazumba Tegani</v>
      </c>
      <c r="F2059" s="34" t="str">
        <f>IFERROR(VLOOKUP(tbLOG[[#This Row],[LOGIN]],tbMAPA[#All],3,0), "Não localizado")</f>
        <v>Reginaldo Santana De Souza</v>
      </c>
      <c r="G2059" s="3" t="s">
        <v>1211</v>
      </c>
      <c r="H2059" s="3" t="s">
        <v>836</v>
      </c>
    </row>
    <row r="2060" spans="1:8">
      <c r="A2060" s="29">
        <v>42748.486504629633</v>
      </c>
      <c r="B2060" s="29" t="str">
        <f>PROPER(TEXT(tbLOG[[#This Row],[DATA/HORA]],"mmmm"))</f>
        <v>Janeiro</v>
      </c>
      <c r="C2060" s="34" t="str">
        <f>PROPER(TEXT(tbLOG[[#This Row],[DATA/HORA]],"dddd"))</f>
        <v>Sexta-Feira</v>
      </c>
      <c r="D2060" s="3" t="s">
        <v>604</v>
      </c>
      <c r="E2060" s="34" t="str">
        <f>IFERROR(VLOOKUP(tbLOG[[#This Row],[LOGIN]],tbMAPA[#All],2,0), "Não localizado")</f>
        <v>Renan Cazumba Tegani</v>
      </c>
      <c r="F2060" s="34" t="str">
        <f>IFERROR(VLOOKUP(tbLOG[[#This Row],[LOGIN]],tbMAPA[#All],3,0), "Não localizado")</f>
        <v>Reginaldo Santana De Souza</v>
      </c>
      <c r="G2060" s="3" t="s">
        <v>1211</v>
      </c>
      <c r="H2060" s="3" t="s">
        <v>836</v>
      </c>
    </row>
    <row r="2061" spans="1:8">
      <c r="A2061" s="29">
        <v>42748.486516203702</v>
      </c>
      <c r="B2061" s="29" t="str">
        <f>PROPER(TEXT(tbLOG[[#This Row],[DATA/HORA]],"mmmm"))</f>
        <v>Janeiro</v>
      </c>
      <c r="C2061" s="34" t="str">
        <f>PROPER(TEXT(tbLOG[[#This Row],[DATA/HORA]],"dddd"))</f>
        <v>Sexta-Feira</v>
      </c>
      <c r="D2061" s="3" t="s">
        <v>604</v>
      </c>
      <c r="E2061" s="34" t="str">
        <f>IFERROR(VLOOKUP(tbLOG[[#This Row],[LOGIN]],tbMAPA[#All],2,0), "Não localizado")</f>
        <v>Renan Cazumba Tegani</v>
      </c>
      <c r="F2061" s="34" t="str">
        <f>IFERROR(VLOOKUP(tbLOG[[#This Row],[LOGIN]],tbMAPA[#All],3,0), "Não localizado")</f>
        <v>Reginaldo Santana De Souza</v>
      </c>
      <c r="G2061" s="3" t="s">
        <v>1211</v>
      </c>
      <c r="H2061" s="3" t="s">
        <v>836</v>
      </c>
    </row>
    <row r="2062" spans="1:8">
      <c r="A2062" s="29">
        <v>42748.486666666664</v>
      </c>
      <c r="B2062" s="29" t="str">
        <f>PROPER(TEXT(tbLOG[[#This Row],[DATA/HORA]],"mmmm"))</f>
        <v>Janeiro</v>
      </c>
      <c r="C2062" s="34" t="str">
        <f>PROPER(TEXT(tbLOG[[#This Row],[DATA/HORA]],"dddd"))</f>
        <v>Sexta-Feira</v>
      </c>
      <c r="D2062" s="3" t="s">
        <v>604</v>
      </c>
      <c r="E2062" s="34" t="str">
        <f>IFERROR(VLOOKUP(tbLOG[[#This Row],[LOGIN]],tbMAPA[#All],2,0), "Não localizado")</f>
        <v>Renan Cazumba Tegani</v>
      </c>
      <c r="F2062" s="34" t="str">
        <f>IFERROR(VLOOKUP(tbLOG[[#This Row],[LOGIN]],tbMAPA[#All],3,0), "Não localizado")</f>
        <v>Reginaldo Santana De Souza</v>
      </c>
      <c r="G2062" s="3" t="s">
        <v>1211</v>
      </c>
      <c r="H2062" s="3" t="s">
        <v>836</v>
      </c>
    </row>
    <row r="2063" spans="1:8">
      <c r="A2063" s="29">
        <v>42748.491851851853</v>
      </c>
      <c r="B2063" s="29" t="str">
        <f>PROPER(TEXT(tbLOG[[#This Row],[DATA/HORA]],"mmmm"))</f>
        <v>Janeiro</v>
      </c>
      <c r="C2063" s="34" t="str">
        <f>PROPER(TEXT(tbLOG[[#This Row],[DATA/HORA]],"dddd"))</f>
        <v>Sexta-Feira</v>
      </c>
      <c r="D2063" s="3" t="s">
        <v>604</v>
      </c>
      <c r="E2063" s="34" t="str">
        <f>IFERROR(VLOOKUP(tbLOG[[#This Row],[LOGIN]],tbMAPA[#All],2,0), "Não localizado")</f>
        <v>Renan Cazumba Tegani</v>
      </c>
      <c r="F2063" s="34" t="str">
        <f>IFERROR(VLOOKUP(tbLOG[[#This Row],[LOGIN]],tbMAPA[#All],3,0), "Não localizado")</f>
        <v>Reginaldo Santana De Souza</v>
      </c>
      <c r="G2063" s="3" t="s">
        <v>1211</v>
      </c>
      <c r="H2063" s="3" t="s">
        <v>836</v>
      </c>
    </row>
    <row r="2064" spans="1:8">
      <c r="A2064" s="29">
        <v>42748.4919212963</v>
      </c>
      <c r="B2064" s="29" t="str">
        <f>PROPER(TEXT(tbLOG[[#This Row],[DATA/HORA]],"mmmm"))</f>
        <v>Janeiro</v>
      </c>
      <c r="C2064" s="34" t="str">
        <f>PROPER(TEXT(tbLOG[[#This Row],[DATA/HORA]],"dddd"))</f>
        <v>Sexta-Feira</v>
      </c>
      <c r="D2064" s="3" t="s">
        <v>604</v>
      </c>
      <c r="E2064" s="34" t="str">
        <f>IFERROR(VLOOKUP(tbLOG[[#This Row],[LOGIN]],tbMAPA[#All],2,0), "Não localizado")</f>
        <v>Renan Cazumba Tegani</v>
      </c>
      <c r="F2064" s="34" t="str">
        <f>IFERROR(VLOOKUP(tbLOG[[#This Row],[LOGIN]],tbMAPA[#All],3,0), "Não localizado")</f>
        <v>Reginaldo Santana De Souza</v>
      </c>
      <c r="G2064" s="3" t="s">
        <v>1211</v>
      </c>
      <c r="H2064" s="3" t="s">
        <v>836</v>
      </c>
    </row>
    <row r="2065" spans="1:8">
      <c r="A2065" s="29">
        <v>42748.491990740738</v>
      </c>
      <c r="B2065" s="29" t="str">
        <f>PROPER(TEXT(tbLOG[[#This Row],[DATA/HORA]],"mmmm"))</f>
        <v>Janeiro</v>
      </c>
      <c r="C2065" s="34" t="str">
        <f>PROPER(TEXT(tbLOG[[#This Row],[DATA/HORA]],"dddd"))</f>
        <v>Sexta-Feira</v>
      </c>
      <c r="D2065" s="3" t="s">
        <v>604</v>
      </c>
      <c r="E2065" s="34" t="str">
        <f>IFERROR(VLOOKUP(tbLOG[[#This Row],[LOGIN]],tbMAPA[#All],2,0), "Não localizado")</f>
        <v>Renan Cazumba Tegani</v>
      </c>
      <c r="F2065" s="34" t="str">
        <f>IFERROR(VLOOKUP(tbLOG[[#This Row],[LOGIN]],tbMAPA[#All],3,0), "Não localizado")</f>
        <v>Reginaldo Santana De Souza</v>
      </c>
      <c r="G2065" s="3" t="s">
        <v>1211</v>
      </c>
      <c r="H2065" s="3" t="s">
        <v>836</v>
      </c>
    </row>
    <row r="2066" spans="1:8">
      <c r="A2066" s="29">
        <v>42748.492013888892</v>
      </c>
      <c r="B2066" s="29" t="str">
        <f>PROPER(TEXT(tbLOG[[#This Row],[DATA/HORA]],"mmmm"))</f>
        <v>Janeiro</v>
      </c>
      <c r="C2066" s="34" t="str">
        <f>PROPER(TEXT(tbLOG[[#This Row],[DATA/HORA]],"dddd"))</f>
        <v>Sexta-Feira</v>
      </c>
      <c r="D2066" s="3" t="s">
        <v>604</v>
      </c>
      <c r="E2066" s="34" t="str">
        <f>IFERROR(VLOOKUP(tbLOG[[#This Row],[LOGIN]],tbMAPA[#All],2,0), "Não localizado")</f>
        <v>Renan Cazumba Tegani</v>
      </c>
      <c r="F2066" s="34" t="str">
        <f>IFERROR(VLOOKUP(tbLOG[[#This Row],[LOGIN]],tbMAPA[#All],3,0), "Não localizado")</f>
        <v>Reginaldo Santana De Souza</v>
      </c>
      <c r="G2066" s="3" t="s">
        <v>1211</v>
      </c>
      <c r="H2066" s="3" t="s">
        <v>836</v>
      </c>
    </row>
    <row r="2067" spans="1:8">
      <c r="A2067" s="29">
        <v>42748.4921875</v>
      </c>
      <c r="B2067" s="29" t="str">
        <f>PROPER(TEXT(tbLOG[[#This Row],[DATA/HORA]],"mmmm"))</f>
        <v>Janeiro</v>
      </c>
      <c r="C2067" s="34" t="str">
        <f>PROPER(TEXT(tbLOG[[#This Row],[DATA/HORA]],"dddd"))</f>
        <v>Sexta-Feira</v>
      </c>
      <c r="D2067" s="3" t="s">
        <v>604</v>
      </c>
      <c r="E2067" s="34" t="str">
        <f>IFERROR(VLOOKUP(tbLOG[[#This Row],[LOGIN]],tbMAPA[#All],2,0), "Não localizado")</f>
        <v>Renan Cazumba Tegani</v>
      </c>
      <c r="F2067" s="34" t="str">
        <f>IFERROR(VLOOKUP(tbLOG[[#This Row],[LOGIN]],tbMAPA[#All],3,0), "Não localizado")</f>
        <v>Reginaldo Santana De Souza</v>
      </c>
      <c r="G2067" s="3" t="s">
        <v>1211</v>
      </c>
      <c r="H2067" s="3" t="s">
        <v>836</v>
      </c>
    </row>
    <row r="2068" spans="1:8">
      <c r="A2068" s="29">
        <v>42748.492395833331</v>
      </c>
      <c r="B2068" s="29" t="str">
        <f>PROPER(TEXT(tbLOG[[#This Row],[DATA/HORA]],"mmmm"))</f>
        <v>Janeiro</v>
      </c>
      <c r="C2068" s="34" t="str">
        <f>PROPER(TEXT(tbLOG[[#This Row],[DATA/HORA]],"dddd"))</f>
        <v>Sexta-Feira</v>
      </c>
      <c r="D2068" s="3" t="s">
        <v>604</v>
      </c>
      <c r="E2068" s="34" t="str">
        <f>IFERROR(VLOOKUP(tbLOG[[#This Row],[LOGIN]],tbMAPA[#All],2,0), "Não localizado")</f>
        <v>Renan Cazumba Tegani</v>
      </c>
      <c r="F2068" s="34" t="str">
        <f>IFERROR(VLOOKUP(tbLOG[[#This Row],[LOGIN]],tbMAPA[#All],3,0), "Não localizado")</f>
        <v>Reginaldo Santana De Souza</v>
      </c>
      <c r="G2068" s="3" t="s">
        <v>1211</v>
      </c>
      <c r="H2068" s="3" t="s">
        <v>836</v>
      </c>
    </row>
    <row r="2069" spans="1:8">
      <c r="A2069" s="29">
        <v>42748.492476851854</v>
      </c>
      <c r="B2069" s="29" t="str">
        <f>PROPER(TEXT(tbLOG[[#This Row],[DATA/HORA]],"mmmm"))</f>
        <v>Janeiro</v>
      </c>
      <c r="C2069" s="34" t="str">
        <f>PROPER(TEXT(tbLOG[[#This Row],[DATA/HORA]],"dddd"))</f>
        <v>Sexta-Feira</v>
      </c>
      <c r="D2069" s="3" t="s">
        <v>604</v>
      </c>
      <c r="E2069" s="34" t="str">
        <f>IFERROR(VLOOKUP(tbLOG[[#This Row],[LOGIN]],tbMAPA[#All],2,0), "Não localizado")</f>
        <v>Renan Cazumba Tegani</v>
      </c>
      <c r="F2069" s="34" t="str">
        <f>IFERROR(VLOOKUP(tbLOG[[#This Row],[LOGIN]],tbMAPA[#All],3,0), "Não localizado")</f>
        <v>Reginaldo Santana De Souza</v>
      </c>
      <c r="G2069" s="3" t="s">
        <v>1211</v>
      </c>
      <c r="H2069" s="3" t="s">
        <v>836</v>
      </c>
    </row>
    <row r="2070" spans="1:8">
      <c r="A2070" s="29">
        <v>42748.4925</v>
      </c>
      <c r="B2070" s="29" t="str">
        <f>PROPER(TEXT(tbLOG[[#This Row],[DATA/HORA]],"mmmm"))</f>
        <v>Janeiro</v>
      </c>
      <c r="C2070" s="34" t="str">
        <f>PROPER(TEXT(tbLOG[[#This Row],[DATA/HORA]],"dddd"))</f>
        <v>Sexta-Feira</v>
      </c>
      <c r="D2070" s="3" t="s">
        <v>604</v>
      </c>
      <c r="E2070" s="34" t="str">
        <f>IFERROR(VLOOKUP(tbLOG[[#This Row],[LOGIN]],tbMAPA[#All],2,0), "Não localizado")</f>
        <v>Renan Cazumba Tegani</v>
      </c>
      <c r="F2070" s="34" t="str">
        <f>IFERROR(VLOOKUP(tbLOG[[#This Row],[LOGIN]],tbMAPA[#All],3,0), "Não localizado")</f>
        <v>Reginaldo Santana De Souza</v>
      </c>
      <c r="G2070" s="3" t="s">
        <v>1211</v>
      </c>
      <c r="H2070" s="3" t="s">
        <v>836</v>
      </c>
    </row>
    <row r="2071" spans="1:8">
      <c r="A2071" s="29">
        <v>42748.492604166669</v>
      </c>
      <c r="B2071" s="29" t="str">
        <f>PROPER(TEXT(tbLOG[[#This Row],[DATA/HORA]],"mmmm"))</f>
        <v>Janeiro</v>
      </c>
      <c r="C2071" s="34" t="str">
        <f>PROPER(TEXT(tbLOG[[#This Row],[DATA/HORA]],"dddd"))</f>
        <v>Sexta-Feira</v>
      </c>
      <c r="D2071" s="3" t="s">
        <v>604</v>
      </c>
      <c r="E2071" s="34" t="str">
        <f>IFERROR(VLOOKUP(tbLOG[[#This Row],[LOGIN]],tbMAPA[#All],2,0), "Não localizado")</f>
        <v>Renan Cazumba Tegani</v>
      </c>
      <c r="F2071" s="34" t="str">
        <f>IFERROR(VLOOKUP(tbLOG[[#This Row],[LOGIN]],tbMAPA[#All],3,0), "Não localizado")</f>
        <v>Reginaldo Santana De Souza</v>
      </c>
      <c r="G2071" s="3" t="s">
        <v>1211</v>
      </c>
      <c r="H2071" s="3" t="s">
        <v>836</v>
      </c>
    </row>
    <row r="2072" spans="1:8">
      <c r="A2072" s="29">
        <v>42748.492800925924</v>
      </c>
      <c r="B2072" s="29" t="str">
        <f>PROPER(TEXT(tbLOG[[#This Row],[DATA/HORA]],"mmmm"))</f>
        <v>Janeiro</v>
      </c>
      <c r="C2072" s="34" t="str">
        <f>PROPER(TEXT(tbLOG[[#This Row],[DATA/HORA]],"dddd"))</f>
        <v>Sexta-Feira</v>
      </c>
      <c r="D2072" s="3" t="s">
        <v>604</v>
      </c>
      <c r="E2072" s="34" t="str">
        <f>IFERROR(VLOOKUP(tbLOG[[#This Row],[LOGIN]],tbMAPA[#All],2,0), "Não localizado")</f>
        <v>Renan Cazumba Tegani</v>
      </c>
      <c r="F2072" s="34" t="str">
        <f>IFERROR(VLOOKUP(tbLOG[[#This Row],[LOGIN]],tbMAPA[#All],3,0), "Não localizado")</f>
        <v>Reginaldo Santana De Souza</v>
      </c>
      <c r="G2072" s="3" t="s">
        <v>1211</v>
      </c>
      <c r="H2072" s="3" t="s">
        <v>836</v>
      </c>
    </row>
    <row r="2073" spans="1:8">
      <c r="A2073" s="29">
        <v>42748.495706018519</v>
      </c>
      <c r="B2073" s="29" t="str">
        <f>PROPER(TEXT(tbLOG[[#This Row],[DATA/HORA]],"mmmm"))</f>
        <v>Janeiro</v>
      </c>
      <c r="C2073" s="34" t="str">
        <f>PROPER(TEXT(tbLOG[[#This Row],[DATA/HORA]],"dddd"))</f>
        <v>Sexta-Feira</v>
      </c>
      <c r="D2073" s="3" t="s">
        <v>604</v>
      </c>
      <c r="E2073" s="34" t="str">
        <f>IFERROR(VLOOKUP(tbLOG[[#This Row],[LOGIN]],tbMAPA[#All],2,0), "Não localizado")</f>
        <v>Renan Cazumba Tegani</v>
      </c>
      <c r="F2073" s="34" t="str">
        <f>IFERROR(VLOOKUP(tbLOG[[#This Row],[LOGIN]],tbMAPA[#All],3,0), "Não localizado")</f>
        <v>Reginaldo Santana De Souza</v>
      </c>
      <c r="G2073" s="3" t="s">
        <v>1211</v>
      </c>
      <c r="H2073" s="3" t="s">
        <v>836</v>
      </c>
    </row>
    <row r="2074" spans="1:8">
      <c r="A2074" s="29">
        <v>42748.496296296296</v>
      </c>
      <c r="B2074" s="29" t="str">
        <f>PROPER(TEXT(tbLOG[[#This Row],[DATA/HORA]],"mmmm"))</f>
        <v>Janeiro</v>
      </c>
      <c r="C2074" s="34" t="str">
        <f>PROPER(TEXT(tbLOG[[#This Row],[DATA/HORA]],"dddd"))</f>
        <v>Sexta-Feira</v>
      </c>
      <c r="D2074" s="3" t="s">
        <v>604</v>
      </c>
      <c r="E2074" s="34" t="str">
        <f>IFERROR(VLOOKUP(tbLOG[[#This Row],[LOGIN]],tbMAPA[#All],2,0), "Não localizado")</f>
        <v>Renan Cazumba Tegani</v>
      </c>
      <c r="F2074" s="34" t="str">
        <f>IFERROR(VLOOKUP(tbLOG[[#This Row],[LOGIN]],tbMAPA[#All],3,0), "Não localizado")</f>
        <v>Reginaldo Santana De Souza</v>
      </c>
      <c r="G2074" s="3" t="s">
        <v>1211</v>
      </c>
      <c r="H2074" s="3" t="s">
        <v>836</v>
      </c>
    </row>
    <row r="2075" spans="1:8">
      <c r="A2075" s="29">
        <v>42748.504756944443</v>
      </c>
      <c r="B2075" s="29" t="str">
        <f>PROPER(TEXT(tbLOG[[#This Row],[DATA/HORA]],"mmmm"))</f>
        <v>Janeiro</v>
      </c>
      <c r="C2075" s="34" t="str">
        <f>PROPER(TEXT(tbLOG[[#This Row],[DATA/HORA]],"dddd"))</f>
        <v>Sexta-Feira</v>
      </c>
      <c r="D2075" s="3" t="s">
        <v>604</v>
      </c>
      <c r="E2075" s="34" t="str">
        <f>IFERROR(VLOOKUP(tbLOG[[#This Row],[LOGIN]],tbMAPA[#All],2,0), "Não localizado")</f>
        <v>Renan Cazumba Tegani</v>
      </c>
      <c r="F2075" s="34" t="str">
        <f>IFERROR(VLOOKUP(tbLOG[[#This Row],[LOGIN]],tbMAPA[#All],3,0), "Não localizado")</f>
        <v>Reginaldo Santana De Souza</v>
      </c>
      <c r="G2075" s="3" t="s">
        <v>1211</v>
      </c>
      <c r="H2075" s="3" t="s">
        <v>836</v>
      </c>
    </row>
    <row r="2076" spans="1:8">
      <c r="A2076" s="29">
        <v>42748.505185185182</v>
      </c>
      <c r="B2076" s="29" t="str">
        <f>PROPER(TEXT(tbLOG[[#This Row],[DATA/HORA]],"mmmm"))</f>
        <v>Janeiro</v>
      </c>
      <c r="C2076" s="34" t="str">
        <f>PROPER(TEXT(tbLOG[[#This Row],[DATA/HORA]],"dddd"))</f>
        <v>Sexta-Feira</v>
      </c>
      <c r="D2076" s="3" t="s">
        <v>604</v>
      </c>
      <c r="E2076" s="34" t="str">
        <f>IFERROR(VLOOKUP(tbLOG[[#This Row],[LOGIN]],tbMAPA[#All],2,0), "Não localizado")</f>
        <v>Renan Cazumba Tegani</v>
      </c>
      <c r="F2076" s="34" t="str">
        <f>IFERROR(VLOOKUP(tbLOG[[#This Row],[LOGIN]],tbMAPA[#All],3,0), "Não localizado")</f>
        <v>Reginaldo Santana De Souza</v>
      </c>
      <c r="G2076" s="3" t="s">
        <v>1211</v>
      </c>
      <c r="H2076" s="3" t="s">
        <v>836</v>
      </c>
    </row>
    <row r="2077" spans="1:8">
      <c r="A2077" s="29">
        <v>42748.505324074074</v>
      </c>
      <c r="B2077" s="29" t="str">
        <f>PROPER(TEXT(tbLOG[[#This Row],[DATA/HORA]],"mmmm"))</f>
        <v>Janeiro</v>
      </c>
      <c r="C2077" s="34" t="str">
        <f>PROPER(TEXT(tbLOG[[#This Row],[DATA/HORA]],"dddd"))</f>
        <v>Sexta-Feira</v>
      </c>
      <c r="D2077" s="3" t="s">
        <v>604</v>
      </c>
      <c r="E2077" s="34" t="str">
        <f>IFERROR(VLOOKUP(tbLOG[[#This Row],[LOGIN]],tbMAPA[#All],2,0), "Não localizado")</f>
        <v>Renan Cazumba Tegani</v>
      </c>
      <c r="F2077" s="34" t="str">
        <f>IFERROR(VLOOKUP(tbLOG[[#This Row],[LOGIN]],tbMAPA[#All],3,0), "Não localizado")</f>
        <v>Reginaldo Santana De Souza</v>
      </c>
      <c r="G2077" s="3" t="s">
        <v>1211</v>
      </c>
      <c r="H2077" s="3" t="s">
        <v>836</v>
      </c>
    </row>
    <row r="2078" spans="1:8">
      <c r="A2078" s="29">
        <v>42748.505914351852</v>
      </c>
      <c r="B2078" s="29" t="str">
        <f>PROPER(TEXT(tbLOG[[#This Row],[DATA/HORA]],"mmmm"))</f>
        <v>Janeiro</v>
      </c>
      <c r="C2078" s="34" t="str">
        <f>PROPER(TEXT(tbLOG[[#This Row],[DATA/HORA]],"dddd"))</f>
        <v>Sexta-Feira</v>
      </c>
      <c r="D2078" s="3" t="s">
        <v>604</v>
      </c>
      <c r="E2078" s="34" t="str">
        <f>IFERROR(VLOOKUP(tbLOG[[#This Row],[LOGIN]],tbMAPA[#All],2,0), "Não localizado")</f>
        <v>Renan Cazumba Tegani</v>
      </c>
      <c r="F2078" s="34" t="str">
        <f>IFERROR(VLOOKUP(tbLOG[[#This Row],[LOGIN]],tbMAPA[#All],3,0), "Não localizado")</f>
        <v>Reginaldo Santana De Souza</v>
      </c>
      <c r="G2078" s="3" t="s">
        <v>1211</v>
      </c>
      <c r="H2078" s="3" t="s">
        <v>836</v>
      </c>
    </row>
    <row r="2079" spans="1:8">
      <c r="A2079" s="29">
        <v>42748.508530092593</v>
      </c>
      <c r="B2079" s="29" t="str">
        <f>PROPER(TEXT(tbLOG[[#This Row],[DATA/HORA]],"mmmm"))</f>
        <v>Janeiro</v>
      </c>
      <c r="C2079" s="34" t="str">
        <f>PROPER(TEXT(tbLOG[[#This Row],[DATA/HORA]],"dddd"))</f>
        <v>Sexta-Feira</v>
      </c>
      <c r="D2079" s="3" t="s">
        <v>604</v>
      </c>
      <c r="E2079" s="34" t="str">
        <f>IFERROR(VLOOKUP(tbLOG[[#This Row],[LOGIN]],tbMAPA[#All],2,0), "Não localizado")</f>
        <v>Renan Cazumba Tegani</v>
      </c>
      <c r="F2079" s="34" t="str">
        <f>IFERROR(VLOOKUP(tbLOG[[#This Row],[LOGIN]],tbMAPA[#All],3,0), "Não localizado")</f>
        <v>Reginaldo Santana De Souza</v>
      </c>
      <c r="G2079" s="3" t="s">
        <v>1211</v>
      </c>
      <c r="H2079" s="3" t="s">
        <v>836</v>
      </c>
    </row>
    <row r="2080" spans="1:8">
      <c r="A2080" s="29">
        <v>42748.509201388886</v>
      </c>
      <c r="B2080" s="29" t="str">
        <f>PROPER(TEXT(tbLOG[[#This Row],[DATA/HORA]],"mmmm"))</f>
        <v>Janeiro</v>
      </c>
      <c r="C2080" s="34" t="str">
        <f>PROPER(TEXT(tbLOG[[#This Row],[DATA/HORA]],"dddd"))</f>
        <v>Sexta-Feira</v>
      </c>
      <c r="D2080" s="3" t="s">
        <v>604</v>
      </c>
      <c r="E2080" s="34" t="str">
        <f>IFERROR(VLOOKUP(tbLOG[[#This Row],[LOGIN]],tbMAPA[#All],2,0), "Não localizado")</f>
        <v>Renan Cazumba Tegani</v>
      </c>
      <c r="F2080" s="34" t="str">
        <f>IFERROR(VLOOKUP(tbLOG[[#This Row],[LOGIN]],tbMAPA[#All],3,0), "Não localizado")</f>
        <v>Reginaldo Santana De Souza</v>
      </c>
      <c r="G2080" s="3" t="s">
        <v>1211</v>
      </c>
      <c r="H2080" s="3" t="s">
        <v>836</v>
      </c>
    </row>
    <row r="2081" spans="1:8">
      <c r="A2081" s="29">
        <v>42748.520138888889</v>
      </c>
      <c r="B2081" s="29" t="str">
        <f>PROPER(TEXT(tbLOG[[#This Row],[DATA/HORA]],"mmmm"))</f>
        <v>Janeiro</v>
      </c>
      <c r="C2081" s="34" t="str">
        <f>PROPER(TEXT(tbLOG[[#This Row],[DATA/HORA]],"dddd"))</f>
        <v>Sexta-Feira</v>
      </c>
      <c r="D2081" s="3" t="s">
        <v>604</v>
      </c>
      <c r="E2081" s="34" t="str">
        <f>IFERROR(VLOOKUP(tbLOG[[#This Row],[LOGIN]],tbMAPA[#All],2,0), "Não localizado")</f>
        <v>Renan Cazumba Tegani</v>
      </c>
      <c r="F2081" s="34" t="str">
        <f>IFERROR(VLOOKUP(tbLOG[[#This Row],[LOGIN]],tbMAPA[#All],3,0), "Não localizado")</f>
        <v>Reginaldo Santana De Souza</v>
      </c>
      <c r="G2081" s="3" t="s">
        <v>1211</v>
      </c>
      <c r="H2081" s="3" t="s">
        <v>290</v>
      </c>
    </row>
    <row r="2082" spans="1:8">
      <c r="A2082" s="29">
        <v>42748.520173611112</v>
      </c>
      <c r="B2082" s="29" t="str">
        <f>PROPER(TEXT(tbLOG[[#This Row],[DATA/HORA]],"mmmm"))</f>
        <v>Janeiro</v>
      </c>
      <c r="C2082" s="34" t="str">
        <f>PROPER(TEXT(tbLOG[[#This Row],[DATA/HORA]],"dddd"))</f>
        <v>Sexta-Feira</v>
      </c>
      <c r="D2082" s="3" t="s">
        <v>604</v>
      </c>
      <c r="E2082" s="34" t="str">
        <f>IFERROR(VLOOKUP(tbLOG[[#This Row],[LOGIN]],tbMAPA[#All],2,0), "Não localizado")</f>
        <v>Renan Cazumba Tegani</v>
      </c>
      <c r="F2082" s="34" t="str">
        <f>IFERROR(VLOOKUP(tbLOG[[#This Row],[LOGIN]],tbMAPA[#All],3,0), "Não localizado")</f>
        <v>Reginaldo Santana De Souza</v>
      </c>
      <c r="G2082" s="3" t="s">
        <v>1211</v>
      </c>
      <c r="H2082" s="3" t="s">
        <v>291</v>
      </c>
    </row>
    <row r="2083" spans="1:8">
      <c r="A2083" s="29">
        <v>42748.520173611112</v>
      </c>
      <c r="B2083" s="29" t="str">
        <f>PROPER(TEXT(tbLOG[[#This Row],[DATA/HORA]],"mmmm"))</f>
        <v>Janeiro</v>
      </c>
      <c r="C2083" s="34" t="str">
        <f>PROPER(TEXT(tbLOG[[#This Row],[DATA/HORA]],"dddd"))</f>
        <v>Sexta-Feira</v>
      </c>
      <c r="D2083" s="3" t="s">
        <v>604</v>
      </c>
      <c r="E2083" s="34" t="str">
        <f>IFERROR(VLOOKUP(tbLOG[[#This Row],[LOGIN]],tbMAPA[#All],2,0), "Não localizado")</f>
        <v>Renan Cazumba Tegani</v>
      </c>
      <c r="F2083" s="34" t="str">
        <f>IFERROR(VLOOKUP(tbLOG[[#This Row],[LOGIN]],tbMAPA[#All],3,0), "Não localizado")</f>
        <v>Reginaldo Santana De Souza</v>
      </c>
      <c r="G2083" s="3" t="s">
        <v>1211</v>
      </c>
      <c r="H2083" s="3" t="s">
        <v>290</v>
      </c>
    </row>
    <row r="2084" spans="1:8">
      <c r="A2084" s="29">
        <v>42748.52071759259</v>
      </c>
      <c r="B2084" s="29" t="str">
        <f>PROPER(TEXT(tbLOG[[#This Row],[DATA/HORA]],"mmmm"))</f>
        <v>Janeiro</v>
      </c>
      <c r="C2084" s="34" t="str">
        <f>PROPER(TEXT(tbLOG[[#This Row],[DATA/HORA]],"dddd"))</f>
        <v>Sexta-Feira</v>
      </c>
      <c r="D2084" s="3" t="s">
        <v>297</v>
      </c>
      <c r="E2084" s="34" t="str">
        <f>IFERROR(VLOOKUP(tbLOG[[#This Row],[LOGIN]],tbMAPA[#All],2,0), "Não localizado")</f>
        <v>Ivanildo Cavalcante De Souza Junior</v>
      </c>
      <c r="F2084" s="34" t="str">
        <f>IFERROR(VLOOKUP(tbLOG[[#This Row],[LOGIN]],tbMAPA[#All],3,0), "Não localizado")</f>
        <v>Jefte Soares Da Silva</v>
      </c>
      <c r="G2084" s="3" t="s">
        <v>298</v>
      </c>
      <c r="H2084" s="3" t="s">
        <v>994</v>
      </c>
    </row>
    <row r="2085" spans="1:8">
      <c r="A2085" s="29">
        <v>42748.52171296296</v>
      </c>
      <c r="B2085" s="29" t="str">
        <f>PROPER(TEXT(tbLOG[[#This Row],[DATA/HORA]],"mmmm"))</f>
        <v>Janeiro</v>
      </c>
      <c r="C2085" s="34" t="str">
        <f>PROPER(TEXT(tbLOG[[#This Row],[DATA/HORA]],"dddd"))</f>
        <v>Sexta-Feira</v>
      </c>
      <c r="D2085" s="3" t="s">
        <v>297</v>
      </c>
      <c r="E2085" s="34" t="str">
        <f>IFERROR(VLOOKUP(tbLOG[[#This Row],[LOGIN]],tbMAPA[#All],2,0), "Não localizado")</f>
        <v>Ivanildo Cavalcante De Souza Junior</v>
      </c>
      <c r="F2085" s="34" t="str">
        <f>IFERROR(VLOOKUP(tbLOG[[#This Row],[LOGIN]],tbMAPA[#All],3,0), "Não localizado")</f>
        <v>Jefte Soares Da Silva</v>
      </c>
      <c r="G2085" s="3" t="s">
        <v>298</v>
      </c>
      <c r="H2085" s="3" t="s">
        <v>836</v>
      </c>
    </row>
    <row r="2086" spans="1:8">
      <c r="A2086" s="29">
        <v>42748.522175925929</v>
      </c>
      <c r="B2086" s="29" t="str">
        <f>PROPER(TEXT(tbLOG[[#This Row],[DATA/HORA]],"mmmm"))</f>
        <v>Janeiro</v>
      </c>
      <c r="C2086" s="34" t="str">
        <f>PROPER(TEXT(tbLOG[[#This Row],[DATA/HORA]],"dddd"))</f>
        <v>Sexta-Feira</v>
      </c>
      <c r="D2086" s="3" t="s">
        <v>297</v>
      </c>
      <c r="E2086" s="34" t="str">
        <f>IFERROR(VLOOKUP(tbLOG[[#This Row],[LOGIN]],tbMAPA[#All],2,0), "Não localizado")</f>
        <v>Ivanildo Cavalcante De Souza Junior</v>
      </c>
      <c r="F2086" s="34" t="str">
        <f>IFERROR(VLOOKUP(tbLOG[[#This Row],[LOGIN]],tbMAPA[#All],3,0), "Não localizado")</f>
        <v>Jefte Soares Da Silva</v>
      </c>
      <c r="G2086" s="3" t="s">
        <v>298</v>
      </c>
      <c r="H2086" s="3" t="s">
        <v>836</v>
      </c>
    </row>
    <row r="2087" spans="1:8">
      <c r="A2087" s="29">
        <v>42748.522835648146</v>
      </c>
      <c r="B2087" s="29" t="str">
        <f>PROPER(TEXT(tbLOG[[#This Row],[DATA/HORA]],"mmmm"))</f>
        <v>Janeiro</v>
      </c>
      <c r="C2087" s="34" t="str">
        <f>PROPER(TEXT(tbLOG[[#This Row],[DATA/HORA]],"dddd"))</f>
        <v>Sexta-Feira</v>
      </c>
      <c r="D2087" s="3" t="s">
        <v>297</v>
      </c>
      <c r="E2087" s="34" t="str">
        <f>IFERROR(VLOOKUP(tbLOG[[#This Row],[LOGIN]],tbMAPA[#All],2,0), "Não localizado")</f>
        <v>Ivanildo Cavalcante De Souza Junior</v>
      </c>
      <c r="F2087" s="34" t="str">
        <f>IFERROR(VLOOKUP(tbLOG[[#This Row],[LOGIN]],tbMAPA[#All],3,0), "Não localizado")</f>
        <v>Jefte Soares Da Silva</v>
      </c>
      <c r="G2087" s="3" t="s">
        <v>298</v>
      </c>
      <c r="H2087" s="3" t="s">
        <v>836</v>
      </c>
    </row>
    <row r="2088" spans="1:8">
      <c r="A2088" s="29">
        <v>42748.522974537038</v>
      </c>
      <c r="B2088" s="29" t="str">
        <f>PROPER(TEXT(tbLOG[[#This Row],[DATA/HORA]],"mmmm"))</f>
        <v>Janeiro</v>
      </c>
      <c r="C2088" s="34" t="str">
        <f>PROPER(TEXT(tbLOG[[#This Row],[DATA/HORA]],"dddd"))</f>
        <v>Sexta-Feira</v>
      </c>
      <c r="D2088" s="3" t="s">
        <v>297</v>
      </c>
      <c r="E2088" s="34" t="str">
        <f>IFERROR(VLOOKUP(tbLOG[[#This Row],[LOGIN]],tbMAPA[#All],2,0), "Não localizado")</f>
        <v>Ivanildo Cavalcante De Souza Junior</v>
      </c>
      <c r="F2088" s="34" t="str">
        <f>IFERROR(VLOOKUP(tbLOG[[#This Row],[LOGIN]],tbMAPA[#All],3,0), "Não localizado")</f>
        <v>Jefte Soares Da Silva</v>
      </c>
      <c r="G2088" s="3" t="s">
        <v>298</v>
      </c>
      <c r="H2088" s="3" t="s">
        <v>290</v>
      </c>
    </row>
    <row r="2089" spans="1:8">
      <c r="A2089" s="29">
        <v>42748.523078703707</v>
      </c>
      <c r="B2089" s="29" t="str">
        <f>PROPER(TEXT(tbLOG[[#This Row],[DATA/HORA]],"mmmm"))</f>
        <v>Janeiro</v>
      </c>
      <c r="C2089" s="34" t="str">
        <f>PROPER(TEXT(tbLOG[[#This Row],[DATA/HORA]],"dddd"))</f>
        <v>Sexta-Feira</v>
      </c>
      <c r="D2089" s="3" t="s">
        <v>297</v>
      </c>
      <c r="E2089" s="34" t="str">
        <f>IFERROR(VLOOKUP(tbLOG[[#This Row],[LOGIN]],tbMAPA[#All],2,0), "Não localizado")</f>
        <v>Ivanildo Cavalcante De Souza Junior</v>
      </c>
      <c r="F2089" s="34" t="str">
        <f>IFERROR(VLOOKUP(tbLOG[[#This Row],[LOGIN]],tbMAPA[#All],3,0), "Não localizado")</f>
        <v>Jefte Soares Da Silva</v>
      </c>
      <c r="G2089" s="3" t="s">
        <v>298</v>
      </c>
      <c r="H2089" s="3" t="s">
        <v>290</v>
      </c>
    </row>
    <row r="2090" spans="1:8">
      <c r="A2090" s="29">
        <v>42748.523113425923</v>
      </c>
      <c r="B2090" s="29" t="str">
        <f>PROPER(TEXT(tbLOG[[#This Row],[DATA/HORA]],"mmmm"))</f>
        <v>Janeiro</v>
      </c>
      <c r="C2090" s="34" t="str">
        <f>PROPER(TEXT(tbLOG[[#This Row],[DATA/HORA]],"dddd"))</f>
        <v>Sexta-Feira</v>
      </c>
      <c r="D2090" s="3" t="s">
        <v>297</v>
      </c>
      <c r="E2090" s="34" t="str">
        <f>IFERROR(VLOOKUP(tbLOG[[#This Row],[LOGIN]],tbMAPA[#All],2,0), "Não localizado")</f>
        <v>Ivanildo Cavalcante De Souza Junior</v>
      </c>
      <c r="F2090" s="34" t="str">
        <f>IFERROR(VLOOKUP(tbLOG[[#This Row],[LOGIN]],tbMAPA[#All],3,0), "Não localizado")</f>
        <v>Jefte Soares Da Silva</v>
      </c>
      <c r="G2090" s="3" t="s">
        <v>298</v>
      </c>
      <c r="H2090" s="3" t="s">
        <v>291</v>
      </c>
    </row>
    <row r="2091" spans="1:8">
      <c r="A2091" s="29">
        <v>42748.523113425923</v>
      </c>
      <c r="B2091" s="29" t="str">
        <f>PROPER(TEXT(tbLOG[[#This Row],[DATA/HORA]],"mmmm"))</f>
        <v>Janeiro</v>
      </c>
      <c r="C2091" s="34" t="str">
        <f>PROPER(TEXT(tbLOG[[#This Row],[DATA/HORA]],"dddd"))</f>
        <v>Sexta-Feira</v>
      </c>
      <c r="D2091" s="3" t="s">
        <v>297</v>
      </c>
      <c r="E2091" s="34" t="str">
        <f>IFERROR(VLOOKUP(tbLOG[[#This Row],[LOGIN]],tbMAPA[#All],2,0), "Não localizado")</f>
        <v>Ivanildo Cavalcante De Souza Junior</v>
      </c>
      <c r="F2091" s="34" t="str">
        <f>IFERROR(VLOOKUP(tbLOG[[#This Row],[LOGIN]],tbMAPA[#All],3,0), "Não localizado")</f>
        <v>Jefte Soares Da Silva</v>
      </c>
      <c r="G2091" s="3" t="s">
        <v>298</v>
      </c>
      <c r="H2091" s="3" t="s">
        <v>290</v>
      </c>
    </row>
    <row r="2092" spans="1:8">
      <c r="A2092" s="29">
        <v>42748.524375000001</v>
      </c>
      <c r="B2092" s="29" t="str">
        <f>PROPER(TEXT(tbLOG[[#This Row],[DATA/HORA]],"mmmm"))</f>
        <v>Janeiro</v>
      </c>
      <c r="C2092" s="34" t="str">
        <f>PROPER(TEXT(tbLOG[[#This Row],[DATA/HORA]],"dddd"))</f>
        <v>Sexta-Feira</v>
      </c>
      <c r="D2092" s="3" t="s">
        <v>604</v>
      </c>
      <c r="E2092" s="34" t="str">
        <f>IFERROR(VLOOKUP(tbLOG[[#This Row],[LOGIN]],tbMAPA[#All],2,0), "Não localizado")</f>
        <v>Renan Cazumba Tegani</v>
      </c>
      <c r="F2092" s="34" t="str">
        <f>IFERROR(VLOOKUP(tbLOG[[#This Row],[LOGIN]],tbMAPA[#All],3,0), "Não localizado")</f>
        <v>Reginaldo Santana De Souza</v>
      </c>
      <c r="G2092" s="3" t="s">
        <v>1211</v>
      </c>
      <c r="H2092" s="3" t="s">
        <v>994</v>
      </c>
    </row>
    <row r="2093" spans="1:8">
      <c r="A2093" s="29">
        <v>42748.531226851854</v>
      </c>
      <c r="B2093" s="29" t="str">
        <f>PROPER(TEXT(tbLOG[[#This Row],[DATA/HORA]],"mmmm"))</f>
        <v>Janeiro</v>
      </c>
      <c r="C2093" s="34" t="str">
        <f>PROPER(TEXT(tbLOG[[#This Row],[DATA/HORA]],"dddd"))</f>
        <v>Sexta-Feira</v>
      </c>
      <c r="D2093" s="3" t="s">
        <v>604</v>
      </c>
      <c r="E2093" s="34" t="str">
        <f>IFERROR(VLOOKUP(tbLOG[[#This Row],[LOGIN]],tbMAPA[#All],2,0), "Não localizado")</f>
        <v>Renan Cazumba Tegani</v>
      </c>
      <c r="F2093" s="34" t="str">
        <f>IFERROR(VLOOKUP(tbLOG[[#This Row],[LOGIN]],tbMAPA[#All],3,0), "Não localizado")</f>
        <v>Reginaldo Santana De Souza</v>
      </c>
      <c r="G2093" s="3" t="s">
        <v>1211</v>
      </c>
      <c r="H2093" s="3" t="s">
        <v>291</v>
      </c>
    </row>
    <row r="2094" spans="1:8">
      <c r="A2094" s="29">
        <v>42748.531226851854</v>
      </c>
      <c r="B2094" s="29" t="str">
        <f>PROPER(TEXT(tbLOG[[#This Row],[DATA/HORA]],"mmmm"))</f>
        <v>Janeiro</v>
      </c>
      <c r="C2094" s="34" t="str">
        <f>PROPER(TEXT(tbLOG[[#This Row],[DATA/HORA]],"dddd"))</f>
        <v>Sexta-Feira</v>
      </c>
      <c r="D2094" s="3" t="s">
        <v>604</v>
      </c>
      <c r="E2094" s="34" t="str">
        <f>IFERROR(VLOOKUP(tbLOG[[#This Row],[LOGIN]],tbMAPA[#All],2,0), "Não localizado")</f>
        <v>Renan Cazumba Tegani</v>
      </c>
      <c r="F2094" s="34" t="str">
        <f>IFERROR(VLOOKUP(tbLOG[[#This Row],[LOGIN]],tbMAPA[#All],3,0), "Não localizado")</f>
        <v>Reginaldo Santana De Souza</v>
      </c>
      <c r="G2094" s="3" t="s">
        <v>1211</v>
      </c>
      <c r="H2094" s="3" t="s">
        <v>290</v>
      </c>
    </row>
    <row r="2095" spans="1:8">
      <c r="A2095" s="29">
        <v>42748.531585648147</v>
      </c>
      <c r="B2095" s="29" t="str">
        <f>PROPER(TEXT(tbLOG[[#This Row],[DATA/HORA]],"mmmm"))</f>
        <v>Janeiro</v>
      </c>
      <c r="C2095" s="34" t="str">
        <f>PROPER(TEXT(tbLOG[[#This Row],[DATA/HORA]],"dddd"))</f>
        <v>Sexta-Feira</v>
      </c>
      <c r="D2095" s="3" t="s">
        <v>2968</v>
      </c>
      <c r="E2095" s="34" t="str">
        <f>IFERROR(VLOOKUP(tbLOG[[#This Row],[LOGIN]],tbMAPA[#All],2,0), "Não localizado")</f>
        <v>Vinicius Ferreira Gomes</v>
      </c>
      <c r="F2095" s="34" t="str">
        <f>IFERROR(VLOOKUP(tbLOG[[#This Row],[LOGIN]],tbMAPA[#All],3,0), "Não localizado")</f>
        <v>Jefte Soares Da Silva</v>
      </c>
      <c r="G2095" s="3" t="s">
        <v>2969</v>
      </c>
      <c r="H2095" s="3" t="s">
        <v>994</v>
      </c>
    </row>
    <row r="2096" spans="1:8">
      <c r="A2096" s="29">
        <v>42748.531666666669</v>
      </c>
      <c r="B2096" s="29" t="str">
        <f>PROPER(TEXT(tbLOG[[#This Row],[DATA/HORA]],"mmmm"))</f>
        <v>Janeiro</v>
      </c>
      <c r="C2096" s="34" t="str">
        <f>PROPER(TEXT(tbLOG[[#This Row],[DATA/HORA]],"dddd"))</f>
        <v>Sexta-Feira</v>
      </c>
      <c r="D2096" s="3" t="s">
        <v>2968</v>
      </c>
      <c r="E2096" s="34" t="str">
        <f>IFERROR(VLOOKUP(tbLOG[[#This Row],[LOGIN]],tbMAPA[#All],2,0), "Não localizado")</f>
        <v>Vinicius Ferreira Gomes</v>
      </c>
      <c r="F2096" s="34" t="str">
        <f>IFERROR(VLOOKUP(tbLOG[[#This Row],[LOGIN]],tbMAPA[#All],3,0), "Não localizado")</f>
        <v>Jefte Soares Da Silva</v>
      </c>
      <c r="G2096" s="3" t="s">
        <v>2969</v>
      </c>
      <c r="H2096" s="3" t="s">
        <v>309</v>
      </c>
    </row>
    <row r="2097" spans="1:8">
      <c r="A2097" s="29">
        <v>42748.531666666669</v>
      </c>
      <c r="B2097" s="29" t="str">
        <f>PROPER(TEXT(tbLOG[[#This Row],[DATA/HORA]],"mmmm"))</f>
        <v>Janeiro</v>
      </c>
      <c r="C2097" s="34" t="str">
        <f>PROPER(TEXT(tbLOG[[#This Row],[DATA/HORA]],"dddd"))</f>
        <v>Sexta-Feira</v>
      </c>
      <c r="D2097" s="3" t="s">
        <v>2968</v>
      </c>
      <c r="E2097" s="34" t="str">
        <f>IFERROR(VLOOKUP(tbLOG[[#This Row],[LOGIN]],tbMAPA[#All],2,0), "Não localizado")</f>
        <v>Vinicius Ferreira Gomes</v>
      </c>
      <c r="F2097" s="34" t="str">
        <f>IFERROR(VLOOKUP(tbLOG[[#This Row],[LOGIN]],tbMAPA[#All],3,0), "Não localizado")</f>
        <v>Jefte Soares Da Silva</v>
      </c>
      <c r="G2097" s="3" t="s">
        <v>2969</v>
      </c>
      <c r="H2097" s="3" t="s">
        <v>310</v>
      </c>
    </row>
    <row r="2098" spans="1:8">
      <c r="A2098" s="29">
        <v>42748.531712962962</v>
      </c>
      <c r="B2098" s="29" t="str">
        <f>PROPER(TEXT(tbLOG[[#This Row],[DATA/HORA]],"mmmm"))</f>
        <v>Janeiro</v>
      </c>
      <c r="C2098" s="34" t="str">
        <f>PROPER(TEXT(tbLOG[[#This Row],[DATA/HORA]],"dddd"))</f>
        <v>Sexta-Feira</v>
      </c>
      <c r="D2098" s="3" t="s">
        <v>2968</v>
      </c>
      <c r="E2098" s="34" t="str">
        <f>IFERROR(VLOOKUP(tbLOG[[#This Row],[LOGIN]],tbMAPA[#All],2,0), "Não localizado")</f>
        <v>Vinicius Ferreira Gomes</v>
      </c>
      <c r="F2098" s="34" t="str">
        <f>IFERROR(VLOOKUP(tbLOG[[#This Row],[LOGIN]],tbMAPA[#All],3,0), "Não localizado")</f>
        <v>Jefte Soares Da Silva</v>
      </c>
      <c r="G2098" s="3" t="s">
        <v>2969</v>
      </c>
      <c r="H2098" s="3" t="s">
        <v>309</v>
      </c>
    </row>
    <row r="2099" spans="1:8">
      <c r="A2099" s="29">
        <v>42748.531712962962</v>
      </c>
      <c r="B2099" s="29" t="str">
        <f>PROPER(TEXT(tbLOG[[#This Row],[DATA/HORA]],"mmmm"))</f>
        <v>Janeiro</v>
      </c>
      <c r="C2099" s="34" t="str">
        <f>PROPER(TEXT(tbLOG[[#This Row],[DATA/HORA]],"dddd"))</f>
        <v>Sexta-Feira</v>
      </c>
      <c r="D2099" s="3" t="s">
        <v>2968</v>
      </c>
      <c r="E2099" s="34" t="str">
        <f>IFERROR(VLOOKUP(tbLOG[[#This Row],[LOGIN]],tbMAPA[#All],2,0), "Não localizado")</f>
        <v>Vinicius Ferreira Gomes</v>
      </c>
      <c r="F2099" s="34" t="str">
        <f>IFERROR(VLOOKUP(tbLOG[[#This Row],[LOGIN]],tbMAPA[#All],3,0), "Não localizado")</f>
        <v>Jefte Soares Da Silva</v>
      </c>
      <c r="G2099" s="3" t="s">
        <v>2969</v>
      </c>
      <c r="H2099" s="3" t="s">
        <v>309</v>
      </c>
    </row>
    <row r="2100" spans="1:8">
      <c r="A2100" s="29">
        <v>42748.531712962962</v>
      </c>
      <c r="B2100" s="29" t="str">
        <f>PROPER(TEXT(tbLOG[[#This Row],[DATA/HORA]],"mmmm"))</f>
        <v>Janeiro</v>
      </c>
      <c r="C2100" s="34" t="str">
        <f>PROPER(TEXT(tbLOG[[#This Row],[DATA/HORA]],"dddd"))</f>
        <v>Sexta-Feira</v>
      </c>
      <c r="D2100" s="3" t="s">
        <v>2968</v>
      </c>
      <c r="E2100" s="34" t="str">
        <f>IFERROR(VLOOKUP(tbLOG[[#This Row],[LOGIN]],tbMAPA[#All],2,0), "Não localizado")</f>
        <v>Vinicius Ferreira Gomes</v>
      </c>
      <c r="F2100" s="34" t="str">
        <f>IFERROR(VLOOKUP(tbLOG[[#This Row],[LOGIN]],tbMAPA[#All],3,0), "Não localizado")</f>
        <v>Jefte Soares Da Silva</v>
      </c>
      <c r="G2100" s="3" t="s">
        <v>2969</v>
      </c>
      <c r="H2100" s="3" t="s">
        <v>314</v>
      </c>
    </row>
    <row r="2101" spans="1:8">
      <c r="A2101" s="29">
        <v>42748.53193287037</v>
      </c>
      <c r="B2101" s="29" t="str">
        <f>PROPER(TEXT(tbLOG[[#This Row],[DATA/HORA]],"mmmm"))</f>
        <v>Janeiro</v>
      </c>
      <c r="C2101" s="34" t="str">
        <f>PROPER(TEXT(tbLOG[[#This Row],[DATA/HORA]],"dddd"))</f>
        <v>Sexta-Feira</v>
      </c>
      <c r="D2101" s="3" t="s">
        <v>2968</v>
      </c>
      <c r="E2101" s="34" t="str">
        <f>IFERROR(VLOOKUP(tbLOG[[#This Row],[LOGIN]],tbMAPA[#All],2,0), "Não localizado")</f>
        <v>Vinicius Ferreira Gomes</v>
      </c>
      <c r="F2101" s="34" t="str">
        <f>IFERROR(VLOOKUP(tbLOG[[#This Row],[LOGIN]],tbMAPA[#All],3,0), "Não localizado")</f>
        <v>Jefte Soares Da Silva</v>
      </c>
      <c r="G2101" s="3" t="s">
        <v>2969</v>
      </c>
      <c r="H2101" s="3" t="s">
        <v>291</v>
      </c>
    </row>
    <row r="2102" spans="1:8">
      <c r="A2102" s="29">
        <v>42748.53193287037</v>
      </c>
      <c r="B2102" s="29" t="str">
        <f>PROPER(TEXT(tbLOG[[#This Row],[DATA/HORA]],"mmmm"))</f>
        <v>Janeiro</v>
      </c>
      <c r="C2102" s="34" t="str">
        <f>PROPER(TEXT(tbLOG[[#This Row],[DATA/HORA]],"dddd"))</f>
        <v>Sexta-Feira</v>
      </c>
      <c r="D2102" s="3" t="s">
        <v>2968</v>
      </c>
      <c r="E2102" s="34" t="str">
        <f>IFERROR(VLOOKUP(tbLOG[[#This Row],[LOGIN]],tbMAPA[#All],2,0), "Não localizado")</f>
        <v>Vinicius Ferreira Gomes</v>
      </c>
      <c r="F2102" s="34" t="str">
        <f>IFERROR(VLOOKUP(tbLOG[[#This Row],[LOGIN]],tbMAPA[#All],3,0), "Não localizado")</f>
        <v>Jefte Soares Da Silva</v>
      </c>
      <c r="G2102" s="3" t="s">
        <v>2969</v>
      </c>
      <c r="H2102" s="3" t="s">
        <v>290</v>
      </c>
    </row>
    <row r="2103" spans="1:8">
      <c r="A2103" s="29">
        <v>42748.532060185185</v>
      </c>
      <c r="B2103" s="29" t="str">
        <f>PROPER(TEXT(tbLOG[[#This Row],[DATA/HORA]],"mmmm"))</f>
        <v>Janeiro</v>
      </c>
      <c r="C2103" s="34" t="str">
        <f>PROPER(TEXT(tbLOG[[#This Row],[DATA/HORA]],"dddd"))</f>
        <v>Sexta-Feira</v>
      </c>
      <c r="D2103" s="3" t="s">
        <v>604</v>
      </c>
      <c r="E2103" s="34" t="str">
        <f>IFERROR(VLOOKUP(tbLOG[[#This Row],[LOGIN]],tbMAPA[#All],2,0), "Não localizado")</f>
        <v>Renan Cazumba Tegani</v>
      </c>
      <c r="F2103" s="34" t="str">
        <f>IFERROR(VLOOKUP(tbLOG[[#This Row],[LOGIN]],tbMAPA[#All],3,0), "Não localizado")</f>
        <v>Reginaldo Santana De Souza</v>
      </c>
      <c r="G2103" s="3" t="s">
        <v>1211</v>
      </c>
      <c r="H2103" s="3" t="s">
        <v>994</v>
      </c>
    </row>
    <row r="2104" spans="1:8">
      <c r="A2104" s="29">
        <v>42748.532083333332</v>
      </c>
      <c r="B2104" s="29" t="str">
        <f>PROPER(TEXT(tbLOG[[#This Row],[DATA/HORA]],"mmmm"))</f>
        <v>Janeiro</v>
      </c>
      <c r="C2104" s="34" t="str">
        <f>PROPER(TEXT(tbLOG[[#This Row],[DATA/HORA]],"dddd"))</f>
        <v>Sexta-Feira</v>
      </c>
      <c r="D2104" s="3" t="s">
        <v>604</v>
      </c>
      <c r="E2104" s="34" t="str">
        <f>IFERROR(VLOOKUP(tbLOG[[#This Row],[LOGIN]],tbMAPA[#All],2,0), "Não localizado")</f>
        <v>Renan Cazumba Tegani</v>
      </c>
      <c r="F2104" s="34" t="str">
        <f>IFERROR(VLOOKUP(tbLOG[[#This Row],[LOGIN]],tbMAPA[#All],3,0), "Não localizado")</f>
        <v>Reginaldo Santana De Souza</v>
      </c>
      <c r="G2104" s="3" t="s">
        <v>1211</v>
      </c>
      <c r="H2104" s="3" t="s">
        <v>291</v>
      </c>
    </row>
    <row r="2105" spans="1:8">
      <c r="A2105" s="29">
        <v>42748.532083333332</v>
      </c>
      <c r="B2105" s="29" t="str">
        <f>PROPER(TEXT(tbLOG[[#This Row],[DATA/HORA]],"mmmm"))</f>
        <v>Janeiro</v>
      </c>
      <c r="C2105" s="34" t="str">
        <f>PROPER(TEXT(tbLOG[[#This Row],[DATA/HORA]],"dddd"))</f>
        <v>Sexta-Feira</v>
      </c>
      <c r="D2105" s="3" t="s">
        <v>604</v>
      </c>
      <c r="E2105" s="34" t="str">
        <f>IFERROR(VLOOKUP(tbLOG[[#This Row],[LOGIN]],tbMAPA[#All],2,0), "Não localizado")</f>
        <v>Renan Cazumba Tegani</v>
      </c>
      <c r="F2105" s="34" t="str">
        <f>IFERROR(VLOOKUP(tbLOG[[#This Row],[LOGIN]],tbMAPA[#All],3,0), "Não localizado")</f>
        <v>Reginaldo Santana De Souza</v>
      </c>
      <c r="G2105" s="3" t="s">
        <v>1211</v>
      </c>
      <c r="H2105" s="3" t="s">
        <v>290</v>
      </c>
    </row>
    <row r="2106" spans="1:8">
      <c r="A2106" s="29">
        <v>42748.532210648147</v>
      </c>
      <c r="B2106" s="29" t="str">
        <f>PROPER(TEXT(tbLOG[[#This Row],[DATA/HORA]],"mmmm"))</f>
        <v>Janeiro</v>
      </c>
      <c r="C2106" s="34" t="str">
        <f>PROPER(TEXT(tbLOG[[#This Row],[DATA/HORA]],"dddd"))</f>
        <v>Sexta-Feira</v>
      </c>
      <c r="D2106" s="3" t="s">
        <v>604</v>
      </c>
      <c r="E2106" s="34" t="str">
        <f>IFERROR(VLOOKUP(tbLOG[[#This Row],[LOGIN]],tbMAPA[#All],2,0), "Não localizado")</f>
        <v>Renan Cazumba Tegani</v>
      </c>
      <c r="F2106" s="34" t="str">
        <f>IFERROR(VLOOKUP(tbLOG[[#This Row],[LOGIN]],tbMAPA[#All],3,0), "Não localizado")</f>
        <v>Reginaldo Santana De Souza</v>
      </c>
      <c r="G2106" s="3" t="s">
        <v>1211</v>
      </c>
      <c r="H2106" s="3" t="s">
        <v>994</v>
      </c>
    </row>
    <row r="2107" spans="1:8">
      <c r="A2107" s="29">
        <v>42748.538460648146</v>
      </c>
      <c r="B2107" s="29" t="str">
        <f>PROPER(TEXT(tbLOG[[#This Row],[DATA/HORA]],"mmmm"))</f>
        <v>Janeiro</v>
      </c>
      <c r="C2107" s="34" t="str">
        <f>PROPER(TEXT(tbLOG[[#This Row],[DATA/HORA]],"dddd"))</f>
        <v>Sexta-Feira</v>
      </c>
      <c r="D2107" s="3" t="s">
        <v>604</v>
      </c>
      <c r="E2107" s="34" t="str">
        <f>IFERROR(VLOOKUP(tbLOG[[#This Row],[LOGIN]],tbMAPA[#All],2,0), "Não localizado")</f>
        <v>Renan Cazumba Tegani</v>
      </c>
      <c r="F2107" s="34" t="str">
        <f>IFERROR(VLOOKUP(tbLOG[[#This Row],[LOGIN]],tbMAPA[#All],3,0), "Não localizado")</f>
        <v>Reginaldo Santana De Souza</v>
      </c>
      <c r="G2107" s="3" t="s">
        <v>1211</v>
      </c>
      <c r="H2107" s="3" t="s">
        <v>291</v>
      </c>
    </row>
    <row r="2108" spans="1:8">
      <c r="A2108" s="29">
        <v>42748.538460648146</v>
      </c>
      <c r="B2108" s="29" t="str">
        <f>PROPER(TEXT(tbLOG[[#This Row],[DATA/HORA]],"mmmm"))</f>
        <v>Janeiro</v>
      </c>
      <c r="C2108" s="34" t="str">
        <f>PROPER(TEXT(tbLOG[[#This Row],[DATA/HORA]],"dddd"))</f>
        <v>Sexta-Feira</v>
      </c>
      <c r="D2108" s="3" t="s">
        <v>604</v>
      </c>
      <c r="E2108" s="34" t="str">
        <f>IFERROR(VLOOKUP(tbLOG[[#This Row],[LOGIN]],tbMAPA[#All],2,0), "Não localizado")</f>
        <v>Renan Cazumba Tegani</v>
      </c>
      <c r="F2108" s="34" t="str">
        <f>IFERROR(VLOOKUP(tbLOG[[#This Row],[LOGIN]],tbMAPA[#All],3,0), "Não localizado")</f>
        <v>Reginaldo Santana De Souza</v>
      </c>
      <c r="G2108" s="3" t="s">
        <v>1211</v>
      </c>
      <c r="H2108" s="3" t="s">
        <v>290</v>
      </c>
    </row>
    <row r="2109" spans="1:8">
      <c r="A2109" s="29">
        <v>42748.539074074077</v>
      </c>
      <c r="B2109" s="29" t="str">
        <f>PROPER(TEXT(tbLOG[[#This Row],[DATA/HORA]],"mmmm"))</f>
        <v>Janeiro</v>
      </c>
      <c r="C2109" s="34" t="str">
        <f>PROPER(TEXT(tbLOG[[#This Row],[DATA/HORA]],"dddd"))</f>
        <v>Sexta-Feira</v>
      </c>
      <c r="D2109" s="3" t="s">
        <v>2968</v>
      </c>
      <c r="E2109" s="34" t="str">
        <f>IFERROR(VLOOKUP(tbLOG[[#This Row],[LOGIN]],tbMAPA[#All],2,0), "Não localizado")</f>
        <v>Vinicius Ferreira Gomes</v>
      </c>
      <c r="F2109" s="34" t="str">
        <f>IFERROR(VLOOKUP(tbLOG[[#This Row],[LOGIN]],tbMAPA[#All],3,0), "Não localizado")</f>
        <v>Jefte Soares Da Silva</v>
      </c>
      <c r="G2109" s="3" t="s">
        <v>2969</v>
      </c>
      <c r="H2109" s="3" t="s">
        <v>994</v>
      </c>
    </row>
    <row r="2110" spans="1:8">
      <c r="A2110" s="29">
        <v>42748.539120370369</v>
      </c>
      <c r="B2110" s="29" t="str">
        <f>PROPER(TEXT(tbLOG[[#This Row],[DATA/HORA]],"mmmm"))</f>
        <v>Janeiro</v>
      </c>
      <c r="C2110" s="34" t="str">
        <f>PROPER(TEXT(tbLOG[[#This Row],[DATA/HORA]],"dddd"))</f>
        <v>Sexta-Feira</v>
      </c>
      <c r="D2110" s="3" t="s">
        <v>2968</v>
      </c>
      <c r="E2110" s="34" t="str">
        <f>IFERROR(VLOOKUP(tbLOG[[#This Row],[LOGIN]],tbMAPA[#All],2,0), "Não localizado")</f>
        <v>Vinicius Ferreira Gomes</v>
      </c>
      <c r="F2110" s="34" t="str">
        <f>IFERROR(VLOOKUP(tbLOG[[#This Row],[LOGIN]],tbMAPA[#All],3,0), "Não localizado")</f>
        <v>Jefte Soares Da Silva</v>
      </c>
      <c r="G2110" s="3" t="s">
        <v>2969</v>
      </c>
      <c r="H2110" s="3" t="s">
        <v>309</v>
      </c>
    </row>
    <row r="2111" spans="1:8">
      <c r="A2111" s="29">
        <v>42748.539131944446</v>
      </c>
      <c r="B2111" s="29" t="str">
        <f>PROPER(TEXT(tbLOG[[#This Row],[DATA/HORA]],"mmmm"))</f>
        <v>Janeiro</v>
      </c>
      <c r="C2111" s="34" t="str">
        <f>PROPER(TEXT(tbLOG[[#This Row],[DATA/HORA]],"dddd"))</f>
        <v>Sexta-Feira</v>
      </c>
      <c r="D2111" s="3" t="s">
        <v>2968</v>
      </c>
      <c r="E2111" s="34" t="str">
        <f>IFERROR(VLOOKUP(tbLOG[[#This Row],[LOGIN]],tbMAPA[#All],2,0), "Não localizado")</f>
        <v>Vinicius Ferreira Gomes</v>
      </c>
      <c r="F2111" s="34" t="str">
        <f>IFERROR(VLOOKUP(tbLOG[[#This Row],[LOGIN]],tbMAPA[#All],3,0), "Não localizado")</f>
        <v>Jefte Soares Da Silva</v>
      </c>
      <c r="G2111" s="3" t="s">
        <v>2969</v>
      </c>
      <c r="H2111" s="3" t="s">
        <v>310</v>
      </c>
    </row>
    <row r="2112" spans="1:8">
      <c r="A2112" s="29">
        <v>42748.539178240739</v>
      </c>
      <c r="B2112" s="29" t="str">
        <f>PROPER(TEXT(tbLOG[[#This Row],[DATA/HORA]],"mmmm"))</f>
        <v>Janeiro</v>
      </c>
      <c r="C2112" s="34" t="str">
        <f>PROPER(TEXT(tbLOG[[#This Row],[DATA/HORA]],"dddd"))</f>
        <v>Sexta-Feira</v>
      </c>
      <c r="D2112" s="3" t="s">
        <v>2968</v>
      </c>
      <c r="E2112" s="34" t="str">
        <f>IFERROR(VLOOKUP(tbLOG[[#This Row],[LOGIN]],tbMAPA[#All],2,0), "Não localizado")</f>
        <v>Vinicius Ferreira Gomes</v>
      </c>
      <c r="F2112" s="34" t="str">
        <f>IFERROR(VLOOKUP(tbLOG[[#This Row],[LOGIN]],tbMAPA[#All],3,0), "Não localizado")</f>
        <v>Jefte Soares Da Silva</v>
      </c>
      <c r="G2112" s="3" t="s">
        <v>2969</v>
      </c>
      <c r="H2112" s="3" t="s">
        <v>309</v>
      </c>
    </row>
    <row r="2113" spans="1:8">
      <c r="A2113" s="29">
        <v>42748.539178240739</v>
      </c>
      <c r="B2113" s="29" t="str">
        <f>PROPER(TEXT(tbLOG[[#This Row],[DATA/HORA]],"mmmm"))</f>
        <v>Janeiro</v>
      </c>
      <c r="C2113" s="34" t="str">
        <f>PROPER(TEXT(tbLOG[[#This Row],[DATA/HORA]],"dddd"))</f>
        <v>Sexta-Feira</v>
      </c>
      <c r="D2113" s="3" t="s">
        <v>2968</v>
      </c>
      <c r="E2113" s="34" t="str">
        <f>IFERROR(VLOOKUP(tbLOG[[#This Row],[LOGIN]],tbMAPA[#All],2,0), "Não localizado")</f>
        <v>Vinicius Ferreira Gomes</v>
      </c>
      <c r="F2113" s="34" t="str">
        <f>IFERROR(VLOOKUP(tbLOG[[#This Row],[LOGIN]],tbMAPA[#All],3,0), "Não localizado")</f>
        <v>Jefte Soares Da Silva</v>
      </c>
      <c r="G2113" s="3" t="s">
        <v>2969</v>
      </c>
      <c r="H2113" s="3" t="s">
        <v>309</v>
      </c>
    </row>
    <row r="2114" spans="1:8">
      <c r="A2114" s="29">
        <v>42748.539189814815</v>
      </c>
      <c r="B2114" s="29" t="str">
        <f>PROPER(TEXT(tbLOG[[#This Row],[DATA/HORA]],"mmmm"))</f>
        <v>Janeiro</v>
      </c>
      <c r="C2114" s="34" t="str">
        <f>PROPER(TEXT(tbLOG[[#This Row],[DATA/HORA]],"dddd"))</f>
        <v>Sexta-Feira</v>
      </c>
      <c r="D2114" s="3" t="s">
        <v>2968</v>
      </c>
      <c r="E2114" s="34" t="str">
        <f>IFERROR(VLOOKUP(tbLOG[[#This Row],[LOGIN]],tbMAPA[#All],2,0), "Não localizado")</f>
        <v>Vinicius Ferreira Gomes</v>
      </c>
      <c r="F2114" s="34" t="str">
        <f>IFERROR(VLOOKUP(tbLOG[[#This Row],[LOGIN]],tbMAPA[#All],3,0), "Não localizado")</f>
        <v>Jefte Soares Da Silva</v>
      </c>
      <c r="G2114" s="3" t="s">
        <v>2969</v>
      </c>
      <c r="H2114" s="3" t="s">
        <v>314</v>
      </c>
    </row>
    <row r="2115" spans="1:8">
      <c r="A2115" s="29">
        <v>42748.539421296293</v>
      </c>
      <c r="B2115" s="29" t="str">
        <f>PROPER(TEXT(tbLOG[[#This Row],[DATA/HORA]],"mmmm"))</f>
        <v>Janeiro</v>
      </c>
      <c r="C2115" s="34" t="str">
        <f>PROPER(TEXT(tbLOG[[#This Row],[DATA/HORA]],"dddd"))</f>
        <v>Sexta-Feira</v>
      </c>
      <c r="D2115" s="3" t="s">
        <v>2968</v>
      </c>
      <c r="E2115" s="34" t="str">
        <f>IFERROR(VLOOKUP(tbLOG[[#This Row],[LOGIN]],tbMAPA[#All],2,0), "Não localizado")</f>
        <v>Vinicius Ferreira Gomes</v>
      </c>
      <c r="F2115" s="34" t="str">
        <f>IFERROR(VLOOKUP(tbLOG[[#This Row],[LOGIN]],tbMAPA[#All],3,0), "Não localizado")</f>
        <v>Jefte Soares Da Silva</v>
      </c>
      <c r="G2115" s="3" t="s">
        <v>2969</v>
      </c>
      <c r="H2115" s="3" t="s">
        <v>291</v>
      </c>
    </row>
    <row r="2116" spans="1:8">
      <c r="A2116" s="29">
        <v>42748.539421296293</v>
      </c>
      <c r="B2116" s="29" t="str">
        <f>PROPER(TEXT(tbLOG[[#This Row],[DATA/HORA]],"mmmm"))</f>
        <v>Janeiro</v>
      </c>
      <c r="C2116" s="34" t="str">
        <f>PROPER(TEXT(tbLOG[[#This Row],[DATA/HORA]],"dddd"))</f>
        <v>Sexta-Feira</v>
      </c>
      <c r="D2116" s="3" t="s">
        <v>2968</v>
      </c>
      <c r="E2116" s="34" t="str">
        <f>IFERROR(VLOOKUP(tbLOG[[#This Row],[LOGIN]],tbMAPA[#All],2,0), "Não localizado")</f>
        <v>Vinicius Ferreira Gomes</v>
      </c>
      <c r="F2116" s="34" t="str">
        <f>IFERROR(VLOOKUP(tbLOG[[#This Row],[LOGIN]],tbMAPA[#All],3,0), "Não localizado")</f>
        <v>Jefte Soares Da Silva</v>
      </c>
      <c r="G2116" s="3" t="s">
        <v>2969</v>
      </c>
      <c r="H2116" s="3" t="s">
        <v>290</v>
      </c>
    </row>
    <row r="2117" spans="1:8">
      <c r="A2117" s="29">
        <v>42748.539699074077</v>
      </c>
      <c r="B2117" s="29" t="str">
        <f>PROPER(TEXT(tbLOG[[#This Row],[DATA/HORA]],"mmmm"))</f>
        <v>Janeiro</v>
      </c>
      <c r="C2117" s="34" t="str">
        <f>PROPER(TEXT(tbLOG[[#This Row],[DATA/HORA]],"dddd"))</f>
        <v>Sexta-Feira</v>
      </c>
      <c r="D2117" s="3" t="s">
        <v>297</v>
      </c>
      <c r="E2117" s="34" t="str">
        <f>IFERROR(VLOOKUP(tbLOG[[#This Row],[LOGIN]],tbMAPA[#All],2,0), "Não localizado")</f>
        <v>Ivanildo Cavalcante De Souza Junior</v>
      </c>
      <c r="F2117" s="34" t="str">
        <f>IFERROR(VLOOKUP(tbLOG[[#This Row],[LOGIN]],tbMAPA[#All],3,0), "Não localizado")</f>
        <v>Jefte Soares Da Silva</v>
      </c>
      <c r="G2117" s="3" t="s">
        <v>298</v>
      </c>
      <c r="H2117" s="3" t="s">
        <v>994</v>
      </c>
    </row>
    <row r="2118" spans="1:8">
      <c r="A2118" s="29">
        <v>42748.540381944447</v>
      </c>
      <c r="B2118" s="29" t="str">
        <f>PROPER(TEXT(tbLOG[[#This Row],[DATA/HORA]],"mmmm"))</f>
        <v>Janeiro</v>
      </c>
      <c r="C2118" s="34" t="str">
        <f>PROPER(TEXT(tbLOG[[#This Row],[DATA/HORA]],"dddd"))</f>
        <v>Sexta-Feira</v>
      </c>
      <c r="D2118" s="3" t="s">
        <v>297</v>
      </c>
      <c r="E2118" s="34" t="str">
        <f>IFERROR(VLOOKUP(tbLOG[[#This Row],[LOGIN]],tbMAPA[#All],2,0), "Não localizado")</f>
        <v>Ivanildo Cavalcante De Souza Junior</v>
      </c>
      <c r="F2118" s="34" t="str">
        <f>IFERROR(VLOOKUP(tbLOG[[#This Row],[LOGIN]],tbMAPA[#All],3,0), "Não localizado")</f>
        <v>Jefte Soares Da Silva</v>
      </c>
      <c r="G2118" s="3" t="s">
        <v>298</v>
      </c>
      <c r="H2118" s="3" t="s">
        <v>836</v>
      </c>
    </row>
    <row r="2119" spans="1:8">
      <c r="A2119" s="29">
        <v>42748.541018518517</v>
      </c>
      <c r="B2119" s="29" t="str">
        <f>PROPER(TEXT(tbLOG[[#This Row],[DATA/HORA]],"mmmm"))</f>
        <v>Janeiro</v>
      </c>
      <c r="C2119" s="34" t="str">
        <f>PROPER(TEXT(tbLOG[[#This Row],[DATA/HORA]],"dddd"))</f>
        <v>Sexta-Feira</v>
      </c>
      <c r="D2119" s="3" t="s">
        <v>297</v>
      </c>
      <c r="E2119" s="34" t="str">
        <f>IFERROR(VLOOKUP(tbLOG[[#This Row],[LOGIN]],tbMAPA[#All],2,0), "Não localizado")</f>
        <v>Ivanildo Cavalcante De Souza Junior</v>
      </c>
      <c r="F2119" s="34" t="str">
        <f>IFERROR(VLOOKUP(tbLOG[[#This Row],[LOGIN]],tbMAPA[#All],3,0), "Não localizado")</f>
        <v>Jefte Soares Da Silva</v>
      </c>
      <c r="G2119" s="3" t="s">
        <v>298</v>
      </c>
      <c r="H2119" s="3" t="s">
        <v>836</v>
      </c>
    </row>
    <row r="2120" spans="1:8">
      <c r="A2120" s="29">
        <v>42748.541250000002</v>
      </c>
      <c r="B2120" s="29" t="str">
        <f>PROPER(TEXT(tbLOG[[#This Row],[DATA/HORA]],"mmmm"))</f>
        <v>Janeiro</v>
      </c>
      <c r="C2120" s="34" t="str">
        <f>PROPER(TEXT(tbLOG[[#This Row],[DATA/HORA]],"dddd"))</f>
        <v>Sexta-Feira</v>
      </c>
      <c r="D2120" s="3" t="s">
        <v>297</v>
      </c>
      <c r="E2120" s="34" t="str">
        <f>IFERROR(VLOOKUP(tbLOG[[#This Row],[LOGIN]],tbMAPA[#All],2,0), "Não localizado")</f>
        <v>Ivanildo Cavalcante De Souza Junior</v>
      </c>
      <c r="F2120" s="34" t="str">
        <f>IFERROR(VLOOKUP(tbLOG[[#This Row],[LOGIN]],tbMAPA[#All],3,0), "Não localizado")</f>
        <v>Jefte Soares Da Silva</v>
      </c>
      <c r="G2120" s="3" t="s">
        <v>298</v>
      </c>
      <c r="H2120" s="3" t="s">
        <v>290</v>
      </c>
    </row>
    <row r="2121" spans="1:8">
      <c r="A2121" s="29">
        <v>42748.541365740741</v>
      </c>
      <c r="B2121" s="29" t="str">
        <f>PROPER(TEXT(tbLOG[[#This Row],[DATA/HORA]],"mmmm"))</f>
        <v>Janeiro</v>
      </c>
      <c r="C2121" s="34" t="str">
        <f>PROPER(TEXT(tbLOG[[#This Row],[DATA/HORA]],"dddd"))</f>
        <v>Sexta-Feira</v>
      </c>
      <c r="D2121" s="3" t="s">
        <v>297</v>
      </c>
      <c r="E2121" s="34" t="str">
        <f>IFERROR(VLOOKUP(tbLOG[[#This Row],[LOGIN]],tbMAPA[#All],2,0), "Não localizado")</f>
        <v>Ivanildo Cavalcante De Souza Junior</v>
      </c>
      <c r="F2121" s="34" t="str">
        <f>IFERROR(VLOOKUP(tbLOG[[#This Row],[LOGIN]],tbMAPA[#All],3,0), "Não localizado")</f>
        <v>Jefte Soares Da Silva</v>
      </c>
      <c r="G2121" s="3" t="s">
        <v>298</v>
      </c>
      <c r="H2121" s="3" t="s">
        <v>290</v>
      </c>
    </row>
    <row r="2122" spans="1:8">
      <c r="A2122" s="29">
        <v>42748.541388888887</v>
      </c>
      <c r="B2122" s="29" t="str">
        <f>PROPER(TEXT(tbLOG[[#This Row],[DATA/HORA]],"mmmm"))</f>
        <v>Janeiro</v>
      </c>
      <c r="C2122" s="34" t="str">
        <f>PROPER(TEXT(tbLOG[[#This Row],[DATA/HORA]],"dddd"))</f>
        <v>Sexta-Feira</v>
      </c>
      <c r="D2122" s="3" t="s">
        <v>297</v>
      </c>
      <c r="E2122" s="34" t="str">
        <f>IFERROR(VLOOKUP(tbLOG[[#This Row],[LOGIN]],tbMAPA[#All],2,0), "Não localizado")</f>
        <v>Ivanildo Cavalcante De Souza Junior</v>
      </c>
      <c r="F2122" s="34" t="str">
        <f>IFERROR(VLOOKUP(tbLOG[[#This Row],[LOGIN]],tbMAPA[#All],3,0), "Não localizado")</f>
        <v>Jefte Soares Da Silva</v>
      </c>
      <c r="G2122" s="3" t="s">
        <v>298</v>
      </c>
      <c r="H2122" s="3" t="s">
        <v>291</v>
      </c>
    </row>
    <row r="2123" spans="1:8">
      <c r="A2123" s="29">
        <v>42748.541388888887</v>
      </c>
      <c r="B2123" s="29" t="str">
        <f>PROPER(TEXT(tbLOG[[#This Row],[DATA/HORA]],"mmmm"))</f>
        <v>Janeiro</v>
      </c>
      <c r="C2123" s="34" t="str">
        <f>PROPER(TEXT(tbLOG[[#This Row],[DATA/HORA]],"dddd"))</f>
        <v>Sexta-Feira</v>
      </c>
      <c r="D2123" s="3" t="s">
        <v>297</v>
      </c>
      <c r="E2123" s="34" t="str">
        <f>IFERROR(VLOOKUP(tbLOG[[#This Row],[LOGIN]],tbMAPA[#All],2,0), "Não localizado")</f>
        <v>Ivanildo Cavalcante De Souza Junior</v>
      </c>
      <c r="F2123" s="34" t="str">
        <f>IFERROR(VLOOKUP(tbLOG[[#This Row],[LOGIN]],tbMAPA[#All],3,0), "Não localizado")</f>
        <v>Jefte Soares Da Silva</v>
      </c>
      <c r="G2123" s="3" t="s">
        <v>298</v>
      </c>
      <c r="H2123" s="3" t="s">
        <v>290</v>
      </c>
    </row>
    <row r="2124" spans="1:8">
      <c r="A2124" s="29">
        <v>42748.542962962965</v>
      </c>
      <c r="B2124" s="29" t="str">
        <f>PROPER(TEXT(tbLOG[[#This Row],[DATA/HORA]],"mmmm"))</f>
        <v>Janeiro</v>
      </c>
      <c r="C2124" s="34" t="str">
        <f>PROPER(TEXT(tbLOG[[#This Row],[DATA/HORA]],"dddd"))</f>
        <v>Sexta-Feira</v>
      </c>
      <c r="D2124" s="3" t="s">
        <v>604</v>
      </c>
      <c r="E2124" s="34" t="str">
        <f>IFERROR(VLOOKUP(tbLOG[[#This Row],[LOGIN]],tbMAPA[#All],2,0), "Não localizado")</f>
        <v>Renan Cazumba Tegani</v>
      </c>
      <c r="F2124" s="34" t="str">
        <f>IFERROR(VLOOKUP(tbLOG[[#This Row],[LOGIN]],tbMAPA[#All],3,0), "Não localizado")</f>
        <v>Reginaldo Santana De Souza</v>
      </c>
      <c r="G2124" s="3" t="s">
        <v>1211</v>
      </c>
      <c r="H2124" s="3" t="s">
        <v>994</v>
      </c>
    </row>
    <row r="2125" spans="1:8">
      <c r="A2125" s="29">
        <v>42748.544872685183</v>
      </c>
      <c r="B2125" s="29" t="str">
        <f>PROPER(TEXT(tbLOG[[#This Row],[DATA/HORA]],"mmmm"))</f>
        <v>Janeiro</v>
      </c>
      <c r="C2125" s="34" t="str">
        <f>PROPER(TEXT(tbLOG[[#This Row],[DATA/HORA]],"dddd"))</f>
        <v>Sexta-Feira</v>
      </c>
      <c r="D2125" s="3" t="s">
        <v>604</v>
      </c>
      <c r="E2125" s="34" t="str">
        <f>IFERROR(VLOOKUP(tbLOG[[#This Row],[LOGIN]],tbMAPA[#All],2,0), "Não localizado")</f>
        <v>Renan Cazumba Tegani</v>
      </c>
      <c r="F2125" s="34" t="str">
        <f>IFERROR(VLOOKUP(tbLOG[[#This Row],[LOGIN]],tbMAPA[#All],3,0), "Não localizado")</f>
        <v>Reginaldo Santana De Souza</v>
      </c>
      <c r="G2125" s="3" t="s">
        <v>1211</v>
      </c>
      <c r="H2125" s="3" t="s">
        <v>836</v>
      </c>
    </row>
    <row r="2126" spans="1:8">
      <c r="A2126" s="29">
        <v>42748.545023148145</v>
      </c>
      <c r="B2126" s="29" t="str">
        <f>PROPER(TEXT(tbLOG[[#This Row],[DATA/HORA]],"mmmm"))</f>
        <v>Janeiro</v>
      </c>
      <c r="C2126" s="34" t="str">
        <f>PROPER(TEXT(tbLOG[[#This Row],[DATA/HORA]],"dddd"))</f>
        <v>Sexta-Feira</v>
      </c>
      <c r="D2126" s="3" t="s">
        <v>604</v>
      </c>
      <c r="E2126" s="34" t="str">
        <f>IFERROR(VLOOKUP(tbLOG[[#This Row],[LOGIN]],tbMAPA[#All],2,0), "Não localizado")</f>
        <v>Renan Cazumba Tegani</v>
      </c>
      <c r="F2126" s="34" t="str">
        <f>IFERROR(VLOOKUP(tbLOG[[#This Row],[LOGIN]],tbMAPA[#All],3,0), "Não localizado")</f>
        <v>Reginaldo Santana De Souza</v>
      </c>
      <c r="G2126" s="3" t="s">
        <v>1211</v>
      </c>
      <c r="H2126" s="3" t="s">
        <v>836</v>
      </c>
    </row>
    <row r="2127" spans="1:8">
      <c r="A2127" s="29">
        <v>42748.545023148145</v>
      </c>
      <c r="B2127" s="29" t="str">
        <f>PROPER(TEXT(tbLOG[[#This Row],[DATA/HORA]],"mmmm"))</f>
        <v>Janeiro</v>
      </c>
      <c r="C2127" s="34" t="str">
        <f>PROPER(TEXT(tbLOG[[#This Row],[DATA/HORA]],"dddd"))</f>
        <v>Sexta-Feira</v>
      </c>
      <c r="D2127" s="3" t="s">
        <v>604</v>
      </c>
      <c r="E2127" s="34" t="str">
        <f>IFERROR(VLOOKUP(tbLOG[[#This Row],[LOGIN]],tbMAPA[#All],2,0), "Não localizado")</f>
        <v>Renan Cazumba Tegani</v>
      </c>
      <c r="F2127" s="34" t="str">
        <f>IFERROR(VLOOKUP(tbLOG[[#This Row],[LOGIN]],tbMAPA[#All],3,0), "Não localizado")</f>
        <v>Reginaldo Santana De Souza</v>
      </c>
      <c r="G2127" s="3" t="s">
        <v>1211</v>
      </c>
      <c r="H2127" s="3" t="s">
        <v>836</v>
      </c>
    </row>
    <row r="2128" spans="1:8">
      <c r="A2128" s="29">
        <v>42748.545023148145</v>
      </c>
      <c r="B2128" s="29" t="str">
        <f>PROPER(TEXT(tbLOG[[#This Row],[DATA/HORA]],"mmmm"))</f>
        <v>Janeiro</v>
      </c>
      <c r="C2128" s="34" t="str">
        <f>PROPER(TEXT(tbLOG[[#This Row],[DATA/HORA]],"dddd"))</f>
        <v>Sexta-Feira</v>
      </c>
      <c r="D2128" s="3" t="s">
        <v>604</v>
      </c>
      <c r="E2128" s="34" t="str">
        <f>IFERROR(VLOOKUP(tbLOG[[#This Row],[LOGIN]],tbMAPA[#All],2,0), "Não localizado")</f>
        <v>Renan Cazumba Tegani</v>
      </c>
      <c r="F2128" s="34" t="str">
        <f>IFERROR(VLOOKUP(tbLOG[[#This Row],[LOGIN]],tbMAPA[#All],3,0), "Não localizado")</f>
        <v>Reginaldo Santana De Souza</v>
      </c>
      <c r="G2128" s="3" t="s">
        <v>1211</v>
      </c>
      <c r="H2128" s="3" t="s">
        <v>836</v>
      </c>
    </row>
    <row r="2129" spans="1:8">
      <c r="A2129" s="29">
        <v>42748.545023148145</v>
      </c>
      <c r="B2129" s="29" t="str">
        <f>PROPER(TEXT(tbLOG[[#This Row],[DATA/HORA]],"mmmm"))</f>
        <v>Janeiro</v>
      </c>
      <c r="C2129" s="34" t="str">
        <f>PROPER(TEXT(tbLOG[[#This Row],[DATA/HORA]],"dddd"))</f>
        <v>Sexta-Feira</v>
      </c>
      <c r="D2129" s="3" t="s">
        <v>604</v>
      </c>
      <c r="E2129" s="34" t="str">
        <f>IFERROR(VLOOKUP(tbLOG[[#This Row],[LOGIN]],tbMAPA[#All],2,0), "Não localizado")</f>
        <v>Renan Cazumba Tegani</v>
      </c>
      <c r="F2129" s="34" t="str">
        <f>IFERROR(VLOOKUP(tbLOG[[#This Row],[LOGIN]],tbMAPA[#All],3,0), "Não localizado")</f>
        <v>Reginaldo Santana De Souza</v>
      </c>
      <c r="G2129" s="3" t="s">
        <v>1211</v>
      </c>
      <c r="H2129" s="3" t="s">
        <v>836</v>
      </c>
    </row>
    <row r="2130" spans="1:8">
      <c r="A2130" s="29">
        <v>42748.545127314814</v>
      </c>
      <c r="B2130" s="29" t="str">
        <f>PROPER(TEXT(tbLOG[[#This Row],[DATA/HORA]],"mmmm"))</f>
        <v>Janeiro</v>
      </c>
      <c r="C2130" s="34" t="str">
        <f>PROPER(TEXT(tbLOG[[#This Row],[DATA/HORA]],"dddd"))</f>
        <v>Sexta-Feira</v>
      </c>
      <c r="D2130" s="3" t="s">
        <v>604</v>
      </c>
      <c r="E2130" s="34" t="str">
        <f>IFERROR(VLOOKUP(tbLOG[[#This Row],[LOGIN]],tbMAPA[#All],2,0), "Não localizado")</f>
        <v>Renan Cazumba Tegani</v>
      </c>
      <c r="F2130" s="34" t="str">
        <f>IFERROR(VLOOKUP(tbLOG[[#This Row],[LOGIN]],tbMAPA[#All],3,0), "Não localizado")</f>
        <v>Reginaldo Santana De Souza</v>
      </c>
      <c r="G2130" s="3" t="s">
        <v>1211</v>
      </c>
      <c r="H2130" s="3" t="s">
        <v>836</v>
      </c>
    </row>
    <row r="2131" spans="1:8">
      <c r="A2131" s="29">
        <v>42748.547511574077</v>
      </c>
      <c r="B2131" s="29" t="str">
        <f>PROPER(TEXT(tbLOG[[#This Row],[DATA/HORA]],"mmmm"))</f>
        <v>Janeiro</v>
      </c>
      <c r="C2131" s="34" t="str">
        <f>PROPER(TEXT(tbLOG[[#This Row],[DATA/HORA]],"dddd"))</f>
        <v>Sexta-Feira</v>
      </c>
      <c r="D2131" s="3" t="s">
        <v>604</v>
      </c>
      <c r="E2131" s="34" t="str">
        <f>IFERROR(VLOOKUP(tbLOG[[#This Row],[LOGIN]],tbMAPA[#All],2,0), "Não localizado")</f>
        <v>Renan Cazumba Tegani</v>
      </c>
      <c r="F2131" s="34" t="str">
        <f>IFERROR(VLOOKUP(tbLOG[[#This Row],[LOGIN]],tbMAPA[#All],3,0), "Não localizado")</f>
        <v>Reginaldo Santana De Souza</v>
      </c>
      <c r="G2131" s="3" t="s">
        <v>1211</v>
      </c>
      <c r="H2131" s="3" t="s">
        <v>836</v>
      </c>
    </row>
    <row r="2132" spans="1:8">
      <c r="A2132" s="29">
        <v>42748.547615740739</v>
      </c>
      <c r="B2132" s="29" t="str">
        <f>PROPER(TEXT(tbLOG[[#This Row],[DATA/HORA]],"mmmm"))</f>
        <v>Janeiro</v>
      </c>
      <c r="C2132" s="34" t="str">
        <f>PROPER(TEXT(tbLOG[[#This Row],[DATA/HORA]],"dddd"))</f>
        <v>Sexta-Feira</v>
      </c>
      <c r="D2132" s="3" t="s">
        <v>604</v>
      </c>
      <c r="E2132" s="34" t="str">
        <f>IFERROR(VLOOKUP(tbLOG[[#This Row],[LOGIN]],tbMAPA[#All],2,0), "Não localizado")</f>
        <v>Renan Cazumba Tegani</v>
      </c>
      <c r="F2132" s="34" t="str">
        <f>IFERROR(VLOOKUP(tbLOG[[#This Row],[LOGIN]],tbMAPA[#All],3,0), "Não localizado")</f>
        <v>Reginaldo Santana De Souza</v>
      </c>
      <c r="G2132" s="3" t="s">
        <v>1211</v>
      </c>
      <c r="H2132" s="3" t="s">
        <v>836</v>
      </c>
    </row>
    <row r="2133" spans="1:8">
      <c r="A2133" s="29">
        <v>42748.547615740739</v>
      </c>
      <c r="B2133" s="29" t="str">
        <f>PROPER(TEXT(tbLOG[[#This Row],[DATA/HORA]],"mmmm"))</f>
        <v>Janeiro</v>
      </c>
      <c r="C2133" s="34" t="str">
        <f>PROPER(TEXT(tbLOG[[#This Row],[DATA/HORA]],"dddd"))</f>
        <v>Sexta-Feira</v>
      </c>
      <c r="D2133" s="3" t="s">
        <v>604</v>
      </c>
      <c r="E2133" s="34" t="str">
        <f>IFERROR(VLOOKUP(tbLOG[[#This Row],[LOGIN]],tbMAPA[#All],2,0), "Não localizado")</f>
        <v>Renan Cazumba Tegani</v>
      </c>
      <c r="F2133" s="34" t="str">
        <f>IFERROR(VLOOKUP(tbLOG[[#This Row],[LOGIN]],tbMAPA[#All],3,0), "Não localizado")</f>
        <v>Reginaldo Santana De Souza</v>
      </c>
      <c r="G2133" s="3" t="s">
        <v>1211</v>
      </c>
      <c r="H2133" s="3" t="s">
        <v>836</v>
      </c>
    </row>
    <row r="2134" spans="1:8">
      <c r="A2134" s="29">
        <v>42748.547708333332</v>
      </c>
      <c r="B2134" s="29" t="str">
        <f>PROPER(TEXT(tbLOG[[#This Row],[DATA/HORA]],"mmmm"))</f>
        <v>Janeiro</v>
      </c>
      <c r="C2134" s="34" t="str">
        <f>PROPER(TEXT(tbLOG[[#This Row],[DATA/HORA]],"dddd"))</f>
        <v>Sexta-Feira</v>
      </c>
      <c r="D2134" s="3" t="s">
        <v>604</v>
      </c>
      <c r="E2134" s="34" t="str">
        <f>IFERROR(VLOOKUP(tbLOG[[#This Row],[LOGIN]],tbMAPA[#All],2,0), "Não localizado")</f>
        <v>Renan Cazumba Tegani</v>
      </c>
      <c r="F2134" s="34" t="str">
        <f>IFERROR(VLOOKUP(tbLOG[[#This Row],[LOGIN]],tbMAPA[#All],3,0), "Não localizado")</f>
        <v>Reginaldo Santana De Souza</v>
      </c>
      <c r="G2134" s="3" t="s">
        <v>1211</v>
      </c>
      <c r="H2134" s="3" t="s">
        <v>836</v>
      </c>
    </row>
    <row r="2135" spans="1:8">
      <c r="A2135" s="29">
        <v>42748.551296296297</v>
      </c>
      <c r="B2135" s="29" t="str">
        <f>PROPER(TEXT(tbLOG[[#This Row],[DATA/HORA]],"mmmm"))</f>
        <v>Janeiro</v>
      </c>
      <c r="C2135" s="34" t="str">
        <f>PROPER(TEXT(tbLOG[[#This Row],[DATA/HORA]],"dddd"))</f>
        <v>Sexta-Feira</v>
      </c>
      <c r="D2135" s="3" t="s">
        <v>604</v>
      </c>
      <c r="E2135" s="34" t="str">
        <f>IFERROR(VLOOKUP(tbLOG[[#This Row],[LOGIN]],tbMAPA[#All],2,0), "Não localizado")</f>
        <v>Renan Cazumba Tegani</v>
      </c>
      <c r="F2135" s="34" t="str">
        <f>IFERROR(VLOOKUP(tbLOG[[#This Row],[LOGIN]],tbMAPA[#All],3,0), "Não localizado")</f>
        <v>Reginaldo Santana De Souza</v>
      </c>
      <c r="G2135" s="3" t="s">
        <v>1211</v>
      </c>
      <c r="H2135" s="3" t="s">
        <v>836</v>
      </c>
    </row>
    <row r="2136" spans="1:8">
      <c r="A2136" s="29">
        <v>42748.551307870373</v>
      </c>
      <c r="B2136" s="29" t="str">
        <f>PROPER(TEXT(tbLOG[[#This Row],[DATA/HORA]],"mmmm"))</f>
        <v>Janeiro</v>
      </c>
      <c r="C2136" s="34" t="str">
        <f>PROPER(TEXT(tbLOG[[#This Row],[DATA/HORA]],"dddd"))</f>
        <v>Sexta-Feira</v>
      </c>
      <c r="D2136" s="3" t="s">
        <v>604</v>
      </c>
      <c r="E2136" s="34" t="str">
        <f>IFERROR(VLOOKUP(tbLOG[[#This Row],[LOGIN]],tbMAPA[#All],2,0), "Não localizado")</f>
        <v>Renan Cazumba Tegani</v>
      </c>
      <c r="F2136" s="34" t="str">
        <f>IFERROR(VLOOKUP(tbLOG[[#This Row],[LOGIN]],tbMAPA[#All],3,0), "Não localizado")</f>
        <v>Reginaldo Santana De Souza</v>
      </c>
      <c r="G2136" s="3" t="s">
        <v>1211</v>
      </c>
      <c r="H2136" s="3" t="s">
        <v>836</v>
      </c>
    </row>
    <row r="2137" spans="1:8">
      <c r="A2137" s="29">
        <v>42748.551354166666</v>
      </c>
      <c r="B2137" s="29" t="str">
        <f>PROPER(TEXT(tbLOG[[#This Row],[DATA/HORA]],"mmmm"))</f>
        <v>Janeiro</v>
      </c>
      <c r="C2137" s="34" t="str">
        <f>PROPER(TEXT(tbLOG[[#This Row],[DATA/HORA]],"dddd"))</f>
        <v>Sexta-Feira</v>
      </c>
      <c r="D2137" s="3" t="s">
        <v>604</v>
      </c>
      <c r="E2137" s="34" t="str">
        <f>IFERROR(VLOOKUP(tbLOG[[#This Row],[LOGIN]],tbMAPA[#All],2,0), "Não localizado")</f>
        <v>Renan Cazumba Tegani</v>
      </c>
      <c r="F2137" s="34" t="str">
        <f>IFERROR(VLOOKUP(tbLOG[[#This Row],[LOGIN]],tbMAPA[#All],3,0), "Não localizado")</f>
        <v>Reginaldo Santana De Souza</v>
      </c>
      <c r="G2137" s="3" t="s">
        <v>1211</v>
      </c>
      <c r="H2137" s="3" t="s">
        <v>836</v>
      </c>
    </row>
    <row r="2138" spans="1:8">
      <c r="A2138" s="29">
        <v>42748.553472222222</v>
      </c>
      <c r="B2138" s="29" t="str">
        <f>PROPER(TEXT(tbLOG[[#This Row],[DATA/HORA]],"mmmm"))</f>
        <v>Janeiro</v>
      </c>
      <c r="C2138" s="34" t="str">
        <f>PROPER(TEXT(tbLOG[[#This Row],[DATA/HORA]],"dddd"))</f>
        <v>Sexta-Feira</v>
      </c>
      <c r="D2138" s="3" t="s">
        <v>604</v>
      </c>
      <c r="E2138" s="34" t="str">
        <f>IFERROR(VLOOKUP(tbLOG[[#This Row],[LOGIN]],tbMAPA[#All],2,0), "Não localizado")</f>
        <v>Renan Cazumba Tegani</v>
      </c>
      <c r="F2138" s="34" t="str">
        <f>IFERROR(VLOOKUP(tbLOG[[#This Row],[LOGIN]],tbMAPA[#All],3,0), "Não localizado")</f>
        <v>Reginaldo Santana De Souza</v>
      </c>
      <c r="G2138" s="3" t="s">
        <v>1211</v>
      </c>
      <c r="H2138" s="3" t="s">
        <v>836</v>
      </c>
    </row>
    <row r="2139" spans="1:8">
      <c r="A2139" s="29">
        <v>42748.553483796299</v>
      </c>
      <c r="B2139" s="29" t="str">
        <f>PROPER(TEXT(tbLOG[[#This Row],[DATA/HORA]],"mmmm"))</f>
        <v>Janeiro</v>
      </c>
      <c r="C2139" s="34" t="str">
        <f>PROPER(TEXT(tbLOG[[#This Row],[DATA/HORA]],"dddd"))</f>
        <v>Sexta-Feira</v>
      </c>
      <c r="D2139" s="3" t="s">
        <v>604</v>
      </c>
      <c r="E2139" s="34" t="str">
        <f>IFERROR(VLOOKUP(tbLOG[[#This Row],[LOGIN]],tbMAPA[#All],2,0), "Não localizado")</f>
        <v>Renan Cazumba Tegani</v>
      </c>
      <c r="F2139" s="34" t="str">
        <f>IFERROR(VLOOKUP(tbLOG[[#This Row],[LOGIN]],tbMAPA[#All],3,0), "Não localizado")</f>
        <v>Reginaldo Santana De Souza</v>
      </c>
      <c r="G2139" s="3" t="s">
        <v>1211</v>
      </c>
      <c r="H2139" s="3" t="s">
        <v>836</v>
      </c>
    </row>
    <row r="2140" spans="1:8">
      <c r="A2140" s="29">
        <v>42748.553703703707</v>
      </c>
      <c r="B2140" s="29" t="str">
        <f>PROPER(TEXT(tbLOG[[#This Row],[DATA/HORA]],"mmmm"))</f>
        <v>Janeiro</v>
      </c>
      <c r="C2140" s="34" t="str">
        <f>PROPER(TEXT(tbLOG[[#This Row],[DATA/HORA]],"dddd"))</f>
        <v>Sexta-Feira</v>
      </c>
      <c r="D2140" s="3" t="s">
        <v>604</v>
      </c>
      <c r="E2140" s="34" t="str">
        <f>IFERROR(VLOOKUP(tbLOG[[#This Row],[LOGIN]],tbMAPA[#All],2,0), "Não localizado")</f>
        <v>Renan Cazumba Tegani</v>
      </c>
      <c r="F2140" s="34" t="str">
        <f>IFERROR(VLOOKUP(tbLOG[[#This Row],[LOGIN]],tbMAPA[#All],3,0), "Não localizado")</f>
        <v>Reginaldo Santana De Souza</v>
      </c>
      <c r="G2140" s="3" t="s">
        <v>1211</v>
      </c>
      <c r="H2140" s="3" t="s">
        <v>836</v>
      </c>
    </row>
    <row r="2141" spans="1:8">
      <c r="A2141" s="29">
        <v>42748.555567129632</v>
      </c>
      <c r="B2141" s="29" t="str">
        <f>PROPER(TEXT(tbLOG[[#This Row],[DATA/HORA]],"mmmm"))</f>
        <v>Janeiro</v>
      </c>
      <c r="C2141" s="34" t="str">
        <f>PROPER(TEXT(tbLOG[[#This Row],[DATA/HORA]],"dddd"))</f>
        <v>Sexta-Feira</v>
      </c>
      <c r="D2141" s="3" t="s">
        <v>604</v>
      </c>
      <c r="E2141" s="34" t="str">
        <f>IFERROR(VLOOKUP(tbLOG[[#This Row],[LOGIN]],tbMAPA[#All],2,0), "Não localizado")</f>
        <v>Renan Cazumba Tegani</v>
      </c>
      <c r="F2141" s="34" t="str">
        <f>IFERROR(VLOOKUP(tbLOG[[#This Row],[LOGIN]],tbMAPA[#All],3,0), "Não localizado")</f>
        <v>Reginaldo Santana De Souza</v>
      </c>
      <c r="G2141" s="3" t="s">
        <v>1211</v>
      </c>
      <c r="H2141" s="3" t="s">
        <v>836</v>
      </c>
    </row>
    <row r="2142" spans="1:8">
      <c r="A2142" s="29">
        <v>42748.555590277778</v>
      </c>
      <c r="B2142" s="29" t="str">
        <f>PROPER(TEXT(tbLOG[[#This Row],[DATA/HORA]],"mmmm"))</f>
        <v>Janeiro</v>
      </c>
      <c r="C2142" s="34" t="str">
        <f>PROPER(TEXT(tbLOG[[#This Row],[DATA/HORA]],"dddd"))</f>
        <v>Sexta-Feira</v>
      </c>
      <c r="D2142" s="3" t="s">
        <v>604</v>
      </c>
      <c r="E2142" s="34" t="str">
        <f>IFERROR(VLOOKUP(tbLOG[[#This Row],[LOGIN]],tbMAPA[#All],2,0), "Não localizado")</f>
        <v>Renan Cazumba Tegani</v>
      </c>
      <c r="F2142" s="34" t="str">
        <f>IFERROR(VLOOKUP(tbLOG[[#This Row],[LOGIN]],tbMAPA[#All],3,0), "Não localizado")</f>
        <v>Reginaldo Santana De Souza</v>
      </c>
      <c r="G2142" s="3" t="s">
        <v>1211</v>
      </c>
      <c r="H2142" s="3" t="s">
        <v>836</v>
      </c>
    </row>
    <row r="2143" spans="1:8">
      <c r="A2143" s="29">
        <v>42748.555694444447</v>
      </c>
      <c r="B2143" s="29" t="str">
        <f>PROPER(TEXT(tbLOG[[#This Row],[DATA/HORA]],"mmmm"))</f>
        <v>Janeiro</v>
      </c>
      <c r="C2143" s="34" t="str">
        <f>PROPER(TEXT(tbLOG[[#This Row],[DATA/HORA]],"dddd"))</f>
        <v>Sexta-Feira</v>
      </c>
      <c r="D2143" s="3" t="s">
        <v>604</v>
      </c>
      <c r="E2143" s="34" t="str">
        <f>IFERROR(VLOOKUP(tbLOG[[#This Row],[LOGIN]],tbMAPA[#All],2,0), "Não localizado")</f>
        <v>Renan Cazumba Tegani</v>
      </c>
      <c r="F2143" s="34" t="str">
        <f>IFERROR(VLOOKUP(tbLOG[[#This Row],[LOGIN]],tbMAPA[#All],3,0), "Não localizado")</f>
        <v>Reginaldo Santana De Souza</v>
      </c>
      <c r="G2143" s="3" t="s">
        <v>1211</v>
      </c>
      <c r="H2143" s="3" t="s">
        <v>836</v>
      </c>
    </row>
    <row r="2144" spans="1:8">
      <c r="A2144" s="29">
        <v>42748.559328703705</v>
      </c>
      <c r="B2144" s="29" t="str">
        <f>PROPER(TEXT(tbLOG[[#This Row],[DATA/HORA]],"mmmm"))</f>
        <v>Janeiro</v>
      </c>
      <c r="C2144" s="34" t="str">
        <f>PROPER(TEXT(tbLOG[[#This Row],[DATA/HORA]],"dddd"))</f>
        <v>Sexta-Feira</v>
      </c>
      <c r="D2144" s="3" t="s">
        <v>604</v>
      </c>
      <c r="E2144" s="34" t="str">
        <f>IFERROR(VLOOKUP(tbLOG[[#This Row],[LOGIN]],tbMAPA[#All],2,0), "Não localizado")</f>
        <v>Renan Cazumba Tegani</v>
      </c>
      <c r="F2144" s="34" t="str">
        <f>IFERROR(VLOOKUP(tbLOG[[#This Row],[LOGIN]],tbMAPA[#All],3,0), "Não localizado")</f>
        <v>Reginaldo Santana De Souza</v>
      </c>
      <c r="G2144" s="3" t="s">
        <v>1211</v>
      </c>
      <c r="H2144" s="3" t="s">
        <v>836</v>
      </c>
    </row>
    <row r="2145" spans="1:8">
      <c r="A2145" s="29">
        <v>42748.559340277781</v>
      </c>
      <c r="B2145" s="29" t="str">
        <f>PROPER(TEXT(tbLOG[[#This Row],[DATA/HORA]],"mmmm"))</f>
        <v>Janeiro</v>
      </c>
      <c r="C2145" s="34" t="str">
        <f>PROPER(TEXT(tbLOG[[#This Row],[DATA/HORA]],"dddd"))</f>
        <v>Sexta-Feira</v>
      </c>
      <c r="D2145" s="3" t="s">
        <v>604</v>
      </c>
      <c r="E2145" s="34" t="str">
        <f>IFERROR(VLOOKUP(tbLOG[[#This Row],[LOGIN]],tbMAPA[#All],2,0), "Não localizado")</f>
        <v>Renan Cazumba Tegani</v>
      </c>
      <c r="F2145" s="34" t="str">
        <f>IFERROR(VLOOKUP(tbLOG[[#This Row],[LOGIN]],tbMAPA[#All],3,0), "Não localizado")</f>
        <v>Reginaldo Santana De Souza</v>
      </c>
      <c r="G2145" s="3" t="s">
        <v>1211</v>
      </c>
      <c r="H2145" s="3" t="s">
        <v>836</v>
      </c>
    </row>
    <row r="2146" spans="1:8">
      <c r="A2146" s="29">
        <v>42748.559398148151</v>
      </c>
      <c r="B2146" s="29" t="str">
        <f>PROPER(TEXT(tbLOG[[#This Row],[DATA/HORA]],"mmmm"))</f>
        <v>Janeiro</v>
      </c>
      <c r="C2146" s="34" t="str">
        <f>PROPER(TEXT(tbLOG[[#This Row],[DATA/HORA]],"dddd"))</f>
        <v>Sexta-Feira</v>
      </c>
      <c r="D2146" s="3" t="s">
        <v>604</v>
      </c>
      <c r="E2146" s="34" t="str">
        <f>IFERROR(VLOOKUP(tbLOG[[#This Row],[LOGIN]],tbMAPA[#All],2,0), "Não localizado")</f>
        <v>Renan Cazumba Tegani</v>
      </c>
      <c r="F2146" s="34" t="str">
        <f>IFERROR(VLOOKUP(tbLOG[[#This Row],[LOGIN]],tbMAPA[#All],3,0), "Não localizado")</f>
        <v>Reginaldo Santana De Souza</v>
      </c>
      <c r="G2146" s="3" t="s">
        <v>1211</v>
      </c>
      <c r="H2146" s="3" t="s">
        <v>836</v>
      </c>
    </row>
    <row r="2147" spans="1:8">
      <c r="A2147" s="29">
        <v>42748.563067129631</v>
      </c>
      <c r="B2147" s="29" t="str">
        <f>PROPER(TEXT(tbLOG[[#This Row],[DATA/HORA]],"mmmm"))</f>
        <v>Janeiro</v>
      </c>
      <c r="C2147" s="34" t="str">
        <f>PROPER(TEXT(tbLOG[[#This Row],[DATA/HORA]],"dddd"))</f>
        <v>Sexta-Feira</v>
      </c>
      <c r="D2147" s="3" t="s">
        <v>604</v>
      </c>
      <c r="E2147" s="34" t="str">
        <f>IFERROR(VLOOKUP(tbLOG[[#This Row],[LOGIN]],tbMAPA[#All],2,0), "Não localizado")</f>
        <v>Renan Cazumba Tegani</v>
      </c>
      <c r="F2147" s="34" t="str">
        <f>IFERROR(VLOOKUP(tbLOG[[#This Row],[LOGIN]],tbMAPA[#All],3,0), "Não localizado")</f>
        <v>Reginaldo Santana De Souza</v>
      </c>
      <c r="G2147" s="3" t="s">
        <v>1211</v>
      </c>
      <c r="H2147" s="3" t="s">
        <v>836</v>
      </c>
    </row>
    <row r="2148" spans="1:8">
      <c r="A2148" s="29">
        <v>42748.563101851854</v>
      </c>
      <c r="B2148" s="29" t="str">
        <f>PROPER(TEXT(tbLOG[[#This Row],[DATA/HORA]],"mmmm"))</f>
        <v>Janeiro</v>
      </c>
      <c r="C2148" s="34" t="str">
        <f>PROPER(TEXT(tbLOG[[#This Row],[DATA/HORA]],"dddd"))</f>
        <v>Sexta-Feira</v>
      </c>
      <c r="D2148" s="3" t="s">
        <v>604</v>
      </c>
      <c r="E2148" s="34" t="str">
        <f>IFERROR(VLOOKUP(tbLOG[[#This Row],[LOGIN]],tbMAPA[#All],2,0), "Não localizado")</f>
        <v>Renan Cazumba Tegani</v>
      </c>
      <c r="F2148" s="34" t="str">
        <f>IFERROR(VLOOKUP(tbLOG[[#This Row],[LOGIN]],tbMAPA[#All],3,0), "Não localizado")</f>
        <v>Reginaldo Santana De Souza</v>
      </c>
      <c r="G2148" s="3" t="s">
        <v>1211</v>
      </c>
      <c r="H2148" s="3" t="s">
        <v>836</v>
      </c>
    </row>
    <row r="2149" spans="1:8">
      <c r="A2149" s="29">
        <v>42748.563344907408</v>
      </c>
      <c r="B2149" s="29" t="str">
        <f>PROPER(TEXT(tbLOG[[#This Row],[DATA/HORA]],"mmmm"))</f>
        <v>Janeiro</v>
      </c>
      <c r="C2149" s="34" t="str">
        <f>PROPER(TEXT(tbLOG[[#This Row],[DATA/HORA]],"dddd"))</f>
        <v>Sexta-Feira</v>
      </c>
      <c r="D2149" s="3" t="s">
        <v>604</v>
      </c>
      <c r="E2149" s="34" t="str">
        <f>IFERROR(VLOOKUP(tbLOG[[#This Row],[LOGIN]],tbMAPA[#All],2,0), "Não localizado")</f>
        <v>Renan Cazumba Tegani</v>
      </c>
      <c r="F2149" s="34" t="str">
        <f>IFERROR(VLOOKUP(tbLOG[[#This Row],[LOGIN]],tbMAPA[#All],3,0), "Não localizado")</f>
        <v>Reginaldo Santana De Souza</v>
      </c>
      <c r="G2149" s="3" t="s">
        <v>1211</v>
      </c>
      <c r="H2149" s="3" t="s">
        <v>836</v>
      </c>
    </row>
    <row r="2150" spans="1:8">
      <c r="A2150" s="29">
        <v>42748.564733796295</v>
      </c>
      <c r="B2150" s="29" t="str">
        <f>PROPER(TEXT(tbLOG[[#This Row],[DATA/HORA]],"mmmm"))</f>
        <v>Janeiro</v>
      </c>
      <c r="C2150" s="34" t="str">
        <f>PROPER(TEXT(tbLOG[[#This Row],[DATA/HORA]],"dddd"))</f>
        <v>Sexta-Feira</v>
      </c>
      <c r="D2150" s="3" t="s">
        <v>604</v>
      </c>
      <c r="E2150" s="34" t="str">
        <f>IFERROR(VLOOKUP(tbLOG[[#This Row],[LOGIN]],tbMAPA[#All],2,0), "Não localizado")</f>
        <v>Renan Cazumba Tegani</v>
      </c>
      <c r="F2150" s="34" t="str">
        <f>IFERROR(VLOOKUP(tbLOG[[#This Row],[LOGIN]],tbMAPA[#All],3,0), "Não localizado")</f>
        <v>Reginaldo Santana De Souza</v>
      </c>
      <c r="G2150" s="3" t="s">
        <v>1211</v>
      </c>
      <c r="H2150" s="3" t="s">
        <v>836</v>
      </c>
    </row>
    <row r="2151" spans="1:8">
      <c r="A2151" s="29">
        <v>42748.564791666664</v>
      </c>
      <c r="B2151" s="29" t="str">
        <f>PROPER(TEXT(tbLOG[[#This Row],[DATA/HORA]],"mmmm"))</f>
        <v>Janeiro</v>
      </c>
      <c r="C2151" s="34" t="str">
        <f>PROPER(TEXT(tbLOG[[#This Row],[DATA/HORA]],"dddd"))</f>
        <v>Sexta-Feira</v>
      </c>
      <c r="D2151" s="3" t="s">
        <v>604</v>
      </c>
      <c r="E2151" s="34" t="str">
        <f>IFERROR(VLOOKUP(tbLOG[[#This Row],[LOGIN]],tbMAPA[#All],2,0), "Não localizado")</f>
        <v>Renan Cazumba Tegani</v>
      </c>
      <c r="F2151" s="34" t="str">
        <f>IFERROR(VLOOKUP(tbLOG[[#This Row],[LOGIN]],tbMAPA[#All],3,0), "Não localizado")</f>
        <v>Reginaldo Santana De Souza</v>
      </c>
      <c r="G2151" s="3" t="s">
        <v>1211</v>
      </c>
      <c r="H2151" s="3" t="s">
        <v>836</v>
      </c>
    </row>
    <row r="2152" spans="1:8">
      <c r="A2152" s="29">
        <v>42748.567974537036</v>
      </c>
      <c r="B2152" s="29" t="str">
        <f>PROPER(TEXT(tbLOG[[#This Row],[DATA/HORA]],"mmmm"))</f>
        <v>Janeiro</v>
      </c>
      <c r="C2152" s="34" t="str">
        <f>PROPER(TEXT(tbLOG[[#This Row],[DATA/HORA]],"dddd"))</f>
        <v>Sexta-Feira</v>
      </c>
      <c r="D2152" s="3" t="s">
        <v>604</v>
      </c>
      <c r="E2152" s="34" t="str">
        <f>IFERROR(VLOOKUP(tbLOG[[#This Row],[LOGIN]],tbMAPA[#All],2,0), "Não localizado")</f>
        <v>Renan Cazumba Tegani</v>
      </c>
      <c r="F2152" s="34" t="str">
        <f>IFERROR(VLOOKUP(tbLOG[[#This Row],[LOGIN]],tbMAPA[#All],3,0), "Não localizado")</f>
        <v>Reginaldo Santana De Souza</v>
      </c>
      <c r="G2152" s="3" t="s">
        <v>1211</v>
      </c>
      <c r="H2152" s="3" t="s">
        <v>836</v>
      </c>
    </row>
    <row r="2153" spans="1:8">
      <c r="A2153" s="29">
        <v>42748.568009259259</v>
      </c>
      <c r="B2153" s="29" t="str">
        <f>PROPER(TEXT(tbLOG[[#This Row],[DATA/HORA]],"mmmm"))</f>
        <v>Janeiro</v>
      </c>
      <c r="C2153" s="34" t="str">
        <f>PROPER(TEXT(tbLOG[[#This Row],[DATA/HORA]],"dddd"))</f>
        <v>Sexta-Feira</v>
      </c>
      <c r="D2153" s="3" t="s">
        <v>604</v>
      </c>
      <c r="E2153" s="34" t="str">
        <f>IFERROR(VLOOKUP(tbLOG[[#This Row],[LOGIN]],tbMAPA[#All],2,0), "Não localizado")</f>
        <v>Renan Cazumba Tegani</v>
      </c>
      <c r="F2153" s="34" t="str">
        <f>IFERROR(VLOOKUP(tbLOG[[#This Row],[LOGIN]],tbMAPA[#All],3,0), "Não localizado")</f>
        <v>Reginaldo Santana De Souza</v>
      </c>
      <c r="G2153" s="3" t="s">
        <v>1211</v>
      </c>
      <c r="H2153" s="3" t="s">
        <v>836</v>
      </c>
    </row>
    <row r="2154" spans="1:8">
      <c r="A2154" s="29">
        <v>42748.568310185183</v>
      </c>
      <c r="B2154" s="29" t="str">
        <f>PROPER(TEXT(tbLOG[[#This Row],[DATA/HORA]],"mmmm"))</f>
        <v>Janeiro</v>
      </c>
      <c r="C2154" s="34" t="str">
        <f>PROPER(TEXT(tbLOG[[#This Row],[DATA/HORA]],"dddd"))</f>
        <v>Sexta-Feira</v>
      </c>
      <c r="D2154" s="3" t="s">
        <v>604</v>
      </c>
      <c r="E2154" s="34" t="str">
        <f>IFERROR(VLOOKUP(tbLOG[[#This Row],[LOGIN]],tbMAPA[#All],2,0), "Não localizado")</f>
        <v>Renan Cazumba Tegani</v>
      </c>
      <c r="F2154" s="34" t="str">
        <f>IFERROR(VLOOKUP(tbLOG[[#This Row],[LOGIN]],tbMAPA[#All],3,0), "Não localizado")</f>
        <v>Reginaldo Santana De Souza</v>
      </c>
      <c r="G2154" s="3" t="s">
        <v>1211</v>
      </c>
      <c r="H2154" s="3" t="s">
        <v>836</v>
      </c>
    </row>
    <row r="2155" spans="1:8">
      <c r="A2155" s="29">
        <v>42748.570729166669</v>
      </c>
      <c r="B2155" s="29" t="str">
        <f>PROPER(TEXT(tbLOG[[#This Row],[DATA/HORA]],"mmmm"))</f>
        <v>Janeiro</v>
      </c>
      <c r="C2155" s="34" t="str">
        <f>PROPER(TEXT(tbLOG[[#This Row],[DATA/HORA]],"dddd"))</f>
        <v>Sexta-Feira</v>
      </c>
      <c r="D2155" s="3" t="s">
        <v>604</v>
      </c>
      <c r="E2155" s="34" t="str">
        <f>IFERROR(VLOOKUP(tbLOG[[#This Row],[LOGIN]],tbMAPA[#All],2,0), "Não localizado")</f>
        <v>Renan Cazumba Tegani</v>
      </c>
      <c r="F2155" s="34" t="str">
        <f>IFERROR(VLOOKUP(tbLOG[[#This Row],[LOGIN]],tbMAPA[#All],3,0), "Não localizado")</f>
        <v>Reginaldo Santana De Souza</v>
      </c>
      <c r="G2155" s="3" t="s">
        <v>1211</v>
      </c>
      <c r="H2155" s="3" t="s">
        <v>836</v>
      </c>
    </row>
    <row r="2156" spans="1:8">
      <c r="A2156" s="29">
        <v>42748.570752314816</v>
      </c>
      <c r="B2156" s="29" t="str">
        <f>PROPER(TEXT(tbLOG[[#This Row],[DATA/HORA]],"mmmm"))</f>
        <v>Janeiro</v>
      </c>
      <c r="C2156" s="34" t="str">
        <f>PROPER(TEXT(tbLOG[[#This Row],[DATA/HORA]],"dddd"))</f>
        <v>Sexta-Feira</v>
      </c>
      <c r="D2156" s="3" t="s">
        <v>604</v>
      </c>
      <c r="E2156" s="34" t="str">
        <f>IFERROR(VLOOKUP(tbLOG[[#This Row],[LOGIN]],tbMAPA[#All],2,0), "Não localizado")</f>
        <v>Renan Cazumba Tegani</v>
      </c>
      <c r="F2156" s="34" t="str">
        <f>IFERROR(VLOOKUP(tbLOG[[#This Row],[LOGIN]],tbMAPA[#All],3,0), "Não localizado")</f>
        <v>Reginaldo Santana De Souza</v>
      </c>
      <c r="G2156" s="3" t="s">
        <v>1211</v>
      </c>
      <c r="H2156" s="3" t="s">
        <v>836</v>
      </c>
    </row>
    <row r="2157" spans="1:8">
      <c r="A2157" s="29">
        <v>42748.570868055554</v>
      </c>
      <c r="B2157" s="29" t="str">
        <f>PROPER(TEXT(tbLOG[[#This Row],[DATA/HORA]],"mmmm"))</f>
        <v>Janeiro</v>
      </c>
      <c r="C2157" s="34" t="str">
        <f>PROPER(TEXT(tbLOG[[#This Row],[DATA/HORA]],"dddd"))</f>
        <v>Sexta-Feira</v>
      </c>
      <c r="D2157" s="3" t="s">
        <v>604</v>
      </c>
      <c r="E2157" s="34" t="str">
        <f>IFERROR(VLOOKUP(tbLOG[[#This Row],[LOGIN]],tbMAPA[#All],2,0), "Não localizado")</f>
        <v>Renan Cazumba Tegani</v>
      </c>
      <c r="F2157" s="34" t="str">
        <f>IFERROR(VLOOKUP(tbLOG[[#This Row],[LOGIN]],tbMAPA[#All],3,0), "Não localizado")</f>
        <v>Reginaldo Santana De Souza</v>
      </c>
      <c r="G2157" s="3" t="s">
        <v>1211</v>
      </c>
      <c r="H2157" s="3" t="s">
        <v>836</v>
      </c>
    </row>
    <row r="2158" spans="1:8">
      <c r="A2158" s="29">
        <v>42748.572222222225</v>
      </c>
      <c r="B2158" s="29" t="str">
        <f>PROPER(TEXT(tbLOG[[#This Row],[DATA/HORA]],"mmmm"))</f>
        <v>Janeiro</v>
      </c>
      <c r="C2158" s="34" t="str">
        <f>PROPER(TEXT(tbLOG[[#This Row],[DATA/HORA]],"dddd"))</f>
        <v>Sexta-Feira</v>
      </c>
      <c r="D2158" s="3" t="s">
        <v>604</v>
      </c>
      <c r="E2158" s="34" t="str">
        <f>IFERROR(VLOOKUP(tbLOG[[#This Row],[LOGIN]],tbMAPA[#All],2,0), "Não localizado")</f>
        <v>Renan Cazumba Tegani</v>
      </c>
      <c r="F2158" s="34" t="str">
        <f>IFERROR(VLOOKUP(tbLOG[[#This Row],[LOGIN]],tbMAPA[#All],3,0), "Não localizado")</f>
        <v>Reginaldo Santana De Souza</v>
      </c>
      <c r="G2158" s="3" t="s">
        <v>1211</v>
      </c>
      <c r="H2158" s="3" t="s">
        <v>836</v>
      </c>
    </row>
    <row r="2159" spans="1:8">
      <c r="A2159" s="29">
        <v>42748.572245370371</v>
      </c>
      <c r="B2159" s="29" t="str">
        <f>PROPER(TEXT(tbLOG[[#This Row],[DATA/HORA]],"mmmm"))</f>
        <v>Janeiro</v>
      </c>
      <c r="C2159" s="34" t="str">
        <f>PROPER(TEXT(tbLOG[[#This Row],[DATA/HORA]],"dddd"))</f>
        <v>Sexta-Feira</v>
      </c>
      <c r="D2159" s="3" t="s">
        <v>604</v>
      </c>
      <c r="E2159" s="34" t="str">
        <f>IFERROR(VLOOKUP(tbLOG[[#This Row],[LOGIN]],tbMAPA[#All],2,0), "Não localizado")</f>
        <v>Renan Cazumba Tegani</v>
      </c>
      <c r="F2159" s="34" t="str">
        <f>IFERROR(VLOOKUP(tbLOG[[#This Row],[LOGIN]],tbMAPA[#All],3,0), "Não localizado")</f>
        <v>Reginaldo Santana De Souza</v>
      </c>
      <c r="G2159" s="3" t="s">
        <v>1211</v>
      </c>
      <c r="H2159" s="3" t="s">
        <v>836</v>
      </c>
    </row>
    <row r="2160" spans="1:8">
      <c r="A2160" s="29">
        <v>42748.572291666664</v>
      </c>
      <c r="B2160" s="29" t="str">
        <f>PROPER(TEXT(tbLOG[[#This Row],[DATA/HORA]],"mmmm"))</f>
        <v>Janeiro</v>
      </c>
      <c r="C2160" s="34" t="str">
        <f>PROPER(TEXT(tbLOG[[#This Row],[DATA/HORA]],"dddd"))</f>
        <v>Sexta-Feira</v>
      </c>
      <c r="D2160" s="3" t="s">
        <v>604</v>
      </c>
      <c r="E2160" s="34" t="str">
        <f>IFERROR(VLOOKUP(tbLOG[[#This Row],[LOGIN]],tbMAPA[#All],2,0), "Não localizado")</f>
        <v>Renan Cazumba Tegani</v>
      </c>
      <c r="F2160" s="34" t="str">
        <f>IFERROR(VLOOKUP(tbLOG[[#This Row],[LOGIN]],tbMAPA[#All],3,0), "Não localizado")</f>
        <v>Reginaldo Santana De Souza</v>
      </c>
      <c r="G2160" s="3" t="s">
        <v>1211</v>
      </c>
      <c r="H2160" s="3" t="s">
        <v>836</v>
      </c>
    </row>
    <row r="2161" spans="1:8">
      <c r="A2161" s="29">
        <v>42748.573865740742</v>
      </c>
      <c r="B2161" s="29" t="str">
        <f>PROPER(TEXT(tbLOG[[#This Row],[DATA/HORA]],"mmmm"))</f>
        <v>Janeiro</v>
      </c>
      <c r="C2161" s="34" t="str">
        <f>PROPER(TEXT(tbLOG[[#This Row],[DATA/HORA]],"dddd"))</f>
        <v>Sexta-Feira</v>
      </c>
      <c r="D2161" s="3" t="s">
        <v>604</v>
      </c>
      <c r="E2161" s="34" t="str">
        <f>IFERROR(VLOOKUP(tbLOG[[#This Row],[LOGIN]],tbMAPA[#All],2,0), "Não localizado")</f>
        <v>Renan Cazumba Tegani</v>
      </c>
      <c r="F2161" s="34" t="str">
        <f>IFERROR(VLOOKUP(tbLOG[[#This Row],[LOGIN]],tbMAPA[#All],3,0), "Não localizado")</f>
        <v>Reginaldo Santana De Souza</v>
      </c>
      <c r="G2161" s="3" t="s">
        <v>1211</v>
      </c>
      <c r="H2161" s="3" t="s">
        <v>836</v>
      </c>
    </row>
    <row r="2162" spans="1:8">
      <c r="A2162" s="29">
        <v>42748.573900462965</v>
      </c>
      <c r="B2162" s="29" t="str">
        <f>PROPER(TEXT(tbLOG[[#This Row],[DATA/HORA]],"mmmm"))</f>
        <v>Janeiro</v>
      </c>
      <c r="C2162" s="34" t="str">
        <f>PROPER(TEXT(tbLOG[[#This Row],[DATA/HORA]],"dddd"))</f>
        <v>Sexta-Feira</v>
      </c>
      <c r="D2162" s="3" t="s">
        <v>604</v>
      </c>
      <c r="E2162" s="34" t="str">
        <f>IFERROR(VLOOKUP(tbLOG[[#This Row],[LOGIN]],tbMAPA[#All],2,0), "Não localizado")</f>
        <v>Renan Cazumba Tegani</v>
      </c>
      <c r="F2162" s="34" t="str">
        <f>IFERROR(VLOOKUP(tbLOG[[#This Row],[LOGIN]],tbMAPA[#All],3,0), "Não localizado")</f>
        <v>Reginaldo Santana De Souza</v>
      </c>
      <c r="G2162" s="3" t="s">
        <v>1211</v>
      </c>
      <c r="H2162" s="3" t="s">
        <v>836</v>
      </c>
    </row>
    <row r="2163" spans="1:8">
      <c r="A2163" s="29">
        <v>42748.573993055557</v>
      </c>
      <c r="B2163" s="29" t="str">
        <f>PROPER(TEXT(tbLOG[[#This Row],[DATA/HORA]],"mmmm"))</f>
        <v>Janeiro</v>
      </c>
      <c r="C2163" s="34" t="str">
        <f>PROPER(TEXT(tbLOG[[#This Row],[DATA/HORA]],"dddd"))</f>
        <v>Sexta-Feira</v>
      </c>
      <c r="D2163" s="3" t="s">
        <v>604</v>
      </c>
      <c r="E2163" s="34" t="str">
        <f>IFERROR(VLOOKUP(tbLOG[[#This Row],[LOGIN]],tbMAPA[#All],2,0), "Não localizado")</f>
        <v>Renan Cazumba Tegani</v>
      </c>
      <c r="F2163" s="34" t="str">
        <f>IFERROR(VLOOKUP(tbLOG[[#This Row],[LOGIN]],tbMAPA[#All],3,0), "Não localizado")</f>
        <v>Reginaldo Santana De Souza</v>
      </c>
      <c r="G2163" s="3" t="s">
        <v>1211</v>
      </c>
      <c r="H2163" s="3" t="s">
        <v>836</v>
      </c>
    </row>
    <row r="2164" spans="1:8">
      <c r="A2164" s="29">
        <v>42748.574201388888</v>
      </c>
      <c r="B2164" s="29" t="str">
        <f>PROPER(TEXT(tbLOG[[#This Row],[DATA/HORA]],"mmmm"))</f>
        <v>Janeiro</v>
      </c>
      <c r="C2164" s="34" t="str">
        <f>PROPER(TEXT(tbLOG[[#This Row],[DATA/HORA]],"dddd"))</f>
        <v>Sexta-Feira</v>
      </c>
      <c r="D2164" s="3" t="s">
        <v>604</v>
      </c>
      <c r="E2164" s="34" t="str">
        <f>IFERROR(VLOOKUP(tbLOG[[#This Row],[LOGIN]],tbMAPA[#All],2,0), "Não localizado")</f>
        <v>Renan Cazumba Tegani</v>
      </c>
      <c r="F2164" s="34" t="str">
        <f>IFERROR(VLOOKUP(tbLOG[[#This Row],[LOGIN]],tbMAPA[#All],3,0), "Não localizado")</f>
        <v>Reginaldo Santana De Souza</v>
      </c>
      <c r="G2164" s="3" t="s">
        <v>1211</v>
      </c>
      <c r="H2164" s="3" t="s">
        <v>836</v>
      </c>
    </row>
    <row r="2165" spans="1:8">
      <c r="A2165" s="29">
        <v>42748.574201388888</v>
      </c>
      <c r="B2165" s="29" t="str">
        <f>PROPER(TEXT(tbLOG[[#This Row],[DATA/HORA]],"mmmm"))</f>
        <v>Janeiro</v>
      </c>
      <c r="C2165" s="34" t="str">
        <f>PROPER(TEXT(tbLOG[[#This Row],[DATA/HORA]],"dddd"))</f>
        <v>Sexta-Feira</v>
      </c>
      <c r="D2165" s="3" t="s">
        <v>604</v>
      </c>
      <c r="E2165" s="34" t="str">
        <f>IFERROR(VLOOKUP(tbLOG[[#This Row],[LOGIN]],tbMAPA[#All],2,0), "Não localizado")</f>
        <v>Renan Cazumba Tegani</v>
      </c>
      <c r="F2165" s="34" t="str">
        <f>IFERROR(VLOOKUP(tbLOG[[#This Row],[LOGIN]],tbMAPA[#All],3,0), "Não localizado")</f>
        <v>Reginaldo Santana De Souza</v>
      </c>
      <c r="G2165" s="3" t="s">
        <v>1211</v>
      </c>
      <c r="H2165" s="3" t="s">
        <v>836</v>
      </c>
    </row>
    <row r="2166" spans="1:8">
      <c r="A2166" s="29">
        <v>42748.574282407404</v>
      </c>
      <c r="B2166" s="29" t="str">
        <f>PROPER(TEXT(tbLOG[[#This Row],[DATA/HORA]],"mmmm"))</f>
        <v>Janeiro</v>
      </c>
      <c r="C2166" s="34" t="str">
        <f>PROPER(TEXT(tbLOG[[#This Row],[DATA/HORA]],"dddd"))</f>
        <v>Sexta-Feira</v>
      </c>
      <c r="D2166" s="3" t="s">
        <v>604</v>
      </c>
      <c r="E2166" s="34" t="str">
        <f>IFERROR(VLOOKUP(tbLOG[[#This Row],[LOGIN]],tbMAPA[#All],2,0), "Não localizado")</f>
        <v>Renan Cazumba Tegani</v>
      </c>
      <c r="F2166" s="34" t="str">
        <f>IFERROR(VLOOKUP(tbLOG[[#This Row],[LOGIN]],tbMAPA[#All],3,0), "Não localizado")</f>
        <v>Reginaldo Santana De Souza</v>
      </c>
      <c r="G2166" s="3" t="s">
        <v>1211</v>
      </c>
      <c r="H2166" s="3" t="s">
        <v>836</v>
      </c>
    </row>
    <row r="2167" spans="1:8">
      <c r="A2167" s="29">
        <v>42748.574328703704</v>
      </c>
      <c r="B2167" s="29" t="str">
        <f>PROPER(TEXT(tbLOG[[#This Row],[DATA/HORA]],"mmmm"))</f>
        <v>Janeiro</v>
      </c>
      <c r="C2167" s="34" t="str">
        <f>PROPER(TEXT(tbLOG[[#This Row],[DATA/HORA]],"dddd"))</f>
        <v>Sexta-Feira</v>
      </c>
      <c r="D2167" s="3" t="s">
        <v>604</v>
      </c>
      <c r="E2167" s="34" t="str">
        <f>IFERROR(VLOOKUP(tbLOG[[#This Row],[LOGIN]],tbMAPA[#All],2,0), "Não localizado")</f>
        <v>Renan Cazumba Tegani</v>
      </c>
      <c r="F2167" s="34" t="str">
        <f>IFERROR(VLOOKUP(tbLOG[[#This Row],[LOGIN]],tbMAPA[#All],3,0), "Não localizado")</f>
        <v>Reginaldo Santana De Souza</v>
      </c>
      <c r="G2167" s="3" t="s">
        <v>1211</v>
      </c>
      <c r="H2167" s="3" t="s">
        <v>836</v>
      </c>
    </row>
    <row r="2168" spans="1:8">
      <c r="A2168" s="29">
        <v>42748.574652777781</v>
      </c>
      <c r="B2168" s="29" t="str">
        <f>PROPER(TEXT(tbLOG[[#This Row],[DATA/HORA]],"mmmm"))</f>
        <v>Janeiro</v>
      </c>
      <c r="C2168" s="34" t="str">
        <f>PROPER(TEXT(tbLOG[[#This Row],[DATA/HORA]],"dddd"))</f>
        <v>Sexta-Feira</v>
      </c>
      <c r="D2168" s="3" t="s">
        <v>604</v>
      </c>
      <c r="E2168" s="34" t="str">
        <f>IFERROR(VLOOKUP(tbLOG[[#This Row],[LOGIN]],tbMAPA[#All],2,0), "Não localizado")</f>
        <v>Renan Cazumba Tegani</v>
      </c>
      <c r="F2168" s="34" t="str">
        <f>IFERROR(VLOOKUP(tbLOG[[#This Row],[LOGIN]],tbMAPA[#All],3,0), "Não localizado")</f>
        <v>Reginaldo Santana De Souza</v>
      </c>
      <c r="G2168" s="3" t="s">
        <v>1211</v>
      </c>
      <c r="H2168" s="3" t="s">
        <v>836</v>
      </c>
    </row>
    <row r="2169" spans="1:8">
      <c r="A2169" s="29">
        <v>42748.577719907407</v>
      </c>
      <c r="B2169" s="29" t="str">
        <f>PROPER(TEXT(tbLOG[[#This Row],[DATA/HORA]],"mmmm"))</f>
        <v>Janeiro</v>
      </c>
      <c r="C2169" s="34" t="str">
        <f>PROPER(TEXT(tbLOG[[#This Row],[DATA/HORA]],"dddd"))</f>
        <v>Sexta-Feira</v>
      </c>
      <c r="D2169" s="3" t="s">
        <v>604</v>
      </c>
      <c r="E2169" s="34" t="str">
        <f>IFERROR(VLOOKUP(tbLOG[[#This Row],[LOGIN]],tbMAPA[#All],2,0), "Não localizado")</f>
        <v>Renan Cazumba Tegani</v>
      </c>
      <c r="F2169" s="34" t="str">
        <f>IFERROR(VLOOKUP(tbLOG[[#This Row],[LOGIN]],tbMAPA[#All],3,0), "Não localizado")</f>
        <v>Reginaldo Santana De Souza</v>
      </c>
      <c r="G2169" s="3" t="s">
        <v>1211</v>
      </c>
      <c r="H2169" s="3" t="s">
        <v>836</v>
      </c>
    </row>
    <row r="2170" spans="1:8">
      <c r="A2170" s="29">
        <v>42748.57775462963</v>
      </c>
      <c r="B2170" s="29" t="str">
        <f>PROPER(TEXT(tbLOG[[#This Row],[DATA/HORA]],"mmmm"))</f>
        <v>Janeiro</v>
      </c>
      <c r="C2170" s="34" t="str">
        <f>PROPER(TEXT(tbLOG[[#This Row],[DATA/HORA]],"dddd"))</f>
        <v>Sexta-Feira</v>
      </c>
      <c r="D2170" s="3" t="s">
        <v>604</v>
      </c>
      <c r="E2170" s="34" t="str">
        <f>IFERROR(VLOOKUP(tbLOG[[#This Row],[LOGIN]],tbMAPA[#All],2,0), "Não localizado")</f>
        <v>Renan Cazumba Tegani</v>
      </c>
      <c r="F2170" s="34" t="str">
        <f>IFERROR(VLOOKUP(tbLOG[[#This Row],[LOGIN]],tbMAPA[#All],3,0), "Não localizado")</f>
        <v>Reginaldo Santana De Souza</v>
      </c>
      <c r="G2170" s="3" t="s">
        <v>1211</v>
      </c>
      <c r="H2170" s="3" t="s">
        <v>836</v>
      </c>
    </row>
    <row r="2171" spans="1:8">
      <c r="A2171" s="29">
        <v>42748.577824074076</v>
      </c>
      <c r="B2171" s="29" t="str">
        <f>PROPER(TEXT(tbLOG[[#This Row],[DATA/HORA]],"mmmm"))</f>
        <v>Janeiro</v>
      </c>
      <c r="C2171" s="34" t="str">
        <f>PROPER(TEXT(tbLOG[[#This Row],[DATA/HORA]],"dddd"))</f>
        <v>Sexta-Feira</v>
      </c>
      <c r="D2171" s="3" t="s">
        <v>604</v>
      </c>
      <c r="E2171" s="34" t="str">
        <f>IFERROR(VLOOKUP(tbLOG[[#This Row],[LOGIN]],tbMAPA[#All],2,0), "Não localizado")</f>
        <v>Renan Cazumba Tegani</v>
      </c>
      <c r="F2171" s="34" t="str">
        <f>IFERROR(VLOOKUP(tbLOG[[#This Row],[LOGIN]],tbMAPA[#All],3,0), "Não localizado")</f>
        <v>Reginaldo Santana De Souza</v>
      </c>
      <c r="G2171" s="3" t="s">
        <v>1211</v>
      </c>
      <c r="H2171" s="3" t="s">
        <v>836</v>
      </c>
    </row>
    <row r="2172" spans="1:8">
      <c r="A2172" s="29">
        <v>42748.581342592595</v>
      </c>
      <c r="B2172" s="29" t="str">
        <f>PROPER(TEXT(tbLOG[[#This Row],[DATA/HORA]],"mmmm"))</f>
        <v>Janeiro</v>
      </c>
      <c r="C2172" s="34" t="str">
        <f>PROPER(TEXT(tbLOG[[#This Row],[DATA/HORA]],"dddd"))</f>
        <v>Sexta-Feira</v>
      </c>
      <c r="D2172" s="3" t="s">
        <v>604</v>
      </c>
      <c r="E2172" s="34" t="str">
        <f>IFERROR(VLOOKUP(tbLOG[[#This Row],[LOGIN]],tbMAPA[#All],2,0), "Não localizado")</f>
        <v>Renan Cazumba Tegani</v>
      </c>
      <c r="F2172" s="34" t="str">
        <f>IFERROR(VLOOKUP(tbLOG[[#This Row],[LOGIN]],tbMAPA[#All],3,0), "Não localizado")</f>
        <v>Reginaldo Santana De Souza</v>
      </c>
      <c r="G2172" s="3" t="s">
        <v>1211</v>
      </c>
      <c r="H2172" s="3" t="s">
        <v>836</v>
      </c>
    </row>
    <row r="2173" spans="1:8">
      <c r="A2173" s="29">
        <v>42748.584733796299</v>
      </c>
      <c r="B2173" s="29" t="str">
        <f>PROPER(TEXT(tbLOG[[#This Row],[DATA/HORA]],"mmmm"))</f>
        <v>Janeiro</v>
      </c>
      <c r="C2173" s="34" t="str">
        <f>PROPER(TEXT(tbLOG[[#This Row],[DATA/HORA]],"dddd"))</f>
        <v>Sexta-Feira</v>
      </c>
      <c r="D2173" s="3" t="s">
        <v>604</v>
      </c>
      <c r="E2173" s="34" t="str">
        <f>IFERROR(VLOOKUP(tbLOG[[#This Row],[LOGIN]],tbMAPA[#All],2,0), "Não localizado")</f>
        <v>Renan Cazumba Tegani</v>
      </c>
      <c r="F2173" s="34" t="str">
        <f>IFERROR(VLOOKUP(tbLOG[[#This Row],[LOGIN]],tbMAPA[#All],3,0), "Não localizado")</f>
        <v>Reginaldo Santana De Souza</v>
      </c>
      <c r="G2173" s="3" t="s">
        <v>1211</v>
      </c>
      <c r="H2173" s="3" t="s">
        <v>836</v>
      </c>
    </row>
    <row r="2174" spans="1:8">
      <c r="A2174" s="29">
        <v>42748.584756944445</v>
      </c>
      <c r="B2174" s="29" t="str">
        <f>PROPER(TEXT(tbLOG[[#This Row],[DATA/HORA]],"mmmm"))</f>
        <v>Janeiro</v>
      </c>
      <c r="C2174" s="34" t="str">
        <f>PROPER(TEXT(tbLOG[[#This Row],[DATA/HORA]],"dddd"))</f>
        <v>Sexta-Feira</v>
      </c>
      <c r="D2174" s="3" t="s">
        <v>604</v>
      </c>
      <c r="E2174" s="34" t="str">
        <f>IFERROR(VLOOKUP(tbLOG[[#This Row],[LOGIN]],tbMAPA[#All],2,0), "Não localizado")</f>
        <v>Renan Cazumba Tegani</v>
      </c>
      <c r="F2174" s="34" t="str">
        <f>IFERROR(VLOOKUP(tbLOG[[#This Row],[LOGIN]],tbMAPA[#All],3,0), "Não localizado")</f>
        <v>Reginaldo Santana De Souza</v>
      </c>
      <c r="G2174" s="3" t="s">
        <v>1211</v>
      </c>
      <c r="H2174" s="3" t="s">
        <v>836</v>
      </c>
    </row>
    <row r="2175" spans="1:8">
      <c r="A2175" s="29">
        <v>42748.584826388891</v>
      </c>
      <c r="B2175" s="29" t="str">
        <f>PROPER(TEXT(tbLOG[[#This Row],[DATA/HORA]],"mmmm"))</f>
        <v>Janeiro</v>
      </c>
      <c r="C2175" s="34" t="str">
        <f>PROPER(TEXT(tbLOG[[#This Row],[DATA/HORA]],"dddd"))</f>
        <v>Sexta-Feira</v>
      </c>
      <c r="D2175" s="3" t="s">
        <v>604</v>
      </c>
      <c r="E2175" s="34" t="str">
        <f>IFERROR(VLOOKUP(tbLOG[[#This Row],[LOGIN]],tbMAPA[#All],2,0), "Não localizado")</f>
        <v>Renan Cazumba Tegani</v>
      </c>
      <c r="F2175" s="34" t="str">
        <f>IFERROR(VLOOKUP(tbLOG[[#This Row],[LOGIN]],tbMAPA[#All],3,0), "Não localizado")</f>
        <v>Reginaldo Santana De Souza</v>
      </c>
      <c r="G2175" s="3" t="s">
        <v>1211</v>
      </c>
      <c r="H2175" s="3" t="s">
        <v>836</v>
      </c>
    </row>
    <row r="2176" spans="1:8">
      <c r="A2176" s="29">
        <v>42748.584849537037</v>
      </c>
      <c r="B2176" s="29" t="str">
        <f>PROPER(TEXT(tbLOG[[#This Row],[DATA/HORA]],"mmmm"))</f>
        <v>Janeiro</v>
      </c>
      <c r="C2176" s="34" t="str">
        <f>PROPER(TEXT(tbLOG[[#This Row],[DATA/HORA]],"dddd"))</f>
        <v>Sexta-Feira</v>
      </c>
      <c r="D2176" s="3" t="s">
        <v>604</v>
      </c>
      <c r="E2176" s="34" t="str">
        <f>IFERROR(VLOOKUP(tbLOG[[#This Row],[LOGIN]],tbMAPA[#All],2,0), "Não localizado")</f>
        <v>Renan Cazumba Tegani</v>
      </c>
      <c r="F2176" s="34" t="str">
        <f>IFERROR(VLOOKUP(tbLOG[[#This Row],[LOGIN]],tbMAPA[#All],3,0), "Não localizado")</f>
        <v>Reginaldo Santana De Souza</v>
      </c>
      <c r="G2176" s="3" t="s">
        <v>1211</v>
      </c>
      <c r="H2176" s="3" t="s">
        <v>290</v>
      </c>
    </row>
    <row r="2177" spans="1:8">
      <c r="A2177" s="29">
        <v>42748.587650462963</v>
      </c>
      <c r="B2177" s="29" t="str">
        <f>PROPER(TEXT(tbLOG[[#This Row],[DATA/HORA]],"mmmm"))</f>
        <v>Janeiro</v>
      </c>
      <c r="C2177" s="34" t="str">
        <f>PROPER(TEXT(tbLOG[[#This Row],[DATA/HORA]],"dddd"))</f>
        <v>Sexta-Feira</v>
      </c>
      <c r="D2177" s="3" t="s">
        <v>604</v>
      </c>
      <c r="E2177" s="34" t="str">
        <f>IFERROR(VLOOKUP(tbLOG[[#This Row],[LOGIN]],tbMAPA[#All],2,0), "Não localizado")</f>
        <v>Renan Cazumba Tegani</v>
      </c>
      <c r="F2177" s="34" t="str">
        <f>IFERROR(VLOOKUP(tbLOG[[#This Row],[LOGIN]],tbMAPA[#All],3,0), "Não localizado")</f>
        <v>Reginaldo Santana De Souza</v>
      </c>
      <c r="G2177" s="3" t="s">
        <v>1211</v>
      </c>
      <c r="H2177" s="3" t="s">
        <v>836</v>
      </c>
    </row>
    <row r="2178" spans="1:8">
      <c r="A2178" s="29">
        <v>42748.590127314812</v>
      </c>
      <c r="B2178" s="29" t="str">
        <f>PROPER(TEXT(tbLOG[[#This Row],[DATA/HORA]],"mmmm"))</f>
        <v>Janeiro</v>
      </c>
      <c r="C2178" s="34" t="str">
        <f>PROPER(TEXT(tbLOG[[#This Row],[DATA/HORA]],"dddd"))</f>
        <v>Sexta-Feira</v>
      </c>
      <c r="D2178" s="3" t="s">
        <v>604</v>
      </c>
      <c r="E2178" s="34" t="str">
        <f>IFERROR(VLOOKUP(tbLOG[[#This Row],[LOGIN]],tbMAPA[#All],2,0), "Não localizado")</f>
        <v>Renan Cazumba Tegani</v>
      </c>
      <c r="F2178" s="34" t="str">
        <f>IFERROR(VLOOKUP(tbLOG[[#This Row],[LOGIN]],tbMAPA[#All],3,0), "Não localizado")</f>
        <v>Reginaldo Santana De Souza</v>
      </c>
      <c r="G2178" s="3" t="s">
        <v>1211</v>
      </c>
      <c r="H2178" s="3" t="s">
        <v>836</v>
      </c>
    </row>
    <row r="2179" spans="1:8">
      <c r="A2179" s="29">
        <v>42748.590162037035</v>
      </c>
      <c r="B2179" s="29" t="str">
        <f>PROPER(TEXT(tbLOG[[#This Row],[DATA/HORA]],"mmmm"))</f>
        <v>Janeiro</v>
      </c>
      <c r="C2179" s="34" t="str">
        <f>PROPER(TEXT(tbLOG[[#This Row],[DATA/HORA]],"dddd"))</f>
        <v>Sexta-Feira</v>
      </c>
      <c r="D2179" s="3" t="s">
        <v>604</v>
      </c>
      <c r="E2179" s="34" t="str">
        <f>IFERROR(VLOOKUP(tbLOG[[#This Row],[LOGIN]],tbMAPA[#All],2,0), "Não localizado")</f>
        <v>Renan Cazumba Tegani</v>
      </c>
      <c r="F2179" s="34" t="str">
        <f>IFERROR(VLOOKUP(tbLOG[[#This Row],[LOGIN]],tbMAPA[#All],3,0), "Não localizado")</f>
        <v>Reginaldo Santana De Souza</v>
      </c>
      <c r="G2179" s="3" t="s">
        <v>1211</v>
      </c>
      <c r="H2179" s="3" t="s">
        <v>836</v>
      </c>
    </row>
    <row r="2180" spans="1:8">
      <c r="A2180" s="29">
        <v>42748.590243055558</v>
      </c>
      <c r="B2180" s="29" t="str">
        <f>PROPER(TEXT(tbLOG[[#This Row],[DATA/HORA]],"mmmm"))</f>
        <v>Janeiro</v>
      </c>
      <c r="C2180" s="34" t="str">
        <f>PROPER(TEXT(tbLOG[[#This Row],[DATA/HORA]],"dddd"))</f>
        <v>Sexta-Feira</v>
      </c>
      <c r="D2180" s="3" t="s">
        <v>604</v>
      </c>
      <c r="E2180" s="34" t="str">
        <f>IFERROR(VLOOKUP(tbLOG[[#This Row],[LOGIN]],tbMAPA[#All],2,0), "Não localizado")</f>
        <v>Renan Cazumba Tegani</v>
      </c>
      <c r="F2180" s="34" t="str">
        <f>IFERROR(VLOOKUP(tbLOG[[#This Row],[LOGIN]],tbMAPA[#All],3,0), "Não localizado")</f>
        <v>Reginaldo Santana De Souza</v>
      </c>
      <c r="G2180" s="3" t="s">
        <v>1211</v>
      </c>
      <c r="H2180" s="3" t="s">
        <v>836</v>
      </c>
    </row>
    <row r="2181" spans="1:8">
      <c r="A2181" s="29">
        <v>42748.590312499997</v>
      </c>
      <c r="B2181" s="29" t="str">
        <f>PROPER(TEXT(tbLOG[[#This Row],[DATA/HORA]],"mmmm"))</f>
        <v>Janeiro</v>
      </c>
      <c r="C2181" s="34" t="str">
        <f>PROPER(TEXT(tbLOG[[#This Row],[DATA/HORA]],"dddd"))</f>
        <v>Sexta-Feira</v>
      </c>
      <c r="D2181" s="3" t="s">
        <v>604</v>
      </c>
      <c r="E2181" s="34" t="str">
        <f>IFERROR(VLOOKUP(tbLOG[[#This Row],[LOGIN]],tbMAPA[#All],2,0), "Não localizado")</f>
        <v>Renan Cazumba Tegani</v>
      </c>
      <c r="F2181" s="34" t="str">
        <f>IFERROR(VLOOKUP(tbLOG[[#This Row],[LOGIN]],tbMAPA[#All],3,0), "Não localizado")</f>
        <v>Reginaldo Santana De Souza</v>
      </c>
      <c r="G2181" s="3" t="s">
        <v>1211</v>
      </c>
      <c r="H2181" s="3" t="s">
        <v>836</v>
      </c>
    </row>
    <row r="2182" spans="1:8">
      <c r="A2182" s="29">
        <v>42748.595729166664</v>
      </c>
      <c r="B2182" s="29" t="str">
        <f>PROPER(TEXT(tbLOG[[#This Row],[DATA/HORA]],"mmmm"))</f>
        <v>Janeiro</v>
      </c>
      <c r="C2182" s="34" t="str">
        <f>PROPER(TEXT(tbLOG[[#This Row],[DATA/HORA]],"dddd"))</f>
        <v>Sexta-Feira</v>
      </c>
      <c r="D2182" s="3" t="s">
        <v>604</v>
      </c>
      <c r="E2182" s="34" t="str">
        <f>IFERROR(VLOOKUP(tbLOG[[#This Row],[LOGIN]],tbMAPA[#All],2,0), "Não localizado")</f>
        <v>Renan Cazumba Tegani</v>
      </c>
      <c r="F2182" s="34" t="str">
        <f>IFERROR(VLOOKUP(tbLOG[[#This Row],[LOGIN]],tbMAPA[#All],3,0), "Não localizado")</f>
        <v>Reginaldo Santana De Souza</v>
      </c>
      <c r="G2182" s="3" t="s">
        <v>1211</v>
      </c>
      <c r="H2182" s="3" t="s">
        <v>836</v>
      </c>
    </row>
    <row r="2183" spans="1:8">
      <c r="A2183" s="29">
        <v>42748.59574074074</v>
      </c>
      <c r="B2183" s="29" t="str">
        <f>PROPER(TEXT(tbLOG[[#This Row],[DATA/HORA]],"mmmm"))</f>
        <v>Janeiro</v>
      </c>
      <c r="C2183" s="34" t="str">
        <f>PROPER(TEXT(tbLOG[[#This Row],[DATA/HORA]],"dddd"))</f>
        <v>Sexta-Feira</v>
      </c>
      <c r="D2183" s="3" t="s">
        <v>604</v>
      </c>
      <c r="E2183" s="34" t="str">
        <f>IFERROR(VLOOKUP(tbLOG[[#This Row],[LOGIN]],tbMAPA[#All],2,0), "Não localizado")</f>
        <v>Renan Cazumba Tegani</v>
      </c>
      <c r="F2183" s="34" t="str">
        <f>IFERROR(VLOOKUP(tbLOG[[#This Row],[LOGIN]],tbMAPA[#All],3,0), "Não localizado")</f>
        <v>Reginaldo Santana De Souza</v>
      </c>
      <c r="G2183" s="3" t="s">
        <v>1211</v>
      </c>
      <c r="H2183" s="3" t="s">
        <v>836</v>
      </c>
    </row>
    <row r="2184" spans="1:8">
      <c r="A2184" s="29">
        <v>42748.595821759256</v>
      </c>
      <c r="B2184" s="29" t="str">
        <f>PROPER(TEXT(tbLOG[[#This Row],[DATA/HORA]],"mmmm"))</f>
        <v>Janeiro</v>
      </c>
      <c r="C2184" s="34" t="str">
        <f>PROPER(TEXT(tbLOG[[#This Row],[DATA/HORA]],"dddd"))</f>
        <v>Sexta-Feira</v>
      </c>
      <c r="D2184" s="3" t="s">
        <v>604</v>
      </c>
      <c r="E2184" s="34" t="str">
        <f>IFERROR(VLOOKUP(tbLOG[[#This Row],[LOGIN]],tbMAPA[#All],2,0), "Não localizado")</f>
        <v>Renan Cazumba Tegani</v>
      </c>
      <c r="F2184" s="34" t="str">
        <f>IFERROR(VLOOKUP(tbLOG[[#This Row],[LOGIN]],tbMAPA[#All],3,0), "Não localizado")</f>
        <v>Reginaldo Santana De Souza</v>
      </c>
      <c r="G2184" s="3" t="s">
        <v>1211</v>
      </c>
      <c r="H2184" s="3" t="s">
        <v>836</v>
      </c>
    </row>
    <row r="2185" spans="1:8">
      <c r="A2185" s="29">
        <v>42748.597731481481</v>
      </c>
      <c r="B2185" s="29" t="str">
        <f>PROPER(TEXT(tbLOG[[#This Row],[DATA/HORA]],"mmmm"))</f>
        <v>Janeiro</v>
      </c>
      <c r="C2185" s="34" t="str">
        <f>PROPER(TEXT(tbLOG[[#This Row],[DATA/HORA]],"dddd"))</f>
        <v>Sexta-Feira</v>
      </c>
      <c r="D2185" s="3" t="s">
        <v>604</v>
      </c>
      <c r="E2185" s="34" t="str">
        <f>IFERROR(VLOOKUP(tbLOG[[#This Row],[LOGIN]],tbMAPA[#All],2,0), "Não localizado")</f>
        <v>Renan Cazumba Tegani</v>
      </c>
      <c r="F2185" s="34" t="str">
        <f>IFERROR(VLOOKUP(tbLOG[[#This Row],[LOGIN]],tbMAPA[#All],3,0), "Não localizado")</f>
        <v>Reginaldo Santana De Souza</v>
      </c>
      <c r="G2185" s="3" t="s">
        <v>1211</v>
      </c>
      <c r="H2185" s="3" t="s">
        <v>836</v>
      </c>
    </row>
    <row r="2186" spans="1:8">
      <c r="A2186" s="29">
        <v>42748.597766203704</v>
      </c>
      <c r="B2186" s="29" t="str">
        <f>PROPER(TEXT(tbLOG[[#This Row],[DATA/HORA]],"mmmm"))</f>
        <v>Janeiro</v>
      </c>
      <c r="C2186" s="34" t="str">
        <f>PROPER(TEXT(tbLOG[[#This Row],[DATA/HORA]],"dddd"))</f>
        <v>Sexta-Feira</v>
      </c>
      <c r="D2186" s="3" t="s">
        <v>604</v>
      </c>
      <c r="E2186" s="34" t="str">
        <f>IFERROR(VLOOKUP(tbLOG[[#This Row],[LOGIN]],tbMAPA[#All],2,0), "Não localizado")</f>
        <v>Renan Cazumba Tegani</v>
      </c>
      <c r="F2186" s="34" t="str">
        <f>IFERROR(VLOOKUP(tbLOG[[#This Row],[LOGIN]],tbMAPA[#All],3,0), "Não localizado")</f>
        <v>Reginaldo Santana De Souza</v>
      </c>
      <c r="G2186" s="3" t="s">
        <v>1211</v>
      </c>
      <c r="H2186" s="3" t="s">
        <v>290</v>
      </c>
    </row>
    <row r="2187" spans="1:8">
      <c r="A2187" s="29">
        <v>42748.597824074073</v>
      </c>
      <c r="B2187" s="29" t="str">
        <f>PROPER(TEXT(tbLOG[[#This Row],[DATA/HORA]],"mmmm"))</f>
        <v>Janeiro</v>
      </c>
      <c r="C2187" s="34" t="str">
        <f>PROPER(TEXT(tbLOG[[#This Row],[DATA/HORA]],"dddd"))</f>
        <v>Sexta-Feira</v>
      </c>
      <c r="D2187" s="3" t="s">
        <v>604</v>
      </c>
      <c r="E2187" s="34" t="str">
        <f>IFERROR(VLOOKUP(tbLOG[[#This Row],[LOGIN]],tbMAPA[#All],2,0), "Não localizado")</f>
        <v>Renan Cazumba Tegani</v>
      </c>
      <c r="F2187" s="34" t="str">
        <f>IFERROR(VLOOKUP(tbLOG[[#This Row],[LOGIN]],tbMAPA[#All],3,0), "Não localizado")</f>
        <v>Reginaldo Santana De Souza</v>
      </c>
      <c r="G2187" s="3" t="s">
        <v>1211</v>
      </c>
      <c r="H2187" s="3" t="s">
        <v>290</v>
      </c>
    </row>
    <row r="2188" spans="1:8">
      <c r="A2188" s="29">
        <v>42748.648055555554</v>
      </c>
      <c r="B2188" s="29" t="str">
        <f>PROPER(TEXT(tbLOG[[#This Row],[DATA/HORA]],"mmmm"))</f>
        <v>Janeiro</v>
      </c>
      <c r="C2188" s="34" t="str">
        <f>PROPER(TEXT(tbLOG[[#This Row],[DATA/HORA]],"dddd"))</f>
        <v>Sexta-Feira</v>
      </c>
      <c r="D2188" s="3" t="s">
        <v>604</v>
      </c>
      <c r="E2188" s="34" t="str">
        <f>IFERROR(VLOOKUP(tbLOG[[#This Row],[LOGIN]],tbMAPA[#All],2,0), "Não localizado")</f>
        <v>Renan Cazumba Tegani</v>
      </c>
      <c r="F2188" s="34" t="str">
        <f>IFERROR(VLOOKUP(tbLOG[[#This Row],[LOGIN]],tbMAPA[#All],3,0), "Não localizado")</f>
        <v>Reginaldo Santana De Souza</v>
      </c>
      <c r="G2188" s="3" t="s">
        <v>1211</v>
      </c>
      <c r="H2188" s="3" t="s">
        <v>836</v>
      </c>
    </row>
    <row r="2189" spans="1:8">
      <c r="A2189" s="29">
        <v>42748.652615740742</v>
      </c>
      <c r="B2189" s="29" t="str">
        <f>PROPER(TEXT(tbLOG[[#This Row],[DATA/HORA]],"mmmm"))</f>
        <v>Janeiro</v>
      </c>
      <c r="C2189" s="34" t="str">
        <f>PROPER(TEXT(tbLOG[[#This Row],[DATA/HORA]],"dddd"))</f>
        <v>Sexta-Feira</v>
      </c>
      <c r="D2189" s="3" t="s">
        <v>604</v>
      </c>
      <c r="E2189" s="34" t="str">
        <f>IFERROR(VLOOKUP(tbLOG[[#This Row],[LOGIN]],tbMAPA[#All],2,0), "Não localizado")</f>
        <v>Renan Cazumba Tegani</v>
      </c>
      <c r="F2189" s="34" t="str">
        <f>IFERROR(VLOOKUP(tbLOG[[#This Row],[LOGIN]],tbMAPA[#All],3,0), "Não localizado")</f>
        <v>Reginaldo Santana De Souza</v>
      </c>
      <c r="G2189" s="3" t="s">
        <v>1211</v>
      </c>
      <c r="H2189" s="3" t="s">
        <v>836</v>
      </c>
    </row>
    <row r="2190" spans="1:8">
      <c r="A2190" s="29">
        <v>42748.652627314812</v>
      </c>
      <c r="B2190" s="29" t="str">
        <f>PROPER(TEXT(tbLOG[[#This Row],[DATA/HORA]],"mmmm"))</f>
        <v>Janeiro</v>
      </c>
      <c r="C2190" s="34" t="str">
        <f>PROPER(TEXT(tbLOG[[#This Row],[DATA/HORA]],"dddd"))</f>
        <v>Sexta-Feira</v>
      </c>
      <c r="D2190" s="3" t="s">
        <v>604</v>
      </c>
      <c r="E2190" s="34" t="str">
        <f>IFERROR(VLOOKUP(tbLOG[[#This Row],[LOGIN]],tbMAPA[#All],2,0), "Não localizado")</f>
        <v>Renan Cazumba Tegani</v>
      </c>
      <c r="F2190" s="34" t="str">
        <f>IFERROR(VLOOKUP(tbLOG[[#This Row],[LOGIN]],tbMAPA[#All],3,0), "Não localizado")</f>
        <v>Reginaldo Santana De Souza</v>
      </c>
      <c r="G2190" s="3" t="s">
        <v>1211</v>
      </c>
      <c r="H2190" s="3" t="s">
        <v>836</v>
      </c>
    </row>
    <row r="2191" spans="1:8">
      <c r="A2191" s="29">
        <v>42748.652719907404</v>
      </c>
      <c r="B2191" s="29" t="str">
        <f>PROPER(TEXT(tbLOG[[#This Row],[DATA/HORA]],"mmmm"))</f>
        <v>Janeiro</v>
      </c>
      <c r="C2191" s="34" t="str">
        <f>PROPER(TEXT(tbLOG[[#This Row],[DATA/HORA]],"dddd"))</f>
        <v>Sexta-Feira</v>
      </c>
      <c r="D2191" s="3" t="s">
        <v>604</v>
      </c>
      <c r="E2191" s="34" t="str">
        <f>IFERROR(VLOOKUP(tbLOG[[#This Row],[LOGIN]],tbMAPA[#All],2,0), "Não localizado")</f>
        <v>Renan Cazumba Tegani</v>
      </c>
      <c r="F2191" s="34" t="str">
        <f>IFERROR(VLOOKUP(tbLOG[[#This Row],[LOGIN]],tbMAPA[#All],3,0), "Não localizado")</f>
        <v>Reginaldo Santana De Souza</v>
      </c>
      <c r="G2191" s="3" t="s">
        <v>1211</v>
      </c>
      <c r="H2191" s="3" t="s">
        <v>836</v>
      </c>
    </row>
    <row r="2192" spans="1:8">
      <c r="A2192" s="29">
        <v>42748.657060185185</v>
      </c>
      <c r="B2192" s="29" t="str">
        <f>PROPER(TEXT(tbLOG[[#This Row],[DATA/HORA]],"mmmm"))</f>
        <v>Janeiro</v>
      </c>
      <c r="C2192" s="34" t="str">
        <f>PROPER(TEXT(tbLOG[[#This Row],[DATA/HORA]],"dddd"))</f>
        <v>Sexta-Feira</v>
      </c>
      <c r="D2192" s="3" t="s">
        <v>604</v>
      </c>
      <c r="E2192" s="34" t="str">
        <f>IFERROR(VLOOKUP(tbLOG[[#This Row],[LOGIN]],tbMAPA[#All],2,0), "Não localizado")</f>
        <v>Renan Cazumba Tegani</v>
      </c>
      <c r="F2192" s="34" t="str">
        <f>IFERROR(VLOOKUP(tbLOG[[#This Row],[LOGIN]],tbMAPA[#All],3,0), "Não localizado")</f>
        <v>Reginaldo Santana De Souza</v>
      </c>
      <c r="G2192" s="3" t="s">
        <v>1211</v>
      </c>
      <c r="H2192" s="3" t="s">
        <v>836</v>
      </c>
    </row>
    <row r="2193" spans="1:8">
      <c r="A2193" s="29">
        <v>42748.657071759262</v>
      </c>
      <c r="B2193" s="29" t="str">
        <f>PROPER(TEXT(tbLOG[[#This Row],[DATA/HORA]],"mmmm"))</f>
        <v>Janeiro</v>
      </c>
      <c r="C2193" s="34" t="str">
        <f>PROPER(TEXT(tbLOG[[#This Row],[DATA/HORA]],"dddd"))</f>
        <v>Sexta-Feira</v>
      </c>
      <c r="D2193" s="3" t="s">
        <v>604</v>
      </c>
      <c r="E2193" s="34" t="str">
        <f>IFERROR(VLOOKUP(tbLOG[[#This Row],[LOGIN]],tbMAPA[#All],2,0), "Não localizado")</f>
        <v>Renan Cazumba Tegani</v>
      </c>
      <c r="F2193" s="34" t="str">
        <f>IFERROR(VLOOKUP(tbLOG[[#This Row],[LOGIN]],tbMAPA[#All],3,0), "Não localizado")</f>
        <v>Reginaldo Santana De Souza</v>
      </c>
      <c r="G2193" s="3" t="s">
        <v>1211</v>
      </c>
      <c r="H2193" s="3" t="s">
        <v>836</v>
      </c>
    </row>
    <row r="2194" spans="1:8">
      <c r="A2194" s="29">
        <v>42748.657164351855</v>
      </c>
      <c r="B2194" s="29" t="str">
        <f>PROPER(TEXT(tbLOG[[#This Row],[DATA/HORA]],"mmmm"))</f>
        <v>Janeiro</v>
      </c>
      <c r="C2194" s="34" t="str">
        <f>PROPER(TEXT(tbLOG[[#This Row],[DATA/HORA]],"dddd"))</f>
        <v>Sexta-Feira</v>
      </c>
      <c r="D2194" s="3" t="s">
        <v>604</v>
      </c>
      <c r="E2194" s="34" t="str">
        <f>IFERROR(VLOOKUP(tbLOG[[#This Row],[LOGIN]],tbMAPA[#All],2,0), "Não localizado")</f>
        <v>Renan Cazumba Tegani</v>
      </c>
      <c r="F2194" s="34" t="str">
        <f>IFERROR(VLOOKUP(tbLOG[[#This Row],[LOGIN]],tbMAPA[#All],3,0), "Não localizado")</f>
        <v>Reginaldo Santana De Souza</v>
      </c>
      <c r="G2194" s="3" t="s">
        <v>1211</v>
      </c>
      <c r="H2194" s="3" t="s">
        <v>836</v>
      </c>
    </row>
    <row r="2195" spans="1:8">
      <c r="A2195" s="29">
        <v>42748.66065972222</v>
      </c>
      <c r="B2195" s="29" t="str">
        <f>PROPER(TEXT(tbLOG[[#This Row],[DATA/HORA]],"mmmm"))</f>
        <v>Janeiro</v>
      </c>
      <c r="C2195" s="34" t="str">
        <f>PROPER(TEXT(tbLOG[[#This Row],[DATA/HORA]],"dddd"))</f>
        <v>Sexta-Feira</v>
      </c>
      <c r="D2195" s="3" t="s">
        <v>604</v>
      </c>
      <c r="E2195" s="34" t="str">
        <f>IFERROR(VLOOKUP(tbLOG[[#This Row],[LOGIN]],tbMAPA[#All],2,0), "Não localizado")</f>
        <v>Renan Cazumba Tegani</v>
      </c>
      <c r="F2195" s="34" t="str">
        <f>IFERROR(VLOOKUP(tbLOG[[#This Row],[LOGIN]],tbMAPA[#All],3,0), "Não localizado")</f>
        <v>Reginaldo Santana De Souza</v>
      </c>
      <c r="G2195" s="3" t="s">
        <v>1211</v>
      </c>
      <c r="H2195" s="3" t="s">
        <v>836</v>
      </c>
    </row>
    <row r="2196" spans="1:8">
      <c r="A2196" s="29">
        <v>42748.660671296297</v>
      </c>
      <c r="B2196" s="29" t="str">
        <f>PROPER(TEXT(tbLOG[[#This Row],[DATA/HORA]],"mmmm"))</f>
        <v>Janeiro</v>
      </c>
      <c r="C2196" s="34" t="str">
        <f>PROPER(TEXT(tbLOG[[#This Row],[DATA/HORA]],"dddd"))</f>
        <v>Sexta-Feira</v>
      </c>
      <c r="D2196" s="3" t="s">
        <v>604</v>
      </c>
      <c r="E2196" s="34" t="str">
        <f>IFERROR(VLOOKUP(tbLOG[[#This Row],[LOGIN]],tbMAPA[#All],2,0), "Não localizado")</f>
        <v>Renan Cazumba Tegani</v>
      </c>
      <c r="F2196" s="34" t="str">
        <f>IFERROR(VLOOKUP(tbLOG[[#This Row],[LOGIN]],tbMAPA[#All],3,0), "Não localizado")</f>
        <v>Reginaldo Santana De Souza</v>
      </c>
      <c r="G2196" s="3" t="s">
        <v>1211</v>
      </c>
      <c r="H2196" s="3" t="s">
        <v>836</v>
      </c>
    </row>
    <row r="2197" spans="1:8">
      <c r="A2197" s="29">
        <v>42748.660694444443</v>
      </c>
      <c r="B2197" s="29" t="str">
        <f>PROPER(TEXT(tbLOG[[#This Row],[DATA/HORA]],"mmmm"))</f>
        <v>Janeiro</v>
      </c>
      <c r="C2197" s="34" t="str">
        <f>PROPER(TEXT(tbLOG[[#This Row],[DATA/HORA]],"dddd"))</f>
        <v>Sexta-Feira</v>
      </c>
      <c r="D2197" s="3" t="s">
        <v>604</v>
      </c>
      <c r="E2197" s="34" t="str">
        <f>IFERROR(VLOOKUP(tbLOG[[#This Row],[LOGIN]],tbMAPA[#All],2,0), "Não localizado")</f>
        <v>Renan Cazumba Tegani</v>
      </c>
      <c r="F2197" s="34" t="str">
        <f>IFERROR(VLOOKUP(tbLOG[[#This Row],[LOGIN]],tbMAPA[#All],3,0), "Não localizado")</f>
        <v>Reginaldo Santana De Souza</v>
      </c>
      <c r="G2197" s="3" t="s">
        <v>1211</v>
      </c>
      <c r="H2197" s="3" t="s">
        <v>836</v>
      </c>
    </row>
    <row r="2198" spans="1:8">
      <c r="A2198" s="29">
        <v>42748.660717592589</v>
      </c>
      <c r="B2198" s="29" t="str">
        <f>PROPER(TEXT(tbLOG[[#This Row],[DATA/HORA]],"mmmm"))</f>
        <v>Janeiro</v>
      </c>
      <c r="C2198" s="34" t="str">
        <f>PROPER(TEXT(tbLOG[[#This Row],[DATA/HORA]],"dddd"))</f>
        <v>Sexta-Feira</v>
      </c>
      <c r="D2198" s="3" t="s">
        <v>604</v>
      </c>
      <c r="E2198" s="34" t="str">
        <f>IFERROR(VLOOKUP(tbLOG[[#This Row],[LOGIN]],tbMAPA[#All],2,0), "Não localizado")</f>
        <v>Renan Cazumba Tegani</v>
      </c>
      <c r="F2198" s="34" t="str">
        <f>IFERROR(VLOOKUP(tbLOG[[#This Row],[LOGIN]],tbMAPA[#All],3,0), "Não localizado")</f>
        <v>Reginaldo Santana De Souza</v>
      </c>
      <c r="G2198" s="3" t="s">
        <v>1211</v>
      </c>
      <c r="H2198" s="3" t="s">
        <v>836</v>
      </c>
    </row>
    <row r="2199" spans="1:8">
      <c r="A2199" s="29">
        <v>42748.663287037038</v>
      </c>
      <c r="B2199" s="29" t="str">
        <f>PROPER(TEXT(tbLOG[[#This Row],[DATA/HORA]],"mmmm"))</f>
        <v>Janeiro</v>
      </c>
      <c r="C2199" s="34" t="str">
        <f>PROPER(TEXT(tbLOG[[#This Row],[DATA/HORA]],"dddd"))</f>
        <v>Sexta-Feira</v>
      </c>
      <c r="D2199" s="3" t="s">
        <v>604</v>
      </c>
      <c r="E2199" s="34" t="str">
        <f>IFERROR(VLOOKUP(tbLOG[[#This Row],[LOGIN]],tbMAPA[#All],2,0), "Não localizado")</f>
        <v>Renan Cazumba Tegani</v>
      </c>
      <c r="F2199" s="34" t="str">
        <f>IFERROR(VLOOKUP(tbLOG[[#This Row],[LOGIN]],tbMAPA[#All],3,0), "Não localizado")</f>
        <v>Reginaldo Santana De Souza</v>
      </c>
      <c r="G2199" s="3" t="s">
        <v>1211</v>
      </c>
      <c r="H2199" s="3" t="s">
        <v>836</v>
      </c>
    </row>
    <row r="2200" spans="1:8">
      <c r="A2200" s="29">
        <v>42748.667164351849</v>
      </c>
      <c r="B2200" s="29" t="str">
        <f>PROPER(TEXT(tbLOG[[#This Row],[DATA/HORA]],"mmmm"))</f>
        <v>Janeiro</v>
      </c>
      <c r="C2200" s="34" t="str">
        <f>PROPER(TEXT(tbLOG[[#This Row],[DATA/HORA]],"dddd"))</f>
        <v>Sexta-Feira</v>
      </c>
      <c r="D2200" s="3" t="s">
        <v>604</v>
      </c>
      <c r="E2200" s="34" t="str">
        <f>IFERROR(VLOOKUP(tbLOG[[#This Row],[LOGIN]],tbMAPA[#All],2,0), "Não localizado")</f>
        <v>Renan Cazumba Tegani</v>
      </c>
      <c r="F2200" s="34" t="str">
        <f>IFERROR(VLOOKUP(tbLOG[[#This Row],[LOGIN]],tbMAPA[#All],3,0), "Não localizado")</f>
        <v>Reginaldo Santana De Souza</v>
      </c>
      <c r="G2200" s="3" t="s">
        <v>1211</v>
      </c>
      <c r="H2200" s="3" t="s">
        <v>836</v>
      </c>
    </row>
    <row r="2201" spans="1:8">
      <c r="A2201" s="29">
        <v>42748.667187500003</v>
      </c>
      <c r="B2201" s="29" t="str">
        <f>PROPER(TEXT(tbLOG[[#This Row],[DATA/HORA]],"mmmm"))</f>
        <v>Janeiro</v>
      </c>
      <c r="C2201" s="34" t="str">
        <f>PROPER(TEXT(tbLOG[[#This Row],[DATA/HORA]],"dddd"))</f>
        <v>Sexta-Feira</v>
      </c>
      <c r="D2201" s="3" t="s">
        <v>604</v>
      </c>
      <c r="E2201" s="34" t="str">
        <f>IFERROR(VLOOKUP(tbLOG[[#This Row],[LOGIN]],tbMAPA[#All],2,0), "Não localizado")</f>
        <v>Renan Cazumba Tegani</v>
      </c>
      <c r="F2201" s="34" t="str">
        <f>IFERROR(VLOOKUP(tbLOG[[#This Row],[LOGIN]],tbMAPA[#All],3,0), "Não localizado")</f>
        <v>Reginaldo Santana De Souza</v>
      </c>
      <c r="G2201" s="3" t="s">
        <v>1211</v>
      </c>
      <c r="H2201" s="3" t="s">
        <v>836</v>
      </c>
    </row>
    <row r="2202" spans="1:8">
      <c r="A2202" s="29">
        <v>42748.667268518519</v>
      </c>
      <c r="B2202" s="29" t="str">
        <f>PROPER(TEXT(tbLOG[[#This Row],[DATA/HORA]],"mmmm"))</f>
        <v>Janeiro</v>
      </c>
      <c r="C2202" s="34" t="str">
        <f>PROPER(TEXT(tbLOG[[#This Row],[DATA/HORA]],"dddd"))</f>
        <v>Sexta-Feira</v>
      </c>
      <c r="D2202" s="3" t="s">
        <v>604</v>
      </c>
      <c r="E2202" s="34" t="str">
        <f>IFERROR(VLOOKUP(tbLOG[[#This Row],[LOGIN]],tbMAPA[#All],2,0), "Não localizado")</f>
        <v>Renan Cazumba Tegani</v>
      </c>
      <c r="F2202" s="34" t="str">
        <f>IFERROR(VLOOKUP(tbLOG[[#This Row],[LOGIN]],tbMAPA[#All],3,0), "Não localizado")</f>
        <v>Reginaldo Santana De Souza</v>
      </c>
      <c r="G2202" s="3" t="s">
        <v>1211</v>
      </c>
      <c r="H2202" s="3" t="s">
        <v>836</v>
      </c>
    </row>
    <row r="2203" spans="1:8">
      <c r="A2203" s="29">
        <v>42748.667372685188</v>
      </c>
      <c r="B2203" s="29" t="str">
        <f>PROPER(TEXT(tbLOG[[#This Row],[DATA/HORA]],"mmmm"))</f>
        <v>Janeiro</v>
      </c>
      <c r="C2203" s="34" t="str">
        <f>PROPER(TEXT(tbLOG[[#This Row],[DATA/HORA]],"dddd"))</f>
        <v>Sexta-Feira</v>
      </c>
      <c r="D2203" s="3" t="s">
        <v>604</v>
      </c>
      <c r="E2203" s="34" t="str">
        <f>IFERROR(VLOOKUP(tbLOG[[#This Row],[LOGIN]],tbMAPA[#All],2,0), "Não localizado")</f>
        <v>Renan Cazumba Tegani</v>
      </c>
      <c r="F2203" s="34" t="str">
        <f>IFERROR(VLOOKUP(tbLOG[[#This Row],[LOGIN]],tbMAPA[#All],3,0), "Não localizado")</f>
        <v>Reginaldo Santana De Souza</v>
      </c>
      <c r="G2203" s="3" t="s">
        <v>1211</v>
      </c>
      <c r="H2203" s="3" t="s">
        <v>836</v>
      </c>
    </row>
    <row r="2204" spans="1:8">
      <c r="A2204" s="29">
        <v>42748.671076388891</v>
      </c>
      <c r="B2204" s="29" t="str">
        <f>PROPER(TEXT(tbLOG[[#This Row],[DATA/HORA]],"mmmm"))</f>
        <v>Janeiro</v>
      </c>
      <c r="C2204" s="34" t="str">
        <f>PROPER(TEXT(tbLOG[[#This Row],[DATA/HORA]],"dddd"))</f>
        <v>Sexta-Feira</v>
      </c>
      <c r="D2204" s="3" t="s">
        <v>604</v>
      </c>
      <c r="E2204" s="34" t="str">
        <f>IFERROR(VLOOKUP(tbLOG[[#This Row],[LOGIN]],tbMAPA[#All],2,0), "Não localizado")</f>
        <v>Renan Cazumba Tegani</v>
      </c>
      <c r="F2204" s="34" t="str">
        <f>IFERROR(VLOOKUP(tbLOG[[#This Row],[LOGIN]],tbMAPA[#All],3,0), "Não localizado")</f>
        <v>Reginaldo Santana De Souza</v>
      </c>
      <c r="G2204" s="3" t="s">
        <v>1211</v>
      </c>
      <c r="H2204" s="3" t="s">
        <v>836</v>
      </c>
    </row>
    <row r="2205" spans="1:8">
      <c r="A2205" s="29">
        <v>42748.671134259261</v>
      </c>
      <c r="B2205" s="29" t="str">
        <f>PROPER(TEXT(tbLOG[[#This Row],[DATA/HORA]],"mmmm"))</f>
        <v>Janeiro</v>
      </c>
      <c r="C2205" s="34" t="str">
        <f>PROPER(TEXT(tbLOG[[#This Row],[DATA/HORA]],"dddd"))</f>
        <v>Sexta-Feira</v>
      </c>
      <c r="D2205" s="3" t="s">
        <v>604</v>
      </c>
      <c r="E2205" s="34" t="str">
        <f>IFERROR(VLOOKUP(tbLOG[[#This Row],[LOGIN]],tbMAPA[#All],2,0), "Não localizado")</f>
        <v>Renan Cazumba Tegani</v>
      </c>
      <c r="F2205" s="34" t="str">
        <f>IFERROR(VLOOKUP(tbLOG[[#This Row],[LOGIN]],tbMAPA[#All],3,0), "Não localizado")</f>
        <v>Reginaldo Santana De Souza</v>
      </c>
      <c r="G2205" s="3" t="s">
        <v>1211</v>
      </c>
      <c r="H2205" s="3" t="s">
        <v>836</v>
      </c>
    </row>
    <row r="2206" spans="1:8">
      <c r="A2206" s="29">
        <v>42748.671203703707</v>
      </c>
      <c r="B2206" s="29" t="str">
        <f>PROPER(TEXT(tbLOG[[#This Row],[DATA/HORA]],"mmmm"))</f>
        <v>Janeiro</v>
      </c>
      <c r="C2206" s="34" t="str">
        <f>PROPER(TEXT(tbLOG[[#This Row],[DATA/HORA]],"dddd"))</f>
        <v>Sexta-Feira</v>
      </c>
      <c r="D2206" s="3" t="s">
        <v>604</v>
      </c>
      <c r="E2206" s="34" t="str">
        <f>IFERROR(VLOOKUP(tbLOG[[#This Row],[LOGIN]],tbMAPA[#All],2,0), "Não localizado")</f>
        <v>Renan Cazumba Tegani</v>
      </c>
      <c r="F2206" s="34" t="str">
        <f>IFERROR(VLOOKUP(tbLOG[[#This Row],[LOGIN]],tbMAPA[#All],3,0), "Não localizado")</f>
        <v>Reginaldo Santana De Souza</v>
      </c>
      <c r="G2206" s="3" t="s">
        <v>1211</v>
      </c>
      <c r="H2206" s="3" t="s">
        <v>836</v>
      </c>
    </row>
    <row r="2207" spans="1:8">
      <c r="A2207" s="29">
        <v>42748.675370370373</v>
      </c>
      <c r="B2207" s="29" t="str">
        <f>PROPER(TEXT(tbLOG[[#This Row],[DATA/HORA]],"mmmm"))</f>
        <v>Janeiro</v>
      </c>
      <c r="C2207" s="34" t="str">
        <f>PROPER(TEXT(tbLOG[[#This Row],[DATA/HORA]],"dddd"))</f>
        <v>Sexta-Feira</v>
      </c>
      <c r="D2207" s="3" t="s">
        <v>604</v>
      </c>
      <c r="E2207" s="34" t="str">
        <f>IFERROR(VLOOKUP(tbLOG[[#This Row],[LOGIN]],tbMAPA[#All],2,0), "Não localizado")</f>
        <v>Renan Cazumba Tegani</v>
      </c>
      <c r="F2207" s="34" t="str">
        <f>IFERROR(VLOOKUP(tbLOG[[#This Row],[LOGIN]],tbMAPA[#All],3,0), "Não localizado")</f>
        <v>Reginaldo Santana De Souza</v>
      </c>
      <c r="G2207" s="3" t="s">
        <v>1211</v>
      </c>
      <c r="H2207" s="3" t="s">
        <v>836</v>
      </c>
    </row>
    <row r="2208" spans="1:8">
      <c r="A2208" s="29">
        <v>42748.675439814811</v>
      </c>
      <c r="B2208" s="29" t="str">
        <f>PROPER(TEXT(tbLOG[[#This Row],[DATA/HORA]],"mmmm"))</f>
        <v>Janeiro</v>
      </c>
      <c r="C2208" s="34" t="str">
        <f>PROPER(TEXT(tbLOG[[#This Row],[DATA/HORA]],"dddd"))</f>
        <v>Sexta-Feira</v>
      </c>
      <c r="D2208" s="3" t="s">
        <v>604</v>
      </c>
      <c r="E2208" s="34" t="str">
        <f>IFERROR(VLOOKUP(tbLOG[[#This Row],[LOGIN]],tbMAPA[#All],2,0), "Não localizado")</f>
        <v>Renan Cazumba Tegani</v>
      </c>
      <c r="F2208" s="34" t="str">
        <f>IFERROR(VLOOKUP(tbLOG[[#This Row],[LOGIN]],tbMAPA[#All],3,0), "Não localizado")</f>
        <v>Reginaldo Santana De Souza</v>
      </c>
      <c r="G2208" s="3" t="s">
        <v>1211</v>
      </c>
      <c r="H2208" s="3" t="s">
        <v>836</v>
      </c>
    </row>
    <row r="2209" spans="1:8">
      <c r="A2209" s="29">
        <v>42748.678298611114</v>
      </c>
      <c r="B2209" s="29" t="str">
        <f>PROPER(TEXT(tbLOG[[#This Row],[DATA/HORA]],"mmmm"))</f>
        <v>Janeiro</v>
      </c>
      <c r="C2209" s="34" t="str">
        <f>PROPER(TEXT(tbLOG[[#This Row],[DATA/HORA]],"dddd"))</f>
        <v>Sexta-Feira</v>
      </c>
      <c r="D2209" s="3" t="s">
        <v>604</v>
      </c>
      <c r="E2209" s="34" t="str">
        <f>IFERROR(VLOOKUP(tbLOG[[#This Row],[LOGIN]],tbMAPA[#All],2,0), "Não localizado")</f>
        <v>Renan Cazumba Tegani</v>
      </c>
      <c r="F2209" s="34" t="str">
        <f>IFERROR(VLOOKUP(tbLOG[[#This Row],[LOGIN]],tbMAPA[#All],3,0), "Não localizado")</f>
        <v>Reginaldo Santana De Souza</v>
      </c>
      <c r="G2209" s="3" t="s">
        <v>1211</v>
      </c>
      <c r="H2209" s="3" t="s">
        <v>836</v>
      </c>
    </row>
    <row r="2210" spans="1:8">
      <c r="A2210" s="29">
        <v>42748.678310185183</v>
      </c>
      <c r="B2210" s="29" t="str">
        <f>PROPER(TEXT(tbLOG[[#This Row],[DATA/HORA]],"mmmm"))</f>
        <v>Janeiro</v>
      </c>
      <c r="C2210" s="34" t="str">
        <f>PROPER(TEXT(tbLOG[[#This Row],[DATA/HORA]],"dddd"))</f>
        <v>Sexta-Feira</v>
      </c>
      <c r="D2210" s="3" t="s">
        <v>604</v>
      </c>
      <c r="E2210" s="34" t="str">
        <f>IFERROR(VLOOKUP(tbLOG[[#This Row],[LOGIN]],tbMAPA[#All],2,0), "Não localizado")</f>
        <v>Renan Cazumba Tegani</v>
      </c>
      <c r="F2210" s="34" t="str">
        <f>IFERROR(VLOOKUP(tbLOG[[#This Row],[LOGIN]],tbMAPA[#All],3,0), "Não localizado")</f>
        <v>Reginaldo Santana De Souza</v>
      </c>
      <c r="G2210" s="3" t="s">
        <v>1211</v>
      </c>
      <c r="H2210" s="3" t="s">
        <v>836</v>
      </c>
    </row>
    <row r="2211" spans="1:8">
      <c r="A2211" s="29">
        <v>42748.678414351853</v>
      </c>
      <c r="B2211" s="29" t="str">
        <f>PROPER(TEXT(tbLOG[[#This Row],[DATA/HORA]],"mmmm"))</f>
        <v>Janeiro</v>
      </c>
      <c r="C2211" s="34" t="str">
        <f>PROPER(TEXT(tbLOG[[#This Row],[DATA/HORA]],"dddd"))</f>
        <v>Sexta-Feira</v>
      </c>
      <c r="D2211" s="3" t="s">
        <v>604</v>
      </c>
      <c r="E2211" s="34" t="str">
        <f>IFERROR(VLOOKUP(tbLOG[[#This Row],[LOGIN]],tbMAPA[#All],2,0), "Não localizado")</f>
        <v>Renan Cazumba Tegani</v>
      </c>
      <c r="F2211" s="34" t="str">
        <f>IFERROR(VLOOKUP(tbLOG[[#This Row],[LOGIN]],tbMAPA[#All],3,0), "Não localizado")</f>
        <v>Reginaldo Santana De Souza</v>
      </c>
      <c r="G2211" s="3" t="s">
        <v>1211</v>
      </c>
      <c r="H2211" s="3" t="s">
        <v>836</v>
      </c>
    </row>
    <row r="2212" spans="1:8">
      <c r="A2212" s="29">
        <v>42748.678657407407</v>
      </c>
      <c r="B2212" s="29" t="str">
        <f>PROPER(TEXT(tbLOG[[#This Row],[DATA/HORA]],"mmmm"))</f>
        <v>Janeiro</v>
      </c>
      <c r="C2212" s="34" t="str">
        <f>PROPER(TEXT(tbLOG[[#This Row],[DATA/HORA]],"dddd"))</f>
        <v>Sexta-Feira</v>
      </c>
      <c r="D2212" s="3" t="s">
        <v>604</v>
      </c>
      <c r="E2212" s="34" t="str">
        <f>IFERROR(VLOOKUP(tbLOG[[#This Row],[LOGIN]],tbMAPA[#All],2,0), "Não localizado")</f>
        <v>Renan Cazumba Tegani</v>
      </c>
      <c r="F2212" s="34" t="str">
        <f>IFERROR(VLOOKUP(tbLOG[[#This Row],[LOGIN]],tbMAPA[#All],3,0), "Não localizado")</f>
        <v>Reginaldo Santana De Souza</v>
      </c>
      <c r="G2212" s="3" t="s">
        <v>1211</v>
      </c>
      <c r="H2212" s="3" t="s">
        <v>290</v>
      </c>
    </row>
    <row r="2213" spans="1:8">
      <c r="A2213" s="29">
        <v>42748.680960648147</v>
      </c>
      <c r="B2213" s="29" t="str">
        <f>PROPER(TEXT(tbLOG[[#This Row],[DATA/HORA]],"mmmm"))</f>
        <v>Janeiro</v>
      </c>
      <c r="C2213" s="34" t="str">
        <f>PROPER(TEXT(tbLOG[[#This Row],[DATA/HORA]],"dddd"))</f>
        <v>Sexta-Feira</v>
      </c>
      <c r="D2213" s="3" t="s">
        <v>604</v>
      </c>
      <c r="E2213" s="34" t="str">
        <f>IFERROR(VLOOKUP(tbLOG[[#This Row],[LOGIN]],tbMAPA[#All],2,0), "Não localizado")</f>
        <v>Renan Cazumba Tegani</v>
      </c>
      <c r="F2213" s="34" t="str">
        <f>IFERROR(VLOOKUP(tbLOG[[#This Row],[LOGIN]],tbMAPA[#All],3,0), "Não localizado")</f>
        <v>Reginaldo Santana De Souza</v>
      </c>
      <c r="G2213" s="3" t="s">
        <v>1211</v>
      </c>
      <c r="H2213" s="3" t="s">
        <v>836</v>
      </c>
    </row>
    <row r="2214" spans="1:8">
      <c r="A2214" s="29">
        <v>42748.681006944447</v>
      </c>
      <c r="B2214" s="29" t="str">
        <f>PROPER(TEXT(tbLOG[[#This Row],[DATA/HORA]],"mmmm"))</f>
        <v>Janeiro</v>
      </c>
      <c r="C2214" s="34" t="str">
        <f>PROPER(TEXT(tbLOG[[#This Row],[DATA/HORA]],"dddd"))</f>
        <v>Sexta-Feira</v>
      </c>
      <c r="D2214" s="3" t="s">
        <v>604</v>
      </c>
      <c r="E2214" s="34" t="str">
        <f>IFERROR(VLOOKUP(tbLOG[[#This Row],[LOGIN]],tbMAPA[#All],2,0), "Não localizado")</f>
        <v>Renan Cazumba Tegani</v>
      </c>
      <c r="F2214" s="34" t="str">
        <f>IFERROR(VLOOKUP(tbLOG[[#This Row],[LOGIN]],tbMAPA[#All],3,0), "Não localizado")</f>
        <v>Reginaldo Santana De Souza</v>
      </c>
      <c r="G2214" s="3" t="s">
        <v>1211</v>
      </c>
      <c r="H2214" s="3" t="s">
        <v>836</v>
      </c>
    </row>
    <row r="2215" spans="1:8">
      <c r="A2215" s="29">
        <v>42748.68109953704</v>
      </c>
      <c r="B2215" s="29" t="str">
        <f>PROPER(TEXT(tbLOG[[#This Row],[DATA/HORA]],"mmmm"))</f>
        <v>Janeiro</v>
      </c>
      <c r="C2215" s="34" t="str">
        <f>PROPER(TEXT(tbLOG[[#This Row],[DATA/HORA]],"dddd"))</f>
        <v>Sexta-Feira</v>
      </c>
      <c r="D2215" s="3" t="s">
        <v>604</v>
      </c>
      <c r="E2215" s="34" t="str">
        <f>IFERROR(VLOOKUP(tbLOG[[#This Row],[LOGIN]],tbMAPA[#All],2,0), "Não localizado")</f>
        <v>Renan Cazumba Tegani</v>
      </c>
      <c r="F2215" s="34" t="str">
        <f>IFERROR(VLOOKUP(tbLOG[[#This Row],[LOGIN]],tbMAPA[#All],3,0), "Não localizado")</f>
        <v>Reginaldo Santana De Souza</v>
      </c>
      <c r="G2215" s="3" t="s">
        <v>1211</v>
      </c>
      <c r="H2215" s="3" t="s">
        <v>836</v>
      </c>
    </row>
    <row r="2216" spans="1:8">
      <c r="A2216" s="29">
        <v>42748.681458333333</v>
      </c>
      <c r="B2216" s="29" t="str">
        <f>PROPER(TEXT(tbLOG[[#This Row],[DATA/HORA]],"mmmm"))</f>
        <v>Janeiro</v>
      </c>
      <c r="C2216" s="34" t="str">
        <f>PROPER(TEXT(tbLOG[[#This Row],[DATA/HORA]],"dddd"))</f>
        <v>Sexta-Feira</v>
      </c>
      <c r="D2216" s="3" t="s">
        <v>604</v>
      </c>
      <c r="E2216" s="34" t="str">
        <f>IFERROR(VLOOKUP(tbLOG[[#This Row],[LOGIN]],tbMAPA[#All],2,0), "Não localizado")</f>
        <v>Renan Cazumba Tegani</v>
      </c>
      <c r="F2216" s="34" t="str">
        <f>IFERROR(VLOOKUP(tbLOG[[#This Row],[LOGIN]],tbMAPA[#All],3,0), "Não localizado")</f>
        <v>Reginaldo Santana De Souza</v>
      </c>
      <c r="G2216" s="3" t="s">
        <v>1211</v>
      </c>
      <c r="H2216" s="3" t="s">
        <v>836</v>
      </c>
    </row>
    <row r="2217" spans="1:8">
      <c r="A2217" s="29">
        <v>42748.685115740744</v>
      </c>
      <c r="B2217" s="29" t="str">
        <f>PROPER(TEXT(tbLOG[[#This Row],[DATA/HORA]],"mmmm"))</f>
        <v>Janeiro</v>
      </c>
      <c r="C2217" s="34" t="str">
        <f>PROPER(TEXT(tbLOG[[#This Row],[DATA/HORA]],"dddd"))</f>
        <v>Sexta-Feira</v>
      </c>
      <c r="D2217" s="3" t="s">
        <v>604</v>
      </c>
      <c r="E2217" s="34" t="str">
        <f>IFERROR(VLOOKUP(tbLOG[[#This Row],[LOGIN]],tbMAPA[#All],2,0), "Não localizado")</f>
        <v>Renan Cazumba Tegani</v>
      </c>
      <c r="F2217" s="34" t="str">
        <f>IFERROR(VLOOKUP(tbLOG[[#This Row],[LOGIN]],tbMAPA[#All],3,0), "Não localizado")</f>
        <v>Reginaldo Santana De Souza</v>
      </c>
      <c r="G2217" s="3" t="s">
        <v>1211</v>
      </c>
      <c r="H2217" s="3" t="s">
        <v>836</v>
      </c>
    </row>
    <row r="2218" spans="1:8">
      <c r="A2218" s="29">
        <v>42748.68513888889</v>
      </c>
      <c r="B2218" s="29" t="str">
        <f>PROPER(TEXT(tbLOG[[#This Row],[DATA/HORA]],"mmmm"))</f>
        <v>Janeiro</v>
      </c>
      <c r="C2218" s="34" t="str">
        <f>PROPER(TEXT(tbLOG[[#This Row],[DATA/HORA]],"dddd"))</f>
        <v>Sexta-Feira</v>
      </c>
      <c r="D2218" s="3" t="s">
        <v>604</v>
      </c>
      <c r="E2218" s="34" t="str">
        <f>IFERROR(VLOOKUP(tbLOG[[#This Row],[LOGIN]],tbMAPA[#All],2,0), "Não localizado")</f>
        <v>Renan Cazumba Tegani</v>
      </c>
      <c r="F2218" s="34" t="str">
        <f>IFERROR(VLOOKUP(tbLOG[[#This Row],[LOGIN]],tbMAPA[#All],3,0), "Não localizado")</f>
        <v>Reginaldo Santana De Souza</v>
      </c>
      <c r="G2218" s="3" t="s">
        <v>1211</v>
      </c>
      <c r="H2218" s="3" t="s">
        <v>836</v>
      </c>
    </row>
    <row r="2219" spans="1:8">
      <c r="A2219" s="29">
        <v>42748.685185185182</v>
      </c>
      <c r="B2219" s="29" t="str">
        <f>PROPER(TEXT(tbLOG[[#This Row],[DATA/HORA]],"mmmm"))</f>
        <v>Janeiro</v>
      </c>
      <c r="C2219" s="34" t="str">
        <f>PROPER(TEXT(tbLOG[[#This Row],[DATA/HORA]],"dddd"))</f>
        <v>Sexta-Feira</v>
      </c>
      <c r="D2219" s="3" t="s">
        <v>604</v>
      </c>
      <c r="E2219" s="34" t="str">
        <f>IFERROR(VLOOKUP(tbLOG[[#This Row],[LOGIN]],tbMAPA[#All],2,0), "Não localizado")</f>
        <v>Renan Cazumba Tegani</v>
      </c>
      <c r="F2219" s="34" t="str">
        <f>IFERROR(VLOOKUP(tbLOG[[#This Row],[LOGIN]],tbMAPA[#All],3,0), "Não localizado")</f>
        <v>Reginaldo Santana De Souza</v>
      </c>
      <c r="G2219" s="3" t="s">
        <v>1211</v>
      </c>
      <c r="H2219" s="3" t="s">
        <v>836</v>
      </c>
    </row>
    <row r="2220" spans="1:8">
      <c r="A2220" s="29">
        <v>42748.686157407406</v>
      </c>
      <c r="B2220" s="29" t="str">
        <f>PROPER(TEXT(tbLOG[[#This Row],[DATA/HORA]],"mmmm"))</f>
        <v>Janeiro</v>
      </c>
      <c r="C2220" s="34" t="str">
        <f>PROPER(TEXT(tbLOG[[#This Row],[DATA/HORA]],"dddd"))</f>
        <v>Sexta-Feira</v>
      </c>
      <c r="D2220" s="3" t="s">
        <v>604</v>
      </c>
      <c r="E2220" s="34" t="str">
        <f>IFERROR(VLOOKUP(tbLOG[[#This Row],[LOGIN]],tbMAPA[#All],2,0), "Não localizado")</f>
        <v>Renan Cazumba Tegani</v>
      </c>
      <c r="F2220" s="34" t="str">
        <f>IFERROR(VLOOKUP(tbLOG[[#This Row],[LOGIN]],tbMAPA[#All],3,0), "Não localizado")</f>
        <v>Reginaldo Santana De Souza</v>
      </c>
      <c r="G2220" s="3" t="s">
        <v>1211</v>
      </c>
      <c r="H2220" s="3" t="s">
        <v>836</v>
      </c>
    </row>
    <row r="2221" spans="1:8">
      <c r="A2221" s="29">
        <v>42748.686400462961</v>
      </c>
      <c r="B2221" s="29" t="str">
        <f>PROPER(TEXT(tbLOG[[#This Row],[DATA/HORA]],"mmmm"))</f>
        <v>Janeiro</v>
      </c>
      <c r="C2221" s="34" t="str">
        <f>PROPER(TEXT(tbLOG[[#This Row],[DATA/HORA]],"dddd"))</f>
        <v>Sexta-Feira</v>
      </c>
      <c r="D2221" s="3" t="s">
        <v>604</v>
      </c>
      <c r="E2221" s="34" t="str">
        <f>IFERROR(VLOOKUP(tbLOG[[#This Row],[LOGIN]],tbMAPA[#All],2,0), "Não localizado")</f>
        <v>Renan Cazumba Tegani</v>
      </c>
      <c r="F2221" s="34" t="str">
        <f>IFERROR(VLOOKUP(tbLOG[[#This Row],[LOGIN]],tbMAPA[#All],3,0), "Não localizado")</f>
        <v>Reginaldo Santana De Souza</v>
      </c>
      <c r="G2221" s="3" t="s">
        <v>1211</v>
      </c>
      <c r="H2221" s="3" t="s">
        <v>836</v>
      </c>
    </row>
    <row r="2222" spans="1:8">
      <c r="A2222" s="29">
        <v>42748.686412037037</v>
      </c>
      <c r="B2222" s="29" t="str">
        <f>PROPER(TEXT(tbLOG[[#This Row],[DATA/HORA]],"mmmm"))</f>
        <v>Janeiro</v>
      </c>
      <c r="C2222" s="34" t="str">
        <f>PROPER(TEXT(tbLOG[[#This Row],[DATA/HORA]],"dddd"))</f>
        <v>Sexta-Feira</v>
      </c>
      <c r="D2222" s="3" t="s">
        <v>604</v>
      </c>
      <c r="E2222" s="34" t="str">
        <f>IFERROR(VLOOKUP(tbLOG[[#This Row],[LOGIN]],tbMAPA[#All],2,0), "Não localizado")</f>
        <v>Renan Cazumba Tegani</v>
      </c>
      <c r="F2222" s="34" t="str">
        <f>IFERROR(VLOOKUP(tbLOG[[#This Row],[LOGIN]],tbMAPA[#All],3,0), "Não localizado")</f>
        <v>Reginaldo Santana De Souza</v>
      </c>
      <c r="G2222" s="3" t="s">
        <v>1211</v>
      </c>
      <c r="H2222" s="3" t="s">
        <v>836</v>
      </c>
    </row>
    <row r="2223" spans="1:8">
      <c r="A2223" s="29">
        <v>42748.686435185184</v>
      </c>
      <c r="B2223" s="29" t="str">
        <f>PROPER(TEXT(tbLOG[[#This Row],[DATA/HORA]],"mmmm"))</f>
        <v>Janeiro</v>
      </c>
      <c r="C2223" s="34" t="str">
        <f>PROPER(TEXT(tbLOG[[#This Row],[DATA/HORA]],"dddd"))</f>
        <v>Sexta-Feira</v>
      </c>
      <c r="D2223" s="3" t="s">
        <v>604</v>
      </c>
      <c r="E2223" s="34" t="str">
        <f>IFERROR(VLOOKUP(tbLOG[[#This Row],[LOGIN]],tbMAPA[#All],2,0), "Não localizado")</f>
        <v>Renan Cazumba Tegani</v>
      </c>
      <c r="F2223" s="34" t="str">
        <f>IFERROR(VLOOKUP(tbLOG[[#This Row],[LOGIN]],tbMAPA[#All],3,0), "Não localizado")</f>
        <v>Reginaldo Santana De Souza</v>
      </c>
      <c r="G2223" s="3" t="s">
        <v>1211</v>
      </c>
      <c r="H2223" s="3" t="s">
        <v>836</v>
      </c>
    </row>
    <row r="2224" spans="1:8">
      <c r="A2224" s="29">
        <v>42748.690358796295</v>
      </c>
      <c r="B2224" s="29" t="str">
        <f>PROPER(TEXT(tbLOG[[#This Row],[DATA/HORA]],"mmmm"))</f>
        <v>Janeiro</v>
      </c>
      <c r="C2224" s="34" t="str">
        <f>PROPER(TEXT(tbLOG[[#This Row],[DATA/HORA]],"dddd"))</f>
        <v>Sexta-Feira</v>
      </c>
      <c r="D2224" s="3" t="s">
        <v>604</v>
      </c>
      <c r="E2224" s="34" t="str">
        <f>IFERROR(VLOOKUP(tbLOG[[#This Row],[LOGIN]],tbMAPA[#All],2,0), "Não localizado")</f>
        <v>Renan Cazumba Tegani</v>
      </c>
      <c r="F2224" s="34" t="str">
        <f>IFERROR(VLOOKUP(tbLOG[[#This Row],[LOGIN]],tbMAPA[#All],3,0), "Não localizado")</f>
        <v>Reginaldo Santana De Souza</v>
      </c>
      <c r="G2224" s="3" t="s">
        <v>1211</v>
      </c>
      <c r="H2224" s="3" t="s">
        <v>836</v>
      </c>
    </row>
    <row r="2225" spans="1:8">
      <c r="A2225" s="29">
        <v>42748.690381944441</v>
      </c>
      <c r="B2225" s="29" t="str">
        <f>PROPER(TEXT(tbLOG[[#This Row],[DATA/HORA]],"mmmm"))</f>
        <v>Janeiro</v>
      </c>
      <c r="C2225" s="34" t="str">
        <f>PROPER(TEXT(tbLOG[[#This Row],[DATA/HORA]],"dddd"))</f>
        <v>Sexta-Feira</v>
      </c>
      <c r="D2225" s="3" t="s">
        <v>604</v>
      </c>
      <c r="E2225" s="34" t="str">
        <f>IFERROR(VLOOKUP(tbLOG[[#This Row],[LOGIN]],tbMAPA[#All],2,0), "Não localizado")</f>
        <v>Renan Cazumba Tegani</v>
      </c>
      <c r="F2225" s="34" t="str">
        <f>IFERROR(VLOOKUP(tbLOG[[#This Row],[LOGIN]],tbMAPA[#All],3,0), "Não localizado")</f>
        <v>Reginaldo Santana De Souza</v>
      </c>
      <c r="G2225" s="3" t="s">
        <v>1211</v>
      </c>
      <c r="H2225" s="3" t="s">
        <v>836</v>
      </c>
    </row>
    <row r="2226" spans="1:8">
      <c r="A2226" s="29">
        <v>42748.690462962964</v>
      </c>
      <c r="B2226" s="29" t="str">
        <f>PROPER(TEXT(tbLOG[[#This Row],[DATA/HORA]],"mmmm"))</f>
        <v>Janeiro</v>
      </c>
      <c r="C2226" s="34" t="str">
        <f>PROPER(TEXT(tbLOG[[#This Row],[DATA/HORA]],"dddd"))</f>
        <v>Sexta-Feira</v>
      </c>
      <c r="D2226" s="3" t="s">
        <v>604</v>
      </c>
      <c r="E2226" s="34" t="str">
        <f>IFERROR(VLOOKUP(tbLOG[[#This Row],[LOGIN]],tbMAPA[#All],2,0), "Não localizado")</f>
        <v>Renan Cazumba Tegani</v>
      </c>
      <c r="F2226" s="34" t="str">
        <f>IFERROR(VLOOKUP(tbLOG[[#This Row],[LOGIN]],tbMAPA[#All],3,0), "Não localizado")</f>
        <v>Reginaldo Santana De Souza</v>
      </c>
      <c r="G2226" s="3" t="s">
        <v>1211</v>
      </c>
      <c r="H2226" s="3" t="s">
        <v>836</v>
      </c>
    </row>
    <row r="2227" spans="1:8">
      <c r="A2227" s="29">
        <v>42748.69158564815</v>
      </c>
      <c r="B2227" s="29" t="str">
        <f>PROPER(TEXT(tbLOG[[#This Row],[DATA/HORA]],"mmmm"))</f>
        <v>Janeiro</v>
      </c>
      <c r="C2227" s="34" t="str">
        <f>PROPER(TEXT(tbLOG[[#This Row],[DATA/HORA]],"dddd"))</f>
        <v>Sexta-Feira</v>
      </c>
      <c r="D2227" s="3" t="s">
        <v>604</v>
      </c>
      <c r="E2227" s="34" t="str">
        <f>IFERROR(VLOOKUP(tbLOG[[#This Row],[LOGIN]],tbMAPA[#All],2,0), "Não localizado")</f>
        <v>Renan Cazumba Tegani</v>
      </c>
      <c r="F2227" s="34" t="str">
        <f>IFERROR(VLOOKUP(tbLOG[[#This Row],[LOGIN]],tbMAPA[#All],3,0), "Não localizado")</f>
        <v>Reginaldo Santana De Souza</v>
      </c>
      <c r="G2227" s="3" t="s">
        <v>1211</v>
      </c>
      <c r="H2227" s="3" t="s">
        <v>836</v>
      </c>
    </row>
    <row r="2228" spans="1:8">
      <c r="A2228" s="29">
        <v>42748.691608796296</v>
      </c>
      <c r="B2228" s="29" t="str">
        <f>PROPER(TEXT(tbLOG[[#This Row],[DATA/HORA]],"mmmm"))</f>
        <v>Janeiro</v>
      </c>
      <c r="C2228" s="34" t="str">
        <f>PROPER(TEXT(tbLOG[[#This Row],[DATA/HORA]],"dddd"))</f>
        <v>Sexta-Feira</v>
      </c>
      <c r="D2228" s="3" t="s">
        <v>604</v>
      </c>
      <c r="E2228" s="34" t="str">
        <f>IFERROR(VLOOKUP(tbLOG[[#This Row],[LOGIN]],tbMAPA[#All],2,0), "Não localizado")</f>
        <v>Renan Cazumba Tegani</v>
      </c>
      <c r="F2228" s="34" t="str">
        <f>IFERROR(VLOOKUP(tbLOG[[#This Row],[LOGIN]],tbMAPA[#All],3,0), "Não localizado")</f>
        <v>Reginaldo Santana De Souza</v>
      </c>
      <c r="G2228" s="3" t="s">
        <v>1211</v>
      </c>
      <c r="H2228" s="3" t="s">
        <v>836</v>
      </c>
    </row>
    <row r="2229" spans="1:8">
      <c r="A2229" s="29">
        <v>42748.691747685189</v>
      </c>
      <c r="B2229" s="29" t="str">
        <f>PROPER(TEXT(tbLOG[[#This Row],[DATA/HORA]],"mmmm"))</f>
        <v>Janeiro</v>
      </c>
      <c r="C2229" s="34" t="str">
        <f>PROPER(TEXT(tbLOG[[#This Row],[DATA/HORA]],"dddd"))</f>
        <v>Sexta-Feira</v>
      </c>
      <c r="D2229" s="3" t="s">
        <v>604</v>
      </c>
      <c r="E2229" s="34" t="str">
        <f>IFERROR(VLOOKUP(tbLOG[[#This Row],[LOGIN]],tbMAPA[#All],2,0), "Não localizado")</f>
        <v>Renan Cazumba Tegani</v>
      </c>
      <c r="F2229" s="34" t="str">
        <f>IFERROR(VLOOKUP(tbLOG[[#This Row],[LOGIN]],tbMAPA[#All],3,0), "Não localizado")</f>
        <v>Reginaldo Santana De Souza</v>
      </c>
      <c r="G2229" s="3" t="s">
        <v>1211</v>
      </c>
      <c r="H2229" s="3" t="s">
        <v>836</v>
      </c>
    </row>
    <row r="2230" spans="1:8">
      <c r="A2230" s="29">
        <v>42748.691817129627</v>
      </c>
      <c r="B2230" s="29" t="str">
        <f>PROPER(TEXT(tbLOG[[#This Row],[DATA/HORA]],"mmmm"))</f>
        <v>Janeiro</v>
      </c>
      <c r="C2230" s="34" t="str">
        <f>PROPER(TEXT(tbLOG[[#This Row],[DATA/HORA]],"dddd"))</f>
        <v>Sexta-Feira</v>
      </c>
      <c r="D2230" s="3" t="s">
        <v>604</v>
      </c>
      <c r="E2230" s="34" t="str">
        <f>IFERROR(VLOOKUP(tbLOG[[#This Row],[LOGIN]],tbMAPA[#All],2,0), "Não localizado")</f>
        <v>Renan Cazumba Tegani</v>
      </c>
      <c r="F2230" s="34" t="str">
        <f>IFERROR(VLOOKUP(tbLOG[[#This Row],[LOGIN]],tbMAPA[#All],3,0), "Não localizado")</f>
        <v>Reginaldo Santana De Souza</v>
      </c>
      <c r="G2230" s="3" t="s">
        <v>1211</v>
      </c>
      <c r="H2230" s="3" t="s">
        <v>836</v>
      </c>
    </row>
    <row r="2231" spans="1:8">
      <c r="A2231" s="29">
        <v>42748.692013888889</v>
      </c>
      <c r="B2231" s="29" t="str">
        <f>PROPER(TEXT(tbLOG[[#This Row],[DATA/HORA]],"mmmm"))</f>
        <v>Janeiro</v>
      </c>
      <c r="C2231" s="34" t="str">
        <f>PROPER(TEXT(tbLOG[[#This Row],[DATA/HORA]],"dddd"))</f>
        <v>Sexta-Feira</v>
      </c>
      <c r="D2231" s="3" t="s">
        <v>604</v>
      </c>
      <c r="E2231" s="34" t="str">
        <f>IFERROR(VLOOKUP(tbLOG[[#This Row],[LOGIN]],tbMAPA[#All],2,0), "Não localizado")</f>
        <v>Renan Cazumba Tegani</v>
      </c>
      <c r="F2231" s="34" t="str">
        <f>IFERROR(VLOOKUP(tbLOG[[#This Row],[LOGIN]],tbMAPA[#All],3,0), "Não localizado")</f>
        <v>Reginaldo Santana De Souza</v>
      </c>
      <c r="G2231" s="3" t="s">
        <v>1211</v>
      </c>
      <c r="H2231" s="3" t="s">
        <v>290</v>
      </c>
    </row>
    <row r="2232" spans="1:8">
      <c r="A2232" s="29">
        <v>42748.693680555552</v>
      </c>
      <c r="B2232" s="29" t="str">
        <f>PROPER(TEXT(tbLOG[[#This Row],[DATA/HORA]],"mmmm"))</f>
        <v>Janeiro</v>
      </c>
      <c r="C2232" s="34" t="str">
        <f>PROPER(TEXT(tbLOG[[#This Row],[DATA/HORA]],"dddd"))</f>
        <v>Sexta-Feira</v>
      </c>
      <c r="D2232" s="3" t="s">
        <v>604</v>
      </c>
      <c r="E2232" s="34" t="str">
        <f>IFERROR(VLOOKUP(tbLOG[[#This Row],[LOGIN]],tbMAPA[#All],2,0), "Não localizado")</f>
        <v>Renan Cazumba Tegani</v>
      </c>
      <c r="F2232" s="34" t="str">
        <f>IFERROR(VLOOKUP(tbLOG[[#This Row],[LOGIN]],tbMAPA[#All],3,0), "Não localizado")</f>
        <v>Reginaldo Santana De Souza</v>
      </c>
      <c r="G2232" s="3" t="s">
        <v>1211</v>
      </c>
      <c r="H2232" s="3" t="s">
        <v>836</v>
      </c>
    </row>
    <row r="2233" spans="1:8">
      <c r="A2233" s="29">
        <v>42748.698645833334</v>
      </c>
      <c r="B2233" s="29" t="str">
        <f>PROPER(TEXT(tbLOG[[#This Row],[DATA/HORA]],"mmmm"))</f>
        <v>Janeiro</v>
      </c>
      <c r="C2233" s="34" t="str">
        <f>PROPER(TEXT(tbLOG[[#This Row],[DATA/HORA]],"dddd"))</f>
        <v>Sexta-Feira</v>
      </c>
      <c r="D2233" s="3" t="s">
        <v>604</v>
      </c>
      <c r="E2233" s="34" t="str">
        <f>IFERROR(VLOOKUP(tbLOG[[#This Row],[LOGIN]],tbMAPA[#All],2,0), "Não localizado")</f>
        <v>Renan Cazumba Tegani</v>
      </c>
      <c r="F2233" s="34" t="str">
        <f>IFERROR(VLOOKUP(tbLOG[[#This Row],[LOGIN]],tbMAPA[#All],3,0), "Não localizado")</f>
        <v>Reginaldo Santana De Souza</v>
      </c>
      <c r="G2233" s="3" t="s">
        <v>1211</v>
      </c>
      <c r="H2233" s="3" t="s">
        <v>836</v>
      </c>
    </row>
    <row r="2234" spans="1:8">
      <c r="A2234" s="29">
        <v>42748.69866898148</v>
      </c>
      <c r="B2234" s="29" t="str">
        <f>PROPER(TEXT(tbLOG[[#This Row],[DATA/HORA]],"mmmm"))</f>
        <v>Janeiro</v>
      </c>
      <c r="C2234" s="34" t="str">
        <f>PROPER(TEXT(tbLOG[[#This Row],[DATA/HORA]],"dddd"))</f>
        <v>Sexta-Feira</v>
      </c>
      <c r="D2234" s="3" t="s">
        <v>604</v>
      </c>
      <c r="E2234" s="34" t="str">
        <f>IFERROR(VLOOKUP(tbLOG[[#This Row],[LOGIN]],tbMAPA[#All],2,0), "Não localizado")</f>
        <v>Renan Cazumba Tegani</v>
      </c>
      <c r="F2234" s="34" t="str">
        <f>IFERROR(VLOOKUP(tbLOG[[#This Row],[LOGIN]],tbMAPA[#All],3,0), "Não localizado")</f>
        <v>Reginaldo Santana De Souza</v>
      </c>
      <c r="G2234" s="3" t="s">
        <v>1211</v>
      </c>
      <c r="H2234" s="3" t="s">
        <v>836</v>
      </c>
    </row>
    <row r="2235" spans="1:8">
      <c r="A2235" s="29">
        <v>42748.698807870373</v>
      </c>
      <c r="B2235" s="29" t="str">
        <f>PROPER(TEXT(tbLOG[[#This Row],[DATA/HORA]],"mmmm"))</f>
        <v>Janeiro</v>
      </c>
      <c r="C2235" s="34" t="str">
        <f>PROPER(TEXT(tbLOG[[#This Row],[DATA/HORA]],"dddd"))</f>
        <v>Sexta-Feira</v>
      </c>
      <c r="D2235" s="3" t="s">
        <v>604</v>
      </c>
      <c r="E2235" s="34" t="str">
        <f>IFERROR(VLOOKUP(tbLOG[[#This Row],[LOGIN]],tbMAPA[#All],2,0), "Não localizado")</f>
        <v>Renan Cazumba Tegani</v>
      </c>
      <c r="F2235" s="34" t="str">
        <f>IFERROR(VLOOKUP(tbLOG[[#This Row],[LOGIN]],tbMAPA[#All],3,0), "Não localizado")</f>
        <v>Reginaldo Santana De Souza</v>
      </c>
      <c r="G2235" s="3" t="s">
        <v>1211</v>
      </c>
      <c r="H2235" s="3" t="s">
        <v>836</v>
      </c>
    </row>
    <row r="2236" spans="1:8">
      <c r="A2236" s="29">
        <v>42748.701620370368</v>
      </c>
      <c r="B2236" s="29" t="str">
        <f>PROPER(TEXT(tbLOG[[#This Row],[DATA/HORA]],"mmmm"))</f>
        <v>Janeiro</v>
      </c>
      <c r="C2236" s="34" t="str">
        <f>PROPER(TEXT(tbLOG[[#This Row],[DATA/HORA]],"dddd"))</f>
        <v>Sexta-Feira</v>
      </c>
      <c r="D2236" s="3" t="s">
        <v>604</v>
      </c>
      <c r="E2236" s="34" t="str">
        <f>IFERROR(VLOOKUP(tbLOG[[#This Row],[LOGIN]],tbMAPA[#All],2,0), "Não localizado")</f>
        <v>Renan Cazumba Tegani</v>
      </c>
      <c r="F2236" s="34" t="str">
        <f>IFERROR(VLOOKUP(tbLOG[[#This Row],[LOGIN]],tbMAPA[#All],3,0), "Não localizado")</f>
        <v>Reginaldo Santana De Souza</v>
      </c>
      <c r="G2236" s="3" t="s">
        <v>1211</v>
      </c>
      <c r="H2236" s="3" t="s">
        <v>836</v>
      </c>
    </row>
    <row r="2237" spans="1:8">
      <c r="A2237" s="29">
        <v>42748.711215277777</v>
      </c>
      <c r="B2237" s="29" t="str">
        <f>PROPER(TEXT(tbLOG[[#This Row],[DATA/HORA]],"mmmm"))</f>
        <v>Janeiro</v>
      </c>
      <c r="C2237" s="34" t="str">
        <f>PROPER(TEXT(tbLOG[[#This Row],[DATA/HORA]],"dddd"))</f>
        <v>Sexta-Feira</v>
      </c>
      <c r="D2237" s="3" t="s">
        <v>604</v>
      </c>
      <c r="E2237" s="34" t="str">
        <f>IFERROR(VLOOKUP(tbLOG[[#This Row],[LOGIN]],tbMAPA[#All],2,0), "Não localizado")</f>
        <v>Renan Cazumba Tegani</v>
      </c>
      <c r="F2237" s="34" t="str">
        <f>IFERROR(VLOOKUP(tbLOG[[#This Row],[LOGIN]],tbMAPA[#All],3,0), "Não localizado")</f>
        <v>Reginaldo Santana De Souza</v>
      </c>
      <c r="G2237" s="3" t="s">
        <v>1211</v>
      </c>
      <c r="H2237" s="3" t="s">
        <v>836</v>
      </c>
    </row>
    <row r="2238" spans="1:8">
      <c r="A2238" s="29">
        <v>42748.712569444448</v>
      </c>
      <c r="B2238" s="29" t="str">
        <f>PROPER(TEXT(tbLOG[[#This Row],[DATA/HORA]],"mmmm"))</f>
        <v>Janeiro</v>
      </c>
      <c r="C2238" s="34" t="str">
        <f>PROPER(TEXT(tbLOG[[#This Row],[DATA/HORA]],"dddd"))</f>
        <v>Sexta-Feira</v>
      </c>
      <c r="D2238" s="3" t="s">
        <v>604</v>
      </c>
      <c r="E2238" s="34" t="str">
        <f>IFERROR(VLOOKUP(tbLOG[[#This Row],[LOGIN]],tbMAPA[#All],2,0), "Não localizado")</f>
        <v>Renan Cazumba Tegani</v>
      </c>
      <c r="F2238" s="34" t="str">
        <f>IFERROR(VLOOKUP(tbLOG[[#This Row],[LOGIN]],tbMAPA[#All],3,0), "Não localizado")</f>
        <v>Reginaldo Santana De Souza</v>
      </c>
      <c r="G2238" s="3" t="s">
        <v>1211</v>
      </c>
      <c r="H2238" s="3" t="s">
        <v>836</v>
      </c>
    </row>
    <row r="2239" spans="1:8">
      <c r="A2239" s="29">
        <v>42748.714826388888</v>
      </c>
      <c r="B2239" s="29" t="str">
        <f>PROPER(TEXT(tbLOG[[#This Row],[DATA/HORA]],"mmmm"))</f>
        <v>Janeiro</v>
      </c>
      <c r="C2239" s="34" t="str">
        <f>PROPER(TEXT(tbLOG[[#This Row],[DATA/HORA]],"dddd"))</f>
        <v>Sexta-Feira</v>
      </c>
      <c r="D2239" s="3" t="s">
        <v>604</v>
      </c>
      <c r="E2239" s="34" t="str">
        <f>IFERROR(VLOOKUP(tbLOG[[#This Row],[LOGIN]],tbMAPA[#All],2,0), "Não localizado")</f>
        <v>Renan Cazumba Tegani</v>
      </c>
      <c r="F2239" s="34" t="str">
        <f>IFERROR(VLOOKUP(tbLOG[[#This Row],[LOGIN]],tbMAPA[#All],3,0), "Não localizado")</f>
        <v>Reginaldo Santana De Souza</v>
      </c>
      <c r="G2239" s="3" t="s">
        <v>1211</v>
      </c>
      <c r="H2239" s="3" t="s">
        <v>836</v>
      </c>
    </row>
    <row r="2240" spans="1:8">
      <c r="A2240" s="29">
        <v>42748.714907407404</v>
      </c>
      <c r="B2240" s="29" t="str">
        <f>PROPER(TEXT(tbLOG[[#This Row],[DATA/HORA]],"mmmm"))</f>
        <v>Janeiro</v>
      </c>
      <c r="C2240" s="34" t="str">
        <f>PROPER(TEXT(tbLOG[[#This Row],[DATA/HORA]],"dddd"))</f>
        <v>Sexta-Feira</v>
      </c>
      <c r="D2240" s="3" t="s">
        <v>604</v>
      </c>
      <c r="E2240" s="34" t="str">
        <f>IFERROR(VLOOKUP(tbLOG[[#This Row],[LOGIN]],tbMAPA[#All],2,0), "Não localizado")</f>
        <v>Renan Cazumba Tegani</v>
      </c>
      <c r="F2240" s="34" t="str">
        <f>IFERROR(VLOOKUP(tbLOG[[#This Row],[LOGIN]],tbMAPA[#All],3,0), "Não localizado")</f>
        <v>Reginaldo Santana De Souza</v>
      </c>
      <c r="G2240" s="3" t="s">
        <v>1211</v>
      </c>
      <c r="H2240" s="3" t="s">
        <v>836</v>
      </c>
    </row>
    <row r="2241" spans="1:8">
      <c r="A2241" s="29">
        <v>42748.714988425927</v>
      </c>
      <c r="B2241" s="29" t="str">
        <f>PROPER(TEXT(tbLOG[[#This Row],[DATA/HORA]],"mmmm"))</f>
        <v>Janeiro</v>
      </c>
      <c r="C2241" s="34" t="str">
        <f>PROPER(TEXT(tbLOG[[#This Row],[DATA/HORA]],"dddd"))</f>
        <v>Sexta-Feira</v>
      </c>
      <c r="D2241" s="3" t="s">
        <v>604</v>
      </c>
      <c r="E2241" s="34" t="str">
        <f>IFERROR(VLOOKUP(tbLOG[[#This Row],[LOGIN]],tbMAPA[#All],2,0), "Não localizado")</f>
        <v>Renan Cazumba Tegani</v>
      </c>
      <c r="F2241" s="34" t="str">
        <f>IFERROR(VLOOKUP(tbLOG[[#This Row],[LOGIN]],tbMAPA[#All],3,0), "Não localizado")</f>
        <v>Reginaldo Santana De Souza</v>
      </c>
      <c r="G2241" s="3" t="s">
        <v>1211</v>
      </c>
      <c r="H2241" s="3" t="s">
        <v>836</v>
      </c>
    </row>
    <row r="2242" spans="1:8">
      <c r="A2242" s="29">
        <v>42748.718101851853</v>
      </c>
      <c r="B2242" s="29" t="str">
        <f>PROPER(TEXT(tbLOG[[#This Row],[DATA/HORA]],"mmmm"))</f>
        <v>Janeiro</v>
      </c>
      <c r="C2242" s="34" t="str">
        <f>PROPER(TEXT(tbLOG[[#This Row],[DATA/HORA]],"dddd"))</f>
        <v>Sexta-Feira</v>
      </c>
      <c r="D2242" s="3" t="s">
        <v>604</v>
      </c>
      <c r="E2242" s="34" t="str">
        <f>IFERROR(VLOOKUP(tbLOG[[#This Row],[LOGIN]],tbMAPA[#All],2,0), "Não localizado")</f>
        <v>Renan Cazumba Tegani</v>
      </c>
      <c r="F2242" s="34" t="str">
        <f>IFERROR(VLOOKUP(tbLOG[[#This Row],[LOGIN]],tbMAPA[#All],3,0), "Não localizado")</f>
        <v>Reginaldo Santana De Souza</v>
      </c>
      <c r="G2242" s="3" t="s">
        <v>1211</v>
      </c>
      <c r="H2242" s="3" t="s">
        <v>836</v>
      </c>
    </row>
    <row r="2243" spans="1:8">
      <c r="A2243" s="29">
        <v>42748.718124999999</v>
      </c>
      <c r="B2243" s="29" t="str">
        <f>PROPER(TEXT(tbLOG[[#This Row],[DATA/HORA]],"mmmm"))</f>
        <v>Janeiro</v>
      </c>
      <c r="C2243" s="34" t="str">
        <f>PROPER(TEXT(tbLOG[[#This Row],[DATA/HORA]],"dddd"))</f>
        <v>Sexta-Feira</v>
      </c>
      <c r="D2243" s="3" t="s">
        <v>604</v>
      </c>
      <c r="E2243" s="34" t="str">
        <f>IFERROR(VLOOKUP(tbLOG[[#This Row],[LOGIN]],tbMAPA[#All],2,0), "Não localizado")</f>
        <v>Renan Cazumba Tegani</v>
      </c>
      <c r="F2243" s="34" t="str">
        <f>IFERROR(VLOOKUP(tbLOG[[#This Row],[LOGIN]],tbMAPA[#All],3,0), "Não localizado")</f>
        <v>Reginaldo Santana De Souza</v>
      </c>
      <c r="G2243" s="3" t="s">
        <v>1211</v>
      </c>
      <c r="H2243" s="3" t="s">
        <v>836</v>
      </c>
    </row>
    <row r="2244" spans="1:8">
      <c r="A2244" s="29">
        <v>42748.718148148146</v>
      </c>
      <c r="B2244" s="29" t="str">
        <f>PROPER(TEXT(tbLOG[[#This Row],[DATA/HORA]],"mmmm"))</f>
        <v>Janeiro</v>
      </c>
      <c r="C2244" s="34" t="str">
        <f>PROPER(TEXT(tbLOG[[#This Row],[DATA/HORA]],"dddd"))</f>
        <v>Sexta-Feira</v>
      </c>
      <c r="D2244" s="3" t="s">
        <v>604</v>
      </c>
      <c r="E2244" s="34" t="str">
        <f>IFERROR(VLOOKUP(tbLOG[[#This Row],[LOGIN]],tbMAPA[#All],2,0), "Não localizado")</f>
        <v>Renan Cazumba Tegani</v>
      </c>
      <c r="F2244" s="34" t="str">
        <f>IFERROR(VLOOKUP(tbLOG[[#This Row],[LOGIN]],tbMAPA[#All],3,0), "Não localizado")</f>
        <v>Reginaldo Santana De Souza</v>
      </c>
      <c r="G2244" s="3" t="s">
        <v>1211</v>
      </c>
      <c r="H2244" s="3" t="s">
        <v>836</v>
      </c>
    </row>
    <row r="2245" spans="1:8">
      <c r="A2245" s="29">
        <v>42748.719664351855</v>
      </c>
      <c r="B2245" s="29" t="str">
        <f>PROPER(TEXT(tbLOG[[#This Row],[DATA/HORA]],"mmmm"))</f>
        <v>Janeiro</v>
      </c>
      <c r="C2245" s="34" t="str">
        <f>PROPER(TEXT(tbLOG[[#This Row],[DATA/HORA]],"dddd"))</f>
        <v>Sexta-Feira</v>
      </c>
      <c r="D2245" s="3" t="s">
        <v>604</v>
      </c>
      <c r="E2245" s="34" t="str">
        <f>IFERROR(VLOOKUP(tbLOG[[#This Row],[LOGIN]],tbMAPA[#All],2,0), "Não localizado")</f>
        <v>Renan Cazumba Tegani</v>
      </c>
      <c r="F2245" s="34" t="str">
        <f>IFERROR(VLOOKUP(tbLOG[[#This Row],[LOGIN]],tbMAPA[#All],3,0), "Não localizado")</f>
        <v>Reginaldo Santana De Souza</v>
      </c>
      <c r="G2245" s="3" t="s">
        <v>1211</v>
      </c>
      <c r="H2245" s="3" t="s">
        <v>836</v>
      </c>
    </row>
    <row r="2246" spans="1:8">
      <c r="A2246" s="29">
        <v>42748.719687500001</v>
      </c>
      <c r="B2246" s="29" t="str">
        <f>PROPER(TEXT(tbLOG[[#This Row],[DATA/HORA]],"mmmm"))</f>
        <v>Janeiro</v>
      </c>
      <c r="C2246" s="34" t="str">
        <f>PROPER(TEXT(tbLOG[[#This Row],[DATA/HORA]],"dddd"))</f>
        <v>Sexta-Feira</v>
      </c>
      <c r="D2246" s="3" t="s">
        <v>604</v>
      </c>
      <c r="E2246" s="34" t="str">
        <f>IFERROR(VLOOKUP(tbLOG[[#This Row],[LOGIN]],tbMAPA[#All],2,0), "Não localizado")</f>
        <v>Renan Cazumba Tegani</v>
      </c>
      <c r="F2246" s="34" t="str">
        <f>IFERROR(VLOOKUP(tbLOG[[#This Row],[LOGIN]],tbMAPA[#All],3,0), "Não localizado")</f>
        <v>Reginaldo Santana De Souza</v>
      </c>
      <c r="G2246" s="3" t="s">
        <v>1211</v>
      </c>
      <c r="H2246" s="3" t="s">
        <v>836</v>
      </c>
    </row>
    <row r="2247" spans="1:8">
      <c r="A2247" s="29">
        <v>42748.719710648147</v>
      </c>
      <c r="B2247" s="29" t="str">
        <f>PROPER(TEXT(tbLOG[[#This Row],[DATA/HORA]],"mmmm"))</f>
        <v>Janeiro</v>
      </c>
      <c r="C2247" s="34" t="str">
        <f>PROPER(TEXT(tbLOG[[#This Row],[DATA/HORA]],"dddd"))</f>
        <v>Sexta-Feira</v>
      </c>
      <c r="D2247" s="3" t="s">
        <v>604</v>
      </c>
      <c r="E2247" s="34" t="str">
        <f>IFERROR(VLOOKUP(tbLOG[[#This Row],[LOGIN]],tbMAPA[#All],2,0), "Não localizado")</f>
        <v>Renan Cazumba Tegani</v>
      </c>
      <c r="F2247" s="34" t="str">
        <f>IFERROR(VLOOKUP(tbLOG[[#This Row],[LOGIN]],tbMAPA[#All],3,0), "Não localizado")</f>
        <v>Reginaldo Santana De Souza</v>
      </c>
      <c r="G2247" s="3" t="s">
        <v>1211</v>
      </c>
      <c r="H2247" s="3" t="s">
        <v>836</v>
      </c>
    </row>
    <row r="2248" spans="1:8">
      <c r="A2248" s="29">
        <v>42748.720462962963</v>
      </c>
      <c r="B2248" s="29" t="str">
        <f>PROPER(TEXT(tbLOG[[#This Row],[DATA/HORA]],"mmmm"))</f>
        <v>Janeiro</v>
      </c>
      <c r="C2248" s="34" t="str">
        <f>PROPER(TEXT(tbLOG[[#This Row],[DATA/HORA]],"dddd"))</f>
        <v>Sexta-Feira</v>
      </c>
      <c r="D2248" s="3" t="s">
        <v>604</v>
      </c>
      <c r="E2248" s="34" t="str">
        <f>IFERROR(VLOOKUP(tbLOG[[#This Row],[LOGIN]],tbMAPA[#All],2,0), "Não localizado")</f>
        <v>Renan Cazumba Tegani</v>
      </c>
      <c r="F2248" s="34" t="str">
        <f>IFERROR(VLOOKUP(tbLOG[[#This Row],[LOGIN]],tbMAPA[#All],3,0), "Não localizado")</f>
        <v>Reginaldo Santana De Souza</v>
      </c>
      <c r="G2248" s="3" t="s">
        <v>1211</v>
      </c>
      <c r="H2248" s="3" t="s">
        <v>836</v>
      </c>
    </row>
    <row r="2249" spans="1:8">
      <c r="A2249" s="29">
        <v>42748.722094907411</v>
      </c>
      <c r="B2249" s="29" t="str">
        <f>PROPER(TEXT(tbLOG[[#This Row],[DATA/HORA]],"mmmm"))</f>
        <v>Janeiro</v>
      </c>
      <c r="C2249" s="34" t="str">
        <f>PROPER(TEXT(tbLOG[[#This Row],[DATA/HORA]],"dddd"))</f>
        <v>Sexta-Feira</v>
      </c>
      <c r="D2249" s="3" t="s">
        <v>604</v>
      </c>
      <c r="E2249" s="34" t="str">
        <f>IFERROR(VLOOKUP(tbLOG[[#This Row],[LOGIN]],tbMAPA[#All],2,0), "Não localizado")</f>
        <v>Renan Cazumba Tegani</v>
      </c>
      <c r="F2249" s="34" t="str">
        <f>IFERROR(VLOOKUP(tbLOG[[#This Row],[LOGIN]],tbMAPA[#All],3,0), "Não localizado")</f>
        <v>Reginaldo Santana De Souza</v>
      </c>
      <c r="G2249" s="3" t="s">
        <v>1211</v>
      </c>
      <c r="H2249" s="3" t="s">
        <v>836</v>
      </c>
    </row>
    <row r="2250" spans="1:8">
      <c r="A2250" s="29">
        <v>42748.722129629627</v>
      </c>
      <c r="B2250" s="29" t="str">
        <f>PROPER(TEXT(tbLOG[[#This Row],[DATA/HORA]],"mmmm"))</f>
        <v>Janeiro</v>
      </c>
      <c r="C2250" s="34" t="str">
        <f>PROPER(TEXT(tbLOG[[#This Row],[DATA/HORA]],"dddd"))</f>
        <v>Sexta-Feira</v>
      </c>
      <c r="D2250" s="3" t="s">
        <v>604</v>
      </c>
      <c r="E2250" s="34" t="str">
        <f>IFERROR(VLOOKUP(tbLOG[[#This Row],[LOGIN]],tbMAPA[#All],2,0), "Não localizado")</f>
        <v>Renan Cazumba Tegani</v>
      </c>
      <c r="F2250" s="34" t="str">
        <f>IFERROR(VLOOKUP(tbLOG[[#This Row],[LOGIN]],tbMAPA[#All],3,0), "Não localizado")</f>
        <v>Reginaldo Santana De Souza</v>
      </c>
      <c r="G2250" s="3" t="s">
        <v>1211</v>
      </c>
      <c r="H2250" s="3" t="s">
        <v>836</v>
      </c>
    </row>
    <row r="2251" spans="1:8">
      <c r="A2251" s="29">
        <v>42748.72216435185</v>
      </c>
      <c r="B2251" s="29" t="str">
        <f>PROPER(TEXT(tbLOG[[#This Row],[DATA/HORA]],"mmmm"))</f>
        <v>Janeiro</v>
      </c>
      <c r="C2251" s="34" t="str">
        <f>PROPER(TEXT(tbLOG[[#This Row],[DATA/HORA]],"dddd"))</f>
        <v>Sexta-Feira</v>
      </c>
      <c r="D2251" s="3" t="s">
        <v>604</v>
      </c>
      <c r="E2251" s="34" t="str">
        <f>IFERROR(VLOOKUP(tbLOG[[#This Row],[LOGIN]],tbMAPA[#All],2,0), "Não localizado")</f>
        <v>Renan Cazumba Tegani</v>
      </c>
      <c r="F2251" s="34" t="str">
        <f>IFERROR(VLOOKUP(tbLOG[[#This Row],[LOGIN]],tbMAPA[#All],3,0), "Não localizado")</f>
        <v>Reginaldo Santana De Souza</v>
      </c>
      <c r="G2251" s="3" t="s">
        <v>1211</v>
      </c>
      <c r="H2251" s="3" t="s">
        <v>836</v>
      </c>
    </row>
    <row r="2252" spans="1:8">
      <c r="A2252" s="29">
        <v>42748.723668981482</v>
      </c>
      <c r="B2252" s="29" t="str">
        <f>PROPER(TEXT(tbLOG[[#This Row],[DATA/HORA]],"mmmm"))</f>
        <v>Janeiro</v>
      </c>
      <c r="C2252" s="34" t="str">
        <f>PROPER(TEXT(tbLOG[[#This Row],[DATA/HORA]],"dddd"))</f>
        <v>Sexta-Feira</v>
      </c>
      <c r="D2252" s="3" t="s">
        <v>604</v>
      </c>
      <c r="E2252" s="34" t="str">
        <f>IFERROR(VLOOKUP(tbLOG[[#This Row],[LOGIN]],tbMAPA[#All],2,0), "Não localizado")</f>
        <v>Renan Cazumba Tegani</v>
      </c>
      <c r="F2252" s="34" t="str">
        <f>IFERROR(VLOOKUP(tbLOG[[#This Row],[LOGIN]],tbMAPA[#All],3,0), "Não localizado")</f>
        <v>Reginaldo Santana De Souza</v>
      </c>
      <c r="G2252" s="3" t="s">
        <v>1211</v>
      </c>
      <c r="H2252" s="3" t="s">
        <v>836</v>
      </c>
    </row>
    <row r="2253" spans="1:8">
      <c r="A2253" s="29">
        <v>42748.725324074076</v>
      </c>
      <c r="B2253" s="29" t="str">
        <f>PROPER(TEXT(tbLOG[[#This Row],[DATA/HORA]],"mmmm"))</f>
        <v>Janeiro</v>
      </c>
      <c r="C2253" s="34" t="str">
        <f>PROPER(TEXT(tbLOG[[#This Row],[DATA/HORA]],"dddd"))</f>
        <v>Sexta-Feira</v>
      </c>
      <c r="D2253" s="3" t="s">
        <v>604</v>
      </c>
      <c r="E2253" s="34" t="str">
        <f>IFERROR(VLOOKUP(tbLOG[[#This Row],[LOGIN]],tbMAPA[#All],2,0), "Não localizado")</f>
        <v>Renan Cazumba Tegani</v>
      </c>
      <c r="F2253" s="34" t="str">
        <f>IFERROR(VLOOKUP(tbLOG[[#This Row],[LOGIN]],tbMAPA[#All],3,0), "Não localizado")</f>
        <v>Reginaldo Santana De Souza</v>
      </c>
      <c r="G2253" s="3" t="s">
        <v>1211</v>
      </c>
      <c r="H2253" s="3" t="s">
        <v>836</v>
      </c>
    </row>
    <row r="2254" spans="1:8">
      <c r="A2254" s="29">
        <v>42748.726956018516</v>
      </c>
      <c r="B2254" s="29" t="str">
        <f>PROPER(TEXT(tbLOG[[#This Row],[DATA/HORA]],"mmmm"))</f>
        <v>Janeiro</v>
      </c>
      <c r="C2254" s="34" t="str">
        <f>PROPER(TEXT(tbLOG[[#This Row],[DATA/HORA]],"dddd"))</f>
        <v>Sexta-Feira</v>
      </c>
      <c r="D2254" s="3" t="s">
        <v>604</v>
      </c>
      <c r="E2254" s="34" t="str">
        <f>IFERROR(VLOOKUP(tbLOG[[#This Row],[LOGIN]],tbMAPA[#All],2,0), "Não localizado")</f>
        <v>Renan Cazumba Tegani</v>
      </c>
      <c r="F2254" s="34" t="str">
        <f>IFERROR(VLOOKUP(tbLOG[[#This Row],[LOGIN]],tbMAPA[#All],3,0), "Não localizado")</f>
        <v>Reginaldo Santana De Souza</v>
      </c>
      <c r="G2254" s="3" t="s">
        <v>1211</v>
      </c>
      <c r="H2254" s="3" t="s">
        <v>836</v>
      </c>
    </row>
    <row r="2255" spans="1:8">
      <c r="A2255" s="29">
        <v>42748.726979166669</v>
      </c>
      <c r="B2255" s="29" t="str">
        <f>PROPER(TEXT(tbLOG[[#This Row],[DATA/HORA]],"mmmm"))</f>
        <v>Janeiro</v>
      </c>
      <c r="C2255" s="34" t="str">
        <f>PROPER(TEXT(tbLOG[[#This Row],[DATA/HORA]],"dddd"))</f>
        <v>Sexta-Feira</v>
      </c>
      <c r="D2255" s="3" t="s">
        <v>604</v>
      </c>
      <c r="E2255" s="34" t="str">
        <f>IFERROR(VLOOKUP(tbLOG[[#This Row],[LOGIN]],tbMAPA[#All],2,0), "Não localizado")</f>
        <v>Renan Cazumba Tegani</v>
      </c>
      <c r="F2255" s="34" t="str">
        <f>IFERROR(VLOOKUP(tbLOG[[#This Row],[LOGIN]],tbMAPA[#All],3,0), "Não localizado")</f>
        <v>Reginaldo Santana De Souza</v>
      </c>
      <c r="G2255" s="3" t="s">
        <v>1211</v>
      </c>
      <c r="H2255" s="3" t="s">
        <v>836</v>
      </c>
    </row>
    <row r="2256" spans="1:8">
      <c r="A2256" s="29">
        <v>42748.727002314816</v>
      </c>
      <c r="B2256" s="29" t="str">
        <f>PROPER(TEXT(tbLOG[[#This Row],[DATA/HORA]],"mmmm"))</f>
        <v>Janeiro</v>
      </c>
      <c r="C2256" s="34" t="str">
        <f>PROPER(TEXT(tbLOG[[#This Row],[DATA/HORA]],"dddd"))</f>
        <v>Sexta-Feira</v>
      </c>
      <c r="D2256" s="3" t="s">
        <v>604</v>
      </c>
      <c r="E2256" s="34" t="str">
        <f>IFERROR(VLOOKUP(tbLOG[[#This Row],[LOGIN]],tbMAPA[#All],2,0), "Não localizado")</f>
        <v>Renan Cazumba Tegani</v>
      </c>
      <c r="F2256" s="34" t="str">
        <f>IFERROR(VLOOKUP(tbLOG[[#This Row],[LOGIN]],tbMAPA[#All],3,0), "Não localizado")</f>
        <v>Reginaldo Santana De Souza</v>
      </c>
      <c r="G2256" s="3" t="s">
        <v>1211</v>
      </c>
      <c r="H2256" s="3" t="s">
        <v>836</v>
      </c>
    </row>
    <row r="2257" spans="1:8">
      <c r="A2257" s="29">
        <v>42748.728958333333</v>
      </c>
      <c r="B2257" s="29" t="str">
        <f>PROPER(TEXT(tbLOG[[#This Row],[DATA/HORA]],"mmmm"))</f>
        <v>Janeiro</v>
      </c>
      <c r="C2257" s="34" t="str">
        <f>PROPER(TEXT(tbLOG[[#This Row],[DATA/HORA]],"dddd"))</f>
        <v>Sexta-Feira</v>
      </c>
      <c r="D2257" s="3" t="s">
        <v>604</v>
      </c>
      <c r="E2257" s="34" t="str">
        <f>IFERROR(VLOOKUP(tbLOG[[#This Row],[LOGIN]],tbMAPA[#All],2,0), "Não localizado")</f>
        <v>Renan Cazumba Tegani</v>
      </c>
      <c r="F2257" s="34" t="str">
        <f>IFERROR(VLOOKUP(tbLOG[[#This Row],[LOGIN]],tbMAPA[#All],3,0), "Não localizado")</f>
        <v>Reginaldo Santana De Souza</v>
      </c>
      <c r="G2257" s="3" t="s">
        <v>1211</v>
      </c>
      <c r="H2257" s="3" t="s">
        <v>836</v>
      </c>
    </row>
    <row r="2258" spans="1:8">
      <c r="A2258" s="29">
        <v>42748.729571759257</v>
      </c>
      <c r="B2258" s="29" t="str">
        <f>PROPER(TEXT(tbLOG[[#This Row],[DATA/HORA]],"mmmm"))</f>
        <v>Janeiro</v>
      </c>
      <c r="C2258" s="34" t="str">
        <f>PROPER(TEXT(tbLOG[[#This Row],[DATA/HORA]],"dddd"))</f>
        <v>Sexta-Feira</v>
      </c>
      <c r="D2258" s="3" t="s">
        <v>604</v>
      </c>
      <c r="E2258" s="34" t="str">
        <f>IFERROR(VLOOKUP(tbLOG[[#This Row],[LOGIN]],tbMAPA[#All],2,0), "Não localizado")</f>
        <v>Renan Cazumba Tegani</v>
      </c>
      <c r="F2258" s="34" t="str">
        <f>IFERROR(VLOOKUP(tbLOG[[#This Row],[LOGIN]],tbMAPA[#All],3,0), "Não localizado")</f>
        <v>Reginaldo Santana De Souza</v>
      </c>
      <c r="G2258" s="3" t="s">
        <v>1211</v>
      </c>
      <c r="H2258" s="3" t="s">
        <v>836</v>
      </c>
    </row>
    <row r="2259" spans="1:8">
      <c r="A2259" s="29">
        <v>42748.729594907411</v>
      </c>
      <c r="B2259" s="29" t="str">
        <f>PROPER(TEXT(tbLOG[[#This Row],[DATA/HORA]],"mmmm"))</f>
        <v>Janeiro</v>
      </c>
      <c r="C2259" s="34" t="str">
        <f>PROPER(TEXT(tbLOG[[#This Row],[DATA/HORA]],"dddd"))</f>
        <v>Sexta-Feira</v>
      </c>
      <c r="D2259" s="3" t="s">
        <v>604</v>
      </c>
      <c r="E2259" s="34" t="str">
        <f>IFERROR(VLOOKUP(tbLOG[[#This Row],[LOGIN]],tbMAPA[#All],2,0), "Não localizado")</f>
        <v>Renan Cazumba Tegani</v>
      </c>
      <c r="F2259" s="34" t="str">
        <f>IFERROR(VLOOKUP(tbLOG[[#This Row],[LOGIN]],tbMAPA[#All],3,0), "Não localizado")</f>
        <v>Reginaldo Santana De Souza</v>
      </c>
      <c r="G2259" s="3" t="s">
        <v>1211</v>
      </c>
      <c r="H2259" s="3" t="s">
        <v>836</v>
      </c>
    </row>
    <row r="2260" spans="1:8">
      <c r="A2260" s="29">
        <v>42748.729675925926</v>
      </c>
      <c r="B2260" s="29" t="str">
        <f>PROPER(TEXT(tbLOG[[#This Row],[DATA/HORA]],"mmmm"))</f>
        <v>Janeiro</v>
      </c>
      <c r="C2260" s="34" t="str">
        <f>PROPER(TEXT(tbLOG[[#This Row],[DATA/HORA]],"dddd"))</f>
        <v>Sexta-Feira</v>
      </c>
      <c r="D2260" s="3" t="s">
        <v>604</v>
      </c>
      <c r="E2260" s="34" t="str">
        <f>IFERROR(VLOOKUP(tbLOG[[#This Row],[LOGIN]],tbMAPA[#All],2,0), "Não localizado")</f>
        <v>Renan Cazumba Tegani</v>
      </c>
      <c r="F2260" s="34" t="str">
        <f>IFERROR(VLOOKUP(tbLOG[[#This Row],[LOGIN]],tbMAPA[#All],3,0), "Não localizado")</f>
        <v>Reginaldo Santana De Souza</v>
      </c>
      <c r="G2260" s="3" t="s">
        <v>1211</v>
      </c>
      <c r="H2260" s="3" t="s">
        <v>836</v>
      </c>
    </row>
    <row r="2261" spans="1:8">
      <c r="A2261" s="29">
        <v>42748.729756944442</v>
      </c>
      <c r="B2261" s="29" t="str">
        <f>PROPER(TEXT(tbLOG[[#This Row],[DATA/HORA]],"mmmm"))</f>
        <v>Janeiro</v>
      </c>
      <c r="C2261" s="34" t="str">
        <f>PROPER(TEXT(tbLOG[[#This Row],[DATA/HORA]],"dddd"))</f>
        <v>Sexta-Feira</v>
      </c>
      <c r="D2261" s="3" t="s">
        <v>604</v>
      </c>
      <c r="E2261" s="34" t="str">
        <f>IFERROR(VLOOKUP(tbLOG[[#This Row],[LOGIN]],tbMAPA[#All],2,0), "Não localizado")</f>
        <v>Renan Cazumba Tegani</v>
      </c>
      <c r="F2261" s="34" t="str">
        <f>IFERROR(VLOOKUP(tbLOG[[#This Row],[LOGIN]],tbMAPA[#All],3,0), "Não localizado")</f>
        <v>Reginaldo Santana De Souza</v>
      </c>
      <c r="G2261" s="3" t="s">
        <v>1211</v>
      </c>
      <c r="H2261" s="3" t="s">
        <v>836</v>
      </c>
    </row>
    <row r="2262" spans="1:8">
      <c r="A2262" s="29">
        <v>42748.730011574073</v>
      </c>
      <c r="B2262" s="29" t="str">
        <f>PROPER(TEXT(tbLOG[[#This Row],[DATA/HORA]],"mmmm"))</f>
        <v>Janeiro</v>
      </c>
      <c r="C2262" s="34" t="str">
        <f>PROPER(TEXT(tbLOG[[#This Row],[DATA/HORA]],"dddd"))</f>
        <v>Sexta-Feira</v>
      </c>
      <c r="D2262" s="3" t="s">
        <v>604</v>
      </c>
      <c r="E2262" s="34" t="str">
        <f>IFERROR(VLOOKUP(tbLOG[[#This Row],[LOGIN]],tbMAPA[#All],2,0), "Não localizado")</f>
        <v>Renan Cazumba Tegani</v>
      </c>
      <c r="F2262" s="34" t="str">
        <f>IFERROR(VLOOKUP(tbLOG[[#This Row],[LOGIN]],tbMAPA[#All],3,0), "Não localizado")</f>
        <v>Reginaldo Santana De Souza</v>
      </c>
      <c r="G2262" s="3" t="s">
        <v>1211</v>
      </c>
      <c r="H2262" s="3" t="s">
        <v>836</v>
      </c>
    </row>
    <row r="2263" spans="1:8">
      <c r="A2263" s="29">
        <v>42748.734027777777</v>
      </c>
      <c r="B2263" s="29" t="str">
        <f>PROPER(TEXT(tbLOG[[#This Row],[DATA/HORA]],"mmmm"))</f>
        <v>Janeiro</v>
      </c>
      <c r="C2263" s="34" t="str">
        <f>PROPER(TEXT(tbLOG[[#This Row],[DATA/HORA]],"dddd"))</f>
        <v>Sexta-Feira</v>
      </c>
      <c r="D2263" s="3" t="s">
        <v>604</v>
      </c>
      <c r="E2263" s="34" t="str">
        <f>IFERROR(VLOOKUP(tbLOG[[#This Row],[LOGIN]],tbMAPA[#All],2,0), "Não localizado")</f>
        <v>Renan Cazumba Tegani</v>
      </c>
      <c r="F2263" s="34" t="str">
        <f>IFERROR(VLOOKUP(tbLOG[[#This Row],[LOGIN]],tbMAPA[#All],3,0), "Não localizado")</f>
        <v>Reginaldo Santana De Souza</v>
      </c>
      <c r="G2263" s="3" t="s">
        <v>1211</v>
      </c>
      <c r="H2263" s="3" t="s">
        <v>836</v>
      </c>
    </row>
    <row r="2264" spans="1:8">
      <c r="A2264" s="29">
        <v>42748.7340625</v>
      </c>
      <c r="B2264" s="29" t="str">
        <f>PROPER(TEXT(tbLOG[[#This Row],[DATA/HORA]],"mmmm"))</f>
        <v>Janeiro</v>
      </c>
      <c r="C2264" s="34" t="str">
        <f>PROPER(TEXT(tbLOG[[#This Row],[DATA/HORA]],"dddd"))</f>
        <v>Sexta-Feira</v>
      </c>
      <c r="D2264" s="3" t="s">
        <v>604</v>
      </c>
      <c r="E2264" s="34" t="str">
        <f>IFERROR(VLOOKUP(tbLOG[[#This Row],[LOGIN]],tbMAPA[#All],2,0), "Não localizado")</f>
        <v>Renan Cazumba Tegani</v>
      </c>
      <c r="F2264" s="34" t="str">
        <f>IFERROR(VLOOKUP(tbLOG[[#This Row],[LOGIN]],tbMAPA[#All],3,0), "Não localizado")</f>
        <v>Reginaldo Santana De Souza</v>
      </c>
      <c r="G2264" s="3" t="s">
        <v>1211</v>
      </c>
      <c r="H2264" s="3" t="s">
        <v>290</v>
      </c>
    </row>
    <row r="2265" spans="1:8">
      <c r="A2265" s="29">
        <v>42748.734224537038</v>
      </c>
      <c r="B2265" s="29" t="str">
        <f>PROPER(TEXT(tbLOG[[#This Row],[DATA/HORA]],"mmmm"))</f>
        <v>Janeiro</v>
      </c>
      <c r="C2265" s="34" t="str">
        <f>PROPER(TEXT(tbLOG[[#This Row],[DATA/HORA]],"dddd"))</f>
        <v>Sexta-Feira</v>
      </c>
      <c r="D2265" s="3" t="s">
        <v>604</v>
      </c>
      <c r="E2265" s="34" t="str">
        <f>IFERROR(VLOOKUP(tbLOG[[#This Row],[LOGIN]],tbMAPA[#All],2,0), "Não localizado")</f>
        <v>Renan Cazumba Tegani</v>
      </c>
      <c r="F2265" s="34" t="str">
        <f>IFERROR(VLOOKUP(tbLOG[[#This Row],[LOGIN]],tbMAPA[#All],3,0), "Não localizado")</f>
        <v>Reginaldo Santana De Souza</v>
      </c>
      <c r="G2265" s="3" t="s">
        <v>1211</v>
      </c>
      <c r="H2265" s="3" t="s">
        <v>290</v>
      </c>
    </row>
    <row r="2266" spans="1:8">
      <c r="A2266" s="29">
        <v>42748.758634259262</v>
      </c>
      <c r="B2266" s="29" t="str">
        <f>PROPER(TEXT(tbLOG[[#This Row],[DATA/HORA]],"mmmm"))</f>
        <v>Janeiro</v>
      </c>
      <c r="C2266" s="34" t="str">
        <f>PROPER(TEXT(tbLOG[[#This Row],[DATA/HORA]],"dddd"))</f>
        <v>Sexta-Feira</v>
      </c>
      <c r="D2266" s="3" t="s">
        <v>604</v>
      </c>
      <c r="E2266" s="34" t="str">
        <f>IFERROR(VLOOKUP(tbLOG[[#This Row],[LOGIN]],tbMAPA[#All],2,0), "Não localizado")</f>
        <v>Renan Cazumba Tegani</v>
      </c>
      <c r="F2266" s="34" t="str">
        <f>IFERROR(VLOOKUP(tbLOG[[#This Row],[LOGIN]],tbMAPA[#All],3,0), "Não localizado")</f>
        <v>Reginaldo Santana De Souza</v>
      </c>
      <c r="G2266" s="3" t="s">
        <v>1211</v>
      </c>
      <c r="H2266" s="3" t="s">
        <v>291</v>
      </c>
    </row>
    <row r="2267" spans="1:8">
      <c r="A2267" s="29">
        <v>42748.758645833332</v>
      </c>
      <c r="B2267" s="29" t="str">
        <f>PROPER(TEXT(tbLOG[[#This Row],[DATA/HORA]],"mmmm"))</f>
        <v>Janeiro</v>
      </c>
      <c r="C2267" s="34" t="str">
        <f>PROPER(TEXT(tbLOG[[#This Row],[DATA/HORA]],"dddd"))</f>
        <v>Sexta-Feira</v>
      </c>
      <c r="D2267" s="3" t="s">
        <v>604</v>
      </c>
      <c r="E2267" s="34" t="str">
        <f>IFERROR(VLOOKUP(tbLOG[[#This Row],[LOGIN]],tbMAPA[#All],2,0), "Não localizado")</f>
        <v>Renan Cazumba Tegani</v>
      </c>
      <c r="F2267" s="34" t="str">
        <f>IFERROR(VLOOKUP(tbLOG[[#This Row],[LOGIN]],tbMAPA[#All],3,0), "Não localizado")</f>
        <v>Reginaldo Santana De Souza</v>
      </c>
      <c r="G2267" s="3" t="s">
        <v>1211</v>
      </c>
      <c r="H2267" s="3" t="s">
        <v>290</v>
      </c>
    </row>
    <row r="2268" spans="1:8">
      <c r="A2268" s="29">
        <v>42748.846701388888</v>
      </c>
      <c r="B2268" s="29" t="str">
        <f>PROPER(TEXT(tbLOG[[#This Row],[DATA/HORA]],"mmmm"))</f>
        <v>Janeiro</v>
      </c>
      <c r="C2268" s="34" t="str">
        <f>PROPER(TEXT(tbLOG[[#This Row],[DATA/HORA]],"dddd"))</f>
        <v>Sexta-Feira</v>
      </c>
      <c r="D2268" s="3" t="s">
        <v>801</v>
      </c>
      <c r="E2268" s="34" t="str">
        <f>IFERROR(VLOOKUP(tbLOG[[#This Row],[LOGIN]],tbMAPA[#All],2,0), "Não localizado")</f>
        <v>Vinicius Loula De Sousa</v>
      </c>
      <c r="F2268" s="34" t="str">
        <f>IFERROR(VLOOKUP(tbLOG[[#This Row],[LOGIN]],tbMAPA[#All],3,0), "Não localizado")</f>
        <v>Daniela Andrade Silva</v>
      </c>
      <c r="G2268" s="3" t="s">
        <v>2157</v>
      </c>
      <c r="H2268" s="3" t="s">
        <v>331</v>
      </c>
    </row>
    <row r="2269" spans="1:8">
      <c r="A2269" s="29">
        <v>42748.846770833334</v>
      </c>
      <c r="B2269" s="29" t="str">
        <f>PROPER(TEXT(tbLOG[[#This Row],[DATA/HORA]],"mmmm"))</f>
        <v>Janeiro</v>
      </c>
      <c r="C2269" s="34" t="str">
        <f>PROPER(TEXT(tbLOG[[#This Row],[DATA/HORA]],"dddd"))</f>
        <v>Sexta-Feira</v>
      </c>
      <c r="D2269" s="3" t="s">
        <v>801</v>
      </c>
      <c r="E2269" s="34" t="str">
        <f>IFERROR(VLOOKUP(tbLOG[[#This Row],[LOGIN]],tbMAPA[#All],2,0), "Não localizado")</f>
        <v>Vinicius Loula De Sousa</v>
      </c>
      <c r="F2269" s="34" t="str">
        <f>IFERROR(VLOOKUP(tbLOG[[#This Row],[LOGIN]],tbMAPA[#All],3,0), "Não localizado")</f>
        <v>Daniela Andrade Silva</v>
      </c>
      <c r="G2269" s="3" t="s">
        <v>2157</v>
      </c>
      <c r="H2269" s="3" t="s">
        <v>331</v>
      </c>
    </row>
    <row r="2270" spans="1:8">
      <c r="A2270" s="29">
        <v>42748.846851851849</v>
      </c>
      <c r="B2270" s="29" t="str">
        <f>PROPER(TEXT(tbLOG[[#This Row],[DATA/HORA]],"mmmm"))</f>
        <v>Janeiro</v>
      </c>
      <c r="C2270" s="34" t="str">
        <f>PROPER(TEXT(tbLOG[[#This Row],[DATA/HORA]],"dddd"))</f>
        <v>Sexta-Feira</v>
      </c>
      <c r="D2270" s="3" t="s">
        <v>801</v>
      </c>
      <c r="E2270" s="34" t="str">
        <f>IFERROR(VLOOKUP(tbLOG[[#This Row],[LOGIN]],tbMAPA[#All],2,0), "Não localizado")</f>
        <v>Vinicius Loula De Sousa</v>
      </c>
      <c r="F2270" s="34" t="str">
        <f>IFERROR(VLOOKUP(tbLOG[[#This Row],[LOGIN]],tbMAPA[#All],3,0), "Não localizado")</f>
        <v>Daniela Andrade Silva</v>
      </c>
      <c r="G2270" s="3" t="s">
        <v>2157</v>
      </c>
      <c r="H2270" s="3" t="s">
        <v>331</v>
      </c>
    </row>
    <row r="2271" spans="1:8">
      <c r="A2271" s="29">
        <v>42748.846898148149</v>
      </c>
      <c r="B2271" s="29" t="str">
        <f>PROPER(TEXT(tbLOG[[#This Row],[DATA/HORA]],"mmmm"))</f>
        <v>Janeiro</v>
      </c>
      <c r="C2271" s="34" t="str">
        <f>PROPER(TEXT(tbLOG[[#This Row],[DATA/HORA]],"dddd"))</f>
        <v>Sexta-Feira</v>
      </c>
      <c r="D2271" s="3" t="s">
        <v>801</v>
      </c>
      <c r="E2271" s="34" t="str">
        <f>IFERROR(VLOOKUP(tbLOG[[#This Row],[LOGIN]],tbMAPA[#All],2,0), "Não localizado")</f>
        <v>Vinicius Loula De Sousa</v>
      </c>
      <c r="F2271" s="34" t="str">
        <f>IFERROR(VLOOKUP(tbLOG[[#This Row],[LOGIN]],tbMAPA[#All],3,0), "Não localizado")</f>
        <v>Daniela Andrade Silva</v>
      </c>
      <c r="G2271" s="3" t="s">
        <v>2157</v>
      </c>
      <c r="H2271" s="3" t="s">
        <v>331</v>
      </c>
    </row>
    <row r="2272" spans="1:8">
      <c r="A2272" s="29">
        <v>42748.846932870372</v>
      </c>
      <c r="B2272" s="29" t="str">
        <f>PROPER(TEXT(tbLOG[[#This Row],[DATA/HORA]],"mmmm"))</f>
        <v>Janeiro</v>
      </c>
      <c r="C2272" s="34" t="str">
        <f>PROPER(TEXT(tbLOG[[#This Row],[DATA/HORA]],"dddd"))</f>
        <v>Sexta-Feira</v>
      </c>
      <c r="D2272" s="3" t="s">
        <v>801</v>
      </c>
      <c r="E2272" s="34" t="str">
        <f>IFERROR(VLOOKUP(tbLOG[[#This Row],[LOGIN]],tbMAPA[#All],2,0), "Não localizado")</f>
        <v>Vinicius Loula De Sousa</v>
      </c>
      <c r="F2272" s="34" t="str">
        <f>IFERROR(VLOOKUP(tbLOG[[#This Row],[LOGIN]],tbMAPA[#All],3,0), "Não localizado")</f>
        <v>Daniela Andrade Silva</v>
      </c>
      <c r="G2272" s="3" t="s">
        <v>2157</v>
      </c>
      <c r="H2272" s="3" t="s">
        <v>331</v>
      </c>
    </row>
    <row r="2273" spans="1:8">
      <c r="A2273" s="29">
        <v>42748.846967592595</v>
      </c>
      <c r="B2273" s="29" t="str">
        <f>PROPER(TEXT(tbLOG[[#This Row],[DATA/HORA]],"mmmm"))</f>
        <v>Janeiro</v>
      </c>
      <c r="C2273" s="34" t="str">
        <f>PROPER(TEXT(tbLOG[[#This Row],[DATA/HORA]],"dddd"))</f>
        <v>Sexta-Feira</v>
      </c>
      <c r="D2273" s="3" t="s">
        <v>801</v>
      </c>
      <c r="E2273" s="34" t="str">
        <f>IFERROR(VLOOKUP(tbLOG[[#This Row],[LOGIN]],tbMAPA[#All],2,0), "Não localizado")</f>
        <v>Vinicius Loula De Sousa</v>
      </c>
      <c r="F2273" s="34" t="str">
        <f>IFERROR(VLOOKUP(tbLOG[[#This Row],[LOGIN]],tbMAPA[#All],3,0), "Não localizado")</f>
        <v>Daniela Andrade Silva</v>
      </c>
      <c r="G2273" s="3" t="s">
        <v>2157</v>
      </c>
      <c r="H2273" s="3" t="s">
        <v>331</v>
      </c>
    </row>
    <row r="2274" spans="1:8">
      <c r="A2274" s="29">
        <v>42748.847025462965</v>
      </c>
      <c r="B2274" s="29" t="str">
        <f>PROPER(TEXT(tbLOG[[#This Row],[DATA/HORA]],"mmmm"))</f>
        <v>Janeiro</v>
      </c>
      <c r="C2274" s="34" t="str">
        <f>PROPER(TEXT(tbLOG[[#This Row],[DATA/HORA]],"dddd"))</f>
        <v>Sexta-Feira</v>
      </c>
      <c r="D2274" s="3" t="s">
        <v>801</v>
      </c>
      <c r="E2274" s="34" t="str">
        <f>IFERROR(VLOOKUP(tbLOG[[#This Row],[LOGIN]],tbMAPA[#All],2,0), "Não localizado")</f>
        <v>Vinicius Loula De Sousa</v>
      </c>
      <c r="F2274" s="34" t="str">
        <f>IFERROR(VLOOKUP(tbLOG[[#This Row],[LOGIN]],tbMAPA[#All],3,0), "Não localizado")</f>
        <v>Daniela Andrade Silva</v>
      </c>
      <c r="G2274" s="3" t="s">
        <v>2157</v>
      </c>
      <c r="H2274" s="3" t="s">
        <v>331</v>
      </c>
    </row>
    <row r="2275" spans="1:8">
      <c r="A2275" s="29">
        <v>42748.847060185188</v>
      </c>
      <c r="B2275" s="29" t="str">
        <f>PROPER(TEXT(tbLOG[[#This Row],[DATA/HORA]],"mmmm"))</f>
        <v>Janeiro</v>
      </c>
      <c r="C2275" s="34" t="str">
        <f>PROPER(TEXT(tbLOG[[#This Row],[DATA/HORA]],"dddd"))</f>
        <v>Sexta-Feira</v>
      </c>
      <c r="D2275" s="3" t="s">
        <v>801</v>
      </c>
      <c r="E2275" s="34" t="str">
        <f>IFERROR(VLOOKUP(tbLOG[[#This Row],[LOGIN]],tbMAPA[#All],2,0), "Não localizado")</f>
        <v>Vinicius Loula De Sousa</v>
      </c>
      <c r="F2275" s="34" t="str">
        <f>IFERROR(VLOOKUP(tbLOG[[#This Row],[LOGIN]],tbMAPA[#All],3,0), "Não localizado")</f>
        <v>Daniela Andrade Silva</v>
      </c>
      <c r="G2275" s="3" t="s">
        <v>2157</v>
      </c>
      <c r="H2275" s="3" t="s">
        <v>331</v>
      </c>
    </row>
    <row r="2276" spans="1:8">
      <c r="A2276" s="29">
        <v>42748.84710648148</v>
      </c>
      <c r="B2276" s="29" t="str">
        <f>PROPER(TEXT(tbLOG[[#This Row],[DATA/HORA]],"mmmm"))</f>
        <v>Janeiro</v>
      </c>
      <c r="C2276" s="34" t="str">
        <f>PROPER(TEXT(tbLOG[[#This Row],[DATA/HORA]],"dddd"))</f>
        <v>Sexta-Feira</v>
      </c>
      <c r="D2276" s="3" t="s">
        <v>801</v>
      </c>
      <c r="E2276" s="34" t="str">
        <f>IFERROR(VLOOKUP(tbLOG[[#This Row],[LOGIN]],tbMAPA[#All],2,0), "Não localizado")</f>
        <v>Vinicius Loula De Sousa</v>
      </c>
      <c r="F2276" s="34" t="str">
        <f>IFERROR(VLOOKUP(tbLOG[[#This Row],[LOGIN]],tbMAPA[#All],3,0), "Não localizado")</f>
        <v>Daniela Andrade Silva</v>
      </c>
      <c r="G2276" s="3" t="s">
        <v>2157</v>
      </c>
      <c r="H2276" s="3" t="s">
        <v>331</v>
      </c>
    </row>
    <row r="2277" spans="1:8">
      <c r="A2277" s="29">
        <v>42748.847175925926</v>
      </c>
      <c r="B2277" s="29" t="str">
        <f>PROPER(TEXT(tbLOG[[#This Row],[DATA/HORA]],"mmmm"))</f>
        <v>Janeiro</v>
      </c>
      <c r="C2277" s="34" t="str">
        <f>PROPER(TEXT(tbLOG[[#This Row],[DATA/HORA]],"dddd"))</f>
        <v>Sexta-Feira</v>
      </c>
      <c r="D2277" s="3" t="s">
        <v>801</v>
      </c>
      <c r="E2277" s="34" t="str">
        <f>IFERROR(VLOOKUP(tbLOG[[#This Row],[LOGIN]],tbMAPA[#All],2,0), "Não localizado")</f>
        <v>Vinicius Loula De Sousa</v>
      </c>
      <c r="F2277" s="34" t="str">
        <f>IFERROR(VLOOKUP(tbLOG[[#This Row],[LOGIN]],tbMAPA[#All],3,0), "Não localizado")</f>
        <v>Daniela Andrade Silva</v>
      </c>
      <c r="G2277" s="3" t="s">
        <v>2157</v>
      </c>
      <c r="H2277" s="3" t="s">
        <v>291</v>
      </c>
    </row>
    <row r="2278" spans="1:8">
      <c r="A2278" s="29">
        <v>42748.847175925926</v>
      </c>
      <c r="B2278" s="29" t="str">
        <f>PROPER(TEXT(tbLOG[[#This Row],[DATA/HORA]],"mmmm"))</f>
        <v>Janeiro</v>
      </c>
      <c r="C2278" s="34" t="str">
        <f>PROPER(TEXT(tbLOG[[#This Row],[DATA/HORA]],"dddd"))</f>
        <v>Sexta-Feira</v>
      </c>
      <c r="D2278" s="3" t="s">
        <v>801</v>
      </c>
      <c r="E2278" s="34" t="str">
        <f>IFERROR(VLOOKUP(tbLOG[[#This Row],[LOGIN]],tbMAPA[#All],2,0), "Não localizado")</f>
        <v>Vinicius Loula De Sousa</v>
      </c>
      <c r="F2278" s="34" t="str">
        <f>IFERROR(VLOOKUP(tbLOG[[#This Row],[LOGIN]],tbMAPA[#All],3,0), "Não localizado")</f>
        <v>Daniela Andrade Silva</v>
      </c>
      <c r="G2278" s="3" t="s">
        <v>2157</v>
      </c>
      <c r="H2278" s="3" t="s">
        <v>290</v>
      </c>
    </row>
    <row r="2279" spans="1:8">
      <c r="A2279" s="29">
        <v>42748.918032407404</v>
      </c>
      <c r="B2279" s="29" t="str">
        <f>PROPER(TEXT(tbLOG[[#This Row],[DATA/HORA]],"mmmm"))</f>
        <v>Janeiro</v>
      </c>
      <c r="C2279" s="34" t="str">
        <f>PROPER(TEXT(tbLOG[[#This Row],[DATA/HORA]],"dddd"))</f>
        <v>Sexta-Feira</v>
      </c>
      <c r="D2279" s="3" t="s">
        <v>801</v>
      </c>
      <c r="E2279" s="34" t="str">
        <f>IFERROR(VLOOKUP(tbLOG[[#This Row],[LOGIN]],tbMAPA[#All],2,0), "Não localizado")</f>
        <v>Vinicius Loula De Sousa</v>
      </c>
      <c r="F2279" s="34" t="str">
        <f>IFERROR(VLOOKUP(tbLOG[[#This Row],[LOGIN]],tbMAPA[#All],3,0), "Não localizado")</f>
        <v>Daniela Andrade Silva</v>
      </c>
      <c r="G2279" s="3" t="s">
        <v>2157</v>
      </c>
      <c r="H2279" s="3" t="s">
        <v>291</v>
      </c>
    </row>
    <row r="2280" spans="1:8">
      <c r="A2280" s="29">
        <v>42748.918032407404</v>
      </c>
      <c r="B2280" s="29" t="str">
        <f>PROPER(TEXT(tbLOG[[#This Row],[DATA/HORA]],"mmmm"))</f>
        <v>Janeiro</v>
      </c>
      <c r="C2280" s="34" t="str">
        <f>PROPER(TEXT(tbLOG[[#This Row],[DATA/HORA]],"dddd"))</f>
        <v>Sexta-Feira</v>
      </c>
      <c r="D2280" s="3" t="s">
        <v>801</v>
      </c>
      <c r="E2280" s="34" t="str">
        <f>IFERROR(VLOOKUP(tbLOG[[#This Row],[LOGIN]],tbMAPA[#All],2,0), "Não localizado")</f>
        <v>Vinicius Loula De Sousa</v>
      </c>
      <c r="F2280" s="34" t="str">
        <f>IFERROR(VLOOKUP(tbLOG[[#This Row],[LOGIN]],tbMAPA[#All],3,0), "Não localizado")</f>
        <v>Daniela Andrade Silva</v>
      </c>
      <c r="G2280" s="3" t="s">
        <v>2157</v>
      </c>
      <c r="H2280" s="3" t="s">
        <v>290</v>
      </c>
    </row>
    <row r="2281" spans="1:8">
      <c r="A2281" s="29">
        <v>42749.3437037037</v>
      </c>
      <c r="B2281" s="29" t="str">
        <f>PROPER(TEXT(tbLOG[[#This Row],[DATA/HORA]],"mmmm"))</f>
        <v>Janeiro</v>
      </c>
      <c r="C2281" s="34" t="str">
        <f>PROPER(TEXT(tbLOG[[#This Row],[DATA/HORA]],"dddd"))</f>
        <v>Sábado</v>
      </c>
      <c r="D2281" s="3" t="s">
        <v>297</v>
      </c>
      <c r="E2281" s="34" t="str">
        <f>IFERROR(VLOOKUP(tbLOG[[#This Row],[LOGIN]],tbMAPA[#All],2,0), "Não localizado")</f>
        <v>Ivanildo Cavalcante De Souza Junior</v>
      </c>
      <c r="F2281" s="34" t="str">
        <f>IFERROR(VLOOKUP(tbLOG[[#This Row],[LOGIN]],tbMAPA[#All],3,0), "Não localizado")</f>
        <v>Jefte Soares Da Silva</v>
      </c>
      <c r="G2281" s="3" t="s">
        <v>298</v>
      </c>
      <c r="H2281" s="3" t="s">
        <v>994</v>
      </c>
    </row>
    <row r="2282" spans="1:8">
      <c r="A2282" s="29">
        <v>42749.353668981479</v>
      </c>
      <c r="B2282" s="29" t="str">
        <f>PROPER(TEXT(tbLOG[[#This Row],[DATA/HORA]],"mmmm"))</f>
        <v>Janeiro</v>
      </c>
      <c r="C2282" s="34" t="str">
        <f>PROPER(TEXT(tbLOG[[#This Row],[DATA/HORA]],"dddd"))</f>
        <v>Sábado</v>
      </c>
      <c r="D2282" s="3" t="s">
        <v>297</v>
      </c>
      <c r="E2282" s="34" t="str">
        <f>IFERROR(VLOOKUP(tbLOG[[#This Row],[LOGIN]],tbMAPA[#All],2,0), "Não localizado")</f>
        <v>Ivanildo Cavalcante De Souza Junior</v>
      </c>
      <c r="F2282" s="34" t="str">
        <f>IFERROR(VLOOKUP(tbLOG[[#This Row],[LOGIN]],tbMAPA[#All],3,0), "Não localizado")</f>
        <v>Jefte Soares Da Silva</v>
      </c>
      <c r="G2282" s="3" t="s">
        <v>298</v>
      </c>
      <c r="H2282" s="3" t="s">
        <v>291</v>
      </c>
    </row>
    <row r="2283" spans="1:8">
      <c r="A2283" s="29">
        <v>42749.353668981479</v>
      </c>
      <c r="B2283" s="29" t="str">
        <f>PROPER(TEXT(tbLOG[[#This Row],[DATA/HORA]],"mmmm"))</f>
        <v>Janeiro</v>
      </c>
      <c r="C2283" s="34" t="str">
        <f>PROPER(TEXT(tbLOG[[#This Row],[DATA/HORA]],"dddd"))</f>
        <v>Sábado</v>
      </c>
      <c r="D2283" s="3" t="s">
        <v>297</v>
      </c>
      <c r="E2283" s="34" t="str">
        <f>IFERROR(VLOOKUP(tbLOG[[#This Row],[LOGIN]],tbMAPA[#All],2,0), "Não localizado")</f>
        <v>Ivanildo Cavalcante De Souza Junior</v>
      </c>
      <c r="F2283" s="34" t="str">
        <f>IFERROR(VLOOKUP(tbLOG[[#This Row],[LOGIN]],tbMAPA[#All],3,0), "Não localizado")</f>
        <v>Jefte Soares Da Silva</v>
      </c>
      <c r="G2283" s="3" t="s">
        <v>298</v>
      </c>
      <c r="H2283" s="3" t="s">
        <v>290</v>
      </c>
    </row>
    <row r="2284" spans="1:8">
      <c r="A2284" s="29">
        <v>42749.367928240739</v>
      </c>
      <c r="B2284" s="29" t="str">
        <f>PROPER(TEXT(tbLOG[[#This Row],[DATA/HORA]],"mmmm"))</f>
        <v>Janeiro</v>
      </c>
      <c r="C2284" s="34" t="str">
        <f>PROPER(TEXT(tbLOG[[#This Row],[DATA/HORA]],"dddd"))</f>
        <v>Sábado</v>
      </c>
      <c r="D2284" s="3" t="s">
        <v>297</v>
      </c>
      <c r="E2284" s="34" t="str">
        <f>IFERROR(VLOOKUP(tbLOG[[#This Row],[LOGIN]],tbMAPA[#All],2,0), "Não localizado")</f>
        <v>Ivanildo Cavalcante De Souza Junior</v>
      </c>
      <c r="F2284" s="34" t="str">
        <f>IFERROR(VLOOKUP(tbLOG[[#This Row],[LOGIN]],tbMAPA[#All],3,0), "Não localizado")</f>
        <v>Jefte Soares Da Silva</v>
      </c>
      <c r="G2284" s="3" t="s">
        <v>298</v>
      </c>
      <c r="H2284" s="3" t="s">
        <v>292</v>
      </c>
    </row>
    <row r="2285" spans="1:8">
      <c r="A2285" s="29">
        <v>42749.367928240739</v>
      </c>
      <c r="B2285" s="29" t="str">
        <f>PROPER(TEXT(tbLOG[[#This Row],[DATA/HORA]],"mmmm"))</f>
        <v>Janeiro</v>
      </c>
      <c r="C2285" s="34" t="str">
        <f>PROPER(TEXT(tbLOG[[#This Row],[DATA/HORA]],"dddd"))</f>
        <v>Sábado</v>
      </c>
      <c r="D2285" s="3" t="s">
        <v>297</v>
      </c>
      <c r="E2285" s="34" t="str">
        <f>IFERROR(VLOOKUP(tbLOG[[#This Row],[LOGIN]],tbMAPA[#All],2,0), "Não localizado")</f>
        <v>Ivanildo Cavalcante De Souza Junior</v>
      </c>
      <c r="F2285" s="34" t="str">
        <f>IFERROR(VLOOKUP(tbLOG[[#This Row],[LOGIN]],tbMAPA[#All],3,0), "Não localizado")</f>
        <v>Jefte Soares Da Silva</v>
      </c>
      <c r="G2285" s="3" t="s">
        <v>298</v>
      </c>
      <c r="H2285" s="3" t="s">
        <v>994</v>
      </c>
    </row>
    <row r="2286" spans="1:8">
      <c r="A2286" s="29">
        <v>42749.368668981479</v>
      </c>
      <c r="B2286" s="29" t="str">
        <f>PROPER(TEXT(tbLOG[[#This Row],[DATA/HORA]],"mmmm"))</f>
        <v>Janeiro</v>
      </c>
      <c r="C2286" s="34" t="str">
        <f>PROPER(TEXT(tbLOG[[#This Row],[DATA/HORA]],"dddd"))</f>
        <v>Sábado</v>
      </c>
      <c r="D2286" s="3" t="s">
        <v>297</v>
      </c>
      <c r="E2286" s="34" t="str">
        <f>IFERROR(VLOOKUP(tbLOG[[#This Row],[LOGIN]],tbMAPA[#All],2,0), "Não localizado")</f>
        <v>Ivanildo Cavalcante De Souza Junior</v>
      </c>
      <c r="F2286" s="34" t="str">
        <f>IFERROR(VLOOKUP(tbLOG[[#This Row],[LOGIN]],tbMAPA[#All],3,0), "Não localizado")</f>
        <v>Jefte Soares Da Silva</v>
      </c>
      <c r="G2286" s="3" t="s">
        <v>298</v>
      </c>
      <c r="H2286" s="3" t="s">
        <v>309</v>
      </c>
    </row>
    <row r="2287" spans="1:8">
      <c r="A2287" s="29">
        <v>42749.368668981479</v>
      </c>
      <c r="B2287" s="29" t="str">
        <f>PROPER(TEXT(tbLOG[[#This Row],[DATA/HORA]],"mmmm"))</f>
        <v>Janeiro</v>
      </c>
      <c r="C2287" s="34" t="str">
        <f>PROPER(TEXT(tbLOG[[#This Row],[DATA/HORA]],"dddd"))</f>
        <v>Sábado</v>
      </c>
      <c r="D2287" s="3" t="s">
        <v>297</v>
      </c>
      <c r="E2287" s="34" t="str">
        <f>IFERROR(VLOOKUP(tbLOG[[#This Row],[LOGIN]],tbMAPA[#All],2,0), "Não localizado")</f>
        <v>Ivanildo Cavalcante De Souza Junior</v>
      </c>
      <c r="F2287" s="34" t="str">
        <f>IFERROR(VLOOKUP(tbLOG[[#This Row],[LOGIN]],tbMAPA[#All],3,0), "Não localizado")</f>
        <v>Jefte Soares Da Silva</v>
      </c>
      <c r="G2287" s="3" t="s">
        <v>298</v>
      </c>
      <c r="H2287" s="3" t="s">
        <v>310</v>
      </c>
    </row>
    <row r="2288" spans="1:8">
      <c r="A2288" s="29">
        <v>42749.368946759256</v>
      </c>
      <c r="B2288" s="29" t="str">
        <f>PROPER(TEXT(tbLOG[[#This Row],[DATA/HORA]],"mmmm"))</f>
        <v>Janeiro</v>
      </c>
      <c r="C2288" s="34" t="str">
        <f>PROPER(TEXT(tbLOG[[#This Row],[DATA/HORA]],"dddd"))</f>
        <v>Sábado</v>
      </c>
      <c r="D2288" s="3" t="s">
        <v>297</v>
      </c>
      <c r="E2288" s="34" t="str">
        <f>IFERROR(VLOOKUP(tbLOG[[#This Row],[LOGIN]],tbMAPA[#All],2,0), "Não localizado")</f>
        <v>Ivanildo Cavalcante De Souza Junior</v>
      </c>
      <c r="F2288" s="34" t="str">
        <f>IFERROR(VLOOKUP(tbLOG[[#This Row],[LOGIN]],tbMAPA[#All],3,0), "Não localizado")</f>
        <v>Jefte Soares Da Silva</v>
      </c>
      <c r="G2288" s="3" t="s">
        <v>298</v>
      </c>
      <c r="H2288" s="3" t="s">
        <v>309</v>
      </c>
    </row>
    <row r="2289" spans="1:8">
      <c r="A2289" s="29">
        <v>42749.368946759256</v>
      </c>
      <c r="B2289" s="29" t="str">
        <f>PROPER(TEXT(tbLOG[[#This Row],[DATA/HORA]],"mmmm"))</f>
        <v>Janeiro</v>
      </c>
      <c r="C2289" s="34" t="str">
        <f>PROPER(TEXT(tbLOG[[#This Row],[DATA/HORA]],"dddd"))</f>
        <v>Sábado</v>
      </c>
      <c r="D2289" s="3" t="s">
        <v>297</v>
      </c>
      <c r="E2289" s="34" t="str">
        <f>IFERROR(VLOOKUP(tbLOG[[#This Row],[LOGIN]],tbMAPA[#All],2,0), "Não localizado")</f>
        <v>Ivanildo Cavalcante De Souza Junior</v>
      </c>
      <c r="F2289" s="34" t="str">
        <f>IFERROR(VLOOKUP(tbLOG[[#This Row],[LOGIN]],tbMAPA[#All],3,0), "Não localizado")</f>
        <v>Jefte Soares Da Silva</v>
      </c>
      <c r="G2289" s="3" t="s">
        <v>298</v>
      </c>
      <c r="H2289" s="3" t="s">
        <v>309</v>
      </c>
    </row>
    <row r="2290" spans="1:8">
      <c r="A2290" s="29">
        <v>42749.368946759256</v>
      </c>
      <c r="B2290" s="29" t="str">
        <f>PROPER(TEXT(tbLOG[[#This Row],[DATA/HORA]],"mmmm"))</f>
        <v>Janeiro</v>
      </c>
      <c r="C2290" s="34" t="str">
        <f>PROPER(TEXT(tbLOG[[#This Row],[DATA/HORA]],"dddd"))</f>
        <v>Sábado</v>
      </c>
      <c r="D2290" s="3" t="s">
        <v>297</v>
      </c>
      <c r="E2290" s="34" t="str">
        <f>IFERROR(VLOOKUP(tbLOG[[#This Row],[LOGIN]],tbMAPA[#All],2,0), "Não localizado")</f>
        <v>Ivanildo Cavalcante De Souza Junior</v>
      </c>
      <c r="F2290" s="34" t="str">
        <f>IFERROR(VLOOKUP(tbLOG[[#This Row],[LOGIN]],tbMAPA[#All],3,0), "Não localizado")</f>
        <v>Jefte Soares Da Silva</v>
      </c>
      <c r="G2290" s="3" t="s">
        <v>298</v>
      </c>
      <c r="H2290" s="3" t="s">
        <v>314</v>
      </c>
    </row>
    <row r="2291" spans="1:8">
      <c r="A2291" s="29">
        <v>42749.371782407405</v>
      </c>
      <c r="B2291" s="29" t="str">
        <f>PROPER(TEXT(tbLOG[[#This Row],[DATA/HORA]],"mmmm"))</f>
        <v>Janeiro</v>
      </c>
      <c r="C2291" s="34" t="str">
        <f>PROPER(TEXT(tbLOG[[#This Row],[DATA/HORA]],"dddd"))</f>
        <v>Sábado</v>
      </c>
      <c r="D2291" s="3" t="s">
        <v>297</v>
      </c>
      <c r="E2291" s="34" t="str">
        <f>IFERROR(VLOOKUP(tbLOG[[#This Row],[LOGIN]],tbMAPA[#All],2,0), "Não localizado")</f>
        <v>Ivanildo Cavalcante De Souza Junior</v>
      </c>
      <c r="F2291" s="34" t="str">
        <f>IFERROR(VLOOKUP(tbLOG[[#This Row],[LOGIN]],tbMAPA[#All],3,0), "Não localizado")</f>
        <v>Jefte Soares Da Silva</v>
      </c>
      <c r="G2291" s="3" t="s">
        <v>298</v>
      </c>
      <c r="H2291" s="3" t="s">
        <v>836</v>
      </c>
    </row>
    <row r="2292" spans="1:8">
      <c r="A2292" s="29">
        <v>42749.371874999997</v>
      </c>
      <c r="B2292" s="29" t="str">
        <f>PROPER(TEXT(tbLOG[[#This Row],[DATA/HORA]],"mmmm"))</f>
        <v>Janeiro</v>
      </c>
      <c r="C2292" s="34" t="str">
        <f>PROPER(TEXT(tbLOG[[#This Row],[DATA/HORA]],"dddd"))</f>
        <v>Sábado</v>
      </c>
      <c r="D2292" s="3" t="s">
        <v>297</v>
      </c>
      <c r="E2292" s="34" t="str">
        <f>IFERROR(VLOOKUP(tbLOG[[#This Row],[LOGIN]],tbMAPA[#All],2,0), "Não localizado")</f>
        <v>Ivanildo Cavalcante De Souza Junior</v>
      </c>
      <c r="F2292" s="34" t="str">
        <f>IFERROR(VLOOKUP(tbLOG[[#This Row],[LOGIN]],tbMAPA[#All],3,0), "Não localizado")</f>
        <v>Jefte Soares Da Silva</v>
      </c>
      <c r="G2292" s="3" t="s">
        <v>298</v>
      </c>
      <c r="H2292" s="3" t="s">
        <v>292</v>
      </c>
    </row>
    <row r="2293" spans="1:8">
      <c r="A2293" s="29">
        <v>42749.38013888889</v>
      </c>
      <c r="B2293" s="29" t="str">
        <f>PROPER(TEXT(tbLOG[[#This Row],[DATA/HORA]],"mmmm"))</f>
        <v>Janeiro</v>
      </c>
      <c r="C2293" s="34" t="str">
        <f>PROPER(TEXT(tbLOG[[#This Row],[DATA/HORA]],"dddd"))</f>
        <v>Sábado</v>
      </c>
      <c r="D2293" s="3" t="s">
        <v>297</v>
      </c>
      <c r="E2293" s="34" t="str">
        <f>IFERROR(VLOOKUP(tbLOG[[#This Row],[LOGIN]],tbMAPA[#All],2,0), "Não localizado")</f>
        <v>Ivanildo Cavalcante De Souza Junior</v>
      </c>
      <c r="F2293" s="34" t="str">
        <f>IFERROR(VLOOKUP(tbLOG[[#This Row],[LOGIN]],tbMAPA[#All],3,0), "Não localizado")</f>
        <v>Jefte Soares Da Silva</v>
      </c>
      <c r="G2293" s="3" t="s">
        <v>298</v>
      </c>
      <c r="H2293" s="3" t="s">
        <v>836</v>
      </c>
    </row>
    <row r="2294" spans="1:8">
      <c r="A2294" s="29">
        <v>42749.380347222221</v>
      </c>
      <c r="B2294" s="29" t="str">
        <f>PROPER(TEXT(tbLOG[[#This Row],[DATA/HORA]],"mmmm"))</f>
        <v>Janeiro</v>
      </c>
      <c r="C2294" s="34" t="str">
        <f>PROPER(TEXT(tbLOG[[#This Row],[DATA/HORA]],"dddd"))</f>
        <v>Sábado</v>
      </c>
      <c r="D2294" s="3" t="s">
        <v>297</v>
      </c>
      <c r="E2294" s="34" t="str">
        <f>IFERROR(VLOOKUP(tbLOG[[#This Row],[LOGIN]],tbMAPA[#All],2,0), "Não localizado")</f>
        <v>Ivanildo Cavalcante De Souza Junior</v>
      </c>
      <c r="F2294" s="34" t="str">
        <f>IFERROR(VLOOKUP(tbLOG[[#This Row],[LOGIN]],tbMAPA[#All],3,0), "Não localizado")</f>
        <v>Jefte Soares Da Silva</v>
      </c>
      <c r="G2294" s="3" t="s">
        <v>298</v>
      </c>
      <c r="H2294" s="3" t="s">
        <v>836</v>
      </c>
    </row>
    <row r="2295" spans="1:8">
      <c r="A2295" s="29">
        <v>42749.381168981483</v>
      </c>
      <c r="B2295" s="29" t="str">
        <f>PROPER(TEXT(tbLOG[[#This Row],[DATA/HORA]],"mmmm"))</f>
        <v>Janeiro</v>
      </c>
      <c r="C2295" s="34" t="str">
        <f>PROPER(TEXT(tbLOG[[#This Row],[DATA/HORA]],"dddd"))</f>
        <v>Sábado</v>
      </c>
      <c r="D2295" s="3" t="s">
        <v>297</v>
      </c>
      <c r="E2295" s="34" t="str">
        <f>IFERROR(VLOOKUP(tbLOG[[#This Row],[LOGIN]],tbMAPA[#All],2,0), "Não localizado")</f>
        <v>Ivanildo Cavalcante De Souza Junior</v>
      </c>
      <c r="F2295" s="34" t="str">
        <f>IFERROR(VLOOKUP(tbLOG[[#This Row],[LOGIN]],tbMAPA[#All],3,0), "Não localizado")</f>
        <v>Jefte Soares Da Silva</v>
      </c>
      <c r="G2295" s="3" t="s">
        <v>298</v>
      </c>
      <c r="H2295" s="3" t="s">
        <v>836</v>
      </c>
    </row>
    <row r="2296" spans="1:8">
      <c r="A2296" s="29">
        <v>42749.381319444445</v>
      </c>
      <c r="B2296" s="29" t="str">
        <f>PROPER(TEXT(tbLOG[[#This Row],[DATA/HORA]],"mmmm"))</f>
        <v>Janeiro</v>
      </c>
      <c r="C2296" s="34" t="str">
        <f>PROPER(TEXT(tbLOG[[#This Row],[DATA/HORA]],"dddd"))</f>
        <v>Sábado</v>
      </c>
      <c r="D2296" s="3" t="s">
        <v>297</v>
      </c>
      <c r="E2296" s="34" t="str">
        <f>IFERROR(VLOOKUP(tbLOG[[#This Row],[LOGIN]],tbMAPA[#All],2,0), "Não localizado")</f>
        <v>Ivanildo Cavalcante De Souza Junior</v>
      </c>
      <c r="F2296" s="34" t="str">
        <f>IFERROR(VLOOKUP(tbLOG[[#This Row],[LOGIN]],tbMAPA[#All],3,0), "Não localizado")</f>
        <v>Jefte Soares Da Silva</v>
      </c>
      <c r="G2296" s="3" t="s">
        <v>298</v>
      </c>
      <c r="H2296" s="3" t="s">
        <v>836</v>
      </c>
    </row>
    <row r="2297" spans="1:8">
      <c r="A2297" s="29">
        <v>42749.38144675926</v>
      </c>
      <c r="B2297" s="29" t="str">
        <f>PROPER(TEXT(tbLOG[[#This Row],[DATA/HORA]],"mmmm"))</f>
        <v>Janeiro</v>
      </c>
      <c r="C2297" s="34" t="str">
        <f>PROPER(TEXT(tbLOG[[#This Row],[DATA/HORA]],"dddd"))</f>
        <v>Sábado</v>
      </c>
      <c r="D2297" s="3" t="s">
        <v>297</v>
      </c>
      <c r="E2297" s="34" t="str">
        <f>IFERROR(VLOOKUP(tbLOG[[#This Row],[LOGIN]],tbMAPA[#All],2,0), "Não localizado")</f>
        <v>Ivanildo Cavalcante De Souza Junior</v>
      </c>
      <c r="F2297" s="34" t="str">
        <f>IFERROR(VLOOKUP(tbLOG[[#This Row],[LOGIN]],tbMAPA[#All],3,0), "Não localizado")</f>
        <v>Jefte Soares Da Silva</v>
      </c>
      <c r="G2297" s="3" t="s">
        <v>298</v>
      </c>
      <c r="H2297" s="3" t="s">
        <v>836</v>
      </c>
    </row>
    <row r="2298" spans="1:8">
      <c r="A2298" s="29">
        <v>42749.381562499999</v>
      </c>
      <c r="B2298" s="29" t="str">
        <f>PROPER(TEXT(tbLOG[[#This Row],[DATA/HORA]],"mmmm"))</f>
        <v>Janeiro</v>
      </c>
      <c r="C2298" s="34" t="str">
        <f>PROPER(TEXT(tbLOG[[#This Row],[DATA/HORA]],"dddd"))</f>
        <v>Sábado</v>
      </c>
      <c r="D2298" s="3" t="s">
        <v>297</v>
      </c>
      <c r="E2298" s="34" t="str">
        <f>IFERROR(VLOOKUP(tbLOG[[#This Row],[LOGIN]],tbMAPA[#All],2,0), "Não localizado")</f>
        <v>Ivanildo Cavalcante De Souza Junior</v>
      </c>
      <c r="F2298" s="34" t="str">
        <f>IFERROR(VLOOKUP(tbLOG[[#This Row],[LOGIN]],tbMAPA[#All],3,0), "Não localizado")</f>
        <v>Jefte Soares Da Silva</v>
      </c>
      <c r="G2298" s="3" t="s">
        <v>298</v>
      </c>
      <c r="H2298" s="3" t="s">
        <v>836</v>
      </c>
    </row>
    <row r="2299" spans="1:8">
      <c r="A2299" s="29">
        <v>42749.381643518522</v>
      </c>
      <c r="B2299" s="29" t="str">
        <f>PROPER(TEXT(tbLOG[[#This Row],[DATA/HORA]],"mmmm"))</f>
        <v>Janeiro</v>
      </c>
      <c r="C2299" s="34" t="str">
        <f>PROPER(TEXT(tbLOG[[#This Row],[DATA/HORA]],"dddd"))</f>
        <v>Sábado</v>
      </c>
      <c r="D2299" s="3" t="s">
        <v>297</v>
      </c>
      <c r="E2299" s="34" t="str">
        <f>IFERROR(VLOOKUP(tbLOG[[#This Row],[LOGIN]],tbMAPA[#All],2,0), "Não localizado")</f>
        <v>Ivanildo Cavalcante De Souza Junior</v>
      </c>
      <c r="F2299" s="34" t="str">
        <f>IFERROR(VLOOKUP(tbLOG[[#This Row],[LOGIN]],tbMAPA[#All],3,0), "Não localizado")</f>
        <v>Jefte Soares Da Silva</v>
      </c>
      <c r="G2299" s="3" t="s">
        <v>298</v>
      </c>
      <c r="H2299" s="3" t="s">
        <v>836</v>
      </c>
    </row>
    <row r="2300" spans="1:8">
      <c r="A2300" s="29">
        <v>42749.382731481484</v>
      </c>
      <c r="B2300" s="29" t="str">
        <f>PROPER(TEXT(tbLOG[[#This Row],[DATA/HORA]],"mmmm"))</f>
        <v>Janeiro</v>
      </c>
      <c r="C2300" s="34" t="str">
        <f>PROPER(TEXT(tbLOG[[#This Row],[DATA/HORA]],"dddd"))</f>
        <v>Sábado</v>
      </c>
      <c r="D2300" s="3" t="s">
        <v>297</v>
      </c>
      <c r="E2300" s="34" t="str">
        <f>IFERROR(VLOOKUP(tbLOG[[#This Row],[LOGIN]],tbMAPA[#All],2,0), "Não localizado")</f>
        <v>Ivanildo Cavalcante De Souza Junior</v>
      </c>
      <c r="F2300" s="34" t="str">
        <f>IFERROR(VLOOKUP(tbLOG[[#This Row],[LOGIN]],tbMAPA[#All],3,0), "Não localizado")</f>
        <v>Jefte Soares Da Silva</v>
      </c>
      <c r="G2300" s="3" t="s">
        <v>298</v>
      </c>
      <c r="H2300" s="3" t="s">
        <v>292</v>
      </c>
    </row>
    <row r="2301" spans="1:8">
      <c r="A2301" s="29">
        <v>42749.382789351854</v>
      </c>
      <c r="B2301" s="29" t="str">
        <f>PROPER(TEXT(tbLOG[[#This Row],[DATA/HORA]],"mmmm"))</f>
        <v>Janeiro</v>
      </c>
      <c r="C2301" s="34" t="str">
        <f>PROPER(TEXT(tbLOG[[#This Row],[DATA/HORA]],"dddd"))</f>
        <v>Sábado</v>
      </c>
      <c r="D2301" s="3" t="s">
        <v>297</v>
      </c>
      <c r="E2301" s="34" t="str">
        <f>IFERROR(VLOOKUP(tbLOG[[#This Row],[LOGIN]],tbMAPA[#All],2,0), "Não localizado")</f>
        <v>Ivanildo Cavalcante De Souza Junior</v>
      </c>
      <c r="F2301" s="34" t="str">
        <f>IFERROR(VLOOKUP(tbLOG[[#This Row],[LOGIN]],tbMAPA[#All],3,0), "Não localizado")</f>
        <v>Jefte Soares Da Silva</v>
      </c>
      <c r="G2301" s="3" t="s">
        <v>298</v>
      </c>
      <c r="H2301" s="3" t="s">
        <v>292</v>
      </c>
    </row>
    <row r="2302" spans="1:8">
      <c r="A2302" s="29">
        <v>42749.383217592593</v>
      </c>
      <c r="B2302" s="29" t="str">
        <f>PROPER(TEXT(tbLOG[[#This Row],[DATA/HORA]],"mmmm"))</f>
        <v>Janeiro</v>
      </c>
      <c r="C2302" s="34" t="str">
        <f>PROPER(TEXT(tbLOG[[#This Row],[DATA/HORA]],"dddd"))</f>
        <v>Sábado</v>
      </c>
      <c r="D2302" s="3" t="s">
        <v>297</v>
      </c>
      <c r="E2302" s="34" t="str">
        <f>IFERROR(VLOOKUP(tbLOG[[#This Row],[LOGIN]],tbMAPA[#All],2,0), "Não localizado")</f>
        <v>Ivanildo Cavalcante De Souza Junior</v>
      </c>
      <c r="F2302" s="34" t="str">
        <f>IFERROR(VLOOKUP(tbLOG[[#This Row],[LOGIN]],tbMAPA[#All],3,0), "Não localizado")</f>
        <v>Jefte Soares Da Silva</v>
      </c>
      <c r="G2302" s="3" t="s">
        <v>298</v>
      </c>
      <c r="H2302" s="3" t="s">
        <v>331</v>
      </c>
    </row>
    <row r="2303" spans="1:8">
      <c r="A2303" s="29">
        <v>42749.383310185185</v>
      </c>
      <c r="B2303" s="29" t="str">
        <f>PROPER(TEXT(tbLOG[[#This Row],[DATA/HORA]],"mmmm"))</f>
        <v>Janeiro</v>
      </c>
      <c r="C2303" s="34" t="str">
        <f>PROPER(TEXT(tbLOG[[#This Row],[DATA/HORA]],"dddd"))</f>
        <v>Sábado</v>
      </c>
      <c r="D2303" s="3" t="s">
        <v>297</v>
      </c>
      <c r="E2303" s="34" t="str">
        <f>IFERROR(VLOOKUP(tbLOG[[#This Row],[LOGIN]],tbMAPA[#All],2,0), "Não localizado")</f>
        <v>Ivanildo Cavalcante De Souza Junior</v>
      </c>
      <c r="F2303" s="34" t="str">
        <f>IFERROR(VLOOKUP(tbLOG[[#This Row],[LOGIN]],tbMAPA[#All],3,0), "Não localizado")</f>
        <v>Jefte Soares Da Silva</v>
      </c>
      <c r="G2303" s="3" t="s">
        <v>298</v>
      </c>
      <c r="H2303" s="3" t="s">
        <v>331</v>
      </c>
    </row>
    <row r="2304" spans="1:8">
      <c r="A2304" s="29">
        <v>42749.383321759262</v>
      </c>
      <c r="B2304" s="29" t="str">
        <f>PROPER(TEXT(tbLOG[[#This Row],[DATA/HORA]],"mmmm"))</f>
        <v>Janeiro</v>
      </c>
      <c r="C2304" s="34" t="str">
        <f>PROPER(TEXT(tbLOG[[#This Row],[DATA/HORA]],"dddd"))</f>
        <v>Sábado</v>
      </c>
      <c r="D2304" s="3" t="s">
        <v>297</v>
      </c>
      <c r="E2304" s="34" t="str">
        <f>IFERROR(VLOOKUP(tbLOG[[#This Row],[LOGIN]],tbMAPA[#All],2,0), "Não localizado")</f>
        <v>Ivanildo Cavalcante De Souza Junior</v>
      </c>
      <c r="F2304" s="34" t="str">
        <f>IFERROR(VLOOKUP(tbLOG[[#This Row],[LOGIN]],tbMAPA[#All],3,0), "Não localizado")</f>
        <v>Jefte Soares Da Silva</v>
      </c>
      <c r="G2304" s="3" t="s">
        <v>298</v>
      </c>
      <c r="H2304" s="3" t="s">
        <v>331</v>
      </c>
    </row>
    <row r="2305" spans="1:8">
      <c r="A2305" s="29">
        <v>42749.383344907408</v>
      </c>
      <c r="B2305" s="29" t="str">
        <f>PROPER(TEXT(tbLOG[[#This Row],[DATA/HORA]],"mmmm"))</f>
        <v>Janeiro</v>
      </c>
      <c r="C2305" s="34" t="str">
        <f>PROPER(TEXT(tbLOG[[#This Row],[DATA/HORA]],"dddd"))</f>
        <v>Sábado</v>
      </c>
      <c r="D2305" s="3" t="s">
        <v>297</v>
      </c>
      <c r="E2305" s="34" t="str">
        <f>IFERROR(VLOOKUP(tbLOG[[#This Row],[LOGIN]],tbMAPA[#All],2,0), "Não localizado")</f>
        <v>Ivanildo Cavalcante De Souza Junior</v>
      </c>
      <c r="F2305" s="34" t="str">
        <f>IFERROR(VLOOKUP(tbLOG[[#This Row],[LOGIN]],tbMAPA[#All],3,0), "Não localizado")</f>
        <v>Jefte Soares Da Silva</v>
      </c>
      <c r="G2305" s="3" t="s">
        <v>298</v>
      </c>
      <c r="H2305" s="3" t="s">
        <v>331</v>
      </c>
    </row>
    <row r="2306" spans="1:8">
      <c r="A2306" s="29">
        <v>42749.383356481485</v>
      </c>
      <c r="B2306" s="29" t="str">
        <f>PROPER(TEXT(tbLOG[[#This Row],[DATA/HORA]],"mmmm"))</f>
        <v>Janeiro</v>
      </c>
      <c r="C2306" s="34" t="str">
        <f>PROPER(TEXT(tbLOG[[#This Row],[DATA/HORA]],"dddd"))</f>
        <v>Sábado</v>
      </c>
      <c r="D2306" s="3" t="s">
        <v>297</v>
      </c>
      <c r="E2306" s="34" t="str">
        <f>IFERROR(VLOOKUP(tbLOG[[#This Row],[LOGIN]],tbMAPA[#All],2,0), "Não localizado")</f>
        <v>Ivanildo Cavalcante De Souza Junior</v>
      </c>
      <c r="F2306" s="34" t="str">
        <f>IFERROR(VLOOKUP(tbLOG[[#This Row],[LOGIN]],tbMAPA[#All],3,0), "Não localizado")</f>
        <v>Jefte Soares Da Silva</v>
      </c>
      <c r="G2306" s="3" t="s">
        <v>298</v>
      </c>
      <c r="H2306" s="3" t="s">
        <v>331</v>
      </c>
    </row>
    <row r="2307" spans="1:8">
      <c r="A2307" s="29">
        <v>42749.383379629631</v>
      </c>
      <c r="B2307" s="29" t="str">
        <f>PROPER(TEXT(tbLOG[[#This Row],[DATA/HORA]],"mmmm"))</f>
        <v>Janeiro</v>
      </c>
      <c r="C2307" s="34" t="str">
        <f>PROPER(TEXT(tbLOG[[#This Row],[DATA/HORA]],"dddd"))</f>
        <v>Sábado</v>
      </c>
      <c r="D2307" s="3" t="s">
        <v>297</v>
      </c>
      <c r="E2307" s="34" t="str">
        <f>IFERROR(VLOOKUP(tbLOG[[#This Row],[LOGIN]],tbMAPA[#All],2,0), "Não localizado")</f>
        <v>Ivanildo Cavalcante De Souza Junior</v>
      </c>
      <c r="F2307" s="34" t="str">
        <f>IFERROR(VLOOKUP(tbLOG[[#This Row],[LOGIN]],tbMAPA[#All],3,0), "Não localizado")</f>
        <v>Jefte Soares Da Silva</v>
      </c>
      <c r="G2307" s="3" t="s">
        <v>298</v>
      </c>
      <c r="H2307" s="3" t="s">
        <v>331</v>
      </c>
    </row>
    <row r="2308" spans="1:8">
      <c r="A2308" s="29">
        <v>42749.383402777778</v>
      </c>
      <c r="B2308" s="29" t="str">
        <f>PROPER(TEXT(tbLOG[[#This Row],[DATA/HORA]],"mmmm"))</f>
        <v>Janeiro</v>
      </c>
      <c r="C2308" s="34" t="str">
        <f>PROPER(TEXT(tbLOG[[#This Row],[DATA/HORA]],"dddd"))</f>
        <v>Sábado</v>
      </c>
      <c r="D2308" s="3" t="s">
        <v>297</v>
      </c>
      <c r="E2308" s="34" t="str">
        <f>IFERROR(VLOOKUP(tbLOG[[#This Row],[LOGIN]],tbMAPA[#All],2,0), "Não localizado")</f>
        <v>Ivanildo Cavalcante De Souza Junior</v>
      </c>
      <c r="F2308" s="34" t="str">
        <f>IFERROR(VLOOKUP(tbLOG[[#This Row],[LOGIN]],tbMAPA[#All],3,0), "Não localizado")</f>
        <v>Jefte Soares Da Silva</v>
      </c>
      <c r="G2308" s="3" t="s">
        <v>298</v>
      </c>
      <c r="H2308" s="3" t="s">
        <v>331</v>
      </c>
    </row>
    <row r="2309" spans="1:8">
      <c r="A2309" s="29">
        <v>42749.383437500001</v>
      </c>
      <c r="B2309" s="29" t="str">
        <f>PROPER(TEXT(tbLOG[[#This Row],[DATA/HORA]],"mmmm"))</f>
        <v>Janeiro</v>
      </c>
      <c r="C2309" s="34" t="str">
        <f>PROPER(TEXT(tbLOG[[#This Row],[DATA/HORA]],"dddd"))</f>
        <v>Sábado</v>
      </c>
      <c r="D2309" s="3" t="s">
        <v>297</v>
      </c>
      <c r="E2309" s="34" t="str">
        <f>IFERROR(VLOOKUP(tbLOG[[#This Row],[LOGIN]],tbMAPA[#All],2,0), "Não localizado")</f>
        <v>Ivanildo Cavalcante De Souza Junior</v>
      </c>
      <c r="F2309" s="34" t="str">
        <f>IFERROR(VLOOKUP(tbLOG[[#This Row],[LOGIN]],tbMAPA[#All],3,0), "Não localizado")</f>
        <v>Jefte Soares Da Silva</v>
      </c>
      <c r="G2309" s="3" t="s">
        <v>298</v>
      </c>
      <c r="H2309" s="3" t="s">
        <v>331</v>
      </c>
    </row>
    <row r="2310" spans="1:8">
      <c r="A2310" s="29">
        <v>42749.385069444441</v>
      </c>
      <c r="B2310" s="29" t="str">
        <f>PROPER(TEXT(tbLOG[[#This Row],[DATA/HORA]],"mmmm"))</f>
        <v>Janeiro</v>
      </c>
      <c r="C2310" s="34" t="str">
        <f>PROPER(TEXT(tbLOG[[#This Row],[DATA/HORA]],"dddd"))</f>
        <v>Sábado</v>
      </c>
      <c r="D2310" s="3" t="s">
        <v>297</v>
      </c>
      <c r="E2310" s="34" t="str">
        <f>IFERROR(VLOOKUP(tbLOG[[#This Row],[LOGIN]],tbMAPA[#All],2,0), "Não localizado")</f>
        <v>Ivanildo Cavalcante De Souza Junior</v>
      </c>
      <c r="F2310" s="34" t="str">
        <f>IFERROR(VLOOKUP(tbLOG[[#This Row],[LOGIN]],tbMAPA[#All],3,0), "Não localizado")</f>
        <v>Jefte Soares Da Silva</v>
      </c>
      <c r="G2310" s="3" t="s">
        <v>298</v>
      </c>
      <c r="H2310" s="3" t="s">
        <v>292</v>
      </c>
    </row>
    <row r="2311" spans="1:8">
      <c r="A2311" s="29">
        <v>42749.385069444441</v>
      </c>
      <c r="B2311" s="29" t="str">
        <f>PROPER(TEXT(tbLOG[[#This Row],[DATA/HORA]],"mmmm"))</f>
        <v>Janeiro</v>
      </c>
      <c r="C2311" s="34" t="str">
        <f>PROPER(TEXT(tbLOG[[#This Row],[DATA/HORA]],"dddd"))</f>
        <v>Sábado</v>
      </c>
      <c r="D2311" s="3" t="s">
        <v>297</v>
      </c>
      <c r="E2311" s="34" t="str">
        <f>IFERROR(VLOOKUP(tbLOG[[#This Row],[LOGIN]],tbMAPA[#All],2,0), "Não localizado")</f>
        <v>Ivanildo Cavalcante De Souza Junior</v>
      </c>
      <c r="F2311" s="34" t="str">
        <f>IFERROR(VLOOKUP(tbLOG[[#This Row],[LOGIN]],tbMAPA[#All],3,0), "Não localizado")</f>
        <v>Jefte Soares Da Silva</v>
      </c>
      <c r="G2311" s="3" t="s">
        <v>298</v>
      </c>
      <c r="H2311" s="3" t="s">
        <v>994</v>
      </c>
    </row>
    <row r="2312" spans="1:8">
      <c r="A2312" s="29">
        <v>42749.385277777779</v>
      </c>
      <c r="B2312" s="29" t="str">
        <f>PROPER(TEXT(tbLOG[[#This Row],[DATA/HORA]],"mmmm"))</f>
        <v>Janeiro</v>
      </c>
      <c r="C2312" s="34" t="str">
        <f>PROPER(TEXT(tbLOG[[#This Row],[DATA/HORA]],"dddd"))</f>
        <v>Sábado</v>
      </c>
      <c r="D2312" s="3" t="s">
        <v>297</v>
      </c>
      <c r="E2312" s="34" t="str">
        <f>IFERROR(VLOOKUP(tbLOG[[#This Row],[LOGIN]],tbMAPA[#All],2,0), "Não localizado")</f>
        <v>Ivanildo Cavalcante De Souza Junior</v>
      </c>
      <c r="F2312" s="34" t="str">
        <f>IFERROR(VLOOKUP(tbLOG[[#This Row],[LOGIN]],tbMAPA[#All],3,0), "Não localizado")</f>
        <v>Jefte Soares Da Silva</v>
      </c>
      <c r="G2312" s="3" t="s">
        <v>298</v>
      </c>
      <c r="H2312" s="3" t="s">
        <v>290</v>
      </c>
    </row>
    <row r="2313" spans="1:8">
      <c r="A2313" s="29">
        <v>42749.387349537035</v>
      </c>
      <c r="B2313" s="29" t="str">
        <f>PROPER(TEXT(tbLOG[[#This Row],[DATA/HORA]],"mmmm"))</f>
        <v>Janeiro</v>
      </c>
      <c r="C2313" s="34" t="str">
        <f>PROPER(TEXT(tbLOG[[#This Row],[DATA/HORA]],"dddd"))</f>
        <v>Sábado</v>
      </c>
      <c r="D2313" s="3" t="s">
        <v>297</v>
      </c>
      <c r="E2313" s="34" t="str">
        <f>IFERROR(VLOOKUP(tbLOG[[#This Row],[LOGIN]],tbMAPA[#All],2,0), "Não localizado")</f>
        <v>Ivanildo Cavalcante De Souza Junior</v>
      </c>
      <c r="F2313" s="34" t="str">
        <f>IFERROR(VLOOKUP(tbLOG[[#This Row],[LOGIN]],tbMAPA[#All],3,0), "Não localizado")</f>
        <v>Jefte Soares Da Silva</v>
      </c>
      <c r="G2313" s="3" t="s">
        <v>298</v>
      </c>
      <c r="H2313" s="3" t="s">
        <v>331</v>
      </c>
    </row>
    <row r="2314" spans="1:8">
      <c r="A2314" s="29">
        <v>42749.387349537035</v>
      </c>
      <c r="B2314" s="29" t="str">
        <f>PROPER(TEXT(tbLOG[[#This Row],[DATA/HORA]],"mmmm"))</f>
        <v>Janeiro</v>
      </c>
      <c r="C2314" s="34" t="str">
        <f>PROPER(TEXT(tbLOG[[#This Row],[DATA/HORA]],"dddd"))</f>
        <v>Sábado</v>
      </c>
      <c r="D2314" s="3" t="s">
        <v>297</v>
      </c>
      <c r="E2314" s="34" t="str">
        <f>IFERROR(VLOOKUP(tbLOG[[#This Row],[LOGIN]],tbMAPA[#All],2,0), "Não localizado")</f>
        <v>Ivanildo Cavalcante De Souza Junior</v>
      </c>
      <c r="F2314" s="34" t="str">
        <f>IFERROR(VLOOKUP(tbLOG[[#This Row],[LOGIN]],tbMAPA[#All],3,0), "Não localizado")</f>
        <v>Jefte Soares Da Silva</v>
      </c>
      <c r="G2314" s="3" t="s">
        <v>298</v>
      </c>
      <c r="H2314" s="3" t="s">
        <v>331</v>
      </c>
    </row>
    <row r="2315" spans="1:8">
      <c r="A2315" s="29">
        <v>42749.392256944448</v>
      </c>
      <c r="B2315" s="29" t="str">
        <f>PROPER(TEXT(tbLOG[[#This Row],[DATA/HORA]],"mmmm"))</f>
        <v>Janeiro</v>
      </c>
      <c r="C2315" s="34" t="str">
        <f>PROPER(TEXT(tbLOG[[#This Row],[DATA/HORA]],"dddd"))</f>
        <v>Sábado</v>
      </c>
      <c r="D2315" s="3" t="s">
        <v>297</v>
      </c>
      <c r="E2315" s="34" t="str">
        <f>IFERROR(VLOOKUP(tbLOG[[#This Row],[LOGIN]],tbMAPA[#All],2,0), "Não localizado")</f>
        <v>Ivanildo Cavalcante De Souza Junior</v>
      </c>
      <c r="F2315" s="34" t="str">
        <f>IFERROR(VLOOKUP(tbLOG[[#This Row],[LOGIN]],tbMAPA[#All],3,0), "Não localizado")</f>
        <v>Jefte Soares Da Silva</v>
      </c>
      <c r="G2315" s="3" t="s">
        <v>298</v>
      </c>
      <c r="H2315" s="3" t="s">
        <v>291</v>
      </c>
    </row>
    <row r="2316" spans="1:8">
      <c r="A2316" s="29">
        <v>42749.392256944448</v>
      </c>
      <c r="B2316" s="29" t="str">
        <f>PROPER(TEXT(tbLOG[[#This Row],[DATA/HORA]],"mmmm"))</f>
        <v>Janeiro</v>
      </c>
      <c r="C2316" s="34" t="str">
        <f>PROPER(TEXT(tbLOG[[#This Row],[DATA/HORA]],"dddd"))</f>
        <v>Sábado</v>
      </c>
      <c r="D2316" s="3" t="s">
        <v>297</v>
      </c>
      <c r="E2316" s="34" t="str">
        <f>IFERROR(VLOOKUP(tbLOG[[#This Row],[LOGIN]],tbMAPA[#All],2,0), "Não localizado")</f>
        <v>Ivanildo Cavalcante De Souza Junior</v>
      </c>
      <c r="F2316" s="34" t="str">
        <f>IFERROR(VLOOKUP(tbLOG[[#This Row],[LOGIN]],tbMAPA[#All],3,0), "Não localizado")</f>
        <v>Jefte Soares Da Silva</v>
      </c>
      <c r="G2316" s="3" t="s">
        <v>298</v>
      </c>
      <c r="H2316" s="3" t="s">
        <v>290</v>
      </c>
    </row>
    <row r="2317" spans="1:8">
      <c r="A2317" s="29">
        <v>42749.393379629626</v>
      </c>
      <c r="B2317" s="29" t="str">
        <f>PROPER(TEXT(tbLOG[[#This Row],[DATA/HORA]],"mmmm"))</f>
        <v>Janeiro</v>
      </c>
      <c r="C2317" s="34" t="str">
        <f>PROPER(TEXT(tbLOG[[#This Row],[DATA/HORA]],"dddd"))</f>
        <v>Sábado</v>
      </c>
      <c r="D2317" s="3" t="s">
        <v>297</v>
      </c>
      <c r="E2317" s="34" t="str">
        <f>IFERROR(VLOOKUP(tbLOG[[#This Row],[LOGIN]],tbMAPA[#All],2,0), "Não localizado")</f>
        <v>Ivanildo Cavalcante De Souza Junior</v>
      </c>
      <c r="F2317" s="34" t="str">
        <f>IFERROR(VLOOKUP(tbLOG[[#This Row],[LOGIN]],tbMAPA[#All],3,0), "Não localizado")</f>
        <v>Jefte Soares Da Silva</v>
      </c>
      <c r="G2317" s="3" t="s">
        <v>298</v>
      </c>
      <c r="H2317" s="3" t="s">
        <v>292</v>
      </c>
    </row>
    <row r="2318" spans="1:8">
      <c r="A2318" s="29">
        <v>42749.393379629626</v>
      </c>
      <c r="B2318" s="29" t="str">
        <f>PROPER(TEXT(tbLOG[[#This Row],[DATA/HORA]],"mmmm"))</f>
        <v>Janeiro</v>
      </c>
      <c r="C2318" s="34" t="str">
        <f>PROPER(TEXT(tbLOG[[#This Row],[DATA/HORA]],"dddd"))</f>
        <v>Sábado</v>
      </c>
      <c r="D2318" s="3" t="s">
        <v>297</v>
      </c>
      <c r="E2318" s="34" t="str">
        <f>IFERROR(VLOOKUP(tbLOG[[#This Row],[LOGIN]],tbMAPA[#All],2,0), "Não localizado")</f>
        <v>Ivanildo Cavalcante De Souza Junior</v>
      </c>
      <c r="F2318" s="34" t="str">
        <f>IFERROR(VLOOKUP(tbLOG[[#This Row],[LOGIN]],tbMAPA[#All],3,0), "Não localizado")</f>
        <v>Jefte Soares Da Silva</v>
      </c>
      <c r="G2318" s="3" t="s">
        <v>298</v>
      </c>
      <c r="H2318" s="3" t="s">
        <v>994</v>
      </c>
    </row>
    <row r="2319" spans="1:8">
      <c r="A2319" s="29">
        <v>42749.394780092596</v>
      </c>
      <c r="B2319" s="29" t="str">
        <f>PROPER(TEXT(tbLOG[[#This Row],[DATA/HORA]],"mmmm"))</f>
        <v>Janeiro</v>
      </c>
      <c r="C2319" s="34" t="str">
        <f>PROPER(TEXT(tbLOG[[#This Row],[DATA/HORA]],"dddd"))</f>
        <v>Sábado</v>
      </c>
      <c r="D2319" s="3" t="s">
        <v>297</v>
      </c>
      <c r="E2319" s="34" t="str">
        <f>IFERROR(VLOOKUP(tbLOG[[#This Row],[LOGIN]],tbMAPA[#All],2,0), "Não localizado")</f>
        <v>Ivanildo Cavalcante De Souza Junior</v>
      </c>
      <c r="F2319" s="34" t="str">
        <f>IFERROR(VLOOKUP(tbLOG[[#This Row],[LOGIN]],tbMAPA[#All],3,0), "Não localizado")</f>
        <v>Jefte Soares Da Silva</v>
      </c>
      <c r="G2319" s="3" t="s">
        <v>298</v>
      </c>
      <c r="H2319" s="3" t="s">
        <v>290</v>
      </c>
    </row>
    <row r="2320" spans="1:8">
      <c r="A2320" s="29">
        <v>42749.395138888889</v>
      </c>
      <c r="B2320" s="29" t="str">
        <f>PROPER(TEXT(tbLOG[[#This Row],[DATA/HORA]],"mmmm"))</f>
        <v>Janeiro</v>
      </c>
      <c r="C2320" s="34" t="str">
        <f>PROPER(TEXT(tbLOG[[#This Row],[DATA/HORA]],"dddd"))</f>
        <v>Sábado</v>
      </c>
      <c r="D2320" s="3" t="s">
        <v>297</v>
      </c>
      <c r="E2320" s="34" t="str">
        <f>IFERROR(VLOOKUP(tbLOG[[#This Row],[LOGIN]],tbMAPA[#All],2,0), "Não localizado")</f>
        <v>Ivanildo Cavalcante De Souza Junior</v>
      </c>
      <c r="F2320" s="34" t="str">
        <f>IFERROR(VLOOKUP(tbLOG[[#This Row],[LOGIN]],tbMAPA[#All],3,0), "Não localizado")</f>
        <v>Jefte Soares Da Silva</v>
      </c>
      <c r="G2320" s="3" t="s">
        <v>298</v>
      </c>
      <c r="H2320" s="3" t="s">
        <v>994</v>
      </c>
    </row>
    <row r="2321" spans="1:8">
      <c r="A2321" s="29">
        <v>42749.395358796297</v>
      </c>
      <c r="B2321" s="29" t="str">
        <f>PROPER(TEXT(tbLOG[[#This Row],[DATA/HORA]],"mmmm"))</f>
        <v>Janeiro</v>
      </c>
      <c r="C2321" s="34" t="str">
        <f>PROPER(TEXT(tbLOG[[#This Row],[DATA/HORA]],"dddd"))</f>
        <v>Sábado</v>
      </c>
      <c r="D2321" s="3" t="s">
        <v>297</v>
      </c>
      <c r="E2321" s="34" t="str">
        <f>IFERROR(VLOOKUP(tbLOG[[#This Row],[LOGIN]],tbMAPA[#All],2,0), "Não localizado")</f>
        <v>Ivanildo Cavalcante De Souza Junior</v>
      </c>
      <c r="F2321" s="34" t="str">
        <f>IFERROR(VLOOKUP(tbLOG[[#This Row],[LOGIN]],tbMAPA[#All],3,0), "Não localizado")</f>
        <v>Jefte Soares Da Silva</v>
      </c>
      <c r="G2321" s="3" t="s">
        <v>298</v>
      </c>
      <c r="H2321" s="3" t="s">
        <v>331</v>
      </c>
    </row>
    <row r="2322" spans="1:8">
      <c r="A2322" s="29">
        <v>42749.395370370374</v>
      </c>
      <c r="B2322" s="29" t="str">
        <f>PROPER(TEXT(tbLOG[[#This Row],[DATA/HORA]],"mmmm"))</f>
        <v>Janeiro</v>
      </c>
      <c r="C2322" s="34" t="str">
        <f>PROPER(TEXT(tbLOG[[#This Row],[DATA/HORA]],"dddd"))</f>
        <v>Sábado</v>
      </c>
      <c r="D2322" s="3" t="s">
        <v>297</v>
      </c>
      <c r="E2322" s="34" t="str">
        <f>IFERROR(VLOOKUP(tbLOG[[#This Row],[LOGIN]],tbMAPA[#All],2,0), "Não localizado")</f>
        <v>Ivanildo Cavalcante De Souza Junior</v>
      </c>
      <c r="F2322" s="34" t="str">
        <f>IFERROR(VLOOKUP(tbLOG[[#This Row],[LOGIN]],tbMAPA[#All],3,0), "Não localizado")</f>
        <v>Jefte Soares Da Silva</v>
      </c>
      <c r="G2322" s="3" t="s">
        <v>298</v>
      </c>
      <c r="H2322" s="3" t="s">
        <v>331</v>
      </c>
    </row>
    <row r="2323" spans="1:8">
      <c r="A2323" s="29">
        <v>42749.395381944443</v>
      </c>
      <c r="B2323" s="29" t="str">
        <f>PROPER(TEXT(tbLOG[[#This Row],[DATA/HORA]],"mmmm"))</f>
        <v>Janeiro</v>
      </c>
      <c r="C2323" s="34" t="str">
        <f>PROPER(TEXT(tbLOG[[#This Row],[DATA/HORA]],"dddd"))</f>
        <v>Sábado</v>
      </c>
      <c r="D2323" s="3" t="s">
        <v>297</v>
      </c>
      <c r="E2323" s="34" t="str">
        <f>IFERROR(VLOOKUP(tbLOG[[#This Row],[LOGIN]],tbMAPA[#All],2,0), "Não localizado")</f>
        <v>Ivanildo Cavalcante De Souza Junior</v>
      </c>
      <c r="F2323" s="34" t="str">
        <f>IFERROR(VLOOKUP(tbLOG[[#This Row],[LOGIN]],tbMAPA[#All],3,0), "Não localizado")</f>
        <v>Jefte Soares Da Silva</v>
      </c>
      <c r="G2323" s="3" t="s">
        <v>298</v>
      </c>
      <c r="H2323" s="3" t="s">
        <v>331</v>
      </c>
    </row>
    <row r="2324" spans="1:8">
      <c r="A2324" s="29">
        <v>42749.395555555559</v>
      </c>
      <c r="B2324" s="29" t="str">
        <f>PROPER(TEXT(tbLOG[[#This Row],[DATA/HORA]],"mmmm"))</f>
        <v>Janeiro</v>
      </c>
      <c r="C2324" s="34" t="str">
        <f>PROPER(TEXT(tbLOG[[#This Row],[DATA/HORA]],"dddd"))</f>
        <v>Sábado</v>
      </c>
      <c r="D2324" s="3" t="s">
        <v>297</v>
      </c>
      <c r="E2324" s="34" t="str">
        <f>IFERROR(VLOOKUP(tbLOG[[#This Row],[LOGIN]],tbMAPA[#All],2,0), "Não localizado")</f>
        <v>Ivanildo Cavalcante De Souza Junior</v>
      </c>
      <c r="F2324" s="34" t="str">
        <f>IFERROR(VLOOKUP(tbLOG[[#This Row],[LOGIN]],tbMAPA[#All],3,0), "Não localizado")</f>
        <v>Jefte Soares Da Silva</v>
      </c>
      <c r="G2324" s="3" t="s">
        <v>298</v>
      </c>
      <c r="H2324" s="3" t="s">
        <v>994</v>
      </c>
    </row>
    <row r="2325" spans="1:8">
      <c r="A2325" s="29">
        <v>42749.395671296297</v>
      </c>
      <c r="B2325" s="29" t="str">
        <f>PROPER(TEXT(tbLOG[[#This Row],[DATA/HORA]],"mmmm"))</f>
        <v>Janeiro</v>
      </c>
      <c r="C2325" s="34" t="str">
        <f>PROPER(TEXT(tbLOG[[#This Row],[DATA/HORA]],"dddd"))</f>
        <v>Sábado</v>
      </c>
      <c r="D2325" s="3" t="s">
        <v>297</v>
      </c>
      <c r="E2325" s="34" t="str">
        <f>IFERROR(VLOOKUP(tbLOG[[#This Row],[LOGIN]],tbMAPA[#All],2,0), "Não localizado")</f>
        <v>Ivanildo Cavalcante De Souza Junior</v>
      </c>
      <c r="F2325" s="34" t="str">
        <f>IFERROR(VLOOKUP(tbLOG[[#This Row],[LOGIN]],tbMAPA[#All],3,0), "Não localizado")</f>
        <v>Jefte Soares Da Silva</v>
      </c>
      <c r="G2325" s="3" t="s">
        <v>298</v>
      </c>
      <c r="H2325" s="3" t="s">
        <v>290</v>
      </c>
    </row>
    <row r="2326" spans="1:8">
      <c r="A2326" s="29">
        <v>42749.407500000001</v>
      </c>
      <c r="B2326" s="29" t="str">
        <f>PROPER(TEXT(tbLOG[[#This Row],[DATA/HORA]],"mmmm"))</f>
        <v>Janeiro</v>
      </c>
      <c r="C2326" s="34" t="str">
        <f>PROPER(TEXT(tbLOG[[#This Row],[DATA/HORA]],"dddd"))</f>
        <v>Sábado</v>
      </c>
      <c r="D2326" s="3" t="s">
        <v>297</v>
      </c>
      <c r="E2326" s="34" t="str">
        <f>IFERROR(VLOOKUP(tbLOG[[#This Row],[LOGIN]],tbMAPA[#All],2,0), "Não localizado")</f>
        <v>Ivanildo Cavalcante De Souza Junior</v>
      </c>
      <c r="F2326" s="34" t="str">
        <f>IFERROR(VLOOKUP(tbLOG[[#This Row],[LOGIN]],tbMAPA[#All],3,0), "Não localizado")</f>
        <v>Jefte Soares Da Silva</v>
      </c>
      <c r="G2326" s="3" t="s">
        <v>298</v>
      </c>
      <c r="H2326" s="3" t="s">
        <v>331</v>
      </c>
    </row>
    <row r="2327" spans="1:8">
      <c r="A2327" s="29">
        <v>42749.407523148147</v>
      </c>
      <c r="B2327" s="29" t="str">
        <f>PROPER(TEXT(tbLOG[[#This Row],[DATA/HORA]],"mmmm"))</f>
        <v>Janeiro</v>
      </c>
      <c r="C2327" s="34" t="str">
        <f>PROPER(TEXT(tbLOG[[#This Row],[DATA/HORA]],"dddd"))</f>
        <v>Sábado</v>
      </c>
      <c r="D2327" s="3" t="s">
        <v>297</v>
      </c>
      <c r="E2327" s="34" t="str">
        <f>IFERROR(VLOOKUP(tbLOG[[#This Row],[LOGIN]],tbMAPA[#All],2,0), "Não localizado")</f>
        <v>Ivanildo Cavalcante De Souza Junior</v>
      </c>
      <c r="F2327" s="34" t="str">
        <f>IFERROR(VLOOKUP(tbLOG[[#This Row],[LOGIN]],tbMAPA[#All],3,0), "Não localizado")</f>
        <v>Jefte Soares Da Silva</v>
      </c>
      <c r="G2327" s="3" t="s">
        <v>298</v>
      </c>
      <c r="H2327" s="3" t="s">
        <v>331</v>
      </c>
    </row>
    <row r="2328" spans="1:8">
      <c r="A2328" s="29">
        <v>42749.407592592594</v>
      </c>
      <c r="B2328" s="29" t="str">
        <f>PROPER(TEXT(tbLOG[[#This Row],[DATA/HORA]],"mmmm"))</f>
        <v>Janeiro</v>
      </c>
      <c r="C2328" s="34" t="str">
        <f>PROPER(TEXT(tbLOG[[#This Row],[DATA/HORA]],"dddd"))</f>
        <v>Sábado</v>
      </c>
      <c r="D2328" s="3" t="s">
        <v>297</v>
      </c>
      <c r="E2328" s="34" t="str">
        <f>IFERROR(VLOOKUP(tbLOG[[#This Row],[LOGIN]],tbMAPA[#All],2,0), "Não localizado")</f>
        <v>Ivanildo Cavalcante De Souza Junior</v>
      </c>
      <c r="F2328" s="34" t="str">
        <f>IFERROR(VLOOKUP(tbLOG[[#This Row],[LOGIN]],tbMAPA[#All],3,0), "Não localizado")</f>
        <v>Jefte Soares Da Silva</v>
      </c>
      <c r="G2328" s="3" t="s">
        <v>298</v>
      </c>
      <c r="H2328" s="3" t="s">
        <v>331</v>
      </c>
    </row>
    <row r="2329" spans="1:8">
      <c r="A2329" s="29">
        <v>42749.40766203704</v>
      </c>
      <c r="B2329" s="29" t="str">
        <f>PROPER(TEXT(tbLOG[[#This Row],[DATA/HORA]],"mmmm"))</f>
        <v>Janeiro</v>
      </c>
      <c r="C2329" s="34" t="str">
        <f>PROPER(TEXT(tbLOG[[#This Row],[DATA/HORA]],"dddd"))</f>
        <v>Sábado</v>
      </c>
      <c r="D2329" s="3" t="s">
        <v>297</v>
      </c>
      <c r="E2329" s="34" t="str">
        <f>IFERROR(VLOOKUP(tbLOG[[#This Row],[LOGIN]],tbMAPA[#All],2,0), "Não localizado")</f>
        <v>Ivanildo Cavalcante De Souza Junior</v>
      </c>
      <c r="F2329" s="34" t="str">
        <f>IFERROR(VLOOKUP(tbLOG[[#This Row],[LOGIN]],tbMAPA[#All],3,0), "Não localizado")</f>
        <v>Jefte Soares Da Silva</v>
      </c>
      <c r="G2329" s="3" t="s">
        <v>298</v>
      </c>
      <c r="H2329" s="3" t="s">
        <v>331</v>
      </c>
    </row>
    <row r="2330" spans="1:8">
      <c r="A2330" s="29">
        <v>42749.407812500001</v>
      </c>
      <c r="B2330" s="29" t="str">
        <f>PROPER(TEXT(tbLOG[[#This Row],[DATA/HORA]],"mmmm"))</f>
        <v>Janeiro</v>
      </c>
      <c r="C2330" s="34" t="str">
        <f>PROPER(TEXT(tbLOG[[#This Row],[DATA/HORA]],"dddd"))</f>
        <v>Sábado</v>
      </c>
      <c r="D2330" s="3" t="s">
        <v>297</v>
      </c>
      <c r="E2330" s="34" t="str">
        <f>IFERROR(VLOOKUP(tbLOG[[#This Row],[LOGIN]],tbMAPA[#All],2,0), "Não localizado")</f>
        <v>Ivanildo Cavalcante De Souza Junior</v>
      </c>
      <c r="F2330" s="34" t="str">
        <f>IFERROR(VLOOKUP(tbLOG[[#This Row],[LOGIN]],tbMAPA[#All],3,0), "Não localizado")</f>
        <v>Jefte Soares Da Silva</v>
      </c>
      <c r="G2330" s="3" t="s">
        <v>298</v>
      </c>
      <c r="H2330" s="3" t="s">
        <v>331</v>
      </c>
    </row>
    <row r="2331" spans="1:8">
      <c r="A2331" s="29">
        <v>42749.407812500001</v>
      </c>
      <c r="B2331" s="29" t="str">
        <f>PROPER(TEXT(tbLOG[[#This Row],[DATA/HORA]],"mmmm"))</f>
        <v>Janeiro</v>
      </c>
      <c r="C2331" s="34" t="str">
        <f>PROPER(TEXT(tbLOG[[#This Row],[DATA/HORA]],"dddd"))</f>
        <v>Sábado</v>
      </c>
      <c r="D2331" s="3" t="s">
        <v>297</v>
      </c>
      <c r="E2331" s="34" t="str">
        <f>IFERROR(VLOOKUP(tbLOG[[#This Row],[LOGIN]],tbMAPA[#All],2,0), "Não localizado")</f>
        <v>Ivanildo Cavalcante De Souza Junior</v>
      </c>
      <c r="F2331" s="34" t="str">
        <f>IFERROR(VLOOKUP(tbLOG[[#This Row],[LOGIN]],tbMAPA[#All],3,0), "Não localizado")</f>
        <v>Jefte Soares Da Silva</v>
      </c>
      <c r="G2331" s="3" t="s">
        <v>298</v>
      </c>
      <c r="H2331" s="3" t="s">
        <v>331</v>
      </c>
    </row>
    <row r="2332" spans="1:8">
      <c r="A2332" s="29">
        <v>42749.408020833333</v>
      </c>
      <c r="B2332" s="29" t="str">
        <f>PROPER(TEXT(tbLOG[[#This Row],[DATA/HORA]],"mmmm"))</f>
        <v>Janeiro</v>
      </c>
      <c r="C2332" s="34" t="str">
        <f>PROPER(TEXT(tbLOG[[#This Row],[DATA/HORA]],"dddd"))</f>
        <v>Sábado</v>
      </c>
      <c r="D2332" s="3" t="s">
        <v>297</v>
      </c>
      <c r="E2332" s="34" t="str">
        <f>IFERROR(VLOOKUP(tbLOG[[#This Row],[LOGIN]],tbMAPA[#All],2,0), "Não localizado")</f>
        <v>Ivanildo Cavalcante De Souza Junior</v>
      </c>
      <c r="F2332" s="34" t="str">
        <f>IFERROR(VLOOKUP(tbLOG[[#This Row],[LOGIN]],tbMAPA[#All],3,0), "Não localizado")</f>
        <v>Jefte Soares Da Silva</v>
      </c>
      <c r="G2332" s="3" t="s">
        <v>298</v>
      </c>
      <c r="H2332" s="3" t="s">
        <v>331</v>
      </c>
    </row>
    <row r="2333" spans="1:8">
      <c r="A2333" s="29">
        <v>42749.410532407404</v>
      </c>
      <c r="B2333" s="29" t="str">
        <f>PROPER(TEXT(tbLOG[[#This Row],[DATA/HORA]],"mmmm"))</f>
        <v>Janeiro</v>
      </c>
      <c r="C2333" s="34" t="str">
        <f>PROPER(TEXT(tbLOG[[#This Row],[DATA/HORA]],"dddd"))</f>
        <v>Sábado</v>
      </c>
      <c r="D2333" s="3" t="s">
        <v>297</v>
      </c>
      <c r="E2333" s="34" t="str">
        <f>IFERROR(VLOOKUP(tbLOG[[#This Row],[LOGIN]],tbMAPA[#All],2,0), "Não localizado")</f>
        <v>Ivanildo Cavalcante De Souza Junior</v>
      </c>
      <c r="F2333" s="34" t="str">
        <f>IFERROR(VLOOKUP(tbLOG[[#This Row],[LOGIN]],tbMAPA[#All],3,0), "Não localizado")</f>
        <v>Jefte Soares Da Silva</v>
      </c>
      <c r="G2333" s="3" t="s">
        <v>298</v>
      </c>
      <c r="H2333" s="3" t="s">
        <v>292</v>
      </c>
    </row>
    <row r="2334" spans="1:8">
      <c r="A2334" s="29">
        <v>42749.410694444443</v>
      </c>
      <c r="B2334" s="29" t="str">
        <f>PROPER(TEXT(tbLOG[[#This Row],[DATA/HORA]],"mmmm"))</f>
        <v>Janeiro</v>
      </c>
      <c r="C2334" s="34" t="str">
        <f>PROPER(TEXT(tbLOG[[#This Row],[DATA/HORA]],"dddd"))</f>
        <v>Sábado</v>
      </c>
      <c r="D2334" s="3" t="s">
        <v>297</v>
      </c>
      <c r="E2334" s="34" t="str">
        <f>IFERROR(VLOOKUP(tbLOG[[#This Row],[LOGIN]],tbMAPA[#All],2,0), "Não localizado")</f>
        <v>Ivanildo Cavalcante De Souza Junior</v>
      </c>
      <c r="F2334" s="34" t="str">
        <f>IFERROR(VLOOKUP(tbLOG[[#This Row],[LOGIN]],tbMAPA[#All],3,0), "Não localizado")</f>
        <v>Jefte Soares Da Silva</v>
      </c>
      <c r="G2334" s="3" t="s">
        <v>298</v>
      </c>
      <c r="H2334" s="3" t="s">
        <v>331</v>
      </c>
    </row>
    <row r="2335" spans="1:8">
      <c r="A2335" s="29">
        <v>42749.41070601852</v>
      </c>
      <c r="B2335" s="29" t="str">
        <f>PROPER(TEXT(tbLOG[[#This Row],[DATA/HORA]],"mmmm"))</f>
        <v>Janeiro</v>
      </c>
      <c r="C2335" s="34" t="str">
        <f>PROPER(TEXT(tbLOG[[#This Row],[DATA/HORA]],"dddd"))</f>
        <v>Sábado</v>
      </c>
      <c r="D2335" s="3" t="s">
        <v>297</v>
      </c>
      <c r="E2335" s="34" t="str">
        <f>IFERROR(VLOOKUP(tbLOG[[#This Row],[LOGIN]],tbMAPA[#All],2,0), "Não localizado")</f>
        <v>Ivanildo Cavalcante De Souza Junior</v>
      </c>
      <c r="F2335" s="34" t="str">
        <f>IFERROR(VLOOKUP(tbLOG[[#This Row],[LOGIN]],tbMAPA[#All],3,0), "Não localizado")</f>
        <v>Jefte Soares Da Silva</v>
      </c>
      <c r="G2335" s="3" t="s">
        <v>298</v>
      </c>
      <c r="H2335" s="3" t="s">
        <v>331</v>
      </c>
    </row>
    <row r="2336" spans="1:8">
      <c r="A2336" s="29">
        <v>42749.411435185182</v>
      </c>
      <c r="B2336" s="29" t="str">
        <f>PROPER(TEXT(tbLOG[[#This Row],[DATA/HORA]],"mmmm"))</f>
        <v>Janeiro</v>
      </c>
      <c r="C2336" s="34" t="str">
        <f>PROPER(TEXT(tbLOG[[#This Row],[DATA/HORA]],"dddd"))</f>
        <v>Sábado</v>
      </c>
      <c r="D2336" s="3" t="s">
        <v>297</v>
      </c>
      <c r="E2336" s="34" t="str">
        <f>IFERROR(VLOOKUP(tbLOG[[#This Row],[LOGIN]],tbMAPA[#All],2,0), "Não localizado")</f>
        <v>Ivanildo Cavalcante De Souza Junior</v>
      </c>
      <c r="F2336" s="34" t="str">
        <f>IFERROR(VLOOKUP(tbLOG[[#This Row],[LOGIN]],tbMAPA[#All],3,0), "Não localizado")</f>
        <v>Jefte Soares Da Silva</v>
      </c>
      <c r="G2336" s="3" t="s">
        <v>298</v>
      </c>
      <c r="H2336" s="3" t="s">
        <v>290</v>
      </c>
    </row>
    <row r="2337" spans="1:8">
      <c r="A2337" s="29">
        <v>42749.411550925928</v>
      </c>
      <c r="B2337" s="29" t="str">
        <f>PROPER(TEXT(tbLOG[[#This Row],[DATA/HORA]],"mmmm"))</f>
        <v>Janeiro</v>
      </c>
      <c r="C2337" s="34" t="str">
        <f>PROPER(TEXT(tbLOG[[#This Row],[DATA/HORA]],"dddd"))</f>
        <v>Sábado</v>
      </c>
      <c r="D2337" s="3" t="s">
        <v>297</v>
      </c>
      <c r="E2337" s="34" t="str">
        <f>IFERROR(VLOOKUP(tbLOG[[#This Row],[LOGIN]],tbMAPA[#All],2,0), "Não localizado")</f>
        <v>Ivanildo Cavalcante De Souza Junior</v>
      </c>
      <c r="F2337" s="34" t="str">
        <f>IFERROR(VLOOKUP(tbLOG[[#This Row],[LOGIN]],tbMAPA[#All],3,0), "Não localizado")</f>
        <v>Jefte Soares Da Silva</v>
      </c>
      <c r="G2337" s="3" t="s">
        <v>298</v>
      </c>
      <c r="H2337" s="3" t="s">
        <v>290</v>
      </c>
    </row>
    <row r="2338" spans="1:8">
      <c r="A2338" s="29">
        <v>42749.412962962961</v>
      </c>
      <c r="B2338" s="29" t="str">
        <f>PROPER(TEXT(tbLOG[[#This Row],[DATA/HORA]],"mmmm"))</f>
        <v>Janeiro</v>
      </c>
      <c r="C2338" s="34" t="str">
        <f>PROPER(TEXT(tbLOG[[#This Row],[DATA/HORA]],"dddd"))</f>
        <v>Sábado</v>
      </c>
      <c r="D2338" s="3" t="s">
        <v>297</v>
      </c>
      <c r="E2338" s="34" t="str">
        <f>IFERROR(VLOOKUP(tbLOG[[#This Row],[LOGIN]],tbMAPA[#All],2,0), "Não localizado")</f>
        <v>Ivanildo Cavalcante De Souza Junior</v>
      </c>
      <c r="F2338" s="34" t="str">
        <f>IFERROR(VLOOKUP(tbLOG[[#This Row],[LOGIN]],tbMAPA[#All],3,0), "Não localizado")</f>
        <v>Jefte Soares Da Silva</v>
      </c>
      <c r="G2338" s="3" t="s">
        <v>298</v>
      </c>
      <c r="H2338" s="3" t="s">
        <v>290</v>
      </c>
    </row>
    <row r="2339" spans="1:8">
      <c r="A2339" s="29">
        <v>42749.413043981483</v>
      </c>
      <c r="B2339" s="29" t="str">
        <f>PROPER(TEXT(tbLOG[[#This Row],[DATA/HORA]],"mmmm"))</f>
        <v>Janeiro</v>
      </c>
      <c r="C2339" s="34" t="str">
        <f>PROPER(TEXT(tbLOG[[#This Row],[DATA/HORA]],"dddd"))</f>
        <v>Sábado</v>
      </c>
      <c r="D2339" s="3" t="s">
        <v>297</v>
      </c>
      <c r="E2339" s="34" t="str">
        <f>IFERROR(VLOOKUP(tbLOG[[#This Row],[LOGIN]],tbMAPA[#All],2,0), "Não localizado")</f>
        <v>Ivanildo Cavalcante De Souza Junior</v>
      </c>
      <c r="F2339" s="34" t="str">
        <f>IFERROR(VLOOKUP(tbLOG[[#This Row],[LOGIN]],tbMAPA[#All],3,0), "Não localizado")</f>
        <v>Jefte Soares Da Silva</v>
      </c>
      <c r="G2339" s="3" t="s">
        <v>298</v>
      </c>
      <c r="H2339" s="3" t="s">
        <v>292</v>
      </c>
    </row>
    <row r="2340" spans="1:8">
      <c r="A2340" s="29">
        <v>42749.41306712963</v>
      </c>
      <c r="B2340" s="29" t="str">
        <f>PROPER(TEXT(tbLOG[[#This Row],[DATA/HORA]],"mmmm"))</f>
        <v>Janeiro</v>
      </c>
      <c r="C2340" s="34" t="str">
        <f>PROPER(TEXT(tbLOG[[#This Row],[DATA/HORA]],"dddd"))</f>
        <v>Sábado</v>
      </c>
      <c r="D2340" s="3" t="s">
        <v>297</v>
      </c>
      <c r="E2340" s="34" t="str">
        <f>IFERROR(VLOOKUP(tbLOG[[#This Row],[LOGIN]],tbMAPA[#All],2,0), "Não localizado")</f>
        <v>Ivanildo Cavalcante De Souza Junior</v>
      </c>
      <c r="F2340" s="34" t="str">
        <f>IFERROR(VLOOKUP(tbLOG[[#This Row],[LOGIN]],tbMAPA[#All],3,0), "Não localizado")</f>
        <v>Jefte Soares Da Silva</v>
      </c>
      <c r="G2340" s="3" t="s">
        <v>298</v>
      </c>
      <c r="H2340" s="3" t="s">
        <v>291</v>
      </c>
    </row>
    <row r="2341" spans="1:8">
      <c r="A2341" s="29">
        <v>42749.41306712963</v>
      </c>
      <c r="B2341" s="29" t="str">
        <f>PROPER(TEXT(tbLOG[[#This Row],[DATA/HORA]],"mmmm"))</f>
        <v>Janeiro</v>
      </c>
      <c r="C2341" s="34" t="str">
        <f>PROPER(TEXT(tbLOG[[#This Row],[DATA/HORA]],"dddd"))</f>
        <v>Sábado</v>
      </c>
      <c r="D2341" s="3" t="s">
        <v>297</v>
      </c>
      <c r="E2341" s="34" t="str">
        <f>IFERROR(VLOOKUP(tbLOG[[#This Row],[LOGIN]],tbMAPA[#All],2,0), "Não localizado")</f>
        <v>Ivanildo Cavalcante De Souza Junior</v>
      </c>
      <c r="F2341" s="34" t="str">
        <f>IFERROR(VLOOKUP(tbLOG[[#This Row],[LOGIN]],tbMAPA[#All],3,0), "Não localizado")</f>
        <v>Jefte Soares Da Silva</v>
      </c>
      <c r="G2341" s="3" t="s">
        <v>298</v>
      </c>
      <c r="H2341" s="3" t="s">
        <v>290</v>
      </c>
    </row>
    <row r="2342" spans="1:8">
      <c r="A2342" s="29">
        <v>42749.419189814813</v>
      </c>
      <c r="B2342" s="29" t="str">
        <f>PROPER(TEXT(tbLOG[[#This Row],[DATA/HORA]],"mmmm"))</f>
        <v>Janeiro</v>
      </c>
      <c r="C2342" s="34" t="str">
        <f>PROPER(TEXT(tbLOG[[#This Row],[DATA/HORA]],"dddd"))</f>
        <v>Sábado</v>
      </c>
      <c r="D2342" s="3" t="s">
        <v>297</v>
      </c>
      <c r="E2342" s="34" t="str">
        <f>IFERROR(VLOOKUP(tbLOG[[#This Row],[LOGIN]],tbMAPA[#All],2,0), "Não localizado")</f>
        <v>Ivanildo Cavalcante De Souza Junior</v>
      </c>
      <c r="F2342" s="34" t="str">
        <f>IFERROR(VLOOKUP(tbLOG[[#This Row],[LOGIN]],tbMAPA[#All],3,0), "Não localizado")</f>
        <v>Jefte Soares Da Silva</v>
      </c>
      <c r="G2342" s="3" t="s">
        <v>298</v>
      </c>
      <c r="H2342" s="3" t="s">
        <v>292</v>
      </c>
    </row>
    <row r="2343" spans="1:8">
      <c r="A2343" s="29">
        <v>42749.419189814813</v>
      </c>
      <c r="B2343" s="29" t="str">
        <f>PROPER(TEXT(tbLOG[[#This Row],[DATA/HORA]],"mmmm"))</f>
        <v>Janeiro</v>
      </c>
      <c r="C2343" s="34" t="str">
        <f>PROPER(TEXT(tbLOG[[#This Row],[DATA/HORA]],"dddd"))</f>
        <v>Sábado</v>
      </c>
      <c r="D2343" s="3" t="s">
        <v>297</v>
      </c>
      <c r="E2343" s="34" t="str">
        <f>IFERROR(VLOOKUP(tbLOG[[#This Row],[LOGIN]],tbMAPA[#All],2,0), "Não localizado")</f>
        <v>Ivanildo Cavalcante De Souza Junior</v>
      </c>
      <c r="F2343" s="34" t="str">
        <f>IFERROR(VLOOKUP(tbLOG[[#This Row],[LOGIN]],tbMAPA[#All],3,0), "Não localizado")</f>
        <v>Jefte Soares Da Silva</v>
      </c>
      <c r="G2343" s="3" t="s">
        <v>298</v>
      </c>
      <c r="H2343" s="3" t="s">
        <v>994</v>
      </c>
    </row>
    <row r="2344" spans="1:8">
      <c r="A2344" s="29">
        <v>42749.419479166667</v>
      </c>
      <c r="B2344" s="29" t="str">
        <f>PROPER(TEXT(tbLOG[[#This Row],[DATA/HORA]],"mmmm"))</f>
        <v>Janeiro</v>
      </c>
      <c r="C2344" s="34" t="str">
        <f>PROPER(TEXT(tbLOG[[#This Row],[DATA/HORA]],"dddd"))</f>
        <v>Sábado</v>
      </c>
      <c r="D2344" s="3" t="s">
        <v>297</v>
      </c>
      <c r="E2344" s="34" t="str">
        <f>IFERROR(VLOOKUP(tbLOG[[#This Row],[LOGIN]],tbMAPA[#All],2,0), "Não localizado")</f>
        <v>Ivanildo Cavalcante De Souza Junior</v>
      </c>
      <c r="F2344" s="34" t="str">
        <f>IFERROR(VLOOKUP(tbLOG[[#This Row],[LOGIN]],tbMAPA[#All],3,0), "Não localizado")</f>
        <v>Jefte Soares Da Silva</v>
      </c>
      <c r="G2344" s="3" t="s">
        <v>298</v>
      </c>
      <c r="H2344" s="3" t="s">
        <v>835</v>
      </c>
    </row>
    <row r="2345" spans="1:8">
      <c r="A2345" s="29">
        <v>42749.419641203705</v>
      </c>
      <c r="B2345" s="29" t="str">
        <f>PROPER(TEXT(tbLOG[[#This Row],[DATA/HORA]],"mmmm"))</f>
        <v>Janeiro</v>
      </c>
      <c r="C2345" s="34" t="str">
        <f>PROPER(TEXT(tbLOG[[#This Row],[DATA/HORA]],"dddd"))</f>
        <v>Sábado</v>
      </c>
      <c r="D2345" s="3" t="s">
        <v>297</v>
      </c>
      <c r="E2345" s="34" t="str">
        <f>IFERROR(VLOOKUP(tbLOG[[#This Row],[LOGIN]],tbMAPA[#All],2,0), "Não localizado")</f>
        <v>Ivanildo Cavalcante De Souza Junior</v>
      </c>
      <c r="F2345" s="34" t="str">
        <f>IFERROR(VLOOKUP(tbLOG[[#This Row],[LOGIN]],tbMAPA[#All],3,0), "Não localizado")</f>
        <v>Jefte Soares Da Silva</v>
      </c>
      <c r="G2345" s="3" t="s">
        <v>298</v>
      </c>
      <c r="H2345" s="3" t="s">
        <v>292</v>
      </c>
    </row>
    <row r="2346" spans="1:8">
      <c r="A2346" s="29">
        <v>42749.419699074075</v>
      </c>
      <c r="B2346" s="29" t="str">
        <f>PROPER(TEXT(tbLOG[[#This Row],[DATA/HORA]],"mmmm"))</f>
        <v>Janeiro</v>
      </c>
      <c r="C2346" s="34" t="str">
        <f>PROPER(TEXT(tbLOG[[#This Row],[DATA/HORA]],"dddd"))</f>
        <v>Sábado</v>
      </c>
      <c r="D2346" s="3" t="s">
        <v>297</v>
      </c>
      <c r="E2346" s="34" t="str">
        <f>IFERROR(VLOOKUP(tbLOG[[#This Row],[LOGIN]],tbMAPA[#All],2,0), "Não localizado")</f>
        <v>Ivanildo Cavalcante De Souza Junior</v>
      </c>
      <c r="F2346" s="34" t="str">
        <f>IFERROR(VLOOKUP(tbLOG[[#This Row],[LOGIN]],tbMAPA[#All],3,0), "Não localizado")</f>
        <v>Jefte Soares Da Silva</v>
      </c>
      <c r="G2346" s="3" t="s">
        <v>298</v>
      </c>
      <c r="H2346" s="3" t="s">
        <v>292</v>
      </c>
    </row>
    <row r="2347" spans="1:8">
      <c r="A2347" s="29">
        <v>42749.419745370367</v>
      </c>
      <c r="B2347" s="29" t="str">
        <f>PROPER(TEXT(tbLOG[[#This Row],[DATA/HORA]],"mmmm"))</f>
        <v>Janeiro</v>
      </c>
      <c r="C2347" s="34" t="str">
        <f>PROPER(TEXT(tbLOG[[#This Row],[DATA/HORA]],"dddd"))</f>
        <v>Sábado</v>
      </c>
      <c r="D2347" s="3" t="s">
        <v>297</v>
      </c>
      <c r="E2347" s="34" t="str">
        <f>IFERROR(VLOOKUP(tbLOG[[#This Row],[LOGIN]],tbMAPA[#All],2,0), "Não localizado")</f>
        <v>Ivanildo Cavalcante De Souza Junior</v>
      </c>
      <c r="F2347" s="34" t="str">
        <f>IFERROR(VLOOKUP(tbLOG[[#This Row],[LOGIN]],tbMAPA[#All],3,0), "Não localizado")</f>
        <v>Jefte Soares Da Silva</v>
      </c>
      <c r="G2347" s="3" t="s">
        <v>298</v>
      </c>
      <c r="H2347" s="3" t="s">
        <v>292</v>
      </c>
    </row>
    <row r="2348" spans="1:8">
      <c r="A2348" s="29">
        <v>42749.419872685183</v>
      </c>
      <c r="B2348" s="29" t="str">
        <f>PROPER(TEXT(tbLOG[[#This Row],[DATA/HORA]],"mmmm"))</f>
        <v>Janeiro</v>
      </c>
      <c r="C2348" s="34" t="str">
        <f>PROPER(TEXT(tbLOG[[#This Row],[DATA/HORA]],"dddd"))</f>
        <v>Sábado</v>
      </c>
      <c r="D2348" s="3" t="s">
        <v>297</v>
      </c>
      <c r="E2348" s="34" t="str">
        <f>IFERROR(VLOOKUP(tbLOG[[#This Row],[LOGIN]],tbMAPA[#All],2,0), "Não localizado")</f>
        <v>Ivanildo Cavalcante De Souza Junior</v>
      </c>
      <c r="F2348" s="34" t="str">
        <f>IFERROR(VLOOKUP(tbLOG[[#This Row],[LOGIN]],tbMAPA[#All],3,0), "Não localizado")</f>
        <v>Jefte Soares Da Silva</v>
      </c>
      <c r="G2348" s="3" t="s">
        <v>298</v>
      </c>
      <c r="H2348" s="3" t="s">
        <v>315</v>
      </c>
    </row>
    <row r="2349" spans="1:8">
      <c r="A2349" s="29">
        <v>42749.420023148145</v>
      </c>
      <c r="B2349" s="29" t="str">
        <f>PROPER(TEXT(tbLOG[[#This Row],[DATA/HORA]],"mmmm"))</f>
        <v>Janeiro</v>
      </c>
      <c r="C2349" s="34" t="str">
        <f>PROPER(TEXT(tbLOG[[#This Row],[DATA/HORA]],"dddd"))</f>
        <v>Sábado</v>
      </c>
      <c r="D2349" s="3" t="s">
        <v>297</v>
      </c>
      <c r="E2349" s="34" t="str">
        <f>IFERROR(VLOOKUP(tbLOG[[#This Row],[LOGIN]],tbMAPA[#All],2,0), "Não localizado")</f>
        <v>Ivanildo Cavalcante De Souza Junior</v>
      </c>
      <c r="F2349" s="34" t="str">
        <f>IFERROR(VLOOKUP(tbLOG[[#This Row],[LOGIN]],tbMAPA[#All],3,0), "Não localizado")</f>
        <v>Jefte Soares Da Silva</v>
      </c>
      <c r="G2349" s="3" t="s">
        <v>298</v>
      </c>
      <c r="H2349" s="3" t="s">
        <v>290</v>
      </c>
    </row>
    <row r="2350" spans="1:8">
      <c r="A2350" s="29">
        <v>42749.420219907406</v>
      </c>
      <c r="B2350" s="29" t="str">
        <f>PROPER(TEXT(tbLOG[[#This Row],[DATA/HORA]],"mmmm"))</f>
        <v>Janeiro</v>
      </c>
      <c r="C2350" s="34" t="str">
        <f>PROPER(TEXT(tbLOG[[#This Row],[DATA/HORA]],"dddd"))</f>
        <v>Sábado</v>
      </c>
      <c r="D2350" s="3" t="s">
        <v>297</v>
      </c>
      <c r="E2350" s="34" t="str">
        <f>IFERROR(VLOOKUP(tbLOG[[#This Row],[LOGIN]],tbMAPA[#All],2,0), "Não localizado")</f>
        <v>Ivanildo Cavalcante De Souza Junior</v>
      </c>
      <c r="F2350" s="34" t="str">
        <f>IFERROR(VLOOKUP(tbLOG[[#This Row],[LOGIN]],tbMAPA[#All],3,0), "Não localizado")</f>
        <v>Jefte Soares Da Silva</v>
      </c>
      <c r="G2350" s="3" t="s">
        <v>298</v>
      </c>
      <c r="H2350" s="3" t="s">
        <v>292</v>
      </c>
    </row>
    <row r="2351" spans="1:8">
      <c r="A2351" s="29">
        <v>42749.420266203706</v>
      </c>
      <c r="B2351" s="29" t="str">
        <f>PROPER(TEXT(tbLOG[[#This Row],[DATA/HORA]],"mmmm"))</f>
        <v>Janeiro</v>
      </c>
      <c r="C2351" s="34" t="str">
        <f>PROPER(TEXT(tbLOG[[#This Row],[DATA/HORA]],"dddd"))</f>
        <v>Sábado</v>
      </c>
      <c r="D2351" s="3" t="s">
        <v>297</v>
      </c>
      <c r="E2351" s="34" t="str">
        <f>IFERROR(VLOOKUP(tbLOG[[#This Row],[LOGIN]],tbMAPA[#All],2,0), "Não localizado")</f>
        <v>Ivanildo Cavalcante De Souza Junior</v>
      </c>
      <c r="F2351" s="34" t="str">
        <f>IFERROR(VLOOKUP(tbLOG[[#This Row],[LOGIN]],tbMAPA[#All],3,0), "Não localizado")</f>
        <v>Jefte Soares Da Silva</v>
      </c>
      <c r="G2351" s="3" t="s">
        <v>298</v>
      </c>
      <c r="H2351" s="3" t="s">
        <v>315</v>
      </c>
    </row>
    <row r="2352" spans="1:8">
      <c r="A2352" s="29">
        <v>42749.420312499999</v>
      </c>
      <c r="B2352" s="29" t="str">
        <f>PROPER(TEXT(tbLOG[[#This Row],[DATA/HORA]],"mmmm"))</f>
        <v>Janeiro</v>
      </c>
      <c r="C2352" s="34" t="str">
        <f>PROPER(TEXT(tbLOG[[#This Row],[DATA/HORA]],"dddd"))</f>
        <v>Sábado</v>
      </c>
      <c r="D2352" s="3" t="s">
        <v>297</v>
      </c>
      <c r="E2352" s="34" t="str">
        <f>IFERROR(VLOOKUP(tbLOG[[#This Row],[LOGIN]],tbMAPA[#All],2,0), "Não localizado")</f>
        <v>Ivanildo Cavalcante De Souza Junior</v>
      </c>
      <c r="F2352" s="34" t="str">
        <f>IFERROR(VLOOKUP(tbLOG[[#This Row],[LOGIN]],tbMAPA[#All],3,0), "Não localizado")</f>
        <v>Jefte Soares Da Silva</v>
      </c>
      <c r="G2352" s="3" t="s">
        <v>298</v>
      </c>
      <c r="H2352" s="3" t="s">
        <v>292</v>
      </c>
    </row>
    <row r="2353" spans="1:8">
      <c r="A2353" s="29">
        <v>42749.420312499999</v>
      </c>
      <c r="B2353" s="29" t="str">
        <f>PROPER(TEXT(tbLOG[[#This Row],[DATA/HORA]],"mmmm"))</f>
        <v>Janeiro</v>
      </c>
      <c r="C2353" s="34" t="str">
        <f>PROPER(TEXT(tbLOG[[#This Row],[DATA/HORA]],"dddd"))</f>
        <v>Sábado</v>
      </c>
      <c r="D2353" s="3" t="s">
        <v>297</v>
      </c>
      <c r="E2353" s="34" t="str">
        <f>IFERROR(VLOOKUP(tbLOG[[#This Row],[LOGIN]],tbMAPA[#All],2,0), "Não localizado")</f>
        <v>Ivanildo Cavalcante De Souza Junior</v>
      </c>
      <c r="F2353" s="34" t="str">
        <f>IFERROR(VLOOKUP(tbLOG[[#This Row],[LOGIN]],tbMAPA[#All],3,0), "Não localizado")</f>
        <v>Jefte Soares Da Silva</v>
      </c>
      <c r="G2353" s="3" t="s">
        <v>298</v>
      </c>
      <c r="H2353" s="3" t="s">
        <v>292</v>
      </c>
    </row>
    <row r="2354" spans="1:8">
      <c r="A2354" s="29">
        <v>42749.420312499999</v>
      </c>
      <c r="B2354" s="29" t="str">
        <f>PROPER(TEXT(tbLOG[[#This Row],[DATA/HORA]],"mmmm"))</f>
        <v>Janeiro</v>
      </c>
      <c r="C2354" s="34" t="str">
        <f>PROPER(TEXT(tbLOG[[#This Row],[DATA/HORA]],"dddd"))</f>
        <v>Sábado</v>
      </c>
      <c r="D2354" s="3" t="s">
        <v>297</v>
      </c>
      <c r="E2354" s="34" t="str">
        <f>IFERROR(VLOOKUP(tbLOG[[#This Row],[LOGIN]],tbMAPA[#All],2,0), "Não localizado")</f>
        <v>Ivanildo Cavalcante De Souza Junior</v>
      </c>
      <c r="F2354" s="34" t="str">
        <f>IFERROR(VLOOKUP(tbLOG[[#This Row],[LOGIN]],tbMAPA[#All],3,0), "Não localizado")</f>
        <v>Jefte Soares Da Silva</v>
      </c>
      <c r="G2354" s="3" t="s">
        <v>298</v>
      </c>
      <c r="H2354" s="3" t="s">
        <v>317</v>
      </c>
    </row>
    <row r="2355" spans="1:8">
      <c r="A2355" s="29">
        <v>42749.420590277776</v>
      </c>
      <c r="B2355" s="29" t="str">
        <f>PROPER(TEXT(tbLOG[[#This Row],[DATA/HORA]],"mmmm"))</f>
        <v>Janeiro</v>
      </c>
      <c r="C2355" s="34" t="str">
        <f>PROPER(TEXT(tbLOG[[#This Row],[DATA/HORA]],"dddd"))</f>
        <v>Sábado</v>
      </c>
      <c r="D2355" s="3" t="s">
        <v>297</v>
      </c>
      <c r="E2355" s="34" t="str">
        <f>IFERROR(VLOOKUP(tbLOG[[#This Row],[LOGIN]],tbMAPA[#All],2,0), "Não localizado")</f>
        <v>Ivanildo Cavalcante De Souza Junior</v>
      </c>
      <c r="F2355" s="34" t="str">
        <f>IFERROR(VLOOKUP(tbLOG[[#This Row],[LOGIN]],tbMAPA[#All],3,0), "Não localizado")</f>
        <v>Jefte Soares Da Silva</v>
      </c>
      <c r="G2355" s="3" t="s">
        <v>298</v>
      </c>
      <c r="H2355" s="3" t="s">
        <v>835</v>
      </c>
    </row>
    <row r="2356" spans="1:8">
      <c r="A2356" s="29">
        <v>42749.420671296299</v>
      </c>
      <c r="B2356" s="29" t="str">
        <f>PROPER(TEXT(tbLOG[[#This Row],[DATA/HORA]],"mmmm"))</f>
        <v>Janeiro</v>
      </c>
      <c r="C2356" s="34" t="str">
        <f>PROPER(TEXT(tbLOG[[#This Row],[DATA/HORA]],"dddd"))</f>
        <v>Sábado</v>
      </c>
      <c r="D2356" s="3" t="s">
        <v>297</v>
      </c>
      <c r="E2356" s="34" t="str">
        <f>IFERROR(VLOOKUP(tbLOG[[#This Row],[LOGIN]],tbMAPA[#All],2,0), "Não localizado")</f>
        <v>Ivanildo Cavalcante De Souza Junior</v>
      </c>
      <c r="F2356" s="34" t="str">
        <f>IFERROR(VLOOKUP(tbLOG[[#This Row],[LOGIN]],tbMAPA[#All],3,0), "Não localizado")</f>
        <v>Jefte Soares Da Silva</v>
      </c>
      <c r="G2356" s="3" t="s">
        <v>298</v>
      </c>
      <c r="H2356" s="3" t="s">
        <v>836</v>
      </c>
    </row>
    <row r="2357" spans="1:8">
      <c r="A2357" s="29">
        <v>42749.420960648145</v>
      </c>
      <c r="B2357" s="29" t="str">
        <f>PROPER(TEXT(tbLOG[[#This Row],[DATA/HORA]],"mmmm"))</f>
        <v>Janeiro</v>
      </c>
      <c r="C2357" s="34" t="str">
        <f>PROPER(TEXT(tbLOG[[#This Row],[DATA/HORA]],"dddd"))</f>
        <v>Sábado</v>
      </c>
      <c r="D2357" s="3" t="s">
        <v>297</v>
      </c>
      <c r="E2357" s="34" t="str">
        <f>IFERROR(VLOOKUP(tbLOG[[#This Row],[LOGIN]],tbMAPA[#All],2,0), "Não localizado")</f>
        <v>Ivanildo Cavalcante De Souza Junior</v>
      </c>
      <c r="F2357" s="34" t="str">
        <f>IFERROR(VLOOKUP(tbLOG[[#This Row],[LOGIN]],tbMAPA[#All],3,0), "Não localizado")</f>
        <v>Jefte Soares Da Silva</v>
      </c>
      <c r="G2357" s="3" t="s">
        <v>298</v>
      </c>
      <c r="H2357" s="3" t="s">
        <v>292</v>
      </c>
    </row>
    <row r="2358" spans="1:8">
      <c r="A2358" s="29">
        <v>42749.420983796299</v>
      </c>
      <c r="B2358" s="29" t="str">
        <f>PROPER(TEXT(tbLOG[[#This Row],[DATA/HORA]],"mmmm"))</f>
        <v>Janeiro</v>
      </c>
      <c r="C2358" s="34" t="str">
        <f>PROPER(TEXT(tbLOG[[#This Row],[DATA/HORA]],"dddd"))</f>
        <v>Sábado</v>
      </c>
      <c r="D2358" s="3" t="s">
        <v>297</v>
      </c>
      <c r="E2358" s="34" t="str">
        <f>IFERROR(VLOOKUP(tbLOG[[#This Row],[LOGIN]],tbMAPA[#All],2,0), "Não localizado")</f>
        <v>Ivanildo Cavalcante De Souza Junior</v>
      </c>
      <c r="F2358" s="34" t="str">
        <f>IFERROR(VLOOKUP(tbLOG[[#This Row],[LOGIN]],tbMAPA[#All],3,0), "Não localizado")</f>
        <v>Jefte Soares Da Silva</v>
      </c>
      <c r="G2358" s="3" t="s">
        <v>298</v>
      </c>
      <c r="H2358" s="3" t="s">
        <v>290</v>
      </c>
    </row>
    <row r="2359" spans="1:8">
      <c r="A2359" s="29">
        <v>42749.421076388891</v>
      </c>
      <c r="B2359" s="29" t="str">
        <f>PROPER(TEXT(tbLOG[[#This Row],[DATA/HORA]],"mmmm"))</f>
        <v>Janeiro</v>
      </c>
      <c r="C2359" s="34" t="str">
        <f>PROPER(TEXT(tbLOG[[#This Row],[DATA/HORA]],"dddd"))</f>
        <v>Sábado</v>
      </c>
      <c r="D2359" s="3" t="s">
        <v>297</v>
      </c>
      <c r="E2359" s="34" t="str">
        <f>IFERROR(VLOOKUP(tbLOG[[#This Row],[LOGIN]],tbMAPA[#All],2,0), "Não localizado")</f>
        <v>Ivanildo Cavalcante De Souza Junior</v>
      </c>
      <c r="F2359" s="34" t="str">
        <f>IFERROR(VLOOKUP(tbLOG[[#This Row],[LOGIN]],tbMAPA[#All],3,0), "Não localizado")</f>
        <v>Jefte Soares Da Silva</v>
      </c>
      <c r="G2359" s="3" t="s">
        <v>298</v>
      </c>
      <c r="H2359" s="3" t="s">
        <v>290</v>
      </c>
    </row>
    <row r="2360" spans="1:8">
      <c r="A2360" s="29">
        <v>42749.421134259261</v>
      </c>
      <c r="B2360" s="29" t="str">
        <f>PROPER(TEXT(tbLOG[[#This Row],[DATA/HORA]],"mmmm"))</f>
        <v>Janeiro</v>
      </c>
      <c r="C2360" s="34" t="str">
        <f>PROPER(TEXT(tbLOG[[#This Row],[DATA/HORA]],"dddd"))</f>
        <v>Sábado</v>
      </c>
      <c r="D2360" s="3" t="s">
        <v>297</v>
      </c>
      <c r="E2360" s="34" t="str">
        <f>IFERROR(VLOOKUP(tbLOG[[#This Row],[LOGIN]],tbMAPA[#All],2,0), "Não localizado")</f>
        <v>Ivanildo Cavalcante De Souza Junior</v>
      </c>
      <c r="F2360" s="34" t="str">
        <f>IFERROR(VLOOKUP(tbLOG[[#This Row],[LOGIN]],tbMAPA[#All],3,0), "Não localizado")</f>
        <v>Jefte Soares Da Silva</v>
      </c>
      <c r="G2360" s="3" t="s">
        <v>298</v>
      </c>
      <c r="H2360" s="3" t="s">
        <v>291</v>
      </c>
    </row>
    <row r="2361" spans="1:8">
      <c r="A2361" s="29">
        <v>42749.421134259261</v>
      </c>
      <c r="B2361" s="29" t="str">
        <f>PROPER(TEXT(tbLOG[[#This Row],[DATA/HORA]],"mmmm"))</f>
        <v>Janeiro</v>
      </c>
      <c r="C2361" s="34" t="str">
        <f>PROPER(TEXT(tbLOG[[#This Row],[DATA/HORA]],"dddd"))</f>
        <v>Sábado</v>
      </c>
      <c r="D2361" s="3" t="s">
        <v>297</v>
      </c>
      <c r="E2361" s="34" t="str">
        <f>IFERROR(VLOOKUP(tbLOG[[#This Row],[LOGIN]],tbMAPA[#All],2,0), "Não localizado")</f>
        <v>Ivanildo Cavalcante De Souza Junior</v>
      </c>
      <c r="F2361" s="34" t="str">
        <f>IFERROR(VLOOKUP(tbLOG[[#This Row],[LOGIN]],tbMAPA[#All],3,0), "Não localizado")</f>
        <v>Jefte Soares Da Silva</v>
      </c>
      <c r="G2361" s="3" t="s">
        <v>298</v>
      </c>
      <c r="H2361" s="3" t="s">
        <v>290</v>
      </c>
    </row>
    <row r="2362" spans="1:8">
      <c r="A2362" s="29">
        <v>42749.446076388886</v>
      </c>
      <c r="B2362" s="29" t="str">
        <f>PROPER(TEXT(tbLOG[[#This Row],[DATA/HORA]],"mmmm"))</f>
        <v>Janeiro</v>
      </c>
      <c r="C2362" s="34" t="str">
        <f>PROPER(TEXT(tbLOG[[#This Row],[DATA/HORA]],"dddd"))</f>
        <v>Sábado</v>
      </c>
      <c r="D2362" s="3" t="s">
        <v>297</v>
      </c>
      <c r="E2362" s="34" t="str">
        <f>IFERROR(VLOOKUP(tbLOG[[#This Row],[LOGIN]],tbMAPA[#All],2,0), "Não localizado")</f>
        <v>Ivanildo Cavalcante De Souza Junior</v>
      </c>
      <c r="F2362" s="34" t="str">
        <f>IFERROR(VLOOKUP(tbLOG[[#This Row],[LOGIN]],tbMAPA[#All],3,0), "Não localizado")</f>
        <v>Jefte Soares Da Silva</v>
      </c>
      <c r="G2362" s="3" t="s">
        <v>298</v>
      </c>
      <c r="H2362" s="3" t="s">
        <v>292</v>
      </c>
    </row>
    <row r="2363" spans="1:8">
      <c r="A2363" s="29">
        <v>42749.446076388886</v>
      </c>
      <c r="B2363" s="29" t="str">
        <f>PROPER(TEXT(tbLOG[[#This Row],[DATA/HORA]],"mmmm"))</f>
        <v>Janeiro</v>
      </c>
      <c r="C2363" s="34" t="str">
        <f>PROPER(TEXT(tbLOG[[#This Row],[DATA/HORA]],"dddd"))</f>
        <v>Sábado</v>
      </c>
      <c r="D2363" s="3" t="s">
        <v>297</v>
      </c>
      <c r="E2363" s="34" t="str">
        <f>IFERROR(VLOOKUP(tbLOG[[#This Row],[LOGIN]],tbMAPA[#All],2,0), "Não localizado")</f>
        <v>Ivanildo Cavalcante De Souza Junior</v>
      </c>
      <c r="F2363" s="34" t="str">
        <f>IFERROR(VLOOKUP(tbLOG[[#This Row],[LOGIN]],tbMAPA[#All],3,0), "Não localizado")</f>
        <v>Jefte Soares Da Silva</v>
      </c>
      <c r="G2363" s="3" t="s">
        <v>298</v>
      </c>
      <c r="H2363" s="3" t="s">
        <v>994</v>
      </c>
    </row>
    <row r="2364" spans="1:8">
      <c r="A2364" s="29">
        <v>42749.446192129632</v>
      </c>
      <c r="B2364" s="29" t="str">
        <f>PROPER(TEXT(tbLOG[[#This Row],[DATA/HORA]],"mmmm"))</f>
        <v>Janeiro</v>
      </c>
      <c r="C2364" s="34" t="str">
        <f>PROPER(TEXT(tbLOG[[#This Row],[DATA/HORA]],"dddd"))</f>
        <v>Sábado</v>
      </c>
      <c r="D2364" s="3" t="s">
        <v>297</v>
      </c>
      <c r="E2364" s="34" t="str">
        <f>IFERROR(VLOOKUP(tbLOG[[#This Row],[LOGIN]],tbMAPA[#All],2,0), "Não localizado")</f>
        <v>Ivanildo Cavalcante De Souza Junior</v>
      </c>
      <c r="F2364" s="34" t="str">
        <f>IFERROR(VLOOKUP(tbLOG[[#This Row],[LOGIN]],tbMAPA[#All],3,0), "Não localizado")</f>
        <v>Jefte Soares Da Silva</v>
      </c>
      <c r="G2364" s="3" t="s">
        <v>298</v>
      </c>
      <c r="H2364" s="3" t="s">
        <v>292</v>
      </c>
    </row>
    <row r="2365" spans="1:8">
      <c r="A2365" s="29">
        <v>42749.446412037039</v>
      </c>
      <c r="B2365" s="29" t="str">
        <f>PROPER(TEXT(tbLOG[[#This Row],[DATA/HORA]],"mmmm"))</f>
        <v>Janeiro</v>
      </c>
      <c r="C2365" s="34" t="str">
        <f>PROPER(TEXT(tbLOG[[#This Row],[DATA/HORA]],"dddd"))</f>
        <v>Sábado</v>
      </c>
      <c r="D2365" s="3" t="s">
        <v>297</v>
      </c>
      <c r="E2365" s="34" t="str">
        <f>IFERROR(VLOOKUP(tbLOG[[#This Row],[LOGIN]],tbMAPA[#All],2,0), "Não localizado")</f>
        <v>Ivanildo Cavalcante De Souza Junior</v>
      </c>
      <c r="F2365" s="34" t="str">
        <f>IFERROR(VLOOKUP(tbLOG[[#This Row],[LOGIN]],tbMAPA[#All],3,0), "Não localizado")</f>
        <v>Jefte Soares Da Silva</v>
      </c>
      <c r="G2365" s="3" t="s">
        <v>298</v>
      </c>
      <c r="H2365" s="3" t="s">
        <v>292</v>
      </c>
    </row>
    <row r="2366" spans="1:8">
      <c r="A2366" s="29">
        <v>42749.446446759262</v>
      </c>
      <c r="B2366" s="29" t="str">
        <f>PROPER(TEXT(tbLOG[[#This Row],[DATA/HORA]],"mmmm"))</f>
        <v>Janeiro</v>
      </c>
      <c r="C2366" s="34" t="str">
        <f>PROPER(TEXT(tbLOG[[#This Row],[DATA/HORA]],"dddd"))</f>
        <v>Sábado</v>
      </c>
      <c r="D2366" s="3" t="s">
        <v>297</v>
      </c>
      <c r="E2366" s="34" t="str">
        <f>IFERROR(VLOOKUP(tbLOG[[#This Row],[LOGIN]],tbMAPA[#All],2,0), "Não localizado")</f>
        <v>Ivanildo Cavalcante De Souza Junior</v>
      </c>
      <c r="F2366" s="34" t="str">
        <f>IFERROR(VLOOKUP(tbLOG[[#This Row],[LOGIN]],tbMAPA[#All],3,0), "Não localizado")</f>
        <v>Jefte Soares Da Silva</v>
      </c>
      <c r="G2366" s="3" t="s">
        <v>298</v>
      </c>
      <c r="H2366" s="3" t="s">
        <v>292</v>
      </c>
    </row>
    <row r="2367" spans="1:8">
      <c r="A2367" s="29">
        <v>42749.447060185186</v>
      </c>
      <c r="B2367" s="29" t="str">
        <f>PROPER(TEXT(tbLOG[[#This Row],[DATA/HORA]],"mmmm"))</f>
        <v>Janeiro</v>
      </c>
      <c r="C2367" s="34" t="str">
        <f>PROPER(TEXT(tbLOG[[#This Row],[DATA/HORA]],"dddd"))</f>
        <v>Sábado</v>
      </c>
      <c r="D2367" s="3" t="s">
        <v>297</v>
      </c>
      <c r="E2367" s="34" t="str">
        <f>IFERROR(VLOOKUP(tbLOG[[#This Row],[LOGIN]],tbMAPA[#All],2,0), "Não localizado")</f>
        <v>Ivanildo Cavalcante De Souza Junior</v>
      </c>
      <c r="F2367" s="34" t="str">
        <f>IFERROR(VLOOKUP(tbLOG[[#This Row],[LOGIN]],tbMAPA[#All],3,0), "Não localizado")</f>
        <v>Jefte Soares Da Silva</v>
      </c>
      <c r="G2367" s="3" t="s">
        <v>298</v>
      </c>
      <c r="H2367" s="3" t="s">
        <v>291</v>
      </c>
    </row>
    <row r="2368" spans="1:8">
      <c r="A2368" s="29">
        <v>42749.447060185186</v>
      </c>
      <c r="B2368" s="29" t="str">
        <f>PROPER(TEXT(tbLOG[[#This Row],[DATA/HORA]],"mmmm"))</f>
        <v>Janeiro</v>
      </c>
      <c r="C2368" s="34" t="str">
        <f>PROPER(TEXT(tbLOG[[#This Row],[DATA/HORA]],"dddd"))</f>
        <v>Sábado</v>
      </c>
      <c r="D2368" s="3" t="s">
        <v>297</v>
      </c>
      <c r="E2368" s="34" t="str">
        <f>IFERROR(VLOOKUP(tbLOG[[#This Row],[LOGIN]],tbMAPA[#All],2,0), "Não localizado")</f>
        <v>Ivanildo Cavalcante De Souza Junior</v>
      </c>
      <c r="F2368" s="34" t="str">
        <f>IFERROR(VLOOKUP(tbLOG[[#This Row],[LOGIN]],tbMAPA[#All],3,0), "Não localizado")</f>
        <v>Jefte Soares Da Silva</v>
      </c>
      <c r="G2368" s="3" t="s">
        <v>298</v>
      </c>
      <c r="H2368" s="3" t="s">
        <v>290</v>
      </c>
    </row>
    <row r="2369" spans="1:8">
      <c r="A2369" s="29">
        <v>42749.448113425926</v>
      </c>
      <c r="B2369" s="29" t="str">
        <f>PROPER(TEXT(tbLOG[[#This Row],[DATA/HORA]],"mmmm"))</f>
        <v>Janeiro</v>
      </c>
      <c r="C2369" s="34" t="str">
        <f>PROPER(TEXT(tbLOG[[#This Row],[DATA/HORA]],"dddd"))</f>
        <v>Sábado</v>
      </c>
      <c r="D2369" s="3" t="s">
        <v>297</v>
      </c>
      <c r="E2369" s="34" t="str">
        <f>IFERROR(VLOOKUP(tbLOG[[#This Row],[LOGIN]],tbMAPA[#All],2,0), "Não localizado")</f>
        <v>Ivanildo Cavalcante De Souza Junior</v>
      </c>
      <c r="F2369" s="34" t="str">
        <f>IFERROR(VLOOKUP(tbLOG[[#This Row],[LOGIN]],tbMAPA[#All],3,0), "Não localizado")</f>
        <v>Jefte Soares Da Silva</v>
      </c>
      <c r="G2369" s="3" t="s">
        <v>298</v>
      </c>
      <c r="H2369" s="3" t="s">
        <v>331</v>
      </c>
    </row>
    <row r="2370" spans="1:8">
      <c r="A2370" s="29">
        <v>42749.448553240742</v>
      </c>
      <c r="B2370" s="29" t="str">
        <f>PROPER(TEXT(tbLOG[[#This Row],[DATA/HORA]],"mmmm"))</f>
        <v>Janeiro</v>
      </c>
      <c r="C2370" s="34" t="str">
        <f>PROPER(TEXT(tbLOG[[#This Row],[DATA/HORA]],"dddd"))</f>
        <v>Sábado</v>
      </c>
      <c r="D2370" s="3" t="s">
        <v>297</v>
      </c>
      <c r="E2370" s="34" t="str">
        <f>IFERROR(VLOOKUP(tbLOG[[#This Row],[LOGIN]],tbMAPA[#All],2,0), "Não localizado")</f>
        <v>Ivanildo Cavalcante De Souza Junior</v>
      </c>
      <c r="F2370" s="34" t="str">
        <f>IFERROR(VLOOKUP(tbLOG[[#This Row],[LOGIN]],tbMAPA[#All],3,0), "Não localizado")</f>
        <v>Jefte Soares Da Silva</v>
      </c>
      <c r="G2370" s="3" t="s">
        <v>298</v>
      </c>
      <c r="H2370" s="3" t="s">
        <v>836</v>
      </c>
    </row>
    <row r="2371" spans="1:8">
      <c r="A2371" s="29">
        <v>42749.448738425926</v>
      </c>
      <c r="B2371" s="29" t="str">
        <f>PROPER(TEXT(tbLOG[[#This Row],[DATA/HORA]],"mmmm"))</f>
        <v>Janeiro</v>
      </c>
      <c r="C2371" s="34" t="str">
        <f>PROPER(TEXT(tbLOG[[#This Row],[DATA/HORA]],"dddd"))</f>
        <v>Sábado</v>
      </c>
      <c r="D2371" s="3" t="s">
        <v>297</v>
      </c>
      <c r="E2371" s="34" t="str">
        <f>IFERROR(VLOOKUP(tbLOG[[#This Row],[LOGIN]],tbMAPA[#All],2,0), "Não localizado")</f>
        <v>Ivanildo Cavalcante De Souza Junior</v>
      </c>
      <c r="F2371" s="34" t="str">
        <f>IFERROR(VLOOKUP(tbLOG[[#This Row],[LOGIN]],tbMAPA[#All],3,0), "Não localizado")</f>
        <v>Jefte Soares Da Silva</v>
      </c>
      <c r="G2371" s="3" t="s">
        <v>298</v>
      </c>
      <c r="H2371" s="3" t="s">
        <v>836</v>
      </c>
    </row>
    <row r="2372" spans="1:8">
      <c r="A2372" s="29">
        <v>42749.448761574073</v>
      </c>
      <c r="B2372" s="29" t="str">
        <f>PROPER(TEXT(tbLOG[[#This Row],[DATA/HORA]],"mmmm"))</f>
        <v>Janeiro</v>
      </c>
      <c r="C2372" s="34" t="str">
        <f>PROPER(TEXT(tbLOG[[#This Row],[DATA/HORA]],"dddd"))</f>
        <v>Sábado</v>
      </c>
      <c r="D2372" s="3" t="s">
        <v>297</v>
      </c>
      <c r="E2372" s="34" t="str">
        <f>IFERROR(VLOOKUP(tbLOG[[#This Row],[LOGIN]],tbMAPA[#All],2,0), "Não localizado")</f>
        <v>Ivanildo Cavalcante De Souza Junior</v>
      </c>
      <c r="F2372" s="34" t="str">
        <f>IFERROR(VLOOKUP(tbLOG[[#This Row],[LOGIN]],tbMAPA[#All],3,0), "Não localizado")</f>
        <v>Jefte Soares Da Silva</v>
      </c>
      <c r="G2372" s="3" t="s">
        <v>298</v>
      </c>
      <c r="H2372" s="3" t="s">
        <v>836</v>
      </c>
    </row>
    <row r="2373" spans="1:8">
      <c r="A2373" s="29">
        <v>42749.448796296296</v>
      </c>
      <c r="B2373" s="29" t="str">
        <f>PROPER(TEXT(tbLOG[[#This Row],[DATA/HORA]],"mmmm"))</f>
        <v>Janeiro</v>
      </c>
      <c r="C2373" s="34" t="str">
        <f>PROPER(TEXT(tbLOG[[#This Row],[DATA/HORA]],"dddd"))</f>
        <v>Sábado</v>
      </c>
      <c r="D2373" s="3" t="s">
        <v>297</v>
      </c>
      <c r="E2373" s="34" t="str">
        <f>IFERROR(VLOOKUP(tbLOG[[#This Row],[LOGIN]],tbMAPA[#All],2,0), "Não localizado")</f>
        <v>Ivanildo Cavalcante De Souza Junior</v>
      </c>
      <c r="F2373" s="34" t="str">
        <f>IFERROR(VLOOKUP(tbLOG[[#This Row],[LOGIN]],tbMAPA[#All],3,0), "Não localizado")</f>
        <v>Jefte Soares Da Silva</v>
      </c>
      <c r="G2373" s="3" t="s">
        <v>298</v>
      </c>
      <c r="H2373" s="3" t="s">
        <v>836</v>
      </c>
    </row>
    <row r="2374" spans="1:8">
      <c r="A2374" s="29">
        <v>42749.448923611111</v>
      </c>
      <c r="B2374" s="29" t="str">
        <f>PROPER(TEXT(tbLOG[[#This Row],[DATA/HORA]],"mmmm"))</f>
        <v>Janeiro</v>
      </c>
      <c r="C2374" s="34" t="str">
        <f>PROPER(TEXT(tbLOG[[#This Row],[DATA/HORA]],"dddd"))</f>
        <v>Sábado</v>
      </c>
      <c r="D2374" s="3" t="s">
        <v>297</v>
      </c>
      <c r="E2374" s="34" t="str">
        <f>IFERROR(VLOOKUP(tbLOG[[#This Row],[LOGIN]],tbMAPA[#All],2,0), "Não localizado")</f>
        <v>Ivanildo Cavalcante De Souza Junior</v>
      </c>
      <c r="F2374" s="34" t="str">
        <f>IFERROR(VLOOKUP(tbLOG[[#This Row],[LOGIN]],tbMAPA[#All],3,0), "Não localizado")</f>
        <v>Jefte Soares Da Silva</v>
      </c>
      <c r="G2374" s="3" t="s">
        <v>298</v>
      </c>
      <c r="H2374" s="3" t="s">
        <v>836</v>
      </c>
    </row>
    <row r="2375" spans="1:8">
      <c r="A2375" s="29">
        <v>42749.448958333334</v>
      </c>
      <c r="B2375" s="29" t="str">
        <f>PROPER(TEXT(tbLOG[[#This Row],[DATA/HORA]],"mmmm"))</f>
        <v>Janeiro</v>
      </c>
      <c r="C2375" s="34" t="str">
        <f>PROPER(TEXT(tbLOG[[#This Row],[DATA/HORA]],"dddd"))</f>
        <v>Sábado</v>
      </c>
      <c r="D2375" s="3" t="s">
        <v>297</v>
      </c>
      <c r="E2375" s="34" t="str">
        <f>IFERROR(VLOOKUP(tbLOG[[#This Row],[LOGIN]],tbMAPA[#All],2,0), "Não localizado")</f>
        <v>Ivanildo Cavalcante De Souza Junior</v>
      </c>
      <c r="F2375" s="34" t="str">
        <f>IFERROR(VLOOKUP(tbLOG[[#This Row],[LOGIN]],tbMAPA[#All],3,0), "Não localizado")</f>
        <v>Jefte Soares Da Silva</v>
      </c>
      <c r="G2375" s="3" t="s">
        <v>298</v>
      </c>
      <c r="H2375" s="3" t="s">
        <v>836</v>
      </c>
    </row>
    <row r="2376" spans="1:8">
      <c r="A2376" s="29">
        <v>42749.449004629627</v>
      </c>
      <c r="B2376" s="29" t="str">
        <f>PROPER(TEXT(tbLOG[[#This Row],[DATA/HORA]],"mmmm"))</f>
        <v>Janeiro</v>
      </c>
      <c r="C2376" s="34" t="str">
        <f>PROPER(TEXT(tbLOG[[#This Row],[DATA/HORA]],"dddd"))</f>
        <v>Sábado</v>
      </c>
      <c r="D2376" s="3" t="s">
        <v>297</v>
      </c>
      <c r="E2376" s="34" t="str">
        <f>IFERROR(VLOOKUP(tbLOG[[#This Row],[LOGIN]],tbMAPA[#All],2,0), "Não localizado")</f>
        <v>Ivanildo Cavalcante De Souza Junior</v>
      </c>
      <c r="F2376" s="34" t="str">
        <f>IFERROR(VLOOKUP(tbLOG[[#This Row],[LOGIN]],tbMAPA[#All],3,0), "Não localizado")</f>
        <v>Jefte Soares Da Silva</v>
      </c>
      <c r="G2376" s="3" t="s">
        <v>298</v>
      </c>
      <c r="H2376" s="3" t="s">
        <v>836</v>
      </c>
    </row>
    <row r="2377" spans="1:8">
      <c r="A2377" s="29">
        <v>42749.449120370373</v>
      </c>
      <c r="B2377" s="29" t="str">
        <f>PROPER(TEXT(tbLOG[[#This Row],[DATA/HORA]],"mmmm"))</f>
        <v>Janeiro</v>
      </c>
      <c r="C2377" s="34" t="str">
        <f>PROPER(TEXT(tbLOG[[#This Row],[DATA/HORA]],"dddd"))</f>
        <v>Sábado</v>
      </c>
      <c r="D2377" s="3" t="s">
        <v>297</v>
      </c>
      <c r="E2377" s="34" t="str">
        <f>IFERROR(VLOOKUP(tbLOG[[#This Row],[LOGIN]],tbMAPA[#All],2,0), "Não localizado")</f>
        <v>Ivanildo Cavalcante De Souza Junior</v>
      </c>
      <c r="F2377" s="34" t="str">
        <f>IFERROR(VLOOKUP(tbLOG[[#This Row],[LOGIN]],tbMAPA[#All],3,0), "Não localizado")</f>
        <v>Jefte Soares Da Silva</v>
      </c>
      <c r="G2377" s="3" t="s">
        <v>298</v>
      </c>
      <c r="H2377" s="3" t="s">
        <v>836</v>
      </c>
    </row>
    <row r="2378" spans="1:8">
      <c r="A2378" s="29">
        <v>42749.449131944442</v>
      </c>
      <c r="B2378" s="29" t="str">
        <f>PROPER(TEXT(tbLOG[[#This Row],[DATA/HORA]],"mmmm"))</f>
        <v>Janeiro</v>
      </c>
      <c r="C2378" s="34" t="str">
        <f>PROPER(TEXT(tbLOG[[#This Row],[DATA/HORA]],"dddd"))</f>
        <v>Sábado</v>
      </c>
      <c r="D2378" s="3" t="s">
        <v>297</v>
      </c>
      <c r="E2378" s="34" t="str">
        <f>IFERROR(VLOOKUP(tbLOG[[#This Row],[LOGIN]],tbMAPA[#All],2,0), "Não localizado")</f>
        <v>Ivanildo Cavalcante De Souza Junior</v>
      </c>
      <c r="F2378" s="34" t="str">
        <f>IFERROR(VLOOKUP(tbLOG[[#This Row],[LOGIN]],tbMAPA[#All],3,0), "Não localizado")</f>
        <v>Jefte Soares Da Silva</v>
      </c>
      <c r="G2378" s="3" t="s">
        <v>298</v>
      </c>
      <c r="H2378" s="3" t="s">
        <v>836</v>
      </c>
    </row>
    <row r="2379" spans="1:8">
      <c r="A2379" s="29">
        <v>42749.449328703704</v>
      </c>
      <c r="B2379" s="29" t="str">
        <f>PROPER(TEXT(tbLOG[[#This Row],[DATA/HORA]],"mmmm"))</f>
        <v>Janeiro</v>
      </c>
      <c r="C2379" s="34" t="str">
        <f>PROPER(TEXT(tbLOG[[#This Row],[DATA/HORA]],"dddd"))</f>
        <v>Sábado</v>
      </c>
      <c r="D2379" s="3" t="s">
        <v>297</v>
      </c>
      <c r="E2379" s="34" t="str">
        <f>IFERROR(VLOOKUP(tbLOG[[#This Row],[LOGIN]],tbMAPA[#All],2,0), "Não localizado")</f>
        <v>Ivanildo Cavalcante De Souza Junior</v>
      </c>
      <c r="F2379" s="34" t="str">
        <f>IFERROR(VLOOKUP(tbLOG[[#This Row],[LOGIN]],tbMAPA[#All],3,0), "Não localizado")</f>
        <v>Jefte Soares Da Silva</v>
      </c>
      <c r="G2379" s="3" t="s">
        <v>298</v>
      </c>
      <c r="H2379" s="3" t="s">
        <v>836</v>
      </c>
    </row>
    <row r="2380" spans="1:8">
      <c r="A2380" s="29">
        <v>42749.44976851852</v>
      </c>
      <c r="B2380" s="29" t="str">
        <f>PROPER(TEXT(tbLOG[[#This Row],[DATA/HORA]],"mmmm"))</f>
        <v>Janeiro</v>
      </c>
      <c r="C2380" s="34" t="str">
        <f>PROPER(TEXT(tbLOG[[#This Row],[DATA/HORA]],"dddd"))</f>
        <v>Sábado</v>
      </c>
      <c r="D2380" s="3" t="s">
        <v>297</v>
      </c>
      <c r="E2380" s="34" t="str">
        <f>IFERROR(VLOOKUP(tbLOG[[#This Row],[LOGIN]],tbMAPA[#All],2,0), "Não localizado")</f>
        <v>Ivanildo Cavalcante De Souza Junior</v>
      </c>
      <c r="F2380" s="34" t="str">
        <f>IFERROR(VLOOKUP(tbLOG[[#This Row],[LOGIN]],tbMAPA[#All],3,0), "Não localizado")</f>
        <v>Jefte Soares Da Silva</v>
      </c>
      <c r="G2380" s="3" t="s">
        <v>298</v>
      </c>
      <c r="H2380" s="3" t="s">
        <v>836</v>
      </c>
    </row>
    <row r="2381" spans="1:8">
      <c r="A2381" s="29">
        <v>42749.449791666666</v>
      </c>
      <c r="B2381" s="29" t="str">
        <f>PROPER(TEXT(tbLOG[[#This Row],[DATA/HORA]],"mmmm"))</f>
        <v>Janeiro</v>
      </c>
      <c r="C2381" s="34" t="str">
        <f>PROPER(TEXT(tbLOG[[#This Row],[DATA/HORA]],"dddd"))</f>
        <v>Sábado</v>
      </c>
      <c r="D2381" s="3" t="s">
        <v>297</v>
      </c>
      <c r="E2381" s="34" t="str">
        <f>IFERROR(VLOOKUP(tbLOG[[#This Row],[LOGIN]],tbMAPA[#All],2,0), "Não localizado")</f>
        <v>Ivanildo Cavalcante De Souza Junior</v>
      </c>
      <c r="F2381" s="34" t="str">
        <f>IFERROR(VLOOKUP(tbLOG[[#This Row],[LOGIN]],tbMAPA[#All],3,0), "Não localizado")</f>
        <v>Jefte Soares Da Silva</v>
      </c>
      <c r="G2381" s="3" t="s">
        <v>298</v>
      </c>
      <c r="H2381" s="3" t="s">
        <v>290</v>
      </c>
    </row>
    <row r="2382" spans="1:8">
      <c r="A2382" s="29">
        <v>42749.449884259258</v>
      </c>
      <c r="B2382" s="29" t="str">
        <f>PROPER(TEXT(tbLOG[[#This Row],[DATA/HORA]],"mmmm"))</f>
        <v>Janeiro</v>
      </c>
      <c r="C2382" s="34" t="str">
        <f>PROPER(TEXT(tbLOG[[#This Row],[DATA/HORA]],"dddd"))</f>
        <v>Sábado</v>
      </c>
      <c r="D2382" s="3" t="s">
        <v>297</v>
      </c>
      <c r="E2382" s="34" t="str">
        <f>IFERROR(VLOOKUP(tbLOG[[#This Row],[LOGIN]],tbMAPA[#All],2,0), "Não localizado")</f>
        <v>Ivanildo Cavalcante De Souza Junior</v>
      </c>
      <c r="F2382" s="34" t="str">
        <f>IFERROR(VLOOKUP(tbLOG[[#This Row],[LOGIN]],tbMAPA[#All],3,0), "Não localizado")</f>
        <v>Jefte Soares Da Silva</v>
      </c>
      <c r="G2382" s="3" t="s">
        <v>298</v>
      </c>
      <c r="H2382" s="3" t="s">
        <v>291</v>
      </c>
    </row>
    <row r="2383" spans="1:8">
      <c r="A2383" s="29">
        <v>42749.449895833335</v>
      </c>
      <c r="B2383" s="29" t="str">
        <f>PROPER(TEXT(tbLOG[[#This Row],[DATA/HORA]],"mmmm"))</f>
        <v>Janeiro</v>
      </c>
      <c r="C2383" s="34" t="str">
        <f>PROPER(TEXT(tbLOG[[#This Row],[DATA/HORA]],"dddd"))</f>
        <v>Sábado</v>
      </c>
      <c r="D2383" s="3" t="s">
        <v>297</v>
      </c>
      <c r="E2383" s="34" t="str">
        <f>IFERROR(VLOOKUP(tbLOG[[#This Row],[LOGIN]],tbMAPA[#All],2,0), "Não localizado")</f>
        <v>Ivanildo Cavalcante De Souza Junior</v>
      </c>
      <c r="F2383" s="34" t="str">
        <f>IFERROR(VLOOKUP(tbLOG[[#This Row],[LOGIN]],tbMAPA[#All],3,0), "Não localizado")</f>
        <v>Jefte Soares Da Silva</v>
      </c>
      <c r="G2383" s="3" t="s">
        <v>298</v>
      </c>
      <c r="H2383" s="3" t="s">
        <v>290</v>
      </c>
    </row>
    <row r="2384" spans="1:8">
      <c r="A2384" s="29">
        <v>42749.453761574077</v>
      </c>
      <c r="B2384" s="29" t="str">
        <f>PROPER(TEXT(tbLOG[[#This Row],[DATA/HORA]],"mmmm"))</f>
        <v>Janeiro</v>
      </c>
      <c r="C2384" s="34" t="str">
        <f>PROPER(TEXT(tbLOG[[#This Row],[DATA/HORA]],"dddd"))</f>
        <v>Sábado</v>
      </c>
      <c r="D2384" s="3" t="s">
        <v>696</v>
      </c>
      <c r="E2384" s="34" t="str">
        <f>IFERROR(VLOOKUP(tbLOG[[#This Row],[LOGIN]],tbMAPA[#All],2,0), "Não localizado")</f>
        <v>Denyse Souza Santos</v>
      </c>
      <c r="F2384" s="34" t="str">
        <f>IFERROR(VLOOKUP(tbLOG[[#This Row],[LOGIN]],tbMAPA[#All],3,0), "Não localizado")</f>
        <v>Jefte Soares Da Silva</v>
      </c>
      <c r="G2384" s="3" t="s">
        <v>1587</v>
      </c>
      <c r="H2384" s="3" t="s">
        <v>320</v>
      </c>
    </row>
    <row r="2385" spans="1:8">
      <c r="A2385" s="29">
        <v>42749.453761574077</v>
      </c>
      <c r="B2385" s="29" t="str">
        <f>PROPER(TEXT(tbLOG[[#This Row],[DATA/HORA]],"mmmm"))</f>
        <v>Janeiro</v>
      </c>
      <c r="C2385" s="34" t="str">
        <f>PROPER(TEXT(tbLOG[[#This Row],[DATA/HORA]],"dddd"))</f>
        <v>Sábado</v>
      </c>
      <c r="D2385" s="3" t="s">
        <v>696</v>
      </c>
      <c r="E2385" s="34" t="str">
        <f>IFERROR(VLOOKUP(tbLOG[[#This Row],[LOGIN]],tbMAPA[#All],2,0), "Não localizado")</f>
        <v>Denyse Souza Santos</v>
      </c>
      <c r="F2385" s="34" t="str">
        <f>IFERROR(VLOOKUP(tbLOG[[#This Row],[LOGIN]],tbMAPA[#All],3,0), "Não localizado")</f>
        <v>Jefte Soares Da Silva</v>
      </c>
      <c r="G2385" s="3" t="s">
        <v>1587</v>
      </c>
      <c r="H2385" s="3" t="s">
        <v>290</v>
      </c>
    </row>
    <row r="2386" spans="1:8">
      <c r="A2386" s="29">
        <v>42749.454409722224</v>
      </c>
      <c r="B2386" s="29" t="str">
        <f>PROPER(TEXT(tbLOG[[#This Row],[DATA/HORA]],"mmmm"))</f>
        <v>Janeiro</v>
      </c>
      <c r="C2386" s="34" t="str">
        <f>PROPER(TEXT(tbLOG[[#This Row],[DATA/HORA]],"dddd"))</f>
        <v>Sábado</v>
      </c>
      <c r="D2386" s="3" t="s">
        <v>297</v>
      </c>
      <c r="E2386" s="34" t="str">
        <f>IFERROR(VLOOKUP(tbLOG[[#This Row],[LOGIN]],tbMAPA[#All],2,0), "Não localizado")</f>
        <v>Ivanildo Cavalcante De Souza Junior</v>
      </c>
      <c r="F2386" s="34" t="str">
        <f>IFERROR(VLOOKUP(tbLOG[[#This Row],[LOGIN]],tbMAPA[#All],3,0), "Não localizado")</f>
        <v>Jefte Soares Da Silva</v>
      </c>
      <c r="G2386" s="3" t="s">
        <v>298</v>
      </c>
      <c r="H2386" s="3" t="s">
        <v>292</v>
      </c>
    </row>
    <row r="2387" spans="1:8">
      <c r="A2387" s="29">
        <v>42749.454409722224</v>
      </c>
      <c r="B2387" s="29" t="str">
        <f>PROPER(TEXT(tbLOG[[#This Row],[DATA/HORA]],"mmmm"))</f>
        <v>Janeiro</v>
      </c>
      <c r="C2387" s="34" t="str">
        <f>PROPER(TEXT(tbLOG[[#This Row],[DATA/HORA]],"dddd"))</f>
        <v>Sábado</v>
      </c>
      <c r="D2387" s="3" t="s">
        <v>297</v>
      </c>
      <c r="E2387" s="34" t="str">
        <f>IFERROR(VLOOKUP(tbLOG[[#This Row],[LOGIN]],tbMAPA[#All],2,0), "Não localizado")</f>
        <v>Ivanildo Cavalcante De Souza Junior</v>
      </c>
      <c r="F2387" s="34" t="str">
        <f>IFERROR(VLOOKUP(tbLOG[[#This Row],[LOGIN]],tbMAPA[#All],3,0), "Não localizado")</f>
        <v>Jefte Soares Da Silva</v>
      </c>
      <c r="G2387" s="3" t="s">
        <v>298</v>
      </c>
      <c r="H2387" s="3" t="s">
        <v>994</v>
      </c>
    </row>
    <row r="2388" spans="1:8">
      <c r="A2388" s="29">
        <v>42749.454699074071</v>
      </c>
      <c r="B2388" s="29" t="str">
        <f>PROPER(TEXT(tbLOG[[#This Row],[DATA/HORA]],"mmmm"))</f>
        <v>Janeiro</v>
      </c>
      <c r="C2388" s="34" t="str">
        <f>PROPER(TEXT(tbLOG[[#This Row],[DATA/HORA]],"dddd"))</f>
        <v>Sábado</v>
      </c>
      <c r="D2388" s="3" t="s">
        <v>297</v>
      </c>
      <c r="E2388" s="34" t="str">
        <f>IFERROR(VLOOKUP(tbLOG[[#This Row],[LOGIN]],tbMAPA[#All],2,0), "Não localizado")</f>
        <v>Ivanildo Cavalcante De Souza Junior</v>
      </c>
      <c r="F2388" s="34" t="str">
        <f>IFERROR(VLOOKUP(tbLOG[[#This Row],[LOGIN]],tbMAPA[#All],3,0), "Não localizado")</f>
        <v>Jefte Soares Da Silva</v>
      </c>
      <c r="G2388" s="3" t="s">
        <v>298</v>
      </c>
      <c r="H2388" s="3" t="s">
        <v>290</v>
      </c>
    </row>
    <row r="2389" spans="1:8">
      <c r="A2389" s="29">
        <v>42749.454722222225</v>
      </c>
      <c r="B2389" s="29" t="str">
        <f>PROPER(TEXT(tbLOG[[#This Row],[DATA/HORA]],"mmmm"))</f>
        <v>Janeiro</v>
      </c>
      <c r="C2389" s="34" t="str">
        <f>PROPER(TEXT(tbLOG[[#This Row],[DATA/HORA]],"dddd"))</f>
        <v>Sábado</v>
      </c>
      <c r="D2389" s="3" t="s">
        <v>297</v>
      </c>
      <c r="E2389" s="34" t="str">
        <f>IFERROR(VLOOKUP(tbLOG[[#This Row],[LOGIN]],tbMAPA[#All],2,0), "Não localizado")</f>
        <v>Ivanildo Cavalcante De Souza Junior</v>
      </c>
      <c r="F2389" s="34" t="str">
        <f>IFERROR(VLOOKUP(tbLOG[[#This Row],[LOGIN]],tbMAPA[#All],3,0), "Não localizado")</f>
        <v>Jefte Soares Da Silva</v>
      </c>
      <c r="G2389" s="3" t="s">
        <v>298</v>
      </c>
      <c r="H2389" s="3" t="s">
        <v>291</v>
      </c>
    </row>
    <row r="2390" spans="1:8">
      <c r="A2390" s="29">
        <v>42749.454722222225</v>
      </c>
      <c r="B2390" s="29" t="str">
        <f>PROPER(TEXT(tbLOG[[#This Row],[DATA/HORA]],"mmmm"))</f>
        <v>Janeiro</v>
      </c>
      <c r="C2390" s="34" t="str">
        <f>PROPER(TEXT(tbLOG[[#This Row],[DATA/HORA]],"dddd"))</f>
        <v>Sábado</v>
      </c>
      <c r="D2390" s="3" t="s">
        <v>297</v>
      </c>
      <c r="E2390" s="34" t="str">
        <f>IFERROR(VLOOKUP(tbLOG[[#This Row],[LOGIN]],tbMAPA[#All],2,0), "Não localizado")</f>
        <v>Ivanildo Cavalcante De Souza Junior</v>
      </c>
      <c r="F2390" s="34" t="str">
        <f>IFERROR(VLOOKUP(tbLOG[[#This Row],[LOGIN]],tbMAPA[#All],3,0), "Não localizado")</f>
        <v>Jefte Soares Da Silva</v>
      </c>
      <c r="G2390" s="3" t="s">
        <v>298</v>
      </c>
      <c r="H2390" s="3" t="s">
        <v>290</v>
      </c>
    </row>
    <row r="2391" spans="1:8">
      <c r="A2391" s="29">
        <v>42749.455023148148</v>
      </c>
      <c r="B2391" s="29" t="str">
        <f>PROPER(TEXT(tbLOG[[#This Row],[DATA/HORA]],"mmmm"))</f>
        <v>Janeiro</v>
      </c>
      <c r="C2391" s="34" t="str">
        <f>PROPER(TEXT(tbLOG[[#This Row],[DATA/HORA]],"dddd"))</f>
        <v>Sábado</v>
      </c>
      <c r="D2391" s="3" t="s">
        <v>696</v>
      </c>
      <c r="E2391" s="34" t="str">
        <f>IFERROR(VLOOKUP(tbLOG[[#This Row],[LOGIN]],tbMAPA[#All],2,0), "Não localizado")</f>
        <v>Denyse Souza Santos</v>
      </c>
      <c r="F2391" s="34" t="str">
        <f>IFERROR(VLOOKUP(tbLOG[[#This Row],[LOGIN]],tbMAPA[#All],3,0), "Não localizado")</f>
        <v>Jefte Soares Da Silva</v>
      </c>
      <c r="G2391" s="3" t="s">
        <v>1587</v>
      </c>
      <c r="H2391" s="3" t="s">
        <v>994</v>
      </c>
    </row>
    <row r="2392" spans="1:8">
      <c r="A2392" s="29">
        <v>42749.455243055556</v>
      </c>
      <c r="B2392" s="29" t="str">
        <f>PROPER(TEXT(tbLOG[[#This Row],[DATA/HORA]],"mmmm"))</f>
        <v>Janeiro</v>
      </c>
      <c r="C2392" s="34" t="str">
        <f>PROPER(TEXT(tbLOG[[#This Row],[DATA/HORA]],"dddd"))</f>
        <v>Sábado</v>
      </c>
      <c r="D2392" s="3" t="s">
        <v>696</v>
      </c>
      <c r="E2392" s="34" t="str">
        <f>IFERROR(VLOOKUP(tbLOG[[#This Row],[LOGIN]],tbMAPA[#All],2,0), "Não localizado")</f>
        <v>Denyse Souza Santos</v>
      </c>
      <c r="F2392" s="34" t="str">
        <f>IFERROR(VLOOKUP(tbLOG[[#This Row],[LOGIN]],tbMAPA[#All],3,0), "Não localizado")</f>
        <v>Jefte Soares Da Silva</v>
      </c>
      <c r="G2392" s="3" t="s">
        <v>1587</v>
      </c>
      <c r="H2392" s="3" t="s">
        <v>291</v>
      </c>
    </row>
    <row r="2393" spans="1:8">
      <c r="A2393" s="29">
        <v>42749.455243055556</v>
      </c>
      <c r="B2393" s="29" t="str">
        <f>PROPER(TEXT(tbLOG[[#This Row],[DATA/HORA]],"mmmm"))</f>
        <v>Janeiro</v>
      </c>
      <c r="C2393" s="34" t="str">
        <f>PROPER(TEXT(tbLOG[[#This Row],[DATA/HORA]],"dddd"))</f>
        <v>Sábado</v>
      </c>
      <c r="D2393" s="3" t="s">
        <v>696</v>
      </c>
      <c r="E2393" s="34" t="str">
        <f>IFERROR(VLOOKUP(tbLOG[[#This Row],[LOGIN]],tbMAPA[#All],2,0), "Não localizado")</f>
        <v>Denyse Souza Santos</v>
      </c>
      <c r="F2393" s="34" t="str">
        <f>IFERROR(VLOOKUP(tbLOG[[#This Row],[LOGIN]],tbMAPA[#All],3,0), "Não localizado")</f>
        <v>Jefte Soares Da Silva</v>
      </c>
      <c r="G2393" s="3" t="s">
        <v>1587</v>
      </c>
      <c r="H2393" s="3" t="s">
        <v>290</v>
      </c>
    </row>
    <row r="2394" spans="1:8">
      <c r="A2394" s="29">
        <v>42749.455370370371</v>
      </c>
      <c r="B2394" s="29" t="str">
        <f>PROPER(TEXT(tbLOG[[#This Row],[DATA/HORA]],"mmmm"))</f>
        <v>Janeiro</v>
      </c>
      <c r="C2394" s="34" t="str">
        <f>PROPER(TEXT(tbLOG[[#This Row],[DATA/HORA]],"dddd"))</f>
        <v>Sábado</v>
      </c>
      <c r="D2394" s="3" t="s">
        <v>696</v>
      </c>
      <c r="E2394" s="34" t="str">
        <f>IFERROR(VLOOKUP(tbLOG[[#This Row],[LOGIN]],tbMAPA[#All],2,0), "Não localizado")</f>
        <v>Denyse Souza Santos</v>
      </c>
      <c r="F2394" s="34" t="str">
        <f>IFERROR(VLOOKUP(tbLOG[[#This Row],[LOGIN]],tbMAPA[#All],3,0), "Não localizado")</f>
        <v>Jefte Soares Da Silva</v>
      </c>
      <c r="G2394" s="3" t="s">
        <v>1587</v>
      </c>
      <c r="H2394" s="3" t="s">
        <v>994</v>
      </c>
    </row>
    <row r="2395" spans="1:8">
      <c r="A2395" s="29">
        <v>42749.456006944441</v>
      </c>
      <c r="B2395" s="29" t="str">
        <f>PROPER(TEXT(tbLOG[[#This Row],[DATA/HORA]],"mmmm"))</f>
        <v>Janeiro</v>
      </c>
      <c r="C2395" s="34" t="str">
        <f>PROPER(TEXT(tbLOG[[#This Row],[DATA/HORA]],"dddd"))</f>
        <v>Sábado</v>
      </c>
      <c r="D2395" s="3" t="s">
        <v>696</v>
      </c>
      <c r="E2395" s="34" t="str">
        <f>IFERROR(VLOOKUP(tbLOG[[#This Row],[LOGIN]],tbMAPA[#All],2,0), "Não localizado")</f>
        <v>Denyse Souza Santos</v>
      </c>
      <c r="F2395" s="34" t="str">
        <f>IFERROR(VLOOKUP(tbLOG[[#This Row],[LOGIN]],tbMAPA[#All],3,0), "Não localizado")</f>
        <v>Jefte Soares Da Silva</v>
      </c>
      <c r="G2395" s="3" t="s">
        <v>1587</v>
      </c>
      <c r="H2395" s="3" t="s">
        <v>291</v>
      </c>
    </row>
    <row r="2396" spans="1:8">
      <c r="A2396" s="29">
        <v>42749.456018518518</v>
      </c>
      <c r="B2396" s="29" t="str">
        <f>PROPER(TEXT(tbLOG[[#This Row],[DATA/HORA]],"mmmm"))</f>
        <v>Janeiro</v>
      </c>
      <c r="C2396" s="34" t="str">
        <f>PROPER(TEXT(tbLOG[[#This Row],[DATA/HORA]],"dddd"))</f>
        <v>Sábado</v>
      </c>
      <c r="D2396" s="3" t="s">
        <v>696</v>
      </c>
      <c r="E2396" s="34" t="str">
        <f>IFERROR(VLOOKUP(tbLOG[[#This Row],[LOGIN]],tbMAPA[#All],2,0), "Não localizado")</f>
        <v>Denyse Souza Santos</v>
      </c>
      <c r="F2396" s="34" t="str">
        <f>IFERROR(VLOOKUP(tbLOG[[#This Row],[LOGIN]],tbMAPA[#All],3,0), "Não localizado")</f>
        <v>Jefte Soares Da Silva</v>
      </c>
      <c r="G2396" s="3" t="s">
        <v>1587</v>
      </c>
      <c r="H2396" s="3" t="s">
        <v>290</v>
      </c>
    </row>
    <row r="2397" spans="1:8">
      <c r="A2397" s="29">
        <v>42749.456099537034</v>
      </c>
      <c r="B2397" s="29" t="str">
        <f>PROPER(TEXT(tbLOG[[#This Row],[DATA/HORA]],"mmmm"))</f>
        <v>Janeiro</v>
      </c>
      <c r="C2397" s="34" t="str">
        <f>PROPER(TEXT(tbLOG[[#This Row],[DATA/HORA]],"dddd"))</f>
        <v>Sábado</v>
      </c>
      <c r="D2397" s="3" t="s">
        <v>297</v>
      </c>
      <c r="E2397" s="34" t="str">
        <f>IFERROR(VLOOKUP(tbLOG[[#This Row],[LOGIN]],tbMAPA[#All],2,0), "Não localizado")</f>
        <v>Ivanildo Cavalcante De Souza Junior</v>
      </c>
      <c r="F2397" s="34" t="str">
        <f>IFERROR(VLOOKUP(tbLOG[[#This Row],[LOGIN]],tbMAPA[#All],3,0), "Não localizado")</f>
        <v>Jefte Soares Da Silva</v>
      </c>
      <c r="G2397" s="3" t="s">
        <v>298</v>
      </c>
      <c r="H2397" s="3" t="s">
        <v>994</v>
      </c>
    </row>
    <row r="2398" spans="1:8">
      <c r="A2398" s="29">
        <v>42749.456516203703</v>
      </c>
      <c r="B2398" s="29" t="str">
        <f>PROPER(TEXT(tbLOG[[#This Row],[DATA/HORA]],"mmmm"))</f>
        <v>Janeiro</v>
      </c>
      <c r="C2398" s="34" t="str">
        <f>PROPER(TEXT(tbLOG[[#This Row],[DATA/HORA]],"dddd"))</f>
        <v>Sábado</v>
      </c>
      <c r="D2398" s="3" t="s">
        <v>297</v>
      </c>
      <c r="E2398" s="34" t="str">
        <f>IFERROR(VLOOKUP(tbLOG[[#This Row],[LOGIN]],tbMAPA[#All],2,0), "Não localizado")</f>
        <v>Ivanildo Cavalcante De Souza Junior</v>
      </c>
      <c r="F2398" s="34" t="str">
        <f>IFERROR(VLOOKUP(tbLOG[[#This Row],[LOGIN]],tbMAPA[#All],3,0), "Não localizado")</f>
        <v>Jefte Soares Da Silva</v>
      </c>
      <c r="G2398" s="3" t="s">
        <v>298</v>
      </c>
      <c r="H2398" s="3" t="s">
        <v>290</v>
      </c>
    </row>
    <row r="2399" spans="1:8">
      <c r="A2399" s="29">
        <v>42749.456550925926</v>
      </c>
      <c r="B2399" s="29" t="str">
        <f>PROPER(TEXT(tbLOG[[#This Row],[DATA/HORA]],"mmmm"))</f>
        <v>Janeiro</v>
      </c>
      <c r="C2399" s="34" t="str">
        <f>PROPER(TEXT(tbLOG[[#This Row],[DATA/HORA]],"dddd"))</f>
        <v>Sábado</v>
      </c>
      <c r="D2399" s="3" t="s">
        <v>297</v>
      </c>
      <c r="E2399" s="34" t="str">
        <f>IFERROR(VLOOKUP(tbLOG[[#This Row],[LOGIN]],tbMAPA[#All],2,0), "Não localizado")</f>
        <v>Ivanildo Cavalcante De Souza Junior</v>
      </c>
      <c r="F2399" s="34" t="str">
        <f>IFERROR(VLOOKUP(tbLOG[[#This Row],[LOGIN]],tbMAPA[#All],3,0), "Não localizado")</f>
        <v>Jefte Soares Da Silva</v>
      </c>
      <c r="G2399" s="3" t="s">
        <v>298</v>
      </c>
      <c r="H2399" s="3" t="s">
        <v>291</v>
      </c>
    </row>
    <row r="2400" spans="1:8">
      <c r="A2400" s="29">
        <v>42749.456550925926</v>
      </c>
      <c r="B2400" s="29" t="str">
        <f>PROPER(TEXT(tbLOG[[#This Row],[DATA/HORA]],"mmmm"))</f>
        <v>Janeiro</v>
      </c>
      <c r="C2400" s="34" t="str">
        <f>PROPER(TEXT(tbLOG[[#This Row],[DATA/HORA]],"dddd"))</f>
        <v>Sábado</v>
      </c>
      <c r="D2400" s="3" t="s">
        <v>297</v>
      </c>
      <c r="E2400" s="34" t="str">
        <f>IFERROR(VLOOKUP(tbLOG[[#This Row],[LOGIN]],tbMAPA[#All],2,0), "Não localizado")</f>
        <v>Ivanildo Cavalcante De Souza Junior</v>
      </c>
      <c r="F2400" s="34" t="str">
        <f>IFERROR(VLOOKUP(tbLOG[[#This Row],[LOGIN]],tbMAPA[#All],3,0), "Não localizado")</f>
        <v>Jefte Soares Da Silva</v>
      </c>
      <c r="G2400" s="3" t="s">
        <v>298</v>
      </c>
      <c r="H2400" s="3" t="s">
        <v>290</v>
      </c>
    </row>
    <row r="2401" spans="1:8">
      <c r="A2401" s="29">
        <v>42749.456712962965</v>
      </c>
      <c r="B2401" s="29" t="str">
        <f>PROPER(TEXT(tbLOG[[#This Row],[DATA/HORA]],"mmmm"))</f>
        <v>Janeiro</v>
      </c>
      <c r="C2401" s="34" t="str">
        <f>PROPER(TEXT(tbLOG[[#This Row],[DATA/HORA]],"dddd"))</f>
        <v>Sábado</v>
      </c>
      <c r="D2401" s="3" t="s">
        <v>696</v>
      </c>
      <c r="E2401" s="34" t="str">
        <f>IFERROR(VLOOKUP(tbLOG[[#This Row],[LOGIN]],tbMAPA[#All],2,0), "Não localizado")</f>
        <v>Denyse Souza Santos</v>
      </c>
      <c r="F2401" s="34" t="str">
        <f>IFERROR(VLOOKUP(tbLOG[[#This Row],[LOGIN]],tbMAPA[#All],3,0), "Não localizado")</f>
        <v>Jefte Soares Da Silva</v>
      </c>
      <c r="G2401" s="3" t="s">
        <v>1587</v>
      </c>
      <c r="H2401" s="3" t="s">
        <v>994</v>
      </c>
    </row>
    <row r="2402" spans="1:8">
      <c r="A2402" s="29">
        <v>42749.462407407409</v>
      </c>
      <c r="B2402" s="29" t="str">
        <f>PROPER(TEXT(tbLOG[[#This Row],[DATA/HORA]],"mmmm"))</f>
        <v>Janeiro</v>
      </c>
      <c r="C2402" s="34" t="str">
        <f>PROPER(TEXT(tbLOG[[#This Row],[DATA/HORA]],"dddd"))</f>
        <v>Sábado</v>
      </c>
      <c r="D2402" s="3" t="s">
        <v>696</v>
      </c>
      <c r="E2402" s="34" t="str">
        <f>IFERROR(VLOOKUP(tbLOG[[#This Row],[LOGIN]],tbMAPA[#All],2,0), "Não localizado")</f>
        <v>Denyse Souza Santos</v>
      </c>
      <c r="F2402" s="34" t="str">
        <f>IFERROR(VLOOKUP(tbLOG[[#This Row],[LOGIN]],tbMAPA[#All],3,0), "Não localizado")</f>
        <v>Jefte Soares Da Silva</v>
      </c>
      <c r="G2402" s="3" t="s">
        <v>1587</v>
      </c>
      <c r="H2402" s="3" t="s">
        <v>836</v>
      </c>
    </row>
    <row r="2403" spans="1:8">
      <c r="A2403" s="29">
        <v>42749.462488425925</v>
      </c>
      <c r="B2403" s="29" t="str">
        <f>PROPER(TEXT(tbLOG[[#This Row],[DATA/HORA]],"mmmm"))</f>
        <v>Janeiro</v>
      </c>
      <c r="C2403" s="34" t="str">
        <f>PROPER(TEXT(tbLOG[[#This Row],[DATA/HORA]],"dddd"))</f>
        <v>Sábado</v>
      </c>
      <c r="D2403" s="3" t="s">
        <v>696</v>
      </c>
      <c r="E2403" s="34" t="str">
        <f>IFERROR(VLOOKUP(tbLOG[[#This Row],[LOGIN]],tbMAPA[#All],2,0), "Não localizado")</f>
        <v>Denyse Souza Santos</v>
      </c>
      <c r="F2403" s="34" t="str">
        <f>IFERROR(VLOOKUP(tbLOG[[#This Row],[LOGIN]],tbMAPA[#All],3,0), "Não localizado")</f>
        <v>Jefte Soares Da Silva</v>
      </c>
      <c r="G2403" s="3" t="s">
        <v>1587</v>
      </c>
      <c r="H2403" s="3" t="s">
        <v>836</v>
      </c>
    </row>
    <row r="2404" spans="1:8">
      <c r="A2404" s="29">
        <v>42749.462511574071</v>
      </c>
      <c r="B2404" s="29" t="str">
        <f>PROPER(TEXT(tbLOG[[#This Row],[DATA/HORA]],"mmmm"))</f>
        <v>Janeiro</v>
      </c>
      <c r="C2404" s="34" t="str">
        <f>PROPER(TEXT(tbLOG[[#This Row],[DATA/HORA]],"dddd"))</f>
        <v>Sábado</v>
      </c>
      <c r="D2404" s="3" t="s">
        <v>696</v>
      </c>
      <c r="E2404" s="34" t="str">
        <f>IFERROR(VLOOKUP(tbLOG[[#This Row],[LOGIN]],tbMAPA[#All],2,0), "Não localizado")</f>
        <v>Denyse Souza Santos</v>
      </c>
      <c r="F2404" s="34" t="str">
        <f>IFERROR(VLOOKUP(tbLOG[[#This Row],[LOGIN]],tbMAPA[#All],3,0), "Não localizado")</f>
        <v>Jefte Soares Da Silva</v>
      </c>
      <c r="G2404" s="3" t="s">
        <v>1587</v>
      </c>
      <c r="H2404" s="3" t="s">
        <v>836</v>
      </c>
    </row>
    <row r="2405" spans="1:8">
      <c r="A2405" s="29">
        <v>42749.462731481479</v>
      </c>
      <c r="B2405" s="29" t="str">
        <f>PROPER(TEXT(tbLOG[[#This Row],[DATA/HORA]],"mmmm"))</f>
        <v>Janeiro</v>
      </c>
      <c r="C2405" s="34" t="str">
        <f>PROPER(TEXT(tbLOG[[#This Row],[DATA/HORA]],"dddd"))</f>
        <v>Sábado</v>
      </c>
      <c r="D2405" s="3" t="s">
        <v>696</v>
      </c>
      <c r="E2405" s="34" t="str">
        <f>IFERROR(VLOOKUP(tbLOG[[#This Row],[LOGIN]],tbMAPA[#All],2,0), "Não localizado")</f>
        <v>Denyse Souza Santos</v>
      </c>
      <c r="F2405" s="34" t="str">
        <f>IFERROR(VLOOKUP(tbLOG[[#This Row],[LOGIN]],tbMAPA[#All],3,0), "Não localizado")</f>
        <v>Jefte Soares Da Silva</v>
      </c>
      <c r="G2405" s="3" t="s">
        <v>1587</v>
      </c>
      <c r="H2405" s="3" t="s">
        <v>836</v>
      </c>
    </row>
    <row r="2406" spans="1:8">
      <c r="A2406" s="29">
        <v>42749.462905092594</v>
      </c>
      <c r="B2406" s="29" t="str">
        <f>PROPER(TEXT(tbLOG[[#This Row],[DATA/HORA]],"mmmm"))</f>
        <v>Janeiro</v>
      </c>
      <c r="C2406" s="34" t="str">
        <f>PROPER(TEXT(tbLOG[[#This Row],[DATA/HORA]],"dddd"))</f>
        <v>Sábado</v>
      </c>
      <c r="D2406" s="3" t="s">
        <v>696</v>
      </c>
      <c r="E2406" s="34" t="str">
        <f>IFERROR(VLOOKUP(tbLOG[[#This Row],[LOGIN]],tbMAPA[#All],2,0), "Não localizado")</f>
        <v>Denyse Souza Santos</v>
      </c>
      <c r="F2406" s="34" t="str">
        <f>IFERROR(VLOOKUP(tbLOG[[#This Row],[LOGIN]],tbMAPA[#All],3,0), "Não localizado")</f>
        <v>Jefte Soares Da Silva</v>
      </c>
      <c r="G2406" s="3" t="s">
        <v>1587</v>
      </c>
      <c r="H2406" s="3" t="s">
        <v>836</v>
      </c>
    </row>
    <row r="2407" spans="1:8">
      <c r="A2407" s="29">
        <v>42749.463020833333</v>
      </c>
      <c r="B2407" s="29" t="str">
        <f>PROPER(TEXT(tbLOG[[#This Row],[DATA/HORA]],"mmmm"))</f>
        <v>Janeiro</v>
      </c>
      <c r="C2407" s="34" t="str">
        <f>PROPER(TEXT(tbLOG[[#This Row],[DATA/HORA]],"dddd"))</f>
        <v>Sábado</v>
      </c>
      <c r="D2407" s="3" t="s">
        <v>696</v>
      </c>
      <c r="E2407" s="34" t="str">
        <f>IFERROR(VLOOKUP(tbLOG[[#This Row],[LOGIN]],tbMAPA[#All],2,0), "Não localizado")</f>
        <v>Denyse Souza Santos</v>
      </c>
      <c r="F2407" s="34" t="str">
        <f>IFERROR(VLOOKUP(tbLOG[[#This Row],[LOGIN]],tbMAPA[#All],3,0), "Não localizado")</f>
        <v>Jefte Soares Da Silva</v>
      </c>
      <c r="G2407" s="3" t="s">
        <v>1587</v>
      </c>
      <c r="H2407" s="3" t="s">
        <v>836</v>
      </c>
    </row>
    <row r="2408" spans="1:8">
      <c r="A2408" s="29">
        <v>42749.463055555556</v>
      </c>
      <c r="B2408" s="29" t="str">
        <f>PROPER(TEXT(tbLOG[[#This Row],[DATA/HORA]],"mmmm"))</f>
        <v>Janeiro</v>
      </c>
      <c r="C2408" s="34" t="str">
        <f>PROPER(TEXT(tbLOG[[#This Row],[DATA/HORA]],"dddd"))</f>
        <v>Sábado</v>
      </c>
      <c r="D2408" s="3" t="s">
        <v>696</v>
      </c>
      <c r="E2408" s="34" t="str">
        <f>IFERROR(VLOOKUP(tbLOG[[#This Row],[LOGIN]],tbMAPA[#All],2,0), "Não localizado")</f>
        <v>Denyse Souza Santos</v>
      </c>
      <c r="F2408" s="34" t="str">
        <f>IFERROR(VLOOKUP(tbLOG[[#This Row],[LOGIN]],tbMAPA[#All],3,0), "Não localizado")</f>
        <v>Jefte Soares Da Silva</v>
      </c>
      <c r="G2408" s="3" t="s">
        <v>1587</v>
      </c>
      <c r="H2408" s="3" t="s">
        <v>836</v>
      </c>
    </row>
    <row r="2409" spans="1:8">
      <c r="A2409" s="29">
        <v>42749.463310185187</v>
      </c>
      <c r="B2409" s="29" t="str">
        <f>PROPER(TEXT(tbLOG[[#This Row],[DATA/HORA]],"mmmm"))</f>
        <v>Janeiro</v>
      </c>
      <c r="C2409" s="34" t="str">
        <f>PROPER(TEXT(tbLOG[[#This Row],[DATA/HORA]],"dddd"))</f>
        <v>Sábado</v>
      </c>
      <c r="D2409" s="3" t="s">
        <v>696</v>
      </c>
      <c r="E2409" s="34" t="str">
        <f>IFERROR(VLOOKUP(tbLOG[[#This Row],[LOGIN]],tbMAPA[#All],2,0), "Não localizado")</f>
        <v>Denyse Souza Santos</v>
      </c>
      <c r="F2409" s="34" t="str">
        <f>IFERROR(VLOOKUP(tbLOG[[#This Row],[LOGIN]],tbMAPA[#All],3,0), "Não localizado")</f>
        <v>Jefte Soares Da Silva</v>
      </c>
      <c r="G2409" s="3" t="s">
        <v>1587</v>
      </c>
      <c r="H2409" s="3" t="s">
        <v>836</v>
      </c>
    </row>
    <row r="2410" spans="1:8">
      <c r="A2410" s="29">
        <v>42749.465185185189</v>
      </c>
      <c r="B2410" s="29" t="str">
        <f>PROPER(TEXT(tbLOG[[#This Row],[DATA/HORA]],"mmmm"))</f>
        <v>Janeiro</v>
      </c>
      <c r="C2410" s="34" t="str">
        <f>PROPER(TEXT(tbLOG[[#This Row],[DATA/HORA]],"dddd"))</f>
        <v>Sábado</v>
      </c>
      <c r="D2410" s="3" t="s">
        <v>696</v>
      </c>
      <c r="E2410" s="34" t="str">
        <f>IFERROR(VLOOKUP(tbLOG[[#This Row],[LOGIN]],tbMAPA[#All],2,0), "Não localizado")</f>
        <v>Denyse Souza Santos</v>
      </c>
      <c r="F2410" s="34" t="str">
        <f>IFERROR(VLOOKUP(tbLOG[[#This Row],[LOGIN]],tbMAPA[#All],3,0), "Não localizado")</f>
        <v>Jefte Soares Da Silva</v>
      </c>
      <c r="G2410" s="3" t="s">
        <v>1587</v>
      </c>
      <c r="H2410" s="3" t="s">
        <v>836</v>
      </c>
    </row>
    <row r="2411" spans="1:8">
      <c r="A2411" s="29">
        <v>42749.465613425928</v>
      </c>
      <c r="B2411" s="29" t="str">
        <f>PROPER(TEXT(tbLOG[[#This Row],[DATA/HORA]],"mmmm"))</f>
        <v>Janeiro</v>
      </c>
      <c r="C2411" s="34" t="str">
        <f>PROPER(TEXT(tbLOG[[#This Row],[DATA/HORA]],"dddd"))</f>
        <v>Sábado</v>
      </c>
      <c r="D2411" s="3" t="s">
        <v>696</v>
      </c>
      <c r="E2411" s="34" t="str">
        <f>IFERROR(VLOOKUP(tbLOG[[#This Row],[LOGIN]],tbMAPA[#All],2,0), "Não localizado")</f>
        <v>Denyse Souza Santos</v>
      </c>
      <c r="F2411" s="34" t="str">
        <f>IFERROR(VLOOKUP(tbLOG[[#This Row],[LOGIN]],tbMAPA[#All],3,0), "Não localizado")</f>
        <v>Jefte Soares Da Silva</v>
      </c>
      <c r="G2411" s="3" t="s">
        <v>1587</v>
      </c>
      <c r="H2411" s="3" t="s">
        <v>836</v>
      </c>
    </row>
    <row r="2412" spans="1:8">
      <c r="A2412" s="29">
        <v>42749.465729166666</v>
      </c>
      <c r="B2412" s="29" t="str">
        <f>PROPER(TEXT(tbLOG[[#This Row],[DATA/HORA]],"mmmm"))</f>
        <v>Janeiro</v>
      </c>
      <c r="C2412" s="34" t="str">
        <f>PROPER(TEXT(tbLOG[[#This Row],[DATA/HORA]],"dddd"))</f>
        <v>Sábado</v>
      </c>
      <c r="D2412" s="3" t="s">
        <v>696</v>
      </c>
      <c r="E2412" s="34" t="str">
        <f>IFERROR(VLOOKUP(tbLOG[[#This Row],[LOGIN]],tbMAPA[#All],2,0), "Não localizado")</f>
        <v>Denyse Souza Santos</v>
      </c>
      <c r="F2412" s="34" t="str">
        <f>IFERROR(VLOOKUP(tbLOG[[#This Row],[LOGIN]],tbMAPA[#All],3,0), "Não localizado")</f>
        <v>Jefte Soares Da Silva</v>
      </c>
      <c r="G2412" s="3" t="s">
        <v>1587</v>
      </c>
      <c r="H2412" s="3" t="s">
        <v>836</v>
      </c>
    </row>
    <row r="2413" spans="1:8">
      <c r="A2413" s="29">
        <v>42749.470185185186</v>
      </c>
      <c r="B2413" s="29" t="str">
        <f>PROPER(TEXT(tbLOG[[#This Row],[DATA/HORA]],"mmmm"))</f>
        <v>Janeiro</v>
      </c>
      <c r="C2413" s="34" t="str">
        <f>PROPER(TEXT(tbLOG[[#This Row],[DATA/HORA]],"dddd"))</f>
        <v>Sábado</v>
      </c>
      <c r="D2413" s="3" t="s">
        <v>696</v>
      </c>
      <c r="E2413" s="34" t="str">
        <f>IFERROR(VLOOKUP(tbLOG[[#This Row],[LOGIN]],tbMAPA[#All],2,0), "Não localizado")</f>
        <v>Denyse Souza Santos</v>
      </c>
      <c r="F2413" s="34" t="str">
        <f>IFERROR(VLOOKUP(tbLOG[[#This Row],[LOGIN]],tbMAPA[#All],3,0), "Não localizado")</f>
        <v>Jefte Soares Da Silva</v>
      </c>
      <c r="G2413" s="3" t="s">
        <v>1587</v>
      </c>
      <c r="H2413" s="3" t="s">
        <v>836</v>
      </c>
    </row>
    <row r="2414" spans="1:8">
      <c r="A2414" s="29">
        <v>42749.471076388887</v>
      </c>
      <c r="B2414" s="29" t="str">
        <f>PROPER(TEXT(tbLOG[[#This Row],[DATA/HORA]],"mmmm"))</f>
        <v>Janeiro</v>
      </c>
      <c r="C2414" s="34" t="str">
        <f>PROPER(TEXT(tbLOG[[#This Row],[DATA/HORA]],"dddd"))</f>
        <v>Sábado</v>
      </c>
      <c r="D2414" s="3" t="s">
        <v>696</v>
      </c>
      <c r="E2414" s="34" t="str">
        <f>IFERROR(VLOOKUP(tbLOG[[#This Row],[LOGIN]],tbMAPA[#All],2,0), "Não localizado")</f>
        <v>Denyse Souza Santos</v>
      </c>
      <c r="F2414" s="34" t="str">
        <f>IFERROR(VLOOKUP(tbLOG[[#This Row],[LOGIN]],tbMAPA[#All],3,0), "Não localizado")</f>
        <v>Jefte Soares Da Silva</v>
      </c>
      <c r="G2414" s="3" t="s">
        <v>1587</v>
      </c>
      <c r="H2414" s="3" t="s">
        <v>836</v>
      </c>
    </row>
    <row r="2415" spans="1:8">
      <c r="A2415" s="29">
        <v>42749.471203703702</v>
      </c>
      <c r="B2415" s="29" t="str">
        <f>PROPER(TEXT(tbLOG[[#This Row],[DATA/HORA]],"mmmm"))</f>
        <v>Janeiro</v>
      </c>
      <c r="C2415" s="34" t="str">
        <f>PROPER(TEXT(tbLOG[[#This Row],[DATA/HORA]],"dddd"))</f>
        <v>Sábado</v>
      </c>
      <c r="D2415" s="3" t="s">
        <v>696</v>
      </c>
      <c r="E2415" s="34" t="str">
        <f>IFERROR(VLOOKUP(tbLOG[[#This Row],[LOGIN]],tbMAPA[#All],2,0), "Não localizado")</f>
        <v>Denyse Souza Santos</v>
      </c>
      <c r="F2415" s="34" t="str">
        <f>IFERROR(VLOOKUP(tbLOG[[#This Row],[LOGIN]],tbMAPA[#All],3,0), "Não localizado")</f>
        <v>Jefte Soares Da Silva</v>
      </c>
      <c r="G2415" s="3" t="s">
        <v>1587</v>
      </c>
      <c r="H2415" s="3" t="s">
        <v>836</v>
      </c>
    </row>
    <row r="2416" spans="1:8">
      <c r="A2416" s="29">
        <v>42749.471585648149</v>
      </c>
      <c r="B2416" s="29" t="str">
        <f>PROPER(TEXT(tbLOG[[#This Row],[DATA/HORA]],"mmmm"))</f>
        <v>Janeiro</v>
      </c>
      <c r="C2416" s="34" t="str">
        <f>PROPER(TEXT(tbLOG[[#This Row],[DATA/HORA]],"dddd"))</f>
        <v>Sábado</v>
      </c>
      <c r="D2416" s="3" t="s">
        <v>696</v>
      </c>
      <c r="E2416" s="34" t="str">
        <f>IFERROR(VLOOKUP(tbLOG[[#This Row],[LOGIN]],tbMAPA[#All],2,0), "Não localizado")</f>
        <v>Denyse Souza Santos</v>
      </c>
      <c r="F2416" s="34" t="str">
        <f>IFERROR(VLOOKUP(tbLOG[[#This Row],[LOGIN]],tbMAPA[#All],3,0), "Não localizado")</f>
        <v>Jefte Soares Da Silva</v>
      </c>
      <c r="G2416" s="3" t="s">
        <v>1587</v>
      </c>
      <c r="H2416" s="3" t="s">
        <v>836</v>
      </c>
    </row>
    <row r="2417" spans="1:8">
      <c r="A2417" s="29">
        <v>42749.471875000003</v>
      </c>
      <c r="B2417" s="29" t="str">
        <f>PROPER(TEXT(tbLOG[[#This Row],[DATA/HORA]],"mmmm"))</f>
        <v>Janeiro</v>
      </c>
      <c r="C2417" s="34" t="str">
        <f>PROPER(TEXT(tbLOG[[#This Row],[DATA/HORA]],"dddd"))</f>
        <v>Sábado</v>
      </c>
      <c r="D2417" s="3" t="s">
        <v>696</v>
      </c>
      <c r="E2417" s="34" t="str">
        <f>IFERROR(VLOOKUP(tbLOG[[#This Row],[LOGIN]],tbMAPA[#All],2,0), "Não localizado")</f>
        <v>Denyse Souza Santos</v>
      </c>
      <c r="F2417" s="34" t="str">
        <f>IFERROR(VLOOKUP(tbLOG[[#This Row],[LOGIN]],tbMAPA[#All],3,0), "Não localizado")</f>
        <v>Jefte Soares Da Silva</v>
      </c>
      <c r="G2417" s="3" t="s">
        <v>1587</v>
      </c>
      <c r="H2417" s="3" t="s">
        <v>836</v>
      </c>
    </row>
    <row r="2418" spans="1:8">
      <c r="A2418" s="29">
        <v>42749.472581018519</v>
      </c>
      <c r="B2418" s="29" t="str">
        <f>PROPER(TEXT(tbLOG[[#This Row],[DATA/HORA]],"mmmm"))</f>
        <v>Janeiro</v>
      </c>
      <c r="C2418" s="34" t="str">
        <f>PROPER(TEXT(tbLOG[[#This Row],[DATA/HORA]],"dddd"))</f>
        <v>Sábado</v>
      </c>
      <c r="D2418" s="3" t="s">
        <v>696</v>
      </c>
      <c r="E2418" s="34" t="str">
        <f>IFERROR(VLOOKUP(tbLOG[[#This Row],[LOGIN]],tbMAPA[#All],2,0), "Não localizado")</f>
        <v>Denyse Souza Santos</v>
      </c>
      <c r="F2418" s="34" t="str">
        <f>IFERROR(VLOOKUP(tbLOG[[#This Row],[LOGIN]],tbMAPA[#All],3,0), "Não localizado")</f>
        <v>Jefte Soares Da Silva</v>
      </c>
      <c r="G2418" s="3" t="s">
        <v>1587</v>
      </c>
      <c r="H2418" s="3" t="s">
        <v>836</v>
      </c>
    </row>
    <row r="2419" spans="1:8">
      <c r="A2419" s="29">
        <v>42749.474814814814</v>
      </c>
      <c r="B2419" s="29" t="str">
        <f>PROPER(TEXT(tbLOG[[#This Row],[DATA/HORA]],"mmmm"))</f>
        <v>Janeiro</v>
      </c>
      <c r="C2419" s="34" t="str">
        <f>PROPER(TEXT(tbLOG[[#This Row],[DATA/HORA]],"dddd"))</f>
        <v>Sábado</v>
      </c>
      <c r="D2419" s="3" t="s">
        <v>696</v>
      </c>
      <c r="E2419" s="34" t="str">
        <f>IFERROR(VLOOKUP(tbLOG[[#This Row],[LOGIN]],tbMAPA[#All],2,0), "Não localizado")</f>
        <v>Denyse Souza Santos</v>
      </c>
      <c r="F2419" s="34" t="str">
        <f>IFERROR(VLOOKUP(tbLOG[[#This Row],[LOGIN]],tbMAPA[#All],3,0), "Não localizado")</f>
        <v>Jefte Soares Da Silva</v>
      </c>
      <c r="G2419" s="3" t="s">
        <v>1587</v>
      </c>
      <c r="H2419" s="3" t="s">
        <v>836</v>
      </c>
    </row>
    <row r="2420" spans="1:8">
      <c r="A2420" s="29">
        <v>42749.474849537037</v>
      </c>
      <c r="B2420" s="29" t="str">
        <f>PROPER(TEXT(tbLOG[[#This Row],[DATA/HORA]],"mmmm"))</f>
        <v>Janeiro</v>
      </c>
      <c r="C2420" s="34" t="str">
        <f>PROPER(TEXT(tbLOG[[#This Row],[DATA/HORA]],"dddd"))</f>
        <v>Sábado</v>
      </c>
      <c r="D2420" s="3" t="s">
        <v>696</v>
      </c>
      <c r="E2420" s="34" t="str">
        <f>IFERROR(VLOOKUP(tbLOG[[#This Row],[LOGIN]],tbMAPA[#All],2,0), "Não localizado")</f>
        <v>Denyse Souza Santos</v>
      </c>
      <c r="F2420" s="34" t="str">
        <f>IFERROR(VLOOKUP(tbLOG[[#This Row],[LOGIN]],tbMAPA[#All],3,0), "Não localizado")</f>
        <v>Jefte Soares Da Silva</v>
      </c>
      <c r="G2420" s="3" t="s">
        <v>1587</v>
      </c>
      <c r="H2420" s="3" t="s">
        <v>836</v>
      </c>
    </row>
    <row r="2421" spans="1:8">
      <c r="A2421" s="29">
        <v>42749.475162037037</v>
      </c>
      <c r="B2421" s="29" t="str">
        <f>PROPER(TEXT(tbLOG[[#This Row],[DATA/HORA]],"mmmm"))</f>
        <v>Janeiro</v>
      </c>
      <c r="C2421" s="34" t="str">
        <f>PROPER(TEXT(tbLOG[[#This Row],[DATA/HORA]],"dddd"))</f>
        <v>Sábado</v>
      </c>
      <c r="D2421" s="3" t="s">
        <v>696</v>
      </c>
      <c r="E2421" s="34" t="str">
        <f>IFERROR(VLOOKUP(tbLOG[[#This Row],[LOGIN]],tbMAPA[#All],2,0), "Não localizado")</f>
        <v>Denyse Souza Santos</v>
      </c>
      <c r="F2421" s="34" t="str">
        <f>IFERROR(VLOOKUP(tbLOG[[#This Row],[LOGIN]],tbMAPA[#All],3,0), "Não localizado")</f>
        <v>Jefte Soares Da Silva</v>
      </c>
      <c r="G2421" s="3" t="s">
        <v>1587</v>
      </c>
      <c r="H2421" s="3" t="s">
        <v>836</v>
      </c>
    </row>
    <row r="2422" spans="1:8">
      <c r="A2422" s="29">
        <v>42749.475277777776</v>
      </c>
      <c r="B2422" s="29" t="str">
        <f>PROPER(TEXT(tbLOG[[#This Row],[DATA/HORA]],"mmmm"))</f>
        <v>Janeiro</v>
      </c>
      <c r="C2422" s="34" t="str">
        <f>PROPER(TEXT(tbLOG[[#This Row],[DATA/HORA]],"dddd"))</f>
        <v>Sábado</v>
      </c>
      <c r="D2422" s="3" t="s">
        <v>696</v>
      </c>
      <c r="E2422" s="34" t="str">
        <f>IFERROR(VLOOKUP(tbLOG[[#This Row],[LOGIN]],tbMAPA[#All],2,0), "Não localizado")</f>
        <v>Denyse Souza Santos</v>
      </c>
      <c r="F2422" s="34" t="str">
        <f>IFERROR(VLOOKUP(tbLOG[[#This Row],[LOGIN]],tbMAPA[#All],3,0), "Não localizado")</f>
        <v>Jefte Soares Da Silva</v>
      </c>
      <c r="G2422" s="3" t="s">
        <v>1587</v>
      </c>
      <c r="H2422" s="3" t="s">
        <v>836</v>
      </c>
    </row>
    <row r="2423" spans="1:8">
      <c r="A2423" s="29">
        <v>42749.501608796294</v>
      </c>
      <c r="B2423" s="29" t="str">
        <f>PROPER(TEXT(tbLOG[[#This Row],[DATA/HORA]],"mmmm"))</f>
        <v>Janeiro</v>
      </c>
      <c r="C2423" s="34" t="str">
        <f>PROPER(TEXT(tbLOG[[#This Row],[DATA/HORA]],"dddd"))</f>
        <v>Sábado</v>
      </c>
      <c r="D2423" s="3" t="s">
        <v>696</v>
      </c>
      <c r="E2423" s="34" t="str">
        <f>IFERROR(VLOOKUP(tbLOG[[#This Row],[LOGIN]],tbMAPA[#All],2,0), "Não localizado")</f>
        <v>Denyse Souza Santos</v>
      </c>
      <c r="F2423" s="34" t="str">
        <f>IFERROR(VLOOKUP(tbLOG[[#This Row],[LOGIN]],tbMAPA[#All],3,0), "Não localizado")</f>
        <v>Jefte Soares Da Silva</v>
      </c>
      <c r="G2423" s="3" t="s">
        <v>1587</v>
      </c>
      <c r="H2423" s="3" t="s">
        <v>836</v>
      </c>
    </row>
    <row r="2424" spans="1:8">
      <c r="A2424" s="29">
        <v>42749.501631944448</v>
      </c>
      <c r="B2424" s="29" t="str">
        <f>PROPER(TEXT(tbLOG[[#This Row],[DATA/HORA]],"mmmm"))</f>
        <v>Janeiro</v>
      </c>
      <c r="C2424" s="34" t="str">
        <f>PROPER(TEXT(tbLOG[[#This Row],[DATA/HORA]],"dddd"))</f>
        <v>Sábado</v>
      </c>
      <c r="D2424" s="3" t="s">
        <v>696</v>
      </c>
      <c r="E2424" s="34" t="str">
        <f>IFERROR(VLOOKUP(tbLOG[[#This Row],[LOGIN]],tbMAPA[#All],2,0), "Não localizado")</f>
        <v>Denyse Souza Santos</v>
      </c>
      <c r="F2424" s="34" t="str">
        <f>IFERROR(VLOOKUP(tbLOG[[#This Row],[LOGIN]],tbMAPA[#All],3,0), "Não localizado")</f>
        <v>Jefte Soares Da Silva</v>
      </c>
      <c r="G2424" s="3" t="s">
        <v>1587</v>
      </c>
      <c r="H2424" s="3" t="s">
        <v>836</v>
      </c>
    </row>
    <row r="2425" spans="1:8">
      <c r="A2425" s="29">
        <v>42749.501805555556</v>
      </c>
      <c r="B2425" s="29" t="str">
        <f>PROPER(TEXT(tbLOG[[#This Row],[DATA/HORA]],"mmmm"))</f>
        <v>Janeiro</v>
      </c>
      <c r="C2425" s="34" t="str">
        <f>PROPER(TEXT(tbLOG[[#This Row],[DATA/HORA]],"dddd"))</f>
        <v>Sábado</v>
      </c>
      <c r="D2425" s="3" t="s">
        <v>696</v>
      </c>
      <c r="E2425" s="34" t="str">
        <f>IFERROR(VLOOKUP(tbLOG[[#This Row],[LOGIN]],tbMAPA[#All],2,0), "Não localizado")</f>
        <v>Denyse Souza Santos</v>
      </c>
      <c r="F2425" s="34" t="str">
        <f>IFERROR(VLOOKUP(tbLOG[[#This Row],[LOGIN]],tbMAPA[#All],3,0), "Não localizado")</f>
        <v>Jefte Soares Da Silva</v>
      </c>
      <c r="G2425" s="3" t="s">
        <v>1587</v>
      </c>
      <c r="H2425" s="3" t="s">
        <v>836</v>
      </c>
    </row>
    <row r="2426" spans="1:8">
      <c r="A2426" s="29">
        <v>42749.501909722225</v>
      </c>
      <c r="B2426" s="29" t="str">
        <f>PROPER(TEXT(tbLOG[[#This Row],[DATA/HORA]],"mmmm"))</f>
        <v>Janeiro</v>
      </c>
      <c r="C2426" s="34" t="str">
        <f>PROPER(TEXT(tbLOG[[#This Row],[DATA/HORA]],"dddd"))</f>
        <v>Sábado</v>
      </c>
      <c r="D2426" s="3" t="s">
        <v>696</v>
      </c>
      <c r="E2426" s="34" t="str">
        <f>IFERROR(VLOOKUP(tbLOG[[#This Row],[LOGIN]],tbMAPA[#All],2,0), "Não localizado")</f>
        <v>Denyse Souza Santos</v>
      </c>
      <c r="F2426" s="34" t="str">
        <f>IFERROR(VLOOKUP(tbLOG[[#This Row],[LOGIN]],tbMAPA[#All],3,0), "Não localizado")</f>
        <v>Jefte Soares Da Silva</v>
      </c>
      <c r="G2426" s="3" t="s">
        <v>1587</v>
      </c>
      <c r="H2426" s="3" t="s">
        <v>836</v>
      </c>
    </row>
    <row r="2427" spans="1:8">
      <c r="A2427" s="29">
        <v>42749.502118055556</v>
      </c>
      <c r="B2427" s="29" t="str">
        <f>PROPER(TEXT(tbLOG[[#This Row],[DATA/HORA]],"mmmm"))</f>
        <v>Janeiro</v>
      </c>
      <c r="C2427" s="34" t="str">
        <f>PROPER(TEXT(tbLOG[[#This Row],[DATA/HORA]],"dddd"))</f>
        <v>Sábado</v>
      </c>
      <c r="D2427" s="3" t="s">
        <v>696</v>
      </c>
      <c r="E2427" s="34" t="str">
        <f>IFERROR(VLOOKUP(tbLOG[[#This Row],[LOGIN]],tbMAPA[#All],2,0), "Não localizado")</f>
        <v>Denyse Souza Santos</v>
      </c>
      <c r="F2427" s="34" t="str">
        <f>IFERROR(VLOOKUP(tbLOG[[#This Row],[LOGIN]],tbMAPA[#All],3,0), "Não localizado")</f>
        <v>Jefte Soares Da Silva</v>
      </c>
      <c r="G2427" s="3" t="s">
        <v>1587</v>
      </c>
      <c r="H2427" s="3" t="s">
        <v>836</v>
      </c>
    </row>
    <row r="2428" spans="1:8">
      <c r="A2428" s="29">
        <v>42749.504386574074</v>
      </c>
      <c r="B2428" s="29" t="str">
        <f>PROPER(TEXT(tbLOG[[#This Row],[DATA/HORA]],"mmmm"))</f>
        <v>Janeiro</v>
      </c>
      <c r="C2428" s="34" t="str">
        <f>PROPER(TEXT(tbLOG[[#This Row],[DATA/HORA]],"dddd"))</f>
        <v>Sábado</v>
      </c>
      <c r="D2428" s="3" t="s">
        <v>696</v>
      </c>
      <c r="E2428" s="34" t="str">
        <f>IFERROR(VLOOKUP(tbLOG[[#This Row],[LOGIN]],tbMAPA[#All],2,0), "Não localizado")</f>
        <v>Denyse Souza Santos</v>
      </c>
      <c r="F2428" s="34" t="str">
        <f>IFERROR(VLOOKUP(tbLOG[[#This Row],[LOGIN]],tbMAPA[#All],3,0), "Não localizado")</f>
        <v>Jefte Soares Da Silva</v>
      </c>
      <c r="G2428" s="3" t="s">
        <v>1587</v>
      </c>
      <c r="H2428" s="3" t="s">
        <v>836</v>
      </c>
    </row>
    <row r="2429" spans="1:8">
      <c r="A2429" s="29">
        <v>42749.504432870373</v>
      </c>
      <c r="B2429" s="29" t="str">
        <f>PROPER(TEXT(tbLOG[[#This Row],[DATA/HORA]],"mmmm"))</f>
        <v>Janeiro</v>
      </c>
      <c r="C2429" s="34" t="str">
        <f>PROPER(TEXT(tbLOG[[#This Row],[DATA/HORA]],"dddd"))</f>
        <v>Sábado</v>
      </c>
      <c r="D2429" s="3" t="s">
        <v>696</v>
      </c>
      <c r="E2429" s="34" t="str">
        <f>IFERROR(VLOOKUP(tbLOG[[#This Row],[LOGIN]],tbMAPA[#All],2,0), "Não localizado")</f>
        <v>Denyse Souza Santos</v>
      </c>
      <c r="F2429" s="34" t="str">
        <f>IFERROR(VLOOKUP(tbLOG[[#This Row],[LOGIN]],tbMAPA[#All],3,0), "Não localizado")</f>
        <v>Jefte Soares Da Silva</v>
      </c>
      <c r="G2429" s="3" t="s">
        <v>1587</v>
      </c>
      <c r="H2429" s="3" t="s">
        <v>836</v>
      </c>
    </row>
    <row r="2430" spans="1:8">
      <c r="A2430" s="29">
        <v>42749.504525462966</v>
      </c>
      <c r="B2430" s="29" t="str">
        <f>PROPER(TEXT(tbLOG[[#This Row],[DATA/HORA]],"mmmm"))</f>
        <v>Janeiro</v>
      </c>
      <c r="C2430" s="34" t="str">
        <f>PROPER(TEXT(tbLOG[[#This Row],[DATA/HORA]],"dddd"))</f>
        <v>Sábado</v>
      </c>
      <c r="D2430" s="3" t="s">
        <v>696</v>
      </c>
      <c r="E2430" s="34" t="str">
        <f>IFERROR(VLOOKUP(tbLOG[[#This Row],[LOGIN]],tbMAPA[#All],2,0), "Não localizado")</f>
        <v>Denyse Souza Santos</v>
      </c>
      <c r="F2430" s="34" t="str">
        <f>IFERROR(VLOOKUP(tbLOG[[#This Row],[LOGIN]],tbMAPA[#All],3,0), "Não localizado")</f>
        <v>Jefte Soares Da Silva</v>
      </c>
      <c r="G2430" s="3" t="s">
        <v>1587</v>
      </c>
      <c r="H2430" s="3" t="s">
        <v>836</v>
      </c>
    </row>
    <row r="2431" spans="1:8">
      <c r="A2431" s="29">
        <v>42749.504641203705</v>
      </c>
      <c r="B2431" s="29" t="str">
        <f>PROPER(TEXT(tbLOG[[#This Row],[DATA/HORA]],"mmmm"))</f>
        <v>Janeiro</v>
      </c>
      <c r="C2431" s="34" t="str">
        <f>PROPER(TEXT(tbLOG[[#This Row],[DATA/HORA]],"dddd"))</f>
        <v>Sábado</v>
      </c>
      <c r="D2431" s="3" t="s">
        <v>696</v>
      </c>
      <c r="E2431" s="34" t="str">
        <f>IFERROR(VLOOKUP(tbLOG[[#This Row],[LOGIN]],tbMAPA[#All],2,0), "Não localizado")</f>
        <v>Denyse Souza Santos</v>
      </c>
      <c r="F2431" s="34" t="str">
        <f>IFERROR(VLOOKUP(tbLOG[[#This Row],[LOGIN]],tbMAPA[#All],3,0), "Não localizado")</f>
        <v>Jefte Soares Da Silva</v>
      </c>
      <c r="G2431" s="3" t="s">
        <v>1587</v>
      </c>
      <c r="H2431" s="3" t="s">
        <v>836</v>
      </c>
    </row>
    <row r="2432" spans="1:8">
      <c r="A2432" s="29">
        <v>42749.504814814813</v>
      </c>
      <c r="B2432" s="29" t="str">
        <f>PROPER(TEXT(tbLOG[[#This Row],[DATA/HORA]],"mmmm"))</f>
        <v>Janeiro</v>
      </c>
      <c r="C2432" s="34" t="str">
        <f>PROPER(TEXT(tbLOG[[#This Row],[DATA/HORA]],"dddd"))</f>
        <v>Sábado</v>
      </c>
      <c r="D2432" s="3" t="s">
        <v>696</v>
      </c>
      <c r="E2432" s="34" t="str">
        <f>IFERROR(VLOOKUP(tbLOG[[#This Row],[LOGIN]],tbMAPA[#All],2,0), "Não localizado")</f>
        <v>Denyse Souza Santos</v>
      </c>
      <c r="F2432" s="34" t="str">
        <f>IFERROR(VLOOKUP(tbLOG[[#This Row],[LOGIN]],tbMAPA[#All],3,0), "Não localizado")</f>
        <v>Jefte Soares Da Silva</v>
      </c>
      <c r="G2432" s="3" t="s">
        <v>1587</v>
      </c>
      <c r="H2432" s="3" t="s">
        <v>836</v>
      </c>
    </row>
    <row r="2433" spans="1:8">
      <c r="A2433" s="29">
        <v>42749.508101851854</v>
      </c>
      <c r="B2433" s="29" t="str">
        <f>PROPER(TEXT(tbLOG[[#This Row],[DATA/HORA]],"mmmm"))</f>
        <v>Janeiro</v>
      </c>
      <c r="C2433" s="34" t="str">
        <f>PROPER(TEXT(tbLOG[[#This Row],[DATA/HORA]],"dddd"))</f>
        <v>Sábado</v>
      </c>
      <c r="D2433" s="3" t="s">
        <v>696</v>
      </c>
      <c r="E2433" s="34" t="str">
        <f>IFERROR(VLOOKUP(tbLOG[[#This Row],[LOGIN]],tbMAPA[#All],2,0), "Não localizado")</f>
        <v>Denyse Souza Santos</v>
      </c>
      <c r="F2433" s="34" t="str">
        <f>IFERROR(VLOOKUP(tbLOG[[#This Row],[LOGIN]],tbMAPA[#All],3,0), "Não localizado")</f>
        <v>Jefte Soares Da Silva</v>
      </c>
      <c r="G2433" s="3" t="s">
        <v>1587</v>
      </c>
      <c r="H2433" s="3" t="s">
        <v>836</v>
      </c>
    </row>
    <row r="2434" spans="1:8">
      <c r="A2434" s="29">
        <v>42749.508171296293</v>
      </c>
      <c r="B2434" s="29" t="str">
        <f>PROPER(TEXT(tbLOG[[#This Row],[DATA/HORA]],"mmmm"))</f>
        <v>Janeiro</v>
      </c>
      <c r="C2434" s="34" t="str">
        <f>PROPER(TEXT(tbLOG[[#This Row],[DATA/HORA]],"dddd"))</f>
        <v>Sábado</v>
      </c>
      <c r="D2434" s="3" t="s">
        <v>696</v>
      </c>
      <c r="E2434" s="34" t="str">
        <f>IFERROR(VLOOKUP(tbLOG[[#This Row],[LOGIN]],tbMAPA[#All],2,0), "Não localizado")</f>
        <v>Denyse Souza Santos</v>
      </c>
      <c r="F2434" s="34" t="str">
        <f>IFERROR(VLOOKUP(tbLOG[[#This Row],[LOGIN]],tbMAPA[#All],3,0), "Não localizado")</f>
        <v>Jefte Soares Da Silva</v>
      </c>
      <c r="G2434" s="3" t="s">
        <v>1587</v>
      </c>
      <c r="H2434" s="3" t="s">
        <v>836</v>
      </c>
    </row>
    <row r="2435" spans="1:8">
      <c r="A2435" s="29">
        <v>42749.508263888885</v>
      </c>
      <c r="B2435" s="29" t="str">
        <f>PROPER(TEXT(tbLOG[[#This Row],[DATA/HORA]],"mmmm"))</f>
        <v>Janeiro</v>
      </c>
      <c r="C2435" s="34" t="str">
        <f>PROPER(TEXT(tbLOG[[#This Row],[DATA/HORA]],"dddd"))</f>
        <v>Sábado</v>
      </c>
      <c r="D2435" s="3" t="s">
        <v>696</v>
      </c>
      <c r="E2435" s="34" t="str">
        <f>IFERROR(VLOOKUP(tbLOG[[#This Row],[LOGIN]],tbMAPA[#All],2,0), "Não localizado")</f>
        <v>Denyse Souza Santos</v>
      </c>
      <c r="F2435" s="34" t="str">
        <f>IFERROR(VLOOKUP(tbLOG[[#This Row],[LOGIN]],tbMAPA[#All],3,0), "Não localizado")</f>
        <v>Jefte Soares Da Silva</v>
      </c>
      <c r="G2435" s="3" t="s">
        <v>1587</v>
      </c>
      <c r="H2435" s="3" t="s">
        <v>836</v>
      </c>
    </row>
    <row r="2436" spans="1:8">
      <c r="A2436" s="29">
        <v>42749.511145833334</v>
      </c>
      <c r="B2436" s="29" t="str">
        <f>PROPER(TEXT(tbLOG[[#This Row],[DATA/HORA]],"mmmm"))</f>
        <v>Janeiro</v>
      </c>
      <c r="C2436" s="34" t="str">
        <f>PROPER(TEXT(tbLOG[[#This Row],[DATA/HORA]],"dddd"))</f>
        <v>Sábado</v>
      </c>
      <c r="D2436" s="3" t="s">
        <v>696</v>
      </c>
      <c r="E2436" s="34" t="str">
        <f>IFERROR(VLOOKUP(tbLOG[[#This Row],[LOGIN]],tbMAPA[#All],2,0), "Não localizado")</f>
        <v>Denyse Souza Santos</v>
      </c>
      <c r="F2436" s="34" t="str">
        <f>IFERROR(VLOOKUP(tbLOG[[#This Row],[LOGIN]],tbMAPA[#All],3,0), "Não localizado")</f>
        <v>Jefte Soares Da Silva</v>
      </c>
      <c r="G2436" s="3" t="s">
        <v>1587</v>
      </c>
      <c r="H2436" s="3" t="s">
        <v>836</v>
      </c>
    </row>
    <row r="2437" spans="1:8">
      <c r="A2437" s="29">
        <v>42749.51116898148</v>
      </c>
      <c r="B2437" s="29" t="str">
        <f>PROPER(TEXT(tbLOG[[#This Row],[DATA/HORA]],"mmmm"))</f>
        <v>Janeiro</v>
      </c>
      <c r="C2437" s="34" t="str">
        <f>PROPER(TEXT(tbLOG[[#This Row],[DATA/HORA]],"dddd"))</f>
        <v>Sábado</v>
      </c>
      <c r="D2437" s="3" t="s">
        <v>696</v>
      </c>
      <c r="E2437" s="34" t="str">
        <f>IFERROR(VLOOKUP(tbLOG[[#This Row],[LOGIN]],tbMAPA[#All],2,0), "Não localizado")</f>
        <v>Denyse Souza Santos</v>
      </c>
      <c r="F2437" s="34" t="str">
        <f>IFERROR(VLOOKUP(tbLOG[[#This Row],[LOGIN]],tbMAPA[#All],3,0), "Não localizado")</f>
        <v>Jefte Soares Da Silva</v>
      </c>
      <c r="G2437" s="3" t="s">
        <v>1587</v>
      </c>
      <c r="H2437" s="3" t="s">
        <v>836</v>
      </c>
    </row>
    <row r="2438" spans="1:8">
      <c r="A2438" s="29">
        <v>42749.511400462965</v>
      </c>
      <c r="B2438" s="29" t="str">
        <f>PROPER(TEXT(tbLOG[[#This Row],[DATA/HORA]],"mmmm"))</f>
        <v>Janeiro</v>
      </c>
      <c r="C2438" s="34" t="str">
        <f>PROPER(TEXT(tbLOG[[#This Row],[DATA/HORA]],"dddd"))</f>
        <v>Sábado</v>
      </c>
      <c r="D2438" s="3" t="s">
        <v>696</v>
      </c>
      <c r="E2438" s="34" t="str">
        <f>IFERROR(VLOOKUP(tbLOG[[#This Row],[LOGIN]],tbMAPA[#All],2,0), "Não localizado")</f>
        <v>Denyse Souza Santos</v>
      </c>
      <c r="F2438" s="34" t="str">
        <f>IFERROR(VLOOKUP(tbLOG[[#This Row],[LOGIN]],tbMAPA[#All],3,0), "Não localizado")</f>
        <v>Jefte Soares Da Silva</v>
      </c>
      <c r="G2438" s="3" t="s">
        <v>1587</v>
      </c>
      <c r="H2438" s="3" t="s">
        <v>836</v>
      </c>
    </row>
    <row r="2439" spans="1:8">
      <c r="A2439" s="29">
        <v>42749.51153935185</v>
      </c>
      <c r="B2439" s="29" t="str">
        <f>PROPER(TEXT(tbLOG[[#This Row],[DATA/HORA]],"mmmm"))</f>
        <v>Janeiro</v>
      </c>
      <c r="C2439" s="34" t="str">
        <f>PROPER(TEXT(tbLOG[[#This Row],[DATA/HORA]],"dddd"))</f>
        <v>Sábado</v>
      </c>
      <c r="D2439" s="3" t="s">
        <v>696</v>
      </c>
      <c r="E2439" s="34" t="str">
        <f>IFERROR(VLOOKUP(tbLOG[[#This Row],[LOGIN]],tbMAPA[#All],2,0), "Não localizado")</f>
        <v>Denyse Souza Santos</v>
      </c>
      <c r="F2439" s="34" t="str">
        <f>IFERROR(VLOOKUP(tbLOG[[#This Row],[LOGIN]],tbMAPA[#All],3,0), "Não localizado")</f>
        <v>Jefte Soares Da Silva</v>
      </c>
      <c r="G2439" s="3" t="s">
        <v>1587</v>
      </c>
      <c r="H2439" s="3" t="s">
        <v>836</v>
      </c>
    </row>
    <row r="2440" spans="1:8">
      <c r="A2440" s="29">
        <v>42749.511817129627</v>
      </c>
      <c r="B2440" s="29" t="str">
        <f>PROPER(TEXT(tbLOG[[#This Row],[DATA/HORA]],"mmmm"))</f>
        <v>Janeiro</v>
      </c>
      <c r="C2440" s="34" t="str">
        <f>PROPER(TEXT(tbLOG[[#This Row],[DATA/HORA]],"dddd"))</f>
        <v>Sábado</v>
      </c>
      <c r="D2440" s="3" t="s">
        <v>696</v>
      </c>
      <c r="E2440" s="34" t="str">
        <f>IFERROR(VLOOKUP(tbLOG[[#This Row],[LOGIN]],tbMAPA[#All],2,0), "Não localizado")</f>
        <v>Denyse Souza Santos</v>
      </c>
      <c r="F2440" s="34" t="str">
        <f>IFERROR(VLOOKUP(tbLOG[[#This Row],[LOGIN]],tbMAPA[#All],3,0), "Não localizado")</f>
        <v>Jefte Soares Da Silva</v>
      </c>
      <c r="G2440" s="3" t="s">
        <v>1587</v>
      </c>
      <c r="H2440" s="3" t="s">
        <v>836</v>
      </c>
    </row>
    <row r="2441" spans="1:8">
      <c r="A2441" s="29">
        <v>42749.512002314812</v>
      </c>
      <c r="B2441" s="29" t="str">
        <f>PROPER(TEXT(tbLOG[[#This Row],[DATA/HORA]],"mmmm"))</f>
        <v>Janeiro</v>
      </c>
      <c r="C2441" s="34" t="str">
        <f>PROPER(TEXT(tbLOG[[#This Row],[DATA/HORA]],"dddd"))</f>
        <v>Sábado</v>
      </c>
      <c r="D2441" s="3" t="s">
        <v>696</v>
      </c>
      <c r="E2441" s="34" t="str">
        <f>IFERROR(VLOOKUP(tbLOG[[#This Row],[LOGIN]],tbMAPA[#All],2,0), "Não localizado")</f>
        <v>Denyse Souza Santos</v>
      </c>
      <c r="F2441" s="34" t="str">
        <f>IFERROR(VLOOKUP(tbLOG[[#This Row],[LOGIN]],tbMAPA[#All],3,0), "Não localizado")</f>
        <v>Jefte Soares Da Silva</v>
      </c>
      <c r="G2441" s="3" t="s">
        <v>1587</v>
      </c>
      <c r="H2441" s="3" t="s">
        <v>836</v>
      </c>
    </row>
    <row r="2442" spans="1:8">
      <c r="A2442" s="29">
        <v>42749.514687499999</v>
      </c>
      <c r="B2442" s="29" t="str">
        <f>PROPER(TEXT(tbLOG[[#This Row],[DATA/HORA]],"mmmm"))</f>
        <v>Janeiro</v>
      </c>
      <c r="C2442" s="34" t="str">
        <f>PROPER(TEXT(tbLOG[[#This Row],[DATA/HORA]],"dddd"))</f>
        <v>Sábado</v>
      </c>
      <c r="D2442" s="3" t="s">
        <v>696</v>
      </c>
      <c r="E2442" s="34" t="str">
        <f>IFERROR(VLOOKUP(tbLOG[[#This Row],[LOGIN]],tbMAPA[#All],2,0), "Não localizado")</f>
        <v>Denyse Souza Santos</v>
      </c>
      <c r="F2442" s="34" t="str">
        <f>IFERROR(VLOOKUP(tbLOG[[#This Row],[LOGIN]],tbMAPA[#All],3,0), "Não localizado")</f>
        <v>Jefte Soares Da Silva</v>
      </c>
      <c r="G2442" s="3" t="s">
        <v>1587</v>
      </c>
      <c r="H2442" s="3" t="s">
        <v>836</v>
      </c>
    </row>
    <row r="2443" spans="1:8">
      <c r="A2443" s="29">
        <v>42749.51489583333</v>
      </c>
      <c r="B2443" s="29" t="str">
        <f>PROPER(TEXT(tbLOG[[#This Row],[DATA/HORA]],"mmmm"))</f>
        <v>Janeiro</v>
      </c>
      <c r="C2443" s="34" t="str">
        <f>PROPER(TEXT(tbLOG[[#This Row],[DATA/HORA]],"dddd"))</f>
        <v>Sábado</v>
      </c>
      <c r="D2443" s="3" t="s">
        <v>696</v>
      </c>
      <c r="E2443" s="34" t="str">
        <f>IFERROR(VLOOKUP(tbLOG[[#This Row],[LOGIN]],tbMAPA[#All],2,0), "Não localizado")</f>
        <v>Denyse Souza Santos</v>
      </c>
      <c r="F2443" s="34" t="str">
        <f>IFERROR(VLOOKUP(tbLOG[[#This Row],[LOGIN]],tbMAPA[#All],3,0), "Não localizado")</f>
        <v>Jefte Soares Da Silva</v>
      </c>
      <c r="G2443" s="3" t="s">
        <v>1587</v>
      </c>
      <c r="H2443" s="3" t="s">
        <v>836</v>
      </c>
    </row>
    <row r="2444" spans="1:8">
      <c r="A2444" s="29">
        <v>42749.514976851853</v>
      </c>
      <c r="B2444" s="29" t="str">
        <f>PROPER(TEXT(tbLOG[[#This Row],[DATA/HORA]],"mmmm"))</f>
        <v>Janeiro</v>
      </c>
      <c r="C2444" s="34" t="str">
        <f>PROPER(TEXT(tbLOG[[#This Row],[DATA/HORA]],"dddd"))</f>
        <v>Sábado</v>
      </c>
      <c r="D2444" s="3" t="s">
        <v>696</v>
      </c>
      <c r="E2444" s="34" t="str">
        <f>IFERROR(VLOOKUP(tbLOG[[#This Row],[LOGIN]],tbMAPA[#All],2,0), "Não localizado")</f>
        <v>Denyse Souza Santos</v>
      </c>
      <c r="F2444" s="34" t="str">
        <f>IFERROR(VLOOKUP(tbLOG[[#This Row],[LOGIN]],tbMAPA[#All],3,0), "Não localizado")</f>
        <v>Jefte Soares Da Silva</v>
      </c>
      <c r="G2444" s="3" t="s">
        <v>1587</v>
      </c>
      <c r="H2444" s="3" t="s">
        <v>836</v>
      </c>
    </row>
    <row r="2445" spans="1:8">
      <c r="A2445" s="29">
        <v>42749.519363425927</v>
      </c>
      <c r="B2445" s="29" t="str">
        <f>PROPER(TEXT(tbLOG[[#This Row],[DATA/HORA]],"mmmm"))</f>
        <v>Janeiro</v>
      </c>
      <c r="C2445" s="34" t="str">
        <f>PROPER(TEXT(tbLOG[[#This Row],[DATA/HORA]],"dddd"))</f>
        <v>Sábado</v>
      </c>
      <c r="D2445" s="3" t="s">
        <v>696</v>
      </c>
      <c r="E2445" s="34" t="str">
        <f>IFERROR(VLOOKUP(tbLOG[[#This Row],[LOGIN]],tbMAPA[#All],2,0), "Não localizado")</f>
        <v>Denyse Souza Santos</v>
      </c>
      <c r="F2445" s="34" t="str">
        <f>IFERROR(VLOOKUP(tbLOG[[#This Row],[LOGIN]],tbMAPA[#All],3,0), "Não localizado")</f>
        <v>Jefte Soares Da Silva</v>
      </c>
      <c r="G2445" s="3" t="s">
        <v>1587</v>
      </c>
      <c r="H2445" s="3" t="s">
        <v>836</v>
      </c>
    </row>
    <row r="2446" spans="1:8">
      <c r="A2446" s="29">
        <v>42749.519386574073</v>
      </c>
      <c r="B2446" s="29" t="str">
        <f>PROPER(TEXT(tbLOG[[#This Row],[DATA/HORA]],"mmmm"))</f>
        <v>Janeiro</v>
      </c>
      <c r="C2446" s="34" t="str">
        <f>PROPER(TEXT(tbLOG[[#This Row],[DATA/HORA]],"dddd"))</f>
        <v>Sábado</v>
      </c>
      <c r="D2446" s="3" t="s">
        <v>696</v>
      </c>
      <c r="E2446" s="34" t="str">
        <f>IFERROR(VLOOKUP(tbLOG[[#This Row],[LOGIN]],tbMAPA[#All],2,0), "Não localizado")</f>
        <v>Denyse Souza Santos</v>
      </c>
      <c r="F2446" s="34" t="str">
        <f>IFERROR(VLOOKUP(tbLOG[[#This Row],[LOGIN]],tbMAPA[#All],3,0), "Não localizado")</f>
        <v>Jefte Soares Da Silva</v>
      </c>
      <c r="G2446" s="3" t="s">
        <v>1587</v>
      </c>
      <c r="H2446" s="3" t="s">
        <v>836</v>
      </c>
    </row>
    <row r="2447" spans="1:8">
      <c r="A2447" s="29">
        <v>42749.519548611112</v>
      </c>
      <c r="B2447" s="29" t="str">
        <f>PROPER(TEXT(tbLOG[[#This Row],[DATA/HORA]],"mmmm"))</f>
        <v>Janeiro</v>
      </c>
      <c r="C2447" s="34" t="str">
        <f>PROPER(TEXT(tbLOG[[#This Row],[DATA/HORA]],"dddd"))</f>
        <v>Sábado</v>
      </c>
      <c r="D2447" s="3" t="s">
        <v>696</v>
      </c>
      <c r="E2447" s="34" t="str">
        <f>IFERROR(VLOOKUP(tbLOG[[#This Row],[LOGIN]],tbMAPA[#All],2,0), "Não localizado")</f>
        <v>Denyse Souza Santos</v>
      </c>
      <c r="F2447" s="34" t="str">
        <f>IFERROR(VLOOKUP(tbLOG[[#This Row],[LOGIN]],tbMAPA[#All],3,0), "Não localizado")</f>
        <v>Jefte Soares Da Silva</v>
      </c>
      <c r="G2447" s="3" t="s">
        <v>1587</v>
      </c>
      <c r="H2447" s="3" t="s">
        <v>836</v>
      </c>
    </row>
    <row r="2448" spans="1:8">
      <c r="A2448" s="29">
        <v>42749.519641203704</v>
      </c>
      <c r="B2448" s="29" t="str">
        <f>PROPER(TEXT(tbLOG[[#This Row],[DATA/HORA]],"mmmm"))</f>
        <v>Janeiro</v>
      </c>
      <c r="C2448" s="34" t="str">
        <f>PROPER(TEXT(tbLOG[[#This Row],[DATA/HORA]],"dddd"))</f>
        <v>Sábado</v>
      </c>
      <c r="D2448" s="3" t="s">
        <v>696</v>
      </c>
      <c r="E2448" s="34" t="str">
        <f>IFERROR(VLOOKUP(tbLOG[[#This Row],[LOGIN]],tbMAPA[#All],2,0), "Não localizado")</f>
        <v>Denyse Souza Santos</v>
      </c>
      <c r="F2448" s="34" t="str">
        <f>IFERROR(VLOOKUP(tbLOG[[#This Row],[LOGIN]],tbMAPA[#All],3,0), "Não localizado")</f>
        <v>Jefte Soares Da Silva</v>
      </c>
      <c r="G2448" s="3" t="s">
        <v>1587</v>
      </c>
      <c r="H2448" s="3" t="s">
        <v>836</v>
      </c>
    </row>
    <row r="2449" spans="1:8">
      <c r="A2449" s="29">
        <v>42749.522164351853</v>
      </c>
      <c r="B2449" s="29" t="str">
        <f>PROPER(TEXT(tbLOG[[#This Row],[DATA/HORA]],"mmmm"))</f>
        <v>Janeiro</v>
      </c>
      <c r="C2449" s="34" t="str">
        <f>PROPER(TEXT(tbLOG[[#This Row],[DATA/HORA]],"dddd"))</f>
        <v>Sábado</v>
      </c>
      <c r="D2449" s="3" t="s">
        <v>696</v>
      </c>
      <c r="E2449" s="34" t="str">
        <f>IFERROR(VLOOKUP(tbLOG[[#This Row],[LOGIN]],tbMAPA[#All],2,0), "Não localizado")</f>
        <v>Denyse Souza Santos</v>
      </c>
      <c r="F2449" s="34" t="str">
        <f>IFERROR(VLOOKUP(tbLOG[[#This Row],[LOGIN]],tbMAPA[#All],3,0), "Não localizado")</f>
        <v>Jefte Soares Da Silva</v>
      </c>
      <c r="G2449" s="3" t="s">
        <v>1587</v>
      </c>
      <c r="H2449" s="3" t="s">
        <v>836</v>
      </c>
    </row>
    <row r="2450" spans="1:8">
      <c r="A2450" s="29">
        <v>42749.522187499999</v>
      </c>
      <c r="B2450" s="29" t="str">
        <f>PROPER(TEXT(tbLOG[[#This Row],[DATA/HORA]],"mmmm"))</f>
        <v>Janeiro</v>
      </c>
      <c r="C2450" s="34" t="str">
        <f>PROPER(TEXT(tbLOG[[#This Row],[DATA/HORA]],"dddd"))</f>
        <v>Sábado</v>
      </c>
      <c r="D2450" s="3" t="s">
        <v>696</v>
      </c>
      <c r="E2450" s="34" t="str">
        <f>IFERROR(VLOOKUP(tbLOG[[#This Row],[LOGIN]],tbMAPA[#All],2,0), "Não localizado")</f>
        <v>Denyse Souza Santos</v>
      </c>
      <c r="F2450" s="34" t="str">
        <f>IFERROR(VLOOKUP(tbLOG[[#This Row],[LOGIN]],tbMAPA[#All],3,0), "Não localizado")</f>
        <v>Jefte Soares Da Silva</v>
      </c>
      <c r="G2450" s="3" t="s">
        <v>1587</v>
      </c>
      <c r="H2450" s="3" t="s">
        <v>836</v>
      </c>
    </row>
    <row r="2451" spans="1:8">
      <c r="A2451" s="29">
        <v>42749.522685185184</v>
      </c>
      <c r="B2451" s="29" t="str">
        <f>PROPER(TEXT(tbLOG[[#This Row],[DATA/HORA]],"mmmm"))</f>
        <v>Janeiro</v>
      </c>
      <c r="C2451" s="34" t="str">
        <f>PROPER(TEXT(tbLOG[[#This Row],[DATA/HORA]],"dddd"))</f>
        <v>Sábado</v>
      </c>
      <c r="D2451" s="3" t="s">
        <v>696</v>
      </c>
      <c r="E2451" s="34" t="str">
        <f>IFERROR(VLOOKUP(tbLOG[[#This Row],[LOGIN]],tbMAPA[#All],2,0), "Não localizado")</f>
        <v>Denyse Souza Santos</v>
      </c>
      <c r="F2451" s="34" t="str">
        <f>IFERROR(VLOOKUP(tbLOG[[#This Row],[LOGIN]],tbMAPA[#All],3,0), "Não localizado")</f>
        <v>Jefte Soares Da Silva</v>
      </c>
      <c r="G2451" s="3" t="s">
        <v>1587</v>
      </c>
      <c r="H2451" s="3" t="s">
        <v>836</v>
      </c>
    </row>
    <row r="2452" spans="1:8">
      <c r="A2452" s="29">
        <v>42749.522777777776</v>
      </c>
      <c r="B2452" s="29" t="str">
        <f>PROPER(TEXT(tbLOG[[#This Row],[DATA/HORA]],"mmmm"))</f>
        <v>Janeiro</v>
      </c>
      <c r="C2452" s="34" t="str">
        <f>PROPER(TEXT(tbLOG[[#This Row],[DATA/HORA]],"dddd"))</f>
        <v>Sábado</v>
      </c>
      <c r="D2452" s="3" t="s">
        <v>696</v>
      </c>
      <c r="E2452" s="34" t="str">
        <f>IFERROR(VLOOKUP(tbLOG[[#This Row],[LOGIN]],tbMAPA[#All],2,0), "Não localizado")</f>
        <v>Denyse Souza Santos</v>
      </c>
      <c r="F2452" s="34" t="str">
        <f>IFERROR(VLOOKUP(tbLOG[[#This Row],[LOGIN]],tbMAPA[#All],3,0), "Não localizado")</f>
        <v>Jefte Soares Da Silva</v>
      </c>
      <c r="G2452" s="3" t="s">
        <v>1587</v>
      </c>
      <c r="H2452" s="3" t="s">
        <v>836</v>
      </c>
    </row>
    <row r="2453" spans="1:8">
      <c r="A2453" s="29">
        <v>42749.525231481479</v>
      </c>
      <c r="B2453" s="29" t="str">
        <f>PROPER(TEXT(tbLOG[[#This Row],[DATA/HORA]],"mmmm"))</f>
        <v>Janeiro</v>
      </c>
      <c r="C2453" s="34" t="str">
        <f>PROPER(TEXT(tbLOG[[#This Row],[DATA/HORA]],"dddd"))</f>
        <v>Sábado</v>
      </c>
      <c r="D2453" s="3" t="s">
        <v>696</v>
      </c>
      <c r="E2453" s="34" t="str">
        <f>IFERROR(VLOOKUP(tbLOG[[#This Row],[LOGIN]],tbMAPA[#All],2,0), "Não localizado")</f>
        <v>Denyse Souza Santos</v>
      </c>
      <c r="F2453" s="34" t="str">
        <f>IFERROR(VLOOKUP(tbLOG[[#This Row],[LOGIN]],tbMAPA[#All],3,0), "Não localizado")</f>
        <v>Jefte Soares Da Silva</v>
      </c>
      <c r="G2453" s="3" t="s">
        <v>1587</v>
      </c>
      <c r="H2453" s="3" t="s">
        <v>836</v>
      </c>
    </row>
    <row r="2454" spans="1:8">
      <c r="A2454" s="29">
        <v>42749.52542824074</v>
      </c>
      <c r="B2454" s="29" t="str">
        <f>PROPER(TEXT(tbLOG[[#This Row],[DATA/HORA]],"mmmm"))</f>
        <v>Janeiro</v>
      </c>
      <c r="C2454" s="34" t="str">
        <f>PROPER(TEXT(tbLOG[[#This Row],[DATA/HORA]],"dddd"))</f>
        <v>Sábado</v>
      </c>
      <c r="D2454" s="3" t="s">
        <v>696</v>
      </c>
      <c r="E2454" s="34" t="str">
        <f>IFERROR(VLOOKUP(tbLOG[[#This Row],[LOGIN]],tbMAPA[#All],2,0), "Não localizado")</f>
        <v>Denyse Souza Santos</v>
      </c>
      <c r="F2454" s="34" t="str">
        <f>IFERROR(VLOOKUP(tbLOG[[#This Row],[LOGIN]],tbMAPA[#All],3,0), "Não localizado")</f>
        <v>Jefte Soares Da Silva</v>
      </c>
      <c r="G2454" s="3" t="s">
        <v>1587</v>
      </c>
      <c r="H2454" s="3" t="s">
        <v>836</v>
      </c>
    </row>
    <row r="2455" spans="1:8">
      <c r="A2455" s="29">
        <v>42749.525497685187</v>
      </c>
      <c r="B2455" s="29" t="str">
        <f>PROPER(TEXT(tbLOG[[#This Row],[DATA/HORA]],"mmmm"))</f>
        <v>Janeiro</v>
      </c>
      <c r="C2455" s="34" t="str">
        <f>PROPER(TEXT(tbLOG[[#This Row],[DATA/HORA]],"dddd"))</f>
        <v>Sábado</v>
      </c>
      <c r="D2455" s="3" t="s">
        <v>696</v>
      </c>
      <c r="E2455" s="34" t="str">
        <f>IFERROR(VLOOKUP(tbLOG[[#This Row],[LOGIN]],tbMAPA[#All],2,0), "Não localizado")</f>
        <v>Denyse Souza Santos</v>
      </c>
      <c r="F2455" s="34" t="str">
        <f>IFERROR(VLOOKUP(tbLOG[[#This Row],[LOGIN]],tbMAPA[#All],3,0), "Não localizado")</f>
        <v>Jefte Soares Da Silva</v>
      </c>
      <c r="G2455" s="3" t="s">
        <v>1587</v>
      </c>
      <c r="H2455" s="3" t="s">
        <v>836</v>
      </c>
    </row>
    <row r="2456" spans="1:8">
      <c r="A2456" s="29">
        <v>42749.52783564815</v>
      </c>
      <c r="B2456" s="29" t="str">
        <f>PROPER(TEXT(tbLOG[[#This Row],[DATA/HORA]],"mmmm"))</f>
        <v>Janeiro</v>
      </c>
      <c r="C2456" s="34" t="str">
        <f>PROPER(TEXT(tbLOG[[#This Row],[DATA/HORA]],"dddd"))</f>
        <v>Sábado</v>
      </c>
      <c r="D2456" s="3" t="s">
        <v>696</v>
      </c>
      <c r="E2456" s="34" t="str">
        <f>IFERROR(VLOOKUP(tbLOG[[#This Row],[LOGIN]],tbMAPA[#All],2,0), "Não localizado")</f>
        <v>Denyse Souza Santos</v>
      </c>
      <c r="F2456" s="34" t="str">
        <f>IFERROR(VLOOKUP(tbLOG[[#This Row],[LOGIN]],tbMAPA[#All],3,0), "Não localizado")</f>
        <v>Jefte Soares Da Silva</v>
      </c>
      <c r="G2456" s="3" t="s">
        <v>1587</v>
      </c>
      <c r="H2456" s="3" t="s">
        <v>836</v>
      </c>
    </row>
    <row r="2457" spans="1:8">
      <c r="A2457" s="29">
        <v>42749.52789351852</v>
      </c>
      <c r="B2457" s="29" t="str">
        <f>PROPER(TEXT(tbLOG[[#This Row],[DATA/HORA]],"mmmm"))</f>
        <v>Janeiro</v>
      </c>
      <c r="C2457" s="34" t="str">
        <f>PROPER(TEXT(tbLOG[[#This Row],[DATA/HORA]],"dddd"))</f>
        <v>Sábado</v>
      </c>
      <c r="D2457" s="3" t="s">
        <v>696</v>
      </c>
      <c r="E2457" s="34" t="str">
        <f>IFERROR(VLOOKUP(tbLOG[[#This Row],[LOGIN]],tbMAPA[#All],2,0), "Não localizado")</f>
        <v>Denyse Souza Santos</v>
      </c>
      <c r="F2457" s="34" t="str">
        <f>IFERROR(VLOOKUP(tbLOG[[#This Row],[LOGIN]],tbMAPA[#All],3,0), "Não localizado")</f>
        <v>Jefte Soares Da Silva</v>
      </c>
      <c r="G2457" s="3" t="s">
        <v>1587</v>
      </c>
      <c r="H2457" s="3" t="s">
        <v>836</v>
      </c>
    </row>
    <row r="2458" spans="1:8">
      <c r="A2458" s="29">
        <v>42749.527997685182</v>
      </c>
      <c r="B2458" s="29" t="str">
        <f>PROPER(TEXT(tbLOG[[#This Row],[DATA/HORA]],"mmmm"))</f>
        <v>Janeiro</v>
      </c>
      <c r="C2458" s="34" t="str">
        <f>PROPER(TEXT(tbLOG[[#This Row],[DATA/HORA]],"dddd"))</f>
        <v>Sábado</v>
      </c>
      <c r="D2458" s="3" t="s">
        <v>696</v>
      </c>
      <c r="E2458" s="34" t="str">
        <f>IFERROR(VLOOKUP(tbLOG[[#This Row],[LOGIN]],tbMAPA[#All],2,0), "Não localizado")</f>
        <v>Denyse Souza Santos</v>
      </c>
      <c r="F2458" s="34" t="str">
        <f>IFERROR(VLOOKUP(tbLOG[[#This Row],[LOGIN]],tbMAPA[#All],3,0), "Não localizado")</f>
        <v>Jefte Soares Da Silva</v>
      </c>
      <c r="G2458" s="3" t="s">
        <v>1587</v>
      </c>
      <c r="H2458" s="3" t="s">
        <v>836</v>
      </c>
    </row>
    <row r="2459" spans="1:8">
      <c r="A2459" s="29">
        <v>42749.528078703705</v>
      </c>
      <c r="B2459" s="29" t="str">
        <f>PROPER(TEXT(tbLOG[[#This Row],[DATA/HORA]],"mmmm"))</f>
        <v>Janeiro</v>
      </c>
      <c r="C2459" s="34" t="str">
        <f>PROPER(TEXT(tbLOG[[#This Row],[DATA/HORA]],"dddd"))</f>
        <v>Sábado</v>
      </c>
      <c r="D2459" s="3" t="s">
        <v>696</v>
      </c>
      <c r="E2459" s="34" t="str">
        <f>IFERROR(VLOOKUP(tbLOG[[#This Row],[LOGIN]],tbMAPA[#All],2,0), "Não localizado")</f>
        <v>Denyse Souza Santos</v>
      </c>
      <c r="F2459" s="34" t="str">
        <f>IFERROR(VLOOKUP(tbLOG[[#This Row],[LOGIN]],tbMAPA[#All],3,0), "Não localizado")</f>
        <v>Jefte Soares Da Silva</v>
      </c>
      <c r="G2459" s="3" t="s">
        <v>1587</v>
      </c>
      <c r="H2459" s="3" t="s">
        <v>836</v>
      </c>
    </row>
    <row r="2460" spans="1:8">
      <c r="A2460" s="29">
        <v>42749.533449074072</v>
      </c>
      <c r="B2460" s="29" t="str">
        <f>PROPER(TEXT(tbLOG[[#This Row],[DATA/HORA]],"mmmm"))</f>
        <v>Janeiro</v>
      </c>
      <c r="C2460" s="34" t="str">
        <f>PROPER(TEXT(tbLOG[[#This Row],[DATA/HORA]],"dddd"))</f>
        <v>Sábado</v>
      </c>
      <c r="D2460" s="3" t="s">
        <v>696</v>
      </c>
      <c r="E2460" s="34" t="str">
        <f>IFERROR(VLOOKUP(tbLOG[[#This Row],[LOGIN]],tbMAPA[#All],2,0), "Não localizado")</f>
        <v>Denyse Souza Santos</v>
      </c>
      <c r="F2460" s="34" t="str">
        <f>IFERROR(VLOOKUP(tbLOG[[#This Row],[LOGIN]],tbMAPA[#All],3,0), "Não localizado")</f>
        <v>Jefte Soares Da Silva</v>
      </c>
      <c r="G2460" s="3" t="s">
        <v>1587</v>
      </c>
      <c r="H2460" s="3" t="s">
        <v>836</v>
      </c>
    </row>
    <row r="2461" spans="1:8">
      <c r="A2461" s="29">
        <v>42749.533483796295</v>
      </c>
      <c r="B2461" s="29" t="str">
        <f>PROPER(TEXT(tbLOG[[#This Row],[DATA/HORA]],"mmmm"))</f>
        <v>Janeiro</v>
      </c>
      <c r="C2461" s="34" t="str">
        <f>PROPER(TEXT(tbLOG[[#This Row],[DATA/HORA]],"dddd"))</f>
        <v>Sábado</v>
      </c>
      <c r="D2461" s="3" t="s">
        <v>696</v>
      </c>
      <c r="E2461" s="34" t="str">
        <f>IFERROR(VLOOKUP(tbLOG[[#This Row],[LOGIN]],tbMAPA[#All],2,0), "Não localizado")</f>
        <v>Denyse Souza Santos</v>
      </c>
      <c r="F2461" s="34" t="str">
        <f>IFERROR(VLOOKUP(tbLOG[[#This Row],[LOGIN]],tbMAPA[#All],3,0), "Não localizado")</f>
        <v>Jefte Soares Da Silva</v>
      </c>
      <c r="G2461" s="3" t="s">
        <v>1587</v>
      </c>
      <c r="H2461" s="3" t="s">
        <v>836</v>
      </c>
    </row>
    <row r="2462" spans="1:8">
      <c r="A2462" s="29">
        <v>42749.533541666664</v>
      </c>
      <c r="B2462" s="29" t="str">
        <f>PROPER(TEXT(tbLOG[[#This Row],[DATA/HORA]],"mmmm"))</f>
        <v>Janeiro</v>
      </c>
      <c r="C2462" s="34" t="str">
        <f>PROPER(TEXT(tbLOG[[#This Row],[DATA/HORA]],"dddd"))</f>
        <v>Sábado</v>
      </c>
      <c r="D2462" s="3" t="s">
        <v>696</v>
      </c>
      <c r="E2462" s="34" t="str">
        <f>IFERROR(VLOOKUP(tbLOG[[#This Row],[LOGIN]],tbMAPA[#All],2,0), "Não localizado")</f>
        <v>Denyse Souza Santos</v>
      </c>
      <c r="F2462" s="34" t="str">
        <f>IFERROR(VLOOKUP(tbLOG[[#This Row],[LOGIN]],tbMAPA[#All],3,0), "Não localizado")</f>
        <v>Jefte Soares Da Silva</v>
      </c>
      <c r="G2462" s="3" t="s">
        <v>1587</v>
      </c>
      <c r="H2462" s="3" t="s">
        <v>836</v>
      </c>
    </row>
    <row r="2463" spans="1:8">
      <c r="A2463" s="29">
        <v>42749.533645833333</v>
      </c>
      <c r="B2463" s="29" t="str">
        <f>PROPER(TEXT(tbLOG[[#This Row],[DATA/HORA]],"mmmm"))</f>
        <v>Janeiro</v>
      </c>
      <c r="C2463" s="34" t="str">
        <f>PROPER(TEXT(tbLOG[[#This Row],[DATA/HORA]],"dddd"))</f>
        <v>Sábado</v>
      </c>
      <c r="D2463" s="3" t="s">
        <v>696</v>
      </c>
      <c r="E2463" s="34" t="str">
        <f>IFERROR(VLOOKUP(tbLOG[[#This Row],[LOGIN]],tbMAPA[#All],2,0), "Não localizado")</f>
        <v>Denyse Souza Santos</v>
      </c>
      <c r="F2463" s="34" t="str">
        <f>IFERROR(VLOOKUP(tbLOG[[#This Row],[LOGIN]],tbMAPA[#All],3,0), "Não localizado")</f>
        <v>Jefte Soares Da Silva</v>
      </c>
      <c r="G2463" s="3" t="s">
        <v>1587</v>
      </c>
      <c r="H2463" s="3" t="s">
        <v>836</v>
      </c>
    </row>
    <row r="2464" spans="1:8">
      <c r="A2464" s="29">
        <v>42749.536956018521</v>
      </c>
      <c r="B2464" s="29" t="str">
        <f>PROPER(TEXT(tbLOG[[#This Row],[DATA/HORA]],"mmmm"))</f>
        <v>Janeiro</v>
      </c>
      <c r="C2464" s="34" t="str">
        <f>PROPER(TEXT(tbLOG[[#This Row],[DATA/HORA]],"dddd"))</f>
        <v>Sábado</v>
      </c>
      <c r="D2464" s="3" t="s">
        <v>696</v>
      </c>
      <c r="E2464" s="34" t="str">
        <f>IFERROR(VLOOKUP(tbLOG[[#This Row],[LOGIN]],tbMAPA[#All],2,0), "Não localizado")</f>
        <v>Denyse Souza Santos</v>
      </c>
      <c r="F2464" s="34" t="str">
        <f>IFERROR(VLOOKUP(tbLOG[[#This Row],[LOGIN]],tbMAPA[#All],3,0), "Não localizado")</f>
        <v>Jefte Soares Da Silva</v>
      </c>
      <c r="G2464" s="3" t="s">
        <v>1587</v>
      </c>
      <c r="H2464" s="3" t="s">
        <v>836</v>
      </c>
    </row>
    <row r="2465" spans="1:8">
      <c r="A2465" s="29">
        <v>42749.537002314813</v>
      </c>
      <c r="B2465" s="29" t="str">
        <f>PROPER(TEXT(tbLOG[[#This Row],[DATA/HORA]],"mmmm"))</f>
        <v>Janeiro</v>
      </c>
      <c r="C2465" s="34" t="str">
        <f>PROPER(TEXT(tbLOG[[#This Row],[DATA/HORA]],"dddd"))</f>
        <v>Sábado</v>
      </c>
      <c r="D2465" s="3" t="s">
        <v>696</v>
      </c>
      <c r="E2465" s="34" t="str">
        <f>IFERROR(VLOOKUP(tbLOG[[#This Row],[LOGIN]],tbMAPA[#All],2,0), "Não localizado")</f>
        <v>Denyse Souza Santos</v>
      </c>
      <c r="F2465" s="34" t="str">
        <f>IFERROR(VLOOKUP(tbLOG[[#This Row],[LOGIN]],tbMAPA[#All],3,0), "Não localizado")</f>
        <v>Jefte Soares Da Silva</v>
      </c>
      <c r="G2465" s="3" t="s">
        <v>1587</v>
      </c>
      <c r="H2465" s="3" t="s">
        <v>836</v>
      </c>
    </row>
    <row r="2466" spans="1:8">
      <c r="A2466" s="29">
        <v>42749.53702546296</v>
      </c>
      <c r="B2466" s="29" t="str">
        <f>PROPER(TEXT(tbLOG[[#This Row],[DATA/HORA]],"mmmm"))</f>
        <v>Janeiro</v>
      </c>
      <c r="C2466" s="34" t="str">
        <f>PROPER(TEXT(tbLOG[[#This Row],[DATA/HORA]],"dddd"))</f>
        <v>Sábado</v>
      </c>
      <c r="D2466" s="3" t="s">
        <v>696</v>
      </c>
      <c r="E2466" s="34" t="str">
        <f>IFERROR(VLOOKUP(tbLOG[[#This Row],[LOGIN]],tbMAPA[#All],2,0), "Não localizado")</f>
        <v>Denyse Souza Santos</v>
      </c>
      <c r="F2466" s="34" t="str">
        <f>IFERROR(VLOOKUP(tbLOG[[#This Row],[LOGIN]],tbMAPA[#All],3,0), "Não localizado")</f>
        <v>Jefte Soares Da Silva</v>
      </c>
      <c r="G2466" s="3" t="s">
        <v>1587</v>
      </c>
      <c r="H2466" s="3" t="s">
        <v>836</v>
      </c>
    </row>
    <row r="2467" spans="1:8">
      <c r="A2467" s="29">
        <v>42749.537222222221</v>
      </c>
      <c r="B2467" s="29" t="str">
        <f>PROPER(TEXT(tbLOG[[#This Row],[DATA/HORA]],"mmmm"))</f>
        <v>Janeiro</v>
      </c>
      <c r="C2467" s="34" t="str">
        <f>PROPER(TEXT(tbLOG[[#This Row],[DATA/HORA]],"dddd"))</f>
        <v>Sábado</v>
      </c>
      <c r="D2467" s="3" t="s">
        <v>696</v>
      </c>
      <c r="E2467" s="34" t="str">
        <f>IFERROR(VLOOKUP(tbLOG[[#This Row],[LOGIN]],tbMAPA[#All],2,0), "Não localizado")</f>
        <v>Denyse Souza Santos</v>
      </c>
      <c r="F2467" s="34" t="str">
        <f>IFERROR(VLOOKUP(tbLOG[[#This Row],[LOGIN]],tbMAPA[#All],3,0), "Não localizado")</f>
        <v>Jefte Soares Da Silva</v>
      </c>
      <c r="G2467" s="3" t="s">
        <v>1587</v>
      </c>
      <c r="H2467" s="3" t="s">
        <v>836</v>
      </c>
    </row>
    <row r="2468" spans="1:8">
      <c r="A2468" s="29">
        <v>42749.537314814814</v>
      </c>
      <c r="B2468" s="29" t="str">
        <f>PROPER(TEXT(tbLOG[[#This Row],[DATA/HORA]],"mmmm"))</f>
        <v>Janeiro</v>
      </c>
      <c r="C2468" s="34" t="str">
        <f>PROPER(TEXT(tbLOG[[#This Row],[DATA/HORA]],"dddd"))</f>
        <v>Sábado</v>
      </c>
      <c r="D2468" s="3" t="s">
        <v>696</v>
      </c>
      <c r="E2468" s="34" t="str">
        <f>IFERROR(VLOOKUP(tbLOG[[#This Row],[LOGIN]],tbMAPA[#All],2,0), "Não localizado")</f>
        <v>Denyse Souza Santos</v>
      </c>
      <c r="F2468" s="34" t="str">
        <f>IFERROR(VLOOKUP(tbLOG[[#This Row],[LOGIN]],tbMAPA[#All],3,0), "Não localizado")</f>
        <v>Jefte Soares Da Silva</v>
      </c>
      <c r="G2468" s="3" t="s">
        <v>1587</v>
      </c>
      <c r="H2468" s="3" t="s">
        <v>836</v>
      </c>
    </row>
    <row r="2469" spans="1:8">
      <c r="A2469" s="29">
        <v>42749.553194444445</v>
      </c>
      <c r="B2469" s="29" t="str">
        <f>PROPER(TEXT(tbLOG[[#This Row],[DATA/HORA]],"mmmm"))</f>
        <v>Janeiro</v>
      </c>
      <c r="C2469" s="34" t="str">
        <f>PROPER(TEXT(tbLOG[[#This Row],[DATA/HORA]],"dddd"))</f>
        <v>Sábado</v>
      </c>
      <c r="D2469" s="3" t="s">
        <v>696</v>
      </c>
      <c r="E2469" s="34" t="str">
        <f>IFERROR(VLOOKUP(tbLOG[[#This Row],[LOGIN]],tbMAPA[#All],2,0), "Não localizado")</f>
        <v>Denyse Souza Santos</v>
      </c>
      <c r="F2469" s="34" t="str">
        <f>IFERROR(VLOOKUP(tbLOG[[#This Row],[LOGIN]],tbMAPA[#All],3,0), "Não localizado")</f>
        <v>Jefte Soares Da Silva</v>
      </c>
      <c r="G2469" s="3" t="s">
        <v>1587</v>
      </c>
      <c r="H2469" s="3" t="s">
        <v>836</v>
      </c>
    </row>
    <row r="2470" spans="1:8">
      <c r="A2470" s="29">
        <v>42749.553252314814</v>
      </c>
      <c r="B2470" s="29" t="str">
        <f>PROPER(TEXT(tbLOG[[#This Row],[DATA/HORA]],"mmmm"))</f>
        <v>Janeiro</v>
      </c>
      <c r="C2470" s="34" t="str">
        <f>PROPER(TEXT(tbLOG[[#This Row],[DATA/HORA]],"dddd"))</f>
        <v>Sábado</v>
      </c>
      <c r="D2470" s="3" t="s">
        <v>696</v>
      </c>
      <c r="E2470" s="34" t="str">
        <f>IFERROR(VLOOKUP(tbLOG[[#This Row],[LOGIN]],tbMAPA[#All],2,0), "Não localizado")</f>
        <v>Denyse Souza Santos</v>
      </c>
      <c r="F2470" s="34" t="str">
        <f>IFERROR(VLOOKUP(tbLOG[[#This Row],[LOGIN]],tbMAPA[#All],3,0), "Não localizado")</f>
        <v>Jefte Soares Da Silva</v>
      </c>
      <c r="G2470" s="3" t="s">
        <v>1587</v>
      </c>
      <c r="H2470" s="3" t="s">
        <v>836</v>
      </c>
    </row>
    <row r="2471" spans="1:8">
      <c r="A2471" s="29">
        <v>42749.553356481483</v>
      </c>
      <c r="B2471" s="29" t="str">
        <f>PROPER(TEXT(tbLOG[[#This Row],[DATA/HORA]],"mmmm"))</f>
        <v>Janeiro</v>
      </c>
      <c r="C2471" s="34" t="str">
        <f>PROPER(TEXT(tbLOG[[#This Row],[DATA/HORA]],"dddd"))</f>
        <v>Sábado</v>
      </c>
      <c r="D2471" s="3" t="s">
        <v>696</v>
      </c>
      <c r="E2471" s="34" t="str">
        <f>IFERROR(VLOOKUP(tbLOG[[#This Row],[LOGIN]],tbMAPA[#All],2,0), "Não localizado")</f>
        <v>Denyse Souza Santos</v>
      </c>
      <c r="F2471" s="34" t="str">
        <f>IFERROR(VLOOKUP(tbLOG[[#This Row],[LOGIN]],tbMAPA[#All],3,0), "Não localizado")</f>
        <v>Jefte Soares Da Silva</v>
      </c>
      <c r="G2471" s="3" t="s">
        <v>1587</v>
      </c>
      <c r="H2471" s="3" t="s">
        <v>836</v>
      </c>
    </row>
    <row r="2472" spans="1:8">
      <c r="A2472" s="29">
        <v>42749.553564814814</v>
      </c>
      <c r="B2472" s="29" t="str">
        <f>PROPER(TEXT(tbLOG[[#This Row],[DATA/HORA]],"mmmm"))</f>
        <v>Janeiro</v>
      </c>
      <c r="C2472" s="34" t="str">
        <f>PROPER(TEXT(tbLOG[[#This Row],[DATA/HORA]],"dddd"))</f>
        <v>Sábado</v>
      </c>
      <c r="D2472" s="3" t="s">
        <v>696</v>
      </c>
      <c r="E2472" s="34" t="str">
        <f>IFERROR(VLOOKUP(tbLOG[[#This Row],[LOGIN]],tbMAPA[#All],2,0), "Não localizado")</f>
        <v>Denyse Souza Santos</v>
      </c>
      <c r="F2472" s="34" t="str">
        <f>IFERROR(VLOOKUP(tbLOG[[#This Row],[LOGIN]],tbMAPA[#All],3,0), "Não localizado")</f>
        <v>Jefte Soares Da Silva</v>
      </c>
      <c r="G2472" s="3" t="s">
        <v>1587</v>
      </c>
      <c r="H2472" s="3" t="s">
        <v>836</v>
      </c>
    </row>
    <row r="2473" spans="1:8">
      <c r="A2473" s="29">
        <v>42749.555347222224</v>
      </c>
      <c r="B2473" s="29" t="str">
        <f>PROPER(TEXT(tbLOG[[#This Row],[DATA/HORA]],"mmmm"))</f>
        <v>Janeiro</v>
      </c>
      <c r="C2473" s="34" t="str">
        <f>PROPER(TEXT(tbLOG[[#This Row],[DATA/HORA]],"dddd"))</f>
        <v>Sábado</v>
      </c>
      <c r="D2473" s="3" t="s">
        <v>696</v>
      </c>
      <c r="E2473" s="34" t="str">
        <f>IFERROR(VLOOKUP(tbLOG[[#This Row],[LOGIN]],tbMAPA[#All],2,0), "Não localizado")</f>
        <v>Denyse Souza Santos</v>
      </c>
      <c r="F2473" s="34" t="str">
        <f>IFERROR(VLOOKUP(tbLOG[[#This Row],[LOGIN]],tbMAPA[#All],3,0), "Não localizado")</f>
        <v>Jefte Soares Da Silva</v>
      </c>
      <c r="G2473" s="3" t="s">
        <v>1587</v>
      </c>
      <c r="H2473" s="3" t="s">
        <v>836</v>
      </c>
    </row>
    <row r="2474" spans="1:8">
      <c r="A2474" s="29">
        <v>42749.555439814816</v>
      </c>
      <c r="B2474" s="29" t="str">
        <f>PROPER(TEXT(tbLOG[[#This Row],[DATA/HORA]],"mmmm"))</f>
        <v>Janeiro</v>
      </c>
      <c r="C2474" s="34" t="str">
        <f>PROPER(TEXT(tbLOG[[#This Row],[DATA/HORA]],"dddd"))</f>
        <v>Sábado</v>
      </c>
      <c r="D2474" s="3" t="s">
        <v>696</v>
      </c>
      <c r="E2474" s="34" t="str">
        <f>IFERROR(VLOOKUP(tbLOG[[#This Row],[LOGIN]],tbMAPA[#All],2,0), "Não localizado")</f>
        <v>Denyse Souza Santos</v>
      </c>
      <c r="F2474" s="34" t="str">
        <f>IFERROR(VLOOKUP(tbLOG[[#This Row],[LOGIN]],tbMAPA[#All],3,0), "Não localizado")</f>
        <v>Jefte Soares Da Silva</v>
      </c>
      <c r="G2474" s="3" t="s">
        <v>1587</v>
      </c>
      <c r="H2474" s="3" t="s">
        <v>836</v>
      </c>
    </row>
    <row r="2475" spans="1:8">
      <c r="A2475" s="29">
        <v>42749.555520833332</v>
      </c>
      <c r="B2475" s="29" t="str">
        <f>PROPER(TEXT(tbLOG[[#This Row],[DATA/HORA]],"mmmm"))</f>
        <v>Janeiro</v>
      </c>
      <c r="C2475" s="34" t="str">
        <f>PROPER(TEXT(tbLOG[[#This Row],[DATA/HORA]],"dddd"))</f>
        <v>Sábado</v>
      </c>
      <c r="D2475" s="3" t="s">
        <v>696</v>
      </c>
      <c r="E2475" s="34" t="str">
        <f>IFERROR(VLOOKUP(tbLOG[[#This Row],[LOGIN]],tbMAPA[#All],2,0), "Não localizado")</f>
        <v>Denyse Souza Santos</v>
      </c>
      <c r="F2475" s="34" t="str">
        <f>IFERROR(VLOOKUP(tbLOG[[#This Row],[LOGIN]],tbMAPA[#All],3,0), "Não localizado")</f>
        <v>Jefte Soares Da Silva</v>
      </c>
      <c r="G2475" s="3" t="s">
        <v>1587</v>
      </c>
      <c r="H2475" s="3" t="s">
        <v>836</v>
      </c>
    </row>
    <row r="2476" spans="1:8">
      <c r="A2476" s="29">
        <v>42749.555567129632</v>
      </c>
      <c r="B2476" s="29" t="str">
        <f>PROPER(TEXT(tbLOG[[#This Row],[DATA/HORA]],"mmmm"))</f>
        <v>Janeiro</v>
      </c>
      <c r="C2476" s="34" t="str">
        <f>PROPER(TEXT(tbLOG[[#This Row],[DATA/HORA]],"dddd"))</f>
        <v>Sábado</v>
      </c>
      <c r="D2476" s="3" t="s">
        <v>696</v>
      </c>
      <c r="E2476" s="34" t="str">
        <f>IFERROR(VLOOKUP(tbLOG[[#This Row],[LOGIN]],tbMAPA[#All],2,0), "Não localizado")</f>
        <v>Denyse Souza Santos</v>
      </c>
      <c r="F2476" s="34" t="str">
        <f>IFERROR(VLOOKUP(tbLOG[[#This Row],[LOGIN]],tbMAPA[#All],3,0), "Não localizado")</f>
        <v>Jefte Soares Da Silva</v>
      </c>
      <c r="G2476" s="3" t="s">
        <v>1587</v>
      </c>
      <c r="H2476" s="3" t="s">
        <v>836</v>
      </c>
    </row>
    <row r="2477" spans="1:8">
      <c r="A2477" s="29">
        <v>42749.555578703701</v>
      </c>
      <c r="B2477" s="29" t="str">
        <f>PROPER(TEXT(tbLOG[[#This Row],[DATA/HORA]],"mmmm"))</f>
        <v>Janeiro</v>
      </c>
      <c r="C2477" s="34" t="str">
        <f>PROPER(TEXT(tbLOG[[#This Row],[DATA/HORA]],"dddd"))</f>
        <v>Sábado</v>
      </c>
      <c r="D2477" s="3" t="s">
        <v>696</v>
      </c>
      <c r="E2477" s="34" t="str">
        <f>IFERROR(VLOOKUP(tbLOG[[#This Row],[LOGIN]],tbMAPA[#All],2,0), "Não localizado")</f>
        <v>Denyse Souza Santos</v>
      </c>
      <c r="F2477" s="34" t="str">
        <f>IFERROR(VLOOKUP(tbLOG[[#This Row],[LOGIN]],tbMAPA[#All],3,0), "Não localizado")</f>
        <v>Jefte Soares Da Silva</v>
      </c>
      <c r="G2477" s="3" t="s">
        <v>1587</v>
      </c>
      <c r="H2477" s="3" t="s">
        <v>836</v>
      </c>
    </row>
    <row r="2478" spans="1:8">
      <c r="A2478" s="29">
        <v>42749.555706018517</v>
      </c>
      <c r="B2478" s="29" t="str">
        <f>PROPER(TEXT(tbLOG[[#This Row],[DATA/HORA]],"mmmm"))</f>
        <v>Janeiro</v>
      </c>
      <c r="C2478" s="34" t="str">
        <f>PROPER(TEXT(tbLOG[[#This Row],[DATA/HORA]],"dddd"))</f>
        <v>Sábado</v>
      </c>
      <c r="D2478" s="3" t="s">
        <v>696</v>
      </c>
      <c r="E2478" s="34" t="str">
        <f>IFERROR(VLOOKUP(tbLOG[[#This Row],[LOGIN]],tbMAPA[#All],2,0), "Não localizado")</f>
        <v>Denyse Souza Santos</v>
      </c>
      <c r="F2478" s="34" t="str">
        <f>IFERROR(VLOOKUP(tbLOG[[#This Row],[LOGIN]],tbMAPA[#All],3,0), "Não localizado")</f>
        <v>Jefte Soares Da Silva</v>
      </c>
      <c r="G2478" s="3" t="s">
        <v>1587</v>
      </c>
      <c r="H2478" s="3" t="s">
        <v>836</v>
      </c>
    </row>
    <row r="2479" spans="1:8">
      <c r="A2479" s="29">
        <v>42749.557789351849</v>
      </c>
      <c r="B2479" s="29" t="str">
        <f>PROPER(TEXT(tbLOG[[#This Row],[DATA/HORA]],"mmmm"))</f>
        <v>Janeiro</v>
      </c>
      <c r="C2479" s="34" t="str">
        <f>PROPER(TEXT(tbLOG[[#This Row],[DATA/HORA]],"dddd"))</f>
        <v>Sábado</v>
      </c>
      <c r="D2479" s="3" t="s">
        <v>696</v>
      </c>
      <c r="E2479" s="34" t="str">
        <f>IFERROR(VLOOKUP(tbLOG[[#This Row],[LOGIN]],tbMAPA[#All],2,0), "Não localizado")</f>
        <v>Denyse Souza Santos</v>
      </c>
      <c r="F2479" s="34" t="str">
        <f>IFERROR(VLOOKUP(tbLOG[[#This Row],[LOGIN]],tbMAPA[#All],3,0), "Não localizado")</f>
        <v>Jefte Soares Da Silva</v>
      </c>
      <c r="G2479" s="3" t="s">
        <v>1587</v>
      </c>
      <c r="H2479" s="3" t="s">
        <v>836</v>
      </c>
    </row>
    <row r="2480" spans="1:8">
      <c r="A2480" s="29">
        <v>42749.557847222219</v>
      </c>
      <c r="B2480" s="29" t="str">
        <f>PROPER(TEXT(tbLOG[[#This Row],[DATA/HORA]],"mmmm"))</f>
        <v>Janeiro</v>
      </c>
      <c r="C2480" s="34" t="str">
        <f>PROPER(TEXT(tbLOG[[#This Row],[DATA/HORA]],"dddd"))</f>
        <v>Sábado</v>
      </c>
      <c r="D2480" s="3" t="s">
        <v>696</v>
      </c>
      <c r="E2480" s="34" t="str">
        <f>IFERROR(VLOOKUP(tbLOG[[#This Row],[LOGIN]],tbMAPA[#All],2,0), "Não localizado")</f>
        <v>Denyse Souza Santos</v>
      </c>
      <c r="F2480" s="34" t="str">
        <f>IFERROR(VLOOKUP(tbLOG[[#This Row],[LOGIN]],tbMAPA[#All],3,0), "Não localizado")</f>
        <v>Jefte Soares Da Silva</v>
      </c>
      <c r="G2480" s="3" t="s">
        <v>1587</v>
      </c>
      <c r="H2480" s="3" t="s">
        <v>836</v>
      </c>
    </row>
    <row r="2481" spans="1:8">
      <c r="A2481" s="29">
        <v>42749.557951388888</v>
      </c>
      <c r="B2481" s="29" t="str">
        <f>PROPER(TEXT(tbLOG[[#This Row],[DATA/HORA]],"mmmm"))</f>
        <v>Janeiro</v>
      </c>
      <c r="C2481" s="34" t="str">
        <f>PROPER(TEXT(tbLOG[[#This Row],[DATA/HORA]],"dddd"))</f>
        <v>Sábado</v>
      </c>
      <c r="D2481" s="3" t="s">
        <v>696</v>
      </c>
      <c r="E2481" s="34" t="str">
        <f>IFERROR(VLOOKUP(tbLOG[[#This Row],[LOGIN]],tbMAPA[#All],2,0), "Não localizado")</f>
        <v>Denyse Souza Santos</v>
      </c>
      <c r="F2481" s="34" t="str">
        <f>IFERROR(VLOOKUP(tbLOG[[#This Row],[LOGIN]],tbMAPA[#All],3,0), "Não localizado")</f>
        <v>Jefte Soares Da Silva</v>
      </c>
      <c r="G2481" s="3" t="s">
        <v>1587</v>
      </c>
      <c r="H2481" s="3" t="s">
        <v>836</v>
      </c>
    </row>
    <row r="2482" spans="1:8">
      <c r="A2482" s="29">
        <v>42749.558194444442</v>
      </c>
      <c r="B2482" s="29" t="str">
        <f>PROPER(TEXT(tbLOG[[#This Row],[DATA/HORA]],"mmmm"))</f>
        <v>Janeiro</v>
      </c>
      <c r="C2482" s="34" t="str">
        <f>PROPER(TEXT(tbLOG[[#This Row],[DATA/HORA]],"dddd"))</f>
        <v>Sábado</v>
      </c>
      <c r="D2482" s="3" t="s">
        <v>696</v>
      </c>
      <c r="E2482" s="34" t="str">
        <f>IFERROR(VLOOKUP(tbLOG[[#This Row],[LOGIN]],tbMAPA[#All],2,0), "Não localizado")</f>
        <v>Denyse Souza Santos</v>
      </c>
      <c r="F2482" s="34" t="str">
        <f>IFERROR(VLOOKUP(tbLOG[[#This Row],[LOGIN]],tbMAPA[#All],3,0), "Não localizado")</f>
        <v>Jefte Soares Da Silva</v>
      </c>
      <c r="G2482" s="3" t="s">
        <v>1587</v>
      </c>
      <c r="H2482" s="3" t="s">
        <v>836</v>
      </c>
    </row>
    <row r="2483" spans="1:8">
      <c r="A2483" s="29">
        <v>42749.559942129628</v>
      </c>
      <c r="B2483" s="29" t="str">
        <f>PROPER(TEXT(tbLOG[[#This Row],[DATA/HORA]],"mmmm"))</f>
        <v>Janeiro</v>
      </c>
      <c r="C2483" s="34" t="str">
        <f>PROPER(TEXT(tbLOG[[#This Row],[DATA/HORA]],"dddd"))</f>
        <v>Sábado</v>
      </c>
      <c r="D2483" s="3" t="s">
        <v>696</v>
      </c>
      <c r="E2483" s="34" t="str">
        <f>IFERROR(VLOOKUP(tbLOG[[#This Row],[LOGIN]],tbMAPA[#All],2,0), "Não localizado")</f>
        <v>Denyse Souza Santos</v>
      </c>
      <c r="F2483" s="34" t="str">
        <f>IFERROR(VLOOKUP(tbLOG[[#This Row],[LOGIN]],tbMAPA[#All],3,0), "Não localizado")</f>
        <v>Jefte Soares Da Silva</v>
      </c>
      <c r="G2483" s="3" t="s">
        <v>1587</v>
      </c>
      <c r="H2483" s="3" t="s">
        <v>836</v>
      </c>
    </row>
    <row r="2484" spans="1:8">
      <c r="A2484" s="29">
        <v>42749.560243055559</v>
      </c>
      <c r="B2484" s="29" t="str">
        <f>PROPER(TEXT(tbLOG[[#This Row],[DATA/HORA]],"mmmm"))</f>
        <v>Janeiro</v>
      </c>
      <c r="C2484" s="34" t="str">
        <f>PROPER(TEXT(tbLOG[[#This Row],[DATA/HORA]],"dddd"))</f>
        <v>Sábado</v>
      </c>
      <c r="D2484" s="3" t="s">
        <v>696</v>
      </c>
      <c r="E2484" s="34" t="str">
        <f>IFERROR(VLOOKUP(tbLOG[[#This Row],[LOGIN]],tbMAPA[#All],2,0), "Não localizado")</f>
        <v>Denyse Souza Santos</v>
      </c>
      <c r="F2484" s="34" t="str">
        <f>IFERROR(VLOOKUP(tbLOG[[#This Row],[LOGIN]],tbMAPA[#All],3,0), "Não localizado")</f>
        <v>Jefte Soares Da Silva</v>
      </c>
      <c r="G2484" s="3" t="s">
        <v>1587</v>
      </c>
      <c r="H2484" s="3" t="s">
        <v>836</v>
      </c>
    </row>
    <row r="2485" spans="1:8">
      <c r="A2485" s="29">
        <v>42749.560370370367</v>
      </c>
      <c r="B2485" s="29" t="str">
        <f>PROPER(TEXT(tbLOG[[#This Row],[DATA/HORA]],"mmmm"))</f>
        <v>Janeiro</v>
      </c>
      <c r="C2485" s="34" t="str">
        <f>PROPER(TEXT(tbLOG[[#This Row],[DATA/HORA]],"dddd"))</f>
        <v>Sábado</v>
      </c>
      <c r="D2485" s="3" t="s">
        <v>696</v>
      </c>
      <c r="E2485" s="34" t="str">
        <f>IFERROR(VLOOKUP(tbLOG[[#This Row],[LOGIN]],tbMAPA[#All],2,0), "Não localizado")</f>
        <v>Denyse Souza Santos</v>
      </c>
      <c r="F2485" s="34" t="str">
        <f>IFERROR(VLOOKUP(tbLOG[[#This Row],[LOGIN]],tbMAPA[#All],3,0), "Não localizado")</f>
        <v>Jefte Soares Da Silva</v>
      </c>
      <c r="G2485" s="3" t="s">
        <v>1587</v>
      </c>
      <c r="H2485" s="3" t="s">
        <v>836</v>
      </c>
    </row>
    <row r="2486" spans="1:8">
      <c r="A2486" s="29">
        <v>42749.560416666667</v>
      </c>
      <c r="B2486" s="29" t="str">
        <f>PROPER(TEXT(tbLOG[[#This Row],[DATA/HORA]],"mmmm"))</f>
        <v>Janeiro</v>
      </c>
      <c r="C2486" s="34" t="str">
        <f>PROPER(TEXT(tbLOG[[#This Row],[DATA/HORA]],"dddd"))</f>
        <v>Sábado</v>
      </c>
      <c r="D2486" s="3" t="s">
        <v>696</v>
      </c>
      <c r="E2486" s="34" t="str">
        <f>IFERROR(VLOOKUP(tbLOG[[#This Row],[LOGIN]],tbMAPA[#All],2,0), "Não localizado")</f>
        <v>Denyse Souza Santos</v>
      </c>
      <c r="F2486" s="34" t="str">
        <f>IFERROR(VLOOKUP(tbLOG[[#This Row],[LOGIN]],tbMAPA[#All],3,0), "Não localizado")</f>
        <v>Jefte Soares Da Silva</v>
      </c>
      <c r="G2486" s="3" t="s">
        <v>1587</v>
      </c>
      <c r="H2486" s="3" t="s">
        <v>836</v>
      </c>
    </row>
    <row r="2487" spans="1:8">
      <c r="A2487" s="29">
        <v>42749.56050925926</v>
      </c>
      <c r="B2487" s="29" t="str">
        <f>PROPER(TEXT(tbLOG[[#This Row],[DATA/HORA]],"mmmm"))</f>
        <v>Janeiro</v>
      </c>
      <c r="C2487" s="34" t="str">
        <f>PROPER(TEXT(tbLOG[[#This Row],[DATA/HORA]],"dddd"))</f>
        <v>Sábado</v>
      </c>
      <c r="D2487" s="3" t="s">
        <v>696</v>
      </c>
      <c r="E2487" s="34" t="str">
        <f>IFERROR(VLOOKUP(tbLOG[[#This Row],[LOGIN]],tbMAPA[#All],2,0), "Não localizado")</f>
        <v>Denyse Souza Santos</v>
      </c>
      <c r="F2487" s="34" t="str">
        <f>IFERROR(VLOOKUP(tbLOG[[#This Row],[LOGIN]],tbMAPA[#All],3,0), "Não localizado")</f>
        <v>Jefte Soares Da Silva</v>
      </c>
      <c r="G2487" s="3" t="s">
        <v>1587</v>
      </c>
      <c r="H2487" s="3" t="s">
        <v>836</v>
      </c>
    </row>
    <row r="2488" spans="1:8">
      <c r="A2488" s="29">
        <v>42749.562719907408</v>
      </c>
      <c r="B2488" s="29" t="str">
        <f>PROPER(TEXT(tbLOG[[#This Row],[DATA/HORA]],"mmmm"))</f>
        <v>Janeiro</v>
      </c>
      <c r="C2488" s="34" t="str">
        <f>PROPER(TEXT(tbLOG[[#This Row],[DATA/HORA]],"dddd"))</f>
        <v>Sábado</v>
      </c>
      <c r="D2488" s="3" t="s">
        <v>696</v>
      </c>
      <c r="E2488" s="34" t="str">
        <f>IFERROR(VLOOKUP(tbLOG[[#This Row],[LOGIN]],tbMAPA[#All],2,0), "Não localizado")</f>
        <v>Denyse Souza Santos</v>
      </c>
      <c r="F2488" s="34" t="str">
        <f>IFERROR(VLOOKUP(tbLOG[[#This Row],[LOGIN]],tbMAPA[#All],3,0), "Não localizado")</f>
        <v>Jefte Soares Da Silva</v>
      </c>
      <c r="G2488" s="3" t="s">
        <v>1587</v>
      </c>
      <c r="H2488" s="3" t="s">
        <v>836</v>
      </c>
    </row>
    <row r="2489" spans="1:8">
      <c r="A2489" s="29">
        <v>42749.562789351854</v>
      </c>
      <c r="B2489" s="29" t="str">
        <f>PROPER(TEXT(tbLOG[[#This Row],[DATA/HORA]],"mmmm"))</f>
        <v>Janeiro</v>
      </c>
      <c r="C2489" s="34" t="str">
        <f>PROPER(TEXT(tbLOG[[#This Row],[DATA/HORA]],"dddd"))</f>
        <v>Sábado</v>
      </c>
      <c r="D2489" s="3" t="s">
        <v>696</v>
      </c>
      <c r="E2489" s="34" t="str">
        <f>IFERROR(VLOOKUP(tbLOG[[#This Row],[LOGIN]],tbMAPA[#All],2,0), "Não localizado")</f>
        <v>Denyse Souza Santos</v>
      </c>
      <c r="F2489" s="34" t="str">
        <f>IFERROR(VLOOKUP(tbLOG[[#This Row],[LOGIN]],tbMAPA[#All],3,0), "Não localizado")</f>
        <v>Jefte Soares Da Silva</v>
      </c>
      <c r="G2489" s="3" t="s">
        <v>1587</v>
      </c>
      <c r="H2489" s="3" t="s">
        <v>836</v>
      </c>
    </row>
    <row r="2490" spans="1:8">
      <c r="A2490" s="29">
        <v>42749.562858796293</v>
      </c>
      <c r="B2490" s="29" t="str">
        <f>PROPER(TEXT(tbLOG[[#This Row],[DATA/HORA]],"mmmm"))</f>
        <v>Janeiro</v>
      </c>
      <c r="C2490" s="34" t="str">
        <f>PROPER(TEXT(tbLOG[[#This Row],[DATA/HORA]],"dddd"))</f>
        <v>Sábado</v>
      </c>
      <c r="D2490" s="3" t="s">
        <v>696</v>
      </c>
      <c r="E2490" s="34" t="str">
        <f>IFERROR(VLOOKUP(tbLOG[[#This Row],[LOGIN]],tbMAPA[#All],2,0), "Não localizado")</f>
        <v>Denyse Souza Santos</v>
      </c>
      <c r="F2490" s="34" t="str">
        <f>IFERROR(VLOOKUP(tbLOG[[#This Row],[LOGIN]],tbMAPA[#All],3,0), "Não localizado")</f>
        <v>Jefte Soares Da Silva</v>
      </c>
      <c r="G2490" s="3" t="s">
        <v>1587</v>
      </c>
      <c r="H2490" s="3" t="s">
        <v>836</v>
      </c>
    </row>
    <row r="2491" spans="1:8">
      <c r="A2491" s="29">
        <v>42749.562986111108</v>
      </c>
      <c r="B2491" s="29" t="str">
        <f>PROPER(TEXT(tbLOG[[#This Row],[DATA/HORA]],"mmmm"))</f>
        <v>Janeiro</v>
      </c>
      <c r="C2491" s="34" t="str">
        <f>PROPER(TEXT(tbLOG[[#This Row],[DATA/HORA]],"dddd"))</f>
        <v>Sábado</v>
      </c>
      <c r="D2491" s="3" t="s">
        <v>696</v>
      </c>
      <c r="E2491" s="34" t="str">
        <f>IFERROR(VLOOKUP(tbLOG[[#This Row],[LOGIN]],tbMAPA[#All],2,0), "Não localizado")</f>
        <v>Denyse Souza Santos</v>
      </c>
      <c r="F2491" s="34" t="str">
        <f>IFERROR(VLOOKUP(tbLOG[[#This Row],[LOGIN]],tbMAPA[#All],3,0), "Não localizado")</f>
        <v>Jefte Soares Da Silva</v>
      </c>
      <c r="G2491" s="3" t="s">
        <v>1587</v>
      </c>
      <c r="H2491" s="3" t="s">
        <v>836</v>
      </c>
    </row>
    <row r="2492" spans="1:8">
      <c r="A2492" s="29">
        <v>42749.563043981485</v>
      </c>
      <c r="B2492" s="29" t="str">
        <f>PROPER(TEXT(tbLOG[[#This Row],[DATA/HORA]],"mmmm"))</f>
        <v>Janeiro</v>
      </c>
      <c r="C2492" s="34" t="str">
        <f>PROPER(TEXT(tbLOG[[#This Row],[DATA/HORA]],"dddd"))</f>
        <v>Sábado</v>
      </c>
      <c r="D2492" s="3" t="s">
        <v>696</v>
      </c>
      <c r="E2492" s="34" t="str">
        <f>IFERROR(VLOOKUP(tbLOG[[#This Row],[LOGIN]],tbMAPA[#All],2,0), "Não localizado")</f>
        <v>Denyse Souza Santos</v>
      </c>
      <c r="F2492" s="34" t="str">
        <f>IFERROR(VLOOKUP(tbLOG[[#This Row],[LOGIN]],tbMAPA[#All],3,0), "Não localizado")</f>
        <v>Jefte Soares Da Silva</v>
      </c>
      <c r="G2492" s="3" t="s">
        <v>1587</v>
      </c>
      <c r="H2492" s="3" t="s">
        <v>836</v>
      </c>
    </row>
    <row r="2493" spans="1:8">
      <c r="A2493" s="29">
        <v>42749.565405092595</v>
      </c>
      <c r="B2493" s="29" t="str">
        <f>PROPER(TEXT(tbLOG[[#This Row],[DATA/HORA]],"mmmm"))</f>
        <v>Janeiro</v>
      </c>
      <c r="C2493" s="34" t="str">
        <f>PROPER(TEXT(tbLOG[[#This Row],[DATA/HORA]],"dddd"))</f>
        <v>Sábado</v>
      </c>
      <c r="D2493" s="3" t="s">
        <v>696</v>
      </c>
      <c r="E2493" s="34" t="str">
        <f>IFERROR(VLOOKUP(tbLOG[[#This Row],[LOGIN]],tbMAPA[#All],2,0), "Não localizado")</f>
        <v>Denyse Souza Santos</v>
      </c>
      <c r="F2493" s="34" t="str">
        <f>IFERROR(VLOOKUP(tbLOG[[#This Row],[LOGIN]],tbMAPA[#All],3,0), "Não localizado")</f>
        <v>Jefte Soares Da Silva</v>
      </c>
      <c r="G2493" s="3" t="s">
        <v>1587</v>
      </c>
      <c r="H2493" s="3" t="s">
        <v>836</v>
      </c>
    </row>
    <row r="2494" spans="1:8">
      <c r="A2494" s="29">
        <v>42749.565474537034</v>
      </c>
      <c r="B2494" s="29" t="str">
        <f>PROPER(TEXT(tbLOG[[#This Row],[DATA/HORA]],"mmmm"))</f>
        <v>Janeiro</v>
      </c>
      <c r="C2494" s="34" t="str">
        <f>PROPER(TEXT(tbLOG[[#This Row],[DATA/HORA]],"dddd"))</f>
        <v>Sábado</v>
      </c>
      <c r="D2494" s="3" t="s">
        <v>696</v>
      </c>
      <c r="E2494" s="34" t="str">
        <f>IFERROR(VLOOKUP(tbLOG[[#This Row],[LOGIN]],tbMAPA[#All],2,0), "Não localizado")</f>
        <v>Denyse Souza Santos</v>
      </c>
      <c r="F2494" s="34" t="str">
        <f>IFERROR(VLOOKUP(tbLOG[[#This Row],[LOGIN]],tbMAPA[#All],3,0), "Não localizado")</f>
        <v>Jefte Soares Da Silva</v>
      </c>
      <c r="G2494" s="3" t="s">
        <v>1587</v>
      </c>
      <c r="H2494" s="3" t="s">
        <v>836</v>
      </c>
    </row>
    <row r="2495" spans="1:8">
      <c r="A2495" s="29">
        <v>42749.565555555557</v>
      </c>
      <c r="B2495" s="29" t="str">
        <f>PROPER(TEXT(tbLOG[[#This Row],[DATA/HORA]],"mmmm"))</f>
        <v>Janeiro</v>
      </c>
      <c r="C2495" s="34" t="str">
        <f>PROPER(TEXT(tbLOG[[#This Row],[DATA/HORA]],"dddd"))</f>
        <v>Sábado</v>
      </c>
      <c r="D2495" s="3" t="s">
        <v>696</v>
      </c>
      <c r="E2495" s="34" t="str">
        <f>IFERROR(VLOOKUP(tbLOG[[#This Row],[LOGIN]],tbMAPA[#All],2,0), "Não localizado")</f>
        <v>Denyse Souza Santos</v>
      </c>
      <c r="F2495" s="34" t="str">
        <f>IFERROR(VLOOKUP(tbLOG[[#This Row],[LOGIN]],tbMAPA[#All],3,0), "Não localizado")</f>
        <v>Jefte Soares Da Silva</v>
      </c>
      <c r="G2495" s="3" t="s">
        <v>1587</v>
      </c>
      <c r="H2495" s="3" t="s">
        <v>836</v>
      </c>
    </row>
    <row r="2496" spans="1:8">
      <c r="A2496" s="29">
        <v>42749.567743055559</v>
      </c>
      <c r="B2496" s="29" t="str">
        <f>PROPER(TEXT(tbLOG[[#This Row],[DATA/HORA]],"mmmm"))</f>
        <v>Janeiro</v>
      </c>
      <c r="C2496" s="34" t="str">
        <f>PROPER(TEXT(tbLOG[[#This Row],[DATA/HORA]],"dddd"))</f>
        <v>Sábado</v>
      </c>
      <c r="D2496" s="3" t="s">
        <v>696</v>
      </c>
      <c r="E2496" s="34" t="str">
        <f>IFERROR(VLOOKUP(tbLOG[[#This Row],[LOGIN]],tbMAPA[#All],2,0), "Não localizado")</f>
        <v>Denyse Souza Santos</v>
      </c>
      <c r="F2496" s="34" t="str">
        <f>IFERROR(VLOOKUP(tbLOG[[#This Row],[LOGIN]],tbMAPA[#All],3,0), "Não localizado")</f>
        <v>Jefte Soares Da Silva</v>
      </c>
      <c r="G2496" s="3" t="s">
        <v>1587</v>
      </c>
      <c r="H2496" s="3" t="s">
        <v>836</v>
      </c>
    </row>
    <row r="2497" spans="1:8">
      <c r="A2497" s="29">
        <v>42749.567800925928</v>
      </c>
      <c r="B2497" s="29" t="str">
        <f>PROPER(TEXT(tbLOG[[#This Row],[DATA/HORA]],"mmmm"))</f>
        <v>Janeiro</v>
      </c>
      <c r="C2497" s="34" t="str">
        <f>PROPER(TEXT(tbLOG[[#This Row],[DATA/HORA]],"dddd"))</f>
        <v>Sábado</v>
      </c>
      <c r="D2497" s="3" t="s">
        <v>696</v>
      </c>
      <c r="E2497" s="34" t="str">
        <f>IFERROR(VLOOKUP(tbLOG[[#This Row],[LOGIN]],tbMAPA[#All],2,0), "Não localizado")</f>
        <v>Denyse Souza Santos</v>
      </c>
      <c r="F2497" s="34" t="str">
        <f>IFERROR(VLOOKUP(tbLOG[[#This Row],[LOGIN]],tbMAPA[#All],3,0), "Não localizado")</f>
        <v>Jefte Soares Da Silva</v>
      </c>
      <c r="G2497" s="3" t="s">
        <v>1587</v>
      </c>
      <c r="H2497" s="3" t="s">
        <v>836</v>
      </c>
    </row>
    <row r="2498" spans="1:8">
      <c r="A2498" s="29">
        <v>42749.567870370367</v>
      </c>
      <c r="B2498" s="29" t="str">
        <f>PROPER(TEXT(tbLOG[[#This Row],[DATA/HORA]],"mmmm"))</f>
        <v>Janeiro</v>
      </c>
      <c r="C2498" s="34" t="str">
        <f>PROPER(TEXT(tbLOG[[#This Row],[DATA/HORA]],"dddd"))</f>
        <v>Sábado</v>
      </c>
      <c r="D2498" s="3" t="s">
        <v>696</v>
      </c>
      <c r="E2498" s="34" t="str">
        <f>IFERROR(VLOOKUP(tbLOG[[#This Row],[LOGIN]],tbMAPA[#All],2,0), "Não localizado")</f>
        <v>Denyse Souza Santos</v>
      </c>
      <c r="F2498" s="34" t="str">
        <f>IFERROR(VLOOKUP(tbLOG[[#This Row],[LOGIN]],tbMAPA[#All],3,0), "Não localizado")</f>
        <v>Jefte Soares Da Silva</v>
      </c>
      <c r="G2498" s="3" t="s">
        <v>1587</v>
      </c>
      <c r="H2498" s="3" t="s">
        <v>836</v>
      </c>
    </row>
    <row r="2499" spans="1:8">
      <c r="A2499" s="29">
        <v>42749.570023148146</v>
      </c>
      <c r="B2499" s="29" t="str">
        <f>PROPER(TEXT(tbLOG[[#This Row],[DATA/HORA]],"mmmm"))</f>
        <v>Janeiro</v>
      </c>
      <c r="C2499" s="34" t="str">
        <f>PROPER(TEXT(tbLOG[[#This Row],[DATA/HORA]],"dddd"))</f>
        <v>Sábado</v>
      </c>
      <c r="D2499" s="3" t="s">
        <v>696</v>
      </c>
      <c r="E2499" s="34" t="str">
        <f>IFERROR(VLOOKUP(tbLOG[[#This Row],[LOGIN]],tbMAPA[#All],2,0), "Não localizado")</f>
        <v>Denyse Souza Santos</v>
      </c>
      <c r="F2499" s="34" t="str">
        <f>IFERROR(VLOOKUP(tbLOG[[#This Row],[LOGIN]],tbMAPA[#All],3,0), "Não localizado")</f>
        <v>Jefte Soares Da Silva</v>
      </c>
      <c r="G2499" s="3" t="s">
        <v>1587</v>
      </c>
      <c r="H2499" s="3" t="s">
        <v>836</v>
      </c>
    </row>
    <row r="2500" spans="1:8">
      <c r="A2500" s="29">
        <v>42749.570405092592</v>
      </c>
      <c r="B2500" s="29" t="str">
        <f>PROPER(TEXT(tbLOG[[#This Row],[DATA/HORA]],"mmmm"))</f>
        <v>Janeiro</v>
      </c>
      <c r="C2500" s="34" t="str">
        <f>PROPER(TEXT(tbLOG[[#This Row],[DATA/HORA]],"dddd"))</f>
        <v>Sábado</v>
      </c>
      <c r="D2500" s="3" t="s">
        <v>696</v>
      </c>
      <c r="E2500" s="34" t="str">
        <f>IFERROR(VLOOKUP(tbLOG[[#This Row],[LOGIN]],tbMAPA[#All],2,0), "Não localizado")</f>
        <v>Denyse Souza Santos</v>
      </c>
      <c r="F2500" s="34" t="str">
        <f>IFERROR(VLOOKUP(tbLOG[[#This Row],[LOGIN]],tbMAPA[#All],3,0), "Não localizado")</f>
        <v>Jefte Soares Da Silva</v>
      </c>
      <c r="G2500" s="3" t="s">
        <v>1587</v>
      </c>
      <c r="H2500" s="3" t="s">
        <v>836</v>
      </c>
    </row>
    <row r="2501" spans="1:8">
      <c r="A2501" s="29">
        <v>42749.570428240739</v>
      </c>
      <c r="B2501" s="29" t="str">
        <f>PROPER(TEXT(tbLOG[[#This Row],[DATA/HORA]],"mmmm"))</f>
        <v>Janeiro</v>
      </c>
      <c r="C2501" s="34" t="str">
        <f>PROPER(TEXT(tbLOG[[#This Row],[DATA/HORA]],"dddd"))</f>
        <v>Sábado</v>
      </c>
      <c r="D2501" s="3" t="s">
        <v>696</v>
      </c>
      <c r="E2501" s="34" t="str">
        <f>IFERROR(VLOOKUP(tbLOG[[#This Row],[LOGIN]],tbMAPA[#All],2,0), "Não localizado")</f>
        <v>Denyse Souza Santos</v>
      </c>
      <c r="F2501" s="34" t="str">
        <f>IFERROR(VLOOKUP(tbLOG[[#This Row],[LOGIN]],tbMAPA[#All],3,0), "Não localizado")</f>
        <v>Jefte Soares Da Silva</v>
      </c>
      <c r="G2501" s="3" t="s">
        <v>1587</v>
      </c>
      <c r="H2501" s="3" t="s">
        <v>836</v>
      </c>
    </row>
    <row r="2502" spans="1:8">
      <c r="A2502" s="29">
        <v>42749.5705787037</v>
      </c>
      <c r="B2502" s="29" t="str">
        <f>PROPER(TEXT(tbLOG[[#This Row],[DATA/HORA]],"mmmm"))</f>
        <v>Janeiro</v>
      </c>
      <c r="C2502" s="34" t="str">
        <f>PROPER(TEXT(tbLOG[[#This Row],[DATA/HORA]],"dddd"))</f>
        <v>Sábado</v>
      </c>
      <c r="D2502" s="3" t="s">
        <v>696</v>
      </c>
      <c r="E2502" s="34" t="str">
        <f>IFERROR(VLOOKUP(tbLOG[[#This Row],[LOGIN]],tbMAPA[#All],2,0), "Não localizado")</f>
        <v>Denyse Souza Santos</v>
      </c>
      <c r="F2502" s="34" t="str">
        <f>IFERROR(VLOOKUP(tbLOG[[#This Row],[LOGIN]],tbMAPA[#All],3,0), "Não localizado")</f>
        <v>Jefte Soares Da Silva</v>
      </c>
      <c r="G2502" s="3" t="s">
        <v>1587</v>
      </c>
      <c r="H2502" s="3" t="s">
        <v>836</v>
      </c>
    </row>
    <row r="2503" spans="1:8">
      <c r="A2503" s="29">
        <v>42749.572164351855</v>
      </c>
      <c r="B2503" s="29" t="str">
        <f>PROPER(TEXT(tbLOG[[#This Row],[DATA/HORA]],"mmmm"))</f>
        <v>Janeiro</v>
      </c>
      <c r="C2503" s="34" t="str">
        <f>PROPER(TEXT(tbLOG[[#This Row],[DATA/HORA]],"dddd"))</f>
        <v>Sábado</v>
      </c>
      <c r="D2503" s="3" t="s">
        <v>696</v>
      </c>
      <c r="E2503" s="34" t="str">
        <f>IFERROR(VLOOKUP(tbLOG[[#This Row],[LOGIN]],tbMAPA[#All],2,0), "Não localizado")</f>
        <v>Denyse Souza Santos</v>
      </c>
      <c r="F2503" s="34" t="str">
        <f>IFERROR(VLOOKUP(tbLOG[[#This Row],[LOGIN]],tbMAPA[#All],3,0), "Não localizado")</f>
        <v>Jefte Soares Da Silva</v>
      </c>
      <c r="G2503" s="3" t="s">
        <v>1587</v>
      </c>
      <c r="H2503" s="3" t="s">
        <v>836</v>
      </c>
    </row>
    <row r="2504" spans="1:8">
      <c r="A2504" s="29">
        <v>42749.572222222225</v>
      </c>
      <c r="B2504" s="29" t="str">
        <f>PROPER(TEXT(tbLOG[[#This Row],[DATA/HORA]],"mmmm"))</f>
        <v>Janeiro</v>
      </c>
      <c r="C2504" s="34" t="str">
        <f>PROPER(TEXT(tbLOG[[#This Row],[DATA/HORA]],"dddd"))</f>
        <v>Sábado</v>
      </c>
      <c r="D2504" s="3" t="s">
        <v>696</v>
      </c>
      <c r="E2504" s="34" t="str">
        <f>IFERROR(VLOOKUP(tbLOG[[#This Row],[LOGIN]],tbMAPA[#All],2,0), "Não localizado")</f>
        <v>Denyse Souza Santos</v>
      </c>
      <c r="F2504" s="34" t="str">
        <f>IFERROR(VLOOKUP(tbLOG[[#This Row],[LOGIN]],tbMAPA[#All],3,0), "Não localizado")</f>
        <v>Jefte Soares Da Silva</v>
      </c>
      <c r="G2504" s="3" t="s">
        <v>1587</v>
      </c>
      <c r="H2504" s="3" t="s">
        <v>836</v>
      </c>
    </row>
    <row r="2505" spans="1:8">
      <c r="A2505" s="29">
        <v>42749.572326388887</v>
      </c>
      <c r="B2505" s="29" t="str">
        <f>PROPER(TEXT(tbLOG[[#This Row],[DATA/HORA]],"mmmm"))</f>
        <v>Janeiro</v>
      </c>
      <c r="C2505" s="34" t="str">
        <f>PROPER(TEXT(tbLOG[[#This Row],[DATA/HORA]],"dddd"))</f>
        <v>Sábado</v>
      </c>
      <c r="D2505" s="3" t="s">
        <v>696</v>
      </c>
      <c r="E2505" s="34" t="str">
        <f>IFERROR(VLOOKUP(tbLOG[[#This Row],[LOGIN]],tbMAPA[#All],2,0), "Não localizado")</f>
        <v>Denyse Souza Santos</v>
      </c>
      <c r="F2505" s="34" t="str">
        <f>IFERROR(VLOOKUP(tbLOG[[#This Row],[LOGIN]],tbMAPA[#All],3,0), "Não localizado")</f>
        <v>Jefte Soares Da Silva</v>
      </c>
      <c r="G2505" s="3" t="s">
        <v>1587</v>
      </c>
      <c r="H2505" s="3" t="s">
        <v>836</v>
      </c>
    </row>
    <row r="2506" spans="1:8">
      <c r="A2506" s="29">
        <v>42749.572465277779</v>
      </c>
      <c r="B2506" s="29" t="str">
        <f>PROPER(TEXT(tbLOG[[#This Row],[DATA/HORA]],"mmmm"))</f>
        <v>Janeiro</v>
      </c>
      <c r="C2506" s="34" t="str">
        <f>PROPER(TEXT(tbLOG[[#This Row],[DATA/HORA]],"dddd"))</f>
        <v>Sábado</v>
      </c>
      <c r="D2506" s="3" t="s">
        <v>696</v>
      </c>
      <c r="E2506" s="34" t="str">
        <f>IFERROR(VLOOKUP(tbLOG[[#This Row],[LOGIN]],tbMAPA[#All],2,0), "Não localizado")</f>
        <v>Denyse Souza Santos</v>
      </c>
      <c r="F2506" s="34" t="str">
        <f>IFERROR(VLOOKUP(tbLOG[[#This Row],[LOGIN]],tbMAPA[#All],3,0), "Não localizado")</f>
        <v>Jefte Soares Da Silva</v>
      </c>
      <c r="G2506" s="3" t="s">
        <v>1587</v>
      </c>
      <c r="H2506" s="3" t="s">
        <v>836</v>
      </c>
    </row>
    <row r="2507" spans="1:8">
      <c r="A2507" s="29">
        <v>42749.572604166664</v>
      </c>
      <c r="B2507" s="29" t="str">
        <f>PROPER(TEXT(tbLOG[[#This Row],[DATA/HORA]],"mmmm"))</f>
        <v>Janeiro</v>
      </c>
      <c r="C2507" s="34" t="str">
        <f>PROPER(TEXT(tbLOG[[#This Row],[DATA/HORA]],"dddd"))</f>
        <v>Sábado</v>
      </c>
      <c r="D2507" s="3" t="s">
        <v>696</v>
      </c>
      <c r="E2507" s="34" t="str">
        <f>IFERROR(VLOOKUP(tbLOG[[#This Row],[LOGIN]],tbMAPA[#All],2,0), "Não localizado")</f>
        <v>Denyse Souza Santos</v>
      </c>
      <c r="F2507" s="34" t="str">
        <f>IFERROR(VLOOKUP(tbLOG[[#This Row],[LOGIN]],tbMAPA[#All],3,0), "Não localizado")</f>
        <v>Jefte Soares Da Silva</v>
      </c>
      <c r="G2507" s="3" t="s">
        <v>1587</v>
      </c>
      <c r="H2507" s="3" t="s">
        <v>836</v>
      </c>
    </row>
    <row r="2508" spans="1:8">
      <c r="A2508" s="29">
        <v>42749.574895833335</v>
      </c>
      <c r="B2508" s="29" t="str">
        <f>PROPER(TEXT(tbLOG[[#This Row],[DATA/HORA]],"mmmm"))</f>
        <v>Janeiro</v>
      </c>
      <c r="C2508" s="34" t="str">
        <f>PROPER(TEXT(tbLOG[[#This Row],[DATA/HORA]],"dddd"))</f>
        <v>Sábado</v>
      </c>
      <c r="D2508" s="3" t="s">
        <v>696</v>
      </c>
      <c r="E2508" s="34" t="str">
        <f>IFERROR(VLOOKUP(tbLOG[[#This Row],[LOGIN]],tbMAPA[#All],2,0), "Não localizado")</f>
        <v>Denyse Souza Santos</v>
      </c>
      <c r="F2508" s="34" t="str">
        <f>IFERROR(VLOOKUP(tbLOG[[#This Row],[LOGIN]],tbMAPA[#All],3,0), "Não localizado")</f>
        <v>Jefte Soares Da Silva</v>
      </c>
      <c r="G2508" s="3" t="s">
        <v>1587</v>
      </c>
      <c r="H2508" s="3" t="s">
        <v>836</v>
      </c>
    </row>
    <row r="2509" spans="1:8">
      <c r="A2509" s="29">
        <v>42749.574953703705</v>
      </c>
      <c r="B2509" s="29" t="str">
        <f>PROPER(TEXT(tbLOG[[#This Row],[DATA/HORA]],"mmmm"))</f>
        <v>Janeiro</v>
      </c>
      <c r="C2509" s="34" t="str">
        <f>PROPER(TEXT(tbLOG[[#This Row],[DATA/HORA]],"dddd"))</f>
        <v>Sábado</v>
      </c>
      <c r="D2509" s="3" t="s">
        <v>696</v>
      </c>
      <c r="E2509" s="34" t="str">
        <f>IFERROR(VLOOKUP(tbLOG[[#This Row],[LOGIN]],tbMAPA[#All],2,0), "Não localizado")</f>
        <v>Denyse Souza Santos</v>
      </c>
      <c r="F2509" s="34" t="str">
        <f>IFERROR(VLOOKUP(tbLOG[[#This Row],[LOGIN]],tbMAPA[#All],3,0), "Não localizado")</f>
        <v>Jefte Soares Da Silva</v>
      </c>
      <c r="G2509" s="3" t="s">
        <v>1587</v>
      </c>
      <c r="H2509" s="3" t="s">
        <v>836</v>
      </c>
    </row>
    <row r="2510" spans="1:8">
      <c r="A2510" s="29">
        <v>42749.575046296297</v>
      </c>
      <c r="B2510" s="29" t="str">
        <f>PROPER(TEXT(tbLOG[[#This Row],[DATA/HORA]],"mmmm"))</f>
        <v>Janeiro</v>
      </c>
      <c r="C2510" s="34" t="str">
        <f>PROPER(TEXT(tbLOG[[#This Row],[DATA/HORA]],"dddd"))</f>
        <v>Sábado</v>
      </c>
      <c r="D2510" s="3" t="s">
        <v>696</v>
      </c>
      <c r="E2510" s="34" t="str">
        <f>IFERROR(VLOOKUP(tbLOG[[#This Row],[LOGIN]],tbMAPA[#All],2,0), "Não localizado")</f>
        <v>Denyse Souza Santos</v>
      </c>
      <c r="F2510" s="34" t="str">
        <f>IFERROR(VLOOKUP(tbLOG[[#This Row],[LOGIN]],tbMAPA[#All],3,0), "Não localizado")</f>
        <v>Jefte Soares Da Silva</v>
      </c>
      <c r="G2510" s="3" t="s">
        <v>1587</v>
      </c>
      <c r="H2510" s="3" t="s">
        <v>836</v>
      </c>
    </row>
    <row r="2511" spans="1:8">
      <c r="A2511" s="29">
        <v>42749.576886574076</v>
      </c>
      <c r="B2511" s="29" t="str">
        <f>PROPER(TEXT(tbLOG[[#This Row],[DATA/HORA]],"mmmm"))</f>
        <v>Janeiro</v>
      </c>
      <c r="C2511" s="34" t="str">
        <f>PROPER(TEXT(tbLOG[[#This Row],[DATA/HORA]],"dddd"))</f>
        <v>Sábado</v>
      </c>
      <c r="D2511" s="3" t="s">
        <v>696</v>
      </c>
      <c r="E2511" s="34" t="str">
        <f>IFERROR(VLOOKUP(tbLOG[[#This Row],[LOGIN]],tbMAPA[#All],2,0), "Não localizado")</f>
        <v>Denyse Souza Santos</v>
      </c>
      <c r="F2511" s="34" t="str">
        <f>IFERROR(VLOOKUP(tbLOG[[#This Row],[LOGIN]],tbMAPA[#All],3,0), "Não localizado")</f>
        <v>Jefte Soares Da Silva</v>
      </c>
      <c r="G2511" s="3" t="s">
        <v>1587</v>
      </c>
      <c r="H2511" s="3" t="s">
        <v>836</v>
      </c>
    </row>
    <row r="2512" spans="1:8">
      <c r="A2512" s="29">
        <v>42749.577164351853</v>
      </c>
      <c r="B2512" s="29" t="str">
        <f>PROPER(TEXT(tbLOG[[#This Row],[DATA/HORA]],"mmmm"))</f>
        <v>Janeiro</v>
      </c>
      <c r="C2512" s="34" t="str">
        <f>PROPER(TEXT(tbLOG[[#This Row],[DATA/HORA]],"dddd"))</f>
        <v>Sábado</v>
      </c>
      <c r="D2512" s="3" t="s">
        <v>696</v>
      </c>
      <c r="E2512" s="34" t="str">
        <f>IFERROR(VLOOKUP(tbLOG[[#This Row],[LOGIN]],tbMAPA[#All],2,0), "Não localizado")</f>
        <v>Denyse Souza Santos</v>
      </c>
      <c r="F2512" s="34" t="str">
        <f>IFERROR(VLOOKUP(tbLOG[[#This Row],[LOGIN]],tbMAPA[#All],3,0), "Não localizado")</f>
        <v>Jefte Soares Da Silva</v>
      </c>
      <c r="G2512" s="3" t="s">
        <v>1587</v>
      </c>
      <c r="H2512" s="3" t="s">
        <v>836</v>
      </c>
    </row>
    <row r="2513" spans="1:8">
      <c r="A2513" s="29">
        <v>42749.577372685184</v>
      </c>
      <c r="B2513" s="29" t="str">
        <f>PROPER(TEXT(tbLOG[[#This Row],[DATA/HORA]],"mmmm"))</f>
        <v>Janeiro</v>
      </c>
      <c r="C2513" s="34" t="str">
        <f>PROPER(TEXT(tbLOG[[#This Row],[DATA/HORA]],"dddd"))</f>
        <v>Sábado</v>
      </c>
      <c r="D2513" s="3" t="s">
        <v>696</v>
      </c>
      <c r="E2513" s="34" t="str">
        <f>IFERROR(VLOOKUP(tbLOG[[#This Row],[LOGIN]],tbMAPA[#All],2,0), "Não localizado")</f>
        <v>Denyse Souza Santos</v>
      </c>
      <c r="F2513" s="34" t="str">
        <f>IFERROR(VLOOKUP(tbLOG[[#This Row],[LOGIN]],tbMAPA[#All],3,0), "Não localizado")</f>
        <v>Jefte Soares Da Silva</v>
      </c>
      <c r="G2513" s="3" t="s">
        <v>1587</v>
      </c>
      <c r="H2513" s="3" t="s">
        <v>836</v>
      </c>
    </row>
    <row r="2514" spans="1:8">
      <c r="A2514" s="29">
        <v>42749.577488425923</v>
      </c>
      <c r="B2514" s="29" t="str">
        <f>PROPER(TEXT(tbLOG[[#This Row],[DATA/HORA]],"mmmm"))</f>
        <v>Janeiro</v>
      </c>
      <c r="C2514" s="34" t="str">
        <f>PROPER(TEXT(tbLOG[[#This Row],[DATA/HORA]],"dddd"))</f>
        <v>Sábado</v>
      </c>
      <c r="D2514" s="3" t="s">
        <v>696</v>
      </c>
      <c r="E2514" s="34" t="str">
        <f>IFERROR(VLOOKUP(tbLOG[[#This Row],[LOGIN]],tbMAPA[#All],2,0), "Não localizado")</f>
        <v>Denyse Souza Santos</v>
      </c>
      <c r="F2514" s="34" t="str">
        <f>IFERROR(VLOOKUP(tbLOG[[#This Row],[LOGIN]],tbMAPA[#All],3,0), "Não localizado")</f>
        <v>Jefte Soares Da Silva</v>
      </c>
      <c r="G2514" s="3" t="s">
        <v>1587</v>
      </c>
      <c r="H2514" s="3" t="s">
        <v>836</v>
      </c>
    </row>
    <row r="2515" spans="1:8">
      <c r="A2515" s="29">
        <v>42749.580069444448</v>
      </c>
      <c r="B2515" s="29" t="str">
        <f>PROPER(TEXT(tbLOG[[#This Row],[DATA/HORA]],"mmmm"))</f>
        <v>Janeiro</v>
      </c>
      <c r="C2515" s="34" t="str">
        <f>PROPER(TEXT(tbLOG[[#This Row],[DATA/HORA]],"dddd"))</f>
        <v>Sábado</v>
      </c>
      <c r="D2515" s="3" t="s">
        <v>696</v>
      </c>
      <c r="E2515" s="34" t="str">
        <f>IFERROR(VLOOKUP(tbLOG[[#This Row],[LOGIN]],tbMAPA[#All],2,0), "Não localizado")</f>
        <v>Denyse Souza Santos</v>
      </c>
      <c r="F2515" s="34" t="str">
        <f>IFERROR(VLOOKUP(tbLOG[[#This Row],[LOGIN]],tbMAPA[#All],3,0), "Não localizado")</f>
        <v>Jefte Soares Da Silva</v>
      </c>
      <c r="G2515" s="3" t="s">
        <v>1587</v>
      </c>
      <c r="H2515" s="3" t="s">
        <v>836</v>
      </c>
    </row>
    <row r="2516" spans="1:8">
      <c r="A2516" s="29">
        <v>42749.580138888887</v>
      </c>
      <c r="B2516" s="29" t="str">
        <f>PROPER(TEXT(tbLOG[[#This Row],[DATA/HORA]],"mmmm"))</f>
        <v>Janeiro</v>
      </c>
      <c r="C2516" s="34" t="str">
        <f>PROPER(TEXT(tbLOG[[#This Row],[DATA/HORA]],"dddd"))</f>
        <v>Sábado</v>
      </c>
      <c r="D2516" s="3" t="s">
        <v>696</v>
      </c>
      <c r="E2516" s="34" t="str">
        <f>IFERROR(VLOOKUP(tbLOG[[#This Row],[LOGIN]],tbMAPA[#All],2,0), "Não localizado")</f>
        <v>Denyse Souza Santos</v>
      </c>
      <c r="F2516" s="34" t="str">
        <f>IFERROR(VLOOKUP(tbLOG[[#This Row],[LOGIN]],tbMAPA[#All],3,0), "Não localizado")</f>
        <v>Jefte Soares Da Silva</v>
      </c>
      <c r="G2516" s="3" t="s">
        <v>1587</v>
      </c>
      <c r="H2516" s="3" t="s">
        <v>836</v>
      </c>
    </row>
    <row r="2517" spans="1:8">
      <c r="A2517" s="29">
        <v>42749.580625000002</v>
      </c>
      <c r="B2517" s="29" t="str">
        <f>PROPER(TEXT(tbLOG[[#This Row],[DATA/HORA]],"mmmm"))</f>
        <v>Janeiro</v>
      </c>
      <c r="C2517" s="34" t="str">
        <f>PROPER(TEXT(tbLOG[[#This Row],[DATA/HORA]],"dddd"))</f>
        <v>Sábado</v>
      </c>
      <c r="D2517" s="3" t="s">
        <v>696</v>
      </c>
      <c r="E2517" s="34" t="str">
        <f>IFERROR(VLOOKUP(tbLOG[[#This Row],[LOGIN]],tbMAPA[#All],2,0), "Não localizado")</f>
        <v>Denyse Souza Santos</v>
      </c>
      <c r="F2517" s="34" t="str">
        <f>IFERROR(VLOOKUP(tbLOG[[#This Row],[LOGIN]],tbMAPA[#All],3,0), "Não localizado")</f>
        <v>Jefte Soares Da Silva</v>
      </c>
      <c r="G2517" s="3" t="s">
        <v>1587</v>
      </c>
      <c r="H2517" s="3" t="s">
        <v>836</v>
      </c>
    </row>
    <row r="2518" spans="1:8">
      <c r="A2518" s="29">
        <v>42749.581041666665</v>
      </c>
      <c r="B2518" s="29" t="str">
        <f>PROPER(TEXT(tbLOG[[#This Row],[DATA/HORA]],"mmmm"))</f>
        <v>Janeiro</v>
      </c>
      <c r="C2518" s="34" t="str">
        <f>PROPER(TEXT(tbLOG[[#This Row],[DATA/HORA]],"dddd"))</f>
        <v>Sábado</v>
      </c>
      <c r="D2518" s="3" t="s">
        <v>696</v>
      </c>
      <c r="E2518" s="34" t="str">
        <f>IFERROR(VLOOKUP(tbLOG[[#This Row],[LOGIN]],tbMAPA[#All],2,0), "Não localizado")</f>
        <v>Denyse Souza Santos</v>
      </c>
      <c r="F2518" s="34" t="str">
        <f>IFERROR(VLOOKUP(tbLOG[[#This Row],[LOGIN]],tbMAPA[#All],3,0), "Não localizado")</f>
        <v>Jefte Soares Da Silva</v>
      </c>
      <c r="G2518" s="3" t="s">
        <v>1587</v>
      </c>
      <c r="H2518" s="3" t="s">
        <v>836</v>
      </c>
    </row>
    <row r="2519" spans="1:8">
      <c r="A2519" s="29">
        <v>42749.581099537034</v>
      </c>
      <c r="B2519" s="29" t="str">
        <f>PROPER(TEXT(tbLOG[[#This Row],[DATA/HORA]],"mmmm"))</f>
        <v>Janeiro</v>
      </c>
      <c r="C2519" s="34" t="str">
        <f>PROPER(TEXT(tbLOG[[#This Row],[DATA/HORA]],"dddd"))</f>
        <v>Sábado</v>
      </c>
      <c r="D2519" s="3" t="s">
        <v>696</v>
      </c>
      <c r="E2519" s="34" t="str">
        <f>IFERROR(VLOOKUP(tbLOG[[#This Row],[LOGIN]],tbMAPA[#All],2,0), "Não localizado")</f>
        <v>Denyse Souza Santos</v>
      </c>
      <c r="F2519" s="34" t="str">
        <f>IFERROR(VLOOKUP(tbLOG[[#This Row],[LOGIN]],tbMAPA[#All],3,0), "Não localizado")</f>
        <v>Jefte Soares Da Silva</v>
      </c>
      <c r="G2519" s="3" t="s">
        <v>1587</v>
      </c>
      <c r="H2519" s="3" t="s">
        <v>836</v>
      </c>
    </row>
    <row r="2520" spans="1:8">
      <c r="A2520" s="29">
        <v>42749.581145833334</v>
      </c>
      <c r="B2520" s="29" t="str">
        <f>PROPER(TEXT(tbLOG[[#This Row],[DATA/HORA]],"mmmm"))</f>
        <v>Janeiro</v>
      </c>
      <c r="C2520" s="34" t="str">
        <f>PROPER(TEXT(tbLOG[[#This Row],[DATA/HORA]],"dddd"))</f>
        <v>Sábado</v>
      </c>
      <c r="D2520" s="3" t="s">
        <v>696</v>
      </c>
      <c r="E2520" s="34" t="str">
        <f>IFERROR(VLOOKUP(tbLOG[[#This Row],[LOGIN]],tbMAPA[#All],2,0), "Não localizado")</f>
        <v>Denyse Souza Santos</v>
      </c>
      <c r="F2520" s="34" t="str">
        <f>IFERROR(VLOOKUP(tbLOG[[#This Row],[LOGIN]],tbMAPA[#All],3,0), "Não localizado")</f>
        <v>Jefte Soares Da Silva</v>
      </c>
      <c r="G2520" s="3" t="s">
        <v>1587</v>
      </c>
      <c r="H2520" s="3" t="s">
        <v>836</v>
      </c>
    </row>
    <row r="2521" spans="1:8">
      <c r="A2521" s="29">
        <v>42749.581284722219</v>
      </c>
      <c r="B2521" s="29" t="str">
        <f>PROPER(TEXT(tbLOG[[#This Row],[DATA/HORA]],"mmmm"))</f>
        <v>Janeiro</v>
      </c>
      <c r="C2521" s="34" t="str">
        <f>PROPER(TEXT(tbLOG[[#This Row],[DATA/HORA]],"dddd"))</f>
        <v>Sábado</v>
      </c>
      <c r="D2521" s="3" t="s">
        <v>696</v>
      </c>
      <c r="E2521" s="34" t="str">
        <f>IFERROR(VLOOKUP(tbLOG[[#This Row],[LOGIN]],tbMAPA[#All],2,0), "Não localizado")</f>
        <v>Denyse Souza Santos</v>
      </c>
      <c r="F2521" s="34" t="str">
        <f>IFERROR(VLOOKUP(tbLOG[[#This Row],[LOGIN]],tbMAPA[#All],3,0), "Não localizado")</f>
        <v>Jefte Soares Da Silva</v>
      </c>
      <c r="G2521" s="3" t="s">
        <v>1587</v>
      </c>
      <c r="H2521" s="3" t="s">
        <v>836</v>
      </c>
    </row>
    <row r="2522" spans="1:8">
      <c r="A2522" s="29">
        <v>42749.581446759257</v>
      </c>
      <c r="B2522" s="29" t="str">
        <f>PROPER(TEXT(tbLOG[[#This Row],[DATA/HORA]],"mmmm"))</f>
        <v>Janeiro</v>
      </c>
      <c r="C2522" s="34" t="str">
        <f>PROPER(TEXT(tbLOG[[#This Row],[DATA/HORA]],"dddd"))</f>
        <v>Sábado</v>
      </c>
      <c r="D2522" s="3" t="s">
        <v>696</v>
      </c>
      <c r="E2522" s="34" t="str">
        <f>IFERROR(VLOOKUP(tbLOG[[#This Row],[LOGIN]],tbMAPA[#All],2,0), "Não localizado")</f>
        <v>Denyse Souza Santos</v>
      </c>
      <c r="F2522" s="34" t="str">
        <f>IFERROR(VLOOKUP(tbLOG[[#This Row],[LOGIN]],tbMAPA[#All],3,0), "Não localizado")</f>
        <v>Jefte Soares Da Silva</v>
      </c>
      <c r="G2522" s="3" t="s">
        <v>1587</v>
      </c>
      <c r="H2522" s="3" t="s">
        <v>836</v>
      </c>
    </row>
    <row r="2523" spans="1:8">
      <c r="A2523" s="29">
        <v>42749.581689814811</v>
      </c>
      <c r="B2523" s="29" t="str">
        <f>PROPER(TEXT(tbLOG[[#This Row],[DATA/HORA]],"mmmm"))</f>
        <v>Janeiro</v>
      </c>
      <c r="C2523" s="34" t="str">
        <f>PROPER(TEXT(tbLOG[[#This Row],[DATA/HORA]],"dddd"))</f>
        <v>Sábado</v>
      </c>
      <c r="D2523" s="3" t="s">
        <v>696</v>
      </c>
      <c r="E2523" s="34" t="str">
        <f>IFERROR(VLOOKUP(tbLOG[[#This Row],[LOGIN]],tbMAPA[#All],2,0), "Não localizado")</f>
        <v>Denyse Souza Santos</v>
      </c>
      <c r="F2523" s="34" t="str">
        <f>IFERROR(VLOOKUP(tbLOG[[#This Row],[LOGIN]],tbMAPA[#All],3,0), "Não localizado")</f>
        <v>Jefte Soares Da Silva</v>
      </c>
      <c r="G2523" s="3" t="s">
        <v>1587</v>
      </c>
      <c r="H2523" s="3" t="s">
        <v>836</v>
      </c>
    </row>
    <row r="2524" spans="1:8">
      <c r="A2524" s="29">
        <v>42749.583391203705</v>
      </c>
      <c r="B2524" s="29" t="str">
        <f>PROPER(TEXT(tbLOG[[#This Row],[DATA/HORA]],"mmmm"))</f>
        <v>Janeiro</v>
      </c>
      <c r="C2524" s="34" t="str">
        <f>PROPER(TEXT(tbLOG[[#This Row],[DATA/HORA]],"dddd"))</f>
        <v>Sábado</v>
      </c>
      <c r="D2524" s="3" t="s">
        <v>696</v>
      </c>
      <c r="E2524" s="34" t="str">
        <f>IFERROR(VLOOKUP(tbLOG[[#This Row],[LOGIN]],tbMAPA[#All],2,0), "Não localizado")</f>
        <v>Denyse Souza Santos</v>
      </c>
      <c r="F2524" s="34" t="str">
        <f>IFERROR(VLOOKUP(tbLOG[[#This Row],[LOGIN]],tbMAPA[#All],3,0), "Não localizado")</f>
        <v>Jefte Soares Da Silva</v>
      </c>
      <c r="G2524" s="3" t="s">
        <v>1587</v>
      </c>
      <c r="H2524" s="3" t="s">
        <v>836</v>
      </c>
    </row>
    <row r="2525" spans="1:8">
      <c r="A2525" s="29">
        <v>42749.583587962959</v>
      </c>
      <c r="B2525" s="29" t="str">
        <f>PROPER(TEXT(tbLOG[[#This Row],[DATA/HORA]],"mmmm"))</f>
        <v>Janeiro</v>
      </c>
      <c r="C2525" s="34" t="str">
        <f>PROPER(TEXT(tbLOG[[#This Row],[DATA/HORA]],"dddd"))</f>
        <v>Sábado</v>
      </c>
      <c r="D2525" s="3" t="s">
        <v>696</v>
      </c>
      <c r="E2525" s="34" t="str">
        <f>IFERROR(VLOOKUP(tbLOG[[#This Row],[LOGIN]],tbMAPA[#All],2,0), "Não localizado")</f>
        <v>Denyse Souza Santos</v>
      </c>
      <c r="F2525" s="34" t="str">
        <f>IFERROR(VLOOKUP(tbLOG[[#This Row],[LOGIN]],tbMAPA[#All],3,0), "Não localizado")</f>
        <v>Jefte Soares Da Silva</v>
      </c>
      <c r="G2525" s="3" t="s">
        <v>1587</v>
      </c>
      <c r="H2525" s="3" t="s">
        <v>836</v>
      </c>
    </row>
    <row r="2526" spans="1:8">
      <c r="A2526" s="29">
        <v>42749.583831018521</v>
      </c>
      <c r="B2526" s="29" t="str">
        <f>PROPER(TEXT(tbLOG[[#This Row],[DATA/HORA]],"mmmm"))</f>
        <v>Janeiro</v>
      </c>
      <c r="C2526" s="34" t="str">
        <f>PROPER(TEXT(tbLOG[[#This Row],[DATA/HORA]],"dddd"))</f>
        <v>Sábado</v>
      </c>
      <c r="D2526" s="3" t="s">
        <v>696</v>
      </c>
      <c r="E2526" s="34" t="str">
        <f>IFERROR(VLOOKUP(tbLOG[[#This Row],[LOGIN]],tbMAPA[#All],2,0), "Não localizado")</f>
        <v>Denyse Souza Santos</v>
      </c>
      <c r="F2526" s="34" t="str">
        <f>IFERROR(VLOOKUP(tbLOG[[#This Row],[LOGIN]],tbMAPA[#All],3,0), "Não localizado")</f>
        <v>Jefte Soares Da Silva</v>
      </c>
      <c r="G2526" s="3" t="s">
        <v>1587</v>
      </c>
      <c r="H2526" s="3" t="s">
        <v>836</v>
      </c>
    </row>
    <row r="2527" spans="1:8">
      <c r="A2527" s="29">
        <v>42749.584016203706</v>
      </c>
      <c r="B2527" s="29" t="str">
        <f>PROPER(TEXT(tbLOG[[#This Row],[DATA/HORA]],"mmmm"))</f>
        <v>Janeiro</v>
      </c>
      <c r="C2527" s="34" t="str">
        <f>PROPER(TEXT(tbLOG[[#This Row],[DATA/HORA]],"dddd"))</f>
        <v>Sábado</v>
      </c>
      <c r="D2527" s="3" t="s">
        <v>696</v>
      </c>
      <c r="E2527" s="34" t="str">
        <f>IFERROR(VLOOKUP(tbLOG[[#This Row],[LOGIN]],tbMAPA[#All],2,0), "Não localizado")</f>
        <v>Denyse Souza Santos</v>
      </c>
      <c r="F2527" s="34" t="str">
        <f>IFERROR(VLOOKUP(tbLOG[[#This Row],[LOGIN]],tbMAPA[#All],3,0), "Não localizado")</f>
        <v>Jefte Soares Da Silva</v>
      </c>
      <c r="G2527" s="3" t="s">
        <v>1587</v>
      </c>
      <c r="H2527" s="3" t="s">
        <v>836</v>
      </c>
    </row>
    <row r="2528" spans="1:8">
      <c r="A2528" s="29">
        <v>42749.584166666667</v>
      </c>
      <c r="B2528" s="29" t="str">
        <f>PROPER(TEXT(tbLOG[[#This Row],[DATA/HORA]],"mmmm"))</f>
        <v>Janeiro</v>
      </c>
      <c r="C2528" s="34" t="str">
        <f>PROPER(TEXT(tbLOG[[#This Row],[DATA/HORA]],"dddd"))</f>
        <v>Sábado</v>
      </c>
      <c r="D2528" s="3" t="s">
        <v>696</v>
      </c>
      <c r="E2528" s="34" t="str">
        <f>IFERROR(VLOOKUP(tbLOG[[#This Row],[LOGIN]],tbMAPA[#All],2,0), "Não localizado")</f>
        <v>Denyse Souza Santos</v>
      </c>
      <c r="F2528" s="34" t="str">
        <f>IFERROR(VLOOKUP(tbLOG[[#This Row],[LOGIN]],tbMAPA[#All],3,0), "Não localizado")</f>
        <v>Jefte Soares Da Silva</v>
      </c>
      <c r="G2528" s="3" t="s">
        <v>1587</v>
      </c>
      <c r="H2528" s="3" t="s">
        <v>836</v>
      </c>
    </row>
    <row r="2529" spans="1:8">
      <c r="A2529" s="29">
        <v>42749.585347222222</v>
      </c>
      <c r="B2529" s="29" t="str">
        <f>PROPER(TEXT(tbLOG[[#This Row],[DATA/HORA]],"mmmm"))</f>
        <v>Janeiro</v>
      </c>
      <c r="C2529" s="34" t="str">
        <f>PROPER(TEXT(tbLOG[[#This Row],[DATA/HORA]],"dddd"))</f>
        <v>Sábado</v>
      </c>
      <c r="D2529" s="3" t="s">
        <v>696</v>
      </c>
      <c r="E2529" s="34" t="str">
        <f>IFERROR(VLOOKUP(tbLOG[[#This Row],[LOGIN]],tbMAPA[#All],2,0), "Não localizado")</f>
        <v>Denyse Souza Santos</v>
      </c>
      <c r="F2529" s="34" t="str">
        <f>IFERROR(VLOOKUP(tbLOG[[#This Row],[LOGIN]],tbMAPA[#All],3,0), "Não localizado")</f>
        <v>Jefte Soares Da Silva</v>
      </c>
      <c r="G2529" s="3" t="s">
        <v>1587</v>
      </c>
      <c r="H2529" s="3" t="s">
        <v>836</v>
      </c>
    </row>
    <row r="2530" spans="1:8">
      <c r="A2530" s="29">
        <v>42749.585416666669</v>
      </c>
      <c r="B2530" s="29" t="str">
        <f>PROPER(TEXT(tbLOG[[#This Row],[DATA/HORA]],"mmmm"))</f>
        <v>Janeiro</v>
      </c>
      <c r="C2530" s="34" t="str">
        <f>PROPER(TEXT(tbLOG[[#This Row],[DATA/HORA]],"dddd"))</f>
        <v>Sábado</v>
      </c>
      <c r="D2530" s="3" t="s">
        <v>696</v>
      </c>
      <c r="E2530" s="34" t="str">
        <f>IFERROR(VLOOKUP(tbLOG[[#This Row],[LOGIN]],tbMAPA[#All],2,0), "Não localizado")</f>
        <v>Denyse Souza Santos</v>
      </c>
      <c r="F2530" s="34" t="str">
        <f>IFERROR(VLOOKUP(tbLOG[[#This Row],[LOGIN]],tbMAPA[#All],3,0), "Não localizado")</f>
        <v>Jefte Soares Da Silva</v>
      </c>
      <c r="G2530" s="3" t="s">
        <v>1587</v>
      </c>
      <c r="H2530" s="3" t="s">
        <v>836</v>
      </c>
    </row>
    <row r="2531" spans="1:8">
      <c r="A2531" s="29">
        <v>42749.585509259261</v>
      </c>
      <c r="B2531" s="29" t="str">
        <f>PROPER(TEXT(tbLOG[[#This Row],[DATA/HORA]],"mmmm"))</f>
        <v>Janeiro</v>
      </c>
      <c r="C2531" s="34" t="str">
        <f>PROPER(TEXT(tbLOG[[#This Row],[DATA/HORA]],"dddd"))</f>
        <v>Sábado</v>
      </c>
      <c r="D2531" s="3" t="s">
        <v>696</v>
      </c>
      <c r="E2531" s="34" t="str">
        <f>IFERROR(VLOOKUP(tbLOG[[#This Row],[LOGIN]],tbMAPA[#All],2,0), "Não localizado")</f>
        <v>Denyse Souza Santos</v>
      </c>
      <c r="F2531" s="34" t="str">
        <f>IFERROR(VLOOKUP(tbLOG[[#This Row],[LOGIN]],tbMAPA[#All],3,0), "Não localizado")</f>
        <v>Jefte Soares Da Silva</v>
      </c>
      <c r="G2531" s="3" t="s">
        <v>1587</v>
      </c>
      <c r="H2531" s="3" t="s">
        <v>836</v>
      </c>
    </row>
    <row r="2532" spans="1:8">
      <c r="A2532" s="29">
        <v>42749.587442129632</v>
      </c>
      <c r="B2532" s="29" t="str">
        <f>PROPER(TEXT(tbLOG[[#This Row],[DATA/HORA]],"mmmm"))</f>
        <v>Janeiro</v>
      </c>
      <c r="C2532" s="34" t="str">
        <f>PROPER(TEXT(tbLOG[[#This Row],[DATA/HORA]],"dddd"))</f>
        <v>Sábado</v>
      </c>
      <c r="D2532" s="3" t="s">
        <v>696</v>
      </c>
      <c r="E2532" s="34" t="str">
        <f>IFERROR(VLOOKUP(tbLOG[[#This Row],[LOGIN]],tbMAPA[#All],2,0), "Não localizado")</f>
        <v>Denyse Souza Santos</v>
      </c>
      <c r="F2532" s="34" t="str">
        <f>IFERROR(VLOOKUP(tbLOG[[#This Row],[LOGIN]],tbMAPA[#All],3,0), "Não localizado")</f>
        <v>Jefte Soares Da Silva</v>
      </c>
      <c r="G2532" s="3" t="s">
        <v>1587</v>
      </c>
      <c r="H2532" s="3" t="s">
        <v>836</v>
      </c>
    </row>
    <row r="2533" spans="1:8">
      <c r="A2533" s="29">
        <v>42749.58766203704</v>
      </c>
      <c r="B2533" s="29" t="str">
        <f>PROPER(TEXT(tbLOG[[#This Row],[DATA/HORA]],"mmmm"))</f>
        <v>Janeiro</v>
      </c>
      <c r="C2533" s="34" t="str">
        <f>PROPER(TEXT(tbLOG[[#This Row],[DATA/HORA]],"dddd"))</f>
        <v>Sábado</v>
      </c>
      <c r="D2533" s="3" t="s">
        <v>696</v>
      </c>
      <c r="E2533" s="34" t="str">
        <f>IFERROR(VLOOKUP(tbLOG[[#This Row],[LOGIN]],tbMAPA[#All],2,0), "Não localizado")</f>
        <v>Denyse Souza Santos</v>
      </c>
      <c r="F2533" s="34" t="str">
        <f>IFERROR(VLOOKUP(tbLOG[[#This Row],[LOGIN]],tbMAPA[#All],3,0), "Não localizado")</f>
        <v>Jefte Soares Da Silva</v>
      </c>
      <c r="G2533" s="3" t="s">
        <v>1587</v>
      </c>
      <c r="H2533" s="3" t="s">
        <v>836</v>
      </c>
    </row>
    <row r="2534" spans="1:8">
      <c r="A2534" s="29">
        <v>42749.587743055556</v>
      </c>
      <c r="B2534" s="29" t="str">
        <f>PROPER(TEXT(tbLOG[[#This Row],[DATA/HORA]],"mmmm"))</f>
        <v>Janeiro</v>
      </c>
      <c r="C2534" s="34" t="str">
        <f>PROPER(TEXT(tbLOG[[#This Row],[DATA/HORA]],"dddd"))</f>
        <v>Sábado</v>
      </c>
      <c r="D2534" s="3" t="s">
        <v>696</v>
      </c>
      <c r="E2534" s="34" t="str">
        <f>IFERROR(VLOOKUP(tbLOG[[#This Row],[LOGIN]],tbMAPA[#All],2,0), "Não localizado")</f>
        <v>Denyse Souza Santos</v>
      </c>
      <c r="F2534" s="34" t="str">
        <f>IFERROR(VLOOKUP(tbLOG[[#This Row],[LOGIN]],tbMAPA[#All],3,0), "Não localizado")</f>
        <v>Jefte Soares Da Silva</v>
      </c>
      <c r="G2534" s="3" t="s">
        <v>1587</v>
      </c>
      <c r="H2534" s="3" t="s">
        <v>836</v>
      </c>
    </row>
    <row r="2535" spans="1:8">
      <c r="A2535" s="29">
        <v>42749.588379629633</v>
      </c>
      <c r="B2535" s="29" t="str">
        <f>PROPER(TEXT(tbLOG[[#This Row],[DATA/HORA]],"mmmm"))</f>
        <v>Janeiro</v>
      </c>
      <c r="C2535" s="34" t="str">
        <f>PROPER(TEXT(tbLOG[[#This Row],[DATA/HORA]],"dddd"))</f>
        <v>Sábado</v>
      </c>
      <c r="D2535" s="3" t="s">
        <v>696</v>
      </c>
      <c r="E2535" s="34" t="str">
        <f>IFERROR(VLOOKUP(tbLOG[[#This Row],[LOGIN]],tbMAPA[#All],2,0), "Não localizado")</f>
        <v>Denyse Souza Santos</v>
      </c>
      <c r="F2535" s="34" t="str">
        <f>IFERROR(VLOOKUP(tbLOG[[#This Row],[LOGIN]],tbMAPA[#All],3,0), "Não localizado")</f>
        <v>Jefte Soares Da Silva</v>
      </c>
      <c r="G2535" s="3" t="s">
        <v>1587</v>
      </c>
      <c r="H2535" s="3" t="s">
        <v>836</v>
      </c>
    </row>
    <row r="2536" spans="1:8">
      <c r="A2536" s="29">
        <v>42749.588645833333</v>
      </c>
      <c r="B2536" s="29" t="str">
        <f>PROPER(TEXT(tbLOG[[#This Row],[DATA/HORA]],"mmmm"))</f>
        <v>Janeiro</v>
      </c>
      <c r="C2536" s="34" t="str">
        <f>PROPER(TEXT(tbLOG[[#This Row],[DATA/HORA]],"dddd"))</f>
        <v>Sábado</v>
      </c>
      <c r="D2536" s="3" t="s">
        <v>696</v>
      </c>
      <c r="E2536" s="34" t="str">
        <f>IFERROR(VLOOKUP(tbLOG[[#This Row],[LOGIN]],tbMAPA[#All],2,0), "Não localizado")</f>
        <v>Denyse Souza Santos</v>
      </c>
      <c r="F2536" s="34" t="str">
        <f>IFERROR(VLOOKUP(tbLOG[[#This Row],[LOGIN]],tbMAPA[#All],3,0), "Não localizado")</f>
        <v>Jefte Soares Da Silva</v>
      </c>
      <c r="G2536" s="3" t="s">
        <v>1587</v>
      </c>
      <c r="H2536" s="3" t="s">
        <v>836</v>
      </c>
    </row>
    <row r="2537" spans="1:8">
      <c r="A2537" s="29">
        <v>42749.588726851849</v>
      </c>
      <c r="B2537" s="29" t="str">
        <f>PROPER(TEXT(tbLOG[[#This Row],[DATA/HORA]],"mmmm"))</f>
        <v>Janeiro</v>
      </c>
      <c r="C2537" s="34" t="str">
        <f>PROPER(TEXT(tbLOG[[#This Row],[DATA/HORA]],"dddd"))</f>
        <v>Sábado</v>
      </c>
      <c r="D2537" s="3" t="s">
        <v>696</v>
      </c>
      <c r="E2537" s="34" t="str">
        <f>IFERROR(VLOOKUP(tbLOG[[#This Row],[LOGIN]],tbMAPA[#All],2,0), "Não localizado")</f>
        <v>Denyse Souza Santos</v>
      </c>
      <c r="F2537" s="34" t="str">
        <f>IFERROR(VLOOKUP(tbLOG[[#This Row],[LOGIN]],tbMAPA[#All],3,0), "Não localizado")</f>
        <v>Jefte Soares Da Silva</v>
      </c>
      <c r="G2537" s="3" t="s">
        <v>1587</v>
      </c>
      <c r="H2537" s="3" t="s">
        <v>836</v>
      </c>
    </row>
    <row r="2538" spans="1:8">
      <c r="A2538" s="29">
        <v>42749.590856481482</v>
      </c>
      <c r="B2538" s="29" t="str">
        <f>PROPER(TEXT(tbLOG[[#This Row],[DATA/HORA]],"mmmm"))</f>
        <v>Janeiro</v>
      </c>
      <c r="C2538" s="34" t="str">
        <f>PROPER(TEXT(tbLOG[[#This Row],[DATA/HORA]],"dddd"))</f>
        <v>Sábado</v>
      </c>
      <c r="D2538" s="3" t="s">
        <v>696</v>
      </c>
      <c r="E2538" s="34" t="str">
        <f>IFERROR(VLOOKUP(tbLOG[[#This Row],[LOGIN]],tbMAPA[#All],2,0), "Não localizado")</f>
        <v>Denyse Souza Santos</v>
      </c>
      <c r="F2538" s="34" t="str">
        <f>IFERROR(VLOOKUP(tbLOG[[#This Row],[LOGIN]],tbMAPA[#All],3,0), "Não localizado")</f>
        <v>Jefte Soares Da Silva</v>
      </c>
      <c r="G2538" s="3" t="s">
        <v>1587</v>
      </c>
      <c r="H2538" s="3" t="s">
        <v>836</v>
      </c>
    </row>
    <row r="2539" spans="1:8">
      <c r="A2539" s="29">
        <v>42749.590879629628</v>
      </c>
      <c r="B2539" s="29" t="str">
        <f>PROPER(TEXT(tbLOG[[#This Row],[DATA/HORA]],"mmmm"))</f>
        <v>Janeiro</v>
      </c>
      <c r="C2539" s="34" t="str">
        <f>PROPER(TEXT(tbLOG[[#This Row],[DATA/HORA]],"dddd"))</f>
        <v>Sábado</v>
      </c>
      <c r="D2539" s="3" t="s">
        <v>696</v>
      </c>
      <c r="E2539" s="34" t="str">
        <f>IFERROR(VLOOKUP(tbLOG[[#This Row],[LOGIN]],tbMAPA[#All],2,0), "Não localizado")</f>
        <v>Denyse Souza Santos</v>
      </c>
      <c r="F2539" s="34" t="str">
        <f>IFERROR(VLOOKUP(tbLOG[[#This Row],[LOGIN]],tbMAPA[#All],3,0), "Não localizado")</f>
        <v>Jefte Soares Da Silva</v>
      </c>
      <c r="G2539" s="3" t="s">
        <v>1587</v>
      </c>
      <c r="H2539" s="3" t="s">
        <v>836</v>
      </c>
    </row>
    <row r="2540" spans="1:8">
      <c r="A2540" s="29">
        <v>42749.590983796297</v>
      </c>
      <c r="B2540" s="29" t="str">
        <f>PROPER(TEXT(tbLOG[[#This Row],[DATA/HORA]],"mmmm"))</f>
        <v>Janeiro</v>
      </c>
      <c r="C2540" s="34" t="str">
        <f>PROPER(TEXT(tbLOG[[#This Row],[DATA/HORA]],"dddd"))</f>
        <v>Sábado</v>
      </c>
      <c r="D2540" s="3" t="s">
        <v>696</v>
      </c>
      <c r="E2540" s="34" t="str">
        <f>IFERROR(VLOOKUP(tbLOG[[#This Row],[LOGIN]],tbMAPA[#All],2,0), "Não localizado")</f>
        <v>Denyse Souza Santos</v>
      </c>
      <c r="F2540" s="34" t="str">
        <f>IFERROR(VLOOKUP(tbLOG[[#This Row],[LOGIN]],tbMAPA[#All],3,0), "Não localizado")</f>
        <v>Jefte Soares Da Silva</v>
      </c>
      <c r="G2540" s="3" t="s">
        <v>1587</v>
      </c>
      <c r="H2540" s="3" t="s">
        <v>836</v>
      </c>
    </row>
    <row r="2541" spans="1:8">
      <c r="A2541" s="29">
        <v>42749.59107638889</v>
      </c>
      <c r="B2541" s="29" t="str">
        <f>PROPER(TEXT(tbLOG[[#This Row],[DATA/HORA]],"mmmm"))</f>
        <v>Janeiro</v>
      </c>
      <c r="C2541" s="34" t="str">
        <f>PROPER(TEXT(tbLOG[[#This Row],[DATA/HORA]],"dddd"))</f>
        <v>Sábado</v>
      </c>
      <c r="D2541" s="3" t="s">
        <v>696</v>
      </c>
      <c r="E2541" s="34" t="str">
        <f>IFERROR(VLOOKUP(tbLOG[[#This Row],[LOGIN]],tbMAPA[#All],2,0), "Não localizado")</f>
        <v>Denyse Souza Santos</v>
      </c>
      <c r="F2541" s="34" t="str">
        <f>IFERROR(VLOOKUP(tbLOG[[#This Row],[LOGIN]],tbMAPA[#All],3,0), "Não localizado")</f>
        <v>Jefte Soares Da Silva</v>
      </c>
      <c r="G2541" s="3" t="s">
        <v>1587</v>
      </c>
      <c r="H2541" s="3" t="s">
        <v>836</v>
      </c>
    </row>
    <row r="2542" spans="1:8">
      <c r="A2542" s="29">
        <v>42749.591238425928</v>
      </c>
      <c r="B2542" s="29" t="str">
        <f>PROPER(TEXT(tbLOG[[#This Row],[DATA/HORA]],"mmmm"))</f>
        <v>Janeiro</v>
      </c>
      <c r="C2542" s="34" t="str">
        <f>PROPER(TEXT(tbLOG[[#This Row],[DATA/HORA]],"dddd"))</f>
        <v>Sábado</v>
      </c>
      <c r="D2542" s="3" t="s">
        <v>696</v>
      </c>
      <c r="E2542" s="34" t="str">
        <f>IFERROR(VLOOKUP(tbLOG[[#This Row],[LOGIN]],tbMAPA[#All],2,0), "Não localizado")</f>
        <v>Denyse Souza Santos</v>
      </c>
      <c r="F2542" s="34" t="str">
        <f>IFERROR(VLOOKUP(tbLOG[[#This Row],[LOGIN]],tbMAPA[#All],3,0), "Não localizado")</f>
        <v>Jefte Soares Da Silva</v>
      </c>
      <c r="G2542" s="3" t="s">
        <v>1587</v>
      </c>
      <c r="H2542" s="3" t="s">
        <v>836</v>
      </c>
    </row>
    <row r="2543" spans="1:8">
      <c r="A2543" s="29">
        <v>42749.591307870367</v>
      </c>
      <c r="B2543" s="29" t="str">
        <f>PROPER(TEXT(tbLOG[[#This Row],[DATA/HORA]],"mmmm"))</f>
        <v>Janeiro</v>
      </c>
      <c r="C2543" s="34" t="str">
        <f>PROPER(TEXT(tbLOG[[#This Row],[DATA/HORA]],"dddd"))</f>
        <v>Sábado</v>
      </c>
      <c r="D2543" s="3" t="s">
        <v>696</v>
      </c>
      <c r="E2543" s="34" t="str">
        <f>IFERROR(VLOOKUP(tbLOG[[#This Row],[LOGIN]],tbMAPA[#All],2,0), "Não localizado")</f>
        <v>Denyse Souza Santos</v>
      </c>
      <c r="F2543" s="34" t="str">
        <f>IFERROR(VLOOKUP(tbLOG[[#This Row],[LOGIN]],tbMAPA[#All],3,0), "Não localizado")</f>
        <v>Jefte Soares Da Silva</v>
      </c>
      <c r="G2543" s="3" t="s">
        <v>1587</v>
      </c>
      <c r="H2543" s="3" t="s">
        <v>836</v>
      </c>
    </row>
    <row r="2544" spans="1:8">
      <c r="A2544" s="29">
        <v>42749.592881944445</v>
      </c>
      <c r="B2544" s="29" t="str">
        <f>PROPER(TEXT(tbLOG[[#This Row],[DATA/HORA]],"mmmm"))</f>
        <v>Janeiro</v>
      </c>
      <c r="C2544" s="34" t="str">
        <f>PROPER(TEXT(tbLOG[[#This Row],[DATA/HORA]],"dddd"))</f>
        <v>Sábado</v>
      </c>
      <c r="D2544" s="3" t="s">
        <v>696</v>
      </c>
      <c r="E2544" s="34" t="str">
        <f>IFERROR(VLOOKUP(tbLOG[[#This Row],[LOGIN]],tbMAPA[#All],2,0), "Não localizado")</f>
        <v>Denyse Souza Santos</v>
      </c>
      <c r="F2544" s="34" t="str">
        <f>IFERROR(VLOOKUP(tbLOG[[#This Row],[LOGIN]],tbMAPA[#All],3,0), "Não localizado")</f>
        <v>Jefte Soares Da Silva</v>
      </c>
      <c r="G2544" s="3" t="s">
        <v>1587</v>
      </c>
      <c r="H2544" s="3" t="s">
        <v>836</v>
      </c>
    </row>
    <row r="2545" spans="1:8">
      <c r="A2545" s="29">
        <v>42749.592962962961</v>
      </c>
      <c r="B2545" s="29" t="str">
        <f>PROPER(TEXT(tbLOG[[#This Row],[DATA/HORA]],"mmmm"))</f>
        <v>Janeiro</v>
      </c>
      <c r="C2545" s="34" t="str">
        <f>PROPER(TEXT(tbLOG[[#This Row],[DATA/HORA]],"dddd"))</f>
        <v>Sábado</v>
      </c>
      <c r="D2545" s="3" t="s">
        <v>696</v>
      </c>
      <c r="E2545" s="34" t="str">
        <f>IFERROR(VLOOKUP(tbLOG[[#This Row],[LOGIN]],tbMAPA[#All],2,0), "Não localizado")</f>
        <v>Denyse Souza Santos</v>
      </c>
      <c r="F2545" s="34" t="str">
        <f>IFERROR(VLOOKUP(tbLOG[[#This Row],[LOGIN]],tbMAPA[#All],3,0), "Não localizado")</f>
        <v>Jefte Soares Da Silva</v>
      </c>
      <c r="G2545" s="3" t="s">
        <v>1587</v>
      </c>
      <c r="H2545" s="3" t="s">
        <v>836</v>
      </c>
    </row>
    <row r="2546" spans="1:8">
      <c r="A2546" s="29">
        <v>42749.593043981484</v>
      </c>
      <c r="B2546" s="29" t="str">
        <f>PROPER(TEXT(tbLOG[[#This Row],[DATA/HORA]],"mmmm"))</f>
        <v>Janeiro</v>
      </c>
      <c r="C2546" s="34" t="str">
        <f>PROPER(TEXT(tbLOG[[#This Row],[DATA/HORA]],"dddd"))</f>
        <v>Sábado</v>
      </c>
      <c r="D2546" s="3" t="s">
        <v>696</v>
      </c>
      <c r="E2546" s="34" t="str">
        <f>IFERROR(VLOOKUP(tbLOG[[#This Row],[LOGIN]],tbMAPA[#All],2,0), "Não localizado")</f>
        <v>Denyse Souza Santos</v>
      </c>
      <c r="F2546" s="34" t="str">
        <f>IFERROR(VLOOKUP(tbLOG[[#This Row],[LOGIN]],tbMAPA[#All],3,0), "Não localizado")</f>
        <v>Jefte Soares Da Silva</v>
      </c>
      <c r="G2546" s="3" t="s">
        <v>1587</v>
      </c>
      <c r="H2546" s="3" t="s">
        <v>836</v>
      </c>
    </row>
    <row r="2547" spans="1:8">
      <c r="A2547" s="29">
        <v>42749.595289351855</v>
      </c>
      <c r="B2547" s="29" t="str">
        <f>PROPER(TEXT(tbLOG[[#This Row],[DATA/HORA]],"mmmm"))</f>
        <v>Janeiro</v>
      </c>
      <c r="C2547" s="34" t="str">
        <f>PROPER(TEXT(tbLOG[[#This Row],[DATA/HORA]],"dddd"))</f>
        <v>Sábado</v>
      </c>
      <c r="D2547" s="3" t="s">
        <v>696</v>
      </c>
      <c r="E2547" s="34" t="str">
        <f>IFERROR(VLOOKUP(tbLOG[[#This Row],[LOGIN]],tbMAPA[#All],2,0), "Não localizado")</f>
        <v>Denyse Souza Santos</v>
      </c>
      <c r="F2547" s="34" t="str">
        <f>IFERROR(VLOOKUP(tbLOG[[#This Row],[LOGIN]],tbMAPA[#All],3,0), "Não localizado")</f>
        <v>Jefte Soares Da Silva</v>
      </c>
      <c r="G2547" s="3" t="s">
        <v>1587</v>
      </c>
      <c r="H2547" s="3" t="s">
        <v>836</v>
      </c>
    </row>
    <row r="2548" spans="1:8">
      <c r="A2548" s="29">
        <v>42749.595358796294</v>
      </c>
      <c r="B2548" s="29" t="str">
        <f>PROPER(TEXT(tbLOG[[#This Row],[DATA/HORA]],"mmmm"))</f>
        <v>Janeiro</v>
      </c>
      <c r="C2548" s="34" t="str">
        <f>PROPER(TEXT(tbLOG[[#This Row],[DATA/HORA]],"dddd"))</f>
        <v>Sábado</v>
      </c>
      <c r="D2548" s="3" t="s">
        <v>696</v>
      </c>
      <c r="E2548" s="34" t="str">
        <f>IFERROR(VLOOKUP(tbLOG[[#This Row],[LOGIN]],tbMAPA[#All],2,0), "Não localizado")</f>
        <v>Denyse Souza Santos</v>
      </c>
      <c r="F2548" s="34" t="str">
        <f>IFERROR(VLOOKUP(tbLOG[[#This Row],[LOGIN]],tbMAPA[#All],3,0), "Não localizado")</f>
        <v>Jefte Soares Da Silva</v>
      </c>
      <c r="G2548" s="3" t="s">
        <v>1587</v>
      </c>
      <c r="H2548" s="3" t="s">
        <v>836</v>
      </c>
    </row>
    <row r="2549" spans="1:8">
      <c r="A2549" s="29">
        <v>42749.595706018517</v>
      </c>
      <c r="B2549" s="29" t="str">
        <f>PROPER(TEXT(tbLOG[[#This Row],[DATA/HORA]],"mmmm"))</f>
        <v>Janeiro</v>
      </c>
      <c r="C2549" s="34" t="str">
        <f>PROPER(TEXT(tbLOG[[#This Row],[DATA/HORA]],"dddd"))</f>
        <v>Sábado</v>
      </c>
      <c r="D2549" s="3" t="s">
        <v>696</v>
      </c>
      <c r="E2549" s="34" t="str">
        <f>IFERROR(VLOOKUP(tbLOG[[#This Row],[LOGIN]],tbMAPA[#All],2,0), "Não localizado")</f>
        <v>Denyse Souza Santos</v>
      </c>
      <c r="F2549" s="34" t="str">
        <f>IFERROR(VLOOKUP(tbLOG[[#This Row],[LOGIN]],tbMAPA[#All],3,0), "Não localizado")</f>
        <v>Jefte Soares Da Silva</v>
      </c>
      <c r="G2549" s="3" t="s">
        <v>1587</v>
      </c>
      <c r="H2549" s="3" t="s">
        <v>836</v>
      </c>
    </row>
    <row r="2550" spans="1:8">
      <c r="A2550" s="29">
        <v>42749.595810185187</v>
      </c>
      <c r="B2550" s="29" t="str">
        <f>PROPER(TEXT(tbLOG[[#This Row],[DATA/HORA]],"mmmm"))</f>
        <v>Janeiro</v>
      </c>
      <c r="C2550" s="34" t="str">
        <f>PROPER(TEXT(tbLOG[[#This Row],[DATA/HORA]],"dddd"))</f>
        <v>Sábado</v>
      </c>
      <c r="D2550" s="3" t="s">
        <v>696</v>
      </c>
      <c r="E2550" s="34" t="str">
        <f>IFERROR(VLOOKUP(tbLOG[[#This Row],[LOGIN]],tbMAPA[#All],2,0), "Não localizado")</f>
        <v>Denyse Souza Santos</v>
      </c>
      <c r="F2550" s="34" t="str">
        <f>IFERROR(VLOOKUP(tbLOG[[#This Row],[LOGIN]],tbMAPA[#All],3,0), "Não localizado")</f>
        <v>Jefte Soares Da Silva</v>
      </c>
      <c r="G2550" s="3" t="s">
        <v>1587</v>
      </c>
      <c r="H2550" s="3" t="s">
        <v>836</v>
      </c>
    </row>
    <row r="2551" spans="1:8">
      <c r="A2551" s="29">
        <v>42749.596493055556</v>
      </c>
      <c r="B2551" s="29" t="str">
        <f>PROPER(TEXT(tbLOG[[#This Row],[DATA/HORA]],"mmmm"))</f>
        <v>Janeiro</v>
      </c>
      <c r="C2551" s="34" t="str">
        <f>PROPER(TEXT(tbLOG[[#This Row],[DATA/HORA]],"dddd"))</f>
        <v>Sábado</v>
      </c>
      <c r="D2551" s="3" t="s">
        <v>696</v>
      </c>
      <c r="E2551" s="34" t="str">
        <f>IFERROR(VLOOKUP(tbLOG[[#This Row],[LOGIN]],tbMAPA[#All],2,0), "Não localizado")</f>
        <v>Denyse Souza Santos</v>
      </c>
      <c r="F2551" s="34" t="str">
        <f>IFERROR(VLOOKUP(tbLOG[[#This Row],[LOGIN]],tbMAPA[#All],3,0), "Não localizado")</f>
        <v>Jefte Soares Da Silva</v>
      </c>
      <c r="G2551" s="3" t="s">
        <v>1587</v>
      </c>
      <c r="H2551" s="3" t="s">
        <v>290</v>
      </c>
    </row>
    <row r="2552" spans="1:8">
      <c r="A2552" s="29">
        <v>42749.596550925926</v>
      </c>
      <c r="B2552" s="29" t="str">
        <f>PROPER(TEXT(tbLOG[[#This Row],[DATA/HORA]],"mmmm"))</f>
        <v>Janeiro</v>
      </c>
      <c r="C2552" s="34" t="str">
        <f>PROPER(TEXT(tbLOG[[#This Row],[DATA/HORA]],"dddd"))</f>
        <v>Sábado</v>
      </c>
      <c r="D2552" s="3" t="s">
        <v>696</v>
      </c>
      <c r="E2552" s="34" t="str">
        <f>IFERROR(VLOOKUP(tbLOG[[#This Row],[LOGIN]],tbMAPA[#All],2,0), "Não localizado")</f>
        <v>Denyse Souza Santos</v>
      </c>
      <c r="F2552" s="34" t="str">
        <f>IFERROR(VLOOKUP(tbLOG[[#This Row],[LOGIN]],tbMAPA[#All],3,0), "Não localizado")</f>
        <v>Jefte Soares Da Silva</v>
      </c>
      <c r="G2552" s="3" t="s">
        <v>1587</v>
      </c>
      <c r="H2552" s="3" t="s">
        <v>291</v>
      </c>
    </row>
    <row r="2553" spans="1:8">
      <c r="A2553" s="29">
        <v>42749.596550925926</v>
      </c>
      <c r="B2553" s="29" t="str">
        <f>PROPER(TEXT(tbLOG[[#This Row],[DATA/HORA]],"mmmm"))</f>
        <v>Janeiro</v>
      </c>
      <c r="C2553" s="34" t="str">
        <f>PROPER(TEXT(tbLOG[[#This Row],[DATA/HORA]],"dddd"))</f>
        <v>Sábado</v>
      </c>
      <c r="D2553" s="3" t="s">
        <v>696</v>
      </c>
      <c r="E2553" s="34" t="str">
        <f>IFERROR(VLOOKUP(tbLOG[[#This Row],[LOGIN]],tbMAPA[#All],2,0), "Não localizado")</f>
        <v>Denyse Souza Santos</v>
      </c>
      <c r="F2553" s="34" t="str">
        <f>IFERROR(VLOOKUP(tbLOG[[#This Row],[LOGIN]],tbMAPA[#All],3,0), "Não localizado")</f>
        <v>Jefte Soares Da Silva</v>
      </c>
      <c r="G2553" s="3" t="s">
        <v>1587</v>
      </c>
      <c r="H2553" s="3" t="s">
        <v>290</v>
      </c>
    </row>
    <row r="2554" spans="1:8">
      <c r="A2554" s="29">
        <v>42751.397303240738</v>
      </c>
      <c r="B2554" s="29" t="str">
        <f>PROPER(TEXT(tbLOG[[#This Row],[DATA/HORA]],"mmmm"))</f>
        <v>Janeiro</v>
      </c>
      <c r="C2554" s="34" t="str">
        <f>PROPER(TEXT(tbLOG[[#This Row],[DATA/HORA]],"dddd"))</f>
        <v>Segunda-Feira</v>
      </c>
      <c r="D2554" s="3" t="s">
        <v>300</v>
      </c>
      <c r="E2554" s="34" t="str">
        <f>IFERROR(VLOOKUP(tbLOG[[#This Row],[LOGIN]],tbMAPA[#All],2,0), "Não localizado")</f>
        <v>Jefte Soares Da Silva</v>
      </c>
      <c r="F2554" s="34" t="str">
        <f>IFERROR(VLOOKUP(tbLOG[[#This Row],[LOGIN]],tbMAPA[#All],3,0), "Não localizado")</f>
        <v>Daniela Andrade Silva</v>
      </c>
      <c r="G2554" s="3" t="s">
        <v>1000</v>
      </c>
      <c r="H2554" s="3" t="s">
        <v>994</v>
      </c>
    </row>
    <row r="2555" spans="1:8">
      <c r="A2555" s="29">
        <v>42751.397430555553</v>
      </c>
      <c r="B2555" s="29" t="str">
        <f>PROPER(TEXT(tbLOG[[#This Row],[DATA/HORA]],"mmmm"))</f>
        <v>Janeiro</v>
      </c>
      <c r="C2555" s="34" t="str">
        <f>PROPER(TEXT(tbLOG[[#This Row],[DATA/HORA]],"dddd"))</f>
        <v>Segunda-Feira</v>
      </c>
      <c r="D2555" s="3" t="s">
        <v>300</v>
      </c>
      <c r="E2555" s="34" t="str">
        <f>IFERROR(VLOOKUP(tbLOG[[#This Row],[LOGIN]],tbMAPA[#All],2,0), "Não localizado")</f>
        <v>Jefte Soares Da Silva</v>
      </c>
      <c r="F2555" s="34" t="str">
        <f>IFERROR(VLOOKUP(tbLOG[[#This Row],[LOGIN]],tbMAPA[#All],3,0), "Não localizado")</f>
        <v>Daniela Andrade Silva</v>
      </c>
      <c r="G2555" s="3" t="s">
        <v>1000</v>
      </c>
      <c r="H2555" s="3" t="s">
        <v>315</v>
      </c>
    </row>
    <row r="2556" spans="1:8">
      <c r="A2556" s="29">
        <v>42751.397638888891</v>
      </c>
      <c r="B2556" s="29" t="str">
        <f>PROPER(TEXT(tbLOG[[#This Row],[DATA/HORA]],"mmmm"))</f>
        <v>Janeiro</v>
      </c>
      <c r="C2556" s="34" t="str">
        <f>PROPER(TEXT(tbLOG[[#This Row],[DATA/HORA]],"dddd"))</f>
        <v>Segunda-Feira</v>
      </c>
      <c r="D2556" s="3" t="s">
        <v>300</v>
      </c>
      <c r="E2556" s="34" t="str">
        <f>IFERROR(VLOOKUP(tbLOG[[#This Row],[LOGIN]],tbMAPA[#All],2,0), "Não localizado")</f>
        <v>Jefte Soares Da Silva</v>
      </c>
      <c r="F2556" s="34" t="str">
        <f>IFERROR(VLOOKUP(tbLOG[[#This Row],[LOGIN]],tbMAPA[#All],3,0), "Não localizado")</f>
        <v>Daniela Andrade Silva</v>
      </c>
      <c r="G2556" s="3" t="s">
        <v>1000</v>
      </c>
      <c r="H2556" s="3" t="s">
        <v>292</v>
      </c>
    </row>
    <row r="2557" spans="1:8">
      <c r="A2557" s="29">
        <v>42751.397650462961</v>
      </c>
      <c r="B2557" s="29" t="str">
        <f>PROPER(TEXT(tbLOG[[#This Row],[DATA/HORA]],"mmmm"))</f>
        <v>Janeiro</v>
      </c>
      <c r="C2557" s="34" t="str">
        <f>PROPER(TEXT(tbLOG[[#This Row],[DATA/HORA]],"dddd"))</f>
        <v>Segunda-Feira</v>
      </c>
      <c r="D2557" s="3" t="s">
        <v>300</v>
      </c>
      <c r="E2557" s="34" t="str">
        <f>IFERROR(VLOOKUP(tbLOG[[#This Row],[LOGIN]],tbMAPA[#All],2,0), "Não localizado")</f>
        <v>Jefte Soares Da Silva</v>
      </c>
      <c r="F2557" s="34" t="str">
        <f>IFERROR(VLOOKUP(tbLOG[[#This Row],[LOGIN]],tbMAPA[#All],3,0), "Não localizado")</f>
        <v>Daniela Andrade Silva</v>
      </c>
      <c r="G2557" s="3" t="s">
        <v>1000</v>
      </c>
      <c r="H2557" s="3" t="s">
        <v>292</v>
      </c>
    </row>
    <row r="2558" spans="1:8">
      <c r="A2558" s="29">
        <v>42751.397650462961</v>
      </c>
      <c r="B2558" s="29" t="str">
        <f>PROPER(TEXT(tbLOG[[#This Row],[DATA/HORA]],"mmmm"))</f>
        <v>Janeiro</v>
      </c>
      <c r="C2558" s="34" t="str">
        <f>PROPER(TEXT(tbLOG[[#This Row],[DATA/HORA]],"dddd"))</f>
        <v>Segunda-Feira</v>
      </c>
      <c r="D2558" s="3" t="s">
        <v>300</v>
      </c>
      <c r="E2558" s="34" t="str">
        <f>IFERROR(VLOOKUP(tbLOG[[#This Row],[LOGIN]],tbMAPA[#All],2,0), "Não localizado")</f>
        <v>Jefte Soares Da Silva</v>
      </c>
      <c r="F2558" s="34" t="str">
        <f>IFERROR(VLOOKUP(tbLOG[[#This Row],[LOGIN]],tbMAPA[#All],3,0), "Não localizado")</f>
        <v>Daniela Andrade Silva</v>
      </c>
      <c r="G2558" s="3" t="s">
        <v>1000</v>
      </c>
      <c r="H2558" s="3" t="s">
        <v>317</v>
      </c>
    </row>
    <row r="2559" spans="1:8">
      <c r="A2559" s="29">
        <v>42751.398495370369</v>
      </c>
      <c r="B2559" s="29" t="str">
        <f>PROPER(TEXT(tbLOG[[#This Row],[DATA/HORA]],"mmmm"))</f>
        <v>Janeiro</v>
      </c>
      <c r="C2559" s="34" t="str">
        <f>PROPER(TEXT(tbLOG[[#This Row],[DATA/HORA]],"dddd"))</f>
        <v>Segunda-Feira</v>
      </c>
      <c r="D2559" s="3" t="s">
        <v>300</v>
      </c>
      <c r="E2559" s="34" t="str">
        <f>IFERROR(VLOOKUP(tbLOG[[#This Row],[LOGIN]],tbMAPA[#All],2,0), "Não localizado")</f>
        <v>Jefte Soares Da Silva</v>
      </c>
      <c r="F2559" s="34" t="str">
        <f>IFERROR(VLOOKUP(tbLOG[[#This Row],[LOGIN]],tbMAPA[#All],3,0), "Não localizado")</f>
        <v>Daniela Andrade Silva</v>
      </c>
      <c r="G2559" s="3" t="s">
        <v>1000</v>
      </c>
      <c r="H2559" s="3" t="s">
        <v>835</v>
      </c>
    </row>
    <row r="2560" spans="1:8">
      <c r="A2560" s="29">
        <v>42751.398726851854</v>
      </c>
      <c r="B2560" s="29" t="str">
        <f>PROPER(TEXT(tbLOG[[#This Row],[DATA/HORA]],"mmmm"))</f>
        <v>Janeiro</v>
      </c>
      <c r="C2560" s="34" t="str">
        <f>PROPER(TEXT(tbLOG[[#This Row],[DATA/HORA]],"dddd"))</f>
        <v>Segunda-Feira</v>
      </c>
      <c r="D2560" s="3" t="s">
        <v>300</v>
      </c>
      <c r="E2560" s="34" t="str">
        <f>IFERROR(VLOOKUP(tbLOG[[#This Row],[LOGIN]],tbMAPA[#All],2,0), "Não localizado")</f>
        <v>Jefte Soares Da Silva</v>
      </c>
      <c r="F2560" s="34" t="str">
        <f>IFERROR(VLOOKUP(tbLOG[[#This Row],[LOGIN]],tbMAPA[#All],3,0), "Não localizado")</f>
        <v>Daniela Andrade Silva</v>
      </c>
      <c r="G2560" s="3" t="s">
        <v>1000</v>
      </c>
      <c r="H2560" s="3" t="s">
        <v>836</v>
      </c>
    </row>
    <row r="2561" spans="1:8">
      <c r="A2561" s="29">
        <v>42751.398981481485</v>
      </c>
      <c r="B2561" s="29" t="str">
        <f>PROPER(TEXT(tbLOG[[#This Row],[DATA/HORA]],"mmmm"))</f>
        <v>Janeiro</v>
      </c>
      <c r="C2561" s="34" t="str">
        <f>PROPER(TEXT(tbLOG[[#This Row],[DATA/HORA]],"dddd"))</f>
        <v>Segunda-Feira</v>
      </c>
      <c r="D2561" s="3" t="s">
        <v>300</v>
      </c>
      <c r="E2561" s="34" t="str">
        <f>IFERROR(VLOOKUP(tbLOG[[#This Row],[LOGIN]],tbMAPA[#All],2,0), "Não localizado")</f>
        <v>Jefte Soares Da Silva</v>
      </c>
      <c r="F2561" s="34" t="str">
        <f>IFERROR(VLOOKUP(tbLOG[[#This Row],[LOGIN]],tbMAPA[#All],3,0), "Não localizado")</f>
        <v>Daniela Andrade Silva</v>
      </c>
      <c r="G2561" s="3" t="s">
        <v>1000</v>
      </c>
      <c r="H2561" s="3" t="s">
        <v>836</v>
      </c>
    </row>
    <row r="2562" spans="1:8">
      <c r="A2562" s="29">
        <v>42751.399467592593</v>
      </c>
      <c r="B2562" s="29" t="str">
        <f>PROPER(TEXT(tbLOG[[#This Row],[DATA/HORA]],"mmmm"))</f>
        <v>Janeiro</v>
      </c>
      <c r="C2562" s="34" t="str">
        <f>PROPER(TEXT(tbLOG[[#This Row],[DATA/HORA]],"dddd"))</f>
        <v>Segunda-Feira</v>
      </c>
      <c r="D2562" s="3" t="s">
        <v>300</v>
      </c>
      <c r="E2562" s="34" t="str">
        <f>IFERROR(VLOOKUP(tbLOG[[#This Row],[LOGIN]],tbMAPA[#All],2,0), "Não localizado")</f>
        <v>Jefte Soares Da Silva</v>
      </c>
      <c r="F2562" s="34" t="str">
        <f>IFERROR(VLOOKUP(tbLOG[[#This Row],[LOGIN]],tbMAPA[#All],3,0), "Não localizado")</f>
        <v>Daniela Andrade Silva</v>
      </c>
      <c r="G2562" s="3" t="s">
        <v>1000</v>
      </c>
      <c r="H2562" s="3" t="s">
        <v>331</v>
      </c>
    </row>
    <row r="2563" spans="1:8">
      <c r="A2563" s="29">
        <v>42751.399583333332</v>
      </c>
      <c r="B2563" s="29" t="str">
        <f>PROPER(TEXT(tbLOG[[#This Row],[DATA/HORA]],"mmmm"))</f>
        <v>Janeiro</v>
      </c>
      <c r="C2563" s="34" t="str">
        <f>PROPER(TEXT(tbLOG[[#This Row],[DATA/HORA]],"dddd"))</f>
        <v>Segunda-Feira</v>
      </c>
      <c r="D2563" s="3" t="s">
        <v>300</v>
      </c>
      <c r="E2563" s="34" t="str">
        <f>IFERROR(VLOOKUP(tbLOG[[#This Row],[LOGIN]],tbMAPA[#All],2,0), "Não localizado")</f>
        <v>Jefte Soares Da Silva</v>
      </c>
      <c r="F2563" s="34" t="str">
        <f>IFERROR(VLOOKUP(tbLOG[[#This Row],[LOGIN]],tbMAPA[#All],3,0), "Não localizado")</f>
        <v>Daniela Andrade Silva</v>
      </c>
      <c r="G2563" s="3" t="s">
        <v>1000</v>
      </c>
      <c r="H2563" s="3" t="s">
        <v>331</v>
      </c>
    </row>
    <row r="2564" spans="1:8">
      <c r="A2564" s="29">
        <v>42751.399629629632</v>
      </c>
      <c r="B2564" s="29" t="str">
        <f>PROPER(TEXT(tbLOG[[#This Row],[DATA/HORA]],"mmmm"))</f>
        <v>Janeiro</v>
      </c>
      <c r="C2564" s="34" t="str">
        <f>PROPER(TEXT(tbLOG[[#This Row],[DATA/HORA]],"dddd"))</f>
        <v>Segunda-Feira</v>
      </c>
      <c r="D2564" s="3" t="s">
        <v>300</v>
      </c>
      <c r="E2564" s="34" t="str">
        <f>IFERROR(VLOOKUP(tbLOG[[#This Row],[LOGIN]],tbMAPA[#All],2,0), "Não localizado")</f>
        <v>Jefte Soares Da Silva</v>
      </c>
      <c r="F2564" s="34" t="str">
        <f>IFERROR(VLOOKUP(tbLOG[[#This Row],[LOGIN]],tbMAPA[#All],3,0), "Não localizado")</f>
        <v>Daniela Andrade Silva</v>
      </c>
      <c r="G2564" s="3" t="s">
        <v>1000</v>
      </c>
      <c r="H2564" s="3" t="s">
        <v>331</v>
      </c>
    </row>
    <row r="2565" spans="1:8">
      <c r="A2565" s="29">
        <v>42751.399699074071</v>
      </c>
      <c r="B2565" s="29" t="str">
        <f>PROPER(TEXT(tbLOG[[#This Row],[DATA/HORA]],"mmmm"))</f>
        <v>Janeiro</v>
      </c>
      <c r="C2565" s="34" t="str">
        <f>PROPER(TEXT(tbLOG[[#This Row],[DATA/HORA]],"dddd"))</f>
        <v>Segunda-Feira</v>
      </c>
      <c r="D2565" s="3" t="s">
        <v>300</v>
      </c>
      <c r="E2565" s="34" t="str">
        <f>IFERROR(VLOOKUP(tbLOG[[#This Row],[LOGIN]],tbMAPA[#All],2,0), "Não localizado")</f>
        <v>Jefte Soares Da Silva</v>
      </c>
      <c r="F2565" s="34" t="str">
        <f>IFERROR(VLOOKUP(tbLOG[[#This Row],[LOGIN]],tbMAPA[#All],3,0), "Não localizado")</f>
        <v>Daniela Andrade Silva</v>
      </c>
      <c r="G2565" s="3" t="s">
        <v>1000</v>
      </c>
      <c r="H2565" s="3" t="s">
        <v>331</v>
      </c>
    </row>
    <row r="2566" spans="1:8">
      <c r="A2566" s="29">
        <v>42751.399745370371</v>
      </c>
      <c r="B2566" s="29" t="str">
        <f>PROPER(TEXT(tbLOG[[#This Row],[DATA/HORA]],"mmmm"))</f>
        <v>Janeiro</v>
      </c>
      <c r="C2566" s="34" t="str">
        <f>PROPER(TEXT(tbLOG[[#This Row],[DATA/HORA]],"dddd"))</f>
        <v>Segunda-Feira</v>
      </c>
      <c r="D2566" s="3" t="s">
        <v>300</v>
      </c>
      <c r="E2566" s="34" t="str">
        <f>IFERROR(VLOOKUP(tbLOG[[#This Row],[LOGIN]],tbMAPA[#All],2,0), "Não localizado")</f>
        <v>Jefte Soares Da Silva</v>
      </c>
      <c r="F2566" s="34" t="str">
        <f>IFERROR(VLOOKUP(tbLOG[[#This Row],[LOGIN]],tbMAPA[#All],3,0), "Não localizado")</f>
        <v>Daniela Andrade Silva</v>
      </c>
      <c r="G2566" s="3" t="s">
        <v>1000</v>
      </c>
      <c r="H2566" s="3" t="s">
        <v>331</v>
      </c>
    </row>
    <row r="2567" spans="1:8">
      <c r="A2567" s="29">
        <v>42751.39980324074</v>
      </c>
      <c r="B2567" s="29" t="str">
        <f>PROPER(TEXT(tbLOG[[#This Row],[DATA/HORA]],"mmmm"))</f>
        <v>Janeiro</v>
      </c>
      <c r="C2567" s="34" t="str">
        <f>PROPER(TEXT(tbLOG[[#This Row],[DATA/HORA]],"dddd"))</f>
        <v>Segunda-Feira</v>
      </c>
      <c r="D2567" s="3" t="s">
        <v>300</v>
      </c>
      <c r="E2567" s="34" t="str">
        <f>IFERROR(VLOOKUP(tbLOG[[#This Row],[LOGIN]],tbMAPA[#All],2,0), "Não localizado")</f>
        <v>Jefte Soares Da Silva</v>
      </c>
      <c r="F2567" s="34" t="str">
        <f>IFERROR(VLOOKUP(tbLOG[[#This Row],[LOGIN]],tbMAPA[#All],3,0), "Não localizado")</f>
        <v>Daniela Andrade Silva</v>
      </c>
      <c r="G2567" s="3" t="s">
        <v>1000</v>
      </c>
      <c r="H2567" s="3" t="s">
        <v>331</v>
      </c>
    </row>
    <row r="2568" spans="1:8">
      <c r="A2568" s="29">
        <v>42751.399872685186</v>
      </c>
      <c r="B2568" s="29" t="str">
        <f>PROPER(TEXT(tbLOG[[#This Row],[DATA/HORA]],"mmmm"))</f>
        <v>Janeiro</v>
      </c>
      <c r="C2568" s="34" t="str">
        <f>PROPER(TEXT(tbLOG[[#This Row],[DATA/HORA]],"dddd"))</f>
        <v>Segunda-Feira</v>
      </c>
      <c r="D2568" s="3" t="s">
        <v>300</v>
      </c>
      <c r="E2568" s="34" t="str">
        <f>IFERROR(VLOOKUP(tbLOG[[#This Row],[LOGIN]],tbMAPA[#All],2,0), "Não localizado")</f>
        <v>Jefte Soares Da Silva</v>
      </c>
      <c r="F2568" s="34" t="str">
        <f>IFERROR(VLOOKUP(tbLOG[[#This Row],[LOGIN]],tbMAPA[#All],3,0), "Não localizado")</f>
        <v>Daniela Andrade Silva</v>
      </c>
      <c r="G2568" s="3" t="s">
        <v>1000</v>
      </c>
      <c r="H2568" s="3" t="s">
        <v>331</v>
      </c>
    </row>
    <row r="2569" spans="1:8">
      <c r="A2569" s="29">
        <v>42751.399942129632</v>
      </c>
      <c r="B2569" s="29" t="str">
        <f>PROPER(TEXT(tbLOG[[#This Row],[DATA/HORA]],"mmmm"))</f>
        <v>Janeiro</v>
      </c>
      <c r="C2569" s="34" t="str">
        <f>PROPER(TEXT(tbLOG[[#This Row],[DATA/HORA]],"dddd"))</f>
        <v>Segunda-Feira</v>
      </c>
      <c r="D2569" s="3" t="s">
        <v>300</v>
      </c>
      <c r="E2569" s="34" t="str">
        <f>IFERROR(VLOOKUP(tbLOG[[#This Row],[LOGIN]],tbMAPA[#All],2,0), "Não localizado")</f>
        <v>Jefte Soares Da Silva</v>
      </c>
      <c r="F2569" s="34" t="str">
        <f>IFERROR(VLOOKUP(tbLOG[[#This Row],[LOGIN]],tbMAPA[#All],3,0), "Não localizado")</f>
        <v>Daniela Andrade Silva</v>
      </c>
      <c r="G2569" s="3" t="s">
        <v>1000</v>
      </c>
      <c r="H2569" s="3" t="s">
        <v>331</v>
      </c>
    </row>
    <row r="2570" spans="1:8">
      <c r="A2570" s="29">
        <v>42751.4</v>
      </c>
      <c r="B2570" s="29" t="str">
        <f>PROPER(TEXT(tbLOG[[#This Row],[DATA/HORA]],"mmmm"))</f>
        <v>Janeiro</v>
      </c>
      <c r="C2570" s="34" t="str">
        <f>PROPER(TEXT(tbLOG[[#This Row],[DATA/HORA]],"dddd"))</f>
        <v>Segunda-Feira</v>
      </c>
      <c r="D2570" s="3" t="s">
        <v>300</v>
      </c>
      <c r="E2570" s="34" t="str">
        <f>IFERROR(VLOOKUP(tbLOG[[#This Row],[LOGIN]],tbMAPA[#All],2,0), "Não localizado")</f>
        <v>Jefte Soares Da Silva</v>
      </c>
      <c r="F2570" s="34" t="str">
        <f>IFERROR(VLOOKUP(tbLOG[[#This Row],[LOGIN]],tbMAPA[#All],3,0), "Não localizado")</f>
        <v>Daniela Andrade Silva</v>
      </c>
      <c r="G2570" s="3" t="s">
        <v>1000</v>
      </c>
      <c r="H2570" s="3" t="s">
        <v>331</v>
      </c>
    </row>
    <row r="2571" spans="1:8">
      <c r="A2571" s="29">
        <v>42751.400069444448</v>
      </c>
      <c r="B2571" s="29" t="str">
        <f>PROPER(TEXT(tbLOG[[#This Row],[DATA/HORA]],"mmmm"))</f>
        <v>Janeiro</v>
      </c>
      <c r="C2571" s="34" t="str">
        <f>PROPER(TEXT(tbLOG[[#This Row],[DATA/HORA]],"dddd"))</f>
        <v>Segunda-Feira</v>
      </c>
      <c r="D2571" s="3" t="s">
        <v>300</v>
      </c>
      <c r="E2571" s="34" t="str">
        <f>IFERROR(VLOOKUP(tbLOG[[#This Row],[LOGIN]],tbMAPA[#All],2,0), "Não localizado")</f>
        <v>Jefte Soares Da Silva</v>
      </c>
      <c r="F2571" s="34" t="str">
        <f>IFERROR(VLOOKUP(tbLOG[[#This Row],[LOGIN]],tbMAPA[#All],3,0), "Não localizado")</f>
        <v>Daniela Andrade Silva</v>
      </c>
      <c r="G2571" s="3" t="s">
        <v>1000</v>
      </c>
      <c r="H2571" s="3" t="s">
        <v>331</v>
      </c>
    </row>
    <row r="2572" spans="1:8">
      <c r="A2572" s="29">
        <v>42751.400127314817</v>
      </c>
      <c r="B2572" s="29" t="str">
        <f>PROPER(TEXT(tbLOG[[#This Row],[DATA/HORA]],"mmmm"))</f>
        <v>Janeiro</v>
      </c>
      <c r="C2572" s="34" t="str">
        <f>PROPER(TEXT(tbLOG[[#This Row],[DATA/HORA]],"dddd"))</f>
        <v>Segunda-Feira</v>
      </c>
      <c r="D2572" s="3" t="s">
        <v>300</v>
      </c>
      <c r="E2572" s="34" t="str">
        <f>IFERROR(VLOOKUP(tbLOG[[#This Row],[LOGIN]],tbMAPA[#All],2,0), "Não localizado")</f>
        <v>Jefte Soares Da Silva</v>
      </c>
      <c r="F2572" s="34" t="str">
        <f>IFERROR(VLOOKUP(tbLOG[[#This Row],[LOGIN]],tbMAPA[#All],3,0), "Não localizado")</f>
        <v>Daniela Andrade Silva</v>
      </c>
      <c r="G2572" s="3" t="s">
        <v>1000</v>
      </c>
      <c r="H2572" s="3" t="s">
        <v>331</v>
      </c>
    </row>
    <row r="2573" spans="1:8">
      <c r="A2573" s="29">
        <v>42751.400196759256</v>
      </c>
      <c r="B2573" s="29" t="str">
        <f>PROPER(TEXT(tbLOG[[#This Row],[DATA/HORA]],"mmmm"))</f>
        <v>Janeiro</v>
      </c>
      <c r="C2573" s="34" t="str">
        <f>PROPER(TEXT(tbLOG[[#This Row],[DATA/HORA]],"dddd"))</f>
        <v>Segunda-Feira</v>
      </c>
      <c r="D2573" s="3" t="s">
        <v>300</v>
      </c>
      <c r="E2573" s="34" t="str">
        <f>IFERROR(VLOOKUP(tbLOG[[#This Row],[LOGIN]],tbMAPA[#All],2,0), "Não localizado")</f>
        <v>Jefte Soares Da Silva</v>
      </c>
      <c r="F2573" s="34" t="str">
        <f>IFERROR(VLOOKUP(tbLOG[[#This Row],[LOGIN]],tbMAPA[#All],3,0), "Não localizado")</f>
        <v>Daniela Andrade Silva</v>
      </c>
      <c r="G2573" s="3" t="s">
        <v>1000</v>
      </c>
      <c r="H2573" s="3" t="s">
        <v>331</v>
      </c>
    </row>
    <row r="2574" spans="1:8">
      <c r="A2574" s="29">
        <v>42751.400243055556</v>
      </c>
      <c r="B2574" s="29" t="str">
        <f>PROPER(TEXT(tbLOG[[#This Row],[DATA/HORA]],"mmmm"))</f>
        <v>Janeiro</v>
      </c>
      <c r="C2574" s="34" t="str">
        <f>PROPER(TEXT(tbLOG[[#This Row],[DATA/HORA]],"dddd"))</f>
        <v>Segunda-Feira</v>
      </c>
      <c r="D2574" s="3" t="s">
        <v>300</v>
      </c>
      <c r="E2574" s="34" t="str">
        <f>IFERROR(VLOOKUP(tbLOG[[#This Row],[LOGIN]],tbMAPA[#All],2,0), "Não localizado")</f>
        <v>Jefte Soares Da Silva</v>
      </c>
      <c r="F2574" s="34" t="str">
        <f>IFERROR(VLOOKUP(tbLOG[[#This Row],[LOGIN]],tbMAPA[#All],3,0), "Não localizado")</f>
        <v>Daniela Andrade Silva</v>
      </c>
      <c r="G2574" s="3" t="s">
        <v>1000</v>
      </c>
      <c r="H2574" s="3" t="s">
        <v>331</v>
      </c>
    </row>
    <row r="2575" spans="1:8">
      <c r="A2575" s="29">
        <v>42751.400324074071</v>
      </c>
      <c r="B2575" s="29" t="str">
        <f>PROPER(TEXT(tbLOG[[#This Row],[DATA/HORA]],"mmmm"))</f>
        <v>Janeiro</v>
      </c>
      <c r="C2575" s="34" t="str">
        <f>PROPER(TEXT(tbLOG[[#This Row],[DATA/HORA]],"dddd"))</f>
        <v>Segunda-Feira</v>
      </c>
      <c r="D2575" s="3" t="s">
        <v>300</v>
      </c>
      <c r="E2575" s="34" t="str">
        <f>IFERROR(VLOOKUP(tbLOG[[#This Row],[LOGIN]],tbMAPA[#All],2,0), "Não localizado")</f>
        <v>Jefte Soares Da Silva</v>
      </c>
      <c r="F2575" s="34" t="str">
        <f>IFERROR(VLOOKUP(tbLOG[[#This Row],[LOGIN]],tbMAPA[#All],3,0), "Não localizado")</f>
        <v>Daniela Andrade Silva</v>
      </c>
      <c r="G2575" s="3" t="s">
        <v>1000</v>
      </c>
      <c r="H2575" s="3" t="s">
        <v>331</v>
      </c>
    </row>
    <row r="2576" spans="1:8">
      <c r="A2576" s="29">
        <v>42751.400405092594</v>
      </c>
      <c r="B2576" s="29" t="str">
        <f>PROPER(TEXT(tbLOG[[#This Row],[DATA/HORA]],"mmmm"))</f>
        <v>Janeiro</v>
      </c>
      <c r="C2576" s="34" t="str">
        <f>PROPER(TEXT(tbLOG[[#This Row],[DATA/HORA]],"dddd"))</f>
        <v>Segunda-Feira</v>
      </c>
      <c r="D2576" s="3" t="s">
        <v>300</v>
      </c>
      <c r="E2576" s="34" t="str">
        <f>IFERROR(VLOOKUP(tbLOG[[#This Row],[LOGIN]],tbMAPA[#All],2,0), "Não localizado")</f>
        <v>Jefte Soares Da Silva</v>
      </c>
      <c r="F2576" s="34" t="str">
        <f>IFERROR(VLOOKUP(tbLOG[[#This Row],[LOGIN]],tbMAPA[#All],3,0), "Não localizado")</f>
        <v>Daniela Andrade Silva</v>
      </c>
      <c r="G2576" s="3" t="s">
        <v>1000</v>
      </c>
      <c r="H2576" s="3" t="s">
        <v>290</v>
      </c>
    </row>
    <row r="2577" spans="1:8">
      <c r="A2577" s="29">
        <v>42751.40047453704</v>
      </c>
      <c r="B2577" s="29" t="str">
        <f>PROPER(TEXT(tbLOG[[#This Row],[DATA/HORA]],"mmmm"))</f>
        <v>Janeiro</v>
      </c>
      <c r="C2577" s="34" t="str">
        <f>PROPER(TEXT(tbLOG[[#This Row],[DATA/HORA]],"dddd"))</f>
        <v>Segunda-Feira</v>
      </c>
      <c r="D2577" s="3" t="s">
        <v>300</v>
      </c>
      <c r="E2577" s="34" t="str">
        <f>IFERROR(VLOOKUP(tbLOG[[#This Row],[LOGIN]],tbMAPA[#All],2,0), "Não localizado")</f>
        <v>Jefte Soares Da Silva</v>
      </c>
      <c r="F2577" s="34" t="str">
        <f>IFERROR(VLOOKUP(tbLOG[[#This Row],[LOGIN]],tbMAPA[#All],3,0), "Não localizado")</f>
        <v>Daniela Andrade Silva</v>
      </c>
      <c r="G2577" s="3" t="s">
        <v>1000</v>
      </c>
      <c r="H2577" s="3" t="s">
        <v>291</v>
      </c>
    </row>
    <row r="2578" spans="1:8">
      <c r="A2578" s="29">
        <v>42751.40047453704</v>
      </c>
      <c r="B2578" s="29" t="str">
        <f>PROPER(TEXT(tbLOG[[#This Row],[DATA/HORA]],"mmmm"))</f>
        <v>Janeiro</v>
      </c>
      <c r="C2578" s="34" t="str">
        <f>PROPER(TEXT(tbLOG[[#This Row],[DATA/HORA]],"dddd"))</f>
        <v>Segunda-Feira</v>
      </c>
      <c r="D2578" s="3" t="s">
        <v>300</v>
      </c>
      <c r="E2578" s="34" t="str">
        <f>IFERROR(VLOOKUP(tbLOG[[#This Row],[LOGIN]],tbMAPA[#All],2,0), "Não localizado")</f>
        <v>Jefte Soares Da Silva</v>
      </c>
      <c r="F2578" s="34" t="str">
        <f>IFERROR(VLOOKUP(tbLOG[[#This Row],[LOGIN]],tbMAPA[#All],3,0), "Não localizado")</f>
        <v>Daniela Andrade Silva</v>
      </c>
      <c r="G2578" s="3" t="s">
        <v>1000</v>
      </c>
      <c r="H2578" s="3" t="s">
        <v>290</v>
      </c>
    </row>
    <row r="2579" spans="1:8">
      <c r="A2579" s="29">
        <v>42751.40997685185</v>
      </c>
      <c r="B2579" s="29" t="str">
        <f>PROPER(TEXT(tbLOG[[#This Row],[DATA/HORA]],"mmmm"))</f>
        <v>Janeiro</v>
      </c>
      <c r="C2579" s="34" t="str">
        <f>PROPER(TEXT(tbLOG[[#This Row],[DATA/HORA]],"dddd"))</f>
        <v>Segunda-Feira</v>
      </c>
      <c r="D2579" s="3" t="s">
        <v>604</v>
      </c>
      <c r="E2579" s="34" t="str">
        <f>IFERROR(VLOOKUP(tbLOG[[#This Row],[LOGIN]],tbMAPA[#All],2,0), "Não localizado")</f>
        <v>Renan Cazumba Tegani</v>
      </c>
      <c r="F2579" s="34" t="str">
        <f>IFERROR(VLOOKUP(tbLOG[[#This Row],[LOGIN]],tbMAPA[#All],3,0), "Não localizado")</f>
        <v>Reginaldo Santana De Souza</v>
      </c>
      <c r="G2579" s="3" t="s">
        <v>1211</v>
      </c>
      <c r="H2579" s="3" t="s">
        <v>994</v>
      </c>
    </row>
    <row r="2580" spans="1:8">
      <c r="A2580" s="29">
        <v>42751.41070601852</v>
      </c>
      <c r="B2580" s="29" t="str">
        <f>PROPER(TEXT(tbLOG[[#This Row],[DATA/HORA]],"mmmm"))</f>
        <v>Janeiro</v>
      </c>
      <c r="C2580" s="34" t="str">
        <f>PROPER(TEXT(tbLOG[[#This Row],[DATA/HORA]],"dddd"))</f>
        <v>Segunda-Feira</v>
      </c>
      <c r="D2580" s="3" t="s">
        <v>604</v>
      </c>
      <c r="E2580" s="34" t="str">
        <f>IFERROR(VLOOKUP(tbLOG[[#This Row],[LOGIN]],tbMAPA[#All],2,0), "Não localizado")</f>
        <v>Renan Cazumba Tegani</v>
      </c>
      <c r="F2580" s="34" t="str">
        <f>IFERROR(VLOOKUP(tbLOG[[#This Row],[LOGIN]],tbMAPA[#All],3,0), "Não localizado")</f>
        <v>Reginaldo Santana De Souza</v>
      </c>
      <c r="G2580" s="3" t="s">
        <v>1211</v>
      </c>
      <c r="H2580" s="3" t="s">
        <v>836</v>
      </c>
    </row>
    <row r="2581" spans="1:8">
      <c r="A2581" s="29">
        <v>42751.411354166667</v>
      </c>
      <c r="B2581" s="29" t="str">
        <f>PROPER(TEXT(tbLOG[[#This Row],[DATA/HORA]],"mmmm"))</f>
        <v>Janeiro</v>
      </c>
      <c r="C2581" s="34" t="str">
        <f>PROPER(TEXT(tbLOG[[#This Row],[DATA/HORA]],"dddd"))</f>
        <v>Segunda-Feira</v>
      </c>
      <c r="D2581" s="3" t="s">
        <v>604</v>
      </c>
      <c r="E2581" s="34" t="str">
        <f>IFERROR(VLOOKUP(tbLOG[[#This Row],[LOGIN]],tbMAPA[#All],2,0), "Não localizado")</f>
        <v>Renan Cazumba Tegani</v>
      </c>
      <c r="F2581" s="34" t="str">
        <f>IFERROR(VLOOKUP(tbLOG[[#This Row],[LOGIN]],tbMAPA[#All],3,0), "Não localizado")</f>
        <v>Reginaldo Santana De Souza</v>
      </c>
      <c r="G2581" s="3" t="s">
        <v>1211</v>
      </c>
      <c r="H2581" s="3" t="s">
        <v>291</v>
      </c>
    </row>
    <row r="2582" spans="1:8">
      <c r="A2582" s="29">
        <v>42751.411354166667</v>
      </c>
      <c r="B2582" s="29" t="str">
        <f>PROPER(TEXT(tbLOG[[#This Row],[DATA/HORA]],"mmmm"))</f>
        <v>Janeiro</v>
      </c>
      <c r="C2582" s="34" t="str">
        <f>PROPER(TEXT(tbLOG[[#This Row],[DATA/HORA]],"dddd"))</f>
        <v>Segunda-Feira</v>
      </c>
      <c r="D2582" s="3" t="s">
        <v>604</v>
      </c>
      <c r="E2582" s="34" t="str">
        <f>IFERROR(VLOOKUP(tbLOG[[#This Row],[LOGIN]],tbMAPA[#All],2,0), "Não localizado")</f>
        <v>Renan Cazumba Tegani</v>
      </c>
      <c r="F2582" s="34" t="str">
        <f>IFERROR(VLOOKUP(tbLOG[[#This Row],[LOGIN]],tbMAPA[#All],3,0), "Não localizado")</f>
        <v>Reginaldo Santana De Souza</v>
      </c>
      <c r="G2582" s="3" t="s">
        <v>1211</v>
      </c>
      <c r="H2582" s="3" t="s">
        <v>290</v>
      </c>
    </row>
    <row r="2583" spans="1:8">
      <c r="A2583" s="29">
        <v>42751.411446759259</v>
      </c>
      <c r="B2583" s="29" t="str">
        <f>PROPER(TEXT(tbLOG[[#This Row],[DATA/HORA]],"mmmm"))</f>
        <v>Janeiro</v>
      </c>
      <c r="C2583" s="34" t="str">
        <f>PROPER(TEXT(tbLOG[[#This Row],[DATA/HORA]],"dddd"))</f>
        <v>Segunda-Feira</v>
      </c>
      <c r="D2583" s="3" t="s">
        <v>297</v>
      </c>
      <c r="E2583" s="34" t="str">
        <f>IFERROR(VLOOKUP(tbLOG[[#This Row],[LOGIN]],tbMAPA[#All],2,0), "Não localizado")</f>
        <v>Ivanildo Cavalcante De Souza Junior</v>
      </c>
      <c r="F2583" s="34" t="str">
        <f>IFERROR(VLOOKUP(tbLOG[[#This Row],[LOGIN]],tbMAPA[#All],3,0), "Não localizado")</f>
        <v>Jefte Soares Da Silva</v>
      </c>
      <c r="G2583" s="3" t="s">
        <v>298</v>
      </c>
      <c r="H2583" s="3" t="s">
        <v>994</v>
      </c>
    </row>
    <row r="2584" spans="1:8">
      <c r="A2584" s="29">
        <v>42751.412083333336</v>
      </c>
      <c r="B2584" s="29" t="str">
        <f>PROPER(TEXT(tbLOG[[#This Row],[DATA/HORA]],"mmmm"))</f>
        <v>Janeiro</v>
      </c>
      <c r="C2584" s="34" t="str">
        <f>PROPER(TEXT(tbLOG[[#This Row],[DATA/HORA]],"dddd"))</f>
        <v>Segunda-Feira</v>
      </c>
      <c r="D2584" s="3" t="s">
        <v>297</v>
      </c>
      <c r="E2584" s="34" t="str">
        <f>IFERROR(VLOOKUP(tbLOG[[#This Row],[LOGIN]],tbMAPA[#All],2,0), "Não localizado")</f>
        <v>Ivanildo Cavalcante De Souza Junior</v>
      </c>
      <c r="F2584" s="34" t="str">
        <f>IFERROR(VLOOKUP(tbLOG[[#This Row],[LOGIN]],tbMAPA[#All],3,0), "Não localizado")</f>
        <v>Jefte Soares Da Silva</v>
      </c>
      <c r="G2584" s="3" t="s">
        <v>298</v>
      </c>
      <c r="H2584" s="3" t="s">
        <v>836</v>
      </c>
    </row>
    <row r="2585" spans="1:8">
      <c r="A2585" s="29">
        <v>42751.412291666667</v>
      </c>
      <c r="B2585" s="29" t="str">
        <f>PROPER(TEXT(tbLOG[[#This Row],[DATA/HORA]],"mmmm"))</f>
        <v>Janeiro</v>
      </c>
      <c r="C2585" s="34" t="str">
        <f>PROPER(TEXT(tbLOG[[#This Row],[DATA/HORA]],"dddd"))</f>
        <v>Segunda-Feira</v>
      </c>
      <c r="D2585" s="3" t="s">
        <v>297</v>
      </c>
      <c r="E2585" s="34" t="str">
        <f>IFERROR(VLOOKUP(tbLOG[[#This Row],[LOGIN]],tbMAPA[#All],2,0), "Não localizado")</f>
        <v>Ivanildo Cavalcante De Souza Junior</v>
      </c>
      <c r="F2585" s="34" t="str">
        <f>IFERROR(VLOOKUP(tbLOG[[#This Row],[LOGIN]],tbMAPA[#All],3,0), "Não localizado")</f>
        <v>Jefte Soares Da Silva</v>
      </c>
      <c r="G2585" s="3" t="s">
        <v>298</v>
      </c>
      <c r="H2585" s="3" t="s">
        <v>836</v>
      </c>
    </row>
    <row r="2586" spans="1:8">
      <c r="A2586" s="29">
        <v>42751.413645833331</v>
      </c>
      <c r="B2586" s="29" t="str">
        <f>PROPER(TEXT(tbLOG[[#This Row],[DATA/HORA]],"mmmm"))</f>
        <v>Janeiro</v>
      </c>
      <c r="C2586" s="34" t="str">
        <f>PROPER(TEXT(tbLOG[[#This Row],[DATA/HORA]],"dddd"))</f>
        <v>Segunda-Feira</v>
      </c>
      <c r="D2586" s="3" t="s">
        <v>297</v>
      </c>
      <c r="E2586" s="34" t="str">
        <f>IFERROR(VLOOKUP(tbLOG[[#This Row],[LOGIN]],tbMAPA[#All],2,0), "Não localizado")</f>
        <v>Ivanildo Cavalcante De Souza Junior</v>
      </c>
      <c r="F2586" s="34" t="str">
        <f>IFERROR(VLOOKUP(tbLOG[[#This Row],[LOGIN]],tbMAPA[#All],3,0), "Não localizado")</f>
        <v>Jefte Soares Da Silva</v>
      </c>
      <c r="G2586" s="3" t="s">
        <v>298</v>
      </c>
      <c r="H2586" s="3" t="s">
        <v>290</v>
      </c>
    </row>
    <row r="2587" spans="1:8">
      <c r="A2587" s="29">
        <v>42751.413668981484</v>
      </c>
      <c r="B2587" s="29" t="str">
        <f>PROPER(TEXT(tbLOG[[#This Row],[DATA/HORA]],"mmmm"))</f>
        <v>Janeiro</v>
      </c>
      <c r="C2587" s="34" t="str">
        <f>PROPER(TEXT(tbLOG[[#This Row],[DATA/HORA]],"dddd"))</f>
        <v>Segunda-Feira</v>
      </c>
      <c r="D2587" s="3" t="s">
        <v>297</v>
      </c>
      <c r="E2587" s="34" t="str">
        <f>IFERROR(VLOOKUP(tbLOG[[#This Row],[LOGIN]],tbMAPA[#All],2,0), "Não localizado")</f>
        <v>Ivanildo Cavalcante De Souza Junior</v>
      </c>
      <c r="F2587" s="34" t="str">
        <f>IFERROR(VLOOKUP(tbLOG[[#This Row],[LOGIN]],tbMAPA[#All],3,0), "Não localizado")</f>
        <v>Jefte Soares Da Silva</v>
      </c>
      <c r="G2587" s="3" t="s">
        <v>298</v>
      </c>
      <c r="H2587" s="3" t="s">
        <v>291</v>
      </c>
    </row>
    <row r="2588" spans="1:8">
      <c r="A2588" s="29">
        <v>42751.413668981484</v>
      </c>
      <c r="B2588" s="29" t="str">
        <f>PROPER(TEXT(tbLOG[[#This Row],[DATA/HORA]],"mmmm"))</f>
        <v>Janeiro</v>
      </c>
      <c r="C2588" s="34" t="str">
        <f>PROPER(TEXT(tbLOG[[#This Row],[DATA/HORA]],"dddd"))</f>
        <v>Segunda-Feira</v>
      </c>
      <c r="D2588" s="3" t="s">
        <v>297</v>
      </c>
      <c r="E2588" s="34" t="str">
        <f>IFERROR(VLOOKUP(tbLOG[[#This Row],[LOGIN]],tbMAPA[#All],2,0), "Não localizado")</f>
        <v>Ivanildo Cavalcante De Souza Junior</v>
      </c>
      <c r="F2588" s="34" t="str">
        <f>IFERROR(VLOOKUP(tbLOG[[#This Row],[LOGIN]],tbMAPA[#All],3,0), "Não localizado")</f>
        <v>Jefte Soares Da Silva</v>
      </c>
      <c r="G2588" s="3" t="s">
        <v>298</v>
      </c>
      <c r="H2588" s="3" t="s">
        <v>290</v>
      </c>
    </row>
    <row r="2589" spans="1:8">
      <c r="A2589" s="29">
        <v>42751.415000000001</v>
      </c>
      <c r="B2589" s="29" t="str">
        <f>PROPER(TEXT(tbLOG[[#This Row],[DATA/HORA]],"mmmm"))</f>
        <v>Janeiro</v>
      </c>
      <c r="C2589" s="34" t="str">
        <f>PROPER(TEXT(tbLOG[[#This Row],[DATA/HORA]],"dddd"))</f>
        <v>Segunda-Feira</v>
      </c>
      <c r="D2589" s="3" t="s">
        <v>604</v>
      </c>
      <c r="E2589" s="34" t="str">
        <f>IFERROR(VLOOKUP(tbLOG[[#This Row],[LOGIN]],tbMAPA[#All],2,0), "Não localizado")</f>
        <v>Renan Cazumba Tegani</v>
      </c>
      <c r="F2589" s="34" t="str">
        <f>IFERROR(VLOOKUP(tbLOG[[#This Row],[LOGIN]],tbMAPA[#All],3,0), "Não localizado")</f>
        <v>Reginaldo Santana De Souza</v>
      </c>
      <c r="G2589" s="3" t="s">
        <v>1211</v>
      </c>
      <c r="H2589" s="3" t="s">
        <v>994</v>
      </c>
    </row>
    <row r="2590" spans="1:8">
      <c r="A2590" s="29">
        <v>42751.415266203701</v>
      </c>
      <c r="B2590" s="29" t="str">
        <f>PROPER(TEXT(tbLOG[[#This Row],[DATA/HORA]],"mmmm"))</f>
        <v>Janeiro</v>
      </c>
      <c r="C2590" s="34" t="str">
        <f>PROPER(TEXT(tbLOG[[#This Row],[DATA/HORA]],"dddd"))</f>
        <v>Segunda-Feira</v>
      </c>
      <c r="D2590" s="3" t="s">
        <v>604</v>
      </c>
      <c r="E2590" s="34" t="str">
        <f>IFERROR(VLOOKUP(tbLOG[[#This Row],[LOGIN]],tbMAPA[#All],2,0), "Não localizado")</f>
        <v>Renan Cazumba Tegani</v>
      </c>
      <c r="F2590" s="34" t="str">
        <f>IFERROR(VLOOKUP(tbLOG[[#This Row],[LOGIN]],tbMAPA[#All],3,0), "Não localizado")</f>
        <v>Reginaldo Santana De Souza</v>
      </c>
      <c r="G2590" s="3" t="s">
        <v>1211</v>
      </c>
      <c r="H2590" s="3" t="s">
        <v>836</v>
      </c>
    </row>
    <row r="2591" spans="1:8">
      <c r="A2591" s="29">
        <v>42751.416273148148</v>
      </c>
      <c r="B2591" s="29" t="str">
        <f>PROPER(TEXT(tbLOG[[#This Row],[DATA/HORA]],"mmmm"))</f>
        <v>Janeiro</v>
      </c>
      <c r="C2591" s="34" t="str">
        <f>PROPER(TEXT(tbLOG[[#This Row],[DATA/HORA]],"dddd"))</f>
        <v>Segunda-Feira</v>
      </c>
      <c r="D2591" s="3" t="s">
        <v>604</v>
      </c>
      <c r="E2591" s="34" t="str">
        <f>IFERROR(VLOOKUP(tbLOG[[#This Row],[LOGIN]],tbMAPA[#All],2,0), "Não localizado")</f>
        <v>Renan Cazumba Tegani</v>
      </c>
      <c r="F2591" s="34" t="str">
        <f>IFERROR(VLOOKUP(tbLOG[[#This Row],[LOGIN]],tbMAPA[#All],3,0), "Não localizado")</f>
        <v>Reginaldo Santana De Souza</v>
      </c>
      <c r="G2591" s="3" t="s">
        <v>1211</v>
      </c>
      <c r="H2591" s="3" t="s">
        <v>291</v>
      </c>
    </row>
    <row r="2592" spans="1:8">
      <c r="A2592" s="29">
        <v>42751.416273148148</v>
      </c>
      <c r="B2592" s="29" t="str">
        <f>PROPER(TEXT(tbLOG[[#This Row],[DATA/HORA]],"mmmm"))</f>
        <v>Janeiro</v>
      </c>
      <c r="C2592" s="34" t="str">
        <f>PROPER(TEXT(tbLOG[[#This Row],[DATA/HORA]],"dddd"))</f>
        <v>Segunda-Feira</v>
      </c>
      <c r="D2592" s="3" t="s">
        <v>604</v>
      </c>
      <c r="E2592" s="34" t="str">
        <f>IFERROR(VLOOKUP(tbLOG[[#This Row],[LOGIN]],tbMAPA[#All],2,0), "Não localizado")</f>
        <v>Renan Cazumba Tegani</v>
      </c>
      <c r="F2592" s="34" t="str">
        <f>IFERROR(VLOOKUP(tbLOG[[#This Row],[LOGIN]],tbMAPA[#All],3,0), "Não localizado")</f>
        <v>Reginaldo Santana De Souza</v>
      </c>
      <c r="G2592" s="3" t="s">
        <v>1211</v>
      </c>
      <c r="H2592" s="3" t="s">
        <v>290</v>
      </c>
    </row>
    <row r="2593" spans="1:8">
      <c r="A2593" s="29">
        <v>42751.416562500002</v>
      </c>
      <c r="B2593" s="29" t="str">
        <f>PROPER(TEXT(tbLOG[[#This Row],[DATA/HORA]],"mmmm"))</f>
        <v>Janeiro</v>
      </c>
      <c r="C2593" s="34" t="str">
        <f>PROPER(TEXT(tbLOG[[#This Row],[DATA/HORA]],"dddd"))</f>
        <v>Segunda-Feira</v>
      </c>
      <c r="D2593" s="3" t="s">
        <v>297</v>
      </c>
      <c r="E2593" s="34" t="str">
        <f>IFERROR(VLOOKUP(tbLOG[[#This Row],[LOGIN]],tbMAPA[#All],2,0), "Não localizado")</f>
        <v>Ivanildo Cavalcante De Souza Junior</v>
      </c>
      <c r="F2593" s="34" t="str">
        <f>IFERROR(VLOOKUP(tbLOG[[#This Row],[LOGIN]],tbMAPA[#All],3,0), "Não localizado")</f>
        <v>Jefte Soares Da Silva</v>
      </c>
      <c r="G2593" s="3" t="s">
        <v>298</v>
      </c>
      <c r="H2593" s="3" t="s">
        <v>994</v>
      </c>
    </row>
    <row r="2594" spans="1:8">
      <c r="A2594" s="29">
        <v>42751.416585648149</v>
      </c>
      <c r="B2594" s="29" t="str">
        <f>PROPER(TEXT(tbLOG[[#This Row],[DATA/HORA]],"mmmm"))</f>
        <v>Janeiro</v>
      </c>
      <c r="C2594" s="34" t="str">
        <f>PROPER(TEXT(tbLOG[[#This Row],[DATA/HORA]],"dddd"))</f>
        <v>Segunda-Feira</v>
      </c>
      <c r="D2594" s="3" t="s">
        <v>297</v>
      </c>
      <c r="E2594" s="34" t="str">
        <f>IFERROR(VLOOKUP(tbLOG[[#This Row],[LOGIN]],tbMAPA[#All],2,0), "Não localizado")</f>
        <v>Ivanildo Cavalcante De Souza Junior</v>
      </c>
      <c r="F2594" s="34" t="str">
        <f>IFERROR(VLOOKUP(tbLOG[[#This Row],[LOGIN]],tbMAPA[#All],3,0), "Não localizado")</f>
        <v>Jefte Soares Da Silva</v>
      </c>
      <c r="G2594" s="3" t="s">
        <v>298</v>
      </c>
      <c r="H2594" s="3" t="s">
        <v>309</v>
      </c>
    </row>
    <row r="2595" spans="1:8">
      <c r="A2595" s="29">
        <v>42751.416585648149</v>
      </c>
      <c r="B2595" s="29" t="str">
        <f>PROPER(TEXT(tbLOG[[#This Row],[DATA/HORA]],"mmmm"))</f>
        <v>Janeiro</v>
      </c>
      <c r="C2595" s="34" t="str">
        <f>PROPER(TEXT(tbLOG[[#This Row],[DATA/HORA]],"dddd"))</f>
        <v>Segunda-Feira</v>
      </c>
      <c r="D2595" s="3" t="s">
        <v>297</v>
      </c>
      <c r="E2595" s="34" t="str">
        <f>IFERROR(VLOOKUP(tbLOG[[#This Row],[LOGIN]],tbMAPA[#All],2,0), "Não localizado")</f>
        <v>Ivanildo Cavalcante De Souza Junior</v>
      </c>
      <c r="F2595" s="34" t="str">
        <f>IFERROR(VLOOKUP(tbLOG[[#This Row],[LOGIN]],tbMAPA[#All],3,0), "Não localizado")</f>
        <v>Jefte Soares Da Silva</v>
      </c>
      <c r="G2595" s="3" t="s">
        <v>298</v>
      </c>
      <c r="H2595" s="3" t="s">
        <v>310</v>
      </c>
    </row>
    <row r="2596" spans="1:8">
      <c r="A2596" s="29">
        <v>42751.416666666664</v>
      </c>
      <c r="B2596" s="29" t="str">
        <f>PROPER(TEXT(tbLOG[[#This Row],[DATA/HORA]],"mmmm"))</f>
        <v>Janeiro</v>
      </c>
      <c r="C2596" s="34" t="str">
        <f>PROPER(TEXT(tbLOG[[#This Row],[DATA/HORA]],"dddd"))</f>
        <v>Segunda-Feira</v>
      </c>
      <c r="D2596" s="3" t="s">
        <v>297</v>
      </c>
      <c r="E2596" s="34" t="str">
        <f>IFERROR(VLOOKUP(tbLOG[[#This Row],[LOGIN]],tbMAPA[#All],2,0), "Não localizado")</f>
        <v>Ivanildo Cavalcante De Souza Junior</v>
      </c>
      <c r="F2596" s="34" t="str">
        <f>IFERROR(VLOOKUP(tbLOG[[#This Row],[LOGIN]],tbMAPA[#All],3,0), "Não localizado")</f>
        <v>Jefte Soares Da Silva</v>
      </c>
      <c r="G2596" s="3" t="s">
        <v>298</v>
      </c>
      <c r="H2596" s="3" t="s">
        <v>309</v>
      </c>
    </row>
    <row r="2597" spans="1:8">
      <c r="A2597" s="29">
        <v>42751.416666666664</v>
      </c>
      <c r="B2597" s="29" t="str">
        <f>PROPER(TEXT(tbLOG[[#This Row],[DATA/HORA]],"mmmm"))</f>
        <v>Janeiro</v>
      </c>
      <c r="C2597" s="34" t="str">
        <f>PROPER(TEXT(tbLOG[[#This Row],[DATA/HORA]],"dddd"))</f>
        <v>Segunda-Feira</v>
      </c>
      <c r="D2597" s="3" t="s">
        <v>297</v>
      </c>
      <c r="E2597" s="34" t="str">
        <f>IFERROR(VLOOKUP(tbLOG[[#This Row],[LOGIN]],tbMAPA[#All],2,0), "Não localizado")</f>
        <v>Ivanildo Cavalcante De Souza Junior</v>
      </c>
      <c r="F2597" s="34" t="str">
        <f>IFERROR(VLOOKUP(tbLOG[[#This Row],[LOGIN]],tbMAPA[#All],3,0), "Não localizado")</f>
        <v>Jefte Soares Da Silva</v>
      </c>
      <c r="G2597" s="3" t="s">
        <v>298</v>
      </c>
      <c r="H2597" s="3" t="s">
        <v>309</v>
      </c>
    </row>
    <row r="2598" spans="1:8">
      <c r="A2598" s="29">
        <v>42751.416666666664</v>
      </c>
      <c r="B2598" s="29" t="str">
        <f>PROPER(TEXT(tbLOG[[#This Row],[DATA/HORA]],"mmmm"))</f>
        <v>Janeiro</v>
      </c>
      <c r="C2598" s="34" t="str">
        <f>PROPER(TEXT(tbLOG[[#This Row],[DATA/HORA]],"dddd"))</f>
        <v>Segunda-Feira</v>
      </c>
      <c r="D2598" s="3" t="s">
        <v>297</v>
      </c>
      <c r="E2598" s="34" t="str">
        <f>IFERROR(VLOOKUP(tbLOG[[#This Row],[LOGIN]],tbMAPA[#All],2,0), "Não localizado")</f>
        <v>Ivanildo Cavalcante De Souza Junior</v>
      </c>
      <c r="F2598" s="34" t="str">
        <f>IFERROR(VLOOKUP(tbLOG[[#This Row],[LOGIN]],tbMAPA[#All],3,0), "Não localizado")</f>
        <v>Jefte Soares Da Silva</v>
      </c>
      <c r="G2598" s="3" t="s">
        <v>298</v>
      </c>
      <c r="H2598" s="3" t="s">
        <v>314</v>
      </c>
    </row>
    <row r="2599" spans="1:8">
      <c r="A2599" s="29">
        <v>42751.417187500003</v>
      </c>
      <c r="B2599" s="29" t="str">
        <f>PROPER(TEXT(tbLOG[[#This Row],[DATA/HORA]],"mmmm"))</f>
        <v>Janeiro</v>
      </c>
      <c r="C2599" s="34" t="str">
        <f>PROPER(TEXT(tbLOG[[#This Row],[DATA/HORA]],"dddd"))</f>
        <v>Segunda-Feira</v>
      </c>
      <c r="D2599" s="3" t="s">
        <v>297</v>
      </c>
      <c r="E2599" s="34" t="str">
        <f>IFERROR(VLOOKUP(tbLOG[[#This Row],[LOGIN]],tbMAPA[#All],2,0), "Não localizado")</f>
        <v>Ivanildo Cavalcante De Souza Junior</v>
      </c>
      <c r="F2599" s="34" t="str">
        <f>IFERROR(VLOOKUP(tbLOG[[#This Row],[LOGIN]],tbMAPA[#All],3,0), "Não localizado")</f>
        <v>Jefte Soares Da Silva</v>
      </c>
      <c r="G2599" s="3" t="s">
        <v>298</v>
      </c>
      <c r="H2599" s="3" t="s">
        <v>309</v>
      </c>
    </row>
    <row r="2600" spans="1:8">
      <c r="A2600" s="29">
        <v>42751.417187500003</v>
      </c>
      <c r="B2600" s="29" t="str">
        <f>PROPER(TEXT(tbLOG[[#This Row],[DATA/HORA]],"mmmm"))</f>
        <v>Janeiro</v>
      </c>
      <c r="C2600" s="34" t="str">
        <f>PROPER(TEXT(tbLOG[[#This Row],[DATA/HORA]],"dddd"))</f>
        <v>Segunda-Feira</v>
      </c>
      <c r="D2600" s="3" t="s">
        <v>297</v>
      </c>
      <c r="E2600" s="34" t="str">
        <f>IFERROR(VLOOKUP(tbLOG[[#This Row],[LOGIN]],tbMAPA[#All],2,0), "Não localizado")</f>
        <v>Ivanildo Cavalcante De Souza Junior</v>
      </c>
      <c r="F2600" s="34" t="str">
        <f>IFERROR(VLOOKUP(tbLOG[[#This Row],[LOGIN]],tbMAPA[#All],3,0), "Não localizado")</f>
        <v>Jefte Soares Da Silva</v>
      </c>
      <c r="G2600" s="3" t="s">
        <v>298</v>
      </c>
      <c r="H2600" s="3" t="s">
        <v>310</v>
      </c>
    </row>
    <row r="2601" spans="1:8">
      <c r="A2601" s="29">
        <v>42751.417245370372</v>
      </c>
      <c r="B2601" s="29" t="str">
        <f>PROPER(TEXT(tbLOG[[#This Row],[DATA/HORA]],"mmmm"))</f>
        <v>Janeiro</v>
      </c>
      <c r="C2601" s="34" t="str">
        <f>PROPER(TEXT(tbLOG[[#This Row],[DATA/HORA]],"dddd"))</f>
        <v>Segunda-Feira</v>
      </c>
      <c r="D2601" s="3" t="s">
        <v>297</v>
      </c>
      <c r="E2601" s="34" t="str">
        <f>IFERROR(VLOOKUP(tbLOG[[#This Row],[LOGIN]],tbMAPA[#All],2,0), "Não localizado")</f>
        <v>Ivanildo Cavalcante De Souza Junior</v>
      </c>
      <c r="F2601" s="34" t="str">
        <f>IFERROR(VLOOKUP(tbLOG[[#This Row],[LOGIN]],tbMAPA[#All],3,0), "Não localizado")</f>
        <v>Jefte Soares Da Silva</v>
      </c>
      <c r="G2601" s="3" t="s">
        <v>298</v>
      </c>
      <c r="H2601" s="3" t="s">
        <v>309</v>
      </c>
    </row>
    <row r="2602" spans="1:8">
      <c r="A2602" s="29">
        <v>42751.417256944442</v>
      </c>
      <c r="B2602" s="29" t="str">
        <f>PROPER(TEXT(tbLOG[[#This Row],[DATA/HORA]],"mmmm"))</f>
        <v>Janeiro</v>
      </c>
      <c r="C2602" s="34" t="str">
        <f>PROPER(TEXT(tbLOG[[#This Row],[DATA/HORA]],"dddd"))</f>
        <v>Segunda-Feira</v>
      </c>
      <c r="D2602" s="3" t="s">
        <v>297</v>
      </c>
      <c r="E2602" s="34" t="str">
        <f>IFERROR(VLOOKUP(tbLOG[[#This Row],[LOGIN]],tbMAPA[#All],2,0), "Não localizado")</f>
        <v>Ivanildo Cavalcante De Souza Junior</v>
      </c>
      <c r="F2602" s="34" t="str">
        <f>IFERROR(VLOOKUP(tbLOG[[#This Row],[LOGIN]],tbMAPA[#All],3,0), "Não localizado")</f>
        <v>Jefte Soares Da Silva</v>
      </c>
      <c r="G2602" s="3" t="s">
        <v>298</v>
      </c>
      <c r="H2602" s="3" t="s">
        <v>309</v>
      </c>
    </row>
    <row r="2603" spans="1:8">
      <c r="A2603" s="29">
        <v>42751.417256944442</v>
      </c>
      <c r="B2603" s="29" t="str">
        <f>PROPER(TEXT(tbLOG[[#This Row],[DATA/HORA]],"mmmm"))</f>
        <v>Janeiro</v>
      </c>
      <c r="C2603" s="34" t="str">
        <f>PROPER(TEXT(tbLOG[[#This Row],[DATA/HORA]],"dddd"))</f>
        <v>Segunda-Feira</v>
      </c>
      <c r="D2603" s="3" t="s">
        <v>297</v>
      </c>
      <c r="E2603" s="34" t="str">
        <f>IFERROR(VLOOKUP(tbLOG[[#This Row],[LOGIN]],tbMAPA[#All],2,0), "Não localizado")</f>
        <v>Ivanildo Cavalcante De Souza Junior</v>
      </c>
      <c r="F2603" s="34" t="str">
        <f>IFERROR(VLOOKUP(tbLOG[[#This Row],[LOGIN]],tbMAPA[#All],3,0), "Não localizado")</f>
        <v>Jefte Soares Da Silva</v>
      </c>
      <c r="G2603" s="3" t="s">
        <v>298</v>
      </c>
      <c r="H2603" s="3" t="s">
        <v>314</v>
      </c>
    </row>
    <row r="2604" spans="1:8">
      <c r="A2604" s="29">
        <v>42751.418680555558</v>
      </c>
      <c r="B2604" s="29" t="str">
        <f>PROPER(TEXT(tbLOG[[#This Row],[DATA/HORA]],"mmmm"))</f>
        <v>Janeiro</v>
      </c>
      <c r="C2604" s="34" t="str">
        <f>PROPER(TEXT(tbLOG[[#This Row],[DATA/HORA]],"dddd"))</f>
        <v>Segunda-Feira</v>
      </c>
      <c r="D2604" s="3" t="s">
        <v>297</v>
      </c>
      <c r="E2604" s="34" t="str">
        <f>IFERROR(VLOOKUP(tbLOG[[#This Row],[LOGIN]],tbMAPA[#All],2,0), "Não localizado")</f>
        <v>Ivanildo Cavalcante De Souza Junior</v>
      </c>
      <c r="F2604" s="34" t="str">
        <f>IFERROR(VLOOKUP(tbLOG[[#This Row],[LOGIN]],tbMAPA[#All],3,0), "Não localizado")</f>
        <v>Jefte Soares Da Silva</v>
      </c>
      <c r="G2604" s="3" t="s">
        <v>298</v>
      </c>
      <c r="H2604" s="3" t="s">
        <v>309</v>
      </c>
    </row>
    <row r="2605" spans="1:8">
      <c r="A2605" s="29">
        <v>42751.418680555558</v>
      </c>
      <c r="B2605" s="29" t="str">
        <f>PROPER(TEXT(tbLOG[[#This Row],[DATA/HORA]],"mmmm"))</f>
        <v>Janeiro</v>
      </c>
      <c r="C2605" s="34" t="str">
        <f>PROPER(TEXT(tbLOG[[#This Row],[DATA/HORA]],"dddd"))</f>
        <v>Segunda-Feira</v>
      </c>
      <c r="D2605" s="3" t="s">
        <v>297</v>
      </c>
      <c r="E2605" s="34" t="str">
        <f>IFERROR(VLOOKUP(tbLOG[[#This Row],[LOGIN]],tbMAPA[#All],2,0), "Não localizado")</f>
        <v>Ivanildo Cavalcante De Souza Junior</v>
      </c>
      <c r="F2605" s="34" t="str">
        <f>IFERROR(VLOOKUP(tbLOG[[#This Row],[LOGIN]],tbMAPA[#All],3,0), "Não localizado")</f>
        <v>Jefte Soares Da Silva</v>
      </c>
      <c r="G2605" s="3" t="s">
        <v>298</v>
      </c>
      <c r="H2605" s="3" t="s">
        <v>310</v>
      </c>
    </row>
    <row r="2606" spans="1:8">
      <c r="A2606" s="29">
        <v>42751.418738425928</v>
      </c>
      <c r="B2606" s="29" t="str">
        <f>PROPER(TEXT(tbLOG[[#This Row],[DATA/HORA]],"mmmm"))</f>
        <v>Janeiro</v>
      </c>
      <c r="C2606" s="34" t="str">
        <f>PROPER(TEXT(tbLOG[[#This Row],[DATA/HORA]],"dddd"))</f>
        <v>Segunda-Feira</v>
      </c>
      <c r="D2606" s="3" t="s">
        <v>297</v>
      </c>
      <c r="E2606" s="34" t="str">
        <f>IFERROR(VLOOKUP(tbLOG[[#This Row],[LOGIN]],tbMAPA[#All],2,0), "Não localizado")</f>
        <v>Ivanildo Cavalcante De Souza Junior</v>
      </c>
      <c r="F2606" s="34" t="str">
        <f>IFERROR(VLOOKUP(tbLOG[[#This Row],[LOGIN]],tbMAPA[#All],3,0), "Não localizado")</f>
        <v>Jefte Soares Da Silva</v>
      </c>
      <c r="G2606" s="3" t="s">
        <v>298</v>
      </c>
      <c r="H2606" s="3" t="s">
        <v>309</v>
      </c>
    </row>
    <row r="2607" spans="1:8">
      <c r="A2607" s="29">
        <v>42751.418749999997</v>
      </c>
      <c r="B2607" s="29" t="str">
        <f>PROPER(TEXT(tbLOG[[#This Row],[DATA/HORA]],"mmmm"))</f>
        <v>Janeiro</v>
      </c>
      <c r="C2607" s="34" t="str">
        <f>PROPER(TEXT(tbLOG[[#This Row],[DATA/HORA]],"dddd"))</f>
        <v>Segunda-Feira</v>
      </c>
      <c r="D2607" s="3" t="s">
        <v>297</v>
      </c>
      <c r="E2607" s="34" t="str">
        <f>IFERROR(VLOOKUP(tbLOG[[#This Row],[LOGIN]],tbMAPA[#All],2,0), "Não localizado")</f>
        <v>Ivanildo Cavalcante De Souza Junior</v>
      </c>
      <c r="F2607" s="34" t="str">
        <f>IFERROR(VLOOKUP(tbLOG[[#This Row],[LOGIN]],tbMAPA[#All],3,0), "Não localizado")</f>
        <v>Jefte Soares Da Silva</v>
      </c>
      <c r="G2607" s="3" t="s">
        <v>298</v>
      </c>
      <c r="H2607" s="3" t="s">
        <v>309</v>
      </c>
    </row>
    <row r="2608" spans="1:8">
      <c r="A2608" s="29">
        <v>42751.418749999997</v>
      </c>
      <c r="B2608" s="29" t="str">
        <f>PROPER(TEXT(tbLOG[[#This Row],[DATA/HORA]],"mmmm"))</f>
        <v>Janeiro</v>
      </c>
      <c r="C2608" s="34" t="str">
        <f>PROPER(TEXT(tbLOG[[#This Row],[DATA/HORA]],"dddd"))</f>
        <v>Segunda-Feira</v>
      </c>
      <c r="D2608" s="3" t="s">
        <v>297</v>
      </c>
      <c r="E2608" s="34" t="str">
        <f>IFERROR(VLOOKUP(tbLOG[[#This Row],[LOGIN]],tbMAPA[#All],2,0), "Não localizado")</f>
        <v>Ivanildo Cavalcante De Souza Junior</v>
      </c>
      <c r="F2608" s="34" t="str">
        <f>IFERROR(VLOOKUP(tbLOG[[#This Row],[LOGIN]],tbMAPA[#All],3,0), "Não localizado")</f>
        <v>Jefte Soares Da Silva</v>
      </c>
      <c r="G2608" s="3" t="s">
        <v>298</v>
      </c>
      <c r="H2608" s="3" t="s">
        <v>314</v>
      </c>
    </row>
    <row r="2609" spans="1:8">
      <c r="A2609" s="29">
        <v>42751.418854166666</v>
      </c>
      <c r="B2609" s="29" t="str">
        <f>PROPER(TEXT(tbLOG[[#This Row],[DATA/HORA]],"mmmm"))</f>
        <v>Janeiro</v>
      </c>
      <c r="C2609" s="34" t="str">
        <f>PROPER(TEXT(tbLOG[[#This Row],[DATA/HORA]],"dddd"))</f>
        <v>Segunda-Feira</v>
      </c>
      <c r="D2609" s="3" t="s">
        <v>297</v>
      </c>
      <c r="E2609" s="34" t="str">
        <f>IFERROR(VLOOKUP(tbLOG[[#This Row],[LOGIN]],tbMAPA[#All],2,0), "Não localizado")</f>
        <v>Ivanildo Cavalcante De Souza Junior</v>
      </c>
      <c r="F2609" s="34" t="str">
        <f>IFERROR(VLOOKUP(tbLOG[[#This Row],[LOGIN]],tbMAPA[#All],3,0), "Não localizado")</f>
        <v>Jefte Soares Da Silva</v>
      </c>
      <c r="G2609" s="3" t="s">
        <v>298</v>
      </c>
      <c r="H2609" s="3" t="s">
        <v>290</v>
      </c>
    </row>
    <row r="2610" spans="1:8">
      <c r="A2610" s="29">
        <v>42751.419027777774</v>
      </c>
      <c r="B2610" s="29" t="str">
        <f>PROPER(TEXT(tbLOG[[#This Row],[DATA/HORA]],"mmmm"))</f>
        <v>Janeiro</v>
      </c>
      <c r="C2610" s="34" t="str">
        <f>PROPER(TEXT(tbLOG[[#This Row],[DATA/HORA]],"dddd"))</f>
        <v>Segunda-Feira</v>
      </c>
      <c r="D2610" s="3" t="s">
        <v>297</v>
      </c>
      <c r="E2610" s="34" t="str">
        <f>IFERROR(VLOOKUP(tbLOG[[#This Row],[LOGIN]],tbMAPA[#All],2,0), "Não localizado")</f>
        <v>Ivanildo Cavalcante De Souza Junior</v>
      </c>
      <c r="F2610" s="34" t="str">
        <f>IFERROR(VLOOKUP(tbLOG[[#This Row],[LOGIN]],tbMAPA[#All],3,0), "Não localizado")</f>
        <v>Jefte Soares Da Silva</v>
      </c>
      <c r="G2610" s="3" t="s">
        <v>298</v>
      </c>
      <c r="H2610" s="3" t="s">
        <v>291</v>
      </c>
    </row>
    <row r="2611" spans="1:8">
      <c r="A2611" s="29">
        <v>42751.419027777774</v>
      </c>
      <c r="B2611" s="29" t="str">
        <f>PROPER(TEXT(tbLOG[[#This Row],[DATA/HORA]],"mmmm"))</f>
        <v>Janeiro</v>
      </c>
      <c r="C2611" s="34" t="str">
        <f>PROPER(TEXT(tbLOG[[#This Row],[DATA/HORA]],"dddd"))</f>
        <v>Segunda-Feira</v>
      </c>
      <c r="D2611" s="3" t="s">
        <v>297</v>
      </c>
      <c r="E2611" s="34" t="str">
        <f>IFERROR(VLOOKUP(tbLOG[[#This Row],[LOGIN]],tbMAPA[#All],2,0), "Não localizado")</f>
        <v>Ivanildo Cavalcante De Souza Junior</v>
      </c>
      <c r="F2611" s="34" t="str">
        <f>IFERROR(VLOOKUP(tbLOG[[#This Row],[LOGIN]],tbMAPA[#All],3,0), "Não localizado")</f>
        <v>Jefte Soares Da Silva</v>
      </c>
      <c r="G2611" s="3" t="s">
        <v>298</v>
      </c>
      <c r="H2611" s="3" t="s">
        <v>290</v>
      </c>
    </row>
    <row r="2612" spans="1:8">
      <c r="A2612" s="29">
        <v>42751.419502314813</v>
      </c>
      <c r="B2612" s="29" t="str">
        <f>PROPER(TEXT(tbLOG[[#This Row],[DATA/HORA]],"mmmm"))</f>
        <v>Janeiro</v>
      </c>
      <c r="C2612" s="34" t="str">
        <f>PROPER(TEXT(tbLOG[[#This Row],[DATA/HORA]],"dddd"))</f>
        <v>Segunda-Feira</v>
      </c>
      <c r="D2612" s="3" t="s">
        <v>604</v>
      </c>
      <c r="E2612" s="34" t="str">
        <f>IFERROR(VLOOKUP(tbLOG[[#This Row],[LOGIN]],tbMAPA[#All],2,0), "Não localizado")</f>
        <v>Renan Cazumba Tegani</v>
      </c>
      <c r="F2612" s="34" t="str">
        <f>IFERROR(VLOOKUP(tbLOG[[#This Row],[LOGIN]],tbMAPA[#All],3,0), "Não localizado")</f>
        <v>Reginaldo Santana De Souza</v>
      </c>
      <c r="G2612" s="3" t="s">
        <v>1211</v>
      </c>
      <c r="H2612" s="3" t="s">
        <v>994</v>
      </c>
    </row>
    <row r="2613" spans="1:8">
      <c r="A2613" s="29">
        <v>42751.420069444444</v>
      </c>
      <c r="B2613" s="29" t="str">
        <f>PROPER(TEXT(tbLOG[[#This Row],[DATA/HORA]],"mmmm"))</f>
        <v>Janeiro</v>
      </c>
      <c r="C2613" s="34" t="str">
        <f>PROPER(TEXT(tbLOG[[#This Row],[DATA/HORA]],"dddd"))</f>
        <v>Segunda-Feira</v>
      </c>
      <c r="D2613" s="3" t="s">
        <v>604</v>
      </c>
      <c r="E2613" s="34" t="str">
        <f>IFERROR(VLOOKUP(tbLOG[[#This Row],[LOGIN]],tbMAPA[#All],2,0), "Não localizado")</f>
        <v>Renan Cazumba Tegani</v>
      </c>
      <c r="F2613" s="34" t="str">
        <f>IFERROR(VLOOKUP(tbLOG[[#This Row],[LOGIN]],tbMAPA[#All],3,0), "Não localizado")</f>
        <v>Reginaldo Santana De Souza</v>
      </c>
      <c r="G2613" s="3" t="s">
        <v>1211</v>
      </c>
      <c r="H2613" s="3" t="s">
        <v>290</v>
      </c>
    </row>
    <row r="2614" spans="1:8">
      <c r="A2614" s="29">
        <v>42751.425729166665</v>
      </c>
      <c r="B2614" s="29" t="str">
        <f>PROPER(TEXT(tbLOG[[#This Row],[DATA/HORA]],"mmmm"))</f>
        <v>Janeiro</v>
      </c>
      <c r="C2614" s="34" t="str">
        <f>PROPER(TEXT(tbLOG[[#This Row],[DATA/HORA]],"dddd"))</f>
        <v>Segunda-Feira</v>
      </c>
      <c r="D2614" s="3" t="s">
        <v>604</v>
      </c>
      <c r="E2614" s="34" t="str">
        <f>IFERROR(VLOOKUP(tbLOG[[#This Row],[LOGIN]],tbMAPA[#All],2,0), "Não localizado")</f>
        <v>Renan Cazumba Tegani</v>
      </c>
      <c r="F2614" s="34" t="str">
        <f>IFERROR(VLOOKUP(tbLOG[[#This Row],[LOGIN]],tbMAPA[#All],3,0), "Não localizado")</f>
        <v>Reginaldo Santana De Souza</v>
      </c>
      <c r="G2614" s="3" t="s">
        <v>1211</v>
      </c>
      <c r="H2614" s="3" t="s">
        <v>836</v>
      </c>
    </row>
    <row r="2615" spans="1:8">
      <c r="A2615" s="29">
        <v>42751.425775462965</v>
      </c>
      <c r="B2615" s="29" t="str">
        <f>PROPER(TEXT(tbLOG[[#This Row],[DATA/HORA]],"mmmm"))</f>
        <v>Janeiro</v>
      </c>
      <c r="C2615" s="34" t="str">
        <f>PROPER(TEXT(tbLOG[[#This Row],[DATA/HORA]],"dddd"))</f>
        <v>Segunda-Feira</v>
      </c>
      <c r="D2615" s="3" t="s">
        <v>604</v>
      </c>
      <c r="E2615" s="34" t="str">
        <f>IFERROR(VLOOKUP(tbLOG[[#This Row],[LOGIN]],tbMAPA[#All],2,0), "Não localizado")</f>
        <v>Renan Cazumba Tegani</v>
      </c>
      <c r="F2615" s="34" t="str">
        <f>IFERROR(VLOOKUP(tbLOG[[#This Row],[LOGIN]],tbMAPA[#All],3,0), "Não localizado")</f>
        <v>Reginaldo Santana De Souza</v>
      </c>
      <c r="G2615" s="3" t="s">
        <v>1211</v>
      </c>
      <c r="H2615" s="3" t="s">
        <v>836</v>
      </c>
    </row>
    <row r="2616" spans="1:8">
      <c r="A2616" s="29">
        <v>42751.425810185188</v>
      </c>
      <c r="B2616" s="29" t="str">
        <f>PROPER(TEXT(tbLOG[[#This Row],[DATA/HORA]],"mmmm"))</f>
        <v>Janeiro</v>
      </c>
      <c r="C2616" s="34" t="str">
        <f>PROPER(TEXT(tbLOG[[#This Row],[DATA/HORA]],"dddd"))</f>
        <v>Segunda-Feira</v>
      </c>
      <c r="D2616" s="3" t="s">
        <v>604</v>
      </c>
      <c r="E2616" s="34" t="str">
        <f>IFERROR(VLOOKUP(tbLOG[[#This Row],[LOGIN]],tbMAPA[#All],2,0), "Não localizado")</f>
        <v>Renan Cazumba Tegani</v>
      </c>
      <c r="F2616" s="34" t="str">
        <f>IFERROR(VLOOKUP(tbLOG[[#This Row],[LOGIN]],tbMAPA[#All],3,0), "Não localizado")</f>
        <v>Reginaldo Santana De Souza</v>
      </c>
      <c r="G2616" s="3" t="s">
        <v>1211</v>
      </c>
      <c r="H2616" s="3" t="s">
        <v>836</v>
      </c>
    </row>
    <row r="2617" spans="1:8">
      <c r="A2617" s="29">
        <v>42751.425821759258</v>
      </c>
      <c r="B2617" s="29" t="str">
        <f>PROPER(TEXT(tbLOG[[#This Row],[DATA/HORA]],"mmmm"))</f>
        <v>Janeiro</v>
      </c>
      <c r="C2617" s="34" t="str">
        <f>PROPER(TEXT(tbLOG[[#This Row],[DATA/HORA]],"dddd"))</f>
        <v>Segunda-Feira</v>
      </c>
      <c r="D2617" s="3" t="s">
        <v>604</v>
      </c>
      <c r="E2617" s="34" t="str">
        <f>IFERROR(VLOOKUP(tbLOG[[#This Row],[LOGIN]],tbMAPA[#All],2,0), "Não localizado")</f>
        <v>Renan Cazumba Tegani</v>
      </c>
      <c r="F2617" s="34" t="str">
        <f>IFERROR(VLOOKUP(tbLOG[[#This Row],[LOGIN]],tbMAPA[#All],3,0), "Não localizado")</f>
        <v>Reginaldo Santana De Souza</v>
      </c>
      <c r="G2617" s="3" t="s">
        <v>1211</v>
      </c>
      <c r="H2617" s="3" t="s">
        <v>836</v>
      </c>
    </row>
    <row r="2618" spans="1:8">
      <c r="A2618" s="29">
        <v>42751.425833333335</v>
      </c>
      <c r="B2618" s="29" t="str">
        <f>PROPER(TEXT(tbLOG[[#This Row],[DATA/HORA]],"mmmm"))</f>
        <v>Janeiro</v>
      </c>
      <c r="C2618" s="34" t="str">
        <f>PROPER(TEXT(tbLOG[[#This Row],[DATA/HORA]],"dddd"))</f>
        <v>Segunda-Feira</v>
      </c>
      <c r="D2618" s="3" t="s">
        <v>604</v>
      </c>
      <c r="E2618" s="34" t="str">
        <f>IFERROR(VLOOKUP(tbLOG[[#This Row],[LOGIN]],tbMAPA[#All],2,0), "Não localizado")</f>
        <v>Renan Cazumba Tegani</v>
      </c>
      <c r="F2618" s="34" t="str">
        <f>IFERROR(VLOOKUP(tbLOG[[#This Row],[LOGIN]],tbMAPA[#All],3,0), "Não localizado")</f>
        <v>Reginaldo Santana De Souza</v>
      </c>
      <c r="G2618" s="3" t="s">
        <v>1211</v>
      </c>
      <c r="H2618" s="3" t="s">
        <v>836</v>
      </c>
    </row>
    <row r="2619" spans="1:8">
      <c r="A2619" s="29">
        <v>42751.425879629627</v>
      </c>
      <c r="B2619" s="29" t="str">
        <f>PROPER(TEXT(tbLOG[[#This Row],[DATA/HORA]],"mmmm"))</f>
        <v>Janeiro</v>
      </c>
      <c r="C2619" s="34" t="str">
        <f>PROPER(TEXT(tbLOG[[#This Row],[DATA/HORA]],"dddd"))</f>
        <v>Segunda-Feira</v>
      </c>
      <c r="D2619" s="3" t="s">
        <v>604</v>
      </c>
      <c r="E2619" s="34" t="str">
        <f>IFERROR(VLOOKUP(tbLOG[[#This Row],[LOGIN]],tbMAPA[#All],2,0), "Não localizado")</f>
        <v>Renan Cazumba Tegani</v>
      </c>
      <c r="F2619" s="34" t="str">
        <f>IFERROR(VLOOKUP(tbLOG[[#This Row],[LOGIN]],tbMAPA[#All],3,0), "Não localizado")</f>
        <v>Reginaldo Santana De Souza</v>
      </c>
      <c r="G2619" s="3" t="s">
        <v>1211</v>
      </c>
      <c r="H2619" s="3" t="s">
        <v>836</v>
      </c>
    </row>
    <row r="2620" spans="1:8">
      <c r="A2620" s="29">
        <v>42751.427662037036</v>
      </c>
      <c r="B2620" s="29" t="str">
        <f>PROPER(TEXT(tbLOG[[#This Row],[DATA/HORA]],"mmmm"))</f>
        <v>Janeiro</v>
      </c>
      <c r="C2620" s="34" t="str">
        <f>PROPER(TEXT(tbLOG[[#This Row],[DATA/HORA]],"dddd"))</f>
        <v>Segunda-Feira</v>
      </c>
      <c r="D2620" s="3" t="s">
        <v>604</v>
      </c>
      <c r="E2620" s="34" t="str">
        <f>IFERROR(VLOOKUP(tbLOG[[#This Row],[LOGIN]],tbMAPA[#All],2,0), "Não localizado")</f>
        <v>Renan Cazumba Tegani</v>
      </c>
      <c r="F2620" s="34" t="str">
        <f>IFERROR(VLOOKUP(tbLOG[[#This Row],[LOGIN]],tbMAPA[#All],3,0), "Não localizado")</f>
        <v>Reginaldo Santana De Souza</v>
      </c>
      <c r="G2620" s="3" t="s">
        <v>1211</v>
      </c>
      <c r="H2620" s="3" t="s">
        <v>836</v>
      </c>
    </row>
    <row r="2621" spans="1:8">
      <c r="A2621" s="29">
        <v>42751.429791666669</v>
      </c>
      <c r="B2621" s="29" t="str">
        <f>PROPER(TEXT(tbLOG[[#This Row],[DATA/HORA]],"mmmm"))</f>
        <v>Janeiro</v>
      </c>
      <c r="C2621" s="34" t="str">
        <f>PROPER(TEXT(tbLOG[[#This Row],[DATA/HORA]],"dddd"))</f>
        <v>Segunda-Feira</v>
      </c>
      <c r="D2621" s="3" t="s">
        <v>604</v>
      </c>
      <c r="E2621" s="34" t="str">
        <f>IFERROR(VLOOKUP(tbLOG[[#This Row],[LOGIN]],tbMAPA[#All],2,0), "Não localizado")</f>
        <v>Renan Cazumba Tegani</v>
      </c>
      <c r="F2621" s="34" t="str">
        <f>IFERROR(VLOOKUP(tbLOG[[#This Row],[LOGIN]],tbMAPA[#All],3,0), "Não localizado")</f>
        <v>Reginaldo Santana De Souza</v>
      </c>
      <c r="G2621" s="3" t="s">
        <v>1211</v>
      </c>
      <c r="H2621" s="3" t="s">
        <v>836</v>
      </c>
    </row>
    <row r="2622" spans="1:8">
      <c r="A2622" s="29">
        <v>42751.429803240739</v>
      </c>
      <c r="B2622" s="29" t="str">
        <f>PROPER(TEXT(tbLOG[[#This Row],[DATA/HORA]],"mmmm"))</f>
        <v>Janeiro</v>
      </c>
      <c r="C2622" s="34" t="str">
        <f>PROPER(TEXT(tbLOG[[#This Row],[DATA/HORA]],"dddd"))</f>
        <v>Segunda-Feira</v>
      </c>
      <c r="D2622" s="3" t="s">
        <v>604</v>
      </c>
      <c r="E2622" s="34" t="str">
        <f>IFERROR(VLOOKUP(tbLOG[[#This Row],[LOGIN]],tbMAPA[#All],2,0), "Não localizado")</f>
        <v>Renan Cazumba Tegani</v>
      </c>
      <c r="F2622" s="34" t="str">
        <f>IFERROR(VLOOKUP(tbLOG[[#This Row],[LOGIN]],tbMAPA[#All],3,0), "Não localizado")</f>
        <v>Reginaldo Santana De Souza</v>
      </c>
      <c r="G2622" s="3" t="s">
        <v>1211</v>
      </c>
      <c r="H2622" s="3" t="s">
        <v>836</v>
      </c>
    </row>
    <row r="2623" spans="1:8">
      <c r="A2623" s="29">
        <v>42751.429884259262</v>
      </c>
      <c r="B2623" s="29" t="str">
        <f>PROPER(TEXT(tbLOG[[#This Row],[DATA/HORA]],"mmmm"))</f>
        <v>Janeiro</v>
      </c>
      <c r="C2623" s="34" t="str">
        <f>PROPER(TEXT(tbLOG[[#This Row],[DATA/HORA]],"dddd"))</f>
        <v>Segunda-Feira</v>
      </c>
      <c r="D2623" s="3" t="s">
        <v>604</v>
      </c>
      <c r="E2623" s="34" t="str">
        <f>IFERROR(VLOOKUP(tbLOG[[#This Row],[LOGIN]],tbMAPA[#All],2,0), "Não localizado")</f>
        <v>Renan Cazumba Tegani</v>
      </c>
      <c r="F2623" s="34" t="str">
        <f>IFERROR(VLOOKUP(tbLOG[[#This Row],[LOGIN]],tbMAPA[#All],3,0), "Não localizado")</f>
        <v>Reginaldo Santana De Souza</v>
      </c>
      <c r="G2623" s="3" t="s">
        <v>1211</v>
      </c>
      <c r="H2623" s="3" t="s">
        <v>836</v>
      </c>
    </row>
    <row r="2624" spans="1:8">
      <c r="A2624" s="29">
        <v>42751.432962962965</v>
      </c>
      <c r="B2624" s="29" t="str">
        <f>PROPER(TEXT(tbLOG[[#This Row],[DATA/HORA]],"mmmm"))</f>
        <v>Janeiro</v>
      </c>
      <c r="C2624" s="34" t="str">
        <f>PROPER(TEXT(tbLOG[[#This Row],[DATA/HORA]],"dddd"))</f>
        <v>Segunda-Feira</v>
      </c>
      <c r="D2624" s="3" t="s">
        <v>604</v>
      </c>
      <c r="E2624" s="34" t="str">
        <f>IFERROR(VLOOKUP(tbLOG[[#This Row],[LOGIN]],tbMAPA[#All],2,0), "Não localizado")</f>
        <v>Renan Cazumba Tegani</v>
      </c>
      <c r="F2624" s="34" t="str">
        <f>IFERROR(VLOOKUP(tbLOG[[#This Row],[LOGIN]],tbMAPA[#All],3,0), "Não localizado")</f>
        <v>Reginaldo Santana De Souza</v>
      </c>
      <c r="G2624" s="3" t="s">
        <v>1211</v>
      </c>
      <c r="H2624" s="3" t="s">
        <v>836</v>
      </c>
    </row>
    <row r="2625" spans="1:8">
      <c r="A2625" s="29">
        <v>42751.432986111111</v>
      </c>
      <c r="B2625" s="29" t="str">
        <f>PROPER(TEXT(tbLOG[[#This Row],[DATA/HORA]],"mmmm"))</f>
        <v>Janeiro</v>
      </c>
      <c r="C2625" s="34" t="str">
        <f>PROPER(TEXT(tbLOG[[#This Row],[DATA/HORA]],"dddd"))</f>
        <v>Segunda-Feira</v>
      </c>
      <c r="D2625" s="3" t="s">
        <v>604</v>
      </c>
      <c r="E2625" s="34" t="str">
        <f>IFERROR(VLOOKUP(tbLOG[[#This Row],[LOGIN]],tbMAPA[#All],2,0), "Não localizado")</f>
        <v>Renan Cazumba Tegani</v>
      </c>
      <c r="F2625" s="34" t="str">
        <f>IFERROR(VLOOKUP(tbLOG[[#This Row],[LOGIN]],tbMAPA[#All],3,0), "Não localizado")</f>
        <v>Reginaldo Santana De Souza</v>
      </c>
      <c r="G2625" s="3" t="s">
        <v>1211</v>
      </c>
      <c r="H2625" s="3" t="s">
        <v>836</v>
      </c>
    </row>
    <row r="2626" spans="1:8">
      <c r="A2626" s="29">
        <v>42751.43445601852</v>
      </c>
      <c r="B2626" s="29" t="str">
        <f>PROPER(TEXT(tbLOG[[#This Row],[DATA/HORA]],"mmmm"))</f>
        <v>Janeiro</v>
      </c>
      <c r="C2626" s="34" t="str">
        <f>PROPER(TEXT(tbLOG[[#This Row],[DATA/HORA]],"dddd"))</f>
        <v>Segunda-Feira</v>
      </c>
      <c r="D2626" s="3" t="s">
        <v>604</v>
      </c>
      <c r="E2626" s="34" t="str">
        <f>IFERROR(VLOOKUP(tbLOG[[#This Row],[LOGIN]],tbMAPA[#All],2,0), "Não localizado")</f>
        <v>Renan Cazumba Tegani</v>
      </c>
      <c r="F2626" s="34" t="str">
        <f>IFERROR(VLOOKUP(tbLOG[[#This Row],[LOGIN]],tbMAPA[#All],3,0), "Não localizado")</f>
        <v>Reginaldo Santana De Souza</v>
      </c>
      <c r="G2626" s="3" t="s">
        <v>1211</v>
      </c>
      <c r="H2626" s="3" t="s">
        <v>836</v>
      </c>
    </row>
    <row r="2627" spans="1:8">
      <c r="A2627" s="29">
        <v>42751.437777777777</v>
      </c>
      <c r="B2627" s="29" t="str">
        <f>PROPER(TEXT(tbLOG[[#This Row],[DATA/HORA]],"mmmm"))</f>
        <v>Janeiro</v>
      </c>
      <c r="C2627" s="34" t="str">
        <f>PROPER(TEXT(tbLOG[[#This Row],[DATA/HORA]],"dddd"))</f>
        <v>Segunda-Feira</v>
      </c>
      <c r="D2627" s="3" t="s">
        <v>604</v>
      </c>
      <c r="E2627" s="34" t="str">
        <f>IFERROR(VLOOKUP(tbLOG[[#This Row],[LOGIN]],tbMAPA[#All],2,0), "Não localizado")</f>
        <v>Renan Cazumba Tegani</v>
      </c>
      <c r="F2627" s="34" t="str">
        <f>IFERROR(VLOOKUP(tbLOG[[#This Row],[LOGIN]],tbMAPA[#All],3,0), "Não localizado")</f>
        <v>Reginaldo Santana De Souza</v>
      </c>
      <c r="G2627" s="3" t="s">
        <v>1211</v>
      </c>
      <c r="H2627" s="3" t="s">
        <v>836</v>
      </c>
    </row>
    <row r="2628" spans="1:8">
      <c r="A2628" s="29">
        <v>42751.442094907405</v>
      </c>
      <c r="B2628" s="29" t="str">
        <f>PROPER(TEXT(tbLOG[[#This Row],[DATA/HORA]],"mmmm"))</f>
        <v>Janeiro</v>
      </c>
      <c r="C2628" s="34" t="str">
        <f>PROPER(TEXT(tbLOG[[#This Row],[DATA/HORA]],"dddd"))</f>
        <v>Segunda-Feira</v>
      </c>
      <c r="D2628" s="3" t="s">
        <v>604</v>
      </c>
      <c r="E2628" s="34" t="str">
        <f>IFERROR(VLOOKUP(tbLOG[[#This Row],[LOGIN]],tbMAPA[#All],2,0), "Não localizado")</f>
        <v>Renan Cazumba Tegani</v>
      </c>
      <c r="F2628" s="34" t="str">
        <f>IFERROR(VLOOKUP(tbLOG[[#This Row],[LOGIN]],tbMAPA[#All],3,0), "Não localizado")</f>
        <v>Reginaldo Santana De Souza</v>
      </c>
      <c r="G2628" s="3" t="s">
        <v>1211</v>
      </c>
      <c r="H2628" s="3" t="s">
        <v>836</v>
      </c>
    </row>
    <row r="2629" spans="1:8">
      <c r="A2629" s="29">
        <v>42751.444560185184</v>
      </c>
      <c r="B2629" s="29" t="str">
        <f>PROPER(TEXT(tbLOG[[#This Row],[DATA/HORA]],"mmmm"))</f>
        <v>Janeiro</v>
      </c>
      <c r="C2629" s="34" t="str">
        <f>PROPER(TEXT(tbLOG[[#This Row],[DATA/HORA]],"dddd"))</f>
        <v>Segunda-Feira</v>
      </c>
      <c r="D2629" s="3" t="s">
        <v>604</v>
      </c>
      <c r="E2629" s="34" t="str">
        <f>IFERROR(VLOOKUP(tbLOG[[#This Row],[LOGIN]],tbMAPA[#All],2,0), "Não localizado")</f>
        <v>Renan Cazumba Tegani</v>
      </c>
      <c r="F2629" s="34" t="str">
        <f>IFERROR(VLOOKUP(tbLOG[[#This Row],[LOGIN]],tbMAPA[#All],3,0), "Não localizado")</f>
        <v>Reginaldo Santana De Souza</v>
      </c>
      <c r="G2629" s="3" t="s">
        <v>1211</v>
      </c>
      <c r="H2629" s="3" t="s">
        <v>836</v>
      </c>
    </row>
    <row r="2630" spans="1:8">
      <c r="A2630" s="29">
        <v>42751.444571759261</v>
      </c>
      <c r="B2630" s="29" t="str">
        <f>PROPER(TEXT(tbLOG[[#This Row],[DATA/HORA]],"mmmm"))</f>
        <v>Janeiro</v>
      </c>
      <c r="C2630" s="34" t="str">
        <f>PROPER(TEXT(tbLOG[[#This Row],[DATA/HORA]],"dddd"))</f>
        <v>Segunda-Feira</v>
      </c>
      <c r="D2630" s="3" t="s">
        <v>604</v>
      </c>
      <c r="E2630" s="34" t="str">
        <f>IFERROR(VLOOKUP(tbLOG[[#This Row],[LOGIN]],tbMAPA[#All],2,0), "Não localizado")</f>
        <v>Renan Cazumba Tegani</v>
      </c>
      <c r="F2630" s="34" t="str">
        <f>IFERROR(VLOOKUP(tbLOG[[#This Row],[LOGIN]],tbMAPA[#All],3,0), "Não localizado")</f>
        <v>Reginaldo Santana De Souza</v>
      </c>
      <c r="G2630" s="3" t="s">
        <v>1211</v>
      </c>
      <c r="H2630" s="3" t="s">
        <v>836</v>
      </c>
    </row>
    <row r="2631" spans="1:8">
      <c r="A2631" s="29">
        <v>42751.444710648146</v>
      </c>
      <c r="B2631" s="29" t="str">
        <f>PROPER(TEXT(tbLOG[[#This Row],[DATA/HORA]],"mmmm"))</f>
        <v>Janeiro</v>
      </c>
      <c r="C2631" s="34" t="str">
        <f>PROPER(TEXT(tbLOG[[#This Row],[DATA/HORA]],"dddd"))</f>
        <v>Segunda-Feira</v>
      </c>
      <c r="D2631" s="3" t="s">
        <v>604</v>
      </c>
      <c r="E2631" s="34" t="str">
        <f>IFERROR(VLOOKUP(tbLOG[[#This Row],[LOGIN]],tbMAPA[#All],2,0), "Não localizado")</f>
        <v>Renan Cazumba Tegani</v>
      </c>
      <c r="F2631" s="34" t="str">
        <f>IFERROR(VLOOKUP(tbLOG[[#This Row],[LOGIN]],tbMAPA[#All],3,0), "Não localizado")</f>
        <v>Reginaldo Santana De Souza</v>
      </c>
      <c r="G2631" s="3" t="s">
        <v>1211</v>
      </c>
      <c r="H2631" s="3" t="s">
        <v>836</v>
      </c>
    </row>
    <row r="2632" spans="1:8">
      <c r="A2632" s="29">
        <v>42751.447314814817</v>
      </c>
      <c r="B2632" s="29" t="str">
        <f>PROPER(TEXT(tbLOG[[#This Row],[DATA/HORA]],"mmmm"))</f>
        <v>Janeiro</v>
      </c>
      <c r="C2632" s="34" t="str">
        <f>PROPER(TEXT(tbLOG[[#This Row],[DATA/HORA]],"dddd"))</f>
        <v>Segunda-Feira</v>
      </c>
      <c r="D2632" s="3" t="s">
        <v>604</v>
      </c>
      <c r="E2632" s="34" t="str">
        <f>IFERROR(VLOOKUP(tbLOG[[#This Row],[LOGIN]],tbMAPA[#All],2,0), "Não localizado")</f>
        <v>Renan Cazumba Tegani</v>
      </c>
      <c r="F2632" s="34" t="str">
        <f>IFERROR(VLOOKUP(tbLOG[[#This Row],[LOGIN]],tbMAPA[#All],3,0), "Não localizado")</f>
        <v>Reginaldo Santana De Souza</v>
      </c>
      <c r="G2632" s="3" t="s">
        <v>1211</v>
      </c>
      <c r="H2632" s="3" t="s">
        <v>836</v>
      </c>
    </row>
    <row r="2633" spans="1:8">
      <c r="A2633" s="29">
        <v>42751.447337962964</v>
      </c>
      <c r="B2633" s="29" t="str">
        <f>PROPER(TEXT(tbLOG[[#This Row],[DATA/HORA]],"mmmm"))</f>
        <v>Janeiro</v>
      </c>
      <c r="C2633" s="34" t="str">
        <f>PROPER(TEXT(tbLOG[[#This Row],[DATA/HORA]],"dddd"))</f>
        <v>Segunda-Feira</v>
      </c>
      <c r="D2633" s="3" t="s">
        <v>604</v>
      </c>
      <c r="E2633" s="34" t="str">
        <f>IFERROR(VLOOKUP(tbLOG[[#This Row],[LOGIN]],tbMAPA[#All],2,0), "Não localizado")</f>
        <v>Renan Cazumba Tegani</v>
      </c>
      <c r="F2633" s="34" t="str">
        <f>IFERROR(VLOOKUP(tbLOG[[#This Row],[LOGIN]],tbMAPA[#All],3,0), "Não localizado")</f>
        <v>Reginaldo Santana De Souza</v>
      </c>
      <c r="G2633" s="3" t="s">
        <v>1211</v>
      </c>
      <c r="H2633" s="3" t="s">
        <v>836</v>
      </c>
    </row>
    <row r="2634" spans="1:8">
      <c r="A2634" s="29">
        <v>42751.44740740741</v>
      </c>
      <c r="B2634" s="29" t="str">
        <f>PROPER(TEXT(tbLOG[[#This Row],[DATA/HORA]],"mmmm"))</f>
        <v>Janeiro</v>
      </c>
      <c r="C2634" s="34" t="str">
        <f>PROPER(TEXT(tbLOG[[#This Row],[DATA/HORA]],"dddd"))</f>
        <v>Segunda-Feira</v>
      </c>
      <c r="D2634" s="3" t="s">
        <v>604</v>
      </c>
      <c r="E2634" s="34" t="str">
        <f>IFERROR(VLOOKUP(tbLOG[[#This Row],[LOGIN]],tbMAPA[#All],2,0), "Não localizado")</f>
        <v>Renan Cazumba Tegani</v>
      </c>
      <c r="F2634" s="34" t="str">
        <f>IFERROR(VLOOKUP(tbLOG[[#This Row],[LOGIN]],tbMAPA[#All],3,0), "Não localizado")</f>
        <v>Reginaldo Santana De Souza</v>
      </c>
      <c r="G2634" s="3" t="s">
        <v>1211</v>
      </c>
      <c r="H2634" s="3" t="s">
        <v>836</v>
      </c>
    </row>
    <row r="2635" spans="1:8">
      <c r="A2635" s="29">
        <v>42751.447523148148</v>
      </c>
      <c r="B2635" s="29" t="str">
        <f>PROPER(TEXT(tbLOG[[#This Row],[DATA/HORA]],"mmmm"))</f>
        <v>Janeiro</v>
      </c>
      <c r="C2635" s="34" t="str">
        <f>PROPER(TEXT(tbLOG[[#This Row],[DATA/HORA]],"dddd"))</f>
        <v>Segunda-Feira</v>
      </c>
      <c r="D2635" s="3" t="s">
        <v>604</v>
      </c>
      <c r="E2635" s="34" t="str">
        <f>IFERROR(VLOOKUP(tbLOG[[#This Row],[LOGIN]],tbMAPA[#All],2,0), "Não localizado")</f>
        <v>Renan Cazumba Tegani</v>
      </c>
      <c r="F2635" s="34" t="str">
        <f>IFERROR(VLOOKUP(tbLOG[[#This Row],[LOGIN]],tbMAPA[#All],3,0), "Não localizado")</f>
        <v>Reginaldo Santana De Souza</v>
      </c>
      <c r="G2635" s="3" t="s">
        <v>1211</v>
      </c>
      <c r="H2635" s="3" t="s">
        <v>836</v>
      </c>
    </row>
    <row r="2636" spans="1:8">
      <c r="A2636" s="29">
        <v>42751.447569444441</v>
      </c>
      <c r="B2636" s="29" t="str">
        <f>PROPER(TEXT(tbLOG[[#This Row],[DATA/HORA]],"mmmm"))</f>
        <v>Janeiro</v>
      </c>
      <c r="C2636" s="34" t="str">
        <f>PROPER(TEXT(tbLOG[[#This Row],[DATA/HORA]],"dddd"))</f>
        <v>Segunda-Feira</v>
      </c>
      <c r="D2636" s="3" t="s">
        <v>604</v>
      </c>
      <c r="E2636" s="34" t="str">
        <f>IFERROR(VLOOKUP(tbLOG[[#This Row],[LOGIN]],tbMAPA[#All],2,0), "Não localizado")</f>
        <v>Renan Cazumba Tegani</v>
      </c>
      <c r="F2636" s="34" t="str">
        <f>IFERROR(VLOOKUP(tbLOG[[#This Row],[LOGIN]],tbMAPA[#All],3,0), "Não localizado")</f>
        <v>Reginaldo Santana De Souza</v>
      </c>
      <c r="G2636" s="3" t="s">
        <v>1211</v>
      </c>
      <c r="H2636" s="3" t="s">
        <v>836</v>
      </c>
    </row>
    <row r="2637" spans="1:8">
      <c r="A2637" s="29">
        <v>42751.452187499999</v>
      </c>
      <c r="B2637" s="29" t="str">
        <f>PROPER(TEXT(tbLOG[[#This Row],[DATA/HORA]],"mmmm"))</f>
        <v>Janeiro</v>
      </c>
      <c r="C2637" s="34" t="str">
        <f>PROPER(TEXT(tbLOG[[#This Row],[DATA/HORA]],"dddd"))</f>
        <v>Segunda-Feira</v>
      </c>
      <c r="D2637" s="3" t="s">
        <v>604</v>
      </c>
      <c r="E2637" s="34" t="str">
        <f>IFERROR(VLOOKUP(tbLOG[[#This Row],[LOGIN]],tbMAPA[#All],2,0), "Não localizado")</f>
        <v>Renan Cazumba Tegani</v>
      </c>
      <c r="F2637" s="34" t="str">
        <f>IFERROR(VLOOKUP(tbLOG[[#This Row],[LOGIN]],tbMAPA[#All],3,0), "Não localizado")</f>
        <v>Reginaldo Santana De Souza</v>
      </c>
      <c r="G2637" s="3" t="s">
        <v>1211</v>
      </c>
      <c r="H2637" s="3" t="s">
        <v>836</v>
      </c>
    </row>
    <row r="2638" spans="1:8">
      <c r="A2638" s="29">
        <v>42751.452199074076</v>
      </c>
      <c r="B2638" s="29" t="str">
        <f>PROPER(TEXT(tbLOG[[#This Row],[DATA/HORA]],"mmmm"))</f>
        <v>Janeiro</v>
      </c>
      <c r="C2638" s="34" t="str">
        <f>PROPER(TEXT(tbLOG[[#This Row],[DATA/HORA]],"dddd"))</f>
        <v>Segunda-Feira</v>
      </c>
      <c r="D2638" s="3" t="s">
        <v>604</v>
      </c>
      <c r="E2638" s="34" t="str">
        <f>IFERROR(VLOOKUP(tbLOG[[#This Row],[LOGIN]],tbMAPA[#All],2,0), "Não localizado")</f>
        <v>Renan Cazumba Tegani</v>
      </c>
      <c r="F2638" s="34" t="str">
        <f>IFERROR(VLOOKUP(tbLOG[[#This Row],[LOGIN]],tbMAPA[#All],3,0), "Não localizado")</f>
        <v>Reginaldo Santana De Souza</v>
      </c>
      <c r="G2638" s="3" t="s">
        <v>1211</v>
      </c>
      <c r="H2638" s="3" t="s">
        <v>836</v>
      </c>
    </row>
    <row r="2639" spans="1:8">
      <c r="A2639" s="29">
        <v>42751.452418981484</v>
      </c>
      <c r="B2639" s="29" t="str">
        <f>PROPER(TEXT(tbLOG[[#This Row],[DATA/HORA]],"mmmm"))</f>
        <v>Janeiro</v>
      </c>
      <c r="C2639" s="34" t="str">
        <f>PROPER(TEXT(tbLOG[[#This Row],[DATA/HORA]],"dddd"))</f>
        <v>Segunda-Feira</v>
      </c>
      <c r="D2639" s="3" t="s">
        <v>604</v>
      </c>
      <c r="E2639" s="34" t="str">
        <f>IFERROR(VLOOKUP(tbLOG[[#This Row],[LOGIN]],tbMAPA[#All],2,0), "Não localizado")</f>
        <v>Renan Cazumba Tegani</v>
      </c>
      <c r="F2639" s="34" t="str">
        <f>IFERROR(VLOOKUP(tbLOG[[#This Row],[LOGIN]],tbMAPA[#All],3,0), "Não localizado")</f>
        <v>Reginaldo Santana De Souza</v>
      </c>
      <c r="G2639" s="3" t="s">
        <v>1211</v>
      </c>
      <c r="H2639" s="3" t="s">
        <v>836</v>
      </c>
    </row>
    <row r="2640" spans="1:8">
      <c r="A2640" s="29">
        <v>42751.452986111108</v>
      </c>
      <c r="B2640" s="29" t="str">
        <f>PROPER(TEXT(tbLOG[[#This Row],[DATA/HORA]],"mmmm"))</f>
        <v>Janeiro</v>
      </c>
      <c r="C2640" s="34" t="str">
        <f>PROPER(TEXT(tbLOG[[#This Row],[DATA/HORA]],"dddd"))</f>
        <v>Segunda-Feira</v>
      </c>
      <c r="D2640" s="3" t="s">
        <v>604</v>
      </c>
      <c r="E2640" s="34" t="str">
        <f>IFERROR(VLOOKUP(tbLOG[[#This Row],[LOGIN]],tbMAPA[#All],2,0), "Não localizado")</f>
        <v>Renan Cazumba Tegani</v>
      </c>
      <c r="F2640" s="34" t="str">
        <f>IFERROR(VLOOKUP(tbLOG[[#This Row],[LOGIN]],tbMAPA[#All],3,0), "Não localizado")</f>
        <v>Reginaldo Santana De Souza</v>
      </c>
      <c r="G2640" s="3" t="s">
        <v>1211</v>
      </c>
      <c r="H2640" s="3" t="s">
        <v>836</v>
      </c>
    </row>
    <row r="2641" spans="1:8">
      <c r="A2641" s="29">
        <v>42751.454305555555</v>
      </c>
      <c r="B2641" s="29" t="str">
        <f>PROPER(TEXT(tbLOG[[#This Row],[DATA/HORA]],"mmmm"))</f>
        <v>Janeiro</v>
      </c>
      <c r="C2641" s="34" t="str">
        <f>PROPER(TEXT(tbLOG[[#This Row],[DATA/HORA]],"dddd"))</f>
        <v>Segunda-Feira</v>
      </c>
      <c r="D2641" s="3" t="s">
        <v>604</v>
      </c>
      <c r="E2641" s="34" t="str">
        <f>IFERROR(VLOOKUP(tbLOG[[#This Row],[LOGIN]],tbMAPA[#All],2,0), "Não localizado")</f>
        <v>Renan Cazumba Tegani</v>
      </c>
      <c r="F2641" s="34" t="str">
        <f>IFERROR(VLOOKUP(tbLOG[[#This Row],[LOGIN]],tbMAPA[#All],3,0), "Não localizado")</f>
        <v>Reginaldo Santana De Souza</v>
      </c>
      <c r="G2641" s="3" t="s">
        <v>1211</v>
      </c>
      <c r="H2641" s="3" t="s">
        <v>836</v>
      </c>
    </row>
    <row r="2642" spans="1:8">
      <c r="A2642" s="29">
        <v>42751.454328703701</v>
      </c>
      <c r="B2642" s="29" t="str">
        <f>PROPER(TEXT(tbLOG[[#This Row],[DATA/HORA]],"mmmm"))</f>
        <v>Janeiro</v>
      </c>
      <c r="C2642" s="34" t="str">
        <f>PROPER(TEXT(tbLOG[[#This Row],[DATA/HORA]],"dddd"))</f>
        <v>Segunda-Feira</v>
      </c>
      <c r="D2642" s="3" t="s">
        <v>604</v>
      </c>
      <c r="E2642" s="34" t="str">
        <f>IFERROR(VLOOKUP(tbLOG[[#This Row],[LOGIN]],tbMAPA[#All],2,0), "Não localizado")</f>
        <v>Renan Cazumba Tegani</v>
      </c>
      <c r="F2642" s="34" t="str">
        <f>IFERROR(VLOOKUP(tbLOG[[#This Row],[LOGIN]],tbMAPA[#All],3,0), "Não localizado")</f>
        <v>Reginaldo Santana De Souza</v>
      </c>
      <c r="G2642" s="3" t="s">
        <v>1211</v>
      </c>
      <c r="H2642" s="3" t="s">
        <v>836</v>
      </c>
    </row>
    <row r="2643" spans="1:8">
      <c r="A2643" s="29">
        <v>42751.454340277778</v>
      </c>
      <c r="B2643" s="29" t="str">
        <f>PROPER(TEXT(tbLOG[[#This Row],[DATA/HORA]],"mmmm"))</f>
        <v>Janeiro</v>
      </c>
      <c r="C2643" s="34" t="str">
        <f>PROPER(TEXT(tbLOG[[#This Row],[DATA/HORA]],"dddd"))</f>
        <v>Segunda-Feira</v>
      </c>
      <c r="D2643" s="3" t="s">
        <v>604</v>
      </c>
      <c r="E2643" s="34" t="str">
        <f>IFERROR(VLOOKUP(tbLOG[[#This Row],[LOGIN]],tbMAPA[#All],2,0), "Não localizado")</f>
        <v>Renan Cazumba Tegani</v>
      </c>
      <c r="F2643" s="34" t="str">
        <f>IFERROR(VLOOKUP(tbLOG[[#This Row],[LOGIN]],tbMAPA[#All],3,0), "Não localizado")</f>
        <v>Reginaldo Santana De Souza</v>
      </c>
      <c r="G2643" s="3" t="s">
        <v>1211</v>
      </c>
      <c r="H2643" s="3" t="s">
        <v>836</v>
      </c>
    </row>
    <row r="2644" spans="1:8">
      <c r="A2644" s="29">
        <v>42751.457939814813</v>
      </c>
      <c r="B2644" s="29" t="str">
        <f>PROPER(TEXT(tbLOG[[#This Row],[DATA/HORA]],"mmmm"))</f>
        <v>Janeiro</v>
      </c>
      <c r="C2644" s="34" t="str">
        <f>PROPER(TEXT(tbLOG[[#This Row],[DATA/HORA]],"dddd"))</f>
        <v>Segunda-Feira</v>
      </c>
      <c r="D2644" s="3" t="s">
        <v>604</v>
      </c>
      <c r="E2644" s="34" t="str">
        <f>IFERROR(VLOOKUP(tbLOG[[#This Row],[LOGIN]],tbMAPA[#All],2,0), "Não localizado")</f>
        <v>Renan Cazumba Tegani</v>
      </c>
      <c r="F2644" s="34" t="str">
        <f>IFERROR(VLOOKUP(tbLOG[[#This Row],[LOGIN]],tbMAPA[#All],3,0), "Não localizado")</f>
        <v>Reginaldo Santana De Souza</v>
      </c>
      <c r="G2644" s="3" t="s">
        <v>1211</v>
      </c>
      <c r="H2644" s="3" t="s">
        <v>836</v>
      </c>
    </row>
    <row r="2645" spans="1:8">
      <c r="A2645" s="29">
        <v>42751.457951388889</v>
      </c>
      <c r="B2645" s="29" t="str">
        <f>PROPER(TEXT(tbLOG[[#This Row],[DATA/HORA]],"mmmm"))</f>
        <v>Janeiro</v>
      </c>
      <c r="C2645" s="34" t="str">
        <f>PROPER(TEXT(tbLOG[[#This Row],[DATA/HORA]],"dddd"))</f>
        <v>Segunda-Feira</v>
      </c>
      <c r="D2645" s="3" t="s">
        <v>604</v>
      </c>
      <c r="E2645" s="34" t="str">
        <f>IFERROR(VLOOKUP(tbLOG[[#This Row],[LOGIN]],tbMAPA[#All],2,0), "Não localizado")</f>
        <v>Renan Cazumba Tegani</v>
      </c>
      <c r="F2645" s="34" t="str">
        <f>IFERROR(VLOOKUP(tbLOG[[#This Row],[LOGIN]],tbMAPA[#All],3,0), "Não localizado")</f>
        <v>Reginaldo Santana De Souza</v>
      </c>
      <c r="G2645" s="3" t="s">
        <v>1211</v>
      </c>
      <c r="H2645" s="3" t="s">
        <v>836</v>
      </c>
    </row>
    <row r="2646" spans="1:8">
      <c r="A2646" s="29">
        <v>42751.458020833335</v>
      </c>
      <c r="B2646" s="29" t="str">
        <f>PROPER(TEXT(tbLOG[[#This Row],[DATA/HORA]],"mmmm"))</f>
        <v>Janeiro</v>
      </c>
      <c r="C2646" s="34" t="str">
        <f>PROPER(TEXT(tbLOG[[#This Row],[DATA/HORA]],"dddd"))</f>
        <v>Segunda-Feira</v>
      </c>
      <c r="D2646" s="3" t="s">
        <v>604</v>
      </c>
      <c r="E2646" s="34" t="str">
        <f>IFERROR(VLOOKUP(tbLOG[[#This Row],[LOGIN]],tbMAPA[#All],2,0), "Não localizado")</f>
        <v>Renan Cazumba Tegani</v>
      </c>
      <c r="F2646" s="34" t="str">
        <f>IFERROR(VLOOKUP(tbLOG[[#This Row],[LOGIN]],tbMAPA[#All],3,0), "Não localizado")</f>
        <v>Reginaldo Santana De Souza</v>
      </c>
      <c r="G2646" s="3" t="s">
        <v>1211</v>
      </c>
      <c r="H2646" s="3" t="s">
        <v>836</v>
      </c>
    </row>
    <row r="2647" spans="1:8">
      <c r="A2647" s="29">
        <v>42751.458148148151</v>
      </c>
      <c r="B2647" s="29" t="str">
        <f>PROPER(TEXT(tbLOG[[#This Row],[DATA/HORA]],"mmmm"))</f>
        <v>Janeiro</v>
      </c>
      <c r="C2647" s="34" t="str">
        <f>PROPER(TEXT(tbLOG[[#This Row],[DATA/HORA]],"dddd"))</f>
        <v>Segunda-Feira</v>
      </c>
      <c r="D2647" s="3" t="s">
        <v>604</v>
      </c>
      <c r="E2647" s="34" t="str">
        <f>IFERROR(VLOOKUP(tbLOG[[#This Row],[LOGIN]],tbMAPA[#All],2,0), "Não localizado")</f>
        <v>Renan Cazumba Tegani</v>
      </c>
      <c r="F2647" s="34" t="str">
        <f>IFERROR(VLOOKUP(tbLOG[[#This Row],[LOGIN]],tbMAPA[#All],3,0), "Não localizado")</f>
        <v>Reginaldo Santana De Souza</v>
      </c>
      <c r="G2647" s="3" t="s">
        <v>1211</v>
      </c>
      <c r="H2647" s="3" t="s">
        <v>290</v>
      </c>
    </row>
    <row r="2648" spans="1:8">
      <c r="A2648" s="29">
        <v>42751.46</v>
      </c>
      <c r="B2648" s="29" t="str">
        <f>PROPER(TEXT(tbLOG[[#This Row],[DATA/HORA]],"mmmm"))</f>
        <v>Janeiro</v>
      </c>
      <c r="C2648" s="34" t="str">
        <f>PROPER(TEXT(tbLOG[[#This Row],[DATA/HORA]],"dddd"))</f>
        <v>Segunda-Feira</v>
      </c>
      <c r="D2648" s="3" t="s">
        <v>604</v>
      </c>
      <c r="E2648" s="34" t="str">
        <f>IFERROR(VLOOKUP(tbLOG[[#This Row],[LOGIN]],tbMAPA[#All],2,0), "Não localizado")</f>
        <v>Renan Cazumba Tegani</v>
      </c>
      <c r="F2648" s="34" t="str">
        <f>IFERROR(VLOOKUP(tbLOG[[#This Row],[LOGIN]],tbMAPA[#All],3,0), "Não localizado")</f>
        <v>Reginaldo Santana De Souza</v>
      </c>
      <c r="G2648" s="3" t="s">
        <v>1211</v>
      </c>
      <c r="H2648" s="3" t="s">
        <v>836</v>
      </c>
    </row>
    <row r="2649" spans="1:8">
      <c r="A2649" s="29">
        <v>42751.460011574076</v>
      </c>
      <c r="B2649" s="29" t="str">
        <f>PROPER(TEXT(tbLOG[[#This Row],[DATA/HORA]],"mmmm"))</f>
        <v>Janeiro</v>
      </c>
      <c r="C2649" s="34" t="str">
        <f>PROPER(TEXT(tbLOG[[#This Row],[DATA/HORA]],"dddd"))</f>
        <v>Segunda-Feira</v>
      </c>
      <c r="D2649" s="3" t="s">
        <v>604</v>
      </c>
      <c r="E2649" s="34" t="str">
        <f>IFERROR(VLOOKUP(tbLOG[[#This Row],[LOGIN]],tbMAPA[#All],2,0), "Não localizado")</f>
        <v>Renan Cazumba Tegani</v>
      </c>
      <c r="F2649" s="34" t="str">
        <f>IFERROR(VLOOKUP(tbLOG[[#This Row],[LOGIN]],tbMAPA[#All],3,0), "Não localizado")</f>
        <v>Reginaldo Santana De Souza</v>
      </c>
      <c r="G2649" s="3" t="s">
        <v>1211</v>
      </c>
      <c r="H2649" s="3" t="s">
        <v>836</v>
      </c>
    </row>
    <row r="2650" spans="1:8">
      <c r="A2650" s="29">
        <v>42751.460046296299</v>
      </c>
      <c r="B2650" s="29" t="str">
        <f>PROPER(TEXT(tbLOG[[#This Row],[DATA/HORA]],"mmmm"))</f>
        <v>Janeiro</v>
      </c>
      <c r="C2650" s="34" t="str">
        <f>PROPER(TEXT(tbLOG[[#This Row],[DATA/HORA]],"dddd"))</f>
        <v>Segunda-Feira</v>
      </c>
      <c r="D2650" s="3" t="s">
        <v>604</v>
      </c>
      <c r="E2650" s="34" t="str">
        <f>IFERROR(VLOOKUP(tbLOG[[#This Row],[LOGIN]],tbMAPA[#All],2,0), "Não localizado")</f>
        <v>Renan Cazumba Tegani</v>
      </c>
      <c r="F2650" s="34" t="str">
        <f>IFERROR(VLOOKUP(tbLOG[[#This Row],[LOGIN]],tbMAPA[#All],3,0), "Não localizado")</f>
        <v>Reginaldo Santana De Souza</v>
      </c>
      <c r="G2650" s="3" t="s">
        <v>1211</v>
      </c>
      <c r="H2650" s="3" t="s">
        <v>836</v>
      </c>
    </row>
    <row r="2651" spans="1:8">
      <c r="A2651" s="29">
        <v>42751.460104166668</v>
      </c>
      <c r="B2651" s="29" t="str">
        <f>PROPER(TEXT(tbLOG[[#This Row],[DATA/HORA]],"mmmm"))</f>
        <v>Janeiro</v>
      </c>
      <c r="C2651" s="34" t="str">
        <f>PROPER(TEXT(tbLOG[[#This Row],[DATA/HORA]],"dddd"))</f>
        <v>Segunda-Feira</v>
      </c>
      <c r="D2651" s="3" t="s">
        <v>604</v>
      </c>
      <c r="E2651" s="34" t="str">
        <f>IFERROR(VLOOKUP(tbLOG[[#This Row],[LOGIN]],tbMAPA[#All],2,0), "Não localizado")</f>
        <v>Renan Cazumba Tegani</v>
      </c>
      <c r="F2651" s="34" t="str">
        <f>IFERROR(VLOOKUP(tbLOG[[#This Row],[LOGIN]],tbMAPA[#All],3,0), "Não localizado")</f>
        <v>Reginaldo Santana De Souza</v>
      </c>
      <c r="G2651" s="3" t="s">
        <v>1211</v>
      </c>
      <c r="H2651" s="3" t="s">
        <v>836</v>
      </c>
    </row>
    <row r="2652" spans="1:8">
      <c r="A2652" s="29">
        <v>42751.460127314815</v>
      </c>
      <c r="B2652" s="29" t="str">
        <f>PROPER(TEXT(tbLOG[[#This Row],[DATA/HORA]],"mmmm"))</f>
        <v>Janeiro</v>
      </c>
      <c r="C2652" s="34" t="str">
        <f>PROPER(TEXT(tbLOG[[#This Row],[DATA/HORA]],"dddd"))</f>
        <v>Segunda-Feira</v>
      </c>
      <c r="D2652" s="3" t="s">
        <v>604</v>
      </c>
      <c r="E2652" s="34" t="str">
        <f>IFERROR(VLOOKUP(tbLOG[[#This Row],[LOGIN]],tbMAPA[#All],2,0), "Não localizado")</f>
        <v>Renan Cazumba Tegani</v>
      </c>
      <c r="F2652" s="34" t="str">
        <f>IFERROR(VLOOKUP(tbLOG[[#This Row],[LOGIN]],tbMAPA[#All],3,0), "Não localizado")</f>
        <v>Reginaldo Santana De Souza</v>
      </c>
      <c r="G2652" s="3" t="s">
        <v>1211</v>
      </c>
      <c r="H2652" s="3" t="s">
        <v>836</v>
      </c>
    </row>
    <row r="2653" spans="1:8">
      <c r="A2653" s="29">
        <v>42751.462534722225</v>
      </c>
      <c r="B2653" s="29" t="str">
        <f>PROPER(TEXT(tbLOG[[#This Row],[DATA/HORA]],"mmmm"))</f>
        <v>Janeiro</v>
      </c>
      <c r="C2653" s="34" t="str">
        <f>PROPER(TEXT(tbLOG[[#This Row],[DATA/HORA]],"dddd"))</f>
        <v>Segunda-Feira</v>
      </c>
      <c r="D2653" s="3" t="s">
        <v>604</v>
      </c>
      <c r="E2653" s="34" t="str">
        <f>IFERROR(VLOOKUP(tbLOG[[#This Row],[LOGIN]],tbMAPA[#All],2,0), "Não localizado")</f>
        <v>Renan Cazumba Tegani</v>
      </c>
      <c r="F2653" s="34" t="str">
        <f>IFERROR(VLOOKUP(tbLOG[[#This Row],[LOGIN]],tbMAPA[#All],3,0), "Não localizado")</f>
        <v>Reginaldo Santana De Souza</v>
      </c>
      <c r="G2653" s="3" t="s">
        <v>1211</v>
      </c>
      <c r="H2653" s="3" t="s">
        <v>836</v>
      </c>
    </row>
    <row r="2654" spans="1:8">
      <c r="A2654" s="29">
        <v>42751.462557870371</v>
      </c>
      <c r="B2654" s="29" t="str">
        <f>PROPER(TEXT(tbLOG[[#This Row],[DATA/HORA]],"mmmm"))</f>
        <v>Janeiro</v>
      </c>
      <c r="C2654" s="34" t="str">
        <f>PROPER(TEXT(tbLOG[[#This Row],[DATA/HORA]],"dddd"))</f>
        <v>Segunda-Feira</v>
      </c>
      <c r="D2654" s="3" t="s">
        <v>604</v>
      </c>
      <c r="E2654" s="34" t="str">
        <f>IFERROR(VLOOKUP(tbLOG[[#This Row],[LOGIN]],tbMAPA[#All],2,0), "Não localizado")</f>
        <v>Renan Cazumba Tegani</v>
      </c>
      <c r="F2654" s="34" t="str">
        <f>IFERROR(VLOOKUP(tbLOG[[#This Row],[LOGIN]],tbMAPA[#All],3,0), "Não localizado")</f>
        <v>Reginaldo Santana De Souza</v>
      </c>
      <c r="G2654" s="3" t="s">
        <v>1211</v>
      </c>
      <c r="H2654" s="3" t="s">
        <v>836</v>
      </c>
    </row>
    <row r="2655" spans="1:8">
      <c r="A2655" s="29">
        <v>42751.462581018517</v>
      </c>
      <c r="B2655" s="29" t="str">
        <f>PROPER(TEXT(tbLOG[[#This Row],[DATA/HORA]],"mmmm"))</f>
        <v>Janeiro</v>
      </c>
      <c r="C2655" s="34" t="str">
        <f>PROPER(TEXT(tbLOG[[#This Row],[DATA/HORA]],"dddd"))</f>
        <v>Segunda-Feira</v>
      </c>
      <c r="D2655" s="3" t="s">
        <v>604</v>
      </c>
      <c r="E2655" s="34" t="str">
        <f>IFERROR(VLOOKUP(tbLOG[[#This Row],[LOGIN]],tbMAPA[#All],2,0), "Não localizado")</f>
        <v>Renan Cazumba Tegani</v>
      </c>
      <c r="F2655" s="34" t="str">
        <f>IFERROR(VLOOKUP(tbLOG[[#This Row],[LOGIN]],tbMAPA[#All],3,0), "Não localizado")</f>
        <v>Reginaldo Santana De Souza</v>
      </c>
      <c r="G2655" s="3" t="s">
        <v>1211</v>
      </c>
      <c r="H2655" s="3" t="s">
        <v>836</v>
      </c>
    </row>
    <row r="2656" spans="1:8">
      <c r="A2656" s="29">
        <v>42751.467222222222</v>
      </c>
      <c r="B2656" s="29" t="str">
        <f>PROPER(TEXT(tbLOG[[#This Row],[DATA/HORA]],"mmmm"))</f>
        <v>Janeiro</v>
      </c>
      <c r="C2656" s="34" t="str">
        <f>PROPER(TEXT(tbLOG[[#This Row],[DATA/HORA]],"dddd"))</f>
        <v>Segunda-Feira</v>
      </c>
      <c r="D2656" s="3" t="s">
        <v>604</v>
      </c>
      <c r="E2656" s="34" t="str">
        <f>IFERROR(VLOOKUP(tbLOG[[#This Row],[LOGIN]],tbMAPA[#All],2,0), "Não localizado")</f>
        <v>Renan Cazumba Tegani</v>
      </c>
      <c r="F2656" s="34" t="str">
        <f>IFERROR(VLOOKUP(tbLOG[[#This Row],[LOGIN]],tbMAPA[#All],3,0), "Não localizado")</f>
        <v>Reginaldo Santana De Souza</v>
      </c>
      <c r="G2656" s="3" t="s">
        <v>1211</v>
      </c>
      <c r="H2656" s="3" t="s">
        <v>836</v>
      </c>
    </row>
    <row r="2657" spans="1:8">
      <c r="A2657" s="29">
        <v>42751.467233796298</v>
      </c>
      <c r="B2657" s="29" t="str">
        <f>PROPER(TEXT(tbLOG[[#This Row],[DATA/HORA]],"mmmm"))</f>
        <v>Janeiro</v>
      </c>
      <c r="C2657" s="34" t="str">
        <f>PROPER(TEXT(tbLOG[[#This Row],[DATA/HORA]],"dddd"))</f>
        <v>Segunda-Feira</v>
      </c>
      <c r="D2657" s="3" t="s">
        <v>604</v>
      </c>
      <c r="E2657" s="34" t="str">
        <f>IFERROR(VLOOKUP(tbLOG[[#This Row],[LOGIN]],tbMAPA[#All],2,0), "Não localizado")</f>
        <v>Renan Cazumba Tegani</v>
      </c>
      <c r="F2657" s="34" t="str">
        <f>IFERROR(VLOOKUP(tbLOG[[#This Row],[LOGIN]],tbMAPA[#All],3,0), "Não localizado")</f>
        <v>Reginaldo Santana De Souza</v>
      </c>
      <c r="G2657" s="3" t="s">
        <v>1211</v>
      </c>
      <c r="H2657" s="3" t="s">
        <v>836</v>
      </c>
    </row>
    <row r="2658" spans="1:8">
      <c r="A2658" s="29">
        <v>42751.467256944445</v>
      </c>
      <c r="B2658" s="29" t="str">
        <f>PROPER(TEXT(tbLOG[[#This Row],[DATA/HORA]],"mmmm"))</f>
        <v>Janeiro</v>
      </c>
      <c r="C2658" s="34" t="str">
        <f>PROPER(TEXT(tbLOG[[#This Row],[DATA/HORA]],"dddd"))</f>
        <v>Segunda-Feira</v>
      </c>
      <c r="D2658" s="3" t="s">
        <v>604</v>
      </c>
      <c r="E2658" s="34" t="str">
        <f>IFERROR(VLOOKUP(tbLOG[[#This Row],[LOGIN]],tbMAPA[#All],2,0), "Não localizado")</f>
        <v>Renan Cazumba Tegani</v>
      </c>
      <c r="F2658" s="34" t="str">
        <f>IFERROR(VLOOKUP(tbLOG[[#This Row],[LOGIN]],tbMAPA[#All],3,0), "Não localizado")</f>
        <v>Reginaldo Santana De Souza</v>
      </c>
      <c r="G2658" s="3" t="s">
        <v>1211</v>
      </c>
      <c r="H2658" s="3" t="s">
        <v>836</v>
      </c>
    </row>
    <row r="2659" spans="1:8">
      <c r="A2659" s="29">
        <v>42751.467314814814</v>
      </c>
      <c r="B2659" s="29" t="str">
        <f>PROPER(TEXT(tbLOG[[#This Row],[DATA/HORA]],"mmmm"))</f>
        <v>Janeiro</v>
      </c>
      <c r="C2659" s="34" t="str">
        <f>PROPER(TEXT(tbLOG[[#This Row],[DATA/HORA]],"dddd"))</f>
        <v>Segunda-Feira</v>
      </c>
      <c r="D2659" s="3" t="s">
        <v>604</v>
      </c>
      <c r="E2659" s="34" t="str">
        <f>IFERROR(VLOOKUP(tbLOG[[#This Row],[LOGIN]],tbMAPA[#All],2,0), "Não localizado")</f>
        <v>Renan Cazumba Tegani</v>
      </c>
      <c r="F2659" s="34" t="str">
        <f>IFERROR(VLOOKUP(tbLOG[[#This Row],[LOGIN]],tbMAPA[#All],3,0), "Não localizado")</f>
        <v>Reginaldo Santana De Souza</v>
      </c>
      <c r="G2659" s="3" t="s">
        <v>1211</v>
      </c>
      <c r="H2659" s="3" t="s">
        <v>836</v>
      </c>
    </row>
    <row r="2660" spans="1:8">
      <c r="A2660" s="29">
        <v>42751.467372685183</v>
      </c>
      <c r="B2660" s="29" t="str">
        <f>PROPER(TEXT(tbLOG[[#This Row],[DATA/HORA]],"mmmm"))</f>
        <v>Janeiro</v>
      </c>
      <c r="C2660" s="34" t="str">
        <f>PROPER(TEXT(tbLOG[[#This Row],[DATA/HORA]],"dddd"))</f>
        <v>Segunda-Feira</v>
      </c>
      <c r="D2660" s="3" t="s">
        <v>604</v>
      </c>
      <c r="E2660" s="34" t="str">
        <f>IFERROR(VLOOKUP(tbLOG[[#This Row],[LOGIN]],tbMAPA[#All],2,0), "Não localizado")</f>
        <v>Renan Cazumba Tegani</v>
      </c>
      <c r="F2660" s="34" t="str">
        <f>IFERROR(VLOOKUP(tbLOG[[#This Row],[LOGIN]],tbMAPA[#All],3,0), "Não localizado")</f>
        <v>Reginaldo Santana De Souza</v>
      </c>
      <c r="G2660" s="3" t="s">
        <v>1211</v>
      </c>
      <c r="H2660" s="3" t="s">
        <v>836</v>
      </c>
    </row>
    <row r="2661" spans="1:8">
      <c r="A2661" s="29">
        <v>42751.47550925926</v>
      </c>
      <c r="B2661" s="29" t="str">
        <f>PROPER(TEXT(tbLOG[[#This Row],[DATA/HORA]],"mmmm"))</f>
        <v>Janeiro</v>
      </c>
      <c r="C2661" s="34" t="str">
        <f>PROPER(TEXT(tbLOG[[#This Row],[DATA/HORA]],"dddd"))</f>
        <v>Segunda-Feira</v>
      </c>
      <c r="D2661" s="3" t="s">
        <v>604</v>
      </c>
      <c r="E2661" s="34" t="str">
        <f>IFERROR(VLOOKUP(tbLOG[[#This Row],[LOGIN]],tbMAPA[#All],2,0), "Não localizado")</f>
        <v>Renan Cazumba Tegani</v>
      </c>
      <c r="F2661" s="34" t="str">
        <f>IFERROR(VLOOKUP(tbLOG[[#This Row],[LOGIN]],tbMAPA[#All],3,0), "Não localizado")</f>
        <v>Reginaldo Santana De Souza</v>
      </c>
      <c r="G2661" s="3" t="s">
        <v>1211</v>
      </c>
      <c r="H2661" s="3" t="s">
        <v>836</v>
      </c>
    </row>
    <row r="2662" spans="1:8">
      <c r="A2662" s="29">
        <v>42751.47552083333</v>
      </c>
      <c r="B2662" s="29" t="str">
        <f>PROPER(TEXT(tbLOG[[#This Row],[DATA/HORA]],"mmmm"))</f>
        <v>Janeiro</v>
      </c>
      <c r="C2662" s="34" t="str">
        <f>PROPER(TEXT(tbLOG[[#This Row],[DATA/HORA]],"dddd"))</f>
        <v>Segunda-Feira</v>
      </c>
      <c r="D2662" s="3" t="s">
        <v>604</v>
      </c>
      <c r="E2662" s="34" t="str">
        <f>IFERROR(VLOOKUP(tbLOG[[#This Row],[LOGIN]],tbMAPA[#All],2,0), "Não localizado")</f>
        <v>Renan Cazumba Tegani</v>
      </c>
      <c r="F2662" s="34" t="str">
        <f>IFERROR(VLOOKUP(tbLOG[[#This Row],[LOGIN]],tbMAPA[#All],3,0), "Não localizado")</f>
        <v>Reginaldo Santana De Souza</v>
      </c>
      <c r="G2662" s="3" t="s">
        <v>1211</v>
      </c>
      <c r="H2662" s="3" t="s">
        <v>836</v>
      </c>
    </row>
    <row r="2663" spans="1:8">
      <c r="A2663" s="29">
        <v>42751.475555555553</v>
      </c>
      <c r="B2663" s="29" t="str">
        <f>PROPER(TEXT(tbLOG[[#This Row],[DATA/HORA]],"mmmm"))</f>
        <v>Janeiro</v>
      </c>
      <c r="C2663" s="34" t="str">
        <f>PROPER(TEXT(tbLOG[[#This Row],[DATA/HORA]],"dddd"))</f>
        <v>Segunda-Feira</v>
      </c>
      <c r="D2663" s="3" t="s">
        <v>604</v>
      </c>
      <c r="E2663" s="34" t="str">
        <f>IFERROR(VLOOKUP(tbLOG[[#This Row],[LOGIN]],tbMAPA[#All],2,0), "Não localizado")</f>
        <v>Renan Cazumba Tegani</v>
      </c>
      <c r="F2663" s="34" t="str">
        <f>IFERROR(VLOOKUP(tbLOG[[#This Row],[LOGIN]],tbMAPA[#All],3,0), "Não localizado")</f>
        <v>Reginaldo Santana De Souza</v>
      </c>
      <c r="G2663" s="3" t="s">
        <v>1211</v>
      </c>
      <c r="H2663" s="3" t="s">
        <v>836</v>
      </c>
    </row>
    <row r="2664" spans="1:8">
      <c r="A2664" s="29">
        <v>42751.477685185186</v>
      </c>
      <c r="B2664" s="29" t="str">
        <f>PROPER(TEXT(tbLOG[[#This Row],[DATA/HORA]],"mmmm"))</f>
        <v>Janeiro</v>
      </c>
      <c r="C2664" s="34" t="str">
        <f>PROPER(TEXT(tbLOG[[#This Row],[DATA/HORA]],"dddd"))</f>
        <v>Segunda-Feira</v>
      </c>
      <c r="D2664" s="3" t="s">
        <v>604</v>
      </c>
      <c r="E2664" s="34" t="str">
        <f>IFERROR(VLOOKUP(tbLOG[[#This Row],[LOGIN]],tbMAPA[#All],2,0), "Não localizado")</f>
        <v>Renan Cazumba Tegani</v>
      </c>
      <c r="F2664" s="34" t="str">
        <f>IFERROR(VLOOKUP(tbLOG[[#This Row],[LOGIN]],tbMAPA[#All],3,0), "Não localizado")</f>
        <v>Reginaldo Santana De Souza</v>
      </c>
      <c r="G2664" s="3" t="s">
        <v>1211</v>
      </c>
      <c r="H2664" s="3" t="s">
        <v>836</v>
      </c>
    </row>
    <row r="2665" spans="1:8">
      <c r="A2665" s="29">
        <v>42751.477696759262</v>
      </c>
      <c r="B2665" s="29" t="str">
        <f>PROPER(TEXT(tbLOG[[#This Row],[DATA/HORA]],"mmmm"))</f>
        <v>Janeiro</v>
      </c>
      <c r="C2665" s="34" t="str">
        <f>PROPER(TEXT(tbLOG[[#This Row],[DATA/HORA]],"dddd"))</f>
        <v>Segunda-Feira</v>
      </c>
      <c r="D2665" s="3" t="s">
        <v>604</v>
      </c>
      <c r="E2665" s="34" t="str">
        <f>IFERROR(VLOOKUP(tbLOG[[#This Row],[LOGIN]],tbMAPA[#All],2,0), "Não localizado")</f>
        <v>Renan Cazumba Tegani</v>
      </c>
      <c r="F2665" s="34" t="str">
        <f>IFERROR(VLOOKUP(tbLOG[[#This Row],[LOGIN]],tbMAPA[#All],3,0), "Não localizado")</f>
        <v>Reginaldo Santana De Souza</v>
      </c>
      <c r="G2665" s="3" t="s">
        <v>1211</v>
      </c>
      <c r="H2665" s="3" t="s">
        <v>836</v>
      </c>
    </row>
    <row r="2666" spans="1:8">
      <c r="A2666" s="29">
        <v>42751.477789351855</v>
      </c>
      <c r="B2666" s="29" t="str">
        <f>PROPER(TEXT(tbLOG[[#This Row],[DATA/HORA]],"mmmm"))</f>
        <v>Janeiro</v>
      </c>
      <c r="C2666" s="34" t="str">
        <f>PROPER(TEXT(tbLOG[[#This Row],[DATA/HORA]],"dddd"))</f>
        <v>Segunda-Feira</v>
      </c>
      <c r="D2666" s="3" t="s">
        <v>604</v>
      </c>
      <c r="E2666" s="34" t="str">
        <f>IFERROR(VLOOKUP(tbLOG[[#This Row],[LOGIN]],tbMAPA[#All],2,0), "Não localizado")</f>
        <v>Renan Cazumba Tegani</v>
      </c>
      <c r="F2666" s="34" t="str">
        <f>IFERROR(VLOOKUP(tbLOG[[#This Row],[LOGIN]],tbMAPA[#All],3,0), "Não localizado")</f>
        <v>Reginaldo Santana De Souza</v>
      </c>
      <c r="G2666" s="3" t="s">
        <v>1211</v>
      </c>
      <c r="H2666" s="3" t="s">
        <v>836</v>
      </c>
    </row>
    <row r="2667" spans="1:8">
      <c r="A2667" s="29">
        <v>42751.477835648147</v>
      </c>
      <c r="B2667" s="29" t="str">
        <f>PROPER(TEXT(tbLOG[[#This Row],[DATA/HORA]],"mmmm"))</f>
        <v>Janeiro</v>
      </c>
      <c r="C2667" s="34" t="str">
        <f>PROPER(TEXT(tbLOG[[#This Row],[DATA/HORA]],"dddd"))</f>
        <v>Segunda-Feira</v>
      </c>
      <c r="D2667" s="3" t="s">
        <v>604</v>
      </c>
      <c r="E2667" s="34" t="str">
        <f>IFERROR(VLOOKUP(tbLOG[[#This Row],[LOGIN]],tbMAPA[#All],2,0), "Não localizado")</f>
        <v>Renan Cazumba Tegani</v>
      </c>
      <c r="F2667" s="34" t="str">
        <f>IFERROR(VLOOKUP(tbLOG[[#This Row],[LOGIN]],tbMAPA[#All],3,0), "Não localizado")</f>
        <v>Reginaldo Santana De Souza</v>
      </c>
      <c r="G2667" s="3" t="s">
        <v>1211</v>
      </c>
      <c r="H2667" s="3" t="s">
        <v>290</v>
      </c>
    </row>
    <row r="2668" spans="1:8">
      <c r="A2668" s="29">
        <v>42751.481666666667</v>
      </c>
      <c r="B2668" s="29" t="str">
        <f>PROPER(TEXT(tbLOG[[#This Row],[DATA/HORA]],"mmmm"))</f>
        <v>Janeiro</v>
      </c>
      <c r="C2668" s="34" t="str">
        <f>PROPER(TEXT(tbLOG[[#This Row],[DATA/HORA]],"dddd"))</f>
        <v>Segunda-Feira</v>
      </c>
      <c r="D2668" s="3" t="s">
        <v>604</v>
      </c>
      <c r="E2668" s="34" t="str">
        <f>IFERROR(VLOOKUP(tbLOG[[#This Row],[LOGIN]],tbMAPA[#All],2,0), "Não localizado")</f>
        <v>Renan Cazumba Tegani</v>
      </c>
      <c r="F2668" s="34" t="str">
        <f>IFERROR(VLOOKUP(tbLOG[[#This Row],[LOGIN]],tbMAPA[#All],3,0), "Não localizado")</f>
        <v>Reginaldo Santana De Souza</v>
      </c>
      <c r="G2668" s="3" t="s">
        <v>1211</v>
      </c>
      <c r="H2668" s="3" t="s">
        <v>836</v>
      </c>
    </row>
    <row r="2669" spans="1:8">
      <c r="A2669" s="29">
        <v>42751.481678240743</v>
      </c>
      <c r="B2669" s="29" t="str">
        <f>PROPER(TEXT(tbLOG[[#This Row],[DATA/HORA]],"mmmm"))</f>
        <v>Janeiro</v>
      </c>
      <c r="C2669" s="34" t="str">
        <f>PROPER(TEXT(tbLOG[[#This Row],[DATA/HORA]],"dddd"))</f>
        <v>Segunda-Feira</v>
      </c>
      <c r="D2669" s="3" t="s">
        <v>604</v>
      </c>
      <c r="E2669" s="34" t="str">
        <f>IFERROR(VLOOKUP(tbLOG[[#This Row],[LOGIN]],tbMAPA[#All],2,0), "Não localizado")</f>
        <v>Renan Cazumba Tegani</v>
      </c>
      <c r="F2669" s="34" t="str">
        <f>IFERROR(VLOOKUP(tbLOG[[#This Row],[LOGIN]],tbMAPA[#All],3,0), "Não localizado")</f>
        <v>Reginaldo Santana De Souza</v>
      </c>
      <c r="G2669" s="3" t="s">
        <v>1211</v>
      </c>
      <c r="H2669" s="3" t="s">
        <v>836</v>
      </c>
    </row>
    <row r="2670" spans="1:8">
      <c r="A2670" s="29">
        <v>42751.481874999998</v>
      </c>
      <c r="B2670" s="29" t="str">
        <f>PROPER(TEXT(tbLOG[[#This Row],[DATA/HORA]],"mmmm"))</f>
        <v>Janeiro</v>
      </c>
      <c r="C2670" s="34" t="str">
        <f>PROPER(TEXT(tbLOG[[#This Row],[DATA/HORA]],"dddd"))</f>
        <v>Segunda-Feira</v>
      </c>
      <c r="D2670" s="3" t="s">
        <v>604</v>
      </c>
      <c r="E2670" s="34" t="str">
        <f>IFERROR(VLOOKUP(tbLOG[[#This Row],[LOGIN]],tbMAPA[#All],2,0), "Não localizado")</f>
        <v>Renan Cazumba Tegani</v>
      </c>
      <c r="F2670" s="34" t="str">
        <f>IFERROR(VLOOKUP(tbLOG[[#This Row],[LOGIN]],tbMAPA[#All],3,0), "Não localizado")</f>
        <v>Reginaldo Santana De Souza</v>
      </c>
      <c r="G2670" s="3" t="s">
        <v>1211</v>
      </c>
      <c r="H2670" s="3" t="s">
        <v>836</v>
      </c>
    </row>
    <row r="2671" spans="1:8">
      <c r="A2671" s="29">
        <v>42751.481932870367</v>
      </c>
      <c r="B2671" s="29" t="str">
        <f>PROPER(TEXT(tbLOG[[#This Row],[DATA/HORA]],"mmmm"))</f>
        <v>Janeiro</v>
      </c>
      <c r="C2671" s="34" t="str">
        <f>PROPER(TEXT(tbLOG[[#This Row],[DATA/HORA]],"dddd"))</f>
        <v>Segunda-Feira</v>
      </c>
      <c r="D2671" s="3" t="s">
        <v>604</v>
      </c>
      <c r="E2671" s="34" t="str">
        <f>IFERROR(VLOOKUP(tbLOG[[#This Row],[LOGIN]],tbMAPA[#All],2,0), "Não localizado")</f>
        <v>Renan Cazumba Tegani</v>
      </c>
      <c r="F2671" s="34" t="str">
        <f>IFERROR(VLOOKUP(tbLOG[[#This Row],[LOGIN]],tbMAPA[#All],3,0), "Não localizado")</f>
        <v>Reginaldo Santana De Souza</v>
      </c>
      <c r="G2671" s="3" t="s">
        <v>1211</v>
      </c>
      <c r="H2671" s="3" t="s">
        <v>836</v>
      </c>
    </row>
    <row r="2672" spans="1:8">
      <c r="A2672" s="29">
        <v>42751.48196759259</v>
      </c>
      <c r="B2672" s="29" t="str">
        <f>PROPER(TEXT(tbLOG[[#This Row],[DATA/HORA]],"mmmm"))</f>
        <v>Janeiro</v>
      </c>
      <c r="C2672" s="34" t="str">
        <f>PROPER(TEXT(tbLOG[[#This Row],[DATA/HORA]],"dddd"))</f>
        <v>Segunda-Feira</v>
      </c>
      <c r="D2672" s="3" t="s">
        <v>604</v>
      </c>
      <c r="E2672" s="34" t="str">
        <f>IFERROR(VLOOKUP(tbLOG[[#This Row],[LOGIN]],tbMAPA[#All],2,0), "Não localizado")</f>
        <v>Renan Cazumba Tegani</v>
      </c>
      <c r="F2672" s="34" t="str">
        <f>IFERROR(VLOOKUP(tbLOG[[#This Row],[LOGIN]],tbMAPA[#All],3,0), "Não localizado")</f>
        <v>Reginaldo Santana De Souza</v>
      </c>
      <c r="G2672" s="3" t="s">
        <v>1211</v>
      </c>
      <c r="H2672" s="3" t="s">
        <v>836</v>
      </c>
    </row>
    <row r="2673" spans="1:8">
      <c r="A2673" s="29">
        <v>42751.48196759259</v>
      </c>
      <c r="B2673" s="29" t="str">
        <f>PROPER(TEXT(tbLOG[[#This Row],[DATA/HORA]],"mmmm"))</f>
        <v>Janeiro</v>
      </c>
      <c r="C2673" s="34" t="str">
        <f>PROPER(TEXT(tbLOG[[#This Row],[DATA/HORA]],"dddd"))</f>
        <v>Segunda-Feira</v>
      </c>
      <c r="D2673" s="3" t="s">
        <v>604</v>
      </c>
      <c r="E2673" s="34" t="str">
        <f>IFERROR(VLOOKUP(tbLOG[[#This Row],[LOGIN]],tbMAPA[#All],2,0), "Não localizado")</f>
        <v>Renan Cazumba Tegani</v>
      </c>
      <c r="F2673" s="34" t="str">
        <f>IFERROR(VLOOKUP(tbLOG[[#This Row],[LOGIN]],tbMAPA[#All],3,0), "Não localizado")</f>
        <v>Reginaldo Santana De Souza</v>
      </c>
      <c r="G2673" s="3" t="s">
        <v>1211</v>
      </c>
      <c r="H2673" s="3" t="s">
        <v>836</v>
      </c>
    </row>
    <row r="2674" spans="1:8">
      <c r="A2674" s="29">
        <v>42751.482025462959</v>
      </c>
      <c r="B2674" s="29" t="str">
        <f>PROPER(TEXT(tbLOG[[#This Row],[DATA/HORA]],"mmmm"))</f>
        <v>Janeiro</v>
      </c>
      <c r="C2674" s="34" t="str">
        <f>PROPER(TEXT(tbLOG[[#This Row],[DATA/HORA]],"dddd"))</f>
        <v>Segunda-Feira</v>
      </c>
      <c r="D2674" s="3" t="s">
        <v>604</v>
      </c>
      <c r="E2674" s="34" t="str">
        <f>IFERROR(VLOOKUP(tbLOG[[#This Row],[LOGIN]],tbMAPA[#All],2,0), "Não localizado")</f>
        <v>Renan Cazumba Tegani</v>
      </c>
      <c r="F2674" s="34" t="str">
        <f>IFERROR(VLOOKUP(tbLOG[[#This Row],[LOGIN]],tbMAPA[#All],3,0), "Não localizado")</f>
        <v>Reginaldo Santana De Souza</v>
      </c>
      <c r="G2674" s="3" t="s">
        <v>1211</v>
      </c>
      <c r="H2674" s="3" t="s">
        <v>836</v>
      </c>
    </row>
    <row r="2675" spans="1:8">
      <c r="A2675" s="29">
        <v>42751.482048611113</v>
      </c>
      <c r="B2675" s="29" t="str">
        <f>PROPER(TEXT(tbLOG[[#This Row],[DATA/HORA]],"mmmm"))</f>
        <v>Janeiro</v>
      </c>
      <c r="C2675" s="34" t="str">
        <f>PROPER(TEXT(tbLOG[[#This Row],[DATA/HORA]],"dddd"))</f>
        <v>Segunda-Feira</v>
      </c>
      <c r="D2675" s="3" t="s">
        <v>604</v>
      </c>
      <c r="E2675" s="34" t="str">
        <f>IFERROR(VLOOKUP(tbLOG[[#This Row],[LOGIN]],tbMAPA[#All],2,0), "Não localizado")</f>
        <v>Renan Cazumba Tegani</v>
      </c>
      <c r="F2675" s="34" t="str">
        <f>IFERROR(VLOOKUP(tbLOG[[#This Row],[LOGIN]],tbMAPA[#All],3,0), "Não localizado")</f>
        <v>Reginaldo Santana De Souza</v>
      </c>
      <c r="G2675" s="3" t="s">
        <v>1211</v>
      </c>
      <c r="H2675" s="3" t="s">
        <v>836</v>
      </c>
    </row>
    <row r="2676" spans="1:8">
      <c r="A2676" s="29">
        <v>42751.484386574077</v>
      </c>
      <c r="B2676" s="29" t="str">
        <f>PROPER(TEXT(tbLOG[[#This Row],[DATA/HORA]],"mmmm"))</f>
        <v>Janeiro</v>
      </c>
      <c r="C2676" s="34" t="str">
        <f>PROPER(TEXT(tbLOG[[#This Row],[DATA/HORA]],"dddd"))</f>
        <v>Segunda-Feira</v>
      </c>
      <c r="D2676" s="3" t="s">
        <v>604</v>
      </c>
      <c r="E2676" s="34" t="str">
        <f>IFERROR(VLOOKUP(tbLOG[[#This Row],[LOGIN]],tbMAPA[#All],2,0), "Não localizado")</f>
        <v>Renan Cazumba Tegani</v>
      </c>
      <c r="F2676" s="34" t="str">
        <f>IFERROR(VLOOKUP(tbLOG[[#This Row],[LOGIN]],tbMAPA[#All],3,0), "Não localizado")</f>
        <v>Reginaldo Santana De Souza</v>
      </c>
      <c r="G2676" s="3" t="s">
        <v>1211</v>
      </c>
      <c r="H2676" s="3" t="s">
        <v>836</v>
      </c>
    </row>
    <row r="2677" spans="1:8">
      <c r="A2677" s="29">
        <v>42751.484409722223</v>
      </c>
      <c r="B2677" s="29" t="str">
        <f>PROPER(TEXT(tbLOG[[#This Row],[DATA/HORA]],"mmmm"))</f>
        <v>Janeiro</v>
      </c>
      <c r="C2677" s="34" t="str">
        <f>PROPER(TEXT(tbLOG[[#This Row],[DATA/HORA]],"dddd"))</f>
        <v>Segunda-Feira</v>
      </c>
      <c r="D2677" s="3" t="s">
        <v>604</v>
      </c>
      <c r="E2677" s="34" t="str">
        <f>IFERROR(VLOOKUP(tbLOG[[#This Row],[LOGIN]],tbMAPA[#All],2,0), "Não localizado")</f>
        <v>Renan Cazumba Tegani</v>
      </c>
      <c r="F2677" s="34" t="str">
        <f>IFERROR(VLOOKUP(tbLOG[[#This Row],[LOGIN]],tbMAPA[#All],3,0), "Não localizado")</f>
        <v>Reginaldo Santana De Souza</v>
      </c>
      <c r="G2677" s="3" t="s">
        <v>1211</v>
      </c>
      <c r="H2677" s="3" t="s">
        <v>836</v>
      </c>
    </row>
    <row r="2678" spans="1:8">
      <c r="A2678" s="29">
        <v>42751.484432870369</v>
      </c>
      <c r="B2678" s="29" t="str">
        <f>PROPER(TEXT(tbLOG[[#This Row],[DATA/HORA]],"mmmm"))</f>
        <v>Janeiro</v>
      </c>
      <c r="C2678" s="34" t="str">
        <f>PROPER(TEXT(tbLOG[[#This Row],[DATA/HORA]],"dddd"))</f>
        <v>Segunda-Feira</v>
      </c>
      <c r="D2678" s="3" t="s">
        <v>604</v>
      </c>
      <c r="E2678" s="34" t="str">
        <f>IFERROR(VLOOKUP(tbLOG[[#This Row],[LOGIN]],tbMAPA[#All],2,0), "Não localizado")</f>
        <v>Renan Cazumba Tegani</v>
      </c>
      <c r="F2678" s="34" t="str">
        <f>IFERROR(VLOOKUP(tbLOG[[#This Row],[LOGIN]],tbMAPA[#All],3,0), "Não localizado")</f>
        <v>Reginaldo Santana De Souza</v>
      </c>
      <c r="G2678" s="3" t="s">
        <v>1211</v>
      </c>
      <c r="H2678" s="3" t="s">
        <v>836</v>
      </c>
    </row>
    <row r="2679" spans="1:8">
      <c r="A2679" s="29">
        <v>42751.487546296295</v>
      </c>
      <c r="B2679" s="29" t="str">
        <f>PROPER(TEXT(tbLOG[[#This Row],[DATA/HORA]],"mmmm"))</f>
        <v>Janeiro</v>
      </c>
      <c r="C2679" s="34" t="str">
        <f>PROPER(TEXT(tbLOG[[#This Row],[DATA/HORA]],"dddd"))</f>
        <v>Segunda-Feira</v>
      </c>
      <c r="D2679" s="3" t="s">
        <v>604</v>
      </c>
      <c r="E2679" s="34" t="str">
        <f>IFERROR(VLOOKUP(tbLOG[[#This Row],[LOGIN]],tbMAPA[#All],2,0), "Não localizado")</f>
        <v>Renan Cazumba Tegani</v>
      </c>
      <c r="F2679" s="34" t="str">
        <f>IFERROR(VLOOKUP(tbLOG[[#This Row],[LOGIN]],tbMAPA[#All],3,0), "Não localizado")</f>
        <v>Reginaldo Santana De Souza</v>
      </c>
      <c r="G2679" s="3" t="s">
        <v>1211</v>
      </c>
      <c r="H2679" s="3" t="s">
        <v>836</v>
      </c>
    </row>
    <row r="2680" spans="1:8">
      <c r="A2680" s="29">
        <v>42751.487569444442</v>
      </c>
      <c r="B2680" s="29" t="str">
        <f>PROPER(TEXT(tbLOG[[#This Row],[DATA/HORA]],"mmmm"))</f>
        <v>Janeiro</v>
      </c>
      <c r="C2680" s="34" t="str">
        <f>PROPER(TEXT(tbLOG[[#This Row],[DATA/HORA]],"dddd"))</f>
        <v>Segunda-Feira</v>
      </c>
      <c r="D2680" s="3" t="s">
        <v>604</v>
      </c>
      <c r="E2680" s="34" t="str">
        <f>IFERROR(VLOOKUP(tbLOG[[#This Row],[LOGIN]],tbMAPA[#All],2,0), "Não localizado")</f>
        <v>Renan Cazumba Tegani</v>
      </c>
      <c r="F2680" s="34" t="str">
        <f>IFERROR(VLOOKUP(tbLOG[[#This Row],[LOGIN]],tbMAPA[#All],3,0), "Não localizado")</f>
        <v>Reginaldo Santana De Souza</v>
      </c>
      <c r="G2680" s="3" t="s">
        <v>1211</v>
      </c>
      <c r="H2680" s="3" t="s">
        <v>836</v>
      </c>
    </row>
    <row r="2681" spans="1:8">
      <c r="A2681" s="29">
        <v>42751.487604166665</v>
      </c>
      <c r="B2681" s="29" t="str">
        <f>PROPER(TEXT(tbLOG[[#This Row],[DATA/HORA]],"mmmm"))</f>
        <v>Janeiro</v>
      </c>
      <c r="C2681" s="34" t="str">
        <f>PROPER(TEXT(tbLOG[[#This Row],[DATA/HORA]],"dddd"))</f>
        <v>Segunda-Feira</v>
      </c>
      <c r="D2681" s="3" t="s">
        <v>604</v>
      </c>
      <c r="E2681" s="34" t="str">
        <f>IFERROR(VLOOKUP(tbLOG[[#This Row],[LOGIN]],tbMAPA[#All],2,0), "Não localizado")</f>
        <v>Renan Cazumba Tegani</v>
      </c>
      <c r="F2681" s="34" t="str">
        <f>IFERROR(VLOOKUP(tbLOG[[#This Row],[LOGIN]],tbMAPA[#All],3,0), "Não localizado")</f>
        <v>Reginaldo Santana De Souza</v>
      </c>
      <c r="G2681" s="3" t="s">
        <v>1211</v>
      </c>
      <c r="H2681" s="3" t="s">
        <v>836</v>
      </c>
    </row>
    <row r="2682" spans="1:8">
      <c r="A2682" s="29">
        <v>42751.491284722222</v>
      </c>
      <c r="B2682" s="29" t="str">
        <f>PROPER(TEXT(tbLOG[[#This Row],[DATA/HORA]],"mmmm"))</f>
        <v>Janeiro</v>
      </c>
      <c r="C2682" s="34" t="str">
        <f>PROPER(TEXT(tbLOG[[#This Row],[DATA/HORA]],"dddd"))</f>
        <v>Segunda-Feira</v>
      </c>
      <c r="D2682" s="3" t="s">
        <v>604</v>
      </c>
      <c r="E2682" s="34" t="str">
        <f>IFERROR(VLOOKUP(tbLOG[[#This Row],[LOGIN]],tbMAPA[#All],2,0), "Não localizado")</f>
        <v>Renan Cazumba Tegani</v>
      </c>
      <c r="F2682" s="34" t="str">
        <f>IFERROR(VLOOKUP(tbLOG[[#This Row],[LOGIN]],tbMAPA[#All],3,0), "Não localizado")</f>
        <v>Reginaldo Santana De Souza</v>
      </c>
      <c r="G2682" s="3" t="s">
        <v>1211</v>
      </c>
      <c r="H2682" s="3" t="s">
        <v>836</v>
      </c>
    </row>
    <row r="2683" spans="1:8">
      <c r="A2683" s="29">
        <v>42751.491307870368</v>
      </c>
      <c r="B2683" s="29" t="str">
        <f>PROPER(TEXT(tbLOG[[#This Row],[DATA/HORA]],"mmmm"))</f>
        <v>Janeiro</v>
      </c>
      <c r="C2683" s="34" t="str">
        <f>PROPER(TEXT(tbLOG[[#This Row],[DATA/HORA]],"dddd"))</f>
        <v>Segunda-Feira</v>
      </c>
      <c r="D2683" s="3" t="s">
        <v>604</v>
      </c>
      <c r="E2683" s="34" t="str">
        <f>IFERROR(VLOOKUP(tbLOG[[#This Row],[LOGIN]],tbMAPA[#All],2,0), "Não localizado")</f>
        <v>Renan Cazumba Tegani</v>
      </c>
      <c r="F2683" s="34" t="str">
        <f>IFERROR(VLOOKUP(tbLOG[[#This Row],[LOGIN]],tbMAPA[#All],3,0), "Não localizado")</f>
        <v>Reginaldo Santana De Souza</v>
      </c>
      <c r="G2683" s="3" t="s">
        <v>1211</v>
      </c>
      <c r="H2683" s="3" t="s">
        <v>836</v>
      </c>
    </row>
    <row r="2684" spans="1:8">
      <c r="A2684" s="29">
        <v>42751.491331018522</v>
      </c>
      <c r="B2684" s="29" t="str">
        <f>PROPER(TEXT(tbLOG[[#This Row],[DATA/HORA]],"mmmm"))</f>
        <v>Janeiro</v>
      </c>
      <c r="C2684" s="34" t="str">
        <f>PROPER(TEXT(tbLOG[[#This Row],[DATA/HORA]],"dddd"))</f>
        <v>Segunda-Feira</v>
      </c>
      <c r="D2684" s="3" t="s">
        <v>604</v>
      </c>
      <c r="E2684" s="34" t="str">
        <f>IFERROR(VLOOKUP(tbLOG[[#This Row],[LOGIN]],tbMAPA[#All],2,0), "Não localizado")</f>
        <v>Renan Cazumba Tegani</v>
      </c>
      <c r="F2684" s="34" t="str">
        <f>IFERROR(VLOOKUP(tbLOG[[#This Row],[LOGIN]],tbMAPA[#All],3,0), "Não localizado")</f>
        <v>Reginaldo Santana De Souza</v>
      </c>
      <c r="G2684" s="3" t="s">
        <v>1211</v>
      </c>
      <c r="H2684" s="3" t="s">
        <v>836</v>
      </c>
    </row>
    <row r="2685" spans="1:8">
      <c r="A2685" s="29">
        <v>42751.491388888891</v>
      </c>
      <c r="B2685" s="29" t="str">
        <f>PROPER(TEXT(tbLOG[[#This Row],[DATA/HORA]],"mmmm"))</f>
        <v>Janeiro</v>
      </c>
      <c r="C2685" s="34" t="str">
        <f>PROPER(TEXT(tbLOG[[#This Row],[DATA/HORA]],"dddd"))</f>
        <v>Segunda-Feira</v>
      </c>
      <c r="D2685" s="3" t="s">
        <v>604</v>
      </c>
      <c r="E2685" s="34" t="str">
        <f>IFERROR(VLOOKUP(tbLOG[[#This Row],[LOGIN]],tbMAPA[#All],2,0), "Não localizado")</f>
        <v>Renan Cazumba Tegani</v>
      </c>
      <c r="F2685" s="34" t="str">
        <f>IFERROR(VLOOKUP(tbLOG[[#This Row],[LOGIN]],tbMAPA[#All],3,0), "Não localizado")</f>
        <v>Reginaldo Santana De Souza</v>
      </c>
      <c r="G2685" s="3" t="s">
        <v>1211</v>
      </c>
      <c r="H2685" s="3" t="s">
        <v>836</v>
      </c>
    </row>
    <row r="2686" spans="1:8">
      <c r="A2686" s="29">
        <v>42751.491423611114</v>
      </c>
      <c r="B2686" s="29" t="str">
        <f>PROPER(TEXT(tbLOG[[#This Row],[DATA/HORA]],"mmmm"))</f>
        <v>Janeiro</v>
      </c>
      <c r="C2686" s="34" t="str">
        <f>PROPER(TEXT(tbLOG[[#This Row],[DATA/HORA]],"dddd"))</f>
        <v>Segunda-Feira</v>
      </c>
      <c r="D2686" s="3" t="s">
        <v>604</v>
      </c>
      <c r="E2686" s="34" t="str">
        <f>IFERROR(VLOOKUP(tbLOG[[#This Row],[LOGIN]],tbMAPA[#All],2,0), "Não localizado")</f>
        <v>Renan Cazumba Tegani</v>
      </c>
      <c r="F2686" s="34" t="str">
        <f>IFERROR(VLOOKUP(tbLOG[[#This Row],[LOGIN]],tbMAPA[#All],3,0), "Não localizado")</f>
        <v>Reginaldo Santana De Souza</v>
      </c>
      <c r="G2686" s="3" t="s">
        <v>1211</v>
      </c>
      <c r="H2686" s="3" t="s">
        <v>836</v>
      </c>
    </row>
    <row r="2687" spans="1:8">
      <c r="A2687" s="29">
        <v>42751.493206018517</v>
      </c>
      <c r="B2687" s="29" t="str">
        <f>PROPER(TEXT(tbLOG[[#This Row],[DATA/HORA]],"mmmm"))</f>
        <v>Janeiro</v>
      </c>
      <c r="C2687" s="34" t="str">
        <f>PROPER(TEXT(tbLOG[[#This Row],[DATA/HORA]],"dddd"))</f>
        <v>Segunda-Feira</v>
      </c>
      <c r="D2687" s="3" t="s">
        <v>604</v>
      </c>
      <c r="E2687" s="34" t="str">
        <f>IFERROR(VLOOKUP(tbLOG[[#This Row],[LOGIN]],tbMAPA[#All],2,0), "Não localizado")</f>
        <v>Renan Cazumba Tegani</v>
      </c>
      <c r="F2687" s="34" t="str">
        <f>IFERROR(VLOOKUP(tbLOG[[#This Row],[LOGIN]],tbMAPA[#All],3,0), "Não localizado")</f>
        <v>Reginaldo Santana De Souza</v>
      </c>
      <c r="G2687" s="3" t="s">
        <v>1211</v>
      </c>
      <c r="H2687" s="3" t="s">
        <v>836</v>
      </c>
    </row>
    <row r="2688" spans="1:8">
      <c r="A2688" s="29">
        <v>42751.493344907409</v>
      </c>
      <c r="B2688" s="29" t="str">
        <f>PROPER(TEXT(tbLOG[[#This Row],[DATA/HORA]],"mmmm"))</f>
        <v>Janeiro</v>
      </c>
      <c r="C2688" s="34" t="str">
        <f>PROPER(TEXT(tbLOG[[#This Row],[DATA/HORA]],"dddd"))</f>
        <v>Segunda-Feira</v>
      </c>
      <c r="D2688" s="3" t="s">
        <v>604</v>
      </c>
      <c r="E2688" s="34" t="str">
        <f>IFERROR(VLOOKUP(tbLOG[[#This Row],[LOGIN]],tbMAPA[#All],2,0), "Não localizado")</f>
        <v>Renan Cazumba Tegani</v>
      </c>
      <c r="F2688" s="34" t="str">
        <f>IFERROR(VLOOKUP(tbLOG[[#This Row],[LOGIN]],tbMAPA[#All],3,0), "Não localizado")</f>
        <v>Reginaldo Santana De Souza</v>
      </c>
      <c r="G2688" s="3" t="s">
        <v>1211</v>
      </c>
      <c r="H2688" s="3" t="s">
        <v>836</v>
      </c>
    </row>
    <row r="2689" spans="1:8">
      <c r="A2689" s="29">
        <v>42751.493530092594</v>
      </c>
      <c r="B2689" s="29" t="str">
        <f>PROPER(TEXT(tbLOG[[#This Row],[DATA/HORA]],"mmmm"))</f>
        <v>Janeiro</v>
      </c>
      <c r="C2689" s="34" t="str">
        <f>PROPER(TEXT(tbLOG[[#This Row],[DATA/HORA]],"dddd"))</f>
        <v>Segunda-Feira</v>
      </c>
      <c r="D2689" s="3" t="s">
        <v>604</v>
      </c>
      <c r="E2689" s="34" t="str">
        <f>IFERROR(VLOOKUP(tbLOG[[#This Row],[LOGIN]],tbMAPA[#All],2,0), "Não localizado")</f>
        <v>Renan Cazumba Tegani</v>
      </c>
      <c r="F2689" s="34" t="str">
        <f>IFERROR(VLOOKUP(tbLOG[[#This Row],[LOGIN]],tbMAPA[#All],3,0), "Não localizado")</f>
        <v>Reginaldo Santana De Souza</v>
      </c>
      <c r="G2689" s="3" t="s">
        <v>1211</v>
      </c>
      <c r="H2689" s="3" t="s">
        <v>836</v>
      </c>
    </row>
    <row r="2690" spans="1:8">
      <c r="A2690" s="29">
        <v>42751.497060185182</v>
      </c>
      <c r="B2690" s="29" t="str">
        <f>PROPER(TEXT(tbLOG[[#This Row],[DATA/HORA]],"mmmm"))</f>
        <v>Janeiro</v>
      </c>
      <c r="C2690" s="34" t="str">
        <f>PROPER(TEXT(tbLOG[[#This Row],[DATA/HORA]],"dddd"))</f>
        <v>Segunda-Feira</v>
      </c>
      <c r="D2690" s="3" t="s">
        <v>604</v>
      </c>
      <c r="E2690" s="34" t="str">
        <f>IFERROR(VLOOKUP(tbLOG[[#This Row],[LOGIN]],tbMAPA[#All],2,0), "Não localizado")</f>
        <v>Renan Cazumba Tegani</v>
      </c>
      <c r="F2690" s="34" t="str">
        <f>IFERROR(VLOOKUP(tbLOG[[#This Row],[LOGIN]],tbMAPA[#All],3,0), "Não localizado")</f>
        <v>Reginaldo Santana De Souza</v>
      </c>
      <c r="G2690" s="3" t="s">
        <v>1211</v>
      </c>
      <c r="H2690" s="3" t="s">
        <v>309</v>
      </c>
    </row>
    <row r="2691" spans="1:8">
      <c r="A2691" s="29">
        <v>42751.497060185182</v>
      </c>
      <c r="B2691" s="29" t="str">
        <f>PROPER(TEXT(tbLOG[[#This Row],[DATA/HORA]],"mmmm"))</f>
        <v>Janeiro</v>
      </c>
      <c r="C2691" s="34" t="str">
        <f>PROPER(TEXT(tbLOG[[#This Row],[DATA/HORA]],"dddd"))</f>
        <v>Segunda-Feira</v>
      </c>
      <c r="D2691" s="3" t="s">
        <v>604</v>
      </c>
      <c r="E2691" s="34" t="str">
        <f>IFERROR(VLOOKUP(tbLOG[[#This Row],[LOGIN]],tbMAPA[#All],2,0), "Não localizado")</f>
        <v>Renan Cazumba Tegani</v>
      </c>
      <c r="F2691" s="34" t="str">
        <f>IFERROR(VLOOKUP(tbLOG[[#This Row],[LOGIN]],tbMAPA[#All],3,0), "Não localizado")</f>
        <v>Reginaldo Santana De Souza</v>
      </c>
      <c r="G2691" s="3" t="s">
        <v>1211</v>
      </c>
      <c r="H2691" s="3" t="s">
        <v>310</v>
      </c>
    </row>
    <row r="2692" spans="1:8">
      <c r="A2692" s="29">
        <v>42751.497118055559</v>
      </c>
      <c r="B2692" s="29" t="str">
        <f>PROPER(TEXT(tbLOG[[#This Row],[DATA/HORA]],"mmmm"))</f>
        <v>Janeiro</v>
      </c>
      <c r="C2692" s="34" t="str">
        <f>PROPER(TEXT(tbLOG[[#This Row],[DATA/HORA]],"dddd"))</f>
        <v>Segunda-Feira</v>
      </c>
      <c r="D2692" s="3" t="s">
        <v>604</v>
      </c>
      <c r="E2692" s="34" t="str">
        <f>IFERROR(VLOOKUP(tbLOG[[#This Row],[LOGIN]],tbMAPA[#All],2,0), "Não localizado")</f>
        <v>Renan Cazumba Tegani</v>
      </c>
      <c r="F2692" s="34" t="str">
        <f>IFERROR(VLOOKUP(tbLOG[[#This Row],[LOGIN]],tbMAPA[#All],3,0), "Não localizado")</f>
        <v>Reginaldo Santana De Souza</v>
      </c>
      <c r="G2692" s="3" t="s">
        <v>1211</v>
      </c>
      <c r="H2692" s="3" t="s">
        <v>309</v>
      </c>
    </row>
    <row r="2693" spans="1:8">
      <c r="A2693" s="29">
        <v>42751.497118055559</v>
      </c>
      <c r="B2693" s="29" t="str">
        <f>PROPER(TEXT(tbLOG[[#This Row],[DATA/HORA]],"mmmm"))</f>
        <v>Janeiro</v>
      </c>
      <c r="C2693" s="34" t="str">
        <f>PROPER(TEXT(tbLOG[[#This Row],[DATA/HORA]],"dddd"))</f>
        <v>Segunda-Feira</v>
      </c>
      <c r="D2693" s="3" t="s">
        <v>604</v>
      </c>
      <c r="E2693" s="34" t="str">
        <f>IFERROR(VLOOKUP(tbLOG[[#This Row],[LOGIN]],tbMAPA[#All],2,0), "Não localizado")</f>
        <v>Renan Cazumba Tegani</v>
      </c>
      <c r="F2693" s="34" t="str">
        <f>IFERROR(VLOOKUP(tbLOG[[#This Row],[LOGIN]],tbMAPA[#All],3,0), "Não localizado")</f>
        <v>Reginaldo Santana De Souza</v>
      </c>
      <c r="G2693" s="3" t="s">
        <v>1211</v>
      </c>
      <c r="H2693" s="3" t="s">
        <v>309</v>
      </c>
    </row>
    <row r="2694" spans="1:8">
      <c r="A2694" s="29">
        <v>42751.497118055559</v>
      </c>
      <c r="B2694" s="29" t="str">
        <f>PROPER(TEXT(tbLOG[[#This Row],[DATA/HORA]],"mmmm"))</f>
        <v>Janeiro</v>
      </c>
      <c r="C2694" s="34" t="str">
        <f>PROPER(TEXT(tbLOG[[#This Row],[DATA/HORA]],"dddd"))</f>
        <v>Segunda-Feira</v>
      </c>
      <c r="D2694" s="3" t="s">
        <v>604</v>
      </c>
      <c r="E2694" s="34" t="str">
        <f>IFERROR(VLOOKUP(tbLOG[[#This Row],[LOGIN]],tbMAPA[#All],2,0), "Não localizado")</f>
        <v>Renan Cazumba Tegani</v>
      </c>
      <c r="F2694" s="34" t="str">
        <f>IFERROR(VLOOKUP(tbLOG[[#This Row],[LOGIN]],tbMAPA[#All],3,0), "Não localizado")</f>
        <v>Reginaldo Santana De Souza</v>
      </c>
      <c r="G2694" s="3" t="s">
        <v>1211</v>
      </c>
      <c r="H2694" s="3" t="s">
        <v>314</v>
      </c>
    </row>
    <row r="2695" spans="1:8">
      <c r="A2695" s="29">
        <v>42751.502986111111</v>
      </c>
      <c r="B2695" s="29" t="str">
        <f>PROPER(TEXT(tbLOG[[#This Row],[DATA/HORA]],"mmmm"))</f>
        <v>Janeiro</v>
      </c>
      <c r="C2695" s="34" t="str">
        <f>PROPER(TEXT(tbLOG[[#This Row],[DATA/HORA]],"dddd"))</f>
        <v>Segunda-Feira</v>
      </c>
      <c r="D2695" s="3" t="s">
        <v>604</v>
      </c>
      <c r="E2695" s="34" t="str">
        <f>IFERROR(VLOOKUP(tbLOG[[#This Row],[LOGIN]],tbMAPA[#All],2,0), "Não localizado")</f>
        <v>Renan Cazumba Tegani</v>
      </c>
      <c r="F2695" s="34" t="str">
        <f>IFERROR(VLOOKUP(tbLOG[[#This Row],[LOGIN]],tbMAPA[#All],3,0), "Não localizado")</f>
        <v>Reginaldo Santana De Souza</v>
      </c>
      <c r="G2695" s="3" t="s">
        <v>1211</v>
      </c>
      <c r="H2695" s="3" t="s">
        <v>836</v>
      </c>
    </row>
    <row r="2696" spans="1:8">
      <c r="A2696" s="29">
        <v>42751.503009259257</v>
      </c>
      <c r="B2696" s="29" t="str">
        <f>PROPER(TEXT(tbLOG[[#This Row],[DATA/HORA]],"mmmm"))</f>
        <v>Janeiro</v>
      </c>
      <c r="C2696" s="34" t="str">
        <f>PROPER(TEXT(tbLOG[[#This Row],[DATA/HORA]],"dddd"))</f>
        <v>Segunda-Feira</v>
      </c>
      <c r="D2696" s="3" t="s">
        <v>604</v>
      </c>
      <c r="E2696" s="34" t="str">
        <f>IFERROR(VLOOKUP(tbLOG[[#This Row],[LOGIN]],tbMAPA[#All],2,0), "Não localizado")</f>
        <v>Renan Cazumba Tegani</v>
      </c>
      <c r="F2696" s="34" t="str">
        <f>IFERROR(VLOOKUP(tbLOG[[#This Row],[LOGIN]],tbMAPA[#All],3,0), "Não localizado")</f>
        <v>Reginaldo Santana De Souza</v>
      </c>
      <c r="G2696" s="3" t="s">
        <v>1211</v>
      </c>
      <c r="H2696" s="3" t="s">
        <v>836</v>
      </c>
    </row>
    <row r="2697" spans="1:8">
      <c r="A2697" s="29">
        <v>42751.50304398148</v>
      </c>
      <c r="B2697" s="29" t="str">
        <f>PROPER(TEXT(tbLOG[[#This Row],[DATA/HORA]],"mmmm"))</f>
        <v>Janeiro</v>
      </c>
      <c r="C2697" s="34" t="str">
        <f>PROPER(TEXT(tbLOG[[#This Row],[DATA/HORA]],"dddd"))</f>
        <v>Segunda-Feira</v>
      </c>
      <c r="D2697" s="3" t="s">
        <v>604</v>
      </c>
      <c r="E2697" s="34" t="str">
        <f>IFERROR(VLOOKUP(tbLOG[[#This Row],[LOGIN]],tbMAPA[#All],2,0), "Não localizado")</f>
        <v>Renan Cazumba Tegani</v>
      </c>
      <c r="F2697" s="34" t="str">
        <f>IFERROR(VLOOKUP(tbLOG[[#This Row],[LOGIN]],tbMAPA[#All],3,0), "Não localizado")</f>
        <v>Reginaldo Santana De Souza</v>
      </c>
      <c r="G2697" s="3" t="s">
        <v>1211</v>
      </c>
      <c r="H2697" s="3" t="s">
        <v>836</v>
      </c>
    </row>
    <row r="2698" spans="1:8">
      <c r="A2698" s="29">
        <v>42751.509155092594</v>
      </c>
      <c r="B2698" s="29" t="str">
        <f>PROPER(TEXT(tbLOG[[#This Row],[DATA/HORA]],"mmmm"))</f>
        <v>Janeiro</v>
      </c>
      <c r="C2698" s="34" t="str">
        <f>PROPER(TEXT(tbLOG[[#This Row],[DATA/HORA]],"dddd"))</f>
        <v>Segunda-Feira</v>
      </c>
      <c r="D2698" s="3" t="s">
        <v>604</v>
      </c>
      <c r="E2698" s="34" t="str">
        <f>IFERROR(VLOOKUP(tbLOG[[#This Row],[LOGIN]],tbMAPA[#All],2,0), "Não localizado")</f>
        <v>Renan Cazumba Tegani</v>
      </c>
      <c r="F2698" s="34" t="str">
        <f>IFERROR(VLOOKUP(tbLOG[[#This Row],[LOGIN]],tbMAPA[#All],3,0), "Não localizado")</f>
        <v>Reginaldo Santana De Souza</v>
      </c>
      <c r="G2698" s="3" t="s">
        <v>1211</v>
      </c>
      <c r="H2698" s="3" t="s">
        <v>836</v>
      </c>
    </row>
    <row r="2699" spans="1:8">
      <c r="A2699" s="29">
        <v>42751.509166666663</v>
      </c>
      <c r="B2699" s="29" t="str">
        <f>PROPER(TEXT(tbLOG[[#This Row],[DATA/HORA]],"mmmm"))</f>
        <v>Janeiro</v>
      </c>
      <c r="C2699" s="34" t="str">
        <f>PROPER(TEXT(tbLOG[[#This Row],[DATA/HORA]],"dddd"))</f>
        <v>Segunda-Feira</v>
      </c>
      <c r="D2699" s="3" t="s">
        <v>604</v>
      </c>
      <c r="E2699" s="34" t="str">
        <f>IFERROR(VLOOKUP(tbLOG[[#This Row],[LOGIN]],tbMAPA[#All],2,0), "Não localizado")</f>
        <v>Renan Cazumba Tegani</v>
      </c>
      <c r="F2699" s="34" t="str">
        <f>IFERROR(VLOOKUP(tbLOG[[#This Row],[LOGIN]],tbMAPA[#All],3,0), "Não localizado")</f>
        <v>Reginaldo Santana De Souza</v>
      </c>
      <c r="G2699" s="3" t="s">
        <v>1211</v>
      </c>
      <c r="H2699" s="3" t="s">
        <v>836</v>
      </c>
    </row>
    <row r="2700" spans="1:8">
      <c r="A2700" s="29">
        <v>42751.509201388886</v>
      </c>
      <c r="B2700" s="29" t="str">
        <f>PROPER(TEXT(tbLOG[[#This Row],[DATA/HORA]],"mmmm"))</f>
        <v>Janeiro</v>
      </c>
      <c r="C2700" s="34" t="str">
        <f>PROPER(TEXT(tbLOG[[#This Row],[DATA/HORA]],"dddd"))</f>
        <v>Segunda-Feira</v>
      </c>
      <c r="D2700" s="3" t="s">
        <v>604</v>
      </c>
      <c r="E2700" s="34" t="str">
        <f>IFERROR(VLOOKUP(tbLOG[[#This Row],[LOGIN]],tbMAPA[#All],2,0), "Não localizado")</f>
        <v>Renan Cazumba Tegani</v>
      </c>
      <c r="F2700" s="34" t="str">
        <f>IFERROR(VLOOKUP(tbLOG[[#This Row],[LOGIN]],tbMAPA[#All],3,0), "Não localizado")</f>
        <v>Reginaldo Santana De Souza</v>
      </c>
      <c r="G2700" s="3" t="s">
        <v>1211</v>
      </c>
      <c r="H2700" s="3" t="s">
        <v>836</v>
      </c>
    </row>
    <row r="2701" spans="1:8">
      <c r="A2701" s="29">
        <v>42751.510520833333</v>
      </c>
      <c r="B2701" s="29" t="str">
        <f>PROPER(TEXT(tbLOG[[#This Row],[DATA/HORA]],"mmmm"))</f>
        <v>Janeiro</v>
      </c>
      <c r="C2701" s="34" t="str">
        <f>PROPER(TEXT(tbLOG[[#This Row],[DATA/HORA]],"dddd"))</f>
        <v>Segunda-Feira</v>
      </c>
      <c r="D2701" s="3" t="s">
        <v>604</v>
      </c>
      <c r="E2701" s="34" t="str">
        <f>IFERROR(VLOOKUP(tbLOG[[#This Row],[LOGIN]],tbMAPA[#All],2,0), "Não localizado")</f>
        <v>Renan Cazumba Tegani</v>
      </c>
      <c r="F2701" s="34" t="str">
        <f>IFERROR(VLOOKUP(tbLOG[[#This Row],[LOGIN]],tbMAPA[#All],3,0), "Não localizado")</f>
        <v>Reginaldo Santana De Souza</v>
      </c>
      <c r="G2701" s="3" t="s">
        <v>1211</v>
      </c>
      <c r="H2701" s="3" t="s">
        <v>836</v>
      </c>
    </row>
    <row r="2702" spans="1:8">
      <c r="A2702" s="29">
        <v>42751.51053240741</v>
      </c>
      <c r="B2702" s="29" t="str">
        <f>PROPER(TEXT(tbLOG[[#This Row],[DATA/HORA]],"mmmm"))</f>
        <v>Janeiro</v>
      </c>
      <c r="C2702" s="34" t="str">
        <f>PROPER(TEXT(tbLOG[[#This Row],[DATA/HORA]],"dddd"))</f>
        <v>Segunda-Feira</v>
      </c>
      <c r="D2702" s="3" t="s">
        <v>604</v>
      </c>
      <c r="E2702" s="34" t="str">
        <f>IFERROR(VLOOKUP(tbLOG[[#This Row],[LOGIN]],tbMAPA[#All],2,0), "Não localizado")</f>
        <v>Renan Cazumba Tegani</v>
      </c>
      <c r="F2702" s="34" t="str">
        <f>IFERROR(VLOOKUP(tbLOG[[#This Row],[LOGIN]],tbMAPA[#All],3,0), "Não localizado")</f>
        <v>Reginaldo Santana De Souza</v>
      </c>
      <c r="G2702" s="3" t="s">
        <v>1211</v>
      </c>
      <c r="H2702" s="3" t="s">
        <v>836</v>
      </c>
    </row>
    <row r="2703" spans="1:8">
      <c r="A2703" s="29">
        <v>42751.510567129626</v>
      </c>
      <c r="B2703" s="29" t="str">
        <f>PROPER(TEXT(tbLOG[[#This Row],[DATA/HORA]],"mmmm"))</f>
        <v>Janeiro</v>
      </c>
      <c r="C2703" s="34" t="str">
        <f>PROPER(TEXT(tbLOG[[#This Row],[DATA/HORA]],"dddd"))</f>
        <v>Segunda-Feira</v>
      </c>
      <c r="D2703" s="3" t="s">
        <v>604</v>
      </c>
      <c r="E2703" s="34" t="str">
        <f>IFERROR(VLOOKUP(tbLOG[[#This Row],[LOGIN]],tbMAPA[#All],2,0), "Não localizado")</f>
        <v>Renan Cazumba Tegani</v>
      </c>
      <c r="F2703" s="34" t="str">
        <f>IFERROR(VLOOKUP(tbLOG[[#This Row],[LOGIN]],tbMAPA[#All],3,0), "Não localizado")</f>
        <v>Reginaldo Santana De Souza</v>
      </c>
      <c r="G2703" s="3" t="s">
        <v>1211</v>
      </c>
      <c r="H2703" s="3" t="s">
        <v>836</v>
      </c>
    </row>
    <row r="2704" spans="1:8">
      <c r="A2704" s="29">
        <v>42751.513726851852</v>
      </c>
      <c r="B2704" s="29" t="str">
        <f>PROPER(TEXT(tbLOG[[#This Row],[DATA/HORA]],"mmmm"))</f>
        <v>Janeiro</v>
      </c>
      <c r="C2704" s="34" t="str">
        <f>PROPER(TEXT(tbLOG[[#This Row],[DATA/HORA]],"dddd"))</f>
        <v>Segunda-Feira</v>
      </c>
      <c r="D2704" s="3" t="s">
        <v>604</v>
      </c>
      <c r="E2704" s="34" t="str">
        <f>IFERROR(VLOOKUP(tbLOG[[#This Row],[LOGIN]],tbMAPA[#All],2,0), "Não localizado")</f>
        <v>Renan Cazumba Tegani</v>
      </c>
      <c r="F2704" s="34" t="str">
        <f>IFERROR(VLOOKUP(tbLOG[[#This Row],[LOGIN]],tbMAPA[#All],3,0), "Não localizado")</f>
        <v>Reginaldo Santana De Souza</v>
      </c>
      <c r="G2704" s="3" t="s">
        <v>1211</v>
      </c>
      <c r="H2704" s="3" t="s">
        <v>836</v>
      </c>
    </row>
    <row r="2705" spans="1:8">
      <c r="A2705" s="29">
        <v>42751.515787037039</v>
      </c>
      <c r="B2705" s="29" t="str">
        <f>PROPER(TEXT(tbLOG[[#This Row],[DATA/HORA]],"mmmm"))</f>
        <v>Janeiro</v>
      </c>
      <c r="C2705" s="34" t="str">
        <f>PROPER(TEXT(tbLOG[[#This Row],[DATA/HORA]],"dddd"))</f>
        <v>Segunda-Feira</v>
      </c>
      <c r="D2705" s="3" t="s">
        <v>604</v>
      </c>
      <c r="E2705" s="34" t="str">
        <f>IFERROR(VLOOKUP(tbLOG[[#This Row],[LOGIN]],tbMAPA[#All],2,0), "Não localizado")</f>
        <v>Renan Cazumba Tegani</v>
      </c>
      <c r="F2705" s="34" t="str">
        <f>IFERROR(VLOOKUP(tbLOG[[#This Row],[LOGIN]],tbMAPA[#All],3,0), "Não localizado")</f>
        <v>Reginaldo Santana De Souza</v>
      </c>
      <c r="G2705" s="3" t="s">
        <v>1211</v>
      </c>
      <c r="H2705" s="3" t="s">
        <v>836</v>
      </c>
    </row>
    <row r="2706" spans="1:8">
      <c r="A2706" s="29">
        <v>42751.515810185185</v>
      </c>
      <c r="B2706" s="29" t="str">
        <f>PROPER(TEXT(tbLOG[[#This Row],[DATA/HORA]],"mmmm"))</f>
        <v>Janeiro</v>
      </c>
      <c r="C2706" s="34" t="str">
        <f>PROPER(TEXT(tbLOG[[#This Row],[DATA/HORA]],"dddd"))</f>
        <v>Segunda-Feira</v>
      </c>
      <c r="D2706" s="3" t="s">
        <v>604</v>
      </c>
      <c r="E2706" s="34" t="str">
        <f>IFERROR(VLOOKUP(tbLOG[[#This Row],[LOGIN]],tbMAPA[#All],2,0), "Não localizado")</f>
        <v>Renan Cazumba Tegani</v>
      </c>
      <c r="F2706" s="34" t="str">
        <f>IFERROR(VLOOKUP(tbLOG[[#This Row],[LOGIN]],tbMAPA[#All],3,0), "Não localizado")</f>
        <v>Reginaldo Santana De Souza</v>
      </c>
      <c r="G2706" s="3" t="s">
        <v>1211</v>
      </c>
      <c r="H2706" s="3" t="s">
        <v>836</v>
      </c>
    </row>
    <row r="2707" spans="1:8">
      <c r="A2707" s="29">
        <v>42751.515868055554</v>
      </c>
      <c r="B2707" s="29" t="str">
        <f>PROPER(TEXT(tbLOG[[#This Row],[DATA/HORA]],"mmmm"))</f>
        <v>Janeiro</v>
      </c>
      <c r="C2707" s="34" t="str">
        <f>PROPER(TEXT(tbLOG[[#This Row],[DATA/HORA]],"dddd"))</f>
        <v>Segunda-Feira</v>
      </c>
      <c r="D2707" s="3" t="s">
        <v>604</v>
      </c>
      <c r="E2707" s="34" t="str">
        <f>IFERROR(VLOOKUP(tbLOG[[#This Row],[LOGIN]],tbMAPA[#All],2,0), "Não localizado")</f>
        <v>Renan Cazumba Tegani</v>
      </c>
      <c r="F2707" s="34" t="str">
        <f>IFERROR(VLOOKUP(tbLOG[[#This Row],[LOGIN]],tbMAPA[#All],3,0), "Não localizado")</f>
        <v>Reginaldo Santana De Souza</v>
      </c>
      <c r="G2707" s="3" t="s">
        <v>1211</v>
      </c>
      <c r="H2707" s="3" t="s">
        <v>836</v>
      </c>
    </row>
    <row r="2708" spans="1:8">
      <c r="A2708" s="29">
        <v>42751.519594907404</v>
      </c>
      <c r="B2708" s="29" t="str">
        <f>PROPER(TEXT(tbLOG[[#This Row],[DATA/HORA]],"mmmm"))</f>
        <v>Janeiro</v>
      </c>
      <c r="C2708" s="34" t="str">
        <f>PROPER(TEXT(tbLOG[[#This Row],[DATA/HORA]],"dddd"))</f>
        <v>Segunda-Feira</v>
      </c>
      <c r="D2708" s="3" t="s">
        <v>604</v>
      </c>
      <c r="E2708" s="34" t="str">
        <f>IFERROR(VLOOKUP(tbLOG[[#This Row],[LOGIN]],tbMAPA[#All],2,0), "Não localizado")</f>
        <v>Renan Cazumba Tegani</v>
      </c>
      <c r="F2708" s="34" t="str">
        <f>IFERROR(VLOOKUP(tbLOG[[#This Row],[LOGIN]],tbMAPA[#All],3,0), "Não localizado")</f>
        <v>Reginaldo Santana De Souza</v>
      </c>
      <c r="G2708" s="3" t="s">
        <v>1211</v>
      </c>
      <c r="H2708" s="3" t="s">
        <v>836</v>
      </c>
    </row>
    <row r="2709" spans="1:8">
      <c r="A2709" s="29">
        <v>42751.519606481481</v>
      </c>
      <c r="B2709" s="29" t="str">
        <f>PROPER(TEXT(tbLOG[[#This Row],[DATA/HORA]],"mmmm"))</f>
        <v>Janeiro</v>
      </c>
      <c r="C2709" s="34" t="str">
        <f>PROPER(TEXT(tbLOG[[#This Row],[DATA/HORA]],"dddd"))</f>
        <v>Segunda-Feira</v>
      </c>
      <c r="D2709" s="3" t="s">
        <v>604</v>
      </c>
      <c r="E2709" s="34" t="str">
        <f>IFERROR(VLOOKUP(tbLOG[[#This Row],[LOGIN]],tbMAPA[#All],2,0), "Não localizado")</f>
        <v>Renan Cazumba Tegani</v>
      </c>
      <c r="F2709" s="34" t="str">
        <f>IFERROR(VLOOKUP(tbLOG[[#This Row],[LOGIN]],tbMAPA[#All],3,0), "Não localizado")</f>
        <v>Reginaldo Santana De Souza</v>
      </c>
      <c r="G2709" s="3" t="s">
        <v>1211</v>
      </c>
      <c r="H2709" s="3" t="s">
        <v>836</v>
      </c>
    </row>
    <row r="2710" spans="1:8">
      <c r="A2710" s="29">
        <v>42751.519629629627</v>
      </c>
      <c r="B2710" s="29" t="str">
        <f>PROPER(TEXT(tbLOG[[#This Row],[DATA/HORA]],"mmmm"))</f>
        <v>Janeiro</v>
      </c>
      <c r="C2710" s="34" t="str">
        <f>PROPER(TEXT(tbLOG[[#This Row],[DATA/HORA]],"dddd"))</f>
        <v>Segunda-Feira</v>
      </c>
      <c r="D2710" s="3" t="s">
        <v>604</v>
      </c>
      <c r="E2710" s="34" t="str">
        <f>IFERROR(VLOOKUP(tbLOG[[#This Row],[LOGIN]],tbMAPA[#All],2,0), "Não localizado")</f>
        <v>Renan Cazumba Tegani</v>
      </c>
      <c r="F2710" s="34" t="str">
        <f>IFERROR(VLOOKUP(tbLOG[[#This Row],[LOGIN]],tbMAPA[#All],3,0), "Não localizado")</f>
        <v>Reginaldo Santana De Souza</v>
      </c>
      <c r="G2710" s="3" t="s">
        <v>1211</v>
      </c>
      <c r="H2710" s="3" t="s">
        <v>836</v>
      </c>
    </row>
    <row r="2711" spans="1:8">
      <c r="A2711" s="29">
        <v>42751.519756944443</v>
      </c>
      <c r="B2711" s="29" t="str">
        <f>PROPER(TEXT(tbLOG[[#This Row],[DATA/HORA]],"mmmm"))</f>
        <v>Janeiro</v>
      </c>
      <c r="C2711" s="34" t="str">
        <f>PROPER(TEXT(tbLOG[[#This Row],[DATA/HORA]],"dddd"))</f>
        <v>Segunda-Feira</v>
      </c>
      <c r="D2711" s="3" t="s">
        <v>604</v>
      </c>
      <c r="E2711" s="34" t="str">
        <f>IFERROR(VLOOKUP(tbLOG[[#This Row],[LOGIN]],tbMAPA[#All],2,0), "Não localizado")</f>
        <v>Renan Cazumba Tegani</v>
      </c>
      <c r="F2711" s="34" t="str">
        <f>IFERROR(VLOOKUP(tbLOG[[#This Row],[LOGIN]],tbMAPA[#All],3,0), "Não localizado")</f>
        <v>Reginaldo Santana De Souza</v>
      </c>
      <c r="G2711" s="3" t="s">
        <v>1211</v>
      </c>
      <c r="H2711" s="3" t="s">
        <v>836</v>
      </c>
    </row>
    <row r="2712" spans="1:8">
      <c r="A2712" s="29">
        <v>42751.519791666666</v>
      </c>
      <c r="B2712" s="29" t="str">
        <f>PROPER(TEXT(tbLOG[[#This Row],[DATA/HORA]],"mmmm"))</f>
        <v>Janeiro</v>
      </c>
      <c r="C2712" s="34" t="str">
        <f>PROPER(TEXT(tbLOG[[#This Row],[DATA/HORA]],"dddd"))</f>
        <v>Segunda-Feira</v>
      </c>
      <c r="D2712" s="3" t="s">
        <v>604</v>
      </c>
      <c r="E2712" s="34" t="str">
        <f>IFERROR(VLOOKUP(tbLOG[[#This Row],[LOGIN]],tbMAPA[#All],2,0), "Não localizado")</f>
        <v>Renan Cazumba Tegani</v>
      </c>
      <c r="F2712" s="34" t="str">
        <f>IFERROR(VLOOKUP(tbLOG[[#This Row],[LOGIN]],tbMAPA[#All],3,0), "Não localizado")</f>
        <v>Reginaldo Santana De Souza</v>
      </c>
      <c r="G2712" s="3" t="s">
        <v>1211</v>
      </c>
      <c r="H2712" s="3" t="s">
        <v>836</v>
      </c>
    </row>
    <row r="2713" spans="1:8">
      <c r="A2713" s="29">
        <v>42751.524375000001</v>
      </c>
      <c r="B2713" s="29" t="str">
        <f>PROPER(TEXT(tbLOG[[#This Row],[DATA/HORA]],"mmmm"))</f>
        <v>Janeiro</v>
      </c>
      <c r="C2713" s="34" t="str">
        <f>PROPER(TEXT(tbLOG[[#This Row],[DATA/HORA]],"dddd"))</f>
        <v>Segunda-Feira</v>
      </c>
      <c r="D2713" s="3" t="s">
        <v>604</v>
      </c>
      <c r="E2713" s="34" t="str">
        <f>IFERROR(VLOOKUP(tbLOG[[#This Row],[LOGIN]],tbMAPA[#All],2,0), "Não localizado")</f>
        <v>Renan Cazumba Tegani</v>
      </c>
      <c r="F2713" s="34" t="str">
        <f>IFERROR(VLOOKUP(tbLOG[[#This Row],[LOGIN]],tbMAPA[#All],3,0), "Não localizado")</f>
        <v>Reginaldo Santana De Souza</v>
      </c>
      <c r="G2713" s="3" t="s">
        <v>1211</v>
      </c>
      <c r="H2713" s="3" t="s">
        <v>836</v>
      </c>
    </row>
    <row r="2714" spans="1:8">
      <c r="A2714" s="29">
        <v>42751.526238425926</v>
      </c>
      <c r="B2714" s="29" t="str">
        <f>PROPER(TEXT(tbLOG[[#This Row],[DATA/HORA]],"mmmm"))</f>
        <v>Janeiro</v>
      </c>
      <c r="C2714" s="34" t="str">
        <f>PROPER(TEXT(tbLOG[[#This Row],[DATA/HORA]],"dddd"))</f>
        <v>Segunda-Feira</v>
      </c>
      <c r="D2714" s="3" t="s">
        <v>604</v>
      </c>
      <c r="E2714" s="34" t="str">
        <f>IFERROR(VLOOKUP(tbLOG[[#This Row],[LOGIN]],tbMAPA[#All],2,0), "Não localizado")</f>
        <v>Renan Cazumba Tegani</v>
      </c>
      <c r="F2714" s="34" t="str">
        <f>IFERROR(VLOOKUP(tbLOG[[#This Row],[LOGIN]],tbMAPA[#All],3,0), "Não localizado")</f>
        <v>Reginaldo Santana De Souza</v>
      </c>
      <c r="G2714" s="3" t="s">
        <v>1211</v>
      </c>
      <c r="H2714" s="3" t="s">
        <v>836</v>
      </c>
    </row>
    <row r="2715" spans="1:8">
      <c r="A2715" s="29">
        <v>42751.526377314818</v>
      </c>
      <c r="B2715" s="29" t="str">
        <f>PROPER(TEXT(tbLOG[[#This Row],[DATA/HORA]],"mmmm"))</f>
        <v>Janeiro</v>
      </c>
      <c r="C2715" s="34" t="str">
        <f>PROPER(TEXT(tbLOG[[#This Row],[DATA/HORA]],"dddd"))</f>
        <v>Segunda-Feira</v>
      </c>
      <c r="D2715" s="3" t="s">
        <v>604</v>
      </c>
      <c r="E2715" s="34" t="str">
        <f>IFERROR(VLOOKUP(tbLOG[[#This Row],[LOGIN]],tbMAPA[#All],2,0), "Não localizado")</f>
        <v>Renan Cazumba Tegani</v>
      </c>
      <c r="F2715" s="34" t="str">
        <f>IFERROR(VLOOKUP(tbLOG[[#This Row],[LOGIN]],tbMAPA[#All],3,0), "Não localizado")</f>
        <v>Reginaldo Santana De Souza</v>
      </c>
      <c r="G2715" s="3" t="s">
        <v>1211</v>
      </c>
      <c r="H2715" s="3" t="s">
        <v>836</v>
      </c>
    </row>
    <row r="2716" spans="1:8">
      <c r="A2716" s="29">
        <v>42751.526516203703</v>
      </c>
      <c r="B2716" s="29" t="str">
        <f>PROPER(TEXT(tbLOG[[#This Row],[DATA/HORA]],"mmmm"))</f>
        <v>Janeiro</v>
      </c>
      <c r="C2716" s="34" t="str">
        <f>PROPER(TEXT(tbLOG[[#This Row],[DATA/HORA]],"dddd"))</f>
        <v>Segunda-Feira</v>
      </c>
      <c r="D2716" s="3" t="s">
        <v>604</v>
      </c>
      <c r="E2716" s="34" t="str">
        <f>IFERROR(VLOOKUP(tbLOG[[#This Row],[LOGIN]],tbMAPA[#All],2,0), "Não localizado")</f>
        <v>Renan Cazumba Tegani</v>
      </c>
      <c r="F2716" s="34" t="str">
        <f>IFERROR(VLOOKUP(tbLOG[[#This Row],[LOGIN]],tbMAPA[#All],3,0), "Não localizado")</f>
        <v>Reginaldo Santana De Souza</v>
      </c>
      <c r="G2716" s="3" t="s">
        <v>1211</v>
      </c>
      <c r="H2716" s="3" t="s">
        <v>290</v>
      </c>
    </row>
    <row r="2717" spans="1:8">
      <c r="A2717" s="29">
        <v>42751.52920138889</v>
      </c>
      <c r="B2717" s="29" t="str">
        <f>PROPER(TEXT(tbLOG[[#This Row],[DATA/HORA]],"mmmm"))</f>
        <v>Janeiro</v>
      </c>
      <c r="C2717" s="34" t="str">
        <f>PROPER(TEXT(tbLOG[[#This Row],[DATA/HORA]],"dddd"))</f>
        <v>Segunda-Feira</v>
      </c>
      <c r="D2717" s="3" t="s">
        <v>604</v>
      </c>
      <c r="E2717" s="34" t="str">
        <f>IFERROR(VLOOKUP(tbLOG[[#This Row],[LOGIN]],tbMAPA[#All],2,0), "Não localizado")</f>
        <v>Renan Cazumba Tegani</v>
      </c>
      <c r="F2717" s="34" t="str">
        <f>IFERROR(VLOOKUP(tbLOG[[#This Row],[LOGIN]],tbMAPA[#All],3,0), "Não localizado")</f>
        <v>Reginaldo Santana De Souza</v>
      </c>
      <c r="G2717" s="3" t="s">
        <v>1211</v>
      </c>
      <c r="H2717" s="3" t="s">
        <v>836</v>
      </c>
    </row>
    <row r="2718" spans="1:8">
      <c r="A2718" s="29">
        <v>42751.532951388886</v>
      </c>
      <c r="B2718" s="29" t="str">
        <f>PROPER(TEXT(tbLOG[[#This Row],[DATA/HORA]],"mmmm"))</f>
        <v>Janeiro</v>
      </c>
      <c r="C2718" s="34" t="str">
        <f>PROPER(TEXT(tbLOG[[#This Row],[DATA/HORA]],"dddd"))</f>
        <v>Segunda-Feira</v>
      </c>
      <c r="D2718" s="3" t="s">
        <v>604</v>
      </c>
      <c r="E2718" s="34" t="str">
        <f>IFERROR(VLOOKUP(tbLOG[[#This Row],[LOGIN]],tbMAPA[#All],2,0), "Não localizado")</f>
        <v>Renan Cazumba Tegani</v>
      </c>
      <c r="F2718" s="34" t="str">
        <f>IFERROR(VLOOKUP(tbLOG[[#This Row],[LOGIN]],tbMAPA[#All],3,0), "Não localizado")</f>
        <v>Reginaldo Santana De Souza</v>
      </c>
      <c r="G2718" s="3" t="s">
        <v>1211</v>
      </c>
      <c r="H2718" s="3" t="s">
        <v>836</v>
      </c>
    </row>
    <row r="2719" spans="1:8">
      <c r="A2719" s="29">
        <v>42751.532962962963</v>
      </c>
      <c r="B2719" s="29" t="str">
        <f>PROPER(TEXT(tbLOG[[#This Row],[DATA/HORA]],"mmmm"))</f>
        <v>Janeiro</v>
      </c>
      <c r="C2719" s="34" t="str">
        <f>PROPER(TEXT(tbLOG[[#This Row],[DATA/HORA]],"dddd"))</f>
        <v>Segunda-Feira</v>
      </c>
      <c r="D2719" s="3" t="s">
        <v>604</v>
      </c>
      <c r="E2719" s="34" t="str">
        <f>IFERROR(VLOOKUP(tbLOG[[#This Row],[LOGIN]],tbMAPA[#All],2,0), "Não localizado")</f>
        <v>Renan Cazumba Tegani</v>
      </c>
      <c r="F2719" s="34" t="str">
        <f>IFERROR(VLOOKUP(tbLOG[[#This Row],[LOGIN]],tbMAPA[#All],3,0), "Não localizado")</f>
        <v>Reginaldo Santana De Souza</v>
      </c>
      <c r="G2719" s="3" t="s">
        <v>1211</v>
      </c>
      <c r="H2719" s="3" t="s">
        <v>836</v>
      </c>
    </row>
    <row r="2720" spans="1:8">
      <c r="A2720" s="29">
        <v>42751.533055555556</v>
      </c>
      <c r="B2720" s="29" t="str">
        <f>PROPER(TEXT(tbLOG[[#This Row],[DATA/HORA]],"mmmm"))</f>
        <v>Janeiro</v>
      </c>
      <c r="C2720" s="34" t="str">
        <f>PROPER(TEXT(tbLOG[[#This Row],[DATA/HORA]],"dddd"))</f>
        <v>Segunda-Feira</v>
      </c>
      <c r="D2720" s="3" t="s">
        <v>604</v>
      </c>
      <c r="E2720" s="34" t="str">
        <f>IFERROR(VLOOKUP(tbLOG[[#This Row],[LOGIN]],tbMAPA[#All],2,0), "Não localizado")</f>
        <v>Renan Cazumba Tegani</v>
      </c>
      <c r="F2720" s="34" t="str">
        <f>IFERROR(VLOOKUP(tbLOG[[#This Row],[LOGIN]],tbMAPA[#All],3,0), "Não localizado")</f>
        <v>Reginaldo Santana De Souza</v>
      </c>
      <c r="G2720" s="3" t="s">
        <v>1211</v>
      </c>
      <c r="H2720" s="3" t="s">
        <v>836</v>
      </c>
    </row>
    <row r="2721" spans="1:8">
      <c r="A2721" s="29">
        <v>42751.533159722225</v>
      </c>
      <c r="B2721" s="29" t="str">
        <f>PROPER(TEXT(tbLOG[[#This Row],[DATA/HORA]],"mmmm"))</f>
        <v>Janeiro</v>
      </c>
      <c r="C2721" s="34" t="str">
        <f>PROPER(TEXT(tbLOG[[#This Row],[DATA/HORA]],"dddd"))</f>
        <v>Segunda-Feira</v>
      </c>
      <c r="D2721" s="3" t="s">
        <v>604</v>
      </c>
      <c r="E2721" s="34" t="str">
        <f>IFERROR(VLOOKUP(tbLOG[[#This Row],[LOGIN]],tbMAPA[#All],2,0), "Não localizado")</f>
        <v>Renan Cazumba Tegani</v>
      </c>
      <c r="F2721" s="34" t="str">
        <f>IFERROR(VLOOKUP(tbLOG[[#This Row],[LOGIN]],tbMAPA[#All],3,0), "Não localizado")</f>
        <v>Reginaldo Santana De Souza</v>
      </c>
      <c r="G2721" s="3" t="s">
        <v>1211</v>
      </c>
      <c r="H2721" s="3" t="s">
        <v>836</v>
      </c>
    </row>
    <row r="2722" spans="1:8">
      <c r="A2722" s="29">
        <v>42751.533206018517</v>
      </c>
      <c r="B2722" s="29" t="str">
        <f>PROPER(TEXT(tbLOG[[#This Row],[DATA/HORA]],"mmmm"))</f>
        <v>Janeiro</v>
      </c>
      <c r="C2722" s="34" t="str">
        <f>PROPER(TEXT(tbLOG[[#This Row],[DATA/HORA]],"dddd"))</f>
        <v>Segunda-Feira</v>
      </c>
      <c r="D2722" s="3" t="s">
        <v>604</v>
      </c>
      <c r="E2722" s="34" t="str">
        <f>IFERROR(VLOOKUP(tbLOG[[#This Row],[LOGIN]],tbMAPA[#All],2,0), "Não localizado")</f>
        <v>Renan Cazumba Tegani</v>
      </c>
      <c r="F2722" s="34" t="str">
        <f>IFERROR(VLOOKUP(tbLOG[[#This Row],[LOGIN]],tbMAPA[#All],3,0), "Não localizado")</f>
        <v>Reginaldo Santana De Souza</v>
      </c>
      <c r="G2722" s="3" t="s">
        <v>1211</v>
      </c>
      <c r="H2722" s="3" t="s">
        <v>836</v>
      </c>
    </row>
    <row r="2723" spans="1:8">
      <c r="A2723" s="29">
        <v>42751.535451388889</v>
      </c>
      <c r="B2723" s="29" t="str">
        <f>PROPER(TEXT(tbLOG[[#This Row],[DATA/HORA]],"mmmm"))</f>
        <v>Janeiro</v>
      </c>
      <c r="C2723" s="34" t="str">
        <f>PROPER(TEXT(tbLOG[[#This Row],[DATA/HORA]],"dddd"))</f>
        <v>Segunda-Feira</v>
      </c>
      <c r="D2723" s="3" t="s">
        <v>604</v>
      </c>
      <c r="E2723" s="34" t="str">
        <f>IFERROR(VLOOKUP(tbLOG[[#This Row],[LOGIN]],tbMAPA[#All],2,0), "Não localizado")</f>
        <v>Renan Cazumba Tegani</v>
      </c>
      <c r="F2723" s="34" t="str">
        <f>IFERROR(VLOOKUP(tbLOG[[#This Row],[LOGIN]],tbMAPA[#All],3,0), "Não localizado")</f>
        <v>Reginaldo Santana De Souza</v>
      </c>
      <c r="G2723" s="3" t="s">
        <v>1211</v>
      </c>
      <c r="H2723" s="3" t="s">
        <v>836</v>
      </c>
    </row>
    <row r="2724" spans="1:8">
      <c r="A2724" s="29">
        <v>42751.537581018521</v>
      </c>
      <c r="B2724" s="29" t="str">
        <f>PROPER(TEXT(tbLOG[[#This Row],[DATA/HORA]],"mmmm"))</f>
        <v>Janeiro</v>
      </c>
      <c r="C2724" s="34" t="str">
        <f>PROPER(TEXT(tbLOG[[#This Row],[DATA/HORA]],"dddd"))</f>
        <v>Segunda-Feira</v>
      </c>
      <c r="D2724" s="3" t="s">
        <v>604</v>
      </c>
      <c r="E2724" s="34" t="str">
        <f>IFERROR(VLOOKUP(tbLOG[[#This Row],[LOGIN]],tbMAPA[#All],2,0), "Não localizado")</f>
        <v>Renan Cazumba Tegani</v>
      </c>
      <c r="F2724" s="34" t="str">
        <f>IFERROR(VLOOKUP(tbLOG[[#This Row],[LOGIN]],tbMAPA[#All],3,0), "Não localizado")</f>
        <v>Reginaldo Santana De Souza</v>
      </c>
      <c r="G2724" s="3" t="s">
        <v>1211</v>
      </c>
      <c r="H2724" s="3" t="s">
        <v>836</v>
      </c>
    </row>
    <row r="2725" spans="1:8">
      <c r="A2725" s="29">
        <v>42751.537604166668</v>
      </c>
      <c r="B2725" s="29" t="str">
        <f>PROPER(TEXT(tbLOG[[#This Row],[DATA/HORA]],"mmmm"))</f>
        <v>Janeiro</v>
      </c>
      <c r="C2725" s="34" t="str">
        <f>PROPER(TEXT(tbLOG[[#This Row],[DATA/HORA]],"dddd"))</f>
        <v>Segunda-Feira</v>
      </c>
      <c r="D2725" s="3" t="s">
        <v>604</v>
      </c>
      <c r="E2725" s="34" t="str">
        <f>IFERROR(VLOOKUP(tbLOG[[#This Row],[LOGIN]],tbMAPA[#All],2,0), "Não localizado")</f>
        <v>Renan Cazumba Tegani</v>
      </c>
      <c r="F2725" s="34" t="str">
        <f>IFERROR(VLOOKUP(tbLOG[[#This Row],[LOGIN]],tbMAPA[#All],3,0), "Não localizado")</f>
        <v>Reginaldo Santana De Souza</v>
      </c>
      <c r="G2725" s="3" t="s">
        <v>1211</v>
      </c>
      <c r="H2725" s="3" t="s">
        <v>836</v>
      </c>
    </row>
    <row r="2726" spans="1:8">
      <c r="A2726" s="29">
        <v>42751.53765046296</v>
      </c>
      <c r="B2726" s="29" t="str">
        <f>PROPER(TEXT(tbLOG[[#This Row],[DATA/HORA]],"mmmm"))</f>
        <v>Janeiro</v>
      </c>
      <c r="C2726" s="34" t="str">
        <f>PROPER(TEXT(tbLOG[[#This Row],[DATA/HORA]],"dddd"))</f>
        <v>Segunda-Feira</v>
      </c>
      <c r="D2726" s="3" t="s">
        <v>604</v>
      </c>
      <c r="E2726" s="34" t="str">
        <f>IFERROR(VLOOKUP(tbLOG[[#This Row],[LOGIN]],tbMAPA[#All],2,0), "Não localizado")</f>
        <v>Renan Cazumba Tegani</v>
      </c>
      <c r="F2726" s="34" t="str">
        <f>IFERROR(VLOOKUP(tbLOG[[#This Row],[LOGIN]],tbMAPA[#All],3,0), "Não localizado")</f>
        <v>Reginaldo Santana De Souza</v>
      </c>
      <c r="G2726" s="3" t="s">
        <v>1211</v>
      </c>
      <c r="H2726" s="3" t="s">
        <v>836</v>
      </c>
    </row>
    <row r="2727" spans="1:8">
      <c r="A2727" s="29">
        <v>42751.537916666668</v>
      </c>
      <c r="B2727" s="29" t="str">
        <f>PROPER(TEXT(tbLOG[[#This Row],[DATA/HORA]],"mmmm"))</f>
        <v>Janeiro</v>
      </c>
      <c r="C2727" s="34" t="str">
        <f>PROPER(TEXT(tbLOG[[#This Row],[DATA/HORA]],"dddd"))</f>
        <v>Segunda-Feira</v>
      </c>
      <c r="D2727" s="3" t="s">
        <v>604</v>
      </c>
      <c r="E2727" s="34" t="str">
        <f>IFERROR(VLOOKUP(tbLOG[[#This Row],[LOGIN]],tbMAPA[#All],2,0), "Não localizado")</f>
        <v>Renan Cazumba Tegani</v>
      </c>
      <c r="F2727" s="34" t="str">
        <f>IFERROR(VLOOKUP(tbLOG[[#This Row],[LOGIN]],tbMAPA[#All],3,0), "Não localizado")</f>
        <v>Reginaldo Santana De Souza</v>
      </c>
      <c r="G2727" s="3" t="s">
        <v>1211</v>
      </c>
      <c r="H2727" s="3" t="s">
        <v>836</v>
      </c>
    </row>
    <row r="2728" spans="1:8">
      <c r="A2728" s="29">
        <v>42751.537939814814</v>
      </c>
      <c r="B2728" s="29" t="str">
        <f>PROPER(TEXT(tbLOG[[#This Row],[DATA/HORA]],"mmmm"))</f>
        <v>Janeiro</v>
      </c>
      <c r="C2728" s="34" t="str">
        <f>PROPER(TEXT(tbLOG[[#This Row],[DATA/HORA]],"dddd"))</f>
        <v>Segunda-Feira</v>
      </c>
      <c r="D2728" s="3" t="s">
        <v>604</v>
      </c>
      <c r="E2728" s="34" t="str">
        <f>IFERROR(VLOOKUP(tbLOG[[#This Row],[LOGIN]],tbMAPA[#All],2,0), "Não localizado")</f>
        <v>Renan Cazumba Tegani</v>
      </c>
      <c r="F2728" s="34" t="str">
        <f>IFERROR(VLOOKUP(tbLOG[[#This Row],[LOGIN]],tbMAPA[#All],3,0), "Não localizado")</f>
        <v>Reginaldo Santana De Souza</v>
      </c>
      <c r="G2728" s="3" t="s">
        <v>1211</v>
      </c>
      <c r="H2728" s="3" t="s">
        <v>836</v>
      </c>
    </row>
    <row r="2729" spans="1:8">
      <c r="A2729" s="29">
        <v>42751.543379629627</v>
      </c>
      <c r="B2729" s="29" t="str">
        <f>PROPER(TEXT(tbLOG[[#This Row],[DATA/HORA]],"mmmm"))</f>
        <v>Janeiro</v>
      </c>
      <c r="C2729" s="34" t="str">
        <f>PROPER(TEXT(tbLOG[[#This Row],[DATA/HORA]],"dddd"))</f>
        <v>Segunda-Feira</v>
      </c>
      <c r="D2729" s="3" t="s">
        <v>604</v>
      </c>
      <c r="E2729" s="34" t="str">
        <f>IFERROR(VLOOKUP(tbLOG[[#This Row],[LOGIN]],tbMAPA[#All],2,0), "Não localizado")</f>
        <v>Renan Cazumba Tegani</v>
      </c>
      <c r="F2729" s="34" t="str">
        <f>IFERROR(VLOOKUP(tbLOG[[#This Row],[LOGIN]],tbMAPA[#All],3,0), "Não localizado")</f>
        <v>Reginaldo Santana De Souza</v>
      </c>
      <c r="G2729" s="3" t="s">
        <v>1211</v>
      </c>
      <c r="H2729" s="3" t="s">
        <v>836</v>
      </c>
    </row>
    <row r="2730" spans="1:8">
      <c r="A2730" s="29">
        <v>42751.543402777781</v>
      </c>
      <c r="B2730" s="29" t="str">
        <f>PROPER(TEXT(tbLOG[[#This Row],[DATA/HORA]],"mmmm"))</f>
        <v>Janeiro</v>
      </c>
      <c r="C2730" s="34" t="str">
        <f>PROPER(TEXT(tbLOG[[#This Row],[DATA/HORA]],"dddd"))</f>
        <v>Segunda-Feira</v>
      </c>
      <c r="D2730" s="3" t="s">
        <v>604</v>
      </c>
      <c r="E2730" s="34" t="str">
        <f>IFERROR(VLOOKUP(tbLOG[[#This Row],[LOGIN]],tbMAPA[#All],2,0), "Não localizado")</f>
        <v>Renan Cazumba Tegani</v>
      </c>
      <c r="F2730" s="34" t="str">
        <f>IFERROR(VLOOKUP(tbLOG[[#This Row],[LOGIN]],tbMAPA[#All],3,0), "Não localizado")</f>
        <v>Reginaldo Santana De Souza</v>
      </c>
      <c r="G2730" s="3" t="s">
        <v>1211</v>
      </c>
      <c r="H2730" s="3" t="s">
        <v>836</v>
      </c>
    </row>
    <row r="2731" spans="1:8">
      <c r="A2731" s="29">
        <v>42751.543425925927</v>
      </c>
      <c r="B2731" s="29" t="str">
        <f>PROPER(TEXT(tbLOG[[#This Row],[DATA/HORA]],"mmmm"))</f>
        <v>Janeiro</v>
      </c>
      <c r="C2731" s="34" t="str">
        <f>PROPER(TEXT(tbLOG[[#This Row],[DATA/HORA]],"dddd"))</f>
        <v>Segunda-Feira</v>
      </c>
      <c r="D2731" s="3" t="s">
        <v>604</v>
      </c>
      <c r="E2731" s="34" t="str">
        <f>IFERROR(VLOOKUP(tbLOG[[#This Row],[LOGIN]],tbMAPA[#All],2,0), "Não localizado")</f>
        <v>Renan Cazumba Tegani</v>
      </c>
      <c r="F2731" s="34" t="str">
        <f>IFERROR(VLOOKUP(tbLOG[[#This Row],[LOGIN]],tbMAPA[#All],3,0), "Não localizado")</f>
        <v>Reginaldo Santana De Souza</v>
      </c>
      <c r="G2731" s="3" t="s">
        <v>1211</v>
      </c>
      <c r="H2731" s="3" t="s">
        <v>836</v>
      </c>
    </row>
    <row r="2732" spans="1:8">
      <c r="A2732" s="29">
        <v>42751.549201388887</v>
      </c>
      <c r="B2732" s="29" t="str">
        <f>PROPER(TEXT(tbLOG[[#This Row],[DATA/HORA]],"mmmm"))</f>
        <v>Janeiro</v>
      </c>
      <c r="C2732" s="34" t="str">
        <f>PROPER(TEXT(tbLOG[[#This Row],[DATA/HORA]],"dddd"))</f>
        <v>Segunda-Feira</v>
      </c>
      <c r="D2732" s="3" t="s">
        <v>604</v>
      </c>
      <c r="E2732" s="34" t="str">
        <f>IFERROR(VLOOKUP(tbLOG[[#This Row],[LOGIN]],tbMAPA[#All],2,0), "Não localizado")</f>
        <v>Renan Cazumba Tegani</v>
      </c>
      <c r="F2732" s="34" t="str">
        <f>IFERROR(VLOOKUP(tbLOG[[#This Row],[LOGIN]],tbMAPA[#All],3,0), "Não localizado")</f>
        <v>Reginaldo Santana De Souza</v>
      </c>
      <c r="G2732" s="3" t="s">
        <v>1211</v>
      </c>
      <c r="H2732" s="3" t="s">
        <v>836</v>
      </c>
    </row>
    <row r="2733" spans="1:8">
      <c r="A2733" s="29">
        <v>42751.549201388887</v>
      </c>
      <c r="B2733" s="29" t="str">
        <f>PROPER(TEXT(tbLOG[[#This Row],[DATA/HORA]],"mmmm"))</f>
        <v>Janeiro</v>
      </c>
      <c r="C2733" s="34" t="str">
        <f>PROPER(TEXT(tbLOG[[#This Row],[DATA/HORA]],"dddd"))</f>
        <v>Segunda-Feira</v>
      </c>
      <c r="D2733" s="3" t="s">
        <v>604</v>
      </c>
      <c r="E2733" s="34" t="str">
        <f>IFERROR(VLOOKUP(tbLOG[[#This Row],[LOGIN]],tbMAPA[#All],2,0), "Não localizado")</f>
        <v>Renan Cazumba Tegani</v>
      </c>
      <c r="F2733" s="34" t="str">
        <f>IFERROR(VLOOKUP(tbLOG[[#This Row],[LOGIN]],tbMAPA[#All],3,0), "Não localizado")</f>
        <v>Reginaldo Santana De Souza</v>
      </c>
      <c r="G2733" s="3" t="s">
        <v>1211</v>
      </c>
      <c r="H2733" s="3" t="s">
        <v>836</v>
      </c>
    </row>
    <row r="2734" spans="1:8">
      <c r="A2734" s="29">
        <v>42751.549224537041</v>
      </c>
      <c r="B2734" s="29" t="str">
        <f>PROPER(TEXT(tbLOG[[#This Row],[DATA/HORA]],"mmmm"))</f>
        <v>Janeiro</v>
      </c>
      <c r="C2734" s="34" t="str">
        <f>PROPER(TEXT(tbLOG[[#This Row],[DATA/HORA]],"dddd"))</f>
        <v>Segunda-Feira</v>
      </c>
      <c r="D2734" s="3" t="s">
        <v>604</v>
      </c>
      <c r="E2734" s="34" t="str">
        <f>IFERROR(VLOOKUP(tbLOG[[#This Row],[LOGIN]],tbMAPA[#All],2,0), "Não localizado")</f>
        <v>Renan Cazumba Tegani</v>
      </c>
      <c r="F2734" s="34" t="str">
        <f>IFERROR(VLOOKUP(tbLOG[[#This Row],[LOGIN]],tbMAPA[#All],3,0), "Não localizado")</f>
        <v>Reginaldo Santana De Souza</v>
      </c>
      <c r="G2734" s="3" t="s">
        <v>1211</v>
      </c>
      <c r="H2734" s="3" t="s">
        <v>836</v>
      </c>
    </row>
    <row r="2735" spans="1:8">
      <c r="A2735" s="29">
        <v>42751.550300925926</v>
      </c>
      <c r="B2735" s="29" t="str">
        <f>PROPER(TEXT(tbLOG[[#This Row],[DATA/HORA]],"mmmm"))</f>
        <v>Janeiro</v>
      </c>
      <c r="C2735" s="34" t="str">
        <f>PROPER(TEXT(tbLOG[[#This Row],[DATA/HORA]],"dddd"))</f>
        <v>Segunda-Feira</v>
      </c>
      <c r="D2735" s="3" t="s">
        <v>604</v>
      </c>
      <c r="E2735" s="34" t="str">
        <f>IFERROR(VLOOKUP(tbLOG[[#This Row],[LOGIN]],tbMAPA[#All],2,0), "Não localizado")</f>
        <v>Renan Cazumba Tegani</v>
      </c>
      <c r="F2735" s="34" t="str">
        <f>IFERROR(VLOOKUP(tbLOG[[#This Row],[LOGIN]],tbMAPA[#All],3,0), "Não localizado")</f>
        <v>Reginaldo Santana De Souza</v>
      </c>
      <c r="G2735" s="3" t="s">
        <v>1211</v>
      </c>
      <c r="H2735" s="3" t="s">
        <v>836</v>
      </c>
    </row>
    <row r="2736" spans="1:8">
      <c r="A2736" s="29">
        <v>42751.553831018522</v>
      </c>
      <c r="B2736" s="29" t="str">
        <f>PROPER(TEXT(tbLOG[[#This Row],[DATA/HORA]],"mmmm"))</f>
        <v>Janeiro</v>
      </c>
      <c r="C2736" s="34" t="str">
        <f>PROPER(TEXT(tbLOG[[#This Row],[DATA/HORA]],"dddd"))</f>
        <v>Segunda-Feira</v>
      </c>
      <c r="D2736" s="3" t="s">
        <v>604</v>
      </c>
      <c r="E2736" s="34" t="str">
        <f>IFERROR(VLOOKUP(tbLOG[[#This Row],[LOGIN]],tbMAPA[#All],2,0), "Não localizado")</f>
        <v>Renan Cazumba Tegani</v>
      </c>
      <c r="F2736" s="34" t="str">
        <f>IFERROR(VLOOKUP(tbLOG[[#This Row],[LOGIN]],tbMAPA[#All],3,0), "Não localizado")</f>
        <v>Reginaldo Santana De Souza</v>
      </c>
      <c r="G2736" s="3" t="s">
        <v>1211</v>
      </c>
      <c r="H2736" s="3" t="s">
        <v>836</v>
      </c>
    </row>
    <row r="2737" spans="1:8">
      <c r="A2737" s="29">
        <v>42751.553842592592</v>
      </c>
      <c r="B2737" s="29" t="str">
        <f>PROPER(TEXT(tbLOG[[#This Row],[DATA/HORA]],"mmmm"))</f>
        <v>Janeiro</v>
      </c>
      <c r="C2737" s="34" t="str">
        <f>PROPER(TEXT(tbLOG[[#This Row],[DATA/HORA]],"dddd"))</f>
        <v>Segunda-Feira</v>
      </c>
      <c r="D2737" s="3" t="s">
        <v>604</v>
      </c>
      <c r="E2737" s="34" t="str">
        <f>IFERROR(VLOOKUP(tbLOG[[#This Row],[LOGIN]],tbMAPA[#All],2,0), "Não localizado")</f>
        <v>Renan Cazumba Tegani</v>
      </c>
      <c r="F2737" s="34" t="str">
        <f>IFERROR(VLOOKUP(tbLOG[[#This Row],[LOGIN]],tbMAPA[#All],3,0), "Não localizado")</f>
        <v>Reginaldo Santana De Souza</v>
      </c>
      <c r="G2737" s="3" t="s">
        <v>1211</v>
      </c>
      <c r="H2737" s="3" t="s">
        <v>836</v>
      </c>
    </row>
    <row r="2738" spans="1:8">
      <c r="A2738" s="29">
        <v>42751.554085648146</v>
      </c>
      <c r="B2738" s="29" t="str">
        <f>PROPER(TEXT(tbLOG[[#This Row],[DATA/HORA]],"mmmm"))</f>
        <v>Janeiro</v>
      </c>
      <c r="C2738" s="34" t="str">
        <f>PROPER(TEXT(tbLOG[[#This Row],[DATA/HORA]],"dddd"))</f>
        <v>Segunda-Feira</v>
      </c>
      <c r="D2738" s="3" t="s">
        <v>604</v>
      </c>
      <c r="E2738" s="34" t="str">
        <f>IFERROR(VLOOKUP(tbLOG[[#This Row],[LOGIN]],tbMAPA[#All],2,0), "Não localizado")</f>
        <v>Renan Cazumba Tegani</v>
      </c>
      <c r="F2738" s="34" t="str">
        <f>IFERROR(VLOOKUP(tbLOG[[#This Row],[LOGIN]],tbMAPA[#All],3,0), "Não localizado")</f>
        <v>Reginaldo Santana De Souza</v>
      </c>
      <c r="G2738" s="3" t="s">
        <v>1211</v>
      </c>
      <c r="H2738" s="3" t="s">
        <v>836</v>
      </c>
    </row>
    <row r="2739" spans="1:8">
      <c r="A2739" s="29">
        <v>42751.554108796299</v>
      </c>
      <c r="B2739" s="29" t="str">
        <f>PROPER(TEXT(tbLOG[[#This Row],[DATA/HORA]],"mmmm"))</f>
        <v>Janeiro</v>
      </c>
      <c r="C2739" s="34" t="str">
        <f>PROPER(TEXT(tbLOG[[#This Row],[DATA/HORA]],"dddd"))</f>
        <v>Segunda-Feira</v>
      </c>
      <c r="D2739" s="3" t="s">
        <v>604</v>
      </c>
      <c r="E2739" s="34" t="str">
        <f>IFERROR(VLOOKUP(tbLOG[[#This Row],[LOGIN]],tbMAPA[#All],2,0), "Não localizado")</f>
        <v>Renan Cazumba Tegani</v>
      </c>
      <c r="F2739" s="34" t="str">
        <f>IFERROR(VLOOKUP(tbLOG[[#This Row],[LOGIN]],tbMAPA[#All],3,0), "Não localizado")</f>
        <v>Reginaldo Santana De Souza</v>
      </c>
      <c r="G2739" s="3" t="s">
        <v>1211</v>
      </c>
      <c r="H2739" s="3" t="s">
        <v>290</v>
      </c>
    </row>
    <row r="2740" spans="1:8">
      <c r="A2740" s="29">
        <v>42751.55672453704</v>
      </c>
      <c r="B2740" s="29" t="str">
        <f>PROPER(TEXT(tbLOG[[#This Row],[DATA/HORA]],"mmmm"))</f>
        <v>Janeiro</v>
      </c>
      <c r="C2740" s="34" t="str">
        <f>PROPER(TEXT(tbLOG[[#This Row],[DATA/HORA]],"dddd"))</f>
        <v>Segunda-Feira</v>
      </c>
      <c r="D2740" s="3" t="s">
        <v>604</v>
      </c>
      <c r="E2740" s="34" t="str">
        <f>IFERROR(VLOOKUP(tbLOG[[#This Row],[LOGIN]],tbMAPA[#All],2,0), "Não localizado")</f>
        <v>Renan Cazumba Tegani</v>
      </c>
      <c r="F2740" s="34" t="str">
        <f>IFERROR(VLOOKUP(tbLOG[[#This Row],[LOGIN]],tbMAPA[#All],3,0), "Não localizado")</f>
        <v>Reginaldo Santana De Souza</v>
      </c>
      <c r="G2740" s="3" t="s">
        <v>1211</v>
      </c>
      <c r="H2740" s="3" t="s">
        <v>290</v>
      </c>
    </row>
    <row r="2741" spans="1:8">
      <c r="A2741" s="29">
        <v>42751.559571759259</v>
      </c>
      <c r="B2741" s="29" t="str">
        <f>PROPER(TEXT(tbLOG[[#This Row],[DATA/HORA]],"mmmm"))</f>
        <v>Janeiro</v>
      </c>
      <c r="C2741" s="34" t="str">
        <f>PROPER(TEXT(tbLOG[[#This Row],[DATA/HORA]],"dddd"))</f>
        <v>Segunda-Feira</v>
      </c>
      <c r="D2741" s="3" t="s">
        <v>604</v>
      </c>
      <c r="E2741" s="34" t="str">
        <f>IFERROR(VLOOKUP(tbLOG[[#This Row],[LOGIN]],tbMAPA[#All],2,0), "Não localizado")</f>
        <v>Renan Cazumba Tegani</v>
      </c>
      <c r="F2741" s="34" t="str">
        <f>IFERROR(VLOOKUP(tbLOG[[#This Row],[LOGIN]],tbMAPA[#All],3,0), "Não localizado")</f>
        <v>Reginaldo Santana De Souza</v>
      </c>
      <c r="G2741" s="3" t="s">
        <v>1211</v>
      </c>
      <c r="H2741" s="3" t="s">
        <v>836</v>
      </c>
    </row>
    <row r="2742" spans="1:8">
      <c r="A2742" s="29">
        <v>42751.563414351855</v>
      </c>
      <c r="B2742" s="29" t="str">
        <f>PROPER(TEXT(tbLOG[[#This Row],[DATA/HORA]],"mmmm"))</f>
        <v>Janeiro</v>
      </c>
      <c r="C2742" s="34" t="str">
        <f>PROPER(TEXT(tbLOG[[#This Row],[DATA/HORA]],"dddd"))</f>
        <v>Segunda-Feira</v>
      </c>
      <c r="D2742" s="3" t="s">
        <v>604</v>
      </c>
      <c r="E2742" s="34" t="str">
        <f>IFERROR(VLOOKUP(tbLOG[[#This Row],[LOGIN]],tbMAPA[#All],2,0), "Não localizado")</f>
        <v>Renan Cazumba Tegani</v>
      </c>
      <c r="F2742" s="34" t="str">
        <f>IFERROR(VLOOKUP(tbLOG[[#This Row],[LOGIN]],tbMAPA[#All],3,0), "Não localizado")</f>
        <v>Reginaldo Santana De Souza</v>
      </c>
      <c r="G2742" s="3" t="s">
        <v>1211</v>
      </c>
      <c r="H2742" s="3" t="s">
        <v>836</v>
      </c>
    </row>
    <row r="2743" spans="1:8">
      <c r="A2743" s="29">
        <v>42751.563425925924</v>
      </c>
      <c r="B2743" s="29" t="str">
        <f>PROPER(TEXT(tbLOG[[#This Row],[DATA/HORA]],"mmmm"))</f>
        <v>Janeiro</v>
      </c>
      <c r="C2743" s="34" t="str">
        <f>PROPER(TEXT(tbLOG[[#This Row],[DATA/HORA]],"dddd"))</f>
        <v>Segunda-Feira</v>
      </c>
      <c r="D2743" s="3" t="s">
        <v>604</v>
      </c>
      <c r="E2743" s="34" t="str">
        <f>IFERROR(VLOOKUP(tbLOG[[#This Row],[LOGIN]],tbMAPA[#All],2,0), "Não localizado")</f>
        <v>Renan Cazumba Tegani</v>
      </c>
      <c r="F2743" s="34" t="str">
        <f>IFERROR(VLOOKUP(tbLOG[[#This Row],[LOGIN]],tbMAPA[#All],3,0), "Não localizado")</f>
        <v>Reginaldo Santana De Souza</v>
      </c>
      <c r="G2743" s="3" t="s">
        <v>1211</v>
      </c>
      <c r="H2743" s="3" t="s">
        <v>836</v>
      </c>
    </row>
    <row r="2744" spans="1:8">
      <c r="A2744" s="29">
        <v>42751.563472222224</v>
      </c>
      <c r="B2744" s="29" t="str">
        <f>PROPER(TEXT(tbLOG[[#This Row],[DATA/HORA]],"mmmm"))</f>
        <v>Janeiro</v>
      </c>
      <c r="C2744" s="34" t="str">
        <f>PROPER(TEXT(tbLOG[[#This Row],[DATA/HORA]],"dddd"))</f>
        <v>Segunda-Feira</v>
      </c>
      <c r="D2744" s="3" t="s">
        <v>604</v>
      </c>
      <c r="E2744" s="34" t="str">
        <f>IFERROR(VLOOKUP(tbLOG[[#This Row],[LOGIN]],tbMAPA[#All],2,0), "Não localizado")</f>
        <v>Renan Cazumba Tegani</v>
      </c>
      <c r="F2744" s="34" t="str">
        <f>IFERROR(VLOOKUP(tbLOG[[#This Row],[LOGIN]],tbMAPA[#All],3,0), "Não localizado")</f>
        <v>Reginaldo Santana De Souza</v>
      </c>
      <c r="G2744" s="3" t="s">
        <v>1211</v>
      </c>
      <c r="H2744" s="3" t="s">
        <v>836</v>
      </c>
    </row>
    <row r="2745" spans="1:8">
      <c r="A2745" s="29">
        <v>42751.563506944447</v>
      </c>
      <c r="B2745" s="29" t="str">
        <f>PROPER(TEXT(tbLOG[[#This Row],[DATA/HORA]],"mmmm"))</f>
        <v>Janeiro</v>
      </c>
      <c r="C2745" s="34" t="str">
        <f>PROPER(TEXT(tbLOG[[#This Row],[DATA/HORA]],"dddd"))</f>
        <v>Segunda-Feira</v>
      </c>
      <c r="D2745" s="3" t="s">
        <v>604</v>
      </c>
      <c r="E2745" s="34" t="str">
        <f>IFERROR(VLOOKUP(tbLOG[[#This Row],[LOGIN]],tbMAPA[#All],2,0), "Não localizado")</f>
        <v>Renan Cazumba Tegani</v>
      </c>
      <c r="F2745" s="34" t="str">
        <f>IFERROR(VLOOKUP(tbLOG[[#This Row],[LOGIN]],tbMAPA[#All],3,0), "Não localizado")</f>
        <v>Reginaldo Santana De Souza</v>
      </c>
      <c r="G2745" s="3" t="s">
        <v>1211</v>
      </c>
      <c r="H2745" s="3" t="s">
        <v>836</v>
      </c>
    </row>
    <row r="2746" spans="1:8">
      <c r="A2746" s="29">
        <v>42751.565127314818</v>
      </c>
      <c r="B2746" s="29" t="str">
        <f>PROPER(TEXT(tbLOG[[#This Row],[DATA/HORA]],"mmmm"))</f>
        <v>Janeiro</v>
      </c>
      <c r="C2746" s="34" t="str">
        <f>PROPER(TEXT(tbLOG[[#This Row],[DATA/HORA]],"dddd"))</f>
        <v>Segunda-Feira</v>
      </c>
      <c r="D2746" s="3" t="s">
        <v>604</v>
      </c>
      <c r="E2746" s="34" t="str">
        <f>IFERROR(VLOOKUP(tbLOG[[#This Row],[LOGIN]],tbMAPA[#All],2,0), "Não localizado")</f>
        <v>Renan Cazumba Tegani</v>
      </c>
      <c r="F2746" s="34" t="str">
        <f>IFERROR(VLOOKUP(tbLOG[[#This Row],[LOGIN]],tbMAPA[#All],3,0), "Não localizado")</f>
        <v>Reginaldo Santana De Souza</v>
      </c>
      <c r="G2746" s="3" t="s">
        <v>1211</v>
      </c>
      <c r="H2746" s="3" t="s">
        <v>836</v>
      </c>
    </row>
    <row r="2747" spans="1:8">
      <c r="A2747" s="29">
        <v>42751.568124999998</v>
      </c>
      <c r="B2747" s="29" t="str">
        <f>PROPER(TEXT(tbLOG[[#This Row],[DATA/HORA]],"mmmm"))</f>
        <v>Janeiro</v>
      </c>
      <c r="C2747" s="34" t="str">
        <f>PROPER(TEXT(tbLOG[[#This Row],[DATA/HORA]],"dddd"))</f>
        <v>Segunda-Feira</v>
      </c>
      <c r="D2747" s="3" t="s">
        <v>604</v>
      </c>
      <c r="E2747" s="34" t="str">
        <f>IFERROR(VLOOKUP(tbLOG[[#This Row],[LOGIN]],tbMAPA[#All],2,0), "Não localizado")</f>
        <v>Renan Cazumba Tegani</v>
      </c>
      <c r="F2747" s="34" t="str">
        <f>IFERROR(VLOOKUP(tbLOG[[#This Row],[LOGIN]],tbMAPA[#All],3,0), "Não localizado")</f>
        <v>Reginaldo Santana De Souza</v>
      </c>
      <c r="G2747" s="3" t="s">
        <v>1211</v>
      </c>
      <c r="H2747" s="3" t="s">
        <v>836</v>
      </c>
    </row>
    <row r="2748" spans="1:8">
      <c r="A2748" s="29">
        <v>42751.568136574075</v>
      </c>
      <c r="B2748" s="29" t="str">
        <f>PROPER(TEXT(tbLOG[[#This Row],[DATA/HORA]],"mmmm"))</f>
        <v>Janeiro</v>
      </c>
      <c r="C2748" s="34" t="str">
        <f>PROPER(TEXT(tbLOG[[#This Row],[DATA/HORA]],"dddd"))</f>
        <v>Segunda-Feira</v>
      </c>
      <c r="D2748" s="3" t="s">
        <v>604</v>
      </c>
      <c r="E2748" s="34" t="str">
        <f>IFERROR(VLOOKUP(tbLOG[[#This Row],[LOGIN]],tbMAPA[#All],2,0), "Não localizado")</f>
        <v>Renan Cazumba Tegani</v>
      </c>
      <c r="F2748" s="34" t="str">
        <f>IFERROR(VLOOKUP(tbLOG[[#This Row],[LOGIN]],tbMAPA[#All],3,0), "Não localizado")</f>
        <v>Reginaldo Santana De Souza</v>
      </c>
      <c r="G2748" s="3" t="s">
        <v>1211</v>
      </c>
      <c r="H2748" s="3" t="s">
        <v>836</v>
      </c>
    </row>
    <row r="2749" spans="1:8">
      <c r="A2749" s="29">
        <v>42751.568206018521</v>
      </c>
      <c r="B2749" s="29" t="str">
        <f>PROPER(TEXT(tbLOG[[#This Row],[DATA/HORA]],"mmmm"))</f>
        <v>Janeiro</v>
      </c>
      <c r="C2749" s="34" t="str">
        <f>PROPER(TEXT(tbLOG[[#This Row],[DATA/HORA]],"dddd"))</f>
        <v>Segunda-Feira</v>
      </c>
      <c r="D2749" s="3" t="s">
        <v>604</v>
      </c>
      <c r="E2749" s="34" t="str">
        <f>IFERROR(VLOOKUP(tbLOG[[#This Row],[LOGIN]],tbMAPA[#All],2,0), "Não localizado")</f>
        <v>Renan Cazumba Tegani</v>
      </c>
      <c r="F2749" s="34" t="str">
        <f>IFERROR(VLOOKUP(tbLOG[[#This Row],[LOGIN]],tbMAPA[#All],3,0), "Não localizado")</f>
        <v>Reginaldo Santana De Souza</v>
      </c>
      <c r="G2749" s="3" t="s">
        <v>1211</v>
      </c>
      <c r="H2749" s="3" t="s">
        <v>836</v>
      </c>
    </row>
    <row r="2750" spans="1:8">
      <c r="A2750" s="29">
        <v>42751.568368055552</v>
      </c>
      <c r="B2750" s="29" t="str">
        <f>PROPER(TEXT(tbLOG[[#This Row],[DATA/HORA]],"mmmm"))</f>
        <v>Janeiro</v>
      </c>
      <c r="C2750" s="34" t="str">
        <f>PROPER(TEXT(tbLOG[[#This Row],[DATA/HORA]],"dddd"))</f>
        <v>Segunda-Feira</v>
      </c>
      <c r="D2750" s="3" t="s">
        <v>604</v>
      </c>
      <c r="E2750" s="34" t="str">
        <f>IFERROR(VLOOKUP(tbLOG[[#This Row],[LOGIN]],tbMAPA[#All],2,0), "Não localizado")</f>
        <v>Renan Cazumba Tegani</v>
      </c>
      <c r="F2750" s="34" t="str">
        <f>IFERROR(VLOOKUP(tbLOG[[#This Row],[LOGIN]],tbMAPA[#All],3,0), "Não localizado")</f>
        <v>Reginaldo Santana De Souza</v>
      </c>
      <c r="G2750" s="3" t="s">
        <v>1211</v>
      </c>
      <c r="H2750" s="3" t="s">
        <v>836</v>
      </c>
    </row>
    <row r="2751" spans="1:8">
      <c r="A2751" s="29">
        <v>42751.568402777775</v>
      </c>
      <c r="B2751" s="29" t="str">
        <f>PROPER(TEXT(tbLOG[[#This Row],[DATA/HORA]],"mmmm"))</f>
        <v>Janeiro</v>
      </c>
      <c r="C2751" s="34" t="str">
        <f>PROPER(TEXT(tbLOG[[#This Row],[DATA/HORA]],"dddd"))</f>
        <v>Segunda-Feira</v>
      </c>
      <c r="D2751" s="3" t="s">
        <v>604</v>
      </c>
      <c r="E2751" s="34" t="str">
        <f>IFERROR(VLOOKUP(tbLOG[[#This Row],[LOGIN]],tbMAPA[#All],2,0), "Não localizado")</f>
        <v>Renan Cazumba Tegani</v>
      </c>
      <c r="F2751" s="34" t="str">
        <f>IFERROR(VLOOKUP(tbLOG[[#This Row],[LOGIN]],tbMAPA[#All],3,0), "Não localizado")</f>
        <v>Reginaldo Santana De Souza</v>
      </c>
      <c r="G2751" s="3" t="s">
        <v>1211</v>
      </c>
      <c r="H2751" s="3" t="s">
        <v>836</v>
      </c>
    </row>
    <row r="2752" spans="1:8">
      <c r="A2752" s="29">
        <v>42751.568993055553</v>
      </c>
      <c r="B2752" s="29" t="str">
        <f>PROPER(TEXT(tbLOG[[#This Row],[DATA/HORA]],"mmmm"))</f>
        <v>Janeiro</v>
      </c>
      <c r="C2752" s="34" t="str">
        <f>PROPER(TEXT(tbLOG[[#This Row],[DATA/HORA]],"dddd"))</f>
        <v>Segunda-Feira</v>
      </c>
      <c r="D2752" s="3" t="s">
        <v>604</v>
      </c>
      <c r="E2752" s="34" t="str">
        <f>IFERROR(VLOOKUP(tbLOG[[#This Row],[LOGIN]],tbMAPA[#All],2,0), "Não localizado")</f>
        <v>Renan Cazumba Tegani</v>
      </c>
      <c r="F2752" s="34" t="str">
        <f>IFERROR(VLOOKUP(tbLOG[[#This Row],[LOGIN]],tbMAPA[#All],3,0), "Não localizado")</f>
        <v>Reginaldo Santana De Souza</v>
      </c>
      <c r="G2752" s="3" t="s">
        <v>1211</v>
      </c>
      <c r="H2752" s="3" t="s">
        <v>836</v>
      </c>
    </row>
    <row r="2753" spans="1:8">
      <c r="A2753" s="29">
        <v>42751.569004629629</v>
      </c>
      <c r="B2753" s="29" t="str">
        <f>PROPER(TEXT(tbLOG[[#This Row],[DATA/HORA]],"mmmm"))</f>
        <v>Janeiro</v>
      </c>
      <c r="C2753" s="34" t="str">
        <f>PROPER(TEXT(tbLOG[[#This Row],[DATA/HORA]],"dddd"))</f>
        <v>Segunda-Feira</v>
      </c>
      <c r="D2753" s="3" t="s">
        <v>604</v>
      </c>
      <c r="E2753" s="34" t="str">
        <f>IFERROR(VLOOKUP(tbLOG[[#This Row],[LOGIN]],tbMAPA[#All],2,0), "Não localizado")</f>
        <v>Renan Cazumba Tegani</v>
      </c>
      <c r="F2753" s="34" t="str">
        <f>IFERROR(VLOOKUP(tbLOG[[#This Row],[LOGIN]],tbMAPA[#All],3,0), "Não localizado")</f>
        <v>Reginaldo Santana De Souza</v>
      </c>
      <c r="G2753" s="3" t="s">
        <v>1211</v>
      </c>
      <c r="H2753" s="3" t="s">
        <v>836</v>
      </c>
    </row>
    <row r="2754" spans="1:8">
      <c r="A2754" s="29">
        <v>42751.569050925929</v>
      </c>
      <c r="B2754" s="29" t="str">
        <f>PROPER(TEXT(tbLOG[[#This Row],[DATA/HORA]],"mmmm"))</f>
        <v>Janeiro</v>
      </c>
      <c r="C2754" s="34" t="str">
        <f>PROPER(TEXT(tbLOG[[#This Row],[DATA/HORA]],"dddd"))</f>
        <v>Segunda-Feira</v>
      </c>
      <c r="D2754" s="3" t="s">
        <v>604</v>
      </c>
      <c r="E2754" s="34" t="str">
        <f>IFERROR(VLOOKUP(tbLOG[[#This Row],[LOGIN]],tbMAPA[#All],2,0), "Não localizado")</f>
        <v>Renan Cazumba Tegani</v>
      </c>
      <c r="F2754" s="34" t="str">
        <f>IFERROR(VLOOKUP(tbLOG[[#This Row],[LOGIN]],tbMAPA[#All],3,0), "Não localizado")</f>
        <v>Reginaldo Santana De Souza</v>
      </c>
      <c r="G2754" s="3" t="s">
        <v>1211</v>
      </c>
      <c r="H2754" s="3" t="s">
        <v>836</v>
      </c>
    </row>
    <row r="2755" spans="1:8">
      <c r="A2755" s="29">
        <v>42751.570208333331</v>
      </c>
      <c r="B2755" s="29" t="str">
        <f>PROPER(TEXT(tbLOG[[#This Row],[DATA/HORA]],"mmmm"))</f>
        <v>Janeiro</v>
      </c>
      <c r="C2755" s="34" t="str">
        <f>PROPER(TEXT(tbLOG[[#This Row],[DATA/HORA]],"dddd"))</f>
        <v>Segunda-Feira</v>
      </c>
      <c r="D2755" s="3" t="s">
        <v>604</v>
      </c>
      <c r="E2755" s="34" t="str">
        <f>IFERROR(VLOOKUP(tbLOG[[#This Row],[LOGIN]],tbMAPA[#All],2,0), "Não localizado")</f>
        <v>Renan Cazumba Tegani</v>
      </c>
      <c r="F2755" s="34" t="str">
        <f>IFERROR(VLOOKUP(tbLOG[[#This Row],[LOGIN]],tbMAPA[#All],3,0), "Não localizado")</f>
        <v>Reginaldo Santana De Souza</v>
      </c>
      <c r="G2755" s="3" t="s">
        <v>1211</v>
      </c>
      <c r="H2755" s="3" t="s">
        <v>836</v>
      </c>
    </row>
    <row r="2756" spans="1:8">
      <c r="A2756" s="29">
        <v>42751.571331018517</v>
      </c>
      <c r="B2756" s="29" t="str">
        <f>PROPER(TEXT(tbLOG[[#This Row],[DATA/HORA]],"mmmm"))</f>
        <v>Janeiro</v>
      </c>
      <c r="C2756" s="34" t="str">
        <f>PROPER(TEXT(tbLOG[[#This Row],[DATA/HORA]],"dddd"))</f>
        <v>Segunda-Feira</v>
      </c>
      <c r="D2756" s="3" t="s">
        <v>604</v>
      </c>
      <c r="E2756" s="34" t="str">
        <f>IFERROR(VLOOKUP(tbLOG[[#This Row],[LOGIN]],tbMAPA[#All],2,0), "Não localizado")</f>
        <v>Renan Cazumba Tegani</v>
      </c>
      <c r="F2756" s="34" t="str">
        <f>IFERROR(VLOOKUP(tbLOG[[#This Row],[LOGIN]],tbMAPA[#All],3,0), "Não localizado")</f>
        <v>Reginaldo Santana De Souza</v>
      </c>
      <c r="G2756" s="3" t="s">
        <v>1211</v>
      </c>
      <c r="H2756" s="3" t="s">
        <v>836</v>
      </c>
    </row>
    <row r="2757" spans="1:8">
      <c r="A2757" s="29">
        <v>42751.571342592593</v>
      </c>
      <c r="B2757" s="29" t="str">
        <f>PROPER(TEXT(tbLOG[[#This Row],[DATA/HORA]],"mmmm"))</f>
        <v>Janeiro</v>
      </c>
      <c r="C2757" s="34" t="str">
        <f>PROPER(TEXT(tbLOG[[#This Row],[DATA/HORA]],"dddd"))</f>
        <v>Segunda-Feira</v>
      </c>
      <c r="D2757" s="3" t="s">
        <v>604</v>
      </c>
      <c r="E2757" s="34" t="str">
        <f>IFERROR(VLOOKUP(tbLOG[[#This Row],[LOGIN]],tbMAPA[#All],2,0), "Não localizado")</f>
        <v>Renan Cazumba Tegani</v>
      </c>
      <c r="F2757" s="34" t="str">
        <f>IFERROR(VLOOKUP(tbLOG[[#This Row],[LOGIN]],tbMAPA[#All],3,0), "Não localizado")</f>
        <v>Reginaldo Santana De Souza</v>
      </c>
      <c r="G2757" s="3" t="s">
        <v>1211</v>
      </c>
      <c r="H2757" s="3" t="s">
        <v>836</v>
      </c>
    </row>
    <row r="2758" spans="1:8">
      <c r="A2758" s="29">
        <v>42751.57136574074</v>
      </c>
      <c r="B2758" s="29" t="str">
        <f>PROPER(TEXT(tbLOG[[#This Row],[DATA/HORA]],"mmmm"))</f>
        <v>Janeiro</v>
      </c>
      <c r="C2758" s="34" t="str">
        <f>PROPER(TEXT(tbLOG[[#This Row],[DATA/HORA]],"dddd"))</f>
        <v>Segunda-Feira</v>
      </c>
      <c r="D2758" s="3" t="s">
        <v>604</v>
      </c>
      <c r="E2758" s="34" t="str">
        <f>IFERROR(VLOOKUP(tbLOG[[#This Row],[LOGIN]],tbMAPA[#All],2,0), "Não localizado")</f>
        <v>Renan Cazumba Tegani</v>
      </c>
      <c r="F2758" s="34" t="str">
        <f>IFERROR(VLOOKUP(tbLOG[[#This Row],[LOGIN]],tbMAPA[#All],3,0), "Não localizado")</f>
        <v>Reginaldo Santana De Souza</v>
      </c>
      <c r="G2758" s="3" t="s">
        <v>1211</v>
      </c>
      <c r="H2758" s="3" t="s">
        <v>836</v>
      </c>
    </row>
    <row r="2759" spans="1:8">
      <c r="A2759" s="29">
        <v>42751.573310185187</v>
      </c>
      <c r="B2759" s="29" t="str">
        <f>PROPER(TEXT(tbLOG[[#This Row],[DATA/HORA]],"mmmm"))</f>
        <v>Janeiro</v>
      </c>
      <c r="C2759" s="34" t="str">
        <f>PROPER(TEXT(tbLOG[[#This Row],[DATA/HORA]],"dddd"))</f>
        <v>Segunda-Feira</v>
      </c>
      <c r="D2759" s="3" t="s">
        <v>604</v>
      </c>
      <c r="E2759" s="34" t="str">
        <f>IFERROR(VLOOKUP(tbLOG[[#This Row],[LOGIN]],tbMAPA[#All],2,0), "Não localizado")</f>
        <v>Renan Cazumba Tegani</v>
      </c>
      <c r="F2759" s="34" t="str">
        <f>IFERROR(VLOOKUP(tbLOG[[#This Row],[LOGIN]],tbMAPA[#All],3,0), "Não localizado")</f>
        <v>Reginaldo Santana De Souza</v>
      </c>
      <c r="G2759" s="3" t="s">
        <v>1211</v>
      </c>
      <c r="H2759" s="3" t="s">
        <v>836</v>
      </c>
    </row>
    <row r="2760" spans="1:8">
      <c r="A2760" s="29">
        <v>42751.575219907405</v>
      </c>
      <c r="B2760" s="29" t="str">
        <f>PROPER(TEXT(tbLOG[[#This Row],[DATA/HORA]],"mmmm"))</f>
        <v>Janeiro</v>
      </c>
      <c r="C2760" s="34" t="str">
        <f>PROPER(TEXT(tbLOG[[#This Row],[DATA/HORA]],"dddd"))</f>
        <v>Segunda-Feira</v>
      </c>
      <c r="D2760" s="3" t="s">
        <v>604</v>
      </c>
      <c r="E2760" s="34" t="str">
        <f>IFERROR(VLOOKUP(tbLOG[[#This Row],[LOGIN]],tbMAPA[#All],2,0), "Não localizado")</f>
        <v>Renan Cazumba Tegani</v>
      </c>
      <c r="F2760" s="34" t="str">
        <f>IFERROR(VLOOKUP(tbLOG[[#This Row],[LOGIN]],tbMAPA[#All],3,0), "Não localizado")</f>
        <v>Reginaldo Santana De Souza</v>
      </c>
      <c r="G2760" s="3" t="s">
        <v>1211</v>
      </c>
      <c r="H2760" s="3" t="s">
        <v>836</v>
      </c>
    </row>
    <row r="2761" spans="1:8">
      <c r="A2761" s="29">
        <v>42751.575243055559</v>
      </c>
      <c r="B2761" s="29" t="str">
        <f>PROPER(TEXT(tbLOG[[#This Row],[DATA/HORA]],"mmmm"))</f>
        <v>Janeiro</v>
      </c>
      <c r="C2761" s="34" t="str">
        <f>PROPER(TEXT(tbLOG[[#This Row],[DATA/HORA]],"dddd"))</f>
        <v>Segunda-Feira</v>
      </c>
      <c r="D2761" s="3" t="s">
        <v>604</v>
      </c>
      <c r="E2761" s="34" t="str">
        <f>IFERROR(VLOOKUP(tbLOG[[#This Row],[LOGIN]],tbMAPA[#All],2,0), "Não localizado")</f>
        <v>Renan Cazumba Tegani</v>
      </c>
      <c r="F2761" s="34" t="str">
        <f>IFERROR(VLOOKUP(tbLOG[[#This Row],[LOGIN]],tbMAPA[#All],3,0), "Não localizado")</f>
        <v>Reginaldo Santana De Souza</v>
      </c>
      <c r="G2761" s="3" t="s">
        <v>1211</v>
      </c>
      <c r="H2761" s="3" t="s">
        <v>836</v>
      </c>
    </row>
    <row r="2762" spans="1:8">
      <c r="A2762" s="29">
        <v>42751.575300925928</v>
      </c>
      <c r="B2762" s="29" t="str">
        <f>PROPER(TEXT(tbLOG[[#This Row],[DATA/HORA]],"mmmm"))</f>
        <v>Janeiro</v>
      </c>
      <c r="C2762" s="34" t="str">
        <f>PROPER(TEXT(tbLOG[[#This Row],[DATA/HORA]],"dddd"))</f>
        <v>Segunda-Feira</v>
      </c>
      <c r="D2762" s="3" t="s">
        <v>604</v>
      </c>
      <c r="E2762" s="34" t="str">
        <f>IFERROR(VLOOKUP(tbLOG[[#This Row],[LOGIN]],tbMAPA[#All],2,0), "Não localizado")</f>
        <v>Renan Cazumba Tegani</v>
      </c>
      <c r="F2762" s="34" t="str">
        <f>IFERROR(VLOOKUP(tbLOG[[#This Row],[LOGIN]],tbMAPA[#All],3,0), "Não localizado")</f>
        <v>Reginaldo Santana De Souza</v>
      </c>
      <c r="G2762" s="3" t="s">
        <v>1211</v>
      </c>
      <c r="H2762" s="3" t="s">
        <v>836</v>
      </c>
    </row>
    <row r="2763" spans="1:8">
      <c r="A2763" s="29">
        <v>42751.575381944444</v>
      </c>
      <c r="B2763" s="29" t="str">
        <f>PROPER(TEXT(tbLOG[[#This Row],[DATA/HORA]],"mmmm"))</f>
        <v>Janeiro</v>
      </c>
      <c r="C2763" s="34" t="str">
        <f>PROPER(TEXT(tbLOG[[#This Row],[DATA/HORA]],"dddd"))</f>
        <v>Segunda-Feira</v>
      </c>
      <c r="D2763" s="3" t="s">
        <v>604</v>
      </c>
      <c r="E2763" s="34" t="str">
        <f>IFERROR(VLOOKUP(tbLOG[[#This Row],[LOGIN]],tbMAPA[#All],2,0), "Não localizado")</f>
        <v>Renan Cazumba Tegani</v>
      </c>
      <c r="F2763" s="34" t="str">
        <f>IFERROR(VLOOKUP(tbLOG[[#This Row],[LOGIN]],tbMAPA[#All],3,0), "Não localizado")</f>
        <v>Reginaldo Santana De Souza</v>
      </c>
      <c r="G2763" s="3" t="s">
        <v>1211</v>
      </c>
      <c r="H2763" s="3" t="s">
        <v>836</v>
      </c>
    </row>
    <row r="2764" spans="1:8">
      <c r="A2764" s="29">
        <v>42751.575416666667</v>
      </c>
      <c r="B2764" s="29" t="str">
        <f>PROPER(TEXT(tbLOG[[#This Row],[DATA/HORA]],"mmmm"))</f>
        <v>Janeiro</v>
      </c>
      <c r="C2764" s="34" t="str">
        <f>PROPER(TEXT(tbLOG[[#This Row],[DATA/HORA]],"dddd"))</f>
        <v>Segunda-Feira</v>
      </c>
      <c r="D2764" s="3" t="s">
        <v>604</v>
      </c>
      <c r="E2764" s="34" t="str">
        <f>IFERROR(VLOOKUP(tbLOG[[#This Row],[LOGIN]],tbMAPA[#All],2,0), "Não localizado")</f>
        <v>Renan Cazumba Tegani</v>
      </c>
      <c r="F2764" s="34" t="str">
        <f>IFERROR(VLOOKUP(tbLOG[[#This Row],[LOGIN]],tbMAPA[#All],3,0), "Não localizado")</f>
        <v>Reginaldo Santana De Souza</v>
      </c>
      <c r="G2764" s="3" t="s">
        <v>1211</v>
      </c>
      <c r="H2764" s="3" t="s">
        <v>836</v>
      </c>
    </row>
    <row r="2765" spans="1:8">
      <c r="A2765" s="29">
        <v>42751.576423611114</v>
      </c>
      <c r="B2765" s="29" t="str">
        <f>PROPER(TEXT(tbLOG[[#This Row],[DATA/HORA]],"mmmm"))</f>
        <v>Janeiro</v>
      </c>
      <c r="C2765" s="34" t="str">
        <f>PROPER(TEXT(tbLOG[[#This Row],[DATA/HORA]],"dddd"))</f>
        <v>Segunda-Feira</v>
      </c>
      <c r="D2765" s="3" t="s">
        <v>604</v>
      </c>
      <c r="E2765" s="34" t="str">
        <f>IFERROR(VLOOKUP(tbLOG[[#This Row],[LOGIN]],tbMAPA[#All],2,0), "Não localizado")</f>
        <v>Renan Cazumba Tegani</v>
      </c>
      <c r="F2765" s="34" t="str">
        <f>IFERROR(VLOOKUP(tbLOG[[#This Row],[LOGIN]],tbMAPA[#All],3,0), "Não localizado")</f>
        <v>Reginaldo Santana De Souza</v>
      </c>
      <c r="G2765" s="3" t="s">
        <v>1211</v>
      </c>
      <c r="H2765" s="3" t="s">
        <v>836</v>
      </c>
    </row>
    <row r="2766" spans="1:8">
      <c r="A2766" s="29">
        <v>42751.57644675926</v>
      </c>
      <c r="B2766" s="29" t="str">
        <f>PROPER(TEXT(tbLOG[[#This Row],[DATA/HORA]],"mmmm"))</f>
        <v>Janeiro</v>
      </c>
      <c r="C2766" s="34" t="str">
        <f>PROPER(TEXT(tbLOG[[#This Row],[DATA/HORA]],"dddd"))</f>
        <v>Segunda-Feira</v>
      </c>
      <c r="D2766" s="3" t="s">
        <v>604</v>
      </c>
      <c r="E2766" s="34" t="str">
        <f>IFERROR(VLOOKUP(tbLOG[[#This Row],[LOGIN]],tbMAPA[#All],2,0), "Não localizado")</f>
        <v>Renan Cazumba Tegani</v>
      </c>
      <c r="F2766" s="34" t="str">
        <f>IFERROR(VLOOKUP(tbLOG[[#This Row],[LOGIN]],tbMAPA[#All],3,0), "Não localizado")</f>
        <v>Reginaldo Santana De Souza</v>
      </c>
      <c r="G2766" s="3" t="s">
        <v>1211</v>
      </c>
      <c r="H2766" s="3" t="s">
        <v>836</v>
      </c>
    </row>
    <row r="2767" spans="1:8">
      <c r="A2767" s="29">
        <v>42751.576469907406</v>
      </c>
      <c r="B2767" s="29" t="str">
        <f>PROPER(TEXT(tbLOG[[#This Row],[DATA/HORA]],"mmmm"))</f>
        <v>Janeiro</v>
      </c>
      <c r="C2767" s="34" t="str">
        <f>PROPER(TEXT(tbLOG[[#This Row],[DATA/HORA]],"dddd"))</f>
        <v>Segunda-Feira</v>
      </c>
      <c r="D2767" s="3" t="s">
        <v>604</v>
      </c>
      <c r="E2767" s="34" t="str">
        <f>IFERROR(VLOOKUP(tbLOG[[#This Row],[LOGIN]],tbMAPA[#All],2,0), "Não localizado")</f>
        <v>Renan Cazumba Tegani</v>
      </c>
      <c r="F2767" s="34" t="str">
        <f>IFERROR(VLOOKUP(tbLOG[[#This Row],[LOGIN]],tbMAPA[#All],3,0), "Não localizado")</f>
        <v>Reginaldo Santana De Souza</v>
      </c>
      <c r="G2767" s="3" t="s">
        <v>1211</v>
      </c>
      <c r="H2767" s="3" t="s">
        <v>836</v>
      </c>
    </row>
    <row r="2768" spans="1:8">
      <c r="A2768" s="29">
        <v>42751.580370370371</v>
      </c>
      <c r="B2768" s="29" t="str">
        <f>PROPER(TEXT(tbLOG[[#This Row],[DATA/HORA]],"mmmm"))</f>
        <v>Janeiro</v>
      </c>
      <c r="C2768" s="34" t="str">
        <f>PROPER(TEXT(tbLOG[[#This Row],[DATA/HORA]],"dddd"))</f>
        <v>Segunda-Feira</v>
      </c>
      <c r="D2768" s="3" t="s">
        <v>604</v>
      </c>
      <c r="E2768" s="34" t="str">
        <f>IFERROR(VLOOKUP(tbLOG[[#This Row],[LOGIN]],tbMAPA[#All],2,0), "Não localizado")</f>
        <v>Renan Cazumba Tegani</v>
      </c>
      <c r="F2768" s="34" t="str">
        <f>IFERROR(VLOOKUP(tbLOG[[#This Row],[LOGIN]],tbMAPA[#All],3,0), "Não localizado")</f>
        <v>Reginaldo Santana De Souza</v>
      </c>
      <c r="G2768" s="3" t="s">
        <v>1211</v>
      </c>
      <c r="H2768" s="3" t="s">
        <v>836</v>
      </c>
    </row>
    <row r="2769" spans="1:8">
      <c r="A2769" s="29">
        <v>42751.581678240742</v>
      </c>
      <c r="B2769" s="29" t="str">
        <f>PROPER(TEXT(tbLOG[[#This Row],[DATA/HORA]],"mmmm"))</f>
        <v>Janeiro</v>
      </c>
      <c r="C2769" s="34" t="str">
        <f>PROPER(TEXT(tbLOG[[#This Row],[DATA/HORA]],"dddd"))</f>
        <v>Segunda-Feira</v>
      </c>
      <c r="D2769" s="3" t="s">
        <v>604</v>
      </c>
      <c r="E2769" s="34" t="str">
        <f>IFERROR(VLOOKUP(tbLOG[[#This Row],[LOGIN]],tbMAPA[#All],2,0), "Não localizado")</f>
        <v>Renan Cazumba Tegani</v>
      </c>
      <c r="F2769" s="34" t="str">
        <f>IFERROR(VLOOKUP(tbLOG[[#This Row],[LOGIN]],tbMAPA[#All],3,0), "Não localizado")</f>
        <v>Reginaldo Santana De Souza</v>
      </c>
      <c r="G2769" s="3" t="s">
        <v>1211</v>
      </c>
      <c r="H2769" s="3" t="s">
        <v>836</v>
      </c>
    </row>
    <row r="2770" spans="1:8">
      <c r="A2770" s="29">
        <v>42751.581712962965</v>
      </c>
      <c r="B2770" s="29" t="str">
        <f>PROPER(TEXT(tbLOG[[#This Row],[DATA/HORA]],"mmmm"))</f>
        <v>Janeiro</v>
      </c>
      <c r="C2770" s="34" t="str">
        <f>PROPER(TEXT(tbLOG[[#This Row],[DATA/HORA]],"dddd"))</f>
        <v>Segunda-Feira</v>
      </c>
      <c r="D2770" s="3" t="s">
        <v>604</v>
      </c>
      <c r="E2770" s="34" t="str">
        <f>IFERROR(VLOOKUP(tbLOG[[#This Row],[LOGIN]],tbMAPA[#All],2,0), "Não localizado")</f>
        <v>Renan Cazumba Tegani</v>
      </c>
      <c r="F2770" s="34" t="str">
        <f>IFERROR(VLOOKUP(tbLOG[[#This Row],[LOGIN]],tbMAPA[#All],3,0), "Não localizado")</f>
        <v>Reginaldo Santana De Souza</v>
      </c>
      <c r="G2770" s="3" t="s">
        <v>1211</v>
      </c>
      <c r="H2770" s="3" t="s">
        <v>836</v>
      </c>
    </row>
    <row r="2771" spans="1:8">
      <c r="A2771" s="29">
        <v>42751.581759259258</v>
      </c>
      <c r="B2771" s="29" t="str">
        <f>PROPER(TEXT(tbLOG[[#This Row],[DATA/HORA]],"mmmm"))</f>
        <v>Janeiro</v>
      </c>
      <c r="C2771" s="34" t="str">
        <f>PROPER(TEXT(tbLOG[[#This Row],[DATA/HORA]],"dddd"))</f>
        <v>Segunda-Feira</v>
      </c>
      <c r="D2771" s="3" t="s">
        <v>604</v>
      </c>
      <c r="E2771" s="34" t="str">
        <f>IFERROR(VLOOKUP(tbLOG[[#This Row],[LOGIN]],tbMAPA[#All],2,0), "Não localizado")</f>
        <v>Renan Cazumba Tegani</v>
      </c>
      <c r="F2771" s="34" t="str">
        <f>IFERROR(VLOOKUP(tbLOG[[#This Row],[LOGIN]],tbMAPA[#All],3,0), "Não localizado")</f>
        <v>Reginaldo Santana De Souza</v>
      </c>
      <c r="G2771" s="3" t="s">
        <v>1211</v>
      </c>
      <c r="H2771" s="3" t="s">
        <v>836</v>
      </c>
    </row>
    <row r="2772" spans="1:8">
      <c r="A2772" s="29">
        <v>42751.583113425928</v>
      </c>
      <c r="B2772" s="29" t="str">
        <f>PROPER(TEXT(tbLOG[[#This Row],[DATA/HORA]],"mmmm"))</f>
        <v>Janeiro</v>
      </c>
      <c r="C2772" s="34" t="str">
        <f>PROPER(TEXT(tbLOG[[#This Row],[DATA/HORA]],"dddd"))</f>
        <v>Segunda-Feira</v>
      </c>
      <c r="D2772" s="3" t="s">
        <v>604</v>
      </c>
      <c r="E2772" s="34" t="str">
        <f>IFERROR(VLOOKUP(tbLOG[[#This Row],[LOGIN]],tbMAPA[#All],2,0), "Não localizado")</f>
        <v>Renan Cazumba Tegani</v>
      </c>
      <c r="F2772" s="34" t="str">
        <f>IFERROR(VLOOKUP(tbLOG[[#This Row],[LOGIN]],tbMAPA[#All],3,0), "Não localizado")</f>
        <v>Reginaldo Santana De Souza</v>
      </c>
      <c r="G2772" s="3" t="s">
        <v>1211</v>
      </c>
      <c r="H2772" s="3" t="s">
        <v>836</v>
      </c>
    </row>
    <row r="2773" spans="1:8">
      <c r="A2773" s="29">
        <v>42751.583136574074</v>
      </c>
      <c r="B2773" s="29" t="str">
        <f>PROPER(TEXT(tbLOG[[#This Row],[DATA/HORA]],"mmmm"))</f>
        <v>Janeiro</v>
      </c>
      <c r="C2773" s="34" t="str">
        <f>PROPER(TEXT(tbLOG[[#This Row],[DATA/HORA]],"dddd"))</f>
        <v>Segunda-Feira</v>
      </c>
      <c r="D2773" s="3" t="s">
        <v>604</v>
      </c>
      <c r="E2773" s="34" t="str">
        <f>IFERROR(VLOOKUP(tbLOG[[#This Row],[LOGIN]],tbMAPA[#All],2,0), "Não localizado")</f>
        <v>Renan Cazumba Tegani</v>
      </c>
      <c r="F2773" s="34" t="str">
        <f>IFERROR(VLOOKUP(tbLOG[[#This Row],[LOGIN]],tbMAPA[#All],3,0), "Não localizado")</f>
        <v>Reginaldo Santana De Souza</v>
      </c>
      <c r="G2773" s="3" t="s">
        <v>1211</v>
      </c>
      <c r="H2773" s="3" t="s">
        <v>290</v>
      </c>
    </row>
    <row r="2774" spans="1:8">
      <c r="A2774" s="29">
        <v>42751.631354166668</v>
      </c>
      <c r="B2774" s="29" t="str">
        <f>PROPER(TEXT(tbLOG[[#This Row],[DATA/HORA]],"mmmm"))</f>
        <v>Janeiro</v>
      </c>
      <c r="C2774" s="34" t="str">
        <f>PROPER(TEXT(tbLOG[[#This Row],[DATA/HORA]],"dddd"))</f>
        <v>Segunda-Feira</v>
      </c>
      <c r="D2774" s="3" t="s">
        <v>604</v>
      </c>
      <c r="E2774" s="34" t="str">
        <f>IFERROR(VLOOKUP(tbLOG[[#This Row],[LOGIN]],tbMAPA[#All],2,0), "Não localizado")</f>
        <v>Renan Cazumba Tegani</v>
      </c>
      <c r="F2774" s="34" t="str">
        <f>IFERROR(VLOOKUP(tbLOG[[#This Row],[LOGIN]],tbMAPA[#All],3,0), "Não localizado")</f>
        <v>Reginaldo Santana De Souza</v>
      </c>
      <c r="G2774" s="3" t="s">
        <v>1211</v>
      </c>
      <c r="H2774" s="3" t="s">
        <v>836</v>
      </c>
    </row>
    <row r="2775" spans="1:8">
      <c r="A2775" s="29">
        <v>42751.634189814817</v>
      </c>
      <c r="B2775" s="29" t="str">
        <f>PROPER(TEXT(tbLOG[[#This Row],[DATA/HORA]],"mmmm"))</f>
        <v>Janeiro</v>
      </c>
      <c r="C2775" s="34" t="str">
        <f>PROPER(TEXT(tbLOG[[#This Row],[DATA/HORA]],"dddd"))</f>
        <v>Segunda-Feira</v>
      </c>
      <c r="D2775" s="3" t="s">
        <v>604</v>
      </c>
      <c r="E2775" s="34" t="str">
        <f>IFERROR(VLOOKUP(tbLOG[[#This Row],[LOGIN]],tbMAPA[#All],2,0), "Não localizado")</f>
        <v>Renan Cazumba Tegani</v>
      </c>
      <c r="F2775" s="34" t="str">
        <f>IFERROR(VLOOKUP(tbLOG[[#This Row],[LOGIN]],tbMAPA[#All],3,0), "Não localizado")</f>
        <v>Reginaldo Santana De Souza</v>
      </c>
      <c r="G2775" s="3" t="s">
        <v>1211</v>
      </c>
      <c r="H2775" s="3" t="s">
        <v>836</v>
      </c>
    </row>
    <row r="2776" spans="1:8">
      <c r="A2776" s="29">
        <v>42751.634270833332</v>
      </c>
      <c r="B2776" s="29" t="str">
        <f>PROPER(TEXT(tbLOG[[#This Row],[DATA/HORA]],"mmmm"))</f>
        <v>Janeiro</v>
      </c>
      <c r="C2776" s="34" t="str">
        <f>PROPER(TEXT(tbLOG[[#This Row],[DATA/HORA]],"dddd"))</f>
        <v>Segunda-Feira</v>
      </c>
      <c r="D2776" s="3" t="s">
        <v>604</v>
      </c>
      <c r="E2776" s="34" t="str">
        <f>IFERROR(VLOOKUP(tbLOG[[#This Row],[LOGIN]],tbMAPA[#All],2,0), "Não localizado")</f>
        <v>Renan Cazumba Tegani</v>
      </c>
      <c r="F2776" s="34" t="str">
        <f>IFERROR(VLOOKUP(tbLOG[[#This Row],[LOGIN]],tbMAPA[#All],3,0), "Não localizado")</f>
        <v>Reginaldo Santana De Souza</v>
      </c>
      <c r="G2776" s="3" t="s">
        <v>1211</v>
      </c>
      <c r="H2776" s="3" t="s">
        <v>836</v>
      </c>
    </row>
    <row r="2777" spans="1:8">
      <c r="A2777" s="29">
        <v>42751.634305555555</v>
      </c>
      <c r="B2777" s="29" t="str">
        <f>PROPER(TEXT(tbLOG[[#This Row],[DATA/HORA]],"mmmm"))</f>
        <v>Janeiro</v>
      </c>
      <c r="C2777" s="34" t="str">
        <f>PROPER(TEXT(tbLOG[[#This Row],[DATA/HORA]],"dddd"))</f>
        <v>Segunda-Feira</v>
      </c>
      <c r="D2777" s="3" t="s">
        <v>604</v>
      </c>
      <c r="E2777" s="34" t="str">
        <f>IFERROR(VLOOKUP(tbLOG[[#This Row],[LOGIN]],tbMAPA[#All],2,0), "Não localizado")</f>
        <v>Renan Cazumba Tegani</v>
      </c>
      <c r="F2777" s="34" t="str">
        <f>IFERROR(VLOOKUP(tbLOG[[#This Row],[LOGIN]],tbMAPA[#All],3,0), "Não localizado")</f>
        <v>Reginaldo Santana De Souza</v>
      </c>
      <c r="G2777" s="3" t="s">
        <v>1211</v>
      </c>
      <c r="H2777" s="3" t="s">
        <v>836</v>
      </c>
    </row>
    <row r="2778" spans="1:8">
      <c r="A2778" s="29">
        <v>42751.639548611114</v>
      </c>
      <c r="B2778" s="29" t="str">
        <f>PROPER(TEXT(tbLOG[[#This Row],[DATA/HORA]],"mmmm"))</f>
        <v>Janeiro</v>
      </c>
      <c r="C2778" s="34" t="str">
        <f>PROPER(TEXT(tbLOG[[#This Row],[DATA/HORA]],"dddd"))</f>
        <v>Segunda-Feira</v>
      </c>
      <c r="D2778" s="3" t="s">
        <v>604</v>
      </c>
      <c r="E2778" s="34" t="str">
        <f>IFERROR(VLOOKUP(tbLOG[[#This Row],[LOGIN]],tbMAPA[#All],2,0), "Não localizado")</f>
        <v>Renan Cazumba Tegani</v>
      </c>
      <c r="F2778" s="34" t="str">
        <f>IFERROR(VLOOKUP(tbLOG[[#This Row],[LOGIN]],tbMAPA[#All],3,0), "Não localizado")</f>
        <v>Reginaldo Santana De Souza</v>
      </c>
      <c r="G2778" s="3" t="s">
        <v>1211</v>
      </c>
      <c r="H2778" s="3" t="s">
        <v>836</v>
      </c>
    </row>
    <row r="2779" spans="1:8">
      <c r="A2779" s="29">
        <v>42751.63962962963</v>
      </c>
      <c r="B2779" s="29" t="str">
        <f>PROPER(TEXT(tbLOG[[#This Row],[DATA/HORA]],"mmmm"))</f>
        <v>Janeiro</v>
      </c>
      <c r="C2779" s="34" t="str">
        <f>PROPER(TEXT(tbLOG[[#This Row],[DATA/HORA]],"dddd"))</f>
        <v>Segunda-Feira</v>
      </c>
      <c r="D2779" s="3" t="s">
        <v>604</v>
      </c>
      <c r="E2779" s="34" t="str">
        <f>IFERROR(VLOOKUP(tbLOG[[#This Row],[LOGIN]],tbMAPA[#All],2,0), "Não localizado")</f>
        <v>Renan Cazumba Tegani</v>
      </c>
      <c r="F2779" s="34" t="str">
        <f>IFERROR(VLOOKUP(tbLOG[[#This Row],[LOGIN]],tbMAPA[#All],3,0), "Não localizado")</f>
        <v>Reginaldo Santana De Souza</v>
      </c>
      <c r="G2779" s="3" t="s">
        <v>1211</v>
      </c>
      <c r="H2779" s="3" t="s">
        <v>836</v>
      </c>
    </row>
    <row r="2780" spans="1:8">
      <c r="A2780" s="29">
        <v>42751.639652777776</v>
      </c>
      <c r="B2780" s="29" t="str">
        <f>PROPER(TEXT(tbLOG[[#This Row],[DATA/HORA]],"mmmm"))</f>
        <v>Janeiro</v>
      </c>
      <c r="C2780" s="34" t="str">
        <f>PROPER(TEXT(tbLOG[[#This Row],[DATA/HORA]],"dddd"))</f>
        <v>Segunda-Feira</v>
      </c>
      <c r="D2780" s="3" t="s">
        <v>604</v>
      </c>
      <c r="E2780" s="34" t="str">
        <f>IFERROR(VLOOKUP(tbLOG[[#This Row],[LOGIN]],tbMAPA[#All],2,0), "Não localizado")</f>
        <v>Renan Cazumba Tegani</v>
      </c>
      <c r="F2780" s="34" t="str">
        <f>IFERROR(VLOOKUP(tbLOG[[#This Row],[LOGIN]],tbMAPA[#All],3,0), "Não localizado")</f>
        <v>Reginaldo Santana De Souza</v>
      </c>
      <c r="G2780" s="3" t="s">
        <v>1211</v>
      </c>
      <c r="H2780" s="3" t="s">
        <v>836</v>
      </c>
    </row>
    <row r="2781" spans="1:8">
      <c r="A2781" s="29">
        <v>42751.640925925924</v>
      </c>
      <c r="B2781" s="29" t="str">
        <f>PROPER(TEXT(tbLOG[[#This Row],[DATA/HORA]],"mmmm"))</f>
        <v>Janeiro</v>
      </c>
      <c r="C2781" s="34" t="str">
        <f>PROPER(TEXT(tbLOG[[#This Row],[DATA/HORA]],"dddd"))</f>
        <v>Segunda-Feira</v>
      </c>
      <c r="D2781" s="3" t="s">
        <v>604</v>
      </c>
      <c r="E2781" s="34" t="str">
        <f>IFERROR(VLOOKUP(tbLOG[[#This Row],[LOGIN]],tbMAPA[#All],2,0), "Não localizado")</f>
        <v>Renan Cazumba Tegani</v>
      </c>
      <c r="F2781" s="34" t="str">
        <f>IFERROR(VLOOKUP(tbLOG[[#This Row],[LOGIN]],tbMAPA[#All],3,0), "Não localizado")</f>
        <v>Reginaldo Santana De Souza</v>
      </c>
      <c r="G2781" s="3" t="s">
        <v>1211</v>
      </c>
      <c r="H2781" s="3" t="s">
        <v>836</v>
      </c>
    </row>
    <row r="2782" spans="1:8">
      <c r="A2782" s="29">
        <v>42751.642696759256</v>
      </c>
      <c r="B2782" s="29" t="str">
        <f>PROPER(TEXT(tbLOG[[#This Row],[DATA/HORA]],"mmmm"))</f>
        <v>Janeiro</v>
      </c>
      <c r="C2782" s="34" t="str">
        <f>PROPER(TEXT(tbLOG[[#This Row],[DATA/HORA]],"dddd"))</f>
        <v>Segunda-Feira</v>
      </c>
      <c r="D2782" s="3" t="s">
        <v>604</v>
      </c>
      <c r="E2782" s="34" t="str">
        <f>IFERROR(VLOOKUP(tbLOG[[#This Row],[LOGIN]],tbMAPA[#All],2,0), "Não localizado")</f>
        <v>Renan Cazumba Tegani</v>
      </c>
      <c r="F2782" s="34" t="str">
        <f>IFERROR(VLOOKUP(tbLOG[[#This Row],[LOGIN]],tbMAPA[#All],3,0), "Não localizado")</f>
        <v>Reginaldo Santana De Souza</v>
      </c>
      <c r="G2782" s="3" t="s">
        <v>1211</v>
      </c>
      <c r="H2782" s="3" t="s">
        <v>836</v>
      </c>
    </row>
    <row r="2783" spans="1:8">
      <c r="A2783" s="29">
        <v>42751.642708333333</v>
      </c>
      <c r="B2783" s="29" t="str">
        <f>PROPER(TEXT(tbLOG[[#This Row],[DATA/HORA]],"mmmm"))</f>
        <v>Janeiro</v>
      </c>
      <c r="C2783" s="34" t="str">
        <f>PROPER(TEXT(tbLOG[[#This Row],[DATA/HORA]],"dddd"))</f>
        <v>Segunda-Feira</v>
      </c>
      <c r="D2783" s="3" t="s">
        <v>604</v>
      </c>
      <c r="E2783" s="34" t="str">
        <f>IFERROR(VLOOKUP(tbLOG[[#This Row],[LOGIN]],tbMAPA[#All],2,0), "Não localizado")</f>
        <v>Renan Cazumba Tegani</v>
      </c>
      <c r="F2783" s="34" t="str">
        <f>IFERROR(VLOOKUP(tbLOG[[#This Row],[LOGIN]],tbMAPA[#All],3,0), "Não localizado")</f>
        <v>Reginaldo Santana De Souza</v>
      </c>
      <c r="G2783" s="3" t="s">
        <v>1211</v>
      </c>
      <c r="H2783" s="3" t="s">
        <v>836</v>
      </c>
    </row>
    <row r="2784" spans="1:8">
      <c r="A2784" s="29">
        <v>42751.642743055556</v>
      </c>
      <c r="B2784" s="29" t="str">
        <f>PROPER(TEXT(tbLOG[[#This Row],[DATA/HORA]],"mmmm"))</f>
        <v>Janeiro</v>
      </c>
      <c r="C2784" s="34" t="str">
        <f>PROPER(TEXT(tbLOG[[#This Row],[DATA/HORA]],"dddd"))</f>
        <v>Segunda-Feira</v>
      </c>
      <c r="D2784" s="3" t="s">
        <v>604</v>
      </c>
      <c r="E2784" s="34" t="str">
        <f>IFERROR(VLOOKUP(tbLOG[[#This Row],[LOGIN]],tbMAPA[#All],2,0), "Não localizado")</f>
        <v>Renan Cazumba Tegani</v>
      </c>
      <c r="F2784" s="34" t="str">
        <f>IFERROR(VLOOKUP(tbLOG[[#This Row],[LOGIN]],tbMAPA[#All],3,0), "Não localizado")</f>
        <v>Reginaldo Santana De Souza</v>
      </c>
      <c r="G2784" s="3" t="s">
        <v>1211</v>
      </c>
      <c r="H2784" s="3" t="s">
        <v>836</v>
      </c>
    </row>
    <row r="2785" spans="1:8">
      <c r="A2785" s="29">
        <v>42751.642835648148</v>
      </c>
      <c r="B2785" s="29" t="str">
        <f>PROPER(TEXT(tbLOG[[#This Row],[DATA/HORA]],"mmmm"))</f>
        <v>Janeiro</v>
      </c>
      <c r="C2785" s="34" t="str">
        <f>PROPER(TEXT(tbLOG[[#This Row],[DATA/HORA]],"dddd"))</f>
        <v>Segunda-Feira</v>
      </c>
      <c r="D2785" s="3" t="s">
        <v>604</v>
      </c>
      <c r="E2785" s="34" t="str">
        <f>IFERROR(VLOOKUP(tbLOG[[#This Row],[LOGIN]],tbMAPA[#All],2,0), "Não localizado")</f>
        <v>Renan Cazumba Tegani</v>
      </c>
      <c r="F2785" s="34" t="str">
        <f>IFERROR(VLOOKUP(tbLOG[[#This Row],[LOGIN]],tbMAPA[#All],3,0), "Não localizado")</f>
        <v>Reginaldo Santana De Souza</v>
      </c>
      <c r="G2785" s="3" t="s">
        <v>1211</v>
      </c>
      <c r="H2785" s="3" t="s">
        <v>836</v>
      </c>
    </row>
    <row r="2786" spans="1:8">
      <c r="A2786" s="29">
        <v>42751.642847222225</v>
      </c>
      <c r="B2786" s="29" t="str">
        <f>PROPER(TEXT(tbLOG[[#This Row],[DATA/HORA]],"mmmm"))</f>
        <v>Janeiro</v>
      </c>
      <c r="C2786" s="34" t="str">
        <f>PROPER(TEXT(tbLOG[[#This Row],[DATA/HORA]],"dddd"))</f>
        <v>Segunda-Feira</v>
      </c>
      <c r="D2786" s="3" t="s">
        <v>604</v>
      </c>
      <c r="E2786" s="34" t="str">
        <f>IFERROR(VLOOKUP(tbLOG[[#This Row],[LOGIN]],tbMAPA[#All],2,0), "Não localizado")</f>
        <v>Renan Cazumba Tegani</v>
      </c>
      <c r="F2786" s="34" t="str">
        <f>IFERROR(VLOOKUP(tbLOG[[#This Row],[LOGIN]],tbMAPA[#All],3,0), "Não localizado")</f>
        <v>Reginaldo Santana De Souza</v>
      </c>
      <c r="G2786" s="3" t="s">
        <v>1211</v>
      </c>
      <c r="H2786" s="3" t="s">
        <v>836</v>
      </c>
    </row>
    <row r="2787" spans="1:8">
      <c r="A2787" s="29">
        <v>42751.644513888888</v>
      </c>
      <c r="B2787" s="29" t="str">
        <f>PROPER(TEXT(tbLOG[[#This Row],[DATA/HORA]],"mmmm"))</f>
        <v>Janeiro</v>
      </c>
      <c r="C2787" s="34" t="str">
        <f>PROPER(TEXT(tbLOG[[#This Row],[DATA/HORA]],"dddd"))</f>
        <v>Segunda-Feira</v>
      </c>
      <c r="D2787" s="3" t="s">
        <v>604</v>
      </c>
      <c r="E2787" s="34" t="str">
        <f>IFERROR(VLOOKUP(tbLOG[[#This Row],[LOGIN]],tbMAPA[#All],2,0), "Não localizado")</f>
        <v>Renan Cazumba Tegani</v>
      </c>
      <c r="F2787" s="34" t="str">
        <f>IFERROR(VLOOKUP(tbLOG[[#This Row],[LOGIN]],tbMAPA[#All],3,0), "Não localizado")</f>
        <v>Reginaldo Santana De Souza</v>
      </c>
      <c r="G2787" s="3" t="s">
        <v>1211</v>
      </c>
      <c r="H2787" s="3" t="s">
        <v>836</v>
      </c>
    </row>
    <row r="2788" spans="1:8">
      <c r="A2788" s="29">
        <v>42751.644525462965</v>
      </c>
      <c r="B2788" s="29" t="str">
        <f>PROPER(TEXT(tbLOG[[#This Row],[DATA/HORA]],"mmmm"))</f>
        <v>Janeiro</v>
      </c>
      <c r="C2788" s="34" t="str">
        <f>PROPER(TEXT(tbLOG[[#This Row],[DATA/HORA]],"dddd"))</f>
        <v>Segunda-Feira</v>
      </c>
      <c r="D2788" s="3" t="s">
        <v>604</v>
      </c>
      <c r="E2788" s="34" t="str">
        <f>IFERROR(VLOOKUP(tbLOG[[#This Row],[LOGIN]],tbMAPA[#All],2,0), "Não localizado")</f>
        <v>Renan Cazumba Tegani</v>
      </c>
      <c r="F2788" s="34" t="str">
        <f>IFERROR(VLOOKUP(tbLOG[[#This Row],[LOGIN]],tbMAPA[#All],3,0), "Não localizado")</f>
        <v>Reginaldo Santana De Souza</v>
      </c>
      <c r="G2788" s="3" t="s">
        <v>1211</v>
      </c>
      <c r="H2788" s="3" t="s">
        <v>836</v>
      </c>
    </row>
    <row r="2789" spans="1:8">
      <c r="A2789" s="29">
        <v>42751.64466435185</v>
      </c>
      <c r="B2789" s="29" t="str">
        <f>PROPER(TEXT(tbLOG[[#This Row],[DATA/HORA]],"mmmm"))</f>
        <v>Janeiro</v>
      </c>
      <c r="C2789" s="34" t="str">
        <f>PROPER(TEXT(tbLOG[[#This Row],[DATA/HORA]],"dddd"))</f>
        <v>Segunda-Feira</v>
      </c>
      <c r="D2789" s="3" t="s">
        <v>604</v>
      </c>
      <c r="E2789" s="34" t="str">
        <f>IFERROR(VLOOKUP(tbLOG[[#This Row],[LOGIN]],tbMAPA[#All],2,0), "Não localizado")</f>
        <v>Renan Cazumba Tegani</v>
      </c>
      <c r="F2789" s="34" t="str">
        <f>IFERROR(VLOOKUP(tbLOG[[#This Row],[LOGIN]],tbMAPA[#All],3,0), "Não localizado")</f>
        <v>Reginaldo Santana De Souza</v>
      </c>
      <c r="G2789" s="3" t="s">
        <v>1211</v>
      </c>
      <c r="H2789" s="3" t="s">
        <v>836</v>
      </c>
    </row>
    <row r="2790" spans="1:8">
      <c r="A2790" s="29">
        <v>42751.645057870373</v>
      </c>
      <c r="B2790" s="29" t="str">
        <f>PROPER(TEXT(tbLOG[[#This Row],[DATA/HORA]],"mmmm"))</f>
        <v>Janeiro</v>
      </c>
      <c r="C2790" s="34" t="str">
        <f>PROPER(TEXT(tbLOG[[#This Row],[DATA/HORA]],"dddd"))</f>
        <v>Segunda-Feira</v>
      </c>
      <c r="D2790" s="3" t="s">
        <v>604</v>
      </c>
      <c r="E2790" s="34" t="str">
        <f>IFERROR(VLOOKUP(tbLOG[[#This Row],[LOGIN]],tbMAPA[#All],2,0), "Não localizado")</f>
        <v>Renan Cazumba Tegani</v>
      </c>
      <c r="F2790" s="34" t="str">
        <f>IFERROR(VLOOKUP(tbLOG[[#This Row],[LOGIN]],tbMAPA[#All],3,0), "Não localizado")</f>
        <v>Reginaldo Santana De Souza</v>
      </c>
      <c r="G2790" s="3" t="s">
        <v>1211</v>
      </c>
      <c r="H2790" s="3" t="s">
        <v>836</v>
      </c>
    </row>
    <row r="2791" spans="1:8">
      <c r="A2791" s="29">
        <v>42751.645092592589</v>
      </c>
      <c r="B2791" s="29" t="str">
        <f>PROPER(TEXT(tbLOG[[#This Row],[DATA/HORA]],"mmmm"))</f>
        <v>Janeiro</v>
      </c>
      <c r="C2791" s="34" t="str">
        <f>PROPER(TEXT(tbLOG[[#This Row],[DATA/HORA]],"dddd"))</f>
        <v>Segunda-Feira</v>
      </c>
      <c r="D2791" s="3" t="s">
        <v>604</v>
      </c>
      <c r="E2791" s="34" t="str">
        <f>IFERROR(VLOOKUP(tbLOG[[#This Row],[LOGIN]],tbMAPA[#All],2,0), "Não localizado")</f>
        <v>Renan Cazumba Tegani</v>
      </c>
      <c r="F2791" s="34" t="str">
        <f>IFERROR(VLOOKUP(tbLOG[[#This Row],[LOGIN]],tbMAPA[#All],3,0), "Não localizado")</f>
        <v>Reginaldo Santana De Souza</v>
      </c>
      <c r="G2791" s="3" t="s">
        <v>1211</v>
      </c>
      <c r="H2791" s="3" t="s">
        <v>836</v>
      </c>
    </row>
    <row r="2792" spans="1:8">
      <c r="A2792" s="29">
        <v>42751.645138888889</v>
      </c>
      <c r="B2792" s="29" t="str">
        <f>PROPER(TEXT(tbLOG[[#This Row],[DATA/HORA]],"mmmm"))</f>
        <v>Janeiro</v>
      </c>
      <c r="C2792" s="34" t="str">
        <f>PROPER(TEXT(tbLOG[[#This Row],[DATA/HORA]],"dddd"))</f>
        <v>Segunda-Feira</v>
      </c>
      <c r="D2792" s="3" t="s">
        <v>604</v>
      </c>
      <c r="E2792" s="34" t="str">
        <f>IFERROR(VLOOKUP(tbLOG[[#This Row],[LOGIN]],tbMAPA[#All],2,0), "Não localizado")</f>
        <v>Renan Cazumba Tegani</v>
      </c>
      <c r="F2792" s="34" t="str">
        <f>IFERROR(VLOOKUP(tbLOG[[#This Row],[LOGIN]],tbMAPA[#All],3,0), "Não localizado")</f>
        <v>Reginaldo Santana De Souza</v>
      </c>
      <c r="G2792" s="3" t="s">
        <v>1211</v>
      </c>
      <c r="H2792" s="3" t="s">
        <v>836</v>
      </c>
    </row>
    <row r="2793" spans="1:8">
      <c r="A2793" s="29">
        <v>42751.647731481484</v>
      </c>
      <c r="B2793" s="29" t="str">
        <f>PROPER(TEXT(tbLOG[[#This Row],[DATA/HORA]],"mmmm"))</f>
        <v>Janeiro</v>
      </c>
      <c r="C2793" s="34" t="str">
        <f>PROPER(TEXT(tbLOG[[#This Row],[DATA/HORA]],"dddd"))</f>
        <v>Segunda-Feira</v>
      </c>
      <c r="D2793" s="3" t="s">
        <v>604</v>
      </c>
      <c r="E2793" s="34" t="str">
        <f>IFERROR(VLOOKUP(tbLOG[[#This Row],[LOGIN]],tbMAPA[#All],2,0), "Não localizado")</f>
        <v>Renan Cazumba Tegani</v>
      </c>
      <c r="F2793" s="34" t="str">
        <f>IFERROR(VLOOKUP(tbLOG[[#This Row],[LOGIN]],tbMAPA[#All],3,0), "Não localizado")</f>
        <v>Reginaldo Santana De Souza</v>
      </c>
      <c r="G2793" s="3" t="s">
        <v>1211</v>
      </c>
      <c r="H2793" s="3" t="s">
        <v>836</v>
      </c>
    </row>
    <row r="2794" spans="1:8">
      <c r="A2794" s="29">
        <v>42751.64775462963</v>
      </c>
      <c r="B2794" s="29" t="str">
        <f>PROPER(TEXT(tbLOG[[#This Row],[DATA/HORA]],"mmmm"))</f>
        <v>Janeiro</v>
      </c>
      <c r="C2794" s="34" t="str">
        <f>PROPER(TEXT(tbLOG[[#This Row],[DATA/HORA]],"dddd"))</f>
        <v>Segunda-Feira</v>
      </c>
      <c r="D2794" s="3" t="s">
        <v>604</v>
      </c>
      <c r="E2794" s="34" t="str">
        <f>IFERROR(VLOOKUP(tbLOG[[#This Row],[LOGIN]],tbMAPA[#All],2,0), "Não localizado")</f>
        <v>Renan Cazumba Tegani</v>
      </c>
      <c r="F2794" s="34" t="str">
        <f>IFERROR(VLOOKUP(tbLOG[[#This Row],[LOGIN]],tbMAPA[#All],3,0), "Não localizado")</f>
        <v>Reginaldo Santana De Souza</v>
      </c>
      <c r="G2794" s="3" t="s">
        <v>1211</v>
      </c>
      <c r="H2794" s="3" t="s">
        <v>836</v>
      </c>
    </row>
    <row r="2795" spans="1:8">
      <c r="A2795" s="29">
        <v>42751.647893518515</v>
      </c>
      <c r="B2795" s="29" t="str">
        <f>PROPER(TEXT(tbLOG[[#This Row],[DATA/HORA]],"mmmm"))</f>
        <v>Janeiro</v>
      </c>
      <c r="C2795" s="34" t="str">
        <f>PROPER(TEXT(tbLOG[[#This Row],[DATA/HORA]],"dddd"))</f>
        <v>Segunda-Feira</v>
      </c>
      <c r="D2795" s="3" t="s">
        <v>604</v>
      </c>
      <c r="E2795" s="34" t="str">
        <f>IFERROR(VLOOKUP(tbLOG[[#This Row],[LOGIN]],tbMAPA[#All],2,0), "Não localizado")</f>
        <v>Renan Cazumba Tegani</v>
      </c>
      <c r="F2795" s="34" t="str">
        <f>IFERROR(VLOOKUP(tbLOG[[#This Row],[LOGIN]],tbMAPA[#All],3,0), "Não localizado")</f>
        <v>Reginaldo Santana De Souza</v>
      </c>
      <c r="G2795" s="3" t="s">
        <v>1211</v>
      </c>
      <c r="H2795" s="3" t="s">
        <v>836</v>
      </c>
    </row>
    <row r="2796" spans="1:8">
      <c r="A2796" s="29">
        <v>42751.649467592593</v>
      </c>
      <c r="B2796" s="29" t="str">
        <f>PROPER(TEXT(tbLOG[[#This Row],[DATA/HORA]],"mmmm"))</f>
        <v>Janeiro</v>
      </c>
      <c r="C2796" s="34" t="str">
        <f>PROPER(TEXT(tbLOG[[#This Row],[DATA/HORA]],"dddd"))</f>
        <v>Segunda-Feira</v>
      </c>
      <c r="D2796" s="3" t="s">
        <v>604</v>
      </c>
      <c r="E2796" s="34" t="str">
        <f>IFERROR(VLOOKUP(tbLOG[[#This Row],[LOGIN]],tbMAPA[#All],2,0), "Não localizado")</f>
        <v>Renan Cazumba Tegani</v>
      </c>
      <c r="F2796" s="34" t="str">
        <f>IFERROR(VLOOKUP(tbLOG[[#This Row],[LOGIN]],tbMAPA[#All],3,0), "Não localizado")</f>
        <v>Reginaldo Santana De Souza</v>
      </c>
      <c r="G2796" s="3" t="s">
        <v>1211</v>
      </c>
      <c r="H2796" s="3" t="s">
        <v>836</v>
      </c>
    </row>
    <row r="2797" spans="1:8">
      <c r="A2797" s="29">
        <v>42751.649641203701</v>
      </c>
      <c r="B2797" s="29" t="str">
        <f>PROPER(TEXT(tbLOG[[#This Row],[DATA/HORA]],"mmmm"))</f>
        <v>Janeiro</v>
      </c>
      <c r="C2797" s="34" t="str">
        <f>PROPER(TEXT(tbLOG[[#This Row],[DATA/HORA]],"dddd"))</f>
        <v>Segunda-Feira</v>
      </c>
      <c r="D2797" s="3" t="s">
        <v>604</v>
      </c>
      <c r="E2797" s="34" t="str">
        <f>IFERROR(VLOOKUP(tbLOG[[#This Row],[LOGIN]],tbMAPA[#All],2,0), "Não localizado")</f>
        <v>Renan Cazumba Tegani</v>
      </c>
      <c r="F2797" s="34" t="str">
        <f>IFERROR(VLOOKUP(tbLOG[[#This Row],[LOGIN]],tbMAPA[#All],3,0), "Não localizado")</f>
        <v>Reginaldo Santana De Souza</v>
      </c>
      <c r="G2797" s="3" t="s">
        <v>1211</v>
      </c>
      <c r="H2797" s="3" t="s">
        <v>836</v>
      </c>
    </row>
    <row r="2798" spans="1:8">
      <c r="A2798" s="29">
        <v>42751.649699074071</v>
      </c>
      <c r="B2798" s="29" t="str">
        <f>PROPER(TEXT(tbLOG[[#This Row],[DATA/HORA]],"mmmm"))</f>
        <v>Janeiro</v>
      </c>
      <c r="C2798" s="34" t="str">
        <f>PROPER(TEXT(tbLOG[[#This Row],[DATA/HORA]],"dddd"))</f>
        <v>Segunda-Feira</v>
      </c>
      <c r="D2798" s="3" t="s">
        <v>604</v>
      </c>
      <c r="E2798" s="34" t="str">
        <f>IFERROR(VLOOKUP(tbLOG[[#This Row],[LOGIN]],tbMAPA[#All],2,0), "Não localizado")</f>
        <v>Renan Cazumba Tegani</v>
      </c>
      <c r="F2798" s="34" t="str">
        <f>IFERROR(VLOOKUP(tbLOG[[#This Row],[LOGIN]],tbMAPA[#All],3,0), "Não localizado")</f>
        <v>Reginaldo Santana De Souza</v>
      </c>
      <c r="G2798" s="3" t="s">
        <v>1211</v>
      </c>
      <c r="H2798" s="3" t="s">
        <v>836</v>
      </c>
    </row>
    <row r="2799" spans="1:8">
      <c r="A2799" s="29">
        <v>42751.649791666663</v>
      </c>
      <c r="B2799" s="29" t="str">
        <f>PROPER(TEXT(tbLOG[[#This Row],[DATA/HORA]],"mmmm"))</f>
        <v>Janeiro</v>
      </c>
      <c r="C2799" s="34" t="str">
        <f>PROPER(TEXT(tbLOG[[#This Row],[DATA/HORA]],"dddd"))</f>
        <v>Segunda-Feira</v>
      </c>
      <c r="D2799" s="3" t="s">
        <v>604</v>
      </c>
      <c r="E2799" s="34" t="str">
        <f>IFERROR(VLOOKUP(tbLOG[[#This Row],[LOGIN]],tbMAPA[#All],2,0), "Não localizado")</f>
        <v>Renan Cazumba Tegani</v>
      </c>
      <c r="F2799" s="34" t="str">
        <f>IFERROR(VLOOKUP(tbLOG[[#This Row],[LOGIN]],tbMAPA[#All],3,0), "Não localizado")</f>
        <v>Reginaldo Santana De Souza</v>
      </c>
      <c r="G2799" s="3" t="s">
        <v>1211</v>
      </c>
      <c r="H2799" s="3" t="s">
        <v>836</v>
      </c>
    </row>
    <row r="2800" spans="1:8">
      <c r="A2800" s="29">
        <v>42751.649814814817</v>
      </c>
      <c r="B2800" s="29" t="str">
        <f>PROPER(TEXT(tbLOG[[#This Row],[DATA/HORA]],"mmmm"))</f>
        <v>Janeiro</v>
      </c>
      <c r="C2800" s="34" t="str">
        <f>PROPER(TEXT(tbLOG[[#This Row],[DATA/HORA]],"dddd"))</f>
        <v>Segunda-Feira</v>
      </c>
      <c r="D2800" s="3" t="s">
        <v>604</v>
      </c>
      <c r="E2800" s="34" t="str">
        <f>IFERROR(VLOOKUP(tbLOG[[#This Row],[LOGIN]],tbMAPA[#All],2,0), "Não localizado")</f>
        <v>Renan Cazumba Tegani</v>
      </c>
      <c r="F2800" s="34" t="str">
        <f>IFERROR(VLOOKUP(tbLOG[[#This Row],[LOGIN]],tbMAPA[#All],3,0), "Não localizado")</f>
        <v>Reginaldo Santana De Souza</v>
      </c>
      <c r="G2800" s="3" t="s">
        <v>1211</v>
      </c>
      <c r="H2800" s="3" t="s">
        <v>836</v>
      </c>
    </row>
    <row r="2801" spans="1:8">
      <c r="A2801" s="29">
        <v>42751.649837962963</v>
      </c>
      <c r="B2801" s="29" t="str">
        <f>PROPER(TEXT(tbLOG[[#This Row],[DATA/HORA]],"mmmm"))</f>
        <v>Janeiro</v>
      </c>
      <c r="C2801" s="34" t="str">
        <f>PROPER(TEXT(tbLOG[[#This Row],[DATA/HORA]],"dddd"))</f>
        <v>Segunda-Feira</v>
      </c>
      <c r="D2801" s="3" t="s">
        <v>604</v>
      </c>
      <c r="E2801" s="34" t="str">
        <f>IFERROR(VLOOKUP(tbLOG[[#This Row],[LOGIN]],tbMAPA[#All],2,0), "Não localizado")</f>
        <v>Renan Cazumba Tegani</v>
      </c>
      <c r="F2801" s="34" t="str">
        <f>IFERROR(VLOOKUP(tbLOG[[#This Row],[LOGIN]],tbMAPA[#All],3,0), "Não localizado")</f>
        <v>Reginaldo Santana De Souza</v>
      </c>
      <c r="G2801" s="3" t="s">
        <v>1211</v>
      </c>
      <c r="H2801" s="3" t="s">
        <v>290</v>
      </c>
    </row>
    <row r="2802" spans="1:8">
      <c r="A2802" s="29">
        <v>42751.649988425925</v>
      </c>
      <c r="B2802" s="29" t="str">
        <f>PROPER(TEXT(tbLOG[[#This Row],[DATA/HORA]],"mmmm"))</f>
        <v>Janeiro</v>
      </c>
      <c r="C2802" s="34" t="str">
        <f>PROPER(TEXT(tbLOG[[#This Row],[DATA/HORA]],"dddd"))</f>
        <v>Segunda-Feira</v>
      </c>
      <c r="D2802" s="3" t="s">
        <v>604</v>
      </c>
      <c r="E2802" s="34" t="str">
        <f>IFERROR(VLOOKUP(tbLOG[[#This Row],[LOGIN]],tbMAPA[#All],2,0), "Não localizado")</f>
        <v>Renan Cazumba Tegani</v>
      </c>
      <c r="F2802" s="34" t="str">
        <f>IFERROR(VLOOKUP(tbLOG[[#This Row],[LOGIN]],tbMAPA[#All],3,0), "Não localizado")</f>
        <v>Reginaldo Santana De Souza</v>
      </c>
      <c r="G2802" s="3" t="s">
        <v>1211</v>
      </c>
      <c r="H2802" s="3" t="s">
        <v>333</v>
      </c>
    </row>
    <row r="2803" spans="1:8">
      <c r="A2803" s="29">
        <v>42751.650057870371</v>
      </c>
      <c r="B2803" s="29" t="str">
        <f>PROPER(TEXT(tbLOG[[#This Row],[DATA/HORA]],"mmmm"))</f>
        <v>Janeiro</v>
      </c>
      <c r="C2803" s="34" t="str">
        <f>PROPER(TEXT(tbLOG[[#This Row],[DATA/HORA]],"dddd"))</f>
        <v>Segunda-Feira</v>
      </c>
      <c r="D2803" s="3" t="s">
        <v>604</v>
      </c>
      <c r="E2803" s="34" t="str">
        <f>IFERROR(VLOOKUP(tbLOG[[#This Row],[LOGIN]],tbMAPA[#All],2,0), "Não localizado")</f>
        <v>Renan Cazumba Tegani</v>
      </c>
      <c r="F2803" s="34" t="str">
        <f>IFERROR(VLOOKUP(tbLOG[[#This Row],[LOGIN]],tbMAPA[#All],3,0), "Não localizado")</f>
        <v>Reginaldo Santana De Souza</v>
      </c>
      <c r="G2803" s="3" t="s">
        <v>1211</v>
      </c>
      <c r="H2803" s="3" t="s">
        <v>309</v>
      </c>
    </row>
    <row r="2804" spans="1:8">
      <c r="A2804" s="29">
        <v>42751.650057870371</v>
      </c>
      <c r="B2804" s="29" t="str">
        <f>PROPER(TEXT(tbLOG[[#This Row],[DATA/HORA]],"mmmm"))</f>
        <v>Janeiro</v>
      </c>
      <c r="C2804" s="34" t="str">
        <f>PROPER(TEXT(tbLOG[[#This Row],[DATA/HORA]],"dddd"))</f>
        <v>Segunda-Feira</v>
      </c>
      <c r="D2804" s="3" t="s">
        <v>604</v>
      </c>
      <c r="E2804" s="34" t="str">
        <f>IFERROR(VLOOKUP(tbLOG[[#This Row],[LOGIN]],tbMAPA[#All],2,0), "Não localizado")</f>
        <v>Renan Cazumba Tegani</v>
      </c>
      <c r="F2804" s="34" t="str">
        <f>IFERROR(VLOOKUP(tbLOG[[#This Row],[LOGIN]],tbMAPA[#All],3,0), "Não localizado")</f>
        <v>Reginaldo Santana De Souza</v>
      </c>
      <c r="G2804" s="3" t="s">
        <v>1211</v>
      </c>
      <c r="H2804" s="3" t="s">
        <v>310</v>
      </c>
    </row>
    <row r="2805" spans="1:8">
      <c r="A2805" s="29">
        <v>42751.650104166663</v>
      </c>
      <c r="B2805" s="29" t="str">
        <f>PROPER(TEXT(tbLOG[[#This Row],[DATA/HORA]],"mmmm"))</f>
        <v>Janeiro</v>
      </c>
      <c r="C2805" s="34" t="str">
        <f>PROPER(TEXT(tbLOG[[#This Row],[DATA/HORA]],"dddd"))</f>
        <v>Segunda-Feira</v>
      </c>
      <c r="D2805" s="3" t="s">
        <v>604</v>
      </c>
      <c r="E2805" s="34" t="str">
        <f>IFERROR(VLOOKUP(tbLOG[[#This Row],[LOGIN]],tbMAPA[#All],2,0), "Não localizado")</f>
        <v>Renan Cazumba Tegani</v>
      </c>
      <c r="F2805" s="34" t="str">
        <f>IFERROR(VLOOKUP(tbLOG[[#This Row],[LOGIN]],tbMAPA[#All],3,0), "Não localizado")</f>
        <v>Reginaldo Santana De Souza</v>
      </c>
      <c r="G2805" s="3" t="s">
        <v>1211</v>
      </c>
      <c r="H2805" s="3" t="s">
        <v>309</v>
      </c>
    </row>
    <row r="2806" spans="1:8">
      <c r="A2806" s="29">
        <v>42751.650104166663</v>
      </c>
      <c r="B2806" s="29" t="str">
        <f>PROPER(TEXT(tbLOG[[#This Row],[DATA/HORA]],"mmmm"))</f>
        <v>Janeiro</v>
      </c>
      <c r="C2806" s="34" t="str">
        <f>PROPER(TEXT(tbLOG[[#This Row],[DATA/HORA]],"dddd"))</f>
        <v>Segunda-Feira</v>
      </c>
      <c r="D2806" s="3" t="s">
        <v>604</v>
      </c>
      <c r="E2806" s="34" t="str">
        <f>IFERROR(VLOOKUP(tbLOG[[#This Row],[LOGIN]],tbMAPA[#All],2,0), "Não localizado")</f>
        <v>Renan Cazumba Tegani</v>
      </c>
      <c r="F2806" s="34" t="str">
        <f>IFERROR(VLOOKUP(tbLOG[[#This Row],[LOGIN]],tbMAPA[#All],3,0), "Não localizado")</f>
        <v>Reginaldo Santana De Souza</v>
      </c>
      <c r="G2806" s="3" t="s">
        <v>1211</v>
      </c>
      <c r="H2806" s="3" t="s">
        <v>309</v>
      </c>
    </row>
    <row r="2807" spans="1:8">
      <c r="A2807" s="29">
        <v>42751.650104166663</v>
      </c>
      <c r="B2807" s="29" t="str">
        <f>PROPER(TEXT(tbLOG[[#This Row],[DATA/HORA]],"mmmm"))</f>
        <v>Janeiro</v>
      </c>
      <c r="C2807" s="34" t="str">
        <f>PROPER(TEXT(tbLOG[[#This Row],[DATA/HORA]],"dddd"))</f>
        <v>Segunda-Feira</v>
      </c>
      <c r="D2807" s="3" t="s">
        <v>604</v>
      </c>
      <c r="E2807" s="34" t="str">
        <f>IFERROR(VLOOKUP(tbLOG[[#This Row],[LOGIN]],tbMAPA[#All],2,0), "Não localizado")</f>
        <v>Renan Cazumba Tegani</v>
      </c>
      <c r="F2807" s="34" t="str">
        <f>IFERROR(VLOOKUP(tbLOG[[#This Row],[LOGIN]],tbMAPA[#All],3,0), "Não localizado")</f>
        <v>Reginaldo Santana De Souza</v>
      </c>
      <c r="G2807" s="3" t="s">
        <v>1211</v>
      </c>
      <c r="H2807" s="3" t="s">
        <v>314</v>
      </c>
    </row>
    <row r="2808" spans="1:8">
      <c r="A2808" s="29">
        <v>42751.653807870367</v>
      </c>
      <c r="B2808" s="29" t="str">
        <f>PROPER(TEXT(tbLOG[[#This Row],[DATA/HORA]],"mmmm"))</f>
        <v>Janeiro</v>
      </c>
      <c r="C2808" s="34" t="str">
        <f>PROPER(TEXT(tbLOG[[#This Row],[DATA/HORA]],"dddd"))</f>
        <v>Segunda-Feira</v>
      </c>
      <c r="D2808" s="3" t="s">
        <v>604</v>
      </c>
      <c r="E2808" s="34" t="str">
        <f>IFERROR(VLOOKUP(tbLOG[[#This Row],[LOGIN]],tbMAPA[#All],2,0), "Não localizado")</f>
        <v>Renan Cazumba Tegani</v>
      </c>
      <c r="F2808" s="34" t="str">
        <f>IFERROR(VLOOKUP(tbLOG[[#This Row],[LOGIN]],tbMAPA[#All],3,0), "Não localizado")</f>
        <v>Reginaldo Santana De Souza</v>
      </c>
      <c r="G2808" s="3" t="s">
        <v>1211</v>
      </c>
      <c r="H2808" s="3" t="s">
        <v>836</v>
      </c>
    </row>
    <row r="2809" spans="1:8">
      <c r="A2809" s="29">
        <v>42751.653819444444</v>
      </c>
      <c r="B2809" s="29" t="str">
        <f>PROPER(TEXT(tbLOG[[#This Row],[DATA/HORA]],"mmmm"))</f>
        <v>Janeiro</v>
      </c>
      <c r="C2809" s="34" t="str">
        <f>PROPER(TEXT(tbLOG[[#This Row],[DATA/HORA]],"dddd"))</f>
        <v>Segunda-Feira</v>
      </c>
      <c r="D2809" s="3" t="s">
        <v>604</v>
      </c>
      <c r="E2809" s="34" t="str">
        <f>IFERROR(VLOOKUP(tbLOG[[#This Row],[LOGIN]],tbMAPA[#All],2,0), "Não localizado")</f>
        <v>Renan Cazumba Tegani</v>
      </c>
      <c r="F2809" s="34" t="str">
        <f>IFERROR(VLOOKUP(tbLOG[[#This Row],[LOGIN]],tbMAPA[#All],3,0), "Não localizado")</f>
        <v>Reginaldo Santana De Souza</v>
      </c>
      <c r="G2809" s="3" t="s">
        <v>1211</v>
      </c>
      <c r="H2809" s="3" t="s">
        <v>836</v>
      </c>
    </row>
    <row r="2810" spans="1:8">
      <c r="A2810" s="29">
        <v>42751.653854166667</v>
      </c>
      <c r="B2810" s="29" t="str">
        <f>PROPER(TEXT(tbLOG[[#This Row],[DATA/HORA]],"mmmm"))</f>
        <v>Janeiro</v>
      </c>
      <c r="C2810" s="34" t="str">
        <f>PROPER(TEXT(tbLOG[[#This Row],[DATA/HORA]],"dddd"))</f>
        <v>Segunda-Feira</v>
      </c>
      <c r="D2810" s="3" t="s">
        <v>604</v>
      </c>
      <c r="E2810" s="34" t="str">
        <f>IFERROR(VLOOKUP(tbLOG[[#This Row],[LOGIN]],tbMAPA[#All],2,0), "Não localizado")</f>
        <v>Renan Cazumba Tegani</v>
      </c>
      <c r="F2810" s="34" t="str">
        <f>IFERROR(VLOOKUP(tbLOG[[#This Row],[LOGIN]],tbMAPA[#All],3,0), "Não localizado")</f>
        <v>Reginaldo Santana De Souza</v>
      </c>
      <c r="G2810" s="3" t="s">
        <v>1211</v>
      </c>
      <c r="H2810" s="3" t="s">
        <v>836</v>
      </c>
    </row>
    <row r="2811" spans="1:8">
      <c r="A2811" s="29">
        <v>42751.654687499999</v>
      </c>
      <c r="B2811" s="29" t="str">
        <f>PROPER(TEXT(tbLOG[[#This Row],[DATA/HORA]],"mmmm"))</f>
        <v>Janeiro</v>
      </c>
      <c r="C2811" s="34" t="str">
        <f>PROPER(TEXT(tbLOG[[#This Row],[DATA/HORA]],"dddd"))</f>
        <v>Segunda-Feira</v>
      </c>
      <c r="D2811" s="3" t="s">
        <v>604</v>
      </c>
      <c r="E2811" s="34" t="str">
        <f>IFERROR(VLOOKUP(tbLOG[[#This Row],[LOGIN]],tbMAPA[#All],2,0), "Não localizado")</f>
        <v>Renan Cazumba Tegani</v>
      </c>
      <c r="F2811" s="34" t="str">
        <f>IFERROR(VLOOKUP(tbLOG[[#This Row],[LOGIN]],tbMAPA[#All],3,0), "Não localizado")</f>
        <v>Reginaldo Santana De Souza</v>
      </c>
      <c r="G2811" s="3" t="s">
        <v>1211</v>
      </c>
      <c r="H2811" s="3" t="s">
        <v>836</v>
      </c>
    </row>
    <row r="2812" spans="1:8">
      <c r="A2812" s="29">
        <v>42751.655891203707</v>
      </c>
      <c r="B2812" s="29" t="str">
        <f>PROPER(TEXT(tbLOG[[#This Row],[DATA/HORA]],"mmmm"))</f>
        <v>Janeiro</v>
      </c>
      <c r="C2812" s="34" t="str">
        <f>PROPER(TEXT(tbLOG[[#This Row],[DATA/HORA]],"dddd"))</f>
        <v>Segunda-Feira</v>
      </c>
      <c r="D2812" s="3" t="s">
        <v>604</v>
      </c>
      <c r="E2812" s="34" t="str">
        <f>IFERROR(VLOOKUP(tbLOG[[#This Row],[LOGIN]],tbMAPA[#All],2,0), "Não localizado")</f>
        <v>Renan Cazumba Tegani</v>
      </c>
      <c r="F2812" s="34" t="str">
        <f>IFERROR(VLOOKUP(tbLOG[[#This Row],[LOGIN]],tbMAPA[#All],3,0), "Não localizado")</f>
        <v>Reginaldo Santana De Souza</v>
      </c>
      <c r="G2812" s="3" t="s">
        <v>1211</v>
      </c>
      <c r="H2812" s="3" t="s">
        <v>836</v>
      </c>
    </row>
    <row r="2813" spans="1:8">
      <c r="A2813" s="29">
        <v>42751.655914351853</v>
      </c>
      <c r="B2813" s="29" t="str">
        <f>PROPER(TEXT(tbLOG[[#This Row],[DATA/HORA]],"mmmm"))</f>
        <v>Janeiro</v>
      </c>
      <c r="C2813" s="34" t="str">
        <f>PROPER(TEXT(tbLOG[[#This Row],[DATA/HORA]],"dddd"))</f>
        <v>Segunda-Feira</v>
      </c>
      <c r="D2813" s="3" t="s">
        <v>604</v>
      </c>
      <c r="E2813" s="34" t="str">
        <f>IFERROR(VLOOKUP(tbLOG[[#This Row],[LOGIN]],tbMAPA[#All],2,0), "Não localizado")</f>
        <v>Renan Cazumba Tegani</v>
      </c>
      <c r="F2813" s="34" t="str">
        <f>IFERROR(VLOOKUP(tbLOG[[#This Row],[LOGIN]],tbMAPA[#All],3,0), "Não localizado")</f>
        <v>Reginaldo Santana De Souza</v>
      </c>
      <c r="G2813" s="3" t="s">
        <v>1211</v>
      </c>
      <c r="H2813" s="3" t="s">
        <v>836</v>
      </c>
    </row>
    <row r="2814" spans="1:8">
      <c r="A2814" s="29">
        <v>42751.656018518515</v>
      </c>
      <c r="B2814" s="29" t="str">
        <f>PROPER(TEXT(tbLOG[[#This Row],[DATA/HORA]],"mmmm"))</f>
        <v>Janeiro</v>
      </c>
      <c r="C2814" s="34" t="str">
        <f>PROPER(TEXT(tbLOG[[#This Row],[DATA/HORA]],"dddd"))</f>
        <v>Segunda-Feira</v>
      </c>
      <c r="D2814" s="3" t="s">
        <v>604</v>
      </c>
      <c r="E2814" s="34" t="str">
        <f>IFERROR(VLOOKUP(tbLOG[[#This Row],[LOGIN]],tbMAPA[#All],2,0), "Não localizado")</f>
        <v>Renan Cazumba Tegani</v>
      </c>
      <c r="F2814" s="34" t="str">
        <f>IFERROR(VLOOKUP(tbLOG[[#This Row],[LOGIN]],tbMAPA[#All],3,0), "Não localizado")</f>
        <v>Reginaldo Santana De Souza</v>
      </c>
      <c r="G2814" s="3" t="s">
        <v>1211</v>
      </c>
      <c r="H2814" s="3" t="s">
        <v>836</v>
      </c>
    </row>
    <row r="2815" spans="1:8">
      <c r="A2815" s="29">
        <v>42751.660624999997</v>
      </c>
      <c r="B2815" s="29" t="str">
        <f>PROPER(TEXT(tbLOG[[#This Row],[DATA/HORA]],"mmmm"))</f>
        <v>Janeiro</v>
      </c>
      <c r="C2815" s="34" t="str">
        <f>PROPER(TEXT(tbLOG[[#This Row],[DATA/HORA]],"dddd"))</f>
        <v>Segunda-Feira</v>
      </c>
      <c r="D2815" s="3" t="s">
        <v>604</v>
      </c>
      <c r="E2815" s="34" t="str">
        <f>IFERROR(VLOOKUP(tbLOG[[#This Row],[LOGIN]],tbMAPA[#All],2,0), "Não localizado")</f>
        <v>Renan Cazumba Tegani</v>
      </c>
      <c r="F2815" s="34" t="str">
        <f>IFERROR(VLOOKUP(tbLOG[[#This Row],[LOGIN]],tbMAPA[#All],3,0), "Não localizado")</f>
        <v>Reginaldo Santana De Souza</v>
      </c>
      <c r="G2815" s="3" t="s">
        <v>1211</v>
      </c>
      <c r="H2815" s="3" t="s">
        <v>836</v>
      </c>
    </row>
    <row r="2816" spans="1:8">
      <c r="A2816" s="29">
        <v>42751.66064814815</v>
      </c>
      <c r="B2816" s="29" t="str">
        <f>PROPER(TEXT(tbLOG[[#This Row],[DATA/HORA]],"mmmm"))</f>
        <v>Janeiro</v>
      </c>
      <c r="C2816" s="34" t="str">
        <f>PROPER(TEXT(tbLOG[[#This Row],[DATA/HORA]],"dddd"))</f>
        <v>Segunda-Feira</v>
      </c>
      <c r="D2816" s="3" t="s">
        <v>604</v>
      </c>
      <c r="E2816" s="34" t="str">
        <f>IFERROR(VLOOKUP(tbLOG[[#This Row],[LOGIN]],tbMAPA[#All],2,0), "Não localizado")</f>
        <v>Renan Cazumba Tegani</v>
      </c>
      <c r="F2816" s="34" t="str">
        <f>IFERROR(VLOOKUP(tbLOG[[#This Row],[LOGIN]],tbMAPA[#All],3,0), "Não localizado")</f>
        <v>Reginaldo Santana De Souza</v>
      </c>
      <c r="G2816" s="3" t="s">
        <v>1211</v>
      </c>
      <c r="H2816" s="3" t="s">
        <v>836</v>
      </c>
    </row>
    <row r="2817" spans="1:8">
      <c r="A2817" s="29">
        <v>42751.660671296297</v>
      </c>
      <c r="B2817" s="29" t="str">
        <f>PROPER(TEXT(tbLOG[[#This Row],[DATA/HORA]],"mmmm"))</f>
        <v>Janeiro</v>
      </c>
      <c r="C2817" s="34" t="str">
        <f>PROPER(TEXT(tbLOG[[#This Row],[DATA/HORA]],"dddd"))</f>
        <v>Segunda-Feira</v>
      </c>
      <c r="D2817" s="3" t="s">
        <v>604</v>
      </c>
      <c r="E2817" s="34" t="str">
        <f>IFERROR(VLOOKUP(tbLOG[[#This Row],[LOGIN]],tbMAPA[#All],2,0), "Não localizado")</f>
        <v>Renan Cazumba Tegani</v>
      </c>
      <c r="F2817" s="34" t="str">
        <f>IFERROR(VLOOKUP(tbLOG[[#This Row],[LOGIN]],tbMAPA[#All],3,0), "Não localizado")</f>
        <v>Reginaldo Santana De Souza</v>
      </c>
      <c r="G2817" s="3" t="s">
        <v>1211</v>
      </c>
      <c r="H2817" s="3" t="s">
        <v>836</v>
      </c>
    </row>
    <row r="2818" spans="1:8">
      <c r="A2818" s="29">
        <v>42751.662175925929</v>
      </c>
      <c r="B2818" s="29" t="str">
        <f>PROPER(TEXT(tbLOG[[#This Row],[DATA/HORA]],"mmmm"))</f>
        <v>Janeiro</v>
      </c>
      <c r="C2818" s="34" t="str">
        <f>PROPER(TEXT(tbLOG[[#This Row],[DATA/HORA]],"dddd"))</f>
        <v>Segunda-Feira</v>
      </c>
      <c r="D2818" s="3" t="s">
        <v>604</v>
      </c>
      <c r="E2818" s="34" t="str">
        <f>IFERROR(VLOOKUP(tbLOG[[#This Row],[LOGIN]],tbMAPA[#All],2,0), "Não localizado")</f>
        <v>Renan Cazumba Tegani</v>
      </c>
      <c r="F2818" s="34" t="str">
        <f>IFERROR(VLOOKUP(tbLOG[[#This Row],[LOGIN]],tbMAPA[#All],3,0), "Não localizado")</f>
        <v>Reginaldo Santana De Souza</v>
      </c>
      <c r="G2818" s="3" t="s">
        <v>1211</v>
      </c>
      <c r="H2818" s="3" t="s">
        <v>836</v>
      </c>
    </row>
    <row r="2819" spans="1:8">
      <c r="A2819" s="29">
        <v>42751.663935185185</v>
      </c>
      <c r="B2819" s="29" t="str">
        <f>PROPER(TEXT(tbLOG[[#This Row],[DATA/HORA]],"mmmm"))</f>
        <v>Janeiro</v>
      </c>
      <c r="C2819" s="34" t="str">
        <f>PROPER(TEXT(tbLOG[[#This Row],[DATA/HORA]],"dddd"))</f>
        <v>Segunda-Feira</v>
      </c>
      <c r="D2819" s="3" t="s">
        <v>604</v>
      </c>
      <c r="E2819" s="34" t="str">
        <f>IFERROR(VLOOKUP(tbLOG[[#This Row],[LOGIN]],tbMAPA[#All],2,0), "Não localizado")</f>
        <v>Renan Cazumba Tegani</v>
      </c>
      <c r="F2819" s="34" t="str">
        <f>IFERROR(VLOOKUP(tbLOG[[#This Row],[LOGIN]],tbMAPA[#All],3,0), "Não localizado")</f>
        <v>Reginaldo Santana De Souza</v>
      </c>
      <c r="G2819" s="3" t="s">
        <v>1211</v>
      </c>
      <c r="H2819" s="3" t="s">
        <v>836</v>
      </c>
    </row>
    <row r="2820" spans="1:8">
      <c r="A2820" s="29">
        <v>42751.666562500002</v>
      </c>
      <c r="B2820" s="29" t="str">
        <f>PROPER(TEXT(tbLOG[[#This Row],[DATA/HORA]],"mmmm"))</f>
        <v>Janeiro</v>
      </c>
      <c r="C2820" s="34" t="str">
        <f>PROPER(TEXT(tbLOG[[#This Row],[DATA/HORA]],"dddd"))</f>
        <v>Segunda-Feira</v>
      </c>
      <c r="D2820" s="3" t="s">
        <v>604</v>
      </c>
      <c r="E2820" s="34" t="str">
        <f>IFERROR(VLOOKUP(tbLOG[[#This Row],[LOGIN]],tbMAPA[#All],2,0), "Não localizado")</f>
        <v>Renan Cazumba Tegani</v>
      </c>
      <c r="F2820" s="34" t="str">
        <f>IFERROR(VLOOKUP(tbLOG[[#This Row],[LOGIN]],tbMAPA[#All],3,0), "Não localizado")</f>
        <v>Reginaldo Santana De Souza</v>
      </c>
      <c r="G2820" s="3" t="s">
        <v>1211</v>
      </c>
      <c r="H2820" s="3" t="s">
        <v>836</v>
      </c>
    </row>
    <row r="2821" spans="1:8">
      <c r="A2821" s="29">
        <v>42751.666585648149</v>
      </c>
      <c r="B2821" s="29" t="str">
        <f>PROPER(TEXT(tbLOG[[#This Row],[DATA/HORA]],"mmmm"))</f>
        <v>Janeiro</v>
      </c>
      <c r="C2821" s="34" t="str">
        <f>PROPER(TEXT(tbLOG[[#This Row],[DATA/HORA]],"dddd"))</f>
        <v>Segunda-Feira</v>
      </c>
      <c r="D2821" s="3" t="s">
        <v>604</v>
      </c>
      <c r="E2821" s="34" t="str">
        <f>IFERROR(VLOOKUP(tbLOG[[#This Row],[LOGIN]],tbMAPA[#All],2,0), "Não localizado")</f>
        <v>Renan Cazumba Tegani</v>
      </c>
      <c r="F2821" s="34" t="str">
        <f>IFERROR(VLOOKUP(tbLOG[[#This Row],[LOGIN]],tbMAPA[#All],3,0), "Não localizado")</f>
        <v>Reginaldo Santana De Souza</v>
      </c>
      <c r="G2821" s="3" t="s">
        <v>1211</v>
      </c>
      <c r="H2821" s="3" t="s">
        <v>836</v>
      </c>
    </row>
    <row r="2822" spans="1:8">
      <c r="A2822" s="29">
        <v>42751.666666666664</v>
      </c>
      <c r="B2822" s="29" t="str">
        <f>PROPER(TEXT(tbLOG[[#This Row],[DATA/HORA]],"mmmm"))</f>
        <v>Janeiro</v>
      </c>
      <c r="C2822" s="34" t="str">
        <f>PROPER(TEXT(tbLOG[[#This Row],[DATA/HORA]],"dddd"))</f>
        <v>Segunda-Feira</v>
      </c>
      <c r="D2822" s="3" t="s">
        <v>604</v>
      </c>
      <c r="E2822" s="34" t="str">
        <f>IFERROR(VLOOKUP(tbLOG[[#This Row],[LOGIN]],tbMAPA[#All],2,0), "Não localizado")</f>
        <v>Renan Cazumba Tegani</v>
      </c>
      <c r="F2822" s="34" t="str">
        <f>IFERROR(VLOOKUP(tbLOG[[#This Row],[LOGIN]],tbMAPA[#All],3,0), "Não localizado")</f>
        <v>Reginaldo Santana De Souza</v>
      </c>
      <c r="G2822" s="3" t="s">
        <v>1211</v>
      </c>
      <c r="H2822" s="3" t="s">
        <v>836</v>
      </c>
    </row>
    <row r="2823" spans="1:8">
      <c r="A2823" s="29">
        <v>42751.668449074074</v>
      </c>
      <c r="B2823" s="29" t="str">
        <f>PROPER(TEXT(tbLOG[[#This Row],[DATA/HORA]],"mmmm"))</f>
        <v>Janeiro</v>
      </c>
      <c r="C2823" s="34" t="str">
        <f>PROPER(TEXT(tbLOG[[#This Row],[DATA/HORA]],"dddd"))</f>
        <v>Segunda-Feira</v>
      </c>
      <c r="D2823" s="3" t="s">
        <v>604</v>
      </c>
      <c r="E2823" s="34" t="str">
        <f>IFERROR(VLOOKUP(tbLOG[[#This Row],[LOGIN]],tbMAPA[#All],2,0), "Não localizado")</f>
        <v>Renan Cazumba Tegani</v>
      </c>
      <c r="F2823" s="34" t="str">
        <f>IFERROR(VLOOKUP(tbLOG[[#This Row],[LOGIN]],tbMAPA[#All],3,0), "Não localizado")</f>
        <v>Reginaldo Santana De Souza</v>
      </c>
      <c r="G2823" s="3" t="s">
        <v>1211</v>
      </c>
      <c r="H2823" s="3" t="s">
        <v>836</v>
      </c>
    </row>
    <row r="2824" spans="1:8">
      <c r="A2824" s="29">
        <v>42751.671886574077</v>
      </c>
      <c r="B2824" s="29" t="str">
        <f>PROPER(TEXT(tbLOG[[#This Row],[DATA/HORA]],"mmmm"))</f>
        <v>Janeiro</v>
      </c>
      <c r="C2824" s="34" t="str">
        <f>PROPER(TEXT(tbLOG[[#This Row],[DATA/HORA]],"dddd"))</f>
        <v>Segunda-Feira</v>
      </c>
      <c r="D2824" s="3" t="s">
        <v>604</v>
      </c>
      <c r="E2824" s="34" t="str">
        <f>IFERROR(VLOOKUP(tbLOG[[#This Row],[LOGIN]],tbMAPA[#All],2,0), "Não localizado")</f>
        <v>Renan Cazumba Tegani</v>
      </c>
      <c r="F2824" s="34" t="str">
        <f>IFERROR(VLOOKUP(tbLOG[[#This Row],[LOGIN]],tbMAPA[#All],3,0), "Não localizado")</f>
        <v>Reginaldo Santana De Souza</v>
      </c>
      <c r="G2824" s="3" t="s">
        <v>1211</v>
      </c>
      <c r="H2824" s="3" t="s">
        <v>836</v>
      </c>
    </row>
    <row r="2825" spans="1:8">
      <c r="A2825" s="29">
        <v>42751.672025462962</v>
      </c>
      <c r="B2825" s="29" t="str">
        <f>PROPER(TEXT(tbLOG[[#This Row],[DATA/HORA]],"mmmm"))</f>
        <v>Janeiro</v>
      </c>
      <c r="C2825" s="34" t="str">
        <f>PROPER(TEXT(tbLOG[[#This Row],[DATA/HORA]],"dddd"))</f>
        <v>Segunda-Feira</v>
      </c>
      <c r="D2825" s="3" t="s">
        <v>604</v>
      </c>
      <c r="E2825" s="34" t="str">
        <f>IFERROR(VLOOKUP(tbLOG[[#This Row],[LOGIN]],tbMAPA[#All],2,0), "Não localizado")</f>
        <v>Renan Cazumba Tegani</v>
      </c>
      <c r="F2825" s="34" t="str">
        <f>IFERROR(VLOOKUP(tbLOG[[#This Row],[LOGIN]],tbMAPA[#All],3,0), "Não localizado")</f>
        <v>Reginaldo Santana De Souza</v>
      </c>
      <c r="G2825" s="3" t="s">
        <v>1211</v>
      </c>
      <c r="H2825" s="3" t="s">
        <v>836</v>
      </c>
    </row>
    <row r="2826" spans="1:8">
      <c r="A2826" s="29">
        <v>42751.672083333331</v>
      </c>
      <c r="B2826" s="29" t="str">
        <f>PROPER(TEXT(tbLOG[[#This Row],[DATA/HORA]],"mmmm"))</f>
        <v>Janeiro</v>
      </c>
      <c r="C2826" s="34" t="str">
        <f>PROPER(TEXT(tbLOG[[#This Row],[DATA/HORA]],"dddd"))</f>
        <v>Segunda-Feira</v>
      </c>
      <c r="D2826" s="3" t="s">
        <v>604</v>
      </c>
      <c r="E2826" s="34" t="str">
        <f>IFERROR(VLOOKUP(tbLOG[[#This Row],[LOGIN]],tbMAPA[#All],2,0), "Não localizado")</f>
        <v>Renan Cazumba Tegani</v>
      </c>
      <c r="F2826" s="34" t="str">
        <f>IFERROR(VLOOKUP(tbLOG[[#This Row],[LOGIN]],tbMAPA[#All],3,0), "Não localizado")</f>
        <v>Reginaldo Santana De Souza</v>
      </c>
      <c r="G2826" s="3" t="s">
        <v>1211</v>
      </c>
      <c r="H2826" s="3" t="s">
        <v>836</v>
      </c>
    </row>
    <row r="2827" spans="1:8">
      <c r="A2827" s="29">
        <v>42751.674849537034</v>
      </c>
      <c r="B2827" s="29" t="str">
        <f>PROPER(TEXT(tbLOG[[#This Row],[DATA/HORA]],"mmmm"))</f>
        <v>Janeiro</v>
      </c>
      <c r="C2827" s="34" t="str">
        <f>PROPER(TEXT(tbLOG[[#This Row],[DATA/HORA]],"dddd"))</f>
        <v>Segunda-Feira</v>
      </c>
      <c r="D2827" s="3" t="s">
        <v>604</v>
      </c>
      <c r="E2827" s="34" t="str">
        <f>IFERROR(VLOOKUP(tbLOG[[#This Row],[LOGIN]],tbMAPA[#All],2,0), "Não localizado")</f>
        <v>Renan Cazumba Tegani</v>
      </c>
      <c r="F2827" s="34" t="str">
        <f>IFERROR(VLOOKUP(tbLOG[[#This Row],[LOGIN]],tbMAPA[#All],3,0), "Não localizado")</f>
        <v>Reginaldo Santana De Souza</v>
      </c>
      <c r="G2827" s="3" t="s">
        <v>1211</v>
      </c>
      <c r="H2827" s="3" t="s">
        <v>836</v>
      </c>
    </row>
    <row r="2828" spans="1:8">
      <c r="A2828" s="29">
        <v>42751.677129629628</v>
      </c>
      <c r="B2828" s="29" t="str">
        <f>PROPER(TEXT(tbLOG[[#This Row],[DATA/HORA]],"mmmm"))</f>
        <v>Janeiro</v>
      </c>
      <c r="C2828" s="34" t="str">
        <f>PROPER(TEXT(tbLOG[[#This Row],[DATA/HORA]],"dddd"))</f>
        <v>Segunda-Feira</v>
      </c>
      <c r="D2828" s="3" t="s">
        <v>604</v>
      </c>
      <c r="E2828" s="34" t="str">
        <f>IFERROR(VLOOKUP(tbLOG[[#This Row],[LOGIN]],tbMAPA[#All],2,0), "Não localizado")</f>
        <v>Renan Cazumba Tegani</v>
      </c>
      <c r="F2828" s="34" t="str">
        <f>IFERROR(VLOOKUP(tbLOG[[#This Row],[LOGIN]],tbMAPA[#All],3,0), "Não localizado")</f>
        <v>Reginaldo Santana De Souza</v>
      </c>
      <c r="G2828" s="3" t="s">
        <v>1211</v>
      </c>
      <c r="H2828" s="3" t="s">
        <v>836</v>
      </c>
    </row>
    <row r="2829" spans="1:8">
      <c r="A2829" s="29">
        <v>42751.681076388886</v>
      </c>
      <c r="B2829" s="29" t="str">
        <f>PROPER(TEXT(tbLOG[[#This Row],[DATA/HORA]],"mmmm"))</f>
        <v>Janeiro</v>
      </c>
      <c r="C2829" s="34" t="str">
        <f>PROPER(TEXT(tbLOG[[#This Row],[DATA/HORA]],"dddd"))</f>
        <v>Segunda-Feira</v>
      </c>
      <c r="D2829" s="3" t="s">
        <v>604</v>
      </c>
      <c r="E2829" s="34" t="str">
        <f>IFERROR(VLOOKUP(tbLOG[[#This Row],[LOGIN]],tbMAPA[#All],2,0), "Não localizado")</f>
        <v>Renan Cazumba Tegani</v>
      </c>
      <c r="F2829" s="34" t="str">
        <f>IFERROR(VLOOKUP(tbLOG[[#This Row],[LOGIN]],tbMAPA[#All],3,0), "Não localizado")</f>
        <v>Reginaldo Santana De Souza</v>
      </c>
      <c r="G2829" s="3" t="s">
        <v>1211</v>
      </c>
      <c r="H2829" s="3" t="s">
        <v>836</v>
      </c>
    </row>
    <row r="2830" spans="1:8">
      <c r="A2830" s="29">
        <v>42751.684895833336</v>
      </c>
      <c r="B2830" s="29" t="str">
        <f>PROPER(TEXT(tbLOG[[#This Row],[DATA/HORA]],"mmmm"))</f>
        <v>Janeiro</v>
      </c>
      <c r="C2830" s="34" t="str">
        <f>PROPER(TEXT(tbLOG[[#This Row],[DATA/HORA]],"dddd"))</f>
        <v>Segunda-Feira</v>
      </c>
      <c r="D2830" s="3" t="s">
        <v>604</v>
      </c>
      <c r="E2830" s="34" t="str">
        <f>IFERROR(VLOOKUP(tbLOG[[#This Row],[LOGIN]],tbMAPA[#All],2,0), "Não localizado")</f>
        <v>Renan Cazumba Tegani</v>
      </c>
      <c r="F2830" s="34" t="str">
        <f>IFERROR(VLOOKUP(tbLOG[[#This Row],[LOGIN]],tbMAPA[#All],3,0), "Não localizado")</f>
        <v>Reginaldo Santana De Souza</v>
      </c>
      <c r="G2830" s="3" t="s">
        <v>1211</v>
      </c>
      <c r="H2830" s="3" t="s">
        <v>836</v>
      </c>
    </row>
    <row r="2831" spans="1:8">
      <c r="A2831" s="29">
        <v>42751.684907407405</v>
      </c>
      <c r="B2831" s="29" t="str">
        <f>PROPER(TEXT(tbLOG[[#This Row],[DATA/HORA]],"mmmm"))</f>
        <v>Janeiro</v>
      </c>
      <c r="C2831" s="34" t="str">
        <f>PROPER(TEXT(tbLOG[[#This Row],[DATA/HORA]],"dddd"))</f>
        <v>Segunda-Feira</v>
      </c>
      <c r="D2831" s="3" t="s">
        <v>604</v>
      </c>
      <c r="E2831" s="34" t="str">
        <f>IFERROR(VLOOKUP(tbLOG[[#This Row],[LOGIN]],tbMAPA[#All],2,0), "Não localizado")</f>
        <v>Renan Cazumba Tegani</v>
      </c>
      <c r="F2831" s="34" t="str">
        <f>IFERROR(VLOOKUP(tbLOG[[#This Row],[LOGIN]],tbMAPA[#All],3,0), "Não localizado")</f>
        <v>Reginaldo Santana De Souza</v>
      </c>
      <c r="G2831" s="3" t="s">
        <v>1211</v>
      </c>
      <c r="H2831" s="3" t="s">
        <v>836</v>
      </c>
    </row>
    <row r="2832" spans="1:8">
      <c r="A2832" s="29">
        <v>42751.685069444444</v>
      </c>
      <c r="B2832" s="29" t="str">
        <f>PROPER(TEXT(tbLOG[[#This Row],[DATA/HORA]],"mmmm"))</f>
        <v>Janeiro</v>
      </c>
      <c r="C2832" s="34" t="str">
        <f>PROPER(TEXT(tbLOG[[#This Row],[DATA/HORA]],"dddd"))</f>
        <v>Segunda-Feira</v>
      </c>
      <c r="D2832" s="3" t="s">
        <v>604</v>
      </c>
      <c r="E2832" s="34" t="str">
        <f>IFERROR(VLOOKUP(tbLOG[[#This Row],[LOGIN]],tbMAPA[#All],2,0), "Não localizado")</f>
        <v>Renan Cazumba Tegani</v>
      </c>
      <c r="F2832" s="34" t="str">
        <f>IFERROR(VLOOKUP(tbLOG[[#This Row],[LOGIN]],tbMAPA[#All],3,0), "Não localizado")</f>
        <v>Reginaldo Santana De Souza</v>
      </c>
      <c r="G2832" s="3" t="s">
        <v>1211</v>
      </c>
      <c r="H2832" s="3" t="s">
        <v>836</v>
      </c>
    </row>
    <row r="2833" spans="1:8">
      <c r="A2833" s="29">
        <v>42751.691307870373</v>
      </c>
      <c r="B2833" s="29" t="str">
        <f>PROPER(TEXT(tbLOG[[#This Row],[DATA/HORA]],"mmmm"))</f>
        <v>Janeiro</v>
      </c>
      <c r="C2833" s="34" t="str">
        <f>PROPER(TEXT(tbLOG[[#This Row],[DATA/HORA]],"dddd"))</f>
        <v>Segunda-Feira</v>
      </c>
      <c r="D2833" s="3" t="s">
        <v>604</v>
      </c>
      <c r="E2833" s="34" t="str">
        <f>IFERROR(VLOOKUP(tbLOG[[#This Row],[LOGIN]],tbMAPA[#All],2,0), "Não localizado")</f>
        <v>Renan Cazumba Tegani</v>
      </c>
      <c r="F2833" s="34" t="str">
        <f>IFERROR(VLOOKUP(tbLOG[[#This Row],[LOGIN]],tbMAPA[#All],3,0), "Não localizado")</f>
        <v>Reginaldo Santana De Souza</v>
      </c>
      <c r="G2833" s="3" t="s">
        <v>1211</v>
      </c>
      <c r="H2833" s="3" t="s">
        <v>836</v>
      </c>
    </row>
    <row r="2834" spans="1:8">
      <c r="A2834" s="29">
        <v>42751.691319444442</v>
      </c>
      <c r="B2834" s="29" t="str">
        <f>PROPER(TEXT(tbLOG[[#This Row],[DATA/HORA]],"mmmm"))</f>
        <v>Janeiro</v>
      </c>
      <c r="C2834" s="34" t="str">
        <f>PROPER(TEXT(tbLOG[[#This Row],[DATA/HORA]],"dddd"))</f>
        <v>Segunda-Feira</v>
      </c>
      <c r="D2834" s="3" t="s">
        <v>604</v>
      </c>
      <c r="E2834" s="34" t="str">
        <f>IFERROR(VLOOKUP(tbLOG[[#This Row],[LOGIN]],tbMAPA[#All],2,0), "Não localizado")</f>
        <v>Renan Cazumba Tegani</v>
      </c>
      <c r="F2834" s="34" t="str">
        <f>IFERROR(VLOOKUP(tbLOG[[#This Row],[LOGIN]],tbMAPA[#All],3,0), "Não localizado")</f>
        <v>Reginaldo Santana De Souza</v>
      </c>
      <c r="G2834" s="3" t="s">
        <v>1211</v>
      </c>
      <c r="H2834" s="3" t="s">
        <v>836</v>
      </c>
    </row>
    <row r="2835" spans="1:8">
      <c r="A2835" s="29">
        <v>42751.691400462965</v>
      </c>
      <c r="B2835" s="29" t="str">
        <f>PROPER(TEXT(tbLOG[[#This Row],[DATA/HORA]],"mmmm"))</f>
        <v>Janeiro</v>
      </c>
      <c r="C2835" s="34" t="str">
        <f>PROPER(TEXT(tbLOG[[#This Row],[DATA/HORA]],"dddd"))</f>
        <v>Segunda-Feira</v>
      </c>
      <c r="D2835" s="3" t="s">
        <v>604</v>
      </c>
      <c r="E2835" s="34" t="str">
        <f>IFERROR(VLOOKUP(tbLOG[[#This Row],[LOGIN]],tbMAPA[#All],2,0), "Não localizado")</f>
        <v>Renan Cazumba Tegani</v>
      </c>
      <c r="F2835" s="34" t="str">
        <f>IFERROR(VLOOKUP(tbLOG[[#This Row],[LOGIN]],tbMAPA[#All],3,0), "Não localizado")</f>
        <v>Reginaldo Santana De Souza</v>
      </c>
      <c r="G2835" s="3" t="s">
        <v>1211</v>
      </c>
      <c r="H2835" s="3" t="s">
        <v>836</v>
      </c>
    </row>
    <row r="2836" spans="1:8">
      <c r="A2836" s="29">
        <v>42751.692453703705</v>
      </c>
      <c r="B2836" s="29" t="str">
        <f>PROPER(TEXT(tbLOG[[#This Row],[DATA/HORA]],"mmmm"))</f>
        <v>Janeiro</v>
      </c>
      <c r="C2836" s="34" t="str">
        <f>PROPER(TEXT(tbLOG[[#This Row],[DATA/HORA]],"dddd"))</f>
        <v>Segunda-Feira</v>
      </c>
      <c r="D2836" s="3" t="s">
        <v>604</v>
      </c>
      <c r="E2836" s="34" t="str">
        <f>IFERROR(VLOOKUP(tbLOG[[#This Row],[LOGIN]],tbMAPA[#All],2,0), "Não localizado")</f>
        <v>Renan Cazumba Tegani</v>
      </c>
      <c r="F2836" s="34" t="str">
        <f>IFERROR(VLOOKUP(tbLOG[[#This Row],[LOGIN]],tbMAPA[#All],3,0), "Não localizado")</f>
        <v>Reginaldo Santana De Souza</v>
      </c>
      <c r="G2836" s="3" t="s">
        <v>1211</v>
      </c>
      <c r="H2836" s="3" t="s">
        <v>836</v>
      </c>
    </row>
    <row r="2837" spans="1:8">
      <c r="A2837" s="29">
        <v>42751.692557870374</v>
      </c>
      <c r="B2837" s="29" t="str">
        <f>PROPER(TEXT(tbLOG[[#This Row],[DATA/HORA]],"mmmm"))</f>
        <v>Janeiro</v>
      </c>
      <c r="C2837" s="34" t="str">
        <f>PROPER(TEXT(tbLOG[[#This Row],[DATA/HORA]],"dddd"))</f>
        <v>Segunda-Feira</v>
      </c>
      <c r="D2837" s="3" t="s">
        <v>604</v>
      </c>
      <c r="E2837" s="34" t="str">
        <f>IFERROR(VLOOKUP(tbLOG[[#This Row],[LOGIN]],tbMAPA[#All],2,0), "Não localizado")</f>
        <v>Renan Cazumba Tegani</v>
      </c>
      <c r="F2837" s="34" t="str">
        <f>IFERROR(VLOOKUP(tbLOG[[#This Row],[LOGIN]],tbMAPA[#All],3,0), "Não localizado")</f>
        <v>Reginaldo Santana De Souza</v>
      </c>
      <c r="G2837" s="3" t="s">
        <v>1211</v>
      </c>
      <c r="H2837" s="3" t="s">
        <v>836</v>
      </c>
    </row>
    <row r="2838" spans="1:8">
      <c r="A2838" s="29">
        <v>42751.69259259259</v>
      </c>
      <c r="B2838" s="29" t="str">
        <f>PROPER(TEXT(tbLOG[[#This Row],[DATA/HORA]],"mmmm"))</f>
        <v>Janeiro</v>
      </c>
      <c r="C2838" s="34" t="str">
        <f>PROPER(TEXT(tbLOG[[#This Row],[DATA/HORA]],"dddd"))</f>
        <v>Segunda-Feira</v>
      </c>
      <c r="D2838" s="3" t="s">
        <v>604</v>
      </c>
      <c r="E2838" s="34" t="str">
        <f>IFERROR(VLOOKUP(tbLOG[[#This Row],[LOGIN]],tbMAPA[#All],2,0), "Não localizado")</f>
        <v>Renan Cazumba Tegani</v>
      </c>
      <c r="F2838" s="34" t="str">
        <f>IFERROR(VLOOKUP(tbLOG[[#This Row],[LOGIN]],tbMAPA[#All],3,0), "Não localizado")</f>
        <v>Reginaldo Santana De Souza</v>
      </c>
      <c r="G2838" s="3" t="s">
        <v>1211</v>
      </c>
      <c r="H2838" s="3" t="s">
        <v>836</v>
      </c>
    </row>
    <row r="2839" spans="1:8">
      <c r="A2839" s="29">
        <v>42751.694143518522</v>
      </c>
      <c r="B2839" s="29" t="str">
        <f>PROPER(TEXT(tbLOG[[#This Row],[DATA/HORA]],"mmmm"))</f>
        <v>Janeiro</v>
      </c>
      <c r="C2839" s="34" t="str">
        <f>PROPER(TEXT(tbLOG[[#This Row],[DATA/HORA]],"dddd"))</f>
        <v>Segunda-Feira</v>
      </c>
      <c r="D2839" s="3" t="s">
        <v>604</v>
      </c>
      <c r="E2839" s="34" t="str">
        <f>IFERROR(VLOOKUP(tbLOG[[#This Row],[LOGIN]],tbMAPA[#All],2,0), "Não localizado")</f>
        <v>Renan Cazumba Tegani</v>
      </c>
      <c r="F2839" s="34" t="str">
        <f>IFERROR(VLOOKUP(tbLOG[[#This Row],[LOGIN]],tbMAPA[#All],3,0), "Não localizado")</f>
        <v>Reginaldo Santana De Souza</v>
      </c>
      <c r="G2839" s="3" t="s">
        <v>1211</v>
      </c>
      <c r="H2839" s="3" t="s">
        <v>836</v>
      </c>
    </row>
    <row r="2840" spans="1:8">
      <c r="A2840" s="29">
        <v>42751.694166666668</v>
      </c>
      <c r="B2840" s="29" t="str">
        <f>PROPER(TEXT(tbLOG[[#This Row],[DATA/HORA]],"mmmm"))</f>
        <v>Janeiro</v>
      </c>
      <c r="C2840" s="34" t="str">
        <f>PROPER(TEXT(tbLOG[[#This Row],[DATA/HORA]],"dddd"))</f>
        <v>Segunda-Feira</v>
      </c>
      <c r="D2840" s="3" t="s">
        <v>604</v>
      </c>
      <c r="E2840" s="34" t="str">
        <f>IFERROR(VLOOKUP(tbLOG[[#This Row],[LOGIN]],tbMAPA[#All],2,0), "Não localizado")</f>
        <v>Renan Cazumba Tegani</v>
      </c>
      <c r="F2840" s="34" t="str">
        <f>IFERROR(VLOOKUP(tbLOG[[#This Row],[LOGIN]],tbMAPA[#All],3,0), "Não localizado")</f>
        <v>Reginaldo Santana De Souza</v>
      </c>
      <c r="G2840" s="3" t="s">
        <v>1211</v>
      </c>
      <c r="H2840" s="3" t="s">
        <v>836</v>
      </c>
    </row>
    <row r="2841" spans="1:8">
      <c r="A2841" s="29">
        <v>42751.694212962961</v>
      </c>
      <c r="B2841" s="29" t="str">
        <f>PROPER(TEXT(tbLOG[[#This Row],[DATA/HORA]],"mmmm"))</f>
        <v>Janeiro</v>
      </c>
      <c r="C2841" s="34" t="str">
        <f>PROPER(TEXT(tbLOG[[#This Row],[DATA/HORA]],"dddd"))</f>
        <v>Segunda-Feira</v>
      </c>
      <c r="D2841" s="3" t="s">
        <v>604</v>
      </c>
      <c r="E2841" s="34" t="str">
        <f>IFERROR(VLOOKUP(tbLOG[[#This Row],[LOGIN]],tbMAPA[#All],2,0), "Não localizado")</f>
        <v>Renan Cazumba Tegani</v>
      </c>
      <c r="F2841" s="34" t="str">
        <f>IFERROR(VLOOKUP(tbLOG[[#This Row],[LOGIN]],tbMAPA[#All],3,0), "Não localizado")</f>
        <v>Reginaldo Santana De Souza</v>
      </c>
      <c r="G2841" s="3" t="s">
        <v>1211</v>
      </c>
      <c r="H2841" s="3" t="s">
        <v>836</v>
      </c>
    </row>
    <row r="2842" spans="1:8">
      <c r="A2842" s="29">
        <v>42751.697453703702</v>
      </c>
      <c r="B2842" s="29" t="str">
        <f>PROPER(TEXT(tbLOG[[#This Row],[DATA/HORA]],"mmmm"))</f>
        <v>Janeiro</v>
      </c>
      <c r="C2842" s="34" t="str">
        <f>PROPER(TEXT(tbLOG[[#This Row],[DATA/HORA]],"dddd"))</f>
        <v>Segunda-Feira</v>
      </c>
      <c r="D2842" s="3" t="s">
        <v>604</v>
      </c>
      <c r="E2842" s="34" t="str">
        <f>IFERROR(VLOOKUP(tbLOG[[#This Row],[LOGIN]],tbMAPA[#All],2,0), "Não localizado")</f>
        <v>Renan Cazumba Tegani</v>
      </c>
      <c r="F2842" s="34" t="str">
        <f>IFERROR(VLOOKUP(tbLOG[[#This Row],[LOGIN]],tbMAPA[#All],3,0), "Não localizado")</f>
        <v>Reginaldo Santana De Souza</v>
      </c>
      <c r="G2842" s="3" t="s">
        <v>1211</v>
      </c>
      <c r="H2842" s="3" t="s">
        <v>836</v>
      </c>
    </row>
    <row r="2843" spans="1:8">
      <c r="A2843" s="29">
        <v>42751.699259259258</v>
      </c>
      <c r="B2843" s="29" t="str">
        <f>PROPER(TEXT(tbLOG[[#This Row],[DATA/HORA]],"mmmm"))</f>
        <v>Janeiro</v>
      </c>
      <c r="C2843" s="34" t="str">
        <f>PROPER(TEXT(tbLOG[[#This Row],[DATA/HORA]],"dddd"))</f>
        <v>Segunda-Feira</v>
      </c>
      <c r="D2843" s="3" t="s">
        <v>604</v>
      </c>
      <c r="E2843" s="34" t="str">
        <f>IFERROR(VLOOKUP(tbLOG[[#This Row],[LOGIN]],tbMAPA[#All],2,0), "Não localizado")</f>
        <v>Renan Cazumba Tegani</v>
      </c>
      <c r="F2843" s="34" t="str">
        <f>IFERROR(VLOOKUP(tbLOG[[#This Row],[LOGIN]],tbMAPA[#All],3,0), "Não localizado")</f>
        <v>Reginaldo Santana De Souza</v>
      </c>
      <c r="G2843" s="3" t="s">
        <v>1211</v>
      </c>
      <c r="H2843" s="3" t="s">
        <v>836</v>
      </c>
    </row>
    <row r="2844" spans="1:8">
      <c r="A2844" s="29">
        <v>42751.701481481483</v>
      </c>
      <c r="B2844" s="29" t="str">
        <f>PROPER(TEXT(tbLOG[[#This Row],[DATA/HORA]],"mmmm"))</f>
        <v>Janeiro</v>
      </c>
      <c r="C2844" s="34" t="str">
        <f>PROPER(TEXT(tbLOG[[#This Row],[DATA/HORA]],"dddd"))</f>
        <v>Segunda-Feira</v>
      </c>
      <c r="D2844" s="3" t="s">
        <v>604</v>
      </c>
      <c r="E2844" s="34" t="str">
        <f>IFERROR(VLOOKUP(tbLOG[[#This Row],[LOGIN]],tbMAPA[#All],2,0), "Não localizado")</f>
        <v>Renan Cazumba Tegani</v>
      </c>
      <c r="F2844" s="34" t="str">
        <f>IFERROR(VLOOKUP(tbLOG[[#This Row],[LOGIN]],tbMAPA[#All],3,0), "Não localizado")</f>
        <v>Reginaldo Santana De Souza</v>
      </c>
      <c r="G2844" s="3" t="s">
        <v>1211</v>
      </c>
      <c r="H2844" s="3" t="s">
        <v>836</v>
      </c>
    </row>
    <row r="2845" spans="1:8">
      <c r="A2845" s="29">
        <v>42751.701944444445</v>
      </c>
      <c r="B2845" s="29" t="str">
        <f>PROPER(TEXT(tbLOG[[#This Row],[DATA/HORA]],"mmmm"))</f>
        <v>Janeiro</v>
      </c>
      <c r="C2845" s="34" t="str">
        <f>PROPER(TEXT(tbLOG[[#This Row],[DATA/HORA]],"dddd"))</f>
        <v>Segunda-Feira</v>
      </c>
      <c r="D2845" s="3" t="s">
        <v>604</v>
      </c>
      <c r="E2845" s="34" t="str">
        <f>IFERROR(VLOOKUP(tbLOG[[#This Row],[LOGIN]],tbMAPA[#All],2,0), "Não localizado")</f>
        <v>Renan Cazumba Tegani</v>
      </c>
      <c r="F2845" s="34" t="str">
        <f>IFERROR(VLOOKUP(tbLOG[[#This Row],[LOGIN]],tbMAPA[#All],3,0), "Não localizado")</f>
        <v>Reginaldo Santana De Souza</v>
      </c>
      <c r="G2845" s="3" t="s">
        <v>1211</v>
      </c>
      <c r="H2845" s="3" t="s">
        <v>836</v>
      </c>
    </row>
    <row r="2846" spans="1:8">
      <c r="A2846" s="29">
        <v>42751.709548611114</v>
      </c>
      <c r="B2846" s="29" t="str">
        <f>PROPER(TEXT(tbLOG[[#This Row],[DATA/HORA]],"mmmm"))</f>
        <v>Janeiro</v>
      </c>
      <c r="C2846" s="34" t="str">
        <f>PROPER(TEXT(tbLOG[[#This Row],[DATA/HORA]],"dddd"))</f>
        <v>Segunda-Feira</v>
      </c>
      <c r="D2846" s="3" t="s">
        <v>604</v>
      </c>
      <c r="E2846" s="34" t="str">
        <f>IFERROR(VLOOKUP(tbLOG[[#This Row],[LOGIN]],tbMAPA[#All],2,0), "Não localizado")</f>
        <v>Renan Cazumba Tegani</v>
      </c>
      <c r="F2846" s="34" t="str">
        <f>IFERROR(VLOOKUP(tbLOG[[#This Row],[LOGIN]],tbMAPA[#All],3,0), "Não localizado")</f>
        <v>Reginaldo Santana De Souza</v>
      </c>
      <c r="G2846" s="3" t="s">
        <v>1211</v>
      </c>
      <c r="H2846" s="3" t="s">
        <v>836</v>
      </c>
    </row>
    <row r="2847" spans="1:8">
      <c r="A2847" s="29">
        <v>42751.70957175926</v>
      </c>
      <c r="B2847" s="29" t="str">
        <f>PROPER(TEXT(tbLOG[[#This Row],[DATA/HORA]],"mmmm"))</f>
        <v>Janeiro</v>
      </c>
      <c r="C2847" s="34" t="str">
        <f>PROPER(TEXT(tbLOG[[#This Row],[DATA/HORA]],"dddd"))</f>
        <v>Segunda-Feira</v>
      </c>
      <c r="D2847" s="3" t="s">
        <v>604</v>
      </c>
      <c r="E2847" s="34" t="str">
        <f>IFERROR(VLOOKUP(tbLOG[[#This Row],[LOGIN]],tbMAPA[#All],2,0), "Não localizado")</f>
        <v>Renan Cazumba Tegani</v>
      </c>
      <c r="F2847" s="34" t="str">
        <f>IFERROR(VLOOKUP(tbLOG[[#This Row],[LOGIN]],tbMAPA[#All],3,0), "Não localizado")</f>
        <v>Reginaldo Santana De Souza</v>
      </c>
      <c r="G2847" s="3" t="s">
        <v>1211</v>
      </c>
      <c r="H2847" s="3" t="s">
        <v>836</v>
      </c>
    </row>
    <row r="2848" spans="1:8">
      <c r="A2848" s="29">
        <v>42751.709675925929</v>
      </c>
      <c r="B2848" s="29" t="str">
        <f>PROPER(TEXT(tbLOG[[#This Row],[DATA/HORA]],"mmmm"))</f>
        <v>Janeiro</v>
      </c>
      <c r="C2848" s="34" t="str">
        <f>PROPER(TEXT(tbLOG[[#This Row],[DATA/HORA]],"dddd"))</f>
        <v>Segunda-Feira</v>
      </c>
      <c r="D2848" s="3" t="s">
        <v>604</v>
      </c>
      <c r="E2848" s="34" t="str">
        <f>IFERROR(VLOOKUP(tbLOG[[#This Row],[LOGIN]],tbMAPA[#All],2,0), "Não localizado")</f>
        <v>Renan Cazumba Tegani</v>
      </c>
      <c r="F2848" s="34" t="str">
        <f>IFERROR(VLOOKUP(tbLOG[[#This Row],[LOGIN]],tbMAPA[#All],3,0), "Não localizado")</f>
        <v>Reginaldo Santana De Souza</v>
      </c>
      <c r="G2848" s="3" t="s">
        <v>1211</v>
      </c>
      <c r="H2848" s="3" t="s">
        <v>836</v>
      </c>
    </row>
    <row r="2849" spans="1:8">
      <c r="A2849" s="29">
        <v>42751.709710648145</v>
      </c>
      <c r="B2849" s="29" t="str">
        <f>PROPER(TEXT(tbLOG[[#This Row],[DATA/HORA]],"mmmm"))</f>
        <v>Janeiro</v>
      </c>
      <c r="C2849" s="34" t="str">
        <f>PROPER(TEXT(tbLOG[[#This Row],[DATA/HORA]],"dddd"))</f>
        <v>Segunda-Feira</v>
      </c>
      <c r="D2849" s="3" t="s">
        <v>604</v>
      </c>
      <c r="E2849" s="34" t="str">
        <f>IFERROR(VLOOKUP(tbLOG[[#This Row],[LOGIN]],tbMAPA[#All],2,0), "Não localizado")</f>
        <v>Renan Cazumba Tegani</v>
      </c>
      <c r="F2849" s="34" t="str">
        <f>IFERROR(VLOOKUP(tbLOG[[#This Row],[LOGIN]],tbMAPA[#All],3,0), "Não localizado")</f>
        <v>Reginaldo Santana De Souza</v>
      </c>
      <c r="G2849" s="3" t="s">
        <v>1211</v>
      </c>
      <c r="H2849" s="3" t="s">
        <v>836</v>
      </c>
    </row>
    <row r="2850" spans="1:8">
      <c r="A2850" s="29">
        <v>42751.713425925926</v>
      </c>
      <c r="B2850" s="29" t="str">
        <f>PROPER(TEXT(tbLOG[[#This Row],[DATA/HORA]],"mmmm"))</f>
        <v>Janeiro</v>
      </c>
      <c r="C2850" s="34" t="str">
        <f>PROPER(TEXT(tbLOG[[#This Row],[DATA/HORA]],"dddd"))</f>
        <v>Segunda-Feira</v>
      </c>
      <c r="D2850" s="3" t="s">
        <v>604</v>
      </c>
      <c r="E2850" s="34" t="str">
        <f>IFERROR(VLOOKUP(tbLOG[[#This Row],[LOGIN]],tbMAPA[#All],2,0), "Não localizado")</f>
        <v>Renan Cazumba Tegani</v>
      </c>
      <c r="F2850" s="34" t="str">
        <f>IFERROR(VLOOKUP(tbLOG[[#This Row],[LOGIN]],tbMAPA[#All],3,0), "Não localizado")</f>
        <v>Reginaldo Santana De Souza</v>
      </c>
      <c r="G2850" s="3" t="s">
        <v>1211</v>
      </c>
      <c r="H2850" s="3" t="s">
        <v>836</v>
      </c>
    </row>
    <row r="2851" spans="1:8">
      <c r="A2851" s="29">
        <v>42751.713437500002</v>
      </c>
      <c r="B2851" s="29" t="str">
        <f>PROPER(TEXT(tbLOG[[#This Row],[DATA/HORA]],"mmmm"))</f>
        <v>Janeiro</v>
      </c>
      <c r="C2851" s="34" t="str">
        <f>PROPER(TEXT(tbLOG[[#This Row],[DATA/HORA]],"dddd"))</f>
        <v>Segunda-Feira</v>
      </c>
      <c r="D2851" s="3" t="s">
        <v>604</v>
      </c>
      <c r="E2851" s="34" t="str">
        <f>IFERROR(VLOOKUP(tbLOG[[#This Row],[LOGIN]],tbMAPA[#All],2,0), "Não localizado")</f>
        <v>Renan Cazumba Tegani</v>
      </c>
      <c r="F2851" s="34" t="str">
        <f>IFERROR(VLOOKUP(tbLOG[[#This Row],[LOGIN]],tbMAPA[#All],3,0), "Não localizado")</f>
        <v>Reginaldo Santana De Souza</v>
      </c>
      <c r="G2851" s="3" t="s">
        <v>1211</v>
      </c>
      <c r="H2851" s="3" t="s">
        <v>836</v>
      </c>
    </row>
    <row r="2852" spans="1:8">
      <c r="A2852" s="29">
        <v>42751.713495370372</v>
      </c>
      <c r="B2852" s="29" t="str">
        <f>PROPER(TEXT(tbLOG[[#This Row],[DATA/HORA]],"mmmm"))</f>
        <v>Janeiro</v>
      </c>
      <c r="C2852" s="34" t="str">
        <f>PROPER(TEXT(tbLOG[[#This Row],[DATA/HORA]],"dddd"))</f>
        <v>Segunda-Feira</v>
      </c>
      <c r="D2852" s="3" t="s">
        <v>604</v>
      </c>
      <c r="E2852" s="34" t="str">
        <f>IFERROR(VLOOKUP(tbLOG[[#This Row],[LOGIN]],tbMAPA[#All],2,0), "Não localizado")</f>
        <v>Renan Cazumba Tegani</v>
      </c>
      <c r="F2852" s="34" t="str">
        <f>IFERROR(VLOOKUP(tbLOG[[#This Row],[LOGIN]],tbMAPA[#All],3,0), "Não localizado")</f>
        <v>Reginaldo Santana De Souza</v>
      </c>
      <c r="G2852" s="3" t="s">
        <v>1211</v>
      </c>
      <c r="H2852" s="3" t="s">
        <v>836</v>
      </c>
    </row>
    <row r="2853" spans="1:8">
      <c r="A2853" s="29">
        <v>42751.713819444441</v>
      </c>
      <c r="B2853" s="29" t="str">
        <f>PROPER(TEXT(tbLOG[[#This Row],[DATA/HORA]],"mmmm"))</f>
        <v>Janeiro</v>
      </c>
      <c r="C2853" s="34" t="str">
        <f>PROPER(TEXT(tbLOG[[#This Row],[DATA/HORA]],"dddd"))</f>
        <v>Segunda-Feira</v>
      </c>
      <c r="D2853" s="3" t="s">
        <v>604</v>
      </c>
      <c r="E2853" s="34" t="str">
        <f>IFERROR(VLOOKUP(tbLOG[[#This Row],[LOGIN]],tbMAPA[#All],2,0), "Não localizado")</f>
        <v>Renan Cazumba Tegani</v>
      </c>
      <c r="F2853" s="34" t="str">
        <f>IFERROR(VLOOKUP(tbLOG[[#This Row],[LOGIN]],tbMAPA[#All],3,0), "Não localizado")</f>
        <v>Reginaldo Santana De Souza</v>
      </c>
      <c r="G2853" s="3" t="s">
        <v>1211</v>
      </c>
      <c r="H2853" s="3" t="s">
        <v>836</v>
      </c>
    </row>
    <row r="2854" spans="1:8">
      <c r="A2854" s="29">
        <v>42751.713854166665</v>
      </c>
      <c r="B2854" s="29" t="str">
        <f>PROPER(TEXT(tbLOG[[#This Row],[DATA/HORA]],"mmmm"))</f>
        <v>Janeiro</v>
      </c>
      <c r="C2854" s="34" t="str">
        <f>PROPER(TEXT(tbLOG[[#This Row],[DATA/HORA]],"dddd"))</f>
        <v>Segunda-Feira</v>
      </c>
      <c r="D2854" s="3" t="s">
        <v>604</v>
      </c>
      <c r="E2854" s="34" t="str">
        <f>IFERROR(VLOOKUP(tbLOG[[#This Row],[LOGIN]],tbMAPA[#All],2,0), "Não localizado")</f>
        <v>Renan Cazumba Tegani</v>
      </c>
      <c r="F2854" s="34" t="str">
        <f>IFERROR(VLOOKUP(tbLOG[[#This Row],[LOGIN]],tbMAPA[#All],3,0), "Não localizado")</f>
        <v>Reginaldo Santana De Souza</v>
      </c>
      <c r="G2854" s="3" t="s">
        <v>1211</v>
      </c>
      <c r="H2854" s="3" t="s">
        <v>836</v>
      </c>
    </row>
    <row r="2855" spans="1:8">
      <c r="A2855" s="29">
        <v>42751.716458333336</v>
      </c>
      <c r="B2855" s="29" t="str">
        <f>PROPER(TEXT(tbLOG[[#This Row],[DATA/HORA]],"mmmm"))</f>
        <v>Janeiro</v>
      </c>
      <c r="C2855" s="34" t="str">
        <f>PROPER(TEXT(tbLOG[[#This Row],[DATA/HORA]],"dddd"))</f>
        <v>Segunda-Feira</v>
      </c>
      <c r="D2855" s="3" t="s">
        <v>604</v>
      </c>
      <c r="E2855" s="34" t="str">
        <f>IFERROR(VLOOKUP(tbLOG[[#This Row],[LOGIN]],tbMAPA[#All],2,0), "Não localizado")</f>
        <v>Renan Cazumba Tegani</v>
      </c>
      <c r="F2855" s="34" t="str">
        <f>IFERROR(VLOOKUP(tbLOG[[#This Row],[LOGIN]],tbMAPA[#All],3,0), "Não localizado")</f>
        <v>Reginaldo Santana De Souza</v>
      </c>
      <c r="G2855" s="3" t="s">
        <v>1211</v>
      </c>
      <c r="H2855" s="3" t="s">
        <v>836</v>
      </c>
    </row>
    <row r="2856" spans="1:8">
      <c r="A2856" s="29">
        <v>42751.716840277775</v>
      </c>
      <c r="B2856" s="29" t="str">
        <f>PROPER(TEXT(tbLOG[[#This Row],[DATA/HORA]],"mmmm"))</f>
        <v>Janeiro</v>
      </c>
      <c r="C2856" s="34" t="str">
        <f>PROPER(TEXT(tbLOG[[#This Row],[DATA/HORA]],"dddd"))</f>
        <v>Segunda-Feira</v>
      </c>
      <c r="D2856" s="3" t="s">
        <v>604</v>
      </c>
      <c r="E2856" s="34" t="str">
        <f>IFERROR(VLOOKUP(tbLOG[[#This Row],[LOGIN]],tbMAPA[#All],2,0), "Não localizado")</f>
        <v>Renan Cazumba Tegani</v>
      </c>
      <c r="F2856" s="34" t="str">
        <f>IFERROR(VLOOKUP(tbLOG[[#This Row],[LOGIN]],tbMAPA[#All],3,0), "Não localizado")</f>
        <v>Reginaldo Santana De Souza</v>
      </c>
      <c r="G2856" s="3" t="s">
        <v>1211</v>
      </c>
      <c r="H2856" s="3" t="s">
        <v>836</v>
      </c>
    </row>
    <row r="2857" spans="1:8">
      <c r="A2857" s="29">
        <v>42751.720625000002</v>
      </c>
      <c r="B2857" s="29" t="str">
        <f>PROPER(TEXT(tbLOG[[#This Row],[DATA/HORA]],"mmmm"))</f>
        <v>Janeiro</v>
      </c>
      <c r="C2857" s="34" t="str">
        <f>PROPER(TEXT(tbLOG[[#This Row],[DATA/HORA]],"dddd"))</f>
        <v>Segunda-Feira</v>
      </c>
      <c r="D2857" s="3" t="s">
        <v>604</v>
      </c>
      <c r="E2857" s="34" t="str">
        <f>IFERROR(VLOOKUP(tbLOG[[#This Row],[LOGIN]],tbMAPA[#All],2,0), "Não localizado")</f>
        <v>Renan Cazumba Tegani</v>
      </c>
      <c r="F2857" s="34" t="str">
        <f>IFERROR(VLOOKUP(tbLOG[[#This Row],[LOGIN]],tbMAPA[#All],3,0), "Não localizado")</f>
        <v>Reginaldo Santana De Souza</v>
      </c>
      <c r="G2857" s="3" t="s">
        <v>1211</v>
      </c>
      <c r="H2857" s="3" t="s">
        <v>836</v>
      </c>
    </row>
    <row r="2858" spans="1:8">
      <c r="A2858" s="29">
        <v>42751.720636574071</v>
      </c>
      <c r="B2858" s="29" t="str">
        <f>PROPER(TEXT(tbLOG[[#This Row],[DATA/HORA]],"mmmm"))</f>
        <v>Janeiro</v>
      </c>
      <c r="C2858" s="34" t="str">
        <f>PROPER(TEXT(tbLOG[[#This Row],[DATA/HORA]],"dddd"))</f>
        <v>Segunda-Feira</v>
      </c>
      <c r="D2858" s="3" t="s">
        <v>604</v>
      </c>
      <c r="E2858" s="34" t="str">
        <f>IFERROR(VLOOKUP(tbLOG[[#This Row],[LOGIN]],tbMAPA[#All],2,0), "Não localizado")</f>
        <v>Renan Cazumba Tegani</v>
      </c>
      <c r="F2858" s="34" t="str">
        <f>IFERROR(VLOOKUP(tbLOG[[#This Row],[LOGIN]],tbMAPA[#All],3,0), "Não localizado")</f>
        <v>Reginaldo Santana De Souza</v>
      </c>
      <c r="G2858" s="3" t="s">
        <v>1211</v>
      </c>
      <c r="H2858" s="3" t="s">
        <v>836</v>
      </c>
    </row>
    <row r="2859" spans="1:8">
      <c r="A2859" s="29">
        <v>42751.720717592594</v>
      </c>
      <c r="B2859" s="29" t="str">
        <f>PROPER(TEXT(tbLOG[[#This Row],[DATA/HORA]],"mmmm"))</f>
        <v>Janeiro</v>
      </c>
      <c r="C2859" s="34" t="str">
        <f>PROPER(TEXT(tbLOG[[#This Row],[DATA/HORA]],"dddd"))</f>
        <v>Segunda-Feira</v>
      </c>
      <c r="D2859" s="3" t="s">
        <v>604</v>
      </c>
      <c r="E2859" s="34" t="str">
        <f>IFERROR(VLOOKUP(tbLOG[[#This Row],[LOGIN]],tbMAPA[#All],2,0), "Não localizado")</f>
        <v>Renan Cazumba Tegani</v>
      </c>
      <c r="F2859" s="34" t="str">
        <f>IFERROR(VLOOKUP(tbLOG[[#This Row],[LOGIN]],tbMAPA[#All],3,0), "Não localizado")</f>
        <v>Reginaldo Santana De Souza</v>
      </c>
      <c r="G2859" s="3" t="s">
        <v>1211</v>
      </c>
      <c r="H2859" s="3" t="s">
        <v>836</v>
      </c>
    </row>
    <row r="2860" spans="1:8">
      <c r="A2860" s="29">
        <v>42751.722962962966</v>
      </c>
      <c r="B2860" s="29" t="str">
        <f>PROPER(TEXT(tbLOG[[#This Row],[DATA/HORA]],"mmmm"))</f>
        <v>Janeiro</v>
      </c>
      <c r="C2860" s="34" t="str">
        <f>PROPER(TEXT(tbLOG[[#This Row],[DATA/HORA]],"dddd"))</f>
        <v>Segunda-Feira</v>
      </c>
      <c r="D2860" s="3" t="s">
        <v>604</v>
      </c>
      <c r="E2860" s="34" t="str">
        <f>IFERROR(VLOOKUP(tbLOG[[#This Row],[LOGIN]],tbMAPA[#All],2,0), "Não localizado")</f>
        <v>Renan Cazumba Tegani</v>
      </c>
      <c r="F2860" s="34" t="str">
        <f>IFERROR(VLOOKUP(tbLOG[[#This Row],[LOGIN]],tbMAPA[#All],3,0), "Não localizado")</f>
        <v>Reginaldo Santana De Souza</v>
      </c>
      <c r="G2860" s="3" t="s">
        <v>1211</v>
      </c>
      <c r="H2860" s="3" t="s">
        <v>836</v>
      </c>
    </row>
    <row r="2861" spans="1:8">
      <c r="A2861" s="29">
        <v>42751.722974537035</v>
      </c>
      <c r="B2861" s="29" t="str">
        <f>PROPER(TEXT(tbLOG[[#This Row],[DATA/HORA]],"mmmm"))</f>
        <v>Janeiro</v>
      </c>
      <c r="C2861" s="34" t="str">
        <f>PROPER(TEXT(tbLOG[[#This Row],[DATA/HORA]],"dddd"))</f>
        <v>Segunda-Feira</v>
      </c>
      <c r="D2861" s="3" t="s">
        <v>604</v>
      </c>
      <c r="E2861" s="34" t="str">
        <f>IFERROR(VLOOKUP(tbLOG[[#This Row],[LOGIN]],tbMAPA[#All],2,0), "Não localizado")</f>
        <v>Renan Cazumba Tegani</v>
      </c>
      <c r="F2861" s="34" t="str">
        <f>IFERROR(VLOOKUP(tbLOG[[#This Row],[LOGIN]],tbMAPA[#All],3,0), "Não localizado")</f>
        <v>Reginaldo Santana De Souza</v>
      </c>
      <c r="G2861" s="3" t="s">
        <v>1211</v>
      </c>
      <c r="H2861" s="3" t="s">
        <v>836</v>
      </c>
    </row>
    <row r="2862" spans="1:8">
      <c r="A2862" s="29">
        <v>42751.723136574074</v>
      </c>
      <c r="B2862" s="29" t="str">
        <f>PROPER(TEXT(tbLOG[[#This Row],[DATA/HORA]],"mmmm"))</f>
        <v>Janeiro</v>
      </c>
      <c r="C2862" s="34" t="str">
        <f>PROPER(TEXT(tbLOG[[#This Row],[DATA/HORA]],"dddd"))</f>
        <v>Segunda-Feira</v>
      </c>
      <c r="D2862" s="3" t="s">
        <v>604</v>
      </c>
      <c r="E2862" s="34" t="str">
        <f>IFERROR(VLOOKUP(tbLOG[[#This Row],[LOGIN]],tbMAPA[#All],2,0), "Não localizado")</f>
        <v>Renan Cazumba Tegani</v>
      </c>
      <c r="F2862" s="34" t="str">
        <f>IFERROR(VLOOKUP(tbLOG[[#This Row],[LOGIN]],tbMAPA[#All],3,0), "Não localizado")</f>
        <v>Reginaldo Santana De Souza</v>
      </c>
      <c r="G2862" s="3" t="s">
        <v>1211</v>
      </c>
      <c r="H2862" s="3" t="s">
        <v>836</v>
      </c>
    </row>
    <row r="2863" spans="1:8">
      <c r="A2863" s="29">
        <v>42751.726458333331</v>
      </c>
      <c r="B2863" s="29" t="str">
        <f>PROPER(TEXT(tbLOG[[#This Row],[DATA/HORA]],"mmmm"))</f>
        <v>Janeiro</v>
      </c>
      <c r="C2863" s="34" t="str">
        <f>PROPER(TEXT(tbLOG[[#This Row],[DATA/HORA]],"dddd"))</f>
        <v>Segunda-Feira</v>
      </c>
      <c r="D2863" s="3" t="s">
        <v>604</v>
      </c>
      <c r="E2863" s="34" t="str">
        <f>IFERROR(VLOOKUP(tbLOG[[#This Row],[LOGIN]],tbMAPA[#All],2,0), "Não localizado")</f>
        <v>Renan Cazumba Tegani</v>
      </c>
      <c r="F2863" s="34" t="str">
        <f>IFERROR(VLOOKUP(tbLOG[[#This Row],[LOGIN]],tbMAPA[#All],3,0), "Não localizado")</f>
        <v>Reginaldo Santana De Souza</v>
      </c>
      <c r="G2863" s="3" t="s">
        <v>1211</v>
      </c>
      <c r="H2863" s="3" t="s">
        <v>836</v>
      </c>
    </row>
    <row r="2864" spans="1:8">
      <c r="A2864" s="29">
        <v>42751.7265625</v>
      </c>
      <c r="B2864" s="29" t="str">
        <f>PROPER(TEXT(tbLOG[[#This Row],[DATA/HORA]],"mmmm"))</f>
        <v>Janeiro</v>
      </c>
      <c r="C2864" s="34" t="str">
        <f>PROPER(TEXT(tbLOG[[#This Row],[DATA/HORA]],"dddd"))</f>
        <v>Segunda-Feira</v>
      </c>
      <c r="D2864" s="3" t="s">
        <v>604</v>
      </c>
      <c r="E2864" s="34" t="str">
        <f>IFERROR(VLOOKUP(tbLOG[[#This Row],[LOGIN]],tbMAPA[#All],2,0), "Não localizado")</f>
        <v>Renan Cazumba Tegani</v>
      </c>
      <c r="F2864" s="34" t="str">
        <f>IFERROR(VLOOKUP(tbLOG[[#This Row],[LOGIN]],tbMAPA[#All],3,0), "Não localizado")</f>
        <v>Reginaldo Santana De Souza</v>
      </c>
      <c r="G2864" s="3" t="s">
        <v>1211</v>
      </c>
      <c r="H2864" s="3" t="s">
        <v>836</v>
      </c>
    </row>
    <row r="2865" spans="1:8">
      <c r="A2865" s="29">
        <v>42751.726793981485</v>
      </c>
      <c r="B2865" s="29" t="str">
        <f>PROPER(TEXT(tbLOG[[#This Row],[DATA/HORA]],"mmmm"))</f>
        <v>Janeiro</v>
      </c>
      <c r="C2865" s="34" t="str">
        <f>PROPER(TEXT(tbLOG[[#This Row],[DATA/HORA]],"dddd"))</f>
        <v>Segunda-Feira</v>
      </c>
      <c r="D2865" s="3" t="s">
        <v>604</v>
      </c>
      <c r="E2865" s="34" t="str">
        <f>IFERROR(VLOOKUP(tbLOG[[#This Row],[LOGIN]],tbMAPA[#All],2,0), "Não localizado")</f>
        <v>Renan Cazumba Tegani</v>
      </c>
      <c r="F2865" s="34" t="str">
        <f>IFERROR(VLOOKUP(tbLOG[[#This Row],[LOGIN]],tbMAPA[#All],3,0), "Não localizado")</f>
        <v>Reginaldo Santana De Souza</v>
      </c>
      <c r="G2865" s="3" t="s">
        <v>1211</v>
      </c>
      <c r="H2865" s="3" t="s">
        <v>836</v>
      </c>
    </row>
    <row r="2866" spans="1:8">
      <c r="A2866" s="29">
        <v>42751.728796296295</v>
      </c>
      <c r="B2866" s="29" t="str">
        <f>PROPER(TEXT(tbLOG[[#This Row],[DATA/HORA]],"mmmm"))</f>
        <v>Janeiro</v>
      </c>
      <c r="C2866" s="34" t="str">
        <f>PROPER(TEXT(tbLOG[[#This Row],[DATA/HORA]],"dddd"))</f>
        <v>Segunda-Feira</v>
      </c>
      <c r="D2866" s="3" t="s">
        <v>604</v>
      </c>
      <c r="E2866" s="34" t="str">
        <f>IFERROR(VLOOKUP(tbLOG[[#This Row],[LOGIN]],tbMAPA[#All],2,0), "Não localizado")</f>
        <v>Renan Cazumba Tegani</v>
      </c>
      <c r="F2866" s="34" t="str">
        <f>IFERROR(VLOOKUP(tbLOG[[#This Row],[LOGIN]],tbMAPA[#All],3,0), "Não localizado")</f>
        <v>Reginaldo Santana De Souza</v>
      </c>
      <c r="G2866" s="3" t="s">
        <v>1211</v>
      </c>
      <c r="H2866" s="3" t="s">
        <v>836</v>
      </c>
    </row>
    <row r="2867" spans="1:8">
      <c r="A2867" s="29">
        <v>42751.728807870371</v>
      </c>
      <c r="B2867" s="29" t="str">
        <f>PROPER(TEXT(tbLOG[[#This Row],[DATA/HORA]],"mmmm"))</f>
        <v>Janeiro</v>
      </c>
      <c r="C2867" s="34" t="str">
        <f>PROPER(TEXT(tbLOG[[#This Row],[DATA/HORA]],"dddd"))</f>
        <v>Segunda-Feira</v>
      </c>
      <c r="D2867" s="3" t="s">
        <v>604</v>
      </c>
      <c r="E2867" s="34" t="str">
        <f>IFERROR(VLOOKUP(tbLOG[[#This Row],[LOGIN]],tbMAPA[#All],2,0), "Não localizado")</f>
        <v>Renan Cazumba Tegani</v>
      </c>
      <c r="F2867" s="34" t="str">
        <f>IFERROR(VLOOKUP(tbLOG[[#This Row],[LOGIN]],tbMAPA[#All],3,0), "Não localizado")</f>
        <v>Reginaldo Santana De Souza</v>
      </c>
      <c r="G2867" s="3" t="s">
        <v>1211</v>
      </c>
      <c r="H2867" s="3" t="s">
        <v>836</v>
      </c>
    </row>
    <row r="2868" spans="1:8">
      <c r="A2868" s="29">
        <v>42751.729247685187</v>
      </c>
      <c r="B2868" s="29" t="str">
        <f>PROPER(TEXT(tbLOG[[#This Row],[DATA/HORA]],"mmmm"))</f>
        <v>Janeiro</v>
      </c>
      <c r="C2868" s="34" t="str">
        <f>PROPER(TEXT(tbLOG[[#This Row],[DATA/HORA]],"dddd"))</f>
        <v>Segunda-Feira</v>
      </c>
      <c r="D2868" s="3" t="s">
        <v>604</v>
      </c>
      <c r="E2868" s="34" t="str">
        <f>IFERROR(VLOOKUP(tbLOG[[#This Row],[LOGIN]],tbMAPA[#All],2,0), "Não localizado")</f>
        <v>Renan Cazumba Tegani</v>
      </c>
      <c r="F2868" s="34" t="str">
        <f>IFERROR(VLOOKUP(tbLOG[[#This Row],[LOGIN]],tbMAPA[#All],3,0), "Não localizado")</f>
        <v>Reginaldo Santana De Souza</v>
      </c>
      <c r="G2868" s="3" t="s">
        <v>1211</v>
      </c>
      <c r="H2868" s="3" t="s">
        <v>836</v>
      </c>
    </row>
    <row r="2869" spans="1:8">
      <c r="A2869" s="29">
        <v>42751.72929398148</v>
      </c>
      <c r="B2869" s="29" t="str">
        <f>PROPER(TEXT(tbLOG[[#This Row],[DATA/HORA]],"mmmm"))</f>
        <v>Janeiro</v>
      </c>
      <c r="C2869" s="34" t="str">
        <f>PROPER(TEXT(tbLOG[[#This Row],[DATA/HORA]],"dddd"))</f>
        <v>Segunda-Feira</v>
      </c>
      <c r="D2869" s="3" t="s">
        <v>604</v>
      </c>
      <c r="E2869" s="34" t="str">
        <f>IFERROR(VLOOKUP(tbLOG[[#This Row],[LOGIN]],tbMAPA[#All],2,0), "Não localizado")</f>
        <v>Renan Cazumba Tegani</v>
      </c>
      <c r="F2869" s="34" t="str">
        <f>IFERROR(VLOOKUP(tbLOG[[#This Row],[LOGIN]],tbMAPA[#All],3,0), "Não localizado")</f>
        <v>Reginaldo Santana De Souza</v>
      </c>
      <c r="G2869" s="3" t="s">
        <v>1211</v>
      </c>
      <c r="H2869" s="3" t="s">
        <v>290</v>
      </c>
    </row>
    <row r="2870" spans="1:8">
      <c r="A2870" s="29">
        <v>42751.732199074075</v>
      </c>
      <c r="B2870" s="29" t="str">
        <f>PROPER(TEXT(tbLOG[[#This Row],[DATA/HORA]],"mmmm"))</f>
        <v>Janeiro</v>
      </c>
      <c r="C2870" s="34" t="str">
        <f>PROPER(TEXT(tbLOG[[#This Row],[DATA/HORA]],"dddd"))</f>
        <v>Segunda-Feira</v>
      </c>
      <c r="D2870" s="3" t="s">
        <v>604</v>
      </c>
      <c r="E2870" s="34" t="str">
        <f>IFERROR(VLOOKUP(tbLOG[[#This Row],[LOGIN]],tbMAPA[#All],2,0), "Não localizado")</f>
        <v>Renan Cazumba Tegani</v>
      </c>
      <c r="F2870" s="34" t="str">
        <f>IFERROR(VLOOKUP(tbLOG[[#This Row],[LOGIN]],tbMAPA[#All],3,0), "Não localizado")</f>
        <v>Reginaldo Santana De Souza</v>
      </c>
      <c r="G2870" s="3" t="s">
        <v>1211</v>
      </c>
      <c r="H2870" s="3" t="s">
        <v>836</v>
      </c>
    </row>
    <row r="2871" spans="1:8">
      <c r="A2871" s="29">
        <v>42751.732210648152</v>
      </c>
      <c r="B2871" s="29" t="str">
        <f>PROPER(TEXT(tbLOG[[#This Row],[DATA/HORA]],"mmmm"))</f>
        <v>Janeiro</v>
      </c>
      <c r="C2871" s="34" t="str">
        <f>PROPER(TEXT(tbLOG[[#This Row],[DATA/HORA]],"dddd"))</f>
        <v>Segunda-Feira</v>
      </c>
      <c r="D2871" s="3" t="s">
        <v>604</v>
      </c>
      <c r="E2871" s="34" t="str">
        <f>IFERROR(VLOOKUP(tbLOG[[#This Row],[LOGIN]],tbMAPA[#All],2,0), "Não localizado")</f>
        <v>Renan Cazumba Tegani</v>
      </c>
      <c r="F2871" s="34" t="str">
        <f>IFERROR(VLOOKUP(tbLOG[[#This Row],[LOGIN]],tbMAPA[#All],3,0), "Não localizado")</f>
        <v>Reginaldo Santana De Souza</v>
      </c>
      <c r="G2871" s="3" t="s">
        <v>1211</v>
      </c>
      <c r="H2871" s="3" t="s">
        <v>836</v>
      </c>
    </row>
    <row r="2872" spans="1:8">
      <c r="A2872" s="29">
        <v>42751.732245370367</v>
      </c>
      <c r="B2872" s="29" t="str">
        <f>PROPER(TEXT(tbLOG[[#This Row],[DATA/HORA]],"mmmm"))</f>
        <v>Janeiro</v>
      </c>
      <c r="C2872" s="34" t="str">
        <f>PROPER(TEXT(tbLOG[[#This Row],[DATA/HORA]],"dddd"))</f>
        <v>Segunda-Feira</v>
      </c>
      <c r="D2872" s="3" t="s">
        <v>604</v>
      </c>
      <c r="E2872" s="34" t="str">
        <f>IFERROR(VLOOKUP(tbLOG[[#This Row],[LOGIN]],tbMAPA[#All],2,0), "Não localizado")</f>
        <v>Renan Cazumba Tegani</v>
      </c>
      <c r="F2872" s="34" t="str">
        <f>IFERROR(VLOOKUP(tbLOG[[#This Row],[LOGIN]],tbMAPA[#All],3,0), "Não localizado")</f>
        <v>Reginaldo Santana De Souza</v>
      </c>
      <c r="G2872" s="3" t="s">
        <v>1211</v>
      </c>
      <c r="H2872" s="3" t="s">
        <v>836</v>
      </c>
    </row>
    <row r="2873" spans="1:8">
      <c r="A2873" s="29">
        <v>42751.733229166668</v>
      </c>
      <c r="B2873" s="29" t="str">
        <f>PROPER(TEXT(tbLOG[[#This Row],[DATA/HORA]],"mmmm"))</f>
        <v>Janeiro</v>
      </c>
      <c r="C2873" s="34" t="str">
        <f>PROPER(TEXT(tbLOG[[#This Row],[DATA/HORA]],"dddd"))</f>
        <v>Segunda-Feira</v>
      </c>
      <c r="D2873" s="3" t="s">
        <v>604</v>
      </c>
      <c r="E2873" s="34" t="str">
        <f>IFERROR(VLOOKUP(tbLOG[[#This Row],[LOGIN]],tbMAPA[#All],2,0), "Não localizado")</f>
        <v>Renan Cazumba Tegani</v>
      </c>
      <c r="F2873" s="34" t="str">
        <f>IFERROR(VLOOKUP(tbLOG[[#This Row],[LOGIN]],tbMAPA[#All],3,0), "Não localizado")</f>
        <v>Reginaldo Santana De Souza</v>
      </c>
      <c r="G2873" s="3" t="s">
        <v>1211</v>
      </c>
      <c r="H2873" s="3" t="s">
        <v>836</v>
      </c>
    </row>
    <row r="2874" spans="1:8">
      <c r="A2874" s="29">
        <v>42751.737129629626</v>
      </c>
      <c r="B2874" s="29" t="str">
        <f>PROPER(TEXT(tbLOG[[#This Row],[DATA/HORA]],"mmmm"))</f>
        <v>Janeiro</v>
      </c>
      <c r="C2874" s="34" t="str">
        <f>PROPER(TEXT(tbLOG[[#This Row],[DATA/HORA]],"dddd"))</f>
        <v>Segunda-Feira</v>
      </c>
      <c r="D2874" s="3" t="s">
        <v>604</v>
      </c>
      <c r="E2874" s="34" t="str">
        <f>IFERROR(VLOOKUP(tbLOG[[#This Row],[LOGIN]],tbMAPA[#All],2,0), "Não localizado")</f>
        <v>Renan Cazumba Tegani</v>
      </c>
      <c r="F2874" s="34" t="str">
        <f>IFERROR(VLOOKUP(tbLOG[[#This Row],[LOGIN]],tbMAPA[#All],3,0), "Não localizado")</f>
        <v>Reginaldo Santana De Souza</v>
      </c>
      <c r="G2874" s="3" t="s">
        <v>1211</v>
      </c>
      <c r="H2874" s="3" t="s">
        <v>836</v>
      </c>
    </row>
    <row r="2875" spans="1:8">
      <c r="A2875" s="29">
        <v>42751.737141203703</v>
      </c>
      <c r="B2875" s="29" t="str">
        <f>PROPER(TEXT(tbLOG[[#This Row],[DATA/HORA]],"mmmm"))</f>
        <v>Janeiro</v>
      </c>
      <c r="C2875" s="34" t="str">
        <f>PROPER(TEXT(tbLOG[[#This Row],[DATA/HORA]],"dddd"))</f>
        <v>Segunda-Feira</v>
      </c>
      <c r="D2875" s="3" t="s">
        <v>604</v>
      </c>
      <c r="E2875" s="34" t="str">
        <f>IFERROR(VLOOKUP(tbLOG[[#This Row],[LOGIN]],tbMAPA[#All],2,0), "Não localizado")</f>
        <v>Renan Cazumba Tegani</v>
      </c>
      <c r="F2875" s="34" t="str">
        <f>IFERROR(VLOOKUP(tbLOG[[#This Row],[LOGIN]],tbMAPA[#All],3,0), "Não localizado")</f>
        <v>Reginaldo Santana De Souza</v>
      </c>
      <c r="G2875" s="3" t="s">
        <v>1211</v>
      </c>
      <c r="H2875" s="3" t="s">
        <v>836</v>
      </c>
    </row>
    <row r="2876" spans="1:8">
      <c r="A2876" s="29">
        <v>42751.737256944441</v>
      </c>
      <c r="B2876" s="29" t="str">
        <f>PROPER(TEXT(tbLOG[[#This Row],[DATA/HORA]],"mmmm"))</f>
        <v>Janeiro</v>
      </c>
      <c r="C2876" s="34" t="str">
        <f>PROPER(TEXT(tbLOG[[#This Row],[DATA/HORA]],"dddd"))</f>
        <v>Segunda-Feira</v>
      </c>
      <c r="D2876" s="3" t="s">
        <v>604</v>
      </c>
      <c r="E2876" s="34" t="str">
        <f>IFERROR(VLOOKUP(tbLOG[[#This Row],[LOGIN]],tbMAPA[#All],2,0), "Não localizado")</f>
        <v>Renan Cazumba Tegani</v>
      </c>
      <c r="F2876" s="34" t="str">
        <f>IFERROR(VLOOKUP(tbLOG[[#This Row],[LOGIN]],tbMAPA[#All],3,0), "Não localizado")</f>
        <v>Reginaldo Santana De Souza</v>
      </c>
      <c r="G2876" s="3" t="s">
        <v>1211</v>
      </c>
      <c r="H2876" s="3" t="s">
        <v>836</v>
      </c>
    </row>
    <row r="2877" spans="1:8">
      <c r="A2877" s="29">
        <v>42751.738009259258</v>
      </c>
      <c r="B2877" s="29" t="str">
        <f>PROPER(TEXT(tbLOG[[#This Row],[DATA/HORA]],"mmmm"))</f>
        <v>Janeiro</v>
      </c>
      <c r="C2877" s="34" t="str">
        <f>PROPER(TEXT(tbLOG[[#This Row],[DATA/HORA]],"dddd"))</f>
        <v>Segunda-Feira</v>
      </c>
      <c r="D2877" s="3" t="s">
        <v>604</v>
      </c>
      <c r="E2877" s="34" t="str">
        <f>IFERROR(VLOOKUP(tbLOG[[#This Row],[LOGIN]],tbMAPA[#All],2,0), "Não localizado")</f>
        <v>Renan Cazumba Tegani</v>
      </c>
      <c r="F2877" s="34" t="str">
        <f>IFERROR(VLOOKUP(tbLOG[[#This Row],[LOGIN]],tbMAPA[#All],3,0), "Não localizado")</f>
        <v>Reginaldo Santana De Souza</v>
      </c>
      <c r="G2877" s="3" t="s">
        <v>1211</v>
      </c>
      <c r="H2877" s="3" t="s">
        <v>836</v>
      </c>
    </row>
    <row r="2878" spans="1:8">
      <c r="A2878" s="29">
        <v>42751.738356481481</v>
      </c>
      <c r="B2878" s="29" t="str">
        <f>PROPER(TEXT(tbLOG[[#This Row],[DATA/HORA]],"mmmm"))</f>
        <v>Janeiro</v>
      </c>
      <c r="C2878" s="34" t="str">
        <f>PROPER(TEXT(tbLOG[[#This Row],[DATA/HORA]],"dddd"))</f>
        <v>Segunda-Feira</v>
      </c>
      <c r="D2878" s="3" t="s">
        <v>604</v>
      </c>
      <c r="E2878" s="34" t="str">
        <f>IFERROR(VLOOKUP(tbLOG[[#This Row],[LOGIN]],tbMAPA[#All],2,0), "Não localizado")</f>
        <v>Renan Cazumba Tegani</v>
      </c>
      <c r="F2878" s="34" t="str">
        <f>IFERROR(VLOOKUP(tbLOG[[#This Row],[LOGIN]],tbMAPA[#All],3,0), "Não localizado")</f>
        <v>Reginaldo Santana De Souza</v>
      </c>
      <c r="G2878" s="3" t="s">
        <v>1211</v>
      </c>
      <c r="H2878" s="3" t="s">
        <v>836</v>
      </c>
    </row>
    <row r="2879" spans="1:8">
      <c r="A2879" s="29">
        <v>42751.739131944443</v>
      </c>
      <c r="B2879" s="29" t="str">
        <f>PROPER(TEXT(tbLOG[[#This Row],[DATA/HORA]],"mmmm"))</f>
        <v>Janeiro</v>
      </c>
      <c r="C2879" s="34" t="str">
        <f>PROPER(TEXT(tbLOG[[#This Row],[DATA/HORA]],"dddd"))</f>
        <v>Segunda-Feira</v>
      </c>
      <c r="D2879" s="3" t="s">
        <v>604</v>
      </c>
      <c r="E2879" s="34" t="str">
        <f>IFERROR(VLOOKUP(tbLOG[[#This Row],[LOGIN]],tbMAPA[#All],2,0), "Não localizado")</f>
        <v>Renan Cazumba Tegani</v>
      </c>
      <c r="F2879" s="34" t="str">
        <f>IFERROR(VLOOKUP(tbLOG[[#This Row],[LOGIN]],tbMAPA[#All],3,0), "Não localizado")</f>
        <v>Reginaldo Santana De Souza</v>
      </c>
      <c r="G2879" s="3" t="s">
        <v>1211</v>
      </c>
      <c r="H2879" s="3" t="s">
        <v>836</v>
      </c>
    </row>
    <row r="2880" spans="1:8">
      <c r="A2880" s="29">
        <v>42751.739861111113</v>
      </c>
      <c r="B2880" s="29" t="str">
        <f>PROPER(TEXT(tbLOG[[#This Row],[DATA/HORA]],"mmmm"))</f>
        <v>Janeiro</v>
      </c>
      <c r="C2880" s="34" t="str">
        <f>PROPER(TEXT(tbLOG[[#This Row],[DATA/HORA]],"dddd"))</f>
        <v>Segunda-Feira</v>
      </c>
      <c r="D2880" s="3" t="s">
        <v>604</v>
      </c>
      <c r="E2880" s="34" t="str">
        <f>IFERROR(VLOOKUP(tbLOG[[#This Row],[LOGIN]],tbMAPA[#All],2,0), "Não localizado")</f>
        <v>Renan Cazumba Tegani</v>
      </c>
      <c r="F2880" s="34" t="str">
        <f>IFERROR(VLOOKUP(tbLOG[[#This Row],[LOGIN]],tbMAPA[#All],3,0), "Não localizado")</f>
        <v>Reginaldo Santana De Souza</v>
      </c>
      <c r="G2880" s="3" t="s">
        <v>1211</v>
      </c>
      <c r="H2880" s="3" t="s">
        <v>836</v>
      </c>
    </row>
    <row r="2881" spans="1:8">
      <c r="A2881" s="29">
        <v>42751.740497685183</v>
      </c>
      <c r="B2881" s="29" t="str">
        <f>PROPER(TEXT(tbLOG[[#This Row],[DATA/HORA]],"mmmm"))</f>
        <v>Janeiro</v>
      </c>
      <c r="C2881" s="34" t="str">
        <f>PROPER(TEXT(tbLOG[[#This Row],[DATA/HORA]],"dddd"))</f>
        <v>Segunda-Feira</v>
      </c>
      <c r="D2881" s="3" t="s">
        <v>604</v>
      </c>
      <c r="E2881" s="34" t="str">
        <f>IFERROR(VLOOKUP(tbLOG[[#This Row],[LOGIN]],tbMAPA[#All],2,0), "Não localizado")</f>
        <v>Renan Cazumba Tegani</v>
      </c>
      <c r="F2881" s="34" t="str">
        <f>IFERROR(VLOOKUP(tbLOG[[#This Row],[LOGIN]],tbMAPA[#All],3,0), "Não localizado")</f>
        <v>Reginaldo Santana De Souza</v>
      </c>
      <c r="G2881" s="3" t="s">
        <v>1211</v>
      </c>
      <c r="H2881" s="3" t="s">
        <v>836</v>
      </c>
    </row>
    <row r="2882" spans="1:8">
      <c r="A2882" s="29">
        <v>42751.740532407406</v>
      </c>
      <c r="B2882" s="29" t="str">
        <f>PROPER(TEXT(tbLOG[[#This Row],[DATA/HORA]],"mmmm"))</f>
        <v>Janeiro</v>
      </c>
      <c r="C2882" s="34" t="str">
        <f>PROPER(TEXT(tbLOG[[#This Row],[DATA/HORA]],"dddd"))</f>
        <v>Segunda-Feira</v>
      </c>
      <c r="D2882" s="3" t="s">
        <v>604</v>
      </c>
      <c r="E2882" s="34" t="str">
        <f>IFERROR(VLOOKUP(tbLOG[[#This Row],[LOGIN]],tbMAPA[#All],2,0), "Não localizado")</f>
        <v>Renan Cazumba Tegani</v>
      </c>
      <c r="F2882" s="34" t="str">
        <f>IFERROR(VLOOKUP(tbLOG[[#This Row],[LOGIN]],tbMAPA[#All],3,0), "Não localizado")</f>
        <v>Reginaldo Santana De Souza</v>
      </c>
      <c r="G2882" s="3" t="s">
        <v>1211</v>
      </c>
      <c r="H2882" s="3" t="s">
        <v>836</v>
      </c>
    </row>
    <row r="2883" spans="1:8">
      <c r="A2883" s="29">
        <v>42751.740613425929</v>
      </c>
      <c r="B2883" s="29" t="str">
        <f>PROPER(TEXT(tbLOG[[#This Row],[DATA/HORA]],"mmmm"))</f>
        <v>Janeiro</v>
      </c>
      <c r="C2883" s="34" t="str">
        <f>PROPER(TEXT(tbLOG[[#This Row],[DATA/HORA]],"dddd"))</f>
        <v>Segunda-Feira</v>
      </c>
      <c r="D2883" s="3" t="s">
        <v>604</v>
      </c>
      <c r="E2883" s="34" t="str">
        <f>IFERROR(VLOOKUP(tbLOG[[#This Row],[LOGIN]],tbMAPA[#All],2,0), "Não localizado")</f>
        <v>Renan Cazumba Tegani</v>
      </c>
      <c r="F2883" s="34" t="str">
        <f>IFERROR(VLOOKUP(tbLOG[[#This Row],[LOGIN]],tbMAPA[#All],3,0), "Não localizado")</f>
        <v>Reginaldo Santana De Souza</v>
      </c>
      <c r="G2883" s="3" t="s">
        <v>1211</v>
      </c>
      <c r="H2883" s="3" t="s">
        <v>836</v>
      </c>
    </row>
    <row r="2884" spans="1:8">
      <c r="A2884" s="29">
        <v>42751.740636574075</v>
      </c>
      <c r="B2884" s="29" t="str">
        <f>PROPER(TEXT(tbLOG[[#This Row],[DATA/HORA]],"mmmm"))</f>
        <v>Janeiro</v>
      </c>
      <c r="C2884" s="34" t="str">
        <f>PROPER(TEXT(tbLOG[[#This Row],[DATA/HORA]],"dddd"))</f>
        <v>Segunda-Feira</v>
      </c>
      <c r="D2884" s="3" t="s">
        <v>604</v>
      </c>
      <c r="E2884" s="34" t="str">
        <f>IFERROR(VLOOKUP(tbLOG[[#This Row],[LOGIN]],tbMAPA[#All],2,0), "Não localizado")</f>
        <v>Renan Cazumba Tegani</v>
      </c>
      <c r="F2884" s="34" t="str">
        <f>IFERROR(VLOOKUP(tbLOG[[#This Row],[LOGIN]],tbMAPA[#All],3,0), "Não localizado")</f>
        <v>Reginaldo Santana De Souza</v>
      </c>
      <c r="G2884" s="3" t="s">
        <v>1211</v>
      </c>
      <c r="H2884" s="3" t="s">
        <v>836</v>
      </c>
    </row>
    <row r="2885" spans="1:8">
      <c r="A2885" s="29">
        <v>42751.740659722222</v>
      </c>
      <c r="B2885" s="29" t="str">
        <f>PROPER(TEXT(tbLOG[[#This Row],[DATA/HORA]],"mmmm"))</f>
        <v>Janeiro</v>
      </c>
      <c r="C2885" s="34" t="str">
        <f>PROPER(TEXT(tbLOG[[#This Row],[DATA/HORA]],"dddd"))</f>
        <v>Segunda-Feira</v>
      </c>
      <c r="D2885" s="3" t="s">
        <v>604</v>
      </c>
      <c r="E2885" s="34" t="str">
        <f>IFERROR(VLOOKUP(tbLOG[[#This Row],[LOGIN]],tbMAPA[#All],2,0), "Não localizado")</f>
        <v>Renan Cazumba Tegani</v>
      </c>
      <c r="F2885" s="34" t="str">
        <f>IFERROR(VLOOKUP(tbLOG[[#This Row],[LOGIN]],tbMAPA[#All],3,0), "Não localizado")</f>
        <v>Reginaldo Santana De Souza</v>
      </c>
      <c r="G2885" s="3" t="s">
        <v>1211</v>
      </c>
      <c r="H2885" s="3" t="s">
        <v>290</v>
      </c>
    </row>
    <row r="2886" spans="1:8">
      <c r="A2886" s="29">
        <v>42751.740833333337</v>
      </c>
      <c r="B2886" s="29" t="str">
        <f>PROPER(TEXT(tbLOG[[#This Row],[DATA/HORA]],"mmmm"))</f>
        <v>Janeiro</v>
      </c>
      <c r="C2886" s="34" t="str">
        <f>PROPER(TEXT(tbLOG[[#This Row],[DATA/HORA]],"dddd"))</f>
        <v>Segunda-Feira</v>
      </c>
      <c r="D2886" s="3" t="s">
        <v>604</v>
      </c>
      <c r="E2886" s="34" t="str">
        <f>IFERROR(VLOOKUP(tbLOG[[#This Row],[LOGIN]],tbMAPA[#All],2,0), "Não localizado")</f>
        <v>Renan Cazumba Tegani</v>
      </c>
      <c r="F2886" s="34" t="str">
        <f>IFERROR(VLOOKUP(tbLOG[[#This Row],[LOGIN]],tbMAPA[#All],3,0), "Não localizado")</f>
        <v>Reginaldo Santana De Souza</v>
      </c>
      <c r="G2886" s="3" t="s">
        <v>1211</v>
      </c>
      <c r="H2886" s="3" t="s">
        <v>290</v>
      </c>
    </row>
    <row r="2887" spans="1:8">
      <c r="A2887" s="29">
        <v>42751.747187499997</v>
      </c>
      <c r="B2887" s="29" t="str">
        <f>PROPER(TEXT(tbLOG[[#This Row],[DATA/HORA]],"mmmm"))</f>
        <v>Janeiro</v>
      </c>
      <c r="C2887" s="34" t="str">
        <f>PROPER(TEXT(tbLOG[[#This Row],[DATA/HORA]],"dddd"))</f>
        <v>Segunda-Feira</v>
      </c>
      <c r="D2887" s="3" t="s">
        <v>604</v>
      </c>
      <c r="E2887" s="34" t="str">
        <f>IFERROR(VLOOKUP(tbLOG[[#This Row],[LOGIN]],tbMAPA[#All],2,0), "Não localizado")</f>
        <v>Renan Cazumba Tegani</v>
      </c>
      <c r="F2887" s="34" t="str">
        <f>IFERROR(VLOOKUP(tbLOG[[#This Row],[LOGIN]],tbMAPA[#All],3,0), "Não localizado")</f>
        <v>Reginaldo Santana De Souza</v>
      </c>
      <c r="G2887" s="3" t="s">
        <v>1211</v>
      </c>
      <c r="H2887" s="3" t="s">
        <v>836</v>
      </c>
    </row>
    <row r="2888" spans="1:8">
      <c r="A2888" s="29">
        <v>42751.74722222222</v>
      </c>
      <c r="B2888" s="29" t="str">
        <f>PROPER(TEXT(tbLOG[[#This Row],[DATA/HORA]],"mmmm"))</f>
        <v>Janeiro</v>
      </c>
      <c r="C2888" s="34" t="str">
        <f>PROPER(TEXT(tbLOG[[#This Row],[DATA/HORA]],"dddd"))</f>
        <v>Segunda-Feira</v>
      </c>
      <c r="D2888" s="3" t="s">
        <v>604</v>
      </c>
      <c r="E2888" s="34" t="str">
        <f>IFERROR(VLOOKUP(tbLOG[[#This Row],[LOGIN]],tbMAPA[#All],2,0), "Não localizado")</f>
        <v>Renan Cazumba Tegani</v>
      </c>
      <c r="F2888" s="34" t="str">
        <f>IFERROR(VLOOKUP(tbLOG[[#This Row],[LOGIN]],tbMAPA[#All],3,0), "Não localizado")</f>
        <v>Reginaldo Santana De Souza</v>
      </c>
      <c r="G2888" s="3" t="s">
        <v>1211</v>
      </c>
      <c r="H2888" s="3" t="s">
        <v>836</v>
      </c>
    </row>
    <row r="2889" spans="1:8">
      <c r="A2889" s="29">
        <v>42751.747337962966</v>
      </c>
      <c r="B2889" s="29" t="str">
        <f>PROPER(TEXT(tbLOG[[#This Row],[DATA/HORA]],"mmmm"))</f>
        <v>Janeiro</v>
      </c>
      <c r="C2889" s="34" t="str">
        <f>PROPER(TEXT(tbLOG[[#This Row],[DATA/HORA]],"dddd"))</f>
        <v>Segunda-Feira</v>
      </c>
      <c r="D2889" s="3" t="s">
        <v>604</v>
      </c>
      <c r="E2889" s="34" t="str">
        <f>IFERROR(VLOOKUP(tbLOG[[#This Row],[LOGIN]],tbMAPA[#All],2,0), "Não localizado")</f>
        <v>Renan Cazumba Tegani</v>
      </c>
      <c r="F2889" s="34" t="str">
        <f>IFERROR(VLOOKUP(tbLOG[[#This Row],[LOGIN]],tbMAPA[#All],3,0), "Não localizado")</f>
        <v>Reginaldo Santana De Souza</v>
      </c>
      <c r="G2889" s="3" t="s">
        <v>1211</v>
      </c>
      <c r="H2889" s="3" t="s">
        <v>290</v>
      </c>
    </row>
    <row r="2890" spans="1:8">
      <c r="A2890" s="29">
        <v>42751.750092592592</v>
      </c>
      <c r="B2890" s="29" t="str">
        <f>PROPER(TEXT(tbLOG[[#This Row],[DATA/HORA]],"mmmm"))</f>
        <v>Janeiro</v>
      </c>
      <c r="C2890" s="34" t="str">
        <f>PROPER(TEXT(tbLOG[[#This Row],[DATA/HORA]],"dddd"))</f>
        <v>Segunda-Feira</v>
      </c>
      <c r="D2890" s="3" t="s">
        <v>604</v>
      </c>
      <c r="E2890" s="34" t="str">
        <f>IFERROR(VLOOKUP(tbLOG[[#This Row],[LOGIN]],tbMAPA[#All],2,0), "Não localizado")</f>
        <v>Renan Cazumba Tegani</v>
      </c>
      <c r="F2890" s="34" t="str">
        <f>IFERROR(VLOOKUP(tbLOG[[#This Row],[LOGIN]],tbMAPA[#All],3,0), "Não localizado")</f>
        <v>Reginaldo Santana De Souza</v>
      </c>
      <c r="G2890" s="3" t="s">
        <v>1211</v>
      </c>
      <c r="H2890" s="3" t="s">
        <v>290</v>
      </c>
    </row>
    <row r="2891" spans="1:8">
      <c r="A2891" s="29">
        <v>42751.750219907408</v>
      </c>
      <c r="B2891" s="29" t="str">
        <f>PROPER(TEXT(tbLOG[[#This Row],[DATA/HORA]],"mmmm"))</f>
        <v>Janeiro</v>
      </c>
      <c r="C2891" s="34" t="str">
        <f>PROPER(TEXT(tbLOG[[#This Row],[DATA/HORA]],"dddd"))</f>
        <v>Segunda-Feira</v>
      </c>
      <c r="D2891" s="3" t="s">
        <v>604</v>
      </c>
      <c r="E2891" s="34" t="str">
        <f>IFERROR(VLOOKUP(tbLOG[[#This Row],[LOGIN]],tbMAPA[#All],2,0), "Não localizado")</f>
        <v>Renan Cazumba Tegani</v>
      </c>
      <c r="F2891" s="34" t="str">
        <f>IFERROR(VLOOKUP(tbLOG[[#This Row],[LOGIN]],tbMAPA[#All],3,0), "Não localizado")</f>
        <v>Reginaldo Santana De Souza</v>
      </c>
      <c r="G2891" s="3" t="s">
        <v>1211</v>
      </c>
      <c r="H2891" s="3" t="s">
        <v>842</v>
      </c>
    </row>
    <row r="2892" spans="1:8">
      <c r="A2892" s="29">
        <v>42751.750289351854</v>
      </c>
      <c r="B2892" s="29" t="str">
        <f>PROPER(TEXT(tbLOG[[#This Row],[DATA/HORA]],"mmmm"))</f>
        <v>Janeiro</v>
      </c>
      <c r="C2892" s="34" t="str">
        <f>PROPER(TEXT(tbLOG[[#This Row],[DATA/HORA]],"dddd"))</f>
        <v>Segunda-Feira</v>
      </c>
      <c r="D2892" s="3" t="s">
        <v>604</v>
      </c>
      <c r="E2892" s="34" t="str">
        <f>IFERROR(VLOOKUP(tbLOG[[#This Row],[LOGIN]],tbMAPA[#All],2,0), "Não localizado")</f>
        <v>Renan Cazumba Tegani</v>
      </c>
      <c r="F2892" s="34" t="str">
        <f>IFERROR(VLOOKUP(tbLOG[[#This Row],[LOGIN]],tbMAPA[#All],3,0), "Não localizado")</f>
        <v>Reginaldo Santana De Souza</v>
      </c>
      <c r="G2892" s="3" t="s">
        <v>1211</v>
      </c>
      <c r="H2892" s="3" t="s">
        <v>309</v>
      </c>
    </row>
    <row r="2893" spans="1:8">
      <c r="A2893" s="29">
        <v>42751.750289351854</v>
      </c>
      <c r="B2893" s="29" t="str">
        <f>PROPER(TEXT(tbLOG[[#This Row],[DATA/HORA]],"mmmm"))</f>
        <v>Janeiro</v>
      </c>
      <c r="C2893" s="34" t="str">
        <f>PROPER(TEXT(tbLOG[[#This Row],[DATA/HORA]],"dddd"))</f>
        <v>Segunda-Feira</v>
      </c>
      <c r="D2893" s="3" t="s">
        <v>604</v>
      </c>
      <c r="E2893" s="34" t="str">
        <f>IFERROR(VLOOKUP(tbLOG[[#This Row],[LOGIN]],tbMAPA[#All],2,0), "Não localizado")</f>
        <v>Renan Cazumba Tegani</v>
      </c>
      <c r="F2893" s="34" t="str">
        <f>IFERROR(VLOOKUP(tbLOG[[#This Row],[LOGIN]],tbMAPA[#All],3,0), "Não localizado")</f>
        <v>Reginaldo Santana De Souza</v>
      </c>
      <c r="G2893" s="3" t="s">
        <v>1211</v>
      </c>
      <c r="H2893" s="3" t="s">
        <v>310</v>
      </c>
    </row>
    <row r="2894" spans="1:8">
      <c r="A2894" s="29">
        <v>42751.750335648147</v>
      </c>
      <c r="B2894" s="29" t="str">
        <f>PROPER(TEXT(tbLOG[[#This Row],[DATA/HORA]],"mmmm"))</f>
        <v>Janeiro</v>
      </c>
      <c r="C2894" s="34" t="str">
        <f>PROPER(TEXT(tbLOG[[#This Row],[DATA/HORA]],"dddd"))</f>
        <v>Segunda-Feira</v>
      </c>
      <c r="D2894" s="3" t="s">
        <v>604</v>
      </c>
      <c r="E2894" s="34" t="str">
        <f>IFERROR(VLOOKUP(tbLOG[[#This Row],[LOGIN]],tbMAPA[#All],2,0), "Não localizado")</f>
        <v>Renan Cazumba Tegani</v>
      </c>
      <c r="F2894" s="34" t="str">
        <f>IFERROR(VLOOKUP(tbLOG[[#This Row],[LOGIN]],tbMAPA[#All],3,0), "Não localizado")</f>
        <v>Reginaldo Santana De Souza</v>
      </c>
      <c r="G2894" s="3" t="s">
        <v>1211</v>
      </c>
      <c r="H2894" s="3" t="s">
        <v>309</v>
      </c>
    </row>
    <row r="2895" spans="1:8">
      <c r="A2895" s="29">
        <v>42751.750335648147</v>
      </c>
      <c r="B2895" s="29" t="str">
        <f>PROPER(TEXT(tbLOG[[#This Row],[DATA/HORA]],"mmmm"))</f>
        <v>Janeiro</v>
      </c>
      <c r="C2895" s="34" t="str">
        <f>PROPER(TEXT(tbLOG[[#This Row],[DATA/HORA]],"dddd"))</f>
        <v>Segunda-Feira</v>
      </c>
      <c r="D2895" s="3" t="s">
        <v>604</v>
      </c>
      <c r="E2895" s="34" t="str">
        <f>IFERROR(VLOOKUP(tbLOG[[#This Row],[LOGIN]],tbMAPA[#All],2,0), "Não localizado")</f>
        <v>Renan Cazumba Tegani</v>
      </c>
      <c r="F2895" s="34" t="str">
        <f>IFERROR(VLOOKUP(tbLOG[[#This Row],[LOGIN]],tbMAPA[#All],3,0), "Não localizado")</f>
        <v>Reginaldo Santana De Souza</v>
      </c>
      <c r="G2895" s="3" t="s">
        <v>1211</v>
      </c>
      <c r="H2895" s="3" t="s">
        <v>309</v>
      </c>
    </row>
    <row r="2896" spans="1:8">
      <c r="A2896" s="29">
        <v>42751.750335648147</v>
      </c>
      <c r="B2896" s="29" t="str">
        <f>PROPER(TEXT(tbLOG[[#This Row],[DATA/HORA]],"mmmm"))</f>
        <v>Janeiro</v>
      </c>
      <c r="C2896" s="34" t="str">
        <f>PROPER(TEXT(tbLOG[[#This Row],[DATA/HORA]],"dddd"))</f>
        <v>Segunda-Feira</v>
      </c>
      <c r="D2896" s="3" t="s">
        <v>604</v>
      </c>
      <c r="E2896" s="34" t="str">
        <f>IFERROR(VLOOKUP(tbLOG[[#This Row],[LOGIN]],tbMAPA[#All],2,0), "Não localizado")</f>
        <v>Renan Cazumba Tegani</v>
      </c>
      <c r="F2896" s="34" t="str">
        <f>IFERROR(VLOOKUP(tbLOG[[#This Row],[LOGIN]],tbMAPA[#All],3,0), "Não localizado")</f>
        <v>Reginaldo Santana De Souza</v>
      </c>
      <c r="G2896" s="3" t="s">
        <v>1211</v>
      </c>
      <c r="H2896" s="3" t="s">
        <v>314</v>
      </c>
    </row>
    <row r="2897" spans="1:8">
      <c r="A2897" s="29">
        <v>42751.750833333332</v>
      </c>
      <c r="B2897" s="29" t="str">
        <f>PROPER(TEXT(tbLOG[[#This Row],[DATA/HORA]],"mmmm"))</f>
        <v>Janeiro</v>
      </c>
      <c r="C2897" s="34" t="str">
        <f>PROPER(TEXT(tbLOG[[#This Row],[DATA/HORA]],"dddd"))</f>
        <v>Segunda-Feira</v>
      </c>
      <c r="D2897" s="3" t="s">
        <v>604</v>
      </c>
      <c r="E2897" s="34" t="str">
        <f>IFERROR(VLOOKUP(tbLOG[[#This Row],[LOGIN]],tbMAPA[#All],2,0), "Não localizado")</f>
        <v>Renan Cazumba Tegani</v>
      </c>
      <c r="F2897" s="34" t="str">
        <f>IFERROR(VLOOKUP(tbLOG[[#This Row],[LOGIN]],tbMAPA[#All],3,0), "Não localizado")</f>
        <v>Reginaldo Santana De Souza</v>
      </c>
      <c r="G2897" s="3" t="s">
        <v>1211</v>
      </c>
      <c r="H2897" s="3" t="s">
        <v>836</v>
      </c>
    </row>
    <row r="2898" spans="1:8">
      <c r="A2898" s="29">
        <v>42751.750844907408</v>
      </c>
      <c r="B2898" s="29" t="str">
        <f>PROPER(TEXT(tbLOG[[#This Row],[DATA/HORA]],"mmmm"))</f>
        <v>Janeiro</v>
      </c>
      <c r="C2898" s="34" t="str">
        <f>PROPER(TEXT(tbLOG[[#This Row],[DATA/HORA]],"dddd"))</f>
        <v>Segunda-Feira</v>
      </c>
      <c r="D2898" s="3" t="s">
        <v>604</v>
      </c>
      <c r="E2898" s="34" t="str">
        <f>IFERROR(VLOOKUP(tbLOG[[#This Row],[LOGIN]],tbMAPA[#All],2,0), "Não localizado")</f>
        <v>Renan Cazumba Tegani</v>
      </c>
      <c r="F2898" s="34" t="str">
        <f>IFERROR(VLOOKUP(tbLOG[[#This Row],[LOGIN]],tbMAPA[#All],3,0), "Não localizado")</f>
        <v>Reginaldo Santana De Souza</v>
      </c>
      <c r="G2898" s="3" t="s">
        <v>1211</v>
      </c>
      <c r="H2898" s="3" t="s">
        <v>836</v>
      </c>
    </row>
    <row r="2899" spans="1:8">
      <c r="A2899" s="29">
        <v>42751.750868055555</v>
      </c>
      <c r="B2899" s="29" t="str">
        <f>PROPER(TEXT(tbLOG[[#This Row],[DATA/HORA]],"mmmm"))</f>
        <v>Janeiro</v>
      </c>
      <c r="C2899" s="34" t="str">
        <f>PROPER(TEXT(tbLOG[[#This Row],[DATA/HORA]],"dddd"))</f>
        <v>Segunda-Feira</v>
      </c>
      <c r="D2899" s="3" t="s">
        <v>604</v>
      </c>
      <c r="E2899" s="34" t="str">
        <f>IFERROR(VLOOKUP(tbLOG[[#This Row],[LOGIN]],tbMAPA[#All],2,0), "Não localizado")</f>
        <v>Renan Cazumba Tegani</v>
      </c>
      <c r="F2899" s="34" t="str">
        <f>IFERROR(VLOOKUP(tbLOG[[#This Row],[LOGIN]],tbMAPA[#All],3,0), "Não localizado")</f>
        <v>Reginaldo Santana De Souza</v>
      </c>
      <c r="G2899" s="3" t="s">
        <v>1211</v>
      </c>
      <c r="H2899" s="3" t="s">
        <v>836</v>
      </c>
    </row>
    <row r="2900" spans="1:8">
      <c r="A2900" s="29">
        <v>42751.750925925924</v>
      </c>
      <c r="B2900" s="29" t="str">
        <f>PROPER(TEXT(tbLOG[[#This Row],[DATA/HORA]],"mmmm"))</f>
        <v>Janeiro</v>
      </c>
      <c r="C2900" s="34" t="str">
        <f>PROPER(TEXT(tbLOG[[#This Row],[DATA/HORA]],"dddd"))</f>
        <v>Segunda-Feira</v>
      </c>
      <c r="D2900" s="3" t="s">
        <v>604</v>
      </c>
      <c r="E2900" s="34" t="str">
        <f>IFERROR(VLOOKUP(tbLOG[[#This Row],[LOGIN]],tbMAPA[#All],2,0), "Não localizado")</f>
        <v>Renan Cazumba Tegani</v>
      </c>
      <c r="F2900" s="34" t="str">
        <f>IFERROR(VLOOKUP(tbLOG[[#This Row],[LOGIN]],tbMAPA[#All],3,0), "Não localizado")</f>
        <v>Reginaldo Santana De Souza</v>
      </c>
      <c r="G2900" s="3" t="s">
        <v>1211</v>
      </c>
      <c r="H2900" s="3" t="s">
        <v>836</v>
      </c>
    </row>
    <row r="2901" spans="1:8">
      <c r="A2901" s="29">
        <v>42751.751018518517</v>
      </c>
      <c r="B2901" s="29" t="str">
        <f>PROPER(TEXT(tbLOG[[#This Row],[DATA/HORA]],"mmmm"))</f>
        <v>Janeiro</v>
      </c>
      <c r="C2901" s="34" t="str">
        <f>PROPER(TEXT(tbLOG[[#This Row],[DATA/HORA]],"dddd"))</f>
        <v>Segunda-Feira</v>
      </c>
      <c r="D2901" s="3" t="s">
        <v>604</v>
      </c>
      <c r="E2901" s="34" t="str">
        <f>IFERROR(VLOOKUP(tbLOG[[#This Row],[LOGIN]],tbMAPA[#All],2,0), "Não localizado")</f>
        <v>Renan Cazumba Tegani</v>
      </c>
      <c r="F2901" s="34" t="str">
        <f>IFERROR(VLOOKUP(tbLOG[[#This Row],[LOGIN]],tbMAPA[#All],3,0), "Não localizado")</f>
        <v>Reginaldo Santana De Souza</v>
      </c>
      <c r="G2901" s="3" t="s">
        <v>1211</v>
      </c>
      <c r="H2901" s="3" t="s">
        <v>836</v>
      </c>
    </row>
    <row r="2902" spans="1:8">
      <c r="A2902" s="29">
        <v>42751.751018518517</v>
      </c>
      <c r="B2902" s="29" t="str">
        <f>PROPER(TEXT(tbLOG[[#This Row],[DATA/HORA]],"mmmm"))</f>
        <v>Janeiro</v>
      </c>
      <c r="C2902" s="34" t="str">
        <f>PROPER(TEXT(tbLOG[[#This Row],[DATA/HORA]],"dddd"))</f>
        <v>Segunda-Feira</v>
      </c>
      <c r="D2902" s="3" t="s">
        <v>604</v>
      </c>
      <c r="E2902" s="34" t="str">
        <f>IFERROR(VLOOKUP(tbLOG[[#This Row],[LOGIN]],tbMAPA[#All],2,0), "Não localizado")</f>
        <v>Renan Cazumba Tegani</v>
      </c>
      <c r="F2902" s="34" t="str">
        <f>IFERROR(VLOOKUP(tbLOG[[#This Row],[LOGIN]],tbMAPA[#All],3,0), "Não localizado")</f>
        <v>Reginaldo Santana De Souza</v>
      </c>
      <c r="G2902" s="3" t="s">
        <v>1211</v>
      </c>
      <c r="H2902" s="3" t="s">
        <v>836</v>
      </c>
    </row>
    <row r="2903" spans="1:8">
      <c r="A2903" s="29">
        <v>42751.751111111109</v>
      </c>
      <c r="B2903" s="29" t="str">
        <f>PROPER(TEXT(tbLOG[[#This Row],[DATA/HORA]],"mmmm"))</f>
        <v>Janeiro</v>
      </c>
      <c r="C2903" s="34" t="str">
        <f>PROPER(TEXT(tbLOG[[#This Row],[DATA/HORA]],"dddd"))</f>
        <v>Segunda-Feira</v>
      </c>
      <c r="D2903" s="3" t="s">
        <v>604</v>
      </c>
      <c r="E2903" s="34" t="str">
        <f>IFERROR(VLOOKUP(tbLOG[[#This Row],[LOGIN]],tbMAPA[#All],2,0), "Não localizado")</f>
        <v>Renan Cazumba Tegani</v>
      </c>
      <c r="F2903" s="34" t="str">
        <f>IFERROR(VLOOKUP(tbLOG[[#This Row],[LOGIN]],tbMAPA[#All],3,0), "Não localizado")</f>
        <v>Reginaldo Santana De Souza</v>
      </c>
      <c r="G2903" s="3" t="s">
        <v>1211</v>
      </c>
      <c r="H2903" s="3" t="s">
        <v>836</v>
      </c>
    </row>
    <row r="2904" spans="1:8">
      <c r="A2904" s="29">
        <v>42751.751180555555</v>
      </c>
      <c r="B2904" s="29" t="str">
        <f>PROPER(TEXT(tbLOG[[#This Row],[DATA/HORA]],"mmmm"))</f>
        <v>Janeiro</v>
      </c>
      <c r="C2904" s="34" t="str">
        <f>PROPER(TEXT(tbLOG[[#This Row],[DATA/HORA]],"dddd"))</f>
        <v>Segunda-Feira</v>
      </c>
      <c r="D2904" s="3" t="s">
        <v>604</v>
      </c>
      <c r="E2904" s="34" t="str">
        <f>IFERROR(VLOOKUP(tbLOG[[#This Row],[LOGIN]],tbMAPA[#All],2,0), "Não localizado")</f>
        <v>Renan Cazumba Tegani</v>
      </c>
      <c r="F2904" s="34" t="str">
        <f>IFERROR(VLOOKUP(tbLOG[[#This Row],[LOGIN]],tbMAPA[#All],3,0), "Não localizado")</f>
        <v>Reginaldo Santana De Souza</v>
      </c>
      <c r="G2904" s="3" t="s">
        <v>1211</v>
      </c>
      <c r="H2904" s="3" t="s">
        <v>836</v>
      </c>
    </row>
    <row r="2905" spans="1:8">
      <c r="A2905" s="29">
        <v>42751.751354166663</v>
      </c>
      <c r="B2905" s="29" t="str">
        <f>PROPER(TEXT(tbLOG[[#This Row],[DATA/HORA]],"mmmm"))</f>
        <v>Janeiro</v>
      </c>
      <c r="C2905" s="34" t="str">
        <f>PROPER(TEXT(tbLOG[[#This Row],[DATA/HORA]],"dddd"))</f>
        <v>Segunda-Feira</v>
      </c>
      <c r="D2905" s="3" t="s">
        <v>604</v>
      </c>
      <c r="E2905" s="34" t="str">
        <f>IFERROR(VLOOKUP(tbLOG[[#This Row],[LOGIN]],tbMAPA[#All],2,0), "Não localizado")</f>
        <v>Renan Cazumba Tegani</v>
      </c>
      <c r="F2905" s="34" t="str">
        <f>IFERROR(VLOOKUP(tbLOG[[#This Row],[LOGIN]],tbMAPA[#All],3,0), "Não localizado")</f>
        <v>Reginaldo Santana De Souza</v>
      </c>
      <c r="G2905" s="3" t="s">
        <v>1211</v>
      </c>
      <c r="H2905" s="3" t="s">
        <v>836</v>
      </c>
    </row>
    <row r="2906" spans="1:8">
      <c r="A2906" s="29">
        <v>42751.751481481479</v>
      </c>
      <c r="B2906" s="29" t="str">
        <f>PROPER(TEXT(tbLOG[[#This Row],[DATA/HORA]],"mmmm"))</f>
        <v>Janeiro</v>
      </c>
      <c r="C2906" s="34" t="str">
        <f>PROPER(TEXT(tbLOG[[#This Row],[DATA/HORA]],"dddd"))</f>
        <v>Segunda-Feira</v>
      </c>
      <c r="D2906" s="3" t="s">
        <v>604</v>
      </c>
      <c r="E2906" s="34" t="str">
        <f>IFERROR(VLOOKUP(tbLOG[[#This Row],[LOGIN]],tbMAPA[#All],2,0), "Não localizado")</f>
        <v>Renan Cazumba Tegani</v>
      </c>
      <c r="F2906" s="34" t="str">
        <f>IFERROR(VLOOKUP(tbLOG[[#This Row],[LOGIN]],tbMAPA[#All],3,0), "Não localizado")</f>
        <v>Reginaldo Santana De Souza</v>
      </c>
      <c r="G2906" s="3" t="s">
        <v>1211</v>
      </c>
      <c r="H2906" s="3" t="s">
        <v>836</v>
      </c>
    </row>
    <row r="2907" spans="1:8">
      <c r="A2907" s="29">
        <v>42751.751562500001</v>
      </c>
      <c r="B2907" s="29" t="str">
        <f>PROPER(TEXT(tbLOG[[#This Row],[DATA/HORA]],"mmmm"))</f>
        <v>Janeiro</v>
      </c>
      <c r="C2907" s="34" t="str">
        <f>PROPER(TEXT(tbLOG[[#This Row],[DATA/HORA]],"dddd"))</f>
        <v>Segunda-Feira</v>
      </c>
      <c r="D2907" s="3" t="s">
        <v>604</v>
      </c>
      <c r="E2907" s="34" t="str">
        <f>IFERROR(VLOOKUP(tbLOG[[#This Row],[LOGIN]],tbMAPA[#All],2,0), "Não localizado")</f>
        <v>Renan Cazumba Tegani</v>
      </c>
      <c r="F2907" s="34" t="str">
        <f>IFERROR(VLOOKUP(tbLOG[[#This Row],[LOGIN]],tbMAPA[#All],3,0), "Não localizado")</f>
        <v>Reginaldo Santana De Souza</v>
      </c>
      <c r="G2907" s="3" t="s">
        <v>1211</v>
      </c>
      <c r="H2907" s="3" t="s">
        <v>836</v>
      </c>
    </row>
    <row r="2908" spans="1:8">
      <c r="A2908" s="29">
        <v>42751.751597222225</v>
      </c>
      <c r="B2908" s="29" t="str">
        <f>PROPER(TEXT(tbLOG[[#This Row],[DATA/HORA]],"mmmm"))</f>
        <v>Janeiro</v>
      </c>
      <c r="C2908" s="34" t="str">
        <f>PROPER(TEXT(tbLOG[[#This Row],[DATA/HORA]],"dddd"))</f>
        <v>Segunda-Feira</v>
      </c>
      <c r="D2908" s="3" t="s">
        <v>604</v>
      </c>
      <c r="E2908" s="34" t="str">
        <f>IFERROR(VLOOKUP(tbLOG[[#This Row],[LOGIN]],tbMAPA[#All],2,0), "Não localizado")</f>
        <v>Renan Cazumba Tegani</v>
      </c>
      <c r="F2908" s="34" t="str">
        <f>IFERROR(VLOOKUP(tbLOG[[#This Row],[LOGIN]],tbMAPA[#All],3,0), "Não localizado")</f>
        <v>Reginaldo Santana De Souza</v>
      </c>
      <c r="G2908" s="3" t="s">
        <v>1211</v>
      </c>
      <c r="H2908" s="3" t="s">
        <v>836</v>
      </c>
    </row>
    <row r="2909" spans="1:8">
      <c r="A2909" s="29">
        <v>42751.751840277779</v>
      </c>
      <c r="B2909" s="29" t="str">
        <f>PROPER(TEXT(tbLOG[[#This Row],[DATA/HORA]],"mmmm"))</f>
        <v>Janeiro</v>
      </c>
      <c r="C2909" s="34" t="str">
        <f>PROPER(TEXT(tbLOG[[#This Row],[DATA/HORA]],"dddd"))</f>
        <v>Segunda-Feira</v>
      </c>
      <c r="D2909" s="3" t="s">
        <v>604</v>
      </c>
      <c r="E2909" s="34" t="str">
        <f>IFERROR(VLOOKUP(tbLOG[[#This Row],[LOGIN]],tbMAPA[#All],2,0), "Não localizado")</f>
        <v>Renan Cazumba Tegani</v>
      </c>
      <c r="F2909" s="34" t="str">
        <f>IFERROR(VLOOKUP(tbLOG[[#This Row],[LOGIN]],tbMAPA[#All],3,0), "Não localizado")</f>
        <v>Reginaldo Santana De Souza</v>
      </c>
      <c r="G2909" s="3" t="s">
        <v>1211</v>
      </c>
      <c r="H2909" s="3" t="s">
        <v>836</v>
      </c>
    </row>
    <row r="2910" spans="1:8">
      <c r="A2910" s="29">
        <v>42751.751967592594</v>
      </c>
      <c r="B2910" s="29" t="str">
        <f>PROPER(TEXT(tbLOG[[#This Row],[DATA/HORA]],"mmmm"))</f>
        <v>Janeiro</v>
      </c>
      <c r="C2910" s="34" t="str">
        <f>PROPER(TEXT(tbLOG[[#This Row],[DATA/HORA]],"dddd"))</f>
        <v>Segunda-Feira</v>
      </c>
      <c r="D2910" s="3" t="s">
        <v>604</v>
      </c>
      <c r="E2910" s="34" t="str">
        <f>IFERROR(VLOOKUP(tbLOG[[#This Row],[LOGIN]],tbMAPA[#All],2,0), "Não localizado")</f>
        <v>Renan Cazumba Tegani</v>
      </c>
      <c r="F2910" s="34" t="str">
        <f>IFERROR(VLOOKUP(tbLOG[[#This Row],[LOGIN]],tbMAPA[#All],3,0), "Não localizado")</f>
        <v>Reginaldo Santana De Souza</v>
      </c>
      <c r="G2910" s="3" t="s">
        <v>1211</v>
      </c>
      <c r="H2910" s="3" t="s">
        <v>836</v>
      </c>
    </row>
    <row r="2911" spans="1:8">
      <c r="A2911" s="29">
        <v>42751.752141203702</v>
      </c>
      <c r="B2911" s="29" t="str">
        <f>PROPER(TEXT(tbLOG[[#This Row],[DATA/HORA]],"mmmm"))</f>
        <v>Janeiro</v>
      </c>
      <c r="C2911" s="34" t="str">
        <f>PROPER(TEXT(tbLOG[[#This Row],[DATA/HORA]],"dddd"))</f>
        <v>Segunda-Feira</v>
      </c>
      <c r="D2911" s="3" t="s">
        <v>604</v>
      </c>
      <c r="E2911" s="34" t="str">
        <f>IFERROR(VLOOKUP(tbLOG[[#This Row],[LOGIN]],tbMAPA[#All],2,0), "Não localizado")</f>
        <v>Renan Cazumba Tegani</v>
      </c>
      <c r="F2911" s="34" t="str">
        <f>IFERROR(VLOOKUP(tbLOG[[#This Row],[LOGIN]],tbMAPA[#All],3,0), "Não localizado")</f>
        <v>Reginaldo Santana De Souza</v>
      </c>
      <c r="G2911" s="3" t="s">
        <v>1211</v>
      </c>
      <c r="H2911" s="3" t="s">
        <v>836</v>
      </c>
    </row>
    <row r="2912" spans="1:8">
      <c r="A2912" s="29">
        <v>42751.752256944441</v>
      </c>
      <c r="B2912" s="29" t="str">
        <f>PROPER(TEXT(tbLOG[[#This Row],[DATA/HORA]],"mmmm"))</f>
        <v>Janeiro</v>
      </c>
      <c r="C2912" s="34" t="str">
        <f>PROPER(TEXT(tbLOG[[#This Row],[DATA/HORA]],"dddd"))</f>
        <v>Segunda-Feira</v>
      </c>
      <c r="D2912" s="3" t="s">
        <v>604</v>
      </c>
      <c r="E2912" s="34" t="str">
        <f>IFERROR(VLOOKUP(tbLOG[[#This Row],[LOGIN]],tbMAPA[#All],2,0), "Não localizado")</f>
        <v>Renan Cazumba Tegani</v>
      </c>
      <c r="F2912" s="34" t="str">
        <f>IFERROR(VLOOKUP(tbLOG[[#This Row],[LOGIN]],tbMAPA[#All],3,0), "Não localizado")</f>
        <v>Reginaldo Santana De Souza</v>
      </c>
      <c r="G2912" s="3" t="s">
        <v>1211</v>
      </c>
      <c r="H2912" s="3" t="s">
        <v>836</v>
      </c>
    </row>
    <row r="2913" spans="1:8">
      <c r="A2913" s="29">
        <v>42751.752280092594</v>
      </c>
      <c r="B2913" s="29" t="str">
        <f>PROPER(TEXT(tbLOG[[#This Row],[DATA/HORA]],"mmmm"))</f>
        <v>Janeiro</v>
      </c>
      <c r="C2913" s="34" t="str">
        <f>PROPER(TEXT(tbLOG[[#This Row],[DATA/HORA]],"dddd"))</f>
        <v>Segunda-Feira</v>
      </c>
      <c r="D2913" s="3" t="s">
        <v>604</v>
      </c>
      <c r="E2913" s="34" t="str">
        <f>IFERROR(VLOOKUP(tbLOG[[#This Row],[LOGIN]],tbMAPA[#All],2,0), "Não localizado")</f>
        <v>Renan Cazumba Tegani</v>
      </c>
      <c r="F2913" s="34" t="str">
        <f>IFERROR(VLOOKUP(tbLOG[[#This Row],[LOGIN]],tbMAPA[#All],3,0), "Não localizado")</f>
        <v>Reginaldo Santana De Souza</v>
      </c>
      <c r="G2913" s="3" t="s">
        <v>1211</v>
      </c>
      <c r="H2913" s="3" t="s">
        <v>836</v>
      </c>
    </row>
    <row r="2914" spans="1:8">
      <c r="A2914" s="29">
        <v>42751.752303240741</v>
      </c>
      <c r="B2914" s="29" t="str">
        <f>PROPER(TEXT(tbLOG[[#This Row],[DATA/HORA]],"mmmm"))</f>
        <v>Janeiro</v>
      </c>
      <c r="C2914" s="34" t="str">
        <f>PROPER(TEXT(tbLOG[[#This Row],[DATA/HORA]],"dddd"))</f>
        <v>Segunda-Feira</v>
      </c>
      <c r="D2914" s="3" t="s">
        <v>604</v>
      </c>
      <c r="E2914" s="34" t="str">
        <f>IFERROR(VLOOKUP(tbLOG[[#This Row],[LOGIN]],tbMAPA[#All],2,0), "Não localizado")</f>
        <v>Renan Cazumba Tegani</v>
      </c>
      <c r="F2914" s="34" t="str">
        <f>IFERROR(VLOOKUP(tbLOG[[#This Row],[LOGIN]],tbMAPA[#All],3,0), "Não localizado")</f>
        <v>Reginaldo Santana De Souza</v>
      </c>
      <c r="G2914" s="3" t="s">
        <v>1211</v>
      </c>
      <c r="H2914" s="3" t="s">
        <v>836</v>
      </c>
    </row>
    <row r="2915" spans="1:8">
      <c r="A2915" s="29">
        <v>42751.752523148149</v>
      </c>
      <c r="B2915" s="29" t="str">
        <f>PROPER(TEXT(tbLOG[[#This Row],[DATA/HORA]],"mmmm"))</f>
        <v>Janeiro</v>
      </c>
      <c r="C2915" s="34" t="str">
        <f>PROPER(TEXT(tbLOG[[#This Row],[DATA/HORA]],"dddd"))</f>
        <v>Segunda-Feira</v>
      </c>
      <c r="D2915" s="3" t="s">
        <v>604</v>
      </c>
      <c r="E2915" s="34" t="str">
        <f>IFERROR(VLOOKUP(tbLOG[[#This Row],[LOGIN]],tbMAPA[#All],2,0), "Não localizado")</f>
        <v>Renan Cazumba Tegani</v>
      </c>
      <c r="F2915" s="34" t="str">
        <f>IFERROR(VLOOKUP(tbLOG[[#This Row],[LOGIN]],tbMAPA[#All],3,0), "Não localizado")</f>
        <v>Reginaldo Santana De Souza</v>
      </c>
      <c r="G2915" s="3" t="s">
        <v>1211</v>
      </c>
      <c r="H2915" s="3" t="s">
        <v>836</v>
      </c>
    </row>
    <row r="2916" spans="1:8">
      <c r="A2916" s="29">
        <v>42751.752534722225</v>
      </c>
      <c r="B2916" s="29" t="str">
        <f>PROPER(TEXT(tbLOG[[#This Row],[DATA/HORA]],"mmmm"))</f>
        <v>Janeiro</v>
      </c>
      <c r="C2916" s="34" t="str">
        <f>PROPER(TEXT(tbLOG[[#This Row],[DATA/HORA]],"dddd"))</f>
        <v>Segunda-Feira</v>
      </c>
      <c r="D2916" s="3" t="s">
        <v>604</v>
      </c>
      <c r="E2916" s="34" t="str">
        <f>IFERROR(VLOOKUP(tbLOG[[#This Row],[LOGIN]],tbMAPA[#All],2,0), "Não localizado")</f>
        <v>Renan Cazumba Tegani</v>
      </c>
      <c r="F2916" s="34" t="str">
        <f>IFERROR(VLOOKUP(tbLOG[[#This Row],[LOGIN]],tbMAPA[#All],3,0), "Não localizado")</f>
        <v>Reginaldo Santana De Souza</v>
      </c>
      <c r="G2916" s="3" t="s">
        <v>1211</v>
      </c>
      <c r="H2916" s="3" t="s">
        <v>836</v>
      </c>
    </row>
    <row r="2917" spans="1:8">
      <c r="A2917" s="29">
        <v>42751.752627314818</v>
      </c>
      <c r="B2917" s="29" t="str">
        <f>PROPER(TEXT(tbLOG[[#This Row],[DATA/HORA]],"mmmm"))</f>
        <v>Janeiro</v>
      </c>
      <c r="C2917" s="34" t="str">
        <f>PROPER(TEXT(tbLOG[[#This Row],[DATA/HORA]],"dddd"))</f>
        <v>Segunda-Feira</v>
      </c>
      <c r="D2917" s="3" t="s">
        <v>604</v>
      </c>
      <c r="E2917" s="34" t="str">
        <f>IFERROR(VLOOKUP(tbLOG[[#This Row],[LOGIN]],tbMAPA[#All],2,0), "Não localizado")</f>
        <v>Renan Cazumba Tegani</v>
      </c>
      <c r="F2917" s="34" t="str">
        <f>IFERROR(VLOOKUP(tbLOG[[#This Row],[LOGIN]],tbMAPA[#All],3,0), "Não localizado")</f>
        <v>Reginaldo Santana De Souza</v>
      </c>
      <c r="G2917" s="3" t="s">
        <v>1211</v>
      </c>
      <c r="H2917" s="3" t="s">
        <v>836</v>
      </c>
    </row>
    <row r="2918" spans="1:8">
      <c r="A2918" s="29">
        <v>42751.752905092595</v>
      </c>
      <c r="B2918" s="29" t="str">
        <f>PROPER(TEXT(tbLOG[[#This Row],[DATA/HORA]],"mmmm"))</f>
        <v>Janeiro</v>
      </c>
      <c r="C2918" s="34" t="str">
        <f>PROPER(TEXT(tbLOG[[#This Row],[DATA/HORA]],"dddd"))</f>
        <v>Segunda-Feira</v>
      </c>
      <c r="D2918" s="3" t="s">
        <v>604</v>
      </c>
      <c r="E2918" s="34" t="str">
        <f>IFERROR(VLOOKUP(tbLOG[[#This Row],[LOGIN]],tbMAPA[#All],2,0), "Não localizado")</f>
        <v>Renan Cazumba Tegani</v>
      </c>
      <c r="F2918" s="34" t="str">
        <f>IFERROR(VLOOKUP(tbLOG[[#This Row],[LOGIN]],tbMAPA[#All],3,0), "Não localizado")</f>
        <v>Reginaldo Santana De Souza</v>
      </c>
      <c r="G2918" s="3" t="s">
        <v>1211</v>
      </c>
      <c r="H2918" s="3" t="s">
        <v>836</v>
      </c>
    </row>
    <row r="2919" spans="1:8">
      <c r="A2919" s="29">
        <v>42751.753067129626</v>
      </c>
      <c r="B2919" s="29" t="str">
        <f>PROPER(TEXT(tbLOG[[#This Row],[DATA/HORA]],"mmmm"))</f>
        <v>Janeiro</v>
      </c>
      <c r="C2919" s="34" t="str">
        <f>PROPER(TEXT(tbLOG[[#This Row],[DATA/HORA]],"dddd"))</f>
        <v>Segunda-Feira</v>
      </c>
      <c r="D2919" s="3" t="s">
        <v>604</v>
      </c>
      <c r="E2919" s="34" t="str">
        <f>IFERROR(VLOOKUP(tbLOG[[#This Row],[LOGIN]],tbMAPA[#All],2,0), "Não localizado")</f>
        <v>Renan Cazumba Tegani</v>
      </c>
      <c r="F2919" s="34" t="str">
        <f>IFERROR(VLOOKUP(tbLOG[[#This Row],[LOGIN]],tbMAPA[#All],3,0), "Não localizado")</f>
        <v>Reginaldo Santana De Souza</v>
      </c>
      <c r="G2919" s="3" t="s">
        <v>1211</v>
      </c>
      <c r="H2919" s="3" t="s">
        <v>836</v>
      </c>
    </row>
    <row r="2920" spans="1:8">
      <c r="A2920" s="29">
        <v>42751.753217592595</v>
      </c>
      <c r="B2920" s="29" t="str">
        <f>PROPER(TEXT(tbLOG[[#This Row],[DATA/HORA]],"mmmm"))</f>
        <v>Janeiro</v>
      </c>
      <c r="C2920" s="34" t="str">
        <f>PROPER(TEXT(tbLOG[[#This Row],[DATA/HORA]],"dddd"))</f>
        <v>Segunda-Feira</v>
      </c>
      <c r="D2920" s="3" t="s">
        <v>604</v>
      </c>
      <c r="E2920" s="34" t="str">
        <f>IFERROR(VLOOKUP(tbLOG[[#This Row],[LOGIN]],tbMAPA[#All],2,0), "Não localizado")</f>
        <v>Renan Cazumba Tegani</v>
      </c>
      <c r="F2920" s="34" t="str">
        <f>IFERROR(VLOOKUP(tbLOG[[#This Row],[LOGIN]],tbMAPA[#All],3,0), "Não localizado")</f>
        <v>Reginaldo Santana De Souza</v>
      </c>
      <c r="G2920" s="3" t="s">
        <v>1211</v>
      </c>
      <c r="H2920" s="3" t="s">
        <v>836</v>
      </c>
    </row>
    <row r="2921" spans="1:8">
      <c r="A2921" s="29">
        <v>42751.753287037034</v>
      </c>
      <c r="B2921" s="29" t="str">
        <f>PROPER(TEXT(tbLOG[[#This Row],[DATA/HORA]],"mmmm"))</f>
        <v>Janeiro</v>
      </c>
      <c r="C2921" s="34" t="str">
        <f>PROPER(TEXT(tbLOG[[#This Row],[DATA/HORA]],"dddd"))</f>
        <v>Segunda-Feira</v>
      </c>
      <c r="D2921" s="3" t="s">
        <v>604</v>
      </c>
      <c r="E2921" s="34" t="str">
        <f>IFERROR(VLOOKUP(tbLOG[[#This Row],[LOGIN]],tbMAPA[#All],2,0), "Não localizado")</f>
        <v>Renan Cazumba Tegani</v>
      </c>
      <c r="F2921" s="34" t="str">
        <f>IFERROR(VLOOKUP(tbLOG[[#This Row],[LOGIN]],tbMAPA[#All],3,0), "Não localizado")</f>
        <v>Reginaldo Santana De Souza</v>
      </c>
      <c r="G2921" s="3" t="s">
        <v>1211</v>
      </c>
      <c r="H2921" s="3" t="s">
        <v>836</v>
      </c>
    </row>
    <row r="2922" spans="1:8">
      <c r="A2922" s="29">
        <v>42751.753310185188</v>
      </c>
      <c r="B2922" s="29" t="str">
        <f>PROPER(TEXT(tbLOG[[#This Row],[DATA/HORA]],"mmmm"))</f>
        <v>Janeiro</v>
      </c>
      <c r="C2922" s="34" t="str">
        <f>PROPER(TEXT(tbLOG[[#This Row],[DATA/HORA]],"dddd"))</f>
        <v>Segunda-Feira</v>
      </c>
      <c r="D2922" s="3" t="s">
        <v>604</v>
      </c>
      <c r="E2922" s="34" t="str">
        <f>IFERROR(VLOOKUP(tbLOG[[#This Row],[LOGIN]],tbMAPA[#All],2,0), "Não localizado")</f>
        <v>Renan Cazumba Tegani</v>
      </c>
      <c r="F2922" s="34" t="str">
        <f>IFERROR(VLOOKUP(tbLOG[[#This Row],[LOGIN]],tbMAPA[#All],3,0), "Não localizado")</f>
        <v>Reginaldo Santana De Souza</v>
      </c>
      <c r="G2922" s="3" t="s">
        <v>1211</v>
      </c>
      <c r="H2922" s="3" t="s">
        <v>836</v>
      </c>
    </row>
    <row r="2923" spans="1:8">
      <c r="A2923" s="29">
        <v>42751.753460648149</v>
      </c>
      <c r="B2923" s="29" t="str">
        <f>PROPER(TEXT(tbLOG[[#This Row],[DATA/HORA]],"mmmm"))</f>
        <v>Janeiro</v>
      </c>
      <c r="C2923" s="34" t="str">
        <f>PROPER(TEXT(tbLOG[[#This Row],[DATA/HORA]],"dddd"))</f>
        <v>Segunda-Feira</v>
      </c>
      <c r="D2923" s="3" t="s">
        <v>604</v>
      </c>
      <c r="E2923" s="34" t="str">
        <f>IFERROR(VLOOKUP(tbLOG[[#This Row],[LOGIN]],tbMAPA[#All],2,0), "Não localizado")</f>
        <v>Renan Cazumba Tegani</v>
      </c>
      <c r="F2923" s="34" t="str">
        <f>IFERROR(VLOOKUP(tbLOG[[#This Row],[LOGIN]],tbMAPA[#All],3,0), "Não localizado")</f>
        <v>Reginaldo Santana De Souza</v>
      </c>
      <c r="G2923" s="3" t="s">
        <v>1211</v>
      </c>
      <c r="H2923" s="3" t="s">
        <v>836</v>
      </c>
    </row>
    <row r="2924" spans="1:8">
      <c r="A2924" s="29">
        <v>42751.753599537034</v>
      </c>
      <c r="B2924" s="29" t="str">
        <f>PROPER(TEXT(tbLOG[[#This Row],[DATA/HORA]],"mmmm"))</f>
        <v>Janeiro</v>
      </c>
      <c r="C2924" s="34" t="str">
        <f>PROPER(TEXT(tbLOG[[#This Row],[DATA/HORA]],"dddd"))</f>
        <v>Segunda-Feira</v>
      </c>
      <c r="D2924" s="3" t="s">
        <v>604</v>
      </c>
      <c r="E2924" s="34" t="str">
        <f>IFERROR(VLOOKUP(tbLOG[[#This Row],[LOGIN]],tbMAPA[#All],2,0), "Não localizado")</f>
        <v>Renan Cazumba Tegani</v>
      </c>
      <c r="F2924" s="34" t="str">
        <f>IFERROR(VLOOKUP(tbLOG[[#This Row],[LOGIN]],tbMAPA[#All],3,0), "Não localizado")</f>
        <v>Reginaldo Santana De Souza</v>
      </c>
      <c r="G2924" s="3" t="s">
        <v>1211</v>
      </c>
      <c r="H2924" s="3" t="s">
        <v>836</v>
      </c>
    </row>
    <row r="2925" spans="1:8">
      <c r="A2925" s="29">
        <v>42751.753622685188</v>
      </c>
      <c r="B2925" s="29" t="str">
        <f>PROPER(TEXT(tbLOG[[#This Row],[DATA/HORA]],"mmmm"))</f>
        <v>Janeiro</v>
      </c>
      <c r="C2925" s="34" t="str">
        <f>PROPER(TEXT(tbLOG[[#This Row],[DATA/HORA]],"dddd"))</f>
        <v>Segunda-Feira</v>
      </c>
      <c r="D2925" s="3" t="s">
        <v>604</v>
      </c>
      <c r="E2925" s="34" t="str">
        <f>IFERROR(VLOOKUP(tbLOG[[#This Row],[LOGIN]],tbMAPA[#All],2,0), "Não localizado")</f>
        <v>Renan Cazumba Tegani</v>
      </c>
      <c r="F2925" s="34" t="str">
        <f>IFERROR(VLOOKUP(tbLOG[[#This Row],[LOGIN]],tbMAPA[#All],3,0), "Não localizado")</f>
        <v>Reginaldo Santana De Souza</v>
      </c>
      <c r="G2925" s="3" t="s">
        <v>1211</v>
      </c>
      <c r="H2925" s="3" t="s">
        <v>836</v>
      </c>
    </row>
    <row r="2926" spans="1:8">
      <c r="A2926" s="29">
        <v>42751.75377314815</v>
      </c>
      <c r="B2926" s="29" t="str">
        <f>PROPER(TEXT(tbLOG[[#This Row],[DATA/HORA]],"mmmm"))</f>
        <v>Janeiro</v>
      </c>
      <c r="C2926" s="34" t="str">
        <f>PROPER(TEXT(tbLOG[[#This Row],[DATA/HORA]],"dddd"))</f>
        <v>Segunda-Feira</v>
      </c>
      <c r="D2926" s="3" t="s">
        <v>604</v>
      </c>
      <c r="E2926" s="34" t="str">
        <f>IFERROR(VLOOKUP(tbLOG[[#This Row],[LOGIN]],tbMAPA[#All],2,0), "Não localizado")</f>
        <v>Renan Cazumba Tegani</v>
      </c>
      <c r="F2926" s="34" t="str">
        <f>IFERROR(VLOOKUP(tbLOG[[#This Row],[LOGIN]],tbMAPA[#All],3,0), "Não localizado")</f>
        <v>Reginaldo Santana De Souza</v>
      </c>
      <c r="G2926" s="3" t="s">
        <v>1211</v>
      </c>
      <c r="H2926" s="3" t="s">
        <v>836</v>
      </c>
    </row>
    <row r="2927" spans="1:8">
      <c r="A2927" s="29">
        <v>42751.753784722219</v>
      </c>
      <c r="B2927" s="29" t="str">
        <f>PROPER(TEXT(tbLOG[[#This Row],[DATA/HORA]],"mmmm"))</f>
        <v>Janeiro</v>
      </c>
      <c r="C2927" s="34" t="str">
        <f>PROPER(TEXT(tbLOG[[#This Row],[DATA/HORA]],"dddd"))</f>
        <v>Segunda-Feira</v>
      </c>
      <c r="D2927" s="3" t="s">
        <v>604</v>
      </c>
      <c r="E2927" s="34" t="str">
        <f>IFERROR(VLOOKUP(tbLOG[[#This Row],[LOGIN]],tbMAPA[#All],2,0), "Não localizado")</f>
        <v>Renan Cazumba Tegani</v>
      </c>
      <c r="F2927" s="34" t="str">
        <f>IFERROR(VLOOKUP(tbLOG[[#This Row],[LOGIN]],tbMAPA[#All],3,0), "Não localizado")</f>
        <v>Reginaldo Santana De Souza</v>
      </c>
      <c r="G2927" s="3" t="s">
        <v>1211</v>
      </c>
      <c r="H2927" s="3" t="s">
        <v>290</v>
      </c>
    </row>
    <row r="2928" spans="1:8">
      <c r="A2928" s="29">
        <v>42751.754004629627</v>
      </c>
      <c r="B2928" s="29" t="str">
        <f>PROPER(TEXT(tbLOG[[#This Row],[DATA/HORA]],"mmmm"))</f>
        <v>Janeiro</v>
      </c>
      <c r="C2928" s="34" t="str">
        <f>PROPER(TEXT(tbLOG[[#This Row],[DATA/HORA]],"dddd"))</f>
        <v>Segunda-Feira</v>
      </c>
      <c r="D2928" s="3" t="s">
        <v>604</v>
      </c>
      <c r="E2928" s="34" t="str">
        <f>IFERROR(VLOOKUP(tbLOG[[#This Row],[LOGIN]],tbMAPA[#All],2,0), "Não localizado")</f>
        <v>Renan Cazumba Tegani</v>
      </c>
      <c r="F2928" s="34" t="str">
        <f>IFERROR(VLOOKUP(tbLOG[[#This Row],[LOGIN]],tbMAPA[#All],3,0), "Não localizado")</f>
        <v>Reginaldo Santana De Souza</v>
      </c>
      <c r="G2928" s="3" t="s">
        <v>1211</v>
      </c>
      <c r="H2928" s="3" t="s">
        <v>291</v>
      </c>
    </row>
    <row r="2929" spans="1:8">
      <c r="A2929" s="29">
        <v>42751.754004629627</v>
      </c>
      <c r="B2929" s="29" t="str">
        <f>PROPER(TEXT(tbLOG[[#This Row],[DATA/HORA]],"mmmm"))</f>
        <v>Janeiro</v>
      </c>
      <c r="C2929" s="34" t="str">
        <f>PROPER(TEXT(tbLOG[[#This Row],[DATA/HORA]],"dddd"))</f>
        <v>Segunda-Feira</v>
      </c>
      <c r="D2929" s="3" t="s">
        <v>604</v>
      </c>
      <c r="E2929" s="34" t="str">
        <f>IFERROR(VLOOKUP(tbLOG[[#This Row],[LOGIN]],tbMAPA[#All],2,0), "Não localizado")</f>
        <v>Renan Cazumba Tegani</v>
      </c>
      <c r="F2929" s="34" t="str">
        <f>IFERROR(VLOOKUP(tbLOG[[#This Row],[LOGIN]],tbMAPA[#All],3,0), "Não localizado")</f>
        <v>Reginaldo Santana De Souza</v>
      </c>
      <c r="G2929" s="3" t="s">
        <v>1211</v>
      </c>
      <c r="H2929" s="3" t="s">
        <v>290</v>
      </c>
    </row>
    <row r="2930" spans="1:8">
      <c r="A2930" s="29">
        <v>42752.392384259256</v>
      </c>
      <c r="B2930" s="29" t="str">
        <f>PROPER(TEXT(tbLOG[[#This Row],[DATA/HORA]],"mmmm"))</f>
        <v>Janeiro</v>
      </c>
      <c r="C2930" s="34" t="str">
        <f>PROPER(TEXT(tbLOG[[#This Row],[DATA/HORA]],"dddd"))</f>
        <v>Terça-Feira</v>
      </c>
      <c r="D2930" s="3" t="s">
        <v>300</v>
      </c>
      <c r="E2930" s="34" t="str">
        <f>IFERROR(VLOOKUP(tbLOG[[#This Row],[LOGIN]],tbMAPA[#All],2,0), "Não localizado")</f>
        <v>Jefte Soares Da Silva</v>
      </c>
      <c r="F2930" s="34" t="str">
        <f>IFERROR(VLOOKUP(tbLOG[[#This Row],[LOGIN]],tbMAPA[#All],3,0), "Não localizado")</f>
        <v>Daniela Andrade Silva</v>
      </c>
      <c r="G2930" s="3" t="s">
        <v>1000</v>
      </c>
      <c r="H2930" s="3" t="s">
        <v>994</v>
      </c>
    </row>
    <row r="2931" spans="1:8">
      <c r="A2931" s="29">
        <v>42752.392430555556</v>
      </c>
      <c r="B2931" s="29" t="str">
        <f>PROPER(TEXT(tbLOG[[#This Row],[DATA/HORA]],"mmmm"))</f>
        <v>Janeiro</v>
      </c>
      <c r="C2931" s="34" t="str">
        <f>PROPER(TEXT(tbLOG[[#This Row],[DATA/HORA]],"dddd"))</f>
        <v>Terça-Feira</v>
      </c>
      <c r="D2931" s="3" t="s">
        <v>300</v>
      </c>
      <c r="E2931" s="34" t="str">
        <f>IFERROR(VLOOKUP(tbLOG[[#This Row],[LOGIN]],tbMAPA[#All],2,0), "Não localizado")</f>
        <v>Jefte Soares Da Silva</v>
      </c>
      <c r="F2931" s="34" t="str">
        <f>IFERROR(VLOOKUP(tbLOG[[#This Row],[LOGIN]],tbMAPA[#All],3,0), "Não localizado")</f>
        <v>Daniela Andrade Silva</v>
      </c>
      <c r="G2931" s="3" t="s">
        <v>1000</v>
      </c>
      <c r="H2931" s="3" t="s">
        <v>315</v>
      </c>
    </row>
    <row r="2932" spans="1:8">
      <c r="A2932" s="29">
        <v>42752.392604166664</v>
      </c>
      <c r="B2932" s="29" t="str">
        <f>PROPER(TEXT(tbLOG[[#This Row],[DATA/HORA]],"mmmm"))</f>
        <v>Janeiro</v>
      </c>
      <c r="C2932" s="34" t="str">
        <f>PROPER(TEXT(tbLOG[[#This Row],[DATA/HORA]],"dddd"))</f>
        <v>Terça-Feira</v>
      </c>
      <c r="D2932" s="3" t="s">
        <v>300</v>
      </c>
      <c r="E2932" s="34" t="str">
        <f>IFERROR(VLOOKUP(tbLOG[[#This Row],[LOGIN]],tbMAPA[#All],2,0), "Não localizado")</f>
        <v>Jefte Soares Da Silva</v>
      </c>
      <c r="F2932" s="34" t="str">
        <f>IFERROR(VLOOKUP(tbLOG[[#This Row],[LOGIN]],tbMAPA[#All],3,0), "Não localizado")</f>
        <v>Daniela Andrade Silva</v>
      </c>
      <c r="G2932" s="3" t="s">
        <v>1000</v>
      </c>
      <c r="H2932" s="3" t="s">
        <v>292</v>
      </c>
    </row>
    <row r="2933" spans="1:8">
      <c r="A2933" s="29">
        <v>42752.39261574074</v>
      </c>
      <c r="B2933" s="29" t="str">
        <f>PROPER(TEXT(tbLOG[[#This Row],[DATA/HORA]],"mmmm"))</f>
        <v>Janeiro</v>
      </c>
      <c r="C2933" s="34" t="str">
        <f>PROPER(TEXT(tbLOG[[#This Row],[DATA/HORA]],"dddd"))</f>
        <v>Terça-Feira</v>
      </c>
      <c r="D2933" s="3" t="s">
        <v>300</v>
      </c>
      <c r="E2933" s="34" t="str">
        <f>IFERROR(VLOOKUP(tbLOG[[#This Row],[LOGIN]],tbMAPA[#All],2,0), "Não localizado")</f>
        <v>Jefte Soares Da Silva</v>
      </c>
      <c r="F2933" s="34" t="str">
        <f>IFERROR(VLOOKUP(tbLOG[[#This Row],[LOGIN]],tbMAPA[#All],3,0), "Não localizado")</f>
        <v>Daniela Andrade Silva</v>
      </c>
      <c r="G2933" s="3" t="s">
        <v>1000</v>
      </c>
      <c r="H2933" s="3" t="s">
        <v>292</v>
      </c>
    </row>
    <row r="2934" spans="1:8">
      <c r="A2934" s="29">
        <v>42752.39261574074</v>
      </c>
      <c r="B2934" s="29" t="str">
        <f>PROPER(TEXT(tbLOG[[#This Row],[DATA/HORA]],"mmmm"))</f>
        <v>Janeiro</v>
      </c>
      <c r="C2934" s="34" t="str">
        <f>PROPER(TEXT(tbLOG[[#This Row],[DATA/HORA]],"dddd"))</f>
        <v>Terça-Feira</v>
      </c>
      <c r="D2934" s="3" t="s">
        <v>300</v>
      </c>
      <c r="E2934" s="34" t="str">
        <f>IFERROR(VLOOKUP(tbLOG[[#This Row],[LOGIN]],tbMAPA[#All],2,0), "Não localizado")</f>
        <v>Jefte Soares Da Silva</v>
      </c>
      <c r="F2934" s="34" t="str">
        <f>IFERROR(VLOOKUP(tbLOG[[#This Row],[LOGIN]],tbMAPA[#All],3,0), "Não localizado")</f>
        <v>Daniela Andrade Silva</v>
      </c>
      <c r="G2934" s="3" t="s">
        <v>1000</v>
      </c>
      <c r="H2934" s="3" t="s">
        <v>317</v>
      </c>
    </row>
    <row r="2935" spans="1:8">
      <c r="A2935" s="29">
        <v>42752.393750000003</v>
      </c>
      <c r="B2935" s="29" t="str">
        <f>PROPER(TEXT(tbLOG[[#This Row],[DATA/HORA]],"mmmm"))</f>
        <v>Janeiro</v>
      </c>
      <c r="C2935" s="34" t="str">
        <f>PROPER(TEXT(tbLOG[[#This Row],[DATA/HORA]],"dddd"))</f>
        <v>Terça-Feira</v>
      </c>
      <c r="D2935" s="3" t="s">
        <v>300</v>
      </c>
      <c r="E2935" s="34" t="str">
        <f>IFERROR(VLOOKUP(tbLOG[[#This Row],[LOGIN]],tbMAPA[#All],2,0), "Não localizado")</f>
        <v>Jefte Soares Da Silva</v>
      </c>
      <c r="F2935" s="34" t="str">
        <f>IFERROR(VLOOKUP(tbLOG[[#This Row],[LOGIN]],tbMAPA[#All],3,0), "Não localizado")</f>
        <v>Daniela Andrade Silva</v>
      </c>
      <c r="G2935" s="3" t="s">
        <v>1000</v>
      </c>
      <c r="H2935" s="3" t="s">
        <v>836</v>
      </c>
    </row>
    <row r="2936" spans="1:8">
      <c r="A2936" s="29">
        <v>42752.393807870372</v>
      </c>
      <c r="B2936" s="29" t="str">
        <f>PROPER(TEXT(tbLOG[[#This Row],[DATA/HORA]],"mmmm"))</f>
        <v>Janeiro</v>
      </c>
      <c r="C2936" s="34" t="str">
        <f>PROPER(TEXT(tbLOG[[#This Row],[DATA/HORA]],"dddd"))</f>
        <v>Terça-Feira</v>
      </c>
      <c r="D2936" s="3" t="s">
        <v>300</v>
      </c>
      <c r="E2936" s="34" t="str">
        <f>IFERROR(VLOOKUP(tbLOG[[#This Row],[LOGIN]],tbMAPA[#All],2,0), "Não localizado")</f>
        <v>Jefte Soares Da Silva</v>
      </c>
      <c r="F2936" s="34" t="str">
        <f>IFERROR(VLOOKUP(tbLOG[[#This Row],[LOGIN]],tbMAPA[#All],3,0), "Não localizado")</f>
        <v>Daniela Andrade Silva</v>
      </c>
      <c r="G2936" s="3" t="s">
        <v>1000</v>
      </c>
      <c r="H2936" s="3" t="s">
        <v>836</v>
      </c>
    </row>
    <row r="2937" spans="1:8">
      <c r="A2937" s="29">
        <v>42752.393888888888</v>
      </c>
      <c r="B2937" s="29" t="str">
        <f>PROPER(TEXT(tbLOG[[#This Row],[DATA/HORA]],"mmmm"))</f>
        <v>Janeiro</v>
      </c>
      <c r="C2937" s="34" t="str">
        <f>PROPER(TEXT(tbLOG[[#This Row],[DATA/HORA]],"dddd"))</f>
        <v>Terça-Feira</v>
      </c>
      <c r="D2937" s="3" t="s">
        <v>300</v>
      </c>
      <c r="E2937" s="34" t="str">
        <f>IFERROR(VLOOKUP(tbLOG[[#This Row],[LOGIN]],tbMAPA[#All],2,0), "Não localizado")</f>
        <v>Jefte Soares Da Silva</v>
      </c>
      <c r="F2937" s="34" t="str">
        <f>IFERROR(VLOOKUP(tbLOG[[#This Row],[LOGIN]],tbMAPA[#All],3,0), "Não localizado")</f>
        <v>Daniela Andrade Silva</v>
      </c>
      <c r="G2937" s="3" t="s">
        <v>1000</v>
      </c>
      <c r="H2937" s="3" t="s">
        <v>836</v>
      </c>
    </row>
    <row r="2938" spans="1:8">
      <c r="A2938" s="29">
        <v>42752.394178240742</v>
      </c>
      <c r="B2938" s="29" t="str">
        <f>PROPER(TEXT(tbLOG[[#This Row],[DATA/HORA]],"mmmm"))</f>
        <v>Janeiro</v>
      </c>
      <c r="C2938" s="34" t="str">
        <f>PROPER(TEXT(tbLOG[[#This Row],[DATA/HORA]],"dddd"))</f>
        <v>Terça-Feira</v>
      </c>
      <c r="D2938" s="3" t="s">
        <v>300</v>
      </c>
      <c r="E2938" s="34" t="str">
        <f>IFERROR(VLOOKUP(tbLOG[[#This Row],[LOGIN]],tbMAPA[#All],2,0), "Não localizado")</f>
        <v>Jefte Soares Da Silva</v>
      </c>
      <c r="F2938" s="34" t="str">
        <f>IFERROR(VLOOKUP(tbLOG[[#This Row],[LOGIN]],tbMAPA[#All],3,0), "Não localizado")</f>
        <v>Daniela Andrade Silva</v>
      </c>
      <c r="G2938" s="3" t="s">
        <v>1000</v>
      </c>
      <c r="H2938" s="3" t="s">
        <v>836</v>
      </c>
    </row>
    <row r="2939" spans="1:8">
      <c r="A2939" s="29">
        <v>42752.394270833334</v>
      </c>
      <c r="B2939" s="29" t="str">
        <f>PROPER(TEXT(tbLOG[[#This Row],[DATA/HORA]],"mmmm"))</f>
        <v>Janeiro</v>
      </c>
      <c r="C2939" s="34" t="str">
        <f>PROPER(TEXT(tbLOG[[#This Row],[DATA/HORA]],"dddd"))</f>
        <v>Terça-Feira</v>
      </c>
      <c r="D2939" s="3" t="s">
        <v>300</v>
      </c>
      <c r="E2939" s="34" t="str">
        <f>IFERROR(VLOOKUP(tbLOG[[#This Row],[LOGIN]],tbMAPA[#All],2,0), "Não localizado")</f>
        <v>Jefte Soares Da Silva</v>
      </c>
      <c r="F2939" s="34" t="str">
        <f>IFERROR(VLOOKUP(tbLOG[[#This Row],[LOGIN]],tbMAPA[#All],3,0), "Não localizado")</f>
        <v>Daniela Andrade Silva</v>
      </c>
      <c r="G2939" s="3" t="s">
        <v>1000</v>
      </c>
      <c r="H2939" s="3" t="s">
        <v>836</v>
      </c>
    </row>
    <row r="2940" spans="1:8">
      <c r="A2940" s="29">
        <v>42752.394849537035</v>
      </c>
      <c r="B2940" s="29" t="str">
        <f>PROPER(TEXT(tbLOG[[#This Row],[DATA/HORA]],"mmmm"))</f>
        <v>Janeiro</v>
      </c>
      <c r="C2940" s="34" t="str">
        <f>PROPER(TEXT(tbLOG[[#This Row],[DATA/HORA]],"dddd"))</f>
        <v>Terça-Feira</v>
      </c>
      <c r="D2940" s="3" t="s">
        <v>300</v>
      </c>
      <c r="E2940" s="34" t="str">
        <f>IFERROR(VLOOKUP(tbLOG[[#This Row],[LOGIN]],tbMAPA[#All],2,0), "Não localizado")</f>
        <v>Jefte Soares Da Silva</v>
      </c>
      <c r="F2940" s="34" t="str">
        <f>IFERROR(VLOOKUP(tbLOG[[#This Row],[LOGIN]],tbMAPA[#All],3,0), "Não localizado")</f>
        <v>Daniela Andrade Silva</v>
      </c>
      <c r="G2940" s="3" t="s">
        <v>1000</v>
      </c>
      <c r="H2940" s="3" t="s">
        <v>835</v>
      </c>
    </row>
    <row r="2941" spans="1:8">
      <c r="A2941" s="29">
        <v>42752.395300925928</v>
      </c>
      <c r="B2941" s="29" t="str">
        <f>PROPER(TEXT(tbLOG[[#This Row],[DATA/HORA]],"mmmm"))</f>
        <v>Janeiro</v>
      </c>
      <c r="C2941" s="34" t="str">
        <f>PROPER(TEXT(tbLOG[[#This Row],[DATA/HORA]],"dddd"))</f>
        <v>Terça-Feira</v>
      </c>
      <c r="D2941" s="3" t="s">
        <v>300</v>
      </c>
      <c r="E2941" s="34" t="str">
        <f>IFERROR(VLOOKUP(tbLOG[[#This Row],[LOGIN]],tbMAPA[#All],2,0), "Não localizado")</f>
        <v>Jefte Soares Da Silva</v>
      </c>
      <c r="F2941" s="34" t="str">
        <f>IFERROR(VLOOKUP(tbLOG[[#This Row],[LOGIN]],tbMAPA[#All],3,0), "Não localizado")</f>
        <v>Daniela Andrade Silva</v>
      </c>
      <c r="G2941" s="3" t="s">
        <v>1000</v>
      </c>
      <c r="H2941" s="3" t="s">
        <v>836</v>
      </c>
    </row>
    <row r="2942" spans="1:8">
      <c r="A2942" s="29">
        <v>42752.395416666666</v>
      </c>
      <c r="B2942" s="29" t="str">
        <f>PROPER(TEXT(tbLOG[[#This Row],[DATA/HORA]],"mmmm"))</f>
        <v>Janeiro</v>
      </c>
      <c r="C2942" s="34" t="str">
        <f>PROPER(TEXT(tbLOG[[#This Row],[DATA/HORA]],"dddd"))</f>
        <v>Terça-Feira</v>
      </c>
      <c r="D2942" s="3" t="s">
        <v>300</v>
      </c>
      <c r="E2942" s="34" t="str">
        <f>IFERROR(VLOOKUP(tbLOG[[#This Row],[LOGIN]],tbMAPA[#All],2,0), "Não localizado")</f>
        <v>Jefte Soares Da Silva</v>
      </c>
      <c r="F2942" s="34" t="str">
        <f>IFERROR(VLOOKUP(tbLOG[[#This Row],[LOGIN]],tbMAPA[#All],3,0), "Não localizado")</f>
        <v>Daniela Andrade Silva</v>
      </c>
      <c r="G2942" s="3" t="s">
        <v>1000</v>
      </c>
      <c r="H2942" s="3" t="s">
        <v>836</v>
      </c>
    </row>
    <row r="2943" spans="1:8">
      <c r="A2943" s="29">
        <v>42752.395925925928</v>
      </c>
      <c r="B2943" s="29" t="str">
        <f>PROPER(TEXT(tbLOG[[#This Row],[DATA/HORA]],"mmmm"))</f>
        <v>Janeiro</v>
      </c>
      <c r="C2943" s="34" t="str">
        <f>PROPER(TEXT(tbLOG[[#This Row],[DATA/HORA]],"dddd"))</f>
        <v>Terça-Feira</v>
      </c>
      <c r="D2943" s="3" t="s">
        <v>300</v>
      </c>
      <c r="E2943" s="34" t="str">
        <f>IFERROR(VLOOKUP(tbLOG[[#This Row],[LOGIN]],tbMAPA[#All],2,0), "Não localizado")</f>
        <v>Jefte Soares Da Silva</v>
      </c>
      <c r="F2943" s="34" t="str">
        <f>IFERROR(VLOOKUP(tbLOG[[#This Row],[LOGIN]],tbMAPA[#All],3,0), "Não localizado")</f>
        <v>Daniela Andrade Silva</v>
      </c>
      <c r="G2943" s="3" t="s">
        <v>1000</v>
      </c>
      <c r="H2943" s="3" t="s">
        <v>836</v>
      </c>
    </row>
    <row r="2944" spans="1:8">
      <c r="A2944" s="29">
        <v>42752.396145833336</v>
      </c>
      <c r="B2944" s="29" t="str">
        <f>PROPER(TEXT(tbLOG[[#This Row],[DATA/HORA]],"mmmm"))</f>
        <v>Janeiro</v>
      </c>
      <c r="C2944" s="34" t="str">
        <f>PROPER(TEXT(tbLOG[[#This Row],[DATA/HORA]],"dddd"))</f>
        <v>Terça-Feira</v>
      </c>
      <c r="D2944" s="3" t="s">
        <v>300</v>
      </c>
      <c r="E2944" s="34" t="str">
        <f>IFERROR(VLOOKUP(tbLOG[[#This Row],[LOGIN]],tbMAPA[#All],2,0), "Não localizado")</f>
        <v>Jefte Soares Da Silva</v>
      </c>
      <c r="F2944" s="34" t="str">
        <f>IFERROR(VLOOKUP(tbLOG[[#This Row],[LOGIN]],tbMAPA[#All],3,0), "Não localizado")</f>
        <v>Daniela Andrade Silva</v>
      </c>
      <c r="G2944" s="3" t="s">
        <v>1000</v>
      </c>
      <c r="H2944" s="3" t="s">
        <v>835</v>
      </c>
    </row>
    <row r="2945" spans="1:8">
      <c r="A2945" s="29">
        <v>42752.396226851852</v>
      </c>
      <c r="B2945" s="29" t="str">
        <f>PROPER(TEXT(tbLOG[[#This Row],[DATA/HORA]],"mmmm"))</f>
        <v>Janeiro</v>
      </c>
      <c r="C2945" s="34" t="str">
        <f>PROPER(TEXT(tbLOG[[#This Row],[DATA/HORA]],"dddd"))</f>
        <v>Terça-Feira</v>
      </c>
      <c r="D2945" s="3" t="s">
        <v>300</v>
      </c>
      <c r="E2945" s="34" t="str">
        <f>IFERROR(VLOOKUP(tbLOG[[#This Row],[LOGIN]],tbMAPA[#All],2,0), "Não localizado")</f>
        <v>Jefte Soares Da Silva</v>
      </c>
      <c r="F2945" s="34" t="str">
        <f>IFERROR(VLOOKUP(tbLOG[[#This Row],[LOGIN]],tbMAPA[#All],3,0), "Não localizado")</f>
        <v>Daniela Andrade Silva</v>
      </c>
      <c r="G2945" s="3" t="s">
        <v>1000</v>
      </c>
      <c r="H2945" s="3" t="s">
        <v>835</v>
      </c>
    </row>
    <row r="2946" spans="1:8">
      <c r="A2946" s="29">
        <v>42752.396354166667</v>
      </c>
      <c r="B2946" s="29" t="str">
        <f>PROPER(TEXT(tbLOG[[#This Row],[DATA/HORA]],"mmmm"))</f>
        <v>Janeiro</v>
      </c>
      <c r="C2946" s="34" t="str">
        <f>PROPER(TEXT(tbLOG[[#This Row],[DATA/HORA]],"dddd"))</f>
        <v>Terça-Feira</v>
      </c>
      <c r="D2946" s="3" t="s">
        <v>300</v>
      </c>
      <c r="E2946" s="34" t="str">
        <f>IFERROR(VLOOKUP(tbLOG[[#This Row],[LOGIN]],tbMAPA[#All],2,0), "Não localizado")</f>
        <v>Jefte Soares Da Silva</v>
      </c>
      <c r="F2946" s="34" t="str">
        <f>IFERROR(VLOOKUP(tbLOG[[#This Row],[LOGIN]],tbMAPA[#All],3,0), "Não localizado")</f>
        <v>Daniela Andrade Silva</v>
      </c>
      <c r="G2946" s="3" t="s">
        <v>1000</v>
      </c>
      <c r="H2946" s="3" t="s">
        <v>835</v>
      </c>
    </row>
    <row r="2947" spans="1:8">
      <c r="A2947" s="29">
        <v>42752.396550925929</v>
      </c>
      <c r="B2947" s="29" t="str">
        <f>PROPER(TEXT(tbLOG[[#This Row],[DATA/HORA]],"mmmm"))</f>
        <v>Janeiro</v>
      </c>
      <c r="C2947" s="34" t="str">
        <f>PROPER(TEXT(tbLOG[[#This Row],[DATA/HORA]],"dddd"))</f>
        <v>Terça-Feira</v>
      </c>
      <c r="D2947" s="3" t="s">
        <v>300</v>
      </c>
      <c r="E2947" s="34" t="str">
        <f>IFERROR(VLOOKUP(tbLOG[[#This Row],[LOGIN]],tbMAPA[#All],2,0), "Não localizado")</f>
        <v>Jefte Soares Da Silva</v>
      </c>
      <c r="F2947" s="34" t="str">
        <f>IFERROR(VLOOKUP(tbLOG[[#This Row],[LOGIN]],tbMAPA[#All],3,0), "Não localizado")</f>
        <v>Daniela Andrade Silva</v>
      </c>
      <c r="G2947" s="3" t="s">
        <v>1000</v>
      </c>
      <c r="H2947" s="3" t="s">
        <v>290</v>
      </c>
    </row>
    <row r="2948" spans="1:8">
      <c r="A2948" s="29">
        <v>42752.396597222221</v>
      </c>
      <c r="B2948" s="29" t="str">
        <f>PROPER(TEXT(tbLOG[[#This Row],[DATA/HORA]],"mmmm"))</f>
        <v>Janeiro</v>
      </c>
      <c r="C2948" s="34" t="str">
        <f>PROPER(TEXT(tbLOG[[#This Row],[DATA/HORA]],"dddd"))</f>
        <v>Terça-Feira</v>
      </c>
      <c r="D2948" s="3" t="s">
        <v>300</v>
      </c>
      <c r="E2948" s="34" t="str">
        <f>IFERROR(VLOOKUP(tbLOG[[#This Row],[LOGIN]],tbMAPA[#All],2,0), "Não localizado")</f>
        <v>Jefte Soares Da Silva</v>
      </c>
      <c r="F2948" s="34" t="str">
        <f>IFERROR(VLOOKUP(tbLOG[[#This Row],[LOGIN]],tbMAPA[#All],3,0), "Não localizado")</f>
        <v>Daniela Andrade Silva</v>
      </c>
      <c r="G2948" s="3" t="s">
        <v>1000</v>
      </c>
      <c r="H2948" s="3" t="s">
        <v>291</v>
      </c>
    </row>
    <row r="2949" spans="1:8">
      <c r="A2949" s="29">
        <v>42752.396597222221</v>
      </c>
      <c r="B2949" s="29" t="str">
        <f>PROPER(TEXT(tbLOG[[#This Row],[DATA/HORA]],"mmmm"))</f>
        <v>Janeiro</v>
      </c>
      <c r="C2949" s="34" t="str">
        <f>PROPER(TEXT(tbLOG[[#This Row],[DATA/HORA]],"dddd"))</f>
        <v>Terça-Feira</v>
      </c>
      <c r="D2949" s="3" t="s">
        <v>300</v>
      </c>
      <c r="E2949" s="34" t="str">
        <f>IFERROR(VLOOKUP(tbLOG[[#This Row],[LOGIN]],tbMAPA[#All],2,0), "Não localizado")</f>
        <v>Jefte Soares Da Silva</v>
      </c>
      <c r="F2949" s="34" t="str">
        <f>IFERROR(VLOOKUP(tbLOG[[#This Row],[LOGIN]],tbMAPA[#All],3,0), "Não localizado")</f>
        <v>Daniela Andrade Silva</v>
      </c>
      <c r="G2949" s="3" t="s">
        <v>1000</v>
      </c>
      <c r="H2949" s="3" t="s">
        <v>290</v>
      </c>
    </row>
    <row r="2950" spans="1:8">
      <c r="A2950" s="29">
        <v>42752.397673611114</v>
      </c>
      <c r="B2950" s="29" t="str">
        <f>PROPER(TEXT(tbLOG[[#This Row],[DATA/HORA]],"mmmm"))</f>
        <v>Janeiro</v>
      </c>
      <c r="C2950" s="34" t="str">
        <f>PROPER(TEXT(tbLOG[[#This Row],[DATA/HORA]],"dddd"))</f>
        <v>Terça-Feira</v>
      </c>
      <c r="D2950" s="3" t="s">
        <v>300</v>
      </c>
      <c r="E2950" s="34" t="str">
        <f>IFERROR(VLOOKUP(tbLOG[[#This Row],[LOGIN]],tbMAPA[#All],2,0), "Não localizado")</f>
        <v>Jefte Soares Da Silva</v>
      </c>
      <c r="F2950" s="34" t="str">
        <f>IFERROR(VLOOKUP(tbLOG[[#This Row],[LOGIN]],tbMAPA[#All],3,0), "Não localizado")</f>
        <v>Daniela Andrade Silva</v>
      </c>
      <c r="G2950" s="3" t="s">
        <v>1000</v>
      </c>
      <c r="H2950" s="3" t="s">
        <v>292</v>
      </c>
    </row>
    <row r="2951" spans="1:8">
      <c r="A2951" s="29">
        <v>42752.397673611114</v>
      </c>
      <c r="B2951" s="29" t="str">
        <f>PROPER(TEXT(tbLOG[[#This Row],[DATA/HORA]],"mmmm"))</f>
        <v>Janeiro</v>
      </c>
      <c r="C2951" s="34" t="str">
        <f>PROPER(TEXT(tbLOG[[#This Row],[DATA/HORA]],"dddd"))</f>
        <v>Terça-Feira</v>
      </c>
      <c r="D2951" s="3" t="s">
        <v>300</v>
      </c>
      <c r="E2951" s="34" t="str">
        <f>IFERROR(VLOOKUP(tbLOG[[#This Row],[LOGIN]],tbMAPA[#All],2,0), "Não localizado")</f>
        <v>Jefte Soares Da Silva</v>
      </c>
      <c r="F2951" s="34" t="str">
        <f>IFERROR(VLOOKUP(tbLOG[[#This Row],[LOGIN]],tbMAPA[#All],3,0), "Não localizado")</f>
        <v>Daniela Andrade Silva</v>
      </c>
      <c r="G2951" s="3" t="s">
        <v>1000</v>
      </c>
      <c r="H2951" s="3" t="s">
        <v>994</v>
      </c>
    </row>
    <row r="2952" spans="1:8">
      <c r="A2952" s="29">
        <v>42752.3981712963</v>
      </c>
      <c r="B2952" s="29" t="str">
        <f>PROPER(TEXT(tbLOG[[#This Row],[DATA/HORA]],"mmmm"))</f>
        <v>Janeiro</v>
      </c>
      <c r="C2952" s="34" t="str">
        <f>PROPER(TEXT(tbLOG[[#This Row],[DATA/HORA]],"dddd"))</f>
        <v>Terça-Feira</v>
      </c>
      <c r="D2952" s="3" t="s">
        <v>300</v>
      </c>
      <c r="E2952" s="34" t="str">
        <f>IFERROR(VLOOKUP(tbLOG[[#This Row],[LOGIN]],tbMAPA[#All],2,0), "Não localizado")</f>
        <v>Jefte Soares Da Silva</v>
      </c>
      <c r="F2952" s="34" t="str">
        <f>IFERROR(VLOOKUP(tbLOG[[#This Row],[LOGIN]],tbMAPA[#All],3,0), "Não localizado")</f>
        <v>Daniela Andrade Silva</v>
      </c>
      <c r="G2952" s="3" t="s">
        <v>1000</v>
      </c>
      <c r="H2952" s="3" t="s">
        <v>290</v>
      </c>
    </row>
    <row r="2953" spans="1:8">
      <c r="A2953" s="29">
        <v>42752.398229166669</v>
      </c>
      <c r="B2953" s="29" t="str">
        <f>PROPER(TEXT(tbLOG[[#This Row],[DATA/HORA]],"mmmm"))</f>
        <v>Janeiro</v>
      </c>
      <c r="C2953" s="34" t="str">
        <f>PROPER(TEXT(tbLOG[[#This Row],[DATA/HORA]],"dddd"))</f>
        <v>Terça-Feira</v>
      </c>
      <c r="D2953" s="3" t="s">
        <v>300</v>
      </c>
      <c r="E2953" s="34" t="str">
        <f>IFERROR(VLOOKUP(tbLOG[[#This Row],[LOGIN]],tbMAPA[#All],2,0), "Não localizado")</f>
        <v>Jefte Soares Da Silva</v>
      </c>
      <c r="F2953" s="34" t="str">
        <f>IFERROR(VLOOKUP(tbLOG[[#This Row],[LOGIN]],tbMAPA[#All],3,0), "Não localizado")</f>
        <v>Daniela Andrade Silva</v>
      </c>
      <c r="G2953" s="3" t="s">
        <v>1000</v>
      </c>
      <c r="H2953" s="3" t="s">
        <v>291</v>
      </c>
    </row>
    <row r="2954" spans="1:8">
      <c r="A2954" s="29">
        <v>42752.398229166669</v>
      </c>
      <c r="B2954" s="29" t="str">
        <f>PROPER(TEXT(tbLOG[[#This Row],[DATA/HORA]],"mmmm"))</f>
        <v>Janeiro</v>
      </c>
      <c r="C2954" s="34" t="str">
        <f>PROPER(TEXT(tbLOG[[#This Row],[DATA/HORA]],"dddd"))</f>
        <v>Terça-Feira</v>
      </c>
      <c r="D2954" s="3" t="s">
        <v>300</v>
      </c>
      <c r="E2954" s="34" t="str">
        <f>IFERROR(VLOOKUP(tbLOG[[#This Row],[LOGIN]],tbMAPA[#All],2,0), "Não localizado")</f>
        <v>Jefte Soares Da Silva</v>
      </c>
      <c r="F2954" s="34" t="str">
        <f>IFERROR(VLOOKUP(tbLOG[[#This Row],[LOGIN]],tbMAPA[#All],3,0), "Não localizado")</f>
        <v>Daniela Andrade Silva</v>
      </c>
      <c r="G2954" s="3" t="s">
        <v>1000</v>
      </c>
      <c r="H2954" s="3" t="s">
        <v>290</v>
      </c>
    </row>
    <row r="2955" spans="1:8">
      <c r="A2955" s="29">
        <v>42752.417141203703</v>
      </c>
      <c r="B2955" s="29" t="str">
        <f>PROPER(TEXT(tbLOG[[#This Row],[DATA/HORA]],"mmmm"))</f>
        <v>Janeiro</v>
      </c>
      <c r="C2955" s="34" t="str">
        <f>PROPER(TEXT(tbLOG[[#This Row],[DATA/HORA]],"dddd"))</f>
        <v>Terça-Feira</v>
      </c>
      <c r="D2955" s="3" t="s">
        <v>604</v>
      </c>
      <c r="E2955" s="34" t="str">
        <f>IFERROR(VLOOKUP(tbLOG[[#This Row],[LOGIN]],tbMAPA[#All],2,0), "Não localizado")</f>
        <v>Renan Cazumba Tegani</v>
      </c>
      <c r="F2955" s="34" t="str">
        <f>IFERROR(VLOOKUP(tbLOG[[#This Row],[LOGIN]],tbMAPA[#All],3,0), "Não localizado")</f>
        <v>Reginaldo Santana De Souza</v>
      </c>
      <c r="G2955" s="3" t="s">
        <v>1211</v>
      </c>
      <c r="H2955" s="3" t="s">
        <v>994</v>
      </c>
    </row>
    <row r="2956" spans="1:8">
      <c r="A2956" s="29">
        <v>42752.417175925926</v>
      </c>
      <c r="B2956" s="29" t="str">
        <f>PROPER(TEXT(tbLOG[[#This Row],[DATA/HORA]],"mmmm"))</f>
        <v>Janeiro</v>
      </c>
      <c r="C2956" s="34" t="str">
        <f>PROPER(TEXT(tbLOG[[#This Row],[DATA/HORA]],"dddd"))</f>
        <v>Terça-Feira</v>
      </c>
      <c r="D2956" s="3" t="s">
        <v>604</v>
      </c>
      <c r="E2956" s="34" t="str">
        <f>IFERROR(VLOOKUP(tbLOG[[#This Row],[LOGIN]],tbMAPA[#All],2,0), "Não localizado")</f>
        <v>Renan Cazumba Tegani</v>
      </c>
      <c r="F2956" s="34" t="str">
        <f>IFERROR(VLOOKUP(tbLOG[[#This Row],[LOGIN]],tbMAPA[#All],3,0), "Não localizado")</f>
        <v>Reginaldo Santana De Souza</v>
      </c>
      <c r="G2956" s="3" t="s">
        <v>1211</v>
      </c>
      <c r="H2956" s="3" t="s">
        <v>309</v>
      </c>
    </row>
    <row r="2957" spans="1:8">
      <c r="A2957" s="29">
        <v>42752.417175925926</v>
      </c>
      <c r="B2957" s="29" t="str">
        <f>PROPER(TEXT(tbLOG[[#This Row],[DATA/HORA]],"mmmm"))</f>
        <v>Janeiro</v>
      </c>
      <c r="C2957" s="34" t="str">
        <f>PROPER(TEXT(tbLOG[[#This Row],[DATA/HORA]],"dddd"))</f>
        <v>Terça-Feira</v>
      </c>
      <c r="D2957" s="3" t="s">
        <v>604</v>
      </c>
      <c r="E2957" s="34" t="str">
        <f>IFERROR(VLOOKUP(tbLOG[[#This Row],[LOGIN]],tbMAPA[#All],2,0), "Não localizado")</f>
        <v>Renan Cazumba Tegani</v>
      </c>
      <c r="F2957" s="34" t="str">
        <f>IFERROR(VLOOKUP(tbLOG[[#This Row],[LOGIN]],tbMAPA[#All],3,0), "Não localizado")</f>
        <v>Reginaldo Santana De Souza</v>
      </c>
      <c r="G2957" s="3" t="s">
        <v>1211</v>
      </c>
      <c r="H2957" s="3" t="s">
        <v>310</v>
      </c>
    </row>
    <row r="2958" spans="1:8">
      <c r="A2958" s="29">
        <v>42752.417233796295</v>
      </c>
      <c r="B2958" s="29" t="str">
        <f>PROPER(TEXT(tbLOG[[#This Row],[DATA/HORA]],"mmmm"))</f>
        <v>Janeiro</v>
      </c>
      <c r="C2958" s="34" t="str">
        <f>PROPER(TEXT(tbLOG[[#This Row],[DATA/HORA]],"dddd"))</f>
        <v>Terça-Feira</v>
      </c>
      <c r="D2958" s="3" t="s">
        <v>604</v>
      </c>
      <c r="E2958" s="34" t="str">
        <f>IFERROR(VLOOKUP(tbLOG[[#This Row],[LOGIN]],tbMAPA[#All],2,0), "Não localizado")</f>
        <v>Renan Cazumba Tegani</v>
      </c>
      <c r="F2958" s="34" t="str">
        <f>IFERROR(VLOOKUP(tbLOG[[#This Row],[LOGIN]],tbMAPA[#All],3,0), "Não localizado")</f>
        <v>Reginaldo Santana De Souza</v>
      </c>
      <c r="G2958" s="3" t="s">
        <v>1211</v>
      </c>
      <c r="H2958" s="3" t="s">
        <v>309</v>
      </c>
    </row>
    <row r="2959" spans="1:8">
      <c r="A2959" s="29">
        <v>42752.417233796295</v>
      </c>
      <c r="B2959" s="29" t="str">
        <f>PROPER(TEXT(tbLOG[[#This Row],[DATA/HORA]],"mmmm"))</f>
        <v>Janeiro</v>
      </c>
      <c r="C2959" s="34" t="str">
        <f>PROPER(TEXT(tbLOG[[#This Row],[DATA/HORA]],"dddd"))</f>
        <v>Terça-Feira</v>
      </c>
      <c r="D2959" s="3" t="s">
        <v>604</v>
      </c>
      <c r="E2959" s="34" t="str">
        <f>IFERROR(VLOOKUP(tbLOG[[#This Row],[LOGIN]],tbMAPA[#All],2,0), "Não localizado")</f>
        <v>Renan Cazumba Tegani</v>
      </c>
      <c r="F2959" s="34" t="str">
        <f>IFERROR(VLOOKUP(tbLOG[[#This Row],[LOGIN]],tbMAPA[#All],3,0), "Não localizado")</f>
        <v>Reginaldo Santana De Souza</v>
      </c>
      <c r="G2959" s="3" t="s">
        <v>1211</v>
      </c>
      <c r="H2959" s="3" t="s">
        <v>309</v>
      </c>
    </row>
    <row r="2960" spans="1:8">
      <c r="A2960" s="29">
        <v>42752.417233796295</v>
      </c>
      <c r="B2960" s="29" t="str">
        <f>PROPER(TEXT(tbLOG[[#This Row],[DATA/HORA]],"mmmm"))</f>
        <v>Janeiro</v>
      </c>
      <c r="C2960" s="34" t="str">
        <f>PROPER(TEXT(tbLOG[[#This Row],[DATA/HORA]],"dddd"))</f>
        <v>Terça-Feira</v>
      </c>
      <c r="D2960" s="3" t="s">
        <v>604</v>
      </c>
      <c r="E2960" s="34" t="str">
        <f>IFERROR(VLOOKUP(tbLOG[[#This Row],[LOGIN]],tbMAPA[#All],2,0), "Não localizado")</f>
        <v>Renan Cazumba Tegani</v>
      </c>
      <c r="F2960" s="34" t="str">
        <f>IFERROR(VLOOKUP(tbLOG[[#This Row],[LOGIN]],tbMAPA[#All],3,0), "Não localizado")</f>
        <v>Reginaldo Santana De Souza</v>
      </c>
      <c r="G2960" s="3" t="s">
        <v>1211</v>
      </c>
      <c r="H2960" s="3" t="s">
        <v>314</v>
      </c>
    </row>
    <row r="2961" spans="1:8">
      <c r="A2961" s="29">
        <v>42752.423344907409</v>
      </c>
      <c r="B2961" s="29" t="str">
        <f>PROPER(TEXT(tbLOG[[#This Row],[DATA/HORA]],"mmmm"))</f>
        <v>Janeiro</v>
      </c>
      <c r="C2961" s="34" t="str">
        <f>PROPER(TEXT(tbLOG[[#This Row],[DATA/HORA]],"dddd"))</f>
        <v>Terça-Feira</v>
      </c>
      <c r="D2961" s="3" t="s">
        <v>604</v>
      </c>
      <c r="E2961" s="34" t="str">
        <f>IFERROR(VLOOKUP(tbLOG[[#This Row],[LOGIN]],tbMAPA[#All],2,0), "Não localizado")</f>
        <v>Renan Cazumba Tegani</v>
      </c>
      <c r="F2961" s="34" t="str">
        <f>IFERROR(VLOOKUP(tbLOG[[#This Row],[LOGIN]],tbMAPA[#All],3,0), "Não localizado")</f>
        <v>Reginaldo Santana De Souza</v>
      </c>
      <c r="G2961" s="3" t="s">
        <v>1211</v>
      </c>
      <c r="H2961" s="3" t="s">
        <v>836</v>
      </c>
    </row>
    <row r="2962" spans="1:8">
      <c r="A2962" s="29">
        <v>42752.423356481479</v>
      </c>
      <c r="B2962" s="29" t="str">
        <f>PROPER(TEXT(tbLOG[[#This Row],[DATA/HORA]],"mmmm"))</f>
        <v>Janeiro</v>
      </c>
      <c r="C2962" s="34" t="str">
        <f>PROPER(TEXT(tbLOG[[#This Row],[DATA/HORA]],"dddd"))</f>
        <v>Terça-Feira</v>
      </c>
      <c r="D2962" s="3" t="s">
        <v>604</v>
      </c>
      <c r="E2962" s="34" t="str">
        <f>IFERROR(VLOOKUP(tbLOG[[#This Row],[LOGIN]],tbMAPA[#All],2,0), "Não localizado")</f>
        <v>Renan Cazumba Tegani</v>
      </c>
      <c r="F2962" s="34" t="str">
        <f>IFERROR(VLOOKUP(tbLOG[[#This Row],[LOGIN]],tbMAPA[#All],3,0), "Não localizado")</f>
        <v>Reginaldo Santana De Souza</v>
      </c>
      <c r="G2962" s="3" t="s">
        <v>1211</v>
      </c>
      <c r="H2962" s="3" t="s">
        <v>836</v>
      </c>
    </row>
    <row r="2963" spans="1:8">
      <c r="A2963" s="29">
        <v>42752.423495370371</v>
      </c>
      <c r="B2963" s="29" t="str">
        <f>PROPER(TEXT(tbLOG[[#This Row],[DATA/HORA]],"mmmm"))</f>
        <v>Janeiro</v>
      </c>
      <c r="C2963" s="34" t="str">
        <f>PROPER(TEXT(tbLOG[[#This Row],[DATA/HORA]],"dddd"))</f>
        <v>Terça-Feira</v>
      </c>
      <c r="D2963" s="3" t="s">
        <v>604</v>
      </c>
      <c r="E2963" s="34" t="str">
        <f>IFERROR(VLOOKUP(tbLOG[[#This Row],[LOGIN]],tbMAPA[#All],2,0), "Não localizado")</f>
        <v>Renan Cazumba Tegani</v>
      </c>
      <c r="F2963" s="34" t="str">
        <f>IFERROR(VLOOKUP(tbLOG[[#This Row],[LOGIN]],tbMAPA[#All],3,0), "Não localizado")</f>
        <v>Reginaldo Santana De Souza</v>
      </c>
      <c r="G2963" s="3" t="s">
        <v>1211</v>
      </c>
      <c r="H2963" s="3" t="s">
        <v>836</v>
      </c>
    </row>
    <row r="2964" spans="1:8">
      <c r="A2964" s="29">
        <v>42752.427800925929</v>
      </c>
      <c r="B2964" s="29" t="str">
        <f>PROPER(TEXT(tbLOG[[#This Row],[DATA/HORA]],"mmmm"))</f>
        <v>Janeiro</v>
      </c>
      <c r="C2964" s="34" t="str">
        <f>PROPER(TEXT(tbLOG[[#This Row],[DATA/HORA]],"dddd"))</f>
        <v>Terça-Feira</v>
      </c>
      <c r="D2964" s="3" t="s">
        <v>604</v>
      </c>
      <c r="E2964" s="34" t="str">
        <f>IFERROR(VLOOKUP(tbLOG[[#This Row],[LOGIN]],tbMAPA[#All],2,0), "Não localizado")</f>
        <v>Renan Cazumba Tegani</v>
      </c>
      <c r="F2964" s="34" t="str">
        <f>IFERROR(VLOOKUP(tbLOG[[#This Row],[LOGIN]],tbMAPA[#All],3,0), "Não localizado")</f>
        <v>Reginaldo Santana De Souza</v>
      </c>
      <c r="G2964" s="3" t="s">
        <v>1211</v>
      </c>
      <c r="H2964" s="3" t="s">
        <v>836</v>
      </c>
    </row>
    <row r="2965" spans="1:8">
      <c r="A2965" s="29">
        <v>42752.427870370368</v>
      </c>
      <c r="B2965" s="29" t="str">
        <f>PROPER(TEXT(tbLOG[[#This Row],[DATA/HORA]],"mmmm"))</f>
        <v>Janeiro</v>
      </c>
      <c r="C2965" s="34" t="str">
        <f>PROPER(TEXT(tbLOG[[#This Row],[DATA/HORA]],"dddd"))</f>
        <v>Terça-Feira</v>
      </c>
      <c r="D2965" s="3" t="s">
        <v>604</v>
      </c>
      <c r="E2965" s="34" t="str">
        <f>IFERROR(VLOOKUP(tbLOG[[#This Row],[LOGIN]],tbMAPA[#All],2,0), "Não localizado")</f>
        <v>Renan Cazumba Tegani</v>
      </c>
      <c r="F2965" s="34" t="str">
        <f>IFERROR(VLOOKUP(tbLOG[[#This Row],[LOGIN]],tbMAPA[#All],3,0), "Não localizado")</f>
        <v>Reginaldo Santana De Souza</v>
      </c>
      <c r="G2965" s="3" t="s">
        <v>1211</v>
      </c>
      <c r="H2965" s="3" t="s">
        <v>836</v>
      </c>
    </row>
    <row r="2966" spans="1:8">
      <c r="A2966" s="29">
        <v>42752.430462962962</v>
      </c>
      <c r="B2966" s="29" t="str">
        <f>PROPER(TEXT(tbLOG[[#This Row],[DATA/HORA]],"mmmm"))</f>
        <v>Janeiro</v>
      </c>
      <c r="C2966" s="34" t="str">
        <f>PROPER(TEXT(tbLOG[[#This Row],[DATA/HORA]],"dddd"))</f>
        <v>Terça-Feira</v>
      </c>
      <c r="D2966" s="3" t="s">
        <v>604</v>
      </c>
      <c r="E2966" s="34" t="str">
        <f>IFERROR(VLOOKUP(tbLOG[[#This Row],[LOGIN]],tbMAPA[#All],2,0), "Não localizado")</f>
        <v>Renan Cazumba Tegani</v>
      </c>
      <c r="F2966" s="34" t="str">
        <f>IFERROR(VLOOKUP(tbLOG[[#This Row],[LOGIN]],tbMAPA[#All],3,0), "Não localizado")</f>
        <v>Reginaldo Santana De Souza</v>
      </c>
      <c r="G2966" s="3" t="s">
        <v>1211</v>
      </c>
      <c r="H2966" s="3" t="s">
        <v>836</v>
      </c>
    </row>
    <row r="2967" spans="1:8">
      <c r="A2967" s="29">
        <v>42752.431956018518</v>
      </c>
      <c r="B2967" s="29" t="str">
        <f>PROPER(TEXT(tbLOG[[#This Row],[DATA/HORA]],"mmmm"))</f>
        <v>Janeiro</v>
      </c>
      <c r="C2967" s="34" t="str">
        <f>PROPER(TEXT(tbLOG[[#This Row],[DATA/HORA]],"dddd"))</f>
        <v>Terça-Feira</v>
      </c>
      <c r="D2967" s="3" t="s">
        <v>604</v>
      </c>
      <c r="E2967" s="34" t="str">
        <f>IFERROR(VLOOKUP(tbLOG[[#This Row],[LOGIN]],tbMAPA[#All],2,0), "Não localizado")</f>
        <v>Renan Cazumba Tegani</v>
      </c>
      <c r="F2967" s="34" t="str">
        <f>IFERROR(VLOOKUP(tbLOG[[#This Row],[LOGIN]],tbMAPA[#All],3,0), "Não localizado")</f>
        <v>Reginaldo Santana De Souza</v>
      </c>
      <c r="G2967" s="3" t="s">
        <v>1211</v>
      </c>
      <c r="H2967" s="3" t="s">
        <v>836</v>
      </c>
    </row>
    <row r="2968" spans="1:8">
      <c r="A2968" s="29">
        <v>42752.432002314818</v>
      </c>
      <c r="B2968" s="29" t="str">
        <f>PROPER(TEXT(tbLOG[[#This Row],[DATA/HORA]],"mmmm"))</f>
        <v>Janeiro</v>
      </c>
      <c r="C2968" s="34" t="str">
        <f>PROPER(TEXT(tbLOG[[#This Row],[DATA/HORA]],"dddd"))</f>
        <v>Terça-Feira</v>
      </c>
      <c r="D2968" s="3" t="s">
        <v>604</v>
      </c>
      <c r="E2968" s="34" t="str">
        <f>IFERROR(VLOOKUP(tbLOG[[#This Row],[LOGIN]],tbMAPA[#All],2,0), "Não localizado")</f>
        <v>Renan Cazumba Tegani</v>
      </c>
      <c r="F2968" s="34" t="str">
        <f>IFERROR(VLOOKUP(tbLOG[[#This Row],[LOGIN]],tbMAPA[#All],3,0), "Não localizado")</f>
        <v>Reginaldo Santana De Souza</v>
      </c>
      <c r="G2968" s="3" t="s">
        <v>1211</v>
      </c>
      <c r="H2968" s="3" t="s">
        <v>836</v>
      </c>
    </row>
    <row r="2969" spans="1:8">
      <c r="A2969" s="29">
        <v>42752.432083333333</v>
      </c>
      <c r="B2969" s="29" t="str">
        <f>PROPER(TEXT(tbLOG[[#This Row],[DATA/HORA]],"mmmm"))</f>
        <v>Janeiro</v>
      </c>
      <c r="C2969" s="34" t="str">
        <f>PROPER(TEXT(tbLOG[[#This Row],[DATA/HORA]],"dddd"))</f>
        <v>Terça-Feira</v>
      </c>
      <c r="D2969" s="3" t="s">
        <v>604</v>
      </c>
      <c r="E2969" s="34" t="str">
        <f>IFERROR(VLOOKUP(tbLOG[[#This Row],[LOGIN]],tbMAPA[#All],2,0), "Não localizado")</f>
        <v>Renan Cazumba Tegani</v>
      </c>
      <c r="F2969" s="34" t="str">
        <f>IFERROR(VLOOKUP(tbLOG[[#This Row],[LOGIN]],tbMAPA[#All],3,0), "Não localizado")</f>
        <v>Reginaldo Santana De Souza</v>
      </c>
      <c r="G2969" s="3" t="s">
        <v>1211</v>
      </c>
      <c r="H2969" s="3" t="s">
        <v>836</v>
      </c>
    </row>
    <row r="2970" spans="1:8">
      <c r="A2970" s="29">
        <v>42752.440150462964</v>
      </c>
      <c r="B2970" s="29" t="str">
        <f>PROPER(TEXT(tbLOG[[#This Row],[DATA/HORA]],"mmmm"))</f>
        <v>Janeiro</v>
      </c>
      <c r="C2970" s="34" t="str">
        <f>PROPER(TEXT(tbLOG[[#This Row],[DATA/HORA]],"dddd"))</f>
        <v>Terça-Feira</v>
      </c>
      <c r="D2970" s="3" t="s">
        <v>604</v>
      </c>
      <c r="E2970" s="34" t="str">
        <f>IFERROR(VLOOKUP(tbLOG[[#This Row],[LOGIN]],tbMAPA[#All],2,0), "Não localizado")</f>
        <v>Renan Cazumba Tegani</v>
      </c>
      <c r="F2970" s="34" t="str">
        <f>IFERROR(VLOOKUP(tbLOG[[#This Row],[LOGIN]],tbMAPA[#All],3,0), "Não localizado")</f>
        <v>Reginaldo Santana De Souza</v>
      </c>
      <c r="G2970" s="3" t="s">
        <v>1211</v>
      </c>
      <c r="H2970" s="3" t="s">
        <v>836</v>
      </c>
    </row>
    <row r="2971" spans="1:8">
      <c r="A2971" s="29">
        <v>42752.440162037034</v>
      </c>
      <c r="B2971" s="29" t="str">
        <f>PROPER(TEXT(tbLOG[[#This Row],[DATA/HORA]],"mmmm"))</f>
        <v>Janeiro</v>
      </c>
      <c r="C2971" s="34" t="str">
        <f>PROPER(TEXT(tbLOG[[#This Row],[DATA/HORA]],"dddd"))</f>
        <v>Terça-Feira</v>
      </c>
      <c r="D2971" s="3" t="s">
        <v>604</v>
      </c>
      <c r="E2971" s="34" t="str">
        <f>IFERROR(VLOOKUP(tbLOG[[#This Row],[LOGIN]],tbMAPA[#All],2,0), "Não localizado")</f>
        <v>Renan Cazumba Tegani</v>
      </c>
      <c r="F2971" s="34" t="str">
        <f>IFERROR(VLOOKUP(tbLOG[[#This Row],[LOGIN]],tbMAPA[#All],3,0), "Não localizado")</f>
        <v>Reginaldo Santana De Souza</v>
      </c>
      <c r="G2971" s="3" t="s">
        <v>1211</v>
      </c>
      <c r="H2971" s="3" t="s">
        <v>836</v>
      </c>
    </row>
    <row r="2972" spans="1:8">
      <c r="A2972" s="29">
        <v>42752.440266203703</v>
      </c>
      <c r="B2972" s="29" t="str">
        <f>PROPER(TEXT(tbLOG[[#This Row],[DATA/HORA]],"mmmm"))</f>
        <v>Janeiro</v>
      </c>
      <c r="C2972" s="34" t="str">
        <f>PROPER(TEXT(tbLOG[[#This Row],[DATA/HORA]],"dddd"))</f>
        <v>Terça-Feira</v>
      </c>
      <c r="D2972" s="3" t="s">
        <v>604</v>
      </c>
      <c r="E2972" s="34" t="str">
        <f>IFERROR(VLOOKUP(tbLOG[[#This Row],[LOGIN]],tbMAPA[#All],2,0), "Não localizado")</f>
        <v>Renan Cazumba Tegani</v>
      </c>
      <c r="F2972" s="34" t="str">
        <f>IFERROR(VLOOKUP(tbLOG[[#This Row],[LOGIN]],tbMAPA[#All],3,0), "Não localizado")</f>
        <v>Reginaldo Santana De Souza</v>
      </c>
      <c r="G2972" s="3" t="s">
        <v>1211</v>
      </c>
      <c r="H2972" s="3" t="s">
        <v>836</v>
      </c>
    </row>
    <row r="2973" spans="1:8">
      <c r="A2973" s="29">
        <v>42752.44059027778</v>
      </c>
      <c r="B2973" s="29" t="str">
        <f>PROPER(TEXT(tbLOG[[#This Row],[DATA/HORA]],"mmmm"))</f>
        <v>Janeiro</v>
      </c>
      <c r="C2973" s="34" t="str">
        <f>PROPER(TEXT(tbLOG[[#This Row],[DATA/HORA]],"dddd"))</f>
        <v>Terça-Feira</v>
      </c>
      <c r="D2973" s="3" t="s">
        <v>604</v>
      </c>
      <c r="E2973" s="34" t="str">
        <f>IFERROR(VLOOKUP(tbLOG[[#This Row],[LOGIN]],tbMAPA[#All],2,0), "Não localizado")</f>
        <v>Renan Cazumba Tegani</v>
      </c>
      <c r="F2973" s="34" t="str">
        <f>IFERROR(VLOOKUP(tbLOG[[#This Row],[LOGIN]],tbMAPA[#All],3,0), "Não localizado")</f>
        <v>Reginaldo Santana De Souza</v>
      </c>
      <c r="G2973" s="3" t="s">
        <v>1211</v>
      </c>
      <c r="H2973" s="3" t="s">
        <v>836</v>
      </c>
    </row>
    <row r="2974" spans="1:8">
      <c r="A2974" s="29">
        <v>42752.440636574072</v>
      </c>
      <c r="B2974" s="29" t="str">
        <f>PROPER(TEXT(tbLOG[[#This Row],[DATA/HORA]],"mmmm"))</f>
        <v>Janeiro</v>
      </c>
      <c r="C2974" s="34" t="str">
        <f>PROPER(TEXT(tbLOG[[#This Row],[DATA/HORA]],"dddd"))</f>
        <v>Terça-Feira</v>
      </c>
      <c r="D2974" s="3" t="s">
        <v>604</v>
      </c>
      <c r="E2974" s="34" t="str">
        <f>IFERROR(VLOOKUP(tbLOG[[#This Row],[LOGIN]],tbMAPA[#All],2,0), "Não localizado")</f>
        <v>Renan Cazumba Tegani</v>
      </c>
      <c r="F2974" s="34" t="str">
        <f>IFERROR(VLOOKUP(tbLOG[[#This Row],[LOGIN]],tbMAPA[#All],3,0), "Não localizado")</f>
        <v>Reginaldo Santana De Souza</v>
      </c>
      <c r="G2974" s="3" t="s">
        <v>1211</v>
      </c>
      <c r="H2974" s="3" t="s">
        <v>836</v>
      </c>
    </row>
    <row r="2975" spans="1:8">
      <c r="A2975" s="29">
        <v>42752.462881944448</v>
      </c>
      <c r="B2975" s="29" t="str">
        <f>PROPER(TEXT(tbLOG[[#This Row],[DATA/HORA]],"mmmm"))</f>
        <v>Janeiro</v>
      </c>
      <c r="C2975" s="34" t="str">
        <f>PROPER(TEXT(tbLOG[[#This Row],[DATA/HORA]],"dddd"))</f>
        <v>Terça-Feira</v>
      </c>
      <c r="D2975" s="3" t="s">
        <v>604</v>
      </c>
      <c r="E2975" s="34" t="str">
        <f>IFERROR(VLOOKUP(tbLOG[[#This Row],[LOGIN]],tbMAPA[#All],2,0), "Não localizado")</f>
        <v>Renan Cazumba Tegani</v>
      </c>
      <c r="F2975" s="34" t="str">
        <f>IFERROR(VLOOKUP(tbLOG[[#This Row],[LOGIN]],tbMAPA[#All],3,0), "Não localizado")</f>
        <v>Reginaldo Santana De Souza</v>
      </c>
      <c r="G2975" s="3" t="s">
        <v>1211</v>
      </c>
      <c r="H2975" s="3" t="s">
        <v>836</v>
      </c>
    </row>
    <row r="2976" spans="1:8">
      <c r="A2976" s="29">
        <v>42752.462893518517</v>
      </c>
      <c r="B2976" s="29" t="str">
        <f>PROPER(TEXT(tbLOG[[#This Row],[DATA/HORA]],"mmmm"))</f>
        <v>Janeiro</v>
      </c>
      <c r="C2976" s="34" t="str">
        <f>PROPER(TEXT(tbLOG[[#This Row],[DATA/HORA]],"dddd"))</f>
        <v>Terça-Feira</v>
      </c>
      <c r="D2976" s="3" t="s">
        <v>604</v>
      </c>
      <c r="E2976" s="34" t="str">
        <f>IFERROR(VLOOKUP(tbLOG[[#This Row],[LOGIN]],tbMAPA[#All],2,0), "Não localizado")</f>
        <v>Renan Cazumba Tegani</v>
      </c>
      <c r="F2976" s="34" t="str">
        <f>IFERROR(VLOOKUP(tbLOG[[#This Row],[LOGIN]],tbMAPA[#All],3,0), "Não localizado")</f>
        <v>Reginaldo Santana De Souza</v>
      </c>
      <c r="G2976" s="3" t="s">
        <v>1211</v>
      </c>
      <c r="H2976" s="3" t="s">
        <v>836</v>
      </c>
    </row>
    <row r="2977" spans="1:8">
      <c r="A2977" s="29">
        <v>42752.46298611111</v>
      </c>
      <c r="B2977" s="29" t="str">
        <f>PROPER(TEXT(tbLOG[[#This Row],[DATA/HORA]],"mmmm"))</f>
        <v>Janeiro</v>
      </c>
      <c r="C2977" s="34" t="str">
        <f>PROPER(TEXT(tbLOG[[#This Row],[DATA/HORA]],"dddd"))</f>
        <v>Terça-Feira</v>
      </c>
      <c r="D2977" s="3" t="s">
        <v>604</v>
      </c>
      <c r="E2977" s="34" t="str">
        <f>IFERROR(VLOOKUP(tbLOG[[#This Row],[LOGIN]],tbMAPA[#All],2,0), "Não localizado")</f>
        <v>Renan Cazumba Tegani</v>
      </c>
      <c r="F2977" s="34" t="str">
        <f>IFERROR(VLOOKUP(tbLOG[[#This Row],[LOGIN]],tbMAPA[#All],3,0), "Não localizado")</f>
        <v>Reginaldo Santana De Souza</v>
      </c>
      <c r="G2977" s="3" t="s">
        <v>1211</v>
      </c>
      <c r="H2977" s="3" t="s">
        <v>836</v>
      </c>
    </row>
    <row r="2978" spans="1:8">
      <c r="A2978" s="29">
        <v>42752.463067129633</v>
      </c>
      <c r="B2978" s="29" t="str">
        <f>PROPER(TEXT(tbLOG[[#This Row],[DATA/HORA]],"mmmm"))</f>
        <v>Janeiro</v>
      </c>
      <c r="C2978" s="34" t="str">
        <f>PROPER(TEXT(tbLOG[[#This Row],[DATA/HORA]],"dddd"))</f>
        <v>Terça-Feira</v>
      </c>
      <c r="D2978" s="3" t="s">
        <v>604</v>
      </c>
      <c r="E2978" s="34" t="str">
        <f>IFERROR(VLOOKUP(tbLOG[[#This Row],[LOGIN]],tbMAPA[#All],2,0), "Não localizado")</f>
        <v>Renan Cazumba Tegani</v>
      </c>
      <c r="F2978" s="34" t="str">
        <f>IFERROR(VLOOKUP(tbLOG[[#This Row],[LOGIN]],tbMAPA[#All],3,0), "Não localizado")</f>
        <v>Reginaldo Santana De Souza</v>
      </c>
      <c r="G2978" s="3" t="s">
        <v>1211</v>
      </c>
      <c r="H2978" s="3" t="s">
        <v>290</v>
      </c>
    </row>
    <row r="2979" spans="1:8">
      <c r="A2979" s="29">
        <v>42752.467604166668</v>
      </c>
      <c r="B2979" s="29" t="str">
        <f>PROPER(TEXT(tbLOG[[#This Row],[DATA/HORA]],"mmmm"))</f>
        <v>Janeiro</v>
      </c>
      <c r="C2979" s="34" t="str">
        <f>PROPER(TEXT(tbLOG[[#This Row],[DATA/HORA]],"dddd"))</f>
        <v>Terça-Feira</v>
      </c>
      <c r="D2979" s="3" t="s">
        <v>604</v>
      </c>
      <c r="E2979" s="34" t="str">
        <f>IFERROR(VLOOKUP(tbLOG[[#This Row],[LOGIN]],tbMAPA[#All],2,0), "Não localizado")</f>
        <v>Renan Cazumba Tegani</v>
      </c>
      <c r="F2979" s="34" t="str">
        <f>IFERROR(VLOOKUP(tbLOG[[#This Row],[LOGIN]],tbMAPA[#All],3,0), "Não localizado")</f>
        <v>Reginaldo Santana De Souza</v>
      </c>
      <c r="G2979" s="3" t="s">
        <v>1211</v>
      </c>
      <c r="H2979" s="3" t="s">
        <v>290</v>
      </c>
    </row>
    <row r="2980" spans="1:8">
      <c r="A2980" s="29">
        <v>42752.494467592594</v>
      </c>
      <c r="B2980" s="29" t="str">
        <f>PROPER(TEXT(tbLOG[[#This Row],[DATA/HORA]],"mmmm"))</f>
        <v>Janeiro</v>
      </c>
      <c r="C2980" s="34" t="str">
        <f>PROPER(TEXT(tbLOG[[#This Row],[DATA/HORA]],"dddd"))</f>
        <v>Terça-Feira</v>
      </c>
      <c r="D2980" s="3" t="s">
        <v>604</v>
      </c>
      <c r="E2980" s="34" t="str">
        <f>IFERROR(VLOOKUP(tbLOG[[#This Row],[LOGIN]],tbMAPA[#All],2,0), "Não localizado")</f>
        <v>Renan Cazumba Tegani</v>
      </c>
      <c r="F2980" s="34" t="str">
        <f>IFERROR(VLOOKUP(tbLOG[[#This Row],[LOGIN]],tbMAPA[#All],3,0), "Não localizado")</f>
        <v>Reginaldo Santana De Souza</v>
      </c>
      <c r="G2980" s="3" t="s">
        <v>1211</v>
      </c>
      <c r="H2980" s="3" t="s">
        <v>836</v>
      </c>
    </row>
    <row r="2981" spans="1:8">
      <c r="A2981" s="29">
        <v>42752.494537037041</v>
      </c>
      <c r="B2981" s="29" t="str">
        <f>PROPER(TEXT(tbLOG[[#This Row],[DATA/HORA]],"mmmm"))</f>
        <v>Janeiro</v>
      </c>
      <c r="C2981" s="34" t="str">
        <f>PROPER(TEXT(tbLOG[[#This Row],[DATA/HORA]],"dddd"))</f>
        <v>Terça-Feira</v>
      </c>
      <c r="D2981" s="3" t="s">
        <v>604</v>
      </c>
      <c r="E2981" s="34" t="str">
        <f>IFERROR(VLOOKUP(tbLOG[[#This Row],[LOGIN]],tbMAPA[#All],2,0), "Não localizado")</f>
        <v>Renan Cazumba Tegani</v>
      </c>
      <c r="F2981" s="34" t="str">
        <f>IFERROR(VLOOKUP(tbLOG[[#This Row],[LOGIN]],tbMAPA[#All],3,0), "Não localizado")</f>
        <v>Reginaldo Santana De Souza</v>
      </c>
      <c r="G2981" s="3" t="s">
        <v>1211</v>
      </c>
      <c r="H2981" s="3" t="s">
        <v>836</v>
      </c>
    </row>
    <row r="2982" spans="1:8">
      <c r="A2982" s="29">
        <v>42752.500902777778</v>
      </c>
      <c r="B2982" s="29" t="str">
        <f>PROPER(TEXT(tbLOG[[#This Row],[DATA/HORA]],"mmmm"))</f>
        <v>Janeiro</v>
      </c>
      <c r="C2982" s="34" t="str">
        <f>PROPER(TEXT(tbLOG[[#This Row],[DATA/HORA]],"dddd"))</f>
        <v>Terça-Feira</v>
      </c>
      <c r="D2982" s="3" t="s">
        <v>604</v>
      </c>
      <c r="E2982" s="34" t="str">
        <f>IFERROR(VLOOKUP(tbLOG[[#This Row],[LOGIN]],tbMAPA[#All],2,0), "Não localizado")</f>
        <v>Renan Cazumba Tegani</v>
      </c>
      <c r="F2982" s="34" t="str">
        <f>IFERROR(VLOOKUP(tbLOG[[#This Row],[LOGIN]],tbMAPA[#All],3,0), "Não localizado")</f>
        <v>Reginaldo Santana De Souza</v>
      </c>
      <c r="G2982" s="3" t="s">
        <v>1211</v>
      </c>
      <c r="H2982" s="3" t="s">
        <v>836</v>
      </c>
    </row>
    <row r="2983" spans="1:8">
      <c r="A2983" s="29">
        <v>42752.500925925924</v>
      </c>
      <c r="B2983" s="29" t="str">
        <f>PROPER(TEXT(tbLOG[[#This Row],[DATA/HORA]],"mmmm"))</f>
        <v>Janeiro</v>
      </c>
      <c r="C2983" s="34" t="str">
        <f>PROPER(TEXT(tbLOG[[#This Row],[DATA/HORA]],"dddd"))</f>
        <v>Terça-Feira</v>
      </c>
      <c r="D2983" s="3" t="s">
        <v>604</v>
      </c>
      <c r="E2983" s="34" t="str">
        <f>IFERROR(VLOOKUP(tbLOG[[#This Row],[LOGIN]],tbMAPA[#All],2,0), "Não localizado")</f>
        <v>Renan Cazumba Tegani</v>
      </c>
      <c r="F2983" s="34" t="str">
        <f>IFERROR(VLOOKUP(tbLOG[[#This Row],[LOGIN]],tbMAPA[#All],3,0), "Não localizado")</f>
        <v>Reginaldo Santana De Souza</v>
      </c>
      <c r="G2983" s="3" t="s">
        <v>1211</v>
      </c>
      <c r="H2983" s="3" t="s">
        <v>836</v>
      </c>
    </row>
    <row r="2984" spans="1:8">
      <c r="A2984" s="29">
        <v>42752.500960648147</v>
      </c>
      <c r="B2984" s="29" t="str">
        <f>PROPER(TEXT(tbLOG[[#This Row],[DATA/HORA]],"mmmm"))</f>
        <v>Janeiro</v>
      </c>
      <c r="C2984" s="34" t="str">
        <f>PROPER(TEXT(tbLOG[[#This Row],[DATA/HORA]],"dddd"))</f>
        <v>Terça-Feira</v>
      </c>
      <c r="D2984" s="3" t="s">
        <v>604</v>
      </c>
      <c r="E2984" s="34" t="str">
        <f>IFERROR(VLOOKUP(tbLOG[[#This Row],[LOGIN]],tbMAPA[#All],2,0), "Não localizado")</f>
        <v>Renan Cazumba Tegani</v>
      </c>
      <c r="F2984" s="34" t="str">
        <f>IFERROR(VLOOKUP(tbLOG[[#This Row],[LOGIN]],tbMAPA[#All],3,0), "Não localizado")</f>
        <v>Reginaldo Santana De Souza</v>
      </c>
      <c r="G2984" s="3" t="s">
        <v>1211</v>
      </c>
      <c r="H2984" s="3" t="s">
        <v>836</v>
      </c>
    </row>
    <row r="2985" spans="1:8">
      <c r="A2985" s="29">
        <v>42752.507025462961</v>
      </c>
      <c r="B2985" s="29" t="str">
        <f>PROPER(TEXT(tbLOG[[#This Row],[DATA/HORA]],"mmmm"))</f>
        <v>Janeiro</v>
      </c>
      <c r="C2985" s="34" t="str">
        <f>PROPER(TEXT(tbLOG[[#This Row],[DATA/HORA]],"dddd"))</f>
        <v>Terça-Feira</v>
      </c>
      <c r="D2985" s="3" t="s">
        <v>604</v>
      </c>
      <c r="E2985" s="34" t="str">
        <f>IFERROR(VLOOKUP(tbLOG[[#This Row],[LOGIN]],tbMAPA[#All],2,0), "Não localizado")</f>
        <v>Renan Cazumba Tegani</v>
      </c>
      <c r="F2985" s="34" t="str">
        <f>IFERROR(VLOOKUP(tbLOG[[#This Row],[LOGIN]],tbMAPA[#All],3,0), "Não localizado")</f>
        <v>Reginaldo Santana De Souza</v>
      </c>
      <c r="G2985" s="3" t="s">
        <v>1211</v>
      </c>
      <c r="H2985" s="3" t="s">
        <v>836</v>
      </c>
    </row>
    <row r="2986" spans="1:8">
      <c r="A2986" s="29">
        <v>42752.507037037038</v>
      </c>
      <c r="B2986" s="29" t="str">
        <f>PROPER(TEXT(tbLOG[[#This Row],[DATA/HORA]],"mmmm"))</f>
        <v>Janeiro</v>
      </c>
      <c r="C2986" s="34" t="str">
        <f>PROPER(TEXT(tbLOG[[#This Row],[DATA/HORA]],"dddd"))</f>
        <v>Terça-Feira</v>
      </c>
      <c r="D2986" s="3" t="s">
        <v>604</v>
      </c>
      <c r="E2986" s="34" t="str">
        <f>IFERROR(VLOOKUP(tbLOG[[#This Row],[LOGIN]],tbMAPA[#All],2,0), "Não localizado")</f>
        <v>Renan Cazumba Tegani</v>
      </c>
      <c r="F2986" s="34" t="str">
        <f>IFERROR(VLOOKUP(tbLOG[[#This Row],[LOGIN]],tbMAPA[#All],3,0), "Não localizado")</f>
        <v>Reginaldo Santana De Souza</v>
      </c>
      <c r="G2986" s="3" t="s">
        <v>1211</v>
      </c>
      <c r="H2986" s="3" t="s">
        <v>836</v>
      </c>
    </row>
    <row r="2987" spans="1:8">
      <c r="A2987" s="29">
        <v>42752.508148148147</v>
      </c>
      <c r="B2987" s="29" t="str">
        <f>PROPER(TEXT(tbLOG[[#This Row],[DATA/HORA]],"mmmm"))</f>
        <v>Janeiro</v>
      </c>
      <c r="C2987" s="34" t="str">
        <f>PROPER(TEXT(tbLOG[[#This Row],[DATA/HORA]],"dddd"))</f>
        <v>Terça-Feira</v>
      </c>
      <c r="D2987" s="3" t="s">
        <v>604</v>
      </c>
      <c r="E2987" s="34" t="str">
        <f>IFERROR(VLOOKUP(tbLOG[[#This Row],[LOGIN]],tbMAPA[#All],2,0), "Não localizado")</f>
        <v>Renan Cazumba Tegani</v>
      </c>
      <c r="F2987" s="34" t="str">
        <f>IFERROR(VLOOKUP(tbLOG[[#This Row],[LOGIN]],tbMAPA[#All],3,0), "Não localizado")</f>
        <v>Reginaldo Santana De Souza</v>
      </c>
      <c r="G2987" s="3" t="s">
        <v>1211</v>
      </c>
      <c r="H2987" s="3" t="s">
        <v>836</v>
      </c>
    </row>
    <row r="2988" spans="1:8">
      <c r="A2988" s="29">
        <v>42752.514398148145</v>
      </c>
      <c r="B2988" s="29" t="str">
        <f>PROPER(TEXT(tbLOG[[#This Row],[DATA/HORA]],"mmmm"))</f>
        <v>Janeiro</v>
      </c>
      <c r="C2988" s="34" t="str">
        <f>PROPER(TEXT(tbLOG[[#This Row],[DATA/HORA]],"dddd"))</f>
        <v>Terça-Feira</v>
      </c>
      <c r="D2988" s="3" t="s">
        <v>604</v>
      </c>
      <c r="E2988" s="34" t="str">
        <f>IFERROR(VLOOKUP(tbLOG[[#This Row],[LOGIN]],tbMAPA[#All],2,0), "Não localizado")</f>
        <v>Renan Cazumba Tegani</v>
      </c>
      <c r="F2988" s="34" t="str">
        <f>IFERROR(VLOOKUP(tbLOG[[#This Row],[LOGIN]],tbMAPA[#All],3,0), "Não localizado")</f>
        <v>Reginaldo Santana De Souza</v>
      </c>
      <c r="G2988" s="3" t="s">
        <v>1211</v>
      </c>
      <c r="H2988" s="3" t="s">
        <v>836</v>
      </c>
    </row>
    <row r="2989" spans="1:8">
      <c r="A2989" s="29">
        <v>42752.514432870368</v>
      </c>
      <c r="B2989" s="29" t="str">
        <f>PROPER(TEXT(tbLOG[[#This Row],[DATA/HORA]],"mmmm"))</f>
        <v>Janeiro</v>
      </c>
      <c r="C2989" s="34" t="str">
        <f>PROPER(TEXT(tbLOG[[#This Row],[DATA/HORA]],"dddd"))</f>
        <v>Terça-Feira</v>
      </c>
      <c r="D2989" s="3" t="s">
        <v>604</v>
      </c>
      <c r="E2989" s="34" t="str">
        <f>IFERROR(VLOOKUP(tbLOG[[#This Row],[LOGIN]],tbMAPA[#All],2,0), "Não localizado")</f>
        <v>Renan Cazumba Tegani</v>
      </c>
      <c r="F2989" s="34" t="str">
        <f>IFERROR(VLOOKUP(tbLOG[[#This Row],[LOGIN]],tbMAPA[#All],3,0), "Não localizado")</f>
        <v>Reginaldo Santana De Souza</v>
      </c>
      <c r="G2989" s="3" t="s">
        <v>1211</v>
      </c>
      <c r="H2989" s="3" t="s">
        <v>836</v>
      </c>
    </row>
    <row r="2990" spans="1:8">
      <c r="A2990" s="29">
        <v>42752.514699074076</v>
      </c>
      <c r="B2990" s="29" t="str">
        <f>PROPER(TEXT(tbLOG[[#This Row],[DATA/HORA]],"mmmm"))</f>
        <v>Janeiro</v>
      </c>
      <c r="C2990" s="34" t="str">
        <f>PROPER(TEXT(tbLOG[[#This Row],[DATA/HORA]],"dddd"))</f>
        <v>Terça-Feira</v>
      </c>
      <c r="D2990" s="3" t="s">
        <v>604</v>
      </c>
      <c r="E2990" s="34" t="str">
        <f>IFERROR(VLOOKUP(tbLOG[[#This Row],[LOGIN]],tbMAPA[#All],2,0), "Não localizado")</f>
        <v>Renan Cazumba Tegani</v>
      </c>
      <c r="F2990" s="34" t="str">
        <f>IFERROR(VLOOKUP(tbLOG[[#This Row],[LOGIN]],tbMAPA[#All],3,0), "Não localizado")</f>
        <v>Reginaldo Santana De Souza</v>
      </c>
      <c r="G2990" s="3" t="s">
        <v>1211</v>
      </c>
      <c r="H2990" s="3" t="s">
        <v>836</v>
      </c>
    </row>
    <row r="2991" spans="1:8">
      <c r="A2991" s="29">
        <v>42752.530115740738</v>
      </c>
      <c r="B2991" s="29" t="str">
        <f>PROPER(TEXT(tbLOG[[#This Row],[DATA/HORA]],"mmmm"))</f>
        <v>Janeiro</v>
      </c>
      <c r="C2991" s="34" t="str">
        <f>PROPER(TEXT(tbLOG[[#This Row],[DATA/HORA]],"dddd"))</f>
        <v>Terça-Feira</v>
      </c>
      <c r="D2991" s="3" t="s">
        <v>604</v>
      </c>
      <c r="E2991" s="34" t="str">
        <f>IFERROR(VLOOKUP(tbLOG[[#This Row],[LOGIN]],tbMAPA[#All],2,0), "Não localizado")</f>
        <v>Renan Cazumba Tegani</v>
      </c>
      <c r="F2991" s="34" t="str">
        <f>IFERROR(VLOOKUP(tbLOG[[#This Row],[LOGIN]],tbMAPA[#All],3,0), "Não localizado")</f>
        <v>Reginaldo Santana De Souza</v>
      </c>
      <c r="G2991" s="3" t="s">
        <v>1211</v>
      </c>
      <c r="H2991" s="3" t="s">
        <v>836</v>
      </c>
    </row>
    <row r="2992" spans="1:8">
      <c r="A2992" s="29">
        <v>42752.530127314814</v>
      </c>
      <c r="B2992" s="29" t="str">
        <f>PROPER(TEXT(tbLOG[[#This Row],[DATA/HORA]],"mmmm"))</f>
        <v>Janeiro</v>
      </c>
      <c r="C2992" s="34" t="str">
        <f>PROPER(TEXT(tbLOG[[#This Row],[DATA/HORA]],"dddd"))</f>
        <v>Terça-Feira</v>
      </c>
      <c r="D2992" s="3" t="s">
        <v>604</v>
      </c>
      <c r="E2992" s="34" t="str">
        <f>IFERROR(VLOOKUP(tbLOG[[#This Row],[LOGIN]],tbMAPA[#All],2,0), "Não localizado")</f>
        <v>Renan Cazumba Tegani</v>
      </c>
      <c r="F2992" s="34" t="str">
        <f>IFERROR(VLOOKUP(tbLOG[[#This Row],[LOGIN]],tbMAPA[#All],3,0), "Não localizado")</f>
        <v>Reginaldo Santana De Souza</v>
      </c>
      <c r="G2992" s="3" t="s">
        <v>1211</v>
      </c>
      <c r="H2992" s="3" t="s">
        <v>836</v>
      </c>
    </row>
    <row r="2993" spans="1:8">
      <c r="A2993" s="29">
        <v>42752.530393518522</v>
      </c>
      <c r="B2993" s="29" t="str">
        <f>PROPER(TEXT(tbLOG[[#This Row],[DATA/HORA]],"mmmm"))</f>
        <v>Janeiro</v>
      </c>
      <c r="C2993" s="34" t="str">
        <f>PROPER(TEXT(tbLOG[[#This Row],[DATA/HORA]],"dddd"))</f>
        <v>Terça-Feira</v>
      </c>
      <c r="D2993" s="3" t="s">
        <v>604</v>
      </c>
      <c r="E2993" s="34" t="str">
        <f>IFERROR(VLOOKUP(tbLOG[[#This Row],[LOGIN]],tbMAPA[#All],2,0), "Não localizado")</f>
        <v>Renan Cazumba Tegani</v>
      </c>
      <c r="F2993" s="34" t="str">
        <f>IFERROR(VLOOKUP(tbLOG[[#This Row],[LOGIN]],tbMAPA[#All],3,0), "Não localizado")</f>
        <v>Reginaldo Santana De Souza</v>
      </c>
      <c r="G2993" s="3" t="s">
        <v>1211</v>
      </c>
      <c r="H2993" s="3" t="s">
        <v>836</v>
      </c>
    </row>
    <row r="2994" spans="1:8">
      <c r="A2994" s="29">
        <v>42752.542395833334</v>
      </c>
      <c r="B2994" s="29" t="str">
        <f>PROPER(TEXT(tbLOG[[#This Row],[DATA/HORA]],"mmmm"))</f>
        <v>Janeiro</v>
      </c>
      <c r="C2994" s="34" t="str">
        <f>PROPER(TEXT(tbLOG[[#This Row],[DATA/HORA]],"dddd"))</f>
        <v>Terça-Feira</v>
      </c>
      <c r="D2994" s="3" t="s">
        <v>604</v>
      </c>
      <c r="E2994" s="34" t="str">
        <f>IFERROR(VLOOKUP(tbLOG[[#This Row],[LOGIN]],tbMAPA[#All],2,0), "Não localizado")</f>
        <v>Renan Cazumba Tegani</v>
      </c>
      <c r="F2994" s="34" t="str">
        <f>IFERROR(VLOOKUP(tbLOG[[#This Row],[LOGIN]],tbMAPA[#All],3,0), "Não localizado")</f>
        <v>Reginaldo Santana De Souza</v>
      </c>
      <c r="G2994" s="3" t="s">
        <v>1211</v>
      </c>
      <c r="H2994" s="3" t="s">
        <v>836</v>
      </c>
    </row>
    <row r="2995" spans="1:8">
      <c r="A2995" s="29">
        <v>42752.542407407411</v>
      </c>
      <c r="B2995" s="29" t="str">
        <f>PROPER(TEXT(tbLOG[[#This Row],[DATA/HORA]],"mmmm"))</f>
        <v>Janeiro</v>
      </c>
      <c r="C2995" s="34" t="str">
        <f>PROPER(TEXT(tbLOG[[#This Row],[DATA/HORA]],"dddd"))</f>
        <v>Terça-Feira</v>
      </c>
      <c r="D2995" s="3" t="s">
        <v>604</v>
      </c>
      <c r="E2995" s="34" t="str">
        <f>IFERROR(VLOOKUP(tbLOG[[#This Row],[LOGIN]],tbMAPA[#All],2,0), "Não localizado")</f>
        <v>Renan Cazumba Tegani</v>
      </c>
      <c r="F2995" s="34" t="str">
        <f>IFERROR(VLOOKUP(tbLOG[[#This Row],[LOGIN]],tbMAPA[#All],3,0), "Não localizado")</f>
        <v>Reginaldo Santana De Souza</v>
      </c>
      <c r="G2995" s="3" t="s">
        <v>1211</v>
      </c>
      <c r="H2995" s="3" t="s">
        <v>836</v>
      </c>
    </row>
    <row r="2996" spans="1:8">
      <c r="A2996" s="29">
        <v>42752.542534722219</v>
      </c>
      <c r="B2996" s="29" t="str">
        <f>PROPER(TEXT(tbLOG[[#This Row],[DATA/HORA]],"mmmm"))</f>
        <v>Janeiro</v>
      </c>
      <c r="C2996" s="34" t="str">
        <f>PROPER(TEXT(tbLOG[[#This Row],[DATA/HORA]],"dddd"))</f>
        <v>Terça-Feira</v>
      </c>
      <c r="D2996" s="3" t="s">
        <v>604</v>
      </c>
      <c r="E2996" s="34" t="str">
        <f>IFERROR(VLOOKUP(tbLOG[[#This Row],[LOGIN]],tbMAPA[#All],2,0), "Não localizado")</f>
        <v>Renan Cazumba Tegani</v>
      </c>
      <c r="F2996" s="34" t="str">
        <f>IFERROR(VLOOKUP(tbLOG[[#This Row],[LOGIN]],tbMAPA[#All],3,0), "Não localizado")</f>
        <v>Reginaldo Santana De Souza</v>
      </c>
      <c r="G2996" s="3" t="s">
        <v>1211</v>
      </c>
      <c r="H2996" s="3" t="s">
        <v>836</v>
      </c>
    </row>
    <row r="2997" spans="1:8">
      <c r="A2997" s="29">
        <v>42752.557743055557</v>
      </c>
      <c r="B2997" s="29" t="str">
        <f>PROPER(TEXT(tbLOG[[#This Row],[DATA/HORA]],"mmmm"))</f>
        <v>Janeiro</v>
      </c>
      <c r="C2997" s="34" t="str">
        <f>PROPER(TEXT(tbLOG[[#This Row],[DATA/HORA]],"dddd"))</f>
        <v>Terça-Feira</v>
      </c>
      <c r="D2997" s="3" t="s">
        <v>604</v>
      </c>
      <c r="E2997" s="34" t="str">
        <f>IFERROR(VLOOKUP(tbLOG[[#This Row],[LOGIN]],tbMAPA[#All],2,0), "Não localizado")</f>
        <v>Renan Cazumba Tegani</v>
      </c>
      <c r="F2997" s="34" t="str">
        <f>IFERROR(VLOOKUP(tbLOG[[#This Row],[LOGIN]],tbMAPA[#All],3,0), "Não localizado")</f>
        <v>Reginaldo Santana De Souza</v>
      </c>
      <c r="G2997" s="3" t="s">
        <v>1211</v>
      </c>
      <c r="H2997" s="3" t="s">
        <v>836</v>
      </c>
    </row>
    <row r="2998" spans="1:8">
      <c r="A2998" s="29">
        <v>42752.557754629626</v>
      </c>
      <c r="B2998" s="29" t="str">
        <f>PROPER(TEXT(tbLOG[[#This Row],[DATA/HORA]],"mmmm"))</f>
        <v>Janeiro</v>
      </c>
      <c r="C2998" s="34" t="str">
        <f>PROPER(TEXT(tbLOG[[#This Row],[DATA/HORA]],"dddd"))</f>
        <v>Terça-Feira</v>
      </c>
      <c r="D2998" s="3" t="s">
        <v>604</v>
      </c>
      <c r="E2998" s="34" t="str">
        <f>IFERROR(VLOOKUP(tbLOG[[#This Row],[LOGIN]],tbMAPA[#All],2,0), "Não localizado")</f>
        <v>Renan Cazumba Tegani</v>
      </c>
      <c r="F2998" s="34" t="str">
        <f>IFERROR(VLOOKUP(tbLOG[[#This Row],[LOGIN]],tbMAPA[#All],3,0), "Não localizado")</f>
        <v>Reginaldo Santana De Souza</v>
      </c>
      <c r="G2998" s="3" t="s">
        <v>1211</v>
      </c>
      <c r="H2998" s="3" t="s">
        <v>836</v>
      </c>
    </row>
    <row r="2999" spans="1:8">
      <c r="A2999" s="29">
        <v>42752.557847222219</v>
      </c>
      <c r="B2999" s="29" t="str">
        <f>PROPER(TEXT(tbLOG[[#This Row],[DATA/HORA]],"mmmm"))</f>
        <v>Janeiro</v>
      </c>
      <c r="C2999" s="34" t="str">
        <f>PROPER(TEXT(tbLOG[[#This Row],[DATA/HORA]],"dddd"))</f>
        <v>Terça-Feira</v>
      </c>
      <c r="D2999" s="3" t="s">
        <v>604</v>
      </c>
      <c r="E2999" s="34" t="str">
        <f>IFERROR(VLOOKUP(tbLOG[[#This Row],[LOGIN]],tbMAPA[#All],2,0), "Não localizado")</f>
        <v>Renan Cazumba Tegani</v>
      </c>
      <c r="F2999" s="34" t="str">
        <f>IFERROR(VLOOKUP(tbLOG[[#This Row],[LOGIN]],tbMAPA[#All],3,0), "Não localizado")</f>
        <v>Reginaldo Santana De Souza</v>
      </c>
      <c r="G2999" s="3" t="s">
        <v>1211</v>
      </c>
      <c r="H2999" s="3" t="s">
        <v>836</v>
      </c>
    </row>
    <row r="3000" spans="1:8">
      <c r="A3000" s="29">
        <v>42752.558437500003</v>
      </c>
      <c r="B3000" s="29" t="str">
        <f>PROPER(TEXT(tbLOG[[#This Row],[DATA/HORA]],"mmmm"))</f>
        <v>Janeiro</v>
      </c>
      <c r="C3000" s="34" t="str">
        <f>PROPER(TEXT(tbLOG[[#This Row],[DATA/HORA]],"dddd"))</f>
        <v>Terça-Feira</v>
      </c>
      <c r="D3000" s="3" t="s">
        <v>604</v>
      </c>
      <c r="E3000" s="34" t="str">
        <f>IFERROR(VLOOKUP(tbLOG[[#This Row],[LOGIN]],tbMAPA[#All],2,0), "Não localizado")</f>
        <v>Renan Cazumba Tegani</v>
      </c>
      <c r="F3000" s="34" t="str">
        <f>IFERROR(VLOOKUP(tbLOG[[#This Row],[LOGIN]],tbMAPA[#All],3,0), "Não localizado")</f>
        <v>Reginaldo Santana De Souza</v>
      </c>
      <c r="G3000" s="3" t="s">
        <v>1211</v>
      </c>
      <c r="H3000" s="3" t="s">
        <v>836</v>
      </c>
    </row>
    <row r="3001" spans="1:8">
      <c r="A3001" s="29">
        <v>42752.55846064815</v>
      </c>
      <c r="B3001" s="29" t="str">
        <f>PROPER(TEXT(tbLOG[[#This Row],[DATA/HORA]],"mmmm"))</f>
        <v>Janeiro</v>
      </c>
      <c r="C3001" s="34" t="str">
        <f>PROPER(TEXT(tbLOG[[#This Row],[DATA/HORA]],"dddd"))</f>
        <v>Terça-Feira</v>
      </c>
      <c r="D3001" s="3" t="s">
        <v>604</v>
      </c>
      <c r="E3001" s="34" t="str">
        <f>IFERROR(VLOOKUP(tbLOG[[#This Row],[LOGIN]],tbMAPA[#All],2,0), "Não localizado")</f>
        <v>Renan Cazumba Tegani</v>
      </c>
      <c r="F3001" s="34" t="str">
        <f>IFERROR(VLOOKUP(tbLOG[[#This Row],[LOGIN]],tbMAPA[#All],3,0), "Não localizado")</f>
        <v>Reginaldo Santana De Souza</v>
      </c>
      <c r="G3001" s="3" t="s">
        <v>1211</v>
      </c>
      <c r="H3001" s="3" t="s">
        <v>290</v>
      </c>
    </row>
    <row r="3002" spans="1:8">
      <c r="A3002" s="29">
        <v>42752.562800925924</v>
      </c>
      <c r="B3002" s="29" t="str">
        <f>PROPER(TEXT(tbLOG[[#This Row],[DATA/HORA]],"mmmm"))</f>
        <v>Janeiro</v>
      </c>
      <c r="C3002" s="34" t="str">
        <f>PROPER(TEXT(tbLOG[[#This Row],[DATA/HORA]],"dddd"))</f>
        <v>Terça-Feira</v>
      </c>
      <c r="D3002" s="3" t="s">
        <v>604</v>
      </c>
      <c r="E3002" s="34" t="str">
        <f>IFERROR(VLOOKUP(tbLOG[[#This Row],[LOGIN]],tbMAPA[#All],2,0), "Não localizado")</f>
        <v>Renan Cazumba Tegani</v>
      </c>
      <c r="F3002" s="34" t="str">
        <f>IFERROR(VLOOKUP(tbLOG[[#This Row],[LOGIN]],tbMAPA[#All],3,0), "Não localizado")</f>
        <v>Reginaldo Santana De Souza</v>
      </c>
      <c r="G3002" s="3" t="s">
        <v>1211</v>
      </c>
      <c r="H3002" s="3" t="s">
        <v>836</v>
      </c>
    </row>
    <row r="3003" spans="1:8">
      <c r="A3003" s="29">
        <v>42752.562824074077</v>
      </c>
      <c r="B3003" s="29" t="str">
        <f>PROPER(TEXT(tbLOG[[#This Row],[DATA/HORA]],"mmmm"))</f>
        <v>Janeiro</v>
      </c>
      <c r="C3003" s="34" t="str">
        <f>PROPER(TEXT(tbLOG[[#This Row],[DATA/HORA]],"dddd"))</f>
        <v>Terça-Feira</v>
      </c>
      <c r="D3003" s="3" t="s">
        <v>604</v>
      </c>
      <c r="E3003" s="34" t="str">
        <f>IFERROR(VLOOKUP(tbLOG[[#This Row],[LOGIN]],tbMAPA[#All],2,0), "Não localizado")</f>
        <v>Renan Cazumba Tegani</v>
      </c>
      <c r="F3003" s="34" t="str">
        <f>IFERROR(VLOOKUP(tbLOG[[#This Row],[LOGIN]],tbMAPA[#All],3,0), "Não localizado")</f>
        <v>Reginaldo Santana De Souza</v>
      </c>
      <c r="G3003" s="3" t="s">
        <v>1211</v>
      </c>
      <c r="H3003" s="3" t="s">
        <v>290</v>
      </c>
    </row>
    <row r="3004" spans="1:8">
      <c r="A3004" s="29">
        <v>42752.571134259262</v>
      </c>
      <c r="B3004" s="29" t="str">
        <f>PROPER(TEXT(tbLOG[[#This Row],[DATA/HORA]],"mmmm"))</f>
        <v>Janeiro</v>
      </c>
      <c r="C3004" s="34" t="str">
        <f>PROPER(TEXT(tbLOG[[#This Row],[DATA/HORA]],"dddd"))</f>
        <v>Terça-Feira</v>
      </c>
      <c r="D3004" s="3" t="s">
        <v>604</v>
      </c>
      <c r="E3004" s="34" t="str">
        <f>IFERROR(VLOOKUP(tbLOG[[#This Row],[LOGIN]],tbMAPA[#All],2,0), "Não localizado")</f>
        <v>Renan Cazumba Tegani</v>
      </c>
      <c r="F3004" s="34" t="str">
        <f>IFERROR(VLOOKUP(tbLOG[[#This Row],[LOGIN]],tbMAPA[#All],3,0), "Não localizado")</f>
        <v>Reginaldo Santana De Souza</v>
      </c>
      <c r="G3004" s="3" t="s">
        <v>1211</v>
      </c>
      <c r="H3004" s="3" t="s">
        <v>290</v>
      </c>
    </row>
    <row r="3005" spans="1:8">
      <c r="A3005" s="29">
        <v>42752.571226851855</v>
      </c>
      <c r="B3005" s="29" t="str">
        <f>PROPER(TEXT(tbLOG[[#This Row],[DATA/HORA]],"mmmm"))</f>
        <v>Janeiro</v>
      </c>
      <c r="C3005" s="34" t="str">
        <f>PROPER(TEXT(tbLOG[[#This Row],[DATA/HORA]],"dddd"))</f>
        <v>Terça-Feira</v>
      </c>
      <c r="D3005" s="3" t="s">
        <v>604</v>
      </c>
      <c r="E3005" s="34" t="str">
        <f>IFERROR(VLOOKUP(tbLOG[[#This Row],[LOGIN]],tbMAPA[#All],2,0), "Não localizado")</f>
        <v>Renan Cazumba Tegani</v>
      </c>
      <c r="F3005" s="34" t="str">
        <f>IFERROR(VLOOKUP(tbLOG[[#This Row],[LOGIN]],tbMAPA[#All],3,0), "Não localizado")</f>
        <v>Reginaldo Santana De Souza</v>
      </c>
      <c r="G3005" s="3" t="s">
        <v>1211</v>
      </c>
      <c r="H3005" s="3" t="s">
        <v>334</v>
      </c>
    </row>
    <row r="3006" spans="1:8">
      <c r="A3006" s="29">
        <v>42752.571261574078</v>
      </c>
      <c r="B3006" s="29" t="str">
        <f>PROPER(TEXT(tbLOG[[#This Row],[DATA/HORA]],"mmmm"))</f>
        <v>Janeiro</v>
      </c>
      <c r="C3006" s="34" t="str">
        <f>PROPER(TEXT(tbLOG[[#This Row],[DATA/HORA]],"dddd"))</f>
        <v>Terça-Feira</v>
      </c>
      <c r="D3006" s="3" t="s">
        <v>604</v>
      </c>
      <c r="E3006" s="34" t="str">
        <f>IFERROR(VLOOKUP(tbLOG[[#This Row],[LOGIN]],tbMAPA[#All],2,0), "Não localizado")</f>
        <v>Renan Cazumba Tegani</v>
      </c>
      <c r="F3006" s="34" t="str">
        <f>IFERROR(VLOOKUP(tbLOG[[#This Row],[LOGIN]],tbMAPA[#All],3,0), "Não localizado")</f>
        <v>Reginaldo Santana De Souza</v>
      </c>
      <c r="G3006" s="3" t="s">
        <v>1211</v>
      </c>
      <c r="H3006" s="3" t="s">
        <v>842</v>
      </c>
    </row>
    <row r="3007" spans="1:8">
      <c r="A3007" s="29">
        <v>42752.571296296293</v>
      </c>
      <c r="B3007" s="29" t="str">
        <f>PROPER(TEXT(tbLOG[[#This Row],[DATA/HORA]],"mmmm"))</f>
        <v>Janeiro</v>
      </c>
      <c r="C3007" s="34" t="str">
        <f>PROPER(TEXT(tbLOG[[#This Row],[DATA/HORA]],"dddd"))</f>
        <v>Terça-Feira</v>
      </c>
      <c r="D3007" s="3" t="s">
        <v>604</v>
      </c>
      <c r="E3007" s="34" t="str">
        <f>IFERROR(VLOOKUP(tbLOG[[#This Row],[LOGIN]],tbMAPA[#All],2,0), "Não localizado")</f>
        <v>Renan Cazumba Tegani</v>
      </c>
      <c r="F3007" s="34" t="str">
        <f>IFERROR(VLOOKUP(tbLOG[[#This Row],[LOGIN]],tbMAPA[#All],3,0), "Não localizado")</f>
        <v>Reginaldo Santana De Souza</v>
      </c>
      <c r="G3007" s="3" t="s">
        <v>1211</v>
      </c>
      <c r="H3007" s="3" t="s">
        <v>309</v>
      </c>
    </row>
    <row r="3008" spans="1:8">
      <c r="A3008" s="29">
        <v>42752.571296296293</v>
      </c>
      <c r="B3008" s="29" t="str">
        <f>PROPER(TEXT(tbLOG[[#This Row],[DATA/HORA]],"mmmm"))</f>
        <v>Janeiro</v>
      </c>
      <c r="C3008" s="34" t="str">
        <f>PROPER(TEXT(tbLOG[[#This Row],[DATA/HORA]],"dddd"))</f>
        <v>Terça-Feira</v>
      </c>
      <c r="D3008" s="3" t="s">
        <v>604</v>
      </c>
      <c r="E3008" s="34" t="str">
        <f>IFERROR(VLOOKUP(tbLOG[[#This Row],[LOGIN]],tbMAPA[#All],2,0), "Não localizado")</f>
        <v>Renan Cazumba Tegani</v>
      </c>
      <c r="F3008" s="34" t="str">
        <f>IFERROR(VLOOKUP(tbLOG[[#This Row],[LOGIN]],tbMAPA[#All],3,0), "Não localizado")</f>
        <v>Reginaldo Santana De Souza</v>
      </c>
      <c r="G3008" s="3" t="s">
        <v>1211</v>
      </c>
      <c r="H3008" s="3" t="s">
        <v>310</v>
      </c>
    </row>
    <row r="3009" spans="1:8">
      <c r="A3009" s="29">
        <v>42752.57135416667</v>
      </c>
      <c r="B3009" s="29" t="str">
        <f>PROPER(TEXT(tbLOG[[#This Row],[DATA/HORA]],"mmmm"))</f>
        <v>Janeiro</v>
      </c>
      <c r="C3009" s="34" t="str">
        <f>PROPER(TEXT(tbLOG[[#This Row],[DATA/HORA]],"dddd"))</f>
        <v>Terça-Feira</v>
      </c>
      <c r="D3009" s="3" t="s">
        <v>604</v>
      </c>
      <c r="E3009" s="34" t="str">
        <f>IFERROR(VLOOKUP(tbLOG[[#This Row],[LOGIN]],tbMAPA[#All],2,0), "Não localizado")</f>
        <v>Renan Cazumba Tegani</v>
      </c>
      <c r="F3009" s="34" t="str">
        <f>IFERROR(VLOOKUP(tbLOG[[#This Row],[LOGIN]],tbMAPA[#All],3,0), "Não localizado")</f>
        <v>Reginaldo Santana De Souza</v>
      </c>
      <c r="G3009" s="3" t="s">
        <v>1211</v>
      </c>
      <c r="H3009" s="3" t="s">
        <v>309</v>
      </c>
    </row>
    <row r="3010" spans="1:8">
      <c r="A3010" s="29">
        <v>42752.57135416667</v>
      </c>
      <c r="B3010" s="29" t="str">
        <f>PROPER(TEXT(tbLOG[[#This Row],[DATA/HORA]],"mmmm"))</f>
        <v>Janeiro</v>
      </c>
      <c r="C3010" s="34" t="str">
        <f>PROPER(TEXT(tbLOG[[#This Row],[DATA/HORA]],"dddd"))</f>
        <v>Terça-Feira</v>
      </c>
      <c r="D3010" s="3" t="s">
        <v>604</v>
      </c>
      <c r="E3010" s="34" t="str">
        <f>IFERROR(VLOOKUP(tbLOG[[#This Row],[LOGIN]],tbMAPA[#All],2,0), "Não localizado")</f>
        <v>Renan Cazumba Tegani</v>
      </c>
      <c r="F3010" s="34" t="str">
        <f>IFERROR(VLOOKUP(tbLOG[[#This Row],[LOGIN]],tbMAPA[#All],3,0), "Não localizado")</f>
        <v>Reginaldo Santana De Souza</v>
      </c>
      <c r="G3010" s="3" t="s">
        <v>1211</v>
      </c>
      <c r="H3010" s="3" t="s">
        <v>309</v>
      </c>
    </row>
    <row r="3011" spans="1:8">
      <c r="A3011" s="29">
        <v>42752.57135416667</v>
      </c>
      <c r="B3011" s="29" t="str">
        <f>PROPER(TEXT(tbLOG[[#This Row],[DATA/HORA]],"mmmm"))</f>
        <v>Janeiro</v>
      </c>
      <c r="C3011" s="34" t="str">
        <f>PROPER(TEXT(tbLOG[[#This Row],[DATA/HORA]],"dddd"))</f>
        <v>Terça-Feira</v>
      </c>
      <c r="D3011" s="3" t="s">
        <v>604</v>
      </c>
      <c r="E3011" s="34" t="str">
        <f>IFERROR(VLOOKUP(tbLOG[[#This Row],[LOGIN]],tbMAPA[#All],2,0), "Não localizado")</f>
        <v>Renan Cazumba Tegani</v>
      </c>
      <c r="F3011" s="34" t="str">
        <f>IFERROR(VLOOKUP(tbLOG[[#This Row],[LOGIN]],tbMAPA[#All],3,0), "Não localizado")</f>
        <v>Reginaldo Santana De Souza</v>
      </c>
      <c r="G3011" s="3" t="s">
        <v>1211</v>
      </c>
      <c r="H3011" s="3" t="s">
        <v>314</v>
      </c>
    </row>
    <row r="3012" spans="1:8">
      <c r="A3012" s="29">
        <v>42752.678067129629</v>
      </c>
      <c r="B3012" s="29" t="str">
        <f>PROPER(TEXT(tbLOG[[#This Row],[DATA/HORA]],"mmmm"))</f>
        <v>Janeiro</v>
      </c>
      <c r="C3012" s="34" t="str">
        <f>PROPER(TEXT(tbLOG[[#This Row],[DATA/HORA]],"dddd"))</f>
        <v>Terça-Feira</v>
      </c>
      <c r="D3012" s="3" t="s">
        <v>604</v>
      </c>
      <c r="E3012" s="34" t="str">
        <f>IFERROR(VLOOKUP(tbLOG[[#This Row],[LOGIN]],tbMAPA[#All],2,0), "Não localizado")</f>
        <v>Renan Cazumba Tegani</v>
      </c>
      <c r="F3012" s="34" t="str">
        <f>IFERROR(VLOOKUP(tbLOG[[#This Row],[LOGIN]],tbMAPA[#All],3,0), "Não localizado")</f>
        <v>Reginaldo Santana De Souza</v>
      </c>
      <c r="G3012" s="3" t="s">
        <v>1211</v>
      </c>
      <c r="H3012" s="3" t="s">
        <v>290</v>
      </c>
    </row>
    <row r="3013" spans="1:8">
      <c r="A3013" s="29">
        <v>42752.678090277775</v>
      </c>
      <c r="B3013" s="29" t="str">
        <f>PROPER(TEXT(tbLOG[[#This Row],[DATA/HORA]],"mmmm"))</f>
        <v>Janeiro</v>
      </c>
      <c r="C3013" s="34" t="str">
        <f>PROPER(TEXT(tbLOG[[#This Row],[DATA/HORA]],"dddd"))</f>
        <v>Terça-Feira</v>
      </c>
      <c r="D3013" s="3" t="s">
        <v>604</v>
      </c>
      <c r="E3013" s="34" t="str">
        <f>IFERROR(VLOOKUP(tbLOG[[#This Row],[LOGIN]],tbMAPA[#All],2,0), "Não localizado")</f>
        <v>Renan Cazumba Tegani</v>
      </c>
      <c r="F3013" s="34" t="str">
        <f>IFERROR(VLOOKUP(tbLOG[[#This Row],[LOGIN]],tbMAPA[#All],3,0), "Não localizado")</f>
        <v>Reginaldo Santana De Souza</v>
      </c>
      <c r="G3013" s="3" t="s">
        <v>1211</v>
      </c>
      <c r="H3013" s="3" t="s">
        <v>291</v>
      </c>
    </row>
    <row r="3014" spans="1:8">
      <c r="A3014" s="29">
        <v>42752.678090277775</v>
      </c>
      <c r="B3014" s="29" t="str">
        <f>PROPER(TEXT(tbLOG[[#This Row],[DATA/HORA]],"mmmm"))</f>
        <v>Janeiro</v>
      </c>
      <c r="C3014" s="34" t="str">
        <f>PROPER(TEXT(tbLOG[[#This Row],[DATA/HORA]],"dddd"))</f>
        <v>Terça-Feira</v>
      </c>
      <c r="D3014" s="3" t="s">
        <v>604</v>
      </c>
      <c r="E3014" s="34" t="str">
        <f>IFERROR(VLOOKUP(tbLOG[[#This Row],[LOGIN]],tbMAPA[#All],2,0), "Não localizado")</f>
        <v>Renan Cazumba Tegani</v>
      </c>
      <c r="F3014" s="34" t="str">
        <f>IFERROR(VLOOKUP(tbLOG[[#This Row],[LOGIN]],tbMAPA[#All],3,0), "Não localizado")</f>
        <v>Reginaldo Santana De Souza</v>
      </c>
      <c r="G3014" s="3" t="s">
        <v>1211</v>
      </c>
      <c r="H3014" s="3" t="s">
        <v>290</v>
      </c>
    </row>
    <row r="3015" spans="1:8">
      <c r="A3015" s="29">
        <v>42752.794988425929</v>
      </c>
      <c r="B3015" s="29" t="str">
        <f>PROPER(TEXT(tbLOG[[#This Row],[DATA/HORA]],"mmmm"))</f>
        <v>Janeiro</v>
      </c>
      <c r="C3015" s="34" t="str">
        <f>PROPER(TEXT(tbLOG[[#This Row],[DATA/HORA]],"dddd"))</f>
        <v>Terça-Feira</v>
      </c>
      <c r="D3015" s="3" t="s">
        <v>324</v>
      </c>
      <c r="E3015" s="34" t="str">
        <f>IFERROR(VLOOKUP(tbLOG[[#This Row],[LOGIN]],tbMAPA[#All],2,0), "Não localizado")</f>
        <v>Caio Eiji Arai</v>
      </c>
      <c r="F3015" s="34" t="str">
        <f>IFERROR(VLOOKUP(tbLOG[[#This Row],[LOGIN]],tbMAPA[#All],3,0), "Não localizado")</f>
        <v>Vinicius Loula De Sousa</v>
      </c>
      <c r="G3015" s="3" t="s">
        <v>999</v>
      </c>
      <c r="H3015" s="3" t="s">
        <v>994</v>
      </c>
    </row>
    <row r="3016" spans="1:8">
      <c r="A3016" s="29">
        <v>42752.796469907407</v>
      </c>
      <c r="B3016" s="29" t="str">
        <f>PROPER(TEXT(tbLOG[[#This Row],[DATA/HORA]],"mmmm"))</f>
        <v>Janeiro</v>
      </c>
      <c r="C3016" s="34" t="str">
        <f>PROPER(TEXT(tbLOG[[#This Row],[DATA/HORA]],"dddd"))</f>
        <v>Terça-Feira</v>
      </c>
      <c r="D3016" s="3" t="s">
        <v>324</v>
      </c>
      <c r="E3016" s="34" t="str">
        <f>IFERROR(VLOOKUP(tbLOG[[#This Row],[LOGIN]],tbMAPA[#All],2,0), "Não localizado")</f>
        <v>Caio Eiji Arai</v>
      </c>
      <c r="F3016" s="34" t="str">
        <f>IFERROR(VLOOKUP(tbLOG[[#This Row],[LOGIN]],tbMAPA[#All],3,0), "Não localizado")</f>
        <v>Vinicius Loula De Sousa</v>
      </c>
      <c r="G3016" s="3" t="s">
        <v>999</v>
      </c>
      <c r="H3016" s="3" t="s">
        <v>836</v>
      </c>
    </row>
    <row r="3017" spans="1:8">
      <c r="A3017" s="29">
        <v>42752.7971875</v>
      </c>
      <c r="B3017" s="29" t="str">
        <f>PROPER(TEXT(tbLOG[[#This Row],[DATA/HORA]],"mmmm"))</f>
        <v>Janeiro</v>
      </c>
      <c r="C3017" s="34" t="str">
        <f>PROPER(TEXT(tbLOG[[#This Row],[DATA/HORA]],"dddd"))</f>
        <v>Terça-Feira</v>
      </c>
      <c r="D3017" s="3" t="s">
        <v>324</v>
      </c>
      <c r="E3017" s="34" t="str">
        <f>IFERROR(VLOOKUP(tbLOG[[#This Row],[LOGIN]],tbMAPA[#All],2,0), "Não localizado")</f>
        <v>Caio Eiji Arai</v>
      </c>
      <c r="F3017" s="34" t="str">
        <f>IFERROR(VLOOKUP(tbLOG[[#This Row],[LOGIN]],tbMAPA[#All],3,0), "Não localizado")</f>
        <v>Vinicius Loula De Sousa</v>
      </c>
      <c r="G3017" s="3" t="s">
        <v>999</v>
      </c>
      <c r="H3017" s="3" t="s">
        <v>836</v>
      </c>
    </row>
    <row r="3018" spans="1:8">
      <c r="A3018" s="29">
        <v>42752.805462962962</v>
      </c>
      <c r="B3018" s="29" t="str">
        <f>PROPER(TEXT(tbLOG[[#This Row],[DATA/HORA]],"mmmm"))</f>
        <v>Janeiro</v>
      </c>
      <c r="C3018" s="34" t="str">
        <f>PROPER(TEXT(tbLOG[[#This Row],[DATA/HORA]],"dddd"))</f>
        <v>Terça-Feira</v>
      </c>
      <c r="D3018" s="3" t="s">
        <v>324</v>
      </c>
      <c r="E3018" s="34" t="str">
        <f>IFERROR(VLOOKUP(tbLOG[[#This Row],[LOGIN]],tbMAPA[#All],2,0), "Não localizado")</f>
        <v>Caio Eiji Arai</v>
      </c>
      <c r="F3018" s="34" t="str">
        <f>IFERROR(VLOOKUP(tbLOG[[#This Row],[LOGIN]],tbMAPA[#All],3,0), "Não localizado")</f>
        <v>Vinicius Loula De Sousa</v>
      </c>
      <c r="G3018" s="3" t="s">
        <v>999</v>
      </c>
      <c r="H3018" s="3" t="s">
        <v>836</v>
      </c>
    </row>
    <row r="3019" spans="1:8">
      <c r="A3019" s="29">
        <v>42752.805486111109</v>
      </c>
      <c r="B3019" s="29" t="str">
        <f>PROPER(TEXT(tbLOG[[#This Row],[DATA/HORA]],"mmmm"))</f>
        <v>Janeiro</v>
      </c>
      <c r="C3019" s="34" t="str">
        <f>PROPER(TEXT(tbLOG[[#This Row],[DATA/HORA]],"dddd"))</f>
        <v>Terça-Feira</v>
      </c>
      <c r="D3019" s="3" t="s">
        <v>324</v>
      </c>
      <c r="E3019" s="34" t="str">
        <f>IFERROR(VLOOKUP(tbLOG[[#This Row],[LOGIN]],tbMAPA[#All],2,0), "Não localizado")</f>
        <v>Caio Eiji Arai</v>
      </c>
      <c r="F3019" s="34" t="str">
        <f>IFERROR(VLOOKUP(tbLOG[[#This Row],[LOGIN]],tbMAPA[#All],3,0), "Não localizado")</f>
        <v>Vinicius Loula De Sousa</v>
      </c>
      <c r="G3019" s="3" t="s">
        <v>999</v>
      </c>
      <c r="H3019" s="3" t="s">
        <v>836</v>
      </c>
    </row>
    <row r="3020" spans="1:8">
      <c r="A3020" s="29">
        <v>42752.806944444441</v>
      </c>
      <c r="B3020" s="29" t="str">
        <f>PROPER(TEXT(tbLOG[[#This Row],[DATA/HORA]],"mmmm"))</f>
        <v>Janeiro</v>
      </c>
      <c r="C3020" s="34" t="str">
        <f>PROPER(TEXT(tbLOG[[#This Row],[DATA/HORA]],"dddd"))</f>
        <v>Terça-Feira</v>
      </c>
      <c r="D3020" s="3" t="s">
        <v>324</v>
      </c>
      <c r="E3020" s="34" t="str">
        <f>IFERROR(VLOOKUP(tbLOG[[#This Row],[LOGIN]],tbMAPA[#All],2,0), "Não localizado")</f>
        <v>Caio Eiji Arai</v>
      </c>
      <c r="F3020" s="34" t="str">
        <f>IFERROR(VLOOKUP(tbLOG[[#This Row],[LOGIN]],tbMAPA[#All],3,0), "Não localizado")</f>
        <v>Vinicius Loula De Sousa</v>
      </c>
      <c r="G3020" s="3" t="s">
        <v>999</v>
      </c>
      <c r="H3020" s="3" t="s">
        <v>836</v>
      </c>
    </row>
    <row r="3021" spans="1:8">
      <c r="A3021" s="29">
        <v>42752.807025462964</v>
      </c>
      <c r="B3021" s="29" t="str">
        <f>PROPER(TEXT(tbLOG[[#This Row],[DATA/HORA]],"mmmm"))</f>
        <v>Janeiro</v>
      </c>
      <c r="C3021" s="34" t="str">
        <f>PROPER(TEXT(tbLOG[[#This Row],[DATA/HORA]],"dddd"))</f>
        <v>Terça-Feira</v>
      </c>
      <c r="D3021" s="3" t="s">
        <v>324</v>
      </c>
      <c r="E3021" s="34" t="str">
        <f>IFERROR(VLOOKUP(tbLOG[[#This Row],[LOGIN]],tbMAPA[#All],2,0), "Não localizado")</f>
        <v>Caio Eiji Arai</v>
      </c>
      <c r="F3021" s="34" t="str">
        <f>IFERROR(VLOOKUP(tbLOG[[#This Row],[LOGIN]],tbMAPA[#All],3,0), "Não localizado")</f>
        <v>Vinicius Loula De Sousa</v>
      </c>
      <c r="G3021" s="3" t="s">
        <v>999</v>
      </c>
      <c r="H3021" s="3" t="s">
        <v>836</v>
      </c>
    </row>
    <row r="3022" spans="1:8">
      <c r="A3022" s="29">
        <v>42752.807106481479</v>
      </c>
      <c r="B3022" s="29" t="str">
        <f>PROPER(TEXT(tbLOG[[#This Row],[DATA/HORA]],"mmmm"))</f>
        <v>Janeiro</v>
      </c>
      <c r="C3022" s="34" t="str">
        <f>PROPER(TEXT(tbLOG[[#This Row],[DATA/HORA]],"dddd"))</f>
        <v>Terça-Feira</v>
      </c>
      <c r="D3022" s="3" t="s">
        <v>324</v>
      </c>
      <c r="E3022" s="34" t="str">
        <f>IFERROR(VLOOKUP(tbLOG[[#This Row],[LOGIN]],tbMAPA[#All],2,0), "Não localizado")</f>
        <v>Caio Eiji Arai</v>
      </c>
      <c r="F3022" s="34" t="str">
        <f>IFERROR(VLOOKUP(tbLOG[[#This Row],[LOGIN]],tbMAPA[#All],3,0), "Não localizado")</f>
        <v>Vinicius Loula De Sousa</v>
      </c>
      <c r="G3022" s="3" t="s">
        <v>999</v>
      </c>
      <c r="H3022" s="3" t="s">
        <v>836</v>
      </c>
    </row>
    <row r="3023" spans="1:8">
      <c r="A3023" s="29">
        <v>42752.807164351849</v>
      </c>
      <c r="B3023" s="29" t="str">
        <f>PROPER(TEXT(tbLOG[[#This Row],[DATA/HORA]],"mmmm"))</f>
        <v>Janeiro</v>
      </c>
      <c r="C3023" s="34" t="str">
        <f>PROPER(TEXT(tbLOG[[#This Row],[DATA/HORA]],"dddd"))</f>
        <v>Terça-Feira</v>
      </c>
      <c r="D3023" s="3" t="s">
        <v>324</v>
      </c>
      <c r="E3023" s="34" t="str">
        <f>IFERROR(VLOOKUP(tbLOG[[#This Row],[LOGIN]],tbMAPA[#All],2,0), "Não localizado")</f>
        <v>Caio Eiji Arai</v>
      </c>
      <c r="F3023" s="34" t="str">
        <f>IFERROR(VLOOKUP(tbLOG[[#This Row],[LOGIN]],tbMAPA[#All],3,0), "Não localizado")</f>
        <v>Vinicius Loula De Sousa</v>
      </c>
      <c r="G3023" s="3" t="s">
        <v>999</v>
      </c>
      <c r="H3023" s="3" t="s">
        <v>836</v>
      </c>
    </row>
    <row r="3024" spans="1:8">
      <c r="A3024" s="29">
        <v>42752.811180555553</v>
      </c>
      <c r="B3024" s="29" t="str">
        <f>PROPER(TEXT(tbLOG[[#This Row],[DATA/HORA]],"mmmm"))</f>
        <v>Janeiro</v>
      </c>
      <c r="C3024" s="34" t="str">
        <f>PROPER(TEXT(tbLOG[[#This Row],[DATA/HORA]],"dddd"))</f>
        <v>Terça-Feira</v>
      </c>
      <c r="D3024" s="3" t="s">
        <v>324</v>
      </c>
      <c r="E3024" s="34" t="str">
        <f>IFERROR(VLOOKUP(tbLOG[[#This Row],[LOGIN]],tbMAPA[#All],2,0), "Não localizado")</f>
        <v>Caio Eiji Arai</v>
      </c>
      <c r="F3024" s="34" t="str">
        <f>IFERROR(VLOOKUP(tbLOG[[#This Row],[LOGIN]],tbMAPA[#All],3,0), "Não localizado")</f>
        <v>Vinicius Loula De Sousa</v>
      </c>
      <c r="G3024" s="3" t="s">
        <v>999</v>
      </c>
      <c r="H3024" s="3" t="s">
        <v>836</v>
      </c>
    </row>
    <row r="3025" spans="1:8">
      <c r="A3025" s="29">
        <v>42752.811261574076</v>
      </c>
      <c r="B3025" s="29" t="str">
        <f>PROPER(TEXT(tbLOG[[#This Row],[DATA/HORA]],"mmmm"))</f>
        <v>Janeiro</v>
      </c>
      <c r="C3025" s="34" t="str">
        <f>PROPER(TEXT(tbLOG[[#This Row],[DATA/HORA]],"dddd"))</f>
        <v>Terça-Feira</v>
      </c>
      <c r="D3025" s="3" t="s">
        <v>324</v>
      </c>
      <c r="E3025" s="34" t="str">
        <f>IFERROR(VLOOKUP(tbLOG[[#This Row],[LOGIN]],tbMAPA[#All],2,0), "Não localizado")</f>
        <v>Caio Eiji Arai</v>
      </c>
      <c r="F3025" s="34" t="str">
        <f>IFERROR(VLOOKUP(tbLOG[[#This Row],[LOGIN]],tbMAPA[#All],3,0), "Não localizado")</f>
        <v>Vinicius Loula De Sousa</v>
      </c>
      <c r="G3025" s="3" t="s">
        <v>999</v>
      </c>
      <c r="H3025" s="3" t="s">
        <v>836</v>
      </c>
    </row>
    <row r="3026" spans="1:8">
      <c r="A3026" s="29">
        <v>42752.818749999999</v>
      </c>
      <c r="B3026" s="29" t="str">
        <f>PROPER(TEXT(tbLOG[[#This Row],[DATA/HORA]],"mmmm"))</f>
        <v>Janeiro</v>
      </c>
      <c r="C3026" s="34" t="str">
        <f>PROPER(TEXT(tbLOG[[#This Row],[DATA/HORA]],"dddd"))</f>
        <v>Terça-Feira</v>
      </c>
      <c r="D3026" s="3" t="s">
        <v>324</v>
      </c>
      <c r="E3026" s="34" t="str">
        <f>IFERROR(VLOOKUP(tbLOG[[#This Row],[LOGIN]],tbMAPA[#All],2,0), "Não localizado")</f>
        <v>Caio Eiji Arai</v>
      </c>
      <c r="F3026" s="34" t="str">
        <f>IFERROR(VLOOKUP(tbLOG[[#This Row],[LOGIN]],tbMAPA[#All],3,0), "Não localizado")</f>
        <v>Vinicius Loula De Sousa</v>
      </c>
      <c r="G3026" s="3" t="s">
        <v>999</v>
      </c>
      <c r="H3026" s="3" t="s">
        <v>836</v>
      </c>
    </row>
    <row r="3027" spans="1:8">
      <c r="A3027" s="29">
        <v>42752.818773148145</v>
      </c>
      <c r="B3027" s="29" t="str">
        <f>PROPER(TEXT(tbLOG[[#This Row],[DATA/HORA]],"mmmm"))</f>
        <v>Janeiro</v>
      </c>
      <c r="C3027" s="34" t="str">
        <f>PROPER(TEXT(tbLOG[[#This Row],[DATA/HORA]],"dddd"))</f>
        <v>Terça-Feira</v>
      </c>
      <c r="D3027" s="3" t="s">
        <v>324</v>
      </c>
      <c r="E3027" s="34" t="str">
        <f>IFERROR(VLOOKUP(tbLOG[[#This Row],[LOGIN]],tbMAPA[#All],2,0), "Não localizado")</f>
        <v>Caio Eiji Arai</v>
      </c>
      <c r="F3027" s="34" t="str">
        <f>IFERROR(VLOOKUP(tbLOG[[#This Row],[LOGIN]],tbMAPA[#All],3,0), "Não localizado")</f>
        <v>Vinicius Loula De Sousa</v>
      </c>
      <c r="G3027" s="3" t="s">
        <v>999</v>
      </c>
      <c r="H3027" s="3" t="s">
        <v>836</v>
      </c>
    </row>
    <row r="3028" spans="1:8">
      <c r="A3028" s="29">
        <v>42752.819965277777</v>
      </c>
      <c r="B3028" s="29" t="str">
        <f>PROPER(TEXT(tbLOG[[#This Row],[DATA/HORA]],"mmmm"))</f>
        <v>Janeiro</v>
      </c>
      <c r="C3028" s="34" t="str">
        <f>PROPER(TEXT(tbLOG[[#This Row],[DATA/HORA]],"dddd"))</f>
        <v>Terça-Feira</v>
      </c>
      <c r="D3028" s="3" t="s">
        <v>324</v>
      </c>
      <c r="E3028" s="34" t="str">
        <f>IFERROR(VLOOKUP(tbLOG[[#This Row],[LOGIN]],tbMAPA[#All],2,0), "Não localizado")</f>
        <v>Caio Eiji Arai</v>
      </c>
      <c r="F3028" s="34" t="str">
        <f>IFERROR(VLOOKUP(tbLOG[[#This Row],[LOGIN]],tbMAPA[#All],3,0), "Não localizado")</f>
        <v>Vinicius Loula De Sousa</v>
      </c>
      <c r="G3028" s="3" t="s">
        <v>999</v>
      </c>
      <c r="H3028" s="3" t="s">
        <v>836</v>
      </c>
    </row>
    <row r="3029" spans="1:8">
      <c r="A3029" s="29">
        <v>42752.823287037034</v>
      </c>
      <c r="B3029" s="29" t="str">
        <f>PROPER(TEXT(tbLOG[[#This Row],[DATA/HORA]],"mmmm"))</f>
        <v>Janeiro</v>
      </c>
      <c r="C3029" s="34" t="str">
        <f>PROPER(TEXT(tbLOG[[#This Row],[DATA/HORA]],"dddd"))</f>
        <v>Terça-Feira</v>
      </c>
      <c r="D3029" s="3" t="s">
        <v>324</v>
      </c>
      <c r="E3029" s="34" t="str">
        <f>IFERROR(VLOOKUP(tbLOG[[#This Row],[LOGIN]],tbMAPA[#All],2,0), "Não localizado")</f>
        <v>Caio Eiji Arai</v>
      </c>
      <c r="F3029" s="34" t="str">
        <f>IFERROR(VLOOKUP(tbLOG[[#This Row],[LOGIN]],tbMAPA[#All],3,0), "Não localizado")</f>
        <v>Vinicius Loula De Sousa</v>
      </c>
      <c r="G3029" s="3" t="s">
        <v>999</v>
      </c>
      <c r="H3029" s="3" t="s">
        <v>836</v>
      </c>
    </row>
    <row r="3030" spans="1:8">
      <c r="A3030" s="29">
        <v>42752.823321759257</v>
      </c>
      <c r="B3030" s="29" t="str">
        <f>PROPER(TEXT(tbLOG[[#This Row],[DATA/HORA]],"mmmm"))</f>
        <v>Janeiro</v>
      </c>
      <c r="C3030" s="34" t="str">
        <f>PROPER(TEXT(tbLOG[[#This Row],[DATA/HORA]],"dddd"))</f>
        <v>Terça-Feira</v>
      </c>
      <c r="D3030" s="3" t="s">
        <v>324</v>
      </c>
      <c r="E3030" s="34" t="str">
        <f>IFERROR(VLOOKUP(tbLOG[[#This Row],[LOGIN]],tbMAPA[#All],2,0), "Não localizado")</f>
        <v>Caio Eiji Arai</v>
      </c>
      <c r="F3030" s="34" t="str">
        <f>IFERROR(VLOOKUP(tbLOG[[#This Row],[LOGIN]],tbMAPA[#All],3,0), "Não localizado")</f>
        <v>Vinicius Loula De Sousa</v>
      </c>
      <c r="G3030" s="3" t="s">
        <v>999</v>
      </c>
      <c r="H3030" s="3" t="s">
        <v>836</v>
      </c>
    </row>
    <row r="3031" spans="1:8">
      <c r="A3031" s="29">
        <v>42752.823425925926</v>
      </c>
      <c r="B3031" s="29" t="str">
        <f>PROPER(TEXT(tbLOG[[#This Row],[DATA/HORA]],"mmmm"))</f>
        <v>Janeiro</v>
      </c>
      <c r="C3031" s="34" t="str">
        <f>PROPER(TEXT(tbLOG[[#This Row],[DATA/HORA]],"dddd"))</f>
        <v>Terça-Feira</v>
      </c>
      <c r="D3031" s="3" t="s">
        <v>324</v>
      </c>
      <c r="E3031" s="34" t="str">
        <f>IFERROR(VLOOKUP(tbLOG[[#This Row],[LOGIN]],tbMAPA[#All],2,0), "Não localizado")</f>
        <v>Caio Eiji Arai</v>
      </c>
      <c r="F3031" s="34" t="str">
        <f>IFERROR(VLOOKUP(tbLOG[[#This Row],[LOGIN]],tbMAPA[#All],3,0), "Não localizado")</f>
        <v>Vinicius Loula De Sousa</v>
      </c>
      <c r="G3031" s="3" t="s">
        <v>999</v>
      </c>
      <c r="H3031" s="3" t="s">
        <v>836</v>
      </c>
    </row>
    <row r="3032" spans="1:8">
      <c r="A3032" s="29">
        <v>42752.824895833335</v>
      </c>
      <c r="B3032" s="29" t="str">
        <f>PROPER(TEXT(tbLOG[[#This Row],[DATA/HORA]],"mmmm"))</f>
        <v>Janeiro</v>
      </c>
      <c r="C3032" s="34" t="str">
        <f>PROPER(TEXT(tbLOG[[#This Row],[DATA/HORA]],"dddd"))</f>
        <v>Terça-Feira</v>
      </c>
      <c r="D3032" s="3" t="s">
        <v>324</v>
      </c>
      <c r="E3032" s="34" t="str">
        <f>IFERROR(VLOOKUP(tbLOG[[#This Row],[LOGIN]],tbMAPA[#All],2,0), "Não localizado")</f>
        <v>Caio Eiji Arai</v>
      </c>
      <c r="F3032" s="34" t="str">
        <f>IFERROR(VLOOKUP(tbLOG[[#This Row],[LOGIN]],tbMAPA[#All],3,0), "Não localizado")</f>
        <v>Vinicius Loula De Sousa</v>
      </c>
      <c r="G3032" s="3" t="s">
        <v>999</v>
      </c>
      <c r="H3032" s="3" t="s">
        <v>836</v>
      </c>
    </row>
    <row r="3033" spans="1:8">
      <c r="A3033" s="29">
        <v>42752.824953703705</v>
      </c>
      <c r="B3033" s="29" t="str">
        <f>PROPER(TEXT(tbLOG[[#This Row],[DATA/HORA]],"mmmm"))</f>
        <v>Janeiro</v>
      </c>
      <c r="C3033" s="34" t="str">
        <f>PROPER(TEXT(tbLOG[[#This Row],[DATA/HORA]],"dddd"))</f>
        <v>Terça-Feira</v>
      </c>
      <c r="D3033" s="3" t="s">
        <v>324</v>
      </c>
      <c r="E3033" s="34" t="str">
        <f>IFERROR(VLOOKUP(tbLOG[[#This Row],[LOGIN]],tbMAPA[#All],2,0), "Não localizado")</f>
        <v>Caio Eiji Arai</v>
      </c>
      <c r="F3033" s="34" t="str">
        <f>IFERROR(VLOOKUP(tbLOG[[#This Row],[LOGIN]],tbMAPA[#All],3,0), "Não localizado")</f>
        <v>Vinicius Loula De Sousa</v>
      </c>
      <c r="G3033" s="3" t="s">
        <v>999</v>
      </c>
      <c r="H3033" s="3" t="s">
        <v>836</v>
      </c>
    </row>
    <row r="3034" spans="1:8">
      <c r="A3034" s="29">
        <v>42752.824965277781</v>
      </c>
      <c r="B3034" s="29" t="str">
        <f>PROPER(TEXT(tbLOG[[#This Row],[DATA/HORA]],"mmmm"))</f>
        <v>Janeiro</v>
      </c>
      <c r="C3034" s="34" t="str">
        <f>PROPER(TEXT(tbLOG[[#This Row],[DATA/HORA]],"dddd"))</f>
        <v>Terça-Feira</v>
      </c>
      <c r="D3034" s="3" t="s">
        <v>324</v>
      </c>
      <c r="E3034" s="34" t="str">
        <f>IFERROR(VLOOKUP(tbLOG[[#This Row],[LOGIN]],tbMAPA[#All],2,0), "Não localizado")</f>
        <v>Caio Eiji Arai</v>
      </c>
      <c r="F3034" s="34" t="str">
        <f>IFERROR(VLOOKUP(tbLOG[[#This Row],[LOGIN]],tbMAPA[#All],3,0), "Não localizado")</f>
        <v>Vinicius Loula De Sousa</v>
      </c>
      <c r="G3034" s="3" t="s">
        <v>999</v>
      </c>
      <c r="H3034" s="3" t="s">
        <v>836</v>
      </c>
    </row>
    <row r="3035" spans="1:8">
      <c r="A3035" s="29">
        <v>42752.825092592589</v>
      </c>
      <c r="B3035" s="29" t="str">
        <f>PROPER(TEXT(tbLOG[[#This Row],[DATA/HORA]],"mmmm"))</f>
        <v>Janeiro</v>
      </c>
      <c r="C3035" s="34" t="str">
        <f>PROPER(TEXT(tbLOG[[#This Row],[DATA/HORA]],"dddd"))</f>
        <v>Terça-Feira</v>
      </c>
      <c r="D3035" s="3" t="s">
        <v>324</v>
      </c>
      <c r="E3035" s="34" t="str">
        <f>IFERROR(VLOOKUP(tbLOG[[#This Row],[LOGIN]],tbMAPA[#All],2,0), "Não localizado")</f>
        <v>Caio Eiji Arai</v>
      </c>
      <c r="F3035" s="34" t="str">
        <f>IFERROR(VLOOKUP(tbLOG[[#This Row],[LOGIN]],tbMAPA[#All],3,0), "Não localizado")</f>
        <v>Vinicius Loula De Sousa</v>
      </c>
      <c r="G3035" s="3" t="s">
        <v>999</v>
      </c>
      <c r="H3035" s="3" t="s">
        <v>836</v>
      </c>
    </row>
    <row r="3036" spans="1:8">
      <c r="A3036" s="29">
        <v>42752.825729166667</v>
      </c>
      <c r="B3036" s="29" t="str">
        <f>PROPER(TEXT(tbLOG[[#This Row],[DATA/HORA]],"mmmm"))</f>
        <v>Janeiro</v>
      </c>
      <c r="C3036" s="34" t="str">
        <f>PROPER(TEXT(tbLOG[[#This Row],[DATA/HORA]],"dddd"))</f>
        <v>Terça-Feira</v>
      </c>
      <c r="D3036" s="3" t="s">
        <v>324</v>
      </c>
      <c r="E3036" s="34" t="str">
        <f>IFERROR(VLOOKUP(tbLOG[[#This Row],[LOGIN]],tbMAPA[#All],2,0), "Não localizado")</f>
        <v>Caio Eiji Arai</v>
      </c>
      <c r="F3036" s="34" t="str">
        <f>IFERROR(VLOOKUP(tbLOG[[#This Row],[LOGIN]],tbMAPA[#All],3,0), "Não localizado")</f>
        <v>Vinicius Loula De Sousa</v>
      </c>
      <c r="G3036" s="3" t="s">
        <v>999</v>
      </c>
      <c r="H3036" s="3" t="s">
        <v>290</v>
      </c>
    </row>
    <row r="3037" spans="1:8">
      <c r="A3037" s="29">
        <v>42752.833634259259</v>
      </c>
      <c r="B3037" s="29" t="str">
        <f>PROPER(TEXT(tbLOG[[#This Row],[DATA/HORA]],"mmmm"))</f>
        <v>Janeiro</v>
      </c>
      <c r="C3037" s="34" t="str">
        <f>PROPER(TEXT(tbLOG[[#This Row],[DATA/HORA]],"dddd"))</f>
        <v>Terça-Feira</v>
      </c>
      <c r="D3037" s="3" t="s">
        <v>324</v>
      </c>
      <c r="E3037" s="34" t="str">
        <f>IFERROR(VLOOKUP(tbLOG[[#This Row],[LOGIN]],tbMAPA[#All],2,0), "Não localizado")</f>
        <v>Caio Eiji Arai</v>
      </c>
      <c r="F3037" s="34" t="str">
        <f>IFERROR(VLOOKUP(tbLOG[[#This Row],[LOGIN]],tbMAPA[#All],3,0), "Não localizado")</f>
        <v>Vinicius Loula De Sousa</v>
      </c>
      <c r="G3037" s="3" t="s">
        <v>999</v>
      </c>
      <c r="H3037" s="3" t="s">
        <v>836</v>
      </c>
    </row>
    <row r="3038" spans="1:8">
      <c r="A3038" s="29">
        <v>42752.833680555559</v>
      </c>
      <c r="B3038" s="29" t="str">
        <f>PROPER(TEXT(tbLOG[[#This Row],[DATA/HORA]],"mmmm"))</f>
        <v>Janeiro</v>
      </c>
      <c r="C3038" s="34" t="str">
        <f>PROPER(TEXT(tbLOG[[#This Row],[DATA/HORA]],"dddd"))</f>
        <v>Terça-Feira</v>
      </c>
      <c r="D3038" s="3" t="s">
        <v>324</v>
      </c>
      <c r="E3038" s="34" t="str">
        <f>IFERROR(VLOOKUP(tbLOG[[#This Row],[LOGIN]],tbMAPA[#All],2,0), "Não localizado")</f>
        <v>Caio Eiji Arai</v>
      </c>
      <c r="F3038" s="34" t="str">
        <f>IFERROR(VLOOKUP(tbLOG[[#This Row],[LOGIN]],tbMAPA[#All],3,0), "Não localizado")</f>
        <v>Vinicius Loula De Sousa</v>
      </c>
      <c r="G3038" s="3" t="s">
        <v>999</v>
      </c>
      <c r="H3038" s="3" t="s">
        <v>836</v>
      </c>
    </row>
    <row r="3039" spans="1:8">
      <c r="A3039" s="29">
        <v>42752.833773148152</v>
      </c>
      <c r="B3039" s="29" t="str">
        <f>PROPER(TEXT(tbLOG[[#This Row],[DATA/HORA]],"mmmm"))</f>
        <v>Janeiro</v>
      </c>
      <c r="C3039" s="34" t="str">
        <f>PROPER(TEXT(tbLOG[[#This Row],[DATA/HORA]],"dddd"))</f>
        <v>Terça-Feira</v>
      </c>
      <c r="D3039" s="3" t="s">
        <v>324</v>
      </c>
      <c r="E3039" s="34" t="str">
        <f>IFERROR(VLOOKUP(tbLOG[[#This Row],[LOGIN]],tbMAPA[#All],2,0), "Não localizado")</f>
        <v>Caio Eiji Arai</v>
      </c>
      <c r="F3039" s="34" t="str">
        <f>IFERROR(VLOOKUP(tbLOG[[#This Row],[LOGIN]],tbMAPA[#All],3,0), "Não localizado")</f>
        <v>Vinicius Loula De Sousa</v>
      </c>
      <c r="G3039" s="3" t="s">
        <v>999</v>
      </c>
      <c r="H3039" s="3" t="s">
        <v>836</v>
      </c>
    </row>
    <row r="3040" spans="1:8">
      <c r="A3040" s="29">
        <v>42752.844756944447</v>
      </c>
      <c r="B3040" s="29" t="str">
        <f>PROPER(TEXT(tbLOG[[#This Row],[DATA/HORA]],"mmmm"))</f>
        <v>Janeiro</v>
      </c>
      <c r="C3040" s="34" t="str">
        <f>PROPER(TEXT(tbLOG[[#This Row],[DATA/HORA]],"dddd"))</f>
        <v>Terça-Feira</v>
      </c>
      <c r="D3040" s="3" t="s">
        <v>324</v>
      </c>
      <c r="E3040" s="34" t="str">
        <f>IFERROR(VLOOKUP(tbLOG[[#This Row],[LOGIN]],tbMAPA[#All],2,0), "Não localizado")</f>
        <v>Caio Eiji Arai</v>
      </c>
      <c r="F3040" s="34" t="str">
        <f>IFERROR(VLOOKUP(tbLOG[[#This Row],[LOGIN]],tbMAPA[#All],3,0), "Não localizado")</f>
        <v>Vinicius Loula De Sousa</v>
      </c>
      <c r="G3040" s="3" t="s">
        <v>999</v>
      </c>
      <c r="H3040" s="3" t="s">
        <v>836</v>
      </c>
    </row>
    <row r="3041" spans="1:8">
      <c r="A3041" s="29">
        <v>42752.844780092593</v>
      </c>
      <c r="B3041" s="29" t="str">
        <f>PROPER(TEXT(tbLOG[[#This Row],[DATA/HORA]],"mmmm"))</f>
        <v>Janeiro</v>
      </c>
      <c r="C3041" s="34" t="str">
        <f>PROPER(TEXT(tbLOG[[#This Row],[DATA/HORA]],"dddd"))</f>
        <v>Terça-Feira</v>
      </c>
      <c r="D3041" s="3" t="s">
        <v>324</v>
      </c>
      <c r="E3041" s="34" t="str">
        <f>IFERROR(VLOOKUP(tbLOG[[#This Row],[LOGIN]],tbMAPA[#All],2,0), "Não localizado")</f>
        <v>Caio Eiji Arai</v>
      </c>
      <c r="F3041" s="34" t="str">
        <f>IFERROR(VLOOKUP(tbLOG[[#This Row],[LOGIN]],tbMAPA[#All],3,0), "Não localizado")</f>
        <v>Vinicius Loula De Sousa</v>
      </c>
      <c r="G3041" s="3" t="s">
        <v>999</v>
      </c>
      <c r="H3041" s="3" t="s">
        <v>836</v>
      </c>
    </row>
    <row r="3042" spans="1:8">
      <c r="A3042" s="29">
        <v>42752.844895833332</v>
      </c>
      <c r="B3042" s="29" t="str">
        <f>PROPER(TEXT(tbLOG[[#This Row],[DATA/HORA]],"mmmm"))</f>
        <v>Janeiro</v>
      </c>
      <c r="C3042" s="34" t="str">
        <f>PROPER(TEXT(tbLOG[[#This Row],[DATA/HORA]],"dddd"))</f>
        <v>Terça-Feira</v>
      </c>
      <c r="D3042" s="3" t="s">
        <v>324</v>
      </c>
      <c r="E3042" s="34" t="str">
        <f>IFERROR(VLOOKUP(tbLOG[[#This Row],[LOGIN]],tbMAPA[#All],2,0), "Não localizado")</f>
        <v>Caio Eiji Arai</v>
      </c>
      <c r="F3042" s="34" t="str">
        <f>IFERROR(VLOOKUP(tbLOG[[#This Row],[LOGIN]],tbMAPA[#All],3,0), "Não localizado")</f>
        <v>Vinicius Loula De Sousa</v>
      </c>
      <c r="G3042" s="3" t="s">
        <v>999</v>
      </c>
      <c r="H3042" s="3" t="s">
        <v>836</v>
      </c>
    </row>
    <row r="3043" spans="1:8">
      <c r="A3043" s="29">
        <v>42752.852326388886</v>
      </c>
      <c r="B3043" s="29" t="str">
        <f>PROPER(TEXT(tbLOG[[#This Row],[DATA/HORA]],"mmmm"))</f>
        <v>Janeiro</v>
      </c>
      <c r="C3043" s="34" t="str">
        <f>PROPER(TEXT(tbLOG[[#This Row],[DATA/HORA]],"dddd"))</f>
        <v>Terça-Feira</v>
      </c>
      <c r="D3043" s="3" t="s">
        <v>324</v>
      </c>
      <c r="E3043" s="34" t="str">
        <f>IFERROR(VLOOKUP(tbLOG[[#This Row],[LOGIN]],tbMAPA[#All],2,0), "Não localizado")</f>
        <v>Caio Eiji Arai</v>
      </c>
      <c r="F3043" s="34" t="str">
        <f>IFERROR(VLOOKUP(tbLOG[[#This Row],[LOGIN]],tbMAPA[#All],3,0), "Não localizado")</f>
        <v>Vinicius Loula De Sousa</v>
      </c>
      <c r="G3043" s="3" t="s">
        <v>999</v>
      </c>
      <c r="H3043" s="3" t="s">
        <v>836</v>
      </c>
    </row>
    <row r="3044" spans="1:8">
      <c r="A3044" s="29">
        <v>42752.852407407408</v>
      </c>
      <c r="B3044" s="29" t="str">
        <f>PROPER(TEXT(tbLOG[[#This Row],[DATA/HORA]],"mmmm"))</f>
        <v>Janeiro</v>
      </c>
      <c r="C3044" s="34" t="str">
        <f>PROPER(TEXT(tbLOG[[#This Row],[DATA/HORA]],"dddd"))</f>
        <v>Terça-Feira</v>
      </c>
      <c r="D3044" s="3" t="s">
        <v>324</v>
      </c>
      <c r="E3044" s="34" t="str">
        <f>IFERROR(VLOOKUP(tbLOG[[#This Row],[LOGIN]],tbMAPA[#All],2,0), "Não localizado")</f>
        <v>Caio Eiji Arai</v>
      </c>
      <c r="F3044" s="34" t="str">
        <f>IFERROR(VLOOKUP(tbLOG[[#This Row],[LOGIN]],tbMAPA[#All],3,0), "Não localizado")</f>
        <v>Vinicius Loula De Sousa</v>
      </c>
      <c r="G3044" s="3" t="s">
        <v>999</v>
      </c>
      <c r="H3044" s="3" t="s">
        <v>836</v>
      </c>
    </row>
    <row r="3045" spans="1:8">
      <c r="A3045" s="29">
        <v>42752.853194444448</v>
      </c>
      <c r="B3045" s="29" t="str">
        <f>PROPER(TEXT(tbLOG[[#This Row],[DATA/HORA]],"mmmm"))</f>
        <v>Janeiro</v>
      </c>
      <c r="C3045" s="34" t="str">
        <f>PROPER(TEXT(tbLOG[[#This Row],[DATA/HORA]],"dddd"))</f>
        <v>Terça-Feira</v>
      </c>
      <c r="D3045" s="3" t="s">
        <v>324</v>
      </c>
      <c r="E3045" s="34" t="str">
        <f>IFERROR(VLOOKUP(tbLOG[[#This Row],[LOGIN]],tbMAPA[#All],2,0), "Não localizado")</f>
        <v>Caio Eiji Arai</v>
      </c>
      <c r="F3045" s="34" t="str">
        <f>IFERROR(VLOOKUP(tbLOG[[#This Row],[LOGIN]],tbMAPA[#All],3,0), "Não localizado")</f>
        <v>Vinicius Loula De Sousa</v>
      </c>
      <c r="G3045" s="3" t="s">
        <v>999</v>
      </c>
      <c r="H3045" s="3" t="s">
        <v>836</v>
      </c>
    </row>
    <row r="3046" spans="1:8">
      <c r="A3046" s="29">
        <v>42752.853333333333</v>
      </c>
      <c r="B3046" s="29" t="str">
        <f>PROPER(TEXT(tbLOG[[#This Row],[DATA/HORA]],"mmmm"))</f>
        <v>Janeiro</v>
      </c>
      <c r="C3046" s="34" t="str">
        <f>PROPER(TEXT(tbLOG[[#This Row],[DATA/HORA]],"dddd"))</f>
        <v>Terça-Feira</v>
      </c>
      <c r="D3046" s="3" t="s">
        <v>324</v>
      </c>
      <c r="E3046" s="34" t="str">
        <f>IFERROR(VLOOKUP(tbLOG[[#This Row],[LOGIN]],tbMAPA[#All],2,0), "Não localizado")</f>
        <v>Caio Eiji Arai</v>
      </c>
      <c r="F3046" s="34" t="str">
        <f>IFERROR(VLOOKUP(tbLOG[[#This Row],[LOGIN]],tbMAPA[#All],3,0), "Não localizado")</f>
        <v>Vinicius Loula De Sousa</v>
      </c>
      <c r="G3046" s="3" t="s">
        <v>999</v>
      </c>
      <c r="H3046" s="3" t="s">
        <v>836</v>
      </c>
    </row>
    <row r="3047" spans="1:8">
      <c r="A3047" s="29">
        <v>42752.853402777779</v>
      </c>
      <c r="B3047" s="29" t="str">
        <f>PROPER(TEXT(tbLOG[[#This Row],[DATA/HORA]],"mmmm"))</f>
        <v>Janeiro</v>
      </c>
      <c r="C3047" s="34" t="str">
        <f>PROPER(TEXT(tbLOG[[#This Row],[DATA/HORA]],"dddd"))</f>
        <v>Terça-Feira</v>
      </c>
      <c r="D3047" s="3" t="s">
        <v>324</v>
      </c>
      <c r="E3047" s="34" t="str">
        <f>IFERROR(VLOOKUP(tbLOG[[#This Row],[LOGIN]],tbMAPA[#All],2,0), "Não localizado")</f>
        <v>Caio Eiji Arai</v>
      </c>
      <c r="F3047" s="34" t="str">
        <f>IFERROR(VLOOKUP(tbLOG[[#This Row],[LOGIN]],tbMAPA[#All],3,0), "Não localizado")</f>
        <v>Vinicius Loula De Sousa</v>
      </c>
      <c r="G3047" s="3" t="s">
        <v>999</v>
      </c>
      <c r="H3047" s="3" t="s">
        <v>290</v>
      </c>
    </row>
    <row r="3048" spans="1:8">
      <c r="A3048" s="29">
        <v>42752.85460648148</v>
      </c>
      <c r="B3048" s="29" t="str">
        <f>PROPER(TEXT(tbLOG[[#This Row],[DATA/HORA]],"mmmm"))</f>
        <v>Janeiro</v>
      </c>
      <c r="C3048" s="34" t="str">
        <f>PROPER(TEXT(tbLOG[[#This Row],[DATA/HORA]],"dddd"))</f>
        <v>Terça-Feira</v>
      </c>
      <c r="D3048" s="3" t="s">
        <v>324</v>
      </c>
      <c r="E3048" s="34" t="str">
        <f>IFERROR(VLOOKUP(tbLOG[[#This Row],[LOGIN]],tbMAPA[#All],2,0), "Não localizado")</f>
        <v>Caio Eiji Arai</v>
      </c>
      <c r="F3048" s="34" t="str">
        <f>IFERROR(VLOOKUP(tbLOG[[#This Row],[LOGIN]],tbMAPA[#All],3,0), "Não localizado")</f>
        <v>Vinicius Loula De Sousa</v>
      </c>
      <c r="G3048" s="3" t="s">
        <v>999</v>
      </c>
      <c r="H3048" s="3" t="s">
        <v>836</v>
      </c>
    </row>
    <row r="3049" spans="1:8">
      <c r="A3049" s="29">
        <v>42752.85460648148</v>
      </c>
      <c r="B3049" s="29" t="str">
        <f>PROPER(TEXT(tbLOG[[#This Row],[DATA/HORA]],"mmmm"))</f>
        <v>Janeiro</v>
      </c>
      <c r="C3049" s="34" t="str">
        <f>PROPER(TEXT(tbLOG[[#This Row],[DATA/HORA]],"dddd"))</f>
        <v>Terça-Feira</v>
      </c>
      <c r="D3049" s="3" t="s">
        <v>324</v>
      </c>
      <c r="E3049" s="34" t="str">
        <f>IFERROR(VLOOKUP(tbLOG[[#This Row],[LOGIN]],tbMAPA[#All],2,0), "Não localizado")</f>
        <v>Caio Eiji Arai</v>
      </c>
      <c r="F3049" s="34" t="str">
        <f>IFERROR(VLOOKUP(tbLOG[[#This Row],[LOGIN]],tbMAPA[#All],3,0), "Não localizado")</f>
        <v>Vinicius Loula De Sousa</v>
      </c>
      <c r="G3049" s="3" t="s">
        <v>999</v>
      </c>
      <c r="H3049" s="3" t="s">
        <v>836</v>
      </c>
    </row>
    <row r="3050" spans="1:8">
      <c r="A3050" s="29">
        <v>42752.85465277778</v>
      </c>
      <c r="B3050" s="29" t="str">
        <f>PROPER(TEXT(tbLOG[[#This Row],[DATA/HORA]],"mmmm"))</f>
        <v>Janeiro</v>
      </c>
      <c r="C3050" s="34" t="str">
        <f>PROPER(TEXT(tbLOG[[#This Row],[DATA/HORA]],"dddd"))</f>
        <v>Terça-Feira</v>
      </c>
      <c r="D3050" s="3" t="s">
        <v>324</v>
      </c>
      <c r="E3050" s="34" t="str">
        <f>IFERROR(VLOOKUP(tbLOG[[#This Row],[LOGIN]],tbMAPA[#All],2,0), "Não localizado")</f>
        <v>Caio Eiji Arai</v>
      </c>
      <c r="F3050" s="34" t="str">
        <f>IFERROR(VLOOKUP(tbLOG[[#This Row],[LOGIN]],tbMAPA[#All],3,0), "Não localizado")</f>
        <v>Vinicius Loula De Sousa</v>
      </c>
      <c r="G3050" s="3" t="s">
        <v>999</v>
      </c>
      <c r="H3050" s="3" t="s">
        <v>836</v>
      </c>
    </row>
    <row r="3051" spans="1:8">
      <c r="A3051" s="29">
        <v>42752.854722222219</v>
      </c>
      <c r="B3051" s="29" t="str">
        <f>PROPER(TEXT(tbLOG[[#This Row],[DATA/HORA]],"mmmm"))</f>
        <v>Janeiro</v>
      </c>
      <c r="C3051" s="34" t="str">
        <f>PROPER(TEXT(tbLOG[[#This Row],[DATA/HORA]],"dddd"))</f>
        <v>Terça-Feira</v>
      </c>
      <c r="D3051" s="3" t="s">
        <v>324</v>
      </c>
      <c r="E3051" s="34" t="str">
        <f>IFERROR(VLOOKUP(tbLOG[[#This Row],[LOGIN]],tbMAPA[#All],2,0), "Não localizado")</f>
        <v>Caio Eiji Arai</v>
      </c>
      <c r="F3051" s="34" t="str">
        <f>IFERROR(VLOOKUP(tbLOG[[#This Row],[LOGIN]],tbMAPA[#All],3,0), "Não localizado")</f>
        <v>Vinicius Loula De Sousa</v>
      </c>
      <c r="G3051" s="3" t="s">
        <v>999</v>
      </c>
      <c r="H3051" s="3" t="s">
        <v>836</v>
      </c>
    </row>
    <row r="3052" spans="1:8">
      <c r="A3052" s="29">
        <v>42752.854733796295</v>
      </c>
      <c r="B3052" s="29" t="str">
        <f>PROPER(TEXT(tbLOG[[#This Row],[DATA/HORA]],"mmmm"))</f>
        <v>Janeiro</v>
      </c>
      <c r="C3052" s="34" t="str">
        <f>PROPER(TEXT(tbLOG[[#This Row],[DATA/HORA]],"dddd"))</f>
        <v>Terça-Feira</v>
      </c>
      <c r="D3052" s="3" t="s">
        <v>324</v>
      </c>
      <c r="E3052" s="34" t="str">
        <f>IFERROR(VLOOKUP(tbLOG[[#This Row],[LOGIN]],tbMAPA[#All],2,0), "Não localizado")</f>
        <v>Caio Eiji Arai</v>
      </c>
      <c r="F3052" s="34" t="str">
        <f>IFERROR(VLOOKUP(tbLOG[[#This Row],[LOGIN]],tbMAPA[#All],3,0), "Não localizado")</f>
        <v>Vinicius Loula De Sousa</v>
      </c>
      <c r="G3052" s="3" t="s">
        <v>999</v>
      </c>
      <c r="H3052" s="3" t="s">
        <v>836</v>
      </c>
    </row>
    <row r="3053" spans="1:8">
      <c r="A3053" s="29">
        <v>42752.854768518519</v>
      </c>
      <c r="B3053" s="29" t="str">
        <f>PROPER(TEXT(tbLOG[[#This Row],[DATA/HORA]],"mmmm"))</f>
        <v>Janeiro</v>
      </c>
      <c r="C3053" s="34" t="str">
        <f>PROPER(TEXT(tbLOG[[#This Row],[DATA/HORA]],"dddd"))</f>
        <v>Terça-Feira</v>
      </c>
      <c r="D3053" s="3" t="s">
        <v>324</v>
      </c>
      <c r="E3053" s="34" t="str">
        <f>IFERROR(VLOOKUP(tbLOG[[#This Row],[LOGIN]],tbMAPA[#All],2,0), "Não localizado")</f>
        <v>Caio Eiji Arai</v>
      </c>
      <c r="F3053" s="34" t="str">
        <f>IFERROR(VLOOKUP(tbLOG[[#This Row],[LOGIN]],tbMAPA[#All],3,0), "Não localizado")</f>
        <v>Vinicius Loula De Sousa</v>
      </c>
      <c r="G3053" s="3" t="s">
        <v>999</v>
      </c>
      <c r="H3053" s="3" t="s">
        <v>836</v>
      </c>
    </row>
    <row r="3054" spans="1:8">
      <c r="A3054" s="29">
        <v>42752.860532407409</v>
      </c>
      <c r="B3054" s="29" t="str">
        <f>PROPER(TEXT(tbLOG[[#This Row],[DATA/HORA]],"mmmm"))</f>
        <v>Janeiro</v>
      </c>
      <c r="C3054" s="34" t="str">
        <f>PROPER(TEXT(tbLOG[[#This Row],[DATA/HORA]],"dddd"))</f>
        <v>Terça-Feira</v>
      </c>
      <c r="D3054" s="3" t="s">
        <v>324</v>
      </c>
      <c r="E3054" s="34" t="str">
        <f>IFERROR(VLOOKUP(tbLOG[[#This Row],[LOGIN]],tbMAPA[#All],2,0), "Não localizado")</f>
        <v>Caio Eiji Arai</v>
      </c>
      <c r="F3054" s="34" t="str">
        <f>IFERROR(VLOOKUP(tbLOG[[#This Row],[LOGIN]],tbMAPA[#All],3,0), "Não localizado")</f>
        <v>Vinicius Loula De Sousa</v>
      </c>
      <c r="G3054" s="3" t="s">
        <v>999</v>
      </c>
      <c r="H3054" s="3" t="s">
        <v>836</v>
      </c>
    </row>
    <row r="3055" spans="1:8">
      <c r="A3055" s="29">
        <v>42752.860590277778</v>
      </c>
      <c r="B3055" s="29" t="str">
        <f>PROPER(TEXT(tbLOG[[#This Row],[DATA/HORA]],"mmmm"))</f>
        <v>Janeiro</v>
      </c>
      <c r="C3055" s="34" t="str">
        <f>PROPER(TEXT(tbLOG[[#This Row],[DATA/HORA]],"dddd"))</f>
        <v>Terça-Feira</v>
      </c>
      <c r="D3055" s="3" t="s">
        <v>324</v>
      </c>
      <c r="E3055" s="34" t="str">
        <f>IFERROR(VLOOKUP(tbLOG[[#This Row],[LOGIN]],tbMAPA[#All],2,0), "Não localizado")</f>
        <v>Caio Eiji Arai</v>
      </c>
      <c r="F3055" s="34" t="str">
        <f>IFERROR(VLOOKUP(tbLOG[[#This Row],[LOGIN]],tbMAPA[#All],3,0), "Não localizado")</f>
        <v>Vinicius Loula De Sousa</v>
      </c>
      <c r="G3055" s="3" t="s">
        <v>999</v>
      </c>
      <c r="H3055" s="3" t="s">
        <v>836</v>
      </c>
    </row>
    <row r="3056" spans="1:8">
      <c r="A3056" s="29">
        <v>42752.865995370368</v>
      </c>
      <c r="B3056" s="29" t="str">
        <f>PROPER(TEXT(tbLOG[[#This Row],[DATA/HORA]],"mmmm"))</f>
        <v>Janeiro</v>
      </c>
      <c r="C3056" s="34" t="str">
        <f>PROPER(TEXT(tbLOG[[#This Row],[DATA/HORA]],"dddd"))</f>
        <v>Terça-Feira</v>
      </c>
      <c r="D3056" s="3" t="s">
        <v>324</v>
      </c>
      <c r="E3056" s="34" t="str">
        <f>IFERROR(VLOOKUP(tbLOG[[#This Row],[LOGIN]],tbMAPA[#All],2,0), "Não localizado")</f>
        <v>Caio Eiji Arai</v>
      </c>
      <c r="F3056" s="34" t="str">
        <f>IFERROR(VLOOKUP(tbLOG[[#This Row],[LOGIN]],tbMAPA[#All],3,0), "Não localizado")</f>
        <v>Vinicius Loula De Sousa</v>
      </c>
      <c r="G3056" s="3" t="s">
        <v>999</v>
      </c>
      <c r="H3056" s="3" t="s">
        <v>836</v>
      </c>
    </row>
    <row r="3057" spans="1:8">
      <c r="A3057" s="29">
        <v>42752.866111111114</v>
      </c>
      <c r="B3057" s="29" t="str">
        <f>PROPER(TEXT(tbLOG[[#This Row],[DATA/HORA]],"mmmm"))</f>
        <v>Janeiro</v>
      </c>
      <c r="C3057" s="34" t="str">
        <f>PROPER(TEXT(tbLOG[[#This Row],[DATA/HORA]],"dddd"))</f>
        <v>Terça-Feira</v>
      </c>
      <c r="D3057" s="3" t="s">
        <v>324</v>
      </c>
      <c r="E3057" s="34" t="str">
        <f>IFERROR(VLOOKUP(tbLOG[[#This Row],[LOGIN]],tbMAPA[#All],2,0), "Não localizado")</f>
        <v>Caio Eiji Arai</v>
      </c>
      <c r="F3057" s="34" t="str">
        <f>IFERROR(VLOOKUP(tbLOG[[#This Row],[LOGIN]],tbMAPA[#All],3,0), "Não localizado")</f>
        <v>Vinicius Loula De Sousa</v>
      </c>
      <c r="G3057" s="3" t="s">
        <v>999</v>
      </c>
      <c r="H3057" s="3" t="s">
        <v>836</v>
      </c>
    </row>
    <row r="3058" spans="1:8">
      <c r="A3058" s="29">
        <v>42752.866168981483</v>
      </c>
      <c r="B3058" s="29" t="str">
        <f>PROPER(TEXT(tbLOG[[#This Row],[DATA/HORA]],"mmmm"))</f>
        <v>Janeiro</v>
      </c>
      <c r="C3058" s="34" t="str">
        <f>PROPER(TEXT(tbLOG[[#This Row],[DATA/HORA]],"dddd"))</f>
        <v>Terça-Feira</v>
      </c>
      <c r="D3058" s="3" t="s">
        <v>324</v>
      </c>
      <c r="E3058" s="34" t="str">
        <f>IFERROR(VLOOKUP(tbLOG[[#This Row],[LOGIN]],tbMAPA[#All],2,0), "Não localizado")</f>
        <v>Caio Eiji Arai</v>
      </c>
      <c r="F3058" s="34" t="str">
        <f>IFERROR(VLOOKUP(tbLOG[[#This Row],[LOGIN]],tbMAPA[#All],3,0), "Não localizado")</f>
        <v>Vinicius Loula De Sousa</v>
      </c>
      <c r="G3058" s="3" t="s">
        <v>999</v>
      </c>
      <c r="H3058" s="3" t="s">
        <v>836</v>
      </c>
    </row>
    <row r="3059" spans="1:8">
      <c r="A3059" s="29">
        <v>42752.871979166666</v>
      </c>
      <c r="B3059" s="29" t="str">
        <f>PROPER(TEXT(tbLOG[[#This Row],[DATA/HORA]],"mmmm"))</f>
        <v>Janeiro</v>
      </c>
      <c r="C3059" s="34" t="str">
        <f>PROPER(TEXT(tbLOG[[#This Row],[DATA/HORA]],"dddd"))</f>
        <v>Terça-Feira</v>
      </c>
      <c r="D3059" s="3" t="s">
        <v>324</v>
      </c>
      <c r="E3059" s="34" t="str">
        <f>IFERROR(VLOOKUP(tbLOG[[#This Row],[LOGIN]],tbMAPA[#All],2,0), "Não localizado")</f>
        <v>Caio Eiji Arai</v>
      </c>
      <c r="F3059" s="34" t="str">
        <f>IFERROR(VLOOKUP(tbLOG[[#This Row],[LOGIN]],tbMAPA[#All],3,0), "Não localizado")</f>
        <v>Vinicius Loula De Sousa</v>
      </c>
      <c r="G3059" s="3" t="s">
        <v>999</v>
      </c>
      <c r="H3059" s="3" t="s">
        <v>290</v>
      </c>
    </row>
    <row r="3060" spans="1:8">
      <c r="A3060" s="29">
        <v>42752.872025462966</v>
      </c>
      <c r="B3060" s="29" t="str">
        <f>PROPER(TEXT(tbLOG[[#This Row],[DATA/HORA]],"mmmm"))</f>
        <v>Janeiro</v>
      </c>
      <c r="C3060" s="34" t="str">
        <f>PROPER(TEXT(tbLOG[[#This Row],[DATA/HORA]],"dddd"))</f>
        <v>Terça-Feira</v>
      </c>
      <c r="D3060" s="3" t="s">
        <v>324</v>
      </c>
      <c r="E3060" s="34" t="str">
        <f>IFERROR(VLOOKUP(tbLOG[[#This Row],[LOGIN]],tbMAPA[#All],2,0), "Não localizado")</f>
        <v>Caio Eiji Arai</v>
      </c>
      <c r="F3060" s="34" t="str">
        <f>IFERROR(VLOOKUP(tbLOG[[#This Row],[LOGIN]],tbMAPA[#All],3,0), "Não localizado")</f>
        <v>Vinicius Loula De Sousa</v>
      </c>
      <c r="G3060" s="3" t="s">
        <v>999</v>
      </c>
      <c r="H3060" s="3" t="s">
        <v>290</v>
      </c>
    </row>
    <row r="3061" spans="1:8">
      <c r="A3061" s="29">
        <v>42752.872129629628</v>
      </c>
      <c r="B3061" s="29" t="str">
        <f>PROPER(TEXT(tbLOG[[#This Row],[DATA/HORA]],"mmmm"))</f>
        <v>Janeiro</v>
      </c>
      <c r="C3061" s="34" t="str">
        <f>PROPER(TEXT(tbLOG[[#This Row],[DATA/HORA]],"dddd"))</f>
        <v>Terça-Feira</v>
      </c>
      <c r="D3061" s="3" t="s">
        <v>324</v>
      </c>
      <c r="E3061" s="34" t="str">
        <f>IFERROR(VLOOKUP(tbLOG[[#This Row],[LOGIN]],tbMAPA[#All],2,0), "Não localizado")</f>
        <v>Caio Eiji Arai</v>
      </c>
      <c r="F3061" s="34" t="str">
        <f>IFERROR(VLOOKUP(tbLOG[[#This Row],[LOGIN]],tbMAPA[#All],3,0), "Não localizado")</f>
        <v>Vinicius Loula De Sousa</v>
      </c>
      <c r="G3061" s="3" t="s">
        <v>999</v>
      </c>
      <c r="H3061" s="3" t="s">
        <v>291</v>
      </c>
    </row>
    <row r="3062" spans="1:8">
      <c r="A3062" s="29">
        <v>42752.872129629628</v>
      </c>
      <c r="B3062" s="29" t="str">
        <f>PROPER(TEXT(tbLOG[[#This Row],[DATA/HORA]],"mmmm"))</f>
        <v>Janeiro</v>
      </c>
      <c r="C3062" s="34" t="str">
        <f>PROPER(TEXT(tbLOG[[#This Row],[DATA/HORA]],"dddd"))</f>
        <v>Terça-Feira</v>
      </c>
      <c r="D3062" s="3" t="s">
        <v>324</v>
      </c>
      <c r="E3062" s="34" t="str">
        <f>IFERROR(VLOOKUP(tbLOG[[#This Row],[LOGIN]],tbMAPA[#All],2,0), "Não localizado")</f>
        <v>Caio Eiji Arai</v>
      </c>
      <c r="F3062" s="34" t="str">
        <f>IFERROR(VLOOKUP(tbLOG[[#This Row],[LOGIN]],tbMAPA[#All],3,0), "Não localizado")</f>
        <v>Vinicius Loula De Sousa</v>
      </c>
      <c r="G3062" s="3" t="s">
        <v>999</v>
      </c>
      <c r="H3062" s="3" t="s">
        <v>290</v>
      </c>
    </row>
    <row r="3063" spans="1:8">
      <c r="A3063" s="29">
        <v>42753.412847222222</v>
      </c>
      <c r="B3063" s="29" t="str">
        <f>PROPER(TEXT(tbLOG[[#This Row],[DATA/HORA]],"mmmm"))</f>
        <v>Janeiro</v>
      </c>
      <c r="C3063" s="34" t="str">
        <f>PROPER(TEXT(tbLOG[[#This Row],[DATA/HORA]],"dddd"))</f>
        <v>Quarta-Feira</v>
      </c>
      <c r="D3063" s="3" t="s">
        <v>300</v>
      </c>
      <c r="E3063" s="34" t="str">
        <f>IFERROR(VLOOKUP(tbLOG[[#This Row],[LOGIN]],tbMAPA[#All],2,0), "Não localizado")</f>
        <v>Jefte Soares Da Silva</v>
      </c>
      <c r="F3063" s="34" t="str">
        <f>IFERROR(VLOOKUP(tbLOG[[#This Row],[LOGIN]],tbMAPA[#All],3,0), "Não localizado")</f>
        <v>Daniela Andrade Silva</v>
      </c>
      <c r="G3063" s="3" t="s">
        <v>1000</v>
      </c>
      <c r="H3063" s="3" t="s">
        <v>994</v>
      </c>
    </row>
    <row r="3064" spans="1:8">
      <c r="A3064" s="29">
        <v>42753.413368055553</v>
      </c>
      <c r="B3064" s="29" t="str">
        <f>PROPER(TEXT(tbLOG[[#This Row],[DATA/HORA]],"mmmm"))</f>
        <v>Janeiro</v>
      </c>
      <c r="C3064" s="34" t="str">
        <f>PROPER(TEXT(tbLOG[[#This Row],[DATA/HORA]],"dddd"))</f>
        <v>Quarta-Feira</v>
      </c>
      <c r="D3064" s="3" t="s">
        <v>300</v>
      </c>
      <c r="E3064" s="34" t="str">
        <f>IFERROR(VLOOKUP(tbLOG[[#This Row],[LOGIN]],tbMAPA[#All],2,0), "Não localizado")</f>
        <v>Jefte Soares Da Silva</v>
      </c>
      <c r="F3064" s="34" t="str">
        <f>IFERROR(VLOOKUP(tbLOG[[#This Row],[LOGIN]],tbMAPA[#All],3,0), "Não localizado")</f>
        <v>Daniela Andrade Silva</v>
      </c>
      <c r="G3064" s="3" t="s">
        <v>1000</v>
      </c>
      <c r="H3064" s="3" t="s">
        <v>292</v>
      </c>
    </row>
    <row r="3065" spans="1:8">
      <c r="A3065" s="29">
        <v>42753.413414351853</v>
      </c>
      <c r="B3065" s="29" t="str">
        <f>PROPER(TEXT(tbLOG[[#This Row],[DATA/HORA]],"mmmm"))</f>
        <v>Janeiro</v>
      </c>
      <c r="C3065" s="34" t="str">
        <f>PROPER(TEXT(tbLOG[[#This Row],[DATA/HORA]],"dddd"))</f>
        <v>Quarta-Feira</v>
      </c>
      <c r="D3065" s="3" t="s">
        <v>300</v>
      </c>
      <c r="E3065" s="34" t="str">
        <f>IFERROR(VLOOKUP(tbLOG[[#This Row],[LOGIN]],tbMAPA[#All],2,0), "Não localizado")</f>
        <v>Jefte Soares Da Silva</v>
      </c>
      <c r="F3065" s="34" t="str">
        <f>IFERROR(VLOOKUP(tbLOG[[#This Row],[LOGIN]],tbMAPA[#All],3,0), "Não localizado")</f>
        <v>Daniela Andrade Silva</v>
      </c>
      <c r="G3065" s="3" t="s">
        <v>1000</v>
      </c>
      <c r="H3065" s="3" t="s">
        <v>315</v>
      </c>
    </row>
    <row r="3066" spans="1:8">
      <c r="A3066" s="29">
        <v>42753.413587962961</v>
      </c>
      <c r="B3066" s="29" t="str">
        <f>PROPER(TEXT(tbLOG[[#This Row],[DATA/HORA]],"mmmm"))</f>
        <v>Janeiro</v>
      </c>
      <c r="C3066" s="34" t="str">
        <f>PROPER(TEXT(tbLOG[[#This Row],[DATA/HORA]],"dddd"))</f>
        <v>Quarta-Feira</v>
      </c>
      <c r="D3066" s="3" t="s">
        <v>300</v>
      </c>
      <c r="E3066" s="34" t="str">
        <f>IFERROR(VLOOKUP(tbLOG[[#This Row],[LOGIN]],tbMAPA[#All],2,0), "Não localizado")</f>
        <v>Jefte Soares Da Silva</v>
      </c>
      <c r="F3066" s="34" t="str">
        <f>IFERROR(VLOOKUP(tbLOG[[#This Row],[LOGIN]],tbMAPA[#All],3,0), "Não localizado")</f>
        <v>Daniela Andrade Silva</v>
      </c>
      <c r="G3066" s="3" t="s">
        <v>1000</v>
      </c>
      <c r="H3066" s="3" t="s">
        <v>292</v>
      </c>
    </row>
    <row r="3067" spans="1:8">
      <c r="A3067" s="29">
        <v>42753.413599537038</v>
      </c>
      <c r="B3067" s="29" t="str">
        <f>PROPER(TEXT(tbLOG[[#This Row],[DATA/HORA]],"mmmm"))</f>
        <v>Janeiro</v>
      </c>
      <c r="C3067" s="34" t="str">
        <f>PROPER(TEXT(tbLOG[[#This Row],[DATA/HORA]],"dddd"))</f>
        <v>Quarta-Feira</v>
      </c>
      <c r="D3067" s="3" t="s">
        <v>300</v>
      </c>
      <c r="E3067" s="34" t="str">
        <f>IFERROR(VLOOKUP(tbLOG[[#This Row],[LOGIN]],tbMAPA[#All],2,0), "Não localizado")</f>
        <v>Jefte Soares Da Silva</v>
      </c>
      <c r="F3067" s="34" t="str">
        <f>IFERROR(VLOOKUP(tbLOG[[#This Row],[LOGIN]],tbMAPA[#All],3,0), "Não localizado")</f>
        <v>Daniela Andrade Silva</v>
      </c>
      <c r="G3067" s="3" t="s">
        <v>1000</v>
      </c>
      <c r="H3067" s="3" t="s">
        <v>292</v>
      </c>
    </row>
    <row r="3068" spans="1:8">
      <c r="A3068" s="29">
        <v>42753.413599537038</v>
      </c>
      <c r="B3068" s="29" t="str">
        <f>PROPER(TEXT(tbLOG[[#This Row],[DATA/HORA]],"mmmm"))</f>
        <v>Janeiro</v>
      </c>
      <c r="C3068" s="34" t="str">
        <f>PROPER(TEXT(tbLOG[[#This Row],[DATA/HORA]],"dddd"))</f>
        <v>Quarta-Feira</v>
      </c>
      <c r="D3068" s="3" t="s">
        <v>300</v>
      </c>
      <c r="E3068" s="34" t="str">
        <f>IFERROR(VLOOKUP(tbLOG[[#This Row],[LOGIN]],tbMAPA[#All],2,0), "Não localizado")</f>
        <v>Jefte Soares Da Silva</v>
      </c>
      <c r="F3068" s="34" t="str">
        <f>IFERROR(VLOOKUP(tbLOG[[#This Row],[LOGIN]],tbMAPA[#All],3,0), "Não localizado")</f>
        <v>Daniela Andrade Silva</v>
      </c>
      <c r="G3068" s="3" t="s">
        <v>1000</v>
      </c>
      <c r="H3068" s="3" t="s">
        <v>317</v>
      </c>
    </row>
    <row r="3069" spans="1:8">
      <c r="A3069" s="29">
        <v>42753.414236111108</v>
      </c>
      <c r="B3069" s="29" t="str">
        <f>PROPER(TEXT(tbLOG[[#This Row],[DATA/HORA]],"mmmm"))</f>
        <v>Janeiro</v>
      </c>
      <c r="C3069" s="34" t="str">
        <f>PROPER(TEXT(tbLOG[[#This Row],[DATA/HORA]],"dddd"))</f>
        <v>Quarta-Feira</v>
      </c>
      <c r="D3069" s="3" t="s">
        <v>300</v>
      </c>
      <c r="E3069" s="34" t="str">
        <f>IFERROR(VLOOKUP(tbLOG[[#This Row],[LOGIN]],tbMAPA[#All],2,0), "Não localizado")</f>
        <v>Jefte Soares Da Silva</v>
      </c>
      <c r="F3069" s="34" t="str">
        <f>IFERROR(VLOOKUP(tbLOG[[#This Row],[LOGIN]],tbMAPA[#All],3,0), "Não localizado")</f>
        <v>Daniela Andrade Silva</v>
      </c>
      <c r="G3069" s="3" t="s">
        <v>1000</v>
      </c>
      <c r="H3069" s="3" t="s">
        <v>836</v>
      </c>
    </row>
    <row r="3070" spans="1:8">
      <c r="A3070" s="29">
        <v>42753.414664351854</v>
      </c>
      <c r="B3070" s="29" t="str">
        <f>PROPER(TEXT(tbLOG[[#This Row],[DATA/HORA]],"mmmm"))</f>
        <v>Janeiro</v>
      </c>
      <c r="C3070" s="34" t="str">
        <f>PROPER(TEXT(tbLOG[[#This Row],[DATA/HORA]],"dddd"))</f>
        <v>Quarta-Feira</v>
      </c>
      <c r="D3070" s="3" t="s">
        <v>300</v>
      </c>
      <c r="E3070" s="34" t="str">
        <f>IFERROR(VLOOKUP(tbLOG[[#This Row],[LOGIN]],tbMAPA[#All],2,0), "Não localizado")</f>
        <v>Jefte Soares Da Silva</v>
      </c>
      <c r="F3070" s="34" t="str">
        <f>IFERROR(VLOOKUP(tbLOG[[#This Row],[LOGIN]],tbMAPA[#All],3,0), "Não localizado")</f>
        <v>Daniela Andrade Silva</v>
      </c>
      <c r="G3070" s="3" t="s">
        <v>1000</v>
      </c>
      <c r="H3070" s="3" t="s">
        <v>836</v>
      </c>
    </row>
    <row r="3071" spans="1:8">
      <c r="A3071" s="29">
        <v>42753.414803240739</v>
      </c>
      <c r="B3071" s="29" t="str">
        <f>PROPER(TEXT(tbLOG[[#This Row],[DATA/HORA]],"mmmm"))</f>
        <v>Janeiro</v>
      </c>
      <c r="C3071" s="34" t="str">
        <f>PROPER(TEXT(tbLOG[[#This Row],[DATA/HORA]],"dddd"))</f>
        <v>Quarta-Feira</v>
      </c>
      <c r="D3071" s="3" t="s">
        <v>300</v>
      </c>
      <c r="E3071" s="34" t="str">
        <f>IFERROR(VLOOKUP(tbLOG[[#This Row],[LOGIN]],tbMAPA[#All],2,0), "Não localizado")</f>
        <v>Jefte Soares Da Silva</v>
      </c>
      <c r="F3071" s="34" t="str">
        <f>IFERROR(VLOOKUP(tbLOG[[#This Row],[LOGIN]],tbMAPA[#All],3,0), "Não localizado")</f>
        <v>Daniela Andrade Silva</v>
      </c>
      <c r="G3071" s="3" t="s">
        <v>1000</v>
      </c>
      <c r="H3071" s="3" t="s">
        <v>835</v>
      </c>
    </row>
    <row r="3072" spans="1:8">
      <c r="A3072" s="29">
        <v>42753.41511574074</v>
      </c>
      <c r="B3072" s="29" t="str">
        <f>PROPER(TEXT(tbLOG[[#This Row],[DATA/HORA]],"mmmm"))</f>
        <v>Janeiro</v>
      </c>
      <c r="C3072" s="34" t="str">
        <f>PROPER(TEXT(tbLOG[[#This Row],[DATA/HORA]],"dddd"))</f>
        <v>Quarta-Feira</v>
      </c>
      <c r="D3072" s="3" t="s">
        <v>300</v>
      </c>
      <c r="E3072" s="34" t="str">
        <f>IFERROR(VLOOKUP(tbLOG[[#This Row],[LOGIN]],tbMAPA[#All],2,0), "Não localizado")</f>
        <v>Jefte Soares Da Silva</v>
      </c>
      <c r="F3072" s="34" t="str">
        <f>IFERROR(VLOOKUP(tbLOG[[#This Row],[LOGIN]],tbMAPA[#All],3,0), "Não localizado")</f>
        <v>Daniela Andrade Silva</v>
      </c>
      <c r="G3072" s="3" t="s">
        <v>1000</v>
      </c>
      <c r="H3072" s="3" t="s">
        <v>836</v>
      </c>
    </row>
    <row r="3073" spans="1:8">
      <c r="A3073" s="29">
        <v>42753.415266203701</v>
      </c>
      <c r="B3073" s="29" t="str">
        <f>PROPER(TEXT(tbLOG[[#This Row],[DATA/HORA]],"mmmm"))</f>
        <v>Janeiro</v>
      </c>
      <c r="C3073" s="34" t="str">
        <f>PROPER(TEXT(tbLOG[[#This Row],[DATA/HORA]],"dddd"))</f>
        <v>Quarta-Feira</v>
      </c>
      <c r="D3073" s="3" t="s">
        <v>300</v>
      </c>
      <c r="E3073" s="34" t="str">
        <f>IFERROR(VLOOKUP(tbLOG[[#This Row],[LOGIN]],tbMAPA[#All],2,0), "Não localizado")</f>
        <v>Jefte Soares Da Silva</v>
      </c>
      <c r="F3073" s="34" t="str">
        <f>IFERROR(VLOOKUP(tbLOG[[#This Row],[LOGIN]],tbMAPA[#All],3,0), "Não localizado")</f>
        <v>Daniela Andrade Silva</v>
      </c>
      <c r="G3073" s="3" t="s">
        <v>1000</v>
      </c>
      <c r="H3073" s="3" t="s">
        <v>290</v>
      </c>
    </row>
    <row r="3074" spans="1:8">
      <c r="A3074" s="29">
        <v>42753.415347222224</v>
      </c>
      <c r="B3074" s="29" t="str">
        <f>PROPER(TEXT(tbLOG[[#This Row],[DATA/HORA]],"mmmm"))</f>
        <v>Janeiro</v>
      </c>
      <c r="C3074" s="34" t="str">
        <f>PROPER(TEXT(tbLOG[[#This Row],[DATA/HORA]],"dddd"))</f>
        <v>Quarta-Feira</v>
      </c>
      <c r="D3074" s="3" t="s">
        <v>300</v>
      </c>
      <c r="E3074" s="34" t="str">
        <f>IFERROR(VLOOKUP(tbLOG[[#This Row],[LOGIN]],tbMAPA[#All],2,0), "Não localizado")</f>
        <v>Jefte Soares Da Silva</v>
      </c>
      <c r="F3074" s="34" t="str">
        <f>IFERROR(VLOOKUP(tbLOG[[#This Row],[LOGIN]],tbMAPA[#All],3,0), "Não localizado")</f>
        <v>Daniela Andrade Silva</v>
      </c>
      <c r="G3074" s="3" t="s">
        <v>1000</v>
      </c>
      <c r="H3074" s="3" t="s">
        <v>290</v>
      </c>
    </row>
    <row r="3075" spans="1:8">
      <c r="A3075" s="29">
        <v>42753.415486111109</v>
      </c>
      <c r="B3075" s="29" t="str">
        <f>PROPER(TEXT(tbLOG[[#This Row],[DATA/HORA]],"mmmm"))</f>
        <v>Janeiro</v>
      </c>
      <c r="C3075" s="34" t="str">
        <f>PROPER(TEXT(tbLOG[[#This Row],[DATA/HORA]],"dddd"))</f>
        <v>Quarta-Feira</v>
      </c>
      <c r="D3075" s="3" t="s">
        <v>300</v>
      </c>
      <c r="E3075" s="34" t="str">
        <f>IFERROR(VLOOKUP(tbLOG[[#This Row],[LOGIN]],tbMAPA[#All],2,0), "Não localizado")</f>
        <v>Jefte Soares Da Silva</v>
      </c>
      <c r="F3075" s="34" t="str">
        <f>IFERROR(VLOOKUP(tbLOG[[#This Row],[LOGIN]],tbMAPA[#All],3,0), "Não localizado")</f>
        <v>Daniela Andrade Silva</v>
      </c>
      <c r="G3075" s="3" t="s">
        <v>1000</v>
      </c>
      <c r="H3075" s="3" t="s">
        <v>291</v>
      </c>
    </row>
    <row r="3076" spans="1:8">
      <c r="A3076" s="29">
        <v>42753.415486111109</v>
      </c>
      <c r="B3076" s="29" t="str">
        <f>PROPER(TEXT(tbLOG[[#This Row],[DATA/HORA]],"mmmm"))</f>
        <v>Janeiro</v>
      </c>
      <c r="C3076" s="34" t="str">
        <f>PROPER(TEXT(tbLOG[[#This Row],[DATA/HORA]],"dddd"))</f>
        <v>Quarta-Feira</v>
      </c>
      <c r="D3076" s="3" t="s">
        <v>300</v>
      </c>
      <c r="E3076" s="34" t="str">
        <f>IFERROR(VLOOKUP(tbLOG[[#This Row],[LOGIN]],tbMAPA[#All],2,0), "Não localizado")</f>
        <v>Jefte Soares Da Silva</v>
      </c>
      <c r="F3076" s="34" t="str">
        <f>IFERROR(VLOOKUP(tbLOG[[#This Row],[LOGIN]],tbMAPA[#All],3,0), "Não localizado")</f>
        <v>Daniela Andrade Silva</v>
      </c>
      <c r="G3076" s="3" t="s">
        <v>1000</v>
      </c>
      <c r="H3076" s="3" t="s">
        <v>290</v>
      </c>
    </row>
    <row r="3077" spans="1:8">
      <c r="A3077" s="29">
        <v>42753.417071759257</v>
      </c>
      <c r="B3077" s="29" t="str">
        <f>PROPER(TEXT(tbLOG[[#This Row],[DATA/HORA]],"mmmm"))</f>
        <v>Janeiro</v>
      </c>
      <c r="C3077" s="34" t="str">
        <f>PROPER(TEXT(tbLOG[[#This Row],[DATA/HORA]],"dddd"))</f>
        <v>Quarta-Feira</v>
      </c>
      <c r="D3077" s="3" t="s">
        <v>604</v>
      </c>
      <c r="E3077" s="34" t="str">
        <f>IFERROR(VLOOKUP(tbLOG[[#This Row],[LOGIN]],tbMAPA[#All],2,0), "Não localizado")</f>
        <v>Renan Cazumba Tegani</v>
      </c>
      <c r="F3077" s="34" t="str">
        <f>IFERROR(VLOOKUP(tbLOG[[#This Row],[LOGIN]],tbMAPA[#All],3,0), "Não localizado")</f>
        <v>Reginaldo Santana De Souza</v>
      </c>
      <c r="G3077" s="3" t="s">
        <v>1211</v>
      </c>
      <c r="H3077" s="3" t="s">
        <v>994</v>
      </c>
    </row>
    <row r="3078" spans="1:8">
      <c r="A3078" s="29">
        <v>42753.417256944442</v>
      </c>
      <c r="B3078" s="29" t="str">
        <f>PROPER(TEXT(tbLOG[[#This Row],[DATA/HORA]],"mmmm"))</f>
        <v>Janeiro</v>
      </c>
      <c r="C3078" s="34" t="str">
        <f>PROPER(TEXT(tbLOG[[#This Row],[DATA/HORA]],"dddd"))</f>
        <v>Quarta-Feira</v>
      </c>
      <c r="D3078" s="3" t="s">
        <v>604</v>
      </c>
      <c r="E3078" s="34" t="str">
        <f>IFERROR(VLOOKUP(tbLOG[[#This Row],[LOGIN]],tbMAPA[#All],2,0), "Não localizado")</f>
        <v>Renan Cazumba Tegani</v>
      </c>
      <c r="F3078" s="34" t="str">
        <f>IFERROR(VLOOKUP(tbLOG[[#This Row],[LOGIN]],tbMAPA[#All],3,0), "Não localizado")</f>
        <v>Reginaldo Santana De Souza</v>
      </c>
      <c r="G3078" s="3" t="s">
        <v>1211</v>
      </c>
      <c r="H3078" s="3" t="s">
        <v>309</v>
      </c>
    </row>
    <row r="3079" spans="1:8">
      <c r="A3079" s="29">
        <v>42753.417256944442</v>
      </c>
      <c r="B3079" s="29" t="str">
        <f>PROPER(TEXT(tbLOG[[#This Row],[DATA/HORA]],"mmmm"))</f>
        <v>Janeiro</v>
      </c>
      <c r="C3079" s="34" t="str">
        <f>PROPER(TEXT(tbLOG[[#This Row],[DATA/HORA]],"dddd"))</f>
        <v>Quarta-Feira</v>
      </c>
      <c r="D3079" s="3" t="s">
        <v>604</v>
      </c>
      <c r="E3079" s="34" t="str">
        <f>IFERROR(VLOOKUP(tbLOG[[#This Row],[LOGIN]],tbMAPA[#All],2,0), "Não localizado")</f>
        <v>Renan Cazumba Tegani</v>
      </c>
      <c r="F3079" s="34" t="str">
        <f>IFERROR(VLOOKUP(tbLOG[[#This Row],[LOGIN]],tbMAPA[#All],3,0), "Não localizado")</f>
        <v>Reginaldo Santana De Souza</v>
      </c>
      <c r="G3079" s="3" t="s">
        <v>1211</v>
      </c>
      <c r="H3079" s="3" t="s">
        <v>310</v>
      </c>
    </row>
    <row r="3080" spans="1:8">
      <c r="A3080" s="29">
        <v>42753.417314814818</v>
      </c>
      <c r="B3080" s="29" t="str">
        <f>PROPER(TEXT(tbLOG[[#This Row],[DATA/HORA]],"mmmm"))</f>
        <v>Janeiro</v>
      </c>
      <c r="C3080" s="34" t="str">
        <f>PROPER(TEXT(tbLOG[[#This Row],[DATA/HORA]],"dddd"))</f>
        <v>Quarta-Feira</v>
      </c>
      <c r="D3080" s="3" t="s">
        <v>604</v>
      </c>
      <c r="E3080" s="34" t="str">
        <f>IFERROR(VLOOKUP(tbLOG[[#This Row],[LOGIN]],tbMAPA[#All],2,0), "Não localizado")</f>
        <v>Renan Cazumba Tegani</v>
      </c>
      <c r="F3080" s="34" t="str">
        <f>IFERROR(VLOOKUP(tbLOG[[#This Row],[LOGIN]],tbMAPA[#All],3,0), "Não localizado")</f>
        <v>Reginaldo Santana De Souza</v>
      </c>
      <c r="G3080" s="3" t="s">
        <v>1211</v>
      </c>
      <c r="H3080" s="3" t="s">
        <v>309</v>
      </c>
    </row>
    <row r="3081" spans="1:8">
      <c r="A3081" s="29">
        <v>42753.417314814818</v>
      </c>
      <c r="B3081" s="29" t="str">
        <f>PROPER(TEXT(tbLOG[[#This Row],[DATA/HORA]],"mmmm"))</f>
        <v>Janeiro</v>
      </c>
      <c r="C3081" s="34" t="str">
        <f>PROPER(TEXT(tbLOG[[#This Row],[DATA/HORA]],"dddd"))</f>
        <v>Quarta-Feira</v>
      </c>
      <c r="D3081" s="3" t="s">
        <v>604</v>
      </c>
      <c r="E3081" s="34" t="str">
        <f>IFERROR(VLOOKUP(tbLOG[[#This Row],[LOGIN]],tbMAPA[#All],2,0), "Não localizado")</f>
        <v>Renan Cazumba Tegani</v>
      </c>
      <c r="F3081" s="34" t="str">
        <f>IFERROR(VLOOKUP(tbLOG[[#This Row],[LOGIN]],tbMAPA[#All],3,0), "Não localizado")</f>
        <v>Reginaldo Santana De Souza</v>
      </c>
      <c r="G3081" s="3" t="s">
        <v>1211</v>
      </c>
      <c r="H3081" s="3" t="s">
        <v>309</v>
      </c>
    </row>
    <row r="3082" spans="1:8">
      <c r="A3082" s="29">
        <v>42753.417314814818</v>
      </c>
      <c r="B3082" s="29" t="str">
        <f>PROPER(TEXT(tbLOG[[#This Row],[DATA/HORA]],"mmmm"))</f>
        <v>Janeiro</v>
      </c>
      <c r="C3082" s="34" t="str">
        <f>PROPER(TEXT(tbLOG[[#This Row],[DATA/HORA]],"dddd"))</f>
        <v>Quarta-Feira</v>
      </c>
      <c r="D3082" s="3" t="s">
        <v>604</v>
      </c>
      <c r="E3082" s="34" t="str">
        <f>IFERROR(VLOOKUP(tbLOG[[#This Row],[LOGIN]],tbMAPA[#All],2,0), "Não localizado")</f>
        <v>Renan Cazumba Tegani</v>
      </c>
      <c r="F3082" s="34" t="str">
        <f>IFERROR(VLOOKUP(tbLOG[[#This Row],[LOGIN]],tbMAPA[#All],3,0), "Não localizado")</f>
        <v>Reginaldo Santana De Souza</v>
      </c>
      <c r="G3082" s="3" t="s">
        <v>1211</v>
      </c>
      <c r="H3082" s="3" t="s">
        <v>314</v>
      </c>
    </row>
    <row r="3083" spans="1:8">
      <c r="A3083" s="29">
        <v>42753.418275462966</v>
      </c>
      <c r="B3083" s="29" t="str">
        <f>PROPER(TEXT(tbLOG[[#This Row],[DATA/HORA]],"mmmm"))</f>
        <v>Janeiro</v>
      </c>
      <c r="C3083" s="34" t="str">
        <f>PROPER(TEXT(tbLOG[[#This Row],[DATA/HORA]],"dddd"))</f>
        <v>Quarta-Feira</v>
      </c>
      <c r="D3083" s="3" t="s">
        <v>604</v>
      </c>
      <c r="E3083" s="34" t="str">
        <f>IFERROR(VLOOKUP(tbLOG[[#This Row],[LOGIN]],tbMAPA[#All],2,0), "Não localizado")</f>
        <v>Renan Cazumba Tegani</v>
      </c>
      <c r="F3083" s="34" t="str">
        <f>IFERROR(VLOOKUP(tbLOG[[#This Row],[LOGIN]],tbMAPA[#All],3,0), "Não localizado")</f>
        <v>Reginaldo Santana De Souza</v>
      </c>
      <c r="G3083" s="3" t="s">
        <v>1211</v>
      </c>
      <c r="H3083" s="3" t="s">
        <v>309</v>
      </c>
    </row>
    <row r="3084" spans="1:8">
      <c r="A3084" s="29">
        <v>42753.418275462966</v>
      </c>
      <c r="B3084" s="29" t="str">
        <f>PROPER(TEXT(tbLOG[[#This Row],[DATA/HORA]],"mmmm"))</f>
        <v>Janeiro</v>
      </c>
      <c r="C3084" s="34" t="str">
        <f>PROPER(TEXT(tbLOG[[#This Row],[DATA/HORA]],"dddd"))</f>
        <v>Quarta-Feira</v>
      </c>
      <c r="D3084" s="3" t="s">
        <v>604</v>
      </c>
      <c r="E3084" s="34" t="str">
        <f>IFERROR(VLOOKUP(tbLOG[[#This Row],[LOGIN]],tbMAPA[#All],2,0), "Não localizado")</f>
        <v>Renan Cazumba Tegani</v>
      </c>
      <c r="F3084" s="34" t="str">
        <f>IFERROR(VLOOKUP(tbLOG[[#This Row],[LOGIN]],tbMAPA[#All],3,0), "Não localizado")</f>
        <v>Reginaldo Santana De Souza</v>
      </c>
      <c r="G3084" s="3" t="s">
        <v>1211</v>
      </c>
      <c r="H3084" s="3" t="s">
        <v>310</v>
      </c>
    </row>
    <row r="3085" spans="1:8">
      <c r="A3085" s="29">
        <v>42753.418321759258</v>
      </c>
      <c r="B3085" s="29" t="str">
        <f>PROPER(TEXT(tbLOG[[#This Row],[DATA/HORA]],"mmmm"))</f>
        <v>Janeiro</v>
      </c>
      <c r="C3085" s="34" t="str">
        <f>PROPER(TEXT(tbLOG[[#This Row],[DATA/HORA]],"dddd"))</f>
        <v>Quarta-Feira</v>
      </c>
      <c r="D3085" s="3" t="s">
        <v>604</v>
      </c>
      <c r="E3085" s="34" t="str">
        <f>IFERROR(VLOOKUP(tbLOG[[#This Row],[LOGIN]],tbMAPA[#All],2,0), "Não localizado")</f>
        <v>Renan Cazumba Tegani</v>
      </c>
      <c r="F3085" s="34" t="str">
        <f>IFERROR(VLOOKUP(tbLOG[[#This Row],[LOGIN]],tbMAPA[#All],3,0), "Não localizado")</f>
        <v>Reginaldo Santana De Souza</v>
      </c>
      <c r="G3085" s="3" t="s">
        <v>1211</v>
      </c>
      <c r="H3085" s="3" t="s">
        <v>309</v>
      </c>
    </row>
    <row r="3086" spans="1:8">
      <c r="A3086" s="29">
        <v>42753.418321759258</v>
      </c>
      <c r="B3086" s="29" t="str">
        <f>PROPER(TEXT(tbLOG[[#This Row],[DATA/HORA]],"mmmm"))</f>
        <v>Janeiro</v>
      </c>
      <c r="C3086" s="34" t="str">
        <f>PROPER(TEXT(tbLOG[[#This Row],[DATA/HORA]],"dddd"))</f>
        <v>Quarta-Feira</v>
      </c>
      <c r="D3086" s="3" t="s">
        <v>604</v>
      </c>
      <c r="E3086" s="34" t="str">
        <f>IFERROR(VLOOKUP(tbLOG[[#This Row],[LOGIN]],tbMAPA[#All],2,0), "Não localizado")</f>
        <v>Renan Cazumba Tegani</v>
      </c>
      <c r="F3086" s="34" t="str">
        <f>IFERROR(VLOOKUP(tbLOG[[#This Row],[LOGIN]],tbMAPA[#All],3,0), "Não localizado")</f>
        <v>Reginaldo Santana De Souza</v>
      </c>
      <c r="G3086" s="3" t="s">
        <v>1211</v>
      </c>
      <c r="H3086" s="3" t="s">
        <v>309</v>
      </c>
    </row>
    <row r="3087" spans="1:8">
      <c r="A3087" s="29">
        <v>42753.418321759258</v>
      </c>
      <c r="B3087" s="29" t="str">
        <f>PROPER(TEXT(tbLOG[[#This Row],[DATA/HORA]],"mmmm"))</f>
        <v>Janeiro</v>
      </c>
      <c r="C3087" s="34" t="str">
        <f>PROPER(TEXT(tbLOG[[#This Row],[DATA/HORA]],"dddd"))</f>
        <v>Quarta-Feira</v>
      </c>
      <c r="D3087" s="3" t="s">
        <v>604</v>
      </c>
      <c r="E3087" s="34" t="str">
        <f>IFERROR(VLOOKUP(tbLOG[[#This Row],[LOGIN]],tbMAPA[#All],2,0), "Não localizado")</f>
        <v>Renan Cazumba Tegani</v>
      </c>
      <c r="F3087" s="34" t="str">
        <f>IFERROR(VLOOKUP(tbLOG[[#This Row],[LOGIN]],tbMAPA[#All],3,0), "Não localizado")</f>
        <v>Reginaldo Santana De Souza</v>
      </c>
      <c r="G3087" s="3" t="s">
        <v>1211</v>
      </c>
      <c r="H3087" s="3" t="s">
        <v>314</v>
      </c>
    </row>
    <row r="3088" spans="1:8">
      <c r="A3088" s="29">
        <v>42753.426006944443</v>
      </c>
      <c r="B3088" s="29" t="str">
        <f>PROPER(TEXT(tbLOG[[#This Row],[DATA/HORA]],"mmmm"))</f>
        <v>Janeiro</v>
      </c>
      <c r="C3088" s="34" t="str">
        <f>PROPER(TEXT(tbLOG[[#This Row],[DATA/HORA]],"dddd"))</f>
        <v>Quarta-Feira</v>
      </c>
      <c r="D3088" s="3" t="s">
        <v>604</v>
      </c>
      <c r="E3088" s="34" t="str">
        <f>IFERROR(VLOOKUP(tbLOG[[#This Row],[LOGIN]],tbMAPA[#All],2,0), "Não localizado")</f>
        <v>Renan Cazumba Tegani</v>
      </c>
      <c r="F3088" s="34" t="str">
        <f>IFERROR(VLOOKUP(tbLOG[[#This Row],[LOGIN]],tbMAPA[#All],3,0), "Não localizado")</f>
        <v>Reginaldo Santana De Souza</v>
      </c>
      <c r="G3088" s="3" t="s">
        <v>1211</v>
      </c>
      <c r="H3088" s="3" t="s">
        <v>836</v>
      </c>
    </row>
    <row r="3089" spans="1:8">
      <c r="A3089" s="29">
        <v>42753.426087962966</v>
      </c>
      <c r="B3089" s="29" t="str">
        <f>PROPER(TEXT(tbLOG[[#This Row],[DATA/HORA]],"mmmm"))</f>
        <v>Janeiro</v>
      </c>
      <c r="C3089" s="34" t="str">
        <f>PROPER(TEXT(tbLOG[[#This Row],[DATA/HORA]],"dddd"))</f>
        <v>Quarta-Feira</v>
      </c>
      <c r="D3089" s="3" t="s">
        <v>604</v>
      </c>
      <c r="E3089" s="34" t="str">
        <f>IFERROR(VLOOKUP(tbLOG[[#This Row],[LOGIN]],tbMAPA[#All],2,0), "Não localizado")</f>
        <v>Renan Cazumba Tegani</v>
      </c>
      <c r="F3089" s="34" t="str">
        <f>IFERROR(VLOOKUP(tbLOG[[#This Row],[LOGIN]],tbMAPA[#All],3,0), "Não localizado")</f>
        <v>Reginaldo Santana De Souza</v>
      </c>
      <c r="G3089" s="3" t="s">
        <v>1211</v>
      </c>
      <c r="H3089" s="3" t="s">
        <v>836</v>
      </c>
    </row>
    <row r="3090" spans="1:8">
      <c r="A3090" s="29">
        <v>42753.428159722222</v>
      </c>
      <c r="B3090" s="29" t="str">
        <f>PROPER(TEXT(tbLOG[[#This Row],[DATA/HORA]],"mmmm"))</f>
        <v>Janeiro</v>
      </c>
      <c r="C3090" s="34" t="str">
        <f>PROPER(TEXT(tbLOG[[#This Row],[DATA/HORA]],"dddd"))</f>
        <v>Quarta-Feira</v>
      </c>
      <c r="D3090" s="3" t="s">
        <v>604</v>
      </c>
      <c r="E3090" s="34" t="str">
        <f>IFERROR(VLOOKUP(tbLOG[[#This Row],[LOGIN]],tbMAPA[#All],2,0), "Não localizado")</f>
        <v>Renan Cazumba Tegani</v>
      </c>
      <c r="F3090" s="34" t="str">
        <f>IFERROR(VLOOKUP(tbLOG[[#This Row],[LOGIN]],tbMAPA[#All],3,0), "Não localizado")</f>
        <v>Reginaldo Santana De Souza</v>
      </c>
      <c r="G3090" s="3" t="s">
        <v>1211</v>
      </c>
      <c r="H3090" s="3" t="s">
        <v>836</v>
      </c>
    </row>
    <row r="3091" spans="1:8">
      <c r="A3091" s="29">
        <v>42753.431018518517</v>
      </c>
      <c r="B3091" s="29" t="str">
        <f>PROPER(TEXT(tbLOG[[#This Row],[DATA/HORA]],"mmmm"))</f>
        <v>Janeiro</v>
      </c>
      <c r="C3091" s="34" t="str">
        <f>PROPER(TEXT(tbLOG[[#This Row],[DATA/HORA]],"dddd"))</f>
        <v>Quarta-Feira</v>
      </c>
      <c r="D3091" s="3" t="s">
        <v>604</v>
      </c>
      <c r="E3091" s="34" t="str">
        <f>IFERROR(VLOOKUP(tbLOG[[#This Row],[LOGIN]],tbMAPA[#All],2,0), "Não localizado")</f>
        <v>Renan Cazumba Tegani</v>
      </c>
      <c r="F3091" s="34" t="str">
        <f>IFERROR(VLOOKUP(tbLOG[[#This Row],[LOGIN]],tbMAPA[#All],3,0), "Não localizado")</f>
        <v>Reginaldo Santana De Souza</v>
      </c>
      <c r="G3091" s="3" t="s">
        <v>1211</v>
      </c>
      <c r="H3091" s="3" t="s">
        <v>836</v>
      </c>
    </row>
    <row r="3092" spans="1:8">
      <c r="A3092" s="29">
        <v>42753.43173611111</v>
      </c>
      <c r="B3092" s="29" t="str">
        <f>PROPER(TEXT(tbLOG[[#This Row],[DATA/HORA]],"mmmm"))</f>
        <v>Janeiro</v>
      </c>
      <c r="C3092" s="34" t="str">
        <f>PROPER(TEXT(tbLOG[[#This Row],[DATA/HORA]],"dddd"))</f>
        <v>Quarta-Feira</v>
      </c>
      <c r="D3092" s="3" t="s">
        <v>604</v>
      </c>
      <c r="E3092" s="34" t="str">
        <f>IFERROR(VLOOKUP(tbLOG[[#This Row],[LOGIN]],tbMAPA[#All],2,0), "Não localizado")</f>
        <v>Renan Cazumba Tegani</v>
      </c>
      <c r="F3092" s="34" t="str">
        <f>IFERROR(VLOOKUP(tbLOG[[#This Row],[LOGIN]],tbMAPA[#All],3,0), "Não localizado")</f>
        <v>Reginaldo Santana De Souza</v>
      </c>
      <c r="G3092" s="3" t="s">
        <v>1211</v>
      </c>
      <c r="H3092" s="3" t="s">
        <v>836</v>
      </c>
    </row>
    <row r="3093" spans="1:8">
      <c r="A3093" s="29">
        <v>42753.438611111109</v>
      </c>
      <c r="B3093" s="29" t="str">
        <f>PROPER(TEXT(tbLOG[[#This Row],[DATA/HORA]],"mmmm"))</f>
        <v>Janeiro</v>
      </c>
      <c r="C3093" s="34" t="str">
        <f>PROPER(TEXT(tbLOG[[#This Row],[DATA/HORA]],"dddd"))</f>
        <v>Quarta-Feira</v>
      </c>
      <c r="D3093" s="3" t="s">
        <v>604</v>
      </c>
      <c r="E3093" s="34" t="str">
        <f>IFERROR(VLOOKUP(tbLOG[[#This Row],[LOGIN]],tbMAPA[#All],2,0), "Não localizado")</f>
        <v>Renan Cazumba Tegani</v>
      </c>
      <c r="F3093" s="34" t="str">
        <f>IFERROR(VLOOKUP(tbLOG[[#This Row],[LOGIN]],tbMAPA[#All],3,0), "Não localizado")</f>
        <v>Reginaldo Santana De Souza</v>
      </c>
      <c r="G3093" s="3" t="s">
        <v>1211</v>
      </c>
      <c r="H3093" s="3" t="s">
        <v>836</v>
      </c>
    </row>
    <row r="3094" spans="1:8">
      <c r="A3094" s="29">
        <v>42753.438750000001</v>
      </c>
      <c r="B3094" s="29" t="str">
        <f>PROPER(TEXT(tbLOG[[#This Row],[DATA/HORA]],"mmmm"))</f>
        <v>Janeiro</v>
      </c>
      <c r="C3094" s="34" t="str">
        <f>PROPER(TEXT(tbLOG[[#This Row],[DATA/HORA]],"dddd"))</f>
        <v>Quarta-Feira</v>
      </c>
      <c r="D3094" s="3" t="s">
        <v>604</v>
      </c>
      <c r="E3094" s="34" t="str">
        <f>IFERROR(VLOOKUP(tbLOG[[#This Row],[LOGIN]],tbMAPA[#All],2,0), "Não localizado")</f>
        <v>Renan Cazumba Tegani</v>
      </c>
      <c r="F3094" s="34" t="str">
        <f>IFERROR(VLOOKUP(tbLOG[[#This Row],[LOGIN]],tbMAPA[#All],3,0), "Não localizado")</f>
        <v>Reginaldo Santana De Souza</v>
      </c>
      <c r="G3094" s="3" t="s">
        <v>1211</v>
      </c>
      <c r="H3094" s="3" t="s">
        <v>836</v>
      </c>
    </row>
    <row r="3095" spans="1:8">
      <c r="A3095" s="29">
        <v>42753.439039351855</v>
      </c>
      <c r="B3095" s="29" t="str">
        <f>PROPER(TEXT(tbLOG[[#This Row],[DATA/HORA]],"mmmm"))</f>
        <v>Janeiro</v>
      </c>
      <c r="C3095" s="34" t="str">
        <f>PROPER(TEXT(tbLOG[[#This Row],[DATA/HORA]],"dddd"))</f>
        <v>Quarta-Feira</v>
      </c>
      <c r="D3095" s="3" t="s">
        <v>604</v>
      </c>
      <c r="E3095" s="34" t="str">
        <f>IFERROR(VLOOKUP(tbLOG[[#This Row],[LOGIN]],tbMAPA[#All],2,0), "Não localizado")</f>
        <v>Renan Cazumba Tegani</v>
      </c>
      <c r="F3095" s="34" t="str">
        <f>IFERROR(VLOOKUP(tbLOG[[#This Row],[LOGIN]],tbMAPA[#All],3,0), "Não localizado")</f>
        <v>Reginaldo Santana De Souza</v>
      </c>
      <c r="G3095" s="3" t="s">
        <v>1211</v>
      </c>
      <c r="H3095" s="3" t="s">
        <v>836</v>
      </c>
    </row>
    <row r="3096" spans="1:8">
      <c r="A3096" s="29">
        <v>42753.445277777777</v>
      </c>
      <c r="B3096" s="29" t="str">
        <f>PROPER(TEXT(tbLOG[[#This Row],[DATA/HORA]],"mmmm"))</f>
        <v>Janeiro</v>
      </c>
      <c r="C3096" s="34" t="str">
        <f>PROPER(TEXT(tbLOG[[#This Row],[DATA/HORA]],"dddd"))</f>
        <v>Quarta-Feira</v>
      </c>
      <c r="D3096" s="3" t="s">
        <v>604</v>
      </c>
      <c r="E3096" s="34" t="str">
        <f>IFERROR(VLOOKUP(tbLOG[[#This Row],[LOGIN]],tbMAPA[#All],2,0), "Não localizado")</f>
        <v>Renan Cazumba Tegani</v>
      </c>
      <c r="F3096" s="34" t="str">
        <f>IFERROR(VLOOKUP(tbLOG[[#This Row],[LOGIN]],tbMAPA[#All],3,0), "Não localizado")</f>
        <v>Reginaldo Santana De Souza</v>
      </c>
      <c r="G3096" s="3" t="s">
        <v>1211</v>
      </c>
      <c r="H3096" s="3" t="s">
        <v>836</v>
      </c>
    </row>
    <row r="3097" spans="1:8">
      <c r="A3097" s="29">
        <v>42753.445347222223</v>
      </c>
      <c r="B3097" s="29" t="str">
        <f>PROPER(TEXT(tbLOG[[#This Row],[DATA/HORA]],"mmmm"))</f>
        <v>Janeiro</v>
      </c>
      <c r="C3097" s="34" t="str">
        <f>PROPER(TEXT(tbLOG[[#This Row],[DATA/HORA]],"dddd"))</f>
        <v>Quarta-Feira</v>
      </c>
      <c r="D3097" s="3" t="s">
        <v>604</v>
      </c>
      <c r="E3097" s="34" t="str">
        <f>IFERROR(VLOOKUP(tbLOG[[#This Row],[LOGIN]],tbMAPA[#All],2,0), "Não localizado")</f>
        <v>Renan Cazumba Tegani</v>
      </c>
      <c r="F3097" s="34" t="str">
        <f>IFERROR(VLOOKUP(tbLOG[[#This Row],[LOGIN]],tbMAPA[#All],3,0), "Não localizado")</f>
        <v>Reginaldo Santana De Souza</v>
      </c>
      <c r="G3097" s="3" t="s">
        <v>1211</v>
      </c>
      <c r="H3097" s="3" t="s">
        <v>836</v>
      </c>
    </row>
    <row r="3098" spans="1:8">
      <c r="A3098" s="29">
        <v>42753.445393518516</v>
      </c>
      <c r="B3098" s="29" t="str">
        <f>PROPER(TEXT(tbLOG[[#This Row],[DATA/HORA]],"mmmm"))</f>
        <v>Janeiro</v>
      </c>
      <c r="C3098" s="34" t="str">
        <f>PROPER(TEXT(tbLOG[[#This Row],[DATA/HORA]],"dddd"))</f>
        <v>Quarta-Feira</v>
      </c>
      <c r="D3098" s="3" t="s">
        <v>604</v>
      </c>
      <c r="E3098" s="34" t="str">
        <f>IFERROR(VLOOKUP(tbLOG[[#This Row],[LOGIN]],tbMAPA[#All],2,0), "Não localizado")</f>
        <v>Renan Cazumba Tegani</v>
      </c>
      <c r="F3098" s="34" t="str">
        <f>IFERROR(VLOOKUP(tbLOG[[#This Row],[LOGIN]],tbMAPA[#All],3,0), "Não localizado")</f>
        <v>Reginaldo Santana De Souza</v>
      </c>
      <c r="G3098" s="3" t="s">
        <v>1211</v>
      </c>
      <c r="H3098" s="3" t="s">
        <v>836</v>
      </c>
    </row>
    <row r="3099" spans="1:8">
      <c r="A3099" s="29">
        <v>42753.45753472222</v>
      </c>
      <c r="B3099" s="29" t="str">
        <f>PROPER(TEXT(tbLOG[[#This Row],[DATA/HORA]],"mmmm"))</f>
        <v>Janeiro</v>
      </c>
      <c r="C3099" s="34" t="str">
        <f>PROPER(TEXT(tbLOG[[#This Row],[DATA/HORA]],"dddd"))</f>
        <v>Quarta-Feira</v>
      </c>
      <c r="D3099" s="3" t="s">
        <v>604</v>
      </c>
      <c r="E3099" s="34" t="str">
        <f>IFERROR(VLOOKUP(tbLOG[[#This Row],[LOGIN]],tbMAPA[#All],2,0), "Não localizado")</f>
        <v>Renan Cazumba Tegani</v>
      </c>
      <c r="F3099" s="34" t="str">
        <f>IFERROR(VLOOKUP(tbLOG[[#This Row],[LOGIN]],tbMAPA[#All],3,0), "Não localizado")</f>
        <v>Reginaldo Santana De Souza</v>
      </c>
      <c r="G3099" s="3" t="s">
        <v>1211</v>
      </c>
      <c r="H3099" s="3" t="s">
        <v>836</v>
      </c>
    </row>
    <row r="3100" spans="1:8">
      <c r="A3100" s="29">
        <v>42753.457546296297</v>
      </c>
      <c r="B3100" s="29" t="str">
        <f>PROPER(TEXT(tbLOG[[#This Row],[DATA/HORA]],"mmmm"))</f>
        <v>Janeiro</v>
      </c>
      <c r="C3100" s="34" t="str">
        <f>PROPER(TEXT(tbLOG[[#This Row],[DATA/HORA]],"dddd"))</f>
        <v>Quarta-Feira</v>
      </c>
      <c r="D3100" s="3" t="s">
        <v>604</v>
      </c>
      <c r="E3100" s="34" t="str">
        <f>IFERROR(VLOOKUP(tbLOG[[#This Row],[LOGIN]],tbMAPA[#All],2,0), "Não localizado")</f>
        <v>Renan Cazumba Tegani</v>
      </c>
      <c r="F3100" s="34" t="str">
        <f>IFERROR(VLOOKUP(tbLOG[[#This Row],[LOGIN]],tbMAPA[#All],3,0), "Não localizado")</f>
        <v>Reginaldo Santana De Souza</v>
      </c>
      <c r="G3100" s="3" t="s">
        <v>1211</v>
      </c>
      <c r="H3100" s="3" t="s">
        <v>836</v>
      </c>
    </row>
    <row r="3101" spans="1:8">
      <c r="A3101" s="29">
        <v>42753.457627314812</v>
      </c>
      <c r="B3101" s="29" t="str">
        <f>PROPER(TEXT(tbLOG[[#This Row],[DATA/HORA]],"mmmm"))</f>
        <v>Janeiro</v>
      </c>
      <c r="C3101" s="34" t="str">
        <f>PROPER(TEXT(tbLOG[[#This Row],[DATA/HORA]],"dddd"))</f>
        <v>Quarta-Feira</v>
      </c>
      <c r="D3101" s="3" t="s">
        <v>604</v>
      </c>
      <c r="E3101" s="34" t="str">
        <f>IFERROR(VLOOKUP(tbLOG[[#This Row],[LOGIN]],tbMAPA[#All],2,0), "Não localizado")</f>
        <v>Renan Cazumba Tegani</v>
      </c>
      <c r="F3101" s="34" t="str">
        <f>IFERROR(VLOOKUP(tbLOG[[#This Row],[LOGIN]],tbMAPA[#All],3,0), "Não localizado")</f>
        <v>Reginaldo Santana De Souza</v>
      </c>
      <c r="G3101" s="3" t="s">
        <v>1211</v>
      </c>
      <c r="H3101" s="3" t="s">
        <v>836</v>
      </c>
    </row>
    <row r="3102" spans="1:8">
      <c r="A3102" s="29">
        <v>42753.457662037035</v>
      </c>
      <c r="B3102" s="29" t="str">
        <f>PROPER(TEXT(tbLOG[[#This Row],[DATA/HORA]],"mmmm"))</f>
        <v>Janeiro</v>
      </c>
      <c r="C3102" s="34" t="str">
        <f>PROPER(TEXT(tbLOG[[#This Row],[DATA/HORA]],"dddd"))</f>
        <v>Quarta-Feira</v>
      </c>
      <c r="D3102" s="3" t="s">
        <v>604</v>
      </c>
      <c r="E3102" s="34" t="str">
        <f>IFERROR(VLOOKUP(tbLOG[[#This Row],[LOGIN]],tbMAPA[#All],2,0), "Não localizado")</f>
        <v>Renan Cazumba Tegani</v>
      </c>
      <c r="F3102" s="34" t="str">
        <f>IFERROR(VLOOKUP(tbLOG[[#This Row],[LOGIN]],tbMAPA[#All],3,0), "Não localizado")</f>
        <v>Reginaldo Santana De Souza</v>
      </c>
      <c r="G3102" s="3" t="s">
        <v>1211</v>
      </c>
      <c r="H3102" s="3" t="s">
        <v>836</v>
      </c>
    </row>
    <row r="3103" spans="1:8">
      <c r="A3103" s="29">
        <v>42753.488807870373</v>
      </c>
      <c r="B3103" s="29" t="str">
        <f>PROPER(TEXT(tbLOG[[#This Row],[DATA/HORA]],"mmmm"))</f>
        <v>Janeiro</v>
      </c>
      <c r="C3103" s="34" t="str">
        <f>PROPER(TEXT(tbLOG[[#This Row],[DATA/HORA]],"dddd"))</f>
        <v>Quarta-Feira</v>
      </c>
      <c r="D3103" s="3" t="s">
        <v>604</v>
      </c>
      <c r="E3103" s="34" t="str">
        <f>IFERROR(VLOOKUP(tbLOG[[#This Row],[LOGIN]],tbMAPA[#All],2,0), "Não localizado")</f>
        <v>Renan Cazumba Tegani</v>
      </c>
      <c r="F3103" s="34" t="str">
        <f>IFERROR(VLOOKUP(tbLOG[[#This Row],[LOGIN]],tbMAPA[#All],3,0), "Não localizado")</f>
        <v>Reginaldo Santana De Souza</v>
      </c>
      <c r="G3103" s="3" t="s">
        <v>1211</v>
      </c>
      <c r="H3103" s="3" t="s">
        <v>836</v>
      </c>
    </row>
    <row r="3104" spans="1:8">
      <c r="A3104" s="29">
        <v>42753.541828703703</v>
      </c>
      <c r="B3104" s="29" t="str">
        <f>PROPER(TEXT(tbLOG[[#This Row],[DATA/HORA]],"mmmm"))</f>
        <v>Janeiro</v>
      </c>
      <c r="C3104" s="34" t="str">
        <f>PROPER(TEXT(tbLOG[[#This Row],[DATA/HORA]],"dddd"))</f>
        <v>Quarta-Feira</v>
      </c>
      <c r="D3104" s="3" t="s">
        <v>604</v>
      </c>
      <c r="E3104" s="34" t="str">
        <f>IFERROR(VLOOKUP(tbLOG[[#This Row],[LOGIN]],tbMAPA[#All],2,0), "Não localizado")</f>
        <v>Renan Cazumba Tegani</v>
      </c>
      <c r="F3104" s="34" t="str">
        <f>IFERROR(VLOOKUP(tbLOG[[#This Row],[LOGIN]],tbMAPA[#All],3,0), "Não localizado")</f>
        <v>Reginaldo Santana De Souza</v>
      </c>
      <c r="G3104" s="3" t="s">
        <v>1211</v>
      </c>
      <c r="H3104" s="3" t="s">
        <v>309</v>
      </c>
    </row>
    <row r="3105" spans="1:8">
      <c r="A3105" s="29">
        <v>42753.541828703703</v>
      </c>
      <c r="B3105" s="29" t="str">
        <f>PROPER(TEXT(tbLOG[[#This Row],[DATA/HORA]],"mmmm"))</f>
        <v>Janeiro</v>
      </c>
      <c r="C3105" s="34" t="str">
        <f>PROPER(TEXT(tbLOG[[#This Row],[DATA/HORA]],"dddd"))</f>
        <v>Quarta-Feira</v>
      </c>
      <c r="D3105" s="3" t="s">
        <v>604</v>
      </c>
      <c r="E3105" s="34" t="str">
        <f>IFERROR(VLOOKUP(tbLOG[[#This Row],[LOGIN]],tbMAPA[#All],2,0), "Não localizado")</f>
        <v>Renan Cazumba Tegani</v>
      </c>
      <c r="F3105" s="34" t="str">
        <f>IFERROR(VLOOKUP(tbLOG[[#This Row],[LOGIN]],tbMAPA[#All],3,0), "Não localizado")</f>
        <v>Reginaldo Santana De Souza</v>
      </c>
      <c r="G3105" s="3" t="s">
        <v>1211</v>
      </c>
      <c r="H3105" s="3" t="s">
        <v>310</v>
      </c>
    </row>
    <row r="3106" spans="1:8">
      <c r="A3106" s="29">
        <v>42753.541898148149</v>
      </c>
      <c r="B3106" s="29" t="str">
        <f>PROPER(TEXT(tbLOG[[#This Row],[DATA/HORA]],"mmmm"))</f>
        <v>Janeiro</v>
      </c>
      <c r="C3106" s="34" t="str">
        <f>PROPER(TEXT(tbLOG[[#This Row],[DATA/HORA]],"dddd"))</f>
        <v>Quarta-Feira</v>
      </c>
      <c r="D3106" s="3" t="s">
        <v>604</v>
      </c>
      <c r="E3106" s="34" t="str">
        <f>IFERROR(VLOOKUP(tbLOG[[#This Row],[LOGIN]],tbMAPA[#All],2,0), "Não localizado")</f>
        <v>Renan Cazumba Tegani</v>
      </c>
      <c r="F3106" s="34" t="str">
        <f>IFERROR(VLOOKUP(tbLOG[[#This Row],[LOGIN]],tbMAPA[#All],3,0), "Não localizado")</f>
        <v>Reginaldo Santana De Souza</v>
      </c>
      <c r="G3106" s="3" t="s">
        <v>1211</v>
      </c>
      <c r="H3106" s="3" t="s">
        <v>309</v>
      </c>
    </row>
    <row r="3107" spans="1:8">
      <c r="A3107" s="29">
        <v>42753.541898148149</v>
      </c>
      <c r="B3107" s="29" t="str">
        <f>PROPER(TEXT(tbLOG[[#This Row],[DATA/HORA]],"mmmm"))</f>
        <v>Janeiro</v>
      </c>
      <c r="C3107" s="34" t="str">
        <f>PROPER(TEXT(tbLOG[[#This Row],[DATA/HORA]],"dddd"))</f>
        <v>Quarta-Feira</v>
      </c>
      <c r="D3107" s="3" t="s">
        <v>604</v>
      </c>
      <c r="E3107" s="34" t="str">
        <f>IFERROR(VLOOKUP(tbLOG[[#This Row],[LOGIN]],tbMAPA[#All],2,0), "Não localizado")</f>
        <v>Renan Cazumba Tegani</v>
      </c>
      <c r="F3107" s="34" t="str">
        <f>IFERROR(VLOOKUP(tbLOG[[#This Row],[LOGIN]],tbMAPA[#All],3,0), "Não localizado")</f>
        <v>Reginaldo Santana De Souza</v>
      </c>
      <c r="G3107" s="3" t="s">
        <v>1211</v>
      </c>
      <c r="H3107" s="3" t="s">
        <v>309</v>
      </c>
    </row>
    <row r="3108" spans="1:8">
      <c r="A3108" s="29">
        <v>42753.541898148149</v>
      </c>
      <c r="B3108" s="29" t="str">
        <f>PROPER(TEXT(tbLOG[[#This Row],[DATA/HORA]],"mmmm"))</f>
        <v>Janeiro</v>
      </c>
      <c r="C3108" s="34" t="str">
        <f>PROPER(TEXT(tbLOG[[#This Row],[DATA/HORA]],"dddd"))</f>
        <v>Quarta-Feira</v>
      </c>
      <c r="D3108" s="3" t="s">
        <v>604</v>
      </c>
      <c r="E3108" s="34" t="str">
        <f>IFERROR(VLOOKUP(tbLOG[[#This Row],[LOGIN]],tbMAPA[#All],2,0), "Não localizado")</f>
        <v>Renan Cazumba Tegani</v>
      </c>
      <c r="F3108" s="34" t="str">
        <f>IFERROR(VLOOKUP(tbLOG[[#This Row],[LOGIN]],tbMAPA[#All],3,0), "Não localizado")</f>
        <v>Reginaldo Santana De Souza</v>
      </c>
      <c r="G3108" s="3" t="s">
        <v>1211</v>
      </c>
      <c r="H3108" s="3" t="s">
        <v>314</v>
      </c>
    </row>
    <row r="3109" spans="1:8">
      <c r="A3109" s="29">
        <v>42753.60560185185</v>
      </c>
      <c r="B3109" s="29" t="str">
        <f>PROPER(TEXT(tbLOG[[#This Row],[DATA/HORA]],"mmmm"))</f>
        <v>Janeiro</v>
      </c>
      <c r="C3109" s="34" t="str">
        <f>PROPER(TEXT(tbLOG[[#This Row],[DATA/HORA]],"dddd"))</f>
        <v>Quarta-Feira</v>
      </c>
      <c r="D3109" s="3" t="s">
        <v>604</v>
      </c>
      <c r="E3109" s="34" t="str">
        <f>IFERROR(VLOOKUP(tbLOG[[#This Row],[LOGIN]],tbMAPA[#All],2,0), "Não localizado")</f>
        <v>Renan Cazumba Tegani</v>
      </c>
      <c r="F3109" s="34" t="str">
        <f>IFERROR(VLOOKUP(tbLOG[[#This Row],[LOGIN]],tbMAPA[#All],3,0), "Não localizado")</f>
        <v>Reginaldo Santana De Souza</v>
      </c>
      <c r="G3109" s="3" t="s">
        <v>1211</v>
      </c>
      <c r="H3109" s="3" t="s">
        <v>836</v>
      </c>
    </row>
    <row r="3110" spans="1:8">
      <c r="A3110" s="29">
        <v>42753.605682870373</v>
      </c>
      <c r="B3110" s="29" t="str">
        <f>PROPER(TEXT(tbLOG[[#This Row],[DATA/HORA]],"mmmm"))</f>
        <v>Janeiro</v>
      </c>
      <c r="C3110" s="34" t="str">
        <f>PROPER(TEXT(tbLOG[[#This Row],[DATA/HORA]],"dddd"))</f>
        <v>Quarta-Feira</v>
      </c>
      <c r="D3110" s="3" t="s">
        <v>604</v>
      </c>
      <c r="E3110" s="34" t="str">
        <f>IFERROR(VLOOKUP(tbLOG[[#This Row],[LOGIN]],tbMAPA[#All],2,0), "Não localizado")</f>
        <v>Renan Cazumba Tegani</v>
      </c>
      <c r="F3110" s="34" t="str">
        <f>IFERROR(VLOOKUP(tbLOG[[#This Row],[LOGIN]],tbMAPA[#All],3,0), "Não localizado")</f>
        <v>Reginaldo Santana De Souza</v>
      </c>
      <c r="G3110" s="3" t="s">
        <v>1211</v>
      </c>
      <c r="H3110" s="3" t="s">
        <v>836</v>
      </c>
    </row>
    <row r="3111" spans="1:8">
      <c r="A3111" s="29">
        <v>42753.605787037035</v>
      </c>
      <c r="B3111" s="29" t="str">
        <f>PROPER(TEXT(tbLOG[[#This Row],[DATA/HORA]],"mmmm"))</f>
        <v>Janeiro</v>
      </c>
      <c r="C3111" s="34" t="str">
        <f>PROPER(TEXT(tbLOG[[#This Row],[DATA/HORA]],"dddd"))</f>
        <v>Quarta-Feira</v>
      </c>
      <c r="D3111" s="3" t="s">
        <v>604</v>
      </c>
      <c r="E3111" s="34" t="str">
        <f>IFERROR(VLOOKUP(tbLOG[[#This Row],[LOGIN]],tbMAPA[#All],2,0), "Não localizado")</f>
        <v>Renan Cazumba Tegani</v>
      </c>
      <c r="F3111" s="34" t="str">
        <f>IFERROR(VLOOKUP(tbLOG[[#This Row],[LOGIN]],tbMAPA[#All],3,0), "Não localizado")</f>
        <v>Reginaldo Santana De Souza</v>
      </c>
      <c r="G3111" s="3" t="s">
        <v>1211</v>
      </c>
      <c r="H3111" s="3" t="s">
        <v>291</v>
      </c>
    </row>
    <row r="3112" spans="1:8">
      <c r="A3112" s="29">
        <v>42753.605787037035</v>
      </c>
      <c r="B3112" s="29" t="str">
        <f>PROPER(TEXT(tbLOG[[#This Row],[DATA/HORA]],"mmmm"))</f>
        <v>Janeiro</v>
      </c>
      <c r="C3112" s="34" t="str">
        <f>PROPER(TEXT(tbLOG[[#This Row],[DATA/HORA]],"dddd"))</f>
        <v>Quarta-Feira</v>
      </c>
      <c r="D3112" s="3" t="s">
        <v>604</v>
      </c>
      <c r="E3112" s="34" t="str">
        <f>IFERROR(VLOOKUP(tbLOG[[#This Row],[LOGIN]],tbMAPA[#All],2,0), "Não localizado")</f>
        <v>Renan Cazumba Tegani</v>
      </c>
      <c r="F3112" s="34" t="str">
        <f>IFERROR(VLOOKUP(tbLOG[[#This Row],[LOGIN]],tbMAPA[#All],3,0), "Não localizado")</f>
        <v>Reginaldo Santana De Souza</v>
      </c>
      <c r="G3112" s="3" t="s">
        <v>1211</v>
      </c>
      <c r="H3112" s="3" t="s">
        <v>290</v>
      </c>
    </row>
    <row r="3113" spans="1:8">
      <c r="A3113" s="29">
        <v>42753.605995370373</v>
      </c>
      <c r="B3113" s="29" t="str">
        <f>PROPER(TEXT(tbLOG[[#This Row],[DATA/HORA]],"mmmm"))</f>
        <v>Janeiro</v>
      </c>
      <c r="C3113" s="34" t="str">
        <f>PROPER(TEXT(tbLOG[[#This Row],[DATA/HORA]],"dddd"))</f>
        <v>Quarta-Feira</v>
      </c>
      <c r="D3113" s="3" t="s">
        <v>604</v>
      </c>
      <c r="E3113" s="34" t="str">
        <f>IFERROR(VLOOKUP(tbLOG[[#This Row],[LOGIN]],tbMAPA[#All],2,0), "Não localizado")</f>
        <v>Renan Cazumba Tegani</v>
      </c>
      <c r="F3113" s="34" t="str">
        <f>IFERROR(VLOOKUP(tbLOG[[#This Row],[LOGIN]],tbMAPA[#All],3,0), "Não localizado")</f>
        <v>Reginaldo Santana De Souza</v>
      </c>
      <c r="G3113" s="3" t="s">
        <v>1211</v>
      </c>
      <c r="H3113" s="3" t="s">
        <v>994</v>
      </c>
    </row>
    <row r="3114" spans="1:8">
      <c r="A3114" s="29">
        <v>42753.606319444443</v>
      </c>
      <c r="B3114" s="29" t="str">
        <f>PROPER(TEXT(tbLOG[[#This Row],[DATA/HORA]],"mmmm"))</f>
        <v>Janeiro</v>
      </c>
      <c r="C3114" s="34" t="str">
        <f>PROPER(TEXT(tbLOG[[#This Row],[DATA/HORA]],"dddd"))</f>
        <v>Quarta-Feira</v>
      </c>
      <c r="D3114" s="3" t="s">
        <v>604</v>
      </c>
      <c r="E3114" s="34" t="str">
        <f>IFERROR(VLOOKUP(tbLOG[[#This Row],[LOGIN]],tbMAPA[#All],2,0), "Não localizado")</f>
        <v>Renan Cazumba Tegani</v>
      </c>
      <c r="F3114" s="34" t="str">
        <f>IFERROR(VLOOKUP(tbLOG[[#This Row],[LOGIN]],tbMAPA[#All],3,0), "Não localizado")</f>
        <v>Reginaldo Santana De Souza</v>
      </c>
      <c r="G3114" s="3" t="s">
        <v>1211</v>
      </c>
      <c r="H3114" s="3" t="s">
        <v>309</v>
      </c>
    </row>
    <row r="3115" spans="1:8">
      <c r="A3115" s="29">
        <v>42753.606319444443</v>
      </c>
      <c r="B3115" s="29" t="str">
        <f>PROPER(TEXT(tbLOG[[#This Row],[DATA/HORA]],"mmmm"))</f>
        <v>Janeiro</v>
      </c>
      <c r="C3115" s="34" t="str">
        <f>PROPER(TEXT(tbLOG[[#This Row],[DATA/HORA]],"dddd"))</f>
        <v>Quarta-Feira</v>
      </c>
      <c r="D3115" s="3" t="s">
        <v>604</v>
      </c>
      <c r="E3115" s="34" t="str">
        <f>IFERROR(VLOOKUP(tbLOG[[#This Row],[LOGIN]],tbMAPA[#All],2,0), "Não localizado")</f>
        <v>Renan Cazumba Tegani</v>
      </c>
      <c r="F3115" s="34" t="str">
        <f>IFERROR(VLOOKUP(tbLOG[[#This Row],[LOGIN]],tbMAPA[#All],3,0), "Não localizado")</f>
        <v>Reginaldo Santana De Souza</v>
      </c>
      <c r="G3115" s="3" t="s">
        <v>1211</v>
      </c>
      <c r="H3115" s="3" t="s">
        <v>310</v>
      </c>
    </row>
    <row r="3116" spans="1:8">
      <c r="A3116" s="29">
        <v>42753.606354166666</v>
      </c>
      <c r="B3116" s="29" t="str">
        <f>PROPER(TEXT(tbLOG[[#This Row],[DATA/HORA]],"mmmm"))</f>
        <v>Janeiro</v>
      </c>
      <c r="C3116" s="34" t="str">
        <f>PROPER(TEXT(tbLOG[[#This Row],[DATA/HORA]],"dddd"))</f>
        <v>Quarta-Feira</v>
      </c>
      <c r="D3116" s="3" t="s">
        <v>604</v>
      </c>
      <c r="E3116" s="34" t="str">
        <f>IFERROR(VLOOKUP(tbLOG[[#This Row],[LOGIN]],tbMAPA[#All],2,0), "Não localizado")</f>
        <v>Renan Cazumba Tegani</v>
      </c>
      <c r="F3116" s="34" t="str">
        <f>IFERROR(VLOOKUP(tbLOG[[#This Row],[LOGIN]],tbMAPA[#All],3,0), "Não localizado")</f>
        <v>Reginaldo Santana De Souza</v>
      </c>
      <c r="G3116" s="3" t="s">
        <v>1211</v>
      </c>
      <c r="H3116" s="3" t="s">
        <v>309</v>
      </c>
    </row>
    <row r="3117" spans="1:8">
      <c r="A3117" s="29">
        <v>42753.606354166666</v>
      </c>
      <c r="B3117" s="29" t="str">
        <f>PROPER(TEXT(tbLOG[[#This Row],[DATA/HORA]],"mmmm"))</f>
        <v>Janeiro</v>
      </c>
      <c r="C3117" s="34" t="str">
        <f>PROPER(TEXT(tbLOG[[#This Row],[DATA/HORA]],"dddd"))</f>
        <v>Quarta-Feira</v>
      </c>
      <c r="D3117" s="3" t="s">
        <v>604</v>
      </c>
      <c r="E3117" s="34" t="str">
        <f>IFERROR(VLOOKUP(tbLOG[[#This Row],[LOGIN]],tbMAPA[#All],2,0), "Não localizado")</f>
        <v>Renan Cazumba Tegani</v>
      </c>
      <c r="F3117" s="34" t="str">
        <f>IFERROR(VLOOKUP(tbLOG[[#This Row],[LOGIN]],tbMAPA[#All],3,0), "Não localizado")</f>
        <v>Reginaldo Santana De Souza</v>
      </c>
      <c r="G3117" s="3" t="s">
        <v>1211</v>
      </c>
      <c r="H3117" s="3" t="s">
        <v>309</v>
      </c>
    </row>
    <row r="3118" spans="1:8">
      <c r="A3118" s="29">
        <v>42753.606354166666</v>
      </c>
      <c r="B3118" s="29" t="str">
        <f>PROPER(TEXT(tbLOG[[#This Row],[DATA/HORA]],"mmmm"))</f>
        <v>Janeiro</v>
      </c>
      <c r="C3118" s="34" t="str">
        <f>PROPER(TEXT(tbLOG[[#This Row],[DATA/HORA]],"dddd"))</f>
        <v>Quarta-Feira</v>
      </c>
      <c r="D3118" s="3" t="s">
        <v>604</v>
      </c>
      <c r="E3118" s="34" t="str">
        <f>IFERROR(VLOOKUP(tbLOG[[#This Row],[LOGIN]],tbMAPA[#All],2,0), "Não localizado")</f>
        <v>Renan Cazumba Tegani</v>
      </c>
      <c r="F3118" s="34" t="str">
        <f>IFERROR(VLOOKUP(tbLOG[[#This Row],[LOGIN]],tbMAPA[#All],3,0), "Não localizado")</f>
        <v>Reginaldo Santana De Souza</v>
      </c>
      <c r="G3118" s="3" t="s">
        <v>1211</v>
      </c>
      <c r="H3118" s="3" t="s">
        <v>314</v>
      </c>
    </row>
    <row r="3119" spans="1:8">
      <c r="A3119" s="29">
        <v>42753.606423611112</v>
      </c>
      <c r="B3119" s="29" t="str">
        <f>PROPER(TEXT(tbLOG[[#This Row],[DATA/HORA]],"mmmm"))</f>
        <v>Janeiro</v>
      </c>
      <c r="C3119" s="34" t="str">
        <f>PROPER(TEXT(tbLOG[[#This Row],[DATA/HORA]],"dddd"))</f>
        <v>Quarta-Feira</v>
      </c>
      <c r="D3119" s="3" t="s">
        <v>604</v>
      </c>
      <c r="E3119" s="34" t="str">
        <f>IFERROR(VLOOKUP(tbLOG[[#This Row],[LOGIN]],tbMAPA[#All],2,0), "Não localizado")</f>
        <v>Renan Cazumba Tegani</v>
      </c>
      <c r="F3119" s="34" t="str">
        <f>IFERROR(VLOOKUP(tbLOG[[#This Row],[LOGIN]],tbMAPA[#All],3,0), "Não localizado")</f>
        <v>Reginaldo Santana De Souza</v>
      </c>
      <c r="G3119" s="3" t="s">
        <v>1211</v>
      </c>
      <c r="H3119" s="3" t="s">
        <v>291</v>
      </c>
    </row>
    <row r="3120" spans="1:8">
      <c r="A3120" s="29">
        <v>42753.606423611112</v>
      </c>
      <c r="B3120" s="29" t="str">
        <f>PROPER(TEXT(tbLOG[[#This Row],[DATA/HORA]],"mmmm"))</f>
        <v>Janeiro</v>
      </c>
      <c r="C3120" s="34" t="str">
        <f>PROPER(TEXT(tbLOG[[#This Row],[DATA/HORA]],"dddd"))</f>
        <v>Quarta-Feira</v>
      </c>
      <c r="D3120" s="3" t="s">
        <v>604</v>
      </c>
      <c r="E3120" s="34" t="str">
        <f>IFERROR(VLOOKUP(tbLOG[[#This Row],[LOGIN]],tbMAPA[#All],2,0), "Não localizado")</f>
        <v>Renan Cazumba Tegani</v>
      </c>
      <c r="F3120" s="34" t="str">
        <f>IFERROR(VLOOKUP(tbLOG[[#This Row],[LOGIN]],tbMAPA[#All],3,0), "Não localizado")</f>
        <v>Reginaldo Santana De Souza</v>
      </c>
      <c r="G3120" s="3" t="s">
        <v>1211</v>
      </c>
      <c r="H3120" s="3" t="s">
        <v>290</v>
      </c>
    </row>
    <row r="3121" spans="1:8">
      <c r="A3121" s="29">
        <v>42753.606608796297</v>
      </c>
      <c r="B3121" s="29" t="str">
        <f>PROPER(TEXT(tbLOG[[#This Row],[DATA/HORA]],"mmmm"))</f>
        <v>Janeiro</v>
      </c>
      <c r="C3121" s="34" t="str">
        <f>PROPER(TEXT(tbLOG[[#This Row],[DATA/HORA]],"dddd"))</f>
        <v>Quarta-Feira</v>
      </c>
      <c r="D3121" s="3" t="s">
        <v>604</v>
      </c>
      <c r="E3121" s="34" t="str">
        <f>IFERROR(VLOOKUP(tbLOG[[#This Row],[LOGIN]],tbMAPA[#All],2,0), "Não localizado")</f>
        <v>Renan Cazumba Tegani</v>
      </c>
      <c r="F3121" s="34" t="str">
        <f>IFERROR(VLOOKUP(tbLOG[[#This Row],[LOGIN]],tbMAPA[#All],3,0), "Não localizado")</f>
        <v>Reginaldo Santana De Souza</v>
      </c>
      <c r="G3121" s="3" t="s">
        <v>1211</v>
      </c>
      <c r="H3121" s="3" t="s">
        <v>994</v>
      </c>
    </row>
    <row r="3122" spans="1:8">
      <c r="A3122" s="29">
        <v>42753.606990740744</v>
      </c>
      <c r="B3122" s="29" t="str">
        <f>PROPER(TEXT(tbLOG[[#This Row],[DATA/HORA]],"mmmm"))</f>
        <v>Janeiro</v>
      </c>
      <c r="C3122" s="34" t="str">
        <f>PROPER(TEXT(tbLOG[[#This Row],[DATA/HORA]],"dddd"))</f>
        <v>Quarta-Feira</v>
      </c>
      <c r="D3122" s="3" t="s">
        <v>604</v>
      </c>
      <c r="E3122" s="34" t="str">
        <f>IFERROR(VLOOKUP(tbLOG[[#This Row],[LOGIN]],tbMAPA[#All],2,0), "Não localizado")</f>
        <v>Renan Cazumba Tegani</v>
      </c>
      <c r="F3122" s="34" t="str">
        <f>IFERROR(VLOOKUP(tbLOG[[#This Row],[LOGIN]],tbMAPA[#All],3,0), "Não localizado")</f>
        <v>Reginaldo Santana De Souza</v>
      </c>
      <c r="G3122" s="3" t="s">
        <v>1211</v>
      </c>
      <c r="H3122" s="3" t="s">
        <v>291</v>
      </c>
    </row>
    <row r="3123" spans="1:8">
      <c r="A3123" s="29">
        <v>42753.606990740744</v>
      </c>
      <c r="B3123" s="29" t="str">
        <f>PROPER(TEXT(tbLOG[[#This Row],[DATA/HORA]],"mmmm"))</f>
        <v>Janeiro</v>
      </c>
      <c r="C3123" s="34" t="str">
        <f>PROPER(TEXT(tbLOG[[#This Row],[DATA/HORA]],"dddd"))</f>
        <v>Quarta-Feira</v>
      </c>
      <c r="D3123" s="3" t="s">
        <v>604</v>
      </c>
      <c r="E3123" s="34" t="str">
        <f>IFERROR(VLOOKUP(tbLOG[[#This Row],[LOGIN]],tbMAPA[#All],2,0), "Não localizado")</f>
        <v>Renan Cazumba Tegani</v>
      </c>
      <c r="F3123" s="34" t="str">
        <f>IFERROR(VLOOKUP(tbLOG[[#This Row],[LOGIN]],tbMAPA[#All],3,0), "Não localizado")</f>
        <v>Reginaldo Santana De Souza</v>
      </c>
      <c r="G3123" s="3" t="s">
        <v>1211</v>
      </c>
      <c r="H3123" s="3" t="s">
        <v>290</v>
      </c>
    </row>
    <row r="3124" spans="1:8">
      <c r="A3124" s="29">
        <v>42753.612071759257</v>
      </c>
      <c r="B3124" s="29" t="str">
        <f>PROPER(TEXT(tbLOG[[#This Row],[DATA/HORA]],"mmmm"))</f>
        <v>Janeiro</v>
      </c>
      <c r="C3124" s="34" t="str">
        <f>PROPER(TEXT(tbLOG[[#This Row],[DATA/HORA]],"dddd"))</f>
        <v>Quarta-Feira</v>
      </c>
      <c r="D3124" s="3" t="s">
        <v>604</v>
      </c>
      <c r="E3124" s="34" t="str">
        <f>IFERROR(VLOOKUP(tbLOG[[#This Row],[LOGIN]],tbMAPA[#All],2,0), "Não localizado")</f>
        <v>Renan Cazumba Tegani</v>
      </c>
      <c r="F3124" s="34" t="str">
        <f>IFERROR(VLOOKUP(tbLOG[[#This Row],[LOGIN]],tbMAPA[#All],3,0), "Não localizado")</f>
        <v>Reginaldo Santana De Souza</v>
      </c>
      <c r="G3124" s="3" t="s">
        <v>1211</v>
      </c>
      <c r="H3124" s="3" t="s">
        <v>994</v>
      </c>
    </row>
    <row r="3125" spans="1:8">
      <c r="A3125" s="29">
        <v>42753.61383101852</v>
      </c>
      <c r="B3125" s="29" t="str">
        <f>PROPER(TEXT(tbLOG[[#This Row],[DATA/HORA]],"mmmm"))</f>
        <v>Janeiro</v>
      </c>
      <c r="C3125" s="34" t="str">
        <f>PROPER(TEXT(tbLOG[[#This Row],[DATA/HORA]],"dddd"))</f>
        <v>Quarta-Feira</v>
      </c>
      <c r="D3125" s="3" t="s">
        <v>604</v>
      </c>
      <c r="E3125" s="34" t="str">
        <f>IFERROR(VLOOKUP(tbLOG[[#This Row],[LOGIN]],tbMAPA[#All],2,0), "Não localizado")</f>
        <v>Renan Cazumba Tegani</v>
      </c>
      <c r="F3125" s="34" t="str">
        <f>IFERROR(VLOOKUP(tbLOG[[#This Row],[LOGIN]],tbMAPA[#All],3,0), "Não localizado")</f>
        <v>Reginaldo Santana De Souza</v>
      </c>
      <c r="G3125" s="3" t="s">
        <v>1211</v>
      </c>
      <c r="H3125" s="3" t="s">
        <v>836</v>
      </c>
    </row>
    <row r="3126" spans="1:8">
      <c r="A3126" s="29">
        <v>42753.613865740743</v>
      </c>
      <c r="B3126" s="29" t="str">
        <f>PROPER(TEXT(tbLOG[[#This Row],[DATA/HORA]],"mmmm"))</f>
        <v>Janeiro</v>
      </c>
      <c r="C3126" s="34" t="str">
        <f>PROPER(TEXT(tbLOG[[#This Row],[DATA/HORA]],"dddd"))</f>
        <v>Quarta-Feira</v>
      </c>
      <c r="D3126" s="3" t="s">
        <v>604</v>
      </c>
      <c r="E3126" s="34" t="str">
        <f>IFERROR(VLOOKUP(tbLOG[[#This Row],[LOGIN]],tbMAPA[#All],2,0), "Não localizado")</f>
        <v>Renan Cazumba Tegani</v>
      </c>
      <c r="F3126" s="34" t="str">
        <f>IFERROR(VLOOKUP(tbLOG[[#This Row],[LOGIN]],tbMAPA[#All],3,0), "Não localizado")</f>
        <v>Reginaldo Santana De Souza</v>
      </c>
      <c r="G3126" s="3" t="s">
        <v>1211</v>
      </c>
      <c r="H3126" s="3" t="s">
        <v>836</v>
      </c>
    </row>
    <row r="3127" spans="1:8">
      <c r="A3127" s="29">
        <v>42753.613888888889</v>
      </c>
      <c r="B3127" s="29" t="str">
        <f>PROPER(TEXT(tbLOG[[#This Row],[DATA/HORA]],"mmmm"))</f>
        <v>Janeiro</v>
      </c>
      <c r="C3127" s="34" t="str">
        <f>PROPER(TEXT(tbLOG[[#This Row],[DATA/HORA]],"dddd"))</f>
        <v>Quarta-Feira</v>
      </c>
      <c r="D3127" s="3" t="s">
        <v>604</v>
      </c>
      <c r="E3127" s="34" t="str">
        <f>IFERROR(VLOOKUP(tbLOG[[#This Row],[LOGIN]],tbMAPA[#All],2,0), "Não localizado")</f>
        <v>Renan Cazumba Tegani</v>
      </c>
      <c r="F3127" s="34" t="str">
        <f>IFERROR(VLOOKUP(tbLOG[[#This Row],[LOGIN]],tbMAPA[#All],3,0), "Não localizado")</f>
        <v>Reginaldo Santana De Souza</v>
      </c>
      <c r="G3127" s="3" t="s">
        <v>1211</v>
      </c>
      <c r="H3127" s="3" t="s">
        <v>836</v>
      </c>
    </row>
    <row r="3128" spans="1:8">
      <c r="A3128" s="29">
        <v>42753.613946759258</v>
      </c>
      <c r="B3128" s="29" t="str">
        <f>PROPER(TEXT(tbLOG[[#This Row],[DATA/HORA]],"mmmm"))</f>
        <v>Janeiro</v>
      </c>
      <c r="C3128" s="34" t="str">
        <f>PROPER(TEXT(tbLOG[[#This Row],[DATA/HORA]],"dddd"))</f>
        <v>Quarta-Feira</v>
      </c>
      <c r="D3128" s="3" t="s">
        <v>604</v>
      </c>
      <c r="E3128" s="34" t="str">
        <f>IFERROR(VLOOKUP(tbLOG[[#This Row],[LOGIN]],tbMAPA[#All],2,0), "Não localizado")</f>
        <v>Renan Cazumba Tegani</v>
      </c>
      <c r="F3128" s="34" t="str">
        <f>IFERROR(VLOOKUP(tbLOG[[#This Row],[LOGIN]],tbMAPA[#All],3,0), "Não localizado")</f>
        <v>Reginaldo Santana De Souza</v>
      </c>
      <c r="G3128" s="3" t="s">
        <v>1211</v>
      </c>
      <c r="H3128" s="3" t="s">
        <v>836</v>
      </c>
    </row>
    <row r="3129" spans="1:8">
      <c r="A3129" s="29">
        <v>42753.61791666667</v>
      </c>
      <c r="B3129" s="29" t="str">
        <f>PROPER(TEXT(tbLOG[[#This Row],[DATA/HORA]],"mmmm"))</f>
        <v>Janeiro</v>
      </c>
      <c r="C3129" s="34" t="str">
        <f>PROPER(TEXT(tbLOG[[#This Row],[DATA/HORA]],"dddd"))</f>
        <v>Quarta-Feira</v>
      </c>
      <c r="D3129" s="3" t="s">
        <v>604</v>
      </c>
      <c r="E3129" s="34" t="str">
        <f>IFERROR(VLOOKUP(tbLOG[[#This Row],[LOGIN]],tbMAPA[#All],2,0), "Não localizado")</f>
        <v>Renan Cazumba Tegani</v>
      </c>
      <c r="F3129" s="34" t="str">
        <f>IFERROR(VLOOKUP(tbLOG[[#This Row],[LOGIN]],tbMAPA[#All],3,0), "Não localizado")</f>
        <v>Reginaldo Santana De Souza</v>
      </c>
      <c r="G3129" s="3" t="s">
        <v>1211</v>
      </c>
      <c r="H3129" s="3" t="s">
        <v>836</v>
      </c>
    </row>
    <row r="3130" spans="1:8">
      <c r="A3130" s="29">
        <v>42753.617939814816</v>
      </c>
      <c r="B3130" s="29" t="str">
        <f>PROPER(TEXT(tbLOG[[#This Row],[DATA/HORA]],"mmmm"))</f>
        <v>Janeiro</v>
      </c>
      <c r="C3130" s="34" t="str">
        <f>PROPER(TEXT(tbLOG[[#This Row],[DATA/HORA]],"dddd"))</f>
        <v>Quarta-Feira</v>
      </c>
      <c r="D3130" s="3" t="s">
        <v>604</v>
      </c>
      <c r="E3130" s="34" t="str">
        <f>IFERROR(VLOOKUP(tbLOG[[#This Row],[LOGIN]],tbMAPA[#All],2,0), "Não localizado")</f>
        <v>Renan Cazumba Tegani</v>
      </c>
      <c r="F3130" s="34" t="str">
        <f>IFERROR(VLOOKUP(tbLOG[[#This Row],[LOGIN]],tbMAPA[#All],3,0), "Não localizado")</f>
        <v>Reginaldo Santana De Souza</v>
      </c>
      <c r="G3130" s="3" t="s">
        <v>1211</v>
      </c>
      <c r="H3130" s="3" t="s">
        <v>836</v>
      </c>
    </row>
    <row r="3131" spans="1:8">
      <c r="A3131" s="29">
        <v>42753.617986111109</v>
      </c>
      <c r="B3131" s="29" t="str">
        <f>PROPER(TEXT(tbLOG[[#This Row],[DATA/HORA]],"mmmm"))</f>
        <v>Janeiro</v>
      </c>
      <c r="C3131" s="34" t="str">
        <f>PROPER(TEXT(tbLOG[[#This Row],[DATA/HORA]],"dddd"))</f>
        <v>Quarta-Feira</v>
      </c>
      <c r="D3131" s="3" t="s">
        <v>604</v>
      </c>
      <c r="E3131" s="34" t="str">
        <f>IFERROR(VLOOKUP(tbLOG[[#This Row],[LOGIN]],tbMAPA[#All],2,0), "Não localizado")</f>
        <v>Renan Cazumba Tegani</v>
      </c>
      <c r="F3131" s="34" t="str">
        <f>IFERROR(VLOOKUP(tbLOG[[#This Row],[LOGIN]],tbMAPA[#All],3,0), "Não localizado")</f>
        <v>Reginaldo Santana De Souza</v>
      </c>
      <c r="G3131" s="3" t="s">
        <v>1211</v>
      </c>
      <c r="H3131" s="3" t="s">
        <v>836</v>
      </c>
    </row>
    <row r="3132" spans="1:8">
      <c r="A3132" s="29">
        <v>42753.621006944442</v>
      </c>
      <c r="B3132" s="29" t="str">
        <f>PROPER(TEXT(tbLOG[[#This Row],[DATA/HORA]],"mmmm"))</f>
        <v>Janeiro</v>
      </c>
      <c r="C3132" s="34" t="str">
        <f>PROPER(TEXT(tbLOG[[#This Row],[DATA/HORA]],"dddd"))</f>
        <v>Quarta-Feira</v>
      </c>
      <c r="D3132" s="3" t="s">
        <v>604</v>
      </c>
      <c r="E3132" s="34" t="str">
        <f>IFERROR(VLOOKUP(tbLOG[[#This Row],[LOGIN]],tbMAPA[#All],2,0), "Não localizado")</f>
        <v>Renan Cazumba Tegani</v>
      </c>
      <c r="F3132" s="34" t="str">
        <f>IFERROR(VLOOKUP(tbLOG[[#This Row],[LOGIN]],tbMAPA[#All],3,0), "Não localizado")</f>
        <v>Reginaldo Santana De Souza</v>
      </c>
      <c r="G3132" s="3" t="s">
        <v>1211</v>
      </c>
      <c r="H3132" s="3" t="s">
        <v>836</v>
      </c>
    </row>
    <row r="3133" spans="1:8">
      <c r="A3133" s="29">
        <v>42753.621053240742</v>
      </c>
      <c r="B3133" s="29" t="str">
        <f>PROPER(TEXT(tbLOG[[#This Row],[DATA/HORA]],"mmmm"))</f>
        <v>Janeiro</v>
      </c>
      <c r="C3133" s="34" t="str">
        <f>PROPER(TEXT(tbLOG[[#This Row],[DATA/HORA]],"dddd"))</f>
        <v>Quarta-Feira</v>
      </c>
      <c r="D3133" s="3" t="s">
        <v>604</v>
      </c>
      <c r="E3133" s="34" t="str">
        <f>IFERROR(VLOOKUP(tbLOG[[#This Row],[LOGIN]],tbMAPA[#All],2,0), "Não localizado")</f>
        <v>Renan Cazumba Tegani</v>
      </c>
      <c r="F3133" s="34" t="str">
        <f>IFERROR(VLOOKUP(tbLOG[[#This Row],[LOGIN]],tbMAPA[#All],3,0), "Não localizado")</f>
        <v>Reginaldo Santana De Souza</v>
      </c>
      <c r="G3133" s="3" t="s">
        <v>1211</v>
      </c>
      <c r="H3133" s="3" t="s">
        <v>836</v>
      </c>
    </row>
    <row r="3134" spans="1:8">
      <c r="A3134" s="29">
        <v>42753.621076388888</v>
      </c>
      <c r="B3134" s="29" t="str">
        <f>PROPER(TEXT(tbLOG[[#This Row],[DATA/HORA]],"mmmm"))</f>
        <v>Janeiro</v>
      </c>
      <c r="C3134" s="34" t="str">
        <f>PROPER(TEXT(tbLOG[[#This Row],[DATA/HORA]],"dddd"))</f>
        <v>Quarta-Feira</v>
      </c>
      <c r="D3134" s="3" t="s">
        <v>604</v>
      </c>
      <c r="E3134" s="34" t="str">
        <f>IFERROR(VLOOKUP(tbLOG[[#This Row],[LOGIN]],tbMAPA[#All],2,0), "Não localizado")</f>
        <v>Renan Cazumba Tegani</v>
      </c>
      <c r="F3134" s="34" t="str">
        <f>IFERROR(VLOOKUP(tbLOG[[#This Row],[LOGIN]],tbMAPA[#All],3,0), "Não localizado")</f>
        <v>Reginaldo Santana De Souza</v>
      </c>
      <c r="G3134" s="3" t="s">
        <v>1211</v>
      </c>
      <c r="H3134" s="3" t="s">
        <v>836</v>
      </c>
    </row>
    <row r="3135" spans="1:8">
      <c r="A3135" s="29">
        <v>42753.624710648146</v>
      </c>
      <c r="B3135" s="29" t="str">
        <f>PROPER(TEXT(tbLOG[[#This Row],[DATA/HORA]],"mmmm"))</f>
        <v>Janeiro</v>
      </c>
      <c r="C3135" s="34" t="str">
        <f>PROPER(TEXT(tbLOG[[#This Row],[DATA/HORA]],"dddd"))</f>
        <v>Quarta-Feira</v>
      </c>
      <c r="D3135" s="3" t="s">
        <v>604</v>
      </c>
      <c r="E3135" s="34" t="str">
        <f>IFERROR(VLOOKUP(tbLOG[[#This Row],[LOGIN]],tbMAPA[#All],2,0), "Não localizado")</f>
        <v>Renan Cazumba Tegani</v>
      </c>
      <c r="F3135" s="34" t="str">
        <f>IFERROR(VLOOKUP(tbLOG[[#This Row],[LOGIN]],tbMAPA[#All],3,0), "Não localizado")</f>
        <v>Reginaldo Santana De Souza</v>
      </c>
      <c r="G3135" s="3" t="s">
        <v>1211</v>
      </c>
      <c r="H3135" s="3" t="s">
        <v>836</v>
      </c>
    </row>
    <row r="3136" spans="1:8">
      <c r="A3136" s="29">
        <v>42753.624756944446</v>
      </c>
      <c r="B3136" s="29" t="str">
        <f>PROPER(TEXT(tbLOG[[#This Row],[DATA/HORA]],"mmmm"))</f>
        <v>Janeiro</v>
      </c>
      <c r="C3136" s="34" t="str">
        <f>PROPER(TEXT(tbLOG[[#This Row],[DATA/HORA]],"dddd"))</f>
        <v>Quarta-Feira</v>
      </c>
      <c r="D3136" s="3" t="s">
        <v>604</v>
      </c>
      <c r="E3136" s="34" t="str">
        <f>IFERROR(VLOOKUP(tbLOG[[#This Row],[LOGIN]],tbMAPA[#All],2,0), "Não localizado")</f>
        <v>Renan Cazumba Tegani</v>
      </c>
      <c r="F3136" s="34" t="str">
        <f>IFERROR(VLOOKUP(tbLOG[[#This Row],[LOGIN]],tbMAPA[#All],3,0), "Não localizado")</f>
        <v>Reginaldo Santana De Souza</v>
      </c>
      <c r="G3136" s="3" t="s">
        <v>1211</v>
      </c>
      <c r="H3136" s="3" t="s">
        <v>836</v>
      </c>
    </row>
    <row r="3137" spans="1:8">
      <c r="A3137" s="29">
        <v>42753.624791666669</v>
      </c>
      <c r="B3137" s="29" t="str">
        <f>PROPER(TEXT(tbLOG[[#This Row],[DATA/HORA]],"mmmm"))</f>
        <v>Janeiro</v>
      </c>
      <c r="C3137" s="34" t="str">
        <f>PROPER(TEXT(tbLOG[[#This Row],[DATA/HORA]],"dddd"))</f>
        <v>Quarta-Feira</v>
      </c>
      <c r="D3137" s="3" t="s">
        <v>604</v>
      </c>
      <c r="E3137" s="34" t="str">
        <f>IFERROR(VLOOKUP(tbLOG[[#This Row],[LOGIN]],tbMAPA[#All],2,0), "Não localizado")</f>
        <v>Renan Cazumba Tegani</v>
      </c>
      <c r="F3137" s="34" t="str">
        <f>IFERROR(VLOOKUP(tbLOG[[#This Row],[LOGIN]],tbMAPA[#All],3,0), "Não localizado")</f>
        <v>Reginaldo Santana De Souza</v>
      </c>
      <c r="G3137" s="3" t="s">
        <v>1211</v>
      </c>
      <c r="H3137" s="3" t="s">
        <v>836</v>
      </c>
    </row>
    <row r="3138" spans="1:8">
      <c r="A3138" s="29">
        <v>42753.626284722224</v>
      </c>
      <c r="B3138" s="29" t="str">
        <f>PROPER(TEXT(tbLOG[[#This Row],[DATA/HORA]],"mmmm"))</f>
        <v>Janeiro</v>
      </c>
      <c r="C3138" s="34" t="str">
        <f>PROPER(TEXT(tbLOG[[#This Row],[DATA/HORA]],"dddd"))</f>
        <v>Quarta-Feira</v>
      </c>
      <c r="D3138" s="3" t="s">
        <v>604</v>
      </c>
      <c r="E3138" s="34" t="str">
        <f>IFERROR(VLOOKUP(tbLOG[[#This Row],[LOGIN]],tbMAPA[#All],2,0), "Não localizado")</f>
        <v>Renan Cazumba Tegani</v>
      </c>
      <c r="F3138" s="34" t="str">
        <f>IFERROR(VLOOKUP(tbLOG[[#This Row],[LOGIN]],tbMAPA[#All],3,0), "Não localizado")</f>
        <v>Reginaldo Santana De Souza</v>
      </c>
      <c r="G3138" s="3" t="s">
        <v>1211</v>
      </c>
      <c r="H3138" s="3" t="s">
        <v>836</v>
      </c>
    </row>
    <row r="3139" spans="1:8">
      <c r="A3139" s="29">
        <v>42753.626307870371</v>
      </c>
      <c r="B3139" s="29" t="str">
        <f>PROPER(TEXT(tbLOG[[#This Row],[DATA/HORA]],"mmmm"))</f>
        <v>Janeiro</v>
      </c>
      <c r="C3139" s="34" t="str">
        <f>PROPER(TEXT(tbLOG[[#This Row],[DATA/HORA]],"dddd"))</f>
        <v>Quarta-Feira</v>
      </c>
      <c r="D3139" s="3" t="s">
        <v>604</v>
      </c>
      <c r="E3139" s="34" t="str">
        <f>IFERROR(VLOOKUP(tbLOG[[#This Row],[LOGIN]],tbMAPA[#All],2,0), "Não localizado")</f>
        <v>Renan Cazumba Tegani</v>
      </c>
      <c r="F3139" s="34" t="str">
        <f>IFERROR(VLOOKUP(tbLOG[[#This Row],[LOGIN]],tbMAPA[#All],3,0), "Não localizado")</f>
        <v>Reginaldo Santana De Souza</v>
      </c>
      <c r="G3139" s="3" t="s">
        <v>1211</v>
      </c>
      <c r="H3139" s="3" t="s">
        <v>836</v>
      </c>
    </row>
    <row r="3140" spans="1:8">
      <c r="A3140" s="29">
        <v>42753.626331018517</v>
      </c>
      <c r="B3140" s="29" t="str">
        <f>PROPER(TEXT(tbLOG[[#This Row],[DATA/HORA]],"mmmm"))</f>
        <v>Janeiro</v>
      </c>
      <c r="C3140" s="34" t="str">
        <f>PROPER(TEXT(tbLOG[[#This Row],[DATA/HORA]],"dddd"))</f>
        <v>Quarta-Feira</v>
      </c>
      <c r="D3140" s="3" t="s">
        <v>604</v>
      </c>
      <c r="E3140" s="34" t="str">
        <f>IFERROR(VLOOKUP(tbLOG[[#This Row],[LOGIN]],tbMAPA[#All],2,0), "Não localizado")</f>
        <v>Renan Cazumba Tegani</v>
      </c>
      <c r="F3140" s="34" t="str">
        <f>IFERROR(VLOOKUP(tbLOG[[#This Row],[LOGIN]],tbMAPA[#All],3,0), "Não localizado")</f>
        <v>Reginaldo Santana De Souza</v>
      </c>
      <c r="G3140" s="3" t="s">
        <v>1211</v>
      </c>
      <c r="H3140" s="3" t="s">
        <v>836</v>
      </c>
    </row>
    <row r="3141" spans="1:8">
      <c r="A3141" s="29">
        <v>42753.631180555552</v>
      </c>
      <c r="B3141" s="29" t="str">
        <f>PROPER(TEXT(tbLOG[[#This Row],[DATA/HORA]],"mmmm"))</f>
        <v>Janeiro</v>
      </c>
      <c r="C3141" s="34" t="str">
        <f>PROPER(TEXT(tbLOG[[#This Row],[DATA/HORA]],"dddd"))</f>
        <v>Quarta-Feira</v>
      </c>
      <c r="D3141" s="3" t="s">
        <v>604</v>
      </c>
      <c r="E3141" s="34" t="str">
        <f>IFERROR(VLOOKUP(tbLOG[[#This Row],[LOGIN]],tbMAPA[#All],2,0), "Não localizado")</f>
        <v>Renan Cazumba Tegani</v>
      </c>
      <c r="F3141" s="34" t="str">
        <f>IFERROR(VLOOKUP(tbLOG[[#This Row],[LOGIN]],tbMAPA[#All],3,0), "Não localizado")</f>
        <v>Reginaldo Santana De Souza</v>
      </c>
      <c r="G3141" s="3" t="s">
        <v>1211</v>
      </c>
      <c r="H3141" s="3" t="s">
        <v>836</v>
      </c>
    </row>
    <row r="3142" spans="1:8">
      <c r="A3142" s="29">
        <v>42753.631215277775</v>
      </c>
      <c r="B3142" s="29" t="str">
        <f>PROPER(TEXT(tbLOG[[#This Row],[DATA/HORA]],"mmmm"))</f>
        <v>Janeiro</v>
      </c>
      <c r="C3142" s="34" t="str">
        <f>PROPER(TEXT(tbLOG[[#This Row],[DATA/HORA]],"dddd"))</f>
        <v>Quarta-Feira</v>
      </c>
      <c r="D3142" s="3" t="s">
        <v>604</v>
      </c>
      <c r="E3142" s="34" t="str">
        <f>IFERROR(VLOOKUP(tbLOG[[#This Row],[LOGIN]],tbMAPA[#All],2,0), "Não localizado")</f>
        <v>Renan Cazumba Tegani</v>
      </c>
      <c r="F3142" s="34" t="str">
        <f>IFERROR(VLOOKUP(tbLOG[[#This Row],[LOGIN]],tbMAPA[#All],3,0), "Não localizado")</f>
        <v>Reginaldo Santana De Souza</v>
      </c>
      <c r="G3142" s="3" t="s">
        <v>1211</v>
      </c>
      <c r="H3142" s="3" t="s">
        <v>836</v>
      </c>
    </row>
    <row r="3143" spans="1:8">
      <c r="A3143" s="29">
        <v>42753.631249999999</v>
      </c>
      <c r="B3143" s="29" t="str">
        <f>PROPER(TEXT(tbLOG[[#This Row],[DATA/HORA]],"mmmm"))</f>
        <v>Janeiro</v>
      </c>
      <c r="C3143" s="34" t="str">
        <f>PROPER(TEXT(tbLOG[[#This Row],[DATA/HORA]],"dddd"))</f>
        <v>Quarta-Feira</v>
      </c>
      <c r="D3143" s="3" t="s">
        <v>604</v>
      </c>
      <c r="E3143" s="34" t="str">
        <f>IFERROR(VLOOKUP(tbLOG[[#This Row],[LOGIN]],tbMAPA[#All],2,0), "Não localizado")</f>
        <v>Renan Cazumba Tegani</v>
      </c>
      <c r="F3143" s="34" t="str">
        <f>IFERROR(VLOOKUP(tbLOG[[#This Row],[LOGIN]],tbMAPA[#All],3,0), "Não localizado")</f>
        <v>Reginaldo Santana De Souza</v>
      </c>
      <c r="G3143" s="3" t="s">
        <v>1211</v>
      </c>
      <c r="H3143" s="3" t="s">
        <v>836</v>
      </c>
    </row>
    <row r="3144" spans="1:8">
      <c r="A3144" s="29">
        <v>42753.631296296298</v>
      </c>
      <c r="B3144" s="29" t="str">
        <f>PROPER(TEXT(tbLOG[[#This Row],[DATA/HORA]],"mmmm"))</f>
        <v>Janeiro</v>
      </c>
      <c r="C3144" s="34" t="str">
        <f>PROPER(TEXT(tbLOG[[#This Row],[DATA/HORA]],"dddd"))</f>
        <v>Quarta-Feira</v>
      </c>
      <c r="D3144" s="3" t="s">
        <v>604</v>
      </c>
      <c r="E3144" s="34" t="str">
        <f>IFERROR(VLOOKUP(tbLOG[[#This Row],[LOGIN]],tbMAPA[#All],2,0), "Não localizado")</f>
        <v>Renan Cazumba Tegani</v>
      </c>
      <c r="F3144" s="34" t="str">
        <f>IFERROR(VLOOKUP(tbLOG[[#This Row],[LOGIN]],tbMAPA[#All],3,0), "Não localizado")</f>
        <v>Reginaldo Santana De Souza</v>
      </c>
      <c r="G3144" s="3" t="s">
        <v>1211</v>
      </c>
      <c r="H3144" s="3" t="s">
        <v>836</v>
      </c>
    </row>
    <row r="3145" spans="1:8">
      <c r="A3145" s="29">
        <v>42753.631412037037</v>
      </c>
      <c r="B3145" s="29" t="str">
        <f>PROPER(TEXT(tbLOG[[#This Row],[DATA/HORA]],"mmmm"))</f>
        <v>Janeiro</v>
      </c>
      <c r="C3145" s="34" t="str">
        <f>PROPER(TEXT(tbLOG[[#This Row],[DATA/HORA]],"dddd"))</f>
        <v>Quarta-Feira</v>
      </c>
      <c r="D3145" s="3" t="s">
        <v>604</v>
      </c>
      <c r="E3145" s="34" t="str">
        <f>IFERROR(VLOOKUP(tbLOG[[#This Row],[LOGIN]],tbMAPA[#All],2,0), "Não localizado")</f>
        <v>Renan Cazumba Tegani</v>
      </c>
      <c r="F3145" s="34" t="str">
        <f>IFERROR(VLOOKUP(tbLOG[[#This Row],[LOGIN]],tbMAPA[#All],3,0), "Não localizado")</f>
        <v>Reginaldo Santana De Souza</v>
      </c>
      <c r="G3145" s="3" t="s">
        <v>1211</v>
      </c>
      <c r="H3145" s="3" t="s">
        <v>836</v>
      </c>
    </row>
    <row r="3146" spans="1:8">
      <c r="A3146" s="29">
        <v>42753.631423611114</v>
      </c>
      <c r="B3146" s="29" t="str">
        <f>PROPER(TEXT(tbLOG[[#This Row],[DATA/HORA]],"mmmm"))</f>
        <v>Janeiro</v>
      </c>
      <c r="C3146" s="34" t="str">
        <f>PROPER(TEXT(tbLOG[[#This Row],[DATA/HORA]],"dddd"))</f>
        <v>Quarta-Feira</v>
      </c>
      <c r="D3146" s="3" t="s">
        <v>604</v>
      </c>
      <c r="E3146" s="34" t="str">
        <f>IFERROR(VLOOKUP(tbLOG[[#This Row],[LOGIN]],tbMAPA[#All],2,0), "Não localizado")</f>
        <v>Renan Cazumba Tegani</v>
      </c>
      <c r="F3146" s="34" t="str">
        <f>IFERROR(VLOOKUP(tbLOG[[#This Row],[LOGIN]],tbMAPA[#All],3,0), "Não localizado")</f>
        <v>Reginaldo Santana De Souza</v>
      </c>
      <c r="G3146" s="3" t="s">
        <v>1211</v>
      </c>
      <c r="H3146" s="3" t="s">
        <v>836</v>
      </c>
    </row>
    <row r="3147" spans="1:8">
      <c r="A3147" s="29">
        <v>42753.631435185183</v>
      </c>
      <c r="B3147" s="29" t="str">
        <f>PROPER(TEXT(tbLOG[[#This Row],[DATA/HORA]],"mmmm"))</f>
        <v>Janeiro</v>
      </c>
      <c r="C3147" s="34" t="str">
        <f>PROPER(TEXT(tbLOG[[#This Row],[DATA/HORA]],"dddd"))</f>
        <v>Quarta-Feira</v>
      </c>
      <c r="D3147" s="3" t="s">
        <v>604</v>
      </c>
      <c r="E3147" s="34" t="str">
        <f>IFERROR(VLOOKUP(tbLOG[[#This Row],[LOGIN]],tbMAPA[#All],2,0), "Não localizado")</f>
        <v>Renan Cazumba Tegani</v>
      </c>
      <c r="F3147" s="34" t="str">
        <f>IFERROR(VLOOKUP(tbLOG[[#This Row],[LOGIN]],tbMAPA[#All],3,0), "Não localizado")</f>
        <v>Reginaldo Santana De Souza</v>
      </c>
      <c r="G3147" s="3" t="s">
        <v>1211</v>
      </c>
      <c r="H3147" s="3" t="s">
        <v>836</v>
      </c>
    </row>
    <row r="3148" spans="1:8">
      <c r="A3148" s="29">
        <v>42753.63144675926</v>
      </c>
      <c r="B3148" s="29" t="str">
        <f>PROPER(TEXT(tbLOG[[#This Row],[DATA/HORA]],"mmmm"))</f>
        <v>Janeiro</v>
      </c>
      <c r="C3148" s="34" t="str">
        <f>PROPER(TEXT(tbLOG[[#This Row],[DATA/HORA]],"dddd"))</f>
        <v>Quarta-Feira</v>
      </c>
      <c r="D3148" s="3" t="s">
        <v>604</v>
      </c>
      <c r="E3148" s="34" t="str">
        <f>IFERROR(VLOOKUP(tbLOG[[#This Row],[LOGIN]],tbMAPA[#All],2,0), "Não localizado")</f>
        <v>Renan Cazumba Tegani</v>
      </c>
      <c r="F3148" s="34" t="str">
        <f>IFERROR(VLOOKUP(tbLOG[[#This Row],[LOGIN]],tbMAPA[#All],3,0), "Não localizado")</f>
        <v>Reginaldo Santana De Souza</v>
      </c>
      <c r="G3148" s="3" t="s">
        <v>1211</v>
      </c>
      <c r="H3148" s="3" t="s">
        <v>836</v>
      </c>
    </row>
    <row r="3149" spans="1:8">
      <c r="A3149" s="29">
        <v>42753.631458333337</v>
      </c>
      <c r="B3149" s="29" t="str">
        <f>PROPER(TEXT(tbLOG[[#This Row],[DATA/HORA]],"mmmm"))</f>
        <v>Janeiro</v>
      </c>
      <c r="C3149" s="34" t="str">
        <f>PROPER(TEXT(tbLOG[[#This Row],[DATA/HORA]],"dddd"))</f>
        <v>Quarta-Feira</v>
      </c>
      <c r="D3149" s="3" t="s">
        <v>604</v>
      </c>
      <c r="E3149" s="34" t="str">
        <f>IFERROR(VLOOKUP(tbLOG[[#This Row],[LOGIN]],tbMAPA[#All],2,0), "Não localizado")</f>
        <v>Renan Cazumba Tegani</v>
      </c>
      <c r="F3149" s="34" t="str">
        <f>IFERROR(VLOOKUP(tbLOG[[#This Row],[LOGIN]],tbMAPA[#All],3,0), "Não localizado")</f>
        <v>Reginaldo Santana De Souza</v>
      </c>
      <c r="G3149" s="3" t="s">
        <v>1211</v>
      </c>
      <c r="H3149" s="3" t="s">
        <v>836</v>
      </c>
    </row>
    <row r="3150" spans="1:8">
      <c r="A3150" s="29">
        <v>42753.631504629629</v>
      </c>
      <c r="B3150" s="29" t="str">
        <f>PROPER(TEXT(tbLOG[[#This Row],[DATA/HORA]],"mmmm"))</f>
        <v>Janeiro</v>
      </c>
      <c r="C3150" s="34" t="str">
        <f>PROPER(TEXT(tbLOG[[#This Row],[DATA/HORA]],"dddd"))</f>
        <v>Quarta-Feira</v>
      </c>
      <c r="D3150" s="3" t="s">
        <v>604</v>
      </c>
      <c r="E3150" s="34" t="str">
        <f>IFERROR(VLOOKUP(tbLOG[[#This Row],[LOGIN]],tbMAPA[#All],2,0), "Não localizado")</f>
        <v>Renan Cazumba Tegani</v>
      </c>
      <c r="F3150" s="34" t="str">
        <f>IFERROR(VLOOKUP(tbLOG[[#This Row],[LOGIN]],tbMAPA[#All],3,0), "Não localizado")</f>
        <v>Reginaldo Santana De Souza</v>
      </c>
      <c r="G3150" s="3" t="s">
        <v>1211</v>
      </c>
      <c r="H3150" s="3" t="s">
        <v>836</v>
      </c>
    </row>
    <row r="3151" spans="1:8">
      <c r="A3151" s="29">
        <v>42753.631539351853</v>
      </c>
      <c r="B3151" s="29" t="str">
        <f>PROPER(TEXT(tbLOG[[#This Row],[DATA/HORA]],"mmmm"))</f>
        <v>Janeiro</v>
      </c>
      <c r="C3151" s="34" t="str">
        <f>PROPER(TEXT(tbLOG[[#This Row],[DATA/HORA]],"dddd"))</f>
        <v>Quarta-Feira</v>
      </c>
      <c r="D3151" s="3" t="s">
        <v>604</v>
      </c>
      <c r="E3151" s="34" t="str">
        <f>IFERROR(VLOOKUP(tbLOG[[#This Row],[LOGIN]],tbMAPA[#All],2,0), "Não localizado")</f>
        <v>Renan Cazumba Tegani</v>
      </c>
      <c r="F3151" s="34" t="str">
        <f>IFERROR(VLOOKUP(tbLOG[[#This Row],[LOGIN]],tbMAPA[#All],3,0), "Não localizado")</f>
        <v>Reginaldo Santana De Souza</v>
      </c>
      <c r="G3151" s="3" t="s">
        <v>1211</v>
      </c>
      <c r="H3151" s="3" t="s">
        <v>836</v>
      </c>
    </row>
    <row r="3152" spans="1:8">
      <c r="A3152" s="29">
        <v>42753.631597222222</v>
      </c>
      <c r="B3152" s="29" t="str">
        <f>PROPER(TEXT(tbLOG[[#This Row],[DATA/HORA]],"mmmm"))</f>
        <v>Janeiro</v>
      </c>
      <c r="C3152" s="34" t="str">
        <f>PROPER(TEXT(tbLOG[[#This Row],[DATA/HORA]],"dddd"))</f>
        <v>Quarta-Feira</v>
      </c>
      <c r="D3152" s="3" t="s">
        <v>604</v>
      </c>
      <c r="E3152" s="34" t="str">
        <f>IFERROR(VLOOKUP(tbLOG[[#This Row],[LOGIN]],tbMAPA[#All],2,0), "Não localizado")</f>
        <v>Renan Cazumba Tegani</v>
      </c>
      <c r="F3152" s="34" t="str">
        <f>IFERROR(VLOOKUP(tbLOG[[#This Row],[LOGIN]],tbMAPA[#All],3,0), "Não localizado")</f>
        <v>Reginaldo Santana De Souza</v>
      </c>
      <c r="G3152" s="3" t="s">
        <v>1211</v>
      </c>
      <c r="H3152" s="3" t="s">
        <v>836</v>
      </c>
    </row>
    <row r="3153" spans="1:8">
      <c r="A3153" s="29">
        <v>42753.636921296296</v>
      </c>
      <c r="B3153" s="29" t="str">
        <f>PROPER(TEXT(tbLOG[[#This Row],[DATA/HORA]],"mmmm"))</f>
        <v>Janeiro</v>
      </c>
      <c r="C3153" s="34" t="str">
        <f>PROPER(TEXT(tbLOG[[#This Row],[DATA/HORA]],"dddd"))</f>
        <v>Quarta-Feira</v>
      </c>
      <c r="D3153" s="3" t="s">
        <v>604</v>
      </c>
      <c r="E3153" s="34" t="str">
        <f>IFERROR(VLOOKUP(tbLOG[[#This Row],[LOGIN]],tbMAPA[#All],2,0), "Não localizado")</f>
        <v>Renan Cazumba Tegani</v>
      </c>
      <c r="F3153" s="34" t="str">
        <f>IFERROR(VLOOKUP(tbLOG[[#This Row],[LOGIN]],tbMAPA[#All],3,0), "Não localizado")</f>
        <v>Reginaldo Santana De Souza</v>
      </c>
      <c r="G3153" s="3" t="s">
        <v>1211</v>
      </c>
      <c r="H3153" s="3" t="s">
        <v>836</v>
      </c>
    </row>
    <row r="3154" spans="1:8">
      <c r="A3154" s="29">
        <v>42753.636967592596</v>
      </c>
      <c r="B3154" s="29" t="str">
        <f>PROPER(TEXT(tbLOG[[#This Row],[DATA/HORA]],"mmmm"))</f>
        <v>Janeiro</v>
      </c>
      <c r="C3154" s="34" t="str">
        <f>PROPER(TEXT(tbLOG[[#This Row],[DATA/HORA]],"dddd"))</f>
        <v>Quarta-Feira</v>
      </c>
      <c r="D3154" s="3" t="s">
        <v>604</v>
      </c>
      <c r="E3154" s="34" t="str">
        <f>IFERROR(VLOOKUP(tbLOG[[#This Row],[LOGIN]],tbMAPA[#All],2,0), "Não localizado")</f>
        <v>Renan Cazumba Tegani</v>
      </c>
      <c r="F3154" s="34" t="str">
        <f>IFERROR(VLOOKUP(tbLOG[[#This Row],[LOGIN]],tbMAPA[#All],3,0), "Não localizado")</f>
        <v>Reginaldo Santana De Souza</v>
      </c>
      <c r="G3154" s="3" t="s">
        <v>1211</v>
      </c>
      <c r="H3154" s="3" t="s">
        <v>290</v>
      </c>
    </row>
    <row r="3155" spans="1:8">
      <c r="A3155" s="29">
        <v>42753.637037037035</v>
      </c>
      <c r="B3155" s="29" t="str">
        <f>PROPER(TEXT(tbLOG[[#This Row],[DATA/HORA]],"mmmm"))</f>
        <v>Janeiro</v>
      </c>
      <c r="C3155" s="34" t="str">
        <f>PROPER(TEXT(tbLOG[[#This Row],[DATA/HORA]],"dddd"))</f>
        <v>Quarta-Feira</v>
      </c>
      <c r="D3155" s="3" t="s">
        <v>604</v>
      </c>
      <c r="E3155" s="34" t="str">
        <f>IFERROR(VLOOKUP(tbLOG[[#This Row],[LOGIN]],tbMAPA[#All],2,0), "Não localizado")</f>
        <v>Renan Cazumba Tegani</v>
      </c>
      <c r="F3155" s="34" t="str">
        <f>IFERROR(VLOOKUP(tbLOG[[#This Row],[LOGIN]],tbMAPA[#All],3,0), "Não localizado")</f>
        <v>Reginaldo Santana De Souza</v>
      </c>
      <c r="G3155" s="3" t="s">
        <v>1211</v>
      </c>
      <c r="H3155" s="3" t="s">
        <v>291</v>
      </c>
    </row>
    <row r="3156" spans="1:8">
      <c r="A3156" s="29">
        <v>42753.637037037035</v>
      </c>
      <c r="B3156" s="29" t="str">
        <f>PROPER(TEXT(tbLOG[[#This Row],[DATA/HORA]],"mmmm"))</f>
        <v>Janeiro</v>
      </c>
      <c r="C3156" s="34" t="str">
        <f>PROPER(TEXT(tbLOG[[#This Row],[DATA/HORA]],"dddd"))</f>
        <v>Quarta-Feira</v>
      </c>
      <c r="D3156" s="3" t="s">
        <v>604</v>
      </c>
      <c r="E3156" s="34" t="str">
        <f>IFERROR(VLOOKUP(tbLOG[[#This Row],[LOGIN]],tbMAPA[#All],2,0), "Não localizado")</f>
        <v>Renan Cazumba Tegani</v>
      </c>
      <c r="F3156" s="34" t="str">
        <f>IFERROR(VLOOKUP(tbLOG[[#This Row],[LOGIN]],tbMAPA[#All],3,0), "Não localizado")</f>
        <v>Reginaldo Santana De Souza</v>
      </c>
      <c r="G3156" s="3" t="s">
        <v>1211</v>
      </c>
      <c r="H3156" s="3" t="s">
        <v>290</v>
      </c>
    </row>
    <row r="3157" spans="1:8">
      <c r="A3157" s="29">
        <v>42753.726261574076</v>
      </c>
      <c r="B3157" s="29" t="str">
        <f>PROPER(TEXT(tbLOG[[#This Row],[DATA/HORA]],"mmmm"))</f>
        <v>Janeiro</v>
      </c>
      <c r="C3157" s="34" t="str">
        <f>PROPER(TEXT(tbLOG[[#This Row],[DATA/HORA]],"dddd"))</f>
        <v>Quarta-Feira</v>
      </c>
      <c r="D3157" s="3" t="s">
        <v>604</v>
      </c>
      <c r="E3157" s="34" t="str">
        <f>IFERROR(VLOOKUP(tbLOG[[#This Row],[LOGIN]],tbMAPA[#All],2,0), "Não localizado")</f>
        <v>Renan Cazumba Tegani</v>
      </c>
      <c r="F3157" s="34" t="str">
        <f>IFERROR(VLOOKUP(tbLOG[[#This Row],[LOGIN]],tbMAPA[#All],3,0), "Não localizado")</f>
        <v>Reginaldo Santana De Souza</v>
      </c>
      <c r="G3157" s="3" t="s">
        <v>1211</v>
      </c>
      <c r="H3157" s="3" t="s">
        <v>994</v>
      </c>
    </row>
    <row r="3158" spans="1:8">
      <c r="A3158" s="29">
        <v>42753.726342592592</v>
      </c>
      <c r="B3158" s="29" t="str">
        <f>PROPER(TEXT(tbLOG[[#This Row],[DATA/HORA]],"mmmm"))</f>
        <v>Janeiro</v>
      </c>
      <c r="C3158" s="34" t="str">
        <f>PROPER(TEXT(tbLOG[[#This Row],[DATA/HORA]],"dddd"))</f>
        <v>Quarta-Feira</v>
      </c>
      <c r="D3158" s="3" t="s">
        <v>604</v>
      </c>
      <c r="E3158" s="34" t="str">
        <f>IFERROR(VLOOKUP(tbLOG[[#This Row],[LOGIN]],tbMAPA[#All],2,0), "Não localizado")</f>
        <v>Renan Cazumba Tegani</v>
      </c>
      <c r="F3158" s="34" t="str">
        <f>IFERROR(VLOOKUP(tbLOG[[#This Row],[LOGIN]],tbMAPA[#All],3,0), "Não localizado")</f>
        <v>Reginaldo Santana De Souza</v>
      </c>
      <c r="G3158" s="3" t="s">
        <v>1211</v>
      </c>
      <c r="H3158" s="3" t="s">
        <v>309</v>
      </c>
    </row>
    <row r="3159" spans="1:8">
      <c r="A3159" s="29">
        <v>42753.726342592592</v>
      </c>
      <c r="B3159" s="29" t="str">
        <f>PROPER(TEXT(tbLOG[[#This Row],[DATA/HORA]],"mmmm"))</f>
        <v>Janeiro</v>
      </c>
      <c r="C3159" s="34" t="str">
        <f>PROPER(TEXT(tbLOG[[#This Row],[DATA/HORA]],"dddd"))</f>
        <v>Quarta-Feira</v>
      </c>
      <c r="D3159" s="3" t="s">
        <v>604</v>
      </c>
      <c r="E3159" s="34" t="str">
        <f>IFERROR(VLOOKUP(tbLOG[[#This Row],[LOGIN]],tbMAPA[#All],2,0), "Não localizado")</f>
        <v>Renan Cazumba Tegani</v>
      </c>
      <c r="F3159" s="34" t="str">
        <f>IFERROR(VLOOKUP(tbLOG[[#This Row],[LOGIN]],tbMAPA[#All],3,0), "Não localizado")</f>
        <v>Reginaldo Santana De Souza</v>
      </c>
      <c r="G3159" s="3" t="s">
        <v>1211</v>
      </c>
      <c r="H3159" s="3" t="s">
        <v>310</v>
      </c>
    </row>
    <row r="3160" spans="1:8">
      <c r="A3160" s="29">
        <v>42753.726377314815</v>
      </c>
      <c r="B3160" s="29" t="str">
        <f>PROPER(TEXT(tbLOG[[#This Row],[DATA/HORA]],"mmmm"))</f>
        <v>Janeiro</v>
      </c>
      <c r="C3160" s="34" t="str">
        <f>PROPER(TEXT(tbLOG[[#This Row],[DATA/HORA]],"dddd"))</f>
        <v>Quarta-Feira</v>
      </c>
      <c r="D3160" s="3" t="s">
        <v>604</v>
      </c>
      <c r="E3160" s="34" t="str">
        <f>IFERROR(VLOOKUP(tbLOG[[#This Row],[LOGIN]],tbMAPA[#All],2,0), "Não localizado")</f>
        <v>Renan Cazumba Tegani</v>
      </c>
      <c r="F3160" s="34" t="str">
        <f>IFERROR(VLOOKUP(tbLOG[[#This Row],[LOGIN]],tbMAPA[#All],3,0), "Não localizado")</f>
        <v>Reginaldo Santana De Souza</v>
      </c>
      <c r="G3160" s="3" t="s">
        <v>1211</v>
      </c>
      <c r="H3160" s="3" t="s">
        <v>309</v>
      </c>
    </row>
    <row r="3161" spans="1:8">
      <c r="A3161" s="29">
        <v>42753.726377314815</v>
      </c>
      <c r="B3161" s="29" t="str">
        <f>PROPER(TEXT(tbLOG[[#This Row],[DATA/HORA]],"mmmm"))</f>
        <v>Janeiro</v>
      </c>
      <c r="C3161" s="34" t="str">
        <f>PROPER(TEXT(tbLOG[[#This Row],[DATA/HORA]],"dddd"))</f>
        <v>Quarta-Feira</v>
      </c>
      <c r="D3161" s="3" t="s">
        <v>604</v>
      </c>
      <c r="E3161" s="34" t="str">
        <f>IFERROR(VLOOKUP(tbLOG[[#This Row],[LOGIN]],tbMAPA[#All],2,0), "Não localizado")</f>
        <v>Renan Cazumba Tegani</v>
      </c>
      <c r="F3161" s="34" t="str">
        <f>IFERROR(VLOOKUP(tbLOG[[#This Row],[LOGIN]],tbMAPA[#All],3,0), "Não localizado")</f>
        <v>Reginaldo Santana De Souza</v>
      </c>
      <c r="G3161" s="3" t="s">
        <v>1211</v>
      </c>
      <c r="H3161" s="3" t="s">
        <v>309</v>
      </c>
    </row>
    <row r="3162" spans="1:8">
      <c r="A3162" s="29">
        <v>42753.726377314815</v>
      </c>
      <c r="B3162" s="29" t="str">
        <f>PROPER(TEXT(tbLOG[[#This Row],[DATA/HORA]],"mmmm"))</f>
        <v>Janeiro</v>
      </c>
      <c r="C3162" s="34" t="str">
        <f>PROPER(TEXT(tbLOG[[#This Row],[DATA/HORA]],"dddd"))</f>
        <v>Quarta-Feira</v>
      </c>
      <c r="D3162" s="3" t="s">
        <v>604</v>
      </c>
      <c r="E3162" s="34" t="str">
        <f>IFERROR(VLOOKUP(tbLOG[[#This Row],[LOGIN]],tbMAPA[#All],2,0), "Não localizado")</f>
        <v>Renan Cazumba Tegani</v>
      </c>
      <c r="F3162" s="34" t="str">
        <f>IFERROR(VLOOKUP(tbLOG[[#This Row],[LOGIN]],tbMAPA[#All],3,0), "Não localizado")</f>
        <v>Reginaldo Santana De Souza</v>
      </c>
      <c r="G3162" s="3" t="s">
        <v>1211</v>
      </c>
      <c r="H3162" s="3" t="s">
        <v>314</v>
      </c>
    </row>
    <row r="3163" spans="1:8">
      <c r="A3163" s="29">
        <v>42753.726643518516</v>
      </c>
      <c r="B3163" s="29" t="str">
        <f>PROPER(TEXT(tbLOG[[#This Row],[DATA/HORA]],"mmmm"))</f>
        <v>Janeiro</v>
      </c>
      <c r="C3163" s="34" t="str">
        <f>PROPER(TEXT(tbLOG[[#This Row],[DATA/HORA]],"dddd"))</f>
        <v>Quarta-Feira</v>
      </c>
      <c r="D3163" s="3" t="s">
        <v>604</v>
      </c>
      <c r="E3163" s="34" t="str">
        <f>IFERROR(VLOOKUP(tbLOG[[#This Row],[LOGIN]],tbMAPA[#All],2,0), "Não localizado")</f>
        <v>Renan Cazumba Tegani</v>
      </c>
      <c r="F3163" s="34" t="str">
        <f>IFERROR(VLOOKUP(tbLOG[[#This Row],[LOGIN]],tbMAPA[#All],3,0), "Não localizado")</f>
        <v>Reginaldo Santana De Souza</v>
      </c>
      <c r="G3163" s="3" t="s">
        <v>1211</v>
      </c>
      <c r="H3163" s="3" t="s">
        <v>331</v>
      </c>
    </row>
    <row r="3164" spans="1:8">
      <c r="A3164" s="29">
        <v>42753.726875</v>
      </c>
      <c r="B3164" s="29" t="str">
        <f>PROPER(TEXT(tbLOG[[#This Row],[DATA/HORA]],"mmmm"))</f>
        <v>Janeiro</v>
      </c>
      <c r="C3164" s="34" t="str">
        <f>PROPER(TEXT(tbLOG[[#This Row],[DATA/HORA]],"dddd"))</f>
        <v>Quarta-Feira</v>
      </c>
      <c r="D3164" s="3" t="s">
        <v>604</v>
      </c>
      <c r="E3164" s="34" t="str">
        <f>IFERROR(VLOOKUP(tbLOG[[#This Row],[LOGIN]],tbMAPA[#All],2,0), "Não localizado")</f>
        <v>Renan Cazumba Tegani</v>
      </c>
      <c r="F3164" s="34" t="str">
        <f>IFERROR(VLOOKUP(tbLOG[[#This Row],[LOGIN]],tbMAPA[#All],3,0), "Não localizado")</f>
        <v>Reginaldo Santana De Souza</v>
      </c>
      <c r="G3164" s="3" t="s">
        <v>1211</v>
      </c>
      <c r="H3164" s="3" t="s">
        <v>331</v>
      </c>
    </row>
    <row r="3165" spans="1:8">
      <c r="A3165" s="29">
        <v>42753.727835648147</v>
      </c>
      <c r="B3165" s="29" t="str">
        <f>PROPER(TEXT(tbLOG[[#This Row],[DATA/HORA]],"mmmm"))</f>
        <v>Janeiro</v>
      </c>
      <c r="C3165" s="34" t="str">
        <f>PROPER(TEXT(tbLOG[[#This Row],[DATA/HORA]],"dddd"))</f>
        <v>Quarta-Feira</v>
      </c>
      <c r="D3165" s="3" t="s">
        <v>604</v>
      </c>
      <c r="E3165" s="34" t="str">
        <f>IFERROR(VLOOKUP(tbLOG[[#This Row],[LOGIN]],tbMAPA[#All],2,0), "Não localizado")</f>
        <v>Renan Cazumba Tegani</v>
      </c>
      <c r="F3165" s="34" t="str">
        <f>IFERROR(VLOOKUP(tbLOG[[#This Row],[LOGIN]],tbMAPA[#All],3,0), "Não localizado")</f>
        <v>Reginaldo Santana De Souza</v>
      </c>
      <c r="G3165" s="3" t="s">
        <v>1211</v>
      </c>
      <c r="H3165" s="3" t="s">
        <v>836</v>
      </c>
    </row>
    <row r="3166" spans="1:8">
      <c r="A3166" s="29">
        <v>42753.727881944447</v>
      </c>
      <c r="B3166" s="29" t="str">
        <f>PROPER(TEXT(tbLOG[[#This Row],[DATA/HORA]],"mmmm"))</f>
        <v>Janeiro</v>
      </c>
      <c r="C3166" s="34" t="str">
        <f>PROPER(TEXT(tbLOG[[#This Row],[DATA/HORA]],"dddd"))</f>
        <v>Quarta-Feira</v>
      </c>
      <c r="D3166" s="3" t="s">
        <v>604</v>
      </c>
      <c r="E3166" s="34" t="str">
        <f>IFERROR(VLOOKUP(tbLOG[[#This Row],[LOGIN]],tbMAPA[#All],2,0), "Não localizado")</f>
        <v>Renan Cazumba Tegani</v>
      </c>
      <c r="F3166" s="34" t="str">
        <f>IFERROR(VLOOKUP(tbLOG[[#This Row],[LOGIN]],tbMAPA[#All],3,0), "Não localizado")</f>
        <v>Reginaldo Santana De Souza</v>
      </c>
      <c r="G3166" s="3" t="s">
        <v>1211</v>
      </c>
      <c r="H3166" s="3" t="s">
        <v>836</v>
      </c>
    </row>
    <row r="3167" spans="1:8">
      <c r="A3167" s="29">
        <v>42753.728009259263</v>
      </c>
      <c r="B3167" s="29" t="str">
        <f>PROPER(TEXT(tbLOG[[#This Row],[DATA/HORA]],"mmmm"))</f>
        <v>Janeiro</v>
      </c>
      <c r="C3167" s="34" t="str">
        <f>PROPER(TEXT(tbLOG[[#This Row],[DATA/HORA]],"dddd"))</f>
        <v>Quarta-Feira</v>
      </c>
      <c r="D3167" s="3" t="s">
        <v>604</v>
      </c>
      <c r="E3167" s="34" t="str">
        <f>IFERROR(VLOOKUP(tbLOG[[#This Row],[LOGIN]],tbMAPA[#All],2,0), "Não localizado")</f>
        <v>Renan Cazumba Tegani</v>
      </c>
      <c r="F3167" s="34" t="str">
        <f>IFERROR(VLOOKUP(tbLOG[[#This Row],[LOGIN]],tbMAPA[#All],3,0), "Não localizado")</f>
        <v>Reginaldo Santana De Souza</v>
      </c>
      <c r="G3167" s="3" t="s">
        <v>1211</v>
      </c>
      <c r="H3167" s="3" t="s">
        <v>836</v>
      </c>
    </row>
    <row r="3168" spans="1:8">
      <c r="A3168" s="29">
        <v>42753.728009259263</v>
      </c>
      <c r="B3168" s="29" t="str">
        <f>PROPER(TEXT(tbLOG[[#This Row],[DATA/HORA]],"mmmm"))</f>
        <v>Janeiro</v>
      </c>
      <c r="C3168" s="34" t="str">
        <f>PROPER(TEXT(tbLOG[[#This Row],[DATA/HORA]],"dddd"))</f>
        <v>Quarta-Feira</v>
      </c>
      <c r="D3168" s="3" t="s">
        <v>604</v>
      </c>
      <c r="E3168" s="34" t="str">
        <f>IFERROR(VLOOKUP(tbLOG[[#This Row],[LOGIN]],tbMAPA[#All],2,0), "Não localizado")</f>
        <v>Renan Cazumba Tegani</v>
      </c>
      <c r="F3168" s="34" t="str">
        <f>IFERROR(VLOOKUP(tbLOG[[#This Row],[LOGIN]],tbMAPA[#All],3,0), "Não localizado")</f>
        <v>Reginaldo Santana De Souza</v>
      </c>
      <c r="G3168" s="3" t="s">
        <v>1211</v>
      </c>
      <c r="H3168" s="3" t="s">
        <v>836</v>
      </c>
    </row>
    <row r="3169" spans="1:8">
      <c r="A3169" s="29">
        <v>42753.728043981479</v>
      </c>
      <c r="B3169" s="29" t="str">
        <f>PROPER(TEXT(tbLOG[[#This Row],[DATA/HORA]],"mmmm"))</f>
        <v>Janeiro</v>
      </c>
      <c r="C3169" s="34" t="str">
        <f>PROPER(TEXT(tbLOG[[#This Row],[DATA/HORA]],"dddd"))</f>
        <v>Quarta-Feira</v>
      </c>
      <c r="D3169" s="3" t="s">
        <v>604</v>
      </c>
      <c r="E3169" s="34" t="str">
        <f>IFERROR(VLOOKUP(tbLOG[[#This Row],[LOGIN]],tbMAPA[#All],2,0), "Não localizado")</f>
        <v>Renan Cazumba Tegani</v>
      </c>
      <c r="F3169" s="34" t="str">
        <f>IFERROR(VLOOKUP(tbLOG[[#This Row],[LOGIN]],tbMAPA[#All],3,0), "Não localizado")</f>
        <v>Reginaldo Santana De Souza</v>
      </c>
      <c r="G3169" s="3" t="s">
        <v>1211</v>
      </c>
      <c r="H3169" s="3" t="s">
        <v>836</v>
      </c>
    </row>
    <row r="3170" spans="1:8">
      <c r="A3170" s="29">
        <v>42753.728171296294</v>
      </c>
      <c r="B3170" s="29" t="str">
        <f>PROPER(TEXT(tbLOG[[#This Row],[DATA/HORA]],"mmmm"))</f>
        <v>Janeiro</v>
      </c>
      <c r="C3170" s="34" t="str">
        <f>PROPER(TEXT(tbLOG[[#This Row],[DATA/HORA]],"dddd"))</f>
        <v>Quarta-Feira</v>
      </c>
      <c r="D3170" s="3" t="s">
        <v>604</v>
      </c>
      <c r="E3170" s="34" t="str">
        <f>IFERROR(VLOOKUP(tbLOG[[#This Row],[LOGIN]],tbMAPA[#All],2,0), "Não localizado")</f>
        <v>Renan Cazumba Tegani</v>
      </c>
      <c r="F3170" s="34" t="str">
        <f>IFERROR(VLOOKUP(tbLOG[[#This Row],[LOGIN]],tbMAPA[#All],3,0), "Não localizado")</f>
        <v>Reginaldo Santana De Souza</v>
      </c>
      <c r="G3170" s="3" t="s">
        <v>1211</v>
      </c>
      <c r="H3170" s="3" t="s">
        <v>290</v>
      </c>
    </row>
    <row r="3171" spans="1:8">
      <c r="A3171" s="29">
        <v>42753.728807870371</v>
      </c>
      <c r="B3171" s="29" t="str">
        <f>PROPER(TEXT(tbLOG[[#This Row],[DATA/HORA]],"mmmm"))</f>
        <v>Janeiro</v>
      </c>
      <c r="C3171" s="34" t="str">
        <f>PROPER(TEXT(tbLOG[[#This Row],[DATA/HORA]],"dddd"))</f>
        <v>Quarta-Feira</v>
      </c>
      <c r="D3171" s="3" t="s">
        <v>604</v>
      </c>
      <c r="E3171" s="34" t="str">
        <f>IFERROR(VLOOKUP(tbLOG[[#This Row],[LOGIN]],tbMAPA[#All],2,0), "Não localizado")</f>
        <v>Renan Cazumba Tegani</v>
      </c>
      <c r="F3171" s="34" t="str">
        <f>IFERROR(VLOOKUP(tbLOG[[#This Row],[LOGIN]],tbMAPA[#All],3,0), "Não localizado")</f>
        <v>Reginaldo Santana De Souza</v>
      </c>
      <c r="G3171" s="3" t="s">
        <v>1211</v>
      </c>
      <c r="H3171" s="3" t="s">
        <v>290</v>
      </c>
    </row>
    <row r="3172" spans="1:8">
      <c r="A3172" s="29">
        <v>42753.728831018518</v>
      </c>
      <c r="B3172" s="29" t="str">
        <f>PROPER(TEXT(tbLOG[[#This Row],[DATA/HORA]],"mmmm"))</f>
        <v>Janeiro</v>
      </c>
      <c r="C3172" s="34" t="str">
        <f>PROPER(TEXT(tbLOG[[#This Row],[DATA/HORA]],"dddd"))</f>
        <v>Quarta-Feira</v>
      </c>
      <c r="D3172" s="3" t="s">
        <v>604</v>
      </c>
      <c r="E3172" s="34" t="str">
        <f>IFERROR(VLOOKUP(tbLOG[[#This Row],[LOGIN]],tbMAPA[#All],2,0), "Não localizado")</f>
        <v>Renan Cazumba Tegani</v>
      </c>
      <c r="F3172" s="34" t="str">
        <f>IFERROR(VLOOKUP(tbLOG[[#This Row],[LOGIN]],tbMAPA[#All],3,0), "Não localizado")</f>
        <v>Reginaldo Santana De Souza</v>
      </c>
      <c r="G3172" s="3" t="s">
        <v>1211</v>
      </c>
      <c r="H3172" s="3" t="s">
        <v>291</v>
      </c>
    </row>
    <row r="3173" spans="1:8">
      <c r="A3173" s="29">
        <v>42753.728831018518</v>
      </c>
      <c r="B3173" s="29" t="str">
        <f>PROPER(TEXT(tbLOG[[#This Row],[DATA/HORA]],"mmmm"))</f>
        <v>Janeiro</v>
      </c>
      <c r="C3173" s="34" t="str">
        <f>PROPER(TEXT(tbLOG[[#This Row],[DATA/HORA]],"dddd"))</f>
        <v>Quarta-Feira</v>
      </c>
      <c r="D3173" s="3" t="s">
        <v>604</v>
      </c>
      <c r="E3173" s="34" t="str">
        <f>IFERROR(VLOOKUP(tbLOG[[#This Row],[LOGIN]],tbMAPA[#All],2,0), "Não localizado")</f>
        <v>Renan Cazumba Tegani</v>
      </c>
      <c r="F3173" s="34" t="str">
        <f>IFERROR(VLOOKUP(tbLOG[[#This Row],[LOGIN]],tbMAPA[#All],3,0), "Não localizado")</f>
        <v>Reginaldo Santana De Souza</v>
      </c>
      <c r="G3173" s="3" t="s">
        <v>1211</v>
      </c>
      <c r="H3173" s="3" t="s">
        <v>290</v>
      </c>
    </row>
    <row r="3174" spans="1:8">
      <c r="A3174" s="29">
        <v>42754.408101851855</v>
      </c>
      <c r="B3174" s="29" t="str">
        <f>PROPER(TEXT(tbLOG[[#This Row],[DATA/HORA]],"mmmm"))</f>
        <v>Janeiro</v>
      </c>
      <c r="C3174" s="34" t="str">
        <f>PROPER(TEXT(tbLOG[[#This Row],[DATA/HORA]],"dddd"))</f>
        <v>Quinta-Feira</v>
      </c>
      <c r="D3174" s="3" t="s">
        <v>300</v>
      </c>
      <c r="E3174" s="34" t="str">
        <f>IFERROR(VLOOKUP(tbLOG[[#This Row],[LOGIN]],tbMAPA[#All],2,0), "Não localizado")</f>
        <v>Jefte Soares Da Silva</v>
      </c>
      <c r="F3174" s="34" t="str">
        <f>IFERROR(VLOOKUP(tbLOG[[#This Row],[LOGIN]],tbMAPA[#All],3,0), "Não localizado")</f>
        <v>Daniela Andrade Silva</v>
      </c>
      <c r="G3174" s="3" t="s">
        <v>1000</v>
      </c>
      <c r="H3174" s="3" t="s">
        <v>994</v>
      </c>
    </row>
    <row r="3175" spans="1:8">
      <c r="A3175" s="29">
        <v>42754.408449074072</v>
      </c>
      <c r="B3175" s="29" t="str">
        <f>PROPER(TEXT(tbLOG[[#This Row],[DATA/HORA]],"mmmm"))</f>
        <v>Janeiro</v>
      </c>
      <c r="C3175" s="34" t="str">
        <f>PROPER(TEXT(tbLOG[[#This Row],[DATA/HORA]],"dddd"))</f>
        <v>Quinta-Feira</v>
      </c>
      <c r="D3175" s="3" t="s">
        <v>300</v>
      </c>
      <c r="E3175" s="34" t="str">
        <f>IFERROR(VLOOKUP(tbLOG[[#This Row],[LOGIN]],tbMAPA[#All],2,0), "Não localizado")</f>
        <v>Jefte Soares Da Silva</v>
      </c>
      <c r="F3175" s="34" t="str">
        <f>IFERROR(VLOOKUP(tbLOG[[#This Row],[LOGIN]],tbMAPA[#All],3,0), "Não localizado")</f>
        <v>Daniela Andrade Silva</v>
      </c>
      <c r="G3175" s="3" t="s">
        <v>1000</v>
      </c>
      <c r="H3175" s="3" t="s">
        <v>835</v>
      </c>
    </row>
    <row r="3176" spans="1:8">
      <c r="A3176" s="29">
        <v>42754.408460648148</v>
      </c>
      <c r="B3176" s="29" t="str">
        <f>PROPER(TEXT(tbLOG[[#This Row],[DATA/HORA]],"mmmm"))</f>
        <v>Janeiro</v>
      </c>
      <c r="C3176" s="34" t="str">
        <f>PROPER(TEXT(tbLOG[[#This Row],[DATA/HORA]],"dddd"))</f>
        <v>Quinta-Feira</v>
      </c>
      <c r="D3176" s="3" t="s">
        <v>300</v>
      </c>
      <c r="E3176" s="34" t="str">
        <f>IFERROR(VLOOKUP(tbLOG[[#This Row],[LOGIN]],tbMAPA[#All],2,0), "Não localizado")</f>
        <v>Jefte Soares Da Silva</v>
      </c>
      <c r="F3176" s="34" t="str">
        <f>IFERROR(VLOOKUP(tbLOG[[#This Row],[LOGIN]],tbMAPA[#All],3,0), "Não localizado")</f>
        <v>Daniela Andrade Silva</v>
      </c>
      <c r="G3176" s="3" t="s">
        <v>1000</v>
      </c>
      <c r="H3176" s="3" t="s">
        <v>835</v>
      </c>
    </row>
    <row r="3177" spans="1:8">
      <c r="A3177" s="29">
        <v>42754.40861111111</v>
      </c>
      <c r="B3177" s="29" t="str">
        <f>PROPER(TEXT(tbLOG[[#This Row],[DATA/HORA]],"mmmm"))</f>
        <v>Janeiro</v>
      </c>
      <c r="C3177" s="34" t="str">
        <f>PROPER(TEXT(tbLOG[[#This Row],[DATA/HORA]],"dddd"))</f>
        <v>Quinta-Feira</v>
      </c>
      <c r="D3177" s="3" t="s">
        <v>300</v>
      </c>
      <c r="E3177" s="34" t="str">
        <f>IFERROR(VLOOKUP(tbLOG[[#This Row],[LOGIN]],tbMAPA[#All],2,0), "Não localizado")</f>
        <v>Jefte Soares Da Silva</v>
      </c>
      <c r="F3177" s="34" t="str">
        <f>IFERROR(VLOOKUP(tbLOG[[#This Row],[LOGIN]],tbMAPA[#All],3,0), "Não localizado")</f>
        <v>Daniela Andrade Silva</v>
      </c>
      <c r="G3177" s="3" t="s">
        <v>1000</v>
      </c>
      <c r="H3177" s="3" t="s">
        <v>835</v>
      </c>
    </row>
    <row r="3178" spans="1:8">
      <c r="A3178" s="29">
        <v>42754.408773148149</v>
      </c>
      <c r="B3178" s="29" t="str">
        <f>PROPER(TEXT(tbLOG[[#This Row],[DATA/HORA]],"mmmm"))</f>
        <v>Janeiro</v>
      </c>
      <c r="C3178" s="34" t="str">
        <f>PROPER(TEXT(tbLOG[[#This Row],[DATA/HORA]],"dddd"))</f>
        <v>Quinta-Feira</v>
      </c>
      <c r="D3178" s="3" t="s">
        <v>300</v>
      </c>
      <c r="E3178" s="34" t="str">
        <f>IFERROR(VLOOKUP(tbLOG[[#This Row],[LOGIN]],tbMAPA[#All],2,0), "Não localizado")</f>
        <v>Jefte Soares Da Silva</v>
      </c>
      <c r="F3178" s="34" t="str">
        <f>IFERROR(VLOOKUP(tbLOG[[#This Row],[LOGIN]],tbMAPA[#All],3,0), "Não localizado")</f>
        <v>Daniela Andrade Silva</v>
      </c>
      <c r="G3178" s="3" t="s">
        <v>1000</v>
      </c>
      <c r="H3178" s="3" t="s">
        <v>836</v>
      </c>
    </row>
    <row r="3179" spans="1:8">
      <c r="A3179" s="29">
        <v>42754.408773148149</v>
      </c>
      <c r="B3179" s="29" t="str">
        <f>PROPER(TEXT(tbLOG[[#This Row],[DATA/HORA]],"mmmm"))</f>
        <v>Janeiro</v>
      </c>
      <c r="C3179" s="34" t="str">
        <f>PROPER(TEXT(tbLOG[[#This Row],[DATA/HORA]],"dddd"))</f>
        <v>Quinta-Feira</v>
      </c>
      <c r="D3179" s="3" t="s">
        <v>300</v>
      </c>
      <c r="E3179" s="34" t="str">
        <f>IFERROR(VLOOKUP(tbLOG[[#This Row],[LOGIN]],tbMAPA[#All],2,0), "Não localizado")</f>
        <v>Jefte Soares Da Silva</v>
      </c>
      <c r="F3179" s="34" t="str">
        <f>IFERROR(VLOOKUP(tbLOG[[#This Row],[LOGIN]],tbMAPA[#All],3,0), "Não localizado")</f>
        <v>Daniela Andrade Silva</v>
      </c>
      <c r="G3179" s="3" t="s">
        <v>1000</v>
      </c>
      <c r="H3179" s="3" t="s">
        <v>836</v>
      </c>
    </row>
    <row r="3180" spans="1:8">
      <c r="A3180" s="29">
        <v>42754.408900462964</v>
      </c>
      <c r="B3180" s="29" t="str">
        <f>PROPER(TEXT(tbLOG[[#This Row],[DATA/HORA]],"mmmm"))</f>
        <v>Janeiro</v>
      </c>
      <c r="C3180" s="34" t="str">
        <f>PROPER(TEXT(tbLOG[[#This Row],[DATA/HORA]],"dddd"))</f>
        <v>Quinta-Feira</v>
      </c>
      <c r="D3180" s="3" t="s">
        <v>300</v>
      </c>
      <c r="E3180" s="34" t="str">
        <f>IFERROR(VLOOKUP(tbLOG[[#This Row],[LOGIN]],tbMAPA[#All],2,0), "Não localizado")</f>
        <v>Jefte Soares Da Silva</v>
      </c>
      <c r="F3180" s="34" t="str">
        <f>IFERROR(VLOOKUP(tbLOG[[#This Row],[LOGIN]],tbMAPA[#All],3,0), "Não localizado")</f>
        <v>Daniela Andrade Silva</v>
      </c>
      <c r="G3180" s="3" t="s">
        <v>1000</v>
      </c>
      <c r="H3180" s="3" t="s">
        <v>836</v>
      </c>
    </row>
    <row r="3181" spans="1:8">
      <c r="A3181" s="29">
        <v>42754.409097222226</v>
      </c>
      <c r="B3181" s="29" t="str">
        <f>PROPER(TEXT(tbLOG[[#This Row],[DATA/HORA]],"mmmm"))</f>
        <v>Janeiro</v>
      </c>
      <c r="C3181" s="34" t="str">
        <f>PROPER(TEXT(tbLOG[[#This Row],[DATA/HORA]],"dddd"))</f>
        <v>Quinta-Feira</v>
      </c>
      <c r="D3181" s="3" t="s">
        <v>300</v>
      </c>
      <c r="E3181" s="34" t="str">
        <f>IFERROR(VLOOKUP(tbLOG[[#This Row],[LOGIN]],tbMAPA[#All],2,0), "Não localizado")</f>
        <v>Jefte Soares Da Silva</v>
      </c>
      <c r="F3181" s="34" t="str">
        <f>IFERROR(VLOOKUP(tbLOG[[#This Row],[LOGIN]],tbMAPA[#All],3,0), "Não localizado")</f>
        <v>Daniela Andrade Silva</v>
      </c>
      <c r="G3181" s="3" t="s">
        <v>1000</v>
      </c>
      <c r="H3181" s="3" t="s">
        <v>836</v>
      </c>
    </row>
    <row r="3182" spans="1:8">
      <c r="A3182" s="29">
        <v>42754.409224537034</v>
      </c>
      <c r="B3182" s="29" t="str">
        <f>PROPER(TEXT(tbLOG[[#This Row],[DATA/HORA]],"mmmm"))</f>
        <v>Janeiro</v>
      </c>
      <c r="C3182" s="34" t="str">
        <f>PROPER(TEXT(tbLOG[[#This Row],[DATA/HORA]],"dddd"))</f>
        <v>Quinta-Feira</v>
      </c>
      <c r="D3182" s="3" t="s">
        <v>300</v>
      </c>
      <c r="E3182" s="34" t="str">
        <f>IFERROR(VLOOKUP(tbLOG[[#This Row],[LOGIN]],tbMAPA[#All],2,0), "Não localizado")</f>
        <v>Jefte Soares Da Silva</v>
      </c>
      <c r="F3182" s="34" t="str">
        <f>IFERROR(VLOOKUP(tbLOG[[#This Row],[LOGIN]],tbMAPA[#All],3,0), "Não localizado")</f>
        <v>Daniela Andrade Silva</v>
      </c>
      <c r="G3182" s="3" t="s">
        <v>1000</v>
      </c>
      <c r="H3182" s="3" t="s">
        <v>836</v>
      </c>
    </row>
    <row r="3183" spans="1:8">
      <c r="A3183" s="29">
        <v>42754.418171296296</v>
      </c>
      <c r="B3183" s="29" t="str">
        <f>PROPER(TEXT(tbLOG[[#This Row],[DATA/HORA]],"mmmm"))</f>
        <v>Janeiro</v>
      </c>
      <c r="C3183" s="34" t="str">
        <f>PROPER(TEXT(tbLOG[[#This Row],[DATA/HORA]],"dddd"))</f>
        <v>Quinta-Feira</v>
      </c>
      <c r="D3183" s="3" t="s">
        <v>300</v>
      </c>
      <c r="E3183" s="34" t="str">
        <f>IFERROR(VLOOKUP(tbLOG[[#This Row],[LOGIN]],tbMAPA[#All],2,0), "Não localizado")</f>
        <v>Jefte Soares Da Silva</v>
      </c>
      <c r="F3183" s="34" t="str">
        <f>IFERROR(VLOOKUP(tbLOG[[#This Row],[LOGIN]],tbMAPA[#All],3,0), "Não localizado")</f>
        <v>Daniela Andrade Silva</v>
      </c>
      <c r="G3183" s="3" t="s">
        <v>1000</v>
      </c>
      <c r="H3183" s="3" t="s">
        <v>836</v>
      </c>
    </row>
    <row r="3184" spans="1:8">
      <c r="A3184" s="29">
        <v>42754.419594907406</v>
      </c>
      <c r="B3184" s="29" t="str">
        <f>PROPER(TEXT(tbLOG[[#This Row],[DATA/HORA]],"mmmm"))</f>
        <v>Janeiro</v>
      </c>
      <c r="C3184" s="34" t="str">
        <f>PROPER(TEXT(tbLOG[[#This Row],[DATA/HORA]],"dddd"))</f>
        <v>Quinta-Feira</v>
      </c>
      <c r="D3184" s="3" t="s">
        <v>300</v>
      </c>
      <c r="E3184" s="34" t="str">
        <f>IFERROR(VLOOKUP(tbLOG[[#This Row],[LOGIN]],tbMAPA[#All],2,0), "Não localizado")</f>
        <v>Jefte Soares Da Silva</v>
      </c>
      <c r="F3184" s="34" t="str">
        <f>IFERROR(VLOOKUP(tbLOG[[#This Row],[LOGIN]],tbMAPA[#All],3,0), "Não localizado")</f>
        <v>Daniela Andrade Silva</v>
      </c>
      <c r="G3184" s="3" t="s">
        <v>1000</v>
      </c>
      <c r="H3184" s="3" t="s">
        <v>835</v>
      </c>
    </row>
    <row r="3185" spans="1:8">
      <c r="A3185" s="29">
        <v>42754.42019675926</v>
      </c>
      <c r="B3185" s="29" t="str">
        <f>PROPER(TEXT(tbLOG[[#This Row],[DATA/HORA]],"mmmm"))</f>
        <v>Janeiro</v>
      </c>
      <c r="C3185" s="34" t="str">
        <f>PROPER(TEXT(tbLOG[[#This Row],[DATA/HORA]],"dddd"))</f>
        <v>Quinta-Feira</v>
      </c>
      <c r="D3185" s="3" t="s">
        <v>300</v>
      </c>
      <c r="E3185" s="34" t="str">
        <f>IFERROR(VLOOKUP(tbLOG[[#This Row],[LOGIN]],tbMAPA[#All],2,0), "Não localizado")</f>
        <v>Jefte Soares Da Silva</v>
      </c>
      <c r="F3185" s="34" t="str">
        <f>IFERROR(VLOOKUP(tbLOG[[#This Row],[LOGIN]],tbMAPA[#All],3,0), "Não localizado")</f>
        <v>Daniela Andrade Silva</v>
      </c>
      <c r="G3185" s="3" t="s">
        <v>1000</v>
      </c>
      <c r="H3185" s="3" t="s">
        <v>835</v>
      </c>
    </row>
    <row r="3186" spans="1:8">
      <c r="A3186" s="29">
        <v>42754.420439814814</v>
      </c>
      <c r="B3186" s="29" t="str">
        <f>PROPER(TEXT(tbLOG[[#This Row],[DATA/HORA]],"mmmm"))</f>
        <v>Janeiro</v>
      </c>
      <c r="C3186" s="34" t="str">
        <f>PROPER(TEXT(tbLOG[[#This Row],[DATA/HORA]],"dddd"))</f>
        <v>Quinta-Feira</v>
      </c>
      <c r="D3186" s="3" t="s">
        <v>300</v>
      </c>
      <c r="E3186" s="34" t="str">
        <f>IFERROR(VLOOKUP(tbLOG[[#This Row],[LOGIN]],tbMAPA[#All],2,0), "Não localizado")</f>
        <v>Jefte Soares Da Silva</v>
      </c>
      <c r="F3186" s="34" t="str">
        <f>IFERROR(VLOOKUP(tbLOG[[#This Row],[LOGIN]],tbMAPA[#All],3,0), "Não localizado")</f>
        <v>Daniela Andrade Silva</v>
      </c>
      <c r="G3186" s="3" t="s">
        <v>1000</v>
      </c>
      <c r="H3186" s="3" t="s">
        <v>836</v>
      </c>
    </row>
    <row r="3187" spans="1:8">
      <c r="A3187" s="29">
        <v>42754.420601851853</v>
      </c>
      <c r="B3187" s="29" t="str">
        <f>PROPER(TEXT(tbLOG[[#This Row],[DATA/HORA]],"mmmm"))</f>
        <v>Janeiro</v>
      </c>
      <c r="C3187" s="34" t="str">
        <f>PROPER(TEXT(tbLOG[[#This Row],[DATA/HORA]],"dddd"))</f>
        <v>Quinta-Feira</v>
      </c>
      <c r="D3187" s="3" t="s">
        <v>300</v>
      </c>
      <c r="E3187" s="34" t="str">
        <f>IFERROR(VLOOKUP(tbLOG[[#This Row],[LOGIN]],tbMAPA[#All],2,0), "Não localizado")</f>
        <v>Jefte Soares Da Silva</v>
      </c>
      <c r="F3187" s="34" t="str">
        <f>IFERROR(VLOOKUP(tbLOG[[#This Row],[LOGIN]],tbMAPA[#All],3,0), "Não localizado")</f>
        <v>Daniela Andrade Silva</v>
      </c>
      <c r="G3187" s="3" t="s">
        <v>1000</v>
      </c>
      <c r="H3187" s="3" t="s">
        <v>835</v>
      </c>
    </row>
    <row r="3188" spans="1:8">
      <c r="A3188" s="29">
        <v>42754.420937499999</v>
      </c>
      <c r="B3188" s="29" t="str">
        <f>PROPER(TEXT(tbLOG[[#This Row],[DATA/HORA]],"mmmm"))</f>
        <v>Janeiro</v>
      </c>
      <c r="C3188" s="34" t="str">
        <f>PROPER(TEXT(tbLOG[[#This Row],[DATA/HORA]],"dddd"))</f>
        <v>Quinta-Feira</v>
      </c>
      <c r="D3188" s="3" t="s">
        <v>300</v>
      </c>
      <c r="E3188" s="34" t="str">
        <f>IFERROR(VLOOKUP(tbLOG[[#This Row],[LOGIN]],tbMAPA[#All],2,0), "Não localizado")</f>
        <v>Jefte Soares Da Silva</v>
      </c>
      <c r="F3188" s="34" t="str">
        <f>IFERROR(VLOOKUP(tbLOG[[#This Row],[LOGIN]],tbMAPA[#All],3,0), "Não localizado")</f>
        <v>Daniela Andrade Silva</v>
      </c>
      <c r="G3188" s="3" t="s">
        <v>1000</v>
      </c>
      <c r="H3188" s="3" t="s">
        <v>315</v>
      </c>
    </row>
    <row r="3189" spans="1:8">
      <c r="A3189" s="29">
        <v>42754.421134259261</v>
      </c>
      <c r="B3189" s="29" t="str">
        <f>PROPER(TEXT(tbLOG[[#This Row],[DATA/HORA]],"mmmm"))</f>
        <v>Janeiro</v>
      </c>
      <c r="C3189" s="34" t="str">
        <f>PROPER(TEXT(tbLOG[[#This Row],[DATA/HORA]],"dddd"))</f>
        <v>Quinta-Feira</v>
      </c>
      <c r="D3189" s="3" t="s">
        <v>300</v>
      </c>
      <c r="E3189" s="34" t="str">
        <f>IFERROR(VLOOKUP(tbLOG[[#This Row],[LOGIN]],tbMAPA[#All],2,0), "Não localizado")</f>
        <v>Jefte Soares Da Silva</v>
      </c>
      <c r="F3189" s="34" t="str">
        <f>IFERROR(VLOOKUP(tbLOG[[#This Row],[LOGIN]],tbMAPA[#All],3,0), "Não localizado")</f>
        <v>Daniela Andrade Silva</v>
      </c>
      <c r="G3189" s="3" t="s">
        <v>1000</v>
      </c>
      <c r="H3189" s="3" t="s">
        <v>292</v>
      </c>
    </row>
    <row r="3190" spans="1:8">
      <c r="A3190" s="29">
        <v>42754.421157407407</v>
      </c>
      <c r="B3190" s="29" t="str">
        <f>PROPER(TEXT(tbLOG[[#This Row],[DATA/HORA]],"mmmm"))</f>
        <v>Janeiro</v>
      </c>
      <c r="C3190" s="34" t="str">
        <f>PROPER(TEXT(tbLOG[[#This Row],[DATA/HORA]],"dddd"))</f>
        <v>Quinta-Feira</v>
      </c>
      <c r="D3190" s="3" t="s">
        <v>300</v>
      </c>
      <c r="E3190" s="34" t="str">
        <f>IFERROR(VLOOKUP(tbLOG[[#This Row],[LOGIN]],tbMAPA[#All],2,0), "Não localizado")</f>
        <v>Jefte Soares Da Silva</v>
      </c>
      <c r="F3190" s="34" t="str">
        <f>IFERROR(VLOOKUP(tbLOG[[#This Row],[LOGIN]],tbMAPA[#All],3,0), "Não localizado")</f>
        <v>Daniela Andrade Silva</v>
      </c>
      <c r="G3190" s="3" t="s">
        <v>1000</v>
      </c>
      <c r="H3190" s="3" t="s">
        <v>292</v>
      </c>
    </row>
    <row r="3191" spans="1:8">
      <c r="A3191" s="29">
        <v>42754.421157407407</v>
      </c>
      <c r="B3191" s="29" t="str">
        <f>PROPER(TEXT(tbLOG[[#This Row],[DATA/HORA]],"mmmm"))</f>
        <v>Janeiro</v>
      </c>
      <c r="C3191" s="34" t="str">
        <f>PROPER(TEXT(tbLOG[[#This Row],[DATA/HORA]],"dddd"))</f>
        <v>Quinta-Feira</v>
      </c>
      <c r="D3191" s="3" t="s">
        <v>300</v>
      </c>
      <c r="E3191" s="34" t="str">
        <f>IFERROR(VLOOKUP(tbLOG[[#This Row],[LOGIN]],tbMAPA[#All],2,0), "Não localizado")</f>
        <v>Jefte Soares Da Silva</v>
      </c>
      <c r="F3191" s="34" t="str">
        <f>IFERROR(VLOOKUP(tbLOG[[#This Row],[LOGIN]],tbMAPA[#All],3,0), "Não localizado")</f>
        <v>Daniela Andrade Silva</v>
      </c>
      <c r="G3191" s="3" t="s">
        <v>1000</v>
      </c>
      <c r="H3191" s="3" t="s">
        <v>317</v>
      </c>
    </row>
    <row r="3192" spans="1:8">
      <c r="A3192" s="29">
        <v>42754.421793981484</v>
      </c>
      <c r="B3192" s="29" t="str">
        <f>PROPER(TEXT(tbLOG[[#This Row],[DATA/HORA]],"mmmm"))</f>
        <v>Janeiro</v>
      </c>
      <c r="C3192" s="34" t="str">
        <f>PROPER(TEXT(tbLOG[[#This Row],[DATA/HORA]],"dddd"))</f>
        <v>Quinta-Feira</v>
      </c>
      <c r="D3192" s="3" t="s">
        <v>300</v>
      </c>
      <c r="E3192" s="34" t="str">
        <f>IFERROR(VLOOKUP(tbLOG[[#This Row],[LOGIN]],tbMAPA[#All],2,0), "Não localizado")</f>
        <v>Jefte Soares Da Silva</v>
      </c>
      <c r="F3192" s="34" t="str">
        <f>IFERROR(VLOOKUP(tbLOG[[#This Row],[LOGIN]],tbMAPA[#All],3,0), "Não localizado")</f>
        <v>Daniela Andrade Silva</v>
      </c>
      <c r="G3192" s="3" t="s">
        <v>1000</v>
      </c>
      <c r="H3192" s="3" t="s">
        <v>836</v>
      </c>
    </row>
    <row r="3193" spans="1:8">
      <c r="A3193" s="29">
        <v>42754.423101851855</v>
      </c>
      <c r="B3193" s="29" t="str">
        <f>PROPER(TEXT(tbLOG[[#This Row],[DATA/HORA]],"mmmm"))</f>
        <v>Janeiro</v>
      </c>
      <c r="C3193" s="34" t="str">
        <f>PROPER(TEXT(tbLOG[[#This Row],[DATA/HORA]],"dddd"))</f>
        <v>Quinta-Feira</v>
      </c>
      <c r="D3193" s="3" t="s">
        <v>300</v>
      </c>
      <c r="E3193" s="34" t="str">
        <f>IFERROR(VLOOKUP(tbLOG[[#This Row],[LOGIN]],tbMAPA[#All],2,0), "Não localizado")</f>
        <v>Jefte Soares Da Silva</v>
      </c>
      <c r="F3193" s="34" t="str">
        <f>IFERROR(VLOOKUP(tbLOG[[#This Row],[LOGIN]],tbMAPA[#All],3,0), "Não localizado")</f>
        <v>Daniela Andrade Silva</v>
      </c>
      <c r="G3193" s="3" t="s">
        <v>1000</v>
      </c>
      <c r="H3193" s="3" t="s">
        <v>835</v>
      </c>
    </row>
    <row r="3194" spans="1:8">
      <c r="A3194" s="29">
        <v>42754.423344907409</v>
      </c>
      <c r="B3194" s="29" t="str">
        <f>PROPER(TEXT(tbLOG[[#This Row],[DATA/HORA]],"mmmm"))</f>
        <v>Janeiro</v>
      </c>
      <c r="C3194" s="34" t="str">
        <f>PROPER(TEXT(tbLOG[[#This Row],[DATA/HORA]],"dddd"))</f>
        <v>Quinta-Feira</v>
      </c>
      <c r="D3194" s="3" t="s">
        <v>300</v>
      </c>
      <c r="E3194" s="34" t="str">
        <f>IFERROR(VLOOKUP(tbLOG[[#This Row],[LOGIN]],tbMAPA[#All],2,0), "Não localizado")</f>
        <v>Jefte Soares Da Silva</v>
      </c>
      <c r="F3194" s="34" t="str">
        <f>IFERROR(VLOOKUP(tbLOG[[#This Row],[LOGIN]],tbMAPA[#All],3,0), "Não localizado")</f>
        <v>Daniela Andrade Silva</v>
      </c>
      <c r="G3194" s="3" t="s">
        <v>1000</v>
      </c>
      <c r="H3194" s="3" t="s">
        <v>836</v>
      </c>
    </row>
    <row r="3195" spans="1:8">
      <c r="A3195" s="29">
        <v>42754.423773148148</v>
      </c>
      <c r="B3195" s="29" t="str">
        <f>PROPER(TEXT(tbLOG[[#This Row],[DATA/HORA]],"mmmm"))</f>
        <v>Janeiro</v>
      </c>
      <c r="C3195" s="34" t="str">
        <f>PROPER(TEXT(tbLOG[[#This Row],[DATA/HORA]],"dddd"))</f>
        <v>Quinta-Feira</v>
      </c>
      <c r="D3195" s="3" t="s">
        <v>300</v>
      </c>
      <c r="E3195" s="34" t="str">
        <f>IFERROR(VLOOKUP(tbLOG[[#This Row],[LOGIN]],tbMAPA[#All],2,0), "Não localizado")</f>
        <v>Jefte Soares Da Silva</v>
      </c>
      <c r="F3195" s="34" t="str">
        <f>IFERROR(VLOOKUP(tbLOG[[#This Row],[LOGIN]],tbMAPA[#All],3,0), "Não localizado")</f>
        <v>Daniela Andrade Silva</v>
      </c>
      <c r="G3195" s="3" t="s">
        <v>1000</v>
      </c>
      <c r="H3195" s="3" t="s">
        <v>836</v>
      </c>
    </row>
    <row r="3196" spans="1:8">
      <c r="A3196" s="29">
        <v>42754.430763888886</v>
      </c>
      <c r="B3196" s="29" t="str">
        <f>PROPER(TEXT(tbLOG[[#This Row],[DATA/HORA]],"mmmm"))</f>
        <v>Janeiro</v>
      </c>
      <c r="C3196" s="34" t="str">
        <f>PROPER(TEXT(tbLOG[[#This Row],[DATA/HORA]],"dddd"))</f>
        <v>Quinta-Feira</v>
      </c>
      <c r="D3196" s="3" t="s">
        <v>300</v>
      </c>
      <c r="E3196" s="34" t="str">
        <f>IFERROR(VLOOKUP(tbLOG[[#This Row],[LOGIN]],tbMAPA[#All],2,0), "Não localizado")</f>
        <v>Jefte Soares Da Silva</v>
      </c>
      <c r="F3196" s="34" t="str">
        <f>IFERROR(VLOOKUP(tbLOG[[#This Row],[LOGIN]],tbMAPA[#All],3,0), "Não localizado")</f>
        <v>Daniela Andrade Silva</v>
      </c>
      <c r="G3196" s="3" t="s">
        <v>1000</v>
      </c>
      <c r="H3196" s="3" t="s">
        <v>290</v>
      </c>
    </row>
    <row r="3197" spans="1:8">
      <c r="A3197" s="29">
        <v>42754.430960648147</v>
      </c>
      <c r="B3197" s="29" t="str">
        <f>PROPER(TEXT(tbLOG[[#This Row],[DATA/HORA]],"mmmm"))</f>
        <v>Janeiro</v>
      </c>
      <c r="C3197" s="34" t="str">
        <f>PROPER(TEXT(tbLOG[[#This Row],[DATA/HORA]],"dddd"))</f>
        <v>Quinta-Feira</v>
      </c>
      <c r="D3197" s="3" t="s">
        <v>300</v>
      </c>
      <c r="E3197" s="34" t="str">
        <f>IFERROR(VLOOKUP(tbLOG[[#This Row],[LOGIN]],tbMAPA[#All],2,0), "Não localizado")</f>
        <v>Jefte Soares Da Silva</v>
      </c>
      <c r="F3197" s="34" t="str">
        <f>IFERROR(VLOOKUP(tbLOG[[#This Row],[LOGIN]],tbMAPA[#All],3,0), "Não localizado")</f>
        <v>Daniela Andrade Silva</v>
      </c>
      <c r="G3197" s="3" t="s">
        <v>1000</v>
      </c>
      <c r="H3197" s="3" t="s">
        <v>291</v>
      </c>
    </row>
    <row r="3198" spans="1:8">
      <c r="A3198" s="29">
        <v>42754.430960648147</v>
      </c>
      <c r="B3198" s="29" t="str">
        <f>PROPER(TEXT(tbLOG[[#This Row],[DATA/HORA]],"mmmm"))</f>
        <v>Janeiro</v>
      </c>
      <c r="C3198" s="34" t="str">
        <f>PROPER(TEXT(tbLOG[[#This Row],[DATA/HORA]],"dddd"))</f>
        <v>Quinta-Feira</v>
      </c>
      <c r="D3198" s="3" t="s">
        <v>300</v>
      </c>
      <c r="E3198" s="34" t="str">
        <f>IFERROR(VLOOKUP(tbLOG[[#This Row],[LOGIN]],tbMAPA[#All],2,0), "Não localizado")</f>
        <v>Jefte Soares Da Silva</v>
      </c>
      <c r="F3198" s="34" t="str">
        <f>IFERROR(VLOOKUP(tbLOG[[#This Row],[LOGIN]],tbMAPA[#All],3,0), "Não localizado")</f>
        <v>Daniela Andrade Silva</v>
      </c>
      <c r="G3198" s="3" t="s">
        <v>1000</v>
      </c>
      <c r="H3198" s="3" t="s">
        <v>290</v>
      </c>
    </row>
    <row r="3199" spans="1:8">
      <c r="A3199" s="29">
        <v>42754.450659722221</v>
      </c>
      <c r="B3199" s="29" t="str">
        <f>PROPER(TEXT(tbLOG[[#This Row],[DATA/HORA]],"mmmm"))</f>
        <v>Janeiro</v>
      </c>
      <c r="C3199" s="34" t="str">
        <f>PROPER(TEXT(tbLOG[[#This Row],[DATA/HORA]],"dddd"))</f>
        <v>Quinta-Feira</v>
      </c>
      <c r="D3199" s="3" t="s">
        <v>604</v>
      </c>
      <c r="E3199" s="34" t="str">
        <f>IFERROR(VLOOKUP(tbLOG[[#This Row],[LOGIN]],tbMAPA[#All],2,0), "Não localizado")</f>
        <v>Renan Cazumba Tegani</v>
      </c>
      <c r="F3199" s="34" t="str">
        <f>IFERROR(VLOOKUP(tbLOG[[#This Row],[LOGIN]],tbMAPA[#All],3,0), "Não localizado")</f>
        <v>Reginaldo Santana De Souza</v>
      </c>
      <c r="G3199" s="3" t="s">
        <v>1211</v>
      </c>
      <c r="H3199" s="3" t="s">
        <v>994</v>
      </c>
    </row>
    <row r="3200" spans="1:8">
      <c r="A3200" s="29">
        <v>42754.450694444444</v>
      </c>
      <c r="B3200" s="29" t="str">
        <f>PROPER(TEXT(tbLOG[[#This Row],[DATA/HORA]],"mmmm"))</f>
        <v>Janeiro</v>
      </c>
      <c r="C3200" s="34" t="str">
        <f>PROPER(TEXT(tbLOG[[#This Row],[DATA/HORA]],"dddd"))</f>
        <v>Quinta-Feira</v>
      </c>
      <c r="D3200" s="3" t="s">
        <v>604</v>
      </c>
      <c r="E3200" s="34" t="str">
        <f>IFERROR(VLOOKUP(tbLOG[[#This Row],[LOGIN]],tbMAPA[#All],2,0), "Não localizado")</f>
        <v>Renan Cazumba Tegani</v>
      </c>
      <c r="F3200" s="34" t="str">
        <f>IFERROR(VLOOKUP(tbLOG[[#This Row],[LOGIN]],tbMAPA[#All],3,0), "Não localizado")</f>
        <v>Reginaldo Santana De Souza</v>
      </c>
      <c r="G3200" s="3" t="s">
        <v>1211</v>
      </c>
      <c r="H3200" s="3" t="s">
        <v>309</v>
      </c>
    </row>
    <row r="3201" spans="1:8">
      <c r="A3201" s="29">
        <v>42754.450694444444</v>
      </c>
      <c r="B3201" s="29" t="str">
        <f>PROPER(TEXT(tbLOG[[#This Row],[DATA/HORA]],"mmmm"))</f>
        <v>Janeiro</v>
      </c>
      <c r="C3201" s="34" t="str">
        <f>PROPER(TEXT(tbLOG[[#This Row],[DATA/HORA]],"dddd"))</f>
        <v>Quinta-Feira</v>
      </c>
      <c r="D3201" s="3" t="s">
        <v>604</v>
      </c>
      <c r="E3201" s="34" t="str">
        <f>IFERROR(VLOOKUP(tbLOG[[#This Row],[LOGIN]],tbMAPA[#All],2,0), "Não localizado")</f>
        <v>Renan Cazumba Tegani</v>
      </c>
      <c r="F3201" s="34" t="str">
        <f>IFERROR(VLOOKUP(tbLOG[[#This Row],[LOGIN]],tbMAPA[#All],3,0), "Não localizado")</f>
        <v>Reginaldo Santana De Souza</v>
      </c>
      <c r="G3201" s="3" t="s">
        <v>1211</v>
      </c>
      <c r="H3201" s="3" t="s">
        <v>310</v>
      </c>
    </row>
    <row r="3202" spans="1:8">
      <c r="A3202" s="29">
        <v>42754.450729166667</v>
      </c>
      <c r="B3202" s="29" t="str">
        <f>PROPER(TEXT(tbLOG[[#This Row],[DATA/HORA]],"mmmm"))</f>
        <v>Janeiro</v>
      </c>
      <c r="C3202" s="34" t="str">
        <f>PROPER(TEXT(tbLOG[[#This Row],[DATA/HORA]],"dddd"))</f>
        <v>Quinta-Feira</v>
      </c>
      <c r="D3202" s="3" t="s">
        <v>604</v>
      </c>
      <c r="E3202" s="34" t="str">
        <f>IFERROR(VLOOKUP(tbLOG[[#This Row],[LOGIN]],tbMAPA[#All],2,0), "Não localizado")</f>
        <v>Renan Cazumba Tegani</v>
      </c>
      <c r="F3202" s="34" t="str">
        <f>IFERROR(VLOOKUP(tbLOG[[#This Row],[LOGIN]],tbMAPA[#All],3,0), "Não localizado")</f>
        <v>Reginaldo Santana De Souza</v>
      </c>
      <c r="G3202" s="3" t="s">
        <v>1211</v>
      </c>
      <c r="H3202" s="3" t="s">
        <v>309</v>
      </c>
    </row>
    <row r="3203" spans="1:8">
      <c r="A3203" s="29">
        <v>42754.450729166667</v>
      </c>
      <c r="B3203" s="29" t="str">
        <f>PROPER(TEXT(tbLOG[[#This Row],[DATA/HORA]],"mmmm"))</f>
        <v>Janeiro</v>
      </c>
      <c r="C3203" s="34" t="str">
        <f>PROPER(TEXT(tbLOG[[#This Row],[DATA/HORA]],"dddd"))</f>
        <v>Quinta-Feira</v>
      </c>
      <c r="D3203" s="3" t="s">
        <v>604</v>
      </c>
      <c r="E3203" s="34" t="str">
        <f>IFERROR(VLOOKUP(tbLOG[[#This Row],[LOGIN]],tbMAPA[#All],2,0), "Não localizado")</f>
        <v>Renan Cazumba Tegani</v>
      </c>
      <c r="F3203" s="34" t="str">
        <f>IFERROR(VLOOKUP(tbLOG[[#This Row],[LOGIN]],tbMAPA[#All],3,0), "Não localizado")</f>
        <v>Reginaldo Santana De Souza</v>
      </c>
      <c r="G3203" s="3" t="s">
        <v>1211</v>
      </c>
      <c r="H3203" s="3" t="s">
        <v>309</v>
      </c>
    </row>
    <row r="3204" spans="1:8">
      <c r="A3204" s="29">
        <v>42754.450729166667</v>
      </c>
      <c r="B3204" s="29" t="str">
        <f>PROPER(TEXT(tbLOG[[#This Row],[DATA/HORA]],"mmmm"))</f>
        <v>Janeiro</v>
      </c>
      <c r="C3204" s="34" t="str">
        <f>PROPER(TEXT(tbLOG[[#This Row],[DATA/HORA]],"dddd"))</f>
        <v>Quinta-Feira</v>
      </c>
      <c r="D3204" s="3" t="s">
        <v>604</v>
      </c>
      <c r="E3204" s="34" t="str">
        <f>IFERROR(VLOOKUP(tbLOG[[#This Row],[LOGIN]],tbMAPA[#All],2,0), "Não localizado")</f>
        <v>Renan Cazumba Tegani</v>
      </c>
      <c r="F3204" s="34" t="str">
        <f>IFERROR(VLOOKUP(tbLOG[[#This Row],[LOGIN]],tbMAPA[#All],3,0), "Não localizado")</f>
        <v>Reginaldo Santana De Souza</v>
      </c>
      <c r="G3204" s="3" t="s">
        <v>1211</v>
      </c>
      <c r="H3204" s="3" t="s">
        <v>314</v>
      </c>
    </row>
    <row r="3205" spans="1:8">
      <c r="A3205" s="29">
        <v>42754.464872685188</v>
      </c>
      <c r="B3205" s="29" t="str">
        <f>PROPER(TEXT(tbLOG[[#This Row],[DATA/HORA]],"mmmm"))</f>
        <v>Janeiro</v>
      </c>
      <c r="C3205" s="34" t="str">
        <f>PROPER(TEXT(tbLOG[[#This Row],[DATA/HORA]],"dddd"))</f>
        <v>Quinta-Feira</v>
      </c>
      <c r="D3205" s="3" t="s">
        <v>604</v>
      </c>
      <c r="E3205" s="34" t="str">
        <f>IFERROR(VLOOKUP(tbLOG[[#This Row],[LOGIN]],tbMAPA[#All],2,0), "Não localizado")</f>
        <v>Renan Cazumba Tegani</v>
      </c>
      <c r="F3205" s="34" t="str">
        <f>IFERROR(VLOOKUP(tbLOG[[#This Row],[LOGIN]],tbMAPA[#All],3,0), "Não localizado")</f>
        <v>Reginaldo Santana De Souza</v>
      </c>
      <c r="G3205" s="3" t="s">
        <v>1211</v>
      </c>
      <c r="H3205" s="3" t="s">
        <v>836</v>
      </c>
    </row>
    <row r="3206" spans="1:8">
      <c r="A3206" s="29">
        <v>42754.465208333335</v>
      </c>
      <c r="B3206" s="29" t="str">
        <f>PROPER(TEXT(tbLOG[[#This Row],[DATA/HORA]],"mmmm"))</f>
        <v>Janeiro</v>
      </c>
      <c r="C3206" s="34" t="str">
        <f>PROPER(TEXT(tbLOG[[#This Row],[DATA/HORA]],"dddd"))</f>
        <v>Quinta-Feira</v>
      </c>
      <c r="D3206" s="3" t="s">
        <v>604</v>
      </c>
      <c r="E3206" s="34" t="str">
        <f>IFERROR(VLOOKUP(tbLOG[[#This Row],[LOGIN]],tbMAPA[#All],2,0), "Não localizado")</f>
        <v>Renan Cazumba Tegani</v>
      </c>
      <c r="F3206" s="34" t="str">
        <f>IFERROR(VLOOKUP(tbLOG[[#This Row],[LOGIN]],tbMAPA[#All],3,0), "Não localizado")</f>
        <v>Reginaldo Santana De Souza</v>
      </c>
      <c r="G3206" s="3" t="s">
        <v>1211</v>
      </c>
      <c r="H3206" s="3" t="s">
        <v>836</v>
      </c>
    </row>
    <row r="3207" spans="1:8">
      <c r="A3207" s="29">
        <v>42754.465601851851</v>
      </c>
      <c r="B3207" s="29" t="str">
        <f>PROPER(TEXT(tbLOG[[#This Row],[DATA/HORA]],"mmmm"))</f>
        <v>Janeiro</v>
      </c>
      <c r="C3207" s="34" t="str">
        <f>PROPER(TEXT(tbLOG[[#This Row],[DATA/HORA]],"dddd"))</f>
        <v>Quinta-Feira</v>
      </c>
      <c r="D3207" s="3" t="s">
        <v>604</v>
      </c>
      <c r="E3207" s="34" t="str">
        <f>IFERROR(VLOOKUP(tbLOG[[#This Row],[LOGIN]],tbMAPA[#All],2,0), "Não localizado")</f>
        <v>Renan Cazumba Tegani</v>
      </c>
      <c r="F3207" s="34" t="str">
        <f>IFERROR(VLOOKUP(tbLOG[[#This Row],[LOGIN]],tbMAPA[#All],3,0), "Não localizado")</f>
        <v>Reginaldo Santana De Souza</v>
      </c>
      <c r="G3207" s="3" t="s">
        <v>1211</v>
      </c>
      <c r="H3207" s="3" t="s">
        <v>836</v>
      </c>
    </row>
    <row r="3208" spans="1:8">
      <c r="A3208" s="29">
        <v>42754.474409722221</v>
      </c>
      <c r="B3208" s="29" t="str">
        <f>PROPER(TEXT(tbLOG[[#This Row],[DATA/HORA]],"mmmm"))</f>
        <v>Janeiro</v>
      </c>
      <c r="C3208" s="34" t="str">
        <f>PROPER(TEXT(tbLOG[[#This Row],[DATA/HORA]],"dddd"))</f>
        <v>Quinta-Feira</v>
      </c>
      <c r="D3208" s="3" t="s">
        <v>604</v>
      </c>
      <c r="E3208" s="34" t="str">
        <f>IFERROR(VLOOKUP(tbLOG[[#This Row],[LOGIN]],tbMAPA[#All],2,0), "Não localizado")</f>
        <v>Renan Cazumba Tegani</v>
      </c>
      <c r="F3208" s="34" t="str">
        <f>IFERROR(VLOOKUP(tbLOG[[#This Row],[LOGIN]],tbMAPA[#All],3,0), "Não localizado")</f>
        <v>Reginaldo Santana De Souza</v>
      </c>
      <c r="G3208" s="3" t="s">
        <v>1211</v>
      </c>
      <c r="H3208" s="3" t="s">
        <v>836</v>
      </c>
    </row>
    <row r="3209" spans="1:8">
      <c r="A3209" s="29">
        <v>42754.474421296298</v>
      </c>
      <c r="B3209" s="29" t="str">
        <f>PROPER(TEXT(tbLOG[[#This Row],[DATA/HORA]],"mmmm"))</f>
        <v>Janeiro</v>
      </c>
      <c r="C3209" s="34" t="str">
        <f>PROPER(TEXT(tbLOG[[#This Row],[DATA/HORA]],"dddd"))</f>
        <v>Quinta-Feira</v>
      </c>
      <c r="D3209" s="3" t="s">
        <v>604</v>
      </c>
      <c r="E3209" s="34" t="str">
        <f>IFERROR(VLOOKUP(tbLOG[[#This Row],[LOGIN]],tbMAPA[#All],2,0), "Não localizado")</f>
        <v>Renan Cazumba Tegani</v>
      </c>
      <c r="F3209" s="34" t="str">
        <f>IFERROR(VLOOKUP(tbLOG[[#This Row],[LOGIN]],tbMAPA[#All],3,0), "Não localizado")</f>
        <v>Reginaldo Santana De Souza</v>
      </c>
      <c r="G3209" s="3" t="s">
        <v>1211</v>
      </c>
      <c r="H3209" s="3" t="s">
        <v>836</v>
      </c>
    </row>
    <row r="3210" spans="1:8">
      <c r="A3210" s="29">
        <v>42754.474502314813</v>
      </c>
      <c r="B3210" s="29" t="str">
        <f>PROPER(TEXT(tbLOG[[#This Row],[DATA/HORA]],"mmmm"))</f>
        <v>Janeiro</v>
      </c>
      <c r="C3210" s="34" t="str">
        <f>PROPER(TEXT(tbLOG[[#This Row],[DATA/HORA]],"dddd"))</f>
        <v>Quinta-Feira</v>
      </c>
      <c r="D3210" s="3" t="s">
        <v>604</v>
      </c>
      <c r="E3210" s="34" t="str">
        <f>IFERROR(VLOOKUP(tbLOG[[#This Row],[LOGIN]],tbMAPA[#All],2,0), "Não localizado")</f>
        <v>Renan Cazumba Tegani</v>
      </c>
      <c r="F3210" s="34" t="str">
        <f>IFERROR(VLOOKUP(tbLOG[[#This Row],[LOGIN]],tbMAPA[#All],3,0), "Não localizado")</f>
        <v>Reginaldo Santana De Souza</v>
      </c>
      <c r="G3210" s="3" t="s">
        <v>1211</v>
      </c>
      <c r="H3210" s="3" t="s">
        <v>836</v>
      </c>
    </row>
    <row r="3211" spans="1:8">
      <c r="A3211" s="29">
        <v>42754.475902777776</v>
      </c>
      <c r="B3211" s="29" t="str">
        <f>PROPER(TEXT(tbLOG[[#This Row],[DATA/HORA]],"mmmm"))</f>
        <v>Janeiro</v>
      </c>
      <c r="C3211" s="34" t="str">
        <f>PROPER(TEXT(tbLOG[[#This Row],[DATA/HORA]],"dddd"))</f>
        <v>Quinta-Feira</v>
      </c>
      <c r="D3211" s="3" t="s">
        <v>604</v>
      </c>
      <c r="E3211" s="34" t="str">
        <f>IFERROR(VLOOKUP(tbLOG[[#This Row],[LOGIN]],tbMAPA[#All],2,0), "Não localizado")</f>
        <v>Renan Cazumba Tegani</v>
      </c>
      <c r="F3211" s="34" t="str">
        <f>IFERROR(VLOOKUP(tbLOG[[#This Row],[LOGIN]],tbMAPA[#All],3,0), "Não localizado")</f>
        <v>Reginaldo Santana De Souza</v>
      </c>
      <c r="G3211" s="3" t="s">
        <v>1211</v>
      </c>
      <c r="H3211" s="3" t="s">
        <v>836</v>
      </c>
    </row>
    <row r="3212" spans="1:8">
      <c r="A3212" s="29">
        <v>42754.475925925923</v>
      </c>
      <c r="B3212" s="29" t="str">
        <f>PROPER(TEXT(tbLOG[[#This Row],[DATA/HORA]],"mmmm"))</f>
        <v>Janeiro</v>
      </c>
      <c r="C3212" s="34" t="str">
        <f>PROPER(TEXT(tbLOG[[#This Row],[DATA/HORA]],"dddd"))</f>
        <v>Quinta-Feira</v>
      </c>
      <c r="D3212" s="3" t="s">
        <v>604</v>
      </c>
      <c r="E3212" s="34" t="str">
        <f>IFERROR(VLOOKUP(tbLOG[[#This Row],[LOGIN]],tbMAPA[#All],2,0), "Não localizado")</f>
        <v>Renan Cazumba Tegani</v>
      </c>
      <c r="F3212" s="34" t="str">
        <f>IFERROR(VLOOKUP(tbLOG[[#This Row],[LOGIN]],tbMAPA[#All],3,0), "Não localizado")</f>
        <v>Reginaldo Santana De Souza</v>
      </c>
      <c r="G3212" s="3" t="s">
        <v>1211</v>
      </c>
      <c r="H3212" s="3" t="s">
        <v>836</v>
      </c>
    </row>
    <row r="3213" spans="1:8">
      <c r="A3213" s="29">
        <v>42754.475972222222</v>
      </c>
      <c r="B3213" s="29" t="str">
        <f>PROPER(TEXT(tbLOG[[#This Row],[DATA/HORA]],"mmmm"))</f>
        <v>Janeiro</v>
      </c>
      <c r="C3213" s="34" t="str">
        <f>PROPER(TEXT(tbLOG[[#This Row],[DATA/HORA]],"dddd"))</f>
        <v>Quinta-Feira</v>
      </c>
      <c r="D3213" s="3" t="s">
        <v>604</v>
      </c>
      <c r="E3213" s="34" t="str">
        <f>IFERROR(VLOOKUP(tbLOG[[#This Row],[LOGIN]],tbMAPA[#All],2,0), "Não localizado")</f>
        <v>Renan Cazumba Tegani</v>
      </c>
      <c r="F3213" s="34" t="str">
        <f>IFERROR(VLOOKUP(tbLOG[[#This Row],[LOGIN]],tbMAPA[#All],3,0), "Não localizado")</f>
        <v>Reginaldo Santana De Souza</v>
      </c>
      <c r="G3213" s="3" t="s">
        <v>1211</v>
      </c>
      <c r="H3213" s="3" t="s">
        <v>836</v>
      </c>
    </row>
    <row r="3214" spans="1:8">
      <c r="A3214" s="29">
        <v>42754.483993055554</v>
      </c>
      <c r="B3214" s="29" t="str">
        <f>PROPER(TEXT(tbLOG[[#This Row],[DATA/HORA]],"mmmm"))</f>
        <v>Janeiro</v>
      </c>
      <c r="C3214" s="34" t="str">
        <f>PROPER(TEXT(tbLOG[[#This Row],[DATA/HORA]],"dddd"))</f>
        <v>Quinta-Feira</v>
      </c>
      <c r="D3214" s="3" t="s">
        <v>604</v>
      </c>
      <c r="E3214" s="34" t="str">
        <f>IFERROR(VLOOKUP(tbLOG[[#This Row],[LOGIN]],tbMAPA[#All],2,0), "Não localizado")</f>
        <v>Renan Cazumba Tegani</v>
      </c>
      <c r="F3214" s="34" t="str">
        <f>IFERROR(VLOOKUP(tbLOG[[#This Row],[LOGIN]],tbMAPA[#All],3,0), "Não localizado")</f>
        <v>Reginaldo Santana De Souza</v>
      </c>
      <c r="G3214" s="3" t="s">
        <v>1211</v>
      </c>
      <c r="H3214" s="3" t="s">
        <v>836</v>
      </c>
    </row>
    <row r="3215" spans="1:8">
      <c r="A3215" s="29">
        <v>42754.516643518517</v>
      </c>
      <c r="B3215" s="29" t="str">
        <f>PROPER(TEXT(tbLOG[[#This Row],[DATA/HORA]],"mmmm"))</f>
        <v>Janeiro</v>
      </c>
      <c r="C3215" s="34" t="str">
        <f>PROPER(TEXT(tbLOG[[#This Row],[DATA/HORA]],"dddd"))</f>
        <v>Quinta-Feira</v>
      </c>
      <c r="D3215" s="3" t="s">
        <v>604</v>
      </c>
      <c r="E3215" s="34" t="str">
        <f>IFERROR(VLOOKUP(tbLOG[[#This Row],[LOGIN]],tbMAPA[#All],2,0), "Não localizado")</f>
        <v>Renan Cazumba Tegani</v>
      </c>
      <c r="F3215" s="34" t="str">
        <f>IFERROR(VLOOKUP(tbLOG[[#This Row],[LOGIN]],tbMAPA[#All],3,0), "Não localizado")</f>
        <v>Reginaldo Santana De Souza</v>
      </c>
      <c r="G3215" s="3" t="s">
        <v>1211</v>
      </c>
      <c r="H3215" s="3" t="s">
        <v>836</v>
      </c>
    </row>
    <row r="3216" spans="1:8">
      <c r="A3216" s="29">
        <v>42754.51666666667</v>
      </c>
      <c r="B3216" s="29" t="str">
        <f>PROPER(TEXT(tbLOG[[#This Row],[DATA/HORA]],"mmmm"))</f>
        <v>Janeiro</v>
      </c>
      <c r="C3216" s="34" t="str">
        <f>PROPER(TEXT(tbLOG[[#This Row],[DATA/HORA]],"dddd"))</f>
        <v>Quinta-Feira</v>
      </c>
      <c r="D3216" s="3" t="s">
        <v>604</v>
      </c>
      <c r="E3216" s="34" t="str">
        <f>IFERROR(VLOOKUP(tbLOG[[#This Row],[LOGIN]],tbMAPA[#All],2,0), "Não localizado")</f>
        <v>Renan Cazumba Tegani</v>
      </c>
      <c r="F3216" s="34" t="str">
        <f>IFERROR(VLOOKUP(tbLOG[[#This Row],[LOGIN]],tbMAPA[#All],3,0), "Não localizado")</f>
        <v>Reginaldo Santana De Souza</v>
      </c>
      <c r="G3216" s="3" t="s">
        <v>1211</v>
      </c>
      <c r="H3216" s="3" t="s">
        <v>836</v>
      </c>
    </row>
    <row r="3217" spans="1:8">
      <c r="A3217" s="29">
        <v>42754.516701388886</v>
      </c>
      <c r="B3217" s="29" t="str">
        <f>PROPER(TEXT(tbLOG[[#This Row],[DATA/HORA]],"mmmm"))</f>
        <v>Janeiro</v>
      </c>
      <c r="C3217" s="34" t="str">
        <f>PROPER(TEXT(tbLOG[[#This Row],[DATA/HORA]],"dddd"))</f>
        <v>Quinta-Feira</v>
      </c>
      <c r="D3217" s="3" t="s">
        <v>604</v>
      </c>
      <c r="E3217" s="34" t="str">
        <f>IFERROR(VLOOKUP(tbLOG[[#This Row],[LOGIN]],tbMAPA[#All],2,0), "Não localizado")</f>
        <v>Renan Cazumba Tegani</v>
      </c>
      <c r="F3217" s="34" t="str">
        <f>IFERROR(VLOOKUP(tbLOG[[#This Row],[LOGIN]],tbMAPA[#All],3,0), "Não localizado")</f>
        <v>Reginaldo Santana De Souza</v>
      </c>
      <c r="G3217" s="3" t="s">
        <v>1211</v>
      </c>
      <c r="H3217" s="3" t="s">
        <v>836</v>
      </c>
    </row>
    <row r="3218" spans="1:8">
      <c r="A3218" s="29">
        <v>42754.519004629627</v>
      </c>
      <c r="B3218" s="29" t="str">
        <f>PROPER(TEXT(tbLOG[[#This Row],[DATA/HORA]],"mmmm"))</f>
        <v>Janeiro</v>
      </c>
      <c r="C3218" s="34" t="str">
        <f>PROPER(TEXT(tbLOG[[#This Row],[DATA/HORA]],"dddd"))</f>
        <v>Quinta-Feira</v>
      </c>
      <c r="D3218" s="3" t="s">
        <v>604</v>
      </c>
      <c r="E3218" s="34" t="str">
        <f>IFERROR(VLOOKUP(tbLOG[[#This Row],[LOGIN]],tbMAPA[#All],2,0), "Não localizado")</f>
        <v>Renan Cazumba Tegani</v>
      </c>
      <c r="F3218" s="34" t="str">
        <f>IFERROR(VLOOKUP(tbLOG[[#This Row],[LOGIN]],tbMAPA[#All],3,0), "Não localizado")</f>
        <v>Reginaldo Santana De Souza</v>
      </c>
      <c r="G3218" s="3" t="s">
        <v>1211</v>
      </c>
      <c r="H3218" s="3" t="s">
        <v>836</v>
      </c>
    </row>
    <row r="3219" spans="1:8">
      <c r="A3219" s="29">
        <v>42754.51902777778</v>
      </c>
      <c r="B3219" s="29" t="str">
        <f>PROPER(TEXT(tbLOG[[#This Row],[DATA/HORA]],"mmmm"))</f>
        <v>Janeiro</v>
      </c>
      <c r="C3219" s="34" t="str">
        <f>PROPER(TEXT(tbLOG[[#This Row],[DATA/HORA]],"dddd"))</f>
        <v>Quinta-Feira</v>
      </c>
      <c r="D3219" s="3" t="s">
        <v>604</v>
      </c>
      <c r="E3219" s="34" t="str">
        <f>IFERROR(VLOOKUP(tbLOG[[#This Row],[LOGIN]],tbMAPA[#All],2,0), "Não localizado")</f>
        <v>Renan Cazumba Tegani</v>
      </c>
      <c r="F3219" s="34" t="str">
        <f>IFERROR(VLOOKUP(tbLOG[[#This Row],[LOGIN]],tbMAPA[#All],3,0), "Não localizado")</f>
        <v>Reginaldo Santana De Souza</v>
      </c>
      <c r="G3219" s="3" t="s">
        <v>1211</v>
      </c>
      <c r="H3219" s="3" t="s">
        <v>836</v>
      </c>
    </row>
    <row r="3220" spans="1:8">
      <c r="A3220" s="29">
        <v>42754.519062500003</v>
      </c>
      <c r="B3220" s="29" t="str">
        <f>PROPER(TEXT(tbLOG[[#This Row],[DATA/HORA]],"mmmm"))</f>
        <v>Janeiro</v>
      </c>
      <c r="C3220" s="34" t="str">
        <f>PROPER(TEXT(tbLOG[[#This Row],[DATA/HORA]],"dddd"))</f>
        <v>Quinta-Feira</v>
      </c>
      <c r="D3220" s="3" t="s">
        <v>604</v>
      </c>
      <c r="E3220" s="34" t="str">
        <f>IFERROR(VLOOKUP(tbLOG[[#This Row],[LOGIN]],tbMAPA[#All],2,0), "Não localizado")</f>
        <v>Renan Cazumba Tegani</v>
      </c>
      <c r="F3220" s="34" t="str">
        <f>IFERROR(VLOOKUP(tbLOG[[#This Row],[LOGIN]],tbMAPA[#All],3,0), "Não localizado")</f>
        <v>Reginaldo Santana De Souza</v>
      </c>
      <c r="G3220" s="3" t="s">
        <v>1211</v>
      </c>
      <c r="H3220" s="3" t="s">
        <v>836</v>
      </c>
    </row>
    <row r="3221" spans="1:8">
      <c r="A3221" s="29">
        <v>42754.523761574077</v>
      </c>
      <c r="B3221" s="29" t="str">
        <f>PROPER(TEXT(tbLOG[[#This Row],[DATA/HORA]],"mmmm"))</f>
        <v>Janeiro</v>
      </c>
      <c r="C3221" s="34" t="str">
        <f>PROPER(TEXT(tbLOG[[#This Row],[DATA/HORA]],"dddd"))</f>
        <v>Quinta-Feira</v>
      </c>
      <c r="D3221" s="3" t="s">
        <v>604</v>
      </c>
      <c r="E3221" s="34" t="str">
        <f>IFERROR(VLOOKUP(tbLOG[[#This Row],[LOGIN]],tbMAPA[#All],2,0), "Não localizado")</f>
        <v>Renan Cazumba Tegani</v>
      </c>
      <c r="F3221" s="34" t="str">
        <f>IFERROR(VLOOKUP(tbLOG[[#This Row],[LOGIN]],tbMAPA[#All],3,0), "Não localizado")</f>
        <v>Reginaldo Santana De Souza</v>
      </c>
      <c r="G3221" s="3" t="s">
        <v>1211</v>
      </c>
      <c r="H3221" s="3" t="s">
        <v>836</v>
      </c>
    </row>
    <row r="3222" spans="1:8">
      <c r="A3222" s="29">
        <v>42754.528784722221</v>
      </c>
      <c r="B3222" s="29" t="str">
        <f>PROPER(TEXT(tbLOG[[#This Row],[DATA/HORA]],"mmmm"))</f>
        <v>Janeiro</v>
      </c>
      <c r="C3222" s="34" t="str">
        <f>PROPER(TEXT(tbLOG[[#This Row],[DATA/HORA]],"dddd"))</f>
        <v>Quinta-Feira</v>
      </c>
      <c r="D3222" s="3" t="s">
        <v>604</v>
      </c>
      <c r="E3222" s="34" t="str">
        <f>IFERROR(VLOOKUP(tbLOG[[#This Row],[LOGIN]],tbMAPA[#All],2,0), "Não localizado")</f>
        <v>Renan Cazumba Tegani</v>
      </c>
      <c r="F3222" s="34" t="str">
        <f>IFERROR(VLOOKUP(tbLOG[[#This Row],[LOGIN]],tbMAPA[#All],3,0), "Não localizado")</f>
        <v>Reginaldo Santana De Souza</v>
      </c>
      <c r="G3222" s="3" t="s">
        <v>1211</v>
      </c>
      <c r="H3222" s="3" t="s">
        <v>836</v>
      </c>
    </row>
    <row r="3223" spans="1:8">
      <c r="A3223" s="29">
        <v>42754.540312500001</v>
      </c>
      <c r="B3223" s="29" t="str">
        <f>PROPER(TEXT(tbLOG[[#This Row],[DATA/HORA]],"mmmm"))</f>
        <v>Janeiro</v>
      </c>
      <c r="C3223" s="34" t="str">
        <f>PROPER(TEXT(tbLOG[[#This Row],[DATA/HORA]],"dddd"))</f>
        <v>Quinta-Feira</v>
      </c>
      <c r="D3223" s="3" t="s">
        <v>604</v>
      </c>
      <c r="E3223" s="34" t="str">
        <f>IFERROR(VLOOKUP(tbLOG[[#This Row],[LOGIN]],tbMAPA[#All],2,0), "Não localizado")</f>
        <v>Renan Cazumba Tegani</v>
      </c>
      <c r="F3223" s="34" t="str">
        <f>IFERROR(VLOOKUP(tbLOG[[#This Row],[LOGIN]],tbMAPA[#All],3,0), "Não localizado")</f>
        <v>Reginaldo Santana De Souza</v>
      </c>
      <c r="G3223" s="3" t="s">
        <v>1211</v>
      </c>
      <c r="H3223" s="3" t="s">
        <v>836</v>
      </c>
    </row>
    <row r="3224" spans="1:8">
      <c r="A3224" s="29">
        <v>42754.540324074071</v>
      </c>
      <c r="B3224" s="29" t="str">
        <f>PROPER(TEXT(tbLOG[[#This Row],[DATA/HORA]],"mmmm"))</f>
        <v>Janeiro</v>
      </c>
      <c r="C3224" s="34" t="str">
        <f>PROPER(TEXT(tbLOG[[#This Row],[DATA/HORA]],"dddd"))</f>
        <v>Quinta-Feira</v>
      </c>
      <c r="D3224" s="3" t="s">
        <v>604</v>
      </c>
      <c r="E3224" s="34" t="str">
        <f>IFERROR(VLOOKUP(tbLOG[[#This Row],[LOGIN]],tbMAPA[#All],2,0), "Não localizado")</f>
        <v>Renan Cazumba Tegani</v>
      </c>
      <c r="F3224" s="34" t="str">
        <f>IFERROR(VLOOKUP(tbLOG[[#This Row],[LOGIN]],tbMAPA[#All],3,0), "Não localizado")</f>
        <v>Reginaldo Santana De Souza</v>
      </c>
      <c r="G3224" s="3" t="s">
        <v>1211</v>
      </c>
      <c r="H3224" s="3" t="s">
        <v>836</v>
      </c>
    </row>
    <row r="3225" spans="1:8">
      <c r="A3225" s="29">
        <v>42754.540567129632</v>
      </c>
      <c r="B3225" s="29" t="str">
        <f>PROPER(TEXT(tbLOG[[#This Row],[DATA/HORA]],"mmmm"))</f>
        <v>Janeiro</v>
      </c>
      <c r="C3225" s="34" t="str">
        <f>PROPER(TEXT(tbLOG[[#This Row],[DATA/HORA]],"dddd"))</f>
        <v>Quinta-Feira</v>
      </c>
      <c r="D3225" s="3" t="s">
        <v>604</v>
      </c>
      <c r="E3225" s="34" t="str">
        <f>IFERROR(VLOOKUP(tbLOG[[#This Row],[LOGIN]],tbMAPA[#All],2,0), "Não localizado")</f>
        <v>Renan Cazumba Tegani</v>
      </c>
      <c r="F3225" s="34" t="str">
        <f>IFERROR(VLOOKUP(tbLOG[[#This Row],[LOGIN]],tbMAPA[#All],3,0), "Não localizado")</f>
        <v>Reginaldo Santana De Souza</v>
      </c>
      <c r="G3225" s="3" t="s">
        <v>1211</v>
      </c>
      <c r="H3225" s="3" t="s">
        <v>836</v>
      </c>
    </row>
    <row r="3226" spans="1:8">
      <c r="A3226" s="29">
        <v>42754.54078703704</v>
      </c>
      <c r="B3226" s="29" t="str">
        <f>PROPER(TEXT(tbLOG[[#This Row],[DATA/HORA]],"mmmm"))</f>
        <v>Janeiro</v>
      </c>
      <c r="C3226" s="34" t="str">
        <f>PROPER(TEXT(tbLOG[[#This Row],[DATA/HORA]],"dddd"))</f>
        <v>Quinta-Feira</v>
      </c>
      <c r="D3226" s="3" t="s">
        <v>604</v>
      </c>
      <c r="E3226" s="34" t="str">
        <f>IFERROR(VLOOKUP(tbLOG[[#This Row],[LOGIN]],tbMAPA[#All],2,0), "Não localizado")</f>
        <v>Renan Cazumba Tegani</v>
      </c>
      <c r="F3226" s="34" t="str">
        <f>IFERROR(VLOOKUP(tbLOG[[#This Row],[LOGIN]],tbMAPA[#All],3,0), "Não localizado")</f>
        <v>Reginaldo Santana De Souza</v>
      </c>
      <c r="G3226" s="3" t="s">
        <v>1211</v>
      </c>
      <c r="H3226" s="3" t="s">
        <v>836</v>
      </c>
    </row>
    <row r="3227" spans="1:8">
      <c r="A3227" s="29">
        <v>42754.547685185185</v>
      </c>
      <c r="B3227" s="29" t="str">
        <f>PROPER(TEXT(tbLOG[[#This Row],[DATA/HORA]],"mmmm"))</f>
        <v>Janeiro</v>
      </c>
      <c r="C3227" s="34" t="str">
        <f>PROPER(TEXT(tbLOG[[#This Row],[DATA/HORA]],"dddd"))</f>
        <v>Quinta-Feira</v>
      </c>
      <c r="D3227" s="3" t="s">
        <v>604</v>
      </c>
      <c r="E3227" s="34" t="str">
        <f>IFERROR(VLOOKUP(tbLOG[[#This Row],[LOGIN]],tbMAPA[#All],2,0), "Não localizado")</f>
        <v>Renan Cazumba Tegani</v>
      </c>
      <c r="F3227" s="34" t="str">
        <f>IFERROR(VLOOKUP(tbLOG[[#This Row],[LOGIN]],tbMAPA[#All],3,0), "Não localizado")</f>
        <v>Reginaldo Santana De Souza</v>
      </c>
      <c r="G3227" s="3" t="s">
        <v>1211</v>
      </c>
      <c r="H3227" s="3" t="s">
        <v>836</v>
      </c>
    </row>
    <row r="3228" spans="1:8">
      <c r="A3228" s="29">
        <v>42754.547708333332</v>
      </c>
      <c r="B3228" s="29" t="str">
        <f>PROPER(TEXT(tbLOG[[#This Row],[DATA/HORA]],"mmmm"))</f>
        <v>Janeiro</v>
      </c>
      <c r="C3228" s="34" t="str">
        <f>PROPER(TEXT(tbLOG[[#This Row],[DATA/HORA]],"dddd"))</f>
        <v>Quinta-Feira</v>
      </c>
      <c r="D3228" s="3" t="s">
        <v>604</v>
      </c>
      <c r="E3228" s="34" t="str">
        <f>IFERROR(VLOOKUP(tbLOG[[#This Row],[LOGIN]],tbMAPA[#All],2,0), "Não localizado")</f>
        <v>Renan Cazumba Tegani</v>
      </c>
      <c r="F3228" s="34" t="str">
        <f>IFERROR(VLOOKUP(tbLOG[[#This Row],[LOGIN]],tbMAPA[#All],3,0), "Não localizado")</f>
        <v>Reginaldo Santana De Souza</v>
      </c>
      <c r="G3228" s="3" t="s">
        <v>1211</v>
      </c>
      <c r="H3228" s="3" t="s">
        <v>836</v>
      </c>
    </row>
    <row r="3229" spans="1:8">
      <c r="A3229" s="29">
        <v>42754.547789351855</v>
      </c>
      <c r="B3229" s="29" t="str">
        <f>PROPER(TEXT(tbLOG[[#This Row],[DATA/HORA]],"mmmm"))</f>
        <v>Janeiro</v>
      </c>
      <c r="C3229" s="34" t="str">
        <f>PROPER(TEXT(tbLOG[[#This Row],[DATA/HORA]],"dddd"))</f>
        <v>Quinta-Feira</v>
      </c>
      <c r="D3229" s="3" t="s">
        <v>604</v>
      </c>
      <c r="E3229" s="34" t="str">
        <f>IFERROR(VLOOKUP(tbLOG[[#This Row],[LOGIN]],tbMAPA[#All],2,0), "Não localizado")</f>
        <v>Renan Cazumba Tegani</v>
      </c>
      <c r="F3229" s="34" t="str">
        <f>IFERROR(VLOOKUP(tbLOG[[#This Row],[LOGIN]],tbMAPA[#All],3,0), "Não localizado")</f>
        <v>Reginaldo Santana De Souza</v>
      </c>
      <c r="G3229" s="3" t="s">
        <v>1211</v>
      </c>
      <c r="H3229" s="3" t="s">
        <v>836</v>
      </c>
    </row>
    <row r="3230" spans="1:8">
      <c r="A3230" s="29">
        <v>42754.548113425924</v>
      </c>
      <c r="B3230" s="29" t="str">
        <f>PROPER(TEXT(tbLOG[[#This Row],[DATA/HORA]],"mmmm"))</f>
        <v>Janeiro</v>
      </c>
      <c r="C3230" s="34" t="str">
        <f>PROPER(TEXT(tbLOG[[#This Row],[DATA/HORA]],"dddd"))</f>
        <v>Quinta-Feira</v>
      </c>
      <c r="D3230" s="3" t="s">
        <v>604</v>
      </c>
      <c r="E3230" s="34" t="str">
        <f>IFERROR(VLOOKUP(tbLOG[[#This Row],[LOGIN]],tbMAPA[#All],2,0), "Não localizado")</f>
        <v>Renan Cazumba Tegani</v>
      </c>
      <c r="F3230" s="34" t="str">
        <f>IFERROR(VLOOKUP(tbLOG[[#This Row],[LOGIN]],tbMAPA[#All],3,0), "Não localizado")</f>
        <v>Reginaldo Santana De Souza</v>
      </c>
      <c r="G3230" s="3" t="s">
        <v>1211</v>
      </c>
      <c r="H3230" s="3" t="s">
        <v>836</v>
      </c>
    </row>
    <row r="3231" spans="1:8">
      <c r="A3231" s="29">
        <v>42754.549317129633</v>
      </c>
      <c r="B3231" s="29" t="str">
        <f>PROPER(TEXT(tbLOG[[#This Row],[DATA/HORA]],"mmmm"))</f>
        <v>Janeiro</v>
      </c>
      <c r="C3231" s="34" t="str">
        <f>PROPER(TEXT(tbLOG[[#This Row],[DATA/HORA]],"dddd"))</f>
        <v>Quinta-Feira</v>
      </c>
      <c r="D3231" s="3" t="s">
        <v>604</v>
      </c>
      <c r="E3231" s="34" t="str">
        <f>IFERROR(VLOOKUP(tbLOG[[#This Row],[LOGIN]],tbMAPA[#All],2,0), "Não localizado")</f>
        <v>Renan Cazumba Tegani</v>
      </c>
      <c r="F3231" s="34" t="str">
        <f>IFERROR(VLOOKUP(tbLOG[[#This Row],[LOGIN]],tbMAPA[#All],3,0), "Não localizado")</f>
        <v>Reginaldo Santana De Souza</v>
      </c>
      <c r="G3231" s="3" t="s">
        <v>1211</v>
      </c>
      <c r="H3231" s="3" t="s">
        <v>836</v>
      </c>
    </row>
    <row r="3232" spans="1:8">
      <c r="A3232" s="29">
        <v>42754.55128472222</v>
      </c>
      <c r="B3232" s="29" t="str">
        <f>PROPER(TEXT(tbLOG[[#This Row],[DATA/HORA]],"mmmm"))</f>
        <v>Janeiro</v>
      </c>
      <c r="C3232" s="34" t="str">
        <f>PROPER(TEXT(tbLOG[[#This Row],[DATA/HORA]],"dddd"))</f>
        <v>Quinta-Feira</v>
      </c>
      <c r="D3232" s="3" t="s">
        <v>604</v>
      </c>
      <c r="E3232" s="34" t="str">
        <f>IFERROR(VLOOKUP(tbLOG[[#This Row],[LOGIN]],tbMAPA[#All],2,0), "Não localizado")</f>
        <v>Renan Cazumba Tegani</v>
      </c>
      <c r="F3232" s="34" t="str">
        <f>IFERROR(VLOOKUP(tbLOG[[#This Row],[LOGIN]],tbMAPA[#All],3,0), "Não localizado")</f>
        <v>Reginaldo Santana De Souza</v>
      </c>
      <c r="G3232" s="3" t="s">
        <v>1211</v>
      </c>
      <c r="H3232" s="3" t="s">
        <v>836</v>
      </c>
    </row>
    <row r="3233" spans="1:8">
      <c r="A3233" s="29">
        <v>42754.551307870373</v>
      </c>
      <c r="B3233" s="29" t="str">
        <f>PROPER(TEXT(tbLOG[[#This Row],[DATA/HORA]],"mmmm"))</f>
        <v>Janeiro</v>
      </c>
      <c r="C3233" s="34" t="str">
        <f>PROPER(TEXT(tbLOG[[#This Row],[DATA/HORA]],"dddd"))</f>
        <v>Quinta-Feira</v>
      </c>
      <c r="D3233" s="3" t="s">
        <v>604</v>
      </c>
      <c r="E3233" s="34" t="str">
        <f>IFERROR(VLOOKUP(tbLOG[[#This Row],[LOGIN]],tbMAPA[#All],2,0), "Não localizado")</f>
        <v>Renan Cazumba Tegani</v>
      </c>
      <c r="F3233" s="34" t="str">
        <f>IFERROR(VLOOKUP(tbLOG[[#This Row],[LOGIN]],tbMAPA[#All],3,0), "Não localizado")</f>
        <v>Reginaldo Santana De Souza</v>
      </c>
      <c r="G3233" s="3" t="s">
        <v>1211</v>
      </c>
      <c r="H3233" s="3" t="s">
        <v>836</v>
      </c>
    </row>
    <row r="3234" spans="1:8">
      <c r="A3234" s="29">
        <v>42754.551377314812</v>
      </c>
      <c r="B3234" s="29" t="str">
        <f>PROPER(TEXT(tbLOG[[#This Row],[DATA/HORA]],"mmmm"))</f>
        <v>Janeiro</v>
      </c>
      <c r="C3234" s="34" t="str">
        <f>PROPER(TEXT(tbLOG[[#This Row],[DATA/HORA]],"dddd"))</f>
        <v>Quinta-Feira</v>
      </c>
      <c r="D3234" s="3" t="s">
        <v>604</v>
      </c>
      <c r="E3234" s="34" t="str">
        <f>IFERROR(VLOOKUP(tbLOG[[#This Row],[LOGIN]],tbMAPA[#All],2,0), "Não localizado")</f>
        <v>Renan Cazumba Tegani</v>
      </c>
      <c r="F3234" s="34" t="str">
        <f>IFERROR(VLOOKUP(tbLOG[[#This Row],[LOGIN]],tbMAPA[#All],3,0), "Não localizado")</f>
        <v>Reginaldo Santana De Souza</v>
      </c>
      <c r="G3234" s="3" t="s">
        <v>1211</v>
      </c>
      <c r="H3234" s="3" t="s">
        <v>836</v>
      </c>
    </row>
    <row r="3235" spans="1:8">
      <c r="A3235" s="29">
        <v>42754.554479166669</v>
      </c>
      <c r="B3235" s="29" t="str">
        <f>PROPER(TEXT(tbLOG[[#This Row],[DATA/HORA]],"mmmm"))</f>
        <v>Janeiro</v>
      </c>
      <c r="C3235" s="34" t="str">
        <f>PROPER(TEXT(tbLOG[[#This Row],[DATA/HORA]],"dddd"))</f>
        <v>Quinta-Feira</v>
      </c>
      <c r="D3235" s="3" t="s">
        <v>604</v>
      </c>
      <c r="E3235" s="34" t="str">
        <f>IFERROR(VLOOKUP(tbLOG[[#This Row],[LOGIN]],tbMAPA[#All],2,0), "Não localizado")</f>
        <v>Renan Cazumba Tegani</v>
      </c>
      <c r="F3235" s="34" t="str">
        <f>IFERROR(VLOOKUP(tbLOG[[#This Row],[LOGIN]],tbMAPA[#All],3,0), "Não localizado")</f>
        <v>Reginaldo Santana De Souza</v>
      </c>
      <c r="G3235" s="3" t="s">
        <v>1211</v>
      </c>
      <c r="H3235" s="3" t="s">
        <v>836</v>
      </c>
    </row>
    <row r="3236" spans="1:8">
      <c r="A3236" s="29">
        <v>42754.554502314815</v>
      </c>
      <c r="B3236" s="29" t="str">
        <f>PROPER(TEXT(tbLOG[[#This Row],[DATA/HORA]],"mmmm"))</f>
        <v>Janeiro</v>
      </c>
      <c r="C3236" s="34" t="str">
        <f>PROPER(TEXT(tbLOG[[#This Row],[DATA/HORA]],"dddd"))</f>
        <v>Quinta-Feira</v>
      </c>
      <c r="D3236" s="3" t="s">
        <v>604</v>
      </c>
      <c r="E3236" s="34" t="str">
        <f>IFERROR(VLOOKUP(tbLOG[[#This Row],[LOGIN]],tbMAPA[#All],2,0), "Não localizado")</f>
        <v>Renan Cazumba Tegani</v>
      </c>
      <c r="F3236" s="34" t="str">
        <f>IFERROR(VLOOKUP(tbLOG[[#This Row],[LOGIN]],tbMAPA[#All],3,0), "Não localizado")</f>
        <v>Reginaldo Santana De Souza</v>
      </c>
      <c r="G3236" s="3" t="s">
        <v>1211</v>
      </c>
      <c r="H3236" s="3" t="s">
        <v>836</v>
      </c>
    </row>
    <row r="3237" spans="1:8">
      <c r="A3237" s="29">
        <v>42754.554837962962</v>
      </c>
      <c r="B3237" s="29" t="str">
        <f>PROPER(TEXT(tbLOG[[#This Row],[DATA/HORA]],"mmmm"))</f>
        <v>Janeiro</v>
      </c>
      <c r="C3237" s="34" t="str">
        <f>PROPER(TEXT(tbLOG[[#This Row],[DATA/HORA]],"dddd"))</f>
        <v>Quinta-Feira</v>
      </c>
      <c r="D3237" s="3" t="s">
        <v>604</v>
      </c>
      <c r="E3237" s="34" t="str">
        <f>IFERROR(VLOOKUP(tbLOG[[#This Row],[LOGIN]],tbMAPA[#All],2,0), "Não localizado")</f>
        <v>Renan Cazumba Tegani</v>
      </c>
      <c r="F3237" s="34" t="str">
        <f>IFERROR(VLOOKUP(tbLOG[[#This Row],[LOGIN]],tbMAPA[#All],3,0), "Não localizado")</f>
        <v>Reginaldo Santana De Souza</v>
      </c>
      <c r="G3237" s="3" t="s">
        <v>1211</v>
      </c>
      <c r="H3237" s="3" t="s">
        <v>836</v>
      </c>
    </row>
    <row r="3238" spans="1:8">
      <c r="A3238" s="29">
        <v>42754.557604166665</v>
      </c>
      <c r="B3238" s="29" t="str">
        <f>PROPER(TEXT(tbLOG[[#This Row],[DATA/HORA]],"mmmm"))</f>
        <v>Janeiro</v>
      </c>
      <c r="C3238" s="34" t="str">
        <f>PROPER(TEXT(tbLOG[[#This Row],[DATA/HORA]],"dddd"))</f>
        <v>Quinta-Feira</v>
      </c>
      <c r="D3238" s="3" t="s">
        <v>604</v>
      </c>
      <c r="E3238" s="34" t="str">
        <f>IFERROR(VLOOKUP(tbLOG[[#This Row],[LOGIN]],tbMAPA[#All],2,0), "Não localizado")</f>
        <v>Renan Cazumba Tegani</v>
      </c>
      <c r="F3238" s="34" t="str">
        <f>IFERROR(VLOOKUP(tbLOG[[#This Row],[LOGIN]],tbMAPA[#All],3,0), "Não localizado")</f>
        <v>Reginaldo Santana De Souza</v>
      </c>
      <c r="G3238" s="3" t="s">
        <v>1211</v>
      </c>
      <c r="H3238" s="3" t="s">
        <v>836</v>
      </c>
    </row>
    <row r="3239" spans="1:8">
      <c r="A3239" s="29">
        <v>42754.557627314818</v>
      </c>
      <c r="B3239" s="29" t="str">
        <f>PROPER(TEXT(tbLOG[[#This Row],[DATA/HORA]],"mmmm"))</f>
        <v>Janeiro</v>
      </c>
      <c r="C3239" s="34" t="str">
        <f>PROPER(TEXT(tbLOG[[#This Row],[DATA/HORA]],"dddd"))</f>
        <v>Quinta-Feira</v>
      </c>
      <c r="D3239" s="3" t="s">
        <v>604</v>
      </c>
      <c r="E3239" s="34" t="str">
        <f>IFERROR(VLOOKUP(tbLOG[[#This Row],[LOGIN]],tbMAPA[#All],2,0), "Não localizado")</f>
        <v>Renan Cazumba Tegani</v>
      </c>
      <c r="F3239" s="34" t="str">
        <f>IFERROR(VLOOKUP(tbLOG[[#This Row],[LOGIN]],tbMAPA[#All],3,0), "Não localizado")</f>
        <v>Reginaldo Santana De Souza</v>
      </c>
      <c r="G3239" s="3" t="s">
        <v>1211</v>
      </c>
      <c r="H3239" s="3" t="s">
        <v>836</v>
      </c>
    </row>
    <row r="3240" spans="1:8">
      <c r="A3240" s="29">
        <v>42754.557708333334</v>
      </c>
      <c r="B3240" s="29" t="str">
        <f>PROPER(TEXT(tbLOG[[#This Row],[DATA/HORA]],"mmmm"))</f>
        <v>Janeiro</v>
      </c>
      <c r="C3240" s="34" t="str">
        <f>PROPER(TEXT(tbLOG[[#This Row],[DATA/HORA]],"dddd"))</f>
        <v>Quinta-Feira</v>
      </c>
      <c r="D3240" s="3" t="s">
        <v>604</v>
      </c>
      <c r="E3240" s="34" t="str">
        <f>IFERROR(VLOOKUP(tbLOG[[#This Row],[LOGIN]],tbMAPA[#All],2,0), "Não localizado")</f>
        <v>Renan Cazumba Tegani</v>
      </c>
      <c r="F3240" s="34" t="str">
        <f>IFERROR(VLOOKUP(tbLOG[[#This Row],[LOGIN]],tbMAPA[#All],3,0), "Não localizado")</f>
        <v>Reginaldo Santana De Souza</v>
      </c>
      <c r="G3240" s="3" t="s">
        <v>1211</v>
      </c>
      <c r="H3240" s="3" t="s">
        <v>836</v>
      </c>
    </row>
    <row r="3241" spans="1:8">
      <c r="A3241" s="29">
        <v>42754.560104166667</v>
      </c>
      <c r="B3241" s="29" t="str">
        <f>PROPER(TEXT(tbLOG[[#This Row],[DATA/HORA]],"mmmm"))</f>
        <v>Janeiro</v>
      </c>
      <c r="C3241" s="34" t="str">
        <f>PROPER(TEXT(tbLOG[[#This Row],[DATA/HORA]],"dddd"))</f>
        <v>Quinta-Feira</v>
      </c>
      <c r="D3241" s="3" t="s">
        <v>604</v>
      </c>
      <c r="E3241" s="34" t="str">
        <f>IFERROR(VLOOKUP(tbLOG[[#This Row],[LOGIN]],tbMAPA[#All],2,0), "Não localizado")</f>
        <v>Renan Cazumba Tegani</v>
      </c>
      <c r="F3241" s="34" t="str">
        <f>IFERROR(VLOOKUP(tbLOG[[#This Row],[LOGIN]],tbMAPA[#All],3,0), "Não localizado")</f>
        <v>Reginaldo Santana De Souza</v>
      </c>
      <c r="G3241" s="3" t="s">
        <v>1211</v>
      </c>
      <c r="H3241" s="3" t="s">
        <v>836</v>
      </c>
    </row>
    <row r="3242" spans="1:8">
      <c r="A3242" s="29">
        <v>42754.561990740738</v>
      </c>
      <c r="B3242" s="29" t="str">
        <f>PROPER(TEXT(tbLOG[[#This Row],[DATA/HORA]],"mmmm"))</f>
        <v>Janeiro</v>
      </c>
      <c r="C3242" s="34" t="str">
        <f>PROPER(TEXT(tbLOG[[#This Row],[DATA/HORA]],"dddd"))</f>
        <v>Quinta-Feira</v>
      </c>
      <c r="D3242" s="3" t="s">
        <v>604</v>
      </c>
      <c r="E3242" s="34" t="str">
        <f>IFERROR(VLOOKUP(tbLOG[[#This Row],[LOGIN]],tbMAPA[#All],2,0), "Não localizado")</f>
        <v>Renan Cazumba Tegani</v>
      </c>
      <c r="F3242" s="34" t="str">
        <f>IFERROR(VLOOKUP(tbLOG[[#This Row],[LOGIN]],tbMAPA[#All],3,0), "Não localizado")</f>
        <v>Reginaldo Santana De Souza</v>
      </c>
      <c r="G3242" s="3" t="s">
        <v>1211</v>
      </c>
      <c r="H3242" s="3" t="s">
        <v>836</v>
      </c>
    </row>
    <row r="3243" spans="1:8">
      <c r="A3243" s="29">
        <v>42754.562002314815</v>
      </c>
      <c r="B3243" s="29" t="str">
        <f>PROPER(TEXT(tbLOG[[#This Row],[DATA/HORA]],"mmmm"))</f>
        <v>Janeiro</v>
      </c>
      <c r="C3243" s="34" t="str">
        <f>PROPER(TEXT(tbLOG[[#This Row],[DATA/HORA]],"dddd"))</f>
        <v>Quinta-Feira</v>
      </c>
      <c r="D3243" s="3" t="s">
        <v>604</v>
      </c>
      <c r="E3243" s="34" t="str">
        <f>IFERROR(VLOOKUP(tbLOG[[#This Row],[LOGIN]],tbMAPA[#All],2,0), "Não localizado")</f>
        <v>Renan Cazumba Tegani</v>
      </c>
      <c r="F3243" s="34" t="str">
        <f>IFERROR(VLOOKUP(tbLOG[[#This Row],[LOGIN]],tbMAPA[#All],3,0), "Não localizado")</f>
        <v>Reginaldo Santana De Souza</v>
      </c>
      <c r="G3243" s="3" t="s">
        <v>1211</v>
      </c>
      <c r="H3243" s="3" t="s">
        <v>836</v>
      </c>
    </row>
    <row r="3244" spans="1:8">
      <c r="A3244" s="29">
        <v>42754.562048611115</v>
      </c>
      <c r="B3244" s="29" t="str">
        <f>PROPER(TEXT(tbLOG[[#This Row],[DATA/HORA]],"mmmm"))</f>
        <v>Janeiro</v>
      </c>
      <c r="C3244" s="34" t="str">
        <f>PROPER(TEXT(tbLOG[[#This Row],[DATA/HORA]],"dddd"))</f>
        <v>Quinta-Feira</v>
      </c>
      <c r="D3244" s="3" t="s">
        <v>604</v>
      </c>
      <c r="E3244" s="34" t="str">
        <f>IFERROR(VLOOKUP(tbLOG[[#This Row],[LOGIN]],tbMAPA[#All],2,0), "Não localizado")</f>
        <v>Renan Cazumba Tegani</v>
      </c>
      <c r="F3244" s="34" t="str">
        <f>IFERROR(VLOOKUP(tbLOG[[#This Row],[LOGIN]],tbMAPA[#All],3,0), "Não localizado")</f>
        <v>Reginaldo Santana De Souza</v>
      </c>
      <c r="G3244" s="3" t="s">
        <v>1211</v>
      </c>
      <c r="H3244" s="3" t="s">
        <v>836</v>
      </c>
    </row>
    <row r="3245" spans="1:8">
      <c r="A3245" s="29">
        <v>42754.562708333331</v>
      </c>
      <c r="B3245" s="29" t="str">
        <f>PROPER(TEXT(tbLOG[[#This Row],[DATA/HORA]],"mmmm"))</f>
        <v>Janeiro</v>
      </c>
      <c r="C3245" s="34" t="str">
        <f>PROPER(TEXT(tbLOG[[#This Row],[DATA/HORA]],"dddd"))</f>
        <v>Quinta-Feira</v>
      </c>
      <c r="D3245" s="3" t="s">
        <v>604</v>
      </c>
      <c r="E3245" s="34" t="str">
        <f>IFERROR(VLOOKUP(tbLOG[[#This Row],[LOGIN]],tbMAPA[#All],2,0), "Não localizado")</f>
        <v>Renan Cazumba Tegani</v>
      </c>
      <c r="F3245" s="34" t="str">
        <f>IFERROR(VLOOKUP(tbLOG[[#This Row],[LOGIN]],tbMAPA[#All],3,0), "Não localizado")</f>
        <v>Reginaldo Santana De Souza</v>
      </c>
      <c r="G3245" s="3" t="s">
        <v>1211</v>
      </c>
      <c r="H3245" s="3" t="s">
        <v>836</v>
      </c>
    </row>
    <row r="3246" spans="1:8">
      <c r="A3246" s="29">
        <v>42754.562731481485</v>
      </c>
      <c r="B3246" s="29" t="str">
        <f>PROPER(TEXT(tbLOG[[#This Row],[DATA/HORA]],"mmmm"))</f>
        <v>Janeiro</v>
      </c>
      <c r="C3246" s="34" t="str">
        <f>PROPER(TEXT(tbLOG[[#This Row],[DATA/HORA]],"dddd"))</f>
        <v>Quinta-Feira</v>
      </c>
      <c r="D3246" s="3" t="s">
        <v>604</v>
      </c>
      <c r="E3246" s="34" t="str">
        <f>IFERROR(VLOOKUP(tbLOG[[#This Row],[LOGIN]],tbMAPA[#All],2,0), "Não localizado")</f>
        <v>Renan Cazumba Tegani</v>
      </c>
      <c r="F3246" s="34" t="str">
        <f>IFERROR(VLOOKUP(tbLOG[[#This Row],[LOGIN]],tbMAPA[#All],3,0), "Não localizado")</f>
        <v>Reginaldo Santana De Souza</v>
      </c>
      <c r="G3246" s="3" t="s">
        <v>1211</v>
      </c>
      <c r="H3246" s="3" t="s">
        <v>836</v>
      </c>
    </row>
    <row r="3247" spans="1:8">
      <c r="A3247" s="29">
        <v>42754.562754629631</v>
      </c>
      <c r="B3247" s="29" t="str">
        <f>PROPER(TEXT(tbLOG[[#This Row],[DATA/HORA]],"mmmm"))</f>
        <v>Janeiro</v>
      </c>
      <c r="C3247" s="34" t="str">
        <f>PROPER(TEXT(tbLOG[[#This Row],[DATA/HORA]],"dddd"))</f>
        <v>Quinta-Feira</v>
      </c>
      <c r="D3247" s="3" t="s">
        <v>604</v>
      </c>
      <c r="E3247" s="34" t="str">
        <f>IFERROR(VLOOKUP(tbLOG[[#This Row],[LOGIN]],tbMAPA[#All],2,0), "Não localizado")</f>
        <v>Renan Cazumba Tegani</v>
      </c>
      <c r="F3247" s="34" t="str">
        <f>IFERROR(VLOOKUP(tbLOG[[#This Row],[LOGIN]],tbMAPA[#All],3,0), "Não localizado")</f>
        <v>Reginaldo Santana De Souza</v>
      </c>
      <c r="G3247" s="3" t="s">
        <v>1211</v>
      </c>
      <c r="H3247" s="3" t="s">
        <v>836</v>
      </c>
    </row>
    <row r="3248" spans="1:8">
      <c r="A3248" s="29">
        <v>42754.562800925924</v>
      </c>
      <c r="B3248" s="29" t="str">
        <f>PROPER(TEXT(tbLOG[[#This Row],[DATA/HORA]],"mmmm"))</f>
        <v>Janeiro</v>
      </c>
      <c r="C3248" s="34" t="str">
        <f>PROPER(TEXT(tbLOG[[#This Row],[DATA/HORA]],"dddd"))</f>
        <v>Quinta-Feira</v>
      </c>
      <c r="D3248" s="3" t="s">
        <v>604</v>
      </c>
      <c r="E3248" s="34" t="str">
        <f>IFERROR(VLOOKUP(tbLOG[[#This Row],[LOGIN]],tbMAPA[#All],2,0), "Não localizado")</f>
        <v>Renan Cazumba Tegani</v>
      </c>
      <c r="F3248" s="34" t="str">
        <f>IFERROR(VLOOKUP(tbLOG[[#This Row],[LOGIN]],tbMAPA[#All],3,0), "Não localizado")</f>
        <v>Reginaldo Santana De Souza</v>
      </c>
      <c r="G3248" s="3" t="s">
        <v>1211</v>
      </c>
      <c r="H3248" s="3" t="s">
        <v>836</v>
      </c>
    </row>
    <row r="3249" spans="1:8">
      <c r="A3249" s="29">
        <v>42754.567858796298</v>
      </c>
      <c r="B3249" s="29" t="str">
        <f>PROPER(TEXT(tbLOG[[#This Row],[DATA/HORA]],"mmmm"))</f>
        <v>Janeiro</v>
      </c>
      <c r="C3249" s="34" t="str">
        <f>PROPER(TEXT(tbLOG[[#This Row],[DATA/HORA]],"dddd"))</f>
        <v>Quinta-Feira</v>
      </c>
      <c r="D3249" s="3" t="s">
        <v>604</v>
      </c>
      <c r="E3249" s="34" t="str">
        <f>IFERROR(VLOOKUP(tbLOG[[#This Row],[LOGIN]],tbMAPA[#All],2,0), "Não localizado")</f>
        <v>Renan Cazumba Tegani</v>
      </c>
      <c r="F3249" s="34" t="str">
        <f>IFERROR(VLOOKUP(tbLOG[[#This Row],[LOGIN]],tbMAPA[#All],3,0), "Não localizado")</f>
        <v>Reginaldo Santana De Souza</v>
      </c>
      <c r="G3249" s="3" t="s">
        <v>1211</v>
      </c>
      <c r="H3249" s="3" t="s">
        <v>836</v>
      </c>
    </row>
    <row r="3250" spans="1:8">
      <c r="A3250" s="29">
        <v>42754.567928240744</v>
      </c>
      <c r="B3250" s="29" t="str">
        <f>PROPER(TEXT(tbLOG[[#This Row],[DATA/HORA]],"mmmm"))</f>
        <v>Janeiro</v>
      </c>
      <c r="C3250" s="34" t="str">
        <f>PROPER(TEXT(tbLOG[[#This Row],[DATA/HORA]],"dddd"))</f>
        <v>Quinta-Feira</v>
      </c>
      <c r="D3250" s="3" t="s">
        <v>604</v>
      </c>
      <c r="E3250" s="34" t="str">
        <f>IFERROR(VLOOKUP(tbLOG[[#This Row],[LOGIN]],tbMAPA[#All],2,0), "Não localizado")</f>
        <v>Renan Cazumba Tegani</v>
      </c>
      <c r="F3250" s="34" t="str">
        <f>IFERROR(VLOOKUP(tbLOG[[#This Row],[LOGIN]],tbMAPA[#All],3,0), "Não localizado")</f>
        <v>Reginaldo Santana De Souza</v>
      </c>
      <c r="G3250" s="3" t="s">
        <v>1211</v>
      </c>
      <c r="H3250" s="3" t="s">
        <v>290</v>
      </c>
    </row>
    <row r="3251" spans="1:8">
      <c r="A3251" s="29">
        <v>42754.567997685182</v>
      </c>
      <c r="B3251" s="29" t="str">
        <f>PROPER(TEXT(tbLOG[[#This Row],[DATA/HORA]],"mmmm"))</f>
        <v>Janeiro</v>
      </c>
      <c r="C3251" s="34" t="str">
        <f>PROPER(TEXT(tbLOG[[#This Row],[DATA/HORA]],"dddd"))</f>
        <v>Quinta-Feira</v>
      </c>
      <c r="D3251" s="3" t="s">
        <v>604</v>
      </c>
      <c r="E3251" s="34" t="str">
        <f>IFERROR(VLOOKUP(tbLOG[[#This Row],[LOGIN]],tbMAPA[#All],2,0), "Não localizado")</f>
        <v>Renan Cazumba Tegani</v>
      </c>
      <c r="F3251" s="34" t="str">
        <f>IFERROR(VLOOKUP(tbLOG[[#This Row],[LOGIN]],tbMAPA[#All],3,0), "Não localizado")</f>
        <v>Reginaldo Santana De Souza</v>
      </c>
      <c r="G3251" s="3" t="s">
        <v>1211</v>
      </c>
      <c r="H3251" s="3" t="s">
        <v>309</v>
      </c>
    </row>
    <row r="3252" spans="1:8">
      <c r="A3252" s="29">
        <v>42754.567997685182</v>
      </c>
      <c r="B3252" s="29" t="str">
        <f>PROPER(TEXT(tbLOG[[#This Row],[DATA/HORA]],"mmmm"))</f>
        <v>Janeiro</v>
      </c>
      <c r="C3252" s="34" t="str">
        <f>PROPER(TEXT(tbLOG[[#This Row],[DATA/HORA]],"dddd"))</f>
        <v>Quinta-Feira</v>
      </c>
      <c r="D3252" s="3" t="s">
        <v>604</v>
      </c>
      <c r="E3252" s="34" t="str">
        <f>IFERROR(VLOOKUP(tbLOG[[#This Row],[LOGIN]],tbMAPA[#All],2,0), "Não localizado")</f>
        <v>Renan Cazumba Tegani</v>
      </c>
      <c r="F3252" s="34" t="str">
        <f>IFERROR(VLOOKUP(tbLOG[[#This Row],[LOGIN]],tbMAPA[#All],3,0), "Não localizado")</f>
        <v>Reginaldo Santana De Souza</v>
      </c>
      <c r="G3252" s="3" t="s">
        <v>1211</v>
      </c>
      <c r="H3252" s="3" t="s">
        <v>310</v>
      </c>
    </row>
    <row r="3253" spans="1:8">
      <c r="A3253" s="29">
        <v>42754.568032407406</v>
      </c>
      <c r="B3253" s="29" t="str">
        <f>PROPER(TEXT(tbLOG[[#This Row],[DATA/HORA]],"mmmm"))</f>
        <v>Janeiro</v>
      </c>
      <c r="C3253" s="34" t="str">
        <f>PROPER(TEXT(tbLOG[[#This Row],[DATA/HORA]],"dddd"))</f>
        <v>Quinta-Feira</v>
      </c>
      <c r="D3253" s="3" t="s">
        <v>604</v>
      </c>
      <c r="E3253" s="34" t="str">
        <f>IFERROR(VLOOKUP(tbLOG[[#This Row],[LOGIN]],tbMAPA[#All],2,0), "Não localizado")</f>
        <v>Renan Cazumba Tegani</v>
      </c>
      <c r="F3253" s="34" t="str">
        <f>IFERROR(VLOOKUP(tbLOG[[#This Row],[LOGIN]],tbMAPA[#All],3,0), "Não localizado")</f>
        <v>Reginaldo Santana De Souza</v>
      </c>
      <c r="G3253" s="3" t="s">
        <v>1211</v>
      </c>
      <c r="H3253" s="3" t="s">
        <v>309</v>
      </c>
    </row>
    <row r="3254" spans="1:8">
      <c r="A3254" s="29">
        <v>42754.568032407406</v>
      </c>
      <c r="B3254" s="29" t="str">
        <f>PROPER(TEXT(tbLOG[[#This Row],[DATA/HORA]],"mmmm"))</f>
        <v>Janeiro</v>
      </c>
      <c r="C3254" s="34" t="str">
        <f>PROPER(TEXT(tbLOG[[#This Row],[DATA/HORA]],"dddd"))</f>
        <v>Quinta-Feira</v>
      </c>
      <c r="D3254" s="3" t="s">
        <v>604</v>
      </c>
      <c r="E3254" s="34" t="str">
        <f>IFERROR(VLOOKUP(tbLOG[[#This Row],[LOGIN]],tbMAPA[#All],2,0), "Não localizado")</f>
        <v>Renan Cazumba Tegani</v>
      </c>
      <c r="F3254" s="34" t="str">
        <f>IFERROR(VLOOKUP(tbLOG[[#This Row],[LOGIN]],tbMAPA[#All],3,0), "Não localizado")</f>
        <v>Reginaldo Santana De Souza</v>
      </c>
      <c r="G3254" s="3" t="s">
        <v>1211</v>
      </c>
      <c r="H3254" s="3" t="s">
        <v>309</v>
      </c>
    </row>
    <row r="3255" spans="1:8">
      <c r="A3255" s="29">
        <v>42754.568032407406</v>
      </c>
      <c r="B3255" s="29" t="str">
        <f>PROPER(TEXT(tbLOG[[#This Row],[DATA/HORA]],"mmmm"))</f>
        <v>Janeiro</v>
      </c>
      <c r="C3255" s="34" t="str">
        <f>PROPER(TEXT(tbLOG[[#This Row],[DATA/HORA]],"dddd"))</f>
        <v>Quinta-Feira</v>
      </c>
      <c r="D3255" s="3" t="s">
        <v>604</v>
      </c>
      <c r="E3255" s="34" t="str">
        <f>IFERROR(VLOOKUP(tbLOG[[#This Row],[LOGIN]],tbMAPA[#All],2,0), "Não localizado")</f>
        <v>Renan Cazumba Tegani</v>
      </c>
      <c r="F3255" s="34" t="str">
        <f>IFERROR(VLOOKUP(tbLOG[[#This Row],[LOGIN]],tbMAPA[#All],3,0), "Não localizado")</f>
        <v>Reginaldo Santana De Souza</v>
      </c>
      <c r="G3255" s="3" t="s">
        <v>1211</v>
      </c>
      <c r="H3255" s="3" t="s">
        <v>314</v>
      </c>
    </row>
    <row r="3256" spans="1:8">
      <c r="A3256" s="29">
        <v>42754.569120370368</v>
      </c>
      <c r="B3256" s="29" t="str">
        <f>PROPER(TEXT(tbLOG[[#This Row],[DATA/HORA]],"mmmm"))</f>
        <v>Janeiro</v>
      </c>
      <c r="C3256" s="34" t="str">
        <f>PROPER(TEXT(tbLOG[[#This Row],[DATA/HORA]],"dddd"))</f>
        <v>Quinta-Feira</v>
      </c>
      <c r="D3256" s="3" t="s">
        <v>604</v>
      </c>
      <c r="E3256" s="34" t="str">
        <f>IFERROR(VLOOKUP(tbLOG[[#This Row],[LOGIN]],tbMAPA[#All],2,0), "Não localizado")</f>
        <v>Renan Cazumba Tegani</v>
      </c>
      <c r="F3256" s="34" t="str">
        <f>IFERROR(VLOOKUP(tbLOG[[#This Row],[LOGIN]],tbMAPA[#All],3,0), "Não localizado")</f>
        <v>Reginaldo Santana De Souza</v>
      </c>
      <c r="G3256" s="3" t="s">
        <v>1211</v>
      </c>
      <c r="H3256" s="3" t="s">
        <v>836</v>
      </c>
    </row>
    <row r="3257" spans="1:8">
      <c r="A3257" s="29">
        <v>42754.569155092591</v>
      </c>
      <c r="B3257" s="29" t="str">
        <f>PROPER(TEXT(tbLOG[[#This Row],[DATA/HORA]],"mmmm"))</f>
        <v>Janeiro</v>
      </c>
      <c r="C3257" s="34" t="str">
        <f>PROPER(TEXT(tbLOG[[#This Row],[DATA/HORA]],"dddd"))</f>
        <v>Quinta-Feira</v>
      </c>
      <c r="D3257" s="3" t="s">
        <v>604</v>
      </c>
      <c r="E3257" s="34" t="str">
        <f>IFERROR(VLOOKUP(tbLOG[[#This Row],[LOGIN]],tbMAPA[#All],2,0), "Não localizado")</f>
        <v>Renan Cazumba Tegani</v>
      </c>
      <c r="F3257" s="34" t="str">
        <f>IFERROR(VLOOKUP(tbLOG[[#This Row],[LOGIN]],tbMAPA[#All],3,0), "Não localizado")</f>
        <v>Reginaldo Santana De Souza</v>
      </c>
      <c r="G3257" s="3" t="s">
        <v>1211</v>
      </c>
      <c r="H3257" s="3" t="s">
        <v>836</v>
      </c>
    </row>
    <row r="3258" spans="1:8">
      <c r="A3258" s="29">
        <v>42754.575601851851</v>
      </c>
      <c r="B3258" s="29" t="str">
        <f>PROPER(TEXT(tbLOG[[#This Row],[DATA/HORA]],"mmmm"))</f>
        <v>Janeiro</v>
      </c>
      <c r="C3258" s="34" t="str">
        <f>PROPER(TEXT(tbLOG[[#This Row],[DATA/HORA]],"dddd"))</f>
        <v>Quinta-Feira</v>
      </c>
      <c r="D3258" s="3" t="s">
        <v>604</v>
      </c>
      <c r="E3258" s="34" t="str">
        <f>IFERROR(VLOOKUP(tbLOG[[#This Row],[LOGIN]],tbMAPA[#All],2,0), "Não localizado")</f>
        <v>Renan Cazumba Tegani</v>
      </c>
      <c r="F3258" s="34" t="str">
        <f>IFERROR(VLOOKUP(tbLOG[[#This Row],[LOGIN]],tbMAPA[#All],3,0), "Não localizado")</f>
        <v>Reginaldo Santana De Souza</v>
      </c>
      <c r="G3258" s="3" t="s">
        <v>1211</v>
      </c>
      <c r="H3258" s="3" t="s">
        <v>836</v>
      </c>
    </row>
    <row r="3259" spans="1:8">
      <c r="A3259" s="29">
        <v>42754.575613425928</v>
      </c>
      <c r="B3259" s="29" t="str">
        <f>PROPER(TEXT(tbLOG[[#This Row],[DATA/HORA]],"mmmm"))</f>
        <v>Janeiro</v>
      </c>
      <c r="C3259" s="34" t="str">
        <f>PROPER(TEXT(tbLOG[[#This Row],[DATA/HORA]],"dddd"))</f>
        <v>Quinta-Feira</v>
      </c>
      <c r="D3259" s="3" t="s">
        <v>604</v>
      </c>
      <c r="E3259" s="34" t="str">
        <f>IFERROR(VLOOKUP(tbLOG[[#This Row],[LOGIN]],tbMAPA[#All],2,0), "Não localizado")</f>
        <v>Renan Cazumba Tegani</v>
      </c>
      <c r="F3259" s="34" t="str">
        <f>IFERROR(VLOOKUP(tbLOG[[#This Row],[LOGIN]],tbMAPA[#All],3,0), "Não localizado")</f>
        <v>Reginaldo Santana De Souza</v>
      </c>
      <c r="G3259" s="3" t="s">
        <v>1211</v>
      </c>
      <c r="H3259" s="3" t="s">
        <v>836</v>
      </c>
    </row>
    <row r="3260" spans="1:8">
      <c r="A3260" s="29">
        <v>42754.575659722221</v>
      </c>
      <c r="B3260" s="29" t="str">
        <f>PROPER(TEXT(tbLOG[[#This Row],[DATA/HORA]],"mmmm"))</f>
        <v>Janeiro</v>
      </c>
      <c r="C3260" s="34" t="str">
        <f>PROPER(TEXT(tbLOG[[#This Row],[DATA/HORA]],"dddd"))</f>
        <v>Quinta-Feira</v>
      </c>
      <c r="D3260" s="3" t="s">
        <v>604</v>
      </c>
      <c r="E3260" s="34" t="str">
        <f>IFERROR(VLOOKUP(tbLOG[[#This Row],[LOGIN]],tbMAPA[#All],2,0), "Não localizado")</f>
        <v>Renan Cazumba Tegani</v>
      </c>
      <c r="F3260" s="34" t="str">
        <f>IFERROR(VLOOKUP(tbLOG[[#This Row],[LOGIN]],tbMAPA[#All],3,0), "Não localizado")</f>
        <v>Reginaldo Santana De Souza</v>
      </c>
      <c r="G3260" s="3" t="s">
        <v>1211</v>
      </c>
      <c r="H3260" s="3" t="s">
        <v>836</v>
      </c>
    </row>
    <row r="3261" spans="1:8">
      <c r="A3261" s="29">
        <v>42754.581805555557</v>
      </c>
      <c r="B3261" s="29" t="str">
        <f>PROPER(TEXT(tbLOG[[#This Row],[DATA/HORA]],"mmmm"))</f>
        <v>Janeiro</v>
      </c>
      <c r="C3261" s="34" t="str">
        <f>PROPER(TEXT(tbLOG[[#This Row],[DATA/HORA]],"dddd"))</f>
        <v>Quinta-Feira</v>
      </c>
      <c r="D3261" s="3" t="s">
        <v>604</v>
      </c>
      <c r="E3261" s="34" t="str">
        <f>IFERROR(VLOOKUP(tbLOG[[#This Row],[LOGIN]],tbMAPA[#All],2,0), "Não localizado")</f>
        <v>Renan Cazumba Tegani</v>
      </c>
      <c r="F3261" s="34" t="str">
        <f>IFERROR(VLOOKUP(tbLOG[[#This Row],[LOGIN]],tbMAPA[#All],3,0), "Não localizado")</f>
        <v>Reginaldo Santana De Souza</v>
      </c>
      <c r="G3261" s="3" t="s">
        <v>1211</v>
      </c>
      <c r="H3261" s="3" t="s">
        <v>836</v>
      </c>
    </row>
    <row r="3262" spans="1:8">
      <c r="A3262" s="29">
        <v>42754.581817129627</v>
      </c>
      <c r="B3262" s="29" t="str">
        <f>PROPER(TEXT(tbLOG[[#This Row],[DATA/HORA]],"mmmm"))</f>
        <v>Janeiro</v>
      </c>
      <c r="C3262" s="34" t="str">
        <f>PROPER(TEXT(tbLOG[[#This Row],[DATA/HORA]],"dddd"))</f>
        <v>Quinta-Feira</v>
      </c>
      <c r="D3262" s="3" t="s">
        <v>604</v>
      </c>
      <c r="E3262" s="34" t="str">
        <f>IFERROR(VLOOKUP(tbLOG[[#This Row],[LOGIN]],tbMAPA[#All],2,0), "Não localizado")</f>
        <v>Renan Cazumba Tegani</v>
      </c>
      <c r="F3262" s="34" t="str">
        <f>IFERROR(VLOOKUP(tbLOG[[#This Row],[LOGIN]],tbMAPA[#All],3,0), "Não localizado")</f>
        <v>Reginaldo Santana De Souza</v>
      </c>
      <c r="G3262" s="3" t="s">
        <v>1211</v>
      </c>
      <c r="H3262" s="3" t="s">
        <v>836</v>
      </c>
    </row>
    <row r="3263" spans="1:8">
      <c r="A3263" s="29">
        <v>42754.58189814815</v>
      </c>
      <c r="B3263" s="29" t="str">
        <f>PROPER(TEXT(tbLOG[[#This Row],[DATA/HORA]],"mmmm"))</f>
        <v>Janeiro</v>
      </c>
      <c r="C3263" s="34" t="str">
        <f>PROPER(TEXT(tbLOG[[#This Row],[DATA/HORA]],"dddd"))</f>
        <v>Quinta-Feira</v>
      </c>
      <c r="D3263" s="3" t="s">
        <v>604</v>
      </c>
      <c r="E3263" s="34" t="str">
        <f>IFERROR(VLOOKUP(tbLOG[[#This Row],[LOGIN]],tbMAPA[#All],2,0), "Não localizado")</f>
        <v>Renan Cazumba Tegani</v>
      </c>
      <c r="F3263" s="34" t="str">
        <f>IFERROR(VLOOKUP(tbLOG[[#This Row],[LOGIN]],tbMAPA[#All],3,0), "Não localizado")</f>
        <v>Reginaldo Santana De Souza</v>
      </c>
      <c r="G3263" s="3" t="s">
        <v>1211</v>
      </c>
      <c r="H3263" s="3" t="s">
        <v>836</v>
      </c>
    </row>
    <row r="3264" spans="1:8">
      <c r="A3264" s="29">
        <v>42754.581967592596</v>
      </c>
      <c r="B3264" s="29" t="str">
        <f>PROPER(TEXT(tbLOG[[#This Row],[DATA/HORA]],"mmmm"))</f>
        <v>Janeiro</v>
      </c>
      <c r="C3264" s="34" t="str">
        <f>PROPER(TEXT(tbLOG[[#This Row],[DATA/HORA]],"dddd"))</f>
        <v>Quinta-Feira</v>
      </c>
      <c r="D3264" s="3" t="s">
        <v>604</v>
      </c>
      <c r="E3264" s="34" t="str">
        <f>IFERROR(VLOOKUP(tbLOG[[#This Row],[LOGIN]],tbMAPA[#All],2,0), "Não localizado")</f>
        <v>Renan Cazumba Tegani</v>
      </c>
      <c r="F3264" s="34" t="str">
        <f>IFERROR(VLOOKUP(tbLOG[[#This Row],[LOGIN]],tbMAPA[#All],3,0), "Não localizado")</f>
        <v>Reginaldo Santana De Souza</v>
      </c>
      <c r="G3264" s="3" t="s">
        <v>1211</v>
      </c>
      <c r="H3264" s="3" t="s">
        <v>290</v>
      </c>
    </row>
    <row r="3265" spans="1:8">
      <c r="A3265" s="29">
        <v>42754.646886574075</v>
      </c>
      <c r="B3265" s="29" t="str">
        <f>PROPER(TEXT(tbLOG[[#This Row],[DATA/HORA]],"mmmm"))</f>
        <v>Janeiro</v>
      </c>
      <c r="C3265" s="34" t="str">
        <f>PROPER(TEXT(tbLOG[[#This Row],[DATA/HORA]],"dddd"))</f>
        <v>Quinta-Feira</v>
      </c>
      <c r="D3265" s="3" t="s">
        <v>604</v>
      </c>
      <c r="E3265" s="34" t="str">
        <f>IFERROR(VLOOKUP(tbLOG[[#This Row],[LOGIN]],tbMAPA[#All],2,0), "Não localizado")</f>
        <v>Renan Cazumba Tegani</v>
      </c>
      <c r="F3265" s="34" t="str">
        <f>IFERROR(VLOOKUP(tbLOG[[#This Row],[LOGIN]],tbMAPA[#All],3,0), "Não localizado")</f>
        <v>Reginaldo Santana De Souza</v>
      </c>
      <c r="G3265" s="3" t="s">
        <v>1211</v>
      </c>
      <c r="H3265" s="3" t="s">
        <v>836</v>
      </c>
    </row>
    <row r="3266" spans="1:8">
      <c r="A3266" s="29">
        <v>42754.650740740741</v>
      </c>
      <c r="B3266" s="29" t="str">
        <f>PROPER(TEXT(tbLOG[[#This Row],[DATA/HORA]],"mmmm"))</f>
        <v>Janeiro</v>
      </c>
      <c r="C3266" s="34" t="str">
        <f>PROPER(TEXT(tbLOG[[#This Row],[DATA/HORA]],"dddd"))</f>
        <v>Quinta-Feira</v>
      </c>
      <c r="D3266" s="3" t="s">
        <v>604</v>
      </c>
      <c r="E3266" s="34" t="str">
        <f>IFERROR(VLOOKUP(tbLOG[[#This Row],[LOGIN]],tbMAPA[#All],2,0), "Não localizado")</f>
        <v>Renan Cazumba Tegani</v>
      </c>
      <c r="F3266" s="34" t="str">
        <f>IFERROR(VLOOKUP(tbLOG[[#This Row],[LOGIN]],tbMAPA[#All],3,0), "Não localizado")</f>
        <v>Reginaldo Santana De Souza</v>
      </c>
      <c r="G3266" s="3" t="s">
        <v>1211</v>
      </c>
      <c r="H3266" s="3" t="s">
        <v>836</v>
      </c>
    </row>
    <row r="3267" spans="1:8">
      <c r="A3267" s="29">
        <v>42754.650787037041</v>
      </c>
      <c r="B3267" s="29" t="str">
        <f>PROPER(TEXT(tbLOG[[#This Row],[DATA/HORA]],"mmmm"))</f>
        <v>Janeiro</v>
      </c>
      <c r="C3267" s="34" t="str">
        <f>PROPER(TEXT(tbLOG[[#This Row],[DATA/HORA]],"dddd"))</f>
        <v>Quinta-Feira</v>
      </c>
      <c r="D3267" s="3" t="s">
        <v>604</v>
      </c>
      <c r="E3267" s="34" t="str">
        <f>IFERROR(VLOOKUP(tbLOG[[#This Row],[LOGIN]],tbMAPA[#All],2,0), "Não localizado")</f>
        <v>Renan Cazumba Tegani</v>
      </c>
      <c r="F3267" s="34" t="str">
        <f>IFERROR(VLOOKUP(tbLOG[[#This Row],[LOGIN]],tbMAPA[#All],3,0), "Não localizado")</f>
        <v>Reginaldo Santana De Souza</v>
      </c>
      <c r="G3267" s="3" t="s">
        <v>1211</v>
      </c>
      <c r="H3267" s="3" t="s">
        <v>836</v>
      </c>
    </row>
    <row r="3268" spans="1:8">
      <c r="A3268" s="29">
        <v>42754.650879629633</v>
      </c>
      <c r="B3268" s="29" t="str">
        <f>PROPER(TEXT(tbLOG[[#This Row],[DATA/HORA]],"mmmm"))</f>
        <v>Janeiro</v>
      </c>
      <c r="C3268" s="34" t="str">
        <f>PROPER(TEXT(tbLOG[[#This Row],[DATA/HORA]],"dddd"))</f>
        <v>Quinta-Feira</v>
      </c>
      <c r="D3268" s="3" t="s">
        <v>604</v>
      </c>
      <c r="E3268" s="34" t="str">
        <f>IFERROR(VLOOKUP(tbLOG[[#This Row],[LOGIN]],tbMAPA[#All],2,0), "Não localizado")</f>
        <v>Renan Cazumba Tegani</v>
      </c>
      <c r="F3268" s="34" t="str">
        <f>IFERROR(VLOOKUP(tbLOG[[#This Row],[LOGIN]],tbMAPA[#All],3,0), "Não localizado")</f>
        <v>Reginaldo Santana De Souza</v>
      </c>
      <c r="G3268" s="3" t="s">
        <v>1211</v>
      </c>
      <c r="H3268" s="3" t="s">
        <v>836</v>
      </c>
    </row>
    <row r="3269" spans="1:8">
      <c r="A3269" s="29">
        <v>42754.657060185185</v>
      </c>
      <c r="B3269" s="29" t="str">
        <f>PROPER(TEXT(tbLOG[[#This Row],[DATA/HORA]],"mmmm"))</f>
        <v>Janeiro</v>
      </c>
      <c r="C3269" s="34" t="str">
        <f>PROPER(TEXT(tbLOG[[#This Row],[DATA/HORA]],"dddd"))</f>
        <v>Quinta-Feira</v>
      </c>
      <c r="D3269" s="3" t="s">
        <v>604</v>
      </c>
      <c r="E3269" s="34" t="str">
        <f>IFERROR(VLOOKUP(tbLOG[[#This Row],[LOGIN]],tbMAPA[#All],2,0), "Não localizado")</f>
        <v>Renan Cazumba Tegani</v>
      </c>
      <c r="F3269" s="34" t="str">
        <f>IFERROR(VLOOKUP(tbLOG[[#This Row],[LOGIN]],tbMAPA[#All],3,0), "Não localizado")</f>
        <v>Reginaldo Santana De Souza</v>
      </c>
      <c r="G3269" s="3" t="s">
        <v>1211</v>
      </c>
      <c r="H3269" s="3" t="s">
        <v>836</v>
      </c>
    </row>
    <row r="3270" spans="1:8">
      <c r="A3270" s="29">
        <v>42754.657210648147</v>
      </c>
      <c r="B3270" s="29" t="str">
        <f>PROPER(TEXT(tbLOG[[#This Row],[DATA/HORA]],"mmmm"))</f>
        <v>Janeiro</v>
      </c>
      <c r="C3270" s="34" t="str">
        <f>PROPER(TEXT(tbLOG[[#This Row],[DATA/HORA]],"dddd"))</f>
        <v>Quinta-Feira</v>
      </c>
      <c r="D3270" s="3" t="s">
        <v>604</v>
      </c>
      <c r="E3270" s="34" t="str">
        <f>IFERROR(VLOOKUP(tbLOG[[#This Row],[LOGIN]],tbMAPA[#All],2,0), "Não localizado")</f>
        <v>Renan Cazumba Tegani</v>
      </c>
      <c r="F3270" s="34" t="str">
        <f>IFERROR(VLOOKUP(tbLOG[[#This Row],[LOGIN]],tbMAPA[#All],3,0), "Não localizado")</f>
        <v>Reginaldo Santana De Souza</v>
      </c>
      <c r="G3270" s="3" t="s">
        <v>1211</v>
      </c>
      <c r="H3270" s="3" t="s">
        <v>836</v>
      </c>
    </row>
    <row r="3271" spans="1:8">
      <c r="A3271" s="29">
        <v>42754.657326388886</v>
      </c>
      <c r="B3271" s="29" t="str">
        <f>PROPER(TEXT(tbLOG[[#This Row],[DATA/HORA]],"mmmm"))</f>
        <v>Janeiro</v>
      </c>
      <c r="C3271" s="34" t="str">
        <f>PROPER(TEXT(tbLOG[[#This Row],[DATA/HORA]],"dddd"))</f>
        <v>Quinta-Feira</v>
      </c>
      <c r="D3271" s="3" t="s">
        <v>604</v>
      </c>
      <c r="E3271" s="34" t="str">
        <f>IFERROR(VLOOKUP(tbLOG[[#This Row],[LOGIN]],tbMAPA[#All],2,0), "Não localizado")</f>
        <v>Renan Cazumba Tegani</v>
      </c>
      <c r="F3271" s="34" t="str">
        <f>IFERROR(VLOOKUP(tbLOG[[#This Row],[LOGIN]],tbMAPA[#All],3,0), "Não localizado")</f>
        <v>Reginaldo Santana De Souza</v>
      </c>
      <c r="G3271" s="3" t="s">
        <v>1211</v>
      </c>
      <c r="H3271" s="3" t="s">
        <v>836</v>
      </c>
    </row>
    <row r="3272" spans="1:8">
      <c r="A3272" s="29">
        <v>42754.667546296296</v>
      </c>
      <c r="B3272" s="29" t="str">
        <f>PROPER(TEXT(tbLOG[[#This Row],[DATA/HORA]],"mmmm"))</f>
        <v>Janeiro</v>
      </c>
      <c r="C3272" s="34" t="str">
        <f>PROPER(TEXT(tbLOG[[#This Row],[DATA/HORA]],"dddd"))</f>
        <v>Quinta-Feira</v>
      </c>
      <c r="D3272" s="3" t="s">
        <v>604</v>
      </c>
      <c r="E3272" s="34" t="str">
        <f>IFERROR(VLOOKUP(tbLOG[[#This Row],[LOGIN]],tbMAPA[#All],2,0), "Não localizado")</f>
        <v>Renan Cazumba Tegani</v>
      </c>
      <c r="F3272" s="34" t="str">
        <f>IFERROR(VLOOKUP(tbLOG[[#This Row],[LOGIN]],tbMAPA[#All],3,0), "Não localizado")</f>
        <v>Reginaldo Santana De Souza</v>
      </c>
      <c r="G3272" s="3" t="s">
        <v>1211</v>
      </c>
      <c r="H3272" s="3" t="s">
        <v>836</v>
      </c>
    </row>
    <row r="3273" spans="1:8">
      <c r="A3273" s="29">
        <v>42754.66810185185</v>
      </c>
      <c r="B3273" s="29" t="str">
        <f>PROPER(TEXT(tbLOG[[#This Row],[DATA/HORA]],"mmmm"))</f>
        <v>Janeiro</v>
      </c>
      <c r="C3273" s="34" t="str">
        <f>PROPER(TEXT(tbLOG[[#This Row],[DATA/HORA]],"dddd"))</f>
        <v>Quinta-Feira</v>
      </c>
      <c r="D3273" s="3" t="s">
        <v>604</v>
      </c>
      <c r="E3273" s="34" t="str">
        <f>IFERROR(VLOOKUP(tbLOG[[#This Row],[LOGIN]],tbMAPA[#All],2,0), "Não localizado")</f>
        <v>Renan Cazumba Tegani</v>
      </c>
      <c r="F3273" s="34" t="str">
        <f>IFERROR(VLOOKUP(tbLOG[[#This Row],[LOGIN]],tbMAPA[#All],3,0), "Não localizado")</f>
        <v>Reginaldo Santana De Souza</v>
      </c>
      <c r="G3273" s="3" t="s">
        <v>1211</v>
      </c>
      <c r="H3273" s="3" t="s">
        <v>836</v>
      </c>
    </row>
    <row r="3274" spans="1:8">
      <c r="A3274" s="29">
        <v>42754.668576388889</v>
      </c>
      <c r="B3274" s="29" t="str">
        <f>PROPER(TEXT(tbLOG[[#This Row],[DATA/HORA]],"mmmm"))</f>
        <v>Janeiro</v>
      </c>
      <c r="C3274" s="34" t="str">
        <f>PROPER(TEXT(tbLOG[[#This Row],[DATA/HORA]],"dddd"))</f>
        <v>Quinta-Feira</v>
      </c>
      <c r="D3274" s="3" t="s">
        <v>604</v>
      </c>
      <c r="E3274" s="34" t="str">
        <f>IFERROR(VLOOKUP(tbLOG[[#This Row],[LOGIN]],tbMAPA[#All],2,0), "Não localizado")</f>
        <v>Renan Cazumba Tegani</v>
      </c>
      <c r="F3274" s="34" t="str">
        <f>IFERROR(VLOOKUP(tbLOG[[#This Row],[LOGIN]],tbMAPA[#All],3,0), "Não localizado")</f>
        <v>Reginaldo Santana De Souza</v>
      </c>
      <c r="G3274" s="3" t="s">
        <v>1211</v>
      </c>
      <c r="H3274" s="3" t="s">
        <v>836</v>
      </c>
    </row>
    <row r="3275" spans="1:8">
      <c r="A3275" s="29">
        <v>42754.672708333332</v>
      </c>
      <c r="B3275" s="29" t="str">
        <f>PROPER(TEXT(tbLOG[[#This Row],[DATA/HORA]],"mmmm"))</f>
        <v>Janeiro</v>
      </c>
      <c r="C3275" s="34" t="str">
        <f>PROPER(TEXT(tbLOG[[#This Row],[DATA/HORA]],"dddd"))</f>
        <v>Quinta-Feira</v>
      </c>
      <c r="D3275" s="3" t="s">
        <v>604</v>
      </c>
      <c r="E3275" s="34" t="str">
        <f>IFERROR(VLOOKUP(tbLOG[[#This Row],[LOGIN]],tbMAPA[#All],2,0), "Não localizado")</f>
        <v>Renan Cazumba Tegani</v>
      </c>
      <c r="F3275" s="34" t="str">
        <f>IFERROR(VLOOKUP(tbLOG[[#This Row],[LOGIN]],tbMAPA[#All],3,0), "Não localizado")</f>
        <v>Reginaldo Santana De Souza</v>
      </c>
      <c r="G3275" s="3" t="s">
        <v>1211</v>
      </c>
      <c r="H3275" s="3" t="s">
        <v>836</v>
      </c>
    </row>
    <row r="3276" spans="1:8">
      <c r="A3276" s="29">
        <v>42754.672719907408</v>
      </c>
      <c r="B3276" s="29" t="str">
        <f>PROPER(TEXT(tbLOG[[#This Row],[DATA/HORA]],"mmmm"))</f>
        <v>Janeiro</v>
      </c>
      <c r="C3276" s="34" t="str">
        <f>PROPER(TEXT(tbLOG[[#This Row],[DATA/HORA]],"dddd"))</f>
        <v>Quinta-Feira</v>
      </c>
      <c r="D3276" s="3" t="s">
        <v>604</v>
      </c>
      <c r="E3276" s="34" t="str">
        <f>IFERROR(VLOOKUP(tbLOG[[#This Row],[LOGIN]],tbMAPA[#All],2,0), "Não localizado")</f>
        <v>Renan Cazumba Tegani</v>
      </c>
      <c r="F3276" s="34" t="str">
        <f>IFERROR(VLOOKUP(tbLOG[[#This Row],[LOGIN]],tbMAPA[#All],3,0), "Não localizado")</f>
        <v>Reginaldo Santana De Souza</v>
      </c>
      <c r="G3276" s="3" t="s">
        <v>1211</v>
      </c>
      <c r="H3276" s="3" t="s">
        <v>836</v>
      </c>
    </row>
    <row r="3277" spans="1:8">
      <c r="A3277" s="29">
        <v>42754.672812500001</v>
      </c>
      <c r="B3277" s="29" t="str">
        <f>PROPER(TEXT(tbLOG[[#This Row],[DATA/HORA]],"mmmm"))</f>
        <v>Janeiro</v>
      </c>
      <c r="C3277" s="34" t="str">
        <f>PROPER(TEXT(tbLOG[[#This Row],[DATA/HORA]],"dddd"))</f>
        <v>Quinta-Feira</v>
      </c>
      <c r="D3277" s="3" t="s">
        <v>604</v>
      </c>
      <c r="E3277" s="34" t="str">
        <f>IFERROR(VLOOKUP(tbLOG[[#This Row],[LOGIN]],tbMAPA[#All],2,0), "Não localizado")</f>
        <v>Renan Cazumba Tegani</v>
      </c>
      <c r="F3277" s="34" t="str">
        <f>IFERROR(VLOOKUP(tbLOG[[#This Row],[LOGIN]],tbMAPA[#All],3,0), "Não localizado")</f>
        <v>Reginaldo Santana De Souza</v>
      </c>
      <c r="G3277" s="3" t="s">
        <v>1211</v>
      </c>
      <c r="H3277" s="3" t="s">
        <v>836</v>
      </c>
    </row>
    <row r="3278" spans="1:8">
      <c r="A3278" s="29">
        <v>42754.673460648148</v>
      </c>
      <c r="B3278" s="29" t="str">
        <f>PROPER(TEXT(tbLOG[[#This Row],[DATA/HORA]],"mmmm"))</f>
        <v>Janeiro</v>
      </c>
      <c r="C3278" s="34" t="str">
        <f>PROPER(TEXT(tbLOG[[#This Row],[DATA/HORA]],"dddd"))</f>
        <v>Quinta-Feira</v>
      </c>
      <c r="D3278" s="3" t="s">
        <v>604</v>
      </c>
      <c r="E3278" s="34" t="str">
        <f>IFERROR(VLOOKUP(tbLOG[[#This Row],[LOGIN]],tbMAPA[#All],2,0), "Não localizado")</f>
        <v>Renan Cazumba Tegani</v>
      </c>
      <c r="F3278" s="34" t="str">
        <f>IFERROR(VLOOKUP(tbLOG[[#This Row],[LOGIN]],tbMAPA[#All],3,0), "Não localizado")</f>
        <v>Reginaldo Santana De Souza</v>
      </c>
      <c r="G3278" s="3" t="s">
        <v>1211</v>
      </c>
      <c r="H3278" s="3" t="s">
        <v>836</v>
      </c>
    </row>
    <row r="3279" spans="1:8">
      <c r="A3279" s="29">
        <v>42754.674351851849</v>
      </c>
      <c r="B3279" s="29" t="str">
        <f>PROPER(TEXT(tbLOG[[#This Row],[DATA/HORA]],"mmmm"))</f>
        <v>Janeiro</v>
      </c>
      <c r="C3279" s="34" t="str">
        <f>PROPER(TEXT(tbLOG[[#This Row],[DATA/HORA]],"dddd"))</f>
        <v>Quinta-Feira</v>
      </c>
      <c r="D3279" s="3" t="s">
        <v>604</v>
      </c>
      <c r="E3279" s="34" t="str">
        <f>IFERROR(VLOOKUP(tbLOG[[#This Row],[LOGIN]],tbMAPA[#All],2,0), "Não localizado")</f>
        <v>Renan Cazumba Tegani</v>
      </c>
      <c r="F3279" s="34" t="str">
        <f>IFERROR(VLOOKUP(tbLOG[[#This Row],[LOGIN]],tbMAPA[#All],3,0), "Não localizado")</f>
        <v>Reginaldo Santana De Souza</v>
      </c>
      <c r="G3279" s="3" t="s">
        <v>1211</v>
      </c>
      <c r="H3279" s="3" t="s">
        <v>836</v>
      </c>
    </row>
    <row r="3280" spans="1:8">
      <c r="A3280" s="29">
        <v>42754.675000000003</v>
      </c>
      <c r="B3280" s="29" t="str">
        <f>PROPER(TEXT(tbLOG[[#This Row],[DATA/HORA]],"mmmm"))</f>
        <v>Janeiro</v>
      </c>
      <c r="C3280" s="34" t="str">
        <f>PROPER(TEXT(tbLOG[[#This Row],[DATA/HORA]],"dddd"))</f>
        <v>Quinta-Feira</v>
      </c>
      <c r="D3280" s="3" t="s">
        <v>604</v>
      </c>
      <c r="E3280" s="34" t="str">
        <f>IFERROR(VLOOKUP(tbLOG[[#This Row],[LOGIN]],tbMAPA[#All],2,0), "Não localizado")</f>
        <v>Renan Cazumba Tegani</v>
      </c>
      <c r="F3280" s="34" t="str">
        <f>IFERROR(VLOOKUP(tbLOG[[#This Row],[LOGIN]],tbMAPA[#All],3,0), "Não localizado")</f>
        <v>Reginaldo Santana De Souza</v>
      </c>
      <c r="G3280" s="3" t="s">
        <v>1211</v>
      </c>
      <c r="H3280" s="3" t="s">
        <v>836</v>
      </c>
    </row>
    <row r="3281" spans="1:8">
      <c r="A3281" s="29">
        <v>42754.67523148148</v>
      </c>
      <c r="B3281" s="29" t="str">
        <f>PROPER(TEXT(tbLOG[[#This Row],[DATA/HORA]],"mmmm"))</f>
        <v>Janeiro</v>
      </c>
      <c r="C3281" s="34" t="str">
        <f>PROPER(TEXT(tbLOG[[#This Row],[DATA/HORA]],"dddd"))</f>
        <v>Quinta-Feira</v>
      </c>
      <c r="D3281" s="3" t="s">
        <v>604</v>
      </c>
      <c r="E3281" s="34" t="str">
        <f>IFERROR(VLOOKUP(tbLOG[[#This Row],[LOGIN]],tbMAPA[#All],2,0), "Não localizado")</f>
        <v>Renan Cazumba Tegani</v>
      </c>
      <c r="F3281" s="34" t="str">
        <f>IFERROR(VLOOKUP(tbLOG[[#This Row],[LOGIN]],tbMAPA[#All],3,0), "Não localizado")</f>
        <v>Reginaldo Santana De Souza</v>
      </c>
      <c r="G3281" s="3" t="s">
        <v>1211</v>
      </c>
      <c r="H3281" s="3" t="s">
        <v>309</v>
      </c>
    </row>
    <row r="3282" spans="1:8">
      <c r="A3282" s="29">
        <v>42754.67523148148</v>
      </c>
      <c r="B3282" s="29" t="str">
        <f>PROPER(TEXT(tbLOG[[#This Row],[DATA/HORA]],"mmmm"))</f>
        <v>Janeiro</v>
      </c>
      <c r="C3282" s="34" t="str">
        <f>PROPER(TEXT(tbLOG[[#This Row],[DATA/HORA]],"dddd"))</f>
        <v>Quinta-Feira</v>
      </c>
      <c r="D3282" s="3" t="s">
        <v>604</v>
      </c>
      <c r="E3282" s="34" t="str">
        <f>IFERROR(VLOOKUP(tbLOG[[#This Row],[LOGIN]],tbMAPA[#All],2,0), "Não localizado")</f>
        <v>Renan Cazumba Tegani</v>
      </c>
      <c r="F3282" s="34" t="str">
        <f>IFERROR(VLOOKUP(tbLOG[[#This Row],[LOGIN]],tbMAPA[#All],3,0), "Não localizado")</f>
        <v>Reginaldo Santana De Souza</v>
      </c>
      <c r="G3282" s="3" t="s">
        <v>1211</v>
      </c>
      <c r="H3282" s="3" t="s">
        <v>310</v>
      </c>
    </row>
    <row r="3283" spans="1:8">
      <c r="A3283" s="29">
        <v>42754.67527777778</v>
      </c>
      <c r="B3283" s="29" t="str">
        <f>PROPER(TEXT(tbLOG[[#This Row],[DATA/HORA]],"mmmm"))</f>
        <v>Janeiro</v>
      </c>
      <c r="C3283" s="34" t="str">
        <f>PROPER(TEXT(tbLOG[[#This Row],[DATA/HORA]],"dddd"))</f>
        <v>Quinta-Feira</v>
      </c>
      <c r="D3283" s="3" t="s">
        <v>604</v>
      </c>
      <c r="E3283" s="34" t="str">
        <f>IFERROR(VLOOKUP(tbLOG[[#This Row],[LOGIN]],tbMAPA[#All],2,0), "Não localizado")</f>
        <v>Renan Cazumba Tegani</v>
      </c>
      <c r="F3283" s="34" t="str">
        <f>IFERROR(VLOOKUP(tbLOG[[#This Row],[LOGIN]],tbMAPA[#All],3,0), "Não localizado")</f>
        <v>Reginaldo Santana De Souza</v>
      </c>
      <c r="G3283" s="3" t="s">
        <v>1211</v>
      </c>
      <c r="H3283" s="3" t="s">
        <v>309</v>
      </c>
    </row>
    <row r="3284" spans="1:8">
      <c r="A3284" s="29">
        <v>42754.67527777778</v>
      </c>
      <c r="B3284" s="29" t="str">
        <f>PROPER(TEXT(tbLOG[[#This Row],[DATA/HORA]],"mmmm"))</f>
        <v>Janeiro</v>
      </c>
      <c r="C3284" s="34" t="str">
        <f>PROPER(TEXT(tbLOG[[#This Row],[DATA/HORA]],"dddd"))</f>
        <v>Quinta-Feira</v>
      </c>
      <c r="D3284" s="3" t="s">
        <v>604</v>
      </c>
      <c r="E3284" s="34" t="str">
        <f>IFERROR(VLOOKUP(tbLOG[[#This Row],[LOGIN]],tbMAPA[#All],2,0), "Não localizado")</f>
        <v>Renan Cazumba Tegani</v>
      </c>
      <c r="F3284" s="34" t="str">
        <f>IFERROR(VLOOKUP(tbLOG[[#This Row],[LOGIN]],tbMAPA[#All],3,0), "Não localizado")</f>
        <v>Reginaldo Santana De Souza</v>
      </c>
      <c r="G3284" s="3" t="s">
        <v>1211</v>
      </c>
      <c r="H3284" s="3" t="s">
        <v>309</v>
      </c>
    </row>
    <row r="3285" spans="1:8">
      <c r="A3285" s="29">
        <v>42754.67527777778</v>
      </c>
      <c r="B3285" s="29" t="str">
        <f>PROPER(TEXT(tbLOG[[#This Row],[DATA/HORA]],"mmmm"))</f>
        <v>Janeiro</v>
      </c>
      <c r="C3285" s="34" t="str">
        <f>PROPER(TEXT(tbLOG[[#This Row],[DATA/HORA]],"dddd"))</f>
        <v>Quinta-Feira</v>
      </c>
      <c r="D3285" s="3" t="s">
        <v>604</v>
      </c>
      <c r="E3285" s="34" t="str">
        <f>IFERROR(VLOOKUP(tbLOG[[#This Row],[LOGIN]],tbMAPA[#All],2,0), "Não localizado")</f>
        <v>Renan Cazumba Tegani</v>
      </c>
      <c r="F3285" s="34" t="str">
        <f>IFERROR(VLOOKUP(tbLOG[[#This Row],[LOGIN]],tbMAPA[#All],3,0), "Não localizado")</f>
        <v>Reginaldo Santana De Souza</v>
      </c>
      <c r="G3285" s="3" t="s">
        <v>1211</v>
      </c>
      <c r="H3285" s="3" t="s">
        <v>314</v>
      </c>
    </row>
    <row r="3286" spans="1:8">
      <c r="A3286" s="29">
        <v>42754.676087962966</v>
      </c>
      <c r="B3286" s="29" t="str">
        <f>PROPER(TEXT(tbLOG[[#This Row],[DATA/HORA]],"mmmm"))</f>
        <v>Janeiro</v>
      </c>
      <c r="C3286" s="34" t="str">
        <f>PROPER(TEXT(tbLOG[[#This Row],[DATA/HORA]],"dddd"))</f>
        <v>Quinta-Feira</v>
      </c>
      <c r="D3286" s="3" t="s">
        <v>604</v>
      </c>
      <c r="E3286" s="34" t="str">
        <f>IFERROR(VLOOKUP(tbLOG[[#This Row],[LOGIN]],tbMAPA[#All],2,0), "Não localizado")</f>
        <v>Renan Cazumba Tegani</v>
      </c>
      <c r="F3286" s="34" t="str">
        <f>IFERROR(VLOOKUP(tbLOG[[#This Row],[LOGIN]],tbMAPA[#All],3,0), "Não localizado")</f>
        <v>Reginaldo Santana De Souza</v>
      </c>
      <c r="G3286" s="3" t="s">
        <v>1211</v>
      </c>
      <c r="H3286" s="3" t="s">
        <v>836</v>
      </c>
    </row>
    <row r="3287" spans="1:8">
      <c r="A3287" s="29">
        <v>42754.677499999998</v>
      </c>
      <c r="B3287" s="29" t="str">
        <f>PROPER(TEXT(tbLOG[[#This Row],[DATA/HORA]],"mmmm"))</f>
        <v>Janeiro</v>
      </c>
      <c r="C3287" s="34" t="str">
        <f>PROPER(TEXT(tbLOG[[#This Row],[DATA/HORA]],"dddd"))</f>
        <v>Quinta-Feira</v>
      </c>
      <c r="D3287" s="3" t="s">
        <v>604</v>
      </c>
      <c r="E3287" s="34" t="str">
        <f>IFERROR(VLOOKUP(tbLOG[[#This Row],[LOGIN]],tbMAPA[#All],2,0), "Não localizado")</f>
        <v>Renan Cazumba Tegani</v>
      </c>
      <c r="F3287" s="34" t="str">
        <f>IFERROR(VLOOKUP(tbLOG[[#This Row],[LOGIN]],tbMAPA[#All],3,0), "Não localizado")</f>
        <v>Reginaldo Santana De Souza</v>
      </c>
      <c r="G3287" s="3" t="s">
        <v>1211</v>
      </c>
      <c r="H3287" s="3" t="s">
        <v>836</v>
      </c>
    </row>
    <row r="3288" spans="1:8">
      <c r="A3288" s="29">
        <v>42754.678101851852</v>
      </c>
      <c r="B3288" s="29" t="str">
        <f>PROPER(TEXT(tbLOG[[#This Row],[DATA/HORA]],"mmmm"))</f>
        <v>Janeiro</v>
      </c>
      <c r="C3288" s="34" t="str">
        <f>PROPER(TEXT(tbLOG[[#This Row],[DATA/HORA]],"dddd"))</f>
        <v>Quinta-Feira</v>
      </c>
      <c r="D3288" s="3" t="s">
        <v>604</v>
      </c>
      <c r="E3288" s="34" t="str">
        <f>IFERROR(VLOOKUP(tbLOG[[#This Row],[LOGIN]],tbMAPA[#All],2,0), "Não localizado")</f>
        <v>Renan Cazumba Tegani</v>
      </c>
      <c r="F3288" s="34" t="str">
        <f>IFERROR(VLOOKUP(tbLOG[[#This Row],[LOGIN]],tbMAPA[#All],3,0), "Não localizado")</f>
        <v>Reginaldo Santana De Souza</v>
      </c>
      <c r="G3288" s="3" t="s">
        <v>1211</v>
      </c>
      <c r="H3288" s="3" t="s">
        <v>836</v>
      </c>
    </row>
    <row r="3289" spans="1:8">
      <c r="A3289" s="29">
        <v>42754.679803240739</v>
      </c>
      <c r="B3289" s="29" t="str">
        <f>PROPER(TEXT(tbLOG[[#This Row],[DATA/HORA]],"mmmm"))</f>
        <v>Janeiro</v>
      </c>
      <c r="C3289" s="34" t="str">
        <f>PROPER(TEXT(tbLOG[[#This Row],[DATA/HORA]],"dddd"))</f>
        <v>Quinta-Feira</v>
      </c>
      <c r="D3289" s="3" t="s">
        <v>604</v>
      </c>
      <c r="E3289" s="34" t="str">
        <f>IFERROR(VLOOKUP(tbLOG[[#This Row],[LOGIN]],tbMAPA[#All],2,0), "Não localizado")</f>
        <v>Renan Cazumba Tegani</v>
      </c>
      <c r="F3289" s="34" t="str">
        <f>IFERROR(VLOOKUP(tbLOG[[#This Row],[LOGIN]],tbMAPA[#All],3,0), "Não localizado")</f>
        <v>Reginaldo Santana De Souza</v>
      </c>
      <c r="G3289" s="3" t="s">
        <v>1211</v>
      </c>
      <c r="H3289" s="3" t="s">
        <v>836</v>
      </c>
    </row>
    <row r="3290" spans="1:8">
      <c r="A3290" s="29">
        <v>42754.679907407408</v>
      </c>
      <c r="B3290" s="29" t="str">
        <f>PROPER(TEXT(tbLOG[[#This Row],[DATA/HORA]],"mmmm"))</f>
        <v>Janeiro</v>
      </c>
      <c r="C3290" s="34" t="str">
        <f>PROPER(TEXT(tbLOG[[#This Row],[DATA/HORA]],"dddd"))</f>
        <v>Quinta-Feira</v>
      </c>
      <c r="D3290" s="3" t="s">
        <v>604</v>
      </c>
      <c r="E3290" s="34" t="str">
        <f>IFERROR(VLOOKUP(tbLOG[[#This Row],[LOGIN]],tbMAPA[#All],2,0), "Não localizado")</f>
        <v>Renan Cazumba Tegani</v>
      </c>
      <c r="F3290" s="34" t="str">
        <f>IFERROR(VLOOKUP(tbLOG[[#This Row],[LOGIN]],tbMAPA[#All],3,0), "Não localizado")</f>
        <v>Reginaldo Santana De Souza</v>
      </c>
      <c r="G3290" s="3" t="s">
        <v>1211</v>
      </c>
      <c r="H3290" s="3" t="s">
        <v>836</v>
      </c>
    </row>
    <row r="3291" spans="1:8">
      <c r="A3291" s="29">
        <v>42754.6799537037</v>
      </c>
      <c r="B3291" s="29" t="str">
        <f>PROPER(TEXT(tbLOG[[#This Row],[DATA/HORA]],"mmmm"))</f>
        <v>Janeiro</v>
      </c>
      <c r="C3291" s="34" t="str">
        <f>PROPER(TEXT(tbLOG[[#This Row],[DATA/HORA]],"dddd"))</f>
        <v>Quinta-Feira</v>
      </c>
      <c r="D3291" s="3" t="s">
        <v>604</v>
      </c>
      <c r="E3291" s="34" t="str">
        <f>IFERROR(VLOOKUP(tbLOG[[#This Row],[LOGIN]],tbMAPA[#All],2,0), "Não localizado")</f>
        <v>Renan Cazumba Tegani</v>
      </c>
      <c r="F3291" s="34" t="str">
        <f>IFERROR(VLOOKUP(tbLOG[[#This Row],[LOGIN]],tbMAPA[#All],3,0), "Não localizado")</f>
        <v>Reginaldo Santana De Souza</v>
      </c>
      <c r="G3291" s="3" t="s">
        <v>1211</v>
      </c>
      <c r="H3291" s="3" t="s">
        <v>836</v>
      </c>
    </row>
    <row r="3292" spans="1:8">
      <c r="A3292" s="29">
        <v>42754.679976851854</v>
      </c>
      <c r="B3292" s="29" t="str">
        <f>PROPER(TEXT(tbLOG[[#This Row],[DATA/HORA]],"mmmm"))</f>
        <v>Janeiro</v>
      </c>
      <c r="C3292" s="34" t="str">
        <f>PROPER(TEXT(tbLOG[[#This Row],[DATA/HORA]],"dddd"))</f>
        <v>Quinta-Feira</v>
      </c>
      <c r="D3292" s="3" t="s">
        <v>604</v>
      </c>
      <c r="E3292" s="34" t="str">
        <f>IFERROR(VLOOKUP(tbLOG[[#This Row],[LOGIN]],tbMAPA[#All],2,0), "Não localizado")</f>
        <v>Renan Cazumba Tegani</v>
      </c>
      <c r="F3292" s="34" t="str">
        <f>IFERROR(VLOOKUP(tbLOG[[#This Row],[LOGIN]],tbMAPA[#All],3,0), "Não localizado")</f>
        <v>Reginaldo Santana De Souza</v>
      </c>
      <c r="G3292" s="3" t="s">
        <v>1211</v>
      </c>
      <c r="H3292" s="3" t="s">
        <v>290</v>
      </c>
    </row>
    <row r="3293" spans="1:8">
      <c r="A3293" s="29">
        <v>42754.680023148147</v>
      </c>
      <c r="B3293" s="29" t="str">
        <f>PROPER(TEXT(tbLOG[[#This Row],[DATA/HORA]],"mmmm"))</f>
        <v>Janeiro</v>
      </c>
      <c r="C3293" s="34" t="str">
        <f>PROPER(TEXT(tbLOG[[#This Row],[DATA/HORA]],"dddd"))</f>
        <v>Quinta-Feira</v>
      </c>
      <c r="D3293" s="3" t="s">
        <v>604</v>
      </c>
      <c r="E3293" s="34" t="str">
        <f>IFERROR(VLOOKUP(tbLOG[[#This Row],[LOGIN]],tbMAPA[#All],2,0), "Não localizado")</f>
        <v>Renan Cazumba Tegani</v>
      </c>
      <c r="F3293" s="34" t="str">
        <f>IFERROR(VLOOKUP(tbLOG[[#This Row],[LOGIN]],tbMAPA[#All],3,0), "Não localizado")</f>
        <v>Reginaldo Santana De Souza</v>
      </c>
      <c r="G3293" s="3" t="s">
        <v>1211</v>
      </c>
      <c r="H3293" s="3" t="s">
        <v>291</v>
      </c>
    </row>
    <row r="3294" spans="1:8">
      <c r="A3294" s="29">
        <v>42754.680023148147</v>
      </c>
      <c r="B3294" s="29" t="str">
        <f>PROPER(TEXT(tbLOG[[#This Row],[DATA/HORA]],"mmmm"))</f>
        <v>Janeiro</v>
      </c>
      <c r="C3294" s="34" t="str">
        <f>PROPER(TEXT(tbLOG[[#This Row],[DATA/HORA]],"dddd"))</f>
        <v>Quinta-Feira</v>
      </c>
      <c r="D3294" s="3" t="s">
        <v>604</v>
      </c>
      <c r="E3294" s="34" t="str">
        <f>IFERROR(VLOOKUP(tbLOG[[#This Row],[LOGIN]],tbMAPA[#All],2,0), "Não localizado")</f>
        <v>Renan Cazumba Tegani</v>
      </c>
      <c r="F3294" s="34" t="str">
        <f>IFERROR(VLOOKUP(tbLOG[[#This Row],[LOGIN]],tbMAPA[#All],3,0), "Não localizado")</f>
        <v>Reginaldo Santana De Souza</v>
      </c>
      <c r="G3294" s="3" t="s">
        <v>1211</v>
      </c>
      <c r="H3294" s="3" t="s">
        <v>290</v>
      </c>
    </row>
    <row r="3295" spans="1:8">
      <c r="A3295" s="29">
        <v>42754.690636574072</v>
      </c>
      <c r="B3295" s="29" t="str">
        <f>PROPER(TEXT(tbLOG[[#This Row],[DATA/HORA]],"mmmm"))</f>
        <v>Janeiro</v>
      </c>
      <c r="C3295" s="34" t="str">
        <f>PROPER(TEXT(tbLOG[[#This Row],[DATA/HORA]],"dddd"))</f>
        <v>Quinta-Feira</v>
      </c>
      <c r="D3295" s="3" t="s">
        <v>604</v>
      </c>
      <c r="E3295" s="34" t="str">
        <f>IFERROR(VLOOKUP(tbLOG[[#This Row],[LOGIN]],tbMAPA[#All],2,0), "Não localizado")</f>
        <v>Renan Cazumba Tegani</v>
      </c>
      <c r="F3295" s="34" t="str">
        <f>IFERROR(VLOOKUP(tbLOG[[#This Row],[LOGIN]],tbMAPA[#All],3,0), "Não localizado")</f>
        <v>Reginaldo Santana De Souza</v>
      </c>
      <c r="G3295" s="3" t="s">
        <v>1211</v>
      </c>
      <c r="H3295" s="3" t="s">
        <v>994</v>
      </c>
    </row>
    <row r="3296" spans="1:8">
      <c r="A3296" s="29">
        <v>42754.691655092596</v>
      </c>
      <c r="B3296" s="29" t="str">
        <f>PROPER(TEXT(tbLOG[[#This Row],[DATA/HORA]],"mmmm"))</f>
        <v>Janeiro</v>
      </c>
      <c r="C3296" s="34" t="str">
        <f>PROPER(TEXT(tbLOG[[#This Row],[DATA/HORA]],"dddd"))</f>
        <v>Quinta-Feira</v>
      </c>
      <c r="D3296" s="3" t="s">
        <v>604</v>
      </c>
      <c r="E3296" s="34" t="str">
        <f>IFERROR(VLOOKUP(tbLOG[[#This Row],[LOGIN]],tbMAPA[#All],2,0), "Não localizado")</f>
        <v>Renan Cazumba Tegani</v>
      </c>
      <c r="F3296" s="34" t="str">
        <f>IFERROR(VLOOKUP(tbLOG[[#This Row],[LOGIN]],tbMAPA[#All],3,0), "Não localizado")</f>
        <v>Reginaldo Santana De Souza</v>
      </c>
      <c r="G3296" s="3" t="s">
        <v>1211</v>
      </c>
      <c r="H3296" s="3" t="s">
        <v>291</v>
      </c>
    </row>
    <row r="3297" spans="1:8">
      <c r="A3297" s="29">
        <v>42754.691666666666</v>
      </c>
      <c r="B3297" s="29" t="str">
        <f>PROPER(TEXT(tbLOG[[#This Row],[DATA/HORA]],"mmmm"))</f>
        <v>Janeiro</v>
      </c>
      <c r="C3297" s="34" t="str">
        <f>PROPER(TEXT(tbLOG[[#This Row],[DATA/HORA]],"dddd"))</f>
        <v>Quinta-Feira</v>
      </c>
      <c r="D3297" s="3" t="s">
        <v>604</v>
      </c>
      <c r="E3297" s="34" t="str">
        <f>IFERROR(VLOOKUP(tbLOG[[#This Row],[LOGIN]],tbMAPA[#All],2,0), "Não localizado")</f>
        <v>Renan Cazumba Tegani</v>
      </c>
      <c r="F3297" s="34" t="str">
        <f>IFERROR(VLOOKUP(tbLOG[[#This Row],[LOGIN]],tbMAPA[#All],3,0), "Não localizado")</f>
        <v>Reginaldo Santana De Souza</v>
      </c>
      <c r="G3297" s="3" t="s">
        <v>1211</v>
      </c>
      <c r="H3297" s="3" t="s">
        <v>290</v>
      </c>
    </row>
    <row r="3298" spans="1:8">
      <c r="A3298" s="29">
        <v>42754.730011574073</v>
      </c>
      <c r="B3298" s="29" t="str">
        <f>PROPER(TEXT(tbLOG[[#This Row],[DATA/HORA]],"mmmm"))</f>
        <v>Janeiro</v>
      </c>
      <c r="C3298" s="34" t="str">
        <f>PROPER(TEXT(tbLOG[[#This Row],[DATA/HORA]],"dddd"))</f>
        <v>Quinta-Feira</v>
      </c>
      <c r="D3298" s="3" t="s">
        <v>604</v>
      </c>
      <c r="E3298" s="34" t="str">
        <f>IFERROR(VLOOKUP(tbLOG[[#This Row],[LOGIN]],tbMAPA[#All],2,0), "Não localizado")</f>
        <v>Renan Cazumba Tegani</v>
      </c>
      <c r="F3298" s="34" t="str">
        <f>IFERROR(VLOOKUP(tbLOG[[#This Row],[LOGIN]],tbMAPA[#All],3,0), "Não localizado")</f>
        <v>Reginaldo Santana De Souza</v>
      </c>
      <c r="G3298" s="3" t="s">
        <v>1211</v>
      </c>
      <c r="H3298" s="3" t="s">
        <v>994</v>
      </c>
    </row>
    <row r="3299" spans="1:8">
      <c r="A3299" s="29">
        <v>42754.730752314812</v>
      </c>
      <c r="B3299" s="29" t="str">
        <f>PROPER(TEXT(tbLOG[[#This Row],[DATA/HORA]],"mmmm"))</f>
        <v>Janeiro</v>
      </c>
      <c r="C3299" s="34" t="str">
        <f>PROPER(TEXT(tbLOG[[#This Row],[DATA/HORA]],"dddd"))</f>
        <v>Quinta-Feira</v>
      </c>
      <c r="D3299" s="3" t="s">
        <v>604</v>
      </c>
      <c r="E3299" s="34" t="str">
        <f>IFERROR(VLOOKUP(tbLOG[[#This Row],[LOGIN]],tbMAPA[#All],2,0), "Não localizado")</f>
        <v>Renan Cazumba Tegani</v>
      </c>
      <c r="F3299" s="34" t="str">
        <f>IFERROR(VLOOKUP(tbLOG[[#This Row],[LOGIN]],tbMAPA[#All],3,0), "Não localizado")</f>
        <v>Reginaldo Santana De Souza</v>
      </c>
      <c r="G3299" s="3" t="s">
        <v>1211</v>
      </c>
      <c r="H3299" s="3" t="s">
        <v>290</v>
      </c>
    </row>
    <row r="3300" spans="1:8">
      <c r="A3300" s="29">
        <v>42754.747685185182</v>
      </c>
      <c r="B3300" s="29" t="str">
        <f>PROPER(TEXT(tbLOG[[#This Row],[DATA/HORA]],"mmmm"))</f>
        <v>Janeiro</v>
      </c>
      <c r="C3300" s="34" t="str">
        <f>PROPER(TEXT(tbLOG[[#This Row],[DATA/HORA]],"dddd"))</f>
        <v>Quinta-Feira</v>
      </c>
      <c r="D3300" s="3" t="s">
        <v>604</v>
      </c>
      <c r="E3300" s="34" t="str">
        <f>IFERROR(VLOOKUP(tbLOG[[#This Row],[LOGIN]],tbMAPA[#All],2,0), "Não localizado")</f>
        <v>Renan Cazumba Tegani</v>
      </c>
      <c r="F3300" s="34" t="str">
        <f>IFERROR(VLOOKUP(tbLOG[[#This Row],[LOGIN]],tbMAPA[#All],3,0), "Não localizado")</f>
        <v>Reginaldo Santana De Souza</v>
      </c>
      <c r="G3300" s="3" t="s">
        <v>1211</v>
      </c>
      <c r="H3300" s="3" t="s">
        <v>290</v>
      </c>
    </row>
    <row r="3301" spans="1:8">
      <c r="A3301" s="29">
        <v>42754.747708333336</v>
      </c>
      <c r="B3301" s="29" t="str">
        <f>PROPER(TEXT(tbLOG[[#This Row],[DATA/HORA]],"mmmm"))</f>
        <v>Janeiro</v>
      </c>
      <c r="C3301" s="34" t="str">
        <f>PROPER(TEXT(tbLOG[[#This Row],[DATA/HORA]],"dddd"))</f>
        <v>Quinta-Feira</v>
      </c>
      <c r="D3301" s="3" t="s">
        <v>604</v>
      </c>
      <c r="E3301" s="34" t="str">
        <f>IFERROR(VLOOKUP(tbLOG[[#This Row],[LOGIN]],tbMAPA[#All],2,0), "Não localizado")</f>
        <v>Renan Cazumba Tegani</v>
      </c>
      <c r="F3301" s="34" t="str">
        <f>IFERROR(VLOOKUP(tbLOG[[#This Row],[LOGIN]],tbMAPA[#All],3,0), "Não localizado")</f>
        <v>Reginaldo Santana De Souza</v>
      </c>
      <c r="G3301" s="3" t="s">
        <v>1211</v>
      </c>
      <c r="H3301" s="3" t="s">
        <v>291</v>
      </c>
    </row>
    <row r="3302" spans="1:8">
      <c r="A3302" s="29">
        <v>42754.747708333336</v>
      </c>
      <c r="B3302" s="29" t="str">
        <f>PROPER(TEXT(tbLOG[[#This Row],[DATA/HORA]],"mmmm"))</f>
        <v>Janeiro</v>
      </c>
      <c r="C3302" s="34" t="str">
        <f>PROPER(TEXT(tbLOG[[#This Row],[DATA/HORA]],"dddd"))</f>
        <v>Quinta-Feira</v>
      </c>
      <c r="D3302" s="3" t="s">
        <v>604</v>
      </c>
      <c r="E3302" s="34" t="str">
        <f>IFERROR(VLOOKUP(tbLOG[[#This Row],[LOGIN]],tbMAPA[#All],2,0), "Não localizado")</f>
        <v>Renan Cazumba Tegani</v>
      </c>
      <c r="F3302" s="34" t="str">
        <f>IFERROR(VLOOKUP(tbLOG[[#This Row],[LOGIN]],tbMAPA[#All],3,0), "Não localizado")</f>
        <v>Reginaldo Santana De Souza</v>
      </c>
      <c r="G3302" s="3" t="s">
        <v>1211</v>
      </c>
      <c r="H3302" s="3" t="s">
        <v>290</v>
      </c>
    </row>
    <row r="3303" spans="1:8">
      <c r="A3303" s="29">
        <v>42755.416446759256</v>
      </c>
      <c r="B3303" s="29" t="str">
        <f>PROPER(TEXT(tbLOG[[#This Row],[DATA/HORA]],"mmmm"))</f>
        <v>Janeiro</v>
      </c>
      <c r="C3303" s="34" t="str">
        <f>PROPER(TEXT(tbLOG[[#This Row],[DATA/HORA]],"dddd"))</f>
        <v>Sexta-Feira</v>
      </c>
      <c r="D3303" s="3" t="s">
        <v>300</v>
      </c>
      <c r="E3303" s="34" t="str">
        <f>IFERROR(VLOOKUP(tbLOG[[#This Row],[LOGIN]],tbMAPA[#All],2,0), "Não localizado")</f>
        <v>Jefte Soares Da Silva</v>
      </c>
      <c r="F3303" s="34" t="str">
        <f>IFERROR(VLOOKUP(tbLOG[[#This Row],[LOGIN]],tbMAPA[#All],3,0), "Não localizado")</f>
        <v>Daniela Andrade Silva</v>
      </c>
      <c r="G3303" s="3" t="s">
        <v>1000</v>
      </c>
      <c r="H3303" s="3" t="s">
        <v>994</v>
      </c>
    </row>
    <row r="3304" spans="1:8">
      <c r="A3304" s="29">
        <v>42755.417291666665</v>
      </c>
      <c r="B3304" s="29" t="str">
        <f>PROPER(TEXT(tbLOG[[#This Row],[DATA/HORA]],"mmmm"))</f>
        <v>Janeiro</v>
      </c>
      <c r="C3304" s="34" t="str">
        <f>PROPER(TEXT(tbLOG[[#This Row],[DATA/HORA]],"dddd"))</f>
        <v>Sexta-Feira</v>
      </c>
      <c r="D3304" s="3" t="s">
        <v>300</v>
      </c>
      <c r="E3304" s="34" t="str">
        <f>IFERROR(VLOOKUP(tbLOG[[#This Row],[LOGIN]],tbMAPA[#All],2,0), "Não localizado")</f>
        <v>Jefte Soares Da Silva</v>
      </c>
      <c r="F3304" s="34" t="str">
        <f>IFERROR(VLOOKUP(tbLOG[[#This Row],[LOGIN]],tbMAPA[#All],3,0), "Não localizado")</f>
        <v>Daniela Andrade Silva</v>
      </c>
      <c r="G3304" s="3" t="s">
        <v>1000</v>
      </c>
      <c r="H3304" s="3" t="s">
        <v>315</v>
      </c>
    </row>
    <row r="3305" spans="1:8">
      <c r="A3305" s="29">
        <v>42755.417453703703</v>
      </c>
      <c r="B3305" s="29" t="str">
        <f>PROPER(TEXT(tbLOG[[#This Row],[DATA/HORA]],"mmmm"))</f>
        <v>Janeiro</v>
      </c>
      <c r="C3305" s="34" t="str">
        <f>PROPER(TEXT(tbLOG[[#This Row],[DATA/HORA]],"dddd"))</f>
        <v>Sexta-Feira</v>
      </c>
      <c r="D3305" s="3" t="s">
        <v>300</v>
      </c>
      <c r="E3305" s="34" t="str">
        <f>IFERROR(VLOOKUP(tbLOG[[#This Row],[LOGIN]],tbMAPA[#All],2,0), "Não localizado")</f>
        <v>Jefte Soares Da Silva</v>
      </c>
      <c r="F3305" s="34" t="str">
        <f>IFERROR(VLOOKUP(tbLOG[[#This Row],[LOGIN]],tbMAPA[#All],3,0), "Não localizado")</f>
        <v>Daniela Andrade Silva</v>
      </c>
      <c r="G3305" s="3" t="s">
        <v>1000</v>
      </c>
      <c r="H3305" s="3" t="s">
        <v>292</v>
      </c>
    </row>
    <row r="3306" spans="1:8">
      <c r="A3306" s="29">
        <v>42755.41747685185</v>
      </c>
      <c r="B3306" s="29" t="str">
        <f>PROPER(TEXT(tbLOG[[#This Row],[DATA/HORA]],"mmmm"))</f>
        <v>Janeiro</v>
      </c>
      <c r="C3306" s="34" t="str">
        <f>PROPER(TEXT(tbLOG[[#This Row],[DATA/HORA]],"dddd"))</f>
        <v>Sexta-Feira</v>
      </c>
      <c r="D3306" s="3" t="s">
        <v>300</v>
      </c>
      <c r="E3306" s="34" t="str">
        <f>IFERROR(VLOOKUP(tbLOG[[#This Row],[LOGIN]],tbMAPA[#All],2,0), "Não localizado")</f>
        <v>Jefte Soares Da Silva</v>
      </c>
      <c r="F3306" s="34" t="str">
        <f>IFERROR(VLOOKUP(tbLOG[[#This Row],[LOGIN]],tbMAPA[#All],3,0), "Não localizado")</f>
        <v>Daniela Andrade Silva</v>
      </c>
      <c r="G3306" s="3" t="s">
        <v>1000</v>
      </c>
      <c r="H3306" s="3" t="s">
        <v>292</v>
      </c>
    </row>
    <row r="3307" spans="1:8">
      <c r="A3307" s="29">
        <v>42755.41747685185</v>
      </c>
      <c r="B3307" s="29" t="str">
        <f>PROPER(TEXT(tbLOG[[#This Row],[DATA/HORA]],"mmmm"))</f>
        <v>Janeiro</v>
      </c>
      <c r="C3307" s="34" t="str">
        <f>PROPER(TEXT(tbLOG[[#This Row],[DATA/HORA]],"dddd"))</f>
        <v>Sexta-Feira</v>
      </c>
      <c r="D3307" s="3" t="s">
        <v>300</v>
      </c>
      <c r="E3307" s="34" t="str">
        <f>IFERROR(VLOOKUP(tbLOG[[#This Row],[LOGIN]],tbMAPA[#All],2,0), "Não localizado")</f>
        <v>Jefte Soares Da Silva</v>
      </c>
      <c r="F3307" s="34" t="str">
        <f>IFERROR(VLOOKUP(tbLOG[[#This Row],[LOGIN]],tbMAPA[#All],3,0), "Não localizado")</f>
        <v>Daniela Andrade Silva</v>
      </c>
      <c r="G3307" s="3" t="s">
        <v>1000</v>
      </c>
      <c r="H3307" s="3" t="s">
        <v>317</v>
      </c>
    </row>
    <row r="3308" spans="1:8">
      <c r="A3308" s="29">
        <v>42755.417997685188</v>
      </c>
      <c r="B3308" s="29" t="str">
        <f>PROPER(TEXT(tbLOG[[#This Row],[DATA/HORA]],"mmmm"))</f>
        <v>Janeiro</v>
      </c>
      <c r="C3308" s="34" t="str">
        <f>PROPER(TEXT(tbLOG[[#This Row],[DATA/HORA]],"dddd"))</f>
        <v>Sexta-Feira</v>
      </c>
      <c r="D3308" s="3" t="s">
        <v>300</v>
      </c>
      <c r="E3308" s="34" t="str">
        <f>IFERROR(VLOOKUP(tbLOG[[#This Row],[LOGIN]],tbMAPA[#All],2,0), "Não localizado")</f>
        <v>Jefte Soares Da Silva</v>
      </c>
      <c r="F3308" s="34" t="str">
        <f>IFERROR(VLOOKUP(tbLOG[[#This Row],[LOGIN]],tbMAPA[#All],3,0), "Não localizado")</f>
        <v>Daniela Andrade Silva</v>
      </c>
      <c r="G3308" s="3" t="s">
        <v>1000</v>
      </c>
      <c r="H3308" s="3" t="s">
        <v>836</v>
      </c>
    </row>
    <row r="3309" spans="1:8">
      <c r="A3309" s="29">
        <v>42755.418020833335</v>
      </c>
      <c r="B3309" s="29" t="str">
        <f>PROPER(TEXT(tbLOG[[#This Row],[DATA/HORA]],"mmmm"))</f>
        <v>Janeiro</v>
      </c>
      <c r="C3309" s="34" t="str">
        <f>PROPER(TEXT(tbLOG[[#This Row],[DATA/HORA]],"dddd"))</f>
        <v>Sexta-Feira</v>
      </c>
      <c r="D3309" s="3" t="s">
        <v>300</v>
      </c>
      <c r="E3309" s="34" t="str">
        <f>IFERROR(VLOOKUP(tbLOG[[#This Row],[LOGIN]],tbMAPA[#All],2,0), "Não localizado")</f>
        <v>Jefte Soares Da Silva</v>
      </c>
      <c r="F3309" s="34" t="str">
        <f>IFERROR(VLOOKUP(tbLOG[[#This Row],[LOGIN]],tbMAPA[#All],3,0), "Não localizado")</f>
        <v>Daniela Andrade Silva</v>
      </c>
      <c r="G3309" s="3" t="s">
        <v>1000</v>
      </c>
      <c r="H3309" s="3" t="s">
        <v>836</v>
      </c>
    </row>
    <row r="3310" spans="1:8">
      <c r="A3310" s="29">
        <v>42755.418113425927</v>
      </c>
      <c r="B3310" s="29" t="str">
        <f>PROPER(TEXT(tbLOG[[#This Row],[DATA/HORA]],"mmmm"))</f>
        <v>Janeiro</v>
      </c>
      <c r="C3310" s="34" t="str">
        <f>PROPER(TEXT(tbLOG[[#This Row],[DATA/HORA]],"dddd"))</f>
        <v>Sexta-Feira</v>
      </c>
      <c r="D3310" s="3" t="s">
        <v>300</v>
      </c>
      <c r="E3310" s="34" t="str">
        <f>IFERROR(VLOOKUP(tbLOG[[#This Row],[LOGIN]],tbMAPA[#All],2,0), "Não localizado")</f>
        <v>Jefte Soares Da Silva</v>
      </c>
      <c r="F3310" s="34" t="str">
        <f>IFERROR(VLOOKUP(tbLOG[[#This Row],[LOGIN]],tbMAPA[#All],3,0), "Não localizado")</f>
        <v>Daniela Andrade Silva</v>
      </c>
      <c r="G3310" s="3" t="s">
        <v>1000</v>
      </c>
      <c r="H3310" s="3" t="s">
        <v>836</v>
      </c>
    </row>
    <row r="3311" spans="1:8">
      <c r="A3311" s="29">
        <v>42755.418182870373</v>
      </c>
      <c r="B3311" s="29" t="str">
        <f>PROPER(TEXT(tbLOG[[#This Row],[DATA/HORA]],"mmmm"))</f>
        <v>Janeiro</v>
      </c>
      <c r="C3311" s="34" t="str">
        <f>PROPER(TEXT(tbLOG[[#This Row],[DATA/HORA]],"dddd"))</f>
        <v>Sexta-Feira</v>
      </c>
      <c r="D3311" s="3" t="s">
        <v>300</v>
      </c>
      <c r="E3311" s="34" t="str">
        <f>IFERROR(VLOOKUP(tbLOG[[#This Row],[LOGIN]],tbMAPA[#All],2,0), "Não localizado")</f>
        <v>Jefte Soares Da Silva</v>
      </c>
      <c r="F3311" s="34" t="str">
        <f>IFERROR(VLOOKUP(tbLOG[[#This Row],[LOGIN]],tbMAPA[#All],3,0), "Não localizado")</f>
        <v>Daniela Andrade Silva</v>
      </c>
      <c r="G3311" s="3" t="s">
        <v>1000</v>
      </c>
      <c r="H3311" s="3" t="s">
        <v>836</v>
      </c>
    </row>
    <row r="3312" spans="1:8">
      <c r="A3312" s="29">
        <v>42755.418229166666</v>
      </c>
      <c r="B3312" s="29" t="str">
        <f>PROPER(TEXT(tbLOG[[#This Row],[DATA/HORA]],"mmmm"))</f>
        <v>Janeiro</v>
      </c>
      <c r="C3312" s="34" t="str">
        <f>PROPER(TEXT(tbLOG[[#This Row],[DATA/HORA]],"dddd"))</f>
        <v>Sexta-Feira</v>
      </c>
      <c r="D3312" s="3" t="s">
        <v>300</v>
      </c>
      <c r="E3312" s="34" t="str">
        <f>IFERROR(VLOOKUP(tbLOG[[#This Row],[LOGIN]],tbMAPA[#All],2,0), "Não localizado")</f>
        <v>Jefte Soares Da Silva</v>
      </c>
      <c r="F3312" s="34" t="str">
        <f>IFERROR(VLOOKUP(tbLOG[[#This Row],[LOGIN]],tbMAPA[#All],3,0), "Não localizado")</f>
        <v>Daniela Andrade Silva</v>
      </c>
      <c r="G3312" s="3" t="s">
        <v>1000</v>
      </c>
      <c r="H3312" s="3" t="s">
        <v>836</v>
      </c>
    </row>
    <row r="3313" spans="1:8">
      <c r="A3313" s="29">
        <v>42755.418252314812</v>
      </c>
      <c r="B3313" s="29" t="str">
        <f>PROPER(TEXT(tbLOG[[#This Row],[DATA/HORA]],"mmmm"))</f>
        <v>Janeiro</v>
      </c>
      <c r="C3313" s="34" t="str">
        <f>PROPER(TEXT(tbLOG[[#This Row],[DATA/HORA]],"dddd"))</f>
        <v>Sexta-Feira</v>
      </c>
      <c r="D3313" s="3" t="s">
        <v>300</v>
      </c>
      <c r="E3313" s="34" t="str">
        <f>IFERROR(VLOOKUP(tbLOG[[#This Row],[LOGIN]],tbMAPA[#All],2,0), "Não localizado")</f>
        <v>Jefte Soares Da Silva</v>
      </c>
      <c r="F3313" s="34" t="str">
        <f>IFERROR(VLOOKUP(tbLOG[[#This Row],[LOGIN]],tbMAPA[#All],3,0), "Não localizado")</f>
        <v>Daniela Andrade Silva</v>
      </c>
      <c r="G3313" s="3" t="s">
        <v>1000</v>
      </c>
      <c r="H3313" s="3" t="s">
        <v>836</v>
      </c>
    </row>
    <row r="3314" spans="1:8">
      <c r="A3314" s="29">
        <v>42755.418252314812</v>
      </c>
      <c r="B3314" s="29" t="str">
        <f>PROPER(TEXT(tbLOG[[#This Row],[DATA/HORA]],"mmmm"))</f>
        <v>Janeiro</v>
      </c>
      <c r="C3314" s="34" t="str">
        <f>PROPER(TEXT(tbLOG[[#This Row],[DATA/HORA]],"dddd"))</f>
        <v>Sexta-Feira</v>
      </c>
      <c r="D3314" s="3" t="s">
        <v>300</v>
      </c>
      <c r="E3314" s="34" t="str">
        <f>IFERROR(VLOOKUP(tbLOG[[#This Row],[LOGIN]],tbMAPA[#All],2,0), "Não localizado")</f>
        <v>Jefte Soares Da Silva</v>
      </c>
      <c r="F3314" s="34" t="str">
        <f>IFERROR(VLOOKUP(tbLOG[[#This Row],[LOGIN]],tbMAPA[#All],3,0), "Não localizado")</f>
        <v>Daniela Andrade Silva</v>
      </c>
      <c r="G3314" s="3" t="s">
        <v>1000</v>
      </c>
      <c r="H3314" s="3" t="s">
        <v>836</v>
      </c>
    </row>
    <row r="3315" spans="1:8">
      <c r="A3315" s="29">
        <v>42755.418368055558</v>
      </c>
      <c r="B3315" s="29" t="str">
        <f>PROPER(TEXT(tbLOG[[#This Row],[DATA/HORA]],"mmmm"))</f>
        <v>Janeiro</v>
      </c>
      <c r="C3315" s="34" t="str">
        <f>PROPER(TEXT(tbLOG[[#This Row],[DATA/HORA]],"dddd"))</f>
        <v>Sexta-Feira</v>
      </c>
      <c r="D3315" s="3" t="s">
        <v>300</v>
      </c>
      <c r="E3315" s="34" t="str">
        <f>IFERROR(VLOOKUP(tbLOG[[#This Row],[LOGIN]],tbMAPA[#All],2,0), "Não localizado")</f>
        <v>Jefte Soares Da Silva</v>
      </c>
      <c r="F3315" s="34" t="str">
        <f>IFERROR(VLOOKUP(tbLOG[[#This Row],[LOGIN]],tbMAPA[#All],3,0), "Não localizado")</f>
        <v>Daniela Andrade Silva</v>
      </c>
      <c r="G3315" s="3" t="s">
        <v>1000</v>
      </c>
      <c r="H3315" s="3" t="s">
        <v>836</v>
      </c>
    </row>
    <row r="3316" spans="1:8">
      <c r="A3316" s="29">
        <v>42755.418425925927</v>
      </c>
      <c r="B3316" s="29" t="str">
        <f>PROPER(TEXT(tbLOG[[#This Row],[DATA/HORA]],"mmmm"))</f>
        <v>Janeiro</v>
      </c>
      <c r="C3316" s="34" t="str">
        <f>PROPER(TEXT(tbLOG[[#This Row],[DATA/HORA]],"dddd"))</f>
        <v>Sexta-Feira</v>
      </c>
      <c r="D3316" s="3" t="s">
        <v>300</v>
      </c>
      <c r="E3316" s="34" t="str">
        <f>IFERROR(VLOOKUP(tbLOG[[#This Row],[LOGIN]],tbMAPA[#All],2,0), "Não localizado")</f>
        <v>Jefte Soares Da Silva</v>
      </c>
      <c r="F3316" s="34" t="str">
        <f>IFERROR(VLOOKUP(tbLOG[[#This Row],[LOGIN]],tbMAPA[#All],3,0), "Não localizado")</f>
        <v>Daniela Andrade Silva</v>
      </c>
      <c r="G3316" s="3" t="s">
        <v>1000</v>
      </c>
      <c r="H3316" s="3" t="s">
        <v>836</v>
      </c>
    </row>
    <row r="3317" spans="1:8">
      <c r="A3317" s="29">
        <v>42755.418611111112</v>
      </c>
      <c r="B3317" s="29" t="str">
        <f>PROPER(TEXT(tbLOG[[#This Row],[DATA/HORA]],"mmmm"))</f>
        <v>Janeiro</v>
      </c>
      <c r="C3317" s="34" t="str">
        <f>PROPER(TEXT(tbLOG[[#This Row],[DATA/HORA]],"dddd"))</f>
        <v>Sexta-Feira</v>
      </c>
      <c r="D3317" s="3" t="s">
        <v>300</v>
      </c>
      <c r="E3317" s="34" t="str">
        <f>IFERROR(VLOOKUP(tbLOG[[#This Row],[LOGIN]],tbMAPA[#All],2,0), "Não localizado")</f>
        <v>Jefte Soares Da Silva</v>
      </c>
      <c r="F3317" s="34" t="str">
        <f>IFERROR(VLOOKUP(tbLOG[[#This Row],[LOGIN]],tbMAPA[#All],3,0), "Não localizado")</f>
        <v>Daniela Andrade Silva</v>
      </c>
      <c r="G3317" s="3" t="s">
        <v>1000</v>
      </c>
      <c r="H3317" s="3" t="s">
        <v>835</v>
      </c>
    </row>
    <row r="3318" spans="1:8">
      <c r="A3318" s="29">
        <v>42755.419606481482</v>
      </c>
      <c r="B3318" s="29" t="str">
        <f>PROPER(TEXT(tbLOG[[#This Row],[DATA/HORA]],"mmmm"))</f>
        <v>Janeiro</v>
      </c>
      <c r="C3318" s="34" t="str">
        <f>PROPER(TEXT(tbLOG[[#This Row],[DATA/HORA]],"dddd"))</f>
        <v>Sexta-Feira</v>
      </c>
      <c r="D3318" s="3" t="s">
        <v>300</v>
      </c>
      <c r="E3318" s="34" t="str">
        <f>IFERROR(VLOOKUP(tbLOG[[#This Row],[LOGIN]],tbMAPA[#All],2,0), "Não localizado")</f>
        <v>Jefte Soares Da Silva</v>
      </c>
      <c r="F3318" s="34" t="str">
        <f>IFERROR(VLOOKUP(tbLOG[[#This Row],[LOGIN]],tbMAPA[#All],3,0), "Não localizado")</f>
        <v>Daniela Andrade Silva</v>
      </c>
      <c r="G3318" s="3" t="s">
        <v>1000</v>
      </c>
      <c r="H3318" s="3" t="s">
        <v>836</v>
      </c>
    </row>
    <row r="3319" spans="1:8">
      <c r="A3319" s="29">
        <v>42755.41982638889</v>
      </c>
      <c r="B3319" s="29" t="str">
        <f>PROPER(TEXT(tbLOG[[#This Row],[DATA/HORA]],"mmmm"))</f>
        <v>Janeiro</v>
      </c>
      <c r="C3319" s="34" t="str">
        <f>PROPER(TEXT(tbLOG[[#This Row],[DATA/HORA]],"dddd"))</f>
        <v>Sexta-Feira</v>
      </c>
      <c r="D3319" s="3" t="s">
        <v>300</v>
      </c>
      <c r="E3319" s="34" t="str">
        <f>IFERROR(VLOOKUP(tbLOG[[#This Row],[LOGIN]],tbMAPA[#All],2,0), "Não localizado")</f>
        <v>Jefte Soares Da Silva</v>
      </c>
      <c r="F3319" s="34" t="str">
        <f>IFERROR(VLOOKUP(tbLOG[[#This Row],[LOGIN]],tbMAPA[#All],3,0), "Não localizado")</f>
        <v>Daniela Andrade Silva</v>
      </c>
      <c r="G3319" s="3" t="s">
        <v>1000</v>
      </c>
      <c r="H3319" s="3" t="s">
        <v>836</v>
      </c>
    </row>
    <row r="3320" spans="1:8">
      <c r="A3320" s="29">
        <v>42755.420046296298</v>
      </c>
      <c r="B3320" s="29" t="str">
        <f>PROPER(TEXT(tbLOG[[#This Row],[DATA/HORA]],"mmmm"))</f>
        <v>Janeiro</v>
      </c>
      <c r="C3320" s="34" t="str">
        <f>PROPER(TEXT(tbLOG[[#This Row],[DATA/HORA]],"dddd"))</f>
        <v>Sexta-Feira</v>
      </c>
      <c r="D3320" s="3" t="s">
        <v>300</v>
      </c>
      <c r="E3320" s="34" t="str">
        <f>IFERROR(VLOOKUP(tbLOG[[#This Row],[LOGIN]],tbMAPA[#All],2,0), "Não localizado")</f>
        <v>Jefte Soares Da Silva</v>
      </c>
      <c r="F3320" s="34" t="str">
        <f>IFERROR(VLOOKUP(tbLOG[[#This Row],[LOGIN]],tbMAPA[#All],3,0), "Não localizado")</f>
        <v>Daniela Andrade Silva</v>
      </c>
      <c r="G3320" s="3" t="s">
        <v>1000</v>
      </c>
      <c r="H3320" s="3" t="s">
        <v>290</v>
      </c>
    </row>
    <row r="3321" spans="1:8">
      <c r="A3321" s="29">
        <v>42755.420277777775</v>
      </c>
      <c r="B3321" s="29" t="str">
        <f>PROPER(TEXT(tbLOG[[#This Row],[DATA/HORA]],"mmmm"))</f>
        <v>Janeiro</v>
      </c>
      <c r="C3321" s="34" t="str">
        <f>PROPER(TEXT(tbLOG[[#This Row],[DATA/HORA]],"dddd"))</f>
        <v>Sexta-Feira</v>
      </c>
      <c r="D3321" s="3" t="s">
        <v>300</v>
      </c>
      <c r="E3321" s="34" t="str">
        <f>IFERROR(VLOOKUP(tbLOG[[#This Row],[LOGIN]],tbMAPA[#All],2,0), "Não localizado")</f>
        <v>Jefte Soares Da Silva</v>
      </c>
      <c r="F3321" s="34" t="str">
        <f>IFERROR(VLOOKUP(tbLOG[[#This Row],[LOGIN]],tbMAPA[#All],3,0), "Não localizado")</f>
        <v>Daniela Andrade Silva</v>
      </c>
      <c r="G3321" s="3" t="s">
        <v>1000</v>
      </c>
      <c r="H3321" s="3" t="s">
        <v>290</v>
      </c>
    </row>
    <row r="3322" spans="1:8">
      <c r="A3322" s="29">
        <v>42755.420381944445</v>
      </c>
      <c r="B3322" s="29" t="str">
        <f>PROPER(TEXT(tbLOG[[#This Row],[DATA/HORA]],"mmmm"))</f>
        <v>Janeiro</v>
      </c>
      <c r="C3322" s="34" t="str">
        <f>PROPER(TEXT(tbLOG[[#This Row],[DATA/HORA]],"dddd"))</f>
        <v>Sexta-Feira</v>
      </c>
      <c r="D3322" s="3" t="s">
        <v>300</v>
      </c>
      <c r="E3322" s="34" t="str">
        <f>IFERROR(VLOOKUP(tbLOG[[#This Row],[LOGIN]],tbMAPA[#All],2,0), "Não localizado")</f>
        <v>Jefte Soares Da Silva</v>
      </c>
      <c r="F3322" s="34" t="str">
        <f>IFERROR(VLOOKUP(tbLOG[[#This Row],[LOGIN]],tbMAPA[#All],3,0), "Não localizado")</f>
        <v>Daniela Andrade Silva</v>
      </c>
      <c r="G3322" s="3" t="s">
        <v>1000</v>
      </c>
      <c r="H3322" s="3" t="s">
        <v>291</v>
      </c>
    </row>
    <row r="3323" spans="1:8">
      <c r="A3323" s="29">
        <v>42755.420381944445</v>
      </c>
      <c r="B3323" s="29" t="str">
        <f>PROPER(TEXT(tbLOG[[#This Row],[DATA/HORA]],"mmmm"))</f>
        <v>Janeiro</v>
      </c>
      <c r="C3323" s="34" t="str">
        <f>PROPER(TEXT(tbLOG[[#This Row],[DATA/HORA]],"dddd"))</f>
        <v>Sexta-Feira</v>
      </c>
      <c r="D3323" s="3" t="s">
        <v>300</v>
      </c>
      <c r="E3323" s="34" t="str">
        <f>IFERROR(VLOOKUP(tbLOG[[#This Row],[LOGIN]],tbMAPA[#All],2,0), "Não localizado")</f>
        <v>Jefte Soares Da Silva</v>
      </c>
      <c r="F3323" s="34" t="str">
        <f>IFERROR(VLOOKUP(tbLOG[[#This Row],[LOGIN]],tbMAPA[#All],3,0), "Não localizado")</f>
        <v>Daniela Andrade Silva</v>
      </c>
      <c r="G3323" s="3" t="s">
        <v>1000</v>
      </c>
      <c r="H3323" s="3" t="s">
        <v>290</v>
      </c>
    </row>
    <row r="3324" spans="1:8">
      <c r="A3324" s="29">
        <v>42755.431643518517</v>
      </c>
      <c r="B3324" s="29" t="str">
        <f>PROPER(TEXT(tbLOG[[#This Row],[DATA/HORA]],"mmmm"))</f>
        <v>Janeiro</v>
      </c>
      <c r="C3324" s="34" t="str">
        <f>PROPER(TEXT(tbLOG[[#This Row],[DATA/HORA]],"dddd"))</f>
        <v>Sexta-Feira</v>
      </c>
      <c r="D3324" s="3" t="s">
        <v>604</v>
      </c>
      <c r="E3324" s="34" t="str">
        <f>IFERROR(VLOOKUP(tbLOG[[#This Row],[LOGIN]],tbMAPA[#All],2,0), "Não localizado")</f>
        <v>Renan Cazumba Tegani</v>
      </c>
      <c r="F3324" s="34" t="str">
        <f>IFERROR(VLOOKUP(tbLOG[[#This Row],[LOGIN]],tbMAPA[#All],3,0), "Não localizado")</f>
        <v>Reginaldo Santana De Souza</v>
      </c>
      <c r="G3324" s="3" t="s">
        <v>1211</v>
      </c>
      <c r="H3324" s="3" t="s">
        <v>994</v>
      </c>
    </row>
    <row r="3325" spans="1:8">
      <c r="A3325" s="29">
        <v>42755.431689814817</v>
      </c>
      <c r="B3325" s="29" t="str">
        <f>PROPER(TEXT(tbLOG[[#This Row],[DATA/HORA]],"mmmm"))</f>
        <v>Janeiro</v>
      </c>
      <c r="C3325" s="34" t="str">
        <f>PROPER(TEXT(tbLOG[[#This Row],[DATA/HORA]],"dddd"))</f>
        <v>Sexta-Feira</v>
      </c>
      <c r="D3325" s="3" t="s">
        <v>604</v>
      </c>
      <c r="E3325" s="34" t="str">
        <f>IFERROR(VLOOKUP(tbLOG[[#This Row],[LOGIN]],tbMAPA[#All],2,0), "Não localizado")</f>
        <v>Renan Cazumba Tegani</v>
      </c>
      <c r="F3325" s="34" t="str">
        <f>IFERROR(VLOOKUP(tbLOG[[#This Row],[LOGIN]],tbMAPA[#All],3,0), "Não localizado")</f>
        <v>Reginaldo Santana De Souza</v>
      </c>
      <c r="G3325" s="3" t="s">
        <v>1211</v>
      </c>
      <c r="H3325" s="3" t="s">
        <v>309</v>
      </c>
    </row>
    <row r="3326" spans="1:8">
      <c r="A3326" s="29">
        <v>42755.431689814817</v>
      </c>
      <c r="B3326" s="29" t="str">
        <f>PROPER(TEXT(tbLOG[[#This Row],[DATA/HORA]],"mmmm"))</f>
        <v>Janeiro</v>
      </c>
      <c r="C3326" s="34" t="str">
        <f>PROPER(TEXT(tbLOG[[#This Row],[DATA/HORA]],"dddd"))</f>
        <v>Sexta-Feira</v>
      </c>
      <c r="D3326" s="3" t="s">
        <v>604</v>
      </c>
      <c r="E3326" s="34" t="str">
        <f>IFERROR(VLOOKUP(tbLOG[[#This Row],[LOGIN]],tbMAPA[#All],2,0), "Não localizado")</f>
        <v>Renan Cazumba Tegani</v>
      </c>
      <c r="F3326" s="34" t="str">
        <f>IFERROR(VLOOKUP(tbLOG[[#This Row],[LOGIN]],tbMAPA[#All],3,0), "Não localizado")</f>
        <v>Reginaldo Santana De Souza</v>
      </c>
      <c r="G3326" s="3" t="s">
        <v>1211</v>
      </c>
      <c r="H3326" s="3" t="s">
        <v>310</v>
      </c>
    </row>
    <row r="3327" spans="1:8">
      <c r="A3327" s="29">
        <v>42755.43173611111</v>
      </c>
      <c r="B3327" s="29" t="str">
        <f>PROPER(TEXT(tbLOG[[#This Row],[DATA/HORA]],"mmmm"))</f>
        <v>Janeiro</v>
      </c>
      <c r="C3327" s="34" t="str">
        <f>PROPER(TEXT(tbLOG[[#This Row],[DATA/HORA]],"dddd"))</f>
        <v>Sexta-Feira</v>
      </c>
      <c r="D3327" s="3" t="s">
        <v>604</v>
      </c>
      <c r="E3327" s="34" t="str">
        <f>IFERROR(VLOOKUP(tbLOG[[#This Row],[LOGIN]],tbMAPA[#All],2,0), "Não localizado")</f>
        <v>Renan Cazumba Tegani</v>
      </c>
      <c r="F3327" s="34" t="str">
        <f>IFERROR(VLOOKUP(tbLOG[[#This Row],[LOGIN]],tbMAPA[#All],3,0), "Não localizado")</f>
        <v>Reginaldo Santana De Souza</v>
      </c>
      <c r="G3327" s="3" t="s">
        <v>1211</v>
      </c>
      <c r="H3327" s="3" t="s">
        <v>309</v>
      </c>
    </row>
    <row r="3328" spans="1:8">
      <c r="A3328" s="29">
        <v>42755.43173611111</v>
      </c>
      <c r="B3328" s="29" t="str">
        <f>PROPER(TEXT(tbLOG[[#This Row],[DATA/HORA]],"mmmm"))</f>
        <v>Janeiro</v>
      </c>
      <c r="C3328" s="34" t="str">
        <f>PROPER(TEXT(tbLOG[[#This Row],[DATA/HORA]],"dddd"))</f>
        <v>Sexta-Feira</v>
      </c>
      <c r="D3328" s="3" t="s">
        <v>604</v>
      </c>
      <c r="E3328" s="34" t="str">
        <f>IFERROR(VLOOKUP(tbLOG[[#This Row],[LOGIN]],tbMAPA[#All],2,0), "Não localizado")</f>
        <v>Renan Cazumba Tegani</v>
      </c>
      <c r="F3328" s="34" t="str">
        <f>IFERROR(VLOOKUP(tbLOG[[#This Row],[LOGIN]],tbMAPA[#All],3,0), "Não localizado")</f>
        <v>Reginaldo Santana De Souza</v>
      </c>
      <c r="G3328" s="3" t="s">
        <v>1211</v>
      </c>
      <c r="H3328" s="3" t="s">
        <v>309</v>
      </c>
    </row>
    <row r="3329" spans="1:8">
      <c r="A3329" s="29">
        <v>42755.43173611111</v>
      </c>
      <c r="B3329" s="29" t="str">
        <f>PROPER(TEXT(tbLOG[[#This Row],[DATA/HORA]],"mmmm"))</f>
        <v>Janeiro</v>
      </c>
      <c r="C3329" s="34" t="str">
        <f>PROPER(TEXT(tbLOG[[#This Row],[DATA/HORA]],"dddd"))</f>
        <v>Sexta-Feira</v>
      </c>
      <c r="D3329" s="3" t="s">
        <v>604</v>
      </c>
      <c r="E3329" s="34" t="str">
        <f>IFERROR(VLOOKUP(tbLOG[[#This Row],[LOGIN]],tbMAPA[#All],2,0), "Não localizado")</f>
        <v>Renan Cazumba Tegani</v>
      </c>
      <c r="F3329" s="34" t="str">
        <f>IFERROR(VLOOKUP(tbLOG[[#This Row],[LOGIN]],tbMAPA[#All],3,0), "Não localizado")</f>
        <v>Reginaldo Santana De Souza</v>
      </c>
      <c r="G3329" s="3" t="s">
        <v>1211</v>
      </c>
      <c r="H3329" s="3" t="s">
        <v>314</v>
      </c>
    </row>
    <row r="3330" spans="1:8">
      <c r="A3330" s="29">
        <v>42755.436550925922</v>
      </c>
      <c r="B3330" s="29" t="str">
        <f>PROPER(TEXT(tbLOG[[#This Row],[DATA/HORA]],"mmmm"))</f>
        <v>Janeiro</v>
      </c>
      <c r="C3330" s="34" t="str">
        <f>PROPER(TEXT(tbLOG[[#This Row],[DATA/HORA]],"dddd"))</f>
        <v>Sexta-Feira</v>
      </c>
      <c r="D3330" s="3" t="s">
        <v>604</v>
      </c>
      <c r="E3330" s="34" t="str">
        <f>IFERROR(VLOOKUP(tbLOG[[#This Row],[LOGIN]],tbMAPA[#All],2,0), "Não localizado")</f>
        <v>Renan Cazumba Tegani</v>
      </c>
      <c r="F3330" s="34" t="str">
        <f>IFERROR(VLOOKUP(tbLOG[[#This Row],[LOGIN]],tbMAPA[#All],3,0), "Não localizado")</f>
        <v>Reginaldo Santana De Souza</v>
      </c>
      <c r="G3330" s="3" t="s">
        <v>1211</v>
      </c>
      <c r="H3330" s="3" t="s">
        <v>836</v>
      </c>
    </row>
    <row r="3331" spans="1:8">
      <c r="A3331" s="29">
        <v>42755.436574074076</v>
      </c>
      <c r="B3331" s="29" t="str">
        <f>PROPER(TEXT(tbLOG[[#This Row],[DATA/HORA]],"mmmm"))</f>
        <v>Janeiro</v>
      </c>
      <c r="C3331" s="34" t="str">
        <f>PROPER(TEXT(tbLOG[[#This Row],[DATA/HORA]],"dddd"))</f>
        <v>Sexta-Feira</v>
      </c>
      <c r="D3331" s="3" t="s">
        <v>604</v>
      </c>
      <c r="E3331" s="34" t="str">
        <f>IFERROR(VLOOKUP(tbLOG[[#This Row],[LOGIN]],tbMAPA[#All],2,0), "Não localizado")</f>
        <v>Renan Cazumba Tegani</v>
      </c>
      <c r="F3331" s="34" t="str">
        <f>IFERROR(VLOOKUP(tbLOG[[#This Row],[LOGIN]],tbMAPA[#All],3,0), "Não localizado")</f>
        <v>Reginaldo Santana De Souza</v>
      </c>
      <c r="G3331" s="3" t="s">
        <v>1211</v>
      </c>
      <c r="H3331" s="3" t="s">
        <v>836</v>
      </c>
    </row>
    <row r="3332" spans="1:8">
      <c r="A3332" s="29">
        <v>42755.436643518522</v>
      </c>
      <c r="B3332" s="29" t="str">
        <f>PROPER(TEXT(tbLOG[[#This Row],[DATA/HORA]],"mmmm"))</f>
        <v>Janeiro</v>
      </c>
      <c r="C3332" s="34" t="str">
        <f>PROPER(TEXT(tbLOG[[#This Row],[DATA/HORA]],"dddd"))</f>
        <v>Sexta-Feira</v>
      </c>
      <c r="D3332" s="3" t="s">
        <v>604</v>
      </c>
      <c r="E3332" s="34" t="str">
        <f>IFERROR(VLOOKUP(tbLOG[[#This Row],[LOGIN]],tbMAPA[#All],2,0), "Não localizado")</f>
        <v>Renan Cazumba Tegani</v>
      </c>
      <c r="F3332" s="34" t="str">
        <f>IFERROR(VLOOKUP(tbLOG[[#This Row],[LOGIN]],tbMAPA[#All],3,0), "Não localizado")</f>
        <v>Reginaldo Santana De Souza</v>
      </c>
      <c r="G3332" s="3" t="s">
        <v>1211</v>
      </c>
      <c r="H3332" s="3" t="s">
        <v>836</v>
      </c>
    </row>
    <row r="3333" spans="1:8">
      <c r="A3333" s="29">
        <v>42755.439282407409</v>
      </c>
      <c r="B3333" s="29" t="str">
        <f>PROPER(TEXT(tbLOG[[#This Row],[DATA/HORA]],"mmmm"))</f>
        <v>Janeiro</v>
      </c>
      <c r="C3333" s="34" t="str">
        <f>PROPER(TEXT(tbLOG[[#This Row],[DATA/HORA]],"dddd"))</f>
        <v>Sexta-Feira</v>
      </c>
      <c r="D3333" s="3" t="s">
        <v>604</v>
      </c>
      <c r="E3333" s="34" t="str">
        <f>IFERROR(VLOOKUP(tbLOG[[#This Row],[LOGIN]],tbMAPA[#All],2,0), "Não localizado")</f>
        <v>Renan Cazumba Tegani</v>
      </c>
      <c r="F3333" s="34" t="str">
        <f>IFERROR(VLOOKUP(tbLOG[[#This Row],[LOGIN]],tbMAPA[#All],3,0), "Não localizado")</f>
        <v>Reginaldo Santana De Souza</v>
      </c>
      <c r="G3333" s="3" t="s">
        <v>1211</v>
      </c>
      <c r="H3333" s="3" t="s">
        <v>836</v>
      </c>
    </row>
    <row r="3334" spans="1:8">
      <c r="A3334" s="29">
        <v>42755.439363425925</v>
      </c>
      <c r="B3334" s="29" t="str">
        <f>PROPER(TEXT(tbLOG[[#This Row],[DATA/HORA]],"mmmm"))</f>
        <v>Janeiro</v>
      </c>
      <c r="C3334" s="34" t="str">
        <f>PROPER(TEXT(tbLOG[[#This Row],[DATA/HORA]],"dddd"))</f>
        <v>Sexta-Feira</v>
      </c>
      <c r="D3334" s="3" t="s">
        <v>604</v>
      </c>
      <c r="E3334" s="34" t="str">
        <f>IFERROR(VLOOKUP(tbLOG[[#This Row],[LOGIN]],tbMAPA[#All],2,0), "Não localizado")</f>
        <v>Renan Cazumba Tegani</v>
      </c>
      <c r="F3334" s="34" t="str">
        <f>IFERROR(VLOOKUP(tbLOG[[#This Row],[LOGIN]],tbMAPA[#All],3,0), "Não localizado")</f>
        <v>Reginaldo Santana De Souza</v>
      </c>
      <c r="G3334" s="3" t="s">
        <v>1211</v>
      </c>
      <c r="H3334" s="3" t="s">
        <v>836</v>
      </c>
    </row>
    <row r="3335" spans="1:8">
      <c r="A3335" s="29">
        <v>42755.439386574071</v>
      </c>
      <c r="B3335" s="29" t="str">
        <f>PROPER(TEXT(tbLOG[[#This Row],[DATA/HORA]],"mmmm"))</f>
        <v>Janeiro</v>
      </c>
      <c r="C3335" s="34" t="str">
        <f>PROPER(TEXT(tbLOG[[#This Row],[DATA/HORA]],"dddd"))</f>
        <v>Sexta-Feira</v>
      </c>
      <c r="D3335" s="3" t="s">
        <v>604</v>
      </c>
      <c r="E3335" s="34" t="str">
        <f>IFERROR(VLOOKUP(tbLOG[[#This Row],[LOGIN]],tbMAPA[#All],2,0), "Não localizado")</f>
        <v>Renan Cazumba Tegani</v>
      </c>
      <c r="F3335" s="34" t="str">
        <f>IFERROR(VLOOKUP(tbLOG[[#This Row],[LOGIN]],tbMAPA[#All],3,0), "Não localizado")</f>
        <v>Reginaldo Santana De Souza</v>
      </c>
      <c r="G3335" s="3" t="s">
        <v>1211</v>
      </c>
      <c r="H3335" s="3" t="s">
        <v>836</v>
      </c>
    </row>
    <row r="3336" spans="1:8">
      <c r="A3336" s="29">
        <v>42755.445636574077</v>
      </c>
      <c r="B3336" s="29" t="str">
        <f>PROPER(TEXT(tbLOG[[#This Row],[DATA/HORA]],"mmmm"))</f>
        <v>Janeiro</v>
      </c>
      <c r="C3336" s="34" t="str">
        <f>PROPER(TEXT(tbLOG[[#This Row],[DATA/HORA]],"dddd"))</f>
        <v>Sexta-Feira</v>
      </c>
      <c r="D3336" s="3" t="s">
        <v>604</v>
      </c>
      <c r="E3336" s="34" t="str">
        <f>IFERROR(VLOOKUP(tbLOG[[#This Row],[LOGIN]],tbMAPA[#All],2,0), "Não localizado")</f>
        <v>Renan Cazumba Tegani</v>
      </c>
      <c r="F3336" s="34" t="str">
        <f>IFERROR(VLOOKUP(tbLOG[[#This Row],[LOGIN]],tbMAPA[#All],3,0), "Não localizado")</f>
        <v>Reginaldo Santana De Souza</v>
      </c>
      <c r="G3336" s="3" t="s">
        <v>1211</v>
      </c>
      <c r="H3336" s="3" t="s">
        <v>836</v>
      </c>
    </row>
    <row r="3337" spans="1:8">
      <c r="A3337" s="29">
        <v>42755.445648148147</v>
      </c>
      <c r="B3337" s="29" t="str">
        <f>PROPER(TEXT(tbLOG[[#This Row],[DATA/HORA]],"mmmm"))</f>
        <v>Janeiro</v>
      </c>
      <c r="C3337" s="34" t="str">
        <f>PROPER(TEXT(tbLOG[[#This Row],[DATA/HORA]],"dddd"))</f>
        <v>Sexta-Feira</v>
      </c>
      <c r="D3337" s="3" t="s">
        <v>604</v>
      </c>
      <c r="E3337" s="34" t="str">
        <f>IFERROR(VLOOKUP(tbLOG[[#This Row],[LOGIN]],tbMAPA[#All],2,0), "Não localizado")</f>
        <v>Renan Cazumba Tegani</v>
      </c>
      <c r="F3337" s="34" t="str">
        <f>IFERROR(VLOOKUP(tbLOG[[#This Row],[LOGIN]],tbMAPA[#All],3,0), "Não localizado")</f>
        <v>Reginaldo Santana De Souza</v>
      </c>
      <c r="G3337" s="3" t="s">
        <v>1211</v>
      </c>
      <c r="H3337" s="3" t="s">
        <v>836</v>
      </c>
    </row>
    <row r="3338" spans="1:8">
      <c r="A3338" s="29">
        <v>42755.445729166669</v>
      </c>
      <c r="B3338" s="29" t="str">
        <f>PROPER(TEXT(tbLOG[[#This Row],[DATA/HORA]],"mmmm"))</f>
        <v>Janeiro</v>
      </c>
      <c r="C3338" s="34" t="str">
        <f>PROPER(TEXT(tbLOG[[#This Row],[DATA/HORA]],"dddd"))</f>
        <v>Sexta-Feira</v>
      </c>
      <c r="D3338" s="3" t="s">
        <v>604</v>
      </c>
      <c r="E3338" s="34" t="str">
        <f>IFERROR(VLOOKUP(tbLOG[[#This Row],[LOGIN]],tbMAPA[#All],2,0), "Não localizado")</f>
        <v>Renan Cazumba Tegani</v>
      </c>
      <c r="F3338" s="34" t="str">
        <f>IFERROR(VLOOKUP(tbLOG[[#This Row],[LOGIN]],tbMAPA[#All],3,0), "Não localizado")</f>
        <v>Reginaldo Santana De Souza</v>
      </c>
      <c r="G3338" s="3" t="s">
        <v>1211</v>
      </c>
      <c r="H3338" s="3" t="s">
        <v>836</v>
      </c>
    </row>
    <row r="3339" spans="1:8">
      <c r="A3339" s="29">
        <v>42755.447384259256</v>
      </c>
      <c r="B3339" s="29" t="str">
        <f>PROPER(TEXT(tbLOG[[#This Row],[DATA/HORA]],"mmmm"))</f>
        <v>Janeiro</v>
      </c>
      <c r="C3339" s="34" t="str">
        <f>PROPER(TEXT(tbLOG[[#This Row],[DATA/HORA]],"dddd"))</f>
        <v>Sexta-Feira</v>
      </c>
      <c r="D3339" s="3" t="s">
        <v>604</v>
      </c>
      <c r="E3339" s="34" t="str">
        <f>IFERROR(VLOOKUP(tbLOG[[#This Row],[LOGIN]],tbMAPA[#All],2,0), "Não localizado")</f>
        <v>Renan Cazumba Tegani</v>
      </c>
      <c r="F3339" s="34" t="str">
        <f>IFERROR(VLOOKUP(tbLOG[[#This Row],[LOGIN]],tbMAPA[#All],3,0), "Não localizado")</f>
        <v>Reginaldo Santana De Souza</v>
      </c>
      <c r="G3339" s="3" t="s">
        <v>1211</v>
      </c>
      <c r="H3339" s="3" t="s">
        <v>836</v>
      </c>
    </row>
    <row r="3340" spans="1:8">
      <c r="A3340" s="29">
        <v>42755.44740740741</v>
      </c>
      <c r="B3340" s="29" t="str">
        <f>PROPER(TEXT(tbLOG[[#This Row],[DATA/HORA]],"mmmm"))</f>
        <v>Janeiro</v>
      </c>
      <c r="C3340" s="34" t="str">
        <f>PROPER(TEXT(tbLOG[[#This Row],[DATA/HORA]],"dddd"))</f>
        <v>Sexta-Feira</v>
      </c>
      <c r="D3340" s="3" t="s">
        <v>604</v>
      </c>
      <c r="E3340" s="34" t="str">
        <f>IFERROR(VLOOKUP(tbLOG[[#This Row],[LOGIN]],tbMAPA[#All],2,0), "Não localizado")</f>
        <v>Renan Cazumba Tegani</v>
      </c>
      <c r="F3340" s="34" t="str">
        <f>IFERROR(VLOOKUP(tbLOG[[#This Row],[LOGIN]],tbMAPA[#All],3,0), "Não localizado")</f>
        <v>Reginaldo Santana De Souza</v>
      </c>
      <c r="G3340" s="3" t="s">
        <v>1211</v>
      </c>
      <c r="H3340" s="3" t="s">
        <v>836</v>
      </c>
    </row>
    <row r="3341" spans="1:8">
      <c r="A3341" s="29">
        <v>42755.447465277779</v>
      </c>
      <c r="B3341" s="29" t="str">
        <f>PROPER(TEXT(tbLOG[[#This Row],[DATA/HORA]],"mmmm"))</f>
        <v>Janeiro</v>
      </c>
      <c r="C3341" s="34" t="str">
        <f>PROPER(TEXT(tbLOG[[#This Row],[DATA/HORA]],"dddd"))</f>
        <v>Sexta-Feira</v>
      </c>
      <c r="D3341" s="3" t="s">
        <v>604</v>
      </c>
      <c r="E3341" s="34" t="str">
        <f>IFERROR(VLOOKUP(tbLOG[[#This Row],[LOGIN]],tbMAPA[#All],2,0), "Não localizado")</f>
        <v>Renan Cazumba Tegani</v>
      </c>
      <c r="F3341" s="34" t="str">
        <f>IFERROR(VLOOKUP(tbLOG[[#This Row],[LOGIN]],tbMAPA[#All],3,0), "Não localizado")</f>
        <v>Reginaldo Santana De Souza</v>
      </c>
      <c r="G3341" s="3" t="s">
        <v>1211</v>
      </c>
      <c r="H3341" s="3" t="s">
        <v>836</v>
      </c>
    </row>
    <row r="3342" spans="1:8">
      <c r="A3342" s="29">
        <v>42755.449120370373</v>
      </c>
      <c r="B3342" s="29" t="str">
        <f>PROPER(TEXT(tbLOG[[#This Row],[DATA/HORA]],"mmmm"))</f>
        <v>Janeiro</v>
      </c>
      <c r="C3342" s="34" t="str">
        <f>PROPER(TEXT(tbLOG[[#This Row],[DATA/HORA]],"dddd"))</f>
        <v>Sexta-Feira</v>
      </c>
      <c r="D3342" s="3" t="s">
        <v>604</v>
      </c>
      <c r="E3342" s="34" t="str">
        <f>IFERROR(VLOOKUP(tbLOG[[#This Row],[LOGIN]],tbMAPA[#All],2,0), "Não localizado")</f>
        <v>Renan Cazumba Tegani</v>
      </c>
      <c r="F3342" s="34" t="str">
        <f>IFERROR(VLOOKUP(tbLOG[[#This Row],[LOGIN]],tbMAPA[#All],3,0), "Não localizado")</f>
        <v>Reginaldo Santana De Souza</v>
      </c>
      <c r="G3342" s="3" t="s">
        <v>1211</v>
      </c>
      <c r="H3342" s="3" t="s">
        <v>836</v>
      </c>
    </row>
    <row r="3343" spans="1:8">
      <c r="A3343" s="29">
        <v>42755.449131944442</v>
      </c>
      <c r="B3343" s="29" t="str">
        <f>PROPER(TEXT(tbLOG[[#This Row],[DATA/HORA]],"mmmm"))</f>
        <v>Janeiro</v>
      </c>
      <c r="C3343" s="34" t="str">
        <f>PROPER(TEXT(tbLOG[[#This Row],[DATA/HORA]],"dddd"))</f>
        <v>Sexta-Feira</v>
      </c>
      <c r="D3343" s="3" t="s">
        <v>604</v>
      </c>
      <c r="E3343" s="34" t="str">
        <f>IFERROR(VLOOKUP(tbLOG[[#This Row],[LOGIN]],tbMAPA[#All],2,0), "Não localizado")</f>
        <v>Renan Cazumba Tegani</v>
      </c>
      <c r="F3343" s="34" t="str">
        <f>IFERROR(VLOOKUP(tbLOG[[#This Row],[LOGIN]],tbMAPA[#All],3,0), "Não localizado")</f>
        <v>Reginaldo Santana De Souza</v>
      </c>
      <c r="G3343" s="3" t="s">
        <v>1211</v>
      </c>
      <c r="H3343" s="3" t="s">
        <v>836</v>
      </c>
    </row>
    <row r="3344" spans="1:8">
      <c r="A3344" s="29">
        <v>42755.451354166667</v>
      </c>
      <c r="B3344" s="29" t="str">
        <f>PROPER(TEXT(tbLOG[[#This Row],[DATA/HORA]],"mmmm"))</f>
        <v>Janeiro</v>
      </c>
      <c r="C3344" s="34" t="str">
        <f>PROPER(TEXT(tbLOG[[#This Row],[DATA/HORA]],"dddd"))</f>
        <v>Sexta-Feira</v>
      </c>
      <c r="D3344" s="3" t="s">
        <v>604</v>
      </c>
      <c r="E3344" s="34" t="str">
        <f>IFERROR(VLOOKUP(tbLOG[[#This Row],[LOGIN]],tbMAPA[#All],2,0), "Não localizado")</f>
        <v>Renan Cazumba Tegani</v>
      </c>
      <c r="F3344" s="34" t="str">
        <f>IFERROR(VLOOKUP(tbLOG[[#This Row],[LOGIN]],tbMAPA[#All],3,0), "Não localizado")</f>
        <v>Reginaldo Santana De Souza</v>
      </c>
      <c r="G3344" s="3" t="s">
        <v>1211</v>
      </c>
      <c r="H3344" s="3" t="s">
        <v>836</v>
      </c>
    </row>
    <row r="3345" spans="1:8">
      <c r="A3345" s="29">
        <v>42755.457638888889</v>
      </c>
      <c r="B3345" s="29" t="str">
        <f>PROPER(TEXT(tbLOG[[#This Row],[DATA/HORA]],"mmmm"))</f>
        <v>Janeiro</v>
      </c>
      <c r="C3345" s="34" t="str">
        <f>PROPER(TEXT(tbLOG[[#This Row],[DATA/HORA]],"dddd"))</f>
        <v>Sexta-Feira</v>
      </c>
      <c r="D3345" s="3" t="s">
        <v>604</v>
      </c>
      <c r="E3345" s="34" t="str">
        <f>IFERROR(VLOOKUP(tbLOG[[#This Row],[LOGIN]],tbMAPA[#All],2,0), "Não localizado")</f>
        <v>Renan Cazumba Tegani</v>
      </c>
      <c r="F3345" s="34" t="str">
        <f>IFERROR(VLOOKUP(tbLOG[[#This Row],[LOGIN]],tbMAPA[#All],3,0), "Não localizado")</f>
        <v>Reginaldo Santana De Souza</v>
      </c>
      <c r="G3345" s="3" t="s">
        <v>1211</v>
      </c>
      <c r="H3345" s="3" t="s">
        <v>836</v>
      </c>
    </row>
    <row r="3346" spans="1:8">
      <c r="A3346" s="29">
        <v>42755.457708333335</v>
      </c>
      <c r="B3346" s="29" t="str">
        <f>PROPER(TEXT(tbLOG[[#This Row],[DATA/HORA]],"mmmm"))</f>
        <v>Janeiro</v>
      </c>
      <c r="C3346" s="34" t="str">
        <f>PROPER(TEXT(tbLOG[[#This Row],[DATA/HORA]],"dddd"))</f>
        <v>Sexta-Feira</v>
      </c>
      <c r="D3346" s="3" t="s">
        <v>604</v>
      </c>
      <c r="E3346" s="34" t="str">
        <f>IFERROR(VLOOKUP(tbLOG[[#This Row],[LOGIN]],tbMAPA[#All],2,0), "Não localizado")</f>
        <v>Renan Cazumba Tegani</v>
      </c>
      <c r="F3346" s="34" t="str">
        <f>IFERROR(VLOOKUP(tbLOG[[#This Row],[LOGIN]],tbMAPA[#All],3,0), "Não localizado")</f>
        <v>Reginaldo Santana De Souza</v>
      </c>
      <c r="G3346" s="3" t="s">
        <v>1211</v>
      </c>
      <c r="H3346" s="3" t="s">
        <v>836</v>
      </c>
    </row>
    <row r="3347" spans="1:8">
      <c r="A3347" s="29">
        <v>42755.457719907405</v>
      </c>
      <c r="B3347" s="29" t="str">
        <f>PROPER(TEXT(tbLOG[[#This Row],[DATA/HORA]],"mmmm"))</f>
        <v>Janeiro</v>
      </c>
      <c r="C3347" s="34" t="str">
        <f>PROPER(TEXT(tbLOG[[#This Row],[DATA/HORA]],"dddd"))</f>
        <v>Sexta-Feira</v>
      </c>
      <c r="D3347" s="3" t="s">
        <v>604</v>
      </c>
      <c r="E3347" s="34" t="str">
        <f>IFERROR(VLOOKUP(tbLOG[[#This Row],[LOGIN]],tbMAPA[#All],2,0), "Não localizado")</f>
        <v>Renan Cazumba Tegani</v>
      </c>
      <c r="F3347" s="34" t="str">
        <f>IFERROR(VLOOKUP(tbLOG[[#This Row],[LOGIN]],tbMAPA[#All],3,0), "Não localizado")</f>
        <v>Reginaldo Santana De Souza</v>
      </c>
      <c r="G3347" s="3" t="s">
        <v>1211</v>
      </c>
      <c r="H3347" s="3" t="s">
        <v>836</v>
      </c>
    </row>
    <row r="3348" spans="1:8">
      <c r="A3348" s="29">
        <v>42755.457812499997</v>
      </c>
      <c r="B3348" s="29" t="str">
        <f>PROPER(TEXT(tbLOG[[#This Row],[DATA/HORA]],"mmmm"))</f>
        <v>Janeiro</v>
      </c>
      <c r="C3348" s="34" t="str">
        <f>PROPER(TEXT(tbLOG[[#This Row],[DATA/HORA]],"dddd"))</f>
        <v>Sexta-Feira</v>
      </c>
      <c r="D3348" s="3" t="s">
        <v>604</v>
      </c>
      <c r="E3348" s="34" t="str">
        <f>IFERROR(VLOOKUP(tbLOG[[#This Row],[LOGIN]],tbMAPA[#All],2,0), "Não localizado")</f>
        <v>Renan Cazumba Tegani</v>
      </c>
      <c r="F3348" s="34" t="str">
        <f>IFERROR(VLOOKUP(tbLOG[[#This Row],[LOGIN]],tbMAPA[#All],3,0), "Não localizado")</f>
        <v>Reginaldo Santana De Souza</v>
      </c>
      <c r="G3348" s="3" t="s">
        <v>1211</v>
      </c>
      <c r="H3348" s="3" t="s">
        <v>836</v>
      </c>
    </row>
    <row r="3349" spans="1:8">
      <c r="A3349" s="29">
        <v>42755.460011574076</v>
      </c>
      <c r="B3349" s="29" t="str">
        <f>PROPER(TEXT(tbLOG[[#This Row],[DATA/HORA]],"mmmm"))</f>
        <v>Janeiro</v>
      </c>
      <c r="C3349" s="34" t="str">
        <f>PROPER(TEXT(tbLOG[[#This Row],[DATA/HORA]],"dddd"))</f>
        <v>Sexta-Feira</v>
      </c>
      <c r="D3349" s="3" t="s">
        <v>604</v>
      </c>
      <c r="E3349" s="34" t="str">
        <f>IFERROR(VLOOKUP(tbLOG[[#This Row],[LOGIN]],tbMAPA[#All],2,0), "Não localizado")</f>
        <v>Renan Cazumba Tegani</v>
      </c>
      <c r="F3349" s="34" t="str">
        <f>IFERROR(VLOOKUP(tbLOG[[#This Row],[LOGIN]],tbMAPA[#All],3,0), "Não localizado")</f>
        <v>Reginaldo Santana De Souza</v>
      </c>
      <c r="G3349" s="3" t="s">
        <v>1211</v>
      </c>
      <c r="H3349" s="3" t="s">
        <v>836</v>
      </c>
    </row>
    <row r="3350" spans="1:8">
      <c r="A3350" s="29">
        <v>42755.460057870368</v>
      </c>
      <c r="B3350" s="29" t="str">
        <f>PROPER(TEXT(tbLOG[[#This Row],[DATA/HORA]],"mmmm"))</f>
        <v>Janeiro</v>
      </c>
      <c r="C3350" s="34" t="str">
        <f>PROPER(TEXT(tbLOG[[#This Row],[DATA/HORA]],"dddd"))</f>
        <v>Sexta-Feira</v>
      </c>
      <c r="D3350" s="3" t="s">
        <v>604</v>
      </c>
      <c r="E3350" s="34" t="str">
        <f>IFERROR(VLOOKUP(tbLOG[[#This Row],[LOGIN]],tbMAPA[#All],2,0), "Não localizado")</f>
        <v>Renan Cazumba Tegani</v>
      </c>
      <c r="F3350" s="34" t="str">
        <f>IFERROR(VLOOKUP(tbLOG[[#This Row],[LOGIN]],tbMAPA[#All],3,0), "Não localizado")</f>
        <v>Reginaldo Santana De Souza</v>
      </c>
      <c r="G3350" s="3" t="s">
        <v>1211</v>
      </c>
      <c r="H3350" s="3" t="s">
        <v>836</v>
      </c>
    </row>
    <row r="3351" spans="1:8">
      <c r="A3351" s="29">
        <v>42755.460127314815</v>
      </c>
      <c r="B3351" s="29" t="str">
        <f>PROPER(TEXT(tbLOG[[#This Row],[DATA/HORA]],"mmmm"))</f>
        <v>Janeiro</v>
      </c>
      <c r="C3351" s="34" t="str">
        <f>PROPER(TEXT(tbLOG[[#This Row],[DATA/HORA]],"dddd"))</f>
        <v>Sexta-Feira</v>
      </c>
      <c r="D3351" s="3" t="s">
        <v>604</v>
      </c>
      <c r="E3351" s="34" t="str">
        <f>IFERROR(VLOOKUP(tbLOG[[#This Row],[LOGIN]],tbMAPA[#All],2,0), "Não localizado")</f>
        <v>Renan Cazumba Tegani</v>
      </c>
      <c r="F3351" s="34" t="str">
        <f>IFERROR(VLOOKUP(tbLOG[[#This Row],[LOGIN]],tbMAPA[#All],3,0), "Não localizado")</f>
        <v>Reginaldo Santana De Souza</v>
      </c>
      <c r="G3351" s="3" t="s">
        <v>1211</v>
      </c>
      <c r="H3351" s="3" t="s">
        <v>836</v>
      </c>
    </row>
    <row r="3352" spans="1:8">
      <c r="A3352" s="29">
        <v>42755.462060185186</v>
      </c>
      <c r="B3352" s="29" t="str">
        <f>PROPER(TEXT(tbLOG[[#This Row],[DATA/HORA]],"mmmm"))</f>
        <v>Janeiro</v>
      </c>
      <c r="C3352" s="34" t="str">
        <f>PROPER(TEXT(tbLOG[[#This Row],[DATA/HORA]],"dddd"))</f>
        <v>Sexta-Feira</v>
      </c>
      <c r="D3352" s="3" t="s">
        <v>604</v>
      </c>
      <c r="E3352" s="34" t="str">
        <f>IFERROR(VLOOKUP(tbLOG[[#This Row],[LOGIN]],tbMAPA[#All],2,0), "Não localizado")</f>
        <v>Renan Cazumba Tegani</v>
      </c>
      <c r="F3352" s="34" t="str">
        <f>IFERROR(VLOOKUP(tbLOG[[#This Row],[LOGIN]],tbMAPA[#All],3,0), "Não localizado")</f>
        <v>Reginaldo Santana De Souza</v>
      </c>
      <c r="G3352" s="3" t="s">
        <v>1211</v>
      </c>
      <c r="H3352" s="3" t="s">
        <v>836</v>
      </c>
    </row>
    <row r="3353" spans="1:8">
      <c r="A3353" s="29">
        <v>42755.46806712963</v>
      </c>
      <c r="B3353" s="29" t="str">
        <f>PROPER(TEXT(tbLOG[[#This Row],[DATA/HORA]],"mmmm"))</f>
        <v>Janeiro</v>
      </c>
      <c r="C3353" s="34" t="str">
        <f>PROPER(TEXT(tbLOG[[#This Row],[DATA/HORA]],"dddd"))</f>
        <v>Sexta-Feira</v>
      </c>
      <c r="D3353" s="3" t="s">
        <v>604</v>
      </c>
      <c r="E3353" s="34" t="str">
        <f>IFERROR(VLOOKUP(tbLOG[[#This Row],[LOGIN]],tbMAPA[#All],2,0), "Não localizado")</f>
        <v>Renan Cazumba Tegani</v>
      </c>
      <c r="F3353" s="34" t="str">
        <f>IFERROR(VLOOKUP(tbLOG[[#This Row],[LOGIN]],tbMAPA[#All],3,0), "Não localizado")</f>
        <v>Reginaldo Santana De Souza</v>
      </c>
      <c r="G3353" s="3" t="s">
        <v>1211</v>
      </c>
      <c r="H3353" s="3" t="s">
        <v>836</v>
      </c>
    </row>
    <row r="3354" spans="1:8">
      <c r="A3354" s="29">
        <v>42755.468078703707</v>
      </c>
      <c r="B3354" s="29" t="str">
        <f>PROPER(TEXT(tbLOG[[#This Row],[DATA/HORA]],"mmmm"))</f>
        <v>Janeiro</v>
      </c>
      <c r="C3354" s="34" t="str">
        <f>PROPER(TEXT(tbLOG[[#This Row],[DATA/HORA]],"dddd"))</f>
        <v>Sexta-Feira</v>
      </c>
      <c r="D3354" s="3" t="s">
        <v>604</v>
      </c>
      <c r="E3354" s="34" t="str">
        <f>IFERROR(VLOOKUP(tbLOG[[#This Row],[LOGIN]],tbMAPA[#All],2,0), "Não localizado")</f>
        <v>Renan Cazumba Tegani</v>
      </c>
      <c r="F3354" s="34" t="str">
        <f>IFERROR(VLOOKUP(tbLOG[[#This Row],[LOGIN]],tbMAPA[#All],3,0), "Não localizado")</f>
        <v>Reginaldo Santana De Souza</v>
      </c>
      <c r="G3354" s="3" t="s">
        <v>1211</v>
      </c>
      <c r="H3354" s="3" t="s">
        <v>836</v>
      </c>
    </row>
    <row r="3355" spans="1:8">
      <c r="A3355" s="29">
        <v>42755.468124999999</v>
      </c>
      <c r="B3355" s="29" t="str">
        <f>PROPER(TEXT(tbLOG[[#This Row],[DATA/HORA]],"mmmm"))</f>
        <v>Janeiro</v>
      </c>
      <c r="C3355" s="34" t="str">
        <f>PROPER(TEXT(tbLOG[[#This Row],[DATA/HORA]],"dddd"))</f>
        <v>Sexta-Feira</v>
      </c>
      <c r="D3355" s="3" t="s">
        <v>604</v>
      </c>
      <c r="E3355" s="34" t="str">
        <f>IFERROR(VLOOKUP(tbLOG[[#This Row],[LOGIN]],tbMAPA[#All],2,0), "Não localizado")</f>
        <v>Renan Cazumba Tegani</v>
      </c>
      <c r="F3355" s="34" t="str">
        <f>IFERROR(VLOOKUP(tbLOG[[#This Row],[LOGIN]],tbMAPA[#All],3,0), "Não localizado")</f>
        <v>Reginaldo Santana De Souza</v>
      </c>
      <c r="G3355" s="3" t="s">
        <v>1211</v>
      </c>
      <c r="H3355" s="3" t="s">
        <v>836</v>
      </c>
    </row>
    <row r="3356" spans="1:8">
      <c r="A3356" s="29">
        <v>42755.471122685187</v>
      </c>
      <c r="B3356" s="29" t="str">
        <f>PROPER(TEXT(tbLOG[[#This Row],[DATA/HORA]],"mmmm"))</f>
        <v>Janeiro</v>
      </c>
      <c r="C3356" s="34" t="str">
        <f>PROPER(TEXT(tbLOG[[#This Row],[DATA/HORA]],"dddd"))</f>
        <v>Sexta-Feira</v>
      </c>
      <c r="D3356" s="3" t="s">
        <v>604</v>
      </c>
      <c r="E3356" s="34" t="str">
        <f>IFERROR(VLOOKUP(tbLOG[[#This Row],[LOGIN]],tbMAPA[#All],2,0), "Não localizado")</f>
        <v>Renan Cazumba Tegani</v>
      </c>
      <c r="F3356" s="34" t="str">
        <f>IFERROR(VLOOKUP(tbLOG[[#This Row],[LOGIN]],tbMAPA[#All],3,0), "Não localizado")</f>
        <v>Reginaldo Santana De Souza</v>
      </c>
      <c r="G3356" s="3" t="s">
        <v>1211</v>
      </c>
      <c r="H3356" s="3" t="s">
        <v>836</v>
      </c>
    </row>
    <row r="3357" spans="1:8">
      <c r="A3357" s="29">
        <v>42755.471134259256</v>
      </c>
      <c r="B3357" s="29" t="str">
        <f>PROPER(TEXT(tbLOG[[#This Row],[DATA/HORA]],"mmmm"))</f>
        <v>Janeiro</v>
      </c>
      <c r="C3357" s="34" t="str">
        <f>PROPER(TEXT(tbLOG[[#This Row],[DATA/HORA]],"dddd"))</f>
        <v>Sexta-Feira</v>
      </c>
      <c r="D3357" s="3" t="s">
        <v>604</v>
      </c>
      <c r="E3357" s="34" t="str">
        <f>IFERROR(VLOOKUP(tbLOG[[#This Row],[LOGIN]],tbMAPA[#All],2,0), "Não localizado")</f>
        <v>Renan Cazumba Tegani</v>
      </c>
      <c r="F3357" s="34" t="str">
        <f>IFERROR(VLOOKUP(tbLOG[[#This Row],[LOGIN]],tbMAPA[#All],3,0), "Não localizado")</f>
        <v>Reginaldo Santana De Souza</v>
      </c>
      <c r="G3357" s="3" t="s">
        <v>1211</v>
      </c>
      <c r="H3357" s="3" t="s">
        <v>836</v>
      </c>
    </row>
    <row r="3358" spans="1:8">
      <c r="A3358" s="29">
        <v>42755.471828703703</v>
      </c>
      <c r="B3358" s="29" t="str">
        <f>PROPER(TEXT(tbLOG[[#This Row],[DATA/HORA]],"mmmm"))</f>
        <v>Janeiro</v>
      </c>
      <c r="C3358" s="34" t="str">
        <f>PROPER(TEXT(tbLOG[[#This Row],[DATA/HORA]],"dddd"))</f>
        <v>Sexta-Feira</v>
      </c>
      <c r="D3358" s="3" t="s">
        <v>604</v>
      </c>
      <c r="E3358" s="34" t="str">
        <f>IFERROR(VLOOKUP(tbLOG[[#This Row],[LOGIN]],tbMAPA[#All],2,0), "Não localizado")</f>
        <v>Renan Cazumba Tegani</v>
      </c>
      <c r="F3358" s="34" t="str">
        <f>IFERROR(VLOOKUP(tbLOG[[#This Row],[LOGIN]],tbMAPA[#All],3,0), "Não localizado")</f>
        <v>Reginaldo Santana De Souza</v>
      </c>
      <c r="G3358" s="3" t="s">
        <v>1211</v>
      </c>
      <c r="H3358" s="3" t="s">
        <v>836</v>
      </c>
    </row>
    <row r="3359" spans="1:8">
      <c r="A3359" s="29">
        <v>42755.478206018517</v>
      </c>
      <c r="B3359" s="29" t="str">
        <f>PROPER(TEXT(tbLOG[[#This Row],[DATA/HORA]],"mmmm"))</f>
        <v>Janeiro</v>
      </c>
      <c r="C3359" s="34" t="str">
        <f>PROPER(TEXT(tbLOG[[#This Row],[DATA/HORA]],"dddd"))</f>
        <v>Sexta-Feira</v>
      </c>
      <c r="D3359" s="3" t="s">
        <v>604</v>
      </c>
      <c r="E3359" s="34" t="str">
        <f>IFERROR(VLOOKUP(tbLOG[[#This Row],[LOGIN]],tbMAPA[#All],2,0), "Não localizado")</f>
        <v>Renan Cazumba Tegani</v>
      </c>
      <c r="F3359" s="34" t="str">
        <f>IFERROR(VLOOKUP(tbLOG[[#This Row],[LOGIN]],tbMAPA[#All],3,0), "Não localizado")</f>
        <v>Reginaldo Santana De Souza</v>
      </c>
      <c r="G3359" s="3" t="s">
        <v>1211</v>
      </c>
      <c r="H3359" s="3" t="s">
        <v>836</v>
      </c>
    </row>
    <row r="3360" spans="1:8">
      <c r="A3360" s="29">
        <v>42755.47824074074</v>
      </c>
      <c r="B3360" s="29" t="str">
        <f>PROPER(TEXT(tbLOG[[#This Row],[DATA/HORA]],"mmmm"))</f>
        <v>Janeiro</v>
      </c>
      <c r="C3360" s="34" t="str">
        <f>PROPER(TEXT(tbLOG[[#This Row],[DATA/HORA]],"dddd"))</f>
        <v>Sexta-Feira</v>
      </c>
      <c r="D3360" s="3" t="s">
        <v>604</v>
      </c>
      <c r="E3360" s="34" t="str">
        <f>IFERROR(VLOOKUP(tbLOG[[#This Row],[LOGIN]],tbMAPA[#All],2,0), "Não localizado")</f>
        <v>Renan Cazumba Tegani</v>
      </c>
      <c r="F3360" s="34" t="str">
        <f>IFERROR(VLOOKUP(tbLOG[[#This Row],[LOGIN]],tbMAPA[#All],3,0), "Não localizado")</f>
        <v>Reginaldo Santana De Souza</v>
      </c>
      <c r="G3360" s="3" t="s">
        <v>1211</v>
      </c>
      <c r="H3360" s="3" t="s">
        <v>836</v>
      </c>
    </row>
    <row r="3361" spans="1:8">
      <c r="A3361" s="29">
        <v>42755.478541666664</v>
      </c>
      <c r="B3361" s="29" t="str">
        <f>PROPER(TEXT(tbLOG[[#This Row],[DATA/HORA]],"mmmm"))</f>
        <v>Janeiro</v>
      </c>
      <c r="C3361" s="34" t="str">
        <f>PROPER(TEXT(tbLOG[[#This Row],[DATA/HORA]],"dddd"))</f>
        <v>Sexta-Feira</v>
      </c>
      <c r="D3361" s="3" t="s">
        <v>604</v>
      </c>
      <c r="E3361" s="34" t="str">
        <f>IFERROR(VLOOKUP(tbLOG[[#This Row],[LOGIN]],tbMAPA[#All],2,0), "Não localizado")</f>
        <v>Renan Cazumba Tegani</v>
      </c>
      <c r="F3361" s="34" t="str">
        <f>IFERROR(VLOOKUP(tbLOG[[#This Row],[LOGIN]],tbMAPA[#All],3,0), "Não localizado")</f>
        <v>Reginaldo Santana De Souza</v>
      </c>
      <c r="G3361" s="3" t="s">
        <v>1211</v>
      </c>
      <c r="H3361" s="3" t="s">
        <v>836</v>
      </c>
    </row>
    <row r="3362" spans="1:8">
      <c r="A3362" s="29">
        <v>42755.479699074072</v>
      </c>
      <c r="B3362" s="29" t="str">
        <f>PROPER(TEXT(tbLOG[[#This Row],[DATA/HORA]],"mmmm"))</f>
        <v>Janeiro</v>
      </c>
      <c r="C3362" s="34" t="str">
        <f>PROPER(TEXT(tbLOG[[#This Row],[DATA/HORA]],"dddd"))</f>
        <v>Sexta-Feira</v>
      </c>
      <c r="D3362" s="3" t="s">
        <v>604</v>
      </c>
      <c r="E3362" s="34" t="str">
        <f>IFERROR(VLOOKUP(tbLOG[[#This Row],[LOGIN]],tbMAPA[#All],2,0), "Não localizado")</f>
        <v>Renan Cazumba Tegani</v>
      </c>
      <c r="F3362" s="34" t="str">
        <f>IFERROR(VLOOKUP(tbLOG[[#This Row],[LOGIN]],tbMAPA[#All],3,0), "Não localizado")</f>
        <v>Reginaldo Santana De Souza</v>
      </c>
      <c r="G3362" s="3" t="s">
        <v>1211</v>
      </c>
      <c r="H3362" s="3" t="s">
        <v>290</v>
      </c>
    </row>
    <row r="3363" spans="1:8">
      <c r="A3363" s="29">
        <v>42755.479768518519</v>
      </c>
      <c r="B3363" s="29" t="str">
        <f>PROPER(TEXT(tbLOG[[#This Row],[DATA/HORA]],"mmmm"))</f>
        <v>Janeiro</v>
      </c>
      <c r="C3363" s="34" t="str">
        <f>PROPER(TEXT(tbLOG[[#This Row],[DATA/HORA]],"dddd"))</f>
        <v>Sexta-Feira</v>
      </c>
      <c r="D3363" s="3" t="s">
        <v>604</v>
      </c>
      <c r="E3363" s="34" t="str">
        <f>IFERROR(VLOOKUP(tbLOG[[#This Row],[LOGIN]],tbMAPA[#All],2,0), "Não localizado")</f>
        <v>Renan Cazumba Tegani</v>
      </c>
      <c r="F3363" s="34" t="str">
        <f>IFERROR(VLOOKUP(tbLOG[[#This Row],[LOGIN]],tbMAPA[#All],3,0), "Não localizado")</f>
        <v>Reginaldo Santana De Souza</v>
      </c>
      <c r="G3363" s="3" t="s">
        <v>1211</v>
      </c>
      <c r="H3363" s="3" t="s">
        <v>836</v>
      </c>
    </row>
    <row r="3364" spans="1:8">
      <c r="A3364" s="29">
        <v>42755.480949074074</v>
      </c>
      <c r="B3364" s="29" t="str">
        <f>PROPER(TEXT(tbLOG[[#This Row],[DATA/HORA]],"mmmm"))</f>
        <v>Janeiro</v>
      </c>
      <c r="C3364" s="34" t="str">
        <f>PROPER(TEXT(tbLOG[[#This Row],[DATA/HORA]],"dddd"))</f>
        <v>Sexta-Feira</v>
      </c>
      <c r="D3364" s="3" t="s">
        <v>604</v>
      </c>
      <c r="E3364" s="34" t="str">
        <f>IFERROR(VLOOKUP(tbLOG[[#This Row],[LOGIN]],tbMAPA[#All],2,0), "Não localizado")</f>
        <v>Renan Cazumba Tegani</v>
      </c>
      <c r="F3364" s="34" t="str">
        <f>IFERROR(VLOOKUP(tbLOG[[#This Row],[LOGIN]],tbMAPA[#All],3,0), "Não localizado")</f>
        <v>Reginaldo Santana De Souza</v>
      </c>
      <c r="G3364" s="3" t="s">
        <v>1211</v>
      </c>
      <c r="H3364" s="3" t="s">
        <v>836</v>
      </c>
    </row>
    <row r="3365" spans="1:8">
      <c r="A3365" s="29">
        <v>42755.485115740739</v>
      </c>
      <c r="B3365" s="29" t="str">
        <f>PROPER(TEXT(tbLOG[[#This Row],[DATA/HORA]],"mmmm"))</f>
        <v>Janeiro</v>
      </c>
      <c r="C3365" s="34" t="str">
        <f>PROPER(TEXT(tbLOG[[#This Row],[DATA/HORA]],"dddd"))</f>
        <v>Sexta-Feira</v>
      </c>
      <c r="D3365" s="3" t="s">
        <v>604</v>
      </c>
      <c r="E3365" s="34" t="str">
        <f>IFERROR(VLOOKUP(tbLOG[[#This Row],[LOGIN]],tbMAPA[#All],2,0), "Não localizado")</f>
        <v>Renan Cazumba Tegani</v>
      </c>
      <c r="F3365" s="34" t="str">
        <f>IFERROR(VLOOKUP(tbLOG[[#This Row],[LOGIN]],tbMAPA[#All],3,0), "Não localizado")</f>
        <v>Reginaldo Santana De Souza</v>
      </c>
      <c r="G3365" s="3" t="s">
        <v>1211</v>
      </c>
      <c r="H3365" s="3" t="s">
        <v>836</v>
      </c>
    </row>
    <row r="3366" spans="1:8">
      <c r="A3366" s="29">
        <v>42755.485150462962</v>
      </c>
      <c r="B3366" s="29" t="str">
        <f>PROPER(TEXT(tbLOG[[#This Row],[DATA/HORA]],"mmmm"))</f>
        <v>Janeiro</v>
      </c>
      <c r="C3366" s="34" t="str">
        <f>PROPER(TEXT(tbLOG[[#This Row],[DATA/HORA]],"dddd"))</f>
        <v>Sexta-Feira</v>
      </c>
      <c r="D3366" s="3" t="s">
        <v>604</v>
      </c>
      <c r="E3366" s="34" t="str">
        <f>IFERROR(VLOOKUP(tbLOG[[#This Row],[LOGIN]],tbMAPA[#All],2,0), "Não localizado")</f>
        <v>Renan Cazumba Tegani</v>
      </c>
      <c r="F3366" s="34" t="str">
        <f>IFERROR(VLOOKUP(tbLOG[[#This Row],[LOGIN]],tbMAPA[#All],3,0), "Não localizado")</f>
        <v>Reginaldo Santana De Souza</v>
      </c>
      <c r="G3366" s="3" t="s">
        <v>1211</v>
      </c>
      <c r="H3366" s="3" t="s">
        <v>836</v>
      </c>
    </row>
    <row r="3367" spans="1:8">
      <c r="A3367" s="29">
        <v>42755.485254629632</v>
      </c>
      <c r="B3367" s="29" t="str">
        <f>PROPER(TEXT(tbLOG[[#This Row],[DATA/HORA]],"mmmm"))</f>
        <v>Janeiro</v>
      </c>
      <c r="C3367" s="34" t="str">
        <f>PROPER(TEXT(tbLOG[[#This Row],[DATA/HORA]],"dddd"))</f>
        <v>Sexta-Feira</v>
      </c>
      <c r="D3367" s="3" t="s">
        <v>604</v>
      </c>
      <c r="E3367" s="34" t="str">
        <f>IFERROR(VLOOKUP(tbLOG[[#This Row],[LOGIN]],tbMAPA[#All],2,0), "Não localizado")</f>
        <v>Renan Cazumba Tegani</v>
      </c>
      <c r="F3367" s="34" t="str">
        <f>IFERROR(VLOOKUP(tbLOG[[#This Row],[LOGIN]],tbMAPA[#All],3,0), "Não localizado")</f>
        <v>Reginaldo Santana De Souza</v>
      </c>
      <c r="G3367" s="3" t="s">
        <v>1211</v>
      </c>
      <c r="H3367" s="3" t="s">
        <v>836</v>
      </c>
    </row>
    <row r="3368" spans="1:8">
      <c r="A3368" s="29">
        <v>42755.485300925924</v>
      </c>
      <c r="B3368" s="29" t="str">
        <f>PROPER(TEXT(tbLOG[[#This Row],[DATA/HORA]],"mmmm"))</f>
        <v>Janeiro</v>
      </c>
      <c r="C3368" s="34" t="str">
        <f>PROPER(TEXT(tbLOG[[#This Row],[DATA/HORA]],"dddd"))</f>
        <v>Sexta-Feira</v>
      </c>
      <c r="D3368" s="3" t="s">
        <v>604</v>
      </c>
      <c r="E3368" s="34" t="str">
        <f>IFERROR(VLOOKUP(tbLOG[[#This Row],[LOGIN]],tbMAPA[#All],2,0), "Não localizado")</f>
        <v>Renan Cazumba Tegani</v>
      </c>
      <c r="F3368" s="34" t="str">
        <f>IFERROR(VLOOKUP(tbLOG[[#This Row],[LOGIN]],tbMAPA[#All],3,0), "Não localizado")</f>
        <v>Reginaldo Santana De Souza</v>
      </c>
      <c r="G3368" s="3" t="s">
        <v>1211</v>
      </c>
      <c r="H3368" s="3" t="s">
        <v>290</v>
      </c>
    </row>
    <row r="3369" spans="1:8">
      <c r="A3369" s="29">
        <v>42755.485960648148</v>
      </c>
      <c r="B3369" s="29" t="str">
        <f>PROPER(TEXT(tbLOG[[#This Row],[DATA/HORA]],"mmmm"))</f>
        <v>Janeiro</v>
      </c>
      <c r="C3369" s="34" t="str">
        <f>PROPER(TEXT(tbLOG[[#This Row],[DATA/HORA]],"dddd"))</f>
        <v>Sexta-Feira</v>
      </c>
      <c r="D3369" s="3" t="s">
        <v>604</v>
      </c>
      <c r="E3369" s="34" t="str">
        <f>IFERROR(VLOOKUP(tbLOG[[#This Row],[LOGIN]],tbMAPA[#All],2,0), "Não localizado")</f>
        <v>Renan Cazumba Tegani</v>
      </c>
      <c r="F3369" s="34" t="str">
        <f>IFERROR(VLOOKUP(tbLOG[[#This Row],[LOGIN]],tbMAPA[#All],3,0), "Não localizado")</f>
        <v>Reginaldo Santana De Souza</v>
      </c>
      <c r="G3369" s="3" t="s">
        <v>1211</v>
      </c>
      <c r="H3369" s="3" t="s">
        <v>290</v>
      </c>
    </row>
    <row r="3370" spans="1:8">
      <c r="A3370" s="29">
        <v>42755.486226851855</v>
      </c>
      <c r="B3370" s="29" t="str">
        <f>PROPER(TEXT(tbLOG[[#This Row],[DATA/HORA]],"mmmm"))</f>
        <v>Janeiro</v>
      </c>
      <c r="C3370" s="34" t="str">
        <f>PROPER(TEXT(tbLOG[[#This Row],[DATA/HORA]],"dddd"))</f>
        <v>Sexta-Feira</v>
      </c>
      <c r="D3370" s="3" t="s">
        <v>604</v>
      </c>
      <c r="E3370" s="34" t="str">
        <f>IFERROR(VLOOKUP(tbLOG[[#This Row],[LOGIN]],tbMAPA[#All],2,0), "Não localizado")</f>
        <v>Renan Cazumba Tegani</v>
      </c>
      <c r="F3370" s="34" t="str">
        <f>IFERROR(VLOOKUP(tbLOG[[#This Row],[LOGIN]],tbMAPA[#All],3,0), "Não localizado")</f>
        <v>Reginaldo Santana De Souza</v>
      </c>
      <c r="G3370" s="3" t="s">
        <v>1211</v>
      </c>
      <c r="H3370" s="3" t="s">
        <v>836</v>
      </c>
    </row>
    <row r="3371" spans="1:8">
      <c r="A3371" s="29">
        <v>42755.486296296294</v>
      </c>
      <c r="B3371" s="29" t="str">
        <f>PROPER(TEXT(tbLOG[[#This Row],[DATA/HORA]],"mmmm"))</f>
        <v>Janeiro</v>
      </c>
      <c r="C3371" s="34" t="str">
        <f>PROPER(TEXT(tbLOG[[#This Row],[DATA/HORA]],"dddd"))</f>
        <v>Sexta-Feira</v>
      </c>
      <c r="D3371" s="3" t="s">
        <v>604</v>
      </c>
      <c r="E3371" s="34" t="str">
        <f>IFERROR(VLOOKUP(tbLOG[[#This Row],[LOGIN]],tbMAPA[#All],2,0), "Não localizado")</f>
        <v>Renan Cazumba Tegani</v>
      </c>
      <c r="F3371" s="34" t="str">
        <f>IFERROR(VLOOKUP(tbLOG[[#This Row],[LOGIN]],tbMAPA[#All],3,0), "Não localizado")</f>
        <v>Reginaldo Santana De Souza</v>
      </c>
      <c r="G3371" s="3" t="s">
        <v>1211</v>
      </c>
      <c r="H3371" s="3" t="s">
        <v>836</v>
      </c>
    </row>
    <row r="3372" spans="1:8">
      <c r="A3372" s="29">
        <v>42755.496863425928</v>
      </c>
      <c r="B3372" s="29" t="str">
        <f>PROPER(TEXT(tbLOG[[#This Row],[DATA/HORA]],"mmmm"))</f>
        <v>Janeiro</v>
      </c>
      <c r="C3372" s="34" t="str">
        <f>PROPER(TEXT(tbLOG[[#This Row],[DATA/HORA]],"dddd"))</f>
        <v>Sexta-Feira</v>
      </c>
      <c r="D3372" s="3" t="s">
        <v>604</v>
      </c>
      <c r="E3372" s="34" t="str">
        <f>IFERROR(VLOOKUP(tbLOG[[#This Row],[LOGIN]],tbMAPA[#All],2,0), "Não localizado")</f>
        <v>Renan Cazumba Tegani</v>
      </c>
      <c r="F3372" s="34" t="str">
        <f>IFERROR(VLOOKUP(tbLOG[[#This Row],[LOGIN]],tbMAPA[#All],3,0), "Não localizado")</f>
        <v>Reginaldo Santana De Souza</v>
      </c>
      <c r="G3372" s="3" t="s">
        <v>1211</v>
      </c>
      <c r="H3372" s="3" t="s">
        <v>836</v>
      </c>
    </row>
    <row r="3373" spans="1:8">
      <c r="A3373" s="29">
        <v>42755.496898148151</v>
      </c>
      <c r="B3373" s="29" t="str">
        <f>PROPER(TEXT(tbLOG[[#This Row],[DATA/HORA]],"mmmm"))</f>
        <v>Janeiro</v>
      </c>
      <c r="C3373" s="34" t="str">
        <f>PROPER(TEXT(tbLOG[[#This Row],[DATA/HORA]],"dddd"))</f>
        <v>Sexta-Feira</v>
      </c>
      <c r="D3373" s="3" t="s">
        <v>604</v>
      </c>
      <c r="E3373" s="34" t="str">
        <f>IFERROR(VLOOKUP(tbLOG[[#This Row],[LOGIN]],tbMAPA[#All],2,0), "Não localizado")</f>
        <v>Renan Cazumba Tegani</v>
      </c>
      <c r="F3373" s="34" t="str">
        <f>IFERROR(VLOOKUP(tbLOG[[#This Row],[LOGIN]],tbMAPA[#All],3,0), "Não localizado")</f>
        <v>Reginaldo Santana De Souza</v>
      </c>
      <c r="G3373" s="3" t="s">
        <v>1211</v>
      </c>
      <c r="H3373" s="3" t="s">
        <v>836</v>
      </c>
    </row>
    <row r="3374" spans="1:8">
      <c r="A3374" s="29">
        <v>42755.497002314813</v>
      </c>
      <c r="B3374" s="29" t="str">
        <f>PROPER(TEXT(tbLOG[[#This Row],[DATA/HORA]],"mmmm"))</f>
        <v>Janeiro</v>
      </c>
      <c r="C3374" s="34" t="str">
        <f>PROPER(TEXT(tbLOG[[#This Row],[DATA/HORA]],"dddd"))</f>
        <v>Sexta-Feira</v>
      </c>
      <c r="D3374" s="3" t="s">
        <v>604</v>
      </c>
      <c r="E3374" s="34" t="str">
        <f>IFERROR(VLOOKUP(tbLOG[[#This Row],[LOGIN]],tbMAPA[#All],2,0), "Não localizado")</f>
        <v>Renan Cazumba Tegani</v>
      </c>
      <c r="F3374" s="34" t="str">
        <f>IFERROR(VLOOKUP(tbLOG[[#This Row],[LOGIN]],tbMAPA[#All],3,0), "Não localizado")</f>
        <v>Reginaldo Santana De Souza</v>
      </c>
      <c r="G3374" s="3" t="s">
        <v>1211</v>
      </c>
      <c r="H3374" s="3" t="s">
        <v>836</v>
      </c>
    </row>
    <row r="3375" spans="1:8">
      <c r="A3375" s="29">
        <v>42755.497546296298</v>
      </c>
      <c r="B3375" s="29" t="str">
        <f>PROPER(TEXT(tbLOG[[#This Row],[DATA/HORA]],"mmmm"))</f>
        <v>Janeiro</v>
      </c>
      <c r="C3375" s="34" t="str">
        <f>PROPER(TEXT(tbLOG[[#This Row],[DATA/HORA]],"dddd"))</f>
        <v>Sexta-Feira</v>
      </c>
      <c r="D3375" s="3" t="s">
        <v>604</v>
      </c>
      <c r="E3375" s="34" t="str">
        <f>IFERROR(VLOOKUP(tbLOG[[#This Row],[LOGIN]],tbMAPA[#All],2,0), "Não localizado")</f>
        <v>Renan Cazumba Tegani</v>
      </c>
      <c r="F3375" s="34" t="str">
        <f>IFERROR(VLOOKUP(tbLOG[[#This Row],[LOGIN]],tbMAPA[#All],3,0), "Não localizado")</f>
        <v>Reginaldo Santana De Souza</v>
      </c>
      <c r="G3375" s="3" t="s">
        <v>1211</v>
      </c>
      <c r="H3375" s="3" t="s">
        <v>836</v>
      </c>
    </row>
    <row r="3376" spans="1:8">
      <c r="A3376" s="29">
        <v>42755.497557870367</v>
      </c>
      <c r="B3376" s="29" t="str">
        <f>PROPER(TEXT(tbLOG[[#This Row],[DATA/HORA]],"mmmm"))</f>
        <v>Janeiro</v>
      </c>
      <c r="C3376" s="34" t="str">
        <f>PROPER(TEXT(tbLOG[[#This Row],[DATA/HORA]],"dddd"))</f>
        <v>Sexta-Feira</v>
      </c>
      <c r="D3376" s="3" t="s">
        <v>604</v>
      </c>
      <c r="E3376" s="34" t="str">
        <f>IFERROR(VLOOKUP(tbLOG[[#This Row],[LOGIN]],tbMAPA[#All],2,0), "Não localizado")</f>
        <v>Renan Cazumba Tegani</v>
      </c>
      <c r="F3376" s="34" t="str">
        <f>IFERROR(VLOOKUP(tbLOG[[#This Row],[LOGIN]],tbMAPA[#All],3,0), "Não localizado")</f>
        <v>Reginaldo Santana De Souza</v>
      </c>
      <c r="G3376" s="3" t="s">
        <v>1211</v>
      </c>
      <c r="H3376" s="3" t="s">
        <v>836</v>
      </c>
    </row>
    <row r="3377" spans="1:8">
      <c r="A3377" s="29">
        <v>42755.497662037036</v>
      </c>
      <c r="B3377" s="29" t="str">
        <f>PROPER(TEXT(tbLOG[[#This Row],[DATA/HORA]],"mmmm"))</f>
        <v>Janeiro</v>
      </c>
      <c r="C3377" s="34" t="str">
        <f>PROPER(TEXT(tbLOG[[#This Row],[DATA/HORA]],"dddd"))</f>
        <v>Sexta-Feira</v>
      </c>
      <c r="D3377" s="3" t="s">
        <v>604</v>
      </c>
      <c r="E3377" s="34" t="str">
        <f>IFERROR(VLOOKUP(tbLOG[[#This Row],[LOGIN]],tbMAPA[#All],2,0), "Não localizado")</f>
        <v>Renan Cazumba Tegani</v>
      </c>
      <c r="F3377" s="34" t="str">
        <f>IFERROR(VLOOKUP(tbLOG[[#This Row],[LOGIN]],tbMAPA[#All],3,0), "Não localizado")</f>
        <v>Reginaldo Santana De Souza</v>
      </c>
      <c r="G3377" s="3" t="s">
        <v>1211</v>
      </c>
      <c r="H3377" s="3" t="s">
        <v>836</v>
      </c>
    </row>
    <row r="3378" spans="1:8">
      <c r="A3378" s="29">
        <v>42755.505127314813</v>
      </c>
      <c r="B3378" s="29" t="str">
        <f>PROPER(TEXT(tbLOG[[#This Row],[DATA/HORA]],"mmmm"))</f>
        <v>Janeiro</v>
      </c>
      <c r="C3378" s="34" t="str">
        <f>PROPER(TEXT(tbLOG[[#This Row],[DATA/HORA]],"dddd"))</f>
        <v>Sexta-Feira</v>
      </c>
      <c r="D3378" s="3" t="s">
        <v>604</v>
      </c>
      <c r="E3378" s="34" t="str">
        <f>IFERROR(VLOOKUP(tbLOG[[#This Row],[LOGIN]],tbMAPA[#All],2,0), "Não localizado")</f>
        <v>Renan Cazumba Tegani</v>
      </c>
      <c r="F3378" s="34" t="str">
        <f>IFERROR(VLOOKUP(tbLOG[[#This Row],[LOGIN]],tbMAPA[#All],3,0), "Não localizado")</f>
        <v>Reginaldo Santana De Souza</v>
      </c>
      <c r="G3378" s="3" t="s">
        <v>1211</v>
      </c>
      <c r="H3378" s="3" t="s">
        <v>836</v>
      </c>
    </row>
    <row r="3379" spans="1:8">
      <c r="A3379" s="29">
        <v>42755.50513888889</v>
      </c>
      <c r="B3379" s="29" t="str">
        <f>PROPER(TEXT(tbLOG[[#This Row],[DATA/HORA]],"mmmm"))</f>
        <v>Janeiro</v>
      </c>
      <c r="C3379" s="34" t="str">
        <f>PROPER(TEXT(tbLOG[[#This Row],[DATA/HORA]],"dddd"))</f>
        <v>Sexta-Feira</v>
      </c>
      <c r="D3379" s="3" t="s">
        <v>604</v>
      </c>
      <c r="E3379" s="34" t="str">
        <f>IFERROR(VLOOKUP(tbLOG[[#This Row],[LOGIN]],tbMAPA[#All],2,0), "Não localizado")</f>
        <v>Renan Cazumba Tegani</v>
      </c>
      <c r="F3379" s="34" t="str">
        <f>IFERROR(VLOOKUP(tbLOG[[#This Row],[LOGIN]],tbMAPA[#All],3,0), "Não localizado")</f>
        <v>Reginaldo Santana De Souza</v>
      </c>
      <c r="G3379" s="3" t="s">
        <v>1211</v>
      </c>
      <c r="H3379" s="3" t="s">
        <v>836</v>
      </c>
    </row>
    <row r="3380" spans="1:8">
      <c r="A3380" s="29">
        <v>42755.505173611113</v>
      </c>
      <c r="B3380" s="29" t="str">
        <f>PROPER(TEXT(tbLOG[[#This Row],[DATA/HORA]],"mmmm"))</f>
        <v>Janeiro</v>
      </c>
      <c r="C3380" s="34" t="str">
        <f>PROPER(TEXT(tbLOG[[#This Row],[DATA/HORA]],"dddd"))</f>
        <v>Sexta-Feira</v>
      </c>
      <c r="D3380" s="3" t="s">
        <v>604</v>
      </c>
      <c r="E3380" s="34" t="str">
        <f>IFERROR(VLOOKUP(tbLOG[[#This Row],[LOGIN]],tbMAPA[#All],2,0), "Não localizado")</f>
        <v>Renan Cazumba Tegani</v>
      </c>
      <c r="F3380" s="34" t="str">
        <f>IFERROR(VLOOKUP(tbLOG[[#This Row],[LOGIN]],tbMAPA[#All],3,0), "Não localizado")</f>
        <v>Reginaldo Santana De Souza</v>
      </c>
      <c r="G3380" s="3" t="s">
        <v>1211</v>
      </c>
      <c r="H3380" s="3" t="s">
        <v>836</v>
      </c>
    </row>
    <row r="3381" spans="1:8">
      <c r="A3381" s="29">
        <v>42755.507280092592</v>
      </c>
      <c r="B3381" s="29" t="str">
        <f>PROPER(TEXT(tbLOG[[#This Row],[DATA/HORA]],"mmmm"))</f>
        <v>Janeiro</v>
      </c>
      <c r="C3381" s="34" t="str">
        <f>PROPER(TEXT(tbLOG[[#This Row],[DATA/HORA]],"dddd"))</f>
        <v>Sexta-Feira</v>
      </c>
      <c r="D3381" s="3" t="s">
        <v>604</v>
      </c>
      <c r="E3381" s="34" t="str">
        <f>IFERROR(VLOOKUP(tbLOG[[#This Row],[LOGIN]],tbMAPA[#All],2,0), "Não localizado")</f>
        <v>Renan Cazumba Tegani</v>
      </c>
      <c r="F3381" s="34" t="str">
        <f>IFERROR(VLOOKUP(tbLOG[[#This Row],[LOGIN]],tbMAPA[#All],3,0), "Não localizado")</f>
        <v>Reginaldo Santana De Souza</v>
      </c>
      <c r="G3381" s="3" t="s">
        <v>1211</v>
      </c>
      <c r="H3381" s="3" t="s">
        <v>836</v>
      </c>
    </row>
    <row r="3382" spans="1:8">
      <c r="A3382" s="29">
        <v>42755.509201388886</v>
      </c>
      <c r="B3382" s="29" t="str">
        <f>PROPER(TEXT(tbLOG[[#This Row],[DATA/HORA]],"mmmm"))</f>
        <v>Janeiro</v>
      </c>
      <c r="C3382" s="34" t="str">
        <f>PROPER(TEXT(tbLOG[[#This Row],[DATA/HORA]],"dddd"))</f>
        <v>Sexta-Feira</v>
      </c>
      <c r="D3382" s="3" t="s">
        <v>604</v>
      </c>
      <c r="E3382" s="34" t="str">
        <f>IFERROR(VLOOKUP(tbLOG[[#This Row],[LOGIN]],tbMAPA[#All],2,0), "Não localizado")</f>
        <v>Renan Cazumba Tegani</v>
      </c>
      <c r="F3382" s="34" t="str">
        <f>IFERROR(VLOOKUP(tbLOG[[#This Row],[LOGIN]],tbMAPA[#All],3,0), "Não localizado")</f>
        <v>Reginaldo Santana De Souza</v>
      </c>
      <c r="G3382" s="3" t="s">
        <v>1211</v>
      </c>
      <c r="H3382" s="3" t="s">
        <v>836</v>
      </c>
    </row>
    <row r="3383" spans="1:8">
      <c r="A3383" s="29">
        <v>42755.509375000001</v>
      </c>
      <c r="B3383" s="29" t="str">
        <f>PROPER(TEXT(tbLOG[[#This Row],[DATA/HORA]],"mmmm"))</f>
        <v>Janeiro</v>
      </c>
      <c r="C3383" s="34" t="str">
        <f>PROPER(TEXT(tbLOG[[#This Row],[DATA/HORA]],"dddd"))</f>
        <v>Sexta-Feira</v>
      </c>
      <c r="D3383" s="3" t="s">
        <v>604</v>
      </c>
      <c r="E3383" s="34" t="str">
        <f>IFERROR(VLOOKUP(tbLOG[[#This Row],[LOGIN]],tbMAPA[#All],2,0), "Não localizado")</f>
        <v>Renan Cazumba Tegani</v>
      </c>
      <c r="F3383" s="34" t="str">
        <f>IFERROR(VLOOKUP(tbLOG[[#This Row],[LOGIN]],tbMAPA[#All],3,0), "Não localizado")</f>
        <v>Reginaldo Santana De Souza</v>
      </c>
      <c r="G3383" s="3" t="s">
        <v>1211</v>
      </c>
      <c r="H3383" s="3" t="s">
        <v>836</v>
      </c>
    </row>
    <row r="3384" spans="1:8">
      <c r="A3384" s="29">
        <v>42755.511921296296</v>
      </c>
      <c r="B3384" s="29" t="str">
        <f>PROPER(TEXT(tbLOG[[#This Row],[DATA/HORA]],"mmmm"))</f>
        <v>Janeiro</v>
      </c>
      <c r="C3384" s="34" t="str">
        <f>PROPER(TEXT(tbLOG[[#This Row],[DATA/HORA]],"dddd"))</f>
        <v>Sexta-Feira</v>
      </c>
      <c r="D3384" s="3" t="s">
        <v>604</v>
      </c>
      <c r="E3384" s="34" t="str">
        <f>IFERROR(VLOOKUP(tbLOG[[#This Row],[LOGIN]],tbMAPA[#All],2,0), "Não localizado")</f>
        <v>Renan Cazumba Tegani</v>
      </c>
      <c r="F3384" s="34" t="str">
        <f>IFERROR(VLOOKUP(tbLOG[[#This Row],[LOGIN]],tbMAPA[#All],3,0), "Não localizado")</f>
        <v>Reginaldo Santana De Souza</v>
      </c>
      <c r="G3384" s="3" t="s">
        <v>1211</v>
      </c>
      <c r="H3384" s="3" t="s">
        <v>836</v>
      </c>
    </row>
    <row r="3385" spans="1:8">
      <c r="A3385" s="29">
        <v>42755.511956018519</v>
      </c>
      <c r="B3385" s="29" t="str">
        <f>PROPER(TEXT(tbLOG[[#This Row],[DATA/HORA]],"mmmm"))</f>
        <v>Janeiro</v>
      </c>
      <c r="C3385" s="34" t="str">
        <f>PROPER(TEXT(tbLOG[[#This Row],[DATA/HORA]],"dddd"))</f>
        <v>Sexta-Feira</v>
      </c>
      <c r="D3385" s="3" t="s">
        <v>604</v>
      </c>
      <c r="E3385" s="34" t="str">
        <f>IFERROR(VLOOKUP(tbLOG[[#This Row],[LOGIN]],tbMAPA[#All],2,0), "Não localizado")</f>
        <v>Renan Cazumba Tegani</v>
      </c>
      <c r="F3385" s="34" t="str">
        <f>IFERROR(VLOOKUP(tbLOG[[#This Row],[LOGIN]],tbMAPA[#All],3,0), "Não localizado")</f>
        <v>Reginaldo Santana De Souza</v>
      </c>
      <c r="G3385" s="3" t="s">
        <v>1211</v>
      </c>
      <c r="H3385" s="3" t="s">
        <v>836</v>
      </c>
    </row>
    <row r="3386" spans="1:8">
      <c r="A3386" s="29">
        <v>42755.511990740742</v>
      </c>
      <c r="B3386" s="29" t="str">
        <f>PROPER(TEXT(tbLOG[[#This Row],[DATA/HORA]],"mmmm"))</f>
        <v>Janeiro</v>
      </c>
      <c r="C3386" s="34" t="str">
        <f>PROPER(TEXT(tbLOG[[#This Row],[DATA/HORA]],"dddd"))</f>
        <v>Sexta-Feira</v>
      </c>
      <c r="D3386" s="3" t="s">
        <v>604</v>
      </c>
      <c r="E3386" s="34" t="str">
        <f>IFERROR(VLOOKUP(tbLOG[[#This Row],[LOGIN]],tbMAPA[#All],2,0), "Não localizado")</f>
        <v>Renan Cazumba Tegani</v>
      </c>
      <c r="F3386" s="34" t="str">
        <f>IFERROR(VLOOKUP(tbLOG[[#This Row],[LOGIN]],tbMAPA[#All],3,0), "Não localizado")</f>
        <v>Reginaldo Santana De Souza</v>
      </c>
      <c r="G3386" s="3" t="s">
        <v>1211</v>
      </c>
      <c r="H3386" s="3" t="s">
        <v>836</v>
      </c>
    </row>
    <row r="3387" spans="1:8">
      <c r="A3387" s="29">
        <v>42755.512048611112</v>
      </c>
      <c r="B3387" s="29" t="str">
        <f>PROPER(TEXT(tbLOG[[#This Row],[DATA/HORA]],"mmmm"))</f>
        <v>Janeiro</v>
      </c>
      <c r="C3387" s="34" t="str">
        <f>PROPER(TEXT(tbLOG[[#This Row],[DATA/HORA]],"dddd"))</f>
        <v>Sexta-Feira</v>
      </c>
      <c r="D3387" s="3" t="s">
        <v>604</v>
      </c>
      <c r="E3387" s="34" t="str">
        <f>IFERROR(VLOOKUP(tbLOG[[#This Row],[LOGIN]],tbMAPA[#All],2,0), "Não localizado")</f>
        <v>Renan Cazumba Tegani</v>
      </c>
      <c r="F3387" s="34" t="str">
        <f>IFERROR(VLOOKUP(tbLOG[[#This Row],[LOGIN]],tbMAPA[#All],3,0), "Não localizado")</f>
        <v>Reginaldo Santana De Souza</v>
      </c>
      <c r="G3387" s="3" t="s">
        <v>1211</v>
      </c>
      <c r="H3387" s="3" t="s">
        <v>836</v>
      </c>
    </row>
    <row r="3388" spans="1:8">
      <c r="A3388" s="29">
        <v>42755.516388888886</v>
      </c>
      <c r="B3388" s="29" t="str">
        <f>PROPER(TEXT(tbLOG[[#This Row],[DATA/HORA]],"mmmm"))</f>
        <v>Janeiro</v>
      </c>
      <c r="C3388" s="34" t="str">
        <f>PROPER(TEXT(tbLOG[[#This Row],[DATA/HORA]],"dddd"))</f>
        <v>Sexta-Feira</v>
      </c>
      <c r="D3388" s="3" t="s">
        <v>604</v>
      </c>
      <c r="E3388" s="34" t="str">
        <f>IFERROR(VLOOKUP(tbLOG[[#This Row],[LOGIN]],tbMAPA[#All],2,0), "Não localizado")</f>
        <v>Renan Cazumba Tegani</v>
      </c>
      <c r="F3388" s="34" t="str">
        <f>IFERROR(VLOOKUP(tbLOG[[#This Row],[LOGIN]],tbMAPA[#All],3,0), "Não localizado")</f>
        <v>Reginaldo Santana De Souza</v>
      </c>
      <c r="G3388" s="3" t="s">
        <v>1211</v>
      </c>
      <c r="H3388" s="3" t="s">
        <v>836</v>
      </c>
    </row>
    <row r="3389" spans="1:8">
      <c r="A3389" s="29">
        <v>42755.52306712963</v>
      </c>
      <c r="B3389" s="29" t="str">
        <f>PROPER(TEXT(tbLOG[[#This Row],[DATA/HORA]],"mmmm"))</f>
        <v>Janeiro</v>
      </c>
      <c r="C3389" s="34" t="str">
        <f>PROPER(TEXT(tbLOG[[#This Row],[DATA/HORA]],"dddd"))</f>
        <v>Sexta-Feira</v>
      </c>
      <c r="D3389" s="3" t="s">
        <v>604</v>
      </c>
      <c r="E3389" s="34" t="str">
        <f>IFERROR(VLOOKUP(tbLOG[[#This Row],[LOGIN]],tbMAPA[#All],2,0), "Não localizado")</f>
        <v>Renan Cazumba Tegani</v>
      </c>
      <c r="F3389" s="34" t="str">
        <f>IFERROR(VLOOKUP(tbLOG[[#This Row],[LOGIN]],tbMAPA[#All],3,0), "Não localizado")</f>
        <v>Reginaldo Santana De Souza</v>
      </c>
      <c r="G3389" s="3" t="s">
        <v>1211</v>
      </c>
      <c r="H3389" s="3" t="s">
        <v>836</v>
      </c>
    </row>
    <row r="3390" spans="1:8">
      <c r="A3390" s="29">
        <v>42755.523206018515</v>
      </c>
      <c r="B3390" s="29" t="str">
        <f>PROPER(TEXT(tbLOG[[#This Row],[DATA/HORA]],"mmmm"))</f>
        <v>Janeiro</v>
      </c>
      <c r="C3390" s="34" t="str">
        <f>PROPER(TEXT(tbLOG[[#This Row],[DATA/HORA]],"dddd"))</f>
        <v>Sexta-Feira</v>
      </c>
      <c r="D3390" s="3" t="s">
        <v>604</v>
      </c>
      <c r="E3390" s="34" t="str">
        <f>IFERROR(VLOOKUP(tbLOG[[#This Row],[LOGIN]],tbMAPA[#All],2,0), "Não localizado")</f>
        <v>Renan Cazumba Tegani</v>
      </c>
      <c r="F3390" s="34" t="str">
        <f>IFERROR(VLOOKUP(tbLOG[[#This Row],[LOGIN]],tbMAPA[#All],3,0), "Não localizado")</f>
        <v>Reginaldo Santana De Souza</v>
      </c>
      <c r="G3390" s="3" t="s">
        <v>1211</v>
      </c>
      <c r="H3390" s="3" t="s">
        <v>290</v>
      </c>
    </row>
    <row r="3391" spans="1:8">
      <c r="A3391" s="29">
        <v>42756.891689814816</v>
      </c>
      <c r="B3391" s="29" t="str">
        <f>PROPER(TEXT(tbLOG[[#This Row],[DATA/HORA]],"mmmm"))</f>
        <v>Janeiro</v>
      </c>
      <c r="C3391" s="34" t="str">
        <f>PROPER(TEXT(tbLOG[[#This Row],[DATA/HORA]],"dddd"))</f>
        <v>Sábado</v>
      </c>
      <c r="D3391" s="3" t="s">
        <v>4632</v>
      </c>
      <c r="E3391" s="34" t="str">
        <f>IFERROR(VLOOKUP(tbLOG[[#This Row],[LOGIN]],tbMAPA[#All],2,0), "Não localizado")</f>
        <v>Não localizado</v>
      </c>
      <c r="F3391" s="34" t="str">
        <f>IFERROR(VLOOKUP(tbLOG[[#This Row],[LOGIN]],tbMAPA[#All],3,0), "Não localizado")</f>
        <v>Não localizado</v>
      </c>
      <c r="G3391" s="3" t="s">
        <v>4633</v>
      </c>
      <c r="H3391" s="3" t="s">
        <v>4634</v>
      </c>
    </row>
    <row r="3392" spans="1:8">
      <c r="A3392" s="29">
        <v>42756.891689814816</v>
      </c>
      <c r="B3392" s="29" t="str">
        <f>PROPER(TEXT(tbLOG[[#This Row],[DATA/HORA]],"mmmm"))</f>
        <v>Janeiro</v>
      </c>
      <c r="C3392" s="34" t="str">
        <f>PROPER(TEXT(tbLOG[[#This Row],[DATA/HORA]],"dddd"))</f>
        <v>Sábado</v>
      </c>
      <c r="D3392" s="3" t="s">
        <v>4632</v>
      </c>
      <c r="E3392" s="34" t="str">
        <f>IFERROR(VLOOKUP(tbLOG[[#This Row],[LOGIN]],tbMAPA[#All],2,0), "Não localizado")</f>
        <v>Não localizado</v>
      </c>
      <c r="F3392" s="34" t="str">
        <f>IFERROR(VLOOKUP(tbLOG[[#This Row],[LOGIN]],tbMAPA[#All],3,0), "Não localizado")</f>
        <v>Não localizado</v>
      </c>
      <c r="G3392" s="3" t="s">
        <v>4633</v>
      </c>
      <c r="H3392" s="3" t="s">
        <v>290</v>
      </c>
    </row>
    <row r="3393" spans="1:6">
      <c r="A3393" s="29"/>
      <c r="B3393" s="29"/>
      <c r="C3393" s="34"/>
      <c r="E3393" s="34"/>
      <c r="F3393" s="34"/>
    </row>
  </sheetData>
  <conditionalFormatting sqref="H1 H3394:H1048576">
    <cfRule type="expression" dxfId="4" priority="3">
      <formula>H1=$I$3</formula>
    </cfRule>
    <cfRule type="expression" dxfId="3" priority="8">
      <formula>H1=$I$1</formula>
    </cfRule>
  </conditionalFormatting>
  <conditionalFormatting sqref="H1 H3394:H1048576">
    <cfRule type="expression" dxfId="2" priority="6">
      <formula>H1=$I$2</formula>
    </cfRule>
  </conditionalFormatting>
  <conditionalFormatting sqref="H1 H3394:H1048576">
    <cfRule type="expression" dxfId="1" priority="2">
      <formula>H1=$I$4</formula>
    </cfRule>
  </conditionalFormatting>
  <conditionalFormatting sqref="H1:H1048576">
    <cfRule type="expression" dxfId="0" priority="1">
      <formula>$H1=$I$5</formula>
    </cfRule>
  </conditionalFormatting>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FA2240"/>
  <sheetViews>
    <sheetView showGridLines="0" zoomScale="90" zoomScaleNormal="90" workbookViewId="0"/>
  </sheetViews>
  <sheetFormatPr defaultColWidth="9.140625" defaultRowHeight="15"/>
  <cols>
    <col min="1" max="1" width="18.85546875" bestFit="1" customWidth="1"/>
    <col min="2" max="2" width="17.5703125" bestFit="1" customWidth="1"/>
    <col min="3" max="3" width="13.28515625" style="21" bestFit="1" customWidth="1"/>
    <col min="4" max="4" width="11.42578125" style="21" bestFit="1" customWidth="1"/>
    <col min="5" max="5" width="5.7109375" style="21" bestFit="1" customWidth="1"/>
    <col min="6" max="6" width="21" style="21" bestFit="1" customWidth="1"/>
    <col min="7" max="7" width="51.7109375" style="21" bestFit="1" customWidth="1"/>
    <col min="8" max="8" width="14.28515625" style="21" bestFit="1" customWidth="1"/>
    <col min="9" max="9" width="23.42578125" style="21" bestFit="1" customWidth="1"/>
    <col min="10" max="10" width="41.28515625" style="21" bestFit="1" customWidth="1"/>
    <col min="11" max="11" width="8.85546875" style="21" bestFit="1" customWidth="1"/>
    <col min="12" max="12" width="19.140625" style="21" bestFit="1" customWidth="1"/>
    <col min="13" max="13" width="16.5703125" style="21" bestFit="1" customWidth="1"/>
    <col min="14" max="14" width="70.5703125" style="21" bestFit="1" customWidth="1"/>
    <col min="15" max="15" width="13.5703125" style="21" bestFit="1" customWidth="1"/>
    <col min="16" max="16" width="33.5703125" style="21" bestFit="1" customWidth="1"/>
    <col min="17" max="17" width="28.5703125" style="21" bestFit="1" customWidth="1"/>
    <col min="18" max="18" width="15.7109375" style="21" bestFit="1" customWidth="1"/>
    <col min="19" max="19" width="61.28515625" style="21" bestFit="1" customWidth="1"/>
    <col min="20" max="20" width="15.5703125" style="21" bestFit="1" customWidth="1"/>
    <col min="21" max="21" width="12.140625" style="21" bestFit="1" customWidth="1"/>
    <col min="22" max="22" width="16.140625" style="21" bestFit="1" customWidth="1"/>
    <col min="23" max="23" width="30" style="21" bestFit="1" customWidth="1"/>
    <col min="24" max="24" width="21.42578125" style="21" bestFit="1" customWidth="1"/>
    <col min="25" max="25" width="26.42578125" style="21" bestFit="1" customWidth="1"/>
    <col min="26" max="26" width="21.5703125" style="21" bestFit="1" customWidth="1"/>
    <col min="27" max="27" width="24.140625" style="21" bestFit="1" customWidth="1"/>
    <col min="28" max="28" width="11" style="21" bestFit="1" customWidth="1"/>
    <col min="29" max="29" width="6.85546875" style="22" bestFit="1" customWidth="1"/>
    <col min="30" max="30" width="17.28515625" style="22" bestFit="1" customWidth="1"/>
    <col min="31" max="31" width="36.7109375" style="21" bestFit="1" customWidth="1"/>
    <col min="32" max="32" width="50.140625" style="21" bestFit="1" customWidth="1"/>
    <col min="33" max="33" width="66.28515625" style="21" bestFit="1" customWidth="1"/>
    <col min="34" max="34" width="70.140625" style="21" bestFit="1" customWidth="1"/>
    <col min="35" max="35" width="245.7109375" style="21" bestFit="1" customWidth="1"/>
    <col min="36" max="36" width="17.7109375" style="21" bestFit="1" customWidth="1"/>
    <col min="37" max="37" width="16.85546875" style="21" bestFit="1" customWidth="1"/>
    <col min="38" max="38" width="30" style="21" bestFit="1" customWidth="1"/>
    <col min="39" max="39" width="19" style="21" bestFit="1" customWidth="1"/>
    <col min="40" max="40" width="24" style="21" bestFit="1" customWidth="1"/>
    <col min="41" max="41" width="17" style="21" bestFit="1" customWidth="1"/>
    <col min="42" max="42" width="21.28515625" style="21" bestFit="1" customWidth="1"/>
    <col min="43" max="43" width="18.140625" style="21" bestFit="1" customWidth="1"/>
    <col min="44" max="44" width="17.28515625" style="21" bestFit="1" customWidth="1"/>
    <col min="45" max="45" width="33.85546875" style="21" bestFit="1" customWidth="1"/>
    <col min="46" max="46" width="25.28515625" style="21" bestFit="1" customWidth="1"/>
    <col min="47" max="47" width="12.7109375" style="21" bestFit="1" customWidth="1"/>
    <col min="48" max="48" width="12.42578125" style="21" bestFit="1" customWidth="1"/>
    <col min="49" max="49" width="11.7109375" style="21" bestFit="1" customWidth="1"/>
    <col min="50" max="50" width="20" style="21" bestFit="1" customWidth="1"/>
    <col min="51" max="51" width="23" style="21" bestFit="1" customWidth="1"/>
    <col min="52" max="52" width="12.85546875" style="21" bestFit="1" customWidth="1"/>
    <col min="53" max="53" width="22.140625" style="21" bestFit="1" customWidth="1"/>
    <col min="54" max="54" width="14.140625" style="21" bestFit="1" customWidth="1"/>
    <col min="55" max="55" width="17" style="21" bestFit="1" customWidth="1"/>
    <col min="56" max="56" width="17.140625" style="23" bestFit="1" customWidth="1"/>
    <col min="57" max="57" width="16.28515625" style="21" bestFit="1" customWidth="1"/>
    <col min="58" max="58" width="18.5703125" style="21" bestFit="1" customWidth="1"/>
    <col min="59" max="59" width="17.42578125" style="21" bestFit="1" customWidth="1"/>
    <col min="60" max="60" width="20" style="21" bestFit="1" customWidth="1"/>
    <col min="61" max="61" width="24.140625" style="21" bestFit="1" customWidth="1"/>
    <col min="62" max="62" width="25.42578125" style="21" bestFit="1" customWidth="1"/>
    <col min="63" max="63" width="25.85546875" style="21" bestFit="1" customWidth="1"/>
    <col min="64" max="64" width="26.42578125" style="21" bestFit="1" customWidth="1"/>
    <col min="65" max="65" width="33.85546875" style="21" bestFit="1" customWidth="1"/>
    <col min="66" max="66" width="17.85546875" style="21" bestFit="1" customWidth="1"/>
    <col min="67" max="67" width="22" style="21" bestFit="1" customWidth="1"/>
    <col min="68" max="68" width="38.42578125" style="21" bestFit="1" customWidth="1"/>
    <col min="69" max="69" width="33.85546875" style="21" bestFit="1" customWidth="1"/>
    <col min="70" max="70" width="19" style="21" bestFit="1" customWidth="1"/>
    <col min="71" max="71" width="22.5703125" style="21" bestFit="1" customWidth="1"/>
    <col min="72" max="72" width="38.42578125" style="21" bestFit="1" customWidth="1"/>
    <col min="73" max="73" width="17.42578125" style="21" bestFit="1" customWidth="1"/>
    <col min="74" max="74" width="33" style="21" bestFit="1" customWidth="1"/>
    <col min="75" max="75" width="37.42578125" style="21" bestFit="1" customWidth="1"/>
    <col min="76" max="76" width="47.7109375" style="21" customWidth="1"/>
    <col min="77" max="78" width="35.85546875" style="21" bestFit="1" customWidth="1"/>
    <col min="79" max="81" width="35.28515625" style="21" bestFit="1" customWidth="1"/>
    <col min="82" max="82" width="5.42578125" style="21" bestFit="1" customWidth="1"/>
    <col min="83" max="83" width="14.28515625" style="21" bestFit="1" customWidth="1"/>
    <col min="84" max="84" width="14.7109375" style="21" bestFit="1" customWidth="1"/>
    <col min="85" max="85" width="22.42578125" style="21" bestFit="1" customWidth="1"/>
    <col min="86" max="86" width="30" style="21" bestFit="1" customWidth="1"/>
    <col min="87" max="87" width="26.140625" style="21" bestFit="1" customWidth="1"/>
    <col min="88" max="88" width="45.7109375" style="21" bestFit="1" customWidth="1"/>
    <col min="89" max="89" width="31" style="21" bestFit="1" customWidth="1"/>
    <col min="90" max="90" width="255.7109375" style="21" customWidth="1"/>
    <col min="91" max="91" width="19.7109375" style="21" bestFit="1" customWidth="1"/>
    <col min="92" max="92" width="27" style="21" bestFit="1" customWidth="1"/>
    <col min="93" max="93" width="17.140625" style="21" bestFit="1" customWidth="1"/>
    <col min="94" max="94" width="34.85546875" style="21" bestFit="1" customWidth="1"/>
    <col min="95" max="95" width="35.5703125" style="21" bestFit="1" customWidth="1"/>
    <col min="96" max="96" width="31.85546875" style="21" bestFit="1" customWidth="1"/>
    <col min="97" max="97" width="35.42578125" style="21" bestFit="1" customWidth="1"/>
    <col min="98" max="98" width="36" style="21" bestFit="1" customWidth="1"/>
    <col min="99" max="99" width="32.5703125" style="21" bestFit="1" customWidth="1"/>
    <col min="100" max="100" width="28.140625" style="21" bestFit="1" customWidth="1"/>
    <col min="101" max="101" width="38.42578125" style="21" bestFit="1" customWidth="1"/>
    <col min="102" max="102" width="25.28515625" style="21" bestFit="1" customWidth="1"/>
    <col min="103" max="103" width="28.7109375" style="21" bestFit="1" customWidth="1"/>
    <col min="104" max="104" width="29.28515625" style="21" bestFit="1" customWidth="1"/>
    <col min="105" max="105" width="25.7109375" style="21" bestFit="1" customWidth="1"/>
    <col min="106" max="106" width="13.28515625" style="21" bestFit="1" customWidth="1"/>
    <col min="107" max="107" width="7.140625" style="21" bestFit="1" customWidth="1"/>
    <col min="108" max="108" width="14.85546875" style="24" bestFit="1" customWidth="1"/>
    <col min="109" max="109" width="11.85546875" style="21" bestFit="1" customWidth="1"/>
    <col min="110" max="110" width="15.28515625" style="21" customWidth="1"/>
    <col min="111" max="111" width="19.28515625" style="22" bestFit="1" customWidth="1"/>
    <col min="112" max="112" width="22.5703125" style="21" customWidth="1"/>
    <col min="113" max="113" width="19.140625" style="21" bestFit="1" customWidth="1"/>
    <col min="114" max="114" width="9.28515625" style="21" bestFit="1" customWidth="1"/>
    <col min="115" max="115" width="13.5703125" style="21" bestFit="1" customWidth="1"/>
    <col min="116" max="116" width="24.140625" style="21" bestFit="1" customWidth="1"/>
    <col min="117" max="117" width="25.42578125" style="21" bestFit="1" customWidth="1"/>
    <col min="118" max="118" width="13.28515625" style="22" bestFit="1" customWidth="1"/>
    <col min="119" max="119" width="30.42578125" style="22" bestFit="1" customWidth="1"/>
    <col min="120" max="120" width="21.28515625" style="21" bestFit="1" customWidth="1"/>
    <col min="121" max="121" width="17.28515625" style="21" bestFit="1" customWidth="1"/>
    <col min="122" max="122" width="17.42578125" style="21" bestFit="1" customWidth="1"/>
    <col min="123" max="123" width="22" style="21" bestFit="1" customWidth="1"/>
    <col min="124" max="124" width="27.42578125" style="21" bestFit="1" customWidth="1"/>
    <col min="125" max="125" width="26.5703125" style="21" bestFit="1" customWidth="1"/>
    <col min="126" max="126" width="28.140625" style="21" bestFit="1" customWidth="1"/>
    <col min="127" max="127" width="24.85546875" style="21" bestFit="1" customWidth="1"/>
    <col min="128" max="128" width="31.85546875" style="21" bestFit="1" customWidth="1"/>
    <col min="129" max="129" width="44.140625" style="21" bestFit="1" customWidth="1"/>
    <col min="130" max="130" width="48.7109375" style="21" bestFit="1" customWidth="1"/>
    <col min="131" max="131" width="28.85546875" style="21" bestFit="1" customWidth="1"/>
    <col min="132" max="133" width="255.7109375" style="21" customWidth="1"/>
    <col min="134" max="134" width="27.5703125" style="21" bestFit="1" customWidth="1"/>
    <col min="135" max="135" width="35.5703125" style="21" bestFit="1" customWidth="1"/>
    <col min="136" max="137" width="10.28515625" style="21" bestFit="1" customWidth="1"/>
    <col min="138" max="138" width="5.42578125" style="25" bestFit="1" customWidth="1"/>
    <col min="139" max="139" width="5.5703125" style="25" bestFit="1" customWidth="1"/>
    <col min="140" max="140" width="6.140625" style="25" bestFit="1" customWidth="1"/>
    <col min="141" max="141" width="36.42578125" style="25" bestFit="1" customWidth="1"/>
    <col min="142" max="142" width="38.42578125" style="25" customWidth="1"/>
    <col min="143" max="143" width="18.140625" style="25" bestFit="1" customWidth="1"/>
    <col min="144" max="145" width="33.140625" style="25" bestFit="1" customWidth="1"/>
    <col min="146" max="146" width="14.5703125" style="25" bestFit="1" customWidth="1"/>
    <col min="147" max="147" width="18.42578125" style="25" bestFit="1" customWidth="1"/>
    <col min="148" max="149" width="31.5703125" style="25" customWidth="1"/>
    <col min="150" max="150" width="4.7109375" style="25" bestFit="1" customWidth="1"/>
    <col min="151" max="151" width="10" style="25" bestFit="1" customWidth="1"/>
    <col min="152" max="152" width="36.42578125" style="25" bestFit="1" customWidth="1"/>
    <col min="153" max="153" width="33.140625" style="25" bestFit="1" customWidth="1"/>
    <col min="154" max="154" width="31.5703125" style="25" bestFit="1" customWidth="1"/>
    <col min="155" max="155" width="24.28515625" style="25" bestFit="1" customWidth="1"/>
    <col min="156" max="156" width="31.5703125" style="25" customWidth="1"/>
    <col min="157" max="157" width="24.28515625" style="20" bestFit="1" customWidth="1"/>
  </cols>
  <sheetData>
    <row r="1" spans="1:155">
      <c r="A1" s="5" t="s">
        <v>337</v>
      </c>
      <c r="B1" s="5" t="s">
        <v>338</v>
      </c>
      <c r="C1" s="5" t="s">
        <v>339</v>
      </c>
      <c r="D1" s="5" t="s">
        <v>340</v>
      </c>
      <c r="E1" s="5" t="s">
        <v>341</v>
      </c>
      <c r="F1" s="5" t="s">
        <v>342</v>
      </c>
      <c r="G1" s="6" t="s">
        <v>343</v>
      </c>
      <c r="H1" s="6" t="s">
        <v>344</v>
      </c>
      <c r="I1" s="6" t="s">
        <v>345</v>
      </c>
      <c r="J1" s="6" t="s">
        <v>346</v>
      </c>
      <c r="K1" s="6" t="s">
        <v>347</v>
      </c>
      <c r="L1" s="6" t="s">
        <v>348</v>
      </c>
      <c r="M1" s="7" t="s">
        <v>349</v>
      </c>
      <c r="N1" s="7" t="s">
        <v>350</v>
      </c>
      <c r="O1" s="7" t="s">
        <v>351</v>
      </c>
      <c r="P1" s="7" t="s">
        <v>352</v>
      </c>
      <c r="Q1" s="7" t="s">
        <v>353</v>
      </c>
      <c r="R1" s="7" t="s">
        <v>354</v>
      </c>
      <c r="S1" s="7" t="s">
        <v>355</v>
      </c>
      <c r="T1" s="7" t="s">
        <v>356</v>
      </c>
      <c r="U1" s="7" t="s">
        <v>357</v>
      </c>
      <c r="V1" s="8" t="s">
        <v>358</v>
      </c>
      <c r="W1" s="8" t="s">
        <v>359</v>
      </c>
      <c r="X1" s="8" t="s">
        <v>360</v>
      </c>
      <c r="Y1" s="8" t="s">
        <v>361</v>
      </c>
      <c r="Z1" s="9" t="s">
        <v>362</v>
      </c>
      <c r="AA1" s="10" t="s">
        <v>363</v>
      </c>
      <c r="AB1" s="10" t="s">
        <v>364</v>
      </c>
      <c r="AC1" s="9" t="s">
        <v>365</v>
      </c>
      <c r="AD1" s="9" t="s">
        <v>366</v>
      </c>
      <c r="AE1" s="9" t="s">
        <v>367</v>
      </c>
      <c r="AF1" s="9" t="s">
        <v>368</v>
      </c>
      <c r="AG1" s="9" t="s">
        <v>369</v>
      </c>
      <c r="AH1" s="9" t="s">
        <v>370</v>
      </c>
      <c r="AI1" s="9" t="s">
        <v>371</v>
      </c>
      <c r="AJ1" s="9" t="s">
        <v>372</v>
      </c>
      <c r="AK1" s="9" t="s">
        <v>373</v>
      </c>
      <c r="AL1" s="9" t="s">
        <v>374</v>
      </c>
      <c r="AM1" s="9" t="s">
        <v>375</v>
      </c>
      <c r="AN1" s="9" t="s">
        <v>376</v>
      </c>
      <c r="AO1" s="9" t="s">
        <v>377</v>
      </c>
      <c r="AP1" s="9" t="s">
        <v>378</v>
      </c>
      <c r="AQ1" s="9" t="s">
        <v>379</v>
      </c>
      <c r="AR1" s="9" t="s">
        <v>380</v>
      </c>
      <c r="AS1" s="9" t="s">
        <v>381</v>
      </c>
      <c r="AT1" s="9" t="s">
        <v>382</v>
      </c>
      <c r="AU1" s="9" t="s">
        <v>383</v>
      </c>
      <c r="AV1" s="9" t="s">
        <v>384</v>
      </c>
      <c r="AW1" s="9" t="s">
        <v>385</v>
      </c>
      <c r="AX1" s="9" t="s">
        <v>386</v>
      </c>
      <c r="AY1" s="9" t="s">
        <v>387</v>
      </c>
      <c r="AZ1" s="9" t="s">
        <v>388</v>
      </c>
      <c r="BA1" s="9" t="s">
        <v>389</v>
      </c>
      <c r="BB1" s="9" t="s">
        <v>390</v>
      </c>
      <c r="BC1" s="11" t="s">
        <v>391</v>
      </c>
      <c r="BD1" s="11" t="s">
        <v>392</v>
      </c>
      <c r="BE1" s="11" t="s">
        <v>393</v>
      </c>
      <c r="BF1" s="11" t="s">
        <v>394</v>
      </c>
      <c r="BG1" s="11" t="s">
        <v>395</v>
      </c>
      <c r="BH1" s="12" t="s">
        <v>396</v>
      </c>
      <c r="BI1" s="12" t="s">
        <v>397</v>
      </c>
      <c r="BJ1" s="12" t="s">
        <v>398</v>
      </c>
      <c r="BK1" s="12" t="s">
        <v>399</v>
      </c>
      <c r="BL1" s="12" t="s">
        <v>400</v>
      </c>
      <c r="BM1" s="13" t="s">
        <v>401</v>
      </c>
      <c r="BN1" s="13" t="s">
        <v>402</v>
      </c>
      <c r="BO1" s="13" t="s">
        <v>403</v>
      </c>
      <c r="BP1" s="13" t="s">
        <v>404</v>
      </c>
      <c r="BQ1" s="13" t="s">
        <v>405</v>
      </c>
      <c r="BR1" s="13" t="s">
        <v>406</v>
      </c>
      <c r="BS1" s="13" t="s">
        <v>407</v>
      </c>
      <c r="BT1" s="13" t="s">
        <v>408</v>
      </c>
      <c r="BU1" s="13" t="s">
        <v>409</v>
      </c>
      <c r="BV1" s="7" t="s">
        <v>410</v>
      </c>
      <c r="BW1" s="7" t="s">
        <v>411</v>
      </c>
      <c r="BX1" s="7" t="s">
        <v>412</v>
      </c>
      <c r="BY1" s="7" t="s">
        <v>413</v>
      </c>
      <c r="BZ1" s="7" t="s">
        <v>414</v>
      </c>
      <c r="CA1" s="7" t="s">
        <v>415</v>
      </c>
      <c r="CB1" s="7" t="s">
        <v>416</v>
      </c>
      <c r="CC1" s="7" t="s">
        <v>417</v>
      </c>
      <c r="CD1" s="7" t="s">
        <v>418</v>
      </c>
      <c r="CE1" s="7" t="s">
        <v>419</v>
      </c>
      <c r="CF1" s="14" t="s">
        <v>420</v>
      </c>
      <c r="CG1" s="14" t="s">
        <v>421</v>
      </c>
      <c r="CH1" s="14" t="s">
        <v>422</v>
      </c>
      <c r="CI1" s="14" t="s">
        <v>423</v>
      </c>
      <c r="CJ1" s="14" t="s">
        <v>424</v>
      </c>
      <c r="CK1" s="14" t="s">
        <v>425</v>
      </c>
      <c r="CL1" s="14" t="s">
        <v>426</v>
      </c>
      <c r="CM1" s="14" t="s">
        <v>427</v>
      </c>
      <c r="CN1" s="14" t="s">
        <v>428</v>
      </c>
      <c r="CO1" s="14" t="s">
        <v>429</v>
      </c>
      <c r="CP1" s="14" t="s">
        <v>430</v>
      </c>
      <c r="CQ1" s="14" t="s">
        <v>431</v>
      </c>
      <c r="CR1" s="14" t="s">
        <v>432</v>
      </c>
      <c r="CS1" s="14" t="s">
        <v>433</v>
      </c>
      <c r="CT1" s="14" t="s">
        <v>434</v>
      </c>
      <c r="CU1" s="14" t="s">
        <v>435</v>
      </c>
      <c r="CV1" s="14" t="s">
        <v>436</v>
      </c>
      <c r="CW1" s="14" t="s">
        <v>437</v>
      </c>
      <c r="CX1" s="14" t="s">
        <v>438</v>
      </c>
      <c r="CY1" s="14" t="s">
        <v>439</v>
      </c>
      <c r="CZ1" s="14" t="s">
        <v>440</v>
      </c>
      <c r="DA1" s="14" t="s">
        <v>441</v>
      </c>
      <c r="DB1" s="15" t="s">
        <v>442</v>
      </c>
      <c r="DC1" s="15" t="s">
        <v>443</v>
      </c>
      <c r="DD1" s="15" t="s">
        <v>444</v>
      </c>
      <c r="DE1" s="16" t="s">
        <v>445</v>
      </c>
      <c r="DF1" s="15" t="s">
        <v>446</v>
      </c>
      <c r="DG1" s="15" t="s">
        <v>447</v>
      </c>
      <c r="DH1" s="15" t="s">
        <v>448</v>
      </c>
      <c r="DI1" s="15" t="s">
        <v>449</v>
      </c>
      <c r="DJ1" s="15" t="s">
        <v>450</v>
      </c>
      <c r="DK1" s="15" t="s">
        <v>451</v>
      </c>
      <c r="DL1" s="15" t="s">
        <v>452</v>
      </c>
      <c r="DM1" s="15" t="s">
        <v>453</v>
      </c>
      <c r="DN1" s="15" t="s">
        <v>454</v>
      </c>
      <c r="DO1" s="17" t="s">
        <v>455</v>
      </c>
      <c r="DP1" s="17" t="s">
        <v>456</v>
      </c>
      <c r="DQ1" s="17" t="s">
        <v>457</v>
      </c>
      <c r="DR1" s="17" t="s">
        <v>458</v>
      </c>
      <c r="DS1" s="18" t="s">
        <v>459</v>
      </c>
      <c r="DT1" s="18" t="s">
        <v>460</v>
      </c>
      <c r="DU1" s="18" t="s">
        <v>461</v>
      </c>
      <c r="DV1" s="18" t="s">
        <v>462</v>
      </c>
      <c r="DW1" s="18" t="s">
        <v>463</v>
      </c>
      <c r="DX1" s="18" t="s">
        <v>464</v>
      </c>
      <c r="DY1" s="17" t="s">
        <v>465</v>
      </c>
      <c r="DZ1" s="17" t="s">
        <v>466</v>
      </c>
      <c r="EA1" s="17" t="s">
        <v>467</v>
      </c>
      <c r="EB1" s="17" t="s">
        <v>468</v>
      </c>
      <c r="EC1" s="17" t="s">
        <v>469</v>
      </c>
      <c r="ED1" s="17" t="s">
        <v>470</v>
      </c>
      <c r="EE1" s="17" t="s">
        <v>471</v>
      </c>
      <c r="EF1" s="19" t="s">
        <v>472</v>
      </c>
      <c r="EG1" s="19" t="s">
        <v>473</v>
      </c>
      <c r="EH1" s="19" t="s">
        <v>474</v>
      </c>
      <c r="EI1" s="19" t="s">
        <v>475</v>
      </c>
      <c r="EJ1" s="19" t="s">
        <v>476</v>
      </c>
      <c r="EK1" s="19" t="s">
        <v>477</v>
      </c>
      <c r="EL1" s="19" t="s">
        <v>478</v>
      </c>
      <c r="EM1" s="19" t="s">
        <v>479</v>
      </c>
      <c r="EN1" s="19" t="s">
        <v>480</v>
      </c>
      <c r="EO1" s="19" t="s">
        <v>481</v>
      </c>
      <c r="EP1" s="19" t="s">
        <v>482</v>
      </c>
      <c r="EQ1" s="19" t="s">
        <v>483</v>
      </c>
      <c r="ER1" s="19" t="s">
        <v>484</v>
      </c>
      <c r="ES1" s="19" t="s">
        <v>485</v>
      </c>
      <c r="ET1" s="19" t="s">
        <v>486</v>
      </c>
      <c r="EU1" s="19" t="s">
        <v>487</v>
      </c>
      <c r="EV1" s="19" t="s">
        <v>488</v>
      </c>
      <c r="EW1" s="19" t="s">
        <v>489</v>
      </c>
      <c r="EX1" s="19" t="s">
        <v>490</v>
      </c>
      <c r="EY1" s="20" t="s">
        <v>858</v>
      </c>
    </row>
    <row r="2" spans="1:155">
      <c r="A2" s="21" t="s">
        <v>491</v>
      </c>
      <c r="B2" s="21" t="s">
        <v>491</v>
      </c>
      <c r="C2" s="21" t="s">
        <v>492</v>
      </c>
      <c r="D2" s="21" t="s">
        <v>493</v>
      </c>
      <c r="E2" s="21" t="s">
        <v>493</v>
      </c>
      <c r="F2" s="21" t="s">
        <v>493</v>
      </c>
      <c r="G2" s="21" t="s">
        <v>977</v>
      </c>
      <c r="H2" s="21" t="s">
        <v>494</v>
      </c>
      <c r="I2" s="21">
        <v>84999028227</v>
      </c>
      <c r="J2" s="21" t="s">
        <v>978</v>
      </c>
      <c r="L2" s="21" t="s">
        <v>495</v>
      </c>
      <c r="M2" s="21" t="s">
        <v>979</v>
      </c>
      <c r="N2" s="21" t="s">
        <v>550</v>
      </c>
      <c r="O2" s="21" t="s">
        <v>69</v>
      </c>
      <c r="P2" s="21" t="s">
        <v>497</v>
      </c>
      <c r="R2" s="21" t="s">
        <v>551</v>
      </c>
      <c r="S2" s="21" t="s">
        <v>552</v>
      </c>
      <c r="V2" s="21" t="s">
        <v>500</v>
      </c>
      <c r="W2" s="21" t="s">
        <v>501</v>
      </c>
      <c r="X2" s="21" t="s">
        <v>502</v>
      </c>
      <c r="Y2" s="21" t="s">
        <v>503</v>
      </c>
      <c r="Z2" s="21">
        <v>3035202765</v>
      </c>
      <c r="AA2" s="22">
        <v>42727</v>
      </c>
      <c r="AB2" s="22">
        <v>42727</v>
      </c>
      <c r="AC2" s="21" t="s">
        <v>504</v>
      </c>
      <c r="AD2" s="21" t="s">
        <v>505</v>
      </c>
      <c r="AE2" s="21" t="s">
        <v>500</v>
      </c>
      <c r="AF2" s="21" t="s">
        <v>506</v>
      </c>
      <c r="AG2" s="21" t="s">
        <v>581</v>
      </c>
      <c r="AH2" s="21" t="s">
        <v>582</v>
      </c>
      <c r="AI2" s="21" t="s">
        <v>848</v>
      </c>
      <c r="AJ2" s="21" t="s">
        <v>526</v>
      </c>
      <c r="AK2" s="21" t="s">
        <v>494</v>
      </c>
      <c r="AL2" s="21" t="s">
        <v>527</v>
      </c>
      <c r="AM2" s="21" t="s">
        <v>527</v>
      </c>
      <c r="AN2" s="21" t="s">
        <v>527</v>
      </c>
      <c r="AO2" s="21" t="s">
        <v>528</v>
      </c>
      <c r="AS2" s="21" t="s">
        <v>511</v>
      </c>
      <c r="AT2" s="21" t="s">
        <v>512</v>
      </c>
      <c r="AW2" s="21">
        <v>0</v>
      </c>
      <c r="AX2" s="21">
        <v>2</v>
      </c>
      <c r="BC2" s="21" t="s">
        <v>513</v>
      </c>
      <c r="BD2" s="21" t="s">
        <v>514</v>
      </c>
      <c r="BE2" s="21" t="s">
        <v>514</v>
      </c>
      <c r="BF2" s="21" t="s">
        <v>515</v>
      </c>
      <c r="BG2" s="21">
        <v>1</v>
      </c>
      <c r="BH2" s="21" t="s">
        <v>516</v>
      </c>
      <c r="BI2" s="21" t="s">
        <v>517</v>
      </c>
      <c r="BJ2" s="21" t="s">
        <v>516</v>
      </c>
      <c r="BK2" s="21" t="s">
        <v>516</v>
      </c>
      <c r="BM2" s="21" t="s">
        <v>46</v>
      </c>
      <c r="BN2" s="21" t="s">
        <v>248</v>
      </c>
      <c r="BO2" s="21" t="s">
        <v>518</v>
      </c>
      <c r="BP2" s="21" t="s">
        <v>519</v>
      </c>
      <c r="BQ2" s="21" t="s">
        <v>46</v>
      </c>
      <c r="BR2" s="21" t="s">
        <v>248</v>
      </c>
      <c r="BS2" s="21" t="s">
        <v>518</v>
      </c>
      <c r="BT2" s="21" t="s">
        <v>519</v>
      </c>
      <c r="BU2" s="21" t="s">
        <v>248</v>
      </c>
      <c r="CD2" s="21" t="s">
        <v>520</v>
      </c>
      <c r="CF2" s="21" t="s">
        <v>521</v>
      </c>
      <c r="DB2" s="24" t="s">
        <v>943</v>
      </c>
      <c r="DC2" s="21">
        <v>1</v>
      </c>
      <c r="DD2" s="21">
        <v>1</v>
      </c>
      <c r="DE2" s="22">
        <v>42736</v>
      </c>
      <c r="DF2" s="21" t="s">
        <v>980</v>
      </c>
      <c r="DG2" s="21" t="s">
        <v>522</v>
      </c>
      <c r="DH2" s="21" t="s">
        <v>981</v>
      </c>
      <c r="DI2" s="21" t="s">
        <v>495</v>
      </c>
      <c r="DJ2" s="21" t="s">
        <v>523</v>
      </c>
      <c r="DL2" s="22">
        <v>42739</v>
      </c>
      <c r="DM2" s="22">
        <v>42729</v>
      </c>
      <c r="DN2" s="21">
        <v>3100</v>
      </c>
      <c r="DO2" s="21">
        <v>10</v>
      </c>
      <c r="DP2" s="21">
        <v>1</v>
      </c>
      <c r="DQ2" s="21">
        <v>2</v>
      </c>
      <c r="DR2" s="21">
        <v>6</v>
      </c>
      <c r="DS2" s="21">
        <v>8</v>
      </c>
      <c r="DT2" s="21">
        <v>8</v>
      </c>
      <c r="DU2" s="21">
        <v>8</v>
      </c>
      <c r="DW2" s="21">
        <v>9</v>
      </c>
      <c r="EA2" s="21">
        <v>9</v>
      </c>
      <c r="EF2" s="25">
        <v>1</v>
      </c>
      <c r="EG2" s="25">
        <v>0</v>
      </c>
      <c r="EH2" s="25">
        <v>1</v>
      </c>
      <c r="EI2" s="25">
        <v>0</v>
      </c>
      <c r="EJ2" s="25" t="s">
        <v>62</v>
      </c>
      <c r="EK2" s="25" t="s">
        <v>249</v>
      </c>
      <c r="EL2" s="25" t="s">
        <v>249</v>
      </c>
      <c r="EM2" s="25" t="s">
        <v>276</v>
      </c>
      <c r="EN2" s="25" t="s">
        <v>39</v>
      </c>
      <c r="EO2" s="25" t="s">
        <v>39</v>
      </c>
      <c r="EP2" s="25" t="s">
        <v>92</v>
      </c>
      <c r="EQ2" s="25" t="s">
        <v>92</v>
      </c>
      <c r="ER2" s="25" t="s">
        <v>278</v>
      </c>
      <c r="ES2" s="25" t="s">
        <v>278</v>
      </c>
      <c r="ET2" s="25">
        <v>1</v>
      </c>
      <c r="EU2" s="25" t="s">
        <v>522</v>
      </c>
      <c r="EV2" s="25" t="s">
        <v>249</v>
      </c>
      <c r="EW2" s="25" t="s">
        <v>39</v>
      </c>
      <c r="EX2" s="25" t="s">
        <v>278</v>
      </c>
      <c r="EY2" s="20" t="e">
        <v>#N/A</v>
      </c>
    </row>
    <row r="3" spans="1:155">
      <c r="A3" s="21" t="s">
        <v>491</v>
      </c>
      <c r="B3" s="21" t="s">
        <v>491</v>
      </c>
      <c r="C3" s="21" t="s">
        <v>492</v>
      </c>
      <c r="D3" s="21" t="s">
        <v>493</v>
      </c>
      <c r="E3" s="21" t="s">
        <v>493</v>
      </c>
      <c r="F3" s="21" t="s">
        <v>493</v>
      </c>
      <c r="G3" s="21" t="s">
        <v>970</v>
      </c>
      <c r="H3" s="21">
        <v>1639451515</v>
      </c>
      <c r="I3" s="21" t="s">
        <v>494</v>
      </c>
      <c r="J3" s="21" t="s">
        <v>971</v>
      </c>
      <c r="L3" s="21" t="s">
        <v>495</v>
      </c>
      <c r="M3" s="21" t="s">
        <v>972</v>
      </c>
      <c r="N3" s="21" t="s">
        <v>573</v>
      </c>
      <c r="O3" s="21" t="s">
        <v>58</v>
      </c>
      <c r="P3" s="21" t="s">
        <v>557</v>
      </c>
      <c r="R3" s="21" t="s">
        <v>574</v>
      </c>
      <c r="S3" s="21" t="s">
        <v>575</v>
      </c>
      <c r="V3" s="21" t="s">
        <v>500</v>
      </c>
      <c r="W3" s="21" t="s">
        <v>501</v>
      </c>
      <c r="X3" s="21" t="s">
        <v>502</v>
      </c>
      <c r="Y3" s="21" t="s">
        <v>558</v>
      </c>
      <c r="Z3" s="21">
        <v>3035236191</v>
      </c>
      <c r="AA3" s="22">
        <v>42730</v>
      </c>
      <c r="AB3" s="22">
        <v>42730</v>
      </c>
      <c r="AC3" s="21" t="s">
        <v>504</v>
      </c>
      <c r="AD3" s="21" t="s">
        <v>505</v>
      </c>
      <c r="AE3" s="21" t="s">
        <v>500</v>
      </c>
      <c r="AF3" s="21" t="s">
        <v>549</v>
      </c>
      <c r="AG3" s="21" t="s">
        <v>587</v>
      </c>
      <c r="AH3" s="21" t="s">
        <v>579</v>
      </c>
      <c r="AI3" s="21" t="s">
        <v>973</v>
      </c>
      <c r="AJ3" s="21" t="s">
        <v>526</v>
      </c>
      <c r="AK3" s="21" t="s">
        <v>494</v>
      </c>
      <c r="AL3" s="21" t="s">
        <v>527</v>
      </c>
      <c r="AM3" s="21" t="s">
        <v>527</v>
      </c>
      <c r="AN3" s="21" t="s">
        <v>527</v>
      </c>
      <c r="AO3" s="21" t="s">
        <v>528</v>
      </c>
      <c r="AS3" s="21" t="s">
        <v>511</v>
      </c>
      <c r="AT3" s="21" t="s">
        <v>512</v>
      </c>
      <c r="AW3" s="21">
        <v>0</v>
      </c>
      <c r="AX3" s="21">
        <v>2</v>
      </c>
      <c r="BC3" s="21" t="s">
        <v>513</v>
      </c>
      <c r="BD3" s="21" t="s">
        <v>514</v>
      </c>
      <c r="BE3" s="21" t="s">
        <v>514</v>
      </c>
      <c r="BF3" s="21" t="s">
        <v>515</v>
      </c>
      <c r="BG3" s="21">
        <v>1</v>
      </c>
      <c r="BH3" s="21" t="s">
        <v>516</v>
      </c>
      <c r="BI3" s="21" t="s">
        <v>517</v>
      </c>
      <c r="BJ3" s="21" t="s">
        <v>516</v>
      </c>
      <c r="BK3" s="21" t="s">
        <v>516</v>
      </c>
      <c r="BM3" s="21" t="s">
        <v>846</v>
      </c>
      <c r="BN3" s="21" t="s">
        <v>854</v>
      </c>
      <c r="BO3" s="21" t="s">
        <v>518</v>
      </c>
      <c r="BP3" s="21" t="s">
        <v>519</v>
      </c>
      <c r="BQ3" s="21" t="s">
        <v>846</v>
      </c>
      <c r="BR3" s="21" t="s">
        <v>854</v>
      </c>
      <c r="BS3" s="21" t="s">
        <v>518</v>
      </c>
      <c r="BT3" s="21" t="s">
        <v>519</v>
      </c>
      <c r="BU3" s="21" t="s">
        <v>854</v>
      </c>
      <c r="CD3" s="21" t="s">
        <v>520</v>
      </c>
      <c r="CF3" s="21" t="s">
        <v>521</v>
      </c>
      <c r="DB3" s="24" t="s">
        <v>943</v>
      </c>
      <c r="DC3" s="21">
        <v>1</v>
      </c>
      <c r="DD3" s="21">
        <v>1</v>
      </c>
      <c r="DE3" s="22">
        <v>42736</v>
      </c>
      <c r="DF3" s="21" t="s">
        <v>974</v>
      </c>
      <c r="DG3" s="21" t="s">
        <v>522</v>
      </c>
      <c r="DH3" s="21" t="s">
        <v>975</v>
      </c>
      <c r="DI3" s="21" t="s">
        <v>495</v>
      </c>
      <c r="DJ3" s="21" t="s">
        <v>523</v>
      </c>
      <c r="DL3" s="22">
        <v>42742</v>
      </c>
      <c r="DM3" s="22">
        <v>42732</v>
      </c>
      <c r="DN3" s="21">
        <v>3100</v>
      </c>
      <c r="DO3" s="21">
        <v>10</v>
      </c>
      <c r="DP3" s="21">
        <v>1</v>
      </c>
      <c r="DQ3" s="21">
        <v>1</v>
      </c>
      <c r="DR3" s="21">
        <v>7</v>
      </c>
      <c r="DS3" s="21">
        <v>10</v>
      </c>
      <c r="DT3" s="21">
        <v>10</v>
      </c>
      <c r="DU3" s="21">
        <v>10</v>
      </c>
      <c r="DW3" s="21">
        <v>10</v>
      </c>
      <c r="EA3" s="21">
        <v>10</v>
      </c>
      <c r="EB3" s="21" t="s">
        <v>976</v>
      </c>
      <c r="EF3" s="25">
        <v>1</v>
      </c>
      <c r="EG3" s="25">
        <v>0</v>
      </c>
      <c r="EH3" s="25">
        <v>1</v>
      </c>
      <c r="EI3" s="25">
        <v>0</v>
      </c>
      <c r="EJ3" s="25" t="s">
        <v>62</v>
      </c>
      <c r="EK3" s="25" t="s">
        <v>276</v>
      </c>
      <c r="EL3" s="25" t="s">
        <v>276</v>
      </c>
      <c r="EM3" s="25" t="s">
        <v>276</v>
      </c>
      <c r="EN3" s="25" t="s">
        <v>276</v>
      </c>
      <c r="EO3" s="25" t="s">
        <v>276</v>
      </c>
      <c r="EP3" s="25" t="s">
        <v>276</v>
      </c>
      <c r="EQ3" s="25" t="s">
        <v>276</v>
      </c>
      <c r="ER3" s="25" t="s">
        <v>276</v>
      </c>
      <c r="ES3" s="25" t="s">
        <v>276</v>
      </c>
      <c r="ET3" s="25">
        <v>1</v>
      </c>
      <c r="EU3" s="25" t="s">
        <v>522</v>
      </c>
      <c r="EV3" s="25" t="s">
        <v>276</v>
      </c>
      <c r="EW3" s="25" t="s">
        <v>276</v>
      </c>
      <c r="EX3" s="25" t="s">
        <v>276</v>
      </c>
      <c r="EY3" s="20" t="s">
        <v>273</v>
      </c>
    </row>
    <row r="4" spans="1:155">
      <c r="A4" s="21" t="s">
        <v>491</v>
      </c>
      <c r="B4" s="21" t="s">
        <v>491</v>
      </c>
      <c r="C4" s="21" t="s">
        <v>492</v>
      </c>
      <c r="D4" s="21" t="s">
        <v>493</v>
      </c>
      <c r="E4" s="21" t="s">
        <v>493</v>
      </c>
      <c r="F4" s="21" t="s">
        <v>493</v>
      </c>
      <c r="G4" s="21" t="s">
        <v>982</v>
      </c>
      <c r="H4" s="21" t="s">
        <v>983</v>
      </c>
      <c r="I4" s="21" t="s">
        <v>494</v>
      </c>
      <c r="J4" s="21" t="s">
        <v>984</v>
      </c>
      <c r="L4" s="21" t="s">
        <v>495</v>
      </c>
      <c r="M4" s="21" t="s">
        <v>985</v>
      </c>
      <c r="N4" s="21" t="s">
        <v>986</v>
      </c>
      <c r="O4" s="21" t="s">
        <v>98</v>
      </c>
      <c r="P4" s="21" t="s">
        <v>553</v>
      </c>
      <c r="R4" s="21" t="s">
        <v>588</v>
      </c>
      <c r="S4" s="21" t="s">
        <v>589</v>
      </c>
      <c r="V4" s="21" t="s">
        <v>500</v>
      </c>
      <c r="W4" s="21" t="s">
        <v>501</v>
      </c>
      <c r="X4" s="21" t="s">
        <v>502</v>
      </c>
      <c r="Y4" s="21" t="s">
        <v>554</v>
      </c>
      <c r="Z4" s="21">
        <v>3035065817</v>
      </c>
      <c r="AA4" s="22">
        <v>42723</v>
      </c>
      <c r="AB4" s="22">
        <v>42731</v>
      </c>
      <c r="AC4" s="21" t="s">
        <v>504</v>
      </c>
      <c r="AD4" s="21" t="s">
        <v>512</v>
      </c>
      <c r="AE4" s="21" t="s">
        <v>500</v>
      </c>
      <c r="AF4" s="21" t="s">
        <v>564</v>
      </c>
      <c r="AG4" s="21" t="s">
        <v>571</v>
      </c>
      <c r="AH4" s="21" t="s">
        <v>572</v>
      </c>
      <c r="AI4" s="21" t="s">
        <v>987</v>
      </c>
      <c r="AJ4" s="21" t="s">
        <v>507</v>
      </c>
      <c r="AK4" s="21" t="s">
        <v>494</v>
      </c>
      <c r="AL4" s="21" t="s">
        <v>508</v>
      </c>
      <c r="AM4" s="21" t="s">
        <v>509</v>
      </c>
      <c r="AN4" s="21" t="s">
        <v>509</v>
      </c>
      <c r="AO4" s="21" t="s">
        <v>510</v>
      </c>
      <c r="AS4" s="21" t="s">
        <v>511</v>
      </c>
      <c r="AT4" s="21" t="s">
        <v>532</v>
      </c>
      <c r="AX4" s="21">
        <v>5</v>
      </c>
      <c r="AY4" s="22"/>
      <c r="BB4" s="22"/>
      <c r="BC4" s="21" t="s">
        <v>513</v>
      </c>
      <c r="BD4" s="21" t="s">
        <v>514</v>
      </c>
      <c r="BE4" s="21" t="s">
        <v>514</v>
      </c>
      <c r="BF4" s="21" t="s">
        <v>515</v>
      </c>
      <c r="BG4" s="21">
        <v>1</v>
      </c>
      <c r="BH4" s="21" t="s">
        <v>516</v>
      </c>
      <c r="BI4" s="21" t="s">
        <v>517</v>
      </c>
      <c r="BJ4" s="21" t="s">
        <v>516</v>
      </c>
      <c r="BK4" s="21" t="s">
        <v>516</v>
      </c>
      <c r="BN4" s="21" t="s">
        <v>115</v>
      </c>
      <c r="BR4" s="21" t="s">
        <v>883</v>
      </c>
      <c r="BT4" s="21" t="s">
        <v>533</v>
      </c>
      <c r="BU4" s="21" t="s">
        <v>115</v>
      </c>
      <c r="CD4" s="21" t="s">
        <v>520</v>
      </c>
      <c r="CF4" s="21" t="s">
        <v>534</v>
      </c>
      <c r="CG4" s="21" t="s">
        <v>515</v>
      </c>
      <c r="CH4" s="21" t="s">
        <v>535</v>
      </c>
      <c r="CI4" s="21" t="s">
        <v>536</v>
      </c>
      <c r="CJ4" s="21" t="s">
        <v>988</v>
      </c>
      <c r="CL4" s="21" t="s">
        <v>989</v>
      </c>
      <c r="CM4" s="21">
        <v>3035262680</v>
      </c>
      <c r="CN4" s="21">
        <v>42731</v>
      </c>
      <c r="CO4" s="21" t="s">
        <v>537</v>
      </c>
      <c r="CP4" s="21" t="s">
        <v>516</v>
      </c>
      <c r="CR4" s="21" t="s">
        <v>21</v>
      </c>
      <c r="CS4" s="21" t="s">
        <v>516</v>
      </c>
      <c r="CU4" s="21" t="s">
        <v>990</v>
      </c>
      <c r="CV4" s="21" t="s">
        <v>990</v>
      </c>
      <c r="CW4" s="21" t="s">
        <v>519</v>
      </c>
      <c r="CX4" s="21" t="s">
        <v>54</v>
      </c>
      <c r="CY4" s="21" t="s">
        <v>516</v>
      </c>
      <c r="CZ4" s="21" t="s">
        <v>533</v>
      </c>
      <c r="DA4" s="21" t="s">
        <v>516</v>
      </c>
      <c r="DB4" s="24" t="s">
        <v>943</v>
      </c>
      <c r="DC4" s="21">
        <v>1</v>
      </c>
      <c r="DD4" s="21">
        <v>1</v>
      </c>
      <c r="DE4" s="22">
        <v>42736</v>
      </c>
      <c r="DF4" s="21" t="s">
        <v>991</v>
      </c>
      <c r="DG4" s="21" t="s">
        <v>538</v>
      </c>
      <c r="DH4" s="21" t="s">
        <v>992</v>
      </c>
      <c r="DI4" s="21" t="s">
        <v>495</v>
      </c>
      <c r="DJ4" s="21" t="s">
        <v>520</v>
      </c>
      <c r="DL4" s="22">
        <v>42743</v>
      </c>
      <c r="DM4" s="22">
        <v>42733</v>
      </c>
      <c r="DN4" s="21">
        <v>3100</v>
      </c>
      <c r="DO4" s="21">
        <v>3</v>
      </c>
      <c r="DP4" s="21">
        <v>2</v>
      </c>
      <c r="DQ4" s="21">
        <v>2</v>
      </c>
      <c r="DR4" s="21">
        <v>2</v>
      </c>
      <c r="DS4" s="21">
        <v>3</v>
      </c>
      <c r="DT4" s="21">
        <v>3</v>
      </c>
      <c r="DU4" s="21">
        <v>0</v>
      </c>
      <c r="DW4" s="21">
        <v>0</v>
      </c>
      <c r="DY4" s="21">
        <v>0</v>
      </c>
      <c r="EA4" s="21">
        <v>0</v>
      </c>
      <c r="EB4" s="21" t="s">
        <v>993</v>
      </c>
      <c r="EC4" s="21" t="s">
        <v>1001</v>
      </c>
      <c r="EF4" s="25">
        <v>0</v>
      </c>
      <c r="EG4" s="25">
        <v>1</v>
      </c>
      <c r="EH4" s="25">
        <v>0</v>
      </c>
      <c r="EI4" s="25">
        <v>1</v>
      </c>
      <c r="EJ4" s="25" t="s">
        <v>62</v>
      </c>
      <c r="EK4" s="25" t="s">
        <v>116</v>
      </c>
      <c r="EL4" s="25" t="s">
        <v>96</v>
      </c>
      <c r="EM4" s="25" t="s">
        <v>276</v>
      </c>
      <c r="EN4" s="25" t="s">
        <v>127</v>
      </c>
      <c r="EO4" s="25" t="s">
        <v>204</v>
      </c>
      <c r="EP4" s="25" t="s">
        <v>529</v>
      </c>
      <c r="EQ4" s="25" t="s">
        <v>65</v>
      </c>
      <c r="ER4" s="25" t="s">
        <v>278</v>
      </c>
      <c r="ES4" s="25" t="s">
        <v>278</v>
      </c>
      <c r="ET4" s="25">
        <v>1</v>
      </c>
      <c r="EU4" s="25" t="s">
        <v>522</v>
      </c>
      <c r="EV4" s="25" t="s">
        <v>279</v>
      </c>
      <c r="EW4" s="25" t="s">
        <v>279</v>
      </c>
      <c r="EX4" s="25" t="s">
        <v>279</v>
      </c>
      <c r="EY4" s="20" t="e">
        <v>#N/A</v>
      </c>
    </row>
    <row r="5" spans="1:155">
      <c r="A5" s="21" t="s">
        <v>491</v>
      </c>
      <c r="B5" s="21" t="s">
        <v>491</v>
      </c>
      <c r="C5" s="21" t="s">
        <v>492</v>
      </c>
      <c r="D5" s="21" t="s">
        <v>493</v>
      </c>
      <c r="E5" s="21" t="s">
        <v>493</v>
      </c>
      <c r="F5" s="21" t="s">
        <v>493</v>
      </c>
      <c r="G5" s="21" t="s">
        <v>940</v>
      </c>
      <c r="H5" s="21">
        <v>1127830776</v>
      </c>
      <c r="I5" s="21" t="s">
        <v>494</v>
      </c>
      <c r="J5" s="21" t="s">
        <v>941</v>
      </c>
      <c r="L5" s="21" t="s">
        <v>495</v>
      </c>
      <c r="M5" s="21" t="s">
        <v>942</v>
      </c>
      <c r="N5" s="21" t="s">
        <v>576</v>
      </c>
      <c r="O5" s="21" t="s">
        <v>79</v>
      </c>
      <c r="P5" s="21" t="s">
        <v>570</v>
      </c>
      <c r="Q5" s="21" t="s">
        <v>807</v>
      </c>
      <c r="R5" s="21" t="s">
        <v>577</v>
      </c>
      <c r="S5" s="21" t="s">
        <v>578</v>
      </c>
      <c r="V5" s="21" t="s">
        <v>500</v>
      </c>
      <c r="W5" s="21" t="s">
        <v>501</v>
      </c>
      <c r="X5" s="21" t="s">
        <v>502</v>
      </c>
      <c r="Y5" s="21" t="s">
        <v>503</v>
      </c>
      <c r="Z5" s="21">
        <v>3035337009</v>
      </c>
      <c r="AA5" s="22">
        <v>42733</v>
      </c>
      <c r="AB5" s="22">
        <v>42733</v>
      </c>
      <c r="AC5" s="21" t="s">
        <v>504</v>
      </c>
      <c r="AD5" s="21" t="s">
        <v>505</v>
      </c>
      <c r="AE5" s="21" t="s">
        <v>500</v>
      </c>
      <c r="AF5" s="21" t="s">
        <v>549</v>
      </c>
      <c r="AG5" s="21" t="s">
        <v>555</v>
      </c>
      <c r="AH5" s="21" t="s">
        <v>556</v>
      </c>
      <c r="AI5" s="21" t="s">
        <v>594</v>
      </c>
      <c r="AJ5" s="21" t="s">
        <v>526</v>
      </c>
      <c r="AK5" s="21" t="s">
        <v>494</v>
      </c>
      <c r="AL5" s="21" t="s">
        <v>527</v>
      </c>
      <c r="AM5" s="21" t="s">
        <v>527</v>
      </c>
      <c r="AN5" s="21" t="s">
        <v>527</v>
      </c>
      <c r="AO5" s="21" t="s">
        <v>528</v>
      </c>
      <c r="AS5" s="21" t="s">
        <v>511</v>
      </c>
      <c r="AT5" s="21" t="s">
        <v>512</v>
      </c>
      <c r="AW5" s="21">
        <v>0</v>
      </c>
      <c r="AX5" s="21">
        <v>2</v>
      </c>
      <c r="BC5" s="21" t="s">
        <v>513</v>
      </c>
      <c r="BD5" s="21" t="s">
        <v>514</v>
      </c>
      <c r="BE5" s="21" t="s">
        <v>514</v>
      </c>
      <c r="BF5" s="21" t="s">
        <v>515</v>
      </c>
      <c r="BG5" s="21">
        <v>1</v>
      </c>
      <c r="BH5" s="21" t="s">
        <v>516</v>
      </c>
      <c r="BI5" s="21" t="s">
        <v>517</v>
      </c>
      <c r="BJ5" s="21" t="s">
        <v>516</v>
      </c>
      <c r="BK5" s="21" t="s">
        <v>516</v>
      </c>
      <c r="BM5" s="21" t="s">
        <v>861</v>
      </c>
      <c r="BN5" s="21" t="s">
        <v>852</v>
      </c>
      <c r="BO5" s="21" t="s">
        <v>849</v>
      </c>
      <c r="BP5" s="21" t="s">
        <v>541</v>
      </c>
      <c r="BQ5" s="21" t="s">
        <v>861</v>
      </c>
      <c r="BR5" s="21" t="s">
        <v>852</v>
      </c>
      <c r="BS5" s="21" t="s">
        <v>849</v>
      </c>
      <c r="BT5" s="21" t="s">
        <v>541</v>
      </c>
      <c r="BU5" s="21" t="s">
        <v>852</v>
      </c>
      <c r="CD5" s="21" t="s">
        <v>520</v>
      </c>
      <c r="CF5" s="21" t="s">
        <v>534</v>
      </c>
      <c r="CN5" s="22"/>
      <c r="DB5" s="24" t="s">
        <v>943</v>
      </c>
      <c r="DC5" s="21">
        <v>1</v>
      </c>
      <c r="DD5" s="21">
        <v>1</v>
      </c>
      <c r="DE5" s="22">
        <v>42736</v>
      </c>
      <c r="DF5" s="21" t="s">
        <v>944</v>
      </c>
      <c r="DG5" s="21" t="s">
        <v>522</v>
      </c>
      <c r="DH5" s="21" t="s">
        <v>945</v>
      </c>
      <c r="DI5" s="21" t="s">
        <v>495</v>
      </c>
      <c r="DJ5" s="21" t="s">
        <v>520</v>
      </c>
      <c r="DL5" s="22">
        <v>42745</v>
      </c>
      <c r="DM5" s="22">
        <v>42735</v>
      </c>
      <c r="DN5" s="21">
        <v>3100</v>
      </c>
      <c r="DO5" s="21">
        <v>10</v>
      </c>
      <c r="DP5" s="21">
        <v>1</v>
      </c>
      <c r="DQ5" s="21">
        <v>1</v>
      </c>
      <c r="DR5" s="21">
        <v>6</v>
      </c>
      <c r="DS5" s="21">
        <v>10</v>
      </c>
      <c r="DT5" s="21">
        <v>10</v>
      </c>
      <c r="DU5" s="21">
        <v>10</v>
      </c>
      <c r="DW5" s="21">
        <v>9</v>
      </c>
      <c r="DY5" s="21">
        <v>10</v>
      </c>
      <c r="EA5" s="21">
        <v>10</v>
      </c>
      <c r="EB5" s="21" t="s">
        <v>946</v>
      </c>
      <c r="EC5" s="21" t="s">
        <v>1002</v>
      </c>
      <c r="EF5" s="25">
        <v>1</v>
      </c>
      <c r="EG5" s="25">
        <v>0</v>
      </c>
      <c r="EH5" s="25">
        <v>1</v>
      </c>
      <c r="EI5" s="25">
        <v>0</v>
      </c>
      <c r="EJ5" s="25" t="s">
        <v>62</v>
      </c>
      <c r="EK5" s="25" t="s">
        <v>197</v>
      </c>
      <c r="EL5" s="25" t="s">
        <v>197</v>
      </c>
      <c r="EM5" s="25" t="s">
        <v>276</v>
      </c>
      <c r="EN5" s="25" t="s">
        <v>271</v>
      </c>
      <c r="EO5" s="25" t="s">
        <v>271</v>
      </c>
      <c r="EP5" s="25" t="s">
        <v>548</v>
      </c>
      <c r="EQ5" s="25" t="s">
        <v>548</v>
      </c>
      <c r="ER5" s="25" t="s">
        <v>278</v>
      </c>
      <c r="ES5" s="25" t="s">
        <v>278</v>
      </c>
      <c r="ET5" s="25">
        <v>1</v>
      </c>
      <c r="EU5" s="25" t="s">
        <v>522</v>
      </c>
      <c r="EV5" s="25" t="s">
        <v>197</v>
      </c>
      <c r="EW5" s="25" t="s">
        <v>271</v>
      </c>
      <c r="EX5" s="25" t="s">
        <v>278</v>
      </c>
      <c r="EY5" s="20" t="e">
        <v>#N/A</v>
      </c>
    </row>
    <row r="6" spans="1:155">
      <c r="A6" s="21" t="s">
        <v>491</v>
      </c>
      <c r="B6" s="21" t="s">
        <v>491</v>
      </c>
      <c r="C6" s="21" t="s">
        <v>492</v>
      </c>
      <c r="D6" s="21" t="s">
        <v>493</v>
      </c>
      <c r="E6" s="21" t="s">
        <v>493</v>
      </c>
      <c r="F6" s="21" t="s">
        <v>493</v>
      </c>
      <c r="G6" s="21" t="s">
        <v>964</v>
      </c>
      <c r="H6" s="21">
        <v>7134603515</v>
      </c>
      <c r="I6" s="21" t="s">
        <v>494</v>
      </c>
      <c r="J6" s="21" t="s">
        <v>965</v>
      </c>
      <c r="L6" s="21" t="s">
        <v>495</v>
      </c>
      <c r="M6" s="21" t="s">
        <v>966</v>
      </c>
      <c r="N6" s="21" t="s">
        <v>496</v>
      </c>
      <c r="O6" s="21" t="s">
        <v>69</v>
      </c>
      <c r="P6" s="21" t="s">
        <v>497</v>
      </c>
      <c r="Q6" s="21" t="s">
        <v>860</v>
      </c>
      <c r="R6" s="21" t="s">
        <v>498</v>
      </c>
      <c r="S6" s="21" t="s">
        <v>499</v>
      </c>
      <c r="V6" s="21" t="s">
        <v>500</v>
      </c>
      <c r="W6" s="21" t="s">
        <v>501</v>
      </c>
      <c r="X6" s="21" t="s">
        <v>502</v>
      </c>
      <c r="Y6" s="21" t="s">
        <v>503</v>
      </c>
      <c r="Z6" s="21">
        <v>3035328400</v>
      </c>
      <c r="AA6" s="22">
        <v>42733</v>
      </c>
      <c r="AB6" s="22">
        <v>42733</v>
      </c>
      <c r="AC6" s="21" t="s">
        <v>504</v>
      </c>
      <c r="AD6" s="21" t="s">
        <v>505</v>
      </c>
      <c r="AE6" s="21" t="s">
        <v>500</v>
      </c>
      <c r="AF6" s="21" t="s">
        <v>549</v>
      </c>
      <c r="AG6" s="21" t="s">
        <v>555</v>
      </c>
      <c r="AH6" s="21" t="s">
        <v>556</v>
      </c>
      <c r="AI6" s="21" t="s">
        <v>967</v>
      </c>
      <c r="AJ6" s="21" t="s">
        <v>526</v>
      </c>
      <c r="AK6" s="21" t="s">
        <v>494</v>
      </c>
      <c r="AL6" s="21" t="s">
        <v>527</v>
      </c>
      <c r="AM6" s="21" t="s">
        <v>527</v>
      </c>
      <c r="AN6" s="21" t="s">
        <v>527</v>
      </c>
      <c r="AO6" s="21" t="s">
        <v>528</v>
      </c>
      <c r="AS6" s="21" t="s">
        <v>511</v>
      </c>
      <c r="AT6" s="21" t="s">
        <v>512</v>
      </c>
      <c r="AW6" s="21">
        <v>0</v>
      </c>
      <c r="AX6" s="21">
        <v>2</v>
      </c>
      <c r="AY6" s="22"/>
      <c r="BB6" s="22"/>
      <c r="BC6" s="21" t="s">
        <v>513</v>
      </c>
      <c r="BD6" s="21" t="s">
        <v>514</v>
      </c>
      <c r="BE6" s="21" t="s">
        <v>514</v>
      </c>
      <c r="BF6" s="21" t="s">
        <v>515</v>
      </c>
      <c r="BG6" s="21">
        <v>1</v>
      </c>
      <c r="BH6" s="21" t="s">
        <v>516</v>
      </c>
      <c r="BI6" s="21" t="s">
        <v>517</v>
      </c>
      <c r="BJ6" s="21" t="s">
        <v>516</v>
      </c>
      <c r="BK6" s="21" t="s">
        <v>516</v>
      </c>
      <c r="BM6" s="21" t="s">
        <v>861</v>
      </c>
      <c r="BN6" s="21" t="s">
        <v>852</v>
      </c>
      <c r="BO6" s="21" t="s">
        <v>849</v>
      </c>
      <c r="BP6" s="21" t="s">
        <v>541</v>
      </c>
      <c r="BQ6" s="21" t="s">
        <v>861</v>
      </c>
      <c r="BR6" s="21" t="s">
        <v>852</v>
      </c>
      <c r="BS6" s="21" t="s">
        <v>849</v>
      </c>
      <c r="BT6" s="21" t="s">
        <v>541</v>
      </c>
      <c r="BU6" s="21" t="s">
        <v>852</v>
      </c>
      <c r="CD6" s="21" t="s">
        <v>520</v>
      </c>
      <c r="CF6" s="21" t="s">
        <v>534</v>
      </c>
      <c r="DB6" s="24" t="s">
        <v>943</v>
      </c>
      <c r="DC6" s="21">
        <v>1</v>
      </c>
      <c r="DD6" s="21">
        <v>1</v>
      </c>
      <c r="DE6" s="22">
        <v>42736</v>
      </c>
      <c r="DF6" s="21" t="s">
        <v>968</v>
      </c>
      <c r="DG6" s="21" t="s">
        <v>522</v>
      </c>
      <c r="DH6" s="21" t="s">
        <v>969</v>
      </c>
      <c r="DI6" s="21" t="s">
        <v>495</v>
      </c>
      <c r="DJ6" s="21" t="s">
        <v>520</v>
      </c>
      <c r="DL6" s="22">
        <v>42745</v>
      </c>
      <c r="DM6" s="22">
        <v>42735</v>
      </c>
      <c r="DN6" s="21">
        <v>3100</v>
      </c>
      <c r="DO6" s="21">
        <v>8</v>
      </c>
      <c r="DP6" s="21">
        <v>1</v>
      </c>
      <c r="DQ6" s="21">
        <v>1</v>
      </c>
      <c r="DR6" s="21">
        <v>6</v>
      </c>
      <c r="DS6" s="21">
        <v>9</v>
      </c>
      <c r="DT6" s="21">
        <v>8</v>
      </c>
      <c r="DU6" s="21">
        <v>9</v>
      </c>
      <c r="DW6" s="21">
        <v>9</v>
      </c>
      <c r="DY6" s="21">
        <v>99</v>
      </c>
      <c r="EA6" s="21">
        <v>9</v>
      </c>
      <c r="EF6" s="25">
        <v>1</v>
      </c>
      <c r="EG6" s="25">
        <v>0</v>
      </c>
      <c r="EH6" s="25">
        <v>0</v>
      </c>
      <c r="EI6" s="25">
        <v>0</v>
      </c>
      <c r="EJ6" s="25" t="s">
        <v>62</v>
      </c>
      <c r="EK6" s="25" t="s">
        <v>197</v>
      </c>
      <c r="EL6" s="25" t="s">
        <v>197</v>
      </c>
      <c r="EM6" s="25" t="s">
        <v>276</v>
      </c>
      <c r="EN6" s="25" t="s">
        <v>271</v>
      </c>
      <c r="EO6" s="25" t="s">
        <v>271</v>
      </c>
      <c r="EP6" s="25" t="s">
        <v>548</v>
      </c>
      <c r="EQ6" s="25" t="s">
        <v>548</v>
      </c>
      <c r="ER6" s="25" t="s">
        <v>278</v>
      </c>
      <c r="ES6" s="25" t="s">
        <v>278</v>
      </c>
      <c r="ET6" s="25">
        <v>1</v>
      </c>
      <c r="EU6" s="25" t="s">
        <v>522</v>
      </c>
      <c r="EV6" s="25" t="s">
        <v>197</v>
      </c>
      <c r="EW6" s="25" t="s">
        <v>271</v>
      </c>
      <c r="EX6" s="25" t="s">
        <v>278</v>
      </c>
      <c r="EY6" s="20" t="e">
        <v>#N/A</v>
      </c>
    </row>
    <row r="7" spans="1:155">
      <c r="A7" s="21" t="s">
        <v>491</v>
      </c>
      <c r="B7" s="21" t="s">
        <v>491</v>
      </c>
      <c r="C7" s="21" t="s">
        <v>492</v>
      </c>
      <c r="D7" s="21" t="s">
        <v>493</v>
      </c>
      <c r="E7" s="21" t="s">
        <v>493</v>
      </c>
      <c r="F7" s="21" t="s">
        <v>493</v>
      </c>
      <c r="G7" s="21" t="s">
        <v>947</v>
      </c>
      <c r="H7" s="21" t="s">
        <v>948</v>
      </c>
      <c r="I7" s="21">
        <v>32988153639</v>
      </c>
      <c r="J7" s="21" t="s">
        <v>949</v>
      </c>
      <c r="L7" s="21" t="s">
        <v>495</v>
      </c>
      <c r="M7" s="21" t="s">
        <v>494</v>
      </c>
      <c r="N7" s="21" t="s">
        <v>494</v>
      </c>
      <c r="O7" s="21" t="s">
        <v>514</v>
      </c>
      <c r="P7" s="21" t="s">
        <v>595</v>
      </c>
      <c r="R7" s="21" t="s">
        <v>494</v>
      </c>
      <c r="S7" s="21" t="s">
        <v>494</v>
      </c>
      <c r="V7" s="21" t="s">
        <v>514</v>
      </c>
      <c r="W7" s="21" t="s">
        <v>514</v>
      </c>
      <c r="X7" s="21" t="s">
        <v>514</v>
      </c>
      <c r="Y7" s="21" t="s">
        <v>514</v>
      </c>
      <c r="Z7" s="21">
        <v>3035171000</v>
      </c>
      <c r="AA7" s="22">
        <v>42726</v>
      </c>
      <c r="AB7" s="22">
        <v>42733</v>
      </c>
      <c r="AC7" s="21" t="s">
        <v>504</v>
      </c>
      <c r="AD7" s="21" t="s">
        <v>512</v>
      </c>
      <c r="AE7" s="21" t="s">
        <v>540</v>
      </c>
      <c r="AF7" s="21" t="s">
        <v>863</v>
      </c>
      <c r="AG7" s="21" t="s">
        <v>950</v>
      </c>
      <c r="AH7" s="21" t="s">
        <v>951</v>
      </c>
      <c r="AI7" s="21" t="s">
        <v>847</v>
      </c>
      <c r="AJ7" s="21" t="s">
        <v>569</v>
      </c>
      <c r="AK7" s="21" t="s">
        <v>494</v>
      </c>
      <c r="AM7" s="21" t="s">
        <v>586</v>
      </c>
      <c r="AN7" s="21" t="s">
        <v>586</v>
      </c>
      <c r="AO7" s="21" t="s">
        <v>586</v>
      </c>
      <c r="AS7" s="21" t="s">
        <v>531</v>
      </c>
      <c r="AT7" s="21" t="s">
        <v>532</v>
      </c>
      <c r="AX7" s="21">
        <v>1</v>
      </c>
      <c r="AY7" s="22"/>
      <c r="BB7" s="22"/>
      <c r="BC7" s="21" t="s">
        <v>513</v>
      </c>
      <c r="BD7" s="21" t="s">
        <v>514</v>
      </c>
      <c r="BE7" s="21" t="s">
        <v>514</v>
      </c>
      <c r="BF7" s="21" t="s">
        <v>515</v>
      </c>
      <c r="BG7" s="21">
        <v>1</v>
      </c>
      <c r="BH7" s="21" t="s">
        <v>516</v>
      </c>
      <c r="BI7" s="21" t="s">
        <v>517</v>
      </c>
      <c r="BJ7" s="21" t="s">
        <v>516</v>
      </c>
      <c r="BK7" s="21" t="s">
        <v>516</v>
      </c>
      <c r="BN7" s="21" t="s">
        <v>274</v>
      </c>
      <c r="BR7" s="21" t="s">
        <v>282</v>
      </c>
      <c r="BT7" s="21" t="s">
        <v>541</v>
      </c>
      <c r="BU7" s="21" t="s">
        <v>274</v>
      </c>
      <c r="CD7" s="21" t="s">
        <v>520</v>
      </c>
      <c r="CF7" s="21" t="s">
        <v>534</v>
      </c>
      <c r="CG7" s="21" t="s">
        <v>542</v>
      </c>
      <c r="CH7" s="21" t="s">
        <v>543</v>
      </c>
      <c r="CI7" s="21" t="s">
        <v>596</v>
      </c>
      <c r="CJ7" s="21" t="s">
        <v>952</v>
      </c>
      <c r="CL7" s="21" t="s">
        <v>544</v>
      </c>
      <c r="CM7" s="21">
        <v>3035171095</v>
      </c>
      <c r="CN7" s="21">
        <v>42726</v>
      </c>
      <c r="CO7" s="21" t="s">
        <v>537</v>
      </c>
      <c r="CP7" s="21" t="s">
        <v>516</v>
      </c>
      <c r="CR7" s="21" t="s">
        <v>545</v>
      </c>
      <c r="CS7" s="21" t="s">
        <v>516</v>
      </c>
      <c r="CU7" s="21" t="s">
        <v>546</v>
      </c>
      <c r="CV7" s="21" t="s">
        <v>546</v>
      </c>
      <c r="CW7" s="21" t="s">
        <v>547</v>
      </c>
      <c r="CX7" s="21" t="s">
        <v>545</v>
      </c>
      <c r="CY7" s="21" t="s">
        <v>516</v>
      </c>
      <c r="CZ7" s="21" t="s">
        <v>541</v>
      </c>
      <c r="DA7" s="21" t="s">
        <v>516</v>
      </c>
      <c r="DB7" s="24" t="s">
        <v>943</v>
      </c>
      <c r="DC7" s="21">
        <v>1</v>
      </c>
      <c r="DD7" s="21">
        <v>1</v>
      </c>
      <c r="DE7" s="22">
        <v>42736</v>
      </c>
      <c r="DF7" s="21" t="s">
        <v>953</v>
      </c>
      <c r="DG7" s="21" t="s">
        <v>538</v>
      </c>
      <c r="DH7" s="21" t="s">
        <v>954</v>
      </c>
      <c r="DI7" s="21" t="s">
        <v>495</v>
      </c>
      <c r="DJ7" s="21" t="s">
        <v>520</v>
      </c>
      <c r="DL7" s="22">
        <v>42745</v>
      </c>
      <c r="DM7" s="22">
        <v>42735</v>
      </c>
      <c r="DN7" s="21">
        <v>2500</v>
      </c>
      <c r="DO7" s="21">
        <v>6</v>
      </c>
      <c r="DP7" s="21">
        <v>1</v>
      </c>
      <c r="DQ7" s="21">
        <v>2</v>
      </c>
      <c r="DR7" s="21">
        <v>5</v>
      </c>
      <c r="DS7" s="21">
        <v>8</v>
      </c>
      <c r="DT7" s="21">
        <v>10</v>
      </c>
      <c r="DU7" s="21">
        <v>8</v>
      </c>
      <c r="DW7" s="21">
        <v>0</v>
      </c>
      <c r="DY7" s="21">
        <v>10</v>
      </c>
      <c r="EA7" s="21">
        <v>7</v>
      </c>
      <c r="EB7" s="21" t="s">
        <v>955</v>
      </c>
      <c r="EC7" s="21" t="s">
        <v>1002</v>
      </c>
      <c r="EF7" s="25">
        <v>0</v>
      </c>
      <c r="EG7" s="25">
        <v>0</v>
      </c>
      <c r="EH7" s="25">
        <v>0</v>
      </c>
      <c r="EI7" s="25">
        <v>0</v>
      </c>
      <c r="EJ7" s="25" t="s">
        <v>597</v>
      </c>
      <c r="EK7" s="25" t="s">
        <v>275</v>
      </c>
      <c r="EL7" s="25" t="s">
        <v>283</v>
      </c>
      <c r="EM7" s="25" t="s">
        <v>276</v>
      </c>
      <c r="EN7" s="25" t="s">
        <v>271</v>
      </c>
      <c r="EO7" s="25" t="s">
        <v>271</v>
      </c>
      <c r="EP7" s="25" t="s">
        <v>548</v>
      </c>
      <c r="EQ7" s="25" t="s">
        <v>548</v>
      </c>
      <c r="ER7" s="25" t="s">
        <v>278</v>
      </c>
      <c r="ES7" s="25" t="s">
        <v>278</v>
      </c>
      <c r="ET7" s="25">
        <v>1</v>
      </c>
      <c r="EU7" s="25" t="s">
        <v>522</v>
      </c>
      <c r="EV7" s="25" t="s">
        <v>279</v>
      </c>
      <c r="EW7" s="25" t="s">
        <v>279</v>
      </c>
      <c r="EX7" s="25" t="s">
        <v>279</v>
      </c>
      <c r="EY7" s="20" t="e">
        <v>#N/A</v>
      </c>
    </row>
    <row r="8" spans="1:155">
      <c r="A8" s="21" t="s">
        <v>491</v>
      </c>
      <c r="B8" s="21" t="s">
        <v>491</v>
      </c>
      <c r="C8" s="21" t="s">
        <v>492</v>
      </c>
      <c r="D8" s="21" t="s">
        <v>493</v>
      </c>
      <c r="E8" s="21" t="s">
        <v>493</v>
      </c>
      <c r="F8" s="21" t="s">
        <v>493</v>
      </c>
      <c r="G8" s="21" t="s">
        <v>956</v>
      </c>
      <c r="H8" s="21" t="s">
        <v>957</v>
      </c>
      <c r="I8" s="21" t="s">
        <v>494</v>
      </c>
      <c r="J8" s="21" t="s">
        <v>958</v>
      </c>
      <c r="L8" s="21" t="s">
        <v>495</v>
      </c>
      <c r="M8" s="21" t="s">
        <v>959</v>
      </c>
      <c r="N8" s="21" t="s">
        <v>561</v>
      </c>
      <c r="O8" s="21" t="s">
        <v>93</v>
      </c>
      <c r="P8" s="21" t="s">
        <v>539</v>
      </c>
      <c r="R8" s="21" t="s">
        <v>562</v>
      </c>
      <c r="S8" s="21" t="s">
        <v>559</v>
      </c>
      <c r="V8" s="21" t="s">
        <v>277</v>
      </c>
      <c r="W8" s="21" t="s">
        <v>524</v>
      </c>
      <c r="X8" s="21" t="s">
        <v>525</v>
      </c>
      <c r="Y8" s="21" t="s">
        <v>530</v>
      </c>
      <c r="Z8" s="21">
        <v>3035300620</v>
      </c>
      <c r="AA8" s="22">
        <v>42732</v>
      </c>
      <c r="AB8" s="22">
        <v>42733</v>
      </c>
      <c r="AC8" s="21" t="s">
        <v>504</v>
      </c>
      <c r="AD8" s="21" t="s">
        <v>505</v>
      </c>
      <c r="AE8" s="21" t="s">
        <v>565</v>
      </c>
      <c r="AF8" s="21" t="s">
        <v>566</v>
      </c>
      <c r="AG8" s="21" t="s">
        <v>567</v>
      </c>
      <c r="AH8" s="21" t="s">
        <v>568</v>
      </c>
      <c r="AI8" s="21" t="s">
        <v>960</v>
      </c>
      <c r="AJ8" s="21" t="s">
        <v>507</v>
      </c>
      <c r="AK8" s="21" t="s">
        <v>494</v>
      </c>
      <c r="AL8" s="21" t="s">
        <v>527</v>
      </c>
      <c r="AM8" s="21" t="s">
        <v>527</v>
      </c>
      <c r="AN8" s="21" t="s">
        <v>527</v>
      </c>
      <c r="AO8" s="21" t="s">
        <v>528</v>
      </c>
      <c r="AS8" s="21" t="s">
        <v>531</v>
      </c>
      <c r="AT8" s="21" t="s">
        <v>512</v>
      </c>
      <c r="AW8" s="21">
        <v>0</v>
      </c>
      <c r="AX8" s="21">
        <v>4</v>
      </c>
      <c r="AY8" s="22"/>
      <c r="BB8" s="22"/>
      <c r="BC8" s="21" t="s">
        <v>513</v>
      </c>
      <c r="BD8" s="21" t="s">
        <v>514</v>
      </c>
      <c r="BE8" s="21" t="s">
        <v>514</v>
      </c>
      <c r="BF8" s="21" t="s">
        <v>515</v>
      </c>
      <c r="BG8" s="21">
        <v>1</v>
      </c>
      <c r="BH8" s="21" t="s">
        <v>516</v>
      </c>
      <c r="BI8" s="21" t="s">
        <v>517</v>
      </c>
      <c r="BJ8" s="21" t="s">
        <v>516</v>
      </c>
      <c r="BK8" s="21" t="s">
        <v>516</v>
      </c>
      <c r="BM8" s="21" t="s">
        <v>42</v>
      </c>
      <c r="BN8" s="21" t="s">
        <v>246</v>
      </c>
      <c r="BO8" s="21" t="s">
        <v>518</v>
      </c>
      <c r="BP8" s="21" t="s">
        <v>519</v>
      </c>
      <c r="BQ8" s="21" t="s">
        <v>27</v>
      </c>
      <c r="BR8" s="21" t="s">
        <v>119</v>
      </c>
      <c r="BS8" s="21" t="s">
        <v>518</v>
      </c>
      <c r="BT8" s="21" t="s">
        <v>519</v>
      </c>
      <c r="BU8" s="21" t="s">
        <v>246</v>
      </c>
      <c r="CD8" s="21" t="s">
        <v>520</v>
      </c>
      <c r="CF8" s="21" t="s">
        <v>521</v>
      </c>
      <c r="DB8" s="24" t="s">
        <v>943</v>
      </c>
      <c r="DC8" s="21">
        <v>1</v>
      </c>
      <c r="DD8" s="21">
        <v>1</v>
      </c>
      <c r="DE8" s="22">
        <v>42736</v>
      </c>
      <c r="DF8" s="21" t="s">
        <v>961</v>
      </c>
      <c r="DG8" s="21" t="s">
        <v>522</v>
      </c>
      <c r="DH8" s="21" t="s">
        <v>962</v>
      </c>
      <c r="DI8" s="21" t="s">
        <v>495</v>
      </c>
      <c r="DJ8" s="21" t="s">
        <v>520</v>
      </c>
      <c r="DL8" s="22">
        <v>42745</v>
      </c>
      <c r="DM8" s="22">
        <v>42735</v>
      </c>
      <c r="DN8" s="21">
        <v>1100</v>
      </c>
      <c r="DO8" s="21">
        <v>9</v>
      </c>
      <c r="DP8" s="21">
        <v>1</v>
      </c>
      <c r="DQ8" s="21">
        <v>2</v>
      </c>
      <c r="DR8" s="21">
        <v>5</v>
      </c>
      <c r="DS8" s="21">
        <v>10</v>
      </c>
      <c r="DT8" s="21">
        <v>10</v>
      </c>
      <c r="DU8" s="21">
        <v>10</v>
      </c>
      <c r="DW8" s="21">
        <v>8</v>
      </c>
      <c r="EA8" s="21">
        <v>8</v>
      </c>
      <c r="EB8" s="21" t="s">
        <v>963</v>
      </c>
      <c r="EC8" s="21" t="s">
        <v>1003</v>
      </c>
      <c r="EF8" s="25">
        <v>0</v>
      </c>
      <c r="EG8" s="25">
        <v>0</v>
      </c>
      <c r="EH8" s="25">
        <v>1</v>
      </c>
      <c r="EI8" s="25">
        <v>0</v>
      </c>
      <c r="EJ8" s="25" t="s">
        <v>92</v>
      </c>
      <c r="EK8" s="25" t="s">
        <v>247</v>
      </c>
      <c r="EL8" s="25" t="s">
        <v>120</v>
      </c>
      <c r="EM8" s="25" t="s">
        <v>276</v>
      </c>
      <c r="EN8" s="25" t="s">
        <v>39</v>
      </c>
      <c r="EO8" s="25" t="s">
        <v>23</v>
      </c>
      <c r="EP8" s="25" t="s">
        <v>92</v>
      </c>
      <c r="EQ8" s="25" t="s">
        <v>62</v>
      </c>
      <c r="ER8" s="25" t="s">
        <v>278</v>
      </c>
      <c r="ES8" s="25" t="s">
        <v>278</v>
      </c>
      <c r="ET8" s="25">
        <v>1</v>
      </c>
      <c r="EU8" s="25" t="s">
        <v>522</v>
      </c>
      <c r="EV8" s="25" t="s">
        <v>279</v>
      </c>
      <c r="EW8" s="25" t="s">
        <v>279</v>
      </c>
      <c r="EX8" s="25" t="s">
        <v>279</v>
      </c>
      <c r="EY8" s="20" t="e">
        <v>#N/A</v>
      </c>
    </row>
    <row r="9" spans="1:155">
      <c r="A9" s="21" t="s">
        <v>491</v>
      </c>
      <c r="B9" s="21" t="s">
        <v>491</v>
      </c>
      <c r="C9" s="21" t="s">
        <v>492</v>
      </c>
      <c r="D9" s="21" t="s">
        <v>493</v>
      </c>
      <c r="E9" s="21" t="s">
        <v>493</v>
      </c>
      <c r="F9" s="21" t="s">
        <v>493</v>
      </c>
      <c r="G9" s="21" t="s">
        <v>1004</v>
      </c>
      <c r="H9" s="21">
        <v>1130231890</v>
      </c>
      <c r="I9" s="21" t="s">
        <v>494</v>
      </c>
      <c r="J9" s="21" t="s">
        <v>1005</v>
      </c>
      <c r="L9" s="21" t="s">
        <v>495</v>
      </c>
      <c r="M9" s="21" t="s">
        <v>1006</v>
      </c>
      <c r="N9" s="21" t="s">
        <v>550</v>
      </c>
      <c r="O9" s="21" t="s">
        <v>69</v>
      </c>
      <c r="P9" s="21" t="s">
        <v>497</v>
      </c>
      <c r="R9" s="21" t="s">
        <v>551</v>
      </c>
      <c r="S9" s="21" t="s">
        <v>552</v>
      </c>
      <c r="V9" s="21" t="s">
        <v>500</v>
      </c>
      <c r="W9" s="21" t="s">
        <v>501</v>
      </c>
      <c r="X9" s="21" t="s">
        <v>502</v>
      </c>
      <c r="Y9" s="21" t="s">
        <v>503</v>
      </c>
      <c r="Z9" s="21">
        <v>3035233396</v>
      </c>
      <c r="AA9" s="22">
        <v>42730</v>
      </c>
      <c r="AB9" s="22">
        <v>42730</v>
      </c>
      <c r="AC9" s="21" t="s">
        <v>504</v>
      </c>
      <c r="AD9" s="21" t="s">
        <v>505</v>
      </c>
      <c r="AE9" s="21" t="s">
        <v>500</v>
      </c>
      <c r="AF9" s="21" t="s">
        <v>549</v>
      </c>
      <c r="AG9" s="21" t="s">
        <v>1007</v>
      </c>
      <c r="AH9" s="21" t="s">
        <v>1008</v>
      </c>
      <c r="AI9" s="21" t="s">
        <v>1009</v>
      </c>
      <c r="AJ9" s="21" t="s">
        <v>526</v>
      </c>
      <c r="AK9" s="21" t="s">
        <v>494</v>
      </c>
      <c r="AL9" s="21" t="s">
        <v>527</v>
      </c>
      <c r="AM9" s="21" t="s">
        <v>527</v>
      </c>
      <c r="AN9" s="21" t="s">
        <v>527</v>
      </c>
      <c r="AO9" s="21" t="s">
        <v>528</v>
      </c>
      <c r="AS9" s="21" t="s">
        <v>511</v>
      </c>
      <c r="AT9" s="21" t="s">
        <v>512</v>
      </c>
      <c r="AW9" s="21">
        <v>0</v>
      </c>
      <c r="AX9" s="21">
        <v>2</v>
      </c>
      <c r="BC9" s="21" t="s">
        <v>513</v>
      </c>
      <c r="BD9" s="21" t="s">
        <v>514</v>
      </c>
      <c r="BE9" s="21" t="s">
        <v>514</v>
      </c>
      <c r="BF9" s="21" t="s">
        <v>515</v>
      </c>
      <c r="BG9" s="21">
        <v>1</v>
      </c>
      <c r="BH9" s="21" t="s">
        <v>516</v>
      </c>
      <c r="BI9" s="21" t="s">
        <v>517</v>
      </c>
      <c r="BJ9" s="21" t="s">
        <v>516</v>
      </c>
      <c r="BK9" s="21" t="s">
        <v>516</v>
      </c>
      <c r="BM9" s="21" t="s">
        <v>13</v>
      </c>
      <c r="BN9" s="21" t="s">
        <v>56</v>
      </c>
      <c r="BO9" s="21" t="s">
        <v>518</v>
      </c>
      <c r="BP9" s="21" t="s">
        <v>519</v>
      </c>
      <c r="BQ9" s="21" t="s">
        <v>13</v>
      </c>
      <c r="BR9" s="21" t="s">
        <v>56</v>
      </c>
      <c r="BS9" s="21" t="s">
        <v>518</v>
      </c>
      <c r="BT9" s="21" t="s">
        <v>519</v>
      </c>
      <c r="BU9" s="21" t="s">
        <v>56</v>
      </c>
      <c r="CD9" s="21" t="s">
        <v>520</v>
      </c>
      <c r="CF9" s="21" t="s">
        <v>521</v>
      </c>
      <c r="CN9" s="22"/>
      <c r="DB9" s="24" t="s">
        <v>943</v>
      </c>
      <c r="DC9" s="21">
        <v>1</v>
      </c>
      <c r="DD9" s="21">
        <v>1</v>
      </c>
      <c r="DE9" s="22">
        <v>42737</v>
      </c>
      <c r="DF9" s="21" t="s">
        <v>1010</v>
      </c>
      <c r="DG9" s="21" t="s">
        <v>522</v>
      </c>
      <c r="DH9" s="21" t="s">
        <v>1011</v>
      </c>
      <c r="DI9" s="21" t="s">
        <v>495</v>
      </c>
      <c r="DJ9" s="21" t="s">
        <v>523</v>
      </c>
      <c r="DL9" s="22">
        <v>42742</v>
      </c>
      <c r="DM9" s="22">
        <v>42732</v>
      </c>
      <c r="DN9" s="21">
        <v>3100</v>
      </c>
      <c r="DO9" s="21">
        <v>9</v>
      </c>
      <c r="DP9" s="21">
        <v>1</v>
      </c>
      <c r="DQ9" s="21">
        <v>1</v>
      </c>
      <c r="DR9" s="21">
        <v>6</v>
      </c>
      <c r="DS9" s="21">
        <v>9</v>
      </c>
      <c r="DT9" s="21">
        <v>9</v>
      </c>
      <c r="DU9" s="21">
        <v>9</v>
      </c>
      <c r="DW9" s="21">
        <v>9</v>
      </c>
      <c r="EA9" s="21">
        <v>10</v>
      </c>
      <c r="EB9" s="21" t="s">
        <v>1012</v>
      </c>
      <c r="EC9" s="21" t="s">
        <v>1220</v>
      </c>
      <c r="EF9" s="25">
        <v>1</v>
      </c>
      <c r="EG9" s="25">
        <v>0</v>
      </c>
      <c r="EH9" s="25">
        <v>1</v>
      </c>
      <c r="EI9" s="25">
        <v>0</v>
      </c>
      <c r="EJ9" s="25" t="s">
        <v>62</v>
      </c>
      <c r="EK9" s="25" t="s">
        <v>57</v>
      </c>
      <c r="EL9" s="25" t="s">
        <v>57</v>
      </c>
      <c r="EM9" s="25" t="s">
        <v>276</v>
      </c>
      <c r="EN9" s="25" t="s">
        <v>9</v>
      </c>
      <c r="EO9" s="25" t="s">
        <v>9</v>
      </c>
      <c r="EP9" s="25" t="s">
        <v>62</v>
      </c>
      <c r="EQ9" s="25" t="s">
        <v>62</v>
      </c>
      <c r="ER9" s="25" t="s">
        <v>278</v>
      </c>
      <c r="ES9" s="25" t="s">
        <v>278</v>
      </c>
      <c r="ET9" s="25">
        <v>1</v>
      </c>
      <c r="EU9" s="25" t="s">
        <v>522</v>
      </c>
      <c r="EV9" s="25" t="s">
        <v>57</v>
      </c>
      <c r="EW9" s="25" t="s">
        <v>9</v>
      </c>
      <c r="EX9" s="25" t="s">
        <v>278</v>
      </c>
      <c r="EY9" s="20" t="e">
        <v>#N/A</v>
      </c>
    </row>
    <row r="10" spans="1:155">
      <c r="A10" s="21" t="s">
        <v>491</v>
      </c>
      <c r="B10" s="21" t="s">
        <v>491</v>
      </c>
      <c r="C10" s="21" t="s">
        <v>492</v>
      </c>
      <c r="D10" s="21" t="s">
        <v>493</v>
      </c>
      <c r="E10" s="21" t="s">
        <v>493</v>
      </c>
      <c r="F10" s="21" t="s">
        <v>493</v>
      </c>
      <c r="G10" s="21" t="s">
        <v>1013</v>
      </c>
      <c r="H10" s="21" t="s">
        <v>1014</v>
      </c>
      <c r="I10" s="21" t="s">
        <v>494</v>
      </c>
      <c r="J10" s="21" t="s">
        <v>1015</v>
      </c>
      <c r="L10" s="21" t="s">
        <v>495</v>
      </c>
      <c r="M10" s="21" t="s">
        <v>1016</v>
      </c>
      <c r="N10" s="21" t="s">
        <v>1017</v>
      </c>
      <c r="O10" s="21" t="s">
        <v>98</v>
      </c>
      <c r="P10" s="21" t="s">
        <v>553</v>
      </c>
      <c r="R10" s="21" t="s">
        <v>1018</v>
      </c>
      <c r="S10" s="21" t="s">
        <v>1019</v>
      </c>
      <c r="V10" s="21" t="s">
        <v>500</v>
      </c>
      <c r="W10" s="21" t="s">
        <v>501</v>
      </c>
      <c r="X10" s="21" t="s">
        <v>502</v>
      </c>
      <c r="Y10" s="21" t="s">
        <v>554</v>
      </c>
      <c r="Z10" s="21">
        <v>3035231737</v>
      </c>
      <c r="AA10" s="22">
        <v>42730</v>
      </c>
      <c r="AB10" s="22">
        <v>42730</v>
      </c>
      <c r="AC10" s="21" t="s">
        <v>504</v>
      </c>
      <c r="AD10" s="21" t="s">
        <v>505</v>
      </c>
      <c r="AE10" s="21" t="s">
        <v>1020</v>
      </c>
      <c r="AF10" s="21" t="s">
        <v>1021</v>
      </c>
      <c r="AG10" s="21" t="s">
        <v>1022</v>
      </c>
      <c r="AH10" s="21" t="s">
        <v>1023</v>
      </c>
      <c r="AI10" s="21" t="s">
        <v>1024</v>
      </c>
      <c r="AJ10" s="21" t="s">
        <v>507</v>
      </c>
      <c r="AK10" s="21" t="s">
        <v>494</v>
      </c>
      <c r="AL10" s="21" t="s">
        <v>527</v>
      </c>
      <c r="AM10" s="21" t="s">
        <v>527</v>
      </c>
      <c r="AN10" s="21" t="s">
        <v>527</v>
      </c>
      <c r="AO10" s="21" t="s">
        <v>528</v>
      </c>
      <c r="AS10" s="21" t="s">
        <v>511</v>
      </c>
      <c r="AT10" s="21" t="s">
        <v>512</v>
      </c>
      <c r="AW10" s="21">
        <v>0</v>
      </c>
      <c r="AX10" s="21">
        <v>2</v>
      </c>
      <c r="BC10" s="21" t="s">
        <v>513</v>
      </c>
      <c r="BD10" s="21" t="s">
        <v>514</v>
      </c>
      <c r="BE10" s="21" t="s">
        <v>514</v>
      </c>
      <c r="BF10" s="21" t="s">
        <v>515</v>
      </c>
      <c r="BG10" s="21">
        <v>1</v>
      </c>
      <c r="BH10" s="21" t="s">
        <v>516</v>
      </c>
      <c r="BI10" s="21" t="s">
        <v>517</v>
      </c>
      <c r="BJ10" s="21" t="s">
        <v>516</v>
      </c>
      <c r="BK10" s="21" t="s">
        <v>516</v>
      </c>
      <c r="BM10" s="21" t="s">
        <v>590</v>
      </c>
      <c r="BN10" s="21" t="s">
        <v>253</v>
      </c>
      <c r="BO10" s="21" t="s">
        <v>518</v>
      </c>
      <c r="BP10" s="21" t="s">
        <v>519</v>
      </c>
      <c r="BQ10" s="21" t="s">
        <v>590</v>
      </c>
      <c r="BR10" s="21" t="s">
        <v>253</v>
      </c>
      <c r="BS10" s="21" t="s">
        <v>518</v>
      </c>
      <c r="BT10" s="21" t="s">
        <v>519</v>
      </c>
      <c r="BU10" s="21" t="s">
        <v>253</v>
      </c>
      <c r="CD10" s="21" t="s">
        <v>520</v>
      </c>
      <c r="CF10" s="21" t="s">
        <v>521</v>
      </c>
      <c r="DB10" s="24" t="s">
        <v>943</v>
      </c>
      <c r="DC10" s="21">
        <v>1</v>
      </c>
      <c r="DD10" s="21">
        <v>1</v>
      </c>
      <c r="DE10" s="22">
        <v>42737</v>
      </c>
      <c r="DF10" s="21" t="s">
        <v>1025</v>
      </c>
      <c r="DG10" s="21" t="s">
        <v>522</v>
      </c>
      <c r="DH10" s="21" t="s">
        <v>1026</v>
      </c>
      <c r="DI10" s="21" t="s">
        <v>495</v>
      </c>
      <c r="DJ10" s="21" t="s">
        <v>523</v>
      </c>
      <c r="DL10" s="22">
        <v>42742</v>
      </c>
      <c r="DM10" s="22">
        <v>42732</v>
      </c>
      <c r="DN10" s="21">
        <v>3100</v>
      </c>
      <c r="DO10" s="21">
        <v>10</v>
      </c>
      <c r="DP10" s="21">
        <v>1</v>
      </c>
      <c r="DQ10" s="21">
        <v>1</v>
      </c>
      <c r="DR10" s="21">
        <v>7</v>
      </c>
      <c r="DS10" s="21">
        <v>10</v>
      </c>
      <c r="DT10" s="21">
        <v>10</v>
      </c>
      <c r="DU10" s="21">
        <v>10</v>
      </c>
      <c r="DW10" s="21">
        <v>10</v>
      </c>
      <c r="EA10" s="21">
        <v>10</v>
      </c>
      <c r="EB10" s="21" t="s">
        <v>1027</v>
      </c>
      <c r="EC10" s="21" t="s">
        <v>1221</v>
      </c>
      <c r="EF10" s="25">
        <v>1</v>
      </c>
      <c r="EG10" s="25">
        <v>0</v>
      </c>
      <c r="EH10" s="25">
        <v>1</v>
      </c>
      <c r="EI10" s="25">
        <v>0</v>
      </c>
      <c r="EJ10" s="25" t="s">
        <v>62</v>
      </c>
      <c r="EK10" s="25" t="s">
        <v>276</v>
      </c>
      <c r="EL10" s="25" t="s">
        <v>276</v>
      </c>
      <c r="EM10" s="25" t="s">
        <v>276</v>
      </c>
      <c r="EN10" s="25" t="s">
        <v>276</v>
      </c>
      <c r="EO10" s="25" t="s">
        <v>276</v>
      </c>
      <c r="EP10" s="25" t="s">
        <v>276</v>
      </c>
      <c r="EQ10" s="25" t="s">
        <v>276</v>
      </c>
      <c r="ER10" s="25" t="s">
        <v>276</v>
      </c>
      <c r="ES10" s="25" t="s">
        <v>276</v>
      </c>
      <c r="ET10" s="25">
        <v>1</v>
      </c>
      <c r="EU10" s="25" t="s">
        <v>522</v>
      </c>
      <c r="EV10" s="25" t="s">
        <v>276</v>
      </c>
      <c r="EW10" s="25" t="s">
        <v>276</v>
      </c>
      <c r="EX10" s="25" t="s">
        <v>276</v>
      </c>
      <c r="EY10" s="20" t="s">
        <v>273</v>
      </c>
    </row>
    <row r="11" spans="1:155">
      <c r="A11" s="21" t="s">
        <v>491</v>
      </c>
      <c r="B11" s="21" t="s">
        <v>491</v>
      </c>
      <c r="C11" s="21" t="s">
        <v>492</v>
      </c>
      <c r="D11" s="21" t="s">
        <v>493</v>
      </c>
      <c r="E11" s="21" t="s">
        <v>493</v>
      </c>
      <c r="F11" s="21" t="s">
        <v>493</v>
      </c>
      <c r="G11" s="21" t="s">
        <v>1028</v>
      </c>
      <c r="H11" s="21">
        <v>2136817056</v>
      </c>
      <c r="I11" s="21">
        <v>2133932402</v>
      </c>
      <c r="J11" s="21" t="s">
        <v>1029</v>
      </c>
      <c r="L11" s="21" t="s">
        <v>495</v>
      </c>
      <c r="M11" s="21" t="s">
        <v>1030</v>
      </c>
      <c r="N11" s="21" t="s">
        <v>496</v>
      </c>
      <c r="O11" s="21" t="s">
        <v>69</v>
      </c>
      <c r="P11" s="21" t="s">
        <v>497</v>
      </c>
      <c r="R11" s="21" t="s">
        <v>498</v>
      </c>
      <c r="S11" s="21" t="s">
        <v>499</v>
      </c>
      <c r="V11" s="21" t="s">
        <v>500</v>
      </c>
      <c r="W11" s="21" t="s">
        <v>501</v>
      </c>
      <c r="X11" s="21" t="s">
        <v>502</v>
      </c>
      <c r="Y11" s="21" t="s">
        <v>503</v>
      </c>
      <c r="Z11" s="21">
        <v>3035258168</v>
      </c>
      <c r="AA11" s="22">
        <v>42731</v>
      </c>
      <c r="AB11" s="22">
        <v>42731</v>
      </c>
      <c r="AC11" s="21" t="s">
        <v>504</v>
      </c>
      <c r="AD11" s="21" t="s">
        <v>505</v>
      </c>
      <c r="AE11" s="21" t="s">
        <v>500</v>
      </c>
      <c r="AF11" s="21" t="s">
        <v>549</v>
      </c>
      <c r="AG11" s="21" t="s">
        <v>555</v>
      </c>
      <c r="AH11" s="21" t="s">
        <v>556</v>
      </c>
      <c r="AI11" s="21" t="s">
        <v>1031</v>
      </c>
      <c r="AJ11" s="21" t="s">
        <v>526</v>
      </c>
      <c r="AK11" s="21" t="s">
        <v>494</v>
      </c>
      <c r="AL11" s="21" t="s">
        <v>527</v>
      </c>
      <c r="AM11" s="21" t="s">
        <v>527</v>
      </c>
      <c r="AN11" s="21" t="s">
        <v>527</v>
      </c>
      <c r="AO11" s="21" t="s">
        <v>528</v>
      </c>
      <c r="AS11" s="21" t="s">
        <v>511</v>
      </c>
      <c r="AT11" s="21" t="s">
        <v>512</v>
      </c>
      <c r="AW11" s="21">
        <v>0</v>
      </c>
      <c r="AX11" s="21">
        <v>6</v>
      </c>
      <c r="AY11" s="22"/>
      <c r="BB11" s="22"/>
      <c r="BC11" s="21" t="s">
        <v>513</v>
      </c>
      <c r="BD11" s="21" t="s">
        <v>514</v>
      </c>
      <c r="BE11" s="21" t="s">
        <v>514</v>
      </c>
      <c r="BF11" s="21" t="s">
        <v>515</v>
      </c>
      <c r="BG11" s="21">
        <v>1</v>
      </c>
      <c r="BH11" s="21" t="s">
        <v>516</v>
      </c>
      <c r="BI11" s="21" t="s">
        <v>517</v>
      </c>
      <c r="BJ11" s="21" t="s">
        <v>516</v>
      </c>
      <c r="BK11" s="21" t="s">
        <v>516</v>
      </c>
      <c r="BM11" s="21" t="s">
        <v>20</v>
      </c>
      <c r="BN11" s="21" t="s">
        <v>101</v>
      </c>
      <c r="BO11" s="21" t="s">
        <v>518</v>
      </c>
      <c r="BP11" s="21" t="s">
        <v>519</v>
      </c>
      <c r="BQ11" s="21" t="s">
        <v>10</v>
      </c>
      <c r="BR11" s="21" t="s">
        <v>89</v>
      </c>
      <c r="BS11" s="21" t="s">
        <v>518</v>
      </c>
      <c r="BT11" s="21" t="s">
        <v>519</v>
      </c>
      <c r="BU11" s="21" t="s">
        <v>101</v>
      </c>
      <c r="CD11" s="21" t="s">
        <v>520</v>
      </c>
      <c r="CF11" s="21" t="s">
        <v>521</v>
      </c>
      <c r="DB11" s="24" t="s">
        <v>943</v>
      </c>
      <c r="DC11" s="21">
        <v>1</v>
      </c>
      <c r="DD11" s="21">
        <v>1</v>
      </c>
      <c r="DE11" s="22">
        <v>42737</v>
      </c>
      <c r="DF11" s="21" t="s">
        <v>1032</v>
      </c>
      <c r="DG11" s="21" t="s">
        <v>522</v>
      </c>
      <c r="DH11" s="21" t="s">
        <v>1033</v>
      </c>
      <c r="DI11" s="21" t="s">
        <v>495</v>
      </c>
      <c r="DJ11" s="21" t="s">
        <v>523</v>
      </c>
      <c r="DL11" s="22">
        <v>42743</v>
      </c>
      <c r="DM11" s="22">
        <v>42733</v>
      </c>
      <c r="DN11" s="21">
        <v>3100</v>
      </c>
      <c r="DO11" s="21">
        <v>10</v>
      </c>
      <c r="DP11" s="21">
        <v>1</v>
      </c>
      <c r="DQ11" s="21">
        <v>1</v>
      </c>
      <c r="DR11" s="21">
        <v>7</v>
      </c>
      <c r="DS11" s="21">
        <v>10</v>
      </c>
      <c r="DT11" s="21">
        <v>10</v>
      </c>
      <c r="DU11" s="21">
        <v>10</v>
      </c>
      <c r="DW11" s="21">
        <v>10</v>
      </c>
      <c r="EA11" s="21">
        <v>10</v>
      </c>
      <c r="EB11" s="21" t="s">
        <v>1034</v>
      </c>
      <c r="EC11" s="21" t="s">
        <v>1222</v>
      </c>
      <c r="EF11" s="25">
        <v>1</v>
      </c>
      <c r="EG11" s="25">
        <v>0</v>
      </c>
      <c r="EH11" s="25">
        <v>1</v>
      </c>
      <c r="EI11" s="25">
        <v>0</v>
      </c>
      <c r="EJ11" s="25" t="s">
        <v>62</v>
      </c>
      <c r="EK11" s="25" t="s">
        <v>102</v>
      </c>
      <c r="EL11" s="25" t="s">
        <v>90</v>
      </c>
      <c r="EM11" s="25" t="s">
        <v>276</v>
      </c>
      <c r="EN11" s="25" t="s">
        <v>9</v>
      </c>
      <c r="EO11" s="25" t="s">
        <v>9</v>
      </c>
      <c r="EP11" s="25" t="s">
        <v>62</v>
      </c>
      <c r="EQ11" s="25" t="s">
        <v>529</v>
      </c>
      <c r="ER11" s="25" t="s">
        <v>278</v>
      </c>
      <c r="ES11" s="25" t="s">
        <v>278</v>
      </c>
      <c r="ET11" s="25">
        <v>1</v>
      </c>
      <c r="EU11" s="25" t="s">
        <v>522</v>
      </c>
      <c r="EV11" s="25" t="s">
        <v>279</v>
      </c>
      <c r="EW11" s="25" t="s">
        <v>279</v>
      </c>
      <c r="EX11" s="25" t="s">
        <v>279</v>
      </c>
      <c r="EY11" s="20" t="e">
        <v>#N/A</v>
      </c>
    </row>
    <row r="12" spans="1:155">
      <c r="A12" s="21" t="s">
        <v>491</v>
      </c>
      <c r="B12" s="21" t="s">
        <v>491</v>
      </c>
      <c r="C12" s="21" t="s">
        <v>492</v>
      </c>
      <c r="D12" s="21" t="s">
        <v>493</v>
      </c>
      <c r="E12" s="21" t="s">
        <v>493</v>
      </c>
      <c r="F12" s="21" t="s">
        <v>493</v>
      </c>
      <c r="G12" s="21" t="s">
        <v>1035</v>
      </c>
      <c r="H12" s="21" t="s">
        <v>1036</v>
      </c>
      <c r="I12" s="21" t="s">
        <v>1036</v>
      </c>
      <c r="J12" s="21" t="s">
        <v>1037</v>
      </c>
      <c r="L12" s="21" t="s">
        <v>495</v>
      </c>
      <c r="M12" s="21" t="s">
        <v>1038</v>
      </c>
      <c r="N12" s="21" t="s">
        <v>1039</v>
      </c>
      <c r="O12" s="21" t="s">
        <v>97</v>
      </c>
      <c r="P12" s="21" t="s">
        <v>1040</v>
      </c>
      <c r="R12" s="21" t="s">
        <v>1041</v>
      </c>
      <c r="S12" s="21" t="s">
        <v>1042</v>
      </c>
      <c r="V12" s="21" t="s">
        <v>500</v>
      </c>
      <c r="W12" s="21" t="s">
        <v>501</v>
      </c>
      <c r="X12" s="21" t="s">
        <v>502</v>
      </c>
      <c r="Y12" s="21" t="s">
        <v>503</v>
      </c>
      <c r="Z12" s="21">
        <v>3035144209</v>
      </c>
      <c r="AA12" s="22">
        <v>42725</v>
      </c>
      <c r="AB12" s="22">
        <v>42731</v>
      </c>
      <c r="AC12" s="21" t="s">
        <v>504</v>
      </c>
      <c r="AD12" s="21" t="s">
        <v>505</v>
      </c>
      <c r="AE12" s="21" t="s">
        <v>500</v>
      </c>
      <c r="AF12" s="21" t="s">
        <v>564</v>
      </c>
      <c r="AG12" s="21" t="s">
        <v>571</v>
      </c>
      <c r="AH12" s="21" t="s">
        <v>572</v>
      </c>
      <c r="AI12" s="21" t="s">
        <v>1043</v>
      </c>
      <c r="AJ12" s="21" t="s">
        <v>507</v>
      </c>
      <c r="AK12" s="21" t="s">
        <v>494</v>
      </c>
      <c r="AL12" s="21" t="s">
        <v>508</v>
      </c>
      <c r="AM12" s="21" t="s">
        <v>509</v>
      </c>
      <c r="AN12" s="21" t="s">
        <v>509</v>
      </c>
      <c r="AO12" s="21" t="s">
        <v>510</v>
      </c>
      <c r="AS12" s="21" t="s">
        <v>511</v>
      </c>
      <c r="AT12" s="21" t="s">
        <v>512</v>
      </c>
      <c r="AW12" s="21">
        <v>0</v>
      </c>
      <c r="AX12" s="21">
        <v>11</v>
      </c>
      <c r="BC12" s="21" t="s">
        <v>513</v>
      </c>
      <c r="BD12" s="21" t="s">
        <v>514</v>
      </c>
      <c r="BE12" s="21" t="s">
        <v>514</v>
      </c>
      <c r="BF12" s="21" t="s">
        <v>515</v>
      </c>
      <c r="BG12" s="21">
        <v>1</v>
      </c>
      <c r="BH12" s="21" t="s">
        <v>516</v>
      </c>
      <c r="BI12" s="21" t="s">
        <v>517</v>
      </c>
      <c r="BJ12" s="21" t="s">
        <v>516</v>
      </c>
      <c r="BK12" s="21" t="s">
        <v>516</v>
      </c>
      <c r="BM12" s="21" t="s">
        <v>29</v>
      </c>
      <c r="BN12" s="21" t="s">
        <v>129</v>
      </c>
      <c r="BO12" s="21" t="s">
        <v>518</v>
      </c>
      <c r="BP12" s="21" t="s">
        <v>519</v>
      </c>
      <c r="BQ12" s="21" t="s">
        <v>47</v>
      </c>
      <c r="BR12" s="21" t="s">
        <v>139</v>
      </c>
      <c r="BS12" s="21" t="s">
        <v>518</v>
      </c>
      <c r="BT12" s="21" t="s">
        <v>1044</v>
      </c>
      <c r="BU12" s="21" t="s">
        <v>129</v>
      </c>
      <c r="CD12" s="21" t="s">
        <v>520</v>
      </c>
      <c r="CF12" s="21" t="s">
        <v>521</v>
      </c>
      <c r="DB12" s="24" t="s">
        <v>943</v>
      </c>
      <c r="DC12" s="21">
        <v>1</v>
      </c>
      <c r="DD12" s="21">
        <v>1</v>
      </c>
      <c r="DE12" s="22">
        <v>42737</v>
      </c>
      <c r="DF12" s="21" t="s">
        <v>1045</v>
      </c>
      <c r="DG12" s="21" t="s">
        <v>522</v>
      </c>
      <c r="DH12" s="21" t="s">
        <v>1046</v>
      </c>
      <c r="DI12" s="21" t="s">
        <v>495</v>
      </c>
      <c r="DJ12" s="21" t="s">
        <v>523</v>
      </c>
      <c r="DL12" s="22">
        <v>42743</v>
      </c>
      <c r="DM12" s="22">
        <v>42733</v>
      </c>
      <c r="DN12" s="21">
        <v>3100</v>
      </c>
      <c r="DO12" s="21">
        <v>0</v>
      </c>
      <c r="DP12" s="21">
        <v>2</v>
      </c>
      <c r="DQ12" s="21">
        <v>2</v>
      </c>
      <c r="DR12" s="21">
        <v>1</v>
      </c>
      <c r="DS12" s="21">
        <v>3</v>
      </c>
      <c r="DT12" s="21">
        <v>5</v>
      </c>
      <c r="DU12" s="21">
        <v>5</v>
      </c>
      <c r="DW12" s="21">
        <v>0</v>
      </c>
      <c r="EA12" s="21">
        <v>0</v>
      </c>
      <c r="EB12" s="21" t="s">
        <v>1047</v>
      </c>
      <c r="EC12" s="21" t="s">
        <v>1223</v>
      </c>
      <c r="EF12" s="25">
        <v>0</v>
      </c>
      <c r="EG12" s="25">
        <v>1</v>
      </c>
      <c r="EH12" s="25">
        <v>0</v>
      </c>
      <c r="EI12" s="25">
        <v>1</v>
      </c>
      <c r="EJ12" s="25" t="s">
        <v>62</v>
      </c>
      <c r="EK12" s="25" t="s">
        <v>130</v>
      </c>
      <c r="EL12" s="25" t="s">
        <v>140</v>
      </c>
      <c r="EM12" s="25" t="s">
        <v>276</v>
      </c>
      <c r="EN12" s="25" t="s">
        <v>23</v>
      </c>
      <c r="EO12" s="25" t="s">
        <v>23</v>
      </c>
      <c r="EP12" s="25" t="s">
        <v>62</v>
      </c>
      <c r="EQ12" s="25" t="s">
        <v>529</v>
      </c>
      <c r="ER12" s="25" t="s">
        <v>278</v>
      </c>
      <c r="ES12" s="25" t="s">
        <v>278</v>
      </c>
      <c r="ET12" s="25">
        <v>1</v>
      </c>
      <c r="EU12" s="25" t="s">
        <v>522</v>
      </c>
      <c r="EV12" s="25" t="s">
        <v>279</v>
      </c>
      <c r="EW12" s="25" t="s">
        <v>279</v>
      </c>
      <c r="EX12" s="25" t="s">
        <v>279</v>
      </c>
      <c r="EY12" s="20" t="e">
        <v>#N/A</v>
      </c>
    </row>
    <row r="13" spans="1:155">
      <c r="A13" s="21" t="s">
        <v>491</v>
      </c>
      <c r="B13" s="21" t="s">
        <v>491</v>
      </c>
      <c r="C13" s="21" t="s">
        <v>492</v>
      </c>
      <c r="D13" s="21" t="s">
        <v>493</v>
      </c>
      <c r="E13" s="21" t="s">
        <v>493</v>
      </c>
      <c r="F13" s="21" t="s">
        <v>493</v>
      </c>
      <c r="G13" s="21" t="s">
        <v>1048</v>
      </c>
      <c r="H13" s="21">
        <v>1123251956</v>
      </c>
      <c r="I13" s="21" t="s">
        <v>494</v>
      </c>
      <c r="J13" s="21" t="s">
        <v>1049</v>
      </c>
      <c r="L13" s="21" t="s">
        <v>495</v>
      </c>
      <c r="M13" s="21" t="s">
        <v>1050</v>
      </c>
      <c r="N13" s="21" t="s">
        <v>1051</v>
      </c>
      <c r="O13" s="21" t="s">
        <v>93</v>
      </c>
      <c r="P13" s="21" t="s">
        <v>539</v>
      </c>
      <c r="R13" s="21" t="s">
        <v>1052</v>
      </c>
      <c r="S13" s="21" t="s">
        <v>1053</v>
      </c>
      <c r="V13" s="21" t="s">
        <v>277</v>
      </c>
      <c r="W13" s="21" t="s">
        <v>524</v>
      </c>
      <c r="X13" s="21" t="s">
        <v>525</v>
      </c>
      <c r="Y13" s="21" t="s">
        <v>530</v>
      </c>
      <c r="Z13" s="21">
        <v>3035150385</v>
      </c>
      <c r="AA13" s="22">
        <v>42725</v>
      </c>
      <c r="AB13" s="22">
        <v>42732</v>
      </c>
      <c r="AC13" s="21" t="s">
        <v>504</v>
      </c>
      <c r="AD13" s="21" t="s">
        <v>505</v>
      </c>
      <c r="AE13" s="21" t="s">
        <v>1054</v>
      </c>
      <c r="AF13" s="21" t="s">
        <v>1055</v>
      </c>
      <c r="AG13" s="21" t="s">
        <v>1056</v>
      </c>
      <c r="AH13" s="21" t="s">
        <v>1057</v>
      </c>
      <c r="AI13" s="21" t="s">
        <v>1058</v>
      </c>
      <c r="AJ13" s="21" t="s">
        <v>526</v>
      </c>
      <c r="AK13" s="21" t="s">
        <v>494</v>
      </c>
      <c r="AL13" s="21" t="s">
        <v>527</v>
      </c>
      <c r="AM13" s="21" t="s">
        <v>527</v>
      </c>
      <c r="AN13" s="21" t="s">
        <v>527</v>
      </c>
      <c r="AO13" s="21" t="s">
        <v>528</v>
      </c>
      <c r="AS13" s="21" t="s">
        <v>511</v>
      </c>
      <c r="AT13" s="21" t="s">
        <v>512</v>
      </c>
      <c r="AW13" s="21">
        <v>0</v>
      </c>
      <c r="AX13" s="21">
        <v>13</v>
      </c>
      <c r="AY13" s="22"/>
      <c r="BB13" s="22"/>
      <c r="BC13" s="21" t="s">
        <v>513</v>
      </c>
      <c r="BD13" s="21" t="s">
        <v>514</v>
      </c>
      <c r="BE13" s="21" t="s">
        <v>514</v>
      </c>
      <c r="BF13" s="21" t="s">
        <v>515</v>
      </c>
      <c r="BG13" s="21">
        <v>1</v>
      </c>
      <c r="BH13" s="21" t="s">
        <v>516</v>
      </c>
      <c r="BI13" s="21" t="s">
        <v>517</v>
      </c>
      <c r="BJ13" s="21" t="s">
        <v>516</v>
      </c>
      <c r="BK13" s="21" t="s">
        <v>516</v>
      </c>
      <c r="BM13" s="21" t="s">
        <v>29</v>
      </c>
      <c r="BN13" s="21" t="s">
        <v>129</v>
      </c>
      <c r="BO13" s="21" t="s">
        <v>518</v>
      </c>
      <c r="BP13" s="21" t="s">
        <v>519</v>
      </c>
      <c r="BQ13" s="21" t="s">
        <v>27</v>
      </c>
      <c r="BR13" s="21" t="s">
        <v>119</v>
      </c>
      <c r="BS13" s="21" t="s">
        <v>518</v>
      </c>
      <c r="BT13" s="21" t="s">
        <v>519</v>
      </c>
      <c r="BU13" s="21" t="s">
        <v>129</v>
      </c>
      <c r="CD13" s="21" t="s">
        <v>520</v>
      </c>
      <c r="CF13" s="21" t="s">
        <v>521</v>
      </c>
      <c r="DB13" s="24" t="s">
        <v>943</v>
      </c>
      <c r="DC13" s="21">
        <v>1</v>
      </c>
      <c r="DD13" s="21">
        <v>1</v>
      </c>
      <c r="DE13" s="22">
        <v>42737</v>
      </c>
      <c r="DF13" s="21" t="s">
        <v>1059</v>
      </c>
      <c r="DG13" s="21" t="s">
        <v>522</v>
      </c>
      <c r="DH13" s="21" t="s">
        <v>1060</v>
      </c>
      <c r="DI13" s="21" t="s">
        <v>495</v>
      </c>
      <c r="DJ13" s="21" t="s">
        <v>520</v>
      </c>
      <c r="DL13" s="22">
        <v>42744</v>
      </c>
      <c r="DM13" s="22">
        <v>42734</v>
      </c>
      <c r="DN13" s="21">
        <v>1100</v>
      </c>
      <c r="DO13" s="21">
        <v>10</v>
      </c>
      <c r="DP13" s="21">
        <v>1</v>
      </c>
      <c r="DQ13" s="21">
        <v>2</v>
      </c>
      <c r="DR13" s="21">
        <v>6</v>
      </c>
      <c r="DS13" s="21">
        <v>10</v>
      </c>
      <c r="DT13" s="21">
        <v>10</v>
      </c>
      <c r="DU13" s="21">
        <v>10</v>
      </c>
      <c r="DW13" s="21">
        <v>10</v>
      </c>
      <c r="EA13" s="21">
        <v>10</v>
      </c>
      <c r="EB13" s="21" t="s">
        <v>1061</v>
      </c>
      <c r="EC13" s="21" t="s">
        <v>1224</v>
      </c>
      <c r="EF13" s="25">
        <v>1</v>
      </c>
      <c r="EG13" s="25">
        <v>0</v>
      </c>
      <c r="EH13" s="25">
        <v>1</v>
      </c>
      <c r="EI13" s="25">
        <v>0</v>
      </c>
      <c r="EJ13" s="25" t="s">
        <v>92</v>
      </c>
      <c r="EK13" s="25" t="s">
        <v>130</v>
      </c>
      <c r="EL13" s="25" t="s">
        <v>120</v>
      </c>
      <c r="EM13" s="25" t="s">
        <v>276</v>
      </c>
      <c r="EN13" s="25" t="s">
        <v>23</v>
      </c>
      <c r="EO13" s="25" t="s">
        <v>23</v>
      </c>
      <c r="EP13" s="25" t="s">
        <v>62</v>
      </c>
      <c r="EQ13" s="25" t="s">
        <v>62</v>
      </c>
      <c r="ER13" s="25" t="s">
        <v>278</v>
      </c>
      <c r="ES13" s="25" t="s">
        <v>278</v>
      </c>
      <c r="ET13" s="25">
        <v>1</v>
      </c>
      <c r="EU13" s="25" t="s">
        <v>522</v>
      </c>
      <c r="EV13" s="25" t="s">
        <v>279</v>
      </c>
      <c r="EW13" s="25" t="s">
        <v>279</v>
      </c>
      <c r="EX13" s="25" t="s">
        <v>279</v>
      </c>
      <c r="EY13" s="20" t="e">
        <v>#N/A</v>
      </c>
    </row>
    <row r="14" spans="1:155">
      <c r="A14" s="21" t="s">
        <v>491</v>
      </c>
      <c r="B14" s="21" t="s">
        <v>491</v>
      </c>
      <c r="C14" s="21" t="s">
        <v>492</v>
      </c>
      <c r="D14" s="21" t="s">
        <v>493</v>
      </c>
      <c r="E14" s="21" t="s">
        <v>493</v>
      </c>
      <c r="F14" s="21" t="s">
        <v>493</v>
      </c>
      <c r="G14" s="21" t="s">
        <v>1062</v>
      </c>
      <c r="H14" s="21" t="s">
        <v>1063</v>
      </c>
      <c r="I14" s="21" t="s">
        <v>494</v>
      </c>
      <c r="J14" s="21" t="s">
        <v>1064</v>
      </c>
      <c r="L14" s="21" t="s">
        <v>495</v>
      </c>
      <c r="M14" s="21" t="s">
        <v>1065</v>
      </c>
      <c r="N14" s="21" t="s">
        <v>1066</v>
      </c>
      <c r="O14" s="21" t="s">
        <v>93</v>
      </c>
      <c r="P14" s="21" t="s">
        <v>539</v>
      </c>
      <c r="R14" s="21" t="s">
        <v>1067</v>
      </c>
      <c r="S14" s="21" t="s">
        <v>1068</v>
      </c>
      <c r="V14" s="21" t="s">
        <v>277</v>
      </c>
      <c r="W14" s="21" t="s">
        <v>524</v>
      </c>
      <c r="X14" s="21" t="s">
        <v>525</v>
      </c>
      <c r="Y14" s="21" t="s">
        <v>530</v>
      </c>
      <c r="Z14" s="21">
        <v>3035299621</v>
      </c>
      <c r="AA14" s="22">
        <v>42732</v>
      </c>
      <c r="AB14" s="22">
        <v>42732</v>
      </c>
      <c r="AC14" s="21" t="s">
        <v>504</v>
      </c>
      <c r="AD14" s="21" t="s">
        <v>505</v>
      </c>
      <c r="AE14" s="21" t="s">
        <v>1054</v>
      </c>
      <c r="AF14" s="21" t="s">
        <v>1055</v>
      </c>
      <c r="AG14" s="21" t="s">
        <v>1069</v>
      </c>
      <c r="AH14" s="21" t="s">
        <v>1070</v>
      </c>
      <c r="AI14" s="21" t="s">
        <v>1071</v>
      </c>
      <c r="AJ14" s="21" t="s">
        <v>526</v>
      </c>
      <c r="AK14" s="21" t="s">
        <v>494</v>
      </c>
      <c r="AL14" s="21" t="s">
        <v>527</v>
      </c>
      <c r="AM14" s="21" t="s">
        <v>527</v>
      </c>
      <c r="AN14" s="21" t="s">
        <v>527</v>
      </c>
      <c r="AO14" s="21" t="s">
        <v>528</v>
      </c>
      <c r="AS14" s="21" t="s">
        <v>511</v>
      </c>
      <c r="AT14" s="21" t="s">
        <v>512</v>
      </c>
      <c r="AW14" s="21">
        <v>0</v>
      </c>
      <c r="AX14" s="21">
        <v>3</v>
      </c>
      <c r="AY14" s="22"/>
      <c r="BB14" s="22"/>
      <c r="BC14" s="21" t="s">
        <v>513</v>
      </c>
      <c r="BD14" s="21" t="s">
        <v>514</v>
      </c>
      <c r="BE14" s="21" t="s">
        <v>514</v>
      </c>
      <c r="BF14" s="21" t="s">
        <v>515</v>
      </c>
      <c r="BG14" s="21">
        <v>1</v>
      </c>
      <c r="BH14" s="21" t="s">
        <v>516</v>
      </c>
      <c r="BI14" s="21" t="s">
        <v>517</v>
      </c>
      <c r="BJ14" s="21" t="s">
        <v>516</v>
      </c>
      <c r="BK14" s="21" t="s">
        <v>516</v>
      </c>
      <c r="BM14" s="21" t="s">
        <v>40</v>
      </c>
      <c r="BN14" s="21" t="s">
        <v>240</v>
      </c>
      <c r="BO14" s="21" t="s">
        <v>518</v>
      </c>
      <c r="BP14" s="21" t="s">
        <v>1044</v>
      </c>
      <c r="BQ14" s="21" t="s">
        <v>40</v>
      </c>
      <c r="BR14" s="21" t="s">
        <v>240</v>
      </c>
      <c r="BS14" s="21" t="s">
        <v>518</v>
      </c>
      <c r="BT14" s="21" t="s">
        <v>1044</v>
      </c>
      <c r="BU14" s="21" t="s">
        <v>240</v>
      </c>
      <c r="CD14" s="21" t="s">
        <v>520</v>
      </c>
      <c r="CF14" s="21" t="s">
        <v>521</v>
      </c>
      <c r="DB14" s="24" t="s">
        <v>943</v>
      </c>
      <c r="DC14" s="21">
        <v>1</v>
      </c>
      <c r="DD14" s="21">
        <v>1</v>
      </c>
      <c r="DE14" s="22">
        <v>42737</v>
      </c>
      <c r="DF14" s="21" t="s">
        <v>1072</v>
      </c>
      <c r="DG14" s="21" t="s">
        <v>522</v>
      </c>
      <c r="DH14" s="21" t="s">
        <v>1073</v>
      </c>
      <c r="DI14" s="21" t="s">
        <v>495</v>
      </c>
      <c r="DJ14" s="21" t="s">
        <v>520</v>
      </c>
      <c r="DL14" s="22">
        <v>42744</v>
      </c>
      <c r="DM14" s="22">
        <v>42734</v>
      </c>
      <c r="DN14" s="21">
        <v>1100</v>
      </c>
      <c r="DO14" s="21">
        <v>10</v>
      </c>
      <c r="DP14" s="21">
        <v>1</v>
      </c>
      <c r="DQ14" s="21">
        <v>1</v>
      </c>
      <c r="DR14" s="21">
        <v>5</v>
      </c>
      <c r="DS14" s="21">
        <v>10</v>
      </c>
      <c r="DT14" s="21">
        <v>10</v>
      </c>
      <c r="DU14" s="21">
        <v>10</v>
      </c>
      <c r="DW14" s="21">
        <v>9</v>
      </c>
      <c r="EA14" s="21">
        <v>9</v>
      </c>
      <c r="EF14" s="25">
        <v>1</v>
      </c>
      <c r="EG14" s="25">
        <v>0</v>
      </c>
      <c r="EH14" s="25">
        <v>1</v>
      </c>
      <c r="EI14" s="25">
        <v>0</v>
      </c>
      <c r="EJ14" s="25" t="s">
        <v>92</v>
      </c>
      <c r="EK14" s="25" t="s">
        <v>241</v>
      </c>
      <c r="EL14" s="25" t="s">
        <v>241</v>
      </c>
      <c r="EM14" s="25" t="s">
        <v>276</v>
      </c>
      <c r="EN14" s="25" t="s">
        <v>39</v>
      </c>
      <c r="EO14" s="25" t="s">
        <v>39</v>
      </c>
      <c r="EP14" s="25" t="s">
        <v>92</v>
      </c>
      <c r="EQ14" s="25" t="s">
        <v>92</v>
      </c>
      <c r="ER14" s="25" t="s">
        <v>278</v>
      </c>
      <c r="ES14" s="25" t="s">
        <v>278</v>
      </c>
      <c r="ET14" s="25">
        <v>1</v>
      </c>
      <c r="EU14" s="25" t="s">
        <v>522</v>
      </c>
      <c r="EV14" s="25" t="s">
        <v>241</v>
      </c>
      <c r="EW14" s="25" t="s">
        <v>39</v>
      </c>
      <c r="EX14" s="25" t="s">
        <v>278</v>
      </c>
      <c r="EY14" s="20" t="e">
        <v>#N/A</v>
      </c>
    </row>
    <row r="15" spans="1:155">
      <c r="A15" s="21" t="s">
        <v>491</v>
      </c>
      <c r="B15" s="21" t="s">
        <v>491</v>
      </c>
      <c r="C15" s="21" t="s">
        <v>492</v>
      </c>
      <c r="D15" s="21" t="s">
        <v>493</v>
      </c>
      <c r="E15" s="21" t="s">
        <v>493</v>
      </c>
      <c r="F15" s="21" t="s">
        <v>493</v>
      </c>
      <c r="G15" s="21" t="s">
        <v>1074</v>
      </c>
      <c r="H15" s="21" t="s">
        <v>1075</v>
      </c>
      <c r="I15" s="21" t="s">
        <v>494</v>
      </c>
      <c r="J15" s="21" t="s">
        <v>1076</v>
      </c>
      <c r="L15" s="21" t="s">
        <v>495</v>
      </c>
      <c r="M15" s="21" t="s">
        <v>1077</v>
      </c>
      <c r="N15" s="21" t="s">
        <v>550</v>
      </c>
      <c r="O15" s="21" t="s">
        <v>69</v>
      </c>
      <c r="P15" s="21" t="s">
        <v>497</v>
      </c>
      <c r="Q15" s="21" t="s">
        <v>1078</v>
      </c>
      <c r="R15" s="21" t="s">
        <v>551</v>
      </c>
      <c r="S15" s="21" t="s">
        <v>552</v>
      </c>
      <c r="V15" s="21" t="s">
        <v>500</v>
      </c>
      <c r="W15" s="21" t="s">
        <v>501</v>
      </c>
      <c r="X15" s="21" t="s">
        <v>502</v>
      </c>
      <c r="Y15" s="21" t="s">
        <v>503</v>
      </c>
      <c r="Z15" s="21">
        <v>3035273572</v>
      </c>
      <c r="AA15" s="22">
        <v>42731</v>
      </c>
      <c r="AB15" s="22">
        <v>42732</v>
      </c>
      <c r="AC15" s="21" t="s">
        <v>504</v>
      </c>
      <c r="AD15" s="21" t="s">
        <v>505</v>
      </c>
      <c r="AE15" s="21" t="s">
        <v>500</v>
      </c>
      <c r="AF15" s="21" t="s">
        <v>506</v>
      </c>
      <c r="AG15" s="21" t="s">
        <v>1079</v>
      </c>
      <c r="AH15" s="21" t="s">
        <v>1080</v>
      </c>
      <c r="AI15" s="21" t="s">
        <v>1081</v>
      </c>
      <c r="AJ15" s="21" t="s">
        <v>507</v>
      </c>
      <c r="AK15" s="21" t="s">
        <v>494</v>
      </c>
      <c r="AL15" s="21" t="s">
        <v>527</v>
      </c>
      <c r="AM15" s="21" t="s">
        <v>527</v>
      </c>
      <c r="AN15" s="21" t="s">
        <v>527</v>
      </c>
      <c r="AO15" s="21" t="s">
        <v>528</v>
      </c>
      <c r="AS15" s="21" t="s">
        <v>511</v>
      </c>
      <c r="AT15" s="21" t="s">
        <v>512</v>
      </c>
      <c r="AW15" s="21">
        <v>0</v>
      </c>
      <c r="AX15" s="21">
        <v>4</v>
      </c>
      <c r="BC15" s="21" t="s">
        <v>513</v>
      </c>
      <c r="BD15" s="21" t="s">
        <v>514</v>
      </c>
      <c r="BE15" s="21" t="s">
        <v>514</v>
      </c>
      <c r="BF15" s="21" t="s">
        <v>515</v>
      </c>
      <c r="BG15" s="21">
        <v>1</v>
      </c>
      <c r="BH15" s="21" t="s">
        <v>516</v>
      </c>
      <c r="BI15" s="21" t="s">
        <v>517</v>
      </c>
      <c r="BJ15" s="21" t="s">
        <v>516</v>
      </c>
      <c r="BK15" s="21" t="s">
        <v>516</v>
      </c>
      <c r="BM15" s="21" t="s">
        <v>25</v>
      </c>
      <c r="BN15" s="21" t="s">
        <v>135</v>
      </c>
      <c r="BO15" s="21" t="s">
        <v>518</v>
      </c>
      <c r="BP15" s="21" t="s">
        <v>519</v>
      </c>
      <c r="BQ15" s="21" t="s">
        <v>27</v>
      </c>
      <c r="BR15" s="21" t="s">
        <v>119</v>
      </c>
      <c r="BS15" s="21" t="s">
        <v>518</v>
      </c>
      <c r="BT15" s="21" t="s">
        <v>519</v>
      </c>
      <c r="BU15" s="21" t="s">
        <v>135</v>
      </c>
      <c r="CD15" s="21" t="s">
        <v>520</v>
      </c>
      <c r="CF15" s="21" t="s">
        <v>521</v>
      </c>
      <c r="DB15" s="24" t="s">
        <v>943</v>
      </c>
      <c r="DC15" s="21">
        <v>1</v>
      </c>
      <c r="DD15" s="21">
        <v>1</v>
      </c>
      <c r="DE15" s="22">
        <v>42737</v>
      </c>
      <c r="DF15" s="21" t="s">
        <v>1082</v>
      </c>
      <c r="DG15" s="21" t="s">
        <v>522</v>
      </c>
      <c r="DH15" s="21" t="s">
        <v>1083</v>
      </c>
      <c r="DI15" s="21" t="s">
        <v>495</v>
      </c>
      <c r="DJ15" s="21" t="s">
        <v>520</v>
      </c>
      <c r="DL15" s="22">
        <v>42744</v>
      </c>
      <c r="DM15" s="22">
        <v>42734</v>
      </c>
      <c r="DN15" s="21">
        <v>3100</v>
      </c>
      <c r="DO15" s="21">
        <v>0</v>
      </c>
      <c r="DP15" s="21">
        <v>2</v>
      </c>
      <c r="DQ15" s="21">
        <v>2</v>
      </c>
      <c r="DR15" s="21">
        <v>2</v>
      </c>
      <c r="DS15" s="21">
        <v>99</v>
      </c>
      <c r="DT15" s="21">
        <v>3</v>
      </c>
      <c r="DU15" s="21">
        <v>5</v>
      </c>
      <c r="DW15" s="21">
        <v>0</v>
      </c>
      <c r="EA15" s="21">
        <v>0</v>
      </c>
      <c r="EB15" s="21" t="s">
        <v>1084</v>
      </c>
      <c r="EC15" s="21" t="s">
        <v>1225</v>
      </c>
      <c r="EF15" s="25">
        <v>0</v>
      </c>
      <c r="EG15" s="25">
        <v>1</v>
      </c>
      <c r="EH15" s="25">
        <v>0</v>
      </c>
      <c r="EI15" s="25">
        <v>1</v>
      </c>
      <c r="EJ15" s="25" t="s">
        <v>62</v>
      </c>
      <c r="EK15" s="25" t="s">
        <v>136</v>
      </c>
      <c r="EL15" s="25" t="s">
        <v>120</v>
      </c>
      <c r="EM15" s="25" t="s">
        <v>276</v>
      </c>
      <c r="EN15" s="25" t="s">
        <v>23</v>
      </c>
      <c r="EO15" s="25" t="s">
        <v>23</v>
      </c>
      <c r="EP15" s="25" t="s">
        <v>62</v>
      </c>
      <c r="EQ15" s="25" t="s">
        <v>62</v>
      </c>
      <c r="ER15" s="25" t="s">
        <v>278</v>
      </c>
      <c r="ES15" s="25" t="s">
        <v>278</v>
      </c>
      <c r="ET15" s="25">
        <v>1</v>
      </c>
      <c r="EU15" s="25" t="s">
        <v>522</v>
      </c>
      <c r="EV15" s="25" t="s">
        <v>279</v>
      </c>
      <c r="EW15" s="25" t="s">
        <v>279</v>
      </c>
      <c r="EX15" s="25" t="s">
        <v>279</v>
      </c>
      <c r="EY15" s="20" t="e">
        <v>#N/A</v>
      </c>
    </row>
    <row r="16" spans="1:155">
      <c r="A16" s="21" t="s">
        <v>491</v>
      </c>
      <c r="B16" s="21" t="s">
        <v>491</v>
      </c>
      <c r="C16" s="21" t="s">
        <v>492</v>
      </c>
      <c r="D16" s="21" t="s">
        <v>493</v>
      </c>
      <c r="E16" s="21" t="s">
        <v>493</v>
      </c>
      <c r="F16" s="21" t="s">
        <v>493</v>
      </c>
      <c r="G16" s="21" t="s">
        <v>1085</v>
      </c>
      <c r="H16" s="21">
        <v>3432275907</v>
      </c>
      <c r="I16" s="21" t="s">
        <v>494</v>
      </c>
      <c r="J16" s="21" t="s">
        <v>1086</v>
      </c>
      <c r="L16" s="21" t="s">
        <v>495</v>
      </c>
      <c r="M16" s="21" t="s">
        <v>1087</v>
      </c>
      <c r="N16" s="21" t="s">
        <v>1088</v>
      </c>
      <c r="O16" s="21" t="s">
        <v>98</v>
      </c>
      <c r="P16" s="21" t="s">
        <v>553</v>
      </c>
      <c r="R16" s="21" t="s">
        <v>1089</v>
      </c>
      <c r="S16" s="21" t="s">
        <v>1090</v>
      </c>
      <c r="V16" s="21" t="s">
        <v>500</v>
      </c>
      <c r="W16" s="21" t="s">
        <v>501</v>
      </c>
      <c r="X16" s="21" t="s">
        <v>502</v>
      </c>
      <c r="Y16" s="21" t="s">
        <v>554</v>
      </c>
      <c r="Z16" s="21">
        <v>3035324821</v>
      </c>
      <c r="AA16" s="22">
        <v>42733</v>
      </c>
      <c r="AB16" s="22">
        <v>42733</v>
      </c>
      <c r="AC16" s="21" t="s">
        <v>504</v>
      </c>
      <c r="AD16" s="21" t="s">
        <v>505</v>
      </c>
      <c r="AE16" s="21" t="s">
        <v>1091</v>
      </c>
      <c r="AF16" s="21" t="s">
        <v>1092</v>
      </c>
      <c r="AG16" s="21" t="s">
        <v>1093</v>
      </c>
      <c r="AH16" s="21" t="s">
        <v>1094</v>
      </c>
      <c r="AI16" s="21" t="s">
        <v>1095</v>
      </c>
      <c r="AJ16" s="21" t="s">
        <v>507</v>
      </c>
      <c r="AK16" s="21" t="s">
        <v>494</v>
      </c>
      <c r="AL16" s="21" t="s">
        <v>527</v>
      </c>
      <c r="AM16" s="21" t="s">
        <v>527</v>
      </c>
      <c r="AN16" s="21" t="s">
        <v>527</v>
      </c>
      <c r="AO16" s="21" t="s">
        <v>528</v>
      </c>
      <c r="AS16" s="21" t="s">
        <v>511</v>
      </c>
      <c r="AT16" s="21" t="s">
        <v>512</v>
      </c>
      <c r="AW16" s="21">
        <v>0</v>
      </c>
      <c r="AX16" s="21">
        <v>2</v>
      </c>
      <c r="AY16" s="22"/>
      <c r="BB16" s="22"/>
      <c r="BC16" s="21" t="s">
        <v>513</v>
      </c>
      <c r="BD16" s="21" t="s">
        <v>514</v>
      </c>
      <c r="BE16" s="21" t="s">
        <v>514</v>
      </c>
      <c r="BF16" s="21" t="s">
        <v>515</v>
      </c>
      <c r="BG16" s="21">
        <v>1</v>
      </c>
      <c r="BH16" s="21" t="s">
        <v>516</v>
      </c>
      <c r="BI16" s="21" t="s">
        <v>517</v>
      </c>
      <c r="BJ16" s="21" t="s">
        <v>516</v>
      </c>
      <c r="BK16" s="21" t="s">
        <v>516</v>
      </c>
      <c r="BM16" s="21" t="s">
        <v>49</v>
      </c>
      <c r="BN16" s="21" t="s">
        <v>261</v>
      </c>
      <c r="BO16" s="21" t="s">
        <v>518</v>
      </c>
      <c r="BP16" s="21" t="s">
        <v>519</v>
      </c>
      <c r="BQ16" s="21" t="s">
        <v>49</v>
      </c>
      <c r="BR16" s="21" t="s">
        <v>261</v>
      </c>
      <c r="BS16" s="21" t="s">
        <v>518</v>
      </c>
      <c r="BT16" s="21" t="s">
        <v>519</v>
      </c>
      <c r="BU16" s="21" t="s">
        <v>261</v>
      </c>
      <c r="CD16" s="21" t="s">
        <v>520</v>
      </c>
      <c r="CF16" s="21" t="s">
        <v>521</v>
      </c>
      <c r="DB16" s="24" t="s">
        <v>943</v>
      </c>
      <c r="DC16" s="21">
        <v>1</v>
      </c>
      <c r="DD16" s="21">
        <v>1</v>
      </c>
      <c r="DE16" s="22">
        <v>42737</v>
      </c>
      <c r="DF16" s="21" t="s">
        <v>1096</v>
      </c>
      <c r="DG16" s="21" t="s">
        <v>522</v>
      </c>
      <c r="DH16" s="21" t="s">
        <v>1097</v>
      </c>
      <c r="DI16" s="21" t="s">
        <v>495</v>
      </c>
      <c r="DJ16" s="21" t="s">
        <v>520</v>
      </c>
      <c r="DL16" s="22">
        <v>42745</v>
      </c>
      <c r="DM16" s="22">
        <v>42735</v>
      </c>
      <c r="DN16" s="21">
        <v>3100</v>
      </c>
      <c r="DO16" s="21">
        <v>10</v>
      </c>
      <c r="DP16" s="21">
        <v>1</v>
      </c>
      <c r="DQ16" s="21">
        <v>1</v>
      </c>
      <c r="DR16" s="21">
        <v>6</v>
      </c>
      <c r="DS16" s="21">
        <v>10</v>
      </c>
      <c r="DT16" s="21">
        <v>10</v>
      </c>
      <c r="DU16" s="21">
        <v>10</v>
      </c>
      <c r="DW16" s="21">
        <v>10</v>
      </c>
      <c r="EA16" s="21">
        <v>10</v>
      </c>
      <c r="EB16" s="21" t="s">
        <v>1098</v>
      </c>
      <c r="EC16" s="21" t="s">
        <v>1221</v>
      </c>
      <c r="EF16" s="25">
        <v>1</v>
      </c>
      <c r="EG16" s="25">
        <v>0</v>
      </c>
      <c r="EH16" s="25">
        <v>1</v>
      </c>
      <c r="EI16" s="25">
        <v>0</v>
      </c>
      <c r="EJ16" s="25" t="s">
        <v>62</v>
      </c>
      <c r="EK16" s="25" t="s">
        <v>276</v>
      </c>
      <c r="EL16" s="25" t="s">
        <v>276</v>
      </c>
      <c r="EM16" s="25" t="s">
        <v>276</v>
      </c>
      <c r="EN16" s="25" t="s">
        <v>276</v>
      </c>
      <c r="EO16" s="25" t="s">
        <v>276</v>
      </c>
      <c r="EP16" s="25" t="s">
        <v>276</v>
      </c>
      <c r="EQ16" s="25" t="s">
        <v>276</v>
      </c>
      <c r="ER16" s="25" t="s">
        <v>276</v>
      </c>
      <c r="ES16" s="25" t="s">
        <v>276</v>
      </c>
      <c r="ET16" s="25">
        <v>1</v>
      </c>
      <c r="EU16" s="25" t="s">
        <v>522</v>
      </c>
      <c r="EV16" s="25" t="s">
        <v>276</v>
      </c>
      <c r="EW16" s="25" t="s">
        <v>276</v>
      </c>
      <c r="EX16" s="25" t="s">
        <v>276</v>
      </c>
      <c r="EY16" s="20" t="s">
        <v>273</v>
      </c>
    </row>
    <row r="17" spans="1:155">
      <c r="A17" s="21" t="s">
        <v>491</v>
      </c>
      <c r="B17" s="21" t="s">
        <v>491</v>
      </c>
      <c r="C17" s="21" t="s">
        <v>492</v>
      </c>
      <c r="D17" s="21" t="s">
        <v>493</v>
      </c>
      <c r="E17" s="21" t="s">
        <v>493</v>
      </c>
      <c r="F17" s="21" t="s">
        <v>493</v>
      </c>
      <c r="G17" s="21" t="s">
        <v>1099</v>
      </c>
      <c r="H17" s="21" t="s">
        <v>1100</v>
      </c>
      <c r="I17" s="21">
        <v>31992199629</v>
      </c>
      <c r="J17" s="21" t="s">
        <v>1101</v>
      </c>
      <c r="L17" s="21" t="s">
        <v>495</v>
      </c>
      <c r="M17" s="21" t="s">
        <v>1102</v>
      </c>
      <c r="N17" s="21" t="s">
        <v>1103</v>
      </c>
      <c r="O17" s="21" t="s">
        <v>93</v>
      </c>
      <c r="P17" s="21" t="s">
        <v>539</v>
      </c>
      <c r="R17" s="21" t="s">
        <v>1104</v>
      </c>
      <c r="S17" s="21" t="s">
        <v>559</v>
      </c>
      <c r="V17" s="21" t="s">
        <v>277</v>
      </c>
      <c r="W17" s="21" t="s">
        <v>524</v>
      </c>
      <c r="X17" s="21" t="s">
        <v>525</v>
      </c>
      <c r="Y17" s="21" t="s">
        <v>530</v>
      </c>
      <c r="Z17" s="21">
        <v>3035330010</v>
      </c>
      <c r="AA17" s="22">
        <v>42733</v>
      </c>
      <c r="AB17" s="22">
        <v>42733</v>
      </c>
      <c r="AC17" s="21" t="s">
        <v>504</v>
      </c>
      <c r="AD17" s="21" t="s">
        <v>505</v>
      </c>
      <c r="AE17" s="21" t="s">
        <v>1054</v>
      </c>
      <c r="AF17" s="21" t="s">
        <v>1105</v>
      </c>
      <c r="AG17" s="21" t="s">
        <v>1106</v>
      </c>
      <c r="AH17" s="21" t="s">
        <v>1107</v>
      </c>
      <c r="AI17" s="21" t="s">
        <v>1108</v>
      </c>
      <c r="AJ17" s="21" t="s">
        <v>1109</v>
      </c>
      <c r="AK17" s="21" t="s">
        <v>494</v>
      </c>
      <c r="AL17" s="21" t="s">
        <v>527</v>
      </c>
      <c r="AM17" s="21" t="s">
        <v>527</v>
      </c>
      <c r="AN17" s="21" t="s">
        <v>527</v>
      </c>
      <c r="AO17" s="21" t="s">
        <v>528</v>
      </c>
      <c r="AS17" s="21" t="s">
        <v>511</v>
      </c>
      <c r="AT17" s="21" t="s">
        <v>512</v>
      </c>
      <c r="AW17" s="21">
        <v>0</v>
      </c>
      <c r="AX17" s="21">
        <v>2</v>
      </c>
      <c r="AY17" s="22"/>
      <c r="BB17" s="22"/>
      <c r="BC17" s="21" t="s">
        <v>513</v>
      </c>
      <c r="BD17" s="21" t="s">
        <v>514</v>
      </c>
      <c r="BE17" s="21" t="s">
        <v>514</v>
      </c>
      <c r="BF17" s="21" t="s">
        <v>515</v>
      </c>
      <c r="BG17" s="21">
        <v>1</v>
      </c>
      <c r="BH17" s="21" t="s">
        <v>516</v>
      </c>
      <c r="BI17" s="21" t="s">
        <v>517</v>
      </c>
      <c r="BJ17" s="21" t="s">
        <v>516</v>
      </c>
      <c r="BK17" s="21" t="s">
        <v>516</v>
      </c>
      <c r="BM17" s="21" t="s">
        <v>1110</v>
      </c>
      <c r="BN17" s="21" t="s">
        <v>200</v>
      </c>
      <c r="BO17" s="21" t="s">
        <v>518</v>
      </c>
      <c r="BP17" s="21" t="s">
        <v>1044</v>
      </c>
      <c r="BQ17" s="21" t="s">
        <v>1110</v>
      </c>
      <c r="BR17" s="21" t="s">
        <v>200</v>
      </c>
      <c r="BS17" s="21" t="s">
        <v>518</v>
      </c>
      <c r="BT17" s="21" t="s">
        <v>1044</v>
      </c>
      <c r="BU17" s="21" t="s">
        <v>200</v>
      </c>
      <c r="CD17" s="21" t="s">
        <v>520</v>
      </c>
      <c r="CF17" s="21" t="s">
        <v>521</v>
      </c>
      <c r="DB17" s="24" t="s">
        <v>943</v>
      </c>
      <c r="DC17" s="21">
        <v>1</v>
      </c>
      <c r="DD17" s="21">
        <v>1</v>
      </c>
      <c r="DE17" s="22">
        <v>42737</v>
      </c>
      <c r="DF17" s="21" t="s">
        <v>1111</v>
      </c>
      <c r="DG17" s="21" t="s">
        <v>522</v>
      </c>
      <c r="DH17" s="21" t="s">
        <v>1112</v>
      </c>
      <c r="DI17" s="21" t="s">
        <v>495</v>
      </c>
      <c r="DJ17" s="21" t="s">
        <v>520</v>
      </c>
      <c r="DL17" s="22">
        <v>42745</v>
      </c>
      <c r="DM17" s="22">
        <v>42735</v>
      </c>
      <c r="DN17" s="21">
        <v>1100</v>
      </c>
      <c r="DO17" s="21">
        <v>9</v>
      </c>
      <c r="DP17" s="21">
        <v>1</v>
      </c>
      <c r="DQ17" s="21">
        <v>2</v>
      </c>
      <c r="DR17" s="21">
        <v>6</v>
      </c>
      <c r="DS17" s="21">
        <v>10</v>
      </c>
      <c r="DT17" s="21">
        <v>10</v>
      </c>
      <c r="DU17" s="21">
        <v>10</v>
      </c>
      <c r="DW17" s="21">
        <v>10</v>
      </c>
      <c r="EA17" s="21">
        <v>9</v>
      </c>
      <c r="EF17" s="25">
        <v>1</v>
      </c>
      <c r="EG17" s="25">
        <v>0</v>
      </c>
      <c r="EH17" s="25">
        <v>1</v>
      </c>
      <c r="EI17" s="25">
        <v>0</v>
      </c>
      <c r="EJ17" s="25" t="s">
        <v>92</v>
      </c>
      <c r="EK17" s="25" t="s">
        <v>201</v>
      </c>
      <c r="EL17" s="25" t="s">
        <v>201</v>
      </c>
      <c r="EM17" s="25" t="s">
        <v>276</v>
      </c>
      <c r="EN17" s="25" t="s">
        <v>31</v>
      </c>
      <c r="EO17" s="25" t="s">
        <v>31</v>
      </c>
      <c r="EP17" s="25" t="s">
        <v>92</v>
      </c>
      <c r="EQ17" s="25" t="s">
        <v>92</v>
      </c>
      <c r="ER17" s="25" t="s">
        <v>278</v>
      </c>
      <c r="ES17" s="25" t="s">
        <v>278</v>
      </c>
      <c r="ET17" s="25">
        <v>1</v>
      </c>
      <c r="EU17" s="25" t="s">
        <v>522</v>
      </c>
      <c r="EV17" s="25" t="s">
        <v>201</v>
      </c>
      <c r="EW17" s="25" t="s">
        <v>31</v>
      </c>
      <c r="EX17" s="25" t="s">
        <v>278</v>
      </c>
      <c r="EY17" s="20" t="e">
        <v>#N/A</v>
      </c>
    </row>
    <row r="18" spans="1:155">
      <c r="A18" s="21" t="s">
        <v>491</v>
      </c>
      <c r="B18" s="21" t="s">
        <v>491</v>
      </c>
      <c r="C18" s="21" t="s">
        <v>492</v>
      </c>
      <c r="D18" s="21" t="s">
        <v>493</v>
      </c>
      <c r="E18" s="21" t="s">
        <v>493</v>
      </c>
      <c r="F18" s="21" t="s">
        <v>493</v>
      </c>
      <c r="G18" s="21" t="s">
        <v>1113</v>
      </c>
      <c r="H18" s="21">
        <v>4734339681</v>
      </c>
      <c r="I18" s="21" t="s">
        <v>494</v>
      </c>
      <c r="J18" s="21" t="s">
        <v>1114</v>
      </c>
      <c r="L18" s="21" t="s">
        <v>495</v>
      </c>
      <c r="M18" s="21" t="s">
        <v>1115</v>
      </c>
      <c r="N18" s="21" t="s">
        <v>550</v>
      </c>
      <c r="O18" s="21" t="s">
        <v>69</v>
      </c>
      <c r="P18" s="21" t="s">
        <v>497</v>
      </c>
      <c r="Q18" s="21" t="s">
        <v>1116</v>
      </c>
      <c r="R18" s="21" t="s">
        <v>551</v>
      </c>
      <c r="S18" s="21" t="s">
        <v>552</v>
      </c>
      <c r="V18" s="21" t="s">
        <v>500</v>
      </c>
      <c r="W18" s="21" t="s">
        <v>501</v>
      </c>
      <c r="X18" s="21" t="s">
        <v>502</v>
      </c>
      <c r="Y18" s="21" t="s">
        <v>503</v>
      </c>
      <c r="Z18" s="21">
        <v>3035326814</v>
      </c>
      <c r="AA18" s="22">
        <v>42733</v>
      </c>
      <c r="AB18" s="22">
        <v>42733</v>
      </c>
      <c r="AC18" s="21" t="s">
        <v>504</v>
      </c>
      <c r="AD18" s="21" t="s">
        <v>505</v>
      </c>
      <c r="AE18" s="21" t="s">
        <v>500</v>
      </c>
      <c r="AF18" s="21" t="s">
        <v>549</v>
      </c>
      <c r="AG18" s="21" t="s">
        <v>1007</v>
      </c>
      <c r="AH18" s="21" t="s">
        <v>1008</v>
      </c>
      <c r="AI18" s="21" t="s">
        <v>1117</v>
      </c>
      <c r="AJ18" s="21" t="s">
        <v>526</v>
      </c>
      <c r="AK18" s="21" t="s">
        <v>494</v>
      </c>
      <c r="AL18" s="21" t="s">
        <v>527</v>
      </c>
      <c r="AM18" s="21" t="s">
        <v>527</v>
      </c>
      <c r="AN18" s="21" t="s">
        <v>527</v>
      </c>
      <c r="AO18" s="21" t="s">
        <v>528</v>
      </c>
      <c r="AS18" s="21" t="s">
        <v>511</v>
      </c>
      <c r="AT18" s="21" t="s">
        <v>512</v>
      </c>
      <c r="AW18" s="21">
        <v>0</v>
      </c>
      <c r="AX18" s="21">
        <v>2</v>
      </c>
      <c r="BC18" s="21" t="s">
        <v>513</v>
      </c>
      <c r="BD18" s="21" t="s">
        <v>514</v>
      </c>
      <c r="BE18" s="21" t="s">
        <v>514</v>
      </c>
      <c r="BF18" s="21" t="s">
        <v>515</v>
      </c>
      <c r="BG18" s="21">
        <v>1</v>
      </c>
      <c r="BH18" s="21" t="s">
        <v>516</v>
      </c>
      <c r="BI18" s="21" t="s">
        <v>517</v>
      </c>
      <c r="BJ18" s="21" t="s">
        <v>516</v>
      </c>
      <c r="BK18" s="21" t="s">
        <v>516</v>
      </c>
      <c r="BM18" s="21" t="s">
        <v>17</v>
      </c>
      <c r="BN18" s="21" t="s">
        <v>107</v>
      </c>
      <c r="BO18" s="21" t="s">
        <v>518</v>
      </c>
      <c r="BP18" s="21" t="s">
        <v>519</v>
      </c>
      <c r="BQ18" s="21" t="s">
        <v>17</v>
      </c>
      <c r="BR18" s="21" t="s">
        <v>107</v>
      </c>
      <c r="BS18" s="21" t="s">
        <v>518</v>
      </c>
      <c r="BT18" s="21" t="s">
        <v>519</v>
      </c>
      <c r="BU18" s="21" t="s">
        <v>107</v>
      </c>
      <c r="CD18" s="21" t="s">
        <v>520</v>
      </c>
      <c r="CF18" s="21" t="s">
        <v>521</v>
      </c>
      <c r="CN18" s="22"/>
      <c r="DB18" s="24" t="s">
        <v>943</v>
      </c>
      <c r="DC18" s="21">
        <v>1</v>
      </c>
      <c r="DD18" s="21">
        <v>1</v>
      </c>
      <c r="DE18" s="22">
        <v>42737</v>
      </c>
      <c r="DF18" s="21" t="s">
        <v>1118</v>
      </c>
      <c r="DG18" s="21" t="s">
        <v>522</v>
      </c>
      <c r="DH18" s="21" t="s">
        <v>1119</v>
      </c>
      <c r="DI18" s="21" t="s">
        <v>495</v>
      </c>
      <c r="DJ18" s="21" t="s">
        <v>520</v>
      </c>
      <c r="DL18" s="22">
        <v>42745</v>
      </c>
      <c r="DM18" s="22">
        <v>42735</v>
      </c>
      <c r="DN18" s="21">
        <v>3100</v>
      </c>
      <c r="DO18" s="21">
        <v>10</v>
      </c>
      <c r="DP18" s="21">
        <v>1</v>
      </c>
      <c r="DQ18" s="21">
        <v>2</v>
      </c>
      <c r="DR18" s="21">
        <v>6</v>
      </c>
      <c r="DS18" s="21">
        <v>10</v>
      </c>
      <c r="DT18" s="21">
        <v>10</v>
      </c>
      <c r="DU18" s="21">
        <v>10</v>
      </c>
      <c r="DW18" s="21">
        <v>10</v>
      </c>
      <c r="EA18" s="21">
        <v>9</v>
      </c>
      <c r="EB18" s="21" t="s">
        <v>1120</v>
      </c>
      <c r="EC18" s="21" t="s">
        <v>1002</v>
      </c>
      <c r="EF18" s="25">
        <v>1</v>
      </c>
      <c r="EG18" s="25">
        <v>0</v>
      </c>
      <c r="EH18" s="25">
        <v>1</v>
      </c>
      <c r="EI18" s="25">
        <v>0</v>
      </c>
      <c r="EJ18" s="25" t="s">
        <v>62</v>
      </c>
      <c r="EK18" s="25" t="s">
        <v>108</v>
      </c>
      <c r="EL18" s="25" t="s">
        <v>108</v>
      </c>
      <c r="EM18" s="25" t="s">
        <v>276</v>
      </c>
      <c r="EN18" s="25" t="s">
        <v>9</v>
      </c>
      <c r="EO18" s="25" t="s">
        <v>9</v>
      </c>
      <c r="EP18" s="25" t="s">
        <v>62</v>
      </c>
      <c r="EQ18" s="25" t="s">
        <v>62</v>
      </c>
      <c r="ER18" s="25" t="s">
        <v>278</v>
      </c>
      <c r="ES18" s="25" t="s">
        <v>278</v>
      </c>
      <c r="ET18" s="25">
        <v>1</v>
      </c>
      <c r="EU18" s="25" t="s">
        <v>522</v>
      </c>
      <c r="EV18" s="25" t="s">
        <v>108</v>
      </c>
      <c r="EW18" s="25" t="s">
        <v>9</v>
      </c>
      <c r="EX18" s="25" t="s">
        <v>278</v>
      </c>
      <c r="EY18" s="20" t="e">
        <v>#N/A</v>
      </c>
    </row>
    <row r="19" spans="1:155">
      <c r="A19" s="21" t="s">
        <v>491</v>
      </c>
      <c r="B19" s="21" t="s">
        <v>491</v>
      </c>
      <c r="C19" s="21" t="s">
        <v>492</v>
      </c>
      <c r="D19" s="21" t="s">
        <v>493</v>
      </c>
      <c r="E19" s="21" t="s">
        <v>493</v>
      </c>
      <c r="F19" s="21" t="s">
        <v>493</v>
      </c>
      <c r="G19" s="21" t="s">
        <v>1121</v>
      </c>
      <c r="H19" s="21">
        <v>8330346330</v>
      </c>
      <c r="I19" s="21" t="s">
        <v>494</v>
      </c>
      <c r="J19" s="21" t="s">
        <v>1122</v>
      </c>
      <c r="L19" s="21" t="s">
        <v>495</v>
      </c>
      <c r="M19" s="21" t="s">
        <v>1123</v>
      </c>
      <c r="N19" s="21" t="s">
        <v>1088</v>
      </c>
      <c r="O19" s="21" t="s">
        <v>98</v>
      </c>
      <c r="P19" s="21" t="s">
        <v>553</v>
      </c>
      <c r="R19" s="21" t="s">
        <v>1089</v>
      </c>
      <c r="S19" s="21" t="s">
        <v>1090</v>
      </c>
      <c r="V19" s="21" t="s">
        <v>500</v>
      </c>
      <c r="W19" s="21" t="s">
        <v>501</v>
      </c>
      <c r="X19" s="21" t="s">
        <v>502</v>
      </c>
      <c r="Y19" s="21" t="s">
        <v>554</v>
      </c>
      <c r="Z19" s="21">
        <v>3035333611</v>
      </c>
      <c r="AA19" s="22">
        <v>42733</v>
      </c>
      <c r="AB19" s="22">
        <v>42733</v>
      </c>
      <c r="AC19" s="21" t="s">
        <v>504</v>
      </c>
      <c r="AD19" s="21" t="s">
        <v>505</v>
      </c>
      <c r="AE19" s="21" t="s">
        <v>1091</v>
      </c>
      <c r="AF19" s="21" t="s">
        <v>1124</v>
      </c>
      <c r="AG19" s="21" t="s">
        <v>1125</v>
      </c>
      <c r="AH19" s="21" t="s">
        <v>1126</v>
      </c>
      <c r="AI19" s="21" t="s">
        <v>1127</v>
      </c>
      <c r="AJ19" s="21" t="s">
        <v>526</v>
      </c>
      <c r="AK19" s="21" t="s">
        <v>494</v>
      </c>
      <c r="AL19" s="21" t="s">
        <v>527</v>
      </c>
      <c r="AM19" s="21" t="s">
        <v>527</v>
      </c>
      <c r="AN19" s="21" t="s">
        <v>527</v>
      </c>
      <c r="AO19" s="21" t="s">
        <v>528</v>
      </c>
      <c r="AS19" s="21" t="s">
        <v>511</v>
      </c>
      <c r="AT19" s="21" t="s">
        <v>512</v>
      </c>
      <c r="AW19" s="21">
        <v>0</v>
      </c>
      <c r="AX19" s="21">
        <v>3</v>
      </c>
      <c r="BC19" s="21" t="s">
        <v>513</v>
      </c>
      <c r="BD19" s="21" t="s">
        <v>514</v>
      </c>
      <c r="BE19" s="21" t="s">
        <v>514</v>
      </c>
      <c r="BF19" s="21" t="s">
        <v>515</v>
      </c>
      <c r="BG19" s="21">
        <v>1</v>
      </c>
      <c r="BH19" s="21" t="s">
        <v>516</v>
      </c>
      <c r="BI19" s="21" t="s">
        <v>517</v>
      </c>
      <c r="BJ19" s="21" t="s">
        <v>516</v>
      </c>
      <c r="BK19" s="21" t="s">
        <v>516</v>
      </c>
      <c r="BM19" s="21" t="s">
        <v>54</v>
      </c>
      <c r="BN19" s="21" t="s">
        <v>259</v>
      </c>
      <c r="BO19" s="21" t="s">
        <v>518</v>
      </c>
      <c r="BP19" s="21" t="s">
        <v>519</v>
      </c>
      <c r="BQ19" s="21" t="s">
        <v>560</v>
      </c>
      <c r="BR19" s="21" t="s">
        <v>141</v>
      </c>
      <c r="BS19" s="21" t="s">
        <v>518</v>
      </c>
      <c r="BT19" s="21" t="s">
        <v>519</v>
      </c>
      <c r="BU19" s="21" t="s">
        <v>259</v>
      </c>
      <c r="CD19" s="21" t="s">
        <v>520</v>
      </c>
      <c r="CF19" s="21" t="s">
        <v>521</v>
      </c>
      <c r="DB19" s="24" t="s">
        <v>943</v>
      </c>
      <c r="DC19" s="21">
        <v>1</v>
      </c>
      <c r="DD19" s="21">
        <v>1</v>
      </c>
      <c r="DE19" s="22">
        <v>42737</v>
      </c>
      <c r="DF19" s="21" t="s">
        <v>1128</v>
      </c>
      <c r="DG19" s="21" t="s">
        <v>522</v>
      </c>
      <c r="DH19" s="21" t="s">
        <v>1129</v>
      </c>
      <c r="DI19" s="21" t="s">
        <v>495</v>
      </c>
      <c r="DJ19" s="21" t="s">
        <v>520</v>
      </c>
      <c r="DL19" s="22">
        <v>42745</v>
      </c>
      <c r="DM19" s="22">
        <v>42735</v>
      </c>
      <c r="DN19" s="21">
        <v>3100</v>
      </c>
      <c r="DO19" s="21">
        <v>10</v>
      </c>
      <c r="DP19" s="21">
        <v>1</v>
      </c>
      <c r="DQ19" s="21">
        <v>1</v>
      </c>
      <c r="DR19" s="21">
        <v>7</v>
      </c>
      <c r="DS19" s="21">
        <v>10</v>
      </c>
      <c r="DT19" s="21">
        <v>10</v>
      </c>
      <c r="DU19" s="21">
        <v>10</v>
      </c>
      <c r="DW19" s="21">
        <v>10</v>
      </c>
      <c r="EA19" s="21">
        <v>10</v>
      </c>
      <c r="EB19" s="21" t="s">
        <v>1130</v>
      </c>
      <c r="EC19" s="21" t="s">
        <v>1226</v>
      </c>
      <c r="EF19" s="25">
        <v>1</v>
      </c>
      <c r="EG19" s="25">
        <v>0</v>
      </c>
      <c r="EH19" s="25">
        <v>1</v>
      </c>
      <c r="EI19" s="25">
        <v>0</v>
      </c>
      <c r="EJ19" s="25" t="s">
        <v>62</v>
      </c>
      <c r="EK19" s="25" t="s">
        <v>276</v>
      </c>
      <c r="EL19" s="25" t="s">
        <v>276</v>
      </c>
      <c r="EM19" s="25" t="s">
        <v>276</v>
      </c>
      <c r="EN19" s="25" t="s">
        <v>276</v>
      </c>
      <c r="EO19" s="25" t="s">
        <v>276</v>
      </c>
      <c r="EP19" s="25" t="s">
        <v>276</v>
      </c>
      <c r="EQ19" s="25" t="s">
        <v>276</v>
      </c>
      <c r="ER19" s="25" t="s">
        <v>276</v>
      </c>
      <c r="ES19" s="25" t="s">
        <v>276</v>
      </c>
      <c r="ET19" s="25">
        <v>1</v>
      </c>
      <c r="EU19" s="25" t="s">
        <v>522</v>
      </c>
      <c r="EV19" s="25" t="s">
        <v>276</v>
      </c>
      <c r="EW19" s="25" t="s">
        <v>276</v>
      </c>
      <c r="EX19" s="25" t="s">
        <v>276</v>
      </c>
      <c r="EY19" s="20" t="s">
        <v>273</v>
      </c>
    </row>
    <row r="20" spans="1:155">
      <c r="A20" s="21" t="s">
        <v>491</v>
      </c>
      <c r="B20" s="21" t="s">
        <v>491</v>
      </c>
      <c r="C20" s="21" t="s">
        <v>492</v>
      </c>
      <c r="D20" s="21" t="s">
        <v>493</v>
      </c>
      <c r="E20" s="21" t="s">
        <v>493</v>
      </c>
      <c r="F20" s="21" t="s">
        <v>493</v>
      </c>
      <c r="G20" s="21" t="s">
        <v>1131</v>
      </c>
      <c r="H20" s="21">
        <v>1147472413</v>
      </c>
      <c r="I20" s="21" t="s">
        <v>494</v>
      </c>
      <c r="J20" s="21" t="s">
        <v>1132</v>
      </c>
      <c r="L20" s="21" t="s">
        <v>495</v>
      </c>
      <c r="M20" s="21" t="s">
        <v>1133</v>
      </c>
      <c r="N20" s="21" t="s">
        <v>1134</v>
      </c>
      <c r="O20" s="21" t="s">
        <v>98</v>
      </c>
      <c r="P20" s="21" t="s">
        <v>553</v>
      </c>
      <c r="R20" s="21" t="s">
        <v>588</v>
      </c>
      <c r="S20" s="21" t="s">
        <v>589</v>
      </c>
      <c r="V20" s="21" t="s">
        <v>500</v>
      </c>
      <c r="W20" s="21" t="s">
        <v>501</v>
      </c>
      <c r="X20" s="21" t="s">
        <v>502</v>
      </c>
      <c r="Y20" s="21" t="s">
        <v>554</v>
      </c>
      <c r="Z20" s="21">
        <v>3035326044</v>
      </c>
      <c r="AA20" s="22">
        <v>42733</v>
      </c>
      <c r="AB20" s="22">
        <v>42733</v>
      </c>
      <c r="AC20" s="21" t="s">
        <v>504</v>
      </c>
      <c r="AD20" s="21" t="s">
        <v>505</v>
      </c>
      <c r="AE20" s="21" t="s">
        <v>500</v>
      </c>
      <c r="AF20" s="21" t="s">
        <v>1135</v>
      </c>
      <c r="AG20" s="21" t="s">
        <v>1136</v>
      </c>
      <c r="AH20" s="21" t="s">
        <v>1137</v>
      </c>
      <c r="AI20" s="21" t="s">
        <v>1138</v>
      </c>
      <c r="AJ20" s="21" t="s">
        <v>507</v>
      </c>
      <c r="AK20" s="21" t="s">
        <v>494</v>
      </c>
      <c r="AL20" s="21" t="s">
        <v>527</v>
      </c>
      <c r="AM20" s="21" t="s">
        <v>527</v>
      </c>
      <c r="AN20" s="21" t="s">
        <v>527</v>
      </c>
      <c r="AO20" s="21" t="s">
        <v>528</v>
      </c>
      <c r="AS20" s="21" t="s">
        <v>511</v>
      </c>
      <c r="AT20" s="21" t="s">
        <v>512</v>
      </c>
      <c r="AW20" s="21">
        <v>0</v>
      </c>
      <c r="AX20" s="21">
        <v>2</v>
      </c>
      <c r="AY20" s="22"/>
      <c r="BB20" s="22"/>
      <c r="BC20" s="21" t="s">
        <v>513</v>
      </c>
      <c r="BD20" s="21" t="s">
        <v>514</v>
      </c>
      <c r="BE20" s="21" t="s">
        <v>514</v>
      </c>
      <c r="BF20" s="21" t="s">
        <v>515</v>
      </c>
      <c r="BG20" s="21">
        <v>1</v>
      </c>
      <c r="BH20" s="21" t="s">
        <v>516</v>
      </c>
      <c r="BI20" s="21" t="s">
        <v>517</v>
      </c>
      <c r="BJ20" s="21" t="s">
        <v>516</v>
      </c>
      <c r="BK20" s="21" t="s">
        <v>516</v>
      </c>
      <c r="BM20" s="21" t="s">
        <v>839</v>
      </c>
      <c r="BN20" s="21" t="s">
        <v>889</v>
      </c>
      <c r="BO20" s="21" t="s">
        <v>518</v>
      </c>
      <c r="BP20" s="21" t="s">
        <v>519</v>
      </c>
      <c r="BQ20" s="21" t="s">
        <v>839</v>
      </c>
      <c r="BR20" s="21" t="s">
        <v>889</v>
      </c>
      <c r="BS20" s="21" t="s">
        <v>518</v>
      </c>
      <c r="BT20" s="21" t="s">
        <v>519</v>
      </c>
      <c r="BU20" s="21" t="s">
        <v>889</v>
      </c>
      <c r="CD20" s="21" t="s">
        <v>520</v>
      </c>
      <c r="CF20" s="21" t="s">
        <v>521</v>
      </c>
      <c r="DB20" s="24" t="s">
        <v>943</v>
      </c>
      <c r="DC20" s="21">
        <v>1</v>
      </c>
      <c r="DD20" s="21">
        <v>1</v>
      </c>
      <c r="DE20" s="22">
        <v>42737</v>
      </c>
      <c r="DF20" s="21" t="s">
        <v>1139</v>
      </c>
      <c r="DG20" s="21" t="s">
        <v>522</v>
      </c>
      <c r="DH20" s="21" t="s">
        <v>1140</v>
      </c>
      <c r="DI20" s="21" t="s">
        <v>495</v>
      </c>
      <c r="DJ20" s="21" t="s">
        <v>520</v>
      </c>
      <c r="DL20" s="22">
        <v>42745</v>
      </c>
      <c r="DM20" s="22">
        <v>42735</v>
      </c>
      <c r="DN20" s="21">
        <v>3100</v>
      </c>
      <c r="DO20" s="21">
        <v>10</v>
      </c>
      <c r="DP20" s="21">
        <v>1</v>
      </c>
      <c r="DQ20" s="21">
        <v>1</v>
      </c>
      <c r="DR20" s="21">
        <v>7</v>
      </c>
      <c r="DS20" s="21">
        <v>10</v>
      </c>
      <c r="DT20" s="21">
        <v>10</v>
      </c>
      <c r="DU20" s="21">
        <v>10</v>
      </c>
      <c r="DW20" s="21">
        <v>10</v>
      </c>
      <c r="EA20" s="21">
        <v>10</v>
      </c>
      <c r="EB20" s="21" t="s">
        <v>1141</v>
      </c>
      <c r="EC20" s="21" t="s">
        <v>1221</v>
      </c>
      <c r="EF20" s="25">
        <v>1</v>
      </c>
      <c r="EG20" s="25">
        <v>0</v>
      </c>
      <c r="EH20" s="25">
        <v>1</v>
      </c>
      <c r="EI20" s="25">
        <v>0</v>
      </c>
      <c r="EJ20" s="25" t="s">
        <v>62</v>
      </c>
      <c r="EK20" s="25" t="s">
        <v>276</v>
      </c>
      <c r="EL20" s="25" t="s">
        <v>276</v>
      </c>
      <c r="EM20" s="25" t="s">
        <v>276</v>
      </c>
      <c r="EN20" s="25" t="s">
        <v>276</v>
      </c>
      <c r="EO20" s="25" t="s">
        <v>276</v>
      </c>
      <c r="EP20" s="25" t="s">
        <v>276</v>
      </c>
      <c r="EQ20" s="25" t="s">
        <v>276</v>
      </c>
      <c r="ER20" s="25" t="s">
        <v>276</v>
      </c>
      <c r="ES20" s="25" t="s">
        <v>276</v>
      </c>
      <c r="ET20" s="25">
        <v>1</v>
      </c>
      <c r="EU20" s="25" t="s">
        <v>522</v>
      </c>
      <c r="EV20" s="25" t="s">
        <v>276</v>
      </c>
      <c r="EW20" s="25" t="s">
        <v>276</v>
      </c>
      <c r="EX20" s="25" t="s">
        <v>276</v>
      </c>
      <c r="EY20" s="20" t="e">
        <v>#N/A</v>
      </c>
    </row>
    <row r="21" spans="1:155">
      <c r="A21" s="21" t="s">
        <v>491</v>
      </c>
      <c r="B21" s="21" t="s">
        <v>491</v>
      </c>
      <c r="C21" s="21" t="s">
        <v>492</v>
      </c>
      <c r="D21" s="21" t="s">
        <v>493</v>
      </c>
      <c r="E21" s="21" t="s">
        <v>493</v>
      </c>
      <c r="F21" s="21" t="s">
        <v>493</v>
      </c>
      <c r="G21" s="21" t="s">
        <v>1142</v>
      </c>
      <c r="H21" s="21">
        <v>1137812631</v>
      </c>
      <c r="I21" s="21" t="s">
        <v>494</v>
      </c>
      <c r="J21" s="21" t="s">
        <v>1143</v>
      </c>
      <c r="L21" s="21" t="s">
        <v>495</v>
      </c>
      <c r="M21" s="21" t="s">
        <v>1144</v>
      </c>
      <c r="N21" s="21" t="s">
        <v>1145</v>
      </c>
      <c r="O21" s="21" t="s">
        <v>97</v>
      </c>
      <c r="P21" s="21" t="s">
        <v>1040</v>
      </c>
      <c r="R21" s="21" t="s">
        <v>1146</v>
      </c>
      <c r="S21" s="21" t="s">
        <v>1147</v>
      </c>
      <c r="V21" s="21" t="s">
        <v>500</v>
      </c>
      <c r="W21" s="21" t="s">
        <v>501</v>
      </c>
      <c r="X21" s="21" t="s">
        <v>502</v>
      </c>
      <c r="Y21" s="21" t="s">
        <v>503</v>
      </c>
      <c r="Z21" s="21">
        <v>3035366521</v>
      </c>
      <c r="AA21" s="22">
        <v>42734</v>
      </c>
      <c r="AB21" s="22">
        <v>42734</v>
      </c>
      <c r="AC21" s="21" t="s">
        <v>504</v>
      </c>
      <c r="AD21" s="21" t="s">
        <v>505</v>
      </c>
      <c r="AE21" s="21" t="s">
        <v>500</v>
      </c>
      <c r="AF21" s="21" t="s">
        <v>506</v>
      </c>
      <c r="AG21" s="21" t="s">
        <v>1148</v>
      </c>
      <c r="AH21" s="21" t="s">
        <v>1149</v>
      </c>
      <c r="AI21" s="21" t="s">
        <v>1150</v>
      </c>
      <c r="AJ21" s="21" t="s">
        <v>507</v>
      </c>
      <c r="AK21" s="21" t="s">
        <v>494</v>
      </c>
      <c r="AL21" s="21" t="s">
        <v>508</v>
      </c>
      <c r="AM21" s="21" t="s">
        <v>509</v>
      </c>
      <c r="AN21" s="21" t="s">
        <v>509</v>
      </c>
      <c r="AO21" s="21" t="s">
        <v>510</v>
      </c>
      <c r="AS21" s="21" t="s">
        <v>511</v>
      </c>
      <c r="AT21" s="21" t="s">
        <v>512</v>
      </c>
      <c r="AW21" s="21">
        <v>0</v>
      </c>
      <c r="AX21" s="21">
        <v>3</v>
      </c>
      <c r="BC21" s="21" t="s">
        <v>513</v>
      </c>
      <c r="BD21" s="21" t="s">
        <v>514</v>
      </c>
      <c r="BE21" s="21" t="s">
        <v>514</v>
      </c>
      <c r="BF21" s="21" t="s">
        <v>515</v>
      </c>
      <c r="BG21" s="21">
        <v>1</v>
      </c>
      <c r="BH21" s="21" t="s">
        <v>516</v>
      </c>
      <c r="BI21" s="21" t="s">
        <v>517</v>
      </c>
      <c r="BJ21" s="21" t="s">
        <v>516</v>
      </c>
      <c r="BK21" s="21" t="s">
        <v>516</v>
      </c>
      <c r="BM21" s="21" t="s">
        <v>37</v>
      </c>
      <c r="BN21" s="21" t="s">
        <v>250</v>
      </c>
      <c r="BO21" s="21" t="s">
        <v>518</v>
      </c>
      <c r="BP21" s="21" t="s">
        <v>1044</v>
      </c>
      <c r="BQ21" s="21" t="s">
        <v>37</v>
      </c>
      <c r="BR21" s="21" t="s">
        <v>250</v>
      </c>
      <c r="BS21" s="21" t="s">
        <v>518</v>
      </c>
      <c r="BT21" s="21" t="s">
        <v>1044</v>
      </c>
      <c r="BU21" s="21" t="s">
        <v>250</v>
      </c>
      <c r="CD21" s="21" t="s">
        <v>520</v>
      </c>
      <c r="CF21" s="21" t="s">
        <v>521</v>
      </c>
      <c r="DB21" s="24" t="s">
        <v>943</v>
      </c>
      <c r="DC21" s="21">
        <v>1</v>
      </c>
      <c r="DD21" s="21">
        <v>1</v>
      </c>
      <c r="DE21" s="22">
        <v>42737</v>
      </c>
      <c r="DF21" s="21" t="s">
        <v>1151</v>
      </c>
      <c r="DG21" s="21" t="s">
        <v>522</v>
      </c>
      <c r="DH21" s="21" t="s">
        <v>1152</v>
      </c>
      <c r="DI21" s="21" t="s">
        <v>495</v>
      </c>
      <c r="DJ21" s="21" t="s">
        <v>520</v>
      </c>
      <c r="DL21" s="22">
        <v>42746</v>
      </c>
      <c r="DM21" s="22">
        <v>42736</v>
      </c>
      <c r="DN21" s="21">
        <v>3100</v>
      </c>
      <c r="DO21" s="21">
        <v>9</v>
      </c>
      <c r="DP21" s="21">
        <v>1</v>
      </c>
      <c r="DQ21" s="21">
        <v>1</v>
      </c>
      <c r="DR21" s="21">
        <v>6</v>
      </c>
      <c r="DS21" s="21">
        <v>9</v>
      </c>
      <c r="DT21" s="21">
        <v>9</v>
      </c>
      <c r="DU21" s="21">
        <v>9</v>
      </c>
      <c r="DW21" s="21">
        <v>9</v>
      </c>
      <c r="EA21" s="21">
        <v>9</v>
      </c>
      <c r="EF21" s="25">
        <v>1</v>
      </c>
      <c r="EG21" s="25">
        <v>0</v>
      </c>
      <c r="EH21" s="25">
        <v>1</v>
      </c>
      <c r="EI21" s="25">
        <v>0</v>
      </c>
      <c r="EJ21" s="25" t="s">
        <v>62</v>
      </c>
      <c r="EK21" s="25" t="s">
        <v>251</v>
      </c>
      <c r="EL21" s="25" t="s">
        <v>251</v>
      </c>
      <c r="EM21" s="25" t="s">
        <v>276</v>
      </c>
      <c r="EN21" s="25" t="s">
        <v>39</v>
      </c>
      <c r="EO21" s="25" t="s">
        <v>39</v>
      </c>
      <c r="EP21" s="25" t="s">
        <v>92</v>
      </c>
      <c r="EQ21" s="25" t="s">
        <v>92</v>
      </c>
      <c r="ER21" s="25" t="s">
        <v>278</v>
      </c>
      <c r="ES21" s="25" t="s">
        <v>278</v>
      </c>
      <c r="ET21" s="25">
        <v>1</v>
      </c>
      <c r="EU21" s="25" t="s">
        <v>522</v>
      </c>
      <c r="EV21" s="25" t="s">
        <v>251</v>
      </c>
      <c r="EW21" s="25" t="s">
        <v>39</v>
      </c>
      <c r="EX21" s="25" t="s">
        <v>278</v>
      </c>
      <c r="EY21" s="20" t="e">
        <v>#N/A</v>
      </c>
    </row>
    <row r="22" spans="1:155">
      <c r="A22" s="21" t="s">
        <v>491</v>
      </c>
      <c r="B22" s="21" t="s">
        <v>491</v>
      </c>
      <c r="C22" s="21" t="s">
        <v>492</v>
      </c>
      <c r="D22" s="21" t="s">
        <v>493</v>
      </c>
      <c r="E22" s="21" t="s">
        <v>493</v>
      </c>
      <c r="F22" s="21" t="s">
        <v>493</v>
      </c>
      <c r="G22" s="21" t="s">
        <v>1153</v>
      </c>
      <c r="H22" s="21">
        <v>1159223060</v>
      </c>
      <c r="I22" s="21" t="s">
        <v>494</v>
      </c>
      <c r="J22" s="21" t="s">
        <v>1154</v>
      </c>
      <c r="L22" s="21" t="s">
        <v>495</v>
      </c>
      <c r="M22" s="21" t="s">
        <v>1155</v>
      </c>
      <c r="N22" s="21" t="s">
        <v>1066</v>
      </c>
      <c r="O22" s="21" t="s">
        <v>93</v>
      </c>
      <c r="P22" s="21" t="s">
        <v>539</v>
      </c>
      <c r="R22" s="21" t="s">
        <v>1067</v>
      </c>
      <c r="S22" s="21" t="s">
        <v>1068</v>
      </c>
      <c r="V22" s="21" t="s">
        <v>277</v>
      </c>
      <c r="W22" s="21" t="s">
        <v>524</v>
      </c>
      <c r="X22" s="21" t="s">
        <v>525</v>
      </c>
      <c r="Y22" s="21" t="s">
        <v>530</v>
      </c>
      <c r="Z22" s="21">
        <v>3035371561</v>
      </c>
      <c r="AA22" s="22">
        <v>42734</v>
      </c>
      <c r="AB22" s="22">
        <v>42734</v>
      </c>
      <c r="AC22" s="21" t="s">
        <v>504</v>
      </c>
      <c r="AD22" s="21" t="s">
        <v>505</v>
      </c>
      <c r="AE22" s="21" t="s">
        <v>1156</v>
      </c>
      <c r="AF22" s="21" t="s">
        <v>1157</v>
      </c>
      <c r="AG22" s="21" t="s">
        <v>1158</v>
      </c>
      <c r="AH22" s="21" t="s">
        <v>1159</v>
      </c>
      <c r="AI22" s="21" t="s">
        <v>1160</v>
      </c>
      <c r="AJ22" s="21" t="s">
        <v>526</v>
      </c>
      <c r="AK22" s="21" t="s">
        <v>494</v>
      </c>
      <c r="AL22" s="21" t="s">
        <v>527</v>
      </c>
      <c r="AM22" s="21" t="s">
        <v>527</v>
      </c>
      <c r="AN22" s="21" t="s">
        <v>527</v>
      </c>
      <c r="AO22" s="21" t="s">
        <v>528</v>
      </c>
      <c r="AS22" s="21" t="s">
        <v>511</v>
      </c>
      <c r="AT22" s="21" t="s">
        <v>512</v>
      </c>
      <c r="AW22" s="21">
        <v>0</v>
      </c>
      <c r="AX22" s="21">
        <v>2</v>
      </c>
      <c r="BC22" s="21" t="s">
        <v>513</v>
      </c>
      <c r="BD22" s="21" t="s">
        <v>514</v>
      </c>
      <c r="BE22" s="21" t="s">
        <v>514</v>
      </c>
      <c r="BF22" s="21" t="s">
        <v>515</v>
      </c>
      <c r="BG22" s="21">
        <v>1</v>
      </c>
      <c r="BH22" s="21" t="s">
        <v>516</v>
      </c>
      <c r="BI22" s="21" t="s">
        <v>517</v>
      </c>
      <c r="BJ22" s="21" t="s">
        <v>516</v>
      </c>
      <c r="BK22" s="21" t="s">
        <v>516</v>
      </c>
      <c r="BM22" s="21" t="s">
        <v>42</v>
      </c>
      <c r="BN22" s="21" t="s">
        <v>246</v>
      </c>
      <c r="BO22" s="21" t="s">
        <v>518</v>
      </c>
      <c r="BP22" s="21" t="s">
        <v>519</v>
      </c>
      <c r="BQ22" s="21" t="s">
        <v>42</v>
      </c>
      <c r="BR22" s="21" t="s">
        <v>246</v>
      </c>
      <c r="BS22" s="21" t="s">
        <v>518</v>
      </c>
      <c r="BT22" s="21" t="s">
        <v>519</v>
      </c>
      <c r="BU22" s="21" t="s">
        <v>246</v>
      </c>
      <c r="CD22" s="21" t="s">
        <v>520</v>
      </c>
      <c r="CF22" s="21" t="s">
        <v>521</v>
      </c>
      <c r="DB22" s="24" t="s">
        <v>943</v>
      </c>
      <c r="DC22" s="21">
        <v>1</v>
      </c>
      <c r="DD22" s="21">
        <v>1</v>
      </c>
      <c r="DE22" s="22">
        <v>42737</v>
      </c>
      <c r="DF22" s="21" t="s">
        <v>1161</v>
      </c>
      <c r="DG22" s="21" t="s">
        <v>522</v>
      </c>
      <c r="DH22" s="21" t="s">
        <v>1162</v>
      </c>
      <c r="DI22" s="21" t="s">
        <v>495</v>
      </c>
      <c r="DJ22" s="21" t="s">
        <v>520</v>
      </c>
      <c r="DL22" s="22">
        <v>42746</v>
      </c>
      <c r="DM22" s="22">
        <v>42736</v>
      </c>
      <c r="DN22" s="21">
        <v>1100</v>
      </c>
      <c r="DO22" s="21">
        <v>10</v>
      </c>
      <c r="DP22" s="21">
        <v>1</v>
      </c>
      <c r="DQ22" s="21">
        <v>1</v>
      </c>
      <c r="DR22" s="21">
        <v>6</v>
      </c>
      <c r="DS22" s="21">
        <v>10</v>
      </c>
      <c r="DT22" s="21">
        <v>10</v>
      </c>
      <c r="DU22" s="21">
        <v>10</v>
      </c>
      <c r="DW22" s="21">
        <v>10</v>
      </c>
      <c r="EA22" s="21">
        <v>10</v>
      </c>
      <c r="EB22" s="21" t="s">
        <v>1163</v>
      </c>
      <c r="EC22" s="21" t="s">
        <v>1221</v>
      </c>
      <c r="EF22" s="25">
        <v>1</v>
      </c>
      <c r="EG22" s="25">
        <v>0</v>
      </c>
      <c r="EH22" s="25">
        <v>1</v>
      </c>
      <c r="EI22" s="25">
        <v>0</v>
      </c>
      <c r="EJ22" s="25" t="s">
        <v>92</v>
      </c>
      <c r="EK22" s="25" t="s">
        <v>247</v>
      </c>
      <c r="EL22" s="25" t="s">
        <v>247</v>
      </c>
      <c r="EM22" s="25" t="s">
        <v>276</v>
      </c>
      <c r="EN22" s="25" t="s">
        <v>39</v>
      </c>
      <c r="EO22" s="25" t="s">
        <v>39</v>
      </c>
      <c r="EP22" s="25" t="s">
        <v>92</v>
      </c>
      <c r="EQ22" s="25" t="s">
        <v>92</v>
      </c>
      <c r="ER22" s="25" t="s">
        <v>278</v>
      </c>
      <c r="ES22" s="25" t="s">
        <v>278</v>
      </c>
      <c r="ET22" s="25">
        <v>1</v>
      </c>
      <c r="EU22" s="25" t="s">
        <v>522</v>
      </c>
      <c r="EV22" s="25" t="s">
        <v>247</v>
      </c>
      <c r="EW22" s="25" t="s">
        <v>39</v>
      </c>
      <c r="EX22" s="25" t="s">
        <v>278</v>
      </c>
      <c r="EY22" s="20" t="e">
        <v>#N/A</v>
      </c>
    </row>
    <row r="23" spans="1:155">
      <c r="A23" s="21" t="s">
        <v>491</v>
      </c>
      <c r="B23" s="21" t="s">
        <v>491</v>
      </c>
      <c r="C23" s="21" t="s">
        <v>492</v>
      </c>
      <c r="D23" s="21" t="s">
        <v>493</v>
      </c>
      <c r="E23" s="21" t="s">
        <v>493</v>
      </c>
      <c r="F23" s="21" t="s">
        <v>493</v>
      </c>
      <c r="G23" s="21" t="s">
        <v>1164</v>
      </c>
      <c r="H23" s="21" t="s">
        <v>1165</v>
      </c>
      <c r="I23" s="21" t="s">
        <v>494</v>
      </c>
      <c r="J23" s="21" t="s">
        <v>1166</v>
      </c>
      <c r="L23" s="21" t="s">
        <v>495</v>
      </c>
      <c r="M23" s="21" t="s">
        <v>1167</v>
      </c>
      <c r="N23" s="21" t="s">
        <v>1051</v>
      </c>
      <c r="O23" s="21" t="s">
        <v>93</v>
      </c>
      <c r="P23" s="21" t="s">
        <v>539</v>
      </c>
      <c r="Q23" s="21" t="s">
        <v>1168</v>
      </c>
      <c r="R23" s="21" t="s">
        <v>1052</v>
      </c>
      <c r="S23" s="21" t="s">
        <v>1053</v>
      </c>
      <c r="V23" s="21" t="s">
        <v>277</v>
      </c>
      <c r="W23" s="21" t="s">
        <v>524</v>
      </c>
      <c r="X23" s="21" t="s">
        <v>525</v>
      </c>
      <c r="Y23" s="21" t="s">
        <v>530</v>
      </c>
      <c r="Z23" s="21">
        <v>3035362042</v>
      </c>
      <c r="AA23" s="22">
        <v>42734</v>
      </c>
      <c r="AB23" s="22">
        <v>42734</v>
      </c>
      <c r="AC23" s="21" t="s">
        <v>504</v>
      </c>
      <c r="AD23" s="21" t="s">
        <v>505</v>
      </c>
      <c r="AE23" s="21" t="s">
        <v>1156</v>
      </c>
      <c r="AF23" s="21" t="s">
        <v>1169</v>
      </c>
      <c r="AG23" s="21" t="s">
        <v>1170</v>
      </c>
      <c r="AH23" s="21" t="s">
        <v>1171</v>
      </c>
      <c r="AI23" s="21" t="s">
        <v>1172</v>
      </c>
      <c r="AJ23" s="21" t="s">
        <v>507</v>
      </c>
      <c r="AK23" s="21" t="s">
        <v>494</v>
      </c>
      <c r="AL23" s="21" t="s">
        <v>527</v>
      </c>
      <c r="AM23" s="21" t="s">
        <v>527</v>
      </c>
      <c r="AN23" s="21" t="s">
        <v>527</v>
      </c>
      <c r="AO23" s="21" t="s">
        <v>528</v>
      </c>
      <c r="AS23" s="21" t="s">
        <v>511</v>
      </c>
      <c r="AT23" s="21" t="s">
        <v>512</v>
      </c>
      <c r="AW23" s="21">
        <v>0</v>
      </c>
      <c r="AX23" s="21">
        <v>2</v>
      </c>
      <c r="BC23" s="21" t="s">
        <v>513</v>
      </c>
      <c r="BD23" s="21" t="s">
        <v>514</v>
      </c>
      <c r="BE23" s="21" t="s">
        <v>514</v>
      </c>
      <c r="BF23" s="21" t="s">
        <v>515</v>
      </c>
      <c r="BG23" s="21">
        <v>1</v>
      </c>
      <c r="BH23" s="21" t="s">
        <v>516</v>
      </c>
      <c r="BI23" s="21" t="s">
        <v>517</v>
      </c>
      <c r="BJ23" s="21" t="s">
        <v>516</v>
      </c>
      <c r="BK23" s="21" t="s">
        <v>516</v>
      </c>
      <c r="BM23" s="21" t="s">
        <v>40</v>
      </c>
      <c r="BN23" s="21" t="s">
        <v>240</v>
      </c>
      <c r="BO23" s="21" t="s">
        <v>518</v>
      </c>
      <c r="BP23" s="21" t="s">
        <v>1044</v>
      </c>
      <c r="BQ23" s="21" t="s">
        <v>40</v>
      </c>
      <c r="BR23" s="21" t="s">
        <v>240</v>
      </c>
      <c r="BS23" s="21" t="s">
        <v>518</v>
      </c>
      <c r="BT23" s="21" t="s">
        <v>1044</v>
      </c>
      <c r="BU23" s="21" t="s">
        <v>240</v>
      </c>
      <c r="CD23" s="21" t="s">
        <v>520</v>
      </c>
      <c r="CF23" s="21" t="s">
        <v>521</v>
      </c>
      <c r="DB23" s="24" t="s">
        <v>943</v>
      </c>
      <c r="DC23" s="21">
        <v>1</v>
      </c>
      <c r="DD23" s="21">
        <v>1</v>
      </c>
      <c r="DE23" s="22">
        <v>42737</v>
      </c>
      <c r="DF23" s="21" t="s">
        <v>1173</v>
      </c>
      <c r="DG23" s="21" t="s">
        <v>522</v>
      </c>
      <c r="DH23" s="21" t="s">
        <v>1174</v>
      </c>
      <c r="DI23" s="21" t="s">
        <v>495</v>
      </c>
      <c r="DJ23" s="21" t="s">
        <v>520</v>
      </c>
      <c r="DL23" s="22">
        <v>42746</v>
      </c>
      <c r="DM23" s="22">
        <v>42736</v>
      </c>
      <c r="DN23" s="21">
        <v>1100</v>
      </c>
      <c r="DO23" s="21">
        <v>10</v>
      </c>
      <c r="DP23" s="21">
        <v>1</v>
      </c>
      <c r="DQ23" s="21">
        <v>1</v>
      </c>
      <c r="DR23" s="21">
        <v>7</v>
      </c>
      <c r="DS23" s="21">
        <v>10</v>
      </c>
      <c r="DT23" s="21">
        <v>10</v>
      </c>
      <c r="DU23" s="21">
        <v>10</v>
      </c>
      <c r="DW23" s="21">
        <v>10</v>
      </c>
      <c r="EA23" s="21">
        <v>10</v>
      </c>
      <c r="EF23" s="25">
        <v>1</v>
      </c>
      <c r="EG23" s="25">
        <v>0</v>
      </c>
      <c r="EH23" s="25">
        <v>1</v>
      </c>
      <c r="EI23" s="25">
        <v>0</v>
      </c>
      <c r="EJ23" s="25" t="s">
        <v>92</v>
      </c>
      <c r="EK23" s="25" t="s">
        <v>241</v>
      </c>
      <c r="EL23" s="25" t="s">
        <v>241</v>
      </c>
      <c r="EM23" s="25" t="s">
        <v>276</v>
      </c>
      <c r="EN23" s="25" t="s">
        <v>39</v>
      </c>
      <c r="EO23" s="25" t="s">
        <v>39</v>
      </c>
      <c r="EP23" s="25" t="s">
        <v>92</v>
      </c>
      <c r="EQ23" s="25" t="s">
        <v>92</v>
      </c>
      <c r="ER23" s="25" t="s">
        <v>278</v>
      </c>
      <c r="ES23" s="25" t="s">
        <v>278</v>
      </c>
      <c r="ET23" s="25">
        <v>1</v>
      </c>
      <c r="EU23" s="25" t="s">
        <v>522</v>
      </c>
      <c r="EV23" s="25" t="s">
        <v>241</v>
      </c>
      <c r="EW23" s="25" t="s">
        <v>39</v>
      </c>
      <c r="EX23" s="25" t="s">
        <v>278</v>
      </c>
      <c r="EY23" s="20" t="e">
        <v>#N/A</v>
      </c>
    </row>
    <row r="24" spans="1:155">
      <c r="A24" s="21" t="s">
        <v>491</v>
      </c>
      <c r="B24" s="21" t="s">
        <v>491</v>
      </c>
      <c r="C24" s="21" t="s">
        <v>492</v>
      </c>
      <c r="D24" s="21" t="s">
        <v>493</v>
      </c>
      <c r="E24" s="21" t="s">
        <v>493</v>
      </c>
      <c r="F24" s="21" t="s">
        <v>493</v>
      </c>
      <c r="G24" s="21" t="s">
        <v>1175</v>
      </c>
      <c r="H24" s="21">
        <v>2226278400</v>
      </c>
      <c r="I24" s="21" t="s">
        <v>494</v>
      </c>
      <c r="J24" s="21" t="s">
        <v>1176</v>
      </c>
      <c r="L24" s="21" t="s">
        <v>495</v>
      </c>
      <c r="M24" s="21" t="s">
        <v>1177</v>
      </c>
      <c r="N24" s="21" t="s">
        <v>496</v>
      </c>
      <c r="O24" s="21" t="s">
        <v>69</v>
      </c>
      <c r="P24" s="21" t="s">
        <v>497</v>
      </c>
      <c r="Q24" s="21" t="s">
        <v>1178</v>
      </c>
      <c r="R24" s="21" t="s">
        <v>498</v>
      </c>
      <c r="S24" s="21" t="s">
        <v>499</v>
      </c>
      <c r="V24" s="21" t="s">
        <v>500</v>
      </c>
      <c r="W24" s="21" t="s">
        <v>501</v>
      </c>
      <c r="X24" s="21" t="s">
        <v>502</v>
      </c>
      <c r="Y24" s="21" t="s">
        <v>503</v>
      </c>
      <c r="Z24" s="21">
        <v>3035356913</v>
      </c>
      <c r="AA24" s="22">
        <v>42734</v>
      </c>
      <c r="AB24" s="22">
        <v>42734</v>
      </c>
      <c r="AC24" s="21" t="s">
        <v>504</v>
      </c>
      <c r="AD24" s="21" t="s">
        <v>505</v>
      </c>
      <c r="AE24" s="21" t="s">
        <v>500</v>
      </c>
      <c r="AF24" s="21" t="s">
        <v>506</v>
      </c>
      <c r="AG24" s="21" t="s">
        <v>1179</v>
      </c>
      <c r="AH24" s="21" t="s">
        <v>1180</v>
      </c>
      <c r="AI24" s="21" t="s">
        <v>1117</v>
      </c>
      <c r="AJ24" s="21" t="s">
        <v>526</v>
      </c>
      <c r="AK24" s="21" t="s">
        <v>494</v>
      </c>
      <c r="AL24" s="21" t="s">
        <v>527</v>
      </c>
      <c r="AM24" s="21" t="s">
        <v>527</v>
      </c>
      <c r="AN24" s="21" t="s">
        <v>527</v>
      </c>
      <c r="AO24" s="21" t="s">
        <v>528</v>
      </c>
      <c r="AS24" s="21" t="s">
        <v>511</v>
      </c>
      <c r="AT24" s="21" t="s">
        <v>512</v>
      </c>
      <c r="AW24" s="21">
        <v>0</v>
      </c>
      <c r="AX24" s="21">
        <v>2</v>
      </c>
      <c r="BC24" s="21" t="s">
        <v>513</v>
      </c>
      <c r="BD24" s="21" t="s">
        <v>514</v>
      </c>
      <c r="BE24" s="21" t="s">
        <v>514</v>
      </c>
      <c r="BF24" s="21" t="s">
        <v>515</v>
      </c>
      <c r="BG24" s="21">
        <v>1</v>
      </c>
      <c r="BH24" s="21" t="s">
        <v>516</v>
      </c>
      <c r="BI24" s="21" t="s">
        <v>517</v>
      </c>
      <c r="BJ24" s="21" t="s">
        <v>516</v>
      </c>
      <c r="BK24" s="21" t="s">
        <v>516</v>
      </c>
      <c r="BM24" s="21" t="s">
        <v>19</v>
      </c>
      <c r="BN24" s="21" t="s">
        <v>82</v>
      </c>
      <c r="BO24" s="21" t="s">
        <v>518</v>
      </c>
      <c r="BP24" s="21" t="s">
        <v>519</v>
      </c>
      <c r="BQ24" s="21" t="s">
        <v>19</v>
      </c>
      <c r="BR24" s="21" t="s">
        <v>82</v>
      </c>
      <c r="BS24" s="21" t="s">
        <v>518</v>
      </c>
      <c r="BT24" s="21" t="s">
        <v>519</v>
      </c>
      <c r="BU24" s="21" t="s">
        <v>82</v>
      </c>
      <c r="CD24" s="21" t="s">
        <v>520</v>
      </c>
      <c r="CF24" s="21" t="s">
        <v>521</v>
      </c>
      <c r="DB24" s="24" t="s">
        <v>943</v>
      </c>
      <c r="DC24" s="21">
        <v>1</v>
      </c>
      <c r="DD24" s="21">
        <v>1</v>
      </c>
      <c r="DE24" s="22">
        <v>42737</v>
      </c>
      <c r="DF24" s="21" t="s">
        <v>1181</v>
      </c>
      <c r="DG24" s="21" t="s">
        <v>522</v>
      </c>
      <c r="DH24" s="21" t="s">
        <v>1182</v>
      </c>
      <c r="DI24" s="21" t="s">
        <v>495</v>
      </c>
      <c r="DJ24" s="21" t="s">
        <v>520</v>
      </c>
      <c r="DL24" s="22">
        <v>42746</v>
      </c>
      <c r="DM24" s="22">
        <v>42736</v>
      </c>
      <c r="DN24" s="21">
        <v>3100</v>
      </c>
      <c r="DO24" s="21">
        <v>10</v>
      </c>
      <c r="DP24" s="21">
        <v>1</v>
      </c>
      <c r="DQ24" s="21">
        <v>1</v>
      </c>
      <c r="DR24" s="21">
        <v>7</v>
      </c>
      <c r="DS24" s="21">
        <v>10</v>
      </c>
      <c r="DT24" s="21">
        <v>10</v>
      </c>
      <c r="DU24" s="21">
        <v>10</v>
      </c>
      <c r="DW24" s="21">
        <v>10</v>
      </c>
      <c r="EA24" s="21">
        <v>10</v>
      </c>
      <c r="EF24" s="25">
        <v>1</v>
      </c>
      <c r="EG24" s="25">
        <v>0</v>
      </c>
      <c r="EH24" s="25">
        <v>1</v>
      </c>
      <c r="EI24" s="25">
        <v>0</v>
      </c>
      <c r="EJ24" s="25" t="s">
        <v>62</v>
      </c>
      <c r="EK24" s="25" t="s">
        <v>83</v>
      </c>
      <c r="EL24" s="25" t="s">
        <v>83</v>
      </c>
      <c r="EM24" s="25" t="s">
        <v>276</v>
      </c>
      <c r="EN24" s="25" t="s">
        <v>9</v>
      </c>
      <c r="EO24" s="25" t="s">
        <v>9</v>
      </c>
      <c r="EP24" s="25" t="s">
        <v>62</v>
      </c>
      <c r="EQ24" s="25" t="s">
        <v>62</v>
      </c>
      <c r="ER24" s="25" t="s">
        <v>278</v>
      </c>
      <c r="ES24" s="25" t="s">
        <v>278</v>
      </c>
      <c r="ET24" s="25">
        <v>1</v>
      </c>
      <c r="EU24" s="25" t="s">
        <v>522</v>
      </c>
      <c r="EV24" s="25" t="s">
        <v>83</v>
      </c>
      <c r="EW24" s="25" t="s">
        <v>9</v>
      </c>
      <c r="EX24" s="25" t="s">
        <v>278</v>
      </c>
      <c r="EY24" s="20" t="e">
        <v>#N/A</v>
      </c>
    </row>
    <row r="25" spans="1:155">
      <c r="A25" s="21" t="s">
        <v>491</v>
      </c>
      <c r="B25" s="21" t="s">
        <v>491</v>
      </c>
      <c r="C25" s="21" t="s">
        <v>492</v>
      </c>
      <c r="D25" s="21" t="s">
        <v>493</v>
      </c>
      <c r="E25" s="21" t="s">
        <v>493</v>
      </c>
      <c r="F25" s="21" t="s">
        <v>493</v>
      </c>
      <c r="G25" s="21" t="s">
        <v>1183</v>
      </c>
      <c r="H25" s="21">
        <v>3135112424</v>
      </c>
      <c r="I25" s="21" t="s">
        <v>494</v>
      </c>
      <c r="J25" s="21" t="s">
        <v>1184</v>
      </c>
      <c r="L25" s="21" t="s">
        <v>495</v>
      </c>
      <c r="M25" s="21" t="s">
        <v>1185</v>
      </c>
      <c r="N25" s="21" t="s">
        <v>1186</v>
      </c>
      <c r="O25" s="21" t="s">
        <v>100</v>
      </c>
      <c r="P25" s="21" t="s">
        <v>1187</v>
      </c>
      <c r="Q25" s="21" t="s">
        <v>1168</v>
      </c>
      <c r="R25" s="21" t="s">
        <v>1188</v>
      </c>
      <c r="S25" s="21" t="s">
        <v>1189</v>
      </c>
      <c r="V25" s="21" t="s">
        <v>277</v>
      </c>
      <c r="W25" s="21" t="s">
        <v>524</v>
      </c>
      <c r="X25" s="21" t="s">
        <v>525</v>
      </c>
      <c r="Y25" s="21" t="s">
        <v>1190</v>
      </c>
      <c r="Z25" s="21">
        <v>3035355707</v>
      </c>
      <c r="AA25" s="22">
        <v>42734</v>
      </c>
      <c r="AB25" s="22">
        <v>42734</v>
      </c>
      <c r="AC25" s="21" t="s">
        <v>504</v>
      </c>
      <c r="AD25" s="21" t="s">
        <v>505</v>
      </c>
      <c r="AE25" s="21" t="s">
        <v>1156</v>
      </c>
      <c r="AF25" s="21" t="s">
        <v>1191</v>
      </c>
      <c r="AG25" s="21" t="s">
        <v>1192</v>
      </c>
      <c r="AH25" s="21" t="s">
        <v>1193</v>
      </c>
      <c r="AI25" s="21" t="s">
        <v>1194</v>
      </c>
      <c r="AJ25" s="21" t="s">
        <v>507</v>
      </c>
      <c r="AK25" s="21" t="s">
        <v>494</v>
      </c>
      <c r="AL25" s="21" t="s">
        <v>527</v>
      </c>
      <c r="AM25" s="21" t="s">
        <v>527</v>
      </c>
      <c r="AN25" s="21" t="s">
        <v>527</v>
      </c>
      <c r="AO25" s="21" t="s">
        <v>528</v>
      </c>
      <c r="AS25" s="21" t="s">
        <v>1195</v>
      </c>
      <c r="AT25" s="21" t="s">
        <v>512</v>
      </c>
      <c r="AW25" s="21">
        <v>0</v>
      </c>
      <c r="AX25" s="21">
        <v>2</v>
      </c>
      <c r="BC25" s="21" t="s">
        <v>513</v>
      </c>
      <c r="BD25" s="21" t="s">
        <v>514</v>
      </c>
      <c r="BE25" s="21" t="s">
        <v>1196</v>
      </c>
      <c r="BF25" s="21" t="s">
        <v>515</v>
      </c>
      <c r="BG25" s="21">
        <v>1</v>
      </c>
      <c r="BH25" s="21" t="s">
        <v>516</v>
      </c>
      <c r="BI25" s="21" t="s">
        <v>517</v>
      </c>
      <c r="BJ25" s="21" t="s">
        <v>516</v>
      </c>
      <c r="BK25" s="21" t="s">
        <v>516</v>
      </c>
      <c r="BM25" s="21" t="s">
        <v>1197</v>
      </c>
      <c r="BN25" s="21" t="s">
        <v>316</v>
      </c>
      <c r="BO25" s="21" t="s">
        <v>518</v>
      </c>
      <c r="BP25" s="21" t="s">
        <v>1044</v>
      </c>
      <c r="BQ25" s="21" t="s">
        <v>1197</v>
      </c>
      <c r="BR25" s="21" t="s">
        <v>316</v>
      </c>
      <c r="BS25" s="21" t="s">
        <v>518</v>
      </c>
      <c r="BT25" s="21" t="s">
        <v>1044</v>
      </c>
      <c r="BU25" s="21" t="s">
        <v>316</v>
      </c>
      <c r="CD25" s="21" t="s">
        <v>520</v>
      </c>
      <c r="CF25" s="21" t="s">
        <v>521</v>
      </c>
      <c r="DB25" s="24" t="s">
        <v>943</v>
      </c>
      <c r="DC25" s="21">
        <v>1</v>
      </c>
      <c r="DD25" s="21">
        <v>1</v>
      </c>
      <c r="DE25" s="22">
        <v>42737</v>
      </c>
      <c r="DF25" s="21" t="s">
        <v>1198</v>
      </c>
      <c r="DG25" s="21" t="s">
        <v>522</v>
      </c>
      <c r="DH25" s="21" t="s">
        <v>1199</v>
      </c>
      <c r="DI25" s="21" t="s">
        <v>495</v>
      </c>
      <c r="DJ25" s="21" t="s">
        <v>520</v>
      </c>
      <c r="DL25" s="22">
        <v>42746</v>
      </c>
      <c r="DM25" s="22">
        <v>42736</v>
      </c>
      <c r="DN25" s="21">
        <v>300</v>
      </c>
      <c r="DO25" s="21">
        <v>0</v>
      </c>
      <c r="DP25" s="21">
        <v>2</v>
      </c>
      <c r="DQ25" s="21">
        <v>2</v>
      </c>
      <c r="DR25" s="21">
        <v>1</v>
      </c>
      <c r="DS25" s="21">
        <v>0</v>
      </c>
      <c r="DT25" s="21">
        <v>0</v>
      </c>
      <c r="DU25" s="21">
        <v>0</v>
      </c>
      <c r="DW25" s="21">
        <v>0</v>
      </c>
      <c r="EA25" s="21">
        <v>0</v>
      </c>
      <c r="EB25" s="21" t="s">
        <v>1200</v>
      </c>
      <c r="EC25" s="21" t="s">
        <v>1227</v>
      </c>
      <c r="EF25" s="25">
        <v>0</v>
      </c>
      <c r="EG25" s="25">
        <v>1</v>
      </c>
      <c r="EH25" s="25">
        <v>0</v>
      </c>
      <c r="EI25" s="25">
        <v>1</v>
      </c>
      <c r="EJ25" s="25" t="s">
        <v>92</v>
      </c>
      <c r="EK25" s="25" t="s">
        <v>276</v>
      </c>
      <c r="EL25" s="25" t="s">
        <v>276</v>
      </c>
      <c r="EM25" s="25" t="s">
        <v>276</v>
      </c>
      <c r="EN25" s="25" t="s">
        <v>276</v>
      </c>
      <c r="EO25" s="25" t="s">
        <v>276</v>
      </c>
      <c r="EP25" s="25" t="s">
        <v>276</v>
      </c>
      <c r="EQ25" s="25" t="s">
        <v>276</v>
      </c>
      <c r="ER25" s="25" t="s">
        <v>276</v>
      </c>
      <c r="ES25" s="25" t="s">
        <v>276</v>
      </c>
      <c r="ET25" s="25">
        <v>1</v>
      </c>
      <c r="EU25" s="25" t="s">
        <v>522</v>
      </c>
      <c r="EV25" s="25" t="s">
        <v>276</v>
      </c>
      <c r="EW25" s="25" t="s">
        <v>276</v>
      </c>
      <c r="EX25" s="25" t="s">
        <v>276</v>
      </c>
      <c r="EY25" s="20" t="s">
        <v>52</v>
      </c>
    </row>
    <row r="26" spans="1:155">
      <c r="A26" s="21" t="s">
        <v>491</v>
      </c>
      <c r="B26" s="21" t="s">
        <v>491</v>
      </c>
      <c r="C26" s="21" t="s">
        <v>492</v>
      </c>
      <c r="D26" s="21" t="s">
        <v>493</v>
      </c>
      <c r="E26" s="21" t="s">
        <v>493</v>
      </c>
      <c r="F26" s="21" t="s">
        <v>493</v>
      </c>
      <c r="G26" s="21" t="s">
        <v>1201</v>
      </c>
      <c r="H26" s="21">
        <v>34991271934</v>
      </c>
      <c r="I26" s="21" t="s">
        <v>494</v>
      </c>
      <c r="J26" s="21" t="s">
        <v>1202</v>
      </c>
      <c r="L26" s="21" t="s">
        <v>495</v>
      </c>
      <c r="M26" s="21" t="s">
        <v>1203</v>
      </c>
      <c r="N26" s="21" t="s">
        <v>1204</v>
      </c>
      <c r="O26" s="21" t="s">
        <v>58</v>
      </c>
      <c r="P26" s="21" t="s">
        <v>557</v>
      </c>
      <c r="R26" s="21" t="s">
        <v>1205</v>
      </c>
      <c r="S26" s="21" t="s">
        <v>1206</v>
      </c>
      <c r="V26" s="21" t="s">
        <v>500</v>
      </c>
      <c r="W26" s="21" t="s">
        <v>501</v>
      </c>
      <c r="X26" s="21" t="s">
        <v>502</v>
      </c>
      <c r="Y26" s="21" t="s">
        <v>558</v>
      </c>
      <c r="Z26" s="21">
        <v>3035362633</v>
      </c>
      <c r="AA26" s="22">
        <v>42734</v>
      </c>
      <c r="AB26" s="22">
        <v>42734</v>
      </c>
      <c r="AC26" s="21" t="s">
        <v>504</v>
      </c>
      <c r="AD26" s="21" t="s">
        <v>505</v>
      </c>
      <c r="AE26" s="21" t="s">
        <v>500</v>
      </c>
      <c r="AF26" s="21" t="s">
        <v>506</v>
      </c>
      <c r="AG26" s="21" t="s">
        <v>1079</v>
      </c>
      <c r="AH26" s="21" t="s">
        <v>1080</v>
      </c>
      <c r="AI26" s="21" t="s">
        <v>1207</v>
      </c>
      <c r="AJ26" s="21" t="s">
        <v>507</v>
      </c>
      <c r="AK26" s="21" t="s">
        <v>494</v>
      </c>
      <c r="AL26" s="21" t="s">
        <v>527</v>
      </c>
      <c r="AM26" s="21" t="s">
        <v>527</v>
      </c>
      <c r="AN26" s="21" t="s">
        <v>527</v>
      </c>
      <c r="AO26" s="21" t="s">
        <v>528</v>
      </c>
      <c r="AS26" s="21" t="s">
        <v>511</v>
      </c>
      <c r="AT26" s="21" t="s">
        <v>512</v>
      </c>
      <c r="AW26" s="21">
        <v>0</v>
      </c>
      <c r="AX26" s="21">
        <v>2</v>
      </c>
      <c r="BC26" s="21" t="s">
        <v>513</v>
      </c>
      <c r="BD26" s="21" t="s">
        <v>514</v>
      </c>
      <c r="BE26" s="21" t="s">
        <v>514</v>
      </c>
      <c r="BF26" s="21" t="s">
        <v>515</v>
      </c>
      <c r="BG26" s="21">
        <v>1</v>
      </c>
      <c r="BH26" s="21" t="s">
        <v>516</v>
      </c>
      <c r="BI26" s="21" t="s">
        <v>517</v>
      </c>
      <c r="BJ26" s="21" t="s">
        <v>516</v>
      </c>
      <c r="BK26" s="21" t="s">
        <v>516</v>
      </c>
      <c r="BM26" s="21" t="s">
        <v>55</v>
      </c>
      <c r="BN26" s="21" t="s">
        <v>137</v>
      </c>
      <c r="BO26" s="21" t="s">
        <v>518</v>
      </c>
      <c r="BP26" s="21" t="s">
        <v>519</v>
      </c>
      <c r="BQ26" s="21" t="s">
        <v>55</v>
      </c>
      <c r="BR26" s="21" t="s">
        <v>137</v>
      </c>
      <c r="BS26" s="21" t="s">
        <v>518</v>
      </c>
      <c r="BT26" s="21" t="s">
        <v>519</v>
      </c>
      <c r="BU26" s="21" t="s">
        <v>137</v>
      </c>
      <c r="CD26" s="21" t="s">
        <v>520</v>
      </c>
      <c r="CF26" s="21" t="s">
        <v>521</v>
      </c>
      <c r="DB26" s="24" t="s">
        <v>943</v>
      </c>
      <c r="DC26" s="21">
        <v>1</v>
      </c>
      <c r="DD26" s="21">
        <v>1</v>
      </c>
      <c r="DE26" s="22">
        <v>42737</v>
      </c>
      <c r="DF26" s="21" t="s">
        <v>1208</v>
      </c>
      <c r="DG26" s="21" t="s">
        <v>522</v>
      </c>
      <c r="DH26" s="21" t="s">
        <v>1209</v>
      </c>
      <c r="DI26" s="21" t="s">
        <v>495</v>
      </c>
      <c r="DJ26" s="21" t="s">
        <v>520</v>
      </c>
      <c r="DL26" s="22">
        <v>42746</v>
      </c>
      <c r="DM26" s="22">
        <v>42736</v>
      </c>
      <c r="DN26" s="21">
        <v>3100</v>
      </c>
      <c r="DO26" s="21">
        <v>10</v>
      </c>
      <c r="DP26" s="21">
        <v>1</v>
      </c>
      <c r="DQ26" s="21">
        <v>2</v>
      </c>
      <c r="DR26" s="21">
        <v>6</v>
      </c>
      <c r="DS26" s="21">
        <v>10</v>
      </c>
      <c r="DT26" s="21">
        <v>10</v>
      </c>
      <c r="DU26" s="21">
        <v>8</v>
      </c>
      <c r="DW26" s="21">
        <v>9</v>
      </c>
      <c r="EA26" s="21">
        <v>9</v>
      </c>
      <c r="EF26" s="25">
        <v>1</v>
      </c>
      <c r="EG26" s="25">
        <v>0</v>
      </c>
      <c r="EH26" s="25">
        <v>1</v>
      </c>
      <c r="EI26" s="25">
        <v>0</v>
      </c>
      <c r="EJ26" s="25" t="s">
        <v>62</v>
      </c>
      <c r="EK26" s="25" t="s">
        <v>138</v>
      </c>
      <c r="EL26" s="25" t="s">
        <v>138</v>
      </c>
      <c r="EM26" s="25" t="s">
        <v>276</v>
      </c>
      <c r="EN26" s="25" t="s">
        <v>23</v>
      </c>
      <c r="EO26" s="25" t="s">
        <v>23</v>
      </c>
      <c r="EP26" s="25" t="s">
        <v>62</v>
      </c>
      <c r="EQ26" s="25" t="s">
        <v>62</v>
      </c>
      <c r="ER26" s="25" t="s">
        <v>278</v>
      </c>
      <c r="ES26" s="25" t="s">
        <v>278</v>
      </c>
      <c r="ET26" s="25">
        <v>1</v>
      </c>
      <c r="EU26" s="25" t="s">
        <v>522</v>
      </c>
      <c r="EV26" s="25" t="s">
        <v>138</v>
      </c>
      <c r="EW26" s="25" t="s">
        <v>23</v>
      </c>
      <c r="EX26" s="25" t="s">
        <v>278</v>
      </c>
      <c r="EY26" s="20" t="e">
        <v>#N/A</v>
      </c>
    </row>
    <row r="27" spans="1:155">
      <c r="A27" s="21" t="s">
        <v>491</v>
      </c>
      <c r="B27" s="21" t="s">
        <v>491</v>
      </c>
      <c r="C27" s="21" t="s">
        <v>492</v>
      </c>
      <c r="D27" s="21" t="s">
        <v>493</v>
      </c>
      <c r="E27" s="21" t="s">
        <v>493</v>
      </c>
      <c r="F27" s="21" t="s">
        <v>493</v>
      </c>
      <c r="G27" s="21" t="s">
        <v>1228</v>
      </c>
      <c r="H27" s="21">
        <v>7932272257</v>
      </c>
      <c r="I27" s="21" t="s">
        <v>494</v>
      </c>
      <c r="J27" s="21" t="s">
        <v>1229</v>
      </c>
      <c r="L27" s="21" t="s">
        <v>495</v>
      </c>
      <c r="M27" s="21" t="s">
        <v>1230</v>
      </c>
      <c r="N27" s="21" t="s">
        <v>1051</v>
      </c>
      <c r="O27" s="21" t="s">
        <v>93</v>
      </c>
      <c r="P27" s="21" t="s">
        <v>539</v>
      </c>
      <c r="R27" s="21" t="s">
        <v>1052</v>
      </c>
      <c r="S27" s="21" t="s">
        <v>1053</v>
      </c>
      <c r="V27" s="21" t="s">
        <v>277</v>
      </c>
      <c r="W27" s="21" t="s">
        <v>524</v>
      </c>
      <c r="X27" s="21" t="s">
        <v>525</v>
      </c>
      <c r="Y27" s="21" t="s">
        <v>530</v>
      </c>
      <c r="Z27" s="21">
        <v>3035231699</v>
      </c>
      <c r="AA27" s="22">
        <v>42730</v>
      </c>
      <c r="AB27" s="22">
        <v>42730</v>
      </c>
      <c r="AC27" s="21" t="s">
        <v>504</v>
      </c>
      <c r="AD27" s="21" t="s">
        <v>505</v>
      </c>
      <c r="AE27" s="21" t="s">
        <v>1054</v>
      </c>
      <c r="AF27" s="21" t="s">
        <v>1055</v>
      </c>
      <c r="AG27" s="21" t="s">
        <v>1231</v>
      </c>
      <c r="AH27" s="21" t="s">
        <v>1232</v>
      </c>
      <c r="AI27" s="21" t="s">
        <v>1233</v>
      </c>
      <c r="AJ27" s="21" t="s">
        <v>526</v>
      </c>
      <c r="AK27" s="21" t="s">
        <v>494</v>
      </c>
      <c r="AL27" s="21" t="s">
        <v>527</v>
      </c>
      <c r="AM27" s="21" t="s">
        <v>527</v>
      </c>
      <c r="AN27" s="21" t="s">
        <v>527</v>
      </c>
      <c r="AO27" s="21" t="s">
        <v>528</v>
      </c>
      <c r="AS27" s="21" t="s">
        <v>511</v>
      </c>
      <c r="AT27" s="21" t="s">
        <v>512</v>
      </c>
      <c r="AW27" s="21">
        <v>0</v>
      </c>
      <c r="AX27" s="21">
        <v>4</v>
      </c>
      <c r="AY27" s="22"/>
      <c r="BB27" s="22"/>
      <c r="BC27" s="21" t="s">
        <v>513</v>
      </c>
      <c r="BD27" s="21" t="s">
        <v>514</v>
      </c>
      <c r="BE27" s="21" t="s">
        <v>514</v>
      </c>
      <c r="BF27" s="21" t="s">
        <v>515</v>
      </c>
      <c r="BG27" s="21">
        <v>1</v>
      </c>
      <c r="BH27" s="21" t="s">
        <v>516</v>
      </c>
      <c r="BI27" s="21" t="s">
        <v>517</v>
      </c>
      <c r="BJ27" s="21" t="s">
        <v>516</v>
      </c>
      <c r="BK27" s="21" t="s">
        <v>516</v>
      </c>
      <c r="BM27" s="21" t="s">
        <v>36</v>
      </c>
      <c r="BN27" s="21" t="s">
        <v>223</v>
      </c>
      <c r="BO27" s="21" t="s">
        <v>518</v>
      </c>
      <c r="BP27" s="21" t="s">
        <v>519</v>
      </c>
      <c r="BQ27" s="21" t="s">
        <v>36</v>
      </c>
      <c r="BR27" s="21" t="s">
        <v>223</v>
      </c>
      <c r="BS27" s="21" t="s">
        <v>518</v>
      </c>
      <c r="BT27" s="21" t="s">
        <v>519</v>
      </c>
      <c r="BU27" s="21" t="s">
        <v>223</v>
      </c>
      <c r="CD27" s="21" t="s">
        <v>520</v>
      </c>
      <c r="CF27" s="21" t="s">
        <v>521</v>
      </c>
      <c r="DB27" s="24" t="s">
        <v>943</v>
      </c>
      <c r="DC27" s="21">
        <v>1</v>
      </c>
      <c r="DD27" s="21">
        <v>1</v>
      </c>
      <c r="DE27" s="22">
        <v>42738</v>
      </c>
      <c r="DF27" s="21" t="s">
        <v>1234</v>
      </c>
      <c r="DG27" s="21" t="s">
        <v>522</v>
      </c>
      <c r="DH27" s="21" t="s">
        <v>1235</v>
      </c>
      <c r="DI27" s="21" t="s">
        <v>495</v>
      </c>
      <c r="DJ27" s="21" t="s">
        <v>523</v>
      </c>
      <c r="DL27" s="22">
        <v>42742</v>
      </c>
      <c r="DM27" s="22">
        <v>42732</v>
      </c>
      <c r="DN27" s="21">
        <v>1100</v>
      </c>
      <c r="DO27" s="21">
        <v>8</v>
      </c>
      <c r="DP27" s="21">
        <v>1</v>
      </c>
      <c r="DQ27" s="21">
        <v>1</v>
      </c>
      <c r="DR27" s="21">
        <v>7</v>
      </c>
      <c r="DS27" s="21">
        <v>10</v>
      </c>
      <c r="DT27" s="21">
        <v>10</v>
      </c>
      <c r="DU27" s="21">
        <v>10</v>
      </c>
      <c r="DW27" s="21">
        <v>10</v>
      </c>
      <c r="EA27" s="21">
        <v>10</v>
      </c>
      <c r="EB27" s="21" t="s">
        <v>1236</v>
      </c>
      <c r="EC27" s="21" t="s">
        <v>1002</v>
      </c>
      <c r="EF27" s="25">
        <v>1</v>
      </c>
      <c r="EG27" s="25">
        <v>0</v>
      </c>
      <c r="EH27" s="25">
        <v>0</v>
      </c>
      <c r="EI27" s="25">
        <v>0</v>
      </c>
      <c r="EJ27" s="25" t="s">
        <v>92</v>
      </c>
      <c r="EK27" s="25" t="s">
        <v>224</v>
      </c>
      <c r="EL27" s="25" t="s">
        <v>224</v>
      </c>
      <c r="EM27" s="25" t="s">
        <v>276</v>
      </c>
      <c r="EN27" s="25" t="s">
        <v>31</v>
      </c>
      <c r="EO27" s="25" t="s">
        <v>31</v>
      </c>
      <c r="EP27" s="25" t="s">
        <v>92</v>
      </c>
      <c r="EQ27" s="25" t="s">
        <v>92</v>
      </c>
      <c r="ER27" s="25" t="s">
        <v>278</v>
      </c>
      <c r="ES27" s="25" t="s">
        <v>278</v>
      </c>
      <c r="ET27" s="25">
        <v>1</v>
      </c>
      <c r="EU27" s="25" t="s">
        <v>522</v>
      </c>
      <c r="EV27" s="25" t="s">
        <v>224</v>
      </c>
      <c r="EW27" s="25" t="s">
        <v>31</v>
      </c>
      <c r="EX27" s="25" t="s">
        <v>278</v>
      </c>
      <c r="EY27" s="20" t="e">
        <v>#N/A</v>
      </c>
    </row>
    <row r="28" spans="1:155">
      <c r="A28" s="21" t="s">
        <v>491</v>
      </c>
      <c r="B28" s="21" t="s">
        <v>491</v>
      </c>
      <c r="C28" s="21" t="s">
        <v>492</v>
      </c>
      <c r="D28" s="21" t="s">
        <v>493</v>
      </c>
      <c r="E28" s="21" t="s">
        <v>493</v>
      </c>
      <c r="F28" s="21" t="s">
        <v>493</v>
      </c>
      <c r="G28" s="21" t="s">
        <v>1237</v>
      </c>
      <c r="H28" s="21">
        <v>7534815545</v>
      </c>
      <c r="I28" s="21" t="s">
        <v>494</v>
      </c>
      <c r="J28" s="21" t="s">
        <v>1238</v>
      </c>
      <c r="L28" s="21" t="s">
        <v>495</v>
      </c>
      <c r="M28" s="21" t="s">
        <v>1239</v>
      </c>
      <c r="N28" s="21" t="s">
        <v>576</v>
      </c>
      <c r="O28" s="21" t="s">
        <v>79</v>
      </c>
      <c r="P28" s="21" t="s">
        <v>570</v>
      </c>
      <c r="R28" s="21" t="s">
        <v>577</v>
      </c>
      <c r="S28" s="21" t="s">
        <v>578</v>
      </c>
      <c r="V28" s="21" t="s">
        <v>500</v>
      </c>
      <c r="W28" s="21" t="s">
        <v>501</v>
      </c>
      <c r="X28" s="21" t="s">
        <v>502</v>
      </c>
      <c r="Y28" s="21" t="s">
        <v>503</v>
      </c>
      <c r="Z28" s="21">
        <v>3035239806</v>
      </c>
      <c r="AA28" s="22">
        <v>42730</v>
      </c>
      <c r="AB28" s="22">
        <v>42730</v>
      </c>
      <c r="AC28" s="21" t="s">
        <v>504</v>
      </c>
      <c r="AD28" s="21" t="s">
        <v>505</v>
      </c>
      <c r="AE28" s="21" t="s">
        <v>500</v>
      </c>
      <c r="AF28" s="21" t="s">
        <v>506</v>
      </c>
      <c r="AG28" s="21" t="s">
        <v>581</v>
      </c>
      <c r="AH28" s="21" t="s">
        <v>582</v>
      </c>
      <c r="AI28" s="21" t="s">
        <v>1240</v>
      </c>
      <c r="AJ28" s="21" t="s">
        <v>526</v>
      </c>
      <c r="AK28" s="21" t="s">
        <v>494</v>
      </c>
      <c r="AL28" s="21" t="s">
        <v>527</v>
      </c>
      <c r="AM28" s="21" t="s">
        <v>527</v>
      </c>
      <c r="AN28" s="21" t="s">
        <v>527</v>
      </c>
      <c r="AO28" s="21" t="s">
        <v>528</v>
      </c>
      <c r="AS28" s="21" t="s">
        <v>511</v>
      </c>
      <c r="AT28" s="21" t="s">
        <v>505</v>
      </c>
      <c r="AW28" s="21">
        <v>0</v>
      </c>
      <c r="AX28" s="21">
        <v>2</v>
      </c>
      <c r="BC28" s="21" t="s">
        <v>513</v>
      </c>
      <c r="BD28" s="21" t="s">
        <v>514</v>
      </c>
      <c r="BE28" s="21" t="s">
        <v>514</v>
      </c>
      <c r="BF28" s="21" t="s">
        <v>515</v>
      </c>
      <c r="BG28" s="21">
        <v>1</v>
      </c>
      <c r="BH28" s="21" t="s">
        <v>516</v>
      </c>
      <c r="BI28" s="21" t="s">
        <v>517</v>
      </c>
      <c r="BJ28" s="21" t="s">
        <v>516</v>
      </c>
      <c r="BK28" s="21" t="s">
        <v>516</v>
      </c>
      <c r="BM28" s="21" t="s">
        <v>583</v>
      </c>
      <c r="BN28" s="21" t="s">
        <v>154</v>
      </c>
      <c r="BO28" s="21" t="s">
        <v>518</v>
      </c>
      <c r="BP28" s="21" t="s">
        <v>519</v>
      </c>
      <c r="BQ28" s="21" t="s">
        <v>583</v>
      </c>
      <c r="BR28" s="21" t="s">
        <v>154</v>
      </c>
      <c r="BS28" s="21" t="s">
        <v>518</v>
      </c>
      <c r="BT28" s="21" t="s">
        <v>519</v>
      </c>
      <c r="BU28" s="21" t="s">
        <v>154</v>
      </c>
      <c r="CD28" s="21" t="s">
        <v>520</v>
      </c>
      <c r="CF28" s="21" t="s">
        <v>521</v>
      </c>
      <c r="DB28" s="24" t="s">
        <v>943</v>
      </c>
      <c r="DC28" s="21">
        <v>1</v>
      </c>
      <c r="DD28" s="21">
        <v>1</v>
      </c>
      <c r="DE28" s="22">
        <v>42738</v>
      </c>
      <c r="DF28" s="21" t="s">
        <v>1241</v>
      </c>
      <c r="DG28" s="21" t="s">
        <v>522</v>
      </c>
      <c r="DH28" s="21" t="s">
        <v>1242</v>
      </c>
      <c r="DI28" s="21" t="s">
        <v>495</v>
      </c>
      <c r="DJ28" s="21" t="s">
        <v>523</v>
      </c>
      <c r="DL28" s="22">
        <v>42742</v>
      </c>
      <c r="DM28" s="22">
        <v>42732</v>
      </c>
      <c r="DN28" s="21">
        <v>3100</v>
      </c>
      <c r="DO28" s="21">
        <v>9</v>
      </c>
      <c r="DP28" s="21">
        <v>1</v>
      </c>
      <c r="DQ28" s="21">
        <v>1</v>
      </c>
      <c r="DR28" s="21">
        <v>7</v>
      </c>
      <c r="DS28" s="21">
        <v>9</v>
      </c>
      <c r="DT28" s="21">
        <v>9</v>
      </c>
      <c r="DU28" s="21">
        <v>9</v>
      </c>
      <c r="DW28" s="21">
        <v>9</v>
      </c>
      <c r="EA28" s="21">
        <v>10</v>
      </c>
      <c r="EB28" s="21" t="s">
        <v>1243</v>
      </c>
      <c r="EC28" s="21" t="s">
        <v>1221</v>
      </c>
      <c r="EF28" s="25">
        <v>1</v>
      </c>
      <c r="EG28" s="25">
        <v>0</v>
      </c>
      <c r="EH28" s="25">
        <v>1</v>
      </c>
      <c r="EI28" s="25">
        <v>0</v>
      </c>
      <c r="EJ28" s="25" t="s">
        <v>62</v>
      </c>
      <c r="EK28" s="25" t="s">
        <v>155</v>
      </c>
      <c r="EL28" s="25" t="s">
        <v>155</v>
      </c>
      <c r="EM28" s="25" t="s">
        <v>276</v>
      </c>
      <c r="EN28" s="25" t="s">
        <v>23</v>
      </c>
      <c r="EO28" s="25" t="s">
        <v>23</v>
      </c>
      <c r="EP28" s="25" t="s">
        <v>62</v>
      </c>
      <c r="EQ28" s="25" t="s">
        <v>62</v>
      </c>
      <c r="ER28" s="25" t="s">
        <v>278</v>
      </c>
      <c r="ES28" s="25" t="s">
        <v>278</v>
      </c>
      <c r="ET28" s="25">
        <v>1</v>
      </c>
      <c r="EU28" s="25" t="s">
        <v>522</v>
      </c>
      <c r="EV28" s="25" t="s">
        <v>155</v>
      </c>
      <c r="EW28" s="25" t="s">
        <v>23</v>
      </c>
      <c r="EX28" s="25" t="s">
        <v>278</v>
      </c>
      <c r="EY28" s="20" t="e">
        <v>#N/A</v>
      </c>
    </row>
    <row r="29" spans="1:155">
      <c r="A29" s="21" t="s">
        <v>491</v>
      </c>
      <c r="B29" s="21" t="s">
        <v>491</v>
      </c>
      <c r="C29" s="21" t="s">
        <v>492</v>
      </c>
      <c r="D29" s="21" t="s">
        <v>493</v>
      </c>
      <c r="E29" s="21" t="s">
        <v>493</v>
      </c>
      <c r="F29" s="21" t="s">
        <v>493</v>
      </c>
      <c r="G29" s="21" t="s">
        <v>1244</v>
      </c>
      <c r="H29" s="21" t="s">
        <v>1245</v>
      </c>
      <c r="I29" s="21" t="s">
        <v>494</v>
      </c>
      <c r="J29" s="21" t="s">
        <v>1246</v>
      </c>
      <c r="L29" s="21" t="s">
        <v>495</v>
      </c>
      <c r="M29" s="21" t="s">
        <v>1247</v>
      </c>
      <c r="N29" s="21" t="s">
        <v>1248</v>
      </c>
      <c r="O29" s="21" t="s">
        <v>100</v>
      </c>
      <c r="P29" s="21" t="s">
        <v>1187</v>
      </c>
      <c r="R29" s="21" t="s">
        <v>1249</v>
      </c>
      <c r="S29" s="21" t="s">
        <v>1250</v>
      </c>
      <c r="V29" s="21" t="s">
        <v>277</v>
      </c>
      <c r="W29" s="21" t="s">
        <v>524</v>
      </c>
      <c r="X29" s="21" t="s">
        <v>525</v>
      </c>
      <c r="Y29" s="21" t="s">
        <v>1190</v>
      </c>
      <c r="Z29" s="21">
        <v>3034948448</v>
      </c>
      <c r="AA29" s="22">
        <v>42718</v>
      </c>
      <c r="AB29" s="22">
        <v>42730</v>
      </c>
      <c r="AC29" s="21" t="s">
        <v>504</v>
      </c>
      <c r="AD29" s="21" t="s">
        <v>505</v>
      </c>
      <c r="AE29" s="21" t="s">
        <v>565</v>
      </c>
      <c r="AF29" s="21" t="s">
        <v>566</v>
      </c>
      <c r="AG29" s="21" t="s">
        <v>567</v>
      </c>
      <c r="AH29" s="21" t="s">
        <v>568</v>
      </c>
      <c r="AI29" s="21" t="s">
        <v>1251</v>
      </c>
      <c r="AJ29" s="21" t="s">
        <v>507</v>
      </c>
      <c r="AK29" s="21" t="s">
        <v>494</v>
      </c>
      <c r="AL29" s="21" t="s">
        <v>508</v>
      </c>
      <c r="AM29" s="21" t="s">
        <v>509</v>
      </c>
      <c r="AN29" s="21" t="s">
        <v>509</v>
      </c>
      <c r="AO29" s="21" t="s">
        <v>510</v>
      </c>
      <c r="AS29" s="21" t="s">
        <v>511</v>
      </c>
      <c r="AT29" s="21" t="s">
        <v>512</v>
      </c>
      <c r="AW29" s="21">
        <v>0</v>
      </c>
      <c r="AX29" s="21">
        <v>15</v>
      </c>
      <c r="AY29" s="22"/>
      <c r="BB29" s="22"/>
      <c r="BC29" s="21" t="s">
        <v>513</v>
      </c>
      <c r="BD29" s="21" t="s">
        <v>514</v>
      </c>
      <c r="BE29" s="21" t="s">
        <v>514</v>
      </c>
      <c r="BF29" s="21" t="s">
        <v>515</v>
      </c>
      <c r="BG29" s="21">
        <v>1</v>
      </c>
      <c r="BH29" s="21" t="s">
        <v>516</v>
      </c>
      <c r="BI29" s="21" t="s">
        <v>517</v>
      </c>
      <c r="BJ29" s="21" t="s">
        <v>516</v>
      </c>
      <c r="BK29" s="21" t="s">
        <v>516</v>
      </c>
      <c r="BM29" s="21" t="s">
        <v>1252</v>
      </c>
      <c r="BN29" s="21" t="s">
        <v>225</v>
      </c>
      <c r="BO29" s="21" t="s">
        <v>518</v>
      </c>
      <c r="BP29" s="21" t="s">
        <v>1044</v>
      </c>
      <c r="BQ29" s="21" t="s">
        <v>38</v>
      </c>
      <c r="BR29" s="21" t="s">
        <v>238</v>
      </c>
      <c r="BS29" s="21" t="s">
        <v>518</v>
      </c>
      <c r="BT29" s="21" t="s">
        <v>1044</v>
      </c>
      <c r="BU29" s="21" t="s">
        <v>225</v>
      </c>
      <c r="CD29" s="21" t="s">
        <v>520</v>
      </c>
      <c r="CF29" s="21" t="s">
        <v>521</v>
      </c>
      <c r="DB29" s="24" t="s">
        <v>943</v>
      </c>
      <c r="DC29" s="21">
        <v>1</v>
      </c>
      <c r="DD29" s="21">
        <v>1</v>
      </c>
      <c r="DE29" s="22">
        <v>42738</v>
      </c>
      <c r="DF29" s="21" t="s">
        <v>1253</v>
      </c>
      <c r="DG29" s="21" t="s">
        <v>522</v>
      </c>
      <c r="DH29" s="21" t="s">
        <v>1254</v>
      </c>
      <c r="DI29" s="21" t="s">
        <v>495</v>
      </c>
      <c r="DJ29" s="21" t="s">
        <v>523</v>
      </c>
      <c r="DL29" s="22">
        <v>42742</v>
      </c>
      <c r="DM29" s="22">
        <v>42732</v>
      </c>
      <c r="DN29" s="21">
        <v>1100</v>
      </c>
      <c r="DO29" s="21">
        <v>8</v>
      </c>
      <c r="DP29" s="21">
        <v>1</v>
      </c>
      <c r="DQ29" s="21">
        <v>2</v>
      </c>
      <c r="DR29" s="21">
        <v>6</v>
      </c>
      <c r="DS29" s="21">
        <v>9</v>
      </c>
      <c r="DT29" s="21">
        <v>9</v>
      </c>
      <c r="DU29" s="21">
        <v>9</v>
      </c>
      <c r="DW29" s="21">
        <v>9</v>
      </c>
      <c r="EA29" s="21">
        <v>8</v>
      </c>
      <c r="EF29" s="25">
        <v>0</v>
      </c>
      <c r="EG29" s="25">
        <v>0</v>
      </c>
      <c r="EH29" s="25">
        <v>0</v>
      </c>
      <c r="EI29" s="25">
        <v>0</v>
      </c>
      <c r="EJ29" s="25" t="s">
        <v>92</v>
      </c>
      <c r="EK29" s="25" t="s">
        <v>226</v>
      </c>
      <c r="EL29" s="25" t="s">
        <v>239</v>
      </c>
      <c r="EM29" s="25" t="s">
        <v>276</v>
      </c>
      <c r="EN29" s="25" t="s">
        <v>39</v>
      </c>
      <c r="EO29" s="25" t="s">
        <v>39</v>
      </c>
      <c r="EP29" s="25" t="s">
        <v>92</v>
      </c>
      <c r="EQ29" s="25" t="s">
        <v>529</v>
      </c>
      <c r="ER29" s="25" t="s">
        <v>278</v>
      </c>
      <c r="ES29" s="25" t="s">
        <v>278</v>
      </c>
      <c r="ET29" s="25">
        <v>1</v>
      </c>
      <c r="EU29" s="25" t="s">
        <v>522</v>
      </c>
      <c r="EV29" s="25" t="s">
        <v>279</v>
      </c>
      <c r="EW29" s="25" t="s">
        <v>279</v>
      </c>
      <c r="EX29" s="25" t="s">
        <v>279</v>
      </c>
      <c r="EY29" s="20" t="e">
        <v>#N/A</v>
      </c>
    </row>
    <row r="30" spans="1:155">
      <c r="A30" s="21" t="s">
        <v>491</v>
      </c>
      <c r="B30" s="21" t="s">
        <v>491</v>
      </c>
      <c r="C30" s="21" t="s">
        <v>492</v>
      </c>
      <c r="D30" s="21" t="s">
        <v>493</v>
      </c>
      <c r="E30" s="21" t="s">
        <v>493</v>
      </c>
      <c r="F30" s="21" t="s">
        <v>493</v>
      </c>
      <c r="G30" s="21" t="s">
        <v>1255</v>
      </c>
      <c r="H30" s="21">
        <v>65996441571</v>
      </c>
      <c r="I30" s="21" t="s">
        <v>494</v>
      </c>
      <c r="J30" s="21" t="s">
        <v>1256</v>
      </c>
      <c r="L30" s="21" t="s">
        <v>495</v>
      </c>
      <c r="M30" s="21" t="s">
        <v>1257</v>
      </c>
      <c r="N30" s="21" t="s">
        <v>1258</v>
      </c>
      <c r="O30" s="21" t="s">
        <v>69</v>
      </c>
      <c r="P30" s="21" t="s">
        <v>497</v>
      </c>
      <c r="R30" s="21" t="s">
        <v>1259</v>
      </c>
      <c r="S30" s="21" t="s">
        <v>1260</v>
      </c>
      <c r="V30" s="21" t="s">
        <v>500</v>
      </c>
      <c r="W30" s="21" t="s">
        <v>501</v>
      </c>
      <c r="X30" s="21" t="s">
        <v>502</v>
      </c>
      <c r="Y30" s="21" t="s">
        <v>503</v>
      </c>
      <c r="Z30" s="21">
        <v>3035062878</v>
      </c>
      <c r="AA30" s="22">
        <v>42723</v>
      </c>
      <c r="AB30" s="22">
        <v>42730</v>
      </c>
      <c r="AC30" s="21" t="s">
        <v>504</v>
      </c>
      <c r="AD30" s="21" t="s">
        <v>505</v>
      </c>
      <c r="AE30" s="21" t="s">
        <v>500</v>
      </c>
      <c r="AF30" s="21" t="s">
        <v>506</v>
      </c>
      <c r="AG30" s="21" t="s">
        <v>581</v>
      </c>
      <c r="AH30" s="21" t="s">
        <v>582</v>
      </c>
      <c r="AI30" s="21" t="s">
        <v>1261</v>
      </c>
      <c r="AJ30" s="21" t="s">
        <v>526</v>
      </c>
      <c r="AK30" s="21" t="s">
        <v>494</v>
      </c>
      <c r="AL30" s="21" t="s">
        <v>508</v>
      </c>
      <c r="AM30" s="21" t="s">
        <v>509</v>
      </c>
      <c r="AN30" s="21" t="s">
        <v>509</v>
      </c>
      <c r="AO30" s="21" t="s">
        <v>510</v>
      </c>
      <c r="AS30" s="21" t="s">
        <v>511</v>
      </c>
      <c r="AT30" s="21" t="s">
        <v>512</v>
      </c>
      <c r="AW30" s="21">
        <v>0</v>
      </c>
      <c r="AX30" s="21">
        <v>5</v>
      </c>
      <c r="AY30" s="22"/>
      <c r="BB30" s="22"/>
      <c r="BC30" s="21" t="s">
        <v>513</v>
      </c>
      <c r="BD30" s="21" t="s">
        <v>514</v>
      </c>
      <c r="BE30" s="21" t="s">
        <v>514</v>
      </c>
      <c r="BF30" s="21" t="s">
        <v>515</v>
      </c>
      <c r="BG30" s="21">
        <v>1</v>
      </c>
      <c r="BH30" s="21" t="s">
        <v>516</v>
      </c>
      <c r="BI30" s="21" t="s">
        <v>517</v>
      </c>
      <c r="BJ30" s="21" t="s">
        <v>516</v>
      </c>
      <c r="BK30" s="21" t="s">
        <v>516</v>
      </c>
      <c r="BM30" s="21" t="s">
        <v>599</v>
      </c>
      <c r="BN30" s="21" t="s">
        <v>269</v>
      </c>
      <c r="BO30" s="21" t="s">
        <v>518</v>
      </c>
      <c r="BP30" s="21" t="s">
        <v>519</v>
      </c>
      <c r="BQ30" s="21" t="s">
        <v>599</v>
      </c>
      <c r="BR30" s="21" t="s">
        <v>269</v>
      </c>
      <c r="BS30" s="21" t="s">
        <v>518</v>
      </c>
      <c r="BT30" s="21" t="s">
        <v>519</v>
      </c>
      <c r="BU30" s="21" t="s">
        <v>269</v>
      </c>
      <c r="CD30" s="21" t="s">
        <v>520</v>
      </c>
      <c r="CF30" s="21" t="s">
        <v>521</v>
      </c>
      <c r="DB30" s="24" t="s">
        <v>943</v>
      </c>
      <c r="DC30" s="21">
        <v>1</v>
      </c>
      <c r="DD30" s="21">
        <v>1</v>
      </c>
      <c r="DE30" s="22">
        <v>42738</v>
      </c>
      <c r="DF30" s="21" t="s">
        <v>1262</v>
      </c>
      <c r="DG30" s="21" t="s">
        <v>522</v>
      </c>
      <c r="DH30" s="21" t="s">
        <v>1263</v>
      </c>
      <c r="DI30" s="21" t="s">
        <v>495</v>
      </c>
      <c r="DJ30" s="21" t="s">
        <v>523</v>
      </c>
      <c r="DL30" s="22">
        <v>42742</v>
      </c>
      <c r="DM30" s="22">
        <v>42732</v>
      </c>
      <c r="DN30" s="21">
        <v>3100</v>
      </c>
      <c r="DO30" s="21">
        <v>10</v>
      </c>
      <c r="DP30" s="21">
        <v>1</v>
      </c>
      <c r="DQ30" s="21">
        <v>1</v>
      </c>
      <c r="DR30" s="21">
        <v>7</v>
      </c>
      <c r="DS30" s="21">
        <v>10</v>
      </c>
      <c r="DT30" s="21">
        <v>10</v>
      </c>
      <c r="DU30" s="21">
        <v>10</v>
      </c>
      <c r="DW30" s="21">
        <v>10</v>
      </c>
      <c r="EA30" s="21">
        <v>10</v>
      </c>
      <c r="EF30" s="25">
        <v>1</v>
      </c>
      <c r="EG30" s="25">
        <v>0</v>
      </c>
      <c r="EH30" s="25">
        <v>1</v>
      </c>
      <c r="EI30" s="25">
        <v>0</v>
      </c>
      <c r="EJ30" s="25" t="s">
        <v>62</v>
      </c>
      <c r="EK30" s="25" t="s">
        <v>276</v>
      </c>
      <c r="EL30" s="25" t="s">
        <v>276</v>
      </c>
      <c r="EM30" s="25" t="s">
        <v>276</v>
      </c>
      <c r="EN30" s="25" t="s">
        <v>276</v>
      </c>
      <c r="EO30" s="25" t="s">
        <v>276</v>
      </c>
      <c r="EP30" s="25" t="s">
        <v>276</v>
      </c>
      <c r="EQ30" s="25" t="s">
        <v>276</v>
      </c>
      <c r="ER30" s="25" t="s">
        <v>276</v>
      </c>
      <c r="ES30" s="25" t="s">
        <v>276</v>
      </c>
      <c r="ET30" s="25">
        <v>1</v>
      </c>
      <c r="EU30" s="25" t="s">
        <v>522</v>
      </c>
      <c r="EV30" s="25" t="s">
        <v>276</v>
      </c>
      <c r="EW30" s="25" t="s">
        <v>276</v>
      </c>
      <c r="EX30" s="25" t="s">
        <v>276</v>
      </c>
      <c r="EY30" s="20" t="s">
        <v>273</v>
      </c>
    </row>
    <row r="31" spans="1:155">
      <c r="A31" s="21" t="s">
        <v>491</v>
      </c>
      <c r="B31" s="21" t="s">
        <v>491</v>
      </c>
      <c r="C31" s="21" t="s">
        <v>492</v>
      </c>
      <c r="D31" s="21" t="s">
        <v>493</v>
      </c>
      <c r="E31" s="21" t="s">
        <v>493</v>
      </c>
      <c r="F31" s="21" t="s">
        <v>493</v>
      </c>
      <c r="G31" s="21" t="s">
        <v>1264</v>
      </c>
      <c r="H31" s="21" t="s">
        <v>1265</v>
      </c>
      <c r="I31" s="21" t="s">
        <v>494</v>
      </c>
      <c r="J31" s="21" t="s">
        <v>1266</v>
      </c>
      <c r="L31" s="21" t="s">
        <v>495</v>
      </c>
      <c r="M31" s="21" t="s">
        <v>1267</v>
      </c>
      <c r="N31" s="21" t="s">
        <v>1268</v>
      </c>
      <c r="O31" s="21" t="s">
        <v>69</v>
      </c>
      <c r="P31" s="21" t="s">
        <v>497</v>
      </c>
      <c r="R31" s="21" t="s">
        <v>1269</v>
      </c>
      <c r="S31" s="21" t="s">
        <v>1270</v>
      </c>
      <c r="V31" s="21" t="s">
        <v>500</v>
      </c>
      <c r="W31" s="21" t="s">
        <v>501</v>
      </c>
      <c r="X31" s="21" t="s">
        <v>502</v>
      </c>
      <c r="Y31" s="21" t="s">
        <v>503</v>
      </c>
      <c r="Z31" s="21">
        <v>3035241498</v>
      </c>
      <c r="AA31" s="22">
        <v>42730</v>
      </c>
      <c r="AB31" s="22">
        <v>42731</v>
      </c>
      <c r="AC31" s="21" t="s">
        <v>504</v>
      </c>
      <c r="AD31" s="21" t="s">
        <v>505</v>
      </c>
      <c r="AE31" s="21" t="s">
        <v>500</v>
      </c>
      <c r="AF31" s="21" t="s">
        <v>549</v>
      </c>
      <c r="AG31" s="21" t="s">
        <v>555</v>
      </c>
      <c r="AH31" s="21" t="s">
        <v>556</v>
      </c>
      <c r="AI31" s="21" t="s">
        <v>594</v>
      </c>
      <c r="AJ31" s="21" t="s">
        <v>526</v>
      </c>
      <c r="AK31" s="21" t="s">
        <v>494</v>
      </c>
      <c r="AL31" s="21" t="s">
        <v>527</v>
      </c>
      <c r="AM31" s="21" t="s">
        <v>527</v>
      </c>
      <c r="AN31" s="21" t="s">
        <v>527</v>
      </c>
      <c r="AO31" s="21" t="s">
        <v>528</v>
      </c>
      <c r="AS31" s="21" t="s">
        <v>511</v>
      </c>
      <c r="AT31" s="21" t="s">
        <v>512</v>
      </c>
      <c r="AW31" s="21">
        <v>0</v>
      </c>
      <c r="AX31" s="21">
        <v>5</v>
      </c>
      <c r="BC31" s="21" t="s">
        <v>513</v>
      </c>
      <c r="BD31" s="21" t="s">
        <v>514</v>
      </c>
      <c r="BE31" s="21" t="s">
        <v>514</v>
      </c>
      <c r="BF31" s="21" t="s">
        <v>515</v>
      </c>
      <c r="BG31" s="21">
        <v>1</v>
      </c>
      <c r="BH31" s="21" t="s">
        <v>516</v>
      </c>
      <c r="BI31" s="21" t="s">
        <v>517</v>
      </c>
      <c r="BJ31" s="21" t="s">
        <v>516</v>
      </c>
      <c r="BK31" s="21" t="s">
        <v>516</v>
      </c>
      <c r="BM31" s="21" t="s">
        <v>593</v>
      </c>
      <c r="BN31" s="21" t="s">
        <v>909</v>
      </c>
      <c r="BO31" s="21" t="s">
        <v>1271</v>
      </c>
      <c r="BP31" s="21" t="s">
        <v>533</v>
      </c>
      <c r="BQ31" s="21" t="s">
        <v>21</v>
      </c>
      <c r="BR31" s="21" t="s">
        <v>115</v>
      </c>
      <c r="BS31" s="21" t="s">
        <v>518</v>
      </c>
      <c r="BT31" s="21" t="s">
        <v>519</v>
      </c>
      <c r="BU31" s="21" t="s">
        <v>909</v>
      </c>
      <c r="CD31" s="21" t="s">
        <v>520</v>
      </c>
      <c r="CF31" s="21" t="s">
        <v>534</v>
      </c>
      <c r="DB31" s="24" t="s">
        <v>943</v>
      </c>
      <c r="DC31" s="21">
        <v>1</v>
      </c>
      <c r="DD31" s="21">
        <v>1</v>
      </c>
      <c r="DE31" s="22">
        <v>42738</v>
      </c>
      <c r="DF31" s="21" t="s">
        <v>1272</v>
      </c>
      <c r="DG31" s="21" t="s">
        <v>522</v>
      </c>
      <c r="DH31" s="21" t="s">
        <v>1273</v>
      </c>
      <c r="DI31" s="21" t="s">
        <v>495</v>
      </c>
      <c r="DJ31" s="21" t="s">
        <v>523</v>
      </c>
      <c r="DL31" s="22">
        <v>42743</v>
      </c>
      <c r="DM31" s="22">
        <v>42733</v>
      </c>
      <c r="DN31" s="21">
        <v>3100</v>
      </c>
      <c r="DO31" s="21">
        <v>10</v>
      </c>
      <c r="DP31" s="21">
        <v>1</v>
      </c>
      <c r="DQ31" s="21">
        <v>2</v>
      </c>
      <c r="DR31" s="21">
        <v>7</v>
      </c>
      <c r="DS31" s="21">
        <v>10</v>
      </c>
      <c r="DT31" s="21">
        <v>10</v>
      </c>
      <c r="DU31" s="21">
        <v>10</v>
      </c>
      <c r="DW31" s="21">
        <v>10</v>
      </c>
      <c r="DY31" s="21">
        <v>10</v>
      </c>
      <c r="EA31" s="21">
        <v>10</v>
      </c>
      <c r="EB31" s="21" t="s">
        <v>1274</v>
      </c>
      <c r="EC31" s="21" t="s">
        <v>1002</v>
      </c>
      <c r="EF31" s="25">
        <v>1</v>
      </c>
      <c r="EG31" s="25">
        <v>0</v>
      </c>
      <c r="EH31" s="25">
        <v>1</v>
      </c>
      <c r="EI31" s="25">
        <v>0</v>
      </c>
      <c r="EJ31" s="25" t="s">
        <v>62</v>
      </c>
      <c r="EK31" s="25" t="s">
        <v>276</v>
      </c>
      <c r="EL31" s="25" t="s">
        <v>116</v>
      </c>
      <c r="EM31" s="25" t="s">
        <v>276</v>
      </c>
      <c r="EN31" s="25" t="s">
        <v>276</v>
      </c>
      <c r="EO31" s="25" t="s">
        <v>127</v>
      </c>
      <c r="EP31" s="25" t="s">
        <v>276</v>
      </c>
      <c r="EQ31" s="25" t="s">
        <v>529</v>
      </c>
      <c r="ER31" s="25" t="s">
        <v>276</v>
      </c>
      <c r="ES31" s="25" t="s">
        <v>278</v>
      </c>
      <c r="ET31" s="25">
        <v>1</v>
      </c>
      <c r="EU31" s="25" t="s">
        <v>522</v>
      </c>
      <c r="EV31" s="25" t="s">
        <v>279</v>
      </c>
      <c r="EW31" s="25" t="s">
        <v>279</v>
      </c>
      <c r="EX31" s="25" t="s">
        <v>279</v>
      </c>
      <c r="EY31" s="20" t="s">
        <v>273</v>
      </c>
    </row>
    <row r="32" spans="1:155">
      <c r="A32" s="21" t="s">
        <v>491</v>
      </c>
      <c r="B32" s="21" t="s">
        <v>491</v>
      </c>
      <c r="C32" s="21" t="s">
        <v>492</v>
      </c>
      <c r="D32" s="21" t="s">
        <v>493</v>
      </c>
      <c r="E32" s="21" t="s">
        <v>493</v>
      </c>
      <c r="F32" s="21" t="s">
        <v>493</v>
      </c>
      <c r="G32" s="21" t="s">
        <v>1275</v>
      </c>
      <c r="H32" s="21" t="s">
        <v>1276</v>
      </c>
      <c r="I32" s="21" t="s">
        <v>494</v>
      </c>
      <c r="J32" s="21" t="s">
        <v>1277</v>
      </c>
      <c r="L32" s="21" t="s">
        <v>495</v>
      </c>
      <c r="M32" s="21" t="s">
        <v>1278</v>
      </c>
      <c r="N32" s="21" t="s">
        <v>496</v>
      </c>
      <c r="O32" s="21" t="s">
        <v>69</v>
      </c>
      <c r="P32" s="21" t="s">
        <v>497</v>
      </c>
      <c r="R32" s="21" t="s">
        <v>498</v>
      </c>
      <c r="S32" s="21" t="s">
        <v>499</v>
      </c>
      <c r="V32" s="21" t="s">
        <v>500</v>
      </c>
      <c r="W32" s="21" t="s">
        <v>501</v>
      </c>
      <c r="X32" s="21" t="s">
        <v>502</v>
      </c>
      <c r="Y32" s="21" t="s">
        <v>503</v>
      </c>
      <c r="Z32" s="21">
        <v>3035295066</v>
      </c>
      <c r="AA32" s="22">
        <v>42732</v>
      </c>
      <c r="AB32" s="22">
        <v>42732</v>
      </c>
      <c r="AC32" s="21" t="s">
        <v>504</v>
      </c>
      <c r="AD32" s="21" t="s">
        <v>505</v>
      </c>
      <c r="AE32" s="21" t="s">
        <v>500</v>
      </c>
      <c r="AF32" s="21" t="s">
        <v>549</v>
      </c>
      <c r="AG32" s="21" t="s">
        <v>555</v>
      </c>
      <c r="AH32" s="21" t="s">
        <v>556</v>
      </c>
      <c r="AI32" s="21" t="s">
        <v>1117</v>
      </c>
      <c r="AJ32" s="21" t="s">
        <v>526</v>
      </c>
      <c r="AK32" s="21" t="s">
        <v>494</v>
      </c>
      <c r="AL32" s="21" t="s">
        <v>527</v>
      </c>
      <c r="AM32" s="21" t="s">
        <v>527</v>
      </c>
      <c r="AN32" s="21" t="s">
        <v>527</v>
      </c>
      <c r="AO32" s="21" t="s">
        <v>528</v>
      </c>
      <c r="AS32" s="21" t="s">
        <v>511</v>
      </c>
      <c r="AT32" s="21" t="s">
        <v>512</v>
      </c>
      <c r="AW32" s="21">
        <v>0</v>
      </c>
      <c r="AX32" s="21">
        <v>2</v>
      </c>
      <c r="BC32" s="21" t="s">
        <v>513</v>
      </c>
      <c r="BD32" s="21" t="s">
        <v>514</v>
      </c>
      <c r="BE32" s="21" t="s">
        <v>514</v>
      </c>
      <c r="BF32" s="21" t="s">
        <v>515</v>
      </c>
      <c r="BG32" s="21">
        <v>1</v>
      </c>
      <c r="BH32" s="21" t="s">
        <v>516</v>
      </c>
      <c r="BI32" s="21" t="s">
        <v>517</v>
      </c>
      <c r="BJ32" s="21" t="s">
        <v>516</v>
      </c>
      <c r="BK32" s="21" t="s">
        <v>516</v>
      </c>
      <c r="BM32" s="21" t="s">
        <v>20</v>
      </c>
      <c r="BN32" s="21" t="s">
        <v>101</v>
      </c>
      <c r="BO32" s="21" t="s">
        <v>518</v>
      </c>
      <c r="BP32" s="21" t="s">
        <v>519</v>
      </c>
      <c r="BQ32" s="21" t="s">
        <v>20</v>
      </c>
      <c r="BR32" s="21" t="s">
        <v>101</v>
      </c>
      <c r="BS32" s="21" t="s">
        <v>518</v>
      </c>
      <c r="BT32" s="21" t="s">
        <v>519</v>
      </c>
      <c r="BU32" s="21" t="s">
        <v>101</v>
      </c>
      <c r="CD32" s="21" t="s">
        <v>520</v>
      </c>
      <c r="CF32" s="21" t="s">
        <v>521</v>
      </c>
      <c r="DB32" s="24" t="s">
        <v>943</v>
      </c>
      <c r="DC32" s="21">
        <v>1</v>
      </c>
      <c r="DD32" s="21">
        <v>1</v>
      </c>
      <c r="DE32" s="22">
        <v>42738</v>
      </c>
      <c r="DF32" s="21" t="s">
        <v>1279</v>
      </c>
      <c r="DG32" s="21" t="s">
        <v>522</v>
      </c>
      <c r="DH32" s="21" t="s">
        <v>1280</v>
      </c>
      <c r="DI32" s="21" t="s">
        <v>495</v>
      </c>
      <c r="DJ32" s="21" t="s">
        <v>523</v>
      </c>
      <c r="DL32" s="22">
        <v>42744</v>
      </c>
      <c r="DM32" s="22">
        <v>42734</v>
      </c>
      <c r="DN32" s="21">
        <v>3100</v>
      </c>
      <c r="DO32" s="21">
        <v>10</v>
      </c>
      <c r="DP32" s="21">
        <v>1</v>
      </c>
      <c r="DQ32" s="21">
        <v>1</v>
      </c>
      <c r="DR32" s="21">
        <v>7</v>
      </c>
      <c r="DS32" s="21">
        <v>10</v>
      </c>
      <c r="DT32" s="21">
        <v>10</v>
      </c>
      <c r="DU32" s="21">
        <v>10</v>
      </c>
      <c r="DW32" s="21">
        <v>10</v>
      </c>
      <c r="EA32" s="21">
        <v>10</v>
      </c>
      <c r="EB32" s="21" t="s">
        <v>1281</v>
      </c>
      <c r="EC32" s="21" t="s">
        <v>1221</v>
      </c>
      <c r="EF32" s="25">
        <v>1</v>
      </c>
      <c r="EG32" s="25">
        <v>0</v>
      </c>
      <c r="EH32" s="25">
        <v>1</v>
      </c>
      <c r="EI32" s="25">
        <v>0</v>
      </c>
      <c r="EJ32" s="25" t="s">
        <v>62</v>
      </c>
      <c r="EK32" s="25" t="s">
        <v>102</v>
      </c>
      <c r="EL32" s="25" t="s">
        <v>102</v>
      </c>
      <c r="EM32" s="25" t="s">
        <v>276</v>
      </c>
      <c r="EN32" s="25" t="s">
        <v>9</v>
      </c>
      <c r="EO32" s="25" t="s">
        <v>9</v>
      </c>
      <c r="EP32" s="25" t="s">
        <v>62</v>
      </c>
      <c r="EQ32" s="25" t="s">
        <v>62</v>
      </c>
      <c r="ER32" s="25" t="s">
        <v>278</v>
      </c>
      <c r="ES32" s="25" t="s">
        <v>278</v>
      </c>
      <c r="ET32" s="25">
        <v>1</v>
      </c>
      <c r="EU32" s="25" t="s">
        <v>522</v>
      </c>
      <c r="EV32" s="25" t="s">
        <v>102</v>
      </c>
      <c r="EW32" s="25" t="s">
        <v>9</v>
      </c>
      <c r="EX32" s="25" t="s">
        <v>278</v>
      </c>
      <c r="EY32" s="20" t="e">
        <v>#N/A</v>
      </c>
    </row>
    <row r="33" spans="1:155">
      <c r="A33" s="21" t="s">
        <v>491</v>
      </c>
      <c r="B33" s="21" t="s">
        <v>491</v>
      </c>
      <c r="C33" s="21" t="s">
        <v>492</v>
      </c>
      <c r="D33" s="21" t="s">
        <v>493</v>
      </c>
      <c r="E33" s="21" t="s">
        <v>493</v>
      </c>
      <c r="F33" s="21" t="s">
        <v>493</v>
      </c>
      <c r="G33" s="21" t="s">
        <v>1282</v>
      </c>
      <c r="H33" s="21" t="s">
        <v>494</v>
      </c>
      <c r="I33" s="21">
        <v>11949711115</v>
      </c>
      <c r="J33" s="21" t="s">
        <v>1283</v>
      </c>
      <c r="L33" s="21" t="s">
        <v>495</v>
      </c>
      <c r="M33" s="21" t="s">
        <v>1284</v>
      </c>
      <c r="N33" s="21" t="s">
        <v>1103</v>
      </c>
      <c r="O33" s="21" t="s">
        <v>93</v>
      </c>
      <c r="P33" s="21" t="s">
        <v>539</v>
      </c>
      <c r="Q33" s="21" t="s">
        <v>1168</v>
      </c>
      <c r="R33" s="21" t="s">
        <v>1104</v>
      </c>
      <c r="S33" s="21" t="s">
        <v>559</v>
      </c>
      <c r="V33" s="21" t="s">
        <v>277</v>
      </c>
      <c r="W33" s="21" t="s">
        <v>524</v>
      </c>
      <c r="X33" s="21" t="s">
        <v>525</v>
      </c>
      <c r="Y33" s="21" t="s">
        <v>530</v>
      </c>
      <c r="Z33" s="21">
        <v>3035233037</v>
      </c>
      <c r="AA33" s="22">
        <v>42730</v>
      </c>
      <c r="AB33" s="22">
        <v>42732</v>
      </c>
      <c r="AC33" s="21" t="s">
        <v>504</v>
      </c>
      <c r="AD33" s="21" t="s">
        <v>505</v>
      </c>
      <c r="AE33" s="21" t="s">
        <v>1054</v>
      </c>
      <c r="AF33" s="21" t="s">
        <v>1105</v>
      </c>
      <c r="AG33" s="21" t="s">
        <v>1285</v>
      </c>
      <c r="AH33" s="21" t="s">
        <v>1286</v>
      </c>
      <c r="AI33" s="21" t="s">
        <v>1287</v>
      </c>
      <c r="AJ33" s="21" t="s">
        <v>526</v>
      </c>
      <c r="AK33" s="21" t="s">
        <v>494</v>
      </c>
      <c r="AL33" s="21" t="s">
        <v>527</v>
      </c>
      <c r="AM33" s="21" t="s">
        <v>527</v>
      </c>
      <c r="AN33" s="21" t="s">
        <v>527</v>
      </c>
      <c r="AO33" s="21" t="s">
        <v>528</v>
      </c>
      <c r="AS33" s="21" t="s">
        <v>511</v>
      </c>
      <c r="AT33" s="21" t="s">
        <v>512</v>
      </c>
      <c r="AW33" s="21">
        <v>0</v>
      </c>
      <c r="AX33" s="21">
        <v>16</v>
      </c>
      <c r="AY33" s="22"/>
      <c r="BB33" s="22"/>
      <c r="BC33" s="21" t="s">
        <v>513</v>
      </c>
      <c r="BD33" s="21" t="s">
        <v>514</v>
      </c>
      <c r="BE33" s="21" t="s">
        <v>514</v>
      </c>
      <c r="BF33" s="21" t="s">
        <v>515</v>
      </c>
      <c r="BG33" s="21">
        <v>1</v>
      </c>
      <c r="BH33" s="21" t="s">
        <v>516</v>
      </c>
      <c r="BI33" s="21" t="s">
        <v>517</v>
      </c>
      <c r="BJ33" s="21" t="s">
        <v>516</v>
      </c>
      <c r="BK33" s="21" t="s">
        <v>516</v>
      </c>
      <c r="BM33" s="21" t="s">
        <v>1288</v>
      </c>
      <c r="BN33" s="21" t="s">
        <v>234</v>
      </c>
      <c r="BO33" s="21" t="s">
        <v>518</v>
      </c>
      <c r="BP33" s="21" t="s">
        <v>1044</v>
      </c>
      <c r="BQ33" s="21" t="s">
        <v>38</v>
      </c>
      <c r="BR33" s="21" t="s">
        <v>238</v>
      </c>
      <c r="BS33" s="21" t="s">
        <v>518</v>
      </c>
      <c r="BT33" s="21" t="s">
        <v>1044</v>
      </c>
      <c r="BU33" s="21" t="s">
        <v>234</v>
      </c>
      <c r="CD33" s="21" t="s">
        <v>520</v>
      </c>
      <c r="CF33" s="21" t="s">
        <v>521</v>
      </c>
      <c r="DB33" s="24" t="s">
        <v>943</v>
      </c>
      <c r="DC33" s="21">
        <v>1</v>
      </c>
      <c r="DD33" s="21">
        <v>1</v>
      </c>
      <c r="DE33" s="22">
        <v>42738</v>
      </c>
      <c r="DF33" s="21" t="s">
        <v>1289</v>
      </c>
      <c r="DG33" s="21" t="s">
        <v>522</v>
      </c>
      <c r="DH33" s="21" t="s">
        <v>1290</v>
      </c>
      <c r="DI33" s="21" t="s">
        <v>495</v>
      </c>
      <c r="DJ33" s="21" t="s">
        <v>523</v>
      </c>
      <c r="DL33" s="22">
        <v>42744</v>
      </c>
      <c r="DM33" s="22">
        <v>42734</v>
      </c>
      <c r="DN33" s="21">
        <v>1100</v>
      </c>
      <c r="DO33" s="21">
        <v>10</v>
      </c>
      <c r="DP33" s="21">
        <v>1</v>
      </c>
      <c r="DQ33" s="21">
        <v>2</v>
      </c>
      <c r="DR33" s="21">
        <v>7</v>
      </c>
      <c r="DS33" s="21">
        <v>10</v>
      </c>
      <c r="DT33" s="21">
        <v>10</v>
      </c>
      <c r="DU33" s="21">
        <v>10</v>
      </c>
      <c r="DW33" s="21">
        <v>6</v>
      </c>
      <c r="EA33" s="21">
        <v>10</v>
      </c>
      <c r="EF33" s="25">
        <v>1</v>
      </c>
      <c r="EG33" s="25">
        <v>0</v>
      </c>
      <c r="EH33" s="25">
        <v>1</v>
      </c>
      <c r="EI33" s="25">
        <v>0</v>
      </c>
      <c r="EJ33" s="25" t="s">
        <v>92</v>
      </c>
      <c r="EK33" s="25" t="s">
        <v>235</v>
      </c>
      <c r="EL33" s="25" t="s">
        <v>239</v>
      </c>
      <c r="EM33" s="25" t="s">
        <v>276</v>
      </c>
      <c r="EN33" s="25" t="s">
        <v>39</v>
      </c>
      <c r="EO33" s="25" t="s">
        <v>39</v>
      </c>
      <c r="EP33" s="25" t="s">
        <v>92</v>
      </c>
      <c r="EQ33" s="25" t="s">
        <v>529</v>
      </c>
      <c r="ER33" s="25" t="s">
        <v>278</v>
      </c>
      <c r="ES33" s="25" t="s">
        <v>278</v>
      </c>
      <c r="ET33" s="25">
        <v>1</v>
      </c>
      <c r="EU33" s="25" t="s">
        <v>522</v>
      </c>
      <c r="EV33" s="25" t="s">
        <v>279</v>
      </c>
      <c r="EW33" s="25" t="s">
        <v>279</v>
      </c>
      <c r="EX33" s="25" t="s">
        <v>279</v>
      </c>
      <c r="EY33" s="20" t="e">
        <v>#N/A</v>
      </c>
    </row>
    <row r="34" spans="1:155">
      <c r="A34" s="21" t="s">
        <v>491</v>
      </c>
      <c r="B34" s="21" t="s">
        <v>491</v>
      </c>
      <c r="C34" s="21" t="s">
        <v>492</v>
      </c>
      <c r="D34" s="21" t="s">
        <v>493</v>
      </c>
      <c r="E34" s="21" t="s">
        <v>493</v>
      </c>
      <c r="F34" s="21" t="s">
        <v>493</v>
      </c>
      <c r="G34" s="21" t="s">
        <v>1291</v>
      </c>
      <c r="H34" s="21">
        <v>1145264769</v>
      </c>
      <c r="I34" s="21" t="s">
        <v>494</v>
      </c>
      <c r="J34" s="21" t="s">
        <v>1292</v>
      </c>
      <c r="L34" s="21" t="s">
        <v>495</v>
      </c>
      <c r="M34" s="21" t="s">
        <v>1293</v>
      </c>
      <c r="N34" s="21" t="s">
        <v>496</v>
      </c>
      <c r="O34" s="21" t="s">
        <v>69</v>
      </c>
      <c r="P34" s="21" t="s">
        <v>497</v>
      </c>
      <c r="R34" s="21" t="s">
        <v>498</v>
      </c>
      <c r="S34" s="21" t="s">
        <v>499</v>
      </c>
      <c r="V34" s="21" t="s">
        <v>500</v>
      </c>
      <c r="W34" s="21" t="s">
        <v>501</v>
      </c>
      <c r="X34" s="21" t="s">
        <v>502</v>
      </c>
      <c r="Y34" s="21" t="s">
        <v>503</v>
      </c>
      <c r="Z34" s="21">
        <v>3035295081</v>
      </c>
      <c r="AA34" s="22">
        <v>42732</v>
      </c>
      <c r="AB34" s="22">
        <v>42732</v>
      </c>
      <c r="AC34" s="21" t="s">
        <v>504</v>
      </c>
      <c r="AD34" s="21" t="s">
        <v>505</v>
      </c>
      <c r="AE34" s="21" t="s">
        <v>500</v>
      </c>
      <c r="AF34" s="21" t="s">
        <v>506</v>
      </c>
      <c r="AG34" s="21" t="s">
        <v>1079</v>
      </c>
      <c r="AH34" s="21" t="s">
        <v>1080</v>
      </c>
      <c r="AI34" s="21" t="s">
        <v>1294</v>
      </c>
      <c r="AJ34" s="21" t="s">
        <v>507</v>
      </c>
      <c r="AK34" s="21" t="s">
        <v>494</v>
      </c>
      <c r="AL34" s="21" t="s">
        <v>527</v>
      </c>
      <c r="AM34" s="21" t="s">
        <v>527</v>
      </c>
      <c r="AN34" s="21" t="s">
        <v>527</v>
      </c>
      <c r="AO34" s="21" t="s">
        <v>528</v>
      </c>
      <c r="AS34" s="21" t="s">
        <v>511</v>
      </c>
      <c r="AT34" s="21" t="s">
        <v>512</v>
      </c>
      <c r="AW34" s="21">
        <v>0</v>
      </c>
      <c r="AX34" s="21">
        <v>2</v>
      </c>
      <c r="BC34" s="21" t="s">
        <v>513</v>
      </c>
      <c r="BD34" s="21" t="s">
        <v>514</v>
      </c>
      <c r="BE34" s="21" t="s">
        <v>514</v>
      </c>
      <c r="BF34" s="21" t="s">
        <v>515</v>
      </c>
      <c r="BG34" s="21">
        <v>1</v>
      </c>
      <c r="BH34" s="21" t="s">
        <v>516</v>
      </c>
      <c r="BI34" s="21" t="s">
        <v>517</v>
      </c>
      <c r="BJ34" s="21" t="s">
        <v>516</v>
      </c>
      <c r="BK34" s="21" t="s">
        <v>516</v>
      </c>
      <c r="BM34" s="21" t="s">
        <v>32</v>
      </c>
      <c r="BN34" s="21" t="s">
        <v>202</v>
      </c>
      <c r="BO34" s="21" t="s">
        <v>518</v>
      </c>
      <c r="BP34" s="21" t="s">
        <v>519</v>
      </c>
      <c r="BQ34" s="21" t="s">
        <v>32</v>
      </c>
      <c r="BR34" s="21" t="s">
        <v>202</v>
      </c>
      <c r="BS34" s="21" t="s">
        <v>518</v>
      </c>
      <c r="BT34" s="21" t="s">
        <v>519</v>
      </c>
      <c r="BU34" s="21" t="s">
        <v>202</v>
      </c>
      <c r="CD34" s="21" t="s">
        <v>520</v>
      </c>
      <c r="CF34" s="21" t="s">
        <v>521</v>
      </c>
      <c r="DB34" s="24" t="s">
        <v>943</v>
      </c>
      <c r="DC34" s="21">
        <v>1</v>
      </c>
      <c r="DD34" s="21">
        <v>1</v>
      </c>
      <c r="DE34" s="22">
        <v>42738</v>
      </c>
      <c r="DF34" s="21" t="s">
        <v>1295</v>
      </c>
      <c r="DG34" s="21" t="s">
        <v>522</v>
      </c>
      <c r="DH34" s="21" t="s">
        <v>1296</v>
      </c>
      <c r="DI34" s="21" t="s">
        <v>495</v>
      </c>
      <c r="DJ34" s="21" t="s">
        <v>523</v>
      </c>
      <c r="DL34" s="22">
        <v>42744</v>
      </c>
      <c r="DM34" s="22">
        <v>42734</v>
      </c>
      <c r="DN34" s="21">
        <v>3100</v>
      </c>
      <c r="DO34" s="21">
        <v>9</v>
      </c>
      <c r="DP34" s="21">
        <v>1</v>
      </c>
      <c r="DQ34" s="21">
        <v>1</v>
      </c>
      <c r="DR34" s="21">
        <v>6</v>
      </c>
      <c r="DS34" s="21">
        <v>9</v>
      </c>
      <c r="DT34" s="21">
        <v>7</v>
      </c>
      <c r="DU34" s="21">
        <v>8</v>
      </c>
      <c r="DW34" s="21">
        <v>8</v>
      </c>
      <c r="EA34" s="21">
        <v>9</v>
      </c>
      <c r="EF34" s="25">
        <v>1</v>
      </c>
      <c r="EG34" s="25">
        <v>0</v>
      </c>
      <c r="EH34" s="25">
        <v>1</v>
      </c>
      <c r="EI34" s="25">
        <v>0</v>
      </c>
      <c r="EJ34" s="25" t="s">
        <v>62</v>
      </c>
      <c r="EK34" s="25" t="s">
        <v>203</v>
      </c>
      <c r="EL34" s="25" t="s">
        <v>203</v>
      </c>
      <c r="EM34" s="25" t="s">
        <v>276</v>
      </c>
      <c r="EN34" s="25" t="s">
        <v>31</v>
      </c>
      <c r="EO34" s="25" t="s">
        <v>31</v>
      </c>
      <c r="EP34" s="25" t="s">
        <v>62</v>
      </c>
      <c r="EQ34" s="25" t="s">
        <v>62</v>
      </c>
      <c r="ER34" s="25" t="s">
        <v>278</v>
      </c>
      <c r="ES34" s="25" t="s">
        <v>278</v>
      </c>
      <c r="ET34" s="25">
        <v>1</v>
      </c>
      <c r="EU34" s="25" t="s">
        <v>522</v>
      </c>
      <c r="EV34" s="25" t="s">
        <v>203</v>
      </c>
      <c r="EW34" s="25" t="s">
        <v>31</v>
      </c>
      <c r="EX34" s="25" t="s">
        <v>278</v>
      </c>
      <c r="EY34" s="20" t="e">
        <v>#N/A</v>
      </c>
    </row>
    <row r="35" spans="1:155">
      <c r="A35" s="21" t="s">
        <v>491</v>
      </c>
      <c r="B35" s="21" t="s">
        <v>491</v>
      </c>
      <c r="C35" s="21" t="s">
        <v>492</v>
      </c>
      <c r="D35" s="21" t="s">
        <v>493</v>
      </c>
      <c r="E35" s="21" t="s">
        <v>493</v>
      </c>
      <c r="F35" s="21" t="s">
        <v>493</v>
      </c>
      <c r="G35" s="21" t="s">
        <v>1297</v>
      </c>
      <c r="H35" s="21">
        <v>6235183498</v>
      </c>
      <c r="I35" s="21" t="s">
        <v>494</v>
      </c>
      <c r="J35" s="21" t="s">
        <v>1298</v>
      </c>
      <c r="L35" s="21" t="s">
        <v>495</v>
      </c>
      <c r="M35" s="21" t="s">
        <v>1299</v>
      </c>
      <c r="N35" s="21" t="s">
        <v>1300</v>
      </c>
      <c r="O35" s="21" t="s">
        <v>93</v>
      </c>
      <c r="P35" s="21" t="s">
        <v>539</v>
      </c>
      <c r="Q35" s="21" t="s">
        <v>1301</v>
      </c>
      <c r="R35" s="21" t="s">
        <v>1302</v>
      </c>
      <c r="S35" s="21" t="s">
        <v>1303</v>
      </c>
      <c r="V35" s="21" t="s">
        <v>277</v>
      </c>
      <c r="W35" s="21" t="s">
        <v>524</v>
      </c>
      <c r="X35" s="21" t="s">
        <v>525</v>
      </c>
      <c r="Y35" s="21" t="s">
        <v>530</v>
      </c>
      <c r="Z35" s="21">
        <v>3035214920</v>
      </c>
      <c r="AA35" s="22">
        <v>42728</v>
      </c>
      <c r="AB35" s="22">
        <v>42732</v>
      </c>
      <c r="AC35" s="21" t="s">
        <v>504</v>
      </c>
      <c r="AD35" s="21" t="s">
        <v>505</v>
      </c>
      <c r="AE35" s="21" t="s">
        <v>1156</v>
      </c>
      <c r="AF35" s="21" t="s">
        <v>1304</v>
      </c>
      <c r="AG35" s="21" t="s">
        <v>1305</v>
      </c>
      <c r="AH35" s="21" t="s">
        <v>1306</v>
      </c>
      <c r="AI35" s="21" t="s">
        <v>1307</v>
      </c>
      <c r="AJ35" s="21" t="s">
        <v>507</v>
      </c>
      <c r="AK35" s="21" t="s">
        <v>494</v>
      </c>
      <c r="AL35" s="21" t="s">
        <v>527</v>
      </c>
      <c r="AM35" s="21" t="s">
        <v>527</v>
      </c>
      <c r="AN35" s="21" t="s">
        <v>527</v>
      </c>
      <c r="AO35" s="21" t="s">
        <v>528</v>
      </c>
      <c r="AS35" s="21" t="s">
        <v>511</v>
      </c>
      <c r="AT35" s="21" t="s">
        <v>512</v>
      </c>
      <c r="AW35" s="21">
        <v>0</v>
      </c>
      <c r="AX35" s="21">
        <v>11</v>
      </c>
      <c r="BC35" s="21" t="s">
        <v>513</v>
      </c>
      <c r="BD35" s="21" t="s">
        <v>514</v>
      </c>
      <c r="BE35" s="21" t="s">
        <v>514</v>
      </c>
      <c r="BF35" s="21" t="s">
        <v>515</v>
      </c>
      <c r="BG35" s="21">
        <v>1</v>
      </c>
      <c r="BH35" s="21" t="s">
        <v>516</v>
      </c>
      <c r="BI35" s="21" t="s">
        <v>517</v>
      </c>
      <c r="BJ35" s="21" t="s">
        <v>516</v>
      </c>
      <c r="BK35" s="21" t="s">
        <v>516</v>
      </c>
      <c r="BM35" s="21" t="s">
        <v>42</v>
      </c>
      <c r="BN35" s="21" t="s">
        <v>246</v>
      </c>
      <c r="BO35" s="21" t="s">
        <v>518</v>
      </c>
      <c r="BP35" s="21" t="s">
        <v>519</v>
      </c>
      <c r="BQ35" s="21" t="s">
        <v>38</v>
      </c>
      <c r="BR35" s="21" t="s">
        <v>238</v>
      </c>
      <c r="BS35" s="21" t="s">
        <v>518</v>
      </c>
      <c r="BT35" s="21" t="s">
        <v>1044</v>
      </c>
      <c r="BU35" s="21" t="s">
        <v>246</v>
      </c>
      <c r="CD35" s="21" t="s">
        <v>520</v>
      </c>
      <c r="CF35" s="21" t="s">
        <v>521</v>
      </c>
      <c r="DB35" s="24" t="s">
        <v>943</v>
      </c>
      <c r="DC35" s="21">
        <v>1</v>
      </c>
      <c r="DD35" s="21">
        <v>1</v>
      </c>
      <c r="DE35" s="22">
        <v>42738</v>
      </c>
      <c r="DF35" s="21" t="s">
        <v>1308</v>
      </c>
      <c r="DG35" s="21" t="s">
        <v>522</v>
      </c>
      <c r="DH35" s="21" t="s">
        <v>1309</v>
      </c>
      <c r="DI35" s="21" t="s">
        <v>495</v>
      </c>
      <c r="DJ35" s="21" t="s">
        <v>523</v>
      </c>
      <c r="DL35" s="22">
        <v>42744</v>
      </c>
      <c r="DM35" s="22">
        <v>42734</v>
      </c>
      <c r="DN35" s="21">
        <v>1100</v>
      </c>
      <c r="DO35" s="21">
        <v>9</v>
      </c>
      <c r="DP35" s="21">
        <v>1</v>
      </c>
      <c r="DQ35" s="21">
        <v>2</v>
      </c>
      <c r="DR35" s="21">
        <v>6</v>
      </c>
      <c r="DS35" s="21">
        <v>9</v>
      </c>
      <c r="DT35" s="21">
        <v>8</v>
      </c>
      <c r="DU35" s="21">
        <v>5</v>
      </c>
      <c r="DW35" s="21">
        <v>7</v>
      </c>
      <c r="EA35" s="21">
        <v>6</v>
      </c>
      <c r="EB35" s="21" t="s">
        <v>1310</v>
      </c>
      <c r="EC35" s="21" t="s">
        <v>1002</v>
      </c>
      <c r="EF35" s="25">
        <v>0</v>
      </c>
      <c r="EG35" s="25">
        <v>1</v>
      </c>
      <c r="EH35" s="25">
        <v>1</v>
      </c>
      <c r="EI35" s="25">
        <v>0</v>
      </c>
      <c r="EJ35" s="25" t="s">
        <v>92</v>
      </c>
      <c r="EK35" s="25" t="s">
        <v>247</v>
      </c>
      <c r="EL35" s="25" t="s">
        <v>239</v>
      </c>
      <c r="EM35" s="25" t="s">
        <v>276</v>
      </c>
      <c r="EN35" s="25" t="s">
        <v>39</v>
      </c>
      <c r="EO35" s="25" t="s">
        <v>39</v>
      </c>
      <c r="EP35" s="25" t="s">
        <v>92</v>
      </c>
      <c r="EQ35" s="25" t="s">
        <v>529</v>
      </c>
      <c r="ER35" s="25" t="s">
        <v>278</v>
      </c>
      <c r="ES35" s="25" t="s">
        <v>278</v>
      </c>
      <c r="ET35" s="25">
        <v>1</v>
      </c>
      <c r="EU35" s="25" t="s">
        <v>522</v>
      </c>
      <c r="EV35" s="25" t="s">
        <v>279</v>
      </c>
      <c r="EW35" s="25" t="s">
        <v>279</v>
      </c>
      <c r="EX35" s="25" t="s">
        <v>279</v>
      </c>
      <c r="EY35" s="20" t="e">
        <v>#N/A</v>
      </c>
    </row>
    <row r="36" spans="1:155">
      <c r="A36" s="21" t="s">
        <v>491</v>
      </c>
      <c r="B36" s="21" t="s">
        <v>491</v>
      </c>
      <c r="C36" s="21" t="s">
        <v>492</v>
      </c>
      <c r="D36" s="21" t="s">
        <v>493</v>
      </c>
      <c r="E36" s="21" t="s">
        <v>493</v>
      </c>
      <c r="F36" s="21" t="s">
        <v>493</v>
      </c>
      <c r="G36" s="21" t="s">
        <v>1311</v>
      </c>
      <c r="H36" s="21">
        <v>1938622553</v>
      </c>
      <c r="I36" s="21" t="s">
        <v>494</v>
      </c>
      <c r="J36" s="21" t="s">
        <v>1312</v>
      </c>
      <c r="L36" s="21" t="s">
        <v>495</v>
      </c>
      <c r="M36" s="21" t="s">
        <v>1313</v>
      </c>
      <c r="N36" s="21" t="s">
        <v>496</v>
      </c>
      <c r="O36" s="21" t="s">
        <v>69</v>
      </c>
      <c r="P36" s="21" t="s">
        <v>497</v>
      </c>
      <c r="R36" s="21" t="s">
        <v>498</v>
      </c>
      <c r="S36" s="21" t="s">
        <v>499</v>
      </c>
      <c r="V36" s="21" t="s">
        <v>500</v>
      </c>
      <c r="W36" s="21" t="s">
        <v>501</v>
      </c>
      <c r="X36" s="21" t="s">
        <v>502</v>
      </c>
      <c r="Y36" s="21" t="s">
        <v>503</v>
      </c>
      <c r="Z36" s="21">
        <v>3035325253</v>
      </c>
      <c r="AA36" s="22">
        <v>42733</v>
      </c>
      <c r="AB36" s="22">
        <v>42733</v>
      </c>
      <c r="AC36" s="21" t="s">
        <v>504</v>
      </c>
      <c r="AD36" s="21" t="s">
        <v>505</v>
      </c>
      <c r="AE36" s="21" t="s">
        <v>1020</v>
      </c>
      <c r="AF36" s="21" t="s">
        <v>1314</v>
      </c>
      <c r="AG36" s="21" t="s">
        <v>1315</v>
      </c>
      <c r="AH36" s="21" t="s">
        <v>1316</v>
      </c>
      <c r="AI36" s="21" t="s">
        <v>1317</v>
      </c>
      <c r="AJ36" s="21" t="s">
        <v>526</v>
      </c>
      <c r="AK36" s="21" t="s">
        <v>494</v>
      </c>
      <c r="AL36" s="21" t="s">
        <v>527</v>
      </c>
      <c r="AM36" s="21" t="s">
        <v>527</v>
      </c>
      <c r="AN36" s="21" t="s">
        <v>527</v>
      </c>
      <c r="AO36" s="21" t="s">
        <v>528</v>
      </c>
      <c r="AS36" s="21" t="s">
        <v>511</v>
      </c>
      <c r="AT36" s="21" t="s">
        <v>512</v>
      </c>
      <c r="AW36" s="21">
        <v>0</v>
      </c>
      <c r="AX36" s="21">
        <v>2</v>
      </c>
      <c r="BC36" s="21" t="s">
        <v>513</v>
      </c>
      <c r="BD36" s="21" t="s">
        <v>514</v>
      </c>
      <c r="BE36" s="21" t="s">
        <v>514</v>
      </c>
      <c r="BF36" s="21" t="s">
        <v>515</v>
      </c>
      <c r="BG36" s="21">
        <v>1</v>
      </c>
      <c r="BH36" s="21" t="s">
        <v>516</v>
      </c>
      <c r="BI36" s="21" t="s">
        <v>517</v>
      </c>
      <c r="BJ36" s="21" t="s">
        <v>516</v>
      </c>
      <c r="BK36" s="21" t="s">
        <v>516</v>
      </c>
      <c r="BM36" s="21" t="s">
        <v>14</v>
      </c>
      <c r="BN36" s="21" t="s">
        <v>133</v>
      </c>
      <c r="BO36" s="21" t="s">
        <v>518</v>
      </c>
      <c r="BP36" s="21" t="s">
        <v>519</v>
      </c>
      <c r="BQ36" s="21" t="s">
        <v>14</v>
      </c>
      <c r="BR36" s="21" t="s">
        <v>133</v>
      </c>
      <c r="BS36" s="21" t="s">
        <v>518</v>
      </c>
      <c r="BT36" s="21" t="s">
        <v>519</v>
      </c>
      <c r="BU36" s="21" t="s">
        <v>133</v>
      </c>
      <c r="CD36" s="21" t="s">
        <v>520</v>
      </c>
      <c r="CF36" s="21" t="s">
        <v>521</v>
      </c>
      <c r="DB36" s="24" t="s">
        <v>943</v>
      </c>
      <c r="DC36" s="21">
        <v>1</v>
      </c>
      <c r="DD36" s="21">
        <v>1</v>
      </c>
      <c r="DE36" s="22">
        <v>42738</v>
      </c>
      <c r="DF36" s="21" t="s">
        <v>1318</v>
      </c>
      <c r="DG36" s="21" t="s">
        <v>522</v>
      </c>
      <c r="DH36" s="21" t="s">
        <v>1319</v>
      </c>
      <c r="DI36" s="21" t="s">
        <v>495</v>
      </c>
      <c r="DJ36" s="21" t="s">
        <v>520</v>
      </c>
      <c r="DL36" s="22">
        <v>42745</v>
      </c>
      <c r="DM36" s="22">
        <v>42735</v>
      </c>
      <c r="DN36" s="21">
        <v>3100</v>
      </c>
      <c r="DO36" s="21">
        <v>10</v>
      </c>
      <c r="DP36" s="21">
        <v>1</v>
      </c>
      <c r="DQ36" s="21">
        <v>1</v>
      </c>
      <c r="DR36" s="21">
        <v>7</v>
      </c>
      <c r="DS36" s="21">
        <v>10</v>
      </c>
      <c r="DT36" s="21">
        <v>10</v>
      </c>
      <c r="DU36" s="21">
        <v>10</v>
      </c>
      <c r="DW36" s="21">
        <v>10</v>
      </c>
      <c r="EA36" s="21">
        <v>9</v>
      </c>
      <c r="EF36" s="25">
        <v>1</v>
      </c>
      <c r="EG36" s="25">
        <v>0</v>
      </c>
      <c r="EH36" s="25">
        <v>1</v>
      </c>
      <c r="EI36" s="25">
        <v>0</v>
      </c>
      <c r="EJ36" s="25" t="s">
        <v>62</v>
      </c>
      <c r="EK36" s="25" t="s">
        <v>134</v>
      </c>
      <c r="EL36" s="25" t="s">
        <v>134</v>
      </c>
      <c r="EM36" s="25" t="s">
        <v>276</v>
      </c>
      <c r="EN36" s="25" t="s">
        <v>9</v>
      </c>
      <c r="EO36" s="25" t="s">
        <v>9</v>
      </c>
      <c r="EP36" s="25" t="s">
        <v>62</v>
      </c>
      <c r="EQ36" s="25" t="s">
        <v>62</v>
      </c>
      <c r="ER36" s="25" t="s">
        <v>278</v>
      </c>
      <c r="ES36" s="25" t="s">
        <v>278</v>
      </c>
      <c r="ET36" s="25">
        <v>1</v>
      </c>
      <c r="EU36" s="25" t="s">
        <v>522</v>
      </c>
      <c r="EV36" s="25" t="s">
        <v>134</v>
      </c>
      <c r="EW36" s="25" t="s">
        <v>9</v>
      </c>
      <c r="EX36" s="25" t="s">
        <v>278</v>
      </c>
      <c r="EY36" s="20" t="e">
        <v>#N/A</v>
      </c>
    </row>
    <row r="37" spans="1:155">
      <c r="A37" s="21" t="s">
        <v>491</v>
      </c>
      <c r="B37" s="21" t="s">
        <v>491</v>
      </c>
      <c r="C37" s="21" t="s">
        <v>492</v>
      </c>
      <c r="D37" s="21" t="s">
        <v>493</v>
      </c>
      <c r="E37" s="21" t="s">
        <v>493</v>
      </c>
      <c r="F37" s="21" t="s">
        <v>493</v>
      </c>
      <c r="G37" s="21" t="s">
        <v>1320</v>
      </c>
      <c r="H37" s="21">
        <v>4133543962</v>
      </c>
      <c r="I37" s="21" t="s">
        <v>494</v>
      </c>
      <c r="J37" s="21" t="s">
        <v>1321</v>
      </c>
      <c r="L37" s="21" t="s">
        <v>495</v>
      </c>
      <c r="M37" s="21" t="s">
        <v>1322</v>
      </c>
      <c r="N37" s="21" t="s">
        <v>496</v>
      </c>
      <c r="O37" s="21" t="s">
        <v>69</v>
      </c>
      <c r="P37" s="21" t="s">
        <v>497</v>
      </c>
      <c r="R37" s="21" t="s">
        <v>498</v>
      </c>
      <c r="S37" s="21" t="s">
        <v>499</v>
      </c>
      <c r="V37" s="21" t="s">
        <v>500</v>
      </c>
      <c r="W37" s="21" t="s">
        <v>501</v>
      </c>
      <c r="X37" s="21" t="s">
        <v>502</v>
      </c>
      <c r="Y37" s="21" t="s">
        <v>503</v>
      </c>
      <c r="Z37" s="21">
        <v>3035327301</v>
      </c>
      <c r="AA37" s="22">
        <v>42733</v>
      </c>
      <c r="AB37" s="22">
        <v>42733</v>
      </c>
      <c r="AC37" s="21" t="s">
        <v>504</v>
      </c>
      <c r="AD37" s="21" t="s">
        <v>505</v>
      </c>
      <c r="AE37" s="21" t="s">
        <v>500</v>
      </c>
      <c r="AF37" s="21" t="s">
        <v>506</v>
      </c>
      <c r="AG37" s="21" t="s">
        <v>1323</v>
      </c>
      <c r="AH37" s="21" t="s">
        <v>1324</v>
      </c>
      <c r="AI37" s="21" t="s">
        <v>1325</v>
      </c>
      <c r="AJ37" s="21" t="s">
        <v>507</v>
      </c>
      <c r="AK37" s="21" t="s">
        <v>494</v>
      </c>
      <c r="AL37" s="21" t="s">
        <v>527</v>
      </c>
      <c r="AM37" s="21" t="s">
        <v>527</v>
      </c>
      <c r="AN37" s="21" t="s">
        <v>527</v>
      </c>
      <c r="AO37" s="21" t="s">
        <v>528</v>
      </c>
      <c r="AS37" s="21" t="s">
        <v>511</v>
      </c>
      <c r="AT37" s="21" t="s">
        <v>512</v>
      </c>
      <c r="AW37" s="21">
        <v>0</v>
      </c>
      <c r="AX37" s="21">
        <v>2</v>
      </c>
      <c r="BC37" s="21" t="s">
        <v>513</v>
      </c>
      <c r="BD37" s="21" t="s">
        <v>514</v>
      </c>
      <c r="BE37" s="21" t="s">
        <v>514</v>
      </c>
      <c r="BF37" s="21" t="s">
        <v>515</v>
      </c>
      <c r="BG37" s="21">
        <v>1</v>
      </c>
      <c r="BH37" s="21" t="s">
        <v>516</v>
      </c>
      <c r="BI37" s="21" t="s">
        <v>517</v>
      </c>
      <c r="BJ37" s="21" t="s">
        <v>516</v>
      </c>
      <c r="BK37" s="21" t="s">
        <v>516</v>
      </c>
      <c r="BM37" s="21" t="s">
        <v>11</v>
      </c>
      <c r="BN37" s="21" t="s">
        <v>87</v>
      </c>
      <c r="BO37" s="21" t="s">
        <v>518</v>
      </c>
      <c r="BP37" s="21" t="s">
        <v>519</v>
      </c>
      <c r="BQ37" s="21" t="s">
        <v>11</v>
      </c>
      <c r="BR37" s="21" t="s">
        <v>87</v>
      </c>
      <c r="BS37" s="21" t="s">
        <v>518</v>
      </c>
      <c r="BT37" s="21" t="s">
        <v>519</v>
      </c>
      <c r="BU37" s="21" t="s">
        <v>87</v>
      </c>
      <c r="CD37" s="21" t="s">
        <v>520</v>
      </c>
      <c r="CF37" s="21" t="s">
        <v>521</v>
      </c>
      <c r="DB37" s="24" t="s">
        <v>943</v>
      </c>
      <c r="DC37" s="21">
        <v>1</v>
      </c>
      <c r="DD37" s="21">
        <v>1</v>
      </c>
      <c r="DE37" s="22">
        <v>42738</v>
      </c>
      <c r="DF37" s="21" t="s">
        <v>1326</v>
      </c>
      <c r="DG37" s="21" t="s">
        <v>522</v>
      </c>
      <c r="DH37" s="21" t="s">
        <v>1327</v>
      </c>
      <c r="DI37" s="21" t="s">
        <v>495</v>
      </c>
      <c r="DJ37" s="21" t="s">
        <v>520</v>
      </c>
      <c r="DL37" s="22">
        <v>42745</v>
      </c>
      <c r="DM37" s="22">
        <v>42735</v>
      </c>
      <c r="DN37" s="21">
        <v>3100</v>
      </c>
      <c r="DO37" s="21">
        <v>10</v>
      </c>
      <c r="DP37" s="21">
        <v>1</v>
      </c>
      <c r="DQ37" s="21">
        <v>1</v>
      </c>
      <c r="DR37" s="21">
        <v>6</v>
      </c>
      <c r="DS37" s="21">
        <v>10</v>
      </c>
      <c r="DT37" s="21">
        <v>10</v>
      </c>
      <c r="DU37" s="21">
        <v>10</v>
      </c>
      <c r="DW37" s="21">
        <v>10</v>
      </c>
      <c r="EA37" s="21">
        <v>9</v>
      </c>
      <c r="EB37" s="21" t="s">
        <v>1328</v>
      </c>
      <c r="EC37" s="21" t="s">
        <v>1382</v>
      </c>
      <c r="EF37" s="25">
        <v>1</v>
      </c>
      <c r="EG37" s="25">
        <v>0</v>
      </c>
      <c r="EH37" s="25">
        <v>1</v>
      </c>
      <c r="EI37" s="25">
        <v>0</v>
      </c>
      <c r="EJ37" s="25" t="s">
        <v>62</v>
      </c>
      <c r="EK37" s="25" t="s">
        <v>88</v>
      </c>
      <c r="EL37" s="25" t="s">
        <v>88</v>
      </c>
      <c r="EM37" s="25" t="s">
        <v>276</v>
      </c>
      <c r="EN37" s="25" t="s">
        <v>9</v>
      </c>
      <c r="EO37" s="25" t="s">
        <v>9</v>
      </c>
      <c r="EP37" s="25" t="s">
        <v>62</v>
      </c>
      <c r="EQ37" s="25" t="s">
        <v>62</v>
      </c>
      <c r="ER37" s="25" t="s">
        <v>278</v>
      </c>
      <c r="ES37" s="25" t="s">
        <v>278</v>
      </c>
      <c r="ET37" s="25">
        <v>1</v>
      </c>
      <c r="EU37" s="25" t="s">
        <v>522</v>
      </c>
      <c r="EV37" s="25" t="s">
        <v>88</v>
      </c>
      <c r="EW37" s="25" t="s">
        <v>9</v>
      </c>
      <c r="EX37" s="25" t="s">
        <v>278</v>
      </c>
      <c r="EY37" s="20" t="e">
        <v>#N/A</v>
      </c>
    </row>
    <row r="38" spans="1:155">
      <c r="A38" s="21" t="s">
        <v>491</v>
      </c>
      <c r="B38" s="21" t="s">
        <v>491</v>
      </c>
      <c r="C38" s="21" t="s">
        <v>492</v>
      </c>
      <c r="D38" s="21" t="s">
        <v>493</v>
      </c>
      <c r="E38" s="21" t="s">
        <v>493</v>
      </c>
      <c r="F38" s="21" t="s">
        <v>493</v>
      </c>
      <c r="G38" s="21" t="s">
        <v>1329</v>
      </c>
      <c r="H38" s="21">
        <v>75983262095</v>
      </c>
      <c r="I38" s="21" t="s">
        <v>494</v>
      </c>
      <c r="J38" s="21" t="s">
        <v>1330</v>
      </c>
      <c r="L38" s="21" t="s">
        <v>495</v>
      </c>
      <c r="M38" s="21" t="s">
        <v>1331</v>
      </c>
      <c r="N38" s="21" t="s">
        <v>1258</v>
      </c>
      <c r="O38" s="21" t="s">
        <v>69</v>
      </c>
      <c r="P38" s="21" t="s">
        <v>497</v>
      </c>
      <c r="R38" s="21" t="s">
        <v>1259</v>
      </c>
      <c r="S38" s="21" t="s">
        <v>1260</v>
      </c>
      <c r="V38" s="21" t="s">
        <v>500</v>
      </c>
      <c r="W38" s="21" t="s">
        <v>501</v>
      </c>
      <c r="X38" s="21" t="s">
        <v>502</v>
      </c>
      <c r="Y38" s="21" t="s">
        <v>503</v>
      </c>
      <c r="Z38" s="21">
        <v>3035327216</v>
      </c>
      <c r="AA38" s="22">
        <v>42733</v>
      </c>
      <c r="AB38" s="22">
        <v>42733</v>
      </c>
      <c r="AC38" s="21" t="s">
        <v>504</v>
      </c>
      <c r="AD38" s="21" t="s">
        <v>505</v>
      </c>
      <c r="AE38" s="21" t="s">
        <v>500</v>
      </c>
      <c r="AF38" s="21" t="s">
        <v>506</v>
      </c>
      <c r="AG38" s="21" t="s">
        <v>1079</v>
      </c>
      <c r="AH38" s="21" t="s">
        <v>1080</v>
      </c>
      <c r="AI38" s="21" t="s">
        <v>1332</v>
      </c>
      <c r="AJ38" s="21" t="s">
        <v>507</v>
      </c>
      <c r="AK38" s="21" t="s">
        <v>494</v>
      </c>
      <c r="AL38" s="21" t="s">
        <v>508</v>
      </c>
      <c r="AM38" s="21" t="s">
        <v>509</v>
      </c>
      <c r="AN38" s="21" t="s">
        <v>509</v>
      </c>
      <c r="AO38" s="21" t="s">
        <v>510</v>
      </c>
      <c r="AS38" s="21" t="s">
        <v>511</v>
      </c>
      <c r="AT38" s="21" t="s">
        <v>512</v>
      </c>
      <c r="AW38" s="21">
        <v>0</v>
      </c>
      <c r="AX38" s="21">
        <v>3</v>
      </c>
      <c r="AY38" s="22"/>
      <c r="BB38" s="22"/>
      <c r="BC38" s="21" t="s">
        <v>513</v>
      </c>
      <c r="BD38" s="21" t="s">
        <v>514</v>
      </c>
      <c r="BE38" s="21" t="s">
        <v>514</v>
      </c>
      <c r="BF38" s="21" t="s">
        <v>515</v>
      </c>
      <c r="BG38" s="21">
        <v>1</v>
      </c>
      <c r="BH38" s="21" t="s">
        <v>516</v>
      </c>
      <c r="BI38" s="21" t="s">
        <v>517</v>
      </c>
      <c r="BJ38" s="21" t="s">
        <v>516</v>
      </c>
      <c r="BK38" s="21" t="s">
        <v>516</v>
      </c>
      <c r="BM38" s="21" t="s">
        <v>12</v>
      </c>
      <c r="BN38" s="21" t="s">
        <v>67</v>
      </c>
      <c r="BO38" s="21" t="s">
        <v>518</v>
      </c>
      <c r="BP38" s="21" t="s">
        <v>519</v>
      </c>
      <c r="BQ38" s="21" t="s">
        <v>43</v>
      </c>
      <c r="BR38" s="21" t="s">
        <v>230</v>
      </c>
      <c r="BS38" s="21" t="s">
        <v>1333</v>
      </c>
      <c r="BT38" s="21" t="s">
        <v>1334</v>
      </c>
      <c r="BU38" s="21" t="s">
        <v>67</v>
      </c>
      <c r="CD38" s="21" t="s">
        <v>520</v>
      </c>
      <c r="CF38" s="21" t="s">
        <v>521</v>
      </c>
      <c r="DB38" s="24" t="s">
        <v>943</v>
      </c>
      <c r="DC38" s="21">
        <v>1</v>
      </c>
      <c r="DD38" s="21">
        <v>1</v>
      </c>
      <c r="DE38" s="22">
        <v>42738</v>
      </c>
      <c r="DF38" s="21" t="s">
        <v>1335</v>
      </c>
      <c r="DG38" s="21" t="s">
        <v>522</v>
      </c>
      <c r="DH38" s="21" t="s">
        <v>1336</v>
      </c>
      <c r="DI38" s="21" t="s">
        <v>495</v>
      </c>
      <c r="DJ38" s="21" t="s">
        <v>520</v>
      </c>
      <c r="DL38" s="22">
        <v>42745</v>
      </c>
      <c r="DM38" s="22">
        <v>42735</v>
      </c>
      <c r="DN38" s="21">
        <v>3100</v>
      </c>
      <c r="DO38" s="21">
        <v>10</v>
      </c>
      <c r="DP38" s="21">
        <v>1</v>
      </c>
      <c r="DQ38" s="21">
        <v>1</v>
      </c>
      <c r="DR38" s="21">
        <v>7</v>
      </c>
      <c r="DS38" s="21">
        <v>10</v>
      </c>
      <c r="DT38" s="21">
        <v>10</v>
      </c>
      <c r="DU38" s="21">
        <v>10</v>
      </c>
      <c r="DW38" s="21">
        <v>10</v>
      </c>
      <c r="EA38" s="21">
        <v>10</v>
      </c>
      <c r="EF38" s="25">
        <v>1</v>
      </c>
      <c r="EG38" s="25">
        <v>0</v>
      </c>
      <c r="EH38" s="25">
        <v>1</v>
      </c>
      <c r="EI38" s="25">
        <v>0</v>
      </c>
      <c r="EJ38" s="25" t="s">
        <v>62</v>
      </c>
      <c r="EK38" s="25" t="s">
        <v>68</v>
      </c>
      <c r="EL38" s="25" t="s">
        <v>276</v>
      </c>
      <c r="EM38" s="25" t="s">
        <v>276</v>
      </c>
      <c r="EN38" s="25" t="s">
        <v>9</v>
      </c>
      <c r="EO38" s="25" t="s">
        <v>276</v>
      </c>
      <c r="EP38" s="25" t="s">
        <v>62</v>
      </c>
      <c r="EQ38" s="25" t="s">
        <v>276</v>
      </c>
      <c r="ER38" s="25" t="s">
        <v>278</v>
      </c>
      <c r="ES38" s="25" t="s">
        <v>276</v>
      </c>
      <c r="ET38" s="25">
        <v>1</v>
      </c>
      <c r="EU38" s="25" t="s">
        <v>522</v>
      </c>
      <c r="EV38" s="25" t="s">
        <v>279</v>
      </c>
      <c r="EW38" s="25" t="s">
        <v>279</v>
      </c>
      <c r="EX38" s="25" t="s">
        <v>279</v>
      </c>
      <c r="EY38" s="20" t="e">
        <v>#N/A</v>
      </c>
    </row>
    <row r="39" spans="1:155">
      <c r="A39" s="21" t="s">
        <v>491</v>
      </c>
      <c r="B39" s="21" t="s">
        <v>491</v>
      </c>
      <c r="C39" s="21" t="s">
        <v>492</v>
      </c>
      <c r="D39" s="21" t="s">
        <v>493</v>
      </c>
      <c r="E39" s="21" t="s">
        <v>493</v>
      </c>
      <c r="F39" s="21" t="s">
        <v>493</v>
      </c>
      <c r="G39" s="21" t="s">
        <v>1337</v>
      </c>
      <c r="H39" s="21">
        <v>22999555069</v>
      </c>
      <c r="I39" s="21" t="s">
        <v>494</v>
      </c>
      <c r="J39" s="21" t="s">
        <v>1338</v>
      </c>
      <c r="L39" s="21" t="s">
        <v>495</v>
      </c>
      <c r="M39" s="21" t="s">
        <v>1339</v>
      </c>
      <c r="N39" s="21" t="s">
        <v>1134</v>
      </c>
      <c r="O39" s="21" t="s">
        <v>98</v>
      </c>
      <c r="P39" s="21" t="s">
        <v>553</v>
      </c>
      <c r="R39" s="21" t="s">
        <v>588</v>
      </c>
      <c r="S39" s="21" t="s">
        <v>589</v>
      </c>
      <c r="V39" s="21" t="s">
        <v>500</v>
      </c>
      <c r="W39" s="21" t="s">
        <v>501</v>
      </c>
      <c r="X39" s="21" t="s">
        <v>502</v>
      </c>
      <c r="Y39" s="21" t="s">
        <v>554</v>
      </c>
      <c r="Z39" s="21">
        <v>3035326791</v>
      </c>
      <c r="AA39" s="22">
        <v>42733</v>
      </c>
      <c r="AB39" s="22">
        <v>42733</v>
      </c>
      <c r="AC39" s="21" t="s">
        <v>504</v>
      </c>
      <c r="AD39" s="21" t="s">
        <v>505</v>
      </c>
      <c r="AE39" s="21" t="s">
        <v>1020</v>
      </c>
      <c r="AF39" s="21" t="s">
        <v>1021</v>
      </c>
      <c r="AG39" s="21" t="s">
        <v>1340</v>
      </c>
      <c r="AH39" s="21" t="s">
        <v>1341</v>
      </c>
      <c r="AI39" s="21" t="s">
        <v>1342</v>
      </c>
      <c r="AJ39" s="21" t="s">
        <v>507</v>
      </c>
      <c r="AK39" s="21" t="s">
        <v>494</v>
      </c>
      <c r="AL39" s="21" t="s">
        <v>527</v>
      </c>
      <c r="AM39" s="21" t="s">
        <v>527</v>
      </c>
      <c r="AN39" s="21" t="s">
        <v>527</v>
      </c>
      <c r="AO39" s="21" t="s">
        <v>528</v>
      </c>
      <c r="AS39" s="21" t="s">
        <v>511</v>
      </c>
      <c r="AT39" s="21" t="s">
        <v>512</v>
      </c>
      <c r="AW39" s="21">
        <v>0</v>
      </c>
      <c r="AX39" s="21">
        <v>2</v>
      </c>
      <c r="AY39" s="22"/>
      <c r="BB39" s="22"/>
      <c r="BC39" s="21" t="s">
        <v>513</v>
      </c>
      <c r="BD39" s="21" t="s">
        <v>514</v>
      </c>
      <c r="BE39" s="21" t="s">
        <v>514</v>
      </c>
      <c r="BF39" s="21" t="s">
        <v>515</v>
      </c>
      <c r="BG39" s="21">
        <v>1</v>
      </c>
      <c r="BH39" s="21" t="s">
        <v>516</v>
      </c>
      <c r="BI39" s="21" t="s">
        <v>517</v>
      </c>
      <c r="BJ39" s="21" t="s">
        <v>516</v>
      </c>
      <c r="BK39" s="21" t="s">
        <v>516</v>
      </c>
      <c r="BM39" s="21" t="s">
        <v>560</v>
      </c>
      <c r="BN39" s="21" t="s">
        <v>141</v>
      </c>
      <c r="BO39" s="21" t="s">
        <v>518</v>
      </c>
      <c r="BP39" s="21" t="s">
        <v>519</v>
      </c>
      <c r="BQ39" s="21" t="s">
        <v>560</v>
      </c>
      <c r="BR39" s="21" t="s">
        <v>141</v>
      </c>
      <c r="BS39" s="21" t="s">
        <v>518</v>
      </c>
      <c r="BT39" s="21" t="s">
        <v>519</v>
      </c>
      <c r="BU39" s="21" t="s">
        <v>141</v>
      </c>
      <c r="CD39" s="21" t="s">
        <v>520</v>
      </c>
      <c r="CF39" s="21" t="s">
        <v>521</v>
      </c>
      <c r="DB39" s="24" t="s">
        <v>943</v>
      </c>
      <c r="DC39" s="21">
        <v>1</v>
      </c>
      <c r="DD39" s="21">
        <v>1</v>
      </c>
      <c r="DE39" s="22">
        <v>42738</v>
      </c>
      <c r="DF39" s="21" t="s">
        <v>1343</v>
      </c>
      <c r="DG39" s="21" t="s">
        <v>522</v>
      </c>
      <c r="DH39" s="21" t="s">
        <v>1344</v>
      </c>
      <c r="DI39" s="21" t="s">
        <v>495</v>
      </c>
      <c r="DJ39" s="21" t="s">
        <v>520</v>
      </c>
      <c r="DL39" s="22">
        <v>42745</v>
      </c>
      <c r="DM39" s="22">
        <v>42735</v>
      </c>
      <c r="DN39" s="21">
        <v>3100</v>
      </c>
      <c r="DO39" s="21">
        <v>10</v>
      </c>
      <c r="DP39" s="21">
        <v>1</v>
      </c>
      <c r="DQ39" s="21">
        <v>1</v>
      </c>
      <c r="DR39" s="21">
        <v>7</v>
      </c>
      <c r="DS39" s="21">
        <v>10</v>
      </c>
      <c r="DT39" s="21">
        <v>10</v>
      </c>
      <c r="DU39" s="21">
        <v>10</v>
      </c>
      <c r="DW39" s="21">
        <v>10</v>
      </c>
      <c r="EA39" s="21">
        <v>10</v>
      </c>
      <c r="EB39" s="21" t="s">
        <v>1345</v>
      </c>
      <c r="EC39" s="21" t="s">
        <v>1221</v>
      </c>
      <c r="EF39" s="25">
        <v>1</v>
      </c>
      <c r="EG39" s="25">
        <v>0</v>
      </c>
      <c r="EH39" s="25">
        <v>1</v>
      </c>
      <c r="EI39" s="25">
        <v>0</v>
      </c>
      <c r="EJ39" s="25" t="s">
        <v>62</v>
      </c>
      <c r="EK39" s="25" t="s">
        <v>276</v>
      </c>
      <c r="EL39" s="25" t="s">
        <v>276</v>
      </c>
      <c r="EM39" s="25" t="s">
        <v>276</v>
      </c>
      <c r="EN39" s="25" t="s">
        <v>276</v>
      </c>
      <c r="EO39" s="25" t="s">
        <v>276</v>
      </c>
      <c r="EP39" s="25" t="s">
        <v>276</v>
      </c>
      <c r="EQ39" s="25" t="s">
        <v>276</v>
      </c>
      <c r="ER39" s="25" t="s">
        <v>276</v>
      </c>
      <c r="ES39" s="25" t="s">
        <v>276</v>
      </c>
      <c r="ET39" s="25">
        <v>1</v>
      </c>
      <c r="EU39" s="25" t="s">
        <v>522</v>
      </c>
      <c r="EV39" s="25" t="s">
        <v>276</v>
      </c>
      <c r="EW39" s="25" t="s">
        <v>276</v>
      </c>
      <c r="EX39" s="25" t="s">
        <v>276</v>
      </c>
      <c r="EY39" s="20" t="s">
        <v>273</v>
      </c>
    </row>
    <row r="40" spans="1:155">
      <c r="A40" s="21" t="s">
        <v>491</v>
      </c>
      <c r="B40" s="21" t="s">
        <v>491</v>
      </c>
      <c r="C40" s="21" t="s">
        <v>492</v>
      </c>
      <c r="D40" s="21" t="s">
        <v>493</v>
      </c>
      <c r="E40" s="21" t="s">
        <v>493</v>
      </c>
      <c r="F40" s="21" t="s">
        <v>493</v>
      </c>
      <c r="G40" s="21" t="s">
        <v>1346</v>
      </c>
      <c r="H40" s="21" t="s">
        <v>1347</v>
      </c>
      <c r="I40" s="21" t="s">
        <v>494</v>
      </c>
      <c r="J40" s="21" t="s">
        <v>1348</v>
      </c>
      <c r="L40" s="21" t="s">
        <v>495</v>
      </c>
      <c r="M40" s="21" t="s">
        <v>1349</v>
      </c>
      <c r="N40" s="21" t="s">
        <v>550</v>
      </c>
      <c r="O40" s="21" t="s">
        <v>69</v>
      </c>
      <c r="P40" s="21" t="s">
        <v>497</v>
      </c>
      <c r="R40" s="21" t="s">
        <v>551</v>
      </c>
      <c r="S40" s="21" t="s">
        <v>552</v>
      </c>
      <c r="V40" s="21" t="s">
        <v>500</v>
      </c>
      <c r="W40" s="21" t="s">
        <v>501</v>
      </c>
      <c r="X40" s="21" t="s">
        <v>502</v>
      </c>
      <c r="Y40" s="21" t="s">
        <v>503</v>
      </c>
      <c r="Z40" s="21">
        <v>3035297011</v>
      </c>
      <c r="AA40" s="22">
        <v>42732</v>
      </c>
      <c r="AB40" s="22">
        <v>42733</v>
      </c>
      <c r="AC40" s="21" t="s">
        <v>504</v>
      </c>
      <c r="AD40" s="21" t="s">
        <v>505</v>
      </c>
      <c r="AE40" s="21" t="s">
        <v>1020</v>
      </c>
      <c r="AF40" s="21" t="s">
        <v>1021</v>
      </c>
      <c r="AG40" s="21" t="s">
        <v>1340</v>
      </c>
      <c r="AH40" s="21" t="s">
        <v>1341</v>
      </c>
      <c r="AI40" s="21" t="s">
        <v>1350</v>
      </c>
      <c r="AJ40" s="21" t="s">
        <v>507</v>
      </c>
      <c r="AK40" s="21" t="s">
        <v>494</v>
      </c>
      <c r="AL40" s="21" t="s">
        <v>527</v>
      </c>
      <c r="AM40" s="21" t="s">
        <v>527</v>
      </c>
      <c r="AN40" s="21" t="s">
        <v>527</v>
      </c>
      <c r="AO40" s="21" t="s">
        <v>528</v>
      </c>
      <c r="AS40" s="21" t="s">
        <v>511</v>
      </c>
      <c r="AT40" s="21" t="s">
        <v>512</v>
      </c>
      <c r="AW40" s="21">
        <v>0</v>
      </c>
      <c r="AX40" s="21">
        <v>0</v>
      </c>
      <c r="BC40" s="21" t="s">
        <v>513</v>
      </c>
      <c r="BD40" s="21" t="s">
        <v>514</v>
      </c>
      <c r="BE40" s="21" t="s">
        <v>514</v>
      </c>
      <c r="BF40" s="21" t="s">
        <v>1351</v>
      </c>
      <c r="BG40" s="21">
        <v>1</v>
      </c>
      <c r="BH40" s="21" t="s">
        <v>516</v>
      </c>
      <c r="BI40" s="21" t="s">
        <v>517</v>
      </c>
      <c r="BJ40" s="21" t="s">
        <v>516</v>
      </c>
      <c r="BK40" s="21" t="s">
        <v>516</v>
      </c>
      <c r="BM40" s="21" t="s">
        <v>281</v>
      </c>
      <c r="BN40" s="21" t="s">
        <v>142</v>
      </c>
      <c r="BO40" s="21" t="s">
        <v>518</v>
      </c>
      <c r="BP40" s="21" t="s">
        <v>519</v>
      </c>
      <c r="BQ40" s="21" t="s">
        <v>281</v>
      </c>
      <c r="BR40" s="21" t="s">
        <v>142</v>
      </c>
      <c r="BS40" s="21" t="s">
        <v>518</v>
      </c>
      <c r="BT40" s="21" t="s">
        <v>519</v>
      </c>
      <c r="BU40" s="21" t="s">
        <v>142</v>
      </c>
      <c r="CD40" s="21" t="s">
        <v>520</v>
      </c>
      <c r="CF40" s="21" t="s">
        <v>521</v>
      </c>
      <c r="DB40" s="24" t="s">
        <v>943</v>
      </c>
      <c r="DC40" s="21">
        <v>1</v>
      </c>
      <c r="DD40" s="21">
        <v>1</v>
      </c>
      <c r="DE40" s="22">
        <v>42738</v>
      </c>
      <c r="DF40" s="21" t="s">
        <v>1352</v>
      </c>
      <c r="DG40" s="21" t="s">
        <v>522</v>
      </c>
      <c r="DH40" s="21" t="s">
        <v>1353</v>
      </c>
      <c r="DI40" s="21" t="s">
        <v>495</v>
      </c>
      <c r="DJ40" s="21" t="s">
        <v>520</v>
      </c>
      <c r="DL40" s="22">
        <v>42745</v>
      </c>
      <c r="DM40" s="22">
        <v>42735</v>
      </c>
      <c r="DN40" s="21">
        <v>3100</v>
      </c>
      <c r="DO40" s="21">
        <v>10</v>
      </c>
      <c r="DP40" s="21">
        <v>1</v>
      </c>
      <c r="DQ40" s="21">
        <v>1</v>
      </c>
      <c r="DR40" s="21">
        <v>7</v>
      </c>
      <c r="DS40" s="21">
        <v>10</v>
      </c>
      <c r="DT40" s="21">
        <v>10</v>
      </c>
      <c r="DU40" s="21">
        <v>10</v>
      </c>
      <c r="DW40" s="21">
        <v>10</v>
      </c>
      <c r="EA40" s="21">
        <v>10</v>
      </c>
      <c r="EB40" s="21" t="s">
        <v>1354</v>
      </c>
      <c r="EC40" s="21" t="s">
        <v>1221</v>
      </c>
      <c r="EF40" s="25">
        <v>1</v>
      </c>
      <c r="EG40" s="25">
        <v>0</v>
      </c>
      <c r="EH40" s="25">
        <v>1</v>
      </c>
      <c r="EI40" s="25">
        <v>0</v>
      </c>
      <c r="EJ40" s="25" t="s">
        <v>62</v>
      </c>
      <c r="EK40" s="25" t="s">
        <v>143</v>
      </c>
      <c r="EL40" s="25" t="s">
        <v>143</v>
      </c>
      <c r="EM40" s="25" t="s">
        <v>276</v>
      </c>
      <c r="EN40" s="25" t="s">
        <v>51</v>
      </c>
      <c r="EO40" s="25" t="s">
        <v>51</v>
      </c>
      <c r="EP40" s="25" t="s">
        <v>1355</v>
      </c>
      <c r="EQ40" s="25" t="s">
        <v>1355</v>
      </c>
      <c r="ER40" s="25" t="s">
        <v>278</v>
      </c>
      <c r="ES40" s="25" t="s">
        <v>278</v>
      </c>
      <c r="ET40" s="25">
        <v>1</v>
      </c>
      <c r="EU40" s="25" t="s">
        <v>522</v>
      </c>
      <c r="EV40" s="25" t="s">
        <v>143</v>
      </c>
      <c r="EW40" s="25" t="s">
        <v>51</v>
      </c>
      <c r="EX40" s="25" t="s">
        <v>278</v>
      </c>
      <c r="EY40" s="20" t="e">
        <v>#N/A</v>
      </c>
    </row>
    <row r="41" spans="1:155">
      <c r="A41" s="21" t="s">
        <v>491</v>
      </c>
      <c r="B41" s="21" t="s">
        <v>491</v>
      </c>
      <c r="C41" s="21" t="s">
        <v>492</v>
      </c>
      <c r="D41" s="21" t="s">
        <v>493</v>
      </c>
      <c r="E41" s="21" t="s">
        <v>493</v>
      </c>
      <c r="F41" s="21" t="s">
        <v>493</v>
      </c>
      <c r="G41" s="21" t="s">
        <v>1356</v>
      </c>
      <c r="H41" s="21">
        <v>3438558526</v>
      </c>
      <c r="I41" s="21" t="s">
        <v>494</v>
      </c>
      <c r="J41" s="21" t="s">
        <v>1357</v>
      </c>
      <c r="L41" s="21" t="s">
        <v>495</v>
      </c>
      <c r="M41" s="21" t="s">
        <v>1358</v>
      </c>
      <c r="N41" s="21" t="s">
        <v>1051</v>
      </c>
      <c r="O41" s="21" t="s">
        <v>93</v>
      </c>
      <c r="P41" s="21" t="s">
        <v>539</v>
      </c>
      <c r="R41" s="21" t="s">
        <v>1052</v>
      </c>
      <c r="S41" s="21" t="s">
        <v>1053</v>
      </c>
      <c r="V41" s="21" t="s">
        <v>277</v>
      </c>
      <c r="W41" s="21" t="s">
        <v>524</v>
      </c>
      <c r="X41" s="21" t="s">
        <v>525</v>
      </c>
      <c r="Y41" s="21" t="s">
        <v>530</v>
      </c>
      <c r="Z41" s="21">
        <v>3035300338</v>
      </c>
      <c r="AA41" s="22">
        <v>42732</v>
      </c>
      <c r="AB41" s="22">
        <v>42734</v>
      </c>
      <c r="AC41" s="21" t="s">
        <v>504</v>
      </c>
      <c r="AD41" s="21" t="s">
        <v>505</v>
      </c>
      <c r="AE41" s="21" t="s">
        <v>1156</v>
      </c>
      <c r="AF41" s="21" t="s">
        <v>1191</v>
      </c>
      <c r="AG41" s="21" t="s">
        <v>1359</v>
      </c>
      <c r="AH41" s="21" t="s">
        <v>1360</v>
      </c>
      <c r="AI41" s="21" t="s">
        <v>1361</v>
      </c>
      <c r="AJ41" s="21" t="s">
        <v>507</v>
      </c>
      <c r="AK41" s="21" t="s">
        <v>494</v>
      </c>
      <c r="AL41" s="21" t="s">
        <v>527</v>
      </c>
      <c r="AM41" s="21" t="s">
        <v>527</v>
      </c>
      <c r="AN41" s="21" t="s">
        <v>527</v>
      </c>
      <c r="AO41" s="21" t="s">
        <v>528</v>
      </c>
      <c r="AS41" s="21" t="s">
        <v>511</v>
      </c>
      <c r="AT41" s="21" t="s">
        <v>512</v>
      </c>
      <c r="AW41" s="21">
        <v>0</v>
      </c>
      <c r="AX41" s="21">
        <v>9</v>
      </c>
      <c r="BC41" s="21" t="s">
        <v>513</v>
      </c>
      <c r="BD41" s="21" t="s">
        <v>514</v>
      </c>
      <c r="BE41" s="21" t="s">
        <v>514</v>
      </c>
      <c r="BF41" s="21" t="s">
        <v>515</v>
      </c>
      <c r="BG41" s="21">
        <v>1</v>
      </c>
      <c r="BH41" s="21" t="s">
        <v>516</v>
      </c>
      <c r="BI41" s="21" t="s">
        <v>517</v>
      </c>
      <c r="BJ41" s="21" t="s">
        <v>516</v>
      </c>
      <c r="BK41" s="21" t="s">
        <v>516</v>
      </c>
      <c r="BM41" s="21" t="s">
        <v>1362</v>
      </c>
      <c r="BN41" s="21" t="s">
        <v>236</v>
      </c>
      <c r="BO41" s="21" t="s">
        <v>518</v>
      </c>
      <c r="BP41" s="21" t="s">
        <v>1044</v>
      </c>
      <c r="BQ41" s="21" t="s">
        <v>44</v>
      </c>
      <c r="BR41" s="21" t="s">
        <v>244</v>
      </c>
      <c r="BS41" s="21" t="s">
        <v>518</v>
      </c>
      <c r="BT41" s="21" t="s">
        <v>1044</v>
      </c>
      <c r="BU41" s="21" t="s">
        <v>236</v>
      </c>
      <c r="CD41" s="21" t="s">
        <v>520</v>
      </c>
      <c r="CF41" s="21" t="s">
        <v>521</v>
      </c>
      <c r="DB41" s="24" t="s">
        <v>943</v>
      </c>
      <c r="DC41" s="21">
        <v>1</v>
      </c>
      <c r="DD41" s="21">
        <v>1</v>
      </c>
      <c r="DE41" s="22">
        <v>42738</v>
      </c>
      <c r="DF41" s="21" t="s">
        <v>1363</v>
      </c>
      <c r="DG41" s="21" t="s">
        <v>522</v>
      </c>
      <c r="DH41" s="21" t="s">
        <v>1364</v>
      </c>
      <c r="DI41" s="21" t="s">
        <v>495</v>
      </c>
      <c r="DJ41" s="21" t="s">
        <v>520</v>
      </c>
      <c r="DL41" s="22">
        <v>42746</v>
      </c>
      <c r="DM41" s="22">
        <v>42736</v>
      </c>
      <c r="DN41" s="21">
        <v>1100</v>
      </c>
      <c r="DO41" s="21">
        <v>9</v>
      </c>
      <c r="DP41" s="21">
        <v>1</v>
      </c>
      <c r="DQ41" s="21">
        <v>2</v>
      </c>
      <c r="DR41" s="21">
        <v>7</v>
      </c>
      <c r="DS41" s="21">
        <v>10</v>
      </c>
      <c r="DT41" s="21">
        <v>9</v>
      </c>
      <c r="DU41" s="21">
        <v>9</v>
      </c>
      <c r="DW41" s="21">
        <v>7</v>
      </c>
      <c r="EA41" s="21">
        <v>10</v>
      </c>
      <c r="EF41" s="25">
        <v>1</v>
      </c>
      <c r="EG41" s="25">
        <v>0</v>
      </c>
      <c r="EH41" s="25">
        <v>1</v>
      </c>
      <c r="EI41" s="25">
        <v>0</v>
      </c>
      <c r="EJ41" s="25" t="s">
        <v>92</v>
      </c>
      <c r="EK41" s="25" t="s">
        <v>237</v>
      </c>
      <c r="EL41" s="25" t="s">
        <v>245</v>
      </c>
      <c r="EM41" s="25" t="s">
        <v>276</v>
      </c>
      <c r="EN41" s="25" t="s">
        <v>39</v>
      </c>
      <c r="EO41" s="25" t="s">
        <v>39</v>
      </c>
      <c r="EP41" s="25" t="s">
        <v>92</v>
      </c>
      <c r="EQ41" s="25" t="s">
        <v>92</v>
      </c>
      <c r="ER41" s="25" t="s">
        <v>278</v>
      </c>
      <c r="ES41" s="25" t="s">
        <v>278</v>
      </c>
      <c r="ET41" s="25">
        <v>1</v>
      </c>
      <c r="EU41" s="25" t="s">
        <v>522</v>
      </c>
      <c r="EV41" s="25" t="s">
        <v>279</v>
      </c>
      <c r="EW41" s="25" t="s">
        <v>279</v>
      </c>
      <c r="EX41" s="25" t="s">
        <v>279</v>
      </c>
      <c r="EY41" s="20" t="e">
        <v>#N/A</v>
      </c>
    </row>
    <row r="42" spans="1:155">
      <c r="A42" s="21" t="s">
        <v>491</v>
      </c>
      <c r="B42" s="21" t="s">
        <v>491</v>
      </c>
      <c r="C42" s="21" t="s">
        <v>492</v>
      </c>
      <c r="D42" s="21" t="s">
        <v>493</v>
      </c>
      <c r="E42" s="21" t="s">
        <v>493</v>
      </c>
      <c r="F42" s="21" t="s">
        <v>493</v>
      </c>
      <c r="G42" s="21" t="s">
        <v>1365</v>
      </c>
      <c r="H42" s="21" t="s">
        <v>1366</v>
      </c>
      <c r="I42" s="21" t="s">
        <v>494</v>
      </c>
      <c r="J42" s="21" t="s">
        <v>1367</v>
      </c>
      <c r="L42" s="21" t="s">
        <v>495</v>
      </c>
      <c r="M42" s="21" t="s">
        <v>1368</v>
      </c>
      <c r="N42" s="21" t="s">
        <v>1066</v>
      </c>
      <c r="O42" s="21" t="s">
        <v>93</v>
      </c>
      <c r="P42" s="21" t="s">
        <v>539</v>
      </c>
      <c r="Q42" s="21" t="s">
        <v>1168</v>
      </c>
      <c r="R42" s="21" t="s">
        <v>1067</v>
      </c>
      <c r="S42" s="21" t="s">
        <v>1068</v>
      </c>
      <c r="V42" s="21" t="s">
        <v>277</v>
      </c>
      <c r="W42" s="21" t="s">
        <v>524</v>
      </c>
      <c r="X42" s="21" t="s">
        <v>525</v>
      </c>
      <c r="Y42" s="21" t="s">
        <v>530</v>
      </c>
      <c r="Z42" s="21">
        <v>3035262298</v>
      </c>
      <c r="AA42" s="22">
        <v>42731</v>
      </c>
      <c r="AB42" s="22">
        <v>42734</v>
      </c>
      <c r="AC42" s="21" t="s">
        <v>504</v>
      </c>
      <c r="AD42" s="21" t="s">
        <v>505</v>
      </c>
      <c r="AE42" s="21" t="s">
        <v>1020</v>
      </c>
      <c r="AF42" s="21" t="s">
        <v>1369</v>
      </c>
      <c r="AG42" s="21" t="s">
        <v>1370</v>
      </c>
      <c r="AH42" s="21" t="s">
        <v>1371</v>
      </c>
      <c r="AI42" s="21" t="s">
        <v>1372</v>
      </c>
      <c r="AJ42" s="21" t="s">
        <v>526</v>
      </c>
      <c r="AK42" s="21" t="s">
        <v>494</v>
      </c>
      <c r="AL42" s="21" t="s">
        <v>527</v>
      </c>
      <c r="AM42" s="21" t="s">
        <v>527</v>
      </c>
      <c r="AN42" s="21" t="s">
        <v>527</v>
      </c>
      <c r="AO42" s="21" t="s">
        <v>528</v>
      </c>
      <c r="AS42" s="21" t="s">
        <v>511</v>
      </c>
      <c r="AT42" s="21" t="s">
        <v>512</v>
      </c>
      <c r="AW42" s="21">
        <v>0</v>
      </c>
      <c r="AX42" s="21">
        <v>12</v>
      </c>
      <c r="AY42" s="22"/>
      <c r="BB42" s="22"/>
      <c r="BC42" s="21" t="s">
        <v>513</v>
      </c>
      <c r="BD42" s="21" t="s">
        <v>514</v>
      </c>
      <c r="BE42" s="21" t="s">
        <v>514</v>
      </c>
      <c r="BF42" s="21" t="s">
        <v>515</v>
      </c>
      <c r="BG42" s="21">
        <v>1</v>
      </c>
      <c r="BH42" s="21" t="s">
        <v>516</v>
      </c>
      <c r="BI42" s="21" t="s">
        <v>517</v>
      </c>
      <c r="BJ42" s="21" t="s">
        <v>516</v>
      </c>
      <c r="BK42" s="21" t="s">
        <v>516</v>
      </c>
      <c r="BM42" s="21" t="s">
        <v>1373</v>
      </c>
      <c r="BN42" s="21" t="s">
        <v>213</v>
      </c>
      <c r="BO42" s="21" t="s">
        <v>518</v>
      </c>
      <c r="BP42" s="21" t="s">
        <v>1044</v>
      </c>
      <c r="BQ42" s="21" t="s">
        <v>1374</v>
      </c>
      <c r="BR42" s="21" t="s">
        <v>206</v>
      </c>
      <c r="BS42" s="21" t="s">
        <v>518</v>
      </c>
      <c r="BT42" s="21" t="s">
        <v>519</v>
      </c>
      <c r="BU42" s="21" t="s">
        <v>213</v>
      </c>
      <c r="CD42" s="21" t="s">
        <v>520</v>
      </c>
      <c r="CF42" s="21" t="s">
        <v>521</v>
      </c>
      <c r="DB42" s="24" t="s">
        <v>943</v>
      </c>
      <c r="DC42" s="21">
        <v>1</v>
      </c>
      <c r="DD42" s="21">
        <v>1</v>
      </c>
      <c r="DE42" s="22">
        <v>42738</v>
      </c>
      <c r="DF42" s="21" t="s">
        <v>1375</v>
      </c>
      <c r="DG42" s="21" t="s">
        <v>522</v>
      </c>
      <c r="DH42" s="21" t="s">
        <v>1376</v>
      </c>
      <c r="DI42" s="21" t="s">
        <v>495</v>
      </c>
      <c r="DJ42" s="21" t="s">
        <v>520</v>
      </c>
      <c r="DL42" s="22">
        <v>42746</v>
      </c>
      <c r="DM42" s="22">
        <v>42736</v>
      </c>
      <c r="DN42" s="21">
        <v>1100</v>
      </c>
      <c r="DO42" s="21">
        <v>10</v>
      </c>
      <c r="DP42" s="21">
        <v>1</v>
      </c>
      <c r="DQ42" s="21">
        <v>2</v>
      </c>
      <c r="DR42" s="21">
        <v>6</v>
      </c>
      <c r="DS42" s="21">
        <v>10</v>
      </c>
      <c r="DT42" s="21">
        <v>10</v>
      </c>
      <c r="DU42" s="21">
        <v>10</v>
      </c>
      <c r="DW42" s="21">
        <v>10</v>
      </c>
      <c r="EA42" s="21">
        <v>10</v>
      </c>
      <c r="EB42" s="21">
        <v>1</v>
      </c>
      <c r="EF42" s="25">
        <v>1</v>
      </c>
      <c r="EG42" s="25">
        <v>0</v>
      </c>
      <c r="EH42" s="25">
        <v>1</v>
      </c>
      <c r="EI42" s="25">
        <v>0</v>
      </c>
      <c r="EJ42" s="25" t="s">
        <v>92</v>
      </c>
      <c r="EK42" s="25" t="s">
        <v>214</v>
      </c>
      <c r="EL42" s="25" t="s">
        <v>207</v>
      </c>
      <c r="EM42" s="25" t="s">
        <v>276</v>
      </c>
      <c r="EN42" s="25" t="s">
        <v>31</v>
      </c>
      <c r="EO42" s="25" t="s">
        <v>31</v>
      </c>
      <c r="EP42" s="25" t="s">
        <v>92</v>
      </c>
      <c r="EQ42" s="25" t="s">
        <v>92</v>
      </c>
      <c r="ER42" s="25" t="s">
        <v>278</v>
      </c>
      <c r="ES42" s="25" t="s">
        <v>278</v>
      </c>
      <c r="ET42" s="25">
        <v>1</v>
      </c>
      <c r="EU42" s="25" t="s">
        <v>522</v>
      </c>
      <c r="EV42" s="25" t="s">
        <v>279</v>
      </c>
      <c r="EW42" s="25" t="s">
        <v>279</v>
      </c>
      <c r="EX42" s="25" t="s">
        <v>279</v>
      </c>
      <c r="EY42" s="20" t="e">
        <v>#N/A</v>
      </c>
    </row>
    <row r="43" spans="1:155">
      <c r="A43" s="21" t="s">
        <v>491</v>
      </c>
      <c r="B43" s="21" t="s">
        <v>491</v>
      </c>
      <c r="C43" s="21" t="s">
        <v>492</v>
      </c>
      <c r="D43" s="21" t="s">
        <v>493</v>
      </c>
      <c r="E43" s="21" t="s">
        <v>493</v>
      </c>
      <c r="F43" s="21" t="s">
        <v>493</v>
      </c>
      <c r="G43" s="21" t="s">
        <v>1383</v>
      </c>
      <c r="H43" s="21" t="s">
        <v>494</v>
      </c>
      <c r="I43" s="21">
        <v>66992302742</v>
      </c>
      <c r="J43" s="21" t="s">
        <v>1384</v>
      </c>
      <c r="L43" s="21" t="s">
        <v>495</v>
      </c>
      <c r="M43" s="21" t="s">
        <v>1385</v>
      </c>
      <c r="N43" s="21" t="s">
        <v>1386</v>
      </c>
      <c r="O43" s="21" t="s">
        <v>93</v>
      </c>
      <c r="P43" s="21" t="s">
        <v>539</v>
      </c>
      <c r="R43" s="21" t="s">
        <v>1387</v>
      </c>
      <c r="S43" s="21" t="s">
        <v>1388</v>
      </c>
      <c r="V43" s="21" t="s">
        <v>277</v>
      </c>
      <c r="W43" s="21" t="s">
        <v>524</v>
      </c>
      <c r="X43" s="21" t="s">
        <v>525</v>
      </c>
      <c r="Y43" s="21" t="s">
        <v>530</v>
      </c>
      <c r="Z43" s="21">
        <v>3035238204</v>
      </c>
      <c r="AA43" s="22">
        <v>42730</v>
      </c>
      <c r="AB43" s="22">
        <v>42730</v>
      </c>
      <c r="AC43" s="21" t="s">
        <v>504</v>
      </c>
      <c r="AD43" s="21" t="s">
        <v>505</v>
      </c>
      <c r="AE43" s="21" t="s">
        <v>1156</v>
      </c>
      <c r="AF43" s="21" t="s">
        <v>1157</v>
      </c>
      <c r="AG43" s="21" t="s">
        <v>1389</v>
      </c>
      <c r="AH43" s="21" t="s">
        <v>1390</v>
      </c>
      <c r="AI43" s="21" t="s">
        <v>1391</v>
      </c>
      <c r="AJ43" s="21" t="s">
        <v>507</v>
      </c>
      <c r="AK43" s="21" t="s">
        <v>494</v>
      </c>
      <c r="AL43" s="21" t="s">
        <v>508</v>
      </c>
      <c r="AM43" s="21" t="s">
        <v>509</v>
      </c>
      <c r="AN43" s="21" t="s">
        <v>509</v>
      </c>
      <c r="AO43" s="21" t="s">
        <v>510</v>
      </c>
      <c r="AS43" s="21" t="s">
        <v>511</v>
      </c>
      <c r="AT43" s="21" t="s">
        <v>512</v>
      </c>
      <c r="AW43" s="21">
        <v>0</v>
      </c>
      <c r="AX43" s="21">
        <v>6</v>
      </c>
      <c r="AY43" s="22"/>
      <c r="BB43" s="22"/>
      <c r="BC43" s="21" t="s">
        <v>513</v>
      </c>
      <c r="BD43" s="21" t="s">
        <v>514</v>
      </c>
      <c r="BE43" s="21" t="s">
        <v>514</v>
      </c>
      <c r="BF43" s="21" t="s">
        <v>515</v>
      </c>
      <c r="BG43" s="21">
        <v>1</v>
      </c>
      <c r="BH43" s="21" t="s">
        <v>516</v>
      </c>
      <c r="BI43" s="21" t="s">
        <v>517</v>
      </c>
      <c r="BJ43" s="21" t="s">
        <v>516</v>
      </c>
      <c r="BK43" s="21" t="s">
        <v>516</v>
      </c>
      <c r="BM43" s="21" t="s">
        <v>40</v>
      </c>
      <c r="BN43" s="21" t="s">
        <v>240</v>
      </c>
      <c r="BO43" s="21" t="s">
        <v>518</v>
      </c>
      <c r="BP43" s="21" t="s">
        <v>1044</v>
      </c>
      <c r="BQ43" s="21" t="s">
        <v>1362</v>
      </c>
      <c r="BR43" s="21" t="s">
        <v>236</v>
      </c>
      <c r="BS43" s="21" t="s">
        <v>518</v>
      </c>
      <c r="BT43" s="21" t="s">
        <v>1044</v>
      </c>
      <c r="BU43" s="21" t="s">
        <v>240</v>
      </c>
      <c r="CD43" s="21" t="s">
        <v>520</v>
      </c>
      <c r="CF43" s="21" t="s">
        <v>521</v>
      </c>
      <c r="DB43" s="24" t="s">
        <v>943</v>
      </c>
      <c r="DC43" s="21">
        <v>1</v>
      </c>
      <c r="DD43" s="21">
        <v>1</v>
      </c>
      <c r="DE43" s="22">
        <v>42739</v>
      </c>
      <c r="DF43" s="21" t="s">
        <v>1392</v>
      </c>
      <c r="DG43" s="21" t="s">
        <v>522</v>
      </c>
      <c r="DH43" s="21" t="s">
        <v>1393</v>
      </c>
      <c r="DI43" s="21" t="s">
        <v>495</v>
      </c>
      <c r="DJ43" s="21" t="s">
        <v>523</v>
      </c>
      <c r="DL43" s="22">
        <v>42742</v>
      </c>
      <c r="DM43" s="22">
        <v>42732</v>
      </c>
      <c r="DN43" s="21">
        <v>1100</v>
      </c>
      <c r="DO43" s="21">
        <v>10</v>
      </c>
      <c r="DP43" s="21">
        <v>1</v>
      </c>
      <c r="DQ43" s="21">
        <v>1</v>
      </c>
      <c r="DR43" s="21">
        <v>6</v>
      </c>
      <c r="DS43" s="21">
        <v>10</v>
      </c>
      <c r="DT43" s="21">
        <v>10</v>
      </c>
      <c r="DU43" s="21">
        <v>10</v>
      </c>
      <c r="DW43" s="21">
        <v>10</v>
      </c>
      <c r="EA43" s="21">
        <v>10</v>
      </c>
      <c r="EB43" s="21" t="s">
        <v>1394</v>
      </c>
      <c r="EC43" s="21" t="s">
        <v>1680</v>
      </c>
      <c r="EF43" s="25">
        <v>1</v>
      </c>
      <c r="EG43" s="25">
        <v>0</v>
      </c>
      <c r="EH43" s="25">
        <v>1</v>
      </c>
      <c r="EI43" s="25">
        <v>0</v>
      </c>
      <c r="EJ43" s="25" t="s">
        <v>92</v>
      </c>
      <c r="EK43" s="25" t="s">
        <v>241</v>
      </c>
      <c r="EL43" s="25" t="s">
        <v>237</v>
      </c>
      <c r="EM43" s="25" t="s">
        <v>276</v>
      </c>
      <c r="EN43" s="25" t="s">
        <v>39</v>
      </c>
      <c r="EO43" s="25" t="s">
        <v>39</v>
      </c>
      <c r="EP43" s="25" t="s">
        <v>92</v>
      </c>
      <c r="EQ43" s="25" t="s">
        <v>92</v>
      </c>
      <c r="ER43" s="25" t="s">
        <v>278</v>
      </c>
      <c r="ES43" s="25" t="s">
        <v>278</v>
      </c>
      <c r="ET43" s="25">
        <v>1</v>
      </c>
      <c r="EU43" s="25" t="s">
        <v>522</v>
      </c>
      <c r="EV43" s="25" t="s">
        <v>279</v>
      </c>
      <c r="EW43" s="25" t="s">
        <v>279</v>
      </c>
      <c r="EX43" s="25" t="s">
        <v>279</v>
      </c>
      <c r="EY43" s="20" t="e">
        <v>#N/A</v>
      </c>
    </row>
    <row r="44" spans="1:155">
      <c r="A44" s="21" t="s">
        <v>491</v>
      </c>
      <c r="B44" s="21" t="s">
        <v>491</v>
      </c>
      <c r="C44" s="21" t="s">
        <v>492</v>
      </c>
      <c r="D44" s="21" t="s">
        <v>493</v>
      </c>
      <c r="E44" s="21" t="s">
        <v>493</v>
      </c>
      <c r="F44" s="21" t="s">
        <v>493</v>
      </c>
      <c r="G44" s="21" t="s">
        <v>1395</v>
      </c>
      <c r="H44" s="21" t="s">
        <v>1396</v>
      </c>
      <c r="I44" s="21" t="s">
        <v>494</v>
      </c>
      <c r="J44" s="21" t="s">
        <v>1397</v>
      </c>
      <c r="L44" s="21" t="s">
        <v>495</v>
      </c>
      <c r="M44" s="21" t="s">
        <v>1398</v>
      </c>
      <c r="N44" s="21" t="s">
        <v>1399</v>
      </c>
      <c r="O44" s="21" t="s">
        <v>93</v>
      </c>
      <c r="P44" s="21" t="s">
        <v>539</v>
      </c>
      <c r="Q44" s="21" t="s">
        <v>1301</v>
      </c>
      <c r="R44" s="21" t="s">
        <v>1400</v>
      </c>
      <c r="S44" s="21" t="s">
        <v>1401</v>
      </c>
      <c r="V44" s="21" t="s">
        <v>277</v>
      </c>
      <c r="W44" s="21" t="s">
        <v>524</v>
      </c>
      <c r="X44" s="21" t="s">
        <v>525</v>
      </c>
      <c r="Y44" s="21" t="s">
        <v>530</v>
      </c>
      <c r="Z44" s="21">
        <v>3035230770</v>
      </c>
      <c r="AA44" s="22">
        <v>42730</v>
      </c>
      <c r="AB44" s="22">
        <v>42730</v>
      </c>
      <c r="AC44" s="21" t="s">
        <v>504</v>
      </c>
      <c r="AD44" s="21" t="s">
        <v>505</v>
      </c>
      <c r="AE44" s="21" t="s">
        <v>1156</v>
      </c>
      <c r="AF44" s="21" t="s">
        <v>1191</v>
      </c>
      <c r="AG44" s="21" t="s">
        <v>1402</v>
      </c>
      <c r="AH44" s="21" t="s">
        <v>1403</v>
      </c>
      <c r="AI44" s="21" t="s">
        <v>1404</v>
      </c>
      <c r="AJ44" s="21" t="s">
        <v>507</v>
      </c>
      <c r="AK44" s="21" t="s">
        <v>494</v>
      </c>
      <c r="AL44" s="21" t="s">
        <v>508</v>
      </c>
      <c r="AM44" s="21" t="s">
        <v>509</v>
      </c>
      <c r="AN44" s="21" t="s">
        <v>509</v>
      </c>
      <c r="AO44" s="21" t="s">
        <v>510</v>
      </c>
      <c r="AS44" s="21" t="s">
        <v>511</v>
      </c>
      <c r="AT44" s="21" t="s">
        <v>512</v>
      </c>
      <c r="AW44" s="21">
        <v>0</v>
      </c>
      <c r="AX44" s="21">
        <v>6</v>
      </c>
      <c r="BC44" s="21" t="s">
        <v>513</v>
      </c>
      <c r="BD44" s="21" t="s">
        <v>514</v>
      </c>
      <c r="BE44" s="21" t="s">
        <v>514</v>
      </c>
      <c r="BF44" s="21" t="s">
        <v>515</v>
      </c>
      <c r="BG44" s="21">
        <v>1</v>
      </c>
      <c r="BH44" s="21" t="s">
        <v>516</v>
      </c>
      <c r="BI44" s="21" t="s">
        <v>517</v>
      </c>
      <c r="BJ44" s="21" t="s">
        <v>516</v>
      </c>
      <c r="BK44" s="21" t="s">
        <v>516</v>
      </c>
      <c r="BM44" s="21" t="s">
        <v>1405</v>
      </c>
      <c r="BN44" s="21" t="s">
        <v>211</v>
      </c>
      <c r="BO44" s="21" t="s">
        <v>518</v>
      </c>
      <c r="BP44" s="21" t="s">
        <v>1044</v>
      </c>
      <c r="BQ44" s="21" t="s">
        <v>1405</v>
      </c>
      <c r="BR44" s="21" t="s">
        <v>211</v>
      </c>
      <c r="BS44" s="21" t="s">
        <v>518</v>
      </c>
      <c r="BT44" s="21" t="s">
        <v>1044</v>
      </c>
      <c r="BU44" s="21" t="s">
        <v>211</v>
      </c>
      <c r="CD44" s="21" t="s">
        <v>520</v>
      </c>
      <c r="CF44" s="21" t="s">
        <v>521</v>
      </c>
      <c r="DB44" s="24" t="s">
        <v>943</v>
      </c>
      <c r="DC44" s="21">
        <v>1</v>
      </c>
      <c r="DD44" s="21">
        <v>1</v>
      </c>
      <c r="DE44" s="22">
        <v>42739</v>
      </c>
      <c r="DF44" s="21" t="s">
        <v>1406</v>
      </c>
      <c r="DG44" s="21" t="s">
        <v>522</v>
      </c>
      <c r="DH44" s="21" t="s">
        <v>1407</v>
      </c>
      <c r="DI44" s="21" t="s">
        <v>495</v>
      </c>
      <c r="DJ44" s="21" t="s">
        <v>523</v>
      </c>
      <c r="DL44" s="22">
        <v>42742</v>
      </c>
      <c r="DM44" s="22">
        <v>42732</v>
      </c>
      <c r="DN44" s="21">
        <v>1100</v>
      </c>
      <c r="DO44" s="21">
        <v>6</v>
      </c>
      <c r="DP44" s="21">
        <v>2</v>
      </c>
      <c r="DQ44" s="21">
        <v>2</v>
      </c>
      <c r="DR44" s="21">
        <v>5</v>
      </c>
      <c r="DS44" s="21">
        <v>8</v>
      </c>
      <c r="DT44" s="21">
        <v>8</v>
      </c>
      <c r="DU44" s="21">
        <v>8</v>
      </c>
      <c r="DW44" s="21">
        <v>9</v>
      </c>
      <c r="EA44" s="21">
        <v>3</v>
      </c>
      <c r="EF44" s="25">
        <v>0</v>
      </c>
      <c r="EG44" s="25">
        <v>1</v>
      </c>
      <c r="EH44" s="25">
        <v>0</v>
      </c>
      <c r="EI44" s="25">
        <v>0</v>
      </c>
      <c r="EJ44" s="25" t="s">
        <v>92</v>
      </c>
      <c r="EK44" s="25" t="s">
        <v>212</v>
      </c>
      <c r="EL44" s="25" t="s">
        <v>212</v>
      </c>
      <c r="EM44" s="25" t="s">
        <v>276</v>
      </c>
      <c r="EN44" s="25" t="s">
        <v>31</v>
      </c>
      <c r="EO44" s="25" t="s">
        <v>31</v>
      </c>
      <c r="EP44" s="25" t="s">
        <v>92</v>
      </c>
      <c r="EQ44" s="25" t="s">
        <v>92</v>
      </c>
      <c r="ER44" s="25" t="s">
        <v>278</v>
      </c>
      <c r="ES44" s="25" t="s">
        <v>278</v>
      </c>
      <c r="ET44" s="25">
        <v>1</v>
      </c>
      <c r="EU44" s="25" t="s">
        <v>522</v>
      </c>
      <c r="EV44" s="25" t="s">
        <v>212</v>
      </c>
      <c r="EW44" s="25" t="s">
        <v>31</v>
      </c>
      <c r="EX44" s="25" t="s">
        <v>278</v>
      </c>
      <c r="EY44" s="20" t="e">
        <v>#N/A</v>
      </c>
    </row>
    <row r="45" spans="1:155">
      <c r="A45" s="21" t="s">
        <v>491</v>
      </c>
      <c r="B45" s="21" t="s">
        <v>491</v>
      </c>
      <c r="C45" s="21" t="s">
        <v>492</v>
      </c>
      <c r="D45" s="21" t="s">
        <v>493</v>
      </c>
      <c r="E45" s="21" t="s">
        <v>493</v>
      </c>
      <c r="F45" s="21" t="s">
        <v>493</v>
      </c>
      <c r="G45" s="21" t="s">
        <v>1408</v>
      </c>
      <c r="H45" s="21" t="s">
        <v>1409</v>
      </c>
      <c r="I45" s="21" t="s">
        <v>1410</v>
      </c>
      <c r="J45" s="21" t="s">
        <v>1411</v>
      </c>
      <c r="L45" s="21" t="s">
        <v>495</v>
      </c>
      <c r="M45" s="21" t="s">
        <v>1412</v>
      </c>
      <c r="N45" s="21" t="s">
        <v>1413</v>
      </c>
      <c r="O45" s="21" t="s">
        <v>100</v>
      </c>
      <c r="P45" s="21" t="s">
        <v>1187</v>
      </c>
      <c r="Q45" s="21" t="s">
        <v>1168</v>
      </c>
      <c r="R45" s="21" t="s">
        <v>1414</v>
      </c>
      <c r="S45" s="21" t="s">
        <v>1189</v>
      </c>
      <c r="V45" s="21" t="s">
        <v>277</v>
      </c>
      <c r="W45" s="21" t="s">
        <v>524</v>
      </c>
      <c r="X45" s="21" t="s">
        <v>525</v>
      </c>
      <c r="Y45" s="21" t="s">
        <v>1190</v>
      </c>
      <c r="Z45" s="21">
        <v>3035100455</v>
      </c>
      <c r="AA45" s="22">
        <v>42724</v>
      </c>
      <c r="AB45" s="22">
        <v>42731</v>
      </c>
      <c r="AC45" s="21" t="s">
        <v>504</v>
      </c>
      <c r="AD45" s="21" t="s">
        <v>512</v>
      </c>
      <c r="AE45" s="21" t="s">
        <v>1054</v>
      </c>
      <c r="AF45" s="21" t="s">
        <v>1105</v>
      </c>
      <c r="AG45" s="21" t="s">
        <v>1415</v>
      </c>
      <c r="AH45" s="21" t="s">
        <v>1416</v>
      </c>
      <c r="AI45" s="21" t="s">
        <v>1417</v>
      </c>
      <c r="AJ45" s="21" t="s">
        <v>526</v>
      </c>
      <c r="AK45" s="21" t="s">
        <v>494</v>
      </c>
      <c r="AL45" s="21" t="s">
        <v>527</v>
      </c>
      <c r="AM45" s="21" t="s">
        <v>527</v>
      </c>
      <c r="AN45" s="21" t="s">
        <v>527</v>
      </c>
      <c r="AO45" s="21" t="s">
        <v>528</v>
      </c>
      <c r="AS45" s="21" t="s">
        <v>1418</v>
      </c>
      <c r="AT45" s="21" t="s">
        <v>532</v>
      </c>
      <c r="AX45" s="21">
        <v>8</v>
      </c>
      <c r="AY45" s="22"/>
      <c r="BB45" s="22"/>
      <c r="BC45" s="21" t="s">
        <v>513</v>
      </c>
      <c r="BD45" s="21" t="s">
        <v>514</v>
      </c>
      <c r="BE45" s="21" t="s">
        <v>514</v>
      </c>
      <c r="BF45" s="21" t="s">
        <v>515</v>
      </c>
      <c r="BG45" s="21">
        <v>1</v>
      </c>
      <c r="BH45" s="21" t="s">
        <v>516</v>
      </c>
      <c r="BI45" s="21" t="s">
        <v>517</v>
      </c>
      <c r="BJ45" s="21" t="s">
        <v>516</v>
      </c>
      <c r="BK45" s="21" t="s">
        <v>516</v>
      </c>
      <c r="BN45" s="21" t="s">
        <v>219</v>
      </c>
      <c r="BR45" s="21" t="s">
        <v>103</v>
      </c>
      <c r="BT45" s="21" t="s">
        <v>533</v>
      </c>
      <c r="BU45" s="21" t="s">
        <v>219</v>
      </c>
      <c r="CD45" s="21" t="s">
        <v>520</v>
      </c>
      <c r="CF45" s="21" t="s">
        <v>534</v>
      </c>
      <c r="CG45" s="21" t="s">
        <v>515</v>
      </c>
      <c r="CH45" s="21" t="s">
        <v>535</v>
      </c>
      <c r="CI45" s="21" t="s">
        <v>1419</v>
      </c>
      <c r="CJ45" s="21" t="s">
        <v>1420</v>
      </c>
      <c r="CL45" s="21" t="s">
        <v>1421</v>
      </c>
      <c r="CM45" s="21">
        <v>3035171119</v>
      </c>
      <c r="CN45" s="21">
        <v>42726</v>
      </c>
      <c r="CO45" s="21" t="s">
        <v>537</v>
      </c>
      <c r="CP45" s="21" t="s">
        <v>516</v>
      </c>
      <c r="CR45" s="21" t="s">
        <v>35</v>
      </c>
      <c r="CS45" s="21" t="s">
        <v>516</v>
      </c>
      <c r="CU45" s="21" t="s">
        <v>1422</v>
      </c>
      <c r="CV45" s="21" t="s">
        <v>1422</v>
      </c>
      <c r="CW45" s="21" t="s">
        <v>1044</v>
      </c>
      <c r="CX45" s="21" t="s">
        <v>1423</v>
      </c>
      <c r="CY45" s="21" t="s">
        <v>516</v>
      </c>
      <c r="CZ45" s="21" t="s">
        <v>533</v>
      </c>
      <c r="DA45" s="21" t="s">
        <v>516</v>
      </c>
      <c r="DB45" s="24" t="s">
        <v>943</v>
      </c>
      <c r="DC45" s="21">
        <v>1</v>
      </c>
      <c r="DD45" s="21">
        <v>1</v>
      </c>
      <c r="DE45" s="22">
        <v>42739</v>
      </c>
      <c r="DF45" s="21" t="s">
        <v>1424</v>
      </c>
      <c r="DG45" s="21" t="s">
        <v>538</v>
      </c>
      <c r="DH45" s="21" t="s">
        <v>1425</v>
      </c>
      <c r="DI45" s="21" t="s">
        <v>495</v>
      </c>
      <c r="DJ45" s="21" t="s">
        <v>520</v>
      </c>
      <c r="DL45" s="22">
        <v>42743</v>
      </c>
      <c r="DM45" s="22">
        <v>42733</v>
      </c>
      <c r="DN45" s="21">
        <v>1100</v>
      </c>
      <c r="DO45" s="21">
        <v>0</v>
      </c>
      <c r="DP45" s="21">
        <v>2</v>
      </c>
      <c r="DQ45" s="21">
        <v>2</v>
      </c>
      <c r="DR45" s="21">
        <v>1</v>
      </c>
      <c r="DS45" s="21">
        <v>5</v>
      </c>
      <c r="DT45" s="21">
        <v>0</v>
      </c>
      <c r="DU45" s="21">
        <v>5</v>
      </c>
      <c r="DW45" s="21">
        <v>0</v>
      </c>
      <c r="DY45" s="21">
        <v>5</v>
      </c>
      <c r="EA45" s="21">
        <v>0</v>
      </c>
      <c r="EB45" s="21" t="s">
        <v>1426</v>
      </c>
      <c r="EC45" s="21" t="s">
        <v>1591</v>
      </c>
      <c r="EF45" s="25">
        <v>0</v>
      </c>
      <c r="EG45" s="25">
        <v>1</v>
      </c>
      <c r="EH45" s="25">
        <v>0</v>
      </c>
      <c r="EI45" s="25">
        <v>1</v>
      </c>
      <c r="EJ45" s="25" t="s">
        <v>92</v>
      </c>
      <c r="EK45" s="25" t="s">
        <v>220</v>
      </c>
      <c r="EL45" s="25" t="s">
        <v>104</v>
      </c>
      <c r="EM45" s="25" t="s">
        <v>276</v>
      </c>
      <c r="EN45" s="25" t="s">
        <v>31</v>
      </c>
      <c r="EO45" s="25" t="s">
        <v>204</v>
      </c>
      <c r="EP45" s="25" t="s">
        <v>92</v>
      </c>
      <c r="EQ45" s="25" t="s">
        <v>65</v>
      </c>
      <c r="ER45" s="25" t="s">
        <v>278</v>
      </c>
      <c r="ES45" s="25" t="s">
        <v>278</v>
      </c>
      <c r="ET45" s="25">
        <v>1</v>
      </c>
      <c r="EU45" s="25" t="s">
        <v>522</v>
      </c>
      <c r="EV45" s="25" t="s">
        <v>279</v>
      </c>
      <c r="EW45" s="25" t="s">
        <v>279</v>
      </c>
      <c r="EX45" s="25" t="s">
        <v>279</v>
      </c>
      <c r="EY45" s="20" t="e">
        <v>#N/A</v>
      </c>
    </row>
    <row r="46" spans="1:155">
      <c r="A46" s="21" t="s">
        <v>491</v>
      </c>
      <c r="B46" s="21" t="s">
        <v>491</v>
      </c>
      <c r="C46" s="21" t="s">
        <v>492</v>
      </c>
      <c r="D46" s="21" t="s">
        <v>493</v>
      </c>
      <c r="E46" s="21" t="s">
        <v>493</v>
      </c>
      <c r="F46" s="21" t="s">
        <v>493</v>
      </c>
      <c r="G46" s="21" t="s">
        <v>1427</v>
      </c>
      <c r="H46" s="21">
        <v>9133552605</v>
      </c>
      <c r="I46" s="21" t="s">
        <v>494</v>
      </c>
      <c r="J46" s="21" t="s">
        <v>1428</v>
      </c>
      <c r="L46" s="21" t="s">
        <v>495</v>
      </c>
      <c r="M46" s="21" t="s">
        <v>1429</v>
      </c>
      <c r="N46" s="21" t="s">
        <v>1258</v>
      </c>
      <c r="O46" s="21" t="s">
        <v>69</v>
      </c>
      <c r="P46" s="21" t="s">
        <v>497</v>
      </c>
      <c r="R46" s="21" t="s">
        <v>1259</v>
      </c>
      <c r="S46" s="21" t="s">
        <v>1260</v>
      </c>
      <c r="V46" s="21" t="s">
        <v>500</v>
      </c>
      <c r="W46" s="21" t="s">
        <v>501</v>
      </c>
      <c r="X46" s="21" t="s">
        <v>502</v>
      </c>
      <c r="Y46" s="21" t="s">
        <v>503</v>
      </c>
      <c r="Z46" s="21">
        <v>3035293220</v>
      </c>
      <c r="AA46" s="22">
        <v>42732</v>
      </c>
      <c r="AB46" s="22">
        <v>42732</v>
      </c>
      <c r="AC46" s="21" t="s">
        <v>504</v>
      </c>
      <c r="AD46" s="21" t="s">
        <v>505</v>
      </c>
      <c r="AE46" s="21" t="s">
        <v>500</v>
      </c>
      <c r="AF46" s="21" t="s">
        <v>506</v>
      </c>
      <c r="AG46" s="21" t="s">
        <v>1148</v>
      </c>
      <c r="AH46" s="21" t="s">
        <v>1149</v>
      </c>
      <c r="AI46" s="21" t="s">
        <v>1430</v>
      </c>
      <c r="AJ46" s="21" t="s">
        <v>507</v>
      </c>
      <c r="AK46" s="21" t="s">
        <v>494</v>
      </c>
      <c r="AL46" s="21" t="s">
        <v>508</v>
      </c>
      <c r="AM46" s="21" t="s">
        <v>509</v>
      </c>
      <c r="AN46" s="21" t="s">
        <v>527</v>
      </c>
      <c r="AO46" s="21" t="s">
        <v>528</v>
      </c>
      <c r="AQ46" s="21" t="s">
        <v>1431</v>
      </c>
      <c r="AS46" s="21" t="s">
        <v>511</v>
      </c>
      <c r="AT46" s="21" t="s">
        <v>512</v>
      </c>
      <c r="AW46" s="21">
        <v>0</v>
      </c>
      <c r="AX46" s="21">
        <v>2</v>
      </c>
      <c r="BC46" s="21" t="s">
        <v>513</v>
      </c>
      <c r="BD46" s="21" t="s">
        <v>514</v>
      </c>
      <c r="BE46" s="21" t="s">
        <v>514</v>
      </c>
      <c r="BF46" s="21" t="s">
        <v>515</v>
      </c>
      <c r="BG46" s="21">
        <v>1</v>
      </c>
      <c r="BH46" s="21" t="s">
        <v>516</v>
      </c>
      <c r="BI46" s="21" t="s">
        <v>517</v>
      </c>
      <c r="BJ46" s="21" t="s">
        <v>516</v>
      </c>
      <c r="BK46" s="21" t="s">
        <v>516</v>
      </c>
      <c r="BM46" s="21" t="s">
        <v>15</v>
      </c>
      <c r="BN46" s="21" t="s">
        <v>77</v>
      </c>
      <c r="BO46" s="21" t="s">
        <v>518</v>
      </c>
      <c r="BP46" s="21" t="s">
        <v>519</v>
      </c>
      <c r="BQ46" s="21" t="s">
        <v>15</v>
      </c>
      <c r="BR46" s="21" t="s">
        <v>77</v>
      </c>
      <c r="BS46" s="21" t="s">
        <v>518</v>
      </c>
      <c r="BT46" s="21" t="s">
        <v>519</v>
      </c>
      <c r="BU46" s="21" t="s">
        <v>77</v>
      </c>
      <c r="CD46" s="21" t="s">
        <v>520</v>
      </c>
      <c r="CF46" s="21" t="s">
        <v>521</v>
      </c>
      <c r="DB46" s="24" t="s">
        <v>943</v>
      </c>
      <c r="DC46" s="21">
        <v>1</v>
      </c>
      <c r="DD46" s="21">
        <v>1</v>
      </c>
      <c r="DE46" s="22">
        <v>42739</v>
      </c>
      <c r="DF46" s="21" t="s">
        <v>1432</v>
      </c>
      <c r="DG46" s="21" t="s">
        <v>522</v>
      </c>
      <c r="DH46" s="21" t="s">
        <v>1433</v>
      </c>
      <c r="DI46" s="21" t="s">
        <v>495</v>
      </c>
      <c r="DJ46" s="21" t="s">
        <v>523</v>
      </c>
      <c r="DL46" s="22">
        <v>42744</v>
      </c>
      <c r="DM46" s="22">
        <v>42734</v>
      </c>
      <c r="DN46" s="21">
        <v>3100</v>
      </c>
      <c r="DO46" s="21">
        <v>8</v>
      </c>
      <c r="DP46" s="21">
        <v>1</v>
      </c>
      <c r="DQ46" s="21">
        <v>1</v>
      </c>
      <c r="DR46" s="21">
        <v>6</v>
      </c>
      <c r="DS46" s="21">
        <v>9</v>
      </c>
      <c r="DT46" s="21">
        <v>9</v>
      </c>
      <c r="DU46" s="21">
        <v>10</v>
      </c>
      <c r="DW46" s="21">
        <v>10</v>
      </c>
      <c r="EA46" s="21">
        <v>10</v>
      </c>
      <c r="EF46" s="25">
        <v>1</v>
      </c>
      <c r="EG46" s="25">
        <v>0</v>
      </c>
      <c r="EH46" s="25">
        <v>0</v>
      </c>
      <c r="EI46" s="25">
        <v>0</v>
      </c>
      <c r="EJ46" s="25" t="s">
        <v>62</v>
      </c>
      <c r="EK46" s="25" t="s">
        <v>78</v>
      </c>
      <c r="EL46" s="25" t="s">
        <v>78</v>
      </c>
      <c r="EM46" s="25" t="s">
        <v>276</v>
      </c>
      <c r="EN46" s="25" t="s">
        <v>9</v>
      </c>
      <c r="EO46" s="25" t="s">
        <v>9</v>
      </c>
      <c r="EP46" s="25" t="s">
        <v>62</v>
      </c>
      <c r="EQ46" s="25" t="s">
        <v>62</v>
      </c>
      <c r="ER46" s="25" t="s">
        <v>278</v>
      </c>
      <c r="ES46" s="25" t="s">
        <v>278</v>
      </c>
      <c r="ET46" s="25">
        <v>1</v>
      </c>
      <c r="EU46" s="25" t="s">
        <v>522</v>
      </c>
      <c r="EV46" s="25" t="s">
        <v>78</v>
      </c>
      <c r="EW46" s="25" t="s">
        <v>9</v>
      </c>
      <c r="EX46" s="25" t="s">
        <v>278</v>
      </c>
      <c r="EY46" s="20" t="e">
        <v>#N/A</v>
      </c>
    </row>
    <row r="47" spans="1:155">
      <c r="A47" s="21" t="s">
        <v>491</v>
      </c>
      <c r="B47" s="21" t="s">
        <v>491</v>
      </c>
      <c r="C47" s="21" t="s">
        <v>492</v>
      </c>
      <c r="D47" s="21" t="s">
        <v>493</v>
      </c>
      <c r="E47" s="21" t="s">
        <v>493</v>
      </c>
      <c r="F47" s="21" t="s">
        <v>493</v>
      </c>
      <c r="G47" s="21" t="s">
        <v>1434</v>
      </c>
      <c r="H47" s="21" t="s">
        <v>1435</v>
      </c>
      <c r="I47" s="21" t="s">
        <v>494</v>
      </c>
      <c r="J47" s="21" t="s">
        <v>1436</v>
      </c>
      <c r="L47" s="21" t="s">
        <v>495</v>
      </c>
      <c r="M47" s="21" t="s">
        <v>1437</v>
      </c>
      <c r="N47" s="21" t="s">
        <v>1438</v>
      </c>
      <c r="O47" s="21" t="s">
        <v>93</v>
      </c>
      <c r="P47" s="21" t="s">
        <v>539</v>
      </c>
      <c r="Q47" s="21" t="s">
        <v>1168</v>
      </c>
      <c r="R47" s="21" t="s">
        <v>1439</v>
      </c>
      <c r="S47" s="21" t="s">
        <v>1440</v>
      </c>
      <c r="V47" s="21" t="s">
        <v>277</v>
      </c>
      <c r="W47" s="21" t="s">
        <v>524</v>
      </c>
      <c r="X47" s="21" t="s">
        <v>525</v>
      </c>
      <c r="Y47" s="21" t="s">
        <v>530</v>
      </c>
      <c r="Z47" s="21">
        <v>3035296200</v>
      </c>
      <c r="AA47" s="22">
        <v>42732</v>
      </c>
      <c r="AB47" s="22">
        <v>42733</v>
      </c>
      <c r="AC47" s="21" t="s">
        <v>504</v>
      </c>
      <c r="AD47" s="21" t="s">
        <v>505</v>
      </c>
      <c r="AE47" s="21" t="s">
        <v>1054</v>
      </c>
      <c r="AF47" s="21" t="s">
        <v>1105</v>
      </c>
      <c r="AG47" s="21" t="s">
        <v>1441</v>
      </c>
      <c r="AH47" s="21" t="s">
        <v>1442</v>
      </c>
      <c r="AI47" s="21" t="s">
        <v>1443</v>
      </c>
      <c r="AJ47" s="21" t="s">
        <v>512</v>
      </c>
      <c r="AK47" s="21" t="s">
        <v>1443</v>
      </c>
      <c r="AL47" s="21" t="s">
        <v>527</v>
      </c>
      <c r="AM47" s="21" t="s">
        <v>527</v>
      </c>
      <c r="AN47" s="21" t="s">
        <v>527</v>
      </c>
      <c r="AO47" s="21" t="s">
        <v>528</v>
      </c>
      <c r="AS47" s="21" t="s">
        <v>511</v>
      </c>
      <c r="AT47" s="21" t="s">
        <v>512</v>
      </c>
      <c r="AW47" s="21">
        <v>0</v>
      </c>
      <c r="AX47" s="21">
        <v>5</v>
      </c>
      <c r="AY47" s="22"/>
      <c r="BB47" s="22"/>
      <c r="BC47" s="21" t="s">
        <v>513</v>
      </c>
      <c r="BD47" s="21" t="s">
        <v>514</v>
      </c>
      <c r="BE47" s="21" t="s">
        <v>514</v>
      </c>
      <c r="BF47" s="21" t="s">
        <v>515</v>
      </c>
      <c r="BG47" s="21">
        <v>1</v>
      </c>
      <c r="BH47" s="21" t="s">
        <v>516</v>
      </c>
      <c r="BI47" s="21" t="s">
        <v>517</v>
      </c>
      <c r="BJ47" s="21" t="s">
        <v>516</v>
      </c>
      <c r="BK47" s="21" t="s">
        <v>516</v>
      </c>
      <c r="BM47" s="21" t="s">
        <v>1288</v>
      </c>
      <c r="BN47" s="21" t="s">
        <v>234</v>
      </c>
      <c r="BO47" s="21" t="s">
        <v>518</v>
      </c>
      <c r="BP47" s="21" t="s">
        <v>1044</v>
      </c>
      <c r="BQ47" s="21" t="s">
        <v>38</v>
      </c>
      <c r="BR47" s="21" t="s">
        <v>238</v>
      </c>
      <c r="BS47" s="21" t="s">
        <v>518</v>
      </c>
      <c r="BT47" s="21" t="s">
        <v>1044</v>
      </c>
      <c r="BU47" s="21" t="s">
        <v>234</v>
      </c>
      <c r="CD47" s="21" t="s">
        <v>520</v>
      </c>
      <c r="CF47" s="21" t="s">
        <v>521</v>
      </c>
      <c r="DB47" s="24" t="s">
        <v>943</v>
      </c>
      <c r="DC47" s="21">
        <v>1</v>
      </c>
      <c r="DD47" s="21">
        <v>1</v>
      </c>
      <c r="DE47" s="22">
        <v>42739</v>
      </c>
      <c r="DF47" s="21" t="s">
        <v>1444</v>
      </c>
      <c r="DG47" s="21" t="s">
        <v>522</v>
      </c>
      <c r="DH47" s="21" t="s">
        <v>1445</v>
      </c>
      <c r="DI47" s="21" t="s">
        <v>495</v>
      </c>
      <c r="DJ47" s="21" t="s">
        <v>523</v>
      </c>
      <c r="DL47" s="22">
        <v>42745</v>
      </c>
      <c r="DM47" s="22">
        <v>42735</v>
      </c>
      <c r="DN47" s="21">
        <v>1100</v>
      </c>
      <c r="DO47" s="21">
        <v>9</v>
      </c>
      <c r="DP47" s="21">
        <v>1</v>
      </c>
      <c r="DQ47" s="21">
        <v>1</v>
      </c>
      <c r="DR47" s="21">
        <v>6</v>
      </c>
      <c r="DS47" s="21">
        <v>10</v>
      </c>
      <c r="DT47" s="21">
        <v>9</v>
      </c>
      <c r="DU47" s="21">
        <v>10</v>
      </c>
      <c r="DW47" s="21">
        <v>9</v>
      </c>
      <c r="EA47" s="21">
        <v>10</v>
      </c>
      <c r="EF47" s="25">
        <v>1</v>
      </c>
      <c r="EG47" s="25">
        <v>0</v>
      </c>
      <c r="EH47" s="25">
        <v>1</v>
      </c>
      <c r="EI47" s="25">
        <v>0</v>
      </c>
      <c r="EJ47" s="25" t="s">
        <v>92</v>
      </c>
      <c r="EK47" s="25" t="s">
        <v>235</v>
      </c>
      <c r="EL47" s="25" t="s">
        <v>239</v>
      </c>
      <c r="EM47" s="25" t="s">
        <v>276</v>
      </c>
      <c r="EN47" s="25" t="s">
        <v>39</v>
      </c>
      <c r="EO47" s="25" t="s">
        <v>39</v>
      </c>
      <c r="EP47" s="25" t="s">
        <v>92</v>
      </c>
      <c r="EQ47" s="25" t="s">
        <v>529</v>
      </c>
      <c r="ER47" s="25" t="s">
        <v>278</v>
      </c>
      <c r="ES47" s="25" t="s">
        <v>278</v>
      </c>
      <c r="ET47" s="25">
        <v>1</v>
      </c>
      <c r="EU47" s="25" t="s">
        <v>522</v>
      </c>
      <c r="EV47" s="25" t="s">
        <v>279</v>
      </c>
      <c r="EW47" s="25" t="s">
        <v>279</v>
      </c>
      <c r="EX47" s="25" t="s">
        <v>279</v>
      </c>
      <c r="EY47" s="20" t="e">
        <v>#N/A</v>
      </c>
    </row>
    <row r="48" spans="1:155">
      <c r="A48" s="21" t="s">
        <v>491</v>
      </c>
      <c r="B48" s="21" t="s">
        <v>491</v>
      </c>
      <c r="C48" s="21" t="s">
        <v>492</v>
      </c>
      <c r="D48" s="21" t="s">
        <v>493</v>
      </c>
      <c r="E48" s="21" t="s">
        <v>493</v>
      </c>
      <c r="F48" s="21" t="s">
        <v>493</v>
      </c>
      <c r="G48" s="21" t="s">
        <v>1446</v>
      </c>
      <c r="H48" s="21" t="s">
        <v>1447</v>
      </c>
      <c r="I48" s="21" t="s">
        <v>494</v>
      </c>
      <c r="J48" s="21" t="s">
        <v>1448</v>
      </c>
      <c r="L48" s="21" t="s">
        <v>495</v>
      </c>
      <c r="M48" s="21" t="s">
        <v>1449</v>
      </c>
      <c r="N48" s="21" t="s">
        <v>1450</v>
      </c>
      <c r="O48" s="21" t="s">
        <v>93</v>
      </c>
      <c r="P48" s="21" t="s">
        <v>539</v>
      </c>
      <c r="R48" s="21" t="s">
        <v>1451</v>
      </c>
      <c r="S48" s="21" t="s">
        <v>1068</v>
      </c>
      <c r="V48" s="21" t="s">
        <v>277</v>
      </c>
      <c r="W48" s="21" t="s">
        <v>524</v>
      </c>
      <c r="X48" s="21" t="s">
        <v>525</v>
      </c>
      <c r="Y48" s="21" t="s">
        <v>530</v>
      </c>
      <c r="Z48" s="21">
        <v>3035333269</v>
      </c>
      <c r="AA48" s="22">
        <v>42733</v>
      </c>
      <c r="AB48" s="22">
        <v>42733</v>
      </c>
      <c r="AC48" s="21" t="s">
        <v>504</v>
      </c>
      <c r="AD48" s="21" t="s">
        <v>505</v>
      </c>
      <c r="AE48" s="21" t="s">
        <v>1054</v>
      </c>
      <c r="AF48" s="21" t="s">
        <v>1105</v>
      </c>
      <c r="AG48" s="21" t="s">
        <v>1106</v>
      </c>
      <c r="AH48" s="21" t="s">
        <v>1107</v>
      </c>
      <c r="AI48" s="21" t="s">
        <v>1452</v>
      </c>
      <c r="AJ48" s="21" t="s">
        <v>1109</v>
      </c>
      <c r="AK48" s="21" t="s">
        <v>494</v>
      </c>
      <c r="AL48" s="21" t="s">
        <v>527</v>
      </c>
      <c r="AM48" s="21" t="s">
        <v>527</v>
      </c>
      <c r="AN48" s="21" t="s">
        <v>527</v>
      </c>
      <c r="AO48" s="21" t="s">
        <v>528</v>
      </c>
      <c r="AS48" s="21" t="s">
        <v>511</v>
      </c>
      <c r="AT48" s="21" t="s">
        <v>512</v>
      </c>
      <c r="AW48" s="21">
        <v>0</v>
      </c>
      <c r="AX48" s="21">
        <v>2</v>
      </c>
      <c r="BC48" s="21" t="s">
        <v>513</v>
      </c>
      <c r="BD48" s="21" t="s">
        <v>514</v>
      </c>
      <c r="BE48" s="21" t="s">
        <v>514</v>
      </c>
      <c r="BF48" s="21" t="s">
        <v>515</v>
      </c>
      <c r="BG48" s="21">
        <v>1</v>
      </c>
      <c r="BH48" s="21" t="s">
        <v>516</v>
      </c>
      <c r="BI48" s="21" t="s">
        <v>517</v>
      </c>
      <c r="BJ48" s="21" t="s">
        <v>516</v>
      </c>
      <c r="BK48" s="21" t="s">
        <v>516</v>
      </c>
      <c r="BM48" s="21" t="s">
        <v>1453</v>
      </c>
      <c r="BN48" s="21" t="s">
        <v>231</v>
      </c>
      <c r="BO48" s="21" t="s">
        <v>518</v>
      </c>
      <c r="BP48" s="21" t="s">
        <v>1044</v>
      </c>
      <c r="BQ48" s="21" t="s">
        <v>1453</v>
      </c>
      <c r="BR48" s="21" t="s">
        <v>231</v>
      </c>
      <c r="BS48" s="21" t="s">
        <v>518</v>
      </c>
      <c r="BT48" s="21" t="s">
        <v>1044</v>
      </c>
      <c r="BU48" s="21" t="s">
        <v>231</v>
      </c>
      <c r="CD48" s="21" t="s">
        <v>520</v>
      </c>
      <c r="CF48" s="21" t="s">
        <v>521</v>
      </c>
      <c r="DB48" s="24" t="s">
        <v>943</v>
      </c>
      <c r="DC48" s="21">
        <v>1</v>
      </c>
      <c r="DD48" s="21">
        <v>1</v>
      </c>
      <c r="DE48" s="22">
        <v>42739</v>
      </c>
      <c r="DF48" s="21" t="s">
        <v>1454</v>
      </c>
      <c r="DG48" s="21" t="s">
        <v>522</v>
      </c>
      <c r="DH48" s="21" t="s">
        <v>1455</v>
      </c>
      <c r="DI48" s="21" t="s">
        <v>495</v>
      </c>
      <c r="DJ48" s="21" t="s">
        <v>523</v>
      </c>
      <c r="DL48" s="22">
        <v>42745</v>
      </c>
      <c r="DM48" s="22">
        <v>42735</v>
      </c>
      <c r="DN48" s="21">
        <v>1100</v>
      </c>
      <c r="DO48" s="21">
        <v>10</v>
      </c>
      <c r="DP48" s="21">
        <v>1</v>
      </c>
      <c r="DQ48" s="21">
        <v>1</v>
      </c>
      <c r="DR48" s="21">
        <v>6</v>
      </c>
      <c r="DS48" s="21">
        <v>10</v>
      </c>
      <c r="DT48" s="21">
        <v>9</v>
      </c>
      <c r="DU48" s="21">
        <v>10</v>
      </c>
      <c r="DW48" s="21">
        <v>10</v>
      </c>
      <c r="EA48" s="21">
        <v>10</v>
      </c>
      <c r="EF48" s="25">
        <v>1</v>
      </c>
      <c r="EG48" s="25">
        <v>0</v>
      </c>
      <c r="EH48" s="25">
        <v>1</v>
      </c>
      <c r="EI48" s="25">
        <v>0</v>
      </c>
      <c r="EJ48" s="25" t="s">
        <v>92</v>
      </c>
      <c r="EK48" s="25" t="s">
        <v>232</v>
      </c>
      <c r="EL48" s="25" t="s">
        <v>232</v>
      </c>
      <c r="EM48" s="25" t="s">
        <v>276</v>
      </c>
      <c r="EN48" s="25" t="s">
        <v>39</v>
      </c>
      <c r="EO48" s="25" t="s">
        <v>39</v>
      </c>
      <c r="EP48" s="25" t="s">
        <v>92</v>
      </c>
      <c r="EQ48" s="25" t="s">
        <v>92</v>
      </c>
      <c r="ER48" s="25" t="s">
        <v>278</v>
      </c>
      <c r="ES48" s="25" t="s">
        <v>278</v>
      </c>
      <c r="ET48" s="25">
        <v>1</v>
      </c>
      <c r="EU48" s="25" t="s">
        <v>522</v>
      </c>
      <c r="EV48" s="25" t="s">
        <v>232</v>
      </c>
      <c r="EW48" s="25" t="s">
        <v>39</v>
      </c>
      <c r="EX48" s="25" t="s">
        <v>278</v>
      </c>
      <c r="EY48" s="20" t="e">
        <v>#N/A</v>
      </c>
    </row>
    <row r="49" spans="1:155">
      <c r="A49" s="21" t="s">
        <v>491</v>
      </c>
      <c r="B49" s="21" t="s">
        <v>491</v>
      </c>
      <c r="C49" s="21" t="s">
        <v>492</v>
      </c>
      <c r="D49" s="21" t="s">
        <v>493</v>
      </c>
      <c r="E49" s="21" t="s">
        <v>493</v>
      </c>
      <c r="F49" s="21" t="s">
        <v>493</v>
      </c>
      <c r="G49" s="21" t="s">
        <v>1456</v>
      </c>
      <c r="H49" s="21">
        <v>2134961334</v>
      </c>
      <c r="I49" s="21" t="s">
        <v>494</v>
      </c>
      <c r="J49" s="21" t="s">
        <v>1457</v>
      </c>
      <c r="L49" s="21" t="s">
        <v>495</v>
      </c>
      <c r="M49" s="21" t="s">
        <v>1458</v>
      </c>
      <c r="N49" s="21" t="s">
        <v>1459</v>
      </c>
      <c r="O49" s="21" t="s">
        <v>100</v>
      </c>
      <c r="P49" s="21" t="s">
        <v>1187</v>
      </c>
      <c r="Q49" s="21" t="s">
        <v>1168</v>
      </c>
      <c r="R49" s="21" t="s">
        <v>1460</v>
      </c>
      <c r="S49" s="21" t="s">
        <v>1461</v>
      </c>
      <c r="V49" s="21" t="s">
        <v>277</v>
      </c>
      <c r="W49" s="21" t="s">
        <v>524</v>
      </c>
      <c r="X49" s="21" t="s">
        <v>525</v>
      </c>
      <c r="Y49" s="21" t="s">
        <v>1190</v>
      </c>
      <c r="Z49" s="21">
        <v>3035334767</v>
      </c>
      <c r="AA49" s="22">
        <v>42733</v>
      </c>
      <c r="AB49" s="22">
        <v>42733</v>
      </c>
      <c r="AC49" s="21" t="s">
        <v>504</v>
      </c>
      <c r="AD49" s="21" t="s">
        <v>505</v>
      </c>
      <c r="AE49" s="21" t="s">
        <v>1156</v>
      </c>
      <c r="AF49" s="21" t="s">
        <v>1157</v>
      </c>
      <c r="AG49" s="21" t="s">
        <v>1462</v>
      </c>
      <c r="AH49" s="21" t="s">
        <v>1463</v>
      </c>
      <c r="AI49" s="21" t="s">
        <v>1464</v>
      </c>
      <c r="AJ49" s="21" t="s">
        <v>526</v>
      </c>
      <c r="AK49" s="21" t="s">
        <v>494</v>
      </c>
      <c r="AL49" s="21" t="s">
        <v>1465</v>
      </c>
      <c r="AM49" s="21" t="s">
        <v>1466</v>
      </c>
      <c r="AN49" s="21" t="s">
        <v>1466</v>
      </c>
      <c r="AO49" s="21" t="s">
        <v>528</v>
      </c>
      <c r="AS49" s="21" t="s">
        <v>511</v>
      </c>
      <c r="AT49" s="21" t="s">
        <v>512</v>
      </c>
      <c r="AW49" s="21">
        <v>0</v>
      </c>
      <c r="AX49" s="21">
        <v>2</v>
      </c>
      <c r="AY49" s="22"/>
      <c r="BB49" s="22"/>
      <c r="BC49" s="21" t="s">
        <v>513</v>
      </c>
      <c r="BD49" s="21" t="s">
        <v>514</v>
      </c>
      <c r="BE49" s="21" t="s">
        <v>514</v>
      </c>
      <c r="BF49" s="21" t="s">
        <v>515</v>
      </c>
      <c r="BG49" s="21">
        <v>1</v>
      </c>
      <c r="BH49" s="21" t="s">
        <v>516</v>
      </c>
      <c r="BI49" s="21" t="s">
        <v>517</v>
      </c>
      <c r="BJ49" s="21" t="s">
        <v>516</v>
      </c>
      <c r="BK49" s="21" t="s">
        <v>516</v>
      </c>
      <c r="BM49" s="21" t="s">
        <v>42</v>
      </c>
      <c r="BN49" s="21" t="s">
        <v>246</v>
      </c>
      <c r="BO49" s="21" t="s">
        <v>518</v>
      </c>
      <c r="BP49" s="21" t="s">
        <v>519</v>
      </c>
      <c r="BQ49" s="21" t="s">
        <v>42</v>
      </c>
      <c r="BR49" s="21" t="s">
        <v>246</v>
      </c>
      <c r="BS49" s="21" t="s">
        <v>518</v>
      </c>
      <c r="BT49" s="21" t="s">
        <v>519</v>
      </c>
      <c r="BU49" s="21" t="s">
        <v>246</v>
      </c>
      <c r="CD49" s="21" t="s">
        <v>520</v>
      </c>
      <c r="CF49" s="21" t="s">
        <v>521</v>
      </c>
      <c r="DB49" s="24" t="s">
        <v>943</v>
      </c>
      <c r="DC49" s="21">
        <v>1</v>
      </c>
      <c r="DD49" s="21">
        <v>1</v>
      </c>
      <c r="DE49" s="22">
        <v>42739</v>
      </c>
      <c r="DF49" s="21" t="s">
        <v>1467</v>
      </c>
      <c r="DG49" s="21" t="s">
        <v>522</v>
      </c>
      <c r="DH49" s="21" t="s">
        <v>1468</v>
      </c>
      <c r="DI49" s="21" t="s">
        <v>495</v>
      </c>
      <c r="DJ49" s="21" t="s">
        <v>523</v>
      </c>
      <c r="DL49" s="22">
        <v>42745</v>
      </c>
      <c r="DM49" s="22">
        <v>42735</v>
      </c>
      <c r="DN49" s="21">
        <v>1100</v>
      </c>
      <c r="DO49" s="21">
        <v>10</v>
      </c>
      <c r="DP49" s="21">
        <v>1</v>
      </c>
      <c r="DQ49" s="21">
        <v>1</v>
      </c>
      <c r="DR49" s="21">
        <v>7</v>
      </c>
      <c r="DS49" s="21">
        <v>10</v>
      </c>
      <c r="DT49" s="21">
        <v>10</v>
      </c>
      <c r="DU49" s="21">
        <v>10</v>
      </c>
      <c r="DW49" s="21">
        <v>10</v>
      </c>
      <c r="EA49" s="21">
        <v>10</v>
      </c>
      <c r="EB49" s="21" t="s">
        <v>1469</v>
      </c>
      <c r="EC49" s="21" t="s">
        <v>1221</v>
      </c>
      <c r="EF49" s="25">
        <v>1</v>
      </c>
      <c r="EG49" s="25">
        <v>0</v>
      </c>
      <c r="EH49" s="25">
        <v>1</v>
      </c>
      <c r="EI49" s="25">
        <v>0</v>
      </c>
      <c r="EJ49" s="25" t="s">
        <v>92</v>
      </c>
      <c r="EK49" s="25" t="s">
        <v>247</v>
      </c>
      <c r="EL49" s="25" t="s">
        <v>247</v>
      </c>
      <c r="EM49" s="25" t="s">
        <v>276</v>
      </c>
      <c r="EN49" s="25" t="s">
        <v>39</v>
      </c>
      <c r="EO49" s="25" t="s">
        <v>39</v>
      </c>
      <c r="EP49" s="25" t="s">
        <v>92</v>
      </c>
      <c r="EQ49" s="25" t="s">
        <v>92</v>
      </c>
      <c r="ER49" s="25" t="s">
        <v>278</v>
      </c>
      <c r="ES49" s="25" t="s">
        <v>278</v>
      </c>
      <c r="ET49" s="25">
        <v>1</v>
      </c>
      <c r="EU49" s="25" t="s">
        <v>522</v>
      </c>
      <c r="EV49" s="25" t="s">
        <v>247</v>
      </c>
      <c r="EW49" s="25" t="s">
        <v>39</v>
      </c>
      <c r="EX49" s="25" t="s">
        <v>278</v>
      </c>
      <c r="EY49" s="20" t="e">
        <v>#N/A</v>
      </c>
    </row>
    <row r="50" spans="1:155">
      <c r="A50" s="21" t="s">
        <v>491</v>
      </c>
      <c r="B50" s="21" t="s">
        <v>491</v>
      </c>
      <c r="C50" s="21" t="s">
        <v>492</v>
      </c>
      <c r="D50" s="21" t="s">
        <v>493</v>
      </c>
      <c r="E50" s="21" t="s">
        <v>493</v>
      </c>
      <c r="F50" s="21" t="s">
        <v>493</v>
      </c>
      <c r="G50" s="21" t="s">
        <v>1470</v>
      </c>
      <c r="H50" s="21" t="s">
        <v>1471</v>
      </c>
      <c r="I50" s="21" t="s">
        <v>1471</v>
      </c>
      <c r="J50" s="21" t="s">
        <v>1472</v>
      </c>
      <c r="L50" s="21" t="s">
        <v>495</v>
      </c>
      <c r="M50" s="21" t="s">
        <v>1473</v>
      </c>
      <c r="N50" s="21" t="s">
        <v>1474</v>
      </c>
      <c r="O50" s="21" t="s">
        <v>58</v>
      </c>
      <c r="P50" s="21" t="s">
        <v>557</v>
      </c>
      <c r="R50" s="21" t="s">
        <v>1475</v>
      </c>
      <c r="S50" s="21" t="s">
        <v>1476</v>
      </c>
      <c r="V50" s="21" t="s">
        <v>500</v>
      </c>
      <c r="W50" s="21" t="s">
        <v>501</v>
      </c>
      <c r="X50" s="21" t="s">
        <v>502</v>
      </c>
      <c r="Y50" s="21" t="s">
        <v>558</v>
      </c>
      <c r="Z50" s="21">
        <v>3035325222</v>
      </c>
      <c r="AA50" s="22">
        <v>42733</v>
      </c>
      <c r="AB50" s="22">
        <v>42733</v>
      </c>
      <c r="AC50" s="21" t="s">
        <v>504</v>
      </c>
      <c r="AD50" s="21" t="s">
        <v>505</v>
      </c>
      <c r="AE50" s="21" t="s">
        <v>500</v>
      </c>
      <c r="AF50" s="21" t="s">
        <v>564</v>
      </c>
      <c r="AG50" s="21" t="s">
        <v>1477</v>
      </c>
      <c r="AH50" s="21" t="s">
        <v>1477</v>
      </c>
      <c r="AI50" s="21" t="s">
        <v>1478</v>
      </c>
      <c r="AJ50" s="21" t="s">
        <v>507</v>
      </c>
      <c r="AK50" s="21" t="s">
        <v>494</v>
      </c>
      <c r="AL50" s="21" t="s">
        <v>527</v>
      </c>
      <c r="AM50" s="21" t="s">
        <v>527</v>
      </c>
      <c r="AN50" s="21" t="s">
        <v>527</v>
      </c>
      <c r="AO50" s="21" t="s">
        <v>528</v>
      </c>
      <c r="AS50" s="21" t="s">
        <v>511</v>
      </c>
      <c r="AT50" s="21" t="s">
        <v>512</v>
      </c>
      <c r="AW50" s="21">
        <v>0</v>
      </c>
      <c r="AX50" s="21">
        <v>2</v>
      </c>
      <c r="BC50" s="21" t="s">
        <v>513</v>
      </c>
      <c r="BD50" s="21" t="s">
        <v>514</v>
      </c>
      <c r="BE50" s="21" t="s">
        <v>514</v>
      </c>
      <c r="BF50" s="21" t="s">
        <v>515</v>
      </c>
      <c r="BG50" s="21">
        <v>1</v>
      </c>
      <c r="BH50" s="21" t="s">
        <v>516</v>
      </c>
      <c r="BI50" s="21" t="s">
        <v>517</v>
      </c>
      <c r="BJ50" s="21" t="s">
        <v>516</v>
      </c>
      <c r="BK50" s="21" t="s">
        <v>516</v>
      </c>
      <c r="BM50" s="21" t="s">
        <v>55</v>
      </c>
      <c r="BN50" s="21" t="s">
        <v>137</v>
      </c>
      <c r="BO50" s="21" t="s">
        <v>518</v>
      </c>
      <c r="BP50" s="21" t="s">
        <v>519</v>
      </c>
      <c r="BQ50" s="21" t="s">
        <v>55</v>
      </c>
      <c r="BR50" s="21" t="s">
        <v>137</v>
      </c>
      <c r="BS50" s="21" t="s">
        <v>518</v>
      </c>
      <c r="BT50" s="21" t="s">
        <v>519</v>
      </c>
      <c r="BU50" s="21" t="s">
        <v>137</v>
      </c>
      <c r="CD50" s="21" t="s">
        <v>520</v>
      </c>
      <c r="CF50" s="21" t="s">
        <v>521</v>
      </c>
      <c r="CN50" s="22"/>
      <c r="DB50" s="24" t="s">
        <v>943</v>
      </c>
      <c r="DC50" s="21">
        <v>1</v>
      </c>
      <c r="DD50" s="21">
        <v>1</v>
      </c>
      <c r="DE50" s="22">
        <v>42739</v>
      </c>
      <c r="DF50" s="21" t="s">
        <v>1479</v>
      </c>
      <c r="DG50" s="21" t="s">
        <v>522</v>
      </c>
      <c r="DH50" s="21" t="s">
        <v>1480</v>
      </c>
      <c r="DI50" s="21" t="s">
        <v>495</v>
      </c>
      <c r="DJ50" s="21" t="s">
        <v>523</v>
      </c>
      <c r="DL50" s="22">
        <v>42745</v>
      </c>
      <c r="DM50" s="22">
        <v>42735</v>
      </c>
      <c r="DN50" s="21">
        <v>3100</v>
      </c>
      <c r="DO50" s="21">
        <v>9</v>
      </c>
      <c r="DP50" s="21">
        <v>1</v>
      </c>
      <c r="DQ50" s="21">
        <v>1</v>
      </c>
      <c r="DR50" s="21">
        <v>6</v>
      </c>
      <c r="DS50" s="21">
        <v>10</v>
      </c>
      <c r="DT50" s="21">
        <v>10</v>
      </c>
      <c r="DU50" s="21">
        <v>10</v>
      </c>
      <c r="DW50" s="21">
        <v>10</v>
      </c>
      <c r="EA50" s="21">
        <v>9</v>
      </c>
      <c r="EF50" s="25">
        <v>1</v>
      </c>
      <c r="EG50" s="25">
        <v>0</v>
      </c>
      <c r="EH50" s="25">
        <v>1</v>
      </c>
      <c r="EI50" s="25">
        <v>0</v>
      </c>
      <c r="EJ50" s="25" t="s">
        <v>62</v>
      </c>
      <c r="EK50" s="25" t="s">
        <v>138</v>
      </c>
      <c r="EL50" s="25" t="s">
        <v>138</v>
      </c>
      <c r="EM50" s="25" t="s">
        <v>276</v>
      </c>
      <c r="EN50" s="25" t="s">
        <v>23</v>
      </c>
      <c r="EO50" s="25" t="s">
        <v>23</v>
      </c>
      <c r="EP50" s="25" t="s">
        <v>62</v>
      </c>
      <c r="EQ50" s="25" t="s">
        <v>62</v>
      </c>
      <c r="ER50" s="25" t="s">
        <v>278</v>
      </c>
      <c r="ES50" s="25" t="s">
        <v>278</v>
      </c>
      <c r="ET50" s="25">
        <v>1</v>
      </c>
      <c r="EU50" s="25" t="s">
        <v>522</v>
      </c>
      <c r="EV50" s="25" t="s">
        <v>138</v>
      </c>
      <c r="EW50" s="25" t="s">
        <v>23</v>
      </c>
      <c r="EX50" s="25" t="s">
        <v>278</v>
      </c>
      <c r="EY50" s="20" t="e">
        <v>#N/A</v>
      </c>
    </row>
    <row r="51" spans="1:155">
      <c r="A51" s="21" t="s">
        <v>491</v>
      </c>
      <c r="B51" s="21" t="s">
        <v>491</v>
      </c>
      <c r="C51" s="21" t="s">
        <v>492</v>
      </c>
      <c r="D51" s="21" t="s">
        <v>493</v>
      </c>
      <c r="E51" s="21" t="s">
        <v>493</v>
      </c>
      <c r="F51" s="21" t="s">
        <v>493</v>
      </c>
      <c r="G51" s="21" t="s">
        <v>1481</v>
      </c>
      <c r="H51" s="21" t="s">
        <v>1482</v>
      </c>
      <c r="I51" s="21" t="s">
        <v>494</v>
      </c>
      <c r="J51" s="21" t="s">
        <v>1483</v>
      </c>
      <c r="L51" s="21" t="s">
        <v>495</v>
      </c>
      <c r="M51" s="21" t="s">
        <v>1484</v>
      </c>
      <c r="N51" s="21" t="s">
        <v>1485</v>
      </c>
      <c r="O51" s="21" t="s">
        <v>97</v>
      </c>
      <c r="P51" s="21" t="s">
        <v>1040</v>
      </c>
      <c r="Q51" s="21" t="s">
        <v>1178</v>
      </c>
      <c r="R51" s="21" t="s">
        <v>1486</v>
      </c>
      <c r="S51" s="21" t="s">
        <v>1487</v>
      </c>
      <c r="V51" s="21" t="s">
        <v>500</v>
      </c>
      <c r="W51" s="21" t="s">
        <v>501</v>
      </c>
      <c r="X51" s="21" t="s">
        <v>502</v>
      </c>
      <c r="Y51" s="21" t="s">
        <v>503</v>
      </c>
      <c r="Z51" s="21">
        <v>3035323302</v>
      </c>
      <c r="AA51" s="22">
        <v>42733</v>
      </c>
      <c r="AB51" s="22">
        <v>42733</v>
      </c>
      <c r="AC51" s="21" t="s">
        <v>504</v>
      </c>
      <c r="AD51" s="21" t="s">
        <v>505</v>
      </c>
      <c r="AE51" s="21" t="s">
        <v>500</v>
      </c>
      <c r="AF51" s="21" t="s">
        <v>549</v>
      </c>
      <c r="AG51" s="21" t="s">
        <v>1488</v>
      </c>
      <c r="AH51" s="21" t="s">
        <v>1489</v>
      </c>
      <c r="AI51" s="21" t="s">
        <v>1490</v>
      </c>
      <c r="AJ51" s="21" t="s">
        <v>526</v>
      </c>
      <c r="AK51" s="21" t="s">
        <v>494</v>
      </c>
      <c r="AL51" s="21" t="s">
        <v>527</v>
      </c>
      <c r="AM51" s="21" t="s">
        <v>527</v>
      </c>
      <c r="AN51" s="21" t="s">
        <v>527</v>
      </c>
      <c r="AO51" s="21" t="s">
        <v>528</v>
      </c>
      <c r="AS51" s="21" t="s">
        <v>511</v>
      </c>
      <c r="AT51" s="21" t="s">
        <v>512</v>
      </c>
      <c r="AW51" s="21">
        <v>0</v>
      </c>
      <c r="AX51" s="21">
        <v>2</v>
      </c>
      <c r="BC51" s="21" t="s">
        <v>513</v>
      </c>
      <c r="BD51" s="21" t="s">
        <v>514</v>
      </c>
      <c r="BE51" s="21" t="s">
        <v>514</v>
      </c>
      <c r="BF51" s="21" t="s">
        <v>515</v>
      </c>
      <c r="BG51" s="21">
        <v>1</v>
      </c>
      <c r="BH51" s="21" t="s">
        <v>516</v>
      </c>
      <c r="BI51" s="21" t="s">
        <v>517</v>
      </c>
      <c r="BJ51" s="21" t="s">
        <v>516</v>
      </c>
      <c r="BK51" s="21" t="s">
        <v>516</v>
      </c>
      <c r="BM51" s="21" t="s">
        <v>28</v>
      </c>
      <c r="BN51" s="21" t="s">
        <v>158</v>
      </c>
      <c r="BO51" s="21" t="s">
        <v>518</v>
      </c>
      <c r="BP51" s="21" t="s">
        <v>519</v>
      </c>
      <c r="BQ51" s="21" t="s">
        <v>28</v>
      </c>
      <c r="BR51" s="21" t="s">
        <v>158</v>
      </c>
      <c r="BS51" s="21" t="s">
        <v>518</v>
      </c>
      <c r="BT51" s="21" t="s">
        <v>519</v>
      </c>
      <c r="BU51" s="21" t="s">
        <v>158</v>
      </c>
      <c r="CD51" s="21" t="s">
        <v>520</v>
      </c>
      <c r="CF51" s="21" t="s">
        <v>521</v>
      </c>
      <c r="DB51" s="24" t="s">
        <v>943</v>
      </c>
      <c r="DC51" s="21">
        <v>1</v>
      </c>
      <c r="DD51" s="21">
        <v>1</v>
      </c>
      <c r="DE51" s="22">
        <v>42739</v>
      </c>
      <c r="DF51" s="21" t="s">
        <v>1491</v>
      </c>
      <c r="DG51" s="21" t="s">
        <v>522</v>
      </c>
      <c r="DH51" s="21" t="s">
        <v>1492</v>
      </c>
      <c r="DI51" s="21" t="s">
        <v>495</v>
      </c>
      <c r="DJ51" s="21" t="s">
        <v>523</v>
      </c>
      <c r="DL51" s="22">
        <v>42745</v>
      </c>
      <c r="DM51" s="22">
        <v>42735</v>
      </c>
      <c r="DN51" s="21">
        <v>3100</v>
      </c>
      <c r="DO51" s="21">
        <v>10</v>
      </c>
      <c r="DP51" s="21">
        <v>1</v>
      </c>
      <c r="DQ51" s="21">
        <v>2</v>
      </c>
      <c r="DR51" s="21">
        <v>7</v>
      </c>
      <c r="DS51" s="21">
        <v>10</v>
      </c>
      <c r="DT51" s="21">
        <v>10</v>
      </c>
      <c r="DU51" s="21">
        <v>10</v>
      </c>
      <c r="DW51" s="21">
        <v>10</v>
      </c>
      <c r="EA51" s="21">
        <v>10</v>
      </c>
      <c r="EB51" s="21" t="s">
        <v>1493</v>
      </c>
      <c r="EC51" s="21" t="s">
        <v>1002</v>
      </c>
      <c r="EF51" s="25">
        <v>1</v>
      </c>
      <c r="EG51" s="25">
        <v>0</v>
      </c>
      <c r="EH51" s="25">
        <v>1</v>
      </c>
      <c r="EI51" s="25">
        <v>0</v>
      </c>
      <c r="EJ51" s="25" t="s">
        <v>62</v>
      </c>
      <c r="EK51" s="25" t="s">
        <v>159</v>
      </c>
      <c r="EL51" s="25" t="s">
        <v>159</v>
      </c>
      <c r="EM51" s="25" t="s">
        <v>276</v>
      </c>
      <c r="EN51" s="25" t="s">
        <v>9</v>
      </c>
      <c r="EO51" s="25" t="s">
        <v>9</v>
      </c>
      <c r="EP51" s="25" t="s">
        <v>62</v>
      </c>
      <c r="EQ51" s="25" t="s">
        <v>62</v>
      </c>
      <c r="ER51" s="25" t="s">
        <v>278</v>
      </c>
      <c r="ES51" s="25" t="s">
        <v>278</v>
      </c>
      <c r="ET51" s="25">
        <v>1</v>
      </c>
      <c r="EU51" s="25" t="s">
        <v>522</v>
      </c>
      <c r="EV51" s="25" t="s">
        <v>159</v>
      </c>
      <c r="EW51" s="25" t="s">
        <v>9</v>
      </c>
      <c r="EX51" s="25" t="s">
        <v>278</v>
      </c>
      <c r="EY51" s="20" t="e">
        <v>#N/A</v>
      </c>
    </row>
    <row r="52" spans="1:155">
      <c r="A52" s="21" t="s">
        <v>491</v>
      </c>
      <c r="B52" s="21" t="s">
        <v>491</v>
      </c>
      <c r="C52" s="21" t="s">
        <v>492</v>
      </c>
      <c r="D52" s="21" t="s">
        <v>493</v>
      </c>
      <c r="E52" s="21" t="s">
        <v>493</v>
      </c>
      <c r="F52" s="21" t="s">
        <v>493</v>
      </c>
      <c r="G52" s="21" t="s">
        <v>1494</v>
      </c>
      <c r="H52" s="21">
        <v>1636394838</v>
      </c>
      <c r="I52" s="21" t="s">
        <v>494</v>
      </c>
      <c r="J52" s="21" t="s">
        <v>1495</v>
      </c>
      <c r="L52" s="21" t="s">
        <v>495</v>
      </c>
      <c r="M52" s="21" t="s">
        <v>1496</v>
      </c>
      <c r="N52" s="21" t="s">
        <v>496</v>
      </c>
      <c r="O52" s="21" t="s">
        <v>69</v>
      </c>
      <c r="P52" s="21" t="s">
        <v>497</v>
      </c>
      <c r="R52" s="21" t="s">
        <v>498</v>
      </c>
      <c r="S52" s="21" t="s">
        <v>499</v>
      </c>
      <c r="V52" s="21" t="s">
        <v>500</v>
      </c>
      <c r="W52" s="21" t="s">
        <v>501</v>
      </c>
      <c r="X52" s="21" t="s">
        <v>502</v>
      </c>
      <c r="Y52" s="21" t="s">
        <v>503</v>
      </c>
      <c r="Z52" s="21">
        <v>3035326513</v>
      </c>
      <c r="AA52" s="22">
        <v>42733</v>
      </c>
      <c r="AB52" s="22">
        <v>42733</v>
      </c>
      <c r="AC52" s="21" t="s">
        <v>504</v>
      </c>
      <c r="AD52" s="21" t="s">
        <v>505</v>
      </c>
      <c r="AE52" s="21" t="s">
        <v>500</v>
      </c>
      <c r="AF52" s="21" t="s">
        <v>564</v>
      </c>
      <c r="AG52" s="21" t="s">
        <v>571</v>
      </c>
      <c r="AH52" s="21" t="s">
        <v>572</v>
      </c>
      <c r="AI52" s="21" t="s">
        <v>1497</v>
      </c>
      <c r="AJ52" s="21" t="s">
        <v>507</v>
      </c>
      <c r="AK52" s="21" t="s">
        <v>494</v>
      </c>
      <c r="AL52" s="21" t="s">
        <v>527</v>
      </c>
      <c r="AM52" s="21" t="s">
        <v>527</v>
      </c>
      <c r="AN52" s="21" t="s">
        <v>527</v>
      </c>
      <c r="AO52" s="21" t="s">
        <v>528</v>
      </c>
      <c r="AS52" s="21" t="s">
        <v>511</v>
      </c>
      <c r="AT52" s="21" t="s">
        <v>512</v>
      </c>
      <c r="AW52" s="21">
        <v>0</v>
      </c>
      <c r="AX52" s="21">
        <v>2</v>
      </c>
      <c r="BC52" s="21" t="s">
        <v>513</v>
      </c>
      <c r="BD52" s="21" t="s">
        <v>514</v>
      </c>
      <c r="BE52" s="21" t="s">
        <v>514</v>
      </c>
      <c r="BF52" s="21" t="s">
        <v>515</v>
      </c>
      <c r="BG52" s="21">
        <v>1</v>
      </c>
      <c r="BH52" s="21" t="s">
        <v>516</v>
      </c>
      <c r="BI52" s="21" t="s">
        <v>517</v>
      </c>
      <c r="BJ52" s="21" t="s">
        <v>516</v>
      </c>
      <c r="BK52" s="21" t="s">
        <v>516</v>
      </c>
      <c r="BM52" s="21" t="s">
        <v>580</v>
      </c>
      <c r="BN52" s="21" t="s">
        <v>94</v>
      </c>
      <c r="BO52" s="21" t="s">
        <v>518</v>
      </c>
      <c r="BP52" s="21" t="s">
        <v>519</v>
      </c>
      <c r="BQ52" s="21" t="s">
        <v>580</v>
      </c>
      <c r="BR52" s="21" t="s">
        <v>94</v>
      </c>
      <c r="BS52" s="21" t="s">
        <v>518</v>
      </c>
      <c r="BT52" s="21" t="s">
        <v>519</v>
      </c>
      <c r="BU52" s="21" t="s">
        <v>94</v>
      </c>
      <c r="CD52" s="21" t="s">
        <v>520</v>
      </c>
      <c r="CF52" s="21" t="s">
        <v>521</v>
      </c>
      <c r="CN52" s="22"/>
      <c r="DB52" s="24" t="s">
        <v>943</v>
      </c>
      <c r="DC52" s="21">
        <v>1</v>
      </c>
      <c r="DD52" s="21">
        <v>1</v>
      </c>
      <c r="DE52" s="22">
        <v>42739</v>
      </c>
      <c r="DF52" s="21" t="s">
        <v>1498</v>
      </c>
      <c r="DG52" s="21" t="s">
        <v>522</v>
      </c>
      <c r="DH52" s="21" t="s">
        <v>1499</v>
      </c>
      <c r="DI52" s="21" t="s">
        <v>495</v>
      </c>
      <c r="DJ52" s="21" t="s">
        <v>523</v>
      </c>
      <c r="DL52" s="22">
        <v>42745</v>
      </c>
      <c r="DM52" s="22">
        <v>42735</v>
      </c>
      <c r="DN52" s="21">
        <v>3100</v>
      </c>
      <c r="DO52" s="21">
        <v>8</v>
      </c>
      <c r="DP52" s="21">
        <v>1</v>
      </c>
      <c r="DQ52" s="21">
        <v>1</v>
      </c>
      <c r="DR52" s="21">
        <v>6</v>
      </c>
      <c r="DS52" s="21">
        <v>9</v>
      </c>
      <c r="DT52" s="21">
        <v>9</v>
      </c>
      <c r="DU52" s="21">
        <v>9</v>
      </c>
      <c r="DW52" s="21">
        <v>9</v>
      </c>
      <c r="EA52" s="21">
        <v>9</v>
      </c>
      <c r="EF52" s="25">
        <v>1</v>
      </c>
      <c r="EG52" s="25">
        <v>0</v>
      </c>
      <c r="EH52" s="25">
        <v>0</v>
      </c>
      <c r="EI52" s="25">
        <v>0</v>
      </c>
      <c r="EJ52" s="25" t="s">
        <v>62</v>
      </c>
      <c r="EK52" s="25" t="s">
        <v>95</v>
      </c>
      <c r="EL52" s="25" t="s">
        <v>95</v>
      </c>
      <c r="EM52" s="25" t="s">
        <v>276</v>
      </c>
      <c r="EN52" s="25" t="s">
        <v>9</v>
      </c>
      <c r="EO52" s="25" t="s">
        <v>9</v>
      </c>
      <c r="EP52" s="25" t="s">
        <v>62</v>
      </c>
      <c r="EQ52" s="25" t="s">
        <v>62</v>
      </c>
      <c r="ER52" s="25" t="s">
        <v>278</v>
      </c>
      <c r="ES52" s="25" t="s">
        <v>278</v>
      </c>
      <c r="ET52" s="25">
        <v>1</v>
      </c>
      <c r="EU52" s="25" t="s">
        <v>522</v>
      </c>
      <c r="EV52" s="25" t="s">
        <v>95</v>
      </c>
      <c r="EW52" s="25" t="s">
        <v>9</v>
      </c>
      <c r="EX52" s="25" t="s">
        <v>278</v>
      </c>
      <c r="EY52" s="20" t="e">
        <v>#N/A</v>
      </c>
    </row>
    <row r="53" spans="1:155">
      <c r="A53" s="21" t="s">
        <v>491</v>
      </c>
      <c r="B53" s="21" t="s">
        <v>491</v>
      </c>
      <c r="C53" s="21" t="s">
        <v>492</v>
      </c>
      <c r="D53" s="21" t="s">
        <v>493</v>
      </c>
      <c r="E53" s="21" t="s">
        <v>493</v>
      </c>
      <c r="F53" s="21" t="s">
        <v>493</v>
      </c>
      <c r="G53" s="21" t="s">
        <v>1500</v>
      </c>
      <c r="H53" s="21">
        <v>8332184288</v>
      </c>
      <c r="I53" s="21" t="s">
        <v>494</v>
      </c>
      <c r="J53" s="21" t="s">
        <v>1501</v>
      </c>
      <c r="L53" s="21" t="s">
        <v>495</v>
      </c>
      <c r="M53" s="21" t="s">
        <v>1502</v>
      </c>
      <c r="N53" s="21" t="s">
        <v>1503</v>
      </c>
      <c r="O53" s="21" t="s">
        <v>93</v>
      </c>
      <c r="P53" s="21" t="s">
        <v>539</v>
      </c>
      <c r="R53" s="21" t="s">
        <v>1504</v>
      </c>
      <c r="S53" s="21" t="s">
        <v>1388</v>
      </c>
      <c r="V53" s="21" t="s">
        <v>277</v>
      </c>
      <c r="W53" s="21" t="s">
        <v>524</v>
      </c>
      <c r="X53" s="21" t="s">
        <v>525</v>
      </c>
      <c r="Y53" s="21" t="s">
        <v>530</v>
      </c>
      <c r="Z53" s="21">
        <v>3035334598</v>
      </c>
      <c r="AA53" s="22">
        <v>42733</v>
      </c>
      <c r="AB53" s="22">
        <v>42734</v>
      </c>
      <c r="AC53" s="21" t="s">
        <v>504</v>
      </c>
      <c r="AD53" s="21" t="s">
        <v>505</v>
      </c>
      <c r="AE53" s="21" t="s">
        <v>1156</v>
      </c>
      <c r="AF53" s="21" t="s">
        <v>1505</v>
      </c>
      <c r="AG53" s="21" t="s">
        <v>1506</v>
      </c>
      <c r="AH53" s="21" t="s">
        <v>1507</v>
      </c>
      <c r="AI53" s="21" t="s">
        <v>1372</v>
      </c>
      <c r="AJ53" s="21" t="s">
        <v>507</v>
      </c>
      <c r="AK53" s="21" t="s">
        <v>494</v>
      </c>
      <c r="AL53" s="21" t="s">
        <v>527</v>
      </c>
      <c r="AM53" s="21" t="s">
        <v>527</v>
      </c>
      <c r="AN53" s="21" t="s">
        <v>527</v>
      </c>
      <c r="AO53" s="21" t="s">
        <v>528</v>
      </c>
      <c r="AS53" s="21" t="s">
        <v>511</v>
      </c>
      <c r="AT53" s="21" t="s">
        <v>512</v>
      </c>
      <c r="AW53" s="21">
        <v>0</v>
      </c>
      <c r="AX53" s="21">
        <v>0</v>
      </c>
      <c r="BC53" s="21" t="s">
        <v>513</v>
      </c>
      <c r="BD53" s="21" t="s">
        <v>514</v>
      </c>
      <c r="BE53" s="21" t="s">
        <v>514</v>
      </c>
      <c r="BF53" s="21" t="s">
        <v>1351</v>
      </c>
      <c r="BG53" s="21">
        <v>1</v>
      </c>
      <c r="BH53" s="21" t="s">
        <v>516</v>
      </c>
      <c r="BI53" s="21" t="s">
        <v>517</v>
      </c>
      <c r="BJ53" s="21" t="s">
        <v>516</v>
      </c>
      <c r="BK53" s="21" t="s">
        <v>516</v>
      </c>
      <c r="BM53" s="21" t="s">
        <v>281</v>
      </c>
      <c r="BN53" s="21" t="s">
        <v>142</v>
      </c>
      <c r="BO53" s="21" t="s">
        <v>518</v>
      </c>
      <c r="BP53" s="21" t="s">
        <v>519</v>
      </c>
      <c r="BQ53" s="21" t="s">
        <v>281</v>
      </c>
      <c r="BR53" s="21" t="s">
        <v>142</v>
      </c>
      <c r="BS53" s="21" t="s">
        <v>518</v>
      </c>
      <c r="BT53" s="21" t="s">
        <v>519</v>
      </c>
      <c r="BU53" s="21" t="s">
        <v>142</v>
      </c>
      <c r="CD53" s="21" t="s">
        <v>520</v>
      </c>
      <c r="CF53" s="21" t="s">
        <v>521</v>
      </c>
      <c r="DB53" s="21" t="s">
        <v>943</v>
      </c>
      <c r="DC53" s="21">
        <v>1</v>
      </c>
      <c r="DD53" s="21">
        <v>1</v>
      </c>
      <c r="DE53" s="22">
        <v>42739</v>
      </c>
      <c r="DF53" s="21" t="s">
        <v>1508</v>
      </c>
      <c r="DG53" s="21" t="s">
        <v>522</v>
      </c>
      <c r="DH53" s="21" t="s">
        <v>1509</v>
      </c>
      <c r="DI53" s="21" t="s">
        <v>495</v>
      </c>
      <c r="DJ53" s="21" t="s">
        <v>520</v>
      </c>
      <c r="DL53" s="21">
        <v>42746</v>
      </c>
      <c r="DM53" s="21">
        <v>42736</v>
      </c>
      <c r="DN53" s="21">
        <v>1100</v>
      </c>
      <c r="DO53" s="21">
        <v>10</v>
      </c>
      <c r="DP53" s="21">
        <v>1</v>
      </c>
      <c r="DQ53" s="21">
        <v>1</v>
      </c>
      <c r="DR53" s="21">
        <v>6</v>
      </c>
      <c r="DS53" s="21">
        <v>10</v>
      </c>
      <c r="DT53" s="21">
        <v>10</v>
      </c>
      <c r="DU53" s="21">
        <v>10</v>
      </c>
      <c r="DW53" s="21">
        <v>10</v>
      </c>
      <c r="EA53" s="21">
        <v>10</v>
      </c>
      <c r="EF53" s="25">
        <v>1</v>
      </c>
      <c r="EG53" s="25">
        <v>0</v>
      </c>
      <c r="EH53" s="25">
        <v>1</v>
      </c>
      <c r="EI53" s="25">
        <v>0</v>
      </c>
      <c r="EJ53" s="25" t="s">
        <v>92</v>
      </c>
      <c r="EK53" s="25" t="s">
        <v>143</v>
      </c>
      <c r="EL53" s="25" t="s">
        <v>143</v>
      </c>
      <c r="EM53" s="25" t="s">
        <v>276</v>
      </c>
      <c r="EN53" s="25" t="s">
        <v>51</v>
      </c>
      <c r="EO53" s="25" t="s">
        <v>51</v>
      </c>
      <c r="EP53" s="25" t="s">
        <v>1355</v>
      </c>
      <c r="EQ53" s="25" t="s">
        <v>1355</v>
      </c>
      <c r="ER53" s="25" t="s">
        <v>278</v>
      </c>
      <c r="ES53" s="25" t="s">
        <v>278</v>
      </c>
      <c r="ET53" s="25">
        <v>1</v>
      </c>
      <c r="EU53" s="25" t="s">
        <v>522</v>
      </c>
      <c r="EV53" s="25" t="s">
        <v>143</v>
      </c>
      <c r="EW53" s="25" t="s">
        <v>51</v>
      </c>
      <c r="EX53" s="25" t="s">
        <v>278</v>
      </c>
      <c r="EY53" s="20" t="e">
        <v>#N/A</v>
      </c>
    </row>
    <row r="54" spans="1:155">
      <c r="A54" s="21" t="s">
        <v>491</v>
      </c>
      <c r="B54" s="21" t="s">
        <v>491</v>
      </c>
      <c r="C54" s="21" t="s">
        <v>492</v>
      </c>
      <c r="D54" s="21" t="s">
        <v>493</v>
      </c>
      <c r="E54" s="21" t="s">
        <v>493</v>
      </c>
      <c r="F54" s="21" t="s">
        <v>493</v>
      </c>
      <c r="G54" s="21" t="s">
        <v>1510</v>
      </c>
      <c r="H54" s="21" t="s">
        <v>1511</v>
      </c>
      <c r="I54" s="21" t="s">
        <v>494</v>
      </c>
      <c r="J54" s="21" t="s">
        <v>1512</v>
      </c>
      <c r="L54" s="21" t="s">
        <v>495</v>
      </c>
      <c r="M54" s="21" t="s">
        <v>1513</v>
      </c>
      <c r="N54" s="21" t="s">
        <v>1514</v>
      </c>
      <c r="O54" s="21" t="s">
        <v>100</v>
      </c>
      <c r="P54" s="21" t="s">
        <v>1187</v>
      </c>
      <c r="Q54" s="21" t="s">
        <v>1301</v>
      </c>
      <c r="R54" s="21" t="s">
        <v>1515</v>
      </c>
      <c r="S54" s="21" t="s">
        <v>1461</v>
      </c>
      <c r="V54" s="21" t="s">
        <v>277</v>
      </c>
      <c r="W54" s="21" t="s">
        <v>524</v>
      </c>
      <c r="X54" s="21" t="s">
        <v>525</v>
      </c>
      <c r="Y54" s="21" t="s">
        <v>1190</v>
      </c>
      <c r="Z54" s="21">
        <v>3035191889</v>
      </c>
      <c r="AA54" s="22">
        <v>42727</v>
      </c>
      <c r="AB54" s="22">
        <v>42737</v>
      </c>
      <c r="AC54" s="21" t="s">
        <v>504</v>
      </c>
      <c r="AD54" s="21" t="s">
        <v>505</v>
      </c>
      <c r="AE54" s="21" t="s">
        <v>1054</v>
      </c>
      <c r="AF54" s="21" t="s">
        <v>1105</v>
      </c>
      <c r="AG54" s="21" t="s">
        <v>1516</v>
      </c>
      <c r="AH54" s="21" t="s">
        <v>1517</v>
      </c>
      <c r="AI54" s="21" t="s">
        <v>1518</v>
      </c>
      <c r="AJ54" s="21" t="s">
        <v>526</v>
      </c>
      <c r="AK54" s="21" t="s">
        <v>494</v>
      </c>
      <c r="AL54" s="21" t="s">
        <v>527</v>
      </c>
      <c r="AM54" s="21" t="s">
        <v>527</v>
      </c>
      <c r="AN54" s="21" t="s">
        <v>527</v>
      </c>
      <c r="AO54" s="21" t="s">
        <v>528</v>
      </c>
      <c r="AS54" s="21" t="s">
        <v>531</v>
      </c>
      <c r="AT54" s="21" t="s">
        <v>512</v>
      </c>
      <c r="AW54" s="21">
        <v>0</v>
      </c>
      <c r="AX54" s="21">
        <v>16</v>
      </c>
      <c r="BC54" s="21" t="s">
        <v>513</v>
      </c>
      <c r="BD54" s="21" t="s">
        <v>514</v>
      </c>
      <c r="BE54" s="21" t="s">
        <v>514</v>
      </c>
      <c r="BF54" s="21" t="s">
        <v>515</v>
      </c>
      <c r="BG54" s="21">
        <v>1</v>
      </c>
      <c r="BH54" s="21" t="s">
        <v>516</v>
      </c>
      <c r="BI54" s="21" t="s">
        <v>517</v>
      </c>
      <c r="BJ54" s="21" t="s">
        <v>516</v>
      </c>
      <c r="BK54" s="21" t="s">
        <v>516</v>
      </c>
      <c r="BM54" s="21" t="s">
        <v>1519</v>
      </c>
      <c r="BN54" s="21" t="s">
        <v>221</v>
      </c>
      <c r="BO54" s="21" t="s">
        <v>518</v>
      </c>
      <c r="BP54" s="21" t="s">
        <v>1044</v>
      </c>
      <c r="BQ54" s="21" t="s">
        <v>1520</v>
      </c>
      <c r="BR54" s="21" t="s">
        <v>1213</v>
      </c>
      <c r="BS54" s="21" t="s">
        <v>849</v>
      </c>
      <c r="BT54" s="21" t="s">
        <v>541</v>
      </c>
      <c r="BU54" s="21" t="s">
        <v>221</v>
      </c>
      <c r="CD54" s="21" t="s">
        <v>520</v>
      </c>
      <c r="CF54" s="21" t="s">
        <v>521</v>
      </c>
      <c r="DB54" s="21" t="s">
        <v>943</v>
      </c>
      <c r="DC54" s="21">
        <v>1</v>
      </c>
      <c r="DD54" s="21">
        <v>1</v>
      </c>
      <c r="DE54" s="22">
        <v>42739</v>
      </c>
      <c r="DF54" s="21" t="s">
        <v>1521</v>
      </c>
      <c r="DG54" s="21" t="s">
        <v>522</v>
      </c>
      <c r="DH54" s="21" t="s">
        <v>1522</v>
      </c>
      <c r="DI54" s="21" t="s">
        <v>495</v>
      </c>
      <c r="DJ54" s="21" t="s">
        <v>520</v>
      </c>
      <c r="DL54" s="21">
        <v>42749</v>
      </c>
      <c r="DM54" s="21">
        <v>42739</v>
      </c>
      <c r="DN54" s="21">
        <v>1100</v>
      </c>
      <c r="DO54" s="21">
        <v>6</v>
      </c>
      <c r="DP54" s="21">
        <v>2</v>
      </c>
      <c r="DQ54" s="21">
        <v>2</v>
      </c>
      <c r="DR54" s="21">
        <v>2</v>
      </c>
      <c r="DS54" s="21">
        <v>7</v>
      </c>
      <c r="DT54" s="21">
        <v>7</v>
      </c>
      <c r="DU54" s="21">
        <v>5</v>
      </c>
      <c r="DW54" s="21">
        <v>4</v>
      </c>
      <c r="EA54" s="21">
        <v>5</v>
      </c>
      <c r="EB54" s="21" t="s">
        <v>1523</v>
      </c>
      <c r="EC54" s="21" t="s">
        <v>2009</v>
      </c>
      <c r="EF54" s="25">
        <v>0</v>
      </c>
      <c r="EG54" s="25">
        <v>1</v>
      </c>
      <c r="EH54" s="25">
        <v>0</v>
      </c>
      <c r="EI54" s="25">
        <v>0</v>
      </c>
      <c r="EJ54" s="25" t="s">
        <v>92</v>
      </c>
      <c r="EK54" s="25" t="s">
        <v>222</v>
      </c>
      <c r="EL54" s="25" t="s">
        <v>612</v>
      </c>
      <c r="EM54" s="25" t="s">
        <v>276</v>
      </c>
      <c r="EN54" s="25" t="s">
        <v>31</v>
      </c>
      <c r="EO54" s="25" t="s">
        <v>271</v>
      </c>
      <c r="EP54" s="25" t="s">
        <v>92</v>
      </c>
      <c r="EQ54" s="25" t="s">
        <v>548</v>
      </c>
      <c r="ER54" s="25" t="s">
        <v>278</v>
      </c>
      <c r="ES54" s="25" t="s">
        <v>278</v>
      </c>
      <c r="ET54" s="25">
        <v>1</v>
      </c>
      <c r="EU54" s="25" t="s">
        <v>522</v>
      </c>
      <c r="EV54" s="25" t="s">
        <v>279</v>
      </c>
      <c r="EW54" s="25" t="s">
        <v>279</v>
      </c>
      <c r="EX54" s="25" t="s">
        <v>279</v>
      </c>
      <c r="EY54" s="20" t="e">
        <v>#N/A</v>
      </c>
    </row>
    <row r="55" spans="1:155">
      <c r="A55" s="21" t="s">
        <v>491</v>
      </c>
      <c r="B55" s="21" t="s">
        <v>491</v>
      </c>
      <c r="C55" s="21" t="s">
        <v>492</v>
      </c>
      <c r="D55" s="21" t="s">
        <v>493</v>
      </c>
      <c r="E55" s="21" t="s">
        <v>493</v>
      </c>
      <c r="F55" s="21" t="s">
        <v>493</v>
      </c>
      <c r="G55" s="21" t="s">
        <v>2010</v>
      </c>
      <c r="H55" s="21" t="s">
        <v>2011</v>
      </c>
      <c r="I55" s="21">
        <v>21994750271</v>
      </c>
      <c r="J55" s="21" t="s">
        <v>2012</v>
      </c>
      <c r="L55" s="21" t="s">
        <v>495</v>
      </c>
      <c r="M55" s="21" t="s">
        <v>2013</v>
      </c>
      <c r="N55" s="21" t="s">
        <v>1204</v>
      </c>
      <c r="O55" s="21" t="s">
        <v>58</v>
      </c>
      <c r="P55" s="21" t="s">
        <v>557</v>
      </c>
      <c r="Q55" s="21" t="s">
        <v>2014</v>
      </c>
      <c r="R55" s="21" t="s">
        <v>1205</v>
      </c>
      <c r="S55" s="21" t="s">
        <v>1206</v>
      </c>
      <c r="V55" s="21" t="s">
        <v>500</v>
      </c>
      <c r="W55" s="21" t="s">
        <v>501</v>
      </c>
      <c r="X55" s="21" t="s">
        <v>502</v>
      </c>
      <c r="Y55" s="21" t="s">
        <v>558</v>
      </c>
      <c r="Z55" s="21">
        <v>3035236365</v>
      </c>
      <c r="AA55" s="22">
        <v>42730</v>
      </c>
      <c r="AB55" s="22">
        <v>42730</v>
      </c>
      <c r="AC55" s="21" t="s">
        <v>504</v>
      </c>
      <c r="AD55" s="21" t="s">
        <v>505</v>
      </c>
      <c r="AE55" s="21" t="s">
        <v>500</v>
      </c>
      <c r="AF55" s="21" t="s">
        <v>549</v>
      </c>
      <c r="AG55" s="21" t="s">
        <v>555</v>
      </c>
      <c r="AH55" s="21" t="s">
        <v>556</v>
      </c>
      <c r="AI55" s="21" t="s">
        <v>2015</v>
      </c>
      <c r="AJ55" s="21" t="s">
        <v>526</v>
      </c>
      <c r="AK55" s="21" t="s">
        <v>494</v>
      </c>
      <c r="AL55" s="21" t="s">
        <v>527</v>
      </c>
      <c r="AM55" s="21" t="s">
        <v>527</v>
      </c>
      <c r="AN55" s="21" t="s">
        <v>527</v>
      </c>
      <c r="AO55" s="21" t="s">
        <v>528</v>
      </c>
      <c r="AS55" s="21" t="s">
        <v>511</v>
      </c>
      <c r="AT55" s="21" t="s">
        <v>512</v>
      </c>
      <c r="AW55" s="21">
        <v>0</v>
      </c>
      <c r="AX55" s="21">
        <v>2</v>
      </c>
      <c r="BC55" s="21" t="s">
        <v>513</v>
      </c>
      <c r="BD55" s="21" t="s">
        <v>514</v>
      </c>
      <c r="BE55" s="21" t="s">
        <v>514</v>
      </c>
      <c r="BF55" s="21" t="s">
        <v>515</v>
      </c>
      <c r="BG55" s="21">
        <v>1</v>
      </c>
      <c r="BH55" s="21" t="s">
        <v>516</v>
      </c>
      <c r="BI55" s="21" t="s">
        <v>517</v>
      </c>
      <c r="BJ55" s="21" t="s">
        <v>516</v>
      </c>
      <c r="BK55" s="21" t="s">
        <v>516</v>
      </c>
      <c r="BM55" s="21" t="s">
        <v>580</v>
      </c>
      <c r="BN55" s="21" t="s">
        <v>94</v>
      </c>
      <c r="BO55" s="21" t="s">
        <v>518</v>
      </c>
      <c r="BP55" s="21" t="s">
        <v>519</v>
      </c>
      <c r="BQ55" s="21" t="s">
        <v>580</v>
      </c>
      <c r="BR55" s="21" t="s">
        <v>94</v>
      </c>
      <c r="BS55" s="21" t="s">
        <v>518</v>
      </c>
      <c r="BT55" s="21" t="s">
        <v>519</v>
      </c>
      <c r="BU55" s="21" t="s">
        <v>94</v>
      </c>
      <c r="CD55" s="21" t="s">
        <v>520</v>
      </c>
      <c r="CF55" s="21" t="s">
        <v>521</v>
      </c>
      <c r="DB55" s="21" t="s">
        <v>943</v>
      </c>
      <c r="DC55" s="21">
        <v>1</v>
      </c>
      <c r="DD55" s="21">
        <v>1</v>
      </c>
      <c r="DE55" s="22">
        <v>42740</v>
      </c>
      <c r="DF55" s="21" t="s">
        <v>2016</v>
      </c>
      <c r="DG55" s="21" t="s">
        <v>522</v>
      </c>
      <c r="DH55" s="21" t="s">
        <v>2017</v>
      </c>
      <c r="DI55" s="21" t="s">
        <v>495</v>
      </c>
      <c r="DJ55" s="21" t="s">
        <v>523</v>
      </c>
      <c r="DL55" s="21">
        <v>42742</v>
      </c>
      <c r="DM55" s="21">
        <v>42732</v>
      </c>
      <c r="DN55" s="21">
        <v>3100</v>
      </c>
      <c r="DO55" s="21">
        <v>5</v>
      </c>
      <c r="DP55" s="21">
        <v>1</v>
      </c>
      <c r="DQ55" s="21">
        <v>2</v>
      </c>
      <c r="DR55" s="21">
        <v>5</v>
      </c>
      <c r="DS55" s="21">
        <v>8</v>
      </c>
      <c r="DT55" s="21">
        <v>8</v>
      </c>
      <c r="DU55" s="21">
        <v>8</v>
      </c>
      <c r="DW55" s="21">
        <v>8</v>
      </c>
      <c r="EA55" s="21">
        <v>6</v>
      </c>
      <c r="EF55" s="25">
        <v>0</v>
      </c>
      <c r="EG55" s="25">
        <v>1</v>
      </c>
      <c r="EH55" s="25">
        <v>0</v>
      </c>
      <c r="EI55" s="25">
        <v>0</v>
      </c>
      <c r="EJ55" s="25" t="s">
        <v>62</v>
      </c>
      <c r="EK55" s="25" t="s">
        <v>95</v>
      </c>
      <c r="EL55" s="25" t="s">
        <v>95</v>
      </c>
      <c r="EM55" s="25" t="s">
        <v>276</v>
      </c>
      <c r="EN55" s="25" t="s">
        <v>9</v>
      </c>
      <c r="EO55" s="25" t="s">
        <v>9</v>
      </c>
      <c r="EP55" s="25" t="s">
        <v>62</v>
      </c>
      <c r="EQ55" s="25" t="s">
        <v>62</v>
      </c>
      <c r="ER55" s="25" t="s">
        <v>278</v>
      </c>
      <c r="ES55" s="25" t="s">
        <v>278</v>
      </c>
      <c r="ET55" s="25">
        <v>1</v>
      </c>
      <c r="EU55" s="25" t="s">
        <v>522</v>
      </c>
      <c r="EV55" s="25" t="s">
        <v>95</v>
      </c>
      <c r="EW55" s="25" t="s">
        <v>9</v>
      </c>
      <c r="EX55" s="25" t="s">
        <v>278</v>
      </c>
      <c r="EY55" s="20" t="e">
        <v>#N/A</v>
      </c>
    </row>
    <row r="56" spans="1:155">
      <c r="A56" s="21" t="s">
        <v>491</v>
      </c>
      <c r="B56" s="21" t="s">
        <v>491</v>
      </c>
      <c r="C56" s="21" t="s">
        <v>492</v>
      </c>
      <c r="D56" s="21" t="s">
        <v>493</v>
      </c>
      <c r="E56" s="21" t="s">
        <v>493</v>
      </c>
      <c r="F56" s="21" t="s">
        <v>493</v>
      </c>
      <c r="G56" s="21" t="s">
        <v>2018</v>
      </c>
      <c r="H56" s="21" t="s">
        <v>2019</v>
      </c>
      <c r="I56" s="21" t="s">
        <v>494</v>
      </c>
      <c r="J56" s="21" t="s">
        <v>2020</v>
      </c>
      <c r="L56" s="21" t="s">
        <v>495</v>
      </c>
      <c r="M56" s="21" t="s">
        <v>2021</v>
      </c>
      <c r="N56" s="21" t="s">
        <v>1268</v>
      </c>
      <c r="O56" s="21" t="s">
        <v>69</v>
      </c>
      <c r="P56" s="21" t="s">
        <v>497</v>
      </c>
      <c r="R56" s="21" t="s">
        <v>1269</v>
      </c>
      <c r="S56" s="21" t="s">
        <v>1270</v>
      </c>
      <c r="V56" s="21" t="s">
        <v>500</v>
      </c>
      <c r="W56" s="21" t="s">
        <v>501</v>
      </c>
      <c r="X56" s="21" t="s">
        <v>502</v>
      </c>
      <c r="Y56" s="21" t="s">
        <v>503</v>
      </c>
      <c r="Z56" s="21">
        <v>3035302549</v>
      </c>
      <c r="AA56" s="22">
        <v>42732</v>
      </c>
      <c r="AB56" s="22">
        <v>42733</v>
      </c>
      <c r="AC56" s="21" t="s">
        <v>504</v>
      </c>
      <c r="AD56" s="21" t="s">
        <v>505</v>
      </c>
      <c r="AE56" s="21" t="s">
        <v>1020</v>
      </c>
      <c r="AF56" s="21" t="s">
        <v>1314</v>
      </c>
      <c r="AG56" s="21" t="s">
        <v>1315</v>
      </c>
      <c r="AH56" s="21" t="s">
        <v>1316</v>
      </c>
      <c r="AI56" s="21" t="s">
        <v>2022</v>
      </c>
      <c r="AJ56" s="21" t="s">
        <v>526</v>
      </c>
      <c r="AK56" s="21" t="s">
        <v>494</v>
      </c>
      <c r="AL56" s="21" t="s">
        <v>527</v>
      </c>
      <c r="AM56" s="21" t="s">
        <v>527</v>
      </c>
      <c r="AN56" s="21" t="s">
        <v>527</v>
      </c>
      <c r="AO56" s="21" t="s">
        <v>528</v>
      </c>
      <c r="AS56" s="21" t="s">
        <v>511</v>
      </c>
      <c r="AT56" s="21" t="s">
        <v>512</v>
      </c>
      <c r="AW56" s="21">
        <v>0</v>
      </c>
      <c r="AX56" s="21">
        <v>3</v>
      </c>
      <c r="BC56" s="21" t="s">
        <v>513</v>
      </c>
      <c r="BD56" s="21" t="s">
        <v>514</v>
      </c>
      <c r="BE56" s="21" t="s">
        <v>514</v>
      </c>
      <c r="BF56" s="21" t="s">
        <v>515</v>
      </c>
      <c r="BG56" s="21">
        <v>1</v>
      </c>
      <c r="BH56" s="21" t="s">
        <v>516</v>
      </c>
      <c r="BI56" s="21" t="s">
        <v>517</v>
      </c>
      <c r="BJ56" s="21" t="s">
        <v>516</v>
      </c>
      <c r="BK56" s="21" t="s">
        <v>516</v>
      </c>
      <c r="BM56" s="21" t="s">
        <v>14</v>
      </c>
      <c r="BN56" s="21" t="s">
        <v>133</v>
      </c>
      <c r="BO56" s="21" t="s">
        <v>518</v>
      </c>
      <c r="BP56" s="21" t="s">
        <v>519</v>
      </c>
      <c r="BQ56" s="21" t="s">
        <v>19</v>
      </c>
      <c r="BR56" s="21" t="s">
        <v>82</v>
      </c>
      <c r="BS56" s="21" t="s">
        <v>518</v>
      </c>
      <c r="BT56" s="21" t="s">
        <v>519</v>
      </c>
      <c r="BU56" s="21" t="s">
        <v>133</v>
      </c>
      <c r="CD56" s="21" t="s">
        <v>520</v>
      </c>
      <c r="CF56" s="21" t="s">
        <v>521</v>
      </c>
      <c r="DB56" s="21" t="s">
        <v>943</v>
      </c>
      <c r="DC56" s="21">
        <v>1</v>
      </c>
      <c r="DD56" s="21">
        <v>1</v>
      </c>
      <c r="DE56" s="22">
        <v>42740</v>
      </c>
      <c r="DF56" s="21" t="s">
        <v>2023</v>
      </c>
      <c r="DG56" s="21" t="s">
        <v>522</v>
      </c>
      <c r="DH56" s="21" t="s">
        <v>2024</v>
      </c>
      <c r="DI56" s="21" t="s">
        <v>495</v>
      </c>
      <c r="DJ56" s="21" t="s">
        <v>523</v>
      </c>
      <c r="DL56" s="21">
        <v>42745</v>
      </c>
      <c r="DM56" s="21">
        <v>42735</v>
      </c>
      <c r="DN56" s="21">
        <v>3100</v>
      </c>
      <c r="DO56" s="21">
        <v>8</v>
      </c>
      <c r="DP56" s="21">
        <v>1</v>
      </c>
      <c r="DQ56" s="21">
        <v>1</v>
      </c>
      <c r="DR56" s="21">
        <v>6</v>
      </c>
      <c r="DS56" s="21">
        <v>8</v>
      </c>
      <c r="DT56" s="21">
        <v>9</v>
      </c>
      <c r="DU56" s="21">
        <v>9</v>
      </c>
      <c r="DW56" s="21">
        <v>9</v>
      </c>
      <c r="EA56" s="21">
        <v>7</v>
      </c>
      <c r="EF56" s="25">
        <v>0</v>
      </c>
      <c r="EG56" s="25">
        <v>0</v>
      </c>
      <c r="EH56" s="25">
        <v>0</v>
      </c>
      <c r="EI56" s="25">
        <v>0</v>
      </c>
      <c r="EJ56" s="25" t="s">
        <v>62</v>
      </c>
      <c r="EK56" s="25" t="s">
        <v>134</v>
      </c>
      <c r="EL56" s="25" t="s">
        <v>83</v>
      </c>
      <c r="EM56" s="25" t="s">
        <v>276</v>
      </c>
      <c r="EN56" s="25" t="s">
        <v>9</v>
      </c>
      <c r="EO56" s="25" t="s">
        <v>9</v>
      </c>
      <c r="EP56" s="25" t="s">
        <v>62</v>
      </c>
      <c r="EQ56" s="25" t="s">
        <v>62</v>
      </c>
      <c r="ER56" s="25" t="s">
        <v>278</v>
      </c>
      <c r="ES56" s="25" t="s">
        <v>278</v>
      </c>
      <c r="ET56" s="25">
        <v>1</v>
      </c>
      <c r="EU56" s="25" t="s">
        <v>522</v>
      </c>
      <c r="EV56" s="25" t="s">
        <v>279</v>
      </c>
      <c r="EW56" s="25" t="s">
        <v>279</v>
      </c>
      <c r="EX56" s="25" t="s">
        <v>279</v>
      </c>
      <c r="EY56" s="20" t="e">
        <v>#N/A</v>
      </c>
    </row>
    <row r="57" spans="1:155">
      <c r="A57" s="21" t="s">
        <v>491</v>
      </c>
      <c r="B57" s="21" t="s">
        <v>491</v>
      </c>
      <c r="C57" s="21" t="s">
        <v>492</v>
      </c>
      <c r="D57" s="21" t="s">
        <v>493</v>
      </c>
      <c r="E57" s="21" t="s">
        <v>493</v>
      </c>
      <c r="F57" s="21" t="s">
        <v>493</v>
      </c>
      <c r="G57" s="21" t="s">
        <v>1739</v>
      </c>
      <c r="H57" s="21" t="s">
        <v>1740</v>
      </c>
      <c r="I57" s="21" t="s">
        <v>494</v>
      </c>
      <c r="J57" s="21" t="s">
        <v>1741</v>
      </c>
      <c r="L57" s="21" t="s">
        <v>495</v>
      </c>
      <c r="M57" s="21" t="s">
        <v>1742</v>
      </c>
      <c r="N57" s="21" t="s">
        <v>1066</v>
      </c>
      <c r="O57" s="21" t="s">
        <v>93</v>
      </c>
      <c r="P57" s="21" t="s">
        <v>539</v>
      </c>
      <c r="R57" s="21" t="s">
        <v>1067</v>
      </c>
      <c r="S57" s="21" t="s">
        <v>1068</v>
      </c>
      <c r="V57" s="21" t="s">
        <v>277</v>
      </c>
      <c r="W57" s="21" t="s">
        <v>524</v>
      </c>
      <c r="X57" s="21" t="s">
        <v>525</v>
      </c>
      <c r="Y57" s="21" t="s">
        <v>530</v>
      </c>
      <c r="Z57" s="21">
        <v>3035312700</v>
      </c>
      <c r="AA57" s="22">
        <v>42733</v>
      </c>
      <c r="AB57" s="22">
        <v>42734</v>
      </c>
      <c r="AC57" s="21" t="s">
        <v>504</v>
      </c>
      <c r="AD57" s="21" t="s">
        <v>505</v>
      </c>
      <c r="AE57" s="21" t="s">
        <v>565</v>
      </c>
      <c r="AF57" s="21" t="s">
        <v>566</v>
      </c>
      <c r="AG57" s="21" t="s">
        <v>1743</v>
      </c>
      <c r="AH57" s="21" t="s">
        <v>1744</v>
      </c>
      <c r="AI57" s="21" t="s">
        <v>1745</v>
      </c>
      <c r="AJ57" s="21" t="s">
        <v>507</v>
      </c>
      <c r="AK57" s="21" t="s">
        <v>494</v>
      </c>
      <c r="AL57" s="21" t="s">
        <v>527</v>
      </c>
      <c r="AM57" s="21" t="s">
        <v>527</v>
      </c>
      <c r="AN57" s="21" t="s">
        <v>527</v>
      </c>
      <c r="AO57" s="21" t="s">
        <v>528</v>
      </c>
      <c r="AS57" s="21" t="s">
        <v>511</v>
      </c>
      <c r="AT57" s="21" t="s">
        <v>512</v>
      </c>
      <c r="AW57" s="21">
        <v>0</v>
      </c>
      <c r="AX57" s="21">
        <v>3</v>
      </c>
      <c r="BC57" s="21" t="s">
        <v>513</v>
      </c>
      <c r="BD57" s="21" t="s">
        <v>514</v>
      </c>
      <c r="BE57" s="21" t="s">
        <v>514</v>
      </c>
      <c r="BF57" s="21" t="s">
        <v>515</v>
      </c>
      <c r="BG57" s="21">
        <v>1</v>
      </c>
      <c r="BH57" s="21" t="s">
        <v>516</v>
      </c>
      <c r="BI57" s="21" t="s">
        <v>517</v>
      </c>
      <c r="BJ57" s="21" t="s">
        <v>516</v>
      </c>
      <c r="BK57" s="21" t="s">
        <v>516</v>
      </c>
      <c r="BM57" s="21" t="s">
        <v>37</v>
      </c>
      <c r="BN57" s="21" t="s">
        <v>250</v>
      </c>
      <c r="BO57" s="21" t="s">
        <v>518</v>
      </c>
      <c r="BP57" s="21" t="s">
        <v>1044</v>
      </c>
      <c r="BQ57" s="21" t="s">
        <v>1362</v>
      </c>
      <c r="BR57" s="21" t="s">
        <v>236</v>
      </c>
      <c r="BS57" s="21" t="s">
        <v>518</v>
      </c>
      <c r="BT57" s="21" t="s">
        <v>1044</v>
      </c>
      <c r="BU57" s="21" t="s">
        <v>250</v>
      </c>
      <c r="CD57" s="21" t="s">
        <v>520</v>
      </c>
      <c r="CF57" s="21" t="s">
        <v>521</v>
      </c>
      <c r="DB57" s="21" t="s">
        <v>943</v>
      </c>
      <c r="DC57" s="21">
        <v>1</v>
      </c>
      <c r="DD57" s="21">
        <v>1</v>
      </c>
      <c r="DE57" s="22">
        <v>42740</v>
      </c>
      <c r="DF57" s="21" t="s">
        <v>1746</v>
      </c>
      <c r="DG57" s="21" t="s">
        <v>522</v>
      </c>
      <c r="DH57" s="21" t="s">
        <v>1747</v>
      </c>
      <c r="DI57" s="21" t="s">
        <v>495</v>
      </c>
      <c r="DJ57" s="21" t="s">
        <v>523</v>
      </c>
      <c r="DL57" s="21">
        <v>42746</v>
      </c>
      <c r="DM57" s="21">
        <v>42736</v>
      </c>
      <c r="DN57" s="21">
        <v>1100</v>
      </c>
      <c r="DO57" s="21">
        <v>10</v>
      </c>
      <c r="DP57" s="21">
        <v>1</v>
      </c>
      <c r="DQ57" s="21">
        <v>1</v>
      </c>
      <c r="DR57" s="21">
        <v>6</v>
      </c>
      <c r="DS57" s="21">
        <v>9</v>
      </c>
      <c r="DT57" s="21">
        <v>9</v>
      </c>
      <c r="DU57" s="21">
        <v>9</v>
      </c>
      <c r="DW57" s="21">
        <v>9</v>
      </c>
      <c r="EA57" s="21">
        <v>10</v>
      </c>
      <c r="EF57" s="25">
        <v>1</v>
      </c>
      <c r="EG57" s="25">
        <v>0</v>
      </c>
      <c r="EH57" s="25">
        <v>1</v>
      </c>
      <c r="EI57" s="25">
        <v>0</v>
      </c>
      <c r="EJ57" s="25" t="s">
        <v>92</v>
      </c>
      <c r="EK57" s="25" t="s">
        <v>251</v>
      </c>
      <c r="EL57" s="25" t="s">
        <v>237</v>
      </c>
      <c r="EM57" s="25" t="s">
        <v>276</v>
      </c>
      <c r="EN57" s="25" t="s">
        <v>39</v>
      </c>
      <c r="EO57" s="25" t="s">
        <v>39</v>
      </c>
      <c r="EP57" s="25" t="s">
        <v>92</v>
      </c>
      <c r="EQ57" s="25" t="s">
        <v>92</v>
      </c>
      <c r="ER57" s="25" t="s">
        <v>278</v>
      </c>
      <c r="ES57" s="25" t="s">
        <v>278</v>
      </c>
      <c r="ET57" s="25">
        <v>1</v>
      </c>
      <c r="EU57" s="25" t="s">
        <v>522</v>
      </c>
      <c r="EV57" s="25" t="s">
        <v>279</v>
      </c>
      <c r="EW57" s="25" t="s">
        <v>279</v>
      </c>
      <c r="EX57" s="25" t="s">
        <v>279</v>
      </c>
      <c r="EY57" s="20" t="e">
        <v>#N/A</v>
      </c>
    </row>
    <row r="58" spans="1:155">
      <c r="A58" s="21" t="s">
        <v>491</v>
      </c>
      <c r="B58" s="21" t="s">
        <v>491</v>
      </c>
      <c r="C58" s="21" t="s">
        <v>492</v>
      </c>
      <c r="D58" s="21" t="s">
        <v>493</v>
      </c>
      <c r="E58" s="21" t="s">
        <v>493</v>
      </c>
      <c r="F58" s="21" t="s">
        <v>493</v>
      </c>
      <c r="G58" s="21" t="s">
        <v>1791</v>
      </c>
      <c r="H58" s="21">
        <v>9832364686</v>
      </c>
      <c r="I58" s="21" t="s">
        <v>494</v>
      </c>
      <c r="J58" s="21" t="s">
        <v>1792</v>
      </c>
      <c r="L58" s="21" t="s">
        <v>495</v>
      </c>
      <c r="M58" s="21" t="s">
        <v>1793</v>
      </c>
      <c r="N58" s="21" t="s">
        <v>1450</v>
      </c>
      <c r="O58" s="21" t="s">
        <v>93</v>
      </c>
      <c r="P58" s="21" t="s">
        <v>539</v>
      </c>
      <c r="Q58" s="21" t="s">
        <v>1168</v>
      </c>
      <c r="R58" s="21" t="s">
        <v>1451</v>
      </c>
      <c r="S58" s="21" t="s">
        <v>1068</v>
      </c>
      <c r="V58" s="21" t="s">
        <v>277</v>
      </c>
      <c r="W58" s="21" t="s">
        <v>524</v>
      </c>
      <c r="X58" s="21" t="s">
        <v>525</v>
      </c>
      <c r="Y58" s="21" t="s">
        <v>530</v>
      </c>
      <c r="Z58" s="21">
        <v>3035400304</v>
      </c>
      <c r="AA58" s="22">
        <v>42737</v>
      </c>
      <c r="AB58" s="22">
        <v>42737</v>
      </c>
      <c r="AC58" s="21" t="s">
        <v>504</v>
      </c>
      <c r="AD58" s="21" t="s">
        <v>505</v>
      </c>
      <c r="AE58" s="21" t="s">
        <v>1020</v>
      </c>
      <c r="AF58" s="21" t="s">
        <v>1021</v>
      </c>
      <c r="AG58" s="21" t="s">
        <v>1794</v>
      </c>
      <c r="AH58" s="21" t="s">
        <v>1795</v>
      </c>
      <c r="AI58" s="21" t="s">
        <v>1372</v>
      </c>
      <c r="AJ58" s="21" t="s">
        <v>507</v>
      </c>
      <c r="AK58" s="21" t="s">
        <v>494</v>
      </c>
      <c r="AL58" s="21" t="s">
        <v>527</v>
      </c>
      <c r="AM58" s="21" t="s">
        <v>527</v>
      </c>
      <c r="AN58" s="21" t="s">
        <v>527</v>
      </c>
      <c r="AO58" s="21" t="s">
        <v>528</v>
      </c>
      <c r="AS58" s="21" t="s">
        <v>511</v>
      </c>
      <c r="AT58" s="21" t="s">
        <v>512</v>
      </c>
      <c r="AW58" s="21">
        <v>0</v>
      </c>
      <c r="AX58" s="21">
        <v>2</v>
      </c>
      <c r="BC58" s="21" t="s">
        <v>513</v>
      </c>
      <c r="BD58" s="21" t="s">
        <v>514</v>
      </c>
      <c r="BE58" s="21" t="s">
        <v>514</v>
      </c>
      <c r="BF58" s="21" t="s">
        <v>515</v>
      </c>
      <c r="BG58" s="21">
        <v>1</v>
      </c>
      <c r="BH58" s="21" t="s">
        <v>516</v>
      </c>
      <c r="BI58" s="21" t="s">
        <v>517</v>
      </c>
      <c r="BJ58" s="21" t="s">
        <v>516</v>
      </c>
      <c r="BK58" s="21" t="s">
        <v>516</v>
      </c>
      <c r="BM58" s="21" t="s">
        <v>1526</v>
      </c>
      <c r="BN58" s="21" t="s">
        <v>145</v>
      </c>
      <c r="BO58" s="21" t="s">
        <v>518</v>
      </c>
      <c r="BP58" s="21" t="s">
        <v>1044</v>
      </c>
      <c r="BQ58" s="21" t="s">
        <v>1526</v>
      </c>
      <c r="BR58" s="21" t="s">
        <v>145</v>
      </c>
      <c r="BS58" s="21" t="s">
        <v>518</v>
      </c>
      <c r="BT58" s="21" t="s">
        <v>1044</v>
      </c>
      <c r="BU58" s="21" t="s">
        <v>145</v>
      </c>
      <c r="CD58" s="21" t="s">
        <v>520</v>
      </c>
      <c r="CF58" s="21" t="s">
        <v>521</v>
      </c>
      <c r="DB58" s="21" t="s">
        <v>943</v>
      </c>
      <c r="DC58" s="21">
        <v>1</v>
      </c>
      <c r="DD58" s="21">
        <v>1</v>
      </c>
      <c r="DE58" s="22">
        <v>42740</v>
      </c>
      <c r="DF58" s="21" t="s">
        <v>1796</v>
      </c>
      <c r="DG58" s="21" t="s">
        <v>522</v>
      </c>
      <c r="DH58" s="21" t="s">
        <v>1797</v>
      </c>
      <c r="DI58" s="21" t="s">
        <v>495</v>
      </c>
      <c r="DJ58" s="21" t="s">
        <v>520</v>
      </c>
      <c r="DL58" s="21">
        <v>42749</v>
      </c>
      <c r="DM58" s="21">
        <v>42739</v>
      </c>
      <c r="DN58" s="21">
        <v>1100</v>
      </c>
      <c r="DO58" s="21">
        <v>10</v>
      </c>
      <c r="DP58" s="21">
        <v>1</v>
      </c>
      <c r="DQ58" s="21">
        <v>1</v>
      </c>
      <c r="DR58" s="21">
        <v>7</v>
      </c>
      <c r="DS58" s="21">
        <v>10</v>
      </c>
      <c r="DT58" s="21">
        <v>10</v>
      </c>
      <c r="DU58" s="21">
        <v>10</v>
      </c>
      <c r="DW58" s="21">
        <v>10</v>
      </c>
      <c r="EA58" s="21">
        <v>10</v>
      </c>
      <c r="EF58" s="25">
        <v>1</v>
      </c>
      <c r="EG58" s="25">
        <v>0</v>
      </c>
      <c r="EH58" s="25">
        <v>1</v>
      </c>
      <c r="EI58" s="25">
        <v>0</v>
      </c>
      <c r="EJ58" s="25" t="s">
        <v>92</v>
      </c>
      <c r="EK58" s="25" t="s">
        <v>146</v>
      </c>
      <c r="EL58" s="25" t="s">
        <v>146</v>
      </c>
      <c r="EM58" s="25" t="s">
        <v>276</v>
      </c>
      <c r="EN58" s="25" t="s">
        <v>31</v>
      </c>
      <c r="EO58" s="25" t="s">
        <v>31</v>
      </c>
      <c r="EP58" s="25" t="s">
        <v>92</v>
      </c>
      <c r="EQ58" s="25" t="s">
        <v>92</v>
      </c>
      <c r="ER58" s="25" t="s">
        <v>278</v>
      </c>
      <c r="ES58" s="25" t="s">
        <v>278</v>
      </c>
      <c r="ET58" s="25">
        <v>1</v>
      </c>
      <c r="EU58" s="25" t="s">
        <v>522</v>
      </c>
      <c r="EV58" s="25" t="s">
        <v>146</v>
      </c>
      <c r="EW58" s="25" t="s">
        <v>31</v>
      </c>
      <c r="EX58" s="25" t="s">
        <v>278</v>
      </c>
      <c r="EY58" s="20" t="e">
        <v>#N/A</v>
      </c>
    </row>
    <row r="59" spans="1:155">
      <c r="A59" s="21" t="s">
        <v>491</v>
      </c>
      <c r="B59" s="21" t="s">
        <v>491</v>
      </c>
      <c r="C59" s="21" t="s">
        <v>492</v>
      </c>
      <c r="D59" s="21" t="s">
        <v>493</v>
      </c>
      <c r="E59" s="21" t="s">
        <v>493</v>
      </c>
      <c r="F59" s="21" t="s">
        <v>493</v>
      </c>
      <c r="G59" s="21" t="s">
        <v>1592</v>
      </c>
      <c r="H59" s="21" t="s">
        <v>494</v>
      </c>
      <c r="I59" s="21" t="s">
        <v>494</v>
      </c>
      <c r="J59" s="21" t="s">
        <v>1593</v>
      </c>
      <c r="L59" s="21" t="s">
        <v>495</v>
      </c>
      <c r="M59" s="21" t="s">
        <v>1594</v>
      </c>
      <c r="N59" s="21" t="s">
        <v>1450</v>
      </c>
      <c r="O59" s="21" t="s">
        <v>93</v>
      </c>
      <c r="P59" s="21" t="s">
        <v>539</v>
      </c>
      <c r="R59" s="21" t="s">
        <v>1451</v>
      </c>
      <c r="S59" s="21" t="s">
        <v>1068</v>
      </c>
      <c r="V59" s="21" t="s">
        <v>277</v>
      </c>
      <c r="W59" s="21" t="s">
        <v>524</v>
      </c>
      <c r="X59" s="21" t="s">
        <v>525</v>
      </c>
      <c r="Y59" s="21" t="s">
        <v>530</v>
      </c>
      <c r="Z59" s="21">
        <v>3035416725</v>
      </c>
      <c r="AA59" s="22">
        <v>42737</v>
      </c>
      <c r="AB59" s="22">
        <v>42737</v>
      </c>
      <c r="AC59" s="21" t="s">
        <v>504</v>
      </c>
      <c r="AD59" s="21" t="s">
        <v>505</v>
      </c>
      <c r="AE59" s="21" t="s">
        <v>1020</v>
      </c>
      <c r="AF59" s="21" t="s">
        <v>1021</v>
      </c>
      <c r="AG59" s="21" t="s">
        <v>1022</v>
      </c>
      <c r="AH59" s="21" t="s">
        <v>1023</v>
      </c>
      <c r="AI59" s="21" t="s">
        <v>1595</v>
      </c>
      <c r="AJ59" s="21" t="s">
        <v>507</v>
      </c>
      <c r="AK59" s="21" t="s">
        <v>494</v>
      </c>
      <c r="AL59" s="21" t="s">
        <v>527</v>
      </c>
      <c r="AM59" s="21" t="s">
        <v>527</v>
      </c>
      <c r="AN59" s="21" t="s">
        <v>527</v>
      </c>
      <c r="AO59" s="21" t="s">
        <v>528</v>
      </c>
      <c r="AS59" s="21" t="s">
        <v>511</v>
      </c>
      <c r="AT59" s="21" t="s">
        <v>512</v>
      </c>
      <c r="AW59" s="21">
        <v>0</v>
      </c>
      <c r="AX59" s="21">
        <v>2</v>
      </c>
      <c r="BC59" s="21" t="s">
        <v>513</v>
      </c>
      <c r="BD59" s="21" t="s">
        <v>514</v>
      </c>
      <c r="BE59" s="21" t="s">
        <v>514</v>
      </c>
      <c r="BF59" s="21" t="s">
        <v>515</v>
      </c>
      <c r="BG59" s="21">
        <v>1</v>
      </c>
      <c r="BH59" s="21" t="s">
        <v>516</v>
      </c>
      <c r="BI59" s="21" t="s">
        <v>517</v>
      </c>
      <c r="BJ59" s="21" t="s">
        <v>516</v>
      </c>
      <c r="BK59" s="21" t="s">
        <v>516</v>
      </c>
      <c r="BM59" s="21" t="s">
        <v>583</v>
      </c>
      <c r="BN59" s="21" t="s">
        <v>154</v>
      </c>
      <c r="BO59" s="21" t="s">
        <v>518</v>
      </c>
      <c r="BP59" s="21" t="s">
        <v>519</v>
      </c>
      <c r="BQ59" s="21" t="s">
        <v>583</v>
      </c>
      <c r="BR59" s="21" t="s">
        <v>154</v>
      </c>
      <c r="BS59" s="21" t="s">
        <v>518</v>
      </c>
      <c r="BT59" s="21" t="s">
        <v>519</v>
      </c>
      <c r="BU59" s="21" t="s">
        <v>154</v>
      </c>
      <c r="CD59" s="21" t="s">
        <v>520</v>
      </c>
      <c r="CF59" s="21" t="s">
        <v>521</v>
      </c>
      <c r="DB59" s="21" t="s">
        <v>943</v>
      </c>
      <c r="DC59" s="21">
        <v>1</v>
      </c>
      <c r="DD59" s="21">
        <v>1</v>
      </c>
      <c r="DE59" s="22">
        <v>42740</v>
      </c>
      <c r="DF59" s="21" t="s">
        <v>1596</v>
      </c>
      <c r="DG59" s="21" t="s">
        <v>522</v>
      </c>
      <c r="DH59" s="21" t="s">
        <v>1597</v>
      </c>
      <c r="DI59" s="21" t="s">
        <v>495</v>
      </c>
      <c r="DJ59" s="21" t="s">
        <v>520</v>
      </c>
      <c r="DL59" s="21">
        <v>42749</v>
      </c>
      <c r="DM59" s="21">
        <v>42739</v>
      </c>
      <c r="DN59" s="21">
        <v>1100</v>
      </c>
      <c r="DO59" s="21">
        <v>10</v>
      </c>
      <c r="DP59" s="21">
        <v>1</v>
      </c>
      <c r="DQ59" s="21">
        <v>1</v>
      </c>
      <c r="DR59" s="21">
        <v>6</v>
      </c>
      <c r="DS59" s="21">
        <v>10</v>
      </c>
      <c r="DT59" s="21">
        <v>8</v>
      </c>
      <c r="DU59" s="21">
        <v>10</v>
      </c>
      <c r="DW59" s="21">
        <v>10</v>
      </c>
      <c r="EA59" s="21">
        <v>9</v>
      </c>
      <c r="EF59" s="25">
        <v>1</v>
      </c>
      <c r="EG59" s="25">
        <v>0</v>
      </c>
      <c r="EH59" s="25">
        <v>1</v>
      </c>
      <c r="EI59" s="25">
        <v>0</v>
      </c>
      <c r="EJ59" s="25" t="s">
        <v>92</v>
      </c>
      <c r="EK59" s="25" t="s">
        <v>155</v>
      </c>
      <c r="EL59" s="25" t="s">
        <v>155</v>
      </c>
      <c r="EM59" s="25" t="s">
        <v>276</v>
      </c>
      <c r="EN59" s="25" t="s">
        <v>23</v>
      </c>
      <c r="EO59" s="25" t="s">
        <v>23</v>
      </c>
      <c r="EP59" s="25" t="s">
        <v>62</v>
      </c>
      <c r="EQ59" s="25" t="s">
        <v>62</v>
      </c>
      <c r="ER59" s="25" t="s">
        <v>278</v>
      </c>
      <c r="ES59" s="25" t="s">
        <v>278</v>
      </c>
      <c r="ET59" s="25">
        <v>1</v>
      </c>
      <c r="EU59" s="25" t="s">
        <v>522</v>
      </c>
      <c r="EV59" s="25" t="s">
        <v>155</v>
      </c>
      <c r="EW59" s="25" t="s">
        <v>23</v>
      </c>
      <c r="EX59" s="25" t="s">
        <v>278</v>
      </c>
      <c r="EY59" s="20" t="e">
        <v>#N/A</v>
      </c>
    </row>
    <row r="60" spans="1:155">
      <c r="A60" s="21" t="s">
        <v>491</v>
      </c>
      <c r="B60" s="21" t="s">
        <v>491</v>
      </c>
      <c r="C60" s="21" t="s">
        <v>492</v>
      </c>
      <c r="D60" s="21" t="s">
        <v>493</v>
      </c>
      <c r="E60" s="21" t="s">
        <v>493</v>
      </c>
      <c r="F60" s="21" t="s">
        <v>493</v>
      </c>
      <c r="G60" s="21" t="s">
        <v>1598</v>
      </c>
      <c r="H60" s="21">
        <v>3332718257</v>
      </c>
      <c r="I60" s="21" t="s">
        <v>494</v>
      </c>
      <c r="J60" s="21" t="s">
        <v>1599</v>
      </c>
      <c r="L60" s="21" t="s">
        <v>495</v>
      </c>
      <c r="M60" s="21" t="s">
        <v>1600</v>
      </c>
      <c r="N60" s="21" t="s">
        <v>1601</v>
      </c>
      <c r="O60" s="21" t="s">
        <v>69</v>
      </c>
      <c r="P60" s="21" t="s">
        <v>497</v>
      </c>
      <c r="R60" s="21" t="s">
        <v>1602</v>
      </c>
      <c r="S60" s="21" t="s">
        <v>1603</v>
      </c>
      <c r="V60" s="21" t="s">
        <v>500</v>
      </c>
      <c r="W60" s="21" t="s">
        <v>501</v>
      </c>
      <c r="X60" s="21" t="s">
        <v>502</v>
      </c>
      <c r="Y60" s="21" t="s">
        <v>503</v>
      </c>
      <c r="Z60" s="21">
        <v>3035408716</v>
      </c>
      <c r="AA60" s="22">
        <v>42737</v>
      </c>
      <c r="AB60" s="22">
        <v>42737</v>
      </c>
      <c r="AC60" s="21" t="s">
        <v>504</v>
      </c>
      <c r="AD60" s="21" t="s">
        <v>505</v>
      </c>
      <c r="AE60" s="21" t="s">
        <v>500</v>
      </c>
      <c r="AF60" s="21" t="s">
        <v>506</v>
      </c>
      <c r="AG60" s="21" t="s">
        <v>1148</v>
      </c>
      <c r="AH60" s="21" t="s">
        <v>1149</v>
      </c>
      <c r="AI60" s="21" t="s">
        <v>1604</v>
      </c>
      <c r="AJ60" s="21" t="s">
        <v>507</v>
      </c>
      <c r="AK60" s="21" t="s">
        <v>494</v>
      </c>
      <c r="AL60" s="21" t="s">
        <v>508</v>
      </c>
      <c r="AM60" s="21" t="s">
        <v>509</v>
      </c>
      <c r="AN60" s="21" t="s">
        <v>509</v>
      </c>
      <c r="AO60" s="21" t="s">
        <v>510</v>
      </c>
      <c r="AS60" s="21" t="s">
        <v>511</v>
      </c>
      <c r="AT60" s="21" t="s">
        <v>512</v>
      </c>
      <c r="AW60" s="21">
        <v>0</v>
      </c>
      <c r="AX60" s="21">
        <v>2</v>
      </c>
      <c r="BC60" s="21" t="s">
        <v>513</v>
      </c>
      <c r="BD60" s="21" t="s">
        <v>514</v>
      </c>
      <c r="BE60" s="21" t="s">
        <v>514</v>
      </c>
      <c r="BF60" s="21" t="s">
        <v>515</v>
      </c>
      <c r="BG60" s="21">
        <v>1</v>
      </c>
      <c r="BH60" s="21" t="s">
        <v>516</v>
      </c>
      <c r="BI60" s="21" t="s">
        <v>517</v>
      </c>
      <c r="BJ60" s="21" t="s">
        <v>516</v>
      </c>
      <c r="BK60" s="21" t="s">
        <v>516</v>
      </c>
      <c r="BM60" s="21" t="s">
        <v>16</v>
      </c>
      <c r="BN60" s="21" t="s">
        <v>111</v>
      </c>
      <c r="BO60" s="21" t="s">
        <v>518</v>
      </c>
      <c r="BP60" s="21" t="s">
        <v>519</v>
      </c>
      <c r="BQ60" s="21" t="s">
        <v>16</v>
      </c>
      <c r="BR60" s="21" t="s">
        <v>111</v>
      </c>
      <c r="BS60" s="21" t="s">
        <v>518</v>
      </c>
      <c r="BT60" s="21" t="s">
        <v>519</v>
      </c>
      <c r="BU60" s="21" t="s">
        <v>111</v>
      </c>
      <c r="CD60" s="21" t="s">
        <v>520</v>
      </c>
      <c r="CF60" s="21" t="s">
        <v>521</v>
      </c>
      <c r="DB60" s="21" t="s">
        <v>943</v>
      </c>
      <c r="DC60" s="21">
        <v>1</v>
      </c>
      <c r="DD60" s="21">
        <v>1</v>
      </c>
      <c r="DE60" s="22">
        <v>42740</v>
      </c>
      <c r="DF60" s="21" t="s">
        <v>1605</v>
      </c>
      <c r="DG60" s="21" t="s">
        <v>522</v>
      </c>
      <c r="DH60" s="21" t="s">
        <v>1606</v>
      </c>
      <c r="DI60" s="21" t="s">
        <v>495</v>
      </c>
      <c r="DJ60" s="21" t="s">
        <v>520</v>
      </c>
      <c r="DL60" s="21">
        <v>42749</v>
      </c>
      <c r="DM60" s="21">
        <v>42739</v>
      </c>
      <c r="DN60" s="21">
        <v>3100</v>
      </c>
      <c r="DO60" s="21">
        <v>10</v>
      </c>
      <c r="DP60" s="21">
        <v>1</v>
      </c>
      <c r="DQ60" s="21">
        <v>1</v>
      </c>
      <c r="DR60" s="21">
        <v>7</v>
      </c>
      <c r="DS60" s="21">
        <v>10</v>
      </c>
      <c r="DT60" s="21">
        <v>10</v>
      </c>
      <c r="DU60" s="21">
        <v>10</v>
      </c>
      <c r="DW60" s="21">
        <v>10</v>
      </c>
      <c r="EA60" s="21">
        <v>10</v>
      </c>
      <c r="EF60" s="25">
        <v>1</v>
      </c>
      <c r="EG60" s="25">
        <v>0</v>
      </c>
      <c r="EH60" s="25">
        <v>1</v>
      </c>
      <c r="EI60" s="25">
        <v>0</v>
      </c>
      <c r="EJ60" s="25" t="s">
        <v>62</v>
      </c>
      <c r="EK60" s="25" t="s">
        <v>112</v>
      </c>
      <c r="EL60" s="25" t="s">
        <v>112</v>
      </c>
      <c r="EM60" s="25" t="s">
        <v>276</v>
      </c>
      <c r="EN60" s="25" t="s">
        <v>9</v>
      </c>
      <c r="EO60" s="25" t="s">
        <v>9</v>
      </c>
      <c r="EP60" s="25" t="s">
        <v>62</v>
      </c>
      <c r="EQ60" s="25" t="s">
        <v>62</v>
      </c>
      <c r="ER60" s="25" t="s">
        <v>278</v>
      </c>
      <c r="ES60" s="25" t="s">
        <v>278</v>
      </c>
      <c r="ET60" s="25">
        <v>1</v>
      </c>
      <c r="EU60" s="25" t="s">
        <v>522</v>
      </c>
      <c r="EV60" s="25" t="s">
        <v>112</v>
      </c>
      <c r="EW60" s="25" t="s">
        <v>9</v>
      </c>
      <c r="EX60" s="25" t="s">
        <v>278</v>
      </c>
      <c r="EY60" s="20" t="e">
        <v>#N/A</v>
      </c>
    </row>
    <row r="61" spans="1:155">
      <c r="A61" s="21" t="s">
        <v>491</v>
      </c>
      <c r="B61" s="21" t="s">
        <v>491</v>
      </c>
      <c r="C61" s="21" t="s">
        <v>492</v>
      </c>
      <c r="D61" s="21" t="s">
        <v>493</v>
      </c>
      <c r="E61" s="21" t="s">
        <v>493</v>
      </c>
      <c r="F61" s="21" t="s">
        <v>493</v>
      </c>
      <c r="G61" s="21" t="s">
        <v>1798</v>
      </c>
      <c r="H61" s="21" t="s">
        <v>1799</v>
      </c>
      <c r="I61" s="21">
        <v>38998140386</v>
      </c>
      <c r="J61" s="21" t="s">
        <v>1800</v>
      </c>
      <c r="L61" s="21" t="s">
        <v>495</v>
      </c>
      <c r="M61" s="21" t="s">
        <v>1801</v>
      </c>
      <c r="N61" s="21" t="s">
        <v>496</v>
      </c>
      <c r="O61" s="21" t="s">
        <v>69</v>
      </c>
      <c r="P61" s="21" t="s">
        <v>497</v>
      </c>
      <c r="R61" s="21" t="s">
        <v>498</v>
      </c>
      <c r="S61" s="21" t="s">
        <v>499</v>
      </c>
      <c r="V61" s="21" t="s">
        <v>500</v>
      </c>
      <c r="W61" s="21" t="s">
        <v>501</v>
      </c>
      <c r="X61" s="21" t="s">
        <v>502</v>
      </c>
      <c r="Y61" s="21" t="s">
        <v>503</v>
      </c>
      <c r="Z61" s="21">
        <v>3035399057</v>
      </c>
      <c r="AA61" s="22">
        <v>42737</v>
      </c>
      <c r="AB61" s="22">
        <v>42737</v>
      </c>
      <c r="AC61" s="21" t="s">
        <v>504</v>
      </c>
      <c r="AD61" s="21" t="s">
        <v>505</v>
      </c>
      <c r="AE61" s="21" t="s">
        <v>500</v>
      </c>
      <c r="AF61" s="21" t="s">
        <v>549</v>
      </c>
      <c r="AG61" s="21" t="s">
        <v>1007</v>
      </c>
      <c r="AH61" s="21" t="s">
        <v>1008</v>
      </c>
      <c r="AI61" s="21" t="s">
        <v>1117</v>
      </c>
      <c r="AJ61" s="21" t="s">
        <v>526</v>
      </c>
      <c r="AK61" s="21" t="s">
        <v>494</v>
      </c>
      <c r="AL61" s="21" t="s">
        <v>527</v>
      </c>
      <c r="AM61" s="21" t="s">
        <v>527</v>
      </c>
      <c r="AN61" s="21" t="s">
        <v>527</v>
      </c>
      <c r="AO61" s="21" t="s">
        <v>528</v>
      </c>
      <c r="AS61" s="21" t="s">
        <v>511</v>
      </c>
      <c r="AT61" s="21" t="s">
        <v>512</v>
      </c>
      <c r="AW61" s="21">
        <v>0</v>
      </c>
      <c r="AX61" s="21">
        <v>3</v>
      </c>
      <c r="BC61" s="21" t="s">
        <v>513</v>
      </c>
      <c r="BD61" s="21" t="s">
        <v>514</v>
      </c>
      <c r="BE61" s="21" t="s">
        <v>514</v>
      </c>
      <c r="BF61" s="21" t="s">
        <v>515</v>
      </c>
      <c r="BG61" s="21">
        <v>1</v>
      </c>
      <c r="BH61" s="21" t="s">
        <v>516</v>
      </c>
      <c r="BI61" s="21" t="s">
        <v>517</v>
      </c>
      <c r="BJ61" s="21" t="s">
        <v>516</v>
      </c>
      <c r="BK61" s="21" t="s">
        <v>516</v>
      </c>
      <c r="BM61" s="21" t="s">
        <v>17</v>
      </c>
      <c r="BN61" s="21" t="s">
        <v>107</v>
      </c>
      <c r="BO61" s="21" t="s">
        <v>518</v>
      </c>
      <c r="BP61" s="21" t="s">
        <v>519</v>
      </c>
      <c r="BQ61" s="21" t="s">
        <v>17</v>
      </c>
      <c r="BR61" s="21" t="s">
        <v>107</v>
      </c>
      <c r="BS61" s="21" t="s">
        <v>518</v>
      </c>
      <c r="BT61" s="21" t="s">
        <v>519</v>
      </c>
      <c r="BU61" s="21" t="s">
        <v>107</v>
      </c>
      <c r="CD61" s="21" t="s">
        <v>520</v>
      </c>
      <c r="CF61" s="21" t="s">
        <v>521</v>
      </c>
      <c r="DB61" s="21" t="s">
        <v>943</v>
      </c>
      <c r="DC61" s="21">
        <v>1</v>
      </c>
      <c r="DD61" s="21">
        <v>1</v>
      </c>
      <c r="DE61" s="22">
        <v>42740</v>
      </c>
      <c r="DF61" s="21" t="s">
        <v>1802</v>
      </c>
      <c r="DG61" s="21" t="s">
        <v>522</v>
      </c>
      <c r="DH61" s="21" t="s">
        <v>1803</v>
      </c>
      <c r="DI61" s="21" t="s">
        <v>495</v>
      </c>
      <c r="DJ61" s="21" t="s">
        <v>520</v>
      </c>
      <c r="DL61" s="21">
        <v>42749</v>
      </c>
      <c r="DM61" s="21">
        <v>42739</v>
      </c>
      <c r="DN61" s="21">
        <v>3100</v>
      </c>
      <c r="DO61" s="21">
        <v>8</v>
      </c>
      <c r="DP61" s="21">
        <v>1</v>
      </c>
      <c r="DQ61" s="21">
        <v>1</v>
      </c>
      <c r="DR61" s="21">
        <v>6</v>
      </c>
      <c r="DS61" s="21">
        <v>9</v>
      </c>
      <c r="DT61" s="21">
        <v>9</v>
      </c>
      <c r="DU61" s="21">
        <v>10</v>
      </c>
      <c r="DW61" s="21">
        <v>10</v>
      </c>
      <c r="EA61" s="21">
        <v>8</v>
      </c>
      <c r="EF61" s="25">
        <v>0</v>
      </c>
      <c r="EG61" s="25">
        <v>0</v>
      </c>
      <c r="EH61" s="25">
        <v>0</v>
      </c>
      <c r="EI61" s="25">
        <v>0</v>
      </c>
      <c r="EJ61" s="25" t="s">
        <v>62</v>
      </c>
      <c r="EK61" s="25" t="s">
        <v>108</v>
      </c>
      <c r="EL61" s="25" t="s">
        <v>108</v>
      </c>
      <c r="EM61" s="25" t="s">
        <v>276</v>
      </c>
      <c r="EN61" s="25" t="s">
        <v>9</v>
      </c>
      <c r="EO61" s="25" t="s">
        <v>9</v>
      </c>
      <c r="EP61" s="25" t="s">
        <v>62</v>
      </c>
      <c r="EQ61" s="25" t="s">
        <v>62</v>
      </c>
      <c r="ER61" s="25" t="s">
        <v>278</v>
      </c>
      <c r="ES61" s="25" t="s">
        <v>278</v>
      </c>
      <c r="ET61" s="25">
        <v>1</v>
      </c>
      <c r="EU61" s="25" t="s">
        <v>522</v>
      </c>
      <c r="EV61" s="25" t="s">
        <v>108</v>
      </c>
      <c r="EW61" s="25" t="s">
        <v>9</v>
      </c>
      <c r="EX61" s="25" t="s">
        <v>278</v>
      </c>
      <c r="EY61" s="20" t="e">
        <v>#N/A</v>
      </c>
    </row>
    <row r="62" spans="1:155">
      <c r="A62" s="21" t="s">
        <v>491</v>
      </c>
      <c r="B62" s="21" t="s">
        <v>491</v>
      </c>
      <c r="C62" s="21" t="s">
        <v>492</v>
      </c>
      <c r="D62" s="21" t="s">
        <v>493</v>
      </c>
      <c r="E62" s="21" t="s">
        <v>493</v>
      </c>
      <c r="F62" s="21" t="s">
        <v>493</v>
      </c>
      <c r="G62" s="21" t="s">
        <v>1607</v>
      </c>
      <c r="H62" s="21" t="s">
        <v>1608</v>
      </c>
      <c r="I62" s="21" t="s">
        <v>494</v>
      </c>
      <c r="J62" s="21" t="s">
        <v>1609</v>
      </c>
      <c r="L62" s="21" t="s">
        <v>495</v>
      </c>
      <c r="M62" s="21" t="s">
        <v>1610</v>
      </c>
      <c r="N62" s="21" t="s">
        <v>1611</v>
      </c>
      <c r="O62" s="21" t="s">
        <v>93</v>
      </c>
      <c r="P62" s="21" t="s">
        <v>539</v>
      </c>
      <c r="Q62" s="21" t="s">
        <v>1612</v>
      </c>
      <c r="R62" s="21" t="s">
        <v>1613</v>
      </c>
      <c r="S62" s="21" t="s">
        <v>1614</v>
      </c>
      <c r="V62" s="21" t="s">
        <v>277</v>
      </c>
      <c r="W62" s="21" t="s">
        <v>524</v>
      </c>
      <c r="X62" s="21" t="s">
        <v>525</v>
      </c>
      <c r="Y62" s="21" t="s">
        <v>530</v>
      </c>
      <c r="Z62" s="21">
        <v>3035112910</v>
      </c>
      <c r="AA62" s="22">
        <v>42724</v>
      </c>
      <c r="AB62" s="22"/>
      <c r="AC62" s="21" t="s">
        <v>1615</v>
      </c>
      <c r="AD62" s="21" t="s">
        <v>505</v>
      </c>
      <c r="AE62" s="21" t="s">
        <v>1020</v>
      </c>
      <c r="AF62" s="21" t="s">
        <v>1021</v>
      </c>
      <c r="AG62" s="21" t="s">
        <v>1340</v>
      </c>
      <c r="AH62" s="21" t="s">
        <v>1341</v>
      </c>
      <c r="AI62" s="21" t="s">
        <v>1616</v>
      </c>
      <c r="AJ62" s="21" t="s">
        <v>507</v>
      </c>
      <c r="AK62" s="21" t="s">
        <v>494</v>
      </c>
      <c r="AL62" s="21" t="s">
        <v>508</v>
      </c>
      <c r="AM62" s="21" t="s">
        <v>509</v>
      </c>
      <c r="AN62" s="21" t="s">
        <v>509</v>
      </c>
      <c r="AO62" s="21" t="s">
        <v>510</v>
      </c>
      <c r="AT62" s="21" t="s">
        <v>512</v>
      </c>
      <c r="AW62" s="21">
        <v>0</v>
      </c>
      <c r="AX62" s="21">
        <v>13</v>
      </c>
      <c r="BC62" s="21" t="s">
        <v>513</v>
      </c>
      <c r="BD62" s="21" t="s">
        <v>514</v>
      </c>
      <c r="BE62" s="21" t="s">
        <v>514</v>
      </c>
      <c r="BF62" s="21" t="s">
        <v>515</v>
      </c>
      <c r="BG62" s="21">
        <v>1</v>
      </c>
      <c r="BH62" s="21" t="s">
        <v>516</v>
      </c>
      <c r="BI62" s="21" t="s">
        <v>517</v>
      </c>
      <c r="BJ62" s="21" t="s">
        <v>516</v>
      </c>
      <c r="BK62" s="21" t="s">
        <v>516</v>
      </c>
      <c r="BM62" s="21" t="s">
        <v>583</v>
      </c>
      <c r="BN62" s="21" t="s">
        <v>154</v>
      </c>
      <c r="BO62" s="21" t="s">
        <v>518</v>
      </c>
      <c r="BP62" s="21" t="s">
        <v>519</v>
      </c>
      <c r="BQ62" s="21" t="s">
        <v>47</v>
      </c>
      <c r="BR62" s="21" t="s">
        <v>139</v>
      </c>
      <c r="BS62" s="21" t="s">
        <v>518</v>
      </c>
      <c r="BT62" s="21" t="s">
        <v>1044</v>
      </c>
      <c r="BU62" s="21" t="s">
        <v>154</v>
      </c>
      <c r="CD62" s="21" t="s">
        <v>520</v>
      </c>
      <c r="CF62" s="21" t="s">
        <v>521</v>
      </c>
      <c r="DB62" s="21" t="s">
        <v>943</v>
      </c>
      <c r="DC62" s="21">
        <v>1</v>
      </c>
      <c r="DD62" s="21">
        <v>1</v>
      </c>
      <c r="DE62" s="22">
        <v>42740</v>
      </c>
      <c r="DF62" s="21" t="s">
        <v>1617</v>
      </c>
      <c r="DG62" s="21" t="s">
        <v>522</v>
      </c>
      <c r="DH62" s="21" t="s">
        <v>1618</v>
      </c>
      <c r="DI62" s="21" t="s">
        <v>495</v>
      </c>
      <c r="DJ62" s="21" t="s">
        <v>520</v>
      </c>
      <c r="DL62" s="21">
        <v>42749</v>
      </c>
      <c r="DM62" s="21">
        <v>42739</v>
      </c>
      <c r="DN62" s="21">
        <v>1100</v>
      </c>
      <c r="DO62" s="21">
        <v>10</v>
      </c>
      <c r="DP62" s="21">
        <v>1</v>
      </c>
      <c r="DQ62" s="21">
        <v>1</v>
      </c>
      <c r="DR62" s="21">
        <v>6</v>
      </c>
      <c r="DS62" s="21">
        <v>10</v>
      </c>
      <c r="DT62" s="21">
        <v>10</v>
      </c>
      <c r="DU62" s="21">
        <v>8</v>
      </c>
      <c r="DW62" s="21">
        <v>10</v>
      </c>
      <c r="EA62" s="21">
        <v>10</v>
      </c>
      <c r="EF62" s="25">
        <v>1</v>
      </c>
      <c r="EG62" s="25">
        <v>0</v>
      </c>
      <c r="EH62" s="25">
        <v>1</v>
      </c>
      <c r="EI62" s="25">
        <v>0</v>
      </c>
      <c r="EJ62" s="25" t="s">
        <v>92</v>
      </c>
      <c r="EK62" s="25" t="s">
        <v>155</v>
      </c>
      <c r="EL62" s="25" t="s">
        <v>140</v>
      </c>
      <c r="EM62" s="25" t="s">
        <v>276</v>
      </c>
      <c r="EN62" s="25" t="s">
        <v>23</v>
      </c>
      <c r="EO62" s="25" t="s">
        <v>23</v>
      </c>
      <c r="EP62" s="25" t="s">
        <v>62</v>
      </c>
      <c r="EQ62" s="25" t="s">
        <v>529</v>
      </c>
      <c r="ER62" s="25" t="s">
        <v>278</v>
      </c>
      <c r="ES62" s="25" t="s">
        <v>278</v>
      </c>
      <c r="ET62" s="25">
        <v>1</v>
      </c>
      <c r="EU62" s="25" t="s">
        <v>522</v>
      </c>
      <c r="EV62" s="25" t="s">
        <v>279</v>
      </c>
      <c r="EW62" s="25" t="s">
        <v>279</v>
      </c>
      <c r="EX62" s="25" t="s">
        <v>279</v>
      </c>
      <c r="EY62" s="20" t="e">
        <v>#N/A</v>
      </c>
    </row>
    <row r="63" spans="1:155">
      <c r="A63" s="21" t="s">
        <v>491</v>
      </c>
      <c r="B63" s="21" t="s">
        <v>491</v>
      </c>
      <c r="C63" s="21" t="s">
        <v>492</v>
      </c>
      <c r="D63" s="21" t="s">
        <v>493</v>
      </c>
      <c r="E63" s="21" t="s">
        <v>493</v>
      </c>
      <c r="F63" s="21" t="s">
        <v>493</v>
      </c>
      <c r="G63" s="21" t="s">
        <v>1828</v>
      </c>
      <c r="H63" s="21" t="s">
        <v>1829</v>
      </c>
      <c r="I63" s="21" t="s">
        <v>494</v>
      </c>
      <c r="J63" s="21" t="s">
        <v>1830</v>
      </c>
      <c r="L63" s="21" t="s">
        <v>495</v>
      </c>
      <c r="M63" s="21" t="s">
        <v>1831</v>
      </c>
      <c r="N63" s="21" t="s">
        <v>496</v>
      </c>
      <c r="O63" s="21" t="s">
        <v>69</v>
      </c>
      <c r="P63" s="21" t="s">
        <v>497</v>
      </c>
      <c r="R63" s="21" t="s">
        <v>498</v>
      </c>
      <c r="S63" s="21" t="s">
        <v>499</v>
      </c>
      <c r="V63" s="21" t="s">
        <v>500</v>
      </c>
      <c r="W63" s="21" t="s">
        <v>501</v>
      </c>
      <c r="X63" s="21" t="s">
        <v>502</v>
      </c>
      <c r="Y63" s="21" t="s">
        <v>503</v>
      </c>
      <c r="Z63" s="21">
        <v>3035262799</v>
      </c>
      <c r="AA63" s="22">
        <v>42731</v>
      </c>
      <c r="AB63" s="22">
        <v>42737</v>
      </c>
      <c r="AC63" s="21" t="s">
        <v>504</v>
      </c>
      <c r="AD63" s="21" t="s">
        <v>505</v>
      </c>
      <c r="AE63" s="21" t="s">
        <v>500</v>
      </c>
      <c r="AF63" s="21" t="s">
        <v>506</v>
      </c>
      <c r="AG63" s="21" t="s">
        <v>1832</v>
      </c>
      <c r="AH63" s="21" t="s">
        <v>1833</v>
      </c>
      <c r="AI63" s="21" t="s">
        <v>1834</v>
      </c>
      <c r="AJ63" s="21" t="s">
        <v>526</v>
      </c>
      <c r="AK63" s="21" t="s">
        <v>494</v>
      </c>
      <c r="AL63" s="21" t="s">
        <v>527</v>
      </c>
      <c r="AM63" s="21" t="s">
        <v>527</v>
      </c>
      <c r="AN63" s="21" t="s">
        <v>527</v>
      </c>
      <c r="AO63" s="21" t="s">
        <v>528</v>
      </c>
      <c r="AS63" s="21" t="s">
        <v>1418</v>
      </c>
      <c r="AT63" s="21" t="s">
        <v>512</v>
      </c>
      <c r="AW63" s="21">
        <v>0</v>
      </c>
      <c r="AX63" s="21">
        <v>5</v>
      </c>
      <c r="BC63" s="21" t="s">
        <v>513</v>
      </c>
      <c r="BD63" s="21" t="s">
        <v>514</v>
      </c>
      <c r="BE63" s="21" t="s">
        <v>514</v>
      </c>
      <c r="BF63" s="21" t="s">
        <v>515</v>
      </c>
      <c r="BG63" s="21">
        <v>1</v>
      </c>
      <c r="BH63" s="21" t="s">
        <v>516</v>
      </c>
      <c r="BI63" s="21" t="s">
        <v>517</v>
      </c>
      <c r="BJ63" s="21" t="s">
        <v>516</v>
      </c>
      <c r="BK63" s="21" t="s">
        <v>516</v>
      </c>
      <c r="BM63" s="21" t="s">
        <v>54</v>
      </c>
      <c r="BN63" s="21" t="s">
        <v>259</v>
      </c>
      <c r="BO63" s="21" t="s">
        <v>518</v>
      </c>
      <c r="BP63" s="21" t="s">
        <v>519</v>
      </c>
      <c r="BQ63" s="21" t="s">
        <v>21</v>
      </c>
      <c r="BR63" s="21" t="s">
        <v>115</v>
      </c>
      <c r="BS63" s="21" t="s">
        <v>518</v>
      </c>
      <c r="BT63" s="21" t="s">
        <v>519</v>
      </c>
      <c r="BU63" s="21" t="s">
        <v>259</v>
      </c>
      <c r="CD63" s="21" t="s">
        <v>520</v>
      </c>
      <c r="CF63" s="21" t="s">
        <v>521</v>
      </c>
      <c r="DB63" s="21" t="s">
        <v>943</v>
      </c>
      <c r="DC63" s="21">
        <v>1</v>
      </c>
      <c r="DD63" s="21">
        <v>1</v>
      </c>
      <c r="DE63" s="22">
        <v>42740</v>
      </c>
      <c r="DF63" s="21" t="s">
        <v>1454</v>
      </c>
      <c r="DG63" s="21" t="s">
        <v>522</v>
      </c>
      <c r="DH63" s="21" t="s">
        <v>1835</v>
      </c>
      <c r="DI63" s="21" t="s">
        <v>495</v>
      </c>
      <c r="DJ63" s="21" t="s">
        <v>520</v>
      </c>
      <c r="DL63" s="21">
        <v>42749</v>
      </c>
      <c r="DM63" s="21">
        <v>42739</v>
      </c>
      <c r="DN63" s="21">
        <v>3100</v>
      </c>
      <c r="DO63" s="21">
        <v>10</v>
      </c>
      <c r="DP63" s="21">
        <v>1</v>
      </c>
      <c r="DQ63" s="21">
        <v>1</v>
      </c>
      <c r="DR63" s="21">
        <v>7</v>
      </c>
      <c r="DS63" s="21">
        <v>10</v>
      </c>
      <c r="DT63" s="21">
        <v>10</v>
      </c>
      <c r="DU63" s="21">
        <v>10</v>
      </c>
      <c r="DW63" s="21">
        <v>10</v>
      </c>
      <c r="EA63" s="21">
        <v>10</v>
      </c>
      <c r="EB63" s="21" t="s">
        <v>1836</v>
      </c>
      <c r="EC63" s="21" t="s">
        <v>1837</v>
      </c>
      <c r="EF63" s="25">
        <v>1</v>
      </c>
      <c r="EG63" s="25">
        <v>0</v>
      </c>
      <c r="EH63" s="25">
        <v>1</v>
      </c>
      <c r="EI63" s="25">
        <v>0</v>
      </c>
      <c r="EJ63" s="25" t="s">
        <v>62</v>
      </c>
      <c r="EK63" s="25" t="s">
        <v>276</v>
      </c>
      <c r="EL63" s="25" t="s">
        <v>116</v>
      </c>
      <c r="EM63" s="25" t="s">
        <v>276</v>
      </c>
      <c r="EN63" s="25" t="s">
        <v>276</v>
      </c>
      <c r="EO63" s="25" t="s">
        <v>127</v>
      </c>
      <c r="EP63" s="25" t="s">
        <v>276</v>
      </c>
      <c r="EQ63" s="25" t="s">
        <v>529</v>
      </c>
      <c r="ER63" s="25" t="s">
        <v>276</v>
      </c>
      <c r="ES63" s="25" t="s">
        <v>278</v>
      </c>
      <c r="ET63" s="25">
        <v>1</v>
      </c>
      <c r="EU63" s="25" t="s">
        <v>522</v>
      </c>
      <c r="EV63" s="25" t="s">
        <v>279</v>
      </c>
      <c r="EW63" s="25" t="s">
        <v>279</v>
      </c>
      <c r="EX63" s="25" t="s">
        <v>279</v>
      </c>
      <c r="EY63" s="20" t="s">
        <v>273</v>
      </c>
    </row>
    <row r="64" spans="1:155">
      <c r="A64" s="21" t="s">
        <v>491</v>
      </c>
      <c r="B64" s="21" t="s">
        <v>491</v>
      </c>
      <c r="C64" s="21" t="s">
        <v>492</v>
      </c>
      <c r="D64" s="21" t="s">
        <v>493</v>
      </c>
      <c r="E64" s="21" t="s">
        <v>493</v>
      </c>
      <c r="F64" s="21" t="s">
        <v>493</v>
      </c>
      <c r="G64" s="21" t="s">
        <v>1838</v>
      </c>
      <c r="H64" s="21">
        <v>1136170080</v>
      </c>
      <c r="I64" s="21" t="s">
        <v>494</v>
      </c>
      <c r="J64" s="21" t="s">
        <v>1839</v>
      </c>
      <c r="L64" s="21" t="s">
        <v>495</v>
      </c>
      <c r="M64" s="21" t="s">
        <v>1840</v>
      </c>
      <c r="N64" s="21" t="s">
        <v>1268</v>
      </c>
      <c r="O64" s="21" t="s">
        <v>69</v>
      </c>
      <c r="P64" s="21" t="s">
        <v>497</v>
      </c>
      <c r="R64" s="21" t="s">
        <v>1269</v>
      </c>
      <c r="S64" s="21" t="s">
        <v>1270</v>
      </c>
      <c r="V64" s="21" t="s">
        <v>500</v>
      </c>
      <c r="W64" s="21" t="s">
        <v>501</v>
      </c>
      <c r="X64" s="21" t="s">
        <v>502</v>
      </c>
      <c r="Y64" s="21" t="s">
        <v>503</v>
      </c>
      <c r="Z64" s="21">
        <v>3035400014</v>
      </c>
      <c r="AA64" s="22">
        <v>42737</v>
      </c>
      <c r="AB64" s="22">
        <v>42737</v>
      </c>
      <c r="AC64" s="21" t="s">
        <v>504</v>
      </c>
      <c r="AD64" s="21" t="s">
        <v>505</v>
      </c>
      <c r="AE64" s="21" t="s">
        <v>1020</v>
      </c>
      <c r="AF64" s="21" t="s">
        <v>1314</v>
      </c>
      <c r="AG64" s="21" t="s">
        <v>1315</v>
      </c>
      <c r="AH64" s="21" t="s">
        <v>1316</v>
      </c>
      <c r="AI64" s="21" t="s">
        <v>1317</v>
      </c>
      <c r="AJ64" s="21" t="s">
        <v>526</v>
      </c>
      <c r="AK64" s="21" t="s">
        <v>494</v>
      </c>
      <c r="AL64" s="21" t="s">
        <v>527</v>
      </c>
      <c r="AM64" s="21" t="s">
        <v>527</v>
      </c>
      <c r="AN64" s="21" t="s">
        <v>527</v>
      </c>
      <c r="AO64" s="21" t="s">
        <v>528</v>
      </c>
      <c r="AS64" s="21" t="s">
        <v>511</v>
      </c>
      <c r="AT64" s="21" t="s">
        <v>512</v>
      </c>
      <c r="AW64" s="21">
        <v>0</v>
      </c>
      <c r="AX64" s="21">
        <v>2</v>
      </c>
      <c r="BC64" s="21" t="s">
        <v>513</v>
      </c>
      <c r="BD64" s="21" t="s">
        <v>514</v>
      </c>
      <c r="BE64" s="21" t="s">
        <v>514</v>
      </c>
      <c r="BF64" s="21" t="s">
        <v>515</v>
      </c>
      <c r="BG64" s="21">
        <v>1</v>
      </c>
      <c r="BH64" s="21" t="s">
        <v>516</v>
      </c>
      <c r="BI64" s="21" t="s">
        <v>517</v>
      </c>
      <c r="BJ64" s="21" t="s">
        <v>516</v>
      </c>
      <c r="BK64" s="21" t="s">
        <v>516</v>
      </c>
      <c r="BM64" s="21" t="s">
        <v>14</v>
      </c>
      <c r="BN64" s="21" t="s">
        <v>133</v>
      </c>
      <c r="BO64" s="21" t="s">
        <v>518</v>
      </c>
      <c r="BP64" s="21" t="s">
        <v>519</v>
      </c>
      <c r="BQ64" s="21" t="s">
        <v>14</v>
      </c>
      <c r="BR64" s="21" t="s">
        <v>133</v>
      </c>
      <c r="BS64" s="21" t="s">
        <v>518</v>
      </c>
      <c r="BT64" s="21" t="s">
        <v>519</v>
      </c>
      <c r="BU64" s="21" t="s">
        <v>133</v>
      </c>
      <c r="CD64" s="21" t="s">
        <v>520</v>
      </c>
      <c r="CF64" s="21" t="s">
        <v>521</v>
      </c>
      <c r="DB64" s="21" t="s">
        <v>943</v>
      </c>
      <c r="DC64" s="21">
        <v>1</v>
      </c>
      <c r="DD64" s="21">
        <v>1</v>
      </c>
      <c r="DE64" s="22">
        <v>42740</v>
      </c>
      <c r="DF64" s="21" t="s">
        <v>1841</v>
      </c>
      <c r="DG64" s="21" t="s">
        <v>522</v>
      </c>
      <c r="DH64" s="21" t="s">
        <v>1842</v>
      </c>
      <c r="DI64" s="21" t="s">
        <v>495</v>
      </c>
      <c r="DJ64" s="21" t="s">
        <v>520</v>
      </c>
      <c r="DL64" s="21">
        <v>42749</v>
      </c>
      <c r="DM64" s="21">
        <v>42739</v>
      </c>
      <c r="DN64" s="21">
        <v>3100</v>
      </c>
      <c r="DO64" s="21">
        <v>10</v>
      </c>
      <c r="DP64" s="21">
        <v>1</v>
      </c>
      <c r="DQ64" s="21">
        <v>1</v>
      </c>
      <c r="DR64" s="21">
        <v>6</v>
      </c>
      <c r="DS64" s="21">
        <v>10</v>
      </c>
      <c r="DT64" s="21">
        <v>10</v>
      </c>
      <c r="DU64" s="21">
        <v>10</v>
      </c>
      <c r="DW64" s="21">
        <v>10</v>
      </c>
      <c r="EA64" s="21">
        <v>10</v>
      </c>
      <c r="EF64" s="25">
        <v>1</v>
      </c>
      <c r="EG64" s="25">
        <v>0</v>
      </c>
      <c r="EH64" s="25">
        <v>1</v>
      </c>
      <c r="EI64" s="25">
        <v>0</v>
      </c>
      <c r="EJ64" s="25" t="s">
        <v>62</v>
      </c>
      <c r="EK64" s="25" t="s">
        <v>134</v>
      </c>
      <c r="EL64" s="25" t="s">
        <v>134</v>
      </c>
      <c r="EM64" s="25" t="s">
        <v>276</v>
      </c>
      <c r="EN64" s="25" t="s">
        <v>9</v>
      </c>
      <c r="EO64" s="25" t="s">
        <v>9</v>
      </c>
      <c r="EP64" s="25" t="s">
        <v>62</v>
      </c>
      <c r="EQ64" s="25" t="s">
        <v>62</v>
      </c>
      <c r="ER64" s="25" t="s">
        <v>278</v>
      </c>
      <c r="ES64" s="25" t="s">
        <v>278</v>
      </c>
      <c r="ET64" s="25">
        <v>1</v>
      </c>
      <c r="EU64" s="25" t="s">
        <v>522</v>
      </c>
      <c r="EV64" s="25" t="s">
        <v>134</v>
      </c>
      <c r="EW64" s="25" t="s">
        <v>9</v>
      </c>
      <c r="EX64" s="25" t="s">
        <v>278</v>
      </c>
      <c r="EY64" s="20" t="e">
        <v>#N/A</v>
      </c>
    </row>
    <row r="65" spans="1:155">
      <c r="A65" s="21" t="s">
        <v>491</v>
      </c>
      <c r="B65" s="21" t="s">
        <v>491</v>
      </c>
      <c r="C65" s="21" t="s">
        <v>492</v>
      </c>
      <c r="D65" s="21" t="s">
        <v>493</v>
      </c>
      <c r="E65" s="21" t="s">
        <v>493</v>
      </c>
      <c r="F65" s="21" t="s">
        <v>493</v>
      </c>
      <c r="G65" s="21" t="s">
        <v>1843</v>
      </c>
      <c r="H65" s="21">
        <v>4730230202</v>
      </c>
      <c r="I65" s="21" t="s">
        <v>494</v>
      </c>
      <c r="J65" s="21" t="s">
        <v>1844</v>
      </c>
      <c r="L65" s="21" t="s">
        <v>495</v>
      </c>
      <c r="M65" s="21" t="s">
        <v>1845</v>
      </c>
      <c r="N65" s="21" t="s">
        <v>1258</v>
      </c>
      <c r="O65" s="21" t="s">
        <v>69</v>
      </c>
      <c r="P65" s="21" t="s">
        <v>497</v>
      </c>
      <c r="R65" s="21" t="s">
        <v>1259</v>
      </c>
      <c r="S65" s="21" t="s">
        <v>1260</v>
      </c>
      <c r="V65" s="21" t="s">
        <v>500</v>
      </c>
      <c r="W65" s="21" t="s">
        <v>501</v>
      </c>
      <c r="X65" s="21" t="s">
        <v>502</v>
      </c>
      <c r="Y65" s="21" t="s">
        <v>503</v>
      </c>
      <c r="Z65" s="21">
        <v>3035414842</v>
      </c>
      <c r="AA65" s="22">
        <v>42737</v>
      </c>
      <c r="AB65" s="22">
        <v>42737</v>
      </c>
      <c r="AC65" s="21" t="s">
        <v>504</v>
      </c>
      <c r="AD65" s="21" t="s">
        <v>505</v>
      </c>
      <c r="AE65" s="21" t="s">
        <v>1846</v>
      </c>
      <c r="AF65" s="21" t="s">
        <v>1847</v>
      </c>
      <c r="AG65" s="21" t="s">
        <v>1848</v>
      </c>
      <c r="AH65" s="21" t="s">
        <v>1849</v>
      </c>
      <c r="AI65" s="21" t="s">
        <v>1117</v>
      </c>
      <c r="AJ65" s="21" t="s">
        <v>1109</v>
      </c>
      <c r="AK65" s="21" t="s">
        <v>494</v>
      </c>
      <c r="AL65" s="21" t="s">
        <v>508</v>
      </c>
      <c r="AM65" s="21" t="s">
        <v>509</v>
      </c>
      <c r="AN65" s="21" t="s">
        <v>509</v>
      </c>
      <c r="AO65" s="21" t="s">
        <v>510</v>
      </c>
      <c r="AS65" s="21" t="s">
        <v>511</v>
      </c>
      <c r="AT65" s="21" t="s">
        <v>512</v>
      </c>
      <c r="AW65" s="21">
        <v>0</v>
      </c>
      <c r="AX65" s="21">
        <v>2</v>
      </c>
      <c r="BC65" s="21" t="s">
        <v>513</v>
      </c>
      <c r="BD65" s="21" t="s">
        <v>514</v>
      </c>
      <c r="BE65" s="21" t="s">
        <v>514</v>
      </c>
      <c r="BF65" s="21" t="s">
        <v>515</v>
      </c>
      <c r="BG65" s="21">
        <v>1</v>
      </c>
      <c r="BH65" s="21" t="s">
        <v>516</v>
      </c>
      <c r="BI65" s="21" t="s">
        <v>517</v>
      </c>
      <c r="BJ65" s="21" t="s">
        <v>516</v>
      </c>
      <c r="BK65" s="21" t="s">
        <v>516</v>
      </c>
      <c r="BM65" s="21" t="s">
        <v>1525</v>
      </c>
      <c r="BN65" s="21" t="s">
        <v>862</v>
      </c>
      <c r="BO65" s="21" t="s">
        <v>518</v>
      </c>
      <c r="BP65" s="21" t="s">
        <v>519</v>
      </c>
      <c r="BQ65" s="21" t="s">
        <v>1525</v>
      </c>
      <c r="BR65" s="21" t="s">
        <v>862</v>
      </c>
      <c r="BS65" s="21" t="s">
        <v>518</v>
      </c>
      <c r="BT65" s="21" t="s">
        <v>519</v>
      </c>
      <c r="BU65" s="21" t="s">
        <v>862</v>
      </c>
      <c r="CD65" s="21" t="s">
        <v>520</v>
      </c>
      <c r="CF65" s="21" t="s">
        <v>521</v>
      </c>
      <c r="DB65" s="21" t="s">
        <v>943</v>
      </c>
      <c r="DC65" s="21">
        <v>1</v>
      </c>
      <c r="DD65" s="21">
        <v>1</v>
      </c>
      <c r="DE65" s="22">
        <v>42740</v>
      </c>
      <c r="DF65" s="21" t="s">
        <v>1850</v>
      </c>
      <c r="DG65" s="21" t="s">
        <v>522</v>
      </c>
      <c r="DH65" s="21" t="s">
        <v>1851</v>
      </c>
      <c r="DI65" s="21" t="s">
        <v>495</v>
      </c>
      <c r="DJ65" s="21" t="s">
        <v>520</v>
      </c>
      <c r="DL65" s="21">
        <v>42749</v>
      </c>
      <c r="DM65" s="21">
        <v>42739</v>
      </c>
      <c r="DN65" s="21">
        <v>3100</v>
      </c>
      <c r="DO65" s="21">
        <v>10</v>
      </c>
      <c r="DP65" s="21">
        <v>1</v>
      </c>
      <c r="DQ65" s="21">
        <v>1</v>
      </c>
      <c r="DR65" s="21">
        <v>7</v>
      </c>
      <c r="DS65" s="21">
        <v>10</v>
      </c>
      <c r="DT65" s="21">
        <v>10</v>
      </c>
      <c r="DU65" s="21">
        <v>10</v>
      </c>
      <c r="DW65" s="21">
        <v>9</v>
      </c>
      <c r="EA65" s="21">
        <v>9</v>
      </c>
      <c r="EF65" s="25">
        <v>1</v>
      </c>
      <c r="EG65" s="25">
        <v>0</v>
      </c>
      <c r="EH65" s="25">
        <v>1</v>
      </c>
      <c r="EI65" s="25">
        <v>0</v>
      </c>
      <c r="EJ65" s="25" t="s">
        <v>62</v>
      </c>
      <c r="EK65" s="25" t="s">
        <v>624</v>
      </c>
      <c r="EL65" s="25" t="s">
        <v>624</v>
      </c>
      <c r="EM65" s="25" t="s">
        <v>276</v>
      </c>
      <c r="EN65" s="25" t="s">
        <v>23</v>
      </c>
      <c r="EO65" s="25" t="s">
        <v>23</v>
      </c>
      <c r="EP65" s="25" t="s">
        <v>62</v>
      </c>
      <c r="EQ65" s="25" t="s">
        <v>62</v>
      </c>
      <c r="ER65" s="25" t="s">
        <v>278</v>
      </c>
      <c r="ES65" s="25" t="s">
        <v>278</v>
      </c>
      <c r="ET65" s="25">
        <v>1</v>
      </c>
      <c r="EU65" s="25" t="s">
        <v>522</v>
      </c>
      <c r="EV65" s="25" t="s">
        <v>624</v>
      </c>
      <c r="EW65" s="25" t="s">
        <v>23</v>
      </c>
      <c r="EX65" s="25" t="s">
        <v>278</v>
      </c>
      <c r="EY65" s="20" t="e">
        <v>#N/A</v>
      </c>
    </row>
    <row r="66" spans="1:155">
      <c r="A66" s="21" t="s">
        <v>491</v>
      </c>
      <c r="B66" s="21" t="s">
        <v>491</v>
      </c>
      <c r="C66" s="21" t="s">
        <v>492</v>
      </c>
      <c r="D66" s="21" t="s">
        <v>493</v>
      </c>
      <c r="E66" s="21" t="s">
        <v>493</v>
      </c>
      <c r="F66" s="21" t="s">
        <v>493</v>
      </c>
      <c r="G66" s="21" t="s">
        <v>1619</v>
      </c>
      <c r="H66" s="21">
        <v>2124585564</v>
      </c>
      <c r="I66" s="21" t="s">
        <v>494</v>
      </c>
      <c r="J66" s="21" t="s">
        <v>1620</v>
      </c>
      <c r="L66" s="21" t="s">
        <v>495</v>
      </c>
      <c r="M66" s="21" t="s">
        <v>1621</v>
      </c>
      <c r="N66" s="21" t="s">
        <v>550</v>
      </c>
      <c r="O66" s="21" t="s">
        <v>69</v>
      </c>
      <c r="P66" s="21" t="s">
        <v>497</v>
      </c>
      <c r="R66" s="21" t="s">
        <v>551</v>
      </c>
      <c r="S66" s="21" t="s">
        <v>552</v>
      </c>
      <c r="V66" s="21" t="s">
        <v>500</v>
      </c>
      <c r="W66" s="21" t="s">
        <v>501</v>
      </c>
      <c r="X66" s="21" t="s">
        <v>502</v>
      </c>
      <c r="Y66" s="21" t="s">
        <v>503</v>
      </c>
      <c r="Z66" s="21">
        <v>3035405901</v>
      </c>
      <c r="AA66" s="22">
        <v>42737</v>
      </c>
      <c r="AB66" s="22">
        <v>42737</v>
      </c>
      <c r="AC66" s="21" t="s">
        <v>504</v>
      </c>
      <c r="AD66" s="21" t="s">
        <v>505</v>
      </c>
      <c r="AE66" s="21" t="s">
        <v>1091</v>
      </c>
      <c r="AF66" s="21" t="s">
        <v>1124</v>
      </c>
      <c r="AG66" s="21" t="s">
        <v>1125</v>
      </c>
      <c r="AH66" s="21" t="s">
        <v>1126</v>
      </c>
      <c r="AI66" s="21" t="s">
        <v>1127</v>
      </c>
      <c r="AJ66" s="21" t="s">
        <v>526</v>
      </c>
      <c r="AK66" s="21" t="s">
        <v>494</v>
      </c>
      <c r="AL66" s="21" t="s">
        <v>527</v>
      </c>
      <c r="AM66" s="21" t="s">
        <v>527</v>
      </c>
      <c r="AN66" s="21" t="s">
        <v>527</v>
      </c>
      <c r="AO66" s="21" t="s">
        <v>528</v>
      </c>
      <c r="AS66" s="21" t="s">
        <v>511</v>
      </c>
      <c r="AT66" s="21" t="s">
        <v>512</v>
      </c>
      <c r="AW66" s="21">
        <v>0</v>
      </c>
      <c r="AX66" s="21">
        <v>3</v>
      </c>
      <c r="BC66" s="21" t="s">
        <v>513</v>
      </c>
      <c r="BD66" s="21" t="s">
        <v>514</v>
      </c>
      <c r="BE66" s="21" t="s">
        <v>514</v>
      </c>
      <c r="BF66" s="21" t="s">
        <v>515</v>
      </c>
      <c r="BG66" s="21">
        <v>1</v>
      </c>
      <c r="BH66" s="21" t="s">
        <v>516</v>
      </c>
      <c r="BI66" s="21" t="s">
        <v>517</v>
      </c>
      <c r="BJ66" s="21" t="s">
        <v>516</v>
      </c>
      <c r="BK66" s="21" t="s">
        <v>516</v>
      </c>
      <c r="BM66" s="21" t="s">
        <v>54</v>
      </c>
      <c r="BN66" s="21" t="s">
        <v>259</v>
      </c>
      <c r="BO66" s="21" t="s">
        <v>518</v>
      </c>
      <c r="BP66" s="21" t="s">
        <v>519</v>
      </c>
      <c r="BQ66" s="21" t="s">
        <v>54</v>
      </c>
      <c r="BR66" s="21" t="s">
        <v>259</v>
      </c>
      <c r="BS66" s="21" t="s">
        <v>518</v>
      </c>
      <c r="BT66" s="21" t="s">
        <v>519</v>
      </c>
      <c r="BU66" s="21" t="s">
        <v>259</v>
      </c>
      <c r="CD66" s="21" t="s">
        <v>520</v>
      </c>
      <c r="CF66" s="21" t="s">
        <v>521</v>
      </c>
      <c r="DB66" s="21" t="s">
        <v>943</v>
      </c>
      <c r="DC66" s="21">
        <v>1</v>
      </c>
      <c r="DD66" s="21">
        <v>1</v>
      </c>
      <c r="DE66" s="22">
        <v>42740</v>
      </c>
      <c r="DF66" s="21" t="s">
        <v>1622</v>
      </c>
      <c r="DG66" s="21" t="s">
        <v>522</v>
      </c>
      <c r="DH66" s="21" t="s">
        <v>1623</v>
      </c>
      <c r="DI66" s="21" t="s">
        <v>495</v>
      </c>
      <c r="DJ66" s="21" t="s">
        <v>520</v>
      </c>
      <c r="DL66" s="21">
        <v>42749</v>
      </c>
      <c r="DM66" s="21">
        <v>42739</v>
      </c>
      <c r="DN66" s="21">
        <v>3100</v>
      </c>
      <c r="DO66" s="21">
        <v>10</v>
      </c>
      <c r="DP66" s="21">
        <v>1</v>
      </c>
      <c r="DQ66" s="21">
        <v>1</v>
      </c>
      <c r="DR66" s="21">
        <v>7</v>
      </c>
      <c r="DS66" s="21">
        <v>10</v>
      </c>
      <c r="DT66" s="21">
        <v>10</v>
      </c>
      <c r="DU66" s="21">
        <v>10</v>
      </c>
      <c r="DW66" s="21">
        <v>10</v>
      </c>
      <c r="EA66" s="21">
        <v>10</v>
      </c>
      <c r="EB66" s="21" t="s">
        <v>1624</v>
      </c>
      <c r="EC66" s="21" t="s">
        <v>1221</v>
      </c>
      <c r="EF66" s="25">
        <v>1</v>
      </c>
      <c r="EG66" s="25">
        <v>0</v>
      </c>
      <c r="EH66" s="25">
        <v>1</v>
      </c>
      <c r="EI66" s="25">
        <v>0</v>
      </c>
      <c r="EJ66" s="25" t="s">
        <v>62</v>
      </c>
      <c r="EK66" s="25" t="s">
        <v>276</v>
      </c>
      <c r="EL66" s="25" t="s">
        <v>276</v>
      </c>
      <c r="EM66" s="25" t="s">
        <v>276</v>
      </c>
      <c r="EN66" s="25" t="s">
        <v>276</v>
      </c>
      <c r="EO66" s="25" t="s">
        <v>276</v>
      </c>
      <c r="EP66" s="25" t="s">
        <v>276</v>
      </c>
      <c r="EQ66" s="25" t="s">
        <v>276</v>
      </c>
      <c r="ER66" s="25" t="s">
        <v>276</v>
      </c>
      <c r="ES66" s="25" t="s">
        <v>276</v>
      </c>
      <c r="ET66" s="25">
        <v>1</v>
      </c>
      <c r="EU66" s="25" t="s">
        <v>522</v>
      </c>
      <c r="EV66" s="25" t="s">
        <v>276</v>
      </c>
      <c r="EW66" s="25" t="s">
        <v>276</v>
      </c>
      <c r="EX66" s="25" t="s">
        <v>276</v>
      </c>
      <c r="EY66" s="20" t="s">
        <v>273</v>
      </c>
    </row>
    <row r="67" spans="1:155">
      <c r="A67" s="21" t="s">
        <v>491</v>
      </c>
      <c r="B67" s="21" t="s">
        <v>491</v>
      </c>
      <c r="C67" s="21" t="s">
        <v>492</v>
      </c>
      <c r="D67" s="21" t="s">
        <v>493</v>
      </c>
      <c r="E67" s="21" t="s">
        <v>493</v>
      </c>
      <c r="F67" s="21" t="s">
        <v>493</v>
      </c>
      <c r="G67" s="21" t="s">
        <v>1852</v>
      </c>
      <c r="H67" s="21">
        <v>8130614820</v>
      </c>
      <c r="I67" s="21" t="s">
        <v>494</v>
      </c>
      <c r="J67" s="21" t="s">
        <v>1853</v>
      </c>
      <c r="L67" s="21" t="s">
        <v>495</v>
      </c>
      <c r="M67" s="21" t="s">
        <v>1854</v>
      </c>
      <c r="N67" s="21" t="s">
        <v>496</v>
      </c>
      <c r="O67" s="21" t="s">
        <v>69</v>
      </c>
      <c r="P67" s="21" t="s">
        <v>497</v>
      </c>
      <c r="R67" s="21" t="s">
        <v>498</v>
      </c>
      <c r="S67" s="21" t="s">
        <v>499</v>
      </c>
      <c r="V67" s="21" t="s">
        <v>500</v>
      </c>
      <c r="W67" s="21" t="s">
        <v>501</v>
      </c>
      <c r="X67" s="21" t="s">
        <v>502</v>
      </c>
      <c r="Y67" s="21" t="s">
        <v>503</v>
      </c>
      <c r="Z67" s="21">
        <v>3035232141</v>
      </c>
      <c r="AA67" s="22">
        <v>42730</v>
      </c>
      <c r="AB67" s="22">
        <v>42737</v>
      </c>
      <c r="AC67" s="21" t="s">
        <v>504</v>
      </c>
      <c r="AD67" s="21" t="s">
        <v>505</v>
      </c>
      <c r="AE67" s="21" t="s">
        <v>500</v>
      </c>
      <c r="AF67" s="21" t="s">
        <v>549</v>
      </c>
      <c r="AG67" s="21" t="s">
        <v>555</v>
      </c>
      <c r="AH67" s="21" t="s">
        <v>556</v>
      </c>
      <c r="AI67" s="21" t="s">
        <v>1855</v>
      </c>
      <c r="AJ67" s="21" t="s">
        <v>526</v>
      </c>
      <c r="AK67" s="21" t="s">
        <v>494</v>
      </c>
      <c r="AL67" s="21" t="s">
        <v>527</v>
      </c>
      <c r="AM67" s="21" t="s">
        <v>527</v>
      </c>
      <c r="AN67" s="21" t="s">
        <v>527</v>
      </c>
      <c r="AO67" s="21" t="s">
        <v>528</v>
      </c>
      <c r="AS67" s="21" t="s">
        <v>1418</v>
      </c>
      <c r="AT67" s="21" t="s">
        <v>512</v>
      </c>
      <c r="AW67" s="21">
        <v>0</v>
      </c>
      <c r="AX67" s="21">
        <v>9</v>
      </c>
      <c r="BC67" s="21" t="s">
        <v>513</v>
      </c>
      <c r="BD67" s="21" t="s">
        <v>514</v>
      </c>
      <c r="BE67" s="21" t="s">
        <v>514</v>
      </c>
      <c r="BF67" s="21" t="s">
        <v>515</v>
      </c>
      <c r="BG67" s="21">
        <v>1</v>
      </c>
      <c r="BH67" s="21" t="s">
        <v>516</v>
      </c>
      <c r="BI67" s="21" t="s">
        <v>517</v>
      </c>
      <c r="BJ67" s="21" t="s">
        <v>516</v>
      </c>
      <c r="BK67" s="21" t="s">
        <v>516</v>
      </c>
      <c r="BM67" s="21" t="s">
        <v>593</v>
      </c>
      <c r="BN67" s="21" t="s">
        <v>909</v>
      </c>
      <c r="BO67" s="21" t="s">
        <v>1271</v>
      </c>
      <c r="BP67" s="21" t="s">
        <v>533</v>
      </c>
      <c r="BQ67" s="21" t="s">
        <v>21</v>
      </c>
      <c r="BR67" s="21" t="s">
        <v>115</v>
      </c>
      <c r="BS67" s="21" t="s">
        <v>518</v>
      </c>
      <c r="BT67" s="21" t="s">
        <v>519</v>
      </c>
      <c r="BU67" s="21" t="s">
        <v>909</v>
      </c>
      <c r="CD67" s="21" t="s">
        <v>520</v>
      </c>
      <c r="CF67" s="21" t="s">
        <v>534</v>
      </c>
      <c r="DB67" s="21" t="s">
        <v>943</v>
      </c>
      <c r="DC67" s="21">
        <v>1</v>
      </c>
      <c r="DD67" s="21">
        <v>1</v>
      </c>
      <c r="DE67" s="22">
        <v>42740</v>
      </c>
      <c r="DF67" s="21" t="s">
        <v>1856</v>
      </c>
      <c r="DG67" s="21" t="s">
        <v>522</v>
      </c>
      <c r="DH67" s="21" t="s">
        <v>1857</v>
      </c>
      <c r="DI67" s="21" t="s">
        <v>495</v>
      </c>
      <c r="DJ67" s="21" t="s">
        <v>520</v>
      </c>
      <c r="DL67" s="21">
        <v>42749</v>
      </c>
      <c r="DM67" s="21">
        <v>42739</v>
      </c>
      <c r="DN67" s="21">
        <v>3100</v>
      </c>
      <c r="DO67" s="21">
        <v>9</v>
      </c>
      <c r="DP67" s="21">
        <v>1</v>
      </c>
      <c r="DQ67" s="21">
        <v>1</v>
      </c>
      <c r="DR67" s="21">
        <v>7</v>
      </c>
      <c r="DS67" s="21">
        <v>9</v>
      </c>
      <c r="DT67" s="21">
        <v>99</v>
      </c>
      <c r="DU67" s="21">
        <v>10</v>
      </c>
      <c r="DW67" s="21">
        <v>10</v>
      </c>
      <c r="DY67" s="21">
        <v>10</v>
      </c>
      <c r="EA67" s="21">
        <v>10</v>
      </c>
      <c r="EF67" s="25">
        <v>1</v>
      </c>
      <c r="EG67" s="25">
        <v>0</v>
      </c>
      <c r="EH67" s="25">
        <v>1</v>
      </c>
      <c r="EI67" s="25">
        <v>0</v>
      </c>
      <c r="EJ67" s="25" t="s">
        <v>62</v>
      </c>
      <c r="EK67" s="25" t="s">
        <v>276</v>
      </c>
      <c r="EL67" s="25" t="s">
        <v>116</v>
      </c>
      <c r="EM67" s="25" t="s">
        <v>276</v>
      </c>
      <c r="EN67" s="25" t="s">
        <v>276</v>
      </c>
      <c r="EO67" s="25" t="s">
        <v>127</v>
      </c>
      <c r="EP67" s="25" t="s">
        <v>276</v>
      </c>
      <c r="EQ67" s="25" t="s">
        <v>529</v>
      </c>
      <c r="ER67" s="25" t="s">
        <v>276</v>
      </c>
      <c r="ES67" s="25" t="s">
        <v>278</v>
      </c>
      <c r="ET67" s="25">
        <v>1</v>
      </c>
      <c r="EU67" s="25" t="s">
        <v>522</v>
      </c>
      <c r="EV67" s="25" t="s">
        <v>279</v>
      </c>
      <c r="EW67" s="25" t="s">
        <v>279</v>
      </c>
      <c r="EX67" s="25" t="s">
        <v>279</v>
      </c>
      <c r="EY67" s="20" t="s">
        <v>273</v>
      </c>
    </row>
    <row r="68" spans="1:155">
      <c r="A68" s="21" t="s">
        <v>491</v>
      </c>
      <c r="B68" s="21" t="s">
        <v>491</v>
      </c>
      <c r="C68" s="21" t="s">
        <v>492</v>
      </c>
      <c r="D68" s="21" t="s">
        <v>493</v>
      </c>
      <c r="E68" s="21" t="s">
        <v>493</v>
      </c>
      <c r="F68" s="21" t="s">
        <v>493</v>
      </c>
      <c r="G68" s="21" t="s">
        <v>1858</v>
      </c>
      <c r="H68" s="21">
        <v>82991632698</v>
      </c>
      <c r="I68" s="21" t="s">
        <v>494</v>
      </c>
      <c r="J68" s="21" t="s">
        <v>1859</v>
      </c>
      <c r="L68" s="21" t="s">
        <v>495</v>
      </c>
      <c r="M68" s="21" t="s">
        <v>1860</v>
      </c>
      <c r="N68" s="21" t="s">
        <v>550</v>
      </c>
      <c r="O68" s="21" t="s">
        <v>69</v>
      </c>
      <c r="P68" s="21" t="s">
        <v>497</v>
      </c>
      <c r="R68" s="21" t="s">
        <v>551</v>
      </c>
      <c r="S68" s="21" t="s">
        <v>552</v>
      </c>
      <c r="V68" s="21" t="s">
        <v>500</v>
      </c>
      <c r="W68" s="21" t="s">
        <v>501</v>
      </c>
      <c r="X68" s="21" t="s">
        <v>502</v>
      </c>
      <c r="Y68" s="21" t="s">
        <v>503</v>
      </c>
      <c r="Z68" s="21">
        <v>3035405386</v>
      </c>
      <c r="AA68" s="22">
        <v>42737</v>
      </c>
      <c r="AB68" s="22">
        <v>42737</v>
      </c>
      <c r="AC68" s="21" t="s">
        <v>504</v>
      </c>
      <c r="AD68" s="21" t="s">
        <v>505</v>
      </c>
      <c r="AE68" s="21" t="s">
        <v>500</v>
      </c>
      <c r="AF68" s="21" t="s">
        <v>549</v>
      </c>
      <c r="AG68" s="21" t="s">
        <v>1861</v>
      </c>
      <c r="AH68" s="21" t="s">
        <v>1862</v>
      </c>
      <c r="AI68" s="21" t="s">
        <v>1332</v>
      </c>
      <c r="AJ68" s="21" t="s">
        <v>526</v>
      </c>
      <c r="AK68" s="21" t="s">
        <v>494</v>
      </c>
      <c r="AL68" s="21" t="s">
        <v>527</v>
      </c>
      <c r="AM68" s="21" t="s">
        <v>527</v>
      </c>
      <c r="AN68" s="21" t="s">
        <v>527</v>
      </c>
      <c r="AO68" s="21" t="s">
        <v>528</v>
      </c>
      <c r="AS68" s="21" t="s">
        <v>511</v>
      </c>
      <c r="AT68" s="21" t="s">
        <v>512</v>
      </c>
      <c r="AW68" s="21">
        <v>0</v>
      </c>
      <c r="AX68" s="21">
        <v>2</v>
      </c>
      <c r="BC68" s="21" t="s">
        <v>513</v>
      </c>
      <c r="BD68" s="21" t="s">
        <v>514</v>
      </c>
      <c r="BE68" s="21" t="s">
        <v>514</v>
      </c>
      <c r="BF68" s="21" t="s">
        <v>515</v>
      </c>
      <c r="BG68" s="21">
        <v>1</v>
      </c>
      <c r="BH68" s="21" t="s">
        <v>516</v>
      </c>
      <c r="BI68" s="21" t="s">
        <v>517</v>
      </c>
      <c r="BJ68" s="21" t="s">
        <v>516</v>
      </c>
      <c r="BK68" s="21" t="s">
        <v>516</v>
      </c>
      <c r="BM68" s="21" t="s">
        <v>837</v>
      </c>
      <c r="BN68" s="21" t="s">
        <v>853</v>
      </c>
      <c r="BO68" s="21" t="s">
        <v>518</v>
      </c>
      <c r="BP68" s="21" t="s">
        <v>519</v>
      </c>
      <c r="BQ68" s="21" t="s">
        <v>837</v>
      </c>
      <c r="BR68" s="21" t="s">
        <v>853</v>
      </c>
      <c r="BS68" s="21" t="s">
        <v>518</v>
      </c>
      <c r="BT68" s="21" t="s">
        <v>519</v>
      </c>
      <c r="BU68" s="21" t="s">
        <v>853</v>
      </c>
      <c r="CD68" s="21" t="s">
        <v>520</v>
      </c>
      <c r="CF68" s="21" t="s">
        <v>521</v>
      </c>
      <c r="DB68" s="21" t="s">
        <v>943</v>
      </c>
      <c r="DC68" s="21">
        <v>1</v>
      </c>
      <c r="DD68" s="21">
        <v>1</v>
      </c>
      <c r="DE68" s="22">
        <v>42740</v>
      </c>
      <c r="DF68" s="21" t="s">
        <v>1863</v>
      </c>
      <c r="DG68" s="21" t="s">
        <v>522</v>
      </c>
      <c r="DH68" s="21" t="s">
        <v>1864</v>
      </c>
      <c r="DI68" s="21" t="s">
        <v>495</v>
      </c>
      <c r="DJ68" s="21" t="s">
        <v>520</v>
      </c>
      <c r="DL68" s="21">
        <v>42749</v>
      </c>
      <c r="DM68" s="21">
        <v>42739</v>
      </c>
      <c r="DN68" s="21">
        <v>3100</v>
      </c>
      <c r="DO68" s="21">
        <v>10</v>
      </c>
      <c r="DP68" s="21">
        <v>1</v>
      </c>
      <c r="DQ68" s="21">
        <v>1</v>
      </c>
      <c r="DR68" s="21">
        <v>7</v>
      </c>
      <c r="DS68" s="21">
        <v>10</v>
      </c>
      <c r="DT68" s="21">
        <v>10</v>
      </c>
      <c r="DU68" s="21">
        <v>10</v>
      </c>
      <c r="DW68" s="21">
        <v>10</v>
      </c>
      <c r="EA68" s="21">
        <v>10</v>
      </c>
      <c r="EB68" s="21" t="s">
        <v>1865</v>
      </c>
      <c r="EC68" s="21" t="s">
        <v>1837</v>
      </c>
      <c r="EF68" s="25">
        <v>1</v>
      </c>
      <c r="EG68" s="25">
        <v>0</v>
      </c>
      <c r="EH68" s="25">
        <v>1</v>
      </c>
      <c r="EI68" s="25">
        <v>0</v>
      </c>
      <c r="EJ68" s="25" t="s">
        <v>62</v>
      </c>
      <c r="EK68" s="25" t="s">
        <v>276</v>
      </c>
      <c r="EL68" s="25" t="s">
        <v>276</v>
      </c>
      <c r="EM68" s="25" t="s">
        <v>276</v>
      </c>
      <c r="EN68" s="25" t="s">
        <v>276</v>
      </c>
      <c r="EO68" s="25" t="s">
        <v>276</v>
      </c>
      <c r="EP68" s="25" t="s">
        <v>276</v>
      </c>
      <c r="EQ68" s="25" t="s">
        <v>276</v>
      </c>
      <c r="ER68" s="25" t="s">
        <v>276</v>
      </c>
      <c r="ES68" s="25" t="s">
        <v>276</v>
      </c>
      <c r="ET68" s="25">
        <v>1</v>
      </c>
      <c r="EU68" s="25" t="s">
        <v>522</v>
      </c>
      <c r="EV68" s="25" t="s">
        <v>276</v>
      </c>
      <c r="EW68" s="25" t="s">
        <v>276</v>
      </c>
      <c r="EX68" s="25" t="s">
        <v>276</v>
      </c>
      <c r="EY68" s="20" t="s">
        <v>273</v>
      </c>
    </row>
    <row r="69" spans="1:155">
      <c r="A69" s="21" t="s">
        <v>491</v>
      </c>
      <c r="B69" s="21" t="s">
        <v>491</v>
      </c>
      <c r="C69" s="21" t="s">
        <v>492</v>
      </c>
      <c r="D69" s="21" t="s">
        <v>493</v>
      </c>
      <c r="E69" s="21" t="s">
        <v>493</v>
      </c>
      <c r="F69" s="21" t="s">
        <v>493</v>
      </c>
      <c r="G69" s="21" t="s">
        <v>1625</v>
      </c>
      <c r="H69" s="21">
        <v>1138682669</v>
      </c>
      <c r="I69" s="21" t="s">
        <v>494</v>
      </c>
      <c r="J69" s="21" t="s">
        <v>1626</v>
      </c>
      <c r="L69" s="21" t="s">
        <v>495</v>
      </c>
      <c r="M69" s="21" t="s">
        <v>1627</v>
      </c>
      <c r="N69" s="21" t="s">
        <v>496</v>
      </c>
      <c r="O69" s="21" t="s">
        <v>69</v>
      </c>
      <c r="P69" s="21" t="s">
        <v>497</v>
      </c>
      <c r="R69" s="21" t="s">
        <v>498</v>
      </c>
      <c r="S69" s="21" t="s">
        <v>499</v>
      </c>
      <c r="V69" s="21" t="s">
        <v>500</v>
      </c>
      <c r="W69" s="21" t="s">
        <v>501</v>
      </c>
      <c r="X69" s="21" t="s">
        <v>502</v>
      </c>
      <c r="Y69" s="21" t="s">
        <v>503</v>
      </c>
      <c r="Z69" s="21">
        <v>3035405137</v>
      </c>
      <c r="AA69" s="22">
        <v>42737</v>
      </c>
      <c r="AB69" s="22">
        <v>42737</v>
      </c>
      <c r="AC69" s="21" t="s">
        <v>504</v>
      </c>
      <c r="AD69" s="21" t="s">
        <v>505</v>
      </c>
      <c r="AE69" s="21" t="s">
        <v>500</v>
      </c>
      <c r="AF69" s="21" t="s">
        <v>506</v>
      </c>
      <c r="AG69" s="21" t="s">
        <v>1079</v>
      </c>
      <c r="AH69" s="21" t="s">
        <v>1080</v>
      </c>
      <c r="AI69" s="21" t="s">
        <v>1332</v>
      </c>
      <c r="AJ69" s="21" t="s">
        <v>507</v>
      </c>
      <c r="AK69" s="21" t="s">
        <v>494</v>
      </c>
      <c r="AL69" s="21" t="s">
        <v>527</v>
      </c>
      <c r="AM69" s="21" t="s">
        <v>527</v>
      </c>
      <c r="AN69" s="21" t="s">
        <v>527</v>
      </c>
      <c r="AO69" s="21" t="s">
        <v>528</v>
      </c>
      <c r="AS69" s="21" t="s">
        <v>511</v>
      </c>
      <c r="AT69" s="21" t="s">
        <v>512</v>
      </c>
      <c r="AW69" s="21">
        <v>0</v>
      </c>
      <c r="AX69" s="21">
        <v>2</v>
      </c>
      <c r="BC69" s="21" t="s">
        <v>513</v>
      </c>
      <c r="BD69" s="21" t="s">
        <v>514</v>
      </c>
      <c r="BE69" s="21" t="s">
        <v>514</v>
      </c>
      <c r="BF69" s="21" t="s">
        <v>515</v>
      </c>
      <c r="BG69" s="21">
        <v>1</v>
      </c>
      <c r="BH69" s="21" t="s">
        <v>516</v>
      </c>
      <c r="BI69" s="21" t="s">
        <v>517</v>
      </c>
      <c r="BJ69" s="21" t="s">
        <v>516</v>
      </c>
      <c r="BK69" s="21" t="s">
        <v>516</v>
      </c>
      <c r="BM69" s="21" t="s">
        <v>1525</v>
      </c>
      <c r="BN69" s="21" t="s">
        <v>862</v>
      </c>
      <c r="BO69" s="21" t="s">
        <v>518</v>
      </c>
      <c r="BP69" s="21" t="s">
        <v>519</v>
      </c>
      <c r="BQ69" s="21" t="s">
        <v>1525</v>
      </c>
      <c r="BR69" s="21" t="s">
        <v>862</v>
      </c>
      <c r="BS69" s="21" t="s">
        <v>518</v>
      </c>
      <c r="BT69" s="21" t="s">
        <v>519</v>
      </c>
      <c r="BU69" s="21" t="s">
        <v>862</v>
      </c>
      <c r="CD69" s="21" t="s">
        <v>520</v>
      </c>
      <c r="CF69" s="21" t="s">
        <v>521</v>
      </c>
      <c r="DB69" s="21" t="s">
        <v>943</v>
      </c>
      <c r="DC69" s="21">
        <v>1</v>
      </c>
      <c r="DD69" s="21">
        <v>1</v>
      </c>
      <c r="DE69" s="22">
        <v>42740</v>
      </c>
      <c r="DF69" s="21" t="s">
        <v>1628</v>
      </c>
      <c r="DG69" s="21" t="s">
        <v>522</v>
      </c>
      <c r="DH69" s="21" t="s">
        <v>1629</v>
      </c>
      <c r="DI69" s="21" t="s">
        <v>495</v>
      </c>
      <c r="DJ69" s="21" t="s">
        <v>520</v>
      </c>
      <c r="DL69" s="21">
        <v>42749</v>
      </c>
      <c r="DM69" s="21">
        <v>42739</v>
      </c>
      <c r="DN69" s="21">
        <v>3100</v>
      </c>
      <c r="DO69" s="21">
        <v>9</v>
      </c>
      <c r="DP69" s="21">
        <v>1</v>
      </c>
      <c r="DQ69" s="21">
        <v>1</v>
      </c>
      <c r="DR69" s="21">
        <v>6</v>
      </c>
      <c r="DS69" s="21">
        <v>10</v>
      </c>
      <c r="DT69" s="21">
        <v>10</v>
      </c>
      <c r="DU69" s="21">
        <v>10</v>
      </c>
      <c r="DW69" s="21">
        <v>10</v>
      </c>
      <c r="EA69" s="21">
        <v>10</v>
      </c>
      <c r="EF69" s="25">
        <v>1</v>
      </c>
      <c r="EG69" s="25">
        <v>0</v>
      </c>
      <c r="EH69" s="25">
        <v>1</v>
      </c>
      <c r="EI69" s="25">
        <v>0</v>
      </c>
      <c r="EJ69" s="25" t="s">
        <v>62</v>
      </c>
      <c r="EK69" s="25" t="s">
        <v>624</v>
      </c>
      <c r="EL69" s="25" t="s">
        <v>624</v>
      </c>
      <c r="EM69" s="25" t="s">
        <v>276</v>
      </c>
      <c r="EN69" s="25" t="s">
        <v>23</v>
      </c>
      <c r="EO69" s="25" t="s">
        <v>23</v>
      </c>
      <c r="EP69" s="25" t="s">
        <v>62</v>
      </c>
      <c r="EQ69" s="25" t="s">
        <v>62</v>
      </c>
      <c r="ER69" s="25" t="s">
        <v>278</v>
      </c>
      <c r="ES69" s="25" t="s">
        <v>278</v>
      </c>
      <c r="ET69" s="25">
        <v>1</v>
      </c>
      <c r="EU69" s="25" t="s">
        <v>522</v>
      </c>
      <c r="EV69" s="25" t="s">
        <v>624</v>
      </c>
      <c r="EW69" s="25" t="s">
        <v>23</v>
      </c>
      <c r="EX69" s="25" t="s">
        <v>278</v>
      </c>
      <c r="EY69" s="20" t="e">
        <v>#N/A</v>
      </c>
    </row>
    <row r="70" spans="1:155">
      <c r="A70" s="21" t="s">
        <v>491</v>
      </c>
      <c r="B70" s="21" t="s">
        <v>491</v>
      </c>
      <c r="C70" s="21" t="s">
        <v>492</v>
      </c>
      <c r="D70" s="21" t="s">
        <v>493</v>
      </c>
      <c r="E70" s="21" t="s">
        <v>493</v>
      </c>
      <c r="F70" s="21" t="s">
        <v>493</v>
      </c>
      <c r="G70" s="21" t="s">
        <v>1866</v>
      </c>
      <c r="H70" s="21">
        <v>1333219437</v>
      </c>
      <c r="I70" s="21" t="s">
        <v>494</v>
      </c>
      <c r="J70" s="21" t="s">
        <v>1867</v>
      </c>
      <c r="L70" s="21" t="s">
        <v>495</v>
      </c>
      <c r="M70" s="21" t="s">
        <v>1868</v>
      </c>
      <c r="N70" s="21" t="s">
        <v>1707</v>
      </c>
      <c r="O70" s="21" t="s">
        <v>100</v>
      </c>
      <c r="P70" s="21" t="s">
        <v>1187</v>
      </c>
      <c r="Q70" s="21" t="s">
        <v>1168</v>
      </c>
      <c r="R70" s="21" t="s">
        <v>1708</v>
      </c>
      <c r="S70" s="21" t="s">
        <v>1709</v>
      </c>
      <c r="V70" s="21" t="s">
        <v>277</v>
      </c>
      <c r="W70" s="21" t="s">
        <v>524</v>
      </c>
      <c r="X70" s="21" t="s">
        <v>525</v>
      </c>
      <c r="Y70" s="21" t="s">
        <v>1190</v>
      </c>
      <c r="Z70" s="21">
        <v>3035452814</v>
      </c>
      <c r="AA70" s="22">
        <v>42738</v>
      </c>
      <c r="AB70" s="22">
        <v>42738</v>
      </c>
      <c r="AC70" s="21" t="s">
        <v>504</v>
      </c>
      <c r="AD70" s="21" t="s">
        <v>505</v>
      </c>
      <c r="AE70" s="21" t="s">
        <v>1054</v>
      </c>
      <c r="AF70" s="21" t="s">
        <v>1105</v>
      </c>
      <c r="AG70" s="21" t="s">
        <v>1285</v>
      </c>
      <c r="AH70" s="21" t="s">
        <v>1286</v>
      </c>
      <c r="AI70" s="21" t="s">
        <v>1869</v>
      </c>
      <c r="AJ70" s="21" t="s">
        <v>526</v>
      </c>
      <c r="AK70" s="21" t="s">
        <v>494</v>
      </c>
      <c r="AL70" s="21" t="s">
        <v>527</v>
      </c>
      <c r="AM70" s="21" t="s">
        <v>527</v>
      </c>
      <c r="AN70" s="21" t="s">
        <v>527</v>
      </c>
      <c r="AO70" s="21" t="s">
        <v>528</v>
      </c>
      <c r="AS70" s="21" t="s">
        <v>511</v>
      </c>
      <c r="AT70" s="21" t="s">
        <v>512</v>
      </c>
      <c r="AW70" s="21">
        <v>0</v>
      </c>
      <c r="AX70" s="21">
        <v>2</v>
      </c>
      <c r="BC70" s="21" t="s">
        <v>513</v>
      </c>
      <c r="BD70" s="21" t="s">
        <v>514</v>
      </c>
      <c r="BE70" s="21" t="s">
        <v>514</v>
      </c>
      <c r="BF70" s="21" t="s">
        <v>515</v>
      </c>
      <c r="BG70" s="21">
        <v>1</v>
      </c>
      <c r="BH70" s="21" t="s">
        <v>516</v>
      </c>
      <c r="BI70" s="21" t="s">
        <v>517</v>
      </c>
      <c r="BJ70" s="21" t="s">
        <v>516</v>
      </c>
      <c r="BK70" s="21" t="s">
        <v>516</v>
      </c>
      <c r="BM70" s="21" t="s">
        <v>1288</v>
      </c>
      <c r="BN70" s="21" t="s">
        <v>234</v>
      </c>
      <c r="BO70" s="21" t="s">
        <v>518</v>
      </c>
      <c r="BP70" s="21" t="s">
        <v>1044</v>
      </c>
      <c r="BQ70" s="21" t="s">
        <v>1288</v>
      </c>
      <c r="BR70" s="21" t="s">
        <v>234</v>
      </c>
      <c r="BS70" s="21" t="s">
        <v>518</v>
      </c>
      <c r="BT70" s="21" t="s">
        <v>1044</v>
      </c>
      <c r="BU70" s="21" t="s">
        <v>234</v>
      </c>
      <c r="CD70" s="21" t="s">
        <v>520</v>
      </c>
      <c r="CF70" s="21" t="s">
        <v>521</v>
      </c>
      <c r="DB70" s="21" t="s">
        <v>943</v>
      </c>
      <c r="DC70" s="21">
        <v>1</v>
      </c>
      <c r="DD70" s="21">
        <v>1</v>
      </c>
      <c r="DE70" s="22">
        <v>42740</v>
      </c>
      <c r="DF70" s="21" t="s">
        <v>1870</v>
      </c>
      <c r="DG70" s="21" t="s">
        <v>522</v>
      </c>
      <c r="DH70" s="21" t="s">
        <v>1871</v>
      </c>
      <c r="DI70" s="21" t="s">
        <v>495</v>
      </c>
      <c r="DJ70" s="21" t="s">
        <v>520</v>
      </c>
      <c r="DL70" s="21">
        <v>42750</v>
      </c>
      <c r="DM70" s="21">
        <v>42740</v>
      </c>
      <c r="DN70" s="21">
        <v>1100</v>
      </c>
      <c r="DO70" s="21">
        <v>10</v>
      </c>
      <c r="DP70" s="21">
        <v>1</v>
      </c>
      <c r="DQ70" s="21">
        <v>1</v>
      </c>
      <c r="DR70" s="21">
        <v>7</v>
      </c>
      <c r="DS70" s="21">
        <v>10</v>
      </c>
      <c r="DT70" s="21">
        <v>10</v>
      </c>
      <c r="DU70" s="21">
        <v>10</v>
      </c>
      <c r="DW70" s="21">
        <v>10</v>
      </c>
      <c r="EA70" s="21">
        <v>10</v>
      </c>
      <c r="EF70" s="25">
        <v>1</v>
      </c>
      <c r="EG70" s="25">
        <v>0</v>
      </c>
      <c r="EH70" s="25">
        <v>1</v>
      </c>
      <c r="EI70" s="25">
        <v>0</v>
      </c>
      <c r="EJ70" s="25" t="s">
        <v>92</v>
      </c>
      <c r="EK70" s="25" t="s">
        <v>235</v>
      </c>
      <c r="EL70" s="25" t="s">
        <v>235</v>
      </c>
      <c r="EM70" s="25" t="s">
        <v>276</v>
      </c>
      <c r="EN70" s="25" t="s">
        <v>39</v>
      </c>
      <c r="EO70" s="25" t="s">
        <v>39</v>
      </c>
      <c r="EP70" s="25" t="s">
        <v>92</v>
      </c>
      <c r="EQ70" s="25" t="s">
        <v>92</v>
      </c>
      <c r="ER70" s="25" t="s">
        <v>278</v>
      </c>
      <c r="ES70" s="25" t="s">
        <v>278</v>
      </c>
      <c r="ET70" s="25">
        <v>1</v>
      </c>
      <c r="EU70" s="25" t="s">
        <v>522</v>
      </c>
      <c r="EV70" s="25" t="s">
        <v>235</v>
      </c>
      <c r="EW70" s="25" t="s">
        <v>39</v>
      </c>
      <c r="EX70" s="25" t="s">
        <v>278</v>
      </c>
      <c r="EY70" s="20" t="e">
        <v>#N/A</v>
      </c>
    </row>
    <row r="71" spans="1:155">
      <c r="A71" s="21" t="s">
        <v>491</v>
      </c>
      <c r="B71" s="21" t="s">
        <v>491</v>
      </c>
      <c r="C71" s="21" t="s">
        <v>492</v>
      </c>
      <c r="D71" s="21" t="s">
        <v>493</v>
      </c>
      <c r="E71" s="21" t="s">
        <v>493</v>
      </c>
      <c r="F71" s="21" t="s">
        <v>493</v>
      </c>
      <c r="G71" s="21" t="s">
        <v>1872</v>
      </c>
      <c r="H71" s="21">
        <v>19996244694</v>
      </c>
      <c r="I71" s="21" t="s">
        <v>494</v>
      </c>
      <c r="J71" s="21" t="s">
        <v>1873</v>
      </c>
      <c r="L71" s="21" t="s">
        <v>495</v>
      </c>
      <c r="M71" s="21" t="s">
        <v>1874</v>
      </c>
      <c r="N71" s="21" t="s">
        <v>1485</v>
      </c>
      <c r="O71" s="21" t="s">
        <v>97</v>
      </c>
      <c r="P71" s="21" t="s">
        <v>1040</v>
      </c>
      <c r="R71" s="21" t="s">
        <v>1486</v>
      </c>
      <c r="S71" s="21" t="s">
        <v>1487</v>
      </c>
      <c r="V71" s="21" t="s">
        <v>500</v>
      </c>
      <c r="W71" s="21" t="s">
        <v>501</v>
      </c>
      <c r="X71" s="21" t="s">
        <v>502</v>
      </c>
      <c r="Y71" s="21" t="s">
        <v>503</v>
      </c>
      <c r="Z71" s="21">
        <v>3035331079</v>
      </c>
      <c r="AA71" s="22">
        <v>42733</v>
      </c>
      <c r="AB71" s="22">
        <v>42738</v>
      </c>
      <c r="AC71" s="21" t="s">
        <v>504</v>
      </c>
      <c r="AD71" s="21" t="s">
        <v>505</v>
      </c>
      <c r="AE71" s="21" t="s">
        <v>500</v>
      </c>
      <c r="AF71" s="21" t="s">
        <v>549</v>
      </c>
      <c r="AG71" s="21" t="s">
        <v>555</v>
      </c>
      <c r="AH71" s="21" t="s">
        <v>556</v>
      </c>
      <c r="AI71" s="21" t="s">
        <v>1875</v>
      </c>
      <c r="AJ71" s="21" t="s">
        <v>526</v>
      </c>
      <c r="AK71" s="21" t="s">
        <v>494</v>
      </c>
      <c r="AL71" s="21" t="s">
        <v>527</v>
      </c>
      <c r="AM71" s="21" t="s">
        <v>527</v>
      </c>
      <c r="AN71" s="21" t="s">
        <v>527</v>
      </c>
      <c r="AO71" s="21" t="s">
        <v>528</v>
      </c>
      <c r="AS71" s="21" t="s">
        <v>511</v>
      </c>
      <c r="AT71" s="21" t="s">
        <v>512</v>
      </c>
      <c r="AW71" s="21">
        <v>0</v>
      </c>
      <c r="AX71" s="21">
        <v>0</v>
      </c>
      <c r="BC71" s="21" t="s">
        <v>513</v>
      </c>
      <c r="BD71" s="21" t="s">
        <v>514</v>
      </c>
      <c r="BE71" s="21" t="s">
        <v>514</v>
      </c>
      <c r="BF71" s="21" t="s">
        <v>1351</v>
      </c>
      <c r="BG71" s="21">
        <v>1</v>
      </c>
      <c r="BH71" s="21" t="s">
        <v>516</v>
      </c>
      <c r="BI71" s="21" t="s">
        <v>517</v>
      </c>
      <c r="BJ71" s="21" t="s">
        <v>516</v>
      </c>
      <c r="BK71" s="21" t="s">
        <v>516</v>
      </c>
      <c r="BM71" s="21" t="s">
        <v>281</v>
      </c>
      <c r="BN71" s="21" t="s">
        <v>142</v>
      </c>
      <c r="BO71" s="21" t="s">
        <v>518</v>
      </c>
      <c r="BP71" s="21" t="s">
        <v>519</v>
      </c>
      <c r="BQ71" s="21" t="s">
        <v>281</v>
      </c>
      <c r="BR71" s="21" t="s">
        <v>142</v>
      </c>
      <c r="BS71" s="21" t="s">
        <v>518</v>
      </c>
      <c r="BT71" s="21" t="s">
        <v>519</v>
      </c>
      <c r="BU71" s="21" t="s">
        <v>142</v>
      </c>
      <c r="CD71" s="21" t="s">
        <v>520</v>
      </c>
      <c r="CF71" s="21" t="s">
        <v>521</v>
      </c>
      <c r="DB71" s="21" t="s">
        <v>943</v>
      </c>
      <c r="DC71" s="21">
        <v>1</v>
      </c>
      <c r="DD71" s="21">
        <v>1</v>
      </c>
      <c r="DE71" s="22">
        <v>42740</v>
      </c>
      <c r="DF71" s="21" t="s">
        <v>1876</v>
      </c>
      <c r="DG71" s="21" t="s">
        <v>522</v>
      </c>
      <c r="DH71" s="21" t="s">
        <v>1877</v>
      </c>
      <c r="DI71" s="21" t="s">
        <v>495</v>
      </c>
      <c r="DJ71" s="21" t="s">
        <v>520</v>
      </c>
      <c r="DL71" s="21">
        <v>42750</v>
      </c>
      <c r="DM71" s="21">
        <v>42740</v>
      </c>
      <c r="DN71" s="21">
        <v>3100</v>
      </c>
      <c r="DO71" s="21">
        <v>10</v>
      </c>
      <c r="DP71" s="21">
        <v>1</v>
      </c>
      <c r="DQ71" s="21">
        <v>2</v>
      </c>
      <c r="DR71" s="21">
        <v>7</v>
      </c>
      <c r="DS71" s="21">
        <v>10</v>
      </c>
      <c r="DT71" s="21">
        <v>9</v>
      </c>
      <c r="DU71" s="21">
        <v>10</v>
      </c>
      <c r="DW71" s="21">
        <v>9</v>
      </c>
      <c r="EA71" s="21">
        <v>10</v>
      </c>
      <c r="EB71" s="21" t="s">
        <v>1878</v>
      </c>
      <c r="EC71" s="21" t="s">
        <v>1879</v>
      </c>
      <c r="EF71" s="25">
        <v>1</v>
      </c>
      <c r="EG71" s="25">
        <v>0</v>
      </c>
      <c r="EH71" s="25">
        <v>1</v>
      </c>
      <c r="EI71" s="25">
        <v>0</v>
      </c>
      <c r="EJ71" s="25" t="s">
        <v>62</v>
      </c>
      <c r="EK71" s="25" t="s">
        <v>143</v>
      </c>
      <c r="EL71" s="25" t="s">
        <v>143</v>
      </c>
      <c r="EM71" s="25" t="s">
        <v>276</v>
      </c>
      <c r="EN71" s="25" t="s">
        <v>51</v>
      </c>
      <c r="EO71" s="25" t="s">
        <v>51</v>
      </c>
      <c r="EP71" s="25" t="s">
        <v>1355</v>
      </c>
      <c r="EQ71" s="25" t="s">
        <v>1355</v>
      </c>
      <c r="ER71" s="25" t="s">
        <v>278</v>
      </c>
      <c r="ES71" s="25" t="s">
        <v>278</v>
      </c>
      <c r="ET71" s="25">
        <v>1</v>
      </c>
      <c r="EU71" s="25" t="s">
        <v>522</v>
      </c>
      <c r="EV71" s="25" t="s">
        <v>143</v>
      </c>
      <c r="EW71" s="25" t="s">
        <v>51</v>
      </c>
      <c r="EX71" s="25" t="s">
        <v>278</v>
      </c>
      <c r="EY71" s="20" t="e">
        <v>#N/A</v>
      </c>
    </row>
    <row r="72" spans="1:155">
      <c r="A72" s="21" t="s">
        <v>491</v>
      </c>
      <c r="B72" s="21" t="s">
        <v>491</v>
      </c>
      <c r="C72" s="21" t="s">
        <v>492</v>
      </c>
      <c r="D72" s="21" t="s">
        <v>493</v>
      </c>
      <c r="E72" s="21" t="s">
        <v>493</v>
      </c>
      <c r="F72" s="21" t="s">
        <v>493</v>
      </c>
      <c r="G72" s="21" t="s">
        <v>1630</v>
      </c>
      <c r="H72" s="21" t="s">
        <v>1631</v>
      </c>
      <c r="I72" s="21">
        <v>77981192950</v>
      </c>
      <c r="J72" s="21" t="s">
        <v>1632</v>
      </c>
      <c r="L72" s="21" t="s">
        <v>495</v>
      </c>
      <c r="M72" s="21" t="s">
        <v>1633</v>
      </c>
      <c r="N72" s="21" t="s">
        <v>1634</v>
      </c>
      <c r="O72" s="21" t="s">
        <v>144</v>
      </c>
      <c r="P72" s="21" t="s">
        <v>1635</v>
      </c>
      <c r="R72" s="21" t="s">
        <v>1636</v>
      </c>
      <c r="S72" s="21" t="s">
        <v>1637</v>
      </c>
      <c r="V72" s="21" t="s">
        <v>500</v>
      </c>
      <c r="W72" s="21" t="s">
        <v>501</v>
      </c>
      <c r="X72" s="21" t="s">
        <v>502</v>
      </c>
      <c r="Y72" s="21" t="s">
        <v>554</v>
      </c>
      <c r="Z72" s="21">
        <v>3035167262</v>
      </c>
      <c r="AA72" s="22">
        <v>42726</v>
      </c>
      <c r="AB72" s="22">
        <v>42737</v>
      </c>
      <c r="AC72" s="21" t="s">
        <v>504</v>
      </c>
      <c r="AD72" s="21" t="s">
        <v>505</v>
      </c>
      <c r="AE72" s="21" t="s">
        <v>500</v>
      </c>
      <c r="AF72" s="21" t="s">
        <v>506</v>
      </c>
      <c r="AG72" s="21" t="s">
        <v>1638</v>
      </c>
      <c r="AH72" s="21" t="s">
        <v>1639</v>
      </c>
      <c r="AI72" s="21" t="s">
        <v>1640</v>
      </c>
      <c r="AJ72" s="21" t="s">
        <v>526</v>
      </c>
      <c r="AK72" s="21" t="s">
        <v>494</v>
      </c>
      <c r="AL72" s="21" t="s">
        <v>508</v>
      </c>
      <c r="AM72" s="21" t="s">
        <v>509</v>
      </c>
      <c r="AN72" s="21" t="s">
        <v>509</v>
      </c>
      <c r="AO72" s="21" t="s">
        <v>510</v>
      </c>
      <c r="AS72" s="21" t="s">
        <v>511</v>
      </c>
      <c r="AT72" s="21" t="s">
        <v>512</v>
      </c>
      <c r="AW72" s="21">
        <v>0</v>
      </c>
      <c r="AX72" s="21">
        <v>13</v>
      </c>
      <c r="BC72" s="21" t="s">
        <v>513</v>
      </c>
      <c r="BD72" s="21" t="s">
        <v>514</v>
      </c>
      <c r="BE72" s="21" t="s">
        <v>514</v>
      </c>
      <c r="BF72" s="21" t="s">
        <v>515</v>
      </c>
      <c r="BG72" s="21">
        <v>1</v>
      </c>
      <c r="BH72" s="21" t="s">
        <v>516</v>
      </c>
      <c r="BI72" s="21" t="s">
        <v>517</v>
      </c>
      <c r="BJ72" s="21" t="s">
        <v>516</v>
      </c>
      <c r="BK72" s="21" t="s">
        <v>516</v>
      </c>
      <c r="BM72" s="21" t="s">
        <v>54</v>
      </c>
      <c r="BN72" s="21" t="s">
        <v>259</v>
      </c>
      <c r="BO72" s="21" t="s">
        <v>518</v>
      </c>
      <c r="BP72" s="21" t="s">
        <v>519</v>
      </c>
      <c r="BQ72" s="21" t="s">
        <v>21</v>
      </c>
      <c r="BR72" s="21" t="s">
        <v>115</v>
      </c>
      <c r="BS72" s="21" t="s">
        <v>518</v>
      </c>
      <c r="BT72" s="21" t="s">
        <v>519</v>
      </c>
      <c r="BU72" s="21" t="s">
        <v>259</v>
      </c>
      <c r="CD72" s="21" t="s">
        <v>520</v>
      </c>
      <c r="CF72" s="21" t="s">
        <v>521</v>
      </c>
      <c r="DB72" s="21" t="s">
        <v>943</v>
      </c>
      <c r="DC72" s="21">
        <v>1</v>
      </c>
      <c r="DD72" s="21">
        <v>1</v>
      </c>
      <c r="DE72" s="22">
        <v>42741</v>
      </c>
      <c r="DF72" s="21" t="s">
        <v>1641</v>
      </c>
      <c r="DG72" s="21" t="s">
        <v>522</v>
      </c>
      <c r="DH72" s="21" t="s">
        <v>1642</v>
      </c>
      <c r="DI72" s="21" t="s">
        <v>495</v>
      </c>
      <c r="DJ72" s="21" t="s">
        <v>520</v>
      </c>
      <c r="DL72" s="21">
        <v>42749</v>
      </c>
      <c r="DM72" s="21">
        <v>42739</v>
      </c>
      <c r="DN72" s="21">
        <v>3100</v>
      </c>
      <c r="DO72" s="21">
        <v>10</v>
      </c>
      <c r="DP72" s="21">
        <v>1</v>
      </c>
      <c r="DQ72" s="21">
        <v>2</v>
      </c>
      <c r="DR72" s="21">
        <v>7</v>
      </c>
      <c r="DS72" s="21">
        <v>10</v>
      </c>
      <c r="DT72" s="21">
        <v>10</v>
      </c>
      <c r="DU72" s="21">
        <v>10</v>
      </c>
      <c r="DW72" s="21">
        <v>9</v>
      </c>
      <c r="EA72" s="21">
        <v>8</v>
      </c>
      <c r="EF72" s="25">
        <v>0</v>
      </c>
      <c r="EG72" s="25">
        <v>0</v>
      </c>
      <c r="EH72" s="25">
        <v>1</v>
      </c>
      <c r="EI72" s="25">
        <v>0</v>
      </c>
      <c r="EJ72" s="25" t="s">
        <v>62</v>
      </c>
      <c r="EK72" s="25" t="s">
        <v>276</v>
      </c>
      <c r="EL72" s="25" t="s">
        <v>116</v>
      </c>
      <c r="EM72" s="25" t="s">
        <v>276</v>
      </c>
      <c r="EN72" s="25" t="s">
        <v>276</v>
      </c>
      <c r="EO72" s="25" t="s">
        <v>127</v>
      </c>
      <c r="EP72" s="25" t="s">
        <v>276</v>
      </c>
      <c r="EQ72" s="25" t="s">
        <v>529</v>
      </c>
      <c r="ER72" s="25" t="s">
        <v>276</v>
      </c>
      <c r="ES72" s="25" t="s">
        <v>278</v>
      </c>
      <c r="ET72" s="25">
        <v>1</v>
      </c>
      <c r="EU72" s="25" t="s">
        <v>522</v>
      </c>
      <c r="EV72" s="25" t="s">
        <v>279</v>
      </c>
      <c r="EW72" s="25" t="s">
        <v>279</v>
      </c>
      <c r="EX72" s="25" t="s">
        <v>279</v>
      </c>
      <c r="EY72" s="20" t="s">
        <v>273</v>
      </c>
    </row>
    <row r="73" spans="1:155">
      <c r="A73" s="21" t="s">
        <v>491</v>
      </c>
      <c r="B73" s="21" t="s">
        <v>491</v>
      </c>
      <c r="C73" s="21" t="s">
        <v>492</v>
      </c>
      <c r="D73" s="21" t="s">
        <v>493</v>
      </c>
      <c r="E73" s="21" t="s">
        <v>493</v>
      </c>
      <c r="F73" s="21" t="s">
        <v>493</v>
      </c>
      <c r="G73" s="21" t="s">
        <v>1643</v>
      </c>
      <c r="H73" s="21">
        <v>92981459996</v>
      </c>
      <c r="I73" s="21" t="s">
        <v>494</v>
      </c>
      <c r="J73" s="21" t="s">
        <v>1644</v>
      </c>
      <c r="L73" s="21" t="s">
        <v>495</v>
      </c>
      <c r="M73" s="21" t="s">
        <v>1645</v>
      </c>
      <c r="N73" s="21" t="s">
        <v>496</v>
      </c>
      <c r="O73" s="21" t="s">
        <v>69</v>
      </c>
      <c r="P73" s="21" t="s">
        <v>497</v>
      </c>
      <c r="R73" s="21" t="s">
        <v>498</v>
      </c>
      <c r="S73" s="21" t="s">
        <v>499</v>
      </c>
      <c r="V73" s="21" t="s">
        <v>500</v>
      </c>
      <c r="W73" s="21" t="s">
        <v>501</v>
      </c>
      <c r="X73" s="21" t="s">
        <v>502</v>
      </c>
      <c r="Y73" s="21" t="s">
        <v>503</v>
      </c>
      <c r="Z73" s="21">
        <v>3035406119</v>
      </c>
      <c r="AA73" s="22">
        <v>42737</v>
      </c>
      <c r="AB73" s="22">
        <v>42737</v>
      </c>
      <c r="AC73" s="21" t="s">
        <v>504</v>
      </c>
      <c r="AD73" s="21" t="s">
        <v>505</v>
      </c>
      <c r="AE73" s="21" t="s">
        <v>500</v>
      </c>
      <c r="AF73" s="21" t="s">
        <v>506</v>
      </c>
      <c r="AG73" s="21" t="s">
        <v>1079</v>
      </c>
      <c r="AH73" s="21" t="s">
        <v>1080</v>
      </c>
      <c r="AI73" s="21" t="s">
        <v>1332</v>
      </c>
      <c r="AJ73" s="21" t="s">
        <v>507</v>
      </c>
      <c r="AK73" s="21" t="s">
        <v>494</v>
      </c>
      <c r="AL73" s="21" t="s">
        <v>527</v>
      </c>
      <c r="AM73" s="21" t="s">
        <v>527</v>
      </c>
      <c r="AN73" s="21" t="s">
        <v>527</v>
      </c>
      <c r="AO73" s="21" t="s">
        <v>528</v>
      </c>
      <c r="AS73" s="21" t="s">
        <v>511</v>
      </c>
      <c r="AT73" s="21" t="s">
        <v>505</v>
      </c>
      <c r="AW73" s="21">
        <v>0</v>
      </c>
      <c r="AX73" s="21">
        <v>2</v>
      </c>
      <c r="BC73" s="21" t="s">
        <v>513</v>
      </c>
      <c r="BD73" s="21" t="s">
        <v>514</v>
      </c>
      <c r="BE73" s="21" t="s">
        <v>514</v>
      </c>
      <c r="BF73" s="21" t="s">
        <v>515</v>
      </c>
      <c r="BG73" s="21">
        <v>1</v>
      </c>
      <c r="BH73" s="21" t="s">
        <v>516</v>
      </c>
      <c r="BI73" s="21" t="s">
        <v>517</v>
      </c>
      <c r="BJ73" s="21" t="s">
        <v>516</v>
      </c>
      <c r="BK73" s="21" t="s">
        <v>516</v>
      </c>
      <c r="BM73" s="21" t="s">
        <v>861</v>
      </c>
      <c r="BN73" s="21" t="s">
        <v>852</v>
      </c>
      <c r="BO73" s="21" t="s">
        <v>849</v>
      </c>
      <c r="BP73" s="21" t="s">
        <v>541</v>
      </c>
      <c r="BQ73" s="21" t="s">
        <v>861</v>
      </c>
      <c r="BR73" s="21" t="s">
        <v>852</v>
      </c>
      <c r="BS73" s="21" t="s">
        <v>849</v>
      </c>
      <c r="BT73" s="21" t="s">
        <v>541</v>
      </c>
      <c r="BU73" s="21" t="s">
        <v>852</v>
      </c>
      <c r="CD73" s="21" t="s">
        <v>520</v>
      </c>
      <c r="CF73" s="21" t="s">
        <v>534</v>
      </c>
      <c r="DB73" s="21" t="s">
        <v>943</v>
      </c>
      <c r="DC73" s="21">
        <v>1</v>
      </c>
      <c r="DD73" s="21">
        <v>1</v>
      </c>
      <c r="DE73" s="22">
        <v>42741</v>
      </c>
      <c r="DF73" s="21" t="s">
        <v>1646</v>
      </c>
      <c r="DG73" s="21" t="s">
        <v>522</v>
      </c>
      <c r="DH73" s="21" t="s">
        <v>1647</v>
      </c>
      <c r="DI73" s="21" t="s">
        <v>495</v>
      </c>
      <c r="DJ73" s="21" t="s">
        <v>520</v>
      </c>
      <c r="DL73" s="21">
        <v>42749</v>
      </c>
      <c r="DM73" s="21">
        <v>42739</v>
      </c>
      <c r="DN73" s="21">
        <v>3100</v>
      </c>
      <c r="DO73" s="21">
        <v>9</v>
      </c>
      <c r="DP73" s="21">
        <v>1</v>
      </c>
      <c r="DQ73" s="21">
        <v>1</v>
      </c>
      <c r="DR73" s="21">
        <v>3</v>
      </c>
      <c r="DS73" s="21">
        <v>8</v>
      </c>
      <c r="DT73" s="21">
        <v>9</v>
      </c>
      <c r="DU73" s="21">
        <v>8</v>
      </c>
      <c r="DW73" s="21">
        <v>8</v>
      </c>
      <c r="DY73" s="21">
        <v>7</v>
      </c>
      <c r="EA73" s="21">
        <v>6</v>
      </c>
      <c r="EB73" s="21" t="s">
        <v>1648</v>
      </c>
      <c r="EC73" s="21" t="s">
        <v>1649</v>
      </c>
      <c r="EF73" s="25">
        <v>0</v>
      </c>
      <c r="EG73" s="25">
        <v>1</v>
      </c>
      <c r="EH73" s="25">
        <v>1</v>
      </c>
      <c r="EI73" s="25">
        <v>0</v>
      </c>
      <c r="EJ73" s="25" t="s">
        <v>62</v>
      </c>
      <c r="EK73" s="25" t="s">
        <v>197</v>
      </c>
      <c r="EL73" s="25" t="s">
        <v>197</v>
      </c>
      <c r="EM73" s="25" t="s">
        <v>276</v>
      </c>
      <c r="EN73" s="25" t="s">
        <v>271</v>
      </c>
      <c r="EO73" s="25" t="s">
        <v>271</v>
      </c>
      <c r="EP73" s="25" t="s">
        <v>548</v>
      </c>
      <c r="EQ73" s="25" t="s">
        <v>548</v>
      </c>
      <c r="ER73" s="25" t="s">
        <v>278</v>
      </c>
      <c r="ES73" s="25" t="s">
        <v>278</v>
      </c>
      <c r="ET73" s="25">
        <v>1</v>
      </c>
      <c r="EU73" s="25" t="s">
        <v>522</v>
      </c>
      <c r="EV73" s="25" t="s">
        <v>197</v>
      </c>
      <c r="EW73" s="25" t="s">
        <v>271</v>
      </c>
      <c r="EX73" s="25" t="s">
        <v>278</v>
      </c>
      <c r="EY73" s="20" t="e">
        <v>#N/A</v>
      </c>
    </row>
    <row r="74" spans="1:155">
      <c r="A74" s="21" t="s">
        <v>491</v>
      </c>
      <c r="B74" s="21" t="s">
        <v>491</v>
      </c>
      <c r="C74" s="21" t="s">
        <v>492</v>
      </c>
      <c r="D74" s="21" t="s">
        <v>493</v>
      </c>
      <c r="E74" s="21" t="s">
        <v>493</v>
      </c>
      <c r="F74" s="21" t="s">
        <v>493</v>
      </c>
      <c r="G74" s="21" t="s">
        <v>1650</v>
      </c>
      <c r="H74" s="21">
        <v>2122540080</v>
      </c>
      <c r="I74" s="21" t="s">
        <v>494</v>
      </c>
      <c r="J74" s="21" t="s">
        <v>1651</v>
      </c>
      <c r="L74" s="21" t="s">
        <v>495</v>
      </c>
      <c r="M74" s="21" t="s">
        <v>1652</v>
      </c>
      <c r="N74" s="21" t="s">
        <v>496</v>
      </c>
      <c r="O74" s="21" t="s">
        <v>69</v>
      </c>
      <c r="P74" s="21" t="s">
        <v>497</v>
      </c>
      <c r="Q74" s="21" t="s">
        <v>860</v>
      </c>
      <c r="R74" s="21" t="s">
        <v>498</v>
      </c>
      <c r="S74" s="21" t="s">
        <v>499</v>
      </c>
      <c r="V74" s="21" t="s">
        <v>500</v>
      </c>
      <c r="W74" s="21" t="s">
        <v>501</v>
      </c>
      <c r="X74" s="21" t="s">
        <v>502</v>
      </c>
      <c r="Y74" s="21" t="s">
        <v>503</v>
      </c>
      <c r="Z74" s="21">
        <v>3035443646</v>
      </c>
      <c r="AA74" s="22">
        <v>42738</v>
      </c>
      <c r="AB74" s="22">
        <v>42738</v>
      </c>
      <c r="AC74" s="21" t="s">
        <v>504</v>
      </c>
      <c r="AD74" s="21" t="s">
        <v>505</v>
      </c>
      <c r="AE74" s="21" t="s">
        <v>500</v>
      </c>
      <c r="AF74" s="21" t="s">
        <v>549</v>
      </c>
      <c r="AG74" s="21" t="s">
        <v>555</v>
      </c>
      <c r="AH74" s="21" t="s">
        <v>556</v>
      </c>
      <c r="AI74" s="21" t="s">
        <v>1653</v>
      </c>
      <c r="AJ74" s="21" t="s">
        <v>526</v>
      </c>
      <c r="AK74" s="21" t="s">
        <v>494</v>
      </c>
      <c r="AL74" s="21" t="s">
        <v>527</v>
      </c>
      <c r="AM74" s="21" t="s">
        <v>527</v>
      </c>
      <c r="AN74" s="21" t="s">
        <v>527</v>
      </c>
      <c r="AO74" s="21" t="s">
        <v>528</v>
      </c>
      <c r="AS74" s="21" t="s">
        <v>511</v>
      </c>
      <c r="AT74" s="21" t="s">
        <v>512</v>
      </c>
      <c r="AW74" s="21">
        <v>0</v>
      </c>
      <c r="AX74" s="21">
        <v>2</v>
      </c>
      <c r="BC74" s="21" t="s">
        <v>513</v>
      </c>
      <c r="BD74" s="21" t="s">
        <v>514</v>
      </c>
      <c r="BE74" s="21" t="s">
        <v>514</v>
      </c>
      <c r="BF74" s="21" t="s">
        <v>515</v>
      </c>
      <c r="BG74" s="21">
        <v>1</v>
      </c>
      <c r="BH74" s="21" t="s">
        <v>516</v>
      </c>
      <c r="BI74" s="21" t="s">
        <v>517</v>
      </c>
      <c r="BJ74" s="21" t="s">
        <v>516</v>
      </c>
      <c r="BK74" s="21" t="s">
        <v>516</v>
      </c>
      <c r="BM74" s="21" t="s">
        <v>12</v>
      </c>
      <c r="BN74" s="21" t="s">
        <v>67</v>
      </c>
      <c r="BO74" s="21" t="s">
        <v>518</v>
      </c>
      <c r="BP74" s="21" t="s">
        <v>519</v>
      </c>
      <c r="BQ74" s="21" t="s">
        <v>12</v>
      </c>
      <c r="BR74" s="21" t="s">
        <v>67</v>
      </c>
      <c r="BS74" s="21" t="s">
        <v>518</v>
      </c>
      <c r="BT74" s="21" t="s">
        <v>519</v>
      </c>
      <c r="BU74" s="21" t="s">
        <v>67</v>
      </c>
      <c r="CD74" s="21" t="s">
        <v>520</v>
      </c>
      <c r="CF74" s="21" t="s">
        <v>521</v>
      </c>
      <c r="DB74" s="21" t="s">
        <v>943</v>
      </c>
      <c r="DC74" s="21">
        <v>1</v>
      </c>
      <c r="DD74" s="21">
        <v>1</v>
      </c>
      <c r="DE74" s="22">
        <v>42741</v>
      </c>
      <c r="DF74" s="21" t="s">
        <v>1654</v>
      </c>
      <c r="DG74" s="21" t="s">
        <v>522</v>
      </c>
      <c r="DH74" s="21" t="s">
        <v>1655</v>
      </c>
      <c r="DI74" s="21" t="s">
        <v>495</v>
      </c>
      <c r="DJ74" s="21" t="s">
        <v>520</v>
      </c>
      <c r="DL74" s="21">
        <v>42750</v>
      </c>
      <c r="DM74" s="21">
        <v>42740</v>
      </c>
      <c r="DN74" s="21">
        <v>3100</v>
      </c>
      <c r="DO74" s="21">
        <v>10</v>
      </c>
      <c r="DP74" s="21">
        <v>1</v>
      </c>
      <c r="DQ74" s="21">
        <v>1</v>
      </c>
      <c r="DR74" s="21">
        <v>7</v>
      </c>
      <c r="DS74" s="21">
        <v>10</v>
      </c>
      <c r="DT74" s="21">
        <v>10</v>
      </c>
      <c r="DU74" s="21">
        <v>10</v>
      </c>
      <c r="DW74" s="21">
        <v>10</v>
      </c>
      <c r="EA74" s="21">
        <v>10</v>
      </c>
      <c r="EF74" s="25">
        <v>1</v>
      </c>
      <c r="EG74" s="25">
        <v>0</v>
      </c>
      <c r="EH74" s="25">
        <v>1</v>
      </c>
      <c r="EI74" s="25">
        <v>0</v>
      </c>
      <c r="EJ74" s="25" t="s">
        <v>62</v>
      </c>
      <c r="EK74" s="25" t="s">
        <v>68</v>
      </c>
      <c r="EL74" s="25" t="s">
        <v>68</v>
      </c>
      <c r="EM74" s="25" t="s">
        <v>276</v>
      </c>
      <c r="EN74" s="25" t="s">
        <v>9</v>
      </c>
      <c r="EO74" s="25" t="s">
        <v>9</v>
      </c>
      <c r="EP74" s="25" t="s">
        <v>62</v>
      </c>
      <c r="EQ74" s="25" t="s">
        <v>62</v>
      </c>
      <c r="ER74" s="25" t="s">
        <v>278</v>
      </c>
      <c r="ES74" s="25" t="s">
        <v>278</v>
      </c>
      <c r="ET74" s="25">
        <v>1</v>
      </c>
      <c r="EU74" s="25" t="s">
        <v>522</v>
      </c>
      <c r="EV74" s="25" t="s">
        <v>68</v>
      </c>
      <c r="EW74" s="25" t="s">
        <v>9</v>
      </c>
      <c r="EX74" s="25" t="s">
        <v>278</v>
      </c>
      <c r="EY74" s="20" t="e">
        <v>#N/A</v>
      </c>
    </row>
    <row r="75" spans="1:155">
      <c r="A75" s="21" t="s">
        <v>491</v>
      </c>
      <c r="B75" s="21" t="s">
        <v>491</v>
      </c>
      <c r="C75" s="21" t="s">
        <v>492</v>
      </c>
      <c r="D75" s="21" t="s">
        <v>493</v>
      </c>
      <c r="E75" s="21" t="s">
        <v>493</v>
      </c>
      <c r="F75" s="21" t="s">
        <v>493</v>
      </c>
      <c r="G75" s="21" t="s">
        <v>1656</v>
      </c>
      <c r="H75" s="21">
        <v>2130646628</v>
      </c>
      <c r="I75" s="21" t="s">
        <v>494</v>
      </c>
      <c r="J75" s="21" t="s">
        <v>1657</v>
      </c>
      <c r="L75" s="21" t="s">
        <v>495</v>
      </c>
      <c r="M75" s="21" t="s">
        <v>1658</v>
      </c>
      <c r="N75" s="21" t="s">
        <v>1659</v>
      </c>
      <c r="O75" s="21" t="s">
        <v>100</v>
      </c>
      <c r="P75" s="21" t="s">
        <v>1187</v>
      </c>
      <c r="Q75" s="21" t="s">
        <v>1168</v>
      </c>
      <c r="R75" s="21" t="s">
        <v>1660</v>
      </c>
      <c r="S75" s="21" t="s">
        <v>1661</v>
      </c>
      <c r="V75" s="21" t="s">
        <v>277</v>
      </c>
      <c r="W75" s="21" t="s">
        <v>524</v>
      </c>
      <c r="X75" s="21" t="s">
        <v>525</v>
      </c>
      <c r="Y75" s="21" t="s">
        <v>1190</v>
      </c>
      <c r="Z75" s="21">
        <v>3035400583</v>
      </c>
      <c r="AA75" s="22">
        <v>42737</v>
      </c>
      <c r="AB75" s="22">
        <v>42738</v>
      </c>
      <c r="AC75" s="21" t="s">
        <v>504</v>
      </c>
      <c r="AD75" s="21" t="s">
        <v>505</v>
      </c>
      <c r="AE75" s="21" t="s">
        <v>1054</v>
      </c>
      <c r="AF75" s="21" t="s">
        <v>1055</v>
      </c>
      <c r="AG75" s="21" t="s">
        <v>1662</v>
      </c>
      <c r="AH75" s="21" t="s">
        <v>1663</v>
      </c>
      <c r="AI75" s="21" t="s">
        <v>1664</v>
      </c>
      <c r="AJ75" s="21" t="s">
        <v>526</v>
      </c>
      <c r="AK75" s="21" t="s">
        <v>494</v>
      </c>
      <c r="AL75" s="21" t="s">
        <v>527</v>
      </c>
      <c r="AM75" s="21" t="s">
        <v>527</v>
      </c>
      <c r="AN75" s="21" t="s">
        <v>527</v>
      </c>
      <c r="AO75" s="21" t="s">
        <v>528</v>
      </c>
      <c r="AS75" s="21" t="s">
        <v>511</v>
      </c>
      <c r="AT75" s="21" t="s">
        <v>512</v>
      </c>
      <c r="AW75" s="21">
        <v>0</v>
      </c>
      <c r="AX75" s="21">
        <v>4</v>
      </c>
      <c r="BC75" s="21" t="s">
        <v>513</v>
      </c>
      <c r="BD75" s="21" t="s">
        <v>514</v>
      </c>
      <c r="BE75" s="21" t="s">
        <v>514</v>
      </c>
      <c r="BF75" s="21" t="s">
        <v>515</v>
      </c>
      <c r="BG75" s="21">
        <v>1</v>
      </c>
      <c r="BH75" s="21" t="s">
        <v>516</v>
      </c>
      <c r="BI75" s="21" t="s">
        <v>517</v>
      </c>
      <c r="BJ75" s="21" t="s">
        <v>516</v>
      </c>
      <c r="BK75" s="21" t="s">
        <v>516</v>
      </c>
      <c r="BM75" s="21" t="s">
        <v>35</v>
      </c>
      <c r="BN75" s="21" t="s">
        <v>219</v>
      </c>
      <c r="BO75" s="21" t="s">
        <v>518</v>
      </c>
      <c r="BP75" s="21" t="s">
        <v>1044</v>
      </c>
      <c r="BQ75" s="21" t="s">
        <v>1374</v>
      </c>
      <c r="BR75" s="21" t="s">
        <v>206</v>
      </c>
      <c r="BS75" s="21" t="s">
        <v>518</v>
      </c>
      <c r="BT75" s="21" t="s">
        <v>519</v>
      </c>
      <c r="BU75" s="21" t="s">
        <v>219</v>
      </c>
      <c r="CD75" s="21" t="s">
        <v>520</v>
      </c>
      <c r="CF75" s="21" t="s">
        <v>521</v>
      </c>
      <c r="DB75" s="21" t="s">
        <v>943</v>
      </c>
      <c r="DC75" s="21">
        <v>1</v>
      </c>
      <c r="DD75" s="21">
        <v>1</v>
      </c>
      <c r="DE75" s="22">
        <v>42741</v>
      </c>
      <c r="DF75" s="21" t="s">
        <v>1665</v>
      </c>
      <c r="DG75" s="21" t="s">
        <v>522</v>
      </c>
      <c r="DH75" s="21" t="s">
        <v>1666</v>
      </c>
      <c r="DI75" s="21" t="s">
        <v>495</v>
      </c>
      <c r="DJ75" s="21" t="s">
        <v>520</v>
      </c>
      <c r="DL75" s="21">
        <v>42750</v>
      </c>
      <c r="DM75" s="21">
        <v>42740</v>
      </c>
      <c r="DN75" s="21">
        <v>1100</v>
      </c>
      <c r="DO75" s="21">
        <v>10</v>
      </c>
      <c r="DP75" s="21">
        <v>1</v>
      </c>
      <c r="DQ75" s="21">
        <v>1</v>
      </c>
      <c r="DR75" s="21">
        <v>7</v>
      </c>
      <c r="DS75" s="21">
        <v>10</v>
      </c>
      <c r="DT75" s="21">
        <v>10</v>
      </c>
      <c r="DU75" s="21">
        <v>10</v>
      </c>
      <c r="DW75" s="21">
        <v>10</v>
      </c>
      <c r="EA75" s="21">
        <v>10</v>
      </c>
      <c r="EB75" s="21" t="s">
        <v>1667</v>
      </c>
      <c r="EC75" s="21" t="s">
        <v>1668</v>
      </c>
      <c r="EF75" s="25">
        <v>1</v>
      </c>
      <c r="EG75" s="25">
        <v>0</v>
      </c>
      <c r="EH75" s="25">
        <v>1</v>
      </c>
      <c r="EI75" s="25">
        <v>0</v>
      </c>
      <c r="EJ75" s="25" t="s">
        <v>92</v>
      </c>
      <c r="EK75" s="25" t="s">
        <v>220</v>
      </c>
      <c r="EL75" s="25" t="s">
        <v>207</v>
      </c>
      <c r="EM75" s="25" t="s">
        <v>276</v>
      </c>
      <c r="EN75" s="25" t="s">
        <v>31</v>
      </c>
      <c r="EO75" s="25" t="s">
        <v>31</v>
      </c>
      <c r="EP75" s="25" t="s">
        <v>92</v>
      </c>
      <c r="EQ75" s="25" t="s">
        <v>92</v>
      </c>
      <c r="ER75" s="25" t="s">
        <v>278</v>
      </c>
      <c r="ES75" s="25" t="s">
        <v>278</v>
      </c>
      <c r="ET75" s="25">
        <v>1</v>
      </c>
      <c r="EU75" s="25" t="s">
        <v>522</v>
      </c>
      <c r="EV75" s="25" t="s">
        <v>279</v>
      </c>
      <c r="EW75" s="25" t="s">
        <v>279</v>
      </c>
      <c r="EX75" s="25" t="s">
        <v>279</v>
      </c>
      <c r="EY75" s="20" t="e">
        <v>#N/A</v>
      </c>
    </row>
    <row r="76" spans="1:155">
      <c r="A76" s="21" t="s">
        <v>491</v>
      </c>
      <c r="B76" s="21" t="s">
        <v>491</v>
      </c>
      <c r="C76" s="21" t="s">
        <v>492</v>
      </c>
      <c r="D76" s="21" t="s">
        <v>493</v>
      </c>
      <c r="E76" s="21" t="s">
        <v>493</v>
      </c>
      <c r="F76" s="21" t="s">
        <v>493</v>
      </c>
      <c r="G76" s="21" t="s">
        <v>1669</v>
      </c>
      <c r="H76" s="21">
        <v>3125114465</v>
      </c>
      <c r="I76" s="21" t="s">
        <v>494</v>
      </c>
      <c r="J76" s="21" t="s">
        <v>1670</v>
      </c>
      <c r="L76" s="21" t="s">
        <v>495</v>
      </c>
      <c r="M76" s="21" t="s">
        <v>1671</v>
      </c>
      <c r="N76" s="21" t="s">
        <v>496</v>
      </c>
      <c r="O76" s="21" t="s">
        <v>69</v>
      </c>
      <c r="P76" s="21" t="s">
        <v>497</v>
      </c>
      <c r="R76" s="21" t="s">
        <v>498</v>
      </c>
      <c r="S76" s="21" t="s">
        <v>499</v>
      </c>
      <c r="V76" s="21" t="s">
        <v>500</v>
      </c>
      <c r="W76" s="21" t="s">
        <v>501</v>
      </c>
      <c r="X76" s="21" t="s">
        <v>502</v>
      </c>
      <c r="Y76" s="21" t="s">
        <v>503</v>
      </c>
      <c r="Z76" s="21">
        <v>3035443197</v>
      </c>
      <c r="AA76" s="22">
        <v>42738</v>
      </c>
      <c r="AB76" s="22">
        <v>42738</v>
      </c>
      <c r="AC76" s="21" t="s">
        <v>504</v>
      </c>
      <c r="AD76" s="21" t="s">
        <v>505</v>
      </c>
      <c r="AE76" s="21" t="s">
        <v>1020</v>
      </c>
      <c r="AF76" s="21" t="s">
        <v>1021</v>
      </c>
      <c r="AG76" s="21" t="s">
        <v>1340</v>
      </c>
      <c r="AH76" s="21" t="s">
        <v>1341</v>
      </c>
      <c r="AI76" s="21" t="s">
        <v>1261</v>
      </c>
      <c r="AJ76" s="21" t="s">
        <v>507</v>
      </c>
      <c r="AK76" s="21" t="s">
        <v>494</v>
      </c>
      <c r="AL76" s="21" t="s">
        <v>527</v>
      </c>
      <c r="AM76" s="21" t="s">
        <v>527</v>
      </c>
      <c r="AN76" s="21" t="s">
        <v>527</v>
      </c>
      <c r="AO76" s="21" t="s">
        <v>528</v>
      </c>
      <c r="AS76" s="21" t="s">
        <v>511</v>
      </c>
      <c r="AT76" s="21" t="s">
        <v>512</v>
      </c>
      <c r="AW76" s="21">
        <v>0</v>
      </c>
      <c r="AX76" s="21">
        <v>3</v>
      </c>
      <c r="BC76" s="21" t="s">
        <v>513</v>
      </c>
      <c r="BD76" s="21" t="s">
        <v>514</v>
      </c>
      <c r="BE76" s="21" t="s">
        <v>514</v>
      </c>
      <c r="BF76" s="21" t="s">
        <v>515</v>
      </c>
      <c r="BG76" s="21">
        <v>1</v>
      </c>
      <c r="BH76" s="21" t="s">
        <v>516</v>
      </c>
      <c r="BI76" s="21" t="s">
        <v>517</v>
      </c>
      <c r="BJ76" s="21" t="s">
        <v>516</v>
      </c>
      <c r="BK76" s="21" t="s">
        <v>516</v>
      </c>
      <c r="BM76" s="21" t="s">
        <v>24</v>
      </c>
      <c r="BN76" s="21" t="s">
        <v>186</v>
      </c>
      <c r="BO76" s="21" t="s">
        <v>518</v>
      </c>
      <c r="BP76" s="21" t="s">
        <v>519</v>
      </c>
      <c r="BQ76" s="21" t="s">
        <v>24</v>
      </c>
      <c r="BR76" s="21" t="s">
        <v>186</v>
      </c>
      <c r="BS76" s="21" t="s">
        <v>518</v>
      </c>
      <c r="BT76" s="21" t="s">
        <v>519</v>
      </c>
      <c r="BU76" s="21" t="s">
        <v>186</v>
      </c>
      <c r="CD76" s="21" t="s">
        <v>520</v>
      </c>
      <c r="CF76" s="21" t="s">
        <v>521</v>
      </c>
      <c r="DB76" s="21" t="s">
        <v>943</v>
      </c>
      <c r="DC76" s="21">
        <v>1</v>
      </c>
      <c r="DD76" s="21">
        <v>1</v>
      </c>
      <c r="DE76" s="22">
        <v>42741</v>
      </c>
      <c r="DF76" s="21" t="s">
        <v>1672</v>
      </c>
      <c r="DG76" s="21" t="s">
        <v>522</v>
      </c>
      <c r="DH76" s="21" t="s">
        <v>1673</v>
      </c>
      <c r="DI76" s="21" t="s">
        <v>495</v>
      </c>
      <c r="DJ76" s="21" t="s">
        <v>520</v>
      </c>
      <c r="DL76" s="21">
        <v>42750</v>
      </c>
      <c r="DM76" s="21">
        <v>42740</v>
      </c>
      <c r="DN76" s="21">
        <v>3100</v>
      </c>
      <c r="DO76" s="21">
        <v>9</v>
      </c>
      <c r="DP76" s="21">
        <v>1</v>
      </c>
      <c r="DQ76" s="21">
        <v>1</v>
      </c>
      <c r="DR76" s="21">
        <v>6</v>
      </c>
      <c r="DS76" s="21">
        <v>10</v>
      </c>
      <c r="DT76" s="21">
        <v>10</v>
      </c>
      <c r="DU76" s="21">
        <v>10</v>
      </c>
      <c r="DW76" s="21">
        <v>9</v>
      </c>
      <c r="EA76" s="21">
        <v>10</v>
      </c>
      <c r="EF76" s="25">
        <v>1</v>
      </c>
      <c r="EG76" s="25">
        <v>0</v>
      </c>
      <c r="EH76" s="25">
        <v>1</v>
      </c>
      <c r="EI76" s="25">
        <v>0</v>
      </c>
      <c r="EJ76" s="25" t="s">
        <v>62</v>
      </c>
      <c r="EK76" s="25" t="s">
        <v>187</v>
      </c>
      <c r="EL76" s="25" t="s">
        <v>187</v>
      </c>
      <c r="EM76" s="25" t="s">
        <v>276</v>
      </c>
      <c r="EN76" s="25" t="s">
        <v>23</v>
      </c>
      <c r="EO76" s="25" t="s">
        <v>23</v>
      </c>
      <c r="EP76" s="25" t="s">
        <v>62</v>
      </c>
      <c r="EQ76" s="25" t="s">
        <v>62</v>
      </c>
      <c r="ER76" s="25" t="s">
        <v>278</v>
      </c>
      <c r="ES76" s="25" t="s">
        <v>278</v>
      </c>
      <c r="ET76" s="25">
        <v>1</v>
      </c>
      <c r="EU76" s="25" t="s">
        <v>522</v>
      </c>
      <c r="EV76" s="25" t="s">
        <v>187</v>
      </c>
      <c r="EW76" s="25" t="s">
        <v>23</v>
      </c>
      <c r="EX76" s="25" t="s">
        <v>278</v>
      </c>
      <c r="EY76" s="20" t="e">
        <v>#N/A</v>
      </c>
    </row>
    <row r="77" spans="1:155">
      <c r="A77" s="21" t="s">
        <v>491</v>
      </c>
      <c r="B77" s="21" t="s">
        <v>491</v>
      </c>
      <c r="C77" s="21" t="s">
        <v>492</v>
      </c>
      <c r="D77" s="21" t="s">
        <v>493</v>
      </c>
      <c r="E77" s="21" t="s">
        <v>493</v>
      </c>
      <c r="F77" s="21" t="s">
        <v>493</v>
      </c>
      <c r="G77" s="21" t="s">
        <v>1899</v>
      </c>
      <c r="H77" s="21">
        <v>6232159074</v>
      </c>
      <c r="I77" s="21" t="s">
        <v>494</v>
      </c>
      <c r="J77" s="21" t="s">
        <v>1900</v>
      </c>
      <c r="L77" s="21" t="s">
        <v>495</v>
      </c>
      <c r="M77" s="21" t="s">
        <v>1901</v>
      </c>
      <c r="N77" s="21" t="s">
        <v>496</v>
      </c>
      <c r="O77" s="21" t="s">
        <v>69</v>
      </c>
      <c r="P77" s="21" t="s">
        <v>497</v>
      </c>
      <c r="R77" s="21" t="s">
        <v>498</v>
      </c>
      <c r="S77" s="21" t="s">
        <v>499</v>
      </c>
      <c r="V77" s="21" t="s">
        <v>500</v>
      </c>
      <c r="W77" s="21" t="s">
        <v>501</v>
      </c>
      <c r="X77" s="21" t="s">
        <v>502</v>
      </c>
      <c r="Y77" s="21" t="s">
        <v>503</v>
      </c>
      <c r="Z77" s="21">
        <v>3035437788</v>
      </c>
      <c r="AA77" s="22">
        <v>42738</v>
      </c>
      <c r="AB77" s="22">
        <v>42738</v>
      </c>
      <c r="AC77" s="21" t="s">
        <v>504</v>
      </c>
      <c r="AD77" s="21" t="s">
        <v>505</v>
      </c>
      <c r="AE77" s="21" t="s">
        <v>1091</v>
      </c>
      <c r="AF77" s="21" t="s">
        <v>1902</v>
      </c>
      <c r="AG77" s="21" t="s">
        <v>1903</v>
      </c>
      <c r="AH77" s="21" t="s">
        <v>1904</v>
      </c>
      <c r="AI77" s="21" t="s">
        <v>1905</v>
      </c>
      <c r="AJ77" s="21" t="s">
        <v>526</v>
      </c>
      <c r="AK77" s="21" t="s">
        <v>494</v>
      </c>
      <c r="AL77" s="21" t="s">
        <v>527</v>
      </c>
      <c r="AM77" s="21" t="s">
        <v>527</v>
      </c>
      <c r="AN77" s="21" t="s">
        <v>527</v>
      </c>
      <c r="AO77" s="21" t="s">
        <v>528</v>
      </c>
      <c r="AS77" s="21" t="s">
        <v>511</v>
      </c>
      <c r="AT77" s="21" t="s">
        <v>512</v>
      </c>
      <c r="AW77" s="21">
        <v>0</v>
      </c>
      <c r="AX77" s="21">
        <v>2</v>
      </c>
      <c r="BC77" s="21" t="s">
        <v>513</v>
      </c>
      <c r="BD77" s="21" t="s">
        <v>514</v>
      </c>
      <c r="BE77" s="21" t="s">
        <v>514</v>
      </c>
      <c r="BF77" s="21" t="s">
        <v>515</v>
      </c>
      <c r="BG77" s="21">
        <v>1</v>
      </c>
      <c r="BH77" s="21" t="s">
        <v>516</v>
      </c>
      <c r="BI77" s="21" t="s">
        <v>517</v>
      </c>
      <c r="BJ77" s="21" t="s">
        <v>516</v>
      </c>
      <c r="BK77" s="21" t="s">
        <v>516</v>
      </c>
      <c r="BM77" s="21" t="s">
        <v>8</v>
      </c>
      <c r="BN77" s="21" t="s">
        <v>80</v>
      </c>
      <c r="BO77" s="21" t="s">
        <v>518</v>
      </c>
      <c r="BP77" s="21" t="s">
        <v>519</v>
      </c>
      <c r="BQ77" s="21" t="s">
        <v>8</v>
      </c>
      <c r="BR77" s="21" t="s">
        <v>80</v>
      </c>
      <c r="BS77" s="21" t="s">
        <v>518</v>
      </c>
      <c r="BT77" s="21" t="s">
        <v>519</v>
      </c>
      <c r="BU77" s="21" t="s">
        <v>80</v>
      </c>
      <c r="CD77" s="21" t="s">
        <v>520</v>
      </c>
      <c r="CF77" s="21" t="s">
        <v>521</v>
      </c>
      <c r="DB77" s="21" t="s">
        <v>943</v>
      </c>
      <c r="DC77" s="21">
        <v>1</v>
      </c>
      <c r="DD77" s="21">
        <v>1</v>
      </c>
      <c r="DE77" s="22">
        <v>42741</v>
      </c>
      <c r="DF77" s="21" t="s">
        <v>1906</v>
      </c>
      <c r="DG77" s="21" t="s">
        <v>522</v>
      </c>
      <c r="DH77" s="21" t="s">
        <v>1907</v>
      </c>
      <c r="DI77" s="21" t="s">
        <v>495</v>
      </c>
      <c r="DJ77" s="21" t="s">
        <v>520</v>
      </c>
      <c r="DL77" s="21">
        <v>42750</v>
      </c>
      <c r="DM77" s="21">
        <v>42740</v>
      </c>
      <c r="DN77" s="21">
        <v>3100</v>
      </c>
      <c r="DO77" s="21">
        <v>10</v>
      </c>
      <c r="DP77" s="21">
        <v>1</v>
      </c>
      <c r="DQ77" s="21">
        <v>1</v>
      </c>
      <c r="DR77" s="21">
        <v>7</v>
      </c>
      <c r="DS77" s="21">
        <v>10</v>
      </c>
      <c r="DT77" s="21">
        <v>10</v>
      </c>
      <c r="DU77" s="21">
        <v>10</v>
      </c>
      <c r="DW77" s="21">
        <v>10</v>
      </c>
      <c r="EA77" s="21">
        <v>10</v>
      </c>
      <c r="EB77" s="21" t="s">
        <v>1908</v>
      </c>
      <c r="EC77" s="21" t="s">
        <v>1909</v>
      </c>
      <c r="EF77" s="25">
        <v>1</v>
      </c>
      <c r="EG77" s="25">
        <v>0</v>
      </c>
      <c r="EH77" s="25">
        <v>1</v>
      </c>
      <c r="EI77" s="25">
        <v>0</v>
      </c>
      <c r="EJ77" s="25" t="s">
        <v>62</v>
      </c>
      <c r="EK77" s="25" t="s">
        <v>81</v>
      </c>
      <c r="EL77" s="25" t="s">
        <v>81</v>
      </c>
      <c r="EM77" s="25" t="s">
        <v>276</v>
      </c>
      <c r="EN77" s="25" t="s">
        <v>271</v>
      </c>
      <c r="EO77" s="25" t="s">
        <v>271</v>
      </c>
      <c r="EP77" s="25" t="s">
        <v>548</v>
      </c>
      <c r="EQ77" s="25" t="s">
        <v>548</v>
      </c>
      <c r="ER77" s="25" t="s">
        <v>278</v>
      </c>
      <c r="ES77" s="25" t="s">
        <v>278</v>
      </c>
      <c r="ET77" s="25">
        <v>1</v>
      </c>
      <c r="EU77" s="25" t="s">
        <v>522</v>
      </c>
      <c r="EV77" s="25" t="s">
        <v>81</v>
      </c>
      <c r="EW77" s="25" t="s">
        <v>271</v>
      </c>
      <c r="EX77" s="25" t="s">
        <v>278</v>
      </c>
      <c r="EY77" s="20" t="e">
        <v>#N/A</v>
      </c>
    </row>
    <row r="78" spans="1:155">
      <c r="A78" s="21" t="s">
        <v>491</v>
      </c>
      <c r="B78" s="21" t="s">
        <v>491</v>
      </c>
      <c r="C78" s="21" t="s">
        <v>492</v>
      </c>
      <c r="D78" s="21" t="s">
        <v>493</v>
      </c>
      <c r="E78" s="21" t="s">
        <v>493</v>
      </c>
      <c r="F78" s="21" t="s">
        <v>493</v>
      </c>
      <c r="G78" s="21" t="s">
        <v>1674</v>
      </c>
      <c r="H78" s="21">
        <v>3130226343</v>
      </c>
      <c r="I78" s="21" t="s">
        <v>494</v>
      </c>
      <c r="J78" s="21" t="s">
        <v>1675</v>
      </c>
      <c r="L78" s="21" t="s">
        <v>495</v>
      </c>
      <c r="M78" s="21" t="s">
        <v>1676</v>
      </c>
      <c r="N78" s="21" t="s">
        <v>1051</v>
      </c>
      <c r="O78" s="21" t="s">
        <v>93</v>
      </c>
      <c r="P78" s="21" t="s">
        <v>539</v>
      </c>
      <c r="Q78" s="21" t="s">
        <v>1301</v>
      </c>
      <c r="R78" s="21" t="s">
        <v>1052</v>
      </c>
      <c r="S78" s="21" t="s">
        <v>1053</v>
      </c>
      <c r="V78" s="21" t="s">
        <v>277</v>
      </c>
      <c r="W78" s="21" t="s">
        <v>524</v>
      </c>
      <c r="X78" s="21" t="s">
        <v>525</v>
      </c>
      <c r="Y78" s="21" t="s">
        <v>530</v>
      </c>
      <c r="Z78" s="21">
        <v>3035367594</v>
      </c>
      <c r="AA78" s="22">
        <v>42734</v>
      </c>
      <c r="AB78" s="22">
        <v>42738</v>
      </c>
      <c r="AC78" s="21" t="s">
        <v>504</v>
      </c>
      <c r="AD78" s="21" t="s">
        <v>505</v>
      </c>
      <c r="AE78" s="21" t="s">
        <v>1020</v>
      </c>
      <c r="AF78" s="21" t="s">
        <v>1021</v>
      </c>
      <c r="AG78" s="21" t="s">
        <v>1022</v>
      </c>
      <c r="AH78" s="21" t="s">
        <v>1023</v>
      </c>
      <c r="AI78" s="21" t="s">
        <v>1677</v>
      </c>
      <c r="AJ78" s="21" t="s">
        <v>507</v>
      </c>
      <c r="AK78" s="21" t="s">
        <v>494</v>
      </c>
      <c r="AL78" s="21" t="s">
        <v>527</v>
      </c>
      <c r="AM78" s="21" t="s">
        <v>527</v>
      </c>
      <c r="AN78" s="21" t="s">
        <v>527</v>
      </c>
      <c r="AO78" s="21" t="s">
        <v>528</v>
      </c>
      <c r="AS78" s="21" t="s">
        <v>511</v>
      </c>
      <c r="AT78" s="21" t="s">
        <v>512</v>
      </c>
      <c r="AW78" s="21">
        <v>0</v>
      </c>
      <c r="AX78" s="21">
        <v>7</v>
      </c>
      <c r="BC78" s="21" t="s">
        <v>513</v>
      </c>
      <c r="BD78" s="21" t="s">
        <v>514</v>
      </c>
      <c r="BE78" s="21" t="s">
        <v>514</v>
      </c>
      <c r="BF78" s="21" t="s">
        <v>515</v>
      </c>
      <c r="BG78" s="21">
        <v>1</v>
      </c>
      <c r="BH78" s="21" t="s">
        <v>516</v>
      </c>
      <c r="BI78" s="21" t="s">
        <v>517</v>
      </c>
      <c r="BJ78" s="21" t="s">
        <v>516</v>
      </c>
      <c r="BK78" s="21" t="s">
        <v>516</v>
      </c>
      <c r="BM78" s="21" t="s">
        <v>1453</v>
      </c>
      <c r="BN78" s="21" t="s">
        <v>231</v>
      </c>
      <c r="BO78" s="21" t="s">
        <v>518</v>
      </c>
      <c r="BP78" s="21" t="s">
        <v>1044</v>
      </c>
      <c r="BQ78" s="21" t="s">
        <v>38</v>
      </c>
      <c r="BR78" s="21" t="s">
        <v>238</v>
      </c>
      <c r="BS78" s="21" t="s">
        <v>518</v>
      </c>
      <c r="BT78" s="21" t="s">
        <v>1044</v>
      </c>
      <c r="BU78" s="21" t="s">
        <v>231</v>
      </c>
      <c r="CD78" s="21" t="s">
        <v>520</v>
      </c>
      <c r="CF78" s="21" t="s">
        <v>521</v>
      </c>
      <c r="DB78" s="21" t="s">
        <v>943</v>
      </c>
      <c r="DC78" s="21">
        <v>1</v>
      </c>
      <c r="DD78" s="21">
        <v>1</v>
      </c>
      <c r="DE78" s="22">
        <v>42741</v>
      </c>
      <c r="DF78" s="21" t="s">
        <v>1678</v>
      </c>
      <c r="DG78" s="21" t="s">
        <v>522</v>
      </c>
      <c r="DH78" s="21" t="s">
        <v>1679</v>
      </c>
      <c r="DI78" s="21" t="s">
        <v>495</v>
      </c>
      <c r="DJ78" s="21" t="s">
        <v>520</v>
      </c>
      <c r="DL78" s="21">
        <v>42750</v>
      </c>
      <c r="DM78" s="21">
        <v>42740</v>
      </c>
      <c r="DN78" s="21">
        <v>1100</v>
      </c>
      <c r="DO78" s="21">
        <v>10</v>
      </c>
      <c r="DP78" s="21">
        <v>1</v>
      </c>
      <c r="DQ78" s="21">
        <v>1</v>
      </c>
      <c r="DR78" s="21">
        <v>6</v>
      </c>
      <c r="DS78" s="21">
        <v>10</v>
      </c>
      <c r="DT78" s="21">
        <v>10</v>
      </c>
      <c r="DU78" s="21">
        <v>10</v>
      </c>
      <c r="DW78" s="21">
        <v>10</v>
      </c>
      <c r="EA78" s="21">
        <v>10</v>
      </c>
      <c r="EF78" s="25">
        <v>1</v>
      </c>
      <c r="EG78" s="25">
        <v>0</v>
      </c>
      <c r="EH78" s="25">
        <v>1</v>
      </c>
      <c r="EI78" s="25">
        <v>0</v>
      </c>
      <c r="EJ78" s="25" t="s">
        <v>92</v>
      </c>
      <c r="EK78" s="25" t="s">
        <v>232</v>
      </c>
      <c r="EL78" s="25" t="s">
        <v>239</v>
      </c>
      <c r="EM78" s="25" t="s">
        <v>276</v>
      </c>
      <c r="EN78" s="25" t="s">
        <v>39</v>
      </c>
      <c r="EO78" s="25" t="s">
        <v>39</v>
      </c>
      <c r="EP78" s="25" t="s">
        <v>92</v>
      </c>
      <c r="EQ78" s="25" t="s">
        <v>529</v>
      </c>
      <c r="ER78" s="25" t="s">
        <v>278</v>
      </c>
      <c r="ES78" s="25" t="s">
        <v>278</v>
      </c>
      <c r="ET78" s="25">
        <v>1</v>
      </c>
      <c r="EU78" s="25" t="s">
        <v>522</v>
      </c>
      <c r="EV78" s="25" t="s">
        <v>279</v>
      </c>
      <c r="EW78" s="25" t="s">
        <v>279</v>
      </c>
      <c r="EX78" s="25" t="s">
        <v>279</v>
      </c>
      <c r="EY78" s="20" t="e">
        <v>#N/A</v>
      </c>
    </row>
    <row r="79" spans="1:155">
      <c r="A79" s="21" t="s">
        <v>491</v>
      </c>
      <c r="B79" s="21" t="s">
        <v>491</v>
      </c>
      <c r="C79" s="21" t="s">
        <v>492</v>
      </c>
      <c r="D79" s="21" t="s">
        <v>493</v>
      </c>
      <c r="E79" s="21" t="s">
        <v>493</v>
      </c>
      <c r="F79" s="21" t="s">
        <v>493</v>
      </c>
      <c r="G79" s="21" t="s">
        <v>1910</v>
      </c>
      <c r="H79" s="21">
        <v>2132345282</v>
      </c>
      <c r="I79" s="21" t="s">
        <v>494</v>
      </c>
      <c r="J79" s="21" t="s">
        <v>1911</v>
      </c>
      <c r="L79" s="21" t="s">
        <v>495</v>
      </c>
      <c r="M79" s="21" t="s">
        <v>1912</v>
      </c>
      <c r="N79" s="21" t="s">
        <v>496</v>
      </c>
      <c r="O79" s="21" t="s">
        <v>69</v>
      </c>
      <c r="P79" s="21" t="s">
        <v>497</v>
      </c>
      <c r="R79" s="21" t="s">
        <v>498</v>
      </c>
      <c r="S79" s="21" t="s">
        <v>499</v>
      </c>
      <c r="V79" s="21" t="s">
        <v>500</v>
      </c>
      <c r="W79" s="21" t="s">
        <v>501</v>
      </c>
      <c r="X79" s="21" t="s">
        <v>502</v>
      </c>
      <c r="Y79" s="21" t="s">
        <v>503</v>
      </c>
      <c r="Z79" s="21">
        <v>3035446990</v>
      </c>
      <c r="AA79" s="22">
        <v>42738</v>
      </c>
      <c r="AB79" s="22">
        <v>42738</v>
      </c>
      <c r="AC79" s="21" t="s">
        <v>504</v>
      </c>
      <c r="AD79" s="21" t="s">
        <v>505</v>
      </c>
      <c r="AE79" s="21" t="s">
        <v>500</v>
      </c>
      <c r="AF79" s="21" t="s">
        <v>549</v>
      </c>
      <c r="AG79" s="21" t="s">
        <v>555</v>
      </c>
      <c r="AH79" s="21" t="s">
        <v>556</v>
      </c>
      <c r="AI79" s="21" t="s">
        <v>1342</v>
      </c>
      <c r="AJ79" s="21" t="s">
        <v>526</v>
      </c>
      <c r="AK79" s="21" t="s">
        <v>494</v>
      </c>
      <c r="AL79" s="21" t="s">
        <v>527</v>
      </c>
      <c r="AM79" s="21" t="s">
        <v>527</v>
      </c>
      <c r="AN79" s="21" t="s">
        <v>527</v>
      </c>
      <c r="AO79" s="21" t="s">
        <v>528</v>
      </c>
      <c r="AS79" s="21" t="s">
        <v>511</v>
      </c>
      <c r="AT79" s="21" t="s">
        <v>512</v>
      </c>
      <c r="AW79" s="21">
        <v>0</v>
      </c>
      <c r="AX79" s="21">
        <v>2</v>
      </c>
      <c r="BC79" s="21" t="s">
        <v>513</v>
      </c>
      <c r="BD79" s="21" t="s">
        <v>514</v>
      </c>
      <c r="BE79" s="21" t="s">
        <v>514</v>
      </c>
      <c r="BF79" s="21" t="s">
        <v>515</v>
      </c>
      <c r="BG79" s="21">
        <v>1</v>
      </c>
      <c r="BH79" s="21" t="s">
        <v>516</v>
      </c>
      <c r="BI79" s="21" t="s">
        <v>517</v>
      </c>
      <c r="BJ79" s="21" t="s">
        <v>516</v>
      </c>
      <c r="BK79" s="21" t="s">
        <v>516</v>
      </c>
      <c r="BM79" s="21" t="s">
        <v>16</v>
      </c>
      <c r="BN79" s="21" t="s">
        <v>111</v>
      </c>
      <c r="BO79" s="21" t="s">
        <v>518</v>
      </c>
      <c r="BP79" s="21" t="s">
        <v>519</v>
      </c>
      <c r="BQ79" s="21" t="s">
        <v>16</v>
      </c>
      <c r="BR79" s="21" t="s">
        <v>111</v>
      </c>
      <c r="BS79" s="21" t="s">
        <v>518</v>
      </c>
      <c r="BT79" s="21" t="s">
        <v>519</v>
      </c>
      <c r="BU79" s="21" t="s">
        <v>111</v>
      </c>
      <c r="CD79" s="21" t="s">
        <v>520</v>
      </c>
      <c r="CF79" s="21" t="s">
        <v>521</v>
      </c>
      <c r="DB79" s="21" t="s">
        <v>943</v>
      </c>
      <c r="DC79" s="21">
        <v>1</v>
      </c>
      <c r="DD79" s="21">
        <v>1</v>
      </c>
      <c r="DE79" s="22">
        <v>42741</v>
      </c>
      <c r="DF79" s="21" t="s">
        <v>1913</v>
      </c>
      <c r="DG79" s="21" t="s">
        <v>522</v>
      </c>
      <c r="DH79" s="21" t="s">
        <v>1914</v>
      </c>
      <c r="DI79" s="21" t="s">
        <v>495</v>
      </c>
      <c r="DJ79" s="21" t="s">
        <v>520</v>
      </c>
      <c r="DL79" s="21">
        <v>42750</v>
      </c>
      <c r="DM79" s="21">
        <v>42740</v>
      </c>
      <c r="DN79" s="21">
        <v>3100</v>
      </c>
      <c r="DO79" s="21">
        <v>10</v>
      </c>
      <c r="DP79" s="21">
        <v>1</v>
      </c>
      <c r="DQ79" s="21">
        <v>2</v>
      </c>
      <c r="DR79" s="21">
        <v>7</v>
      </c>
      <c r="DS79" s="21">
        <v>10</v>
      </c>
      <c r="DT79" s="21">
        <v>10</v>
      </c>
      <c r="DU79" s="21">
        <v>10</v>
      </c>
      <c r="DW79" s="21">
        <v>10</v>
      </c>
      <c r="EA79" s="21">
        <v>10</v>
      </c>
      <c r="EB79" s="21" t="s">
        <v>1915</v>
      </c>
      <c r="EC79" s="21" t="s">
        <v>1221</v>
      </c>
      <c r="EF79" s="25">
        <v>1</v>
      </c>
      <c r="EG79" s="25">
        <v>0</v>
      </c>
      <c r="EH79" s="25">
        <v>1</v>
      </c>
      <c r="EI79" s="25">
        <v>0</v>
      </c>
      <c r="EJ79" s="25" t="s">
        <v>62</v>
      </c>
      <c r="EK79" s="25" t="s">
        <v>112</v>
      </c>
      <c r="EL79" s="25" t="s">
        <v>112</v>
      </c>
      <c r="EM79" s="25" t="s">
        <v>276</v>
      </c>
      <c r="EN79" s="25" t="s">
        <v>9</v>
      </c>
      <c r="EO79" s="25" t="s">
        <v>9</v>
      </c>
      <c r="EP79" s="25" t="s">
        <v>62</v>
      </c>
      <c r="EQ79" s="25" t="s">
        <v>62</v>
      </c>
      <c r="ER79" s="25" t="s">
        <v>278</v>
      </c>
      <c r="ES79" s="25" t="s">
        <v>278</v>
      </c>
      <c r="ET79" s="25">
        <v>1</v>
      </c>
      <c r="EU79" s="25" t="s">
        <v>522</v>
      </c>
      <c r="EV79" s="25" t="s">
        <v>112</v>
      </c>
      <c r="EW79" s="25" t="s">
        <v>9</v>
      </c>
      <c r="EX79" s="25" t="s">
        <v>278</v>
      </c>
      <c r="EY79" s="20" t="e">
        <v>#N/A</v>
      </c>
    </row>
    <row r="80" spans="1:155">
      <c r="A80" s="21" t="s">
        <v>491</v>
      </c>
      <c r="B80" s="21" t="s">
        <v>491</v>
      </c>
      <c r="C80" s="21" t="s">
        <v>492</v>
      </c>
      <c r="D80" s="21" t="s">
        <v>493</v>
      </c>
      <c r="E80" s="21" t="s">
        <v>493</v>
      </c>
      <c r="F80" s="21" t="s">
        <v>493</v>
      </c>
      <c r="G80" s="21" t="s">
        <v>1926</v>
      </c>
      <c r="H80" s="21">
        <v>2732815670</v>
      </c>
      <c r="I80" s="21" t="s">
        <v>494</v>
      </c>
      <c r="J80" s="21" t="s">
        <v>1927</v>
      </c>
      <c r="L80" s="21" t="s">
        <v>495</v>
      </c>
      <c r="M80" s="21" t="s">
        <v>1928</v>
      </c>
      <c r="N80" s="21" t="s">
        <v>496</v>
      </c>
      <c r="O80" s="21" t="s">
        <v>69</v>
      </c>
      <c r="P80" s="21" t="s">
        <v>497</v>
      </c>
      <c r="R80" s="21" t="s">
        <v>498</v>
      </c>
      <c r="S80" s="21" t="s">
        <v>499</v>
      </c>
      <c r="V80" s="21" t="s">
        <v>500</v>
      </c>
      <c r="W80" s="21" t="s">
        <v>501</v>
      </c>
      <c r="X80" s="21" t="s">
        <v>502</v>
      </c>
      <c r="Y80" s="21" t="s">
        <v>503</v>
      </c>
      <c r="Z80" s="21">
        <v>3035432401</v>
      </c>
      <c r="AA80" s="22">
        <v>42738</v>
      </c>
      <c r="AB80" s="22">
        <v>42738</v>
      </c>
      <c r="AC80" s="21" t="s">
        <v>504</v>
      </c>
      <c r="AD80" s="21" t="s">
        <v>505</v>
      </c>
      <c r="AE80" s="21" t="s">
        <v>500</v>
      </c>
      <c r="AF80" s="21" t="s">
        <v>506</v>
      </c>
      <c r="AG80" s="21" t="s">
        <v>1148</v>
      </c>
      <c r="AH80" s="21" t="s">
        <v>1149</v>
      </c>
      <c r="AI80" s="21" t="s">
        <v>1929</v>
      </c>
      <c r="AJ80" s="21" t="s">
        <v>507</v>
      </c>
      <c r="AK80" s="21" t="s">
        <v>494</v>
      </c>
      <c r="AL80" s="21" t="s">
        <v>527</v>
      </c>
      <c r="AM80" s="21" t="s">
        <v>527</v>
      </c>
      <c r="AN80" s="21" t="s">
        <v>527</v>
      </c>
      <c r="AO80" s="21" t="s">
        <v>528</v>
      </c>
      <c r="AS80" s="21" t="s">
        <v>511</v>
      </c>
      <c r="AT80" s="21" t="s">
        <v>512</v>
      </c>
      <c r="AW80" s="21">
        <v>0</v>
      </c>
      <c r="AX80" s="21">
        <v>2</v>
      </c>
      <c r="BC80" s="21" t="s">
        <v>513</v>
      </c>
      <c r="BD80" s="21" t="s">
        <v>514</v>
      </c>
      <c r="BE80" s="21" t="s">
        <v>514</v>
      </c>
      <c r="BF80" s="21" t="s">
        <v>515</v>
      </c>
      <c r="BG80" s="21">
        <v>1</v>
      </c>
      <c r="BH80" s="21" t="s">
        <v>516</v>
      </c>
      <c r="BI80" s="21" t="s">
        <v>517</v>
      </c>
      <c r="BJ80" s="21" t="s">
        <v>516</v>
      </c>
      <c r="BK80" s="21" t="s">
        <v>516</v>
      </c>
      <c r="BM80" s="21" t="s">
        <v>13</v>
      </c>
      <c r="BN80" s="21" t="s">
        <v>56</v>
      </c>
      <c r="BO80" s="21" t="s">
        <v>518</v>
      </c>
      <c r="BP80" s="21" t="s">
        <v>519</v>
      </c>
      <c r="BQ80" s="21" t="s">
        <v>13</v>
      </c>
      <c r="BR80" s="21" t="s">
        <v>56</v>
      </c>
      <c r="BS80" s="21" t="s">
        <v>518</v>
      </c>
      <c r="BT80" s="21" t="s">
        <v>519</v>
      </c>
      <c r="BU80" s="21" t="s">
        <v>56</v>
      </c>
      <c r="CD80" s="21" t="s">
        <v>520</v>
      </c>
      <c r="CF80" s="21" t="s">
        <v>521</v>
      </c>
      <c r="DB80" s="21" t="s">
        <v>943</v>
      </c>
      <c r="DC80" s="21">
        <v>1</v>
      </c>
      <c r="DD80" s="21">
        <v>1</v>
      </c>
      <c r="DE80" s="22">
        <v>42741</v>
      </c>
      <c r="DF80" s="21" t="s">
        <v>1605</v>
      </c>
      <c r="DG80" s="21" t="s">
        <v>522</v>
      </c>
      <c r="DH80" s="21" t="s">
        <v>1930</v>
      </c>
      <c r="DI80" s="21" t="s">
        <v>495</v>
      </c>
      <c r="DJ80" s="21" t="s">
        <v>520</v>
      </c>
      <c r="DL80" s="21">
        <v>42750</v>
      </c>
      <c r="DM80" s="21">
        <v>42740</v>
      </c>
      <c r="DN80" s="21">
        <v>3100</v>
      </c>
      <c r="DO80" s="21">
        <v>10</v>
      </c>
      <c r="DP80" s="21">
        <v>1</v>
      </c>
      <c r="DQ80" s="21">
        <v>1</v>
      </c>
      <c r="DR80" s="21">
        <v>7</v>
      </c>
      <c r="DS80" s="21">
        <v>10</v>
      </c>
      <c r="DT80" s="21">
        <v>10</v>
      </c>
      <c r="DU80" s="21">
        <v>10</v>
      </c>
      <c r="DW80" s="21">
        <v>10</v>
      </c>
      <c r="EA80" s="21">
        <v>10</v>
      </c>
      <c r="EB80" s="21" t="s">
        <v>1931</v>
      </c>
      <c r="EC80" s="21" t="s">
        <v>1680</v>
      </c>
      <c r="EF80" s="25">
        <v>1</v>
      </c>
      <c r="EG80" s="25">
        <v>0</v>
      </c>
      <c r="EH80" s="25">
        <v>1</v>
      </c>
      <c r="EI80" s="25">
        <v>0</v>
      </c>
      <c r="EJ80" s="25" t="s">
        <v>62</v>
      </c>
      <c r="EK80" s="25" t="s">
        <v>57</v>
      </c>
      <c r="EL80" s="25" t="s">
        <v>57</v>
      </c>
      <c r="EM80" s="25" t="s">
        <v>276</v>
      </c>
      <c r="EN80" s="25" t="s">
        <v>9</v>
      </c>
      <c r="EO80" s="25" t="s">
        <v>9</v>
      </c>
      <c r="EP80" s="25" t="s">
        <v>62</v>
      </c>
      <c r="EQ80" s="25" t="s">
        <v>62</v>
      </c>
      <c r="ER80" s="25" t="s">
        <v>278</v>
      </c>
      <c r="ES80" s="25" t="s">
        <v>278</v>
      </c>
      <c r="ET80" s="25">
        <v>1</v>
      </c>
      <c r="EU80" s="25" t="s">
        <v>522</v>
      </c>
      <c r="EV80" s="25" t="s">
        <v>57</v>
      </c>
      <c r="EW80" s="25" t="s">
        <v>9</v>
      </c>
      <c r="EX80" s="25" t="s">
        <v>278</v>
      </c>
      <c r="EY80" s="20" t="e">
        <v>#N/A</v>
      </c>
    </row>
    <row r="81" spans="1:155">
      <c r="A81" s="21" t="s">
        <v>491</v>
      </c>
      <c r="B81" s="21" t="s">
        <v>491</v>
      </c>
      <c r="C81" s="21" t="s">
        <v>492</v>
      </c>
      <c r="D81" s="21" t="s">
        <v>493</v>
      </c>
      <c r="E81" s="21" t="s">
        <v>493</v>
      </c>
      <c r="F81" s="21" t="s">
        <v>493</v>
      </c>
      <c r="G81" s="21" t="s">
        <v>1932</v>
      </c>
      <c r="H81" s="21" t="s">
        <v>1933</v>
      </c>
      <c r="I81" s="21">
        <v>61992747139</v>
      </c>
      <c r="J81" s="21" t="s">
        <v>1934</v>
      </c>
      <c r="L81" s="21" t="s">
        <v>495</v>
      </c>
      <c r="M81" s="21" t="s">
        <v>1935</v>
      </c>
      <c r="N81" s="21" t="s">
        <v>1503</v>
      </c>
      <c r="O81" s="21" t="s">
        <v>93</v>
      </c>
      <c r="P81" s="21" t="s">
        <v>539</v>
      </c>
      <c r="Q81" s="21" t="s">
        <v>1168</v>
      </c>
      <c r="R81" s="21" t="s">
        <v>1504</v>
      </c>
      <c r="S81" s="21" t="s">
        <v>1388</v>
      </c>
      <c r="V81" s="21" t="s">
        <v>277</v>
      </c>
      <c r="W81" s="21" t="s">
        <v>524</v>
      </c>
      <c r="X81" s="21" t="s">
        <v>525</v>
      </c>
      <c r="Y81" s="21" t="s">
        <v>530</v>
      </c>
      <c r="Z81" s="21">
        <v>3035401367</v>
      </c>
      <c r="AA81" s="22">
        <v>42737</v>
      </c>
      <c r="AB81" s="22">
        <v>42738</v>
      </c>
      <c r="AC81" s="21" t="s">
        <v>504</v>
      </c>
      <c r="AD81" s="21" t="s">
        <v>505</v>
      </c>
      <c r="AE81" s="21" t="s">
        <v>1020</v>
      </c>
      <c r="AF81" s="21" t="s">
        <v>1021</v>
      </c>
      <c r="AG81" s="21" t="s">
        <v>1340</v>
      </c>
      <c r="AH81" s="21" t="s">
        <v>1341</v>
      </c>
      <c r="AI81" s="21" t="s">
        <v>1936</v>
      </c>
      <c r="AJ81" s="21" t="s">
        <v>507</v>
      </c>
      <c r="AK81" s="21" t="s">
        <v>494</v>
      </c>
      <c r="AL81" s="21" t="s">
        <v>527</v>
      </c>
      <c r="AM81" s="21" t="s">
        <v>527</v>
      </c>
      <c r="AN81" s="21" t="s">
        <v>527</v>
      </c>
      <c r="AO81" s="21" t="s">
        <v>528</v>
      </c>
      <c r="AS81" s="21" t="s">
        <v>511</v>
      </c>
      <c r="AT81" s="21" t="s">
        <v>512</v>
      </c>
      <c r="AW81" s="21">
        <v>0</v>
      </c>
      <c r="AX81" s="21">
        <v>5</v>
      </c>
      <c r="BC81" s="21" t="s">
        <v>513</v>
      </c>
      <c r="BD81" s="21" t="s">
        <v>514</v>
      </c>
      <c r="BE81" s="21" t="s">
        <v>514</v>
      </c>
      <c r="BF81" s="21" t="s">
        <v>515</v>
      </c>
      <c r="BG81" s="21">
        <v>1</v>
      </c>
      <c r="BH81" s="21" t="s">
        <v>516</v>
      </c>
      <c r="BI81" s="21" t="s">
        <v>517</v>
      </c>
      <c r="BJ81" s="21" t="s">
        <v>516</v>
      </c>
      <c r="BK81" s="21" t="s">
        <v>516</v>
      </c>
      <c r="BM81" s="21" t="s">
        <v>17</v>
      </c>
      <c r="BN81" s="21" t="s">
        <v>107</v>
      </c>
      <c r="BO81" s="21" t="s">
        <v>518</v>
      </c>
      <c r="BP81" s="21" t="s">
        <v>519</v>
      </c>
      <c r="BQ81" s="21" t="s">
        <v>10</v>
      </c>
      <c r="BR81" s="21" t="s">
        <v>89</v>
      </c>
      <c r="BS81" s="21" t="s">
        <v>518</v>
      </c>
      <c r="BT81" s="21" t="s">
        <v>519</v>
      </c>
      <c r="BU81" s="21" t="s">
        <v>107</v>
      </c>
      <c r="CD81" s="21" t="s">
        <v>520</v>
      </c>
      <c r="CF81" s="21" t="s">
        <v>521</v>
      </c>
      <c r="DB81" s="21" t="s">
        <v>943</v>
      </c>
      <c r="DC81" s="21">
        <v>1</v>
      </c>
      <c r="DD81" s="21">
        <v>1</v>
      </c>
      <c r="DE81" s="22">
        <v>42741</v>
      </c>
      <c r="DF81" s="21" t="s">
        <v>1937</v>
      </c>
      <c r="DG81" s="21" t="s">
        <v>522</v>
      </c>
      <c r="DH81" s="21" t="s">
        <v>1938</v>
      </c>
      <c r="DI81" s="21" t="s">
        <v>495</v>
      </c>
      <c r="DJ81" s="21" t="s">
        <v>520</v>
      </c>
      <c r="DL81" s="21">
        <v>42750</v>
      </c>
      <c r="DM81" s="21">
        <v>42740</v>
      </c>
      <c r="DN81" s="21">
        <v>1100</v>
      </c>
      <c r="DO81" s="21">
        <v>10</v>
      </c>
      <c r="DP81" s="21">
        <v>1</v>
      </c>
      <c r="DQ81" s="21">
        <v>1</v>
      </c>
      <c r="DR81" s="21">
        <v>5</v>
      </c>
      <c r="DS81" s="21">
        <v>10</v>
      </c>
      <c r="DT81" s="21">
        <v>10</v>
      </c>
      <c r="DU81" s="21">
        <v>10</v>
      </c>
      <c r="DW81" s="21">
        <v>10</v>
      </c>
      <c r="EA81" s="21">
        <v>6</v>
      </c>
      <c r="EB81" s="21" t="s">
        <v>1939</v>
      </c>
      <c r="EC81" s="21" t="s">
        <v>1940</v>
      </c>
      <c r="EF81" s="25">
        <v>0</v>
      </c>
      <c r="EG81" s="25">
        <v>1</v>
      </c>
      <c r="EH81" s="25">
        <v>1</v>
      </c>
      <c r="EI81" s="25">
        <v>0</v>
      </c>
      <c r="EJ81" s="25" t="s">
        <v>92</v>
      </c>
      <c r="EK81" s="25" t="s">
        <v>108</v>
      </c>
      <c r="EL81" s="25" t="s">
        <v>90</v>
      </c>
      <c r="EM81" s="25" t="s">
        <v>276</v>
      </c>
      <c r="EN81" s="25" t="s">
        <v>9</v>
      </c>
      <c r="EO81" s="25" t="s">
        <v>9</v>
      </c>
      <c r="EP81" s="25" t="s">
        <v>62</v>
      </c>
      <c r="EQ81" s="25" t="s">
        <v>529</v>
      </c>
      <c r="ER81" s="25" t="s">
        <v>278</v>
      </c>
      <c r="ES81" s="25" t="s">
        <v>278</v>
      </c>
      <c r="ET81" s="25">
        <v>1</v>
      </c>
      <c r="EU81" s="25" t="s">
        <v>522</v>
      </c>
      <c r="EV81" s="25" t="s">
        <v>279</v>
      </c>
      <c r="EW81" s="25" t="s">
        <v>279</v>
      </c>
      <c r="EX81" s="25" t="s">
        <v>279</v>
      </c>
      <c r="EY81" s="20" t="e">
        <v>#N/A</v>
      </c>
    </row>
    <row r="82" spans="1:155">
      <c r="A82" s="21" t="s">
        <v>491</v>
      </c>
      <c r="B82" s="21" t="s">
        <v>491</v>
      </c>
      <c r="C82" s="21" t="s">
        <v>492</v>
      </c>
      <c r="D82" s="21" t="s">
        <v>493</v>
      </c>
      <c r="E82" s="21" t="s">
        <v>493</v>
      </c>
      <c r="F82" s="21" t="s">
        <v>493</v>
      </c>
      <c r="G82" s="21" t="s">
        <v>1681</v>
      </c>
      <c r="H82" s="21" t="s">
        <v>1682</v>
      </c>
      <c r="I82" s="21" t="s">
        <v>494</v>
      </c>
      <c r="J82" s="21" t="s">
        <v>1683</v>
      </c>
      <c r="L82" s="21" t="s">
        <v>495</v>
      </c>
      <c r="M82" s="21" t="s">
        <v>1684</v>
      </c>
      <c r="N82" s="21" t="s">
        <v>496</v>
      </c>
      <c r="O82" s="21" t="s">
        <v>69</v>
      </c>
      <c r="P82" s="21" t="s">
        <v>497</v>
      </c>
      <c r="Q82" s="21" t="s">
        <v>1168</v>
      </c>
      <c r="R82" s="21" t="s">
        <v>498</v>
      </c>
      <c r="S82" s="21" t="s">
        <v>499</v>
      </c>
      <c r="V82" s="21" t="s">
        <v>500</v>
      </c>
      <c r="W82" s="21" t="s">
        <v>501</v>
      </c>
      <c r="X82" s="21" t="s">
        <v>502</v>
      </c>
      <c r="Y82" s="21" t="s">
        <v>503</v>
      </c>
      <c r="Z82" s="21">
        <v>3035445327</v>
      </c>
      <c r="AA82" s="22">
        <v>42738</v>
      </c>
      <c r="AB82" s="22">
        <v>42738</v>
      </c>
      <c r="AC82" s="21" t="s">
        <v>504</v>
      </c>
      <c r="AD82" s="21" t="s">
        <v>505</v>
      </c>
      <c r="AE82" s="21" t="s">
        <v>500</v>
      </c>
      <c r="AF82" s="21" t="s">
        <v>506</v>
      </c>
      <c r="AG82" s="21" t="s">
        <v>1685</v>
      </c>
      <c r="AH82" s="21" t="s">
        <v>1686</v>
      </c>
      <c r="AI82" s="21" t="s">
        <v>1117</v>
      </c>
      <c r="AJ82" s="21" t="s">
        <v>526</v>
      </c>
      <c r="AK82" s="21" t="s">
        <v>494</v>
      </c>
      <c r="AL82" s="21" t="s">
        <v>527</v>
      </c>
      <c r="AM82" s="21" t="s">
        <v>527</v>
      </c>
      <c r="AN82" s="21" t="s">
        <v>527</v>
      </c>
      <c r="AO82" s="21" t="s">
        <v>528</v>
      </c>
      <c r="AS82" s="21" t="s">
        <v>511</v>
      </c>
      <c r="AT82" s="21" t="s">
        <v>512</v>
      </c>
      <c r="AW82" s="21">
        <v>0</v>
      </c>
      <c r="AX82" s="21">
        <v>2</v>
      </c>
      <c r="BC82" s="21" t="s">
        <v>513</v>
      </c>
      <c r="BD82" s="21" t="s">
        <v>514</v>
      </c>
      <c r="BE82" s="21" t="s">
        <v>514</v>
      </c>
      <c r="BF82" s="21" t="s">
        <v>515</v>
      </c>
      <c r="BG82" s="21">
        <v>1</v>
      </c>
      <c r="BH82" s="21" t="s">
        <v>516</v>
      </c>
      <c r="BI82" s="21" t="s">
        <v>517</v>
      </c>
      <c r="BJ82" s="21" t="s">
        <v>516</v>
      </c>
      <c r="BK82" s="21" t="s">
        <v>516</v>
      </c>
      <c r="BM82" s="21" t="s">
        <v>30</v>
      </c>
      <c r="BN82" s="21" t="s">
        <v>179</v>
      </c>
      <c r="BO82" s="21" t="s">
        <v>518</v>
      </c>
      <c r="BP82" s="21" t="s">
        <v>519</v>
      </c>
      <c r="BQ82" s="21" t="s">
        <v>30</v>
      </c>
      <c r="BR82" s="21" t="s">
        <v>179</v>
      </c>
      <c r="BS82" s="21" t="s">
        <v>518</v>
      </c>
      <c r="BT82" s="21" t="s">
        <v>519</v>
      </c>
      <c r="BU82" s="21" t="s">
        <v>179</v>
      </c>
      <c r="CD82" s="21" t="s">
        <v>520</v>
      </c>
      <c r="CF82" s="21" t="s">
        <v>521</v>
      </c>
      <c r="DB82" s="21" t="s">
        <v>943</v>
      </c>
      <c r="DC82" s="21">
        <v>1</v>
      </c>
      <c r="DD82" s="21">
        <v>1</v>
      </c>
      <c r="DE82" s="22">
        <v>42741</v>
      </c>
      <c r="DF82" s="21" t="s">
        <v>1687</v>
      </c>
      <c r="DG82" s="21" t="s">
        <v>522</v>
      </c>
      <c r="DH82" s="21" t="s">
        <v>1688</v>
      </c>
      <c r="DI82" s="21" t="s">
        <v>495</v>
      </c>
      <c r="DJ82" s="21" t="s">
        <v>520</v>
      </c>
      <c r="DL82" s="21">
        <v>42750</v>
      </c>
      <c r="DM82" s="21">
        <v>42740</v>
      </c>
      <c r="DN82" s="21">
        <v>3100</v>
      </c>
      <c r="DO82" s="21">
        <v>10</v>
      </c>
      <c r="DP82" s="21">
        <v>1</v>
      </c>
      <c r="DQ82" s="21">
        <v>1</v>
      </c>
      <c r="DR82" s="21">
        <v>6</v>
      </c>
      <c r="DS82" s="21">
        <v>10</v>
      </c>
      <c r="DT82" s="21">
        <v>10</v>
      </c>
      <c r="DU82" s="21">
        <v>10</v>
      </c>
      <c r="DW82" s="21">
        <v>10</v>
      </c>
      <c r="EA82" s="21">
        <v>9</v>
      </c>
      <c r="EF82" s="25">
        <v>1</v>
      </c>
      <c r="EG82" s="25">
        <v>0</v>
      </c>
      <c r="EH82" s="25">
        <v>1</v>
      </c>
      <c r="EI82" s="25">
        <v>0</v>
      </c>
      <c r="EJ82" s="25" t="s">
        <v>62</v>
      </c>
      <c r="EK82" s="25" t="s">
        <v>180</v>
      </c>
      <c r="EL82" s="25" t="s">
        <v>180</v>
      </c>
      <c r="EM82" s="25" t="s">
        <v>276</v>
      </c>
      <c r="EN82" s="25" t="s">
        <v>23</v>
      </c>
      <c r="EO82" s="25" t="s">
        <v>23</v>
      </c>
      <c r="EP82" s="25" t="s">
        <v>62</v>
      </c>
      <c r="EQ82" s="25" t="s">
        <v>62</v>
      </c>
      <c r="ER82" s="25" t="s">
        <v>278</v>
      </c>
      <c r="ES82" s="25" t="s">
        <v>278</v>
      </c>
      <c r="ET82" s="25">
        <v>1</v>
      </c>
      <c r="EU82" s="25" t="s">
        <v>522</v>
      </c>
      <c r="EV82" s="25" t="s">
        <v>180</v>
      </c>
      <c r="EW82" s="25" t="s">
        <v>23</v>
      </c>
      <c r="EX82" s="25" t="s">
        <v>278</v>
      </c>
      <c r="EY82" s="20" t="e">
        <v>#N/A</v>
      </c>
    </row>
    <row r="83" spans="1:155">
      <c r="A83" s="21" t="s">
        <v>491</v>
      </c>
      <c r="B83" s="21" t="s">
        <v>491</v>
      </c>
      <c r="C83" s="21" t="s">
        <v>492</v>
      </c>
      <c r="D83" s="21" t="s">
        <v>493</v>
      </c>
      <c r="E83" s="21" t="s">
        <v>493</v>
      </c>
      <c r="F83" s="21" t="s">
        <v>493</v>
      </c>
      <c r="G83" s="21" t="s">
        <v>1946</v>
      </c>
      <c r="H83" s="21">
        <v>8132719481</v>
      </c>
      <c r="I83" s="21" t="s">
        <v>494</v>
      </c>
      <c r="J83" s="21" t="s">
        <v>1947</v>
      </c>
      <c r="L83" s="21" t="s">
        <v>495</v>
      </c>
      <c r="M83" s="21" t="s">
        <v>1948</v>
      </c>
      <c r="N83" s="21" t="s">
        <v>1949</v>
      </c>
      <c r="O83" s="21" t="s">
        <v>93</v>
      </c>
      <c r="P83" s="21" t="s">
        <v>539</v>
      </c>
      <c r="R83" s="21" t="s">
        <v>1950</v>
      </c>
      <c r="S83" s="21" t="s">
        <v>1440</v>
      </c>
      <c r="V83" s="21" t="s">
        <v>277</v>
      </c>
      <c r="W83" s="21" t="s">
        <v>524</v>
      </c>
      <c r="X83" s="21" t="s">
        <v>525</v>
      </c>
      <c r="Y83" s="21" t="s">
        <v>530</v>
      </c>
      <c r="Z83" s="21">
        <v>3035414002</v>
      </c>
      <c r="AA83" s="22">
        <v>42737</v>
      </c>
      <c r="AB83" s="22">
        <v>42738</v>
      </c>
      <c r="AC83" s="21" t="s">
        <v>504</v>
      </c>
      <c r="AD83" s="21" t="s">
        <v>505</v>
      </c>
      <c r="AE83" s="21" t="s">
        <v>565</v>
      </c>
      <c r="AF83" s="21" t="s">
        <v>1920</v>
      </c>
      <c r="AG83" s="21" t="s">
        <v>1951</v>
      </c>
      <c r="AH83" s="21" t="s">
        <v>1952</v>
      </c>
      <c r="AI83" s="21" t="s">
        <v>1953</v>
      </c>
      <c r="AJ83" s="21" t="s">
        <v>507</v>
      </c>
      <c r="AK83" s="21" t="s">
        <v>494</v>
      </c>
      <c r="AL83" s="21" t="s">
        <v>527</v>
      </c>
      <c r="AM83" s="21" t="s">
        <v>527</v>
      </c>
      <c r="AN83" s="21" t="s">
        <v>527</v>
      </c>
      <c r="AO83" s="21" t="s">
        <v>528</v>
      </c>
      <c r="AS83" s="21" t="s">
        <v>511</v>
      </c>
      <c r="AT83" s="21" t="s">
        <v>512</v>
      </c>
      <c r="AW83" s="21">
        <v>0</v>
      </c>
      <c r="AX83" s="21">
        <v>4</v>
      </c>
      <c r="BC83" s="21" t="s">
        <v>513</v>
      </c>
      <c r="BD83" s="21" t="s">
        <v>514</v>
      </c>
      <c r="BE83" s="21" t="s">
        <v>514</v>
      </c>
      <c r="BF83" s="21" t="s">
        <v>515</v>
      </c>
      <c r="BG83" s="21">
        <v>1</v>
      </c>
      <c r="BH83" s="21" t="s">
        <v>516</v>
      </c>
      <c r="BI83" s="21" t="s">
        <v>517</v>
      </c>
      <c r="BJ83" s="21" t="s">
        <v>516</v>
      </c>
      <c r="BK83" s="21" t="s">
        <v>516</v>
      </c>
      <c r="BM83" s="21" t="s">
        <v>37</v>
      </c>
      <c r="BN83" s="21" t="s">
        <v>250</v>
      </c>
      <c r="BO83" s="21" t="s">
        <v>518</v>
      </c>
      <c r="BP83" s="21" t="s">
        <v>1044</v>
      </c>
      <c r="BQ83" s="21" t="s">
        <v>38</v>
      </c>
      <c r="BR83" s="21" t="s">
        <v>238</v>
      </c>
      <c r="BS83" s="21" t="s">
        <v>518</v>
      </c>
      <c r="BT83" s="21" t="s">
        <v>1044</v>
      </c>
      <c r="BU83" s="21" t="s">
        <v>250</v>
      </c>
      <c r="CD83" s="21" t="s">
        <v>520</v>
      </c>
      <c r="CF83" s="21" t="s">
        <v>521</v>
      </c>
      <c r="DB83" s="21" t="s">
        <v>943</v>
      </c>
      <c r="DC83" s="21">
        <v>1</v>
      </c>
      <c r="DD83" s="21">
        <v>1</v>
      </c>
      <c r="DE83" s="22">
        <v>42741</v>
      </c>
      <c r="DF83" s="21" t="s">
        <v>1954</v>
      </c>
      <c r="DG83" s="21" t="s">
        <v>522</v>
      </c>
      <c r="DH83" s="21" t="s">
        <v>1955</v>
      </c>
      <c r="DI83" s="21" t="s">
        <v>495</v>
      </c>
      <c r="DJ83" s="21" t="s">
        <v>520</v>
      </c>
      <c r="DL83" s="21">
        <v>42750</v>
      </c>
      <c r="DM83" s="21">
        <v>42740</v>
      </c>
      <c r="DN83" s="21">
        <v>1100</v>
      </c>
      <c r="DO83" s="21">
        <v>10</v>
      </c>
      <c r="DP83" s="21">
        <v>1</v>
      </c>
      <c r="DQ83" s="21">
        <v>1</v>
      </c>
      <c r="DR83" s="21">
        <v>6</v>
      </c>
      <c r="DS83" s="21">
        <v>10</v>
      </c>
      <c r="DT83" s="21">
        <v>10</v>
      </c>
      <c r="DU83" s="21">
        <v>10</v>
      </c>
      <c r="DW83" s="21">
        <v>10</v>
      </c>
      <c r="EA83" s="21">
        <v>10</v>
      </c>
      <c r="EB83" s="21" t="s">
        <v>1956</v>
      </c>
      <c r="EC83" s="21" t="s">
        <v>1222</v>
      </c>
      <c r="EF83" s="25">
        <v>1</v>
      </c>
      <c r="EG83" s="25">
        <v>0</v>
      </c>
      <c r="EH83" s="25">
        <v>1</v>
      </c>
      <c r="EI83" s="25">
        <v>0</v>
      </c>
      <c r="EJ83" s="25" t="s">
        <v>92</v>
      </c>
      <c r="EK83" s="25" t="s">
        <v>251</v>
      </c>
      <c r="EL83" s="25" t="s">
        <v>239</v>
      </c>
      <c r="EM83" s="25" t="s">
        <v>276</v>
      </c>
      <c r="EN83" s="25" t="s">
        <v>39</v>
      </c>
      <c r="EO83" s="25" t="s">
        <v>39</v>
      </c>
      <c r="EP83" s="25" t="s">
        <v>92</v>
      </c>
      <c r="EQ83" s="25" t="s">
        <v>529</v>
      </c>
      <c r="ER83" s="25" t="s">
        <v>278</v>
      </c>
      <c r="ES83" s="25" t="s">
        <v>278</v>
      </c>
      <c r="ET83" s="25">
        <v>1</v>
      </c>
      <c r="EU83" s="25" t="s">
        <v>522</v>
      </c>
      <c r="EV83" s="25" t="s">
        <v>279</v>
      </c>
      <c r="EW83" s="25" t="s">
        <v>279</v>
      </c>
      <c r="EX83" s="25" t="s">
        <v>279</v>
      </c>
      <c r="EY83" s="20" t="e">
        <v>#N/A</v>
      </c>
    </row>
    <row r="84" spans="1:155">
      <c r="A84" s="21" t="s">
        <v>491</v>
      </c>
      <c r="B84" s="21" t="s">
        <v>491</v>
      </c>
      <c r="C84" s="21" t="s">
        <v>492</v>
      </c>
      <c r="D84" s="21" t="s">
        <v>493</v>
      </c>
      <c r="E84" s="21" t="s">
        <v>493</v>
      </c>
      <c r="F84" s="21" t="s">
        <v>493</v>
      </c>
      <c r="G84" s="21" t="s">
        <v>1957</v>
      </c>
      <c r="H84" s="21" t="s">
        <v>494</v>
      </c>
      <c r="I84" s="21">
        <v>92991428088</v>
      </c>
      <c r="J84" s="21" t="s">
        <v>1958</v>
      </c>
      <c r="L84" s="21" t="s">
        <v>495</v>
      </c>
      <c r="M84" s="21" t="s">
        <v>1959</v>
      </c>
      <c r="N84" s="21" t="s">
        <v>1960</v>
      </c>
      <c r="O84" s="21" t="s">
        <v>93</v>
      </c>
      <c r="P84" s="21" t="s">
        <v>539</v>
      </c>
      <c r="Q84" s="21" t="s">
        <v>1301</v>
      </c>
      <c r="R84" s="21" t="s">
        <v>1961</v>
      </c>
      <c r="S84" s="21" t="s">
        <v>1440</v>
      </c>
      <c r="V84" s="21" t="s">
        <v>277</v>
      </c>
      <c r="W84" s="21" t="s">
        <v>524</v>
      </c>
      <c r="X84" s="21" t="s">
        <v>525</v>
      </c>
      <c r="Y84" s="21" t="s">
        <v>530</v>
      </c>
      <c r="Z84" s="21">
        <v>3035431604</v>
      </c>
      <c r="AA84" s="22">
        <v>42738</v>
      </c>
      <c r="AB84" s="22">
        <v>42738</v>
      </c>
      <c r="AC84" s="21" t="s">
        <v>504</v>
      </c>
      <c r="AD84" s="21" t="s">
        <v>505</v>
      </c>
      <c r="AE84" s="21" t="s">
        <v>1054</v>
      </c>
      <c r="AF84" s="21" t="s">
        <v>1055</v>
      </c>
      <c r="AG84" s="21" t="s">
        <v>1962</v>
      </c>
      <c r="AH84" s="21" t="s">
        <v>1963</v>
      </c>
      <c r="AI84" s="21" t="s">
        <v>1964</v>
      </c>
      <c r="AJ84" s="21" t="s">
        <v>526</v>
      </c>
      <c r="AK84" s="21" t="s">
        <v>494</v>
      </c>
      <c r="AL84" s="21" t="s">
        <v>527</v>
      </c>
      <c r="AM84" s="21" t="s">
        <v>527</v>
      </c>
      <c r="AN84" s="21" t="s">
        <v>527</v>
      </c>
      <c r="AO84" s="21" t="s">
        <v>528</v>
      </c>
      <c r="AS84" s="21" t="s">
        <v>511</v>
      </c>
      <c r="AT84" s="21" t="s">
        <v>512</v>
      </c>
      <c r="AW84" s="21">
        <v>0</v>
      </c>
      <c r="AX84" s="21">
        <v>3</v>
      </c>
      <c r="BC84" s="21" t="s">
        <v>513</v>
      </c>
      <c r="BD84" s="21" t="s">
        <v>514</v>
      </c>
      <c r="BE84" s="21" t="s">
        <v>514</v>
      </c>
      <c r="BF84" s="21" t="s">
        <v>515</v>
      </c>
      <c r="BG84" s="21">
        <v>1</v>
      </c>
      <c r="BH84" s="21" t="s">
        <v>516</v>
      </c>
      <c r="BI84" s="21" t="s">
        <v>517</v>
      </c>
      <c r="BJ84" s="21" t="s">
        <v>516</v>
      </c>
      <c r="BK84" s="21" t="s">
        <v>516</v>
      </c>
      <c r="BM84" s="21" t="s">
        <v>40</v>
      </c>
      <c r="BN84" s="21" t="s">
        <v>240</v>
      </c>
      <c r="BO84" s="21" t="s">
        <v>518</v>
      </c>
      <c r="BP84" s="21" t="s">
        <v>1044</v>
      </c>
      <c r="BQ84" s="21" t="s">
        <v>38</v>
      </c>
      <c r="BR84" s="21" t="s">
        <v>238</v>
      </c>
      <c r="BS84" s="21" t="s">
        <v>518</v>
      </c>
      <c r="BT84" s="21" t="s">
        <v>1044</v>
      </c>
      <c r="BU84" s="21" t="s">
        <v>240</v>
      </c>
      <c r="CD84" s="21" t="s">
        <v>520</v>
      </c>
      <c r="CF84" s="21" t="s">
        <v>521</v>
      </c>
      <c r="DB84" s="21" t="s">
        <v>943</v>
      </c>
      <c r="DC84" s="21">
        <v>1</v>
      </c>
      <c r="DD84" s="21">
        <v>1</v>
      </c>
      <c r="DE84" s="22">
        <v>42741</v>
      </c>
      <c r="DF84" s="21" t="s">
        <v>1965</v>
      </c>
      <c r="DG84" s="21" t="s">
        <v>522</v>
      </c>
      <c r="DH84" s="21" t="s">
        <v>1966</v>
      </c>
      <c r="DI84" s="21" t="s">
        <v>495</v>
      </c>
      <c r="DJ84" s="21" t="s">
        <v>520</v>
      </c>
      <c r="DL84" s="21">
        <v>42750</v>
      </c>
      <c r="DM84" s="21">
        <v>42740</v>
      </c>
      <c r="DN84" s="21">
        <v>1100</v>
      </c>
      <c r="DO84" s="21">
        <v>7</v>
      </c>
      <c r="DP84" s="21">
        <v>1</v>
      </c>
      <c r="DQ84" s="21">
        <v>1</v>
      </c>
      <c r="DR84" s="21">
        <v>5</v>
      </c>
      <c r="DS84" s="21">
        <v>9</v>
      </c>
      <c r="DT84" s="21">
        <v>9</v>
      </c>
      <c r="DU84" s="21">
        <v>9</v>
      </c>
      <c r="DW84" s="21">
        <v>7</v>
      </c>
      <c r="EA84" s="21">
        <v>9</v>
      </c>
      <c r="EB84" s="21" t="s">
        <v>1967</v>
      </c>
      <c r="EC84" s="21" t="s">
        <v>1968</v>
      </c>
      <c r="EF84" s="25">
        <v>1</v>
      </c>
      <c r="EG84" s="25">
        <v>0</v>
      </c>
      <c r="EH84" s="25">
        <v>0</v>
      </c>
      <c r="EI84" s="25">
        <v>0</v>
      </c>
      <c r="EJ84" s="25" t="s">
        <v>92</v>
      </c>
      <c r="EK84" s="25" t="s">
        <v>241</v>
      </c>
      <c r="EL84" s="25" t="s">
        <v>239</v>
      </c>
      <c r="EM84" s="25" t="s">
        <v>276</v>
      </c>
      <c r="EN84" s="25" t="s">
        <v>39</v>
      </c>
      <c r="EO84" s="25" t="s">
        <v>39</v>
      </c>
      <c r="EP84" s="25" t="s">
        <v>92</v>
      </c>
      <c r="EQ84" s="25" t="s">
        <v>529</v>
      </c>
      <c r="ER84" s="25" t="s">
        <v>278</v>
      </c>
      <c r="ES84" s="25" t="s">
        <v>278</v>
      </c>
      <c r="ET84" s="25">
        <v>1</v>
      </c>
      <c r="EU84" s="25" t="s">
        <v>522</v>
      </c>
      <c r="EV84" s="25" t="s">
        <v>279</v>
      </c>
      <c r="EW84" s="25" t="s">
        <v>279</v>
      </c>
      <c r="EX84" s="25" t="s">
        <v>279</v>
      </c>
      <c r="EY84" s="20" t="e">
        <v>#N/A</v>
      </c>
    </row>
    <row r="85" spans="1:155">
      <c r="A85" s="21" t="s">
        <v>491</v>
      </c>
      <c r="B85" s="21" t="s">
        <v>491</v>
      </c>
      <c r="C85" s="21" t="s">
        <v>492</v>
      </c>
      <c r="D85" s="21" t="s">
        <v>493</v>
      </c>
      <c r="E85" s="21" t="s">
        <v>493</v>
      </c>
      <c r="F85" s="21" t="s">
        <v>493</v>
      </c>
      <c r="G85" s="21" t="s">
        <v>1689</v>
      </c>
      <c r="H85" s="21">
        <v>8835612931</v>
      </c>
      <c r="I85" s="21" t="s">
        <v>494</v>
      </c>
      <c r="J85" s="21" t="s">
        <v>1690</v>
      </c>
      <c r="L85" s="21" t="s">
        <v>495</v>
      </c>
      <c r="M85" s="21" t="s">
        <v>1691</v>
      </c>
      <c r="N85" s="21" t="s">
        <v>1103</v>
      </c>
      <c r="O85" s="21" t="s">
        <v>93</v>
      </c>
      <c r="P85" s="21" t="s">
        <v>539</v>
      </c>
      <c r="Q85" s="21" t="s">
        <v>1168</v>
      </c>
      <c r="R85" s="21" t="s">
        <v>1104</v>
      </c>
      <c r="S85" s="21" t="s">
        <v>559</v>
      </c>
      <c r="V85" s="21" t="s">
        <v>277</v>
      </c>
      <c r="W85" s="21" t="s">
        <v>524</v>
      </c>
      <c r="X85" s="21" t="s">
        <v>525</v>
      </c>
      <c r="Y85" s="21" t="s">
        <v>530</v>
      </c>
      <c r="Z85" s="21">
        <v>3035477787</v>
      </c>
      <c r="AA85" s="22">
        <v>42739</v>
      </c>
      <c r="AB85" s="22">
        <v>42739</v>
      </c>
      <c r="AC85" s="21" t="s">
        <v>504</v>
      </c>
      <c r="AD85" s="21" t="s">
        <v>505</v>
      </c>
      <c r="AE85" s="21" t="s">
        <v>1020</v>
      </c>
      <c r="AF85" s="21" t="s">
        <v>1369</v>
      </c>
      <c r="AG85" s="21" t="s">
        <v>1370</v>
      </c>
      <c r="AH85" s="21" t="s">
        <v>1371</v>
      </c>
      <c r="AI85" s="21" t="s">
        <v>1372</v>
      </c>
      <c r="AJ85" s="21" t="s">
        <v>526</v>
      </c>
      <c r="AK85" s="21" t="s">
        <v>494</v>
      </c>
      <c r="AL85" s="21" t="s">
        <v>527</v>
      </c>
      <c r="AM85" s="21" t="s">
        <v>527</v>
      </c>
      <c r="AN85" s="21" t="s">
        <v>527</v>
      </c>
      <c r="AO85" s="21" t="s">
        <v>528</v>
      </c>
      <c r="AS85" s="21" t="s">
        <v>511</v>
      </c>
      <c r="AT85" s="21" t="s">
        <v>512</v>
      </c>
      <c r="AW85" s="21">
        <v>0</v>
      </c>
      <c r="AX85" s="21">
        <v>2</v>
      </c>
      <c r="BC85" s="21" t="s">
        <v>513</v>
      </c>
      <c r="BD85" s="21" t="s">
        <v>514</v>
      </c>
      <c r="BE85" s="21" t="s">
        <v>514</v>
      </c>
      <c r="BF85" s="21" t="s">
        <v>515</v>
      </c>
      <c r="BG85" s="21">
        <v>1</v>
      </c>
      <c r="BH85" s="21" t="s">
        <v>516</v>
      </c>
      <c r="BI85" s="21" t="s">
        <v>517</v>
      </c>
      <c r="BJ85" s="21" t="s">
        <v>516</v>
      </c>
      <c r="BK85" s="21" t="s">
        <v>516</v>
      </c>
      <c r="BM85" s="21" t="s">
        <v>1373</v>
      </c>
      <c r="BN85" s="21" t="s">
        <v>213</v>
      </c>
      <c r="BO85" s="21" t="s">
        <v>518</v>
      </c>
      <c r="BP85" s="21" t="s">
        <v>1044</v>
      </c>
      <c r="BQ85" s="21" t="s">
        <v>1373</v>
      </c>
      <c r="BR85" s="21" t="s">
        <v>213</v>
      </c>
      <c r="BS85" s="21" t="s">
        <v>518</v>
      </c>
      <c r="BT85" s="21" t="s">
        <v>1044</v>
      </c>
      <c r="BU85" s="21" t="s">
        <v>213</v>
      </c>
      <c r="CD85" s="21" t="s">
        <v>520</v>
      </c>
      <c r="CF85" s="21" t="s">
        <v>521</v>
      </c>
      <c r="DB85" s="21" t="s">
        <v>943</v>
      </c>
      <c r="DC85" s="21">
        <v>1</v>
      </c>
      <c r="DD85" s="21">
        <v>1</v>
      </c>
      <c r="DE85" s="22">
        <v>42741</v>
      </c>
      <c r="DF85" s="21" t="s">
        <v>1692</v>
      </c>
      <c r="DG85" s="21" t="s">
        <v>522</v>
      </c>
      <c r="DH85" s="21" t="s">
        <v>1693</v>
      </c>
      <c r="DI85" s="21" t="s">
        <v>495</v>
      </c>
      <c r="DJ85" s="21" t="s">
        <v>520</v>
      </c>
      <c r="DL85" s="21">
        <v>42751</v>
      </c>
      <c r="DM85" s="21">
        <v>42741</v>
      </c>
      <c r="DN85" s="21">
        <v>1100</v>
      </c>
      <c r="DO85" s="21">
        <v>3</v>
      </c>
      <c r="DP85" s="21">
        <v>2</v>
      </c>
      <c r="DQ85" s="21">
        <v>2</v>
      </c>
      <c r="DR85" s="21">
        <v>5</v>
      </c>
      <c r="DS85" s="21">
        <v>10</v>
      </c>
      <c r="DT85" s="21">
        <v>7</v>
      </c>
      <c r="DU85" s="21">
        <v>7</v>
      </c>
      <c r="DW85" s="21">
        <v>2</v>
      </c>
      <c r="EA85" s="21">
        <v>9</v>
      </c>
      <c r="EB85" s="21" t="s">
        <v>1694</v>
      </c>
      <c r="EC85" s="21" t="s">
        <v>1695</v>
      </c>
      <c r="EF85" s="25">
        <v>1</v>
      </c>
      <c r="EG85" s="25">
        <v>0</v>
      </c>
      <c r="EH85" s="25">
        <v>0</v>
      </c>
      <c r="EI85" s="25">
        <v>1</v>
      </c>
      <c r="EJ85" s="25" t="s">
        <v>92</v>
      </c>
      <c r="EK85" s="25" t="s">
        <v>214</v>
      </c>
      <c r="EL85" s="25" t="s">
        <v>214</v>
      </c>
      <c r="EM85" s="25" t="s">
        <v>276</v>
      </c>
      <c r="EN85" s="25" t="s">
        <v>31</v>
      </c>
      <c r="EO85" s="25" t="s">
        <v>31</v>
      </c>
      <c r="EP85" s="25" t="s">
        <v>92</v>
      </c>
      <c r="EQ85" s="25" t="s">
        <v>92</v>
      </c>
      <c r="ER85" s="25" t="s">
        <v>278</v>
      </c>
      <c r="ES85" s="25" t="s">
        <v>278</v>
      </c>
      <c r="ET85" s="25">
        <v>1</v>
      </c>
      <c r="EU85" s="25" t="s">
        <v>522</v>
      </c>
      <c r="EV85" s="25" t="s">
        <v>214</v>
      </c>
      <c r="EW85" s="25" t="s">
        <v>31</v>
      </c>
      <c r="EX85" s="25" t="s">
        <v>278</v>
      </c>
      <c r="EY85" s="20" t="e">
        <v>#N/A</v>
      </c>
    </row>
    <row r="86" spans="1:155">
      <c r="A86" s="21" t="s">
        <v>491</v>
      </c>
      <c r="B86" s="21" t="s">
        <v>491</v>
      </c>
      <c r="C86" s="21" t="s">
        <v>492</v>
      </c>
      <c r="D86" s="21" t="s">
        <v>493</v>
      </c>
      <c r="E86" s="21" t="s">
        <v>493</v>
      </c>
      <c r="F86" s="21" t="s">
        <v>493</v>
      </c>
      <c r="G86" s="21" t="s">
        <v>1969</v>
      </c>
      <c r="H86" s="21">
        <v>1158313150</v>
      </c>
      <c r="I86" s="21" t="s">
        <v>494</v>
      </c>
      <c r="J86" s="21" t="s">
        <v>1970</v>
      </c>
      <c r="L86" s="21" t="s">
        <v>495</v>
      </c>
      <c r="M86" s="21" t="s">
        <v>1971</v>
      </c>
      <c r="N86" s="21" t="s">
        <v>496</v>
      </c>
      <c r="O86" s="21" t="s">
        <v>69</v>
      </c>
      <c r="P86" s="21" t="s">
        <v>497</v>
      </c>
      <c r="R86" s="21" t="s">
        <v>498</v>
      </c>
      <c r="S86" s="21" t="s">
        <v>499</v>
      </c>
      <c r="V86" s="21" t="s">
        <v>500</v>
      </c>
      <c r="W86" s="21" t="s">
        <v>501</v>
      </c>
      <c r="X86" s="21" t="s">
        <v>502</v>
      </c>
      <c r="Y86" s="21" t="s">
        <v>503</v>
      </c>
      <c r="Z86" s="21">
        <v>3035484967</v>
      </c>
      <c r="AA86" s="22">
        <v>42739</v>
      </c>
      <c r="AB86" s="22">
        <v>42739</v>
      </c>
      <c r="AC86" s="21" t="s">
        <v>504</v>
      </c>
      <c r="AD86" s="21" t="s">
        <v>505</v>
      </c>
      <c r="AE86" s="21" t="s">
        <v>500</v>
      </c>
      <c r="AF86" s="21" t="s">
        <v>549</v>
      </c>
      <c r="AG86" s="21" t="s">
        <v>1972</v>
      </c>
      <c r="AH86" s="21" t="s">
        <v>1973</v>
      </c>
      <c r="AI86" s="21" t="s">
        <v>1974</v>
      </c>
      <c r="AJ86" s="21" t="s">
        <v>526</v>
      </c>
      <c r="AK86" s="21" t="s">
        <v>494</v>
      </c>
      <c r="AL86" s="21" t="s">
        <v>527</v>
      </c>
      <c r="AM86" s="21" t="s">
        <v>527</v>
      </c>
      <c r="AN86" s="21" t="s">
        <v>527</v>
      </c>
      <c r="AO86" s="21" t="s">
        <v>528</v>
      </c>
      <c r="AS86" s="21" t="s">
        <v>511</v>
      </c>
      <c r="AT86" s="21" t="s">
        <v>512</v>
      </c>
      <c r="AW86" s="21">
        <v>0</v>
      </c>
      <c r="AX86" s="21">
        <v>2</v>
      </c>
      <c r="BC86" s="21" t="s">
        <v>513</v>
      </c>
      <c r="BD86" s="21" t="s">
        <v>514</v>
      </c>
      <c r="BE86" s="21" t="s">
        <v>514</v>
      </c>
      <c r="BF86" s="21" t="s">
        <v>515</v>
      </c>
      <c r="BG86" s="21">
        <v>1</v>
      </c>
      <c r="BH86" s="21" t="s">
        <v>516</v>
      </c>
      <c r="BI86" s="21" t="s">
        <v>517</v>
      </c>
      <c r="BJ86" s="21" t="s">
        <v>516</v>
      </c>
      <c r="BK86" s="21" t="s">
        <v>516</v>
      </c>
      <c r="BM86" s="21" t="s">
        <v>1549</v>
      </c>
      <c r="BN86" s="21" t="s">
        <v>109</v>
      </c>
      <c r="BO86" s="21" t="s">
        <v>518</v>
      </c>
      <c r="BP86" s="21" t="s">
        <v>519</v>
      </c>
      <c r="BQ86" s="21" t="s">
        <v>1549</v>
      </c>
      <c r="BR86" s="21" t="s">
        <v>109</v>
      </c>
      <c r="BS86" s="21" t="s">
        <v>518</v>
      </c>
      <c r="BT86" s="21" t="s">
        <v>519</v>
      </c>
      <c r="BU86" s="21" t="s">
        <v>109</v>
      </c>
      <c r="CD86" s="21" t="s">
        <v>520</v>
      </c>
      <c r="CF86" s="21" t="s">
        <v>521</v>
      </c>
      <c r="DB86" s="21" t="s">
        <v>943</v>
      </c>
      <c r="DC86" s="21">
        <v>1</v>
      </c>
      <c r="DD86" s="21">
        <v>1</v>
      </c>
      <c r="DE86" s="22">
        <v>42741</v>
      </c>
      <c r="DF86" s="21" t="s">
        <v>1975</v>
      </c>
      <c r="DG86" s="21" t="s">
        <v>522</v>
      </c>
      <c r="DH86" s="21" t="s">
        <v>1976</v>
      </c>
      <c r="DI86" s="21" t="s">
        <v>495</v>
      </c>
      <c r="DJ86" s="21" t="s">
        <v>520</v>
      </c>
      <c r="DL86" s="21">
        <v>42751</v>
      </c>
      <c r="DM86" s="21">
        <v>42741</v>
      </c>
      <c r="DN86" s="21">
        <v>3100</v>
      </c>
      <c r="DO86" s="21">
        <v>10</v>
      </c>
      <c r="DP86" s="21">
        <v>1</v>
      </c>
      <c r="DQ86" s="21">
        <v>1</v>
      </c>
      <c r="DR86" s="21">
        <v>7</v>
      </c>
      <c r="DS86" s="21">
        <v>10</v>
      </c>
      <c r="DT86" s="21">
        <v>10</v>
      </c>
      <c r="DU86" s="21">
        <v>10</v>
      </c>
      <c r="DW86" s="21">
        <v>10</v>
      </c>
      <c r="EA86" s="21">
        <v>10</v>
      </c>
      <c r="EB86" s="21" t="s">
        <v>1977</v>
      </c>
      <c r="EC86" s="21" t="s">
        <v>1221</v>
      </c>
      <c r="EF86" s="25">
        <v>1</v>
      </c>
      <c r="EG86" s="25">
        <v>0</v>
      </c>
      <c r="EH86" s="25">
        <v>1</v>
      </c>
      <c r="EI86" s="25">
        <v>0</v>
      </c>
      <c r="EJ86" s="25" t="s">
        <v>62</v>
      </c>
      <c r="EK86" s="25" t="s">
        <v>110</v>
      </c>
      <c r="EL86" s="25" t="s">
        <v>110</v>
      </c>
      <c r="EM86" s="25" t="s">
        <v>276</v>
      </c>
      <c r="EN86" s="25" t="s">
        <v>9</v>
      </c>
      <c r="EO86" s="25" t="s">
        <v>9</v>
      </c>
      <c r="EP86" s="25" t="s">
        <v>62</v>
      </c>
      <c r="EQ86" s="25" t="s">
        <v>62</v>
      </c>
      <c r="ER86" s="25" t="s">
        <v>278</v>
      </c>
      <c r="ES86" s="25" t="s">
        <v>278</v>
      </c>
      <c r="ET86" s="25">
        <v>1</v>
      </c>
      <c r="EU86" s="25" t="s">
        <v>522</v>
      </c>
      <c r="EV86" s="25" t="s">
        <v>110</v>
      </c>
      <c r="EW86" s="25" t="s">
        <v>9</v>
      </c>
      <c r="EX86" s="25" t="s">
        <v>278</v>
      </c>
      <c r="EY86" s="20" t="e">
        <v>#N/A</v>
      </c>
    </row>
    <row r="87" spans="1:155">
      <c r="A87" s="21" t="s">
        <v>491</v>
      </c>
      <c r="B87" s="21" t="s">
        <v>491</v>
      </c>
      <c r="C87" s="21" t="s">
        <v>492</v>
      </c>
      <c r="D87" s="21" t="s">
        <v>493</v>
      </c>
      <c r="E87" s="21" t="s">
        <v>493</v>
      </c>
      <c r="F87" s="21" t="s">
        <v>493</v>
      </c>
      <c r="G87" s="21" t="s">
        <v>1696</v>
      </c>
      <c r="H87" s="21">
        <v>3134715173</v>
      </c>
      <c r="I87" s="21" t="s">
        <v>494</v>
      </c>
      <c r="J87" s="21" t="s">
        <v>1697</v>
      </c>
      <c r="L87" s="21" t="s">
        <v>495</v>
      </c>
      <c r="M87" s="21" t="s">
        <v>1698</v>
      </c>
      <c r="N87" s="21" t="s">
        <v>550</v>
      </c>
      <c r="O87" s="21" t="s">
        <v>69</v>
      </c>
      <c r="P87" s="21" t="s">
        <v>497</v>
      </c>
      <c r="R87" s="21" t="s">
        <v>551</v>
      </c>
      <c r="S87" s="21" t="s">
        <v>552</v>
      </c>
      <c r="V87" s="21" t="s">
        <v>500</v>
      </c>
      <c r="W87" s="21" t="s">
        <v>501</v>
      </c>
      <c r="X87" s="21" t="s">
        <v>502</v>
      </c>
      <c r="Y87" s="21" t="s">
        <v>503</v>
      </c>
      <c r="Z87" s="21">
        <v>3035410733</v>
      </c>
      <c r="AA87" s="22">
        <v>42737</v>
      </c>
      <c r="AB87" s="22">
        <v>42737</v>
      </c>
      <c r="AC87" s="21" t="s">
        <v>504</v>
      </c>
      <c r="AD87" s="21" t="s">
        <v>505</v>
      </c>
      <c r="AE87" s="21" t="s">
        <v>500</v>
      </c>
      <c r="AF87" s="21" t="s">
        <v>564</v>
      </c>
      <c r="AG87" s="21" t="s">
        <v>1699</v>
      </c>
      <c r="AH87" s="21" t="s">
        <v>1700</v>
      </c>
      <c r="AI87" s="21" t="s">
        <v>1604</v>
      </c>
      <c r="AJ87" s="21" t="s">
        <v>507</v>
      </c>
      <c r="AK87" s="21" t="s">
        <v>494</v>
      </c>
      <c r="AL87" s="21" t="s">
        <v>527</v>
      </c>
      <c r="AM87" s="21" t="s">
        <v>527</v>
      </c>
      <c r="AN87" s="21" t="s">
        <v>527</v>
      </c>
      <c r="AO87" s="21" t="s">
        <v>528</v>
      </c>
      <c r="AS87" s="21" t="s">
        <v>511</v>
      </c>
      <c r="AT87" s="21" t="s">
        <v>512</v>
      </c>
      <c r="AW87" s="21">
        <v>0</v>
      </c>
      <c r="AX87" s="21">
        <v>2</v>
      </c>
      <c r="BC87" s="21" t="s">
        <v>513</v>
      </c>
      <c r="BD87" s="21" t="s">
        <v>514</v>
      </c>
      <c r="BE87" s="21" t="s">
        <v>514</v>
      </c>
      <c r="BF87" s="21" t="s">
        <v>515</v>
      </c>
      <c r="BG87" s="21">
        <v>1</v>
      </c>
      <c r="BH87" s="21" t="s">
        <v>516</v>
      </c>
      <c r="BI87" s="21" t="s">
        <v>517</v>
      </c>
      <c r="BJ87" s="21" t="s">
        <v>516</v>
      </c>
      <c r="BK87" s="21" t="s">
        <v>516</v>
      </c>
      <c r="BM87" s="21" t="s">
        <v>861</v>
      </c>
      <c r="BN87" s="21" t="s">
        <v>852</v>
      </c>
      <c r="BO87" s="21" t="s">
        <v>849</v>
      </c>
      <c r="BP87" s="21" t="s">
        <v>541</v>
      </c>
      <c r="BQ87" s="21" t="s">
        <v>861</v>
      </c>
      <c r="BR87" s="21" t="s">
        <v>852</v>
      </c>
      <c r="BS87" s="21" t="s">
        <v>849</v>
      </c>
      <c r="BT87" s="21" t="s">
        <v>541</v>
      </c>
      <c r="BU87" s="21" t="s">
        <v>852</v>
      </c>
      <c r="CD87" s="21" t="s">
        <v>520</v>
      </c>
      <c r="CF87" s="21" t="s">
        <v>534</v>
      </c>
      <c r="DB87" s="21" t="s">
        <v>943</v>
      </c>
      <c r="DC87" s="21">
        <v>1</v>
      </c>
      <c r="DD87" s="21">
        <v>1</v>
      </c>
      <c r="DE87" s="22">
        <v>42742</v>
      </c>
      <c r="DF87" s="21" t="s">
        <v>1701</v>
      </c>
      <c r="DG87" s="21" t="s">
        <v>522</v>
      </c>
      <c r="DH87" s="21" t="s">
        <v>1702</v>
      </c>
      <c r="DI87" s="21" t="s">
        <v>495</v>
      </c>
      <c r="DJ87" s="21" t="s">
        <v>520</v>
      </c>
      <c r="DL87" s="21">
        <v>42749</v>
      </c>
      <c r="DM87" s="21">
        <v>42739</v>
      </c>
      <c r="DN87" s="21">
        <v>3100</v>
      </c>
      <c r="DO87" s="21">
        <v>10</v>
      </c>
      <c r="DP87" s="21">
        <v>1</v>
      </c>
      <c r="DQ87" s="21">
        <v>1</v>
      </c>
      <c r="DR87" s="21">
        <v>7</v>
      </c>
      <c r="DS87" s="21">
        <v>10</v>
      </c>
      <c r="DT87" s="21">
        <v>10</v>
      </c>
      <c r="DU87" s="21">
        <v>10</v>
      </c>
      <c r="DW87" s="21">
        <v>10</v>
      </c>
      <c r="DY87" s="21">
        <v>10</v>
      </c>
      <c r="EA87" s="21">
        <v>10</v>
      </c>
      <c r="EB87" s="21" t="s">
        <v>1703</v>
      </c>
      <c r="EC87" s="21" t="s">
        <v>1221</v>
      </c>
      <c r="EF87" s="25">
        <v>1</v>
      </c>
      <c r="EG87" s="25">
        <v>0</v>
      </c>
      <c r="EH87" s="25">
        <v>1</v>
      </c>
      <c r="EI87" s="25">
        <v>0</v>
      </c>
      <c r="EJ87" s="25" t="s">
        <v>62</v>
      </c>
      <c r="EK87" s="25" t="s">
        <v>197</v>
      </c>
      <c r="EL87" s="25" t="s">
        <v>197</v>
      </c>
      <c r="EM87" s="25" t="s">
        <v>276</v>
      </c>
      <c r="EN87" s="25" t="s">
        <v>271</v>
      </c>
      <c r="EO87" s="25" t="s">
        <v>271</v>
      </c>
      <c r="EP87" s="25" t="s">
        <v>548</v>
      </c>
      <c r="EQ87" s="25" t="s">
        <v>548</v>
      </c>
      <c r="ER87" s="25" t="s">
        <v>278</v>
      </c>
      <c r="ES87" s="25" t="s">
        <v>278</v>
      </c>
      <c r="ET87" s="25">
        <v>1</v>
      </c>
      <c r="EU87" s="25" t="s">
        <v>522</v>
      </c>
      <c r="EV87" s="25" t="s">
        <v>197</v>
      </c>
      <c r="EW87" s="25" t="s">
        <v>271</v>
      </c>
      <c r="EX87" s="25" t="s">
        <v>278</v>
      </c>
      <c r="EY87" s="20" t="e">
        <v>#N/A</v>
      </c>
    </row>
    <row r="88" spans="1:155">
      <c r="A88" s="21" t="s">
        <v>491</v>
      </c>
      <c r="B88" s="21" t="s">
        <v>491</v>
      </c>
      <c r="C88" s="21" t="s">
        <v>492</v>
      </c>
      <c r="D88" s="21" t="s">
        <v>493</v>
      </c>
      <c r="E88" s="21" t="s">
        <v>493</v>
      </c>
      <c r="F88" s="21" t="s">
        <v>493</v>
      </c>
      <c r="G88" s="21" t="s">
        <v>1978</v>
      </c>
      <c r="H88" s="21">
        <v>6932223371</v>
      </c>
      <c r="I88" s="21" t="s">
        <v>494</v>
      </c>
      <c r="J88" s="21" t="s">
        <v>1979</v>
      </c>
      <c r="L88" s="21" t="s">
        <v>495</v>
      </c>
      <c r="M88" s="21" t="s">
        <v>1980</v>
      </c>
      <c r="N88" s="21" t="s">
        <v>1981</v>
      </c>
      <c r="O88" s="21" t="s">
        <v>97</v>
      </c>
      <c r="P88" s="21" t="s">
        <v>1040</v>
      </c>
      <c r="R88" s="21" t="s">
        <v>1982</v>
      </c>
      <c r="S88" s="21" t="s">
        <v>1983</v>
      </c>
      <c r="V88" s="21" t="s">
        <v>500</v>
      </c>
      <c r="W88" s="21" t="s">
        <v>501</v>
      </c>
      <c r="X88" s="21" t="s">
        <v>502</v>
      </c>
      <c r="Y88" s="21" t="s">
        <v>503</v>
      </c>
      <c r="Z88" s="21">
        <v>3035416685</v>
      </c>
      <c r="AA88" s="22">
        <v>42737</v>
      </c>
      <c r="AB88" s="22">
        <v>42737</v>
      </c>
      <c r="AC88" s="21" t="s">
        <v>504</v>
      </c>
      <c r="AD88" s="21" t="s">
        <v>505</v>
      </c>
      <c r="AE88" s="21" t="s">
        <v>500</v>
      </c>
      <c r="AF88" s="21" t="s">
        <v>564</v>
      </c>
      <c r="AG88" s="21" t="s">
        <v>1699</v>
      </c>
      <c r="AH88" s="21" t="s">
        <v>1700</v>
      </c>
      <c r="AI88" s="21" t="s">
        <v>1984</v>
      </c>
      <c r="AJ88" s="21" t="s">
        <v>507</v>
      </c>
      <c r="AK88" s="21" t="s">
        <v>494</v>
      </c>
      <c r="AL88" s="21" t="s">
        <v>527</v>
      </c>
      <c r="AM88" s="21" t="s">
        <v>527</v>
      </c>
      <c r="AN88" s="21" t="s">
        <v>527</v>
      </c>
      <c r="AO88" s="21" t="s">
        <v>528</v>
      </c>
      <c r="AS88" s="21" t="s">
        <v>511</v>
      </c>
      <c r="AT88" s="21" t="s">
        <v>512</v>
      </c>
      <c r="AW88" s="21">
        <v>0</v>
      </c>
      <c r="AX88" s="21">
        <v>2</v>
      </c>
      <c r="BC88" s="21" t="s">
        <v>513</v>
      </c>
      <c r="BD88" s="21" t="s">
        <v>514</v>
      </c>
      <c r="BE88" s="21" t="s">
        <v>514</v>
      </c>
      <c r="BF88" s="21" t="s">
        <v>515</v>
      </c>
      <c r="BG88" s="21">
        <v>1</v>
      </c>
      <c r="BH88" s="21" t="s">
        <v>516</v>
      </c>
      <c r="BI88" s="21" t="s">
        <v>517</v>
      </c>
      <c r="BJ88" s="21" t="s">
        <v>516</v>
      </c>
      <c r="BK88" s="21" t="s">
        <v>516</v>
      </c>
      <c r="BM88" s="21" t="s">
        <v>24</v>
      </c>
      <c r="BN88" s="21" t="s">
        <v>186</v>
      </c>
      <c r="BO88" s="21" t="s">
        <v>518</v>
      </c>
      <c r="BP88" s="21" t="s">
        <v>519</v>
      </c>
      <c r="BQ88" s="21" t="s">
        <v>24</v>
      </c>
      <c r="BR88" s="21" t="s">
        <v>186</v>
      </c>
      <c r="BS88" s="21" t="s">
        <v>518</v>
      </c>
      <c r="BT88" s="21" t="s">
        <v>519</v>
      </c>
      <c r="BU88" s="21" t="s">
        <v>186</v>
      </c>
      <c r="CD88" s="21" t="s">
        <v>520</v>
      </c>
      <c r="CF88" s="21" t="s">
        <v>521</v>
      </c>
      <c r="DB88" s="21" t="s">
        <v>943</v>
      </c>
      <c r="DC88" s="21">
        <v>1</v>
      </c>
      <c r="DD88" s="21">
        <v>1</v>
      </c>
      <c r="DE88" s="22">
        <v>42742</v>
      </c>
      <c r="DF88" s="21" t="s">
        <v>1985</v>
      </c>
      <c r="DG88" s="21" t="s">
        <v>522</v>
      </c>
      <c r="DH88" s="21" t="s">
        <v>1986</v>
      </c>
      <c r="DI88" s="21" t="s">
        <v>495</v>
      </c>
      <c r="DJ88" s="21" t="s">
        <v>523</v>
      </c>
      <c r="DL88" s="21">
        <v>42749</v>
      </c>
      <c r="DM88" s="21">
        <v>42739</v>
      </c>
      <c r="DN88" s="21">
        <v>3100</v>
      </c>
      <c r="DO88" s="21">
        <v>10</v>
      </c>
      <c r="DP88" s="21">
        <v>2</v>
      </c>
      <c r="DQ88" s="21">
        <v>2</v>
      </c>
      <c r="DR88" s="21">
        <v>6</v>
      </c>
      <c r="DS88" s="21">
        <v>9</v>
      </c>
      <c r="DT88" s="21">
        <v>10</v>
      </c>
      <c r="DU88" s="21">
        <v>8</v>
      </c>
      <c r="DW88" s="21">
        <v>9</v>
      </c>
      <c r="EA88" s="21">
        <v>10</v>
      </c>
      <c r="EF88" s="25">
        <v>1</v>
      </c>
      <c r="EG88" s="25">
        <v>0</v>
      </c>
      <c r="EH88" s="25">
        <v>1</v>
      </c>
      <c r="EI88" s="25">
        <v>0</v>
      </c>
      <c r="EJ88" s="25" t="s">
        <v>62</v>
      </c>
      <c r="EK88" s="25" t="s">
        <v>187</v>
      </c>
      <c r="EL88" s="25" t="s">
        <v>187</v>
      </c>
      <c r="EM88" s="25" t="s">
        <v>276</v>
      </c>
      <c r="EN88" s="25" t="s">
        <v>23</v>
      </c>
      <c r="EO88" s="25" t="s">
        <v>23</v>
      </c>
      <c r="EP88" s="25" t="s">
        <v>62</v>
      </c>
      <c r="EQ88" s="25" t="s">
        <v>62</v>
      </c>
      <c r="ER88" s="25" t="s">
        <v>278</v>
      </c>
      <c r="ES88" s="25" t="s">
        <v>278</v>
      </c>
      <c r="ET88" s="25">
        <v>1</v>
      </c>
      <c r="EU88" s="25" t="s">
        <v>522</v>
      </c>
      <c r="EV88" s="25" t="s">
        <v>187</v>
      </c>
      <c r="EW88" s="25" t="s">
        <v>23</v>
      </c>
      <c r="EX88" s="25" t="s">
        <v>278</v>
      </c>
      <c r="EY88" s="20" t="e">
        <v>#N/A</v>
      </c>
    </row>
    <row r="89" spans="1:155">
      <c r="A89" s="21" t="s">
        <v>491</v>
      </c>
      <c r="B89" s="21" t="s">
        <v>491</v>
      </c>
      <c r="C89" s="21" t="s">
        <v>492</v>
      </c>
      <c r="D89" s="21" t="s">
        <v>493</v>
      </c>
      <c r="E89" s="21" t="s">
        <v>493</v>
      </c>
      <c r="F89" s="21" t="s">
        <v>493</v>
      </c>
      <c r="G89" s="21" t="s">
        <v>1987</v>
      </c>
      <c r="H89" s="21" t="s">
        <v>1988</v>
      </c>
      <c r="I89" s="21" t="s">
        <v>494</v>
      </c>
      <c r="J89" s="21" t="s">
        <v>1989</v>
      </c>
      <c r="L89" s="21" t="s">
        <v>495</v>
      </c>
      <c r="M89" s="21" t="s">
        <v>1990</v>
      </c>
      <c r="N89" s="21" t="s">
        <v>496</v>
      </c>
      <c r="O89" s="21" t="s">
        <v>69</v>
      </c>
      <c r="P89" s="21" t="s">
        <v>497</v>
      </c>
      <c r="R89" s="21" t="s">
        <v>498</v>
      </c>
      <c r="S89" s="21" t="s">
        <v>499</v>
      </c>
      <c r="V89" s="21" t="s">
        <v>500</v>
      </c>
      <c r="W89" s="21" t="s">
        <v>501</v>
      </c>
      <c r="X89" s="21" t="s">
        <v>502</v>
      </c>
      <c r="Y89" s="21" t="s">
        <v>503</v>
      </c>
      <c r="Z89" s="21">
        <v>3035437532</v>
      </c>
      <c r="AA89" s="22">
        <v>42738</v>
      </c>
      <c r="AB89" s="22">
        <v>42738</v>
      </c>
      <c r="AC89" s="21" t="s">
        <v>504</v>
      </c>
      <c r="AD89" s="21" t="s">
        <v>505</v>
      </c>
      <c r="AE89" s="21" t="s">
        <v>500</v>
      </c>
      <c r="AF89" s="21" t="s">
        <v>549</v>
      </c>
      <c r="AG89" s="21" t="s">
        <v>555</v>
      </c>
      <c r="AH89" s="21" t="s">
        <v>556</v>
      </c>
      <c r="AI89" s="21" t="s">
        <v>1991</v>
      </c>
      <c r="AJ89" s="21" t="s">
        <v>526</v>
      </c>
      <c r="AK89" s="21" t="s">
        <v>494</v>
      </c>
      <c r="AL89" s="21" t="s">
        <v>527</v>
      </c>
      <c r="AM89" s="21" t="s">
        <v>527</v>
      </c>
      <c r="AN89" s="21" t="s">
        <v>527</v>
      </c>
      <c r="AO89" s="21" t="s">
        <v>528</v>
      </c>
      <c r="AS89" s="21" t="s">
        <v>511</v>
      </c>
      <c r="AT89" s="21" t="s">
        <v>512</v>
      </c>
      <c r="AW89" s="21">
        <v>0</v>
      </c>
      <c r="AX89" s="21">
        <v>2</v>
      </c>
      <c r="BC89" s="21" t="s">
        <v>513</v>
      </c>
      <c r="BD89" s="21" t="s">
        <v>514</v>
      </c>
      <c r="BE89" s="21" t="s">
        <v>514</v>
      </c>
      <c r="BF89" s="21" t="s">
        <v>515</v>
      </c>
      <c r="BG89" s="21">
        <v>1</v>
      </c>
      <c r="BH89" s="21" t="s">
        <v>516</v>
      </c>
      <c r="BI89" s="21" t="s">
        <v>517</v>
      </c>
      <c r="BJ89" s="21" t="s">
        <v>516</v>
      </c>
      <c r="BK89" s="21" t="s">
        <v>516</v>
      </c>
      <c r="BM89" s="21" t="s">
        <v>13</v>
      </c>
      <c r="BN89" s="21" t="s">
        <v>56</v>
      </c>
      <c r="BO89" s="21" t="s">
        <v>518</v>
      </c>
      <c r="BP89" s="21" t="s">
        <v>519</v>
      </c>
      <c r="BQ89" s="21" t="s">
        <v>13</v>
      </c>
      <c r="BR89" s="21" t="s">
        <v>56</v>
      </c>
      <c r="BS89" s="21" t="s">
        <v>518</v>
      </c>
      <c r="BT89" s="21" t="s">
        <v>519</v>
      </c>
      <c r="BU89" s="21" t="s">
        <v>56</v>
      </c>
      <c r="CD89" s="21" t="s">
        <v>520</v>
      </c>
      <c r="CF89" s="21" t="s">
        <v>521</v>
      </c>
      <c r="DB89" s="21" t="s">
        <v>943</v>
      </c>
      <c r="DC89" s="21">
        <v>1</v>
      </c>
      <c r="DD89" s="21">
        <v>1</v>
      </c>
      <c r="DE89" s="22">
        <v>42742</v>
      </c>
      <c r="DF89" s="21" t="s">
        <v>1992</v>
      </c>
      <c r="DG89" s="21" t="s">
        <v>522</v>
      </c>
      <c r="DH89" s="21" t="s">
        <v>1993</v>
      </c>
      <c r="DI89" s="21" t="s">
        <v>495</v>
      </c>
      <c r="DJ89" s="21" t="s">
        <v>520</v>
      </c>
      <c r="DL89" s="21">
        <v>42750</v>
      </c>
      <c r="DM89" s="21">
        <v>42740</v>
      </c>
      <c r="DN89" s="21">
        <v>3100</v>
      </c>
      <c r="DO89" s="21">
        <v>9</v>
      </c>
      <c r="DP89" s="21">
        <v>1</v>
      </c>
      <c r="DQ89" s="21">
        <v>1</v>
      </c>
      <c r="DR89" s="21">
        <v>6</v>
      </c>
      <c r="DS89" s="21">
        <v>9</v>
      </c>
      <c r="DT89" s="21">
        <v>9</v>
      </c>
      <c r="DU89" s="21">
        <v>9</v>
      </c>
      <c r="DW89" s="21">
        <v>9</v>
      </c>
      <c r="EA89" s="21">
        <v>1</v>
      </c>
      <c r="EB89" s="21" t="s">
        <v>1994</v>
      </c>
      <c r="EC89" s="21" t="s">
        <v>1995</v>
      </c>
      <c r="EF89" s="25">
        <v>0</v>
      </c>
      <c r="EG89" s="25">
        <v>1</v>
      </c>
      <c r="EH89" s="25">
        <v>1</v>
      </c>
      <c r="EI89" s="25">
        <v>0</v>
      </c>
      <c r="EJ89" s="25" t="s">
        <v>62</v>
      </c>
      <c r="EK89" s="25" t="s">
        <v>57</v>
      </c>
      <c r="EL89" s="25" t="s">
        <v>57</v>
      </c>
      <c r="EM89" s="25" t="s">
        <v>276</v>
      </c>
      <c r="EN89" s="25" t="s">
        <v>9</v>
      </c>
      <c r="EO89" s="25" t="s">
        <v>9</v>
      </c>
      <c r="EP89" s="25" t="s">
        <v>62</v>
      </c>
      <c r="EQ89" s="25" t="s">
        <v>62</v>
      </c>
      <c r="ER89" s="25" t="s">
        <v>278</v>
      </c>
      <c r="ES89" s="25" t="s">
        <v>278</v>
      </c>
      <c r="ET89" s="25">
        <v>1</v>
      </c>
      <c r="EU89" s="25" t="s">
        <v>522</v>
      </c>
      <c r="EV89" s="25" t="s">
        <v>57</v>
      </c>
      <c r="EW89" s="25" t="s">
        <v>9</v>
      </c>
      <c r="EX89" s="25" t="s">
        <v>278</v>
      </c>
      <c r="EY89" s="20" t="e">
        <v>#N/A</v>
      </c>
    </row>
    <row r="90" spans="1:155">
      <c r="A90" s="21" t="s">
        <v>491</v>
      </c>
      <c r="B90" s="21" t="s">
        <v>491</v>
      </c>
      <c r="C90" s="21" t="s">
        <v>492</v>
      </c>
      <c r="D90" s="21" t="s">
        <v>493</v>
      </c>
      <c r="E90" s="21" t="s">
        <v>493</v>
      </c>
      <c r="F90" s="21" t="s">
        <v>493</v>
      </c>
      <c r="G90" s="21" t="s">
        <v>1996</v>
      </c>
      <c r="H90" s="21" t="s">
        <v>1997</v>
      </c>
      <c r="I90" s="21" t="s">
        <v>494</v>
      </c>
      <c r="J90" s="21" t="s">
        <v>1998</v>
      </c>
      <c r="L90" s="21" t="s">
        <v>495</v>
      </c>
      <c r="M90" s="21" t="s">
        <v>1999</v>
      </c>
      <c r="N90" s="21" t="s">
        <v>2000</v>
      </c>
      <c r="O90" s="21" t="s">
        <v>93</v>
      </c>
      <c r="P90" s="21" t="s">
        <v>539</v>
      </c>
      <c r="R90" s="21" t="s">
        <v>2001</v>
      </c>
      <c r="S90" s="21" t="s">
        <v>1303</v>
      </c>
      <c r="V90" s="21" t="s">
        <v>277</v>
      </c>
      <c r="W90" s="21" t="s">
        <v>524</v>
      </c>
      <c r="X90" s="21" t="s">
        <v>525</v>
      </c>
      <c r="Y90" s="21" t="s">
        <v>530</v>
      </c>
      <c r="Z90" s="21">
        <v>3035327120</v>
      </c>
      <c r="AA90" s="22">
        <v>42733</v>
      </c>
      <c r="AB90" s="22">
        <v>42738</v>
      </c>
      <c r="AC90" s="21" t="s">
        <v>504</v>
      </c>
      <c r="AD90" s="21" t="s">
        <v>505</v>
      </c>
      <c r="AE90" s="21" t="s">
        <v>1156</v>
      </c>
      <c r="AF90" s="21" t="s">
        <v>1505</v>
      </c>
      <c r="AG90" s="21" t="s">
        <v>2002</v>
      </c>
      <c r="AH90" s="21" t="s">
        <v>2003</v>
      </c>
      <c r="AI90" s="21" t="s">
        <v>2004</v>
      </c>
      <c r="AJ90" s="21" t="s">
        <v>507</v>
      </c>
      <c r="AK90" s="21" t="s">
        <v>494</v>
      </c>
      <c r="AL90" s="21" t="s">
        <v>527</v>
      </c>
      <c r="AM90" s="21" t="s">
        <v>527</v>
      </c>
      <c r="AN90" s="21" t="s">
        <v>527</v>
      </c>
      <c r="AO90" s="21" t="s">
        <v>528</v>
      </c>
      <c r="AS90" s="21" t="s">
        <v>511</v>
      </c>
      <c r="AT90" s="21" t="s">
        <v>512</v>
      </c>
      <c r="AW90" s="21">
        <v>0</v>
      </c>
      <c r="AX90" s="21">
        <v>0</v>
      </c>
      <c r="BC90" s="21" t="s">
        <v>513</v>
      </c>
      <c r="BD90" s="21" t="s">
        <v>514</v>
      </c>
      <c r="BE90" s="21" t="s">
        <v>514</v>
      </c>
      <c r="BF90" s="21" t="s">
        <v>1351</v>
      </c>
      <c r="BG90" s="21">
        <v>1</v>
      </c>
      <c r="BH90" s="21" t="s">
        <v>516</v>
      </c>
      <c r="BI90" s="21" t="s">
        <v>517</v>
      </c>
      <c r="BJ90" s="21" t="s">
        <v>516</v>
      </c>
      <c r="BK90" s="21" t="s">
        <v>516</v>
      </c>
      <c r="BM90" s="21" t="s">
        <v>281</v>
      </c>
      <c r="BN90" s="21" t="s">
        <v>142</v>
      </c>
      <c r="BO90" s="21" t="s">
        <v>518</v>
      </c>
      <c r="BP90" s="21" t="s">
        <v>519</v>
      </c>
      <c r="BQ90" s="21" t="s">
        <v>281</v>
      </c>
      <c r="BR90" s="21" t="s">
        <v>142</v>
      </c>
      <c r="BS90" s="21" t="s">
        <v>518</v>
      </c>
      <c r="BT90" s="21" t="s">
        <v>519</v>
      </c>
      <c r="BU90" s="21" t="s">
        <v>142</v>
      </c>
      <c r="CD90" s="21" t="s">
        <v>520</v>
      </c>
      <c r="CF90" s="21" t="s">
        <v>521</v>
      </c>
      <c r="DB90" s="21" t="s">
        <v>943</v>
      </c>
      <c r="DC90" s="21">
        <v>1</v>
      </c>
      <c r="DD90" s="21">
        <v>1</v>
      </c>
      <c r="DE90" s="22">
        <v>42742</v>
      </c>
      <c r="DF90" s="21" t="s">
        <v>2005</v>
      </c>
      <c r="DG90" s="21" t="s">
        <v>522</v>
      </c>
      <c r="DH90" s="21" t="s">
        <v>2006</v>
      </c>
      <c r="DI90" s="21" t="s">
        <v>495</v>
      </c>
      <c r="DJ90" s="21" t="s">
        <v>520</v>
      </c>
      <c r="DL90" s="21">
        <v>42750</v>
      </c>
      <c r="DM90" s="21">
        <v>42740</v>
      </c>
      <c r="DN90" s="21">
        <v>1100</v>
      </c>
      <c r="DO90" s="21">
        <v>10</v>
      </c>
      <c r="DP90" s="21">
        <v>1</v>
      </c>
      <c r="DQ90" s="21">
        <v>2</v>
      </c>
      <c r="DR90" s="21">
        <v>7</v>
      </c>
      <c r="DS90" s="21">
        <v>10</v>
      </c>
      <c r="DT90" s="21">
        <v>10</v>
      </c>
      <c r="DU90" s="21">
        <v>10</v>
      </c>
      <c r="DW90" s="21">
        <v>10</v>
      </c>
      <c r="EA90" s="21">
        <v>10</v>
      </c>
      <c r="EB90" s="21" t="s">
        <v>2007</v>
      </c>
      <c r="EC90" s="21" t="s">
        <v>2008</v>
      </c>
      <c r="EF90" s="25">
        <v>1</v>
      </c>
      <c r="EG90" s="25">
        <v>0</v>
      </c>
      <c r="EH90" s="25">
        <v>1</v>
      </c>
      <c r="EI90" s="25">
        <v>0</v>
      </c>
      <c r="EJ90" s="25" t="s">
        <v>92</v>
      </c>
      <c r="EK90" s="25" t="s">
        <v>143</v>
      </c>
      <c r="EL90" s="25" t="s">
        <v>143</v>
      </c>
      <c r="EM90" s="25" t="s">
        <v>276</v>
      </c>
      <c r="EN90" s="25" t="s">
        <v>51</v>
      </c>
      <c r="EO90" s="25" t="s">
        <v>51</v>
      </c>
      <c r="EP90" s="25" t="s">
        <v>1355</v>
      </c>
      <c r="EQ90" s="25" t="s">
        <v>1355</v>
      </c>
      <c r="ER90" s="25" t="s">
        <v>278</v>
      </c>
      <c r="ES90" s="25" t="s">
        <v>278</v>
      </c>
      <c r="ET90" s="25">
        <v>1</v>
      </c>
      <c r="EU90" s="25" t="s">
        <v>522</v>
      </c>
      <c r="EV90" s="25" t="s">
        <v>143</v>
      </c>
      <c r="EW90" s="25" t="s">
        <v>51</v>
      </c>
      <c r="EX90" s="25" t="s">
        <v>278</v>
      </c>
      <c r="EY90" s="20" t="e">
        <v>#N/A</v>
      </c>
    </row>
    <row r="91" spans="1:155">
      <c r="A91" s="21" t="s">
        <v>491</v>
      </c>
      <c r="B91" s="21" t="s">
        <v>491</v>
      </c>
      <c r="C91" s="21" t="s">
        <v>492</v>
      </c>
      <c r="D91" s="21" t="s">
        <v>493</v>
      </c>
      <c r="E91" s="21" t="s">
        <v>493</v>
      </c>
      <c r="F91" s="21" t="s">
        <v>493</v>
      </c>
      <c r="G91" s="21" t="s">
        <v>1704</v>
      </c>
      <c r="H91" s="21">
        <v>1932692900</v>
      </c>
      <c r="I91" s="21" t="s">
        <v>494</v>
      </c>
      <c r="J91" s="21" t="s">
        <v>1705</v>
      </c>
      <c r="L91" s="21" t="s">
        <v>495</v>
      </c>
      <c r="M91" s="21" t="s">
        <v>1706</v>
      </c>
      <c r="N91" s="21" t="s">
        <v>1707</v>
      </c>
      <c r="O91" s="21" t="s">
        <v>100</v>
      </c>
      <c r="P91" s="21" t="s">
        <v>1187</v>
      </c>
      <c r="Q91" s="21" t="s">
        <v>1168</v>
      </c>
      <c r="R91" s="21" t="s">
        <v>1708</v>
      </c>
      <c r="S91" s="21" t="s">
        <v>1709</v>
      </c>
      <c r="V91" s="21" t="s">
        <v>277</v>
      </c>
      <c r="W91" s="21" t="s">
        <v>524</v>
      </c>
      <c r="X91" s="21" t="s">
        <v>525</v>
      </c>
      <c r="Y91" s="21" t="s">
        <v>1190</v>
      </c>
      <c r="Z91" s="21">
        <v>3035438302</v>
      </c>
      <c r="AA91" s="22">
        <v>42738</v>
      </c>
      <c r="AB91" s="22">
        <v>42738</v>
      </c>
      <c r="AC91" s="21" t="s">
        <v>504</v>
      </c>
      <c r="AD91" s="21" t="s">
        <v>505</v>
      </c>
      <c r="AE91" s="21" t="s">
        <v>1054</v>
      </c>
      <c r="AF91" s="21" t="s">
        <v>1105</v>
      </c>
      <c r="AG91" s="21" t="s">
        <v>1710</v>
      </c>
      <c r="AH91" s="21" t="s">
        <v>1711</v>
      </c>
      <c r="AI91" s="21" t="s">
        <v>1443</v>
      </c>
      <c r="AJ91" s="21" t="s">
        <v>526</v>
      </c>
      <c r="AK91" s="21" t="s">
        <v>494</v>
      </c>
      <c r="AL91" s="21" t="s">
        <v>527</v>
      </c>
      <c r="AM91" s="21" t="s">
        <v>527</v>
      </c>
      <c r="AN91" s="21" t="s">
        <v>527</v>
      </c>
      <c r="AO91" s="21" t="s">
        <v>528</v>
      </c>
      <c r="AS91" s="21" t="s">
        <v>511</v>
      </c>
      <c r="AT91" s="21" t="s">
        <v>512</v>
      </c>
      <c r="AW91" s="21">
        <v>0</v>
      </c>
      <c r="AX91" s="21">
        <v>4</v>
      </c>
      <c r="BC91" s="21" t="s">
        <v>513</v>
      </c>
      <c r="BD91" s="21" t="s">
        <v>514</v>
      </c>
      <c r="BE91" s="21" t="s">
        <v>514</v>
      </c>
      <c r="BF91" s="21" t="s">
        <v>515</v>
      </c>
      <c r="BG91" s="21">
        <v>1</v>
      </c>
      <c r="BH91" s="21" t="s">
        <v>516</v>
      </c>
      <c r="BI91" s="21" t="s">
        <v>517</v>
      </c>
      <c r="BJ91" s="21" t="s">
        <v>516</v>
      </c>
      <c r="BK91" s="21" t="s">
        <v>516</v>
      </c>
      <c r="BM91" s="21" t="s">
        <v>40</v>
      </c>
      <c r="BN91" s="21" t="s">
        <v>240</v>
      </c>
      <c r="BO91" s="21" t="s">
        <v>518</v>
      </c>
      <c r="BP91" s="21" t="s">
        <v>1044</v>
      </c>
      <c r="BQ91" s="21" t="s">
        <v>40</v>
      </c>
      <c r="BR91" s="21" t="s">
        <v>240</v>
      </c>
      <c r="BS91" s="21" t="s">
        <v>518</v>
      </c>
      <c r="BT91" s="21" t="s">
        <v>1044</v>
      </c>
      <c r="BU91" s="21" t="s">
        <v>240</v>
      </c>
      <c r="CD91" s="21" t="s">
        <v>520</v>
      </c>
      <c r="CF91" s="21" t="s">
        <v>521</v>
      </c>
      <c r="DB91" s="21" t="s">
        <v>943</v>
      </c>
      <c r="DC91" s="21">
        <v>1</v>
      </c>
      <c r="DD91" s="21">
        <v>1</v>
      </c>
      <c r="DE91" s="22">
        <v>42742</v>
      </c>
      <c r="DF91" s="21" t="s">
        <v>1712</v>
      </c>
      <c r="DG91" s="21" t="s">
        <v>522</v>
      </c>
      <c r="DH91" s="21" t="s">
        <v>1713</v>
      </c>
      <c r="DI91" s="21" t="s">
        <v>495</v>
      </c>
      <c r="DJ91" s="21" t="s">
        <v>520</v>
      </c>
      <c r="DL91" s="21">
        <v>42750</v>
      </c>
      <c r="DM91" s="21">
        <v>42740</v>
      </c>
      <c r="DN91" s="21">
        <v>1100</v>
      </c>
      <c r="DO91" s="21">
        <v>10</v>
      </c>
      <c r="DP91" s="21">
        <v>1</v>
      </c>
      <c r="DQ91" s="21">
        <v>1</v>
      </c>
      <c r="DR91" s="21">
        <v>7</v>
      </c>
      <c r="DS91" s="21">
        <v>10</v>
      </c>
      <c r="DT91" s="21">
        <v>10</v>
      </c>
      <c r="DU91" s="21">
        <v>10</v>
      </c>
      <c r="DW91" s="21">
        <v>10</v>
      </c>
      <c r="EA91" s="21">
        <v>10</v>
      </c>
      <c r="EB91" s="21" t="s">
        <v>1714</v>
      </c>
      <c r="EC91" s="21" t="s">
        <v>1221</v>
      </c>
      <c r="EF91" s="25">
        <v>1</v>
      </c>
      <c r="EG91" s="25">
        <v>0</v>
      </c>
      <c r="EH91" s="25">
        <v>1</v>
      </c>
      <c r="EI91" s="25">
        <v>0</v>
      </c>
      <c r="EJ91" s="25" t="s">
        <v>92</v>
      </c>
      <c r="EK91" s="25" t="s">
        <v>241</v>
      </c>
      <c r="EL91" s="25" t="s">
        <v>241</v>
      </c>
      <c r="EM91" s="25" t="s">
        <v>276</v>
      </c>
      <c r="EN91" s="25" t="s">
        <v>39</v>
      </c>
      <c r="EO91" s="25" t="s">
        <v>39</v>
      </c>
      <c r="EP91" s="25" t="s">
        <v>92</v>
      </c>
      <c r="EQ91" s="25" t="s">
        <v>92</v>
      </c>
      <c r="ER91" s="25" t="s">
        <v>278</v>
      </c>
      <c r="ES91" s="25" t="s">
        <v>278</v>
      </c>
      <c r="ET91" s="25">
        <v>1</v>
      </c>
      <c r="EU91" s="25" t="s">
        <v>522</v>
      </c>
      <c r="EV91" s="25" t="s">
        <v>241</v>
      </c>
      <c r="EW91" s="25" t="s">
        <v>39</v>
      </c>
      <c r="EX91" s="25" t="s">
        <v>278</v>
      </c>
      <c r="EY91" s="20" t="e">
        <v>#N/A</v>
      </c>
    </row>
    <row r="92" spans="1:155">
      <c r="A92" s="21" t="s">
        <v>491</v>
      </c>
      <c r="B92" s="21" t="s">
        <v>491</v>
      </c>
      <c r="C92" s="21" t="s">
        <v>492</v>
      </c>
      <c r="D92" s="21" t="s">
        <v>493</v>
      </c>
      <c r="E92" s="21" t="s">
        <v>493</v>
      </c>
      <c r="F92" s="21" t="s">
        <v>493</v>
      </c>
      <c r="G92" s="21" t="s">
        <v>1715</v>
      </c>
      <c r="H92" s="21" t="s">
        <v>1716</v>
      </c>
      <c r="I92" s="21" t="s">
        <v>494</v>
      </c>
      <c r="J92" s="21" t="s">
        <v>1717</v>
      </c>
      <c r="L92" s="21" t="s">
        <v>495</v>
      </c>
      <c r="M92" s="21" t="s">
        <v>1718</v>
      </c>
      <c r="N92" s="21" t="s">
        <v>496</v>
      </c>
      <c r="O92" s="21" t="s">
        <v>69</v>
      </c>
      <c r="P92" s="21" t="s">
        <v>497</v>
      </c>
      <c r="R92" s="21" t="s">
        <v>498</v>
      </c>
      <c r="S92" s="21" t="s">
        <v>499</v>
      </c>
      <c r="V92" s="21" t="s">
        <v>500</v>
      </c>
      <c r="W92" s="21" t="s">
        <v>501</v>
      </c>
      <c r="X92" s="21" t="s">
        <v>502</v>
      </c>
      <c r="Y92" s="21" t="s">
        <v>503</v>
      </c>
      <c r="Z92" s="21">
        <v>3035445203</v>
      </c>
      <c r="AA92" s="22">
        <v>42738</v>
      </c>
      <c r="AB92" s="22">
        <v>42738</v>
      </c>
      <c r="AC92" s="21" t="s">
        <v>504</v>
      </c>
      <c r="AD92" s="21" t="s">
        <v>505</v>
      </c>
      <c r="AE92" s="21" t="s">
        <v>500</v>
      </c>
      <c r="AF92" s="21" t="s">
        <v>549</v>
      </c>
      <c r="AG92" s="21" t="s">
        <v>555</v>
      </c>
      <c r="AH92" s="21" t="s">
        <v>556</v>
      </c>
      <c r="AI92" s="21" t="s">
        <v>1342</v>
      </c>
      <c r="AJ92" s="21" t="s">
        <v>526</v>
      </c>
      <c r="AK92" s="21" t="s">
        <v>494</v>
      </c>
      <c r="AL92" s="21" t="s">
        <v>527</v>
      </c>
      <c r="AM92" s="21" t="s">
        <v>527</v>
      </c>
      <c r="AN92" s="21" t="s">
        <v>527</v>
      </c>
      <c r="AO92" s="21" t="s">
        <v>528</v>
      </c>
      <c r="AS92" s="21" t="s">
        <v>511</v>
      </c>
      <c r="AT92" s="21" t="s">
        <v>512</v>
      </c>
      <c r="AW92" s="21">
        <v>0</v>
      </c>
      <c r="AX92" s="21">
        <v>2</v>
      </c>
      <c r="BC92" s="21" t="s">
        <v>513</v>
      </c>
      <c r="BD92" s="21" t="s">
        <v>514</v>
      </c>
      <c r="BE92" s="21" t="s">
        <v>514</v>
      </c>
      <c r="BF92" s="21" t="s">
        <v>515</v>
      </c>
      <c r="BG92" s="21">
        <v>1</v>
      </c>
      <c r="BH92" s="21" t="s">
        <v>516</v>
      </c>
      <c r="BI92" s="21" t="s">
        <v>517</v>
      </c>
      <c r="BJ92" s="21" t="s">
        <v>516</v>
      </c>
      <c r="BK92" s="21" t="s">
        <v>516</v>
      </c>
      <c r="BM92" s="21" t="s">
        <v>55</v>
      </c>
      <c r="BN92" s="21" t="s">
        <v>137</v>
      </c>
      <c r="BO92" s="21" t="s">
        <v>518</v>
      </c>
      <c r="BP92" s="21" t="s">
        <v>519</v>
      </c>
      <c r="BQ92" s="21" t="s">
        <v>55</v>
      </c>
      <c r="BR92" s="21" t="s">
        <v>137</v>
      </c>
      <c r="BS92" s="21" t="s">
        <v>518</v>
      </c>
      <c r="BT92" s="21" t="s">
        <v>519</v>
      </c>
      <c r="BU92" s="21" t="s">
        <v>137</v>
      </c>
      <c r="CD92" s="21" t="s">
        <v>520</v>
      </c>
      <c r="CF92" s="21" t="s">
        <v>521</v>
      </c>
      <c r="DB92" s="21" t="s">
        <v>943</v>
      </c>
      <c r="DC92" s="21">
        <v>1</v>
      </c>
      <c r="DD92" s="21">
        <v>1</v>
      </c>
      <c r="DE92" s="22">
        <v>42742</v>
      </c>
      <c r="DF92" s="21" t="s">
        <v>1719</v>
      </c>
      <c r="DG92" s="21" t="s">
        <v>522</v>
      </c>
      <c r="DH92" s="21" t="s">
        <v>1720</v>
      </c>
      <c r="DI92" s="21" t="s">
        <v>495</v>
      </c>
      <c r="DJ92" s="21" t="s">
        <v>520</v>
      </c>
      <c r="DL92" s="21">
        <v>42750</v>
      </c>
      <c r="DM92" s="21">
        <v>42740</v>
      </c>
      <c r="DN92" s="21">
        <v>3100</v>
      </c>
      <c r="DO92" s="21">
        <v>10</v>
      </c>
      <c r="DP92" s="21">
        <v>1</v>
      </c>
      <c r="DQ92" s="21">
        <v>1</v>
      </c>
      <c r="DR92" s="21">
        <v>7</v>
      </c>
      <c r="DS92" s="21">
        <v>10</v>
      </c>
      <c r="DT92" s="21">
        <v>10</v>
      </c>
      <c r="DU92" s="21">
        <v>10</v>
      </c>
      <c r="DW92" s="21">
        <v>10</v>
      </c>
      <c r="EA92" s="21">
        <v>10</v>
      </c>
      <c r="EF92" s="25">
        <v>1</v>
      </c>
      <c r="EG92" s="25">
        <v>0</v>
      </c>
      <c r="EH92" s="25">
        <v>1</v>
      </c>
      <c r="EI92" s="25">
        <v>0</v>
      </c>
      <c r="EJ92" s="25" t="s">
        <v>62</v>
      </c>
      <c r="EK92" s="25" t="s">
        <v>138</v>
      </c>
      <c r="EL92" s="25" t="s">
        <v>138</v>
      </c>
      <c r="EM92" s="25" t="s">
        <v>276</v>
      </c>
      <c r="EN92" s="25" t="s">
        <v>23</v>
      </c>
      <c r="EO92" s="25" t="s">
        <v>23</v>
      </c>
      <c r="EP92" s="25" t="s">
        <v>62</v>
      </c>
      <c r="EQ92" s="25" t="s">
        <v>62</v>
      </c>
      <c r="ER92" s="25" t="s">
        <v>278</v>
      </c>
      <c r="ES92" s="25" t="s">
        <v>278</v>
      </c>
      <c r="ET92" s="25">
        <v>1</v>
      </c>
      <c r="EU92" s="25" t="s">
        <v>522</v>
      </c>
      <c r="EV92" s="25" t="s">
        <v>138</v>
      </c>
      <c r="EW92" s="25" t="s">
        <v>23</v>
      </c>
      <c r="EX92" s="25" t="s">
        <v>278</v>
      </c>
      <c r="EY92" s="20" t="e">
        <v>#N/A</v>
      </c>
    </row>
    <row r="93" spans="1:155">
      <c r="A93" s="21" t="s">
        <v>491</v>
      </c>
      <c r="B93" s="21" t="s">
        <v>491</v>
      </c>
      <c r="C93" s="21" t="s">
        <v>492</v>
      </c>
      <c r="D93" s="21" t="s">
        <v>493</v>
      </c>
      <c r="E93" s="21" t="s">
        <v>493</v>
      </c>
      <c r="F93" s="21" t="s">
        <v>493</v>
      </c>
      <c r="G93" s="21" t="s">
        <v>1721</v>
      </c>
      <c r="H93" s="21">
        <v>1137740701</v>
      </c>
      <c r="I93" s="21" t="s">
        <v>494</v>
      </c>
      <c r="J93" s="21" t="s">
        <v>1722</v>
      </c>
      <c r="L93" s="21" t="s">
        <v>495</v>
      </c>
      <c r="M93" s="21" t="s">
        <v>1723</v>
      </c>
      <c r="N93" s="21" t="s">
        <v>1724</v>
      </c>
      <c r="O93" s="21" t="s">
        <v>79</v>
      </c>
      <c r="P93" s="21" t="s">
        <v>570</v>
      </c>
      <c r="R93" s="21" t="s">
        <v>1725</v>
      </c>
      <c r="S93" s="21" t="s">
        <v>1726</v>
      </c>
      <c r="V93" s="21" t="s">
        <v>500</v>
      </c>
      <c r="W93" s="21" t="s">
        <v>501</v>
      </c>
      <c r="X93" s="21" t="s">
        <v>502</v>
      </c>
      <c r="Y93" s="21" t="s">
        <v>503</v>
      </c>
      <c r="Z93" s="21">
        <v>3035435590</v>
      </c>
      <c r="AA93" s="22">
        <v>42738</v>
      </c>
      <c r="AB93" s="22">
        <v>42739</v>
      </c>
      <c r="AC93" s="21" t="s">
        <v>504</v>
      </c>
      <c r="AD93" s="21" t="s">
        <v>512</v>
      </c>
      <c r="AE93" s="21" t="s">
        <v>1054</v>
      </c>
      <c r="AF93" s="21" t="s">
        <v>1727</v>
      </c>
      <c r="AG93" s="21" t="s">
        <v>1728</v>
      </c>
      <c r="AH93" s="21" t="s">
        <v>1729</v>
      </c>
      <c r="AI93" s="21" t="s">
        <v>1730</v>
      </c>
      <c r="AJ93" s="21" t="s">
        <v>1109</v>
      </c>
      <c r="AK93" s="21" t="s">
        <v>494</v>
      </c>
      <c r="AL93" s="21" t="s">
        <v>508</v>
      </c>
      <c r="AM93" s="21" t="s">
        <v>509</v>
      </c>
      <c r="AN93" s="21" t="s">
        <v>509</v>
      </c>
      <c r="AO93" s="21" t="s">
        <v>510</v>
      </c>
      <c r="AS93" s="21" t="s">
        <v>511</v>
      </c>
      <c r="AT93" s="21" t="s">
        <v>532</v>
      </c>
      <c r="AX93" s="21">
        <v>3</v>
      </c>
      <c r="BC93" s="21" t="s">
        <v>513</v>
      </c>
      <c r="BD93" s="21" t="s">
        <v>514</v>
      </c>
      <c r="BE93" s="21" t="s">
        <v>514</v>
      </c>
      <c r="BF93" s="21" t="s">
        <v>515</v>
      </c>
      <c r="BG93" s="21">
        <v>1</v>
      </c>
      <c r="BH93" s="21" t="s">
        <v>516</v>
      </c>
      <c r="BI93" s="21" t="s">
        <v>517</v>
      </c>
      <c r="BJ93" s="21" t="s">
        <v>516</v>
      </c>
      <c r="BK93" s="21" t="s">
        <v>516</v>
      </c>
      <c r="BN93" s="21" t="s">
        <v>145</v>
      </c>
      <c r="BR93" s="21" t="s">
        <v>1731</v>
      </c>
      <c r="BT93" s="21" t="s">
        <v>1732</v>
      </c>
      <c r="BU93" s="21" t="s">
        <v>145</v>
      </c>
      <c r="CD93" s="21" t="s">
        <v>520</v>
      </c>
      <c r="CF93" s="21" t="s">
        <v>534</v>
      </c>
      <c r="CG93" s="21" t="s">
        <v>515</v>
      </c>
      <c r="CH93" s="21" t="s">
        <v>535</v>
      </c>
      <c r="CI93" s="21" t="s">
        <v>1419</v>
      </c>
      <c r="CJ93" s="21" t="s">
        <v>1733</v>
      </c>
      <c r="CL93" s="21" t="s">
        <v>1734</v>
      </c>
      <c r="CM93" s="21">
        <v>3035443734</v>
      </c>
      <c r="CN93" s="21">
        <v>42738</v>
      </c>
      <c r="CO93" s="21" t="s">
        <v>537</v>
      </c>
      <c r="CP93" s="21" t="s">
        <v>516</v>
      </c>
      <c r="CR93" s="21" t="s">
        <v>1526</v>
      </c>
      <c r="CS93" s="21" t="s">
        <v>516</v>
      </c>
      <c r="CU93" s="21" t="s">
        <v>1735</v>
      </c>
      <c r="CV93" s="21" t="s">
        <v>1735</v>
      </c>
      <c r="CW93" s="21" t="s">
        <v>541</v>
      </c>
      <c r="CX93" s="21" t="s">
        <v>861</v>
      </c>
      <c r="CY93" s="21" t="s">
        <v>516</v>
      </c>
      <c r="CZ93" s="21" t="s">
        <v>1732</v>
      </c>
      <c r="DA93" s="21" t="s">
        <v>516</v>
      </c>
      <c r="DB93" s="21" t="s">
        <v>943</v>
      </c>
      <c r="DC93" s="21">
        <v>1</v>
      </c>
      <c r="DD93" s="21">
        <v>1</v>
      </c>
      <c r="DE93" s="22">
        <v>42742</v>
      </c>
      <c r="DF93" s="21" t="s">
        <v>1521</v>
      </c>
      <c r="DG93" s="21" t="s">
        <v>538</v>
      </c>
      <c r="DH93" s="21" t="s">
        <v>1736</v>
      </c>
      <c r="DI93" s="21" t="s">
        <v>495</v>
      </c>
      <c r="DJ93" s="21" t="s">
        <v>520</v>
      </c>
      <c r="DL93" s="21">
        <v>42751</v>
      </c>
      <c r="DM93" s="21">
        <v>42741</v>
      </c>
      <c r="DN93" s="21">
        <v>3100</v>
      </c>
      <c r="DO93" s="21">
        <v>0</v>
      </c>
      <c r="DP93" s="21">
        <v>2</v>
      </c>
      <c r="DQ93" s="21">
        <v>2</v>
      </c>
      <c r="DR93" s="21">
        <v>1</v>
      </c>
      <c r="DS93" s="21">
        <v>99</v>
      </c>
      <c r="DT93" s="21">
        <v>3</v>
      </c>
      <c r="DU93" s="21">
        <v>7</v>
      </c>
      <c r="DW93" s="21">
        <v>0</v>
      </c>
      <c r="DY93" s="21">
        <v>7</v>
      </c>
      <c r="EA93" s="21">
        <v>0</v>
      </c>
      <c r="EB93" s="21" t="s">
        <v>1737</v>
      </c>
      <c r="EC93" s="21" t="s">
        <v>1738</v>
      </c>
      <c r="EF93" s="25">
        <v>0</v>
      </c>
      <c r="EG93" s="25">
        <v>1</v>
      </c>
      <c r="EH93" s="25">
        <v>0</v>
      </c>
      <c r="EI93" s="25">
        <v>1</v>
      </c>
      <c r="EJ93" s="25" t="s">
        <v>62</v>
      </c>
      <c r="EK93" s="25" t="s">
        <v>146</v>
      </c>
      <c r="EL93" s="25" t="s">
        <v>646</v>
      </c>
      <c r="EM93" s="25" t="s">
        <v>276</v>
      </c>
      <c r="EN93" s="25" t="s">
        <v>31</v>
      </c>
      <c r="EO93" s="25" t="s">
        <v>271</v>
      </c>
      <c r="EP93" s="25" t="s">
        <v>92</v>
      </c>
      <c r="EQ93" s="25" t="s">
        <v>65</v>
      </c>
      <c r="ER93" s="25" t="s">
        <v>278</v>
      </c>
      <c r="ES93" s="25" t="s">
        <v>278</v>
      </c>
      <c r="ET93" s="25">
        <v>1</v>
      </c>
      <c r="EU93" s="25" t="s">
        <v>522</v>
      </c>
      <c r="EV93" s="25" t="s">
        <v>279</v>
      </c>
      <c r="EW93" s="25" t="s">
        <v>279</v>
      </c>
      <c r="EX93" s="25" t="s">
        <v>279</v>
      </c>
      <c r="EY93" s="20" t="e">
        <v>#N/A</v>
      </c>
    </row>
    <row r="94" spans="1:155">
      <c r="A94" s="21" t="s">
        <v>491</v>
      </c>
      <c r="B94" s="21" t="s">
        <v>491</v>
      </c>
      <c r="C94" s="21" t="s">
        <v>492</v>
      </c>
      <c r="D94" s="21" t="s">
        <v>493</v>
      </c>
      <c r="E94" s="21" t="s">
        <v>493</v>
      </c>
      <c r="F94" s="21" t="s">
        <v>493</v>
      </c>
      <c r="G94" s="21" t="s">
        <v>2129</v>
      </c>
      <c r="H94" s="21" t="s">
        <v>2130</v>
      </c>
      <c r="I94" s="21">
        <v>19994565972</v>
      </c>
      <c r="J94" s="21" t="s">
        <v>2131</v>
      </c>
      <c r="L94" s="21" t="s">
        <v>495</v>
      </c>
      <c r="M94" s="21" t="s">
        <v>2132</v>
      </c>
      <c r="N94" s="21" t="s">
        <v>1634</v>
      </c>
      <c r="O94" s="21" t="s">
        <v>144</v>
      </c>
      <c r="P94" s="21" t="s">
        <v>1635</v>
      </c>
      <c r="R94" s="21" t="s">
        <v>1816</v>
      </c>
      <c r="S94" s="21" t="s">
        <v>1637</v>
      </c>
      <c r="V94" s="21" t="s">
        <v>500</v>
      </c>
      <c r="W94" s="21" t="s">
        <v>501</v>
      </c>
      <c r="X94" s="21" t="s">
        <v>502</v>
      </c>
      <c r="Y94" s="21" t="s">
        <v>554</v>
      </c>
      <c r="Z94" s="21">
        <v>3035469849</v>
      </c>
      <c r="AA94" s="22">
        <v>42739</v>
      </c>
      <c r="AB94" s="22">
        <v>42739</v>
      </c>
      <c r="AC94" s="21" t="s">
        <v>504</v>
      </c>
      <c r="AD94" s="21" t="s">
        <v>505</v>
      </c>
      <c r="AE94" s="21" t="s">
        <v>500</v>
      </c>
      <c r="AF94" s="21" t="s">
        <v>549</v>
      </c>
      <c r="AG94" s="21" t="s">
        <v>555</v>
      </c>
      <c r="AH94" s="21" t="s">
        <v>556</v>
      </c>
      <c r="AI94" s="21" t="s">
        <v>1342</v>
      </c>
      <c r="AJ94" s="21" t="s">
        <v>526</v>
      </c>
      <c r="AK94" s="21" t="s">
        <v>494</v>
      </c>
      <c r="AL94" s="21" t="s">
        <v>527</v>
      </c>
      <c r="AM94" s="21" t="s">
        <v>527</v>
      </c>
      <c r="AN94" s="21" t="s">
        <v>527</v>
      </c>
      <c r="AO94" s="21" t="s">
        <v>528</v>
      </c>
      <c r="AS94" s="21" t="s">
        <v>511</v>
      </c>
      <c r="AT94" s="21" t="s">
        <v>512</v>
      </c>
      <c r="AW94" s="21">
        <v>0</v>
      </c>
      <c r="AX94" s="21">
        <v>3</v>
      </c>
      <c r="BC94" s="21" t="s">
        <v>513</v>
      </c>
      <c r="BD94" s="21" t="s">
        <v>514</v>
      </c>
      <c r="BE94" s="21" t="s">
        <v>514</v>
      </c>
      <c r="BF94" s="21" t="s">
        <v>515</v>
      </c>
      <c r="BG94" s="21">
        <v>1</v>
      </c>
      <c r="BH94" s="21" t="s">
        <v>516</v>
      </c>
      <c r="BI94" s="21" t="s">
        <v>517</v>
      </c>
      <c r="BJ94" s="21" t="s">
        <v>516</v>
      </c>
      <c r="BK94" s="21" t="s">
        <v>516</v>
      </c>
      <c r="BM94" s="21" t="s">
        <v>585</v>
      </c>
      <c r="BN94" s="21" t="s">
        <v>262</v>
      </c>
      <c r="BO94" s="21" t="s">
        <v>518</v>
      </c>
      <c r="BP94" s="21" t="s">
        <v>519</v>
      </c>
      <c r="BQ94" s="21" t="s">
        <v>585</v>
      </c>
      <c r="BR94" s="21" t="s">
        <v>262</v>
      </c>
      <c r="BS94" s="21" t="s">
        <v>518</v>
      </c>
      <c r="BT94" s="21" t="s">
        <v>519</v>
      </c>
      <c r="BU94" s="21" t="s">
        <v>262</v>
      </c>
      <c r="CD94" s="21" t="s">
        <v>520</v>
      </c>
      <c r="CF94" s="21" t="s">
        <v>521</v>
      </c>
      <c r="DB94" s="21" t="s">
        <v>943</v>
      </c>
      <c r="DC94" s="21">
        <v>1</v>
      </c>
      <c r="DD94" s="21">
        <v>1</v>
      </c>
      <c r="DE94" s="22">
        <v>42742</v>
      </c>
      <c r="DF94" s="21" t="s">
        <v>2133</v>
      </c>
      <c r="DG94" s="21" t="s">
        <v>522</v>
      </c>
      <c r="DH94" s="21" t="s">
        <v>2134</v>
      </c>
      <c r="DI94" s="21" t="s">
        <v>495</v>
      </c>
      <c r="DJ94" s="21" t="s">
        <v>520</v>
      </c>
      <c r="DL94" s="21">
        <v>42751</v>
      </c>
      <c r="DM94" s="21">
        <v>42741</v>
      </c>
      <c r="DN94" s="21">
        <v>3100</v>
      </c>
      <c r="DO94" s="21">
        <v>10</v>
      </c>
      <c r="DP94" s="21">
        <v>1</v>
      </c>
      <c r="DQ94" s="21">
        <v>1</v>
      </c>
      <c r="DR94" s="21">
        <v>7</v>
      </c>
      <c r="DS94" s="21">
        <v>10</v>
      </c>
      <c r="DT94" s="21">
        <v>10</v>
      </c>
      <c r="DU94" s="21">
        <v>10</v>
      </c>
      <c r="DW94" s="21">
        <v>10</v>
      </c>
      <c r="EA94" s="21">
        <v>10</v>
      </c>
      <c r="EB94" s="21" t="s">
        <v>2135</v>
      </c>
      <c r="EC94" s="21" t="s">
        <v>1221</v>
      </c>
      <c r="EF94" s="25">
        <v>1</v>
      </c>
      <c r="EG94" s="25">
        <v>0</v>
      </c>
      <c r="EH94" s="25">
        <v>1</v>
      </c>
      <c r="EI94" s="25">
        <v>0</v>
      </c>
      <c r="EJ94" s="25" t="s">
        <v>62</v>
      </c>
      <c r="EK94" s="25" t="s">
        <v>276</v>
      </c>
      <c r="EL94" s="25" t="s">
        <v>276</v>
      </c>
      <c r="EM94" s="25" t="s">
        <v>276</v>
      </c>
      <c r="EN94" s="25" t="s">
        <v>276</v>
      </c>
      <c r="EO94" s="25" t="s">
        <v>276</v>
      </c>
      <c r="EP94" s="25" t="s">
        <v>276</v>
      </c>
      <c r="EQ94" s="25" t="s">
        <v>276</v>
      </c>
      <c r="ER94" s="25" t="s">
        <v>276</v>
      </c>
      <c r="ES94" s="25" t="s">
        <v>276</v>
      </c>
      <c r="ET94" s="25">
        <v>1</v>
      </c>
      <c r="EU94" s="25" t="s">
        <v>522</v>
      </c>
      <c r="EV94" s="25" t="s">
        <v>276</v>
      </c>
      <c r="EW94" s="25" t="s">
        <v>276</v>
      </c>
      <c r="EX94" s="25" t="s">
        <v>276</v>
      </c>
      <c r="EY94" s="20" t="s">
        <v>273</v>
      </c>
    </row>
    <row r="95" spans="1:155">
      <c r="A95" s="21" t="s">
        <v>491</v>
      </c>
      <c r="B95" s="21" t="s">
        <v>491</v>
      </c>
      <c r="C95" s="21" t="s">
        <v>492</v>
      </c>
      <c r="D95" s="21" t="s">
        <v>493</v>
      </c>
      <c r="E95" s="21" t="s">
        <v>493</v>
      </c>
      <c r="F95" s="21" t="s">
        <v>493</v>
      </c>
      <c r="G95" s="21" t="s">
        <v>1748</v>
      </c>
      <c r="H95" s="21">
        <v>19981785998</v>
      </c>
      <c r="I95" s="21">
        <v>19981785998</v>
      </c>
      <c r="J95" s="21" t="s">
        <v>1749</v>
      </c>
      <c r="L95" s="21" t="s">
        <v>495</v>
      </c>
      <c r="M95" s="21" t="s">
        <v>1750</v>
      </c>
      <c r="N95" s="21" t="s">
        <v>1751</v>
      </c>
      <c r="O95" s="21" t="s">
        <v>93</v>
      </c>
      <c r="P95" s="21" t="s">
        <v>539</v>
      </c>
      <c r="Q95" s="21" t="s">
        <v>1752</v>
      </c>
      <c r="R95" s="21" t="s">
        <v>1753</v>
      </c>
      <c r="S95" s="21" t="s">
        <v>1053</v>
      </c>
      <c r="V95" s="21" t="s">
        <v>277</v>
      </c>
      <c r="W95" s="21" t="s">
        <v>524</v>
      </c>
      <c r="X95" s="21" t="s">
        <v>525</v>
      </c>
      <c r="Y95" s="21" t="s">
        <v>530</v>
      </c>
      <c r="Z95" s="21">
        <v>3035475023</v>
      </c>
      <c r="AA95" s="22">
        <v>42739</v>
      </c>
      <c r="AB95" s="22">
        <v>42739</v>
      </c>
      <c r="AC95" s="21" t="s">
        <v>504</v>
      </c>
      <c r="AD95" s="21" t="s">
        <v>505</v>
      </c>
      <c r="AE95" s="21" t="s">
        <v>565</v>
      </c>
      <c r="AF95" s="21" t="s">
        <v>566</v>
      </c>
      <c r="AG95" s="21" t="s">
        <v>1743</v>
      </c>
      <c r="AH95" s="21" t="s">
        <v>1744</v>
      </c>
      <c r="AI95" s="21" t="s">
        <v>1754</v>
      </c>
      <c r="AJ95" s="21" t="s">
        <v>507</v>
      </c>
      <c r="AK95" s="21" t="s">
        <v>494</v>
      </c>
      <c r="AL95" s="21" t="s">
        <v>527</v>
      </c>
      <c r="AM95" s="21" t="s">
        <v>527</v>
      </c>
      <c r="AN95" s="21" t="s">
        <v>527</v>
      </c>
      <c r="AO95" s="21" t="s">
        <v>528</v>
      </c>
      <c r="AS95" s="21" t="s">
        <v>511</v>
      </c>
      <c r="AT95" s="21" t="s">
        <v>512</v>
      </c>
      <c r="AW95" s="21">
        <v>0</v>
      </c>
      <c r="AX95" s="21">
        <v>2</v>
      </c>
      <c r="BC95" s="21" t="s">
        <v>513</v>
      </c>
      <c r="BD95" s="21" t="s">
        <v>514</v>
      </c>
      <c r="BE95" s="21" t="s">
        <v>514</v>
      </c>
      <c r="BF95" s="21" t="s">
        <v>515</v>
      </c>
      <c r="BG95" s="21">
        <v>1</v>
      </c>
      <c r="BH95" s="21" t="s">
        <v>516</v>
      </c>
      <c r="BI95" s="21" t="s">
        <v>517</v>
      </c>
      <c r="BJ95" s="21" t="s">
        <v>516</v>
      </c>
      <c r="BK95" s="21" t="s">
        <v>516</v>
      </c>
      <c r="BM95" s="21" t="s">
        <v>18</v>
      </c>
      <c r="BN95" s="21" t="s">
        <v>73</v>
      </c>
      <c r="BO95" s="21" t="s">
        <v>518</v>
      </c>
      <c r="BP95" s="21" t="s">
        <v>519</v>
      </c>
      <c r="BQ95" s="21" t="s">
        <v>18</v>
      </c>
      <c r="BR95" s="21" t="s">
        <v>73</v>
      </c>
      <c r="BS95" s="21" t="s">
        <v>518</v>
      </c>
      <c r="BT95" s="21" t="s">
        <v>519</v>
      </c>
      <c r="BU95" s="21" t="s">
        <v>73</v>
      </c>
      <c r="CD95" s="21" t="s">
        <v>520</v>
      </c>
      <c r="CF95" s="21" t="s">
        <v>521</v>
      </c>
      <c r="DB95" s="21" t="s">
        <v>943</v>
      </c>
      <c r="DC95" s="21">
        <v>1</v>
      </c>
      <c r="DD95" s="21">
        <v>1</v>
      </c>
      <c r="DE95" s="22">
        <v>42742</v>
      </c>
      <c r="DF95" s="21" t="s">
        <v>1755</v>
      </c>
      <c r="DG95" s="21" t="s">
        <v>522</v>
      </c>
      <c r="DH95" s="21" t="s">
        <v>1756</v>
      </c>
      <c r="DI95" s="21" t="s">
        <v>495</v>
      </c>
      <c r="DJ95" s="21" t="s">
        <v>520</v>
      </c>
      <c r="DL95" s="21">
        <v>42751</v>
      </c>
      <c r="DM95" s="21">
        <v>42741</v>
      </c>
      <c r="DN95" s="21">
        <v>1100</v>
      </c>
      <c r="DO95" s="21">
        <v>10</v>
      </c>
      <c r="DP95" s="21">
        <v>1</v>
      </c>
      <c r="DQ95" s="21">
        <v>1</v>
      </c>
      <c r="DR95" s="21">
        <v>6</v>
      </c>
      <c r="DS95" s="21">
        <v>8</v>
      </c>
      <c r="DT95" s="21">
        <v>9</v>
      </c>
      <c r="DU95" s="21">
        <v>10</v>
      </c>
      <c r="DW95" s="21">
        <v>10</v>
      </c>
      <c r="EA95" s="21">
        <v>8</v>
      </c>
      <c r="EB95" s="21" t="s">
        <v>1757</v>
      </c>
      <c r="EC95" s="21" t="s">
        <v>1224</v>
      </c>
      <c r="EF95" s="25">
        <v>0</v>
      </c>
      <c r="EG95" s="25">
        <v>0</v>
      </c>
      <c r="EH95" s="25">
        <v>1</v>
      </c>
      <c r="EI95" s="25">
        <v>0</v>
      </c>
      <c r="EJ95" s="25" t="s">
        <v>92</v>
      </c>
      <c r="EK95" s="25" t="s">
        <v>74</v>
      </c>
      <c r="EL95" s="25" t="s">
        <v>74</v>
      </c>
      <c r="EM95" s="25" t="s">
        <v>276</v>
      </c>
      <c r="EN95" s="25" t="s">
        <v>9</v>
      </c>
      <c r="EO95" s="25" t="s">
        <v>9</v>
      </c>
      <c r="EP95" s="25" t="s">
        <v>62</v>
      </c>
      <c r="EQ95" s="25" t="s">
        <v>62</v>
      </c>
      <c r="ER95" s="25" t="s">
        <v>278</v>
      </c>
      <c r="ES95" s="25" t="s">
        <v>278</v>
      </c>
      <c r="ET95" s="25">
        <v>1</v>
      </c>
      <c r="EU95" s="25" t="s">
        <v>522</v>
      </c>
      <c r="EV95" s="25" t="s">
        <v>74</v>
      </c>
      <c r="EW95" s="25" t="s">
        <v>9</v>
      </c>
      <c r="EX95" s="25" t="s">
        <v>278</v>
      </c>
      <c r="EY95" s="20" t="e">
        <v>#N/A</v>
      </c>
    </row>
    <row r="96" spans="1:155">
      <c r="A96" s="21" t="s">
        <v>491</v>
      </c>
      <c r="B96" s="21" t="s">
        <v>491</v>
      </c>
      <c r="C96" s="21" t="s">
        <v>492</v>
      </c>
      <c r="D96" s="21" t="s">
        <v>493</v>
      </c>
      <c r="E96" s="21" t="s">
        <v>493</v>
      </c>
      <c r="F96" s="21" t="s">
        <v>493</v>
      </c>
      <c r="G96" s="21" t="s">
        <v>1758</v>
      </c>
      <c r="H96" s="21">
        <v>2125114420</v>
      </c>
      <c r="I96" s="21" t="s">
        <v>494</v>
      </c>
      <c r="J96" s="21" t="s">
        <v>1759</v>
      </c>
      <c r="L96" s="21" t="s">
        <v>495</v>
      </c>
      <c r="M96" s="21" t="s">
        <v>1760</v>
      </c>
      <c r="N96" s="21" t="s">
        <v>1761</v>
      </c>
      <c r="O96" s="21" t="s">
        <v>69</v>
      </c>
      <c r="P96" s="21" t="s">
        <v>497</v>
      </c>
      <c r="R96" s="21" t="s">
        <v>1762</v>
      </c>
      <c r="S96" s="21" t="s">
        <v>1763</v>
      </c>
      <c r="V96" s="21" t="s">
        <v>500</v>
      </c>
      <c r="W96" s="21" t="s">
        <v>501</v>
      </c>
      <c r="X96" s="21" t="s">
        <v>502</v>
      </c>
      <c r="Y96" s="21" t="s">
        <v>503</v>
      </c>
      <c r="Z96" s="21">
        <v>3035472073</v>
      </c>
      <c r="AA96" s="22">
        <v>42739</v>
      </c>
      <c r="AB96" s="22">
        <v>42739</v>
      </c>
      <c r="AC96" s="21" t="s">
        <v>504</v>
      </c>
      <c r="AD96" s="21" t="s">
        <v>505</v>
      </c>
      <c r="AE96" s="21" t="s">
        <v>500</v>
      </c>
      <c r="AF96" s="21" t="s">
        <v>549</v>
      </c>
      <c r="AG96" s="21" t="s">
        <v>555</v>
      </c>
      <c r="AH96" s="21" t="s">
        <v>556</v>
      </c>
      <c r="AI96" s="21" t="s">
        <v>1764</v>
      </c>
      <c r="AJ96" s="21" t="s">
        <v>526</v>
      </c>
      <c r="AK96" s="21" t="s">
        <v>494</v>
      </c>
      <c r="AL96" s="21" t="s">
        <v>527</v>
      </c>
      <c r="AM96" s="21" t="s">
        <v>527</v>
      </c>
      <c r="AN96" s="21" t="s">
        <v>527</v>
      </c>
      <c r="AO96" s="21" t="s">
        <v>528</v>
      </c>
      <c r="AS96" s="21" t="s">
        <v>511</v>
      </c>
      <c r="AT96" s="21" t="s">
        <v>512</v>
      </c>
      <c r="AW96" s="21">
        <v>0</v>
      </c>
      <c r="AX96" s="21">
        <v>2</v>
      </c>
      <c r="BC96" s="21" t="s">
        <v>513</v>
      </c>
      <c r="BD96" s="21" t="s">
        <v>514</v>
      </c>
      <c r="BE96" s="21" t="s">
        <v>514</v>
      </c>
      <c r="BF96" s="21" t="s">
        <v>515</v>
      </c>
      <c r="BG96" s="21">
        <v>1</v>
      </c>
      <c r="BH96" s="21" t="s">
        <v>516</v>
      </c>
      <c r="BI96" s="21" t="s">
        <v>517</v>
      </c>
      <c r="BJ96" s="21" t="s">
        <v>516</v>
      </c>
      <c r="BK96" s="21" t="s">
        <v>516</v>
      </c>
      <c r="BM96" s="21" t="s">
        <v>13</v>
      </c>
      <c r="BN96" s="21" t="s">
        <v>56</v>
      </c>
      <c r="BO96" s="21" t="s">
        <v>518</v>
      </c>
      <c r="BP96" s="21" t="s">
        <v>519</v>
      </c>
      <c r="BQ96" s="21" t="s">
        <v>13</v>
      </c>
      <c r="BR96" s="21" t="s">
        <v>56</v>
      </c>
      <c r="BS96" s="21" t="s">
        <v>518</v>
      </c>
      <c r="BT96" s="21" t="s">
        <v>519</v>
      </c>
      <c r="BU96" s="21" t="s">
        <v>56</v>
      </c>
      <c r="CD96" s="21" t="s">
        <v>520</v>
      </c>
      <c r="CF96" s="21" t="s">
        <v>521</v>
      </c>
      <c r="DB96" s="21" t="s">
        <v>943</v>
      </c>
      <c r="DC96" s="21">
        <v>1</v>
      </c>
      <c r="DD96" s="21">
        <v>1</v>
      </c>
      <c r="DE96" s="22">
        <v>42742</v>
      </c>
      <c r="DF96" s="21" t="s">
        <v>1765</v>
      </c>
      <c r="DG96" s="21" t="s">
        <v>522</v>
      </c>
      <c r="DH96" s="21" t="s">
        <v>1766</v>
      </c>
      <c r="DI96" s="21" t="s">
        <v>495</v>
      </c>
      <c r="DJ96" s="21" t="s">
        <v>520</v>
      </c>
      <c r="DL96" s="21">
        <v>42751</v>
      </c>
      <c r="DM96" s="21">
        <v>42741</v>
      </c>
      <c r="DN96" s="21">
        <v>3100</v>
      </c>
      <c r="DO96" s="21">
        <v>10</v>
      </c>
      <c r="DP96" s="21">
        <v>1</v>
      </c>
      <c r="DQ96" s="21">
        <v>1</v>
      </c>
      <c r="DR96" s="21">
        <v>7</v>
      </c>
      <c r="DS96" s="21">
        <v>10</v>
      </c>
      <c r="DT96" s="21">
        <v>10</v>
      </c>
      <c r="DU96" s="21">
        <v>10</v>
      </c>
      <c r="DW96" s="21">
        <v>10</v>
      </c>
      <c r="EA96" s="21">
        <v>10</v>
      </c>
      <c r="EB96" s="21" t="s">
        <v>1767</v>
      </c>
      <c r="EC96" s="21" t="s">
        <v>1768</v>
      </c>
      <c r="EF96" s="25">
        <v>1</v>
      </c>
      <c r="EG96" s="25">
        <v>0</v>
      </c>
      <c r="EH96" s="25">
        <v>1</v>
      </c>
      <c r="EI96" s="25">
        <v>0</v>
      </c>
      <c r="EJ96" s="25" t="s">
        <v>62</v>
      </c>
      <c r="EK96" s="25" t="s">
        <v>57</v>
      </c>
      <c r="EL96" s="25" t="s">
        <v>57</v>
      </c>
      <c r="EM96" s="25" t="s">
        <v>276</v>
      </c>
      <c r="EN96" s="25" t="s">
        <v>9</v>
      </c>
      <c r="EO96" s="25" t="s">
        <v>9</v>
      </c>
      <c r="EP96" s="25" t="s">
        <v>62</v>
      </c>
      <c r="EQ96" s="25" t="s">
        <v>62</v>
      </c>
      <c r="ER96" s="25" t="s">
        <v>278</v>
      </c>
      <c r="ES96" s="25" t="s">
        <v>278</v>
      </c>
      <c r="ET96" s="25">
        <v>1</v>
      </c>
      <c r="EU96" s="25" t="s">
        <v>522</v>
      </c>
      <c r="EV96" s="25" t="s">
        <v>57</v>
      </c>
      <c r="EW96" s="25" t="s">
        <v>9</v>
      </c>
      <c r="EX96" s="25" t="s">
        <v>278</v>
      </c>
      <c r="EY96" s="20" t="e">
        <v>#N/A</v>
      </c>
    </row>
    <row r="97" spans="1:155">
      <c r="A97" s="21" t="s">
        <v>491</v>
      </c>
      <c r="B97" s="21" t="s">
        <v>491</v>
      </c>
      <c r="C97" s="21" t="s">
        <v>492</v>
      </c>
      <c r="D97" s="21" t="s">
        <v>493</v>
      </c>
      <c r="E97" s="21" t="s">
        <v>493</v>
      </c>
      <c r="F97" s="21" t="s">
        <v>493</v>
      </c>
      <c r="G97" s="21" t="s">
        <v>1769</v>
      </c>
      <c r="H97" s="21">
        <v>1128332866</v>
      </c>
      <c r="I97" s="21" t="s">
        <v>494</v>
      </c>
      <c r="J97" s="21" t="s">
        <v>1770</v>
      </c>
      <c r="L97" s="21" t="s">
        <v>495</v>
      </c>
      <c r="M97" s="21" t="s">
        <v>1771</v>
      </c>
      <c r="N97" s="21" t="s">
        <v>550</v>
      </c>
      <c r="O97" s="21" t="s">
        <v>69</v>
      </c>
      <c r="P97" s="21" t="s">
        <v>497</v>
      </c>
      <c r="Q97" s="21" t="s">
        <v>1178</v>
      </c>
      <c r="R97" s="21" t="s">
        <v>551</v>
      </c>
      <c r="S97" s="21" t="s">
        <v>552</v>
      </c>
      <c r="V97" s="21" t="s">
        <v>500</v>
      </c>
      <c r="W97" s="21" t="s">
        <v>501</v>
      </c>
      <c r="X97" s="21" t="s">
        <v>502</v>
      </c>
      <c r="Y97" s="21" t="s">
        <v>503</v>
      </c>
      <c r="Z97" s="21">
        <v>3035471678</v>
      </c>
      <c r="AA97" s="22">
        <v>42739</v>
      </c>
      <c r="AB97" s="22">
        <v>42739</v>
      </c>
      <c r="AC97" s="21" t="s">
        <v>504</v>
      </c>
      <c r="AD97" s="21" t="s">
        <v>505</v>
      </c>
      <c r="AE97" s="21" t="s">
        <v>500</v>
      </c>
      <c r="AF97" s="21" t="s">
        <v>549</v>
      </c>
      <c r="AG97" s="21" t="s">
        <v>555</v>
      </c>
      <c r="AH97" s="21" t="s">
        <v>556</v>
      </c>
      <c r="AI97" s="21" t="s">
        <v>1772</v>
      </c>
      <c r="AJ97" s="21" t="s">
        <v>526</v>
      </c>
      <c r="AK97" s="21" t="s">
        <v>494</v>
      </c>
      <c r="AL97" s="21" t="s">
        <v>527</v>
      </c>
      <c r="AM97" s="21" t="s">
        <v>527</v>
      </c>
      <c r="AN97" s="21" t="s">
        <v>527</v>
      </c>
      <c r="AO97" s="21" t="s">
        <v>528</v>
      </c>
      <c r="AS97" s="21" t="s">
        <v>511</v>
      </c>
      <c r="AT97" s="21" t="s">
        <v>512</v>
      </c>
      <c r="AW97" s="21">
        <v>0</v>
      </c>
      <c r="AX97" s="21">
        <v>2</v>
      </c>
      <c r="BC97" s="21" t="s">
        <v>513</v>
      </c>
      <c r="BD97" s="21" t="s">
        <v>514</v>
      </c>
      <c r="BE97" s="21" t="s">
        <v>514</v>
      </c>
      <c r="BF97" s="21" t="s">
        <v>515</v>
      </c>
      <c r="BG97" s="21">
        <v>1</v>
      </c>
      <c r="BH97" s="21" t="s">
        <v>516</v>
      </c>
      <c r="BI97" s="21" t="s">
        <v>517</v>
      </c>
      <c r="BJ97" s="21" t="s">
        <v>516</v>
      </c>
      <c r="BK97" s="21" t="s">
        <v>516</v>
      </c>
      <c r="BM97" s="21" t="s">
        <v>28</v>
      </c>
      <c r="BN97" s="21" t="s">
        <v>158</v>
      </c>
      <c r="BO97" s="21" t="s">
        <v>518</v>
      </c>
      <c r="BP97" s="21" t="s">
        <v>519</v>
      </c>
      <c r="BQ97" s="21" t="s">
        <v>28</v>
      </c>
      <c r="BR97" s="21" t="s">
        <v>158</v>
      </c>
      <c r="BS97" s="21" t="s">
        <v>518</v>
      </c>
      <c r="BT97" s="21" t="s">
        <v>519</v>
      </c>
      <c r="BU97" s="21" t="s">
        <v>158</v>
      </c>
      <c r="CD97" s="21" t="s">
        <v>520</v>
      </c>
      <c r="CF97" s="21" t="s">
        <v>521</v>
      </c>
      <c r="DB97" s="21" t="s">
        <v>943</v>
      </c>
      <c r="DC97" s="21">
        <v>1</v>
      </c>
      <c r="DD97" s="21">
        <v>1</v>
      </c>
      <c r="DE97" s="22">
        <v>42742</v>
      </c>
      <c r="DF97" s="21" t="s">
        <v>1773</v>
      </c>
      <c r="DG97" s="21" t="s">
        <v>522</v>
      </c>
      <c r="DH97" s="21" t="s">
        <v>1774</v>
      </c>
      <c r="DI97" s="21" t="s">
        <v>495</v>
      </c>
      <c r="DJ97" s="21" t="s">
        <v>520</v>
      </c>
      <c r="DL97" s="21">
        <v>42751</v>
      </c>
      <c r="DM97" s="21">
        <v>42741</v>
      </c>
      <c r="DN97" s="21">
        <v>3100</v>
      </c>
      <c r="DO97" s="21">
        <v>10</v>
      </c>
      <c r="DP97" s="21">
        <v>1</v>
      </c>
      <c r="DQ97" s="21">
        <v>1</v>
      </c>
      <c r="DR97" s="21">
        <v>7</v>
      </c>
      <c r="DS97" s="21">
        <v>10</v>
      </c>
      <c r="DT97" s="21">
        <v>10</v>
      </c>
      <c r="DU97" s="21">
        <v>10</v>
      </c>
      <c r="DW97" s="21">
        <v>10</v>
      </c>
      <c r="EA97" s="21">
        <v>10</v>
      </c>
      <c r="EB97" s="21" t="s">
        <v>1775</v>
      </c>
      <c r="EC97" s="21" t="s">
        <v>1221</v>
      </c>
      <c r="EF97" s="25">
        <v>1</v>
      </c>
      <c r="EG97" s="25">
        <v>0</v>
      </c>
      <c r="EH97" s="25">
        <v>1</v>
      </c>
      <c r="EI97" s="25">
        <v>0</v>
      </c>
      <c r="EJ97" s="25" t="s">
        <v>62</v>
      </c>
      <c r="EK97" s="25" t="s">
        <v>159</v>
      </c>
      <c r="EL97" s="25" t="s">
        <v>159</v>
      </c>
      <c r="EM97" s="25" t="s">
        <v>276</v>
      </c>
      <c r="EN97" s="25" t="s">
        <v>9</v>
      </c>
      <c r="EO97" s="25" t="s">
        <v>9</v>
      </c>
      <c r="EP97" s="25" t="s">
        <v>62</v>
      </c>
      <c r="EQ97" s="25" t="s">
        <v>62</v>
      </c>
      <c r="ER97" s="25" t="s">
        <v>278</v>
      </c>
      <c r="ES97" s="25" t="s">
        <v>278</v>
      </c>
      <c r="ET97" s="25">
        <v>1</v>
      </c>
      <c r="EU97" s="25" t="s">
        <v>522</v>
      </c>
      <c r="EV97" s="25" t="s">
        <v>159</v>
      </c>
      <c r="EW97" s="25" t="s">
        <v>9</v>
      </c>
      <c r="EX97" s="25" t="s">
        <v>278</v>
      </c>
      <c r="EY97" s="20" t="e">
        <v>#N/A</v>
      </c>
    </row>
    <row r="98" spans="1:155">
      <c r="A98" s="21" t="s">
        <v>491</v>
      </c>
      <c r="B98" s="21" t="s">
        <v>491</v>
      </c>
      <c r="C98" s="21" t="s">
        <v>492</v>
      </c>
      <c r="D98" s="21" t="s">
        <v>493</v>
      </c>
      <c r="E98" s="21" t="s">
        <v>493</v>
      </c>
      <c r="F98" s="21" t="s">
        <v>493</v>
      </c>
      <c r="G98" s="21" t="s">
        <v>1776</v>
      </c>
      <c r="H98" s="21">
        <v>1132190000</v>
      </c>
      <c r="I98" s="21" t="s">
        <v>494</v>
      </c>
      <c r="J98" s="21" t="s">
        <v>1777</v>
      </c>
      <c r="L98" s="21" t="s">
        <v>495</v>
      </c>
      <c r="M98" s="21" t="s">
        <v>1778</v>
      </c>
      <c r="N98" s="21" t="s">
        <v>1051</v>
      </c>
      <c r="O98" s="21" t="s">
        <v>93</v>
      </c>
      <c r="P98" s="21" t="s">
        <v>539</v>
      </c>
      <c r="R98" s="21" t="s">
        <v>1052</v>
      </c>
      <c r="S98" s="21" t="s">
        <v>1053</v>
      </c>
      <c r="V98" s="21" t="s">
        <v>277</v>
      </c>
      <c r="W98" s="21" t="s">
        <v>524</v>
      </c>
      <c r="X98" s="21" t="s">
        <v>525</v>
      </c>
      <c r="Y98" s="21" t="s">
        <v>530</v>
      </c>
      <c r="Z98" s="21">
        <v>3035436310</v>
      </c>
      <c r="AA98" s="22">
        <v>42738</v>
      </c>
      <c r="AB98" s="22">
        <v>42739</v>
      </c>
      <c r="AC98" s="21" t="s">
        <v>504</v>
      </c>
      <c r="AD98" s="21" t="s">
        <v>505</v>
      </c>
      <c r="AE98" s="21" t="s">
        <v>1054</v>
      </c>
      <c r="AF98" s="21" t="s">
        <v>1105</v>
      </c>
      <c r="AG98" s="21" t="s">
        <v>1106</v>
      </c>
      <c r="AH98" s="21" t="s">
        <v>1107</v>
      </c>
      <c r="AI98" s="21" t="s">
        <v>1779</v>
      </c>
      <c r="AJ98" s="21" t="s">
        <v>1109</v>
      </c>
      <c r="AK98" s="21" t="s">
        <v>494</v>
      </c>
      <c r="AL98" s="21" t="s">
        <v>527</v>
      </c>
      <c r="AM98" s="21" t="s">
        <v>527</v>
      </c>
      <c r="AN98" s="21" t="s">
        <v>527</v>
      </c>
      <c r="AO98" s="21" t="s">
        <v>528</v>
      </c>
      <c r="AS98" s="21" t="s">
        <v>511</v>
      </c>
      <c r="AT98" s="21" t="s">
        <v>512</v>
      </c>
      <c r="AW98" s="21">
        <v>0</v>
      </c>
      <c r="AX98" s="21">
        <v>3</v>
      </c>
      <c r="BC98" s="21" t="s">
        <v>513</v>
      </c>
      <c r="BD98" s="21" t="s">
        <v>514</v>
      </c>
      <c r="BE98" s="21" t="s">
        <v>514</v>
      </c>
      <c r="BF98" s="21" t="s">
        <v>515</v>
      </c>
      <c r="BG98" s="21">
        <v>1</v>
      </c>
      <c r="BH98" s="21" t="s">
        <v>516</v>
      </c>
      <c r="BI98" s="21" t="s">
        <v>517</v>
      </c>
      <c r="BJ98" s="21" t="s">
        <v>516</v>
      </c>
      <c r="BK98" s="21" t="s">
        <v>516</v>
      </c>
      <c r="BM98" s="21" t="s">
        <v>36</v>
      </c>
      <c r="BN98" s="21" t="s">
        <v>223</v>
      </c>
      <c r="BO98" s="21" t="s">
        <v>518</v>
      </c>
      <c r="BP98" s="21" t="s">
        <v>519</v>
      </c>
      <c r="BQ98" s="21" t="s">
        <v>33</v>
      </c>
      <c r="BR98" s="21" t="s">
        <v>209</v>
      </c>
      <c r="BS98" s="21" t="s">
        <v>518</v>
      </c>
      <c r="BT98" s="21" t="s">
        <v>1044</v>
      </c>
      <c r="BU98" s="21" t="s">
        <v>223</v>
      </c>
      <c r="CD98" s="21" t="s">
        <v>520</v>
      </c>
      <c r="CF98" s="21" t="s">
        <v>521</v>
      </c>
      <c r="DB98" s="21" t="s">
        <v>943</v>
      </c>
      <c r="DC98" s="21">
        <v>1</v>
      </c>
      <c r="DD98" s="21">
        <v>1</v>
      </c>
      <c r="DE98" s="22">
        <v>42742</v>
      </c>
      <c r="DF98" s="21" t="s">
        <v>1780</v>
      </c>
      <c r="DG98" s="21" t="s">
        <v>522</v>
      </c>
      <c r="DH98" s="21" t="s">
        <v>1781</v>
      </c>
      <c r="DI98" s="21" t="s">
        <v>495</v>
      </c>
      <c r="DJ98" s="21" t="s">
        <v>520</v>
      </c>
      <c r="DL98" s="21">
        <v>42751</v>
      </c>
      <c r="DM98" s="21">
        <v>42741</v>
      </c>
      <c r="DN98" s="21">
        <v>1100</v>
      </c>
      <c r="DO98" s="21">
        <v>10</v>
      </c>
      <c r="DP98" s="21">
        <v>1</v>
      </c>
      <c r="DQ98" s="21">
        <v>1</v>
      </c>
      <c r="DR98" s="21">
        <v>7</v>
      </c>
      <c r="DS98" s="21">
        <v>10</v>
      </c>
      <c r="DT98" s="21">
        <v>9</v>
      </c>
      <c r="DU98" s="21">
        <v>8</v>
      </c>
      <c r="DW98" s="21">
        <v>9</v>
      </c>
      <c r="EA98" s="21">
        <v>10</v>
      </c>
      <c r="EB98" s="21" t="s">
        <v>1782</v>
      </c>
      <c r="EC98" s="21" t="s">
        <v>1221</v>
      </c>
      <c r="EF98" s="25">
        <v>1</v>
      </c>
      <c r="EG98" s="25">
        <v>0</v>
      </c>
      <c r="EH98" s="25">
        <v>1</v>
      </c>
      <c r="EI98" s="25">
        <v>0</v>
      </c>
      <c r="EJ98" s="25" t="s">
        <v>92</v>
      </c>
      <c r="EK98" s="25" t="s">
        <v>224</v>
      </c>
      <c r="EL98" s="25" t="s">
        <v>210</v>
      </c>
      <c r="EM98" s="25" t="s">
        <v>276</v>
      </c>
      <c r="EN98" s="25" t="s">
        <v>31</v>
      </c>
      <c r="EO98" s="25" t="s">
        <v>31</v>
      </c>
      <c r="EP98" s="25" t="s">
        <v>92</v>
      </c>
      <c r="EQ98" s="25" t="s">
        <v>529</v>
      </c>
      <c r="ER98" s="25" t="s">
        <v>278</v>
      </c>
      <c r="ES98" s="25" t="s">
        <v>278</v>
      </c>
      <c r="ET98" s="25">
        <v>1</v>
      </c>
      <c r="EU98" s="25" t="s">
        <v>522</v>
      </c>
      <c r="EV98" s="25" t="s">
        <v>279</v>
      </c>
      <c r="EW98" s="25" t="s">
        <v>279</v>
      </c>
      <c r="EX98" s="25" t="s">
        <v>279</v>
      </c>
      <c r="EY98" s="20" t="e">
        <v>#N/A</v>
      </c>
    </row>
    <row r="99" spans="1:155">
      <c r="A99" s="21" t="s">
        <v>491</v>
      </c>
      <c r="B99" s="21" t="s">
        <v>491</v>
      </c>
      <c r="C99" s="21" t="s">
        <v>492</v>
      </c>
      <c r="D99" s="21" t="s">
        <v>493</v>
      </c>
      <c r="E99" s="21" t="s">
        <v>493</v>
      </c>
      <c r="F99" s="21" t="s">
        <v>493</v>
      </c>
      <c r="G99" s="21" t="s">
        <v>1783</v>
      </c>
      <c r="H99" s="21">
        <v>1231052404</v>
      </c>
      <c r="I99" s="21" t="s">
        <v>494</v>
      </c>
      <c r="J99" s="21" t="s">
        <v>1784</v>
      </c>
      <c r="L99" s="21" t="s">
        <v>495</v>
      </c>
      <c r="M99" s="21" t="s">
        <v>1785</v>
      </c>
      <c r="N99" s="21" t="s">
        <v>576</v>
      </c>
      <c r="O99" s="21" t="s">
        <v>79</v>
      </c>
      <c r="P99" s="21" t="s">
        <v>570</v>
      </c>
      <c r="R99" s="21" t="s">
        <v>577</v>
      </c>
      <c r="S99" s="21" t="s">
        <v>578</v>
      </c>
      <c r="V99" s="21" t="s">
        <v>500</v>
      </c>
      <c r="W99" s="21" t="s">
        <v>501</v>
      </c>
      <c r="X99" s="21" t="s">
        <v>502</v>
      </c>
      <c r="Y99" s="21" t="s">
        <v>503</v>
      </c>
      <c r="Z99" s="21">
        <v>3035482677</v>
      </c>
      <c r="AA99" s="22">
        <v>42739</v>
      </c>
      <c r="AB99" s="22">
        <v>42739</v>
      </c>
      <c r="AC99" s="21" t="s">
        <v>504</v>
      </c>
      <c r="AD99" s="21" t="s">
        <v>505</v>
      </c>
      <c r="AE99" s="21" t="s">
        <v>500</v>
      </c>
      <c r="AF99" s="21" t="s">
        <v>564</v>
      </c>
      <c r="AG99" s="21" t="s">
        <v>1477</v>
      </c>
      <c r="AH99" s="21" t="s">
        <v>1477</v>
      </c>
      <c r="AI99" s="21" t="s">
        <v>1786</v>
      </c>
      <c r="AJ99" s="21" t="s">
        <v>507</v>
      </c>
      <c r="AK99" s="21" t="s">
        <v>494</v>
      </c>
      <c r="AL99" s="21" t="s">
        <v>527</v>
      </c>
      <c r="AM99" s="21" t="s">
        <v>527</v>
      </c>
      <c r="AN99" s="21" t="s">
        <v>527</v>
      </c>
      <c r="AO99" s="21" t="s">
        <v>528</v>
      </c>
      <c r="AS99" s="21" t="s">
        <v>511</v>
      </c>
      <c r="AT99" s="21" t="s">
        <v>512</v>
      </c>
      <c r="AW99" s="21">
        <v>0</v>
      </c>
      <c r="AX99" s="21">
        <v>2</v>
      </c>
      <c r="BC99" s="21" t="s">
        <v>513</v>
      </c>
      <c r="BD99" s="21" t="s">
        <v>514</v>
      </c>
      <c r="BE99" s="21" t="s">
        <v>514</v>
      </c>
      <c r="BF99" s="21" t="s">
        <v>515</v>
      </c>
      <c r="BG99" s="21">
        <v>1</v>
      </c>
      <c r="BH99" s="21" t="s">
        <v>516</v>
      </c>
      <c r="BI99" s="21" t="s">
        <v>517</v>
      </c>
      <c r="BJ99" s="21" t="s">
        <v>516</v>
      </c>
      <c r="BK99" s="21" t="s">
        <v>516</v>
      </c>
      <c r="BM99" s="21" t="s">
        <v>1288</v>
      </c>
      <c r="BN99" s="21" t="s">
        <v>234</v>
      </c>
      <c r="BO99" s="21" t="s">
        <v>518</v>
      </c>
      <c r="BP99" s="21" t="s">
        <v>1044</v>
      </c>
      <c r="BQ99" s="21" t="s">
        <v>1288</v>
      </c>
      <c r="BR99" s="21" t="s">
        <v>234</v>
      </c>
      <c r="BS99" s="21" t="s">
        <v>518</v>
      </c>
      <c r="BT99" s="21" t="s">
        <v>1044</v>
      </c>
      <c r="BU99" s="21" t="s">
        <v>234</v>
      </c>
      <c r="CD99" s="21" t="s">
        <v>520</v>
      </c>
      <c r="CF99" s="21" t="s">
        <v>521</v>
      </c>
      <c r="DB99" s="21" t="s">
        <v>943</v>
      </c>
      <c r="DC99" s="21">
        <v>1</v>
      </c>
      <c r="DD99" s="21">
        <v>1</v>
      </c>
      <c r="DE99" s="22">
        <v>42742</v>
      </c>
      <c r="DF99" s="21" t="s">
        <v>1787</v>
      </c>
      <c r="DG99" s="21" t="s">
        <v>522</v>
      </c>
      <c r="DH99" s="21" t="s">
        <v>1788</v>
      </c>
      <c r="DI99" s="21" t="s">
        <v>495</v>
      </c>
      <c r="DJ99" s="21" t="s">
        <v>520</v>
      </c>
      <c r="DL99" s="21">
        <v>42751</v>
      </c>
      <c r="DM99" s="21">
        <v>42741</v>
      </c>
      <c r="DN99" s="21">
        <v>3100</v>
      </c>
      <c r="DO99" s="21">
        <v>4</v>
      </c>
      <c r="DP99" s="21">
        <v>1</v>
      </c>
      <c r="DQ99" s="21">
        <v>2</v>
      </c>
      <c r="DR99" s="21">
        <v>6</v>
      </c>
      <c r="DS99" s="21">
        <v>10</v>
      </c>
      <c r="DT99" s="21">
        <v>10</v>
      </c>
      <c r="DU99" s="21">
        <v>10</v>
      </c>
      <c r="DW99" s="21">
        <v>4</v>
      </c>
      <c r="EA99" s="21">
        <v>5</v>
      </c>
      <c r="EB99" s="21" t="s">
        <v>1789</v>
      </c>
      <c r="EC99" s="21" t="s">
        <v>1790</v>
      </c>
      <c r="EF99" s="25">
        <v>0</v>
      </c>
      <c r="EG99" s="25">
        <v>1</v>
      </c>
      <c r="EH99" s="25">
        <v>0</v>
      </c>
      <c r="EI99" s="25">
        <v>1</v>
      </c>
      <c r="EJ99" s="25" t="s">
        <v>62</v>
      </c>
      <c r="EK99" s="25" t="s">
        <v>235</v>
      </c>
      <c r="EL99" s="25" t="s">
        <v>235</v>
      </c>
      <c r="EM99" s="25" t="s">
        <v>276</v>
      </c>
      <c r="EN99" s="25" t="s">
        <v>39</v>
      </c>
      <c r="EO99" s="25" t="s">
        <v>39</v>
      </c>
      <c r="EP99" s="25" t="s">
        <v>92</v>
      </c>
      <c r="EQ99" s="25" t="s">
        <v>92</v>
      </c>
      <c r="ER99" s="25" t="s">
        <v>278</v>
      </c>
      <c r="ES99" s="25" t="s">
        <v>278</v>
      </c>
      <c r="ET99" s="25">
        <v>1</v>
      </c>
      <c r="EU99" s="25" t="s">
        <v>522</v>
      </c>
      <c r="EV99" s="25" t="s">
        <v>235</v>
      </c>
      <c r="EW99" s="25" t="s">
        <v>39</v>
      </c>
      <c r="EX99" s="25" t="s">
        <v>278</v>
      </c>
      <c r="EY99" s="20" t="e">
        <v>#N/A</v>
      </c>
    </row>
    <row r="100" spans="1:155">
      <c r="A100" s="21" t="s">
        <v>491</v>
      </c>
      <c r="B100" s="21" t="s">
        <v>491</v>
      </c>
      <c r="C100" s="21" t="s">
        <v>492</v>
      </c>
      <c r="D100" s="21" t="s">
        <v>493</v>
      </c>
      <c r="E100" s="21" t="s">
        <v>493</v>
      </c>
      <c r="F100" s="21" t="s">
        <v>493</v>
      </c>
      <c r="G100" s="21" t="s">
        <v>2025</v>
      </c>
      <c r="H100" s="21">
        <v>2132868261</v>
      </c>
      <c r="I100" s="21" t="s">
        <v>494</v>
      </c>
      <c r="J100" s="21" t="s">
        <v>2026</v>
      </c>
      <c r="L100" s="21" t="s">
        <v>495</v>
      </c>
      <c r="M100" s="21" t="s">
        <v>2027</v>
      </c>
      <c r="N100" s="21" t="s">
        <v>2028</v>
      </c>
      <c r="O100" s="21" t="s">
        <v>99</v>
      </c>
      <c r="P100" s="21" t="s">
        <v>2029</v>
      </c>
      <c r="R100" s="21" t="s">
        <v>2030</v>
      </c>
      <c r="S100" s="21" t="s">
        <v>2031</v>
      </c>
      <c r="V100" s="21" t="s">
        <v>500</v>
      </c>
      <c r="W100" s="21" t="s">
        <v>501</v>
      </c>
      <c r="X100" s="21" t="s">
        <v>502</v>
      </c>
      <c r="Y100" s="21" t="s">
        <v>558</v>
      </c>
      <c r="Z100" s="21">
        <v>3035365542</v>
      </c>
      <c r="AA100" s="22">
        <v>42734</v>
      </c>
      <c r="AB100" s="22">
        <v>42739</v>
      </c>
      <c r="AC100" s="21" t="s">
        <v>504</v>
      </c>
      <c r="AD100" s="21" t="s">
        <v>505</v>
      </c>
      <c r="AE100" s="21" t="s">
        <v>500</v>
      </c>
      <c r="AF100" s="21" t="s">
        <v>564</v>
      </c>
      <c r="AG100" s="21" t="s">
        <v>1477</v>
      </c>
      <c r="AH100" s="21" t="s">
        <v>1477</v>
      </c>
      <c r="AI100" s="21" t="s">
        <v>1043</v>
      </c>
      <c r="AJ100" s="21" t="s">
        <v>507</v>
      </c>
      <c r="AK100" s="21" t="s">
        <v>494</v>
      </c>
      <c r="AL100" s="21" t="s">
        <v>527</v>
      </c>
      <c r="AM100" s="21" t="s">
        <v>527</v>
      </c>
      <c r="AN100" s="21" t="s">
        <v>527</v>
      </c>
      <c r="AO100" s="21" t="s">
        <v>528</v>
      </c>
      <c r="AS100" s="21" t="s">
        <v>511</v>
      </c>
      <c r="AT100" s="21" t="s">
        <v>512</v>
      </c>
      <c r="AW100" s="21">
        <v>0</v>
      </c>
      <c r="AX100" s="21">
        <v>11</v>
      </c>
      <c r="BC100" s="21" t="s">
        <v>513</v>
      </c>
      <c r="BD100" s="21" t="s">
        <v>514</v>
      </c>
      <c r="BE100" s="21" t="s">
        <v>514</v>
      </c>
      <c r="BF100" s="21" t="s">
        <v>515</v>
      </c>
      <c r="BG100" s="21">
        <v>1</v>
      </c>
      <c r="BH100" s="21" t="s">
        <v>516</v>
      </c>
      <c r="BI100" s="21" t="s">
        <v>517</v>
      </c>
      <c r="BJ100" s="21" t="s">
        <v>516</v>
      </c>
      <c r="BK100" s="21" t="s">
        <v>516</v>
      </c>
      <c r="BM100" s="21" t="s">
        <v>29</v>
      </c>
      <c r="BN100" s="21" t="s">
        <v>129</v>
      </c>
      <c r="BO100" s="21" t="s">
        <v>518</v>
      </c>
      <c r="BP100" s="21" t="s">
        <v>519</v>
      </c>
      <c r="BQ100" s="21" t="s">
        <v>47</v>
      </c>
      <c r="BR100" s="21" t="s">
        <v>139</v>
      </c>
      <c r="BS100" s="21" t="s">
        <v>518</v>
      </c>
      <c r="BT100" s="21" t="s">
        <v>1044</v>
      </c>
      <c r="BU100" s="21" t="s">
        <v>129</v>
      </c>
      <c r="CD100" s="21" t="s">
        <v>520</v>
      </c>
      <c r="CF100" s="21" t="s">
        <v>521</v>
      </c>
      <c r="DB100" s="21" t="s">
        <v>943</v>
      </c>
      <c r="DC100" s="21">
        <v>1</v>
      </c>
      <c r="DD100" s="21">
        <v>1</v>
      </c>
      <c r="DE100" s="22">
        <v>42742</v>
      </c>
      <c r="DF100" s="21" t="s">
        <v>2032</v>
      </c>
      <c r="DG100" s="21" t="s">
        <v>522</v>
      </c>
      <c r="DH100" s="21" t="s">
        <v>2033</v>
      </c>
      <c r="DI100" s="21" t="s">
        <v>495</v>
      </c>
      <c r="DJ100" s="21" t="s">
        <v>520</v>
      </c>
      <c r="DL100" s="21">
        <v>42751</v>
      </c>
      <c r="DM100" s="21">
        <v>42741</v>
      </c>
      <c r="DN100" s="21">
        <v>3100</v>
      </c>
      <c r="DO100" s="21">
        <v>2</v>
      </c>
      <c r="DP100" s="21">
        <v>2</v>
      </c>
      <c r="DQ100" s="21">
        <v>2</v>
      </c>
      <c r="DR100" s="21">
        <v>3</v>
      </c>
      <c r="DS100" s="21">
        <v>4</v>
      </c>
      <c r="DT100" s="21">
        <v>3</v>
      </c>
      <c r="DU100" s="21">
        <v>4</v>
      </c>
      <c r="DW100" s="21">
        <v>2</v>
      </c>
      <c r="EA100" s="21">
        <v>4</v>
      </c>
      <c r="EF100" s="25">
        <v>0</v>
      </c>
      <c r="EG100" s="25">
        <v>1</v>
      </c>
      <c r="EH100" s="25">
        <v>0</v>
      </c>
      <c r="EI100" s="25">
        <v>1</v>
      </c>
      <c r="EJ100" s="25" t="s">
        <v>62</v>
      </c>
      <c r="EK100" s="25" t="s">
        <v>130</v>
      </c>
      <c r="EL100" s="25" t="s">
        <v>140</v>
      </c>
      <c r="EM100" s="25" t="s">
        <v>276</v>
      </c>
      <c r="EN100" s="25" t="s">
        <v>23</v>
      </c>
      <c r="EO100" s="25" t="s">
        <v>23</v>
      </c>
      <c r="EP100" s="25" t="s">
        <v>62</v>
      </c>
      <c r="EQ100" s="25" t="s">
        <v>529</v>
      </c>
      <c r="ER100" s="25" t="s">
        <v>278</v>
      </c>
      <c r="ES100" s="25" t="s">
        <v>278</v>
      </c>
      <c r="ET100" s="25">
        <v>1</v>
      </c>
      <c r="EU100" s="25" t="s">
        <v>522</v>
      </c>
      <c r="EV100" s="25" t="s">
        <v>279</v>
      </c>
      <c r="EW100" s="25" t="s">
        <v>279</v>
      </c>
      <c r="EX100" s="25" t="s">
        <v>279</v>
      </c>
      <c r="EY100" s="20" t="e">
        <v>#N/A</v>
      </c>
    </row>
    <row r="101" spans="1:155">
      <c r="A101" s="21" t="s">
        <v>491</v>
      </c>
      <c r="B101" s="21" t="s">
        <v>491</v>
      </c>
      <c r="C101" s="21" t="s">
        <v>492</v>
      </c>
      <c r="D101" s="21" t="s">
        <v>493</v>
      </c>
      <c r="E101" s="21" t="s">
        <v>493</v>
      </c>
      <c r="F101" s="21" t="s">
        <v>493</v>
      </c>
      <c r="G101" s="21" t="s">
        <v>2034</v>
      </c>
      <c r="H101" s="21">
        <v>85988822905</v>
      </c>
      <c r="I101" s="21" t="s">
        <v>494</v>
      </c>
      <c r="J101" s="21" t="s">
        <v>2035</v>
      </c>
      <c r="L101" s="21" t="s">
        <v>495</v>
      </c>
      <c r="M101" s="21" t="s">
        <v>2036</v>
      </c>
      <c r="N101" s="21" t="s">
        <v>496</v>
      </c>
      <c r="O101" s="21" t="s">
        <v>69</v>
      </c>
      <c r="P101" s="21" t="s">
        <v>497</v>
      </c>
      <c r="R101" s="21" t="s">
        <v>498</v>
      </c>
      <c r="S101" s="21" t="s">
        <v>499</v>
      </c>
      <c r="V101" s="21" t="s">
        <v>500</v>
      </c>
      <c r="W101" s="21" t="s">
        <v>501</v>
      </c>
      <c r="X101" s="21" t="s">
        <v>502</v>
      </c>
      <c r="Y101" s="21" t="s">
        <v>503</v>
      </c>
      <c r="Z101" s="21">
        <v>3035469097</v>
      </c>
      <c r="AA101" s="22">
        <v>42739</v>
      </c>
      <c r="AB101" s="22">
        <v>42739</v>
      </c>
      <c r="AC101" s="21" t="s">
        <v>504</v>
      </c>
      <c r="AD101" s="21" t="s">
        <v>505</v>
      </c>
      <c r="AE101" s="21" t="s">
        <v>500</v>
      </c>
      <c r="AF101" s="21" t="s">
        <v>506</v>
      </c>
      <c r="AG101" s="21" t="s">
        <v>1079</v>
      </c>
      <c r="AH101" s="21" t="s">
        <v>1080</v>
      </c>
      <c r="AI101" s="21" t="s">
        <v>1332</v>
      </c>
      <c r="AJ101" s="21" t="s">
        <v>507</v>
      </c>
      <c r="AK101" s="21" t="s">
        <v>494</v>
      </c>
      <c r="AL101" s="21" t="s">
        <v>527</v>
      </c>
      <c r="AM101" s="21" t="s">
        <v>527</v>
      </c>
      <c r="AN101" s="21" t="s">
        <v>527</v>
      </c>
      <c r="AO101" s="21" t="s">
        <v>528</v>
      </c>
      <c r="AS101" s="21" t="s">
        <v>511</v>
      </c>
      <c r="AT101" s="21" t="s">
        <v>512</v>
      </c>
      <c r="AW101" s="21">
        <v>0</v>
      </c>
      <c r="AX101" s="21">
        <v>2</v>
      </c>
      <c r="BC101" s="21" t="s">
        <v>513</v>
      </c>
      <c r="BD101" s="21" t="s">
        <v>514</v>
      </c>
      <c r="BE101" s="21" t="s">
        <v>514</v>
      </c>
      <c r="BF101" s="21" t="s">
        <v>515</v>
      </c>
      <c r="BG101" s="21">
        <v>1</v>
      </c>
      <c r="BH101" s="21" t="s">
        <v>516</v>
      </c>
      <c r="BI101" s="21" t="s">
        <v>517</v>
      </c>
      <c r="BJ101" s="21" t="s">
        <v>516</v>
      </c>
      <c r="BK101" s="21" t="s">
        <v>516</v>
      </c>
      <c r="BM101" s="21" t="s">
        <v>839</v>
      </c>
      <c r="BN101" s="21" t="s">
        <v>889</v>
      </c>
      <c r="BO101" s="21" t="s">
        <v>518</v>
      </c>
      <c r="BP101" s="21" t="s">
        <v>519</v>
      </c>
      <c r="BQ101" s="21" t="s">
        <v>839</v>
      </c>
      <c r="BR101" s="21" t="s">
        <v>889</v>
      </c>
      <c r="BS101" s="21" t="s">
        <v>518</v>
      </c>
      <c r="BT101" s="21" t="s">
        <v>519</v>
      </c>
      <c r="BU101" s="21" t="s">
        <v>889</v>
      </c>
      <c r="CD101" s="21" t="s">
        <v>520</v>
      </c>
      <c r="CF101" s="21" t="s">
        <v>521</v>
      </c>
      <c r="DB101" s="21" t="s">
        <v>943</v>
      </c>
      <c r="DC101" s="21">
        <v>1</v>
      </c>
      <c r="DD101" s="21">
        <v>1</v>
      </c>
      <c r="DE101" s="22">
        <v>42742</v>
      </c>
      <c r="DF101" s="21" t="s">
        <v>2037</v>
      </c>
      <c r="DG101" s="21" t="s">
        <v>522</v>
      </c>
      <c r="DH101" s="21" t="s">
        <v>2038</v>
      </c>
      <c r="DI101" s="21" t="s">
        <v>495</v>
      </c>
      <c r="DJ101" s="21" t="s">
        <v>520</v>
      </c>
      <c r="DL101" s="21">
        <v>42751</v>
      </c>
      <c r="DM101" s="21">
        <v>42741</v>
      </c>
      <c r="DN101" s="21">
        <v>3100</v>
      </c>
      <c r="DO101" s="21">
        <v>10</v>
      </c>
      <c r="DP101" s="21">
        <v>1</v>
      </c>
      <c r="DQ101" s="21">
        <v>1</v>
      </c>
      <c r="DR101" s="21">
        <v>6</v>
      </c>
      <c r="DS101" s="21">
        <v>10</v>
      </c>
      <c r="DT101" s="21">
        <v>10</v>
      </c>
      <c r="DU101" s="21">
        <v>10</v>
      </c>
      <c r="DW101" s="21">
        <v>10</v>
      </c>
      <c r="EA101" s="21">
        <v>10</v>
      </c>
      <c r="EF101" s="25">
        <v>1</v>
      </c>
      <c r="EG101" s="25">
        <v>0</v>
      </c>
      <c r="EH101" s="25">
        <v>1</v>
      </c>
      <c r="EI101" s="25">
        <v>0</v>
      </c>
      <c r="EJ101" s="25" t="s">
        <v>62</v>
      </c>
      <c r="EK101" s="25" t="s">
        <v>276</v>
      </c>
      <c r="EL101" s="25" t="s">
        <v>276</v>
      </c>
      <c r="EM101" s="25" t="s">
        <v>276</v>
      </c>
      <c r="EN101" s="25" t="s">
        <v>276</v>
      </c>
      <c r="EO101" s="25" t="s">
        <v>276</v>
      </c>
      <c r="EP101" s="25" t="s">
        <v>276</v>
      </c>
      <c r="EQ101" s="25" t="s">
        <v>276</v>
      </c>
      <c r="ER101" s="25" t="s">
        <v>276</v>
      </c>
      <c r="ES101" s="25" t="s">
        <v>276</v>
      </c>
      <c r="ET101" s="25">
        <v>1</v>
      </c>
      <c r="EU101" s="25" t="s">
        <v>522</v>
      </c>
      <c r="EV101" s="25" t="s">
        <v>276</v>
      </c>
      <c r="EW101" s="25" t="s">
        <v>276</v>
      </c>
      <c r="EX101" s="25" t="s">
        <v>276</v>
      </c>
      <c r="EY101" s="20" t="e">
        <v>#N/A</v>
      </c>
    </row>
    <row r="102" spans="1:155">
      <c r="A102" s="21" t="s">
        <v>491</v>
      </c>
      <c r="B102" s="21" t="s">
        <v>491</v>
      </c>
      <c r="C102" s="21" t="s">
        <v>492</v>
      </c>
      <c r="D102" s="21" t="s">
        <v>493</v>
      </c>
      <c r="E102" s="21" t="s">
        <v>493</v>
      </c>
      <c r="F102" s="21" t="s">
        <v>493</v>
      </c>
      <c r="G102" s="21" t="s">
        <v>1804</v>
      </c>
      <c r="H102" s="21">
        <v>2130834791</v>
      </c>
      <c r="I102" s="21" t="s">
        <v>494</v>
      </c>
      <c r="J102" s="21" t="s">
        <v>1805</v>
      </c>
      <c r="L102" s="21" t="s">
        <v>495</v>
      </c>
      <c r="M102" s="21" t="s">
        <v>1806</v>
      </c>
      <c r="N102" s="21" t="s">
        <v>1807</v>
      </c>
      <c r="O102" s="21" t="s">
        <v>69</v>
      </c>
      <c r="P102" s="21" t="s">
        <v>497</v>
      </c>
      <c r="R102" s="21" t="s">
        <v>1808</v>
      </c>
      <c r="S102" s="21" t="s">
        <v>1809</v>
      </c>
      <c r="V102" s="21" t="s">
        <v>500</v>
      </c>
      <c r="W102" s="21" t="s">
        <v>501</v>
      </c>
      <c r="X102" s="21" t="s">
        <v>502</v>
      </c>
      <c r="Y102" s="21" t="s">
        <v>503</v>
      </c>
      <c r="Z102" s="21">
        <v>3035477043</v>
      </c>
      <c r="AA102" s="22">
        <v>42739</v>
      </c>
      <c r="AB102" s="22">
        <v>42739</v>
      </c>
      <c r="AC102" s="21" t="s">
        <v>504</v>
      </c>
      <c r="AD102" s="21" t="s">
        <v>505</v>
      </c>
      <c r="AE102" s="21" t="s">
        <v>500</v>
      </c>
      <c r="AF102" s="21" t="s">
        <v>564</v>
      </c>
      <c r="AG102" s="21" t="s">
        <v>571</v>
      </c>
      <c r="AH102" s="21" t="s">
        <v>572</v>
      </c>
      <c r="AI102" s="21" t="s">
        <v>1810</v>
      </c>
      <c r="AJ102" s="21" t="s">
        <v>507</v>
      </c>
      <c r="AK102" s="21" t="s">
        <v>494</v>
      </c>
      <c r="AL102" s="21" t="s">
        <v>508</v>
      </c>
      <c r="AM102" s="21" t="s">
        <v>509</v>
      </c>
      <c r="AN102" s="21" t="s">
        <v>527</v>
      </c>
      <c r="AO102" s="21" t="s">
        <v>528</v>
      </c>
      <c r="AQ102" s="21" t="s">
        <v>1431</v>
      </c>
      <c r="AS102" s="21" t="s">
        <v>511</v>
      </c>
      <c r="AT102" s="21" t="s">
        <v>512</v>
      </c>
      <c r="AW102" s="21">
        <v>0</v>
      </c>
      <c r="AX102" s="21">
        <v>2</v>
      </c>
      <c r="BC102" s="21" t="s">
        <v>513</v>
      </c>
      <c r="BD102" s="21" t="s">
        <v>514</v>
      </c>
      <c r="BE102" s="21" t="s">
        <v>514</v>
      </c>
      <c r="BF102" s="21" t="s">
        <v>515</v>
      </c>
      <c r="BG102" s="21">
        <v>1</v>
      </c>
      <c r="BH102" s="21" t="s">
        <v>516</v>
      </c>
      <c r="BI102" s="21" t="s">
        <v>517</v>
      </c>
      <c r="BJ102" s="21" t="s">
        <v>516</v>
      </c>
      <c r="BK102" s="21" t="s">
        <v>516</v>
      </c>
      <c r="BM102" s="21" t="s">
        <v>1423</v>
      </c>
      <c r="BN102" s="21" t="s">
        <v>227</v>
      </c>
      <c r="BO102" s="21" t="s">
        <v>518</v>
      </c>
      <c r="BP102" s="21" t="s">
        <v>1044</v>
      </c>
      <c r="BQ102" s="21" t="s">
        <v>1423</v>
      </c>
      <c r="BR102" s="21" t="s">
        <v>227</v>
      </c>
      <c r="BS102" s="21" t="s">
        <v>518</v>
      </c>
      <c r="BT102" s="21" t="s">
        <v>1044</v>
      </c>
      <c r="BU102" s="21" t="s">
        <v>227</v>
      </c>
      <c r="CD102" s="21" t="s">
        <v>520</v>
      </c>
      <c r="CF102" s="21" t="s">
        <v>521</v>
      </c>
      <c r="DB102" s="21" t="s">
        <v>943</v>
      </c>
      <c r="DC102" s="21">
        <v>1</v>
      </c>
      <c r="DD102" s="21">
        <v>1</v>
      </c>
      <c r="DE102" s="22">
        <v>42742</v>
      </c>
      <c r="DF102" s="21" t="s">
        <v>1811</v>
      </c>
      <c r="DG102" s="21" t="s">
        <v>522</v>
      </c>
      <c r="DH102" s="21" t="s">
        <v>1812</v>
      </c>
      <c r="DI102" s="21" t="s">
        <v>495</v>
      </c>
      <c r="DJ102" s="21" t="s">
        <v>520</v>
      </c>
      <c r="DL102" s="21">
        <v>42751</v>
      </c>
      <c r="DM102" s="21">
        <v>42741</v>
      </c>
      <c r="DN102" s="21">
        <v>3100</v>
      </c>
      <c r="DO102" s="21">
        <v>10</v>
      </c>
      <c r="DP102" s="21">
        <v>1</v>
      </c>
      <c r="DQ102" s="21">
        <v>1</v>
      </c>
      <c r="DR102" s="21">
        <v>6</v>
      </c>
      <c r="DS102" s="21">
        <v>10</v>
      </c>
      <c r="DT102" s="21">
        <v>10</v>
      </c>
      <c r="DU102" s="21">
        <v>10</v>
      </c>
      <c r="DW102" s="21">
        <v>10</v>
      </c>
      <c r="EA102" s="21">
        <v>10</v>
      </c>
      <c r="EF102" s="25">
        <v>1</v>
      </c>
      <c r="EG102" s="25">
        <v>0</v>
      </c>
      <c r="EH102" s="25">
        <v>1</v>
      </c>
      <c r="EI102" s="25">
        <v>0</v>
      </c>
      <c r="EJ102" s="25" t="s">
        <v>62</v>
      </c>
      <c r="EK102" s="25" t="s">
        <v>228</v>
      </c>
      <c r="EL102" s="25" t="s">
        <v>228</v>
      </c>
      <c r="EM102" s="25" t="s">
        <v>276</v>
      </c>
      <c r="EN102" s="25" t="s">
        <v>31</v>
      </c>
      <c r="EO102" s="25" t="s">
        <v>31</v>
      </c>
      <c r="EP102" s="25" t="s">
        <v>92</v>
      </c>
      <c r="EQ102" s="25" t="s">
        <v>92</v>
      </c>
      <c r="ER102" s="25" t="s">
        <v>278</v>
      </c>
      <c r="ES102" s="25" t="s">
        <v>278</v>
      </c>
      <c r="ET102" s="25">
        <v>1</v>
      </c>
      <c r="EU102" s="25" t="s">
        <v>522</v>
      </c>
      <c r="EV102" s="25" t="s">
        <v>228</v>
      </c>
      <c r="EW102" s="25" t="s">
        <v>31</v>
      </c>
      <c r="EX102" s="25" t="s">
        <v>278</v>
      </c>
      <c r="EY102" s="20" t="e">
        <v>#N/A</v>
      </c>
    </row>
    <row r="103" spans="1:155">
      <c r="A103" s="21" t="s">
        <v>491</v>
      </c>
      <c r="B103" s="21" t="s">
        <v>491</v>
      </c>
      <c r="C103" s="21" t="s">
        <v>492</v>
      </c>
      <c r="D103" s="21" t="s">
        <v>493</v>
      </c>
      <c r="E103" s="21" t="s">
        <v>493</v>
      </c>
      <c r="F103" s="21" t="s">
        <v>493</v>
      </c>
      <c r="G103" s="21" t="s">
        <v>1813</v>
      </c>
      <c r="H103" s="21">
        <v>4333224697</v>
      </c>
      <c r="I103" s="21" t="s">
        <v>494</v>
      </c>
      <c r="J103" s="21" t="s">
        <v>1814</v>
      </c>
      <c r="L103" s="21" t="s">
        <v>495</v>
      </c>
      <c r="M103" s="21" t="s">
        <v>1815</v>
      </c>
      <c r="N103" s="21" t="s">
        <v>1634</v>
      </c>
      <c r="O103" s="21" t="s">
        <v>144</v>
      </c>
      <c r="P103" s="21" t="s">
        <v>1635</v>
      </c>
      <c r="R103" s="21" t="s">
        <v>1816</v>
      </c>
      <c r="S103" s="21" t="s">
        <v>1637</v>
      </c>
      <c r="V103" s="21" t="s">
        <v>500</v>
      </c>
      <c r="W103" s="21" t="s">
        <v>501</v>
      </c>
      <c r="X103" s="21" t="s">
        <v>502</v>
      </c>
      <c r="Y103" s="21" t="s">
        <v>554</v>
      </c>
      <c r="Z103" s="21">
        <v>3035472100</v>
      </c>
      <c r="AA103" s="22">
        <v>42739</v>
      </c>
      <c r="AB103" s="22">
        <v>42739</v>
      </c>
      <c r="AC103" s="21" t="s">
        <v>504</v>
      </c>
      <c r="AD103" s="21" t="s">
        <v>505</v>
      </c>
      <c r="AE103" s="21" t="s">
        <v>500</v>
      </c>
      <c r="AF103" s="21" t="s">
        <v>549</v>
      </c>
      <c r="AG103" s="21" t="s">
        <v>1007</v>
      </c>
      <c r="AH103" s="21" t="s">
        <v>1008</v>
      </c>
      <c r="AI103" s="21" t="s">
        <v>1817</v>
      </c>
      <c r="AJ103" s="21" t="s">
        <v>526</v>
      </c>
      <c r="AK103" s="21" t="s">
        <v>494</v>
      </c>
      <c r="AL103" s="21" t="s">
        <v>508</v>
      </c>
      <c r="AM103" s="21" t="s">
        <v>509</v>
      </c>
      <c r="AN103" s="21" t="s">
        <v>509</v>
      </c>
      <c r="AO103" s="21" t="s">
        <v>510</v>
      </c>
      <c r="AS103" s="21" t="s">
        <v>511</v>
      </c>
      <c r="AT103" s="21" t="s">
        <v>512</v>
      </c>
      <c r="AW103" s="21">
        <v>0</v>
      </c>
      <c r="AX103" s="21">
        <v>5</v>
      </c>
      <c r="BC103" s="21" t="s">
        <v>513</v>
      </c>
      <c r="BD103" s="21" t="s">
        <v>514</v>
      </c>
      <c r="BE103" s="21" t="s">
        <v>514</v>
      </c>
      <c r="BF103" s="21" t="s">
        <v>515</v>
      </c>
      <c r="BG103" s="21">
        <v>1</v>
      </c>
      <c r="BH103" s="21" t="s">
        <v>516</v>
      </c>
      <c r="BI103" s="21" t="s">
        <v>517</v>
      </c>
      <c r="BJ103" s="21" t="s">
        <v>516</v>
      </c>
      <c r="BK103" s="21" t="s">
        <v>516</v>
      </c>
      <c r="BM103" s="21" t="s">
        <v>54</v>
      </c>
      <c r="BN103" s="21" t="s">
        <v>259</v>
      </c>
      <c r="BO103" s="21" t="s">
        <v>518</v>
      </c>
      <c r="BP103" s="21" t="s">
        <v>519</v>
      </c>
      <c r="BQ103" s="21" t="s">
        <v>54</v>
      </c>
      <c r="BR103" s="21" t="s">
        <v>259</v>
      </c>
      <c r="BS103" s="21" t="s">
        <v>518</v>
      </c>
      <c r="BT103" s="21" t="s">
        <v>519</v>
      </c>
      <c r="BU103" s="21" t="s">
        <v>259</v>
      </c>
      <c r="CD103" s="21" t="s">
        <v>520</v>
      </c>
      <c r="CF103" s="21" t="s">
        <v>521</v>
      </c>
      <c r="DB103" s="21" t="s">
        <v>943</v>
      </c>
      <c r="DC103" s="21">
        <v>1</v>
      </c>
      <c r="DD103" s="21">
        <v>1</v>
      </c>
      <c r="DE103" s="22">
        <v>42742</v>
      </c>
      <c r="DF103" s="21" t="s">
        <v>1818</v>
      </c>
      <c r="DG103" s="21" t="s">
        <v>522</v>
      </c>
      <c r="DH103" s="21" t="s">
        <v>1819</v>
      </c>
      <c r="DI103" s="21" t="s">
        <v>495</v>
      </c>
      <c r="DJ103" s="21" t="s">
        <v>520</v>
      </c>
      <c r="DL103" s="21">
        <v>42751</v>
      </c>
      <c r="DM103" s="21">
        <v>42741</v>
      </c>
      <c r="DN103" s="21">
        <v>3100</v>
      </c>
      <c r="DO103" s="21">
        <v>10</v>
      </c>
      <c r="DP103" s="21">
        <v>1</v>
      </c>
      <c r="DQ103" s="21">
        <v>1</v>
      </c>
      <c r="DR103" s="21">
        <v>6</v>
      </c>
      <c r="DS103" s="21">
        <v>10</v>
      </c>
      <c r="DT103" s="21">
        <v>10</v>
      </c>
      <c r="DU103" s="21">
        <v>10</v>
      </c>
      <c r="DW103" s="21">
        <v>10</v>
      </c>
      <c r="EA103" s="21">
        <v>10</v>
      </c>
      <c r="EB103" s="21" t="s">
        <v>1820</v>
      </c>
      <c r="EC103" s="21" t="s">
        <v>1221</v>
      </c>
      <c r="EF103" s="25">
        <v>1</v>
      </c>
      <c r="EG103" s="25">
        <v>0</v>
      </c>
      <c r="EH103" s="25">
        <v>1</v>
      </c>
      <c r="EI103" s="25">
        <v>0</v>
      </c>
      <c r="EJ103" s="25" t="s">
        <v>62</v>
      </c>
      <c r="EK103" s="25" t="s">
        <v>276</v>
      </c>
      <c r="EL103" s="25" t="s">
        <v>276</v>
      </c>
      <c r="EM103" s="25" t="s">
        <v>276</v>
      </c>
      <c r="EN103" s="25" t="s">
        <v>276</v>
      </c>
      <c r="EO103" s="25" t="s">
        <v>276</v>
      </c>
      <c r="EP103" s="25" t="s">
        <v>276</v>
      </c>
      <c r="EQ103" s="25" t="s">
        <v>276</v>
      </c>
      <c r="ER103" s="25" t="s">
        <v>276</v>
      </c>
      <c r="ES103" s="25" t="s">
        <v>276</v>
      </c>
      <c r="ET103" s="25">
        <v>1</v>
      </c>
      <c r="EU103" s="25" t="s">
        <v>522</v>
      </c>
      <c r="EV103" s="25" t="s">
        <v>276</v>
      </c>
      <c r="EW103" s="25" t="s">
        <v>276</v>
      </c>
      <c r="EX103" s="25" t="s">
        <v>276</v>
      </c>
      <c r="EY103" s="20" t="s">
        <v>273</v>
      </c>
    </row>
    <row r="104" spans="1:155">
      <c r="A104" s="21" t="s">
        <v>491</v>
      </c>
      <c r="B104" s="21" t="s">
        <v>491</v>
      </c>
      <c r="C104" s="21" t="s">
        <v>492</v>
      </c>
      <c r="D104" s="21" t="s">
        <v>493</v>
      </c>
      <c r="E104" s="21" t="s">
        <v>493</v>
      </c>
      <c r="F104" s="21" t="s">
        <v>493</v>
      </c>
      <c r="G104" s="21" t="s">
        <v>1821</v>
      </c>
      <c r="H104" s="21" t="s">
        <v>1822</v>
      </c>
      <c r="I104" s="21" t="s">
        <v>494</v>
      </c>
      <c r="J104" s="21" t="s">
        <v>1823</v>
      </c>
      <c r="L104" s="21" t="s">
        <v>495</v>
      </c>
      <c r="M104" s="21" t="s">
        <v>1824</v>
      </c>
      <c r="N104" s="21" t="s">
        <v>496</v>
      </c>
      <c r="O104" s="21" t="s">
        <v>69</v>
      </c>
      <c r="P104" s="21" t="s">
        <v>497</v>
      </c>
      <c r="R104" s="21" t="s">
        <v>498</v>
      </c>
      <c r="S104" s="21" t="s">
        <v>499</v>
      </c>
      <c r="V104" s="21" t="s">
        <v>500</v>
      </c>
      <c r="W104" s="21" t="s">
        <v>501</v>
      </c>
      <c r="X104" s="21" t="s">
        <v>502</v>
      </c>
      <c r="Y104" s="21" t="s">
        <v>503</v>
      </c>
      <c r="Z104" s="21">
        <v>3035469853</v>
      </c>
      <c r="AA104" s="22">
        <v>42739</v>
      </c>
      <c r="AB104" s="22">
        <v>42739</v>
      </c>
      <c r="AC104" s="21" t="s">
        <v>504</v>
      </c>
      <c r="AD104" s="21" t="s">
        <v>505</v>
      </c>
      <c r="AE104" s="21" t="s">
        <v>500</v>
      </c>
      <c r="AF104" s="21" t="s">
        <v>549</v>
      </c>
      <c r="AG104" s="21" t="s">
        <v>555</v>
      </c>
      <c r="AH104" s="21" t="s">
        <v>556</v>
      </c>
      <c r="AI104" s="21" t="s">
        <v>1342</v>
      </c>
      <c r="AJ104" s="21" t="s">
        <v>526</v>
      </c>
      <c r="AK104" s="21" t="s">
        <v>494</v>
      </c>
      <c r="AL104" s="21" t="s">
        <v>527</v>
      </c>
      <c r="AM104" s="21" t="s">
        <v>527</v>
      </c>
      <c r="AN104" s="21" t="s">
        <v>527</v>
      </c>
      <c r="AO104" s="21" t="s">
        <v>528</v>
      </c>
      <c r="AS104" s="21" t="s">
        <v>511</v>
      </c>
      <c r="AT104" s="21" t="s">
        <v>512</v>
      </c>
      <c r="AW104" s="21">
        <v>0</v>
      </c>
      <c r="AX104" s="21">
        <v>2</v>
      </c>
      <c r="BC104" s="21" t="s">
        <v>513</v>
      </c>
      <c r="BD104" s="21" t="s">
        <v>514</v>
      </c>
      <c r="BE104" s="21" t="s">
        <v>514</v>
      </c>
      <c r="BF104" s="21" t="s">
        <v>515</v>
      </c>
      <c r="BG104" s="21">
        <v>1</v>
      </c>
      <c r="BH104" s="21" t="s">
        <v>516</v>
      </c>
      <c r="BI104" s="21" t="s">
        <v>517</v>
      </c>
      <c r="BJ104" s="21" t="s">
        <v>516</v>
      </c>
      <c r="BK104" s="21" t="s">
        <v>516</v>
      </c>
      <c r="BM104" s="21" t="s">
        <v>11</v>
      </c>
      <c r="BN104" s="21" t="s">
        <v>87</v>
      </c>
      <c r="BO104" s="21" t="s">
        <v>518</v>
      </c>
      <c r="BP104" s="21" t="s">
        <v>519</v>
      </c>
      <c r="BQ104" s="21" t="s">
        <v>11</v>
      </c>
      <c r="BR104" s="21" t="s">
        <v>87</v>
      </c>
      <c r="BS104" s="21" t="s">
        <v>518</v>
      </c>
      <c r="BT104" s="21" t="s">
        <v>519</v>
      </c>
      <c r="BU104" s="21" t="s">
        <v>87</v>
      </c>
      <c r="CD104" s="21" t="s">
        <v>520</v>
      </c>
      <c r="CF104" s="21" t="s">
        <v>521</v>
      </c>
      <c r="DB104" s="21" t="s">
        <v>943</v>
      </c>
      <c r="DC104" s="21">
        <v>1</v>
      </c>
      <c r="DD104" s="21">
        <v>1</v>
      </c>
      <c r="DE104" s="22">
        <v>42742</v>
      </c>
      <c r="DF104" s="21" t="s">
        <v>1825</v>
      </c>
      <c r="DG104" s="21" t="s">
        <v>522</v>
      </c>
      <c r="DH104" s="21" t="s">
        <v>1826</v>
      </c>
      <c r="DI104" s="21" t="s">
        <v>495</v>
      </c>
      <c r="DJ104" s="21" t="s">
        <v>520</v>
      </c>
      <c r="DL104" s="21">
        <v>42751</v>
      </c>
      <c r="DM104" s="21">
        <v>42741</v>
      </c>
      <c r="DN104" s="21">
        <v>3100</v>
      </c>
      <c r="DO104" s="21">
        <v>9</v>
      </c>
      <c r="DP104" s="21">
        <v>1</v>
      </c>
      <c r="DQ104" s="21">
        <v>1</v>
      </c>
      <c r="DR104" s="21">
        <v>5</v>
      </c>
      <c r="DS104" s="21">
        <v>10</v>
      </c>
      <c r="DT104" s="21">
        <v>10</v>
      </c>
      <c r="DU104" s="21">
        <v>10</v>
      </c>
      <c r="DW104" s="21">
        <v>10</v>
      </c>
      <c r="EA104" s="21">
        <v>9</v>
      </c>
      <c r="EB104" s="21" t="s">
        <v>1827</v>
      </c>
      <c r="EC104" s="21" t="s">
        <v>1221</v>
      </c>
      <c r="EF104" s="25">
        <v>1</v>
      </c>
      <c r="EG104" s="25">
        <v>0</v>
      </c>
      <c r="EH104" s="25">
        <v>1</v>
      </c>
      <c r="EI104" s="25">
        <v>0</v>
      </c>
      <c r="EJ104" s="25" t="s">
        <v>62</v>
      </c>
      <c r="EK104" s="25" t="s">
        <v>88</v>
      </c>
      <c r="EL104" s="25" t="s">
        <v>88</v>
      </c>
      <c r="EM104" s="25" t="s">
        <v>276</v>
      </c>
      <c r="EN104" s="25" t="s">
        <v>9</v>
      </c>
      <c r="EO104" s="25" t="s">
        <v>9</v>
      </c>
      <c r="EP104" s="25" t="s">
        <v>62</v>
      </c>
      <c r="EQ104" s="25" t="s">
        <v>62</v>
      </c>
      <c r="ER104" s="25" t="s">
        <v>278</v>
      </c>
      <c r="ES104" s="25" t="s">
        <v>278</v>
      </c>
      <c r="ET104" s="25">
        <v>1</v>
      </c>
      <c r="EU104" s="25" t="s">
        <v>522</v>
      </c>
      <c r="EV104" s="25" t="s">
        <v>88</v>
      </c>
      <c r="EW104" s="25" t="s">
        <v>9</v>
      </c>
      <c r="EX104" s="25" t="s">
        <v>278</v>
      </c>
      <c r="EY104" s="20" t="e">
        <v>#N/A</v>
      </c>
    </row>
    <row r="105" spans="1:155">
      <c r="A105" s="21" t="s">
        <v>491</v>
      </c>
      <c r="B105" s="21" t="s">
        <v>491</v>
      </c>
      <c r="C105" s="21" t="s">
        <v>492</v>
      </c>
      <c r="D105" s="21" t="s">
        <v>493</v>
      </c>
      <c r="E105" s="21" t="s">
        <v>493</v>
      </c>
      <c r="F105" s="21" t="s">
        <v>493</v>
      </c>
      <c r="G105" s="21" t="s">
        <v>2039</v>
      </c>
      <c r="H105" s="21">
        <v>81996914762</v>
      </c>
      <c r="I105" s="21" t="s">
        <v>494</v>
      </c>
      <c r="J105" s="21" t="s">
        <v>2040</v>
      </c>
      <c r="L105" s="21" t="s">
        <v>495</v>
      </c>
      <c r="M105" s="21" t="s">
        <v>2041</v>
      </c>
      <c r="N105" s="21" t="s">
        <v>1751</v>
      </c>
      <c r="O105" s="21" t="s">
        <v>93</v>
      </c>
      <c r="P105" s="21" t="s">
        <v>539</v>
      </c>
      <c r="Q105" s="21" t="s">
        <v>1168</v>
      </c>
      <c r="R105" s="21" t="s">
        <v>1753</v>
      </c>
      <c r="S105" s="21" t="s">
        <v>1053</v>
      </c>
      <c r="V105" s="21" t="s">
        <v>277</v>
      </c>
      <c r="W105" s="21" t="s">
        <v>524</v>
      </c>
      <c r="X105" s="21" t="s">
        <v>525</v>
      </c>
      <c r="Y105" s="21" t="s">
        <v>530</v>
      </c>
      <c r="Z105" s="21">
        <v>3035452705</v>
      </c>
      <c r="AA105" s="22">
        <v>42738</v>
      </c>
      <c r="AB105" s="22">
        <v>42740</v>
      </c>
      <c r="AC105" s="21" t="s">
        <v>504</v>
      </c>
      <c r="AD105" s="21" t="s">
        <v>505</v>
      </c>
      <c r="AE105" s="21" t="s">
        <v>1156</v>
      </c>
      <c r="AF105" s="21" t="s">
        <v>1191</v>
      </c>
      <c r="AG105" s="21" t="s">
        <v>1359</v>
      </c>
      <c r="AH105" s="21" t="s">
        <v>1360</v>
      </c>
      <c r="AI105" s="21" t="s">
        <v>2042</v>
      </c>
      <c r="AJ105" s="21" t="s">
        <v>507</v>
      </c>
      <c r="AK105" s="21" t="s">
        <v>494</v>
      </c>
      <c r="AL105" s="21" t="s">
        <v>527</v>
      </c>
      <c r="AM105" s="21" t="s">
        <v>527</v>
      </c>
      <c r="AN105" s="21" t="s">
        <v>527</v>
      </c>
      <c r="AO105" s="21" t="s">
        <v>528</v>
      </c>
      <c r="AS105" s="21" t="s">
        <v>511</v>
      </c>
      <c r="AT105" s="21" t="s">
        <v>512</v>
      </c>
      <c r="AW105" s="21">
        <v>0</v>
      </c>
      <c r="AX105" s="21">
        <v>9</v>
      </c>
      <c r="BC105" s="21" t="s">
        <v>513</v>
      </c>
      <c r="BD105" s="21" t="s">
        <v>514</v>
      </c>
      <c r="BE105" s="21" t="s">
        <v>514</v>
      </c>
      <c r="BF105" s="21" t="s">
        <v>515</v>
      </c>
      <c r="BG105" s="21">
        <v>1</v>
      </c>
      <c r="BH105" s="21" t="s">
        <v>516</v>
      </c>
      <c r="BI105" s="21" t="s">
        <v>517</v>
      </c>
      <c r="BJ105" s="21" t="s">
        <v>516</v>
      </c>
      <c r="BK105" s="21" t="s">
        <v>516</v>
      </c>
      <c r="BM105" s="21" t="s">
        <v>42</v>
      </c>
      <c r="BN105" s="21" t="s">
        <v>246</v>
      </c>
      <c r="BO105" s="21" t="s">
        <v>518</v>
      </c>
      <c r="BP105" s="21" t="s">
        <v>519</v>
      </c>
      <c r="BQ105" s="21" t="s">
        <v>38</v>
      </c>
      <c r="BR105" s="21" t="s">
        <v>238</v>
      </c>
      <c r="BS105" s="21" t="s">
        <v>518</v>
      </c>
      <c r="BT105" s="21" t="s">
        <v>1044</v>
      </c>
      <c r="BU105" s="21" t="s">
        <v>246</v>
      </c>
      <c r="CD105" s="21" t="s">
        <v>520</v>
      </c>
      <c r="CF105" s="21" t="s">
        <v>521</v>
      </c>
      <c r="DB105" s="21" t="s">
        <v>943</v>
      </c>
      <c r="DC105" s="21">
        <v>1</v>
      </c>
      <c r="DD105" s="21">
        <v>1</v>
      </c>
      <c r="DE105" s="22">
        <v>42742</v>
      </c>
      <c r="DF105" s="21" t="s">
        <v>2043</v>
      </c>
      <c r="DG105" s="21" t="s">
        <v>522</v>
      </c>
      <c r="DH105" s="21" t="s">
        <v>2044</v>
      </c>
      <c r="DI105" s="21" t="s">
        <v>495</v>
      </c>
      <c r="DJ105" s="21" t="s">
        <v>520</v>
      </c>
      <c r="DL105" s="21">
        <v>42752</v>
      </c>
      <c r="DM105" s="21">
        <v>42742</v>
      </c>
      <c r="DN105" s="21">
        <v>1100</v>
      </c>
      <c r="DO105" s="21">
        <v>10</v>
      </c>
      <c r="DP105" s="21">
        <v>1</v>
      </c>
      <c r="DQ105" s="21">
        <v>2</v>
      </c>
      <c r="DR105" s="21">
        <v>6</v>
      </c>
      <c r="DS105" s="21">
        <v>9</v>
      </c>
      <c r="DT105" s="21">
        <v>9</v>
      </c>
      <c r="DU105" s="21">
        <v>10</v>
      </c>
      <c r="DW105" s="21">
        <v>10</v>
      </c>
      <c r="EA105" s="21">
        <v>10</v>
      </c>
      <c r="EB105" s="21" t="s">
        <v>2045</v>
      </c>
      <c r="EC105" s="21" t="s">
        <v>1221</v>
      </c>
      <c r="EF105" s="25">
        <v>1</v>
      </c>
      <c r="EG105" s="25">
        <v>0</v>
      </c>
      <c r="EH105" s="25">
        <v>1</v>
      </c>
      <c r="EI105" s="25">
        <v>0</v>
      </c>
      <c r="EJ105" s="25" t="s">
        <v>92</v>
      </c>
      <c r="EK105" s="25" t="s">
        <v>247</v>
      </c>
      <c r="EL105" s="25" t="s">
        <v>239</v>
      </c>
      <c r="EM105" s="25" t="s">
        <v>276</v>
      </c>
      <c r="EN105" s="25" t="s">
        <v>39</v>
      </c>
      <c r="EO105" s="25" t="s">
        <v>39</v>
      </c>
      <c r="EP105" s="25" t="s">
        <v>92</v>
      </c>
      <c r="EQ105" s="25" t="s">
        <v>529</v>
      </c>
      <c r="ER105" s="25" t="s">
        <v>278</v>
      </c>
      <c r="ES105" s="25" t="s">
        <v>278</v>
      </c>
      <c r="ET105" s="25">
        <v>1</v>
      </c>
      <c r="EU105" s="25" t="s">
        <v>522</v>
      </c>
      <c r="EV105" s="25" t="s">
        <v>279</v>
      </c>
      <c r="EW105" s="25" t="s">
        <v>279</v>
      </c>
      <c r="EX105" s="25" t="s">
        <v>279</v>
      </c>
      <c r="EY105" s="20" t="e">
        <v>#N/A</v>
      </c>
    </row>
    <row r="106" spans="1:155">
      <c r="A106" s="21" t="s">
        <v>491</v>
      </c>
      <c r="B106" s="21" t="s">
        <v>491</v>
      </c>
      <c r="C106" s="21" t="s">
        <v>492</v>
      </c>
      <c r="D106" s="21" t="s">
        <v>493</v>
      </c>
      <c r="E106" s="21" t="s">
        <v>493</v>
      </c>
      <c r="F106" s="21" t="s">
        <v>493</v>
      </c>
      <c r="G106" s="21" t="s">
        <v>2046</v>
      </c>
      <c r="H106" s="21">
        <v>98981683593</v>
      </c>
      <c r="I106" s="21" t="s">
        <v>494</v>
      </c>
      <c r="J106" s="21" t="s">
        <v>2047</v>
      </c>
      <c r="L106" s="21" t="s">
        <v>495</v>
      </c>
      <c r="M106" s="21" t="s">
        <v>2048</v>
      </c>
      <c r="N106" s="21" t="s">
        <v>1066</v>
      </c>
      <c r="O106" s="21" t="s">
        <v>93</v>
      </c>
      <c r="P106" s="21" t="s">
        <v>539</v>
      </c>
      <c r="Q106" s="21" t="s">
        <v>1168</v>
      </c>
      <c r="R106" s="21" t="s">
        <v>1067</v>
      </c>
      <c r="S106" s="21" t="s">
        <v>1068</v>
      </c>
      <c r="V106" s="21" t="s">
        <v>277</v>
      </c>
      <c r="W106" s="21" t="s">
        <v>524</v>
      </c>
      <c r="X106" s="21" t="s">
        <v>525</v>
      </c>
      <c r="Y106" s="21" t="s">
        <v>530</v>
      </c>
      <c r="Z106" s="21">
        <v>3035514556</v>
      </c>
      <c r="AA106" s="22">
        <v>42740</v>
      </c>
      <c r="AB106" s="22">
        <v>42740</v>
      </c>
      <c r="AC106" s="21" t="s">
        <v>504</v>
      </c>
      <c r="AD106" s="21" t="s">
        <v>505</v>
      </c>
      <c r="AE106" s="21" t="s">
        <v>1156</v>
      </c>
      <c r="AF106" s="21" t="s">
        <v>2049</v>
      </c>
      <c r="AG106" s="21" t="s">
        <v>2050</v>
      </c>
      <c r="AH106" s="21" t="s">
        <v>2051</v>
      </c>
      <c r="AI106" s="21" t="s">
        <v>2052</v>
      </c>
      <c r="AJ106" s="21" t="s">
        <v>507</v>
      </c>
      <c r="AK106" s="21" t="s">
        <v>494</v>
      </c>
      <c r="AL106" s="21" t="s">
        <v>527</v>
      </c>
      <c r="AM106" s="21" t="s">
        <v>527</v>
      </c>
      <c r="AN106" s="21" t="s">
        <v>527</v>
      </c>
      <c r="AO106" s="21" t="s">
        <v>528</v>
      </c>
      <c r="AS106" s="21" t="s">
        <v>511</v>
      </c>
      <c r="AT106" s="21" t="s">
        <v>512</v>
      </c>
      <c r="AW106" s="21">
        <v>0</v>
      </c>
      <c r="AX106" s="21">
        <v>2</v>
      </c>
      <c r="BC106" s="21" t="s">
        <v>513</v>
      </c>
      <c r="BD106" s="21" t="s">
        <v>514</v>
      </c>
      <c r="BE106" s="21" t="s">
        <v>514</v>
      </c>
      <c r="BF106" s="21" t="s">
        <v>515</v>
      </c>
      <c r="BG106" s="21">
        <v>1</v>
      </c>
      <c r="BH106" s="21" t="s">
        <v>516</v>
      </c>
      <c r="BI106" s="21" t="s">
        <v>517</v>
      </c>
      <c r="BJ106" s="21" t="s">
        <v>516</v>
      </c>
      <c r="BK106" s="21" t="s">
        <v>516</v>
      </c>
      <c r="BM106" s="21" t="s">
        <v>1288</v>
      </c>
      <c r="BN106" s="21" t="s">
        <v>234</v>
      </c>
      <c r="BO106" s="21" t="s">
        <v>518</v>
      </c>
      <c r="BP106" s="21" t="s">
        <v>1044</v>
      </c>
      <c r="BQ106" s="21" t="s">
        <v>1288</v>
      </c>
      <c r="BR106" s="21" t="s">
        <v>234</v>
      </c>
      <c r="BS106" s="21" t="s">
        <v>518</v>
      </c>
      <c r="BT106" s="21" t="s">
        <v>1044</v>
      </c>
      <c r="BU106" s="21" t="s">
        <v>234</v>
      </c>
      <c r="CD106" s="21" t="s">
        <v>520</v>
      </c>
      <c r="CF106" s="21" t="s">
        <v>521</v>
      </c>
      <c r="DB106" s="21" t="s">
        <v>943</v>
      </c>
      <c r="DC106" s="21">
        <v>1</v>
      </c>
      <c r="DD106" s="21">
        <v>1</v>
      </c>
      <c r="DE106" s="22">
        <v>42742</v>
      </c>
      <c r="DF106" s="21" t="s">
        <v>2053</v>
      </c>
      <c r="DG106" s="21" t="s">
        <v>522</v>
      </c>
      <c r="DH106" s="21" t="s">
        <v>2054</v>
      </c>
      <c r="DI106" s="21" t="s">
        <v>495</v>
      </c>
      <c r="DJ106" s="21" t="s">
        <v>520</v>
      </c>
      <c r="DL106" s="21">
        <v>42752</v>
      </c>
      <c r="DM106" s="21">
        <v>42742</v>
      </c>
      <c r="DN106" s="21">
        <v>1100</v>
      </c>
      <c r="DO106" s="21">
        <v>0</v>
      </c>
      <c r="DP106" s="21">
        <v>2</v>
      </c>
      <c r="DQ106" s="21">
        <v>2</v>
      </c>
      <c r="DR106" s="21">
        <v>3</v>
      </c>
      <c r="DS106" s="21">
        <v>6</v>
      </c>
      <c r="DT106" s="21">
        <v>10</v>
      </c>
      <c r="DU106" s="21">
        <v>10</v>
      </c>
      <c r="DW106" s="21">
        <v>0</v>
      </c>
      <c r="EA106" s="21">
        <v>2</v>
      </c>
      <c r="EB106" s="21" t="s">
        <v>2055</v>
      </c>
      <c r="EC106" s="21" t="s">
        <v>2056</v>
      </c>
      <c r="EF106" s="25">
        <v>0</v>
      </c>
      <c r="EG106" s="25">
        <v>1</v>
      </c>
      <c r="EH106" s="25">
        <v>0</v>
      </c>
      <c r="EI106" s="25">
        <v>1</v>
      </c>
      <c r="EJ106" s="25" t="s">
        <v>92</v>
      </c>
      <c r="EK106" s="25" t="s">
        <v>235</v>
      </c>
      <c r="EL106" s="25" t="s">
        <v>235</v>
      </c>
      <c r="EM106" s="25" t="s">
        <v>276</v>
      </c>
      <c r="EN106" s="25" t="s">
        <v>39</v>
      </c>
      <c r="EO106" s="25" t="s">
        <v>39</v>
      </c>
      <c r="EP106" s="25" t="s">
        <v>92</v>
      </c>
      <c r="EQ106" s="25" t="s">
        <v>92</v>
      </c>
      <c r="ER106" s="25" t="s">
        <v>278</v>
      </c>
      <c r="ES106" s="25" t="s">
        <v>278</v>
      </c>
      <c r="ET106" s="25">
        <v>1</v>
      </c>
      <c r="EU106" s="25" t="s">
        <v>522</v>
      </c>
      <c r="EV106" s="25" t="s">
        <v>235</v>
      </c>
      <c r="EW106" s="25" t="s">
        <v>39</v>
      </c>
      <c r="EX106" s="25" t="s">
        <v>278</v>
      </c>
      <c r="EY106" s="20" t="e">
        <v>#N/A</v>
      </c>
    </row>
    <row r="107" spans="1:155">
      <c r="A107" s="21" t="s">
        <v>491</v>
      </c>
      <c r="B107" s="21" t="s">
        <v>491</v>
      </c>
      <c r="C107" s="21" t="s">
        <v>492</v>
      </c>
      <c r="D107" s="21" t="s">
        <v>493</v>
      </c>
      <c r="E107" s="21" t="s">
        <v>493</v>
      </c>
      <c r="F107" s="21" t="s">
        <v>493</v>
      </c>
      <c r="G107" s="21" t="s">
        <v>2057</v>
      </c>
      <c r="H107" s="21">
        <v>2130423293</v>
      </c>
      <c r="I107" s="21">
        <v>2130423293</v>
      </c>
      <c r="J107" s="21" t="s">
        <v>2058</v>
      </c>
      <c r="L107" s="21" t="s">
        <v>495</v>
      </c>
      <c r="M107" s="21" t="s">
        <v>2059</v>
      </c>
      <c r="N107" s="21" t="s">
        <v>2060</v>
      </c>
      <c r="O107" s="21" t="s">
        <v>97</v>
      </c>
      <c r="P107" s="21" t="s">
        <v>1040</v>
      </c>
      <c r="R107" s="21" t="s">
        <v>2061</v>
      </c>
      <c r="S107" s="21" t="s">
        <v>2062</v>
      </c>
      <c r="V107" s="21" t="s">
        <v>500</v>
      </c>
      <c r="W107" s="21" t="s">
        <v>501</v>
      </c>
      <c r="X107" s="21" t="s">
        <v>502</v>
      </c>
      <c r="Y107" s="21" t="s">
        <v>503</v>
      </c>
      <c r="Z107" s="21">
        <v>3035379132</v>
      </c>
      <c r="AA107" s="22">
        <v>42735</v>
      </c>
      <c r="AB107" s="22">
        <v>42735</v>
      </c>
      <c r="AC107" s="21" t="s">
        <v>504</v>
      </c>
      <c r="AD107" s="21" t="s">
        <v>505</v>
      </c>
      <c r="AE107" s="21" t="s">
        <v>500</v>
      </c>
      <c r="AF107" s="21" t="s">
        <v>564</v>
      </c>
      <c r="AG107" s="21" t="s">
        <v>1699</v>
      </c>
      <c r="AH107" s="21" t="s">
        <v>1700</v>
      </c>
      <c r="AI107" s="21" t="s">
        <v>2063</v>
      </c>
      <c r="AJ107" s="21" t="s">
        <v>507</v>
      </c>
      <c r="AK107" s="21" t="s">
        <v>494</v>
      </c>
      <c r="AL107" s="21" t="s">
        <v>508</v>
      </c>
      <c r="AM107" s="21" t="s">
        <v>509</v>
      </c>
      <c r="AN107" s="21" t="s">
        <v>527</v>
      </c>
      <c r="AO107" s="21" t="s">
        <v>528</v>
      </c>
      <c r="AQ107" s="21" t="s">
        <v>1431</v>
      </c>
      <c r="AS107" s="21" t="s">
        <v>511</v>
      </c>
      <c r="AT107" s="21" t="s">
        <v>512</v>
      </c>
      <c r="AW107" s="21">
        <v>0</v>
      </c>
      <c r="AX107" s="21">
        <v>2</v>
      </c>
      <c r="BC107" s="21" t="s">
        <v>513</v>
      </c>
      <c r="BD107" s="21" t="s">
        <v>514</v>
      </c>
      <c r="BE107" s="21" t="s">
        <v>514</v>
      </c>
      <c r="BF107" s="21" t="s">
        <v>515</v>
      </c>
      <c r="BG107" s="21">
        <v>1</v>
      </c>
      <c r="BH107" s="21" t="s">
        <v>516</v>
      </c>
      <c r="BI107" s="21" t="s">
        <v>517</v>
      </c>
      <c r="BJ107" s="21" t="s">
        <v>516</v>
      </c>
      <c r="BK107" s="21" t="s">
        <v>516</v>
      </c>
      <c r="BM107" s="21" t="s">
        <v>26</v>
      </c>
      <c r="BN107" s="21" t="s">
        <v>183</v>
      </c>
      <c r="BO107" s="21" t="s">
        <v>518</v>
      </c>
      <c r="BP107" s="21" t="s">
        <v>519</v>
      </c>
      <c r="BQ107" s="21" t="s">
        <v>26</v>
      </c>
      <c r="BR107" s="21" t="s">
        <v>183</v>
      </c>
      <c r="BS107" s="21" t="s">
        <v>518</v>
      </c>
      <c r="BT107" s="21" t="s">
        <v>519</v>
      </c>
      <c r="BU107" s="21" t="s">
        <v>183</v>
      </c>
      <c r="CD107" s="21" t="s">
        <v>520</v>
      </c>
      <c r="CF107" s="21" t="s">
        <v>521</v>
      </c>
      <c r="DB107" s="21" t="s">
        <v>943</v>
      </c>
      <c r="DC107" s="21">
        <v>1</v>
      </c>
      <c r="DD107" s="21">
        <v>2</v>
      </c>
      <c r="DE107" s="22">
        <v>42743</v>
      </c>
      <c r="DF107" s="21" t="s">
        <v>2064</v>
      </c>
      <c r="DG107" s="21" t="s">
        <v>522</v>
      </c>
      <c r="DH107" s="21" t="s">
        <v>2065</v>
      </c>
      <c r="DI107" s="21" t="s">
        <v>495</v>
      </c>
      <c r="DJ107" s="21" t="s">
        <v>523</v>
      </c>
      <c r="DL107" s="21">
        <v>42747</v>
      </c>
      <c r="DM107" s="21">
        <v>42737</v>
      </c>
      <c r="DN107" s="21">
        <v>3100</v>
      </c>
      <c r="DO107" s="21">
        <v>10</v>
      </c>
      <c r="DP107" s="21">
        <v>1</v>
      </c>
      <c r="DQ107" s="21">
        <v>1</v>
      </c>
      <c r="DR107" s="21">
        <v>7</v>
      </c>
      <c r="DS107" s="21">
        <v>10</v>
      </c>
      <c r="DT107" s="21">
        <v>10</v>
      </c>
      <c r="DU107" s="21">
        <v>10</v>
      </c>
      <c r="DW107" s="21">
        <v>10</v>
      </c>
      <c r="EA107" s="21">
        <v>10</v>
      </c>
      <c r="EB107" s="21" t="s">
        <v>2066</v>
      </c>
      <c r="EC107" s="21" t="s">
        <v>1221</v>
      </c>
      <c r="EF107" s="25">
        <v>1</v>
      </c>
      <c r="EG107" s="25">
        <v>0</v>
      </c>
      <c r="EH107" s="25">
        <v>1</v>
      </c>
      <c r="EI107" s="25">
        <v>0</v>
      </c>
      <c r="EJ107" s="25" t="s">
        <v>62</v>
      </c>
      <c r="EK107" s="25" t="s">
        <v>184</v>
      </c>
      <c r="EL107" s="25" t="s">
        <v>184</v>
      </c>
      <c r="EM107" s="25" t="s">
        <v>276</v>
      </c>
      <c r="EN107" s="25" t="s">
        <v>23</v>
      </c>
      <c r="EO107" s="25" t="s">
        <v>23</v>
      </c>
      <c r="EP107" s="25" t="s">
        <v>62</v>
      </c>
      <c r="EQ107" s="25" t="s">
        <v>62</v>
      </c>
      <c r="ER107" s="25" t="s">
        <v>278</v>
      </c>
      <c r="ES107" s="25" t="s">
        <v>278</v>
      </c>
      <c r="ET107" s="25">
        <v>1</v>
      </c>
      <c r="EU107" s="25" t="s">
        <v>522</v>
      </c>
      <c r="EV107" s="25" t="s">
        <v>184</v>
      </c>
      <c r="EW107" s="25" t="s">
        <v>23</v>
      </c>
      <c r="EX107" s="25" t="s">
        <v>278</v>
      </c>
      <c r="EY107" s="20" t="e">
        <v>#N/A</v>
      </c>
    </row>
    <row r="108" spans="1:155">
      <c r="A108" s="21" t="s">
        <v>491</v>
      </c>
      <c r="B108" s="21" t="s">
        <v>491</v>
      </c>
      <c r="C108" s="21" t="s">
        <v>492</v>
      </c>
      <c r="D108" s="21" t="s">
        <v>493</v>
      </c>
      <c r="E108" s="21" t="s">
        <v>493</v>
      </c>
      <c r="F108" s="21" t="s">
        <v>493</v>
      </c>
      <c r="G108" s="21" t="s">
        <v>2067</v>
      </c>
      <c r="H108" s="21">
        <v>21982602222</v>
      </c>
      <c r="I108" s="21" t="s">
        <v>494</v>
      </c>
      <c r="J108" s="21" t="s">
        <v>2068</v>
      </c>
      <c r="L108" s="21" t="s">
        <v>495</v>
      </c>
      <c r="M108" s="21" t="s">
        <v>2069</v>
      </c>
      <c r="N108" s="21" t="s">
        <v>1634</v>
      </c>
      <c r="O108" s="21" t="s">
        <v>144</v>
      </c>
      <c r="P108" s="21" t="s">
        <v>1635</v>
      </c>
      <c r="R108" s="21" t="s">
        <v>1816</v>
      </c>
      <c r="S108" s="21" t="s">
        <v>1637</v>
      </c>
      <c r="V108" s="21" t="s">
        <v>500</v>
      </c>
      <c r="W108" s="21" t="s">
        <v>501</v>
      </c>
      <c r="X108" s="21" t="s">
        <v>502</v>
      </c>
      <c r="Y108" s="21" t="s">
        <v>554</v>
      </c>
      <c r="Z108" s="21">
        <v>3035234964</v>
      </c>
      <c r="AA108" s="22">
        <v>42730</v>
      </c>
      <c r="AB108" s="22">
        <v>42737</v>
      </c>
      <c r="AC108" s="21" t="s">
        <v>504</v>
      </c>
      <c r="AD108" s="21" t="s">
        <v>505</v>
      </c>
      <c r="AE108" s="21" t="s">
        <v>1020</v>
      </c>
      <c r="AF108" s="21" t="s">
        <v>1314</v>
      </c>
      <c r="AG108" s="21" t="s">
        <v>1315</v>
      </c>
      <c r="AH108" s="21" t="s">
        <v>1316</v>
      </c>
      <c r="AI108" s="21" t="s">
        <v>2070</v>
      </c>
      <c r="AJ108" s="21" t="s">
        <v>526</v>
      </c>
      <c r="AK108" s="21" t="s">
        <v>494</v>
      </c>
      <c r="AL108" s="21" t="s">
        <v>527</v>
      </c>
      <c r="AM108" s="21" t="s">
        <v>527</v>
      </c>
      <c r="AN108" s="21" t="s">
        <v>527</v>
      </c>
      <c r="AO108" s="21" t="s">
        <v>528</v>
      </c>
      <c r="AS108" s="21" t="s">
        <v>511</v>
      </c>
      <c r="AT108" s="21" t="s">
        <v>512</v>
      </c>
      <c r="AW108" s="21">
        <v>0</v>
      </c>
      <c r="AX108" s="21">
        <v>14</v>
      </c>
      <c r="BC108" s="21" t="s">
        <v>513</v>
      </c>
      <c r="BD108" s="21" t="s">
        <v>514</v>
      </c>
      <c r="BE108" s="21" t="s">
        <v>514</v>
      </c>
      <c r="BF108" s="21" t="s">
        <v>515</v>
      </c>
      <c r="BG108" s="21">
        <v>1</v>
      </c>
      <c r="BH108" s="21" t="s">
        <v>516</v>
      </c>
      <c r="BI108" s="21" t="s">
        <v>517</v>
      </c>
      <c r="BJ108" s="21" t="s">
        <v>516</v>
      </c>
      <c r="BK108" s="21" t="s">
        <v>516</v>
      </c>
      <c r="BM108" s="21" t="s">
        <v>54</v>
      </c>
      <c r="BN108" s="21" t="s">
        <v>259</v>
      </c>
      <c r="BO108" s="21" t="s">
        <v>518</v>
      </c>
      <c r="BP108" s="21" t="s">
        <v>519</v>
      </c>
      <c r="BQ108" s="21" t="s">
        <v>21</v>
      </c>
      <c r="BR108" s="21" t="s">
        <v>115</v>
      </c>
      <c r="BS108" s="21" t="s">
        <v>518</v>
      </c>
      <c r="BT108" s="21" t="s">
        <v>519</v>
      </c>
      <c r="BU108" s="21" t="s">
        <v>259</v>
      </c>
      <c r="CD108" s="21" t="s">
        <v>520</v>
      </c>
      <c r="CF108" s="21" t="s">
        <v>521</v>
      </c>
      <c r="DB108" s="21" t="s">
        <v>943</v>
      </c>
      <c r="DC108" s="21">
        <v>1</v>
      </c>
      <c r="DD108" s="21">
        <v>2</v>
      </c>
      <c r="DE108" s="22">
        <v>42743</v>
      </c>
      <c r="DF108" s="21" t="s">
        <v>2071</v>
      </c>
      <c r="DG108" s="21" t="s">
        <v>522</v>
      </c>
      <c r="DH108" s="21" t="s">
        <v>2072</v>
      </c>
      <c r="DI108" s="21" t="s">
        <v>495</v>
      </c>
      <c r="DJ108" s="21" t="s">
        <v>523</v>
      </c>
      <c r="DL108" s="21">
        <v>42749</v>
      </c>
      <c r="DM108" s="21">
        <v>42739</v>
      </c>
      <c r="DN108" s="21">
        <v>3100</v>
      </c>
      <c r="DO108" s="21">
        <v>10</v>
      </c>
      <c r="DP108" s="21">
        <v>1</v>
      </c>
      <c r="DQ108" s="21">
        <v>2</v>
      </c>
      <c r="DR108" s="21">
        <v>7</v>
      </c>
      <c r="DS108" s="21">
        <v>10</v>
      </c>
      <c r="DT108" s="21">
        <v>10</v>
      </c>
      <c r="DU108" s="21">
        <v>10</v>
      </c>
      <c r="DW108" s="21">
        <v>10</v>
      </c>
      <c r="EA108" s="21">
        <v>10</v>
      </c>
      <c r="EF108" s="25">
        <v>1</v>
      </c>
      <c r="EG108" s="25">
        <v>0</v>
      </c>
      <c r="EH108" s="25">
        <v>1</v>
      </c>
      <c r="EI108" s="25">
        <v>0</v>
      </c>
      <c r="EJ108" s="25" t="s">
        <v>62</v>
      </c>
      <c r="EK108" s="25" t="s">
        <v>276</v>
      </c>
      <c r="EL108" s="25" t="s">
        <v>116</v>
      </c>
      <c r="EM108" s="25" t="s">
        <v>276</v>
      </c>
      <c r="EN108" s="25" t="s">
        <v>276</v>
      </c>
      <c r="EO108" s="25" t="s">
        <v>127</v>
      </c>
      <c r="EP108" s="25" t="s">
        <v>276</v>
      </c>
      <c r="EQ108" s="25" t="s">
        <v>529</v>
      </c>
      <c r="ER108" s="25" t="s">
        <v>276</v>
      </c>
      <c r="ES108" s="25" t="s">
        <v>278</v>
      </c>
      <c r="ET108" s="25">
        <v>1</v>
      </c>
      <c r="EU108" s="25" t="s">
        <v>522</v>
      </c>
      <c r="EV108" s="25" t="s">
        <v>279</v>
      </c>
      <c r="EW108" s="25" t="s">
        <v>279</v>
      </c>
      <c r="EX108" s="25" t="s">
        <v>279</v>
      </c>
      <c r="EY108" s="20" t="s">
        <v>273</v>
      </c>
    </row>
    <row r="109" spans="1:155">
      <c r="A109" s="21" t="s">
        <v>491</v>
      </c>
      <c r="B109" s="21" t="s">
        <v>491</v>
      </c>
      <c r="C109" s="21" t="s">
        <v>492</v>
      </c>
      <c r="D109" s="21" t="s">
        <v>493</v>
      </c>
      <c r="E109" s="21" t="s">
        <v>493</v>
      </c>
      <c r="F109" s="21" t="s">
        <v>493</v>
      </c>
      <c r="G109" s="21" t="s">
        <v>2073</v>
      </c>
      <c r="H109" s="21">
        <v>21993424351</v>
      </c>
      <c r="I109" s="21" t="s">
        <v>494</v>
      </c>
      <c r="J109" s="21" t="s">
        <v>2074</v>
      </c>
      <c r="L109" s="21" t="s">
        <v>495</v>
      </c>
      <c r="M109" s="21" t="s">
        <v>2075</v>
      </c>
      <c r="N109" s="21" t="s">
        <v>2076</v>
      </c>
      <c r="O109" s="21" t="s">
        <v>93</v>
      </c>
      <c r="P109" s="21" t="s">
        <v>539</v>
      </c>
      <c r="R109" s="21" t="s">
        <v>2077</v>
      </c>
      <c r="S109" s="21" t="s">
        <v>1440</v>
      </c>
      <c r="V109" s="21" t="s">
        <v>277</v>
      </c>
      <c r="W109" s="21" t="s">
        <v>524</v>
      </c>
      <c r="X109" s="21" t="s">
        <v>525</v>
      </c>
      <c r="Y109" s="21" t="s">
        <v>530</v>
      </c>
      <c r="Z109" s="21">
        <v>3035336262</v>
      </c>
      <c r="AA109" s="22">
        <v>42733</v>
      </c>
      <c r="AB109" s="22">
        <v>42737</v>
      </c>
      <c r="AC109" s="21" t="s">
        <v>504</v>
      </c>
      <c r="AD109" s="21" t="s">
        <v>505</v>
      </c>
      <c r="AE109" s="21" t="s">
        <v>1156</v>
      </c>
      <c r="AF109" s="21" t="s">
        <v>2078</v>
      </c>
      <c r="AG109" s="21" t="s">
        <v>2079</v>
      </c>
      <c r="AH109" s="21" t="s">
        <v>2080</v>
      </c>
      <c r="AI109" s="21" t="s">
        <v>2081</v>
      </c>
      <c r="AJ109" s="21" t="s">
        <v>507</v>
      </c>
      <c r="AK109" s="21" t="s">
        <v>494</v>
      </c>
      <c r="AL109" s="21" t="s">
        <v>527</v>
      </c>
      <c r="AM109" s="21" t="s">
        <v>527</v>
      </c>
      <c r="AN109" s="21" t="s">
        <v>527</v>
      </c>
      <c r="AO109" s="21" t="s">
        <v>528</v>
      </c>
      <c r="AS109" s="21" t="s">
        <v>511</v>
      </c>
      <c r="AT109" s="21" t="s">
        <v>512</v>
      </c>
      <c r="AW109" s="21">
        <v>0</v>
      </c>
      <c r="AX109" s="21">
        <v>4</v>
      </c>
      <c r="BC109" s="21" t="s">
        <v>513</v>
      </c>
      <c r="BD109" s="21" t="s">
        <v>514</v>
      </c>
      <c r="BE109" s="21" t="s">
        <v>514</v>
      </c>
      <c r="BF109" s="21" t="s">
        <v>515</v>
      </c>
      <c r="BG109" s="21">
        <v>1</v>
      </c>
      <c r="BH109" s="21" t="s">
        <v>516</v>
      </c>
      <c r="BI109" s="21" t="s">
        <v>517</v>
      </c>
      <c r="BJ109" s="21" t="s">
        <v>516</v>
      </c>
      <c r="BK109" s="21" t="s">
        <v>516</v>
      </c>
      <c r="BM109" s="21" t="s">
        <v>37</v>
      </c>
      <c r="BN109" s="21" t="s">
        <v>250</v>
      </c>
      <c r="BO109" s="21" t="s">
        <v>518</v>
      </c>
      <c r="BP109" s="21" t="s">
        <v>1044</v>
      </c>
      <c r="BQ109" s="21" t="s">
        <v>44</v>
      </c>
      <c r="BR109" s="21" t="s">
        <v>244</v>
      </c>
      <c r="BS109" s="21" t="s">
        <v>518</v>
      </c>
      <c r="BT109" s="21" t="s">
        <v>1044</v>
      </c>
      <c r="BU109" s="21" t="s">
        <v>250</v>
      </c>
      <c r="CD109" s="21" t="s">
        <v>520</v>
      </c>
      <c r="CF109" s="21" t="s">
        <v>521</v>
      </c>
      <c r="DB109" s="21" t="s">
        <v>943</v>
      </c>
      <c r="DC109" s="21">
        <v>1</v>
      </c>
      <c r="DD109" s="21">
        <v>2</v>
      </c>
      <c r="DE109" s="22">
        <v>42743</v>
      </c>
      <c r="DF109" s="21" t="s">
        <v>1605</v>
      </c>
      <c r="DG109" s="21" t="s">
        <v>522</v>
      </c>
      <c r="DH109" s="21" t="s">
        <v>2082</v>
      </c>
      <c r="DI109" s="21" t="s">
        <v>495</v>
      </c>
      <c r="DJ109" s="21" t="s">
        <v>523</v>
      </c>
      <c r="DL109" s="21">
        <v>42749</v>
      </c>
      <c r="DM109" s="21">
        <v>42739</v>
      </c>
      <c r="DN109" s="21">
        <v>1100</v>
      </c>
      <c r="DO109" s="21">
        <v>9</v>
      </c>
      <c r="DP109" s="21">
        <v>1</v>
      </c>
      <c r="DQ109" s="21">
        <v>2</v>
      </c>
      <c r="DR109" s="21">
        <v>5</v>
      </c>
      <c r="DS109" s="21">
        <v>9</v>
      </c>
      <c r="DT109" s="21">
        <v>9</v>
      </c>
      <c r="DU109" s="21">
        <v>9</v>
      </c>
      <c r="DW109" s="21">
        <v>99</v>
      </c>
      <c r="EA109" s="21">
        <v>7</v>
      </c>
      <c r="EB109" s="21" t="s">
        <v>2083</v>
      </c>
      <c r="EC109" s="21" t="s">
        <v>2159</v>
      </c>
      <c r="EF109" s="25">
        <v>0</v>
      </c>
      <c r="EG109" s="25">
        <v>0</v>
      </c>
      <c r="EH109" s="25">
        <v>1</v>
      </c>
      <c r="EI109" s="25">
        <v>0</v>
      </c>
      <c r="EJ109" s="25" t="s">
        <v>92</v>
      </c>
      <c r="EK109" s="25" t="s">
        <v>251</v>
      </c>
      <c r="EL109" s="25" t="s">
        <v>245</v>
      </c>
      <c r="EM109" s="25" t="s">
        <v>276</v>
      </c>
      <c r="EN109" s="25" t="s">
        <v>39</v>
      </c>
      <c r="EO109" s="25" t="s">
        <v>39</v>
      </c>
      <c r="EP109" s="25" t="s">
        <v>92</v>
      </c>
      <c r="EQ109" s="25" t="s">
        <v>92</v>
      </c>
      <c r="ER109" s="25" t="s">
        <v>278</v>
      </c>
      <c r="ES109" s="25" t="s">
        <v>278</v>
      </c>
      <c r="ET109" s="25">
        <v>1</v>
      </c>
      <c r="EU109" s="25" t="s">
        <v>522</v>
      </c>
      <c r="EV109" s="25" t="s">
        <v>279</v>
      </c>
      <c r="EW109" s="25" t="s">
        <v>279</v>
      </c>
      <c r="EX109" s="25" t="s">
        <v>279</v>
      </c>
      <c r="EY109" s="20" t="e">
        <v>#N/A</v>
      </c>
    </row>
    <row r="110" spans="1:155">
      <c r="A110" s="21" t="s">
        <v>491</v>
      </c>
      <c r="B110" s="21" t="s">
        <v>491</v>
      </c>
      <c r="C110" s="21" t="s">
        <v>492</v>
      </c>
      <c r="D110" s="21" t="s">
        <v>493</v>
      </c>
      <c r="E110" s="21" t="s">
        <v>493</v>
      </c>
      <c r="F110" s="21" t="s">
        <v>493</v>
      </c>
      <c r="G110" s="21" t="s">
        <v>2084</v>
      </c>
      <c r="H110" s="21">
        <v>13981735009</v>
      </c>
      <c r="I110" s="21" t="s">
        <v>494</v>
      </c>
      <c r="J110" s="21" t="s">
        <v>2085</v>
      </c>
      <c r="L110" s="21" t="s">
        <v>495</v>
      </c>
      <c r="M110" s="21" t="s">
        <v>2086</v>
      </c>
      <c r="N110" s="21" t="s">
        <v>2076</v>
      </c>
      <c r="O110" s="21" t="s">
        <v>93</v>
      </c>
      <c r="P110" s="21" t="s">
        <v>539</v>
      </c>
      <c r="R110" s="21" t="s">
        <v>2077</v>
      </c>
      <c r="S110" s="21" t="s">
        <v>1440</v>
      </c>
      <c r="V110" s="21" t="s">
        <v>277</v>
      </c>
      <c r="W110" s="21" t="s">
        <v>524</v>
      </c>
      <c r="X110" s="21" t="s">
        <v>525</v>
      </c>
      <c r="Y110" s="21" t="s">
        <v>530</v>
      </c>
      <c r="Z110" s="21">
        <v>3035266780</v>
      </c>
      <c r="AA110" s="22">
        <v>42731</v>
      </c>
      <c r="AB110" s="22">
        <v>42738</v>
      </c>
      <c r="AC110" s="21" t="s">
        <v>504</v>
      </c>
      <c r="AD110" s="21" t="s">
        <v>505</v>
      </c>
      <c r="AE110" s="21" t="s">
        <v>1020</v>
      </c>
      <c r="AF110" s="21" t="s">
        <v>2087</v>
      </c>
      <c r="AG110" s="21" t="s">
        <v>2088</v>
      </c>
      <c r="AH110" s="21" t="s">
        <v>2089</v>
      </c>
      <c r="AI110" s="21" t="s">
        <v>2090</v>
      </c>
      <c r="AJ110" s="21" t="s">
        <v>526</v>
      </c>
      <c r="AK110" s="21" t="s">
        <v>494</v>
      </c>
      <c r="AL110" s="21" t="s">
        <v>527</v>
      </c>
      <c r="AM110" s="21" t="s">
        <v>527</v>
      </c>
      <c r="AN110" s="21" t="s">
        <v>527</v>
      </c>
      <c r="AO110" s="21" t="s">
        <v>528</v>
      </c>
      <c r="AS110" s="21" t="s">
        <v>511</v>
      </c>
      <c r="AT110" s="21" t="s">
        <v>512</v>
      </c>
      <c r="AW110" s="21">
        <v>0</v>
      </c>
      <c r="AX110" s="21">
        <v>12</v>
      </c>
      <c r="BC110" s="21" t="s">
        <v>513</v>
      </c>
      <c r="BD110" s="21" t="s">
        <v>514</v>
      </c>
      <c r="BE110" s="21" t="s">
        <v>514</v>
      </c>
      <c r="BF110" s="21" t="s">
        <v>515</v>
      </c>
      <c r="BG110" s="21">
        <v>1</v>
      </c>
      <c r="BH110" s="21" t="s">
        <v>516</v>
      </c>
      <c r="BI110" s="21" t="s">
        <v>517</v>
      </c>
      <c r="BJ110" s="21" t="s">
        <v>516</v>
      </c>
      <c r="BK110" s="21" t="s">
        <v>516</v>
      </c>
      <c r="BM110" s="21" t="s">
        <v>27</v>
      </c>
      <c r="BN110" s="21" t="s">
        <v>119</v>
      </c>
      <c r="BO110" s="21" t="s">
        <v>518</v>
      </c>
      <c r="BP110" s="21" t="s">
        <v>519</v>
      </c>
      <c r="BQ110" s="21" t="s">
        <v>27</v>
      </c>
      <c r="BR110" s="21" t="s">
        <v>119</v>
      </c>
      <c r="BS110" s="21" t="s">
        <v>518</v>
      </c>
      <c r="BT110" s="21" t="s">
        <v>519</v>
      </c>
      <c r="BU110" s="21" t="s">
        <v>119</v>
      </c>
      <c r="CD110" s="21" t="s">
        <v>520</v>
      </c>
      <c r="CF110" s="21" t="s">
        <v>521</v>
      </c>
      <c r="DB110" s="21" t="s">
        <v>943</v>
      </c>
      <c r="DC110" s="21">
        <v>1</v>
      </c>
      <c r="DD110" s="21">
        <v>2</v>
      </c>
      <c r="DE110" s="22">
        <v>42743</v>
      </c>
      <c r="DF110" s="21" t="s">
        <v>1521</v>
      </c>
      <c r="DG110" s="21" t="s">
        <v>522</v>
      </c>
      <c r="DH110" s="21" t="s">
        <v>2091</v>
      </c>
      <c r="DI110" s="21" t="s">
        <v>495</v>
      </c>
      <c r="DJ110" s="21" t="s">
        <v>520</v>
      </c>
      <c r="DL110" s="21">
        <v>42750</v>
      </c>
      <c r="DM110" s="21">
        <v>42740</v>
      </c>
      <c r="DN110" s="21">
        <v>1100</v>
      </c>
      <c r="DO110" s="21">
        <v>10</v>
      </c>
      <c r="DP110" s="21">
        <v>1</v>
      </c>
      <c r="DQ110" s="21">
        <v>1</v>
      </c>
      <c r="DR110" s="21">
        <v>6</v>
      </c>
      <c r="DS110" s="21">
        <v>10</v>
      </c>
      <c r="DT110" s="21">
        <v>10</v>
      </c>
      <c r="DU110" s="21">
        <v>10</v>
      </c>
      <c r="DW110" s="21">
        <v>10</v>
      </c>
      <c r="EA110" s="21">
        <v>10</v>
      </c>
      <c r="EB110" s="21" t="s">
        <v>2092</v>
      </c>
      <c r="EC110" s="21" t="s">
        <v>1221</v>
      </c>
      <c r="EF110" s="25">
        <v>1</v>
      </c>
      <c r="EG110" s="25">
        <v>0</v>
      </c>
      <c r="EH110" s="25">
        <v>1</v>
      </c>
      <c r="EI110" s="25">
        <v>0</v>
      </c>
      <c r="EJ110" s="25" t="s">
        <v>92</v>
      </c>
      <c r="EK110" s="25" t="s">
        <v>120</v>
      </c>
      <c r="EL110" s="25" t="s">
        <v>120</v>
      </c>
      <c r="EM110" s="25" t="s">
        <v>276</v>
      </c>
      <c r="EN110" s="25" t="s">
        <v>23</v>
      </c>
      <c r="EO110" s="25" t="s">
        <v>23</v>
      </c>
      <c r="EP110" s="25" t="s">
        <v>62</v>
      </c>
      <c r="EQ110" s="25" t="s">
        <v>62</v>
      </c>
      <c r="ER110" s="25" t="s">
        <v>278</v>
      </c>
      <c r="ES110" s="25" t="s">
        <v>278</v>
      </c>
      <c r="ET110" s="25">
        <v>1</v>
      </c>
      <c r="EU110" s="25" t="s">
        <v>522</v>
      </c>
      <c r="EV110" s="25" t="s">
        <v>120</v>
      </c>
      <c r="EW110" s="25" t="s">
        <v>23</v>
      </c>
      <c r="EX110" s="25" t="s">
        <v>278</v>
      </c>
      <c r="EY110" s="20" t="e">
        <v>#N/A</v>
      </c>
    </row>
    <row r="111" spans="1:155">
      <c r="A111" s="21" t="s">
        <v>491</v>
      </c>
      <c r="B111" s="21" t="s">
        <v>491</v>
      </c>
      <c r="C111" s="21" t="s">
        <v>492</v>
      </c>
      <c r="D111" s="21" t="s">
        <v>493</v>
      </c>
      <c r="E111" s="21" t="s">
        <v>493</v>
      </c>
      <c r="F111" s="21" t="s">
        <v>493</v>
      </c>
      <c r="G111" s="21" t="s">
        <v>2093</v>
      </c>
      <c r="H111" s="21">
        <v>1149415313</v>
      </c>
      <c r="I111" s="21" t="s">
        <v>494</v>
      </c>
      <c r="J111" s="21" t="s">
        <v>2094</v>
      </c>
      <c r="L111" s="21" t="s">
        <v>495</v>
      </c>
      <c r="M111" s="21" t="s">
        <v>2095</v>
      </c>
      <c r="N111" s="21" t="s">
        <v>496</v>
      </c>
      <c r="O111" s="21" t="s">
        <v>69</v>
      </c>
      <c r="P111" s="21" t="s">
        <v>497</v>
      </c>
      <c r="R111" s="21" t="s">
        <v>498</v>
      </c>
      <c r="S111" s="21" t="s">
        <v>499</v>
      </c>
      <c r="V111" s="21" t="s">
        <v>500</v>
      </c>
      <c r="W111" s="21" t="s">
        <v>501</v>
      </c>
      <c r="X111" s="21" t="s">
        <v>502</v>
      </c>
      <c r="Y111" s="21" t="s">
        <v>503</v>
      </c>
      <c r="Z111" s="21">
        <v>3035482880</v>
      </c>
      <c r="AA111" s="22">
        <v>42739</v>
      </c>
      <c r="AB111" s="22">
        <v>42739</v>
      </c>
      <c r="AC111" s="21" t="s">
        <v>504</v>
      </c>
      <c r="AD111" s="21" t="s">
        <v>505</v>
      </c>
      <c r="AE111" s="21" t="s">
        <v>500</v>
      </c>
      <c r="AF111" s="21" t="s">
        <v>506</v>
      </c>
      <c r="AG111" s="21" t="s">
        <v>1079</v>
      </c>
      <c r="AH111" s="21" t="s">
        <v>1080</v>
      </c>
      <c r="AI111" s="21" t="s">
        <v>2096</v>
      </c>
      <c r="AJ111" s="21" t="s">
        <v>507</v>
      </c>
      <c r="AK111" s="21" t="s">
        <v>494</v>
      </c>
      <c r="AL111" s="21" t="s">
        <v>527</v>
      </c>
      <c r="AM111" s="21" t="s">
        <v>527</v>
      </c>
      <c r="AN111" s="21" t="s">
        <v>527</v>
      </c>
      <c r="AO111" s="21" t="s">
        <v>528</v>
      </c>
      <c r="AS111" s="21" t="s">
        <v>511</v>
      </c>
      <c r="AT111" s="21" t="s">
        <v>512</v>
      </c>
      <c r="AW111" s="21">
        <v>0</v>
      </c>
      <c r="AX111" s="21">
        <v>2</v>
      </c>
      <c r="BC111" s="21" t="s">
        <v>513</v>
      </c>
      <c r="BD111" s="21" t="s">
        <v>514</v>
      </c>
      <c r="BE111" s="21" t="s">
        <v>514</v>
      </c>
      <c r="BF111" s="21" t="s">
        <v>515</v>
      </c>
      <c r="BG111" s="21">
        <v>1</v>
      </c>
      <c r="BH111" s="21" t="s">
        <v>516</v>
      </c>
      <c r="BI111" s="21" t="s">
        <v>517</v>
      </c>
      <c r="BJ111" s="21" t="s">
        <v>516</v>
      </c>
      <c r="BK111" s="21" t="s">
        <v>516</v>
      </c>
      <c r="BM111" s="21" t="s">
        <v>30</v>
      </c>
      <c r="BN111" s="21" t="s">
        <v>179</v>
      </c>
      <c r="BO111" s="21" t="s">
        <v>518</v>
      </c>
      <c r="BP111" s="21" t="s">
        <v>519</v>
      </c>
      <c r="BQ111" s="21" t="s">
        <v>30</v>
      </c>
      <c r="BR111" s="21" t="s">
        <v>179</v>
      </c>
      <c r="BS111" s="21" t="s">
        <v>518</v>
      </c>
      <c r="BT111" s="21" t="s">
        <v>519</v>
      </c>
      <c r="BU111" s="21" t="s">
        <v>179</v>
      </c>
      <c r="CD111" s="21" t="s">
        <v>520</v>
      </c>
      <c r="CF111" s="21" t="s">
        <v>521</v>
      </c>
      <c r="DB111" s="21" t="s">
        <v>943</v>
      </c>
      <c r="DC111" s="21">
        <v>1</v>
      </c>
      <c r="DD111" s="21">
        <v>2</v>
      </c>
      <c r="DE111" s="22">
        <v>42743</v>
      </c>
      <c r="DF111" s="21" t="s">
        <v>1605</v>
      </c>
      <c r="DG111" s="21" t="s">
        <v>522</v>
      </c>
      <c r="DH111" s="21" t="s">
        <v>2097</v>
      </c>
      <c r="DI111" s="21" t="s">
        <v>495</v>
      </c>
      <c r="DJ111" s="21" t="s">
        <v>520</v>
      </c>
      <c r="DL111" s="21">
        <v>42751</v>
      </c>
      <c r="DM111" s="21">
        <v>42741</v>
      </c>
      <c r="DN111" s="21">
        <v>3100</v>
      </c>
      <c r="DO111" s="21">
        <v>10</v>
      </c>
      <c r="DP111" s="21">
        <v>1</v>
      </c>
      <c r="DQ111" s="21">
        <v>1</v>
      </c>
      <c r="DR111" s="21">
        <v>6</v>
      </c>
      <c r="DS111" s="21">
        <v>10</v>
      </c>
      <c r="DT111" s="21">
        <v>10</v>
      </c>
      <c r="DU111" s="21">
        <v>10</v>
      </c>
      <c r="DW111" s="21">
        <v>10</v>
      </c>
      <c r="EA111" s="21">
        <v>10</v>
      </c>
      <c r="EB111" s="21" t="s">
        <v>2098</v>
      </c>
      <c r="EC111" s="21" t="s">
        <v>1221</v>
      </c>
      <c r="EF111" s="25">
        <v>1</v>
      </c>
      <c r="EG111" s="25">
        <v>0</v>
      </c>
      <c r="EH111" s="25">
        <v>1</v>
      </c>
      <c r="EI111" s="25">
        <v>0</v>
      </c>
      <c r="EJ111" s="25" t="s">
        <v>62</v>
      </c>
      <c r="EK111" s="25" t="s">
        <v>180</v>
      </c>
      <c r="EL111" s="25" t="s">
        <v>180</v>
      </c>
      <c r="EM111" s="25" t="s">
        <v>276</v>
      </c>
      <c r="EN111" s="25" t="s">
        <v>23</v>
      </c>
      <c r="EO111" s="25" t="s">
        <v>23</v>
      </c>
      <c r="EP111" s="25" t="s">
        <v>62</v>
      </c>
      <c r="EQ111" s="25" t="s">
        <v>62</v>
      </c>
      <c r="ER111" s="25" t="s">
        <v>278</v>
      </c>
      <c r="ES111" s="25" t="s">
        <v>278</v>
      </c>
      <c r="ET111" s="25">
        <v>1</v>
      </c>
      <c r="EU111" s="25" t="s">
        <v>522</v>
      </c>
      <c r="EV111" s="25" t="s">
        <v>180</v>
      </c>
      <c r="EW111" s="25" t="s">
        <v>23</v>
      </c>
      <c r="EX111" s="25" t="s">
        <v>278</v>
      </c>
      <c r="EY111" s="20" t="e">
        <v>#N/A</v>
      </c>
    </row>
    <row r="112" spans="1:155">
      <c r="A112" s="21" t="s">
        <v>491</v>
      </c>
      <c r="B112" s="21" t="s">
        <v>491</v>
      </c>
      <c r="C112" s="21" t="s">
        <v>492</v>
      </c>
      <c r="D112" s="21" t="s">
        <v>493</v>
      </c>
      <c r="E112" s="21" t="s">
        <v>493</v>
      </c>
      <c r="F112" s="21" t="s">
        <v>493</v>
      </c>
      <c r="G112" s="21" t="s">
        <v>1880</v>
      </c>
      <c r="H112" s="21">
        <v>14997723090</v>
      </c>
      <c r="I112" s="21" t="s">
        <v>494</v>
      </c>
      <c r="J112" s="21" t="s">
        <v>1881</v>
      </c>
      <c r="L112" s="21" t="s">
        <v>495</v>
      </c>
      <c r="M112" s="21" t="s">
        <v>1882</v>
      </c>
      <c r="N112" s="21" t="s">
        <v>1883</v>
      </c>
      <c r="O112" s="21" t="s">
        <v>100</v>
      </c>
      <c r="P112" s="21" t="s">
        <v>1187</v>
      </c>
      <c r="Q112" s="21" t="s">
        <v>1168</v>
      </c>
      <c r="R112" s="21" t="s">
        <v>1884</v>
      </c>
      <c r="S112" s="21" t="s">
        <v>1885</v>
      </c>
      <c r="V112" s="21" t="s">
        <v>277</v>
      </c>
      <c r="W112" s="21" t="s">
        <v>524</v>
      </c>
      <c r="X112" s="21" t="s">
        <v>525</v>
      </c>
      <c r="Y112" s="21" t="s">
        <v>1190</v>
      </c>
      <c r="Z112" s="21">
        <v>3035505711</v>
      </c>
      <c r="AA112" s="22">
        <v>42740</v>
      </c>
      <c r="AB112" s="22">
        <v>42740</v>
      </c>
      <c r="AC112" s="21" t="s">
        <v>504</v>
      </c>
      <c r="AD112" s="21" t="s">
        <v>505</v>
      </c>
      <c r="AE112" s="21" t="s">
        <v>1020</v>
      </c>
      <c r="AF112" s="21" t="s">
        <v>1021</v>
      </c>
      <c r="AG112" s="21" t="s">
        <v>1794</v>
      </c>
      <c r="AH112" s="21" t="s">
        <v>1795</v>
      </c>
      <c r="AI112" s="21" t="s">
        <v>1886</v>
      </c>
      <c r="AJ112" s="21" t="s">
        <v>507</v>
      </c>
      <c r="AK112" s="21" t="s">
        <v>494</v>
      </c>
      <c r="AL112" s="21" t="s">
        <v>1465</v>
      </c>
      <c r="AM112" s="21" t="s">
        <v>1466</v>
      </c>
      <c r="AN112" s="21" t="s">
        <v>1466</v>
      </c>
      <c r="AO112" s="21" t="s">
        <v>528</v>
      </c>
      <c r="AS112" s="21" t="s">
        <v>511</v>
      </c>
      <c r="AT112" s="21" t="s">
        <v>512</v>
      </c>
      <c r="AW112" s="21">
        <v>0</v>
      </c>
      <c r="AX112" s="21">
        <v>2</v>
      </c>
      <c r="BC112" s="21" t="s">
        <v>513</v>
      </c>
      <c r="BD112" s="21" t="s">
        <v>514</v>
      </c>
      <c r="BE112" s="21" t="s">
        <v>514</v>
      </c>
      <c r="BF112" s="21" t="s">
        <v>515</v>
      </c>
      <c r="BG112" s="21">
        <v>1</v>
      </c>
      <c r="BH112" s="21" t="s">
        <v>516</v>
      </c>
      <c r="BI112" s="21" t="s">
        <v>517</v>
      </c>
      <c r="BJ112" s="21" t="s">
        <v>516</v>
      </c>
      <c r="BK112" s="21" t="s">
        <v>516</v>
      </c>
      <c r="BM112" s="21" t="s">
        <v>1887</v>
      </c>
      <c r="BN112" s="21" t="s">
        <v>216</v>
      </c>
      <c r="BO112" s="21" t="s">
        <v>518</v>
      </c>
      <c r="BP112" s="21" t="s">
        <v>1044</v>
      </c>
      <c r="BQ112" s="21" t="s">
        <v>1887</v>
      </c>
      <c r="BR112" s="21" t="s">
        <v>216</v>
      </c>
      <c r="BS112" s="21" t="s">
        <v>518</v>
      </c>
      <c r="BT112" s="21" t="s">
        <v>1044</v>
      </c>
      <c r="BU112" s="21" t="s">
        <v>216</v>
      </c>
      <c r="CD112" s="21" t="s">
        <v>520</v>
      </c>
      <c r="CF112" s="21" t="s">
        <v>521</v>
      </c>
      <c r="DB112" s="21" t="s">
        <v>943</v>
      </c>
      <c r="DC112" s="21">
        <v>1</v>
      </c>
      <c r="DD112" s="21">
        <v>2</v>
      </c>
      <c r="DE112" s="22">
        <v>42743</v>
      </c>
      <c r="DF112" s="21" t="s">
        <v>1888</v>
      </c>
      <c r="DG112" s="21" t="s">
        <v>522</v>
      </c>
      <c r="DH112" s="21" t="s">
        <v>1889</v>
      </c>
      <c r="DI112" s="21" t="s">
        <v>495</v>
      </c>
      <c r="DJ112" s="21" t="s">
        <v>520</v>
      </c>
      <c r="DL112" s="21">
        <v>42752</v>
      </c>
      <c r="DM112" s="21">
        <v>42742</v>
      </c>
      <c r="DN112" s="21">
        <v>1100</v>
      </c>
      <c r="DO112" s="21">
        <v>8</v>
      </c>
      <c r="DP112" s="21">
        <v>1</v>
      </c>
      <c r="DQ112" s="21">
        <v>1</v>
      </c>
      <c r="DR112" s="21">
        <v>5</v>
      </c>
      <c r="DS112" s="21">
        <v>9</v>
      </c>
      <c r="DT112" s="21">
        <v>9</v>
      </c>
      <c r="DU112" s="21">
        <v>9</v>
      </c>
      <c r="DW112" s="21">
        <v>8</v>
      </c>
      <c r="EA112" s="21">
        <v>2</v>
      </c>
      <c r="EB112" s="21" t="s">
        <v>1890</v>
      </c>
      <c r="EC112" s="21" t="s">
        <v>1221</v>
      </c>
      <c r="EF112" s="25">
        <v>0</v>
      </c>
      <c r="EG112" s="25">
        <v>1</v>
      </c>
      <c r="EH112" s="25">
        <v>0</v>
      </c>
      <c r="EI112" s="25">
        <v>0</v>
      </c>
      <c r="EJ112" s="25" t="s">
        <v>92</v>
      </c>
      <c r="EK112" s="25" t="s">
        <v>217</v>
      </c>
      <c r="EL112" s="25" t="s">
        <v>217</v>
      </c>
      <c r="EM112" s="25" t="s">
        <v>276</v>
      </c>
      <c r="EN112" s="25" t="s">
        <v>31</v>
      </c>
      <c r="EO112" s="25" t="s">
        <v>31</v>
      </c>
      <c r="EP112" s="25" t="s">
        <v>92</v>
      </c>
      <c r="EQ112" s="25" t="s">
        <v>92</v>
      </c>
      <c r="ER112" s="25" t="s">
        <v>278</v>
      </c>
      <c r="ES112" s="25" t="s">
        <v>278</v>
      </c>
      <c r="ET112" s="25">
        <v>1</v>
      </c>
      <c r="EU112" s="25" t="s">
        <v>522</v>
      </c>
      <c r="EV112" s="25" t="s">
        <v>217</v>
      </c>
      <c r="EW112" s="25" t="s">
        <v>31</v>
      </c>
      <c r="EX112" s="25" t="s">
        <v>278</v>
      </c>
      <c r="EY112" s="20" t="e">
        <v>#N/A</v>
      </c>
    </row>
    <row r="113" spans="1:155">
      <c r="A113" s="21" t="s">
        <v>491</v>
      </c>
      <c r="B113" s="21" t="s">
        <v>491</v>
      </c>
      <c r="C113" s="21" t="s">
        <v>492</v>
      </c>
      <c r="D113" s="21" t="s">
        <v>493</v>
      </c>
      <c r="E113" s="21" t="s">
        <v>493</v>
      </c>
      <c r="F113" s="21" t="s">
        <v>493</v>
      </c>
      <c r="G113" s="21" t="s">
        <v>1891</v>
      </c>
      <c r="H113" s="21">
        <v>5136714040</v>
      </c>
      <c r="I113" s="21">
        <v>5184582919</v>
      </c>
      <c r="J113" s="21" t="s">
        <v>1892</v>
      </c>
      <c r="L113" s="21" t="s">
        <v>495</v>
      </c>
      <c r="M113" s="21" t="s">
        <v>1893</v>
      </c>
      <c r="N113" s="21" t="s">
        <v>1894</v>
      </c>
      <c r="O113" s="21" t="s">
        <v>93</v>
      </c>
      <c r="P113" s="21" t="s">
        <v>539</v>
      </c>
      <c r="Q113" s="21" t="s">
        <v>1752</v>
      </c>
      <c r="R113" s="21" t="s">
        <v>1895</v>
      </c>
      <c r="S113" s="21" t="s">
        <v>1440</v>
      </c>
      <c r="V113" s="21" t="s">
        <v>277</v>
      </c>
      <c r="W113" s="21" t="s">
        <v>524</v>
      </c>
      <c r="X113" s="21" t="s">
        <v>525</v>
      </c>
      <c r="Y113" s="21" t="s">
        <v>530</v>
      </c>
      <c r="Z113" s="21">
        <v>3035528445</v>
      </c>
      <c r="AA113" s="22">
        <v>42740</v>
      </c>
      <c r="AB113" s="22">
        <v>42740</v>
      </c>
      <c r="AC113" s="21" t="s">
        <v>504</v>
      </c>
      <c r="AD113" s="21" t="s">
        <v>505</v>
      </c>
      <c r="AE113" s="21" t="s">
        <v>565</v>
      </c>
      <c r="AF113" s="21" t="s">
        <v>566</v>
      </c>
      <c r="AG113" s="21" t="s">
        <v>1743</v>
      </c>
      <c r="AH113" s="21" t="s">
        <v>1744</v>
      </c>
      <c r="AI113" s="21" t="s">
        <v>1896</v>
      </c>
      <c r="AJ113" s="21" t="s">
        <v>507</v>
      </c>
      <c r="AK113" s="21" t="s">
        <v>494</v>
      </c>
      <c r="AL113" s="21" t="s">
        <v>527</v>
      </c>
      <c r="AM113" s="21" t="s">
        <v>527</v>
      </c>
      <c r="AN113" s="21" t="s">
        <v>527</v>
      </c>
      <c r="AO113" s="21" t="s">
        <v>528</v>
      </c>
      <c r="AS113" s="21" t="s">
        <v>511</v>
      </c>
      <c r="AT113" s="21" t="s">
        <v>512</v>
      </c>
      <c r="AW113" s="21">
        <v>0</v>
      </c>
      <c r="AX113" s="21">
        <v>2</v>
      </c>
      <c r="BC113" s="21" t="s">
        <v>513</v>
      </c>
      <c r="BD113" s="21" t="s">
        <v>514</v>
      </c>
      <c r="BE113" s="21" t="s">
        <v>514</v>
      </c>
      <c r="BF113" s="21" t="s">
        <v>515</v>
      </c>
      <c r="BG113" s="21">
        <v>1</v>
      </c>
      <c r="BH113" s="21" t="s">
        <v>516</v>
      </c>
      <c r="BI113" s="21" t="s">
        <v>517</v>
      </c>
      <c r="BJ113" s="21" t="s">
        <v>516</v>
      </c>
      <c r="BK113" s="21" t="s">
        <v>516</v>
      </c>
      <c r="BM113" s="21" t="s">
        <v>30</v>
      </c>
      <c r="BN113" s="21" t="s">
        <v>179</v>
      </c>
      <c r="BO113" s="21" t="s">
        <v>518</v>
      </c>
      <c r="BP113" s="21" t="s">
        <v>519</v>
      </c>
      <c r="BQ113" s="21" t="s">
        <v>30</v>
      </c>
      <c r="BR113" s="21" t="s">
        <v>179</v>
      </c>
      <c r="BS113" s="21" t="s">
        <v>518</v>
      </c>
      <c r="BT113" s="21" t="s">
        <v>519</v>
      </c>
      <c r="BU113" s="21" t="s">
        <v>179</v>
      </c>
      <c r="CD113" s="21" t="s">
        <v>520</v>
      </c>
      <c r="CF113" s="21" t="s">
        <v>521</v>
      </c>
      <c r="DB113" s="21" t="s">
        <v>943</v>
      </c>
      <c r="DC113" s="21">
        <v>1</v>
      </c>
      <c r="DD113" s="21">
        <v>2</v>
      </c>
      <c r="DE113" s="22">
        <v>42743</v>
      </c>
      <c r="DF113" s="21" t="s">
        <v>1521</v>
      </c>
      <c r="DG113" s="21" t="s">
        <v>522</v>
      </c>
      <c r="DH113" s="21" t="s">
        <v>1897</v>
      </c>
      <c r="DI113" s="21" t="s">
        <v>495</v>
      </c>
      <c r="DJ113" s="21" t="s">
        <v>520</v>
      </c>
      <c r="DL113" s="21">
        <v>42752</v>
      </c>
      <c r="DM113" s="21">
        <v>42742</v>
      </c>
      <c r="DN113" s="21">
        <v>1100</v>
      </c>
      <c r="DO113" s="21">
        <v>10</v>
      </c>
      <c r="DP113" s="21">
        <v>1</v>
      </c>
      <c r="DQ113" s="21">
        <v>1</v>
      </c>
      <c r="DR113" s="21">
        <v>7</v>
      </c>
      <c r="DS113" s="21">
        <v>10</v>
      </c>
      <c r="DT113" s="21">
        <v>10</v>
      </c>
      <c r="DU113" s="21">
        <v>10</v>
      </c>
      <c r="DW113" s="21">
        <v>10</v>
      </c>
      <c r="EA113" s="21">
        <v>10</v>
      </c>
      <c r="EB113" s="21" t="s">
        <v>1898</v>
      </c>
      <c r="EC113" s="21" t="s">
        <v>2160</v>
      </c>
      <c r="EF113" s="25">
        <v>1</v>
      </c>
      <c r="EG113" s="25">
        <v>0</v>
      </c>
      <c r="EH113" s="25">
        <v>1</v>
      </c>
      <c r="EI113" s="25">
        <v>0</v>
      </c>
      <c r="EJ113" s="25" t="s">
        <v>92</v>
      </c>
      <c r="EK113" s="25" t="s">
        <v>180</v>
      </c>
      <c r="EL113" s="25" t="s">
        <v>180</v>
      </c>
      <c r="EM113" s="25" t="s">
        <v>276</v>
      </c>
      <c r="EN113" s="25" t="s">
        <v>23</v>
      </c>
      <c r="EO113" s="25" t="s">
        <v>23</v>
      </c>
      <c r="EP113" s="25" t="s">
        <v>62</v>
      </c>
      <c r="EQ113" s="25" t="s">
        <v>62</v>
      </c>
      <c r="ER113" s="25" t="s">
        <v>278</v>
      </c>
      <c r="ES113" s="25" t="s">
        <v>278</v>
      </c>
      <c r="ET113" s="25">
        <v>1</v>
      </c>
      <c r="EU113" s="25" t="s">
        <v>522</v>
      </c>
      <c r="EV113" s="25" t="s">
        <v>180</v>
      </c>
      <c r="EW113" s="25" t="s">
        <v>23</v>
      </c>
      <c r="EX113" s="25" t="s">
        <v>278</v>
      </c>
      <c r="EY113" s="20" t="e">
        <v>#N/A</v>
      </c>
    </row>
    <row r="114" spans="1:155">
      <c r="A114" s="21" t="s">
        <v>491</v>
      </c>
      <c r="B114" s="21" t="s">
        <v>491</v>
      </c>
      <c r="C114" s="21" t="s">
        <v>492</v>
      </c>
      <c r="D114" s="21" t="s">
        <v>493</v>
      </c>
      <c r="E114" s="21" t="s">
        <v>493</v>
      </c>
      <c r="F114" s="21" t="s">
        <v>493</v>
      </c>
      <c r="G114" s="21" t="s">
        <v>2099</v>
      </c>
      <c r="H114" s="21">
        <v>1124670061</v>
      </c>
      <c r="I114" s="21" t="s">
        <v>494</v>
      </c>
      <c r="J114" s="21" t="s">
        <v>2100</v>
      </c>
      <c r="L114" s="21" t="s">
        <v>495</v>
      </c>
      <c r="M114" s="21" t="s">
        <v>2101</v>
      </c>
      <c r="N114" s="21" t="s">
        <v>496</v>
      </c>
      <c r="O114" s="21" t="s">
        <v>69</v>
      </c>
      <c r="P114" s="21" t="s">
        <v>497</v>
      </c>
      <c r="R114" s="21" t="s">
        <v>498</v>
      </c>
      <c r="S114" s="21" t="s">
        <v>499</v>
      </c>
      <c r="V114" s="21" t="s">
        <v>500</v>
      </c>
      <c r="W114" s="21" t="s">
        <v>501</v>
      </c>
      <c r="X114" s="21" t="s">
        <v>502</v>
      </c>
      <c r="Y114" s="21" t="s">
        <v>503</v>
      </c>
      <c r="Z114" s="21">
        <v>3035528701</v>
      </c>
      <c r="AA114" s="22">
        <v>42740</v>
      </c>
      <c r="AB114" s="22">
        <v>42740</v>
      </c>
      <c r="AC114" s="21" t="s">
        <v>504</v>
      </c>
      <c r="AD114" s="21" t="s">
        <v>505</v>
      </c>
      <c r="AE114" s="21" t="s">
        <v>500</v>
      </c>
      <c r="AF114" s="21" t="s">
        <v>549</v>
      </c>
      <c r="AG114" s="21" t="s">
        <v>1972</v>
      </c>
      <c r="AH114" s="21" t="s">
        <v>1973</v>
      </c>
      <c r="AI114" s="21" t="s">
        <v>2102</v>
      </c>
      <c r="AJ114" s="21" t="s">
        <v>526</v>
      </c>
      <c r="AK114" s="21" t="s">
        <v>494</v>
      </c>
      <c r="AL114" s="21" t="s">
        <v>527</v>
      </c>
      <c r="AM114" s="21" t="s">
        <v>527</v>
      </c>
      <c r="AN114" s="21" t="s">
        <v>527</v>
      </c>
      <c r="AO114" s="21" t="s">
        <v>528</v>
      </c>
      <c r="AS114" s="21" t="s">
        <v>511</v>
      </c>
      <c r="AT114" s="21" t="s">
        <v>512</v>
      </c>
      <c r="AW114" s="21">
        <v>0</v>
      </c>
      <c r="AX114" s="21">
        <v>2</v>
      </c>
      <c r="BC114" s="21" t="s">
        <v>513</v>
      </c>
      <c r="BD114" s="21" t="s">
        <v>514</v>
      </c>
      <c r="BE114" s="21" t="s">
        <v>514</v>
      </c>
      <c r="BF114" s="21" t="s">
        <v>515</v>
      </c>
      <c r="BG114" s="21">
        <v>1</v>
      </c>
      <c r="BH114" s="21" t="s">
        <v>516</v>
      </c>
      <c r="BI114" s="21" t="s">
        <v>517</v>
      </c>
      <c r="BJ114" s="21" t="s">
        <v>516</v>
      </c>
      <c r="BK114" s="21" t="s">
        <v>516</v>
      </c>
      <c r="BM114" s="21" t="s">
        <v>1453</v>
      </c>
      <c r="BN114" s="21" t="s">
        <v>231</v>
      </c>
      <c r="BO114" s="21" t="s">
        <v>518</v>
      </c>
      <c r="BP114" s="21" t="s">
        <v>1044</v>
      </c>
      <c r="BQ114" s="21" t="s">
        <v>1453</v>
      </c>
      <c r="BR114" s="21" t="s">
        <v>231</v>
      </c>
      <c r="BS114" s="21" t="s">
        <v>518</v>
      </c>
      <c r="BT114" s="21" t="s">
        <v>1044</v>
      </c>
      <c r="BU114" s="21" t="s">
        <v>231</v>
      </c>
      <c r="CD114" s="21" t="s">
        <v>520</v>
      </c>
      <c r="CF114" s="21" t="s">
        <v>521</v>
      </c>
      <c r="DB114" s="21" t="s">
        <v>943</v>
      </c>
      <c r="DC114" s="21">
        <v>1</v>
      </c>
      <c r="DD114" s="21">
        <v>2</v>
      </c>
      <c r="DE114" s="22">
        <v>42743</v>
      </c>
      <c r="DF114" s="21" t="s">
        <v>2103</v>
      </c>
      <c r="DG114" s="21" t="s">
        <v>522</v>
      </c>
      <c r="DH114" s="21" t="s">
        <v>2104</v>
      </c>
      <c r="DI114" s="21" t="s">
        <v>495</v>
      </c>
      <c r="DJ114" s="21" t="s">
        <v>520</v>
      </c>
      <c r="DL114" s="21">
        <v>42752</v>
      </c>
      <c r="DM114" s="21">
        <v>42742</v>
      </c>
      <c r="DN114" s="21">
        <v>3100</v>
      </c>
      <c r="DO114" s="21">
        <v>8</v>
      </c>
      <c r="DP114" s="21">
        <v>1</v>
      </c>
      <c r="DQ114" s="21">
        <v>1</v>
      </c>
      <c r="DR114" s="21">
        <v>5</v>
      </c>
      <c r="DS114" s="21">
        <v>7</v>
      </c>
      <c r="DT114" s="21">
        <v>7</v>
      </c>
      <c r="DU114" s="21">
        <v>9</v>
      </c>
      <c r="DW114" s="21">
        <v>9</v>
      </c>
      <c r="EA114" s="21">
        <v>9</v>
      </c>
      <c r="EB114" s="21" t="s">
        <v>2105</v>
      </c>
      <c r="EC114" s="21" t="s">
        <v>1221</v>
      </c>
      <c r="EF114" s="25">
        <v>1</v>
      </c>
      <c r="EG114" s="25">
        <v>0</v>
      </c>
      <c r="EH114" s="25">
        <v>0</v>
      </c>
      <c r="EI114" s="25">
        <v>0</v>
      </c>
      <c r="EJ114" s="25" t="s">
        <v>62</v>
      </c>
      <c r="EK114" s="25" t="s">
        <v>232</v>
      </c>
      <c r="EL114" s="25" t="s">
        <v>232</v>
      </c>
      <c r="EM114" s="25" t="s">
        <v>276</v>
      </c>
      <c r="EN114" s="25" t="s">
        <v>39</v>
      </c>
      <c r="EO114" s="25" t="s">
        <v>39</v>
      </c>
      <c r="EP114" s="25" t="s">
        <v>92</v>
      </c>
      <c r="EQ114" s="25" t="s">
        <v>92</v>
      </c>
      <c r="ER114" s="25" t="s">
        <v>278</v>
      </c>
      <c r="ES114" s="25" t="s">
        <v>278</v>
      </c>
      <c r="ET114" s="25">
        <v>1</v>
      </c>
      <c r="EU114" s="25" t="s">
        <v>522</v>
      </c>
      <c r="EV114" s="25" t="s">
        <v>232</v>
      </c>
      <c r="EW114" s="25" t="s">
        <v>39</v>
      </c>
      <c r="EX114" s="25" t="s">
        <v>278</v>
      </c>
      <c r="EY114" s="20" t="e">
        <v>#N/A</v>
      </c>
    </row>
    <row r="115" spans="1:155">
      <c r="A115" s="21" t="s">
        <v>491</v>
      </c>
      <c r="B115" s="21" t="s">
        <v>491</v>
      </c>
      <c r="C115" s="21" t="s">
        <v>492</v>
      </c>
      <c r="D115" s="21" t="s">
        <v>493</v>
      </c>
      <c r="E115" s="21" t="s">
        <v>493</v>
      </c>
      <c r="F115" s="21" t="s">
        <v>493</v>
      </c>
      <c r="G115" s="21" t="s">
        <v>2106</v>
      </c>
      <c r="H115" s="21" t="s">
        <v>2107</v>
      </c>
      <c r="I115" s="21" t="s">
        <v>494</v>
      </c>
      <c r="J115" s="21" t="s">
        <v>2108</v>
      </c>
      <c r="L115" s="21" t="s">
        <v>495</v>
      </c>
      <c r="M115" s="21" t="s">
        <v>2109</v>
      </c>
      <c r="N115" s="21" t="s">
        <v>496</v>
      </c>
      <c r="O115" s="21" t="s">
        <v>69</v>
      </c>
      <c r="P115" s="21" t="s">
        <v>497</v>
      </c>
      <c r="R115" s="21" t="s">
        <v>498</v>
      </c>
      <c r="S115" s="21" t="s">
        <v>499</v>
      </c>
      <c r="V115" s="21" t="s">
        <v>500</v>
      </c>
      <c r="W115" s="21" t="s">
        <v>501</v>
      </c>
      <c r="X115" s="21" t="s">
        <v>502</v>
      </c>
      <c r="Y115" s="21" t="s">
        <v>503</v>
      </c>
      <c r="Z115" s="21">
        <v>3035506352</v>
      </c>
      <c r="AA115" s="22">
        <v>42740</v>
      </c>
      <c r="AB115" s="22">
        <v>42740</v>
      </c>
      <c r="AC115" s="21" t="s">
        <v>504</v>
      </c>
      <c r="AD115" s="21" t="s">
        <v>505</v>
      </c>
      <c r="AE115" s="21" t="s">
        <v>500</v>
      </c>
      <c r="AF115" s="21" t="s">
        <v>549</v>
      </c>
      <c r="AG115" s="21" t="s">
        <v>1488</v>
      </c>
      <c r="AH115" s="21" t="s">
        <v>1489</v>
      </c>
      <c r="AI115" s="21" t="s">
        <v>2110</v>
      </c>
      <c r="AJ115" s="21" t="s">
        <v>526</v>
      </c>
      <c r="AK115" s="21" t="s">
        <v>494</v>
      </c>
      <c r="AL115" s="21" t="s">
        <v>527</v>
      </c>
      <c r="AM115" s="21" t="s">
        <v>527</v>
      </c>
      <c r="AN115" s="21" t="s">
        <v>527</v>
      </c>
      <c r="AO115" s="21" t="s">
        <v>528</v>
      </c>
      <c r="AS115" s="21" t="s">
        <v>1418</v>
      </c>
      <c r="AT115" s="21" t="s">
        <v>512</v>
      </c>
      <c r="AW115" s="21">
        <v>0</v>
      </c>
      <c r="AX115" s="21">
        <v>2</v>
      </c>
      <c r="BC115" s="21" t="s">
        <v>513</v>
      </c>
      <c r="BD115" s="21" t="s">
        <v>514</v>
      </c>
      <c r="BE115" s="21" t="s">
        <v>514</v>
      </c>
      <c r="BF115" s="21" t="s">
        <v>515</v>
      </c>
      <c r="BG115" s="21">
        <v>1</v>
      </c>
      <c r="BH115" s="21" t="s">
        <v>516</v>
      </c>
      <c r="BI115" s="21" t="s">
        <v>517</v>
      </c>
      <c r="BJ115" s="21" t="s">
        <v>516</v>
      </c>
      <c r="BK115" s="21" t="s">
        <v>516</v>
      </c>
      <c r="BM115" s="21" t="s">
        <v>8</v>
      </c>
      <c r="BN115" s="21" t="s">
        <v>80</v>
      </c>
      <c r="BO115" s="21" t="s">
        <v>518</v>
      </c>
      <c r="BP115" s="21" t="s">
        <v>519</v>
      </c>
      <c r="BQ115" s="21" t="s">
        <v>8</v>
      </c>
      <c r="BR115" s="21" t="s">
        <v>80</v>
      </c>
      <c r="BS115" s="21" t="s">
        <v>518</v>
      </c>
      <c r="BT115" s="21" t="s">
        <v>519</v>
      </c>
      <c r="BU115" s="21" t="s">
        <v>80</v>
      </c>
      <c r="CD115" s="21" t="s">
        <v>520</v>
      </c>
      <c r="CF115" s="21" t="s">
        <v>521</v>
      </c>
      <c r="DB115" s="21" t="s">
        <v>943</v>
      </c>
      <c r="DC115" s="21">
        <v>1</v>
      </c>
      <c r="DD115" s="21">
        <v>2</v>
      </c>
      <c r="DE115" s="22">
        <v>42743</v>
      </c>
      <c r="DF115" s="21" t="s">
        <v>2111</v>
      </c>
      <c r="DG115" s="21" t="s">
        <v>522</v>
      </c>
      <c r="DH115" s="21" t="s">
        <v>2112</v>
      </c>
      <c r="DI115" s="21" t="s">
        <v>495</v>
      </c>
      <c r="DJ115" s="21" t="s">
        <v>520</v>
      </c>
      <c r="DL115" s="21">
        <v>42752</v>
      </c>
      <c r="DM115" s="21">
        <v>42742</v>
      </c>
      <c r="DN115" s="21">
        <v>3100</v>
      </c>
      <c r="DO115" s="21">
        <v>10</v>
      </c>
      <c r="DP115" s="21">
        <v>1</v>
      </c>
      <c r="DQ115" s="21">
        <v>1</v>
      </c>
      <c r="DR115" s="21">
        <v>7</v>
      </c>
      <c r="DS115" s="21">
        <v>10</v>
      </c>
      <c r="DT115" s="21">
        <v>10</v>
      </c>
      <c r="DU115" s="21">
        <v>10</v>
      </c>
      <c r="DW115" s="21">
        <v>8</v>
      </c>
      <c r="EA115" s="21">
        <v>10</v>
      </c>
      <c r="EF115" s="25">
        <v>1</v>
      </c>
      <c r="EG115" s="25">
        <v>0</v>
      </c>
      <c r="EH115" s="25">
        <v>1</v>
      </c>
      <c r="EI115" s="25">
        <v>0</v>
      </c>
      <c r="EJ115" s="25" t="s">
        <v>62</v>
      </c>
      <c r="EK115" s="25" t="s">
        <v>81</v>
      </c>
      <c r="EL115" s="25" t="s">
        <v>81</v>
      </c>
      <c r="EM115" s="25" t="s">
        <v>276</v>
      </c>
      <c r="EN115" s="25" t="s">
        <v>271</v>
      </c>
      <c r="EO115" s="25" t="s">
        <v>271</v>
      </c>
      <c r="EP115" s="25" t="s">
        <v>548</v>
      </c>
      <c r="EQ115" s="25" t="s">
        <v>548</v>
      </c>
      <c r="ER115" s="25" t="s">
        <v>278</v>
      </c>
      <c r="ES115" s="25" t="s">
        <v>278</v>
      </c>
      <c r="ET115" s="25">
        <v>1</v>
      </c>
      <c r="EU115" s="25" t="s">
        <v>522</v>
      </c>
      <c r="EV115" s="25" t="s">
        <v>81</v>
      </c>
      <c r="EW115" s="25" t="s">
        <v>271</v>
      </c>
      <c r="EX115" s="25" t="s">
        <v>278</v>
      </c>
      <c r="EY115" s="20" t="e">
        <v>#N/A</v>
      </c>
    </row>
    <row r="116" spans="1:155">
      <c r="A116" s="21" t="s">
        <v>491</v>
      </c>
      <c r="B116" s="21" t="s">
        <v>491</v>
      </c>
      <c r="C116" s="21" t="s">
        <v>492</v>
      </c>
      <c r="D116" s="21" t="s">
        <v>493</v>
      </c>
      <c r="E116" s="21" t="s">
        <v>493</v>
      </c>
      <c r="F116" s="21" t="s">
        <v>493</v>
      </c>
      <c r="G116" s="21" t="s">
        <v>1916</v>
      </c>
      <c r="H116" s="21" t="s">
        <v>1917</v>
      </c>
      <c r="I116" s="21" t="s">
        <v>494</v>
      </c>
      <c r="J116" s="21" t="s">
        <v>1918</v>
      </c>
      <c r="L116" s="21" t="s">
        <v>495</v>
      </c>
      <c r="M116" s="21" t="s">
        <v>1919</v>
      </c>
      <c r="N116" s="21" t="s">
        <v>1051</v>
      </c>
      <c r="O116" s="21" t="s">
        <v>93</v>
      </c>
      <c r="P116" s="21" t="s">
        <v>539</v>
      </c>
      <c r="Q116" s="21" t="s">
        <v>1168</v>
      </c>
      <c r="R116" s="21" t="s">
        <v>1052</v>
      </c>
      <c r="S116" s="21" t="s">
        <v>1053</v>
      </c>
      <c r="V116" s="21" t="s">
        <v>277</v>
      </c>
      <c r="W116" s="21" t="s">
        <v>524</v>
      </c>
      <c r="X116" s="21" t="s">
        <v>525</v>
      </c>
      <c r="Y116" s="21" t="s">
        <v>530</v>
      </c>
      <c r="Z116" s="21">
        <v>3035434952</v>
      </c>
      <c r="AA116" s="22">
        <v>42738</v>
      </c>
      <c r="AB116" s="22">
        <v>42740</v>
      </c>
      <c r="AC116" s="21" t="s">
        <v>504</v>
      </c>
      <c r="AD116" s="21" t="s">
        <v>505</v>
      </c>
      <c r="AE116" s="21" t="s">
        <v>565</v>
      </c>
      <c r="AF116" s="21" t="s">
        <v>1920</v>
      </c>
      <c r="AG116" s="21" t="s">
        <v>1921</v>
      </c>
      <c r="AH116" s="21" t="s">
        <v>1922</v>
      </c>
      <c r="AI116" s="21" t="s">
        <v>1923</v>
      </c>
      <c r="AJ116" s="21" t="s">
        <v>507</v>
      </c>
      <c r="AK116" s="21" t="s">
        <v>494</v>
      </c>
      <c r="AL116" s="21" t="s">
        <v>527</v>
      </c>
      <c r="AM116" s="21" t="s">
        <v>527</v>
      </c>
      <c r="AN116" s="21" t="s">
        <v>527</v>
      </c>
      <c r="AO116" s="21" t="s">
        <v>528</v>
      </c>
      <c r="AS116" s="21" t="s">
        <v>511</v>
      </c>
      <c r="AT116" s="21" t="s">
        <v>512</v>
      </c>
      <c r="AW116" s="21">
        <v>0</v>
      </c>
      <c r="AX116" s="21">
        <v>7</v>
      </c>
      <c r="BC116" s="21" t="s">
        <v>513</v>
      </c>
      <c r="BD116" s="21" t="s">
        <v>514</v>
      </c>
      <c r="BE116" s="21" t="s">
        <v>514</v>
      </c>
      <c r="BF116" s="21" t="s">
        <v>515</v>
      </c>
      <c r="BG116" s="21">
        <v>1</v>
      </c>
      <c r="BH116" s="21" t="s">
        <v>516</v>
      </c>
      <c r="BI116" s="21" t="s">
        <v>517</v>
      </c>
      <c r="BJ116" s="21" t="s">
        <v>516</v>
      </c>
      <c r="BK116" s="21" t="s">
        <v>516</v>
      </c>
      <c r="BM116" s="21" t="s">
        <v>1887</v>
      </c>
      <c r="BN116" s="21" t="s">
        <v>216</v>
      </c>
      <c r="BO116" s="21" t="s">
        <v>518</v>
      </c>
      <c r="BP116" s="21" t="s">
        <v>1044</v>
      </c>
      <c r="BQ116" s="21" t="s">
        <v>1374</v>
      </c>
      <c r="BR116" s="21" t="s">
        <v>206</v>
      </c>
      <c r="BS116" s="21" t="s">
        <v>518</v>
      </c>
      <c r="BT116" s="21" t="s">
        <v>519</v>
      </c>
      <c r="BU116" s="21" t="s">
        <v>216</v>
      </c>
      <c r="CD116" s="21" t="s">
        <v>520</v>
      </c>
      <c r="CF116" s="21" t="s">
        <v>521</v>
      </c>
      <c r="DB116" s="21" t="s">
        <v>943</v>
      </c>
      <c r="DC116" s="21">
        <v>1</v>
      </c>
      <c r="DD116" s="21">
        <v>2</v>
      </c>
      <c r="DE116" s="22">
        <v>42743</v>
      </c>
      <c r="DF116" s="21" t="s">
        <v>1924</v>
      </c>
      <c r="DG116" s="21" t="s">
        <v>522</v>
      </c>
      <c r="DH116" s="21" t="s">
        <v>1925</v>
      </c>
      <c r="DI116" s="21" t="s">
        <v>495</v>
      </c>
      <c r="DJ116" s="21" t="s">
        <v>520</v>
      </c>
      <c r="DL116" s="21">
        <v>42752</v>
      </c>
      <c r="DM116" s="21">
        <v>42742</v>
      </c>
      <c r="DN116" s="21">
        <v>1100</v>
      </c>
      <c r="DO116" s="21">
        <v>8</v>
      </c>
      <c r="DP116" s="21">
        <v>1</v>
      </c>
      <c r="DQ116" s="21">
        <v>1</v>
      </c>
      <c r="DR116" s="21">
        <v>6</v>
      </c>
      <c r="DS116" s="21">
        <v>9</v>
      </c>
      <c r="DT116" s="21">
        <v>10</v>
      </c>
      <c r="DU116" s="21">
        <v>9</v>
      </c>
      <c r="DW116" s="21">
        <v>9</v>
      </c>
      <c r="EA116" s="21">
        <v>9</v>
      </c>
      <c r="EF116" s="25">
        <v>1</v>
      </c>
      <c r="EG116" s="25">
        <v>0</v>
      </c>
      <c r="EH116" s="25">
        <v>0</v>
      </c>
      <c r="EI116" s="25">
        <v>0</v>
      </c>
      <c r="EJ116" s="25" t="s">
        <v>92</v>
      </c>
      <c r="EK116" s="25" t="s">
        <v>217</v>
      </c>
      <c r="EL116" s="25" t="s">
        <v>207</v>
      </c>
      <c r="EM116" s="25" t="s">
        <v>276</v>
      </c>
      <c r="EN116" s="25" t="s">
        <v>31</v>
      </c>
      <c r="EO116" s="25" t="s">
        <v>31</v>
      </c>
      <c r="EP116" s="25" t="s">
        <v>92</v>
      </c>
      <c r="EQ116" s="25" t="s">
        <v>92</v>
      </c>
      <c r="ER116" s="25" t="s">
        <v>278</v>
      </c>
      <c r="ES116" s="25" t="s">
        <v>278</v>
      </c>
      <c r="ET116" s="25">
        <v>1</v>
      </c>
      <c r="EU116" s="25" t="s">
        <v>522</v>
      </c>
      <c r="EV116" s="25" t="s">
        <v>279</v>
      </c>
      <c r="EW116" s="25" t="s">
        <v>279</v>
      </c>
      <c r="EX116" s="25" t="s">
        <v>279</v>
      </c>
      <c r="EY116" s="20" t="e">
        <v>#N/A</v>
      </c>
    </row>
    <row r="117" spans="1:155">
      <c r="A117" s="21" t="s">
        <v>491</v>
      </c>
      <c r="B117" s="21" t="s">
        <v>491</v>
      </c>
      <c r="C117" s="21" t="s">
        <v>492</v>
      </c>
      <c r="D117" s="21" t="s">
        <v>493</v>
      </c>
      <c r="E117" s="21" t="s">
        <v>493</v>
      </c>
      <c r="F117" s="21" t="s">
        <v>493</v>
      </c>
      <c r="G117" s="21" t="s">
        <v>2113</v>
      </c>
      <c r="H117" s="21">
        <v>9233040465</v>
      </c>
      <c r="I117" s="21" t="s">
        <v>494</v>
      </c>
      <c r="J117" s="21" t="s">
        <v>2114</v>
      </c>
      <c r="L117" s="21" t="s">
        <v>495</v>
      </c>
      <c r="M117" s="21" t="s">
        <v>2115</v>
      </c>
      <c r="N117" s="21" t="s">
        <v>1634</v>
      </c>
      <c r="O117" s="21" t="s">
        <v>144</v>
      </c>
      <c r="P117" s="21" t="s">
        <v>1635</v>
      </c>
      <c r="R117" s="21" t="s">
        <v>1636</v>
      </c>
      <c r="S117" s="21" t="s">
        <v>1637</v>
      </c>
      <c r="V117" s="21" t="s">
        <v>500</v>
      </c>
      <c r="W117" s="21" t="s">
        <v>501</v>
      </c>
      <c r="X117" s="21" t="s">
        <v>502</v>
      </c>
      <c r="Y117" s="21" t="s">
        <v>554</v>
      </c>
      <c r="Z117" s="21">
        <v>3035511643</v>
      </c>
      <c r="AA117" s="22">
        <v>42740</v>
      </c>
      <c r="AB117" s="22">
        <v>42740</v>
      </c>
      <c r="AC117" s="21" t="s">
        <v>504</v>
      </c>
      <c r="AD117" s="21" t="s">
        <v>505</v>
      </c>
      <c r="AE117" s="21" t="s">
        <v>1020</v>
      </c>
      <c r="AF117" s="21" t="s">
        <v>1314</v>
      </c>
      <c r="AG117" s="21" t="s">
        <v>1315</v>
      </c>
      <c r="AH117" s="21" t="s">
        <v>1316</v>
      </c>
      <c r="AI117" s="21" t="s">
        <v>2070</v>
      </c>
      <c r="AJ117" s="21" t="s">
        <v>526</v>
      </c>
      <c r="AK117" s="21" t="s">
        <v>494</v>
      </c>
      <c r="AL117" s="21" t="s">
        <v>508</v>
      </c>
      <c r="AM117" s="21" t="s">
        <v>509</v>
      </c>
      <c r="AN117" s="21" t="s">
        <v>509</v>
      </c>
      <c r="AO117" s="21" t="s">
        <v>510</v>
      </c>
      <c r="AS117" s="21" t="s">
        <v>511</v>
      </c>
      <c r="AT117" s="21" t="s">
        <v>512</v>
      </c>
      <c r="AW117" s="21">
        <v>0</v>
      </c>
      <c r="AX117" s="21">
        <v>7</v>
      </c>
      <c r="BC117" s="21" t="s">
        <v>513</v>
      </c>
      <c r="BD117" s="21" t="s">
        <v>514</v>
      </c>
      <c r="BE117" s="21" t="s">
        <v>514</v>
      </c>
      <c r="BF117" s="21" t="s">
        <v>515</v>
      </c>
      <c r="BG117" s="21">
        <v>1</v>
      </c>
      <c r="BH117" s="21" t="s">
        <v>516</v>
      </c>
      <c r="BI117" s="21" t="s">
        <v>517</v>
      </c>
      <c r="BJ117" s="21" t="s">
        <v>516</v>
      </c>
      <c r="BK117" s="21" t="s">
        <v>516</v>
      </c>
      <c r="BM117" s="21" t="s">
        <v>54</v>
      </c>
      <c r="BN117" s="21" t="s">
        <v>259</v>
      </c>
      <c r="BO117" s="21" t="s">
        <v>518</v>
      </c>
      <c r="BP117" s="21" t="s">
        <v>519</v>
      </c>
      <c r="BQ117" s="21" t="s">
        <v>54</v>
      </c>
      <c r="BR117" s="21" t="s">
        <v>259</v>
      </c>
      <c r="BS117" s="21" t="s">
        <v>518</v>
      </c>
      <c r="BT117" s="21" t="s">
        <v>519</v>
      </c>
      <c r="BU117" s="21" t="s">
        <v>259</v>
      </c>
      <c r="CD117" s="21" t="s">
        <v>520</v>
      </c>
      <c r="CF117" s="21" t="s">
        <v>521</v>
      </c>
      <c r="DB117" s="21" t="s">
        <v>943</v>
      </c>
      <c r="DC117" s="21">
        <v>1</v>
      </c>
      <c r="DD117" s="21">
        <v>2</v>
      </c>
      <c r="DE117" s="22">
        <v>42743</v>
      </c>
      <c r="DF117" s="21" t="s">
        <v>2116</v>
      </c>
      <c r="DG117" s="21" t="s">
        <v>522</v>
      </c>
      <c r="DH117" s="21" t="s">
        <v>2117</v>
      </c>
      <c r="DI117" s="21" t="s">
        <v>495</v>
      </c>
      <c r="DJ117" s="21" t="s">
        <v>520</v>
      </c>
      <c r="DL117" s="21">
        <v>42752</v>
      </c>
      <c r="DM117" s="21">
        <v>42742</v>
      </c>
      <c r="DN117" s="21">
        <v>3100</v>
      </c>
      <c r="DO117" s="21">
        <v>10</v>
      </c>
      <c r="DP117" s="21">
        <v>1</v>
      </c>
      <c r="DQ117" s="21">
        <v>1</v>
      </c>
      <c r="DR117" s="21">
        <v>7</v>
      </c>
      <c r="DS117" s="21">
        <v>10</v>
      </c>
      <c r="DT117" s="21">
        <v>10</v>
      </c>
      <c r="DU117" s="21">
        <v>10</v>
      </c>
      <c r="DW117" s="21">
        <v>10</v>
      </c>
      <c r="EA117" s="21">
        <v>10</v>
      </c>
      <c r="EF117" s="25">
        <v>1</v>
      </c>
      <c r="EG117" s="25">
        <v>0</v>
      </c>
      <c r="EH117" s="25">
        <v>1</v>
      </c>
      <c r="EI117" s="25">
        <v>0</v>
      </c>
      <c r="EJ117" s="25" t="s">
        <v>62</v>
      </c>
      <c r="EK117" s="25" t="s">
        <v>276</v>
      </c>
      <c r="EL117" s="25" t="s">
        <v>276</v>
      </c>
      <c r="EM117" s="25" t="s">
        <v>276</v>
      </c>
      <c r="EN117" s="25" t="s">
        <v>276</v>
      </c>
      <c r="EO117" s="25" t="s">
        <v>276</v>
      </c>
      <c r="EP117" s="25" t="s">
        <v>276</v>
      </c>
      <c r="EQ117" s="25" t="s">
        <v>276</v>
      </c>
      <c r="ER117" s="25" t="s">
        <v>276</v>
      </c>
      <c r="ES117" s="25" t="s">
        <v>276</v>
      </c>
      <c r="ET117" s="25">
        <v>1</v>
      </c>
      <c r="EU117" s="25" t="s">
        <v>522</v>
      </c>
      <c r="EV117" s="25" t="s">
        <v>276</v>
      </c>
      <c r="EW117" s="25" t="s">
        <v>276</v>
      </c>
      <c r="EX117" s="25" t="s">
        <v>276</v>
      </c>
      <c r="EY117" s="20" t="s">
        <v>273</v>
      </c>
    </row>
    <row r="118" spans="1:155">
      <c r="A118" s="21" t="s">
        <v>491</v>
      </c>
      <c r="B118" s="21" t="s">
        <v>491</v>
      </c>
      <c r="C118" s="21" t="s">
        <v>492</v>
      </c>
      <c r="D118" s="21" t="s">
        <v>493</v>
      </c>
      <c r="E118" s="21" t="s">
        <v>493</v>
      </c>
      <c r="F118" s="21" t="s">
        <v>493</v>
      </c>
      <c r="G118" s="21" t="s">
        <v>2118</v>
      </c>
      <c r="H118" s="21">
        <v>92984300220</v>
      </c>
      <c r="I118" s="21" t="s">
        <v>494</v>
      </c>
      <c r="J118" s="21" t="s">
        <v>2119</v>
      </c>
      <c r="L118" s="21" t="s">
        <v>495</v>
      </c>
      <c r="M118" s="21" t="s">
        <v>2120</v>
      </c>
      <c r="N118" s="21" t="s">
        <v>496</v>
      </c>
      <c r="O118" s="21" t="s">
        <v>69</v>
      </c>
      <c r="P118" s="21" t="s">
        <v>497</v>
      </c>
      <c r="R118" s="21" t="s">
        <v>498</v>
      </c>
      <c r="S118" s="21" t="s">
        <v>499</v>
      </c>
      <c r="V118" s="21" t="s">
        <v>500</v>
      </c>
      <c r="W118" s="21" t="s">
        <v>501</v>
      </c>
      <c r="X118" s="21" t="s">
        <v>502</v>
      </c>
      <c r="Y118" s="21" t="s">
        <v>503</v>
      </c>
      <c r="Z118" s="21">
        <v>3035508375</v>
      </c>
      <c r="AA118" s="22">
        <v>42740</v>
      </c>
      <c r="AB118" s="22">
        <v>42740</v>
      </c>
      <c r="AC118" s="21" t="s">
        <v>504</v>
      </c>
      <c r="AD118" s="21" t="s">
        <v>505</v>
      </c>
      <c r="AE118" s="21" t="s">
        <v>500</v>
      </c>
      <c r="AF118" s="21" t="s">
        <v>506</v>
      </c>
      <c r="AG118" s="21" t="s">
        <v>1079</v>
      </c>
      <c r="AH118" s="21" t="s">
        <v>1080</v>
      </c>
      <c r="AI118" s="21" t="s">
        <v>2096</v>
      </c>
      <c r="AJ118" s="21" t="s">
        <v>507</v>
      </c>
      <c r="AK118" s="21" t="s">
        <v>494</v>
      </c>
      <c r="AL118" s="21" t="s">
        <v>527</v>
      </c>
      <c r="AM118" s="21" t="s">
        <v>527</v>
      </c>
      <c r="AN118" s="21" t="s">
        <v>527</v>
      </c>
      <c r="AO118" s="21" t="s">
        <v>528</v>
      </c>
      <c r="AS118" s="21" t="s">
        <v>511</v>
      </c>
      <c r="AT118" s="21" t="s">
        <v>512</v>
      </c>
      <c r="AW118" s="21">
        <v>0</v>
      </c>
      <c r="AX118" s="21">
        <v>2</v>
      </c>
      <c r="BC118" s="21" t="s">
        <v>513</v>
      </c>
      <c r="BD118" s="21" t="s">
        <v>514</v>
      </c>
      <c r="BE118" s="21" t="s">
        <v>514</v>
      </c>
      <c r="BF118" s="21" t="s">
        <v>515</v>
      </c>
      <c r="BG118" s="21">
        <v>1</v>
      </c>
      <c r="BH118" s="21" t="s">
        <v>516</v>
      </c>
      <c r="BI118" s="21" t="s">
        <v>517</v>
      </c>
      <c r="BJ118" s="21" t="s">
        <v>516</v>
      </c>
      <c r="BK118" s="21" t="s">
        <v>516</v>
      </c>
      <c r="BM118" s="21" t="s">
        <v>22</v>
      </c>
      <c r="BN118" s="21" t="s">
        <v>160</v>
      </c>
      <c r="BO118" s="21" t="s">
        <v>518</v>
      </c>
      <c r="BP118" s="21" t="s">
        <v>519</v>
      </c>
      <c r="BQ118" s="21" t="s">
        <v>22</v>
      </c>
      <c r="BR118" s="21" t="s">
        <v>160</v>
      </c>
      <c r="BS118" s="21" t="s">
        <v>518</v>
      </c>
      <c r="BT118" s="21" t="s">
        <v>519</v>
      </c>
      <c r="BU118" s="21" t="s">
        <v>160</v>
      </c>
      <c r="CD118" s="21" t="s">
        <v>520</v>
      </c>
      <c r="CF118" s="21" t="s">
        <v>521</v>
      </c>
      <c r="DB118" s="21" t="s">
        <v>943</v>
      </c>
      <c r="DC118" s="21">
        <v>1</v>
      </c>
      <c r="DD118" s="21">
        <v>2</v>
      </c>
      <c r="DE118" s="22">
        <v>42743</v>
      </c>
      <c r="DF118" s="21" t="s">
        <v>2121</v>
      </c>
      <c r="DG118" s="21" t="s">
        <v>522</v>
      </c>
      <c r="DH118" s="21" t="s">
        <v>2122</v>
      </c>
      <c r="DI118" s="21" t="s">
        <v>495</v>
      </c>
      <c r="DJ118" s="21" t="s">
        <v>520</v>
      </c>
      <c r="DL118" s="21">
        <v>42752</v>
      </c>
      <c r="DM118" s="21">
        <v>42742</v>
      </c>
      <c r="DN118" s="21">
        <v>3100</v>
      </c>
      <c r="DO118" s="21">
        <v>9</v>
      </c>
      <c r="DP118" s="21">
        <v>1</v>
      </c>
      <c r="DQ118" s="21">
        <v>1</v>
      </c>
      <c r="DR118" s="21">
        <v>6</v>
      </c>
      <c r="DS118" s="21">
        <v>9</v>
      </c>
      <c r="DT118" s="21">
        <v>10</v>
      </c>
      <c r="DU118" s="21">
        <v>10</v>
      </c>
      <c r="DW118" s="21">
        <v>10</v>
      </c>
      <c r="EA118" s="21">
        <v>9</v>
      </c>
      <c r="EF118" s="25">
        <v>1</v>
      </c>
      <c r="EG118" s="25">
        <v>0</v>
      </c>
      <c r="EH118" s="25">
        <v>1</v>
      </c>
      <c r="EI118" s="25">
        <v>0</v>
      </c>
      <c r="EJ118" s="25" t="s">
        <v>62</v>
      </c>
      <c r="EK118" s="25" t="s">
        <v>161</v>
      </c>
      <c r="EL118" s="25" t="s">
        <v>161</v>
      </c>
      <c r="EM118" s="25" t="s">
        <v>276</v>
      </c>
      <c r="EN118" s="25" t="s">
        <v>23</v>
      </c>
      <c r="EO118" s="25" t="s">
        <v>23</v>
      </c>
      <c r="EP118" s="25" t="s">
        <v>62</v>
      </c>
      <c r="EQ118" s="25" t="s">
        <v>62</v>
      </c>
      <c r="ER118" s="25" t="s">
        <v>278</v>
      </c>
      <c r="ES118" s="25" t="s">
        <v>278</v>
      </c>
      <c r="ET118" s="25">
        <v>1</v>
      </c>
      <c r="EU118" s="25" t="s">
        <v>522</v>
      </c>
      <c r="EV118" s="25" t="s">
        <v>161</v>
      </c>
      <c r="EW118" s="25" t="s">
        <v>23</v>
      </c>
      <c r="EX118" s="25" t="s">
        <v>278</v>
      </c>
      <c r="EY118" s="20" t="e">
        <v>#N/A</v>
      </c>
    </row>
    <row r="119" spans="1:155">
      <c r="A119" s="21" t="s">
        <v>491</v>
      </c>
      <c r="B119" s="21" t="s">
        <v>491</v>
      </c>
      <c r="C119" s="21" t="s">
        <v>492</v>
      </c>
      <c r="D119" s="21" t="s">
        <v>493</v>
      </c>
      <c r="E119" s="21" t="s">
        <v>493</v>
      </c>
      <c r="F119" s="21" t="s">
        <v>493</v>
      </c>
      <c r="G119" s="21" t="s">
        <v>1941</v>
      </c>
      <c r="H119" s="21">
        <v>2122819165</v>
      </c>
      <c r="I119" s="21" t="s">
        <v>494</v>
      </c>
      <c r="J119" s="21" t="s">
        <v>1942</v>
      </c>
      <c r="L119" s="21" t="s">
        <v>495</v>
      </c>
      <c r="M119" s="21" t="s">
        <v>1943</v>
      </c>
      <c r="N119" s="21" t="s">
        <v>496</v>
      </c>
      <c r="O119" s="21" t="s">
        <v>69</v>
      </c>
      <c r="P119" s="21" t="s">
        <v>497</v>
      </c>
      <c r="R119" s="21" t="s">
        <v>498</v>
      </c>
      <c r="S119" s="21" t="s">
        <v>499</v>
      </c>
      <c r="V119" s="21" t="s">
        <v>500</v>
      </c>
      <c r="W119" s="21" t="s">
        <v>501</v>
      </c>
      <c r="X119" s="21" t="s">
        <v>502</v>
      </c>
      <c r="Y119" s="21" t="s">
        <v>503</v>
      </c>
      <c r="Z119" s="21">
        <v>3035523608</v>
      </c>
      <c r="AA119" s="22">
        <v>42740</v>
      </c>
      <c r="AB119" s="22">
        <v>42740</v>
      </c>
      <c r="AC119" s="21" t="s">
        <v>504</v>
      </c>
      <c r="AD119" s="21" t="s">
        <v>505</v>
      </c>
      <c r="AE119" s="21" t="s">
        <v>500</v>
      </c>
      <c r="AF119" s="21" t="s">
        <v>506</v>
      </c>
      <c r="AG119" s="21" t="s">
        <v>581</v>
      </c>
      <c r="AH119" s="21" t="s">
        <v>582</v>
      </c>
      <c r="AI119" s="21" t="s">
        <v>1024</v>
      </c>
      <c r="AJ119" s="21" t="s">
        <v>526</v>
      </c>
      <c r="AK119" s="21" t="s">
        <v>494</v>
      </c>
      <c r="AL119" s="21" t="s">
        <v>527</v>
      </c>
      <c r="AM119" s="21" t="s">
        <v>527</v>
      </c>
      <c r="AN119" s="21" t="s">
        <v>527</v>
      </c>
      <c r="AO119" s="21" t="s">
        <v>528</v>
      </c>
      <c r="AS119" s="21" t="s">
        <v>511</v>
      </c>
      <c r="AT119" s="21" t="s">
        <v>512</v>
      </c>
      <c r="AW119" s="21">
        <v>0</v>
      </c>
      <c r="AX119" s="21">
        <v>2</v>
      </c>
      <c r="BC119" s="21" t="s">
        <v>513</v>
      </c>
      <c r="BD119" s="21" t="s">
        <v>514</v>
      </c>
      <c r="BE119" s="21" t="s">
        <v>514</v>
      </c>
      <c r="BF119" s="21" t="s">
        <v>515</v>
      </c>
      <c r="BG119" s="21">
        <v>1</v>
      </c>
      <c r="BH119" s="21" t="s">
        <v>516</v>
      </c>
      <c r="BI119" s="21" t="s">
        <v>517</v>
      </c>
      <c r="BJ119" s="21" t="s">
        <v>516</v>
      </c>
      <c r="BK119" s="21" t="s">
        <v>516</v>
      </c>
      <c r="BM119" s="21" t="s">
        <v>46</v>
      </c>
      <c r="BN119" s="21" t="s">
        <v>248</v>
      </c>
      <c r="BO119" s="21" t="s">
        <v>518</v>
      </c>
      <c r="BP119" s="21" t="s">
        <v>519</v>
      </c>
      <c r="BQ119" s="21" t="s">
        <v>46</v>
      </c>
      <c r="BR119" s="21" t="s">
        <v>248</v>
      </c>
      <c r="BS119" s="21" t="s">
        <v>518</v>
      </c>
      <c r="BT119" s="21" t="s">
        <v>519</v>
      </c>
      <c r="BU119" s="21" t="s">
        <v>248</v>
      </c>
      <c r="CD119" s="21" t="s">
        <v>520</v>
      </c>
      <c r="CF119" s="21" t="s">
        <v>521</v>
      </c>
      <c r="DB119" s="21" t="s">
        <v>943</v>
      </c>
      <c r="DC119" s="21">
        <v>1</v>
      </c>
      <c r="DD119" s="21">
        <v>2</v>
      </c>
      <c r="DE119" s="22">
        <v>42743</v>
      </c>
      <c r="DF119" s="21" t="s">
        <v>1944</v>
      </c>
      <c r="DG119" s="21" t="s">
        <v>522</v>
      </c>
      <c r="DH119" s="21" t="s">
        <v>1945</v>
      </c>
      <c r="DI119" s="21" t="s">
        <v>495</v>
      </c>
      <c r="DJ119" s="21" t="s">
        <v>520</v>
      </c>
      <c r="DL119" s="21">
        <v>42752</v>
      </c>
      <c r="DM119" s="21">
        <v>42742</v>
      </c>
      <c r="DN119" s="21">
        <v>3100</v>
      </c>
      <c r="DO119" s="21">
        <v>10</v>
      </c>
      <c r="DP119" s="21">
        <v>1</v>
      </c>
      <c r="DQ119" s="21">
        <v>1</v>
      </c>
      <c r="DR119" s="21">
        <v>7</v>
      </c>
      <c r="DS119" s="21">
        <v>10</v>
      </c>
      <c r="DT119" s="21">
        <v>10</v>
      </c>
      <c r="DU119" s="21">
        <v>10</v>
      </c>
      <c r="DW119" s="21">
        <v>10</v>
      </c>
      <c r="EA119" s="21">
        <v>10</v>
      </c>
      <c r="EF119" s="25">
        <v>1</v>
      </c>
      <c r="EG119" s="25">
        <v>0</v>
      </c>
      <c r="EH119" s="25">
        <v>1</v>
      </c>
      <c r="EI119" s="25">
        <v>0</v>
      </c>
      <c r="EJ119" s="25" t="s">
        <v>62</v>
      </c>
      <c r="EK119" s="25" t="s">
        <v>249</v>
      </c>
      <c r="EL119" s="25" t="s">
        <v>249</v>
      </c>
      <c r="EM119" s="25" t="s">
        <v>276</v>
      </c>
      <c r="EN119" s="25" t="s">
        <v>39</v>
      </c>
      <c r="EO119" s="25" t="s">
        <v>39</v>
      </c>
      <c r="EP119" s="25" t="s">
        <v>92</v>
      </c>
      <c r="EQ119" s="25" t="s">
        <v>92</v>
      </c>
      <c r="ER119" s="25" t="s">
        <v>278</v>
      </c>
      <c r="ES119" s="25" t="s">
        <v>278</v>
      </c>
      <c r="ET119" s="25">
        <v>1</v>
      </c>
      <c r="EU119" s="25" t="s">
        <v>522</v>
      </c>
      <c r="EV119" s="25" t="s">
        <v>249</v>
      </c>
      <c r="EW119" s="25" t="s">
        <v>39</v>
      </c>
      <c r="EX119" s="25" t="s">
        <v>278</v>
      </c>
      <c r="EY119" s="20" t="e">
        <v>#N/A</v>
      </c>
    </row>
    <row r="120" spans="1:155">
      <c r="A120" s="21" t="s">
        <v>491</v>
      </c>
      <c r="B120" s="21" t="s">
        <v>491</v>
      </c>
      <c r="C120" s="21" t="s">
        <v>492</v>
      </c>
      <c r="D120" s="21" t="s">
        <v>493</v>
      </c>
      <c r="E120" s="21" t="s">
        <v>493</v>
      </c>
      <c r="F120" s="21" t="s">
        <v>493</v>
      </c>
      <c r="G120" s="21" t="s">
        <v>2123</v>
      </c>
      <c r="H120" s="21">
        <v>27988055894</v>
      </c>
      <c r="I120" s="21" t="s">
        <v>494</v>
      </c>
      <c r="J120" s="21" t="s">
        <v>2124</v>
      </c>
      <c r="L120" s="21" t="s">
        <v>495</v>
      </c>
      <c r="M120" s="21" t="s">
        <v>2125</v>
      </c>
      <c r="N120" s="21" t="s">
        <v>496</v>
      </c>
      <c r="O120" s="21" t="s">
        <v>69</v>
      </c>
      <c r="P120" s="21" t="s">
        <v>497</v>
      </c>
      <c r="Q120" s="21" t="s">
        <v>2014</v>
      </c>
      <c r="R120" s="21" t="s">
        <v>498</v>
      </c>
      <c r="S120" s="21" t="s">
        <v>499</v>
      </c>
      <c r="V120" s="21" t="s">
        <v>500</v>
      </c>
      <c r="W120" s="21" t="s">
        <v>501</v>
      </c>
      <c r="X120" s="21" t="s">
        <v>502</v>
      </c>
      <c r="Y120" s="21" t="s">
        <v>503</v>
      </c>
      <c r="Z120" s="21">
        <v>3035560442</v>
      </c>
      <c r="AA120" s="22">
        <v>42741</v>
      </c>
      <c r="AB120" s="22">
        <v>42741</v>
      </c>
      <c r="AC120" s="21" t="s">
        <v>504</v>
      </c>
      <c r="AD120" s="21" t="s">
        <v>505</v>
      </c>
      <c r="AE120" s="21" t="s">
        <v>500</v>
      </c>
      <c r="AF120" s="21" t="s">
        <v>549</v>
      </c>
      <c r="AG120" s="21" t="s">
        <v>1972</v>
      </c>
      <c r="AH120" s="21" t="s">
        <v>1973</v>
      </c>
      <c r="AI120" s="21" t="s">
        <v>1117</v>
      </c>
      <c r="AJ120" s="21" t="s">
        <v>526</v>
      </c>
      <c r="AK120" s="21" t="s">
        <v>494</v>
      </c>
      <c r="AL120" s="21" t="s">
        <v>527</v>
      </c>
      <c r="AM120" s="21" t="s">
        <v>527</v>
      </c>
      <c r="AN120" s="21" t="s">
        <v>527</v>
      </c>
      <c r="AO120" s="21" t="s">
        <v>528</v>
      </c>
      <c r="AS120" s="21" t="s">
        <v>511</v>
      </c>
      <c r="AT120" s="21" t="s">
        <v>512</v>
      </c>
      <c r="AW120" s="21">
        <v>0</v>
      </c>
      <c r="AX120" s="21">
        <v>2</v>
      </c>
      <c r="BC120" s="21" t="s">
        <v>513</v>
      </c>
      <c r="BD120" s="21" t="s">
        <v>514</v>
      </c>
      <c r="BE120" s="21" t="s">
        <v>514</v>
      </c>
      <c r="BF120" s="21" t="s">
        <v>515</v>
      </c>
      <c r="BG120" s="21">
        <v>1</v>
      </c>
      <c r="BH120" s="21" t="s">
        <v>516</v>
      </c>
      <c r="BI120" s="21" t="s">
        <v>517</v>
      </c>
      <c r="BJ120" s="21" t="s">
        <v>516</v>
      </c>
      <c r="BK120" s="21" t="s">
        <v>516</v>
      </c>
      <c r="BM120" s="21" t="s">
        <v>591</v>
      </c>
      <c r="BN120" s="21" t="s">
        <v>131</v>
      </c>
      <c r="BO120" s="21" t="s">
        <v>518</v>
      </c>
      <c r="BP120" s="21" t="s">
        <v>519</v>
      </c>
      <c r="BQ120" s="21" t="s">
        <v>591</v>
      </c>
      <c r="BR120" s="21" t="s">
        <v>131</v>
      </c>
      <c r="BS120" s="21" t="s">
        <v>518</v>
      </c>
      <c r="BT120" s="21" t="s">
        <v>519</v>
      </c>
      <c r="BU120" s="21" t="s">
        <v>131</v>
      </c>
      <c r="CD120" s="21" t="s">
        <v>520</v>
      </c>
      <c r="CF120" s="21" t="s">
        <v>521</v>
      </c>
      <c r="DB120" s="21" t="s">
        <v>943</v>
      </c>
      <c r="DC120" s="21">
        <v>1</v>
      </c>
      <c r="DD120" s="21">
        <v>2</v>
      </c>
      <c r="DE120" s="22">
        <v>42743</v>
      </c>
      <c r="DF120" s="21" t="s">
        <v>2126</v>
      </c>
      <c r="DG120" s="21" t="s">
        <v>522</v>
      </c>
      <c r="DH120" s="21" t="s">
        <v>2127</v>
      </c>
      <c r="DI120" s="21" t="s">
        <v>495</v>
      </c>
      <c r="DJ120" s="21" t="s">
        <v>520</v>
      </c>
      <c r="DL120" s="21">
        <v>42753</v>
      </c>
      <c r="DM120" s="21">
        <v>42743</v>
      </c>
      <c r="DN120" s="21">
        <v>3100</v>
      </c>
      <c r="DO120" s="21">
        <v>10</v>
      </c>
      <c r="DP120" s="21">
        <v>1</v>
      </c>
      <c r="DQ120" s="21">
        <v>1</v>
      </c>
      <c r="DR120" s="21">
        <v>3</v>
      </c>
      <c r="DS120" s="21">
        <v>10</v>
      </c>
      <c r="DT120" s="21">
        <v>10</v>
      </c>
      <c r="DU120" s="21">
        <v>10</v>
      </c>
      <c r="DW120" s="21">
        <v>8</v>
      </c>
      <c r="EA120" s="21">
        <v>10</v>
      </c>
      <c r="EB120" s="21" t="s">
        <v>2128</v>
      </c>
      <c r="EC120" s="21" t="s">
        <v>1002</v>
      </c>
      <c r="EF120" s="25">
        <v>1</v>
      </c>
      <c r="EG120" s="25">
        <v>0</v>
      </c>
      <c r="EH120" s="25">
        <v>1</v>
      </c>
      <c r="EI120" s="25">
        <v>0</v>
      </c>
      <c r="EJ120" s="25" t="s">
        <v>62</v>
      </c>
      <c r="EK120" s="25" t="s">
        <v>132</v>
      </c>
      <c r="EL120" s="25" t="s">
        <v>132</v>
      </c>
      <c r="EM120" s="25" t="s">
        <v>276</v>
      </c>
      <c r="EN120" s="25" t="s">
        <v>23</v>
      </c>
      <c r="EO120" s="25" t="s">
        <v>23</v>
      </c>
      <c r="EP120" s="25" t="s">
        <v>62</v>
      </c>
      <c r="EQ120" s="25" t="s">
        <v>62</v>
      </c>
      <c r="ER120" s="25" t="s">
        <v>278</v>
      </c>
      <c r="ES120" s="25" t="s">
        <v>278</v>
      </c>
      <c r="ET120" s="25">
        <v>1</v>
      </c>
      <c r="EU120" s="25" t="s">
        <v>522</v>
      </c>
      <c r="EV120" s="25" t="s">
        <v>132</v>
      </c>
      <c r="EW120" s="25" t="s">
        <v>23</v>
      </c>
      <c r="EX120" s="25" t="s">
        <v>278</v>
      </c>
      <c r="EY120" s="20" t="e">
        <v>#N/A</v>
      </c>
    </row>
    <row r="121" spans="1:155">
      <c r="A121" s="21" t="s">
        <v>491</v>
      </c>
      <c r="B121" s="21" t="s">
        <v>491</v>
      </c>
      <c r="C121" s="21" t="s">
        <v>492</v>
      </c>
      <c r="D121" s="21" t="s">
        <v>493</v>
      </c>
      <c r="E121" s="21" t="s">
        <v>493</v>
      </c>
      <c r="F121" s="21" t="s">
        <v>493</v>
      </c>
      <c r="G121" s="21" t="s">
        <v>2161</v>
      </c>
      <c r="H121" s="21">
        <v>2732381441</v>
      </c>
      <c r="I121" s="21" t="s">
        <v>494</v>
      </c>
      <c r="J121" s="21" t="s">
        <v>2162</v>
      </c>
      <c r="L121" s="21" t="s">
        <v>495</v>
      </c>
      <c r="M121" s="21" t="s">
        <v>2163</v>
      </c>
      <c r="N121" s="21" t="s">
        <v>496</v>
      </c>
      <c r="O121" s="21" t="s">
        <v>69</v>
      </c>
      <c r="P121" s="21" t="s">
        <v>497</v>
      </c>
      <c r="R121" s="21" t="s">
        <v>498</v>
      </c>
      <c r="S121" s="21" t="s">
        <v>499</v>
      </c>
      <c r="V121" s="21" t="s">
        <v>500</v>
      </c>
      <c r="W121" s="21" t="s">
        <v>501</v>
      </c>
      <c r="X121" s="21" t="s">
        <v>502</v>
      </c>
      <c r="Y121" s="21" t="s">
        <v>503</v>
      </c>
      <c r="Z121" s="21">
        <v>3035325157</v>
      </c>
      <c r="AA121" s="22">
        <v>42733</v>
      </c>
      <c r="AB121" s="22">
        <v>42733</v>
      </c>
      <c r="AC121" s="21" t="s">
        <v>504</v>
      </c>
      <c r="AD121" s="21" t="s">
        <v>505</v>
      </c>
      <c r="AE121" s="21" t="s">
        <v>500</v>
      </c>
      <c r="AF121" s="21" t="s">
        <v>506</v>
      </c>
      <c r="AG121" s="21" t="s">
        <v>1079</v>
      </c>
      <c r="AH121" s="21" t="s">
        <v>1080</v>
      </c>
      <c r="AI121" s="21" t="s">
        <v>2164</v>
      </c>
      <c r="AJ121" s="21" t="s">
        <v>507</v>
      </c>
      <c r="AK121" s="21" t="s">
        <v>494</v>
      </c>
      <c r="AL121" s="21" t="s">
        <v>527</v>
      </c>
      <c r="AM121" s="21" t="s">
        <v>527</v>
      </c>
      <c r="AN121" s="21" t="s">
        <v>527</v>
      </c>
      <c r="AO121" s="21" t="s">
        <v>528</v>
      </c>
      <c r="AS121" s="21" t="s">
        <v>511</v>
      </c>
      <c r="AT121" s="21" t="s">
        <v>512</v>
      </c>
      <c r="AW121" s="21">
        <v>0</v>
      </c>
      <c r="AX121" s="21">
        <v>2</v>
      </c>
      <c r="BC121" s="21" t="s">
        <v>513</v>
      </c>
      <c r="BD121" s="21" t="s">
        <v>514</v>
      </c>
      <c r="BE121" s="21" t="s">
        <v>514</v>
      </c>
      <c r="BF121" s="21" t="s">
        <v>515</v>
      </c>
      <c r="BG121" s="21">
        <v>1</v>
      </c>
      <c r="BH121" s="21" t="s">
        <v>516</v>
      </c>
      <c r="BI121" s="21" t="s">
        <v>517</v>
      </c>
      <c r="BJ121" s="21" t="s">
        <v>516</v>
      </c>
      <c r="BK121" s="21" t="s">
        <v>516</v>
      </c>
      <c r="BM121" s="21" t="s">
        <v>837</v>
      </c>
      <c r="BN121" s="21" t="s">
        <v>853</v>
      </c>
      <c r="BO121" s="21" t="s">
        <v>518</v>
      </c>
      <c r="BP121" s="21" t="s">
        <v>519</v>
      </c>
      <c r="BQ121" s="21" t="s">
        <v>837</v>
      </c>
      <c r="BR121" s="21" t="s">
        <v>853</v>
      </c>
      <c r="BS121" s="21" t="s">
        <v>518</v>
      </c>
      <c r="BT121" s="21" t="s">
        <v>519</v>
      </c>
      <c r="BU121" s="21" t="s">
        <v>853</v>
      </c>
      <c r="CD121" s="21" t="s">
        <v>520</v>
      </c>
      <c r="CF121" s="21" t="s">
        <v>521</v>
      </c>
      <c r="DB121" s="21" t="s">
        <v>943</v>
      </c>
      <c r="DC121" s="21">
        <v>1</v>
      </c>
      <c r="DD121" s="21">
        <v>2</v>
      </c>
      <c r="DE121" s="22">
        <v>42744</v>
      </c>
      <c r="DF121" s="21" t="s">
        <v>2165</v>
      </c>
      <c r="DG121" s="21" t="s">
        <v>522</v>
      </c>
      <c r="DH121" s="21" t="s">
        <v>2166</v>
      </c>
      <c r="DI121" s="21" t="s">
        <v>495</v>
      </c>
      <c r="DJ121" s="21" t="s">
        <v>520</v>
      </c>
      <c r="DL121" s="21">
        <v>42745</v>
      </c>
      <c r="DM121" s="21">
        <v>42735</v>
      </c>
      <c r="DN121" s="21">
        <v>3100</v>
      </c>
      <c r="DO121" s="21">
        <v>10</v>
      </c>
      <c r="DP121" s="21">
        <v>1</v>
      </c>
      <c r="DQ121" s="21">
        <v>1</v>
      </c>
      <c r="DR121" s="21">
        <v>7</v>
      </c>
      <c r="DS121" s="21">
        <v>10</v>
      </c>
      <c r="DT121" s="21">
        <v>10</v>
      </c>
      <c r="DU121" s="21">
        <v>10</v>
      </c>
      <c r="DW121" s="21">
        <v>10</v>
      </c>
      <c r="EA121" s="21">
        <v>10</v>
      </c>
      <c r="EB121" s="21" t="s">
        <v>2167</v>
      </c>
      <c r="EC121" s="21" t="s">
        <v>1221</v>
      </c>
      <c r="EF121" s="25">
        <v>1</v>
      </c>
      <c r="EG121" s="25">
        <v>0</v>
      </c>
      <c r="EH121" s="25">
        <v>1</v>
      </c>
      <c r="EI121" s="25">
        <v>0</v>
      </c>
      <c r="EJ121" s="25" t="s">
        <v>62</v>
      </c>
      <c r="EK121" s="25" t="s">
        <v>276</v>
      </c>
      <c r="EL121" s="25" t="s">
        <v>276</v>
      </c>
      <c r="EM121" s="25" t="s">
        <v>276</v>
      </c>
      <c r="EN121" s="25" t="s">
        <v>276</v>
      </c>
      <c r="EO121" s="25" t="s">
        <v>276</v>
      </c>
      <c r="EP121" s="25" t="s">
        <v>276</v>
      </c>
      <c r="EQ121" s="25" t="s">
        <v>276</v>
      </c>
      <c r="ER121" s="25" t="s">
        <v>276</v>
      </c>
      <c r="ES121" s="25" t="s">
        <v>276</v>
      </c>
      <c r="ET121" s="25">
        <v>1</v>
      </c>
      <c r="EU121" s="25" t="s">
        <v>522</v>
      </c>
      <c r="EV121" s="25" t="s">
        <v>276</v>
      </c>
      <c r="EW121" s="25" t="s">
        <v>276</v>
      </c>
      <c r="EX121" s="25" t="s">
        <v>276</v>
      </c>
      <c r="EY121" s="20" t="s">
        <v>273</v>
      </c>
    </row>
    <row r="122" spans="1:155">
      <c r="A122" s="21" t="s">
        <v>491</v>
      </c>
      <c r="B122" s="21" t="s">
        <v>491</v>
      </c>
      <c r="C122" s="21" t="s">
        <v>492</v>
      </c>
      <c r="D122" s="21" t="s">
        <v>493</v>
      </c>
      <c r="E122" s="21" t="s">
        <v>493</v>
      </c>
      <c r="F122" s="21" t="s">
        <v>493</v>
      </c>
      <c r="G122" s="21" t="s">
        <v>2168</v>
      </c>
      <c r="H122" s="21" t="s">
        <v>494</v>
      </c>
      <c r="I122" s="21">
        <v>71999868662</v>
      </c>
      <c r="J122" s="21" t="s">
        <v>2169</v>
      </c>
      <c r="L122" s="21" t="s">
        <v>495</v>
      </c>
      <c r="M122" s="21" t="s">
        <v>2170</v>
      </c>
      <c r="N122" s="21" t="s">
        <v>1103</v>
      </c>
      <c r="O122" s="21" t="s">
        <v>93</v>
      </c>
      <c r="P122" s="21" t="s">
        <v>539</v>
      </c>
      <c r="R122" s="21" t="s">
        <v>1104</v>
      </c>
      <c r="S122" s="21" t="s">
        <v>559</v>
      </c>
      <c r="V122" s="21" t="s">
        <v>277</v>
      </c>
      <c r="W122" s="21" t="s">
        <v>524</v>
      </c>
      <c r="X122" s="21" t="s">
        <v>525</v>
      </c>
      <c r="Y122" s="21" t="s">
        <v>530</v>
      </c>
      <c r="Z122" s="21">
        <v>3035233946</v>
      </c>
      <c r="AA122" s="22">
        <v>42730</v>
      </c>
      <c r="AB122" s="22">
        <v>42733</v>
      </c>
      <c r="AC122" s="21" t="s">
        <v>504</v>
      </c>
      <c r="AD122" s="21" t="s">
        <v>505</v>
      </c>
      <c r="AE122" s="21" t="s">
        <v>1054</v>
      </c>
      <c r="AF122" s="21" t="s">
        <v>1055</v>
      </c>
      <c r="AG122" s="21" t="s">
        <v>1231</v>
      </c>
      <c r="AH122" s="21" t="s">
        <v>1232</v>
      </c>
      <c r="AI122" s="21" t="s">
        <v>1443</v>
      </c>
      <c r="AJ122" s="21" t="s">
        <v>526</v>
      </c>
      <c r="AK122" s="21" t="s">
        <v>494</v>
      </c>
      <c r="AL122" s="21" t="s">
        <v>527</v>
      </c>
      <c r="AM122" s="21" t="s">
        <v>527</v>
      </c>
      <c r="AN122" s="21" t="s">
        <v>527</v>
      </c>
      <c r="AO122" s="21" t="s">
        <v>528</v>
      </c>
      <c r="AS122" s="21" t="s">
        <v>511</v>
      </c>
      <c r="AT122" s="21" t="s">
        <v>512</v>
      </c>
      <c r="AW122" s="21">
        <v>0</v>
      </c>
      <c r="AX122" s="21">
        <v>16</v>
      </c>
      <c r="BC122" s="21" t="s">
        <v>513</v>
      </c>
      <c r="BD122" s="21" t="s">
        <v>514</v>
      </c>
      <c r="BE122" s="21" t="s">
        <v>514</v>
      </c>
      <c r="BF122" s="21" t="s">
        <v>515</v>
      </c>
      <c r="BG122" s="21">
        <v>1</v>
      </c>
      <c r="BH122" s="21" t="s">
        <v>516</v>
      </c>
      <c r="BI122" s="21" t="s">
        <v>517</v>
      </c>
      <c r="BJ122" s="21" t="s">
        <v>516</v>
      </c>
      <c r="BK122" s="21" t="s">
        <v>516</v>
      </c>
      <c r="BM122" s="21" t="s">
        <v>36</v>
      </c>
      <c r="BN122" s="21" t="s">
        <v>223</v>
      </c>
      <c r="BO122" s="21" t="s">
        <v>518</v>
      </c>
      <c r="BP122" s="21" t="s">
        <v>519</v>
      </c>
      <c r="BQ122" s="21" t="s">
        <v>2171</v>
      </c>
      <c r="BR122" s="21" t="s">
        <v>117</v>
      </c>
      <c r="BS122" s="21" t="s">
        <v>518</v>
      </c>
      <c r="BT122" s="21" t="s">
        <v>519</v>
      </c>
      <c r="BU122" s="21" t="s">
        <v>223</v>
      </c>
      <c r="CD122" s="21" t="s">
        <v>520</v>
      </c>
      <c r="CF122" s="21" t="s">
        <v>521</v>
      </c>
      <c r="DB122" s="21" t="s">
        <v>943</v>
      </c>
      <c r="DC122" s="21">
        <v>1</v>
      </c>
      <c r="DD122" s="21">
        <v>2</v>
      </c>
      <c r="DE122" s="22">
        <v>42744</v>
      </c>
      <c r="DF122" s="21" t="s">
        <v>2172</v>
      </c>
      <c r="DG122" s="21" t="s">
        <v>522</v>
      </c>
      <c r="DH122" s="21" t="s">
        <v>2173</v>
      </c>
      <c r="DI122" s="21" t="s">
        <v>495</v>
      </c>
      <c r="DJ122" s="21" t="s">
        <v>523</v>
      </c>
      <c r="DL122" s="21">
        <v>42745</v>
      </c>
      <c r="DM122" s="21">
        <v>42735</v>
      </c>
      <c r="DN122" s="21">
        <v>1100</v>
      </c>
      <c r="DO122" s="21">
        <v>9</v>
      </c>
      <c r="DP122" s="21">
        <v>2</v>
      </c>
      <c r="DQ122" s="21">
        <v>2</v>
      </c>
      <c r="DR122" s="21">
        <v>6</v>
      </c>
      <c r="DS122" s="21">
        <v>10</v>
      </c>
      <c r="DT122" s="21">
        <v>9</v>
      </c>
      <c r="DU122" s="21">
        <v>8</v>
      </c>
      <c r="DW122" s="21">
        <v>4</v>
      </c>
      <c r="EA122" s="21">
        <v>10</v>
      </c>
      <c r="EF122" s="25">
        <v>1</v>
      </c>
      <c r="EG122" s="25">
        <v>0</v>
      </c>
      <c r="EH122" s="25">
        <v>1</v>
      </c>
      <c r="EI122" s="25">
        <v>0</v>
      </c>
      <c r="EJ122" s="25" t="s">
        <v>92</v>
      </c>
      <c r="EK122" s="25" t="s">
        <v>224</v>
      </c>
      <c r="EL122" s="25" t="s">
        <v>118</v>
      </c>
      <c r="EM122" s="25" t="s">
        <v>276</v>
      </c>
      <c r="EN122" s="25" t="s">
        <v>31</v>
      </c>
      <c r="EO122" s="25" t="s">
        <v>31</v>
      </c>
      <c r="EP122" s="25" t="s">
        <v>92</v>
      </c>
      <c r="EQ122" s="25" t="s">
        <v>529</v>
      </c>
      <c r="ER122" s="25" t="s">
        <v>278</v>
      </c>
      <c r="ES122" s="25" t="s">
        <v>278</v>
      </c>
      <c r="ET122" s="25">
        <v>1</v>
      </c>
      <c r="EU122" s="25" t="s">
        <v>522</v>
      </c>
      <c r="EV122" s="25" t="s">
        <v>279</v>
      </c>
      <c r="EW122" s="25" t="s">
        <v>279</v>
      </c>
      <c r="EX122" s="25" t="s">
        <v>279</v>
      </c>
      <c r="EY122" s="20" t="e">
        <v>#N/A</v>
      </c>
    </row>
    <row r="123" spans="1:155">
      <c r="A123" s="21" t="s">
        <v>491</v>
      </c>
      <c r="B123" s="21" t="s">
        <v>491</v>
      </c>
      <c r="C123" s="21" t="s">
        <v>492</v>
      </c>
      <c r="D123" s="21" t="s">
        <v>493</v>
      </c>
      <c r="E123" s="21" t="s">
        <v>493</v>
      </c>
      <c r="F123" s="21" t="s">
        <v>493</v>
      </c>
      <c r="G123" s="21" t="s">
        <v>2174</v>
      </c>
      <c r="H123" s="21">
        <v>53984091247</v>
      </c>
      <c r="I123" s="21" t="s">
        <v>494</v>
      </c>
      <c r="J123" s="21" t="s">
        <v>2175</v>
      </c>
      <c r="L123" s="21" t="s">
        <v>495</v>
      </c>
      <c r="M123" s="21" t="s">
        <v>2176</v>
      </c>
      <c r="N123" s="21" t="s">
        <v>1751</v>
      </c>
      <c r="O123" s="21" t="s">
        <v>93</v>
      </c>
      <c r="P123" s="21" t="s">
        <v>539</v>
      </c>
      <c r="Q123" s="21" t="s">
        <v>1168</v>
      </c>
      <c r="R123" s="21" t="s">
        <v>1753</v>
      </c>
      <c r="S123" s="21" t="s">
        <v>1053</v>
      </c>
      <c r="V123" s="21" t="s">
        <v>277</v>
      </c>
      <c r="W123" s="21" t="s">
        <v>524</v>
      </c>
      <c r="X123" s="21" t="s">
        <v>525</v>
      </c>
      <c r="Y123" s="21" t="s">
        <v>530</v>
      </c>
      <c r="Z123" s="21">
        <v>3035080717</v>
      </c>
      <c r="AA123" s="22">
        <v>42723</v>
      </c>
      <c r="AB123" s="22">
        <v>42737</v>
      </c>
      <c r="AC123" s="21" t="s">
        <v>504</v>
      </c>
      <c r="AD123" s="21" t="s">
        <v>505</v>
      </c>
      <c r="AE123" s="21" t="s">
        <v>1020</v>
      </c>
      <c r="AF123" s="21" t="s">
        <v>2177</v>
      </c>
      <c r="AG123" s="21" t="s">
        <v>2178</v>
      </c>
      <c r="AH123" s="21" t="s">
        <v>2179</v>
      </c>
      <c r="AI123" s="21" t="s">
        <v>2180</v>
      </c>
      <c r="AJ123" s="21" t="s">
        <v>526</v>
      </c>
      <c r="AK123" s="21" t="s">
        <v>494</v>
      </c>
      <c r="AL123" s="21" t="s">
        <v>527</v>
      </c>
      <c r="AM123" s="21" t="s">
        <v>527</v>
      </c>
      <c r="AN123" s="21" t="s">
        <v>527</v>
      </c>
      <c r="AO123" s="21" t="s">
        <v>528</v>
      </c>
      <c r="AS123" s="21" t="s">
        <v>511</v>
      </c>
      <c r="AT123" s="21" t="s">
        <v>512</v>
      </c>
      <c r="AW123" s="21">
        <v>0</v>
      </c>
      <c r="AX123" s="21">
        <v>15</v>
      </c>
      <c r="BC123" s="21" t="s">
        <v>513</v>
      </c>
      <c r="BD123" s="21" t="s">
        <v>514</v>
      </c>
      <c r="BE123" s="21" t="s">
        <v>514</v>
      </c>
      <c r="BF123" s="21" t="s">
        <v>515</v>
      </c>
      <c r="BG123" s="21">
        <v>1</v>
      </c>
      <c r="BH123" s="21" t="s">
        <v>516</v>
      </c>
      <c r="BI123" s="21" t="s">
        <v>517</v>
      </c>
      <c r="BJ123" s="21" t="s">
        <v>516</v>
      </c>
      <c r="BK123" s="21" t="s">
        <v>516</v>
      </c>
      <c r="BM123" s="21" t="s">
        <v>1537</v>
      </c>
      <c r="BN123" s="21" t="s">
        <v>149</v>
      </c>
      <c r="BO123" s="21" t="s">
        <v>518</v>
      </c>
      <c r="BP123" s="21" t="s">
        <v>519</v>
      </c>
      <c r="BQ123" s="21" t="s">
        <v>47</v>
      </c>
      <c r="BR123" s="21" t="s">
        <v>139</v>
      </c>
      <c r="BS123" s="21" t="s">
        <v>518</v>
      </c>
      <c r="BT123" s="21" t="s">
        <v>1044</v>
      </c>
      <c r="BU123" s="21" t="s">
        <v>149</v>
      </c>
      <c r="CD123" s="21" t="s">
        <v>520</v>
      </c>
      <c r="CF123" s="21" t="s">
        <v>521</v>
      </c>
      <c r="DB123" s="21" t="s">
        <v>943</v>
      </c>
      <c r="DC123" s="21">
        <v>1</v>
      </c>
      <c r="DD123" s="21">
        <v>2</v>
      </c>
      <c r="DE123" s="22">
        <v>42744</v>
      </c>
      <c r="DF123" s="21" t="s">
        <v>2181</v>
      </c>
      <c r="DG123" s="21" t="s">
        <v>522</v>
      </c>
      <c r="DH123" s="21" t="s">
        <v>2182</v>
      </c>
      <c r="DI123" s="21" t="s">
        <v>495</v>
      </c>
      <c r="DJ123" s="21" t="s">
        <v>523</v>
      </c>
      <c r="DL123" s="21">
        <v>42748</v>
      </c>
      <c r="DM123" s="21">
        <v>42738</v>
      </c>
      <c r="DN123" s="21">
        <v>1100</v>
      </c>
      <c r="DO123" s="21">
        <v>10</v>
      </c>
      <c r="DP123" s="21">
        <v>1</v>
      </c>
      <c r="DQ123" s="21">
        <v>2</v>
      </c>
      <c r="DR123" s="21">
        <v>4</v>
      </c>
      <c r="DS123" s="21">
        <v>9</v>
      </c>
      <c r="DT123" s="21">
        <v>8</v>
      </c>
      <c r="DU123" s="21">
        <v>8</v>
      </c>
      <c r="DW123" s="21">
        <v>8</v>
      </c>
      <c r="EA123" s="21">
        <v>9</v>
      </c>
      <c r="EF123" s="25">
        <v>1</v>
      </c>
      <c r="EG123" s="25">
        <v>0</v>
      </c>
      <c r="EH123" s="25">
        <v>1</v>
      </c>
      <c r="EI123" s="25">
        <v>0</v>
      </c>
      <c r="EJ123" s="25" t="s">
        <v>92</v>
      </c>
      <c r="EK123" s="25" t="s">
        <v>150</v>
      </c>
      <c r="EL123" s="25" t="s">
        <v>140</v>
      </c>
      <c r="EM123" s="25" t="s">
        <v>276</v>
      </c>
      <c r="EN123" s="25" t="s">
        <v>23</v>
      </c>
      <c r="EO123" s="25" t="s">
        <v>23</v>
      </c>
      <c r="EP123" s="25" t="s">
        <v>62</v>
      </c>
      <c r="EQ123" s="25" t="s">
        <v>529</v>
      </c>
      <c r="ER123" s="25" t="s">
        <v>278</v>
      </c>
      <c r="ES123" s="25" t="s">
        <v>278</v>
      </c>
      <c r="ET123" s="25">
        <v>1</v>
      </c>
      <c r="EU123" s="25" t="s">
        <v>522</v>
      </c>
      <c r="EV123" s="25" t="s">
        <v>279</v>
      </c>
      <c r="EW123" s="25" t="s">
        <v>279</v>
      </c>
      <c r="EX123" s="25" t="s">
        <v>279</v>
      </c>
      <c r="EY123" s="20" t="e">
        <v>#N/A</v>
      </c>
    </row>
    <row r="124" spans="1:155">
      <c r="A124" s="21" t="s">
        <v>491</v>
      </c>
      <c r="B124" s="21" t="s">
        <v>491</v>
      </c>
      <c r="C124" s="21" t="s">
        <v>492</v>
      </c>
      <c r="D124" s="21" t="s">
        <v>493</v>
      </c>
      <c r="E124" s="21" t="s">
        <v>493</v>
      </c>
      <c r="F124" s="21" t="s">
        <v>493</v>
      </c>
      <c r="G124" s="21" t="s">
        <v>2183</v>
      </c>
      <c r="H124" s="21">
        <v>65999729559</v>
      </c>
      <c r="I124" s="21" t="s">
        <v>494</v>
      </c>
      <c r="J124" s="21" t="s">
        <v>2184</v>
      </c>
      <c r="L124" s="21" t="s">
        <v>495</v>
      </c>
      <c r="M124" s="21" t="s">
        <v>2185</v>
      </c>
      <c r="N124" s="21" t="s">
        <v>1386</v>
      </c>
      <c r="O124" s="21" t="s">
        <v>93</v>
      </c>
      <c r="P124" s="21" t="s">
        <v>539</v>
      </c>
      <c r="R124" s="21" t="s">
        <v>1387</v>
      </c>
      <c r="S124" s="21" t="s">
        <v>1388</v>
      </c>
      <c r="V124" s="21" t="s">
        <v>277</v>
      </c>
      <c r="W124" s="21" t="s">
        <v>524</v>
      </c>
      <c r="X124" s="21" t="s">
        <v>525</v>
      </c>
      <c r="Y124" s="21" t="s">
        <v>530</v>
      </c>
      <c r="Z124" s="21">
        <v>3035270313</v>
      </c>
      <c r="AA124" s="22">
        <v>42731</v>
      </c>
      <c r="AB124" s="22">
        <v>42737</v>
      </c>
      <c r="AC124" s="21" t="s">
        <v>504</v>
      </c>
      <c r="AD124" s="21" t="s">
        <v>505</v>
      </c>
      <c r="AE124" s="21" t="s">
        <v>1156</v>
      </c>
      <c r="AF124" s="21" t="s">
        <v>1157</v>
      </c>
      <c r="AG124" s="21" t="s">
        <v>1158</v>
      </c>
      <c r="AH124" s="21" t="s">
        <v>1159</v>
      </c>
      <c r="AI124" s="21" t="s">
        <v>2186</v>
      </c>
      <c r="AJ124" s="21" t="s">
        <v>526</v>
      </c>
      <c r="AK124" s="21" t="s">
        <v>494</v>
      </c>
      <c r="AL124" s="21" t="s">
        <v>508</v>
      </c>
      <c r="AM124" s="21" t="s">
        <v>509</v>
      </c>
      <c r="AN124" s="21" t="s">
        <v>527</v>
      </c>
      <c r="AO124" s="21" t="s">
        <v>528</v>
      </c>
      <c r="AQ124" s="21" t="s">
        <v>2187</v>
      </c>
      <c r="AS124" s="21" t="s">
        <v>1418</v>
      </c>
      <c r="AT124" s="21" t="s">
        <v>512</v>
      </c>
      <c r="AW124" s="21">
        <v>0</v>
      </c>
      <c r="AX124" s="21">
        <v>6</v>
      </c>
      <c r="BC124" s="21" t="s">
        <v>513</v>
      </c>
      <c r="BD124" s="21" t="s">
        <v>514</v>
      </c>
      <c r="BE124" s="21" t="s">
        <v>514</v>
      </c>
      <c r="BF124" s="21" t="s">
        <v>515</v>
      </c>
      <c r="BG124" s="21">
        <v>1</v>
      </c>
      <c r="BH124" s="21" t="s">
        <v>516</v>
      </c>
      <c r="BI124" s="21" t="s">
        <v>517</v>
      </c>
      <c r="BJ124" s="21" t="s">
        <v>516</v>
      </c>
      <c r="BK124" s="21" t="s">
        <v>516</v>
      </c>
      <c r="BM124" s="21" t="s">
        <v>2188</v>
      </c>
      <c r="BN124" s="21" t="s">
        <v>856</v>
      </c>
      <c r="BO124" s="21" t="s">
        <v>518</v>
      </c>
      <c r="BP124" s="21" t="s">
        <v>1044</v>
      </c>
      <c r="BQ124" s="21" t="s">
        <v>21</v>
      </c>
      <c r="BR124" s="21" t="s">
        <v>115</v>
      </c>
      <c r="BS124" s="21" t="s">
        <v>518</v>
      </c>
      <c r="BT124" s="21" t="s">
        <v>519</v>
      </c>
      <c r="BU124" s="21" t="s">
        <v>856</v>
      </c>
      <c r="CD124" s="21" t="s">
        <v>520</v>
      </c>
      <c r="CF124" s="21" t="s">
        <v>521</v>
      </c>
      <c r="DB124" s="21" t="s">
        <v>943</v>
      </c>
      <c r="DC124" s="21">
        <v>1</v>
      </c>
      <c r="DD124" s="21">
        <v>2</v>
      </c>
      <c r="DE124" s="22">
        <v>42744</v>
      </c>
      <c r="DF124" s="21" t="s">
        <v>2189</v>
      </c>
      <c r="DG124" s="21" t="s">
        <v>522</v>
      </c>
      <c r="DH124" s="21" t="s">
        <v>2190</v>
      </c>
      <c r="DI124" s="21" t="s">
        <v>495</v>
      </c>
      <c r="DJ124" s="21" t="s">
        <v>520</v>
      </c>
      <c r="DL124" s="21">
        <v>42749</v>
      </c>
      <c r="DM124" s="21">
        <v>42739</v>
      </c>
      <c r="DN124" s="21">
        <v>1100</v>
      </c>
      <c r="DO124" s="21">
        <v>9</v>
      </c>
      <c r="DP124" s="21">
        <v>1</v>
      </c>
      <c r="DQ124" s="21">
        <v>1</v>
      </c>
      <c r="DR124" s="21">
        <v>6</v>
      </c>
      <c r="DS124" s="21">
        <v>9</v>
      </c>
      <c r="DT124" s="21">
        <v>9</v>
      </c>
      <c r="DU124" s="21">
        <v>10</v>
      </c>
      <c r="DW124" s="21">
        <v>10</v>
      </c>
      <c r="EA124" s="21">
        <v>9</v>
      </c>
      <c r="EB124" s="21" t="s">
        <v>2191</v>
      </c>
      <c r="EC124" s="21" t="s">
        <v>2471</v>
      </c>
      <c r="EF124" s="25">
        <v>1</v>
      </c>
      <c r="EG124" s="25">
        <v>0</v>
      </c>
      <c r="EH124" s="25">
        <v>1</v>
      </c>
      <c r="EI124" s="25">
        <v>0</v>
      </c>
      <c r="EJ124" s="25" t="s">
        <v>92</v>
      </c>
      <c r="EK124" s="25" t="s">
        <v>276</v>
      </c>
      <c r="EL124" s="25" t="s">
        <v>116</v>
      </c>
      <c r="EM124" s="25" t="s">
        <v>276</v>
      </c>
      <c r="EN124" s="25" t="s">
        <v>276</v>
      </c>
      <c r="EO124" s="25" t="s">
        <v>127</v>
      </c>
      <c r="EP124" s="25" t="s">
        <v>276</v>
      </c>
      <c r="EQ124" s="25" t="s">
        <v>529</v>
      </c>
      <c r="ER124" s="25" t="s">
        <v>276</v>
      </c>
      <c r="ES124" s="25" t="s">
        <v>278</v>
      </c>
      <c r="ET124" s="25">
        <v>1</v>
      </c>
      <c r="EU124" s="25" t="s">
        <v>522</v>
      </c>
      <c r="EV124" s="25" t="s">
        <v>279</v>
      </c>
      <c r="EW124" s="25" t="s">
        <v>279</v>
      </c>
      <c r="EX124" s="25" t="s">
        <v>279</v>
      </c>
      <c r="EY124" s="20" t="s">
        <v>52</v>
      </c>
    </row>
    <row r="125" spans="1:155">
      <c r="A125" s="21" t="s">
        <v>491</v>
      </c>
      <c r="B125" s="21" t="s">
        <v>491</v>
      </c>
      <c r="C125" s="21" t="s">
        <v>492</v>
      </c>
      <c r="D125" s="21" t="s">
        <v>493</v>
      </c>
      <c r="E125" s="21" t="s">
        <v>493</v>
      </c>
      <c r="F125" s="21" t="s">
        <v>493</v>
      </c>
      <c r="G125" s="21" t="s">
        <v>2192</v>
      </c>
      <c r="H125" s="21">
        <v>1934671088</v>
      </c>
      <c r="I125" s="21" t="s">
        <v>494</v>
      </c>
      <c r="J125" s="21" t="s">
        <v>2193</v>
      </c>
      <c r="L125" s="21" t="s">
        <v>495</v>
      </c>
      <c r="M125" s="21" t="s">
        <v>2194</v>
      </c>
      <c r="N125" s="21" t="s">
        <v>2195</v>
      </c>
      <c r="O125" s="21" t="s">
        <v>100</v>
      </c>
      <c r="P125" s="21" t="s">
        <v>1187</v>
      </c>
      <c r="R125" s="21" t="s">
        <v>2196</v>
      </c>
      <c r="S125" s="21" t="s">
        <v>2197</v>
      </c>
      <c r="V125" s="21" t="s">
        <v>277</v>
      </c>
      <c r="W125" s="21" t="s">
        <v>524</v>
      </c>
      <c r="X125" s="21" t="s">
        <v>525</v>
      </c>
      <c r="Y125" s="21" t="s">
        <v>1190</v>
      </c>
      <c r="Z125" s="21">
        <v>3035431593</v>
      </c>
      <c r="AA125" s="22">
        <v>42738</v>
      </c>
      <c r="AB125" s="22">
        <v>42738</v>
      </c>
      <c r="AC125" s="21" t="s">
        <v>504</v>
      </c>
      <c r="AD125" s="21" t="s">
        <v>505</v>
      </c>
      <c r="AE125" s="21" t="s">
        <v>1020</v>
      </c>
      <c r="AF125" s="21" t="s">
        <v>1021</v>
      </c>
      <c r="AG125" s="21" t="s">
        <v>2198</v>
      </c>
      <c r="AH125" s="21" t="s">
        <v>2199</v>
      </c>
      <c r="AI125" s="21" t="s">
        <v>2200</v>
      </c>
      <c r="AJ125" s="21" t="s">
        <v>507</v>
      </c>
      <c r="AK125" s="21" t="s">
        <v>494</v>
      </c>
      <c r="AL125" s="21" t="s">
        <v>527</v>
      </c>
      <c r="AM125" s="21" t="s">
        <v>527</v>
      </c>
      <c r="AN125" s="21" t="s">
        <v>527</v>
      </c>
      <c r="AO125" s="21" t="s">
        <v>528</v>
      </c>
      <c r="AS125" s="21" t="s">
        <v>511</v>
      </c>
      <c r="AT125" s="21" t="s">
        <v>512</v>
      </c>
      <c r="AW125" s="21">
        <v>0</v>
      </c>
      <c r="AX125" s="21">
        <v>2</v>
      </c>
      <c r="BC125" s="21" t="s">
        <v>513</v>
      </c>
      <c r="BD125" s="21" t="s">
        <v>514</v>
      </c>
      <c r="BE125" s="21" t="s">
        <v>514</v>
      </c>
      <c r="BF125" s="21" t="s">
        <v>515</v>
      </c>
      <c r="BG125" s="21">
        <v>1</v>
      </c>
      <c r="BH125" s="21" t="s">
        <v>516</v>
      </c>
      <c r="BI125" s="21" t="s">
        <v>517</v>
      </c>
      <c r="BJ125" s="21" t="s">
        <v>516</v>
      </c>
      <c r="BK125" s="21" t="s">
        <v>516</v>
      </c>
      <c r="BM125" s="21" t="s">
        <v>32</v>
      </c>
      <c r="BN125" s="21" t="s">
        <v>202</v>
      </c>
      <c r="BO125" s="21" t="s">
        <v>518</v>
      </c>
      <c r="BP125" s="21" t="s">
        <v>519</v>
      </c>
      <c r="BQ125" s="21" t="s">
        <v>32</v>
      </c>
      <c r="BR125" s="21" t="s">
        <v>202</v>
      </c>
      <c r="BS125" s="21" t="s">
        <v>518</v>
      </c>
      <c r="BT125" s="21" t="s">
        <v>519</v>
      </c>
      <c r="BU125" s="21" t="s">
        <v>202</v>
      </c>
      <c r="CD125" s="21" t="s">
        <v>520</v>
      </c>
      <c r="CF125" s="21" t="s">
        <v>521</v>
      </c>
      <c r="DB125" s="21" t="s">
        <v>943</v>
      </c>
      <c r="DC125" s="21">
        <v>1</v>
      </c>
      <c r="DD125" s="21">
        <v>2</v>
      </c>
      <c r="DE125" s="22">
        <v>42744</v>
      </c>
      <c r="DF125" s="21" t="s">
        <v>2201</v>
      </c>
      <c r="DG125" s="21" t="s">
        <v>522</v>
      </c>
      <c r="DH125" s="21" t="s">
        <v>2202</v>
      </c>
      <c r="DI125" s="21" t="s">
        <v>495</v>
      </c>
      <c r="DJ125" s="21" t="s">
        <v>523</v>
      </c>
      <c r="DL125" s="21">
        <v>42750</v>
      </c>
      <c r="DM125" s="21">
        <v>42740</v>
      </c>
      <c r="DN125" s="21">
        <v>1100</v>
      </c>
      <c r="DO125" s="21">
        <v>10</v>
      </c>
      <c r="DP125" s="21">
        <v>1</v>
      </c>
      <c r="DQ125" s="21">
        <v>1</v>
      </c>
      <c r="DR125" s="21">
        <v>7</v>
      </c>
      <c r="DS125" s="21">
        <v>10</v>
      </c>
      <c r="DT125" s="21">
        <v>10</v>
      </c>
      <c r="DU125" s="21">
        <v>10</v>
      </c>
      <c r="DW125" s="21">
        <v>10</v>
      </c>
      <c r="EA125" s="21">
        <v>9</v>
      </c>
      <c r="EF125" s="25">
        <v>1</v>
      </c>
      <c r="EG125" s="25">
        <v>0</v>
      </c>
      <c r="EH125" s="25">
        <v>1</v>
      </c>
      <c r="EI125" s="25">
        <v>0</v>
      </c>
      <c r="EJ125" s="25" t="s">
        <v>92</v>
      </c>
      <c r="EK125" s="25" t="s">
        <v>203</v>
      </c>
      <c r="EL125" s="25" t="s">
        <v>203</v>
      </c>
      <c r="EM125" s="25" t="s">
        <v>276</v>
      </c>
      <c r="EN125" s="25" t="s">
        <v>31</v>
      </c>
      <c r="EO125" s="25" t="s">
        <v>31</v>
      </c>
      <c r="EP125" s="25" t="s">
        <v>62</v>
      </c>
      <c r="EQ125" s="25" t="s">
        <v>62</v>
      </c>
      <c r="ER125" s="25" t="s">
        <v>278</v>
      </c>
      <c r="ES125" s="25" t="s">
        <v>278</v>
      </c>
      <c r="ET125" s="25">
        <v>1</v>
      </c>
      <c r="EU125" s="25" t="s">
        <v>522</v>
      </c>
      <c r="EV125" s="25" t="s">
        <v>203</v>
      </c>
      <c r="EW125" s="25" t="s">
        <v>31</v>
      </c>
      <c r="EX125" s="25" t="s">
        <v>278</v>
      </c>
      <c r="EY125" s="20" t="e">
        <v>#N/A</v>
      </c>
    </row>
    <row r="126" spans="1:155">
      <c r="A126" s="21" t="s">
        <v>491</v>
      </c>
      <c r="B126" s="21" t="s">
        <v>491</v>
      </c>
      <c r="C126" s="21" t="s">
        <v>492</v>
      </c>
      <c r="D126" s="21" t="s">
        <v>493</v>
      </c>
      <c r="E126" s="21" t="s">
        <v>493</v>
      </c>
      <c r="F126" s="21" t="s">
        <v>493</v>
      </c>
      <c r="G126" s="21" t="s">
        <v>2203</v>
      </c>
      <c r="H126" s="21" t="s">
        <v>2204</v>
      </c>
      <c r="I126" s="21" t="s">
        <v>494</v>
      </c>
      <c r="J126" s="21" t="s">
        <v>2205</v>
      </c>
      <c r="L126" s="21" t="s">
        <v>495</v>
      </c>
      <c r="M126" s="21" t="s">
        <v>2206</v>
      </c>
      <c r="N126" s="21" t="s">
        <v>2207</v>
      </c>
      <c r="O126" s="21" t="s">
        <v>69</v>
      </c>
      <c r="P126" s="21" t="s">
        <v>497</v>
      </c>
      <c r="R126" s="21" t="s">
        <v>2208</v>
      </c>
      <c r="S126" s="21" t="s">
        <v>2209</v>
      </c>
      <c r="V126" s="21" t="s">
        <v>500</v>
      </c>
      <c r="W126" s="21" t="s">
        <v>501</v>
      </c>
      <c r="X126" s="21" t="s">
        <v>502</v>
      </c>
      <c r="Y126" s="21" t="s">
        <v>503</v>
      </c>
      <c r="Z126" s="21">
        <v>3035445402</v>
      </c>
      <c r="AA126" s="22">
        <v>42738</v>
      </c>
      <c r="AB126" s="22">
        <v>42738</v>
      </c>
      <c r="AC126" s="21" t="s">
        <v>504</v>
      </c>
      <c r="AD126" s="21" t="s">
        <v>505</v>
      </c>
      <c r="AE126" s="21" t="s">
        <v>500</v>
      </c>
      <c r="AF126" s="21" t="s">
        <v>506</v>
      </c>
      <c r="AG126" s="21" t="s">
        <v>1685</v>
      </c>
      <c r="AH126" s="21" t="s">
        <v>1686</v>
      </c>
      <c r="AI126" s="21" t="s">
        <v>2210</v>
      </c>
      <c r="AJ126" s="21" t="s">
        <v>526</v>
      </c>
      <c r="AK126" s="21" t="s">
        <v>494</v>
      </c>
      <c r="AL126" s="21" t="s">
        <v>508</v>
      </c>
      <c r="AM126" s="21" t="s">
        <v>509</v>
      </c>
      <c r="AN126" s="21" t="s">
        <v>509</v>
      </c>
      <c r="AO126" s="21" t="s">
        <v>510</v>
      </c>
      <c r="AS126" s="21" t="s">
        <v>511</v>
      </c>
      <c r="AT126" s="21" t="s">
        <v>512</v>
      </c>
      <c r="AW126" s="21">
        <v>0</v>
      </c>
      <c r="AX126" s="21">
        <v>2</v>
      </c>
      <c r="BC126" s="21" t="s">
        <v>513</v>
      </c>
      <c r="BD126" s="21" t="s">
        <v>514</v>
      </c>
      <c r="BE126" s="21" t="s">
        <v>514</v>
      </c>
      <c r="BF126" s="21" t="s">
        <v>515</v>
      </c>
      <c r="BG126" s="21">
        <v>1</v>
      </c>
      <c r="BH126" s="21" t="s">
        <v>516</v>
      </c>
      <c r="BI126" s="21" t="s">
        <v>517</v>
      </c>
      <c r="BJ126" s="21" t="s">
        <v>516</v>
      </c>
      <c r="BK126" s="21" t="s">
        <v>516</v>
      </c>
      <c r="BM126" s="21" t="s">
        <v>1537</v>
      </c>
      <c r="BN126" s="21" t="s">
        <v>149</v>
      </c>
      <c r="BO126" s="21" t="s">
        <v>518</v>
      </c>
      <c r="BP126" s="21" t="s">
        <v>519</v>
      </c>
      <c r="BQ126" s="21" t="s">
        <v>1537</v>
      </c>
      <c r="BR126" s="21" t="s">
        <v>149</v>
      </c>
      <c r="BS126" s="21" t="s">
        <v>518</v>
      </c>
      <c r="BT126" s="21" t="s">
        <v>519</v>
      </c>
      <c r="BU126" s="21" t="s">
        <v>149</v>
      </c>
      <c r="CD126" s="21" t="s">
        <v>520</v>
      </c>
      <c r="CF126" s="21" t="s">
        <v>521</v>
      </c>
      <c r="DB126" s="21" t="s">
        <v>943</v>
      </c>
      <c r="DC126" s="21">
        <v>1</v>
      </c>
      <c r="DD126" s="21">
        <v>2</v>
      </c>
      <c r="DE126" s="22">
        <v>42744</v>
      </c>
      <c r="DF126" s="21" t="s">
        <v>2211</v>
      </c>
      <c r="DG126" s="21" t="s">
        <v>522</v>
      </c>
      <c r="DH126" s="21" t="s">
        <v>2212</v>
      </c>
      <c r="DI126" s="21" t="s">
        <v>495</v>
      </c>
      <c r="DJ126" s="21" t="s">
        <v>523</v>
      </c>
      <c r="DL126" s="21">
        <v>42750</v>
      </c>
      <c r="DM126" s="21">
        <v>42740</v>
      </c>
      <c r="DN126" s="21">
        <v>3100</v>
      </c>
      <c r="DO126" s="21">
        <v>0</v>
      </c>
      <c r="DP126" s="21">
        <v>2</v>
      </c>
      <c r="DQ126" s="21">
        <v>2</v>
      </c>
      <c r="DR126" s="21">
        <v>1</v>
      </c>
      <c r="DS126" s="21">
        <v>0</v>
      </c>
      <c r="DT126" s="21">
        <v>0</v>
      </c>
      <c r="DU126" s="21">
        <v>99</v>
      </c>
      <c r="DW126" s="21">
        <v>0</v>
      </c>
      <c r="EA126" s="21">
        <v>0</v>
      </c>
      <c r="EB126" s="21" t="s">
        <v>2213</v>
      </c>
      <c r="EC126" s="21" t="s">
        <v>2472</v>
      </c>
      <c r="EF126" s="25">
        <v>0</v>
      </c>
      <c r="EG126" s="25">
        <v>1</v>
      </c>
      <c r="EH126" s="25">
        <v>0</v>
      </c>
      <c r="EI126" s="25">
        <v>1</v>
      </c>
      <c r="EJ126" s="25" t="s">
        <v>62</v>
      </c>
      <c r="EK126" s="25" t="s">
        <v>150</v>
      </c>
      <c r="EL126" s="25" t="s">
        <v>150</v>
      </c>
      <c r="EM126" s="25" t="s">
        <v>276</v>
      </c>
      <c r="EN126" s="25" t="s">
        <v>23</v>
      </c>
      <c r="EO126" s="25" t="s">
        <v>23</v>
      </c>
      <c r="EP126" s="25" t="s">
        <v>62</v>
      </c>
      <c r="EQ126" s="25" t="s">
        <v>62</v>
      </c>
      <c r="ER126" s="25" t="s">
        <v>278</v>
      </c>
      <c r="ES126" s="25" t="s">
        <v>278</v>
      </c>
      <c r="ET126" s="25">
        <v>1</v>
      </c>
      <c r="EU126" s="25" t="s">
        <v>522</v>
      </c>
      <c r="EV126" s="25" t="s">
        <v>150</v>
      </c>
      <c r="EW126" s="25" t="s">
        <v>23</v>
      </c>
      <c r="EX126" s="25" t="s">
        <v>278</v>
      </c>
      <c r="EY126" s="20" t="e">
        <v>#N/A</v>
      </c>
    </row>
    <row r="127" spans="1:155">
      <c r="A127" s="21" t="s">
        <v>491</v>
      </c>
      <c r="B127" s="21" t="s">
        <v>491</v>
      </c>
      <c r="C127" s="21" t="s">
        <v>492</v>
      </c>
      <c r="D127" s="21" t="s">
        <v>493</v>
      </c>
      <c r="E127" s="21" t="s">
        <v>493</v>
      </c>
      <c r="F127" s="21" t="s">
        <v>493</v>
      </c>
      <c r="G127" s="21" t="s">
        <v>2214</v>
      </c>
      <c r="H127" s="21">
        <v>19988019817</v>
      </c>
      <c r="I127" s="21" t="s">
        <v>494</v>
      </c>
      <c r="J127" s="21" t="s">
        <v>2215</v>
      </c>
      <c r="L127" s="21" t="s">
        <v>495</v>
      </c>
      <c r="M127" s="21" t="s">
        <v>2216</v>
      </c>
      <c r="N127" s="21" t="s">
        <v>1066</v>
      </c>
      <c r="O127" s="21" t="s">
        <v>93</v>
      </c>
      <c r="P127" s="21" t="s">
        <v>539</v>
      </c>
      <c r="R127" s="21" t="s">
        <v>1067</v>
      </c>
      <c r="S127" s="21" t="s">
        <v>1068</v>
      </c>
      <c r="V127" s="21" t="s">
        <v>277</v>
      </c>
      <c r="W127" s="21" t="s">
        <v>524</v>
      </c>
      <c r="X127" s="21" t="s">
        <v>525</v>
      </c>
      <c r="Y127" s="21" t="s">
        <v>530</v>
      </c>
      <c r="Z127" s="21">
        <v>3035448438</v>
      </c>
      <c r="AA127" s="22">
        <v>42738</v>
      </c>
      <c r="AB127" s="22">
        <v>42738</v>
      </c>
      <c r="AC127" s="21" t="s">
        <v>504</v>
      </c>
      <c r="AD127" s="21" t="s">
        <v>505</v>
      </c>
      <c r="AE127" s="21" t="s">
        <v>1156</v>
      </c>
      <c r="AF127" s="21" t="s">
        <v>1157</v>
      </c>
      <c r="AG127" s="21" t="s">
        <v>1389</v>
      </c>
      <c r="AH127" s="21" t="s">
        <v>1390</v>
      </c>
      <c r="AI127" s="21" t="s">
        <v>2217</v>
      </c>
      <c r="AJ127" s="21" t="s">
        <v>507</v>
      </c>
      <c r="AK127" s="21" t="s">
        <v>494</v>
      </c>
      <c r="AL127" s="21" t="s">
        <v>527</v>
      </c>
      <c r="AM127" s="21" t="s">
        <v>527</v>
      </c>
      <c r="AN127" s="21" t="s">
        <v>527</v>
      </c>
      <c r="AO127" s="21" t="s">
        <v>528</v>
      </c>
      <c r="AS127" s="21" t="s">
        <v>511</v>
      </c>
      <c r="AT127" s="21" t="s">
        <v>512</v>
      </c>
      <c r="AW127" s="21">
        <v>0</v>
      </c>
      <c r="AX127" s="21">
        <v>2</v>
      </c>
      <c r="BC127" s="21" t="s">
        <v>513</v>
      </c>
      <c r="BD127" s="21" t="s">
        <v>514</v>
      </c>
      <c r="BE127" s="21" t="s">
        <v>514</v>
      </c>
      <c r="BF127" s="21" t="s">
        <v>515</v>
      </c>
      <c r="BG127" s="21">
        <v>1</v>
      </c>
      <c r="BH127" s="21" t="s">
        <v>516</v>
      </c>
      <c r="BI127" s="21" t="s">
        <v>517</v>
      </c>
      <c r="BJ127" s="21" t="s">
        <v>516</v>
      </c>
      <c r="BK127" s="21" t="s">
        <v>516</v>
      </c>
      <c r="BM127" s="21" t="s">
        <v>42</v>
      </c>
      <c r="BN127" s="21" t="s">
        <v>246</v>
      </c>
      <c r="BO127" s="21" t="s">
        <v>518</v>
      </c>
      <c r="BP127" s="21" t="s">
        <v>519</v>
      </c>
      <c r="BQ127" s="21" t="s">
        <v>42</v>
      </c>
      <c r="BR127" s="21" t="s">
        <v>246</v>
      </c>
      <c r="BS127" s="21" t="s">
        <v>518</v>
      </c>
      <c r="BT127" s="21" t="s">
        <v>519</v>
      </c>
      <c r="BU127" s="21" t="s">
        <v>246</v>
      </c>
      <c r="CD127" s="21" t="s">
        <v>520</v>
      </c>
      <c r="CF127" s="21" t="s">
        <v>521</v>
      </c>
      <c r="DB127" s="21" t="s">
        <v>943</v>
      </c>
      <c r="DC127" s="21">
        <v>1</v>
      </c>
      <c r="DD127" s="21">
        <v>2</v>
      </c>
      <c r="DE127" s="22">
        <v>42744</v>
      </c>
      <c r="DF127" s="21" t="s">
        <v>2218</v>
      </c>
      <c r="DG127" s="21" t="s">
        <v>522</v>
      </c>
      <c r="DH127" s="21" t="s">
        <v>2219</v>
      </c>
      <c r="DI127" s="21" t="s">
        <v>495</v>
      </c>
      <c r="DJ127" s="21" t="s">
        <v>520</v>
      </c>
      <c r="DL127" s="21">
        <v>42750</v>
      </c>
      <c r="DM127" s="21">
        <v>42740</v>
      </c>
      <c r="DN127" s="21">
        <v>1100</v>
      </c>
      <c r="DO127" s="21">
        <v>10</v>
      </c>
      <c r="DP127" s="21">
        <v>1</v>
      </c>
      <c r="DQ127" s="21">
        <v>1</v>
      </c>
      <c r="DR127" s="21">
        <v>7</v>
      </c>
      <c r="DS127" s="21">
        <v>10</v>
      </c>
      <c r="DT127" s="21">
        <v>10</v>
      </c>
      <c r="DU127" s="21">
        <v>10</v>
      </c>
      <c r="DW127" s="21">
        <v>10</v>
      </c>
      <c r="EA127" s="21">
        <v>10</v>
      </c>
      <c r="EB127" s="21" t="s">
        <v>2220</v>
      </c>
      <c r="EC127" s="21" t="s">
        <v>1221</v>
      </c>
      <c r="EF127" s="25">
        <v>1</v>
      </c>
      <c r="EG127" s="25">
        <v>0</v>
      </c>
      <c r="EH127" s="25">
        <v>1</v>
      </c>
      <c r="EI127" s="25">
        <v>0</v>
      </c>
      <c r="EJ127" s="25" t="s">
        <v>92</v>
      </c>
      <c r="EK127" s="25" t="s">
        <v>247</v>
      </c>
      <c r="EL127" s="25" t="s">
        <v>247</v>
      </c>
      <c r="EM127" s="25" t="s">
        <v>276</v>
      </c>
      <c r="EN127" s="25" t="s">
        <v>39</v>
      </c>
      <c r="EO127" s="25" t="s">
        <v>39</v>
      </c>
      <c r="EP127" s="25" t="s">
        <v>92</v>
      </c>
      <c r="EQ127" s="25" t="s">
        <v>92</v>
      </c>
      <c r="ER127" s="25" t="s">
        <v>278</v>
      </c>
      <c r="ES127" s="25" t="s">
        <v>278</v>
      </c>
      <c r="ET127" s="25">
        <v>1</v>
      </c>
      <c r="EU127" s="25" t="s">
        <v>522</v>
      </c>
      <c r="EV127" s="25" t="s">
        <v>247</v>
      </c>
      <c r="EW127" s="25" t="s">
        <v>39</v>
      </c>
      <c r="EX127" s="25" t="s">
        <v>278</v>
      </c>
      <c r="EY127" s="20" t="e">
        <v>#N/A</v>
      </c>
    </row>
    <row r="128" spans="1:155">
      <c r="A128" s="21" t="s">
        <v>491</v>
      </c>
      <c r="B128" s="21" t="s">
        <v>491</v>
      </c>
      <c r="C128" s="21" t="s">
        <v>492</v>
      </c>
      <c r="D128" s="21" t="s">
        <v>493</v>
      </c>
      <c r="E128" s="21" t="s">
        <v>493</v>
      </c>
      <c r="F128" s="21" t="s">
        <v>493</v>
      </c>
      <c r="G128" s="21" t="s">
        <v>2221</v>
      </c>
      <c r="H128" s="21">
        <v>2139399684</v>
      </c>
      <c r="I128" s="21" t="s">
        <v>494</v>
      </c>
      <c r="J128" s="21" t="s">
        <v>2222</v>
      </c>
      <c r="L128" s="21" t="s">
        <v>495</v>
      </c>
      <c r="M128" s="21" t="s">
        <v>2223</v>
      </c>
      <c r="N128" s="21" t="s">
        <v>496</v>
      </c>
      <c r="O128" s="21" t="s">
        <v>69</v>
      </c>
      <c r="P128" s="21" t="s">
        <v>497</v>
      </c>
      <c r="R128" s="21" t="s">
        <v>498</v>
      </c>
      <c r="S128" s="21" t="s">
        <v>499</v>
      </c>
      <c r="V128" s="21" t="s">
        <v>500</v>
      </c>
      <c r="W128" s="21" t="s">
        <v>501</v>
      </c>
      <c r="X128" s="21" t="s">
        <v>502</v>
      </c>
      <c r="Y128" s="21" t="s">
        <v>503</v>
      </c>
      <c r="Z128" s="21">
        <v>3035433395</v>
      </c>
      <c r="AA128" s="22">
        <v>42738</v>
      </c>
      <c r="AB128" s="22">
        <v>42738</v>
      </c>
      <c r="AC128" s="21" t="s">
        <v>504</v>
      </c>
      <c r="AD128" s="21" t="s">
        <v>505</v>
      </c>
      <c r="AE128" s="21" t="s">
        <v>500</v>
      </c>
      <c r="AF128" s="21" t="s">
        <v>549</v>
      </c>
      <c r="AG128" s="21" t="s">
        <v>555</v>
      </c>
      <c r="AH128" s="21" t="s">
        <v>556</v>
      </c>
      <c r="AI128" s="21" t="s">
        <v>1772</v>
      </c>
      <c r="AJ128" s="21" t="s">
        <v>526</v>
      </c>
      <c r="AK128" s="21" t="s">
        <v>494</v>
      </c>
      <c r="AL128" s="21" t="s">
        <v>527</v>
      </c>
      <c r="AM128" s="21" t="s">
        <v>527</v>
      </c>
      <c r="AN128" s="21" t="s">
        <v>527</v>
      </c>
      <c r="AO128" s="21" t="s">
        <v>528</v>
      </c>
      <c r="AS128" s="21" t="s">
        <v>511</v>
      </c>
      <c r="AT128" s="21" t="s">
        <v>512</v>
      </c>
      <c r="AW128" s="21">
        <v>0</v>
      </c>
      <c r="AX128" s="21">
        <v>2</v>
      </c>
      <c r="BC128" s="21" t="s">
        <v>513</v>
      </c>
      <c r="BD128" s="21" t="s">
        <v>514</v>
      </c>
      <c r="BE128" s="21" t="s">
        <v>514</v>
      </c>
      <c r="BF128" s="21" t="s">
        <v>515</v>
      </c>
      <c r="BG128" s="21">
        <v>1</v>
      </c>
      <c r="BH128" s="21" t="s">
        <v>516</v>
      </c>
      <c r="BI128" s="21" t="s">
        <v>517</v>
      </c>
      <c r="BJ128" s="21" t="s">
        <v>516</v>
      </c>
      <c r="BK128" s="21" t="s">
        <v>516</v>
      </c>
      <c r="BM128" s="21" t="s">
        <v>28</v>
      </c>
      <c r="BN128" s="21" t="s">
        <v>158</v>
      </c>
      <c r="BO128" s="21" t="s">
        <v>518</v>
      </c>
      <c r="BP128" s="21" t="s">
        <v>519</v>
      </c>
      <c r="BQ128" s="21" t="s">
        <v>28</v>
      </c>
      <c r="BR128" s="21" t="s">
        <v>158</v>
      </c>
      <c r="BS128" s="21" t="s">
        <v>518</v>
      </c>
      <c r="BT128" s="21" t="s">
        <v>519</v>
      </c>
      <c r="BU128" s="21" t="s">
        <v>158</v>
      </c>
      <c r="CD128" s="21" t="s">
        <v>520</v>
      </c>
      <c r="CF128" s="21" t="s">
        <v>521</v>
      </c>
      <c r="DB128" s="21" t="s">
        <v>943</v>
      </c>
      <c r="DC128" s="21">
        <v>1</v>
      </c>
      <c r="DD128" s="21">
        <v>2</v>
      </c>
      <c r="DE128" s="22">
        <v>42744</v>
      </c>
      <c r="DF128" s="21" t="s">
        <v>2224</v>
      </c>
      <c r="DG128" s="21" t="s">
        <v>522</v>
      </c>
      <c r="DH128" s="21" t="s">
        <v>2225</v>
      </c>
      <c r="DI128" s="21" t="s">
        <v>495</v>
      </c>
      <c r="DJ128" s="21" t="s">
        <v>523</v>
      </c>
      <c r="DL128" s="21">
        <v>42750</v>
      </c>
      <c r="DM128" s="21">
        <v>42740</v>
      </c>
      <c r="DN128" s="21">
        <v>3100</v>
      </c>
      <c r="DO128" s="21">
        <v>10</v>
      </c>
      <c r="DP128" s="21">
        <v>1</v>
      </c>
      <c r="DQ128" s="21">
        <v>2</v>
      </c>
      <c r="DR128" s="21">
        <v>7</v>
      </c>
      <c r="DS128" s="21">
        <v>10</v>
      </c>
      <c r="DT128" s="21">
        <v>10</v>
      </c>
      <c r="DU128" s="21">
        <v>10</v>
      </c>
      <c r="DW128" s="21">
        <v>10</v>
      </c>
      <c r="EA128" s="21">
        <v>10</v>
      </c>
      <c r="EF128" s="25">
        <v>1</v>
      </c>
      <c r="EG128" s="25">
        <v>0</v>
      </c>
      <c r="EH128" s="25">
        <v>1</v>
      </c>
      <c r="EI128" s="25">
        <v>0</v>
      </c>
      <c r="EJ128" s="25" t="s">
        <v>62</v>
      </c>
      <c r="EK128" s="25" t="s">
        <v>159</v>
      </c>
      <c r="EL128" s="25" t="s">
        <v>159</v>
      </c>
      <c r="EM128" s="25" t="s">
        <v>276</v>
      </c>
      <c r="EN128" s="25" t="s">
        <v>9</v>
      </c>
      <c r="EO128" s="25" t="s">
        <v>9</v>
      </c>
      <c r="EP128" s="25" t="s">
        <v>62</v>
      </c>
      <c r="EQ128" s="25" t="s">
        <v>62</v>
      </c>
      <c r="ER128" s="25" t="s">
        <v>278</v>
      </c>
      <c r="ES128" s="25" t="s">
        <v>278</v>
      </c>
      <c r="ET128" s="25">
        <v>1</v>
      </c>
      <c r="EU128" s="25" t="s">
        <v>522</v>
      </c>
      <c r="EV128" s="25" t="s">
        <v>159</v>
      </c>
      <c r="EW128" s="25" t="s">
        <v>9</v>
      </c>
      <c r="EX128" s="25" t="s">
        <v>278</v>
      </c>
      <c r="EY128" s="20" t="e">
        <v>#N/A</v>
      </c>
    </row>
    <row r="129" spans="1:155">
      <c r="A129" s="21" t="s">
        <v>491</v>
      </c>
      <c r="B129" s="21" t="s">
        <v>491</v>
      </c>
      <c r="C129" s="21" t="s">
        <v>492</v>
      </c>
      <c r="D129" s="21" t="s">
        <v>493</v>
      </c>
      <c r="E129" s="21" t="s">
        <v>493</v>
      </c>
      <c r="F129" s="21" t="s">
        <v>493</v>
      </c>
      <c r="G129" s="21" t="s">
        <v>2226</v>
      </c>
      <c r="H129" s="21">
        <v>42999463585</v>
      </c>
      <c r="I129" s="21" t="s">
        <v>494</v>
      </c>
      <c r="J129" s="21" t="s">
        <v>2227</v>
      </c>
      <c r="L129" s="21" t="s">
        <v>495</v>
      </c>
      <c r="M129" s="21" t="s">
        <v>2228</v>
      </c>
      <c r="N129" s="21" t="s">
        <v>2229</v>
      </c>
      <c r="O129" s="21" t="s">
        <v>93</v>
      </c>
      <c r="P129" s="21" t="s">
        <v>539</v>
      </c>
      <c r="Q129" s="21" t="s">
        <v>1168</v>
      </c>
      <c r="R129" s="21" t="s">
        <v>2230</v>
      </c>
      <c r="S129" s="21" t="s">
        <v>2231</v>
      </c>
      <c r="V129" s="21" t="s">
        <v>277</v>
      </c>
      <c r="W129" s="21" t="s">
        <v>524</v>
      </c>
      <c r="X129" s="21" t="s">
        <v>525</v>
      </c>
      <c r="Y129" s="21" t="s">
        <v>530</v>
      </c>
      <c r="Z129" s="21">
        <v>3035470149</v>
      </c>
      <c r="AA129" s="22">
        <v>42739</v>
      </c>
      <c r="AB129" s="22">
        <v>42739</v>
      </c>
      <c r="AC129" s="21" t="s">
        <v>504</v>
      </c>
      <c r="AD129" s="21" t="s">
        <v>505</v>
      </c>
      <c r="AE129" s="21" t="s">
        <v>1020</v>
      </c>
      <c r="AF129" s="21" t="s">
        <v>1314</v>
      </c>
      <c r="AG129" s="21" t="s">
        <v>1315</v>
      </c>
      <c r="AH129" s="21" t="s">
        <v>1316</v>
      </c>
      <c r="AI129" s="21" t="s">
        <v>1923</v>
      </c>
      <c r="AJ129" s="21" t="s">
        <v>526</v>
      </c>
      <c r="AK129" s="21" t="s">
        <v>494</v>
      </c>
      <c r="AL129" s="21" t="s">
        <v>508</v>
      </c>
      <c r="AM129" s="21" t="s">
        <v>509</v>
      </c>
      <c r="AN129" s="21" t="s">
        <v>527</v>
      </c>
      <c r="AO129" s="21" t="s">
        <v>528</v>
      </c>
      <c r="AQ129" s="21" t="s">
        <v>2187</v>
      </c>
      <c r="AS129" s="21" t="s">
        <v>511</v>
      </c>
      <c r="AT129" s="21" t="s">
        <v>512</v>
      </c>
      <c r="AW129" s="21">
        <v>0</v>
      </c>
      <c r="AX129" s="21">
        <v>4</v>
      </c>
      <c r="BC129" s="21" t="s">
        <v>513</v>
      </c>
      <c r="BD129" s="21" t="s">
        <v>514</v>
      </c>
      <c r="BE129" s="21" t="s">
        <v>514</v>
      </c>
      <c r="BF129" s="21" t="s">
        <v>515</v>
      </c>
      <c r="BG129" s="21">
        <v>1</v>
      </c>
      <c r="BH129" s="21" t="s">
        <v>516</v>
      </c>
      <c r="BI129" s="21" t="s">
        <v>517</v>
      </c>
      <c r="BJ129" s="21" t="s">
        <v>516</v>
      </c>
      <c r="BK129" s="21" t="s">
        <v>516</v>
      </c>
      <c r="BM129" s="21" t="s">
        <v>861</v>
      </c>
      <c r="BN129" s="21" t="s">
        <v>852</v>
      </c>
      <c r="BO129" s="21" t="s">
        <v>849</v>
      </c>
      <c r="BP129" s="21" t="s">
        <v>541</v>
      </c>
      <c r="BQ129" s="21" t="s">
        <v>1423</v>
      </c>
      <c r="BR129" s="21" t="s">
        <v>227</v>
      </c>
      <c r="BS129" s="21" t="s">
        <v>518</v>
      </c>
      <c r="BT129" s="21" t="s">
        <v>1044</v>
      </c>
      <c r="BU129" s="21" t="s">
        <v>852</v>
      </c>
      <c r="CD129" s="21" t="s">
        <v>520</v>
      </c>
      <c r="CF129" s="21" t="s">
        <v>534</v>
      </c>
      <c r="DB129" s="21" t="s">
        <v>943</v>
      </c>
      <c r="DC129" s="21">
        <v>1</v>
      </c>
      <c r="DD129" s="21">
        <v>2</v>
      </c>
      <c r="DE129" s="22">
        <v>42744</v>
      </c>
      <c r="DF129" s="21" t="s">
        <v>2232</v>
      </c>
      <c r="DG129" s="21" t="s">
        <v>522</v>
      </c>
      <c r="DH129" s="21" t="s">
        <v>2233</v>
      </c>
      <c r="DI129" s="21" t="s">
        <v>495</v>
      </c>
      <c r="DJ129" s="21" t="s">
        <v>520</v>
      </c>
      <c r="DL129" s="21">
        <v>42751</v>
      </c>
      <c r="DM129" s="21">
        <v>42741</v>
      </c>
      <c r="DN129" s="21">
        <v>1100</v>
      </c>
      <c r="DO129" s="21">
        <v>10</v>
      </c>
      <c r="DP129" s="21">
        <v>1</v>
      </c>
      <c r="DQ129" s="21">
        <v>1</v>
      </c>
      <c r="DR129" s="21">
        <v>7</v>
      </c>
      <c r="DS129" s="21">
        <v>10</v>
      </c>
      <c r="DT129" s="21">
        <v>10</v>
      </c>
      <c r="DU129" s="21">
        <v>10</v>
      </c>
      <c r="DW129" s="21">
        <v>10</v>
      </c>
      <c r="DY129" s="21">
        <v>10</v>
      </c>
      <c r="EA129" s="21">
        <v>10</v>
      </c>
      <c r="EF129" s="25">
        <v>1</v>
      </c>
      <c r="EG129" s="25">
        <v>0</v>
      </c>
      <c r="EH129" s="25">
        <v>1</v>
      </c>
      <c r="EI129" s="25">
        <v>0</v>
      </c>
      <c r="EJ129" s="25" t="s">
        <v>92</v>
      </c>
      <c r="EK129" s="25" t="s">
        <v>197</v>
      </c>
      <c r="EL129" s="25" t="s">
        <v>228</v>
      </c>
      <c r="EM129" s="25" t="s">
        <v>276</v>
      </c>
      <c r="EN129" s="25" t="s">
        <v>271</v>
      </c>
      <c r="EO129" s="25" t="s">
        <v>31</v>
      </c>
      <c r="EP129" s="25" t="s">
        <v>548</v>
      </c>
      <c r="EQ129" s="25" t="s">
        <v>92</v>
      </c>
      <c r="ER129" s="25" t="s">
        <v>278</v>
      </c>
      <c r="ES129" s="25" t="s">
        <v>278</v>
      </c>
      <c r="ET129" s="25">
        <v>1</v>
      </c>
      <c r="EU129" s="25" t="s">
        <v>522</v>
      </c>
      <c r="EV129" s="25" t="s">
        <v>279</v>
      </c>
      <c r="EW129" s="25" t="s">
        <v>279</v>
      </c>
      <c r="EX129" s="25" t="s">
        <v>279</v>
      </c>
      <c r="EY129" s="20" t="e">
        <v>#N/A</v>
      </c>
    </row>
    <row r="130" spans="1:155">
      <c r="A130" s="21" t="s">
        <v>491</v>
      </c>
      <c r="B130" s="21" t="s">
        <v>491</v>
      </c>
      <c r="C130" s="21" t="s">
        <v>492</v>
      </c>
      <c r="D130" s="21" t="s">
        <v>493</v>
      </c>
      <c r="E130" s="21" t="s">
        <v>493</v>
      </c>
      <c r="F130" s="21" t="s">
        <v>493</v>
      </c>
      <c r="G130" s="21" t="s">
        <v>2234</v>
      </c>
      <c r="H130" s="21" t="s">
        <v>2235</v>
      </c>
      <c r="I130" s="21" t="s">
        <v>494</v>
      </c>
      <c r="J130" s="21" t="s">
        <v>2236</v>
      </c>
      <c r="L130" s="21" t="s">
        <v>495</v>
      </c>
      <c r="M130" s="21" t="s">
        <v>2237</v>
      </c>
      <c r="N130" s="21" t="s">
        <v>1659</v>
      </c>
      <c r="O130" s="21" t="s">
        <v>100</v>
      </c>
      <c r="P130" s="21" t="s">
        <v>1187</v>
      </c>
      <c r="R130" s="21" t="s">
        <v>1660</v>
      </c>
      <c r="S130" s="21" t="s">
        <v>1661</v>
      </c>
      <c r="V130" s="21" t="s">
        <v>277</v>
      </c>
      <c r="W130" s="21" t="s">
        <v>524</v>
      </c>
      <c r="X130" s="21" t="s">
        <v>525</v>
      </c>
      <c r="Y130" s="21" t="s">
        <v>1190</v>
      </c>
      <c r="Z130" s="21">
        <v>3035434667</v>
      </c>
      <c r="AA130" s="22">
        <v>42738</v>
      </c>
      <c r="AB130" s="22">
        <v>42739</v>
      </c>
      <c r="AC130" s="21" t="s">
        <v>504</v>
      </c>
      <c r="AD130" s="21" t="s">
        <v>505</v>
      </c>
      <c r="AE130" s="21" t="s">
        <v>1846</v>
      </c>
      <c r="AF130" s="21" t="s">
        <v>2238</v>
      </c>
      <c r="AG130" s="21" t="s">
        <v>2239</v>
      </c>
      <c r="AH130" s="21" t="s">
        <v>2240</v>
      </c>
      <c r="AI130" s="21" t="s">
        <v>2241</v>
      </c>
      <c r="AJ130" s="21" t="s">
        <v>1109</v>
      </c>
      <c r="AK130" s="21" t="s">
        <v>494</v>
      </c>
      <c r="AL130" s="21" t="s">
        <v>527</v>
      </c>
      <c r="AM130" s="21" t="s">
        <v>527</v>
      </c>
      <c r="AN130" s="21" t="s">
        <v>527</v>
      </c>
      <c r="AO130" s="21" t="s">
        <v>528</v>
      </c>
      <c r="AS130" s="21" t="s">
        <v>511</v>
      </c>
      <c r="AT130" s="21" t="s">
        <v>512</v>
      </c>
      <c r="AW130" s="21">
        <v>0</v>
      </c>
      <c r="AX130" s="21">
        <v>4</v>
      </c>
      <c r="BC130" s="21" t="s">
        <v>513</v>
      </c>
      <c r="BD130" s="21" t="s">
        <v>514</v>
      </c>
      <c r="BE130" s="21" t="s">
        <v>514</v>
      </c>
      <c r="BF130" s="21" t="s">
        <v>515</v>
      </c>
      <c r="BG130" s="21">
        <v>1</v>
      </c>
      <c r="BH130" s="21" t="s">
        <v>516</v>
      </c>
      <c r="BI130" s="21" t="s">
        <v>517</v>
      </c>
      <c r="BJ130" s="21" t="s">
        <v>516</v>
      </c>
      <c r="BK130" s="21" t="s">
        <v>516</v>
      </c>
      <c r="BM130" s="21" t="s">
        <v>32</v>
      </c>
      <c r="BN130" s="21" t="s">
        <v>202</v>
      </c>
      <c r="BO130" s="21" t="s">
        <v>518</v>
      </c>
      <c r="BP130" s="21" t="s">
        <v>519</v>
      </c>
      <c r="BQ130" s="21" t="s">
        <v>33</v>
      </c>
      <c r="BR130" s="21" t="s">
        <v>209</v>
      </c>
      <c r="BS130" s="21" t="s">
        <v>518</v>
      </c>
      <c r="BT130" s="21" t="s">
        <v>1044</v>
      </c>
      <c r="BU130" s="21" t="s">
        <v>202</v>
      </c>
      <c r="CD130" s="21" t="s">
        <v>520</v>
      </c>
      <c r="CF130" s="21" t="s">
        <v>521</v>
      </c>
      <c r="DB130" s="21" t="s">
        <v>943</v>
      </c>
      <c r="DC130" s="21">
        <v>1</v>
      </c>
      <c r="DD130" s="21">
        <v>2</v>
      </c>
      <c r="DE130" s="22">
        <v>42744</v>
      </c>
      <c r="DF130" s="21" t="s">
        <v>2242</v>
      </c>
      <c r="DG130" s="21" t="s">
        <v>522</v>
      </c>
      <c r="DH130" s="21" t="s">
        <v>2243</v>
      </c>
      <c r="DI130" s="21" t="s">
        <v>495</v>
      </c>
      <c r="DJ130" s="21" t="s">
        <v>520</v>
      </c>
      <c r="DL130" s="21">
        <v>42751</v>
      </c>
      <c r="DM130" s="21">
        <v>42741</v>
      </c>
      <c r="DN130" s="21">
        <v>1100</v>
      </c>
      <c r="DO130" s="21">
        <v>10</v>
      </c>
      <c r="DP130" s="21">
        <v>1</v>
      </c>
      <c r="DQ130" s="21">
        <v>1</v>
      </c>
      <c r="DR130" s="21">
        <v>7</v>
      </c>
      <c r="DS130" s="21">
        <v>10</v>
      </c>
      <c r="DT130" s="21">
        <v>10</v>
      </c>
      <c r="DU130" s="21">
        <v>10</v>
      </c>
      <c r="DW130" s="21">
        <v>10</v>
      </c>
      <c r="EA130" s="21">
        <v>10</v>
      </c>
      <c r="EB130" s="21" t="s">
        <v>2244</v>
      </c>
      <c r="EC130" s="21" t="s">
        <v>2473</v>
      </c>
      <c r="EF130" s="25">
        <v>1</v>
      </c>
      <c r="EG130" s="25">
        <v>0</v>
      </c>
      <c r="EH130" s="25">
        <v>1</v>
      </c>
      <c r="EI130" s="25">
        <v>0</v>
      </c>
      <c r="EJ130" s="25" t="s">
        <v>92</v>
      </c>
      <c r="EK130" s="25" t="s">
        <v>203</v>
      </c>
      <c r="EL130" s="25" t="s">
        <v>210</v>
      </c>
      <c r="EM130" s="25" t="s">
        <v>276</v>
      </c>
      <c r="EN130" s="25" t="s">
        <v>31</v>
      </c>
      <c r="EO130" s="25" t="s">
        <v>31</v>
      </c>
      <c r="EP130" s="25" t="s">
        <v>62</v>
      </c>
      <c r="EQ130" s="25" t="s">
        <v>529</v>
      </c>
      <c r="ER130" s="25" t="s">
        <v>278</v>
      </c>
      <c r="ES130" s="25" t="s">
        <v>278</v>
      </c>
      <c r="ET130" s="25">
        <v>1</v>
      </c>
      <c r="EU130" s="25" t="s">
        <v>522</v>
      </c>
      <c r="EV130" s="25" t="s">
        <v>279</v>
      </c>
      <c r="EW130" s="25" t="s">
        <v>279</v>
      </c>
      <c r="EX130" s="25" t="s">
        <v>279</v>
      </c>
      <c r="EY130" s="20" t="e">
        <v>#N/A</v>
      </c>
    </row>
    <row r="131" spans="1:155">
      <c r="A131" s="21" t="s">
        <v>491</v>
      </c>
      <c r="B131" s="21" t="s">
        <v>491</v>
      </c>
      <c r="C131" s="21" t="s">
        <v>492</v>
      </c>
      <c r="D131" s="21" t="s">
        <v>493</v>
      </c>
      <c r="E131" s="21" t="s">
        <v>493</v>
      </c>
      <c r="F131" s="21" t="s">
        <v>493</v>
      </c>
      <c r="G131" s="21" t="s">
        <v>2245</v>
      </c>
      <c r="H131" s="21">
        <v>1139060100</v>
      </c>
      <c r="I131" s="21" t="s">
        <v>494</v>
      </c>
      <c r="J131" s="21" t="s">
        <v>2246</v>
      </c>
      <c r="L131" s="21" t="s">
        <v>495</v>
      </c>
      <c r="M131" s="21" t="s">
        <v>2247</v>
      </c>
      <c r="N131" s="21" t="s">
        <v>2076</v>
      </c>
      <c r="O131" s="21" t="s">
        <v>93</v>
      </c>
      <c r="P131" s="21" t="s">
        <v>539</v>
      </c>
      <c r="Q131" s="21" t="s">
        <v>1168</v>
      </c>
      <c r="R131" s="21" t="s">
        <v>2077</v>
      </c>
      <c r="S131" s="21" t="s">
        <v>1440</v>
      </c>
      <c r="V131" s="21" t="s">
        <v>277</v>
      </c>
      <c r="W131" s="21" t="s">
        <v>524</v>
      </c>
      <c r="X131" s="21" t="s">
        <v>525</v>
      </c>
      <c r="Y131" s="21" t="s">
        <v>530</v>
      </c>
      <c r="Z131" s="21">
        <v>3035472871</v>
      </c>
      <c r="AA131" s="22">
        <v>42739</v>
      </c>
      <c r="AB131" s="22">
        <v>42739</v>
      </c>
      <c r="AC131" s="21" t="s">
        <v>504</v>
      </c>
      <c r="AD131" s="21" t="s">
        <v>505</v>
      </c>
      <c r="AE131" s="21" t="s">
        <v>1020</v>
      </c>
      <c r="AF131" s="21" t="s">
        <v>1369</v>
      </c>
      <c r="AG131" s="21" t="s">
        <v>1370</v>
      </c>
      <c r="AH131" s="21" t="s">
        <v>1371</v>
      </c>
      <c r="AI131" s="21" t="s">
        <v>2248</v>
      </c>
      <c r="AJ131" s="21" t="s">
        <v>526</v>
      </c>
      <c r="AK131" s="21" t="s">
        <v>494</v>
      </c>
      <c r="AL131" s="21" t="s">
        <v>527</v>
      </c>
      <c r="AM131" s="21" t="s">
        <v>527</v>
      </c>
      <c r="AN131" s="21" t="s">
        <v>527</v>
      </c>
      <c r="AO131" s="21" t="s">
        <v>528</v>
      </c>
      <c r="AS131" s="21" t="s">
        <v>511</v>
      </c>
      <c r="AT131" s="21" t="s">
        <v>512</v>
      </c>
      <c r="AW131" s="21">
        <v>0</v>
      </c>
      <c r="AX131" s="21">
        <v>2</v>
      </c>
      <c r="BC131" s="21" t="s">
        <v>513</v>
      </c>
      <c r="BD131" s="21" t="s">
        <v>514</v>
      </c>
      <c r="BE131" s="21" t="s">
        <v>514</v>
      </c>
      <c r="BF131" s="21" t="s">
        <v>515</v>
      </c>
      <c r="BG131" s="21">
        <v>1</v>
      </c>
      <c r="BH131" s="21" t="s">
        <v>516</v>
      </c>
      <c r="BI131" s="21" t="s">
        <v>517</v>
      </c>
      <c r="BJ131" s="21" t="s">
        <v>516</v>
      </c>
      <c r="BK131" s="21" t="s">
        <v>516</v>
      </c>
      <c r="BM131" s="21" t="s">
        <v>1373</v>
      </c>
      <c r="BN131" s="21" t="s">
        <v>213</v>
      </c>
      <c r="BO131" s="21" t="s">
        <v>518</v>
      </c>
      <c r="BP131" s="21" t="s">
        <v>1044</v>
      </c>
      <c r="BQ131" s="21" t="s">
        <v>1373</v>
      </c>
      <c r="BR131" s="21" t="s">
        <v>213</v>
      </c>
      <c r="BS131" s="21" t="s">
        <v>518</v>
      </c>
      <c r="BT131" s="21" t="s">
        <v>1044</v>
      </c>
      <c r="BU131" s="21" t="s">
        <v>213</v>
      </c>
      <c r="CD131" s="21" t="s">
        <v>520</v>
      </c>
      <c r="CF131" s="21" t="s">
        <v>521</v>
      </c>
      <c r="DB131" s="21" t="s">
        <v>943</v>
      </c>
      <c r="DC131" s="21">
        <v>1</v>
      </c>
      <c r="DD131" s="21">
        <v>2</v>
      </c>
      <c r="DE131" s="22">
        <v>42744</v>
      </c>
      <c r="DF131" s="21" t="s">
        <v>2249</v>
      </c>
      <c r="DG131" s="21" t="s">
        <v>522</v>
      </c>
      <c r="DH131" s="21" t="s">
        <v>2250</v>
      </c>
      <c r="DI131" s="21" t="s">
        <v>495</v>
      </c>
      <c r="DJ131" s="21" t="s">
        <v>520</v>
      </c>
      <c r="DL131" s="21">
        <v>42751</v>
      </c>
      <c r="DM131" s="21">
        <v>42741</v>
      </c>
      <c r="DN131" s="21">
        <v>1100</v>
      </c>
      <c r="DO131" s="21">
        <v>9</v>
      </c>
      <c r="DP131" s="21">
        <v>1</v>
      </c>
      <c r="DQ131" s="21">
        <v>2</v>
      </c>
      <c r="DR131" s="21">
        <v>6</v>
      </c>
      <c r="DS131" s="21">
        <v>9</v>
      </c>
      <c r="DT131" s="21">
        <v>9</v>
      </c>
      <c r="DU131" s="21">
        <v>9</v>
      </c>
      <c r="DW131" s="21">
        <v>9</v>
      </c>
      <c r="EA131" s="21">
        <v>9</v>
      </c>
      <c r="EB131" s="21" t="s">
        <v>2251</v>
      </c>
      <c r="EC131" s="21" t="s">
        <v>1221</v>
      </c>
      <c r="EF131" s="25">
        <v>1</v>
      </c>
      <c r="EG131" s="25">
        <v>0</v>
      </c>
      <c r="EH131" s="25">
        <v>1</v>
      </c>
      <c r="EI131" s="25">
        <v>0</v>
      </c>
      <c r="EJ131" s="25" t="s">
        <v>92</v>
      </c>
      <c r="EK131" s="25" t="s">
        <v>214</v>
      </c>
      <c r="EL131" s="25" t="s">
        <v>214</v>
      </c>
      <c r="EM131" s="25" t="s">
        <v>276</v>
      </c>
      <c r="EN131" s="25" t="s">
        <v>31</v>
      </c>
      <c r="EO131" s="25" t="s">
        <v>31</v>
      </c>
      <c r="EP131" s="25" t="s">
        <v>92</v>
      </c>
      <c r="EQ131" s="25" t="s">
        <v>92</v>
      </c>
      <c r="ER131" s="25" t="s">
        <v>278</v>
      </c>
      <c r="ES131" s="25" t="s">
        <v>278</v>
      </c>
      <c r="ET131" s="25">
        <v>1</v>
      </c>
      <c r="EU131" s="25" t="s">
        <v>522</v>
      </c>
      <c r="EV131" s="25" t="s">
        <v>214</v>
      </c>
      <c r="EW131" s="25" t="s">
        <v>31</v>
      </c>
      <c r="EX131" s="25" t="s">
        <v>278</v>
      </c>
      <c r="EY131" s="20" t="e">
        <v>#N/A</v>
      </c>
    </row>
    <row r="132" spans="1:155">
      <c r="A132" s="21" t="s">
        <v>491</v>
      </c>
      <c r="B132" s="21" t="s">
        <v>491</v>
      </c>
      <c r="C132" s="21" t="s">
        <v>492</v>
      </c>
      <c r="D132" s="21" t="s">
        <v>493</v>
      </c>
      <c r="E132" s="21" t="s">
        <v>493</v>
      </c>
      <c r="F132" s="21" t="s">
        <v>493</v>
      </c>
      <c r="G132" s="21" t="s">
        <v>2252</v>
      </c>
      <c r="H132" s="21" t="s">
        <v>2253</v>
      </c>
      <c r="I132" s="21" t="s">
        <v>494</v>
      </c>
      <c r="J132" s="21" t="s">
        <v>2254</v>
      </c>
      <c r="L132" s="21" t="s">
        <v>495</v>
      </c>
      <c r="M132" s="21" t="s">
        <v>2255</v>
      </c>
      <c r="N132" s="21" t="s">
        <v>1438</v>
      </c>
      <c r="O132" s="21" t="s">
        <v>93</v>
      </c>
      <c r="P132" s="21" t="s">
        <v>539</v>
      </c>
      <c r="Q132" s="21" t="s">
        <v>1301</v>
      </c>
      <c r="R132" s="21" t="s">
        <v>1439</v>
      </c>
      <c r="S132" s="21" t="s">
        <v>1440</v>
      </c>
      <c r="V132" s="21" t="s">
        <v>277</v>
      </c>
      <c r="W132" s="21" t="s">
        <v>524</v>
      </c>
      <c r="X132" s="21" t="s">
        <v>525</v>
      </c>
      <c r="Y132" s="21" t="s">
        <v>530</v>
      </c>
      <c r="Z132" s="21">
        <v>3035444305</v>
      </c>
      <c r="AA132" s="22">
        <v>42738</v>
      </c>
      <c r="AB132" s="22">
        <v>42740</v>
      </c>
      <c r="AC132" s="21" t="s">
        <v>504</v>
      </c>
      <c r="AD132" s="21" t="s">
        <v>505</v>
      </c>
      <c r="AE132" s="21" t="s">
        <v>1156</v>
      </c>
      <c r="AF132" s="21" t="s">
        <v>1304</v>
      </c>
      <c r="AG132" s="21" t="s">
        <v>2256</v>
      </c>
      <c r="AH132" s="21" t="s">
        <v>2257</v>
      </c>
      <c r="AI132" s="21" t="s">
        <v>2258</v>
      </c>
      <c r="AJ132" s="21" t="s">
        <v>507</v>
      </c>
      <c r="AK132" s="21" t="s">
        <v>494</v>
      </c>
      <c r="AL132" s="21" t="s">
        <v>527</v>
      </c>
      <c r="AM132" s="21" t="s">
        <v>527</v>
      </c>
      <c r="AN132" s="21" t="s">
        <v>527</v>
      </c>
      <c r="AO132" s="21" t="s">
        <v>528</v>
      </c>
      <c r="AS132" s="21" t="s">
        <v>511</v>
      </c>
      <c r="AT132" s="21" t="s">
        <v>512</v>
      </c>
      <c r="AW132" s="21">
        <v>0</v>
      </c>
      <c r="AX132" s="21">
        <v>7</v>
      </c>
      <c r="BC132" s="21" t="s">
        <v>513</v>
      </c>
      <c r="BD132" s="21" t="s">
        <v>514</v>
      </c>
      <c r="BE132" s="21" t="s">
        <v>514</v>
      </c>
      <c r="BF132" s="21" t="s">
        <v>515</v>
      </c>
      <c r="BG132" s="21">
        <v>1</v>
      </c>
      <c r="BH132" s="21" t="s">
        <v>516</v>
      </c>
      <c r="BI132" s="21" t="s">
        <v>517</v>
      </c>
      <c r="BJ132" s="21" t="s">
        <v>516</v>
      </c>
      <c r="BK132" s="21" t="s">
        <v>516</v>
      </c>
      <c r="BM132" s="21" t="s">
        <v>1453</v>
      </c>
      <c r="BN132" s="21" t="s">
        <v>231</v>
      </c>
      <c r="BO132" s="21" t="s">
        <v>518</v>
      </c>
      <c r="BP132" s="21" t="s">
        <v>1044</v>
      </c>
      <c r="BQ132" s="21" t="s">
        <v>38</v>
      </c>
      <c r="BR132" s="21" t="s">
        <v>238</v>
      </c>
      <c r="BS132" s="21" t="s">
        <v>518</v>
      </c>
      <c r="BT132" s="21" t="s">
        <v>1044</v>
      </c>
      <c r="BU132" s="21" t="s">
        <v>231</v>
      </c>
      <c r="CD132" s="21" t="s">
        <v>520</v>
      </c>
      <c r="CF132" s="21" t="s">
        <v>521</v>
      </c>
      <c r="DB132" s="21" t="s">
        <v>943</v>
      </c>
      <c r="DC132" s="21">
        <v>1</v>
      </c>
      <c r="DD132" s="21">
        <v>2</v>
      </c>
      <c r="DE132" s="22">
        <v>42744</v>
      </c>
      <c r="DF132" s="21" t="s">
        <v>2259</v>
      </c>
      <c r="DG132" s="21" t="s">
        <v>522</v>
      </c>
      <c r="DH132" s="21" t="s">
        <v>2260</v>
      </c>
      <c r="DI132" s="21" t="s">
        <v>495</v>
      </c>
      <c r="DJ132" s="21" t="s">
        <v>520</v>
      </c>
      <c r="DL132" s="21">
        <v>42752</v>
      </c>
      <c r="DM132" s="21">
        <v>42742</v>
      </c>
      <c r="DN132" s="21">
        <v>1100</v>
      </c>
      <c r="DO132" s="21">
        <v>8</v>
      </c>
      <c r="DP132" s="21">
        <v>1</v>
      </c>
      <c r="DQ132" s="21">
        <v>2</v>
      </c>
      <c r="DR132" s="21">
        <v>4</v>
      </c>
      <c r="DS132" s="21">
        <v>7</v>
      </c>
      <c r="DT132" s="21">
        <v>5</v>
      </c>
      <c r="DU132" s="21">
        <v>7</v>
      </c>
      <c r="DW132" s="21">
        <v>8</v>
      </c>
      <c r="EA132" s="21">
        <v>8</v>
      </c>
      <c r="EB132" s="21" t="s">
        <v>2261</v>
      </c>
      <c r="EC132" s="21" t="s">
        <v>2474</v>
      </c>
      <c r="EF132" s="25">
        <v>0</v>
      </c>
      <c r="EG132" s="25">
        <v>0</v>
      </c>
      <c r="EH132" s="25">
        <v>0</v>
      </c>
      <c r="EI132" s="25">
        <v>0</v>
      </c>
      <c r="EJ132" s="25" t="s">
        <v>92</v>
      </c>
      <c r="EK132" s="25" t="s">
        <v>232</v>
      </c>
      <c r="EL132" s="25" t="s">
        <v>239</v>
      </c>
      <c r="EM132" s="25" t="s">
        <v>276</v>
      </c>
      <c r="EN132" s="25" t="s">
        <v>39</v>
      </c>
      <c r="EO132" s="25" t="s">
        <v>39</v>
      </c>
      <c r="EP132" s="25" t="s">
        <v>92</v>
      </c>
      <c r="EQ132" s="25" t="s">
        <v>529</v>
      </c>
      <c r="ER132" s="25" t="s">
        <v>278</v>
      </c>
      <c r="ES132" s="25" t="s">
        <v>278</v>
      </c>
      <c r="ET132" s="25">
        <v>1</v>
      </c>
      <c r="EU132" s="25" t="s">
        <v>522</v>
      </c>
      <c r="EV132" s="25" t="s">
        <v>279</v>
      </c>
      <c r="EW132" s="25" t="s">
        <v>279</v>
      </c>
      <c r="EX132" s="25" t="s">
        <v>279</v>
      </c>
      <c r="EY132" s="20" t="e">
        <v>#N/A</v>
      </c>
    </row>
    <row r="133" spans="1:155">
      <c r="A133" s="21" t="s">
        <v>491</v>
      </c>
      <c r="B133" s="21" t="s">
        <v>491</v>
      </c>
      <c r="C133" s="21" t="s">
        <v>492</v>
      </c>
      <c r="D133" s="21" t="s">
        <v>493</v>
      </c>
      <c r="E133" s="21" t="s">
        <v>493</v>
      </c>
      <c r="F133" s="21" t="s">
        <v>493</v>
      </c>
      <c r="G133" s="21" t="s">
        <v>2262</v>
      </c>
      <c r="H133" s="21" t="s">
        <v>2263</v>
      </c>
      <c r="I133" s="21" t="s">
        <v>2263</v>
      </c>
      <c r="J133" s="21" t="s">
        <v>2264</v>
      </c>
      <c r="L133" s="21" t="s">
        <v>495</v>
      </c>
      <c r="M133" s="21" t="s">
        <v>2265</v>
      </c>
      <c r="N133" s="21" t="s">
        <v>2266</v>
      </c>
      <c r="O133" s="21" t="s">
        <v>93</v>
      </c>
      <c r="P133" s="21" t="s">
        <v>539</v>
      </c>
      <c r="Q133" s="21" t="s">
        <v>1168</v>
      </c>
      <c r="R133" s="21" t="s">
        <v>2267</v>
      </c>
      <c r="S133" s="21" t="s">
        <v>1388</v>
      </c>
      <c r="V133" s="21" t="s">
        <v>277</v>
      </c>
      <c r="W133" s="21" t="s">
        <v>524</v>
      </c>
      <c r="X133" s="21" t="s">
        <v>525</v>
      </c>
      <c r="Y133" s="21" t="s">
        <v>530</v>
      </c>
      <c r="Z133" s="21">
        <v>3035443652</v>
      </c>
      <c r="AA133" s="22">
        <v>42738</v>
      </c>
      <c r="AB133" s="22">
        <v>42740</v>
      </c>
      <c r="AC133" s="21" t="s">
        <v>504</v>
      </c>
      <c r="AD133" s="21" t="s">
        <v>505</v>
      </c>
      <c r="AE133" s="21" t="s">
        <v>1054</v>
      </c>
      <c r="AF133" s="21" t="s">
        <v>1105</v>
      </c>
      <c r="AG133" s="21" t="s">
        <v>2268</v>
      </c>
      <c r="AH133" s="21" t="s">
        <v>2269</v>
      </c>
      <c r="AI133" s="21" t="s">
        <v>2270</v>
      </c>
      <c r="AJ133" s="21" t="s">
        <v>526</v>
      </c>
      <c r="AK133" s="21" t="s">
        <v>494</v>
      </c>
      <c r="AL133" s="21" t="s">
        <v>508</v>
      </c>
      <c r="AM133" s="21" t="s">
        <v>509</v>
      </c>
      <c r="AN133" s="21" t="s">
        <v>509</v>
      </c>
      <c r="AO133" s="21" t="s">
        <v>510</v>
      </c>
      <c r="AS133" s="21" t="s">
        <v>511</v>
      </c>
      <c r="AT133" s="21" t="s">
        <v>512</v>
      </c>
      <c r="AW133" s="21">
        <v>0</v>
      </c>
      <c r="AX133" s="21">
        <v>14</v>
      </c>
      <c r="BC133" s="21" t="s">
        <v>513</v>
      </c>
      <c r="BD133" s="21" t="s">
        <v>514</v>
      </c>
      <c r="BE133" s="21" t="s">
        <v>514</v>
      </c>
      <c r="BF133" s="21" t="s">
        <v>515</v>
      </c>
      <c r="BG133" s="21">
        <v>1</v>
      </c>
      <c r="BH133" s="21" t="s">
        <v>516</v>
      </c>
      <c r="BI133" s="21" t="s">
        <v>517</v>
      </c>
      <c r="BJ133" s="21" t="s">
        <v>516</v>
      </c>
      <c r="BK133" s="21" t="s">
        <v>516</v>
      </c>
      <c r="BM133" s="21" t="s">
        <v>2271</v>
      </c>
      <c r="BN133" s="21" t="s">
        <v>857</v>
      </c>
      <c r="BO133" s="21" t="s">
        <v>518</v>
      </c>
      <c r="BP133" s="21" t="s">
        <v>1044</v>
      </c>
      <c r="BQ133" s="21" t="s">
        <v>44</v>
      </c>
      <c r="BR133" s="21" t="s">
        <v>244</v>
      </c>
      <c r="BS133" s="21" t="s">
        <v>518</v>
      </c>
      <c r="BT133" s="21" t="s">
        <v>1044</v>
      </c>
      <c r="BU133" s="21" t="s">
        <v>857</v>
      </c>
      <c r="CD133" s="21" t="s">
        <v>520</v>
      </c>
      <c r="CF133" s="21" t="s">
        <v>521</v>
      </c>
      <c r="DB133" s="21" t="s">
        <v>943</v>
      </c>
      <c r="DC133" s="21">
        <v>1</v>
      </c>
      <c r="DD133" s="21">
        <v>2</v>
      </c>
      <c r="DE133" s="22">
        <v>42744</v>
      </c>
      <c r="DF133" s="21" t="s">
        <v>2272</v>
      </c>
      <c r="DG133" s="21" t="s">
        <v>522</v>
      </c>
      <c r="DH133" s="21" t="s">
        <v>2273</v>
      </c>
      <c r="DI133" s="21" t="s">
        <v>495</v>
      </c>
      <c r="DJ133" s="21" t="s">
        <v>520</v>
      </c>
      <c r="DL133" s="21">
        <v>42752</v>
      </c>
      <c r="DM133" s="21">
        <v>42742</v>
      </c>
      <c r="DN133" s="21">
        <v>1100</v>
      </c>
      <c r="DO133" s="21">
        <v>10</v>
      </c>
      <c r="DP133" s="21">
        <v>1</v>
      </c>
      <c r="DQ133" s="21">
        <v>2</v>
      </c>
      <c r="DR133" s="21">
        <v>7</v>
      </c>
      <c r="DS133" s="21">
        <v>10</v>
      </c>
      <c r="DT133" s="21">
        <v>10</v>
      </c>
      <c r="DU133" s="21">
        <v>10</v>
      </c>
      <c r="DW133" s="21">
        <v>9</v>
      </c>
      <c r="EA133" s="21">
        <v>10</v>
      </c>
      <c r="EB133" s="21" t="s">
        <v>2274</v>
      </c>
      <c r="EC133" s="21" t="s">
        <v>1002</v>
      </c>
      <c r="EF133" s="25">
        <v>1</v>
      </c>
      <c r="EG133" s="25">
        <v>0</v>
      </c>
      <c r="EH133" s="25">
        <v>1</v>
      </c>
      <c r="EI133" s="25">
        <v>0</v>
      </c>
      <c r="EJ133" s="25" t="s">
        <v>92</v>
      </c>
      <c r="EK133" s="25" t="s">
        <v>276</v>
      </c>
      <c r="EL133" s="25" t="s">
        <v>245</v>
      </c>
      <c r="EM133" s="25" t="s">
        <v>276</v>
      </c>
      <c r="EN133" s="25" t="s">
        <v>276</v>
      </c>
      <c r="EO133" s="25" t="s">
        <v>39</v>
      </c>
      <c r="EP133" s="25" t="s">
        <v>276</v>
      </c>
      <c r="EQ133" s="25" t="s">
        <v>92</v>
      </c>
      <c r="ER133" s="25" t="s">
        <v>276</v>
      </c>
      <c r="ES133" s="25" t="s">
        <v>278</v>
      </c>
      <c r="ET133" s="25">
        <v>1</v>
      </c>
      <c r="EU133" s="25" t="s">
        <v>522</v>
      </c>
      <c r="EV133" s="25" t="s">
        <v>279</v>
      </c>
      <c r="EW133" s="25" t="s">
        <v>279</v>
      </c>
      <c r="EX133" s="25" t="s">
        <v>279</v>
      </c>
      <c r="EY133" s="20" t="s">
        <v>52</v>
      </c>
    </row>
    <row r="134" spans="1:155">
      <c r="A134" s="21" t="s">
        <v>491</v>
      </c>
      <c r="B134" s="21" t="s">
        <v>491</v>
      </c>
      <c r="C134" s="21" t="s">
        <v>492</v>
      </c>
      <c r="D134" s="21" t="s">
        <v>493</v>
      </c>
      <c r="E134" s="21" t="s">
        <v>493</v>
      </c>
      <c r="F134" s="21" t="s">
        <v>493</v>
      </c>
      <c r="G134" s="21" t="s">
        <v>2275</v>
      </c>
      <c r="H134" s="21" t="s">
        <v>2276</v>
      </c>
      <c r="I134" s="21" t="s">
        <v>2277</v>
      </c>
      <c r="J134" s="21" t="s">
        <v>2278</v>
      </c>
      <c r="L134" s="21" t="s">
        <v>495</v>
      </c>
      <c r="M134" s="21" t="s">
        <v>2279</v>
      </c>
      <c r="N134" s="21" t="s">
        <v>2280</v>
      </c>
      <c r="O134" s="21" t="s">
        <v>58</v>
      </c>
      <c r="P134" s="21" t="s">
        <v>557</v>
      </c>
      <c r="R134" s="21" t="s">
        <v>2281</v>
      </c>
      <c r="S134" s="21" t="s">
        <v>2282</v>
      </c>
      <c r="V134" s="21" t="s">
        <v>500</v>
      </c>
      <c r="W134" s="21" t="s">
        <v>501</v>
      </c>
      <c r="X134" s="21" t="s">
        <v>502</v>
      </c>
      <c r="Y134" s="21" t="s">
        <v>558</v>
      </c>
      <c r="Z134" s="21">
        <v>3035356226</v>
      </c>
      <c r="AA134" s="22">
        <v>42734</v>
      </c>
      <c r="AB134" s="22">
        <v>42740</v>
      </c>
      <c r="AC134" s="21" t="s">
        <v>504</v>
      </c>
      <c r="AD134" s="21" t="s">
        <v>505</v>
      </c>
      <c r="AE134" s="21" t="s">
        <v>500</v>
      </c>
      <c r="AF134" s="21" t="s">
        <v>506</v>
      </c>
      <c r="AG134" s="21" t="s">
        <v>1079</v>
      </c>
      <c r="AH134" s="21" t="s">
        <v>1080</v>
      </c>
      <c r="AI134" s="21" t="s">
        <v>1332</v>
      </c>
      <c r="AJ134" s="21" t="s">
        <v>507</v>
      </c>
      <c r="AK134" s="21" t="s">
        <v>494</v>
      </c>
      <c r="AL134" s="21" t="s">
        <v>527</v>
      </c>
      <c r="AM134" s="21" t="s">
        <v>527</v>
      </c>
      <c r="AN134" s="21" t="s">
        <v>527</v>
      </c>
      <c r="AO134" s="21" t="s">
        <v>528</v>
      </c>
      <c r="AS134" s="21" t="s">
        <v>511</v>
      </c>
      <c r="AT134" s="21" t="s">
        <v>512</v>
      </c>
      <c r="AW134" s="21">
        <v>0</v>
      </c>
      <c r="AX134" s="21">
        <v>9</v>
      </c>
      <c r="BC134" s="21" t="s">
        <v>513</v>
      </c>
      <c r="BD134" s="21" t="s">
        <v>514</v>
      </c>
      <c r="BE134" s="21" t="s">
        <v>514</v>
      </c>
      <c r="BF134" s="21" t="s">
        <v>515</v>
      </c>
      <c r="BG134" s="21">
        <v>1</v>
      </c>
      <c r="BH134" s="21" t="s">
        <v>516</v>
      </c>
      <c r="BI134" s="21" t="s">
        <v>517</v>
      </c>
      <c r="BJ134" s="21" t="s">
        <v>516</v>
      </c>
      <c r="BK134" s="21" t="s">
        <v>516</v>
      </c>
      <c r="BM134" s="21" t="s">
        <v>16</v>
      </c>
      <c r="BN134" s="21" t="s">
        <v>111</v>
      </c>
      <c r="BO134" s="21" t="s">
        <v>518</v>
      </c>
      <c r="BP134" s="21" t="s">
        <v>519</v>
      </c>
      <c r="BQ134" s="21" t="s">
        <v>19</v>
      </c>
      <c r="BR134" s="21" t="s">
        <v>82</v>
      </c>
      <c r="BS134" s="21" t="s">
        <v>518</v>
      </c>
      <c r="BT134" s="21" t="s">
        <v>519</v>
      </c>
      <c r="BU134" s="21" t="s">
        <v>111</v>
      </c>
      <c r="CD134" s="21" t="s">
        <v>520</v>
      </c>
      <c r="CF134" s="21" t="s">
        <v>521</v>
      </c>
      <c r="DB134" s="21" t="s">
        <v>943</v>
      </c>
      <c r="DC134" s="21">
        <v>1</v>
      </c>
      <c r="DD134" s="21">
        <v>2</v>
      </c>
      <c r="DE134" s="22">
        <v>42744</v>
      </c>
      <c r="DF134" s="21" t="s">
        <v>2283</v>
      </c>
      <c r="DG134" s="21" t="s">
        <v>522</v>
      </c>
      <c r="DH134" s="21" t="s">
        <v>2284</v>
      </c>
      <c r="DI134" s="21" t="s">
        <v>495</v>
      </c>
      <c r="DJ134" s="21" t="s">
        <v>520</v>
      </c>
      <c r="DL134" s="21">
        <v>42752</v>
      </c>
      <c r="DM134" s="21">
        <v>42742</v>
      </c>
      <c r="DN134" s="21">
        <v>3100</v>
      </c>
      <c r="DO134" s="21">
        <v>10</v>
      </c>
      <c r="DP134" s="21">
        <v>1</v>
      </c>
      <c r="DQ134" s="21">
        <v>2</v>
      </c>
      <c r="DR134" s="21">
        <v>7</v>
      </c>
      <c r="DS134" s="21">
        <v>10</v>
      </c>
      <c r="DT134" s="21">
        <v>10</v>
      </c>
      <c r="DU134" s="21">
        <v>10</v>
      </c>
      <c r="DW134" s="21">
        <v>10</v>
      </c>
      <c r="EA134" s="21">
        <v>10</v>
      </c>
      <c r="EB134" s="21" t="s">
        <v>2285</v>
      </c>
      <c r="EC134" s="21" t="s">
        <v>1968</v>
      </c>
      <c r="EF134" s="25">
        <v>1</v>
      </c>
      <c r="EG134" s="25">
        <v>0</v>
      </c>
      <c r="EH134" s="25">
        <v>1</v>
      </c>
      <c r="EI134" s="25">
        <v>0</v>
      </c>
      <c r="EJ134" s="25" t="s">
        <v>62</v>
      </c>
      <c r="EK134" s="25" t="s">
        <v>112</v>
      </c>
      <c r="EL134" s="25" t="s">
        <v>83</v>
      </c>
      <c r="EM134" s="25" t="s">
        <v>276</v>
      </c>
      <c r="EN134" s="25" t="s">
        <v>9</v>
      </c>
      <c r="EO134" s="25" t="s">
        <v>9</v>
      </c>
      <c r="EP134" s="25" t="s">
        <v>62</v>
      </c>
      <c r="EQ134" s="25" t="s">
        <v>62</v>
      </c>
      <c r="ER134" s="25" t="s">
        <v>278</v>
      </c>
      <c r="ES134" s="25" t="s">
        <v>278</v>
      </c>
      <c r="ET134" s="25">
        <v>1</v>
      </c>
      <c r="EU134" s="25" t="s">
        <v>522</v>
      </c>
      <c r="EV134" s="25" t="s">
        <v>279</v>
      </c>
      <c r="EW134" s="25" t="s">
        <v>279</v>
      </c>
      <c r="EX134" s="25" t="s">
        <v>279</v>
      </c>
      <c r="EY134" s="20" t="e">
        <v>#N/A</v>
      </c>
    </row>
    <row r="135" spans="1:155">
      <c r="A135" s="21" t="s">
        <v>491</v>
      </c>
      <c r="B135" s="21" t="s">
        <v>491</v>
      </c>
      <c r="C135" s="21" t="s">
        <v>492</v>
      </c>
      <c r="D135" s="21" t="s">
        <v>493</v>
      </c>
      <c r="E135" s="21" t="s">
        <v>493</v>
      </c>
      <c r="F135" s="21" t="s">
        <v>493</v>
      </c>
      <c r="G135" s="21" t="s">
        <v>2286</v>
      </c>
      <c r="H135" s="21">
        <v>1631167919</v>
      </c>
      <c r="I135" s="21" t="s">
        <v>494</v>
      </c>
      <c r="J135" s="21" t="s">
        <v>2287</v>
      </c>
      <c r="L135" s="21" t="s">
        <v>495</v>
      </c>
      <c r="M135" s="21" t="s">
        <v>2288</v>
      </c>
      <c r="N135" s="21" t="s">
        <v>2289</v>
      </c>
      <c r="O135" s="21" t="s">
        <v>93</v>
      </c>
      <c r="P135" s="21" t="s">
        <v>539</v>
      </c>
      <c r="R135" s="21" t="s">
        <v>2290</v>
      </c>
      <c r="S135" s="21" t="s">
        <v>2231</v>
      </c>
      <c r="V135" s="21" t="s">
        <v>277</v>
      </c>
      <c r="W135" s="21" t="s">
        <v>524</v>
      </c>
      <c r="X135" s="21" t="s">
        <v>525</v>
      </c>
      <c r="Y135" s="21" t="s">
        <v>530</v>
      </c>
      <c r="Z135" s="21">
        <v>3035514776</v>
      </c>
      <c r="AA135" s="22">
        <v>42740</v>
      </c>
      <c r="AB135" s="22">
        <v>42740</v>
      </c>
      <c r="AC135" s="21" t="s">
        <v>504</v>
      </c>
      <c r="AD135" s="21" t="s">
        <v>505</v>
      </c>
      <c r="AE135" s="21" t="s">
        <v>1020</v>
      </c>
      <c r="AF135" s="21" t="s">
        <v>2177</v>
      </c>
      <c r="AG135" s="21" t="s">
        <v>2178</v>
      </c>
      <c r="AH135" s="21" t="s">
        <v>2179</v>
      </c>
      <c r="AI135" s="21" t="s">
        <v>2291</v>
      </c>
      <c r="AJ135" s="21" t="s">
        <v>526</v>
      </c>
      <c r="AK135" s="21" t="s">
        <v>494</v>
      </c>
      <c r="AL135" s="21" t="s">
        <v>508</v>
      </c>
      <c r="AM135" s="21" t="s">
        <v>509</v>
      </c>
      <c r="AN135" s="21" t="s">
        <v>509</v>
      </c>
      <c r="AO135" s="21" t="s">
        <v>510</v>
      </c>
      <c r="AS135" s="21" t="s">
        <v>511</v>
      </c>
      <c r="AT135" s="21" t="s">
        <v>512</v>
      </c>
      <c r="AW135" s="21">
        <v>0</v>
      </c>
      <c r="AX135" s="21">
        <v>7</v>
      </c>
      <c r="BC135" s="21" t="s">
        <v>513</v>
      </c>
      <c r="BD135" s="21" t="s">
        <v>514</v>
      </c>
      <c r="BE135" s="21" t="s">
        <v>514</v>
      </c>
      <c r="BF135" s="21" t="s">
        <v>515</v>
      </c>
      <c r="BG135" s="21">
        <v>1</v>
      </c>
      <c r="BH135" s="21" t="s">
        <v>516</v>
      </c>
      <c r="BI135" s="21" t="s">
        <v>517</v>
      </c>
      <c r="BJ135" s="21" t="s">
        <v>516</v>
      </c>
      <c r="BK135" s="21" t="s">
        <v>516</v>
      </c>
      <c r="BM135" s="21" t="s">
        <v>1537</v>
      </c>
      <c r="BN135" s="21" t="s">
        <v>149</v>
      </c>
      <c r="BO135" s="21" t="s">
        <v>518</v>
      </c>
      <c r="BP135" s="21" t="s">
        <v>519</v>
      </c>
      <c r="BQ135" s="21" t="s">
        <v>47</v>
      </c>
      <c r="BR135" s="21" t="s">
        <v>139</v>
      </c>
      <c r="BS135" s="21" t="s">
        <v>518</v>
      </c>
      <c r="BT135" s="21" t="s">
        <v>1044</v>
      </c>
      <c r="BU135" s="21" t="s">
        <v>149</v>
      </c>
      <c r="CD135" s="21" t="s">
        <v>520</v>
      </c>
      <c r="CF135" s="21" t="s">
        <v>521</v>
      </c>
      <c r="DB135" s="21" t="s">
        <v>943</v>
      </c>
      <c r="DC135" s="21">
        <v>1</v>
      </c>
      <c r="DD135" s="21">
        <v>2</v>
      </c>
      <c r="DE135" s="22">
        <v>42744</v>
      </c>
      <c r="DF135" s="21" t="s">
        <v>2292</v>
      </c>
      <c r="DG135" s="21" t="s">
        <v>522</v>
      </c>
      <c r="DH135" s="21" t="s">
        <v>2293</v>
      </c>
      <c r="DI135" s="21" t="s">
        <v>495</v>
      </c>
      <c r="DJ135" s="21" t="s">
        <v>520</v>
      </c>
      <c r="DL135" s="21">
        <v>42752</v>
      </c>
      <c r="DM135" s="21">
        <v>42742</v>
      </c>
      <c r="DN135" s="21">
        <v>1100</v>
      </c>
      <c r="DO135" s="21">
        <v>0</v>
      </c>
      <c r="DP135" s="21">
        <v>2</v>
      </c>
      <c r="DQ135" s="21">
        <v>2</v>
      </c>
      <c r="DR135" s="21">
        <v>1</v>
      </c>
      <c r="DS135" s="21">
        <v>0</v>
      </c>
      <c r="DT135" s="21">
        <v>0</v>
      </c>
      <c r="DU135" s="21">
        <v>0</v>
      </c>
      <c r="DW135" s="21">
        <v>0</v>
      </c>
      <c r="EA135" s="21">
        <v>0</v>
      </c>
      <c r="EF135" s="25">
        <v>0</v>
      </c>
      <c r="EG135" s="25">
        <v>1</v>
      </c>
      <c r="EH135" s="25">
        <v>0</v>
      </c>
      <c r="EI135" s="25">
        <v>1</v>
      </c>
      <c r="EJ135" s="25" t="s">
        <v>92</v>
      </c>
      <c r="EK135" s="25" t="s">
        <v>150</v>
      </c>
      <c r="EL135" s="25" t="s">
        <v>140</v>
      </c>
      <c r="EM135" s="25" t="s">
        <v>276</v>
      </c>
      <c r="EN135" s="25" t="s">
        <v>23</v>
      </c>
      <c r="EO135" s="25" t="s">
        <v>23</v>
      </c>
      <c r="EP135" s="25" t="s">
        <v>62</v>
      </c>
      <c r="EQ135" s="25" t="s">
        <v>529</v>
      </c>
      <c r="ER135" s="25" t="s">
        <v>278</v>
      </c>
      <c r="ES135" s="25" t="s">
        <v>278</v>
      </c>
      <c r="ET135" s="25">
        <v>1</v>
      </c>
      <c r="EU135" s="25" t="s">
        <v>522</v>
      </c>
      <c r="EV135" s="25" t="s">
        <v>279</v>
      </c>
      <c r="EW135" s="25" t="s">
        <v>279</v>
      </c>
      <c r="EX135" s="25" t="s">
        <v>279</v>
      </c>
      <c r="EY135" s="20" t="e">
        <v>#N/A</v>
      </c>
    </row>
    <row r="136" spans="1:155">
      <c r="A136" s="21" t="s">
        <v>491</v>
      </c>
      <c r="B136" s="21" t="s">
        <v>491</v>
      </c>
      <c r="C136" s="21" t="s">
        <v>492</v>
      </c>
      <c r="D136" s="21" t="s">
        <v>493</v>
      </c>
      <c r="E136" s="21" t="s">
        <v>493</v>
      </c>
      <c r="F136" s="21" t="s">
        <v>493</v>
      </c>
      <c r="G136" s="21" t="s">
        <v>2294</v>
      </c>
      <c r="H136" s="21">
        <v>31999192515</v>
      </c>
      <c r="I136" s="21">
        <v>3133093099</v>
      </c>
      <c r="J136" s="21" t="s">
        <v>2295</v>
      </c>
      <c r="L136" s="21" t="s">
        <v>495</v>
      </c>
      <c r="M136" s="21" t="s">
        <v>2296</v>
      </c>
      <c r="N136" s="21" t="s">
        <v>2297</v>
      </c>
      <c r="O136" s="21" t="s">
        <v>100</v>
      </c>
      <c r="P136" s="21" t="s">
        <v>1187</v>
      </c>
      <c r="R136" s="21" t="s">
        <v>2298</v>
      </c>
      <c r="S136" s="21" t="s">
        <v>2197</v>
      </c>
      <c r="V136" s="21" t="s">
        <v>277</v>
      </c>
      <c r="W136" s="21" t="s">
        <v>524</v>
      </c>
      <c r="X136" s="21" t="s">
        <v>525</v>
      </c>
      <c r="Y136" s="21" t="s">
        <v>1190</v>
      </c>
      <c r="Z136" s="21">
        <v>3035508081</v>
      </c>
      <c r="AA136" s="22">
        <v>42740</v>
      </c>
      <c r="AB136" s="22">
        <v>42740</v>
      </c>
      <c r="AC136" s="21" t="s">
        <v>504</v>
      </c>
      <c r="AD136" s="21" t="s">
        <v>505</v>
      </c>
      <c r="AE136" s="21" t="s">
        <v>1156</v>
      </c>
      <c r="AF136" s="21" t="s">
        <v>2049</v>
      </c>
      <c r="AG136" s="21" t="s">
        <v>2050</v>
      </c>
      <c r="AH136" s="21" t="s">
        <v>2051</v>
      </c>
      <c r="AI136" s="21" t="s">
        <v>2299</v>
      </c>
      <c r="AJ136" s="21" t="s">
        <v>507</v>
      </c>
      <c r="AK136" s="21" t="s">
        <v>494</v>
      </c>
      <c r="AL136" s="21" t="s">
        <v>527</v>
      </c>
      <c r="AM136" s="21" t="s">
        <v>527</v>
      </c>
      <c r="AN136" s="21" t="s">
        <v>527</v>
      </c>
      <c r="AO136" s="21" t="s">
        <v>528</v>
      </c>
      <c r="AS136" s="21" t="s">
        <v>511</v>
      </c>
      <c r="AT136" s="21" t="s">
        <v>512</v>
      </c>
      <c r="AW136" s="21">
        <v>0</v>
      </c>
      <c r="AX136" s="21">
        <v>1</v>
      </c>
      <c r="BC136" s="21" t="s">
        <v>513</v>
      </c>
      <c r="BD136" s="21" t="s">
        <v>514</v>
      </c>
      <c r="BE136" s="21" t="s">
        <v>514</v>
      </c>
      <c r="BF136" s="21" t="s">
        <v>515</v>
      </c>
      <c r="BG136" s="21">
        <v>1</v>
      </c>
      <c r="BH136" s="21" t="s">
        <v>516</v>
      </c>
      <c r="BI136" s="21" t="s">
        <v>517</v>
      </c>
      <c r="BJ136" s="21" t="s">
        <v>516</v>
      </c>
      <c r="BK136" s="21" t="s">
        <v>516</v>
      </c>
      <c r="BM136" s="21" t="s">
        <v>2300</v>
      </c>
      <c r="BN136" s="21" t="s">
        <v>927</v>
      </c>
      <c r="BO136" s="21" t="s">
        <v>518</v>
      </c>
      <c r="BP136" s="21" t="s">
        <v>1044</v>
      </c>
      <c r="BQ136" s="21" t="s">
        <v>2300</v>
      </c>
      <c r="BR136" s="21" t="s">
        <v>927</v>
      </c>
      <c r="BS136" s="21" t="s">
        <v>518</v>
      </c>
      <c r="BT136" s="21" t="s">
        <v>1044</v>
      </c>
      <c r="BU136" s="21" t="s">
        <v>927</v>
      </c>
      <c r="CD136" s="21" t="s">
        <v>520</v>
      </c>
      <c r="CF136" s="21" t="s">
        <v>521</v>
      </c>
      <c r="DB136" s="21" t="s">
        <v>943</v>
      </c>
      <c r="DC136" s="21">
        <v>1</v>
      </c>
      <c r="DD136" s="21">
        <v>2</v>
      </c>
      <c r="DE136" s="22">
        <v>42744</v>
      </c>
      <c r="DF136" s="21" t="s">
        <v>2301</v>
      </c>
      <c r="DG136" s="21" t="s">
        <v>522</v>
      </c>
      <c r="DH136" s="21" t="s">
        <v>2302</v>
      </c>
      <c r="DI136" s="21" t="s">
        <v>495</v>
      </c>
      <c r="DJ136" s="21" t="s">
        <v>520</v>
      </c>
      <c r="DL136" s="21">
        <v>42752</v>
      </c>
      <c r="DM136" s="21">
        <v>42742</v>
      </c>
      <c r="DN136" s="21">
        <v>1100</v>
      </c>
      <c r="DO136" s="21">
        <v>10</v>
      </c>
      <c r="DP136" s="21">
        <v>1</v>
      </c>
      <c r="DQ136" s="21">
        <v>1</v>
      </c>
      <c r="DR136" s="21">
        <v>6</v>
      </c>
      <c r="DS136" s="21">
        <v>10</v>
      </c>
      <c r="DT136" s="21">
        <v>10</v>
      </c>
      <c r="DU136" s="21">
        <v>10</v>
      </c>
      <c r="DW136" s="21">
        <v>10</v>
      </c>
      <c r="EA136" s="21">
        <v>10</v>
      </c>
      <c r="EF136" s="25">
        <v>1</v>
      </c>
      <c r="EG136" s="25">
        <v>0</v>
      </c>
      <c r="EH136" s="25">
        <v>1</v>
      </c>
      <c r="EI136" s="25">
        <v>0</v>
      </c>
      <c r="EJ136" s="25" t="s">
        <v>92</v>
      </c>
      <c r="EK136" s="25" t="s">
        <v>276</v>
      </c>
      <c r="EL136" s="25" t="s">
        <v>276</v>
      </c>
      <c r="EM136" s="25" t="s">
        <v>276</v>
      </c>
      <c r="EN136" s="25" t="s">
        <v>276</v>
      </c>
      <c r="EO136" s="25" t="s">
        <v>276</v>
      </c>
      <c r="EP136" s="25" t="s">
        <v>276</v>
      </c>
      <c r="EQ136" s="25" t="s">
        <v>276</v>
      </c>
      <c r="ER136" s="25" t="s">
        <v>276</v>
      </c>
      <c r="ES136" s="25" t="s">
        <v>276</v>
      </c>
      <c r="ET136" s="25">
        <v>1</v>
      </c>
      <c r="EU136" s="25" t="s">
        <v>522</v>
      </c>
      <c r="EV136" s="25" t="s">
        <v>276</v>
      </c>
      <c r="EW136" s="25" t="s">
        <v>276</v>
      </c>
      <c r="EX136" s="25" t="s">
        <v>276</v>
      </c>
      <c r="EY136" s="20" t="s">
        <v>52</v>
      </c>
    </row>
    <row r="137" spans="1:155">
      <c r="A137" s="21" t="s">
        <v>491</v>
      </c>
      <c r="B137" s="21" t="s">
        <v>491</v>
      </c>
      <c r="C137" s="21" t="s">
        <v>492</v>
      </c>
      <c r="D137" s="21" t="s">
        <v>493</v>
      </c>
      <c r="E137" s="21" t="s">
        <v>493</v>
      </c>
      <c r="F137" s="21" t="s">
        <v>493</v>
      </c>
      <c r="G137" s="21" t="s">
        <v>2303</v>
      </c>
      <c r="H137" s="21">
        <v>6436131954</v>
      </c>
      <c r="I137" s="21">
        <v>6436220184</v>
      </c>
      <c r="J137" s="21" t="s">
        <v>2304</v>
      </c>
      <c r="L137" s="21" t="s">
        <v>495</v>
      </c>
      <c r="M137" s="21" t="s">
        <v>2305</v>
      </c>
      <c r="N137" s="21" t="s">
        <v>2076</v>
      </c>
      <c r="O137" s="21" t="s">
        <v>93</v>
      </c>
      <c r="P137" s="21" t="s">
        <v>539</v>
      </c>
      <c r="Q137" s="21" t="s">
        <v>1168</v>
      </c>
      <c r="R137" s="21" t="s">
        <v>2077</v>
      </c>
      <c r="S137" s="21" t="s">
        <v>1440</v>
      </c>
      <c r="V137" s="21" t="s">
        <v>277</v>
      </c>
      <c r="W137" s="21" t="s">
        <v>524</v>
      </c>
      <c r="X137" s="21" t="s">
        <v>525</v>
      </c>
      <c r="Y137" s="21" t="s">
        <v>530</v>
      </c>
      <c r="Z137" s="21">
        <v>3035476125</v>
      </c>
      <c r="AA137" s="22">
        <v>42739</v>
      </c>
      <c r="AB137" s="22">
        <v>42740</v>
      </c>
      <c r="AC137" s="21" t="s">
        <v>504</v>
      </c>
      <c r="AD137" s="21" t="s">
        <v>505</v>
      </c>
      <c r="AE137" s="21" t="s">
        <v>1156</v>
      </c>
      <c r="AF137" s="21" t="s">
        <v>2078</v>
      </c>
      <c r="AG137" s="21" t="s">
        <v>2306</v>
      </c>
      <c r="AH137" s="21" t="s">
        <v>2307</v>
      </c>
      <c r="AI137" s="21" t="s">
        <v>2308</v>
      </c>
      <c r="AJ137" s="21" t="s">
        <v>507</v>
      </c>
      <c r="AK137" s="21" t="s">
        <v>494</v>
      </c>
      <c r="AL137" s="21" t="s">
        <v>527</v>
      </c>
      <c r="AM137" s="21" t="s">
        <v>527</v>
      </c>
      <c r="AN137" s="21" t="s">
        <v>527</v>
      </c>
      <c r="AO137" s="21" t="s">
        <v>528</v>
      </c>
      <c r="AS137" s="21" t="s">
        <v>511</v>
      </c>
      <c r="AT137" s="21" t="s">
        <v>512</v>
      </c>
      <c r="AW137" s="21">
        <v>0</v>
      </c>
      <c r="AX137" s="21">
        <v>4</v>
      </c>
      <c r="BC137" s="21" t="s">
        <v>513</v>
      </c>
      <c r="BD137" s="21" t="s">
        <v>514</v>
      </c>
      <c r="BE137" s="21" t="s">
        <v>514</v>
      </c>
      <c r="BF137" s="21" t="s">
        <v>515</v>
      </c>
      <c r="BG137" s="21">
        <v>1</v>
      </c>
      <c r="BH137" s="21" t="s">
        <v>516</v>
      </c>
      <c r="BI137" s="21" t="s">
        <v>517</v>
      </c>
      <c r="BJ137" s="21" t="s">
        <v>516</v>
      </c>
      <c r="BK137" s="21" t="s">
        <v>516</v>
      </c>
      <c r="BM137" s="21" t="s">
        <v>1519</v>
      </c>
      <c r="BN137" s="21" t="s">
        <v>221</v>
      </c>
      <c r="BO137" s="21" t="s">
        <v>518</v>
      </c>
      <c r="BP137" s="21" t="s">
        <v>1044</v>
      </c>
      <c r="BQ137" s="21" t="s">
        <v>33</v>
      </c>
      <c r="BR137" s="21" t="s">
        <v>209</v>
      </c>
      <c r="BS137" s="21" t="s">
        <v>518</v>
      </c>
      <c r="BT137" s="21" t="s">
        <v>1044</v>
      </c>
      <c r="BU137" s="21" t="s">
        <v>221</v>
      </c>
      <c r="CD137" s="21" t="s">
        <v>520</v>
      </c>
      <c r="CF137" s="21" t="s">
        <v>521</v>
      </c>
      <c r="DB137" s="21" t="s">
        <v>943</v>
      </c>
      <c r="DC137" s="21">
        <v>1</v>
      </c>
      <c r="DD137" s="21">
        <v>2</v>
      </c>
      <c r="DE137" s="22">
        <v>42744</v>
      </c>
      <c r="DF137" s="21" t="s">
        <v>2309</v>
      </c>
      <c r="DG137" s="21" t="s">
        <v>522</v>
      </c>
      <c r="DH137" s="21" t="s">
        <v>2310</v>
      </c>
      <c r="DI137" s="21" t="s">
        <v>495</v>
      </c>
      <c r="DJ137" s="21" t="s">
        <v>520</v>
      </c>
      <c r="DL137" s="21">
        <v>42752</v>
      </c>
      <c r="DM137" s="21">
        <v>42742</v>
      </c>
      <c r="DN137" s="21">
        <v>1100</v>
      </c>
      <c r="DO137" s="21">
        <v>9</v>
      </c>
      <c r="DP137" s="21">
        <v>1</v>
      </c>
      <c r="DQ137" s="21">
        <v>1</v>
      </c>
      <c r="DR137" s="21">
        <v>6</v>
      </c>
      <c r="DS137" s="21">
        <v>10</v>
      </c>
      <c r="DT137" s="21">
        <v>9</v>
      </c>
      <c r="DU137" s="21">
        <v>9</v>
      </c>
      <c r="DW137" s="21">
        <v>9</v>
      </c>
      <c r="EA137" s="21">
        <v>9</v>
      </c>
      <c r="EF137" s="25">
        <v>1</v>
      </c>
      <c r="EG137" s="25">
        <v>0</v>
      </c>
      <c r="EH137" s="25">
        <v>1</v>
      </c>
      <c r="EI137" s="25">
        <v>0</v>
      </c>
      <c r="EJ137" s="25" t="s">
        <v>92</v>
      </c>
      <c r="EK137" s="25" t="s">
        <v>222</v>
      </c>
      <c r="EL137" s="25" t="s">
        <v>210</v>
      </c>
      <c r="EM137" s="25" t="s">
        <v>276</v>
      </c>
      <c r="EN137" s="25" t="s">
        <v>31</v>
      </c>
      <c r="EO137" s="25" t="s">
        <v>31</v>
      </c>
      <c r="EP137" s="25" t="s">
        <v>92</v>
      </c>
      <c r="EQ137" s="25" t="s">
        <v>529</v>
      </c>
      <c r="ER137" s="25" t="s">
        <v>278</v>
      </c>
      <c r="ES137" s="25" t="s">
        <v>278</v>
      </c>
      <c r="ET137" s="25">
        <v>1</v>
      </c>
      <c r="EU137" s="25" t="s">
        <v>522</v>
      </c>
      <c r="EV137" s="25" t="s">
        <v>279</v>
      </c>
      <c r="EW137" s="25" t="s">
        <v>279</v>
      </c>
      <c r="EX137" s="25" t="s">
        <v>279</v>
      </c>
      <c r="EY137" s="20" t="e">
        <v>#N/A</v>
      </c>
    </row>
    <row r="138" spans="1:155">
      <c r="A138" s="21" t="s">
        <v>491</v>
      </c>
      <c r="B138" s="21" t="s">
        <v>491</v>
      </c>
      <c r="C138" s="21" t="s">
        <v>492</v>
      </c>
      <c r="D138" s="21" t="s">
        <v>493</v>
      </c>
      <c r="E138" s="21" t="s">
        <v>493</v>
      </c>
      <c r="F138" s="21" t="s">
        <v>493</v>
      </c>
      <c r="G138" s="21" t="s">
        <v>2311</v>
      </c>
      <c r="H138" s="21">
        <v>31974001723</v>
      </c>
      <c r="I138" s="21" t="s">
        <v>494</v>
      </c>
      <c r="J138" s="21" t="s">
        <v>2312</v>
      </c>
      <c r="L138" s="21" t="s">
        <v>495</v>
      </c>
      <c r="M138" s="21" t="s">
        <v>2313</v>
      </c>
      <c r="N138" s="21" t="s">
        <v>496</v>
      </c>
      <c r="O138" s="21" t="s">
        <v>69</v>
      </c>
      <c r="P138" s="21" t="s">
        <v>497</v>
      </c>
      <c r="R138" s="21" t="s">
        <v>498</v>
      </c>
      <c r="S138" s="21" t="s">
        <v>499</v>
      </c>
      <c r="V138" s="21" t="s">
        <v>500</v>
      </c>
      <c r="W138" s="21" t="s">
        <v>501</v>
      </c>
      <c r="X138" s="21" t="s">
        <v>502</v>
      </c>
      <c r="Y138" s="21" t="s">
        <v>503</v>
      </c>
      <c r="Z138" s="21">
        <v>3035519653</v>
      </c>
      <c r="AA138" s="22">
        <v>42740</v>
      </c>
      <c r="AB138" s="22">
        <v>42740</v>
      </c>
      <c r="AC138" s="21" t="s">
        <v>504</v>
      </c>
      <c r="AD138" s="21" t="s">
        <v>505</v>
      </c>
      <c r="AE138" s="21" t="s">
        <v>500</v>
      </c>
      <c r="AF138" s="21" t="s">
        <v>506</v>
      </c>
      <c r="AG138" s="21" t="s">
        <v>1079</v>
      </c>
      <c r="AH138" s="21" t="s">
        <v>1080</v>
      </c>
      <c r="AI138" s="21" t="s">
        <v>2096</v>
      </c>
      <c r="AJ138" s="21" t="s">
        <v>507</v>
      </c>
      <c r="AK138" s="21" t="s">
        <v>494</v>
      </c>
      <c r="AL138" s="21" t="s">
        <v>527</v>
      </c>
      <c r="AM138" s="21" t="s">
        <v>527</v>
      </c>
      <c r="AN138" s="21" t="s">
        <v>527</v>
      </c>
      <c r="AO138" s="21" t="s">
        <v>528</v>
      </c>
      <c r="AS138" s="21" t="s">
        <v>511</v>
      </c>
      <c r="AT138" s="21" t="s">
        <v>512</v>
      </c>
      <c r="AW138" s="21">
        <v>0</v>
      </c>
      <c r="AX138" s="21">
        <v>2</v>
      </c>
      <c r="BC138" s="21" t="s">
        <v>513</v>
      </c>
      <c r="BD138" s="21" t="s">
        <v>514</v>
      </c>
      <c r="BE138" s="21" t="s">
        <v>514</v>
      </c>
      <c r="BF138" s="21" t="s">
        <v>515</v>
      </c>
      <c r="BG138" s="21">
        <v>1</v>
      </c>
      <c r="BH138" s="21" t="s">
        <v>516</v>
      </c>
      <c r="BI138" s="21" t="s">
        <v>517</v>
      </c>
      <c r="BJ138" s="21" t="s">
        <v>516</v>
      </c>
      <c r="BK138" s="21" t="s">
        <v>516</v>
      </c>
      <c r="BM138" s="21" t="s">
        <v>30</v>
      </c>
      <c r="BN138" s="21" t="s">
        <v>179</v>
      </c>
      <c r="BO138" s="21" t="s">
        <v>518</v>
      </c>
      <c r="BP138" s="21" t="s">
        <v>519</v>
      </c>
      <c r="BQ138" s="21" t="s">
        <v>30</v>
      </c>
      <c r="BR138" s="21" t="s">
        <v>179</v>
      </c>
      <c r="BS138" s="21" t="s">
        <v>518</v>
      </c>
      <c r="BT138" s="21" t="s">
        <v>519</v>
      </c>
      <c r="BU138" s="21" t="s">
        <v>179</v>
      </c>
      <c r="CD138" s="21" t="s">
        <v>520</v>
      </c>
      <c r="CF138" s="21" t="s">
        <v>521</v>
      </c>
      <c r="DB138" s="21" t="s">
        <v>943</v>
      </c>
      <c r="DC138" s="21">
        <v>1</v>
      </c>
      <c r="DD138" s="21">
        <v>2</v>
      </c>
      <c r="DE138" s="22">
        <v>42744</v>
      </c>
      <c r="DF138" s="21" t="s">
        <v>2314</v>
      </c>
      <c r="DG138" s="21" t="s">
        <v>522</v>
      </c>
      <c r="DH138" s="21" t="s">
        <v>2315</v>
      </c>
      <c r="DI138" s="21" t="s">
        <v>495</v>
      </c>
      <c r="DJ138" s="21" t="s">
        <v>520</v>
      </c>
      <c r="DL138" s="21">
        <v>42752</v>
      </c>
      <c r="DM138" s="21">
        <v>42742</v>
      </c>
      <c r="DN138" s="21">
        <v>3100</v>
      </c>
      <c r="DO138" s="21">
        <v>10</v>
      </c>
      <c r="DP138" s="21">
        <v>1</v>
      </c>
      <c r="DQ138" s="21">
        <v>1</v>
      </c>
      <c r="DR138" s="21">
        <v>7</v>
      </c>
      <c r="DS138" s="21">
        <v>10</v>
      </c>
      <c r="DT138" s="21">
        <v>10</v>
      </c>
      <c r="DU138" s="21">
        <v>10</v>
      </c>
      <c r="DW138" s="21">
        <v>10</v>
      </c>
      <c r="EA138" s="21">
        <v>10</v>
      </c>
      <c r="EB138" s="21" t="s">
        <v>2316</v>
      </c>
      <c r="EC138" s="21" t="s">
        <v>1221</v>
      </c>
      <c r="EF138" s="25">
        <v>1</v>
      </c>
      <c r="EG138" s="25">
        <v>0</v>
      </c>
      <c r="EH138" s="25">
        <v>1</v>
      </c>
      <c r="EI138" s="25">
        <v>0</v>
      </c>
      <c r="EJ138" s="25" t="s">
        <v>62</v>
      </c>
      <c r="EK138" s="25" t="s">
        <v>180</v>
      </c>
      <c r="EL138" s="25" t="s">
        <v>180</v>
      </c>
      <c r="EM138" s="25" t="s">
        <v>276</v>
      </c>
      <c r="EN138" s="25" t="s">
        <v>23</v>
      </c>
      <c r="EO138" s="25" t="s">
        <v>23</v>
      </c>
      <c r="EP138" s="25" t="s">
        <v>62</v>
      </c>
      <c r="EQ138" s="25" t="s">
        <v>62</v>
      </c>
      <c r="ER138" s="25" t="s">
        <v>278</v>
      </c>
      <c r="ES138" s="25" t="s">
        <v>278</v>
      </c>
      <c r="ET138" s="25">
        <v>1</v>
      </c>
      <c r="EU138" s="25" t="s">
        <v>522</v>
      </c>
      <c r="EV138" s="25" t="s">
        <v>180</v>
      </c>
      <c r="EW138" s="25" t="s">
        <v>23</v>
      </c>
      <c r="EX138" s="25" t="s">
        <v>278</v>
      </c>
      <c r="EY138" s="20" t="e">
        <v>#N/A</v>
      </c>
    </row>
    <row r="139" spans="1:155">
      <c r="A139" s="21" t="s">
        <v>491</v>
      </c>
      <c r="B139" s="21" t="s">
        <v>491</v>
      </c>
      <c r="C139" s="21" t="s">
        <v>492</v>
      </c>
      <c r="D139" s="21" t="s">
        <v>493</v>
      </c>
      <c r="E139" s="21" t="s">
        <v>493</v>
      </c>
      <c r="F139" s="21" t="s">
        <v>493</v>
      </c>
      <c r="G139" s="21" t="s">
        <v>2317</v>
      </c>
      <c r="H139" s="21">
        <v>2124531912</v>
      </c>
      <c r="I139" s="21" t="s">
        <v>494</v>
      </c>
      <c r="J139" s="21" t="s">
        <v>2318</v>
      </c>
      <c r="L139" s="21" t="s">
        <v>495</v>
      </c>
      <c r="M139" s="21" t="s">
        <v>2319</v>
      </c>
      <c r="N139" s="21" t="s">
        <v>2076</v>
      </c>
      <c r="O139" s="21" t="s">
        <v>93</v>
      </c>
      <c r="P139" s="21" t="s">
        <v>539</v>
      </c>
      <c r="Q139" s="21" t="s">
        <v>1168</v>
      </c>
      <c r="R139" s="21" t="s">
        <v>2077</v>
      </c>
      <c r="S139" s="21" t="s">
        <v>1440</v>
      </c>
      <c r="V139" s="21" t="s">
        <v>277</v>
      </c>
      <c r="W139" s="21" t="s">
        <v>524</v>
      </c>
      <c r="X139" s="21" t="s">
        <v>525</v>
      </c>
      <c r="Y139" s="21" t="s">
        <v>530</v>
      </c>
      <c r="Z139" s="21">
        <v>3035470531</v>
      </c>
      <c r="AA139" s="22">
        <v>42739</v>
      </c>
      <c r="AB139" s="22">
        <v>42740</v>
      </c>
      <c r="AC139" s="21" t="s">
        <v>504</v>
      </c>
      <c r="AD139" s="21" t="s">
        <v>505</v>
      </c>
      <c r="AE139" s="21" t="s">
        <v>1156</v>
      </c>
      <c r="AF139" s="21" t="s">
        <v>1304</v>
      </c>
      <c r="AG139" s="21" t="s">
        <v>2256</v>
      </c>
      <c r="AH139" s="21" t="s">
        <v>2257</v>
      </c>
      <c r="AI139" s="21" t="s">
        <v>1443</v>
      </c>
      <c r="AJ139" s="21" t="s">
        <v>507</v>
      </c>
      <c r="AK139" s="21" t="s">
        <v>494</v>
      </c>
      <c r="AL139" s="21" t="s">
        <v>527</v>
      </c>
      <c r="AM139" s="21" t="s">
        <v>527</v>
      </c>
      <c r="AN139" s="21" t="s">
        <v>527</v>
      </c>
      <c r="AO139" s="21" t="s">
        <v>528</v>
      </c>
      <c r="AS139" s="21" t="s">
        <v>511</v>
      </c>
      <c r="AT139" s="21" t="s">
        <v>512</v>
      </c>
      <c r="AW139" s="21">
        <v>0</v>
      </c>
      <c r="AX139" s="21">
        <v>3</v>
      </c>
      <c r="BC139" s="21" t="s">
        <v>513</v>
      </c>
      <c r="BD139" s="21" t="s">
        <v>514</v>
      </c>
      <c r="BE139" s="21" t="s">
        <v>514</v>
      </c>
      <c r="BF139" s="21" t="s">
        <v>515</v>
      </c>
      <c r="BG139" s="21">
        <v>1</v>
      </c>
      <c r="BH139" s="21" t="s">
        <v>516</v>
      </c>
      <c r="BI139" s="21" t="s">
        <v>517</v>
      </c>
      <c r="BJ139" s="21" t="s">
        <v>516</v>
      </c>
      <c r="BK139" s="21" t="s">
        <v>516</v>
      </c>
      <c r="BM139" s="21" t="s">
        <v>1887</v>
      </c>
      <c r="BN139" s="21" t="s">
        <v>216</v>
      </c>
      <c r="BO139" s="21" t="s">
        <v>518</v>
      </c>
      <c r="BP139" s="21" t="s">
        <v>1044</v>
      </c>
      <c r="BQ139" s="21" t="s">
        <v>33</v>
      </c>
      <c r="BR139" s="21" t="s">
        <v>209</v>
      </c>
      <c r="BS139" s="21" t="s">
        <v>518</v>
      </c>
      <c r="BT139" s="21" t="s">
        <v>1044</v>
      </c>
      <c r="BU139" s="21" t="s">
        <v>216</v>
      </c>
      <c r="CD139" s="21" t="s">
        <v>520</v>
      </c>
      <c r="CF139" s="21" t="s">
        <v>521</v>
      </c>
      <c r="DB139" s="21" t="s">
        <v>943</v>
      </c>
      <c r="DC139" s="21">
        <v>1</v>
      </c>
      <c r="DD139" s="21">
        <v>2</v>
      </c>
      <c r="DE139" s="22">
        <v>42744</v>
      </c>
      <c r="DF139" s="21" t="s">
        <v>2320</v>
      </c>
      <c r="DG139" s="21" t="s">
        <v>522</v>
      </c>
      <c r="DH139" s="21" t="s">
        <v>2321</v>
      </c>
      <c r="DI139" s="21" t="s">
        <v>495</v>
      </c>
      <c r="DJ139" s="21" t="s">
        <v>520</v>
      </c>
      <c r="DL139" s="21">
        <v>42752</v>
      </c>
      <c r="DM139" s="21">
        <v>42742</v>
      </c>
      <c r="DN139" s="21">
        <v>1100</v>
      </c>
      <c r="DO139" s="21">
        <v>10</v>
      </c>
      <c r="DP139" s="21">
        <v>1</v>
      </c>
      <c r="DQ139" s="21">
        <v>1</v>
      </c>
      <c r="DR139" s="21">
        <v>7</v>
      </c>
      <c r="DS139" s="21">
        <v>10</v>
      </c>
      <c r="DT139" s="21">
        <v>10</v>
      </c>
      <c r="DU139" s="21">
        <v>10</v>
      </c>
      <c r="DW139" s="21">
        <v>10</v>
      </c>
      <c r="EA139" s="21">
        <v>10</v>
      </c>
      <c r="EF139" s="25">
        <v>1</v>
      </c>
      <c r="EG139" s="25">
        <v>0</v>
      </c>
      <c r="EH139" s="25">
        <v>1</v>
      </c>
      <c r="EI139" s="25">
        <v>0</v>
      </c>
      <c r="EJ139" s="25" t="s">
        <v>92</v>
      </c>
      <c r="EK139" s="25" t="s">
        <v>217</v>
      </c>
      <c r="EL139" s="25" t="s">
        <v>210</v>
      </c>
      <c r="EM139" s="25" t="s">
        <v>276</v>
      </c>
      <c r="EN139" s="25" t="s">
        <v>31</v>
      </c>
      <c r="EO139" s="25" t="s">
        <v>31</v>
      </c>
      <c r="EP139" s="25" t="s">
        <v>92</v>
      </c>
      <c r="EQ139" s="25" t="s">
        <v>529</v>
      </c>
      <c r="ER139" s="25" t="s">
        <v>278</v>
      </c>
      <c r="ES139" s="25" t="s">
        <v>278</v>
      </c>
      <c r="ET139" s="25">
        <v>1</v>
      </c>
      <c r="EU139" s="25" t="s">
        <v>522</v>
      </c>
      <c r="EV139" s="25" t="s">
        <v>279</v>
      </c>
      <c r="EW139" s="25" t="s">
        <v>279</v>
      </c>
      <c r="EX139" s="25" t="s">
        <v>279</v>
      </c>
      <c r="EY139" s="20" t="e">
        <v>#N/A</v>
      </c>
    </row>
    <row r="140" spans="1:155">
      <c r="A140" s="21" t="s">
        <v>491</v>
      </c>
      <c r="B140" s="21" t="s">
        <v>491</v>
      </c>
      <c r="C140" s="21" t="s">
        <v>492</v>
      </c>
      <c r="D140" s="21" t="s">
        <v>493</v>
      </c>
      <c r="E140" s="21" t="s">
        <v>493</v>
      </c>
      <c r="F140" s="21" t="s">
        <v>493</v>
      </c>
      <c r="G140" s="21" t="s">
        <v>2322</v>
      </c>
      <c r="H140" s="21">
        <v>1430163755</v>
      </c>
      <c r="I140" s="21" t="s">
        <v>494</v>
      </c>
      <c r="J140" s="21" t="s">
        <v>2323</v>
      </c>
      <c r="L140" s="21" t="s">
        <v>495</v>
      </c>
      <c r="M140" s="21" t="s">
        <v>2324</v>
      </c>
      <c r="N140" s="21" t="s">
        <v>1088</v>
      </c>
      <c r="O140" s="21" t="s">
        <v>98</v>
      </c>
      <c r="P140" s="21" t="s">
        <v>553</v>
      </c>
      <c r="R140" s="21" t="s">
        <v>1089</v>
      </c>
      <c r="S140" s="21" t="s">
        <v>1090</v>
      </c>
      <c r="V140" s="21" t="s">
        <v>500</v>
      </c>
      <c r="W140" s="21" t="s">
        <v>501</v>
      </c>
      <c r="X140" s="21" t="s">
        <v>502</v>
      </c>
      <c r="Y140" s="21" t="s">
        <v>554</v>
      </c>
      <c r="Z140" s="21">
        <v>3035508258</v>
      </c>
      <c r="AA140" s="22">
        <v>42740</v>
      </c>
      <c r="AB140" s="22">
        <v>42740</v>
      </c>
      <c r="AC140" s="21" t="s">
        <v>504</v>
      </c>
      <c r="AD140" s="21" t="s">
        <v>505</v>
      </c>
      <c r="AE140" s="21" t="s">
        <v>1091</v>
      </c>
      <c r="AF140" s="21" t="s">
        <v>1902</v>
      </c>
      <c r="AG140" s="21" t="s">
        <v>2325</v>
      </c>
      <c r="AH140" s="21" t="s">
        <v>2326</v>
      </c>
      <c r="AI140" s="21" t="s">
        <v>2327</v>
      </c>
      <c r="AJ140" s="21" t="s">
        <v>526</v>
      </c>
      <c r="AK140" s="21" t="s">
        <v>494</v>
      </c>
      <c r="AL140" s="21" t="s">
        <v>508</v>
      </c>
      <c r="AM140" s="21" t="s">
        <v>509</v>
      </c>
      <c r="AN140" s="21" t="s">
        <v>509</v>
      </c>
      <c r="AO140" s="21" t="s">
        <v>510</v>
      </c>
      <c r="AS140" s="21" t="s">
        <v>511</v>
      </c>
      <c r="AT140" s="21" t="s">
        <v>512</v>
      </c>
      <c r="AW140" s="21">
        <v>0</v>
      </c>
      <c r="AX140" s="21">
        <v>4</v>
      </c>
      <c r="BC140" s="21" t="s">
        <v>513</v>
      </c>
      <c r="BD140" s="21" t="s">
        <v>514</v>
      </c>
      <c r="BE140" s="21" t="s">
        <v>514</v>
      </c>
      <c r="BF140" s="21" t="s">
        <v>515</v>
      </c>
      <c r="BG140" s="21">
        <v>1</v>
      </c>
      <c r="BH140" s="21" t="s">
        <v>516</v>
      </c>
      <c r="BI140" s="21" t="s">
        <v>517</v>
      </c>
      <c r="BJ140" s="21" t="s">
        <v>516</v>
      </c>
      <c r="BK140" s="21" t="s">
        <v>516</v>
      </c>
      <c r="BM140" s="21" t="s">
        <v>54</v>
      </c>
      <c r="BN140" s="21" t="s">
        <v>259</v>
      </c>
      <c r="BO140" s="21" t="s">
        <v>518</v>
      </c>
      <c r="BP140" s="21" t="s">
        <v>519</v>
      </c>
      <c r="BQ140" s="21" t="s">
        <v>54</v>
      </c>
      <c r="BR140" s="21" t="s">
        <v>259</v>
      </c>
      <c r="BS140" s="21" t="s">
        <v>518</v>
      </c>
      <c r="BT140" s="21" t="s">
        <v>519</v>
      </c>
      <c r="BU140" s="21" t="s">
        <v>259</v>
      </c>
      <c r="CD140" s="21" t="s">
        <v>520</v>
      </c>
      <c r="CF140" s="21" t="s">
        <v>521</v>
      </c>
      <c r="DB140" s="21" t="s">
        <v>943</v>
      </c>
      <c r="DC140" s="21">
        <v>1</v>
      </c>
      <c r="DD140" s="21">
        <v>2</v>
      </c>
      <c r="DE140" s="22">
        <v>42744</v>
      </c>
      <c r="DF140" s="21" t="s">
        <v>2328</v>
      </c>
      <c r="DG140" s="21" t="s">
        <v>522</v>
      </c>
      <c r="DH140" s="21" t="s">
        <v>2329</v>
      </c>
      <c r="DI140" s="21" t="s">
        <v>495</v>
      </c>
      <c r="DJ140" s="21" t="s">
        <v>520</v>
      </c>
      <c r="DL140" s="21">
        <v>42752</v>
      </c>
      <c r="DM140" s="21">
        <v>42742</v>
      </c>
      <c r="DN140" s="21">
        <v>3100</v>
      </c>
      <c r="DO140" s="21">
        <v>10</v>
      </c>
      <c r="DP140" s="21">
        <v>1</v>
      </c>
      <c r="DQ140" s="21">
        <v>1</v>
      </c>
      <c r="DR140" s="21">
        <v>7</v>
      </c>
      <c r="DS140" s="21">
        <v>10</v>
      </c>
      <c r="DT140" s="21">
        <v>10</v>
      </c>
      <c r="DU140" s="21">
        <v>10</v>
      </c>
      <c r="DW140" s="21">
        <v>10</v>
      </c>
      <c r="EA140" s="21">
        <v>10</v>
      </c>
      <c r="EF140" s="25">
        <v>1</v>
      </c>
      <c r="EG140" s="25">
        <v>0</v>
      </c>
      <c r="EH140" s="25">
        <v>1</v>
      </c>
      <c r="EI140" s="25">
        <v>0</v>
      </c>
      <c r="EJ140" s="25" t="s">
        <v>62</v>
      </c>
      <c r="EK140" s="25" t="s">
        <v>276</v>
      </c>
      <c r="EL140" s="25" t="s">
        <v>276</v>
      </c>
      <c r="EM140" s="25" t="s">
        <v>276</v>
      </c>
      <c r="EN140" s="25" t="s">
        <v>276</v>
      </c>
      <c r="EO140" s="25" t="s">
        <v>276</v>
      </c>
      <c r="EP140" s="25" t="s">
        <v>276</v>
      </c>
      <c r="EQ140" s="25" t="s">
        <v>276</v>
      </c>
      <c r="ER140" s="25" t="s">
        <v>276</v>
      </c>
      <c r="ES140" s="25" t="s">
        <v>276</v>
      </c>
      <c r="ET140" s="25">
        <v>1</v>
      </c>
      <c r="EU140" s="25" t="s">
        <v>522</v>
      </c>
      <c r="EV140" s="25" t="s">
        <v>276</v>
      </c>
      <c r="EW140" s="25" t="s">
        <v>276</v>
      </c>
      <c r="EX140" s="25" t="s">
        <v>276</v>
      </c>
      <c r="EY140" s="20" t="s">
        <v>273</v>
      </c>
    </row>
    <row r="141" spans="1:155">
      <c r="A141" s="21" t="s">
        <v>491</v>
      </c>
      <c r="B141" s="21" t="s">
        <v>491</v>
      </c>
      <c r="C141" s="21" t="s">
        <v>492</v>
      </c>
      <c r="D141" s="21" t="s">
        <v>493</v>
      </c>
      <c r="E141" s="21" t="s">
        <v>493</v>
      </c>
      <c r="F141" s="21" t="s">
        <v>493</v>
      </c>
      <c r="G141" s="21" t="s">
        <v>2330</v>
      </c>
      <c r="H141" s="21">
        <v>6335711609</v>
      </c>
      <c r="I141" s="21" t="s">
        <v>494</v>
      </c>
      <c r="J141" s="21" t="s">
        <v>2331</v>
      </c>
      <c r="L141" s="21" t="s">
        <v>495</v>
      </c>
      <c r="M141" s="21" t="s">
        <v>2332</v>
      </c>
      <c r="N141" s="21" t="s">
        <v>2333</v>
      </c>
      <c r="O141" s="21" t="s">
        <v>93</v>
      </c>
      <c r="P141" s="21" t="s">
        <v>539</v>
      </c>
      <c r="R141" s="21" t="s">
        <v>2334</v>
      </c>
      <c r="S141" s="21" t="s">
        <v>1303</v>
      </c>
      <c r="V141" s="21" t="s">
        <v>277</v>
      </c>
      <c r="W141" s="21" t="s">
        <v>524</v>
      </c>
      <c r="X141" s="21" t="s">
        <v>525</v>
      </c>
      <c r="Y141" s="21" t="s">
        <v>530</v>
      </c>
      <c r="Z141" s="21">
        <v>3035517643</v>
      </c>
      <c r="AA141" s="22">
        <v>42740</v>
      </c>
      <c r="AB141" s="22">
        <v>42740</v>
      </c>
      <c r="AC141" s="21" t="s">
        <v>504</v>
      </c>
      <c r="AD141" s="21" t="s">
        <v>505</v>
      </c>
      <c r="AE141" s="21" t="s">
        <v>1020</v>
      </c>
      <c r="AF141" s="21" t="s">
        <v>1369</v>
      </c>
      <c r="AG141" s="21" t="s">
        <v>1370</v>
      </c>
      <c r="AH141" s="21" t="s">
        <v>1371</v>
      </c>
      <c r="AI141" s="21" t="s">
        <v>2335</v>
      </c>
      <c r="AJ141" s="21" t="s">
        <v>526</v>
      </c>
      <c r="AK141" s="21" t="s">
        <v>494</v>
      </c>
      <c r="AL141" s="21" t="s">
        <v>527</v>
      </c>
      <c r="AM141" s="21" t="s">
        <v>527</v>
      </c>
      <c r="AN141" s="21" t="s">
        <v>527</v>
      </c>
      <c r="AO141" s="21" t="s">
        <v>528</v>
      </c>
      <c r="AS141" s="21" t="s">
        <v>511</v>
      </c>
      <c r="AT141" s="21" t="s">
        <v>512</v>
      </c>
      <c r="AW141" s="21">
        <v>0</v>
      </c>
      <c r="AX141" s="21">
        <v>2</v>
      </c>
      <c r="BC141" s="21" t="s">
        <v>513</v>
      </c>
      <c r="BD141" s="21" t="s">
        <v>514</v>
      </c>
      <c r="BE141" s="21" t="s">
        <v>514</v>
      </c>
      <c r="BF141" s="21" t="s">
        <v>515</v>
      </c>
      <c r="BG141" s="21">
        <v>1</v>
      </c>
      <c r="BH141" s="21" t="s">
        <v>516</v>
      </c>
      <c r="BI141" s="21" t="s">
        <v>517</v>
      </c>
      <c r="BJ141" s="21" t="s">
        <v>516</v>
      </c>
      <c r="BK141" s="21" t="s">
        <v>516</v>
      </c>
      <c r="BM141" s="21" t="s">
        <v>42</v>
      </c>
      <c r="BN141" s="21" t="s">
        <v>246</v>
      </c>
      <c r="BO141" s="21" t="s">
        <v>518</v>
      </c>
      <c r="BP141" s="21" t="s">
        <v>519</v>
      </c>
      <c r="BQ141" s="21" t="s">
        <v>42</v>
      </c>
      <c r="BR141" s="21" t="s">
        <v>246</v>
      </c>
      <c r="BS141" s="21" t="s">
        <v>518</v>
      </c>
      <c r="BT141" s="21" t="s">
        <v>519</v>
      </c>
      <c r="BU141" s="21" t="s">
        <v>246</v>
      </c>
      <c r="CD141" s="21" t="s">
        <v>520</v>
      </c>
      <c r="CF141" s="21" t="s">
        <v>521</v>
      </c>
      <c r="DB141" s="21" t="s">
        <v>943</v>
      </c>
      <c r="DC141" s="21">
        <v>1</v>
      </c>
      <c r="DD141" s="21">
        <v>2</v>
      </c>
      <c r="DE141" s="22">
        <v>42744</v>
      </c>
      <c r="DF141" s="21" t="s">
        <v>2336</v>
      </c>
      <c r="DG141" s="21" t="s">
        <v>522</v>
      </c>
      <c r="DH141" s="21" t="s">
        <v>2337</v>
      </c>
      <c r="DI141" s="21" t="s">
        <v>495</v>
      </c>
      <c r="DJ141" s="21" t="s">
        <v>520</v>
      </c>
      <c r="DL141" s="21">
        <v>42752</v>
      </c>
      <c r="DM141" s="21">
        <v>42742</v>
      </c>
      <c r="DN141" s="21">
        <v>1100</v>
      </c>
      <c r="DO141" s="21">
        <v>10</v>
      </c>
      <c r="DP141" s="21">
        <v>1</v>
      </c>
      <c r="DQ141" s="21">
        <v>1</v>
      </c>
      <c r="DR141" s="21">
        <v>6</v>
      </c>
      <c r="DS141" s="21">
        <v>10</v>
      </c>
      <c r="DT141" s="21">
        <v>10</v>
      </c>
      <c r="DU141" s="21">
        <v>10</v>
      </c>
      <c r="DW141" s="21">
        <v>10</v>
      </c>
      <c r="EA141" s="21">
        <v>9</v>
      </c>
      <c r="EB141" s="21" t="s">
        <v>2338</v>
      </c>
      <c r="EC141" s="21" t="s">
        <v>2475</v>
      </c>
      <c r="EF141" s="25">
        <v>1</v>
      </c>
      <c r="EG141" s="25">
        <v>0</v>
      </c>
      <c r="EH141" s="25">
        <v>1</v>
      </c>
      <c r="EI141" s="25">
        <v>0</v>
      </c>
      <c r="EJ141" s="25" t="s">
        <v>92</v>
      </c>
      <c r="EK141" s="25" t="s">
        <v>247</v>
      </c>
      <c r="EL141" s="25" t="s">
        <v>247</v>
      </c>
      <c r="EM141" s="25" t="s">
        <v>276</v>
      </c>
      <c r="EN141" s="25" t="s">
        <v>39</v>
      </c>
      <c r="EO141" s="25" t="s">
        <v>39</v>
      </c>
      <c r="EP141" s="25" t="s">
        <v>92</v>
      </c>
      <c r="EQ141" s="25" t="s">
        <v>92</v>
      </c>
      <c r="ER141" s="25" t="s">
        <v>278</v>
      </c>
      <c r="ES141" s="25" t="s">
        <v>278</v>
      </c>
      <c r="ET141" s="25">
        <v>1</v>
      </c>
      <c r="EU141" s="25" t="s">
        <v>522</v>
      </c>
      <c r="EV141" s="25" t="s">
        <v>247</v>
      </c>
      <c r="EW141" s="25" t="s">
        <v>39</v>
      </c>
      <c r="EX141" s="25" t="s">
        <v>278</v>
      </c>
      <c r="EY141" s="20" t="e">
        <v>#N/A</v>
      </c>
    </row>
    <row r="142" spans="1:155">
      <c r="A142" s="21" t="s">
        <v>491</v>
      </c>
      <c r="B142" s="21" t="s">
        <v>491</v>
      </c>
      <c r="C142" s="21" t="s">
        <v>492</v>
      </c>
      <c r="D142" s="21" t="s">
        <v>493</v>
      </c>
      <c r="E142" s="21" t="s">
        <v>493</v>
      </c>
      <c r="F142" s="21" t="s">
        <v>493</v>
      </c>
      <c r="G142" s="21" t="s">
        <v>2339</v>
      </c>
      <c r="H142" s="21">
        <v>3232911703</v>
      </c>
      <c r="I142" s="21">
        <v>3232911375</v>
      </c>
      <c r="J142" s="21" t="s">
        <v>2340</v>
      </c>
      <c r="L142" s="21" t="s">
        <v>495</v>
      </c>
      <c r="M142" s="21" t="s">
        <v>2341</v>
      </c>
      <c r="N142" s="21" t="s">
        <v>1450</v>
      </c>
      <c r="O142" s="21" t="s">
        <v>93</v>
      </c>
      <c r="P142" s="21" t="s">
        <v>539</v>
      </c>
      <c r="R142" s="21" t="s">
        <v>1451</v>
      </c>
      <c r="S142" s="21" t="s">
        <v>1068</v>
      </c>
      <c r="V142" s="21" t="s">
        <v>277</v>
      </c>
      <c r="W142" s="21" t="s">
        <v>524</v>
      </c>
      <c r="X142" s="21" t="s">
        <v>525</v>
      </c>
      <c r="Y142" s="21" t="s">
        <v>530</v>
      </c>
      <c r="Z142" s="21">
        <v>3035469856</v>
      </c>
      <c r="AA142" s="22">
        <v>42739</v>
      </c>
      <c r="AB142" s="22">
        <v>42740</v>
      </c>
      <c r="AC142" s="21" t="s">
        <v>504</v>
      </c>
      <c r="AD142" s="21" t="s">
        <v>505</v>
      </c>
      <c r="AE142" s="21" t="s">
        <v>1020</v>
      </c>
      <c r="AF142" s="21" t="s">
        <v>1021</v>
      </c>
      <c r="AG142" s="21" t="s">
        <v>1794</v>
      </c>
      <c r="AH142" s="21" t="s">
        <v>1795</v>
      </c>
      <c r="AI142" s="21" t="s">
        <v>2342</v>
      </c>
      <c r="AJ142" s="21" t="s">
        <v>507</v>
      </c>
      <c r="AK142" s="21" t="s">
        <v>494</v>
      </c>
      <c r="AL142" s="21" t="s">
        <v>527</v>
      </c>
      <c r="AM142" s="21" t="s">
        <v>527</v>
      </c>
      <c r="AN142" s="21" t="s">
        <v>527</v>
      </c>
      <c r="AO142" s="21" t="s">
        <v>528</v>
      </c>
      <c r="AS142" s="21" t="s">
        <v>511</v>
      </c>
      <c r="AT142" s="21" t="s">
        <v>512</v>
      </c>
      <c r="AW142" s="21">
        <v>0</v>
      </c>
      <c r="AX142" s="21">
        <v>6</v>
      </c>
      <c r="BC142" s="21" t="s">
        <v>513</v>
      </c>
      <c r="BD142" s="21" t="s">
        <v>514</v>
      </c>
      <c r="BE142" s="21" t="s">
        <v>514</v>
      </c>
      <c r="BF142" s="21" t="s">
        <v>515</v>
      </c>
      <c r="BG142" s="21">
        <v>1</v>
      </c>
      <c r="BH142" s="21" t="s">
        <v>516</v>
      </c>
      <c r="BI142" s="21" t="s">
        <v>517</v>
      </c>
      <c r="BJ142" s="21" t="s">
        <v>516</v>
      </c>
      <c r="BK142" s="21" t="s">
        <v>516</v>
      </c>
      <c r="BM142" s="21" t="s">
        <v>1423</v>
      </c>
      <c r="BN142" s="21" t="s">
        <v>227</v>
      </c>
      <c r="BO142" s="21" t="s">
        <v>518</v>
      </c>
      <c r="BP142" s="21" t="s">
        <v>1044</v>
      </c>
      <c r="BQ142" s="21" t="s">
        <v>33</v>
      </c>
      <c r="BR142" s="21" t="s">
        <v>209</v>
      </c>
      <c r="BS142" s="21" t="s">
        <v>518</v>
      </c>
      <c r="BT142" s="21" t="s">
        <v>1044</v>
      </c>
      <c r="BU142" s="21" t="s">
        <v>227</v>
      </c>
      <c r="CD142" s="21" t="s">
        <v>520</v>
      </c>
      <c r="CF142" s="21" t="s">
        <v>521</v>
      </c>
      <c r="DB142" s="21" t="s">
        <v>943</v>
      </c>
      <c r="DC142" s="21">
        <v>1</v>
      </c>
      <c r="DD142" s="21">
        <v>2</v>
      </c>
      <c r="DE142" s="22">
        <v>42744</v>
      </c>
      <c r="DF142" s="21" t="s">
        <v>2343</v>
      </c>
      <c r="DG142" s="21" t="s">
        <v>522</v>
      </c>
      <c r="DH142" s="21" t="s">
        <v>2344</v>
      </c>
      <c r="DI142" s="21" t="s">
        <v>495</v>
      </c>
      <c r="DJ142" s="21" t="s">
        <v>520</v>
      </c>
      <c r="DL142" s="21">
        <v>42752</v>
      </c>
      <c r="DM142" s="21">
        <v>42742</v>
      </c>
      <c r="DN142" s="21">
        <v>1100</v>
      </c>
      <c r="DO142" s="21">
        <v>10</v>
      </c>
      <c r="DP142" s="21">
        <v>1</v>
      </c>
      <c r="DQ142" s="21">
        <v>1</v>
      </c>
      <c r="DR142" s="21">
        <v>7</v>
      </c>
      <c r="DS142" s="21">
        <v>10</v>
      </c>
      <c r="DT142" s="21">
        <v>10</v>
      </c>
      <c r="DU142" s="21">
        <v>10</v>
      </c>
      <c r="DW142" s="21">
        <v>10</v>
      </c>
      <c r="EA142" s="21">
        <v>10</v>
      </c>
      <c r="EB142" s="21" t="s">
        <v>2345</v>
      </c>
      <c r="EC142" s="21" t="s">
        <v>1222</v>
      </c>
      <c r="EF142" s="25">
        <v>1</v>
      </c>
      <c r="EG142" s="25">
        <v>0</v>
      </c>
      <c r="EH142" s="25">
        <v>1</v>
      </c>
      <c r="EI142" s="25">
        <v>0</v>
      </c>
      <c r="EJ142" s="25" t="s">
        <v>92</v>
      </c>
      <c r="EK142" s="25" t="s">
        <v>228</v>
      </c>
      <c r="EL142" s="25" t="s">
        <v>210</v>
      </c>
      <c r="EM142" s="25" t="s">
        <v>276</v>
      </c>
      <c r="EN142" s="25" t="s">
        <v>31</v>
      </c>
      <c r="EO142" s="25" t="s">
        <v>31</v>
      </c>
      <c r="EP142" s="25" t="s">
        <v>92</v>
      </c>
      <c r="EQ142" s="25" t="s">
        <v>529</v>
      </c>
      <c r="ER142" s="25" t="s">
        <v>278</v>
      </c>
      <c r="ES142" s="25" t="s">
        <v>278</v>
      </c>
      <c r="ET142" s="25">
        <v>1</v>
      </c>
      <c r="EU142" s="25" t="s">
        <v>522</v>
      </c>
      <c r="EV142" s="25" t="s">
        <v>279</v>
      </c>
      <c r="EW142" s="25" t="s">
        <v>279</v>
      </c>
      <c r="EX142" s="25" t="s">
        <v>279</v>
      </c>
      <c r="EY142" s="20" t="e">
        <v>#N/A</v>
      </c>
    </row>
    <row r="143" spans="1:155">
      <c r="A143" s="21" t="s">
        <v>491</v>
      </c>
      <c r="B143" s="21" t="s">
        <v>491</v>
      </c>
      <c r="C143" s="21" t="s">
        <v>492</v>
      </c>
      <c r="D143" s="21" t="s">
        <v>493</v>
      </c>
      <c r="E143" s="21" t="s">
        <v>493</v>
      </c>
      <c r="F143" s="21" t="s">
        <v>493</v>
      </c>
      <c r="G143" s="21" t="s">
        <v>2346</v>
      </c>
      <c r="H143" s="21">
        <v>1121658121</v>
      </c>
      <c r="I143" s="21">
        <v>1121658222</v>
      </c>
      <c r="J143" s="21" t="s">
        <v>2347</v>
      </c>
      <c r="L143" s="21" t="s">
        <v>495</v>
      </c>
      <c r="M143" s="21" t="s">
        <v>2348</v>
      </c>
      <c r="N143" s="21" t="s">
        <v>2349</v>
      </c>
      <c r="O143" s="21" t="s">
        <v>69</v>
      </c>
      <c r="P143" s="21" t="s">
        <v>497</v>
      </c>
      <c r="R143" s="21" t="s">
        <v>2350</v>
      </c>
      <c r="S143" s="21" t="s">
        <v>2351</v>
      </c>
      <c r="V143" s="21" t="s">
        <v>500</v>
      </c>
      <c r="W143" s="21" t="s">
        <v>501</v>
      </c>
      <c r="X143" s="21" t="s">
        <v>502</v>
      </c>
      <c r="Y143" s="21" t="s">
        <v>503</v>
      </c>
      <c r="Z143" s="21">
        <v>3035507050</v>
      </c>
      <c r="AA143" s="22">
        <v>42740</v>
      </c>
      <c r="AB143" s="22">
        <v>42740</v>
      </c>
      <c r="AC143" s="21" t="s">
        <v>504</v>
      </c>
      <c r="AD143" s="21" t="s">
        <v>505</v>
      </c>
      <c r="AE143" s="21" t="s">
        <v>500</v>
      </c>
      <c r="AF143" s="21" t="s">
        <v>506</v>
      </c>
      <c r="AG143" s="21" t="s">
        <v>1148</v>
      </c>
      <c r="AH143" s="21" t="s">
        <v>1149</v>
      </c>
      <c r="AI143" s="21" t="s">
        <v>1604</v>
      </c>
      <c r="AJ143" s="21" t="s">
        <v>507</v>
      </c>
      <c r="AK143" s="21" t="s">
        <v>494</v>
      </c>
      <c r="AL143" s="21" t="s">
        <v>508</v>
      </c>
      <c r="AM143" s="21" t="s">
        <v>509</v>
      </c>
      <c r="AN143" s="21" t="s">
        <v>527</v>
      </c>
      <c r="AO143" s="21" t="s">
        <v>528</v>
      </c>
      <c r="AQ143" s="21" t="s">
        <v>1431</v>
      </c>
      <c r="AS143" s="21" t="s">
        <v>511</v>
      </c>
      <c r="AT143" s="21" t="s">
        <v>512</v>
      </c>
      <c r="AW143" s="21">
        <v>0</v>
      </c>
      <c r="AX143" s="21">
        <v>2</v>
      </c>
      <c r="BC143" s="21" t="s">
        <v>513</v>
      </c>
      <c r="BD143" s="21" t="s">
        <v>514</v>
      </c>
      <c r="BE143" s="21" t="s">
        <v>514</v>
      </c>
      <c r="BF143" s="21" t="s">
        <v>515</v>
      </c>
      <c r="BG143" s="21">
        <v>1</v>
      </c>
      <c r="BH143" s="21" t="s">
        <v>516</v>
      </c>
      <c r="BI143" s="21" t="s">
        <v>517</v>
      </c>
      <c r="BJ143" s="21" t="s">
        <v>516</v>
      </c>
      <c r="BK143" s="21" t="s">
        <v>516</v>
      </c>
      <c r="BM143" s="21" t="s">
        <v>1423</v>
      </c>
      <c r="BN143" s="21" t="s">
        <v>227</v>
      </c>
      <c r="BO143" s="21" t="s">
        <v>518</v>
      </c>
      <c r="BP143" s="21" t="s">
        <v>1044</v>
      </c>
      <c r="BQ143" s="21" t="s">
        <v>1423</v>
      </c>
      <c r="BR143" s="21" t="s">
        <v>227</v>
      </c>
      <c r="BS143" s="21" t="s">
        <v>518</v>
      </c>
      <c r="BT143" s="21" t="s">
        <v>1044</v>
      </c>
      <c r="BU143" s="21" t="s">
        <v>227</v>
      </c>
      <c r="CD143" s="21" t="s">
        <v>520</v>
      </c>
      <c r="CF143" s="21" t="s">
        <v>521</v>
      </c>
      <c r="DB143" s="21" t="s">
        <v>943</v>
      </c>
      <c r="DC143" s="21">
        <v>1</v>
      </c>
      <c r="DD143" s="21">
        <v>2</v>
      </c>
      <c r="DE143" s="22">
        <v>42744</v>
      </c>
      <c r="DF143" s="21" t="s">
        <v>2352</v>
      </c>
      <c r="DG143" s="21" t="s">
        <v>522</v>
      </c>
      <c r="DH143" s="21" t="s">
        <v>2353</v>
      </c>
      <c r="DI143" s="21" t="s">
        <v>495</v>
      </c>
      <c r="DJ143" s="21" t="s">
        <v>520</v>
      </c>
      <c r="DL143" s="21">
        <v>42752</v>
      </c>
      <c r="DM143" s="21">
        <v>42742</v>
      </c>
      <c r="DN143" s="21">
        <v>3100</v>
      </c>
      <c r="DO143" s="21">
        <v>10</v>
      </c>
      <c r="DP143" s="21">
        <v>1</v>
      </c>
      <c r="DQ143" s="21">
        <v>1</v>
      </c>
      <c r="DR143" s="21">
        <v>7</v>
      </c>
      <c r="DS143" s="21">
        <v>10</v>
      </c>
      <c r="DT143" s="21">
        <v>10</v>
      </c>
      <c r="DU143" s="21">
        <v>10</v>
      </c>
      <c r="DW143" s="21">
        <v>10</v>
      </c>
      <c r="EA143" s="21">
        <v>10</v>
      </c>
      <c r="EF143" s="25">
        <v>1</v>
      </c>
      <c r="EG143" s="25">
        <v>0</v>
      </c>
      <c r="EH143" s="25">
        <v>1</v>
      </c>
      <c r="EI143" s="25">
        <v>0</v>
      </c>
      <c r="EJ143" s="25" t="s">
        <v>62</v>
      </c>
      <c r="EK143" s="25" t="s">
        <v>228</v>
      </c>
      <c r="EL143" s="25" t="s">
        <v>228</v>
      </c>
      <c r="EM143" s="25" t="s">
        <v>276</v>
      </c>
      <c r="EN143" s="25" t="s">
        <v>31</v>
      </c>
      <c r="EO143" s="25" t="s">
        <v>31</v>
      </c>
      <c r="EP143" s="25" t="s">
        <v>92</v>
      </c>
      <c r="EQ143" s="25" t="s">
        <v>92</v>
      </c>
      <c r="ER143" s="25" t="s">
        <v>278</v>
      </c>
      <c r="ES143" s="25" t="s">
        <v>278</v>
      </c>
      <c r="ET143" s="25">
        <v>1</v>
      </c>
      <c r="EU143" s="25" t="s">
        <v>522</v>
      </c>
      <c r="EV143" s="25" t="s">
        <v>228</v>
      </c>
      <c r="EW143" s="25" t="s">
        <v>31</v>
      </c>
      <c r="EX143" s="25" t="s">
        <v>278</v>
      </c>
      <c r="EY143" s="20" t="e">
        <v>#N/A</v>
      </c>
    </row>
    <row r="144" spans="1:155">
      <c r="A144" s="21" t="s">
        <v>491</v>
      </c>
      <c r="B144" s="21" t="s">
        <v>491</v>
      </c>
      <c r="C144" s="21" t="s">
        <v>492</v>
      </c>
      <c r="D144" s="21" t="s">
        <v>493</v>
      </c>
      <c r="E144" s="21" t="s">
        <v>493</v>
      </c>
      <c r="F144" s="21" t="s">
        <v>493</v>
      </c>
      <c r="G144" s="21" t="s">
        <v>2354</v>
      </c>
      <c r="H144" s="21">
        <v>1836424757</v>
      </c>
      <c r="I144" s="21" t="s">
        <v>494</v>
      </c>
      <c r="J144" s="21" t="s">
        <v>2355</v>
      </c>
      <c r="L144" s="21" t="s">
        <v>495</v>
      </c>
      <c r="M144" s="21" t="s">
        <v>2356</v>
      </c>
      <c r="N144" s="21" t="s">
        <v>1066</v>
      </c>
      <c r="O144" s="21" t="s">
        <v>93</v>
      </c>
      <c r="P144" s="21" t="s">
        <v>539</v>
      </c>
      <c r="R144" s="21" t="s">
        <v>1067</v>
      </c>
      <c r="S144" s="21" t="s">
        <v>1068</v>
      </c>
      <c r="V144" s="21" t="s">
        <v>277</v>
      </c>
      <c r="W144" s="21" t="s">
        <v>524</v>
      </c>
      <c r="X144" s="21" t="s">
        <v>525</v>
      </c>
      <c r="Y144" s="21" t="s">
        <v>530</v>
      </c>
      <c r="Z144" s="21">
        <v>3035546472</v>
      </c>
      <c r="AA144" s="22">
        <v>42741</v>
      </c>
      <c r="AB144" s="22">
        <v>42741</v>
      </c>
      <c r="AC144" s="21" t="s">
        <v>504</v>
      </c>
      <c r="AD144" s="21" t="s">
        <v>505</v>
      </c>
      <c r="AE144" s="21" t="s">
        <v>1054</v>
      </c>
      <c r="AF144" s="21" t="s">
        <v>1105</v>
      </c>
      <c r="AG144" s="21" t="s">
        <v>1415</v>
      </c>
      <c r="AH144" s="21" t="s">
        <v>1416</v>
      </c>
      <c r="AI144" s="21" t="s">
        <v>1233</v>
      </c>
      <c r="AJ144" s="21" t="s">
        <v>526</v>
      </c>
      <c r="AK144" s="21" t="s">
        <v>494</v>
      </c>
      <c r="AL144" s="21" t="s">
        <v>527</v>
      </c>
      <c r="AM144" s="21" t="s">
        <v>527</v>
      </c>
      <c r="AN144" s="21" t="s">
        <v>527</v>
      </c>
      <c r="AO144" s="21" t="s">
        <v>528</v>
      </c>
      <c r="AS144" s="21" t="s">
        <v>511</v>
      </c>
      <c r="AT144" s="21" t="s">
        <v>512</v>
      </c>
      <c r="AW144" s="21">
        <v>0</v>
      </c>
      <c r="AX144" s="21">
        <v>2</v>
      </c>
      <c r="BC144" s="21" t="s">
        <v>513</v>
      </c>
      <c r="BD144" s="21" t="s">
        <v>514</v>
      </c>
      <c r="BE144" s="21" t="s">
        <v>514</v>
      </c>
      <c r="BF144" s="21" t="s">
        <v>515</v>
      </c>
      <c r="BG144" s="21">
        <v>1</v>
      </c>
      <c r="BH144" s="21" t="s">
        <v>516</v>
      </c>
      <c r="BI144" s="21" t="s">
        <v>517</v>
      </c>
      <c r="BJ144" s="21" t="s">
        <v>516</v>
      </c>
      <c r="BK144" s="21" t="s">
        <v>516</v>
      </c>
      <c r="BM144" s="21" t="s">
        <v>1110</v>
      </c>
      <c r="BN144" s="21" t="s">
        <v>200</v>
      </c>
      <c r="BO144" s="21" t="s">
        <v>518</v>
      </c>
      <c r="BP144" s="21" t="s">
        <v>1044</v>
      </c>
      <c r="BQ144" s="21" t="s">
        <v>1110</v>
      </c>
      <c r="BR144" s="21" t="s">
        <v>200</v>
      </c>
      <c r="BS144" s="21" t="s">
        <v>518</v>
      </c>
      <c r="BT144" s="21" t="s">
        <v>1044</v>
      </c>
      <c r="BU144" s="21" t="s">
        <v>200</v>
      </c>
      <c r="CD144" s="21" t="s">
        <v>520</v>
      </c>
      <c r="CF144" s="21" t="s">
        <v>521</v>
      </c>
      <c r="DB144" s="21" t="s">
        <v>943</v>
      </c>
      <c r="DC144" s="21">
        <v>1</v>
      </c>
      <c r="DD144" s="21">
        <v>2</v>
      </c>
      <c r="DE144" s="22">
        <v>42744</v>
      </c>
      <c r="DF144" s="21" t="s">
        <v>2357</v>
      </c>
      <c r="DG144" s="21" t="s">
        <v>522</v>
      </c>
      <c r="DH144" s="21" t="s">
        <v>2358</v>
      </c>
      <c r="DI144" s="21" t="s">
        <v>495</v>
      </c>
      <c r="DJ144" s="21" t="s">
        <v>520</v>
      </c>
      <c r="DL144" s="21">
        <v>42753</v>
      </c>
      <c r="DM144" s="21">
        <v>42743</v>
      </c>
      <c r="DN144" s="21">
        <v>1100</v>
      </c>
      <c r="DO144" s="21">
        <v>9</v>
      </c>
      <c r="DP144" s="21">
        <v>1</v>
      </c>
      <c r="DQ144" s="21">
        <v>1</v>
      </c>
      <c r="DR144" s="21">
        <v>6</v>
      </c>
      <c r="DS144" s="21">
        <v>9</v>
      </c>
      <c r="DT144" s="21">
        <v>9</v>
      </c>
      <c r="DU144" s="21">
        <v>9</v>
      </c>
      <c r="DW144" s="21">
        <v>9</v>
      </c>
      <c r="EA144" s="21">
        <v>9</v>
      </c>
      <c r="EF144" s="25">
        <v>1</v>
      </c>
      <c r="EG144" s="25">
        <v>0</v>
      </c>
      <c r="EH144" s="25">
        <v>1</v>
      </c>
      <c r="EI144" s="25">
        <v>0</v>
      </c>
      <c r="EJ144" s="25" t="s">
        <v>92</v>
      </c>
      <c r="EK144" s="25" t="s">
        <v>201</v>
      </c>
      <c r="EL144" s="25" t="s">
        <v>201</v>
      </c>
      <c r="EM144" s="25" t="s">
        <v>276</v>
      </c>
      <c r="EN144" s="25" t="s">
        <v>31</v>
      </c>
      <c r="EO144" s="25" t="s">
        <v>31</v>
      </c>
      <c r="EP144" s="25" t="s">
        <v>92</v>
      </c>
      <c r="EQ144" s="25" t="s">
        <v>92</v>
      </c>
      <c r="ER144" s="25" t="s">
        <v>278</v>
      </c>
      <c r="ES144" s="25" t="s">
        <v>278</v>
      </c>
      <c r="ET144" s="25">
        <v>1</v>
      </c>
      <c r="EU144" s="25" t="s">
        <v>522</v>
      </c>
      <c r="EV144" s="25" t="s">
        <v>201</v>
      </c>
      <c r="EW144" s="25" t="s">
        <v>31</v>
      </c>
      <c r="EX144" s="25" t="s">
        <v>278</v>
      </c>
      <c r="EY144" s="20" t="e">
        <v>#N/A</v>
      </c>
    </row>
    <row r="145" spans="1:155">
      <c r="A145" s="21" t="s">
        <v>491</v>
      </c>
      <c r="B145" s="21" t="s">
        <v>491</v>
      </c>
      <c r="C145" s="21" t="s">
        <v>492</v>
      </c>
      <c r="D145" s="21" t="s">
        <v>493</v>
      </c>
      <c r="E145" s="21" t="s">
        <v>493</v>
      </c>
      <c r="F145" s="21" t="s">
        <v>493</v>
      </c>
      <c r="G145" s="21" t="s">
        <v>2359</v>
      </c>
      <c r="H145" s="21" t="s">
        <v>2360</v>
      </c>
      <c r="I145" s="21" t="s">
        <v>494</v>
      </c>
      <c r="J145" s="21" t="s">
        <v>2361</v>
      </c>
      <c r="L145" s="21" t="s">
        <v>495</v>
      </c>
      <c r="M145" s="21" t="s">
        <v>2362</v>
      </c>
      <c r="N145" s="21" t="s">
        <v>496</v>
      </c>
      <c r="O145" s="21" t="s">
        <v>69</v>
      </c>
      <c r="P145" s="21" t="s">
        <v>497</v>
      </c>
      <c r="Q145" s="21" t="s">
        <v>1168</v>
      </c>
      <c r="R145" s="21" t="s">
        <v>498</v>
      </c>
      <c r="S145" s="21" t="s">
        <v>499</v>
      </c>
      <c r="V145" s="21" t="s">
        <v>500</v>
      </c>
      <c r="W145" s="21" t="s">
        <v>501</v>
      </c>
      <c r="X145" s="21" t="s">
        <v>502</v>
      </c>
      <c r="Y145" s="21" t="s">
        <v>503</v>
      </c>
      <c r="Z145" s="21">
        <v>3035554876</v>
      </c>
      <c r="AA145" s="22">
        <v>42741</v>
      </c>
      <c r="AB145" s="22">
        <v>42741</v>
      </c>
      <c r="AC145" s="21" t="s">
        <v>504</v>
      </c>
      <c r="AD145" s="21" t="s">
        <v>505</v>
      </c>
      <c r="AE145" s="21" t="s">
        <v>500</v>
      </c>
      <c r="AF145" s="21" t="s">
        <v>506</v>
      </c>
      <c r="AG145" s="21" t="s">
        <v>1685</v>
      </c>
      <c r="AH145" s="21" t="s">
        <v>1686</v>
      </c>
      <c r="AI145" s="21" t="s">
        <v>2022</v>
      </c>
      <c r="AJ145" s="21" t="s">
        <v>526</v>
      </c>
      <c r="AK145" s="21" t="s">
        <v>494</v>
      </c>
      <c r="AL145" s="21" t="s">
        <v>527</v>
      </c>
      <c r="AM145" s="21" t="s">
        <v>527</v>
      </c>
      <c r="AN145" s="21" t="s">
        <v>527</v>
      </c>
      <c r="AO145" s="21" t="s">
        <v>528</v>
      </c>
      <c r="AS145" s="21" t="s">
        <v>511</v>
      </c>
      <c r="AT145" s="21" t="s">
        <v>512</v>
      </c>
      <c r="AW145" s="21">
        <v>0</v>
      </c>
      <c r="AX145" s="21">
        <v>2</v>
      </c>
      <c r="BC145" s="21" t="s">
        <v>513</v>
      </c>
      <c r="BD145" s="21" t="s">
        <v>514</v>
      </c>
      <c r="BE145" s="21" t="s">
        <v>514</v>
      </c>
      <c r="BF145" s="21" t="s">
        <v>515</v>
      </c>
      <c r="BG145" s="21">
        <v>1</v>
      </c>
      <c r="BH145" s="21" t="s">
        <v>516</v>
      </c>
      <c r="BI145" s="21" t="s">
        <v>517</v>
      </c>
      <c r="BJ145" s="21" t="s">
        <v>516</v>
      </c>
      <c r="BK145" s="21" t="s">
        <v>516</v>
      </c>
      <c r="BM145" s="21" t="s">
        <v>583</v>
      </c>
      <c r="BN145" s="21" t="s">
        <v>154</v>
      </c>
      <c r="BO145" s="21" t="s">
        <v>518</v>
      </c>
      <c r="BP145" s="21" t="s">
        <v>519</v>
      </c>
      <c r="BQ145" s="21" t="s">
        <v>583</v>
      </c>
      <c r="BR145" s="21" t="s">
        <v>154</v>
      </c>
      <c r="BS145" s="21" t="s">
        <v>518</v>
      </c>
      <c r="BT145" s="21" t="s">
        <v>519</v>
      </c>
      <c r="BU145" s="21" t="s">
        <v>154</v>
      </c>
      <c r="CD145" s="21" t="s">
        <v>520</v>
      </c>
      <c r="CF145" s="21" t="s">
        <v>521</v>
      </c>
      <c r="DB145" s="21" t="s">
        <v>943</v>
      </c>
      <c r="DC145" s="21">
        <v>1</v>
      </c>
      <c r="DD145" s="21">
        <v>2</v>
      </c>
      <c r="DE145" s="22">
        <v>42744</v>
      </c>
      <c r="DF145" s="21" t="s">
        <v>1605</v>
      </c>
      <c r="DG145" s="21" t="s">
        <v>522</v>
      </c>
      <c r="DH145" s="21" t="s">
        <v>2363</v>
      </c>
      <c r="DI145" s="21" t="s">
        <v>495</v>
      </c>
      <c r="DJ145" s="21" t="s">
        <v>520</v>
      </c>
      <c r="DL145" s="21">
        <v>42753</v>
      </c>
      <c r="DM145" s="21">
        <v>42743</v>
      </c>
      <c r="DN145" s="21">
        <v>3100</v>
      </c>
      <c r="DO145" s="21">
        <v>10</v>
      </c>
      <c r="DP145" s="21">
        <v>1</v>
      </c>
      <c r="DQ145" s="21">
        <v>1</v>
      </c>
      <c r="DR145" s="21">
        <v>7</v>
      </c>
      <c r="DS145" s="21">
        <v>10</v>
      </c>
      <c r="DT145" s="21">
        <v>10</v>
      </c>
      <c r="DU145" s="21">
        <v>10</v>
      </c>
      <c r="DW145" s="21">
        <v>10</v>
      </c>
      <c r="EA145" s="21">
        <v>10</v>
      </c>
      <c r="EB145" s="21" t="s">
        <v>2364</v>
      </c>
      <c r="EC145" s="21" t="s">
        <v>1221</v>
      </c>
      <c r="EF145" s="25">
        <v>1</v>
      </c>
      <c r="EG145" s="25">
        <v>0</v>
      </c>
      <c r="EH145" s="25">
        <v>1</v>
      </c>
      <c r="EI145" s="25">
        <v>0</v>
      </c>
      <c r="EJ145" s="25" t="s">
        <v>62</v>
      </c>
      <c r="EK145" s="25" t="s">
        <v>155</v>
      </c>
      <c r="EL145" s="25" t="s">
        <v>155</v>
      </c>
      <c r="EM145" s="25" t="s">
        <v>276</v>
      </c>
      <c r="EN145" s="25" t="s">
        <v>23</v>
      </c>
      <c r="EO145" s="25" t="s">
        <v>23</v>
      </c>
      <c r="EP145" s="25" t="s">
        <v>62</v>
      </c>
      <c r="EQ145" s="25" t="s">
        <v>62</v>
      </c>
      <c r="ER145" s="25" t="s">
        <v>278</v>
      </c>
      <c r="ES145" s="25" t="s">
        <v>278</v>
      </c>
      <c r="ET145" s="25">
        <v>1</v>
      </c>
      <c r="EU145" s="25" t="s">
        <v>522</v>
      </c>
      <c r="EV145" s="25" t="s">
        <v>155</v>
      </c>
      <c r="EW145" s="25" t="s">
        <v>23</v>
      </c>
      <c r="EX145" s="25" t="s">
        <v>278</v>
      </c>
      <c r="EY145" s="20" t="e">
        <v>#N/A</v>
      </c>
    </row>
    <row r="146" spans="1:155">
      <c r="A146" s="21" t="s">
        <v>491</v>
      </c>
      <c r="B146" s="21" t="s">
        <v>491</v>
      </c>
      <c r="C146" s="21" t="s">
        <v>492</v>
      </c>
      <c r="D146" s="21" t="s">
        <v>493</v>
      </c>
      <c r="E146" s="21" t="s">
        <v>493</v>
      </c>
      <c r="F146" s="21" t="s">
        <v>493</v>
      </c>
      <c r="G146" s="21" t="s">
        <v>2365</v>
      </c>
      <c r="H146" s="21">
        <v>91982910852</v>
      </c>
      <c r="I146" s="21" t="s">
        <v>494</v>
      </c>
      <c r="J146" s="21" t="s">
        <v>2366</v>
      </c>
      <c r="L146" s="21" t="s">
        <v>495</v>
      </c>
      <c r="M146" s="21" t="s">
        <v>2367</v>
      </c>
      <c r="N146" s="21" t="s">
        <v>1088</v>
      </c>
      <c r="O146" s="21" t="s">
        <v>98</v>
      </c>
      <c r="P146" s="21" t="s">
        <v>553</v>
      </c>
      <c r="R146" s="21" t="s">
        <v>1089</v>
      </c>
      <c r="S146" s="21" t="s">
        <v>1090</v>
      </c>
      <c r="V146" s="21" t="s">
        <v>500</v>
      </c>
      <c r="W146" s="21" t="s">
        <v>501</v>
      </c>
      <c r="X146" s="21" t="s">
        <v>502</v>
      </c>
      <c r="Y146" s="21" t="s">
        <v>554</v>
      </c>
      <c r="Z146" s="21">
        <v>3035475580</v>
      </c>
      <c r="AA146" s="22">
        <v>42739</v>
      </c>
      <c r="AB146" s="22">
        <v>42741</v>
      </c>
      <c r="AC146" s="21" t="s">
        <v>504</v>
      </c>
      <c r="AD146" s="21" t="s">
        <v>505</v>
      </c>
      <c r="AE146" s="21" t="s">
        <v>1020</v>
      </c>
      <c r="AF146" s="21" t="s">
        <v>1021</v>
      </c>
      <c r="AG146" s="21" t="s">
        <v>1340</v>
      </c>
      <c r="AH146" s="21" t="s">
        <v>1341</v>
      </c>
      <c r="AI146" s="21" t="s">
        <v>2368</v>
      </c>
      <c r="AJ146" s="21" t="s">
        <v>507</v>
      </c>
      <c r="AK146" s="21" t="s">
        <v>494</v>
      </c>
      <c r="AL146" s="21" t="s">
        <v>527</v>
      </c>
      <c r="AM146" s="21" t="s">
        <v>527</v>
      </c>
      <c r="AN146" s="21" t="s">
        <v>527</v>
      </c>
      <c r="AO146" s="21" t="s">
        <v>528</v>
      </c>
      <c r="AS146" s="21" t="s">
        <v>511</v>
      </c>
      <c r="AT146" s="21" t="s">
        <v>512</v>
      </c>
      <c r="AW146" s="21">
        <v>0</v>
      </c>
      <c r="AX146" s="21">
        <v>0</v>
      </c>
      <c r="BC146" s="21" t="s">
        <v>513</v>
      </c>
      <c r="BD146" s="21" t="s">
        <v>514</v>
      </c>
      <c r="BE146" s="21" t="s">
        <v>514</v>
      </c>
      <c r="BF146" s="21" t="s">
        <v>1351</v>
      </c>
      <c r="BG146" s="21">
        <v>1</v>
      </c>
      <c r="BH146" s="21" t="s">
        <v>516</v>
      </c>
      <c r="BI146" s="21" t="s">
        <v>517</v>
      </c>
      <c r="BJ146" s="21" t="s">
        <v>516</v>
      </c>
      <c r="BK146" s="21" t="s">
        <v>516</v>
      </c>
      <c r="BM146" s="21" t="s">
        <v>281</v>
      </c>
      <c r="BN146" s="21" t="s">
        <v>142</v>
      </c>
      <c r="BO146" s="21" t="s">
        <v>518</v>
      </c>
      <c r="BP146" s="21" t="s">
        <v>519</v>
      </c>
      <c r="BQ146" s="21" t="s">
        <v>281</v>
      </c>
      <c r="BR146" s="21" t="s">
        <v>142</v>
      </c>
      <c r="BS146" s="21" t="s">
        <v>518</v>
      </c>
      <c r="BT146" s="21" t="s">
        <v>519</v>
      </c>
      <c r="BU146" s="21" t="s">
        <v>142</v>
      </c>
      <c r="CD146" s="21" t="s">
        <v>520</v>
      </c>
      <c r="CF146" s="21" t="s">
        <v>521</v>
      </c>
      <c r="DB146" s="21" t="s">
        <v>943</v>
      </c>
      <c r="DC146" s="21">
        <v>1</v>
      </c>
      <c r="DD146" s="21">
        <v>2</v>
      </c>
      <c r="DE146" s="22">
        <v>42744</v>
      </c>
      <c r="DF146" s="21" t="s">
        <v>2369</v>
      </c>
      <c r="DG146" s="21" t="s">
        <v>522</v>
      </c>
      <c r="DH146" s="21" t="s">
        <v>2370</v>
      </c>
      <c r="DI146" s="21" t="s">
        <v>495</v>
      </c>
      <c r="DJ146" s="21" t="s">
        <v>520</v>
      </c>
      <c r="DL146" s="21">
        <v>42753</v>
      </c>
      <c r="DM146" s="21">
        <v>42743</v>
      </c>
      <c r="DN146" s="21">
        <v>3100</v>
      </c>
      <c r="DO146" s="21">
        <v>10</v>
      </c>
      <c r="DP146" s="21">
        <v>2</v>
      </c>
      <c r="DQ146" s="21">
        <v>2</v>
      </c>
      <c r="DR146" s="21">
        <v>3</v>
      </c>
      <c r="DS146" s="21">
        <v>8</v>
      </c>
      <c r="DT146" s="21">
        <v>8</v>
      </c>
      <c r="DU146" s="21">
        <v>6</v>
      </c>
      <c r="DW146" s="21">
        <v>99</v>
      </c>
      <c r="EA146" s="21">
        <v>10</v>
      </c>
      <c r="EF146" s="25">
        <v>1</v>
      </c>
      <c r="EG146" s="25">
        <v>0</v>
      </c>
      <c r="EH146" s="25">
        <v>1</v>
      </c>
      <c r="EI146" s="25">
        <v>0</v>
      </c>
      <c r="EJ146" s="25" t="s">
        <v>62</v>
      </c>
      <c r="EK146" s="25" t="s">
        <v>143</v>
      </c>
      <c r="EL146" s="25" t="s">
        <v>143</v>
      </c>
      <c r="EM146" s="25" t="s">
        <v>276</v>
      </c>
      <c r="EN146" s="25" t="s">
        <v>51</v>
      </c>
      <c r="EO146" s="25" t="s">
        <v>51</v>
      </c>
      <c r="EP146" s="25" t="s">
        <v>1355</v>
      </c>
      <c r="EQ146" s="25" t="s">
        <v>1355</v>
      </c>
      <c r="ER146" s="25" t="s">
        <v>278</v>
      </c>
      <c r="ES146" s="25" t="s">
        <v>278</v>
      </c>
      <c r="ET146" s="25">
        <v>1</v>
      </c>
      <c r="EU146" s="25" t="s">
        <v>522</v>
      </c>
      <c r="EV146" s="25" t="s">
        <v>143</v>
      </c>
      <c r="EW146" s="25" t="s">
        <v>51</v>
      </c>
      <c r="EX146" s="25" t="s">
        <v>278</v>
      </c>
      <c r="EY146" s="20" t="e">
        <v>#N/A</v>
      </c>
    </row>
    <row r="147" spans="1:155">
      <c r="A147" s="21" t="s">
        <v>491</v>
      </c>
      <c r="B147" s="21" t="s">
        <v>491</v>
      </c>
      <c r="C147" s="21" t="s">
        <v>492</v>
      </c>
      <c r="D147" s="21" t="s">
        <v>493</v>
      </c>
      <c r="E147" s="21" t="s">
        <v>493</v>
      </c>
      <c r="F147" s="21" t="s">
        <v>493</v>
      </c>
      <c r="G147" s="21" t="s">
        <v>2371</v>
      </c>
      <c r="H147" s="21">
        <v>4936473675</v>
      </c>
      <c r="I147" s="21" t="s">
        <v>494</v>
      </c>
      <c r="J147" s="21" t="s">
        <v>2372</v>
      </c>
      <c r="L147" s="21" t="s">
        <v>495</v>
      </c>
      <c r="M147" s="21" t="s">
        <v>2373</v>
      </c>
      <c r="N147" s="21" t="s">
        <v>2374</v>
      </c>
      <c r="O147" s="21" t="s">
        <v>98</v>
      </c>
      <c r="P147" s="21" t="s">
        <v>553</v>
      </c>
      <c r="R147" s="21" t="s">
        <v>2375</v>
      </c>
      <c r="S147" s="21" t="s">
        <v>2376</v>
      </c>
      <c r="V147" s="21" t="s">
        <v>500</v>
      </c>
      <c r="W147" s="21" t="s">
        <v>501</v>
      </c>
      <c r="X147" s="21" t="s">
        <v>502</v>
      </c>
      <c r="Y147" s="21" t="s">
        <v>554</v>
      </c>
      <c r="Z147" s="21">
        <v>3035554086</v>
      </c>
      <c r="AA147" s="22">
        <v>42741</v>
      </c>
      <c r="AB147" s="22">
        <v>42741</v>
      </c>
      <c r="AC147" s="21" t="s">
        <v>504</v>
      </c>
      <c r="AD147" s="21" t="s">
        <v>505</v>
      </c>
      <c r="AE147" s="21" t="s">
        <v>500</v>
      </c>
      <c r="AF147" s="21" t="s">
        <v>549</v>
      </c>
      <c r="AG147" s="21" t="s">
        <v>587</v>
      </c>
      <c r="AH147" s="21" t="s">
        <v>579</v>
      </c>
      <c r="AI147" s="21" t="s">
        <v>2377</v>
      </c>
      <c r="AJ147" s="21" t="s">
        <v>526</v>
      </c>
      <c r="AK147" s="21" t="s">
        <v>494</v>
      </c>
      <c r="AL147" s="21" t="s">
        <v>527</v>
      </c>
      <c r="AM147" s="21" t="s">
        <v>527</v>
      </c>
      <c r="AN147" s="21" t="s">
        <v>527</v>
      </c>
      <c r="AO147" s="21" t="s">
        <v>528</v>
      </c>
      <c r="AS147" s="21" t="s">
        <v>511</v>
      </c>
      <c r="AT147" s="21" t="s">
        <v>512</v>
      </c>
      <c r="AW147" s="21">
        <v>0</v>
      </c>
      <c r="AX147" s="21">
        <v>2</v>
      </c>
      <c r="BC147" s="21" t="s">
        <v>513</v>
      </c>
      <c r="BD147" s="21" t="s">
        <v>514</v>
      </c>
      <c r="BE147" s="21" t="s">
        <v>514</v>
      </c>
      <c r="BF147" s="21" t="s">
        <v>515</v>
      </c>
      <c r="BG147" s="21">
        <v>1</v>
      </c>
      <c r="BH147" s="21" t="s">
        <v>516</v>
      </c>
      <c r="BI147" s="21" t="s">
        <v>517</v>
      </c>
      <c r="BJ147" s="21" t="s">
        <v>516</v>
      </c>
      <c r="BK147" s="21" t="s">
        <v>516</v>
      </c>
      <c r="BM147" s="21" t="s">
        <v>846</v>
      </c>
      <c r="BN147" s="21" t="s">
        <v>854</v>
      </c>
      <c r="BO147" s="21" t="s">
        <v>518</v>
      </c>
      <c r="BP147" s="21" t="s">
        <v>519</v>
      </c>
      <c r="BQ147" s="21" t="s">
        <v>846</v>
      </c>
      <c r="BR147" s="21" t="s">
        <v>854</v>
      </c>
      <c r="BS147" s="21" t="s">
        <v>518</v>
      </c>
      <c r="BT147" s="21" t="s">
        <v>519</v>
      </c>
      <c r="BU147" s="21" t="s">
        <v>854</v>
      </c>
      <c r="CD147" s="21" t="s">
        <v>520</v>
      </c>
      <c r="CF147" s="21" t="s">
        <v>521</v>
      </c>
      <c r="DB147" s="21" t="s">
        <v>943</v>
      </c>
      <c r="DC147" s="21">
        <v>1</v>
      </c>
      <c r="DD147" s="21">
        <v>2</v>
      </c>
      <c r="DE147" s="22">
        <v>42744</v>
      </c>
      <c r="DF147" s="21" t="s">
        <v>2378</v>
      </c>
      <c r="DG147" s="21" t="s">
        <v>522</v>
      </c>
      <c r="DH147" s="21" t="s">
        <v>2379</v>
      </c>
      <c r="DI147" s="21" t="s">
        <v>495</v>
      </c>
      <c r="DJ147" s="21" t="s">
        <v>520</v>
      </c>
      <c r="DL147" s="21">
        <v>42753</v>
      </c>
      <c r="DM147" s="21">
        <v>42743</v>
      </c>
      <c r="DN147" s="21">
        <v>3100</v>
      </c>
      <c r="DO147" s="21">
        <v>9</v>
      </c>
      <c r="DP147" s="21">
        <v>1</v>
      </c>
      <c r="DQ147" s="21">
        <v>1</v>
      </c>
      <c r="DR147" s="21">
        <v>7</v>
      </c>
      <c r="DS147" s="21">
        <v>10</v>
      </c>
      <c r="DT147" s="21">
        <v>10</v>
      </c>
      <c r="DU147" s="21">
        <v>10</v>
      </c>
      <c r="DW147" s="21">
        <v>10</v>
      </c>
      <c r="EA147" s="21">
        <v>10</v>
      </c>
      <c r="EB147" s="21" t="s">
        <v>2380</v>
      </c>
      <c r="EC147" s="21" t="s">
        <v>1222</v>
      </c>
      <c r="EF147" s="25">
        <v>1</v>
      </c>
      <c r="EG147" s="25">
        <v>0</v>
      </c>
      <c r="EH147" s="25">
        <v>1</v>
      </c>
      <c r="EI147" s="25">
        <v>0</v>
      </c>
      <c r="EJ147" s="25" t="s">
        <v>62</v>
      </c>
      <c r="EK147" s="25" t="s">
        <v>276</v>
      </c>
      <c r="EL147" s="25" t="s">
        <v>276</v>
      </c>
      <c r="EM147" s="25" t="s">
        <v>276</v>
      </c>
      <c r="EN147" s="25" t="s">
        <v>276</v>
      </c>
      <c r="EO147" s="25" t="s">
        <v>276</v>
      </c>
      <c r="EP147" s="25" t="s">
        <v>276</v>
      </c>
      <c r="EQ147" s="25" t="s">
        <v>276</v>
      </c>
      <c r="ER147" s="25" t="s">
        <v>276</v>
      </c>
      <c r="ES147" s="25" t="s">
        <v>276</v>
      </c>
      <c r="ET147" s="25">
        <v>1</v>
      </c>
      <c r="EU147" s="25" t="s">
        <v>522</v>
      </c>
      <c r="EV147" s="25" t="s">
        <v>276</v>
      </c>
      <c r="EW147" s="25" t="s">
        <v>276</v>
      </c>
      <c r="EX147" s="25" t="s">
        <v>276</v>
      </c>
      <c r="EY147" s="20" t="s">
        <v>273</v>
      </c>
    </row>
    <row r="148" spans="1:155">
      <c r="A148" s="21" t="s">
        <v>491</v>
      </c>
      <c r="B148" s="21" t="s">
        <v>491</v>
      </c>
      <c r="C148" s="21" t="s">
        <v>492</v>
      </c>
      <c r="D148" s="21" t="s">
        <v>493</v>
      </c>
      <c r="E148" s="21" t="s">
        <v>493</v>
      </c>
      <c r="F148" s="21" t="s">
        <v>493</v>
      </c>
      <c r="G148" s="21" t="s">
        <v>2381</v>
      </c>
      <c r="H148" s="21" t="s">
        <v>2382</v>
      </c>
      <c r="I148" s="21" t="s">
        <v>494</v>
      </c>
      <c r="J148" s="21" t="s">
        <v>2383</v>
      </c>
      <c r="L148" s="21" t="s">
        <v>495</v>
      </c>
      <c r="M148" s="21" t="s">
        <v>2384</v>
      </c>
      <c r="N148" s="21" t="s">
        <v>1051</v>
      </c>
      <c r="O148" s="21" t="s">
        <v>93</v>
      </c>
      <c r="P148" s="21" t="s">
        <v>539</v>
      </c>
      <c r="R148" s="21" t="s">
        <v>1052</v>
      </c>
      <c r="S148" s="21" t="s">
        <v>1053</v>
      </c>
      <c r="V148" s="21" t="s">
        <v>277</v>
      </c>
      <c r="W148" s="21" t="s">
        <v>524</v>
      </c>
      <c r="X148" s="21" t="s">
        <v>525</v>
      </c>
      <c r="Y148" s="21" t="s">
        <v>530</v>
      </c>
      <c r="Z148" s="21">
        <v>3035558137</v>
      </c>
      <c r="AA148" s="22">
        <v>42741</v>
      </c>
      <c r="AB148" s="22">
        <v>42741</v>
      </c>
      <c r="AC148" s="21" t="s">
        <v>504</v>
      </c>
      <c r="AD148" s="21" t="s">
        <v>505</v>
      </c>
      <c r="AE148" s="21" t="s">
        <v>1054</v>
      </c>
      <c r="AF148" s="21" t="s">
        <v>1105</v>
      </c>
      <c r="AG148" s="21" t="s">
        <v>2385</v>
      </c>
      <c r="AH148" s="21" t="s">
        <v>2386</v>
      </c>
      <c r="AI148" s="21" t="s">
        <v>2387</v>
      </c>
      <c r="AJ148" s="21" t="s">
        <v>1109</v>
      </c>
      <c r="AK148" s="21" t="s">
        <v>494</v>
      </c>
      <c r="AL148" s="21" t="s">
        <v>527</v>
      </c>
      <c r="AM148" s="21" t="s">
        <v>527</v>
      </c>
      <c r="AN148" s="21" t="s">
        <v>527</v>
      </c>
      <c r="AO148" s="21" t="s">
        <v>528</v>
      </c>
      <c r="AS148" s="21" t="s">
        <v>511</v>
      </c>
      <c r="AT148" s="21" t="s">
        <v>512</v>
      </c>
      <c r="AW148" s="21">
        <v>0</v>
      </c>
      <c r="AX148" s="21">
        <v>2</v>
      </c>
      <c r="BC148" s="21" t="s">
        <v>513</v>
      </c>
      <c r="BD148" s="21" t="s">
        <v>514</v>
      </c>
      <c r="BE148" s="21" t="s">
        <v>514</v>
      </c>
      <c r="BF148" s="21" t="s">
        <v>515</v>
      </c>
      <c r="BG148" s="21">
        <v>1</v>
      </c>
      <c r="BH148" s="21" t="s">
        <v>516</v>
      </c>
      <c r="BI148" s="21" t="s">
        <v>517</v>
      </c>
      <c r="BJ148" s="21" t="s">
        <v>516</v>
      </c>
      <c r="BK148" s="21" t="s">
        <v>516</v>
      </c>
      <c r="BM148" s="21" t="s">
        <v>1288</v>
      </c>
      <c r="BN148" s="21" t="s">
        <v>234</v>
      </c>
      <c r="BO148" s="21" t="s">
        <v>518</v>
      </c>
      <c r="BP148" s="21" t="s">
        <v>1044</v>
      </c>
      <c r="BQ148" s="21" t="s">
        <v>1288</v>
      </c>
      <c r="BR148" s="21" t="s">
        <v>234</v>
      </c>
      <c r="BS148" s="21" t="s">
        <v>518</v>
      </c>
      <c r="BT148" s="21" t="s">
        <v>1044</v>
      </c>
      <c r="BU148" s="21" t="s">
        <v>234</v>
      </c>
      <c r="CD148" s="21" t="s">
        <v>520</v>
      </c>
      <c r="CF148" s="21" t="s">
        <v>521</v>
      </c>
      <c r="DB148" s="21" t="s">
        <v>943</v>
      </c>
      <c r="DC148" s="21">
        <v>1</v>
      </c>
      <c r="DD148" s="21">
        <v>2</v>
      </c>
      <c r="DE148" s="22">
        <v>42744</v>
      </c>
      <c r="DF148" s="21" t="s">
        <v>2388</v>
      </c>
      <c r="DG148" s="21" t="s">
        <v>522</v>
      </c>
      <c r="DH148" s="21" t="s">
        <v>2389</v>
      </c>
      <c r="DI148" s="21" t="s">
        <v>495</v>
      </c>
      <c r="DJ148" s="21" t="s">
        <v>520</v>
      </c>
      <c r="DL148" s="21">
        <v>42753</v>
      </c>
      <c r="DM148" s="21">
        <v>42743</v>
      </c>
      <c r="DN148" s="21">
        <v>1100</v>
      </c>
      <c r="DO148" s="21">
        <v>9</v>
      </c>
      <c r="DP148" s="21">
        <v>1</v>
      </c>
      <c r="DQ148" s="21">
        <v>1</v>
      </c>
      <c r="DR148" s="21">
        <v>7</v>
      </c>
      <c r="DS148" s="21">
        <v>9</v>
      </c>
      <c r="DT148" s="21">
        <v>5</v>
      </c>
      <c r="DU148" s="21">
        <v>10</v>
      </c>
      <c r="DW148" s="21">
        <v>9</v>
      </c>
      <c r="EA148" s="21">
        <v>9</v>
      </c>
      <c r="EB148" s="21" t="s">
        <v>2390</v>
      </c>
      <c r="EC148" s="21" t="s">
        <v>2476</v>
      </c>
      <c r="EF148" s="25">
        <v>1</v>
      </c>
      <c r="EG148" s="25">
        <v>0</v>
      </c>
      <c r="EH148" s="25">
        <v>1</v>
      </c>
      <c r="EI148" s="25">
        <v>0</v>
      </c>
      <c r="EJ148" s="25" t="s">
        <v>92</v>
      </c>
      <c r="EK148" s="25" t="s">
        <v>235</v>
      </c>
      <c r="EL148" s="25" t="s">
        <v>235</v>
      </c>
      <c r="EM148" s="25" t="s">
        <v>276</v>
      </c>
      <c r="EN148" s="25" t="s">
        <v>39</v>
      </c>
      <c r="EO148" s="25" t="s">
        <v>39</v>
      </c>
      <c r="EP148" s="25" t="s">
        <v>92</v>
      </c>
      <c r="EQ148" s="25" t="s">
        <v>92</v>
      </c>
      <c r="ER148" s="25" t="s">
        <v>278</v>
      </c>
      <c r="ES148" s="25" t="s">
        <v>278</v>
      </c>
      <c r="ET148" s="25">
        <v>1</v>
      </c>
      <c r="EU148" s="25" t="s">
        <v>522</v>
      </c>
      <c r="EV148" s="25" t="s">
        <v>235</v>
      </c>
      <c r="EW148" s="25" t="s">
        <v>39</v>
      </c>
      <c r="EX148" s="25" t="s">
        <v>278</v>
      </c>
      <c r="EY148" s="20" t="e">
        <v>#N/A</v>
      </c>
    </row>
    <row r="149" spans="1:155">
      <c r="A149" s="21" t="s">
        <v>491</v>
      </c>
      <c r="B149" s="21" t="s">
        <v>491</v>
      </c>
      <c r="C149" s="21" t="s">
        <v>492</v>
      </c>
      <c r="D149" s="21" t="s">
        <v>493</v>
      </c>
      <c r="E149" s="21" t="s">
        <v>493</v>
      </c>
      <c r="F149" s="21" t="s">
        <v>493</v>
      </c>
      <c r="G149" s="21" t="s">
        <v>2391</v>
      </c>
      <c r="H149" s="21">
        <v>1133687265</v>
      </c>
      <c r="I149" s="21" t="s">
        <v>494</v>
      </c>
      <c r="J149" s="21" t="s">
        <v>2392</v>
      </c>
      <c r="L149" s="21" t="s">
        <v>495</v>
      </c>
      <c r="M149" s="21" t="s">
        <v>2393</v>
      </c>
      <c r="N149" s="21" t="s">
        <v>550</v>
      </c>
      <c r="O149" s="21" t="s">
        <v>69</v>
      </c>
      <c r="P149" s="21" t="s">
        <v>497</v>
      </c>
      <c r="R149" s="21" t="s">
        <v>551</v>
      </c>
      <c r="S149" s="21" t="s">
        <v>552</v>
      </c>
      <c r="V149" s="21" t="s">
        <v>500</v>
      </c>
      <c r="W149" s="21" t="s">
        <v>501</v>
      </c>
      <c r="X149" s="21" t="s">
        <v>502</v>
      </c>
      <c r="Y149" s="21" t="s">
        <v>503</v>
      </c>
      <c r="Z149" s="21">
        <v>3035542316</v>
      </c>
      <c r="AA149" s="22">
        <v>42741</v>
      </c>
      <c r="AB149" s="22">
        <v>42741</v>
      </c>
      <c r="AC149" s="21" t="s">
        <v>504</v>
      </c>
      <c r="AD149" s="21" t="s">
        <v>505</v>
      </c>
      <c r="AE149" s="21" t="s">
        <v>500</v>
      </c>
      <c r="AF149" s="21" t="s">
        <v>506</v>
      </c>
      <c r="AG149" s="21" t="s">
        <v>1079</v>
      </c>
      <c r="AH149" s="21" t="s">
        <v>1080</v>
      </c>
      <c r="AI149" s="21" t="s">
        <v>1332</v>
      </c>
      <c r="AJ149" s="21" t="s">
        <v>507</v>
      </c>
      <c r="AK149" s="21" t="s">
        <v>494</v>
      </c>
      <c r="AL149" s="21" t="s">
        <v>527</v>
      </c>
      <c r="AM149" s="21" t="s">
        <v>527</v>
      </c>
      <c r="AN149" s="21" t="s">
        <v>527</v>
      </c>
      <c r="AO149" s="21" t="s">
        <v>528</v>
      </c>
      <c r="AS149" s="21" t="s">
        <v>511</v>
      </c>
      <c r="AT149" s="21" t="s">
        <v>512</v>
      </c>
      <c r="AW149" s="21">
        <v>0</v>
      </c>
      <c r="AX149" s="21">
        <v>2</v>
      </c>
      <c r="BC149" s="21" t="s">
        <v>513</v>
      </c>
      <c r="BD149" s="21" t="s">
        <v>514</v>
      </c>
      <c r="BE149" s="21" t="s">
        <v>514</v>
      </c>
      <c r="BF149" s="21" t="s">
        <v>515</v>
      </c>
      <c r="BG149" s="21">
        <v>1</v>
      </c>
      <c r="BH149" s="21" t="s">
        <v>516</v>
      </c>
      <c r="BI149" s="21" t="s">
        <v>517</v>
      </c>
      <c r="BJ149" s="21" t="s">
        <v>516</v>
      </c>
      <c r="BK149" s="21" t="s">
        <v>516</v>
      </c>
      <c r="BM149" s="21" t="s">
        <v>13</v>
      </c>
      <c r="BN149" s="21" t="s">
        <v>56</v>
      </c>
      <c r="BO149" s="21" t="s">
        <v>518</v>
      </c>
      <c r="BP149" s="21" t="s">
        <v>519</v>
      </c>
      <c r="BQ149" s="21" t="s">
        <v>13</v>
      </c>
      <c r="BR149" s="21" t="s">
        <v>56</v>
      </c>
      <c r="BS149" s="21" t="s">
        <v>518</v>
      </c>
      <c r="BT149" s="21" t="s">
        <v>519</v>
      </c>
      <c r="BU149" s="21" t="s">
        <v>56</v>
      </c>
      <c r="CD149" s="21" t="s">
        <v>520</v>
      </c>
      <c r="CF149" s="21" t="s">
        <v>521</v>
      </c>
      <c r="DB149" s="21" t="s">
        <v>943</v>
      </c>
      <c r="DC149" s="21">
        <v>1</v>
      </c>
      <c r="DD149" s="21">
        <v>2</v>
      </c>
      <c r="DE149" s="22">
        <v>42744</v>
      </c>
      <c r="DF149" s="21" t="s">
        <v>2394</v>
      </c>
      <c r="DG149" s="21" t="s">
        <v>522</v>
      </c>
      <c r="DH149" s="21" t="s">
        <v>2395</v>
      </c>
      <c r="DI149" s="21" t="s">
        <v>495</v>
      </c>
      <c r="DJ149" s="21" t="s">
        <v>520</v>
      </c>
      <c r="DL149" s="21">
        <v>42753</v>
      </c>
      <c r="DM149" s="21">
        <v>42743</v>
      </c>
      <c r="DN149" s="21">
        <v>3100</v>
      </c>
      <c r="DO149" s="21">
        <v>10</v>
      </c>
      <c r="DP149" s="21">
        <v>1</v>
      </c>
      <c r="DQ149" s="21">
        <v>1</v>
      </c>
      <c r="DR149" s="21">
        <v>7</v>
      </c>
      <c r="DS149" s="21">
        <v>10</v>
      </c>
      <c r="DT149" s="21">
        <v>10</v>
      </c>
      <c r="DU149" s="21">
        <v>10</v>
      </c>
      <c r="DW149" s="21">
        <v>10</v>
      </c>
      <c r="EA149" s="21">
        <v>10</v>
      </c>
      <c r="EB149" s="21" t="s">
        <v>2396</v>
      </c>
      <c r="EC149" s="21" t="s">
        <v>1221</v>
      </c>
      <c r="EF149" s="25">
        <v>1</v>
      </c>
      <c r="EG149" s="25">
        <v>0</v>
      </c>
      <c r="EH149" s="25">
        <v>1</v>
      </c>
      <c r="EI149" s="25">
        <v>0</v>
      </c>
      <c r="EJ149" s="25" t="s">
        <v>62</v>
      </c>
      <c r="EK149" s="25" t="s">
        <v>57</v>
      </c>
      <c r="EL149" s="25" t="s">
        <v>57</v>
      </c>
      <c r="EM149" s="25" t="s">
        <v>276</v>
      </c>
      <c r="EN149" s="25" t="s">
        <v>9</v>
      </c>
      <c r="EO149" s="25" t="s">
        <v>9</v>
      </c>
      <c r="EP149" s="25" t="s">
        <v>62</v>
      </c>
      <c r="EQ149" s="25" t="s">
        <v>62</v>
      </c>
      <c r="ER149" s="25" t="s">
        <v>278</v>
      </c>
      <c r="ES149" s="25" t="s">
        <v>278</v>
      </c>
      <c r="ET149" s="25">
        <v>1</v>
      </c>
      <c r="EU149" s="25" t="s">
        <v>522</v>
      </c>
      <c r="EV149" s="25" t="s">
        <v>57</v>
      </c>
      <c r="EW149" s="25" t="s">
        <v>9</v>
      </c>
      <c r="EX149" s="25" t="s">
        <v>278</v>
      </c>
      <c r="EY149" s="20" t="e">
        <v>#N/A</v>
      </c>
    </row>
    <row r="150" spans="1:155">
      <c r="A150" s="21" t="s">
        <v>491</v>
      </c>
      <c r="B150" s="21" t="s">
        <v>491</v>
      </c>
      <c r="C150" s="21" t="s">
        <v>492</v>
      </c>
      <c r="D150" s="21" t="s">
        <v>493</v>
      </c>
      <c r="E150" s="21" t="s">
        <v>493</v>
      </c>
      <c r="F150" s="21" t="s">
        <v>493</v>
      </c>
      <c r="G150" s="21" t="s">
        <v>2397</v>
      </c>
      <c r="H150" s="21">
        <v>8387185295</v>
      </c>
      <c r="I150" s="21" t="s">
        <v>494</v>
      </c>
      <c r="J150" s="21" t="s">
        <v>2398</v>
      </c>
      <c r="L150" s="21" t="s">
        <v>495</v>
      </c>
      <c r="M150" s="21" t="s">
        <v>2399</v>
      </c>
      <c r="N150" s="21" t="s">
        <v>1258</v>
      </c>
      <c r="O150" s="21" t="s">
        <v>69</v>
      </c>
      <c r="P150" s="21" t="s">
        <v>497</v>
      </c>
      <c r="Q150" s="21" t="s">
        <v>1178</v>
      </c>
      <c r="R150" s="21" t="s">
        <v>1259</v>
      </c>
      <c r="S150" s="21" t="s">
        <v>1260</v>
      </c>
      <c r="V150" s="21" t="s">
        <v>500</v>
      </c>
      <c r="W150" s="21" t="s">
        <v>501</v>
      </c>
      <c r="X150" s="21" t="s">
        <v>502</v>
      </c>
      <c r="Y150" s="21" t="s">
        <v>503</v>
      </c>
      <c r="Z150" s="21">
        <v>3035556883</v>
      </c>
      <c r="AA150" s="22">
        <v>42741</v>
      </c>
      <c r="AB150" s="22">
        <v>42741</v>
      </c>
      <c r="AC150" s="21" t="s">
        <v>504</v>
      </c>
      <c r="AD150" s="21" t="s">
        <v>505</v>
      </c>
      <c r="AE150" s="21" t="s">
        <v>500</v>
      </c>
      <c r="AF150" s="21" t="s">
        <v>549</v>
      </c>
      <c r="AG150" s="21" t="s">
        <v>555</v>
      </c>
      <c r="AH150" s="21" t="s">
        <v>556</v>
      </c>
      <c r="AI150" s="21" t="s">
        <v>2070</v>
      </c>
      <c r="AJ150" s="21" t="s">
        <v>526</v>
      </c>
      <c r="AK150" s="21" t="s">
        <v>494</v>
      </c>
      <c r="AL150" s="21" t="s">
        <v>508</v>
      </c>
      <c r="AM150" s="21" t="s">
        <v>509</v>
      </c>
      <c r="AN150" s="21" t="s">
        <v>509</v>
      </c>
      <c r="AO150" s="21" t="s">
        <v>510</v>
      </c>
      <c r="AS150" s="21" t="s">
        <v>511</v>
      </c>
      <c r="AT150" s="21" t="s">
        <v>512</v>
      </c>
      <c r="AW150" s="21">
        <v>0</v>
      </c>
      <c r="AX150" s="21">
        <v>3</v>
      </c>
      <c r="BC150" s="21" t="s">
        <v>513</v>
      </c>
      <c r="BD150" s="21" t="s">
        <v>514</v>
      </c>
      <c r="BE150" s="21" t="s">
        <v>514</v>
      </c>
      <c r="BF150" s="21" t="s">
        <v>515</v>
      </c>
      <c r="BG150" s="21">
        <v>1</v>
      </c>
      <c r="BH150" s="21" t="s">
        <v>516</v>
      </c>
      <c r="BI150" s="21" t="s">
        <v>517</v>
      </c>
      <c r="BJ150" s="21" t="s">
        <v>516</v>
      </c>
      <c r="BK150" s="21" t="s">
        <v>516</v>
      </c>
      <c r="BM150" s="21" t="s">
        <v>29</v>
      </c>
      <c r="BN150" s="21" t="s">
        <v>129</v>
      </c>
      <c r="BO150" s="21" t="s">
        <v>518</v>
      </c>
      <c r="BP150" s="21" t="s">
        <v>519</v>
      </c>
      <c r="BQ150" s="21" t="s">
        <v>29</v>
      </c>
      <c r="BR150" s="21" t="s">
        <v>129</v>
      </c>
      <c r="BS150" s="21" t="s">
        <v>518</v>
      </c>
      <c r="BT150" s="21" t="s">
        <v>519</v>
      </c>
      <c r="BU150" s="21" t="s">
        <v>129</v>
      </c>
      <c r="CD150" s="21" t="s">
        <v>520</v>
      </c>
      <c r="CF150" s="21" t="s">
        <v>521</v>
      </c>
      <c r="DB150" s="21" t="s">
        <v>943</v>
      </c>
      <c r="DC150" s="21">
        <v>1</v>
      </c>
      <c r="DD150" s="21">
        <v>2</v>
      </c>
      <c r="DE150" s="22">
        <v>42744</v>
      </c>
      <c r="DF150" s="21" t="s">
        <v>2400</v>
      </c>
      <c r="DG150" s="21" t="s">
        <v>522</v>
      </c>
      <c r="DH150" s="21" t="s">
        <v>2401</v>
      </c>
      <c r="DI150" s="21" t="s">
        <v>495</v>
      </c>
      <c r="DJ150" s="21" t="s">
        <v>520</v>
      </c>
      <c r="DL150" s="21">
        <v>42753</v>
      </c>
      <c r="DM150" s="21">
        <v>42743</v>
      </c>
      <c r="DN150" s="21">
        <v>3100</v>
      </c>
      <c r="DO150" s="21">
        <v>10</v>
      </c>
      <c r="DP150" s="21">
        <v>1</v>
      </c>
      <c r="DQ150" s="21">
        <v>1</v>
      </c>
      <c r="DR150" s="21">
        <v>7</v>
      </c>
      <c r="DS150" s="21">
        <v>10</v>
      </c>
      <c r="DT150" s="21">
        <v>10</v>
      </c>
      <c r="DU150" s="21">
        <v>10</v>
      </c>
      <c r="DW150" s="21">
        <v>10</v>
      </c>
      <c r="EA150" s="21">
        <v>10</v>
      </c>
      <c r="EF150" s="25">
        <v>1</v>
      </c>
      <c r="EG150" s="25">
        <v>0</v>
      </c>
      <c r="EH150" s="25">
        <v>1</v>
      </c>
      <c r="EI150" s="25">
        <v>0</v>
      </c>
      <c r="EJ150" s="25" t="s">
        <v>62</v>
      </c>
      <c r="EK150" s="25" t="s">
        <v>130</v>
      </c>
      <c r="EL150" s="25" t="s">
        <v>130</v>
      </c>
      <c r="EM150" s="25" t="s">
        <v>276</v>
      </c>
      <c r="EN150" s="25" t="s">
        <v>23</v>
      </c>
      <c r="EO150" s="25" t="s">
        <v>23</v>
      </c>
      <c r="EP150" s="25" t="s">
        <v>62</v>
      </c>
      <c r="EQ150" s="25" t="s">
        <v>62</v>
      </c>
      <c r="ER150" s="25" t="s">
        <v>278</v>
      </c>
      <c r="ES150" s="25" t="s">
        <v>278</v>
      </c>
      <c r="ET150" s="25">
        <v>1</v>
      </c>
      <c r="EU150" s="25" t="s">
        <v>522</v>
      </c>
      <c r="EV150" s="25" t="s">
        <v>130</v>
      </c>
      <c r="EW150" s="25" t="s">
        <v>23</v>
      </c>
      <c r="EX150" s="25" t="s">
        <v>278</v>
      </c>
      <c r="EY150" s="20" t="e">
        <v>#N/A</v>
      </c>
    </row>
    <row r="151" spans="1:155">
      <c r="A151" s="21" t="s">
        <v>491</v>
      </c>
      <c r="B151" s="21" t="s">
        <v>491</v>
      </c>
      <c r="C151" s="21" t="s">
        <v>492</v>
      </c>
      <c r="D151" s="21" t="s">
        <v>493</v>
      </c>
      <c r="E151" s="21" t="s">
        <v>493</v>
      </c>
      <c r="F151" s="21" t="s">
        <v>493</v>
      </c>
      <c r="G151" s="21" t="s">
        <v>2402</v>
      </c>
      <c r="H151" s="21" t="s">
        <v>494</v>
      </c>
      <c r="I151" s="21" t="s">
        <v>494</v>
      </c>
      <c r="J151" s="21" t="s">
        <v>2403</v>
      </c>
      <c r="L151" s="21" t="s">
        <v>495</v>
      </c>
      <c r="M151" s="21" t="s">
        <v>2404</v>
      </c>
      <c r="N151" s="21" t="s">
        <v>2405</v>
      </c>
      <c r="O151" s="21" t="s">
        <v>100</v>
      </c>
      <c r="P151" s="21" t="s">
        <v>1187</v>
      </c>
      <c r="Q151" s="21" t="s">
        <v>1168</v>
      </c>
      <c r="R151" s="21" t="s">
        <v>2406</v>
      </c>
      <c r="S151" s="21" t="s">
        <v>2407</v>
      </c>
      <c r="V151" s="21" t="s">
        <v>277</v>
      </c>
      <c r="W151" s="21" t="s">
        <v>524</v>
      </c>
      <c r="X151" s="21" t="s">
        <v>525</v>
      </c>
      <c r="Y151" s="21" t="s">
        <v>1190</v>
      </c>
      <c r="Z151" s="21">
        <v>3035541735</v>
      </c>
      <c r="AA151" s="22">
        <v>42741</v>
      </c>
      <c r="AB151" s="22">
        <v>42741</v>
      </c>
      <c r="AC151" s="21" t="s">
        <v>504</v>
      </c>
      <c r="AD151" s="21" t="s">
        <v>505</v>
      </c>
      <c r="AE151" s="21" t="s">
        <v>1020</v>
      </c>
      <c r="AF151" s="21" t="s">
        <v>1369</v>
      </c>
      <c r="AG151" s="21" t="s">
        <v>1370</v>
      </c>
      <c r="AH151" s="21" t="s">
        <v>1371</v>
      </c>
      <c r="AI151" s="21" t="s">
        <v>2408</v>
      </c>
      <c r="AJ151" s="21" t="s">
        <v>526</v>
      </c>
      <c r="AK151" s="21" t="s">
        <v>494</v>
      </c>
      <c r="AL151" s="21" t="s">
        <v>1465</v>
      </c>
      <c r="AM151" s="21" t="s">
        <v>1466</v>
      </c>
      <c r="AN151" s="21" t="s">
        <v>1466</v>
      </c>
      <c r="AO151" s="21" t="s">
        <v>528</v>
      </c>
      <c r="AS151" s="21" t="s">
        <v>511</v>
      </c>
      <c r="AT151" s="21" t="s">
        <v>512</v>
      </c>
      <c r="AW151" s="21">
        <v>0</v>
      </c>
      <c r="AX151" s="21">
        <v>2</v>
      </c>
      <c r="BC151" s="21" t="s">
        <v>513</v>
      </c>
      <c r="BD151" s="21" t="s">
        <v>514</v>
      </c>
      <c r="BE151" s="21" t="s">
        <v>514</v>
      </c>
      <c r="BF151" s="21" t="s">
        <v>515</v>
      </c>
      <c r="BG151" s="21">
        <v>1</v>
      </c>
      <c r="BH151" s="21" t="s">
        <v>516</v>
      </c>
      <c r="BI151" s="21" t="s">
        <v>517</v>
      </c>
      <c r="BJ151" s="21" t="s">
        <v>516</v>
      </c>
      <c r="BK151" s="21" t="s">
        <v>516</v>
      </c>
      <c r="BM151" s="21" t="s">
        <v>1373</v>
      </c>
      <c r="BN151" s="21" t="s">
        <v>213</v>
      </c>
      <c r="BO151" s="21" t="s">
        <v>518</v>
      </c>
      <c r="BP151" s="21" t="s">
        <v>1044</v>
      </c>
      <c r="BQ151" s="21" t="s">
        <v>1373</v>
      </c>
      <c r="BR151" s="21" t="s">
        <v>213</v>
      </c>
      <c r="BS151" s="21" t="s">
        <v>518</v>
      </c>
      <c r="BT151" s="21" t="s">
        <v>1044</v>
      </c>
      <c r="BU151" s="21" t="s">
        <v>213</v>
      </c>
      <c r="CD151" s="21" t="s">
        <v>520</v>
      </c>
      <c r="CF151" s="21" t="s">
        <v>521</v>
      </c>
      <c r="DB151" s="21" t="s">
        <v>943</v>
      </c>
      <c r="DC151" s="21">
        <v>1</v>
      </c>
      <c r="DD151" s="21">
        <v>2</v>
      </c>
      <c r="DE151" s="22">
        <v>42744</v>
      </c>
      <c r="DF151" s="21" t="s">
        <v>2409</v>
      </c>
      <c r="DG151" s="21" t="s">
        <v>522</v>
      </c>
      <c r="DH151" s="21" t="s">
        <v>2410</v>
      </c>
      <c r="DI151" s="21" t="s">
        <v>495</v>
      </c>
      <c r="DJ151" s="21" t="s">
        <v>520</v>
      </c>
      <c r="DL151" s="21">
        <v>42753</v>
      </c>
      <c r="DM151" s="21">
        <v>42743</v>
      </c>
      <c r="DN151" s="21">
        <v>1100</v>
      </c>
      <c r="DO151" s="21">
        <v>7</v>
      </c>
      <c r="DP151" s="21">
        <v>2</v>
      </c>
      <c r="DQ151" s="21">
        <v>2</v>
      </c>
      <c r="DR151" s="21">
        <v>5</v>
      </c>
      <c r="DS151" s="21">
        <v>8</v>
      </c>
      <c r="DT151" s="21">
        <v>10</v>
      </c>
      <c r="DU151" s="21">
        <v>9</v>
      </c>
      <c r="DW151" s="21">
        <v>8</v>
      </c>
      <c r="EA151" s="21">
        <v>8</v>
      </c>
      <c r="EB151" s="21" t="s">
        <v>2411</v>
      </c>
      <c r="EC151" s="21" t="s">
        <v>2477</v>
      </c>
      <c r="EF151" s="25">
        <v>0</v>
      </c>
      <c r="EG151" s="25">
        <v>0</v>
      </c>
      <c r="EH151" s="25">
        <v>0</v>
      </c>
      <c r="EI151" s="25">
        <v>0</v>
      </c>
      <c r="EJ151" s="25" t="s">
        <v>92</v>
      </c>
      <c r="EK151" s="25" t="s">
        <v>214</v>
      </c>
      <c r="EL151" s="25" t="s">
        <v>214</v>
      </c>
      <c r="EM151" s="25" t="s">
        <v>276</v>
      </c>
      <c r="EN151" s="25" t="s">
        <v>31</v>
      </c>
      <c r="EO151" s="25" t="s">
        <v>31</v>
      </c>
      <c r="EP151" s="25" t="s">
        <v>92</v>
      </c>
      <c r="EQ151" s="25" t="s">
        <v>92</v>
      </c>
      <c r="ER151" s="25" t="s">
        <v>278</v>
      </c>
      <c r="ES151" s="25" t="s">
        <v>278</v>
      </c>
      <c r="ET151" s="25">
        <v>1</v>
      </c>
      <c r="EU151" s="25" t="s">
        <v>522</v>
      </c>
      <c r="EV151" s="25" t="s">
        <v>214</v>
      </c>
      <c r="EW151" s="25" t="s">
        <v>31</v>
      </c>
      <c r="EX151" s="25" t="s">
        <v>278</v>
      </c>
      <c r="EY151" s="20" t="e">
        <v>#N/A</v>
      </c>
    </row>
    <row r="152" spans="1:155">
      <c r="A152" s="21" t="s">
        <v>491</v>
      </c>
      <c r="B152" s="21" t="s">
        <v>491</v>
      </c>
      <c r="C152" s="21" t="s">
        <v>492</v>
      </c>
      <c r="D152" s="21" t="s">
        <v>493</v>
      </c>
      <c r="E152" s="21" t="s">
        <v>493</v>
      </c>
      <c r="F152" s="21" t="s">
        <v>493</v>
      </c>
      <c r="G152" s="21" t="s">
        <v>2412</v>
      </c>
      <c r="H152" s="21">
        <v>1120315643</v>
      </c>
      <c r="I152" s="21">
        <v>11984132486</v>
      </c>
      <c r="J152" s="21" t="s">
        <v>2413</v>
      </c>
      <c r="L152" s="21" t="s">
        <v>495</v>
      </c>
      <c r="M152" s="21" t="s">
        <v>2414</v>
      </c>
      <c r="N152" s="21" t="s">
        <v>2415</v>
      </c>
      <c r="O152" s="21" t="s">
        <v>91</v>
      </c>
      <c r="P152" s="21" t="s">
        <v>2416</v>
      </c>
      <c r="R152" s="21" t="s">
        <v>2417</v>
      </c>
      <c r="S152" s="21" t="s">
        <v>2415</v>
      </c>
      <c r="V152" s="21" t="s">
        <v>277</v>
      </c>
      <c r="W152" s="21" t="s">
        <v>524</v>
      </c>
      <c r="X152" s="21" t="s">
        <v>525</v>
      </c>
      <c r="Y152" s="21" t="s">
        <v>530</v>
      </c>
      <c r="Z152" s="21">
        <v>3035545890</v>
      </c>
      <c r="AA152" s="26">
        <v>42741</v>
      </c>
      <c r="AB152" s="26">
        <v>42741</v>
      </c>
      <c r="AC152" s="21" t="s">
        <v>504</v>
      </c>
      <c r="AD152" s="21" t="s">
        <v>505</v>
      </c>
      <c r="AE152" s="21" t="s">
        <v>1156</v>
      </c>
      <c r="AF152" s="21" t="s">
        <v>1169</v>
      </c>
      <c r="AG152" s="21" t="s">
        <v>1170</v>
      </c>
      <c r="AH152" s="21" t="s">
        <v>1171</v>
      </c>
      <c r="AI152" s="21" t="s">
        <v>2418</v>
      </c>
      <c r="AJ152" s="21" t="s">
        <v>507</v>
      </c>
      <c r="AK152" s="21" t="s">
        <v>494</v>
      </c>
      <c r="AL152" s="21" t="s">
        <v>527</v>
      </c>
      <c r="AM152" s="21" t="s">
        <v>527</v>
      </c>
      <c r="AN152" s="21" t="s">
        <v>527</v>
      </c>
      <c r="AO152" s="21" t="s">
        <v>528</v>
      </c>
      <c r="AS152" s="21" t="s">
        <v>511</v>
      </c>
      <c r="AT152" s="21" t="s">
        <v>512</v>
      </c>
      <c r="AW152" s="21">
        <v>0</v>
      </c>
      <c r="AX152" s="21">
        <v>2</v>
      </c>
      <c r="AY152" s="26"/>
      <c r="AZ152" s="26"/>
      <c r="BB152" s="26"/>
      <c r="BC152" s="21" t="s">
        <v>513</v>
      </c>
      <c r="BD152" s="21" t="s">
        <v>514</v>
      </c>
      <c r="BE152" s="21" t="s">
        <v>514</v>
      </c>
      <c r="BF152" s="21" t="s">
        <v>515</v>
      </c>
      <c r="BG152" s="21">
        <v>1</v>
      </c>
      <c r="BH152" s="21" t="s">
        <v>516</v>
      </c>
      <c r="BI152" s="21" t="s">
        <v>517</v>
      </c>
      <c r="BJ152" s="21" t="s">
        <v>516</v>
      </c>
      <c r="BK152" s="21" t="s">
        <v>516</v>
      </c>
      <c r="BM152" s="21" t="s">
        <v>1423</v>
      </c>
      <c r="BN152" s="21" t="s">
        <v>227</v>
      </c>
      <c r="BO152" s="21" t="s">
        <v>518</v>
      </c>
      <c r="BP152" s="21" t="s">
        <v>1044</v>
      </c>
      <c r="BQ152" s="21" t="s">
        <v>1423</v>
      </c>
      <c r="BR152" s="21" t="s">
        <v>227</v>
      </c>
      <c r="BS152" s="21" t="s">
        <v>518</v>
      </c>
      <c r="BT152" s="21" t="s">
        <v>1044</v>
      </c>
      <c r="BU152" s="21" t="s">
        <v>227</v>
      </c>
      <c r="CD152" s="21" t="s">
        <v>520</v>
      </c>
      <c r="CF152" s="21" t="s">
        <v>521</v>
      </c>
      <c r="CN152" s="26"/>
      <c r="DB152" s="24" t="s">
        <v>943</v>
      </c>
      <c r="DC152" s="21">
        <v>1</v>
      </c>
      <c r="DD152" s="21">
        <v>2</v>
      </c>
      <c r="DE152" s="22">
        <v>42744</v>
      </c>
      <c r="DF152" s="21" t="s">
        <v>2419</v>
      </c>
      <c r="DG152" s="21" t="s">
        <v>522</v>
      </c>
      <c r="DH152" s="21" t="s">
        <v>2420</v>
      </c>
      <c r="DI152" s="21" t="s">
        <v>495</v>
      </c>
      <c r="DJ152" s="21" t="s">
        <v>520</v>
      </c>
      <c r="DK152" s="26"/>
      <c r="DL152" s="26">
        <v>42753</v>
      </c>
      <c r="DM152" s="26">
        <v>42743</v>
      </c>
      <c r="DN152" s="21">
        <v>1100</v>
      </c>
      <c r="DO152" s="21">
        <v>6</v>
      </c>
      <c r="DP152" s="21">
        <v>1</v>
      </c>
      <c r="DQ152" s="21">
        <v>1</v>
      </c>
      <c r="DR152" s="21">
        <v>6</v>
      </c>
      <c r="DS152" s="21">
        <v>9</v>
      </c>
      <c r="DT152" s="21">
        <v>10</v>
      </c>
      <c r="DU152" s="21">
        <v>10</v>
      </c>
      <c r="DW152" s="21">
        <v>10</v>
      </c>
      <c r="EA152" s="21">
        <v>8</v>
      </c>
      <c r="EF152" s="25">
        <v>0</v>
      </c>
      <c r="EG152" s="25">
        <v>0</v>
      </c>
      <c r="EH152" s="25">
        <v>0</v>
      </c>
      <c r="EI152" s="25">
        <v>0</v>
      </c>
      <c r="EJ152" s="25" t="s">
        <v>92</v>
      </c>
      <c r="EK152" s="25" t="s">
        <v>228</v>
      </c>
      <c r="EL152" s="25" t="s">
        <v>228</v>
      </c>
      <c r="EM152" s="25" t="s">
        <v>276</v>
      </c>
      <c r="EN152" s="25" t="s">
        <v>31</v>
      </c>
      <c r="EO152" s="25" t="s">
        <v>31</v>
      </c>
      <c r="EP152" s="25" t="s">
        <v>92</v>
      </c>
      <c r="EQ152" s="25" t="s">
        <v>92</v>
      </c>
      <c r="ER152" s="25" t="s">
        <v>278</v>
      </c>
      <c r="ES152" s="25" t="s">
        <v>278</v>
      </c>
      <c r="ET152" s="25">
        <v>1</v>
      </c>
      <c r="EU152" s="25" t="s">
        <v>522</v>
      </c>
      <c r="EV152" s="25" t="s">
        <v>228</v>
      </c>
      <c r="EW152" s="25" t="s">
        <v>31</v>
      </c>
      <c r="EX152" s="25" t="s">
        <v>278</v>
      </c>
      <c r="EY152" s="20" t="e">
        <v>#N/A</v>
      </c>
    </row>
    <row r="153" spans="1:155">
      <c r="A153" s="21" t="s">
        <v>491</v>
      </c>
      <c r="B153" s="21" t="s">
        <v>491</v>
      </c>
      <c r="C153" s="21" t="s">
        <v>492</v>
      </c>
      <c r="D153" s="21" t="s">
        <v>493</v>
      </c>
      <c r="E153" s="21" t="s">
        <v>493</v>
      </c>
      <c r="F153" s="21" t="s">
        <v>493</v>
      </c>
      <c r="G153" s="21" t="s">
        <v>2421</v>
      </c>
      <c r="H153" s="21">
        <v>92991459780</v>
      </c>
      <c r="I153" s="21" t="s">
        <v>494</v>
      </c>
      <c r="J153" s="21" t="s">
        <v>2422</v>
      </c>
      <c r="L153" s="21" t="s">
        <v>495</v>
      </c>
      <c r="M153" s="21" t="s">
        <v>2423</v>
      </c>
      <c r="N153" s="21" t="s">
        <v>550</v>
      </c>
      <c r="O153" s="21" t="s">
        <v>69</v>
      </c>
      <c r="P153" s="21" t="s">
        <v>497</v>
      </c>
      <c r="R153" s="21" t="s">
        <v>551</v>
      </c>
      <c r="S153" s="21" t="s">
        <v>552</v>
      </c>
      <c r="V153" s="21" t="s">
        <v>500</v>
      </c>
      <c r="W153" s="21" t="s">
        <v>501</v>
      </c>
      <c r="X153" s="21" t="s">
        <v>502</v>
      </c>
      <c r="Y153" s="21" t="s">
        <v>503</v>
      </c>
      <c r="Z153" s="21">
        <v>3035552971</v>
      </c>
      <c r="AA153" s="26">
        <v>42741</v>
      </c>
      <c r="AB153" s="26">
        <v>42741</v>
      </c>
      <c r="AC153" s="21" t="s">
        <v>504</v>
      </c>
      <c r="AD153" s="21" t="s">
        <v>505</v>
      </c>
      <c r="AE153" s="21" t="s">
        <v>500</v>
      </c>
      <c r="AF153" s="21" t="s">
        <v>2424</v>
      </c>
      <c r="AG153" s="21" t="s">
        <v>2425</v>
      </c>
      <c r="AH153" s="21" t="s">
        <v>2426</v>
      </c>
      <c r="AI153" s="21" t="s">
        <v>1024</v>
      </c>
      <c r="AJ153" s="21" t="s">
        <v>526</v>
      </c>
      <c r="AK153" s="21" t="s">
        <v>494</v>
      </c>
      <c r="AL153" s="21" t="s">
        <v>527</v>
      </c>
      <c r="AM153" s="21" t="s">
        <v>527</v>
      </c>
      <c r="AN153" s="21" t="s">
        <v>527</v>
      </c>
      <c r="AO153" s="21" t="s">
        <v>528</v>
      </c>
      <c r="AS153" s="21" t="s">
        <v>511</v>
      </c>
      <c r="AT153" s="21" t="s">
        <v>512</v>
      </c>
      <c r="AW153" s="21">
        <v>0</v>
      </c>
      <c r="AX153" s="21">
        <v>2</v>
      </c>
      <c r="AY153" s="26"/>
      <c r="AZ153" s="26"/>
      <c r="BB153" s="26"/>
      <c r="BC153" s="21" t="s">
        <v>513</v>
      </c>
      <c r="BD153" s="21" t="s">
        <v>514</v>
      </c>
      <c r="BE153" s="21" t="s">
        <v>514</v>
      </c>
      <c r="BF153" s="21" t="s">
        <v>515</v>
      </c>
      <c r="BG153" s="21">
        <v>1</v>
      </c>
      <c r="BH153" s="21" t="s">
        <v>516</v>
      </c>
      <c r="BI153" s="21" t="s">
        <v>517</v>
      </c>
      <c r="BJ153" s="21" t="s">
        <v>516</v>
      </c>
      <c r="BK153" s="21" t="s">
        <v>516</v>
      </c>
      <c r="BM153" s="21" t="s">
        <v>44</v>
      </c>
      <c r="BN153" s="21" t="s">
        <v>244</v>
      </c>
      <c r="BO153" s="21" t="s">
        <v>518</v>
      </c>
      <c r="BP153" s="21" t="s">
        <v>1044</v>
      </c>
      <c r="BQ153" s="21" t="s">
        <v>44</v>
      </c>
      <c r="BR153" s="21" t="s">
        <v>244</v>
      </c>
      <c r="BS153" s="21" t="s">
        <v>518</v>
      </c>
      <c r="BT153" s="21" t="s">
        <v>1044</v>
      </c>
      <c r="BU153" s="21" t="s">
        <v>244</v>
      </c>
      <c r="CD153" s="21" t="s">
        <v>520</v>
      </c>
      <c r="CF153" s="21" t="s">
        <v>521</v>
      </c>
      <c r="CN153" s="26"/>
      <c r="DB153" s="24" t="s">
        <v>943</v>
      </c>
      <c r="DC153" s="21">
        <v>1</v>
      </c>
      <c r="DD153" s="21">
        <v>2</v>
      </c>
      <c r="DE153" s="22">
        <v>42744</v>
      </c>
      <c r="DF153" s="21" t="s">
        <v>2242</v>
      </c>
      <c r="DG153" s="21" t="s">
        <v>522</v>
      </c>
      <c r="DH153" s="21" t="s">
        <v>2427</v>
      </c>
      <c r="DI153" s="21" t="s">
        <v>495</v>
      </c>
      <c r="DJ153" s="21" t="s">
        <v>520</v>
      </c>
      <c r="DK153" s="26"/>
      <c r="DL153" s="26">
        <v>42753</v>
      </c>
      <c r="DM153" s="26">
        <v>42743</v>
      </c>
      <c r="DN153" s="21">
        <v>3100</v>
      </c>
      <c r="DO153" s="21">
        <v>10</v>
      </c>
      <c r="DP153" s="21">
        <v>1</v>
      </c>
      <c r="DQ153" s="21">
        <v>1</v>
      </c>
      <c r="DR153" s="21">
        <v>7</v>
      </c>
      <c r="DS153" s="21">
        <v>10</v>
      </c>
      <c r="DT153" s="21">
        <v>10</v>
      </c>
      <c r="DU153" s="21">
        <v>10</v>
      </c>
      <c r="DW153" s="21">
        <v>10</v>
      </c>
      <c r="EA153" s="21">
        <v>10</v>
      </c>
      <c r="EF153" s="25">
        <v>1</v>
      </c>
      <c r="EG153" s="25">
        <v>0</v>
      </c>
      <c r="EH153" s="25">
        <v>1</v>
      </c>
      <c r="EI153" s="25">
        <v>0</v>
      </c>
      <c r="EJ153" s="25" t="s">
        <v>62</v>
      </c>
      <c r="EK153" s="25" t="s">
        <v>245</v>
      </c>
      <c r="EL153" s="25" t="s">
        <v>245</v>
      </c>
      <c r="EM153" s="25" t="s">
        <v>276</v>
      </c>
      <c r="EN153" s="25" t="s">
        <v>39</v>
      </c>
      <c r="EO153" s="25" t="s">
        <v>39</v>
      </c>
      <c r="EP153" s="25" t="s">
        <v>92</v>
      </c>
      <c r="EQ153" s="25" t="s">
        <v>92</v>
      </c>
      <c r="ER153" s="25" t="s">
        <v>278</v>
      </c>
      <c r="ES153" s="25" t="s">
        <v>278</v>
      </c>
      <c r="ET153" s="25">
        <v>1</v>
      </c>
      <c r="EU153" s="25" t="s">
        <v>522</v>
      </c>
      <c r="EV153" s="25" t="s">
        <v>245</v>
      </c>
      <c r="EW153" s="25" t="s">
        <v>39</v>
      </c>
      <c r="EX153" s="25" t="s">
        <v>278</v>
      </c>
      <c r="EY153" s="20" t="e">
        <v>#N/A</v>
      </c>
    </row>
    <row r="154" spans="1:155">
      <c r="A154" s="21" t="s">
        <v>491</v>
      </c>
      <c r="B154" s="21" t="s">
        <v>491</v>
      </c>
      <c r="C154" s="21" t="s">
        <v>492</v>
      </c>
      <c r="D154" s="21" t="s">
        <v>493</v>
      </c>
      <c r="E154" s="21" t="s">
        <v>493</v>
      </c>
      <c r="F154" s="21" t="s">
        <v>493</v>
      </c>
      <c r="G154" s="21" t="s">
        <v>2428</v>
      </c>
      <c r="H154" s="21">
        <v>2133905727</v>
      </c>
      <c r="I154" s="21" t="s">
        <v>494</v>
      </c>
      <c r="J154" s="21" t="s">
        <v>2429</v>
      </c>
      <c r="L154" s="21" t="s">
        <v>495</v>
      </c>
      <c r="M154" s="21" t="s">
        <v>2430</v>
      </c>
      <c r="N154" s="21" t="s">
        <v>550</v>
      </c>
      <c r="O154" s="21" t="s">
        <v>69</v>
      </c>
      <c r="P154" s="21" t="s">
        <v>497</v>
      </c>
      <c r="R154" s="21" t="s">
        <v>551</v>
      </c>
      <c r="S154" s="21" t="s">
        <v>552</v>
      </c>
      <c r="V154" s="21" t="s">
        <v>500</v>
      </c>
      <c r="W154" s="21" t="s">
        <v>501</v>
      </c>
      <c r="X154" s="21" t="s">
        <v>502</v>
      </c>
      <c r="Y154" s="21" t="s">
        <v>503</v>
      </c>
      <c r="Z154" s="21">
        <v>3035542047</v>
      </c>
      <c r="AA154" s="26">
        <v>42741</v>
      </c>
      <c r="AB154" s="26">
        <v>42741</v>
      </c>
      <c r="AC154" s="21" t="s">
        <v>504</v>
      </c>
      <c r="AD154" s="21" t="s">
        <v>505</v>
      </c>
      <c r="AE154" s="21" t="s">
        <v>500</v>
      </c>
      <c r="AF154" s="21" t="s">
        <v>549</v>
      </c>
      <c r="AG154" s="21" t="s">
        <v>555</v>
      </c>
      <c r="AH154" s="21" t="s">
        <v>556</v>
      </c>
      <c r="AI154" s="21" t="s">
        <v>2431</v>
      </c>
      <c r="AJ154" s="21" t="s">
        <v>526</v>
      </c>
      <c r="AK154" s="21" t="s">
        <v>494</v>
      </c>
      <c r="AL154" s="21" t="s">
        <v>527</v>
      </c>
      <c r="AM154" s="21" t="s">
        <v>527</v>
      </c>
      <c r="AN154" s="21" t="s">
        <v>527</v>
      </c>
      <c r="AO154" s="21" t="s">
        <v>528</v>
      </c>
      <c r="AS154" s="21" t="s">
        <v>511</v>
      </c>
      <c r="AT154" s="21" t="s">
        <v>512</v>
      </c>
      <c r="AW154" s="21">
        <v>0</v>
      </c>
      <c r="AX154" s="21">
        <v>2</v>
      </c>
      <c r="AY154" s="26"/>
      <c r="AZ154" s="26"/>
      <c r="BB154" s="26"/>
      <c r="BC154" s="21" t="s">
        <v>513</v>
      </c>
      <c r="BD154" s="21" t="s">
        <v>514</v>
      </c>
      <c r="BE154" s="21" t="s">
        <v>514</v>
      </c>
      <c r="BF154" s="21" t="s">
        <v>515</v>
      </c>
      <c r="BG154" s="21">
        <v>1</v>
      </c>
      <c r="BH154" s="21" t="s">
        <v>516</v>
      </c>
      <c r="BI154" s="21" t="s">
        <v>517</v>
      </c>
      <c r="BJ154" s="21" t="s">
        <v>516</v>
      </c>
      <c r="BK154" s="21" t="s">
        <v>516</v>
      </c>
      <c r="BM154" s="21" t="s">
        <v>13</v>
      </c>
      <c r="BN154" s="21" t="s">
        <v>56</v>
      </c>
      <c r="BO154" s="21" t="s">
        <v>518</v>
      </c>
      <c r="BP154" s="21" t="s">
        <v>519</v>
      </c>
      <c r="BQ154" s="21" t="s">
        <v>13</v>
      </c>
      <c r="BR154" s="21" t="s">
        <v>56</v>
      </c>
      <c r="BS154" s="21" t="s">
        <v>518</v>
      </c>
      <c r="BT154" s="21" t="s">
        <v>519</v>
      </c>
      <c r="BU154" s="21" t="s">
        <v>56</v>
      </c>
      <c r="CD154" s="21" t="s">
        <v>520</v>
      </c>
      <c r="CF154" s="21" t="s">
        <v>521</v>
      </c>
      <c r="CN154" s="26"/>
      <c r="DB154" s="24" t="s">
        <v>943</v>
      </c>
      <c r="DC154" s="21">
        <v>1</v>
      </c>
      <c r="DD154" s="21">
        <v>2</v>
      </c>
      <c r="DE154" s="22">
        <v>42744</v>
      </c>
      <c r="DF154" s="21" t="s">
        <v>2432</v>
      </c>
      <c r="DG154" s="21" t="s">
        <v>522</v>
      </c>
      <c r="DH154" s="21" t="s">
        <v>2433</v>
      </c>
      <c r="DI154" s="21" t="s">
        <v>495</v>
      </c>
      <c r="DJ154" s="21" t="s">
        <v>520</v>
      </c>
      <c r="DK154" s="26"/>
      <c r="DL154" s="26">
        <v>42753</v>
      </c>
      <c r="DM154" s="26">
        <v>42743</v>
      </c>
      <c r="DN154" s="21">
        <v>3100</v>
      </c>
      <c r="DO154" s="21">
        <v>10</v>
      </c>
      <c r="DP154" s="21">
        <v>1</v>
      </c>
      <c r="DQ154" s="21">
        <v>1</v>
      </c>
      <c r="DR154" s="21">
        <v>6</v>
      </c>
      <c r="DS154" s="21">
        <v>10</v>
      </c>
      <c r="DT154" s="21">
        <v>8</v>
      </c>
      <c r="DU154" s="21">
        <v>10</v>
      </c>
      <c r="DW154" s="21">
        <v>9</v>
      </c>
      <c r="EA154" s="21">
        <v>9</v>
      </c>
      <c r="EF154" s="25">
        <v>1</v>
      </c>
      <c r="EG154" s="25">
        <v>0</v>
      </c>
      <c r="EH154" s="25">
        <v>1</v>
      </c>
      <c r="EI154" s="25">
        <v>0</v>
      </c>
      <c r="EJ154" s="25" t="s">
        <v>62</v>
      </c>
      <c r="EK154" s="25" t="s">
        <v>57</v>
      </c>
      <c r="EL154" s="25" t="s">
        <v>57</v>
      </c>
      <c r="EM154" s="25" t="s">
        <v>276</v>
      </c>
      <c r="EN154" s="25" t="s">
        <v>9</v>
      </c>
      <c r="EO154" s="25" t="s">
        <v>9</v>
      </c>
      <c r="EP154" s="25" t="s">
        <v>62</v>
      </c>
      <c r="EQ154" s="25" t="s">
        <v>62</v>
      </c>
      <c r="ER154" s="25" t="s">
        <v>278</v>
      </c>
      <c r="ES154" s="25" t="s">
        <v>278</v>
      </c>
      <c r="ET154" s="25">
        <v>1</v>
      </c>
      <c r="EU154" s="25" t="s">
        <v>522</v>
      </c>
      <c r="EV154" s="25" t="s">
        <v>57</v>
      </c>
      <c r="EW154" s="25" t="s">
        <v>9</v>
      </c>
      <c r="EX154" s="25" t="s">
        <v>278</v>
      </c>
      <c r="EY154" s="20" t="e">
        <v>#N/A</v>
      </c>
    </row>
    <row r="155" spans="1:155">
      <c r="A155" s="21" t="s">
        <v>491</v>
      </c>
      <c r="B155" s="21" t="s">
        <v>491</v>
      </c>
      <c r="C155" s="21" t="s">
        <v>492</v>
      </c>
      <c r="D155" s="21" t="s">
        <v>493</v>
      </c>
      <c r="E155" s="21" t="s">
        <v>493</v>
      </c>
      <c r="F155" s="21" t="s">
        <v>493</v>
      </c>
      <c r="G155" s="21" t="s">
        <v>2434</v>
      </c>
      <c r="H155" s="21" t="s">
        <v>2435</v>
      </c>
      <c r="I155" s="21" t="s">
        <v>494</v>
      </c>
      <c r="J155" s="21" t="s">
        <v>2436</v>
      </c>
      <c r="L155" s="21" t="s">
        <v>495</v>
      </c>
      <c r="M155" s="21" t="s">
        <v>2437</v>
      </c>
      <c r="N155" s="21" t="s">
        <v>2438</v>
      </c>
      <c r="O155" s="21" t="s">
        <v>93</v>
      </c>
      <c r="P155" s="21" t="s">
        <v>539</v>
      </c>
      <c r="R155" s="21" t="s">
        <v>2439</v>
      </c>
      <c r="S155" s="21" t="s">
        <v>2231</v>
      </c>
      <c r="V155" s="21" t="s">
        <v>277</v>
      </c>
      <c r="W155" s="21" t="s">
        <v>524</v>
      </c>
      <c r="X155" s="21" t="s">
        <v>525</v>
      </c>
      <c r="Y155" s="21" t="s">
        <v>530</v>
      </c>
      <c r="Z155" s="21">
        <v>3035543597</v>
      </c>
      <c r="AA155" s="26">
        <v>42741</v>
      </c>
      <c r="AB155" s="26">
        <v>42741</v>
      </c>
      <c r="AC155" s="21" t="s">
        <v>504</v>
      </c>
      <c r="AD155" s="21" t="s">
        <v>505</v>
      </c>
      <c r="AE155" s="21" t="s">
        <v>565</v>
      </c>
      <c r="AF155" s="21" t="s">
        <v>566</v>
      </c>
      <c r="AG155" s="21" t="s">
        <v>567</v>
      </c>
      <c r="AH155" s="21" t="s">
        <v>568</v>
      </c>
      <c r="AI155" s="21" t="s">
        <v>1923</v>
      </c>
      <c r="AJ155" s="21" t="s">
        <v>507</v>
      </c>
      <c r="AK155" s="21" t="s">
        <v>494</v>
      </c>
      <c r="AL155" s="21" t="s">
        <v>527</v>
      </c>
      <c r="AM155" s="21" t="s">
        <v>527</v>
      </c>
      <c r="AN155" s="21" t="s">
        <v>527</v>
      </c>
      <c r="AO155" s="21" t="s">
        <v>528</v>
      </c>
      <c r="AS155" s="21" t="s">
        <v>511</v>
      </c>
      <c r="AT155" s="21" t="s">
        <v>512</v>
      </c>
      <c r="AW155" s="21">
        <v>0</v>
      </c>
      <c r="AX155" s="21">
        <v>3</v>
      </c>
      <c r="AY155" s="26"/>
      <c r="AZ155" s="26"/>
      <c r="BB155" s="26"/>
      <c r="BC155" s="21" t="s">
        <v>513</v>
      </c>
      <c r="BD155" s="21" t="s">
        <v>514</v>
      </c>
      <c r="BE155" s="21" t="s">
        <v>514</v>
      </c>
      <c r="BF155" s="21" t="s">
        <v>515</v>
      </c>
      <c r="BG155" s="21">
        <v>1</v>
      </c>
      <c r="BH155" s="21" t="s">
        <v>516</v>
      </c>
      <c r="BI155" s="21" t="s">
        <v>517</v>
      </c>
      <c r="BJ155" s="21" t="s">
        <v>516</v>
      </c>
      <c r="BK155" s="21" t="s">
        <v>516</v>
      </c>
      <c r="BM155" s="21" t="s">
        <v>1887</v>
      </c>
      <c r="BN155" s="21" t="s">
        <v>216</v>
      </c>
      <c r="BO155" s="21" t="s">
        <v>518</v>
      </c>
      <c r="BP155" s="21" t="s">
        <v>1044</v>
      </c>
      <c r="BQ155" s="21" t="s">
        <v>861</v>
      </c>
      <c r="BR155" s="21" t="s">
        <v>852</v>
      </c>
      <c r="BS155" s="21" t="s">
        <v>849</v>
      </c>
      <c r="BT155" s="21" t="s">
        <v>541</v>
      </c>
      <c r="BU155" s="21" t="s">
        <v>216</v>
      </c>
      <c r="CD155" s="21" t="s">
        <v>520</v>
      </c>
      <c r="CF155" s="21" t="s">
        <v>521</v>
      </c>
      <c r="CN155" s="26"/>
      <c r="DB155" s="24" t="s">
        <v>943</v>
      </c>
      <c r="DC155" s="21">
        <v>1</v>
      </c>
      <c r="DD155" s="21">
        <v>2</v>
      </c>
      <c r="DE155" s="22">
        <v>42744</v>
      </c>
      <c r="DF155" s="21" t="s">
        <v>2440</v>
      </c>
      <c r="DG155" s="21" t="s">
        <v>522</v>
      </c>
      <c r="DH155" s="21" t="s">
        <v>2441</v>
      </c>
      <c r="DI155" s="21" t="s">
        <v>495</v>
      </c>
      <c r="DJ155" s="21" t="s">
        <v>520</v>
      </c>
      <c r="DK155" s="26"/>
      <c r="DL155" s="26">
        <v>42753</v>
      </c>
      <c r="DM155" s="26">
        <v>42743</v>
      </c>
      <c r="DN155" s="21">
        <v>1100</v>
      </c>
      <c r="DO155" s="21">
        <v>10</v>
      </c>
      <c r="DP155" s="21">
        <v>1</v>
      </c>
      <c r="DQ155" s="21">
        <v>2</v>
      </c>
      <c r="DR155" s="21">
        <v>7</v>
      </c>
      <c r="DS155" s="21">
        <v>10</v>
      </c>
      <c r="DT155" s="21">
        <v>10</v>
      </c>
      <c r="DU155" s="21">
        <v>9</v>
      </c>
      <c r="DW155" s="21">
        <v>10</v>
      </c>
      <c r="EA155" s="21">
        <v>10</v>
      </c>
      <c r="EB155" s="21" t="s">
        <v>2442</v>
      </c>
      <c r="EC155" s="21" t="s">
        <v>1968</v>
      </c>
      <c r="EF155" s="25">
        <v>1</v>
      </c>
      <c r="EG155" s="25">
        <v>0</v>
      </c>
      <c r="EH155" s="25">
        <v>1</v>
      </c>
      <c r="EI155" s="25">
        <v>0</v>
      </c>
      <c r="EJ155" s="25" t="s">
        <v>92</v>
      </c>
      <c r="EK155" s="25" t="s">
        <v>217</v>
      </c>
      <c r="EL155" s="25" t="s">
        <v>197</v>
      </c>
      <c r="EM155" s="25" t="s">
        <v>276</v>
      </c>
      <c r="EN155" s="25" t="s">
        <v>31</v>
      </c>
      <c r="EO155" s="25" t="s">
        <v>271</v>
      </c>
      <c r="EP155" s="25" t="s">
        <v>92</v>
      </c>
      <c r="EQ155" s="25" t="s">
        <v>548</v>
      </c>
      <c r="ER155" s="25" t="s">
        <v>278</v>
      </c>
      <c r="ES155" s="25" t="s">
        <v>278</v>
      </c>
      <c r="ET155" s="25">
        <v>1</v>
      </c>
      <c r="EU155" s="25" t="s">
        <v>522</v>
      </c>
      <c r="EV155" s="25" t="s">
        <v>279</v>
      </c>
      <c r="EW155" s="25" t="s">
        <v>279</v>
      </c>
      <c r="EX155" s="25" t="s">
        <v>279</v>
      </c>
      <c r="EY155" s="20" t="e">
        <v>#N/A</v>
      </c>
    </row>
    <row r="156" spans="1:155">
      <c r="A156" s="21" t="s">
        <v>491</v>
      </c>
      <c r="B156" s="21" t="s">
        <v>491</v>
      </c>
      <c r="C156" s="21" t="s">
        <v>492</v>
      </c>
      <c r="D156" s="21" t="s">
        <v>493</v>
      </c>
      <c r="E156" s="21" t="s">
        <v>493</v>
      </c>
      <c r="F156" s="21" t="s">
        <v>493</v>
      </c>
      <c r="G156" s="21" t="s">
        <v>2443</v>
      </c>
      <c r="H156" s="21">
        <v>1932582682</v>
      </c>
      <c r="I156" s="21" t="s">
        <v>494</v>
      </c>
      <c r="J156" s="21" t="s">
        <v>2444</v>
      </c>
      <c r="L156" s="21" t="s">
        <v>495</v>
      </c>
      <c r="M156" s="21" t="s">
        <v>2445</v>
      </c>
      <c r="N156" s="21" t="s">
        <v>496</v>
      </c>
      <c r="O156" s="21" t="s">
        <v>69</v>
      </c>
      <c r="P156" s="21" t="s">
        <v>497</v>
      </c>
      <c r="R156" s="21" t="s">
        <v>498</v>
      </c>
      <c r="S156" s="21" t="s">
        <v>499</v>
      </c>
      <c r="V156" s="21" t="s">
        <v>500</v>
      </c>
      <c r="W156" s="21" t="s">
        <v>501</v>
      </c>
      <c r="X156" s="21" t="s">
        <v>502</v>
      </c>
      <c r="Y156" s="21" t="s">
        <v>503</v>
      </c>
      <c r="Z156" s="21">
        <v>3035541726</v>
      </c>
      <c r="AA156" s="26">
        <v>42741</v>
      </c>
      <c r="AB156" s="26">
        <v>42741</v>
      </c>
      <c r="AC156" s="21" t="s">
        <v>504</v>
      </c>
      <c r="AD156" s="21" t="s">
        <v>505</v>
      </c>
      <c r="AE156" s="21" t="s">
        <v>500</v>
      </c>
      <c r="AF156" s="21" t="s">
        <v>549</v>
      </c>
      <c r="AG156" s="21" t="s">
        <v>1007</v>
      </c>
      <c r="AH156" s="21" t="s">
        <v>1008</v>
      </c>
      <c r="AI156" s="21" t="s">
        <v>1024</v>
      </c>
      <c r="AJ156" s="21" t="s">
        <v>526</v>
      </c>
      <c r="AK156" s="21" t="s">
        <v>494</v>
      </c>
      <c r="AL156" s="21" t="s">
        <v>527</v>
      </c>
      <c r="AM156" s="21" t="s">
        <v>527</v>
      </c>
      <c r="AN156" s="21" t="s">
        <v>527</v>
      </c>
      <c r="AO156" s="21" t="s">
        <v>528</v>
      </c>
      <c r="AS156" s="21" t="s">
        <v>511</v>
      </c>
      <c r="AT156" s="21" t="s">
        <v>512</v>
      </c>
      <c r="AW156" s="21">
        <v>0</v>
      </c>
      <c r="AX156" s="21">
        <v>2</v>
      </c>
      <c r="AY156" s="26"/>
      <c r="AZ156" s="26"/>
      <c r="BB156" s="26"/>
      <c r="BC156" s="21" t="s">
        <v>513</v>
      </c>
      <c r="BD156" s="21" t="s">
        <v>514</v>
      </c>
      <c r="BE156" s="21" t="s">
        <v>514</v>
      </c>
      <c r="BF156" s="21" t="s">
        <v>515</v>
      </c>
      <c r="BG156" s="21">
        <v>1</v>
      </c>
      <c r="BH156" s="21" t="s">
        <v>516</v>
      </c>
      <c r="BI156" s="21" t="s">
        <v>517</v>
      </c>
      <c r="BJ156" s="21" t="s">
        <v>516</v>
      </c>
      <c r="BK156" s="21" t="s">
        <v>516</v>
      </c>
      <c r="BM156" s="21" t="s">
        <v>13</v>
      </c>
      <c r="BN156" s="21" t="s">
        <v>56</v>
      </c>
      <c r="BO156" s="21" t="s">
        <v>518</v>
      </c>
      <c r="BP156" s="21" t="s">
        <v>519</v>
      </c>
      <c r="BQ156" s="21" t="s">
        <v>13</v>
      </c>
      <c r="BR156" s="21" t="s">
        <v>56</v>
      </c>
      <c r="BS156" s="21" t="s">
        <v>518</v>
      </c>
      <c r="BT156" s="21" t="s">
        <v>519</v>
      </c>
      <c r="BU156" s="21" t="s">
        <v>56</v>
      </c>
      <c r="CD156" s="21" t="s">
        <v>520</v>
      </c>
      <c r="CF156" s="21" t="s">
        <v>521</v>
      </c>
      <c r="CN156" s="26"/>
      <c r="DB156" s="24" t="s">
        <v>943</v>
      </c>
      <c r="DC156" s="21">
        <v>1</v>
      </c>
      <c r="DD156" s="21">
        <v>2</v>
      </c>
      <c r="DE156" s="22">
        <v>42744</v>
      </c>
      <c r="DF156" s="21" t="s">
        <v>2446</v>
      </c>
      <c r="DG156" s="21" t="s">
        <v>522</v>
      </c>
      <c r="DH156" s="21" t="s">
        <v>2447</v>
      </c>
      <c r="DI156" s="21" t="s">
        <v>495</v>
      </c>
      <c r="DJ156" s="21" t="s">
        <v>520</v>
      </c>
      <c r="DK156" s="26"/>
      <c r="DL156" s="26">
        <v>42753</v>
      </c>
      <c r="DM156" s="26">
        <v>42743</v>
      </c>
      <c r="DN156" s="21">
        <v>3100</v>
      </c>
      <c r="DO156" s="21">
        <v>9</v>
      </c>
      <c r="DP156" s="21">
        <v>1</v>
      </c>
      <c r="DQ156" s="21">
        <v>1</v>
      </c>
      <c r="DR156" s="21">
        <v>7</v>
      </c>
      <c r="DS156" s="21">
        <v>10</v>
      </c>
      <c r="DT156" s="21">
        <v>10</v>
      </c>
      <c r="DU156" s="21">
        <v>10</v>
      </c>
      <c r="DW156" s="21">
        <v>10</v>
      </c>
      <c r="EA156" s="21">
        <v>10</v>
      </c>
      <c r="EB156" s="21" t="s">
        <v>2448</v>
      </c>
      <c r="EC156" s="21" t="s">
        <v>1221</v>
      </c>
      <c r="EF156" s="25">
        <v>1</v>
      </c>
      <c r="EG156" s="25">
        <v>0</v>
      </c>
      <c r="EH156" s="25">
        <v>1</v>
      </c>
      <c r="EI156" s="25">
        <v>0</v>
      </c>
      <c r="EJ156" s="25" t="s">
        <v>62</v>
      </c>
      <c r="EK156" s="25" t="s">
        <v>57</v>
      </c>
      <c r="EL156" s="25" t="s">
        <v>57</v>
      </c>
      <c r="EM156" s="25" t="s">
        <v>276</v>
      </c>
      <c r="EN156" s="25" t="s">
        <v>9</v>
      </c>
      <c r="EO156" s="25" t="s">
        <v>9</v>
      </c>
      <c r="EP156" s="25" t="s">
        <v>62</v>
      </c>
      <c r="EQ156" s="25" t="s">
        <v>62</v>
      </c>
      <c r="ER156" s="25" t="s">
        <v>278</v>
      </c>
      <c r="ES156" s="25" t="s">
        <v>278</v>
      </c>
      <c r="ET156" s="25">
        <v>1</v>
      </c>
      <c r="EU156" s="25" t="s">
        <v>522</v>
      </c>
      <c r="EV156" s="25" t="s">
        <v>57</v>
      </c>
      <c r="EW156" s="25" t="s">
        <v>9</v>
      </c>
      <c r="EX156" s="25" t="s">
        <v>278</v>
      </c>
      <c r="EY156" s="20" t="e">
        <v>#N/A</v>
      </c>
    </row>
    <row r="157" spans="1:155">
      <c r="A157" s="21" t="s">
        <v>491</v>
      </c>
      <c r="B157" s="21" t="s">
        <v>491</v>
      </c>
      <c r="C157" s="21" t="s">
        <v>492</v>
      </c>
      <c r="D157" s="21" t="s">
        <v>493</v>
      </c>
      <c r="E157" s="21" t="s">
        <v>493</v>
      </c>
      <c r="F157" s="21" t="s">
        <v>493</v>
      </c>
      <c r="G157" s="21" t="s">
        <v>2449</v>
      </c>
      <c r="H157" s="21">
        <v>1137440172</v>
      </c>
      <c r="I157" s="21" t="s">
        <v>494</v>
      </c>
      <c r="J157" s="21" t="s">
        <v>2450</v>
      </c>
      <c r="L157" s="21" t="s">
        <v>495</v>
      </c>
      <c r="M157" s="21" t="s">
        <v>2451</v>
      </c>
      <c r="N157" s="21" t="s">
        <v>2452</v>
      </c>
      <c r="O157" s="21" t="s">
        <v>58</v>
      </c>
      <c r="P157" s="21" t="s">
        <v>557</v>
      </c>
      <c r="R157" s="21" t="s">
        <v>2453</v>
      </c>
      <c r="S157" s="21" t="s">
        <v>2454</v>
      </c>
      <c r="V157" s="21" t="s">
        <v>500</v>
      </c>
      <c r="W157" s="21" t="s">
        <v>501</v>
      </c>
      <c r="X157" s="21" t="s">
        <v>502</v>
      </c>
      <c r="Y157" s="21" t="s">
        <v>558</v>
      </c>
      <c r="Z157" s="21">
        <v>3035513063</v>
      </c>
      <c r="AA157" s="26">
        <v>42740</v>
      </c>
      <c r="AB157" s="26">
        <v>42741</v>
      </c>
      <c r="AC157" s="21" t="s">
        <v>504</v>
      </c>
      <c r="AD157" s="21" t="s">
        <v>505</v>
      </c>
      <c r="AE157" s="21" t="s">
        <v>500</v>
      </c>
      <c r="AF157" s="21" t="s">
        <v>564</v>
      </c>
      <c r="AG157" s="21" t="s">
        <v>571</v>
      </c>
      <c r="AH157" s="21" t="s">
        <v>572</v>
      </c>
      <c r="AI157" s="21" t="s">
        <v>2455</v>
      </c>
      <c r="AJ157" s="21" t="s">
        <v>507</v>
      </c>
      <c r="AK157" s="21" t="s">
        <v>494</v>
      </c>
      <c r="AL157" s="21" t="s">
        <v>508</v>
      </c>
      <c r="AM157" s="21" t="s">
        <v>509</v>
      </c>
      <c r="AN157" s="21" t="s">
        <v>509</v>
      </c>
      <c r="AO157" s="21" t="s">
        <v>510</v>
      </c>
      <c r="AS157" s="21" t="s">
        <v>511</v>
      </c>
      <c r="AT157" s="21" t="s">
        <v>512</v>
      </c>
      <c r="AW157" s="21">
        <v>0</v>
      </c>
      <c r="AX157" s="21">
        <v>6</v>
      </c>
      <c r="AY157" s="26"/>
      <c r="AZ157" s="26"/>
      <c r="BB157" s="26"/>
      <c r="BC157" s="21" t="s">
        <v>513</v>
      </c>
      <c r="BD157" s="21" t="s">
        <v>514</v>
      </c>
      <c r="BE157" s="21" t="s">
        <v>514</v>
      </c>
      <c r="BF157" s="21" t="s">
        <v>515</v>
      </c>
      <c r="BG157" s="21">
        <v>1</v>
      </c>
      <c r="BH157" s="21" t="s">
        <v>516</v>
      </c>
      <c r="BI157" s="21" t="s">
        <v>517</v>
      </c>
      <c r="BJ157" s="21" t="s">
        <v>516</v>
      </c>
      <c r="BK157" s="21" t="s">
        <v>516</v>
      </c>
      <c r="BM157" s="21" t="s">
        <v>32</v>
      </c>
      <c r="BN157" s="21" t="s">
        <v>202</v>
      </c>
      <c r="BO157" s="21" t="s">
        <v>518</v>
      </c>
      <c r="BP157" s="21" t="s">
        <v>519</v>
      </c>
      <c r="BQ157" s="21" t="s">
        <v>33</v>
      </c>
      <c r="BR157" s="21" t="s">
        <v>209</v>
      </c>
      <c r="BS157" s="21" t="s">
        <v>518</v>
      </c>
      <c r="BT157" s="21" t="s">
        <v>1044</v>
      </c>
      <c r="BU157" s="21" t="s">
        <v>202</v>
      </c>
      <c r="CD157" s="21" t="s">
        <v>520</v>
      </c>
      <c r="CF157" s="21" t="s">
        <v>521</v>
      </c>
      <c r="CN157" s="26"/>
      <c r="DB157" s="24" t="s">
        <v>943</v>
      </c>
      <c r="DC157" s="21">
        <v>1</v>
      </c>
      <c r="DD157" s="21">
        <v>2</v>
      </c>
      <c r="DE157" s="22">
        <v>42744</v>
      </c>
      <c r="DF157" s="21" t="s">
        <v>2456</v>
      </c>
      <c r="DG157" s="21" t="s">
        <v>522</v>
      </c>
      <c r="DH157" s="21" t="s">
        <v>2457</v>
      </c>
      <c r="DI157" s="21" t="s">
        <v>495</v>
      </c>
      <c r="DJ157" s="21" t="s">
        <v>520</v>
      </c>
      <c r="DK157" s="26"/>
      <c r="DL157" s="26">
        <v>42753</v>
      </c>
      <c r="DM157" s="26">
        <v>42743</v>
      </c>
      <c r="DN157" s="21">
        <v>3100</v>
      </c>
      <c r="DO157" s="21">
        <v>0</v>
      </c>
      <c r="DP157" s="21">
        <v>2</v>
      </c>
      <c r="DQ157" s="21">
        <v>2</v>
      </c>
      <c r="DR157" s="21">
        <v>1</v>
      </c>
      <c r="DS157" s="21">
        <v>99</v>
      </c>
      <c r="DT157" s="21">
        <v>0</v>
      </c>
      <c r="DU157" s="21">
        <v>0</v>
      </c>
      <c r="DW157" s="21">
        <v>0</v>
      </c>
      <c r="EA157" s="21">
        <v>0</v>
      </c>
      <c r="EB157" s="21" t="s">
        <v>2458</v>
      </c>
      <c r="EC157" s="21" t="s">
        <v>2478</v>
      </c>
      <c r="EF157" s="25">
        <v>0</v>
      </c>
      <c r="EG157" s="25">
        <v>1</v>
      </c>
      <c r="EH157" s="25">
        <v>0</v>
      </c>
      <c r="EI157" s="25">
        <v>1</v>
      </c>
      <c r="EJ157" s="25" t="s">
        <v>62</v>
      </c>
      <c r="EK157" s="25" t="s">
        <v>203</v>
      </c>
      <c r="EL157" s="25" t="s">
        <v>210</v>
      </c>
      <c r="EM157" s="25" t="s">
        <v>276</v>
      </c>
      <c r="EN157" s="25" t="s">
        <v>31</v>
      </c>
      <c r="EO157" s="25" t="s">
        <v>31</v>
      </c>
      <c r="EP157" s="25" t="s">
        <v>62</v>
      </c>
      <c r="EQ157" s="25" t="s">
        <v>529</v>
      </c>
      <c r="ER157" s="25" t="s">
        <v>278</v>
      </c>
      <c r="ES157" s="25" t="s">
        <v>278</v>
      </c>
      <c r="ET157" s="25">
        <v>1</v>
      </c>
      <c r="EU157" s="25" t="s">
        <v>522</v>
      </c>
      <c r="EV157" s="25" t="s">
        <v>279</v>
      </c>
      <c r="EW157" s="25" t="s">
        <v>279</v>
      </c>
      <c r="EX157" s="25" t="s">
        <v>279</v>
      </c>
      <c r="EY157" s="20" t="e">
        <v>#N/A</v>
      </c>
    </row>
    <row r="158" spans="1:155">
      <c r="A158" s="21" t="s">
        <v>491</v>
      </c>
      <c r="B158" s="21" t="s">
        <v>491</v>
      </c>
      <c r="C158" s="21" t="s">
        <v>492</v>
      </c>
      <c r="D158" s="21" t="s">
        <v>493</v>
      </c>
      <c r="E158" s="21" t="s">
        <v>493</v>
      </c>
      <c r="F158" s="21" t="s">
        <v>493</v>
      </c>
      <c r="G158" s="21" t="s">
        <v>2459</v>
      </c>
      <c r="H158" s="21">
        <v>11999000016</v>
      </c>
      <c r="I158" s="21" t="s">
        <v>494</v>
      </c>
      <c r="J158" s="21" t="s">
        <v>2460</v>
      </c>
      <c r="L158" s="21" t="s">
        <v>495</v>
      </c>
      <c r="M158" s="21" t="s">
        <v>2461</v>
      </c>
      <c r="N158" s="21" t="s">
        <v>550</v>
      </c>
      <c r="O158" s="21" t="s">
        <v>69</v>
      </c>
      <c r="P158" s="21" t="s">
        <v>497</v>
      </c>
      <c r="R158" s="21" t="s">
        <v>551</v>
      </c>
      <c r="S158" s="21" t="s">
        <v>552</v>
      </c>
      <c r="V158" s="21" t="s">
        <v>500</v>
      </c>
      <c r="W158" s="21" t="s">
        <v>501</v>
      </c>
      <c r="X158" s="21" t="s">
        <v>502</v>
      </c>
      <c r="Y158" s="21" t="s">
        <v>503</v>
      </c>
      <c r="Z158" s="21">
        <v>3035543749</v>
      </c>
      <c r="AA158" s="26">
        <v>42741</v>
      </c>
      <c r="AB158" s="26">
        <v>42741</v>
      </c>
      <c r="AC158" s="21" t="s">
        <v>504</v>
      </c>
      <c r="AD158" s="21" t="s">
        <v>505</v>
      </c>
      <c r="AE158" s="21" t="s">
        <v>500</v>
      </c>
      <c r="AF158" s="21" t="s">
        <v>549</v>
      </c>
      <c r="AG158" s="21" t="s">
        <v>555</v>
      </c>
      <c r="AH158" s="21" t="s">
        <v>556</v>
      </c>
      <c r="AI158" s="21" t="s">
        <v>2462</v>
      </c>
      <c r="AJ158" s="21" t="s">
        <v>526</v>
      </c>
      <c r="AK158" s="21" t="s">
        <v>494</v>
      </c>
      <c r="AL158" s="21" t="s">
        <v>527</v>
      </c>
      <c r="AM158" s="21" t="s">
        <v>527</v>
      </c>
      <c r="AN158" s="21" t="s">
        <v>527</v>
      </c>
      <c r="AO158" s="21" t="s">
        <v>528</v>
      </c>
      <c r="AS158" s="21" t="s">
        <v>511</v>
      </c>
      <c r="AT158" s="21" t="s">
        <v>512</v>
      </c>
      <c r="AW158" s="21">
        <v>0</v>
      </c>
      <c r="AX158" s="21">
        <v>2</v>
      </c>
      <c r="AY158" s="26"/>
      <c r="AZ158" s="26"/>
      <c r="BB158" s="26"/>
      <c r="BC158" s="21" t="s">
        <v>513</v>
      </c>
      <c r="BD158" s="21" t="s">
        <v>514</v>
      </c>
      <c r="BE158" s="21" t="s">
        <v>514</v>
      </c>
      <c r="BF158" s="21" t="s">
        <v>515</v>
      </c>
      <c r="BG158" s="21">
        <v>1</v>
      </c>
      <c r="BH158" s="21" t="s">
        <v>516</v>
      </c>
      <c r="BI158" s="21" t="s">
        <v>517</v>
      </c>
      <c r="BJ158" s="21" t="s">
        <v>516</v>
      </c>
      <c r="BK158" s="21" t="s">
        <v>516</v>
      </c>
      <c r="BM158" s="21" t="s">
        <v>32</v>
      </c>
      <c r="BN158" s="21" t="s">
        <v>202</v>
      </c>
      <c r="BO158" s="21" t="s">
        <v>518</v>
      </c>
      <c r="BP158" s="21" t="s">
        <v>519</v>
      </c>
      <c r="BQ158" s="21" t="s">
        <v>32</v>
      </c>
      <c r="BR158" s="21" t="s">
        <v>202</v>
      </c>
      <c r="BS158" s="21" t="s">
        <v>518</v>
      </c>
      <c r="BT158" s="21" t="s">
        <v>519</v>
      </c>
      <c r="BU158" s="21" t="s">
        <v>202</v>
      </c>
      <c r="CD158" s="21" t="s">
        <v>520</v>
      </c>
      <c r="CF158" s="21" t="s">
        <v>521</v>
      </c>
      <c r="CN158" s="26"/>
      <c r="DB158" s="24" t="s">
        <v>943</v>
      </c>
      <c r="DC158" s="21">
        <v>1</v>
      </c>
      <c r="DD158" s="21">
        <v>2</v>
      </c>
      <c r="DE158" s="22">
        <v>42744</v>
      </c>
      <c r="DF158" s="21" t="s">
        <v>2463</v>
      </c>
      <c r="DG158" s="21" t="s">
        <v>522</v>
      </c>
      <c r="DH158" s="21" t="s">
        <v>2464</v>
      </c>
      <c r="DI158" s="21" t="s">
        <v>495</v>
      </c>
      <c r="DJ158" s="21" t="s">
        <v>520</v>
      </c>
      <c r="DK158" s="26"/>
      <c r="DL158" s="26">
        <v>42753</v>
      </c>
      <c r="DM158" s="26">
        <v>42743</v>
      </c>
      <c r="DN158" s="21">
        <v>3100</v>
      </c>
      <c r="DO158" s="21">
        <v>9</v>
      </c>
      <c r="DP158" s="21">
        <v>1</v>
      </c>
      <c r="DQ158" s="21">
        <v>1</v>
      </c>
      <c r="DR158" s="21">
        <v>7</v>
      </c>
      <c r="DS158" s="21">
        <v>10</v>
      </c>
      <c r="DT158" s="21">
        <v>8</v>
      </c>
      <c r="DU158" s="21">
        <v>8</v>
      </c>
      <c r="DW158" s="21">
        <v>7</v>
      </c>
      <c r="EA158" s="21">
        <v>10</v>
      </c>
      <c r="EF158" s="25">
        <v>1</v>
      </c>
      <c r="EG158" s="25">
        <v>0</v>
      </c>
      <c r="EH158" s="25">
        <v>1</v>
      </c>
      <c r="EI158" s="25">
        <v>0</v>
      </c>
      <c r="EJ158" s="25" t="s">
        <v>62</v>
      </c>
      <c r="EK158" s="25" t="s">
        <v>203</v>
      </c>
      <c r="EL158" s="25" t="s">
        <v>203</v>
      </c>
      <c r="EM158" s="25" t="s">
        <v>276</v>
      </c>
      <c r="EN158" s="25" t="s">
        <v>31</v>
      </c>
      <c r="EO158" s="25" t="s">
        <v>31</v>
      </c>
      <c r="EP158" s="25" t="s">
        <v>62</v>
      </c>
      <c r="EQ158" s="25" t="s">
        <v>62</v>
      </c>
      <c r="ER158" s="25" t="s">
        <v>278</v>
      </c>
      <c r="ES158" s="25" t="s">
        <v>278</v>
      </c>
      <c r="ET158" s="25">
        <v>1</v>
      </c>
      <c r="EU158" s="25" t="s">
        <v>522</v>
      </c>
      <c r="EV158" s="25" t="s">
        <v>203</v>
      </c>
      <c r="EW158" s="25" t="s">
        <v>31</v>
      </c>
      <c r="EX158" s="25" t="s">
        <v>278</v>
      </c>
      <c r="EY158" s="20" t="e">
        <v>#N/A</v>
      </c>
    </row>
    <row r="159" spans="1:155">
      <c r="A159" s="21" t="s">
        <v>491</v>
      </c>
      <c r="B159" s="21" t="s">
        <v>491</v>
      </c>
      <c r="C159" s="21" t="s">
        <v>492</v>
      </c>
      <c r="D159" s="21" t="s">
        <v>493</v>
      </c>
      <c r="E159" s="21" t="s">
        <v>493</v>
      </c>
      <c r="F159" s="21" t="s">
        <v>493</v>
      </c>
      <c r="G159" s="21" t="s">
        <v>2479</v>
      </c>
      <c r="H159" s="21">
        <v>48998565494</v>
      </c>
      <c r="I159" s="21" t="s">
        <v>494</v>
      </c>
      <c r="J159" s="21" t="s">
        <v>2480</v>
      </c>
      <c r="L159" s="21" t="s">
        <v>495</v>
      </c>
      <c r="M159" s="21" t="s">
        <v>2481</v>
      </c>
      <c r="N159" s="21" t="s">
        <v>2482</v>
      </c>
      <c r="O159" s="21" t="s">
        <v>100</v>
      </c>
      <c r="P159" s="21" t="s">
        <v>1187</v>
      </c>
      <c r="Q159" s="21" t="s">
        <v>1301</v>
      </c>
      <c r="R159" s="21" t="s">
        <v>2483</v>
      </c>
      <c r="S159" s="21" t="s">
        <v>2484</v>
      </c>
      <c r="V159" s="21" t="s">
        <v>277</v>
      </c>
      <c r="W159" s="21" t="s">
        <v>524</v>
      </c>
      <c r="X159" s="21" t="s">
        <v>525</v>
      </c>
      <c r="Y159" s="21" t="s">
        <v>1190</v>
      </c>
      <c r="Z159" s="21">
        <v>3035436859</v>
      </c>
      <c r="AA159" s="26">
        <v>42738</v>
      </c>
      <c r="AB159" s="26">
        <v>42738</v>
      </c>
      <c r="AC159" s="21" t="s">
        <v>504</v>
      </c>
      <c r="AD159" s="21" t="s">
        <v>505</v>
      </c>
      <c r="AE159" s="21" t="s">
        <v>1054</v>
      </c>
      <c r="AF159" s="21" t="s">
        <v>1105</v>
      </c>
      <c r="AG159" s="21" t="s">
        <v>2485</v>
      </c>
      <c r="AH159" s="21" t="s">
        <v>2486</v>
      </c>
      <c r="AI159" s="21" t="s">
        <v>2487</v>
      </c>
      <c r="AJ159" s="21" t="s">
        <v>1109</v>
      </c>
      <c r="AK159" s="21" t="s">
        <v>494</v>
      </c>
      <c r="AL159" s="21" t="s">
        <v>1465</v>
      </c>
      <c r="AM159" s="21" t="s">
        <v>1466</v>
      </c>
      <c r="AN159" s="21" t="s">
        <v>1466</v>
      </c>
      <c r="AO159" s="21" t="s">
        <v>528</v>
      </c>
      <c r="AS159" s="21" t="s">
        <v>1195</v>
      </c>
      <c r="AT159" s="21" t="s">
        <v>512</v>
      </c>
      <c r="AW159" s="21">
        <v>0</v>
      </c>
      <c r="AX159" s="21">
        <v>1</v>
      </c>
      <c r="AY159" s="26"/>
      <c r="AZ159" s="26"/>
      <c r="BB159" s="26"/>
      <c r="BC159" s="21" t="s">
        <v>513</v>
      </c>
      <c r="BD159" s="21" t="s">
        <v>514</v>
      </c>
      <c r="BE159" s="21" t="s">
        <v>1196</v>
      </c>
      <c r="BF159" s="21" t="s">
        <v>515</v>
      </c>
      <c r="BG159" s="21">
        <v>1</v>
      </c>
      <c r="BH159" s="21" t="s">
        <v>516</v>
      </c>
      <c r="BI159" s="21" t="s">
        <v>517</v>
      </c>
      <c r="BJ159" s="21" t="s">
        <v>516</v>
      </c>
      <c r="BK159" s="21" t="s">
        <v>516</v>
      </c>
      <c r="BM159" s="21" t="s">
        <v>2271</v>
      </c>
      <c r="BN159" s="21" t="s">
        <v>857</v>
      </c>
      <c r="BO159" s="21" t="s">
        <v>518</v>
      </c>
      <c r="BP159" s="21" t="s">
        <v>1044</v>
      </c>
      <c r="BQ159" s="21" t="s">
        <v>2271</v>
      </c>
      <c r="BR159" s="21" t="s">
        <v>857</v>
      </c>
      <c r="BS159" s="21" t="s">
        <v>518</v>
      </c>
      <c r="BT159" s="21" t="s">
        <v>1044</v>
      </c>
      <c r="BU159" s="21" t="s">
        <v>857</v>
      </c>
      <c r="CD159" s="21" t="s">
        <v>520</v>
      </c>
      <c r="CF159" s="21" t="s">
        <v>521</v>
      </c>
      <c r="CN159" s="26"/>
      <c r="DB159" s="24" t="s">
        <v>943</v>
      </c>
      <c r="DC159" s="21">
        <v>1</v>
      </c>
      <c r="DD159" s="21">
        <v>2</v>
      </c>
      <c r="DE159" s="22">
        <v>42745</v>
      </c>
      <c r="DF159" s="21" t="s">
        <v>2488</v>
      </c>
      <c r="DG159" s="21" t="s">
        <v>522</v>
      </c>
      <c r="DH159" s="21" t="s">
        <v>2489</v>
      </c>
      <c r="DI159" s="21" t="s">
        <v>495</v>
      </c>
      <c r="DJ159" s="21" t="s">
        <v>523</v>
      </c>
      <c r="DK159" s="26"/>
      <c r="DL159" s="26">
        <v>42750</v>
      </c>
      <c r="DM159" s="26">
        <v>42740</v>
      </c>
      <c r="DN159" s="21">
        <v>300</v>
      </c>
      <c r="DO159" s="21">
        <v>0</v>
      </c>
      <c r="DP159" s="21">
        <v>2</v>
      </c>
      <c r="DQ159" s="21">
        <v>2</v>
      </c>
      <c r="DR159" s="21">
        <v>1</v>
      </c>
      <c r="DS159" s="21">
        <v>0</v>
      </c>
      <c r="DT159" s="21">
        <v>0</v>
      </c>
      <c r="DU159" s="21">
        <v>0</v>
      </c>
      <c r="DW159" s="21">
        <v>0</v>
      </c>
      <c r="EA159" s="21">
        <v>0</v>
      </c>
      <c r="EB159" s="21" t="s">
        <v>2490</v>
      </c>
      <c r="EC159" s="21" t="s">
        <v>1221</v>
      </c>
      <c r="EF159" s="25">
        <v>0</v>
      </c>
      <c r="EG159" s="25">
        <v>1</v>
      </c>
      <c r="EH159" s="25">
        <v>0</v>
      </c>
      <c r="EI159" s="25">
        <v>1</v>
      </c>
      <c r="EJ159" s="25" t="s">
        <v>92</v>
      </c>
      <c r="EK159" s="25" t="s">
        <v>276</v>
      </c>
      <c r="EL159" s="25" t="s">
        <v>276</v>
      </c>
      <c r="EM159" s="25" t="s">
        <v>276</v>
      </c>
      <c r="EN159" s="25" t="s">
        <v>276</v>
      </c>
      <c r="EO159" s="25" t="s">
        <v>276</v>
      </c>
      <c r="EP159" s="25" t="s">
        <v>276</v>
      </c>
      <c r="EQ159" s="25" t="s">
        <v>276</v>
      </c>
      <c r="ER159" s="25" t="s">
        <v>276</v>
      </c>
      <c r="ES159" s="25" t="s">
        <v>276</v>
      </c>
      <c r="ET159" s="25">
        <v>1</v>
      </c>
      <c r="EU159" s="25" t="s">
        <v>522</v>
      </c>
      <c r="EV159" s="25" t="s">
        <v>276</v>
      </c>
      <c r="EW159" s="25" t="s">
        <v>276</v>
      </c>
      <c r="EX159" s="25" t="s">
        <v>276</v>
      </c>
      <c r="EY159" s="20" t="s">
        <v>52</v>
      </c>
    </row>
    <row r="160" spans="1:155">
      <c r="A160" s="21" t="s">
        <v>491</v>
      </c>
      <c r="B160" s="21" t="s">
        <v>491</v>
      </c>
      <c r="C160" s="21" t="s">
        <v>492</v>
      </c>
      <c r="D160" s="21" t="s">
        <v>493</v>
      </c>
      <c r="E160" s="21" t="s">
        <v>493</v>
      </c>
      <c r="F160" s="21" t="s">
        <v>493</v>
      </c>
      <c r="G160" s="21" t="s">
        <v>2491</v>
      </c>
      <c r="H160" s="21" t="s">
        <v>2492</v>
      </c>
      <c r="I160" s="21" t="s">
        <v>494</v>
      </c>
      <c r="J160" s="21" t="s">
        <v>2493</v>
      </c>
      <c r="L160" s="21" t="s">
        <v>495</v>
      </c>
      <c r="M160" s="21" t="s">
        <v>2494</v>
      </c>
      <c r="N160" s="21" t="s">
        <v>496</v>
      </c>
      <c r="O160" s="21" t="s">
        <v>69</v>
      </c>
      <c r="P160" s="21" t="s">
        <v>497</v>
      </c>
      <c r="Q160" s="21" t="s">
        <v>1178</v>
      </c>
      <c r="R160" s="21" t="s">
        <v>498</v>
      </c>
      <c r="S160" s="21" t="s">
        <v>499</v>
      </c>
      <c r="V160" s="21" t="s">
        <v>500</v>
      </c>
      <c r="W160" s="21" t="s">
        <v>501</v>
      </c>
      <c r="X160" s="21" t="s">
        <v>502</v>
      </c>
      <c r="Y160" s="21" t="s">
        <v>503</v>
      </c>
      <c r="Z160" s="21">
        <v>3035473954</v>
      </c>
      <c r="AA160" s="26">
        <v>42739</v>
      </c>
      <c r="AB160" s="26">
        <v>42739</v>
      </c>
      <c r="AC160" s="21" t="s">
        <v>504</v>
      </c>
      <c r="AD160" s="21" t="s">
        <v>505</v>
      </c>
      <c r="AE160" s="21" t="s">
        <v>500</v>
      </c>
      <c r="AF160" s="21" t="s">
        <v>549</v>
      </c>
      <c r="AG160" s="21" t="s">
        <v>1488</v>
      </c>
      <c r="AH160" s="21" t="s">
        <v>1489</v>
      </c>
      <c r="AI160" s="21" t="s">
        <v>1490</v>
      </c>
      <c r="AJ160" s="21" t="s">
        <v>526</v>
      </c>
      <c r="AK160" s="21" t="s">
        <v>494</v>
      </c>
      <c r="AL160" s="21" t="s">
        <v>527</v>
      </c>
      <c r="AM160" s="21" t="s">
        <v>527</v>
      </c>
      <c r="AN160" s="21" t="s">
        <v>527</v>
      </c>
      <c r="AO160" s="21" t="s">
        <v>528</v>
      </c>
      <c r="AS160" s="21" t="s">
        <v>511</v>
      </c>
      <c r="AT160" s="21" t="s">
        <v>512</v>
      </c>
      <c r="AW160" s="21">
        <v>0</v>
      </c>
      <c r="AX160" s="21">
        <v>2</v>
      </c>
      <c r="AY160" s="26"/>
      <c r="AZ160" s="26"/>
      <c r="BB160" s="26"/>
      <c r="BC160" s="21" t="s">
        <v>513</v>
      </c>
      <c r="BD160" s="21" t="s">
        <v>514</v>
      </c>
      <c r="BE160" s="21" t="s">
        <v>514</v>
      </c>
      <c r="BF160" s="21" t="s">
        <v>515</v>
      </c>
      <c r="BG160" s="21">
        <v>1</v>
      </c>
      <c r="BH160" s="21" t="s">
        <v>516</v>
      </c>
      <c r="BI160" s="21" t="s">
        <v>517</v>
      </c>
      <c r="BJ160" s="21" t="s">
        <v>516</v>
      </c>
      <c r="BK160" s="21" t="s">
        <v>516</v>
      </c>
      <c r="BM160" s="21" t="s">
        <v>28</v>
      </c>
      <c r="BN160" s="21" t="s">
        <v>158</v>
      </c>
      <c r="BO160" s="21" t="s">
        <v>518</v>
      </c>
      <c r="BP160" s="21" t="s">
        <v>519</v>
      </c>
      <c r="BQ160" s="21" t="s">
        <v>28</v>
      </c>
      <c r="BR160" s="21" t="s">
        <v>158</v>
      </c>
      <c r="BS160" s="21" t="s">
        <v>518</v>
      </c>
      <c r="BT160" s="21" t="s">
        <v>519</v>
      </c>
      <c r="BU160" s="21" t="s">
        <v>158</v>
      </c>
      <c r="CD160" s="21" t="s">
        <v>520</v>
      </c>
      <c r="CF160" s="21" t="s">
        <v>521</v>
      </c>
      <c r="CN160" s="26"/>
      <c r="DB160" s="24" t="s">
        <v>943</v>
      </c>
      <c r="DC160" s="21">
        <v>1</v>
      </c>
      <c r="DD160" s="21">
        <v>2</v>
      </c>
      <c r="DE160" s="22">
        <v>42745</v>
      </c>
      <c r="DF160" s="21" t="s">
        <v>2495</v>
      </c>
      <c r="DG160" s="21" t="s">
        <v>522</v>
      </c>
      <c r="DH160" s="21" t="s">
        <v>2496</v>
      </c>
      <c r="DI160" s="21" t="s">
        <v>495</v>
      </c>
      <c r="DJ160" s="21" t="s">
        <v>523</v>
      </c>
      <c r="DK160" s="26"/>
      <c r="DL160" s="26">
        <v>42751</v>
      </c>
      <c r="DM160" s="26">
        <v>42741</v>
      </c>
      <c r="DN160" s="21">
        <v>3100</v>
      </c>
      <c r="DO160" s="21">
        <v>9</v>
      </c>
      <c r="DP160" s="21">
        <v>1</v>
      </c>
      <c r="DQ160" s="21">
        <v>1</v>
      </c>
      <c r="DR160" s="21">
        <v>6</v>
      </c>
      <c r="DS160" s="21">
        <v>9</v>
      </c>
      <c r="DT160" s="21">
        <v>9</v>
      </c>
      <c r="DU160" s="21">
        <v>9</v>
      </c>
      <c r="DW160" s="21">
        <v>9</v>
      </c>
      <c r="EA160" s="21">
        <v>9</v>
      </c>
      <c r="EF160" s="25">
        <v>1</v>
      </c>
      <c r="EG160" s="25">
        <v>0</v>
      </c>
      <c r="EH160" s="25">
        <v>1</v>
      </c>
      <c r="EI160" s="25">
        <v>0</v>
      </c>
      <c r="EJ160" s="25" t="s">
        <v>62</v>
      </c>
      <c r="EK160" s="25" t="s">
        <v>159</v>
      </c>
      <c r="EL160" s="25" t="s">
        <v>159</v>
      </c>
      <c r="EM160" s="25" t="s">
        <v>276</v>
      </c>
      <c r="EN160" s="25" t="s">
        <v>9</v>
      </c>
      <c r="EO160" s="25" t="s">
        <v>9</v>
      </c>
      <c r="EP160" s="25" t="s">
        <v>62</v>
      </c>
      <c r="EQ160" s="25" t="s">
        <v>62</v>
      </c>
      <c r="ER160" s="25" t="s">
        <v>278</v>
      </c>
      <c r="ES160" s="25" t="s">
        <v>278</v>
      </c>
      <c r="ET160" s="25">
        <v>1</v>
      </c>
      <c r="EU160" s="25" t="s">
        <v>522</v>
      </c>
      <c r="EV160" s="25" t="s">
        <v>159</v>
      </c>
      <c r="EW160" s="25" t="s">
        <v>9</v>
      </c>
      <c r="EX160" s="25" t="s">
        <v>278</v>
      </c>
      <c r="EY160" s="20" t="e">
        <v>#N/A</v>
      </c>
    </row>
    <row r="161" spans="1:155">
      <c r="A161" s="21" t="s">
        <v>491</v>
      </c>
      <c r="B161" s="21" t="s">
        <v>491</v>
      </c>
      <c r="C161" s="21" t="s">
        <v>492</v>
      </c>
      <c r="D161" s="21" t="s">
        <v>493</v>
      </c>
      <c r="E161" s="21" t="s">
        <v>493</v>
      </c>
      <c r="F161" s="21" t="s">
        <v>493</v>
      </c>
      <c r="G161" s="21" t="s">
        <v>2497</v>
      </c>
      <c r="H161" s="21">
        <v>1239372559</v>
      </c>
      <c r="I161" s="21">
        <v>12988090106</v>
      </c>
      <c r="J161" s="21" t="s">
        <v>2498</v>
      </c>
      <c r="L161" s="21" t="s">
        <v>495</v>
      </c>
      <c r="M161" s="21" t="s">
        <v>2499</v>
      </c>
      <c r="N161" s="21" t="s">
        <v>496</v>
      </c>
      <c r="O161" s="21" t="s">
        <v>69</v>
      </c>
      <c r="P161" s="21" t="s">
        <v>497</v>
      </c>
      <c r="R161" s="21" t="s">
        <v>498</v>
      </c>
      <c r="S161" s="21" t="s">
        <v>499</v>
      </c>
      <c r="V161" s="21" t="s">
        <v>500</v>
      </c>
      <c r="W161" s="21" t="s">
        <v>501</v>
      </c>
      <c r="X161" s="21" t="s">
        <v>502</v>
      </c>
      <c r="Y161" s="21" t="s">
        <v>503</v>
      </c>
      <c r="Z161" s="21">
        <v>3035477235</v>
      </c>
      <c r="AA161" s="26">
        <v>42739</v>
      </c>
      <c r="AB161" s="26">
        <v>42739</v>
      </c>
      <c r="AC161" s="21" t="s">
        <v>504</v>
      </c>
      <c r="AD161" s="21" t="s">
        <v>505</v>
      </c>
      <c r="AE161" s="21" t="s">
        <v>500</v>
      </c>
      <c r="AF161" s="21" t="s">
        <v>506</v>
      </c>
      <c r="AG161" s="21" t="s">
        <v>2500</v>
      </c>
      <c r="AH161" s="21" t="s">
        <v>2501</v>
      </c>
      <c r="AI161" s="21" t="s">
        <v>1117</v>
      </c>
      <c r="AJ161" s="21" t="s">
        <v>526</v>
      </c>
      <c r="AK161" s="21" t="s">
        <v>494</v>
      </c>
      <c r="AL161" s="21" t="s">
        <v>527</v>
      </c>
      <c r="AM161" s="21" t="s">
        <v>527</v>
      </c>
      <c r="AN161" s="21" t="s">
        <v>527</v>
      </c>
      <c r="AO161" s="21" t="s">
        <v>528</v>
      </c>
      <c r="AS161" s="21" t="s">
        <v>511</v>
      </c>
      <c r="AT161" s="21" t="s">
        <v>512</v>
      </c>
      <c r="AW161" s="21">
        <v>0</v>
      </c>
      <c r="AX161" s="21">
        <v>2</v>
      </c>
      <c r="AY161" s="26"/>
      <c r="AZ161" s="26"/>
      <c r="BB161" s="26"/>
      <c r="BC161" s="21" t="s">
        <v>513</v>
      </c>
      <c r="BD161" s="21" t="s">
        <v>514</v>
      </c>
      <c r="BE161" s="21" t="s">
        <v>514</v>
      </c>
      <c r="BF161" s="21" t="s">
        <v>515</v>
      </c>
      <c r="BG161" s="21">
        <v>1</v>
      </c>
      <c r="BH161" s="21" t="s">
        <v>516</v>
      </c>
      <c r="BI161" s="21" t="s">
        <v>517</v>
      </c>
      <c r="BJ161" s="21" t="s">
        <v>516</v>
      </c>
      <c r="BK161" s="21" t="s">
        <v>516</v>
      </c>
      <c r="BM161" s="21" t="s">
        <v>1549</v>
      </c>
      <c r="BN161" s="21" t="s">
        <v>109</v>
      </c>
      <c r="BO161" s="21" t="s">
        <v>518</v>
      </c>
      <c r="BP161" s="21" t="s">
        <v>519</v>
      </c>
      <c r="BQ161" s="21" t="s">
        <v>1549</v>
      </c>
      <c r="BR161" s="21" t="s">
        <v>109</v>
      </c>
      <c r="BS161" s="21" t="s">
        <v>518</v>
      </c>
      <c r="BT161" s="21" t="s">
        <v>519</v>
      </c>
      <c r="BU161" s="21" t="s">
        <v>109</v>
      </c>
      <c r="CD161" s="21" t="s">
        <v>520</v>
      </c>
      <c r="CF161" s="21" t="s">
        <v>521</v>
      </c>
      <c r="CN161" s="26"/>
      <c r="DB161" s="24" t="s">
        <v>943</v>
      </c>
      <c r="DC161" s="21">
        <v>1</v>
      </c>
      <c r="DD161" s="21">
        <v>2</v>
      </c>
      <c r="DE161" s="22">
        <v>42745</v>
      </c>
      <c r="DF161" s="21" t="s">
        <v>2502</v>
      </c>
      <c r="DG161" s="21" t="s">
        <v>522</v>
      </c>
      <c r="DH161" s="21" t="s">
        <v>2503</v>
      </c>
      <c r="DI161" s="21" t="s">
        <v>495</v>
      </c>
      <c r="DJ161" s="21" t="s">
        <v>523</v>
      </c>
      <c r="DK161" s="26"/>
      <c r="DL161" s="26">
        <v>42751</v>
      </c>
      <c r="DM161" s="26">
        <v>42741</v>
      </c>
      <c r="DN161" s="21">
        <v>3100</v>
      </c>
      <c r="DO161" s="21">
        <v>10</v>
      </c>
      <c r="DP161" s="21">
        <v>1</v>
      </c>
      <c r="DQ161" s="21">
        <v>1</v>
      </c>
      <c r="DR161" s="21">
        <v>5</v>
      </c>
      <c r="DS161" s="21">
        <v>10</v>
      </c>
      <c r="DT161" s="21">
        <v>10</v>
      </c>
      <c r="DU161" s="21">
        <v>10</v>
      </c>
      <c r="DW161" s="21">
        <v>10</v>
      </c>
      <c r="EA161" s="21">
        <v>10</v>
      </c>
      <c r="EB161" s="21" t="s">
        <v>2504</v>
      </c>
      <c r="EC161" s="21" t="s">
        <v>1222</v>
      </c>
      <c r="EF161" s="25">
        <v>1</v>
      </c>
      <c r="EG161" s="25">
        <v>0</v>
      </c>
      <c r="EH161" s="25">
        <v>1</v>
      </c>
      <c r="EI161" s="25">
        <v>0</v>
      </c>
      <c r="EJ161" s="25" t="s">
        <v>62</v>
      </c>
      <c r="EK161" s="25" t="s">
        <v>110</v>
      </c>
      <c r="EL161" s="25" t="s">
        <v>110</v>
      </c>
      <c r="EM161" s="25" t="s">
        <v>276</v>
      </c>
      <c r="EN161" s="25" t="s">
        <v>9</v>
      </c>
      <c r="EO161" s="25" t="s">
        <v>9</v>
      </c>
      <c r="EP161" s="25" t="s">
        <v>62</v>
      </c>
      <c r="EQ161" s="25" t="s">
        <v>62</v>
      </c>
      <c r="ER161" s="25" t="s">
        <v>278</v>
      </c>
      <c r="ES161" s="25" t="s">
        <v>278</v>
      </c>
      <c r="ET161" s="25">
        <v>1</v>
      </c>
      <c r="EU161" s="25" t="s">
        <v>522</v>
      </c>
      <c r="EV161" s="25" t="s">
        <v>110</v>
      </c>
      <c r="EW161" s="25" t="s">
        <v>9</v>
      </c>
      <c r="EX161" s="25" t="s">
        <v>278</v>
      </c>
      <c r="EY161" s="20" t="e">
        <v>#N/A</v>
      </c>
    </row>
    <row r="162" spans="1:155">
      <c r="A162" s="21" t="s">
        <v>491</v>
      </c>
      <c r="B162" s="21" t="s">
        <v>491</v>
      </c>
      <c r="C162" s="21" t="s">
        <v>492</v>
      </c>
      <c r="D162" s="21" t="s">
        <v>493</v>
      </c>
      <c r="E162" s="21" t="s">
        <v>493</v>
      </c>
      <c r="F162" s="21" t="s">
        <v>493</v>
      </c>
      <c r="G162" s="21" t="s">
        <v>2505</v>
      </c>
      <c r="H162" s="21">
        <v>48996695291</v>
      </c>
      <c r="I162" s="21" t="s">
        <v>494</v>
      </c>
      <c r="J162" s="21" t="s">
        <v>2506</v>
      </c>
      <c r="L162" s="21" t="s">
        <v>495</v>
      </c>
      <c r="M162" s="21" t="s">
        <v>2507</v>
      </c>
      <c r="N162" s="21" t="s">
        <v>1438</v>
      </c>
      <c r="O162" s="21" t="s">
        <v>93</v>
      </c>
      <c r="P162" s="21" t="s">
        <v>539</v>
      </c>
      <c r="Q162" s="21" t="s">
        <v>1168</v>
      </c>
      <c r="R162" s="21" t="s">
        <v>1439</v>
      </c>
      <c r="S162" s="21" t="s">
        <v>1440</v>
      </c>
      <c r="V162" s="21" t="s">
        <v>277</v>
      </c>
      <c r="W162" s="21" t="s">
        <v>524</v>
      </c>
      <c r="X162" s="21" t="s">
        <v>525</v>
      </c>
      <c r="Y162" s="21" t="s">
        <v>530</v>
      </c>
      <c r="Z162" s="21">
        <v>3035480368</v>
      </c>
      <c r="AA162" s="26">
        <v>42739</v>
      </c>
      <c r="AB162" s="26">
        <v>42739</v>
      </c>
      <c r="AC162" s="21" t="s">
        <v>504</v>
      </c>
      <c r="AD162" s="21" t="s">
        <v>505</v>
      </c>
      <c r="AE162" s="21" t="s">
        <v>1054</v>
      </c>
      <c r="AF162" s="21" t="s">
        <v>1105</v>
      </c>
      <c r="AG162" s="21" t="s">
        <v>2508</v>
      </c>
      <c r="AH162" s="21" t="s">
        <v>2509</v>
      </c>
      <c r="AI162" s="21" t="s">
        <v>2510</v>
      </c>
      <c r="AJ162" s="21" t="s">
        <v>1109</v>
      </c>
      <c r="AK162" s="21" t="s">
        <v>494</v>
      </c>
      <c r="AL162" s="21" t="s">
        <v>527</v>
      </c>
      <c r="AM162" s="21" t="s">
        <v>527</v>
      </c>
      <c r="AN162" s="21" t="s">
        <v>527</v>
      </c>
      <c r="AO162" s="21" t="s">
        <v>528</v>
      </c>
      <c r="AS162" s="21" t="s">
        <v>511</v>
      </c>
      <c r="AT162" s="21" t="s">
        <v>512</v>
      </c>
      <c r="AW162" s="21">
        <v>0</v>
      </c>
      <c r="AX162" s="21">
        <v>2</v>
      </c>
      <c r="AY162" s="26"/>
      <c r="AZ162" s="26"/>
      <c r="BB162" s="26"/>
      <c r="BC162" s="21" t="s">
        <v>513</v>
      </c>
      <c r="BD162" s="21" t="s">
        <v>514</v>
      </c>
      <c r="BE162" s="21" t="s">
        <v>514</v>
      </c>
      <c r="BF162" s="21" t="s">
        <v>515</v>
      </c>
      <c r="BG162" s="21">
        <v>1</v>
      </c>
      <c r="BH162" s="21" t="s">
        <v>516</v>
      </c>
      <c r="BI162" s="21" t="s">
        <v>517</v>
      </c>
      <c r="BJ162" s="21" t="s">
        <v>516</v>
      </c>
      <c r="BK162" s="21" t="s">
        <v>516</v>
      </c>
      <c r="BM162" s="21" t="s">
        <v>1423</v>
      </c>
      <c r="BN162" s="21" t="s">
        <v>227</v>
      </c>
      <c r="BO162" s="21" t="s">
        <v>518</v>
      </c>
      <c r="BP162" s="21" t="s">
        <v>1044</v>
      </c>
      <c r="BQ162" s="21" t="s">
        <v>1423</v>
      </c>
      <c r="BR162" s="21" t="s">
        <v>227</v>
      </c>
      <c r="BS162" s="21" t="s">
        <v>518</v>
      </c>
      <c r="BT162" s="21" t="s">
        <v>1044</v>
      </c>
      <c r="BU162" s="21" t="s">
        <v>227</v>
      </c>
      <c r="CD162" s="21" t="s">
        <v>520</v>
      </c>
      <c r="CF162" s="21" t="s">
        <v>521</v>
      </c>
      <c r="CN162" s="26"/>
      <c r="DB162" s="24" t="s">
        <v>943</v>
      </c>
      <c r="DC162" s="21">
        <v>1</v>
      </c>
      <c r="DD162" s="21">
        <v>2</v>
      </c>
      <c r="DE162" s="22">
        <v>42745</v>
      </c>
      <c r="DF162" s="21" t="s">
        <v>2511</v>
      </c>
      <c r="DG162" s="21" t="s">
        <v>522</v>
      </c>
      <c r="DH162" s="21" t="s">
        <v>2512</v>
      </c>
      <c r="DI162" s="21" t="s">
        <v>495</v>
      </c>
      <c r="DJ162" s="21" t="s">
        <v>520</v>
      </c>
      <c r="DK162" s="26"/>
      <c r="DL162" s="26">
        <v>42751</v>
      </c>
      <c r="DM162" s="26">
        <v>42741</v>
      </c>
      <c r="DN162" s="21">
        <v>1100</v>
      </c>
      <c r="DO162" s="21">
        <v>10</v>
      </c>
      <c r="DP162" s="21">
        <v>1</v>
      </c>
      <c r="DQ162" s="21">
        <v>1</v>
      </c>
      <c r="DR162" s="21">
        <v>7</v>
      </c>
      <c r="DS162" s="21">
        <v>10</v>
      </c>
      <c r="DT162" s="21">
        <v>10</v>
      </c>
      <c r="DU162" s="21">
        <v>10</v>
      </c>
      <c r="DW162" s="21">
        <v>10</v>
      </c>
      <c r="EA162" s="21">
        <v>10</v>
      </c>
      <c r="EB162" s="21" t="s">
        <v>2513</v>
      </c>
      <c r="EC162" s="21" t="s">
        <v>1221</v>
      </c>
      <c r="EF162" s="25">
        <v>1</v>
      </c>
      <c r="EG162" s="25">
        <v>0</v>
      </c>
      <c r="EH162" s="25">
        <v>1</v>
      </c>
      <c r="EI162" s="25">
        <v>0</v>
      </c>
      <c r="EJ162" s="25" t="s">
        <v>92</v>
      </c>
      <c r="EK162" s="25" t="s">
        <v>228</v>
      </c>
      <c r="EL162" s="25" t="s">
        <v>228</v>
      </c>
      <c r="EM162" s="25" t="s">
        <v>276</v>
      </c>
      <c r="EN162" s="25" t="s">
        <v>31</v>
      </c>
      <c r="EO162" s="25" t="s">
        <v>31</v>
      </c>
      <c r="EP162" s="25" t="s">
        <v>92</v>
      </c>
      <c r="EQ162" s="25" t="s">
        <v>92</v>
      </c>
      <c r="ER162" s="25" t="s">
        <v>278</v>
      </c>
      <c r="ES162" s="25" t="s">
        <v>278</v>
      </c>
      <c r="ET162" s="25">
        <v>1</v>
      </c>
      <c r="EU162" s="25" t="s">
        <v>522</v>
      </c>
      <c r="EV162" s="25" t="s">
        <v>228</v>
      </c>
      <c r="EW162" s="25" t="s">
        <v>31</v>
      </c>
      <c r="EX162" s="25" t="s">
        <v>278</v>
      </c>
      <c r="EY162" s="20" t="e">
        <v>#N/A</v>
      </c>
    </row>
    <row r="163" spans="1:155">
      <c r="A163" s="21" t="s">
        <v>491</v>
      </c>
      <c r="B163" s="21" t="s">
        <v>491</v>
      </c>
      <c r="C163" s="21" t="s">
        <v>492</v>
      </c>
      <c r="D163" s="21" t="s">
        <v>493</v>
      </c>
      <c r="E163" s="21" t="s">
        <v>493</v>
      </c>
      <c r="F163" s="21" t="s">
        <v>493</v>
      </c>
      <c r="G163" s="21" t="s">
        <v>2514</v>
      </c>
      <c r="H163" s="21">
        <v>71988071138</v>
      </c>
      <c r="I163" s="21" t="s">
        <v>494</v>
      </c>
      <c r="J163" s="21" t="s">
        <v>2515</v>
      </c>
      <c r="L163" s="21" t="s">
        <v>495</v>
      </c>
      <c r="M163" s="21" t="s">
        <v>2516</v>
      </c>
      <c r="N163" s="21" t="s">
        <v>1066</v>
      </c>
      <c r="O163" s="21" t="s">
        <v>93</v>
      </c>
      <c r="P163" s="21" t="s">
        <v>539</v>
      </c>
      <c r="Q163" s="21" t="s">
        <v>1168</v>
      </c>
      <c r="R163" s="21" t="s">
        <v>1067</v>
      </c>
      <c r="S163" s="21" t="s">
        <v>1068</v>
      </c>
      <c r="V163" s="21" t="s">
        <v>277</v>
      </c>
      <c r="W163" s="21" t="s">
        <v>524</v>
      </c>
      <c r="X163" s="21" t="s">
        <v>525</v>
      </c>
      <c r="Y163" s="21" t="s">
        <v>530</v>
      </c>
      <c r="Z163" s="21">
        <v>3035181621</v>
      </c>
      <c r="AA163" s="26">
        <v>42726</v>
      </c>
      <c r="AB163" s="26"/>
      <c r="AC163" s="21" t="s">
        <v>2517</v>
      </c>
      <c r="AD163" s="21" t="s">
        <v>505</v>
      </c>
      <c r="AE163" s="21" t="s">
        <v>1156</v>
      </c>
      <c r="AF163" s="21" t="s">
        <v>1157</v>
      </c>
      <c r="AG163" s="21" t="s">
        <v>1389</v>
      </c>
      <c r="AH163" s="21" t="s">
        <v>1390</v>
      </c>
      <c r="AI163" s="21" t="s">
        <v>1372</v>
      </c>
      <c r="AJ163" s="21" t="s">
        <v>507</v>
      </c>
      <c r="AK163" s="21" t="s">
        <v>494</v>
      </c>
      <c r="AL163" s="21" t="s">
        <v>527</v>
      </c>
      <c r="AM163" s="21" t="s">
        <v>527</v>
      </c>
      <c r="AN163" s="21" t="s">
        <v>527</v>
      </c>
      <c r="AO163" s="21" t="s">
        <v>528</v>
      </c>
      <c r="AT163" s="21" t="s">
        <v>512</v>
      </c>
      <c r="AW163" s="21">
        <v>0</v>
      </c>
      <c r="AX163" s="21">
        <v>14</v>
      </c>
      <c r="AY163" s="26"/>
      <c r="AZ163" s="26"/>
      <c r="BB163" s="26"/>
      <c r="BC163" s="21" t="s">
        <v>513</v>
      </c>
      <c r="BD163" s="21" t="s">
        <v>514</v>
      </c>
      <c r="BE163" s="21" t="s">
        <v>514</v>
      </c>
      <c r="BF163" s="21" t="s">
        <v>515</v>
      </c>
      <c r="BG163" s="21">
        <v>1</v>
      </c>
      <c r="BH163" s="21" t="s">
        <v>516</v>
      </c>
      <c r="BI163" s="21" t="s">
        <v>517</v>
      </c>
      <c r="BJ163" s="21" t="s">
        <v>516</v>
      </c>
      <c r="BK163" s="21" t="s">
        <v>516</v>
      </c>
      <c r="BM163" s="21" t="s">
        <v>30</v>
      </c>
      <c r="BN163" s="21" t="s">
        <v>179</v>
      </c>
      <c r="BO163" s="21" t="s">
        <v>518</v>
      </c>
      <c r="BP163" s="21" t="s">
        <v>519</v>
      </c>
      <c r="BQ163" s="21" t="s">
        <v>47</v>
      </c>
      <c r="BR163" s="21" t="s">
        <v>139</v>
      </c>
      <c r="BS163" s="21" t="s">
        <v>518</v>
      </c>
      <c r="BT163" s="21" t="s">
        <v>1044</v>
      </c>
      <c r="BU163" s="21" t="s">
        <v>179</v>
      </c>
      <c r="CD163" s="21" t="s">
        <v>520</v>
      </c>
      <c r="CF163" s="21" t="s">
        <v>521</v>
      </c>
      <c r="CN163" s="26"/>
      <c r="DB163" s="24" t="s">
        <v>943</v>
      </c>
      <c r="DC163" s="21">
        <v>1</v>
      </c>
      <c r="DD163" s="21">
        <v>2</v>
      </c>
      <c r="DE163" s="22">
        <v>42745</v>
      </c>
      <c r="DF163" s="21" t="s">
        <v>2518</v>
      </c>
      <c r="DG163" s="21" t="s">
        <v>522</v>
      </c>
      <c r="DH163" s="21" t="s">
        <v>2519</v>
      </c>
      <c r="DI163" s="21" t="s">
        <v>495</v>
      </c>
      <c r="DJ163" s="21" t="s">
        <v>523</v>
      </c>
      <c r="DK163" s="26"/>
      <c r="DL163" s="26">
        <v>42751</v>
      </c>
      <c r="DM163" s="26">
        <v>42741</v>
      </c>
      <c r="DN163" s="21">
        <v>1100</v>
      </c>
      <c r="DO163" s="21">
        <v>6</v>
      </c>
      <c r="DP163" s="21">
        <v>2</v>
      </c>
      <c r="DQ163" s="21">
        <v>2</v>
      </c>
      <c r="DR163" s="21">
        <v>2</v>
      </c>
      <c r="DS163" s="21">
        <v>7</v>
      </c>
      <c r="DT163" s="21">
        <v>7</v>
      </c>
      <c r="DU163" s="21">
        <v>7</v>
      </c>
      <c r="DW163" s="21">
        <v>5</v>
      </c>
      <c r="EA163" s="21">
        <v>5</v>
      </c>
      <c r="EB163" s="21" t="s">
        <v>2520</v>
      </c>
      <c r="EC163" s="21" t="s">
        <v>2636</v>
      </c>
      <c r="EF163" s="25">
        <v>0</v>
      </c>
      <c r="EG163" s="25">
        <v>1</v>
      </c>
      <c r="EH163" s="25">
        <v>0</v>
      </c>
      <c r="EI163" s="25">
        <v>0</v>
      </c>
      <c r="EJ163" s="25" t="s">
        <v>92</v>
      </c>
      <c r="EK163" s="25" t="s">
        <v>180</v>
      </c>
      <c r="EL163" s="25" t="s">
        <v>140</v>
      </c>
      <c r="EM163" s="25" t="s">
        <v>276</v>
      </c>
      <c r="EN163" s="25" t="s">
        <v>23</v>
      </c>
      <c r="EO163" s="25" t="s">
        <v>23</v>
      </c>
      <c r="EP163" s="25" t="s">
        <v>62</v>
      </c>
      <c r="EQ163" s="25" t="s">
        <v>529</v>
      </c>
      <c r="ER163" s="25" t="s">
        <v>278</v>
      </c>
      <c r="ES163" s="25" t="s">
        <v>278</v>
      </c>
      <c r="ET163" s="25">
        <v>1</v>
      </c>
      <c r="EU163" s="25" t="s">
        <v>522</v>
      </c>
      <c r="EV163" s="25" t="s">
        <v>279</v>
      </c>
      <c r="EW163" s="25" t="s">
        <v>279</v>
      </c>
      <c r="EX163" s="25" t="s">
        <v>279</v>
      </c>
      <c r="EY163" s="20" t="e">
        <v>#N/A</v>
      </c>
    </row>
    <row r="164" spans="1:155">
      <c r="A164" s="21" t="s">
        <v>491</v>
      </c>
      <c r="B164" s="21" t="s">
        <v>491</v>
      </c>
      <c r="C164" s="21" t="s">
        <v>492</v>
      </c>
      <c r="D164" s="21" t="s">
        <v>493</v>
      </c>
      <c r="E164" s="21" t="s">
        <v>493</v>
      </c>
      <c r="F164" s="21" t="s">
        <v>493</v>
      </c>
      <c r="G164" s="21" t="s">
        <v>2521</v>
      </c>
      <c r="H164" s="21">
        <v>2130870894</v>
      </c>
      <c r="I164" s="21" t="s">
        <v>494</v>
      </c>
      <c r="J164" s="21" t="s">
        <v>2522</v>
      </c>
      <c r="L164" s="21" t="s">
        <v>495</v>
      </c>
      <c r="M164" s="21" t="s">
        <v>2523</v>
      </c>
      <c r="N164" s="21" t="s">
        <v>496</v>
      </c>
      <c r="O164" s="21" t="s">
        <v>69</v>
      </c>
      <c r="P164" s="21" t="s">
        <v>497</v>
      </c>
      <c r="R164" s="21" t="s">
        <v>498</v>
      </c>
      <c r="S164" s="21" t="s">
        <v>499</v>
      </c>
      <c r="V164" s="21" t="s">
        <v>500</v>
      </c>
      <c r="W164" s="21" t="s">
        <v>501</v>
      </c>
      <c r="X164" s="21" t="s">
        <v>502</v>
      </c>
      <c r="Y164" s="21" t="s">
        <v>503</v>
      </c>
      <c r="Z164" s="21">
        <v>3035487225</v>
      </c>
      <c r="AA164" s="26">
        <v>42739</v>
      </c>
      <c r="AB164" s="26">
        <v>42739</v>
      </c>
      <c r="AC164" s="21" t="s">
        <v>504</v>
      </c>
      <c r="AD164" s="21" t="s">
        <v>505</v>
      </c>
      <c r="AE164" s="21" t="s">
        <v>1091</v>
      </c>
      <c r="AF164" s="21" t="s">
        <v>2524</v>
      </c>
      <c r="AG164" s="21" t="s">
        <v>2525</v>
      </c>
      <c r="AH164" s="21" t="s">
        <v>579</v>
      </c>
      <c r="AI164" s="21" t="s">
        <v>1127</v>
      </c>
      <c r="AJ164" s="21" t="s">
        <v>526</v>
      </c>
      <c r="AK164" s="21" t="s">
        <v>494</v>
      </c>
      <c r="AL164" s="21" t="s">
        <v>527</v>
      </c>
      <c r="AM164" s="21" t="s">
        <v>527</v>
      </c>
      <c r="AN164" s="21" t="s">
        <v>527</v>
      </c>
      <c r="AO164" s="21" t="s">
        <v>528</v>
      </c>
      <c r="AS164" s="21" t="s">
        <v>511</v>
      </c>
      <c r="AT164" s="21" t="s">
        <v>512</v>
      </c>
      <c r="AW164" s="21">
        <v>0</v>
      </c>
      <c r="AX164" s="21">
        <v>3</v>
      </c>
      <c r="AY164" s="26"/>
      <c r="AZ164" s="26"/>
      <c r="BB164" s="26"/>
      <c r="BC164" s="21" t="s">
        <v>513</v>
      </c>
      <c r="BD164" s="21" t="s">
        <v>514</v>
      </c>
      <c r="BE164" s="21" t="s">
        <v>514</v>
      </c>
      <c r="BF164" s="21" t="s">
        <v>515</v>
      </c>
      <c r="BG164" s="21">
        <v>1</v>
      </c>
      <c r="BH164" s="21" t="s">
        <v>516</v>
      </c>
      <c r="BI164" s="21" t="s">
        <v>517</v>
      </c>
      <c r="BJ164" s="21" t="s">
        <v>516</v>
      </c>
      <c r="BK164" s="21" t="s">
        <v>516</v>
      </c>
      <c r="BM164" s="21" t="s">
        <v>27</v>
      </c>
      <c r="BN164" s="21" t="s">
        <v>119</v>
      </c>
      <c r="BO164" s="21" t="s">
        <v>518</v>
      </c>
      <c r="BP164" s="21" t="s">
        <v>519</v>
      </c>
      <c r="BQ164" s="21" t="s">
        <v>27</v>
      </c>
      <c r="BR164" s="21" t="s">
        <v>119</v>
      </c>
      <c r="BS164" s="21" t="s">
        <v>518</v>
      </c>
      <c r="BT164" s="21" t="s">
        <v>519</v>
      </c>
      <c r="BU164" s="21" t="s">
        <v>119</v>
      </c>
      <c r="CD164" s="21" t="s">
        <v>520</v>
      </c>
      <c r="CF164" s="21" t="s">
        <v>521</v>
      </c>
      <c r="CN164" s="26"/>
      <c r="DB164" s="24" t="s">
        <v>943</v>
      </c>
      <c r="DC164" s="21">
        <v>1</v>
      </c>
      <c r="DD164" s="21">
        <v>2</v>
      </c>
      <c r="DE164" s="22">
        <v>42745</v>
      </c>
      <c r="DF164" s="21" t="s">
        <v>2526</v>
      </c>
      <c r="DG164" s="21" t="s">
        <v>522</v>
      </c>
      <c r="DH164" s="21" t="s">
        <v>2527</v>
      </c>
      <c r="DI164" s="21" t="s">
        <v>495</v>
      </c>
      <c r="DJ164" s="21" t="s">
        <v>523</v>
      </c>
      <c r="DK164" s="26"/>
      <c r="DL164" s="26">
        <v>42751</v>
      </c>
      <c r="DM164" s="26">
        <v>42741</v>
      </c>
      <c r="DN164" s="21">
        <v>3100</v>
      </c>
      <c r="DO164" s="21">
        <v>10</v>
      </c>
      <c r="DP164" s="21">
        <v>1</v>
      </c>
      <c r="DQ164" s="21">
        <v>1</v>
      </c>
      <c r="DR164" s="21">
        <v>7</v>
      </c>
      <c r="DS164" s="21">
        <v>10</v>
      </c>
      <c r="DT164" s="21">
        <v>10</v>
      </c>
      <c r="DU164" s="21">
        <v>10</v>
      </c>
      <c r="DW164" s="21">
        <v>10</v>
      </c>
      <c r="EA164" s="21">
        <v>10</v>
      </c>
      <c r="EB164" s="21" t="s">
        <v>2528</v>
      </c>
      <c r="EC164" s="21" t="s">
        <v>1221</v>
      </c>
      <c r="EF164" s="25">
        <v>1</v>
      </c>
      <c r="EG164" s="25">
        <v>0</v>
      </c>
      <c r="EH164" s="25">
        <v>1</v>
      </c>
      <c r="EI164" s="25">
        <v>0</v>
      </c>
      <c r="EJ164" s="25" t="s">
        <v>62</v>
      </c>
      <c r="EK164" s="25" t="s">
        <v>120</v>
      </c>
      <c r="EL164" s="25" t="s">
        <v>120</v>
      </c>
      <c r="EM164" s="25" t="s">
        <v>276</v>
      </c>
      <c r="EN164" s="25" t="s">
        <v>23</v>
      </c>
      <c r="EO164" s="25" t="s">
        <v>23</v>
      </c>
      <c r="EP164" s="25" t="s">
        <v>62</v>
      </c>
      <c r="EQ164" s="25" t="s">
        <v>62</v>
      </c>
      <c r="ER164" s="25" t="s">
        <v>278</v>
      </c>
      <c r="ES164" s="25" t="s">
        <v>278</v>
      </c>
      <c r="ET164" s="25">
        <v>1</v>
      </c>
      <c r="EU164" s="25" t="s">
        <v>522</v>
      </c>
      <c r="EV164" s="25" t="s">
        <v>120</v>
      </c>
      <c r="EW164" s="25" t="s">
        <v>23</v>
      </c>
      <c r="EX164" s="25" t="s">
        <v>278</v>
      </c>
      <c r="EY164" s="20" t="e">
        <v>#N/A</v>
      </c>
    </row>
    <row r="165" spans="1:155">
      <c r="A165" s="21" t="s">
        <v>491</v>
      </c>
      <c r="B165" s="21" t="s">
        <v>491</v>
      </c>
      <c r="C165" s="21" t="s">
        <v>492</v>
      </c>
      <c r="D165" s="21" t="s">
        <v>493</v>
      </c>
      <c r="E165" s="21" t="s">
        <v>493</v>
      </c>
      <c r="F165" s="21" t="s">
        <v>493</v>
      </c>
      <c r="G165" s="21" t="s">
        <v>2529</v>
      </c>
      <c r="H165" s="21" t="s">
        <v>494</v>
      </c>
      <c r="I165" s="21" t="s">
        <v>494</v>
      </c>
      <c r="J165" s="21" t="s">
        <v>2530</v>
      </c>
      <c r="L165" s="21" t="s">
        <v>495</v>
      </c>
      <c r="M165" s="21" t="s">
        <v>494</v>
      </c>
      <c r="N165" s="21" t="s">
        <v>494</v>
      </c>
      <c r="O165" s="21" t="s">
        <v>514</v>
      </c>
      <c r="P165" s="21" t="s">
        <v>595</v>
      </c>
      <c r="R165" s="21" t="s">
        <v>494</v>
      </c>
      <c r="S165" s="21" t="s">
        <v>494</v>
      </c>
      <c r="V165" s="21" t="s">
        <v>514</v>
      </c>
      <c r="W165" s="21" t="s">
        <v>514</v>
      </c>
      <c r="X165" s="21" t="s">
        <v>514</v>
      </c>
      <c r="Y165" s="21" t="s">
        <v>514</v>
      </c>
      <c r="Z165" s="21">
        <v>3035290527</v>
      </c>
      <c r="AA165" s="26">
        <v>42732</v>
      </c>
      <c r="AB165" s="26">
        <v>42739</v>
      </c>
      <c r="AC165" s="21" t="s">
        <v>504</v>
      </c>
      <c r="AD165" s="21" t="s">
        <v>512</v>
      </c>
      <c r="AE165" s="21" t="s">
        <v>540</v>
      </c>
      <c r="AF165" s="21" t="s">
        <v>2531</v>
      </c>
      <c r="AG165" s="21" t="s">
        <v>2532</v>
      </c>
      <c r="AH165" s="21" t="s">
        <v>2533</v>
      </c>
      <c r="AI165" s="21" t="s">
        <v>2534</v>
      </c>
      <c r="AJ165" s="21" t="s">
        <v>569</v>
      </c>
      <c r="AK165" s="21" t="s">
        <v>494</v>
      </c>
      <c r="AM165" s="21" t="s">
        <v>586</v>
      </c>
      <c r="AN165" s="21" t="s">
        <v>586</v>
      </c>
      <c r="AO165" s="21" t="s">
        <v>586</v>
      </c>
      <c r="AS165" s="21" t="s">
        <v>2535</v>
      </c>
      <c r="AT165" s="21" t="s">
        <v>532</v>
      </c>
      <c r="AX165" s="21">
        <v>2</v>
      </c>
      <c r="AY165" s="26"/>
      <c r="AZ165" s="26"/>
      <c r="BB165" s="26"/>
      <c r="BC165" s="21" t="s">
        <v>513</v>
      </c>
      <c r="BD165" s="21" t="s">
        <v>514</v>
      </c>
      <c r="BE165" s="21" t="s">
        <v>514</v>
      </c>
      <c r="BF165" s="21" t="s">
        <v>515</v>
      </c>
      <c r="BG165" s="21">
        <v>1</v>
      </c>
      <c r="BH165" s="21" t="s">
        <v>516</v>
      </c>
      <c r="BI165" s="21" t="s">
        <v>517</v>
      </c>
      <c r="BJ165" s="21" t="s">
        <v>516</v>
      </c>
      <c r="BK165" s="21" t="s">
        <v>516</v>
      </c>
      <c r="BN165" s="21" t="s">
        <v>914</v>
      </c>
      <c r="BR165" s="21" t="s">
        <v>914</v>
      </c>
      <c r="BT165" s="21" t="s">
        <v>541</v>
      </c>
      <c r="BU165" s="21" t="s">
        <v>914</v>
      </c>
      <c r="CD165" s="21" t="s">
        <v>520</v>
      </c>
      <c r="CF165" s="21" t="s">
        <v>534</v>
      </c>
      <c r="CG165" s="21" t="s">
        <v>2536</v>
      </c>
      <c r="CH165" s="21" t="s">
        <v>2537</v>
      </c>
      <c r="CI165" s="21" t="s">
        <v>596</v>
      </c>
      <c r="CJ165" s="21" t="s">
        <v>2538</v>
      </c>
      <c r="CL165" s="21" t="s">
        <v>2539</v>
      </c>
      <c r="CM165" s="21">
        <v>3035290587</v>
      </c>
      <c r="CN165" s="26">
        <v>42732</v>
      </c>
      <c r="CO165" s="21" t="s">
        <v>537</v>
      </c>
      <c r="CP165" s="21" t="s">
        <v>516</v>
      </c>
      <c r="CR165" s="21" t="s">
        <v>2540</v>
      </c>
      <c r="CS165" s="21" t="s">
        <v>516</v>
      </c>
      <c r="CU165" s="21" t="s">
        <v>2540</v>
      </c>
      <c r="CV165" s="21" t="s">
        <v>2540</v>
      </c>
      <c r="CW165" s="21" t="s">
        <v>541</v>
      </c>
      <c r="CX165" s="21" t="s">
        <v>2540</v>
      </c>
      <c r="CY165" s="21" t="s">
        <v>516</v>
      </c>
      <c r="CZ165" s="21" t="s">
        <v>541</v>
      </c>
      <c r="DA165" s="21" t="s">
        <v>516</v>
      </c>
      <c r="DB165" s="24" t="s">
        <v>943</v>
      </c>
      <c r="DC165" s="21">
        <v>1</v>
      </c>
      <c r="DD165" s="21">
        <v>2</v>
      </c>
      <c r="DE165" s="22">
        <v>42745</v>
      </c>
      <c r="DF165" s="21" t="s">
        <v>2541</v>
      </c>
      <c r="DG165" s="21" t="s">
        <v>538</v>
      </c>
      <c r="DH165" s="21" t="s">
        <v>2542</v>
      </c>
      <c r="DI165" s="21" t="s">
        <v>495</v>
      </c>
      <c r="DJ165" s="21" t="s">
        <v>523</v>
      </c>
      <c r="DK165" s="26"/>
      <c r="DL165" s="26">
        <v>42751</v>
      </c>
      <c r="DM165" s="26">
        <v>42741</v>
      </c>
      <c r="DN165" s="21">
        <v>2500</v>
      </c>
      <c r="DO165" s="21">
        <v>0</v>
      </c>
      <c r="DP165" s="21">
        <v>2</v>
      </c>
      <c r="DQ165" s="21">
        <v>2</v>
      </c>
      <c r="DR165" s="21">
        <v>1</v>
      </c>
      <c r="DS165" s="21">
        <v>0</v>
      </c>
      <c r="DT165" s="21">
        <v>0</v>
      </c>
      <c r="DU165" s="21">
        <v>0</v>
      </c>
      <c r="DW165" s="21">
        <v>0</v>
      </c>
      <c r="DY165" s="21">
        <v>0</v>
      </c>
      <c r="EA165" s="21">
        <v>0</v>
      </c>
      <c r="EB165" s="21" t="s">
        <v>2543</v>
      </c>
      <c r="EC165" s="21" t="s">
        <v>2637</v>
      </c>
      <c r="EF165" s="25">
        <v>0</v>
      </c>
      <c r="EG165" s="25">
        <v>1</v>
      </c>
      <c r="EH165" s="25">
        <v>0</v>
      </c>
      <c r="EI165" s="25">
        <v>1</v>
      </c>
      <c r="EJ165" s="25" t="s">
        <v>597</v>
      </c>
      <c r="EK165" s="25" t="s">
        <v>611</v>
      </c>
      <c r="EL165" s="25" t="s">
        <v>611</v>
      </c>
      <c r="EM165" s="25" t="s">
        <v>276</v>
      </c>
      <c r="EN165" s="25" t="s">
        <v>271</v>
      </c>
      <c r="EO165" s="25" t="s">
        <v>271</v>
      </c>
      <c r="EP165" s="25" t="s">
        <v>548</v>
      </c>
      <c r="EQ165" s="25" t="s">
        <v>548</v>
      </c>
      <c r="ER165" s="25" t="s">
        <v>278</v>
      </c>
      <c r="ES165" s="25" t="s">
        <v>278</v>
      </c>
      <c r="ET165" s="25">
        <v>1</v>
      </c>
      <c r="EU165" s="25" t="s">
        <v>522</v>
      </c>
      <c r="EV165" s="25" t="s">
        <v>611</v>
      </c>
      <c r="EW165" s="25" t="s">
        <v>271</v>
      </c>
      <c r="EX165" s="25" t="s">
        <v>278</v>
      </c>
      <c r="EY165" s="20" t="e">
        <v>#N/A</v>
      </c>
    </row>
    <row r="166" spans="1:155">
      <c r="A166" s="21" t="s">
        <v>491</v>
      </c>
      <c r="B166" s="21" t="s">
        <v>491</v>
      </c>
      <c r="C166" s="21" t="s">
        <v>492</v>
      </c>
      <c r="D166" s="21" t="s">
        <v>493</v>
      </c>
      <c r="E166" s="21" t="s">
        <v>493</v>
      </c>
      <c r="F166" s="21" t="s">
        <v>493</v>
      </c>
      <c r="G166" s="21" t="s">
        <v>2544</v>
      </c>
      <c r="H166" s="21" t="s">
        <v>494</v>
      </c>
      <c r="I166" s="21" t="s">
        <v>494</v>
      </c>
      <c r="J166" s="21" t="s">
        <v>2545</v>
      </c>
      <c r="L166" s="21" t="s">
        <v>495</v>
      </c>
      <c r="M166" s="21" t="s">
        <v>2546</v>
      </c>
      <c r="N166" s="21" t="s">
        <v>1894</v>
      </c>
      <c r="O166" s="21" t="s">
        <v>93</v>
      </c>
      <c r="P166" s="21" t="s">
        <v>539</v>
      </c>
      <c r="Q166" s="21" t="s">
        <v>1168</v>
      </c>
      <c r="R166" s="21" t="s">
        <v>1895</v>
      </c>
      <c r="S166" s="21" t="s">
        <v>1440</v>
      </c>
      <c r="V166" s="21" t="s">
        <v>277</v>
      </c>
      <c r="W166" s="21" t="s">
        <v>524</v>
      </c>
      <c r="X166" s="21" t="s">
        <v>525</v>
      </c>
      <c r="Y166" s="21" t="s">
        <v>530</v>
      </c>
      <c r="Z166" s="21">
        <v>3035508049</v>
      </c>
      <c r="AA166" s="26">
        <v>42740</v>
      </c>
      <c r="AB166" s="26">
        <v>42740</v>
      </c>
      <c r="AC166" s="21" t="s">
        <v>504</v>
      </c>
      <c r="AD166" s="21" t="s">
        <v>505</v>
      </c>
      <c r="AE166" s="21" t="s">
        <v>1054</v>
      </c>
      <c r="AF166" s="21" t="s">
        <v>1727</v>
      </c>
      <c r="AG166" s="21" t="s">
        <v>1728</v>
      </c>
      <c r="AH166" s="21" t="s">
        <v>1729</v>
      </c>
      <c r="AI166" s="21" t="s">
        <v>2547</v>
      </c>
      <c r="AJ166" s="21" t="s">
        <v>1109</v>
      </c>
      <c r="AK166" s="21" t="s">
        <v>494</v>
      </c>
      <c r="AL166" s="21" t="s">
        <v>527</v>
      </c>
      <c r="AM166" s="21" t="s">
        <v>527</v>
      </c>
      <c r="AN166" s="21" t="s">
        <v>527</v>
      </c>
      <c r="AO166" s="21" t="s">
        <v>528</v>
      </c>
      <c r="AS166" s="21" t="s">
        <v>511</v>
      </c>
      <c r="AT166" s="21" t="s">
        <v>512</v>
      </c>
      <c r="AW166" s="21">
        <v>0</v>
      </c>
      <c r="AX166" s="21">
        <v>4</v>
      </c>
      <c r="AY166" s="26"/>
      <c r="AZ166" s="26"/>
      <c r="BB166" s="26"/>
      <c r="BC166" s="21" t="s">
        <v>513</v>
      </c>
      <c r="BD166" s="21" t="s">
        <v>514</v>
      </c>
      <c r="BE166" s="21" t="s">
        <v>514</v>
      </c>
      <c r="BF166" s="21" t="s">
        <v>515</v>
      </c>
      <c r="BG166" s="21">
        <v>1</v>
      </c>
      <c r="BH166" s="21" t="s">
        <v>516</v>
      </c>
      <c r="BI166" s="21" t="s">
        <v>517</v>
      </c>
      <c r="BJ166" s="21" t="s">
        <v>516</v>
      </c>
      <c r="BK166" s="21" t="s">
        <v>516</v>
      </c>
      <c r="BM166" s="21" t="s">
        <v>1519</v>
      </c>
      <c r="BN166" s="21" t="s">
        <v>221</v>
      </c>
      <c r="BO166" s="21" t="s">
        <v>518</v>
      </c>
      <c r="BP166" s="21" t="s">
        <v>1044</v>
      </c>
      <c r="BQ166" s="21" t="s">
        <v>861</v>
      </c>
      <c r="BR166" s="21" t="s">
        <v>852</v>
      </c>
      <c r="BS166" s="21" t="s">
        <v>849</v>
      </c>
      <c r="BT166" s="21" t="s">
        <v>541</v>
      </c>
      <c r="BU166" s="21" t="s">
        <v>221</v>
      </c>
      <c r="CD166" s="21" t="s">
        <v>520</v>
      </c>
      <c r="CF166" s="21" t="s">
        <v>521</v>
      </c>
      <c r="CN166" s="26"/>
      <c r="DB166" s="24" t="s">
        <v>943</v>
      </c>
      <c r="DC166" s="21">
        <v>1</v>
      </c>
      <c r="DD166" s="21">
        <v>2</v>
      </c>
      <c r="DE166" s="22">
        <v>42745</v>
      </c>
      <c r="DF166" s="21" t="s">
        <v>2548</v>
      </c>
      <c r="DG166" s="21" t="s">
        <v>522</v>
      </c>
      <c r="DH166" s="21" t="s">
        <v>2549</v>
      </c>
      <c r="DI166" s="21" t="s">
        <v>495</v>
      </c>
      <c r="DJ166" s="21" t="s">
        <v>520</v>
      </c>
      <c r="DK166" s="26"/>
      <c r="DL166" s="26">
        <v>42752</v>
      </c>
      <c r="DM166" s="26">
        <v>42742</v>
      </c>
      <c r="DN166" s="21">
        <v>1100</v>
      </c>
      <c r="DO166" s="21">
        <v>9</v>
      </c>
      <c r="DP166" s="21">
        <v>1</v>
      </c>
      <c r="DQ166" s="21">
        <v>2</v>
      </c>
      <c r="DR166" s="21">
        <v>6</v>
      </c>
      <c r="DS166" s="21">
        <v>9</v>
      </c>
      <c r="DT166" s="21">
        <v>9</v>
      </c>
      <c r="DU166" s="21">
        <v>9</v>
      </c>
      <c r="DW166" s="21">
        <v>8</v>
      </c>
      <c r="EA166" s="21">
        <v>9</v>
      </c>
      <c r="EB166" s="21" t="s">
        <v>2550</v>
      </c>
      <c r="EC166" s="21" t="s">
        <v>2638</v>
      </c>
      <c r="EF166" s="25">
        <v>1</v>
      </c>
      <c r="EG166" s="25">
        <v>0</v>
      </c>
      <c r="EH166" s="25">
        <v>1</v>
      </c>
      <c r="EI166" s="25">
        <v>0</v>
      </c>
      <c r="EJ166" s="25" t="s">
        <v>92</v>
      </c>
      <c r="EK166" s="25" t="s">
        <v>222</v>
      </c>
      <c r="EL166" s="25" t="s">
        <v>197</v>
      </c>
      <c r="EM166" s="25" t="s">
        <v>276</v>
      </c>
      <c r="EN166" s="25" t="s">
        <v>31</v>
      </c>
      <c r="EO166" s="25" t="s">
        <v>271</v>
      </c>
      <c r="EP166" s="25" t="s">
        <v>92</v>
      </c>
      <c r="EQ166" s="25" t="s">
        <v>548</v>
      </c>
      <c r="ER166" s="25" t="s">
        <v>278</v>
      </c>
      <c r="ES166" s="25" t="s">
        <v>278</v>
      </c>
      <c r="ET166" s="25">
        <v>1</v>
      </c>
      <c r="EU166" s="25" t="s">
        <v>522</v>
      </c>
      <c r="EV166" s="25" t="s">
        <v>279</v>
      </c>
      <c r="EW166" s="25" t="s">
        <v>279</v>
      </c>
      <c r="EX166" s="25" t="s">
        <v>279</v>
      </c>
      <c r="EY166" s="20" t="e">
        <v>#N/A</v>
      </c>
    </row>
    <row r="167" spans="1:155">
      <c r="A167" s="21" t="s">
        <v>491</v>
      </c>
      <c r="B167" s="21" t="s">
        <v>491</v>
      </c>
      <c r="C167" s="21" t="s">
        <v>492</v>
      </c>
      <c r="D167" s="21" t="s">
        <v>493</v>
      </c>
      <c r="E167" s="21" t="s">
        <v>493</v>
      </c>
      <c r="F167" s="21" t="s">
        <v>493</v>
      </c>
      <c r="G167" s="21" t="s">
        <v>2551</v>
      </c>
      <c r="H167" s="21">
        <v>1147542264</v>
      </c>
      <c r="I167" s="21" t="s">
        <v>494</v>
      </c>
      <c r="J167" s="21" t="s">
        <v>2552</v>
      </c>
      <c r="L167" s="21" t="s">
        <v>495</v>
      </c>
      <c r="M167" s="21" t="s">
        <v>2553</v>
      </c>
      <c r="N167" s="21" t="s">
        <v>1258</v>
      </c>
      <c r="O167" s="21" t="s">
        <v>69</v>
      </c>
      <c r="P167" s="21" t="s">
        <v>497</v>
      </c>
      <c r="R167" s="21" t="s">
        <v>1259</v>
      </c>
      <c r="S167" s="21" t="s">
        <v>1260</v>
      </c>
      <c r="V167" s="21" t="s">
        <v>500</v>
      </c>
      <c r="W167" s="21" t="s">
        <v>501</v>
      </c>
      <c r="X167" s="21" t="s">
        <v>502</v>
      </c>
      <c r="Y167" s="21" t="s">
        <v>503</v>
      </c>
      <c r="Z167" s="21">
        <v>3035507266</v>
      </c>
      <c r="AA167" s="26">
        <v>42740</v>
      </c>
      <c r="AB167" s="26">
        <v>42740</v>
      </c>
      <c r="AC167" s="21" t="s">
        <v>504</v>
      </c>
      <c r="AD167" s="21" t="s">
        <v>505</v>
      </c>
      <c r="AE167" s="21" t="s">
        <v>1020</v>
      </c>
      <c r="AF167" s="21" t="s">
        <v>1314</v>
      </c>
      <c r="AG167" s="21" t="s">
        <v>1315</v>
      </c>
      <c r="AH167" s="21" t="s">
        <v>1316</v>
      </c>
      <c r="AI167" s="21" t="s">
        <v>2070</v>
      </c>
      <c r="AJ167" s="21" t="s">
        <v>526</v>
      </c>
      <c r="AK167" s="21" t="s">
        <v>494</v>
      </c>
      <c r="AL167" s="21" t="s">
        <v>508</v>
      </c>
      <c r="AM167" s="21" t="s">
        <v>509</v>
      </c>
      <c r="AN167" s="21" t="s">
        <v>509</v>
      </c>
      <c r="AO167" s="21" t="s">
        <v>510</v>
      </c>
      <c r="AS167" s="21" t="s">
        <v>511</v>
      </c>
      <c r="AT167" s="21" t="s">
        <v>512</v>
      </c>
      <c r="AW167" s="21">
        <v>0</v>
      </c>
      <c r="AX167" s="21">
        <v>4</v>
      </c>
      <c r="AY167" s="26"/>
      <c r="AZ167" s="26"/>
      <c r="BB167" s="26"/>
      <c r="BC167" s="21" t="s">
        <v>513</v>
      </c>
      <c r="BD167" s="21" t="s">
        <v>514</v>
      </c>
      <c r="BE167" s="21" t="s">
        <v>514</v>
      </c>
      <c r="BF167" s="21" t="s">
        <v>515</v>
      </c>
      <c r="BG167" s="21">
        <v>1</v>
      </c>
      <c r="BH167" s="21" t="s">
        <v>516</v>
      </c>
      <c r="BI167" s="21" t="s">
        <v>517</v>
      </c>
      <c r="BJ167" s="21" t="s">
        <v>516</v>
      </c>
      <c r="BK167" s="21" t="s">
        <v>516</v>
      </c>
      <c r="BM167" s="21" t="s">
        <v>54</v>
      </c>
      <c r="BN167" s="21" t="s">
        <v>259</v>
      </c>
      <c r="BO167" s="21" t="s">
        <v>518</v>
      </c>
      <c r="BP167" s="21" t="s">
        <v>519</v>
      </c>
      <c r="BQ167" s="21" t="s">
        <v>54</v>
      </c>
      <c r="BR167" s="21" t="s">
        <v>259</v>
      </c>
      <c r="BS167" s="21" t="s">
        <v>518</v>
      </c>
      <c r="BT167" s="21" t="s">
        <v>519</v>
      </c>
      <c r="BU167" s="21" t="s">
        <v>259</v>
      </c>
      <c r="CD167" s="21" t="s">
        <v>520</v>
      </c>
      <c r="CF167" s="21" t="s">
        <v>521</v>
      </c>
      <c r="CN167" s="26"/>
      <c r="DB167" s="24" t="s">
        <v>943</v>
      </c>
      <c r="DC167" s="21">
        <v>1</v>
      </c>
      <c r="DD167" s="21">
        <v>2</v>
      </c>
      <c r="DE167" s="22">
        <v>42745</v>
      </c>
      <c r="DF167" s="21" t="s">
        <v>1605</v>
      </c>
      <c r="DG167" s="21" t="s">
        <v>522</v>
      </c>
      <c r="DH167" s="21" t="s">
        <v>2554</v>
      </c>
      <c r="DI167" s="21" t="s">
        <v>495</v>
      </c>
      <c r="DJ167" s="21" t="s">
        <v>520</v>
      </c>
      <c r="DK167" s="26"/>
      <c r="DL167" s="26">
        <v>42752</v>
      </c>
      <c r="DM167" s="26">
        <v>42742</v>
      </c>
      <c r="DN167" s="21">
        <v>3100</v>
      </c>
      <c r="DO167" s="21">
        <v>6</v>
      </c>
      <c r="DP167" s="21">
        <v>1</v>
      </c>
      <c r="DQ167" s="21">
        <v>1</v>
      </c>
      <c r="DR167" s="21">
        <v>6</v>
      </c>
      <c r="DS167" s="21">
        <v>8</v>
      </c>
      <c r="DT167" s="21">
        <v>9</v>
      </c>
      <c r="DU167" s="21">
        <v>10</v>
      </c>
      <c r="DW167" s="21">
        <v>9</v>
      </c>
      <c r="EA167" s="21">
        <v>10</v>
      </c>
      <c r="EB167" s="21" t="s">
        <v>2555</v>
      </c>
      <c r="EC167" s="21" t="s">
        <v>2639</v>
      </c>
      <c r="EF167" s="25">
        <v>1</v>
      </c>
      <c r="EG167" s="25">
        <v>0</v>
      </c>
      <c r="EH167" s="25">
        <v>0</v>
      </c>
      <c r="EI167" s="25">
        <v>0</v>
      </c>
      <c r="EJ167" s="25" t="s">
        <v>62</v>
      </c>
      <c r="EK167" s="25" t="s">
        <v>276</v>
      </c>
      <c r="EL167" s="25" t="s">
        <v>276</v>
      </c>
      <c r="EM167" s="25" t="s">
        <v>276</v>
      </c>
      <c r="EN167" s="25" t="s">
        <v>276</v>
      </c>
      <c r="EO167" s="25" t="s">
        <v>276</v>
      </c>
      <c r="EP167" s="25" t="s">
        <v>276</v>
      </c>
      <c r="EQ167" s="25" t="s">
        <v>276</v>
      </c>
      <c r="ER167" s="25" t="s">
        <v>276</v>
      </c>
      <c r="ES167" s="25" t="s">
        <v>276</v>
      </c>
      <c r="ET167" s="25">
        <v>1</v>
      </c>
      <c r="EU167" s="25" t="s">
        <v>522</v>
      </c>
      <c r="EV167" s="25" t="s">
        <v>276</v>
      </c>
      <c r="EW167" s="25" t="s">
        <v>276</v>
      </c>
      <c r="EX167" s="25" t="s">
        <v>276</v>
      </c>
      <c r="EY167" s="20" t="s">
        <v>273</v>
      </c>
    </row>
    <row r="168" spans="1:155">
      <c r="A168" s="21" t="s">
        <v>491</v>
      </c>
      <c r="B168" s="21" t="s">
        <v>491</v>
      </c>
      <c r="C168" s="21" t="s">
        <v>492</v>
      </c>
      <c r="D168" s="21" t="s">
        <v>493</v>
      </c>
      <c r="E168" s="21" t="s">
        <v>493</v>
      </c>
      <c r="F168" s="21" t="s">
        <v>493</v>
      </c>
      <c r="G168" s="21" t="s">
        <v>2556</v>
      </c>
      <c r="H168" s="21" t="s">
        <v>2557</v>
      </c>
      <c r="I168" s="21" t="s">
        <v>2558</v>
      </c>
      <c r="J168" s="21" t="s">
        <v>2559</v>
      </c>
      <c r="L168" s="21" t="s">
        <v>495</v>
      </c>
      <c r="M168" s="21" t="s">
        <v>2560</v>
      </c>
      <c r="N168" s="21" t="s">
        <v>1258</v>
      </c>
      <c r="O168" s="21" t="s">
        <v>69</v>
      </c>
      <c r="P168" s="21" t="s">
        <v>497</v>
      </c>
      <c r="Q168" s="21" t="s">
        <v>1612</v>
      </c>
      <c r="R168" s="21" t="s">
        <v>1259</v>
      </c>
      <c r="S168" s="21" t="s">
        <v>1260</v>
      </c>
      <c r="V168" s="21" t="s">
        <v>500</v>
      </c>
      <c r="W168" s="21" t="s">
        <v>501</v>
      </c>
      <c r="X168" s="21" t="s">
        <v>502</v>
      </c>
      <c r="Y168" s="21" t="s">
        <v>503</v>
      </c>
      <c r="Z168" s="21">
        <v>3035553407</v>
      </c>
      <c r="AA168" s="26">
        <v>42741</v>
      </c>
      <c r="AB168" s="26">
        <v>42741</v>
      </c>
      <c r="AC168" s="21" t="s">
        <v>504</v>
      </c>
      <c r="AD168" s="21" t="s">
        <v>505</v>
      </c>
      <c r="AE168" s="21" t="s">
        <v>500</v>
      </c>
      <c r="AF168" s="21" t="s">
        <v>549</v>
      </c>
      <c r="AG168" s="21" t="s">
        <v>555</v>
      </c>
      <c r="AH168" s="21" t="s">
        <v>556</v>
      </c>
      <c r="AI168" s="21" t="s">
        <v>2561</v>
      </c>
      <c r="AJ168" s="21" t="s">
        <v>526</v>
      </c>
      <c r="AK168" s="21" t="s">
        <v>494</v>
      </c>
      <c r="AL168" s="21" t="s">
        <v>508</v>
      </c>
      <c r="AM168" s="21" t="s">
        <v>509</v>
      </c>
      <c r="AN168" s="21" t="s">
        <v>509</v>
      </c>
      <c r="AO168" s="21" t="s">
        <v>510</v>
      </c>
      <c r="AS168" s="21" t="s">
        <v>511</v>
      </c>
      <c r="AT168" s="21" t="s">
        <v>512</v>
      </c>
      <c r="AW168" s="21">
        <v>0</v>
      </c>
      <c r="AX168" s="21">
        <v>2</v>
      </c>
      <c r="AY168" s="26"/>
      <c r="AZ168" s="26"/>
      <c r="BB168" s="26"/>
      <c r="BC168" s="21" t="s">
        <v>513</v>
      </c>
      <c r="BD168" s="21" t="s">
        <v>514</v>
      </c>
      <c r="BE168" s="21" t="s">
        <v>514</v>
      </c>
      <c r="BF168" s="21" t="s">
        <v>515</v>
      </c>
      <c r="BG168" s="21">
        <v>1</v>
      </c>
      <c r="BH168" s="21" t="s">
        <v>516</v>
      </c>
      <c r="BI168" s="21" t="s">
        <v>517</v>
      </c>
      <c r="BJ168" s="21" t="s">
        <v>516</v>
      </c>
      <c r="BK168" s="21" t="s">
        <v>516</v>
      </c>
      <c r="BM168" s="21" t="s">
        <v>2142</v>
      </c>
      <c r="BN168" s="21" t="s">
        <v>191</v>
      </c>
      <c r="BO168" s="21" t="s">
        <v>518</v>
      </c>
      <c r="BP168" s="21" t="s">
        <v>519</v>
      </c>
      <c r="BQ168" s="21" t="s">
        <v>2142</v>
      </c>
      <c r="BR168" s="21" t="s">
        <v>191</v>
      </c>
      <c r="BS168" s="21" t="s">
        <v>518</v>
      </c>
      <c r="BT168" s="21" t="s">
        <v>519</v>
      </c>
      <c r="BU168" s="21" t="s">
        <v>191</v>
      </c>
      <c r="CD168" s="21" t="s">
        <v>520</v>
      </c>
      <c r="CF168" s="21" t="s">
        <v>521</v>
      </c>
      <c r="CN168" s="26"/>
      <c r="DB168" s="24" t="s">
        <v>943</v>
      </c>
      <c r="DC168" s="21">
        <v>1</v>
      </c>
      <c r="DD168" s="21">
        <v>2</v>
      </c>
      <c r="DE168" s="22">
        <v>42745</v>
      </c>
      <c r="DF168" s="21" t="s">
        <v>2562</v>
      </c>
      <c r="DG168" s="21" t="s">
        <v>522</v>
      </c>
      <c r="DH168" s="21" t="s">
        <v>2563</v>
      </c>
      <c r="DI168" s="21" t="s">
        <v>495</v>
      </c>
      <c r="DJ168" s="21" t="s">
        <v>520</v>
      </c>
      <c r="DK168" s="26"/>
      <c r="DL168" s="26">
        <v>42753</v>
      </c>
      <c r="DM168" s="26">
        <v>42743</v>
      </c>
      <c r="DN168" s="21">
        <v>3100</v>
      </c>
      <c r="DO168" s="21">
        <v>10</v>
      </c>
      <c r="DP168" s="21">
        <v>1</v>
      </c>
      <c r="DQ168" s="21">
        <v>1</v>
      </c>
      <c r="DR168" s="21">
        <v>6</v>
      </c>
      <c r="DS168" s="21">
        <v>10</v>
      </c>
      <c r="DT168" s="21">
        <v>10</v>
      </c>
      <c r="DU168" s="21">
        <v>10</v>
      </c>
      <c r="DW168" s="21">
        <v>10</v>
      </c>
      <c r="EA168" s="21">
        <v>10</v>
      </c>
      <c r="EF168" s="25">
        <v>1</v>
      </c>
      <c r="EG168" s="25">
        <v>0</v>
      </c>
      <c r="EH168" s="25">
        <v>1</v>
      </c>
      <c r="EI168" s="25">
        <v>0</v>
      </c>
      <c r="EJ168" s="25" t="s">
        <v>62</v>
      </c>
      <c r="EK168" s="25" t="s">
        <v>192</v>
      </c>
      <c r="EL168" s="25" t="s">
        <v>192</v>
      </c>
      <c r="EM168" s="25" t="s">
        <v>276</v>
      </c>
      <c r="EN168" s="25" t="s">
        <v>23</v>
      </c>
      <c r="EO168" s="25" t="s">
        <v>23</v>
      </c>
      <c r="EP168" s="25" t="s">
        <v>62</v>
      </c>
      <c r="EQ168" s="25" t="s">
        <v>62</v>
      </c>
      <c r="ER168" s="25" t="s">
        <v>278</v>
      </c>
      <c r="ES168" s="25" t="s">
        <v>278</v>
      </c>
      <c r="ET168" s="25">
        <v>1</v>
      </c>
      <c r="EU168" s="25" t="s">
        <v>522</v>
      </c>
      <c r="EV168" s="25" t="s">
        <v>192</v>
      </c>
      <c r="EW168" s="25" t="s">
        <v>23</v>
      </c>
      <c r="EX168" s="25" t="s">
        <v>278</v>
      </c>
      <c r="EY168" s="20" t="e">
        <v>#N/A</v>
      </c>
    </row>
    <row r="169" spans="1:155">
      <c r="A169" s="21" t="s">
        <v>491</v>
      </c>
      <c r="B169" s="21" t="s">
        <v>491</v>
      </c>
      <c r="C169" s="21" t="s">
        <v>492</v>
      </c>
      <c r="D169" s="21" t="s">
        <v>493</v>
      </c>
      <c r="E169" s="21" t="s">
        <v>493</v>
      </c>
      <c r="F169" s="21" t="s">
        <v>493</v>
      </c>
      <c r="G169" s="21" t="s">
        <v>2564</v>
      </c>
      <c r="H169" s="21">
        <v>11992082992</v>
      </c>
      <c r="I169" s="21" t="s">
        <v>494</v>
      </c>
      <c r="J169" s="21" t="s">
        <v>2565</v>
      </c>
      <c r="L169" s="21" t="s">
        <v>495</v>
      </c>
      <c r="M169" s="21" t="s">
        <v>2566</v>
      </c>
      <c r="N169" s="21" t="s">
        <v>1186</v>
      </c>
      <c r="O169" s="21" t="s">
        <v>100</v>
      </c>
      <c r="P169" s="21" t="s">
        <v>1187</v>
      </c>
      <c r="R169" s="21" t="s">
        <v>1188</v>
      </c>
      <c r="S169" s="21" t="s">
        <v>1189</v>
      </c>
      <c r="V169" s="21" t="s">
        <v>277</v>
      </c>
      <c r="W169" s="21" t="s">
        <v>524</v>
      </c>
      <c r="X169" s="21" t="s">
        <v>525</v>
      </c>
      <c r="Y169" s="21" t="s">
        <v>1190</v>
      </c>
      <c r="Z169" s="21">
        <v>3035508708</v>
      </c>
      <c r="AA169" s="26">
        <v>42740</v>
      </c>
      <c r="AB169" s="26">
        <v>42741</v>
      </c>
      <c r="AC169" s="21" t="s">
        <v>504</v>
      </c>
      <c r="AD169" s="21" t="s">
        <v>505</v>
      </c>
      <c r="AE169" s="21" t="s">
        <v>1054</v>
      </c>
      <c r="AF169" s="21" t="s">
        <v>2567</v>
      </c>
      <c r="AG169" s="21" t="s">
        <v>2568</v>
      </c>
      <c r="AH169" s="21" t="s">
        <v>2569</v>
      </c>
      <c r="AI169" s="21" t="s">
        <v>2342</v>
      </c>
      <c r="AJ169" s="21" t="s">
        <v>526</v>
      </c>
      <c r="AK169" s="21" t="s">
        <v>494</v>
      </c>
      <c r="AL169" s="21" t="s">
        <v>527</v>
      </c>
      <c r="AM169" s="21" t="s">
        <v>527</v>
      </c>
      <c r="AN169" s="21" t="s">
        <v>527</v>
      </c>
      <c r="AO169" s="21" t="s">
        <v>528</v>
      </c>
      <c r="AS169" s="21" t="s">
        <v>511</v>
      </c>
      <c r="AT169" s="21" t="s">
        <v>512</v>
      </c>
      <c r="AW169" s="21">
        <v>0</v>
      </c>
      <c r="AX169" s="21">
        <v>4</v>
      </c>
      <c r="AY169" s="26"/>
      <c r="AZ169" s="26"/>
      <c r="BB169" s="26"/>
      <c r="BC169" s="21" t="s">
        <v>513</v>
      </c>
      <c r="BD169" s="21" t="s">
        <v>514</v>
      </c>
      <c r="BE169" s="21" t="s">
        <v>514</v>
      </c>
      <c r="BF169" s="21" t="s">
        <v>515</v>
      </c>
      <c r="BG169" s="21">
        <v>1</v>
      </c>
      <c r="BH169" s="21" t="s">
        <v>516</v>
      </c>
      <c r="BI169" s="21" t="s">
        <v>517</v>
      </c>
      <c r="BJ169" s="21" t="s">
        <v>516</v>
      </c>
      <c r="BK169" s="21" t="s">
        <v>516</v>
      </c>
      <c r="BM169" s="21" t="s">
        <v>1110</v>
      </c>
      <c r="BN169" s="21" t="s">
        <v>200</v>
      </c>
      <c r="BO169" s="21" t="s">
        <v>518</v>
      </c>
      <c r="BP169" s="21" t="s">
        <v>1044</v>
      </c>
      <c r="BQ169" s="21" t="s">
        <v>33</v>
      </c>
      <c r="BR169" s="21" t="s">
        <v>209</v>
      </c>
      <c r="BS169" s="21" t="s">
        <v>518</v>
      </c>
      <c r="BT169" s="21" t="s">
        <v>1044</v>
      </c>
      <c r="BU169" s="21" t="s">
        <v>200</v>
      </c>
      <c r="CD169" s="21" t="s">
        <v>520</v>
      </c>
      <c r="CF169" s="21" t="s">
        <v>521</v>
      </c>
      <c r="CN169" s="26"/>
      <c r="DB169" s="24" t="s">
        <v>943</v>
      </c>
      <c r="DC169" s="21">
        <v>1</v>
      </c>
      <c r="DD169" s="21">
        <v>2</v>
      </c>
      <c r="DE169" s="22">
        <v>42745</v>
      </c>
      <c r="DF169" s="21" t="s">
        <v>2570</v>
      </c>
      <c r="DG169" s="21" t="s">
        <v>522</v>
      </c>
      <c r="DH169" s="21" t="s">
        <v>2571</v>
      </c>
      <c r="DI169" s="21" t="s">
        <v>495</v>
      </c>
      <c r="DJ169" s="21" t="s">
        <v>520</v>
      </c>
      <c r="DK169" s="26"/>
      <c r="DL169" s="26">
        <v>42753</v>
      </c>
      <c r="DM169" s="26">
        <v>42743</v>
      </c>
      <c r="DN169" s="21">
        <v>1100</v>
      </c>
      <c r="DO169" s="21">
        <v>9</v>
      </c>
      <c r="DP169" s="21">
        <v>1</v>
      </c>
      <c r="DQ169" s="21">
        <v>1</v>
      </c>
      <c r="DR169" s="21">
        <v>6</v>
      </c>
      <c r="DS169" s="21">
        <v>9</v>
      </c>
      <c r="DT169" s="21">
        <v>9</v>
      </c>
      <c r="DU169" s="21">
        <v>10</v>
      </c>
      <c r="DW169" s="21">
        <v>9</v>
      </c>
      <c r="EA169" s="21">
        <v>9</v>
      </c>
      <c r="EB169" s="21" t="s">
        <v>2572</v>
      </c>
      <c r="EC169" s="21" t="s">
        <v>1222</v>
      </c>
      <c r="EF169" s="25">
        <v>1</v>
      </c>
      <c r="EG169" s="25">
        <v>0</v>
      </c>
      <c r="EH169" s="25">
        <v>1</v>
      </c>
      <c r="EI169" s="25">
        <v>0</v>
      </c>
      <c r="EJ169" s="25" t="s">
        <v>92</v>
      </c>
      <c r="EK169" s="25" t="s">
        <v>201</v>
      </c>
      <c r="EL169" s="25" t="s">
        <v>210</v>
      </c>
      <c r="EM169" s="25" t="s">
        <v>276</v>
      </c>
      <c r="EN169" s="25" t="s">
        <v>31</v>
      </c>
      <c r="EO169" s="25" t="s">
        <v>31</v>
      </c>
      <c r="EP169" s="25" t="s">
        <v>92</v>
      </c>
      <c r="EQ169" s="25" t="s">
        <v>529</v>
      </c>
      <c r="ER169" s="25" t="s">
        <v>278</v>
      </c>
      <c r="ES169" s="25" t="s">
        <v>278</v>
      </c>
      <c r="ET169" s="25">
        <v>1</v>
      </c>
      <c r="EU169" s="25" t="s">
        <v>522</v>
      </c>
      <c r="EV169" s="25" t="s">
        <v>279</v>
      </c>
      <c r="EW169" s="25" t="s">
        <v>279</v>
      </c>
      <c r="EX169" s="25" t="s">
        <v>279</v>
      </c>
      <c r="EY169" s="20" t="e">
        <v>#N/A</v>
      </c>
    </row>
    <row r="170" spans="1:155">
      <c r="A170" s="21" t="s">
        <v>491</v>
      </c>
      <c r="B170" s="21" t="s">
        <v>491</v>
      </c>
      <c r="C170" s="21" t="s">
        <v>492</v>
      </c>
      <c r="D170" s="21" t="s">
        <v>493</v>
      </c>
      <c r="E170" s="21" t="s">
        <v>493</v>
      </c>
      <c r="F170" s="21" t="s">
        <v>493</v>
      </c>
      <c r="G170" s="21" t="s">
        <v>2573</v>
      </c>
      <c r="H170" s="21">
        <v>41996841045</v>
      </c>
      <c r="I170" s="21" t="s">
        <v>494</v>
      </c>
      <c r="J170" s="21" t="s">
        <v>2574</v>
      </c>
      <c r="L170" s="21" t="s">
        <v>495</v>
      </c>
      <c r="M170" s="21" t="s">
        <v>2575</v>
      </c>
      <c r="N170" s="21" t="s">
        <v>1066</v>
      </c>
      <c r="O170" s="21" t="s">
        <v>93</v>
      </c>
      <c r="P170" s="21" t="s">
        <v>539</v>
      </c>
      <c r="R170" s="21" t="s">
        <v>1067</v>
      </c>
      <c r="S170" s="21" t="s">
        <v>1068</v>
      </c>
      <c r="V170" s="21" t="s">
        <v>277</v>
      </c>
      <c r="W170" s="21" t="s">
        <v>524</v>
      </c>
      <c r="X170" s="21" t="s">
        <v>525</v>
      </c>
      <c r="Y170" s="21" t="s">
        <v>530</v>
      </c>
      <c r="Z170" s="21">
        <v>3035556463</v>
      </c>
      <c r="AA170" s="26">
        <v>42741</v>
      </c>
      <c r="AB170" s="26">
        <v>42741</v>
      </c>
      <c r="AC170" s="21" t="s">
        <v>504</v>
      </c>
      <c r="AD170" s="21" t="s">
        <v>505</v>
      </c>
      <c r="AE170" s="21" t="s">
        <v>1156</v>
      </c>
      <c r="AF170" s="21" t="s">
        <v>2049</v>
      </c>
      <c r="AG170" s="21" t="s">
        <v>2050</v>
      </c>
      <c r="AH170" s="21" t="s">
        <v>2051</v>
      </c>
      <c r="AI170" s="21" t="s">
        <v>2576</v>
      </c>
      <c r="AJ170" s="21" t="s">
        <v>507</v>
      </c>
      <c r="AK170" s="21" t="s">
        <v>494</v>
      </c>
      <c r="AL170" s="21" t="s">
        <v>527</v>
      </c>
      <c r="AM170" s="21" t="s">
        <v>527</v>
      </c>
      <c r="AN170" s="21" t="s">
        <v>527</v>
      </c>
      <c r="AO170" s="21" t="s">
        <v>528</v>
      </c>
      <c r="AS170" s="21" t="s">
        <v>511</v>
      </c>
      <c r="AT170" s="21" t="s">
        <v>512</v>
      </c>
      <c r="AW170" s="21">
        <v>0</v>
      </c>
      <c r="AX170" s="21">
        <v>2</v>
      </c>
      <c r="AY170" s="26"/>
      <c r="AZ170" s="26"/>
      <c r="BB170" s="26"/>
      <c r="BC170" s="21" t="s">
        <v>513</v>
      </c>
      <c r="BD170" s="21" t="s">
        <v>514</v>
      </c>
      <c r="BE170" s="21" t="s">
        <v>514</v>
      </c>
      <c r="BF170" s="21" t="s">
        <v>515</v>
      </c>
      <c r="BG170" s="21">
        <v>1</v>
      </c>
      <c r="BH170" s="21" t="s">
        <v>516</v>
      </c>
      <c r="BI170" s="21" t="s">
        <v>517</v>
      </c>
      <c r="BJ170" s="21" t="s">
        <v>516</v>
      </c>
      <c r="BK170" s="21" t="s">
        <v>516</v>
      </c>
      <c r="BM170" s="21" t="s">
        <v>37</v>
      </c>
      <c r="BN170" s="21" t="s">
        <v>250</v>
      </c>
      <c r="BO170" s="21" t="s">
        <v>518</v>
      </c>
      <c r="BP170" s="21" t="s">
        <v>1044</v>
      </c>
      <c r="BQ170" s="21" t="s">
        <v>37</v>
      </c>
      <c r="BR170" s="21" t="s">
        <v>250</v>
      </c>
      <c r="BS170" s="21" t="s">
        <v>518</v>
      </c>
      <c r="BT170" s="21" t="s">
        <v>1044</v>
      </c>
      <c r="BU170" s="21" t="s">
        <v>250</v>
      </c>
      <c r="CD170" s="21" t="s">
        <v>520</v>
      </c>
      <c r="CF170" s="21" t="s">
        <v>521</v>
      </c>
      <c r="CN170" s="26"/>
      <c r="DB170" s="24" t="s">
        <v>943</v>
      </c>
      <c r="DC170" s="21">
        <v>1</v>
      </c>
      <c r="DD170" s="21">
        <v>2</v>
      </c>
      <c r="DE170" s="22">
        <v>42745</v>
      </c>
      <c r="DF170" s="21" t="s">
        <v>2577</v>
      </c>
      <c r="DG170" s="21" t="s">
        <v>522</v>
      </c>
      <c r="DH170" s="21" t="s">
        <v>2578</v>
      </c>
      <c r="DI170" s="21" t="s">
        <v>495</v>
      </c>
      <c r="DJ170" s="21" t="s">
        <v>520</v>
      </c>
      <c r="DK170" s="26"/>
      <c r="DL170" s="26">
        <v>42753</v>
      </c>
      <c r="DM170" s="26">
        <v>42743</v>
      </c>
      <c r="DN170" s="21">
        <v>1100</v>
      </c>
      <c r="DO170" s="21">
        <v>8</v>
      </c>
      <c r="DP170" s="21">
        <v>1</v>
      </c>
      <c r="DQ170" s="21">
        <v>1</v>
      </c>
      <c r="DR170" s="21">
        <v>5</v>
      </c>
      <c r="DS170" s="21">
        <v>9</v>
      </c>
      <c r="DT170" s="21">
        <v>9</v>
      </c>
      <c r="DU170" s="21">
        <v>9</v>
      </c>
      <c r="DW170" s="21">
        <v>8</v>
      </c>
      <c r="EA170" s="21">
        <v>8</v>
      </c>
      <c r="EF170" s="25">
        <v>0</v>
      </c>
      <c r="EG170" s="25">
        <v>0</v>
      </c>
      <c r="EH170" s="25">
        <v>0</v>
      </c>
      <c r="EI170" s="25">
        <v>0</v>
      </c>
      <c r="EJ170" s="25" t="s">
        <v>92</v>
      </c>
      <c r="EK170" s="25" t="s">
        <v>251</v>
      </c>
      <c r="EL170" s="25" t="s">
        <v>251</v>
      </c>
      <c r="EM170" s="25" t="s">
        <v>276</v>
      </c>
      <c r="EN170" s="25" t="s">
        <v>39</v>
      </c>
      <c r="EO170" s="25" t="s">
        <v>39</v>
      </c>
      <c r="EP170" s="25" t="s">
        <v>92</v>
      </c>
      <c r="EQ170" s="25" t="s">
        <v>92</v>
      </c>
      <c r="ER170" s="25" t="s">
        <v>278</v>
      </c>
      <c r="ES170" s="25" t="s">
        <v>278</v>
      </c>
      <c r="ET170" s="25">
        <v>1</v>
      </c>
      <c r="EU170" s="25" t="s">
        <v>522</v>
      </c>
      <c r="EV170" s="25" t="s">
        <v>251</v>
      </c>
      <c r="EW170" s="25" t="s">
        <v>39</v>
      </c>
      <c r="EX170" s="25" t="s">
        <v>278</v>
      </c>
      <c r="EY170" s="20" t="e">
        <v>#N/A</v>
      </c>
    </row>
    <row r="171" spans="1:155">
      <c r="A171" s="21" t="s">
        <v>491</v>
      </c>
      <c r="B171" s="21" t="s">
        <v>491</v>
      </c>
      <c r="C171" s="21" t="s">
        <v>492</v>
      </c>
      <c r="D171" s="21" t="s">
        <v>493</v>
      </c>
      <c r="E171" s="21" t="s">
        <v>493</v>
      </c>
      <c r="F171" s="21" t="s">
        <v>493</v>
      </c>
      <c r="G171" s="21" t="s">
        <v>2579</v>
      </c>
      <c r="H171" s="21">
        <v>17981518566</v>
      </c>
      <c r="I171" s="21" t="s">
        <v>494</v>
      </c>
      <c r="J171" s="21" t="s">
        <v>2580</v>
      </c>
      <c r="L171" s="21" t="s">
        <v>495</v>
      </c>
      <c r="M171" s="21" t="s">
        <v>2581</v>
      </c>
      <c r="N171" s="21" t="s">
        <v>496</v>
      </c>
      <c r="O171" s="21" t="s">
        <v>69</v>
      </c>
      <c r="P171" s="21" t="s">
        <v>497</v>
      </c>
      <c r="R171" s="21" t="s">
        <v>498</v>
      </c>
      <c r="S171" s="21" t="s">
        <v>499</v>
      </c>
      <c r="V171" s="21" t="s">
        <v>500</v>
      </c>
      <c r="W171" s="21" t="s">
        <v>501</v>
      </c>
      <c r="X171" s="21" t="s">
        <v>502</v>
      </c>
      <c r="Y171" s="21" t="s">
        <v>503</v>
      </c>
      <c r="Z171" s="21">
        <v>3035547143</v>
      </c>
      <c r="AA171" s="26">
        <v>42741</v>
      </c>
      <c r="AB171" s="26">
        <v>42741</v>
      </c>
      <c r="AC171" s="21" t="s">
        <v>504</v>
      </c>
      <c r="AD171" s="21" t="s">
        <v>505</v>
      </c>
      <c r="AE171" s="21" t="s">
        <v>500</v>
      </c>
      <c r="AF171" s="21" t="s">
        <v>549</v>
      </c>
      <c r="AG171" s="21" t="s">
        <v>555</v>
      </c>
      <c r="AH171" s="21" t="s">
        <v>556</v>
      </c>
      <c r="AI171" s="21" t="s">
        <v>2110</v>
      </c>
      <c r="AJ171" s="21" t="s">
        <v>526</v>
      </c>
      <c r="AK171" s="21" t="s">
        <v>494</v>
      </c>
      <c r="AL171" s="21" t="s">
        <v>527</v>
      </c>
      <c r="AM171" s="21" t="s">
        <v>527</v>
      </c>
      <c r="AN171" s="21" t="s">
        <v>527</v>
      </c>
      <c r="AO171" s="21" t="s">
        <v>528</v>
      </c>
      <c r="AS171" s="21" t="s">
        <v>511</v>
      </c>
      <c r="AT171" s="21" t="s">
        <v>512</v>
      </c>
      <c r="AW171" s="21">
        <v>0</v>
      </c>
      <c r="AX171" s="21">
        <v>2</v>
      </c>
      <c r="AY171" s="26"/>
      <c r="AZ171" s="26"/>
      <c r="BB171" s="26"/>
      <c r="BC171" s="21" t="s">
        <v>513</v>
      </c>
      <c r="BD171" s="21" t="s">
        <v>514</v>
      </c>
      <c r="BE171" s="21" t="s">
        <v>514</v>
      </c>
      <c r="BF171" s="21" t="s">
        <v>515</v>
      </c>
      <c r="BG171" s="21">
        <v>1</v>
      </c>
      <c r="BH171" s="21" t="s">
        <v>516</v>
      </c>
      <c r="BI171" s="21" t="s">
        <v>517</v>
      </c>
      <c r="BJ171" s="21" t="s">
        <v>516</v>
      </c>
      <c r="BK171" s="21" t="s">
        <v>516</v>
      </c>
      <c r="BM171" s="21" t="s">
        <v>16</v>
      </c>
      <c r="BN171" s="21" t="s">
        <v>111</v>
      </c>
      <c r="BO171" s="21" t="s">
        <v>518</v>
      </c>
      <c r="BP171" s="21" t="s">
        <v>519</v>
      </c>
      <c r="BQ171" s="21" t="s">
        <v>16</v>
      </c>
      <c r="BR171" s="21" t="s">
        <v>111</v>
      </c>
      <c r="BS171" s="21" t="s">
        <v>518</v>
      </c>
      <c r="BT171" s="21" t="s">
        <v>519</v>
      </c>
      <c r="BU171" s="21" t="s">
        <v>111</v>
      </c>
      <c r="CD171" s="21" t="s">
        <v>520</v>
      </c>
      <c r="CF171" s="21" t="s">
        <v>521</v>
      </c>
      <c r="CN171" s="26"/>
      <c r="DB171" s="24" t="s">
        <v>943</v>
      </c>
      <c r="DC171" s="21">
        <v>1</v>
      </c>
      <c r="DD171" s="21">
        <v>2</v>
      </c>
      <c r="DE171" s="22">
        <v>42745</v>
      </c>
      <c r="DF171" s="21" t="s">
        <v>2582</v>
      </c>
      <c r="DG171" s="21" t="s">
        <v>522</v>
      </c>
      <c r="DH171" s="21" t="s">
        <v>2583</v>
      </c>
      <c r="DI171" s="21" t="s">
        <v>495</v>
      </c>
      <c r="DJ171" s="21" t="s">
        <v>520</v>
      </c>
      <c r="DK171" s="26"/>
      <c r="DL171" s="26">
        <v>42753</v>
      </c>
      <c r="DM171" s="26">
        <v>42743</v>
      </c>
      <c r="DN171" s="21">
        <v>3100</v>
      </c>
      <c r="DO171" s="21">
        <v>10</v>
      </c>
      <c r="DP171" s="21">
        <v>1</v>
      </c>
      <c r="DQ171" s="21">
        <v>1</v>
      </c>
      <c r="DR171" s="21">
        <v>6</v>
      </c>
      <c r="DS171" s="21">
        <v>10</v>
      </c>
      <c r="DT171" s="21">
        <v>10</v>
      </c>
      <c r="DU171" s="21">
        <v>10</v>
      </c>
      <c r="DW171" s="21">
        <v>9</v>
      </c>
      <c r="EA171" s="21">
        <v>8</v>
      </c>
      <c r="EB171" s="21" t="s">
        <v>2584</v>
      </c>
      <c r="EC171" s="21" t="s">
        <v>1221</v>
      </c>
      <c r="EF171" s="25">
        <v>0</v>
      </c>
      <c r="EG171" s="25">
        <v>0</v>
      </c>
      <c r="EH171" s="25">
        <v>1</v>
      </c>
      <c r="EI171" s="25">
        <v>0</v>
      </c>
      <c r="EJ171" s="25" t="s">
        <v>62</v>
      </c>
      <c r="EK171" s="25" t="s">
        <v>112</v>
      </c>
      <c r="EL171" s="25" t="s">
        <v>112</v>
      </c>
      <c r="EM171" s="25" t="s">
        <v>276</v>
      </c>
      <c r="EN171" s="25" t="s">
        <v>9</v>
      </c>
      <c r="EO171" s="25" t="s">
        <v>9</v>
      </c>
      <c r="EP171" s="25" t="s">
        <v>62</v>
      </c>
      <c r="EQ171" s="25" t="s">
        <v>62</v>
      </c>
      <c r="ER171" s="25" t="s">
        <v>278</v>
      </c>
      <c r="ES171" s="25" t="s">
        <v>278</v>
      </c>
      <c r="ET171" s="25">
        <v>1</v>
      </c>
      <c r="EU171" s="25" t="s">
        <v>522</v>
      </c>
      <c r="EV171" s="25" t="s">
        <v>112</v>
      </c>
      <c r="EW171" s="25" t="s">
        <v>9</v>
      </c>
      <c r="EX171" s="25" t="s">
        <v>278</v>
      </c>
      <c r="EY171" s="20" t="e">
        <v>#N/A</v>
      </c>
    </row>
    <row r="172" spans="1:155">
      <c r="A172" s="21" t="s">
        <v>491</v>
      </c>
      <c r="B172" s="21" t="s">
        <v>491</v>
      </c>
      <c r="C172" s="21" t="s">
        <v>492</v>
      </c>
      <c r="D172" s="21" t="s">
        <v>493</v>
      </c>
      <c r="E172" s="21" t="s">
        <v>493</v>
      </c>
      <c r="F172" s="21" t="s">
        <v>493</v>
      </c>
      <c r="G172" s="21" t="s">
        <v>2585</v>
      </c>
      <c r="H172" s="21">
        <v>1123693418</v>
      </c>
      <c r="I172" s="21" t="s">
        <v>494</v>
      </c>
      <c r="J172" s="21" t="s">
        <v>2586</v>
      </c>
      <c r="L172" s="21" t="s">
        <v>495</v>
      </c>
      <c r="M172" s="21" t="s">
        <v>2587</v>
      </c>
      <c r="N172" s="21" t="s">
        <v>550</v>
      </c>
      <c r="O172" s="21" t="s">
        <v>69</v>
      </c>
      <c r="P172" s="21" t="s">
        <v>497</v>
      </c>
      <c r="Q172" s="21" t="s">
        <v>2588</v>
      </c>
      <c r="R172" s="21" t="s">
        <v>551</v>
      </c>
      <c r="S172" s="21" t="s">
        <v>552</v>
      </c>
      <c r="V172" s="21" t="s">
        <v>500</v>
      </c>
      <c r="W172" s="21" t="s">
        <v>501</v>
      </c>
      <c r="X172" s="21" t="s">
        <v>502</v>
      </c>
      <c r="Y172" s="21" t="s">
        <v>503</v>
      </c>
      <c r="Z172" s="21">
        <v>3035569745</v>
      </c>
      <c r="AA172" s="26">
        <v>42742</v>
      </c>
      <c r="AB172" s="26">
        <v>42742</v>
      </c>
      <c r="AC172" s="21" t="s">
        <v>504</v>
      </c>
      <c r="AD172" s="21" t="s">
        <v>505</v>
      </c>
      <c r="AE172" s="21" t="s">
        <v>500</v>
      </c>
      <c r="AF172" s="21" t="s">
        <v>549</v>
      </c>
      <c r="AG172" s="21" t="s">
        <v>555</v>
      </c>
      <c r="AH172" s="21" t="s">
        <v>556</v>
      </c>
      <c r="AI172" s="21" t="s">
        <v>1117</v>
      </c>
      <c r="AJ172" s="21" t="s">
        <v>526</v>
      </c>
      <c r="AK172" s="21" t="s">
        <v>494</v>
      </c>
      <c r="AL172" s="21" t="s">
        <v>527</v>
      </c>
      <c r="AM172" s="21" t="s">
        <v>527</v>
      </c>
      <c r="AN172" s="21" t="s">
        <v>527</v>
      </c>
      <c r="AO172" s="21" t="s">
        <v>528</v>
      </c>
      <c r="AS172" s="21" t="s">
        <v>511</v>
      </c>
      <c r="AT172" s="21" t="s">
        <v>512</v>
      </c>
      <c r="AW172" s="21">
        <v>0</v>
      </c>
      <c r="AX172" s="21">
        <v>2</v>
      </c>
      <c r="AY172" s="26"/>
      <c r="AZ172" s="26"/>
      <c r="BB172" s="26"/>
      <c r="BC172" s="21" t="s">
        <v>513</v>
      </c>
      <c r="BD172" s="21" t="s">
        <v>514</v>
      </c>
      <c r="BE172" s="21" t="s">
        <v>514</v>
      </c>
      <c r="BF172" s="21" t="s">
        <v>515</v>
      </c>
      <c r="BG172" s="21">
        <v>1</v>
      </c>
      <c r="BH172" s="21" t="s">
        <v>516</v>
      </c>
      <c r="BI172" s="21" t="s">
        <v>517</v>
      </c>
      <c r="BJ172" s="21" t="s">
        <v>516</v>
      </c>
      <c r="BK172" s="21" t="s">
        <v>516</v>
      </c>
      <c r="BM172" s="21" t="s">
        <v>36</v>
      </c>
      <c r="BN172" s="21" t="s">
        <v>223</v>
      </c>
      <c r="BO172" s="21" t="s">
        <v>518</v>
      </c>
      <c r="BP172" s="21" t="s">
        <v>519</v>
      </c>
      <c r="BQ172" s="21" t="s">
        <v>36</v>
      </c>
      <c r="BR172" s="21" t="s">
        <v>223</v>
      </c>
      <c r="BS172" s="21" t="s">
        <v>518</v>
      </c>
      <c r="BT172" s="21" t="s">
        <v>519</v>
      </c>
      <c r="BU172" s="21" t="s">
        <v>223</v>
      </c>
      <c r="CD172" s="21" t="s">
        <v>520</v>
      </c>
      <c r="CF172" s="21" t="s">
        <v>521</v>
      </c>
      <c r="CN172" s="26"/>
      <c r="DB172" s="24" t="s">
        <v>943</v>
      </c>
      <c r="DC172" s="21">
        <v>1</v>
      </c>
      <c r="DD172" s="21">
        <v>2</v>
      </c>
      <c r="DE172" s="22">
        <v>42745</v>
      </c>
      <c r="DF172" s="21" t="s">
        <v>2589</v>
      </c>
      <c r="DG172" s="21" t="s">
        <v>522</v>
      </c>
      <c r="DH172" s="21" t="s">
        <v>2590</v>
      </c>
      <c r="DI172" s="21" t="s">
        <v>495</v>
      </c>
      <c r="DJ172" s="21" t="s">
        <v>520</v>
      </c>
      <c r="DK172" s="26"/>
      <c r="DL172" s="26">
        <v>42754</v>
      </c>
      <c r="DM172" s="26">
        <v>42744</v>
      </c>
      <c r="DN172" s="21">
        <v>3100</v>
      </c>
      <c r="DO172" s="21">
        <v>10</v>
      </c>
      <c r="DP172" s="21">
        <v>1</v>
      </c>
      <c r="DQ172" s="21">
        <v>1</v>
      </c>
      <c r="DR172" s="21">
        <v>7</v>
      </c>
      <c r="DS172" s="21">
        <v>10</v>
      </c>
      <c r="DT172" s="21">
        <v>10</v>
      </c>
      <c r="DU172" s="21">
        <v>10</v>
      </c>
      <c r="DW172" s="21">
        <v>10</v>
      </c>
      <c r="EA172" s="21">
        <v>10</v>
      </c>
      <c r="EB172" s="21" t="s">
        <v>2591</v>
      </c>
      <c r="EC172" s="21" t="s">
        <v>1221</v>
      </c>
      <c r="EF172" s="25">
        <v>1</v>
      </c>
      <c r="EG172" s="25">
        <v>0</v>
      </c>
      <c r="EH172" s="25">
        <v>1</v>
      </c>
      <c r="EI172" s="25">
        <v>0</v>
      </c>
      <c r="EJ172" s="25" t="s">
        <v>62</v>
      </c>
      <c r="EK172" s="25" t="s">
        <v>224</v>
      </c>
      <c r="EL172" s="25" t="s">
        <v>224</v>
      </c>
      <c r="EM172" s="25" t="s">
        <v>276</v>
      </c>
      <c r="EN172" s="25" t="s">
        <v>31</v>
      </c>
      <c r="EO172" s="25" t="s">
        <v>31</v>
      </c>
      <c r="EP172" s="25" t="s">
        <v>92</v>
      </c>
      <c r="EQ172" s="25" t="s">
        <v>92</v>
      </c>
      <c r="ER172" s="25" t="s">
        <v>278</v>
      </c>
      <c r="ES172" s="25" t="s">
        <v>278</v>
      </c>
      <c r="ET172" s="25">
        <v>1</v>
      </c>
      <c r="EU172" s="25" t="s">
        <v>522</v>
      </c>
      <c r="EV172" s="25" t="s">
        <v>224</v>
      </c>
      <c r="EW172" s="25" t="s">
        <v>31</v>
      </c>
      <c r="EX172" s="25" t="s">
        <v>278</v>
      </c>
      <c r="EY172" s="20" t="e">
        <v>#N/A</v>
      </c>
    </row>
    <row r="173" spans="1:155">
      <c r="A173" s="21" t="s">
        <v>491</v>
      </c>
      <c r="B173" s="21" t="s">
        <v>491</v>
      </c>
      <c r="C173" s="21" t="s">
        <v>492</v>
      </c>
      <c r="D173" s="21" t="s">
        <v>493</v>
      </c>
      <c r="E173" s="21" t="s">
        <v>493</v>
      </c>
      <c r="F173" s="21" t="s">
        <v>493</v>
      </c>
      <c r="G173" s="21" t="s">
        <v>2592</v>
      </c>
      <c r="H173" s="21">
        <v>11977388920</v>
      </c>
      <c r="I173" s="21" t="s">
        <v>494</v>
      </c>
      <c r="J173" s="21" t="s">
        <v>2593</v>
      </c>
      <c r="L173" s="21" t="s">
        <v>495</v>
      </c>
      <c r="M173" s="21" t="s">
        <v>2594</v>
      </c>
      <c r="N173" s="21" t="s">
        <v>1960</v>
      </c>
      <c r="O173" s="21" t="s">
        <v>93</v>
      </c>
      <c r="P173" s="21" t="s">
        <v>539</v>
      </c>
      <c r="Q173" s="21" t="s">
        <v>1168</v>
      </c>
      <c r="R173" s="21" t="s">
        <v>1961</v>
      </c>
      <c r="S173" s="21" t="s">
        <v>1440</v>
      </c>
      <c r="V173" s="21" t="s">
        <v>277</v>
      </c>
      <c r="W173" s="21" t="s">
        <v>524</v>
      </c>
      <c r="X173" s="21" t="s">
        <v>525</v>
      </c>
      <c r="Y173" s="21" t="s">
        <v>530</v>
      </c>
      <c r="Z173" s="21">
        <v>3035567802</v>
      </c>
      <c r="AA173" s="26">
        <v>42742</v>
      </c>
      <c r="AB173" s="26">
        <v>42742</v>
      </c>
      <c r="AC173" s="21" t="s">
        <v>504</v>
      </c>
      <c r="AD173" s="21" t="s">
        <v>505</v>
      </c>
      <c r="AE173" s="21" t="s">
        <v>565</v>
      </c>
      <c r="AF173" s="21" t="s">
        <v>1920</v>
      </c>
      <c r="AG173" s="21" t="s">
        <v>1951</v>
      </c>
      <c r="AH173" s="21" t="s">
        <v>1952</v>
      </c>
      <c r="AI173" s="21" t="s">
        <v>1923</v>
      </c>
      <c r="AJ173" s="21" t="s">
        <v>507</v>
      </c>
      <c r="AK173" s="21" t="s">
        <v>494</v>
      </c>
      <c r="AL173" s="21" t="s">
        <v>527</v>
      </c>
      <c r="AM173" s="21" t="s">
        <v>527</v>
      </c>
      <c r="AN173" s="21" t="s">
        <v>527</v>
      </c>
      <c r="AO173" s="21" t="s">
        <v>528</v>
      </c>
      <c r="AS173" s="21" t="s">
        <v>511</v>
      </c>
      <c r="AT173" s="21" t="s">
        <v>512</v>
      </c>
      <c r="AW173" s="21">
        <v>0</v>
      </c>
      <c r="AX173" s="21">
        <v>2</v>
      </c>
      <c r="AY173" s="26"/>
      <c r="AZ173" s="26"/>
      <c r="BB173" s="26"/>
      <c r="BC173" s="21" t="s">
        <v>513</v>
      </c>
      <c r="BD173" s="21" t="s">
        <v>514</v>
      </c>
      <c r="BE173" s="21" t="s">
        <v>514</v>
      </c>
      <c r="BF173" s="21" t="s">
        <v>515</v>
      </c>
      <c r="BG173" s="21">
        <v>1</v>
      </c>
      <c r="BH173" s="21" t="s">
        <v>516</v>
      </c>
      <c r="BI173" s="21" t="s">
        <v>517</v>
      </c>
      <c r="BJ173" s="21" t="s">
        <v>516</v>
      </c>
      <c r="BK173" s="21" t="s">
        <v>516</v>
      </c>
      <c r="BM173" s="21" t="s">
        <v>1374</v>
      </c>
      <c r="BN173" s="21" t="s">
        <v>206</v>
      </c>
      <c r="BO173" s="21" t="s">
        <v>518</v>
      </c>
      <c r="BP173" s="21" t="s">
        <v>519</v>
      </c>
      <c r="BQ173" s="21" t="s">
        <v>1374</v>
      </c>
      <c r="BR173" s="21" t="s">
        <v>206</v>
      </c>
      <c r="BS173" s="21" t="s">
        <v>518</v>
      </c>
      <c r="BT173" s="21" t="s">
        <v>519</v>
      </c>
      <c r="BU173" s="21" t="s">
        <v>206</v>
      </c>
      <c r="CD173" s="21" t="s">
        <v>520</v>
      </c>
      <c r="CF173" s="21" t="s">
        <v>521</v>
      </c>
      <c r="CN173" s="26"/>
      <c r="DB173" s="24" t="s">
        <v>943</v>
      </c>
      <c r="DC173" s="21">
        <v>1</v>
      </c>
      <c r="DD173" s="21">
        <v>2</v>
      </c>
      <c r="DE173" s="22">
        <v>42745</v>
      </c>
      <c r="DF173" s="21" t="s">
        <v>2595</v>
      </c>
      <c r="DG173" s="21" t="s">
        <v>522</v>
      </c>
      <c r="DH173" s="21" t="s">
        <v>2596</v>
      </c>
      <c r="DI173" s="21" t="s">
        <v>495</v>
      </c>
      <c r="DJ173" s="21" t="s">
        <v>520</v>
      </c>
      <c r="DK173" s="26"/>
      <c r="DL173" s="26">
        <v>42754</v>
      </c>
      <c r="DM173" s="26">
        <v>42744</v>
      </c>
      <c r="DN173" s="21">
        <v>1100</v>
      </c>
      <c r="DO173" s="21">
        <v>9</v>
      </c>
      <c r="DP173" s="21">
        <v>1</v>
      </c>
      <c r="DQ173" s="21">
        <v>1</v>
      </c>
      <c r="DR173" s="21">
        <v>6</v>
      </c>
      <c r="DS173" s="21">
        <v>9</v>
      </c>
      <c r="DT173" s="21">
        <v>9</v>
      </c>
      <c r="DU173" s="21">
        <v>9</v>
      </c>
      <c r="DW173" s="21">
        <v>9</v>
      </c>
      <c r="EA173" s="21">
        <v>9</v>
      </c>
      <c r="EF173" s="25">
        <v>1</v>
      </c>
      <c r="EG173" s="25">
        <v>0</v>
      </c>
      <c r="EH173" s="25">
        <v>1</v>
      </c>
      <c r="EI173" s="25">
        <v>0</v>
      </c>
      <c r="EJ173" s="25" t="s">
        <v>92</v>
      </c>
      <c r="EK173" s="25" t="s">
        <v>207</v>
      </c>
      <c r="EL173" s="25" t="s">
        <v>207</v>
      </c>
      <c r="EM173" s="25" t="s">
        <v>276</v>
      </c>
      <c r="EN173" s="25" t="s">
        <v>31</v>
      </c>
      <c r="EO173" s="25" t="s">
        <v>31</v>
      </c>
      <c r="EP173" s="25" t="s">
        <v>92</v>
      </c>
      <c r="EQ173" s="25" t="s">
        <v>92</v>
      </c>
      <c r="ER173" s="25" t="s">
        <v>278</v>
      </c>
      <c r="ES173" s="25" t="s">
        <v>278</v>
      </c>
      <c r="ET173" s="25">
        <v>1</v>
      </c>
      <c r="EU173" s="25" t="s">
        <v>522</v>
      </c>
      <c r="EV173" s="25" t="s">
        <v>207</v>
      </c>
      <c r="EW173" s="25" t="s">
        <v>31</v>
      </c>
      <c r="EX173" s="25" t="s">
        <v>278</v>
      </c>
      <c r="EY173" s="20" t="e">
        <v>#N/A</v>
      </c>
    </row>
    <row r="174" spans="1:155">
      <c r="A174" s="21" t="s">
        <v>491</v>
      </c>
      <c r="B174" s="21" t="s">
        <v>491</v>
      </c>
      <c r="C174" s="21" t="s">
        <v>492</v>
      </c>
      <c r="D174" s="21" t="s">
        <v>493</v>
      </c>
      <c r="E174" s="21" t="s">
        <v>493</v>
      </c>
      <c r="F174" s="21" t="s">
        <v>493</v>
      </c>
      <c r="G174" s="21" t="s">
        <v>2597</v>
      </c>
      <c r="H174" s="21">
        <v>1636234981</v>
      </c>
      <c r="I174" s="21" t="s">
        <v>494</v>
      </c>
      <c r="J174" s="21" t="s">
        <v>2598</v>
      </c>
      <c r="L174" s="21" t="s">
        <v>495</v>
      </c>
      <c r="M174" s="21" t="s">
        <v>2599</v>
      </c>
      <c r="N174" s="21" t="s">
        <v>2600</v>
      </c>
      <c r="O174" s="21" t="s">
        <v>97</v>
      </c>
      <c r="P174" s="21" t="s">
        <v>1040</v>
      </c>
      <c r="R174" s="21" t="s">
        <v>2601</v>
      </c>
      <c r="S174" s="21" t="s">
        <v>2602</v>
      </c>
      <c r="V174" s="21" t="s">
        <v>500</v>
      </c>
      <c r="W174" s="21" t="s">
        <v>501</v>
      </c>
      <c r="X174" s="21" t="s">
        <v>502</v>
      </c>
      <c r="Y174" s="21" t="s">
        <v>503</v>
      </c>
      <c r="Z174" s="21">
        <v>3035523555</v>
      </c>
      <c r="AA174" s="26">
        <v>42740</v>
      </c>
      <c r="AB174" s="26">
        <v>42742</v>
      </c>
      <c r="AC174" s="21" t="s">
        <v>504</v>
      </c>
      <c r="AD174" s="21" t="s">
        <v>505</v>
      </c>
      <c r="AE174" s="21" t="s">
        <v>500</v>
      </c>
      <c r="AF174" s="21" t="s">
        <v>564</v>
      </c>
      <c r="AG174" s="21" t="s">
        <v>1699</v>
      </c>
      <c r="AH174" s="21" t="s">
        <v>1700</v>
      </c>
      <c r="AI174" s="21" t="s">
        <v>2603</v>
      </c>
      <c r="AJ174" s="21" t="s">
        <v>507</v>
      </c>
      <c r="AK174" s="21" t="s">
        <v>494</v>
      </c>
      <c r="AL174" s="21" t="s">
        <v>527</v>
      </c>
      <c r="AM174" s="21" t="s">
        <v>527</v>
      </c>
      <c r="AN174" s="21" t="s">
        <v>527</v>
      </c>
      <c r="AO174" s="21" t="s">
        <v>528</v>
      </c>
      <c r="AS174" s="21" t="s">
        <v>511</v>
      </c>
      <c r="AT174" s="21" t="s">
        <v>512</v>
      </c>
      <c r="AW174" s="21">
        <v>0</v>
      </c>
      <c r="AX174" s="21">
        <v>6</v>
      </c>
      <c r="AY174" s="26"/>
      <c r="AZ174" s="26"/>
      <c r="BB174" s="26"/>
      <c r="BC174" s="21" t="s">
        <v>513</v>
      </c>
      <c r="BD174" s="21" t="s">
        <v>514</v>
      </c>
      <c r="BE174" s="21" t="s">
        <v>514</v>
      </c>
      <c r="BF174" s="21" t="s">
        <v>515</v>
      </c>
      <c r="BG174" s="21">
        <v>1</v>
      </c>
      <c r="BH174" s="21" t="s">
        <v>516</v>
      </c>
      <c r="BI174" s="21" t="s">
        <v>517</v>
      </c>
      <c r="BJ174" s="21" t="s">
        <v>516</v>
      </c>
      <c r="BK174" s="21" t="s">
        <v>516</v>
      </c>
      <c r="BM174" s="21" t="s">
        <v>1537</v>
      </c>
      <c r="BN174" s="21" t="s">
        <v>149</v>
      </c>
      <c r="BO174" s="21" t="s">
        <v>518</v>
      </c>
      <c r="BP174" s="21" t="s">
        <v>519</v>
      </c>
      <c r="BQ174" s="21" t="s">
        <v>27</v>
      </c>
      <c r="BR174" s="21" t="s">
        <v>119</v>
      </c>
      <c r="BS174" s="21" t="s">
        <v>518</v>
      </c>
      <c r="BT174" s="21" t="s">
        <v>519</v>
      </c>
      <c r="BU174" s="21" t="s">
        <v>149</v>
      </c>
      <c r="CD174" s="21" t="s">
        <v>520</v>
      </c>
      <c r="CF174" s="21" t="s">
        <v>521</v>
      </c>
      <c r="CN174" s="26"/>
      <c r="DB174" s="24" t="s">
        <v>943</v>
      </c>
      <c r="DC174" s="21">
        <v>1</v>
      </c>
      <c r="DD174" s="21">
        <v>2</v>
      </c>
      <c r="DE174" s="22">
        <v>42745</v>
      </c>
      <c r="DF174" s="21" t="s">
        <v>2604</v>
      </c>
      <c r="DG174" s="21" t="s">
        <v>522</v>
      </c>
      <c r="DH174" s="21" t="s">
        <v>2605</v>
      </c>
      <c r="DI174" s="21" t="s">
        <v>495</v>
      </c>
      <c r="DJ174" s="21" t="s">
        <v>520</v>
      </c>
      <c r="DK174" s="26"/>
      <c r="DL174" s="26">
        <v>42754</v>
      </c>
      <c r="DM174" s="26">
        <v>42744</v>
      </c>
      <c r="DN174" s="21">
        <v>3100</v>
      </c>
      <c r="DO174" s="21">
        <v>9</v>
      </c>
      <c r="DP174" s="21">
        <v>1</v>
      </c>
      <c r="DQ174" s="21">
        <v>1</v>
      </c>
      <c r="DR174" s="21">
        <v>6</v>
      </c>
      <c r="DS174" s="21">
        <v>9</v>
      </c>
      <c r="DT174" s="21">
        <v>9</v>
      </c>
      <c r="DU174" s="21">
        <v>9</v>
      </c>
      <c r="DW174" s="21">
        <v>9</v>
      </c>
      <c r="EA174" s="21">
        <v>9</v>
      </c>
      <c r="EF174" s="25">
        <v>1</v>
      </c>
      <c r="EG174" s="25">
        <v>0</v>
      </c>
      <c r="EH174" s="25">
        <v>1</v>
      </c>
      <c r="EI174" s="25">
        <v>0</v>
      </c>
      <c r="EJ174" s="25" t="s">
        <v>62</v>
      </c>
      <c r="EK174" s="25" t="s">
        <v>150</v>
      </c>
      <c r="EL174" s="25" t="s">
        <v>120</v>
      </c>
      <c r="EM174" s="25" t="s">
        <v>276</v>
      </c>
      <c r="EN174" s="25" t="s">
        <v>23</v>
      </c>
      <c r="EO174" s="25" t="s">
        <v>23</v>
      </c>
      <c r="EP174" s="25" t="s">
        <v>62</v>
      </c>
      <c r="EQ174" s="25" t="s">
        <v>62</v>
      </c>
      <c r="ER174" s="25" t="s">
        <v>278</v>
      </c>
      <c r="ES174" s="25" t="s">
        <v>278</v>
      </c>
      <c r="ET174" s="25">
        <v>1</v>
      </c>
      <c r="EU174" s="25" t="s">
        <v>522</v>
      </c>
      <c r="EV174" s="25" t="s">
        <v>279</v>
      </c>
      <c r="EW174" s="25" t="s">
        <v>279</v>
      </c>
      <c r="EX174" s="25" t="s">
        <v>279</v>
      </c>
      <c r="EY174" s="20" t="e">
        <v>#N/A</v>
      </c>
    </row>
    <row r="175" spans="1:155">
      <c r="A175" s="21" t="s">
        <v>491</v>
      </c>
      <c r="B175" s="21" t="s">
        <v>491</v>
      </c>
      <c r="C175" s="21" t="s">
        <v>492</v>
      </c>
      <c r="D175" s="21" t="s">
        <v>493</v>
      </c>
      <c r="E175" s="21" t="s">
        <v>493</v>
      </c>
      <c r="F175" s="21" t="s">
        <v>493</v>
      </c>
      <c r="G175" s="21" t="s">
        <v>2606</v>
      </c>
      <c r="H175" s="21">
        <v>1143362773</v>
      </c>
      <c r="I175" s="21" t="s">
        <v>494</v>
      </c>
      <c r="J175" s="21" t="s">
        <v>2607</v>
      </c>
      <c r="L175" s="21" t="s">
        <v>495</v>
      </c>
      <c r="M175" s="21" t="s">
        <v>2608</v>
      </c>
      <c r="N175" s="21" t="s">
        <v>1485</v>
      </c>
      <c r="O175" s="21" t="s">
        <v>97</v>
      </c>
      <c r="P175" s="21" t="s">
        <v>1040</v>
      </c>
      <c r="R175" s="21" t="s">
        <v>1486</v>
      </c>
      <c r="S175" s="21" t="s">
        <v>1487</v>
      </c>
      <c r="V175" s="21" t="s">
        <v>500</v>
      </c>
      <c r="W175" s="21" t="s">
        <v>501</v>
      </c>
      <c r="X175" s="21" t="s">
        <v>502</v>
      </c>
      <c r="Y175" s="21" t="s">
        <v>503</v>
      </c>
      <c r="Z175" s="21">
        <v>3035570136</v>
      </c>
      <c r="AA175" s="26">
        <v>42742</v>
      </c>
      <c r="AB175" s="26">
        <v>42742</v>
      </c>
      <c r="AC175" s="21" t="s">
        <v>504</v>
      </c>
      <c r="AD175" s="21" t="s">
        <v>505</v>
      </c>
      <c r="AE175" s="21" t="s">
        <v>500</v>
      </c>
      <c r="AF175" s="21" t="s">
        <v>506</v>
      </c>
      <c r="AG175" s="21" t="s">
        <v>581</v>
      </c>
      <c r="AH175" s="21" t="s">
        <v>582</v>
      </c>
      <c r="AI175" s="21" t="s">
        <v>2609</v>
      </c>
      <c r="AJ175" s="21" t="s">
        <v>526</v>
      </c>
      <c r="AK175" s="21" t="s">
        <v>494</v>
      </c>
      <c r="AL175" s="21" t="s">
        <v>527</v>
      </c>
      <c r="AM175" s="21" t="s">
        <v>527</v>
      </c>
      <c r="AN175" s="21" t="s">
        <v>527</v>
      </c>
      <c r="AO175" s="21" t="s">
        <v>528</v>
      </c>
      <c r="AS175" s="21" t="s">
        <v>511</v>
      </c>
      <c r="AT175" s="21" t="s">
        <v>512</v>
      </c>
      <c r="AW175" s="21">
        <v>0</v>
      </c>
      <c r="AX175" s="21">
        <v>2</v>
      </c>
      <c r="AY175" s="26"/>
      <c r="AZ175" s="26"/>
      <c r="BB175" s="26"/>
      <c r="BC175" s="21" t="s">
        <v>513</v>
      </c>
      <c r="BD175" s="21" t="s">
        <v>514</v>
      </c>
      <c r="BE175" s="21" t="s">
        <v>514</v>
      </c>
      <c r="BF175" s="21" t="s">
        <v>515</v>
      </c>
      <c r="BG175" s="21">
        <v>1</v>
      </c>
      <c r="BH175" s="21" t="s">
        <v>516</v>
      </c>
      <c r="BI175" s="21" t="s">
        <v>517</v>
      </c>
      <c r="BJ175" s="21" t="s">
        <v>516</v>
      </c>
      <c r="BK175" s="21" t="s">
        <v>516</v>
      </c>
      <c r="BM175" s="21" t="s">
        <v>46</v>
      </c>
      <c r="BN175" s="21" t="s">
        <v>248</v>
      </c>
      <c r="BO175" s="21" t="s">
        <v>518</v>
      </c>
      <c r="BP175" s="21" t="s">
        <v>519</v>
      </c>
      <c r="BQ175" s="21" t="s">
        <v>46</v>
      </c>
      <c r="BR175" s="21" t="s">
        <v>248</v>
      </c>
      <c r="BS175" s="21" t="s">
        <v>518</v>
      </c>
      <c r="BT175" s="21" t="s">
        <v>519</v>
      </c>
      <c r="BU175" s="21" t="s">
        <v>248</v>
      </c>
      <c r="CD175" s="21" t="s">
        <v>520</v>
      </c>
      <c r="CF175" s="21" t="s">
        <v>521</v>
      </c>
      <c r="CN175" s="26"/>
      <c r="DB175" s="24" t="s">
        <v>943</v>
      </c>
      <c r="DC175" s="21">
        <v>1</v>
      </c>
      <c r="DD175" s="21">
        <v>2</v>
      </c>
      <c r="DE175" s="22">
        <v>42745</v>
      </c>
      <c r="DF175" s="21" t="s">
        <v>1454</v>
      </c>
      <c r="DG175" s="21" t="s">
        <v>522</v>
      </c>
      <c r="DH175" s="21" t="s">
        <v>2610</v>
      </c>
      <c r="DI175" s="21" t="s">
        <v>495</v>
      </c>
      <c r="DJ175" s="21" t="s">
        <v>520</v>
      </c>
      <c r="DK175" s="26"/>
      <c r="DL175" s="26">
        <v>42754</v>
      </c>
      <c r="DM175" s="26">
        <v>42744</v>
      </c>
      <c r="DN175" s="21">
        <v>3100</v>
      </c>
      <c r="DO175" s="21">
        <v>10</v>
      </c>
      <c r="DP175" s="21">
        <v>1</v>
      </c>
      <c r="DQ175" s="21">
        <v>1</v>
      </c>
      <c r="DR175" s="21">
        <v>7</v>
      </c>
      <c r="DS175" s="21">
        <v>10</v>
      </c>
      <c r="DT175" s="21">
        <v>10</v>
      </c>
      <c r="DU175" s="21">
        <v>10</v>
      </c>
      <c r="DW175" s="21">
        <v>10</v>
      </c>
      <c r="EA175" s="21">
        <v>10</v>
      </c>
      <c r="EB175" s="21" t="s">
        <v>2611</v>
      </c>
      <c r="EC175" s="21" t="s">
        <v>1221</v>
      </c>
      <c r="EF175" s="25">
        <v>1</v>
      </c>
      <c r="EG175" s="25">
        <v>0</v>
      </c>
      <c r="EH175" s="25">
        <v>1</v>
      </c>
      <c r="EI175" s="25">
        <v>0</v>
      </c>
      <c r="EJ175" s="25" t="s">
        <v>62</v>
      </c>
      <c r="EK175" s="25" t="s">
        <v>249</v>
      </c>
      <c r="EL175" s="25" t="s">
        <v>249</v>
      </c>
      <c r="EM175" s="25" t="s">
        <v>276</v>
      </c>
      <c r="EN175" s="25" t="s">
        <v>39</v>
      </c>
      <c r="EO175" s="25" t="s">
        <v>39</v>
      </c>
      <c r="EP175" s="25" t="s">
        <v>92</v>
      </c>
      <c r="EQ175" s="25" t="s">
        <v>92</v>
      </c>
      <c r="ER175" s="25" t="s">
        <v>278</v>
      </c>
      <c r="ES175" s="25" t="s">
        <v>278</v>
      </c>
      <c r="ET175" s="25">
        <v>1</v>
      </c>
      <c r="EU175" s="25" t="s">
        <v>522</v>
      </c>
      <c r="EV175" s="25" t="s">
        <v>249</v>
      </c>
      <c r="EW175" s="25" t="s">
        <v>39</v>
      </c>
      <c r="EX175" s="25" t="s">
        <v>278</v>
      </c>
      <c r="EY175" s="20" t="e">
        <v>#N/A</v>
      </c>
    </row>
    <row r="176" spans="1:155">
      <c r="A176" s="21" t="s">
        <v>491</v>
      </c>
      <c r="B176" s="21" t="s">
        <v>491</v>
      </c>
      <c r="C176" s="21" t="s">
        <v>492</v>
      </c>
      <c r="D176" s="21" t="s">
        <v>493</v>
      </c>
      <c r="E176" s="21" t="s">
        <v>493</v>
      </c>
      <c r="F176" s="21" t="s">
        <v>493</v>
      </c>
      <c r="G176" s="21" t="s">
        <v>2612</v>
      </c>
      <c r="H176" s="21" t="s">
        <v>2613</v>
      </c>
      <c r="I176" s="21">
        <v>24998708398</v>
      </c>
      <c r="J176" s="21" t="s">
        <v>2614</v>
      </c>
      <c r="L176" s="21" t="s">
        <v>495</v>
      </c>
      <c r="M176" s="21" t="s">
        <v>2615</v>
      </c>
      <c r="N176" s="21" t="s">
        <v>1399</v>
      </c>
      <c r="O176" s="21" t="s">
        <v>93</v>
      </c>
      <c r="P176" s="21" t="s">
        <v>539</v>
      </c>
      <c r="Q176" s="21" t="s">
        <v>1168</v>
      </c>
      <c r="R176" s="21" t="s">
        <v>1400</v>
      </c>
      <c r="S176" s="21" t="s">
        <v>1401</v>
      </c>
      <c r="V176" s="21" t="s">
        <v>277</v>
      </c>
      <c r="W176" s="21" t="s">
        <v>524</v>
      </c>
      <c r="X176" s="21" t="s">
        <v>525</v>
      </c>
      <c r="Y176" s="21" t="s">
        <v>530</v>
      </c>
      <c r="Z176" s="21">
        <v>3035568991</v>
      </c>
      <c r="AA176" s="26">
        <v>42742</v>
      </c>
      <c r="AB176" s="26">
        <v>42742</v>
      </c>
      <c r="AC176" s="21" t="s">
        <v>504</v>
      </c>
      <c r="AD176" s="21" t="s">
        <v>505</v>
      </c>
      <c r="AE176" s="21" t="s">
        <v>1156</v>
      </c>
      <c r="AF176" s="21" t="s">
        <v>1157</v>
      </c>
      <c r="AG176" s="21" t="s">
        <v>1158</v>
      </c>
      <c r="AH176" s="21" t="s">
        <v>1159</v>
      </c>
      <c r="AI176" s="21" t="s">
        <v>1391</v>
      </c>
      <c r="AJ176" s="21" t="s">
        <v>526</v>
      </c>
      <c r="AK176" s="21" t="s">
        <v>494</v>
      </c>
      <c r="AL176" s="21" t="s">
        <v>508</v>
      </c>
      <c r="AM176" s="21" t="s">
        <v>509</v>
      </c>
      <c r="AN176" s="21" t="s">
        <v>509</v>
      </c>
      <c r="AO176" s="21" t="s">
        <v>510</v>
      </c>
      <c r="AS176" s="21" t="s">
        <v>511</v>
      </c>
      <c r="AT176" s="21" t="s">
        <v>512</v>
      </c>
      <c r="AW176" s="21">
        <v>0</v>
      </c>
      <c r="AX176" s="21">
        <v>2</v>
      </c>
      <c r="AY176" s="26"/>
      <c r="AZ176" s="26"/>
      <c r="BB176" s="26"/>
      <c r="BC176" s="21" t="s">
        <v>513</v>
      </c>
      <c r="BD176" s="21" t="s">
        <v>514</v>
      </c>
      <c r="BE176" s="21" t="s">
        <v>514</v>
      </c>
      <c r="BF176" s="21" t="s">
        <v>515</v>
      </c>
      <c r="BG176" s="21">
        <v>1</v>
      </c>
      <c r="BH176" s="21" t="s">
        <v>516</v>
      </c>
      <c r="BI176" s="21" t="s">
        <v>517</v>
      </c>
      <c r="BJ176" s="21" t="s">
        <v>516</v>
      </c>
      <c r="BK176" s="21" t="s">
        <v>516</v>
      </c>
      <c r="BM176" s="21" t="s">
        <v>1519</v>
      </c>
      <c r="BN176" s="21" t="s">
        <v>221</v>
      </c>
      <c r="BO176" s="21" t="s">
        <v>518</v>
      </c>
      <c r="BP176" s="21" t="s">
        <v>1044</v>
      </c>
      <c r="BQ176" s="21" t="s">
        <v>1519</v>
      </c>
      <c r="BR176" s="21" t="s">
        <v>221</v>
      </c>
      <c r="BS176" s="21" t="s">
        <v>518</v>
      </c>
      <c r="BT176" s="21" t="s">
        <v>1044</v>
      </c>
      <c r="BU176" s="21" t="s">
        <v>221</v>
      </c>
      <c r="CD176" s="21" t="s">
        <v>520</v>
      </c>
      <c r="CF176" s="21" t="s">
        <v>521</v>
      </c>
      <c r="CN176" s="26"/>
      <c r="DB176" s="24" t="s">
        <v>943</v>
      </c>
      <c r="DC176" s="21">
        <v>1</v>
      </c>
      <c r="DD176" s="21">
        <v>2</v>
      </c>
      <c r="DE176" s="22">
        <v>42745</v>
      </c>
      <c r="DF176" s="21" t="s">
        <v>2616</v>
      </c>
      <c r="DG176" s="21" t="s">
        <v>522</v>
      </c>
      <c r="DH176" s="21" t="s">
        <v>2617</v>
      </c>
      <c r="DI176" s="21" t="s">
        <v>495</v>
      </c>
      <c r="DJ176" s="21" t="s">
        <v>520</v>
      </c>
      <c r="DK176" s="26"/>
      <c r="DL176" s="26">
        <v>42754</v>
      </c>
      <c r="DM176" s="26">
        <v>42744</v>
      </c>
      <c r="DN176" s="21">
        <v>1100</v>
      </c>
      <c r="DO176" s="21">
        <v>10</v>
      </c>
      <c r="DP176" s="21">
        <v>1</v>
      </c>
      <c r="DQ176" s="21">
        <v>1</v>
      </c>
      <c r="DR176" s="21">
        <v>7</v>
      </c>
      <c r="DS176" s="21">
        <v>10</v>
      </c>
      <c r="DT176" s="21">
        <v>10</v>
      </c>
      <c r="DU176" s="21">
        <v>10</v>
      </c>
      <c r="DW176" s="21">
        <v>10</v>
      </c>
      <c r="EA176" s="21">
        <v>10</v>
      </c>
      <c r="EB176" s="21" t="s">
        <v>2618</v>
      </c>
      <c r="EC176" s="21" t="s">
        <v>1002</v>
      </c>
      <c r="EF176" s="25">
        <v>1</v>
      </c>
      <c r="EG176" s="25">
        <v>0</v>
      </c>
      <c r="EH176" s="25">
        <v>1</v>
      </c>
      <c r="EI176" s="25">
        <v>0</v>
      </c>
      <c r="EJ176" s="25" t="s">
        <v>92</v>
      </c>
      <c r="EK176" s="25" t="s">
        <v>222</v>
      </c>
      <c r="EL176" s="25" t="s">
        <v>222</v>
      </c>
      <c r="EM176" s="25" t="s">
        <v>276</v>
      </c>
      <c r="EN176" s="25" t="s">
        <v>31</v>
      </c>
      <c r="EO176" s="25" t="s">
        <v>31</v>
      </c>
      <c r="EP176" s="25" t="s">
        <v>92</v>
      </c>
      <c r="EQ176" s="25" t="s">
        <v>92</v>
      </c>
      <c r="ER176" s="25" t="s">
        <v>278</v>
      </c>
      <c r="ES176" s="25" t="s">
        <v>278</v>
      </c>
      <c r="ET176" s="25">
        <v>1</v>
      </c>
      <c r="EU176" s="25" t="s">
        <v>522</v>
      </c>
      <c r="EV176" s="25" t="s">
        <v>222</v>
      </c>
      <c r="EW176" s="25" t="s">
        <v>31</v>
      </c>
      <c r="EX176" s="25" t="s">
        <v>278</v>
      </c>
      <c r="EY176" s="20" t="e">
        <v>#N/A</v>
      </c>
    </row>
    <row r="177" spans="1:155">
      <c r="A177" s="21" t="s">
        <v>491</v>
      </c>
      <c r="B177" s="21" t="s">
        <v>491</v>
      </c>
      <c r="C177" s="21" t="s">
        <v>492</v>
      </c>
      <c r="D177" s="21" t="s">
        <v>493</v>
      </c>
      <c r="E177" s="21" t="s">
        <v>493</v>
      </c>
      <c r="F177" s="21" t="s">
        <v>493</v>
      </c>
      <c r="G177" s="21" t="s">
        <v>2619</v>
      </c>
      <c r="H177" s="21" t="s">
        <v>2620</v>
      </c>
      <c r="I177" s="21" t="s">
        <v>494</v>
      </c>
      <c r="J177" s="21" t="s">
        <v>2621</v>
      </c>
      <c r="L177" s="21" t="s">
        <v>495</v>
      </c>
      <c r="M177" s="21" t="s">
        <v>2622</v>
      </c>
      <c r="N177" s="21" t="s">
        <v>496</v>
      </c>
      <c r="O177" s="21" t="s">
        <v>69</v>
      </c>
      <c r="P177" s="21" t="s">
        <v>497</v>
      </c>
      <c r="Q177" s="21" t="s">
        <v>1168</v>
      </c>
      <c r="R177" s="21" t="s">
        <v>498</v>
      </c>
      <c r="S177" s="21" t="s">
        <v>499</v>
      </c>
      <c r="V177" s="21" t="s">
        <v>500</v>
      </c>
      <c r="W177" s="21" t="s">
        <v>501</v>
      </c>
      <c r="X177" s="21" t="s">
        <v>502</v>
      </c>
      <c r="Y177" s="21" t="s">
        <v>503</v>
      </c>
      <c r="Z177" s="21">
        <v>3035570515</v>
      </c>
      <c r="AA177" s="26">
        <v>42742</v>
      </c>
      <c r="AB177" s="26">
        <v>42742</v>
      </c>
      <c r="AC177" s="21" t="s">
        <v>504</v>
      </c>
      <c r="AD177" s="21" t="s">
        <v>505</v>
      </c>
      <c r="AE177" s="21" t="s">
        <v>1020</v>
      </c>
      <c r="AF177" s="21" t="s">
        <v>1369</v>
      </c>
      <c r="AG177" s="21" t="s">
        <v>1370</v>
      </c>
      <c r="AH177" s="21" t="s">
        <v>1371</v>
      </c>
      <c r="AI177" s="21" t="s">
        <v>1342</v>
      </c>
      <c r="AJ177" s="21" t="s">
        <v>526</v>
      </c>
      <c r="AK177" s="21" t="s">
        <v>494</v>
      </c>
      <c r="AL177" s="21" t="s">
        <v>527</v>
      </c>
      <c r="AM177" s="21" t="s">
        <v>527</v>
      </c>
      <c r="AN177" s="21" t="s">
        <v>527</v>
      </c>
      <c r="AO177" s="21" t="s">
        <v>528</v>
      </c>
      <c r="AS177" s="21" t="s">
        <v>2623</v>
      </c>
      <c r="AT177" s="21" t="s">
        <v>512</v>
      </c>
      <c r="AW177" s="21">
        <v>0</v>
      </c>
      <c r="AX177" s="21">
        <v>3</v>
      </c>
      <c r="AY177" s="26"/>
      <c r="AZ177" s="26"/>
      <c r="BB177" s="26"/>
      <c r="BC177" s="21" t="s">
        <v>513</v>
      </c>
      <c r="BD177" s="21" t="s">
        <v>514</v>
      </c>
      <c r="BE177" s="21" t="s">
        <v>514</v>
      </c>
      <c r="BF177" s="21" t="s">
        <v>515</v>
      </c>
      <c r="BG177" s="21">
        <v>1</v>
      </c>
      <c r="BH177" s="21" t="s">
        <v>516</v>
      </c>
      <c r="BI177" s="21" t="s">
        <v>517</v>
      </c>
      <c r="BJ177" s="21" t="s">
        <v>516</v>
      </c>
      <c r="BK177" s="21" t="s">
        <v>516</v>
      </c>
      <c r="BM177" s="21" t="s">
        <v>1373</v>
      </c>
      <c r="BN177" s="21" t="s">
        <v>213</v>
      </c>
      <c r="BO177" s="21" t="s">
        <v>518</v>
      </c>
      <c r="BP177" s="21" t="s">
        <v>1044</v>
      </c>
      <c r="BQ177" s="21" t="s">
        <v>46</v>
      </c>
      <c r="BR177" s="21" t="s">
        <v>248</v>
      </c>
      <c r="BS177" s="21" t="s">
        <v>518</v>
      </c>
      <c r="BT177" s="21" t="s">
        <v>519</v>
      </c>
      <c r="BU177" s="21" t="s">
        <v>213</v>
      </c>
      <c r="CD177" s="21" t="s">
        <v>520</v>
      </c>
      <c r="CF177" s="21" t="s">
        <v>521</v>
      </c>
      <c r="CN177" s="26"/>
      <c r="DB177" s="24" t="s">
        <v>943</v>
      </c>
      <c r="DC177" s="21">
        <v>1</v>
      </c>
      <c r="DD177" s="21">
        <v>2</v>
      </c>
      <c r="DE177" s="22">
        <v>42745</v>
      </c>
      <c r="DF177" s="21" t="s">
        <v>2624</v>
      </c>
      <c r="DG177" s="21" t="s">
        <v>522</v>
      </c>
      <c r="DH177" s="21" t="s">
        <v>2625</v>
      </c>
      <c r="DI177" s="21" t="s">
        <v>495</v>
      </c>
      <c r="DJ177" s="21" t="s">
        <v>520</v>
      </c>
      <c r="DK177" s="26"/>
      <c r="DL177" s="26">
        <v>42754</v>
      </c>
      <c r="DM177" s="26">
        <v>42744</v>
      </c>
      <c r="DN177" s="21">
        <v>3100</v>
      </c>
      <c r="DO177" s="21">
        <v>10</v>
      </c>
      <c r="DP177" s="21">
        <v>1</v>
      </c>
      <c r="DQ177" s="21">
        <v>2</v>
      </c>
      <c r="DR177" s="21">
        <v>7</v>
      </c>
      <c r="DS177" s="21">
        <v>10</v>
      </c>
      <c r="DT177" s="21">
        <v>10</v>
      </c>
      <c r="DU177" s="21">
        <v>10</v>
      </c>
      <c r="DW177" s="21">
        <v>10</v>
      </c>
      <c r="EA177" s="21">
        <v>10</v>
      </c>
      <c r="EF177" s="25">
        <v>1</v>
      </c>
      <c r="EG177" s="25">
        <v>0</v>
      </c>
      <c r="EH177" s="25">
        <v>1</v>
      </c>
      <c r="EI177" s="25">
        <v>0</v>
      </c>
      <c r="EJ177" s="25" t="s">
        <v>62</v>
      </c>
      <c r="EK177" s="25" t="s">
        <v>214</v>
      </c>
      <c r="EL177" s="25" t="s">
        <v>249</v>
      </c>
      <c r="EM177" s="25" t="s">
        <v>276</v>
      </c>
      <c r="EN177" s="25" t="s">
        <v>31</v>
      </c>
      <c r="EO177" s="25" t="s">
        <v>39</v>
      </c>
      <c r="EP177" s="25" t="s">
        <v>92</v>
      </c>
      <c r="EQ177" s="25" t="s">
        <v>92</v>
      </c>
      <c r="ER177" s="25" t="s">
        <v>278</v>
      </c>
      <c r="ES177" s="25" t="s">
        <v>278</v>
      </c>
      <c r="ET177" s="25">
        <v>1</v>
      </c>
      <c r="EU177" s="25" t="s">
        <v>522</v>
      </c>
      <c r="EV177" s="25" t="s">
        <v>279</v>
      </c>
      <c r="EW177" s="25" t="s">
        <v>279</v>
      </c>
      <c r="EX177" s="25" t="s">
        <v>279</v>
      </c>
      <c r="EY177" s="20" t="e">
        <v>#N/A</v>
      </c>
    </row>
    <row r="178" spans="1:155">
      <c r="A178" s="21" t="s">
        <v>491</v>
      </c>
      <c r="B178" s="21" t="s">
        <v>491</v>
      </c>
      <c r="C178" s="21" t="s">
        <v>492</v>
      </c>
      <c r="D178" s="21" t="s">
        <v>493</v>
      </c>
      <c r="E178" s="21" t="s">
        <v>493</v>
      </c>
      <c r="F178" s="21" t="s">
        <v>493</v>
      </c>
      <c r="G178" s="21" t="s">
        <v>2626</v>
      </c>
      <c r="H178" s="21">
        <v>1149412055</v>
      </c>
      <c r="I178" s="21" t="s">
        <v>494</v>
      </c>
      <c r="J178" s="21" t="s">
        <v>2627</v>
      </c>
      <c r="L178" s="21" t="s">
        <v>495</v>
      </c>
      <c r="M178" s="21" t="s">
        <v>2628</v>
      </c>
      <c r="N178" s="21" t="s">
        <v>1981</v>
      </c>
      <c r="O178" s="21" t="s">
        <v>97</v>
      </c>
      <c r="P178" s="21" t="s">
        <v>1040</v>
      </c>
      <c r="R178" s="21" t="s">
        <v>1982</v>
      </c>
      <c r="S178" s="21" t="s">
        <v>1983</v>
      </c>
      <c r="V178" s="21" t="s">
        <v>500</v>
      </c>
      <c r="W178" s="21" t="s">
        <v>501</v>
      </c>
      <c r="X178" s="21" t="s">
        <v>502</v>
      </c>
      <c r="Y178" s="21" t="s">
        <v>503</v>
      </c>
      <c r="Z178" s="21">
        <v>3035571963</v>
      </c>
      <c r="AA178" s="26">
        <v>42742</v>
      </c>
      <c r="AB178" s="26">
        <v>42742</v>
      </c>
      <c r="AC178" s="21" t="s">
        <v>504</v>
      </c>
      <c r="AD178" s="21" t="s">
        <v>505</v>
      </c>
      <c r="AE178" s="21" t="s">
        <v>500</v>
      </c>
      <c r="AF178" s="21" t="s">
        <v>549</v>
      </c>
      <c r="AG178" s="21" t="s">
        <v>555</v>
      </c>
      <c r="AH178" s="21" t="s">
        <v>556</v>
      </c>
      <c r="AI178" s="21" t="s">
        <v>2629</v>
      </c>
      <c r="AJ178" s="21" t="s">
        <v>526</v>
      </c>
      <c r="AK178" s="21" t="s">
        <v>494</v>
      </c>
      <c r="AL178" s="21" t="s">
        <v>527</v>
      </c>
      <c r="AM178" s="21" t="s">
        <v>527</v>
      </c>
      <c r="AN178" s="21" t="s">
        <v>527</v>
      </c>
      <c r="AO178" s="21" t="s">
        <v>528</v>
      </c>
      <c r="AS178" s="21" t="s">
        <v>511</v>
      </c>
      <c r="AT178" s="21" t="s">
        <v>512</v>
      </c>
      <c r="AW178" s="21">
        <v>0</v>
      </c>
      <c r="AX178" s="21">
        <v>2</v>
      </c>
      <c r="AY178" s="26"/>
      <c r="AZ178" s="26"/>
      <c r="BB178" s="26"/>
      <c r="BC178" s="21" t="s">
        <v>513</v>
      </c>
      <c r="BD178" s="21" t="s">
        <v>514</v>
      </c>
      <c r="BE178" s="21" t="s">
        <v>514</v>
      </c>
      <c r="BF178" s="21" t="s">
        <v>515</v>
      </c>
      <c r="BG178" s="21">
        <v>1</v>
      </c>
      <c r="BH178" s="21" t="s">
        <v>516</v>
      </c>
      <c r="BI178" s="21" t="s">
        <v>517</v>
      </c>
      <c r="BJ178" s="21" t="s">
        <v>516</v>
      </c>
      <c r="BK178" s="21" t="s">
        <v>516</v>
      </c>
      <c r="BM178" s="21" t="s">
        <v>2142</v>
      </c>
      <c r="BN178" s="21" t="s">
        <v>191</v>
      </c>
      <c r="BO178" s="21" t="s">
        <v>518</v>
      </c>
      <c r="BP178" s="21" t="s">
        <v>519</v>
      </c>
      <c r="BQ178" s="21" t="s">
        <v>2142</v>
      </c>
      <c r="BR178" s="21" t="s">
        <v>191</v>
      </c>
      <c r="BS178" s="21" t="s">
        <v>518</v>
      </c>
      <c r="BT178" s="21" t="s">
        <v>519</v>
      </c>
      <c r="BU178" s="21" t="s">
        <v>191</v>
      </c>
      <c r="CD178" s="21" t="s">
        <v>520</v>
      </c>
      <c r="CF178" s="21" t="s">
        <v>521</v>
      </c>
      <c r="CN178" s="26"/>
      <c r="DB178" s="24" t="s">
        <v>943</v>
      </c>
      <c r="DC178" s="21">
        <v>1</v>
      </c>
      <c r="DD178" s="21">
        <v>2</v>
      </c>
      <c r="DE178" s="22">
        <v>42745</v>
      </c>
      <c r="DF178" s="21" t="s">
        <v>2630</v>
      </c>
      <c r="DG178" s="21" t="s">
        <v>522</v>
      </c>
      <c r="DH178" s="21" t="s">
        <v>2631</v>
      </c>
      <c r="DI178" s="21" t="s">
        <v>495</v>
      </c>
      <c r="DJ178" s="21" t="s">
        <v>520</v>
      </c>
      <c r="DK178" s="26"/>
      <c r="DL178" s="26">
        <v>42754</v>
      </c>
      <c r="DM178" s="26">
        <v>42744</v>
      </c>
      <c r="DN178" s="21">
        <v>3100</v>
      </c>
      <c r="DO178" s="21">
        <v>10</v>
      </c>
      <c r="DP178" s="21">
        <v>1</v>
      </c>
      <c r="DQ178" s="21">
        <v>1</v>
      </c>
      <c r="DR178" s="21">
        <v>6</v>
      </c>
      <c r="DS178" s="21">
        <v>10</v>
      </c>
      <c r="DT178" s="21">
        <v>10</v>
      </c>
      <c r="DU178" s="21">
        <v>10</v>
      </c>
      <c r="DW178" s="21">
        <v>10</v>
      </c>
      <c r="EA178" s="21">
        <v>9</v>
      </c>
      <c r="EF178" s="25">
        <v>1</v>
      </c>
      <c r="EG178" s="25">
        <v>0</v>
      </c>
      <c r="EH178" s="25">
        <v>1</v>
      </c>
      <c r="EI178" s="25">
        <v>0</v>
      </c>
      <c r="EJ178" s="25" t="s">
        <v>62</v>
      </c>
      <c r="EK178" s="25" t="s">
        <v>192</v>
      </c>
      <c r="EL178" s="25" t="s">
        <v>192</v>
      </c>
      <c r="EM178" s="25" t="s">
        <v>276</v>
      </c>
      <c r="EN178" s="25" t="s">
        <v>23</v>
      </c>
      <c r="EO178" s="25" t="s">
        <v>23</v>
      </c>
      <c r="EP178" s="25" t="s">
        <v>62</v>
      </c>
      <c r="EQ178" s="25" t="s">
        <v>62</v>
      </c>
      <c r="ER178" s="25" t="s">
        <v>278</v>
      </c>
      <c r="ES178" s="25" t="s">
        <v>278</v>
      </c>
      <c r="ET178" s="25">
        <v>1</v>
      </c>
      <c r="EU178" s="25" t="s">
        <v>522</v>
      </c>
      <c r="EV178" s="25" t="s">
        <v>192</v>
      </c>
      <c r="EW178" s="25" t="s">
        <v>23</v>
      </c>
      <c r="EX178" s="25" t="s">
        <v>278</v>
      </c>
      <c r="EY178" s="20" t="e">
        <v>#N/A</v>
      </c>
    </row>
    <row r="179" spans="1:155">
      <c r="A179" s="21" t="s">
        <v>491</v>
      </c>
      <c r="B179" s="21" t="s">
        <v>491</v>
      </c>
      <c r="C179" s="21" t="s">
        <v>492</v>
      </c>
      <c r="D179" s="21" t="s">
        <v>493</v>
      </c>
      <c r="E179" s="21" t="s">
        <v>493</v>
      </c>
      <c r="F179" s="21" t="s">
        <v>493</v>
      </c>
      <c r="G179" s="21" t="s">
        <v>2661</v>
      </c>
      <c r="H179" s="21">
        <v>31985460728</v>
      </c>
      <c r="I179" s="21" t="s">
        <v>494</v>
      </c>
      <c r="J179" s="21" t="s">
        <v>2662</v>
      </c>
      <c r="L179" s="21" t="s">
        <v>495</v>
      </c>
      <c r="M179" s="21" t="s">
        <v>2663</v>
      </c>
      <c r="N179" s="21" t="s">
        <v>496</v>
      </c>
      <c r="O179" s="21" t="s">
        <v>69</v>
      </c>
      <c r="P179" s="21" t="s">
        <v>497</v>
      </c>
      <c r="R179" s="21" t="s">
        <v>498</v>
      </c>
      <c r="S179" s="21" t="s">
        <v>499</v>
      </c>
      <c r="V179" s="21" t="s">
        <v>500</v>
      </c>
      <c r="W179" s="21" t="s">
        <v>501</v>
      </c>
      <c r="X179" s="21" t="s">
        <v>502</v>
      </c>
      <c r="Y179" s="21" t="s">
        <v>503</v>
      </c>
      <c r="Z179" s="21">
        <v>3035511175</v>
      </c>
      <c r="AA179" s="26">
        <v>42740</v>
      </c>
      <c r="AB179" s="26">
        <v>42740</v>
      </c>
      <c r="AC179" s="21" t="s">
        <v>504</v>
      </c>
      <c r="AD179" s="21" t="s">
        <v>505</v>
      </c>
      <c r="AE179" s="21" t="s">
        <v>500</v>
      </c>
      <c r="AF179" s="21" t="s">
        <v>506</v>
      </c>
      <c r="AG179" s="21" t="s">
        <v>1148</v>
      </c>
      <c r="AH179" s="21" t="s">
        <v>1149</v>
      </c>
      <c r="AI179" s="21" t="s">
        <v>1604</v>
      </c>
      <c r="AJ179" s="21" t="s">
        <v>507</v>
      </c>
      <c r="AK179" s="21" t="s">
        <v>494</v>
      </c>
      <c r="AL179" s="21" t="s">
        <v>527</v>
      </c>
      <c r="AM179" s="21" t="s">
        <v>527</v>
      </c>
      <c r="AN179" s="21" t="s">
        <v>527</v>
      </c>
      <c r="AO179" s="21" t="s">
        <v>528</v>
      </c>
      <c r="AS179" s="21" t="s">
        <v>511</v>
      </c>
      <c r="AT179" s="21" t="s">
        <v>512</v>
      </c>
      <c r="AW179" s="21">
        <v>0</v>
      </c>
      <c r="AX179" s="21">
        <v>2</v>
      </c>
      <c r="AY179" s="26"/>
      <c r="AZ179" s="26"/>
      <c r="BB179" s="26"/>
      <c r="BC179" s="21" t="s">
        <v>513</v>
      </c>
      <c r="BD179" s="21" t="s">
        <v>514</v>
      </c>
      <c r="BE179" s="21" t="s">
        <v>514</v>
      </c>
      <c r="BF179" s="21" t="s">
        <v>515</v>
      </c>
      <c r="BG179" s="21">
        <v>1</v>
      </c>
      <c r="BH179" s="21" t="s">
        <v>516</v>
      </c>
      <c r="BI179" s="21" t="s">
        <v>517</v>
      </c>
      <c r="BJ179" s="21" t="s">
        <v>516</v>
      </c>
      <c r="BK179" s="21" t="s">
        <v>516</v>
      </c>
      <c r="BM179" s="21" t="s">
        <v>12</v>
      </c>
      <c r="BN179" s="21" t="s">
        <v>67</v>
      </c>
      <c r="BO179" s="21" t="s">
        <v>518</v>
      </c>
      <c r="BP179" s="21" t="s">
        <v>519</v>
      </c>
      <c r="BQ179" s="21" t="s">
        <v>12</v>
      </c>
      <c r="BR179" s="21" t="s">
        <v>67</v>
      </c>
      <c r="BS179" s="21" t="s">
        <v>518</v>
      </c>
      <c r="BT179" s="21" t="s">
        <v>519</v>
      </c>
      <c r="BU179" s="21" t="s">
        <v>67</v>
      </c>
      <c r="CD179" s="21" t="s">
        <v>520</v>
      </c>
      <c r="CF179" s="21" t="s">
        <v>521</v>
      </c>
      <c r="CN179" s="26"/>
      <c r="DB179" s="24" t="s">
        <v>943</v>
      </c>
      <c r="DC179" s="21">
        <v>1</v>
      </c>
      <c r="DD179" s="21">
        <v>2</v>
      </c>
      <c r="DE179" s="22">
        <v>42746</v>
      </c>
      <c r="DF179" s="21" t="s">
        <v>2664</v>
      </c>
      <c r="DG179" s="21" t="s">
        <v>522</v>
      </c>
      <c r="DH179" s="21" t="s">
        <v>2665</v>
      </c>
      <c r="DI179" s="21" t="s">
        <v>495</v>
      </c>
      <c r="DJ179" s="21" t="s">
        <v>523</v>
      </c>
      <c r="DK179" s="26"/>
      <c r="DL179" s="26">
        <v>42752</v>
      </c>
      <c r="DM179" s="26">
        <v>42742</v>
      </c>
      <c r="DN179" s="21">
        <v>3100</v>
      </c>
      <c r="DO179" s="21">
        <v>10</v>
      </c>
      <c r="DP179" s="21">
        <v>1</v>
      </c>
      <c r="DQ179" s="21">
        <v>1</v>
      </c>
      <c r="DR179" s="21">
        <v>7</v>
      </c>
      <c r="DS179" s="21">
        <v>10</v>
      </c>
      <c r="DT179" s="21">
        <v>10</v>
      </c>
      <c r="DU179" s="21">
        <v>10</v>
      </c>
      <c r="DW179" s="21">
        <v>10</v>
      </c>
      <c r="EA179" s="21">
        <v>10</v>
      </c>
      <c r="EB179" s="21" t="s">
        <v>2666</v>
      </c>
      <c r="EC179" s="21" t="s">
        <v>1224</v>
      </c>
      <c r="EF179" s="25">
        <v>1</v>
      </c>
      <c r="EG179" s="25">
        <v>0</v>
      </c>
      <c r="EH179" s="25">
        <v>1</v>
      </c>
      <c r="EI179" s="25">
        <v>0</v>
      </c>
      <c r="EJ179" s="25" t="s">
        <v>62</v>
      </c>
      <c r="EK179" s="25" t="s">
        <v>68</v>
      </c>
      <c r="EL179" s="25" t="s">
        <v>68</v>
      </c>
      <c r="EM179" s="25" t="s">
        <v>276</v>
      </c>
      <c r="EN179" s="25" t="s">
        <v>9</v>
      </c>
      <c r="EO179" s="25" t="s">
        <v>9</v>
      </c>
      <c r="EP179" s="25" t="s">
        <v>62</v>
      </c>
      <c r="EQ179" s="25" t="s">
        <v>62</v>
      </c>
      <c r="ER179" s="25" t="s">
        <v>278</v>
      </c>
      <c r="ES179" s="25" t="s">
        <v>278</v>
      </c>
      <c r="ET179" s="25">
        <v>1</v>
      </c>
      <c r="EU179" s="25" t="s">
        <v>522</v>
      </c>
      <c r="EV179" s="25" t="s">
        <v>68</v>
      </c>
      <c r="EW179" s="25" t="s">
        <v>9</v>
      </c>
      <c r="EX179" s="25" t="s">
        <v>278</v>
      </c>
      <c r="EY179" s="20" t="e">
        <v>#N/A</v>
      </c>
    </row>
    <row r="180" spans="1:155">
      <c r="A180" s="21" t="s">
        <v>491</v>
      </c>
      <c r="B180" s="21" t="s">
        <v>491</v>
      </c>
      <c r="C180" s="21" t="s">
        <v>492</v>
      </c>
      <c r="D180" s="21" t="s">
        <v>493</v>
      </c>
      <c r="E180" s="21" t="s">
        <v>493</v>
      </c>
      <c r="F180" s="21" t="s">
        <v>493</v>
      </c>
      <c r="G180" s="21" t="s">
        <v>2640</v>
      </c>
      <c r="H180" s="21">
        <v>1936521517</v>
      </c>
      <c r="I180" s="21" t="s">
        <v>494</v>
      </c>
      <c r="J180" s="21" t="s">
        <v>2641</v>
      </c>
      <c r="L180" s="21" t="s">
        <v>495</v>
      </c>
      <c r="M180" s="21" t="s">
        <v>2642</v>
      </c>
      <c r="N180" s="21" t="s">
        <v>2643</v>
      </c>
      <c r="O180" s="21" t="s">
        <v>100</v>
      </c>
      <c r="P180" s="21" t="s">
        <v>1187</v>
      </c>
      <c r="Q180" s="21" t="s">
        <v>1168</v>
      </c>
      <c r="R180" s="21" t="s">
        <v>2644</v>
      </c>
      <c r="S180" s="21" t="s">
        <v>1709</v>
      </c>
      <c r="V180" s="21" t="s">
        <v>277</v>
      </c>
      <c r="W180" s="21" t="s">
        <v>524</v>
      </c>
      <c r="X180" s="21" t="s">
        <v>525</v>
      </c>
      <c r="Y180" s="21" t="s">
        <v>1190</v>
      </c>
      <c r="Z180" s="21">
        <v>3035407500</v>
      </c>
      <c r="AA180" s="26">
        <v>42737</v>
      </c>
      <c r="AB180" s="26">
        <v>42740</v>
      </c>
      <c r="AC180" s="21" t="s">
        <v>504</v>
      </c>
      <c r="AD180" s="21" t="s">
        <v>505</v>
      </c>
      <c r="AE180" s="21" t="s">
        <v>1020</v>
      </c>
      <c r="AF180" s="21" t="s">
        <v>1021</v>
      </c>
      <c r="AG180" s="21" t="s">
        <v>1794</v>
      </c>
      <c r="AH180" s="21" t="s">
        <v>1795</v>
      </c>
      <c r="AI180" s="21" t="s">
        <v>2342</v>
      </c>
      <c r="AJ180" s="21" t="s">
        <v>507</v>
      </c>
      <c r="AK180" s="21" t="s">
        <v>494</v>
      </c>
      <c r="AL180" s="21" t="s">
        <v>527</v>
      </c>
      <c r="AM180" s="21" t="s">
        <v>527</v>
      </c>
      <c r="AN180" s="21" t="s">
        <v>527</v>
      </c>
      <c r="AO180" s="21" t="s">
        <v>528</v>
      </c>
      <c r="AS180" s="21" t="s">
        <v>511</v>
      </c>
      <c r="AT180" s="21" t="s">
        <v>512</v>
      </c>
      <c r="AW180" s="21">
        <v>0</v>
      </c>
      <c r="AX180" s="21">
        <v>12</v>
      </c>
      <c r="AY180" s="26"/>
      <c r="AZ180" s="26"/>
      <c r="BB180" s="26"/>
      <c r="BC180" s="21" t="s">
        <v>513</v>
      </c>
      <c r="BD180" s="21" t="s">
        <v>514</v>
      </c>
      <c r="BE180" s="21" t="s">
        <v>514</v>
      </c>
      <c r="BF180" s="21" t="s">
        <v>515</v>
      </c>
      <c r="BG180" s="21">
        <v>1</v>
      </c>
      <c r="BH180" s="21" t="s">
        <v>516</v>
      </c>
      <c r="BI180" s="21" t="s">
        <v>517</v>
      </c>
      <c r="BJ180" s="21" t="s">
        <v>516</v>
      </c>
      <c r="BK180" s="21" t="s">
        <v>516</v>
      </c>
      <c r="BM180" s="21" t="s">
        <v>1362</v>
      </c>
      <c r="BN180" s="21" t="s">
        <v>236</v>
      </c>
      <c r="BO180" s="21" t="s">
        <v>518</v>
      </c>
      <c r="BP180" s="21" t="s">
        <v>1044</v>
      </c>
      <c r="BQ180" s="21" t="s">
        <v>35</v>
      </c>
      <c r="BR180" s="21" t="s">
        <v>219</v>
      </c>
      <c r="BS180" s="21" t="s">
        <v>518</v>
      </c>
      <c r="BT180" s="21" t="s">
        <v>1044</v>
      </c>
      <c r="BU180" s="21" t="s">
        <v>236</v>
      </c>
      <c r="CD180" s="21" t="s">
        <v>520</v>
      </c>
      <c r="CF180" s="21" t="s">
        <v>521</v>
      </c>
      <c r="CN180" s="26"/>
      <c r="DB180" s="24" t="s">
        <v>943</v>
      </c>
      <c r="DC180" s="21">
        <v>1</v>
      </c>
      <c r="DD180" s="21">
        <v>2</v>
      </c>
      <c r="DE180" s="22">
        <v>42746</v>
      </c>
      <c r="DF180" s="21" t="s">
        <v>2645</v>
      </c>
      <c r="DG180" s="21" t="s">
        <v>522</v>
      </c>
      <c r="DH180" s="21" t="s">
        <v>2646</v>
      </c>
      <c r="DI180" s="21" t="s">
        <v>495</v>
      </c>
      <c r="DJ180" s="21" t="s">
        <v>523</v>
      </c>
      <c r="DK180" s="26"/>
      <c r="DL180" s="26">
        <v>42752</v>
      </c>
      <c r="DM180" s="26">
        <v>42742</v>
      </c>
      <c r="DN180" s="21">
        <v>1100</v>
      </c>
      <c r="DO180" s="21">
        <v>8</v>
      </c>
      <c r="DP180" s="21">
        <v>1</v>
      </c>
      <c r="DQ180" s="21">
        <v>2</v>
      </c>
      <c r="DR180" s="21">
        <v>6</v>
      </c>
      <c r="DS180" s="21">
        <v>9</v>
      </c>
      <c r="DT180" s="21">
        <v>10</v>
      </c>
      <c r="DU180" s="21">
        <v>9</v>
      </c>
      <c r="DW180" s="21">
        <v>8</v>
      </c>
      <c r="EA180" s="21">
        <v>10</v>
      </c>
      <c r="EF180" s="25">
        <v>1</v>
      </c>
      <c r="EG180" s="25">
        <v>0</v>
      </c>
      <c r="EH180" s="25">
        <v>0</v>
      </c>
      <c r="EI180" s="25">
        <v>0</v>
      </c>
      <c r="EJ180" s="25" t="s">
        <v>92</v>
      </c>
      <c r="EK180" s="25" t="s">
        <v>237</v>
      </c>
      <c r="EL180" s="25" t="s">
        <v>220</v>
      </c>
      <c r="EM180" s="25" t="s">
        <v>276</v>
      </c>
      <c r="EN180" s="25" t="s">
        <v>39</v>
      </c>
      <c r="EO180" s="25" t="s">
        <v>31</v>
      </c>
      <c r="EP180" s="25" t="s">
        <v>92</v>
      </c>
      <c r="EQ180" s="25" t="s">
        <v>92</v>
      </c>
      <c r="ER180" s="25" t="s">
        <v>278</v>
      </c>
      <c r="ES180" s="25" t="s">
        <v>278</v>
      </c>
      <c r="ET180" s="25">
        <v>1</v>
      </c>
      <c r="EU180" s="25" t="s">
        <v>522</v>
      </c>
      <c r="EV180" s="25" t="s">
        <v>279</v>
      </c>
      <c r="EW180" s="25" t="s">
        <v>279</v>
      </c>
      <c r="EX180" s="25" t="s">
        <v>279</v>
      </c>
      <c r="EY180" s="20" t="e">
        <v>#N/A</v>
      </c>
    </row>
    <row r="181" spans="1:155">
      <c r="A181" s="21" t="s">
        <v>491</v>
      </c>
      <c r="B181" s="21" t="s">
        <v>491</v>
      </c>
      <c r="C181" s="21" t="s">
        <v>492</v>
      </c>
      <c r="D181" s="21" t="s">
        <v>493</v>
      </c>
      <c r="E181" s="21" t="s">
        <v>493</v>
      </c>
      <c r="F181" s="21" t="s">
        <v>493</v>
      </c>
      <c r="G181" s="21" t="s">
        <v>2667</v>
      </c>
      <c r="H181" s="21">
        <v>11986610922</v>
      </c>
      <c r="I181" s="21" t="s">
        <v>494</v>
      </c>
      <c r="J181" s="21" t="s">
        <v>2668</v>
      </c>
      <c r="L181" s="21" t="s">
        <v>495</v>
      </c>
      <c r="M181" s="21" t="s">
        <v>2669</v>
      </c>
      <c r="N181" s="21" t="s">
        <v>573</v>
      </c>
      <c r="O181" s="21" t="s">
        <v>58</v>
      </c>
      <c r="P181" s="21" t="s">
        <v>557</v>
      </c>
      <c r="R181" s="21" t="s">
        <v>574</v>
      </c>
      <c r="S181" s="21" t="s">
        <v>575</v>
      </c>
      <c r="V181" s="21" t="s">
        <v>500</v>
      </c>
      <c r="W181" s="21" t="s">
        <v>501</v>
      </c>
      <c r="X181" s="21" t="s">
        <v>502</v>
      </c>
      <c r="Y181" s="21" t="s">
        <v>558</v>
      </c>
      <c r="Z181" s="21">
        <v>3035510359</v>
      </c>
      <c r="AA181" s="26">
        <v>42740</v>
      </c>
      <c r="AB181" s="26">
        <v>42740</v>
      </c>
      <c r="AC181" s="21" t="s">
        <v>504</v>
      </c>
      <c r="AD181" s="21" t="s">
        <v>505</v>
      </c>
      <c r="AE181" s="21" t="s">
        <v>500</v>
      </c>
      <c r="AF181" s="21" t="s">
        <v>506</v>
      </c>
      <c r="AG181" s="21" t="s">
        <v>1323</v>
      </c>
      <c r="AH181" s="21" t="s">
        <v>1324</v>
      </c>
      <c r="AI181" s="21" t="s">
        <v>2670</v>
      </c>
      <c r="AJ181" s="21" t="s">
        <v>507</v>
      </c>
      <c r="AK181" s="21" t="s">
        <v>494</v>
      </c>
      <c r="AL181" s="21" t="s">
        <v>527</v>
      </c>
      <c r="AM181" s="21" t="s">
        <v>527</v>
      </c>
      <c r="AN181" s="21" t="s">
        <v>527</v>
      </c>
      <c r="AO181" s="21" t="s">
        <v>528</v>
      </c>
      <c r="AS181" s="21" t="s">
        <v>511</v>
      </c>
      <c r="AT181" s="21" t="s">
        <v>512</v>
      </c>
      <c r="AW181" s="21">
        <v>0</v>
      </c>
      <c r="AX181" s="21">
        <v>3</v>
      </c>
      <c r="AY181" s="26"/>
      <c r="AZ181" s="26"/>
      <c r="BB181" s="26"/>
      <c r="BC181" s="21" t="s">
        <v>513</v>
      </c>
      <c r="BD181" s="21" t="s">
        <v>514</v>
      </c>
      <c r="BE181" s="21" t="s">
        <v>514</v>
      </c>
      <c r="BF181" s="21" t="s">
        <v>515</v>
      </c>
      <c r="BG181" s="21">
        <v>1</v>
      </c>
      <c r="BH181" s="21" t="s">
        <v>516</v>
      </c>
      <c r="BI181" s="21" t="s">
        <v>517</v>
      </c>
      <c r="BJ181" s="21" t="s">
        <v>516</v>
      </c>
      <c r="BK181" s="21" t="s">
        <v>516</v>
      </c>
      <c r="BM181" s="21" t="s">
        <v>16</v>
      </c>
      <c r="BN181" s="21" t="s">
        <v>111</v>
      </c>
      <c r="BO181" s="21" t="s">
        <v>518</v>
      </c>
      <c r="BP181" s="21" t="s">
        <v>519</v>
      </c>
      <c r="BQ181" s="21" t="s">
        <v>55</v>
      </c>
      <c r="BR181" s="21" t="s">
        <v>137</v>
      </c>
      <c r="BS181" s="21" t="s">
        <v>518</v>
      </c>
      <c r="BT181" s="21" t="s">
        <v>519</v>
      </c>
      <c r="BU181" s="21" t="s">
        <v>111</v>
      </c>
      <c r="CD181" s="21" t="s">
        <v>520</v>
      </c>
      <c r="CF181" s="21" t="s">
        <v>521</v>
      </c>
      <c r="CN181" s="26"/>
      <c r="DB181" s="24" t="s">
        <v>943</v>
      </c>
      <c r="DC181" s="21">
        <v>1</v>
      </c>
      <c r="DD181" s="21">
        <v>2</v>
      </c>
      <c r="DE181" s="22">
        <v>42746</v>
      </c>
      <c r="DF181" s="21" t="s">
        <v>1605</v>
      </c>
      <c r="DG181" s="21" t="s">
        <v>522</v>
      </c>
      <c r="DH181" s="21" t="s">
        <v>2671</v>
      </c>
      <c r="DI181" s="21" t="s">
        <v>495</v>
      </c>
      <c r="DJ181" s="21" t="s">
        <v>523</v>
      </c>
      <c r="DK181" s="26"/>
      <c r="DL181" s="26">
        <v>42752</v>
      </c>
      <c r="DM181" s="26">
        <v>42742</v>
      </c>
      <c r="DN181" s="21">
        <v>3100</v>
      </c>
      <c r="DO181" s="21">
        <v>8</v>
      </c>
      <c r="DP181" s="21">
        <v>1</v>
      </c>
      <c r="DQ181" s="21">
        <v>1</v>
      </c>
      <c r="DR181" s="21">
        <v>7</v>
      </c>
      <c r="DS181" s="21">
        <v>10</v>
      </c>
      <c r="DT181" s="21">
        <v>9</v>
      </c>
      <c r="DU181" s="21">
        <v>9</v>
      </c>
      <c r="DW181" s="21">
        <v>8</v>
      </c>
      <c r="EA181" s="21">
        <v>9</v>
      </c>
      <c r="EF181" s="25">
        <v>1</v>
      </c>
      <c r="EG181" s="25">
        <v>0</v>
      </c>
      <c r="EH181" s="25">
        <v>0</v>
      </c>
      <c r="EI181" s="25">
        <v>0</v>
      </c>
      <c r="EJ181" s="25" t="s">
        <v>62</v>
      </c>
      <c r="EK181" s="25" t="s">
        <v>112</v>
      </c>
      <c r="EL181" s="25" t="s">
        <v>138</v>
      </c>
      <c r="EM181" s="25" t="s">
        <v>276</v>
      </c>
      <c r="EN181" s="25" t="s">
        <v>9</v>
      </c>
      <c r="EO181" s="25" t="s">
        <v>23</v>
      </c>
      <c r="EP181" s="25" t="s">
        <v>62</v>
      </c>
      <c r="EQ181" s="25" t="s">
        <v>62</v>
      </c>
      <c r="ER181" s="25" t="s">
        <v>278</v>
      </c>
      <c r="ES181" s="25" t="s">
        <v>278</v>
      </c>
      <c r="ET181" s="25">
        <v>1</v>
      </c>
      <c r="EU181" s="25" t="s">
        <v>522</v>
      </c>
      <c r="EV181" s="25" t="s">
        <v>279</v>
      </c>
      <c r="EW181" s="25" t="s">
        <v>279</v>
      </c>
      <c r="EX181" s="25" t="s">
        <v>279</v>
      </c>
      <c r="EY181" s="20" t="e">
        <v>#N/A</v>
      </c>
    </row>
    <row r="182" spans="1:155">
      <c r="A182" s="21" t="s">
        <v>491</v>
      </c>
      <c r="B182" s="21" t="s">
        <v>491</v>
      </c>
      <c r="C182" s="21" t="s">
        <v>492</v>
      </c>
      <c r="D182" s="21" t="s">
        <v>493</v>
      </c>
      <c r="E182" s="21" t="s">
        <v>493</v>
      </c>
      <c r="F182" s="21" t="s">
        <v>493</v>
      </c>
      <c r="G182" s="21" t="s">
        <v>2647</v>
      </c>
      <c r="H182" s="21" t="s">
        <v>2648</v>
      </c>
      <c r="I182" s="21" t="s">
        <v>494</v>
      </c>
      <c r="J182" s="21" t="s">
        <v>2649</v>
      </c>
      <c r="L182" s="21" t="s">
        <v>495</v>
      </c>
      <c r="M182" s="21" t="s">
        <v>2650</v>
      </c>
      <c r="N182" s="21" t="s">
        <v>2229</v>
      </c>
      <c r="O182" s="21" t="s">
        <v>93</v>
      </c>
      <c r="P182" s="21" t="s">
        <v>539</v>
      </c>
      <c r="R182" s="21" t="s">
        <v>2230</v>
      </c>
      <c r="S182" s="21" t="s">
        <v>2231</v>
      </c>
      <c r="V182" s="21" t="s">
        <v>277</v>
      </c>
      <c r="W182" s="21" t="s">
        <v>524</v>
      </c>
      <c r="X182" s="21" t="s">
        <v>525</v>
      </c>
      <c r="Y182" s="21" t="s">
        <v>530</v>
      </c>
      <c r="Z182" s="21">
        <v>3035520281</v>
      </c>
      <c r="AA182" s="26">
        <v>42740</v>
      </c>
      <c r="AB182" s="26">
        <v>42740</v>
      </c>
      <c r="AC182" s="21" t="s">
        <v>504</v>
      </c>
      <c r="AD182" s="21" t="s">
        <v>505</v>
      </c>
      <c r="AE182" s="21" t="s">
        <v>565</v>
      </c>
      <c r="AF182" s="21" t="s">
        <v>566</v>
      </c>
      <c r="AG182" s="21" t="s">
        <v>1743</v>
      </c>
      <c r="AH182" s="21" t="s">
        <v>1744</v>
      </c>
      <c r="AI182" s="21" t="s">
        <v>2651</v>
      </c>
      <c r="AJ182" s="21" t="s">
        <v>507</v>
      </c>
      <c r="AK182" s="21" t="s">
        <v>494</v>
      </c>
      <c r="AL182" s="21" t="s">
        <v>527</v>
      </c>
      <c r="AM182" s="21" t="s">
        <v>527</v>
      </c>
      <c r="AN182" s="21" t="s">
        <v>527</v>
      </c>
      <c r="AO182" s="21" t="s">
        <v>528</v>
      </c>
      <c r="AS182" s="21" t="s">
        <v>511</v>
      </c>
      <c r="AT182" s="21" t="s">
        <v>512</v>
      </c>
      <c r="AW182" s="21">
        <v>0</v>
      </c>
      <c r="AX182" s="21">
        <v>5</v>
      </c>
      <c r="AY182" s="26"/>
      <c r="AZ182" s="26"/>
      <c r="BB182" s="26"/>
      <c r="BC182" s="21" t="s">
        <v>513</v>
      </c>
      <c r="BD182" s="21" t="s">
        <v>514</v>
      </c>
      <c r="BE182" s="21" t="s">
        <v>514</v>
      </c>
      <c r="BF182" s="21" t="s">
        <v>515</v>
      </c>
      <c r="BG182" s="21">
        <v>1</v>
      </c>
      <c r="BH182" s="21" t="s">
        <v>516</v>
      </c>
      <c r="BI182" s="21" t="s">
        <v>517</v>
      </c>
      <c r="BJ182" s="21" t="s">
        <v>516</v>
      </c>
      <c r="BK182" s="21" t="s">
        <v>516</v>
      </c>
      <c r="BM182" s="21" t="s">
        <v>1362</v>
      </c>
      <c r="BN182" s="21" t="s">
        <v>236</v>
      </c>
      <c r="BO182" s="21" t="s">
        <v>518</v>
      </c>
      <c r="BP182" s="21" t="s">
        <v>1044</v>
      </c>
      <c r="BQ182" s="21" t="s">
        <v>43</v>
      </c>
      <c r="BR182" s="21" t="s">
        <v>230</v>
      </c>
      <c r="BS182" s="21" t="s">
        <v>1333</v>
      </c>
      <c r="BT182" s="21" t="s">
        <v>1334</v>
      </c>
      <c r="BU182" s="21" t="s">
        <v>236</v>
      </c>
      <c r="CD182" s="21" t="s">
        <v>520</v>
      </c>
      <c r="CF182" s="21" t="s">
        <v>521</v>
      </c>
      <c r="CN182" s="26"/>
      <c r="DB182" s="24" t="s">
        <v>943</v>
      </c>
      <c r="DC182" s="21">
        <v>1</v>
      </c>
      <c r="DD182" s="21">
        <v>2</v>
      </c>
      <c r="DE182" s="22">
        <v>42746</v>
      </c>
      <c r="DF182" s="21" t="s">
        <v>2652</v>
      </c>
      <c r="DG182" s="21" t="s">
        <v>522</v>
      </c>
      <c r="DH182" s="21" t="s">
        <v>2653</v>
      </c>
      <c r="DI182" s="21" t="s">
        <v>495</v>
      </c>
      <c r="DJ182" s="21" t="s">
        <v>523</v>
      </c>
      <c r="DK182" s="26"/>
      <c r="DL182" s="26">
        <v>42752</v>
      </c>
      <c r="DM182" s="26">
        <v>42742</v>
      </c>
      <c r="DN182" s="21">
        <v>1100</v>
      </c>
      <c r="DO182" s="21">
        <v>10</v>
      </c>
      <c r="DP182" s="21">
        <v>1</v>
      </c>
      <c r="DQ182" s="21">
        <v>2</v>
      </c>
      <c r="DR182" s="21">
        <v>7</v>
      </c>
      <c r="DS182" s="21">
        <v>10</v>
      </c>
      <c r="DT182" s="21">
        <v>10</v>
      </c>
      <c r="DU182" s="21">
        <v>10</v>
      </c>
      <c r="DW182" s="21">
        <v>10</v>
      </c>
      <c r="EA182" s="21">
        <v>10</v>
      </c>
      <c r="EF182" s="25">
        <v>1</v>
      </c>
      <c r="EG182" s="25">
        <v>0</v>
      </c>
      <c r="EH182" s="25">
        <v>1</v>
      </c>
      <c r="EI182" s="25">
        <v>0</v>
      </c>
      <c r="EJ182" s="25" t="s">
        <v>92</v>
      </c>
      <c r="EK182" s="25" t="s">
        <v>237</v>
      </c>
      <c r="EL182" s="25" t="s">
        <v>276</v>
      </c>
      <c r="EM182" s="25" t="s">
        <v>276</v>
      </c>
      <c r="EN182" s="25" t="s">
        <v>39</v>
      </c>
      <c r="EO182" s="25" t="s">
        <v>276</v>
      </c>
      <c r="EP182" s="25" t="s">
        <v>92</v>
      </c>
      <c r="EQ182" s="25" t="s">
        <v>276</v>
      </c>
      <c r="ER182" s="25" t="s">
        <v>278</v>
      </c>
      <c r="ES182" s="25" t="s">
        <v>276</v>
      </c>
      <c r="ET182" s="25">
        <v>1</v>
      </c>
      <c r="EU182" s="25" t="s">
        <v>522</v>
      </c>
      <c r="EV182" s="25" t="s">
        <v>279</v>
      </c>
      <c r="EW182" s="25" t="s">
        <v>279</v>
      </c>
      <c r="EX182" s="25" t="s">
        <v>279</v>
      </c>
      <c r="EY182" s="20" t="e">
        <v>#N/A</v>
      </c>
    </row>
    <row r="183" spans="1:155">
      <c r="A183" s="21" t="s">
        <v>491</v>
      </c>
      <c r="B183" s="21" t="s">
        <v>491</v>
      </c>
      <c r="C183" s="21" t="s">
        <v>492</v>
      </c>
      <c r="D183" s="21" t="s">
        <v>493</v>
      </c>
      <c r="E183" s="21" t="s">
        <v>493</v>
      </c>
      <c r="F183" s="21" t="s">
        <v>493</v>
      </c>
      <c r="G183" s="21" t="s">
        <v>2672</v>
      </c>
      <c r="H183" s="21" t="s">
        <v>2673</v>
      </c>
      <c r="I183" s="21" t="s">
        <v>494</v>
      </c>
      <c r="J183" s="21" t="s">
        <v>2674</v>
      </c>
      <c r="L183" s="21" t="s">
        <v>495</v>
      </c>
      <c r="M183" s="21" t="s">
        <v>2675</v>
      </c>
      <c r="N183" s="21" t="s">
        <v>1134</v>
      </c>
      <c r="O183" s="21" t="s">
        <v>98</v>
      </c>
      <c r="P183" s="21" t="s">
        <v>553</v>
      </c>
      <c r="R183" s="21" t="s">
        <v>588</v>
      </c>
      <c r="S183" s="21" t="s">
        <v>589</v>
      </c>
      <c r="V183" s="21" t="s">
        <v>500</v>
      </c>
      <c r="W183" s="21" t="s">
        <v>501</v>
      </c>
      <c r="X183" s="21" t="s">
        <v>502</v>
      </c>
      <c r="Y183" s="21" t="s">
        <v>554</v>
      </c>
      <c r="Z183" s="21">
        <v>3035507129</v>
      </c>
      <c r="AA183" s="26">
        <v>42740</v>
      </c>
      <c r="AB183" s="26">
        <v>42740</v>
      </c>
      <c r="AC183" s="21" t="s">
        <v>504</v>
      </c>
      <c r="AD183" s="21" t="s">
        <v>505</v>
      </c>
      <c r="AE183" s="21" t="s">
        <v>500</v>
      </c>
      <c r="AF183" s="21" t="s">
        <v>549</v>
      </c>
      <c r="AG183" s="21" t="s">
        <v>587</v>
      </c>
      <c r="AH183" s="21" t="s">
        <v>579</v>
      </c>
      <c r="AI183" s="21" t="s">
        <v>2676</v>
      </c>
      <c r="AJ183" s="21" t="s">
        <v>526</v>
      </c>
      <c r="AK183" s="21" t="s">
        <v>494</v>
      </c>
      <c r="AL183" s="21" t="s">
        <v>527</v>
      </c>
      <c r="AM183" s="21" t="s">
        <v>527</v>
      </c>
      <c r="AN183" s="21" t="s">
        <v>527</v>
      </c>
      <c r="AO183" s="21" t="s">
        <v>528</v>
      </c>
      <c r="AS183" s="21" t="s">
        <v>511</v>
      </c>
      <c r="AT183" s="21" t="s">
        <v>512</v>
      </c>
      <c r="AW183" s="21">
        <v>0</v>
      </c>
      <c r="AX183" s="21">
        <v>2</v>
      </c>
      <c r="AY183" s="26"/>
      <c r="AZ183" s="26"/>
      <c r="BB183" s="26"/>
      <c r="BC183" s="21" t="s">
        <v>513</v>
      </c>
      <c r="BD183" s="21" t="s">
        <v>514</v>
      </c>
      <c r="BE183" s="21" t="s">
        <v>514</v>
      </c>
      <c r="BF183" s="21" t="s">
        <v>515</v>
      </c>
      <c r="BG183" s="21">
        <v>1</v>
      </c>
      <c r="BH183" s="21" t="s">
        <v>516</v>
      </c>
      <c r="BI183" s="21" t="s">
        <v>517</v>
      </c>
      <c r="BJ183" s="21" t="s">
        <v>516</v>
      </c>
      <c r="BK183" s="21" t="s">
        <v>516</v>
      </c>
      <c r="BM183" s="21" t="s">
        <v>1536</v>
      </c>
      <c r="BN183" s="21" t="s">
        <v>265</v>
      </c>
      <c r="BO183" s="21" t="s">
        <v>518</v>
      </c>
      <c r="BP183" s="21" t="s">
        <v>519</v>
      </c>
      <c r="BQ183" s="21" t="s">
        <v>1536</v>
      </c>
      <c r="BR183" s="21" t="s">
        <v>265</v>
      </c>
      <c r="BS183" s="21" t="s">
        <v>518</v>
      </c>
      <c r="BT183" s="21" t="s">
        <v>519</v>
      </c>
      <c r="BU183" s="21" t="s">
        <v>265</v>
      </c>
      <c r="CD183" s="21" t="s">
        <v>520</v>
      </c>
      <c r="CF183" s="21" t="s">
        <v>521</v>
      </c>
      <c r="CN183" s="26"/>
      <c r="DB183" s="24" t="s">
        <v>943</v>
      </c>
      <c r="DC183" s="21">
        <v>1</v>
      </c>
      <c r="DD183" s="21">
        <v>2</v>
      </c>
      <c r="DE183" s="22">
        <v>42746</v>
      </c>
      <c r="DF183" s="21" t="s">
        <v>2677</v>
      </c>
      <c r="DG183" s="21" t="s">
        <v>522</v>
      </c>
      <c r="DH183" s="21" t="s">
        <v>2678</v>
      </c>
      <c r="DI183" s="21" t="s">
        <v>495</v>
      </c>
      <c r="DJ183" s="21" t="s">
        <v>523</v>
      </c>
      <c r="DK183" s="26"/>
      <c r="DL183" s="26">
        <v>42752</v>
      </c>
      <c r="DM183" s="26">
        <v>42742</v>
      </c>
      <c r="DN183" s="21">
        <v>3100</v>
      </c>
      <c r="DO183" s="21">
        <v>0</v>
      </c>
      <c r="DP183" s="21">
        <v>2</v>
      </c>
      <c r="DQ183" s="21">
        <v>2</v>
      </c>
      <c r="DR183" s="21">
        <v>1</v>
      </c>
      <c r="DS183" s="21">
        <v>0</v>
      </c>
      <c r="DT183" s="21">
        <v>99</v>
      </c>
      <c r="DU183" s="21">
        <v>1</v>
      </c>
      <c r="DW183" s="21">
        <v>0</v>
      </c>
      <c r="EA183" s="21">
        <v>0</v>
      </c>
      <c r="EB183" s="21" t="s">
        <v>2679</v>
      </c>
      <c r="EC183" s="21" t="s">
        <v>2839</v>
      </c>
      <c r="EF183" s="25">
        <v>0</v>
      </c>
      <c r="EG183" s="25">
        <v>1</v>
      </c>
      <c r="EH183" s="25">
        <v>0</v>
      </c>
      <c r="EI183" s="25">
        <v>1</v>
      </c>
      <c r="EJ183" s="25" t="s">
        <v>62</v>
      </c>
      <c r="EK183" s="25" t="s">
        <v>276</v>
      </c>
      <c r="EL183" s="25" t="s">
        <v>276</v>
      </c>
      <c r="EM183" s="25" t="s">
        <v>276</v>
      </c>
      <c r="EN183" s="25" t="s">
        <v>276</v>
      </c>
      <c r="EO183" s="25" t="s">
        <v>276</v>
      </c>
      <c r="EP183" s="25" t="s">
        <v>276</v>
      </c>
      <c r="EQ183" s="25" t="s">
        <v>276</v>
      </c>
      <c r="ER183" s="25" t="s">
        <v>276</v>
      </c>
      <c r="ES183" s="25" t="s">
        <v>276</v>
      </c>
      <c r="ET183" s="25">
        <v>1</v>
      </c>
      <c r="EU183" s="25" t="s">
        <v>522</v>
      </c>
      <c r="EV183" s="25" t="s">
        <v>276</v>
      </c>
      <c r="EW183" s="25" t="s">
        <v>276</v>
      </c>
      <c r="EX183" s="25" t="s">
        <v>276</v>
      </c>
      <c r="EY183" s="20" t="s">
        <v>273</v>
      </c>
    </row>
    <row r="184" spans="1:155">
      <c r="A184" s="21" t="s">
        <v>491</v>
      </c>
      <c r="B184" s="21" t="s">
        <v>491</v>
      </c>
      <c r="C184" s="21" t="s">
        <v>492</v>
      </c>
      <c r="D184" s="21" t="s">
        <v>493</v>
      </c>
      <c r="E184" s="21" t="s">
        <v>493</v>
      </c>
      <c r="F184" s="21" t="s">
        <v>493</v>
      </c>
      <c r="G184" s="21" t="s">
        <v>2654</v>
      </c>
      <c r="H184" s="21">
        <v>1120168102</v>
      </c>
      <c r="I184" s="21" t="s">
        <v>494</v>
      </c>
      <c r="J184" s="21" t="s">
        <v>2655</v>
      </c>
      <c r="L184" s="21" t="s">
        <v>495</v>
      </c>
      <c r="M184" s="21" t="s">
        <v>2656</v>
      </c>
      <c r="N184" s="21" t="s">
        <v>1450</v>
      </c>
      <c r="O184" s="21" t="s">
        <v>93</v>
      </c>
      <c r="P184" s="21" t="s">
        <v>539</v>
      </c>
      <c r="Q184" s="21" t="s">
        <v>1168</v>
      </c>
      <c r="R184" s="21" t="s">
        <v>1451</v>
      </c>
      <c r="S184" s="21" t="s">
        <v>1068</v>
      </c>
      <c r="V184" s="21" t="s">
        <v>277</v>
      </c>
      <c r="W184" s="21" t="s">
        <v>524</v>
      </c>
      <c r="X184" s="21" t="s">
        <v>525</v>
      </c>
      <c r="Y184" s="21" t="s">
        <v>530</v>
      </c>
      <c r="Z184" s="21">
        <v>3035513625</v>
      </c>
      <c r="AA184" s="26">
        <v>42740</v>
      </c>
      <c r="AB184" s="26">
        <v>42741</v>
      </c>
      <c r="AC184" s="21" t="s">
        <v>504</v>
      </c>
      <c r="AD184" s="21" t="s">
        <v>505</v>
      </c>
      <c r="AE184" s="21" t="s">
        <v>1054</v>
      </c>
      <c r="AF184" s="21" t="s">
        <v>1105</v>
      </c>
      <c r="AG184" s="21" t="s">
        <v>2485</v>
      </c>
      <c r="AH184" s="21" t="s">
        <v>2486</v>
      </c>
      <c r="AI184" s="21" t="s">
        <v>2657</v>
      </c>
      <c r="AJ184" s="21" t="s">
        <v>1109</v>
      </c>
      <c r="AK184" s="21" t="s">
        <v>494</v>
      </c>
      <c r="AL184" s="21" t="s">
        <v>527</v>
      </c>
      <c r="AM184" s="21" t="s">
        <v>527</v>
      </c>
      <c r="AN184" s="21" t="s">
        <v>527</v>
      </c>
      <c r="AO184" s="21" t="s">
        <v>528</v>
      </c>
      <c r="AS184" s="21" t="s">
        <v>511</v>
      </c>
      <c r="AT184" s="21" t="s">
        <v>512</v>
      </c>
      <c r="AW184" s="21">
        <v>0</v>
      </c>
      <c r="AX184" s="21">
        <v>3</v>
      </c>
      <c r="AY184" s="26"/>
      <c r="AZ184" s="26"/>
      <c r="BB184" s="26"/>
      <c r="BC184" s="21" t="s">
        <v>513</v>
      </c>
      <c r="BD184" s="21" t="s">
        <v>514</v>
      </c>
      <c r="BE184" s="21" t="s">
        <v>514</v>
      </c>
      <c r="BF184" s="21" t="s">
        <v>515</v>
      </c>
      <c r="BG184" s="21">
        <v>1</v>
      </c>
      <c r="BH184" s="21" t="s">
        <v>516</v>
      </c>
      <c r="BI184" s="21" t="s">
        <v>517</v>
      </c>
      <c r="BJ184" s="21" t="s">
        <v>516</v>
      </c>
      <c r="BK184" s="21" t="s">
        <v>516</v>
      </c>
      <c r="BM184" s="21" t="s">
        <v>35</v>
      </c>
      <c r="BN184" s="21" t="s">
        <v>219</v>
      </c>
      <c r="BO184" s="21" t="s">
        <v>518</v>
      </c>
      <c r="BP184" s="21" t="s">
        <v>1044</v>
      </c>
      <c r="BQ184" s="21" t="s">
        <v>33</v>
      </c>
      <c r="BR184" s="21" t="s">
        <v>209</v>
      </c>
      <c r="BS184" s="21" t="s">
        <v>518</v>
      </c>
      <c r="BT184" s="21" t="s">
        <v>1044</v>
      </c>
      <c r="BU184" s="21" t="s">
        <v>219</v>
      </c>
      <c r="CD184" s="21" t="s">
        <v>520</v>
      </c>
      <c r="CF184" s="21" t="s">
        <v>521</v>
      </c>
      <c r="CN184" s="26"/>
      <c r="DB184" s="24" t="s">
        <v>943</v>
      </c>
      <c r="DC184" s="21">
        <v>1</v>
      </c>
      <c r="DD184" s="21">
        <v>2</v>
      </c>
      <c r="DE184" s="22">
        <v>42746</v>
      </c>
      <c r="DF184" s="21" t="s">
        <v>2658</v>
      </c>
      <c r="DG184" s="21" t="s">
        <v>522</v>
      </c>
      <c r="DH184" s="21" t="s">
        <v>2659</v>
      </c>
      <c r="DI184" s="21" t="s">
        <v>495</v>
      </c>
      <c r="DJ184" s="21" t="s">
        <v>520</v>
      </c>
      <c r="DK184" s="26"/>
      <c r="DL184" s="26">
        <v>42753</v>
      </c>
      <c r="DM184" s="26">
        <v>42743</v>
      </c>
      <c r="DN184" s="21">
        <v>1100</v>
      </c>
      <c r="DO184" s="21">
        <v>9</v>
      </c>
      <c r="DP184" s="21">
        <v>1</v>
      </c>
      <c r="DQ184" s="21">
        <v>2</v>
      </c>
      <c r="DR184" s="21">
        <v>4</v>
      </c>
      <c r="DS184" s="21">
        <v>10</v>
      </c>
      <c r="DT184" s="21">
        <v>10</v>
      </c>
      <c r="DU184" s="21">
        <v>10</v>
      </c>
      <c r="DW184" s="21">
        <v>4</v>
      </c>
      <c r="EA184" s="21">
        <v>9</v>
      </c>
      <c r="EB184" s="21" t="s">
        <v>2660</v>
      </c>
      <c r="EC184" s="21" t="s">
        <v>1221</v>
      </c>
      <c r="EF184" s="25">
        <v>1</v>
      </c>
      <c r="EG184" s="25">
        <v>0</v>
      </c>
      <c r="EH184" s="25">
        <v>1</v>
      </c>
      <c r="EI184" s="25">
        <v>0</v>
      </c>
      <c r="EJ184" s="25" t="s">
        <v>92</v>
      </c>
      <c r="EK184" s="25" t="s">
        <v>220</v>
      </c>
      <c r="EL184" s="25" t="s">
        <v>210</v>
      </c>
      <c r="EM184" s="25" t="s">
        <v>276</v>
      </c>
      <c r="EN184" s="25" t="s">
        <v>31</v>
      </c>
      <c r="EO184" s="25" t="s">
        <v>31</v>
      </c>
      <c r="EP184" s="25" t="s">
        <v>92</v>
      </c>
      <c r="EQ184" s="25" t="s">
        <v>529</v>
      </c>
      <c r="ER184" s="25" t="s">
        <v>278</v>
      </c>
      <c r="ES184" s="25" t="s">
        <v>278</v>
      </c>
      <c r="ET184" s="25">
        <v>1</v>
      </c>
      <c r="EU184" s="25" t="s">
        <v>522</v>
      </c>
      <c r="EV184" s="25" t="s">
        <v>279</v>
      </c>
      <c r="EW184" s="25" t="s">
        <v>279</v>
      </c>
      <c r="EX184" s="25" t="s">
        <v>279</v>
      </c>
      <c r="EY184" s="20" t="e">
        <v>#N/A</v>
      </c>
    </row>
    <row r="185" spans="1:155">
      <c r="A185" s="21" t="s">
        <v>491</v>
      </c>
      <c r="B185" s="21" t="s">
        <v>491</v>
      </c>
      <c r="C185" s="21" t="s">
        <v>492</v>
      </c>
      <c r="D185" s="21" t="s">
        <v>493</v>
      </c>
      <c r="E185" s="21" t="s">
        <v>493</v>
      </c>
      <c r="F185" s="21" t="s">
        <v>493</v>
      </c>
      <c r="G185" s="21" t="s">
        <v>2680</v>
      </c>
      <c r="H185" s="21">
        <v>11971838749</v>
      </c>
      <c r="I185" s="21" t="s">
        <v>494</v>
      </c>
      <c r="J185" s="21" t="s">
        <v>2681</v>
      </c>
      <c r="L185" s="21" t="s">
        <v>495</v>
      </c>
      <c r="M185" s="21" t="s">
        <v>2682</v>
      </c>
      <c r="N185" s="21" t="s">
        <v>550</v>
      </c>
      <c r="O185" s="21" t="s">
        <v>69</v>
      </c>
      <c r="P185" s="21" t="s">
        <v>497</v>
      </c>
      <c r="R185" s="21" t="s">
        <v>551</v>
      </c>
      <c r="S185" s="21" t="s">
        <v>552</v>
      </c>
      <c r="V185" s="21" t="s">
        <v>500</v>
      </c>
      <c r="W185" s="21" t="s">
        <v>501</v>
      </c>
      <c r="X185" s="21" t="s">
        <v>502</v>
      </c>
      <c r="Y185" s="21" t="s">
        <v>503</v>
      </c>
      <c r="Z185" s="21">
        <v>3035547664</v>
      </c>
      <c r="AA185" s="26">
        <v>42741</v>
      </c>
      <c r="AB185" s="26">
        <v>42741</v>
      </c>
      <c r="AC185" s="21" t="s">
        <v>504</v>
      </c>
      <c r="AD185" s="21" t="s">
        <v>505</v>
      </c>
      <c r="AE185" s="21" t="s">
        <v>500</v>
      </c>
      <c r="AF185" s="21" t="s">
        <v>549</v>
      </c>
      <c r="AG185" s="21" t="s">
        <v>555</v>
      </c>
      <c r="AH185" s="21" t="s">
        <v>556</v>
      </c>
      <c r="AI185" s="21" t="s">
        <v>2683</v>
      </c>
      <c r="AJ185" s="21" t="s">
        <v>526</v>
      </c>
      <c r="AK185" s="21" t="s">
        <v>494</v>
      </c>
      <c r="AL185" s="21" t="s">
        <v>527</v>
      </c>
      <c r="AM185" s="21" t="s">
        <v>527</v>
      </c>
      <c r="AN185" s="21" t="s">
        <v>527</v>
      </c>
      <c r="AO185" s="21" t="s">
        <v>528</v>
      </c>
      <c r="AS185" s="21" t="s">
        <v>511</v>
      </c>
      <c r="AT185" s="21" t="s">
        <v>512</v>
      </c>
      <c r="AW185" s="21">
        <v>0</v>
      </c>
      <c r="AX185" s="21">
        <v>4</v>
      </c>
      <c r="AY185" s="26"/>
      <c r="AZ185" s="26"/>
      <c r="BB185" s="26"/>
      <c r="BC185" s="21" t="s">
        <v>513</v>
      </c>
      <c r="BD185" s="21" t="s">
        <v>514</v>
      </c>
      <c r="BE185" s="21" t="s">
        <v>514</v>
      </c>
      <c r="BF185" s="21" t="s">
        <v>515</v>
      </c>
      <c r="BG185" s="21">
        <v>1</v>
      </c>
      <c r="BH185" s="21" t="s">
        <v>516</v>
      </c>
      <c r="BI185" s="21" t="s">
        <v>517</v>
      </c>
      <c r="BJ185" s="21" t="s">
        <v>516</v>
      </c>
      <c r="BK185" s="21" t="s">
        <v>516</v>
      </c>
      <c r="BM185" s="21" t="s">
        <v>27</v>
      </c>
      <c r="BN185" s="21" t="s">
        <v>119</v>
      </c>
      <c r="BO185" s="21" t="s">
        <v>518</v>
      </c>
      <c r="BP185" s="21" t="s">
        <v>519</v>
      </c>
      <c r="BQ185" s="21" t="s">
        <v>27</v>
      </c>
      <c r="BR185" s="21" t="s">
        <v>119</v>
      </c>
      <c r="BS185" s="21" t="s">
        <v>518</v>
      </c>
      <c r="BT185" s="21" t="s">
        <v>519</v>
      </c>
      <c r="BU185" s="21" t="s">
        <v>119</v>
      </c>
      <c r="CD185" s="21" t="s">
        <v>520</v>
      </c>
      <c r="CF185" s="21" t="s">
        <v>521</v>
      </c>
      <c r="CN185" s="26"/>
      <c r="DB185" s="24" t="s">
        <v>943</v>
      </c>
      <c r="DC185" s="21">
        <v>1</v>
      </c>
      <c r="DD185" s="21">
        <v>2</v>
      </c>
      <c r="DE185" s="22">
        <v>42746</v>
      </c>
      <c r="DF185" s="21" t="s">
        <v>2684</v>
      </c>
      <c r="DG185" s="21" t="s">
        <v>522</v>
      </c>
      <c r="DH185" s="21" t="s">
        <v>2685</v>
      </c>
      <c r="DI185" s="21" t="s">
        <v>495</v>
      </c>
      <c r="DJ185" s="21" t="s">
        <v>520</v>
      </c>
      <c r="DK185" s="26"/>
      <c r="DL185" s="26">
        <v>42753</v>
      </c>
      <c r="DM185" s="26">
        <v>42743</v>
      </c>
      <c r="DN185" s="21">
        <v>3100</v>
      </c>
      <c r="DO185" s="21">
        <v>9</v>
      </c>
      <c r="DP185" s="21">
        <v>1</v>
      </c>
      <c r="DQ185" s="21">
        <v>1</v>
      </c>
      <c r="DR185" s="21">
        <v>7</v>
      </c>
      <c r="DS185" s="21">
        <v>10</v>
      </c>
      <c r="DT185" s="21">
        <v>10</v>
      </c>
      <c r="DU185" s="21">
        <v>9</v>
      </c>
      <c r="DW185" s="21">
        <v>8</v>
      </c>
      <c r="EA185" s="21">
        <v>10</v>
      </c>
      <c r="EF185" s="25">
        <v>1</v>
      </c>
      <c r="EG185" s="25">
        <v>0</v>
      </c>
      <c r="EH185" s="25">
        <v>1</v>
      </c>
      <c r="EI185" s="25">
        <v>0</v>
      </c>
      <c r="EJ185" s="25" t="s">
        <v>62</v>
      </c>
      <c r="EK185" s="25" t="s">
        <v>120</v>
      </c>
      <c r="EL185" s="25" t="s">
        <v>120</v>
      </c>
      <c r="EM185" s="25" t="s">
        <v>276</v>
      </c>
      <c r="EN185" s="25" t="s">
        <v>23</v>
      </c>
      <c r="EO185" s="25" t="s">
        <v>23</v>
      </c>
      <c r="EP185" s="25" t="s">
        <v>62</v>
      </c>
      <c r="EQ185" s="25" t="s">
        <v>62</v>
      </c>
      <c r="ER185" s="25" t="s">
        <v>278</v>
      </c>
      <c r="ES185" s="25" t="s">
        <v>278</v>
      </c>
      <c r="ET185" s="25">
        <v>1</v>
      </c>
      <c r="EU185" s="25" t="s">
        <v>522</v>
      </c>
      <c r="EV185" s="25" t="s">
        <v>120</v>
      </c>
      <c r="EW185" s="25" t="s">
        <v>23</v>
      </c>
      <c r="EX185" s="25" t="s">
        <v>278</v>
      </c>
      <c r="EY185" s="20" t="e">
        <v>#N/A</v>
      </c>
    </row>
    <row r="186" spans="1:155">
      <c r="A186" s="21" t="s">
        <v>491</v>
      </c>
      <c r="B186" s="21" t="s">
        <v>491</v>
      </c>
      <c r="C186" s="21" t="s">
        <v>492</v>
      </c>
      <c r="D186" s="21" t="s">
        <v>493</v>
      </c>
      <c r="E186" s="21" t="s">
        <v>493</v>
      </c>
      <c r="F186" s="21" t="s">
        <v>493</v>
      </c>
      <c r="G186" s="21" t="s">
        <v>2686</v>
      </c>
      <c r="H186" s="21">
        <v>11964170885</v>
      </c>
      <c r="I186" s="21" t="s">
        <v>494</v>
      </c>
      <c r="J186" s="21" t="s">
        <v>2687</v>
      </c>
      <c r="L186" s="21" t="s">
        <v>495</v>
      </c>
      <c r="M186" s="21" t="s">
        <v>2688</v>
      </c>
      <c r="N186" s="21" t="s">
        <v>496</v>
      </c>
      <c r="O186" s="21" t="s">
        <v>69</v>
      </c>
      <c r="P186" s="21" t="s">
        <v>497</v>
      </c>
      <c r="Q186" s="21" t="s">
        <v>1178</v>
      </c>
      <c r="R186" s="21" t="s">
        <v>498</v>
      </c>
      <c r="S186" s="21" t="s">
        <v>499</v>
      </c>
      <c r="V186" s="21" t="s">
        <v>500</v>
      </c>
      <c r="W186" s="21" t="s">
        <v>501</v>
      </c>
      <c r="X186" s="21" t="s">
        <v>502</v>
      </c>
      <c r="Y186" s="21" t="s">
        <v>503</v>
      </c>
      <c r="Z186" s="21">
        <v>3035451540</v>
      </c>
      <c r="AA186" s="26">
        <v>42738</v>
      </c>
      <c r="AB186" s="26">
        <v>42744</v>
      </c>
      <c r="AC186" s="21" t="s">
        <v>504</v>
      </c>
      <c r="AD186" s="21" t="s">
        <v>505</v>
      </c>
      <c r="AE186" s="21" t="s">
        <v>500</v>
      </c>
      <c r="AF186" s="21" t="s">
        <v>549</v>
      </c>
      <c r="AG186" s="21" t="s">
        <v>555</v>
      </c>
      <c r="AH186" s="21" t="s">
        <v>556</v>
      </c>
      <c r="AI186" s="21" t="s">
        <v>2689</v>
      </c>
      <c r="AJ186" s="21" t="s">
        <v>526</v>
      </c>
      <c r="AK186" s="21" t="s">
        <v>494</v>
      </c>
      <c r="AL186" s="21" t="s">
        <v>527</v>
      </c>
      <c r="AM186" s="21" t="s">
        <v>527</v>
      </c>
      <c r="AN186" s="21" t="s">
        <v>527</v>
      </c>
      <c r="AO186" s="21" t="s">
        <v>528</v>
      </c>
      <c r="AS186" s="21" t="s">
        <v>511</v>
      </c>
      <c r="AT186" s="21" t="s">
        <v>512</v>
      </c>
      <c r="AW186" s="21">
        <v>0</v>
      </c>
      <c r="AX186" s="21">
        <v>9</v>
      </c>
      <c r="AY186" s="26"/>
      <c r="AZ186" s="26"/>
      <c r="BB186" s="26"/>
      <c r="BC186" s="21" t="s">
        <v>513</v>
      </c>
      <c r="BD186" s="21" t="s">
        <v>514</v>
      </c>
      <c r="BE186" s="21" t="s">
        <v>514</v>
      </c>
      <c r="BF186" s="21" t="s">
        <v>515</v>
      </c>
      <c r="BG186" s="21">
        <v>1</v>
      </c>
      <c r="BH186" s="21" t="s">
        <v>516</v>
      </c>
      <c r="BI186" s="21" t="s">
        <v>517</v>
      </c>
      <c r="BJ186" s="21" t="s">
        <v>516</v>
      </c>
      <c r="BK186" s="21" t="s">
        <v>516</v>
      </c>
      <c r="BM186" s="21" t="s">
        <v>583</v>
      </c>
      <c r="BN186" s="21" t="s">
        <v>154</v>
      </c>
      <c r="BO186" s="21" t="s">
        <v>518</v>
      </c>
      <c r="BP186" s="21" t="s">
        <v>519</v>
      </c>
      <c r="BQ186" s="21" t="s">
        <v>47</v>
      </c>
      <c r="BR186" s="21" t="s">
        <v>139</v>
      </c>
      <c r="BS186" s="21" t="s">
        <v>518</v>
      </c>
      <c r="BT186" s="21" t="s">
        <v>1044</v>
      </c>
      <c r="BU186" s="21" t="s">
        <v>154</v>
      </c>
      <c r="CD186" s="21" t="s">
        <v>520</v>
      </c>
      <c r="CF186" s="21" t="s">
        <v>521</v>
      </c>
      <c r="CN186" s="26"/>
      <c r="DB186" s="24" t="s">
        <v>943</v>
      </c>
      <c r="DC186" s="21">
        <v>1</v>
      </c>
      <c r="DD186" s="21">
        <v>2</v>
      </c>
      <c r="DE186" s="22">
        <v>42746</v>
      </c>
      <c r="DF186" s="21" t="s">
        <v>1454</v>
      </c>
      <c r="DG186" s="21" t="s">
        <v>522</v>
      </c>
      <c r="DH186" s="21" t="s">
        <v>2690</v>
      </c>
      <c r="DI186" s="21" t="s">
        <v>495</v>
      </c>
      <c r="DJ186" s="21" t="s">
        <v>520</v>
      </c>
      <c r="DK186" s="26"/>
      <c r="DL186" s="26">
        <v>42756</v>
      </c>
      <c r="DM186" s="26">
        <v>42746</v>
      </c>
      <c r="DN186" s="21">
        <v>3100</v>
      </c>
      <c r="DO186" s="21">
        <v>0</v>
      </c>
      <c r="DP186" s="21">
        <v>2</v>
      </c>
      <c r="DQ186" s="21">
        <v>2</v>
      </c>
      <c r="DR186" s="21">
        <v>1</v>
      </c>
      <c r="DS186" s="21">
        <v>0</v>
      </c>
      <c r="DT186" s="21">
        <v>0</v>
      </c>
      <c r="DU186" s="21">
        <v>1</v>
      </c>
      <c r="DW186" s="21">
        <v>0</v>
      </c>
      <c r="EA186" s="21">
        <v>0</v>
      </c>
      <c r="EB186" s="21" t="s">
        <v>2691</v>
      </c>
      <c r="EC186" s="21" t="s">
        <v>2723</v>
      </c>
      <c r="EF186" s="25">
        <v>0</v>
      </c>
      <c r="EG186" s="25">
        <v>1</v>
      </c>
      <c r="EH186" s="25">
        <v>0</v>
      </c>
      <c r="EI186" s="25">
        <v>1</v>
      </c>
      <c r="EJ186" s="25" t="s">
        <v>62</v>
      </c>
      <c r="EK186" s="25" t="s">
        <v>155</v>
      </c>
      <c r="EL186" s="25" t="s">
        <v>140</v>
      </c>
      <c r="EM186" s="25" t="s">
        <v>276</v>
      </c>
      <c r="EN186" s="25" t="s">
        <v>23</v>
      </c>
      <c r="EO186" s="25" t="s">
        <v>23</v>
      </c>
      <c r="EP186" s="25" t="s">
        <v>62</v>
      </c>
      <c r="EQ186" s="25" t="s">
        <v>529</v>
      </c>
      <c r="ER186" s="25" t="s">
        <v>278</v>
      </c>
      <c r="ES186" s="25" t="s">
        <v>278</v>
      </c>
      <c r="ET186" s="25">
        <v>1</v>
      </c>
      <c r="EU186" s="25" t="s">
        <v>522</v>
      </c>
      <c r="EV186" s="25" t="s">
        <v>279</v>
      </c>
      <c r="EW186" s="25" t="s">
        <v>279</v>
      </c>
      <c r="EX186" s="25" t="s">
        <v>279</v>
      </c>
      <c r="EY186" s="20" t="e">
        <v>#N/A</v>
      </c>
    </row>
    <row r="187" spans="1:155">
      <c r="A187" s="21" t="s">
        <v>491</v>
      </c>
      <c r="B187" s="21" t="s">
        <v>491</v>
      </c>
      <c r="C187" s="21" t="s">
        <v>492</v>
      </c>
      <c r="D187" s="21" t="s">
        <v>493</v>
      </c>
      <c r="E187" s="21" t="s">
        <v>493</v>
      </c>
      <c r="F187" s="21" t="s">
        <v>493</v>
      </c>
      <c r="G187" s="21" t="s">
        <v>2724</v>
      </c>
      <c r="H187" s="21">
        <v>8230236217</v>
      </c>
      <c r="I187" s="21" t="s">
        <v>494</v>
      </c>
      <c r="J187" s="21" t="s">
        <v>2725</v>
      </c>
      <c r="L187" s="21" t="s">
        <v>495</v>
      </c>
      <c r="M187" s="21" t="s">
        <v>2726</v>
      </c>
      <c r="N187" s="21" t="s">
        <v>496</v>
      </c>
      <c r="O187" s="21" t="s">
        <v>69</v>
      </c>
      <c r="P187" s="21" t="s">
        <v>497</v>
      </c>
      <c r="R187" s="21" t="s">
        <v>498</v>
      </c>
      <c r="S187" s="21" t="s">
        <v>499</v>
      </c>
      <c r="V187" s="21" t="s">
        <v>500</v>
      </c>
      <c r="W187" s="21" t="s">
        <v>501</v>
      </c>
      <c r="X187" s="21" t="s">
        <v>502</v>
      </c>
      <c r="Y187" s="21" t="s">
        <v>503</v>
      </c>
      <c r="Z187" s="21">
        <v>3035477049</v>
      </c>
      <c r="AA187" s="26">
        <v>42739</v>
      </c>
      <c r="AB187" s="26">
        <v>42739</v>
      </c>
      <c r="AC187" s="21" t="s">
        <v>504</v>
      </c>
      <c r="AD187" s="21" t="s">
        <v>505</v>
      </c>
      <c r="AE187" s="21" t="s">
        <v>500</v>
      </c>
      <c r="AF187" s="21" t="s">
        <v>549</v>
      </c>
      <c r="AG187" s="21" t="s">
        <v>555</v>
      </c>
      <c r="AH187" s="21" t="s">
        <v>556</v>
      </c>
      <c r="AI187" s="21" t="s">
        <v>1342</v>
      </c>
      <c r="AJ187" s="21" t="s">
        <v>526</v>
      </c>
      <c r="AK187" s="21" t="s">
        <v>494</v>
      </c>
      <c r="AL187" s="21" t="s">
        <v>527</v>
      </c>
      <c r="AM187" s="21" t="s">
        <v>527</v>
      </c>
      <c r="AN187" s="21" t="s">
        <v>527</v>
      </c>
      <c r="AO187" s="21" t="s">
        <v>528</v>
      </c>
      <c r="AS187" s="21" t="s">
        <v>511</v>
      </c>
      <c r="AT187" s="21" t="s">
        <v>512</v>
      </c>
      <c r="AW187" s="21">
        <v>0</v>
      </c>
      <c r="AX187" s="21">
        <v>2</v>
      </c>
      <c r="AY187" s="26"/>
      <c r="AZ187" s="26"/>
      <c r="BB187" s="26"/>
      <c r="BC187" s="21" t="s">
        <v>513</v>
      </c>
      <c r="BD187" s="21" t="s">
        <v>514</v>
      </c>
      <c r="BE187" s="21" t="s">
        <v>514</v>
      </c>
      <c r="BF187" s="21" t="s">
        <v>515</v>
      </c>
      <c r="BG187" s="21">
        <v>1</v>
      </c>
      <c r="BH187" s="21" t="s">
        <v>516</v>
      </c>
      <c r="BI187" s="21" t="s">
        <v>517</v>
      </c>
      <c r="BJ187" s="21" t="s">
        <v>516</v>
      </c>
      <c r="BK187" s="21" t="s">
        <v>516</v>
      </c>
      <c r="BM187" s="21" t="s">
        <v>55</v>
      </c>
      <c r="BN187" s="21" t="s">
        <v>137</v>
      </c>
      <c r="BO187" s="21" t="s">
        <v>518</v>
      </c>
      <c r="BP187" s="21" t="s">
        <v>519</v>
      </c>
      <c r="BQ187" s="21" t="s">
        <v>55</v>
      </c>
      <c r="BR187" s="21" t="s">
        <v>137</v>
      </c>
      <c r="BS187" s="21" t="s">
        <v>518</v>
      </c>
      <c r="BT187" s="21" t="s">
        <v>519</v>
      </c>
      <c r="BU187" s="21" t="s">
        <v>137</v>
      </c>
      <c r="CD187" s="21" t="s">
        <v>520</v>
      </c>
      <c r="CF187" s="21" t="s">
        <v>521</v>
      </c>
      <c r="CN187" s="26"/>
      <c r="DB187" s="24" t="s">
        <v>943</v>
      </c>
      <c r="DC187" s="21">
        <v>1</v>
      </c>
      <c r="DD187" s="21">
        <v>2</v>
      </c>
      <c r="DE187" s="22">
        <v>42747</v>
      </c>
      <c r="DF187" s="21" t="s">
        <v>2727</v>
      </c>
      <c r="DG187" s="21" t="s">
        <v>522</v>
      </c>
      <c r="DH187" s="21" t="s">
        <v>2728</v>
      </c>
      <c r="DI187" s="21" t="s">
        <v>495</v>
      </c>
      <c r="DJ187" s="21" t="s">
        <v>520</v>
      </c>
      <c r="DK187" s="26"/>
      <c r="DL187" s="26">
        <v>42751</v>
      </c>
      <c r="DM187" s="26">
        <v>42741</v>
      </c>
      <c r="DN187" s="21">
        <v>3100</v>
      </c>
      <c r="DO187" s="21">
        <v>10</v>
      </c>
      <c r="DP187" s="21">
        <v>1</v>
      </c>
      <c r="DQ187" s="21">
        <v>1</v>
      </c>
      <c r="DR187" s="21">
        <v>7</v>
      </c>
      <c r="DS187" s="21">
        <v>10</v>
      </c>
      <c r="DT187" s="21">
        <v>10</v>
      </c>
      <c r="DU187" s="21">
        <v>10</v>
      </c>
      <c r="DW187" s="21">
        <v>10</v>
      </c>
      <c r="EA187" s="21">
        <v>10</v>
      </c>
      <c r="EB187" s="21" t="s">
        <v>2729</v>
      </c>
      <c r="EC187" s="21" t="s">
        <v>1221</v>
      </c>
      <c r="EF187" s="25">
        <v>1</v>
      </c>
      <c r="EG187" s="25">
        <v>0</v>
      </c>
      <c r="EH187" s="25">
        <v>1</v>
      </c>
      <c r="EI187" s="25">
        <v>0</v>
      </c>
      <c r="EJ187" s="25" t="s">
        <v>62</v>
      </c>
      <c r="EK187" s="25" t="s">
        <v>138</v>
      </c>
      <c r="EL187" s="25" t="s">
        <v>138</v>
      </c>
      <c r="EM187" s="25" t="s">
        <v>276</v>
      </c>
      <c r="EN187" s="25" t="s">
        <v>23</v>
      </c>
      <c r="EO187" s="25" t="s">
        <v>23</v>
      </c>
      <c r="EP187" s="25" t="s">
        <v>62</v>
      </c>
      <c r="EQ187" s="25" t="s">
        <v>62</v>
      </c>
      <c r="ER187" s="25" t="s">
        <v>278</v>
      </c>
      <c r="ES187" s="25" t="s">
        <v>278</v>
      </c>
      <c r="ET187" s="25">
        <v>1</v>
      </c>
      <c r="EU187" s="25" t="s">
        <v>522</v>
      </c>
      <c r="EV187" s="25" t="s">
        <v>138</v>
      </c>
      <c r="EW187" s="25" t="s">
        <v>23</v>
      </c>
      <c r="EX187" s="25" t="s">
        <v>278</v>
      </c>
      <c r="EY187" s="20" t="e">
        <v>#N/A</v>
      </c>
    </row>
    <row r="188" spans="1:155">
      <c r="A188" s="21" t="s">
        <v>491</v>
      </c>
      <c r="B188" s="21" t="s">
        <v>491</v>
      </c>
      <c r="C188" s="21" t="s">
        <v>492</v>
      </c>
      <c r="D188" s="21" t="s">
        <v>493</v>
      </c>
      <c r="E188" s="21" t="s">
        <v>493</v>
      </c>
      <c r="F188" s="21" t="s">
        <v>493</v>
      </c>
      <c r="G188" s="21" t="s">
        <v>2730</v>
      </c>
      <c r="H188" s="21">
        <v>2225551775</v>
      </c>
      <c r="I188" s="21" t="s">
        <v>494</v>
      </c>
      <c r="J188" s="21" t="s">
        <v>2731</v>
      </c>
      <c r="L188" s="21" t="s">
        <v>495</v>
      </c>
      <c r="M188" s="21" t="s">
        <v>2732</v>
      </c>
      <c r="N188" s="21" t="s">
        <v>2733</v>
      </c>
      <c r="O188" s="21" t="s">
        <v>69</v>
      </c>
      <c r="P188" s="21" t="s">
        <v>497</v>
      </c>
      <c r="Q188" s="21" t="s">
        <v>2014</v>
      </c>
      <c r="R188" s="21" t="s">
        <v>2734</v>
      </c>
      <c r="S188" s="21" t="s">
        <v>2735</v>
      </c>
      <c r="V188" s="21" t="s">
        <v>500</v>
      </c>
      <c r="W188" s="21" t="s">
        <v>501</v>
      </c>
      <c r="X188" s="21" t="s">
        <v>502</v>
      </c>
      <c r="Y188" s="21" t="s">
        <v>503</v>
      </c>
      <c r="Z188" s="21">
        <v>3035477903</v>
      </c>
      <c r="AA188" s="26">
        <v>42739</v>
      </c>
      <c r="AB188" s="26">
        <v>42739</v>
      </c>
      <c r="AC188" s="21" t="s">
        <v>504</v>
      </c>
      <c r="AD188" s="21" t="s">
        <v>505</v>
      </c>
      <c r="AE188" s="21" t="s">
        <v>500</v>
      </c>
      <c r="AF188" s="21" t="s">
        <v>549</v>
      </c>
      <c r="AG188" s="21" t="s">
        <v>555</v>
      </c>
      <c r="AH188" s="21" t="s">
        <v>556</v>
      </c>
      <c r="AI188" s="21" t="s">
        <v>2015</v>
      </c>
      <c r="AJ188" s="21" t="s">
        <v>526</v>
      </c>
      <c r="AK188" s="21" t="s">
        <v>494</v>
      </c>
      <c r="AL188" s="21" t="s">
        <v>527</v>
      </c>
      <c r="AM188" s="21" t="s">
        <v>527</v>
      </c>
      <c r="AN188" s="21" t="s">
        <v>527</v>
      </c>
      <c r="AO188" s="21" t="s">
        <v>528</v>
      </c>
      <c r="AS188" s="21" t="s">
        <v>511</v>
      </c>
      <c r="AT188" s="21" t="s">
        <v>512</v>
      </c>
      <c r="AW188" s="21">
        <v>0</v>
      </c>
      <c r="AX188" s="21">
        <v>2</v>
      </c>
      <c r="AY188" s="26"/>
      <c r="AZ188" s="26"/>
      <c r="BB188" s="26"/>
      <c r="BC188" s="21" t="s">
        <v>513</v>
      </c>
      <c r="BD188" s="21" t="s">
        <v>514</v>
      </c>
      <c r="BE188" s="21" t="s">
        <v>514</v>
      </c>
      <c r="BF188" s="21" t="s">
        <v>515</v>
      </c>
      <c r="BG188" s="21">
        <v>1</v>
      </c>
      <c r="BH188" s="21" t="s">
        <v>516</v>
      </c>
      <c r="BI188" s="21" t="s">
        <v>517</v>
      </c>
      <c r="BJ188" s="21" t="s">
        <v>516</v>
      </c>
      <c r="BK188" s="21" t="s">
        <v>516</v>
      </c>
      <c r="BM188" s="21" t="s">
        <v>580</v>
      </c>
      <c r="BN188" s="21" t="s">
        <v>94</v>
      </c>
      <c r="BO188" s="21" t="s">
        <v>518</v>
      </c>
      <c r="BP188" s="21" t="s">
        <v>519</v>
      </c>
      <c r="BQ188" s="21" t="s">
        <v>580</v>
      </c>
      <c r="BR188" s="21" t="s">
        <v>94</v>
      </c>
      <c r="BS188" s="21" t="s">
        <v>518</v>
      </c>
      <c r="BT188" s="21" t="s">
        <v>519</v>
      </c>
      <c r="BU188" s="21" t="s">
        <v>94</v>
      </c>
      <c r="CD188" s="21" t="s">
        <v>520</v>
      </c>
      <c r="CF188" s="21" t="s">
        <v>521</v>
      </c>
      <c r="CN188" s="26"/>
      <c r="DB188" s="24" t="s">
        <v>943</v>
      </c>
      <c r="DC188" s="21">
        <v>1</v>
      </c>
      <c r="DD188" s="21">
        <v>2</v>
      </c>
      <c r="DE188" s="22">
        <v>42747</v>
      </c>
      <c r="DF188" s="21" t="s">
        <v>2736</v>
      </c>
      <c r="DG188" s="21" t="s">
        <v>522</v>
      </c>
      <c r="DH188" s="21" t="s">
        <v>2737</v>
      </c>
      <c r="DI188" s="21" t="s">
        <v>495</v>
      </c>
      <c r="DJ188" s="21" t="s">
        <v>523</v>
      </c>
      <c r="DK188" s="26"/>
      <c r="DL188" s="26">
        <v>42751</v>
      </c>
      <c r="DM188" s="26">
        <v>42741</v>
      </c>
      <c r="DN188" s="21">
        <v>3100</v>
      </c>
      <c r="DO188" s="21">
        <v>10</v>
      </c>
      <c r="DP188" s="21">
        <v>1</v>
      </c>
      <c r="DQ188" s="21">
        <v>1</v>
      </c>
      <c r="DR188" s="21">
        <v>7</v>
      </c>
      <c r="DS188" s="21">
        <v>10</v>
      </c>
      <c r="DT188" s="21">
        <v>10</v>
      </c>
      <c r="DU188" s="21">
        <v>10</v>
      </c>
      <c r="DW188" s="21">
        <v>10</v>
      </c>
      <c r="EA188" s="21">
        <v>10</v>
      </c>
      <c r="EB188" s="21" t="s">
        <v>2738</v>
      </c>
      <c r="EC188" s="21" t="s">
        <v>3250</v>
      </c>
      <c r="EF188" s="25">
        <v>1</v>
      </c>
      <c r="EG188" s="25">
        <v>0</v>
      </c>
      <c r="EH188" s="25">
        <v>1</v>
      </c>
      <c r="EI188" s="25">
        <v>0</v>
      </c>
      <c r="EJ188" s="25" t="s">
        <v>62</v>
      </c>
      <c r="EK188" s="25" t="s">
        <v>95</v>
      </c>
      <c r="EL188" s="25" t="s">
        <v>95</v>
      </c>
      <c r="EM188" s="25" t="s">
        <v>276</v>
      </c>
      <c r="EN188" s="25" t="s">
        <v>9</v>
      </c>
      <c r="EO188" s="25" t="s">
        <v>9</v>
      </c>
      <c r="EP188" s="25" t="s">
        <v>62</v>
      </c>
      <c r="EQ188" s="25" t="s">
        <v>62</v>
      </c>
      <c r="ER188" s="25" t="s">
        <v>278</v>
      </c>
      <c r="ES188" s="25" t="s">
        <v>278</v>
      </c>
      <c r="ET188" s="25">
        <v>1</v>
      </c>
      <c r="EU188" s="25" t="s">
        <v>522</v>
      </c>
      <c r="EV188" s="25" t="s">
        <v>95</v>
      </c>
      <c r="EW188" s="25" t="s">
        <v>9</v>
      </c>
      <c r="EX188" s="25" t="s">
        <v>278</v>
      </c>
      <c r="EY188" s="20" t="e">
        <v>#N/A</v>
      </c>
    </row>
    <row r="189" spans="1:155">
      <c r="A189" s="21" t="s">
        <v>491</v>
      </c>
      <c r="B189" s="21" t="s">
        <v>491</v>
      </c>
      <c r="C189" s="21" t="s">
        <v>492</v>
      </c>
      <c r="D189" s="21" t="s">
        <v>493</v>
      </c>
      <c r="E189" s="21" t="s">
        <v>493</v>
      </c>
      <c r="F189" s="21" t="s">
        <v>493</v>
      </c>
      <c r="G189" s="21" t="s">
        <v>2739</v>
      </c>
      <c r="H189" s="21" t="s">
        <v>2740</v>
      </c>
      <c r="I189" s="21" t="s">
        <v>494</v>
      </c>
      <c r="J189" s="21" t="s">
        <v>2741</v>
      </c>
      <c r="L189" s="21" t="s">
        <v>495</v>
      </c>
      <c r="M189" s="21" t="s">
        <v>2742</v>
      </c>
      <c r="N189" s="21" t="s">
        <v>1258</v>
      </c>
      <c r="O189" s="21" t="s">
        <v>69</v>
      </c>
      <c r="P189" s="21" t="s">
        <v>497</v>
      </c>
      <c r="Q189" s="21" t="s">
        <v>1168</v>
      </c>
      <c r="R189" s="21" t="s">
        <v>1259</v>
      </c>
      <c r="S189" s="21" t="s">
        <v>1260</v>
      </c>
      <c r="V189" s="21" t="s">
        <v>500</v>
      </c>
      <c r="W189" s="21" t="s">
        <v>501</v>
      </c>
      <c r="X189" s="21" t="s">
        <v>502</v>
      </c>
      <c r="Y189" s="21" t="s">
        <v>503</v>
      </c>
      <c r="Z189" s="21">
        <v>3035519950</v>
      </c>
      <c r="AA189" s="26">
        <v>42740</v>
      </c>
      <c r="AB189" s="26">
        <v>42740</v>
      </c>
      <c r="AC189" s="21" t="s">
        <v>504</v>
      </c>
      <c r="AD189" s="21" t="s">
        <v>505</v>
      </c>
      <c r="AE189" s="21" t="s">
        <v>500</v>
      </c>
      <c r="AF189" s="21" t="s">
        <v>549</v>
      </c>
      <c r="AG189" s="21" t="s">
        <v>555</v>
      </c>
      <c r="AH189" s="21" t="s">
        <v>556</v>
      </c>
      <c r="AI189" s="21" t="s">
        <v>1024</v>
      </c>
      <c r="AJ189" s="21" t="s">
        <v>526</v>
      </c>
      <c r="AK189" s="21" t="s">
        <v>494</v>
      </c>
      <c r="AL189" s="21" t="s">
        <v>527</v>
      </c>
      <c r="AM189" s="21" t="s">
        <v>527</v>
      </c>
      <c r="AN189" s="21" t="s">
        <v>527</v>
      </c>
      <c r="AO189" s="21" t="s">
        <v>528</v>
      </c>
      <c r="AS189" s="21" t="s">
        <v>511</v>
      </c>
      <c r="AT189" s="21" t="s">
        <v>512</v>
      </c>
      <c r="AW189" s="21">
        <v>0</v>
      </c>
      <c r="AX189" s="21">
        <v>2</v>
      </c>
      <c r="AY189" s="26"/>
      <c r="AZ189" s="26"/>
      <c r="BB189" s="26"/>
      <c r="BC189" s="21" t="s">
        <v>513</v>
      </c>
      <c r="BD189" s="21" t="s">
        <v>514</v>
      </c>
      <c r="BE189" s="21" t="s">
        <v>514</v>
      </c>
      <c r="BF189" s="21" t="s">
        <v>515</v>
      </c>
      <c r="BG189" s="21">
        <v>1</v>
      </c>
      <c r="BH189" s="21" t="s">
        <v>516</v>
      </c>
      <c r="BI189" s="21" t="s">
        <v>517</v>
      </c>
      <c r="BJ189" s="21" t="s">
        <v>516</v>
      </c>
      <c r="BK189" s="21" t="s">
        <v>516</v>
      </c>
      <c r="BM189" s="21" t="s">
        <v>12</v>
      </c>
      <c r="BN189" s="21" t="s">
        <v>67</v>
      </c>
      <c r="BO189" s="21" t="s">
        <v>518</v>
      </c>
      <c r="BP189" s="21" t="s">
        <v>519</v>
      </c>
      <c r="BQ189" s="21" t="s">
        <v>12</v>
      </c>
      <c r="BR189" s="21" t="s">
        <v>67</v>
      </c>
      <c r="BS189" s="21" t="s">
        <v>518</v>
      </c>
      <c r="BT189" s="21" t="s">
        <v>519</v>
      </c>
      <c r="BU189" s="21" t="s">
        <v>67</v>
      </c>
      <c r="CD189" s="21" t="s">
        <v>520</v>
      </c>
      <c r="CF189" s="21" t="s">
        <v>521</v>
      </c>
      <c r="CN189" s="26"/>
      <c r="DB189" s="24" t="s">
        <v>943</v>
      </c>
      <c r="DC189" s="21">
        <v>1</v>
      </c>
      <c r="DD189" s="21">
        <v>2</v>
      </c>
      <c r="DE189" s="22">
        <v>42747</v>
      </c>
      <c r="DF189" s="21" t="s">
        <v>2743</v>
      </c>
      <c r="DG189" s="21" t="s">
        <v>522</v>
      </c>
      <c r="DH189" s="21" t="s">
        <v>2744</v>
      </c>
      <c r="DI189" s="21" t="s">
        <v>495</v>
      </c>
      <c r="DJ189" s="21" t="s">
        <v>523</v>
      </c>
      <c r="DK189" s="26"/>
      <c r="DL189" s="26">
        <v>42752</v>
      </c>
      <c r="DM189" s="26">
        <v>42742</v>
      </c>
      <c r="DN189" s="21">
        <v>3100</v>
      </c>
      <c r="DO189" s="21">
        <v>10</v>
      </c>
      <c r="DP189" s="21">
        <v>1</v>
      </c>
      <c r="DQ189" s="21">
        <v>1</v>
      </c>
      <c r="DR189" s="21">
        <v>6</v>
      </c>
      <c r="DS189" s="21">
        <v>10</v>
      </c>
      <c r="DT189" s="21">
        <v>10</v>
      </c>
      <c r="DU189" s="21">
        <v>10</v>
      </c>
      <c r="DW189" s="21">
        <v>10</v>
      </c>
      <c r="EA189" s="21">
        <v>10</v>
      </c>
      <c r="EF189" s="25">
        <v>1</v>
      </c>
      <c r="EG189" s="25">
        <v>0</v>
      </c>
      <c r="EH189" s="25">
        <v>1</v>
      </c>
      <c r="EI189" s="25">
        <v>0</v>
      </c>
      <c r="EJ189" s="25" t="s">
        <v>62</v>
      </c>
      <c r="EK189" s="25" t="s">
        <v>68</v>
      </c>
      <c r="EL189" s="25" t="s">
        <v>68</v>
      </c>
      <c r="EM189" s="25" t="s">
        <v>276</v>
      </c>
      <c r="EN189" s="25" t="s">
        <v>9</v>
      </c>
      <c r="EO189" s="25" t="s">
        <v>9</v>
      </c>
      <c r="EP189" s="25" t="s">
        <v>62</v>
      </c>
      <c r="EQ189" s="25" t="s">
        <v>62</v>
      </c>
      <c r="ER189" s="25" t="s">
        <v>278</v>
      </c>
      <c r="ES189" s="25" t="s">
        <v>278</v>
      </c>
      <c r="ET189" s="25">
        <v>1</v>
      </c>
      <c r="EU189" s="25" t="s">
        <v>522</v>
      </c>
      <c r="EV189" s="25" t="s">
        <v>68</v>
      </c>
      <c r="EW189" s="25" t="s">
        <v>9</v>
      </c>
      <c r="EX189" s="25" t="s">
        <v>278</v>
      </c>
      <c r="EY189" s="20" t="e">
        <v>#N/A</v>
      </c>
    </row>
    <row r="190" spans="1:155">
      <c r="A190" s="21" t="s">
        <v>491</v>
      </c>
      <c r="B190" s="21" t="s">
        <v>491</v>
      </c>
      <c r="C190" s="21" t="s">
        <v>492</v>
      </c>
      <c r="D190" s="21" t="s">
        <v>493</v>
      </c>
      <c r="E190" s="21" t="s">
        <v>493</v>
      </c>
      <c r="F190" s="21" t="s">
        <v>493</v>
      </c>
      <c r="G190" s="21" t="s">
        <v>2745</v>
      </c>
      <c r="H190" s="21">
        <v>67984381785</v>
      </c>
      <c r="I190" s="21" t="s">
        <v>494</v>
      </c>
      <c r="J190" s="21" t="s">
        <v>2746</v>
      </c>
      <c r="L190" s="21" t="s">
        <v>495</v>
      </c>
      <c r="M190" s="21" t="s">
        <v>2747</v>
      </c>
      <c r="N190" s="21" t="s">
        <v>496</v>
      </c>
      <c r="O190" s="21" t="s">
        <v>69</v>
      </c>
      <c r="P190" s="21" t="s">
        <v>497</v>
      </c>
      <c r="R190" s="21" t="s">
        <v>498</v>
      </c>
      <c r="S190" s="21" t="s">
        <v>499</v>
      </c>
      <c r="V190" s="21" t="s">
        <v>500</v>
      </c>
      <c r="W190" s="21" t="s">
        <v>501</v>
      </c>
      <c r="X190" s="21" t="s">
        <v>502</v>
      </c>
      <c r="Y190" s="21" t="s">
        <v>503</v>
      </c>
      <c r="Z190" s="21">
        <v>3035518314</v>
      </c>
      <c r="AA190" s="26">
        <v>42740</v>
      </c>
      <c r="AB190" s="26">
        <v>42740</v>
      </c>
      <c r="AC190" s="21" t="s">
        <v>504</v>
      </c>
      <c r="AD190" s="21" t="s">
        <v>505</v>
      </c>
      <c r="AE190" s="21" t="s">
        <v>500</v>
      </c>
      <c r="AF190" s="21" t="s">
        <v>549</v>
      </c>
      <c r="AG190" s="21" t="s">
        <v>1972</v>
      </c>
      <c r="AH190" s="21" t="s">
        <v>1973</v>
      </c>
      <c r="AI190" s="21" t="s">
        <v>2748</v>
      </c>
      <c r="AJ190" s="21" t="s">
        <v>526</v>
      </c>
      <c r="AK190" s="21" t="s">
        <v>494</v>
      </c>
      <c r="AL190" s="21" t="s">
        <v>527</v>
      </c>
      <c r="AM190" s="21" t="s">
        <v>527</v>
      </c>
      <c r="AN190" s="21" t="s">
        <v>527</v>
      </c>
      <c r="AO190" s="21" t="s">
        <v>528</v>
      </c>
      <c r="AS190" s="21" t="s">
        <v>511</v>
      </c>
      <c r="AT190" s="21" t="s">
        <v>512</v>
      </c>
      <c r="AW190" s="21">
        <v>0</v>
      </c>
      <c r="AX190" s="21">
        <v>2</v>
      </c>
      <c r="AY190" s="26"/>
      <c r="AZ190" s="26"/>
      <c r="BB190" s="26"/>
      <c r="BC190" s="21" t="s">
        <v>513</v>
      </c>
      <c r="BD190" s="21" t="s">
        <v>514</v>
      </c>
      <c r="BE190" s="21" t="s">
        <v>514</v>
      </c>
      <c r="BF190" s="21" t="s">
        <v>515</v>
      </c>
      <c r="BG190" s="21">
        <v>1</v>
      </c>
      <c r="BH190" s="21" t="s">
        <v>516</v>
      </c>
      <c r="BI190" s="21" t="s">
        <v>517</v>
      </c>
      <c r="BJ190" s="21" t="s">
        <v>516</v>
      </c>
      <c r="BK190" s="21" t="s">
        <v>516</v>
      </c>
      <c r="BM190" s="21" t="s">
        <v>24</v>
      </c>
      <c r="BN190" s="21" t="s">
        <v>186</v>
      </c>
      <c r="BO190" s="21" t="s">
        <v>518</v>
      </c>
      <c r="BP190" s="21" t="s">
        <v>519</v>
      </c>
      <c r="BQ190" s="21" t="s">
        <v>24</v>
      </c>
      <c r="BR190" s="21" t="s">
        <v>186</v>
      </c>
      <c r="BS190" s="21" t="s">
        <v>518</v>
      </c>
      <c r="BT190" s="21" t="s">
        <v>519</v>
      </c>
      <c r="BU190" s="21" t="s">
        <v>186</v>
      </c>
      <c r="CD190" s="21" t="s">
        <v>520</v>
      </c>
      <c r="CF190" s="21" t="s">
        <v>521</v>
      </c>
      <c r="CN190" s="26"/>
      <c r="DB190" s="24" t="s">
        <v>943</v>
      </c>
      <c r="DC190" s="21">
        <v>1</v>
      </c>
      <c r="DD190" s="21">
        <v>2</v>
      </c>
      <c r="DE190" s="22">
        <v>42747</v>
      </c>
      <c r="DF190" s="21" t="s">
        <v>1605</v>
      </c>
      <c r="DG190" s="21" t="s">
        <v>522</v>
      </c>
      <c r="DH190" s="21" t="s">
        <v>2749</v>
      </c>
      <c r="DI190" s="21" t="s">
        <v>495</v>
      </c>
      <c r="DJ190" s="21" t="s">
        <v>523</v>
      </c>
      <c r="DK190" s="26"/>
      <c r="DL190" s="26">
        <v>42752</v>
      </c>
      <c r="DM190" s="26">
        <v>42742</v>
      </c>
      <c r="DN190" s="21">
        <v>3100</v>
      </c>
      <c r="DO190" s="21">
        <v>10</v>
      </c>
      <c r="DP190" s="21">
        <v>1</v>
      </c>
      <c r="DQ190" s="21">
        <v>2</v>
      </c>
      <c r="DR190" s="21">
        <v>6</v>
      </c>
      <c r="DS190" s="21">
        <v>10</v>
      </c>
      <c r="DT190" s="21">
        <v>9</v>
      </c>
      <c r="DU190" s="21">
        <v>10</v>
      </c>
      <c r="DW190" s="21">
        <v>9</v>
      </c>
      <c r="EA190" s="21">
        <v>10</v>
      </c>
      <c r="EB190" s="21" t="s">
        <v>2750</v>
      </c>
      <c r="EC190" s="21" t="s">
        <v>3251</v>
      </c>
      <c r="EF190" s="25">
        <v>1</v>
      </c>
      <c r="EG190" s="25">
        <v>0</v>
      </c>
      <c r="EH190" s="25">
        <v>1</v>
      </c>
      <c r="EI190" s="25">
        <v>0</v>
      </c>
      <c r="EJ190" s="25" t="s">
        <v>62</v>
      </c>
      <c r="EK190" s="25" t="s">
        <v>187</v>
      </c>
      <c r="EL190" s="25" t="s">
        <v>187</v>
      </c>
      <c r="EM190" s="25" t="s">
        <v>276</v>
      </c>
      <c r="EN190" s="25" t="s">
        <v>23</v>
      </c>
      <c r="EO190" s="25" t="s">
        <v>23</v>
      </c>
      <c r="EP190" s="25" t="s">
        <v>62</v>
      </c>
      <c r="EQ190" s="25" t="s">
        <v>62</v>
      </c>
      <c r="ER190" s="25" t="s">
        <v>278</v>
      </c>
      <c r="ES190" s="25" t="s">
        <v>278</v>
      </c>
      <c r="ET190" s="25">
        <v>1</v>
      </c>
      <c r="EU190" s="25" t="s">
        <v>522</v>
      </c>
      <c r="EV190" s="25" t="s">
        <v>187</v>
      </c>
      <c r="EW190" s="25" t="s">
        <v>23</v>
      </c>
      <c r="EX190" s="25" t="s">
        <v>278</v>
      </c>
      <c r="EY190" s="20" t="e">
        <v>#N/A</v>
      </c>
    </row>
    <row r="191" spans="1:155">
      <c r="A191" s="21" t="s">
        <v>491</v>
      </c>
      <c r="B191" s="21" t="s">
        <v>491</v>
      </c>
      <c r="C191" s="21" t="s">
        <v>492</v>
      </c>
      <c r="D191" s="21" t="s">
        <v>493</v>
      </c>
      <c r="E191" s="21" t="s">
        <v>493</v>
      </c>
      <c r="F191" s="21" t="s">
        <v>493</v>
      </c>
      <c r="G191" s="21" t="s">
        <v>2751</v>
      </c>
      <c r="H191" s="21">
        <v>1123742366</v>
      </c>
      <c r="I191" s="21" t="s">
        <v>494</v>
      </c>
      <c r="J191" s="21" t="s">
        <v>2752</v>
      </c>
      <c r="L191" s="21" t="s">
        <v>495</v>
      </c>
      <c r="M191" s="21" t="s">
        <v>2753</v>
      </c>
      <c r="N191" s="21" t="s">
        <v>496</v>
      </c>
      <c r="O191" s="21" t="s">
        <v>69</v>
      </c>
      <c r="P191" s="21" t="s">
        <v>497</v>
      </c>
      <c r="R191" s="21" t="s">
        <v>498</v>
      </c>
      <c r="S191" s="21" t="s">
        <v>499</v>
      </c>
      <c r="V191" s="21" t="s">
        <v>500</v>
      </c>
      <c r="W191" s="21" t="s">
        <v>501</v>
      </c>
      <c r="X191" s="21" t="s">
        <v>502</v>
      </c>
      <c r="Y191" s="21" t="s">
        <v>503</v>
      </c>
      <c r="Z191" s="21">
        <v>3035552540</v>
      </c>
      <c r="AA191" s="26">
        <v>42741</v>
      </c>
      <c r="AB191" s="26">
        <v>42741</v>
      </c>
      <c r="AC191" s="21" t="s">
        <v>504</v>
      </c>
      <c r="AD191" s="21" t="s">
        <v>505</v>
      </c>
      <c r="AE191" s="21" t="s">
        <v>500</v>
      </c>
      <c r="AF191" s="21" t="s">
        <v>506</v>
      </c>
      <c r="AG191" s="21" t="s">
        <v>581</v>
      </c>
      <c r="AH191" s="21" t="s">
        <v>582</v>
      </c>
      <c r="AI191" s="21" t="s">
        <v>2754</v>
      </c>
      <c r="AJ191" s="21" t="s">
        <v>526</v>
      </c>
      <c r="AK191" s="21" t="s">
        <v>494</v>
      </c>
      <c r="AL191" s="21" t="s">
        <v>527</v>
      </c>
      <c r="AM191" s="21" t="s">
        <v>527</v>
      </c>
      <c r="AN191" s="21" t="s">
        <v>527</v>
      </c>
      <c r="AO191" s="21" t="s">
        <v>528</v>
      </c>
      <c r="AS191" s="21" t="s">
        <v>511</v>
      </c>
      <c r="AT191" s="21" t="s">
        <v>512</v>
      </c>
      <c r="AW191" s="21">
        <v>0</v>
      </c>
      <c r="AX191" s="21">
        <v>2</v>
      </c>
      <c r="AY191" s="26"/>
      <c r="AZ191" s="26"/>
      <c r="BB191" s="26"/>
      <c r="BC191" s="21" t="s">
        <v>513</v>
      </c>
      <c r="BD191" s="21" t="s">
        <v>514</v>
      </c>
      <c r="BE191" s="21" t="s">
        <v>514</v>
      </c>
      <c r="BF191" s="21" t="s">
        <v>515</v>
      </c>
      <c r="BG191" s="21">
        <v>1</v>
      </c>
      <c r="BH191" s="21" t="s">
        <v>516</v>
      </c>
      <c r="BI191" s="21" t="s">
        <v>517</v>
      </c>
      <c r="BJ191" s="21" t="s">
        <v>516</v>
      </c>
      <c r="BK191" s="21" t="s">
        <v>516</v>
      </c>
      <c r="BM191" s="21" t="s">
        <v>46</v>
      </c>
      <c r="BN191" s="21" t="s">
        <v>248</v>
      </c>
      <c r="BO191" s="21" t="s">
        <v>518</v>
      </c>
      <c r="BP191" s="21" t="s">
        <v>519</v>
      </c>
      <c r="BQ191" s="21" t="s">
        <v>46</v>
      </c>
      <c r="BR191" s="21" t="s">
        <v>248</v>
      </c>
      <c r="BS191" s="21" t="s">
        <v>518</v>
      </c>
      <c r="BT191" s="21" t="s">
        <v>519</v>
      </c>
      <c r="BU191" s="21" t="s">
        <v>248</v>
      </c>
      <c r="CD191" s="21" t="s">
        <v>520</v>
      </c>
      <c r="CF191" s="21" t="s">
        <v>521</v>
      </c>
      <c r="CN191" s="26"/>
      <c r="DB191" s="24" t="s">
        <v>943</v>
      </c>
      <c r="DC191" s="21">
        <v>1</v>
      </c>
      <c r="DD191" s="21">
        <v>2</v>
      </c>
      <c r="DE191" s="22">
        <v>42747</v>
      </c>
      <c r="DF191" s="21" t="s">
        <v>2755</v>
      </c>
      <c r="DG191" s="21" t="s">
        <v>522</v>
      </c>
      <c r="DH191" s="21" t="s">
        <v>2756</v>
      </c>
      <c r="DI191" s="21" t="s">
        <v>495</v>
      </c>
      <c r="DJ191" s="21" t="s">
        <v>523</v>
      </c>
      <c r="DK191" s="26"/>
      <c r="DL191" s="26">
        <v>42753</v>
      </c>
      <c r="DM191" s="26">
        <v>42743</v>
      </c>
      <c r="DN191" s="21">
        <v>3100</v>
      </c>
      <c r="DO191" s="21">
        <v>10</v>
      </c>
      <c r="DP191" s="21">
        <v>1</v>
      </c>
      <c r="DQ191" s="21">
        <v>1</v>
      </c>
      <c r="DR191" s="21">
        <v>6</v>
      </c>
      <c r="DS191" s="21">
        <v>10</v>
      </c>
      <c r="DT191" s="21">
        <v>10</v>
      </c>
      <c r="DU191" s="21">
        <v>10</v>
      </c>
      <c r="DW191" s="21">
        <v>9</v>
      </c>
      <c r="EA191" s="21">
        <v>10</v>
      </c>
      <c r="EF191" s="25">
        <v>1</v>
      </c>
      <c r="EG191" s="25">
        <v>0</v>
      </c>
      <c r="EH191" s="25">
        <v>1</v>
      </c>
      <c r="EI191" s="25">
        <v>0</v>
      </c>
      <c r="EJ191" s="25" t="s">
        <v>62</v>
      </c>
      <c r="EK191" s="25" t="s">
        <v>249</v>
      </c>
      <c r="EL191" s="25" t="s">
        <v>249</v>
      </c>
      <c r="EM191" s="25" t="s">
        <v>276</v>
      </c>
      <c r="EN191" s="25" t="s">
        <v>39</v>
      </c>
      <c r="EO191" s="25" t="s">
        <v>39</v>
      </c>
      <c r="EP191" s="25" t="s">
        <v>92</v>
      </c>
      <c r="EQ191" s="25" t="s">
        <v>92</v>
      </c>
      <c r="ER191" s="25" t="s">
        <v>278</v>
      </c>
      <c r="ES191" s="25" t="s">
        <v>278</v>
      </c>
      <c r="ET191" s="25">
        <v>1</v>
      </c>
      <c r="EU191" s="25" t="s">
        <v>522</v>
      </c>
      <c r="EV191" s="25" t="s">
        <v>249</v>
      </c>
      <c r="EW191" s="25" t="s">
        <v>39</v>
      </c>
      <c r="EX191" s="25" t="s">
        <v>278</v>
      </c>
      <c r="EY191" s="20" t="e">
        <v>#N/A</v>
      </c>
    </row>
    <row r="192" spans="1:155">
      <c r="A192" s="21" t="s">
        <v>491</v>
      </c>
      <c r="B192" s="21" t="s">
        <v>491</v>
      </c>
      <c r="C192" s="21" t="s">
        <v>492</v>
      </c>
      <c r="D192" s="21" t="s">
        <v>493</v>
      </c>
      <c r="E192" s="21" t="s">
        <v>493</v>
      </c>
      <c r="F192" s="21" t="s">
        <v>493</v>
      </c>
      <c r="G192" s="21" t="s">
        <v>2757</v>
      </c>
      <c r="H192" s="21" t="s">
        <v>2758</v>
      </c>
      <c r="I192" s="21" t="s">
        <v>494</v>
      </c>
      <c r="J192" s="21" t="s">
        <v>2759</v>
      </c>
      <c r="L192" s="21" t="s">
        <v>495</v>
      </c>
      <c r="M192" s="21" t="s">
        <v>2760</v>
      </c>
      <c r="N192" s="21" t="s">
        <v>1268</v>
      </c>
      <c r="O192" s="21" t="s">
        <v>69</v>
      </c>
      <c r="P192" s="21" t="s">
        <v>497</v>
      </c>
      <c r="R192" s="21" t="s">
        <v>1269</v>
      </c>
      <c r="S192" s="21" t="s">
        <v>1270</v>
      </c>
      <c r="V192" s="21" t="s">
        <v>500</v>
      </c>
      <c r="W192" s="21" t="s">
        <v>501</v>
      </c>
      <c r="X192" s="21" t="s">
        <v>502</v>
      </c>
      <c r="Y192" s="21" t="s">
        <v>503</v>
      </c>
      <c r="Z192" s="21">
        <v>3035542145</v>
      </c>
      <c r="AA192" s="26">
        <v>42741</v>
      </c>
      <c r="AB192" s="26">
        <v>42741</v>
      </c>
      <c r="AC192" s="21" t="s">
        <v>504</v>
      </c>
      <c r="AD192" s="21" t="s">
        <v>505</v>
      </c>
      <c r="AE192" s="21" t="s">
        <v>500</v>
      </c>
      <c r="AF192" s="21" t="s">
        <v>549</v>
      </c>
      <c r="AG192" s="21" t="s">
        <v>555</v>
      </c>
      <c r="AH192" s="21" t="s">
        <v>556</v>
      </c>
      <c r="AI192" s="21" t="s">
        <v>2110</v>
      </c>
      <c r="AJ192" s="21" t="s">
        <v>526</v>
      </c>
      <c r="AK192" s="21" t="s">
        <v>494</v>
      </c>
      <c r="AL192" s="21" t="s">
        <v>527</v>
      </c>
      <c r="AM192" s="21" t="s">
        <v>527</v>
      </c>
      <c r="AN192" s="21" t="s">
        <v>527</v>
      </c>
      <c r="AO192" s="21" t="s">
        <v>528</v>
      </c>
      <c r="AS192" s="21" t="s">
        <v>511</v>
      </c>
      <c r="AT192" s="21" t="s">
        <v>512</v>
      </c>
      <c r="AW192" s="21">
        <v>0</v>
      </c>
      <c r="AX192" s="21">
        <v>2</v>
      </c>
      <c r="AY192" s="26"/>
      <c r="AZ192" s="26"/>
      <c r="BB192" s="26"/>
      <c r="BC192" s="21" t="s">
        <v>513</v>
      </c>
      <c r="BD192" s="21" t="s">
        <v>514</v>
      </c>
      <c r="BE192" s="21" t="s">
        <v>514</v>
      </c>
      <c r="BF192" s="21" t="s">
        <v>515</v>
      </c>
      <c r="BG192" s="21">
        <v>1</v>
      </c>
      <c r="BH192" s="21" t="s">
        <v>516</v>
      </c>
      <c r="BI192" s="21" t="s">
        <v>517</v>
      </c>
      <c r="BJ192" s="21" t="s">
        <v>516</v>
      </c>
      <c r="BK192" s="21" t="s">
        <v>516</v>
      </c>
      <c r="BM192" s="21" t="s">
        <v>8</v>
      </c>
      <c r="BN192" s="21" t="s">
        <v>80</v>
      </c>
      <c r="BO192" s="21" t="s">
        <v>518</v>
      </c>
      <c r="BP192" s="21" t="s">
        <v>519</v>
      </c>
      <c r="BQ192" s="21" t="s">
        <v>8</v>
      </c>
      <c r="BR192" s="21" t="s">
        <v>80</v>
      </c>
      <c r="BS192" s="21" t="s">
        <v>518</v>
      </c>
      <c r="BT192" s="21" t="s">
        <v>519</v>
      </c>
      <c r="BU192" s="21" t="s">
        <v>80</v>
      </c>
      <c r="CD192" s="21" t="s">
        <v>520</v>
      </c>
      <c r="CF192" s="21" t="s">
        <v>521</v>
      </c>
      <c r="CN192" s="26"/>
      <c r="DB192" s="24" t="s">
        <v>943</v>
      </c>
      <c r="DC192" s="21">
        <v>1</v>
      </c>
      <c r="DD192" s="21">
        <v>2</v>
      </c>
      <c r="DE192" s="22">
        <v>42747</v>
      </c>
      <c r="DF192" s="21" t="s">
        <v>2761</v>
      </c>
      <c r="DG192" s="21" t="s">
        <v>522</v>
      </c>
      <c r="DH192" s="21" t="s">
        <v>2762</v>
      </c>
      <c r="DI192" s="21" t="s">
        <v>495</v>
      </c>
      <c r="DJ192" s="21" t="s">
        <v>523</v>
      </c>
      <c r="DK192" s="26"/>
      <c r="DL192" s="26">
        <v>42753</v>
      </c>
      <c r="DM192" s="26">
        <v>42743</v>
      </c>
      <c r="DN192" s="21">
        <v>3100</v>
      </c>
      <c r="DO192" s="21">
        <v>10</v>
      </c>
      <c r="DP192" s="21">
        <v>1</v>
      </c>
      <c r="DQ192" s="21">
        <v>1</v>
      </c>
      <c r="DR192" s="21">
        <v>7</v>
      </c>
      <c r="DS192" s="21">
        <v>10</v>
      </c>
      <c r="DT192" s="21">
        <v>10</v>
      </c>
      <c r="DU192" s="21">
        <v>10</v>
      </c>
      <c r="DW192" s="21">
        <v>10</v>
      </c>
      <c r="EA192" s="21">
        <v>10</v>
      </c>
      <c r="EB192" s="21" t="s">
        <v>2763</v>
      </c>
      <c r="EC192" s="21" t="s">
        <v>3252</v>
      </c>
      <c r="EF192" s="25">
        <v>1</v>
      </c>
      <c r="EG192" s="25">
        <v>0</v>
      </c>
      <c r="EH192" s="25">
        <v>1</v>
      </c>
      <c r="EI192" s="25">
        <v>0</v>
      </c>
      <c r="EJ192" s="25" t="s">
        <v>62</v>
      </c>
      <c r="EK192" s="25" t="s">
        <v>81</v>
      </c>
      <c r="EL192" s="25" t="s">
        <v>81</v>
      </c>
      <c r="EM192" s="25" t="s">
        <v>276</v>
      </c>
      <c r="EN192" s="25" t="s">
        <v>271</v>
      </c>
      <c r="EO192" s="25" t="s">
        <v>271</v>
      </c>
      <c r="EP192" s="25" t="s">
        <v>548</v>
      </c>
      <c r="EQ192" s="25" t="s">
        <v>548</v>
      </c>
      <c r="ER192" s="25" t="s">
        <v>278</v>
      </c>
      <c r="ES192" s="25" t="s">
        <v>278</v>
      </c>
      <c r="ET192" s="25">
        <v>1</v>
      </c>
      <c r="EU192" s="25" t="s">
        <v>522</v>
      </c>
      <c r="EV192" s="25" t="s">
        <v>81</v>
      </c>
      <c r="EW192" s="25" t="s">
        <v>271</v>
      </c>
      <c r="EX192" s="25" t="s">
        <v>278</v>
      </c>
      <c r="EY192" s="20" t="e">
        <v>#N/A</v>
      </c>
    </row>
    <row r="193" spans="1:155">
      <c r="A193" s="21" t="s">
        <v>491</v>
      </c>
      <c r="B193" s="21" t="s">
        <v>491</v>
      </c>
      <c r="C193" s="21" t="s">
        <v>492</v>
      </c>
      <c r="D193" s="21" t="s">
        <v>493</v>
      </c>
      <c r="E193" s="21" t="s">
        <v>493</v>
      </c>
      <c r="F193" s="21" t="s">
        <v>493</v>
      </c>
      <c r="G193" s="21" t="s">
        <v>2764</v>
      </c>
      <c r="H193" s="21" t="s">
        <v>2765</v>
      </c>
      <c r="I193" s="21" t="s">
        <v>494</v>
      </c>
      <c r="J193" s="21" t="s">
        <v>2766</v>
      </c>
      <c r="L193" s="21" t="s">
        <v>495</v>
      </c>
      <c r="M193" s="21" t="s">
        <v>2767</v>
      </c>
      <c r="N193" s="21" t="s">
        <v>2297</v>
      </c>
      <c r="O193" s="21" t="s">
        <v>100</v>
      </c>
      <c r="P193" s="21" t="s">
        <v>1187</v>
      </c>
      <c r="R193" s="21" t="s">
        <v>2298</v>
      </c>
      <c r="S193" s="21" t="s">
        <v>2197</v>
      </c>
      <c r="V193" s="21" t="s">
        <v>277</v>
      </c>
      <c r="W193" s="21" t="s">
        <v>524</v>
      </c>
      <c r="X193" s="21" t="s">
        <v>525</v>
      </c>
      <c r="Y193" s="21" t="s">
        <v>1190</v>
      </c>
      <c r="Z193" s="21">
        <v>3035542005</v>
      </c>
      <c r="AA193" s="26">
        <v>42741</v>
      </c>
      <c r="AB193" s="26">
        <v>42741</v>
      </c>
      <c r="AC193" s="21" t="s">
        <v>504</v>
      </c>
      <c r="AD193" s="21" t="s">
        <v>505</v>
      </c>
      <c r="AE193" s="21" t="s">
        <v>1054</v>
      </c>
      <c r="AF193" s="21" t="s">
        <v>1105</v>
      </c>
      <c r="AG193" s="21" t="s">
        <v>1415</v>
      </c>
      <c r="AH193" s="21" t="s">
        <v>1416</v>
      </c>
      <c r="AI193" s="21" t="s">
        <v>2248</v>
      </c>
      <c r="AJ193" s="21" t="s">
        <v>526</v>
      </c>
      <c r="AK193" s="21" t="s">
        <v>494</v>
      </c>
      <c r="AL193" s="21" t="s">
        <v>527</v>
      </c>
      <c r="AM193" s="21" t="s">
        <v>527</v>
      </c>
      <c r="AN193" s="21" t="s">
        <v>527</v>
      </c>
      <c r="AO193" s="21" t="s">
        <v>528</v>
      </c>
      <c r="AS193" s="21" t="s">
        <v>511</v>
      </c>
      <c r="AT193" s="21" t="s">
        <v>512</v>
      </c>
      <c r="AW193" s="21">
        <v>0</v>
      </c>
      <c r="AX193" s="21">
        <v>2</v>
      </c>
      <c r="AY193" s="26"/>
      <c r="AZ193" s="26"/>
      <c r="BB193" s="26"/>
      <c r="BC193" s="21" t="s">
        <v>513</v>
      </c>
      <c r="BD193" s="21" t="s">
        <v>514</v>
      </c>
      <c r="BE193" s="21" t="s">
        <v>514</v>
      </c>
      <c r="BF193" s="21" t="s">
        <v>515</v>
      </c>
      <c r="BG193" s="21">
        <v>1</v>
      </c>
      <c r="BH193" s="21" t="s">
        <v>516</v>
      </c>
      <c r="BI193" s="21" t="s">
        <v>517</v>
      </c>
      <c r="BJ193" s="21" t="s">
        <v>516</v>
      </c>
      <c r="BK193" s="21" t="s">
        <v>516</v>
      </c>
      <c r="BM193" s="21" t="s">
        <v>1110</v>
      </c>
      <c r="BN193" s="21" t="s">
        <v>200</v>
      </c>
      <c r="BO193" s="21" t="s">
        <v>518</v>
      </c>
      <c r="BP193" s="21" t="s">
        <v>1044</v>
      </c>
      <c r="BQ193" s="21" t="s">
        <v>1110</v>
      </c>
      <c r="BR193" s="21" t="s">
        <v>200</v>
      </c>
      <c r="BS193" s="21" t="s">
        <v>518</v>
      </c>
      <c r="BT193" s="21" t="s">
        <v>1044</v>
      </c>
      <c r="BU193" s="21" t="s">
        <v>200</v>
      </c>
      <c r="CD193" s="21" t="s">
        <v>520</v>
      </c>
      <c r="CF193" s="21" t="s">
        <v>521</v>
      </c>
      <c r="CN193" s="26"/>
      <c r="DB193" s="24" t="s">
        <v>943</v>
      </c>
      <c r="DC193" s="21">
        <v>1</v>
      </c>
      <c r="DD193" s="21">
        <v>2</v>
      </c>
      <c r="DE193" s="22">
        <v>42747</v>
      </c>
      <c r="DF193" s="21" t="s">
        <v>2768</v>
      </c>
      <c r="DG193" s="21" t="s">
        <v>522</v>
      </c>
      <c r="DH193" s="21" t="s">
        <v>2769</v>
      </c>
      <c r="DI193" s="21" t="s">
        <v>495</v>
      </c>
      <c r="DJ193" s="21" t="s">
        <v>523</v>
      </c>
      <c r="DK193" s="26"/>
      <c r="DL193" s="26">
        <v>42753</v>
      </c>
      <c r="DM193" s="26">
        <v>42743</v>
      </c>
      <c r="DN193" s="21">
        <v>1100</v>
      </c>
      <c r="DO193" s="21">
        <v>9</v>
      </c>
      <c r="DP193" s="21">
        <v>1</v>
      </c>
      <c r="DQ193" s="21">
        <v>1</v>
      </c>
      <c r="DR193" s="21">
        <v>7</v>
      </c>
      <c r="DS193" s="21">
        <v>9</v>
      </c>
      <c r="DT193" s="21">
        <v>9</v>
      </c>
      <c r="DU193" s="21">
        <v>9</v>
      </c>
      <c r="DW193" s="21">
        <v>9</v>
      </c>
      <c r="EA193" s="21">
        <v>9</v>
      </c>
      <c r="EF193" s="25">
        <v>1</v>
      </c>
      <c r="EG193" s="25">
        <v>0</v>
      </c>
      <c r="EH193" s="25">
        <v>1</v>
      </c>
      <c r="EI193" s="25">
        <v>0</v>
      </c>
      <c r="EJ193" s="25" t="s">
        <v>92</v>
      </c>
      <c r="EK193" s="25" t="s">
        <v>201</v>
      </c>
      <c r="EL193" s="25" t="s">
        <v>201</v>
      </c>
      <c r="EM193" s="25" t="s">
        <v>276</v>
      </c>
      <c r="EN193" s="25" t="s">
        <v>31</v>
      </c>
      <c r="EO193" s="25" t="s">
        <v>31</v>
      </c>
      <c r="EP193" s="25" t="s">
        <v>92</v>
      </c>
      <c r="EQ193" s="25" t="s">
        <v>92</v>
      </c>
      <c r="ER193" s="25" t="s">
        <v>278</v>
      </c>
      <c r="ES193" s="25" t="s">
        <v>278</v>
      </c>
      <c r="ET193" s="25">
        <v>1</v>
      </c>
      <c r="EU193" s="25" t="s">
        <v>522</v>
      </c>
      <c r="EV193" s="25" t="s">
        <v>201</v>
      </c>
      <c r="EW193" s="25" t="s">
        <v>31</v>
      </c>
      <c r="EX193" s="25" t="s">
        <v>278</v>
      </c>
      <c r="EY193" s="20" t="e">
        <v>#N/A</v>
      </c>
    </row>
    <row r="194" spans="1:155">
      <c r="A194" s="21" t="s">
        <v>491</v>
      </c>
      <c r="B194" s="21" t="s">
        <v>491</v>
      </c>
      <c r="C194" s="21" t="s">
        <v>492</v>
      </c>
      <c r="D194" s="21" t="s">
        <v>493</v>
      </c>
      <c r="E194" s="21" t="s">
        <v>493</v>
      </c>
      <c r="F194" s="21" t="s">
        <v>493</v>
      </c>
      <c r="G194" s="21" t="s">
        <v>2770</v>
      </c>
      <c r="H194" s="21">
        <v>1124029158</v>
      </c>
      <c r="I194" s="21" t="s">
        <v>494</v>
      </c>
      <c r="J194" s="21" t="s">
        <v>2771</v>
      </c>
      <c r="L194" s="21" t="s">
        <v>495</v>
      </c>
      <c r="M194" s="21" t="s">
        <v>2772</v>
      </c>
      <c r="N194" s="21" t="s">
        <v>1268</v>
      </c>
      <c r="O194" s="21" t="s">
        <v>69</v>
      </c>
      <c r="P194" s="21" t="s">
        <v>497</v>
      </c>
      <c r="R194" s="21" t="s">
        <v>2773</v>
      </c>
      <c r="S194" s="21" t="s">
        <v>1270</v>
      </c>
      <c r="V194" s="21" t="s">
        <v>500</v>
      </c>
      <c r="W194" s="21" t="s">
        <v>501</v>
      </c>
      <c r="X194" s="21" t="s">
        <v>502</v>
      </c>
      <c r="Y194" s="21" t="s">
        <v>503</v>
      </c>
      <c r="Z194" s="21">
        <v>3035539881</v>
      </c>
      <c r="AA194" s="26">
        <v>42741</v>
      </c>
      <c r="AB194" s="26">
        <v>42741</v>
      </c>
      <c r="AC194" s="21" t="s">
        <v>504</v>
      </c>
      <c r="AD194" s="21" t="s">
        <v>505</v>
      </c>
      <c r="AE194" s="21" t="s">
        <v>500</v>
      </c>
      <c r="AF194" s="21" t="s">
        <v>506</v>
      </c>
      <c r="AG194" s="21" t="s">
        <v>1685</v>
      </c>
      <c r="AH194" s="21" t="s">
        <v>1686</v>
      </c>
      <c r="AI194" s="21" t="s">
        <v>2774</v>
      </c>
      <c r="AJ194" s="21" t="s">
        <v>526</v>
      </c>
      <c r="AK194" s="21" t="s">
        <v>494</v>
      </c>
      <c r="AL194" s="21" t="s">
        <v>527</v>
      </c>
      <c r="AM194" s="21" t="s">
        <v>527</v>
      </c>
      <c r="AN194" s="21" t="s">
        <v>527</v>
      </c>
      <c r="AO194" s="21" t="s">
        <v>528</v>
      </c>
      <c r="AS194" s="21" t="s">
        <v>511</v>
      </c>
      <c r="AT194" s="21" t="s">
        <v>512</v>
      </c>
      <c r="AW194" s="21">
        <v>0</v>
      </c>
      <c r="AX194" s="21">
        <v>4</v>
      </c>
      <c r="AY194" s="26"/>
      <c r="AZ194" s="26"/>
      <c r="BB194" s="26"/>
      <c r="BC194" s="21" t="s">
        <v>513</v>
      </c>
      <c r="BD194" s="21" t="s">
        <v>514</v>
      </c>
      <c r="BE194" s="21" t="s">
        <v>514</v>
      </c>
      <c r="BF194" s="21" t="s">
        <v>515</v>
      </c>
      <c r="BG194" s="21">
        <v>1</v>
      </c>
      <c r="BH194" s="21" t="s">
        <v>516</v>
      </c>
      <c r="BI194" s="21" t="s">
        <v>517</v>
      </c>
      <c r="BJ194" s="21" t="s">
        <v>516</v>
      </c>
      <c r="BK194" s="21" t="s">
        <v>516</v>
      </c>
      <c r="BM194" s="21" t="s">
        <v>13</v>
      </c>
      <c r="BN194" s="21" t="s">
        <v>56</v>
      </c>
      <c r="BO194" s="21" t="s">
        <v>518</v>
      </c>
      <c r="BP194" s="21" t="s">
        <v>519</v>
      </c>
      <c r="BQ194" s="21" t="s">
        <v>13</v>
      </c>
      <c r="BR194" s="21" t="s">
        <v>56</v>
      </c>
      <c r="BS194" s="21" t="s">
        <v>518</v>
      </c>
      <c r="BT194" s="21" t="s">
        <v>519</v>
      </c>
      <c r="BU194" s="21" t="s">
        <v>56</v>
      </c>
      <c r="CD194" s="21" t="s">
        <v>520</v>
      </c>
      <c r="CF194" s="21" t="s">
        <v>521</v>
      </c>
      <c r="CN194" s="26"/>
      <c r="DB194" s="24" t="s">
        <v>943</v>
      </c>
      <c r="DC194" s="21">
        <v>1</v>
      </c>
      <c r="DD194" s="21">
        <v>2</v>
      </c>
      <c r="DE194" s="22">
        <v>42747</v>
      </c>
      <c r="DF194" s="21" t="s">
        <v>2775</v>
      </c>
      <c r="DG194" s="21" t="s">
        <v>522</v>
      </c>
      <c r="DH194" s="21" t="s">
        <v>2776</v>
      </c>
      <c r="DI194" s="21" t="s">
        <v>495</v>
      </c>
      <c r="DJ194" s="21" t="s">
        <v>523</v>
      </c>
      <c r="DK194" s="26"/>
      <c r="DL194" s="26">
        <v>42753</v>
      </c>
      <c r="DM194" s="26">
        <v>42743</v>
      </c>
      <c r="DN194" s="21">
        <v>3100</v>
      </c>
      <c r="DO194" s="21">
        <v>10</v>
      </c>
      <c r="DP194" s="21">
        <v>1</v>
      </c>
      <c r="DQ194" s="21">
        <v>1</v>
      </c>
      <c r="DR194" s="21">
        <v>7</v>
      </c>
      <c r="DS194" s="21">
        <v>10</v>
      </c>
      <c r="DT194" s="21">
        <v>10</v>
      </c>
      <c r="DU194" s="21">
        <v>10</v>
      </c>
      <c r="DW194" s="21">
        <v>10</v>
      </c>
      <c r="EA194" s="21">
        <v>10</v>
      </c>
      <c r="EF194" s="25">
        <v>1</v>
      </c>
      <c r="EG194" s="25">
        <v>0</v>
      </c>
      <c r="EH194" s="25">
        <v>1</v>
      </c>
      <c r="EI194" s="25">
        <v>0</v>
      </c>
      <c r="EJ194" s="25" t="s">
        <v>62</v>
      </c>
      <c r="EK194" s="25" t="s">
        <v>57</v>
      </c>
      <c r="EL194" s="25" t="s">
        <v>57</v>
      </c>
      <c r="EM194" s="25" t="s">
        <v>276</v>
      </c>
      <c r="EN194" s="25" t="s">
        <v>9</v>
      </c>
      <c r="EO194" s="25" t="s">
        <v>9</v>
      </c>
      <c r="EP194" s="25" t="s">
        <v>62</v>
      </c>
      <c r="EQ194" s="25" t="s">
        <v>62</v>
      </c>
      <c r="ER194" s="25" t="s">
        <v>278</v>
      </c>
      <c r="ES194" s="25" t="s">
        <v>278</v>
      </c>
      <c r="ET194" s="25">
        <v>1</v>
      </c>
      <c r="EU194" s="25" t="s">
        <v>522</v>
      </c>
      <c r="EV194" s="25" t="s">
        <v>57</v>
      </c>
      <c r="EW194" s="25" t="s">
        <v>9</v>
      </c>
      <c r="EX194" s="25" t="s">
        <v>278</v>
      </c>
      <c r="EY194" s="20" t="e">
        <v>#N/A</v>
      </c>
    </row>
    <row r="195" spans="1:155">
      <c r="A195" s="21" t="s">
        <v>491</v>
      </c>
      <c r="B195" s="21" t="s">
        <v>491</v>
      </c>
      <c r="C195" s="21" t="s">
        <v>492</v>
      </c>
      <c r="D195" s="21" t="s">
        <v>493</v>
      </c>
      <c r="E195" s="21" t="s">
        <v>493</v>
      </c>
      <c r="F195" s="21" t="s">
        <v>493</v>
      </c>
      <c r="G195" s="21" t="s">
        <v>2777</v>
      </c>
      <c r="H195" s="21" t="s">
        <v>2778</v>
      </c>
      <c r="I195" s="21" t="s">
        <v>494</v>
      </c>
      <c r="J195" s="21" t="s">
        <v>2779</v>
      </c>
      <c r="L195" s="21" t="s">
        <v>495</v>
      </c>
      <c r="M195" s="21" t="s">
        <v>2780</v>
      </c>
      <c r="N195" s="21" t="s">
        <v>496</v>
      </c>
      <c r="O195" s="21" t="s">
        <v>69</v>
      </c>
      <c r="P195" s="21" t="s">
        <v>497</v>
      </c>
      <c r="R195" s="21" t="s">
        <v>498</v>
      </c>
      <c r="S195" s="21" t="s">
        <v>499</v>
      </c>
      <c r="V195" s="21" t="s">
        <v>500</v>
      </c>
      <c r="W195" s="21" t="s">
        <v>501</v>
      </c>
      <c r="X195" s="21" t="s">
        <v>502</v>
      </c>
      <c r="Y195" s="21" t="s">
        <v>503</v>
      </c>
      <c r="Z195" s="21">
        <v>3035518233</v>
      </c>
      <c r="AA195" s="26">
        <v>42740</v>
      </c>
      <c r="AB195" s="26">
        <v>42741</v>
      </c>
      <c r="AC195" s="21" t="s">
        <v>504</v>
      </c>
      <c r="AD195" s="21" t="s">
        <v>505</v>
      </c>
      <c r="AE195" s="21" t="s">
        <v>500</v>
      </c>
      <c r="AF195" s="21" t="s">
        <v>506</v>
      </c>
      <c r="AG195" s="21" t="s">
        <v>1179</v>
      </c>
      <c r="AH195" s="21" t="s">
        <v>1180</v>
      </c>
      <c r="AI195" s="21" t="s">
        <v>1117</v>
      </c>
      <c r="AJ195" s="21" t="s">
        <v>526</v>
      </c>
      <c r="AK195" s="21" t="s">
        <v>494</v>
      </c>
      <c r="AL195" s="21" t="s">
        <v>527</v>
      </c>
      <c r="AM195" s="21" t="s">
        <v>527</v>
      </c>
      <c r="AN195" s="21" t="s">
        <v>527</v>
      </c>
      <c r="AO195" s="21" t="s">
        <v>528</v>
      </c>
      <c r="AS195" s="21" t="s">
        <v>511</v>
      </c>
      <c r="AT195" s="21" t="s">
        <v>512</v>
      </c>
      <c r="AW195" s="21">
        <v>0</v>
      </c>
      <c r="AX195" s="21">
        <v>4</v>
      </c>
      <c r="AY195" s="26"/>
      <c r="AZ195" s="26"/>
      <c r="BB195" s="26"/>
      <c r="BC195" s="21" t="s">
        <v>513</v>
      </c>
      <c r="BD195" s="21" t="s">
        <v>514</v>
      </c>
      <c r="BE195" s="21" t="s">
        <v>514</v>
      </c>
      <c r="BF195" s="21" t="s">
        <v>515</v>
      </c>
      <c r="BG195" s="21">
        <v>1</v>
      </c>
      <c r="BH195" s="21" t="s">
        <v>516</v>
      </c>
      <c r="BI195" s="21" t="s">
        <v>517</v>
      </c>
      <c r="BJ195" s="21" t="s">
        <v>516</v>
      </c>
      <c r="BK195" s="21" t="s">
        <v>516</v>
      </c>
      <c r="BM195" s="21" t="s">
        <v>55</v>
      </c>
      <c r="BN195" s="21" t="s">
        <v>137</v>
      </c>
      <c r="BO195" s="21" t="s">
        <v>518</v>
      </c>
      <c r="BP195" s="21" t="s">
        <v>519</v>
      </c>
      <c r="BQ195" s="21" t="s">
        <v>47</v>
      </c>
      <c r="BR195" s="21" t="s">
        <v>139</v>
      </c>
      <c r="BS195" s="21" t="s">
        <v>518</v>
      </c>
      <c r="BT195" s="21" t="s">
        <v>1044</v>
      </c>
      <c r="BU195" s="21" t="s">
        <v>137</v>
      </c>
      <c r="CD195" s="21" t="s">
        <v>520</v>
      </c>
      <c r="CF195" s="21" t="s">
        <v>521</v>
      </c>
      <c r="CN195" s="26"/>
      <c r="DB195" s="24" t="s">
        <v>943</v>
      </c>
      <c r="DC195" s="21">
        <v>1</v>
      </c>
      <c r="DD195" s="21">
        <v>2</v>
      </c>
      <c r="DE195" s="22">
        <v>42747</v>
      </c>
      <c r="DF195" s="21" t="s">
        <v>2781</v>
      </c>
      <c r="DG195" s="21" t="s">
        <v>522</v>
      </c>
      <c r="DH195" s="21" t="s">
        <v>2782</v>
      </c>
      <c r="DI195" s="21" t="s">
        <v>495</v>
      </c>
      <c r="DJ195" s="21" t="s">
        <v>523</v>
      </c>
      <c r="DK195" s="26"/>
      <c r="DL195" s="26">
        <v>42753</v>
      </c>
      <c r="DM195" s="26">
        <v>42743</v>
      </c>
      <c r="DN195" s="21">
        <v>3100</v>
      </c>
      <c r="DO195" s="21">
        <v>8</v>
      </c>
      <c r="DP195" s="21">
        <v>2</v>
      </c>
      <c r="DQ195" s="21">
        <v>2</v>
      </c>
      <c r="DR195" s="21">
        <v>6</v>
      </c>
      <c r="DS195" s="21">
        <v>7</v>
      </c>
      <c r="DT195" s="21">
        <v>7</v>
      </c>
      <c r="DU195" s="21">
        <v>7</v>
      </c>
      <c r="DW195" s="21">
        <v>5</v>
      </c>
      <c r="EA195" s="21">
        <v>8</v>
      </c>
      <c r="EF195" s="25">
        <v>0</v>
      </c>
      <c r="EG195" s="25">
        <v>0</v>
      </c>
      <c r="EH195" s="25">
        <v>0</v>
      </c>
      <c r="EI195" s="25">
        <v>0</v>
      </c>
      <c r="EJ195" s="25" t="s">
        <v>62</v>
      </c>
      <c r="EK195" s="25" t="s">
        <v>138</v>
      </c>
      <c r="EL195" s="25" t="s">
        <v>140</v>
      </c>
      <c r="EM195" s="25" t="s">
        <v>276</v>
      </c>
      <c r="EN195" s="25" t="s">
        <v>23</v>
      </c>
      <c r="EO195" s="25" t="s">
        <v>23</v>
      </c>
      <c r="EP195" s="25" t="s">
        <v>62</v>
      </c>
      <c r="EQ195" s="25" t="s">
        <v>529</v>
      </c>
      <c r="ER195" s="25" t="s">
        <v>278</v>
      </c>
      <c r="ES195" s="25" t="s">
        <v>278</v>
      </c>
      <c r="ET195" s="25">
        <v>1</v>
      </c>
      <c r="EU195" s="25" t="s">
        <v>522</v>
      </c>
      <c r="EV195" s="25" t="s">
        <v>279</v>
      </c>
      <c r="EW195" s="25" t="s">
        <v>279</v>
      </c>
      <c r="EX195" s="25" t="s">
        <v>279</v>
      </c>
      <c r="EY195" s="20" t="e">
        <v>#N/A</v>
      </c>
    </row>
    <row r="196" spans="1:155">
      <c r="A196" s="21" t="s">
        <v>491</v>
      </c>
      <c r="B196" s="21" t="s">
        <v>491</v>
      </c>
      <c r="C196" s="21" t="s">
        <v>492</v>
      </c>
      <c r="D196" s="21" t="s">
        <v>493</v>
      </c>
      <c r="E196" s="21" t="s">
        <v>493</v>
      </c>
      <c r="F196" s="21" t="s">
        <v>493</v>
      </c>
      <c r="G196" s="21" t="s">
        <v>2783</v>
      </c>
      <c r="H196" s="21" t="s">
        <v>2784</v>
      </c>
      <c r="I196" s="21" t="s">
        <v>494</v>
      </c>
      <c r="J196" s="21" t="s">
        <v>2785</v>
      </c>
      <c r="L196" s="21" t="s">
        <v>495</v>
      </c>
      <c r="M196" s="21" t="s">
        <v>2786</v>
      </c>
      <c r="N196" s="21" t="s">
        <v>2076</v>
      </c>
      <c r="O196" s="21" t="s">
        <v>93</v>
      </c>
      <c r="P196" s="21" t="s">
        <v>539</v>
      </c>
      <c r="R196" s="21" t="s">
        <v>2077</v>
      </c>
      <c r="S196" s="21" t="s">
        <v>1440</v>
      </c>
      <c r="V196" s="21" t="s">
        <v>277</v>
      </c>
      <c r="W196" s="21" t="s">
        <v>524</v>
      </c>
      <c r="X196" s="21" t="s">
        <v>525</v>
      </c>
      <c r="Y196" s="21" t="s">
        <v>530</v>
      </c>
      <c r="Z196" s="21">
        <v>3035411214</v>
      </c>
      <c r="AA196" s="26">
        <v>42737</v>
      </c>
      <c r="AB196" s="26">
        <v>42742</v>
      </c>
      <c r="AC196" s="21" t="s">
        <v>504</v>
      </c>
      <c r="AD196" s="21" t="s">
        <v>505</v>
      </c>
      <c r="AE196" s="21" t="s">
        <v>1156</v>
      </c>
      <c r="AF196" s="21" t="s">
        <v>1157</v>
      </c>
      <c r="AG196" s="21" t="s">
        <v>1158</v>
      </c>
      <c r="AH196" s="21" t="s">
        <v>1159</v>
      </c>
      <c r="AI196" s="21" t="s">
        <v>2787</v>
      </c>
      <c r="AJ196" s="21" t="s">
        <v>526</v>
      </c>
      <c r="AK196" s="21" t="s">
        <v>494</v>
      </c>
      <c r="AL196" s="21" t="s">
        <v>527</v>
      </c>
      <c r="AM196" s="21" t="s">
        <v>527</v>
      </c>
      <c r="AN196" s="21" t="s">
        <v>527</v>
      </c>
      <c r="AO196" s="21" t="s">
        <v>528</v>
      </c>
      <c r="AS196" s="21" t="s">
        <v>511</v>
      </c>
      <c r="AT196" s="21" t="s">
        <v>512</v>
      </c>
      <c r="AW196" s="21">
        <v>0</v>
      </c>
      <c r="AX196" s="21">
        <v>11</v>
      </c>
      <c r="AY196" s="26"/>
      <c r="AZ196" s="26"/>
      <c r="BB196" s="26"/>
      <c r="BC196" s="21" t="s">
        <v>513</v>
      </c>
      <c r="BD196" s="21" t="s">
        <v>514</v>
      </c>
      <c r="BE196" s="21" t="s">
        <v>514</v>
      </c>
      <c r="BF196" s="21" t="s">
        <v>515</v>
      </c>
      <c r="BG196" s="21">
        <v>1</v>
      </c>
      <c r="BH196" s="21" t="s">
        <v>516</v>
      </c>
      <c r="BI196" s="21" t="s">
        <v>517</v>
      </c>
      <c r="BJ196" s="21" t="s">
        <v>516</v>
      </c>
      <c r="BK196" s="21" t="s">
        <v>516</v>
      </c>
      <c r="BM196" s="21" t="s">
        <v>1288</v>
      </c>
      <c r="BN196" s="21" t="s">
        <v>234</v>
      </c>
      <c r="BO196" s="21" t="s">
        <v>518</v>
      </c>
      <c r="BP196" s="21" t="s">
        <v>1044</v>
      </c>
      <c r="BQ196" s="21" t="s">
        <v>44</v>
      </c>
      <c r="BR196" s="21" t="s">
        <v>244</v>
      </c>
      <c r="BS196" s="21" t="s">
        <v>518</v>
      </c>
      <c r="BT196" s="21" t="s">
        <v>1044</v>
      </c>
      <c r="BU196" s="21" t="s">
        <v>234</v>
      </c>
      <c r="CD196" s="21" t="s">
        <v>520</v>
      </c>
      <c r="CF196" s="21" t="s">
        <v>521</v>
      </c>
      <c r="CN196" s="26"/>
      <c r="DB196" s="24" t="s">
        <v>943</v>
      </c>
      <c r="DC196" s="21">
        <v>1</v>
      </c>
      <c r="DD196" s="21">
        <v>2</v>
      </c>
      <c r="DE196" s="22">
        <v>42747</v>
      </c>
      <c r="DF196" s="21" t="s">
        <v>1521</v>
      </c>
      <c r="DG196" s="21" t="s">
        <v>522</v>
      </c>
      <c r="DH196" s="21" t="s">
        <v>2788</v>
      </c>
      <c r="DI196" s="21" t="s">
        <v>495</v>
      </c>
      <c r="DJ196" s="21" t="s">
        <v>520</v>
      </c>
      <c r="DK196" s="26"/>
      <c r="DL196" s="26">
        <v>42754</v>
      </c>
      <c r="DM196" s="26">
        <v>42744</v>
      </c>
      <c r="DN196" s="21">
        <v>1100</v>
      </c>
      <c r="DO196" s="21">
        <v>10</v>
      </c>
      <c r="DP196" s="21">
        <v>1</v>
      </c>
      <c r="DQ196" s="21">
        <v>2</v>
      </c>
      <c r="DR196" s="21">
        <v>7</v>
      </c>
      <c r="DS196" s="21">
        <v>10</v>
      </c>
      <c r="DT196" s="21">
        <v>9</v>
      </c>
      <c r="DU196" s="21">
        <v>9</v>
      </c>
      <c r="DW196" s="21">
        <v>9</v>
      </c>
      <c r="EA196" s="21">
        <v>10</v>
      </c>
      <c r="EF196" s="25">
        <v>1</v>
      </c>
      <c r="EG196" s="25">
        <v>0</v>
      </c>
      <c r="EH196" s="25">
        <v>1</v>
      </c>
      <c r="EI196" s="25">
        <v>0</v>
      </c>
      <c r="EJ196" s="25" t="s">
        <v>92</v>
      </c>
      <c r="EK196" s="25" t="s">
        <v>235</v>
      </c>
      <c r="EL196" s="25" t="s">
        <v>245</v>
      </c>
      <c r="EM196" s="25" t="s">
        <v>276</v>
      </c>
      <c r="EN196" s="25" t="s">
        <v>39</v>
      </c>
      <c r="EO196" s="25" t="s">
        <v>39</v>
      </c>
      <c r="EP196" s="25" t="s">
        <v>92</v>
      </c>
      <c r="EQ196" s="25" t="s">
        <v>92</v>
      </c>
      <c r="ER196" s="25" t="s">
        <v>278</v>
      </c>
      <c r="ES196" s="25" t="s">
        <v>278</v>
      </c>
      <c r="ET196" s="25">
        <v>1</v>
      </c>
      <c r="EU196" s="25" t="s">
        <v>522</v>
      </c>
      <c r="EV196" s="25" t="s">
        <v>279</v>
      </c>
      <c r="EW196" s="25" t="s">
        <v>279</v>
      </c>
      <c r="EX196" s="25" t="s">
        <v>279</v>
      </c>
      <c r="EY196" s="20" t="e">
        <v>#N/A</v>
      </c>
    </row>
    <row r="197" spans="1:155">
      <c r="A197" s="21" t="s">
        <v>491</v>
      </c>
      <c r="B197" s="21" t="s">
        <v>491</v>
      </c>
      <c r="C197" s="21" t="s">
        <v>492</v>
      </c>
      <c r="D197" s="21" t="s">
        <v>493</v>
      </c>
      <c r="E197" s="21" t="s">
        <v>493</v>
      </c>
      <c r="F197" s="21" t="s">
        <v>493</v>
      </c>
      <c r="G197" s="21" t="s">
        <v>2789</v>
      </c>
      <c r="H197" s="21">
        <v>2122263444</v>
      </c>
      <c r="I197" s="21" t="s">
        <v>494</v>
      </c>
      <c r="J197" s="21" t="s">
        <v>2790</v>
      </c>
      <c r="L197" s="21" t="s">
        <v>495</v>
      </c>
      <c r="M197" s="21" t="s">
        <v>2791</v>
      </c>
      <c r="N197" s="21" t="s">
        <v>1258</v>
      </c>
      <c r="O197" s="21" t="s">
        <v>69</v>
      </c>
      <c r="P197" s="21" t="s">
        <v>497</v>
      </c>
      <c r="Q197" s="21" t="s">
        <v>1301</v>
      </c>
      <c r="R197" s="21" t="s">
        <v>1259</v>
      </c>
      <c r="S197" s="21" t="s">
        <v>1260</v>
      </c>
      <c r="V197" s="21" t="s">
        <v>500</v>
      </c>
      <c r="W197" s="21" t="s">
        <v>501</v>
      </c>
      <c r="X197" s="21" t="s">
        <v>502</v>
      </c>
      <c r="Y197" s="21" t="s">
        <v>503</v>
      </c>
      <c r="Z197" s="21">
        <v>3035614804</v>
      </c>
      <c r="AA197" s="26">
        <v>42744</v>
      </c>
      <c r="AB197" s="26">
        <v>42744</v>
      </c>
      <c r="AC197" s="21" t="s">
        <v>504</v>
      </c>
      <c r="AD197" s="21" t="s">
        <v>505</v>
      </c>
      <c r="AE197" s="21" t="s">
        <v>500</v>
      </c>
      <c r="AF197" s="21" t="s">
        <v>549</v>
      </c>
      <c r="AG197" s="21" t="s">
        <v>555</v>
      </c>
      <c r="AH197" s="21" t="s">
        <v>556</v>
      </c>
      <c r="AI197" s="21" t="s">
        <v>2754</v>
      </c>
      <c r="AJ197" s="21" t="s">
        <v>526</v>
      </c>
      <c r="AK197" s="21" t="s">
        <v>494</v>
      </c>
      <c r="AL197" s="21" t="s">
        <v>508</v>
      </c>
      <c r="AM197" s="21" t="s">
        <v>509</v>
      </c>
      <c r="AN197" s="21" t="s">
        <v>509</v>
      </c>
      <c r="AO197" s="21" t="s">
        <v>510</v>
      </c>
      <c r="AS197" s="21" t="s">
        <v>511</v>
      </c>
      <c r="AT197" s="21" t="s">
        <v>512</v>
      </c>
      <c r="AW197" s="21">
        <v>0</v>
      </c>
      <c r="AX197" s="21">
        <v>3</v>
      </c>
      <c r="AY197" s="26"/>
      <c r="AZ197" s="26"/>
      <c r="BB197" s="26"/>
      <c r="BC197" s="21" t="s">
        <v>513</v>
      </c>
      <c r="BD197" s="21" t="s">
        <v>514</v>
      </c>
      <c r="BE197" s="21" t="s">
        <v>514</v>
      </c>
      <c r="BF197" s="21" t="s">
        <v>515</v>
      </c>
      <c r="BG197" s="21">
        <v>1</v>
      </c>
      <c r="BH197" s="21" t="s">
        <v>516</v>
      </c>
      <c r="BI197" s="21" t="s">
        <v>517</v>
      </c>
      <c r="BJ197" s="21" t="s">
        <v>516</v>
      </c>
      <c r="BK197" s="21" t="s">
        <v>516</v>
      </c>
      <c r="BM197" s="21" t="s">
        <v>29</v>
      </c>
      <c r="BN197" s="21" t="s">
        <v>129</v>
      </c>
      <c r="BO197" s="21" t="s">
        <v>518</v>
      </c>
      <c r="BP197" s="21" t="s">
        <v>519</v>
      </c>
      <c r="BQ197" s="21" t="s">
        <v>29</v>
      </c>
      <c r="BR197" s="21" t="s">
        <v>129</v>
      </c>
      <c r="BS197" s="21" t="s">
        <v>518</v>
      </c>
      <c r="BT197" s="21" t="s">
        <v>519</v>
      </c>
      <c r="BU197" s="21" t="s">
        <v>129</v>
      </c>
      <c r="CD197" s="21" t="s">
        <v>520</v>
      </c>
      <c r="CF197" s="21" t="s">
        <v>521</v>
      </c>
      <c r="CN197" s="26"/>
      <c r="DB197" s="24" t="s">
        <v>943</v>
      </c>
      <c r="DC197" s="21">
        <v>1</v>
      </c>
      <c r="DD197" s="21">
        <v>2</v>
      </c>
      <c r="DE197" s="22">
        <v>42747</v>
      </c>
      <c r="DF197" s="21" t="s">
        <v>2792</v>
      </c>
      <c r="DG197" s="21" t="s">
        <v>522</v>
      </c>
      <c r="DH197" s="21" t="s">
        <v>2793</v>
      </c>
      <c r="DI197" s="21" t="s">
        <v>495</v>
      </c>
      <c r="DJ197" s="21" t="s">
        <v>520</v>
      </c>
      <c r="DK197" s="26"/>
      <c r="DL197" s="26">
        <v>42756</v>
      </c>
      <c r="DM197" s="26">
        <v>42746</v>
      </c>
      <c r="DN197" s="21">
        <v>3100</v>
      </c>
      <c r="DO197" s="21">
        <v>10</v>
      </c>
      <c r="DP197" s="21">
        <v>1</v>
      </c>
      <c r="DQ197" s="21">
        <v>1</v>
      </c>
      <c r="DR197" s="21">
        <v>7</v>
      </c>
      <c r="DS197" s="21">
        <v>10</v>
      </c>
      <c r="DT197" s="21">
        <v>10</v>
      </c>
      <c r="DU197" s="21">
        <v>10</v>
      </c>
      <c r="DW197" s="21">
        <v>10</v>
      </c>
      <c r="EA197" s="21">
        <v>10</v>
      </c>
      <c r="EF197" s="25">
        <v>1</v>
      </c>
      <c r="EG197" s="25">
        <v>0</v>
      </c>
      <c r="EH197" s="25">
        <v>1</v>
      </c>
      <c r="EI197" s="25">
        <v>0</v>
      </c>
      <c r="EJ197" s="25" t="s">
        <v>62</v>
      </c>
      <c r="EK197" s="25" t="s">
        <v>130</v>
      </c>
      <c r="EL197" s="25" t="s">
        <v>130</v>
      </c>
      <c r="EM197" s="25" t="s">
        <v>276</v>
      </c>
      <c r="EN197" s="25" t="s">
        <v>23</v>
      </c>
      <c r="EO197" s="25" t="s">
        <v>23</v>
      </c>
      <c r="EP197" s="25" t="s">
        <v>62</v>
      </c>
      <c r="EQ197" s="25" t="s">
        <v>62</v>
      </c>
      <c r="ER197" s="25" t="s">
        <v>278</v>
      </c>
      <c r="ES197" s="25" t="s">
        <v>278</v>
      </c>
      <c r="ET197" s="25">
        <v>1</v>
      </c>
      <c r="EU197" s="25" t="s">
        <v>522</v>
      </c>
      <c r="EV197" s="25" t="s">
        <v>130</v>
      </c>
      <c r="EW197" s="25" t="s">
        <v>23</v>
      </c>
      <c r="EX197" s="25" t="s">
        <v>278</v>
      </c>
      <c r="EY197" s="20" t="e">
        <v>#N/A</v>
      </c>
    </row>
    <row r="198" spans="1:155">
      <c r="A198" s="21" t="s">
        <v>491</v>
      </c>
      <c r="B198" s="21" t="s">
        <v>491</v>
      </c>
      <c r="C198" s="21" t="s">
        <v>492</v>
      </c>
      <c r="D198" s="21" t="s">
        <v>493</v>
      </c>
      <c r="E198" s="21" t="s">
        <v>493</v>
      </c>
      <c r="F198" s="21" t="s">
        <v>493</v>
      </c>
      <c r="G198" s="21" t="s">
        <v>2705</v>
      </c>
      <c r="H198" s="21" t="s">
        <v>2706</v>
      </c>
      <c r="I198" s="21">
        <v>67998722101</v>
      </c>
      <c r="J198" s="21" t="s">
        <v>2707</v>
      </c>
      <c r="L198" s="21" t="s">
        <v>495</v>
      </c>
      <c r="M198" s="21" t="s">
        <v>2708</v>
      </c>
      <c r="N198" s="21" t="s">
        <v>2374</v>
      </c>
      <c r="O198" s="21" t="s">
        <v>98</v>
      </c>
      <c r="P198" s="21" t="s">
        <v>553</v>
      </c>
      <c r="R198" s="21" t="s">
        <v>2375</v>
      </c>
      <c r="S198" s="21" t="s">
        <v>2376</v>
      </c>
      <c r="V198" s="21" t="s">
        <v>500</v>
      </c>
      <c r="W198" s="21" t="s">
        <v>501</v>
      </c>
      <c r="X198" s="21" t="s">
        <v>502</v>
      </c>
      <c r="Y198" s="21" t="s">
        <v>554</v>
      </c>
      <c r="Z198" s="21">
        <v>3035603743</v>
      </c>
      <c r="AA198" s="26">
        <v>42744</v>
      </c>
      <c r="AB198" s="26">
        <v>42744</v>
      </c>
      <c r="AC198" s="21" t="s">
        <v>504</v>
      </c>
      <c r="AD198" s="21" t="s">
        <v>505</v>
      </c>
      <c r="AE198" s="21" t="s">
        <v>500</v>
      </c>
      <c r="AF198" s="21" t="s">
        <v>1135</v>
      </c>
      <c r="AG198" s="21" t="s">
        <v>2709</v>
      </c>
      <c r="AH198" s="21" t="s">
        <v>2710</v>
      </c>
      <c r="AI198" s="21" t="s">
        <v>2711</v>
      </c>
      <c r="AJ198" s="21" t="s">
        <v>507</v>
      </c>
      <c r="AK198" s="21" t="s">
        <v>494</v>
      </c>
      <c r="AL198" s="21" t="s">
        <v>527</v>
      </c>
      <c r="AM198" s="21" t="s">
        <v>527</v>
      </c>
      <c r="AN198" s="21" t="s">
        <v>527</v>
      </c>
      <c r="AO198" s="21" t="s">
        <v>528</v>
      </c>
      <c r="AS198" s="21" t="s">
        <v>511</v>
      </c>
      <c r="AT198" s="21" t="s">
        <v>512</v>
      </c>
      <c r="AW198" s="21">
        <v>0</v>
      </c>
      <c r="AX198" s="21">
        <v>2</v>
      </c>
      <c r="AY198" s="26"/>
      <c r="AZ198" s="26"/>
      <c r="BB198" s="26"/>
      <c r="BC198" s="21" t="s">
        <v>513</v>
      </c>
      <c r="BD198" s="21" t="s">
        <v>514</v>
      </c>
      <c r="BE198" s="21" t="s">
        <v>514</v>
      </c>
      <c r="BF198" s="21" t="s">
        <v>515</v>
      </c>
      <c r="BG198" s="21">
        <v>1</v>
      </c>
      <c r="BH198" s="21" t="s">
        <v>516</v>
      </c>
      <c r="BI198" s="21" t="s">
        <v>517</v>
      </c>
      <c r="BJ198" s="21" t="s">
        <v>516</v>
      </c>
      <c r="BK198" s="21" t="s">
        <v>516</v>
      </c>
      <c r="BM198" s="21" t="s">
        <v>585</v>
      </c>
      <c r="BN198" s="21" t="s">
        <v>262</v>
      </c>
      <c r="BO198" s="21" t="s">
        <v>518</v>
      </c>
      <c r="BP198" s="21" t="s">
        <v>519</v>
      </c>
      <c r="BQ198" s="21" t="s">
        <v>585</v>
      </c>
      <c r="BR198" s="21" t="s">
        <v>262</v>
      </c>
      <c r="BS198" s="21" t="s">
        <v>518</v>
      </c>
      <c r="BT198" s="21" t="s">
        <v>519</v>
      </c>
      <c r="BU198" s="21" t="s">
        <v>262</v>
      </c>
      <c r="CD198" s="21" t="s">
        <v>520</v>
      </c>
      <c r="CF198" s="21" t="s">
        <v>521</v>
      </c>
      <c r="CN198" s="26"/>
      <c r="DB198" s="24" t="s">
        <v>943</v>
      </c>
      <c r="DC198" s="21">
        <v>1</v>
      </c>
      <c r="DD198" s="21">
        <v>2</v>
      </c>
      <c r="DE198" s="22">
        <v>42747</v>
      </c>
      <c r="DF198" s="21" t="s">
        <v>2712</v>
      </c>
      <c r="DG198" s="21" t="s">
        <v>522</v>
      </c>
      <c r="DH198" s="21" t="s">
        <v>2713</v>
      </c>
      <c r="DI198" s="21" t="s">
        <v>495</v>
      </c>
      <c r="DJ198" s="21" t="s">
        <v>520</v>
      </c>
      <c r="DK198" s="26"/>
      <c r="DL198" s="26">
        <v>42756</v>
      </c>
      <c r="DM198" s="26">
        <v>42746</v>
      </c>
      <c r="DN198" s="21">
        <v>3100</v>
      </c>
      <c r="DO198" s="21">
        <v>0</v>
      </c>
      <c r="DP198" s="21">
        <v>1</v>
      </c>
      <c r="DQ198" s="21">
        <v>2</v>
      </c>
      <c r="DR198" s="21">
        <v>2</v>
      </c>
      <c r="DS198" s="21">
        <v>5</v>
      </c>
      <c r="DT198" s="21">
        <v>2</v>
      </c>
      <c r="DU198" s="21">
        <v>8</v>
      </c>
      <c r="DW198" s="21">
        <v>0</v>
      </c>
      <c r="EA198" s="21">
        <v>3</v>
      </c>
      <c r="EF198" s="25">
        <v>0</v>
      </c>
      <c r="EG198" s="25">
        <v>1</v>
      </c>
      <c r="EH198" s="25">
        <v>0</v>
      </c>
      <c r="EI198" s="25">
        <v>1</v>
      </c>
      <c r="EJ198" s="25" t="s">
        <v>62</v>
      </c>
      <c r="EK198" s="25" t="s">
        <v>276</v>
      </c>
      <c r="EL198" s="25" t="s">
        <v>276</v>
      </c>
      <c r="EM198" s="25" t="s">
        <v>276</v>
      </c>
      <c r="EN198" s="25" t="s">
        <v>276</v>
      </c>
      <c r="EO198" s="25" t="s">
        <v>276</v>
      </c>
      <c r="EP198" s="25" t="s">
        <v>276</v>
      </c>
      <c r="EQ198" s="25" t="s">
        <v>276</v>
      </c>
      <c r="ER198" s="25" t="s">
        <v>276</v>
      </c>
      <c r="ES198" s="25" t="s">
        <v>276</v>
      </c>
      <c r="ET198" s="25">
        <v>1</v>
      </c>
      <c r="EU198" s="25" t="s">
        <v>522</v>
      </c>
      <c r="EV198" s="25" t="s">
        <v>276</v>
      </c>
      <c r="EW198" s="25" t="s">
        <v>276</v>
      </c>
      <c r="EX198" s="25" t="s">
        <v>276</v>
      </c>
      <c r="EY198" s="20" t="s">
        <v>273</v>
      </c>
    </row>
    <row r="199" spans="1:155">
      <c r="A199" s="21" t="s">
        <v>491</v>
      </c>
      <c r="B199" s="21" t="s">
        <v>491</v>
      </c>
      <c r="C199" s="21" t="s">
        <v>492</v>
      </c>
      <c r="D199" s="21" t="s">
        <v>493</v>
      </c>
      <c r="E199" s="21" t="s">
        <v>493</v>
      </c>
      <c r="F199" s="21" t="s">
        <v>493</v>
      </c>
      <c r="G199" s="21" t="s">
        <v>2794</v>
      </c>
      <c r="H199" s="21">
        <v>1133788593</v>
      </c>
      <c r="I199" s="21" t="s">
        <v>494</v>
      </c>
      <c r="J199" s="21" t="s">
        <v>2795</v>
      </c>
      <c r="L199" s="21" t="s">
        <v>495</v>
      </c>
      <c r="M199" s="21" t="s">
        <v>2796</v>
      </c>
      <c r="N199" s="21" t="s">
        <v>496</v>
      </c>
      <c r="O199" s="21" t="s">
        <v>69</v>
      </c>
      <c r="P199" s="21" t="s">
        <v>497</v>
      </c>
      <c r="R199" s="21" t="s">
        <v>498</v>
      </c>
      <c r="S199" s="21" t="s">
        <v>499</v>
      </c>
      <c r="V199" s="21" t="s">
        <v>500</v>
      </c>
      <c r="W199" s="21" t="s">
        <v>501</v>
      </c>
      <c r="X199" s="21" t="s">
        <v>502</v>
      </c>
      <c r="Y199" s="21" t="s">
        <v>503</v>
      </c>
      <c r="Z199" s="21">
        <v>3035625421</v>
      </c>
      <c r="AA199" s="26">
        <v>42744</v>
      </c>
      <c r="AB199" s="26">
        <v>42744</v>
      </c>
      <c r="AC199" s="21" t="s">
        <v>504</v>
      </c>
      <c r="AD199" s="21" t="s">
        <v>505</v>
      </c>
      <c r="AE199" s="21" t="s">
        <v>500</v>
      </c>
      <c r="AF199" s="21" t="s">
        <v>506</v>
      </c>
      <c r="AG199" s="21" t="s">
        <v>581</v>
      </c>
      <c r="AH199" s="21" t="s">
        <v>582</v>
      </c>
      <c r="AI199" s="21" t="s">
        <v>2797</v>
      </c>
      <c r="AJ199" s="21" t="s">
        <v>526</v>
      </c>
      <c r="AK199" s="21" t="s">
        <v>494</v>
      </c>
      <c r="AL199" s="21" t="s">
        <v>527</v>
      </c>
      <c r="AM199" s="21" t="s">
        <v>527</v>
      </c>
      <c r="AN199" s="21" t="s">
        <v>527</v>
      </c>
      <c r="AO199" s="21" t="s">
        <v>528</v>
      </c>
      <c r="AS199" s="21" t="s">
        <v>511</v>
      </c>
      <c r="AT199" s="21" t="s">
        <v>512</v>
      </c>
      <c r="AW199" s="21">
        <v>0</v>
      </c>
      <c r="AX199" s="21">
        <v>2</v>
      </c>
      <c r="AY199" s="26"/>
      <c r="AZ199" s="26"/>
      <c r="BB199" s="26"/>
      <c r="BC199" s="21" t="s">
        <v>513</v>
      </c>
      <c r="BD199" s="21" t="s">
        <v>514</v>
      </c>
      <c r="BE199" s="21" t="s">
        <v>514</v>
      </c>
      <c r="BF199" s="21" t="s">
        <v>515</v>
      </c>
      <c r="BG199" s="21">
        <v>1</v>
      </c>
      <c r="BH199" s="21" t="s">
        <v>516</v>
      </c>
      <c r="BI199" s="21" t="s">
        <v>517</v>
      </c>
      <c r="BJ199" s="21" t="s">
        <v>516</v>
      </c>
      <c r="BK199" s="21" t="s">
        <v>516</v>
      </c>
      <c r="BM199" s="21" t="s">
        <v>46</v>
      </c>
      <c r="BN199" s="21" t="s">
        <v>248</v>
      </c>
      <c r="BO199" s="21" t="s">
        <v>518</v>
      </c>
      <c r="BP199" s="21" t="s">
        <v>519</v>
      </c>
      <c r="BQ199" s="21" t="s">
        <v>46</v>
      </c>
      <c r="BR199" s="21" t="s">
        <v>248</v>
      </c>
      <c r="BS199" s="21" t="s">
        <v>518</v>
      </c>
      <c r="BT199" s="21" t="s">
        <v>519</v>
      </c>
      <c r="BU199" s="21" t="s">
        <v>248</v>
      </c>
      <c r="CD199" s="21" t="s">
        <v>520</v>
      </c>
      <c r="CF199" s="21" t="s">
        <v>521</v>
      </c>
      <c r="CN199" s="26"/>
      <c r="DB199" s="24" t="s">
        <v>943</v>
      </c>
      <c r="DC199" s="21">
        <v>1</v>
      </c>
      <c r="DD199" s="21">
        <v>2</v>
      </c>
      <c r="DE199" s="22">
        <v>42747</v>
      </c>
      <c r="DF199" s="21" t="s">
        <v>2798</v>
      </c>
      <c r="DG199" s="21" t="s">
        <v>522</v>
      </c>
      <c r="DH199" s="21" t="s">
        <v>2799</v>
      </c>
      <c r="DI199" s="21" t="s">
        <v>495</v>
      </c>
      <c r="DJ199" s="21" t="s">
        <v>520</v>
      </c>
      <c r="DK199" s="26"/>
      <c r="DL199" s="26">
        <v>42756</v>
      </c>
      <c r="DM199" s="26">
        <v>42746</v>
      </c>
      <c r="DN199" s="21">
        <v>3100</v>
      </c>
      <c r="DO199" s="21">
        <v>10</v>
      </c>
      <c r="DP199" s="21">
        <v>1</v>
      </c>
      <c r="DQ199" s="21">
        <v>1</v>
      </c>
      <c r="DR199" s="21">
        <v>7</v>
      </c>
      <c r="DS199" s="21">
        <v>10</v>
      </c>
      <c r="DT199" s="21">
        <v>10</v>
      </c>
      <c r="DU199" s="21">
        <v>10</v>
      </c>
      <c r="DW199" s="21">
        <v>10</v>
      </c>
      <c r="EA199" s="21">
        <v>10</v>
      </c>
      <c r="EF199" s="25">
        <v>1</v>
      </c>
      <c r="EG199" s="25">
        <v>0</v>
      </c>
      <c r="EH199" s="25">
        <v>1</v>
      </c>
      <c r="EI199" s="25">
        <v>0</v>
      </c>
      <c r="EJ199" s="25" t="s">
        <v>62</v>
      </c>
      <c r="EK199" s="25" t="s">
        <v>249</v>
      </c>
      <c r="EL199" s="25" t="s">
        <v>249</v>
      </c>
      <c r="EM199" s="25" t="s">
        <v>276</v>
      </c>
      <c r="EN199" s="25" t="s">
        <v>39</v>
      </c>
      <c r="EO199" s="25" t="s">
        <v>39</v>
      </c>
      <c r="EP199" s="25" t="s">
        <v>92</v>
      </c>
      <c r="EQ199" s="25" t="s">
        <v>92</v>
      </c>
      <c r="ER199" s="25" t="s">
        <v>278</v>
      </c>
      <c r="ES199" s="25" t="s">
        <v>278</v>
      </c>
      <c r="ET199" s="25">
        <v>1</v>
      </c>
      <c r="EU199" s="25" t="s">
        <v>522</v>
      </c>
      <c r="EV199" s="25" t="s">
        <v>249</v>
      </c>
      <c r="EW199" s="25" t="s">
        <v>39</v>
      </c>
      <c r="EX199" s="25" t="s">
        <v>278</v>
      </c>
      <c r="EY199" s="20" t="e">
        <v>#N/A</v>
      </c>
    </row>
    <row r="200" spans="1:155">
      <c r="A200" s="21" t="s">
        <v>491</v>
      </c>
      <c r="B200" s="21" t="s">
        <v>491</v>
      </c>
      <c r="C200" s="21" t="s">
        <v>492</v>
      </c>
      <c r="D200" s="21" t="s">
        <v>493</v>
      </c>
      <c r="E200" s="21" t="s">
        <v>493</v>
      </c>
      <c r="F200" s="21" t="s">
        <v>493</v>
      </c>
      <c r="G200" s="21" t="s">
        <v>2800</v>
      </c>
      <c r="H200" s="21" t="s">
        <v>2801</v>
      </c>
      <c r="I200" s="21" t="s">
        <v>494</v>
      </c>
      <c r="J200" s="21" t="s">
        <v>2802</v>
      </c>
      <c r="L200" s="21" t="s">
        <v>495</v>
      </c>
      <c r="M200" s="21" t="s">
        <v>2803</v>
      </c>
      <c r="N200" s="21" t="s">
        <v>1949</v>
      </c>
      <c r="O200" s="21" t="s">
        <v>93</v>
      </c>
      <c r="P200" s="21" t="s">
        <v>539</v>
      </c>
      <c r="R200" s="21" t="s">
        <v>1950</v>
      </c>
      <c r="S200" s="21" t="s">
        <v>1440</v>
      </c>
      <c r="V200" s="21" t="s">
        <v>277</v>
      </c>
      <c r="W200" s="21" t="s">
        <v>524</v>
      </c>
      <c r="X200" s="21" t="s">
        <v>525</v>
      </c>
      <c r="Y200" s="21" t="s">
        <v>530</v>
      </c>
      <c r="Z200" s="21">
        <v>3035540890</v>
      </c>
      <c r="AA200" s="26">
        <v>42741</v>
      </c>
      <c r="AB200" s="26">
        <v>42744</v>
      </c>
      <c r="AC200" s="21" t="s">
        <v>504</v>
      </c>
      <c r="AD200" s="21" t="s">
        <v>505</v>
      </c>
      <c r="AE200" s="21" t="s">
        <v>1054</v>
      </c>
      <c r="AF200" s="21" t="s">
        <v>1105</v>
      </c>
      <c r="AG200" s="21" t="s">
        <v>1106</v>
      </c>
      <c r="AH200" s="21" t="s">
        <v>1107</v>
      </c>
      <c r="AI200" s="21" t="s">
        <v>2804</v>
      </c>
      <c r="AJ200" s="21" t="s">
        <v>1109</v>
      </c>
      <c r="AK200" s="21" t="s">
        <v>494</v>
      </c>
      <c r="AL200" s="21" t="s">
        <v>527</v>
      </c>
      <c r="AM200" s="21" t="s">
        <v>527</v>
      </c>
      <c r="AN200" s="21" t="s">
        <v>527</v>
      </c>
      <c r="AO200" s="21" t="s">
        <v>528</v>
      </c>
      <c r="AS200" s="21" t="s">
        <v>511</v>
      </c>
      <c r="AT200" s="21" t="s">
        <v>512</v>
      </c>
      <c r="AW200" s="21">
        <v>0</v>
      </c>
      <c r="AX200" s="21">
        <v>6</v>
      </c>
      <c r="AY200" s="26"/>
      <c r="AZ200" s="26"/>
      <c r="BB200" s="26"/>
      <c r="BC200" s="21" t="s">
        <v>513</v>
      </c>
      <c r="BD200" s="21" t="s">
        <v>514</v>
      </c>
      <c r="BE200" s="21" t="s">
        <v>514</v>
      </c>
      <c r="BF200" s="21" t="s">
        <v>515</v>
      </c>
      <c r="BG200" s="21">
        <v>1</v>
      </c>
      <c r="BH200" s="21" t="s">
        <v>516</v>
      </c>
      <c r="BI200" s="21" t="s">
        <v>517</v>
      </c>
      <c r="BJ200" s="21" t="s">
        <v>516</v>
      </c>
      <c r="BK200" s="21" t="s">
        <v>516</v>
      </c>
      <c r="BM200" s="21" t="s">
        <v>40</v>
      </c>
      <c r="BN200" s="21" t="s">
        <v>240</v>
      </c>
      <c r="BO200" s="21" t="s">
        <v>518</v>
      </c>
      <c r="BP200" s="21" t="s">
        <v>1044</v>
      </c>
      <c r="BQ200" s="21" t="s">
        <v>38</v>
      </c>
      <c r="BR200" s="21" t="s">
        <v>238</v>
      </c>
      <c r="BS200" s="21" t="s">
        <v>518</v>
      </c>
      <c r="BT200" s="21" t="s">
        <v>1044</v>
      </c>
      <c r="BU200" s="21" t="s">
        <v>240</v>
      </c>
      <c r="CD200" s="21" t="s">
        <v>520</v>
      </c>
      <c r="CF200" s="21" t="s">
        <v>521</v>
      </c>
      <c r="CN200" s="26"/>
      <c r="DB200" s="24" t="s">
        <v>943</v>
      </c>
      <c r="DC200" s="21">
        <v>1</v>
      </c>
      <c r="DD200" s="21">
        <v>2</v>
      </c>
      <c r="DE200" s="22">
        <v>42747</v>
      </c>
      <c r="DF200" s="21" t="s">
        <v>2805</v>
      </c>
      <c r="DG200" s="21" t="s">
        <v>522</v>
      </c>
      <c r="DH200" s="21" t="s">
        <v>2806</v>
      </c>
      <c r="DI200" s="21" t="s">
        <v>495</v>
      </c>
      <c r="DJ200" s="21" t="s">
        <v>520</v>
      </c>
      <c r="DK200" s="26"/>
      <c r="DL200" s="26">
        <v>42756</v>
      </c>
      <c r="DM200" s="26">
        <v>42746</v>
      </c>
      <c r="DN200" s="21">
        <v>1100</v>
      </c>
      <c r="DO200" s="21">
        <v>9</v>
      </c>
      <c r="DP200" s="21">
        <v>1</v>
      </c>
      <c r="DQ200" s="21">
        <v>1</v>
      </c>
      <c r="DR200" s="21">
        <v>7</v>
      </c>
      <c r="DS200" s="21">
        <v>10</v>
      </c>
      <c r="DT200" s="21">
        <v>10</v>
      </c>
      <c r="DU200" s="21">
        <v>10</v>
      </c>
      <c r="DW200" s="21">
        <v>9</v>
      </c>
      <c r="EA200" s="21">
        <v>10</v>
      </c>
      <c r="EB200" s="21" t="s">
        <v>2807</v>
      </c>
      <c r="EC200" s="21" t="s">
        <v>3253</v>
      </c>
      <c r="EF200" s="25">
        <v>1</v>
      </c>
      <c r="EG200" s="25">
        <v>0</v>
      </c>
      <c r="EH200" s="25">
        <v>1</v>
      </c>
      <c r="EI200" s="25">
        <v>0</v>
      </c>
      <c r="EJ200" s="25" t="s">
        <v>92</v>
      </c>
      <c r="EK200" s="25" t="s">
        <v>241</v>
      </c>
      <c r="EL200" s="25" t="s">
        <v>239</v>
      </c>
      <c r="EM200" s="25" t="s">
        <v>276</v>
      </c>
      <c r="EN200" s="25" t="s">
        <v>39</v>
      </c>
      <c r="EO200" s="25" t="s">
        <v>39</v>
      </c>
      <c r="EP200" s="25" t="s">
        <v>92</v>
      </c>
      <c r="EQ200" s="25" t="s">
        <v>529</v>
      </c>
      <c r="ER200" s="25" t="s">
        <v>278</v>
      </c>
      <c r="ES200" s="25" t="s">
        <v>278</v>
      </c>
      <c r="ET200" s="25">
        <v>1</v>
      </c>
      <c r="EU200" s="25" t="s">
        <v>522</v>
      </c>
      <c r="EV200" s="25" t="s">
        <v>279</v>
      </c>
      <c r="EW200" s="25" t="s">
        <v>279</v>
      </c>
      <c r="EX200" s="25" t="s">
        <v>279</v>
      </c>
      <c r="EY200" s="20" t="e">
        <v>#N/A</v>
      </c>
    </row>
    <row r="201" spans="1:155">
      <c r="A201" s="21" t="s">
        <v>491</v>
      </c>
      <c r="B201" s="21" t="s">
        <v>491</v>
      </c>
      <c r="C201" s="21" t="s">
        <v>492</v>
      </c>
      <c r="D201" s="21" t="s">
        <v>493</v>
      </c>
      <c r="E201" s="21" t="s">
        <v>493</v>
      </c>
      <c r="F201" s="21" t="s">
        <v>493</v>
      </c>
      <c r="G201" s="21" t="s">
        <v>2714</v>
      </c>
      <c r="H201" s="21">
        <v>61992060337</v>
      </c>
      <c r="I201" s="21" t="s">
        <v>494</v>
      </c>
      <c r="J201" s="21" t="s">
        <v>2715</v>
      </c>
      <c r="L201" s="21" t="s">
        <v>495</v>
      </c>
      <c r="M201" s="21" t="s">
        <v>2716</v>
      </c>
      <c r="N201" s="21" t="s">
        <v>2717</v>
      </c>
      <c r="O201" s="21" t="s">
        <v>99</v>
      </c>
      <c r="P201" s="21" t="s">
        <v>2029</v>
      </c>
      <c r="Q201" s="21" t="s">
        <v>2718</v>
      </c>
      <c r="R201" s="21" t="s">
        <v>2030</v>
      </c>
      <c r="S201" s="21" t="s">
        <v>2719</v>
      </c>
      <c r="V201" s="21" t="s">
        <v>500</v>
      </c>
      <c r="W201" s="21" t="s">
        <v>501</v>
      </c>
      <c r="X201" s="21" t="s">
        <v>502</v>
      </c>
      <c r="Y201" s="21" t="s">
        <v>558</v>
      </c>
      <c r="Z201" s="21">
        <v>3035623302</v>
      </c>
      <c r="AA201" s="26">
        <v>42744</v>
      </c>
      <c r="AB201" s="26">
        <v>42744</v>
      </c>
      <c r="AC201" s="21" t="s">
        <v>504</v>
      </c>
      <c r="AD201" s="21" t="s">
        <v>505</v>
      </c>
      <c r="AE201" s="21" t="s">
        <v>500</v>
      </c>
      <c r="AF201" s="21" t="s">
        <v>506</v>
      </c>
      <c r="AG201" s="21" t="s">
        <v>1685</v>
      </c>
      <c r="AH201" s="21" t="s">
        <v>1686</v>
      </c>
      <c r="AI201" s="21" t="s">
        <v>2720</v>
      </c>
      <c r="AJ201" s="21" t="s">
        <v>526</v>
      </c>
      <c r="AK201" s="21" t="s">
        <v>494</v>
      </c>
      <c r="AL201" s="21" t="s">
        <v>527</v>
      </c>
      <c r="AM201" s="21" t="s">
        <v>527</v>
      </c>
      <c r="AN201" s="21" t="s">
        <v>527</v>
      </c>
      <c r="AO201" s="21" t="s">
        <v>528</v>
      </c>
      <c r="AS201" s="21" t="s">
        <v>511</v>
      </c>
      <c r="AT201" s="21" t="s">
        <v>512</v>
      </c>
      <c r="AW201" s="21">
        <v>0</v>
      </c>
      <c r="AX201" s="21">
        <v>2</v>
      </c>
      <c r="AY201" s="26"/>
      <c r="AZ201" s="26"/>
      <c r="BB201" s="26"/>
      <c r="BC201" s="21" t="s">
        <v>513</v>
      </c>
      <c r="BD201" s="21" t="s">
        <v>514</v>
      </c>
      <c r="BE201" s="21" t="s">
        <v>514</v>
      </c>
      <c r="BF201" s="21" t="s">
        <v>515</v>
      </c>
      <c r="BG201" s="21">
        <v>1</v>
      </c>
      <c r="BH201" s="21" t="s">
        <v>516</v>
      </c>
      <c r="BI201" s="21" t="s">
        <v>517</v>
      </c>
      <c r="BJ201" s="21" t="s">
        <v>516</v>
      </c>
      <c r="BK201" s="21" t="s">
        <v>516</v>
      </c>
      <c r="BM201" s="21" t="s">
        <v>583</v>
      </c>
      <c r="BN201" s="21" t="s">
        <v>154</v>
      </c>
      <c r="BO201" s="21" t="s">
        <v>518</v>
      </c>
      <c r="BP201" s="21" t="s">
        <v>519</v>
      </c>
      <c r="BQ201" s="21" t="s">
        <v>583</v>
      </c>
      <c r="BR201" s="21" t="s">
        <v>154</v>
      </c>
      <c r="BS201" s="21" t="s">
        <v>518</v>
      </c>
      <c r="BT201" s="21" t="s">
        <v>519</v>
      </c>
      <c r="BU201" s="21" t="s">
        <v>154</v>
      </c>
      <c r="CD201" s="21" t="s">
        <v>520</v>
      </c>
      <c r="CF201" s="21" t="s">
        <v>521</v>
      </c>
      <c r="CN201" s="26"/>
      <c r="DB201" s="24" t="s">
        <v>943</v>
      </c>
      <c r="DC201" s="21">
        <v>1</v>
      </c>
      <c r="DD201" s="21">
        <v>2</v>
      </c>
      <c r="DE201" s="22">
        <v>42747</v>
      </c>
      <c r="DF201" s="21" t="s">
        <v>2721</v>
      </c>
      <c r="DG201" s="21" t="s">
        <v>522</v>
      </c>
      <c r="DH201" s="21" t="s">
        <v>2722</v>
      </c>
      <c r="DI201" s="21" t="s">
        <v>495</v>
      </c>
      <c r="DJ201" s="21" t="s">
        <v>520</v>
      </c>
      <c r="DK201" s="26"/>
      <c r="DL201" s="26">
        <v>42756</v>
      </c>
      <c r="DM201" s="26">
        <v>42746</v>
      </c>
      <c r="DN201" s="21">
        <v>3100</v>
      </c>
      <c r="DO201" s="21">
        <v>9</v>
      </c>
      <c r="DP201" s="21">
        <v>1</v>
      </c>
      <c r="DQ201" s="21">
        <v>2</v>
      </c>
      <c r="DR201" s="21">
        <v>6</v>
      </c>
      <c r="DS201" s="21">
        <v>10</v>
      </c>
      <c r="DT201" s="21">
        <v>8</v>
      </c>
      <c r="DU201" s="21">
        <v>10</v>
      </c>
      <c r="DW201" s="21">
        <v>8</v>
      </c>
      <c r="EA201" s="21">
        <v>10</v>
      </c>
      <c r="EF201" s="25">
        <v>1</v>
      </c>
      <c r="EG201" s="25">
        <v>0</v>
      </c>
      <c r="EH201" s="25">
        <v>1</v>
      </c>
      <c r="EI201" s="25">
        <v>0</v>
      </c>
      <c r="EJ201" s="25" t="s">
        <v>62</v>
      </c>
      <c r="EK201" s="25" t="s">
        <v>155</v>
      </c>
      <c r="EL201" s="25" t="s">
        <v>155</v>
      </c>
      <c r="EM201" s="25" t="s">
        <v>276</v>
      </c>
      <c r="EN201" s="25" t="s">
        <v>23</v>
      </c>
      <c r="EO201" s="25" t="s">
        <v>23</v>
      </c>
      <c r="EP201" s="25" t="s">
        <v>62</v>
      </c>
      <c r="EQ201" s="25" t="s">
        <v>62</v>
      </c>
      <c r="ER201" s="25" t="s">
        <v>278</v>
      </c>
      <c r="ES201" s="25" t="s">
        <v>278</v>
      </c>
      <c r="ET201" s="25">
        <v>1</v>
      </c>
      <c r="EU201" s="25" t="s">
        <v>522</v>
      </c>
      <c r="EV201" s="25" t="s">
        <v>155</v>
      </c>
      <c r="EW201" s="25" t="s">
        <v>23</v>
      </c>
      <c r="EX201" s="25" t="s">
        <v>278</v>
      </c>
      <c r="EY201" s="20" t="e">
        <v>#N/A</v>
      </c>
    </row>
    <row r="202" spans="1:155">
      <c r="A202" s="21" t="s">
        <v>491</v>
      </c>
      <c r="B202" s="21" t="s">
        <v>491</v>
      </c>
      <c r="C202" s="21" t="s">
        <v>492</v>
      </c>
      <c r="D202" s="21" t="s">
        <v>493</v>
      </c>
      <c r="E202" s="21" t="s">
        <v>493</v>
      </c>
      <c r="F202" s="21" t="s">
        <v>493</v>
      </c>
      <c r="G202" s="21" t="s">
        <v>2808</v>
      </c>
      <c r="H202" s="21">
        <v>1123093708</v>
      </c>
      <c r="I202" s="21">
        <v>1129123688</v>
      </c>
      <c r="J202" s="21" t="s">
        <v>2809</v>
      </c>
      <c r="L202" s="21" t="s">
        <v>495</v>
      </c>
      <c r="M202" s="21" t="s">
        <v>2810</v>
      </c>
      <c r="N202" s="21" t="s">
        <v>573</v>
      </c>
      <c r="O202" s="21" t="s">
        <v>58</v>
      </c>
      <c r="P202" s="21" t="s">
        <v>557</v>
      </c>
      <c r="R202" s="21" t="s">
        <v>574</v>
      </c>
      <c r="S202" s="21" t="s">
        <v>575</v>
      </c>
      <c r="V202" s="21" t="s">
        <v>500</v>
      </c>
      <c r="W202" s="21" t="s">
        <v>501</v>
      </c>
      <c r="X202" s="21" t="s">
        <v>502</v>
      </c>
      <c r="Y202" s="21" t="s">
        <v>558</v>
      </c>
      <c r="Z202" s="21">
        <v>3035604213</v>
      </c>
      <c r="AA202" s="26">
        <v>42744</v>
      </c>
      <c r="AB202" s="26">
        <v>42744</v>
      </c>
      <c r="AC202" s="21" t="s">
        <v>504</v>
      </c>
      <c r="AD202" s="21" t="s">
        <v>505</v>
      </c>
      <c r="AE202" s="21" t="s">
        <v>500</v>
      </c>
      <c r="AF202" s="21" t="s">
        <v>564</v>
      </c>
      <c r="AG202" s="21" t="s">
        <v>1699</v>
      </c>
      <c r="AH202" s="21" t="s">
        <v>1700</v>
      </c>
      <c r="AI202" s="21" t="s">
        <v>2811</v>
      </c>
      <c r="AJ202" s="21" t="s">
        <v>507</v>
      </c>
      <c r="AK202" s="21" t="s">
        <v>494</v>
      </c>
      <c r="AL202" s="21" t="s">
        <v>527</v>
      </c>
      <c r="AM202" s="21" t="s">
        <v>527</v>
      </c>
      <c r="AN202" s="21" t="s">
        <v>527</v>
      </c>
      <c r="AO202" s="21" t="s">
        <v>528</v>
      </c>
      <c r="AS202" s="21" t="s">
        <v>511</v>
      </c>
      <c r="AT202" s="21" t="s">
        <v>512</v>
      </c>
      <c r="AW202" s="21">
        <v>0</v>
      </c>
      <c r="AX202" s="21">
        <v>2</v>
      </c>
      <c r="AY202" s="26"/>
      <c r="AZ202" s="26"/>
      <c r="BB202" s="26"/>
      <c r="BC202" s="21" t="s">
        <v>513</v>
      </c>
      <c r="BD202" s="21" t="s">
        <v>514</v>
      </c>
      <c r="BE202" s="21" t="s">
        <v>514</v>
      </c>
      <c r="BF202" s="21" t="s">
        <v>515</v>
      </c>
      <c r="BG202" s="21">
        <v>1</v>
      </c>
      <c r="BH202" s="21" t="s">
        <v>516</v>
      </c>
      <c r="BI202" s="21" t="s">
        <v>517</v>
      </c>
      <c r="BJ202" s="21" t="s">
        <v>516</v>
      </c>
      <c r="BK202" s="21" t="s">
        <v>516</v>
      </c>
      <c r="BM202" s="21" t="s">
        <v>839</v>
      </c>
      <c r="BN202" s="21" t="s">
        <v>889</v>
      </c>
      <c r="BO202" s="21" t="s">
        <v>518</v>
      </c>
      <c r="BP202" s="21" t="s">
        <v>519</v>
      </c>
      <c r="BQ202" s="21" t="s">
        <v>839</v>
      </c>
      <c r="BR202" s="21" t="s">
        <v>889</v>
      </c>
      <c r="BS202" s="21" t="s">
        <v>518</v>
      </c>
      <c r="BT202" s="21" t="s">
        <v>519</v>
      </c>
      <c r="BU202" s="21" t="s">
        <v>889</v>
      </c>
      <c r="CD202" s="21" t="s">
        <v>520</v>
      </c>
      <c r="CF202" s="21" t="s">
        <v>521</v>
      </c>
      <c r="CN202" s="26"/>
      <c r="DB202" s="24" t="s">
        <v>943</v>
      </c>
      <c r="DC202" s="21">
        <v>1</v>
      </c>
      <c r="DD202" s="21">
        <v>2</v>
      </c>
      <c r="DE202" s="22">
        <v>42747</v>
      </c>
      <c r="DF202" s="21" t="s">
        <v>2812</v>
      </c>
      <c r="DG202" s="21" t="s">
        <v>522</v>
      </c>
      <c r="DH202" s="21" t="s">
        <v>2813</v>
      </c>
      <c r="DI202" s="21" t="s">
        <v>495</v>
      </c>
      <c r="DJ202" s="21" t="s">
        <v>520</v>
      </c>
      <c r="DK202" s="26"/>
      <c r="DL202" s="26">
        <v>42756</v>
      </c>
      <c r="DM202" s="26">
        <v>42746</v>
      </c>
      <c r="DN202" s="21">
        <v>3100</v>
      </c>
      <c r="DO202" s="21">
        <v>10</v>
      </c>
      <c r="DP202" s="21">
        <v>1</v>
      </c>
      <c r="DQ202" s="21">
        <v>1</v>
      </c>
      <c r="DR202" s="21">
        <v>6</v>
      </c>
      <c r="DS202" s="21">
        <v>10</v>
      </c>
      <c r="DT202" s="21">
        <v>10</v>
      </c>
      <c r="DU202" s="21">
        <v>10</v>
      </c>
      <c r="DW202" s="21">
        <v>10</v>
      </c>
      <c r="EA202" s="21">
        <v>10</v>
      </c>
      <c r="EB202" s="21" t="s">
        <v>2814</v>
      </c>
      <c r="EC202" s="21" t="s">
        <v>3254</v>
      </c>
      <c r="EF202" s="25">
        <v>1</v>
      </c>
      <c r="EG202" s="25">
        <v>0</v>
      </c>
      <c r="EH202" s="25">
        <v>1</v>
      </c>
      <c r="EI202" s="25">
        <v>0</v>
      </c>
      <c r="EJ202" s="25" t="s">
        <v>62</v>
      </c>
      <c r="EK202" s="25" t="s">
        <v>276</v>
      </c>
      <c r="EL202" s="25" t="s">
        <v>276</v>
      </c>
      <c r="EM202" s="25" t="s">
        <v>276</v>
      </c>
      <c r="EN202" s="25" t="s">
        <v>276</v>
      </c>
      <c r="EO202" s="25" t="s">
        <v>276</v>
      </c>
      <c r="EP202" s="25" t="s">
        <v>276</v>
      </c>
      <c r="EQ202" s="25" t="s">
        <v>276</v>
      </c>
      <c r="ER202" s="25" t="s">
        <v>276</v>
      </c>
      <c r="ES202" s="25" t="s">
        <v>276</v>
      </c>
      <c r="ET202" s="25">
        <v>1</v>
      </c>
      <c r="EU202" s="25" t="s">
        <v>522</v>
      </c>
      <c r="EV202" s="25" t="s">
        <v>276</v>
      </c>
      <c r="EW202" s="25" t="s">
        <v>276</v>
      </c>
      <c r="EX202" s="25" t="s">
        <v>276</v>
      </c>
      <c r="EY202" s="20" t="e">
        <v>#N/A</v>
      </c>
    </row>
    <row r="203" spans="1:155">
      <c r="A203" s="21" t="s">
        <v>491</v>
      </c>
      <c r="B203" s="21" t="s">
        <v>491</v>
      </c>
      <c r="C203" s="21" t="s">
        <v>492</v>
      </c>
      <c r="D203" s="21" t="s">
        <v>493</v>
      </c>
      <c r="E203" s="21" t="s">
        <v>493</v>
      </c>
      <c r="F203" s="21" t="s">
        <v>493</v>
      </c>
      <c r="G203" s="21" t="s">
        <v>2815</v>
      </c>
      <c r="H203" s="21">
        <v>11984212821</v>
      </c>
      <c r="I203" s="21" t="s">
        <v>494</v>
      </c>
      <c r="J203" s="21" t="s">
        <v>2816</v>
      </c>
      <c r="L203" s="21" t="s">
        <v>495</v>
      </c>
      <c r="M203" s="21" t="s">
        <v>2817</v>
      </c>
      <c r="N203" s="21" t="s">
        <v>496</v>
      </c>
      <c r="O203" s="21" t="s">
        <v>69</v>
      </c>
      <c r="P203" s="21" t="s">
        <v>497</v>
      </c>
      <c r="R203" s="21" t="s">
        <v>498</v>
      </c>
      <c r="S203" s="21" t="s">
        <v>499</v>
      </c>
      <c r="V203" s="21" t="s">
        <v>500</v>
      </c>
      <c r="W203" s="21" t="s">
        <v>501</v>
      </c>
      <c r="X203" s="21" t="s">
        <v>502</v>
      </c>
      <c r="Y203" s="21" t="s">
        <v>503</v>
      </c>
      <c r="Z203" s="21">
        <v>3035614288</v>
      </c>
      <c r="AA203" s="26">
        <v>42744</v>
      </c>
      <c r="AB203" s="26">
        <v>42744</v>
      </c>
      <c r="AC203" s="21" t="s">
        <v>504</v>
      </c>
      <c r="AD203" s="21" t="s">
        <v>505</v>
      </c>
      <c r="AE203" s="21" t="s">
        <v>500</v>
      </c>
      <c r="AF203" s="21" t="s">
        <v>549</v>
      </c>
      <c r="AG203" s="21" t="s">
        <v>2818</v>
      </c>
      <c r="AH203" s="21" t="s">
        <v>2819</v>
      </c>
      <c r="AI203" s="21" t="s">
        <v>2797</v>
      </c>
      <c r="AJ203" s="21" t="s">
        <v>526</v>
      </c>
      <c r="AK203" s="21" t="s">
        <v>494</v>
      </c>
      <c r="AL203" s="21" t="s">
        <v>527</v>
      </c>
      <c r="AM203" s="21" t="s">
        <v>527</v>
      </c>
      <c r="AN203" s="21" t="s">
        <v>527</v>
      </c>
      <c r="AO203" s="21" t="s">
        <v>528</v>
      </c>
      <c r="AS203" s="21" t="s">
        <v>531</v>
      </c>
      <c r="AT203" s="21" t="s">
        <v>512</v>
      </c>
      <c r="AW203" s="21">
        <v>0</v>
      </c>
      <c r="AX203" s="21">
        <v>2</v>
      </c>
      <c r="AY203" s="26"/>
      <c r="AZ203" s="26"/>
      <c r="BB203" s="26"/>
      <c r="BC203" s="21" t="s">
        <v>513</v>
      </c>
      <c r="BD203" s="21" t="s">
        <v>514</v>
      </c>
      <c r="BE203" s="21" t="s">
        <v>514</v>
      </c>
      <c r="BF203" s="21" t="s">
        <v>515</v>
      </c>
      <c r="BG203" s="21">
        <v>1</v>
      </c>
      <c r="BH203" s="21" t="s">
        <v>516</v>
      </c>
      <c r="BI203" s="21" t="s">
        <v>517</v>
      </c>
      <c r="BJ203" s="21" t="s">
        <v>516</v>
      </c>
      <c r="BK203" s="21" t="s">
        <v>516</v>
      </c>
      <c r="BM203" s="21" t="s">
        <v>1453</v>
      </c>
      <c r="BN203" s="21" t="s">
        <v>231</v>
      </c>
      <c r="BO203" s="21" t="s">
        <v>518</v>
      </c>
      <c r="BP203" s="21" t="s">
        <v>1044</v>
      </c>
      <c r="BQ203" s="21" t="s">
        <v>1453</v>
      </c>
      <c r="BR203" s="21" t="s">
        <v>231</v>
      </c>
      <c r="BS203" s="21" t="s">
        <v>518</v>
      </c>
      <c r="BT203" s="21" t="s">
        <v>1044</v>
      </c>
      <c r="BU203" s="21" t="s">
        <v>231</v>
      </c>
      <c r="CD203" s="21" t="s">
        <v>520</v>
      </c>
      <c r="CF203" s="21" t="s">
        <v>521</v>
      </c>
      <c r="CN203" s="26"/>
      <c r="DB203" s="24" t="s">
        <v>943</v>
      </c>
      <c r="DC203" s="21">
        <v>1</v>
      </c>
      <c r="DD203" s="21">
        <v>2</v>
      </c>
      <c r="DE203" s="22">
        <v>42747</v>
      </c>
      <c r="DF203" s="21" t="s">
        <v>2820</v>
      </c>
      <c r="DG203" s="21" t="s">
        <v>522</v>
      </c>
      <c r="DH203" s="21" t="s">
        <v>2821</v>
      </c>
      <c r="DI203" s="21" t="s">
        <v>495</v>
      </c>
      <c r="DJ203" s="21" t="s">
        <v>520</v>
      </c>
      <c r="DK203" s="26"/>
      <c r="DL203" s="26">
        <v>42756</v>
      </c>
      <c r="DM203" s="26">
        <v>42746</v>
      </c>
      <c r="DN203" s="21">
        <v>3100</v>
      </c>
      <c r="DO203" s="21">
        <v>10</v>
      </c>
      <c r="DP203" s="21">
        <v>1</v>
      </c>
      <c r="DQ203" s="21">
        <v>1</v>
      </c>
      <c r="DR203" s="21">
        <v>7</v>
      </c>
      <c r="DS203" s="21">
        <v>10</v>
      </c>
      <c r="DT203" s="21">
        <v>10</v>
      </c>
      <c r="DU203" s="21">
        <v>10</v>
      </c>
      <c r="DW203" s="21">
        <v>10</v>
      </c>
      <c r="EA203" s="21">
        <v>10</v>
      </c>
      <c r="EB203" s="21" t="s">
        <v>2822</v>
      </c>
      <c r="EC203" s="21" t="s">
        <v>1224</v>
      </c>
      <c r="EF203" s="25">
        <v>1</v>
      </c>
      <c r="EG203" s="25">
        <v>0</v>
      </c>
      <c r="EH203" s="25">
        <v>1</v>
      </c>
      <c r="EI203" s="25">
        <v>0</v>
      </c>
      <c r="EJ203" s="25" t="s">
        <v>62</v>
      </c>
      <c r="EK203" s="25" t="s">
        <v>232</v>
      </c>
      <c r="EL203" s="25" t="s">
        <v>232</v>
      </c>
      <c r="EM203" s="25" t="s">
        <v>276</v>
      </c>
      <c r="EN203" s="25" t="s">
        <v>39</v>
      </c>
      <c r="EO203" s="25" t="s">
        <v>39</v>
      </c>
      <c r="EP203" s="25" t="s">
        <v>92</v>
      </c>
      <c r="EQ203" s="25" t="s">
        <v>92</v>
      </c>
      <c r="ER203" s="25" t="s">
        <v>278</v>
      </c>
      <c r="ES203" s="25" t="s">
        <v>278</v>
      </c>
      <c r="ET203" s="25">
        <v>1</v>
      </c>
      <c r="EU203" s="25" t="s">
        <v>522</v>
      </c>
      <c r="EV203" s="25" t="s">
        <v>232</v>
      </c>
      <c r="EW203" s="25" t="s">
        <v>39</v>
      </c>
      <c r="EX203" s="25" t="s">
        <v>278</v>
      </c>
      <c r="EY203" s="20" t="e">
        <v>#N/A</v>
      </c>
    </row>
    <row r="204" spans="1:155">
      <c r="A204" s="21" t="s">
        <v>491</v>
      </c>
      <c r="B204" s="21" t="s">
        <v>491</v>
      </c>
      <c r="C204" s="21" t="s">
        <v>492</v>
      </c>
      <c r="D204" s="21" t="s">
        <v>493</v>
      </c>
      <c r="E204" s="21" t="s">
        <v>493</v>
      </c>
      <c r="F204" s="21" t="s">
        <v>493</v>
      </c>
      <c r="G204" s="21" t="s">
        <v>2823</v>
      </c>
      <c r="H204" s="21">
        <v>61982182657</v>
      </c>
      <c r="I204" s="21" t="s">
        <v>494</v>
      </c>
      <c r="J204" s="21" t="s">
        <v>2824</v>
      </c>
      <c r="L204" s="21" t="s">
        <v>495</v>
      </c>
      <c r="M204" s="21" t="s">
        <v>2825</v>
      </c>
      <c r="N204" s="21" t="s">
        <v>1051</v>
      </c>
      <c r="O204" s="21" t="s">
        <v>93</v>
      </c>
      <c r="P204" s="21" t="s">
        <v>539</v>
      </c>
      <c r="Q204" s="21" t="s">
        <v>1168</v>
      </c>
      <c r="R204" s="21" t="s">
        <v>1052</v>
      </c>
      <c r="S204" s="21" t="s">
        <v>1053</v>
      </c>
      <c r="V204" s="21" t="s">
        <v>277</v>
      </c>
      <c r="W204" s="21" t="s">
        <v>524</v>
      </c>
      <c r="X204" s="21" t="s">
        <v>525</v>
      </c>
      <c r="Y204" s="21" t="s">
        <v>530</v>
      </c>
      <c r="Z204" s="21">
        <v>3035549115</v>
      </c>
      <c r="AA204" s="26">
        <v>42741</v>
      </c>
      <c r="AB204" s="26">
        <v>42744</v>
      </c>
      <c r="AC204" s="21" t="s">
        <v>504</v>
      </c>
      <c r="AD204" s="21" t="s">
        <v>505</v>
      </c>
      <c r="AE204" s="21" t="s">
        <v>565</v>
      </c>
      <c r="AF204" s="21" t="s">
        <v>566</v>
      </c>
      <c r="AG204" s="21" t="s">
        <v>567</v>
      </c>
      <c r="AH204" s="21" t="s">
        <v>568</v>
      </c>
      <c r="AI204" s="21" t="s">
        <v>2826</v>
      </c>
      <c r="AJ204" s="21" t="s">
        <v>507</v>
      </c>
      <c r="AK204" s="21" t="s">
        <v>494</v>
      </c>
      <c r="AL204" s="21" t="s">
        <v>527</v>
      </c>
      <c r="AM204" s="21" t="s">
        <v>527</v>
      </c>
      <c r="AN204" s="21" t="s">
        <v>527</v>
      </c>
      <c r="AO204" s="21" t="s">
        <v>528</v>
      </c>
      <c r="AS204" s="21" t="s">
        <v>511</v>
      </c>
      <c r="AT204" s="21" t="s">
        <v>512</v>
      </c>
      <c r="AW204" s="21">
        <v>0</v>
      </c>
      <c r="AX204" s="21">
        <v>5</v>
      </c>
      <c r="AY204" s="26"/>
      <c r="AZ204" s="26"/>
      <c r="BB204" s="26"/>
      <c r="BC204" s="21" t="s">
        <v>513</v>
      </c>
      <c r="BD204" s="21" t="s">
        <v>514</v>
      </c>
      <c r="BE204" s="21" t="s">
        <v>514</v>
      </c>
      <c r="BF204" s="21" t="s">
        <v>515</v>
      </c>
      <c r="BG204" s="21">
        <v>1</v>
      </c>
      <c r="BH204" s="21" t="s">
        <v>516</v>
      </c>
      <c r="BI204" s="21" t="s">
        <v>517</v>
      </c>
      <c r="BJ204" s="21" t="s">
        <v>516</v>
      </c>
      <c r="BK204" s="21" t="s">
        <v>516</v>
      </c>
      <c r="BM204" s="21" t="s">
        <v>42</v>
      </c>
      <c r="BN204" s="21" t="s">
        <v>246</v>
      </c>
      <c r="BO204" s="21" t="s">
        <v>518</v>
      </c>
      <c r="BP204" s="21" t="s">
        <v>519</v>
      </c>
      <c r="BQ204" s="21" t="s">
        <v>38</v>
      </c>
      <c r="BR204" s="21" t="s">
        <v>238</v>
      </c>
      <c r="BS204" s="21" t="s">
        <v>518</v>
      </c>
      <c r="BT204" s="21" t="s">
        <v>1044</v>
      </c>
      <c r="BU204" s="21" t="s">
        <v>246</v>
      </c>
      <c r="CD204" s="21" t="s">
        <v>520</v>
      </c>
      <c r="CF204" s="21" t="s">
        <v>521</v>
      </c>
      <c r="CN204" s="26"/>
      <c r="DB204" s="24" t="s">
        <v>943</v>
      </c>
      <c r="DC204" s="21">
        <v>1</v>
      </c>
      <c r="DD204" s="21">
        <v>2</v>
      </c>
      <c r="DE204" s="22">
        <v>42747</v>
      </c>
      <c r="DF204" s="21" t="s">
        <v>2827</v>
      </c>
      <c r="DG204" s="21" t="s">
        <v>522</v>
      </c>
      <c r="DH204" s="21" t="s">
        <v>2828</v>
      </c>
      <c r="DI204" s="21" t="s">
        <v>495</v>
      </c>
      <c r="DJ204" s="21" t="s">
        <v>520</v>
      </c>
      <c r="DK204" s="26"/>
      <c r="DL204" s="26">
        <v>42756</v>
      </c>
      <c r="DM204" s="26">
        <v>42746</v>
      </c>
      <c r="DN204" s="21">
        <v>1100</v>
      </c>
      <c r="DO204" s="21">
        <v>9</v>
      </c>
      <c r="DP204" s="21">
        <v>1</v>
      </c>
      <c r="DQ204" s="21">
        <v>1</v>
      </c>
      <c r="DR204" s="21">
        <v>6</v>
      </c>
      <c r="DS204" s="21">
        <v>10</v>
      </c>
      <c r="DT204" s="21">
        <v>10</v>
      </c>
      <c r="DU204" s="21">
        <v>10</v>
      </c>
      <c r="DW204" s="21">
        <v>10</v>
      </c>
      <c r="EA204" s="21">
        <v>10</v>
      </c>
      <c r="EB204" s="21" t="s">
        <v>2829</v>
      </c>
      <c r="EC204" s="21" t="s">
        <v>1221</v>
      </c>
      <c r="EF204" s="25">
        <v>1</v>
      </c>
      <c r="EG204" s="25">
        <v>0</v>
      </c>
      <c r="EH204" s="25">
        <v>1</v>
      </c>
      <c r="EI204" s="25">
        <v>0</v>
      </c>
      <c r="EJ204" s="25" t="s">
        <v>92</v>
      </c>
      <c r="EK204" s="25" t="s">
        <v>247</v>
      </c>
      <c r="EL204" s="25" t="s">
        <v>239</v>
      </c>
      <c r="EM204" s="25" t="s">
        <v>276</v>
      </c>
      <c r="EN204" s="25" t="s">
        <v>39</v>
      </c>
      <c r="EO204" s="25" t="s">
        <v>39</v>
      </c>
      <c r="EP204" s="25" t="s">
        <v>92</v>
      </c>
      <c r="EQ204" s="25" t="s">
        <v>529</v>
      </c>
      <c r="ER204" s="25" t="s">
        <v>278</v>
      </c>
      <c r="ES204" s="25" t="s">
        <v>278</v>
      </c>
      <c r="ET204" s="25">
        <v>1</v>
      </c>
      <c r="EU204" s="25" t="s">
        <v>522</v>
      </c>
      <c r="EV204" s="25" t="s">
        <v>279</v>
      </c>
      <c r="EW204" s="25" t="s">
        <v>279</v>
      </c>
      <c r="EX204" s="25" t="s">
        <v>279</v>
      </c>
      <c r="EY204" s="20" t="e">
        <v>#N/A</v>
      </c>
    </row>
    <row r="205" spans="1:155">
      <c r="A205" s="21" t="s">
        <v>491</v>
      </c>
      <c r="B205" s="21" t="s">
        <v>491</v>
      </c>
      <c r="C205" s="21" t="s">
        <v>492</v>
      </c>
      <c r="D205" s="21" t="s">
        <v>493</v>
      </c>
      <c r="E205" s="21" t="s">
        <v>493</v>
      </c>
      <c r="F205" s="21" t="s">
        <v>493</v>
      </c>
      <c r="G205" s="21" t="s">
        <v>2830</v>
      </c>
      <c r="H205" s="21">
        <v>19995426584</v>
      </c>
      <c r="I205" s="21" t="s">
        <v>494</v>
      </c>
      <c r="J205" s="21" t="s">
        <v>2831</v>
      </c>
      <c r="L205" s="21" t="s">
        <v>495</v>
      </c>
      <c r="M205" s="21" t="s">
        <v>2832</v>
      </c>
      <c r="N205" s="21" t="s">
        <v>2833</v>
      </c>
      <c r="O205" s="21" t="s">
        <v>97</v>
      </c>
      <c r="P205" s="21" t="s">
        <v>1040</v>
      </c>
      <c r="R205" s="21" t="s">
        <v>2834</v>
      </c>
      <c r="S205" s="21" t="s">
        <v>2835</v>
      </c>
      <c r="V205" s="21" t="s">
        <v>500</v>
      </c>
      <c r="W205" s="21" t="s">
        <v>501</v>
      </c>
      <c r="X205" s="21" t="s">
        <v>502</v>
      </c>
      <c r="Y205" s="21" t="s">
        <v>503</v>
      </c>
      <c r="Z205" s="21">
        <v>3035611905</v>
      </c>
      <c r="AA205" s="26">
        <v>42744</v>
      </c>
      <c r="AB205" s="26">
        <v>42744</v>
      </c>
      <c r="AC205" s="21" t="s">
        <v>504</v>
      </c>
      <c r="AD205" s="21" t="s">
        <v>505</v>
      </c>
      <c r="AE205" s="21" t="s">
        <v>500</v>
      </c>
      <c r="AF205" s="21" t="s">
        <v>549</v>
      </c>
      <c r="AG205" s="21" t="s">
        <v>555</v>
      </c>
      <c r="AH205" s="21" t="s">
        <v>556</v>
      </c>
      <c r="AI205" s="21" t="s">
        <v>594</v>
      </c>
      <c r="AJ205" s="21" t="s">
        <v>526</v>
      </c>
      <c r="AK205" s="21" t="s">
        <v>494</v>
      </c>
      <c r="AL205" s="21" t="s">
        <v>508</v>
      </c>
      <c r="AM205" s="21" t="s">
        <v>509</v>
      </c>
      <c r="AN205" s="21" t="s">
        <v>509</v>
      </c>
      <c r="AO205" s="21" t="s">
        <v>510</v>
      </c>
      <c r="AS205" s="21" t="s">
        <v>511</v>
      </c>
      <c r="AT205" s="21" t="s">
        <v>512</v>
      </c>
      <c r="AW205" s="21">
        <v>0</v>
      </c>
      <c r="AX205" s="21">
        <v>3</v>
      </c>
      <c r="AY205" s="26"/>
      <c r="AZ205" s="26"/>
      <c r="BB205" s="26"/>
      <c r="BC205" s="21" t="s">
        <v>513</v>
      </c>
      <c r="BD205" s="21" t="s">
        <v>514</v>
      </c>
      <c r="BE205" s="21" t="s">
        <v>514</v>
      </c>
      <c r="BF205" s="21" t="s">
        <v>515</v>
      </c>
      <c r="BG205" s="21">
        <v>1</v>
      </c>
      <c r="BH205" s="21" t="s">
        <v>516</v>
      </c>
      <c r="BI205" s="21" t="s">
        <v>517</v>
      </c>
      <c r="BJ205" s="21" t="s">
        <v>516</v>
      </c>
      <c r="BK205" s="21" t="s">
        <v>516</v>
      </c>
      <c r="BM205" s="21" t="s">
        <v>34</v>
      </c>
      <c r="BN205" s="21" t="s">
        <v>113</v>
      </c>
      <c r="BO205" s="21" t="s">
        <v>518</v>
      </c>
      <c r="BP205" s="21" t="s">
        <v>2836</v>
      </c>
      <c r="BQ205" s="21" t="s">
        <v>34</v>
      </c>
      <c r="BR205" s="21" t="s">
        <v>113</v>
      </c>
      <c r="BS205" s="21" t="s">
        <v>518</v>
      </c>
      <c r="BT205" s="21" t="s">
        <v>2836</v>
      </c>
      <c r="BU205" s="21" t="s">
        <v>113</v>
      </c>
      <c r="CD205" s="21" t="s">
        <v>520</v>
      </c>
      <c r="CF205" s="21" t="s">
        <v>521</v>
      </c>
      <c r="CN205" s="26"/>
      <c r="DB205" s="24" t="s">
        <v>943</v>
      </c>
      <c r="DC205" s="21">
        <v>1</v>
      </c>
      <c r="DD205" s="21">
        <v>2</v>
      </c>
      <c r="DE205" s="22">
        <v>42747</v>
      </c>
      <c r="DF205" s="21" t="s">
        <v>2837</v>
      </c>
      <c r="DG205" s="21" t="s">
        <v>522</v>
      </c>
      <c r="DH205" s="21" t="s">
        <v>2838</v>
      </c>
      <c r="DI205" s="21" t="s">
        <v>495</v>
      </c>
      <c r="DJ205" s="21" t="s">
        <v>520</v>
      </c>
      <c r="DK205" s="26"/>
      <c r="DL205" s="26">
        <v>42756</v>
      </c>
      <c r="DM205" s="26">
        <v>42746</v>
      </c>
      <c r="DN205" s="21">
        <v>3100</v>
      </c>
      <c r="DO205" s="21">
        <v>10</v>
      </c>
      <c r="DP205" s="21">
        <v>1</v>
      </c>
      <c r="DQ205" s="21">
        <v>1</v>
      </c>
      <c r="DR205" s="21">
        <v>7</v>
      </c>
      <c r="DS205" s="21">
        <v>10</v>
      </c>
      <c r="DT205" s="21">
        <v>10</v>
      </c>
      <c r="DU205" s="21">
        <v>10</v>
      </c>
      <c r="DW205" s="21">
        <v>10</v>
      </c>
      <c r="EA205" s="21">
        <v>10</v>
      </c>
      <c r="EF205" s="25">
        <v>1</v>
      </c>
      <c r="EG205" s="25">
        <v>0</v>
      </c>
      <c r="EH205" s="25">
        <v>1</v>
      </c>
      <c r="EI205" s="25">
        <v>0</v>
      </c>
      <c r="EJ205" s="25" t="s">
        <v>62</v>
      </c>
      <c r="EK205" s="25" t="s">
        <v>114</v>
      </c>
      <c r="EL205" s="25" t="s">
        <v>114</v>
      </c>
      <c r="EM205" s="25" t="s">
        <v>276</v>
      </c>
      <c r="EN205" s="25" t="s">
        <v>31</v>
      </c>
      <c r="EO205" s="25" t="s">
        <v>31</v>
      </c>
      <c r="EP205" s="25" t="s">
        <v>62</v>
      </c>
      <c r="EQ205" s="25" t="s">
        <v>62</v>
      </c>
      <c r="ER205" s="25" t="s">
        <v>278</v>
      </c>
      <c r="ES205" s="25" t="s">
        <v>278</v>
      </c>
      <c r="ET205" s="25">
        <v>1</v>
      </c>
      <c r="EU205" s="25" t="s">
        <v>522</v>
      </c>
      <c r="EV205" s="25" t="s">
        <v>114</v>
      </c>
      <c r="EW205" s="25" t="s">
        <v>31</v>
      </c>
      <c r="EX205" s="25" t="s">
        <v>278</v>
      </c>
      <c r="EY205" s="20" t="e">
        <v>#N/A</v>
      </c>
    </row>
    <row r="206" spans="1:155">
      <c r="A206" s="21" t="s">
        <v>491</v>
      </c>
      <c r="B206" s="21" t="s">
        <v>491</v>
      </c>
      <c r="C206" s="21" t="s">
        <v>492</v>
      </c>
      <c r="D206" s="21" t="s">
        <v>493</v>
      </c>
      <c r="E206" s="21" t="s">
        <v>493</v>
      </c>
      <c r="F206" s="21" t="s">
        <v>493</v>
      </c>
      <c r="G206" s="21" t="s">
        <v>2941</v>
      </c>
      <c r="H206" s="21">
        <v>1129547375</v>
      </c>
      <c r="I206" s="21" t="s">
        <v>494</v>
      </c>
      <c r="J206" s="21" t="s">
        <v>2942</v>
      </c>
      <c r="L206" s="21" t="s">
        <v>495</v>
      </c>
      <c r="M206" s="21" t="s">
        <v>2943</v>
      </c>
      <c r="N206" s="21" t="s">
        <v>496</v>
      </c>
      <c r="O206" s="21" t="s">
        <v>69</v>
      </c>
      <c r="P206" s="21" t="s">
        <v>497</v>
      </c>
      <c r="R206" s="21" t="s">
        <v>498</v>
      </c>
      <c r="S206" s="21" t="s">
        <v>499</v>
      </c>
      <c r="V206" s="21" t="s">
        <v>500</v>
      </c>
      <c r="W206" s="21" t="s">
        <v>501</v>
      </c>
      <c r="X206" s="21" t="s">
        <v>502</v>
      </c>
      <c r="Y206" s="21" t="s">
        <v>503</v>
      </c>
      <c r="Z206" s="21">
        <v>3035616253</v>
      </c>
      <c r="AA206" s="26">
        <v>42744</v>
      </c>
      <c r="AB206" s="26">
        <v>42744</v>
      </c>
      <c r="AC206" s="21" t="s">
        <v>504</v>
      </c>
      <c r="AD206" s="21" t="s">
        <v>505</v>
      </c>
      <c r="AE206" s="21" t="s">
        <v>1091</v>
      </c>
      <c r="AF206" s="21" t="s">
        <v>2524</v>
      </c>
      <c r="AG206" s="21" t="s">
        <v>2944</v>
      </c>
      <c r="AH206" s="21" t="s">
        <v>2945</v>
      </c>
      <c r="AI206" s="21" t="s">
        <v>2754</v>
      </c>
      <c r="AJ206" s="21" t="s">
        <v>526</v>
      </c>
      <c r="AK206" s="21" t="s">
        <v>494</v>
      </c>
      <c r="AL206" s="21" t="s">
        <v>527</v>
      </c>
      <c r="AM206" s="21" t="s">
        <v>527</v>
      </c>
      <c r="AN206" s="21" t="s">
        <v>527</v>
      </c>
      <c r="AO206" s="21" t="s">
        <v>528</v>
      </c>
      <c r="AS206" s="21" t="s">
        <v>511</v>
      </c>
      <c r="AT206" s="21" t="s">
        <v>512</v>
      </c>
      <c r="AW206" s="21">
        <v>0</v>
      </c>
      <c r="AX206" s="21">
        <v>2</v>
      </c>
      <c r="AY206" s="26"/>
      <c r="AZ206" s="26"/>
      <c r="BB206" s="26"/>
      <c r="BC206" s="21" t="s">
        <v>513</v>
      </c>
      <c r="BD206" s="21" t="s">
        <v>514</v>
      </c>
      <c r="BE206" s="21" t="s">
        <v>514</v>
      </c>
      <c r="BF206" s="21" t="s">
        <v>515</v>
      </c>
      <c r="BG206" s="21">
        <v>1</v>
      </c>
      <c r="BH206" s="21" t="s">
        <v>516</v>
      </c>
      <c r="BI206" s="21" t="s">
        <v>517</v>
      </c>
      <c r="BJ206" s="21" t="s">
        <v>516</v>
      </c>
      <c r="BK206" s="21" t="s">
        <v>516</v>
      </c>
      <c r="BM206" s="21" t="s">
        <v>16</v>
      </c>
      <c r="BN206" s="21" t="s">
        <v>111</v>
      </c>
      <c r="BO206" s="21" t="s">
        <v>518</v>
      </c>
      <c r="BP206" s="21" t="s">
        <v>519</v>
      </c>
      <c r="BQ206" s="21" t="s">
        <v>16</v>
      </c>
      <c r="BR206" s="21" t="s">
        <v>111</v>
      </c>
      <c r="BS206" s="21" t="s">
        <v>518</v>
      </c>
      <c r="BT206" s="21" t="s">
        <v>519</v>
      </c>
      <c r="BU206" s="21" t="s">
        <v>111</v>
      </c>
      <c r="CD206" s="21" t="s">
        <v>520</v>
      </c>
      <c r="CF206" s="21" t="s">
        <v>521</v>
      </c>
      <c r="CN206" s="26"/>
      <c r="DB206" s="24" t="s">
        <v>943</v>
      </c>
      <c r="DC206" s="21">
        <v>1</v>
      </c>
      <c r="DD206" s="21">
        <v>2</v>
      </c>
      <c r="DE206" s="22">
        <v>42747</v>
      </c>
      <c r="DF206" s="21" t="s">
        <v>2946</v>
      </c>
      <c r="DG206" s="21" t="s">
        <v>522</v>
      </c>
      <c r="DH206" s="21" t="s">
        <v>2947</v>
      </c>
      <c r="DI206" s="21" t="s">
        <v>495</v>
      </c>
      <c r="DJ206" s="21" t="s">
        <v>520</v>
      </c>
      <c r="DK206" s="26"/>
      <c r="DL206" s="26">
        <v>42756</v>
      </c>
      <c r="DM206" s="26">
        <v>42746</v>
      </c>
      <c r="DN206" s="21">
        <v>3100</v>
      </c>
      <c r="DO206" s="21">
        <v>10</v>
      </c>
      <c r="DP206" s="21">
        <v>1</v>
      </c>
      <c r="DQ206" s="21">
        <v>1</v>
      </c>
      <c r="DR206" s="21">
        <v>7</v>
      </c>
      <c r="DS206" s="21">
        <v>10</v>
      </c>
      <c r="DT206" s="21">
        <v>10</v>
      </c>
      <c r="DU206" s="21">
        <v>10</v>
      </c>
      <c r="DW206" s="21">
        <v>10</v>
      </c>
      <c r="EA206" s="21">
        <v>10</v>
      </c>
      <c r="EB206" s="21" t="s">
        <v>2948</v>
      </c>
      <c r="EC206" s="21" t="s">
        <v>1221</v>
      </c>
      <c r="EF206" s="25">
        <v>1</v>
      </c>
      <c r="EG206" s="25">
        <v>0</v>
      </c>
      <c r="EH206" s="25">
        <v>1</v>
      </c>
      <c r="EI206" s="25">
        <v>0</v>
      </c>
      <c r="EJ206" s="25" t="s">
        <v>62</v>
      </c>
      <c r="EK206" s="25" t="s">
        <v>112</v>
      </c>
      <c r="EL206" s="25" t="s">
        <v>112</v>
      </c>
      <c r="EM206" s="25" t="s">
        <v>276</v>
      </c>
      <c r="EN206" s="25" t="s">
        <v>9</v>
      </c>
      <c r="EO206" s="25" t="s">
        <v>9</v>
      </c>
      <c r="EP206" s="25" t="s">
        <v>62</v>
      </c>
      <c r="EQ206" s="25" t="s">
        <v>62</v>
      </c>
      <c r="ER206" s="25" t="s">
        <v>278</v>
      </c>
      <c r="ES206" s="25" t="s">
        <v>278</v>
      </c>
      <c r="ET206" s="25">
        <v>1</v>
      </c>
      <c r="EU206" s="25" t="s">
        <v>522</v>
      </c>
      <c r="EV206" s="25" t="s">
        <v>112</v>
      </c>
      <c r="EW206" s="25" t="s">
        <v>9</v>
      </c>
      <c r="EX206" s="25" t="s">
        <v>278</v>
      </c>
      <c r="EY206" s="20" t="e">
        <v>#N/A</v>
      </c>
    </row>
    <row r="207" spans="1:155">
      <c r="A207" s="21" t="s">
        <v>491</v>
      </c>
      <c r="B207" s="21" t="s">
        <v>491</v>
      </c>
      <c r="C207" s="21" t="s">
        <v>492</v>
      </c>
      <c r="D207" s="21" t="s">
        <v>493</v>
      </c>
      <c r="E207" s="21" t="s">
        <v>493</v>
      </c>
      <c r="F207" s="21" t="s">
        <v>493</v>
      </c>
      <c r="G207" s="21" t="s">
        <v>2949</v>
      </c>
      <c r="H207" s="21" t="s">
        <v>2950</v>
      </c>
      <c r="I207" s="21" t="s">
        <v>494</v>
      </c>
      <c r="J207" s="21" t="s">
        <v>2951</v>
      </c>
      <c r="L207" s="21" t="s">
        <v>495</v>
      </c>
      <c r="M207" s="21" t="s">
        <v>2952</v>
      </c>
      <c r="N207" s="21" t="s">
        <v>2953</v>
      </c>
      <c r="O207" s="21" t="s">
        <v>97</v>
      </c>
      <c r="P207" s="21" t="s">
        <v>1040</v>
      </c>
      <c r="R207" s="21" t="s">
        <v>2954</v>
      </c>
      <c r="S207" s="21" t="s">
        <v>2955</v>
      </c>
      <c r="V207" s="21" t="s">
        <v>500</v>
      </c>
      <c r="W207" s="21" t="s">
        <v>501</v>
      </c>
      <c r="X207" s="21" t="s">
        <v>502</v>
      </c>
      <c r="Y207" s="21" t="s">
        <v>503</v>
      </c>
      <c r="Z207" s="21">
        <v>3035486891</v>
      </c>
      <c r="AA207" s="26">
        <v>42739</v>
      </c>
      <c r="AB207" s="26">
        <v>42744</v>
      </c>
      <c r="AC207" s="21" t="s">
        <v>504</v>
      </c>
      <c r="AD207" s="21" t="s">
        <v>512</v>
      </c>
      <c r="AE207" s="21" t="s">
        <v>500</v>
      </c>
      <c r="AF207" s="21" t="s">
        <v>564</v>
      </c>
      <c r="AG207" s="21" t="s">
        <v>571</v>
      </c>
      <c r="AH207" s="21" t="s">
        <v>572</v>
      </c>
      <c r="AI207" s="21" t="s">
        <v>2956</v>
      </c>
      <c r="AJ207" s="21" t="s">
        <v>507</v>
      </c>
      <c r="AK207" s="21" t="s">
        <v>494</v>
      </c>
      <c r="AL207" s="21" t="s">
        <v>508</v>
      </c>
      <c r="AM207" s="21" t="s">
        <v>509</v>
      </c>
      <c r="AN207" s="21" t="s">
        <v>527</v>
      </c>
      <c r="AO207" s="21" t="s">
        <v>528</v>
      </c>
      <c r="AQ207" s="21" t="s">
        <v>1431</v>
      </c>
      <c r="AS207" s="21" t="s">
        <v>511</v>
      </c>
      <c r="AT207" s="21" t="s">
        <v>2957</v>
      </c>
      <c r="AX207" s="21">
        <v>2</v>
      </c>
      <c r="AY207" s="26"/>
      <c r="AZ207" s="26"/>
      <c r="BB207" s="26"/>
      <c r="BC207" s="21" t="s">
        <v>513</v>
      </c>
      <c r="BD207" s="21" t="s">
        <v>514</v>
      </c>
      <c r="BE207" s="21" t="s">
        <v>514</v>
      </c>
      <c r="BF207" s="21" t="s">
        <v>515</v>
      </c>
      <c r="BG207" s="21">
        <v>1</v>
      </c>
      <c r="BH207" s="21" t="s">
        <v>516</v>
      </c>
      <c r="BI207" s="21" t="s">
        <v>517</v>
      </c>
      <c r="BJ207" s="21" t="s">
        <v>516</v>
      </c>
      <c r="BK207" s="21" t="s">
        <v>516</v>
      </c>
      <c r="BN207" s="21" t="s">
        <v>862</v>
      </c>
      <c r="BR207" s="21" t="s">
        <v>883</v>
      </c>
      <c r="BT207" s="21" t="s">
        <v>533</v>
      </c>
      <c r="BU207" s="21" t="s">
        <v>862</v>
      </c>
      <c r="CD207" s="21" t="s">
        <v>520</v>
      </c>
      <c r="CF207" s="21" t="s">
        <v>534</v>
      </c>
      <c r="CG207" s="21" t="s">
        <v>515</v>
      </c>
      <c r="CH207" s="21" t="s">
        <v>535</v>
      </c>
      <c r="CI207" s="21" t="s">
        <v>1419</v>
      </c>
      <c r="CJ207" s="21" t="s">
        <v>1733</v>
      </c>
      <c r="CL207" s="21" t="s">
        <v>2958</v>
      </c>
      <c r="CM207" s="21">
        <v>3035487545</v>
      </c>
      <c r="CN207" s="26">
        <v>42740</v>
      </c>
      <c r="CO207" s="21" t="s">
        <v>537</v>
      </c>
      <c r="CP207" s="21" t="s">
        <v>516</v>
      </c>
      <c r="CR207" s="21" t="s">
        <v>1525</v>
      </c>
      <c r="CS207" s="21" t="s">
        <v>516</v>
      </c>
      <c r="CU207" s="21" t="s">
        <v>990</v>
      </c>
      <c r="CV207" s="21" t="s">
        <v>990</v>
      </c>
      <c r="CW207" s="21" t="s">
        <v>519</v>
      </c>
      <c r="CX207" s="21" t="s">
        <v>1525</v>
      </c>
      <c r="CY207" s="21" t="s">
        <v>516</v>
      </c>
      <c r="CZ207" s="21" t="s">
        <v>533</v>
      </c>
      <c r="DA207" s="21" t="s">
        <v>516</v>
      </c>
      <c r="DB207" s="24" t="s">
        <v>943</v>
      </c>
      <c r="DC207" s="21">
        <v>1</v>
      </c>
      <c r="DD207" s="21">
        <v>2</v>
      </c>
      <c r="DE207" s="22">
        <v>42747</v>
      </c>
      <c r="DF207" s="21" t="s">
        <v>2959</v>
      </c>
      <c r="DG207" s="21" t="s">
        <v>538</v>
      </c>
      <c r="DH207" s="21" t="s">
        <v>2960</v>
      </c>
      <c r="DI207" s="21" t="s">
        <v>495</v>
      </c>
      <c r="DJ207" s="21" t="s">
        <v>520</v>
      </c>
      <c r="DK207" s="26"/>
      <c r="DL207" s="26">
        <v>42756</v>
      </c>
      <c r="DM207" s="26">
        <v>42746</v>
      </c>
      <c r="DN207" s="21">
        <v>3100</v>
      </c>
      <c r="DO207" s="21">
        <v>10</v>
      </c>
      <c r="DP207" s="21">
        <v>1</v>
      </c>
      <c r="DQ207" s="21">
        <v>1</v>
      </c>
      <c r="DR207" s="21">
        <v>7</v>
      </c>
      <c r="DS207" s="21">
        <v>10</v>
      </c>
      <c r="DT207" s="21">
        <v>10</v>
      </c>
      <c r="DU207" s="21">
        <v>10</v>
      </c>
      <c r="DW207" s="21">
        <v>10</v>
      </c>
      <c r="DY207" s="21">
        <v>10</v>
      </c>
      <c r="EA207" s="21">
        <v>10</v>
      </c>
      <c r="EB207" s="21" t="s">
        <v>2961</v>
      </c>
      <c r="EC207" s="21" t="s">
        <v>1221</v>
      </c>
      <c r="EF207" s="25">
        <v>1</v>
      </c>
      <c r="EG207" s="25">
        <v>0</v>
      </c>
      <c r="EH207" s="25">
        <v>1</v>
      </c>
      <c r="EI207" s="25">
        <v>0</v>
      </c>
      <c r="EJ207" s="25" t="s">
        <v>62</v>
      </c>
      <c r="EK207" s="25" t="s">
        <v>624</v>
      </c>
      <c r="EL207" s="25" t="s">
        <v>96</v>
      </c>
      <c r="EM207" s="25" t="s">
        <v>276</v>
      </c>
      <c r="EN207" s="25" t="s">
        <v>23</v>
      </c>
      <c r="EO207" s="25" t="s">
        <v>204</v>
      </c>
      <c r="EP207" s="25" t="s">
        <v>62</v>
      </c>
      <c r="EQ207" s="25" t="s">
        <v>65</v>
      </c>
      <c r="ER207" s="25" t="s">
        <v>278</v>
      </c>
      <c r="ES207" s="25" t="s">
        <v>278</v>
      </c>
      <c r="ET207" s="25">
        <v>1</v>
      </c>
      <c r="EU207" s="25" t="s">
        <v>522</v>
      </c>
      <c r="EV207" s="25" t="s">
        <v>279</v>
      </c>
      <c r="EW207" s="25" t="s">
        <v>279</v>
      </c>
      <c r="EX207" s="25" t="s">
        <v>279</v>
      </c>
      <c r="EY207" s="20" t="e">
        <v>#N/A</v>
      </c>
    </row>
    <row r="208" spans="1:155">
      <c r="A208" s="21" t="s">
        <v>491</v>
      </c>
      <c r="B208" s="21" t="s">
        <v>491</v>
      </c>
      <c r="C208" s="21" t="s">
        <v>492</v>
      </c>
      <c r="D208" s="21" t="s">
        <v>493</v>
      </c>
      <c r="E208" s="21" t="s">
        <v>493</v>
      </c>
      <c r="F208" s="21" t="s">
        <v>493</v>
      </c>
      <c r="G208" s="21" t="s">
        <v>2962</v>
      </c>
      <c r="H208" s="21">
        <v>2135615725</v>
      </c>
      <c r="I208" s="21" t="s">
        <v>494</v>
      </c>
      <c r="J208" s="21" t="s">
        <v>2963</v>
      </c>
      <c r="L208" s="21" t="s">
        <v>495</v>
      </c>
      <c r="M208" s="21" t="s">
        <v>2964</v>
      </c>
      <c r="N208" s="21" t="s">
        <v>1258</v>
      </c>
      <c r="O208" s="21" t="s">
        <v>69</v>
      </c>
      <c r="P208" s="21" t="s">
        <v>497</v>
      </c>
      <c r="R208" s="21" t="s">
        <v>1259</v>
      </c>
      <c r="S208" s="21" t="s">
        <v>1260</v>
      </c>
      <c r="V208" s="21" t="s">
        <v>500</v>
      </c>
      <c r="W208" s="21" t="s">
        <v>501</v>
      </c>
      <c r="X208" s="21" t="s">
        <v>502</v>
      </c>
      <c r="Y208" s="21" t="s">
        <v>503</v>
      </c>
      <c r="Z208" s="21">
        <v>3035620204</v>
      </c>
      <c r="AA208" s="26">
        <v>42744</v>
      </c>
      <c r="AB208" s="26">
        <v>42744</v>
      </c>
      <c r="AC208" s="21" t="s">
        <v>504</v>
      </c>
      <c r="AD208" s="21" t="s">
        <v>505</v>
      </c>
      <c r="AE208" s="21" t="s">
        <v>500</v>
      </c>
      <c r="AF208" s="21" t="s">
        <v>506</v>
      </c>
      <c r="AG208" s="21" t="s">
        <v>1638</v>
      </c>
      <c r="AH208" s="21" t="s">
        <v>1639</v>
      </c>
      <c r="AI208" s="21" t="s">
        <v>2965</v>
      </c>
      <c r="AJ208" s="21" t="s">
        <v>526</v>
      </c>
      <c r="AK208" s="21" t="s">
        <v>494</v>
      </c>
      <c r="AL208" s="21" t="s">
        <v>508</v>
      </c>
      <c r="AM208" s="21" t="s">
        <v>509</v>
      </c>
      <c r="AN208" s="21" t="s">
        <v>509</v>
      </c>
      <c r="AO208" s="21" t="s">
        <v>510</v>
      </c>
      <c r="AS208" s="21" t="s">
        <v>511</v>
      </c>
      <c r="AT208" s="21" t="s">
        <v>512</v>
      </c>
      <c r="AW208" s="21">
        <v>0</v>
      </c>
      <c r="AX208" s="21">
        <v>2</v>
      </c>
      <c r="AY208" s="26"/>
      <c r="AZ208" s="26"/>
      <c r="BB208" s="26"/>
      <c r="BC208" s="21" t="s">
        <v>513</v>
      </c>
      <c r="BD208" s="21" t="s">
        <v>514</v>
      </c>
      <c r="BE208" s="21" t="s">
        <v>514</v>
      </c>
      <c r="BF208" s="21" t="s">
        <v>515</v>
      </c>
      <c r="BG208" s="21">
        <v>1</v>
      </c>
      <c r="BH208" s="21" t="s">
        <v>516</v>
      </c>
      <c r="BI208" s="21" t="s">
        <v>517</v>
      </c>
      <c r="BJ208" s="21" t="s">
        <v>516</v>
      </c>
      <c r="BK208" s="21" t="s">
        <v>516</v>
      </c>
      <c r="BM208" s="21" t="s">
        <v>44</v>
      </c>
      <c r="BN208" s="21" t="s">
        <v>244</v>
      </c>
      <c r="BO208" s="21" t="s">
        <v>518</v>
      </c>
      <c r="BP208" s="21" t="s">
        <v>1044</v>
      </c>
      <c r="BQ208" s="21" t="s">
        <v>44</v>
      </c>
      <c r="BR208" s="21" t="s">
        <v>244</v>
      </c>
      <c r="BS208" s="21" t="s">
        <v>518</v>
      </c>
      <c r="BT208" s="21" t="s">
        <v>1044</v>
      </c>
      <c r="BU208" s="21" t="s">
        <v>244</v>
      </c>
      <c r="CD208" s="21" t="s">
        <v>520</v>
      </c>
      <c r="CF208" s="21" t="s">
        <v>521</v>
      </c>
      <c r="CN208" s="26"/>
      <c r="DB208" s="24" t="s">
        <v>943</v>
      </c>
      <c r="DC208" s="21">
        <v>1</v>
      </c>
      <c r="DD208" s="21">
        <v>2</v>
      </c>
      <c r="DE208" s="22">
        <v>42747</v>
      </c>
      <c r="DF208" s="21" t="s">
        <v>1454</v>
      </c>
      <c r="DG208" s="21" t="s">
        <v>522</v>
      </c>
      <c r="DH208" s="21" t="s">
        <v>2966</v>
      </c>
      <c r="DI208" s="21" t="s">
        <v>495</v>
      </c>
      <c r="DJ208" s="21" t="s">
        <v>520</v>
      </c>
      <c r="DK208" s="26"/>
      <c r="DL208" s="26">
        <v>42756</v>
      </c>
      <c r="DM208" s="26">
        <v>42746</v>
      </c>
      <c r="DN208" s="21">
        <v>3100</v>
      </c>
      <c r="DO208" s="21">
        <v>10</v>
      </c>
      <c r="DP208" s="21">
        <v>1</v>
      </c>
      <c r="DQ208" s="21">
        <v>1</v>
      </c>
      <c r="DR208" s="21">
        <v>7</v>
      </c>
      <c r="DS208" s="21">
        <v>10</v>
      </c>
      <c r="DT208" s="21">
        <v>10</v>
      </c>
      <c r="DU208" s="21">
        <v>10</v>
      </c>
      <c r="DW208" s="21">
        <v>10</v>
      </c>
      <c r="EA208" s="21">
        <v>10</v>
      </c>
      <c r="EB208" s="21" t="s">
        <v>2967</v>
      </c>
      <c r="EC208" s="21" t="s">
        <v>1221</v>
      </c>
      <c r="EF208" s="25">
        <v>1</v>
      </c>
      <c r="EG208" s="25">
        <v>0</v>
      </c>
      <c r="EH208" s="25">
        <v>1</v>
      </c>
      <c r="EI208" s="25">
        <v>0</v>
      </c>
      <c r="EJ208" s="25" t="s">
        <v>62</v>
      </c>
      <c r="EK208" s="25" t="s">
        <v>245</v>
      </c>
      <c r="EL208" s="25" t="s">
        <v>245</v>
      </c>
      <c r="EM208" s="25" t="s">
        <v>276</v>
      </c>
      <c r="EN208" s="25" t="s">
        <v>39</v>
      </c>
      <c r="EO208" s="25" t="s">
        <v>39</v>
      </c>
      <c r="EP208" s="25" t="s">
        <v>92</v>
      </c>
      <c r="EQ208" s="25" t="s">
        <v>92</v>
      </c>
      <c r="ER208" s="25" t="s">
        <v>278</v>
      </c>
      <c r="ES208" s="25" t="s">
        <v>278</v>
      </c>
      <c r="ET208" s="25">
        <v>1</v>
      </c>
      <c r="EU208" s="25" t="s">
        <v>522</v>
      </c>
      <c r="EV208" s="25" t="s">
        <v>245</v>
      </c>
      <c r="EW208" s="25" t="s">
        <v>39</v>
      </c>
      <c r="EX208" s="25" t="s">
        <v>278</v>
      </c>
      <c r="EY208" s="20" t="e">
        <v>#N/A</v>
      </c>
    </row>
    <row r="209" spans="1:155">
      <c r="A209" s="21" t="s">
        <v>491</v>
      </c>
      <c r="B209" s="21" t="s">
        <v>491</v>
      </c>
      <c r="C209" s="21" t="s">
        <v>492</v>
      </c>
      <c r="D209" s="21" t="s">
        <v>493</v>
      </c>
      <c r="E209" s="21" t="s">
        <v>493</v>
      </c>
      <c r="F209" s="21" t="s">
        <v>493</v>
      </c>
      <c r="G209" s="21" t="s">
        <v>2840</v>
      </c>
      <c r="H209" s="21">
        <v>1138842244</v>
      </c>
      <c r="I209" s="21">
        <v>1138842233</v>
      </c>
      <c r="J209" s="21" t="s">
        <v>2841</v>
      </c>
      <c r="L209" s="21" t="s">
        <v>495</v>
      </c>
      <c r="M209" s="21" t="s">
        <v>2842</v>
      </c>
      <c r="N209" s="21" t="s">
        <v>496</v>
      </c>
      <c r="O209" s="21" t="s">
        <v>69</v>
      </c>
      <c r="P209" s="21" t="s">
        <v>497</v>
      </c>
      <c r="R209" s="21" t="s">
        <v>498</v>
      </c>
      <c r="S209" s="21" t="s">
        <v>499</v>
      </c>
      <c r="V209" s="21" t="s">
        <v>500</v>
      </c>
      <c r="W209" s="21" t="s">
        <v>501</v>
      </c>
      <c r="X209" s="21" t="s">
        <v>502</v>
      </c>
      <c r="Y209" s="21" t="s">
        <v>503</v>
      </c>
      <c r="Z209" s="21">
        <v>3035607150</v>
      </c>
      <c r="AA209" s="26">
        <v>42744</v>
      </c>
      <c r="AB209" s="26">
        <v>42744</v>
      </c>
      <c r="AC209" s="21" t="s">
        <v>504</v>
      </c>
      <c r="AD209" s="21" t="s">
        <v>505</v>
      </c>
      <c r="AE209" s="21" t="s">
        <v>500</v>
      </c>
      <c r="AF209" s="21" t="s">
        <v>506</v>
      </c>
      <c r="AG209" s="21" t="s">
        <v>1148</v>
      </c>
      <c r="AH209" s="21" t="s">
        <v>1149</v>
      </c>
      <c r="AI209" s="21" t="s">
        <v>2843</v>
      </c>
      <c r="AJ209" s="21" t="s">
        <v>507</v>
      </c>
      <c r="AK209" s="21" t="s">
        <v>494</v>
      </c>
      <c r="AL209" s="21" t="s">
        <v>527</v>
      </c>
      <c r="AM209" s="21" t="s">
        <v>527</v>
      </c>
      <c r="AN209" s="21" t="s">
        <v>527</v>
      </c>
      <c r="AO209" s="21" t="s">
        <v>528</v>
      </c>
      <c r="AS209" s="21" t="s">
        <v>511</v>
      </c>
      <c r="AT209" s="21" t="s">
        <v>512</v>
      </c>
      <c r="AW209" s="21">
        <v>0</v>
      </c>
      <c r="AX209" s="21">
        <v>2</v>
      </c>
      <c r="AY209" s="26"/>
      <c r="AZ209" s="26"/>
      <c r="BB209" s="26"/>
      <c r="BC209" s="21" t="s">
        <v>513</v>
      </c>
      <c r="BD209" s="21" t="s">
        <v>514</v>
      </c>
      <c r="BE209" s="21" t="s">
        <v>514</v>
      </c>
      <c r="BF209" s="21" t="s">
        <v>515</v>
      </c>
      <c r="BG209" s="21">
        <v>1</v>
      </c>
      <c r="BH209" s="21" t="s">
        <v>516</v>
      </c>
      <c r="BI209" s="21" t="s">
        <v>517</v>
      </c>
      <c r="BJ209" s="21" t="s">
        <v>516</v>
      </c>
      <c r="BK209" s="21" t="s">
        <v>516</v>
      </c>
      <c r="BM209" s="21" t="s">
        <v>54</v>
      </c>
      <c r="BN209" s="21" t="s">
        <v>259</v>
      </c>
      <c r="BO209" s="21" t="s">
        <v>518</v>
      </c>
      <c r="BP209" s="21" t="s">
        <v>519</v>
      </c>
      <c r="BQ209" s="21" t="s">
        <v>54</v>
      </c>
      <c r="BR209" s="21" t="s">
        <v>259</v>
      </c>
      <c r="BS209" s="21" t="s">
        <v>518</v>
      </c>
      <c r="BT209" s="21" t="s">
        <v>519</v>
      </c>
      <c r="BU209" s="21" t="s">
        <v>259</v>
      </c>
      <c r="CD209" s="21" t="s">
        <v>520</v>
      </c>
      <c r="CF209" s="21" t="s">
        <v>521</v>
      </c>
      <c r="CN209" s="26"/>
      <c r="DB209" s="24" t="s">
        <v>943</v>
      </c>
      <c r="DC209" s="21">
        <v>1</v>
      </c>
      <c r="DD209" s="21">
        <v>2</v>
      </c>
      <c r="DE209" s="22">
        <v>42747</v>
      </c>
      <c r="DF209" s="21" t="s">
        <v>2844</v>
      </c>
      <c r="DG209" s="21" t="s">
        <v>522</v>
      </c>
      <c r="DH209" s="21" t="s">
        <v>2845</v>
      </c>
      <c r="DI209" s="21" t="s">
        <v>495</v>
      </c>
      <c r="DJ209" s="21" t="s">
        <v>520</v>
      </c>
      <c r="DK209" s="26"/>
      <c r="DL209" s="26">
        <v>42756</v>
      </c>
      <c r="DM209" s="26">
        <v>42746</v>
      </c>
      <c r="DN209" s="21">
        <v>3100</v>
      </c>
      <c r="DO209" s="21">
        <v>10</v>
      </c>
      <c r="DP209" s="21">
        <v>1</v>
      </c>
      <c r="DQ209" s="21">
        <v>1</v>
      </c>
      <c r="DR209" s="21">
        <v>7</v>
      </c>
      <c r="DS209" s="21">
        <v>10</v>
      </c>
      <c r="DT209" s="21">
        <v>10</v>
      </c>
      <c r="DU209" s="21">
        <v>10</v>
      </c>
      <c r="DW209" s="21">
        <v>10</v>
      </c>
      <c r="EA209" s="21">
        <v>10</v>
      </c>
      <c r="EB209" s="21" t="s">
        <v>2846</v>
      </c>
      <c r="EC209" s="21" t="s">
        <v>1221</v>
      </c>
      <c r="EF209" s="25">
        <v>1</v>
      </c>
      <c r="EG209" s="25">
        <v>0</v>
      </c>
      <c r="EH209" s="25">
        <v>1</v>
      </c>
      <c r="EI209" s="25">
        <v>0</v>
      </c>
      <c r="EJ209" s="25" t="s">
        <v>62</v>
      </c>
      <c r="EK209" s="25" t="s">
        <v>276</v>
      </c>
      <c r="EL209" s="25" t="s">
        <v>276</v>
      </c>
      <c r="EM209" s="25" t="s">
        <v>276</v>
      </c>
      <c r="EN209" s="25" t="s">
        <v>276</v>
      </c>
      <c r="EO209" s="25" t="s">
        <v>276</v>
      </c>
      <c r="EP209" s="25" t="s">
        <v>276</v>
      </c>
      <c r="EQ209" s="25" t="s">
        <v>276</v>
      </c>
      <c r="ER209" s="25" t="s">
        <v>276</v>
      </c>
      <c r="ES209" s="25" t="s">
        <v>276</v>
      </c>
      <c r="ET209" s="25">
        <v>1</v>
      </c>
      <c r="EU209" s="25" t="s">
        <v>522</v>
      </c>
      <c r="EV209" s="25" t="s">
        <v>276</v>
      </c>
      <c r="EW209" s="25" t="s">
        <v>276</v>
      </c>
      <c r="EX209" s="25" t="s">
        <v>276</v>
      </c>
      <c r="EY209" s="20" t="s">
        <v>273</v>
      </c>
    </row>
    <row r="210" spans="1:155">
      <c r="A210" s="21" t="s">
        <v>491</v>
      </c>
      <c r="B210" s="21" t="s">
        <v>491</v>
      </c>
      <c r="C210" s="21" t="s">
        <v>492</v>
      </c>
      <c r="D210" s="21" t="s">
        <v>493</v>
      </c>
      <c r="E210" s="21" t="s">
        <v>493</v>
      </c>
      <c r="F210" s="21" t="s">
        <v>493</v>
      </c>
      <c r="G210" s="21" t="s">
        <v>2847</v>
      </c>
      <c r="H210" s="21">
        <v>1138650320</v>
      </c>
      <c r="I210" s="21" t="s">
        <v>494</v>
      </c>
      <c r="J210" s="21" t="s">
        <v>2848</v>
      </c>
      <c r="L210" s="21" t="s">
        <v>495</v>
      </c>
      <c r="M210" s="21" t="s">
        <v>2849</v>
      </c>
      <c r="N210" s="21" t="s">
        <v>573</v>
      </c>
      <c r="O210" s="21" t="s">
        <v>58</v>
      </c>
      <c r="P210" s="21" t="s">
        <v>557</v>
      </c>
      <c r="R210" s="21" t="s">
        <v>2850</v>
      </c>
      <c r="S210" s="21" t="s">
        <v>575</v>
      </c>
      <c r="V210" s="21" t="s">
        <v>500</v>
      </c>
      <c r="W210" s="21" t="s">
        <v>501</v>
      </c>
      <c r="X210" s="21" t="s">
        <v>502</v>
      </c>
      <c r="Y210" s="21" t="s">
        <v>558</v>
      </c>
      <c r="Z210" s="21">
        <v>3035617032</v>
      </c>
      <c r="AA210" s="26">
        <v>42744</v>
      </c>
      <c r="AB210" s="26">
        <v>42744</v>
      </c>
      <c r="AC210" s="21" t="s">
        <v>504</v>
      </c>
      <c r="AD210" s="21" t="s">
        <v>505</v>
      </c>
      <c r="AE210" s="21" t="s">
        <v>500</v>
      </c>
      <c r="AF210" s="21" t="s">
        <v>506</v>
      </c>
      <c r="AG210" s="21" t="s">
        <v>581</v>
      </c>
      <c r="AH210" s="21" t="s">
        <v>582</v>
      </c>
      <c r="AI210" s="21" t="s">
        <v>1024</v>
      </c>
      <c r="AJ210" s="21" t="s">
        <v>526</v>
      </c>
      <c r="AK210" s="21" t="s">
        <v>494</v>
      </c>
      <c r="AL210" s="21" t="s">
        <v>527</v>
      </c>
      <c r="AM210" s="21" t="s">
        <v>527</v>
      </c>
      <c r="AN210" s="21" t="s">
        <v>527</v>
      </c>
      <c r="AO210" s="21" t="s">
        <v>528</v>
      </c>
      <c r="AS210" s="21" t="s">
        <v>511</v>
      </c>
      <c r="AT210" s="21" t="s">
        <v>512</v>
      </c>
      <c r="AW210" s="21">
        <v>0</v>
      </c>
      <c r="AX210" s="21">
        <v>2</v>
      </c>
      <c r="AY210" s="26"/>
      <c r="AZ210" s="26"/>
      <c r="BB210" s="26"/>
      <c r="BC210" s="21" t="s">
        <v>513</v>
      </c>
      <c r="BD210" s="21" t="s">
        <v>514</v>
      </c>
      <c r="BE210" s="21" t="s">
        <v>514</v>
      </c>
      <c r="BF210" s="21" t="s">
        <v>515</v>
      </c>
      <c r="BG210" s="21">
        <v>1</v>
      </c>
      <c r="BH210" s="21" t="s">
        <v>516</v>
      </c>
      <c r="BI210" s="21" t="s">
        <v>517</v>
      </c>
      <c r="BJ210" s="21" t="s">
        <v>516</v>
      </c>
      <c r="BK210" s="21" t="s">
        <v>516</v>
      </c>
      <c r="BM210" s="21" t="s">
        <v>44</v>
      </c>
      <c r="BN210" s="21" t="s">
        <v>244</v>
      </c>
      <c r="BO210" s="21" t="s">
        <v>518</v>
      </c>
      <c r="BP210" s="21" t="s">
        <v>1044</v>
      </c>
      <c r="BQ210" s="21" t="s">
        <v>44</v>
      </c>
      <c r="BR210" s="21" t="s">
        <v>244</v>
      </c>
      <c r="BS210" s="21" t="s">
        <v>518</v>
      </c>
      <c r="BT210" s="21" t="s">
        <v>1044</v>
      </c>
      <c r="BU210" s="21" t="s">
        <v>244</v>
      </c>
      <c r="CD210" s="21" t="s">
        <v>520</v>
      </c>
      <c r="CF210" s="21" t="s">
        <v>521</v>
      </c>
      <c r="CN210" s="26"/>
      <c r="DB210" s="24" t="s">
        <v>943</v>
      </c>
      <c r="DC210" s="21">
        <v>1</v>
      </c>
      <c r="DD210" s="21">
        <v>2</v>
      </c>
      <c r="DE210" s="22">
        <v>42747</v>
      </c>
      <c r="DF210" s="21" t="s">
        <v>2851</v>
      </c>
      <c r="DG210" s="21" t="s">
        <v>522</v>
      </c>
      <c r="DH210" s="21" t="s">
        <v>2852</v>
      </c>
      <c r="DI210" s="21" t="s">
        <v>495</v>
      </c>
      <c r="DJ210" s="21" t="s">
        <v>520</v>
      </c>
      <c r="DK210" s="26"/>
      <c r="DL210" s="26">
        <v>42756</v>
      </c>
      <c r="DM210" s="26">
        <v>42746</v>
      </c>
      <c r="DN210" s="21">
        <v>3100</v>
      </c>
      <c r="DO210" s="21">
        <v>10</v>
      </c>
      <c r="DP210" s="21">
        <v>1</v>
      </c>
      <c r="DQ210" s="21">
        <v>1</v>
      </c>
      <c r="DR210" s="21">
        <v>7</v>
      </c>
      <c r="DS210" s="21">
        <v>10</v>
      </c>
      <c r="DT210" s="21">
        <v>10</v>
      </c>
      <c r="DU210" s="21">
        <v>10</v>
      </c>
      <c r="DW210" s="21">
        <v>10</v>
      </c>
      <c r="EA210" s="21">
        <v>10</v>
      </c>
      <c r="EB210" s="21" t="s">
        <v>2853</v>
      </c>
      <c r="EC210" s="21" t="s">
        <v>1221</v>
      </c>
      <c r="EF210" s="25">
        <v>1</v>
      </c>
      <c r="EG210" s="25">
        <v>0</v>
      </c>
      <c r="EH210" s="25">
        <v>1</v>
      </c>
      <c r="EI210" s="25">
        <v>0</v>
      </c>
      <c r="EJ210" s="25" t="s">
        <v>62</v>
      </c>
      <c r="EK210" s="25" t="s">
        <v>245</v>
      </c>
      <c r="EL210" s="25" t="s">
        <v>245</v>
      </c>
      <c r="EM210" s="25" t="s">
        <v>276</v>
      </c>
      <c r="EN210" s="25" t="s">
        <v>39</v>
      </c>
      <c r="EO210" s="25" t="s">
        <v>39</v>
      </c>
      <c r="EP210" s="25" t="s">
        <v>92</v>
      </c>
      <c r="EQ210" s="25" t="s">
        <v>92</v>
      </c>
      <c r="ER210" s="25" t="s">
        <v>278</v>
      </c>
      <c r="ES210" s="25" t="s">
        <v>278</v>
      </c>
      <c r="ET210" s="25">
        <v>1</v>
      </c>
      <c r="EU210" s="25" t="s">
        <v>522</v>
      </c>
      <c r="EV210" s="25" t="s">
        <v>245</v>
      </c>
      <c r="EW210" s="25" t="s">
        <v>39</v>
      </c>
      <c r="EX210" s="25" t="s">
        <v>278</v>
      </c>
      <c r="EY210" s="20" t="e">
        <v>#N/A</v>
      </c>
    </row>
    <row r="211" spans="1:155">
      <c r="A211" s="21" t="s">
        <v>491</v>
      </c>
      <c r="B211" s="21" t="s">
        <v>491</v>
      </c>
      <c r="C211" s="21" t="s">
        <v>492</v>
      </c>
      <c r="D211" s="21" t="s">
        <v>493</v>
      </c>
      <c r="E211" s="21" t="s">
        <v>493</v>
      </c>
      <c r="F211" s="21" t="s">
        <v>493</v>
      </c>
      <c r="G211" s="21" t="s">
        <v>2854</v>
      </c>
      <c r="H211" s="21" t="s">
        <v>2855</v>
      </c>
      <c r="I211" s="21" t="s">
        <v>494</v>
      </c>
      <c r="J211" s="21" t="s">
        <v>2856</v>
      </c>
      <c r="L211" s="21" t="s">
        <v>495</v>
      </c>
      <c r="M211" s="21" t="s">
        <v>2857</v>
      </c>
      <c r="N211" s="21" t="s">
        <v>2289</v>
      </c>
      <c r="O211" s="21" t="s">
        <v>93</v>
      </c>
      <c r="P211" s="21" t="s">
        <v>539</v>
      </c>
      <c r="R211" s="21" t="s">
        <v>2290</v>
      </c>
      <c r="S211" s="21" t="s">
        <v>2231</v>
      </c>
      <c r="V211" s="21" t="s">
        <v>277</v>
      </c>
      <c r="W211" s="21" t="s">
        <v>524</v>
      </c>
      <c r="X211" s="21" t="s">
        <v>525</v>
      </c>
      <c r="Y211" s="21" t="s">
        <v>530</v>
      </c>
      <c r="Z211" s="21">
        <v>3035518553</v>
      </c>
      <c r="AA211" s="26">
        <v>42740</v>
      </c>
      <c r="AB211" s="26">
        <v>42744</v>
      </c>
      <c r="AC211" s="21" t="s">
        <v>504</v>
      </c>
      <c r="AD211" s="21" t="s">
        <v>505</v>
      </c>
      <c r="AE211" s="21" t="s">
        <v>1156</v>
      </c>
      <c r="AF211" s="21" t="s">
        <v>2078</v>
      </c>
      <c r="AG211" s="21" t="s">
        <v>2306</v>
      </c>
      <c r="AH211" s="21" t="s">
        <v>2307</v>
      </c>
      <c r="AI211" s="21" t="s">
        <v>2858</v>
      </c>
      <c r="AJ211" s="21" t="s">
        <v>507</v>
      </c>
      <c r="AK211" s="21" t="s">
        <v>494</v>
      </c>
      <c r="AL211" s="21" t="s">
        <v>508</v>
      </c>
      <c r="AM211" s="21" t="s">
        <v>509</v>
      </c>
      <c r="AN211" s="21" t="s">
        <v>509</v>
      </c>
      <c r="AO211" s="21" t="s">
        <v>510</v>
      </c>
      <c r="AS211" s="21" t="s">
        <v>511</v>
      </c>
      <c r="AT211" s="21" t="s">
        <v>512</v>
      </c>
      <c r="AW211" s="21">
        <v>0</v>
      </c>
      <c r="AX211" s="21">
        <v>11</v>
      </c>
      <c r="AY211" s="26"/>
      <c r="AZ211" s="26"/>
      <c r="BB211" s="26"/>
      <c r="BC211" s="21" t="s">
        <v>513</v>
      </c>
      <c r="BD211" s="21" t="s">
        <v>514</v>
      </c>
      <c r="BE211" s="21" t="s">
        <v>514</v>
      </c>
      <c r="BF211" s="21" t="s">
        <v>515</v>
      </c>
      <c r="BG211" s="21">
        <v>1</v>
      </c>
      <c r="BH211" s="21" t="s">
        <v>516</v>
      </c>
      <c r="BI211" s="21" t="s">
        <v>517</v>
      </c>
      <c r="BJ211" s="21" t="s">
        <v>516</v>
      </c>
      <c r="BK211" s="21" t="s">
        <v>516</v>
      </c>
      <c r="BM211" s="21" t="s">
        <v>37</v>
      </c>
      <c r="BN211" s="21" t="s">
        <v>250</v>
      </c>
      <c r="BO211" s="21" t="s">
        <v>518</v>
      </c>
      <c r="BP211" s="21" t="s">
        <v>1044</v>
      </c>
      <c r="BQ211" s="21" t="s">
        <v>38</v>
      </c>
      <c r="BR211" s="21" t="s">
        <v>238</v>
      </c>
      <c r="BS211" s="21" t="s">
        <v>518</v>
      </c>
      <c r="BT211" s="21" t="s">
        <v>1044</v>
      </c>
      <c r="BU211" s="21" t="s">
        <v>250</v>
      </c>
      <c r="CD211" s="21" t="s">
        <v>520</v>
      </c>
      <c r="CF211" s="21" t="s">
        <v>521</v>
      </c>
      <c r="CN211" s="26"/>
      <c r="DB211" s="24" t="s">
        <v>943</v>
      </c>
      <c r="DC211" s="21">
        <v>1</v>
      </c>
      <c r="DD211" s="21">
        <v>2</v>
      </c>
      <c r="DE211" s="22">
        <v>42747</v>
      </c>
      <c r="DF211" s="21" t="s">
        <v>1521</v>
      </c>
      <c r="DG211" s="21" t="s">
        <v>522</v>
      </c>
      <c r="DH211" s="21" t="s">
        <v>2859</v>
      </c>
      <c r="DI211" s="21" t="s">
        <v>495</v>
      </c>
      <c r="DJ211" s="21" t="s">
        <v>520</v>
      </c>
      <c r="DK211" s="26"/>
      <c r="DL211" s="26">
        <v>42756</v>
      </c>
      <c r="DM211" s="26">
        <v>42746</v>
      </c>
      <c r="DN211" s="21">
        <v>1100</v>
      </c>
      <c r="DO211" s="21">
        <v>8</v>
      </c>
      <c r="DP211" s="21">
        <v>2</v>
      </c>
      <c r="DQ211" s="21">
        <v>2</v>
      </c>
      <c r="DR211" s="21">
        <v>6</v>
      </c>
      <c r="DS211" s="21">
        <v>8</v>
      </c>
      <c r="DT211" s="21">
        <v>8</v>
      </c>
      <c r="DU211" s="21">
        <v>8</v>
      </c>
      <c r="DW211" s="21">
        <v>8</v>
      </c>
      <c r="EA211" s="21">
        <v>8</v>
      </c>
      <c r="EF211" s="25">
        <v>0</v>
      </c>
      <c r="EG211" s="25">
        <v>0</v>
      </c>
      <c r="EH211" s="25">
        <v>0</v>
      </c>
      <c r="EI211" s="25">
        <v>0</v>
      </c>
      <c r="EJ211" s="25" t="s">
        <v>92</v>
      </c>
      <c r="EK211" s="25" t="s">
        <v>251</v>
      </c>
      <c r="EL211" s="25" t="s">
        <v>239</v>
      </c>
      <c r="EM211" s="25" t="s">
        <v>276</v>
      </c>
      <c r="EN211" s="25" t="s">
        <v>39</v>
      </c>
      <c r="EO211" s="25" t="s">
        <v>39</v>
      </c>
      <c r="EP211" s="25" t="s">
        <v>92</v>
      </c>
      <c r="EQ211" s="25" t="s">
        <v>529</v>
      </c>
      <c r="ER211" s="25" t="s">
        <v>278</v>
      </c>
      <c r="ES211" s="25" t="s">
        <v>278</v>
      </c>
      <c r="ET211" s="25">
        <v>1</v>
      </c>
      <c r="EU211" s="25" t="s">
        <v>522</v>
      </c>
      <c r="EV211" s="25" t="s">
        <v>279</v>
      </c>
      <c r="EW211" s="25" t="s">
        <v>279</v>
      </c>
      <c r="EX211" s="25" t="s">
        <v>279</v>
      </c>
      <c r="EY211" s="20" t="e">
        <v>#N/A</v>
      </c>
    </row>
    <row r="212" spans="1:155">
      <c r="A212" s="21" t="s">
        <v>491</v>
      </c>
      <c r="B212" s="21" t="s">
        <v>491</v>
      </c>
      <c r="C212" s="21" t="s">
        <v>492</v>
      </c>
      <c r="D212" s="21" t="s">
        <v>493</v>
      </c>
      <c r="E212" s="21" t="s">
        <v>493</v>
      </c>
      <c r="F212" s="21" t="s">
        <v>493</v>
      </c>
      <c r="G212" s="21" t="s">
        <v>2860</v>
      </c>
      <c r="H212" s="21" t="s">
        <v>2861</v>
      </c>
      <c r="I212" s="21" t="s">
        <v>2862</v>
      </c>
      <c r="J212" s="21" t="s">
        <v>2863</v>
      </c>
      <c r="L212" s="21" t="s">
        <v>495</v>
      </c>
      <c r="M212" s="21" t="s">
        <v>2864</v>
      </c>
      <c r="N212" s="21" t="s">
        <v>496</v>
      </c>
      <c r="O212" s="21" t="s">
        <v>69</v>
      </c>
      <c r="P212" s="21" t="s">
        <v>497</v>
      </c>
      <c r="R212" s="21" t="s">
        <v>498</v>
      </c>
      <c r="S212" s="21" t="s">
        <v>499</v>
      </c>
      <c r="V212" s="21" t="s">
        <v>500</v>
      </c>
      <c r="W212" s="21" t="s">
        <v>501</v>
      </c>
      <c r="X212" s="21" t="s">
        <v>502</v>
      </c>
      <c r="Y212" s="21" t="s">
        <v>503</v>
      </c>
      <c r="Z212" s="21">
        <v>3035613784</v>
      </c>
      <c r="AA212" s="26">
        <v>42744</v>
      </c>
      <c r="AB212" s="26">
        <v>42744</v>
      </c>
      <c r="AC212" s="21" t="s">
        <v>504</v>
      </c>
      <c r="AD212" s="21" t="s">
        <v>505</v>
      </c>
      <c r="AE212" s="21" t="s">
        <v>500</v>
      </c>
      <c r="AF212" s="21" t="s">
        <v>549</v>
      </c>
      <c r="AG212" s="21" t="s">
        <v>555</v>
      </c>
      <c r="AH212" s="21" t="s">
        <v>556</v>
      </c>
      <c r="AI212" s="21" t="s">
        <v>2865</v>
      </c>
      <c r="AJ212" s="21" t="s">
        <v>526</v>
      </c>
      <c r="AK212" s="21" t="s">
        <v>494</v>
      </c>
      <c r="AL212" s="21" t="s">
        <v>527</v>
      </c>
      <c r="AM212" s="21" t="s">
        <v>527</v>
      </c>
      <c r="AN212" s="21" t="s">
        <v>527</v>
      </c>
      <c r="AO212" s="21" t="s">
        <v>528</v>
      </c>
      <c r="AS212" s="21" t="s">
        <v>511</v>
      </c>
      <c r="AT212" s="21" t="s">
        <v>512</v>
      </c>
      <c r="AW212" s="21">
        <v>0</v>
      </c>
      <c r="AX212" s="21">
        <v>3</v>
      </c>
      <c r="AY212" s="26"/>
      <c r="AZ212" s="26"/>
      <c r="BB212" s="26"/>
      <c r="BC212" s="21" t="s">
        <v>513</v>
      </c>
      <c r="BD212" s="21" t="s">
        <v>514</v>
      </c>
      <c r="BE212" s="21" t="s">
        <v>514</v>
      </c>
      <c r="BF212" s="21" t="s">
        <v>515</v>
      </c>
      <c r="BG212" s="21">
        <v>1</v>
      </c>
      <c r="BH212" s="21" t="s">
        <v>516</v>
      </c>
      <c r="BI212" s="21" t="s">
        <v>517</v>
      </c>
      <c r="BJ212" s="21" t="s">
        <v>516</v>
      </c>
      <c r="BK212" s="21" t="s">
        <v>516</v>
      </c>
      <c r="BM212" s="21" t="s">
        <v>593</v>
      </c>
      <c r="BN212" s="21" t="s">
        <v>909</v>
      </c>
      <c r="BO212" s="21" t="s">
        <v>1271</v>
      </c>
      <c r="BP212" s="21" t="s">
        <v>533</v>
      </c>
      <c r="BQ212" s="21" t="s">
        <v>593</v>
      </c>
      <c r="BR212" s="21" t="s">
        <v>909</v>
      </c>
      <c r="BS212" s="21" t="s">
        <v>1271</v>
      </c>
      <c r="BT212" s="21" t="s">
        <v>533</v>
      </c>
      <c r="BU212" s="21" t="s">
        <v>909</v>
      </c>
      <c r="CD212" s="21" t="s">
        <v>520</v>
      </c>
      <c r="CF212" s="21" t="s">
        <v>534</v>
      </c>
      <c r="CN212" s="26"/>
      <c r="DB212" s="24" t="s">
        <v>943</v>
      </c>
      <c r="DC212" s="21">
        <v>1</v>
      </c>
      <c r="DD212" s="21">
        <v>2</v>
      </c>
      <c r="DE212" s="22">
        <v>42747</v>
      </c>
      <c r="DF212" s="21" t="s">
        <v>2866</v>
      </c>
      <c r="DG212" s="21" t="s">
        <v>522</v>
      </c>
      <c r="DH212" s="21" t="s">
        <v>2867</v>
      </c>
      <c r="DI212" s="21" t="s">
        <v>495</v>
      </c>
      <c r="DJ212" s="21" t="s">
        <v>520</v>
      </c>
      <c r="DK212" s="26"/>
      <c r="DL212" s="26">
        <v>42756</v>
      </c>
      <c r="DM212" s="26">
        <v>42746</v>
      </c>
      <c r="DN212" s="21">
        <v>3100</v>
      </c>
      <c r="DO212" s="21">
        <v>10</v>
      </c>
      <c r="DP212" s="21">
        <v>1</v>
      </c>
      <c r="DQ212" s="21">
        <v>1</v>
      </c>
      <c r="DR212" s="21">
        <v>7</v>
      </c>
      <c r="DS212" s="21">
        <v>10</v>
      </c>
      <c r="DT212" s="21">
        <v>10</v>
      </c>
      <c r="DU212" s="21">
        <v>10</v>
      </c>
      <c r="DW212" s="21">
        <v>10</v>
      </c>
      <c r="DY212" s="21">
        <v>10</v>
      </c>
      <c r="EA212" s="21">
        <v>10</v>
      </c>
      <c r="EB212" s="21" t="s">
        <v>2868</v>
      </c>
      <c r="EC212" s="21" t="s">
        <v>1221</v>
      </c>
      <c r="EF212" s="25">
        <v>1</v>
      </c>
      <c r="EG212" s="25">
        <v>0</v>
      </c>
      <c r="EH212" s="25">
        <v>1</v>
      </c>
      <c r="EI212" s="25">
        <v>0</v>
      </c>
      <c r="EJ212" s="25" t="s">
        <v>62</v>
      </c>
      <c r="EK212" s="25" t="s">
        <v>276</v>
      </c>
      <c r="EL212" s="25" t="s">
        <v>276</v>
      </c>
      <c r="EM212" s="25" t="s">
        <v>276</v>
      </c>
      <c r="EN212" s="25" t="s">
        <v>276</v>
      </c>
      <c r="EO212" s="25" t="s">
        <v>276</v>
      </c>
      <c r="EP212" s="25" t="s">
        <v>276</v>
      </c>
      <c r="EQ212" s="25" t="s">
        <v>276</v>
      </c>
      <c r="ER212" s="25" t="s">
        <v>276</v>
      </c>
      <c r="ES212" s="25" t="s">
        <v>276</v>
      </c>
      <c r="ET212" s="25">
        <v>1</v>
      </c>
      <c r="EU212" s="25" t="s">
        <v>522</v>
      </c>
      <c r="EV212" s="25" t="s">
        <v>276</v>
      </c>
      <c r="EW212" s="25" t="s">
        <v>276</v>
      </c>
      <c r="EX212" s="25" t="s">
        <v>276</v>
      </c>
      <c r="EY212" s="20" t="s">
        <v>273</v>
      </c>
    </row>
    <row r="213" spans="1:155">
      <c r="A213" s="21" t="s">
        <v>491</v>
      </c>
      <c r="B213" s="21" t="s">
        <v>491</v>
      </c>
      <c r="C213" s="21" t="s">
        <v>492</v>
      </c>
      <c r="D213" s="21" t="s">
        <v>493</v>
      </c>
      <c r="E213" s="21" t="s">
        <v>493</v>
      </c>
      <c r="F213" s="21" t="s">
        <v>493</v>
      </c>
      <c r="G213" s="21" t="s">
        <v>2869</v>
      </c>
      <c r="H213" s="21">
        <v>11999389391</v>
      </c>
      <c r="I213" s="21" t="s">
        <v>2870</v>
      </c>
      <c r="J213" s="21" t="s">
        <v>2871</v>
      </c>
      <c r="L213" s="21" t="s">
        <v>495</v>
      </c>
      <c r="M213" s="21" t="s">
        <v>2872</v>
      </c>
      <c r="N213" s="21" t="s">
        <v>2873</v>
      </c>
      <c r="O213" s="21" t="s">
        <v>79</v>
      </c>
      <c r="P213" s="21" t="s">
        <v>570</v>
      </c>
      <c r="R213" s="21" t="s">
        <v>2874</v>
      </c>
      <c r="S213" s="21" t="s">
        <v>2875</v>
      </c>
      <c r="V213" s="21" t="s">
        <v>500</v>
      </c>
      <c r="W213" s="21" t="s">
        <v>501</v>
      </c>
      <c r="X213" s="21" t="s">
        <v>502</v>
      </c>
      <c r="Y213" s="21" t="s">
        <v>503</v>
      </c>
      <c r="Z213" s="21">
        <v>3035450059</v>
      </c>
      <c r="AA213" s="26">
        <v>42738</v>
      </c>
      <c r="AB213" s="26">
        <v>42744</v>
      </c>
      <c r="AC213" s="21" t="s">
        <v>504</v>
      </c>
      <c r="AD213" s="21" t="s">
        <v>505</v>
      </c>
      <c r="AE213" s="21" t="s">
        <v>500</v>
      </c>
      <c r="AF213" s="21" t="s">
        <v>549</v>
      </c>
      <c r="AG213" s="21" t="s">
        <v>587</v>
      </c>
      <c r="AH213" s="21" t="s">
        <v>579</v>
      </c>
      <c r="AI213" s="21" t="s">
        <v>2876</v>
      </c>
      <c r="AJ213" s="21" t="s">
        <v>526</v>
      </c>
      <c r="AK213" s="21" t="s">
        <v>494</v>
      </c>
      <c r="AL213" s="21" t="s">
        <v>527</v>
      </c>
      <c r="AM213" s="21" t="s">
        <v>527</v>
      </c>
      <c r="AN213" s="21" t="s">
        <v>527</v>
      </c>
      <c r="AO213" s="21" t="s">
        <v>528</v>
      </c>
      <c r="AS213" s="21" t="s">
        <v>511</v>
      </c>
      <c r="AT213" s="21" t="s">
        <v>512</v>
      </c>
      <c r="AW213" s="21">
        <v>0</v>
      </c>
      <c r="AX213" s="21">
        <v>7</v>
      </c>
      <c r="AY213" s="26"/>
      <c r="AZ213" s="26"/>
      <c r="BB213" s="26"/>
      <c r="BC213" s="21" t="s">
        <v>513</v>
      </c>
      <c r="BD213" s="21" t="s">
        <v>514</v>
      </c>
      <c r="BE213" s="21" t="s">
        <v>514</v>
      </c>
      <c r="BF213" s="21" t="s">
        <v>515</v>
      </c>
      <c r="BG213" s="21">
        <v>1</v>
      </c>
      <c r="BH213" s="21" t="s">
        <v>516</v>
      </c>
      <c r="BI213" s="21" t="s">
        <v>517</v>
      </c>
      <c r="BJ213" s="21" t="s">
        <v>516</v>
      </c>
      <c r="BK213" s="21" t="s">
        <v>516</v>
      </c>
      <c r="BM213" s="21" t="s">
        <v>1537</v>
      </c>
      <c r="BN213" s="21" t="s">
        <v>149</v>
      </c>
      <c r="BO213" s="21" t="s">
        <v>518</v>
      </c>
      <c r="BP213" s="21" t="s">
        <v>519</v>
      </c>
      <c r="BQ213" s="21" t="s">
        <v>47</v>
      </c>
      <c r="BR213" s="21" t="s">
        <v>139</v>
      </c>
      <c r="BS213" s="21" t="s">
        <v>518</v>
      </c>
      <c r="BT213" s="21" t="s">
        <v>1044</v>
      </c>
      <c r="BU213" s="21" t="s">
        <v>149</v>
      </c>
      <c r="CD213" s="21" t="s">
        <v>520</v>
      </c>
      <c r="CF213" s="21" t="s">
        <v>521</v>
      </c>
      <c r="CN213" s="26"/>
      <c r="DB213" s="24" t="s">
        <v>943</v>
      </c>
      <c r="DC213" s="21">
        <v>1</v>
      </c>
      <c r="DD213" s="21">
        <v>2</v>
      </c>
      <c r="DE213" s="22">
        <v>42747</v>
      </c>
      <c r="DF213" s="21" t="s">
        <v>2877</v>
      </c>
      <c r="DG213" s="21" t="s">
        <v>522</v>
      </c>
      <c r="DH213" s="21" t="s">
        <v>2878</v>
      </c>
      <c r="DI213" s="21" t="s">
        <v>495</v>
      </c>
      <c r="DJ213" s="21" t="s">
        <v>520</v>
      </c>
      <c r="DK213" s="26"/>
      <c r="DL213" s="26">
        <v>42756</v>
      </c>
      <c r="DM213" s="26">
        <v>42746</v>
      </c>
      <c r="DN213" s="21">
        <v>3100</v>
      </c>
      <c r="DO213" s="21">
        <v>8</v>
      </c>
      <c r="DP213" s="21">
        <v>2</v>
      </c>
      <c r="DQ213" s="21">
        <v>2</v>
      </c>
      <c r="DR213" s="21">
        <v>5</v>
      </c>
      <c r="DS213" s="21">
        <v>9</v>
      </c>
      <c r="DT213" s="21">
        <v>9</v>
      </c>
      <c r="DU213" s="21">
        <v>9</v>
      </c>
      <c r="DW213" s="21">
        <v>8</v>
      </c>
      <c r="EA213" s="21">
        <v>8</v>
      </c>
      <c r="EF213" s="25">
        <v>0</v>
      </c>
      <c r="EG213" s="25">
        <v>0</v>
      </c>
      <c r="EH213" s="25">
        <v>0</v>
      </c>
      <c r="EI213" s="25">
        <v>0</v>
      </c>
      <c r="EJ213" s="25" t="s">
        <v>62</v>
      </c>
      <c r="EK213" s="25" t="s">
        <v>150</v>
      </c>
      <c r="EL213" s="25" t="s">
        <v>140</v>
      </c>
      <c r="EM213" s="25" t="s">
        <v>276</v>
      </c>
      <c r="EN213" s="25" t="s">
        <v>23</v>
      </c>
      <c r="EO213" s="25" t="s">
        <v>23</v>
      </c>
      <c r="EP213" s="25" t="s">
        <v>62</v>
      </c>
      <c r="EQ213" s="25" t="s">
        <v>529</v>
      </c>
      <c r="ER213" s="25" t="s">
        <v>278</v>
      </c>
      <c r="ES213" s="25" t="s">
        <v>278</v>
      </c>
      <c r="ET213" s="25">
        <v>1</v>
      </c>
      <c r="EU213" s="25" t="s">
        <v>522</v>
      </c>
      <c r="EV213" s="25" t="s">
        <v>279</v>
      </c>
      <c r="EW213" s="25" t="s">
        <v>279</v>
      </c>
      <c r="EX213" s="25" t="s">
        <v>279</v>
      </c>
      <c r="EY213" s="20" t="e">
        <v>#N/A</v>
      </c>
    </row>
    <row r="214" spans="1:155">
      <c r="A214" s="21" t="s">
        <v>491</v>
      </c>
      <c r="B214" s="21" t="s">
        <v>491</v>
      </c>
      <c r="C214" s="21" t="s">
        <v>492</v>
      </c>
      <c r="D214" s="21" t="s">
        <v>493</v>
      </c>
      <c r="E214" s="21" t="s">
        <v>493</v>
      </c>
      <c r="F214" s="21" t="s">
        <v>493</v>
      </c>
      <c r="G214" s="21" t="s">
        <v>2879</v>
      </c>
      <c r="H214" s="21">
        <v>2125922579</v>
      </c>
      <c r="I214" s="21" t="s">
        <v>494</v>
      </c>
      <c r="J214" s="21" t="s">
        <v>2880</v>
      </c>
      <c r="L214" s="21" t="s">
        <v>495</v>
      </c>
      <c r="M214" s="21" t="s">
        <v>2881</v>
      </c>
      <c r="N214" s="21" t="s">
        <v>1051</v>
      </c>
      <c r="O214" s="21" t="s">
        <v>93</v>
      </c>
      <c r="P214" s="21" t="s">
        <v>539</v>
      </c>
      <c r="R214" s="21" t="s">
        <v>1052</v>
      </c>
      <c r="S214" s="21" t="s">
        <v>1053</v>
      </c>
      <c r="V214" s="21" t="s">
        <v>277</v>
      </c>
      <c r="W214" s="21" t="s">
        <v>524</v>
      </c>
      <c r="X214" s="21" t="s">
        <v>525</v>
      </c>
      <c r="Y214" s="21" t="s">
        <v>530</v>
      </c>
      <c r="Z214" s="21">
        <v>3035573935</v>
      </c>
      <c r="AA214" s="26">
        <v>42742</v>
      </c>
      <c r="AB214" s="26">
        <v>42744</v>
      </c>
      <c r="AC214" s="21" t="s">
        <v>504</v>
      </c>
      <c r="AD214" s="21" t="s">
        <v>505</v>
      </c>
      <c r="AE214" s="21" t="s">
        <v>1156</v>
      </c>
      <c r="AF214" s="21" t="s">
        <v>2078</v>
      </c>
      <c r="AG214" s="21" t="s">
        <v>2306</v>
      </c>
      <c r="AH214" s="21" t="s">
        <v>2307</v>
      </c>
      <c r="AI214" s="21" t="s">
        <v>2882</v>
      </c>
      <c r="AJ214" s="21" t="s">
        <v>507</v>
      </c>
      <c r="AK214" s="21" t="s">
        <v>494</v>
      </c>
      <c r="AL214" s="21" t="s">
        <v>527</v>
      </c>
      <c r="AM214" s="21" t="s">
        <v>527</v>
      </c>
      <c r="AN214" s="21" t="s">
        <v>527</v>
      </c>
      <c r="AO214" s="21" t="s">
        <v>528</v>
      </c>
      <c r="AS214" s="21" t="s">
        <v>511</v>
      </c>
      <c r="AT214" s="21" t="s">
        <v>512</v>
      </c>
      <c r="AW214" s="21">
        <v>0</v>
      </c>
      <c r="AX214" s="21">
        <v>5</v>
      </c>
      <c r="AY214" s="26"/>
      <c r="AZ214" s="26"/>
      <c r="BB214" s="26"/>
      <c r="BC214" s="21" t="s">
        <v>513</v>
      </c>
      <c r="BD214" s="21" t="s">
        <v>514</v>
      </c>
      <c r="BE214" s="21" t="s">
        <v>514</v>
      </c>
      <c r="BF214" s="21" t="s">
        <v>515</v>
      </c>
      <c r="BG214" s="21">
        <v>1</v>
      </c>
      <c r="BH214" s="21" t="s">
        <v>516</v>
      </c>
      <c r="BI214" s="21" t="s">
        <v>517</v>
      </c>
      <c r="BJ214" s="21" t="s">
        <v>516</v>
      </c>
      <c r="BK214" s="21" t="s">
        <v>516</v>
      </c>
      <c r="BM214" s="21" t="s">
        <v>37</v>
      </c>
      <c r="BN214" s="21" t="s">
        <v>250</v>
      </c>
      <c r="BO214" s="21" t="s">
        <v>518</v>
      </c>
      <c r="BP214" s="21" t="s">
        <v>1044</v>
      </c>
      <c r="BQ214" s="21" t="s">
        <v>38</v>
      </c>
      <c r="BR214" s="21" t="s">
        <v>238</v>
      </c>
      <c r="BS214" s="21" t="s">
        <v>518</v>
      </c>
      <c r="BT214" s="21" t="s">
        <v>1044</v>
      </c>
      <c r="BU214" s="21" t="s">
        <v>250</v>
      </c>
      <c r="CD214" s="21" t="s">
        <v>520</v>
      </c>
      <c r="CF214" s="21" t="s">
        <v>521</v>
      </c>
      <c r="CN214" s="26"/>
      <c r="DB214" s="24" t="s">
        <v>943</v>
      </c>
      <c r="DC214" s="21">
        <v>1</v>
      </c>
      <c r="DD214" s="21">
        <v>2</v>
      </c>
      <c r="DE214" s="22">
        <v>42747</v>
      </c>
      <c r="DF214" s="21" t="s">
        <v>2883</v>
      </c>
      <c r="DG214" s="21" t="s">
        <v>522</v>
      </c>
      <c r="DH214" s="21" t="s">
        <v>2884</v>
      </c>
      <c r="DI214" s="21" t="s">
        <v>495</v>
      </c>
      <c r="DJ214" s="21" t="s">
        <v>520</v>
      </c>
      <c r="DK214" s="26"/>
      <c r="DL214" s="26">
        <v>42756</v>
      </c>
      <c r="DM214" s="26">
        <v>42746</v>
      </c>
      <c r="DN214" s="21">
        <v>1100</v>
      </c>
      <c r="DO214" s="21">
        <v>10</v>
      </c>
      <c r="DP214" s="21">
        <v>1</v>
      </c>
      <c r="DQ214" s="21">
        <v>1</v>
      </c>
      <c r="DR214" s="21">
        <v>6</v>
      </c>
      <c r="DS214" s="21">
        <v>9</v>
      </c>
      <c r="DT214" s="21">
        <v>10</v>
      </c>
      <c r="DU214" s="21">
        <v>9</v>
      </c>
      <c r="DW214" s="21">
        <v>9</v>
      </c>
      <c r="EA214" s="21">
        <v>10</v>
      </c>
      <c r="EF214" s="25">
        <v>1</v>
      </c>
      <c r="EG214" s="25">
        <v>0</v>
      </c>
      <c r="EH214" s="25">
        <v>1</v>
      </c>
      <c r="EI214" s="25">
        <v>0</v>
      </c>
      <c r="EJ214" s="25" t="s">
        <v>92</v>
      </c>
      <c r="EK214" s="25" t="s">
        <v>251</v>
      </c>
      <c r="EL214" s="25" t="s">
        <v>239</v>
      </c>
      <c r="EM214" s="25" t="s">
        <v>276</v>
      </c>
      <c r="EN214" s="25" t="s">
        <v>39</v>
      </c>
      <c r="EO214" s="25" t="s">
        <v>39</v>
      </c>
      <c r="EP214" s="25" t="s">
        <v>92</v>
      </c>
      <c r="EQ214" s="25" t="s">
        <v>529</v>
      </c>
      <c r="ER214" s="25" t="s">
        <v>278</v>
      </c>
      <c r="ES214" s="25" t="s">
        <v>278</v>
      </c>
      <c r="ET214" s="25">
        <v>1</v>
      </c>
      <c r="EU214" s="25" t="s">
        <v>522</v>
      </c>
      <c r="EV214" s="25" t="s">
        <v>279</v>
      </c>
      <c r="EW214" s="25" t="s">
        <v>279</v>
      </c>
      <c r="EX214" s="25" t="s">
        <v>279</v>
      </c>
      <c r="EY214" s="20" t="e">
        <v>#N/A</v>
      </c>
    </row>
    <row r="215" spans="1:155">
      <c r="A215" s="21" t="s">
        <v>491</v>
      </c>
      <c r="B215" s="21" t="s">
        <v>491</v>
      </c>
      <c r="C215" s="21" t="s">
        <v>492</v>
      </c>
      <c r="D215" s="21" t="s">
        <v>493</v>
      </c>
      <c r="E215" s="21" t="s">
        <v>493</v>
      </c>
      <c r="F215" s="21" t="s">
        <v>493</v>
      </c>
      <c r="G215" s="21" t="s">
        <v>2885</v>
      </c>
      <c r="H215" s="21">
        <v>11965476598</v>
      </c>
      <c r="I215" s="21" t="s">
        <v>494</v>
      </c>
      <c r="J215" s="21" t="s">
        <v>2886</v>
      </c>
      <c r="L215" s="21" t="s">
        <v>495</v>
      </c>
      <c r="M215" s="21" t="s">
        <v>2887</v>
      </c>
      <c r="N215" s="21" t="s">
        <v>496</v>
      </c>
      <c r="O215" s="21" t="s">
        <v>69</v>
      </c>
      <c r="P215" s="21" t="s">
        <v>497</v>
      </c>
      <c r="R215" s="21" t="s">
        <v>498</v>
      </c>
      <c r="S215" s="21" t="s">
        <v>499</v>
      </c>
      <c r="V215" s="21" t="s">
        <v>500</v>
      </c>
      <c r="W215" s="21" t="s">
        <v>501</v>
      </c>
      <c r="X215" s="21" t="s">
        <v>502</v>
      </c>
      <c r="Y215" s="21" t="s">
        <v>503</v>
      </c>
      <c r="Z215" s="21">
        <v>3035618982</v>
      </c>
      <c r="AA215" s="26">
        <v>42744</v>
      </c>
      <c r="AB215" s="26">
        <v>42744</v>
      </c>
      <c r="AC215" s="21" t="s">
        <v>504</v>
      </c>
      <c r="AD215" s="21" t="s">
        <v>505</v>
      </c>
      <c r="AE215" s="21" t="s">
        <v>500</v>
      </c>
      <c r="AF215" s="21" t="s">
        <v>549</v>
      </c>
      <c r="AG215" s="21" t="s">
        <v>555</v>
      </c>
      <c r="AH215" s="21" t="s">
        <v>556</v>
      </c>
      <c r="AI215" s="21" t="s">
        <v>2754</v>
      </c>
      <c r="AJ215" s="21" t="s">
        <v>526</v>
      </c>
      <c r="AK215" s="21" t="s">
        <v>494</v>
      </c>
      <c r="AL215" s="21" t="s">
        <v>527</v>
      </c>
      <c r="AM215" s="21" t="s">
        <v>527</v>
      </c>
      <c r="AN215" s="21" t="s">
        <v>527</v>
      </c>
      <c r="AO215" s="21" t="s">
        <v>528</v>
      </c>
      <c r="AS215" s="21" t="s">
        <v>511</v>
      </c>
      <c r="AT215" s="21" t="s">
        <v>512</v>
      </c>
      <c r="AW215" s="21">
        <v>0</v>
      </c>
      <c r="AX215" s="21">
        <v>3</v>
      </c>
      <c r="AY215" s="26"/>
      <c r="AZ215" s="26"/>
      <c r="BB215" s="26"/>
      <c r="BC215" s="21" t="s">
        <v>513</v>
      </c>
      <c r="BD215" s="21" t="s">
        <v>514</v>
      </c>
      <c r="BE215" s="21" t="s">
        <v>514</v>
      </c>
      <c r="BF215" s="21" t="s">
        <v>515</v>
      </c>
      <c r="BG215" s="21">
        <v>1</v>
      </c>
      <c r="BH215" s="21" t="s">
        <v>516</v>
      </c>
      <c r="BI215" s="21" t="s">
        <v>517</v>
      </c>
      <c r="BJ215" s="21" t="s">
        <v>516</v>
      </c>
      <c r="BK215" s="21" t="s">
        <v>516</v>
      </c>
      <c r="BM215" s="21" t="s">
        <v>27</v>
      </c>
      <c r="BN215" s="21" t="s">
        <v>119</v>
      </c>
      <c r="BO215" s="21" t="s">
        <v>518</v>
      </c>
      <c r="BP215" s="21" t="s">
        <v>519</v>
      </c>
      <c r="BQ215" s="21" t="s">
        <v>27</v>
      </c>
      <c r="BR215" s="21" t="s">
        <v>119</v>
      </c>
      <c r="BS215" s="21" t="s">
        <v>518</v>
      </c>
      <c r="BT215" s="21" t="s">
        <v>519</v>
      </c>
      <c r="BU215" s="21" t="s">
        <v>119</v>
      </c>
      <c r="CD215" s="21" t="s">
        <v>520</v>
      </c>
      <c r="CF215" s="21" t="s">
        <v>521</v>
      </c>
      <c r="CN215" s="26"/>
      <c r="DB215" s="24" t="s">
        <v>943</v>
      </c>
      <c r="DC215" s="21">
        <v>1</v>
      </c>
      <c r="DD215" s="21">
        <v>2</v>
      </c>
      <c r="DE215" s="22">
        <v>42747</v>
      </c>
      <c r="DF215" s="21" t="s">
        <v>1605</v>
      </c>
      <c r="DG215" s="21" t="s">
        <v>522</v>
      </c>
      <c r="DH215" s="21" t="s">
        <v>2888</v>
      </c>
      <c r="DI215" s="21" t="s">
        <v>495</v>
      </c>
      <c r="DJ215" s="21" t="s">
        <v>520</v>
      </c>
      <c r="DK215" s="26"/>
      <c r="DL215" s="26">
        <v>42756</v>
      </c>
      <c r="DM215" s="26">
        <v>42746</v>
      </c>
      <c r="DN215" s="21">
        <v>3100</v>
      </c>
      <c r="DO215" s="21">
        <v>10</v>
      </c>
      <c r="DP215" s="21">
        <v>1</v>
      </c>
      <c r="DQ215" s="21">
        <v>1</v>
      </c>
      <c r="DR215" s="21">
        <v>7</v>
      </c>
      <c r="DS215" s="21">
        <v>10</v>
      </c>
      <c r="DT215" s="21">
        <v>10</v>
      </c>
      <c r="DU215" s="21">
        <v>10</v>
      </c>
      <c r="DW215" s="21">
        <v>10</v>
      </c>
      <c r="EA215" s="21">
        <v>10</v>
      </c>
      <c r="EB215" s="21" t="s">
        <v>2889</v>
      </c>
      <c r="EC215" s="21" t="s">
        <v>1221</v>
      </c>
      <c r="EF215" s="25">
        <v>1</v>
      </c>
      <c r="EG215" s="25">
        <v>0</v>
      </c>
      <c r="EH215" s="25">
        <v>1</v>
      </c>
      <c r="EI215" s="25">
        <v>0</v>
      </c>
      <c r="EJ215" s="25" t="s">
        <v>62</v>
      </c>
      <c r="EK215" s="25" t="s">
        <v>120</v>
      </c>
      <c r="EL215" s="25" t="s">
        <v>120</v>
      </c>
      <c r="EM215" s="25" t="s">
        <v>276</v>
      </c>
      <c r="EN215" s="25" t="s">
        <v>23</v>
      </c>
      <c r="EO215" s="25" t="s">
        <v>23</v>
      </c>
      <c r="EP215" s="25" t="s">
        <v>62</v>
      </c>
      <c r="EQ215" s="25" t="s">
        <v>62</v>
      </c>
      <c r="ER215" s="25" t="s">
        <v>278</v>
      </c>
      <c r="ES215" s="25" t="s">
        <v>278</v>
      </c>
      <c r="ET215" s="25">
        <v>1</v>
      </c>
      <c r="EU215" s="25" t="s">
        <v>522</v>
      </c>
      <c r="EV215" s="25" t="s">
        <v>120</v>
      </c>
      <c r="EW215" s="25" t="s">
        <v>23</v>
      </c>
      <c r="EX215" s="25" t="s">
        <v>278</v>
      </c>
      <c r="EY215" s="20" t="e">
        <v>#N/A</v>
      </c>
    </row>
    <row r="216" spans="1:155">
      <c r="A216" s="21" t="s">
        <v>491</v>
      </c>
      <c r="B216" s="21" t="s">
        <v>491</v>
      </c>
      <c r="C216" s="21" t="s">
        <v>492</v>
      </c>
      <c r="D216" s="21" t="s">
        <v>493</v>
      </c>
      <c r="E216" s="21" t="s">
        <v>493</v>
      </c>
      <c r="F216" s="21" t="s">
        <v>493</v>
      </c>
      <c r="G216" s="21" t="s">
        <v>2890</v>
      </c>
      <c r="H216" s="21" t="s">
        <v>2891</v>
      </c>
      <c r="I216" s="21" t="s">
        <v>494</v>
      </c>
      <c r="J216" s="21" t="s">
        <v>2892</v>
      </c>
      <c r="L216" s="21" t="s">
        <v>495</v>
      </c>
      <c r="M216" s="21" t="s">
        <v>2893</v>
      </c>
      <c r="N216" s="21" t="s">
        <v>496</v>
      </c>
      <c r="O216" s="21" t="s">
        <v>69</v>
      </c>
      <c r="P216" s="21" t="s">
        <v>497</v>
      </c>
      <c r="R216" s="21" t="s">
        <v>498</v>
      </c>
      <c r="S216" s="21" t="s">
        <v>499</v>
      </c>
      <c r="V216" s="21" t="s">
        <v>500</v>
      </c>
      <c r="W216" s="21" t="s">
        <v>501</v>
      </c>
      <c r="X216" s="21" t="s">
        <v>502</v>
      </c>
      <c r="Y216" s="21" t="s">
        <v>503</v>
      </c>
      <c r="Z216" s="21">
        <v>3035558730</v>
      </c>
      <c r="AA216" s="26">
        <v>42741</v>
      </c>
      <c r="AB216" s="26">
        <v>42744</v>
      </c>
      <c r="AC216" s="21" t="s">
        <v>504</v>
      </c>
      <c r="AD216" s="21" t="s">
        <v>505</v>
      </c>
      <c r="AE216" s="21" t="s">
        <v>500</v>
      </c>
      <c r="AF216" s="21" t="s">
        <v>506</v>
      </c>
      <c r="AG216" s="21" t="s">
        <v>1079</v>
      </c>
      <c r="AH216" s="21" t="s">
        <v>1080</v>
      </c>
      <c r="AI216" s="21" t="s">
        <v>1332</v>
      </c>
      <c r="AJ216" s="21" t="s">
        <v>507</v>
      </c>
      <c r="AK216" s="21" t="s">
        <v>494</v>
      </c>
      <c r="AL216" s="21" t="s">
        <v>527</v>
      </c>
      <c r="AM216" s="21" t="s">
        <v>527</v>
      </c>
      <c r="AN216" s="21" t="s">
        <v>527</v>
      </c>
      <c r="AO216" s="21" t="s">
        <v>528</v>
      </c>
      <c r="AS216" s="21" t="s">
        <v>511</v>
      </c>
      <c r="AT216" s="21" t="s">
        <v>512</v>
      </c>
      <c r="AW216" s="21">
        <v>0</v>
      </c>
      <c r="AX216" s="21">
        <v>6</v>
      </c>
      <c r="AY216" s="26"/>
      <c r="AZ216" s="26"/>
      <c r="BB216" s="26"/>
      <c r="BC216" s="21" t="s">
        <v>513</v>
      </c>
      <c r="BD216" s="21" t="s">
        <v>514</v>
      </c>
      <c r="BE216" s="21" t="s">
        <v>514</v>
      </c>
      <c r="BF216" s="21" t="s">
        <v>515</v>
      </c>
      <c r="BG216" s="21">
        <v>1</v>
      </c>
      <c r="BH216" s="21" t="s">
        <v>516</v>
      </c>
      <c r="BI216" s="21" t="s">
        <v>517</v>
      </c>
      <c r="BJ216" s="21" t="s">
        <v>516</v>
      </c>
      <c r="BK216" s="21" t="s">
        <v>516</v>
      </c>
      <c r="BM216" s="21" t="s">
        <v>1537</v>
      </c>
      <c r="BN216" s="21" t="s">
        <v>149</v>
      </c>
      <c r="BO216" s="21" t="s">
        <v>518</v>
      </c>
      <c r="BP216" s="21" t="s">
        <v>519</v>
      </c>
      <c r="BQ216" s="21" t="s">
        <v>47</v>
      </c>
      <c r="BR216" s="21" t="s">
        <v>139</v>
      </c>
      <c r="BS216" s="21" t="s">
        <v>518</v>
      </c>
      <c r="BT216" s="21" t="s">
        <v>1044</v>
      </c>
      <c r="BU216" s="21" t="s">
        <v>149</v>
      </c>
      <c r="CD216" s="21" t="s">
        <v>520</v>
      </c>
      <c r="CF216" s="21" t="s">
        <v>521</v>
      </c>
      <c r="CN216" s="26"/>
      <c r="DB216" s="24" t="s">
        <v>943</v>
      </c>
      <c r="DC216" s="21">
        <v>1</v>
      </c>
      <c r="DD216" s="21">
        <v>2</v>
      </c>
      <c r="DE216" s="22">
        <v>42747</v>
      </c>
      <c r="DF216" s="21" t="s">
        <v>2894</v>
      </c>
      <c r="DG216" s="21" t="s">
        <v>522</v>
      </c>
      <c r="DH216" s="21" t="s">
        <v>2895</v>
      </c>
      <c r="DI216" s="21" t="s">
        <v>495</v>
      </c>
      <c r="DJ216" s="21" t="s">
        <v>520</v>
      </c>
      <c r="DK216" s="26"/>
      <c r="DL216" s="26">
        <v>42756</v>
      </c>
      <c r="DM216" s="26">
        <v>42746</v>
      </c>
      <c r="DN216" s="21">
        <v>3100</v>
      </c>
      <c r="DO216" s="21">
        <v>10</v>
      </c>
      <c r="DP216" s="21">
        <v>1</v>
      </c>
      <c r="DQ216" s="21">
        <v>1</v>
      </c>
      <c r="DR216" s="21">
        <v>7</v>
      </c>
      <c r="DS216" s="21">
        <v>10</v>
      </c>
      <c r="DT216" s="21">
        <v>10</v>
      </c>
      <c r="DU216" s="21">
        <v>10</v>
      </c>
      <c r="DW216" s="21">
        <v>10</v>
      </c>
      <c r="EA216" s="21">
        <v>10</v>
      </c>
      <c r="EB216" s="21" t="s">
        <v>2896</v>
      </c>
      <c r="EC216" s="21" t="s">
        <v>1221</v>
      </c>
      <c r="EF216" s="25">
        <v>1</v>
      </c>
      <c r="EG216" s="25">
        <v>0</v>
      </c>
      <c r="EH216" s="25">
        <v>1</v>
      </c>
      <c r="EI216" s="25">
        <v>0</v>
      </c>
      <c r="EJ216" s="25" t="s">
        <v>62</v>
      </c>
      <c r="EK216" s="25" t="s">
        <v>150</v>
      </c>
      <c r="EL216" s="25" t="s">
        <v>140</v>
      </c>
      <c r="EM216" s="25" t="s">
        <v>276</v>
      </c>
      <c r="EN216" s="25" t="s">
        <v>23</v>
      </c>
      <c r="EO216" s="25" t="s">
        <v>23</v>
      </c>
      <c r="EP216" s="25" t="s">
        <v>62</v>
      </c>
      <c r="EQ216" s="25" t="s">
        <v>529</v>
      </c>
      <c r="ER216" s="25" t="s">
        <v>278</v>
      </c>
      <c r="ES216" s="25" t="s">
        <v>278</v>
      </c>
      <c r="ET216" s="25">
        <v>1</v>
      </c>
      <c r="EU216" s="25" t="s">
        <v>522</v>
      </c>
      <c r="EV216" s="25" t="s">
        <v>279</v>
      </c>
      <c r="EW216" s="25" t="s">
        <v>279</v>
      </c>
      <c r="EX216" s="25" t="s">
        <v>279</v>
      </c>
      <c r="EY216" s="20" t="e">
        <v>#N/A</v>
      </c>
    </row>
    <row r="217" spans="1:155">
      <c r="A217" s="21" t="s">
        <v>491</v>
      </c>
      <c r="B217" s="21" t="s">
        <v>491</v>
      </c>
      <c r="C217" s="21" t="s">
        <v>492</v>
      </c>
      <c r="D217" s="21" t="s">
        <v>493</v>
      </c>
      <c r="E217" s="21" t="s">
        <v>493</v>
      </c>
      <c r="F217" s="21" t="s">
        <v>493</v>
      </c>
      <c r="G217" s="21" t="s">
        <v>2897</v>
      </c>
      <c r="H217" s="21">
        <v>1125338124</v>
      </c>
      <c r="I217" s="21" t="s">
        <v>494</v>
      </c>
      <c r="J217" s="21" t="s">
        <v>2898</v>
      </c>
      <c r="L217" s="21" t="s">
        <v>495</v>
      </c>
      <c r="M217" s="21" t="s">
        <v>2899</v>
      </c>
      <c r="N217" s="21" t="s">
        <v>550</v>
      </c>
      <c r="O217" s="21" t="s">
        <v>69</v>
      </c>
      <c r="P217" s="21" t="s">
        <v>497</v>
      </c>
      <c r="R217" s="21" t="s">
        <v>551</v>
      </c>
      <c r="S217" s="21" t="s">
        <v>552</v>
      </c>
      <c r="V217" s="21" t="s">
        <v>500</v>
      </c>
      <c r="W217" s="21" t="s">
        <v>501</v>
      </c>
      <c r="X217" s="21" t="s">
        <v>502</v>
      </c>
      <c r="Y217" s="21" t="s">
        <v>503</v>
      </c>
      <c r="Z217" s="21">
        <v>3035607864</v>
      </c>
      <c r="AA217" s="26">
        <v>42744</v>
      </c>
      <c r="AB217" s="26">
        <v>42744</v>
      </c>
      <c r="AC217" s="21" t="s">
        <v>504</v>
      </c>
      <c r="AD217" s="21" t="s">
        <v>505</v>
      </c>
      <c r="AE217" s="21" t="s">
        <v>500</v>
      </c>
      <c r="AF217" s="21" t="s">
        <v>506</v>
      </c>
      <c r="AG217" s="21" t="s">
        <v>2500</v>
      </c>
      <c r="AH217" s="21" t="s">
        <v>2501</v>
      </c>
      <c r="AI217" s="21" t="s">
        <v>1024</v>
      </c>
      <c r="AJ217" s="21" t="s">
        <v>526</v>
      </c>
      <c r="AK217" s="21" t="s">
        <v>494</v>
      </c>
      <c r="AL217" s="21" t="s">
        <v>527</v>
      </c>
      <c r="AM217" s="21" t="s">
        <v>527</v>
      </c>
      <c r="AN217" s="21" t="s">
        <v>527</v>
      </c>
      <c r="AO217" s="21" t="s">
        <v>528</v>
      </c>
      <c r="AS217" s="21" t="s">
        <v>511</v>
      </c>
      <c r="AT217" s="21" t="s">
        <v>512</v>
      </c>
      <c r="AW217" s="21">
        <v>0</v>
      </c>
      <c r="AX217" s="21">
        <v>3</v>
      </c>
      <c r="AY217" s="26"/>
      <c r="AZ217" s="26"/>
      <c r="BB217" s="26"/>
      <c r="BC217" s="21" t="s">
        <v>513</v>
      </c>
      <c r="BD217" s="21" t="s">
        <v>514</v>
      </c>
      <c r="BE217" s="21" t="s">
        <v>514</v>
      </c>
      <c r="BF217" s="21" t="s">
        <v>515</v>
      </c>
      <c r="BG217" s="21">
        <v>1</v>
      </c>
      <c r="BH217" s="21" t="s">
        <v>516</v>
      </c>
      <c r="BI217" s="21" t="s">
        <v>517</v>
      </c>
      <c r="BJ217" s="21" t="s">
        <v>516</v>
      </c>
      <c r="BK217" s="21" t="s">
        <v>516</v>
      </c>
      <c r="BM217" s="21" t="s">
        <v>54</v>
      </c>
      <c r="BN217" s="21" t="s">
        <v>259</v>
      </c>
      <c r="BO217" s="21" t="s">
        <v>518</v>
      </c>
      <c r="BP217" s="21" t="s">
        <v>519</v>
      </c>
      <c r="BQ217" s="21" t="s">
        <v>54</v>
      </c>
      <c r="BR217" s="21" t="s">
        <v>259</v>
      </c>
      <c r="BS217" s="21" t="s">
        <v>518</v>
      </c>
      <c r="BT217" s="21" t="s">
        <v>519</v>
      </c>
      <c r="BU217" s="21" t="s">
        <v>259</v>
      </c>
      <c r="CD217" s="21" t="s">
        <v>520</v>
      </c>
      <c r="CF217" s="21" t="s">
        <v>521</v>
      </c>
      <c r="CN217" s="26"/>
      <c r="DB217" s="24" t="s">
        <v>943</v>
      </c>
      <c r="DC217" s="21">
        <v>1</v>
      </c>
      <c r="DD217" s="21">
        <v>2</v>
      </c>
      <c r="DE217" s="22">
        <v>42747</v>
      </c>
      <c r="DF217" s="21" t="s">
        <v>2900</v>
      </c>
      <c r="DG217" s="21" t="s">
        <v>522</v>
      </c>
      <c r="DH217" s="21" t="s">
        <v>2901</v>
      </c>
      <c r="DI217" s="21" t="s">
        <v>495</v>
      </c>
      <c r="DJ217" s="21" t="s">
        <v>520</v>
      </c>
      <c r="DK217" s="26"/>
      <c r="DL217" s="26">
        <v>42756</v>
      </c>
      <c r="DM217" s="26">
        <v>42746</v>
      </c>
      <c r="DN217" s="21">
        <v>3100</v>
      </c>
      <c r="DO217" s="21">
        <v>10</v>
      </c>
      <c r="DP217" s="21">
        <v>1</v>
      </c>
      <c r="DQ217" s="21">
        <v>1</v>
      </c>
      <c r="DR217" s="21">
        <v>3</v>
      </c>
      <c r="DS217" s="21">
        <v>10</v>
      </c>
      <c r="DT217" s="21">
        <v>10</v>
      </c>
      <c r="DU217" s="21">
        <v>10</v>
      </c>
      <c r="DW217" s="21">
        <v>9</v>
      </c>
      <c r="EA217" s="21">
        <v>8</v>
      </c>
      <c r="EB217" s="21" t="s">
        <v>2902</v>
      </c>
      <c r="EC217" s="21" t="s">
        <v>1668</v>
      </c>
      <c r="EF217" s="25">
        <v>0</v>
      </c>
      <c r="EG217" s="25">
        <v>0</v>
      </c>
      <c r="EH217" s="25">
        <v>1</v>
      </c>
      <c r="EI217" s="25">
        <v>0</v>
      </c>
      <c r="EJ217" s="25" t="s">
        <v>62</v>
      </c>
      <c r="EK217" s="25" t="s">
        <v>276</v>
      </c>
      <c r="EL217" s="25" t="s">
        <v>276</v>
      </c>
      <c r="EM217" s="25" t="s">
        <v>276</v>
      </c>
      <c r="EN217" s="25" t="s">
        <v>276</v>
      </c>
      <c r="EO217" s="25" t="s">
        <v>276</v>
      </c>
      <c r="EP217" s="25" t="s">
        <v>276</v>
      </c>
      <c r="EQ217" s="25" t="s">
        <v>276</v>
      </c>
      <c r="ER217" s="25" t="s">
        <v>276</v>
      </c>
      <c r="ES217" s="25" t="s">
        <v>276</v>
      </c>
      <c r="ET217" s="25">
        <v>1</v>
      </c>
      <c r="EU217" s="25" t="s">
        <v>522</v>
      </c>
      <c r="EV217" s="25" t="s">
        <v>276</v>
      </c>
      <c r="EW217" s="25" t="s">
        <v>276</v>
      </c>
      <c r="EX217" s="25" t="s">
        <v>276</v>
      </c>
      <c r="EY217" s="20" t="s">
        <v>273</v>
      </c>
    </row>
    <row r="218" spans="1:155">
      <c r="A218" s="21" t="s">
        <v>491</v>
      </c>
      <c r="B218" s="21" t="s">
        <v>491</v>
      </c>
      <c r="C218" s="21" t="s">
        <v>492</v>
      </c>
      <c r="D218" s="21" t="s">
        <v>493</v>
      </c>
      <c r="E218" s="21" t="s">
        <v>493</v>
      </c>
      <c r="F218" s="21" t="s">
        <v>493</v>
      </c>
      <c r="G218" s="21" t="s">
        <v>2903</v>
      </c>
      <c r="H218" s="21">
        <v>1932557070</v>
      </c>
      <c r="I218" s="21" t="s">
        <v>494</v>
      </c>
      <c r="J218" s="21" t="s">
        <v>2904</v>
      </c>
      <c r="L218" s="21" t="s">
        <v>495</v>
      </c>
      <c r="M218" s="21" t="s">
        <v>2905</v>
      </c>
      <c r="N218" s="21" t="s">
        <v>2600</v>
      </c>
      <c r="O218" s="21" t="s">
        <v>97</v>
      </c>
      <c r="P218" s="21" t="s">
        <v>1040</v>
      </c>
      <c r="R218" s="21" t="s">
        <v>2601</v>
      </c>
      <c r="S218" s="21" t="s">
        <v>2602</v>
      </c>
      <c r="V218" s="21" t="s">
        <v>500</v>
      </c>
      <c r="W218" s="21" t="s">
        <v>501</v>
      </c>
      <c r="X218" s="21" t="s">
        <v>502</v>
      </c>
      <c r="Y218" s="21" t="s">
        <v>503</v>
      </c>
      <c r="Z218" s="21">
        <v>3035604027</v>
      </c>
      <c r="AA218" s="26">
        <v>42744</v>
      </c>
      <c r="AB218" s="26">
        <v>42744</v>
      </c>
      <c r="AC218" s="21" t="s">
        <v>504</v>
      </c>
      <c r="AD218" s="21" t="s">
        <v>505</v>
      </c>
      <c r="AE218" s="21" t="s">
        <v>500</v>
      </c>
      <c r="AF218" s="21" t="s">
        <v>549</v>
      </c>
      <c r="AG218" s="21" t="s">
        <v>555</v>
      </c>
      <c r="AH218" s="21" t="s">
        <v>556</v>
      </c>
      <c r="AI218" s="21" t="s">
        <v>1342</v>
      </c>
      <c r="AJ218" s="21" t="s">
        <v>526</v>
      </c>
      <c r="AK218" s="21" t="s">
        <v>494</v>
      </c>
      <c r="AL218" s="21" t="s">
        <v>527</v>
      </c>
      <c r="AM218" s="21" t="s">
        <v>527</v>
      </c>
      <c r="AN218" s="21" t="s">
        <v>527</v>
      </c>
      <c r="AO218" s="21" t="s">
        <v>528</v>
      </c>
      <c r="AS218" s="21" t="s">
        <v>511</v>
      </c>
      <c r="AT218" s="21" t="s">
        <v>512</v>
      </c>
      <c r="AW218" s="21">
        <v>0</v>
      </c>
      <c r="AX218" s="21">
        <v>2</v>
      </c>
      <c r="AY218" s="26"/>
      <c r="AZ218" s="26"/>
      <c r="BB218" s="26"/>
      <c r="BC218" s="21" t="s">
        <v>513</v>
      </c>
      <c r="BD218" s="21" t="s">
        <v>514</v>
      </c>
      <c r="BE218" s="21" t="s">
        <v>514</v>
      </c>
      <c r="BF218" s="21" t="s">
        <v>515</v>
      </c>
      <c r="BG218" s="21">
        <v>1</v>
      </c>
      <c r="BH218" s="21" t="s">
        <v>516</v>
      </c>
      <c r="BI218" s="21" t="s">
        <v>517</v>
      </c>
      <c r="BJ218" s="21" t="s">
        <v>516</v>
      </c>
      <c r="BK218" s="21" t="s">
        <v>516</v>
      </c>
      <c r="BM218" s="21" t="s">
        <v>11</v>
      </c>
      <c r="BN218" s="21" t="s">
        <v>87</v>
      </c>
      <c r="BO218" s="21" t="s">
        <v>518</v>
      </c>
      <c r="BP218" s="21" t="s">
        <v>519</v>
      </c>
      <c r="BQ218" s="21" t="s">
        <v>11</v>
      </c>
      <c r="BR218" s="21" t="s">
        <v>87</v>
      </c>
      <c r="BS218" s="21" t="s">
        <v>518</v>
      </c>
      <c r="BT218" s="21" t="s">
        <v>519</v>
      </c>
      <c r="BU218" s="21" t="s">
        <v>87</v>
      </c>
      <c r="CD218" s="21" t="s">
        <v>520</v>
      </c>
      <c r="CF218" s="21" t="s">
        <v>521</v>
      </c>
      <c r="CN218" s="26"/>
      <c r="DB218" s="24" t="s">
        <v>943</v>
      </c>
      <c r="DC218" s="21">
        <v>1</v>
      </c>
      <c r="DD218" s="21">
        <v>2</v>
      </c>
      <c r="DE218" s="22">
        <v>42747</v>
      </c>
      <c r="DF218" s="21" t="s">
        <v>2906</v>
      </c>
      <c r="DG218" s="21" t="s">
        <v>522</v>
      </c>
      <c r="DH218" s="21" t="s">
        <v>2907</v>
      </c>
      <c r="DI218" s="21" t="s">
        <v>495</v>
      </c>
      <c r="DJ218" s="21" t="s">
        <v>520</v>
      </c>
      <c r="DK218" s="26"/>
      <c r="DL218" s="26">
        <v>42756</v>
      </c>
      <c r="DM218" s="26">
        <v>42746</v>
      </c>
      <c r="DN218" s="21">
        <v>3100</v>
      </c>
      <c r="DO218" s="21">
        <v>10</v>
      </c>
      <c r="DP218" s="21">
        <v>1</v>
      </c>
      <c r="DQ218" s="21">
        <v>1</v>
      </c>
      <c r="DR218" s="21">
        <v>6</v>
      </c>
      <c r="DS218" s="21">
        <v>10</v>
      </c>
      <c r="DT218" s="21">
        <v>10</v>
      </c>
      <c r="DU218" s="21">
        <v>10</v>
      </c>
      <c r="DW218" s="21">
        <v>10</v>
      </c>
      <c r="EA218" s="21">
        <v>10</v>
      </c>
      <c r="EF218" s="25">
        <v>1</v>
      </c>
      <c r="EG218" s="25">
        <v>0</v>
      </c>
      <c r="EH218" s="25">
        <v>1</v>
      </c>
      <c r="EI218" s="25">
        <v>0</v>
      </c>
      <c r="EJ218" s="25" t="s">
        <v>62</v>
      </c>
      <c r="EK218" s="25" t="s">
        <v>88</v>
      </c>
      <c r="EL218" s="25" t="s">
        <v>88</v>
      </c>
      <c r="EM218" s="25" t="s">
        <v>276</v>
      </c>
      <c r="EN218" s="25" t="s">
        <v>9</v>
      </c>
      <c r="EO218" s="25" t="s">
        <v>9</v>
      </c>
      <c r="EP218" s="25" t="s">
        <v>62</v>
      </c>
      <c r="EQ218" s="25" t="s">
        <v>62</v>
      </c>
      <c r="ER218" s="25" t="s">
        <v>278</v>
      </c>
      <c r="ES218" s="25" t="s">
        <v>278</v>
      </c>
      <c r="ET218" s="25">
        <v>1</v>
      </c>
      <c r="EU218" s="25" t="s">
        <v>522</v>
      </c>
      <c r="EV218" s="25" t="s">
        <v>88</v>
      </c>
      <c r="EW218" s="25" t="s">
        <v>9</v>
      </c>
      <c r="EX218" s="25" t="s">
        <v>278</v>
      </c>
      <c r="EY218" s="20" t="e">
        <v>#N/A</v>
      </c>
    </row>
    <row r="219" spans="1:155">
      <c r="A219" s="21" t="s">
        <v>491</v>
      </c>
      <c r="B219" s="21" t="s">
        <v>491</v>
      </c>
      <c r="C219" s="21" t="s">
        <v>492</v>
      </c>
      <c r="D219" s="21" t="s">
        <v>493</v>
      </c>
      <c r="E219" s="21" t="s">
        <v>493</v>
      </c>
      <c r="F219" s="21" t="s">
        <v>493</v>
      </c>
      <c r="G219" s="21" t="s">
        <v>2908</v>
      </c>
      <c r="H219" s="21" t="s">
        <v>2909</v>
      </c>
      <c r="I219" s="21" t="s">
        <v>494</v>
      </c>
      <c r="J219" s="21" t="s">
        <v>2910</v>
      </c>
      <c r="L219" s="21" t="s">
        <v>495</v>
      </c>
      <c r="M219" s="21" t="s">
        <v>2911</v>
      </c>
      <c r="N219" s="21" t="s">
        <v>550</v>
      </c>
      <c r="O219" s="21" t="s">
        <v>69</v>
      </c>
      <c r="P219" s="21" t="s">
        <v>497</v>
      </c>
      <c r="R219" s="21" t="s">
        <v>551</v>
      </c>
      <c r="S219" s="21" t="s">
        <v>552</v>
      </c>
      <c r="V219" s="21" t="s">
        <v>500</v>
      </c>
      <c r="W219" s="21" t="s">
        <v>501</v>
      </c>
      <c r="X219" s="21" t="s">
        <v>502</v>
      </c>
      <c r="Y219" s="21" t="s">
        <v>503</v>
      </c>
      <c r="Z219" s="21">
        <v>3035472145</v>
      </c>
      <c r="AA219" s="26">
        <v>42739</v>
      </c>
      <c r="AB219" s="26">
        <v>42744</v>
      </c>
      <c r="AC219" s="21" t="s">
        <v>504</v>
      </c>
      <c r="AD219" s="21" t="s">
        <v>505</v>
      </c>
      <c r="AE219" s="21" t="s">
        <v>500</v>
      </c>
      <c r="AF219" s="21" t="s">
        <v>549</v>
      </c>
      <c r="AG219" s="21" t="s">
        <v>1007</v>
      </c>
      <c r="AH219" s="21" t="s">
        <v>1008</v>
      </c>
      <c r="AI219" s="21" t="s">
        <v>2912</v>
      </c>
      <c r="AJ219" s="21" t="s">
        <v>526</v>
      </c>
      <c r="AK219" s="21" t="s">
        <v>494</v>
      </c>
      <c r="AL219" s="21" t="s">
        <v>527</v>
      </c>
      <c r="AM219" s="21" t="s">
        <v>527</v>
      </c>
      <c r="AN219" s="21" t="s">
        <v>527</v>
      </c>
      <c r="AO219" s="21" t="s">
        <v>528</v>
      </c>
      <c r="AS219" s="21" t="s">
        <v>511</v>
      </c>
      <c r="AT219" s="21" t="s">
        <v>512</v>
      </c>
      <c r="AW219" s="21">
        <v>0</v>
      </c>
      <c r="AX219" s="21">
        <v>11</v>
      </c>
      <c r="AY219" s="26"/>
      <c r="AZ219" s="26"/>
      <c r="BB219" s="26"/>
      <c r="BC219" s="21" t="s">
        <v>513</v>
      </c>
      <c r="BD219" s="21" t="s">
        <v>514</v>
      </c>
      <c r="BE219" s="21" t="s">
        <v>514</v>
      </c>
      <c r="BF219" s="21" t="s">
        <v>515</v>
      </c>
      <c r="BG219" s="21">
        <v>1</v>
      </c>
      <c r="BH219" s="21" t="s">
        <v>516</v>
      </c>
      <c r="BI219" s="21" t="s">
        <v>517</v>
      </c>
      <c r="BJ219" s="21" t="s">
        <v>516</v>
      </c>
      <c r="BK219" s="21" t="s">
        <v>516</v>
      </c>
      <c r="BM219" s="21" t="s">
        <v>26</v>
      </c>
      <c r="BN219" s="21" t="s">
        <v>183</v>
      </c>
      <c r="BO219" s="21" t="s">
        <v>518</v>
      </c>
      <c r="BP219" s="21" t="s">
        <v>519</v>
      </c>
      <c r="BQ219" s="21" t="s">
        <v>47</v>
      </c>
      <c r="BR219" s="21" t="s">
        <v>139</v>
      </c>
      <c r="BS219" s="21" t="s">
        <v>518</v>
      </c>
      <c r="BT219" s="21" t="s">
        <v>1044</v>
      </c>
      <c r="BU219" s="21" t="s">
        <v>183</v>
      </c>
      <c r="CD219" s="21" t="s">
        <v>520</v>
      </c>
      <c r="CF219" s="21" t="s">
        <v>521</v>
      </c>
      <c r="CN219" s="26"/>
      <c r="DB219" s="24" t="s">
        <v>943</v>
      </c>
      <c r="DC219" s="21">
        <v>1</v>
      </c>
      <c r="DD219" s="21">
        <v>2</v>
      </c>
      <c r="DE219" s="22">
        <v>42747</v>
      </c>
      <c r="DF219" s="21" t="s">
        <v>2913</v>
      </c>
      <c r="DG219" s="21" t="s">
        <v>522</v>
      </c>
      <c r="DH219" s="21" t="s">
        <v>2914</v>
      </c>
      <c r="DI219" s="21" t="s">
        <v>495</v>
      </c>
      <c r="DJ219" s="21" t="s">
        <v>520</v>
      </c>
      <c r="DK219" s="26"/>
      <c r="DL219" s="26">
        <v>42756</v>
      </c>
      <c r="DM219" s="26">
        <v>42746</v>
      </c>
      <c r="DN219" s="21">
        <v>3100</v>
      </c>
      <c r="DO219" s="21">
        <v>10</v>
      </c>
      <c r="DP219" s="21">
        <v>1</v>
      </c>
      <c r="DQ219" s="21">
        <v>2</v>
      </c>
      <c r="DR219" s="21">
        <v>7</v>
      </c>
      <c r="DS219" s="21">
        <v>10</v>
      </c>
      <c r="DT219" s="21">
        <v>10</v>
      </c>
      <c r="DU219" s="21">
        <v>10</v>
      </c>
      <c r="DW219" s="21">
        <v>9</v>
      </c>
      <c r="EA219" s="21">
        <v>10</v>
      </c>
      <c r="EF219" s="25">
        <v>1</v>
      </c>
      <c r="EG219" s="25">
        <v>0</v>
      </c>
      <c r="EH219" s="25">
        <v>1</v>
      </c>
      <c r="EI219" s="25">
        <v>0</v>
      </c>
      <c r="EJ219" s="25" t="s">
        <v>62</v>
      </c>
      <c r="EK219" s="25" t="s">
        <v>184</v>
      </c>
      <c r="EL219" s="25" t="s">
        <v>140</v>
      </c>
      <c r="EM219" s="25" t="s">
        <v>276</v>
      </c>
      <c r="EN219" s="25" t="s">
        <v>23</v>
      </c>
      <c r="EO219" s="25" t="s">
        <v>23</v>
      </c>
      <c r="EP219" s="25" t="s">
        <v>62</v>
      </c>
      <c r="EQ219" s="25" t="s">
        <v>529</v>
      </c>
      <c r="ER219" s="25" t="s">
        <v>278</v>
      </c>
      <c r="ES219" s="25" t="s">
        <v>278</v>
      </c>
      <c r="ET219" s="25">
        <v>1</v>
      </c>
      <c r="EU219" s="25" t="s">
        <v>522</v>
      </c>
      <c r="EV219" s="25" t="s">
        <v>279</v>
      </c>
      <c r="EW219" s="25" t="s">
        <v>279</v>
      </c>
      <c r="EX219" s="25" t="s">
        <v>279</v>
      </c>
      <c r="EY219" s="20" t="e">
        <v>#N/A</v>
      </c>
    </row>
    <row r="220" spans="1:155">
      <c r="A220" s="21" t="s">
        <v>491</v>
      </c>
      <c r="B220" s="21" t="s">
        <v>491</v>
      </c>
      <c r="C220" s="21" t="s">
        <v>492</v>
      </c>
      <c r="D220" s="21" t="s">
        <v>493</v>
      </c>
      <c r="E220" s="21" t="s">
        <v>493</v>
      </c>
      <c r="F220" s="21" t="s">
        <v>493</v>
      </c>
      <c r="G220" s="21" t="s">
        <v>2915</v>
      </c>
      <c r="H220" s="21">
        <v>41984403125</v>
      </c>
      <c r="I220" s="21" t="s">
        <v>494</v>
      </c>
      <c r="J220" s="21" t="s">
        <v>2916</v>
      </c>
      <c r="L220" s="21" t="s">
        <v>495</v>
      </c>
      <c r="M220" s="21" t="s">
        <v>2917</v>
      </c>
      <c r="N220" s="21" t="s">
        <v>2918</v>
      </c>
      <c r="O220" s="21" t="s">
        <v>99</v>
      </c>
      <c r="P220" s="21" t="s">
        <v>2029</v>
      </c>
      <c r="R220" s="21" t="s">
        <v>2919</v>
      </c>
      <c r="S220" s="21" t="s">
        <v>2920</v>
      </c>
      <c r="V220" s="21" t="s">
        <v>500</v>
      </c>
      <c r="W220" s="21" t="s">
        <v>501</v>
      </c>
      <c r="X220" s="21" t="s">
        <v>502</v>
      </c>
      <c r="Y220" s="21" t="s">
        <v>558</v>
      </c>
      <c r="Z220" s="21">
        <v>3035660117</v>
      </c>
      <c r="AA220" s="26">
        <v>42745</v>
      </c>
      <c r="AB220" s="26">
        <v>42745</v>
      </c>
      <c r="AC220" s="21" t="s">
        <v>504</v>
      </c>
      <c r="AD220" s="21" t="s">
        <v>505</v>
      </c>
      <c r="AE220" s="21" t="s">
        <v>1091</v>
      </c>
      <c r="AF220" s="21" t="s">
        <v>1902</v>
      </c>
      <c r="AG220" s="21" t="s">
        <v>2921</v>
      </c>
      <c r="AH220" s="21" t="s">
        <v>2922</v>
      </c>
      <c r="AI220" s="21" t="s">
        <v>2923</v>
      </c>
      <c r="AJ220" s="21" t="s">
        <v>526</v>
      </c>
      <c r="AK220" s="21" t="s">
        <v>494</v>
      </c>
      <c r="AL220" s="21" t="s">
        <v>527</v>
      </c>
      <c r="AM220" s="21" t="s">
        <v>527</v>
      </c>
      <c r="AN220" s="21" t="s">
        <v>527</v>
      </c>
      <c r="AO220" s="21" t="s">
        <v>528</v>
      </c>
      <c r="AS220" s="21" t="s">
        <v>511</v>
      </c>
      <c r="AT220" s="21" t="s">
        <v>512</v>
      </c>
      <c r="AW220" s="21">
        <v>0</v>
      </c>
      <c r="AX220" s="21">
        <v>2</v>
      </c>
      <c r="AY220" s="26"/>
      <c r="AZ220" s="26"/>
      <c r="BB220" s="26"/>
      <c r="BC220" s="21" t="s">
        <v>513</v>
      </c>
      <c r="BD220" s="21" t="s">
        <v>514</v>
      </c>
      <c r="BE220" s="21" t="s">
        <v>514</v>
      </c>
      <c r="BF220" s="21" t="s">
        <v>515</v>
      </c>
      <c r="BG220" s="21">
        <v>1</v>
      </c>
      <c r="BH220" s="21" t="s">
        <v>516</v>
      </c>
      <c r="BI220" s="21" t="s">
        <v>517</v>
      </c>
      <c r="BJ220" s="21" t="s">
        <v>516</v>
      </c>
      <c r="BK220" s="21" t="s">
        <v>516</v>
      </c>
      <c r="BM220" s="21" t="s">
        <v>1252</v>
      </c>
      <c r="BN220" s="21" t="s">
        <v>225</v>
      </c>
      <c r="BO220" s="21" t="s">
        <v>518</v>
      </c>
      <c r="BP220" s="21" t="s">
        <v>1044</v>
      </c>
      <c r="BQ220" s="21" t="s">
        <v>1252</v>
      </c>
      <c r="BR220" s="21" t="s">
        <v>225</v>
      </c>
      <c r="BS220" s="21" t="s">
        <v>518</v>
      </c>
      <c r="BT220" s="21" t="s">
        <v>1044</v>
      </c>
      <c r="BU220" s="21" t="s">
        <v>225</v>
      </c>
      <c r="CD220" s="21" t="s">
        <v>520</v>
      </c>
      <c r="CF220" s="21" t="s">
        <v>521</v>
      </c>
      <c r="CN220" s="26"/>
      <c r="DB220" s="24" t="s">
        <v>943</v>
      </c>
      <c r="DC220" s="21">
        <v>1</v>
      </c>
      <c r="DD220" s="21">
        <v>2</v>
      </c>
      <c r="DE220" s="22">
        <v>42747</v>
      </c>
      <c r="DF220" s="21" t="s">
        <v>2924</v>
      </c>
      <c r="DG220" s="21" t="s">
        <v>522</v>
      </c>
      <c r="DH220" s="21" t="s">
        <v>2925</v>
      </c>
      <c r="DI220" s="21" t="s">
        <v>495</v>
      </c>
      <c r="DJ220" s="21" t="s">
        <v>520</v>
      </c>
      <c r="DK220" s="26"/>
      <c r="DL220" s="26">
        <v>42757</v>
      </c>
      <c r="DM220" s="26">
        <v>42747</v>
      </c>
      <c r="DN220" s="21">
        <v>3100</v>
      </c>
      <c r="DO220" s="21">
        <v>1</v>
      </c>
      <c r="DP220" s="21">
        <v>2</v>
      </c>
      <c r="DQ220" s="21">
        <v>2</v>
      </c>
      <c r="DR220" s="21">
        <v>1</v>
      </c>
      <c r="DS220" s="21">
        <v>10</v>
      </c>
      <c r="DT220" s="21">
        <v>10</v>
      </c>
      <c r="DU220" s="21">
        <v>5</v>
      </c>
      <c r="DW220" s="21">
        <v>0</v>
      </c>
      <c r="EA220" s="21">
        <v>0</v>
      </c>
      <c r="EB220" s="21" t="s">
        <v>2926</v>
      </c>
      <c r="EC220" s="21" t="s">
        <v>3255</v>
      </c>
      <c r="EF220" s="25">
        <v>0</v>
      </c>
      <c r="EG220" s="25">
        <v>1</v>
      </c>
      <c r="EH220" s="25">
        <v>0</v>
      </c>
      <c r="EI220" s="25">
        <v>1</v>
      </c>
      <c r="EJ220" s="25" t="s">
        <v>62</v>
      </c>
      <c r="EK220" s="25" t="s">
        <v>226</v>
      </c>
      <c r="EL220" s="25" t="s">
        <v>226</v>
      </c>
      <c r="EM220" s="25" t="s">
        <v>276</v>
      </c>
      <c r="EN220" s="25" t="s">
        <v>39</v>
      </c>
      <c r="EO220" s="25" t="s">
        <v>39</v>
      </c>
      <c r="EP220" s="25" t="s">
        <v>92</v>
      </c>
      <c r="EQ220" s="25" t="s">
        <v>92</v>
      </c>
      <c r="ER220" s="25" t="s">
        <v>278</v>
      </c>
      <c r="ES220" s="25" t="s">
        <v>278</v>
      </c>
      <c r="ET220" s="25">
        <v>1</v>
      </c>
      <c r="EU220" s="25" t="s">
        <v>522</v>
      </c>
      <c r="EV220" s="25" t="s">
        <v>226</v>
      </c>
      <c r="EW220" s="25" t="s">
        <v>39</v>
      </c>
      <c r="EX220" s="25" t="s">
        <v>278</v>
      </c>
      <c r="EY220" s="20" t="e">
        <v>#N/A</v>
      </c>
    </row>
    <row r="221" spans="1:155">
      <c r="A221" s="21" t="s">
        <v>491</v>
      </c>
      <c r="B221" s="21" t="s">
        <v>491</v>
      </c>
      <c r="C221" s="21" t="s">
        <v>492</v>
      </c>
      <c r="D221" s="21" t="s">
        <v>493</v>
      </c>
      <c r="E221" s="21" t="s">
        <v>493</v>
      </c>
      <c r="F221" s="21" t="s">
        <v>493</v>
      </c>
      <c r="G221" s="21" t="s">
        <v>2927</v>
      </c>
      <c r="H221" s="21">
        <v>1124050516</v>
      </c>
      <c r="I221" s="21" t="s">
        <v>494</v>
      </c>
      <c r="J221" s="21" t="s">
        <v>2928</v>
      </c>
      <c r="L221" s="21" t="s">
        <v>495</v>
      </c>
      <c r="M221" s="21" t="s">
        <v>2929</v>
      </c>
      <c r="N221" s="21" t="s">
        <v>1949</v>
      </c>
      <c r="O221" s="21" t="s">
        <v>93</v>
      </c>
      <c r="P221" s="21" t="s">
        <v>539</v>
      </c>
      <c r="Q221" s="21" t="s">
        <v>1168</v>
      </c>
      <c r="R221" s="21" t="s">
        <v>1950</v>
      </c>
      <c r="S221" s="21" t="s">
        <v>1440</v>
      </c>
      <c r="V221" s="21" t="s">
        <v>277</v>
      </c>
      <c r="W221" s="21" t="s">
        <v>524</v>
      </c>
      <c r="X221" s="21" t="s">
        <v>525</v>
      </c>
      <c r="Y221" s="21" t="s">
        <v>530</v>
      </c>
      <c r="Z221" s="21">
        <v>3035648692</v>
      </c>
      <c r="AA221" s="26">
        <v>42745</v>
      </c>
      <c r="AB221" s="26">
        <v>42745</v>
      </c>
      <c r="AC221" s="21" t="s">
        <v>504</v>
      </c>
      <c r="AD221" s="21" t="s">
        <v>505</v>
      </c>
      <c r="AE221" s="21" t="s">
        <v>1020</v>
      </c>
      <c r="AF221" s="21" t="s">
        <v>1369</v>
      </c>
      <c r="AG221" s="21" t="s">
        <v>1370</v>
      </c>
      <c r="AH221" s="21" t="s">
        <v>1371</v>
      </c>
      <c r="AI221" s="21" t="s">
        <v>1923</v>
      </c>
      <c r="AJ221" s="21" t="s">
        <v>526</v>
      </c>
      <c r="AK221" s="21" t="s">
        <v>494</v>
      </c>
      <c r="AL221" s="21" t="s">
        <v>527</v>
      </c>
      <c r="AM221" s="21" t="s">
        <v>527</v>
      </c>
      <c r="AN221" s="21" t="s">
        <v>527</v>
      </c>
      <c r="AO221" s="21" t="s">
        <v>528</v>
      </c>
      <c r="AS221" s="21" t="s">
        <v>511</v>
      </c>
      <c r="AT221" s="21" t="s">
        <v>512</v>
      </c>
      <c r="AW221" s="21">
        <v>0</v>
      </c>
      <c r="AX221" s="21">
        <v>2</v>
      </c>
      <c r="AY221" s="26"/>
      <c r="AZ221" s="26"/>
      <c r="BB221" s="26"/>
      <c r="BC221" s="21" t="s">
        <v>513</v>
      </c>
      <c r="BD221" s="21" t="s">
        <v>514</v>
      </c>
      <c r="BE221" s="21" t="s">
        <v>514</v>
      </c>
      <c r="BF221" s="21" t="s">
        <v>515</v>
      </c>
      <c r="BG221" s="21">
        <v>1</v>
      </c>
      <c r="BH221" s="21" t="s">
        <v>516</v>
      </c>
      <c r="BI221" s="21" t="s">
        <v>517</v>
      </c>
      <c r="BJ221" s="21" t="s">
        <v>516</v>
      </c>
      <c r="BK221" s="21" t="s">
        <v>516</v>
      </c>
      <c r="BM221" s="21" t="s">
        <v>1373</v>
      </c>
      <c r="BN221" s="21" t="s">
        <v>213</v>
      </c>
      <c r="BO221" s="21" t="s">
        <v>518</v>
      </c>
      <c r="BP221" s="21" t="s">
        <v>1044</v>
      </c>
      <c r="BQ221" s="21" t="s">
        <v>1373</v>
      </c>
      <c r="BR221" s="21" t="s">
        <v>213</v>
      </c>
      <c r="BS221" s="21" t="s">
        <v>518</v>
      </c>
      <c r="BT221" s="21" t="s">
        <v>1044</v>
      </c>
      <c r="BU221" s="21" t="s">
        <v>213</v>
      </c>
      <c r="CD221" s="21" t="s">
        <v>520</v>
      </c>
      <c r="CF221" s="21" t="s">
        <v>521</v>
      </c>
      <c r="CN221" s="26"/>
      <c r="DB221" s="24" t="s">
        <v>943</v>
      </c>
      <c r="DC221" s="21">
        <v>1</v>
      </c>
      <c r="DD221" s="21">
        <v>2</v>
      </c>
      <c r="DE221" s="22">
        <v>42747</v>
      </c>
      <c r="DF221" s="21" t="s">
        <v>2930</v>
      </c>
      <c r="DG221" s="21" t="s">
        <v>522</v>
      </c>
      <c r="DH221" s="21" t="s">
        <v>2931</v>
      </c>
      <c r="DI221" s="21" t="s">
        <v>495</v>
      </c>
      <c r="DJ221" s="21" t="s">
        <v>520</v>
      </c>
      <c r="DK221" s="26"/>
      <c r="DL221" s="26">
        <v>42757</v>
      </c>
      <c r="DM221" s="26">
        <v>42747</v>
      </c>
      <c r="DN221" s="21">
        <v>1100</v>
      </c>
      <c r="DO221" s="21">
        <v>10</v>
      </c>
      <c r="DP221" s="21">
        <v>1</v>
      </c>
      <c r="DQ221" s="21">
        <v>1</v>
      </c>
      <c r="DR221" s="21">
        <v>7</v>
      </c>
      <c r="DS221" s="21">
        <v>10</v>
      </c>
      <c r="DT221" s="21">
        <v>9</v>
      </c>
      <c r="DU221" s="21">
        <v>10</v>
      </c>
      <c r="DW221" s="21">
        <v>10</v>
      </c>
      <c r="EA221" s="21">
        <v>10</v>
      </c>
      <c r="EB221" s="21" t="s">
        <v>2932</v>
      </c>
      <c r="EC221" s="21" t="s">
        <v>3256</v>
      </c>
      <c r="EF221" s="25">
        <v>1</v>
      </c>
      <c r="EG221" s="25">
        <v>0</v>
      </c>
      <c r="EH221" s="25">
        <v>1</v>
      </c>
      <c r="EI221" s="25">
        <v>0</v>
      </c>
      <c r="EJ221" s="25" t="s">
        <v>92</v>
      </c>
      <c r="EK221" s="25" t="s">
        <v>214</v>
      </c>
      <c r="EL221" s="25" t="s">
        <v>214</v>
      </c>
      <c r="EM221" s="25" t="s">
        <v>276</v>
      </c>
      <c r="EN221" s="25" t="s">
        <v>31</v>
      </c>
      <c r="EO221" s="25" t="s">
        <v>31</v>
      </c>
      <c r="EP221" s="25" t="s">
        <v>92</v>
      </c>
      <c r="EQ221" s="25" t="s">
        <v>92</v>
      </c>
      <c r="ER221" s="25" t="s">
        <v>278</v>
      </c>
      <c r="ES221" s="25" t="s">
        <v>278</v>
      </c>
      <c r="ET221" s="25">
        <v>1</v>
      </c>
      <c r="EU221" s="25" t="s">
        <v>522</v>
      </c>
      <c r="EV221" s="25" t="s">
        <v>214</v>
      </c>
      <c r="EW221" s="25" t="s">
        <v>31</v>
      </c>
      <c r="EX221" s="25" t="s">
        <v>278</v>
      </c>
      <c r="EY221" s="20" t="e">
        <v>#N/A</v>
      </c>
    </row>
    <row r="222" spans="1:155">
      <c r="A222" s="21" t="s">
        <v>491</v>
      </c>
      <c r="B222" s="21" t="s">
        <v>491</v>
      </c>
      <c r="C222" s="21" t="s">
        <v>492</v>
      </c>
      <c r="D222" s="21" t="s">
        <v>493</v>
      </c>
      <c r="E222" s="21" t="s">
        <v>493</v>
      </c>
      <c r="F222" s="21" t="s">
        <v>493</v>
      </c>
      <c r="G222" s="21" t="s">
        <v>2933</v>
      </c>
      <c r="H222" s="21" t="s">
        <v>2934</v>
      </c>
      <c r="I222" s="21">
        <v>11947836962</v>
      </c>
      <c r="J222" s="21" t="s">
        <v>2935</v>
      </c>
      <c r="L222" s="21" t="s">
        <v>495</v>
      </c>
      <c r="M222" s="21" t="s">
        <v>494</v>
      </c>
      <c r="N222" s="21" t="s">
        <v>494</v>
      </c>
      <c r="O222" s="21" t="s">
        <v>514</v>
      </c>
      <c r="P222" s="21" t="s">
        <v>595</v>
      </c>
      <c r="R222" s="21" t="s">
        <v>494</v>
      </c>
      <c r="S222" s="21" t="s">
        <v>494</v>
      </c>
      <c r="V222" s="21" t="s">
        <v>514</v>
      </c>
      <c r="W222" s="21" t="s">
        <v>514</v>
      </c>
      <c r="X222" s="21" t="s">
        <v>514</v>
      </c>
      <c r="Y222" s="21" t="s">
        <v>514</v>
      </c>
      <c r="Z222" s="21">
        <v>3035102135</v>
      </c>
      <c r="AA222" s="26">
        <v>42724</v>
      </c>
      <c r="AB222" s="26">
        <v>42745</v>
      </c>
      <c r="AC222" s="21" t="s">
        <v>504</v>
      </c>
      <c r="AD222" s="21" t="s">
        <v>512</v>
      </c>
      <c r="AE222" s="21" t="s">
        <v>540</v>
      </c>
      <c r="AF222" s="21" t="s">
        <v>2531</v>
      </c>
      <c r="AG222" s="21" t="s">
        <v>2936</v>
      </c>
      <c r="AH222" s="21" t="s">
        <v>1442</v>
      </c>
      <c r="AI222" s="21" t="s">
        <v>847</v>
      </c>
      <c r="AJ222" s="21" t="s">
        <v>512</v>
      </c>
      <c r="AK222" s="21" t="s">
        <v>2937</v>
      </c>
      <c r="AM222" s="21" t="s">
        <v>586</v>
      </c>
      <c r="AN222" s="21" t="s">
        <v>586</v>
      </c>
      <c r="AO222" s="21" t="s">
        <v>586</v>
      </c>
      <c r="AS222" s="21" t="s">
        <v>2938</v>
      </c>
      <c r="AT222" s="21" t="s">
        <v>532</v>
      </c>
      <c r="AX222" s="21">
        <v>1</v>
      </c>
      <c r="AY222" s="26"/>
      <c r="AZ222" s="26"/>
      <c r="BB222" s="26"/>
      <c r="BC222" s="21" t="s">
        <v>513</v>
      </c>
      <c r="BD222" s="21" t="s">
        <v>514</v>
      </c>
      <c r="BE222" s="21" t="s">
        <v>514</v>
      </c>
      <c r="BF222" s="21" t="s">
        <v>515</v>
      </c>
      <c r="BG222" s="21">
        <v>1</v>
      </c>
      <c r="BH222" s="21" t="s">
        <v>516</v>
      </c>
      <c r="BI222" s="21" t="s">
        <v>517</v>
      </c>
      <c r="BJ222" s="21" t="s">
        <v>516</v>
      </c>
      <c r="BK222" s="21" t="s">
        <v>516</v>
      </c>
      <c r="BN222" s="21" t="s">
        <v>282</v>
      </c>
      <c r="BR222" s="21" t="s">
        <v>274</v>
      </c>
      <c r="BT222" s="21" t="s">
        <v>547</v>
      </c>
      <c r="BU222" s="21" t="s">
        <v>282</v>
      </c>
      <c r="CD222" s="21" t="s">
        <v>520</v>
      </c>
      <c r="CF222" s="21" t="s">
        <v>534</v>
      </c>
      <c r="CG222" s="21" t="s">
        <v>515</v>
      </c>
      <c r="CH222" s="21" t="s">
        <v>543</v>
      </c>
      <c r="CI222" s="21" t="s">
        <v>596</v>
      </c>
      <c r="CJ222" s="21" t="s">
        <v>2538</v>
      </c>
      <c r="CL222" s="21" t="s">
        <v>544</v>
      </c>
      <c r="CM222" s="21">
        <v>3035102151</v>
      </c>
      <c r="CN222" s="26">
        <v>42724</v>
      </c>
      <c r="CO222" s="21" t="s">
        <v>537</v>
      </c>
      <c r="CP222" s="21" t="s">
        <v>516</v>
      </c>
      <c r="CR222" s="21" t="s">
        <v>546</v>
      </c>
      <c r="CS222" s="21" t="s">
        <v>516</v>
      </c>
      <c r="CU222" s="21" t="s">
        <v>545</v>
      </c>
      <c r="CV222" s="21" t="s">
        <v>545</v>
      </c>
      <c r="CW222" s="21" t="s">
        <v>541</v>
      </c>
      <c r="CX222" s="21" t="s">
        <v>546</v>
      </c>
      <c r="CY222" s="21" t="s">
        <v>516</v>
      </c>
      <c r="CZ222" s="21" t="s">
        <v>547</v>
      </c>
      <c r="DA222" s="21" t="s">
        <v>516</v>
      </c>
      <c r="DB222" s="24" t="s">
        <v>943</v>
      </c>
      <c r="DC222" s="21">
        <v>1</v>
      </c>
      <c r="DD222" s="21">
        <v>2</v>
      </c>
      <c r="DE222" s="22">
        <v>42747</v>
      </c>
      <c r="DF222" s="21" t="s">
        <v>1521</v>
      </c>
      <c r="DG222" s="21" t="s">
        <v>538</v>
      </c>
      <c r="DH222" s="21" t="s">
        <v>2939</v>
      </c>
      <c r="DI222" s="21" t="s">
        <v>495</v>
      </c>
      <c r="DJ222" s="21" t="s">
        <v>520</v>
      </c>
      <c r="DK222" s="26"/>
      <c r="DL222" s="26">
        <v>42757</v>
      </c>
      <c r="DM222" s="26">
        <v>42747</v>
      </c>
      <c r="DN222" s="21">
        <v>2500</v>
      </c>
      <c r="DO222" s="21">
        <v>0</v>
      </c>
      <c r="DP222" s="21">
        <v>2</v>
      </c>
      <c r="DQ222" s="21">
        <v>2</v>
      </c>
      <c r="DR222" s="21">
        <v>1</v>
      </c>
      <c r="DS222" s="21">
        <v>0</v>
      </c>
      <c r="DT222" s="21">
        <v>0</v>
      </c>
      <c r="DU222" s="21">
        <v>0</v>
      </c>
      <c r="DW222" s="21">
        <v>0</v>
      </c>
      <c r="DY222" s="21">
        <v>8</v>
      </c>
      <c r="EA222" s="21">
        <v>0</v>
      </c>
      <c r="EB222" s="21" t="s">
        <v>2940</v>
      </c>
      <c r="EC222" s="21" t="s">
        <v>1221</v>
      </c>
      <c r="EF222" s="25">
        <v>0</v>
      </c>
      <c r="EG222" s="25">
        <v>1</v>
      </c>
      <c r="EH222" s="25">
        <v>0</v>
      </c>
      <c r="EI222" s="25">
        <v>1</v>
      </c>
      <c r="EJ222" s="25" t="s">
        <v>597</v>
      </c>
      <c r="EK222" s="25" t="s">
        <v>283</v>
      </c>
      <c r="EL222" s="25" t="s">
        <v>275</v>
      </c>
      <c r="EM222" s="25" t="s">
        <v>276</v>
      </c>
      <c r="EN222" s="25" t="s">
        <v>271</v>
      </c>
      <c r="EO222" s="25" t="s">
        <v>271</v>
      </c>
      <c r="EP222" s="25" t="s">
        <v>548</v>
      </c>
      <c r="EQ222" s="25" t="s">
        <v>548</v>
      </c>
      <c r="ER222" s="25" t="s">
        <v>278</v>
      </c>
      <c r="ES222" s="25" t="s">
        <v>278</v>
      </c>
      <c r="ET222" s="25">
        <v>1</v>
      </c>
      <c r="EU222" s="25" t="s">
        <v>522</v>
      </c>
      <c r="EV222" s="25" t="s">
        <v>279</v>
      </c>
      <c r="EW222" s="25" t="s">
        <v>279</v>
      </c>
      <c r="EX222" s="25" t="s">
        <v>279</v>
      </c>
      <c r="EY222" s="20" t="e">
        <v>#N/A</v>
      </c>
    </row>
    <row r="223" spans="1:155">
      <c r="A223" s="21" t="s">
        <v>491</v>
      </c>
      <c r="B223" s="21" t="s">
        <v>491</v>
      </c>
      <c r="C223" s="21" t="s">
        <v>492</v>
      </c>
      <c r="D223" s="21" t="s">
        <v>493</v>
      </c>
      <c r="E223" s="21" t="s">
        <v>493</v>
      </c>
      <c r="F223" s="21" t="s">
        <v>493</v>
      </c>
      <c r="G223" s="21" t="s">
        <v>3257</v>
      </c>
      <c r="H223" s="21">
        <v>1330612225</v>
      </c>
      <c r="I223" s="21" t="s">
        <v>494</v>
      </c>
      <c r="J223" s="21" t="s">
        <v>3258</v>
      </c>
      <c r="L223" s="21" t="s">
        <v>495</v>
      </c>
      <c r="M223" s="21" t="s">
        <v>3259</v>
      </c>
      <c r="N223" s="21" t="s">
        <v>496</v>
      </c>
      <c r="O223" s="21" t="s">
        <v>69</v>
      </c>
      <c r="P223" s="21" t="s">
        <v>497</v>
      </c>
      <c r="R223" s="21" t="s">
        <v>498</v>
      </c>
      <c r="S223" s="21" t="s">
        <v>499</v>
      </c>
      <c r="V223" s="21" t="s">
        <v>500</v>
      </c>
      <c r="W223" s="21" t="s">
        <v>501</v>
      </c>
      <c r="X223" s="21" t="s">
        <v>502</v>
      </c>
      <c r="Y223" s="21" t="s">
        <v>503</v>
      </c>
      <c r="Z223" s="21">
        <v>3035568456</v>
      </c>
      <c r="AA223" s="26">
        <v>42742</v>
      </c>
      <c r="AB223" s="26">
        <v>42742</v>
      </c>
      <c r="AC223" s="21" t="s">
        <v>504</v>
      </c>
      <c r="AD223" s="21" t="s">
        <v>505</v>
      </c>
      <c r="AE223" s="21" t="s">
        <v>500</v>
      </c>
      <c r="AF223" s="21" t="s">
        <v>549</v>
      </c>
      <c r="AG223" s="21" t="s">
        <v>555</v>
      </c>
      <c r="AH223" s="21" t="s">
        <v>556</v>
      </c>
      <c r="AI223" s="21" t="s">
        <v>3260</v>
      </c>
      <c r="AJ223" s="21" t="s">
        <v>526</v>
      </c>
      <c r="AK223" s="21" t="s">
        <v>494</v>
      </c>
      <c r="AL223" s="21" t="s">
        <v>527</v>
      </c>
      <c r="AM223" s="21" t="s">
        <v>527</v>
      </c>
      <c r="AN223" s="21" t="s">
        <v>527</v>
      </c>
      <c r="AO223" s="21" t="s">
        <v>528</v>
      </c>
      <c r="AS223" s="21" t="s">
        <v>511</v>
      </c>
      <c r="AT223" s="21" t="s">
        <v>512</v>
      </c>
      <c r="AW223" s="21">
        <v>0</v>
      </c>
      <c r="AX223" s="21">
        <v>3</v>
      </c>
      <c r="AY223" s="26"/>
      <c r="AZ223" s="26"/>
      <c r="BB223" s="26"/>
      <c r="BC223" s="21" t="s">
        <v>513</v>
      </c>
      <c r="BD223" s="21" t="s">
        <v>514</v>
      </c>
      <c r="BE223" s="21" t="s">
        <v>514</v>
      </c>
      <c r="BF223" s="21" t="s">
        <v>515</v>
      </c>
      <c r="BG223" s="21">
        <v>1</v>
      </c>
      <c r="BH223" s="21" t="s">
        <v>516</v>
      </c>
      <c r="BI223" s="21" t="s">
        <v>517</v>
      </c>
      <c r="BJ223" s="21" t="s">
        <v>516</v>
      </c>
      <c r="BK223" s="21" t="s">
        <v>516</v>
      </c>
      <c r="BM223" s="21" t="s">
        <v>1110</v>
      </c>
      <c r="BN223" s="21" t="s">
        <v>200</v>
      </c>
      <c r="BO223" s="21" t="s">
        <v>518</v>
      </c>
      <c r="BP223" s="21" t="s">
        <v>1044</v>
      </c>
      <c r="BQ223" s="21" t="s">
        <v>55</v>
      </c>
      <c r="BR223" s="21" t="s">
        <v>137</v>
      </c>
      <c r="BS223" s="21" t="s">
        <v>518</v>
      </c>
      <c r="BT223" s="21" t="s">
        <v>519</v>
      </c>
      <c r="BU223" s="21" t="s">
        <v>200</v>
      </c>
      <c r="CD223" s="21" t="s">
        <v>520</v>
      </c>
      <c r="CF223" s="21" t="s">
        <v>521</v>
      </c>
      <c r="CN223" s="26"/>
      <c r="DB223" s="24" t="s">
        <v>943</v>
      </c>
      <c r="DC223" s="21">
        <v>1</v>
      </c>
      <c r="DD223" s="21">
        <v>2</v>
      </c>
      <c r="DE223" s="22">
        <v>42748</v>
      </c>
      <c r="DF223" s="21" t="s">
        <v>3261</v>
      </c>
      <c r="DG223" s="21" t="s">
        <v>522</v>
      </c>
      <c r="DH223" s="21" t="s">
        <v>3262</v>
      </c>
      <c r="DI223" s="21" t="s">
        <v>495</v>
      </c>
      <c r="DJ223" s="21" t="s">
        <v>520</v>
      </c>
      <c r="DK223" s="26"/>
      <c r="DL223" s="26">
        <v>42754</v>
      </c>
      <c r="DM223" s="26">
        <v>42744</v>
      </c>
      <c r="DN223" s="21">
        <v>3100</v>
      </c>
      <c r="DO223" s="21">
        <v>7</v>
      </c>
      <c r="DP223" s="21">
        <v>1</v>
      </c>
      <c r="DQ223" s="21">
        <v>2</v>
      </c>
      <c r="DR223" s="21">
        <v>5</v>
      </c>
      <c r="DS223" s="21">
        <v>6</v>
      </c>
      <c r="DT223" s="21">
        <v>6</v>
      </c>
      <c r="DU223" s="21">
        <v>9</v>
      </c>
      <c r="DW223" s="21">
        <v>7</v>
      </c>
      <c r="EA223" s="21">
        <v>8</v>
      </c>
      <c r="EB223" s="21" t="s">
        <v>3263</v>
      </c>
      <c r="EC223" s="21" t="s">
        <v>3391</v>
      </c>
      <c r="EF223" s="25">
        <v>0</v>
      </c>
      <c r="EG223" s="25">
        <v>0</v>
      </c>
      <c r="EH223" s="25">
        <v>0</v>
      </c>
      <c r="EI223" s="25">
        <v>0</v>
      </c>
      <c r="EJ223" s="25" t="s">
        <v>62</v>
      </c>
      <c r="EK223" s="25" t="s">
        <v>201</v>
      </c>
      <c r="EL223" s="25" t="s">
        <v>138</v>
      </c>
      <c r="EM223" s="25" t="s">
        <v>276</v>
      </c>
      <c r="EN223" s="25" t="s">
        <v>31</v>
      </c>
      <c r="EO223" s="25" t="s">
        <v>23</v>
      </c>
      <c r="EP223" s="25" t="s">
        <v>92</v>
      </c>
      <c r="EQ223" s="25" t="s">
        <v>62</v>
      </c>
      <c r="ER223" s="25" t="s">
        <v>278</v>
      </c>
      <c r="ES223" s="25" t="s">
        <v>278</v>
      </c>
      <c r="ET223" s="25">
        <v>1</v>
      </c>
      <c r="EU223" s="25" t="s">
        <v>522</v>
      </c>
      <c r="EV223" s="25" t="s">
        <v>279</v>
      </c>
      <c r="EW223" s="25" t="s">
        <v>279</v>
      </c>
      <c r="EX223" s="25" t="s">
        <v>279</v>
      </c>
      <c r="EY223" s="20" t="e">
        <v>#N/A</v>
      </c>
    </row>
    <row r="224" spans="1:155">
      <c r="A224" s="21" t="s">
        <v>491</v>
      </c>
      <c r="B224" s="21" t="s">
        <v>491</v>
      </c>
      <c r="C224" s="21" t="s">
        <v>492</v>
      </c>
      <c r="D224" s="21" t="s">
        <v>493</v>
      </c>
      <c r="E224" s="21" t="s">
        <v>493</v>
      </c>
      <c r="F224" s="21" t="s">
        <v>493</v>
      </c>
      <c r="G224" s="21" t="s">
        <v>3264</v>
      </c>
      <c r="H224" s="21">
        <v>6533823035</v>
      </c>
      <c r="I224" s="21" t="s">
        <v>494</v>
      </c>
      <c r="J224" s="21" t="s">
        <v>3265</v>
      </c>
      <c r="L224" s="21" t="s">
        <v>495</v>
      </c>
      <c r="M224" s="21" t="s">
        <v>3266</v>
      </c>
      <c r="N224" s="21" t="s">
        <v>1894</v>
      </c>
      <c r="O224" s="21" t="s">
        <v>93</v>
      </c>
      <c r="P224" s="21" t="s">
        <v>539</v>
      </c>
      <c r="Q224" s="21" t="s">
        <v>1168</v>
      </c>
      <c r="R224" s="21" t="s">
        <v>1895</v>
      </c>
      <c r="S224" s="21" t="s">
        <v>1440</v>
      </c>
      <c r="V224" s="21" t="s">
        <v>277</v>
      </c>
      <c r="W224" s="21" t="s">
        <v>524</v>
      </c>
      <c r="X224" s="21" t="s">
        <v>525</v>
      </c>
      <c r="Y224" s="21" t="s">
        <v>530</v>
      </c>
      <c r="Z224" s="21">
        <v>3035603243</v>
      </c>
      <c r="AA224" s="26">
        <v>42744</v>
      </c>
      <c r="AB224" s="26">
        <v>42744</v>
      </c>
      <c r="AC224" s="21" t="s">
        <v>504</v>
      </c>
      <c r="AD224" s="21" t="s">
        <v>505</v>
      </c>
      <c r="AE224" s="21" t="s">
        <v>1020</v>
      </c>
      <c r="AF224" s="21" t="s">
        <v>2177</v>
      </c>
      <c r="AG224" s="21" t="s">
        <v>2178</v>
      </c>
      <c r="AH224" s="21" t="s">
        <v>2179</v>
      </c>
      <c r="AI224" s="21" t="s">
        <v>3267</v>
      </c>
      <c r="AJ224" s="21" t="s">
        <v>526</v>
      </c>
      <c r="AK224" s="21" t="s">
        <v>494</v>
      </c>
      <c r="AL224" s="21" t="s">
        <v>527</v>
      </c>
      <c r="AM224" s="21" t="s">
        <v>527</v>
      </c>
      <c r="AN224" s="21" t="s">
        <v>527</v>
      </c>
      <c r="AO224" s="21" t="s">
        <v>528</v>
      </c>
      <c r="AS224" s="21" t="s">
        <v>511</v>
      </c>
      <c r="AT224" s="21" t="s">
        <v>512</v>
      </c>
      <c r="AW224" s="21">
        <v>0</v>
      </c>
      <c r="AX224" s="21">
        <v>3</v>
      </c>
      <c r="AY224" s="26"/>
      <c r="AZ224" s="26"/>
      <c r="BB224" s="26"/>
      <c r="BC224" s="21" t="s">
        <v>513</v>
      </c>
      <c r="BD224" s="21" t="s">
        <v>514</v>
      </c>
      <c r="BE224" s="21" t="s">
        <v>514</v>
      </c>
      <c r="BF224" s="21" t="s">
        <v>515</v>
      </c>
      <c r="BG224" s="21">
        <v>1</v>
      </c>
      <c r="BH224" s="21" t="s">
        <v>516</v>
      </c>
      <c r="BI224" s="21" t="s">
        <v>517</v>
      </c>
      <c r="BJ224" s="21" t="s">
        <v>516</v>
      </c>
      <c r="BK224" s="21" t="s">
        <v>516</v>
      </c>
      <c r="BM224" s="21" t="s">
        <v>35</v>
      </c>
      <c r="BN224" s="21" t="s">
        <v>219</v>
      </c>
      <c r="BO224" s="21" t="s">
        <v>518</v>
      </c>
      <c r="BP224" s="21" t="s">
        <v>1044</v>
      </c>
      <c r="BQ224" s="21" t="s">
        <v>35</v>
      </c>
      <c r="BR224" s="21" t="s">
        <v>219</v>
      </c>
      <c r="BS224" s="21" t="s">
        <v>518</v>
      </c>
      <c r="BT224" s="21" t="s">
        <v>1044</v>
      </c>
      <c r="BU224" s="21" t="s">
        <v>219</v>
      </c>
      <c r="CD224" s="21" t="s">
        <v>520</v>
      </c>
      <c r="CF224" s="21" t="s">
        <v>521</v>
      </c>
      <c r="CN224" s="26"/>
      <c r="DB224" s="24" t="s">
        <v>943</v>
      </c>
      <c r="DC224" s="21">
        <v>1</v>
      </c>
      <c r="DD224" s="21">
        <v>2</v>
      </c>
      <c r="DE224" s="22">
        <v>42748</v>
      </c>
      <c r="DF224" s="21" t="s">
        <v>3268</v>
      </c>
      <c r="DG224" s="21" t="s">
        <v>522</v>
      </c>
      <c r="DH224" s="21" t="s">
        <v>3269</v>
      </c>
      <c r="DI224" s="21" t="s">
        <v>495</v>
      </c>
      <c r="DJ224" s="21" t="s">
        <v>520</v>
      </c>
      <c r="DK224" s="26"/>
      <c r="DL224" s="26">
        <v>42756</v>
      </c>
      <c r="DM224" s="26">
        <v>42746</v>
      </c>
      <c r="DN224" s="21">
        <v>1100</v>
      </c>
      <c r="DO224" s="21">
        <v>10</v>
      </c>
      <c r="DP224" s="21">
        <v>1</v>
      </c>
      <c r="DQ224" s="21">
        <v>1</v>
      </c>
      <c r="DR224" s="21">
        <v>7</v>
      </c>
      <c r="DS224" s="21">
        <v>10</v>
      </c>
      <c r="DT224" s="21">
        <v>10</v>
      </c>
      <c r="DU224" s="21">
        <v>9</v>
      </c>
      <c r="DW224" s="21">
        <v>10</v>
      </c>
      <c r="EA224" s="21">
        <v>9</v>
      </c>
      <c r="EF224" s="25">
        <v>1</v>
      </c>
      <c r="EG224" s="25">
        <v>0</v>
      </c>
      <c r="EH224" s="25">
        <v>1</v>
      </c>
      <c r="EI224" s="25">
        <v>0</v>
      </c>
      <c r="EJ224" s="25" t="s">
        <v>92</v>
      </c>
      <c r="EK224" s="25" t="s">
        <v>220</v>
      </c>
      <c r="EL224" s="25" t="s">
        <v>220</v>
      </c>
      <c r="EM224" s="25" t="s">
        <v>276</v>
      </c>
      <c r="EN224" s="25" t="s">
        <v>31</v>
      </c>
      <c r="EO224" s="25" t="s">
        <v>31</v>
      </c>
      <c r="EP224" s="25" t="s">
        <v>92</v>
      </c>
      <c r="EQ224" s="25" t="s">
        <v>92</v>
      </c>
      <c r="ER224" s="25" t="s">
        <v>278</v>
      </c>
      <c r="ES224" s="25" t="s">
        <v>278</v>
      </c>
      <c r="ET224" s="25">
        <v>1</v>
      </c>
      <c r="EU224" s="25" t="s">
        <v>522</v>
      </c>
      <c r="EV224" s="25" t="s">
        <v>220</v>
      </c>
      <c r="EW224" s="25" t="s">
        <v>31</v>
      </c>
      <c r="EX224" s="25" t="s">
        <v>278</v>
      </c>
      <c r="EY224" s="20" t="e">
        <v>#N/A</v>
      </c>
    </row>
    <row r="225" spans="1:155">
      <c r="A225" s="21" t="s">
        <v>491</v>
      </c>
      <c r="B225" s="21" t="s">
        <v>491</v>
      </c>
      <c r="C225" s="21" t="s">
        <v>492</v>
      </c>
      <c r="D225" s="21" t="s">
        <v>493</v>
      </c>
      <c r="E225" s="21" t="s">
        <v>493</v>
      </c>
      <c r="F225" s="21" t="s">
        <v>493</v>
      </c>
      <c r="G225" s="21" t="s">
        <v>3270</v>
      </c>
      <c r="H225" s="21" t="s">
        <v>3271</v>
      </c>
      <c r="I225" s="21" t="s">
        <v>494</v>
      </c>
      <c r="J225" s="21" t="s">
        <v>3272</v>
      </c>
      <c r="L225" s="21" t="s">
        <v>495</v>
      </c>
      <c r="M225" s="21" t="s">
        <v>3273</v>
      </c>
      <c r="N225" s="21" t="s">
        <v>2280</v>
      </c>
      <c r="O225" s="21" t="s">
        <v>58</v>
      </c>
      <c r="P225" s="21" t="s">
        <v>557</v>
      </c>
      <c r="R225" s="21" t="s">
        <v>2281</v>
      </c>
      <c r="S225" s="21" t="s">
        <v>2282</v>
      </c>
      <c r="V225" s="21" t="s">
        <v>500</v>
      </c>
      <c r="W225" s="21" t="s">
        <v>501</v>
      </c>
      <c r="X225" s="21" t="s">
        <v>502</v>
      </c>
      <c r="Y225" s="21" t="s">
        <v>558</v>
      </c>
      <c r="Z225" s="21">
        <v>3035527508</v>
      </c>
      <c r="AA225" s="26">
        <v>42740</v>
      </c>
      <c r="AB225" s="26">
        <v>42744</v>
      </c>
      <c r="AC225" s="21" t="s">
        <v>504</v>
      </c>
      <c r="AD225" s="21" t="s">
        <v>505</v>
      </c>
      <c r="AE225" s="21" t="s">
        <v>1020</v>
      </c>
      <c r="AF225" s="21" t="s">
        <v>1021</v>
      </c>
      <c r="AG225" s="21" t="s">
        <v>1340</v>
      </c>
      <c r="AH225" s="21" t="s">
        <v>1341</v>
      </c>
      <c r="AI225" s="21" t="s">
        <v>3274</v>
      </c>
      <c r="AJ225" s="21" t="s">
        <v>507</v>
      </c>
      <c r="AK225" s="21" t="s">
        <v>494</v>
      </c>
      <c r="AL225" s="21" t="s">
        <v>527</v>
      </c>
      <c r="AM225" s="21" t="s">
        <v>527</v>
      </c>
      <c r="AN225" s="21" t="s">
        <v>527</v>
      </c>
      <c r="AO225" s="21" t="s">
        <v>528</v>
      </c>
      <c r="AS225" s="21" t="s">
        <v>511</v>
      </c>
      <c r="AT225" s="21" t="s">
        <v>512</v>
      </c>
      <c r="AW225" s="21">
        <v>0</v>
      </c>
      <c r="AX225" s="21">
        <v>0</v>
      </c>
      <c r="AY225" s="26"/>
      <c r="AZ225" s="26"/>
      <c r="BB225" s="26"/>
      <c r="BC225" s="21" t="s">
        <v>513</v>
      </c>
      <c r="BD225" s="21" t="s">
        <v>514</v>
      </c>
      <c r="BE225" s="21" t="s">
        <v>514</v>
      </c>
      <c r="BF225" s="21" t="s">
        <v>1351</v>
      </c>
      <c r="BG225" s="21">
        <v>1</v>
      </c>
      <c r="BH225" s="21" t="s">
        <v>516</v>
      </c>
      <c r="BI225" s="21" t="s">
        <v>517</v>
      </c>
      <c r="BJ225" s="21" t="s">
        <v>516</v>
      </c>
      <c r="BK225" s="21" t="s">
        <v>516</v>
      </c>
      <c r="BM225" s="21" t="s">
        <v>281</v>
      </c>
      <c r="BN225" s="21" t="s">
        <v>142</v>
      </c>
      <c r="BO225" s="21" t="s">
        <v>518</v>
      </c>
      <c r="BP225" s="21" t="s">
        <v>519</v>
      </c>
      <c r="BQ225" s="21" t="s">
        <v>281</v>
      </c>
      <c r="BR225" s="21" t="s">
        <v>142</v>
      </c>
      <c r="BS225" s="21" t="s">
        <v>518</v>
      </c>
      <c r="BT225" s="21" t="s">
        <v>519</v>
      </c>
      <c r="BU225" s="21" t="s">
        <v>142</v>
      </c>
      <c r="CD225" s="21" t="s">
        <v>520</v>
      </c>
      <c r="CF225" s="21" t="s">
        <v>521</v>
      </c>
      <c r="CN225" s="26"/>
      <c r="DB225" s="24" t="s">
        <v>943</v>
      </c>
      <c r="DC225" s="21">
        <v>1</v>
      </c>
      <c r="DD225" s="21">
        <v>2</v>
      </c>
      <c r="DE225" s="22">
        <v>42748</v>
      </c>
      <c r="DF225" s="21" t="s">
        <v>3275</v>
      </c>
      <c r="DG225" s="21" t="s">
        <v>522</v>
      </c>
      <c r="DH225" s="21" t="s">
        <v>3276</v>
      </c>
      <c r="DI225" s="21" t="s">
        <v>495</v>
      </c>
      <c r="DJ225" s="21" t="s">
        <v>520</v>
      </c>
      <c r="DK225" s="26"/>
      <c r="DL225" s="26">
        <v>42756</v>
      </c>
      <c r="DM225" s="26">
        <v>42746</v>
      </c>
      <c r="DN225" s="21">
        <v>3100</v>
      </c>
      <c r="DO225" s="21">
        <v>10</v>
      </c>
      <c r="DP225" s="21">
        <v>1</v>
      </c>
      <c r="DQ225" s="21">
        <v>1</v>
      </c>
      <c r="DR225" s="21">
        <v>6</v>
      </c>
      <c r="DS225" s="21">
        <v>10</v>
      </c>
      <c r="DT225" s="21">
        <v>10</v>
      </c>
      <c r="DU225" s="21">
        <v>10</v>
      </c>
      <c r="DW225" s="21">
        <v>10</v>
      </c>
      <c r="EA225" s="21">
        <v>10</v>
      </c>
      <c r="EB225" s="21" t="s">
        <v>3277</v>
      </c>
      <c r="EC225" s="21" t="s">
        <v>1221</v>
      </c>
      <c r="EF225" s="25">
        <v>1</v>
      </c>
      <c r="EG225" s="25">
        <v>0</v>
      </c>
      <c r="EH225" s="25">
        <v>1</v>
      </c>
      <c r="EI225" s="25">
        <v>0</v>
      </c>
      <c r="EJ225" s="25" t="s">
        <v>62</v>
      </c>
      <c r="EK225" s="25" t="s">
        <v>143</v>
      </c>
      <c r="EL225" s="25" t="s">
        <v>143</v>
      </c>
      <c r="EM225" s="25" t="s">
        <v>276</v>
      </c>
      <c r="EN225" s="25" t="s">
        <v>51</v>
      </c>
      <c r="EO225" s="25" t="s">
        <v>51</v>
      </c>
      <c r="EP225" s="25" t="s">
        <v>1355</v>
      </c>
      <c r="EQ225" s="25" t="s">
        <v>1355</v>
      </c>
      <c r="ER225" s="25" t="s">
        <v>278</v>
      </c>
      <c r="ES225" s="25" t="s">
        <v>278</v>
      </c>
      <c r="ET225" s="25">
        <v>1</v>
      </c>
      <c r="EU225" s="25" t="s">
        <v>522</v>
      </c>
      <c r="EV225" s="25" t="s">
        <v>143</v>
      </c>
      <c r="EW225" s="25" t="s">
        <v>51</v>
      </c>
      <c r="EX225" s="25" t="s">
        <v>278</v>
      </c>
      <c r="EY225" s="20" t="e">
        <v>#N/A</v>
      </c>
    </row>
    <row r="226" spans="1:155">
      <c r="A226" s="21" t="s">
        <v>491</v>
      </c>
      <c r="B226" s="21" t="s">
        <v>491</v>
      </c>
      <c r="C226" s="21" t="s">
        <v>492</v>
      </c>
      <c r="D226" s="21" t="s">
        <v>493</v>
      </c>
      <c r="E226" s="21" t="s">
        <v>493</v>
      </c>
      <c r="F226" s="21" t="s">
        <v>493</v>
      </c>
      <c r="G226" s="21" t="s">
        <v>3278</v>
      </c>
      <c r="H226" s="21">
        <v>6232817350</v>
      </c>
      <c r="I226" s="21" t="s">
        <v>494</v>
      </c>
      <c r="J226" s="21" t="s">
        <v>3279</v>
      </c>
      <c r="L226" s="21" t="s">
        <v>495</v>
      </c>
      <c r="M226" s="21" t="s">
        <v>3280</v>
      </c>
      <c r="N226" s="21" t="s">
        <v>3281</v>
      </c>
      <c r="O226" s="21" t="s">
        <v>98</v>
      </c>
      <c r="P226" s="21" t="s">
        <v>553</v>
      </c>
      <c r="R226" s="21" t="s">
        <v>3282</v>
      </c>
      <c r="S226" s="21" t="s">
        <v>3283</v>
      </c>
      <c r="V226" s="21" t="s">
        <v>500</v>
      </c>
      <c r="W226" s="21" t="s">
        <v>501</v>
      </c>
      <c r="X226" s="21" t="s">
        <v>502</v>
      </c>
      <c r="Y226" s="21" t="s">
        <v>554</v>
      </c>
      <c r="Z226" s="21">
        <v>3035603631</v>
      </c>
      <c r="AA226" s="26">
        <v>42744</v>
      </c>
      <c r="AB226" s="26">
        <v>42744</v>
      </c>
      <c r="AC226" s="21" t="s">
        <v>504</v>
      </c>
      <c r="AD226" s="21" t="s">
        <v>505</v>
      </c>
      <c r="AE226" s="21" t="s">
        <v>500</v>
      </c>
      <c r="AF226" s="21" t="s">
        <v>506</v>
      </c>
      <c r="AG226" s="21" t="s">
        <v>1079</v>
      </c>
      <c r="AH226" s="21" t="s">
        <v>1080</v>
      </c>
      <c r="AI226" s="21" t="s">
        <v>3284</v>
      </c>
      <c r="AJ226" s="21" t="s">
        <v>507</v>
      </c>
      <c r="AK226" s="21" t="s">
        <v>494</v>
      </c>
      <c r="AL226" s="21" t="s">
        <v>508</v>
      </c>
      <c r="AM226" s="21" t="s">
        <v>509</v>
      </c>
      <c r="AN226" s="21" t="s">
        <v>527</v>
      </c>
      <c r="AO226" s="21" t="s">
        <v>528</v>
      </c>
      <c r="AQ226" s="21" t="s">
        <v>2187</v>
      </c>
      <c r="AS226" s="21" t="s">
        <v>511</v>
      </c>
      <c r="AT226" s="21" t="s">
        <v>512</v>
      </c>
      <c r="AW226" s="21">
        <v>0</v>
      </c>
      <c r="AX226" s="21">
        <v>2</v>
      </c>
      <c r="AY226" s="26"/>
      <c r="AZ226" s="26"/>
      <c r="BB226" s="26"/>
      <c r="BC226" s="21" t="s">
        <v>513</v>
      </c>
      <c r="BD226" s="21" t="s">
        <v>514</v>
      </c>
      <c r="BE226" s="21" t="s">
        <v>514</v>
      </c>
      <c r="BF226" s="21" t="s">
        <v>515</v>
      </c>
      <c r="BG226" s="21">
        <v>1</v>
      </c>
      <c r="BH226" s="21" t="s">
        <v>516</v>
      </c>
      <c r="BI226" s="21" t="s">
        <v>517</v>
      </c>
      <c r="BJ226" s="21" t="s">
        <v>516</v>
      </c>
      <c r="BK226" s="21" t="s">
        <v>516</v>
      </c>
      <c r="BM226" s="21" t="s">
        <v>560</v>
      </c>
      <c r="BN226" s="21" t="s">
        <v>141</v>
      </c>
      <c r="BO226" s="21" t="s">
        <v>518</v>
      </c>
      <c r="BP226" s="21" t="s">
        <v>519</v>
      </c>
      <c r="BQ226" s="21" t="s">
        <v>560</v>
      </c>
      <c r="BR226" s="21" t="s">
        <v>141</v>
      </c>
      <c r="BS226" s="21" t="s">
        <v>518</v>
      </c>
      <c r="BT226" s="21" t="s">
        <v>519</v>
      </c>
      <c r="BU226" s="21" t="s">
        <v>141</v>
      </c>
      <c r="CD226" s="21" t="s">
        <v>520</v>
      </c>
      <c r="CF226" s="21" t="s">
        <v>521</v>
      </c>
      <c r="CN226" s="26"/>
      <c r="DB226" s="24" t="s">
        <v>943</v>
      </c>
      <c r="DC226" s="21">
        <v>1</v>
      </c>
      <c r="DD226" s="21">
        <v>2</v>
      </c>
      <c r="DE226" s="22">
        <v>42748</v>
      </c>
      <c r="DF226" s="21" t="s">
        <v>3285</v>
      </c>
      <c r="DG226" s="21" t="s">
        <v>522</v>
      </c>
      <c r="DH226" s="21" t="s">
        <v>3286</v>
      </c>
      <c r="DI226" s="21" t="s">
        <v>495</v>
      </c>
      <c r="DJ226" s="21" t="s">
        <v>520</v>
      </c>
      <c r="DK226" s="26"/>
      <c r="DL226" s="26">
        <v>42756</v>
      </c>
      <c r="DM226" s="26">
        <v>42746</v>
      </c>
      <c r="DN226" s="21">
        <v>3100</v>
      </c>
      <c r="DO226" s="21">
        <v>10</v>
      </c>
      <c r="DP226" s="21">
        <v>1</v>
      </c>
      <c r="DQ226" s="21">
        <v>2</v>
      </c>
      <c r="DR226" s="21">
        <v>7</v>
      </c>
      <c r="DS226" s="21">
        <v>10</v>
      </c>
      <c r="DT226" s="21">
        <v>10</v>
      </c>
      <c r="DU226" s="21">
        <v>10</v>
      </c>
      <c r="DW226" s="21">
        <v>10</v>
      </c>
      <c r="EA226" s="21">
        <v>10</v>
      </c>
      <c r="EB226" s="21" t="s">
        <v>3287</v>
      </c>
      <c r="EC226" s="21" t="s">
        <v>1221</v>
      </c>
      <c r="EF226" s="25">
        <v>1</v>
      </c>
      <c r="EG226" s="25">
        <v>0</v>
      </c>
      <c r="EH226" s="25">
        <v>1</v>
      </c>
      <c r="EI226" s="25">
        <v>0</v>
      </c>
      <c r="EJ226" s="25" t="s">
        <v>62</v>
      </c>
      <c r="EK226" s="25" t="s">
        <v>276</v>
      </c>
      <c r="EL226" s="25" t="s">
        <v>276</v>
      </c>
      <c r="EM226" s="25" t="s">
        <v>276</v>
      </c>
      <c r="EN226" s="25" t="s">
        <v>276</v>
      </c>
      <c r="EO226" s="25" t="s">
        <v>276</v>
      </c>
      <c r="EP226" s="25" t="s">
        <v>276</v>
      </c>
      <c r="EQ226" s="25" t="s">
        <v>276</v>
      </c>
      <c r="ER226" s="25" t="s">
        <v>276</v>
      </c>
      <c r="ES226" s="25" t="s">
        <v>276</v>
      </c>
      <c r="ET226" s="25">
        <v>1</v>
      </c>
      <c r="EU226" s="25" t="s">
        <v>522</v>
      </c>
      <c r="EV226" s="25" t="s">
        <v>276</v>
      </c>
      <c r="EW226" s="25" t="s">
        <v>276</v>
      </c>
      <c r="EX226" s="25" t="s">
        <v>276</v>
      </c>
      <c r="EY226" s="20" t="s">
        <v>273</v>
      </c>
    </row>
    <row r="227" spans="1:155">
      <c r="A227" s="21" t="s">
        <v>491</v>
      </c>
      <c r="B227" s="21" t="s">
        <v>491</v>
      </c>
      <c r="C227" s="21" t="s">
        <v>492</v>
      </c>
      <c r="D227" s="21" t="s">
        <v>493</v>
      </c>
      <c r="E227" s="21" t="s">
        <v>493</v>
      </c>
      <c r="F227" s="21" t="s">
        <v>493</v>
      </c>
      <c r="G227" s="21" t="s">
        <v>3288</v>
      </c>
      <c r="H227" s="21" t="s">
        <v>3289</v>
      </c>
      <c r="I227" s="21" t="s">
        <v>494</v>
      </c>
      <c r="J227" s="21" t="s">
        <v>3290</v>
      </c>
      <c r="L227" s="21" t="s">
        <v>495</v>
      </c>
      <c r="M227" s="21" t="s">
        <v>3291</v>
      </c>
      <c r="N227" s="21" t="s">
        <v>1981</v>
      </c>
      <c r="O227" s="21" t="s">
        <v>97</v>
      </c>
      <c r="P227" s="21" t="s">
        <v>1040</v>
      </c>
      <c r="Q227" s="21" t="s">
        <v>597</v>
      </c>
      <c r="R227" s="21" t="s">
        <v>1982</v>
      </c>
      <c r="S227" s="21" t="s">
        <v>1983</v>
      </c>
      <c r="V227" s="21" t="s">
        <v>500</v>
      </c>
      <c r="W227" s="21" t="s">
        <v>501</v>
      </c>
      <c r="X227" s="21" t="s">
        <v>502</v>
      </c>
      <c r="Y227" s="21" t="s">
        <v>503</v>
      </c>
      <c r="Z227" s="21">
        <v>3035602678</v>
      </c>
      <c r="AA227" s="26">
        <v>42744</v>
      </c>
      <c r="AB227" s="26">
        <v>42744</v>
      </c>
      <c r="AC227" s="21" t="s">
        <v>504</v>
      </c>
      <c r="AD227" s="21" t="s">
        <v>505</v>
      </c>
      <c r="AE227" s="21" t="s">
        <v>500</v>
      </c>
      <c r="AF227" s="21" t="s">
        <v>549</v>
      </c>
      <c r="AG227" s="21" t="s">
        <v>1488</v>
      </c>
      <c r="AH227" s="21" t="s">
        <v>1489</v>
      </c>
      <c r="AI227" s="21" t="s">
        <v>3292</v>
      </c>
      <c r="AJ227" s="21" t="s">
        <v>526</v>
      </c>
      <c r="AK227" s="21" t="s">
        <v>494</v>
      </c>
      <c r="AL227" s="21" t="s">
        <v>527</v>
      </c>
      <c r="AM227" s="21" t="s">
        <v>527</v>
      </c>
      <c r="AN227" s="21" t="s">
        <v>527</v>
      </c>
      <c r="AO227" s="21" t="s">
        <v>528</v>
      </c>
      <c r="AS227" s="21" t="s">
        <v>511</v>
      </c>
      <c r="AT227" s="21" t="s">
        <v>512</v>
      </c>
      <c r="AW227" s="21">
        <v>0</v>
      </c>
      <c r="AX227" s="21">
        <v>3</v>
      </c>
      <c r="AY227" s="26"/>
      <c r="AZ227" s="26"/>
      <c r="BB227" s="26"/>
      <c r="BC227" s="21" t="s">
        <v>513</v>
      </c>
      <c r="BD227" s="21" t="s">
        <v>514</v>
      </c>
      <c r="BE227" s="21" t="s">
        <v>514</v>
      </c>
      <c r="BF227" s="21" t="s">
        <v>515</v>
      </c>
      <c r="BG227" s="21">
        <v>1</v>
      </c>
      <c r="BH227" s="21" t="s">
        <v>516</v>
      </c>
      <c r="BI227" s="21" t="s">
        <v>517</v>
      </c>
      <c r="BJ227" s="21" t="s">
        <v>516</v>
      </c>
      <c r="BK227" s="21" t="s">
        <v>516</v>
      </c>
      <c r="BM227" s="21" t="s">
        <v>2692</v>
      </c>
      <c r="BN227" s="21" t="s">
        <v>3043</v>
      </c>
      <c r="BO227" s="21" t="s">
        <v>518</v>
      </c>
      <c r="BP227" s="21" t="s">
        <v>519</v>
      </c>
      <c r="BQ227" s="21" t="s">
        <v>2692</v>
      </c>
      <c r="BR227" s="21" t="s">
        <v>3043</v>
      </c>
      <c r="BS227" s="21" t="s">
        <v>518</v>
      </c>
      <c r="BT227" s="21" t="s">
        <v>519</v>
      </c>
      <c r="BU227" s="21" t="s">
        <v>3043</v>
      </c>
      <c r="CD227" s="21" t="s">
        <v>520</v>
      </c>
      <c r="CF227" s="21" t="s">
        <v>521</v>
      </c>
      <c r="CN227" s="26"/>
      <c r="DB227" s="24" t="s">
        <v>943</v>
      </c>
      <c r="DC227" s="21">
        <v>1</v>
      </c>
      <c r="DD227" s="21">
        <v>2</v>
      </c>
      <c r="DE227" s="22">
        <v>42748</v>
      </c>
      <c r="DF227" s="21" t="s">
        <v>3293</v>
      </c>
      <c r="DG227" s="21" t="s">
        <v>522</v>
      </c>
      <c r="DH227" s="21" t="s">
        <v>3294</v>
      </c>
      <c r="DI227" s="21" t="s">
        <v>495</v>
      </c>
      <c r="DJ227" s="21" t="s">
        <v>520</v>
      </c>
      <c r="DK227" s="26"/>
      <c r="DL227" s="26">
        <v>42756</v>
      </c>
      <c r="DM227" s="26">
        <v>42746</v>
      </c>
      <c r="DN227" s="21">
        <v>3100</v>
      </c>
      <c r="DO227" s="21">
        <v>10</v>
      </c>
      <c r="DP227" s="21">
        <v>1</v>
      </c>
      <c r="DQ227" s="21">
        <v>1</v>
      </c>
      <c r="DR227" s="21">
        <v>7</v>
      </c>
      <c r="DS227" s="21">
        <v>10</v>
      </c>
      <c r="DT227" s="21">
        <v>10</v>
      </c>
      <c r="DU227" s="21">
        <v>10</v>
      </c>
      <c r="DW227" s="21">
        <v>10</v>
      </c>
      <c r="EA227" s="21">
        <v>10</v>
      </c>
      <c r="EB227" s="21" t="s">
        <v>3295</v>
      </c>
      <c r="EC227" s="21" t="s">
        <v>1221</v>
      </c>
      <c r="EF227" s="25">
        <v>1</v>
      </c>
      <c r="EG227" s="25">
        <v>0</v>
      </c>
      <c r="EH227" s="25">
        <v>1</v>
      </c>
      <c r="EI227" s="25">
        <v>0</v>
      </c>
      <c r="EJ227" s="25" t="s">
        <v>62</v>
      </c>
      <c r="EK227" s="25" t="s">
        <v>3044</v>
      </c>
      <c r="EL227" s="25" t="s">
        <v>3044</v>
      </c>
      <c r="EM227" s="25" t="s">
        <v>276</v>
      </c>
      <c r="EN227" s="25" t="s">
        <v>31</v>
      </c>
      <c r="EO227" s="25" t="s">
        <v>31</v>
      </c>
      <c r="EP227" s="25" t="s">
        <v>62</v>
      </c>
      <c r="EQ227" s="25" t="s">
        <v>62</v>
      </c>
      <c r="ER227" s="25" t="s">
        <v>278</v>
      </c>
      <c r="ES227" s="25" t="s">
        <v>278</v>
      </c>
      <c r="ET227" s="25">
        <v>1</v>
      </c>
      <c r="EU227" s="25" t="s">
        <v>522</v>
      </c>
      <c r="EV227" s="25" t="s">
        <v>3044</v>
      </c>
      <c r="EW227" s="25" t="s">
        <v>31</v>
      </c>
      <c r="EX227" s="25" t="s">
        <v>278</v>
      </c>
      <c r="EY227" s="20" t="e">
        <v>#N/A</v>
      </c>
    </row>
    <row r="228" spans="1:155">
      <c r="A228" s="21" t="s">
        <v>491</v>
      </c>
      <c r="B228" s="21" t="s">
        <v>491</v>
      </c>
      <c r="C228" s="21" t="s">
        <v>492</v>
      </c>
      <c r="D228" s="21" t="s">
        <v>493</v>
      </c>
      <c r="E228" s="21" t="s">
        <v>493</v>
      </c>
      <c r="F228" s="21" t="s">
        <v>493</v>
      </c>
      <c r="G228" s="21" t="s">
        <v>3296</v>
      </c>
      <c r="H228" s="21">
        <v>11976476319</v>
      </c>
      <c r="I228" s="21" t="s">
        <v>494</v>
      </c>
      <c r="J228" s="21" t="s">
        <v>3297</v>
      </c>
      <c r="L228" s="21" t="s">
        <v>495</v>
      </c>
      <c r="M228" s="21" t="s">
        <v>3298</v>
      </c>
      <c r="N228" s="21" t="s">
        <v>1017</v>
      </c>
      <c r="O228" s="21" t="s">
        <v>98</v>
      </c>
      <c r="P228" s="21" t="s">
        <v>553</v>
      </c>
      <c r="R228" s="21" t="s">
        <v>1018</v>
      </c>
      <c r="S228" s="21" t="s">
        <v>1019</v>
      </c>
      <c r="V228" s="21" t="s">
        <v>500</v>
      </c>
      <c r="W228" s="21" t="s">
        <v>501</v>
      </c>
      <c r="X228" s="21" t="s">
        <v>502</v>
      </c>
      <c r="Y228" s="21" t="s">
        <v>554</v>
      </c>
      <c r="Z228" s="21">
        <v>3035506760</v>
      </c>
      <c r="AA228" s="26">
        <v>42740</v>
      </c>
      <c r="AB228" s="26">
        <v>42744</v>
      </c>
      <c r="AC228" s="21" t="s">
        <v>504</v>
      </c>
      <c r="AD228" s="21" t="s">
        <v>505</v>
      </c>
      <c r="AE228" s="21" t="s">
        <v>500</v>
      </c>
      <c r="AF228" s="21" t="s">
        <v>549</v>
      </c>
      <c r="AG228" s="21" t="s">
        <v>555</v>
      </c>
      <c r="AH228" s="21" t="s">
        <v>556</v>
      </c>
      <c r="AI228" s="21" t="s">
        <v>3299</v>
      </c>
      <c r="AJ228" s="21" t="s">
        <v>526</v>
      </c>
      <c r="AK228" s="21" t="s">
        <v>494</v>
      </c>
      <c r="AL228" s="21" t="s">
        <v>1465</v>
      </c>
      <c r="AM228" s="21" t="s">
        <v>1466</v>
      </c>
      <c r="AN228" s="21" t="s">
        <v>1466</v>
      </c>
      <c r="AO228" s="21" t="s">
        <v>528</v>
      </c>
      <c r="AS228" s="21" t="s">
        <v>511</v>
      </c>
      <c r="AT228" s="21" t="s">
        <v>512</v>
      </c>
      <c r="AW228" s="21">
        <v>0</v>
      </c>
      <c r="AX228" s="21">
        <v>0</v>
      </c>
      <c r="AY228" s="26"/>
      <c r="AZ228" s="26"/>
      <c r="BB228" s="26"/>
      <c r="BC228" s="21" t="s">
        <v>513</v>
      </c>
      <c r="BD228" s="21" t="s">
        <v>514</v>
      </c>
      <c r="BE228" s="21" t="s">
        <v>514</v>
      </c>
      <c r="BF228" s="21" t="s">
        <v>1351</v>
      </c>
      <c r="BG228" s="21">
        <v>1</v>
      </c>
      <c r="BH228" s="21" t="s">
        <v>516</v>
      </c>
      <c r="BI228" s="21" t="s">
        <v>517</v>
      </c>
      <c r="BJ228" s="21" t="s">
        <v>516</v>
      </c>
      <c r="BK228" s="21" t="s">
        <v>516</v>
      </c>
      <c r="BM228" s="21" t="s">
        <v>281</v>
      </c>
      <c r="BN228" s="21" t="s">
        <v>142</v>
      </c>
      <c r="BO228" s="21" t="s">
        <v>518</v>
      </c>
      <c r="BP228" s="21" t="s">
        <v>519</v>
      </c>
      <c r="BQ228" s="21" t="s">
        <v>281</v>
      </c>
      <c r="BR228" s="21" t="s">
        <v>142</v>
      </c>
      <c r="BS228" s="21" t="s">
        <v>518</v>
      </c>
      <c r="BT228" s="21" t="s">
        <v>519</v>
      </c>
      <c r="BU228" s="21" t="s">
        <v>142</v>
      </c>
      <c r="CD228" s="21" t="s">
        <v>520</v>
      </c>
      <c r="CF228" s="21" t="s">
        <v>521</v>
      </c>
      <c r="CN228" s="26"/>
      <c r="DB228" s="24" t="s">
        <v>943</v>
      </c>
      <c r="DC228" s="21">
        <v>1</v>
      </c>
      <c r="DD228" s="21">
        <v>2</v>
      </c>
      <c r="DE228" s="22">
        <v>42748</v>
      </c>
      <c r="DF228" s="21" t="s">
        <v>3300</v>
      </c>
      <c r="DG228" s="21" t="s">
        <v>522</v>
      </c>
      <c r="DH228" s="21" t="s">
        <v>3301</v>
      </c>
      <c r="DI228" s="21" t="s">
        <v>495</v>
      </c>
      <c r="DJ228" s="21" t="s">
        <v>520</v>
      </c>
      <c r="DK228" s="26"/>
      <c r="DL228" s="26">
        <v>42756</v>
      </c>
      <c r="DM228" s="26">
        <v>42746</v>
      </c>
      <c r="DN228" s="21">
        <v>3100</v>
      </c>
      <c r="DO228" s="21">
        <v>10</v>
      </c>
      <c r="DP228" s="21">
        <v>1</v>
      </c>
      <c r="DQ228" s="21">
        <v>1</v>
      </c>
      <c r="DR228" s="21">
        <v>6</v>
      </c>
      <c r="DS228" s="21">
        <v>10</v>
      </c>
      <c r="DT228" s="21">
        <v>10</v>
      </c>
      <c r="DU228" s="21">
        <v>10</v>
      </c>
      <c r="DW228" s="21">
        <v>9</v>
      </c>
      <c r="EA228" s="21">
        <v>8</v>
      </c>
      <c r="EB228" s="21" t="s">
        <v>3302</v>
      </c>
      <c r="EC228" s="21" t="s">
        <v>3392</v>
      </c>
      <c r="EF228" s="25">
        <v>0</v>
      </c>
      <c r="EG228" s="25">
        <v>0</v>
      </c>
      <c r="EH228" s="25">
        <v>1</v>
      </c>
      <c r="EI228" s="25">
        <v>0</v>
      </c>
      <c r="EJ228" s="25" t="s">
        <v>62</v>
      </c>
      <c r="EK228" s="25" t="s">
        <v>143</v>
      </c>
      <c r="EL228" s="25" t="s">
        <v>143</v>
      </c>
      <c r="EM228" s="25" t="s">
        <v>276</v>
      </c>
      <c r="EN228" s="25" t="s">
        <v>51</v>
      </c>
      <c r="EO228" s="25" t="s">
        <v>51</v>
      </c>
      <c r="EP228" s="25" t="s">
        <v>1355</v>
      </c>
      <c r="EQ228" s="25" t="s">
        <v>1355</v>
      </c>
      <c r="ER228" s="25" t="s">
        <v>278</v>
      </c>
      <c r="ES228" s="25" t="s">
        <v>278</v>
      </c>
      <c r="ET228" s="25">
        <v>1</v>
      </c>
      <c r="EU228" s="25" t="s">
        <v>522</v>
      </c>
      <c r="EV228" s="25" t="s">
        <v>143</v>
      </c>
      <c r="EW228" s="25" t="s">
        <v>51</v>
      </c>
      <c r="EX228" s="25" t="s">
        <v>278</v>
      </c>
      <c r="EY228" s="20" t="e">
        <v>#N/A</v>
      </c>
    </row>
    <row r="229" spans="1:155">
      <c r="A229" s="21" t="s">
        <v>491</v>
      </c>
      <c r="B229" s="21" t="s">
        <v>491</v>
      </c>
      <c r="C229" s="21" t="s">
        <v>492</v>
      </c>
      <c r="D229" s="21" t="s">
        <v>493</v>
      </c>
      <c r="E229" s="21" t="s">
        <v>493</v>
      </c>
      <c r="F229" s="21" t="s">
        <v>493</v>
      </c>
      <c r="G229" s="21" t="s">
        <v>3303</v>
      </c>
      <c r="H229" s="21">
        <v>44997730113</v>
      </c>
      <c r="I229" s="21" t="s">
        <v>494</v>
      </c>
      <c r="J229" s="21" t="s">
        <v>3304</v>
      </c>
      <c r="L229" s="21" t="s">
        <v>495</v>
      </c>
      <c r="M229" s="21" t="s">
        <v>3305</v>
      </c>
      <c r="N229" s="21" t="s">
        <v>2076</v>
      </c>
      <c r="O229" s="21" t="s">
        <v>93</v>
      </c>
      <c r="P229" s="21" t="s">
        <v>539</v>
      </c>
      <c r="R229" s="21" t="s">
        <v>2077</v>
      </c>
      <c r="S229" s="21" t="s">
        <v>1440</v>
      </c>
      <c r="V229" s="21" t="s">
        <v>277</v>
      </c>
      <c r="W229" s="21" t="s">
        <v>524</v>
      </c>
      <c r="X229" s="21" t="s">
        <v>525</v>
      </c>
      <c r="Y229" s="21" t="s">
        <v>530</v>
      </c>
      <c r="Z229" s="21">
        <v>3035553960</v>
      </c>
      <c r="AA229" s="26">
        <v>42741</v>
      </c>
      <c r="AB229" s="26">
        <v>42744</v>
      </c>
      <c r="AC229" s="21" t="s">
        <v>504</v>
      </c>
      <c r="AD229" s="21" t="s">
        <v>505</v>
      </c>
      <c r="AE229" s="21" t="s">
        <v>1156</v>
      </c>
      <c r="AF229" s="21" t="s">
        <v>2078</v>
      </c>
      <c r="AG229" s="21" t="s">
        <v>2306</v>
      </c>
      <c r="AH229" s="21" t="s">
        <v>2307</v>
      </c>
      <c r="AI229" s="21" t="s">
        <v>3306</v>
      </c>
      <c r="AJ229" s="21" t="s">
        <v>507</v>
      </c>
      <c r="AK229" s="21" t="s">
        <v>494</v>
      </c>
      <c r="AL229" s="21" t="s">
        <v>527</v>
      </c>
      <c r="AM229" s="21" t="s">
        <v>527</v>
      </c>
      <c r="AN229" s="21" t="s">
        <v>527</v>
      </c>
      <c r="AO229" s="21" t="s">
        <v>528</v>
      </c>
      <c r="AS229" s="21" t="s">
        <v>511</v>
      </c>
      <c r="AT229" s="21" t="s">
        <v>512</v>
      </c>
      <c r="AW229" s="21">
        <v>0</v>
      </c>
      <c r="AX229" s="21">
        <v>4</v>
      </c>
      <c r="AY229" s="26"/>
      <c r="AZ229" s="26"/>
      <c r="BB229" s="26"/>
      <c r="BC229" s="21" t="s">
        <v>513</v>
      </c>
      <c r="BD229" s="21" t="s">
        <v>514</v>
      </c>
      <c r="BE229" s="21" t="s">
        <v>514</v>
      </c>
      <c r="BF229" s="21" t="s">
        <v>515</v>
      </c>
      <c r="BG229" s="21">
        <v>1</v>
      </c>
      <c r="BH229" s="21" t="s">
        <v>516</v>
      </c>
      <c r="BI229" s="21" t="s">
        <v>517</v>
      </c>
      <c r="BJ229" s="21" t="s">
        <v>516</v>
      </c>
      <c r="BK229" s="21" t="s">
        <v>516</v>
      </c>
      <c r="BM229" s="21" t="s">
        <v>1453</v>
      </c>
      <c r="BN229" s="21" t="s">
        <v>231</v>
      </c>
      <c r="BO229" s="21" t="s">
        <v>518</v>
      </c>
      <c r="BP229" s="21" t="s">
        <v>1044</v>
      </c>
      <c r="BQ229" s="21" t="s">
        <v>38</v>
      </c>
      <c r="BR229" s="21" t="s">
        <v>238</v>
      </c>
      <c r="BS229" s="21" t="s">
        <v>518</v>
      </c>
      <c r="BT229" s="21" t="s">
        <v>1044</v>
      </c>
      <c r="BU229" s="21" t="s">
        <v>231</v>
      </c>
      <c r="CD229" s="21" t="s">
        <v>520</v>
      </c>
      <c r="CF229" s="21" t="s">
        <v>521</v>
      </c>
      <c r="CN229" s="26"/>
      <c r="DB229" s="24" t="s">
        <v>943</v>
      </c>
      <c r="DC229" s="21">
        <v>1</v>
      </c>
      <c r="DD229" s="21">
        <v>2</v>
      </c>
      <c r="DE229" s="22">
        <v>42748</v>
      </c>
      <c r="DF229" s="21" t="s">
        <v>3307</v>
      </c>
      <c r="DG229" s="21" t="s">
        <v>522</v>
      </c>
      <c r="DH229" s="21" t="s">
        <v>3308</v>
      </c>
      <c r="DI229" s="21" t="s">
        <v>495</v>
      </c>
      <c r="DJ229" s="21" t="s">
        <v>520</v>
      </c>
      <c r="DK229" s="26"/>
      <c r="DL229" s="26">
        <v>42756</v>
      </c>
      <c r="DM229" s="26">
        <v>42746</v>
      </c>
      <c r="DN229" s="21">
        <v>1100</v>
      </c>
      <c r="DO229" s="21">
        <v>10</v>
      </c>
      <c r="DP229" s="21">
        <v>1</v>
      </c>
      <c r="DQ229" s="21">
        <v>1</v>
      </c>
      <c r="DR229" s="21">
        <v>6</v>
      </c>
      <c r="DS229" s="21">
        <v>10</v>
      </c>
      <c r="DT229" s="21">
        <v>10</v>
      </c>
      <c r="DU229" s="21">
        <v>10</v>
      </c>
      <c r="DW229" s="21">
        <v>10</v>
      </c>
      <c r="EA229" s="21">
        <v>10</v>
      </c>
      <c r="EF229" s="25">
        <v>1</v>
      </c>
      <c r="EG229" s="25">
        <v>0</v>
      </c>
      <c r="EH229" s="25">
        <v>1</v>
      </c>
      <c r="EI229" s="25">
        <v>0</v>
      </c>
      <c r="EJ229" s="25" t="s">
        <v>92</v>
      </c>
      <c r="EK229" s="25" t="s">
        <v>232</v>
      </c>
      <c r="EL229" s="25" t="s">
        <v>239</v>
      </c>
      <c r="EM229" s="25" t="s">
        <v>276</v>
      </c>
      <c r="EN229" s="25" t="s">
        <v>39</v>
      </c>
      <c r="EO229" s="25" t="s">
        <v>39</v>
      </c>
      <c r="EP229" s="25" t="s">
        <v>92</v>
      </c>
      <c r="EQ229" s="25" t="s">
        <v>529</v>
      </c>
      <c r="ER229" s="25" t="s">
        <v>278</v>
      </c>
      <c r="ES229" s="25" t="s">
        <v>278</v>
      </c>
      <c r="ET229" s="25">
        <v>1</v>
      </c>
      <c r="EU229" s="25" t="s">
        <v>522</v>
      </c>
      <c r="EV229" s="25" t="s">
        <v>279</v>
      </c>
      <c r="EW229" s="25" t="s">
        <v>279</v>
      </c>
      <c r="EX229" s="25" t="s">
        <v>279</v>
      </c>
      <c r="EY229" s="20" t="e">
        <v>#N/A</v>
      </c>
    </row>
    <row r="230" spans="1:155">
      <c r="A230" s="21" t="s">
        <v>491</v>
      </c>
      <c r="B230" s="21" t="s">
        <v>491</v>
      </c>
      <c r="C230" s="21" t="s">
        <v>492</v>
      </c>
      <c r="D230" s="21" t="s">
        <v>493</v>
      </c>
      <c r="E230" s="21" t="s">
        <v>493</v>
      </c>
      <c r="F230" s="21" t="s">
        <v>493</v>
      </c>
      <c r="G230" s="21" t="s">
        <v>3309</v>
      </c>
      <c r="H230" s="21">
        <v>2130784500</v>
      </c>
      <c r="I230" s="21" t="s">
        <v>494</v>
      </c>
      <c r="J230" s="21" t="s">
        <v>3310</v>
      </c>
      <c r="L230" s="21" t="s">
        <v>495</v>
      </c>
      <c r="M230" s="21" t="s">
        <v>3311</v>
      </c>
      <c r="N230" s="21" t="s">
        <v>1474</v>
      </c>
      <c r="O230" s="21" t="s">
        <v>58</v>
      </c>
      <c r="P230" s="21" t="s">
        <v>557</v>
      </c>
      <c r="R230" s="21" t="s">
        <v>1475</v>
      </c>
      <c r="S230" s="21" t="s">
        <v>1476</v>
      </c>
      <c r="V230" s="21" t="s">
        <v>500</v>
      </c>
      <c r="W230" s="21" t="s">
        <v>501</v>
      </c>
      <c r="X230" s="21" t="s">
        <v>502</v>
      </c>
      <c r="Y230" s="21" t="s">
        <v>558</v>
      </c>
      <c r="Z230" s="21">
        <v>3035641920</v>
      </c>
      <c r="AA230" s="26">
        <v>42745</v>
      </c>
      <c r="AB230" s="26">
        <v>42745</v>
      </c>
      <c r="AC230" s="21" t="s">
        <v>504</v>
      </c>
      <c r="AD230" s="21" t="s">
        <v>505</v>
      </c>
      <c r="AE230" s="21" t="s">
        <v>500</v>
      </c>
      <c r="AF230" s="21" t="s">
        <v>506</v>
      </c>
      <c r="AG230" s="21" t="s">
        <v>1323</v>
      </c>
      <c r="AH230" s="21" t="s">
        <v>1324</v>
      </c>
      <c r="AI230" s="21" t="s">
        <v>3312</v>
      </c>
      <c r="AJ230" s="21" t="s">
        <v>507</v>
      </c>
      <c r="AK230" s="21" t="s">
        <v>494</v>
      </c>
      <c r="AL230" s="21" t="s">
        <v>527</v>
      </c>
      <c r="AM230" s="21" t="s">
        <v>527</v>
      </c>
      <c r="AN230" s="21" t="s">
        <v>527</v>
      </c>
      <c r="AO230" s="21" t="s">
        <v>528</v>
      </c>
      <c r="AS230" s="21" t="s">
        <v>511</v>
      </c>
      <c r="AT230" s="21" t="s">
        <v>512</v>
      </c>
      <c r="AW230" s="21">
        <v>0</v>
      </c>
      <c r="AX230" s="21">
        <v>2</v>
      </c>
      <c r="AY230" s="26"/>
      <c r="AZ230" s="26"/>
      <c r="BB230" s="26"/>
      <c r="BC230" s="21" t="s">
        <v>513</v>
      </c>
      <c r="BD230" s="21" t="s">
        <v>514</v>
      </c>
      <c r="BE230" s="21" t="s">
        <v>514</v>
      </c>
      <c r="BF230" s="21" t="s">
        <v>515</v>
      </c>
      <c r="BG230" s="21">
        <v>1</v>
      </c>
      <c r="BH230" s="21" t="s">
        <v>516</v>
      </c>
      <c r="BI230" s="21" t="s">
        <v>517</v>
      </c>
      <c r="BJ230" s="21" t="s">
        <v>516</v>
      </c>
      <c r="BK230" s="21" t="s">
        <v>516</v>
      </c>
      <c r="BM230" s="21" t="s">
        <v>11</v>
      </c>
      <c r="BN230" s="21" t="s">
        <v>87</v>
      </c>
      <c r="BO230" s="21" t="s">
        <v>518</v>
      </c>
      <c r="BP230" s="21" t="s">
        <v>519</v>
      </c>
      <c r="BQ230" s="21" t="s">
        <v>11</v>
      </c>
      <c r="BR230" s="21" t="s">
        <v>87</v>
      </c>
      <c r="BS230" s="21" t="s">
        <v>518</v>
      </c>
      <c r="BT230" s="21" t="s">
        <v>519</v>
      </c>
      <c r="BU230" s="21" t="s">
        <v>87</v>
      </c>
      <c r="CD230" s="21" t="s">
        <v>520</v>
      </c>
      <c r="CF230" s="21" t="s">
        <v>521</v>
      </c>
      <c r="CN230" s="26"/>
      <c r="DB230" s="24" t="s">
        <v>943</v>
      </c>
      <c r="DC230" s="21">
        <v>1</v>
      </c>
      <c r="DD230" s="21">
        <v>2</v>
      </c>
      <c r="DE230" s="22">
        <v>42748</v>
      </c>
      <c r="DF230" s="21" t="s">
        <v>3313</v>
      </c>
      <c r="DG230" s="21" t="s">
        <v>522</v>
      </c>
      <c r="DH230" s="21" t="s">
        <v>3314</v>
      </c>
      <c r="DI230" s="21" t="s">
        <v>495</v>
      </c>
      <c r="DJ230" s="21" t="s">
        <v>520</v>
      </c>
      <c r="DK230" s="26"/>
      <c r="DL230" s="26">
        <v>42757</v>
      </c>
      <c r="DM230" s="26">
        <v>42747</v>
      </c>
      <c r="DN230" s="21">
        <v>3100</v>
      </c>
      <c r="DO230" s="21">
        <v>9</v>
      </c>
      <c r="DP230" s="21">
        <v>1</v>
      </c>
      <c r="DQ230" s="21">
        <v>2</v>
      </c>
      <c r="DR230" s="21">
        <v>6</v>
      </c>
      <c r="DS230" s="21">
        <v>99</v>
      </c>
      <c r="DT230" s="21">
        <v>99</v>
      </c>
      <c r="DU230" s="21">
        <v>99</v>
      </c>
      <c r="DW230" s="21">
        <v>10</v>
      </c>
      <c r="EA230" s="21">
        <v>10</v>
      </c>
      <c r="EF230" s="25">
        <v>1</v>
      </c>
      <c r="EG230" s="25">
        <v>0</v>
      </c>
      <c r="EH230" s="25">
        <v>1</v>
      </c>
      <c r="EI230" s="25">
        <v>0</v>
      </c>
      <c r="EJ230" s="25" t="s">
        <v>62</v>
      </c>
      <c r="EK230" s="25" t="s">
        <v>88</v>
      </c>
      <c r="EL230" s="25" t="s">
        <v>88</v>
      </c>
      <c r="EM230" s="25" t="s">
        <v>276</v>
      </c>
      <c r="EN230" s="25" t="s">
        <v>9</v>
      </c>
      <c r="EO230" s="25" t="s">
        <v>9</v>
      </c>
      <c r="EP230" s="25" t="s">
        <v>62</v>
      </c>
      <c r="EQ230" s="25" t="s">
        <v>62</v>
      </c>
      <c r="ER230" s="25" t="s">
        <v>278</v>
      </c>
      <c r="ES230" s="25" t="s">
        <v>278</v>
      </c>
      <c r="ET230" s="25">
        <v>1</v>
      </c>
      <c r="EU230" s="25" t="s">
        <v>522</v>
      </c>
      <c r="EV230" s="25" t="s">
        <v>88</v>
      </c>
      <c r="EW230" s="25" t="s">
        <v>9</v>
      </c>
      <c r="EX230" s="25" t="s">
        <v>278</v>
      </c>
      <c r="EY230" s="20" t="e">
        <v>#N/A</v>
      </c>
    </row>
    <row r="231" spans="1:155">
      <c r="A231" s="21" t="s">
        <v>491</v>
      </c>
      <c r="B231" s="21" t="s">
        <v>491</v>
      </c>
      <c r="C231" s="21" t="s">
        <v>492</v>
      </c>
      <c r="D231" s="21" t="s">
        <v>493</v>
      </c>
      <c r="E231" s="21" t="s">
        <v>493</v>
      </c>
      <c r="F231" s="21" t="s">
        <v>493</v>
      </c>
      <c r="G231" s="21" t="s">
        <v>3315</v>
      </c>
      <c r="H231" s="21">
        <v>19997888402</v>
      </c>
      <c r="I231" s="21" t="s">
        <v>494</v>
      </c>
      <c r="J231" s="21" t="s">
        <v>3316</v>
      </c>
      <c r="L231" s="21" t="s">
        <v>495</v>
      </c>
      <c r="M231" s="21" t="s">
        <v>3317</v>
      </c>
      <c r="N231" s="21" t="s">
        <v>496</v>
      </c>
      <c r="O231" s="21" t="s">
        <v>69</v>
      </c>
      <c r="P231" s="21" t="s">
        <v>497</v>
      </c>
      <c r="R231" s="21" t="s">
        <v>498</v>
      </c>
      <c r="S231" s="21" t="s">
        <v>499</v>
      </c>
      <c r="V231" s="21" t="s">
        <v>500</v>
      </c>
      <c r="W231" s="21" t="s">
        <v>501</v>
      </c>
      <c r="X231" s="21" t="s">
        <v>502</v>
      </c>
      <c r="Y231" s="21" t="s">
        <v>503</v>
      </c>
      <c r="Z231" s="21">
        <v>3035647410</v>
      </c>
      <c r="AA231" s="26">
        <v>42745</v>
      </c>
      <c r="AB231" s="26">
        <v>42745</v>
      </c>
      <c r="AC231" s="21" t="s">
        <v>504</v>
      </c>
      <c r="AD231" s="21" t="s">
        <v>505</v>
      </c>
      <c r="AE231" s="21" t="s">
        <v>500</v>
      </c>
      <c r="AF231" s="21" t="s">
        <v>549</v>
      </c>
      <c r="AG231" s="21" t="s">
        <v>555</v>
      </c>
      <c r="AH231" s="21" t="s">
        <v>556</v>
      </c>
      <c r="AI231" s="21" t="s">
        <v>1342</v>
      </c>
      <c r="AJ231" s="21" t="s">
        <v>526</v>
      </c>
      <c r="AK231" s="21" t="s">
        <v>494</v>
      </c>
      <c r="AL231" s="21" t="s">
        <v>527</v>
      </c>
      <c r="AM231" s="21" t="s">
        <v>527</v>
      </c>
      <c r="AN231" s="21" t="s">
        <v>527</v>
      </c>
      <c r="AO231" s="21" t="s">
        <v>528</v>
      </c>
      <c r="AS231" s="21" t="s">
        <v>511</v>
      </c>
      <c r="AT231" s="21" t="s">
        <v>512</v>
      </c>
      <c r="AW231" s="21">
        <v>0</v>
      </c>
      <c r="AX231" s="21">
        <v>2</v>
      </c>
      <c r="AY231" s="26"/>
      <c r="AZ231" s="26"/>
      <c r="BB231" s="26"/>
      <c r="BC231" s="21" t="s">
        <v>513</v>
      </c>
      <c r="BD231" s="21" t="s">
        <v>514</v>
      </c>
      <c r="BE231" s="21" t="s">
        <v>514</v>
      </c>
      <c r="BF231" s="21" t="s">
        <v>515</v>
      </c>
      <c r="BG231" s="21">
        <v>1</v>
      </c>
      <c r="BH231" s="21" t="s">
        <v>516</v>
      </c>
      <c r="BI231" s="21" t="s">
        <v>517</v>
      </c>
      <c r="BJ231" s="21" t="s">
        <v>516</v>
      </c>
      <c r="BK231" s="21" t="s">
        <v>516</v>
      </c>
      <c r="BM231" s="21" t="s">
        <v>55</v>
      </c>
      <c r="BN231" s="21" t="s">
        <v>137</v>
      </c>
      <c r="BO231" s="21" t="s">
        <v>518</v>
      </c>
      <c r="BP231" s="21" t="s">
        <v>519</v>
      </c>
      <c r="BQ231" s="21" t="s">
        <v>55</v>
      </c>
      <c r="BR231" s="21" t="s">
        <v>137</v>
      </c>
      <c r="BS231" s="21" t="s">
        <v>518</v>
      </c>
      <c r="BT231" s="21" t="s">
        <v>519</v>
      </c>
      <c r="BU231" s="21" t="s">
        <v>137</v>
      </c>
      <c r="CD231" s="21" t="s">
        <v>520</v>
      </c>
      <c r="CF231" s="21" t="s">
        <v>521</v>
      </c>
      <c r="CN231" s="26"/>
      <c r="DB231" s="24" t="s">
        <v>943</v>
      </c>
      <c r="DC231" s="21">
        <v>1</v>
      </c>
      <c r="DD231" s="21">
        <v>2</v>
      </c>
      <c r="DE231" s="22">
        <v>42748</v>
      </c>
      <c r="DF231" s="21" t="s">
        <v>1454</v>
      </c>
      <c r="DG231" s="21" t="s">
        <v>522</v>
      </c>
      <c r="DH231" s="21" t="s">
        <v>3318</v>
      </c>
      <c r="DI231" s="21" t="s">
        <v>495</v>
      </c>
      <c r="DJ231" s="21" t="s">
        <v>520</v>
      </c>
      <c r="DK231" s="26"/>
      <c r="DL231" s="26">
        <v>42757</v>
      </c>
      <c r="DM231" s="26">
        <v>42747</v>
      </c>
      <c r="DN231" s="21">
        <v>3100</v>
      </c>
      <c r="DO231" s="21">
        <v>10</v>
      </c>
      <c r="DP231" s="21">
        <v>1</v>
      </c>
      <c r="DQ231" s="21">
        <v>1</v>
      </c>
      <c r="DR231" s="21">
        <v>6</v>
      </c>
      <c r="DS231" s="21">
        <v>10</v>
      </c>
      <c r="DT231" s="21">
        <v>10</v>
      </c>
      <c r="DU231" s="21">
        <v>10</v>
      </c>
      <c r="DW231" s="21">
        <v>10</v>
      </c>
      <c r="EA231" s="21">
        <v>10</v>
      </c>
      <c r="EF231" s="25">
        <v>1</v>
      </c>
      <c r="EG231" s="25">
        <v>0</v>
      </c>
      <c r="EH231" s="25">
        <v>1</v>
      </c>
      <c r="EI231" s="25">
        <v>0</v>
      </c>
      <c r="EJ231" s="25" t="s">
        <v>62</v>
      </c>
      <c r="EK231" s="25" t="s">
        <v>138</v>
      </c>
      <c r="EL231" s="25" t="s">
        <v>138</v>
      </c>
      <c r="EM231" s="25" t="s">
        <v>276</v>
      </c>
      <c r="EN231" s="25" t="s">
        <v>23</v>
      </c>
      <c r="EO231" s="25" t="s">
        <v>23</v>
      </c>
      <c r="EP231" s="25" t="s">
        <v>62</v>
      </c>
      <c r="EQ231" s="25" t="s">
        <v>62</v>
      </c>
      <c r="ER231" s="25" t="s">
        <v>278</v>
      </c>
      <c r="ES231" s="25" t="s">
        <v>278</v>
      </c>
      <c r="ET231" s="25">
        <v>1</v>
      </c>
      <c r="EU231" s="25" t="s">
        <v>522</v>
      </c>
      <c r="EV231" s="25" t="s">
        <v>138</v>
      </c>
      <c r="EW231" s="25" t="s">
        <v>23</v>
      </c>
      <c r="EX231" s="25" t="s">
        <v>278</v>
      </c>
      <c r="EY231" s="20" t="e">
        <v>#N/A</v>
      </c>
    </row>
    <row r="232" spans="1:155">
      <c r="A232" s="21" t="s">
        <v>491</v>
      </c>
      <c r="B232" s="21" t="s">
        <v>491</v>
      </c>
      <c r="C232" s="21" t="s">
        <v>492</v>
      </c>
      <c r="D232" s="21" t="s">
        <v>493</v>
      </c>
      <c r="E232" s="21" t="s">
        <v>493</v>
      </c>
      <c r="F232" s="21" t="s">
        <v>493</v>
      </c>
      <c r="G232" s="21" t="s">
        <v>3319</v>
      </c>
      <c r="H232" s="21">
        <v>4132563216</v>
      </c>
      <c r="I232" s="21" t="s">
        <v>494</v>
      </c>
      <c r="J232" s="21" t="s">
        <v>3320</v>
      </c>
      <c r="L232" s="21" t="s">
        <v>495</v>
      </c>
      <c r="M232" s="21" t="s">
        <v>3321</v>
      </c>
      <c r="N232" s="21" t="s">
        <v>1459</v>
      </c>
      <c r="O232" s="21" t="s">
        <v>100</v>
      </c>
      <c r="P232" s="21" t="s">
        <v>1187</v>
      </c>
      <c r="R232" s="21" t="s">
        <v>1460</v>
      </c>
      <c r="S232" s="21" t="s">
        <v>1461</v>
      </c>
      <c r="V232" s="21" t="s">
        <v>277</v>
      </c>
      <c r="W232" s="21" t="s">
        <v>524</v>
      </c>
      <c r="X232" s="21" t="s">
        <v>525</v>
      </c>
      <c r="Y232" s="21" t="s">
        <v>1190</v>
      </c>
      <c r="Z232" s="21">
        <v>3035641086</v>
      </c>
      <c r="AA232" s="26">
        <v>42745</v>
      </c>
      <c r="AB232" s="26">
        <v>42745</v>
      </c>
      <c r="AC232" s="21" t="s">
        <v>504</v>
      </c>
      <c r="AD232" s="21" t="s">
        <v>505</v>
      </c>
      <c r="AE232" s="21" t="s">
        <v>1156</v>
      </c>
      <c r="AF232" s="21" t="s">
        <v>3322</v>
      </c>
      <c r="AG232" s="21" t="s">
        <v>3323</v>
      </c>
      <c r="AH232" s="21" t="s">
        <v>3324</v>
      </c>
      <c r="AI232" s="21" t="s">
        <v>3325</v>
      </c>
      <c r="AJ232" s="21" t="s">
        <v>507</v>
      </c>
      <c r="AK232" s="21" t="s">
        <v>494</v>
      </c>
      <c r="AL232" s="21" t="s">
        <v>1465</v>
      </c>
      <c r="AM232" s="21" t="s">
        <v>1466</v>
      </c>
      <c r="AN232" s="21" t="s">
        <v>1466</v>
      </c>
      <c r="AO232" s="21" t="s">
        <v>528</v>
      </c>
      <c r="AS232" s="21" t="s">
        <v>511</v>
      </c>
      <c r="AT232" s="21" t="s">
        <v>512</v>
      </c>
      <c r="AW232" s="21">
        <v>0</v>
      </c>
      <c r="AX232" s="21">
        <v>2</v>
      </c>
      <c r="AY232" s="26"/>
      <c r="AZ232" s="26"/>
      <c r="BB232" s="26"/>
      <c r="BC232" s="21" t="s">
        <v>513</v>
      </c>
      <c r="BD232" s="21" t="s">
        <v>514</v>
      </c>
      <c r="BE232" s="21" t="s">
        <v>514</v>
      </c>
      <c r="BF232" s="21" t="s">
        <v>515</v>
      </c>
      <c r="BG232" s="21">
        <v>1</v>
      </c>
      <c r="BH232" s="21" t="s">
        <v>516</v>
      </c>
      <c r="BI232" s="21" t="s">
        <v>517</v>
      </c>
      <c r="BJ232" s="21" t="s">
        <v>516</v>
      </c>
      <c r="BK232" s="21" t="s">
        <v>516</v>
      </c>
      <c r="BM232" s="21" t="s">
        <v>1110</v>
      </c>
      <c r="BN232" s="21" t="s">
        <v>200</v>
      </c>
      <c r="BO232" s="21" t="s">
        <v>518</v>
      </c>
      <c r="BP232" s="21" t="s">
        <v>1044</v>
      </c>
      <c r="BQ232" s="21" t="s">
        <v>1110</v>
      </c>
      <c r="BR232" s="21" t="s">
        <v>200</v>
      </c>
      <c r="BS232" s="21" t="s">
        <v>518</v>
      </c>
      <c r="BT232" s="21" t="s">
        <v>1044</v>
      </c>
      <c r="BU232" s="21" t="s">
        <v>200</v>
      </c>
      <c r="CD232" s="21" t="s">
        <v>520</v>
      </c>
      <c r="CF232" s="21" t="s">
        <v>521</v>
      </c>
      <c r="CN232" s="26"/>
      <c r="DB232" s="24" t="s">
        <v>943</v>
      </c>
      <c r="DC232" s="21">
        <v>1</v>
      </c>
      <c r="DD232" s="21">
        <v>2</v>
      </c>
      <c r="DE232" s="22">
        <v>42748</v>
      </c>
      <c r="DF232" s="21" t="s">
        <v>3326</v>
      </c>
      <c r="DG232" s="21" t="s">
        <v>522</v>
      </c>
      <c r="DH232" s="21" t="s">
        <v>3327</v>
      </c>
      <c r="DI232" s="21" t="s">
        <v>495</v>
      </c>
      <c r="DJ232" s="21" t="s">
        <v>520</v>
      </c>
      <c r="DK232" s="26"/>
      <c r="DL232" s="26">
        <v>42757</v>
      </c>
      <c r="DM232" s="26">
        <v>42747</v>
      </c>
      <c r="DN232" s="21">
        <v>1100</v>
      </c>
      <c r="DO232" s="21">
        <v>9</v>
      </c>
      <c r="DP232" s="21">
        <v>1</v>
      </c>
      <c r="DQ232" s="21">
        <v>1</v>
      </c>
      <c r="DR232" s="21">
        <v>6</v>
      </c>
      <c r="DS232" s="21">
        <v>10</v>
      </c>
      <c r="DT232" s="21">
        <v>10</v>
      </c>
      <c r="DU232" s="21">
        <v>10</v>
      </c>
      <c r="DW232" s="21">
        <v>10</v>
      </c>
      <c r="EA232" s="21">
        <v>10</v>
      </c>
      <c r="EB232" s="21" t="s">
        <v>3328</v>
      </c>
      <c r="EC232" s="21" t="s">
        <v>3393</v>
      </c>
      <c r="EF232" s="25">
        <v>1</v>
      </c>
      <c r="EG232" s="25">
        <v>0</v>
      </c>
      <c r="EH232" s="25">
        <v>1</v>
      </c>
      <c r="EI232" s="25">
        <v>0</v>
      </c>
      <c r="EJ232" s="25" t="s">
        <v>92</v>
      </c>
      <c r="EK232" s="25" t="s">
        <v>201</v>
      </c>
      <c r="EL232" s="25" t="s">
        <v>201</v>
      </c>
      <c r="EM232" s="25" t="s">
        <v>276</v>
      </c>
      <c r="EN232" s="25" t="s">
        <v>31</v>
      </c>
      <c r="EO232" s="25" t="s">
        <v>31</v>
      </c>
      <c r="EP232" s="25" t="s">
        <v>92</v>
      </c>
      <c r="EQ232" s="25" t="s">
        <v>92</v>
      </c>
      <c r="ER232" s="25" t="s">
        <v>278</v>
      </c>
      <c r="ES232" s="25" t="s">
        <v>278</v>
      </c>
      <c r="ET232" s="25">
        <v>1</v>
      </c>
      <c r="EU232" s="25" t="s">
        <v>522</v>
      </c>
      <c r="EV232" s="25" t="s">
        <v>201</v>
      </c>
      <c r="EW232" s="25" t="s">
        <v>31</v>
      </c>
      <c r="EX232" s="25" t="s">
        <v>278</v>
      </c>
      <c r="EY232" s="20" t="e">
        <v>#N/A</v>
      </c>
    </row>
    <row r="233" spans="1:155">
      <c r="A233" s="21" t="s">
        <v>491</v>
      </c>
      <c r="B233" s="21" t="s">
        <v>491</v>
      </c>
      <c r="C233" s="21" t="s">
        <v>492</v>
      </c>
      <c r="D233" s="21" t="s">
        <v>493</v>
      </c>
      <c r="E233" s="21" t="s">
        <v>493</v>
      </c>
      <c r="F233" s="21" t="s">
        <v>493</v>
      </c>
      <c r="G233" s="21" t="s">
        <v>3329</v>
      </c>
      <c r="H233" s="21" t="s">
        <v>3330</v>
      </c>
      <c r="I233" s="21" t="s">
        <v>494</v>
      </c>
      <c r="J233" s="21" t="s">
        <v>3331</v>
      </c>
      <c r="L233" s="21" t="s">
        <v>495</v>
      </c>
      <c r="M233" s="21" t="s">
        <v>3332</v>
      </c>
      <c r="N233" s="21" t="s">
        <v>496</v>
      </c>
      <c r="O233" s="21" t="s">
        <v>69</v>
      </c>
      <c r="P233" s="21" t="s">
        <v>497</v>
      </c>
      <c r="R233" s="21" t="s">
        <v>498</v>
      </c>
      <c r="S233" s="21" t="s">
        <v>499</v>
      </c>
      <c r="V233" s="21" t="s">
        <v>500</v>
      </c>
      <c r="W233" s="21" t="s">
        <v>501</v>
      </c>
      <c r="X233" s="21" t="s">
        <v>502</v>
      </c>
      <c r="Y233" s="21" t="s">
        <v>503</v>
      </c>
      <c r="Z233" s="21">
        <v>3035605264</v>
      </c>
      <c r="AA233" s="26">
        <v>42744</v>
      </c>
      <c r="AB233" s="26">
        <v>42745</v>
      </c>
      <c r="AC233" s="21" t="s">
        <v>504</v>
      </c>
      <c r="AD233" s="21" t="s">
        <v>505</v>
      </c>
      <c r="AE233" s="21" t="s">
        <v>500</v>
      </c>
      <c r="AF233" s="21" t="s">
        <v>506</v>
      </c>
      <c r="AG233" s="21" t="s">
        <v>1079</v>
      </c>
      <c r="AH233" s="21" t="s">
        <v>1080</v>
      </c>
      <c r="AI233" s="21" t="s">
        <v>2096</v>
      </c>
      <c r="AJ233" s="21" t="s">
        <v>507</v>
      </c>
      <c r="AK233" s="21" t="s">
        <v>494</v>
      </c>
      <c r="AL233" s="21" t="s">
        <v>527</v>
      </c>
      <c r="AM233" s="21" t="s">
        <v>527</v>
      </c>
      <c r="AN233" s="21" t="s">
        <v>527</v>
      </c>
      <c r="AO233" s="21" t="s">
        <v>528</v>
      </c>
      <c r="AS233" s="21" t="s">
        <v>511</v>
      </c>
      <c r="AT233" s="21" t="s">
        <v>512</v>
      </c>
      <c r="AW233" s="21">
        <v>0</v>
      </c>
      <c r="AX233" s="21">
        <v>5</v>
      </c>
      <c r="AY233" s="26"/>
      <c r="AZ233" s="26"/>
      <c r="BB233" s="26"/>
      <c r="BC233" s="21" t="s">
        <v>513</v>
      </c>
      <c r="BD233" s="21" t="s">
        <v>514</v>
      </c>
      <c r="BE233" s="21" t="s">
        <v>514</v>
      </c>
      <c r="BF233" s="21" t="s">
        <v>515</v>
      </c>
      <c r="BG233" s="21">
        <v>1</v>
      </c>
      <c r="BH233" s="21" t="s">
        <v>516</v>
      </c>
      <c r="BI233" s="21" t="s">
        <v>517</v>
      </c>
      <c r="BJ233" s="21" t="s">
        <v>516</v>
      </c>
      <c r="BK233" s="21" t="s">
        <v>516</v>
      </c>
      <c r="BM233" s="21" t="s">
        <v>1362</v>
      </c>
      <c r="BN233" s="21" t="s">
        <v>236</v>
      </c>
      <c r="BO233" s="21" t="s">
        <v>518</v>
      </c>
      <c r="BP233" s="21" t="s">
        <v>1044</v>
      </c>
      <c r="BQ233" s="21" t="s">
        <v>38</v>
      </c>
      <c r="BR233" s="21" t="s">
        <v>238</v>
      </c>
      <c r="BS233" s="21" t="s">
        <v>518</v>
      </c>
      <c r="BT233" s="21" t="s">
        <v>1044</v>
      </c>
      <c r="BU233" s="21" t="s">
        <v>236</v>
      </c>
      <c r="CD233" s="21" t="s">
        <v>520</v>
      </c>
      <c r="CF233" s="21" t="s">
        <v>521</v>
      </c>
      <c r="CN233" s="26"/>
      <c r="DB233" s="24" t="s">
        <v>943</v>
      </c>
      <c r="DC233" s="21">
        <v>1</v>
      </c>
      <c r="DD233" s="21">
        <v>2</v>
      </c>
      <c r="DE233" s="22">
        <v>42748</v>
      </c>
      <c r="DF233" s="21" t="s">
        <v>3333</v>
      </c>
      <c r="DG233" s="21" t="s">
        <v>522</v>
      </c>
      <c r="DH233" s="21" t="s">
        <v>3334</v>
      </c>
      <c r="DI233" s="21" t="s">
        <v>495</v>
      </c>
      <c r="DJ233" s="21" t="s">
        <v>520</v>
      </c>
      <c r="DK233" s="26"/>
      <c r="DL233" s="26">
        <v>42757</v>
      </c>
      <c r="DM233" s="26">
        <v>42747</v>
      </c>
      <c r="DN233" s="21">
        <v>3100</v>
      </c>
      <c r="DO233" s="21">
        <v>10</v>
      </c>
      <c r="DP233" s="21">
        <v>1</v>
      </c>
      <c r="DQ233" s="21">
        <v>1</v>
      </c>
      <c r="DR233" s="21">
        <v>6</v>
      </c>
      <c r="DS233" s="21">
        <v>10</v>
      </c>
      <c r="DT233" s="21">
        <v>10</v>
      </c>
      <c r="DU233" s="21">
        <v>10</v>
      </c>
      <c r="DW233" s="21">
        <v>9</v>
      </c>
      <c r="EA233" s="21">
        <v>10</v>
      </c>
      <c r="EB233" s="21" t="s">
        <v>3335</v>
      </c>
      <c r="EC233" s="21" t="s">
        <v>1221</v>
      </c>
      <c r="EF233" s="25">
        <v>1</v>
      </c>
      <c r="EG233" s="25">
        <v>0</v>
      </c>
      <c r="EH233" s="25">
        <v>1</v>
      </c>
      <c r="EI233" s="25">
        <v>0</v>
      </c>
      <c r="EJ233" s="25" t="s">
        <v>62</v>
      </c>
      <c r="EK233" s="25" t="s">
        <v>237</v>
      </c>
      <c r="EL233" s="25" t="s">
        <v>239</v>
      </c>
      <c r="EM233" s="25" t="s">
        <v>276</v>
      </c>
      <c r="EN233" s="25" t="s">
        <v>39</v>
      </c>
      <c r="EO233" s="25" t="s">
        <v>39</v>
      </c>
      <c r="EP233" s="25" t="s">
        <v>92</v>
      </c>
      <c r="EQ233" s="25" t="s">
        <v>529</v>
      </c>
      <c r="ER233" s="25" t="s">
        <v>278</v>
      </c>
      <c r="ES233" s="25" t="s">
        <v>278</v>
      </c>
      <c r="ET233" s="25">
        <v>1</v>
      </c>
      <c r="EU233" s="25" t="s">
        <v>522</v>
      </c>
      <c r="EV233" s="25" t="s">
        <v>279</v>
      </c>
      <c r="EW233" s="25" t="s">
        <v>279</v>
      </c>
      <c r="EX233" s="25" t="s">
        <v>279</v>
      </c>
      <c r="EY233" s="20" t="e">
        <v>#N/A</v>
      </c>
    </row>
    <row r="234" spans="1:155">
      <c r="A234" s="21" t="s">
        <v>491</v>
      </c>
      <c r="B234" s="21" t="s">
        <v>491</v>
      </c>
      <c r="C234" s="21" t="s">
        <v>492</v>
      </c>
      <c r="D234" s="21" t="s">
        <v>493</v>
      </c>
      <c r="E234" s="21" t="s">
        <v>493</v>
      </c>
      <c r="F234" s="21" t="s">
        <v>493</v>
      </c>
      <c r="G234" s="21" t="s">
        <v>3336</v>
      </c>
      <c r="H234" s="21" t="s">
        <v>3337</v>
      </c>
      <c r="I234" s="21" t="s">
        <v>3338</v>
      </c>
      <c r="J234" s="21" t="s">
        <v>3339</v>
      </c>
      <c r="L234" s="21" t="s">
        <v>495</v>
      </c>
      <c r="M234" s="21" t="s">
        <v>3340</v>
      </c>
      <c r="N234" s="21" t="s">
        <v>1268</v>
      </c>
      <c r="O234" s="21" t="s">
        <v>69</v>
      </c>
      <c r="P234" s="21" t="s">
        <v>497</v>
      </c>
      <c r="R234" s="21" t="s">
        <v>1269</v>
      </c>
      <c r="S234" s="21" t="s">
        <v>1270</v>
      </c>
      <c r="V234" s="21" t="s">
        <v>500</v>
      </c>
      <c r="W234" s="21" t="s">
        <v>501</v>
      </c>
      <c r="X234" s="21" t="s">
        <v>502</v>
      </c>
      <c r="Y234" s="21" t="s">
        <v>503</v>
      </c>
      <c r="Z234" s="21">
        <v>3035654191</v>
      </c>
      <c r="AA234" s="26">
        <v>42745</v>
      </c>
      <c r="AB234" s="26">
        <v>42745</v>
      </c>
      <c r="AC234" s="21" t="s">
        <v>504</v>
      </c>
      <c r="AD234" s="21" t="s">
        <v>505</v>
      </c>
      <c r="AE234" s="21" t="s">
        <v>500</v>
      </c>
      <c r="AF234" s="21" t="s">
        <v>549</v>
      </c>
      <c r="AG234" s="21" t="s">
        <v>555</v>
      </c>
      <c r="AH234" s="21" t="s">
        <v>556</v>
      </c>
      <c r="AI234" s="21" t="s">
        <v>3341</v>
      </c>
      <c r="AJ234" s="21" t="s">
        <v>526</v>
      </c>
      <c r="AK234" s="21" t="s">
        <v>494</v>
      </c>
      <c r="AL234" s="21" t="s">
        <v>527</v>
      </c>
      <c r="AM234" s="21" t="s">
        <v>527</v>
      </c>
      <c r="AN234" s="21" t="s">
        <v>527</v>
      </c>
      <c r="AO234" s="21" t="s">
        <v>528</v>
      </c>
      <c r="AS234" s="21" t="s">
        <v>511</v>
      </c>
      <c r="AT234" s="21" t="s">
        <v>512</v>
      </c>
      <c r="AW234" s="21">
        <v>0</v>
      </c>
      <c r="AX234" s="21">
        <v>2</v>
      </c>
      <c r="AY234" s="26"/>
      <c r="AZ234" s="26"/>
      <c r="BB234" s="26"/>
      <c r="BC234" s="21" t="s">
        <v>513</v>
      </c>
      <c r="BD234" s="21" t="s">
        <v>514</v>
      </c>
      <c r="BE234" s="21" t="s">
        <v>514</v>
      </c>
      <c r="BF234" s="21" t="s">
        <v>515</v>
      </c>
      <c r="BG234" s="21">
        <v>1</v>
      </c>
      <c r="BH234" s="21" t="s">
        <v>516</v>
      </c>
      <c r="BI234" s="21" t="s">
        <v>517</v>
      </c>
      <c r="BJ234" s="21" t="s">
        <v>516</v>
      </c>
      <c r="BK234" s="21" t="s">
        <v>516</v>
      </c>
      <c r="BM234" s="21" t="s">
        <v>42</v>
      </c>
      <c r="BN234" s="21" t="s">
        <v>246</v>
      </c>
      <c r="BO234" s="21" t="s">
        <v>518</v>
      </c>
      <c r="BP234" s="21" t="s">
        <v>519</v>
      </c>
      <c r="BQ234" s="21" t="s">
        <v>42</v>
      </c>
      <c r="BR234" s="21" t="s">
        <v>246</v>
      </c>
      <c r="BS234" s="21" t="s">
        <v>518</v>
      </c>
      <c r="BT234" s="21" t="s">
        <v>519</v>
      </c>
      <c r="BU234" s="21" t="s">
        <v>246</v>
      </c>
      <c r="CD234" s="21" t="s">
        <v>520</v>
      </c>
      <c r="CF234" s="21" t="s">
        <v>521</v>
      </c>
      <c r="CN234" s="26"/>
      <c r="DB234" s="24" t="s">
        <v>943</v>
      </c>
      <c r="DC234" s="21">
        <v>1</v>
      </c>
      <c r="DD234" s="21">
        <v>2</v>
      </c>
      <c r="DE234" s="22">
        <v>42748</v>
      </c>
      <c r="DF234" s="21" t="s">
        <v>1454</v>
      </c>
      <c r="DG234" s="21" t="s">
        <v>522</v>
      </c>
      <c r="DH234" s="21" t="s">
        <v>3342</v>
      </c>
      <c r="DI234" s="21" t="s">
        <v>495</v>
      </c>
      <c r="DJ234" s="21" t="s">
        <v>520</v>
      </c>
      <c r="DK234" s="26"/>
      <c r="DL234" s="26">
        <v>42757</v>
      </c>
      <c r="DM234" s="26">
        <v>42747</v>
      </c>
      <c r="DN234" s="21">
        <v>3100</v>
      </c>
      <c r="DO234" s="21">
        <v>10</v>
      </c>
      <c r="DP234" s="21">
        <v>1</v>
      </c>
      <c r="DQ234" s="21">
        <v>1</v>
      </c>
      <c r="DR234" s="21">
        <v>7</v>
      </c>
      <c r="DS234" s="21">
        <v>10</v>
      </c>
      <c r="DT234" s="21">
        <v>10</v>
      </c>
      <c r="DU234" s="21">
        <v>10</v>
      </c>
      <c r="DW234" s="21">
        <v>10</v>
      </c>
      <c r="EA234" s="21">
        <v>10</v>
      </c>
      <c r="EB234" s="21" t="s">
        <v>3343</v>
      </c>
      <c r="EC234" s="21" t="s">
        <v>3394</v>
      </c>
      <c r="EF234" s="25">
        <v>1</v>
      </c>
      <c r="EG234" s="25">
        <v>0</v>
      </c>
      <c r="EH234" s="25">
        <v>1</v>
      </c>
      <c r="EI234" s="25">
        <v>0</v>
      </c>
      <c r="EJ234" s="25" t="s">
        <v>62</v>
      </c>
      <c r="EK234" s="25" t="s">
        <v>247</v>
      </c>
      <c r="EL234" s="25" t="s">
        <v>247</v>
      </c>
      <c r="EM234" s="25" t="s">
        <v>276</v>
      </c>
      <c r="EN234" s="25" t="s">
        <v>39</v>
      </c>
      <c r="EO234" s="25" t="s">
        <v>39</v>
      </c>
      <c r="EP234" s="25" t="s">
        <v>92</v>
      </c>
      <c r="EQ234" s="25" t="s">
        <v>92</v>
      </c>
      <c r="ER234" s="25" t="s">
        <v>278</v>
      </c>
      <c r="ES234" s="25" t="s">
        <v>278</v>
      </c>
      <c r="ET234" s="25">
        <v>1</v>
      </c>
      <c r="EU234" s="25" t="s">
        <v>522</v>
      </c>
      <c r="EV234" s="25" t="s">
        <v>247</v>
      </c>
      <c r="EW234" s="25" t="s">
        <v>39</v>
      </c>
      <c r="EX234" s="25" t="s">
        <v>278</v>
      </c>
      <c r="EY234" s="20" t="e">
        <v>#N/A</v>
      </c>
    </row>
    <row r="235" spans="1:155">
      <c r="A235" s="21" t="s">
        <v>491</v>
      </c>
      <c r="B235" s="21" t="s">
        <v>491</v>
      </c>
      <c r="C235" s="21" t="s">
        <v>492</v>
      </c>
      <c r="D235" s="21" t="s">
        <v>493</v>
      </c>
      <c r="E235" s="21" t="s">
        <v>493</v>
      </c>
      <c r="F235" s="21" t="s">
        <v>493</v>
      </c>
      <c r="G235" s="21" t="s">
        <v>3344</v>
      </c>
      <c r="H235" s="21" t="s">
        <v>3345</v>
      </c>
      <c r="I235" s="21" t="s">
        <v>494</v>
      </c>
      <c r="J235" s="21" t="s">
        <v>3346</v>
      </c>
      <c r="L235" s="21" t="s">
        <v>495</v>
      </c>
      <c r="M235" s="21" t="s">
        <v>3347</v>
      </c>
      <c r="N235" s="21" t="s">
        <v>1761</v>
      </c>
      <c r="O235" s="21" t="s">
        <v>69</v>
      </c>
      <c r="P235" s="21" t="s">
        <v>497</v>
      </c>
      <c r="Q235" s="21" t="s">
        <v>2588</v>
      </c>
      <c r="R235" s="21" t="s">
        <v>1762</v>
      </c>
      <c r="S235" s="21" t="s">
        <v>1763</v>
      </c>
      <c r="V235" s="21" t="s">
        <v>500</v>
      </c>
      <c r="W235" s="21" t="s">
        <v>501</v>
      </c>
      <c r="X235" s="21" t="s">
        <v>502</v>
      </c>
      <c r="Y235" s="21" t="s">
        <v>503</v>
      </c>
      <c r="Z235" s="21">
        <v>3035611596</v>
      </c>
      <c r="AA235" s="26">
        <v>42744</v>
      </c>
      <c r="AB235" s="26">
        <v>42745</v>
      </c>
      <c r="AC235" s="21" t="s">
        <v>504</v>
      </c>
      <c r="AD235" s="21" t="s">
        <v>505</v>
      </c>
      <c r="AE235" s="21" t="s">
        <v>500</v>
      </c>
      <c r="AF235" s="21" t="s">
        <v>549</v>
      </c>
      <c r="AG235" s="21" t="s">
        <v>555</v>
      </c>
      <c r="AH235" s="21" t="s">
        <v>556</v>
      </c>
      <c r="AI235" s="21" t="s">
        <v>3348</v>
      </c>
      <c r="AJ235" s="21" t="s">
        <v>526</v>
      </c>
      <c r="AK235" s="21" t="s">
        <v>494</v>
      </c>
      <c r="AL235" s="21" t="s">
        <v>527</v>
      </c>
      <c r="AM235" s="21" t="s">
        <v>527</v>
      </c>
      <c r="AN235" s="21" t="s">
        <v>527</v>
      </c>
      <c r="AO235" s="21" t="s">
        <v>528</v>
      </c>
      <c r="AS235" s="21" t="s">
        <v>511</v>
      </c>
      <c r="AT235" s="21" t="s">
        <v>512</v>
      </c>
      <c r="AW235" s="21">
        <v>0</v>
      </c>
      <c r="AX235" s="21">
        <v>4</v>
      </c>
      <c r="AY235" s="26"/>
      <c r="AZ235" s="26"/>
      <c r="BB235" s="26"/>
      <c r="BC235" s="21" t="s">
        <v>513</v>
      </c>
      <c r="BD235" s="21" t="s">
        <v>514</v>
      </c>
      <c r="BE235" s="21" t="s">
        <v>514</v>
      </c>
      <c r="BF235" s="21" t="s">
        <v>515</v>
      </c>
      <c r="BG235" s="21">
        <v>1</v>
      </c>
      <c r="BH235" s="21" t="s">
        <v>516</v>
      </c>
      <c r="BI235" s="21" t="s">
        <v>517</v>
      </c>
      <c r="BJ235" s="21" t="s">
        <v>516</v>
      </c>
      <c r="BK235" s="21" t="s">
        <v>516</v>
      </c>
      <c r="BM235" s="21" t="s">
        <v>18</v>
      </c>
      <c r="BN235" s="21" t="s">
        <v>73</v>
      </c>
      <c r="BO235" s="21" t="s">
        <v>518</v>
      </c>
      <c r="BP235" s="21" t="s">
        <v>519</v>
      </c>
      <c r="BQ235" s="21" t="s">
        <v>19</v>
      </c>
      <c r="BR235" s="21" t="s">
        <v>82</v>
      </c>
      <c r="BS235" s="21" t="s">
        <v>518</v>
      </c>
      <c r="BT235" s="21" t="s">
        <v>519</v>
      </c>
      <c r="BU235" s="21" t="s">
        <v>73</v>
      </c>
      <c r="CD235" s="21" t="s">
        <v>520</v>
      </c>
      <c r="CF235" s="21" t="s">
        <v>521</v>
      </c>
      <c r="CN235" s="26"/>
      <c r="DB235" s="24" t="s">
        <v>943</v>
      </c>
      <c r="DC235" s="21">
        <v>1</v>
      </c>
      <c r="DD235" s="21">
        <v>2</v>
      </c>
      <c r="DE235" s="22">
        <v>42748</v>
      </c>
      <c r="DF235" s="21" t="s">
        <v>3349</v>
      </c>
      <c r="DG235" s="21" t="s">
        <v>522</v>
      </c>
      <c r="DH235" s="21" t="s">
        <v>3350</v>
      </c>
      <c r="DI235" s="21" t="s">
        <v>495</v>
      </c>
      <c r="DJ235" s="21" t="s">
        <v>520</v>
      </c>
      <c r="DK235" s="26"/>
      <c r="DL235" s="26">
        <v>42757</v>
      </c>
      <c r="DM235" s="26">
        <v>42747</v>
      </c>
      <c r="DN235" s="21">
        <v>3100</v>
      </c>
      <c r="DO235" s="21">
        <v>7</v>
      </c>
      <c r="DP235" s="21">
        <v>1</v>
      </c>
      <c r="DQ235" s="21">
        <v>1</v>
      </c>
      <c r="DR235" s="21">
        <v>5</v>
      </c>
      <c r="DS235" s="21">
        <v>7</v>
      </c>
      <c r="DT235" s="21">
        <v>7</v>
      </c>
      <c r="DU235" s="21">
        <v>10</v>
      </c>
      <c r="DW235" s="21">
        <v>9</v>
      </c>
      <c r="EA235" s="21">
        <v>7</v>
      </c>
      <c r="EF235" s="25">
        <v>0</v>
      </c>
      <c r="EG235" s="25">
        <v>0</v>
      </c>
      <c r="EH235" s="25">
        <v>0</v>
      </c>
      <c r="EI235" s="25">
        <v>0</v>
      </c>
      <c r="EJ235" s="25" t="s">
        <v>62</v>
      </c>
      <c r="EK235" s="25" t="s">
        <v>74</v>
      </c>
      <c r="EL235" s="25" t="s">
        <v>83</v>
      </c>
      <c r="EM235" s="25" t="s">
        <v>276</v>
      </c>
      <c r="EN235" s="25" t="s">
        <v>9</v>
      </c>
      <c r="EO235" s="25" t="s">
        <v>9</v>
      </c>
      <c r="EP235" s="25" t="s">
        <v>62</v>
      </c>
      <c r="EQ235" s="25" t="s">
        <v>62</v>
      </c>
      <c r="ER235" s="25" t="s">
        <v>278</v>
      </c>
      <c r="ES235" s="25" t="s">
        <v>278</v>
      </c>
      <c r="ET235" s="25">
        <v>1</v>
      </c>
      <c r="EU235" s="25" t="s">
        <v>522</v>
      </c>
      <c r="EV235" s="25" t="s">
        <v>279</v>
      </c>
      <c r="EW235" s="25" t="s">
        <v>279</v>
      </c>
      <c r="EX235" s="25" t="s">
        <v>279</v>
      </c>
      <c r="EY235" s="20" t="e">
        <v>#N/A</v>
      </c>
    </row>
    <row r="236" spans="1:155">
      <c r="A236" s="21" t="s">
        <v>491</v>
      </c>
      <c r="B236" s="21" t="s">
        <v>491</v>
      </c>
      <c r="C236" s="21" t="s">
        <v>492</v>
      </c>
      <c r="D236" s="21" t="s">
        <v>493</v>
      </c>
      <c r="E236" s="21" t="s">
        <v>493</v>
      </c>
      <c r="F236" s="21" t="s">
        <v>493</v>
      </c>
      <c r="G236" s="21" t="s">
        <v>3351</v>
      </c>
      <c r="H236" s="21">
        <v>11993379787</v>
      </c>
      <c r="I236" s="21" t="s">
        <v>494</v>
      </c>
      <c r="J236" s="21" t="s">
        <v>3352</v>
      </c>
      <c r="L236" s="21" t="s">
        <v>495</v>
      </c>
      <c r="M236" s="21" t="s">
        <v>3353</v>
      </c>
      <c r="N236" s="21" t="s">
        <v>496</v>
      </c>
      <c r="O236" s="21" t="s">
        <v>69</v>
      </c>
      <c r="P236" s="21" t="s">
        <v>497</v>
      </c>
      <c r="R236" s="21" t="s">
        <v>498</v>
      </c>
      <c r="S236" s="21" t="s">
        <v>499</v>
      </c>
      <c r="V236" s="21" t="s">
        <v>500</v>
      </c>
      <c r="W236" s="21" t="s">
        <v>501</v>
      </c>
      <c r="X236" s="21" t="s">
        <v>502</v>
      </c>
      <c r="Y236" s="21" t="s">
        <v>503</v>
      </c>
      <c r="Z236" s="21">
        <v>3035650172</v>
      </c>
      <c r="AA236" s="26">
        <v>42745</v>
      </c>
      <c r="AB236" s="26">
        <v>42745</v>
      </c>
      <c r="AC236" s="21" t="s">
        <v>504</v>
      </c>
      <c r="AD236" s="21" t="s">
        <v>505</v>
      </c>
      <c r="AE236" s="21" t="s">
        <v>500</v>
      </c>
      <c r="AF236" s="21" t="s">
        <v>506</v>
      </c>
      <c r="AG236" s="21" t="s">
        <v>3354</v>
      </c>
      <c r="AH236" s="21" t="s">
        <v>3355</v>
      </c>
      <c r="AI236" s="21" t="s">
        <v>3356</v>
      </c>
      <c r="AJ236" s="21" t="s">
        <v>507</v>
      </c>
      <c r="AK236" s="21" t="s">
        <v>494</v>
      </c>
      <c r="AL236" s="21" t="s">
        <v>527</v>
      </c>
      <c r="AM236" s="21" t="s">
        <v>527</v>
      </c>
      <c r="AN236" s="21" t="s">
        <v>527</v>
      </c>
      <c r="AO236" s="21" t="s">
        <v>528</v>
      </c>
      <c r="AS236" s="21" t="s">
        <v>511</v>
      </c>
      <c r="AT236" s="21" t="s">
        <v>512</v>
      </c>
      <c r="AW236" s="21">
        <v>0</v>
      </c>
      <c r="AX236" s="21">
        <v>2</v>
      </c>
      <c r="AY236" s="26"/>
      <c r="AZ236" s="26"/>
      <c r="BB236" s="26"/>
      <c r="BC236" s="21" t="s">
        <v>513</v>
      </c>
      <c r="BD236" s="21" t="s">
        <v>514</v>
      </c>
      <c r="BE236" s="21" t="s">
        <v>514</v>
      </c>
      <c r="BF236" s="21" t="s">
        <v>515</v>
      </c>
      <c r="BG236" s="21">
        <v>1</v>
      </c>
      <c r="BH236" s="21" t="s">
        <v>516</v>
      </c>
      <c r="BI236" s="21" t="s">
        <v>517</v>
      </c>
      <c r="BJ236" s="21" t="s">
        <v>516</v>
      </c>
      <c r="BK236" s="21" t="s">
        <v>516</v>
      </c>
      <c r="BM236" s="21" t="s">
        <v>11</v>
      </c>
      <c r="BN236" s="21" t="s">
        <v>87</v>
      </c>
      <c r="BO236" s="21" t="s">
        <v>518</v>
      </c>
      <c r="BP236" s="21" t="s">
        <v>519</v>
      </c>
      <c r="BQ236" s="21" t="s">
        <v>11</v>
      </c>
      <c r="BR236" s="21" t="s">
        <v>87</v>
      </c>
      <c r="BS236" s="21" t="s">
        <v>518</v>
      </c>
      <c r="BT236" s="21" t="s">
        <v>519</v>
      </c>
      <c r="BU236" s="21" t="s">
        <v>87</v>
      </c>
      <c r="CD236" s="21" t="s">
        <v>520</v>
      </c>
      <c r="CF236" s="21" t="s">
        <v>521</v>
      </c>
      <c r="CN236" s="26"/>
      <c r="DB236" s="24" t="s">
        <v>943</v>
      </c>
      <c r="DC236" s="21">
        <v>1</v>
      </c>
      <c r="DD236" s="21">
        <v>2</v>
      </c>
      <c r="DE236" s="22">
        <v>42748</v>
      </c>
      <c r="DF236" s="21" t="s">
        <v>3357</v>
      </c>
      <c r="DG236" s="21" t="s">
        <v>522</v>
      </c>
      <c r="DH236" s="21" t="s">
        <v>3358</v>
      </c>
      <c r="DI236" s="21" t="s">
        <v>495</v>
      </c>
      <c r="DJ236" s="21" t="s">
        <v>520</v>
      </c>
      <c r="DK236" s="26"/>
      <c r="DL236" s="26">
        <v>42757</v>
      </c>
      <c r="DM236" s="26">
        <v>42747</v>
      </c>
      <c r="DN236" s="21">
        <v>3100</v>
      </c>
      <c r="DO236" s="21">
        <v>9</v>
      </c>
      <c r="DP236" s="21">
        <v>1</v>
      </c>
      <c r="DQ236" s="21">
        <v>1</v>
      </c>
      <c r="DR236" s="21">
        <v>7</v>
      </c>
      <c r="DS236" s="21">
        <v>10</v>
      </c>
      <c r="DT236" s="21">
        <v>10</v>
      </c>
      <c r="DU236" s="21">
        <v>10</v>
      </c>
      <c r="DW236" s="21">
        <v>10</v>
      </c>
      <c r="EA236" s="21">
        <v>10</v>
      </c>
      <c r="EB236" s="21" t="s">
        <v>3359</v>
      </c>
      <c r="EC236" s="21" t="s">
        <v>3395</v>
      </c>
      <c r="EF236" s="25">
        <v>1</v>
      </c>
      <c r="EG236" s="25">
        <v>0</v>
      </c>
      <c r="EH236" s="25">
        <v>1</v>
      </c>
      <c r="EI236" s="25">
        <v>0</v>
      </c>
      <c r="EJ236" s="25" t="s">
        <v>62</v>
      </c>
      <c r="EK236" s="25" t="s">
        <v>88</v>
      </c>
      <c r="EL236" s="25" t="s">
        <v>88</v>
      </c>
      <c r="EM236" s="25" t="s">
        <v>276</v>
      </c>
      <c r="EN236" s="25" t="s">
        <v>9</v>
      </c>
      <c r="EO236" s="25" t="s">
        <v>9</v>
      </c>
      <c r="EP236" s="25" t="s">
        <v>62</v>
      </c>
      <c r="EQ236" s="25" t="s">
        <v>62</v>
      </c>
      <c r="ER236" s="25" t="s">
        <v>278</v>
      </c>
      <c r="ES236" s="25" t="s">
        <v>278</v>
      </c>
      <c r="ET236" s="25">
        <v>1</v>
      </c>
      <c r="EU236" s="25" t="s">
        <v>522</v>
      </c>
      <c r="EV236" s="25" t="s">
        <v>88</v>
      </c>
      <c r="EW236" s="25" t="s">
        <v>9</v>
      </c>
      <c r="EX236" s="25" t="s">
        <v>278</v>
      </c>
      <c r="EY236" s="20" t="e">
        <v>#N/A</v>
      </c>
    </row>
    <row r="237" spans="1:155">
      <c r="A237" s="21" t="s">
        <v>491</v>
      </c>
      <c r="B237" s="21" t="s">
        <v>491</v>
      </c>
      <c r="C237" s="21" t="s">
        <v>492</v>
      </c>
      <c r="D237" s="21" t="s">
        <v>493</v>
      </c>
      <c r="E237" s="21" t="s">
        <v>493</v>
      </c>
      <c r="F237" s="21" t="s">
        <v>493</v>
      </c>
      <c r="G237" s="21" t="s">
        <v>3360</v>
      </c>
      <c r="H237" s="21">
        <v>1143768422</v>
      </c>
      <c r="I237" s="21" t="s">
        <v>494</v>
      </c>
      <c r="J237" s="21" t="s">
        <v>3361</v>
      </c>
      <c r="L237" s="21" t="s">
        <v>495</v>
      </c>
      <c r="M237" s="21" t="s">
        <v>3362</v>
      </c>
      <c r="N237" s="21" t="s">
        <v>3363</v>
      </c>
      <c r="O237" s="21" t="s">
        <v>93</v>
      </c>
      <c r="P237" s="21" t="s">
        <v>539</v>
      </c>
      <c r="Q237" s="21" t="s">
        <v>1168</v>
      </c>
      <c r="R237" s="21" t="s">
        <v>3364</v>
      </c>
      <c r="S237" s="21" t="s">
        <v>1303</v>
      </c>
      <c r="V237" s="21" t="s">
        <v>277</v>
      </c>
      <c r="W237" s="21" t="s">
        <v>524</v>
      </c>
      <c r="X237" s="21" t="s">
        <v>525</v>
      </c>
      <c r="Y237" s="21" t="s">
        <v>530</v>
      </c>
      <c r="Z237" s="21">
        <v>3035649716</v>
      </c>
      <c r="AA237" s="26">
        <v>42745</v>
      </c>
      <c r="AB237" s="26">
        <v>42745</v>
      </c>
      <c r="AC237" s="21" t="s">
        <v>504</v>
      </c>
      <c r="AD237" s="21" t="s">
        <v>505</v>
      </c>
      <c r="AE237" s="21" t="s">
        <v>1054</v>
      </c>
      <c r="AF237" s="21" t="s">
        <v>1105</v>
      </c>
      <c r="AG237" s="21" t="s">
        <v>1710</v>
      </c>
      <c r="AH237" s="21" t="s">
        <v>1711</v>
      </c>
      <c r="AI237" s="21" t="s">
        <v>3365</v>
      </c>
      <c r="AJ237" s="21" t="s">
        <v>526</v>
      </c>
      <c r="AK237" s="21" t="s">
        <v>494</v>
      </c>
      <c r="AL237" s="21" t="s">
        <v>508</v>
      </c>
      <c r="AM237" s="21" t="s">
        <v>509</v>
      </c>
      <c r="AN237" s="21" t="s">
        <v>509</v>
      </c>
      <c r="AO237" s="21" t="s">
        <v>510</v>
      </c>
      <c r="AS237" s="21" t="s">
        <v>511</v>
      </c>
      <c r="AT237" s="21" t="s">
        <v>512</v>
      </c>
      <c r="AW237" s="21">
        <v>0</v>
      </c>
      <c r="AX237" s="21">
        <v>2</v>
      </c>
      <c r="AY237" s="26"/>
      <c r="AZ237" s="26"/>
      <c r="BB237" s="26"/>
      <c r="BC237" s="21" t="s">
        <v>513</v>
      </c>
      <c r="BD237" s="21" t="s">
        <v>514</v>
      </c>
      <c r="BE237" s="21" t="s">
        <v>514</v>
      </c>
      <c r="BF237" s="21" t="s">
        <v>515</v>
      </c>
      <c r="BG237" s="21">
        <v>1</v>
      </c>
      <c r="BH237" s="21" t="s">
        <v>516</v>
      </c>
      <c r="BI237" s="21" t="s">
        <v>517</v>
      </c>
      <c r="BJ237" s="21" t="s">
        <v>516</v>
      </c>
      <c r="BK237" s="21" t="s">
        <v>516</v>
      </c>
      <c r="BM237" s="21" t="s">
        <v>35</v>
      </c>
      <c r="BN237" s="21" t="s">
        <v>219</v>
      </c>
      <c r="BO237" s="21" t="s">
        <v>518</v>
      </c>
      <c r="BP237" s="21" t="s">
        <v>1044</v>
      </c>
      <c r="BQ237" s="21" t="s">
        <v>35</v>
      </c>
      <c r="BR237" s="21" t="s">
        <v>219</v>
      </c>
      <c r="BS237" s="21" t="s">
        <v>518</v>
      </c>
      <c r="BT237" s="21" t="s">
        <v>1044</v>
      </c>
      <c r="BU237" s="21" t="s">
        <v>219</v>
      </c>
      <c r="CD237" s="21" t="s">
        <v>520</v>
      </c>
      <c r="CF237" s="21" t="s">
        <v>521</v>
      </c>
      <c r="CN237" s="26"/>
      <c r="DB237" s="24" t="s">
        <v>943</v>
      </c>
      <c r="DC237" s="21">
        <v>1</v>
      </c>
      <c r="DD237" s="21">
        <v>2</v>
      </c>
      <c r="DE237" s="22">
        <v>42748</v>
      </c>
      <c r="DF237" s="21" t="s">
        <v>1521</v>
      </c>
      <c r="DG237" s="21" t="s">
        <v>522</v>
      </c>
      <c r="DH237" s="21" t="s">
        <v>3366</v>
      </c>
      <c r="DI237" s="21" t="s">
        <v>495</v>
      </c>
      <c r="DJ237" s="21" t="s">
        <v>520</v>
      </c>
      <c r="DK237" s="26"/>
      <c r="DL237" s="26">
        <v>42757</v>
      </c>
      <c r="DM237" s="26">
        <v>42747</v>
      </c>
      <c r="DN237" s="21">
        <v>1100</v>
      </c>
      <c r="DO237" s="21">
        <v>10</v>
      </c>
      <c r="DP237" s="21">
        <v>1</v>
      </c>
      <c r="DQ237" s="21">
        <v>1</v>
      </c>
      <c r="DR237" s="21">
        <v>7</v>
      </c>
      <c r="DS237" s="21">
        <v>10</v>
      </c>
      <c r="DT237" s="21">
        <v>10</v>
      </c>
      <c r="DU237" s="21">
        <v>10</v>
      </c>
      <c r="DW237" s="21">
        <v>10</v>
      </c>
      <c r="EA237" s="21">
        <v>10</v>
      </c>
      <c r="EB237" s="21" t="s">
        <v>3367</v>
      </c>
      <c r="EC237" s="21" t="s">
        <v>3396</v>
      </c>
      <c r="EF237" s="25">
        <v>1</v>
      </c>
      <c r="EG237" s="25">
        <v>0</v>
      </c>
      <c r="EH237" s="25">
        <v>1</v>
      </c>
      <c r="EI237" s="25">
        <v>0</v>
      </c>
      <c r="EJ237" s="25" t="s">
        <v>92</v>
      </c>
      <c r="EK237" s="25" t="s">
        <v>220</v>
      </c>
      <c r="EL237" s="25" t="s">
        <v>220</v>
      </c>
      <c r="EM237" s="25" t="s">
        <v>276</v>
      </c>
      <c r="EN237" s="25" t="s">
        <v>31</v>
      </c>
      <c r="EO237" s="25" t="s">
        <v>31</v>
      </c>
      <c r="EP237" s="25" t="s">
        <v>92</v>
      </c>
      <c r="EQ237" s="25" t="s">
        <v>92</v>
      </c>
      <c r="ER237" s="25" t="s">
        <v>278</v>
      </c>
      <c r="ES237" s="25" t="s">
        <v>278</v>
      </c>
      <c r="ET237" s="25">
        <v>1</v>
      </c>
      <c r="EU237" s="25" t="s">
        <v>522</v>
      </c>
      <c r="EV237" s="25" t="s">
        <v>220</v>
      </c>
      <c r="EW237" s="25" t="s">
        <v>31</v>
      </c>
      <c r="EX237" s="25" t="s">
        <v>278</v>
      </c>
      <c r="EY237" s="20" t="e">
        <v>#N/A</v>
      </c>
    </row>
    <row r="238" spans="1:155">
      <c r="A238" s="21" t="s">
        <v>491</v>
      </c>
      <c r="B238" s="21" t="s">
        <v>491</v>
      </c>
      <c r="C238" s="21" t="s">
        <v>492</v>
      </c>
      <c r="D238" s="21" t="s">
        <v>493</v>
      </c>
      <c r="E238" s="21" t="s">
        <v>493</v>
      </c>
      <c r="F238" s="21" t="s">
        <v>493</v>
      </c>
      <c r="G238" s="21" t="s">
        <v>3368</v>
      </c>
      <c r="H238" s="21">
        <v>11984004339</v>
      </c>
      <c r="I238" s="21" t="s">
        <v>494</v>
      </c>
      <c r="J238" s="21" t="s">
        <v>3369</v>
      </c>
      <c r="L238" s="21" t="s">
        <v>495</v>
      </c>
      <c r="M238" s="21" t="s">
        <v>3370</v>
      </c>
      <c r="N238" s="21" t="s">
        <v>1268</v>
      </c>
      <c r="O238" s="21" t="s">
        <v>69</v>
      </c>
      <c r="P238" s="21" t="s">
        <v>497</v>
      </c>
      <c r="Q238" s="21" t="s">
        <v>1168</v>
      </c>
      <c r="R238" s="21" t="s">
        <v>2773</v>
      </c>
      <c r="S238" s="21" t="s">
        <v>1270</v>
      </c>
      <c r="V238" s="21" t="s">
        <v>500</v>
      </c>
      <c r="W238" s="21" t="s">
        <v>501</v>
      </c>
      <c r="X238" s="21" t="s">
        <v>502</v>
      </c>
      <c r="Y238" s="21" t="s">
        <v>503</v>
      </c>
      <c r="Z238" s="21">
        <v>3035679027</v>
      </c>
      <c r="AA238" s="26">
        <v>42746</v>
      </c>
      <c r="AB238" s="26">
        <v>42746</v>
      </c>
      <c r="AC238" s="21" t="s">
        <v>504</v>
      </c>
      <c r="AD238" s="21" t="s">
        <v>505</v>
      </c>
      <c r="AE238" s="21" t="s">
        <v>1091</v>
      </c>
      <c r="AF238" s="21" t="s">
        <v>1902</v>
      </c>
      <c r="AG238" s="21" t="s">
        <v>1903</v>
      </c>
      <c r="AH238" s="21" t="s">
        <v>1904</v>
      </c>
      <c r="AI238" s="21" t="s">
        <v>3371</v>
      </c>
      <c r="AJ238" s="21" t="s">
        <v>526</v>
      </c>
      <c r="AK238" s="21" t="s">
        <v>494</v>
      </c>
      <c r="AL238" s="21" t="s">
        <v>527</v>
      </c>
      <c r="AM238" s="21" t="s">
        <v>527</v>
      </c>
      <c r="AN238" s="21" t="s">
        <v>527</v>
      </c>
      <c r="AO238" s="21" t="s">
        <v>528</v>
      </c>
      <c r="AS238" s="21" t="s">
        <v>511</v>
      </c>
      <c r="AT238" s="21" t="s">
        <v>512</v>
      </c>
      <c r="AW238" s="21">
        <v>0</v>
      </c>
      <c r="AX238" s="21">
        <v>2</v>
      </c>
      <c r="AY238" s="26"/>
      <c r="AZ238" s="26"/>
      <c r="BB238" s="26"/>
      <c r="BC238" s="21" t="s">
        <v>513</v>
      </c>
      <c r="BD238" s="21" t="s">
        <v>514</v>
      </c>
      <c r="BE238" s="21" t="s">
        <v>514</v>
      </c>
      <c r="BF238" s="21" t="s">
        <v>515</v>
      </c>
      <c r="BG238" s="21">
        <v>1</v>
      </c>
      <c r="BH238" s="21" t="s">
        <v>516</v>
      </c>
      <c r="BI238" s="21" t="s">
        <v>517</v>
      </c>
      <c r="BJ238" s="21" t="s">
        <v>516</v>
      </c>
      <c r="BK238" s="21" t="s">
        <v>516</v>
      </c>
      <c r="BM238" s="21" t="s">
        <v>583</v>
      </c>
      <c r="BN238" s="21" t="s">
        <v>154</v>
      </c>
      <c r="BO238" s="21" t="s">
        <v>518</v>
      </c>
      <c r="BP238" s="21" t="s">
        <v>519</v>
      </c>
      <c r="BQ238" s="21" t="s">
        <v>583</v>
      </c>
      <c r="BR238" s="21" t="s">
        <v>154</v>
      </c>
      <c r="BS238" s="21" t="s">
        <v>518</v>
      </c>
      <c r="BT238" s="21" t="s">
        <v>519</v>
      </c>
      <c r="BU238" s="21" t="s">
        <v>154</v>
      </c>
      <c r="CD238" s="21" t="s">
        <v>520</v>
      </c>
      <c r="CF238" s="21" t="s">
        <v>521</v>
      </c>
      <c r="CN238" s="26"/>
      <c r="DB238" s="24" t="s">
        <v>943</v>
      </c>
      <c r="DC238" s="21">
        <v>1</v>
      </c>
      <c r="DD238" s="21">
        <v>2</v>
      </c>
      <c r="DE238" s="22">
        <v>42748</v>
      </c>
      <c r="DF238" s="21" t="s">
        <v>3372</v>
      </c>
      <c r="DG238" s="21" t="s">
        <v>522</v>
      </c>
      <c r="DH238" s="21" t="s">
        <v>3373</v>
      </c>
      <c r="DI238" s="21" t="s">
        <v>495</v>
      </c>
      <c r="DJ238" s="21" t="s">
        <v>520</v>
      </c>
      <c r="DK238" s="26"/>
      <c r="DL238" s="26">
        <v>42758</v>
      </c>
      <c r="DM238" s="26">
        <v>42748</v>
      </c>
      <c r="DN238" s="21">
        <v>3100</v>
      </c>
      <c r="DO238" s="21">
        <v>10</v>
      </c>
      <c r="DP238" s="21">
        <v>1</v>
      </c>
      <c r="DQ238" s="21">
        <v>1</v>
      </c>
      <c r="DR238" s="21">
        <v>7</v>
      </c>
      <c r="DS238" s="21">
        <v>10</v>
      </c>
      <c r="DT238" s="21">
        <v>10</v>
      </c>
      <c r="DU238" s="21">
        <v>10</v>
      </c>
      <c r="DW238" s="21">
        <v>10</v>
      </c>
      <c r="EA238" s="21">
        <v>10</v>
      </c>
      <c r="EF238" s="25">
        <v>1</v>
      </c>
      <c r="EG238" s="25">
        <v>0</v>
      </c>
      <c r="EH238" s="25">
        <v>1</v>
      </c>
      <c r="EI238" s="25">
        <v>0</v>
      </c>
      <c r="EJ238" s="25" t="s">
        <v>62</v>
      </c>
      <c r="EK238" s="25" t="s">
        <v>155</v>
      </c>
      <c r="EL238" s="25" t="s">
        <v>155</v>
      </c>
      <c r="EM238" s="25" t="s">
        <v>276</v>
      </c>
      <c r="EN238" s="25" t="s">
        <v>23</v>
      </c>
      <c r="EO238" s="25" t="s">
        <v>23</v>
      </c>
      <c r="EP238" s="25" t="s">
        <v>62</v>
      </c>
      <c r="EQ238" s="25" t="s">
        <v>62</v>
      </c>
      <c r="ER238" s="25" t="s">
        <v>278</v>
      </c>
      <c r="ES238" s="25" t="s">
        <v>278</v>
      </c>
      <c r="ET238" s="25">
        <v>1</v>
      </c>
      <c r="EU238" s="25" t="s">
        <v>522</v>
      </c>
      <c r="EV238" s="25" t="s">
        <v>155</v>
      </c>
      <c r="EW238" s="25" t="s">
        <v>23</v>
      </c>
      <c r="EX238" s="25" t="s">
        <v>278</v>
      </c>
      <c r="EY238" s="20" t="e">
        <v>#N/A</v>
      </c>
    </row>
    <row r="239" spans="1:155">
      <c r="A239" s="21" t="s">
        <v>491</v>
      </c>
      <c r="B239" s="21" t="s">
        <v>491</v>
      </c>
      <c r="C239" s="21" t="s">
        <v>492</v>
      </c>
      <c r="D239" s="21" t="s">
        <v>493</v>
      </c>
      <c r="E239" s="21" t="s">
        <v>493</v>
      </c>
      <c r="F239" s="21" t="s">
        <v>493</v>
      </c>
      <c r="G239" s="21" t="s">
        <v>3397</v>
      </c>
      <c r="H239" s="21" t="s">
        <v>3398</v>
      </c>
      <c r="I239" s="21" t="s">
        <v>3398</v>
      </c>
      <c r="J239" s="21" t="s">
        <v>3399</v>
      </c>
      <c r="L239" s="21" t="s">
        <v>495</v>
      </c>
      <c r="M239" s="21" t="s">
        <v>3400</v>
      </c>
      <c r="N239" s="21" t="s">
        <v>2833</v>
      </c>
      <c r="O239" s="21" t="s">
        <v>97</v>
      </c>
      <c r="P239" s="21" t="s">
        <v>1040</v>
      </c>
      <c r="R239" s="21" t="s">
        <v>2834</v>
      </c>
      <c r="S239" s="21" t="s">
        <v>2835</v>
      </c>
      <c r="V239" s="21" t="s">
        <v>500</v>
      </c>
      <c r="W239" s="21" t="s">
        <v>501</v>
      </c>
      <c r="X239" s="21" t="s">
        <v>502</v>
      </c>
      <c r="Y239" s="21" t="s">
        <v>503</v>
      </c>
      <c r="Z239" s="21">
        <v>3035618334</v>
      </c>
      <c r="AA239" s="26">
        <v>42744</v>
      </c>
      <c r="AB239" s="26">
        <v>42744</v>
      </c>
      <c r="AC239" s="21" t="s">
        <v>504</v>
      </c>
      <c r="AD239" s="21" t="s">
        <v>505</v>
      </c>
      <c r="AE239" s="21" t="s">
        <v>500</v>
      </c>
      <c r="AF239" s="21" t="s">
        <v>549</v>
      </c>
      <c r="AG239" s="21" t="s">
        <v>2818</v>
      </c>
      <c r="AH239" s="21" t="s">
        <v>2819</v>
      </c>
      <c r="AI239" s="21" t="s">
        <v>594</v>
      </c>
      <c r="AJ239" s="21" t="s">
        <v>526</v>
      </c>
      <c r="AK239" s="21" t="s">
        <v>494</v>
      </c>
      <c r="AL239" s="21" t="s">
        <v>508</v>
      </c>
      <c r="AM239" s="21" t="s">
        <v>509</v>
      </c>
      <c r="AN239" s="21" t="s">
        <v>509</v>
      </c>
      <c r="AO239" s="21" t="s">
        <v>510</v>
      </c>
      <c r="AS239" s="21" t="s">
        <v>511</v>
      </c>
      <c r="AT239" s="21" t="s">
        <v>512</v>
      </c>
      <c r="AW239" s="21">
        <v>0</v>
      </c>
      <c r="AX239" s="21">
        <v>4</v>
      </c>
      <c r="AY239" s="26"/>
      <c r="AZ239" s="26"/>
      <c r="BB239" s="26"/>
      <c r="BC239" s="21" t="s">
        <v>513</v>
      </c>
      <c r="BD239" s="21" t="s">
        <v>514</v>
      </c>
      <c r="BE239" s="21" t="s">
        <v>514</v>
      </c>
      <c r="BF239" s="21" t="s">
        <v>515</v>
      </c>
      <c r="BG239" s="21">
        <v>1</v>
      </c>
      <c r="BH239" s="21" t="s">
        <v>516</v>
      </c>
      <c r="BI239" s="21" t="s">
        <v>517</v>
      </c>
      <c r="BJ239" s="21" t="s">
        <v>516</v>
      </c>
      <c r="BK239" s="21" t="s">
        <v>516</v>
      </c>
      <c r="BM239" s="21" t="s">
        <v>1453</v>
      </c>
      <c r="BN239" s="21" t="s">
        <v>231</v>
      </c>
      <c r="BO239" s="21" t="s">
        <v>518</v>
      </c>
      <c r="BP239" s="21" t="s">
        <v>1044</v>
      </c>
      <c r="BQ239" s="21" t="s">
        <v>1453</v>
      </c>
      <c r="BR239" s="21" t="s">
        <v>231</v>
      </c>
      <c r="BS239" s="21" t="s">
        <v>518</v>
      </c>
      <c r="BT239" s="21" t="s">
        <v>1044</v>
      </c>
      <c r="BU239" s="21" t="s">
        <v>231</v>
      </c>
      <c r="CD239" s="21" t="s">
        <v>520</v>
      </c>
      <c r="CF239" s="21" t="s">
        <v>521</v>
      </c>
      <c r="CN239" s="26"/>
      <c r="DB239" s="24" t="s">
        <v>943</v>
      </c>
      <c r="DC239" s="21">
        <v>1</v>
      </c>
      <c r="DD239" s="21">
        <v>2</v>
      </c>
      <c r="DE239" s="22">
        <v>42749</v>
      </c>
      <c r="DF239" s="21" t="s">
        <v>3401</v>
      </c>
      <c r="DG239" s="21" t="s">
        <v>522</v>
      </c>
      <c r="DH239" s="21" t="s">
        <v>3402</v>
      </c>
      <c r="DI239" s="21" t="s">
        <v>495</v>
      </c>
      <c r="DJ239" s="21" t="s">
        <v>520</v>
      </c>
      <c r="DK239" s="26"/>
      <c r="DL239" s="26">
        <v>42756</v>
      </c>
      <c r="DM239" s="26">
        <v>42746</v>
      </c>
      <c r="DN239" s="21">
        <v>3100</v>
      </c>
      <c r="DO239" s="21">
        <v>9</v>
      </c>
      <c r="DP239" s="21">
        <v>1</v>
      </c>
      <c r="DQ239" s="21">
        <v>1</v>
      </c>
      <c r="DR239" s="21">
        <v>6</v>
      </c>
      <c r="DS239" s="21">
        <v>10</v>
      </c>
      <c r="DT239" s="21">
        <v>10</v>
      </c>
      <c r="DU239" s="21">
        <v>10</v>
      </c>
      <c r="DW239" s="21">
        <v>9</v>
      </c>
      <c r="EA239" s="21">
        <v>9</v>
      </c>
      <c r="EF239" s="25">
        <v>1</v>
      </c>
      <c r="EG239" s="25">
        <v>0</v>
      </c>
      <c r="EH239" s="25">
        <v>1</v>
      </c>
      <c r="EI239" s="25">
        <v>0</v>
      </c>
      <c r="EJ239" s="25" t="s">
        <v>62</v>
      </c>
      <c r="EK239" s="25" t="s">
        <v>232</v>
      </c>
      <c r="EL239" s="25" t="s">
        <v>232</v>
      </c>
      <c r="EM239" s="25" t="s">
        <v>276</v>
      </c>
      <c r="EN239" s="25" t="s">
        <v>39</v>
      </c>
      <c r="EO239" s="25" t="s">
        <v>39</v>
      </c>
      <c r="EP239" s="25" t="s">
        <v>92</v>
      </c>
      <c r="EQ239" s="25" t="s">
        <v>92</v>
      </c>
      <c r="ER239" s="25" t="s">
        <v>278</v>
      </c>
      <c r="ES239" s="25" t="s">
        <v>278</v>
      </c>
      <c r="ET239" s="25">
        <v>1</v>
      </c>
      <c r="EU239" s="25" t="s">
        <v>522</v>
      </c>
      <c r="EV239" s="25" t="s">
        <v>232</v>
      </c>
      <c r="EW239" s="25" t="s">
        <v>39</v>
      </c>
      <c r="EX239" s="25" t="s">
        <v>278</v>
      </c>
      <c r="EY239" s="20" t="e">
        <v>#N/A</v>
      </c>
    </row>
    <row r="240" spans="1:155">
      <c r="A240" s="21" t="s">
        <v>491</v>
      </c>
      <c r="B240" s="21" t="s">
        <v>491</v>
      </c>
      <c r="C240" s="21" t="s">
        <v>492</v>
      </c>
      <c r="D240" s="21" t="s">
        <v>493</v>
      </c>
      <c r="E240" s="21" t="s">
        <v>493</v>
      </c>
      <c r="F240" s="21" t="s">
        <v>493</v>
      </c>
      <c r="G240" s="21" t="s">
        <v>3403</v>
      </c>
      <c r="H240" s="21" t="s">
        <v>3404</v>
      </c>
      <c r="I240" s="21" t="s">
        <v>494</v>
      </c>
      <c r="J240" s="21" t="s">
        <v>3405</v>
      </c>
      <c r="L240" s="21" t="s">
        <v>495</v>
      </c>
      <c r="M240" s="21" t="s">
        <v>3406</v>
      </c>
      <c r="N240" s="21" t="s">
        <v>1066</v>
      </c>
      <c r="O240" s="21" t="s">
        <v>93</v>
      </c>
      <c r="P240" s="21" t="s">
        <v>539</v>
      </c>
      <c r="Q240" s="21" t="s">
        <v>1168</v>
      </c>
      <c r="R240" s="21" t="s">
        <v>1067</v>
      </c>
      <c r="S240" s="21" t="s">
        <v>1068</v>
      </c>
      <c r="V240" s="21" t="s">
        <v>277</v>
      </c>
      <c r="W240" s="21" t="s">
        <v>524</v>
      </c>
      <c r="X240" s="21" t="s">
        <v>525</v>
      </c>
      <c r="Y240" s="21" t="s">
        <v>530</v>
      </c>
      <c r="Z240" s="21">
        <v>3035478716</v>
      </c>
      <c r="AA240" s="26">
        <v>42739</v>
      </c>
      <c r="AB240" s="26">
        <v>42744</v>
      </c>
      <c r="AC240" s="21" t="s">
        <v>504</v>
      </c>
      <c r="AD240" s="21" t="s">
        <v>505</v>
      </c>
      <c r="AE240" s="21" t="s">
        <v>1054</v>
      </c>
      <c r="AF240" s="21" t="s">
        <v>1105</v>
      </c>
      <c r="AG240" s="21" t="s">
        <v>2508</v>
      </c>
      <c r="AH240" s="21" t="s">
        <v>2509</v>
      </c>
      <c r="AI240" s="21" t="s">
        <v>2510</v>
      </c>
      <c r="AJ240" s="21" t="s">
        <v>1109</v>
      </c>
      <c r="AK240" s="21" t="s">
        <v>494</v>
      </c>
      <c r="AL240" s="21" t="s">
        <v>527</v>
      </c>
      <c r="AM240" s="21" t="s">
        <v>527</v>
      </c>
      <c r="AN240" s="21" t="s">
        <v>527</v>
      </c>
      <c r="AO240" s="21" t="s">
        <v>528</v>
      </c>
      <c r="AS240" s="21" t="s">
        <v>511</v>
      </c>
      <c r="AT240" s="21" t="s">
        <v>512</v>
      </c>
      <c r="AW240" s="21">
        <v>0</v>
      </c>
      <c r="AX240" s="21">
        <v>8</v>
      </c>
      <c r="AY240" s="26"/>
      <c r="AZ240" s="26"/>
      <c r="BB240" s="26"/>
      <c r="BC240" s="21" t="s">
        <v>513</v>
      </c>
      <c r="BD240" s="21" t="s">
        <v>514</v>
      </c>
      <c r="BE240" s="21" t="s">
        <v>514</v>
      </c>
      <c r="BF240" s="21" t="s">
        <v>515</v>
      </c>
      <c r="BG240" s="21">
        <v>1</v>
      </c>
      <c r="BH240" s="21" t="s">
        <v>516</v>
      </c>
      <c r="BI240" s="21" t="s">
        <v>517</v>
      </c>
      <c r="BJ240" s="21" t="s">
        <v>516</v>
      </c>
      <c r="BK240" s="21" t="s">
        <v>516</v>
      </c>
      <c r="BM240" s="21" t="s">
        <v>1423</v>
      </c>
      <c r="BN240" s="21" t="s">
        <v>227</v>
      </c>
      <c r="BO240" s="21" t="s">
        <v>518</v>
      </c>
      <c r="BP240" s="21" t="s">
        <v>1044</v>
      </c>
      <c r="BQ240" s="21" t="s">
        <v>33</v>
      </c>
      <c r="BR240" s="21" t="s">
        <v>209</v>
      </c>
      <c r="BS240" s="21" t="s">
        <v>518</v>
      </c>
      <c r="BT240" s="21" t="s">
        <v>1044</v>
      </c>
      <c r="BU240" s="21" t="s">
        <v>227</v>
      </c>
      <c r="CD240" s="21" t="s">
        <v>520</v>
      </c>
      <c r="CF240" s="21" t="s">
        <v>521</v>
      </c>
      <c r="CN240" s="26"/>
      <c r="DB240" s="24" t="s">
        <v>943</v>
      </c>
      <c r="DC240" s="21">
        <v>1</v>
      </c>
      <c r="DD240" s="21">
        <v>2</v>
      </c>
      <c r="DE240" s="22">
        <v>42749</v>
      </c>
      <c r="DF240" s="21" t="s">
        <v>3407</v>
      </c>
      <c r="DG240" s="21" t="s">
        <v>522</v>
      </c>
      <c r="DH240" s="21" t="s">
        <v>3408</v>
      </c>
      <c r="DI240" s="21" t="s">
        <v>495</v>
      </c>
      <c r="DJ240" s="21" t="s">
        <v>523</v>
      </c>
      <c r="DK240" s="26"/>
      <c r="DL240" s="26">
        <v>42756</v>
      </c>
      <c r="DM240" s="26">
        <v>42746</v>
      </c>
      <c r="DN240" s="21">
        <v>1100</v>
      </c>
      <c r="DO240" s="21">
        <v>10</v>
      </c>
      <c r="DP240" s="21">
        <v>1</v>
      </c>
      <c r="DQ240" s="21">
        <v>1</v>
      </c>
      <c r="DR240" s="21">
        <v>7</v>
      </c>
      <c r="DS240" s="21">
        <v>10</v>
      </c>
      <c r="DT240" s="21">
        <v>10</v>
      </c>
      <c r="DU240" s="21">
        <v>10</v>
      </c>
      <c r="DW240" s="21">
        <v>10</v>
      </c>
      <c r="EA240" s="21">
        <v>10</v>
      </c>
      <c r="EF240" s="25">
        <v>1</v>
      </c>
      <c r="EG240" s="25">
        <v>0</v>
      </c>
      <c r="EH240" s="25">
        <v>1</v>
      </c>
      <c r="EI240" s="25">
        <v>0</v>
      </c>
      <c r="EJ240" s="25" t="s">
        <v>92</v>
      </c>
      <c r="EK240" s="25" t="s">
        <v>228</v>
      </c>
      <c r="EL240" s="25" t="s">
        <v>210</v>
      </c>
      <c r="EM240" s="25" t="s">
        <v>276</v>
      </c>
      <c r="EN240" s="25" t="s">
        <v>31</v>
      </c>
      <c r="EO240" s="25" t="s">
        <v>31</v>
      </c>
      <c r="EP240" s="25" t="s">
        <v>92</v>
      </c>
      <c r="EQ240" s="25" t="s">
        <v>529</v>
      </c>
      <c r="ER240" s="25" t="s">
        <v>278</v>
      </c>
      <c r="ES240" s="25" t="s">
        <v>278</v>
      </c>
      <c r="ET240" s="25">
        <v>1</v>
      </c>
      <c r="EU240" s="25" t="s">
        <v>522</v>
      </c>
      <c r="EV240" s="25" t="s">
        <v>279</v>
      </c>
      <c r="EW240" s="25" t="s">
        <v>279</v>
      </c>
      <c r="EX240" s="25" t="s">
        <v>279</v>
      </c>
      <c r="EY240" s="20" t="e">
        <v>#N/A</v>
      </c>
    </row>
    <row r="241" spans="1:155">
      <c r="A241" s="21" t="s">
        <v>491</v>
      </c>
      <c r="B241" s="21" t="s">
        <v>491</v>
      </c>
      <c r="C241" s="21" t="s">
        <v>492</v>
      </c>
      <c r="D241" s="21" t="s">
        <v>493</v>
      </c>
      <c r="E241" s="21" t="s">
        <v>493</v>
      </c>
      <c r="F241" s="21" t="s">
        <v>493</v>
      </c>
      <c r="G241" s="21" t="s">
        <v>3409</v>
      </c>
      <c r="H241" s="21" t="s">
        <v>3410</v>
      </c>
      <c r="I241" s="21" t="s">
        <v>494</v>
      </c>
      <c r="J241" s="21" t="s">
        <v>3411</v>
      </c>
      <c r="L241" s="21" t="s">
        <v>495</v>
      </c>
      <c r="M241" s="21" t="s">
        <v>3412</v>
      </c>
      <c r="N241" s="21" t="s">
        <v>1134</v>
      </c>
      <c r="O241" s="21" t="s">
        <v>98</v>
      </c>
      <c r="P241" s="21" t="s">
        <v>553</v>
      </c>
      <c r="Q241" s="21" t="s">
        <v>1612</v>
      </c>
      <c r="R241" s="21" t="s">
        <v>588</v>
      </c>
      <c r="S241" s="21" t="s">
        <v>589</v>
      </c>
      <c r="V241" s="21" t="s">
        <v>500</v>
      </c>
      <c r="W241" s="21" t="s">
        <v>501</v>
      </c>
      <c r="X241" s="21" t="s">
        <v>502</v>
      </c>
      <c r="Y241" s="21" t="s">
        <v>554</v>
      </c>
      <c r="Z241" s="21">
        <v>3035430218</v>
      </c>
      <c r="AA241" s="26">
        <v>42738</v>
      </c>
      <c r="AB241" s="26">
        <v>42745</v>
      </c>
      <c r="AC241" s="21" t="s">
        <v>504</v>
      </c>
      <c r="AD241" s="21" t="s">
        <v>505</v>
      </c>
      <c r="AE241" s="21" t="s">
        <v>500</v>
      </c>
      <c r="AF241" s="21" t="s">
        <v>549</v>
      </c>
      <c r="AG241" s="21" t="s">
        <v>1007</v>
      </c>
      <c r="AH241" s="21" t="s">
        <v>1008</v>
      </c>
      <c r="AI241" s="21" t="s">
        <v>3413</v>
      </c>
      <c r="AJ241" s="21" t="s">
        <v>526</v>
      </c>
      <c r="AK241" s="21" t="s">
        <v>494</v>
      </c>
      <c r="AL241" s="21" t="s">
        <v>527</v>
      </c>
      <c r="AM241" s="21" t="s">
        <v>527</v>
      </c>
      <c r="AN241" s="21" t="s">
        <v>527</v>
      </c>
      <c r="AO241" s="21" t="s">
        <v>528</v>
      </c>
      <c r="AS241" s="21" t="s">
        <v>511</v>
      </c>
      <c r="AT241" s="21" t="s">
        <v>512</v>
      </c>
      <c r="AW241" s="21">
        <v>0</v>
      </c>
      <c r="AX241" s="21">
        <v>7</v>
      </c>
      <c r="AY241" s="26"/>
      <c r="AZ241" s="26"/>
      <c r="BB241" s="26"/>
      <c r="BC241" s="21" t="s">
        <v>513</v>
      </c>
      <c r="BD241" s="21" t="s">
        <v>514</v>
      </c>
      <c r="BE241" s="21" t="s">
        <v>514</v>
      </c>
      <c r="BF241" s="21" t="s">
        <v>1351</v>
      </c>
      <c r="BG241" s="21">
        <v>1</v>
      </c>
      <c r="BH241" s="21" t="s">
        <v>516</v>
      </c>
      <c r="BI241" s="21" t="s">
        <v>517</v>
      </c>
      <c r="BJ241" s="21" t="s">
        <v>516</v>
      </c>
      <c r="BK241" s="21" t="s">
        <v>516</v>
      </c>
      <c r="BM241" s="21" t="s">
        <v>17</v>
      </c>
      <c r="BN241" s="21" t="s">
        <v>107</v>
      </c>
      <c r="BO241" s="21" t="s">
        <v>518</v>
      </c>
      <c r="BP241" s="21" t="s">
        <v>519</v>
      </c>
      <c r="BQ241" s="21" t="s">
        <v>19</v>
      </c>
      <c r="BR241" s="21" t="s">
        <v>82</v>
      </c>
      <c r="BS241" s="21" t="s">
        <v>518</v>
      </c>
      <c r="BT241" s="21" t="s">
        <v>519</v>
      </c>
      <c r="BU241" s="21" t="s">
        <v>107</v>
      </c>
      <c r="CD241" s="21" t="s">
        <v>520</v>
      </c>
      <c r="CF241" s="21" t="s">
        <v>521</v>
      </c>
      <c r="CN241" s="26"/>
      <c r="DB241" s="24" t="s">
        <v>943</v>
      </c>
      <c r="DC241" s="21">
        <v>1</v>
      </c>
      <c r="DD241" s="21">
        <v>2</v>
      </c>
      <c r="DE241" s="22">
        <v>42749</v>
      </c>
      <c r="DF241" s="21" t="s">
        <v>3414</v>
      </c>
      <c r="DG241" s="21" t="s">
        <v>522</v>
      </c>
      <c r="DH241" s="21" t="s">
        <v>3415</v>
      </c>
      <c r="DI241" s="21" t="s">
        <v>495</v>
      </c>
      <c r="DJ241" s="21" t="s">
        <v>520</v>
      </c>
      <c r="DK241" s="26"/>
      <c r="DL241" s="26">
        <v>42757</v>
      </c>
      <c r="DM241" s="26">
        <v>42747</v>
      </c>
      <c r="DN241" s="21">
        <v>3100</v>
      </c>
      <c r="DO241" s="21">
        <v>10</v>
      </c>
      <c r="DP241" s="21">
        <v>1</v>
      </c>
      <c r="DQ241" s="21">
        <v>1</v>
      </c>
      <c r="DR241" s="21">
        <v>6</v>
      </c>
      <c r="DS241" s="21">
        <v>10</v>
      </c>
      <c r="DT241" s="21">
        <v>10</v>
      </c>
      <c r="DU241" s="21">
        <v>10</v>
      </c>
      <c r="DW241" s="21">
        <v>10</v>
      </c>
      <c r="EA241" s="21">
        <v>10</v>
      </c>
      <c r="EF241" s="25">
        <v>1</v>
      </c>
      <c r="EG241" s="25">
        <v>0</v>
      </c>
      <c r="EH241" s="25">
        <v>1</v>
      </c>
      <c r="EI241" s="25">
        <v>0</v>
      </c>
      <c r="EJ241" s="25" t="s">
        <v>62</v>
      </c>
      <c r="EK241" s="25" t="s">
        <v>108</v>
      </c>
      <c r="EL241" s="25" t="s">
        <v>83</v>
      </c>
      <c r="EM241" s="25" t="s">
        <v>276</v>
      </c>
      <c r="EN241" s="25" t="s">
        <v>9</v>
      </c>
      <c r="EO241" s="25" t="s">
        <v>9</v>
      </c>
      <c r="EP241" s="25" t="s">
        <v>62</v>
      </c>
      <c r="EQ241" s="25" t="s">
        <v>62</v>
      </c>
      <c r="ER241" s="25" t="s">
        <v>278</v>
      </c>
      <c r="ES241" s="25" t="s">
        <v>278</v>
      </c>
      <c r="ET241" s="25">
        <v>1</v>
      </c>
      <c r="EU241" s="25" t="s">
        <v>522</v>
      </c>
      <c r="EV241" s="25" t="s">
        <v>279</v>
      </c>
      <c r="EW241" s="25" t="s">
        <v>279</v>
      </c>
      <c r="EX241" s="25" t="s">
        <v>279</v>
      </c>
      <c r="EY241" s="20" t="e">
        <v>#N/A</v>
      </c>
    </row>
    <row r="242" spans="1:155">
      <c r="A242" s="21" t="s">
        <v>491</v>
      </c>
      <c r="B242" s="21" t="s">
        <v>491</v>
      </c>
      <c r="C242" s="21" t="s">
        <v>492</v>
      </c>
      <c r="D242" s="21" t="s">
        <v>493</v>
      </c>
      <c r="E242" s="21" t="s">
        <v>493</v>
      </c>
      <c r="F242" s="21" t="s">
        <v>493</v>
      </c>
      <c r="G242" s="21" t="s">
        <v>3416</v>
      </c>
      <c r="H242" s="21">
        <v>46999191622</v>
      </c>
      <c r="I242" s="21" t="s">
        <v>494</v>
      </c>
      <c r="J242" s="21" t="s">
        <v>3417</v>
      </c>
      <c r="L242" s="21" t="s">
        <v>495</v>
      </c>
      <c r="M242" s="21" t="s">
        <v>3418</v>
      </c>
      <c r="N242" s="21" t="s">
        <v>496</v>
      </c>
      <c r="O242" s="21" t="s">
        <v>69</v>
      </c>
      <c r="P242" s="21" t="s">
        <v>497</v>
      </c>
      <c r="R242" s="21" t="s">
        <v>498</v>
      </c>
      <c r="S242" s="21" t="s">
        <v>499</v>
      </c>
      <c r="V242" s="21" t="s">
        <v>500</v>
      </c>
      <c r="W242" s="21" t="s">
        <v>501</v>
      </c>
      <c r="X242" s="21" t="s">
        <v>502</v>
      </c>
      <c r="Y242" s="21" t="s">
        <v>503</v>
      </c>
      <c r="Z242" s="21">
        <v>3035657632</v>
      </c>
      <c r="AA242" s="26">
        <v>42745</v>
      </c>
      <c r="AB242" s="26">
        <v>42745</v>
      </c>
      <c r="AC242" s="21" t="s">
        <v>504</v>
      </c>
      <c r="AD242" s="21" t="s">
        <v>505</v>
      </c>
      <c r="AE242" s="21" t="s">
        <v>500</v>
      </c>
      <c r="AF242" s="21" t="s">
        <v>506</v>
      </c>
      <c r="AG242" s="21" t="s">
        <v>1079</v>
      </c>
      <c r="AH242" s="21" t="s">
        <v>1080</v>
      </c>
      <c r="AI242" s="21" t="s">
        <v>2096</v>
      </c>
      <c r="AJ242" s="21" t="s">
        <v>507</v>
      </c>
      <c r="AK242" s="21" t="s">
        <v>494</v>
      </c>
      <c r="AL242" s="21" t="s">
        <v>527</v>
      </c>
      <c r="AM242" s="21" t="s">
        <v>527</v>
      </c>
      <c r="AN242" s="21" t="s">
        <v>527</v>
      </c>
      <c r="AO242" s="21" t="s">
        <v>528</v>
      </c>
      <c r="AS242" s="21" t="s">
        <v>511</v>
      </c>
      <c r="AT242" s="21" t="s">
        <v>512</v>
      </c>
      <c r="AW242" s="21">
        <v>0</v>
      </c>
      <c r="AX242" s="21">
        <v>2</v>
      </c>
      <c r="AY242" s="26"/>
      <c r="AZ242" s="26"/>
      <c r="BB242" s="26"/>
      <c r="BC242" s="21" t="s">
        <v>513</v>
      </c>
      <c r="BD242" s="21" t="s">
        <v>514</v>
      </c>
      <c r="BE242" s="21" t="s">
        <v>514</v>
      </c>
      <c r="BF242" s="21" t="s">
        <v>515</v>
      </c>
      <c r="BG242" s="21">
        <v>1</v>
      </c>
      <c r="BH242" s="21" t="s">
        <v>516</v>
      </c>
      <c r="BI242" s="21" t="s">
        <v>517</v>
      </c>
      <c r="BJ242" s="21" t="s">
        <v>516</v>
      </c>
      <c r="BK242" s="21" t="s">
        <v>516</v>
      </c>
      <c r="BM242" s="21" t="s">
        <v>29</v>
      </c>
      <c r="BN242" s="21" t="s">
        <v>129</v>
      </c>
      <c r="BO242" s="21" t="s">
        <v>518</v>
      </c>
      <c r="BP242" s="21" t="s">
        <v>519</v>
      </c>
      <c r="BQ242" s="21" t="s">
        <v>29</v>
      </c>
      <c r="BR242" s="21" t="s">
        <v>129</v>
      </c>
      <c r="BS242" s="21" t="s">
        <v>518</v>
      </c>
      <c r="BT242" s="21" t="s">
        <v>519</v>
      </c>
      <c r="BU242" s="21" t="s">
        <v>129</v>
      </c>
      <c r="CD242" s="21" t="s">
        <v>520</v>
      </c>
      <c r="CF242" s="21" t="s">
        <v>521</v>
      </c>
      <c r="CN242" s="26"/>
      <c r="DB242" s="24" t="s">
        <v>943</v>
      </c>
      <c r="DC242" s="21">
        <v>1</v>
      </c>
      <c r="DD242" s="21">
        <v>2</v>
      </c>
      <c r="DE242" s="22">
        <v>42749</v>
      </c>
      <c r="DF242" s="21" t="s">
        <v>1454</v>
      </c>
      <c r="DG242" s="21" t="s">
        <v>522</v>
      </c>
      <c r="DH242" s="21" t="s">
        <v>3419</v>
      </c>
      <c r="DI242" s="21" t="s">
        <v>495</v>
      </c>
      <c r="DJ242" s="21" t="s">
        <v>520</v>
      </c>
      <c r="DK242" s="26"/>
      <c r="DL242" s="26">
        <v>42757</v>
      </c>
      <c r="DM242" s="26">
        <v>42747</v>
      </c>
      <c r="DN242" s="21">
        <v>3100</v>
      </c>
      <c r="DO242" s="21">
        <v>9</v>
      </c>
      <c r="DP242" s="21">
        <v>1</v>
      </c>
      <c r="DQ242" s="21">
        <v>2</v>
      </c>
      <c r="DR242" s="21">
        <v>6</v>
      </c>
      <c r="DS242" s="21">
        <v>9</v>
      </c>
      <c r="DT242" s="21">
        <v>10</v>
      </c>
      <c r="DU242" s="21">
        <v>10</v>
      </c>
      <c r="DW242" s="21">
        <v>8</v>
      </c>
      <c r="EA242" s="21">
        <v>10</v>
      </c>
      <c r="EB242" s="21" t="s">
        <v>3420</v>
      </c>
      <c r="EC242" s="21" t="s">
        <v>1221</v>
      </c>
      <c r="EF242" s="25">
        <v>1</v>
      </c>
      <c r="EG242" s="25">
        <v>0</v>
      </c>
      <c r="EH242" s="25">
        <v>1</v>
      </c>
      <c r="EI242" s="25">
        <v>0</v>
      </c>
      <c r="EJ242" s="25" t="s">
        <v>62</v>
      </c>
      <c r="EK242" s="25" t="s">
        <v>130</v>
      </c>
      <c r="EL242" s="25" t="s">
        <v>130</v>
      </c>
      <c r="EM242" s="25" t="s">
        <v>276</v>
      </c>
      <c r="EN242" s="25" t="s">
        <v>23</v>
      </c>
      <c r="EO242" s="25" t="s">
        <v>23</v>
      </c>
      <c r="EP242" s="25" t="s">
        <v>62</v>
      </c>
      <c r="EQ242" s="25" t="s">
        <v>62</v>
      </c>
      <c r="ER242" s="25" t="s">
        <v>278</v>
      </c>
      <c r="ES242" s="25" t="s">
        <v>278</v>
      </c>
      <c r="ET242" s="25">
        <v>1</v>
      </c>
      <c r="EU242" s="25" t="s">
        <v>522</v>
      </c>
      <c r="EV242" s="25" t="s">
        <v>130</v>
      </c>
      <c r="EW242" s="25" t="s">
        <v>23</v>
      </c>
      <c r="EX242" s="25" t="s">
        <v>278</v>
      </c>
      <c r="EY242" s="20" t="e">
        <v>#N/A</v>
      </c>
    </row>
    <row r="243" spans="1:155">
      <c r="A243" s="21" t="s">
        <v>491</v>
      </c>
      <c r="B243" s="21" t="s">
        <v>491</v>
      </c>
      <c r="C243" s="21" t="s">
        <v>492</v>
      </c>
      <c r="D243" s="21" t="s">
        <v>493</v>
      </c>
      <c r="E243" s="21" t="s">
        <v>493</v>
      </c>
      <c r="F243" s="21" t="s">
        <v>493</v>
      </c>
      <c r="G243" s="21" t="s">
        <v>3421</v>
      </c>
      <c r="H243" s="21" t="s">
        <v>3422</v>
      </c>
      <c r="I243" s="21" t="s">
        <v>494</v>
      </c>
      <c r="J243" s="21" t="s">
        <v>3423</v>
      </c>
      <c r="L243" s="21" t="s">
        <v>495</v>
      </c>
      <c r="M243" s="21" t="s">
        <v>3424</v>
      </c>
      <c r="N243" s="21" t="s">
        <v>496</v>
      </c>
      <c r="O243" s="21" t="s">
        <v>69</v>
      </c>
      <c r="P243" s="21" t="s">
        <v>497</v>
      </c>
      <c r="Q243" s="21" t="s">
        <v>1168</v>
      </c>
      <c r="R243" s="21" t="s">
        <v>498</v>
      </c>
      <c r="S243" s="21" t="s">
        <v>499</v>
      </c>
      <c r="V243" s="21" t="s">
        <v>500</v>
      </c>
      <c r="W243" s="21" t="s">
        <v>501</v>
      </c>
      <c r="X243" s="21" t="s">
        <v>502</v>
      </c>
      <c r="Y243" s="21" t="s">
        <v>503</v>
      </c>
      <c r="Z243" s="21">
        <v>3035647784</v>
      </c>
      <c r="AA243" s="26">
        <v>42745</v>
      </c>
      <c r="AB243" s="26">
        <v>42745</v>
      </c>
      <c r="AC243" s="21" t="s">
        <v>504</v>
      </c>
      <c r="AD243" s="21" t="s">
        <v>505</v>
      </c>
      <c r="AE243" s="21" t="s">
        <v>500</v>
      </c>
      <c r="AF243" s="21" t="s">
        <v>506</v>
      </c>
      <c r="AG243" s="21" t="s">
        <v>1638</v>
      </c>
      <c r="AH243" s="21" t="s">
        <v>1639</v>
      </c>
      <c r="AI243" s="21" t="s">
        <v>1117</v>
      </c>
      <c r="AJ243" s="21" t="s">
        <v>526</v>
      </c>
      <c r="AK243" s="21" t="s">
        <v>494</v>
      </c>
      <c r="AL243" s="21" t="s">
        <v>527</v>
      </c>
      <c r="AM243" s="21" t="s">
        <v>527</v>
      </c>
      <c r="AN243" s="21" t="s">
        <v>527</v>
      </c>
      <c r="AO243" s="21" t="s">
        <v>528</v>
      </c>
      <c r="AS243" s="21" t="s">
        <v>511</v>
      </c>
      <c r="AT243" s="21" t="s">
        <v>512</v>
      </c>
      <c r="AW243" s="21">
        <v>0</v>
      </c>
      <c r="AX243" s="21">
        <v>2</v>
      </c>
      <c r="AY243" s="26"/>
      <c r="AZ243" s="26"/>
      <c r="BB243" s="26"/>
      <c r="BC243" s="21" t="s">
        <v>513</v>
      </c>
      <c r="BD243" s="21" t="s">
        <v>514</v>
      </c>
      <c r="BE243" s="21" t="s">
        <v>514</v>
      </c>
      <c r="BF243" s="21" t="s">
        <v>515</v>
      </c>
      <c r="BG243" s="21">
        <v>1</v>
      </c>
      <c r="BH243" s="21" t="s">
        <v>516</v>
      </c>
      <c r="BI243" s="21" t="s">
        <v>517</v>
      </c>
      <c r="BJ243" s="21" t="s">
        <v>516</v>
      </c>
      <c r="BK243" s="21" t="s">
        <v>516</v>
      </c>
      <c r="BM243" s="21" t="s">
        <v>25</v>
      </c>
      <c r="BN243" s="21" t="s">
        <v>135</v>
      </c>
      <c r="BO243" s="21" t="s">
        <v>518</v>
      </c>
      <c r="BP243" s="21" t="s">
        <v>519</v>
      </c>
      <c r="BQ243" s="21" t="s">
        <v>25</v>
      </c>
      <c r="BR243" s="21" t="s">
        <v>135</v>
      </c>
      <c r="BS243" s="21" t="s">
        <v>518</v>
      </c>
      <c r="BT243" s="21" t="s">
        <v>519</v>
      </c>
      <c r="BU243" s="21" t="s">
        <v>135</v>
      </c>
      <c r="CD243" s="21" t="s">
        <v>520</v>
      </c>
      <c r="CF243" s="21" t="s">
        <v>521</v>
      </c>
      <c r="CN243" s="26"/>
      <c r="DB243" s="24" t="s">
        <v>943</v>
      </c>
      <c r="DC243" s="21">
        <v>1</v>
      </c>
      <c r="DD243" s="21">
        <v>2</v>
      </c>
      <c r="DE243" s="22">
        <v>42749</v>
      </c>
      <c r="DF243" s="21" t="s">
        <v>3425</v>
      </c>
      <c r="DG243" s="21" t="s">
        <v>522</v>
      </c>
      <c r="DH243" s="21" t="s">
        <v>3426</v>
      </c>
      <c r="DI243" s="21" t="s">
        <v>495</v>
      </c>
      <c r="DJ243" s="21" t="s">
        <v>520</v>
      </c>
      <c r="DK243" s="26"/>
      <c r="DL243" s="26">
        <v>42757</v>
      </c>
      <c r="DM243" s="26">
        <v>42747</v>
      </c>
      <c r="DN243" s="21">
        <v>3100</v>
      </c>
      <c r="DO243" s="21">
        <v>10</v>
      </c>
      <c r="DP243" s="21">
        <v>1</v>
      </c>
      <c r="DQ243" s="21">
        <v>1</v>
      </c>
      <c r="DR243" s="21">
        <v>7</v>
      </c>
      <c r="DS243" s="21">
        <v>10</v>
      </c>
      <c r="DT243" s="21">
        <v>10</v>
      </c>
      <c r="DU243" s="21">
        <v>10</v>
      </c>
      <c r="DW243" s="21">
        <v>10</v>
      </c>
      <c r="EA243" s="21">
        <v>9</v>
      </c>
      <c r="EB243" s="21" t="s">
        <v>3427</v>
      </c>
      <c r="EC243" s="21" t="s">
        <v>1221</v>
      </c>
      <c r="EF243" s="25">
        <v>1</v>
      </c>
      <c r="EG243" s="25">
        <v>0</v>
      </c>
      <c r="EH243" s="25">
        <v>1</v>
      </c>
      <c r="EI243" s="25">
        <v>0</v>
      </c>
      <c r="EJ243" s="25" t="s">
        <v>62</v>
      </c>
      <c r="EK243" s="25" t="s">
        <v>136</v>
      </c>
      <c r="EL243" s="25" t="s">
        <v>136</v>
      </c>
      <c r="EM243" s="25" t="s">
        <v>276</v>
      </c>
      <c r="EN243" s="25" t="s">
        <v>23</v>
      </c>
      <c r="EO243" s="25" t="s">
        <v>23</v>
      </c>
      <c r="EP243" s="25" t="s">
        <v>62</v>
      </c>
      <c r="EQ243" s="25" t="s">
        <v>62</v>
      </c>
      <c r="ER243" s="25" t="s">
        <v>278</v>
      </c>
      <c r="ES243" s="25" t="s">
        <v>278</v>
      </c>
      <c r="ET243" s="25">
        <v>1</v>
      </c>
      <c r="EU243" s="25" t="s">
        <v>522</v>
      </c>
      <c r="EV243" s="25" t="s">
        <v>136</v>
      </c>
      <c r="EW243" s="25" t="s">
        <v>23</v>
      </c>
      <c r="EX243" s="25" t="s">
        <v>278</v>
      </c>
      <c r="EY243" s="20" t="e">
        <v>#N/A</v>
      </c>
    </row>
    <row r="244" spans="1:155">
      <c r="A244" s="21" t="s">
        <v>491</v>
      </c>
      <c r="B244" s="21" t="s">
        <v>491</v>
      </c>
      <c r="C244" s="21" t="s">
        <v>492</v>
      </c>
      <c r="D244" s="21" t="s">
        <v>493</v>
      </c>
      <c r="E244" s="21" t="s">
        <v>493</v>
      </c>
      <c r="F244" s="21" t="s">
        <v>493</v>
      </c>
      <c r="G244" s="21" t="s">
        <v>3428</v>
      </c>
      <c r="H244" s="21" t="s">
        <v>3429</v>
      </c>
      <c r="I244" s="21" t="s">
        <v>3430</v>
      </c>
      <c r="J244" s="21" t="s">
        <v>3431</v>
      </c>
      <c r="L244" s="21" t="s">
        <v>495</v>
      </c>
      <c r="M244" s="21" t="s">
        <v>3432</v>
      </c>
      <c r="N244" s="21" t="s">
        <v>496</v>
      </c>
      <c r="O244" s="21" t="s">
        <v>69</v>
      </c>
      <c r="P244" s="21" t="s">
        <v>497</v>
      </c>
      <c r="R244" s="21" t="s">
        <v>498</v>
      </c>
      <c r="S244" s="21" t="s">
        <v>499</v>
      </c>
      <c r="V244" s="21" t="s">
        <v>500</v>
      </c>
      <c r="W244" s="21" t="s">
        <v>501</v>
      </c>
      <c r="X244" s="21" t="s">
        <v>502</v>
      </c>
      <c r="Y244" s="21" t="s">
        <v>503</v>
      </c>
      <c r="Z244" s="21">
        <v>3035688405</v>
      </c>
      <c r="AA244" s="26">
        <v>42746</v>
      </c>
      <c r="AB244" s="26">
        <v>42746</v>
      </c>
      <c r="AC244" s="21" t="s">
        <v>504</v>
      </c>
      <c r="AD244" s="21" t="s">
        <v>505</v>
      </c>
      <c r="AE244" s="21" t="s">
        <v>500</v>
      </c>
      <c r="AF244" s="21" t="s">
        <v>564</v>
      </c>
      <c r="AG244" s="21" t="s">
        <v>3433</v>
      </c>
      <c r="AH244" s="21" t="s">
        <v>3434</v>
      </c>
      <c r="AI244" s="21" t="s">
        <v>1117</v>
      </c>
      <c r="AJ244" s="21" t="s">
        <v>507</v>
      </c>
      <c r="AK244" s="21" t="s">
        <v>494</v>
      </c>
      <c r="AL244" s="21" t="s">
        <v>527</v>
      </c>
      <c r="AM244" s="21" t="s">
        <v>527</v>
      </c>
      <c r="AN244" s="21" t="s">
        <v>527</v>
      </c>
      <c r="AO244" s="21" t="s">
        <v>528</v>
      </c>
      <c r="AS244" s="21" t="s">
        <v>511</v>
      </c>
      <c r="AT244" s="21" t="s">
        <v>512</v>
      </c>
      <c r="AW244" s="21">
        <v>0</v>
      </c>
      <c r="AX244" s="21">
        <v>2</v>
      </c>
      <c r="AY244" s="26"/>
      <c r="AZ244" s="26"/>
      <c r="BB244" s="26"/>
      <c r="BC244" s="21" t="s">
        <v>513</v>
      </c>
      <c r="BD244" s="21" t="s">
        <v>514</v>
      </c>
      <c r="BE244" s="21" t="s">
        <v>514</v>
      </c>
      <c r="BF244" s="21" t="s">
        <v>515</v>
      </c>
      <c r="BG244" s="21">
        <v>1</v>
      </c>
      <c r="BH244" s="21" t="s">
        <v>516</v>
      </c>
      <c r="BI244" s="21" t="s">
        <v>517</v>
      </c>
      <c r="BJ244" s="21" t="s">
        <v>516</v>
      </c>
      <c r="BK244" s="21" t="s">
        <v>516</v>
      </c>
      <c r="BM244" s="21" t="s">
        <v>42</v>
      </c>
      <c r="BN244" s="21" t="s">
        <v>246</v>
      </c>
      <c r="BO244" s="21" t="s">
        <v>518</v>
      </c>
      <c r="BP244" s="21" t="s">
        <v>519</v>
      </c>
      <c r="BQ244" s="21" t="s">
        <v>42</v>
      </c>
      <c r="BR244" s="21" t="s">
        <v>246</v>
      </c>
      <c r="BS244" s="21" t="s">
        <v>518</v>
      </c>
      <c r="BT244" s="21" t="s">
        <v>519</v>
      </c>
      <c r="BU244" s="21" t="s">
        <v>246</v>
      </c>
      <c r="CD244" s="21" t="s">
        <v>520</v>
      </c>
      <c r="CF244" s="21" t="s">
        <v>521</v>
      </c>
      <c r="CN244" s="26"/>
      <c r="DB244" s="24" t="s">
        <v>943</v>
      </c>
      <c r="DC244" s="21">
        <v>1</v>
      </c>
      <c r="DD244" s="21">
        <v>2</v>
      </c>
      <c r="DE244" s="22">
        <v>42749</v>
      </c>
      <c r="DF244" s="21" t="s">
        <v>3435</v>
      </c>
      <c r="DG244" s="21" t="s">
        <v>522</v>
      </c>
      <c r="DH244" s="21" t="s">
        <v>3436</v>
      </c>
      <c r="DI244" s="21" t="s">
        <v>495</v>
      </c>
      <c r="DJ244" s="21" t="s">
        <v>520</v>
      </c>
      <c r="DK244" s="26"/>
      <c r="DL244" s="26">
        <v>42758</v>
      </c>
      <c r="DM244" s="26">
        <v>42748</v>
      </c>
      <c r="DN244" s="21">
        <v>3100</v>
      </c>
      <c r="DO244" s="21">
        <v>10</v>
      </c>
      <c r="DP244" s="21">
        <v>1</v>
      </c>
      <c r="DQ244" s="21">
        <v>1</v>
      </c>
      <c r="DR244" s="21">
        <v>7</v>
      </c>
      <c r="DS244" s="21">
        <v>10</v>
      </c>
      <c r="DT244" s="21">
        <v>10</v>
      </c>
      <c r="DU244" s="21">
        <v>10</v>
      </c>
      <c r="DW244" s="21">
        <v>10</v>
      </c>
      <c r="EA244" s="21">
        <v>10</v>
      </c>
      <c r="EF244" s="25">
        <v>1</v>
      </c>
      <c r="EG244" s="25">
        <v>0</v>
      </c>
      <c r="EH244" s="25">
        <v>1</v>
      </c>
      <c r="EI244" s="25">
        <v>0</v>
      </c>
      <c r="EJ244" s="25" t="s">
        <v>62</v>
      </c>
      <c r="EK244" s="25" t="s">
        <v>247</v>
      </c>
      <c r="EL244" s="25" t="s">
        <v>247</v>
      </c>
      <c r="EM244" s="25" t="s">
        <v>276</v>
      </c>
      <c r="EN244" s="25" t="s">
        <v>39</v>
      </c>
      <c r="EO244" s="25" t="s">
        <v>39</v>
      </c>
      <c r="EP244" s="25" t="s">
        <v>92</v>
      </c>
      <c r="EQ244" s="25" t="s">
        <v>92</v>
      </c>
      <c r="ER244" s="25" t="s">
        <v>278</v>
      </c>
      <c r="ES244" s="25" t="s">
        <v>278</v>
      </c>
      <c r="ET244" s="25">
        <v>1</v>
      </c>
      <c r="EU244" s="25" t="s">
        <v>522</v>
      </c>
      <c r="EV244" s="25" t="s">
        <v>247</v>
      </c>
      <c r="EW244" s="25" t="s">
        <v>39</v>
      </c>
      <c r="EX244" s="25" t="s">
        <v>278</v>
      </c>
      <c r="EY244" s="20" t="e">
        <v>#N/A</v>
      </c>
    </row>
    <row r="245" spans="1:155">
      <c r="A245" s="21" t="s">
        <v>491</v>
      </c>
      <c r="B245" s="21" t="s">
        <v>491</v>
      </c>
      <c r="C245" s="21" t="s">
        <v>492</v>
      </c>
      <c r="D245" s="21" t="s">
        <v>493</v>
      </c>
      <c r="E245" s="21" t="s">
        <v>493</v>
      </c>
      <c r="F245" s="21" t="s">
        <v>493</v>
      </c>
      <c r="G245" s="21" t="s">
        <v>3437</v>
      </c>
      <c r="H245" s="21">
        <v>91982637876</v>
      </c>
      <c r="I245" s="21" t="s">
        <v>494</v>
      </c>
      <c r="J245" s="21" t="s">
        <v>3438</v>
      </c>
      <c r="L245" s="21" t="s">
        <v>495</v>
      </c>
      <c r="M245" s="21" t="s">
        <v>3439</v>
      </c>
      <c r="N245" s="21" t="s">
        <v>3440</v>
      </c>
      <c r="O245" s="21" t="s">
        <v>97</v>
      </c>
      <c r="P245" s="21" t="s">
        <v>1040</v>
      </c>
      <c r="R245" s="21" t="s">
        <v>3441</v>
      </c>
      <c r="S245" s="21" t="s">
        <v>3442</v>
      </c>
      <c r="V245" s="21" t="s">
        <v>500</v>
      </c>
      <c r="W245" s="21" t="s">
        <v>501</v>
      </c>
      <c r="X245" s="21" t="s">
        <v>502</v>
      </c>
      <c r="Y245" s="21" t="s">
        <v>503</v>
      </c>
      <c r="Z245" s="21">
        <v>3035684373</v>
      </c>
      <c r="AA245" s="26">
        <v>42746</v>
      </c>
      <c r="AB245" s="26">
        <v>42746</v>
      </c>
      <c r="AC245" s="21" t="s">
        <v>504</v>
      </c>
      <c r="AD245" s="21" t="s">
        <v>505</v>
      </c>
      <c r="AE245" s="21" t="s">
        <v>1020</v>
      </c>
      <c r="AF245" s="21" t="s">
        <v>2177</v>
      </c>
      <c r="AG245" s="21" t="s">
        <v>2178</v>
      </c>
      <c r="AH245" s="21" t="s">
        <v>2179</v>
      </c>
      <c r="AI245" s="21" t="s">
        <v>3443</v>
      </c>
      <c r="AJ245" s="21" t="s">
        <v>526</v>
      </c>
      <c r="AK245" s="21" t="s">
        <v>494</v>
      </c>
      <c r="AL245" s="21" t="s">
        <v>527</v>
      </c>
      <c r="AM245" s="21" t="s">
        <v>527</v>
      </c>
      <c r="AN245" s="21" t="s">
        <v>527</v>
      </c>
      <c r="AO245" s="21" t="s">
        <v>528</v>
      </c>
      <c r="AS245" s="21" t="s">
        <v>511</v>
      </c>
      <c r="AT245" s="21" t="s">
        <v>512</v>
      </c>
      <c r="AW245" s="21">
        <v>0</v>
      </c>
      <c r="AX245" s="21">
        <v>2</v>
      </c>
      <c r="AY245" s="26"/>
      <c r="AZ245" s="26"/>
      <c r="BB245" s="26"/>
      <c r="BC245" s="21" t="s">
        <v>513</v>
      </c>
      <c r="BD245" s="21" t="s">
        <v>514</v>
      </c>
      <c r="BE245" s="21" t="s">
        <v>514</v>
      </c>
      <c r="BF245" s="21" t="s">
        <v>515</v>
      </c>
      <c r="BG245" s="21">
        <v>1</v>
      </c>
      <c r="BH245" s="21" t="s">
        <v>516</v>
      </c>
      <c r="BI245" s="21" t="s">
        <v>517</v>
      </c>
      <c r="BJ245" s="21" t="s">
        <v>516</v>
      </c>
      <c r="BK245" s="21" t="s">
        <v>516</v>
      </c>
      <c r="BM245" s="21" t="s">
        <v>36</v>
      </c>
      <c r="BN245" s="21" t="s">
        <v>223</v>
      </c>
      <c r="BO245" s="21" t="s">
        <v>518</v>
      </c>
      <c r="BP245" s="21" t="s">
        <v>519</v>
      </c>
      <c r="BQ245" s="21" t="s">
        <v>36</v>
      </c>
      <c r="BR245" s="21" t="s">
        <v>223</v>
      </c>
      <c r="BS245" s="21" t="s">
        <v>518</v>
      </c>
      <c r="BT245" s="21" t="s">
        <v>519</v>
      </c>
      <c r="BU245" s="21" t="s">
        <v>223</v>
      </c>
      <c r="CD245" s="21" t="s">
        <v>520</v>
      </c>
      <c r="CF245" s="21" t="s">
        <v>521</v>
      </c>
      <c r="CN245" s="26"/>
      <c r="DB245" s="24" t="s">
        <v>943</v>
      </c>
      <c r="DC245" s="21">
        <v>1</v>
      </c>
      <c r="DD245" s="21">
        <v>2</v>
      </c>
      <c r="DE245" s="22">
        <v>42749</v>
      </c>
      <c r="DF245" s="21" t="s">
        <v>3444</v>
      </c>
      <c r="DG245" s="21" t="s">
        <v>522</v>
      </c>
      <c r="DH245" s="21" t="s">
        <v>3445</v>
      </c>
      <c r="DI245" s="21" t="s">
        <v>495</v>
      </c>
      <c r="DJ245" s="21" t="s">
        <v>520</v>
      </c>
      <c r="DK245" s="26"/>
      <c r="DL245" s="26">
        <v>42758</v>
      </c>
      <c r="DM245" s="26">
        <v>42748</v>
      </c>
      <c r="DN245" s="21">
        <v>3100</v>
      </c>
      <c r="DO245" s="21">
        <v>10</v>
      </c>
      <c r="DP245" s="21">
        <v>1</v>
      </c>
      <c r="DQ245" s="21">
        <v>1</v>
      </c>
      <c r="DR245" s="21">
        <v>7</v>
      </c>
      <c r="DS245" s="21">
        <v>10</v>
      </c>
      <c r="DT245" s="21">
        <v>10</v>
      </c>
      <c r="DU245" s="21">
        <v>10</v>
      </c>
      <c r="DW245" s="21">
        <v>10</v>
      </c>
      <c r="EA245" s="21">
        <v>10</v>
      </c>
      <c r="EF245" s="25">
        <v>1</v>
      </c>
      <c r="EG245" s="25">
        <v>0</v>
      </c>
      <c r="EH245" s="25">
        <v>1</v>
      </c>
      <c r="EI245" s="25">
        <v>0</v>
      </c>
      <c r="EJ245" s="25" t="s">
        <v>62</v>
      </c>
      <c r="EK245" s="25" t="s">
        <v>224</v>
      </c>
      <c r="EL245" s="25" t="s">
        <v>224</v>
      </c>
      <c r="EM245" s="25" t="s">
        <v>276</v>
      </c>
      <c r="EN245" s="25" t="s">
        <v>31</v>
      </c>
      <c r="EO245" s="25" t="s">
        <v>31</v>
      </c>
      <c r="EP245" s="25" t="s">
        <v>92</v>
      </c>
      <c r="EQ245" s="25" t="s">
        <v>92</v>
      </c>
      <c r="ER245" s="25" t="s">
        <v>278</v>
      </c>
      <c r="ES245" s="25" t="s">
        <v>278</v>
      </c>
      <c r="ET245" s="25">
        <v>1</v>
      </c>
      <c r="EU245" s="25" t="s">
        <v>522</v>
      </c>
      <c r="EV245" s="25" t="s">
        <v>224</v>
      </c>
      <c r="EW245" s="25" t="s">
        <v>31</v>
      </c>
      <c r="EX245" s="25" t="s">
        <v>278</v>
      </c>
      <c r="EY245" s="20" t="e">
        <v>#N/A</v>
      </c>
    </row>
    <row r="246" spans="1:155">
      <c r="A246" s="21" t="s">
        <v>491</v>
      </c>
      <c r="B246" s="21" t="s">
        <v>491</v>
      </c>
      <c r="C246" s="21" t="s">
        <v>492</v>
      </c>
      <c r="D246" s="21" t="s">
        <v>493</v>
      </c>
      <c r="E246" s="21" t="s">
        <v>493</v>
      </c>
      <c r="F246" s="21" t="s">
        <v>493</v>
      </c>
      <c r="G246" s="21" t="s">
        <v>3446</v>
      </c>
      <c r="H246" s="21" t="s">
        <v>3447</v>
      </c>
      <c r="I246" s="21" t="s">
        <v>494</v>
      </c>
      <c r="J246" s="21" t="s">
        <v>3448</v>
      </c>
      <c r="L246" s="21" t="s">
        <v>495</v>
      </c>
      <c r="M246" s="21" t="s">
        <v>3449</v>
      </c>
      <c r="N246" s="21" t="s">
        <v>496</v>
      </c>
      <c r="O246" s="21" t="s">
        <v>69</v>
      </c>
      <c r="P246" s="21" t="s">
        <v>497</v>
      </c>
      <c r="R246" s="21" t="s">
        <v>498</v>
      </c>
      <c r="S246" s="21" t="s">
        <v>499</v>
      </c>
      <c r="V246" s="21" t="s">
        <v>500</v>
      </c>
      <c r="W246" s="21" t="s">
        <v>501</v>
      </c>
      <c r="X246" s="21" t="s">
        <v>502</v>
      </c>
      <c r="Y246" s="21" t="s">
        <v>503</v>
      </c>
      <c r="Z246" s="21">
        <v>3035602891</v>
      </c>
      <c r="AA246" s="26">
        <v>42744</v>
      </c>
      <c r="AB246" s="26">
        <v>42746</v>
      </c>
      <c r="AC246" s="21" t="s">
        <v>504</v>
      </c>
      <c r="AD246" s="21" t="s">
        <v>505</v>
      </c>
      <c r="AE246" s="21" t="s">
        <v>500</v>
      </c>
      <c r="AF246" s="21" t="s">
        <v>549</v>
      </c>
      <c r="AG246" s="21" t="s">
        <v>555</v>
      </c>
      <c r="AH246" s="21" t="s">
        <v>556</v>
      </c>
      <c r="AI246" s="21" t="s">
        <v>3450</v>
      </c>
      <c r="AJ246" s="21" t="s">
        <v>526</v>
      </c>
      <c r="AK246" s="21" t="s">
        <v>494</v>
      </c>
      <c r="AL246" s="21" t="s">
        <v>527</v>
      </c>
      <c r="AM246" s="21" t="s">
        <v>527</v>
      </c>
      <c r="AN246" s="21" t="s">
        <v>527</v>
      </c>
      <c r="AO246" s="21" t="s">
        <v>528</v>
      </c>
      <c r="AS246" s="21" t="s">
        <v>511</v>
      </c>
      <c r="AT246" s="21" t="s">
        <v>512</v>
      </c>
      <c r="AW246" s="21">
        <v>0</v>
      </c>
      <c r="AX246" s="21">
        <v>0</v>
      </c>
      <c r="AY246" s="26"/>
      <c r="AZ246" s="26"/>
      <c r="BB246" s="26"/>
      <c r="BC246" s="21" t="s">
        <v>513</v>
      </c>
      <c r="BD246" s="21" t="s">
        <v>514</v>
      </c>
      <c r="BE246" s="21" t="s">
        <v>514</v>
      </c>
      <c r="BF246" s="21" t="s">
        <v>1351</v>
      </c>
      <c r="BG246" s="21">
        <v>1</v>
      </c>
      <c r="BH246" s="21" t="s">
        <v>516</v>
      </c>
      <c r="BI246" s="21" t="s">
        <v>517</v>
      </c>
      <c r="BJ246" s="21" t="s">
        <v>516</v>
      </c>
      <c r="BK246" s="21" t="s">
        <v>516</v>
      </c>
      <c r="BM246" s="21" t="s">
        <v>281</v>
      </c>
      <c r="BN246" s="21" t="s">
        <v>142</v>
      </c>
      <c r="BO246" s="21" t="s">
        <v>518</v>
      </c>
      <c r="BP246" s="21" t="s">
        <v>519</v>
      </c>
      <c r="BQ246" s="21" t="s">
        <v>281</v>
      </c>
      <c r="BR246" s="21" t="s">
        <v>142</v>
      </c>
      <c r="BS246" s="21" t="s">
        <v>518</v>
      </c>
      <c r="BT246" s="21" t="s">
        <v>519</v>
      </c>
      <c r="BU246" s="21" t="s">
        <v>142</v>
      </c>
      <c r="CD246" s="21" t="s">
        <v>520</v>
      </c>
      <c r="CF246" s="21" t="s">
        <v>521</v>
      </c>
      <c r="CN246" s="26"/>
      <c r="DB246" s="24" t="s">
        <v>943</v>
      </c>
      <c r="DC246" s="21">
        <v>1</v>
      </c>
      <c r="DD246" s="21">
        <v>2</v>
      </c>
      <c r="DE246" s="22">
        <v>42749</v>
      </c>
      <c r="DF246" s="21" t="s">
        <v>3451</v>
      </c>
      <c r="DG246" s="21" t="s">
        <v>522</v>
      </c>
      <c r="DH246" s="21" t="s">
        <v>3452</v>
      </c>
      <c r="DI246" s="21" t="s">
        <v>495</v>
      </c>
      <c r="DJ246" s="21" t="s">
        <v>520</v>
      </c>
      <c r="DK246" s="26"/>
      <c r="DL246" s="26">
        <v>42758</v>
      </c>
      <c r="DM246" s="26">
        <v>42748</v>
      </c>
      <c r="DN246" s="21">
        <v>3100</v>
      </c>
      <c r="DO246" s="21">
        <v>10</v>
      </c>
      <c r="DP246" s="21">
        <v>1</v>
      </c>
      <c r="DQ246" s="21">
        <v>1</v>
      </c>
      <c r="DR246" s="21">
        <v>7</v>
      </c>
      <c r="DS246" s="21">
        <v>10</v>
      </c>
      <c r="DT246" s="21">
        <v>10</v>
      </c>
      <c r="DU246" s="21">
        <v>10</v>
      </c>
      <c r="DW246" s="21">
        <v>10</v>
      </c>
      <c r="EA246" s="21">
        <v>10</v>
      </c>
      <c r="EB246" s="21" t="s">
        <v>3453</v>
      </c>
      <c r="EC246" s="21" t="s">
        <v>3454</v>
      </c>
      <c r="EF246" s="25">
        <v>1</v>
      </c>
      <c r="EG246" s="25">
        <v>0</v>
      </c>
      <c r="EH246" s="25">
        <v>1</v>
      </c>
      <c r="EI246" s="25">
        <v>0</v>
      </c>
      <c r="EJ246" s="25" t="s">
        <v>62</v>
      </c>
      <c r="EK246" s="25" t="s">
        <v>143</v>
      </c>
      <c r="EL246" s="25" t="s">
        <v>143</v>
      </c>
      <c r="EM246" s="25" t="s">
        <v>276</v>
      </c>
      <c r="EN246" s="25" t="s">
        <v>51</v>
      </c>
      <c r="EO246" s="25" t="s">
        <v>51</v>
      </c>
      <c r="EP246" s="25" t="s">
        <v>1355</v>
      </c>
      <c r="EQ246" s="25" t="s">
        <v>1355</v>
      </c>
      <c r="ER246" s="25" t="s">
        <v>278</v>
      </c>
      <c r="ES246" s="25" t="s">
        <v>278</v>
      </c>
      <c r="ET246" s="25">
        <v>1</v>
      </c>
      <c r="EU246" s="25" t="s">
        <v>522</v>
      </c>
      <c r="EV246" s="25" t="s">
        <v>143</v>
      </c>
      <c r="EW246" s="25" t="s">
        <v>51</v>
      </c>
      <c r="EX246" s="25" t="s">
        <v>278</v>
      </c>
      <c r="EY246" s="20" t="e">
        <v>#N/A</v>
      </c>
    </row>
    <row r="247" spans="1:155">
      <c r="A247" s="21" t="s">
        <v>491</v>
      </c>
      <c r="B247" s="21" t="s">
        <v>491</v>
      </c>
      <c r="C247" s="21" t="s">
        <v>492</v>
      </c>
      <c r="D247" s="21" t="s">
        <v>493</v>
      </c>
      <c r="E247" s="21" t="s">
        <v>493</v>
      </c>
      <c r="F247" s="21" t="s">
        <v>493</v>
      </c>
      <c r="G247" s="21" t="s">
        <v>3455</v>
      </c>
      <c r="H247" s="21" t="s">
        <v>3456</v>
      </c>
      <c r="I247" s="21">
        <v>35999134576</v>
      </c>
      <c r="J247" s="21" t="s">
        <v>3457</v>
      </c>
      <c r="L247" s="21" t="s">
        <v>495</v>
      </c>
      <c r="M247" s="21" t="s">
        <v>3458</v>
      </c>
      <c r="N247" s="21" t="s">
        <v>3459</v>
      </c>
      <c r="O247" s="21" t="s">
        <v>91</v>
      </c>
      <c r="P247" s="21" t="s">
        <v>2416</v>
      </c>
      <c r="R247" s="21" t="s">
        <v>2417</v>
      </c>
      <c r="S247" s="21" t="s">
        <v>2415</v>
      </c>
      <c r="V247" s="21" t="s">
        <v>277</v>
      </c>
      <c r="W247" s="21" t="s">
        <v>524</v>
      </c>
      <c r="X247" s="21" t="s">
        <v>525</v>
      </c>
      <c r="Y247" s="21" t="s">
        <v>530</v>
      </c>
      <c r="Z247" s="21">
        <v>3035541257</v>
      </c>
      <c r="AA247" s="26">
        <v>42741</v>
      </c>
      <c r="AB247" s="26">
        <v>42746</v>
      </c>
      <c r="AC247" s="21" t="s">
        <v>504</v>
      </c>
      <c r="AD247" s="21" t="s">
        <v>512</v>
      </c>
      <c r="AE247" s="21" t="s">
        <v>540</v>
      </c>
      <c r="AF247" s="21" t="s">
        <v>3248</v>
      </c>
      <c r="AG247" s="21" t="s">
        <v>3460</v>
      </c>
      <c r="AH247" s="21" t="s">
        <v>3461</v>
      </c>
      <c r="AI247" s="21" t="s">
        <v>3462</v>
      </c>
      <c r="AJ247" s="21" t="s">
        <v>3249</v>
      </c>
      <c r="AK247" s="21" t="s">
        <v>494</v>
      </c>
      <c r="AL247" s="21" t="s">
        <v>527</v>
      </c>
      <c r="AM247" s="21" t="s">
        <v>527</v>
      </c>
      <c r="AN247" s="21" t="s">
        <v>527</v>
      </c>
      <c r="AO247" s="21" t="s">
        <v>528</v>
      </c>
      <c r="AS247" s="21" t="s">
        <v>3463</v>
      </c>
      <c r="AT247" s="21" t="s">
        <v>532</v>
      </c>
      <c r="AX247" s="21">
        <v>1</v>
      </c>
      <c r="AY247" s="26"/>
      <c r="AZ247" s="26"/>
      <c r="BB247" s="26"/>
      <c r="BC247" s="21" t="s">
        <v>513</v>
      </c>
      <c r="BD247" s="21" t="s">
        <v>514</v>
      </c>
      <c r="BE247" s="21" t="s">
        <v>514</v>
      </c>
      <c r="BF247" s="21" t="s">
        <v>515</v>
      </c>
      <c r="BG247" s="21">
        <v>1</v>
      </c>
      <c r="BH247" s="21" t="s">
        <v>516</v>
      </c>
      <c r="BI247" s="21" t="s">
        <v>517</v>
      </c>
      <c r="BJ247" s="21" t="s">
        <v>516</v>
      </c>
      <c r="BK247" s="21" t="s">
        <v>516</v>
      </c>
      <c r="BN247" s="21" t="s">
        <v>274</v>
      </c>
      <c r="BR247" s="21" t="s">
        <v>282</v>
      </c>
      <c r="BT247" s="21" t="s">
        <v>541</v>
      </c>
      <c r="BU247" s="21" t="s">
        <v>274</v>
      </c>
      <c r="CD247" s="21" t="s">
        <v>520</v>
      </c>
      <c r="CF247" s="21" t="s">
        <v>534</v>
      </c>
      <c r="CG247" s="21" t="s">
        <v>542</v>
      </c>
      <c r="CH247" s="21" t="s">
        <v>543</v>
      </c>
      <c r="CI247" s="21" t="s">
        <v>3464</v>
      </c>
      <c r="CJ247" s="21" t="s">
        <v>3465</v>
      </c>
      <c r="CL247" s="21" t="s">
        <v>544</v>
      </c>
      <c r="CM247" s="21">
        <v>3035541280</v>
      </c>
      <c r="CN247" s="26">
        <v>42741</v>
      </c>
      <c r="CO247" s="21" t="s">
        <v>537</v>
      </c>
      <c r="CP247" s="21" t="s">
        <v>516</v>
      </c>
      <c r="CR247" s="21" t="s">
        <v>545</v>
      </c>
      <c r="CS247" s="21" t="s">
        <v>516</v>
      </c>
      <c r="CU247" s="21" t="s">
        <v>546</v>
      </c>
      <c r="CV247" s="21" t="s">
        <v>546</v>
      </c>
      <c r="CW247" s="21" t="s">
        <v>547</v>
      </c>
      <c r="CX247" s="21" t="s">
        <v>545</v>
      </c>
      <c r="CY247" s="21" t="s">
        <v>516</v>
      </c>
      <c r="CZ247" s="21" t="s">
        <v>541</v>
      </c>
      <c r="DA247" s="21" t="s">
        <v>516</v>
      </c>
      <c r="DB247" s="24" t="s">
        <v>943</v>
      </c>
      <c r="DC247" s="21">
        <v>1</v>
      </c>
      <c r="DD247" s="21">
        <v>2</v>
      </c>
      <c r="DE247" s="22">
        <v>42749</v>
      </c>
      <c r="DF247" s="21" t="s">
        <v>3466</v>
      </c>
      <c r="DG247" s="21" t="s">
        <v>538</v>
      </c>
      <c r="DH247" s="21" t="s">
        <v>3467</v>
      </c>
      <c r="DI247" s="21" t="s">
        <v>495</v>
      </c>
      <c r="DJ247" s="21" t="s">
        <v>520</v>
      </c>
      <c r="DK247" s="26"/>
      <c r="DL247" s="26">
        <v>42758</v>
      </c>
      <c r="DM247" s="26">
        <v>42748</v>
      </c>
      <c r="DN247" s="21">
        <v>1100</v>
      </c>
      <c r="DO247" s="21">
        <v>0</v>
      </c>
      <c r="DP247" s="21">
        <v>2</v>
      </c>
      <c r="DQ247" s="21">
        <v>2</v>
      </c>
      <c r="DR247" s="21">
        <v>1</v>
      </c>
      <c r="DS247" s="21">
        <v>5</v>
      </c>
      <c r="DT247" s="21">
        <v>5</v>
      </c>
      <c r="DU247" s="21">
        <v>0</v>
      </c>
      <c r="DW247" s="21">
        <v>0</v>
      </c>
      <c r="DY247" s="21">
        <v>0</v>
      </c>
      <c r="EA247" s="21">
        <v>0</v>
      </c>
      <c r="EB247" s="21" t="s">
        <v>3468</v>
      </c>
      <c r="EC247" s="21" t="s">
        <v>1837</v>
      </c>
      <c r="EF247" s="25">
        <v>0</v>
      </c>
      <c r="EG247" s="25">
        <v>1</v>
      </c>
      <c r="EH247" s="25">
        <v>0</v>
      </c>
      <c r="EI247" s="25">
        <v>1</v>
      </c>
      <c r="EJ247" s="25" t="s">
        <v>92</v>
      </c>
      <c r="EK247" s="25" t="s">
        <v>275</v>
      </c>
      <c r="EL247" s="25" t="s">
        <v>283</v>
      </c>
      <c r="EM247" s="25" t="s">
        <v>276</v>
      </c>
      <c r="EN247" s="25" t="s">
        <v>271</v>
      </c>
      <c r="EO247" s="25" t="s">
        <v>271</v>
      </c>
      <c r="EP247" s="25" t="s">
        <v>548</v>
      </c>
      <c r="EQ247" s="25" t="s">
        <v>548</v>
      </c>
      <c r="ER247" s="25" t="s">
        <v>278</v>
      </c>
      <c r="ES247" s="25" t="s">
        <v>278</v>
      </c>
      <c r="ET247" s="25">
        <v>1</v>
      </c>
      <c r="EU247" s="25" t="s">
        <v>522</v>
      </c>
      <c r="EV247" s="25" t="s">
        <v>279</v>
      </c>
      <c r="EW247" s="25" t="s">
        <v>279</v>
      </c>
      <c r="EX247" s="25" t="s">
        <v>279</v>
      </c>
      <c r="EY247" s="20" t="e">
        <v>#N/A</v>
      </c>
    </row>
    <row r="248" spans="1:155">
      <c r="A248" s="21" t="s">
        <v>491</v>
      </c>
      <c r="B248" s="21" t="s">
        <v>491</v>
      </c>
      <c r="C248" s="21" t="s">
        <v>492</v>
      </c>
      <c r="D248" s="21" t="s">
        <v>493</v>
      </c>
      <c r="E248" s="21" t="s">
        <v>493</v>
      </c>
      <c r="F248" s="21" t="s">
        <v>493</v>
      </c>
      <c r="G248" s="21" t="s">
        <v>3469</v>
      </c>
      <c r="H248" s="21">
        <v>1156818559</v>
      </c>
      <c r="I248" s="21" t="s">
        <v>494</v>
      </c>
      <c r="J248" s="21" t="s">
        <v>3470</v>
      </c>
      <c r="L248" s="21" t="s">
        <v>495</v>
      </c>
      <c r="M248" s="21" t="s">
        <v>3471</v>
      </c>
      <c r="N248" s="21" t="s">
        <v>496</v>
      </c>
      <c r="O248" s="21" t="s">
        <v>69</v>
      </c>
      <c r="P248" s="21" t="s">
        <v>497</v>
      </c>
      <c r="Q248" s="21" t="s">
        <v>1168</v>
      </c>
      <c r="R248" s="21" t="s">
        <v>498</v>
      </c>
      <c r="S248" s="21" t="s">
        <v>499</v>
      </c>
      <c r="V248" s="21" t="s">
        <v>500</v>
      </c>
      <c r="W248" s="21" t="s">
        <v>501</v>
      </c>
      <c r="X248" s="21" t="s">
        <v>502</v>
      </c>
      <c r="Y248" s="21" t="s">
        <v>503</v>
      </c>
      <c r="Z248" s="21">
        <v>3035687753</v>
      </c>
      <c r="AA248" s="26">
        <v>42746</v>
      </c>
      <c r="AB248" s="26">
        <v>42746</v>
      </c>
      <c r="AC248" s="21" t="s">
        <v>504</v>
      </c>
      <c r="AD248" s="21" t="s">
        <v>505</v>
      </c>
      <c r="AE248" s="21" t="s">
        <v>500</v>
      </c>
      <c r="AF248" s="21" t="s">
        <v>549</v>
      </c>
      <c r="AG248" s="21" t="s">
        <v>555</v>
      </c>
      <c r="AH248" s="21" t="s">
        <v>556</v>
      </c>
      <c r="AI248" s="21" t="s">
        <v>1342</v>
      </c>
      <c r="AJ248" s="21" t="s">
        <v>526</v>
      </c>
      <c r="AK248" s="21" t="s">
        <v>494</v>
      </c>
      <c r="AL248" s="21" t="s">
        <v>527</v>
      </c>
      <c r="AM248" s="21" t="s">
        <v>527</v>
      </c>
      <c r="AN248" s="21" t="s">
        <v>527</v>
      </c>
      <c r="AO248" s="21" t="s">
        <v>528</v>
      </c>
      <c r="AS248" s="21" t="s">
        <v>511</v>
      </c>
      <c r="AT248" s="21" t="s">
        <v>512</v>
      </c>
      <c r="AW248" s="21">
        <v>0</v>
      </c>
      <c r="AX248" s="21">
        <v>2</v>
      </c>
      <c r="AY248" s="26"/>
      <c r="AZ248" s="26"/>
      <c r="BB248" s="26"/>
      <c r="BC248" s="21" t="s">
        <v>513</v>
      </c>
      <c r="BD248" s="21" t="s">
        <v>514</v>
      </c>
      <c r="BE248" s="21" t="s">
        <v>514</v>
      </c>
      <c r="BF248" s="21" t="s">
        <v>515</v>
      </c>
      <c r="BG248" s="21">
        <v>1</v>
      </c>
      <c r="BH248" s="21" t="s">
        <v>516</v>
      </c>
      <c r="BI248" s="21" t="s">
        <v>517</v>
      </c>
      <c r="BJ248" s="21" t="s">
        <v>516</v>
      </c>
      <c r="BK248" s="21" t="s">
        <v>516</v>
      </c>
      <c r="BM248" s="21" t="s">
        <v>42</v>
      </c>
      <c r="BN248" s="21" t="s">
        <v>246</v>
      </c>
      <c r="BO248" s="21" t="s">
        <v>518</v>
      </c>
      <c r="BP248" s="21" t="s">
        <v>519</v>
      </c>
      <c r="BQ248" s="21" t="s">
        <v>42</v>
      </c>
      <c r="BR248" s="21" t="s">
        <v>246</v>
      </c>
      <c r="BS248" s="21" t="s">
        <v>518</v>
      </c>
      <c r="BT248" s="21" t="s">
        <v>519</v>
      </c>
      <c r="BU248" s="21" t="s">
        <v>246</v>
      </c>
      <c r="CD248" s="21" t="s">
        <v>520</v>
      </c>
      <c r="CF248" s="21" t="s">
        <v>521</v>
      </c>
      <c r="CN248" s="26"/>
      <c r="DB248" s="24" t="s">
        <v>943</v>
      </c>
      <c r="DC248" s="21">
        <v>1</v>
      </c>
      <c r="DD248" s="21">
        <v>2</v>
      </c>
      <c r="DE248" s="22">
        <v>42749</v>
      </c>
      <c r="DF248" s="21" t="s">
        <v>3472</v>
      </c>
      <c r="DG248" s="21" t="s">
        <v>522</v>
      </c>
      <c r="DH248" s="21" t="s">
        <v>3473</v>
      </c>
      <c r="DI248" s="21" t="s">
        <v>495</v>
      </c>
      <c r="DJ248" s="21" t="s">
        <v>520</v>
      </c>
      <c r="DK248" s="26"/>
      <c r="DL248" s="26">
        <v>42758</v>
      </c>
      <c r="DM248" s="26">
        <v>42748</v>
      </c>
      <c r="DN248" s="21">
        <v>3100</v>
      </c>
      <c r="DO248" s="21">
        <v>10</v>
      </c>
      <c r="DP248" s="21">
        <v>1</v>
      </c>
      <c r="DQ248" s="21">
        <v>1</v>
      </c>
      <c r="DR248" s="21">
        <v>7</v>
      </c>
      <c r="DS248" s="21">
        <v>10</v>
      </c>
      <c r="DT248" s="21">
        <v>10</v>
      </c>
      <c r="DU248" s="21">
        <v>10</v>
      </c>
      <c r="DW248" s="21">
        <v>10</v>
      </c>
      <c r="EA248" s="21">
        <v>10</v>
      </c>
      <c r="EB248" s="21" t="s">
        <v>3474</v>
      </c>
      <c r="EC248" s="21" t="s">
        <v>1879</v>
      </c>
      <c r="EF248" s="25">
        <v>1</v>
      </c>
      <c r="EG248" s="25">
        <v>0</v>
      </c>
      <c r="EH248" s="25">
        <v>1</v>
      </c>
      <c r="EI248" s="25">
        <v>0</v>
      </c>
      <c r="EJ248" s="25" t="s">
        <v>62</v>
      </c>
      <c r="EK248" s="25" t="s">
        <v>247</v>
      </c>
      <c r="EL248" s="25" t="s">
        <v>247</v>
      </c>
      <c r="EM248" s="25" t="s">
        <v>276</v>
      </c>
      <c r="EN248" s="25" t="s">
        <v>39</v>
      </c>
      <c r="EO248" s="25" t="s">
        <v>39</v>
      </c>
      <c r="EP248" s="25" t="s">
        <v>92</v>
      </c>
      <c r="EQ248" s="25" t="s">
        <v>92</v>
      </c>
      <c r="ER248" s="25" t="s">
        <v>278</v>
      </c>
      <c r="ES248" s="25" t="s">
        <v>278</v>
      </c>
      <c r="ET248" s="25">
        <v>1</v>
      </c>
      <c r="EU248" s="25" t="s">
        <v>522</v>
      </c>
      <c r="EV248" s="25" t="s">
        <v>247</v>
      </c>
      <c r="EW248" s="25" t="s">
        <v>39</v>
      </c>
      <c r="EX248" s="25" t="s">
        <v>278</v>
      </c>
      <c r="EY248" s="20" t="e">
        <v>#N/A</v>
      </c>
    </row>
    <row r="249" spans="1:155">
      <c r="A249" s="21" t="s">
        <v>491</v>
      </c>
      <c r="B249" s="21" t="s">
        <v>491</v>
      </c>
      <c r="C249" s="21" t="s">
        <v>492</v>
      </c>
      <c r="D249" s="21" t="s">
        <v>493</v>
      </c>
      <c r="E249" s="21" t="s">
        <v>493</v>
      </c>
      <c r="F249" s="21" t="s">
        <v>493</v>
      </c>
      <c r="G249" s="21" t="s">
        <v>3475</v>
      </c>
      <c r="H249" s="21" t="s">
        <v>3476</v>
      </c>
      <c r="I249" s="21">
        <v>48991539023</v>
      </c>
      <c r="J249" s="21" t="s">
        <v>3477</v>
      </c>
      <c r="L249" s="21" t="s">
        <v>495</v>
      </c>
      <c r="M249" s="21" t="s">
        <v>3478</v>
      </c>
      <c r="N249" s="21" t="s">
        <v>496</v>
      </c>
      <c r="O249" s="21" t="s">
        <v>69</v>
      </c>
      <c r="P249" s="21" t="s">
        <v>497</v>
      </c>
      <c r="R249" s="21" t="s">
        <v>498</v>
      </c>
      <c r="S249" s="21" t="s">
        <v>499</v>
      </c>
      <c r="V249" s="21" t="s">
        <v>500</v>
      </c>
      <c r="W249" s="21" t="s">
        <v>501</v>
      </c>
      <c r="X249" s="21" t="s">
        <v>502</v>
      </c>
      <c r="Y249" s="21" t="s">
        <v>503</v>
      </c>
      <c r="Z249" s="21">
        <v>3035679456</v>
      </c>
      <c r="AA249" s="26">
        <v>42746</v>
      </c>
      <c r="AB249" s="26">
        <v>42746</v>
      </c>
      <c r="AC249" s="21" t="s">
        <v>504</v>
      </c>
      <c r="AD249" s="21" t="s">
        <v>505</v>
      </c>
      <c r="AE249" s="21" t="s">
        <v>1091</v>
      </c>
      <c r="AF249" s="21" t="s">
        <v>2524</v>
      </c>
      <c r="AG249" s="21" t="s">
        <v>2944</v>
      </c>
      <c r="AH249" s="21" t="s">
        <v>2945</v>
      </c>
      <c r="AI249" s="21" t="s">
        <v>3479</v>
      </c>
      <c r="AJ249" s="21" t="s">
        <v>526</v>
      </c>
      <c r="AK249" s="21" t="s">
        <v>494</v>
      </c>
      <c r="AL249" s="21" t="s">
        <v>527</v>
      </c>
      <c r="AM249" s="21" t="s">
        <v>527</v>
      </c>
      <c r="AN249" s="21" t="s">
        <v>527</v>
      </c>
      <c r="AO249" s="21" t="s">
        <v>528</v>
      </c>
      <c r="AS249" s="21" t="s">
        <v>511</v>
      </c>
      <c r="AT249" s="21" t="s">
        <v>512</v>
      </c>
      <c r="AW249" s="21">
        <v>0</v>
      </c>
      <c r="AX249" s="21">
        <v>2</v>
      </c>
      <c r="AY249" s="26"/>
      <c r="AZ249" s="26"/>
      <c r="BB249" s="26"/>
      <c r="BC249" s="21" t="s">
        <v>513</v>
      </c>
      <c r="BD249" s="21" t="s">
        <v>514</v>
      </c>
      <c r="BE249" s="21" t="s">
        <v>514</v>
      </c>
      <c r="BF249" s="21" t="s">
        <v>515</v>
      </c>
      <c r="BG249" s="21">
        <v>1</v>
      </c>
      <c r="BH249" s="21" t="s">
        <v>516</v>
      </c>
      <c r="BI249" s="21" t="s">
        <v>517</v>
      </c>
      <c r="BJ249" s="21" t="s">
        <v>516</v>
      </c>
      <c r="BK249" s="21" t="s">
        <v>516</v>
      </c>
      <c r="BM249" s="21" t="s">
        <v>13</v>
      </c>
      <c r="BN249" s="21" t="s">
        <v>56</v>
      </c>
      <c r="BO249" s="21" t="s">
        <v>518</v>
      </c>
      <c r="BP249" s="21" t="s">
        <v>519</v>
      </c>
      <c r="BQ249" s="21" t="s">
        <v>13</v>
      </c>
      <c r="BR249" s="21" t="s">
        <v>56</v>
      </c>
      <c r="BS249" s="21" t="s">
        <v>518</v>
      </c>
      <c r="BT249" s="21" t="s">
        <v>519</v>
      </c>
      <c r="BU249" s="21" t="s">
        <v>56</v>
      </c>
      <c r="CD249" s="21" t="s">
        <v>520</v>
      </c>
      <c r="CF249" s="21" t="s">
        <v>521</v>
      </c>
      <c r="CN249" s="26"/>
      <c r="DB249" s="24" t="s">
        <v>943</v>
      </c>
      <c r="DC249" s="21">
        <v>1</v>
      </c>
      <c r="DD249" s="21">
        <v>2</v>
      </c>
      <c r="DE249" s="22">
        <v>42749</v>
      </c>
      <c r="DF249" s="21" t="s">
        <v>3480</v>
      </c>
      <c r="DG249" s="21" t="s">
        <v>522</v>
      </c>
      <c r="DH249" s="21" t="s">
        <v>3481</v>
      </c>
      <c r="DI249" s="21" t="s">
        <v>495</v>
      </c>
      <c r="DJ249" s="21" t="s">
        <v>520</v>
      </c>
      <c r="DK249" s="26"/>
      <c r="DL249" s="26">
        <v>42758</v>
      </c>
      <c r="DM249" s="26">
        <v>42748</v>
      </c>
      <c r="DN249" s="21">
        <v>3100</v>
      </c>
      <c r="DO249" s="21">
        <v>10</v>
      </c>
      <c r="DP249" s="21">
        <v>1</v>
      </c>
      <c r="DQ249" s="21">
        <v>1</v>
      </c>
      <c r="DR249" s="21">
        <v>7</v>
      </c>
      <c r="DS249" s="21">
        <v>10</v>
      </c>
      <c r="DT249" s="21">
        <v>8</v>
      </c>
      <c r="DU249" s="21">
        <v>9</v>
      </c>
      <c r="DW249" s="21">
        <v>7</v>
      </c>
      <c r="EA249" s="21">
        <v>10</v>
      </c>
      <c r="EB249" s="21" t="s">
        <v>3482</v>
      </c>
      <c r="EC249" s="21" t="s">
        <v>1221</v>
      </c>
      <c r="EF249" s="25">
        <v>1</v>
      </c>
      <c r="EG249" s="25">
        <v>0</v>
      </c>
      <c r="EH249" s="25">
        <v>1</v>
      </c>
      <c r="EI249" s="25">
        <v>0</v>
      </c>
      <c r="EJ249" s="25" t="s">
        <v>62</v>
      </c>
      <c r="EK249" s="25" t="s">
        <v>57</v>
      </c>
      <c r="EL249" s="25" t="s">
        <v>57</v>
      </c>
      <c r="EM249" s="25" t="s">
        <v>276</v>
      </c>
      <c r="EN249" s="25" t="s">
        <v>9</v>
      </c>
      <c r="EO249" s="25" t="s">
        <v>9</v>
      </c>
      <c r="EP249" s="25" t="s">
        <v>62</v>
      </c>
      <c r="EQ249" s="25" t="s">
        <v>62</v>
      </c>
      <c r="ER249" s="25" t="s">
        <v>278</v>
      </c>
      <c r="ES249" s="25" t="s">
        <v>278</v>
      </c>
      <c r="ET249" s="25">
        <v>1</v>
      </c>
      <c r="EU249" s="25" t="s">
        <v>522</v>
      </c>
      <c r="EV249" s="25" t="s">
        <v>57</v>
      </c>
      <c r="EW249" s="25" t="s">
        <v>9</v>
      </c>
      <c r="EX249" s="25" t="s">
        <v>278</v>
      </c>
      <c r="EY249" s="20" t="e">
        <v>#N/A</v>
      </c>
    </row>
    <row r="250" spans="1:155">
      <c r="A250" s="21" t="s">
        <v>491</v>
      </c>
      <c r="B250" s="21" t="s">
        <v>491</v>
      </c>
      <c r="C250" s="21" t="s">
        <v>492</v>
      </c>
      <c r="D250" s="21" t="s">
        <v>493</v>
      </c>
      <c r="E250" s="21" t="s">
        <v>493</v>
      </c>
      <c r="F250" s="21" t="s">
        <v>493</v>
      </c>
      <c r="G250" s="21" t="s">
        <v>3483</v>
      </c>
      <c r="H250" s="21">
        <v>4132869831</v>
      </c>
      <c r="I250" s="21" t="s">
        <v>494</v>
      </c>
      <c r="J250" s="21" t="s">
        <v>3484</v>
      </c>
      <c r="L250" s="21" t="s">
        <v>495</v>
      </c>
      <c r="M250" s="21" t="s">
        <v>3485</v>
      </c>
      <c r="N250" s="21" t="s">
        <v>3486</v>
      </c>
      <c r="O250" s="21" t="s">
        <v>69</v>
      </c>
      <c r="P250" s="21" t="s">
        <v>497</v>
      </c>
      <c r="R250" s="21" t="s">
        <v>3487</v>
      </c>
      <c r="S250" s="21" t="s">
        <v>3488</v>
      </c>
      <c r="V250" s="21" t="s">
        <v>500</v>
      </c>
      <c r="W250" s="21" t="s">
        <v>501</v>
      </c>
      <c r="X250" s="21" t="s">
        <v>502</v>
      </c>
      <c r="Y250" s="21" t="s">
        <v>503</v>
      </c>
      <c r="Z250" s="21">
        <v>3035716228</v>
      </c>
      <c r="AA250" s="26">
        <v>42747</v>
      </c>
      <c r="AB250" s="26">
        <v>42747</v>
      </c>
      <c r="AC250" s="21" t="s">
        <v>504</v>
      </c>
      <c r="AD250" s="21" t="s">
        <v>505</v>
      </c>
      <c r="AE250" s="21" t="s">
        <v>500</v>
      </c>
      <c r="AF250" s="21" t="s">
        <v>564</v>
      </c>
      <c r="AG250" s="21" t="s">
        <v>1699</v>
      </c>
      <c r="AH250" s="21" t="s">
        <v>1700</v>
      </c>
      <c r="AI250" s="21" t="s">
        <v>3489</v>
      </c>
      <c r="AJ250" s="21" t="s">
        <v>507</v>
      </c>
      <c r="AK250" s="21" t="s">
        <v>494</v>
      </c>
      <c r="AL250" s="21" t="s">
        <v>508</v>
      </c>
      <c r="AM250" s="21" t="s">
        <v>509</v>
      </c>
      <c r="AN250" s="21" t="s">
        <v>509</v>
      </c>
      <c r="AO250" s="21" t="s">
        <v>510</v>
      </c>
      <c r="AS250" s="21" t="s">
        <v>511</v>
      </c>
      <c r="AT250" s="21" t="s">
        <v>512</v>
      </c>
      <c r="AW250" s="21">
        <v>0</v>
      </c>
      <c r="AX250" s="21">
        <v>2</v>
      </c>
      <c r="AY250" s="26"/>
      <c r="AZ250" s="26"/>
      <c r="BB250" s="26"/>
      <c r="BC250" s="21" t="s">
        <v>513</v>
      </c>
      <c r="BD250" s="21" t="s">
        <v>514</v>
      </c>
      <c r="BE250" s="21" t="s">
        <v>514</v>
      </c>
      <c r="BF250" s="21" t="s">
        <v>515</v>
      </c>
      <c r="BG250" s="21">
        <v>1</v>
      </c>
      <c r="BH250" s="21" t="s">
        <v>516</v>
      </c>
      <c r="BI250" s="21" t="s">
        <v>517</v>
      </c>
      <c r="BJ250" s="21" t="s">
        <v>516</v>
      </c>
      <c r="BK250" s="21" t="s">
        <v>516</v>
      </c>
      <c r="BM250" s="21" t="s">
        <v>25</v>
      </c>
      <c r="BN250" s="21" t="s">
        <v>135</v>
      </c>
      <c r="BO250" s="21" t="s">
        <v>518</v>
      </c>
      <c r="BP250" s="21" t="s">
        <v>519</v>
      </c>
      <c r="BQ250" s="21" t="s">
        <v>25</v>
      </c>
      <c r="BR250" s="21" t="s">
        <v>135</v>
      </c>
      <c r="BS250" s="21" t="s">
        <v>518</v>
      </c>
      <c r="BT250" s="21" t="s">
        <v>519</v>
      </c>
      <c r="BU250" s="21" t="s">
        <v>135</v>
      </c>
      <c r="CD250" s="21" t="s">
        <v>520</v>
      </c>
      <c r="CF250" s="21" t="s">
        <v>521</v>
      </c>
      <c r="CN250" s="26"/>
      <c r="DB250" s="24" t="s">
        <v>943</v>
      </c>
      <c r="DC250" s="21">
        <v>1</v>
      </c>
      <c r="DD250" s="21">
        <v>2</v>
      </c>
      <c r="DE250" s="22">
        <v>42749</v>
      </c>
      <c r="DF250" s="21" t="s">
        <v>3490</v>
      </c>
      <c r="DG250" s="21" t="s">
        <v>522</v>
      </c>
      <c r="DH250" s="21" t="s">
        <v>3491</v>
      </c>
      <c r="DI250" s="21" t="s">
        <v>495</v>
      </c>
      <c r="DJ250" s="21" t="s">
        <v>520</v>
      </c>
      <c r="DK250" s="26"/>
      <c r="DL250" s="26">
        <v>42759</v>
      </c>
      <c r="DM250" s="26">
        <v>42749</v>
      </c>
      <c r="DN250" s="21">
        <v>3100</v>
      </c>
      <c r="DO250" s="21">
        <v>10</v>
      </c>
      <c r="DP250" s="21">
        <v>1</v>
      </c>
      <c r="DQ250" s="21">
        <v>1</v>
      </c>
      <c r="DR250" s="21">
        <v>7</v>
      </c>
      <c r="DS250" s="21">
        <v>10</v>
      </c>
      <c r="DT250" s="21">
        <v>10</v>
      </c>
      <c r="DU250" s="21">
        <v>10</v>
      </c>
      <c r="DW250" s="21">
        <v>10</v>
      </c>
      <c r="EA250" s="21">
        <v>10</v>
      </c>
      <c r="EB250" s="21" t="s">
        <v>3492</v>
      </c>
      <c r="EC250" s="21" t="s">
        <v>1221</v>
      </c>
      <c r="EF250" s="25">
        <v>1</v>
      </c>
      <c r="EG250" s="25">
        <v>0</v>
      </c>
      <c r="EH250" s="25">
        <v>1</v>
      </c>
      <c r="EI250" s="25">
        <v>0</v>
      </c>
      <c r="EJ250" s="25" t="s">
        <v>62</v>
      </c>
      <c r="EK250" s="25" t="s">
        <v>136</v>
      </c>
      <c r="EL250" s="25" t="s">
        <v>136</v>
      </c>
      <c r="EM250" s="25" t="s">
        <v>276</v>
      </c>
      <c r="EN250" s="25" t="s">
        <v>23</v>
      </c>
      <c r="EO250" s="25" t="s">
        <v>23</v>
      </c>
      <c r="EP250" s="25" t="s">
        <v>62</v>
      </c>
      <c r="EQ250" s="25" t="s">
        <v>62</v>
      </c>
      <c r="ER250" s="25" t="s">
        <v>278</v>
      </c>
      <c r="ES250" s="25" t="s">
        <v>278</v>
      </c>
      <c r="ET250" s="25">
        <v>1</v>
      </c>
      <c r="EU250" s="25" t="s">
        <v>522</v>
      </c>
      <c r="EV250" s="25" t="s">
        <v>136</v>
      </c>
      <c r="EW250" s="25" t="s">
        <v>23</v>
      </c>
      <c r="EX250" s="25" t="s">
        <v>278</v>
      </c>
      <c r="EY250" s="20" t="e">
        <v>#N/A</v>
      </c>
    </row>
    <row r="251" spans="1:155">
      <c r="A251" s="21" t="s">
        <v>491</v>
      </c>
      <c r="B251" s="21" t="s">
        <v>491</v>
      </c>
      <c r="C251" s="21" t="s">
        <v>492</v>
      </c>
      <c r="D251" s="21" t="s">
        <v>493</v>
      </c>
      <c r="E251" s="21" t="s">
        <v>493</v>
      </c>
      <c r="F251" s="21" t="s">
        <v>493</v>
      </c>
      <c r="G251" s="21" t="s">
        <v>3493</v>
      </c>
      <c r="H251" s="21">
        <v>41999353500</v>
      </c>
      <c r="I251" s="21" t="s">
        <v>494</v>
      </c>
      <c r="J251" s="21" t="s">
        <v>3494</v>
      </c>
      <c r="L251" s="21" t="s">
        <v>495</v>
      </c>
      <c r="M251" s="21" t="s">
        <v>3495</v>
      </c>
      <c r="N251" s="21" t="s">
        <v>1051</v>
      </c>
      <c r="O251" s="21" t="s">
        <v>93</v>
      </c>
      <c r="P251" s="21" t="s">
        <v>539</v>
      </c>
      <c r="Q251" s="21" t="s">
        <v>1168</v>
      </c>
      <c r="R251" s="21" t="s">
        <v>1052</v>
      </c>
      <c r="S251" s="21" t="s">
        <v>1053</v>
      </c>
      <c r="V251" s="21" t="s">
        <v>277</v>
      </c>
      <c r="W251" s="21" t="s">
        <v>524</v>
      </c>
      <c r="X251" s="21" t="s">
        <v>525</v>
      </c>
      <c r="Y251" s="21" t="s">
        <v>530</v>
      </c>
      <c r="Z251" s="21">
        <v>3035484884</v>
      </c>
      <c r="AA251" s="26">
        <v>42739</v>
      </c>
      <c r="AB251" s="26">
        <v>42740</v>
      </c>
      <c r="AC251" s="21" t="s">
        <v>504</v>
      </c>
      <c r="AD251" s="21" t="s">
        <v>505</v>
      </c>
      <c r="AE251" s="21" t="s">
        <v>565</v>
      </c>
      <c r="AF251" s="21" t="s">
        <v>566</v>
      </c>
      <c r="AG251" s="21" t="s">
        <v>567</v>
      </c>
      <c r="AH251" s="21" t="s">
        <v>568</v>
      </c>
      <c r="AI251" s="21" t="s">
        <v>3496</v>
      </c>
      <c r="AJ251" s="21" t="s">
        <v>507</v>
      </c>
      <c r="AK251" s="21" t="s">
        <v>494</v>
      </c>
      <c r="AL251" s="21" t="s">
        <v>527</v>
      </c>
      <c r="AM251" s="21" t="s">
        <v>527</v>
      </c>
      <c r="AN251" s="21" t="s">
        <v>527</v>
      </c>
      <c r="AO251" s="21" t="s">
        <v>528</v>
      </c>
      <c r="AS251" s="21" t="s">
        <v>511</v>
      </c>
      <c r="AT251" s="21" t="s">
        <v>512</v>
      </c>
      <c r="AW251" s="21">
        <v>0</v>
      </c>
      <c r="AX251" s="21">
        <v>4</v>
      </c>
      <c r="AY251" s="26"/>
      <c r="AZ251" s="26"/>
      <c r="BB251" s="26"/>
      <c r="BC251" s="21" t="s">
        <v>513</v>
      </c>
      <c r="BD251" s="21" t="s">
        <v>514</v>
      </c>
      <c r="BE251" s="21" t="s">
        <v>514</v>
      </c>
      <c r="BF251" s="21" t="s">
        <v>515</v>
      </c>
      <c r="BG251" s="21">
        <v>1</v>
      </c>
      <c r="BH251" s="21" t="s">
        <v>516</v>
      </c>
      <c r="BI251" s="21" t="s">
        <v>517</v>
      </c>
      <c r="BJ251" s="21" t="s">
        <v>516</v>
      </c>
      <c r="BK251" s="21" t="s">
        <v>516</v>
      </c>
      <c r="BM251" s="21" t="s">
        <v>1252</v>
      </c>
      <c r="BN251" s="21" t="s">
        <v>225</v>
      </c>
      <c r="BO251" s="21" t="s">
        <v>518</v>
      </c>
      <c r="BP251" s="21" t="s">
        <v>1044</v>
      </c>
      <c r="BQ251" s="21" t="s">
        <v>38</v>
      </c>
      <c r="BR251" s="21" t="s">
        <v>238</v>
      </c>
      <c r="BS251" s="21" t="s">
        <v>518</v>
      </c>
      <c r="BT251" s="21" t="s">
        <v>1044</v>
      </c>
      <c r="BU251" s="21" t="s">
        <v>225</v>
      </c>
      <c r="CD251" s="21" t="s">
        <v>520</v>
      </c>
      <c r="CF251" s="21" t="s">
        <v>521</v>
      </c>
      <c r="CN251" s="26"/>
      <c r="DB251" s="24" t="s">
        <v>943</v>
      </c>
      <c r="DC251" s="21">
        <v>1</v>
      </c>
      <c r="DD251" s="21">
        <v>3</v>
      </c>
      <c r="DE251" s="22">
        <v>42750</v>
      </c>
      <c r="DF251" s="21" t="s">
        <v>3497</v>
      </c>
      <c r="DG251" s="21" t="s">
        <v>522</v>
      </c>
      <c r="DH251" s="21" t="s">
        <v>3498</v>
      </c>
      <c r="DI251" s="21" t="s">
        <v>495</v>
      </c>
      <c r="DJ251" s="21" t="s">
        <v>523</v>
      </c>
      <c r="DK251" s="26"/>
      <c r="DL251" s="26">
        <v>42752</v>
      </c>
      <c r="DM251" s="26">
        <v>42742</v>
      </c>
      <c r="DN251" s="21">
        <v>1100</v>
      </c>
      <c r="DO251" s="21">
        <v>10</v>
      </c>
      <c r="DP251" s="21">
        <v>1</v>
      </c>
      <c r="DQ251" s="21">
        <v>1</v>
      </c>
      <c r="DR251" s="21">
        <v>7</v>
      </c>
      <c r="DS251" s="21">
        <v>10</v>
      </c>
      <c r="DT251" s="21">
        <v>10</v>
      </c>
      <c r="DU251" s="21">
        <v>10</v>
      </c>
      <c r="DW251" s="21">
        <v>10</v>
      </c>
      <c r="EA251" s="21">
        <v>9</v>
      </c>
      <c r="EF251" s="25">
        <v>1</v>
      </c>
      <c r="EG251" s="25">
        <v>0</v>
      </c>
      <c r="EH251" s="25">
        <v>1</v>
      </c>
      <c r="EI251" s="25">
        <v>0</v>
      </c>
      <c r="EJ251" s="25" t="s">
        <v>92</v>
      </c>
      <c r="EK251" s="25" t="s">
        <v>226</v>
      </c>
      <c r="EL251" s="25" t="s">
        <v>239</v>
      </c>
      <c r="EM251" s="25" t="s">
        <v>276</v>
      </c>
      <c r="EN251" s="25" t="s">
        <v>39</v>
      </c>
      <c r="EO251" s="25" t="s">
        <v>39</v>
      </c>
      <c r="EP251" s="25" t="s">
        <v>92</v>
      </c>
      <c r="EQ251" s="25" t="s">
        <v>529</v>
      </c>
      <c r="ER251" s="25" t="s">
        <v>278</v>
      </c>
      <c r="ES251" s="25" t="s">
        <v>278</v>
      </c>
      <c r="ET251" s="25">
        <v>1</v>
      </c>
      <c r="EU251" s="25" t="s">
        <v>522</v>
      </c>
      <c r="EV251" s="25" t="s">
        <v>279</v>
      </c>
      <c r="EW251" s="25" t="s">
        <v>279</v>
      </c>
      <c r="EX251" s="25" t="s">
        <v>279</v>
      </c>
      <c r="EY251" s="20" t="e">
        <v>#N/A</v>
      </c>
    </row>
    <row r="252" spans="1:155">
      <c r="A252" s="21" t="s">
        <v>491</v>
      </c>
      <c r="B252" s="21" t="s">
        <v>491</v>
      </c>
      <c r="C252" s="21" t="s">
        <v>492</v>
      </c>
      <c r="D252" s="21" t="s">
        <v>493</v>
      </c>
      <c r="E252" s="21" t="s">
        <v>493</v>
      </c>
      <c r="F252" s="21" t="s">
        <v>493</v>
      </c>
      <c r="G252" s="21" t="s">
        <v>3499</v>
      </c>
      <c r="H252" s="21">
        <v>1122169665</v>
      </c>
      <c r="I252" s="21" t="s">
        <v>494</v>
      </c>
      <c r="J252" s="21" t="s">
        <v>3500</v>
      </c>
      <c r="L252" s="21" t="s">
        <v>495</v>
      </c>
      <c r="M252" s="21" t="s">
        <v>3501</v>
      </c>
      <c r="N252" s="21" t="s">
        <v>1438</v>
      </c>
      <c r="O252" s="21" t="s">
        <v>93</v>
      </c>
      <c r="P252" s="21" t="s">
        <v>539</v>
      </c>
      <c r="Q252" s="21" t="s">
        <v>1168</v>
      </c>
      <c r="R252" s="21" t="s">
        <v>1439</v>
      </c>
      <c r="S252" s="21" t="s">
        <v>1440</v>
      </c>
      <c r="V252" s="21" t="s">
        <v>277</v>
      </c>
      <c r="W252" s="21" t="s">
        <v>524</v>
      </c>
      <c r="X252" s="21" t="s">
        <v>525</v>
      </c>
      <c r="Y252" s="21" t="s">
        <v>530</v>
      </c>
      <c r="Z252" s="21">
        <v>3035553780</v>
      </c>
      <c r="AA252" s="26">
        <v>42741</v>
      </c>
      <c r="AB252" s="26">
        <v>42741</v>
      </c>
      <c r="AC252" s="21" t="s">
        <v>504</v>
      </c>
      <c r="AD252" s="21" t="s">
        <v>505</v>
      </c>
      <c r="AE252" s="21" t="s">
        <v>565</v>
      </c>
      <c r="AF252" s="21" t="s">
        <v>566</v>
      </c>
      <c r="AG252" s="21" t="s">
        <v>1743</v>
      </c>
      <c r="AH252" s="21" t="s">
        <v>1744</v>
      </c>
      <c r="AI252" s="21" t="s">
        <v>1287</v>
      </c>
      <c r="AJ252" s="21" t="s">
        <v>507</v>
      </c>
      <c r="AK252" s="21" t="s">
        <v>494</v>
      </c>
      <c r="AL252" s="21" t="s">
        <v>527</v>
      </c>
      <c r="AM252" s="21" t="s">
        <v>527</v>
      </c>
      <c r="AN252" s="21" t="s">
        <v>527</v>
      </c>
      <c r="AO252" s="21" t="s">
        <v>528</v>
      </c>
      <c r="AS252" s="21" t="s">
        <v>511</v>
      </c>
      <c r="AT252" s="21" t="s">
        <v>512</v>
      </c>
      <c r="AW252" s="21">
        <v>0</v>
      </c>
      <c r="AX252" s="21">
        <v>2</v>
      </c>
      <c r="AY252" s="26"/>
      <c r="AZ252" s="26"/>
      <c r="BB252" s="26"/>
      <c r="BC252" s="21" t="s">
        <v>513</v>
      </c>
      <c r="BD252" s="21" t="s">
        <v>514</v>
      </c>
      <c r="BE252" s="21" t="s">
        <v>514</v>
      </c>
      <c r="BF252" s="21" t="s">
        <v>515</v>
      </c>
      <c r="BG252" s="21">
        <v>1</v>
      </c>
      <c r="BH252" s="21" t="s">
        <v>516</v>
      </c>
      <c r="BI252" s="21" t="s">
        <v>517</v>
      </c>
      <c r="BJ252" s="21" t="s">
        <v>516</v>
      </c>
      <c r="BK252" s="21" t="s">
        <v>516</v>
      </c>
      <c r="BM252" s="21" t="s">
        <v>1288</v>
      </c>
      <c r="BN252" s="21" t="s">
        <v>234</v>
      </c>
      <c r="BO252" s="21" t="s">
        <v>518</v>
      </c>
      <c r="BP252" s="21" t="s">
        <v>1044</v>
      </c>
      <c r="BQ252" s="21" t="s">
        <v>1288</v>
      </c>
      <c r="BR252" s="21" t="s">
        <v>234</v>
      </c>
      <c r="BS252" s="21" t="s">
        <v>518</v>
      </c>
      <c r="BT252" s="21" t="s">
        <v>1044</v>
      </c>
      <c r="BU252" s="21" t="s">
        <v>234</v>
      </c>
      <c r="CD252" s="21" t="s">
        <v>520</v>
      </c>
      <c r="CF252" s="21" t="s">
        <v>521</v>
      </c>
      <c r="CN252" s="26"/>
      <c r="DB252" s="24" t="s">
        <v>943</v>
      </c>
      <c r="DC252" s="21">
        <v>1</v>
      </c>
      <c r="DD252" s="21">
        <v>3</v>
      </c>
      <c r="DE252" s="22">
        <v>42750</v>
      </c>
      <c r="DF252" s="21" t="s">
        <v>3502</v>
      </c>
      <c r="DG252" s="21" t="s">
        <v>522</v>
      </c>
      <c r="DH252" s="21" t="s">
        <v>3503</v>
      </c>
      <c r="DI252" s="21" t="s">
        <v>495</v>
      </c>
      <c r="DJ252" s="21" t="s">
        <v>523</v>
      </c>
      <c r="DK252" s="26"/>
      <c r="DL252" s="26">
        <v>42753</v>
      </c>
      <c r="DM252" s="26">
        <v>42743</v>
      </c>
      <c r="DN252" s="21">
        <v>1100</v>
      </c>
      <c r="DO252" s="21">
        <v>10</v>
      </c>
      <c r="DP252" s="21">
        <v>1</v>
      </c>
      <c r="DQ252" s="21">
        <v>1</v>
      </c>
      <c r="DR252" s="21">
        <v>5</v>
      </c>
      <c r="DS252" s="21">
        <v>10</v>
      </c>
      <c r="DT252" s="21">
        <v>10</v>
      </c>
      <c r="DU252" s="21">
        <v>10</v>
      </c>
      <c r="DW252" s="21">
        <v>10</v>
      </c>
      <c r="EA252" s="21">
        <v>9</v>
      </c>
      <c r="EB252" s="21" t="s">
        <v>3504</v>
      </c>
      <c r="EC252" s="21" t="s">
        <v>1221</v>
      </c>
      <c r="EF252" s="25">
        <v>1</v>
      </c>
      <c r="EG252" s="25">
        <v>0</v>
      </c>
      <c r="EH252" s="25">
        <v>1</v>
      </c>
      <c r="EI252" s="25">
        <v>0</v>
      </c>
      <c r="EJ252" s="25" t="s">
        <v>92</v>
      </c>
      <c r="EK252" s="25" t="s">
        <v>235</v>
      </c>
      <c r="EL252" s="25" t="s">
        <v>235</v>
      </c>
      <c r="EM252" s="25" t="s">
        <v>276</v>
      </c>
      <c r="EN252" s="25" t="s">
        <v>39</v>
      </c>
      <c r="EO252" s="25" t="s">
        <v>39</v>
      </c>
      <c r="EP252" s="25" t="s">
        <v>92</v>
      </c>
      <c r="EQ252" s="25" t="s">
        <v>92</v>
      </c>
      <c r="ER252" s="25" t="s">
        <v>278</v>
      </c>
      <c r="ES252" s="25" t="s">
        <v>278</v>
      </c>
      <c r="ET252" s="25">
        <v>1</v>
      </c>
      <c r="EU252" s="25" t="s">
        <v>522</v>
      </c>
      <c r="EV252" s="25" t="s">
        <v>235</v>
      </c>
      <c r="EW252" s="25" t="s">
        <v>39</v>
      </c>
      <c r="EX252" s="25" t="s">
        <v>278</v>
      </c>
      <c r="EY252" s="20" t="e">
        <v>#N/A</v>
      </c>
    </row>
    <row r="253" spans="1:155">
      <c r="A253" s="21" t="s">
        <v>491</v>
      </c>
      <c r="B253" s="21" t="s">
        <v>491</v>
      </c>
      <c r="C253" s="21" t="s">
        <v>492</v>
      </c>
      <c r="D253" s="21" t="s">
        <v>493</v>
      </c>
      <c r="E253" s="21" t="s">
        <v>493</v>
      </c>
      <c r="F253" s="21" t="s">
        <v>493</v>
      </c>
      <c r="G253" s="21" t="s">
        <v>3505</v>
      </c>
      <c r="H253" s="21" t="s">
        <v>3506</v>
      </c>
      <c r="I253" s="21" t="s">
        <v>494</v>
      </c>
      <c r="J253" s="21" t="s">
        <v>3507</v>
      </c>
      <c r="L253" s="21" t="s">
        <v>495</v>
      </c>
      <c r="M253" s="21" t="s">
        <v>3508</v>
      </c>
      <c r="N253" s="21" t="s">
        <v>496</v>
      </c>
      <c r="O253" s="21" t="s">
        <v>69</v>
      </c>
      <c r="P253" s="21" t="s">
        <v>497</v>
      </c>
      <c r="Q253" s="21" t="s">
        <v>1178</v>
      </c>
      <c r="R253" s="21" t="s">
        <v>498</v>
      </c>
      <c r="S253" s="21" t="s">
        <v>499</v>
      </c>
      <c r="V253" s="21" t="s">
        <v>500</v>
      </c>
      <c r="W253" s="21" t="s">
        <v>501</v>
      </c>
      <c r="X253" s="21" t="s">
        <v>502</v>
      </c>
      <c r="Y253" s="21" t="s">
        <v>503</v>
      </c>
      <c r="Z253" s="21">
        <v>3035604453</v>
      </c>
      <c r="AA253" s="26">
        <v>42744</v>
      </c>
      <c r="AB253" s="26">
        <v>42744</v>
      </c>
      <c r="AC253" s="21" t="s">
        <v>504</v>
      </c>
      <c r="AD253" s="21" t="s">
        <v>505</v>
      </c>
      <c r="AE253" s="21" t="s">
        <v>500</v>
      </c>
      <c r="AF253" s="21" t="s">
        <v>549</v>
      </c>
      <c r="AG253" s="21" t="s">
        <v>555</v>
      </c>
      <c r="AH253" s="21" t="s">
        <v>556</v>
      </c>
      <c r="AI253" s="21" t="s">
        <v>1772</v>
      </c>
      <c r="AJ253" s="21" t="s">
        <v>526</v>
      </c>
      <c r="AK253" s="21" t="s">
        <v>494</v>
      </c>
      <c r="AL253" s="21" t="s">
        <v>527</v>
      </c>
      <c r="AM253" s="21" t="s">
        <v>527</v>
      </c>
      <c r="AN253" s="21" t="s">
        <v>527</v>
      </c>
      <c r="AO253" s="21" t="s">
        <v>528</v>
      </c>
      <c r="AS253" s="21" t="s">
        <v>511</v>
      </c>
      <c r="AT253" s="21" t="s">
        <v>512</v>
      </c>
      <c r="AW253" s="21">
        <v>0</v>
      </c>
      <c r="AX253" s="21">
        <v>2</v>
      </c>
      <c r="AY253" s="26"/>
      <c r="AZ253" s="26"/>
      <c r="BB253" s="26"/>
      <c r="BC253" s="21" t="s">
        <v>513</v>
      </c>
      <c r="BD253" s="21" t="s">
        <v>514</v>
      </c>
      <c r="BE253" s="21" t="s">
        <v>514</v>
      </c>
      <c r="BF253" s="21" t="s">
        <v>515</v>
      </c>
      <c r="BG253" s="21">
        <v>1</v>
      </c>
      <c r="BH253" s="21" t="s">
        <v>516</v>
      </c>
      <c r="BI253" s="21" t="s">
        <v>517</v>
      </c>
      <c r="BJ253" s="21" t="s">
        <v>516</v>
      </c>
      <c r="BK253" s="21" t="s">
        <v>516</v>
      </c>
      <c r="BM253" s="21" t="s">
        <v>28</v>
      </c>
      <c r="BN253" s="21" t="s">
        <v>158</v>
      </c>
      <c r="BO253" s="21" t="s">
        <v>518</v>
      </c>
      <c r="BP253" s="21" t="s">
        <v>519</v>
      </c>
      <c r="BQ253" s="21" t="s">
        <v>28</v>
      </c>
      <c r="BR253" s="21" t="s">
        <v>158</v>
      </c>
      <c r="BS253" s="21" t="s">
        <v>518</v>
      </c>
      <c r="BT253" s="21" t="s">
        <v>519</v>
      </c>
      <c r="BU253" s="21" t="s">
        <v>158</v>
      </c>
      <c r="CD253" s="21" t="s">
        <v>520</v>
      </c>
      <c r="CF253" s="21" t="s">
        <v>521</v>
      </c>
      <c r="CN253" s="26"/>
      <c r="DB253" s="24" t="s">
        <v>943</v>
      </c>
      <c r="DC253" s="21">
        <v>1</v>
      </c>
      <c r="DD253" s="21">
        <v>3</v>
      </c>
      <c r="DE253" s="22">
        <v>42750</v>
      </c>
      <c r="DF253" s="21" t="s">
        <v>3509</v>
      </c>
      <c r="DG253" s="21" t="s">
        <v>522</v>
      </c>
      <c r="DH253" s="21" t="s">
        <v>3510</v>
      </c>
      <c r="DI253" s="21" t="s">
        <v>495</v>
      </c>
      <c r="DJ253" s="21" t="s">
        <v>523</v>
      </c>
      <c r="DK253" s="26"/>
      <c r="DL253" s="26">
        <v>42756</v>
      </c>
      <c r="DM253" s="26">
        <v>42746</v>
      </c>
      <c r="DN253" s="21">
        <v>3100</v>
      </c>
      <c r="DO253" s="21">
        <v>10</v>
      </c>
      <c r="DP253" s="21">
        <v>1</v>
      </c>
      <c r="DQ253" s="21">
        <v>1</v>
      </c>
      <c r="DR253" s="21">
        <v>5</v>
      </c>
      <c r="DS253" s="21">
        <v>10</v>
      </c>
      <c r="DT253" s="21">
        <v>10</v>
      </c>
      <c r="DU253" s="21">
        <v>10</v>
      </c>
      <c r="DW253" s="21">
        <v>10</v>
      </c>
      <c r="EA253" s="21">
        <v>6</v>
      </c>
      <c r="EB253" s="21" t="s">
        <v>3511</v>
      </c>
      <c r="EC253" s="21" t="s">
        <v>3670</v>
      </c>
      <c r="EF253" s="25">
        <v>0</v>
      </c>
      <c r="EG253" s="25">
        <v>1</v>
      </c>
      <c r="EH253" s="25">
        <v>1</v>
      </c>
      <c r="EI253" s="25">
        <v>0</v>
      </c>
      <c r="EJ253" s="25" t="s">
        <v>62</v>
      </c>
      <c r="EK253" s="25" t="s">
        <v>159</v>
      </c>
      <c r="EL253" s="25" t="s">
        <v>159</v>
      </c>
      <c r="EM253" s="25" t="s">
        <v>276</v>
      </c>
      <c r="EN253" s="25" t="s">
        <v>9</v>
      </c>
      <c r="EO253" s="25" t="s">
        <v>9</v>
      </c>
      <c r="EP253" s="25" t="s">
        <v>62</v>
      </c>
      <c r="EQ253" s="25" t="s">
        <v>62</v>
      </c>
      <c r="ER253" s="25" t="s">
        <v>278</v>
      </c>
      <c r="ES253" s="25" t="s">
        <v>278</v>
      </c>
      <c r="ET253" s="25">
        <v>1</v>
      </c>
      <c r="EU253" s="25" t="s">
        <v>522</v>
      </c>
      <c r="EV253" s="25" t="s">
        <v>159</v>
      </c>
      <c r="EW253" s="25" t="s">
        <v>9</v>
      </c>
      <c r="EX253" s="25" t="s">
        <v>278</v>
      </c>
      <c r="EY253" s="20" t="e">
        <v>#N/A</v>
      </c>
    </row>
    <row r="254" spans="1:155">
      <c r="A254" s="21" t="s">
        <v>491</v>
      </c>
      <c r="B254" s="21" t="s">
        <v>491</v>
      </c>
      <c r="C254" s="21" t="s">
        <v>492</v>
      </c>
      <c r="D254" s="21" t="s">
        <v>493</v>
      </c>
      <c r="E254" s="21" t="s">
        <v>493</v>
      </c>
      <c r="F254" s="21" t="s">
        <v>493</v>
      </c>
      <c r="G254" s="21" t="s">
        <v>3512</v>
      </c>
      <c r="H254" s="21" t="s">
        <v>3513</v>
      </c>
      <c r="I254" s="21" t="s">
        <v>494</v>
      </c>
      <c r="J254" s="21" t="s">
        <v>3514</v>
      </c>
      <c r="L254" s="21" t="s">
        <v>495</v>
      </c>
      <c r="M254" s="21" t="s">
        <v>3515</v>
      </c>
      <c r="N254" s="21" t="s">
        <v>496</v>
      </c>
      <c r="O254" s="21" t="s">
        <v>69</v>
      </c>
      <c r="P254" s="21" t="s">
        <v>497</v>
      </c>
      <c r="R254" s="21" t="s">
        <v>498</v>
      </c>
      <c r="S254" s="21" t="s">
        <v>499</v>
      </c>
      <c r="V254" s="21" t="s">
        <v>500</v>
      </c>
      <c r="W254" s="21" t="s">
        <v>501</v>
      </c>
      <c r="X254" s="21" t="s">
        <v>502</v>
      </c>
      <c r="Y254" s="21" t="s">
        <v>503</v>
      </c>
      <c r="Z254" s="21">
        <v>3035624891</v>
      </c>
      <c r="AA254" s="26">
        <v>42744</v>
      </c>
      <c r="AB254" s="26">
        <v>42744</v>
      </c>
      <c r="AC254" s="21" t="s">
        <v>504</v>
      </c>
      <c r="AD254" s="21" t="s">
        <v>505</v>
      </c>
      <c r="AE254" s="21" t="s">
        <v>500</v>
      </c>
      <c r="AF254" s="21" t="s">
        <v>549</v>
      </c>
      <c r="AG254" s="21" t="s">
        <v>555</v>
      </c>
      <c r="AH254" s="21" t="s">
        <v>556</v>
      </c>
      <c r="AI254" s="21" t="s">
        <v>2754</v>
      </c>
      <c r="AJ254" s="21" t="s">
        <v>526</v>
      </c>
      <c r="AK254" s="21" t="s">
        <v>494</v>
      </c>
      <c r="AL254" s="21" t="s">
        <v>527</v>
      </c>
      <c r="AM254" s="21" t="s">
        <v>527</v>
      </c>
      <c r="AN254" s="21" t="s">
        <v>527</v>
      </c>
      <c r="AO254" s="21" t="s">
        <v>528</v>
      </c>
      <c r="AS254" s="21" t="s">
        <v>511</v>
      </c>
      <c r="AT254" s="21" t="s">
        <v>512</v>
      </c>
      <c r="AW254" s="21">
        <v>0</v>
      </c>
      <c r="AX254" s="21">
        <v>1</v>
      </c>
      <c r="AY254" s="26"/>
      <c r="AZ254" s="26"/>
      <c r="BB254" s="26"/>
      <c r="BC254" s="21" t="s">
        <v>513</v>
      </c>
      <c r="BD254" s="21" t="s">
        <v>514</v>
      </c>
      <c r="BE254" s="21" t="s">
        <v>514</v>
      </c>
      <c r="BF254" s="21" t="s">
        <v>515</v>
      </c>
      <c r="BG254" s="21">
        <v>1</v>
      </c>
      <c r="BH254" s="21" t="s">
        <v>516</v>
      </c>
      <c r="BI254" s="21" t="s">
        <v>517</v>
      </c>
      <c r="BJ254" s="21" t="s">
        <v>516</v>
      </c>
      <c r="BK254" s="21" t="s">
        <v>516</v>
      </c>
      <c r="BM254" s="21" t="s">
        <v>29</v>
      </c>
      <c r="BN254" s="21" t="s">
        <v>129</v>
      </c>
      <c r="BO254" s="21" t="s">
        <v>518</v>
      </c>
      <c r="BP254" s="21" t="s">
        <v>519</v>
      </c>
      <c r="BQ254" s="21" t="s">
        <v>29</v>
      </c>
      <c r="BR254" s="21" t="s">
        <v>129</v>
      </c>
      <c r="BS254" s="21" t="s">
        <v>518</v>
      </c>
      <c r="BT254" s="21" t="s">
        <v>519</v>
      </c>
      <c r="BU254" s="21" t="s">
        <v>129</v>
      </c>
      <c r="CD254" s="21" t="s">
        <v>520</v>
      </c>
      <c r="CF254" s="21" t="s">
        <v>521</v>
      </c>
      <c r="CN254" s="26"/>
      <c r="DB254" s="24" t="s">
        <v>943</v>
      </c>
      <c r="DC254" s="21">
        <v>1</v>
      </c>
      <c r="DD254" s="21">
        <v>3</v>
      </c>
      <c r="DE254" s="22">
        <v>42750</v>
      </c>
      <c r="DF254" s="21" t="s">
        <v>3516</v>
      </c>
      <c r="DG254" s="21" t="s">
        <v>522</v>
      </c>
      <c r="DH254" s="21" t="s">
        <v>3517</v>
      </c>
      <c r="DI254" s="21" t="s">
        <v>495</v>
      </c>
      <c r="DJ254" s="21" t="s">
        <v>523</v>
      </c>
      <c r="DK254" s="26"/>
      <c r="DL254" s="26">
        <v>42756</v>
      </c>
      <c r="DM254" s="26">
        <v>42746</v>
      </c>
      <c r="DN254" s="21">
        <v>3100</v>
      </c>
      <c r="DO254" s="21">
        <v>0</v>
      </c>
      <c r="DP254" s="21">
        <v>2</v>
      </c>
      <c r="DQ254" s="21">
        <v>2</v>
      </c>
      <c r="DR254" s="21">
        <v>1</v>
      </c>
      <c r="DS254" s="21">
        <v>10</v>
      </c>
      <c r="DT254" s="21">
        <v>10</v>
      </c>
      <c r="DU254" s="21">
        <v>10</v>
      </c>
      <c r="DW254" s="21">
        <v>0</v>
      </c>
      <c r="EA254" s="21">
        <v>0</v>
      </c>
      <c r="EB254" s="21" t="s">
        <v>3518</v>
      </c>
      <c r="EC254" s="21" t="s">
        <v>3671</v>
      </c>
      <c r="EF254" s="25">
        <v>0</v>
      </c>
      <c r="EG254" s="25">
        <v>1</v>
      </c>
      <c r="EH254" s="25">
        <v>0</v>
      </c>
      <c r="EI254" s="25">
        <v>1</v>
      </c>
      <c r="EJ254" s="25" t="s">
        <v>62</v>
      </c>
      <c r="EK254" s="25" t="s">
        <v>130</v>
      </c>
      <c r="EL254" s="25" t="s">
        <v>130</v>
      </c>
      <c r="EM254" s="25" t="s">
        <v>276</v>
      </c>
      <c r="EN254" s="25" t="s">
        <v>23</v>
      </c>
      <c r="EO254" s="25" t="s">
        <v>23</v>
      </c>
      <c r="EP254" s="25" t="s">
        <v>62</v>
      </c>
      <c r="EQ254" s="25" t="s">
        <v>62</v>
      </c>
      <c r="ER254" s="25" t="s">
        <v>278</v>
      </c>
      <c r="ES254" s="25" t="s">
        <v>278</v>
      </c>
      <c r="ET254" s="25">
        <v>1</v>
      </c>
      <c r="EU254" s="25" t="s">
        <v>522</v>
      </c>
      <c r="EV254" s="25" t="s">
        <v>130</v>
      </c>
      <c r="EW254" s="25" t="s">
        <v>23</v>
      </c>
      <c r="EX254" s="25" t="s">
        <v>278</v>
      </c>
      <c r="EY254" s="20" t="e">
        <v>#N/A</v>
      </c>
    </row>
    <row r="255" spans="1:155">
      <c r="A255" s="21" t="s">
        <v>491</v>
      </c>
      <c r="B255" s="21" t="s">
        <v>491</v>
      </c>
      <c r="C255" s="21" t="s">
        <v>492</v>
      </c>
      <c r="D255" s="21" t="s">
        <v>493</v>
      </c>
      <c r="E255" s="21" t="s">
        <v>493</v>
      </c>
      <c r="F255" s="21" t="s">
        <v>493</v>
      </c>
      <c r="G255" s="21" t="s">
        <v>3519</v>
      </c>
      <c r="H255" s="21">
        <v>1125923676</v>
      </c>
      <c r="I255" s="21" t="s">
        <v>494</v>
      </c>
      <c r="J255" s="21" t="s">
        <v>3520</v>
      </c>
      <c r="L255" s="21" t="s">
        <v>495</v>
      </c>
      <c r="M255" s="21" t="s">
        <v>3521</v>
      </c>
      <c r="N255" s="21" t="s">
        <v>496</v>
      </c>
      <c r="O255" s="21" t="s">
        <v>69</v>
      </c>
      <c r="P255" s="21" t="s">
        <v>497</v>
      </c>
      <c r="Q255" s="21" t="s">
        <v>597</v>
      </c>
      <c r="R255" s="21" t="s">
        <v>498</v>
      </c>
      <c r="S255" s="21" t="s">
        <v>499</v>
      </c>
      <c r="V255" s="21" t="s">
        <v>500</v>
      </c>
      <c r="W255" s="21" t="s">
        <v>501</v>
      </c>
      <c r="X255" s="21" t="s">
        <v>502</v>
      </c>
      <c r="Y255" s="21" t="s">
        <v>503</v>
      </c>
      <c r="Z255" s="21">
        <v>3035604204</v>
      </c>
      <c r="AA255" s="26">
        <v>42744</v>
      </c>
      <c r="AB255" s="26">
        <v>42744</v>
      </c>
      <c r="AC255" s="21" t="s">
        <v>504</v>
      </c>
      <c r="AD255" s="21" t="s">
        <v>505</v>
      </c>
      <c r="AE255" s="21" t="s">
        <v>500</v>
      </c>
      <c r="AF255" s="21" t="s">
        <v>506</v>
      </c>
      <c r="AG255" s="21" t="s">
        <v>1079</v>
      </c>
      <c r="AH255" s="21" t="s">
        <v>1080</v>
      </c>
      <c r="AI255" s="21" t="s">
        <v>3522</v>
      </c>
      <c r="AJ255" s="21" t="s">
        <v>507</v>
      </c>
      <c r="AK255" s="21" t="s">
        <v>494</v>
      </c>
      <c r="AL255" s="21" t="s">
        <v>527</v>
      </c>
      <c r="AM255" s="21" t="s">
        <v>527</v>
      </c>
      <c r="AN255" s="21" t="s">
        <v>527</v>
      </c>
      <c r="AO255" s="21" t="s">
        <v>528</v>
      </c>
      <c r="AS255" s="21" t="s">
        <v>511</v>
      </c>
      <c r="AT255" s="21" t="s">
        <v>512</v>
      </c>
      <c r="AW255" s="21">
        <v>0</v>
      </c>
      <c r="AX255" s="21">
        <v>2</v>
      </c>
      <c r="AY255" s="26"/>
      <c r="AZ255" s="26"/>
      <c r="BB255" s="26"/>
      <c r="BC255" s="21" t="s">
        <v>513</v>
      </c>
      <c r="BD255" s="21" t="s">
        <v>514</v>
      </c>
      <c r="BE255" s="21" t="s">
        <v>514</v>
      </c>
      <c r="BF255" s="21" t="s">
        <v>515</v>
      </c>
      <c r="BG255" s="21">
        <v>1</v>
      </c>
      <c r="BH255" s="21" t="s">
        <v>516</v>
      </c>
      <c r="BI255" s="21" t="s">
        <v>517</v>
      </c>
      <c r="BJ255" s="21" t="s">
        <v>516</v>
      </c>
      <c r="BK255" s="21" t="s">
        <v>516</v>
      </c>
      <c r="BM255" s="21" t="s">
        <v>2692</v>
      </c>
      <c r="BN255" s="21" t="s">
        <v>3043</v>
      </c>
      <c r="BO255" s="21" t="s">
        <v>518</v>
      </c>
      <c r="BP255" s="21" t="s">
        <v>519</v>
      </c>
      <c r="BQ255" s="21" t="s">
        <v>2692</v>
      </c>
      <c r="BR255" s="21" t="s">
        <v>3043</v>
      </c>
      <c r="BS255" s="21" t="s">
        <v>518</v>
      </c>
      <c r="BT255" s="21" t="s">
        <v>519</v>
      </c>
      <c r="BU255" s="21" t="s">
        <v>3043</v>
      </c>
      <c r="CD255" s="21" t="s">
        <v>520</v>
      </c>
      <c r="CF255" s="21" t="s">
        <v>521</v>
      </c>
      <c r="CN255" s="26"/>
      <c r="DB255" s="24" t="s">
        <v>943</v>
      </c>
      <c r="DC255" s="21">
        <v>1</v>
      </c>
      <c r="DD255" s="21">
        <v>3</v>
      </c>
      <c r="DE255" s="22">
        <v>42750</v>
      </c>
      <c r="DF255" s="21" t="s">
        <v>3523</v>
      </c>
      <c r="DG255" s="21" t="s">
        <v>522</v>
      </c>
      <c r="DH255" s="21" t="s">
        <v>3524</v>
      </c>
      <c r="DI255" s="21" t="s">
        <v>495</v>
      </c>
      <c r="DJ255" s="21" t="s">
        <v>523</v>
      </c>
      <c r="DK255" s="26"/>
      <c r="DL255" s="26">
        <v>42756</v>
      </c>
      <c r="DM255" s="26">
        <v>42746</v>
      </c>
      <c r="DN255" s="21">
        <v>3100</v>
      </c>
      <c r="DO255" s="21">
        <v>10</v>
      </c>
      <c r="DP255" s="21">
        <v>1</v>
      </c>
      <c r="DQ255" s="21">
        <v>1</v>
      </c>
      <c r="DR255" s="21">
        <v>6</v>
      </c>
      <c r="DS255" s="21">
        <v>10</v>
      </c>
      <c r="DT255" s="21">
        <v>10</v>
      </c>
      <c r="DU255" s="21">
        <v>10</v>
      </c>
      <c r="DW255" s="21">
        <v>10</v>
      </c>
      <c r="EA255" s="21">
        <v>10</v>
      </c>
      <c r="EF255" s="25">
        <v>1</v>
      </c>
      <c r="EG255" s="25">
        <v>0</v>
      </c>
      <c r="EH255" s="25">
        <v>1</v>
      </c>
      <c r="EI255" s="25">
        <v>0</v>
      </c>
      <c r="EJ255" s="25" t="s">
        <v>62</v>
      </c>
      <c r="EK255" s="25" t="s">
        <v>3044</v>
      </c>
      <c r="EL255" s="25" t="s">
        <v>3044</v>
      </c>
      <c r="EM255" s="25" t="s">
        <v>276</v>
      </c>
      <c r="EN255" s="25" t="s">
        <v>31</v>
      </c>
      <c r="EO255" s="25" t="s">
        <v>31</v>
      </c>
      <c r="EP255" s="25" t="s">
        <v>62</v>
      </c>
      <c r="EQ255" s="25" t="s">
        <v>62</v>
      </c>
      <c r="ER255" s="25" t="s">
        <v>278</v>
      </c>
      <c r="ES255" s="25" t="s">
        <v>278</v>
      </c>
      <c r="ET255" s="25">
        <v>1</v>
      </c>
      <c r="EU255" s="25" t="s">
        <v>522</v>
      </c>
      <c r="EV255" s="25" t="s">
        <v>3044</v>
      </c>
      <c r="EW255" s="25" t="s">
        <v>31</v>
      </c>
      <c r="EX255" s="25" t="s">
        <v>278</v>
      </c>
      <c r="EY255" s="20" t="e">
        <v>#N/A</v>
      </c>
    </row>
    <row r="256" spans="1:155">
      <c r="A256" s="21" t="s">
        <v>491</v>
      </c>
      <c r="B256" s="21" t="s">
        <v>491</v>
      </c>
      <c r="C256" s="21" t="s">
        <v>492</v>
      </c>
      <c r="D256" s="21" t="s">
        <v>493</v>
      </c>
      <c r="E256" s="21" t="s">
        <v>493</v>
      </c>
      <c r="F256" s="21" t="s">
        <v>493</v>
      </c>
      <c r="G256" s="21" t="s">
        <v>3525</v>
      </c>
      <c r="H256" s="21" t="s">
        <v>3526</v>
      </c>
      <c r="I256" s="21" t="s">
        <v>494</v>
      </c>
      <c r="J256" s="21" t="s">
        <v>3527</v>
      </c>
      <c r="L256" s="21" t="s">
        <v>495</v>
      </c>
      <c r="M256" s="21" t="s">
        <v>3528</v>
      </c>
      <c r="N256" s="21" t="s">
        <v>3529</v>
      </c>
      <c r="O256" s="21" t="s">
        <v>93</v>
      </c>
      <c r="P256" s="21" t="s">
        <v>539</v>
      </c>
      <c r="R256" s="21" t="s">
        <v>3530</v>
      </c>
      <c r="S256" s="21" t="s">
        <v>559</v>
      </c>
      <c r="V256" s="21" t="s">
        <v>277</v>
      </c>
      <c r="W256" s="21" t="s">
        <v>524</v>
      </c>
      <c r="X256" s="21" t="s">
        <v>525</v>
      </c>
      <c r="Y256" s="21" t="s">
        <v>530</v>
      </c>
      <c r="Z256" s="21">
        <v>3035649539</v>
      </c>
      <c r="AA256" s="26">
        <v>42745</v>
      </c>
      <c r="AB256" s="26">
        <v>42745</v>
      </c>
      <c r="AC256" s="21" t="s">
        <v>504</v>
      </c>
      <c r="AD256" s="21" t="s">
        <v>505</v>
      </c>
      <c r="AE256" s="21" t="s">
        <v>1054</v>
      </c>
      <c r="AF256" s="21" t="s">
        <v>1055</v>
      </c>
      <c r="AG256" s="21" t="s">
        <v>1662</v>
      </c>
      <c r="AH256" s="21" t="s">
        <v>1663</v>
      </c>
      <c r="AI256" s="21" t="s">
        <v>3531</v>
      </c>
      <c r="AJ256" s="21" t="s">
        <v>526</v>
      </c>
      <c r="AK256" s="21" t="s">
        <v>494</v>
      </c>
      <c r="AL256" s="21" t="s">
        <v>527</v>
      </c>
      <c r="AM256" s="21" t="s">
        <v>527</v>
      </c>
      <c r="AN256" s="21" t="s">
        <v>527</v>
      </c>
      <c r="AO256" s="21" t="s">
        <v>528</v>
      </c>
      <c r="AS256" s="21" t="s">
        <v>511</v>
      </c>
      <c r="AT256" s="21" t="s">
        <v>512</v>
      </c>
      <c r="AW256" s="21">
        <v>0</v>
      </c>
      <c r="AX256" s="21">
        <v>3</v>
      </c>
      <c r="AY256" s="26"/>
      <c r="AZ256" s="26"/>
      <c r="BB256" s="26"/>
      <c r="BC256" s="21" t="s">
        <v>513</v>
      </c>
      <c r="BD256" s="21" t="s">
        <v>514</v>
      </c>
      <c r="BE256" s="21" t="s">
        <v>514</v>
      </c>
      <c r="BF256" s="21" t="s">
        <v>515</v>
      </c>
      <c r="BG256" s="21">
        <v>1</v>
      </c>
      <c r="BH256" s="21" t="s">
        <v>516</v>
      </c>
      <c r="BI256" s="21" t="s">
        <v>517</v>
      </c>
      <c r="BJ256" s="21" t="s">
        <v>516</v>
      </c>
      <c r="BK256" s="21" t="s">
        <v>516</v>
      </c>
      <c r="BM256" s="21" t="s">
        <v>36</v>
      </c>
      <c r="BN256" s="21" t="s">
        <v>223</v>
      </c>
      <c r="BO256" s="21" t="s">
        <v>518</v>
      </c>
      <c r="BP256" s="21" t="s">
        <v>519</v>
      </c>
      <c r="BQ256" s="21" t="s">
        <v>36</v>
      </c>
      <c r="BR256" s="21" t="s">
        <v>223</v>
      </c>
      <c r="BS256" s="21" t="s">
        <v>518</v>
      </c>
      <c r="BT256" s="21" t="s">
        <v>519</v>
      </c>
      <c r="BU256" s="21" t="s">
        <v>223</v>
      </c>
      <c r="CD256" s="21" t="s">
        <v>520</v>
      </c>
      <c r="CF256" s="21" t="s">
        <v>521</v>
      </c>
      <c r="CN256" s="26"/>
      <c r="DB256" s="24" t="s">
        <v>943</v>
      </c>
      <c r="DC256" s="21">
        <v>1</v>
      </c>
      <c r="DD256" s="21">
        <v>3</v>
      </c>
      <c r="DE256" s="22">
        <v>42750</v>
      </c>
      <c r="DF256" s="21" t="s">
        <v>3532</v>
      </c>
      <c r="DG256" s="21" t="s">
        <v>522</v>
      </c>
      <c r="DH256" s="21" t="s">
        <v>3533</v>
      </c>
      <c r="DI256" s="21" t="s">
        <v>495</v>
      </c>
      <c r="DJ256" s="21" t="s">
        <v>520</v>
      </c>
      <c r="DK256" s="26"/>
      <c r="DL256" s="26">
        <v>42757</v>
      </c>
      <c r="DM256" s="26">
        <v>42747</v>
      </c>
      <c r="DN256" s="21">
        <v>1100</v>
      </c>
      <c r="DO256" s="21">
        <v>9</v>
      </c>
      <c r="DP256" s="21">
        <v>1</v>
      </c>
      <c r="DQ256" s="21">
        <v>2</v>
      </c>
      <c r="DR256" s="21">
        <v>1</v>
      </c>
      <c r="DS256" s="21">
        <v>10</v>
      </c>
      <c r="DT256" s="21">
        <v>10</v>
      </c>
      <c r="DU256" s="21">
        <v>9</v>
      </c>
      <c r="DW256" s="21">
        <v>5</v>
      </c>
      <c r="EA256" s="21">
        <v>3</v>
      </c>
      <c r="EB256" s="21" t="s">
        <v>3534</v>
      </c>
      <c r="EC256" s="21" t="s">
        <v>1221</v>
      </c>
      <c r="EF256" s="25">
        <v>0</v>
      </c>
      <c r="EG256" s="25">
        <v>1</v>
      </c>
      <c r="EH256" s="25">
        <v>1</v>
      </c>
      <c r="EI256" s="25">
        <v>0</v>
      </c>
      <c r="EJ256" s="25" t="s">
        <v>92</v>
      </c>
      <c r="EK256" s="25" t="s">
        <v>224</v>
      </c>
      <c r="EL256" s="25" t="s">
        <v>224</v>
      </c>
      <c r="EM256" s="25" t="s">
        <v>276</v>
      </c>
      <c r="EN256" s="25" t="s">
        <v>31</v>
      </c>
      <c r="EO256" s="25" t="s">
        <v>31</v>
      </c>
      <c r="EP256" s="25" t="s">
        <v>92</v>
      </c>
      <c r="EQ256" s="25" t="s">
        <v>92</v>
      </c>
      <c r="ER256" s="25" t="s">
        <v>278</v>
      </c>
      <c r="ES256" s="25" t="s">
        <v>278</v>
      </c>
      <c r="ET256" s="25">
        <v>1</v>
      </c>
      <c r="EU256" s="25" t="s">
        <v>522</v>
      </c>
      <c r="EV256" s="25" t="s">
        <v>224</v>
      </c>
      <c r="EW256" s="25" t="s">
        <v>31</v>
      </c>
      <c r="EX256" s="25" t="s">
        <v>278</v>
      </c>
      <c r="EY256" s="20" t="e">
        <v>#N/A</v>
      </c>
    </row>
    <row r="257" spans="1:155">
      <c r="A257" s="21" t="s">
        <v>491</v>
      </c>
      <c r="B257" s="21" t="s">
        <v>491</v>
      </c>
      <c r="C257" s="21" t="s">
        <v>492</v>
      </c>
      <c r="D257" s="21" t="s">
        <v>493</v>
      </c>
      <c r="E257" s="21" t="s">
        <v>493</v>
      </c>
      <c r="F257" s="21" t="s">
        <v>493</v>
      </c>
      <c r="G257" s="21" t="s">
        <v>3535</v>
      </c>
      <c r="H257" s="21">
        <v>21968828998</v>
      </c>
      <c r="I257" s="21" t="s">
        <v>494</v>
      </c>
      <c r="J257" s="21" t="s">
        <v>3536</v>
      </c>
      <c r="L257" s="21" t="s">
        <v>495</v>
      </c>
      <c r="M257" s="21" t="s">
        <v>3537</v>
      </c>
      <c r="N257" s="21" t="s">
        <v>496</v>
      </c>
      <c r="O257" s="21" t="s">
        <v>69</v>
      </c>
      <c r="P257" s="21" t="s">
        <v>497</v>
      </c>
      <c r="R257" s="21" t="s">
        <v>498</v>
      </c>
      <c r="S257" s="21" t="s">
        <v>499</v>
      </c>
      <c r="V257" s="21" t="s">
        <v>500</v>
      </c>
      <c r="W257" s="21" t="s">
        <v>501</v>
      </c>
      <c r="X257" s="21" t="s">
        <v>502</v>
      </c>
      <c r="Y257" s="21" t="s">
        <v>503</v>
      </c>
      <c r="Z257" s="21">
        <v>3035640938</v>
      </c>
      <c r="AA257" s="26">
        <v>42745</v>
      </c>
      <c r="AB257" s="26">
        <v>42745</v>
      </c>
      <c r="AC257" s="21" t="s">
        <v>504</v>
      </c>
      <c r="AD257" s="21" t="s">
        <v>505</v>
      </c>
      <c r="AE257" s="21" t="s">
        <v>500</v>
      </c>
      <c r="AF257" s="21" t="s">
        <v>549</v>
      </c>
      <c r="AG257" s="21" t="s">
        <v>555</v>
      </c>
      <c r="AH257" s="21" t="s">
        <v>556</v>
      </c>
      <c r="AI257" s="21" t="s">
        <v>3538</v>
      </c>
      <c r="AJ257" s="21" t="s">
        <v>526</v>
      </c>
      <c r="AK257" s="21" t="s">
        <v>494</v>
      </c>
      <c r="AL257" s="21" t="s">
        <v>527</v>
      </c>
      <c r="AM257" s="21" t="s">
        <v>527</v>
      </c>
      <c r="AN257" s="21" t="s">
        <v>527</v>
      </c>
      <c r="AO257" s="21" t="s">
        <v>528</v>
      </c>
      <c r="AS257" s="21" t="s">
        <v>511</v>
      </c>
      <c r="AT257" s="21" t="s">
        <v>512</v>
      </c>
      <c r="AW257" s="21">
        <v>0</v>
      </c>
      <c r="AX257" s="21">
        <v>2</v>
      </c>
      <c r="AY257" s="26"/>
      <c r="AZ257" s="26"/>
      <c r="BB257" s="26"/>
      <c r="BC257" s="21" t="s">
        <v>513</v>
      </c>
      <c r="BD257" s="21" t="s">
        <v>514</v>
      </c>
      <c r="BE257" s="21" t="s">
        <v>514</v>
      </c>
      <c r="BF257" s="21" t="s">
        <v>515</v>
      </c>
      <c r="BG257" s="21">
        <v>1</v>
      </c>
      <c r="BH257" s="21" t="s">
        <v>516</v>
      </c>
      <c r="BI257" s="21" t="s">
        <v>517</v>
      </c>
      <c r="BJ257" s="21" t="s">
        <v>516</v>
      </c>
      <c r="BK257" s="21" t="s">
        <v>516</v>
      </c>
      <c r="BM257" s="21" t="s">
        <v>18</v>
      </c>
      <c r="BN257" s="21" t="s">
        <v>73</v>
      </c>
      <c r="BO257" s="21" t="s">
        <v>518</v>
      </c>
      <c r="BP257" s="21" t="s">
        <v>519</v>
      </c>
      <c r="BQ257" s="21" t="s">
        <v>18</v>
      </c>
      <c r="BR257" s="21" t="s">
        <v>73</v>
      </c>
      <c r="BS257" s="21" t="s">
        <v>518</v>
      </c>
      <c r="BT257" s="21" t="s">
        <v>519</v>
      </c>
      <c r="BU257" s="21" t="s">
        <v>73</v>
      </c>
      <c r="CD257" s="21" t="s">
        <v>520</v>
      </c>
      <c r="CF257" s="21" t="s">
        <v>521</v>
      </c>
      <c r="CN257" s="26"/>
      <c r="DB257" s="24" t="s">
        <v>943</v>
      </c>
      <c r="DC257" s="21">
        <v>1</v>
      </c>
      <c r="DD257" s="21">
        <v>3</v>
      </c>
      <c r="DE257" s="22">
        <v>42750</v>
      </c>
      <c r="DF257" s="21" t="s">
        <v>3539</v>
      </c>
      <c r="DG257" s="21" t="s">
        <v>522</v>
      </c>
      <c r="DH257" s="21" t="s">
        <v>3540</v>
      </c>
      <c r="DI257" s="21" t="s">
        <v>495</v>
      </c>
      <c r="DJ257" s="21" t="s">
        <v>520</v>
      </c>
      <c r="DK257" s="26"/>
      <c r="DL257" s="26">
        <v>42757</v>
      </c>
      <c r="DM257" s="26">
        <v>42747</v>
      </c>
      <c r="DN257" s="21">
        <v>3100</v>
      </c>
      <c r="DO257" s="21">
        <v>10</v>
      </c>
      <c r="DP257" s="21">
        <v>1</v>
      </c>
      <c r="DQ257" s="21">
        <v>2</v>
      </c>
      <c r="DR257" s="21">
        <v>6</v>
      </c>
      <c r="DS257" s="21">
        <v>10</v>
      </c>
      <c r="DT257" s="21">
        <v>10</v>
      </c>
      <c r="DU257" s="21">
        <v>10</v>
      </c>
      <c r="DW257" s="21">
        <v>10</v>
      </c>
      <c r="EA257" s="21">
        <v>10</v>
      </c>
      <c r="EF257" s="25">
        <v>1</v>
      </c>
      <c r="EG257" s="25">
        <v>0</v>
      </c>
      <c r="EH257" s="25">
        <v>1</v>
      </c>
      <c r="EI257" s="25">
        <v>0</v>
      </c>
      <c r="EJ257" s="25" t="s">
        <v>62</v>
      </c>
      <c r="EK257" s="25" t="s">
        <v>74</v>
      </c>
      <c r="EL257" s="25" t="s">
        <v>74</v>
      </c>
      <c r="EM257" s="25" t="s">
        <v>276</v>
      </c>
      <c r="EN257" s="25" t="s">
        <v>9</v>
      </c>
      <c r="EO257" s="25" t="s">
        <v>9</v>
      </c>
      <c r="EP257" s="25" t="s">
        <v>62</v>
      </c>
      <c r="EQ257" s="25" t="s">
        <v>62</v>
      </c>
      <c r="ER257" s="25" t="s">
        <v>278</v>
      </c>
      <c r="ES257" s="25" t="s">
        <v>278</v>
      </c>
      <c r="ET257" s="25">
        <v>1</v>
      </c>
      <c r="EU257" s="25" t="s">
        <v>522</v>
      </c>
      <c r="EV257" s="25" t="s">
        <v>74</v>
      </c>
      <c r="EW257" s="25" t="s">
        <v>9</v>
      </c>
      <c r="EX257" s="25" t="s">
        <v>278</v>
      </c>
      <c r="EY257" s="20" t="e">
        <v>#N/A</v>
      </c>
    </row>
    <row r="258" spans="1:155">
      <c r="A258" s="21" t="s">
        <v>491</v>
      </c>
      <c r="B258" s="21" t="s">
        <v>491</v>
      </c>
      <c r="C258" s="21" t="s">
        <v>492</v>
      </c>
      <c r="D258" s="21" t="s">
        <v>493</v>
      </c>
      <c r="E258" s="21" t="s">
        <v>493</v>
      </c>
      <c r="F258" s="21" t="s">
        <v>493</v>
      </c>
      <c r="G258" s="21" t="s">
        <v>3541</v>
      </c>
      <c r="H258" s="21">
        <v>16991593989</v>
      </c>
      <c r="I258" s="21" t="s">
        <v>494</v>
      </c>
      <c r="J258" s="21" t="s">
        <v>3542</v>
      </c>
      <c r="L258" s="21" t="s">
        <v>495</v>
      </c>
      <c r="M258" s="21" t="s">
        <v>3543</v>
      </c>
      <c r="N258" s="21" t="s">
        <v>2717</v>
      </c>
      <c r="O258" s="21" t="s">
        <v>99</v>
      </c>
      <c r="P258" s="21" t="s">
        <v>2029</v>
      </c>
      <c r="R258" s="21" t="s">
        <v>2030</v>
      </c>
      <c r="S258" s="21" t="s">
        <v>2719</v>
      </c>
      <c r="V258" s="21" t="s">
        <v>500</v>
      </c>
      <c r="W258" s="21" t="s">
        <v>501</v>
      </c>
      <c r="X258" s="21" t="s">
        <v>502</v>
      </c>
      <c r="Y258" s="21" t="s">
        <v>558</v>
      </c>
      <c r="Z258" s="21">
        <v>3035684931</v>
      </c>
      <c r="AA258" s="26">
        <v>42746</v>
      </c>
      <c r="AB258" s="26">
        <v>42746</v>
      </c>
      <c r="AC258" s="21" t="s">
        <v>504</v>
      </c>
      <c r="AD258" s="21" t="s">
        <v>505</v>
      </c>
      <c r="AE258" s="21" t="s">
        <v>500</v>
      </c>
      <c r="AF258" s="21" t="s">
        <v>564</v>
      </c>
      <c r="AG258" s="21" t="s">
        <v>571</v>
      </c>
      <c r="AH258" s="21" t="s">
        <v>572</v>
      </c>
      <c r="AI258" s="21" t="s">
        <v>3544</v>
      </c>
      <c r="AJ258" s="21" t="s">
        <v>507</v>
      </c>
      <c r="AK258" s="21" t="s">
        <v>494</v>
      </c>
      <c r="AL258" s="21" t="s">
        <v>527</v>
      </c>
      <c r="AM258" s="21" t="s">
        <v>527</v>
      </c>
      <c r="AN258" s="21" t="s">
        <v>527</v>
      </c>
      <c r="AO258" s="21" t="s">
        <v>528</v>
      </c>
      <c r="AS258" s="21" t="s">
        <v>3545</v>
      </c>
      <c r="AT258" s="21" t="s">
        <v>512</v>
      </c>
      <c r="AW258" s="21">
        <v>0</v>
      </c>
      <c r="AX258" s="21">
        <v>2</v>
      </c>
      <c r="AY258" s="26"/>
      <c r="AZ258" s="26"/>
      <c r="BB258" s="26"/>
      <c r="BC258" s="21" t="s">
        <v>513</v>
      </c>
      <c r="BD258" s="21" t="s">
        <v>514</v>
      </c>
      <c r="BE258" s="21" t="s">
        <v>1196</v>
      </c>
      <c r="BF258" s="21" t="s">
        <v>515</v>
      </c>
      <c r="BG258" s="21">
        <v>1</v>
      </c>
      <c r="BH258" s="21" t="s">
        <v>516</v>
      </c>
      <c r="BI258" s="21" t="s">
        <v>517</v>
      </c>
      <c r="BJ258" s="21" t="s">
        <v>516</v>
      </c>
      <c r="BK258" s="21" t="s">
        <v>516</v>
      </c>
      <c r="BM258" s="21" t="s">
        <v>13</v>
      </c>
      <c r="BN258" s="21" t="s">
        <v>56</v>
      </c>
      <c r="BO258" s="21" t="s">
        <v>518</v>
      </c>
      <c r="BP258" s="21" t="s">
        <v>519</v>
      </c>
      <c r="BQ258" s="21" t="s">
        <v>13</v>
      </c>
      <c r="BR258" s="21" t="s">
        <v>56</v>
      </c>
      <c r="BS258" s="21" t="s">
        <v>518</v>
      </c>
      <c r="BT258" s="21" t="s">
        <v>519</v>
      </c>
      <c r="BU258" s="21" t="s">
        <v>56</v>
      </c>
      <c r="CD258" s="21" t="s">
        <v>520</v>
      </c>
      <c r="CF258" s="21" t="s">
        <v>521</v>
      </c>
      <c r="CN258" s="26"/>
      <c r="DB258" s="24" t="s">
        <v>943</v>
      </c>
      <c r="DC258" s="21">
        <v>1</v>
      </c>
      <c r="DD258" s="21">
        <v>3</v>
      </c>
      <c r="DE258" s="22">
        <v>42750</v>
      </c>
      <c r="DF258" s="21" t="s">
        <v>3546</v>
      </c>
      <c r="DG258" s="21" t="s">
        <v>522</v>
      </c>
      <c r="DH258" s="21" t="s">
        <v>3547</v>
      </c>
      <c r="DI258" s="21" t="s">
        <v>495</v>
      </c>
      <c r="DJ258" s="21" t="s">
        <v>520</v>
      </c>
      <c r="DK258" s="26"/>
      <c r="DL258" s="26">
        <v>42758</v>
      </c>
      <c r="DM258" s="26">
        <v>42748</v>
      </c>
      <c r="DN258" s="21">
        <v>300</v>
      </c>
      <c r="DO258" s="21">
        <v>0</v>
      </c>
      <c r="DP258" s="21">
        <v>2</v>
      </c>
      <c r="DQ258" s="21">
        <v>2</v>
      </c>
      <c r="DR258" s="21">
        <v>1</v>
      </c>
      <c r="DS258" s="21">
        <v>5</v>
      </c>
      <c r="DT258" s="21">
        <v>5</v>
      </c>
      <c r="DU258" s="21">
        <v>5</v>
      </c>
      <c r="DW258" s="21">
        <v>0</v>
      </c>
      <c r="EA258" s="21">
        <v>0</v>
      </c>
      <c r="EB258" s="21" t="s">
        <v>3548</v>
      </c>
      <c r="EC258" s="21" t="s">
        <v>3672</v>
      </c>
      <c r="EF258" s="25">
        <v>0</v>
      </c>
      <c r="EG258" s="25">
        <v>1</v>
      </c>
      <c r="EH258" s="25">
        <v>0</v>
      </c>
      <c r="EI258" s="25">
        <v>1</v>
      </c>
      <c r="EJ258" s="25" t="s">
        <v>62</v>
      </c>
      <c r="EK258" s="25" t="s">
        <v>57</v>
      </c>
      <c r="EL258" s="25" t="s">
        <v>57</v>
      </c>
      <c r="EM258" s="25" t="s">
        <v>276</v>
      </c>
      <c r="EN258" s="25" t="s">
        <v>9</v>
      </c>
      <c r="EO258" s="25" t="s">
        <v>9</v>
      </c>
      <c r="EP258" s="25" t="s">
        <v>62</v>
      </c>
      <c r="EQ258" s="25" t="s">
        <v>62</v>
      </c>
      <c r="ER258" s="25" t="s">
        <v>278</v>
      </c>
      <c r="ES258" s="25" t="s">
        <v>278</v>
      </c>
      <c r="ET258" s="25">
        <v>1</v>
      </c>
      <c r="EU258" s="25" t="s">
        <v>522</v>
      </c>
      <c r="EV258" s="25" t="s">
        <v>57</v>
      </c>
      <c r="EW258" s="25" t="s">
        <v>9</v>
      </c>
      <c r="EX258" s="25" t="s">
        <v>278</v>
      </c>
      <c r="EY258" s="20" t="e">
        <v>#N/A</v>
      </c>
    </row>
    <row r="259" spans="1:155">
      <c r="A259" s="21" t="s">
        <v>491</v>
      </c>
      <c r="B259" s="21" t="s">
        <v>491</v>
      </c>
      <c r="C259" s="21" t="s">
        <v>492</v>
      </c>
      <c r="D259" s="21" t="s">
        <v>493</v>
      </c>
      <c r="E259" s="21" t="s">
        <v>493</v>
      </c>
      <c r="F259" s="21" t="s">
        <v>493</v>
      </c>
      <c r="G259" s="21" t="s">
        <v>3549</v>
      </c>
      <c r="H259" s="21" t="s">
        <v>3550</v>
      </c>
      <c r="I259" s="21" t="s">
        <v>494</v>
      </c>
      <c r="J259" s="21" t="s">
        <v>3551</v>
      </c>
      <c r="L259" s="21" t="s">
        <v>495</v>
      </c>
      <c r="M259" s="21" t="s">
        <v>3552</v>
      </c>
      <c r="N259" s="21" t="s">
        <v>3553</v>
      </c>
      <c r="O259" s="21" t="s">
        <v>58</v>
      </c>
      <c r="P259" s="21" t="s">
        <v>557</v>
      </c>
      <c r="R259" s="21" t="s">
        <v>3554</v>
      </c>
      <c r="S259" s="21" t="s">
        <v>3555</v>
      </c>
      <c r="V259" s="21" t="s">
        <v>500</v>
      </c>
      <c r="W259" s="21" t="s">
        <v>501</v>
      </c>
      <c r="X259" s="21" t="s">
        <v>502</v>
      </c>
      <c r="Y259" s="21" t="s">
        <v>558</v>
      </c>
      <c r="Z259" s="21">
        <v>3035645853</v>
      </c>
      <c r="AA259" s="26">
        <v>42745</v>
      </c>
      <c r="AB259" s="26">
        <v>42746</v>
      </c>
      <c r="AC259" s="21" t="s">
        <v>504</v>
      </c>
      <c r="AD259" s="21" t="s">
        <v>505</v>
      </c>
      <c r="AE259" s="21" t="s">
        <v>500</v>
      </c>
      <c r="AF259" s="21" t="s">
        <v>506</v>
      </c>
      <c r="AG259" s="21" t="s">
        <v>1638</v>
      </c>
      <c r="AH259" s="21" t="s">
        <v>1639</v>
      </c>
      <c r="AI259" s="21" t="s">
        <v>1117</v>
      </c>
      <c r="AJ259" s="21" t="s">
        <v>526</v>
      </c>
      <c r="AK259" s="21" t="s">
        <v>494</v>
      </c>
      <c r="AL259" s="21" t="s">
        <v>527</v>
      </c>
      <c r="AM259" s="21" t="s">
        <v>527</v>
      </c>
      <c r="AN259" s="21" t="s">
        <v>527</v>
      </c>
      <c r="AO259" s="21" t="s">
        <v>528</v>
      </c>
      <c r="AS259" s="21" t="s">
        <v>511</v>
      </c>
      <c r="AT259" s="21" t="s">
        <v>512</v>
      </c>
      <c r="AW259" s="21">
        <v>0</v>
      </c>
      <c r="AX259" s="21">
        <v>4</v>
      </c>
      <c r="AY259" s="26"/>
      <c r="AZ259" s="26"/>
      <c r="BB259" s="26"/>
      <c r="BC259" s="21" t="s">
        <v>513</v>
      </c>
      <c r="BD259" s="21" t="s">
        <v>514</v>
      </c>
      <c r="BE259" s="21" t="s">
        <v>514</v>
      </c>
      <c r="BF259" s="21" t="s">
        <v>515</v>
      </c>
      <c r="BG259" s="21">
        <v>1</v>
      </c>
      <c r="BH259" s="21" t="s">
        <v>516</v>
      </c>
      <c r="BI259" s="21" t="s">
        <v>517</v>
      </c>
      <c r="BJ259" s="21" t="s">
        <v>516</v>
      </c>
      <c r="BK259" s="21" t="s">
        <v>516</v>
      </c>
      <c r="BM259" s="21" t="s">
        <v>1549</v>
      </c>
      <c r="BN259" s="21" t="s">
        <v>109</v>
      </c>
      <c r="BO259" s="21" t="s">
        <v>518</v>
      </c>
      <c r="BP259" s="21" t="s">
        <v>519</v>
      </c>
      <c r="BQ259" s="21" t="s">
        <v>19</v>
      </c>
      <c r="BR259" s="21" t="s">
        <v>82</v>
      </c>
      <c r="BS259" s="21" t="s">
        <v>518</v>
      </c>
      <c r="BT259" s="21" t="s">
        <v>519</v>
      </c>
      <c r="BU259" s="21" t="s">
        <v>109</v>
      </c>
      <c r="CD259" s="21" t="s">
        <v>520</v>
      </c>
      <c r="CF259" s="21" t="s">
        <v>521</v>
      </c>
      <c r="CN259" s="26"/>
      <c r="DB259" s="24" t="s">
        <v>943</v>
      </c>
      <c r="DC259" s="21">
        <v>1</v>
      </c>
      <c r="DD259" s="21">
        <v>3</v>
      </c>
      <c r="DE259" s="22">
        <v>42750</v>
      </c>
      <c r="DF259" s="21" t="s">
        <v>3556</v>
      </c>
      <c r="DG259" s="21" t="s">
        <v>522</v>
      </c>
      <c r="DH259" s="21" t="s">
        <v>3557</v>
      </c>
      <c r="DI259" s="21" t="s">
        <v>495</v>
      </c>
      <c r="DJ259" s="21" t="s">
        <v>520</v>
      </c>
      <c r="DK259" s="26"/>
      <c r="DL259" s="26">
        <v>42758</v>
      </c>
      <c r="DM259" s="26">
        <v>42748</v>
      </c>
      <c r="DN259" s="21">
        <v>3100</v>
      </c>
      <c r="DO259" s="21">
        <v>8</v>
      </c>
      <c r="DP259" s="21">
        <v>1</v>
      </c>
      <c r="DQ259" s="21">
        <v>1</v>
      </c>
      <c r="DR259" s="21">
        <v>7</v>
      </c>
      <c r="DS259" s="21">
        <v>9</v>
      </c>
      <c r="DT259" s="21">
        <v>8</v>
      </c>
      <c r="DU259" s="21">
        <v>9</v>
      </c>
      <c r="DW259" s="21">
        <v>9</v>
      </c>
      <c r="EA259" s="21">
        <v>10</v>
      </c>
      <c r="EB259" s="21" t="s">
        <v>3558</v>
      </c>
      <c r="EC259" s="21" t="s">
        <v>1002</v>
      </c>
      <c r="EF259" s="25">
        <v>1</v>
      </c>
      <c r="EG259" s="25">
        <v>0</v>
      </c>
      <c r="EH259" s="25">
        <v>0</v>
      </c>
      <c r="EI259" s="25">
        <v>0</v>
      </c>
      <c r="EJ259" s="25" t="s">
        <v>62</v>
      </c>
      <c r="EK259" s="25" t="s">
        <v>110</v>
      </c>
      <c r="EL259" s="25" t="s">
        <v>83</v>
      </c>
      <c r="EM259" s="25" t="s">
        <v>276</v>
      </c>
      <c r="EN259" s="25" t="s">
        <v>9</v>
      </c>
      <c r="EO259" s="25" t="s">
        <v>9</v>
      </c>
      <c r="EP259" s="25" t="s">
        <v>62</v>
      </c>
      <c r="EQ259" s="25" t="s">
        <v>62</v>
      </c>
      <c r="ER259" s="25" t="s">
        <v>278</v>
      </c>
      <c r="ES259" s="25" t="s">
        <v>278</v>
      </c>
      <c r="ET259" s="25">
        <v>1</v>
      </c>
      <c r="EU259" s="25" t="s">
        <v>522</v>
      </c>
      <c r="EV259" s="25" t="s">
        <v>279</v>
      </c>
      <c r="EW259" s="25" t="s">
        <v>279</v>
      </c>
      <c r="EX259" s="25" t="s">
        <v>279</v>
      </c>
      <c r="EY259" s="20" t="e">
        <v>#N/A</v>
      </c>
    </row>
    <row r="260" spans="1:155">
      <c r="A260" s="21" t="s">
        <v>491</v>
      </c>
      <c r="B260" s="21" t="s">
        <v>491</v>
      </c>
      <c r="C260" s="21" t="s">
        <v>492</v>
      </c>
      <c r="D260" s="21" t="s">
        <v>493</v>
      </c>
      <c r="E260" s="21" t="s">
        <v>493</v>
      </c>
      <c r="F260" s="21" t="s">
        <v>493</v>
      </c>
      <c r="G260" s="21" t="s">
        <v>3559</v>
      </c>
      <c r="H260" s="21">
        <v>1131526152</v>
      </c>
      <c r="I260" s="21">
        <v>1132526153</v>
      </c>
      <c r="J260" s="21" t="s">
        <v>3560</v>
      </c>
      <c r="L260" s="21" t="s">
        <v>495</v>
      </c>
      <c r="M260" s="21" t="s">
        <v>3561</v>
      </c>
      <c r="N260" s="21" t="s">
        <v>3281</v>
      </c>
      <c r="O260" s="21" t="s">
        <v>98</v>
      </c>
      <c r="P260" s="21" t="s">
        <v>553</v>
      </c>
      <c r="R260" s="21" t="s">
        <v>3282</v>
      </c>
      <c r="S260" s="21" t="s">
        <v>3283</v>
      </c>
      <c r="V260" s="21" t="s">
        <v>500</v>
      </c>
      <c r="W260" s="21" t="s">
        <v>501</v>
      </c>
      <c r="X260" s="21" t="s">
        <v>502</v>
      </c>
      <c r="Y260" s="21" t="s">
        <v>554</v>
      </c>
      <c r="Z260" s="21">
        <v>3035716294</v>
      </c>
      <c r="AA260" s="26">
        <v>42747</v>
      </c>
      <c r="AB260" s="26">
        <v>42747</v>
      </c>
      <c r="AC260" s="21" t="s">
        <v>504</v>
      </c>
      <c r="AD260" s="21" t="s">
        <v>505</v>
      </c>
      <c r="AE260" s="21" t="s">
        <v>500</v>
      </c>
      <c r="AF260" s="21" t="s">
        <v>506</v>
      </c>
      <c r="AG260" s="21" t="s">
        <v>1638</v>
      </c>
      <c r="AH260" s="21" t="s">
        <v>1639</v>
      </c>
      <c r="AI260" s="21" t="s">
        <v>1024</v>
      </c>
      <c r="AJ260" s="21" t="s">
        <v>526</v>
      </c>
      <c r="AK260" s="21" t="s">
        <v>494</v>
      </c>
      <c r="AL260" s="21" t="s">
        <v>508</v>
      </c>
      <c r="AM260" s="21" t="s">
        <v>509</v>
      </c>
      <c r="AN260" s="21" t="s">
        <v>509</v>
      </c>
      <c r="AO260" s="21" t="s">
        <v>510</v>
      </c>
      <c r="AS260" s="21" t="s">
        <v>511</v>
      </c>
      <c r="AT260" s="21" t="s">
        <v>512</v>
      </c>
      <c r="AW260" s="21">
        <v>0</v>
      </c>
      <c r="AX260" s="21">
        <v>3</v>
      </c>
      <c r="AY260" s="26"/>
      <c r="AZ260" s="26"/>
      <c r="BB260" s="26"/>
      <c r="BC260" s="21" t="s">
        <v>513</v>
      </c>
      <c r="BD260" s="21" t="s">
        <v>514</v>
      </c>
      <c r="BE260" s="21" t="s">
        <v>514</v>
      </c>
      <c r="BF260" s="21" t="s">
        <v>515</v>
      </c>
      <c r="BG260" s="21">
        <v>1</v>
      </c>
      <c r="BH260" s="21" t="s">
        <v>516</v>
      </c>
      <c r="BI260" s="21" t="s">
        <v>517</v>
      </c>
      <c r="BJ260" s="21" t="s">
        <v>516</v>
      </c>
      <c r="BK260" s="21" t="s">
        <v>516</v>
      </c>
      <c r="BM260" s="21" t="s">
        <v>54</v>
      </c>
      <c r="BN260" s="21" t="s">
        <v>259</v>
      </c>
      <c r="BO260" s="21" t="s">
        <v>518</v>
      </c>
      <c r="BP260" s="21" t="s">
        <v>519</v>
      </c>
      <c r="BQ260" s="21" t="s">
        <v>54</v>
      </c>
      <c r="BR260" s="21" t="s">
        <v>259</v>
      </c>
      <c r="BS260" s="21" t="s">
        <v>518</v>
      </c>
      <c r="BT260" s="21" t="s">
        <v>519</v>
      </c>
      <c r="BU260" s="21" t="s">
        <v>259</v>
      </c>
      <c r="CD260" s="21" t="s">
        <v>520</v>
      </c>
      <c r="CF260" s="21" t="s">
        <v>521</v>
      </c>
      <c r="CN260" s="26"/>
      <c r="DB260" s="24" t="s">
        <v>943</v>
      </c>
      <c r="DC260" s="21">
        <v>1</v>
      </c>
      <c r="DD260" s="21">
        <v>3</v>
      </c>
      <c r="DE260" s="22">
        <v>42750</v>
      </c>
      <c r="DF260" s="21" t="s">
        <v>3562</v>
      </c>
      <c r="DG260" s="21" t="s">
        <v>522</v>
      </c>
      <c r="DH260" s="21" t="s">
        <v>3563</v>
      </c>
      <c r="DI260" s="21" t="s">
        <v>495</v>
      </c>
      <c r="DJ260" s="21" t="s">
        <v>520</v>
      </c>
      <c r="DK260" s="26"/>
      <c r="DL260" s="26">
        <v>42759</v>
      </c>
      <c r="DM260" s="26">
        <v>42749</v>
      </c>
      <c r="DN260" s="21">
        <v>3100</v>
      </c>
      <c r="DO260" s="21">
        <v>9</v>
      </c>
      <c r="DP260" s="21">
        <v>1</v>
      </c>
      <c r="DQ260" s="21">
        <v>1</v>
      </c>
      <c r="DR260" s="21">
        <v>6</v>
      </c>
      <c r="DS260" s="21">
        <v>9</v>
      </c>
      <c r="DT260" s="21">
        <v>9</v>
      </c>
      <c r="DU260" s="21">
        <v>9</v>
      </c>
      <c r="DW260" s="21">
        <v>9</v>
      </c>
      <c r="EA260" s="21">
        <v>9</v>
      </c>
      <c r="EB260" s="21" t="s">
        <v>3564</v>
      </c>
      <c r="EC260" s="21" t="s">
        <v>1224</v>
      </c>
      <c r="EF260" s="25">
        <v>1</v>
      </c>
      <c r="EG260" s="25">
        <v>0</v>
      </c>
      <c r="EH260" s="25">
        <v>1</v>
      </c>
      <c r="EI260" s="25">
        <v>0</v>
      </c>
      <c r="EJ260" s="25" t="s">
        <v>62</v>
      </c>
      <c r="EK260" s="25" t="s">
        <v>276</v>
      </c>
      <c r="EL260" s="25" t="s">
        <v>276</v>
      </c>
      <c r="EM260" s="25" t="s">
        <v>276</v>
      </c>
      <c r="EN260" s="25" t="s">
        <v>276</v>
      </c>
      <c r="EO260" s="25" t="s">
        <v>276</v>
      </c>
      <c r="EP260" s="25" t="s">
        <v>276</v>
      </c>
      <c r="EQ260" s="25" t="s">
        <v>276</v>
      </c>
      <c r="ER260" s="25" t="s">
        <v>276</v>
      </c>
      <c r="ES260" s="25" t="s">
        <v>276</v>
      </c>
      <c r="ET260" s="25">
        <v>1</v>
      </c>
      <c r="EU260" s="25" t="s">
        <v>522</v>
      </c>
      <c r="EV260" s="25" t="s">
        <v>276</v>
      </c>
      <c r="EW260" s="25" t="s">
        <v>276</v>
      </c>
      <c r="EX260" s="25" t="s">
        <v>276</v>
      </c>
      <c r="EY260" s="20" t="s">
        <v>273</v>
      </c>
    </row>
    <row r="261" spans="1:155">
      <c r="A261" s="21" t="s">
        <v>491</v>
      </c>
      <c r="B261" s="21" t="s">
        <v>491</v>
      </c>
      <c r="C261" s="21" t="s">
        <v>492</v>
      </c>
      <c r="D261" s="21" t="s">
        <v>493</v>
      </c>
      <c r="E261" s="21" t="s">
        <v>493</v>
      </c>
      <c r="F261" s="21" t="s">
        <v>493</v>
      </c>
      <c r="G261" s="21" t="s">
        <v>3565</v>
      </c>
      <c r="H261" s="21">
        <v>48999090007</v>
      </c>
      <c r="I261" s="21" t="s">
        <v>494</v>
      </c>
      <c r="J261" s="21" t="s">
        <v>3566</v>
      </c>
      <c r="L261" s="21" t="s">
        <v>495</v>
      </c>
      <c r="M261" s="21" t="s">
        <v>3567</v>
      </c>
      <c r="N261" s="21" t="s">
        <v>1258</v>
      </c>
      <c r="O261" s="21" t="s">
        <v>69</v>
      </c>
      <c r="P261" s="21" t="s">
        <v>497</v>
      </c>
      <c r="R261" s="21" t="s">
        <v>1259</v>
      </c>
      <c r="S261" s="21" t="s">
        <v>1260</v>
      </c>
      <c r="V261" s="21" t="s">
        <v>500</v>
      </c>
      <c r="W261" s="21" t="s">
        <v>501</v>
      </c>
      <c r="X261" s="21" t="s">
        <v>502</v>
      </c>
      <c r="Y261" s="21" t="s">
        <v>503</v>
      </c>
      <c r="Z261" s="21">
        <v>3035728264</v>
      </c>
      <c r="AA261" s="26">
        <v>42747</v>
      </c>
      <c r="AB261" s="26">
        <v>42747</v>
      </c>
      <c r="AC261" s="21" t="s">
        <v>504</v>
      </c>
      <c r="AD261" s="21" t="s">
        <v>505</v>
      </c>
      <c r="AE261" s="21" t="s">
        <v>500</v>
      </c>
      <c r="AF261" s="21" t="s">
        <v>564</v>
      </c>
      <c r="AG261" s="21" t="s">
        <v>571</v>
      </c>
      <c r="AH261" s="21" t="s">
        <v>572</v>
      </c>
      <c r="AI261" s="21" t="s">
        <v>3568</v>
      </c>
      <c r="AJ261" s="21" t="s">
        <v>507</v>
      </c>
      <c r="AK261" s="21" t="s">
        <v>494</v>
      </c>
      <c r="AL261" s="21" t="s">
        <v>527</v>
      </c>
      <c r="AM261" s="21" t="s">
        <v>527</v>
      </c>
      <c r="AN261" s="21" t="s">
        <v>527</v>
      </c>
      <c r="AO261" s="21" t="s">
        <v>528</v>
      </c>
      <c r="AS261" s="21" t="s">
        <v>511</v>
      </c>
      <c r="AT261" s="21" t="s">
        <v>512</v>
      </c>
      <c r="AW261" s="21">
        <v>0</v>
      </c>
      <c r="AX261" s="21">
        <v>2</v>
      </c>
      <c r="AY261" s="26"/>
      <c r="AZ261" s="26"/>
      <c r="BB261" s="26"/>
      <c r="BC261" s="21" t="s">
        <v>513</v>
      </c>
      <c r="BD261" s="21" t="s">
        <v>514</v>
      </c>
      <c r="BE261" s="21" t="s">
        <v>514</v>
      </c>
      <c r="BF261" s="21" t="s">
        <v>515</v>
      </c>
      <c r="BG261" s="21">
        <v>1</v>
      </c>
      <c r="BH261" s="21" t="s">
        <v>516</v>
      </c>
      <c r="BI261" s="21" t="s">
        <v>517</v>
      </c>
      <c r="BJ261" s="21" t="s">
        <v>516</v>
      </c>
      <c r="BK261" s="21" t="s">
        <v>516</v>
      </c>
      <c r="BM261" s="21" t="s">
        <v>25</v>
      </c>
      <c r="BN261" s="21" t="s">
        <v>135</v>
      </c>
      <c r="BO261" s="21" t="s">
        <v>518</v>
      </c>
      <c r="BP261" s="21" t="s">
        <v>519</v>
      </c>
      <c r="BQ261" s="21" t="s">
        <v>25</v>
      </c>
      <c r="BR261" s="21" t="s">
        <v>135</v>
      </c>
      <c r="BS261" s="21" t="s">
        <v>518</v>
      </c>
      <c r="BT261" s="21" t="s">
        <v>519</v>
      </c>
      <c r="BU261" s="21" t="s">
        <v>135</v>
      </c>
      <c r="CD261" s="21" t="s">
        <v>520</v>
      </c>
      <c r="CF261" s="21" t="s">
        <v>521</v>
      </c>
      <c r="CN261" s="26"/>
      <c r="DB261" s="24" t="s">
        <v>943</v>
      </c>
      <c r="DC261" s="21">
        <v>1</v>
      </c>
      <c r="DD261" s="21">
        <v>3</v>
      </c>
      <c r="DE261" s="22">
        <v>42750</v>
      </c>
      <c r="DF261" s="21" t="s">
        <v>3569</v>
      </c>
      <c r="DG261" s="21" t="s">
        <v>522</v>
      </c>
      <c r="DH261" s="21" t="s">
        <v>3570</v>
      </c>
      <c r="DI261" s="21" t="s">
        <v>495</v>
      </c>
      <c r="DJ261" s="21" t="s">
        <v>520</v>
      </c>
      <c r="DK261" s="26"/>
      <c r="DL261" s="26">
        <v>42759</v>
      </c>
      <c r="DM261" s="26">
        <v>42749</v>
      </c>
      <c r="DN261" s="21">
        <v>3100</v>
      </c>
      <c r="DO261" s="21">
        <v>9</v>
      </c>
      <c r="DP261" s="21">
        <v>1</v>
      </c>
      <c r="DQ261" s="21">
        <v>1</v>
      </c>
      <c r="DR261" s="21">
        <v>6</v>
      </c>
      <c r="DS261" s="21">
        <v>8</v>
      </c>
      <c r="DT261" s="21">
        <v>8</v>
      </c>
      <c r="DU261" s="21">
        <v>9</v>
      </c>
      <c r="DW261" s="21">
        <v>9</v>
      </c>
      <c r="EA261" s="21">
        <v>2</v>
      </c>
      <c r="EB261" s="21" t="s">
        <v>3571</v>
      </c>
      <c r="EC261" s="21" t="s">
        <v>3673</v>
      </c>
      <c r="EF261" s="25">
        <v>0</v>
      </c>
      <c r="EG261" s="25">
        <v>1</v>
      </c>
      <c r="EH261" s="25">
        <v>1</v>
      </c>
      <c r="EI261" s="25">
        <v>0</v>
      </c>
      <c r="EJ261" s="25" t="s">
        <v>62</v>
      </c>
      <c r="EK261" s="25" t="s">
        <v>136</v>
      </c>
      <c r="EL261" s="25" t="s">
        <v>136</v>
      </c>
      <c r="EM261" s="25" t="s">
        <v>276</v>
      </c>
      <c r="EN261" s="25" t="s">
        <v>23</v>
      </c>
      <c r="EO261" s="25" t="s">
        <v>23</v>
      </c>
      <c r="EP261" s="25" t="s">
        <v>62</v>
      </c>
      <c r="EQ261" s="25" t="s">
        <v>62</v>
      </c>
      <c r="ER261" s="25" t="s">
        <v>278</v>
      </c>
      <c r="ES261" s="25" t="s">
        <v>278</v>
      </c>
      <c r="ET261" s="25">
        <v>1</v>
      </c>
      <c r="EU261" s="25" t="s">
        <v>522</v>
      </c>
      <c r="EV261" s="25" t="s">
        <v>136</v>
      </c>
      <c r="EW261" s="25" t="s">
        <v>23</v>
      </c>
      <c r="EX261" s="25" t="s">
        <v>278</v>
      </c>
      <c r="EY261" s="20" t="e">
        <v>#N/A</v>
      </c>
    </row>
    <row r="262" spans="1:155">
      <c r="A262" s="21" t="s">
        <v>491</v>
      </c>
      <c r="B262" s="21" t="s">
        <v>491</v>
      </c>
      <c r="C262" s="21" t="s">
        <v>492</v>
      </c>
      <c r="D262" s="21" t="s">
        <v>493</v>
      </c>
      <c r="E262" s="21" t="s">
        <v>493</v>
      </c>
      <c r="F262" s="21" t="s">
        <v>493</v>
      </c>
      <c r="G262" s="21" t="s">
        <v>3572</v>
      </c>
      <c r="H262" s="21">
        <v>1935339343</v>
      </c>
      <c r="I262" s="21">
        <v>1935339343</v>
      </c>
      <c r="J262" s="21" t="s">
        <v>3573</v>
      </c>
      <c r="L262" s="21" t="s">
        <v>495</v>
      </c>
      <c r="M262" s="21" t="s">
        <v>3574</v>
      </c>
      <c r="N262" s="21" t="s">
        <v>496</v>
      </c>
      <c r="O262" s="21" t="s">
        <v>69</v>
      </c>
      <c r="P262" s="21" t="s">
        <v>497</v>
      </c>
      <c r="Q262" s="21" t="s">
        <v>1178</v>
      </c>
      <c r="R262" s="21" t="s">
        <v>498</v>
      </c>
      <c r="S262" s="21" t="s">
        <v>499</v>
      </c>
      <c r="V262" s="21" t="s">
        <v>500</v>
      </c>
      <c r="W262" s="21" t="s">
        <v>501</v>
      </c>
      <c r="X262" s="21" t="s">
        <v>502</v>
      </c>
      <c r="Y262" s="21" t="s">
        <v>503</v>
      </c>
      <c r="Z262" s="21">
        <v>3035714571</v>
      </c>
      <c r="AA262" s="26">
        <v>42747</v>
      </c>
      <c r="AB262" s="26">
        <v>42747</v>
      </c>
      <c r="AC262" s="21" t="s">
        <v>504</v>
      </c>
      <c r="AD262" s="21" t="s">
        <v>505</v>
      </c>
      <c r="AE262" s="21" t="s">
        <v>500</v>
      </c>
      <c r="AF262" s="21" t="s">
        <v>549</v>
      </c>
      <c r="AG262" s="21" t="s">
        <v>555</v>
      </c>
      <c r="AH262" s="21" t="s">
        <v>556</v>
      </c>
      <c r="AI262" s="21" t="s">
        <v>3538</v>
      </c>
      <c r="AJ262" s="21" t="s">
        <v>526</v>
      </c>
      <c r="AK262" s="21" t="s">
        <v>494</v>
      </c>
      <c r="AL262" s="21" t="s">
        <v>527</v>
      </c>
      <c r="AM262" s="21" t="s">
        <v>527</v>
      </c>
      <c r="AN262" s="21" t="s">
        <v>527</v>
      </c>
      <c r="AO262" s="21" t="s">
        <v>528</v>
      </c>
      <c r="AS262" s="21" t="s">
        <v>511</v>
      </c>
      <c r="AT262" s="21" t="s">
        <v>512</v>
      </c>
      <c r="AW262" s="21">
        <v>0</v>
      </c>
      <c r="AX262" s="21">
        <v>2</v>
      </c>
      <c r="AY262" s="26"/>
      <c r="AZ262" s="26"/>
      <c r="BB262" s="26"/>
      <c r="BC262" s="21" t="s">
        <v>513</v>
      </c>
      <c r="BD262" s="21" t="s">
        <v>514</v>
      </c>
      <c r="BE262" s="21" t="s">
        <v>514</v>
      </c>
      <c r="BF262" s="21" t="s">
        <v>515</v>
      </c>
      <c r="BG262" s="21">
        <v>1</v>
      </c>
      <c r="BH262" s="21" t="s">
        <v>516</v>
      </c>
      <c r="BI262" s="21" t="s">
        <v>517</v>
      </c>
      <c r="BJ262" s="21" t="s">
        <v>516</v>
      </c>
      <c r="BK262" s="21" t="s">
        <v>516</v>
      </c>
      <c r="BM262" s="21" t="s">
        <v>18</v>
      </c>
      <c r="BN262" s="21" t="s">
        <v>73</v>
      </c>
      <c r="BO262" s="21" t="s">
        <v>518</v>
      </c>
      <c r="BP262" s="21" t="s">
        <v>519</v>
      </c>
      <c r="BQ262" s="21" t="s">
        <v>18</v>
      </c>
      <c r="BR262" s="21" t="s">
        <v>73</v>
      </c>
      <c r="BS262" s="21" t="s">
        <v>518</v>
      </c>
      <c r="BT262" s="21" t="s">
        <v>519</v>
      </c>
      <c r="BU262" s="21" t="s">
        <v>73</v>
      </c>
      <c r="CD262" s="21" t="s">
        <v>520</v>
      </c>
      <c r="CF262" s="21" t="s">
        <v>521</v>
      </c>
      <c r="CN262" s="26"/>
      <c r="DB262" s="24" t="s">
        <v>943</v>
      </c>
      <c r="DC262" s="21">
        <v>1</v>
      </c>
      <c r="DD262" s="21">
        <v>3</v>
      </c>
      <c r="DE262" s="22">
        <v>42750</v>
      </c>
      <c r="DF262" s="21" t="s">
        <v>3575</v>
      </c>
      <c r="DG262" s="21" t="s">
        <v>522</v>
      </c>
      <c r="DH262" s="21" t="s">
        <v>3576</v>
      </c>
      <c r="DI262" s="21" t="s">
        <v>495</v>
      </c>
      <c r="DJ262" s="21" t="s">
        <v>520</v>
      </c>
      <c r="DK262" s="26"/>
      <c r="DL262" s="26">
        <v>42759</v>
      </c>
      <c r="DM262" s="26">
        <v>42749</v>
      </c>
      <c r="DN262" s="21">
        <v>3100</v>
      </c>
      <c r="DO262" s="21">
        <v>10</v>
      </c>
      <c r="DP262" s="21">
        <v>1</v>
      </c>
      <c r="DQ262" s="21">
        <v>1</v>
      </c>
      <c r="DR262" s="21">
        <v>7</v>
      </c>
      <c r="DS262" s="21">
        <v>10</v>
      </c>
      <c r="DT262" s="21">
        <v>10</v>
      </c>
      <c r="DU262" s="21">
        <v>10</v>
      </c>
      <c r="DW262" s="21">
        <v>10</v>
      </c>
      <c r="EA262" s="21">
        <v>10</v>
      </c>
      <c r="EB262" s="21" t="s">
        <v>3577</v>
      </c>
      <c r="EC262" s="21" t="s">
        <v>1226</v>
      </c>
      <c r="EF262" s="25">
        <v>1</v>
      </c>
      <c r="EG262" s="25">
        <v>0</v>
      </c>
      <c r="EH262" s="25">
        <v>1</v>
      </c>
      <c r="EI262" s="25">
        <v>0</v>
      </c>
      <c r="EJ262" s="25" t="s">
        <v>62</v>
      </c>
      <c r="EK262" s="25" t="s">
        <v>74</v>
      </c>
      <c r="EL262" s="25" t="s">
        <v>74</v>
      </c>
      <c r="EM262" s="25" t="s">
        <v>276</v>
      </c>
      <c r="EN262" s="25" t="s">
        <v>9</v>
      </c>
      <c r="EO262" s="25" t="s">
        <v>9</v>
      </c>
      <c r="EP262" s="25" t="s">
        <v>62</v>
      </c>
      <c r="EQ262" s="25" t="s">
        <v>62</v>
      </c>
      <c r="ER262" s="25" t="s">
        <v>278</v>
      </c>
      <c r="ES262" s="25" t="s">
        <v>278</v>
      </c>
      <c r="ET262" s="25">
        <v>1</v>
      </c>
      <c r="EU262" s="25" t="s">
        <v>522</v>
      </c>
      <c r="EV262" s="25" t="s">
        <v>74</v>
      </c>
      <c r="EW262" s="25" t="s">
        <v>9</v>
      </c>
      <c r="EX262" s="25" t="s">
        <v>278</v>
      </c>
      <c r="EY262" s="20" t="e">
        <v>#N/A</v>
      </c>
    </row>
    <row r="263" spans="1:155">
      <c r="A263" s="21" t="s">
        <v>491</v>
      </c>
      <c r="B263" s="21" t="s">
        <v>491</v>
      </c>
      <c r="C263" s="21" t="s">
        <v>492</v>
      </c>
      <c r="D263" s="21" t="s">
        <v>493</v>
      </c>
      <c r="E263" s="21" t="s">
        <v>493</v>
      </c>
      <c r="F263" s="21" t="s">
        <v>493</v>
      </c>
      <c r="G263" s="21" t="s">
        <v>3578</v>
      </c>
      <c r="H263" s="21">
        <v>11322024446</v>
      </c>
      <c r="I263" s="21" t="s">
        <v>494</v>
      </c>
      <c r="J263" s="21" t="s">
        <v>3579</v>
      </c>
      <c r="L263" s="21" t="s">
        <v>495</v>
      </c>
      <c r="M263" s="21" t="s">
        <v>3580</v>
      </c>
      <c r="N263" s="21" t="s">
        <v>496</v>
      </c>
      <c r="O263" s="21" t="s">
        <v>69</v>
      </c>
      <c r="P263" s="21" t="s">
        <v>497</v>
      </c>
      <c r="R263" s="21" t="s">
        <v>498</v>
      </c>
      <c r="S263" s="21" t="s">
        <v>499</v>
      </c>
      <c r="V263" s="21" t="s">
        <v>500</v>
      </c>
      <c r="W263" s="21" t="s">
        <v>501</v>
      </c>
      <c r="X263" s="21" t="s">
        <v>502</v>
      </c>
      <c r="Y263" s="21" t="s">
        <v>503</v>
      </c>
      <c r="Z263" s="21">
        <v>3035735119</v>
      </c>
      <c r="AA263" s="26">
        <v>42747</v>
      </c>
      <c r="AB263" s="26">
        <v>42747</v>
      </c>
      <c r="AC263" s="21" t="s">
        <v>504</v>
      </c>
      <c r="AD263" s="21" t="s">
        <v>505</v>
      </c>
      <c r="AE263" s="21" t="s">
        <v>500</v>
      </c>
      <c r="AF263" s="21" t="s">
        <v>549</v>
      </c>
      <c r="AG263" s="21" t="s">
        <v>555</v>
      </c>
      <c r="AH263" s="21" t="s">
        <v>556</v>
      </c>
      <c r="AI263" s="21" t="s">
        <v>2754</v>
      </c>
      <c r="AJ263" s="21" t="s">
        <v>526</v>
      </c>
      <c r="AK263" s="21" t="s">
        <v>494</v>
      </c>
      <c r="AL263" s="21" t="s">
        <v>527</v>
      </c>
      <c r="AM263" s="21" t="s">
        <v>527</v>
      </c>
      <c r="AN263" s="21" t="s">
        <v>527</v>
      </c>
      <c r="AO263" s="21" t="s">
        <v>528</v>
      </c>
      <c r="AS263" s="21" t="s">
        <v>511</v>
      </c>
      <c r="AT263" s="21" t="s">
        <v>512</v>
      </c>
      <c r="AW263" s="21">
        <v>0</v>
      </c>
      <c r="AX263" s="21">
        <v>2</v>
      </c>
      <c r="AY263" s="26"/>
      <c r="AZ263" s="26"/>
      <c r="BB263" s="26"/>
      <c r="BC263" s="21" t="s">
        <v>513</v>
      </c>
      <c r="BD263" s="21" t="s">
        <v>514</v>
      </c>
      <c r="BE263" s="21" t="s">
        <v>514</v>
      </c>
      <c r="BF263" s="21" t="s">
        <v>515</v>
      </c>
      <c r="BG263" s="21">
        <v>1</v>
      </c>
      <c r="BH263" s="21" t="s">
        <v>516</v>
      </c>
      <c r="BI263" s="21" t="s">
        <v>517</v>
      </c>
      <c r="BJ263" s="21" t="s">
        <v>516</v>
      </c>
      <c r="BK263" s="21" t="s">
        <v>516</v>
      </c>
      <c r="BM263" s="21" t="s">
        <v>24</v>
      </c>
      <c r="BN263" s="21" t="s">
        <v>186</v>
      </c>
      <c r="BO263" s="21" t="s">
        <v>518</v>
      </c>
      <c r="BP263" s="21" t="s">
        <v>519</v>
      </c>
      <c r="BQ263" s="21" t="s">
        <v>24</v>
      </c>
      <c r="BR263" s="21" t="s">
        <v>186</v>
      </c>
      <c r="BS263" s="21" t="s">
        <v>518</v>
      </c>
      <c r="BT263" s="21" t="s">
        <v>519</v>
      </c>
      <c r="BU263" s="21" t="s">
        <v>186</v>
      </c>
      <c r="CD263" s="21" t="s">
        <v>520</v>
      </c>
      <c r="CF263" s="21" t="s">
        <v>521</v>
      </c>
      <c r="CN263" s="26"/>
      <c r="DB263" s="24" t="s">
        <v>943</v>
      </c>
      <c r="DC263" s="21">
        <v>1</v>
      </c>
      <c r="DD263" s="21">
        <v>3</v>
      </c>
      <c r="DE263" s="22">
        <v>42750</v>
      </c>
      <c r="DF263" s="21" t="s">
        <v>3581</v>
      </c>
      <c r="DG263" s="21" t="s">
        <v>522</v>
      </c>
      <c r="DH263" s="21" t="s">
        <v>3582</v>
      </c>
      <c r="DI263" s="21" t="s">
        <v>495</v>
      </c>
      <c r="DJ263" s="21" t="s">
        <v>520</v>
      </c>
      <c r="DK263" s="26"/>
      <c r="DL263" s="26">
        <v>42759</v>
      </c>
      <c r="DM263" s="26">
        <v>42749</v>
      </c>
      <c r="DN263" s="21">
        <v>3100</v>
      </c>
      <c r="DO263" s="21">
        <v>10</v>
      </c>
      <c r="DP263" s="21">
        <v>1</v>
      </c>
      <c r="DQ263" s="21">
        <v>1</v>
      </c>
      <c r="DR263" s="21">
        <v>6</v>
      </c>
      <c r="DS263" s="21">
        <v>10</v>
      </c>
      <c r="DT263" s="21">
        <v>9</v>
      </c>
      <c r="DU263" s="21">
        <v>9</v>
      </c>
      <c r="DW263" s="21">
        <v>8</v>
      </c>
      <c r="EA263" s="21">
        <v>9</v>
      </c>
      <c r="EB263" s="21" t="s">
        <v>3583</v>
      </c>
      <c r="EC263" s="21" t="s">
        <v>3674</v>
      </c>
      <c r="EF263" s="25">
        <v>1</v>
      </c>
      <c r="EG263" s="25">
        <v>0</v>
      </c>
      <c r="EH263" s="25">
        <v>1</v>
      </c>
      <c r="EI263" s="25">
        <v>0</v>
      </c>
      <c r="EJ263" s="25" t="s">
        <v>62</v>
      </c>
      <c r="EK263" s="25" t="s">
        <v>187</v>
      </c>
      <c r="EL263" s="25" t="s">
        <v>187</v>
      </c>
      <c r="EM263" s="25" t="s">
        <v>276</v>
      </c>
      <c r="EN263" s="25" t="s">
        <v>23</v>
      </c>
      <c r="EO263" s="25" t="s">
        <v>23</v>
      </c>
      <c r="EP263" s="25" t="s">
        <v>62</v>
      </c>
      <c r="EQ263" s="25" t="s">
        <v>62</v>
      </c>
      <c r="ER263" s="25" t="s">
        <v>278</v>
      </c>
      <c r="ES263" s="25" t="s">
        <v>278</v>
      </c>
      <c r="ET263" s="25">
        <v>1</v>
      </c>
      <c r="EU263" s="25" t="s">
        <v>522</v>
      </c>
      <c r="EV263" s="25" t="s">
        <v>187</v>
      </c>
      <c r="EW263" s="25" t="s">
        <v>23</v>
      </c>
      <c r="EX263" s="25" t="s">
        <v>278</v>
      </c>
      <c r="EY263" s="20" t="e">
        <v>#N/A</v>
      </c>
    </row>
    <row r="264" spans="1:155">
      <c r="A264" s="21" t="s">
        <v>491</v>
      </c>
      <c r="B264" s="21" t="s">
        <v>491</v>
      </c>
      <c r="C264" s="21" t="s">
        <v>492</v>
      </c>
      <c r="D264" s="21" t="s">
        <v>493</v>
      </c>
      <c r="E264" s="21" t="s">
        <v>493</v>
      </c>
      <c r="F264" s="21" t="s">
        <v>493</v>
      </c>
      <c r="G264" s="21" t="s">
        <v>3584</v>
      </c>
      <c r="H264" s="21" t="s">
        <v>3585</v>
      </c>
      <c r="I264" s="21" t="s">
        <v>3585</v>
      </c>
      <c r="J264" s="21" t="s">
        <v>3586</v>
      </c>
      <c r="L264" s="21" t="s">
        <v>495</v>
      </c>
      <c r="M264" s="21" t="s">
        <v>3587</v>
      </c>
      <c r="N264" s="21" t="s">
        <v>496</v>
      </c>
      <c r="O264" s="21" t="s">
        <v>69</v>
      </c>
      <c r="P264" s="21" t="s">
        <v>497</v>
      </c>
      <c r="R264" s="21" t="s">
        <v>498</v>
      </c>
      <c r="S264" s="21" t="s">
        <v>499</v>
      </c>
      <c r="V264" s="21" t="s">
        <v>500</v>
      </c>
      <c r="W264" s="21" t="s">
        <v>501</v>
      </c>
      <c r="X264" s="21" t="s">
        <v>502</v>
      </c>
      <c r="Y264" s="21" t="s">
        <v>503</v>
      </c>
      <c r="Z264" s="21">
        <v>3035747702</v>
      </c>
      <c r="AA264" s="26">
        <v>42748</v>
      </c>
      <c r="AB264" s="26">
        <v>42748</v>
      </c>
      <c r="AC264" s="21" t="s">
        <v>504</v>
      </c>
      <c r="AD264" s="21" t="s">
        <v>505</v>
      </c>
      <c r="AE264" s="21" t="s">
        <v>500</v>
      </c>
      <c r="AF264" s="21" t="s">
        <v>506</v>
      </c>
      <c r="AG264" s="21" t="s">
        <v>1685</v>
      </c>
      <c r="AH264" s="21" t="s">
        <v>1686</v>
      </c>
      <c r="AI264" s="21" t="s">
        <v>3588</v>
      </c>
      <c r="AJ264" s="21" t="s">
        <v>526</v>
      </c>
      <c r="AK264" s="21" t="s">
        <v>494</v>
      </c>
      <c r="AL264" s="21" t="s">
        <v>527</v>
      </c>
      <c r="AM264" s="21" t="s">
        <v>527</v>
      </c>
      <c r="AN264" s="21" t="s">
        <v>527</v>
      </c>
      <c r="AO264" s="21" t="s">
        <v>528</v>
      </c>
      <c r="AS264" s="21" t="s">
        <v>511</v>
      </c>
      <c r="AT264" s="21" t="s">
        <v>512</v>
      </c>
      <c r="AW264" s="21">
        <v>0</v>
      </c>
      <c r="AX264" s="21">
        <v>2</v>
      </c>
      <c r="AY264" s="26"/>
      <c r="AZ264" s="26"/>
      <c r="BB264" s="26"/>
      <c r="BC264" s="21" t="s">
        <v>513</v>
      </c>
      <c r="BD264" s="21" t="s">
        <v>514</v>
      </c>
      <c r="BE264" s="21" t="s">
        <v>514</v>
      </c>
      <c r="BF264" s="21" t="s">
        <v>515</v>
      </c>
      <c r="BG264" s="21">
        <v>1</v>
      </c>
      <c r="BH264" s="21" t="s">
        <v>516</v>
      </c>
      <c r="BI264" s="21" t="s">
        <v>517</v>
      </c>
      <c r="BJ264" s="21" t="s">
        <v>516</v>
      </c>
      <c r="BK264" s="21" t="s">
        <v>516</v>
      </c>
      <c r="BM264" s="21" t="s">
        <v>12</v>
      </c>
      <c r="BN264" s="21" t="s">
        <v>67</v>
      </c>
      <c r="BO264" s="21" t="s">
        <v>518</v>
      </c>
      <c r="BP264" s="21" t="s">
        <v>519</v>
      </c>
      <c r="BQ264" s="21" t="s">
        <v>12</v>
      </c>
      <c r="BR264" s="21" t="s">
        <v>67</v>
      </c>
      <c r="BS264" s="21" t="s">
        <v>518</v>
      </c>
      <c r="BT264" s="21" t="s">
        <v>519</v>
      </c>
      <c r="BU264" s="21" t="s">
        <v>67</v>
      </c>
      <c r="CD264" s="21" t="s">
        <v>520</v>
      </c>
      <c r="CF264" s="21" t="s">
        <v>521</v>
      </c>
      <c r="CN264" s="26"/>
      <c r="DB264" s="24" t="s">
        <v>943</v>
      </c>
      <c r="DC264" s="21">
        <v>1</v>
      </c>
      <c r="DD264" s="21">
        <v>3</v>
      </c>
      <c r="DE264" s="22">
        <v>42750</v>
      </c>
      <c r="DF264" s="21" t="s">
        <v>3589</v>
      </c>
      <c r="DG264" s="21" t="s">
        <v>522</v>
      </c>
      <c r="DH264" s="21" t="s">
        <v>3590</v>
      </c>
      <c r="DI264" s="21" t="s">
        <v>495</v>
      </c>
      <c r="DJ264" s="21" t="s">
        <v>520</v>
      </c>
      <c r="DK264" s="26"/>
      <c r="DL264" s="26">
        <v>42760</v>
      </c>
      <c r="DM264" s="26">
        <v>42750</v>
      </c>
      <c r="DN264" s="21">
        <v>3100</v>
      </c>
      <c r="DO264" s="21">
        <v>10</v>
      </c>
      <c r="DP264" s="21">
        <v>1</v>
      </c>
      <c r="DQ264" s="21">
        <v>1</v>
      </c>
      <c r="DR264" s="21">
        <v>7</v>
      </c>
      <c r="DS264" s="21">
        <v>10</v>
      </c>
      <c r="DT264" s="21">
        <v>9</v>
      </c>
      <c r="DU264" s="21">
        <v>10</v>
      </c>
      <c r="DW264" s="21">
        <v>9</v>
      </c>
      <c r="EA264" s="21">
        <v>10</v>
      </c>
      <c r="EF264" s="25">
        <v>1</v>
      </c>
      <c r="EG264" s="25">
        <v>0</v>
      </c>
      <c r="EH264" s="25">
        <v>1</v>
      </c>
      <c r="EI264" s="25">
        <v>0</v>
      </c>
      <c r="EJ264" s="25" t="s">
        <v>62</v>
      </c>
      <c r="EK264" s="25" t="s">
        <v>68</v>
      </c>
      <c r="EL264" s="25" t="s">
        <v>68</v>
      </c>
      <c r="EM264" s="25" t="s">
        <v>276</v>
      </c>
      <c r="EN264" s="25" t="s">
        <v>9</v>
      </c>
      <c r="EO264" s="25" t="s">
        <v>9</v>
      </c>
      <c r="EP264" s="25" t="s">
        <v>62</v>
      </c>
      <c r="EQ264" s="25" t="s">
        <v>62</v>
      </c>
      <c r="ER264" s="25" t="s">
        <v>278</v>
      </c>
      <c r="ES264" s="25" t="s">
        <v>278</v>
      </c>
      <c r="ET264" s="25">
        <v>1</v>
      </c>
      <c r="EU264" s="25" t="s">
        <v>522</v>
      </c>
      <c r="EV264" s="25" t="s">
        <v>68</v>
      </c>
      <c r="EW264" s="25" t="s">
        <v>9</v>
      </c>
      <c r="EX264" s="25" t="s">
        <v>278</v>
      </c>
      <c r="EY264" s="20" t="e">
        <v>#N/A</v>
      </c>
    </row>
    <row r="265" spans="1:155">
      <c r="A265" s="21" t="s">
        <v>491</v>
      </c>
      <c r="B265" s="21" t="s">
        <v>491</v>
      </c>
      <c r="C265" s="21" t="s">
        <v>492</v>
      </c>
      <c r="D265" s="21" t="s">
        <v>493</v>
      </c>
      <c r="E265" s="21" t="s">
        <v>493</v>
      </c>
      <c r="F265" s="21" t="s">
        <v>493</v>
      </c>
      <c r="G265" s="21" t="s">
        <v>3675</v>
      </c>
      <c r="H265" s="21">
        <v>5333028727</v>
      </c>
      <c r="I265" s="21" t="s">
        <v>494</v>
      </c>
      <c r="J265" s="21" t="s">
        <v>3676</v>
      </c>
      <c r="L265" s="21" t="s">
        <v>495</v>
      </c>
      <c r="M265" s="21" t="s">
        <v>3677</v>
      </c>
      <c r="N265" s="21" t="s">
        <v>3678</v>
      </c>
      <c r="O265" s="21" t="s">
        <v>93</v>
      </c>
      <c r="P265" s="21" t="s">
        <v>539</v>
      </c>
      <c r="R265" s="21" t="s">
        <v>3679</v>
      </c>
      <c r="S265" s="21" t="s">
        <v>1303</v>
      </c>
      <c r="V265" s="21" t="s">
        <v>277</v>
      </c>
      <c r="W265" s="21" t="s">
        <v>524</v>
      </c>
      <c r="X265" s="21" t="s">
        <v>525</v>
      </c>
      <c r="Y265" s="21" t="s">
        <v>530</v>
      </c>
      <c r="Z265" s="21">
        <v>3035480263</v>
      </c>
      <c r="AA265" s="26">
        <v>42739</v>
      </c>
      <c r="AB265" s="26">
        <v>42739</v>
      </c>
      <c r="AC265" s="21" t="s">
        <v>504</v>
      </c>
      <c r="AD265" s="21" t="s">
        <v>505</v>
      </c>
      <c r="AE265" s="21" t="s">
        <v>1054</v>
      </c>
      <c r="AF265" s="21" t="s">
        <v>1055</v>
      </c>
      <c r="AG265" s="21" t="s">
        <v>3680</v>
      </c>
      <c r="AH265" s="21" t="s">
        <v>3681</v>
      </c>
      <c r="AI265" s="21" t="s">
        <v>3682</v>
      </c>
      <c r="AJ265" s="21" t="s">
        <v>507</v>
      </c>
      <c r="AK265" s="21" t="s">
        <v>494</v>
      </c>
      <c r="AL265" s="21" t="s">
        <v>527</v>
      </c>
      <c r="AM265" s="21" t="s">
        <v>527</v>
      </c>
      <c r="AN265" s="21" t="s">
        <v>527</v>
      </c>
      <c r="AO265" s="21" t="s">
        <v>528</v>
      </c>
      <c r="AS265" s="21" t="s">
        <v>511</v>
      </c>
      <c r="AT265" s="21" t="s">
        <v>512</v>
      </c>
      <c r="AW265" s="21">
        <v>0</v>
      </c>
      <c r="AX265" s="21">
        <v>3</v>
      </c>
      <c r="AY265" s="26"/>
      <c r="AZ265" s="26"/>
      <c r="BB265" s="26"/>
      <c r="BC265" s="21" t="s">
        <v>513</v>
      </c>
      <c r="BD265" s="21" t="s">
        <v>514</v>
      </c>
      <c r="BE265" s="21" t="s">
        <v>514</v>
      </c>
      <c r="BF265" s="21" t="s">
        <v>515</v>
      </c>
      <c r="BG265" s="21">
        <v>1</v>
      </c>
      <c r="BH265" s="21" t="s">
        <v>516</v>
      </c>
      <c r="BI265" s="21" t="s">
        <v>517</v>
      </c>
      <c r="BJ265" s="21" t="s">
        <v>516</v>
      </c>
      <c r="BK265" s="21" t="s">
        <v>516</v>
      </c>
      <c r="BM265" s="21" t="s">
        <v>1362</v>
      </c>
      <c r="BN265" s="21" t="s">
        <v>236</v>
      </c>
      <c r="BO265" s="21" t="s">
        <v>518</v>
      </c>
      <c r="BP265" s="21" t="s">
        <v>1044</v>
      </c>
      <c r="BQ265" s="21" t="s">
        <v>1362</v>
      </c>
      <c r="BR265" s="21" t="s">
        <v>236</v>
      </c>
      <c r="BS265" s="21" t="s">
        <v>518</v>
      </c>
      <c r="BT265" s="21" t="s">
        <v>1044</v>
      </c>
      <c r="BU265" s="21" t="s">
        <v>236</v>
      </c>
      <c r="CD265" s="21" t="s">
        <v>520</v>
      </c>
      <c r="CF265" s="21" t="s">
        <v>521</v>
      </c>
      <c r="CN265" s="26"/>
      <c r="DB265" s="24" t="s">
        <v>943</v>
      </c>
      <c r="DC265" s="21">
        <v>1</v>
      </c>
      <c r="DD265" s="21">
        <v>3</v>
      </c>
      <c r="DE265" s="22">
        <v>42751</v>
      </c>
      <c r="DF265" s="21" t="s">
        <v>3683</v>
      </c>
      <c r="DG265" s="21" t="s">
        <v>522</v>
      </c>
      <c r="DH265" s="21" t="s">
        <v>3684</v>
      </c>
      <c r="DI265" s="21" t="s">
        <v>495</v>
      </c>
      <c r="DJ265" s="21" t="s">
        <v>520</v>
      </c>
      <c r="DK265" s="26"/>
      <c r="DL265" s="26">
        <v>42751</v>
      </c>
      <c r="DM265" s="26">
        <v>42741</v>
      </c>
      <c r="DN265" s="21">
        <v>1100</v>
      </c>
      <c r="DO265" s="21">
        <v>9</v>
      </c>
      <c r="DP265" s="21">
        <v>1</v>
      </c>
      <c r="DQ265" s="21">
        <v>2</v>
      </c>
      <c r="DR265" s="21">
        <v>6</v>
      </c>
      <c r="DS265" s="21">
        <v>10</v>
      </c>
      <c r="DT265" s="21">
        <v>9</v>
      </c>
      <c r="DU265" s="21">
        <v>8</v>
      </c>
      <c r="DW265" s="21">
        <v>8</v>
      </c>
      <c r="EA265" s="21">
        <v>10</v>
      </c>
      <c r="EB265" s="21" t="s">
        <v>3685</v>
      </c>
      <c r="EC265" s="21" t="s">
        <v>4031</v>
      </c>
      <c r="EF265" s="25">
        <v>1</v>
      </c>
      <c r="EG265" s="25">
        <v>0</v>
      </c>
      <c r="EH265" s="25">
        <v>1</v>
      </c>
      <c r="EI265" s="25">
        <v>0</v>
      </c>
      <c r="EJ265" s="25" t="s">
        <v>92</v>
      </c>
      <c r="EK265" s="25" t="s">
        <v>237</v>
      </c>
      <c r="EL265" s="25" t="s">
        <v>237</v>
      </c>
      <c r="EM265" s="25" t="s">
        <v>276</v>
      </c>
      <c r="EN265" s="25" t="s">
        <v>39</v>
      </c>
      <c r="EO265" s="25" t="s">
        <v>39</v>
      </c>
      <c r="EP265" s="25" t="s">
        <v>92</v>
      </c>
      <c r="EQ265" s="25" t="s">
        <v>92</v>
      </c>
      <c r="ER265" s="25" t="s">
        <v>278</v>
      </c>
      <c r="ES265" s="25" t="s">
        <v>278</v>
      </c>
      <c r="ET265" s="25">
        <v>1</v>
      </c>
      <c r="EU265" s="25" t="s">
        <v>522</v>
      </c>
      <c r="EV265" s="25" t="s">
        <v>237</v>
      </c>
      <c r="EW265" s="25" t="s">
        <v>39</v>
      </c>
      <c r="EX265" s="25" t="s">
        <v>278</v>
      </c>
      <c r="EY265" s="20" t="e">
        <v>#N/A</v>
      </c>
    </row>
    <row r="266" spans="1:155">
      <c r="A266" s="21" t="s">
        <v>491</v>
      </c>
      <c r="B266" s="21" t="s">
        <v>491</v>
      </c>
      <c r="C266" s="21" t="s">
        <v>492</v>
      </c>
      <c r="D266" s="21" t="s">
        <v>493</v>
      </c>
      <c r="E266" s="21" t="s">
        <v>493</v>
      </c>
      <c r="F266" s="21" t="s">
        <v>493</v>
      </c>
      <c r="G266" s="21" t="s">
        <v>3686</v>
      </c>
      <c r="H266" s="21" t="s">
        <v>3687</v>
      </c>
      <c r="I266" s="21" t="s">
        <v>494</v>
      </c>
      <c r="J266" s="21" t="s">
        <v>3688</v>
      </c>
      <c r="L266" s="21" t="s">
        <v>495</v>
      </c>
      <c r="M266" s="21" t="s">
        <v>3689</v>
      </c>
      <c r="N266" s="21" t="s">
        <v>1659</v>
      </c>
      <c r="O266" s="21" t="s">
        <v>100</v>
      </c>
      <c r="P266" s="21" t="s">
        <v>1187</v>
      </c>
      <c r="Q266" s="21" t="s">
        <v>2014</v>
      </c>
      <c r="R266" s="21" t="s">
        <v>1660</v>
      </c>
      <c r="S266" s="21" t="s">
        <v>1661</v>
      </c>
      <c r="V266" s="21" t="s">
        <v>277</v>
      </c>
      <c r="W266" s="21" t="s">
        <v>524</v>
      </c>
      <c r="X266" s="21" t="s">
        <v>525</v>
      </c>
      <c r="Y266" s="21" t="s">
        <v>1190</v>
      </c>
      <c r="Z266" s="21">
        <v>3035568033</v>
      </c>
      <c r="AA266" s="26">
        <v>42742</v>
      </c>
      <c r="AB266" s="26">
        <v>42742</v>
      </c>
      <c r="AC266" s="21" t="s">
        <v>504</v>
      </c>
      <c r="AD266" s="21" t="s">
        <v>505</v>
      </c>
      <c r="AE266" s="21" t="s">
        <v>1020</v>
      </c>
      <c r="AF266" s="21" t="s">
        <v>1369</v>
      </c>
      <c r="AG266" s="21" t="s">
        <v>1370</v>
      </c>
      <c r="AH266" s="21" t="s">
        <v>1371</v>
      </c>
      <c r="AI266" s="21" t="s">
        <v>1372</v>
      </c>
      <c r="AJ266" s="21" t="s">
        <v>526</v>
      </c>
      <c r="AK266" s="21" t="s">
        <v>494</v>
      </c>
      <c r="AL266" s="21" t="s">
        <v>508</v>
      </c>
      <c r="AM266" s="21" t="s">
        <v>509</v>
      </c>
      <c r="AN266" s="21" t="s">
        <v>527</v>
      </c>
      <c r="AO266" s="21" t="s">
        <v>528</v>
      </c>
      <c r="AQ266" s="21" t="s">
        <v>2187</v>
      </c>
      <c r="AS266" s="21" t="s">
        <v>511</v>
      </c>
      <c r="AT266" s="21" t="s">
        <v>512</v>
      </c>
      <c r="AW266" s="21">
        <v>0</v>
      </c>
      <c r="AX266" s="21">
        <v>3</v>
      </c>
      <c r="AY266" s="26"/>
      <c r="AZ266" s="26"/>
      <c r="BB266" s="26"/>
      <c r="BC266" s="21" t="s">
        <v>513</v>
      </c>
      <c r="BD266" s="21" t="s">
        <v>514</v>
      </c>
      <c r="BE266" s="21" t="s">
        <v>514</v>
      </c>
      <c r="BF266" s="21" t="s">
        <v>515</v>
      </c>
      <c r="BG266" s="21">
        <v>1</v>
      </c>
      <c r="BH266" s="21" t="s">
        <v>516</v>
      </c>
      <c r="BI266" s="21" t="s">
        <v>517</v>
      </c>
      <c r="BJ266" s="21" t="s">
        <v>516</v>
      </c>
      <c r="BK266" s="21" t="s">
        <v>516</v>
      </c>
      <c r="BM266" s="21" t="s">
        <v>1373</v>
      </c>
      <c r="BN266" s="21" t="s">
        <v>213</v>
      </c>
      <c r="BO266" s="21" t="s">
        <v>518</v>
      </c>
      <c r="BP266" s="21" t="s">
        <v>1044</v>
      </c>
      <c r="BQ266" s="21" t="s">
        <v>1373</v>
      </c>
      <c r="BR266" s="21" t="s">
        <v>213</v>
      </c>
      <c r="BS266" s="21" t="s">
        <v>518</v>
      </c>
      <c r="BT266" s="21" t="s">
        <v>1044</v>
      </c>
      <c r="BU266" s="21" t="s">
        <v>213</v>
      </c>
      <c r="CD266" s="21" t="s">
        <v>520</v>
      </c>
      <c r="CF266" s="21" t="s">
        <v>521</v>
      </c>
      <c r="CN266" s="26"/>
      <c r="DB266" s="24" t="s">
        <v>943</v>
      </c>
      <c r="DC266" s="21">
        <v>1</v>
      </c>
      <c r="DD266" s="21">
        <v>3</v>
      </c>
      <c r="DE266" s="22">
        <v>42751</v>
      </c>
      <c r="DF266" s="21" t="s">
        <v>3690</v>
      </c>
      <c r="DG266" s="21" t="s">
        <v>522</v>
      </c>
      <c r="DH266" s="21" t="s">
        <v>3691</v>
      </c>
      <c r="DI266" s="21" t="s">
        <v>495</v>
      </c>
      <c r="DJ266" s="21" t="s">
        <v>523</v>
      </c>
      <c r="DK266" s="26"/>
      <c r="DL266" s="26">
        <v>42754</v>
      </c>
      <c r="DM266" s="26">
        <v>42744</v>
      </c>
      <c r="DN266" s="21">
        <v>1100</v>
      </c>
      <c r="DO266" s="21">
        <v>7</v>
      </c>
      <c r="DP266" s="21">
        <v>1</v>
      </c>
      <c r="DQ266" s="21">
        <v>1</v>
      </c>
      <c r="DR266" s="21">
        <v>5</v>
      </c>
      <c r="DS266" s="21">
        <v>8</v>
      </c>
      <c r="DT266" s="21">
        <v>10</v>
      </c>
      <c r="DU266" s="21">
        <v>10</v>
      </c>
      <c r="DW266" s="21">
        <v>9</v>
      </c>
      <c r="EA266" s="21">
        <v>9</v>
      </c>
      <c r="EF266" s="25">
        <v>1</v>
      </c>
      <c r="EG266" s="25">
        <v>0</v>
      </c>
      <c r="EH266" s="25">
        <v>0</v>
      </c>
      <c r="EI266" s="25">
        <v>0</v>
      </c>
      <c r="EJ266" s="25" t="s">
        <v>92</v>
      </c>
      <c r="EK266" s="25" t="s">
        <v>214</v>
      </c>
      <c r="EL266" s="25" t="s">
        <v>214</v>
      </c>
      <c r="EM266" s="25" t="s">
        <v>276</v>
      </c>
      <c r="EN266" s="25" t="s">
        <v>31</v>
      </c>
      <c r="EO266" s="25" t="s">
        <v>31</v>
      </c>
      <c r="EP266" s="25" t="s">
        <v>92</v>
      </c>
      <c r="EQ266" s="25" t="s">
        <v>92</v>
      </c>
      <c r="ER266" s="25" t="s">
        <v>278</v>
      </c>
      <c r="ES266" s="25" t="s">
        <v>278</v>
      </c>
      <c r="ET266" s="25">
        <v>1</v>
      </c>
      <c r="EU266" s="25" t="s">
        <v>522</v>
      </c>
      <c r="EV266" s="25" t="s">
        <v>214</v>
      </c>
      <c r="EW266" s="25" t="s">
        <v>31</v>
      </c>
      <c r="EX266" s="25" t="s">
        <v>278</v>
      </c>
      <c r="EY266" s="20" t="e">
        <v>#N/A</v>
      </c>
    </row>
    <row r="267" spans="1:155">
      <c r="A267" s="21" t="s">
        <v>491</v>
      </c>
      <c r="B267" s="21" t="s">
        <v>491</v>
      </c>
      <c r="C267" s="21" t="s">
        <v>492</v>
      </c>
      <c r="D267" s="21" t="s">
        <v>493</v>
      </c>
      <c r="E267" s="21" t="s">
        <v>493</v>
      </c>
      <c r="F267" s="21" t="s">
        <v>493</v>
      </c>
      <c r="G267" s="21" t="s">
        <v>3692</v>
      </c>
      <c r="H267" s="21" t="s">
        <v>494</v>
      </c>
      <c r="I267" s="21" t="s">
        <v>494</v>
      </c>
      <c r="J267" s="21" t="s">
        <v>3693</v>
      </c>
      <c r="L267" s="21" t="s">
        <v>495</v>
      </c>
      <c r="M267" s="21" t="s">
        <v>3694</v>
      </c>
      <c r="N267" s="21" t="s">
        <v>1268</v>
      </c>
      <c r="O267" s="21" t="s">
        <v>69</v>
      </c>
      <c r="P267" s="21" t="s">
        <v>497</v>
      </c>
      <c r="R267" s="21" t="s">
        <v>1269</v>
      </c>
      <c r="S267" s="21" t="s">
        <v>1270</v>
      </c>
      <c r="V267" s="21" t="s">
        <v>500</v>
      </c>
      <c r="W267" s="21" t="s">
        <v>501</v>
      </c>
      <c r="X267" s="21" t="s">
        <v>502</v>
      </c>
      <c r="Y267" s="21" t="s">
        <v>503</v>
      </c>
      <c r="Z267" s="21">
        <v>3035613680</v>
      </c>
      <c r="AA267" s="26">
        <v>42744</v>
      </c>
      <c r="AB267" s="26">
        <v>42744</v>
      </c>
      <c r="AC267" s="21" t="s">
        <v>504</v>
      </c>
      <c r="AD267" s="21" t="s">
        <v>505</v>
      </c>
      <c r="AE267" s="21" t="s">
        <v>500</v>
      </c>
      <c r="AF267" s="21" t="s">
        <v>506</v>
      </c>
      <c r="AG267" s="21" t="s">
        <v>1079</v>
      </c>
      <c r="AH267" s="21" t="s">
        <v>1080</v>
      </c>
      <c r="AI267" s="21" t="s">
        <v>1332</v>
      </c>
      <c r="AJ267" s="21" t="s">
        <v>507</v>
      </c>
      <c r="AK267" s="21" t="s">
        <v>494</v>
      </c>
      <c r="AL267" s="21" t="s">
        <v>508</v>
      </c>
      <c r="AM267" s="21" t="s">
        <v>509</v>
      </c>
      <c r="AN267" s="21" t="s">
        <v>527</v>
      </c>
      <c r="AO267" s="21" t="s">
        <v>528</v>
      </c>
      <c r="AQ267" s="21" t="s">
        <v>2187</v>
      </c>
      <c r="AS267" s="21" t="s">
        <v>511</v>
      </c>
      <c r="AT267" s="21" t="s">
        <v>512</v>
      </c>
      <c r="AW267" s="21">
        <v>0</v>
      </c>
      <c r="AX267" s="21">
        <v>3</v>
      </c>
      <c r="AY267" s="26"/>
      <c r="AZ267" s="26"/>
      <c r="BB267" s="26"/>
      <c r="BC267" s="21" t="s">
        <v>513</v>
      </c>
      <c r="BD267" s="21" t="s">
        <v>514</v>
      </c>
      <c r="BE267" s="21" t="s">
        <v>514</v>
      </c>
      <c r="BF267" s="21" t="s">
        <v>515</v>
      </c>
      <c r="BG267" s="21">
        <v>1</v>
      </c>
      <c r="BH267" s="21" t="s">
        <v>516</v>
      </c>
      <c r="BI267" s="21" t="s">
        <v>517</v>
      </c>
      <c r="BJ267" s="21" t="s">
        <v>516</v>
      </c>
      <c r="BK267" s="21" t="s">
        <v>516</v>
      </c>
      <c r="BM267" s="21" t="s">
        <v>2139</v>
      </c>
      <c r="BN267" s="21" t="s">
        <v>153</v>
      </c>
      <c r="BO267" s="21" t="s">
        <v>518</v>
      </c>
      <c r="BP267" s="21" t="s">
        <v>1044</v>
      </c>
      <c r="BQ267" s="21" t="s">
        <v>2139</v>
      </c>
      <c r="BR267" s="21" t="s">
        <v>153</v>
      </c>
      <c r="BS267" s="21" t="s">
        <v>518</v>
      </c>
      <c r="BT267" s="21" t="s">
        <v>1044</v>
      </c>
      <c r="BU267" s="21" t="s">
        <v>153</v>
      </c>
      <c r="CD267" s="21" t="s">
        <v>520</v>
      </c>
      <c r="CF267" s="21" t="s">
        <v>521</v>
      </c>
      <c r="CN267" s="26"/>
      <c r="DB267" s="24" t="s">
        <v>943</v>
      </c>
      <c r="DC267" s="21">
        <v>1</v>
      </c>
      <c r="DD267" s="21">
        <v>3</v>
      </c>
      <c r="DE267" s="22">
        <v>42751</v>
      </c>
      <c r="DF267" s="21" t="s">
        <v>3695</v>
      </c>
      <c r="DG267" s="21" t="s">
        <v>522</v>
      </c>
      <c r="DH267" s="21" t="s">
        <v>3696</v>
      </c>
      <c r="DI267" s="21" t="s">
        <v>495</v>
      </c>
      <c r="DJ267" s="21" t="s">
        <v>523</v>
      </c>
      <c r="DK267" s="26"/>
      <c r="DL267" s="26">
        <v>42756</v>
      </c>
      <c r="DM267" s="26">
        <v>42746</v>
      </c>
      <c r="DN267" s="21">
        <v>3100</v>
      </c>
      <c r="DO267" s="21">
        <v>10</v>
      </c>
      <c r="DP267" s="21">
        <v>1</v>
      </c>
      <c r="DQ267" s="21">
        <v>1</v>
      </c>
      <c r="DR267" s="21">
        <v>6</v>
      </c>
      <c r="DS267" s="21">
        <v>10</v>
      </c>
      <c r="DT267" s="21">
        <v>10</v>
      </c>
      <c r="DU267" s="21">
        <v>10</v>
      </c>
      <c r="DW267" s="21">
        <v>10</v>
      </c>
      <c r="EA267" s="21">
        <v>9</v>
      </c>
      <c r="EF267" s="25">
        <v>1</v>
      </c>
      <c r="EG267" s="25">
        <v>0</v>
      </c>
      <c r="EH267" s="25">
        <v>1</v>
      </c>
      <c r="EI267" s="25">
        <v>0</v>
      </c>
      <c r="EJ267" s="25" t="s">
        <v>62</v>
      </c>
      <c r="EK267" s="25" t="s">
        <v>276</v>
      </c>
      <c r="EL267" s="25" t="s">
        <v>276</v>
      </c>
      <c r="EM267" s="25" t="s">
        <v>276</v>
      </c>
      <c r="EN267" s="25" t="s">
        <v>276</v>
      </c>
      <c r="EO267" s="25" t="s">
        <v>276</v>
      </c>
      <c r="EP267" s="25" t="s">
        <v>276</v>
      </c>
      <c r="EQ267" s="25" t="s">
        <v>276</v>
      </c>
      <c r="ER267" s="25" t="s">
        <v>276</v>
      </c>
      <c r="ES267" s="25" t="s">
        <v>276</v>
      </c>
      <c r="ET267" s="25">
        <v>1</v>
      </c>
      <c r="EU267" s="25" t="s">
        <v>522</v>
      </c>
      <c r="EV267" s="25" t="s">
        <v>276</v>
      </c>
      <c r="EW267" s="25" t="s">
        <v>276</v>
      </c>
      <c r="EX267" s="25" t="s">
        <v>276</v>
      </c>
      <c r="EY267" s="20" t="s">
        <v>273</v>
      </c>
    </row>
    <row r="268" spans="1:155">
      <c r="A268" s="21" t="s">
        <v>491</v>
      </c>
      <c r="B268" s="21" t="s">
        <v>491</v>
      </c>
      <c r="C268" s="21" t="s">
        <v>492</v>
      </c>
      <c r="D268" s="21" t="s">
        <v>493</v>
      </c>
      <c r="E268" s="21" t="s">
        <v>493</v>
      </c>
      <c r="F268" s="21" t="s">
        <v>493</v>
      </c>
      <c r="G268" s="21" t="s">
        <v>3697</v>
      </c>
      <c r="H268" s="21">
        <v>1147026532</v>
      </c>
      <c r="I268" s="21" t="s">
        <v>494</v>
      </c>
      <c r="J268" s="21" t="s">
        <v>3698</v>
      </c>
      <c r="L268" s="21" t="s">
        <v>495</v>
      </c>
      <c r="M268" s="21" t="s">
        <v>3699</v>
      </c>
      <c r="N268" s="21" t="s">
        <v>496</v>
      </c>
      <c r="O268" s="21" t="s">
        <v>69</v>
      </c>
      <c r="P268" s="21" t="s">
        <v>497</v>
      </c>
      <c r="R268" s="21" t="s">
        <v>498</v>
      </c>
      <c r="S268" s="21" t="s">
        <v>499</v>
      </c>
      <c r="V268" s="21" t="s">
        <v>500</v>
      </c>
      <c r="W268" s="21" t="s">
        <v>501</v>
      </c>
      <c r="X268" s="21" t="s">
        <v>502</v>
      </c>
      <c r="Y268" s="21" t="s">
        <v>503</v>
      </c>
      <c r="Z268" s="21">
        <v>3035620454</v>
      </c>
      <c r="AA268" s="26">
        <v>42744</v>
      </c>
      <c r="AB268" s="26">
        <v>42744</v>
      </c>
      <c r="AC268" s="21" t="s">
        <v>504</v>
      </c>
      <c r="AD268" s="21" t="s">
        <v>505</v>
      </c>
      <c r="AE268" s="21" t="s">
        <v>500</v>
      </c>
      <c r="AF268" s="21" t="s">
        <v>506</v>
      </c>
      <c r="AG268" s="21" t="s">
        <v>1148</v>
      </c>
      <c r="AH268" s="21" t="s">
        <v>1149</v>
      </c>
      <c r="AI268" s="21" t="s">
        <v>2811</v>
      </c>
      <c r="AJ268" s="21" t="s">
        <v>507</v>
      </c>
      <c r="AK268" s="21" t="s">
        <v>494</v>
      </c>
      <c r="AL268" s="21" t="s">
        <v>527</v>
      </c>
      <c r="AM268" s="21" t="s">
        <v>527</v>
      </c>
      <c r="AN268" s="21" t="s">
        <v>527</v>
      </c>
      <c r="AO268" s="21" t="s">
        <v>528</v>
      </c>
      <c r="AS268" s="21" t="s">
        <v>511</v>
      </c>
      <c r="AT268" s="21" t="s">
        <v>512</v>
      </c>
      <c r="AW268" s="21">
        <v>0</v>
      </c>
      <c r="AX268" s="21">
        <v>2</v>
      </c>
      <c r="AY268" s="26"/>
      <c r="AZ268" s="26"/>
      <c r="BB268" s="26"/>
      <c r="BC268" s="21" t="s">
        <v>513</v>
      </c>
      <c r="BD268" s="21" t="s">
        <v>514</v>
      </c>
      <c r="BE268" s="21" t="s">
        <v>514</v>
      </c>
      <c r="BF268" s="21" t="s">
        <v>515</v>
      </c>
      <c r="BG268" s="21">
        <v>1</v>
      </c>
      <c r="BH268" s="21" t="s">
        <v>516</v>
      </c>
      <c r="BI268" s="21" t="s">
        <v>517</v>
      </c>
      <c r="BJ268" s="21" t="s">
        <v>516</v>
      </c>
      <c r="BK268" s="21" t="s">
        <v>516</v>
      </c>
      <c r="BM268" s="21" t="s">
        <v>1525</v>
      </c>
      <c r="BN268" s="21" t="s">
        <v>862</v>
      </c>
      <c r="BO268" s="21" t="s">
        <v>518</v>
      </c>
      <c r="BP268" s="21" t="s">
        <v>519</v>
      </c>
      <c r="BQ268" s="21" t="s">
        <v>1525</v>
      </c>
      <c r="BR268" s="21" t="s">
        <v>862</v>
      </c>
      <c r="BS268" s="21" t="s">
        <v>518</v>
      </c>
      <c r="BT268" s="21" t="s">
        <v>519</v>
      </c>
      <c r="BU268" s="21" t="s">
        <v>862</v>
      </c>
      <c r="CD268" s="21" t="s">
        <v>520</v>
      </c>
      <c r="CF268" s="21" t="s">
        <v>521</v>
      </c>
      <c r="CN268" s="26"/>
      <c r="DB268" s="24" t="s">
        <v>943</v>
      </c>
      <c r="DC268" s="21">
        <v>1</v>
      </c>
      <c r="DD268" s="21">
        <v>3</v>
      </c>
      <c r="DE268" s="22">
        <v>42751</v>
      </c>
      <c r="DF268" s="21" t="s">
        <v>3700</v>
      </c>
      <c r="DG268" s="21" t="s">
        <v>522</v>
      </c>
      <c r="DH268" s="21" t="s">
        <v>3701</v>
      </c>
      <c r="DI268" s="21" t="s">
        <v>495</v>
      </c>
      <c r="DJ268" s="21" t="s">
        <v>523</v>
      </c>
      <c r="DK268" s="26"/>
      <c r="DL268" s="26">
        <v>42756</v>
      </c>
      <c r="DM268" s="26">
        <v>42746</v>
      </c>
      <c r="DN268" s="21">
        <v>3100</v>
      </c>
      <c r="DO268" s="21">
        <v>10</v>
      </c>
      <c r="DP268" s="21">
        <v>1</v>
      </c>
      <c r="DQ268" s="21">
        <v>2</v>
      </c>
      <c r="DR268" s="21">
        <v>7</v>
      </c>
      <c r="DS268" s="21">
        <v>10</v>
      </c>
      <c r="DT268" s="21">
        <v>10</v>
      </c>
      <c r="DU268" s="21">
        <v>10</v>
      </c>
      <c r="DW268" s="21">
        <v>8</v>
      </c>
      <c r="EA268" s="21">
        <v>10</v>
      </c>
      <c r="EB268" s="21" t="s">
        <v>3702</v>
      </c>
      <c r="EC268" s="21" t="s">
        <v>1221</v>
      </c>
      <c r="EF268" s="25">
        <v>1</v>
      </c>
      <c r="EG268" s="25">
        <v>0</v>
      </c>
      <c r="EH268" s="25">
        <v>1</v>
      </c>
      <c r="EI268" s="25">
        <v>0</v>
      </c>
      <c r="EJ268" s="25" t="s">
        <v>62</v>
      </c>
      <c r="EK268" s="25" t="s">
        <v>624</v>
      </c>
      <c r="EL268" s="25" t="s">
        <v>624</v>
      </c>
      <c r="EM268" s="25" t="s">
        <v>276</v>
      </c>
      <c r="EN268" s="25" t="s">
        <v>23</v>
      </c>
      <c r="EO268" s="25" t="s">
        <v>23</v>
      </c>
      <c r="EP268" s="25" t="s">
        <v>62</v>
      </c>
      <c r="EQ268" s="25" t="s">
        <v>62</v>
      </c>
      <c r="ER268" s="25" t="s">
        <v>278</v>
      </c>
      <c r="ES268" s="25" t="s">
        <v>278</v>
      </c>
      <c r="ET268" s="25">
        <v>1</v>
      </c>
      <c r="EU268" s="25" t="s">
        <v>522</v>
      </c>
      <c r="EV268" s="25" t="s">
        <v>624</v>
      </c>
      <c r="EW268" s="25" t="s">
        <v>23</v>
      </c>
      <c r="EX268" s="25" t="s">
        <v>278</v>
      </c>
      <c r="EY268" s="20" t="e">
        <v>#N/A</v>
      </c>
    </row>
    <row r="269" spans="1:155">
      <c r="A269" s="21" t="s">
        <v>491</v>
      </c>
      <c r="B269" s="21" t="s">
        <v>491</v>
      </c>
      <c r="C269" s="21" t="s">
        <v>492</v>
      </c>
      <c r="D269" s="21" t="s">
        <v>493</v>
      </c>
      <c r="E269" s="21" t="s">
        <v>493</v>
      </c>
      <c r="F269" s="21" t="s">
        <v>493</v>
      </c>
      <c r="G269" s="21" t="s">
        <v>3703</v>
      </c>
      <c r="H269" s="21">
        <v>1123551662</v>
      </c>
      <c r="I269" s="21" t="s">
        <v>494</v>
      </c>
      <c r="J269" s="21" t="s">
        <v>3704</v>
      </c>
      <c r="L269" s="21" t="s">
        <v>495</v>
      </c>
      <c r="M269" s="21" t="s">
        <v>3705</v>
      </c>
      <c r="N269" s="21" t="s">
        <v>1258</v>
      </c>
      <c r="O269" s="21" t="s">
        <v>69</v>
      </c>
      <c r="P269" s="21" t="s">
        <v>497</v>
      </c>
      <c r="R269" s="21" t="s">
        <v>1259</v>
      </c>
      <c r="S269" s="21" t="s">
        <v>1260</v>
      </c>
      <c r="V269" s="21" t="s">
        <v>500</v>
      </c>
      <c r="W269" s="21" t="s">
        <v>501</v>
      </c>
      <c r="X269" s="21" t="s">
        <v>502</v>
      </c>
      <c r="Y269" s="21" t="s">
        <v>503</v>
      </c>
      <c r="Z269" s="21">
        <v>3035602096</v>
      </c>
      <c r="AA269" s="26">
        <v>42744</v>
      </c>
      <c r="AB269" s="26">
        <v>42744</v>
      </c>
      <c r="AC269" s="21" t="s">
        <v>504</v>
      </c>
      <c r="AD269" s="21" t="s">
        <v>505</v>
      </c>
      <c r="AE269" s="21" t="s">
        <v>500</v>
      </c>
      <c r="AF269" s="21" t="s">
        <v>506</v>
      </c>
      <c r="AG269" s="21" t="s">
        <v>1148</v>
      </c>
      <c r="AH269" s="21" t="s">
        <v>1149</v>
      </c>
      <c r="AI269" s="21" t="s">
        <v>2811</v>
      </c>
      <c r="AJ269" s="21" t="s">
        <v>507</v>
      </c>
      <c r="AK269" s="21" t="s">
        <v>494</v>
      </c>
      <c r="AL269" s="21" t="s">
        <v>508</v>
      </c>
      <c r="AM269" s="21" t="s">
        <v>509</v>
      </c>
      <c r="AN269" s="21" t="s">
        <v>527</v>
      </c>
      <c r="AO269" s="21" t="s">
        <v>528</v>
      </c>
      <c r="AQ269" s="21" t="s">
        <v>1431</v>
      </c>
      <c r="AS269" s="21" t="s">
        <v>511</v>
      </c>
      <c r="AT269" s="21" t="s">
        <v>512</v>
      </c>
      <c r="AW269" s="21">
        <v>0</v>
      </c>
      <c r="AX269" s="21">
        <v>2</v>
      </c>
      <c r="AY269" s="26"/>
      <c r="AZ269" s="26"/>
      <c r="BB269" s="26"/>
      <c r="BC269" s="21" t="s">
        <v>513</v>
      </c>
      <c r="BD269" s="21" t="s">
        <v>514</v>
      </c>
      <c r="BE269" s="21" t="s">
        <v>514</v>
      </c>
      <c r="BF269" s="21" t="s">
        <v>515</v>
      </c>
      <c r="BG269" s="21">
        <v>1</v>
      </c>
      <c r="BH269" s="21" t="s">
        <v>516</v>
      </c>
      <c r="BI269" s="21" t="s">
        <v>517</v>
      </c>
      <c r="BJ269" s="21" t="s">
        <v>516</v>
      </c>
      <c r="BK269" s="21" t="s">
        <v>516</v>
      </c>
      <c r="BM269" s="21" t="s">
        <v>20</v>
      </c>
      <c r="BN269" s="21" t="s">
        <v>101</v>
      </c>
      <c r="BO269" s="21" t="s">
        <v>518</v>
      </c>
      <c r="BP269" s="21" t="s">
        <v>519</v>
      </c>
      <c r="BQ269" s="21" t="s">
        <v>20</v>
      </c>
      <c r="BR269" s="21" t="s">
        <v>101</v>
      </c>
      <c r="BS269" s="21" t="s">
        <v>518</v>
      </c>
      <c r="BT269" s="21" t="s">
        <v>519</v>
      </c>
      <c r="BU269" s="21" t="s">
        <v>101</v>
      </c>
      <c r="CD269" s="21" t="s">
        <v>520</v>
      </c>
      <c r="CF269" s="21" t="s">
        <v>521</v>
      </c>
      <c r="CN269" s="26"/>
      <c r="DB269" s="24" t="s">
        <v>943</v>
      </c>
      <c r="DC269" s="21">
        <v>1</v>
      </c>
      <c r="DD269" s="21">
        <v>3</v>
      </c>
      <c r="DE269" s="22">
        <v>42751</v>
      </c>
      <c r="DF269" s="21" t="s">
        <v>3706</v>
      </c>
      <c r="DG269" s="21" t="s">
        <v>522</v>
      </c>
      <c r="DH269" s="21" t="s">
        <v>3707</v>
      </c>
      <c r="DI269" s="21" t="s">
        <v>495</v>
      </c>
      <c r="DJ269" s="21" t="s">
        <v>523</v>
      </c>
      <c r="DK269" s="26"/>
      <c r="DL269" s="26">
        <v>42756</v>
      </c>
      <c r="DM269" s="26">
        <v>42746</v>
      </c>
      <c r="DN269" s="21">
        <v>3100</v>
      </c>
      <c r="DO269" s="21">
        <v>9</v>
      </c>
      <c r="DP269" s="21">
        <v>1</v>
      </c>
      <c r="DQ269" s="21">
        <v>1</v>
      </c>
      <c r="DR269" s="21">
        <v>7</v>
      </c>
      <c r="DS269" s="21">
        <v>9</v>
      </c>
      <c r="DT269" s="21">
        <v>9</v>
      </c>
      <c r="DU269" s="21">
        <v>9</v>
      </c>
      <c r="DW269" s="21">
        <v>9</v>
      </c>
      <c r="EA269" s="21">
        <v>9</v>
      </c>
      <c r="EB269" s="21" t="s">
        <v>3708</v>
      </c>
      <c r="EC269" s="21" t="s">
        <v>1968</v>
      </c>
      <c r="EF269" s="25">
        <v>1</v>
      </c>
      <c r="EG269" s="25">
        <v>0</v>
      </c>
      <c r="EH269" s="25">
        <v>1</v>
      </c>
      <c r="EI269" s="25">
        <v>0</v>
      </c>
      <c r="EJ269" s="25" t="s">
        <v>62</v>
      </c>
      <c r="EK269" s="25" t="s">
        <v>102</v>
      </c>
      <c r="EL269" s="25" t="s">
        <v>102</v>
      </c>
      <c r="EM269" s="25" t="s">
        <v>276</v>
      </c>
      <c r="EN269" s="25" t="s">
        <v>9</v>
      </c>
      <c r="EO269" s="25" t="s">
        <v>9</v>
      </c>
      <c r="EP269" s="25" t="s">
        <v>62</v>
      </c>
      <c r="EQ269" s="25" t="s">
        <v>62</v>
      </c>
      <c r="ER269" s="25" t="s">
        <v>278</v>
      </c>
      <c r="ES269" s="25" t="s">
        <v>278</v>
      </c>
      <c r="ET269" s="25">
        <v>1</v>
      </c>
      <c r="EU269" s="25" t="s">
        <v>522</v>
      </c>
      <c r="EV269" s="25" t="s">
        <v>102</v>
      </c>
      <c r="EW269" s="25" t="s">
        <v>9</v>
      </c>
      <c r="EX269" s="25" t="s">
        <v>278</v>
      </c>
      <c r="EY269" s="20" t="e">
        <v>#N/A</v>
      </c>
    </row>
    <row r="270" spans="1:155">
      <c r="A270" s="21" t="s">
        <v>491</v>
      </c>
      <c r="B270" s="21" t="s">
        <v>491</v>
      </c>
      <c r="C270" s="21" t="s">
        <v>492</v>
      </c>
      <c r="D270" s="21" t="s">
        <v>493</v>
      </c>
      <c r="E270" s="21" t="s">
        <v>493</v>
      </c>
      <c r="F270" s="21" t="s">
        <v>493</v>
      </c>
      <c r="G270" s="21" t="s">
        <v>3709</v>
      </c>
      <c r="H270" s="21">
        <v>1239415367</v>
      </c>
      <c r="I270" s="21" t="s">
        <v>494</v>
      </c>
      <c r="J270" s="21" t="s">
        <v>3710</v>
      </c>
      <c r="L270" s="21" t="s">
        <v>495</v>
      </c>
      <c r="M270" s="21" t="s">
        <v>3711</v>
      </c>
      <c r="N270" s="21" t="s">
        <v>1051</v>
      </c>
      <c r="O270" s="21" t="s">
        <v>93</v>
      </c>
      <c r="P270" s="21" t="s">
        <v>539</v>
      </c>
      <c r="R270" s="21" t="s">
        <v>1052</v>
      </c>
      <c r="S270" s="21" t="s">
        <v>1053</v>
      </c>
      <c r="V270" s="21" t="s">
        <v>277</v>
      </c>
      <c r="W270" s="21" t="s">
        <v>524</v>
      </c>
      <c r="X270" s="21" t="s">
        <v>525</v>
      </c>
      <c r="Y270" s="21" t="s">
        <v>530</v>
      </c>
      <c r="Z270" s="21">
        <v>3035606437</v>
      </c>
      <c r="AA270" s="26">
        <v>42744</v>
      </c>
      <c r="AB270" s="26">
        <v>42744</v>
      </c>
      <c r="AC270" s="21" t="s">
        <v>504</v>
      </c>
      <c r="AD270" s="21" t="s">
        <v>505</v>
      </c>
      <c r="AE270" s="21" t="s">
        <v>1054</v>
      </c>
      <c r="AF270" s="21" t="s">
        <v>1105</v>
      </c>
      <c r="AG270" s="21" t="s">
        <v>1106</v>
      </c>
      <c r="AH270" s="21" t="s">
        <v>1107</v>
      </c>
      <c r="AI270" s="21" t="s">
        <v>3712</v>
      </c>
      <c r="AJ270" s="21" t="s">
        <v>1109</v>
      </c>
      <c r="AK270" s="21" t="s">
        <v>494</v>
      </c>
      <c r="AL270" s="21" t="s">
        <v>527</v>
      </c>
      <c r="AM270" s="21" t="s">
        <v>527</v>
      </c>
      <c r="AN270" s="21" t="s">
        <v>527</v>
      </c>
      <c r="AO270" s="21" t="s">
        <v>528</v>
      </c>
      <c r="AS270" s="21" t="s">
        <v>511</v>
      </c>
      <c r="AT270" s="21" t="s">
        <v>512</v>
      </c>
      <c r="AW270" s="21">
        <v>0</v>
      </c>
      <c r="AX270" s="21">
        <v>2</v>
      </c>
      <c r="AY270" s="26"/>
      <c r="AZ270" s="26"/>
      <c r="BB270" s="26"/>
      <c r="BC270" s="21" t="s">
        <v>513</v>
      </c>
      <c r="BD270" s="21" t="s">
        <v>514</v>
      </c>
      <c r="BE270" s="21" t="s">
        <v>514</v>
      </c>
      <c r="BF270" s="21" t="s">
        <v>515</v>
      </c>
      <c r="BG270" s="21">
        <v>1</v>
      </c>
      <c r="BH270" s="21" t="s">
        <v>516</v>
      </c>
      <c r="BI270" s="21" t="s">
        <v>517</v>
      </c>
      <c r="BJ270" s="21" t="s">
        <v>516</v>
      </c>
      <c r="BK270" s="21" t="s">
        <v>516</v>
      </c>
      <c r="BM270" s="21" t="s">
        <v>1362</v>
      </c>
      <c r="BN270" s="21" t="s">
        <v>236</v>
      </c>
      <c r="BO270" s="21" t="s">
        <v>518</v>
      </c>
      <c r="BP270" s="21" t="s">
        <v>1044</v>
      </c>
      <c r="BQ270" s="21" t="s">
        <v>1362</v>
      </c>
      <c r="BR270" s="21" t="s">
        <v>236</v>
      </c>
      <c r="BS270" s="21" t="s">
        <v>518</v>
      </c>
      <c r="BT270" s="21" t="s">
        <v>1044</v>
      </c>
      <c r="BU270" s="21" t="s">
        <v>236</v>
      </c>
      <c r="CD270" s="21" t="s">
        <v>520</v>
      </c>
      <c r="CF270" s="21" t="s">
        <v>521</v>
      </c>
      <c r="CN270" s="26"/>
      <c r="DB270" s="24" t="s">
        <v>943</v>
      </c>
      <c r="DC270" s="21">
        <v>1</v>
      </c>
      <c r="DD270" s="21">
        <v>3</v>
      </c>
      <c r="DE270" s="22">
        <v>42751</v>
      </c>
      <c r="DF270" s="21" t="s">
        <v>1605</v>
      </c>
      <c r="DG270" s="21" t="s">
        <v>522</v>
      </c>
      <c r="DH270" s="21" t="s">
        <v>3713</v>
      </c>
      <c r="DI270" s="21" t="s">
        <v>495</v>
      </c>
      <c r="DJ270" s="21" t="s">
        <v>523</v>
      </c>
      <c r="DK270" s="26"/>
      <c r="DL270" s="26">
        <v>42756</v>
      </c>
      <c r="DM270" s="26">
        <v>42746</v>
      </c>
      <c r="DN270" s="21">
        <v>1100</v>
      </c>
      <c r="DO270" s="21">
        <v>8</v>
      </c>
      <c r="DP270" s="21">
        <v>1</v>
      </c>
      <c r="DQ270" s="21">
        <v>1</v>
      </c>
      <c r="DR270" s="21">
        <v>5</v>
      </c>
      <c r="DS270" s="21">
        <v>8</v>
      </c>
      <c r="DT270" s="21">
        <v>8</v>
      </c>
      <c r="DU270" s="21">
        <v>7</v>
      </c>
      <c r="DW270" s="21">
        <v>8</v>
      </c>
      <c r="EA270" s="21">
        <v>7</v>
      </c>
      <c r="EF270" s="25">
        <v>0</v>
      </c>
      <c r="EG270" s="25">
        <v>0</v>
      </c>
      <c r="EH270" s="25">
        <v>0</v>
      </c>
      <c r="EI270" s="25">
        <v>0</v>
      </c>
      <c r="EJ270" s="25" t="s">
        <v>92</v>
      </c>
      <c r="EK270" s="25" t="s">
        <v>237</v>
      </c>
      <c r="EL270" s="25" t="s">
        <v>237</v>
      </c>
      <c r="EM270" s="25" t="s">
        <v>276</v>
      </c>
      <c r="EN270" s="25" t="s">
        <v>39</v>
      </c>
      <c r="EO270" s="25" t="s">
        <v>39</v>
      </c>
      <c r="EP270" s="25" t="s">
        <v>92</v>
      </c>
      <c r="EQ270" s="25" t="s">
        <v>92</v>
      </c>
      <c r="ER270" s="25" t="s">
        <v>278</v>
      </c>
      <c r="ES270" s="25" t="s">
        <v>278</v>
      </c>
      <c r="ET270" s="25">
        <v>1</v>
      </c>
      <c r="EU270" s="25" t="s">
        <v>522</v>
      </c>
      <c r="EV270" s="25" t="s">
        <v>237</v>
      </c>
      <c r="EW270" s="25" t="s">
        <v>39</v>
      </c>
      <c r="EX270" s="25" t="s">
        <v>278</v>
      </c>
      <c r="EY270" s="20" t="e">
        <v>#N/A</v>
      </c>
    </row>
    <row r="271" spans="1:155">
      <c r="A271" s="21" t="s">
        <v>491</v>
      </c>
      <c r="B271" s="21" t="s">
        <v>491</v>
      </c>
      <c r="C271" s="21" t="s">
        <v>492</v>
      </c>
      <c r="D271" s="21" t="s">
        <v>493</v>
      </c>
      <c r="E271" s="21" t="s">
        <v>493</v>
      </c>
      <c r="F271" s="21" t="s">
        <v>493</v>
      </c>
      <c r="G271" s="21" t="s">
        <v>3714</v>
      </c>
      <c r="H271" s="21">
        <v>22988051497</v>
      </c>
      <c r="I271" s="21" t="s">
        <v>3715</v>
      </c>
      <c r="J271" s="21" t="s">
        <v>3716</v>
      </c>
      <c r="L271" s="21" t="s">
        <v>495</v>
      </c>
      <c r="M271" s="21" t="s">
        <v>3717</v>
      </c>
      <c r="N271" s="21" t="s">
        <v>496</v>
      </c>
      <c r="O271" s="21" t="s">
        <v>69</v>
      </c>
      <c r="P271" s="21" t="s">
        <v>497</v>
      </c>
      <c r="R271" s="21" t="s">
        <v>498</v>
      </c>
      <c r="S271" s="21" t="s">
        <v>499</v>
      </c>
      <c r="V271" s="21" t="s">
        <v>500</v>
      </c>
      <c r="W271" s="21" t="s">
        <v>501</v>
      </c>
      <c r="X271" s="21" t="s">
        <v>502</v>
      </c>
      <c r="Y271" s="21" t="s">
        <v>503</v>
      </c>
      <c r="Z271" s="21">
        <v>3035508579</v>
      </c>
      <c r="AA271" s="26">
        <v>42740</v>
      </c>
      <c r="AB271" s="26">
        <v>42745</v>
      </c>
      <c r="AC271" s="21" t="s">
        <v>504</v>
      </c>
      <c r="AD271" s="21" t="s">
        <v>505</v>
      </c>
      <c r="AE271" s="21" t="s">
        <v>500</v>
      </c>
      <c r="AF271" s="21" t="s">
        <v>506</v>
      </c>
      <c r="AG271" s="21" t="s">
        <v>1148</v>
      </c>
      <c r="AH271" s="21" t="s">
        <v>1149</v>
      </c>
      <c r="AI271" s="21" t="s">
        <v>2811</v>
      </c>
      <c r="AJ271" s="21" t="s">
        <v>507</v>
      </c>
      <c r="AK271" s="21" t="s">
        <v>494</v>
      </c>
      <c r="AL271" s="21" t="s">
        <v>527</v>
      </c>
      <c r="AM271" s="21" t="s">
        <v>527</v>
      </c>
      <c r="AN271" s="21" t="s">
        <v>527</v>
      </c>
      <c r="AO271" s="21" t="s">
        <v>528</v>
      </c>
      <c r="AS271" s="21" t="s">
        <v>511</v>
      </c>
      <c r="AT271" s="21" t="s">
        <v>512</v>
      </c>
      <c r="AW271" s="21">
        <v>0</v>
      </c>
      <c r="AX271" s="21">
        <v>12</v>
      </c>
      <c r="AY271" s="26"/>
      <c r="AZ271" s="26"/>
      <c r="BB271" s="26"/>
      <c r="BC271" s="21" t="s">
        <v>513</v>
      </c>
      <c r="BD271" s="21" t="s">
        <v>514</v>
      </c>
      <c r="BE271" s="21" t="s">
        <v>514</v>
      </c>
      <c r="BF271" s="21" t="s">
        <v>515</v>
      </c>
      <c r="BG271" s="21">
        <v>1</v>
      </c>
      <c r="BH271" s="21" t="s">
        <v>516</v>
      </c>
      <c r="BI271" s="21" t="s">
        <v>517</v>
      </c>
      <c r="BJ271" s="21" t="s">
        <v>516</v>
      </c>
      <c r="BK271" s="21" t="s">
        <v>516</v>
      </c>
      <c r="BM271" s="21" t="s">
        <v>2139</v>
      </c>
      <c r="BN271" s="21" t="s">
        <v>153</v>
      </c>
      <c r="BO271" s="21" t="s">
        <v>518</v>
      </c>
      <c r="BP271" s="21" t="s">
        <v>1044</v>
      </c>
      <c r="BQ271" s="21" t="s">
        <v>1362</v>
      </c>
      <c r="BR271" s="21" t="s">
        <v>236</v>
      </c>
      <c r="BS271" s="21" t="s">
        <v>518</v>
      </c>
      <c r="BT271" s="21" t="s">
        <v>1044</v>
      </c>
      <c r="BU271" s="21" t="s">
        <v>153</v>
      </c>
      <c r="CD271" s="21" t="s">
        <v>520</v>
      </c>
      <c r="CF271" s="21" t="s">
        <v>521</v>
      </c>
      <c r="CN271" s="26"/>
      <c r="DB271" s="24" t="s">
        <v>943</v>
      </c>
      <c r="DC271" s="21">
        <v>1</v>
      </c>
      <c r="DD271" s="21">
        <v>3</v>
      </c>
      <c r="DE271" s="22">
        <v>42751</v>
      </c>
      <c r="DF271" s="21" t="s">
        <v>3718</v>
      </c>
      <c r="DG271" s="21" t="s">
        <v>522</v>
      </c>
      <c r="DH271" s="21" t="s">
        <v>3719</v>
      </c>
      <c r="DI271" s="21" t="s">
        <v>495</v>
      </c>
      <c r="DJ271" s="21" t="s">
        <v>523</v>
      </c>
      <c r="DK271" s="26"/>
      <c r="DL271" s="26">
        <v>42757</v>
      </c>
      <c r="DM271" s="26">
        <v>42747</v>
      </c>
      <c r="DN271" s="21">
        <v>3100</v>
      </c>
      <c r="DO271" s="21">
        <v>8</v>
      </c>
      <c r="DP271" s="21">
        <v>1</v>
      </c>
      <c r="DQ271" s="21">
        <v>2</v>
      </c>
      <c r="DR271" s="21">
        <v>7</v>
      </c>
      <c r="DS271" s="21">
        <v>10</v>
      </c>
      <c r="DT271" s="21">
        <v>10</v>
      </c>
      <c r="DU271" s="21">
        <v>10</v>
      </c>
      <c r="DW271" s="21">
        <v>10</v>
      </c>
      <c r="EA271" s="21">
        <v>10</v>
      </c>
      <c r="EB271" s="21" t="s">
        <v>3720</v>
      </c>
      <c r="EC271" s="21" t="s">
        <v>1221</v>
      </c>
      <c r="EF271" s="25">
        <v>1</v>
      </c>
      <c r="EG271" s="25">
        <v>0</v>
      </c>
      <c r="EH271" s="25">
        <v>0</v>
      </c>
      <c r="EI271" s="25">
        <v>0</v>
      </c>
      <c r="EJ271" s="25" t="s">
        <v>62</v>
      </c>
      <c r="EK271" s="25" t="s">
        <v>276</v>
      </c>
      <c r="EL271" s="25" t="s">
        <v>237</v>
      </c>
      <c r="EM271" s="25" t="s">
        <v>276</v>
      </c>
      <c r="EN271" s="25" t="s">
        <v>276</v>
      </c>
      <c r="EO271" s="25" t="s">
        <v>39</v>
      </c>
      <c r="EP271" s="25" t="s">
        <v>276</v>
      </c>
      <c r="EQ271" s="25" t="s">
        <v>92</v>
      </c>
      <c r="ER271" s="25" t="s">
        <v>276</v>
      </c>
      <c r="ES271" s="25" t="s">
        <v>278</v>
      </c>
      <c r="ET271" s="25">
        <v>1</v>
      </c>
      <c r="EU271" s="25" t="s">
        <v>522</v>
      </c>
      <c r="EV271" s="25" t="s">
        <v>279</v>
      </c>
      <c r="EW271" s="25" t="s">
        <v>279</v>
      </c>
      <c r="EX271" s="25" t="s">
        <v>279</v>
      </c>
      <c r="EY271" s="20" t="s">
        <v>273</v>
      </c>
    </row>
    <row r="272" spans="1:155">
      <c r="A272" s="21" t="s">
        <v>491</v>
      </c>
      <c r="B272" s="21" t="s">
        <v>491</v>
      </c>
      <c r="C272" s="21" t="s">
        <v>492</v>
      </c>
      <c r="D272" s="21" t="s">
        <v>493</v>
      </c>
      <c r="E272" s="21" t="s">
        <v>493</v>
      </c>
      <c r="F272" s="21" t="s">
        <v>493</v>
      </c>
      <c r="G272" s="21" t="s">
        <v>3721</v>
      </c>
      <c r="H272" s="21">
        <v>6135263205</v>
      </c>
      <c r="I272" s="21" t="s">
        <v>494</v>
      </c>
      <c r="J272" s="21" t="s">
        <v>3722</v>
      </c>
      <c r="L272" s="21" t="s">
        <v>495</v>
      </c>
      <c r="M272" s="21" t="s">
        <v>3723</v>
      </c>
      <c r="N272" s="21" t="s">
        <v>3724</v>
      </c>
      <c r="O272" s="21" t="s">
        <v>144</v>
      </c>
      <c r="P272" s="21" t="s">
        <v>1635</v>
      </c>
      <c r="R272" s="21" t="s">
        <v>3725</v>
      </c>
      <c r="S272" s="21" t="s">
        <v>3726</v>
      </c>
      <c r="V272" s="21" t="s">
        <v>500</v>
      </c>
      <c r="W272" s="21" t="s">
        <v>501</v>
      </c>
      <c r="X272" s="21" t="s">
        <v>502</v>
      </c>
      <c r="Y272" s="21" t="s">
        <v>554</v>
      </c>
      <c r="Z272" s="21">
        <v>3035656263</v>
      </c>
      <c r="AA272" s="26">
        <v>42745</v>
      </c>
      <c r="AB272" s="26">
        <v>42745</v>
      </c>
      <c r="AC272" s="21" t="s">
        <v>504</v>
      </c>
      <c r="AD272" s="21" t="s">
        <v>505</v>
      </c>
      <c r="AE272" s="21" t="s">
        <v>500</v>
      </c>
      <c r="AF272" s="21" t="s">
        <v>549</v>
      </c>
      <c r="AG272" s="21" t="s">
        <v>555</v>
      </c>
      <c r="AH272" s="21" t="s">
        <v>556</v>
      </c>
      <c r="AI272" s="21" t="s">
        <v>2720</v>
      </c>
      <c r="AJ272" s="21" t="s">
        <v>526</v>
      </c>
      <c r="AK272" s="21" t="s">
        <v>494</v>
      </c>
      <c r="AL272" s="21" t="s">
        <v>527</v>
      </c>
      <c r="AM272" s="21" t="s">
        <v>527</v>
      </c>
      <c r="AN272" s="21" t="s">
        <v>527</v>
      </c>
      <c r="AO272" s="21" t="s">
        <v>528</v>
      </c>
      <c r="AS272" s="21" t="s">
        <v>511</v>
      </c>
      <c r="AT272" s="21" t="s">
        <v>512</v>
      </c>
      <c r="AW272" s="21">
        <v>0</v>
      </c>
      <c r="AX272" s="21">
        <v>4</v>
      </c>
      <c r="AY272" s="26"/>
      <c r="AZ272" s="26"/>
      <c r="BB272" s="26"/>
      <c r="BC272" s="21" t="s">
        <v>513</v>
      </c>
      <c r="BD272" s="21" t="s">
        <v>514</v>
      </c>
      <c r="BE272" s="21" t="s">
        <v>514</v>
      </c>
      <c r="BF272" s="21" t="s">
        <v>515</v>
      </c>
      <c r="BG272" s="21">
        <v>1</v>
      </c>
      <c r="BH272" s="21" t="s">
        <v>516</v>
      </c>
      <c r="BI272" s="21" t="s">
        <v>517</v>
      </c>
      <c r="BJ272" s="21" t="s">
        <v>516</v>
      </c>
      <c r="BK272" s="21" t="s">
        <v>516</v>
      </c>
      <c r="BM272" s="21" t="s">
        <v>846</v>
      </c>
      <c r="BN272" s="21" t="s">
        <v>854</v>
      </c>
      <c r="BO272" s="21" t="s">
        <v>518</v>
      </c>
      <c r="BP272" s="21" t="s">
        <v>519</v>
      </c>
      <c r="BQ272" s="21" t="s">
        <v>846</v>
      </c>
      <c r="BR272" s="21" t="s">
        <v>854</v>
      </c>
      <c r="BS272" s="21" t="s">
        <v>518</v>
      </c>
      <c r="BT272" s="21" t="s">
        <v>519</v>
      </c>
      <c r="BU272" s="21" t="s">
        <v>854</v>
      </c>
      <c r="CD272" s="21" t="s">
        <v>520</v>
      </c>
      <c r="CF272" s="21" t="s">
        <v>521</v>
      </c>
      <c r="CN272" s="26"/>
      <c r="DB272" s="24" t="s">
        <v>943</v>
      </c>
      <c r="DC272" s="21">
        <v>1</v>
      </c>
      <c r="DD272" s="21">
        <v>3</v>
      </c>
      <c r="DE272" s="22">
        <v>42751</v>
      </c>
      <c r="DF272" s="21" t="s">
        <v>3727</v>
      </c>
      <c r="DG272" s="21" t="s">
        <v>522</v>
      </c>
      <c r="DH272" s="21" t="s">
        <v>3728</v>
      </c>
      <c r="DI272" s="21" t="s">
        <v>495</v>
      </c>
      <c r="DJ272" s="21" t="s">
        <v>523</v>
      </c>
      <c r="DK272" s="26"/>
      <c r="DL272" s="26">
        <v>42757</v>
      </c>
      <c r="DM272" s="26">
        <v>42747</v>
      </c>
      <c r="DN272" s="21">
        <v>3100</v>
      </c>
      <c r="DO272" s="21">
        <v>9</v>
      </c>
      <c r="DP272" s="21">
        <v>1</v>
      </c>
      <c r="DQ272" s="21">
        <v>1</v>
      </c>
      <c r="DR272" s="21">
        <v>6</v>
      </c>
      <c r="DS272" s="21">
        <v>9</v>
      </c>
      <c r="DT272" s="21">
        <v>10</v>
      </c>
      <c r="DU272" s="21">
        <v>9</v>
      </c>
      <c r="DW272" s="21">
        <v>9</v>
      </c>
      <c r="EA272" s="21">
        <v>9</v>
      </c>
      <c r="EF272" s="25">
        <v>1</v>
      </c>
      <c r="EG272" s="25">
        <v>0</v>
      </c>
      <c r="EH272" s="25">
        <v>1</v>
      </c>
      <c r="EI272" s="25">
        <v>0</v>
      </c>
      <c r="EJ272" s="25" t="s">
        <v>62</v>
      </c>
      <c r="EK272" s="25" t="s">
        <v>276</v>
      </c>
      <c r="EL272" s="25" t="s">
        <v>276</v>
      </c>
      <c r="EM272" s="25" t="s">
        <v>276</v>
      </c>
      <c r="EN272" s="25" t="s">
        <v>276</v>
      </c>
      <c r="EO272" s="25" t="s">
        <v>276</v>
      </c>
      <c r="EP272" s="25" t="s">
        <v>276</v>
      </c>
      <c r="EQ272" s="25" t="s">
        <v>276</v>
      </c>
      <c r="ER272" s="25" t="s">
        <v>276</v>
      </c>
      <c r="ES272" s="25" t="s">
        <v>276</v>
      </c>
      <c r="ET272" s="25">
        <v>1</v>
      </c>
      <c r="EU272" s="25" t="s">
        <v>522</v>
      </c>
      <c r="EV272" s="25" t="s">
        <v>276</v>
      </c>
      <c r="EW272" s="25" t="s">
        <v>276</v>
      </c>
      <c r="EX272" s="25" t="s">
        <v>276</v>
      </c>
      <c r="EY272" s="20" t="s">
        <v>273</v>
      </c>
    </row>
    <row r="273" spans="1:155">
      <c r="A273" s="21" t="s">
        <v>491</v>
      </c>
      <c r="B273" s="21" t="s">
        <v>491</v>
      </c>
      <c r="C273" s="21" t="s">
        <v>492</v>
      </c>
      <c r="D273" s="21" t="s">
        <v>493</v>
      </c>
      <c r="E273" s="21" t="s">
        <v>493</v>
      </c>
      <c r="F273" s="21" t="s">
        <v>493</v>
      </c>
      <c r="G273" s="21" t="s">
        <v>3729</v>
      </c>
      <c r="H273" s="21" t="s">
        <v>3730</v>
      </c>
      <c r="I273" s="21" t="s">
        <v>3731</v>
      </c>
      <c r="J273" s="21" t="s">
        <v>3732</v>
      </c>
      <c r="L273" s="21" t="s">
        <v>495</v>
      </c>
      <c r="M273" s="21" t="s">
        <v>3733</v>
      </c>
      <c r="N273" s="21" t="s">
        <v>1807</v>
      </c>
      <c r="O273" s="21" t="s">
        <v>69</v>
      </c>
      <c r="P273" s="21" t="s">
        <v>497</v>
      </c>
      <c r="R273" s="21" t="s">
        <v>1808</v>
      </c>
      <c r="S273" s="21" t="s">
        <v>1809</v>
      </c>
      <c r="V273" s="21" t="s">
        <v>500</v>
      </c>
      <c r="W273" s="21" t="s">
        <v>501</v>
      </c>
      <c r="X273" s="21" t="s">
        <v>502</v>
      </c>
      <c r="Y273" s="21" t="s">
        <v>503</v>
      </c>
      <c r="Z273" s="21">
        <v>3035648910</v>
      </c>
      <c r="AA273" s="26">
        <v>42745</v>
      </c>
      <c r="AB273" s="26">
        <v>42745</v>
      </c>
      <c r="AC273" s="21" t="s">
        <v>504</v>
      </c>
      <c r="AD273" s="21" t="s">
        <v>505</v>
      </c>
      <c r="AE273" s="21" t="s">
        <v>500</v>
      </c>
      <c r="AF273" s="21" t="s">
        <v>506</v>
      </c>
      <c r="AG273" s="21" t="s">
        <v>1148</v>
      </c>
      <c r="AH273" s="21" t="s">
        <v>1149</v>
      </c>
      <c r="AI273" s="21" t="s">
        <v>1604</v>
      </c>
      <c r="AJ273" s="21" t="s">
        <v>507</v>
      </c>
      <c r="AK273" s="21" t="s">
        <v>494</v>
      </c>
      <c r="AL273" s="21" t="s">
        <v>508</v>
      </c>
      <c r="AM273" s="21" t="s">
        <v>509</v>
      </c>
      <c r="AN273" s="21" t="s">
        <v>509</v>
      </c>
      <c r="AO273" s="21" t="s">
        <v>510</v>
      </c>
      <c r="AS273" s="21" t="s">
        <v>511</v>
      </c>
      <c r="AT273" s="21" t="s">
        <v>512</v>
      </c>
      <c r="AW273" s="21">
        <v>0</v>
      </c>
      <c r="AX273" s="21">
        <v>2</v>
      </c>
      <c r="AY273" s="26"/>
      <c r="AZ273" s="26"/>
      <c r="BB273" s="26"/>
      <c r="BC273" s="21" t="s">
        <v>513</v>
      </c>
      <c r="BD273" s="21" t="s">
        <v>514</v>
      </c>
      <c r="BE273" s="21" t="s">
        <v>514</v>
      </c>
      <c r="BF273" s="21" t="s">
        <v>515</v>
      </c>
      <c r="BG273" s="21">
        <v>1</v>
      </c>
      <c r="BH273" s="21" t="s">
        <v>516</v>
      </c>
      <c r="BI273" s="21" t="s">
        <v>517</v>
      </c>
      <c r="BJ273" s="21" t="s">
        <v>516</v>
      </c>
      <c r="BK273" s="21" t="s">
        <v>516</v>
      </c>
      <c r="BM273" s="21" t="s">
        <v>8</v>
      </c>
      <c r="BN273" s="21" t="s">
        <v>80</v>
      </c>
      <c r="BO273" s="21" t="s">
        <v>518</v>
      </c>
      <c r="BP273" s="21" t="s">
        <v>519</v>
      </c>
      <c r="BQ273" s="21" t="s">
        <v>8</v>
      </c>
      <c r="BR273" s="21" t="s">
        <v>80</v>
      </c>
      <c r="BS273" s="21" t="s">
        <v>518</v>
      </c>
      <c r="BT273" s="21" t="s">
        <v>519</v>
      </c>
      <c r="BU273" s="21" t="s">
        <v>80</v>
      </c>
      <c r="CD273" s="21" t="s">
        <v>520</v>
      </c>
      <c r="CF273" s="21" t="s">
        <v>521</v>
      </c>
      <c r="CN273" s="26"/>
      <c r="DB273" s="24" t="s">
        <v>943</v>
      </c>
      <c r="DC273" s="21">
        <v>1</v>
      </c>
      <c r="DD273" s="21">
        <v>3</v>
      </c>
      <c r="DE273" s="22">
        <v>42751</v>
      </c>
      <c r="DF273" s="21" t="s">
        <v>3734</v>
      </c>
      <c r="DG273" s="21" t="s">
        <v>522</v>
      </c>
      <c r="DH273" s="21" t="s">
        <v>3735</v>
      </c>
      <c r="DI273" s="21" t="s">
        <v>495</v>
      </c>
      <c r="DJ273" s="21" t="s">
        <v>520</v>
      </c>
      <c r="DK273" s="26"/>
      <c r="DL273" s="26">
        <v>42757</v>
      </c>
      <c r="DM273" s="26">
        <v>42747</v>
      </c>
      <c r="DN273" s="21">
        <v>3100</v>
      </c>
      <c r="DO273" s="21">
        <v>10</v>
      </c>
      <c r="DP273" s="21">
        <v>1</v>
      </c>
      <c r="DQ273" s="21">
        <v>1</v>
      </c>
      <c r="DR273" s="21">
        <v>7</v>
      </c>
      <c r="DS273" s="21">
        <v>10</v>
      </c>
      <c r="DT273" s="21">
        <v>10</v>
      </c>
      <c r="DU273" s="21">
        <v>10</v>
      </c>
      <c r="DW273" s="21">
        <v>10</v>
      </c>
      <c r="EA273" s="21">
        <v>10</v>
      </c>
      <c r="EB273" s="21" t="s">
        <v>3736</v>
      </c>
      <c r="EC273" s="21" t="s">
        <v>1837</v>
      </c>
      <c r="EF273" s="25">
        <v>1</v>
      </c>
      <c r="EG273" s="25">
        <v>0</v>
      </c>
      <c r="EH273" s="25">
        <v>1</v>
      </c>
      <c r="EI273" s="25">
        <v>0</v>
      </c>
      <c r="EJ273" s="25" t="s">
        <v>62</v>
      </c>
      <c r="EK273" s="25" t="s">
        <v>81</v>
      </c>
      <c r="EL273" s="25" t="s">
        <v>81</v>
      </c>
      <c r="EM273" s="25" t="s">
        <v>276</v>
      </c>
      <c r="EN273" s="25" t="s">
        <v>271</v>
      </c>
      <c r="EO273" s="25" t="s">
        <v>271</v>
      </c>
      <c r="EP273" s="25" t="s">
        <v>548</v>
      </c>
      <c r="EQ273" s="25" t="s">
        <v>548</v>
      </c>
      <c r="ER273" s="25" t="s">
        <v>278</v>
      </c>
      <c r="ES273" s="25" t="s">
        <v>278</v>
      </c>
      <c r="ET273" s="25">
        <v>1</v>
      </c>
      <c r="EU273" s="25" t="s">
        <v>522</v>
      </c>
      <c r="EV273" s="25" t="s">
        <v>81</v>
      </c>
      <c r="EW273" s="25" t="s">
        <v>271</v>
      </c>
      <c r="EX273" s="25" t="s">
        <v>278</v>
      </c>
      <c r="EY273" s="20" t="e">
        <v>#N/A</v>
      </c>
    </row>
    <row r="274" spans="1:155">
      <c r="A274" s="21" t="s">
        <v>491</v>
      </c>
      <c r="B274" s="21" t="s">
        <v>491</v>
      </c>
      <c r="C274" s="21" t="s">
        <v>492</v>
      </c>
      <c r="D274" s="21" t="s">
        <v>493</v>
      </c>
      <c r="E274" s="21" t="s">
        <v>493</v>
      </c>
      <c r="F274" s="21" t="s">
        <v>493</v>
      </c>
      <c r="G274" s="21" t="s">
        <v>3737</v>
      </c>
      <c r="H274" s="21" t="s">
        <v>3738</v>
      </c>
      <c r="I274" s="21" t="s">
        <v>494</v>
      </c>
      <c r="J274" s="21" t="s">
        <v>3739</v>
      </c>
      <c r="L274" s="21" t="s">
        <v>495</v>
      </c>
      <c r="M274" s="21" t="s">
        <v>3740</v>
      </c>
      <c r="N274" s="21" t="s">
        <v>1186</v>
      </c>
      <c r="O274" s="21" t="s">
        <v>100</v>
      </c>
      <c r="P274" s="21" t="s">
        <v>1187</v>
      </c>
      <c r="R274" s="21" t="s">
        <v>1188</v>
      </c>
      <c r="S274" s="21" t="s">
        <v>1189</v>
      </c>
      <c r="V274" s="21" t="s">
        <v>277</v>
      </c>
      <c r="W274" s="21" t="s">
        <v>524</v>
      </c>
      <c r="X274" s="21" t="s">
        <v>525</v>
      </c>
      <c r="Y274" s="21" t="s">
        <v>1190</v>
      </c>
      <c r="Z274" s="21">
        <v>3035567614</v>
      </c>
      <c r="AA274" s="26">
        <v>42745</v>
      </c>
      <c r="AB274" s="26">
        <v>42745</v>
      </c>
      <c r="AC274" s="21" t="s">
        <v>504</v>
      </c>
      <c r="AD274" s="21" t="s">
        <v>505</v>
      </c>
      <c r="AE274" s="21" t="s">
        <v>1054</v>
      </c>
      <c r="AF274" s="21" t="s">
        <v>1105</v>
      </c>
      <c r="AG274" s="21" t="s">
        <v>1516</v>
      </c>
      <c r="AH274" s="21" t="s">
        <v>1517</v>
      </c>
      <c r="AI274" s="21" t="s">
        <v>3741</v>
      </c>
      <c r="AJ274" s="21" t="s">
        <v>526</v>
      </c>
      <c r="AK274" s="21" t="s">
        <v>494</v>
      </c>
      <c r="AL274" s="21" t="s">
        <v>527</v>
      </c>
      <c r="AM274" s="21" t="s">
        <v>527</v>
      </c>
      <c r="AN274" s="21" t="s">
        <v>527</v>
      </c>
      <c r="AO274" s="21" t="s">
        <v>528</v>
      </c>
      <c r="AS274" s="21" t="s">
        <v>511</v>
      </c>
      <c r="AT274" s="21" t="s">
        <v>512</v>
      </c>
      <c r="AW274" s="21">
        <v>1</v>
      </c>
      <c r="AX274" s="21">
        <v>7</v>
      </c>
      <c r="AY274" s="26"/>
      <c r="AZ274" s="26"/>
      <c r="BB274" s="26"/>
      <c r="BC274" s="21" t="s">
        <v>513</v>
      </c>
      <c r="BD274" s="21" t="s">
        <v>514</v>
      </c>
      <c r="BE274" s="21" t="s">
        <v>514</v>
      </c>
      <c r="BF274" s="21" t="s">
        <v>515</v>
      </c>
      <c r="BG274" s="21">
        <v>1</v>
      </c>
      <c r="BH274" s="21" t="s">
        <v>516</v>
      </c>
      <c r="BI274" s="21" t="s">
        <v>517</v>
      </c>
      <c r="BJ274" s="21" t="s">
        <v>516</v>
      </c>
      <c r="BK274" s="21" t="s">
        <v>516</v>
      </c>
      <c r="BM274" s="21" t="s">
        <v>13</v>
      </c>
      <c r="BN274" s="21" t="s">
        <v>56</v>
      </c>
      <c r="BO274" s="21" t="s">
        <v>518</v>
      </c>
      <c r="BP274" s="21" t="s">
        <v>519</v>
      </c>
      <c r="BQ274" s="21" t="s">
        <v>19</v>
      </c>
      <c r="BR274" s="21" t="s">
        <v>82</v>
      </c>
      <c r="BS274" s="21" t="s">
        <v>518</v>
      </c>
      <c r="BT274" s="21" t="s">
        <v>519</v>
      </c>
      <c r="BU274" s="21" t="s">
        <v>56</v>
      </c>
      <c r="CD274" s="21" t="s">
        <v>520</v>
      </c>
      <c r="CF274" s="21" t="s">
        <v>521</v>
      </c>
      <c r="CN274" s="26"/>
      <c r="DB274" s="24" t="s">
        <v>943</v>
      </c>
      <c r="DC274" s="21">
        <v>1</v>
      </c>
      <c r="DD274" s="21">
        <v>3</v>
      </c>
      <c r="DE274" s="22">
        <v>42751</v>
      </c>
      <c r="DF274" s="21" t="s">
        <v>3742</v>
      </c>
      <c r="DG274" s="21" t="s">
        <v>522</v>
      </c>
      <c r="DH274" s="21" t="s">
        <v>3743</v>
      </c>
      <c r="DI274" s="21" t="s">
        <v>495</v>
      </c>
      <c r="DJ274" s="21" t="s">
        <v>523</v>
      </c>
      <c r="DK274" s="26"/>
      <c r="DL274" s="26">
        <v>42757</v>
      </c>
      <c r="DM274" s="26">
        <v>42747</v>
      </c>
      <c r="DN274" s="21">
        <v>1100</v>
      </c>
      <c r="DO274" s="21">
        <v>10</v>
      </c>
      <c r="DP274" s="21">
        <v>1</v>
      </c>
      <c r="DQ274" s="21">
        <v>1</v>
      </c>
      <c r="DR274" s="21">
        <v>7</v>
      </c>
      <c r="DS274" s="21">
        <v>10</v>
      </c>
      <c r="DT274" s="21">
        <v>10</v>
      </c>
      <c r="DU274" s="21">
        <v>10</v>
      </c>
      <c r="DW274" s="21">
        <v>10</v>
      </c>
      <c r="EA274" s="21">
        <v>10</v>
      </c>
      <c r="EB274" s="21" t="s">
        <v>3744</v>
      </c>
      <c r="EC274" s="21" t="s">
        <v>1221</v>
      </c>
      <c r="EF274" s="25">
        <v>1</v>
      </c>
      <c r="EG274" s="25">
        <v>0</v>
      </c>
      <c r="EH274" s="25">
        <v>1</v>
      </c>
      <c r="EI274" s="25">
        <v>0</v>
      </c>
      <c r="EJ274" s="25" t="s">
        <v>92</v>
      </c>
      <c r="EK274" s="25" t="s">
        <v>57</v>
      </c>
      <c r="EL274" s="25" t="s">
        <v>83</v>
      </c>
      <c r="EM274" s="25" t="s">
        <v>276</v>
      </c>
      <c r="EN274" s="25" t="s">
        <v>9</v>
      </c>
      <c r="EO274" s="25" t="s">
        <v>9</v>
      </c>
      <c r="EP274" s="25" t="s">
        <v>62</v>
      </c>
      <c r="EQ274" s="25" t="s">
        <v>62</v>
      </c>
      <c r="ER274" s="25" t="s">
        <v>278</v>
      </c>
      <c r="ES274" s="25" t="s">
        <v>278</v>
      </c>
      <c r="ET274" s="25">
        <v>1</v>
      </c>
      <c r="EU274" s="25" t="s">
        <v>522</v>
      </c>
      <c r="EV274" s="25" t="s">
        <v>279</v>
      </c>
      <c r="EW274" s="25" t="s">
        <v>279</v>
      </c>
      <c r="EX274" s="25" t="s">
        <v>279</v>
      </c>
      <c r="EY274" s="20" t="e">
        <v>#N/A</v>
      </c>
    </row>
    <row r="275" spans="1:155">
      <c r="A275" s="21" t="s">
        <v>491</v>
      </c>
      <c r="B275" s="21" t="s">
        <v>491</v>
      </c>
      <c r="C275" s="21" t="s">
        <v>492</v>
      </c>
      <c r="D275" s="21" t="s">
        <v>493</v>
      </c>
      <c r="E275" s="21" t="s">
        <v>493</v>
      </c>
      <c r="F275" s="21" t="s">
        <v>493</v>
      </c>
      <c r="G275" s="21" t="s">
        <v>3745</v>
      </c>
      <c r="H275" s="21" t="s">
        <v>494</v>
      </c>
      <c r="I275" s="21" t="s">
        <v>494</v>
      </c>
      <c r="J275" s="21" t="s">
        <v>3746</v>
      </c>
      <c r="L275" s="21" t="s">
        <v>495</v>
      </c>
      <c r="M275" s="21" t="s">
        <v>494</v>
      </c>
      <c r="N275" s="21" t="s">
        <v>494</v>
      </c>
      <c r="O275" s="21" t="s">
        <v>514</v>
      </c>
      <c r="P275" s="21" t="s">
        <v>595</v>
      </c>
      <c r="R275" s="21" t="s">
        <v>494</v>
      </c>
      <c r="S275" s="21" t="s">
        <v>494</v>
      </c>
      <c r="V275" s="21" t="s">
        <v>514</v>
      </c>
      <c r="W275" s="21" t="s">
        <v>514</v>
      </c>
      <c r="X275" s="21" t="s">
        <v>514</v>
      </c>
      <c r="Y275" s="21" t="s">
        <v>514</v>
      </c>
      <c r="Z275" s="21">
        <v>3035232240</v>
      </c>
      <c r="AA275" s="26">
        <v>42730</v>
      </c>
      <c r="AB275" s="26">
        <v>42745</v>
      </c>
      <c r="AC275" s="21" t="s">
        <v>504</v>
      </c>
      <c r="AD275" s="21" t="s">
        <v>512</v>
      </c>
      <c r="AE275" s="21" t="s">
        <v>540</v>
      </c>
      <c r="AF275" s="21" t="s">
        <v>3248</v>
      </c>
      <c r="AG275" s="21" t="s">
        <v>3747</v>
      </c>
      <c r="AH275" s="21" t="s">
        <v>3748</v>
      </c>
      <c r="AI275" s="21" t="s">
        <v>3749</v>
      </c>
      <c r="AJ275" s="21" t="s">
        <v>3249</v>
      </c>
      <c r="AK275" s="21" t="s">
        <v>494</v>
      </c>
      <c r="AM275" s="21" t="s">
        <v>586</v>
      </c>
      <c r="AN275" s="21" t="s">
        <v>586</v>
      </c>
      <c r="AO275" s="21" t="s">
        <v>586</v>
      </c>
      <c r="AS275" s="21" t="s">
        <v>2535</v>
      </c>
      <c r="AT275" s="21" t="s">
        <v>532</v>
      </c>
      <c r="AX275" s="21">
        <v>1</v>
      </c>
      <c r="AY275" s="26"/>
      <c r="AZ275" s="26"/>
      <c r="BB275" s="26"/>
      <c r="BC275" s="21" t="s">
        <v>513</v>
      </c>
      <c r="BD275" s="21" t="s">
        <v>514</v>
      </c>
      <c r="BE275" s="21" t="s">
        <v>514</v>
      </c>
      <c r="BF275" s="21" t="s">
        <v>515</v>
      </c>
      <c r="BG275" s="21">
        <v>1</v>
      </c>
      <c r="BH275" s="21" t="s">
        <v>516</v>
      </c>
      <c r="BI275" s="21" t="s">
        <v>517</v>
      </c>
      <c r="BJ275" s="21" t="s">
        <v>516</v>
      </c>
      <c r="BK275" s="21" t="s">
        <v>516</v>
      </c>
      <c r="BN275" s="21" t="s">
        <v>3750</v>
      </c>
      <c r="BR275" s="21" t="s">
        <v>3750</v>
      </c>
      <c r="BT275" s="21" t="s">
        <v>541</v>
      </c>
      <c r="BU275" s="21" t="s">
        <v>3750</v>
      </c>
      <c r="CD275" s="21" t="s">
        <v>520</v>
      </c>
      <c r="CF275" s="21" t="s">
        <v>534</v>
      </c>
      <c r="CG275" s="21" t="s">
        <v>2536</v>
      </c>
      <c r="CH275" s="21" t="s">
        <v>2537</v>
      </c>
      <c r="CI275" s="21" t="s">
        <v>596</v>
      </c>
      <c r="CJ275" s="21" t="s">
        <v>3751</v>
      </c>
      <c r="CL275" s="21" t="s">
        <v>3752</v>
      </c>
      <c r="CM275" s="21">
        <v>3035232279</v>
      </c>
      <c r="CN275" s="26">
        <v>42730</v>
      </c>
      <c r="CO275" s="21" t="s">
        <v>537</v>
      </c>
      <c r="CP275" s="21" t="s">
        <v>516</v>
      </c>
      <c r="CR275" s="21" t="s">
        <v>3753</v>
      </c>
      <c r="CS275" s="21" t="s">
        <v>516</v>
      </c>
      <c r="CU275" s="21" t="s">
        <v>3753</v>
      </c>
      <c r="CV275" s="21" t="s">
        <v>3753</v>
      </c>
      <c r="CW275" s="21" t="s">
        <v>541</v>
      </c>
      <c r="CX275" s="21" t="s">
        <v>3753</v>
      </c>
      <c r="CY275" s="21" t="s">
        <v>516</v>
      </c>
      <c r="CZ275" s="21" t="s">
        <v>541</v>
      </c>
      <c r="DA275" s="21" t="s">
        <v>516</v>
      </c>
      <c r="DB275" s="24" t="s">
        <v>943</v>
      </c>
      <c r="DC275" s="21">
        <v>1</v>
      </c>
      <c r="DD275" s="21">
        <v>3</v>
      </c>
      <c r="DE275" s="22">
        <v>42751</v>
      </c>
      <c r="DF275" s="21" t="s">
        <v>3754</v>
      </c>
      <c r="DG275" s="21" t="s">
        <v>538</v>
      </c>
      <c r="DH275" s="21" t="s">
        <v>3755</v>
      </c>
      <c r="DI275" s="21" t="s">
        <v>495</v>
      </c>
      <c r="DJ275" s="21" t="s">
        <v>523</v>
      </c>
      <c r="DK275" s="26"/>
      <c r="DL275" s="26">
        <v>42757</v>
      </c>
      <c r="DM275" s="26">
        <v>42747</v>
      </c>
      <c r="DN275" s="21">
        <v>2500</v>
      </c>
      <c r="DO275" s="21">
        <v>1</v>
      </c>
      <c r="DP275" s="21">
        <v>2</v>
      </c>
      <c r="DQ275" s="21">
        <v>2</v>
      </c>
      <c r="DR275" s="21">
        <v>2</v>
      </c>
      <c r="DS275" s="21">
        <v>1</v>
      </c>
      <c r="DT275" s="21">
        <v>2</v>
      </c>
      <c r="DU275" s="21">
        <v>2</v>
      </c>
      <c r="DW275" s="21">
        <v>99</v>
      </c>
      <c r="DY275" s="21">
        <v>0</v>
      </c>
      <c r="EA275" s="21">
        <v>0</v>
      </c>
      <c r="EF275" s="25">
        <v>0</v>
      </c>
      <c r="EG275" s="25">
        <v>1</v>
      </c>
      <c r="EH275" s="25">
        <v>0</v>
      </c>
      <c r="EI275" s="25">
        <v>1</v>
      </c>
      <c r="EJ275" s="25" t="s">
        <v>597</v>
      </c>
      <c r="EK275" s="25" t="s">
        <v>598</v>
      </c>
      <c r="EL275" s="25" t="s">
        <v>598</v>
      </c>
      <c r="EM275" s="25" t="s">
        <v>276</v>
      </c>
      <c r="EN275" s="25" t="s">
        <v>271</v>
      </c>
      <c r="EO275" s="25" t="s">
        <v>271</v>
      </c>
      <c r="EP275" s="25" t="s">
        <v>548</v>
      </c>
      <c r="EQ275" s="25" t="s">
        <v>548</v>
      </c>
      <c r="ER275" s="25" t="s">
        <v>278</v>
      </c>
      <c r="ES275" s="25" t="s">
        <v>278</v>
      </c>
      <c r="ET275" s="25">
        <v>1</v>
      </c>
      <c r="EU275" s="25" t="s">
        <v>522</v>
      </c>
      <c r="EV275" s="25" t="s">
        <v>598</v>
      </c>
      <c r="EW275" s="25" t="s">
        <v>271</v>
      </c>
      <c r="EX275" s="25" t="s">
        <v>278</v>
      </c>
      <c r="EY275" s="20" t="e">
        <v>#N/A</v>
      </c>
    </row>
    <row r="276" spans="1:155">
      <c r="A276" s="21" t="s">
        <v>491</v>
      </c>
      <c r="B276" s="21" t="s">
        <v>491</v>
      </c>
      <c r="C276" s="21" t="s">
        <v>492</v>
      </c>
      <c r="D276" s="21" t="s">
        <v>493</v>
      </c>
      <c r="E276" s="21" t="s">
        <v>493</v>
      </c>
      <c r="F276" s="21" t="s">
        <v>493</v>
      </c>
      <c r="G276" s="21" t="s">
        <v>3756</v>
      </c>
      <c r="H276" s="21">
        <v>4134023968</v>
      </c>
      <c r="I276" s="21" t="s">
        <v>494</v>
      </c>
      <c r="J276" s="21" t="s">
        <v>3757</v>
      </c>
      <c r="L276" s="21" t="s">
        <v>495</v>
      </c>
      <c r="M276" s="21" t="s">
        <v>3758</v>
      </c>
      <c r="N276" s="21" t="s">
        <v>496</v>
      </c>
      <c r="O276" s="21" t="s">
        <v>69</v>
      </c>
      <c r="P276" s="21" t="s">
        <v>497</v>
      </c>
      <c r="R276" s="21" t="s">
        <v>498</v>
      </c>
      <c r="S276" s="21" t="s">
        <v>499</v>
      </c>
      <c r="V276" s="21" t="s">
        <v>500</v>
      </c>
      <c r="W276" s="21" t="s">
        <v>501</v>
      </c>
      <c r="X276" s="21" t="s">
        <v>502</v>
      </c>
      <c r="Y276" s="21" t="s">
        <v>503</v>
      </c>
      <c r="Z276" s="21">
        <v>3035650167</v>
      </c>
      <c r="AA276" s="26">
        <v>42745</v>
      </c>
      <c r="AB276" s="26">
        <v>42745</v>
      </c>
      <c r="AC276" s="21" t="s">
        <v>504</v>
      </c>
      <c r="AD276" s="21" t="s">
        <v>505</v>
      </c>
      <c r="AE276" s="21" t="s">
        <v>500</v>
      </c>
      <c r="AF276" s="21" t="s">
        <v>564</v>
      </c>
      <c r="AG276" s="21" t="s">
        <v>3759</v>
      </c>
      <c r="AH276" s="21" t="s">
        <v>3760</v>
      </c>
      <c r="AI276" s="21" t="s">
        <v>1497</v>
      </c>
      <c r="AJ276" s="21" t="s">
        <v>507</v>
      </c>
      <c r="AK276" s="21" t="s">
        <v>494</v>
      </c>
      <c r="AL276" s="21" t="s">
        <v>527</v>
      </c>
      <c r="AM276" s="21" t="s">
        <v>527</v>
      </c>
      <c r="AN276" s="21" t="s">
        <v>527</v>
      </c>
      <c r="AO276" s="21" t="s">
        <v>528</v>
      </c>
      <c r="AS276" s="21" t="s">
        <v>511</v>
      </c>
      <c r="AT276" s="21" t="s">
        <v>512</v>
      </c>
      <c r="AW276" s="21">
        <v>0</v>
      </c>
      <c r="AX276" s="21">
        <v>2</v>
      </c>
      <c r="AY276" s="26"/>
      <c r="AZ276" s="26"/>
      <c r="BB276" s="26"/>
      <c r="BC276" s="21" t="s">
        <v>513</v>
      </c>
      <c r="BD276" s="21" t="s">
        <v>514</v>
      </c>
      <c r="BE276" s="21" t="s">
        <v>514</v>
      </c>
      <c r="BF276" s="21" t="s">
        <v>515</v>
      </c>
      <c r="BG276" s="21">
        <v>1</v>
      </c>
      <c r="BH276" s="21" t="s">
        <v>516</v>
      </c>
      <c r="BI276" s="21" t="s">
        <v>517</v>
      </c>
      <c r="BJ276" s="21" t="s">
        <v>516</v>
      </c>
      <c r="BK276" s="21" t="s">
        <v>516</v>
      </c>
      <c r="BM276" s="21" t="s">
        <v>1548</v>
      </c>
      <c r="BN276" s="21" t="s">
        <v>156</v>
      </c>
      <c r="BO276" s="21" t="s">
        <v>518</v>
      </c>
      <c r="BP276" s="21" t="s">
        <v>519</v>
      </c>
      <c r="BQ276" s="21" t="s">
        <v>1548</v>
      </c>
      <c r="BR276" s="21" t="s">
        <v>156</v>
      </c>
      <c r="BS276" s="21" t="s">
        <v>518</v>
      </c>
      <c r="BT276" s="21" t="s">
        <v>519</v>
      </c>
      <c r="BU276" s="21" t="s">
        <v>156</v>
      </c>
      <c r="CD276" s="21" t="s">
        <v>520</v>
      </c>
      <c r="CF276" s="21" t="s">
        <v>521</v>
      </c>
      <c r="CN276" s="26"/>
      <c r="DB276" s="24" t="s">
        <v>943</v>
      </c>
      <c r="DC276" s="21">
        <v>1</v>
      </c>
      <c r="DD276" s="21">
        <v>3</v>
      </c>
      <c r="DE276" s="22">
        <v>42751</v>
      </c>
      <c r="DF276" s="21" t="s">
        <v>3761</v>
      </c>
      <c r="DG276" s="21" t="s">
        <v>522</v>
      </c>
      <c r="DH276" s="21" t="s">
        <v>3762</v>
      </c>
      <c r="DI276" s="21" t="s">
        <v>495</v>
      </c>
      <c r="DJ276" s="21" t="s">
        <v>523</v>
      </c>
      <c r="DK276" s="26"/>
      <c r="DL276" s="26">
        <v>42757</v>
      </c>
      <c r="DM276" s="26">
        <v>42747</v>
      </c>
      <c r="DN276" s="21">
        <v>3100</v>
      </c>
      <c r="DO276" s="21">
        <v>9</v>
      </c>
      <c r="DP276" s="21">
        <v>1</v>
      </c>
      <c r="DQ276" s="21">
        <v>2</v>
      </c>
      <c r="DR276" s="21">
        <v>7</v>
      </c>
      <c r="DS276" s="21">
        <v>9</v>
      </c>
      <c r="DT276" s="21">
        <v>9</v>
      </c>
      <c r="DU276" s="21">
        <v>9</v>
      </c>
      <c r="DW276" s="21">
        <v>9</v>
      </c>
      <c r="EA276" s="21">
        <v>10</v>
      </c>
      <c r="EF276" s="25">
        <v>1</v>
      </c>
      <c r="EG276" s="25">
        <v>0</v>
      </c>
      <c r="EH276" s="25">
        <v>1</v>
      </c>
      <c r="EI276" s="25">
        <v>0</v>
      </c>
      <c r="EJ276" s="25" t="s">
        <v>62</v>
      </c>
      <c r="EK276" s="25" t="s">
        <v>157</v>
      </c>
      <c r="EL276" s="25" t="s">
        <v>157</v>
      </c>
      <c r="EM276" s="25" t="s">
        <v>276</v>
      </c>
      <c r="EN276" s="25" t="s">
        <v>31</v>
      </c>
      <c r="EO276" s="25" t="s">
        <v>31</v>
      </c>
      <c r="EP276" s="25" t="s">
        <v>92</v>
      </c>
      <c r="EQ276" s="25" t="s">
        <v>92</v>
      </c>
      <c r="ER276" s="25" t="s">
        <v>278</v>
      </c>
      <c r="ES276" s="25" t="s">
        <v>278</v>
      </c>
      <c r="ET276" s="25">
        <v>1</v>
      </c>
      <c r="EU276" s="25" t="s">
        <v>522</v>
      </c>
      <c r="EV276" s="25" t="s">
        <v>157</v>
      </c>
      <c r="EW276" s="25" t="s">
        <v>31</v>
      </c>
      <c r="EX276" s="25" t="s">
        <v>278</v>
      </c>
      <c r="EY276" s="20" t="e">
        <v>#N/A</v>
      </c>
    </row>
    <row r="277" spans="1:155">
      <c r="A277" s="21" t="s">
        <v>491</v>
      </c>
      <c r="B277" s="21" t="s">
        <v>491</v>
      </c>
      <c r="C277" s="21" t="s">
        <v>492</v>
      </c>
      <c r="D277" s="21" t="s">
        <v>493</v>
      </c>
      <c r="E277" s="21" t="s">
        <v>493</v>
      </c>
      <c r="F277" s="21" t="s">
        <v>493</v>
      </c>
      <c r="G277" s="21" t="s">
        <v>3763</v>
      </c>
      <c r="H277" s="21" t="s">
        <v>3764</v>
      </c>
      <c r="I277" s="21" t="s">
        <v>494</v>
      </c>
      <c r="J277" s="21" t="s">
        <v>3765</v>
      </c>
      <c r="L277" s="21" t="s">
        <v>495</v>
      </c>
      <c r="M277" s="21" t="s">
        <v>3766</v>
      </c>
      <c r="N277" s="21" t="s">
        <v>496</v>
      </c>
      <c r="O277" s="21" t="s">
        <v>69</v>
      </c>
      <c r="P277" s="21" t="s">
        <v>497</v>
      </c>
      <c r="R277" s="21" t="s">
        <v>498</v>
      </c>
      <c r="S277" s="21" t="s">
        <v>499</v>
      </c>
      <c r="V277" s="21" t="s">
        <v>500</v>
      </c>
      <c r="W277" s="21" t="s">
        <v>501</v>
      </c>
      <c r="X277" s="21" t="s">
        <v>502</v>
      </c>
      <c r="Y277" s="21" t="s">
        <v>503</v>
      </c>
      <c r="Z277" s="21">
        <v>3035642348</v>
      </c>
      <c r="AA277" s="26">
        <v>42745</v>
      </c>
      <c r="AB277" s="26">
        <v>42745</v>
      </c>
      <c r="AC277" s="21" t="s">
        <v>504</v>
      </c>
      <c r="AD277" s="21" t="s">
        <v>505</v>
      </c>
      <c r="AE277" s="21" t="s">
        <v>500</v>
      </c>
      <c r="AF277" s="21" t="s">
        <v>549</v>
      </c>
      <c r="AG277" s="21" t="s">
        <v>1972</v>
      </c>
      <c r="AH277" s="21" t="s">
        <v>1973</v>
      </c>
      <c r="AI277" s="21" t="s">
        <v>1317</v>
      </c>
      <c r="AJ277" s="21" t="s">
        <v>526</v>
      </c>
      <c r="AK277" s="21" t="s">
        <v>494</v>
      </c>
      <c r="AL277" s="21" t="s">
        <v>527</v>
      </c>
      <c r="AM277" s="21" t="s">
        <v>527</v>
      </c>
      <c r="AN277" s="21" t="s">
        <v>527</v>
      </c>
      <c r="AO277" s="21" t="s">
        <v>528</v>
      </c>
      <c r="AS277" s="21" t="s">
        <v>511</v>
      </c>
      <c r="AT277" s="21" t="s">
        <v>512</v>
      </c>
      <c r="AW277" s="21">
        <v>0</v>
      </c>
      <c r="AX277" s="21">
        <v>2</v>
      </c>
      <c r="AY277" s="26"/>
      <c r="AZ277" s="26"/>
      <c r="BB277" s="26"/>
      <c r="BC277" s="21" t="s">
        <v>513</v>
      </c>
      <c r="BD277" s="21" t="s">
        <v>514</v>
      </c>
      <c r="BE277" s="21" t="s">
        <v>514</v>
      </c>
      <c r="BF277" s="21" t="s">
        <v>515</v>
      </c>
      <c r="BG277" s="21">
        <v>1</v>
      </c>
      <c r="BH277" s="21" t="s">
        <v>516</v>
      </c>
      <c r="BI277" s="21" t="s">
        <v>517</v>
      </c>
      <c r="BJ277" s="21" t="s">
        <v>516</v>
      </c>
      <c r="BK277" s="21" t="s">
        <v>516</v>
      </c>
      <c r="BM277" s="21" t="s">
        <v>20</v>
      </c>
      <c r="BN277" s="21" t="s">
        <v>101</v>
      </c>
      <c r="BO277" s="21" t="s">
        <v>518</v>
      </c>
      <c r="BP277" s="21" t="s">
        <v>519</v>
      </c>
      <c r="BQ277" s="21" t="s">
        <v>20</v>
      </c>
      <c r="BR277" s="21" t="s">
        <v>101</v>
      </c>
      <c r="BS277" s="21" t="s">
        <v>518</v>
      </c>
      <c r="BT277" s="21" t="s">
        <v>519</v>
      </c>
      <c r="BU277" s="21" t="s">
        <v>101</v>
      </c>
      <c r="CD277" s="21" t="s">
        <v>520</v>
      </c>
      <c r="CF277" s="21" t="s">
        <v>521</v>
      </c>
      <c r="CN277" s="26"/>
      <c r="DB277" s="24" t="s">
        <v>943</v>
      </c>
      <c r="DC277" s="21">
        <v>1</v>
      </c>
      <c r="DD277" s="21">
        <v>3</v>
      </c>
      <c r="DE277" s="22">
        <v>42751</v>
      </c>
      <c r="DF277" s="21" t="s">
        <v>1521</v>
      </c>
      <c r="DG277" s="21" t="s">
        <v>522</v>
      </c>
      <c r="DH277" s="21" t="s">
        <v>3767</v>
      </c>
      <c r="DI277" s="21" t="s">
        <v>495</v>
      </c>
      <c r="DJ277" s="21" t="s">
        <v>523</v>
      </c>
      <c r="DK277" s="26"/>
      <c r="DL277" s="26">
        <v>42757</v>
      </c>
      <c r="DM277" s="26">
        <v>42747</v>
      </c>
      <c r="DN277" s="21">
        <v>3100</v>
      </c>
      <c r="DO277" s="21">
        <v>10</v>
      </c>
      <c r="DP277" s="21">
        <v>1</v>
      </c>
      <c r="DQ277" s="21">
        <v>1</v>
      </c>
      <c r="DR277" s="21">
        <v>7</v>
      </c>
      <c r="DS277" s="21">
        <v>10</v>
      </c>
      <c r="DT277" s="21">
        <v>10</v>
      </c>
      <c r="DU277" s="21">
        <v>10</v>
      </c>
      <c r="DW277" s="21">
        <v>10</v>
      </c>
      <c r="EA277" s="21">
        <v>10</v>
      </c>
      <c r="EB277" s="21" t="s">
        <v>3768</v>
      </c>
      <c r="EC277" s="21" t="s">
        <v>1221</v>
      </c>
      <c r="EF277" s="25">
        <v>1</v>
      </c>
      <c r="EG277" s="25">
        <v>0</v>
      </c>
      <c r="EH277" s="25">
        <v>1</v>
      </c>
      <c r="EI277" s="25">
        <v>0</v>
      </c>
      <c r="EJ277" s="25" t="s">
        <v>62</v>
      </c>
      <c r="EK277" s="25" t="s">
        <v>102</v>
      </c>
      <c r="EL277" s="25" t="s">
        <v>102</v>
      </c>
      <c r="EM277" s="25" t="s">
        <v>276</v>
      </c>
      <c r="EN277" s="25" t="s">
        <v>9</v>
      </c>
      <c r="EO277" s="25" t="s">
        <v>9</v>
      </c>
      <c r="EP277" s="25" t="s">
        <v>62</v>
      </c>
      <c r="EQ277" s="25" t="s">
        <v>62</v>
      </c>
      <c r="ER277" s="25" t="s">
        <v>278</v>
      </c>
      <c r="ES277" s="25" t="s">
        <v>278</v>
      </c>
      <c r="ET277" s="25">
        <v>1</v>
      </c>
      <c r="EU277" s="25" t="s">
        <v>522</v>
      </c>
      <c r="EV277" s="25" t="s">
        <v>102</v>
      </c>
      <c r="EW277" s="25" t="s">
        <v>9</v>
      </c>
      <c r="EX277" s="25" t="s">
        <v>278</v>
      </c>
      <c r="EY277" s="20" t="e">
        <v>#N/A</v>
      </c>
    </row>
    <row r="278" spans="1:155">
      <c r="A278" s="21" t="s">
        <v>491</v>
      </c>
      <c r="B278" s="21" t="s">
        <v>491</v>
      </c>
      <c r="C278" s="21" t="s">
        <v>492</v>
      </c>
      <c r="D278" s="21" t="s">
        <v>493</v>
      </c>
      <c r="E278" s="21" t="s">
        <v>493</v>
      </c>
      <c r="F278" s="21" t="s">
        <v>493</v>
      </c>
      <c r="G278" s="21" t="s">
        <v>3769</v>
      </c>
      <c r="H278" s="21" t="s">
        <v>3770</v>
      </c>
      <c r="I278" s="21" t="s">
        <v>494</v>
      </c>
      <c r="J278" s="21" t="s">
        <v>3771</v>
      </c>
      <c r="L278" s="21" t="s">
        <v>495</v>
      </c>
      <c r="M278" s="21" t="s">
        <v>3772</v>
      </c>
      <c r="N278" s="21" t="s">
        <v>3773</v>
      </c>
      <c r="O278" s="21" t="s">
        <v>3065</v>
      </c>
      <c r="P278" s="21" t="s">
        <v>3774</v>
      </c>
      <c r="R278" s="21" t="s">
        <v>3775</v>
      </c>
      <c r="S278" s="21" t="s">
        <v>3776</v>
      </c>
      <c r="V278" s="21" t="s">
        <v>277</v>
      </c>
      <c r="W278" s="21" t="s">
        <v>3777</v>
      </c>
      <c r="X278" s="21" t="s">
        <v>3778</v>
      </c>
      <c r="Y278" s="21" t="s">
        <v>3779</v>
      </c>
      <c r="Z278" s="21">
        <v>3035645772</v>
      </c>
      <c r="AA278" s="26">
        <v>42745</v>
      </c>
      <c r="AB278" s="26">
        <v>42745</v>
      </c>
      <c r="AC278" s="21" t="s">
        <v>504</v>
      </c>
      <c r="AD278" s="21" t="s">
        <v>505</v>
      </c>
      <c r="AE278" s="21" t="s">
        <v>540</v>
      </c>
      <c r="AF278" s="21" t="s">
        <v>3248</v>
      </c>
      <c r="AG278" s="21" t="s">
        <v>3780</v>
      </c>
      <c r="AH278" s="21" t="s">
        <v>3781</v>
      </c>
      <c r="AI278" s="21" t="s">
        <v>2052</v>
      </c>
      <c r="AJ278" s="21" t="s">
        <v>3249</v>
      </c>
      <c r="AK278" s="21" t="s">
        <v>494</v>
      </c>
      <c r="AL278" s="21" t="s">
        <v>527</v>
      </c>
      <c r="AM278" s="21" t="s">
        <v>527</v>
      </c>
      <c r="AN278" s="21" t="s">
        <v>527</v>
      </c>
      <c r="AO278" s="21" t="s">
        <v>528</v>
      </c>
      <c r="AS278" s="21" t="s">
        <v>3545</v>
      </c>
      <c r="AT278" s="21" t="s">
        <v>512</v>
      </c>
      <c r="AW278" s="21">
        <v>0</v>
      </c>
      <c r="AX278" s="21">
        <v>2</v>
      </c>
      <c r="AY278" s="26"/>
      <c r="AZ278" s="26"/>
      <c r="BB278" s="26"/>
      <c r="BC278" s="21" t="s">
        <v>513</v>
      </c>
      <c r="BD278" s="21" t="s">
        <v>514</v>
      </c>
      <c r="BE278" s="21" t="s">
        <v>1196</v>
      </c>
      <c r="BF278" s="21" t="s">
        <v>515</v>
      </c>
      <c r="BG278" s="21">
        <v>1</v>
      </c>
      <c r="BH278" s="21" t="s">
        <v>516</v>
      </c>
      <c r="BI278" s="21" t="s">
        <v>517</v>
      </c>
      <c r="BJ278" s="21" t="s">
        <v>516</v>
      </c>
      <c r="BK278" s="21" t="s">
        <v>516</v>
      </c>
      <c r="BM278" s="21" t="s">
        <v>2692</v>
      </c>
      <c r="BN278" s="21" t="s">
        <v>3043</v>
      </c>
      <c r="BO278" s="21" t="s">
        <v>518</v>
      </c>
      <c r="BP278" s="21" t="s">
        <v>519</v>
      </c>
      <c r="BQ278" s="21" t="s">
        <v>2692</v>
      </c>
      <c r="BR278" s="21" t="s">
        <v>3043</v>
      </c>
      <c r="BS278" s="21" t="s">
        <v>518</v>
      </c>
      <c r="BT278" s="21" t="s">
        <v>519</v>
      </c>
      <c r="BU278" s="21" t="s">
        <v>3043</v>
      </c>
      <c r="CD278" s="21" t="s">
        <v>520</v>
      </c>
      <c r="CF278" s="21" t="s">
        <v>521</v>
      </c>
      <c r="CN278" s="26"/>
      <c r="DB278" s="24" t="s">
        <v>943</v>
      </c>
      <c r="DC278" s="21">
        <v>1</v>
      </c>
      <c r="DD278" s="21">
        <v>3</v>
      </c>
      <c r="DE278" s="22">
        <v>42751</v>
      </c>
      <c r="DF278" s="21" t="s">
        <v>3782</v>
      </c>
      <c r="DG278" s="21" t="s">
        <v>522</v>
      </c>
      <c r="DH278" s="21" t="s">
        <v>3783</v>
      </c>
      <c r="DI278" s="21" t="s">
        <v>495</v>
      </c>
      <c r="DJ278" s="21" t="s">
        <v>523</v>
      </c>
      <c r="DK278" s="26"/>
      <c r="DL278" s="26">
        <v>42757</v>
      </c>
      <c r="DM278" s="26">
        <v>42747</v>
      </c>
      <c r="DN278" s="21">
        <v>300</v>
      </c>
      <c r="DO278" s="21">
        <v>9</v>
      </c>
      <c r="DP278" s="21">
        <v>1</v>
      </c>
      <c r="DQ278" s="21">
        <v>2</v>
      </c>
      <c r="DR278" s="21">
        <v>5</v>
      </c>
      <c r="DS278" s="21">
        <v>10</v>
      </c>
      <c r="DT278" s="21">
        <v>9</v>
      </c>
      <c r="DU278" s="21">
        <v>9</v>
      </c>
      <c r="DW278" s="21">
        <v>8</v>
      </c>
      <c r="EA278" s="21">
        <v>9</v>
      </c>
      <c r="EB278" s="21" t="s">
        <v>3784</v>
      </c>
      <c r="EC278" s="21" t="s">
        <v>4032</v>
      </c>
      <c r="EF278" s="25">
        <v>1</v>
      </c>
      <c r="EG278" s="25">
        <v>0</v>
      </c>
      <c r="EH278" s="25">
        <v>1</v>
      </c>
      <c r="EI278" s="25">
        <v>0</v>
      </c>
      <c r="EJ278" s="25" t="s">
        <v>92</v>
      </c>
      <c r="EK278" s="25" t="s">
        <v>3044</v>
      </c>
      <c r="EL278" s="25" t="s">
        <v>3044</v>
      </c>
      <c r="EM278" s="25" t="s">
        <v>276</v>
      </c>
      <c r="EN278" s="25" t="s">
        <v>31</v>
      </c>
      <c r="EO278" s="25" t="s">
        <v>31</v>
      </c>
      <c r="EP278" s="25" t="s">
        <v>62</v>
      </c>
      <c r="EQ278" s="25" t="s">
        <v>62</v>
      </c>
      <c r="ER278" s="25" t="s">
        <v>278</v>
      </c>
      <c r="ES278" s="25" t="s">
        <v>278</v>
      </c>
      <c r="ET278" s="25">
        <v>1</v>
      </c>
      <c r="EU278" s="25" t="s">
        <v>522</v>
      </c>
      <c r="EV278" s="25" t="s">
        <v>3044</v>
      </c>
      <c r="EW278" s="25" t="s">
        <v>31</v>
      </c>
      <c r="EX278" s="25" t="s">
        <v>278</v>
      </c>
      <c r="EY278" s="20" t="e">
        <v>#N/A</v>
      </c>
    </row>
    <row r="279" spans="1:155">
      <c r="A279" s="21" t="s">
        <v>491</v>
      </c>
      <c r="B279" s="21" t="s">
        <v>491</v>
      </c>
      <c r="C279" s="21" t="s">
        <v>492</v>
      </c>
      <c r="D279" s="21" t="s">
        <v>493</v>
      </c>
      <c r="E279" s="21" t="s">
        <v>493</v>
      </c>
      <c r="F279" s="21" t="s">
        <v>493</v>
      </c>
      <c r="G279" s="21" t="s">
        <v>3785</v>
      </c>
      <c r="H279" s="21" t="s">
        <v>494</v>
      </c>
      <c r="I279" s="21">
        <v>55997166269</v>
      </c>
      <c r="J279" s="21" t="s">
        <v>3786</v>
      </c>
      <c r="L279" s="21" t="s">
        <v>495</v>
      </c>
      <c r="M279" s="21" t="s">
        <v>3787</v>
      </c>
      <c r="N279" s="21" t="s">
        <v>561</v>
      </c>
      <c r="O279" s="21" t="s">
        <v>93</v>
      </c>
      <c r="P279" s="21" t="s">
        <v>539</v>
      </c>
      <c r="R279" s="21" t="s">
        <v>562</v>
      </c>
      <c r="S279" s="21" t="s">
        <v>559</v>
      </c>
      <c r="V279" s="21" t="s">
        <v>277</v>
      </c>
      <c r="W279" s="21" t="s">
        <v>524</v>
      </c>
      <c r="X279" s="21" t="s">
        <v>525</v>
      </c>
      <c r="Y279" s="21" t="s">
        <v>530</v>
      </c>
      <c r="Z279" s="21">
        <v>3035624165</v>
      </c>
      <c r="AA279" s="26">
        <v>42744</v>
      </c>
      <c r="AB279" s="26">
        <v>42745</v>
      </c>
      <c r="AC279" s="21" t="s">
        <v>504</v>
      </c>
      <c r="AD279" s="21" t="s">
        <v>505</v>
      </c>
      <c r="AE279" s="21" t="s">
        <v>1054</v>
      </c>
      <c r="AF279" s="21" t="s">
        <v>1105</v>
      </c>
      <c r="AG279" s="21" t="s">
        <v>1285</v>
      </c>
      <c r="AH279" s="21" t="s">
        <v>1286</v>
      </c>
      <c r="AI279" s="21" t="s">
        <v>3531</v>
      </c>
      <c r="AJ279" s="21" t="s">
        <v>526</v>
      </c>
      <c r="AK279" s="21" t="s">
        <v>494</v>
      </c>
      <c r="AL279" s="21" t="s">
        <v>527</v>
      </c>
      <c r="AM279" s="21" t="s">
        <v>527</v>
      </c>
      <c r="AN279" s="21" t="s">
        <v>527</v>
      </c>
      <c r="AO279" s="21" t="s">
        <v>528</v>
      </c>
      <c r="AS279" s="21" t="s">
        <v>511</v>
      </c>
      <c r="AT279" s="21" t="s">
        <v>512</v>
      </c>
      <c r="AW279" s="21">
        <v>0</v>
      </c>
      <c r="AX279" s="21">
        <v>6</v>
      </c>
      <c r="AY279" s="26"/>
      <c r="AZ279" s="26"/>
      <c r="BB279" s="26"/>
      <c r="BC279" s="21" t="s">
        <v>513</v>
      </c>
      <c r="BD279" s="21" t="s">
        <v>514</v>
      </c>
      <c r="BE279" s="21" t="s">
        <v>514</v>
      </c>
      <c r="BF279" s="21" t="s">
        <v>515</v>
      </c>
      <c r="BG279" s="21">
        <v>1</v>
      </c>
      <c r="BH279" s="21" t="s">
        <v>516</v>
      </c>
      <c r="BI279" s="21" t="s">
        <v>517</v>
      </c>
      <c r="BJ279" s="21" t="s">
        <v>516</v>
      </c>
      <c r="BK279" s="21" t="s">
        <v>516</v>
      </c>
      <c r="BM279" s="21" t="s">
        <v>1288</v>
      </c>
      <c r="BN279" s="21" t="s">
        <v>234</v>
      </c>
      <c r="BO279" s="21" t="s">
        <v>518</v>
      </c>
      <c r="BP279" s="21" t="s">
        <v>1044</v>
      </c>
      <c r="BQ279" s="21" t="s">
        <v>38</v>
      </c>
      <c r="BR279" s="21" t="s">
        <v>238</v>
      </c>
      <c r="BS279" s="21" t="s">
        <v>518</v>
      </c>
      <c r="BT279" s="21" t="s">
        <v>1044</v>
      </c>
      <c r="BU279" s="21" t="s">
        <v>234</v>
      </c>
      <c r="CD279" s="21" t="s">
        <v>520</v>
      </c>
      <c r="CF279" s="21" t="s">
        <v>521</v>
      </c>
      <c r="CN279" s="26"/>
      <c r="DB279" s="24" t="s">
        <v>943</v>
      </c>
      <c r="DC279" s="21">
        <v>1</v>
      </c>
      <c r="DD279" s="21">
        <v>3</v>
      </c>
      <c r="DE279" s="22">
        <v>42751</v>
      </c>
      <c r="DF279" s="21" t="s">
        <v>1521</v>
      </c>
      <c r="DG279" s="21" t="s">
        <v>522</v>
      </c>
      <c r="DH279" s="21" t="s">
        <v>3788</v>
      </c>
      <c r="DI279" s="21" t="s">
        <v>495</v>
      </c>
      <c r="DJ279" s="21" t="s">
        <v>520</v>
      </c>
      <c r="DK279" s="26"/>
      <c r="DL279" s="26">
        <v>42757</v>
      </c>
      <c r="DM279" s="26">
        <v>42747</v>
      </c>
      <c r="DN279" s="21">
        <v>1100</v>
      </c>
      <c r="DO279" s="21">
        <v>8</v>
      </c>
      <c r="DP279" s="21">
        <v>1</v>
      </c>
      <c r="DQ279" s="21">
        <v>1</v>
      </c>
      <c r="DR279" s="21">
        <v>5</v>
      </c>
      <c r="DS279" s="21">
        <v>9</v>
      </c>
      <c r="DT279" s="21">
        <v>9</v>
      </c>
      <c r="DU279" s="21">
        <v>9</v>
      </c>
      <c r="DW279" s="21">
        <v>9</v>
      </c>
      <c r="EA279" s="21">
        <v>8</v>
      </c>
      <c r="EF279" s="25">
        <v>0</v>
      </c>
      <c r="EG279" s="25">
        <v>0</v>
      </c>
      <c r="EH279" s="25">
        <v>0</v>
      </c>
      <c r="EI279" s="25">
        <v>0</v>
      </c>
      <c r="EJ279" s="25" t="s">
        <v>92</v>
      </c>
      <c r="EK279" s="25" t="s">
        <v>235</v>
      </c>
      <c r="EL279" s="25" t="s">
        <v>239</v>
      </c>
      <c r="EM279" s="25" t="s">
        <v>276</v>
      </c>
      <c r="EN279" s="25" t="s">
        <v>39</v>
      </c>
      <c r="EO279" s="25" t="s">
        <v>39</v>
      </c>
      <c r="EP279" s="25" t="s">
        <v>92</v>
      </c>
      <c r="EQ279" s="25" t="s">
        <v>529</v>
      </c>
      <c r="ER279" s="25" t="s">
        <v>278</v>
      </c>
      <c r="ES279" s="25" t="s">
        <v>278</v>
      </c>
      <c r="ET279" s="25">
        <v>1</v>
      </c>
      <c r="EU279" s="25" t="s">
        <v>522</v>
      </c>
      <c r="EV279" s="25" t="s">
        <v>279</v>
      </c>
      <c r="EW279" s="25" t="s">
        <v>279</v>
      </c>
      <c r="EX279" s="25" t="s">
        <v>279</v>
      </c>
      <c r="EY279" s="20" t="e">
        <v>#N/A</v>
      </c>
    </row>
    <row r="280" spans="1:155">
      <c r="A280" s="21" t="s">
        <v>491</v>
      </c>
      <c r="B280" s="21" t="s">
        <v>491</v>
      </c>
      <c r="C280" s="21" t="s">
        <v>492</v>
      </c>
      <c r="D280" s="21" t="s">
        <v>493</v>
      </c>
      <c r="E280" s="21" t="s">
        <v>493</v>
      </c>
      <c r="F280" s="21" t="s">
        <v>493</v>
      </c>
      <c r="G280" s="21" t="s">
        <v>3789</v>
      </c>
      <c r="H280" s="21">
        <v>11981316944</v>
      </c>
      <c r="I280" s="21" t="s">
        <v>494</v>
      </c>
      <c r="J280" s="21" t="s">
        <v>3790</v>
      </c>
      <c r="L280" s="21" t="s">
        <v>495</v>
      </c>
      <c r="M280" s="21" t="s">
        <v>3791</v>
      </c>
      <c r="N280" s="21" t="s">
        <v>2297</v>
      </c>
      <c r="O280" s="21" t="s">
        <v>100</v>
      </c>
      <c r="P280" s="21" t="s">
        <v>1187</v>
      </c>
      <c r="R280" s="21" t="s">
        <v>2298</v>
      </c>
      <c r="S280" s="21" t="s">
        <v>2197</v>
      </c>
      <c r="V280" s="21" t="s">
        <v>277</v>
      </c>
      <c r="W280" s="21" t="s">
        <v>524</v>
      </c>
      <c r="X280" s="21" t="s">
        <v>525</v>
      </c>
      <c r="Y280" s="21" t="s">
        <v>1190</v>
      </c>
      <c r="Z280" s="21">
        <v>3035680923</v>
      </c>
      <c r="AA280" s="26">
        <v>42746</v>
      </c>
      <c r="AB280" s="26">
        <v>42746</v>
      </c>
      <c r="AC280" s="21" t="s">
        <v>504</v>
      </c>
      <c r="AD280" s="21" t="s">
        <v>505</v>
      </c>
      <c r="AE280" s="21" t="s">
        <v>1054</v>
      </c>
      <c r="AF280" s="21" t="s">
        <v>1105</v>
      </c>
      <c r="AG280" s="21" t="s">
        <v>1415</v>
      </c>
      <c r="AH280" s="21" t="s">
        <v>1416</v>
      </c>
      <c r="AI280" s="21" t="s">
        <v>3792</v>
      </c>
      <c r="AJ280" s="21" t="s">
        <v>526</v>
      </c>
      <c r="AK280" s="21" t="s">
        <v>494</v>
      </c>
      <c r="AL280" s="21" t="s">
        <v>527</v>
      </c>
      <c r="AM280" s="21" t="s">
        <v>527</v>
      </c>
      <c r="AN280" s="21" t="s">
        <v>527</v>
      </c>
      <c r="AO280" s="21" t="s">
        <v>528</v>
      </c>
      <c r="AS280" s="21" t="s">
        <v>511</v>
      </c>
      <c r="AT280" s="21" t="s">
        <v>512</v>
      </c>
      <c r="AW280" s="21">
        <v>0</v>
      </c>
      <c r="AX280" s="21">
        <v>3</v>
      </c>
      <c r="AY280" s="26"/>
      <c r="AZ280" s="26"/>
      <c r="BB280" s="26"/>
      <c r="BC280" s="21" t="s">
        <v>513</v>
      </c>
      <c r="BD280" s="21" t="s">
        <v>514</v>
      </c>
      <c r="BE280" s="21" t="s">
        <v>514</v>
      </c>
      <c r="BF280" s="21" t="s">
        <v>515</v>
      </c>
      <c r="BG280" s="21">
        <v>1</v>
      </c>
      <c r="BH280" s="21" t="s">
        <v>516</v>
      </c>
      <c r="BI280" s="21" t="s">
        <v>517</v>
      </c>
      <c r="BJ280" s="21" t="s">
        <v>516</v>
      </c>
      <c r="BK280" s="21" t="s">
        <v>516</v>
      </c>
      <c r="BM280" s="21" t="s">
        <v>40</v>
      </c>
      <c r="BN280" s="21" t="s">
        <v>240</v>
      </c>
      <c r="BO280" s="21" t="s">
        <v>518</v>
      </c>
      <c r="BP280" s="21" t="s">
        <v>1044</v>
      </c>
      <c r="BQ280" s="21" t="s">
        <v>40</v>
      </c>
      <c r="BR280" s="21" t="s">
        <v>240</v>
      </c>
      <c r="BS280" s="21" t="s">
        <v>518</v>
      </c>
      <c r="BT280" s="21" t="s">
        <v>1044</v>
      </c>
      <c r="BU280" s="21" t="s">
        <v>240</v>
      </c>
      <c r="CD280" s="21" t="s">
        <v>520</v>
      </c>
      <c r="CF280" s="21" t="s">
        <v>521</v>
      </c>
      <c r="CN280" s="26"/>
      <c r="DB280" s="24" t="s">
        <v>943</v>
      </c>
      <c r="DC280" s="21">
        <v>1</v>
      </c>
      <c r="DD280" s="21">
        <v>3</v>
      </c>
      <c r="DE280" s="22">
        <v>42751</v>
      </c>
      <c r="DF280" s="21" t="s">
        <v>3793</v>
      </c>
      <c r="DG280" s="21" t="s">
        <v>522</v>
      </c>
      <c r="DH280" s="21" t="s">
        <v>3794</v>
      </c>
      <c r="DI280" s="21" t="s">
        <v>495</v>
      </c>
      <c r="DJ280" s="21" t="s">
        <v>520</v>
      </c>
      <c r="DK280" s="26"/>
      <c r="DL280" s="26">
        <v>42758</v>
      </c>
      <c r="DM280" s="26">
        <v>42748</v>
      </c>
      <c r="DN280" s="21">
        <v>1100</v>
      </c>
      <c r="DO280" s="21">
        <v>10</v>
      </c>
      <c r="DP280" s="21">
        <v>1</v>
      </c>
      <c r="DQ280" s="21">
        <v>2</v>
      </c>
      <c r="DR280" s="21">
        <v>7</v>
      </c>
      <c r="DS280" s="21">
        <v>10</v>
      </c>
      <c r="DT280" s="21">
        <v>10</v>
      </c>
      <c r="DU280" s="21">
        <v>10</v>
      </c>
      <c r="DW280" s="21">
        <v>5</v>
      </c>
      <c r="EA280" s="21">
        <v>10</v>
      </c>
      <c r="EF280" s="25">
        <v>1</v>
      </c>
      <c r="EG280" s="25">
        <v>0</v>
      </c>
      <c r="EH280" s="25">
        <v>1</v>
      </c>
      <c r="EI280" s="25">
        <v>0</v>
      </c>
      <c r="EJ280" s="25" t="s">
        <v>92</v>
      </c>
      <c r="EK280" s="25" t="s">
        <v>241</v>
      </c>
      <c r="EL280" s="25" t="s">
        <v>241</v>
      </c>
      <c r="EM280" s="25" t="s">
        <v>276</v>
      </c>
      <c r="EN280" s="25" t="s">
        <v>39</v>
      </c>
      <c r="EO280" s="25" t="s">
        <v>39</v>
      </c>
      <c r="EP280" s="25" t="s">
        <v>92</v>
      </c>
      <c r="EQ280" s="25" t="s">
        <v>92</v>
      </c>
      <c r="ER280" s="25" t="s">
        <v>278</v>
      </c>
      <c r="ES280" s="25" t="s">
        <v>278</v>
      </c>
      <c r="ET280" s="25">
        <v>1</v>
      </c>
      <c r="EU280" s="25" t="s">
        <v>522</v>
      </c>
      <c r="EV280" s="25" t="s">
        <v>241</v>
      </c>
      <c r="EW280" s="25" t="s">
        <v>39</v>
      </c>
      <c r="EX280" s="25" t="s">
        <v>278</v>
      </c>
      <c r="EY280" s="20" t="e">
        <v>#N/A</v>
      </c>
    </row>
    <row r="281" spans="1:155">
      <c r="A281" s="21" t="s">
        <v>491</v>
      </c>
      <c r="B281" s="21" t="s">
        <v>491</v>
      </c>
      <c r="C281" s="21" t="s">
        <v>492</v>
      </c>
      <c r="D281" s="21" t="s">
        <v>493</v>
      </c>
      <c r="E281" s="21" t="s">
        <v>493</v>
      </c>
      <c r="F281" s="21" t="s">
        <v>493</v>
      </c>
      <c r="G281" s="21" t="s">
        <v>3795</v>
      </c>
      <c r="H281" s="21">
        <v>27999862436</v>
      </c>
      <c r="I281" s="21" t="s">
        <v>494</v>
      </c>
      <c r="J281" s="21" t="s">
        <v>3796</v>
      </c>
      <c r="L281" s="21" t="s">
        <v>495</v>
      </c>
      <c r="M281" s="21" t="s">
        <v>3797</v>
      </c>
      <c r="N281" s="21" t="s">
        <v>496</v>
      </c>
      <c r="O281" s="21" t="s">
        <v>69</v>
      </c>
      <c r="P281" s="21" t="s">
        <v>497</v>
      </c>
      <c r="Q281" s="21" t="s">
        <v>1168</v>
      </c>
      <c r="R281" s="21" t="s">
        <v>498</v>
      </c>
      <c r="S281" s="21" t="s">
        <v>499</v>
      </c>
      <c r="V281" s="21" t="s">
        <v>500</v>
      </c>
      <c r="W281" s="21" t="s">
        <v>501</v>
      </c>
      <c r="X281" s="21" t="s">
        <v>502</v>
      </c>
      <c r="Y281" s="21" t="s">
        <v>503</v>
      </c>
      <c r="Z281" s="21">
        <v>3035678359</v>
      </c>
      <c r="AA281" s="26">
        <v>42746</v>
      </c>
      <c r="AB281" s="26">
        <v>42746</v>
      </c>
      <c r="AC281" s="21" t="s">
        <v>504</v>
      </c>
      <c r="AD281" s="21" t="s">
        <v>505</v>
      </c>
      <c r="AE281" s="21" t="s">
        <v>500</v>
      </c>
      <c r="AF281" s="21" t="s">
        <v>549</v>
      </c>
      <c r="AG281" s="21" t="s">
        <v>555</v>
      </c>
      <c r="AH281" s="21" t="s">
        <v>556</v>
      </c>
      <c r="AI281" s="21" t="s">
        <v>3798</v>
      </c>
      <c r="AJ281" s="21" t="s">
        <v>526</v>
      </c>
      <c r="AK281" s="21" t="s">
        <v>494</v>
      </c>
      <c r="AL281" s="21" t="s">
        <v>527</v>
      </c>
      <c r="AM281" s="21" t="s">
        <v>527</v>
      </c>
      <c r="AN281" s="21" t="s">
        <v>527</v>
      </c>
      <c r="AO281" s="21" t="s">
        <v>528</v>
      </c>
      <c r="AS281" s="21" t="s">
        <v>511</v>
      </c>
      <c r="AT281" s="21" t="s">
        <v>512</v>
      </c>
      <c r="AW281" s="21">
        <v>0</v>
      </c>
      <c r="AX281" s="21">
        <v>2</v>
      </c>
      <c r="AY281" s="26"/>
      <c r="AZ281" s="26"/>
      <c r="BB281" s="26"/>
      <c r="BC281" s="21" t="s">
        <v>513</v>
      </c>
      <c r="BD281" s="21" t="s">
        <v>514</v>
      </c>
      <c r="BE281" s="21" t="s">
        <v>514</v>
      </c>
      <c r="BF281" s="21" t="s">
        <v>515</v>
      </c>
      <c r="BG281" s="21">
        <v>1</v>
      </c>
      <c r="BH281" s="21" t="s">
        <v>516</v>
      </c>
      <c r="BI281" s="21" t="s">
        <v>517</v>
      </c>
      <c r="BJ281" s="21" t="s">
        <v>516</v>
      </c>
      <c r="BK281" s="21" t="s">
        <v>516</v>
      </c>
      <c r="BM281" s="21" t="s">
        <v>12</v>
      </c>
      <c r="BN281" s="21" t="s">
        <v>67</v>
      </c>
      <c r="BO281" s="21" t="s">
        <v>518</v>
      </c>
      <c r="BP281" s="21" t="s">
        <v>519</v>
      </c>
      <c r="BQ281" s="21" t="s">
        <v>12</v>
      </c>
      <c r="BR281" s="21" t="s">
        <v>67</v>
      </c>
      <c r="BS281" s="21" t="s">
        <v>518</v>
      </c>
      <c r="BT281" s="21" t="s">
        <v>519</v>
      </c>
      <c r="BU281" s="21" t="s">
        <v>67</v>
      </c>
      <c r="CD281" s="21" t="s">
        <v>520</v>
      </c>
      <c r="CF281" s="21" t="s">
        <v>521</v>
      </c>
      <c r="CN281" s="26"/>
      <c r="DB281" s="24" t="s">
        <v>943</v>
      </c>
      <c r="DC281" s="21">
        <v>1</v>
      </c>
      <c r="DD281" s="21">
        <v>3</v>
      </c>
      <c r="DE281" s="22">
        <v>42751</v>
      </c>
      <c r="DF281" s="21" t="s">
        <v>3799</v>
      </c>
      <c r="DG281" s="21" t="s">
        <v>522</v>
      </c>
      <c r="DH281" s="21" t="s">
        <v>3800</v>
      </c>
      <c r="DI281" s="21" t="s">
        <v>495</v>
      </c>
      <c r="DJ281" s="21" t="s">
        <v>520</v>
      </c>
      <c r="DK281" s="26"/>
      <c r="DL281" s="26">
        <v>42758</v>
      </c>
      <c r="DM281" s="26">
        <v>42748</v>
      </c>
      <c r="DN281" s="21">
        <v>3100</v>
      </c>
      <c r="DO281" s="21">
        <v>10</v>
      </c>
      <c r="DP281" s="21">
        <v>1</v>
      </c>
      <c r="DQ281" s="21">
        <v>1</v>
      </c>
      <c r="DR281" s="21">
        <v>7</v>
      </c>
      <c r="DS281" s="21">
        <v>10</v>
      </c>
      <c r="DT281" s="21">
        <v>10</v>
      </c>
      <c r="DU281" s="21">
        <v>10</v>
      </c>
      <c r="DW281" s="21">
        <v>10</v>
      </c>
      <c r="EA281" s="21">
        <v>10</v>
      </c>
      <c r="EB281" s="21" t="s">
        <v>3801</v>
      </c>
      <c r="EC281" s="21" t="s">
        <v>1221</v>
      </c>
      <c r="EF281" s="25">
        <v>1</v>
      </c>
      <c r="EG281" s="25">
        <v>0</v>
      </c>
      <c r="EH281" s="25">
        <v>1</v>
      </c>
      <c r="EI281" s="25">
        <v>0</v>
      </c>
      <c r="EJ281" s="25" t="s">
        <v>62</v>
      </c>
      <c r="EK281" s="25" t="s">
        <v>68</v>
      </c>
      <c r="EL281" s="25" t="s">
        <v>68</v>
      </c>
      <c r="EM281" s="25" t="s">
        <v>276</v>
      </c>
      <c r="EN281" s="25" t="s">
        <v>9</v>
      </c>
      <c r="EO281" s="25" t="s">
        <v>9</v>
      </c>
      <c r="EP281" s="25" t="s">
        <v>62</v>
      </c>
      <c r="EQ281" s="25" t="s">
        <v>62</v>
      </c>
      <c r="ER281" s="25" t="s">
        <v>278</v>
      </c>
      <c r="ES281" s="25" t="s">
        <v>278</v>
      </c>
      <c r="ET281" s="25">
        <v>1</v>
      </c>
      <c r="EU281" s="25" t="s">
        <v>522</v>
      </c>
      <c r="EV281" s="25" t="s">
        <v>68</v>
      </c>
      <c r="EW281" s="25" t="s">
        <v>9</v>
      </c>
      <c r="EX281" s="25" t="s">
        <v>278</v>
      </c>
      <c r="EY281" s="20" t="e">
        <v>#N/A</v>
      </c>
    </row>
    <row r="282" spans="1:155">
      <c r="A282" s="21" t="s">
        <v>491</v>
      </c>
      <c r="B282" s="21" t="s">
        <v>491</v>
      </c>
      <c r="C282" s="21" t="s">
        <v>492</v>
      </c>
      <c r="D282" s="21" t="s">
        <v>493</v>
      </c>
      <c r="E282" s="21" t="s">
        <v>493</v>
      </c>
      <c r="F282" s="21" t="s">
        <v>493</v>
      </c>
      <c r="G282" s="21" t="s">
        <v>3802</v>
      </c>
      <c r="H282" s="21" t="s">
        <v>3803</v>
      </c>
      <c r="I282" s="21" t="s">
        <v>494</v>
      </c>
      <c r="J282" s="21" t="s">
        <v>3804</v>
      </c>
      <c r="L282" s="21" t="s">
        <v>495</v>
      </c>
      <c r="M282" s="21" t="s">
        <v>3805</v>
      </c>
      <c r="N282" s="21" t="s">
        <v>1134</v>
      </c>
      <c r="O282" s="21" t="s">
        <v>98</v>
      </c>
      <c r="P282" s="21" t="s">
        <v>553</v>
      </c>
      <c r="R282" s="21" t="s">
        <v>588</v>
      </c>
      <c r="S282" s="21" t="s">
        <v>589</v>
      </c>
      <c r="V282" s="21" t="s">
        <v>500</v>
      </c>
      <c r="W282" s="21" t="s">
        <v>501</v>
      </c>
      <c r="X282" s="21" t="s">
        <v>502</v>
      </c>
      <c r="Y282" s="21" t="s">
        <v>554</v>
      </c>
      <c r="Z282" s="21">
        <v>3035519405</v>
      </c>
      <c r="AA282" s="26">
        <v>42740</v>
      </c>
      <c r="AB282" s="26">
        <v>42746</v>
      </c>
      <c r="AC282" s="21" t="s">
        <v>504</v>
      </c>
      <c r="AD282" s="21" t="s">
        <v>505</v>
      </c>
      <c r="AE282" s="21" t="s">
        <v>500</v>
      </c>
      <c r="AF282" s="21" t="s">
        <v>506</v>
      </c>
      <c r="AG282" s="21" t="s">
        <v>1148</v>
      </c>
      <c r="AH282" s="21" t="s">
        <v>1149</v>
      </c>
      <c r="AI282" s="21" t="s">
        <v>1604</v>
      </c>
      <c r="AJ282" s="21" t="s">
        <v>507</v>
      </c>
      <c r="AK282" s="21" t="s">
        <v>494</v>
      </c>
      <c r="AL282" s="21" t="s">
        <v>527</v>
      </c>
      <c r="AM282" s="21" t="s">
        <v>527</v>
      </c>
      <c r="AN282" s="21" t="s">
        <v>527</v>
      </c>
      <c r="AO282" s="21" t="s">
        <v>528</v>
      </c>
      <c r="AS282" s="21" t="s">
        <v>1418</v>
      </c>
      <c r="AT282" s="21" t="s">
        <v>512</v>
      </c>
      <c r="AW282" s="21">
        <v>0</v>
      </c>
      <c r="AX282" s="21">
        <v>11</v>
      </c>
      <c r="AY282" s="26"/>
      <c r="AZ282" s="26"/>
      <c r="BB282" s="26"/>
      <c r="BC282" s="21" t="s">
        <v>513</v>
      </c>
      <c r="BD282" s="21" t="s">
        <v>514</v>
      </c>
      <c r="BE282" s="21" t="s">
        <v>514</v>
      </c>
      <c r="BF282" s="21" t="s">
        <v>515</v>
      </c>
      <c r="BG282" s="21">
        <v>1</v>
      </c>
      <c r="BH282" s="21" t="s">
        <v>516</v>
      </c>
      <c r="BI282" s="21" t="s">
        <v>517</v>
      </c>
      <c r="BJ282" s="21" t="s">
        <v>516</v>
      </c>
      <c r="BK282" s="21" t="s">
        <v>516</v>
      </c>
      <c r="BM282" s="21" t="s">
        <v>49</v>
      </c>
      <c r="BN282" s="21" t="s">
        <v>261</v>
      </c>
      <c r="BO282" s="21" t="s">
        <v>518</v>
      </c>
      <c r="BP282" s="21" t="s">
        <v>519</v>
      </c>
      <c r="BQ282" s="21" t="s">
        <v>21</v>
      </c>
      <c r="BR282" s="21" t="s">
        <v>115</v>
      </c>
      <c r="BS282" s="21" t="s">
        <v>518</v>
      </c>
      <c r="BT282" s="21" t="s">
        <v>519</v>
      </c>
      <c r="BU282" s="21" t="s">
        <v>261</v>
      </c>
      <c r="CD282" s="21" t="s">
        <v>520</v>
      </c>
      <c r="CF282" s="21" t="s">
        <v>521</v>
      </c>
      <c r="CN282" s="26"/>
      <c r="DB282" s="24" t="s">
        <v>943</v>
      </c>
      <c r="DC282" s="21">
        <v>1</v>
      </c>
      <c r="DD282" s="21">
        <v>3</v>
      </c>
      <c r="DE282" s="22">
        <v>42751</v>
      </c>
      <c r="DF282" s="21" t="s">
        <v>3806</v>
      </c>
      <c r="DG282" s="21" t="s">
        <v>522</v>
      </c>
      <c r="DH282" s="21" t="s">
        <v>3807</v>
      </c>
      <c r="DI282" s="21" t="s">
        <v>495</v>
      </c>
      <c r="DJ282" s="21" t="s">
        <v>520</v>
      </c>
      <c r="DK282" s="26"/>
      <c r="DL282" s="26">
        <v>42758</v>
      </c>
      <c r="DM282" s="26">
        <v>42748</v>
      </c>
      <c r="DN282" s="21">
        <v>3100</v>
      </c>
      <c r="DO282" s="21">
        <v>10</v>
      </c>
      <c r="DP282" s="21">
        <v>1</v>
      </c>
      <c r="DQ282" s="21">
        <v>1</v>
      </c>
      <c r="DR282" s="21">
        <v>7</v>
      </c>
      <c r="DS282" s="21">
        <v>10</v>
      </c>
      <c r="DT282" s="21">
        <v>10</v>
      </c>
      <c r="DU282" s="21">
        <v>10</v>
      </c>
      <c r="DW282" s="21">
        <v>10</v>
      </c>
      <c r="EA282" s="21">
        <v>10</v>
      </c>
      <c r="EB282" s="21" t="s">
        <v>3808</v>
      </c>
      <c r="EC282" s="21" t="s">
        <v>1221</v>
      </c>
      <c r="EF282" s="25">
        <v>1</v>
      </c>
      <c r="EG282" s="25">
        <v>0</v>
      </c>
      <c r="EH282" s="25">
        <v>1</v>
      </c>
      <c r="EI282" s="25">
        <v>0</v>
      </c>
      <c r="EJ282" s="25" t="s">
        <v>62</v>
      </c>
      <c r="EK282" s="25" t="s">
        <v>276</v>
      </c>
      <c r="EL282" s="25" t="s">
        <v>116</v>
      </c>
      <c r="EM282" s="25" t="s">
        <v>276</v>
      </c>
      <c r="EN282" s="25" t="s">
        <v>276</v>
      </c>
      <c r="EO282" s="25" t="s">
        <v>127</v>
      </c>
      <c r="EP282" s="25" t="s">
        <v>276</v>
      </c>
      <c r="EQ282" s="25" t="s">
        <v>529</v>
      </c>
      <c r="ER282" s="25" t="s">
        <v>276</v>
      </c>
      <c r="ES282" s="25" t="s">
        <v>278</v>
      </c>
      <c r="ET282" s="25">
        <v>1</v>
      </c>
      <c r="EU282" s="25" t="s">
        <v>522</v>
      </c>
      <c r="EV282" s="25" t="s">
        <v>279</v>
      </c>
      <c r="EW282" s="25" t="s">
        <v>279</v>
      </c>
      <c r="EX282" s="25" t="s">
        <v>279</v>
      </c>
      <c r="EY282" s="20" t="s">
        <v>273</v>
      </c>
    </row>
    <row r="283" spans="1:155">
      <c r="A283" s="21" t="s">
        <v>491</v>
      </c>
      <c r="B283" s="21" t="s">
        <v>491</v>
      </c>
      <c r="C283" s="21" t="s">
        <v>492</v>
      </c>
      <c r="D283" s="21" t="s">
        <v>493</v>
      </c>
      <c r="E283" s="21" t="s">
        <v>493</v>
      </c>
      <c r="F283" s="21" t="s">
        <v>493</v>
      </c>
      <c r="G283" s="21" t="s">
        <v>3809</v>
      </c>
      <c r="H283" s="21">
        <v>1137192314</v>
      </c>
      <c r="I283" s="21">
        <v>1137192314</v>
      </c>
      <c r="J283" s="21" t="s">
        <v>3810</v>
      </c>
      <c r="L283" s="21" t="s">
        <v>495</v>
      </c>
      <c r="M283" s="21" t="s">
        <v>3811</v>
      </c>
      <c r="N283" s="21" t="s">
        <v>3812</v>
      </c>
      <c r="O283" s="21" t="s">
        <v>93</v>
      </c>
      <c r="P283" s="21" t="s">
        <v>539</v>
      </c>
      <c r="R283" s="21" t="s">
        <v>3813</v>
      </c>
      <c r="S283" s="21" t="s">
        <v>3814</v>
      </c>
      <c r="V283" s="21" t="s">
        <v>277</v>
      </c>
      <c r="W283" s="21" t="s">
        <v>524</v>
      </c>
      <c r="X283" s="21" t="s">
        <v>525</v>
      </c>
      <c r="Y283" s="21" t="s">
        <v>530</v>
      </c>
      <c r="Z283" s="21">
        <v>3035687006</v>
      </c>
      <c r="AA283" s="26">
        <v>42746</v>
      </c>
      <c r="AB283" s="26">
        <v>42746</v>
      </c>
      <c r="AC283" s="21" t="s">
        <v>504</v>
      </c>
      <c r="AD283" s="21" t="s">
        <v>505</v>
      </c>
      <c r="AE283" s="21" t="s">
        <v>1054</v>
      </c>
      <c r="AF283" s="21" t="s">
        <v>1055</v>
      </c>
      <c r="AG283" s="21" t="s">
        <v>1231</v>
      </c>
      <c r="AH283" s="21" t="s">
        <v>1232</v>
      </c>
      <c r="AI283" s="21" t="s">
        <v>3531</v>
      </c>
      <c r="AJ283" s="21" t="s">
        <v>526</v>
      </c>
      <c r="AK283" s="21" t="s">
        <v>494</v>
      </c>
      <c r="AL283" s="21" t="s">
        <v>508</v>
      </c>
      <c r="AM283" s="21" t="s">
        <v>509</v>
      </c>
      <c r="AN283" s="21" t="s">
        <v>527</v>
      </c>
      <c r="AO283" s="21" t="s">
        <v>528</v>
      </c>
      <c r="AQ283" s="21" t="s">
        <v>2187</v>
      </c>
      <c r="AS283" s="21" t="s">
        <v>511</v>
      </c>
      <c r="AT283" s="21" t="s">
        <v>512</v>
      </c>
      <c r="AW283" s="21">
        <v>0</v>
      </c>
      <c r="AX283" s="21">
        <v>4</v>
      </c>
      <c r="AY283" s="26"/>
      <c r="AZ283" s="26"/>
      <c r="BB283" s="26"/>
      <c r="BC283" s="21" t="s">
        <v>513</v>
      </c>
      <c r="BD283" s="21" t="s">
        <v>514</v>
      </c>
      <c r="BE283" s="21" t="s">
        <v>514</v>
      </c>
      <c r="BF283" s="21" t="s">
        <v>515</v>
      </c>
      <c r="BG283" s="21">
        <v>1</v>
      </c>
      <c r="BH283" s="21" t="s">
        <v>516</v>
      </c>
      <c r="BI283" s="21" t="s">
        <v>517</v>
      </c>
      <c r="BJ283" s="21" t="s">
        <v>516</v>
      </c>
      <c r="BK283" s="21" t="s">
        <v>516</v>
      </c>
      <c r="BM283" s="21" t="s">
        <v>26</v>
      </c>
      <c r="BN283" s="21" t="s">
        <v>183</v>
      </c>
      <c r="BO283" s="21" t="s">
        <v>518</v>
      </c>
      <c r="BP283" s="21" t="s">
        <v>519</v>
      </c>
      <c r="BQ283" s="21" t="s">
        <v>26</v>
      </c>
      <c r="BR283" s="21" t="s">
        <v>183</v>
      </c>
      <c r="BS283" s="21" t="s">
        <v>518</v>
      </c>
      <c r="BT283" s="21" t="s">
        <v>519</v>
      </c>
      <c r="BU283" s="21" t="s">
        <v>183</v>
      </c>
      <c r="CD283" s="21" t="s">
        <v>520</v>
      </c>
      <c r="CF283" s="21" t="s">
        <v>521</v>
      </c>
      <c r="CN283" s="26"/>
      <c r="DB283" s="24" t="s">
        <v>943</v>
      </c>
      <c r="DC283" s="21">
        <v>1</v>
      </c>
      <c r="DD283" s="21">
        <v>3</v>
      </c>
      <c r="DE283" s="22">
        <v>42751</v>
      </c>
      <c r="DF283" s="21" t="s">
        <v>3815</v>
      </c>
      <c r="DG283" s="21" t="s">
        <v>522</v>
      </c>
      <c r="DH283" s="21" t="s">
        <v>3816</v>
      </c>
      <c r="DI283" s="21" t="s">
        <v>495</v>
      </c>
      <c r="DJ283" s="21" t="s">
        <v>520</v>
      </c>
      <c r="DK283" s="26"/>
      <c r="DL283" s="26">
        <v>42758</v>
      </c>
      <c r="DM283" s="26">
        <v>42748</v>
      </c>
      <c r="DN283" s="21">
        <v>1100</v>
      </c>
      <c r="DO283" s="21">
        <v>10</v>
      </c>
      <c r="DP283" s="21">
        <v>1</v>
      </c>
      <c r="DQ283" s="21">
        <v>1</v>
      </c>
      <c r="DR283" s="21">
        <v>6</v>
      </c>
      <c r="DS283" s="21">
        <v>10</v>
      </c>
      <c r="DT283" s="21">
        <v>10</v>
      </c>
      <c r="DU283" s="21">
        <v>10</v>
      </c>
      <c r="DW283" s="21">
        <v>10</v>
      </c>
      <c r="EA283" s="21">
        <v>10</v>
      </c>
      <c r="EB283" s="21" t="s">
        <v>3817</v>
      </c>
      <c r="EC283" s="21" t="s">
        <v>1221</v>
      </c>
      <c r="EF283" s="25">
        <v>1</v>
      </c>
      <c r="EG283" s="25">
        <v>0</v>
      </c>
      <c r="EH283" s="25">
        <v>1</v>
      </c>
      <c r="EI283" s="25">
        <v>0</v>
      </c>
      <c r="EJ283" s="25" t="s">
        <v>92</v>
      </c>
      <c r="EK283" s="25" t="s">
        <v>184</v>
      </c>
      <c r="EL283" s="25" t="s">
        <v>184</v>
      </c>
      <c r="EM283" s="25" t="s">
        <v>276</v>
      </c>
      <c r="EN283" s="25" t="s">
        <v>23</v>
      </c>
      <c r="EO283" s="25" t="s">
        <v>23</v>
      </c>
      <c r="EP283" s="25" t="s">
        <v>62</v>
      </c>
      <c r="EQ283" s="25" t="s">
        <v>62</v>
      </c>
      <c r="ER283" s="25" t="s">
        <v>278</v>
      </c>
      <c r="ES283" s="25" t="s">
        <v>278</v>
      </c>
      <c r="ET283" s="25">
        <v>1</v>
      </c>
      <c r="EU283" s="25" t="s">
        <v>522</v>
      </c>
      <c r="EV283" s="25" t="s">
        <v>184</v>
      </c>
      <c r="EW283" s="25" t="s">
        <v>23</v>
      </c>
      <c r="EX283" s="25" t="s">
        <v>278</v>
      </c>
      <c r="EY283" s="20" t="e">
        <v>#N/A</v>
      </c>
    </row>
    <row r="284" spans="1:155">
      <c r="A284" s="21" t="s">
        <v>491</v>
      </c>
      <c r="B284" s="21" t="s">
        <v>491</v>
      </c>
      <c r="C284" s="21" t="s">
        <v>492</v>
      </c>
      <c r="D284" s="21" t="s">
        <v>493</v>
      </c>
      <c r="E284" s="21" t="s">
        <v>493</v>
      </c>
      <c r="F284" s="21" t="s">
        <v>493</v>
      </c>
      <c r="G284" s="21" t="s">
        <v>3818</v>
      </c>
      <c r="H284" s="21">
        <v>18997290114</v>
      </c>
      <c r="I284" s="21" t="s">
        <v>494</v>
      </c>
      <c r="J284" s="21" t="s">
        <v>3819</v>
      </c>
      <c r="L284" s="21" t="s">
        <v>495</v>
      </c>
      <c r="M284" s="21" t="s">
        <v>3820</v>
      </c>
      <c r="N284" s="21" t="s">
        <v>2733</v>
      </c>
      <c r="O284" s="21" t="s">
        <v>69</v>
      </c>
      <c r="P284" s="21" t="s">
        <v>497</v>
      </c>
      <c r="R284" s="21" t="s">
        <v>2734</v>
      </c>
      <c r="S284" s="21" t="s">
        <v>2735</v>
      </c>
      <c r="V284" s="21" t="s">
        <v>500</v>
      </c>
      <c r="W284" s="21" t="s">
        <v>501</v>
      </c>
      <c r="X284" s="21" t="s">
        <v>502</v>
      </c>
      <c r="Y284" s="21" t="s">
        <v>503</v>
      </c>
      <c r="Z284" s="21">
        <v>3035686308</v>
      </c>
      <c r="AA284" s="26">
        <v>42746</v>
      </c>
      <c r="AB284" s="26">
        <v>42746</v>
      </c>
      <c r="AC284" s="21" t="s">
        <v>504</v>
      </c>
      <c r="AD284" s="21" t="s">
        <v>505</v>
      </c>
      <c r="AE284" s="21" t="s">
        <v>500</v>
      </c>
      <c r="AF284" s="21" t="s">
        <v>549</v>
      </c>
      <c r="AG284" s="21" t="s">
        <v>555</v>
      </c>
      <c r="AH284" s="21" t="s">
        <v>556</v>
      </c>
      <c r="AI284" s="21" t="s">
        <v>3821</v>
      </c>
      <c r="AJ284" s="21" t="s">
        <v>526</v>
      </c>
      <c r="AK284" s="21" t="s">
        <v>494</v>
      </c>
      <c r="AL284" s="21" t="s">
        <v>527</v>
      </c>
      <c r="AM284" s="21" t="s">
        <v>527</v>
      </c>
      <c r="AN284" s="21" t="s">
        <v>527</v>
      </c>
      <c r="AO284" s="21" t="s">
        <v>528</v>
      </c>
      <c r="AS284" s="21" t="s">
        <v>511</v>
      </c>
      <c r="AT284" s="21" t="s">
        <v>512</v>
      </c>
      <c r="AW284" s="21">
        <v>0</v>
      </c>
      <c r="AX284" s="21">
        <v>2</v>
      </c>
      <c r="AY284" s="26"/>
      <c r="AZ284" s="26"/>
      <c r="BB284" s="26"/>
      <c r="BC284" s="21" t="s">
        <v>513</v>
      </c>
      <c r="BD284" s="21" t="s">
        <v>514</v>
      </c>
      <c r="BE284" s="21" t="s">
        <v>514</v>
      </c>
      <c r="BF284" s="21" t="s">
        <v>515</v>
      </c>
      <c r="BG284" s="21">
        <v>1</v>
      </c>
      <c r="BH284" s="21" t="s">
        <v>516</v>
      </c>
      <c r="BI284" s="21" t="s">
        <v>517</v>
      </c>
      <c r="BJ284" s="21" t="s">
        <v>516</v>
      </c>
      <c r="BK284" s="21" t="s">
        <v>516</v>
      </c>
      <c r="BM284" s="21" t="s">
        <v>1537</v>
      </c>
      <c r="BN284" s="21" t="s">
        <v>149</v>
      </c>
      <c r="BO284" s="21" t="s">
        <v>518</v>
      </c>
      <c r="BP284" s="21" t="s">
        <v>519</v>
      </c>
      <c r="BQ284" s="21" t="s">
        <v>1537</v>
      </c>
      <c r="BR284" s="21" t="s">
        <v>149</v>
      </c>
      <c r="BS284" s="21" t="s">
        <v>518</v>
      </c>
      <c r="BT284" s="21" t="s">
        <v>519</v>
      </c>
      <c r="BU284" s="21" t="s">
        <v>149</v>
      </c>
      <c r="CD284" s="21" t="s">
        <v>520</v>
      </c>
      <c r="CF284" s="21" t="s">
        <v>521</v>
      </c>
      <c r="CN284" s="26"/>
      <c r="DB284" s="24" t="s">
        <v>943</v>
      </c>
      <c r="DC284" s="21">
        <v>1</v>
      </c>
      <c r="DD284" s="21">
        <v>3</v>
      </c>
      <c r="DE284" s="22">
        <v>42751</v>
      </c>
      <c r="DF284" s="21" t="s">
        <v>3822</v>
      </c>
      <c r="DG284" s="21" t="s">
        <v>522</v>
      </c>
      <c r="DH284" s="21" t="s">
        <v>3823</v>
      </c>
      <c r="DI284" s="21" t="s">
        <v>495</v>
      </c>
      <c r="DJ284" s="21" t="s">
        <v>520</v>
      </c>
      <c r="DK284" s="26"/>
      <c r="DL284" s="26">
        <v>42758</v>
      </c>
      <c r="DM284" s="26">
        <v>42748</v>
      </c>
      <c r="DN284" s="21">
        <v>3100</v>
      </c>
      <c r="DO284" s="21">
        <v>10</v>
      </c>
      <c r="DP284" s="21">
        <v>1</v>
      </c>
      <c r="DQ284" s="21">
        <v>1</v>
      </c>
      <c r="DR284" s="21">
        <v>7</v>
      </c>
      <c r="DS284" s="21">
        <v>10</v>
      </c>
      <c r="DT284" s="21">
        <v>10</v>
      </c>
      <c r="DU284" s="21">
        <v>10</v>
      </c>
      <c r="DW284" s="21">
        <v>10</v>
      </c>
      <c r="EA284" s="21">
        <v>10</v>
      </c>
      <c r="EB284" s="21" t="s">
        <v>3824</v>
      </c>
      <c r="EC284" s="21" t="s">
        <v>4033</v>
      </c>
      <c r="EF284" s="25">
        <v>1</v>
      </c>
      <c r="EG284" s="25">
        <v>0</v>
      </c>
      <c r="EH284" s="25">
        <v>1</v>
      </c>
      <c r="EI284" s="25">
        <v>0</v>
      </c>
      <c r="EJ284" s="25" t="s">
        <v>62</v>
      </c>
      <c r="EK284" s="25" t="s">
        <v>150</v>
      </c>
      <c r="EL284" s="25" t="s">
        <v>150</v>
      </c>
      <c r="EM284" s="25" t="s">
        <v>276</v>
      </c>
      <c r="EN284" s="25" t="s">
        <v>23</v>
      </c>
      <c r="EO284" s="25" t="s">
        <v>23</v>
      </c>
      <c r="EP284" s="25" t="s">
        <v>62</v>
      </c>
      <c r="EQ284" s="25" t="s">
        <v>62</v>
      </c>
      <c r="ER284" s="25" t="s">
        <v>278</v>
      </c>
      <c r="ES284" s="25" t="s">
        <v>278</v>
      </c>
      <c r="ET284" s="25">
        <v>1</v>
      </c>
      <c r="EU284" s="25" t="s">
        <v>522</v>
      </c>
      <c r="EV284" s="25" t="s">
        <v>150</v>
      </c>
      <c r="EW284" s="25" t="s">
        <v>23</v>
      </c>
      <c r="EX284" s="25" t="s">
        <v>278</v>
      </c>
      <c r="EY284" s="20" t="e">
        <v>#N/A</v>
      </c>
    </row>
    <row r="285" spans="1:155">
      <c r="A285" s="21" t="s">
        <v>491</v>
      </c>
      <c r="B285" s="21" t="s">
        <v>491</v>
      </c>
      <c r="C285" s="21" t="s">
        <v>492</v>
      </c>
      <c r="D285" s="21" t="s">
        <v>493</v>
      </c>
      <c r="E285" s="21" t="s">
        <v>493</v>
      </c>
      <c r="F285" s="21" t="s">
        <v>493</v>
      </c>
      <c r="G285" s="21" t="s">
        <v>3825</v>
      </c>
      <c r="H285" s="21" t="s">
        <v>3826</v>
      </c>
      <c r="I285" s="21" t="s">
        <v>494</v>
      </c>
      <c r="J285" s="21" t="s">
        <v>3827</v>
      </c>
      <c r="L285" s="21" t="s">
        <v>495</v>
      </c>
      <c r="M285" s="21" t="s">
        <v>3828</v>
      </c>
      <c r="N285" s="21" t="s">
        <v>496</v>
      </c>
      <c r="O285" s="21" t="s">
        <v>69</v>
      </c>
      <c r="P285" s="21" t="s">
        <v>497</v>
      </c>
      <c r="R285" s="21" t="s">
        <v>498</v>
      </c>
      <c r="S285" s="21" t="s">
        <v>499</v>
      </c>
      <c r="V285" s="21" t="s">
        <v>500</v>
      </c>
      <c r="W285" s="21" t="s">
        <v>501</v>
      </c>
      <c r="X285" s="21" t="s">
        <v>502</v>
      </c>
      <c r="Y285" s="21" t="s">
        <v>503</v>
      </c>
      <c r="Z285" s="21">
        <v>3035616947</v>
      </c>
      <c r="AA285" s="26">
        <v>42744</v>
      </c>
      <c r="AB285" s="26">
        <v>42746</v>
      </c>
      <c r="AC285" s="21" t="s">
        <v>504</v>
      </c>
      <c r="AD285" s="21" t="s">
        <v>505</v>
      </c>
      <c r="AE285" s="21" t="s">
        <v>500</v>
      </c>
      <c r="AF285" s="21" t="s">
        <v>549</v>
      </c>
      <c r="AG285" s="21" t="s">
        <v>555</v>
      </c>
      <c r="AH285" s="21" t="s">
        <v>556</v>
      </c>
      <c r="AI285" s="21" t="s">
        <v>3829</v>
      </c>
      <c r="AJ285" s="21" t="s">
        <v>526</v>
      </c>
      <c r="AK285" s="21" t="s">
        <v>494</v>
      </c>
      <c r="AL285" s="21" t="s">
        <v>527</v>
      </c>
      <c r="AM285" s="21" t="s">
        <v>527</v>
      </c>
      <c r="AN285" s="21" t="s">
        <v>527</v>
      </c>
      <c r="AO285" s="21" t="s">
        <v>528</v>
      </c>
      <c r="AS285" s="21" t="s">
        <v>511</v>
      </c>
      <c r="AT285" s="21" t="s">
        <v>512</v>
      </c>
      <c r="AW285" s="21">
        <v>0</v>
      </c>
      <c r="AX285" s="21">
        <v>0</v>
      </c>
      <c r="AY285" s="26"/>
      <c r="AZ285" s="26"/>
      <c r="BB285" s="26"/>
      <c r="BC285" s="21" t="s">
        <v>513</v>
      </c>
      <c r="BD285" s="21" t="s">
        <v>514</v>
      </c>
      <c r="BE285" s="21" t="s">
        <v>514</v>
      </c>
      <c r="BF285" s="21" t="s">
        <v>1351</v>
      </c>
      <c r="BG285" s="21">
        <v>1</v>
      </c>
      <c r="BH285" s="21" t="s">
        <v>516</v>
      </c>
      <c r="BI285" s="21" t="s">
        <v>517</v>
      </c>
      <c r="BJ285" s="21" t="s">
        <v>516</v>
      </c>
      <c r="BK285" s="21" t="s">
        <v>516</v>
      </c>
      <c r="BM285" s="21" t="s">
        <v>281</v>
      </c>
      <c r="BN285" s="21" t="s">
        <v>142</v>
      </c>
      <c r="BO285" s="21" t="s">
        <v>518</v>
      </c>
      <c r="BP285" s="21" t="s">
        <v>519</v>
      </c>
      <c r="BQ285" s="21" t="s">
        <v>281</v>
      </c>
      <c r="BR285" s="21" t="s">
        <v>142</v>
      </c>
      <c r="BS285" s="21" t="s">
        <v>518</v>
      </c>
      <c r="BT285" s="21" t="s">
        <v>519</v>
      </c>
      <c r="BU285" s="21" t="s">
        <v>142</v>
      </c>
      <c r="CD285" s="21" t="s">
        <v>520</v>
      </c>
      <c r="CF285" s="21" t="s">
        <v>521</v>
      </c>
      <c r="CN285" s="26"/>
      <c r="DB285" s="24" t="s">
        <v>943</v>
      </c>
      <c r="DC285" s="21">
        <v>1</v>
      </c>
      <c r="DD285" s="21">
        <v>3</v>
      </c>
      <c r="DE285" s="22">
        <v>42751</v>
      </c>
      <c r="DF285" s="21" t="s">
        <v>3830</v>
      </c>
      <c r="DG285" s="21" t="s">
        <v>522</v>
      </c>
      <c r="DH285" s="21" t="s">
        <v>3831</v>
      </c>
      <c r="DI285" s="21" t="s">
        <v>495</v>
      </c>
      <c r="DJ285" s="21" t="s">
        <v>520</v>
      </c>
      <c r="DK285" s="26"/>
      <c r="DL285" s="26">
        <v>42758</v>
      </c>
      <c r="DM285" s="26">
        <v>42748</v>
      </c>
      <c r="DN285" s="21">
        <v>3100</v>
      </c>
      <c r="DO285" s="21">
        <v>10</v>
      </c>
      <c r="DP285" s="21">
        <v>1</v>
      </c>
      <c r="DQ285" s="21">
        <v>2</v>
      </c>
      <c r="DR285" s="21">
        <v>6</v>
      </c>
      <c r="DS285" s="21">
        <v>99</v>
      </c>
      <c r="DT285" s="21">
        <v>99</v>
      </c>
      <c r="DU285" s="21">
        <v>99</v>
      </c>
      <c r="DW285" s="21">
        <v>99</v>
      </c>
      <c r="EA285" s="21">
        <v>10</v>
      </c>
      <c r="EB285" s="21" t="s">
        <v>3832</v>
      </c>
      <c r="EC285" s="21" t="s">
        <v>1221</v>
      </c>
      <c r="EF285" s="25">
        <v>1</v>
      </c>
      <c r="EG285" s="25">
        <v>0</v>
      </c>
      <c r="EH285" s="25">
        <v>1</v>
      </c>
      <c r="EI285" s="25">
        <v>0</v>
      </c>
      <c r="EJ285" s="25" t="s">
        <v>62</v>
      </c>
      <c r="EK285" s="25" t="s">
        <v>143</v>
      </c>
      <c r="EL285" s="25" t="s">
        <v>143</v>
      </c>
      <c r="EM285" s="25" t="s">
        <v>276</v>
      </c>
      <c r="EN285" s="25" t="s">
        <v>51</v>
      </c>
      <c r="EO285" s="25" t="s">
        <v>51</v>
      </c>
      <c r="EP285" s="25" t="s">
        <v>1355</v>
      </c>
      <c r="EQ285" s="25" t="s">
        <v>1355</v>
      </c>
      <c r="ER285" s="25" t="s">
        <v>278</v>
      </c>
      <c r="ES285" s="25" t="s">
        <v>278</v>
      </c>
      <c r="ET285" s="25">
        <v>1</v>
      </c>
      <c r="EU285" s="25" t="s">
        <v>522</v>
      </c>
      <c r="EV285" s="25" t="s">
        <v>143</v>
      </c>
      <c r="EW285" s="25" t="s">
        <v>51</v>
      </c>
      <c r="EX285" s="25" t="s">
        <v>278</v>
      </c>
      <c r="EY285" s="20" t="e">
        <v>#N/A</v>
      </c>
    </row>
    <row r="286" spans="1:155">
      <c r="A286" s="21" t="s">
        <v>491</v>
      </c>
      <c r="B286" s="21" t="s">
        <v>491</v>
      </c>
      <c r="C286" s="21" t="s">
        <v>492</v>
      </c>
      <c r="D286" s="21" t="s">
        <v>493</v>
      </c>
      <c r="E286" s="21" t="s">
        <v>493</v>
      </c>
      <c r="F286" s="21" t="s">
        <v>493</v>
      </c>
      <c r="G286" s="21" t="s">
        <v>3833</v>
      </c>
      <c r="H286" s="21" t="s">
        <v>3834</v>
      </c>
      <c r="I286" s="21" t="s">
        <v>494</v>
      </c>
      <c r="J286" s="21" t="s">
        <v>3835</v>
      </c>
      <c r="L286" s="21" t="s">
        <v>495</v>
      </c>
      <c r="M286" s="21" t="s">
        <v>3836</v>
      </c>
      <c r="N286" s="21" t="s">
        <v>1450</v>
      </c>
      <c r="O286" s="21" t="s">
        <v>93</v>
      </c>
      <c r="P286" s="21" t="s">
        <v>539</v>
      </c>
      <c r="R286" s="21" t="s">
        <v>1451</v>
      </c>
      <c r="S286" s="21" t="s">
        <v>1068</v>
      </c>
      <c r="V286" s="21" t="s">
        <v>277</v>
      </c>
      <c r="W286" s="21" t="s">
        <v>524</v>
      </c>
      <c r="X286" s="21" t="s">
        <v>525</v>
      </c>
      <c r="Y286" s="21" t="s">
        <v>530</v>
      </c>
      <c r="Z286" s="21">
        <v>3035695643</v>
      </c>
      <c r="AA286" s="26">
        <v>42746</v>
      </c>
      <c r="AB286" s="26">
        <v>42746</v>
      </c>
      <c r="AC286" s="21" t="s">
        <v>504</v>
      </c>
      <c r="AD286" s="21" t="s">
        <v>505</v>
      </c>
      <c r="AE286" s="21" t="s">
        <v>1156</v>
      </c>
      <c r="AF286" s="21" t="s">
        <v>2078</v>
      </c>
      <c r="AG286" s="21" t="s">
        <v>3837</v>
      </c>
      <c r="AH286" s="21" t="s">
        <v>3838</v>
      </c>
      <c r="AI286" s="21" t="s">
        <v>3839</v>
      </c>
      <c r="AJ286" s="21" t="s">
        <v>507</v>
      </c>
      <c r="AK286" s="21" t="s">
        <v>494</v>
      </c>
      <c r="AL286" s="21" t="s">
        <v>527</v>
      </c>
      <c r="AM286" s="21" t="s">
        <v>527</v>
      </c>
      <c r="AN286" s="21" t="s">
        <v>527</v>
      </c>
      <c r="AO286" s="21" t="s">
        <v>528</v>
      </c>
      <c r="AS286" s="21" t="s">
        <v>511</v>
      </c>
      <c r="AT286" s="21" t="s">
        <v>512</v>
      </c>
      <c r="AW286" s="21">
        <v>0</v>
      </c>
      <c r="AX286" s="21">
        <v>2</v>
      </c>
      <c r="AY286" s="26"/>
      <c r="AZ286" s="26"/>
      <c r="BB286" s="26"/>
      <c r="BC286" s="21" t="s">
        <v>513</v>
      </c>
      <c r="BD286" s="21" t="s">
        <v>514</v>
      </c>
      <c r="BE286" s="21" t="s">
        <v>514</v>
      </c>
      <c r="BF286" s="21" t="s">
        <v>515</v>
      </c>
      <c r="BG286" s="21">
        <v>1</v>
      </c>
      <c r="BH286" s="21" t="s">
        <v>516</v>
      </c>
      <c r="BI286" s="21" t="s">
        <v>517</v>
      </c>
      <c r="BJ286" s="21" t="s">
        <v>516</v>
      </c>
      <c r="BK286" s="21" t="s">
        <v>516</v>
      </c>
      <c r="BM286" s="21" t="s">
        <v>44</v>
      </c>
      <c r="BN286" s="21" t="s">
        <v>244</v>
      </c>
      <c r="BO286" s="21" t="s">
        <v>518</v>
      </c>
      <c r="BP286" s="21" t="s">
        <v>1044</v>
      </c>
      <c r="BQ286" s="21" t="s">
        <v>44</v>
      </c>
      <c r="BR286" s="21" t="s">
        <v>244</v>
      </c>
      <c r="BS286" s="21" t="s">
        <v>518</v>
      </c>
      <c r="BT286" s="21" t="s">
        <v>1044</v>
      </c>
      <c r="BU286" s="21" t="s">
        <v>244</v>
      </c>
      <c r="CD286" s="21" t="s">
        <v>520</v>
      </c>
      <c r="CF286" s="21" t="s">
        <v>521</v>
      </c>
      <c r="CN286" s="26"/>
      <c r="DB286" s="24" t="s">
        <v>943</v>
      </c>
      <c r="DC286" s="21">
        <v>1</v>
      </c>
      <c r="DD286" s="21">
        <v>3</v>
      </c>
      <c r="DE286" s="22">
        <v>42751</v>
      </c>
      <c r="DF286" s="21" t="s">
        <v>3840</v>
      </c>
      <c r="DG286" s="21" t="s">
        <v>522</v>
      </c>
      <c r="DH286" s="21" t="s">
        <v>3841</v>
      </c>
      <c r="DI286" s="21" t="s">
        <v>495</v>
      </c>
      <c r="DJ286" s="21" t="s">
        <v>520</v>
      </c>
      <c r="DK286" s="26"/>
      <c r="DL286" s="26">
        <v>42758</v>
      </c>
      <c r="DM286" s="26">
        <v>42748</v>
      </c>
      <c r="DN286" s="21">
        <v>1100</v>
      </c>
      <c r="DO286" s="21">
        <v>9</v>
      </c>
      <c r="DP286" s="21">
        <v>1</v>
      </c>
      <c r="DQ286" s="21">
        <v>1</v>
      </c>
      <c r="DR286" s="21">
        <v>5</v>
      </c>
      <c r="DS286" s="21">
        <v>10</v>
      </c>
      <c r="DT286" s="21">
        <v>10</v>
      </c>
      <c r="DU286" s="21">
        <v>10</v>
      </c>
      <c r="DW286" s="21">
        <v>10</v>
      </c>
      <c r="EA286" s="21">
        <v>9</v>
      </c>
      <c r="EB286" s="21" t="s">
        <v>3842</v>
      </c>
      <c r="EC286" s="21" t="s">
        <v>1221</v>
      </c>
      <c r="EF286" s="25">
        <v>1</v>
      </c>
      <c r="EG286" s="25">
        <v>0</v>
      </c>
      <c r="EH286" s="25">
        <v>1</v>
      </c>
      <c r="EI286" s="25">
        <v>0</v>
      </c>
      <c r="EJ286" s="25" t="s">
        <v>92</v>
      </c>
      <c r="EK286" s="25" t="s">
        <v>245</v>
      </c>
      <c r="EL286" s="25" t="s">
        <v>245</v>
      </c>
      <c r="EM286" s="25" t="s">
        <v>276</v>
      </c>
      <c r="EN286" s="25" t="s">
        <v>39</v>
      </c>
      <c r="EO286" s="25" t="s">
        <v>39</v>
      </c>
      <c r="EP286" s="25" t="s">
        <v>92</v>
      </c>
      <c r="EQ286" s="25" t="s">
        <v>92</v>
      </c>
      <c r="ER286" s="25" t="s">
        <v>278</v>
      </c>
      <c r="ES286" s="25" t="s">
        <v>278</v>
      </c>
      <c r="ET286" s="25">
        <v>1</v>
      </c>
      <c r="EU286" s="25" t="s">
        <v>522</v>
      </c>
      <c r="EV286" s="25" t="s">
        <v>245</v>
      </c>
      <c r="EW286" s="25" t="s">
        <v>39</v>
      </c>
      <c r="EX286" s="25" t="s">
        <v>278</v>
      </c>
      <c r="EY286" s="20" t="e">
        <v>#N/A</v>
      </c>
    </row>
    <row r="287" spans="1:155">
      <c r="A287" s="21" t="s">
        <v>491</v>
      </c>
      <c r="B287" s="21" t="s">
        <v>491</v>
      </c>
      <c r="C287" s="21" t="s">
        <v>492</v>
      </c>
      <c r="D287" s="21" t="s">
        <v>493</v>
      </c>
      <c r="E287" s="21" t="s">
        <v>493</v>
      </c>
      <c r="F287" s="21" t="s">
        <v>493</v>
      </c>
      <c r="G287" s="21" t="s">
        <v>3843</v>
      </c>
      <c r="H287" s="21" t="s">
        <v>3844</v>
      </c>
      <c r="I287" s="21" t="s">
        <v>494</v>
      </c>
      <c r="J287" s="21" t="s">
        <v>3845</v>
      </c>
      <c r="L287" s="21" t="s">
        <v>495</v>
      </c>
      <c r="M287" s="21" t="s">
        <v>3846</v>
      </c>
      <c r="N287" s="21" t="s">
        <v>1088</v>
      </c>
      <c r="O287" s="21" t="s">
        <v>98</v>
      </c>
      <c r="P287" s="21" t="s">
        <v>553</v>
      </c>
      <c r="R287" s="21" t="s">
        <v>1089</v>
      </c>
      <c r="S287" s="21" t="s">
        <v>1090</v>
      </c>
      <c r="V287" s="21" t="s">
        <v>500</v>
      </c>
      <c r="W287" s="21" t="s">
        <v>501</v>
      </c>
      <c r="X287" s="21" t="s">
        <v>502</v>
      </c>
      <c r="Y287" s="21" t="s">
        <v>554</v>
      </c>
      <c r="Z287" s="21">
        <v>3035728168</v>
      </c>
      <c r="AA287" s="26">
        <v>42747</v>
      </c>
      <c r="AB287" s="26">
        <v>42747</v>
      </c>
      <c r="AC287" s="21" t="s">
        <v>504</v>
      </c>
      <c r="AD287" s="21" t="s">
        <v>505</v>
      </c>
      <c r="AE287" s="21" t="s">
        <v>500</v>
      </c>
      <c r="AF287" s="21" t="s">
        <v>549</v>
      </c>
      <c r="AG287" s="21" t="s">
        <v>587</v>
      </c>
      <c r="AH287" s="21" t="s">
        <v>579</v>
      </c>
      <c r="AI287" s="21" t="s">
        <v>3847</v>
      </c>
      <c r="AJ287" s="21" t="s">
        <v>526</v>
      </c>
      <c r="AK287" s="21" t="s">
        <v>494</v>
      </c>
      <c r="AL287" s="21" t="s">
        <v>527</v>
      </c>
      <c r="AM287" s="21" t="s">
        <v>527</v>
      </c>
      <c r="AN287" s="21" t="s">
        <v>527</v>
      </c>
      <c r="AO287" s="21" t="s">
        <v>528</v>
      </c>
      <c r="AS287" s="21" t="s">
        <v>511</v>
      </c>
      <c r="AT287" s="21" t="s">
        <v>512</v>
      </c>
      <c r="AW287" s="21">
        <v>0</v>
      </c>
      <c r="AX287" s="21">
        <v>2</v>
      </c>
      <c r="AY287" s="26"/>
      <c r="AZ287" s="26"/>
      <c r="BB287" s="26"/>
      <c r="BC287" s="21" t="s">
        <v>513</v>
      </c>
      <c r="BD287" s="21" t="s">
        <v>514</v>
      </c>
      <c r="BE287" s="21" t="s">
        <v>514</v>
      </c>
      <c r="BF287" s="21" t="s">
        <v>515</v>
      </c>
      <c r="BG287" s="21">
        <v>1</v>
      </c>
      <c r="BH287" s="21" t="s">
        <v>516</v>
      </c>
      <c r="BI287" s="21" t="s">
        <v>517</v>
      </c>
      <c r="BJ287" s="21" t="s">
        <v>516</v>
      </c>
      <c r="BK287" s="21" t="s">
        <v>516</v>
      </c>
      <c r="BM287" s="21" t="s">
        <v>846</v>
      </c>
      <c r="BN287" s="21" t="s">
        <v>854</v>
      </c>
      <c r="BO287" s="21" t="s">
        <v>518</v>
      </c>
      <c r="BP287" s="21" t="s">
        <v>519</v>
      </c>
      <c r="BQ287" s="21" t="s">
        <v>846</v>
      </c>
      <c r="BR287" s="21" t="s">
        <v>854</v>
      </c>
      <c r="BS287" s="21" t="s">
        <v>518</v>
      </c>
      <c r="BT287" s="21" t="s">
        <v>519</v>
      </c>
      <c r="BU287" s="21" t="s">
        <v>854</v>
      </c>
      <c r="CD287" s="21" t="s">
        <v>520</v>
      </c>
      <c r="CF287" s="21" t="s">
        <v>521</v>
      </c>
      <c r="CN287" s="26"/>
      <c r="DB287" s="24" t="s">
        <v>943</v>
      </c>
      <c r="DC287" s="21">
        <v>1</v>
      </c>
      <c r="DD287" s="21">
        <v>3</v>
      </c>
      <c r="DE287" s="22">
        <v>42751</v>
      </c>
      <c r="DF287" s="21" t="s">
        <v>3848</v>
      </c>
      <c r="DG287" s="21" t="s">
        <v>522</v>
      </c>
      <c r="DH287" s="21" t="s">
        <v>3849</v>
      </c>
      <c r="DI287" s="21" t="s">
        <v>495</v>
      </c>
      <c r="DJ287" s="21" t="s">
        <v>520</v>
      </c>
      <c r="DK287" s="26"/>
      <c r="DL287" s="26">
        <v>42759</v>
      </c>
      <c r="DM287" s="26">
        <v>42749</v>
      </c>
      <c r="DN287" s="21">
        <v>3100</v>
      </c>
      <c r="DO287" s="21">
        <v>10</v>
      </c>
      <c r="DP287" s="21">
        <v>1</v>
      </c>
      <c r="DQ287" s="21">
        <v>1</v>
      </c>
      <c r="DR287" s="21">
        <v>5</v>
      </c>
      <c r="DS287" s="21">
        <v>10</v>
      </c>
      <c r="DT287" s="21">
        <v>10</v>
      </c>
      <c r="DU287" s="21">
        <v>9</v>
      </c>
      <c r="DW287" s="21">
        <v>10</v>
      </c>
      <c r="EA287" s="21">
        <v>10</v>
      </c>
      <c r="EB287" s="21" t="s">
        <v>3850</v>
      </c>
      <c r="EC287" s="21" t="s">
        <v>1002</v>
      </c>
      <c r="EF287" s="25">
        <v>1</v>
      </c>
      <c r="EG287" s="25">
        <v>0</v>
      </c>
      <c r="EH287" s="25">
        <v>1</v>
      </c>
      <c r="EI287" s="25">
        <v>0</v>
      </c>
      <c r="EJ287" s="25" t="s">
        <v>62</v>
      </c>
      <c r="EK287" s="25" t="s">
        <v>276</v>
      </c>
      <c r="EL287" s="25" t="s">
        <v>276</v>
      </c>
      <c r="EM287" s="25" t="s">
        <v>276</v>
      </c>
      <c r="EN287" s="25" t="s">
        <v>276</v>
      </c>
      <c r="EO287" s="25" t="s">
        <v>276</v>
      </c>
      <c r="EP287" s="25" t="s">
        <v>276</v>
      </c>
      <c r="EQ287" s="25" t="s">
        <v>276</v>
      </c>
      <c r="ER287" s="25" t="s">
        <v>276</v>
      </c>
      <c r="ES287" s="25" t="s">
        <v>276</v>
      </c>
      <c r="ET287" s="25">
        <v>1</v>
      </c>
      <c r="EU287" s="25" t="s">
        <v>522</v>
      </c>
      <c r="EV287" s="25" t="s">
        <v>276</v>
      </c>
      <c r="EW287" s="25" t="s">
        <v>276</v>
      </c>
      <c r="EX287" s="25" t="s">
        <v>276</v>
      </c>
      <c r="EY287" s="20" t="s">
        <v>273</v>
      </c>
    </row>
    <row r="288" spans="1:155">
      <c r="A288" s="21" t="s">
        <v>491</v>
      </c>
      <c r="B288" s="21" t="s">
        <v>491</v>
      </c>
      <c r="C288" s="21" t="s">
        <v>492</v>
      </c>
      <c r="D288" s="21" t="s">
        <v>493</v>
      </c>
      <c r="E288" s="21" t="s">
        <v>493</v>
      </c>
      <c r="F288" s="21" t="s">
        <v>493</v>
      </c>
      <c r="G288" s="21" t="s">
        <v>3851</v>
      </c>
      <c r="H288" s="21" t="s">
        <v>3852</v>
      </c>
      <c r="I288" s="21" t="s">
        <v>494</v>
      </c>
      <c r="J288" s="21" t="s">
        <v>3853</v>
      </c>
      <c r="L288" s="21" t="s">
        <v>495</v>
      </c>
      <c r="M288" s="21" t="s">
        <v>3854</v>
      </c>
      <c r="N288" s="21" t="s">
        <v>1088</v>
      </c>
      <c r="O288" s="21" t="s">
        <v>98</v>
      </c>
      <c r="P288" s="21" t="s">
        <v>553</v>
      </c>
      <c r="Q288" s="21" t="s">
        <v>1178</v>
      </c>
      <c r="R288" s="21" t="s">
        <v>1089</v>
      </c>
      <c r="S288" s="21" t="s">
        <v>1090</v>
      </c>
      <c r="V288" s="21" t="s">
        <v>500</v>
      </c>
      <c r="W288" s="21" t="s">
        <v>501</v>
      </c>
      <c r="X288" s="21" t="s">
        <v>502</v>
      </c>
      <c r="Y288" s="21" t="s">
        <v>554</v>
      </c>
      <c r="Z288" s="21">
        <v>3035434049</v>
      </c>
      <c r="AA288" s="26">
        <v>42738</v>
      </c>
      <c r="AB288" s="26">
        <v>42747</v>
      </c>
      <c r="AC288" s="21" t="s">
        <v>504</v>
      </c>
      <c r="AD288" s="21" t="s">
        <v>505</v>
      </c>
      <c r="AE288" s="21" t="s">
        <v>500</v>
      </c>
      <c r="AF288" s="21" t="s">
        <v>549</v>
      </c>
      <c r="AG288" s="21" t="s">
        <v>555</v>
      </c>
      <c r="AH288" s="21" t="s">
        <v>556</v>
      </c>
      <c r="AI288" s="21" t="s">
        <v>2561</v>
      </c>
      <c r="AJ288" s="21" t="s">
        <v>526</v>
      </c>
      <c r="AK288" s="21" t="s">
        <v>494</v>
      </c>
      <c r="AL288" s="21" t="s">
        <v>527</v>
      </c>
      <c r="AM288" s="21" t="s">
        <v>527</v>
      </c>
      <c r="AN288" s="21" t="s">
        <v>527</v>
      </c>
      <c r="AO288" s="21" t="s">
        <v>528</v>
      </c>
      <c r="AS288" s="21" t="s">
        <v>511</v>
      </c>
      <c r="AT288" s="21" t="s">
        <v>512</v>
      </c>
      <c r="AW288" s="21">
        <v>0</v>
      </c>
      <c r="AX288" s="21">
        <v>26</v>
      </c>
      <c r="AY288" s="26"/>
      <c r="AZ288" s="26"/>
      <c r="BB288" s="26"/>
      <c r="BC288" s="21" t="s">
        <v>513</v>
      </c>
      <c r="BD288" s="21" t="s">
        <v>514</v>
      </c>
      <c r="BE288" s="21" t="s">
        <v>514</v>
      </c>
      <c r="BF288" s="21" t="s">
        <v>515</v>
      </c>
      <c r="BG288" s="21">
        <v>1</v>
      </c>
      <c r="BH288" s="21" t="s">
        <v>516</v>
      </c>
      <c r="BI288" s="21" t="s">
        <v>517</v>
      </c>
      <c r="BJ288" s="21" t="s">
        <v>516</v>
      </c>
      <c r="BK288" s="21" t="s">
        <v>516</v>
      </c>
      <c r="BM288" s="21" t="s">
        <v>19</v>
      </c>
      <c r="BN288" s="21" t="s">
        <v>82</v>
      </c>
      <c r="BO288" s="21" t="s">
        <v>518</v>
      </c>
      <c r="BP288" s="21" t="s">
        <v>519</v>
      </c>
      <c r="BQ288" s="21" t="s">
        <v>19</v>
      </c>
      <c r="BR288" s="21" t="s">
        <v>82</v>
      </c>
      <c r="BS288" s="21" t="s">
        <v>518</v>
      </c>
      <c r="BT288" s="21" t="s">
        <v>519</v>
      </c>
      <c r="BU288" s="21" t="s">
        <v>82</v>
      </c>
      <c r="CD288" s="21" t="s">
        <v>520</v>
      </c>
      <c r="CF288" s="21" t="s">
        <v>521</v>
      </c>
      <c r="CN288" s="26"/>
      <c r="DB288" s="24" t="s">
        <v>943</v>
      </c>
      <c r="DC288" s="21">
        <v>1</v>
      </c>
      <c r="DD288" s="21">
        <v>3</v>
      </c>
      <c r="DE288" s="22">
        <v>42751</v>
      </c>
      <c r="DF288" s="21" t="s">
        <v>3855</v>
      </c>
      <c r="DG288" s="21" t="s">
        <v>522</v>
      </c>
      <c r="DH288" s="21" t="s">
        <v>3856</v>
      </c>
      <c r="DI288" s="21" t="s">
        <v>495</v>
      </c>
      <c r="DJ288" s="21" t="s">
        <v>520</v>
      </c>
      <c r="DK288" s="26"/>
      <c r="DL288" s="26">
        <v>42759</v>
      </c>
      <c r="DM288" s="26">
        <v>42749</v>
      </c>
      <c r="DN288" s="21">
        <v>3100</v>
      </c>
      <c r="DO288" s="21">
        <v>10</v>
      </c>
      <c r="DP288" s="21">
        <v>1</v>
      </c>
      <c r="DQ288" s="21">
        <v>2</v>
      </c>
      <c r="DR288" s="21">
        <v>7</v>
      </c>
      <c r="DS288" s="21">
        <v>10</v>
      </c>
      <c r="DT288" s="21">
        <v>10</v>
      </c>
      <c r="DU288" s="21">
        <v>10</v>
      </c>
      <c r="DW288" s="21">
        <v>10</v>
      </c>
      <c r="EA288" s="21">
        <v>10</v>
      </c>
      <c r="EB288" s="21" t="s">
        <v>3857</v>
      </c>
      <c r="EC288" s="21" t="s">
        <v>1221</v>
      </c>
      <c r="EF288" s="25">
        <v>1</v>
      </c>
      <c r="EG288" s="25">
        <v>0</v>
      </c>
      <c r="EH288" s="25">
        <v>1</v>
      </c>
      <c r="EI288" s="25">
        <v>0</v>
      </c>
      <c r="EJ288" s="25" t="s">
        <v>62</v>
      </c>
      <c r="EK288" s="25" t="s">
        <v>83</v>
      </c>
      <c r="EL288" s="25" t="s">
        <v>83</v>
      </c>
      <c r="EM288" s="25" t="s">
        <v>276</v>
      </c>
      <c r="EN288" s="25" t="s">
        <v>9</v>
      </c>
      <c r="EO288" s="25" t="s">
        <v>9</v>
      </c>
      <c r="EP288" s="25" t="s">
        <v>62</v>
      </c>
      <c r="EQ288" s="25" t="s">
        <v>62</v>
      </c>
      <c r="ER288" s="25" t="s">
        <v>278</v>
      </c>
      <c r="ES288" s="25" t="s">
        <v>278</v>
      </c>
      <c r="ET288" s="25">
        <v>1</v>
      </c>
      <c r="EU288" s="25" t="s">
        <v>522</v>
      </c>
      <c r="EV288" s="25" t="s">
        <v>83</v>
      </c>
      <c r="EW288" s="25" t="s">
        <v>9</v>
      </c>
      <c r="EX288" s="25" t="s">
        <v>278</v>
      </c>
      <c r="EY288" s="20" t="e">
        <v>#N/A</v>
      </c>
    </row>
    <row r="289" spans="1:155">
      <c r="A289" s="21" t="s">
        <v>491</v>
      </c>
      <c r="B289" s="21" t="s">
        <v>491</v>
      </c>
      <c r="C289" s="21" t="s">
        <v>492</v>
      </c>
      <c r="D289" s="21" t="s">
        <v>493</v>
      </c>
      <c r="E289" s="21" t="s">
        <v>493</v>
      </c>
      <c r="F289" s="21" t="s">
        <v>493</v>
      </c>
      <c r="G289" s="21" t="s">
        <v>3858</v>
      </c>
      <c r="H289" s="21">
        <v>2122158585</v>
      </c>
      <c r="I289" s="21" t="s">
        <v>494</v>
      </c>
      <c r="J289" s="21" t="s">
        <v>3859</v>
      </c>
      <c r="L289" s="21" t="s">
        <v>495</v>
      </c>
      <c r="M289" s="21" t="s">
        <v>3860</v>
      </c>
      <c r="N289" s="21" t="s">
        <v>1807</v>
      </c>
      <c r="O289" s="21" t="s">
        <v>69</v>
      </c>
      <c r="P289" s="21" t="s">
        <v>497</v>
      </c>
      <c r="R289" s="21" t="s">
        <v>1808</v>
      </c>
      <c r="S289" s="21" t="s">
        <v>1809</v>
      </c>
      <c r="V289" s="21" t="s">
        <v>500</v>
      </c>
      <c r="W289" s="21" t="s">
        <v>501</v>
      </c>
      <c r="X289" s="21" t="s">
        <v>502</v>
      </c>
      <c r="Y289" s="21" t="s">
        <v>503</v>
      </c>
      <c r="Z289" s="21">
        <v>3035722739</v>
      </c>
      <c r="AA289" s="26">
        <v>42747</v>
      </c>
      <c r="AB289" s="26">
        <v>42747</v>
      </c>
      <c r="AC289" s="21" t="s">
        <v>504</v>
      </c>
      <c r="AD289" s="21" t="s">
        <v>505</v>
      </c>
      <c r="AE289" s="21" t="s">
        <v>500</v>
      </c>
      <c r="AF289" s="21" t="s">
        <v>564</v>
      </c>
      <c r="AG289" s="21" t="s">
        <v>1699</v>
      </c>
      <c r="AH289" s="21" t="s">
        <v>1700</v>
      </c>
      <c r="AI289" s="21" t="s">
        <v>1604</v>
      </c>
      <c r="AJ289" s="21" t="s">
        <v>507</v>
      </c>
      <c r="AK289" s="21" t="s">
        <v>494</v>
      </c>
      <c r="AL289" s="21" t="s">
        <v>508</v>
      </c>
      <c r="AM289" s="21" t="s">
        <v>509</v>
      </c>
      <c r="AN289" s="21" t="s">
        <v>509</v>
      </c>
      <c r="AO289" s="21" t="s">
        <v>510</v>
      </c>
      <c r="AS289" s="21" t="s">
        <v>511</v>
      </c>
      <c r="AT289" s="21" t="s">
        <v>512</v>
      </c>
      <c r="AW289" s="21">
        <v>0</v>
      </c>
      <c r="AX289" s="21">
        <v>2</v>
      </c>
      <c r="AY289" s="26"/>
      <c r="AZ289" s="26"/>
      <c r="BB289" s="26"/>
      <c r="BC289" s="21" t="s">
        <v>513</v>
      </c>
      <c r="BD289" s="21" t="s">
        <v>514</v>
      </c>
      <c r="BE289" s="21" t="s">
        <v>514</v>
      </c>
      <c r="BF289" s="21" t="s">
        <v>515</v>
      </c>
      <c r="BG289" s="21">
        <v>1</v>
      </c>
      <c r="BH289" s="21" t="s">
        <v>516</v>
      </c>
      <c r="BI289" s="21" t="s">
        <v>517</v>
      </c>
      <c r="BJ289" s="21" t="s">
        <v>516</v>
      </c>
      <c r="BK289" s="21" t="s">
        <v>516</v>
      </c>
      <c r="BM289" s="21" t="s">
        <v>34</v>
      </c>
      <c r="BN289" s="21" t="s">
        <v>113</v>
      </c>
      <c r="BO289" s="21" t="s">
        <v>518</v>
      </c>
      <c r="BP289" s="21" t="s">
        <v>2836</v>
      </c>
      <c r="BQ289" s="21" t="s">
        <v>34</v>
      </c>
      <c r="BR289" s="21" t="s">
        <v>113</v>
      </c>
      <c r="BS289" s="21" t="s">
        <v>518</v>
      </c>
      <c r="BT289" s="21" t="s">
        <v>2836</v>
      </c>
      <c r="BU289" s="21" t="s">
        <v>113</v>
      </c>
      <c r="CD289" s="21" t="s">
        <v>520</v>
      </c>
      <c r="CF289" s="21" t="s">
        <v>521</v>
      </c>
      <c r="CN289" s="26"/>
      <c r="DB289" s="24" t="s">
        <v>943</v>
      </c>
      <c r="DC289" s="21">
        <v>1</v>
      </c>
      <c r="DD289" s="21">
        <v>3</v>
      </c>
      <c r="DE289" s="22">
        <v>42751</v>
      </c>
      <c r="DF289" s="21" t="s">
        <v>3861</v>
      </c>
      <c r="DG289" s="21" t="s">
        <v>522</v>
      </c>
      <c r="DH289" s="21" t="s">
        <v>3862</v>
      </c>
      <c r="DI289" s="21" t="s">
        <v>495</v>
      </c>
      <c r="DJ289" s="21" t="s">
        <v>520</v>
      </c>
      <c r="DK289" s="26"/>
      <c r="DL289" s="26">
        <v>42759</v>
      </c>
      <c r="DM289" s="26">
        <v>42749</v>
      </c>
      <c r="DN289" s="21">
        <v>3100</v>
      </c>
      <c r="DO289" s="21">
        <v>10</v>
      </c>
      <c r="DP289" s="21">
        <v>1</v>
      </c>
      <c r="DQ289" s="21">
        <v>1</v>
      </c>
      <c r="DR289" s="21">
        <v>7</v>
      </c>
      <c r="DS289" s="21">
        <v>10</v>
      </c>
      <c r="DT289" s="21">
        <v>10</v>
      </c>
      <c r="DU289" s="21">
        <v>10</v>
      </c>
      <c r="DW289" s="21">
        <v>10</v>
      </c>
      <c r="EA289" s="21">
        <v>10</v>
      </c>
      <c r="EF289" s="25">
        <v>1</v>
      </c>
      <c r="EG289" s="25">
        <v>0</v>
      </c>
      <c r="EH289" s="25">
        <v>1</v>
      </c>
      <c r="EI289" s="25">
        <v>0</v>
      </c>
      <c r="EJ289" s="25" t="s">
        <v>62</v>
      </c>
      <c r="EK289" s="25" t="s">
        <v>114</v>
      </c>
      <c r="EL289" s="25" t="s">
        <v>114</v>
      </c>
      <c r="EM289" s="25" t="s">
        <v>276</v>
      </c>
      <c r="EN289" s="25" t="s">
        <v>31</v>
      </c>
      <c r="EO289" s="25" t="s">
        <v>31</v>
      </c>
      <c r="EP289" s="25" t="s">
        <v>62</v>
      </c>
      <c r="EQ289" s="25" t="s">
        <v>62</v>
      </c>
      <c r="ER289" s="25" t="s">
        <v>278</v>
      </c>
      <c r="ES289" s="25" t="s">
        <v>278</v>
      </c>
      <c r="ET289" s="25">
        <v>1</v>
      </c>
      <c r="EU289" s="25" t="s">
        <v>522</v>
      </c>
      <c r="EV289" s="25" t="s">
        <v>114</v>
      </c>
      <c r="EW289" s="25" t="s">
        <v>31</v>
      </c>
      <c r="EX289" s="25" t="s">
        <v>278</v>
      </c>
      <c r="EY289" s="20" t="e">
        <v>#N/A</v>
      </c>
    </row>
    <row r="290" spans="1:155">
      <c r="A290" s="21" t="s">
        <v>491</v>
      </c>
      <c r="B290" s="21" t="s">
        <v>491</v>
      </c>
      <c r="C290" s="21" t="s">
        <v>492</v>
      </c>
      <c r="D290" s="21" t="s">
        <v>493</v>
      </c>
      <c r="E290" s="21" t="s">
        <v>493</v>
      </c>
      <c r="F290" s="21" t="s">
        <v>493</v>
      </c>
      <c r="G290" s="21" t="s">
        <v>3863</v>
      </c>
      <c r="H290" s="21">
        <v>86999500722</v>
      </c>
      <c r="I290" s="21" t="s">
        <v>494</v>
      </c>
      <c r="J290" s="21" t="s">
        <v>3864</v>
      </c>
      <c r="L290" s="21" t="s">
        <v>495</v>
      </c>
      <c r="M290" s="21" t="s">
        <v>3865</v>
      </c>
      <c r="N290" s="21" t="s">
        <v>1066</v>
      </c>
      <c r="O290" s="21" t="s">
        <v>93</v>
      </c>
      <c r="P290" s="21" t="s">
        <v>539</v>
      </c>
      <c r="R290" s="21" t="s">
        <v>1067</v>
      </c>
      <c r="S290" s="21" t="s">
        <v>1068</v>
      </c>
      <c r="V290" s="21" t="s">
        <v>277</v>
      </c>
      <c r="W290" s="21" t="s">
        <v>524</v>
      </c>
      <c r="X290" s="21" t="s">
        <v>525</v>
      </c>
      <c r="Y290" s="21" t="s">
        <v>530</v>
      </c>
      <c r="Z290" s="21">
        <v>3035555577</v>
      </c>
      <c r="AA290" s="26">
        <v>42741</v>
      </c>
      <c r="AB290" s="26">
        <v>42747</v>
      </c>
      <c r="AC290" s="21" t="s">
        <v>504</v>
      </c>
      <c r="AD290" s="21" t="s">
        <v>505</v>
      </c>
      <c r="AE290" s="21" t="s">
        <v>1054</v>
      </c>
      <c r="AF290" s="21" t="s">
        <v>1055</v>
      </c>
      <c r="AG290" s="21" t="s">
        <v>1662</v>
      </c>
      <c r="AH290" s="21" t="s">
        <v>1663</v>
      </c>
      <c r="AI290" s="21" t="s">
        <v>2081</v>
      </c>
      <c r="AJ290" s="21" t="s">
        <v>526</v>
      </c>
      <c r="AK290" s="21" t="s">
        <v>494</v>
      </c>
      <c r="AL290" s="21" t="s">
        <v>527</v>
      </c>
      <c r="AM290" s="21" t="s">
        <v>527</v>
      </c>
      <c r="AN290" s="21" t="s">
        <v>527</v>
      </c>
      <c r="AO290" s="21" t="s">
        <v>528</v>
      </c>
      <c r="AS290" s="21" t="s">
        <v>511</v>
      </c>
      <c r="AT290" s="21" t="s">
        <v>512</v>
      </c>
      <c r="AW290" s="21">
        <v>0</v>
      </c>
      <c r="AX290" s="21">
        <v>13</v>
      </c>
      <c r="AY290" s="26"/>
      <c r="AZ290" s="26"/>
      <c r="BB290" s="26"/>
      <c r="BC290" s="21" t="s">
        <v>513</v>
      </c>
      <c r="BD290" s="21" t="s">
        <v>514</v>
      </c>
      <c r="BE290" s="21" t="s">
        <v>514</v>
      </c>
      <c r="BF290" s="21" t="s">
        <v>515</v>
      </c>
      <c r="BG290" s="21">
        <v>1</v>
      </c>
      <c r="BH290" s="21" t="s">
        <v>516</v>
      </c>
      <c r="BI290" s="21" t="s">
        <v>517</v>
      </c>
      <c r="BJ290" s="21" t="s">
        <v>516</v>
      </c>
      <c r="BK290" s="21" t="s">
        <v>516</v>
      </c>
      <c r="BM290" s="21" t="s">
        <v>37</v>
      </c>
      <c r="BN290" s="21" t="s">
        <v>250</v>
      </c>
      <c r="BO290" s="21" t="s">
        <v>518</v>
      </c>
      <c r="BP290" s="21" t="s">
        <v>1044</v>
      </c>
      <c r="BQ290" s="21" t="s">
        <v>38</v>
      </c>
      <c r="BR290" s="21" t="s">
        <v>238</v>
      </c>
      <c r="BS290" s="21" t="s">
        <v>518</v>
      </c>
      <c r="BT290" s="21" t="s">
        <v>1044</v>
      </c>
      <c r="BU290" s="21" t="s">
        <v>250</v>
      </c>
      <c r="CD290" s="21" t="s">
        <v>520</v>
      </c>
      <c r="CF290" s="21" t="s">
        <v>521</v>
      </c>
      <c r="CN290" s="26"/>
      <c r="DB290" s="24" t="s">
        <v>943</v>
      </c>
      <c r="DC290" s="21">
        <v>1</v>
      </c>
      <c r="DD290" s="21">
        <v>3</v>
      </c>
      <c r="DE290" s="22">
        <v>42751</v>
      </c>
      <c r="DF290" s="21" t="s">
        <v>3866</v>
      </c>
      <c r="DG290" s="21" t="s">
        <v>522</v>
      </c>
      <c r="DH290" s="21" t="s">
        <v>3867</v>
      </c>
      <c r="DI290" s="21" t="s">
        <v>495</v>
      </c>
      <c r="DJ290" s="21" t="s">
        <v>520</v>
      </c>
      <c r="DK290" s="26"/>
      <c r="DL290" s="26">
        <v>42759</v>
      </c>
      <c r="DM290" s="26">
        <v>42749</v>
      </c>
      <c r="DN290" s="21">
        <v>1100</v>
      </c>
      <c r="DO290" s="21">
        <v>10</v>
      </c>
      <c r="DP290" s="21">
        <v>1</v>
      </c>
      <c r="DQ290" s="21">
        <v>1</v>
      </c>
      <c r="DR290" s="21">
        <v>6</v>
      </c>
      <c r="DS290" s="21">
        <v>9</v>
      </c>
      <c r="DT290" s="21">
        <v>9</v>
      </c>
      <c r="DU290" s="21">
        <v>9</v>
      </c>
      <c r="DW290" s="21">
        <v>9</v>
      </c>
      <c r="EA290" s="21">
        <v>9</v>
      </c>
      <c r="EB290" s="21" t="s">
        <v>3868</v>
      </c>
      <c r="EC290" s="21" t="s">
        <v>1221</v>
      </c>
      <c r="EF290" s="25">
        <v>1</v>
      </c>
      <c r="EG290" s="25">
        <v>0</v>
      </c>
      <c r="EH290" s="25">
        <v>1</v>
      </c>
      <c r="EI290" s="25">
        <v>0</v>
      </c>
      <c r="EJ290" s="25" t="s">
        <v>92</v>
      </c>
      <c r="EK290" s="25" t="s">
        <v>251</v>
      </c>
      <c r="EL290" s="25" t="s">
        <v>239</v>
      </c>
      <c r="EM290" s="25" t="s">
        <v>276</v>
      </c>
      <c r="EN290" s="25" t="s">
        <v>39</v>
      </c>
      <c r="EO290" s="25" t="s">
        <v>39</v>
      </c>
      <c r="EP290" s="25" t="s">
        <v>92</v>
      </c>
      <c r="EQ290" s="25" t="s">
        <v>529</v>
      </c>
      <c r="ER290" s="25" t="s">
        <v>278</v>
      </c>
      <c r="ES290" s="25" t="s">
        <v>278</v>
      </c>
      <c r="ET290" s="25">
        <v>1</v>
      </c>
      <c r="EU290" s="25" t="s">
        <v>522</v>
      </c>
      <c r="EV290" s="25" t="s">
        <v>279</v>
      </c>
      <c r="EW290" s="25" t="s">
        <v>279</v>
      </c>
      <c r="EX290" s="25" t="s">
        <v>279</v>
      </c>
      <c r="EY290" s="20" t="e">
        <v>#N/A</v>
      </c>
    </row>
    <row r="291" spans="1:155">
      <c r="A291" s="21" t="s">
        <v>491</v>
      </c>
      <c r="B291" s="21" t="s">
        <v>491</v>
      </c>
      <c r="C291" s="21" t="s">
        <v>492</v>
      </c>
      <c r="D291" s="21" t="s">
        <v>493</v>
      </c>
      <c r="E291" s="21" t="s">
        <v>493</v>
      </c>
      <c r="F291" s="21" t="s">
        <v>493</v>
      </c>
      <c r="G291" s="21" t="s">
        <v>3869</v>
      </c>
      <c r="H291" s="21">
        <v>8332357421</v>
      </c>
      <c r="I291" s="21" t="s">
        <v>494</v>
      </c>
      <c r="J291" s="21" t="s">
        <v>3870</v>
      </c>
      <c r="L291" s="21" t="s">
        <v>495</v>
      </c>
      <c r="M291" s="21" t="s">
        <v>3871</v>
      </c>
      <c r="N291" s="21" t="s">
        <v>1066</v>
      </c>
      <c r="O291" s="21" t="s">
        <v>93</v>
      </c>
      <c r="P291" s="21" t="s">
        <v>539</v>
      </c>
      <c r="R291" s="21" t="s">
        <v>1067</v>
      </c>
      <c r="S291" s="21" t="s">
        <v>1068</v>
      </c>
      <c r="V291" s="21" t="s">
        <v>277</v>
      </c>
      <c r="W291" s="21" t="s">
        <v>524</v>
      </c>
      <c r="X291" s="21" t="s">
        <v>525</v>
      </c>
      <c r="Y291" s="21" t="s">
        <v>530</v>
      </c>
      <c r="Z291" s="21">
        <v>3035717562</v>
      </c>
      <c r="AA291" s="26">
        <v>42747</v>
      </c>
      <c r="AB291" s="26">
        <v>42747</v>
      </c>
      <c r="AC291" s="21" t="s">
        <v>504</v>
      </c>
      <c r="AD291" s="21" t="s">
        <v>505</v>
      </c>
      <c r="AE291" s="21" t="s">
        <v>1020</v>
      </c>
      <c r="AF291" s="21" t="s">
        <v>1021</v>
      </c>
      <c r="AG291" s="21" t="s">
        <v>1022</v>
      </c>
      <c r="AH291" s="21" t="s">
        <v>1023</v>
      </c>
      <c r="AI291" s="21" t="s">
        <v>3872</v>
      </c>
      <c r="AJ291" s="21" t="s">
        <v>507</v>
      </c>
      <c r="AK291" s="21" t="s">
        <v>494</v>
      </c>
      <c r="AL291" s="21" t="s">
        <v>527</v>
      </c>
      <c r="AM291" s="21" t="s">
        <v>527</v>
      </c>
      <c r="AN291" s="21" t="s">
        <v>527</v>
      </c>
      <c r="AO291" s="21" t="s">
        <v>528</v>
      </c>
      <c r="AS291" s="21" t="s">
        <v>511</v>
      </c>
      <c r="AT291" s="21" t="s">
        <v>512</v>
      </c>
      <c r="AW291" s="21">
        <v>0</v>
      </c>
      <c r="AX291" s="21">
        <v>2</v>
      </c>
      <c r="AY291" s="26"/>
      <c r="AZ291" s="26"/>
      <c r="BB291" s="26"/>
      <c r="BC291" s="21" t="s">
        <v>513</v>
      </c>
      <c r="BD291" s="21" t="s">
        <v>514</v>
      </c>
      <c r="BE291" s="21" t="s">
        <v>514</v>
      </c>
      <c r="BF291" s="21" t="s">
        <v>515</v>
      </c>
      <c r="BG291" s="21">
        <v>1</v>
      </c>
      <c r="BH291" s="21" t="s">
        <v>516</v>
      </c>
      <c r="BI291" s="21" t="s">
        <v>517</v>
      </c>
      <c r="BJ291" s="21" t="s">
        <v>516</v>
      </c>
      <c r="BK291" s="21" t="s">
        <v>516</v>
      </c>
      <c r="BM291" s="21" t="s">
        <v>55</v>
      </c>
      <c r="BN291" s="21" t="s">
        <v>137</v>
      </c>
      <c r="BO291" s="21" t="s">
        <v>518</v>
      </c>
      <c r="BP291" s="21" t="s">
        <v>519</v>
      </c>
      <c r="BQ291" s="21" t="s">
        <v>55</v>
      </c>
      <c r="BR291" s="21" t="s">
        <v>137</v>
      </c>
      <c r="BS291" s="21" t="s">
        <v>518</v>
      </c>
      <c r="BT291" s="21" t="s">
        <v>519</v>
      </c>
      <c r="BU291" s="21" t="s">
        <v>137</v>
      </c>
      <c r="CD291" s="21" t="s">
        <v>520</v>
      </c>
      <c r="CF291" s="21" t="s">
        <v>521</v>
      </c>
      <c r="CN291" s="26"/>
      <c r="DB291" s="24" t="s">
        <v>943</v>
      </c>
      <c r="DC291" s="21">
        <v>1</v>
      </c>
      <c r="DD291" s="21">
        <v>3</v>
      </c>
      <c r="DE291" s="22">
        <v>42751</v>
      </c>
      <c r="DF291" s="21" t="s">
        <v>3873</v>
      </c>
      <c r="DG291" s="21" t="s">
        <v>522</v>
      </c>
      <c r="DH291" s="21" t="s">
        <v>3874</v>
      </c>
      <c r="DI291" s="21" t="s">
        <v>495</v>
      </c>
      <c r="DJ291" s="21" t="s">
        <v>520</v>
      </c>
      <c r="DK291" s="26"/>
      <c r="DL291" s="26">
        <v>42759</v>
      </c>
      <c r="DM291" s="26">
        <v>42749</v>
      </c>
      <c r="DN291" s="21">
        <v>1100</v>
      </c>
      <c r="DO291" s="21">
        <v>10</v>
      </c>
      <c r="DP291" s="21">
        <v>1</v>
      </c>
      <c r="DQ291" s="21">
        <v>1</v>
      </c>
      <c r="DR291" s="21">
        <v>7</v>
      </c>
      <c r="DS291" s="21">
        <v>10</v>
      </c>
      <c r="DT291" s="21">
        <v>10</v>
      </c>
      <c r="DU291" s="21">
        <v>10</v>
      </c>
      <c r="DW291" s="21">
        <v>10</v>
      </c>
      <c r="EA291" s="21">
        <v>9</v>
      </c>
      <c r="EB291" s="21" t="s">
        <v>3875</v>
      </c>
      <c r="EC291" s="21" t="s">
        <v>1221</v>
      </c>
      <c r="EF291" s="25">
        <v>1</v>
      </c>
      <c r="EG291" s="25">
        <v>0</v>
      </c>
      <c r="EH291" s="25">
        <v>1</v>
      </c>
      <c r="EI291" s="25">
        <v>0</v>
      </c>
      <c r="EJ291" s="25" t="s">
        <v>92</v>
      </c>
      <c r="EK291" s="25" t="s">
        <v>138</v>
      </c>
      <c r="EL291" s="25" t="s">
        <v>138</v>
      </c>
      <c r="EM291" s="25" t="s">
        <v>276</v>
      </c>
      <c r="EN291" s="25" t="s">
        <v>23</v>
      </c>
      <c r="EO291" s="25" t="s">
        <v>23</v>
      </c>
      <c r="EP291" s="25" t="s">
        <v>62</v>
      </c>
      <c r="EQ291" s="25" t="s">
        <v>62</v>
      </c>
      <c r="ER291" s="25" t="s">
        <v>278</v>
      </c>
      <c r="ES291" s="25" t="s">
        <v>278</v>
      </c>
      <c r="ET291" s="25">
        <v>1</v>
      </c>
      <c r="EU291" s="25" t="s">
        <v>522</v>
      </c>
      <c r="EV291" s="25" t="s">
        <v>138</v>
      </c>
      <c r="EW291" s="25" t="s">
        <v>23</v>
      </c>
      <c r="EX291" s="25" t="s">
        <v>278</v>
      </c>
      <c r="EY291" s="20" t="e">
        <v>#N/A</v>
      </c>
    </row>
    <row r="292" spans="1:155">
      <c r="A292" s="21" t="s">
        <v>491</v>
      </c>
      <c r="B292" s="21" t="s">
        <v>491</v>
      </c>
      <c r="C292" s="21" t="s">
        <v>492</v>
      </c>
      <c r="D292" s="21" t="s">
        <v>493</v>
      </c>
      <c r="E292" s="21" t="s">
        <v>493</v>
      </c>
      <c r="F292" s="21" t="s">
        <v>493</v>
      </c>
      <c r="G292" s="21" t="s">
        <v>3876</v>
      </c>
      <c r="H292" s="21">
        <v>1138875323</v>
      </c>
      <c r="I292" s="21" t="s">
        <v>494</v>
      </c>
      <c r="J292" s="21" t="s">
        <v>3877</v>
      </c>
      <c r="L292" s="21" t="s">
        <v>495</v>
      </c>
      <c r="M292" s="21" t="s">
        <v>3878</v>
      </c>
      <c r="N292" s="21" t="s">
        <v>496</v>
      </c>
      <c r="O292" s="21" t="s">
        <v>69</v>
      </c>
      <c r="P292" s="21" t="s">
        <v>497</v>
      </c>
      <c r="R292" s="21" t="s">
        <v>498</v>
      </c>
      <c r="S292" s="21" t="s">
        <v>499</v>
      </c>
      <c r="V292" s="21" t="s">
        <v>500</v>
      </c>
      <c r="W292" s="21" t="s">
        <v>501</v>
      </c>
      <c r="X292" s="21" t="s">
        <v>502</v>
      </c>
      <c r="Y292" s="21" t="s">
        <v>503</v>
      </c>
      <c r="Z292" s="21">
        <v>3035717778</v>
      </c>
      <c r="AA292" s="26">
        <v>42747</v>
      </c>
      <c r="AB292" s="26">
        <v>42747</v>
      </c>
      <c r="AC292" s="21" t="s">
        <v>504</v>
      </c>
      <c r="AD292" s="21" t="s">
        <v>505</v>
      </c>
      <c r="AE292" s="21" t="s">
        <v>500</v>
      </c>
      <c r="AF292" s="21" t="s">
        <v>564</v>
      </c>
      <c r="AG292" s="21" t="s">
        <v>571</v>
      </c>
      <c r="AH292" s="21" t="s">
        <v>572</v>
      </c>
      <c r="AI292" s="21" t="s">
        <v>1810</v>
      </c>
      <c r="AJ292" s="21" t="s">
        <v>507</v>
      </c>
      <c r="AK292" s="21" t="s">
        <v>494</v>
      </c>
      <c r="AL292" s="21" t="s">
        <v>527</v>
      </c>
      <c r="AM292" s="21" t="s">
        <v>527</v>
      </c>
      <c r="AN292" s="21" t="s">
        <v>527</v>
      </c>
      <c r="AO292" s="21" t="s">
        <v>528</v>
      </c>
      <c r="AS292" s="21" t="s">
        <v>511</v>
      </c>
      <c r="AT292" s="21" t="s">
        <v>512</v>
      </c>
      <c r="AW292" s="21">
        <v>0</v>
      </c>
      <c r="AX292" s="21">
        <v>2</v>
      </c>
      <c r="AY292" s="26"/>
      <c r="AZ292" s="26"/>
      <c r="BB292" s="26"/>
      <c r="BC292" s="21" t="s">
        <v>513</v>
      </c>
      <c r="BD292" s="21" t="s">
        <v>514</v>
      </c>
      <c r="BE292" s="21" t="s">
        <v>514</v>
      </c>
      <c r="BF292" s="21" t="s">
        <v>515</v>
      </c>
      <c r="BG292" s="21">
        <v>1</v>
      </c>
      <c r="BH292" s="21" t="s">
        <v>516</v>
      </c>
      <c r="BI292" s="21" t="s">
        <v>517</v>
      </c>
      <c r="BJ292" s="21" t="s">
        <v>516</v>
      </c>
      <c r="BK292" s="21" t="s">
        <v>516</v>
      </c>
      <c r="BM292" s="21" t="s">
        <v>1110</v>
      </c>
      <c r="BN292" s="21" t="s">
        <v>200</v>
      </c>
      <c r="BO292" s="21" t="s">
        <v>518</v>
      </c>
      <c r="BP292" s="21" t="s">
        <v>1044</v>
      </c>
      <c r="BQ292" s="21" t="s">
        <v>1110</v>
      </c>
      <c r="BR292" s="21" t="s">
        <v>200</v>
      </c>
      <c r="BS292" s="21" t="s">
        <v>518</v>
      </c>
      <c r="BT292" s="21" t="s">
        <v>1044</v>
      </c>
      <c r="BU292" s="21" t="s">
        <v>200</v>
      </c>
      <c r="CD292" s="21" t="s">
        <v>520</v>
      </c>
      <c r="CF292" s="21" t="s">
        <v>521</v>
      </c>
      <c r="CN292" s="26"/>
      <c r="DB292" s="24" t="s">
        <v>943</v>
      </c>
      <c r="DC292" s="21">
        <v>1</v>
      </c>
      <c r="DD292" s="21">
        <v>3</v>
      </c>
      <c r="DE292" s="22">
        <v>42751</v>
      </c>
      <c r="DF292" s="21" t="s">
        <v>3879</v>
      </c>
      <c r="DG292" s="21" t="s">
        <v>522</v>
      </c>
      <c r="DH292" s="21" t="s">
        <v>3880</v>
      </c>
      <c r="DI292" s="21" t="s">
        <v>495</v>
      </c>
      <c r="DJ292" s="21" t="s">
        <v>520</v>
      </c>
      <c r="DK292" s="26"/>
      <c r="DL292" s="26">
        <v>42759</v>
      </c>
      <c r="DM292" s="26">
        <v>42749</v>
      </c>
      <c r="DN292" s="21">
        <v>3100</v>
      </c>
      <c r="DO292" s="21">
        <v>10</v>
      </c>
      <c r="DP292" s="21">
        <v>1</v>
      </c>
      <c r="DQ292" s="21">
        <v>1</v>
      </c>
      <c r="DR292" s="21">
        <v>7</v>
      </c>
      <c r="DS292" s="21">
        <v>10</v>
      </c>
      <c r="DT292" s="21">
        <v>10</v>
      </c>
      <c r="DU292" s="21">
        <v>10</v>
      </c>
      <c r="DW292" s="21">
        <v>10</v>
      </c>
      <c r="EA292" s="21">
        <v>10</v>
      </c>
      <c r="EB292" s="21" t="s">
        <v>3881</v>
      </c>
      <c r="EC292" s="21" t="s">
        <v>1909</v>
      </c>
      <c r="EF292" s="25">
        <v>1</v>
      </c>
      <c r="EG292" s="25">
        <v>0</v>
      </c>
      <c r="EH292" s="25">
        <v>1</v>
      </c>
      <c r="EI292" s="25">
        <v>0</v>
      </c>
      <c r="EJ292" s="25" t="s">
        <v>62</v>
      </c>
      <c r="EK292" s="25" t="s">
        <v>201</v>
      </c>
      <c r="EL292" s="25" t="s">
        <v>201</v>
      </c>
      <c r="EM292" s="25" t="s">
        <v>276</v>
      </c>
      <c r="EN292" s="25" t="s">
        <v>31</v>
      </c>
      <c r="EO292" s="25" t="s">
        <v>31</v>
      </c>
      <c r="EP292" s="25" t="s">
        <v>92</v>
      </c>
      <c r="EQ292" s="25" t="s">
        <v>92</v>
      </c>
      <c r="ER292" s="25" t="s">
        <v>278</v>
      </c>
      <c r="ES292" s="25" t="s">
        <v>278</v>
      </c>
      <c r="ET292" s="25">
        <v>1</v>
      </c>
      <c r="EU292" s="25" t="s">
        <v>522</v>
      </c>
      <c r="EV292" s="25" t="s">
        <v>201</v>
      </c>
      <c r="EW292" s="25" t="s">
        <v>31</v>
      </c>
      <c r="EX292" s="25" t="s">
        <v>278</v>
      </c>
      <c r="EY292" s="20" t="e">
        <v>#N/A</v>
      </c>
    </row>
    <row r="293" spans="1:155">
      <c r="A293" s="21" t="s">
        <v>491</v>
      </c>
      <c r="B293" s="21" t="s">
        <v>491</v>
      </c>
      <c r="C293" s="21" t="s">
        <v>492</v>
      </c>
      <c r="D293" s="21" t="s">
        <v>493</v>
      </c>
      <c r="E293" s="21" t="s">
        <v>493</v>
      </c>
      <c r="F293" s="21" t="s">
        <v>493</v>
      </c>
      <c r="G293" s="21" t="s">
        <v>3882</v>
      </c>
      <c r="H293" s="21">
        <v>19994558538</v>
      </c>
      <c r="I293" s="21" t="s">
        <v>494</v>
      </c>
      <c r="J293" s="21" t="s">
        <v>3883</v>
      </c>
      <c r="L293" s="21" t="s">
        <v>495</v>
      </c>
      <c r="M293" s="21" t="s">
        <v>3884</v>
      </c>
      <c r="N293" s="21" t="s">
        <v>1949</v>
      </c>
      <c r="O293" s="21" t="s">
        <v>93</v>
      </c>
      <c r="P293" s="21" t="s">
        <v>539</v>
      </c>
      <c r="R293" s="21" t="s">
        <v>1950</v>
      </c>
      <c r="S293" s="21" t="s">
        <v>1440</v>
      </c>
      <c r="V293" s="21" t="s">
        <v>277</v>
      </c>
      <c r="W293" s="21" t="s">
        <v>524</v>
      </c>
      <c r="X293" s="21" t="s">
        <v>525</v>
      </c>
      <c r="Y293" s="21" t="s">
        <v>530</v>
      </c>
      <c r="Z293" s="21">
        <v>3035685604</v>
      </c>
      <c r="AA293" s="26">
        <v>42746</v>
      </c>
      <c r="AB293" s="26">
        <v>42747</v>
      </c>
      <c r="AC293" s="21" t="s">
        <v>504</v>
      </c>
      <c r="AD293" s="21" t="s">
        <v>505</v>
      </c>
      <c r="AE293" s="21" t="s">
        <v>1156</v>
      </c>
      <c r="AF293" s="21" t="s">
        <v>1157</v>
      </c>
      <c r="AG293" s="21" t="s">
        <v>1158</v>
      </c>
      <c r="AH293" s="21" t="s">
        <v>1159</v>
      </c>
      <c r="AI293" s="21" t="s">
        <v>1372</v>
      </c>
      <c r="AJ293" s="21" t="s">
        <v>526</v>
      </c>
      <c r="AK293" s="21" t="s">
        <v>494</v>
      </c>
      <c r="AL293" s="21" t="s">
        <v>527</v>
      </c>
      <c r="AM293" s="21" t="s">
        <v>527</v>
      </c>
      <c r="AN293" s="21" t="s">
        <v>527</v>
      </c>
      <c r="AO293" s="21" t="s">
        <v>528</v>
      </c>
      <c r="AS293" s="21" t="s">
        <v>511</v>
      </c>
      <c r="AT293" s="21" t="s">
        <v>512</v>
      </c>
      <c r="AW293" s="21">
        <v>0</v>
      </c>
      <c r="AX293" s="21">
        <v>4</v>
      </c>
      <c r="AY293" s="26"/>
      <c r="AZ293" s="26"/>
      <c r="BB293" s="26"/>
      <c r="BC293" s="21" t="s">
        <v>513</v>
      </c>
      <c r="BD293" s="21" t="s">
        <v>514</v>
      </c>
      <c r="BE293" s="21" t="s">
        <v>514</v>
      </c>
      <c r="BF293" s="21" t="s">
        <v>515</v>
      </c>
      <c r="BG293" s="21">
        <v>1</v>
      </c>
      <c r="BH293" s="21" t="s">
        <v>516</v>
      </c>
      <c r="BI293" s="21" t="s">
        <v>517</v>
      </c>
      <c r="BJ293" s="21" t="s">
        <v>516</v>
      </c>
      <c r="BK293" s="21" t="s">
        <v>516</v>
      </c>
      <c r="BM293" s="21" t="s">
        <v>1110</v>
      </c>
      <c r="BN293" s="21" t="s">
        <v>200</v>
      </c>
      <c r="BO293" s="21" t="s">
        <v>518</v>
      </c>
      <c r="BP293" s="21" t="s">
        <v>1044</v>
      </c>
      <c r="BQ293" s="21" t="s">
        <v>33</v>
      </c>
      <c r="BR293" s="21" t="s">
        <v>209</v>
      </c>
      <c r="BS293" s="21" t="s">
        <v>518</v>
      </c>
      <c r="BT293" s="21" t="s">
        <v>1044</v>
      </c>
      <c r="BU293" s="21" t="s">
        <v>200</v>
      </c>
      <c r="CD293" s="21" t="s">
        <v>520</v>
      </c>
      <c r="CF293" s="21" t="s">
        <v>521</v>
      </c>
      <c r="CN293" s="26"/>
      <c r="DB293" s="24" t="s">
        <v>943</v>
      </c>
      <c r="DC293" s="21">
        <v>1</v>
      </c>
      <c r="DD293" s="21">
        <v>3</v>
      </c>
      <c r="DE293" s="22">
        <v>42751</v>
      </c>
      <c r="DF293" s="21" t="s">
        <v>3885</v>
      </c>
      <c r="DG293" s="21" t="s">
        <v>522</v>
      </c>
      <c r="DH293" s="21" t="s">
        <v>3886</v>
      </c>
      <c r="DI293" s="21" t="s">
        <v>495</v>
      </c>
      <c r="DJ293" s="21" t="s">
        <v>520</v>
      </c>
      <c r="DK293" s="26"/>
      <c r="DL293" s="26">
        <v>42759</v>
      </c>
      <c r="DM293" s="26">
        <v>42749</v>
      </c>
      <c r="DN293" s="21">
        <v>1100</v>
      </c>
      <c r="DO293" s="21">
        <v>8</v>
      </c>
      <c r="DP293" s="21">
        <v>1</v>
      </c>
      <c r="DQ293" s="21">
        <v>1</v>
      </c>
      <c r="DR293" s="21">
        <v>6</v>
      </c>
      <c r="DS293" s="21">
        <v>9</v>
      </c>
      <c r="DT293" s="21">
        <v>9</v>
      </c>
      <c r="DU293" s="21">
        <v>10</v>
      </c>
      <c r="DW293" s="21">
        <v>10</v>
      </c>
      <c r="EA293" s="21">
        <v>9</v>
      </c>
      <c r="EB293" s="21" t="s">
        <v>3887</v>
      </c>
      <c r="EC293" s="21" t="s">
        <v>4034</v>
      </c>
      <c r="EF293" s="25">
        <v>1</v>
      </c>
      <c r="EG293" s="25">
        <v>0</v>
      </c>
      <c r="EH293" s="25">
        <v>0</v>
      </c>
      <c r="EI293" s="25">
        <v>0</v>
      </c>
      <c r="EJ293" s="25" t="s">
        <v>92</v>
      </c>
      <c r="EK293" s="25" t="s">
        <v>201</v>
      </c>
      <c r="EL293" s="25" t="s">
        <v>210</v>
      </c>
      <c r="EM293" s="25" t="s">
        <v>276</v>
      </c>
      <c r="EN293" s="25" t="s">
        <v>31</v>
      </c>
      <c r="EO293" s="25" t="s">
        <v>31</v>
      </c>
      <c r="EP293" s="25" t="s">
        <v>92</v>
      </c>
      <c r="EQ293" s="25" t="s">
        <v>529</v>
      </c>
      <c r="ER293" s="25" t="s">
        <v>278</v>
      </c>
      <c r="ES293" s="25" t="s">
        <v>278</v>
      </c>
      <c r="ET293" s="25">
        <v>1</v>
      </c>
      <c r="EU293" s="25" t="s">
        <v>522</v>
      </c>
      <c r="EV293" s="25" t="s">
        <v>279</v>
      </c>
      <c r="EW293" s="25" t="s">
        <v>279</v>
      </c>
      <c r="EX293" s="25" t="s">
        <v>279</v>
      </c>
      <c r="EY293" s="20" t="e">
        <v>#N/A</v>
      </c>
    </row>
    <row r="294" spans="1:155">
      <c r="A294" s="21" t="s">
        <v>491</v>
      </c>
      <c r="B294" s="21" t="s">
        <v>491</v>
      </c>
      <c r="C294" s="21" t="s">
        <v>492</v>
      </c>
      <c r="D294" s="21" t="s">
        <v>493</v>
      </c>
      <c r="E294" s="21" t="s">
        <v>493</v>
      </c>
      <c r="F294" s="21" t="s">
        <v>493</v>
      </c>
      <c r="G294" s="21" t="s">
        <v>3888</v>
      </c>
      <c r="H294" s="21">
        <v>4133644733</v>
      </c>
      <c r="I294" s="21" t="s">
        <v>494</v>
      </c>
      <c r="J294" s="21" t="s">
        <v>3889</v>
      </c>
      <c r="L294" s="21" t="s">
        <v>495</v>
      </c>
      <c r="M294" s="21" t="s">
        <v>3890</v>
      </c>
      <c r="N294" s="21" t="s">
        <v>550</v>
      </c>
      <c r="O294" s="21" t="s">
        <v>69</v>
      </c>
      <c r="P294" s="21" t="s">
        <v>497</v>
      </c>
      <c r="R294" s="21" t="s">
        <v>551</v>
      </c>
      <c r="S294" s="21" t="s">
        <v>552</v>
      </c>
      <c r="V294" s="21" t="s">
        <v>500</v>
      </c>
      <c r="W294" s="21" t="s">
        <v>501</v>
      </c>
      <c r="X294" s="21" t="s">
        <v>502</v>
      </c>
      <c r="Y294" s="21" t="s">
        <v>503</v>
      </c>
      <c r="Z294" s="21">
        <v>3035722349</v>
      </c>
      <c r="AA294" s="26">
        <v>42747</v>
      </c>
      <c r="AB294" s="26">
        <v>42747</v>
      </c>
      <c r="AC294" s="21" t="s">
        <v>504</v>
      </c>
      <c r="AD294" s="21" t="s">
        <v>505</v>
      </c>
      <c r="AE294" s="21" t="s">
        <v>1091</v>
      </c>
      <c r="AF294" s="21" t="s">
        <v>2524</v>
      </c>
      <c r="AG294" s="21" t="s">
        <v>2944</v>
      </c>
      <c r="AH294" s="21" t="s">
        <v>2945</v>
      </c>
      <c r="AI294" s="21" t="s">
        <v>3891</v>
      </c>
      <c r="AJ294" s="21" t="s">
        <v>526</v>
      </c>
      <c r="AK294" s="21" t="s">
        <v>494</v>
      </c>
      <c r="AL294" s="21" t="s">
        <v>527</v>
      </c>
      <c r="AM294" s="21" t="s">
        <v>527</v>
      </c>
      <c r="AN294" s="21" t="s">
        <v>527</v>
      </c>
      <c r="AO294" s="21" t="s">
        <v>528</v>
      </c>
      <c r="AS294" s="21" t="s">
        <v>511</v>
      </c>
      <c r="AT294" s="21" t="s">
        <v>512</v>
      </c>
      <c r="AW294" s="21">
        <v>0</v>
      </c>
      <c r="AX294" s="21">
        <v>2</v>
      </c>
      <c r="AY294" s="26"/>
      <c r="AZ294" s="26"/>
      <c r="BB294" s="26"/>
      <c r="BC294" s="21" t="s">
        <v>513</v>
      </c>
      <c r="BD294" s="21" t="s">
        <v>514</v>
      </c>
      <c r="BE294" s="21" t="s">
        <v>514</v>
      </c>
      <c r="BF294" s="21" t="s">
        <v>515</v>
      </c>
      <c r="BG294" s="21">
        <v>1</v>
      </c>
      <c r="BH294" s="21" t="s">
        <v>516</v>
      </c>
      <c r="BI294" s="21" t="s">
        <v>517</v>
      </c>
      <c r="BJ294" s="21" t="s">
        <v>516</v>
      </c>
      <c r="BK294" s="21" t="s">
        <v>516</v>
      </c>
      <c r="BM294" s="21" t="s">
        <v>2139</v>
      </c>
      <c r="BN294" s="21" t="s">
        <v>153</v>
      </c>
      <c r="BO294" s="21" t="s">
        <v>518</v>
      </c>
      <c r="BP294" s="21" t="s">
        <v>1044</v>
      </c>
      <c r="BQ294" s="21" t="s">
        <v>2139</v>
      </c>
      <c r="BR294" s="21" t="s">
        <v>153</v>
      </c>
      <c r="BS294" s="21" t="s">
        <v>518</v>
      </c>
      <c r="BT294" s="21" t="s">
        <v>1044</v>
      </c>
      <c r="BU294" s="21" t="s">
        <v>153</v>
      </c>
      <c r="CD294" s="21" t="s">
        <v>520</v>
      </c>
      <c r="CF294" s="21" t="s">
        <v>521</v>
      </c>
      <c r="CN294" s="26"/>
      <c r="DB294" s="24" t="s">
        <v>943</v>
      </c>
      <c r="DC294" s="21">
        <v>1</v>
      </c>
      <c r="DD294" s="21">
        <v>3</v>
      </c>
      <c r="DE294" s="22">
        <v>42751</v>
      </c>
      <c r="DF294" s="21" t="s">
        <v>3892</v>
      </c>
      <c r="DG294" s="21" t="s">
        <v>522</v>
      </c>
      <c r="DH294" s="21" t="s">
        <v>3893</v>
      </c>
      <c r="DI294" s="21" t="s">
        <v>495</v>
      </c>
      <c r="DJ294" s="21" t="s">
        <v>520</v>
      </c>
      <c r="DK294" s="26"/>
      <c r="DL294" s="26">
        <v>42759</v>
      </c>
      <c r="DM294" s="26">
        <v>42749</v>
      </c>
      <c r="DN294" s="21">
        <v>3100</v>
      </c>
      <c r="DO294" s="21">
        <v>9</v>
      </c>
      <c r="DP294" s="21">
        <v>2</v>
      </c>
      <c r="DQ294" s="21">
        <v>2</v>
      </c>
      <c r="DR294" s="21">
        <v>6</v>
      </c>
      <c r="DS294" s="21">
        <v>8</v>
      </c>
      <c r="DT294" s="21">
        <v>9</v>
      </c>
      <c r="DU294" s="21">
        <v>9</v>
      </c>
      <c r="DW294" s="21">
        <v>8</v>
      </c>
      <c r="EA294" s="21">
        <v>8</v>
      </c>
      <c r="EB294" s="21" t="s">
        <v>3894</v>
      </c>
      <c r="EC294" s="21" t="s">
        <v>4035</v>
      </c>
      <c r="EF294" s="25">
        <v>0</v>
      </c>
      <c r="EG294" s="25">
        <v>0</v>
      </c>
      <c r="EH294" s="25">
        <v>1</v>
      </c>
      <c r="EI294" s="25">
        <v>0</v>
      </c>
      <c r="EJ294" s="25" t="s">
        <v>62</v>
      </c>
      <c r="EK294" s="25" t="s">
        <v>276</v>
      </c>
      <c r="EL294" s="25" t="s">
        <v>276</v>
      </c>
      <c r="EM294" s="25" t="s">
        <v>276</v>
      </c>
      <c r="EN294" s="25" t="s">
        <v>276</v>
      </c>
      <c r="EO294" s="25" t="s">
        <v>276</v>
      </c>
      <c r="EP294" s="25" t="s">
        <v>276</v>
      </c>
      <c r="EQ294" s="25" t="s">
        <v>276</v>
      </c>
      <c r="ER294" s="25" t="s">
        <v>276</v>
      </c>
      <c r="ES294" s="25" t="s">
        <v>276</v>
      </c>
      <c r="ET294" s="25">
        <v>1</v>
      </c>
      <c r="EU294" s="25" t="s">
        <v>522</v>
      </c>
      <c r="EV294" s="25" t="s">
        <v>276</v>
      </c>
      <c r="EW294" s="25" t="s">
        <v>276</v>
      </c>
      <c r="EX294" s="25" t="s">
        <v>276</v>
      </c>
      <c r="EY294" s="20" t="s">
        <v>273</v>
      </c>
    </row>
    <row r="295" spans="1:155">
      <c r="A295" s="21" t="s">
        <v>491</v>
      </c>
      <c r="B295" s="21" t="s">
        <v>491</v>
      </c>
      <c r="C295" s="21" t="s">
        <v>492</v>
      </c>
      <c r="D295" s="21" t="s">
        <v>493</v>
      </c>
      <c r="E295" s="21" t="s">
        <v>493</v>
      </c>
      <c r="F295" s="21" t="s">
        <v>493</v>
      </c>
      <c r="G295" s="21" t="s">
        <v>3895</v>
      </c>
      <c r="H295" s="21" t="s">
        <v>3896</v>
      </c>
      <c r="I295" s="21" t="s">
        <v>494</v>
      </c>
      <c r="J295" s="21" t="s">
        <v>3897</v>
      </c>
      <c r="L295" s="21" t="s">
        <v>495</v>
      </c>
      <c r="M295" s="21" t="s">
        <v>3898</v>
      </c>
      <c r="N295" s="21" t="s">
        <v>1134</v>
      </c>
      <c r="O295" s="21" t="s">
        <v>98</v>
      </c>
      <c r="P295" s="21" t="s">
        <v>553</v>
      </c>
      <c r="R295" s="21" t="s">
        <v>588</v>
      </c>
      <c r="S295" s="21" t="s">
        <v>589</v>
      </c>
      <c r="V295" s="21" t="s">
        <v>500</v>
      </c>
      <c r="W295" s="21" t="s">
        <v>501</v>
      </c>
      <c r="X295" s="21" t="s">
        <v>502</v>
      </c>
      <c r="Y295" s="21" t="s">
        <v>554</v>
      </c>
      <c r="Z295" s="21">
        <v>3035715381</v>
      </c>
      <c r="AA295" s="26">
        <v>42747</v>
      </c>
      <c r="AB295" s="26">
        <v>42747</v>
      </c>
      <c r="AC295" s="21" t="s">
        <v>504</v>
      </c>
      <c r="AD295" s="21" t="s">
        <v>505</v>
      </c>
      <c r="AE295" s="21" t="s">
        <v>1091</v>
      </c>
      <c r="AF295" s="21" t="s">
        <v>1902</v>
      </c>
      <c r="AG295" s="21" t="s">
        <v>3899</v>
      </c>
      <c r="AH295" s="21" t="s">
        <v>3900</v>
      </c>
      <c r="AI295" s="21" t="s">
        <v>3901</v>
      </c>
      <c r="AJ295" s="21" t="s">
        <v>526</v>
      </c>
      <c r="AK295" s="21" t="s">
        <v>494</v>
      </c>
      <c r="AL295" s="21" t="s">
        <v>527</v>
      </c>
      <c r="AM295" s="21" t="s">
        <v>527</v>
      </c>
      <c r="AN295" s="21" t="s">
        <v>527</v>
      </c>
      <c r="AO295" s="21" t="s">
        <v>528</v>
      </c>
      <c r="AS295" s="21" t="s">
        <v>511</v>
      </c>
      <c r="AT295" s="21" t="s">
        <v>512</v>
      </c>
      <c r="AW295" s="21">
        <v>0</v>
      </c>
      <c r="AX295" s="21">
        <v>2</v>
      </c>
      <c r="AY295" s="26"/>
      <c r="AZ295" s="26"/>
      <c r="BB295" s="26"/>
      <c r="BC295" s="21" t="s">
        <v>513</v>
      </c>
      <c r="BD295" s="21" t="s">
        <v>514</v>
      </c>
      <c r="BE295" s="21" t="s">
        <v>514</v>
      </c>
      <c r="BF295" s="21" t="s">
        <v>515</v>
      </c>
      <c r="BG295" s="21">
        <v>1</v>
      </c>
      <c r="BH295" s="21" t="s">
        <v>516</v>
      </c>
      <c r="BI295" s="21" t="s">
        <v>517</v>
      </c>
      <c r="BJ295" s="21" t="s">
        <v>516</v>
      </c>
      <c r="BK295" s="21" t="s">
        <v>516</v>
      </c>
      <c r="BM295" s="21" t="s">
        <v>585</v>
      </c>
      <c r="BN295" s="21" t="s">
        <v>262</v>
      </c>
      <c r="BO295" s="21" t="s">
        <v>518</v>
      </c>
      <c r="BP295" s="21" t="s">
        <v>519</v>
      </c>
      <c r="BQ295" s="21" t="s">
        <v>585</v>
      </c>
      <c r="BR295" s="21" t="s">
        <v>262</v>
      </c>
      <c r="BS295" s="21" t="s">
        <v>518</v>
      </c>
      <c r="BT295" s="21" t="s">
        <v>519</v>
      </c>
      <c r="BU295" s="21" t="s">
        <v>262</v>
      </c>
      <c r="CD295" s="21" t="s">
        <v>520</v>
      </c>
      <c r="CF295" s="21" t="s">
        <v>521</v>
      </c>
      <c r="CN295" s="26"/>
      <c r="DB295" s="24" t="s">
        <v>943</v>
      </c>
      <c r="DC295" s="21">
        <v>1</v>
      </c>
      <c r="DD295" s="21">
        <v>3</v>
      </c>
      <c r="DE295" s="22">
        <v>42751</v>
      </c>
      <c r="DF295" s="21" t="s">
        <v>3902</v>
      </c>
      <c r="DG295" s="21" t="s">
        <v>522</v>
      </c>
      <c r="DH295" s="21" t="s">
        <v>3903</v>
      </c>
      <c r="DI295" s="21" t="s">
        <v>495</v>
      </c>
      <c r="DJ295" s="21" t="s">
        <v>520</v>
      </c>
      <c r="DK295" s="26"/>
      <c r="DL295" s="26">
        <v>42759</v>
      </c>
      <c r="DM295" s="26">
        <v>42749</v>
      </c>
      <c r="DN295" s="21">
        <v>3100</v>
      </c>
      <c r="DO295" s="21">
        <v>8</v>
      </c>
      <c r="DP295" s="21">
        <v>1</v>
      </c>
      <c r="DQ295" s="21">
        <v>1</v>
      </c>
      <c r="DR295" s="21">
        <v>6</v>
      </c>
      <c r="DS295" s="21">
        <v>8</v>
      </c>
      <c r="DT295" s="21">
        <v>8</v>
      </c>
      <c r="DU295" s="21">
        <v>8</v>
      </c>
      <c r="DW295" s="21">
        <v>8</v>
      </c>
      <c r="EA295" s="21">
        <v>8</v>
      </c>
      <c r="EB295" s="21" t="s">
        <v>3904</v>
      </c>
      <c r="EC295" s="21" t="s">
        <v>1221</v>
      </c>
      <c r="EF295" s="25">
        <v>0</v>
      </c>
      <c r="EG295" s="25">
        <v>0</v>
      </c>
      <c r="EH295" s="25">
        <v>0</v>
      </c>
      <c r="EI295" s="25">
        <v>0</v>
      </c>
      <c r="EJ295" s="25" t="s">
        <v>62</v>
      </c>
      <c r="EK295" s="25" t="s">
        <v>276</v>
      </c>
      <c r="EL295" s="25" t="s">
        <v>276</v>
      </c>
      <c r="EM295" s="25" t="s">
        <v>276</v>
      </c>
      <c r="EN295" s="25" t="s">
        <v>276</v>
      </c>
      <c r="EO295" s="25" t="s">
        <v>276</v>
      </c>
      <c r="EP295" s="25" t="s">
        <v>276</v>
      </c>
      <c r="EQ295" s="25" t="s">
        <v>276</v>
      </c>
      <c r="ER295" s="25" t="s">
        <v>276</v>
      </c>
      <c r="ES295" s="25" t="s">
        <v>276</v>
      </c>
      <c r="ET295" s="25">
        <v>1</v>
      </c>
      <c r="EU295" s="25" t="s">
        <v>522</v>
      </c>
      <c r="EV295" s="25" t="s">
        <v>276</v>
      </c>
      <c r="EW295" s="25" t="s">
        <v>276</v>
      </c>
      <c r="EX295" s="25" t="s">
        <v>276</v>
      </c>
      <c r="EY295" s="20" t="s">
        <v>273</v>
      </c>
    </row>
    <row r="296" spans="1:155">
      <c r="A296" s="21" t="s">
        <v>491</v>
      </c>
      <c r="B296" s="21" t="s">
        <v>491</v>
      </c>
      <c r="C296" s="21" t="s">
        <v>492</v>
      </c>
      <c r="D296" s="21" t="s">
        <v>493</v>
      </c>
      <c r="E296" s="21" t="s">
        <v>493</v>
      </c>
      <c r="F296" s="21" t="s">
        <v>493</v>
      </c>
      <c r="G296" s="21" t="s">
        <v>3905</v>
      </c>
      <c r="H296" s="21" t="s">
        <v>494</v>
      </c>
      <c r="I296" s="21" t="s">
        <v>494</v>
      </c>
      <c r="J296" s="21" t="s">
        <v>3906</v>
      </c>
      <c r="L296" s="21" t="s">
        <v>495</v>
      </c>
      <c r="M296" s="21" t="s">
        <v>3907</v>
      </c>
      <c r="N296" s="21" t="s">
        <v>3908</v>
      </c>
      <c r="O296" s="21" t="s">
        <v>100</v>
      </c>
      <c r="P296" s="21" t="s">
        <v>1187</v>
      </c>
      <c r="R296" s="21" t="s">
        <v>3909</v>
      </c>
      <c r="S296" s="21" t="s">
        <v>3910</v>
      </c>
      <c r="V296" s="21" t="s">
        <v>277</v>
      </c>
      <c r="W296" s="21" t="s">
        <v>524</v>
      </c>
      <c r="X296" s="21" t="s">
        <v>525</v>
      </c>
      <c r="Y296" s="21" t="s">
        <v>1190</v>
      </c>
      <c r="Z296" s="21">
        <v>3035647564</v>
      </c>
      <c r="AA296" s="26">
        <v>42745</v>
      </c>
      <c r="AB296" s="26">
        <v>42748</v>
      </c>
      <c r="AC296" s="21" t="s">
        <v>504</v>
      </c>
      <c r="AD296" s="21" t="s">
        <v>505</v>
      </c>
      <c r="AE296" s="21" t="s">
        <v>1054</v>
      </c>
      <c r="AF296" s="21" t="s">
        <v>1105</v>
      </c>
      <c r="AG296" s="21" t="s">
        <v>2485</v>
      </c>
      <c r="AH296" s="21" t="s">
        <v>2486</v>
      </c>
      <c r="AI296" s="21" t="s">
        <v>2787</v>
      </c>
      <c r="AJ296" s="21" t="s">
        <v>1109</v>
      </c>
      <c r="AK296" s="21" t="s">
        <v>494</v>
      </c>
      <c r="AL296" s="21" t="s">
        <v>527</v>
      </c>
      <c r="AM296" s="21" t="s">
        <v>527</v>
      </c>
      <c r="AN296" s="21" t="s">
        <v>527</v>
      </c>
      <c r="AO296" s="21" t="s">
        <v>528</v>
      </c>
      <c r="AS296" s="21" t="s">
        <v>511</v>
      </c>
      <c r="AT296" s="21" t="s">
        <v>512</v>
      </c>
      <c r="AW296" s="21">
        <v>0</v>
      </c>
      <c r="AX296" s="21">
        <v>15</v>
      </c>
      <c r="AY296" s="26"/>
      <c r="AZ296" s="26"/>
      <c r="BB296" s="26"/>
      <c r="BC296" s="21" t="s">
        <v>513</v>
      </c>
      <c r="BD296" s="21" t="s">
        <v>514</v>
      </c>
      <c r="BE296" s="21" t="s">
        <v>514</v>
      </c>
      <c r="BF296" s="21" t="s">
        <v>515</v>
      </c>
      <c r="BG296" s="21">
        <v>1</v>
      </c>
      <c r="BH296" s="21" t="s">
        <v>516</v>
      </c>
      <c r="BI296" s="21" t="s">
        <v>517</v>
      </c>
      <c r="BJ296" s="21" t="s">
        <v>516</v>
      </c>
      <c r="BK296" s="21" t="s">
        <v>516</v>
      </c>
      <c r="BM296" s="21" t="s">
        <v>36</v>
      </c>
      <c r="BN296" s="21" t="s">
        <v>223</v>
      </c>
      <c r="BO296" s="21" t="s">
        <v>518</v>
      </c>
      <c r="BP296" s="21" t="s">
        <v>519</v>
      </c>
      <c r="BQ296" s="21" t="s">
        <v>1519</v>
      </c>
      <c r="BR296" s="21" t="s">
        <v>221</v>
      </c>
      <c r="BS296" s="21" t="s">
        <v>518</v>
      </c>
      <c r="BT296" s="21" t="s">
        <v>1044</v>
      </c>
      <c r="BU296" s="21" t="s">
        <v>223</v>
      </c>
      <c r="CD296" s="21" t="s">
        <v>520</v>
      </c>
      <c r="CF296" s="21" t="s">
        <v>521</v>
      </c>
      <c r="CN296" s="26"/>
      <c r="DB296" s="24" t="s">
        <v>943</v>
      </c>
      <c r="DC296" s="21">
        <v>1</v>
      </c>
      <c r="DD296" s="21">
        <v>3</v>
      </c>
      <c r="DE296" s="22">
        <v>42751</v>
      </c>
      <c r="DF296" s="21" t="s">
        <v>3911</v>
      </c>
      <c r="DG296" s="21" t="s">
        <v>522</v>
      </c>
      <c r="DH296" s="21" t="s">
        <v>3912</v>
      </c>
      <c r="DI296" s="21" t="s">
        <v>495</v>
      </c>
      <c r="DJ296" s="21" t="s">
        <v>520</v>
      </c>
      <c r="DK296" s="26"/>
      <c r="DL296" s="26">
        <v>42760</v>
      </c>
      <c r="DM296" s="26">
        <v>42750</v>
      </c>
      <c r="DN296" s="21">
        <v>1100</v>
      </c>
      <c r="DO296" s="21">
        <v>10</v>
      </c>
      <c r="DP296" s="21">
        <v>1</v>
      </c>
      <c r="DQ296" s="21">
        <v>1</v>
      </c>
      <c r="DR296" s="21">
        <v>7</v>
      </c>
      <c r="DS296" s="21">
        <v>10</v>
      </c>
      <c r="DT296" s="21">
        <v>10</v>
      </c>
      <c r="DU296" s="21">
        <v>10</v>
      </c>
      <c r="DW296" s="21">
        <v>10</v>
      </c>
      <c r="EA296" s="21">
        <v>10</v>
      </c>
      <c r="EB296" s="21" t="s">
        <v>3913</v>
      </c>
      <c r="EC296" s="21" t="s">
        <v>1221</v>
      </c>
      <c r="EF296" s="25">
        <v>1</v>
      </c>
      <c r="EG296" s="25">
        <v>0</v>
      </c>
      <c r="EH296" s="25">
        <v>1</v>
      </c>
      <c r="EI296" s="25">
        <v>0</v>
      </c>
      <c r="EJ296" s="25" t="s">
        <v>92</v>
      </c>
      <c r="EK296" s="25" t="s">
        <v>224</v>
      </c>
      <c r="EL296" s="25" t="s">
        <v>222</v>
      </c>
      <c r="EM296" s="25" t="s">
        <v>276</v>
      </c>
      <c r="EN296" s="25" t="s">
        <v>31</v>
      </c>
      <c r="EO296" s="25" t="s">
        <v>31</v>
      </c>
      <c r="EP296" s="25" t="s">
        <v>92</v>
      </c>
      <c r="EQ296" s="25" t="s">
        <v>92</v>
      </c>
      <c r="ER296" s="25" t="s">
        <v>278</v>
      </c>
      <c r="ES296" s="25" t="s">
        <v>278</v>
      </c>
      <c r="ET296" s="25">
        <v>1</v>
      </c>
      <c r="EU296" s="25" t="s">
        <v>522</v>
      </c>
      <c r="EV296" s="25" t="s">
        <v>279</v>
      </c>
      <c r="EW296" s="25" t="s">
        <v>279</v>
      </c>
      <c r="EX296" s="25" t="s">
        <v>279</v>
      </c>
      <c r="EY296" s="20" t="e">
        <v>#N/A</v>
      </c>
    </row>
    <row r="297" spans="1:155">
      <c r="A297" s="21" t="s">
        <v>491</v>
      </c>
      <c r="B297" s="21" t="s">
        <v>491</v>
      </c>
      <c r="C297" s="21" t="s">
        <v>492</v>
      </c>
      <c r="D297" s="21" t="s">
        <v>493</v>
      </c>
      <c r="E297" s="21" t="s">
        <v>493</v>
      </c>
      <c r="F297" s="21" t="s">
        <v>493</v>
      </c>
      <c r="G297" s="21" t="s">
        <v>3914</v>
      </c>
      <c r="H297" s="21">
        <v>1138160146</v>
      </c>
      <c r="I297" s="21" t="s">
        <v>494</v>
      </c>
      <c r="J297" s="21" t="s">
        <v>3915</v>
      </c>
      <c r="L297" s="21" t="s">
        <v>495</v>
      </c>
      <c r="M297" s="21" t="s">
        <v>3916</v>
      </c>
      <c r="N297" s="21" t="s">
        <v>1474</v>
      </c>
      <c r="O297" s="21" t="s">
        <v>58</v>
      </c>
      <c r="P297" s="21" t="s">
        <v>557</v>
      </c>
      <c r="R297" s="21" t="s">
        <v>1475</v>
      </c>
      <c r="S297" s="21" t="s">
        <v>1476</v>
      </c>
      <c r="V297" s="21" t="s">
        <v>500</v>
      </c>
      <c r="W297" s="21" t="s">
        <v>501</v>
      </c>
      <c r="X297" s="21" t="s">
        <v>502</v>
      </c>
      <c r="Y297" s="21" t="s">
        <v>558</v>
      </c>
      <c r="Z297" s="21">
        <v>3035752895</v>
      </c>
      <c r="AA297" s="26">
        <v>42748</v>
      </c>
      <c r="AB297" s="26">
        <v>42748</v>
      </c>
      <c r="AC297" s="21" t="s">
        <v>504</v>
      </c>
      <c r="AD297" s="21" t="s">
        <v>505</v>
      </c>
      <c r="AE297" s="21" t="s">
        <v>500</v>
      </c>
      <c r="AF297" s="21" t="s">
        <v>3917</v>
      </c>
      <c r="AG297" s="21" t="s">
        <v>3918</v>
      </c>
      <c r="AH297" s="21" t="s">
        <v>3919</v>
      </c>
      <c r="AI297" s="21" t="s">
        <v>3920</v>
      </c>
      <c r="AJ297" s="21" t="s">
        <v>3921</v>
      </c>
      <c r="AK297" s="21" t="s">
        <v>494</v>
      </c>
      <c r="AL297" s="21" t="s">
        <v>527</v>
      </c>
      <c r="AM297" s="21" t="s">
        <v>527</v>
      </c>
      <c r="AN297" s="21" t="s">
        <v>527</v>
      </c>
      <c r="AO297" s="21" t="s">
        <v>528</v>
      </c>
      <c r="AS297" s="21" t="s">
        <v>511</v>
      </c>
      <c r="AT297" s="21" t="s">
        <v>512</v>
      </c>
      <c r="AW297" s="21">
        <v>0</v>
      </c>
      <c r="AX297" s="21">
        <v>2</v>
      </c>
      <c r="AY297" s="26"/>
      <c r="AZ297" s="26"/>
      <c r="BB297" s="26"/>
      <c r="BC297" s="21" t="s">
        <v>513</v>
      </c>
      <c r="BD297" s="21" t="s">
        <v>514</v>
      </c>
      <c r="BE297" s="21" t="s">
        <v>514</v>
      </c>
      <c r="BF297" s="21" t="s">
        <v>515</v>
      </c>
      <c r="BG297" s="21">
        <v>1</v>
      </c>
      <c r="BH297" s="21" t="s">
        <v>516</v>
      </c>
      <c r="BI297" s="21" t="s">
        <v>517</v>
      </c>
      <c r="BJ297" s="21" t="s">
        <v>516</v>
      </c>
      <c r="BK297" s="21" t="s">
        <v>516</v>
      </c>
      <c r="BM297" s="21" t="s">
        <v>16</v>
      </c>
      <c r="BN297" s="21" t="s">
        <v>111</v>
      </c>
      <c r="BO297" s="21" t="s">
        <v>518</v>
      </c>
      <c r="BP297" s="21" t="s">
        <v>519</v>
      </c>
      <c r="BQ297" s="21" t="s">
        <v>16</v>
      </c>
      <c r="BR297" s="21" t="s">
        <v>111</v>
      </c>
      <c r="BS297" s="21" t="s">
        <v>518</v>
      </c>
      <c r="BT297" s="21" t="s">
        <v>519</v>
      </c>
      <c r="BU297" s="21" t="s">
        <v>111</v>
      </c>
      <c r="CD297" s="21" t="s">
        <v>520</v>
      </c>
      <c r="CF297" s="21" t="s">
        <v>521</v>
      </c>
      <c r="CN297" s="26"/>
      <c r="DB297" s="24" t="s">
        <v>943</v>
      </c>
      <c r="DC297" s="21">
        <v>1</v>
      </c>
      <c r="DD297" s="21">
        <v>3</v>
      </c>
      <c r="DE297" s="22">
        <v>42751</v>
      </c>
      <c r="DF297" s="21" t="s">
        <v>3922</v>
      </c>
      <c r="DG297" s="21" t="s">
        <v>522</v>
      </c>
      <c r="DH297" s="21" t="s">
        <v>3923</v>
      </c>
      <c r="DI297" s="21" t="s">
        <v>495</v>
      </c>
      <c r="DJ297" s="21" t="s">
        <v>520</v>
      </c>
      <c r="DK297" s="26"/>
      <c r="DL297" s="26">
        <v>42760</v>
      </c>
      <c r="DM297" s="26">
        <v>42750</v>
      </c>
      <c r="DN297" s="21">
        <v>3100</v>
      </c>
      <c r="DO297" s="21">
        <v>10</v>
      </c>
      <c r="DP297" s="21">
        <v>1</v>
      </c>
      <c r="DQ297" s="21">
        <v>1</v>
      </c>
      <c r="DR297" s="21">
        <v>7</v>
      </c>
      <c r="DS297" s="21">
        <v>10</v>
      </c>
      <c r="DT297" s="21">
        <v>10</v>
      </c>
      <c r="DU297" s="21">
        <v>10</v>
      </c>
      <c r="DW297" s="21">
        <v>10</v>
      </c>
      <c r="EA297" s="21">
        <v>10</v>
      </c>
      <c r="EB297" s="21" t="s">
        <v>3924</v>
      </c>
      <c r="EC297" s="21" t="s">
        <v>1221</v>
      </c>
      <c r="EF297" s="25">
        <v>1</v>
      </c>
      <c r="EG297" s="25">
        <v>0</v>
      </c>
      <c r="EH297" s="25">
        <v>1</v>
      </c>
      <c r="EI297" s="25">
        <v>0</v>
      </c>
      <c r="EJ297" s="25" t="s">
        <v>62</v>
      </c>
      <c r="EK297" s="25" t="s">
        <v>112</v>
      </c>
      <c r="EL297" s="25" t="s">
        <v>112</v>
      </c>
      <c r="EM297" s="25" t="s">
        <v>276</v>
      </c>
      <c r="EN297" s="25" t="s">
        <v>9</v>
      </c>
      <c r="EO297" s="25" t="s">
        <v>9</v>
      </c>
      <c r="EP297" s="25" t="s">
        <v>62</v>
      </c>
      <c r="EQ297" s="25" t="s">
        <v>62</v>
      </c>
      <c r="ER297" s="25" t="s">
        <v>278</v>
      </c>
      <c r="ES297" s="25" t="s">
        <v>278</v>
      </c>
      <c r="ET297" s="25">
        <v>1</v>
      </c>
      <c r="EU297" s="25" t="s">
        <v>522</v>
      </c>
      <c r="EV297" s="25" t="s">
        <v>112</v>
      </c>
      <c r="EW297" s="25" t="s">
        <v>9</v>
      </c>
      <c r="EX297" s="25" t="s">
        <v>278</v>
      </c>
      <c r="EY297" s="20" t="e">
        <v>#N/A</v>
      </c>
    </row>
    <row r="298" spans="1:155">
      <c r="A298" s="21" t="s">
        <v>491</v>
      </c>
      <c r="B298" s="21" t="s">
        <v>491</v>
      </c>
      <c r="C298" s="21" t="s">
        <v>492</v>
      </c>
      <c r="D298" s="21" t="s">
        <v>493</v>
      </c>
      <c r="E298" s="21" t="s">
        <v>493</v>
      </c>
      <c r="F298" s="21" t="s">
        <v>493</v>
      </c>
      <c r="G298" s="21" t="s">
        <v>3925</v>
      </c>
      <c r="H298" s="21">
        <v>1130630549</v>
      </c>
      <c r="I298" s="21" t="s">
        <v>494</v>
      </c>
      <c r="J298" s="21" t="s">
        <v>3926</v>
      </c>
      <c r="L298" s="21" t="s">
        <v>495</v>
      </c>
      <c r="M298" s="21" t="s">
        <v>3927</v>
      </c>
      <c r="N298" s="21" t="s">
        <v>496</v>
      </c>
      <c r="O298" s="21" t="s">
        <v>69</v>
      </c>
      <c r="P298" s="21" t="s">
        <v>497</v>
      </c>
      <c r="R298" s="21" t="s">
        <v>498</v>
      </c>
      <c r="S298" s="21" t="s">
        <v>499</v>
      </c>
      <c r="V298" s="21" t="s">
        <v>500</v>
      </c>
      <c r="W298" s="21" t="s">
        <v>501</v>
      </c>
      <c r="X298" s="21" t="s">
        <v>502</v>
      </c>
      <c r="Y298" s="21" t="s">
        <v>503</v>
      </c>
      <c r="Z298" s="21">
        <v>3035751709</v>
      </c>
      <c r="AA298" s="26">
        <v>42748</v>
      </c>
      <c r="AB298" s="26">
        <v>42748</v>
      </c>
      <c r="AC298" s="21" t="s">
        <v>504</v>
      </c>
      <c r="AD298" s="21" t="s">
        <v>505</v>
      </c>
      <c r="AE298" s="21" t="s">
        <v>1020</v>
      </c>
      <c r="AF298" s="21" t="s">
        <v>1314</v>
      </c>
      <c r="AG298" s="21" t="s">
        <v>1315</v>
      </c>
      <c r="AH298" s="21" t="s">
        <v>1316</v>
      </c>
      <c r="AI298" s="21" t="s">
        <v>3928</v>
      </c>
      <c r="AJ298" s="21" t="s">
        <v>526</v>
      </c>
      <c r="AK298" s="21" t="s">
        <v>494</v>
      </c>
      <c r="AL298" s="21" t="s">
        <v>527</v>
      </c>
      <c r="AM298" s="21" t="s">
        <v>527</v>
      </c>
      <c r="AN298" s="21" t="s">
        <v>527</v>
      </c>
      <c r="AO298" s="21" t="s">
        <v>528</v>
      </c>
      <c r="AS298" s="21" t="s">
        <v>511</v>
      </c>
      <c r="AT298" s="21" t="s">
        <v>512</v>
      </c>
      <c r="AW298" s="21">
        <v>0</v>
      </c>
      <c r="AX298" s="21">
        <v>2</v>
      </c>
      <c r="AY298" s="26"/>
      <c r="AZ298" s="26"/>
      <c r="BB298" s="26"/>
      <c r="BC298" s="21" t="s">
        <v>513</v>
      </c>
      <c r="BD298" s="21" t="s">
        <v>514</v>
      </c>
      <c r="BE298" s="21" t="s">
        <v>514</v>
      </c>
      <c r="BF298" s="21" t="s">
        <v>515</v>
      </c>
      <c r="BG298" s="21">
        <v>1</v>
      </c>
      <c r="BH298" s="21" t="s">
        <v>516</v>
      </c>
      <c r="BI298" s="21" t="s">
        <v>517</v>
      </c>
      <c r="BJ298" s="21" t="s">
        <v>516</v>
      </c>
      <c r="BK298" s="21" t="s">
        <v>516</v>
      </c>
      <c r="BM298" s="21" t="s">
        <v>1525</v>
      </c>
      <c r="BN298" s="21" t="s">
        <v>862</v>
      </c>
      <c r="BO298" s="21" t="s">
        <v>518</v>
      </c>
      <c r="BP298" s="21" t="s">
        <v>519</v>
      </c>
      <c r="BQ298" s="21" t="s">
        <v>1525</v>
      </c>
      <c r="BR298" s="21" t="s">
        <v>862</v>
      </c>
      <c r="BS298" s="21" t="s">
        <v>518</v>
      </c>
      <c r="BT298" s="21" t="s">
        <v>519</v>
      </c>
      <c r="BU298" s="21" t="s">
        <v>862</v>
      </c>
      <c r="CD298" s="21" t="s">
        <v>520</v>
      </c>
      <c r="CF298" s="21" t="s">
        <v>521</v>
      </c>
      <c r="CN298" s="26"/>
      <c r="DB298" s="24" t="s">
        <v>943</v>
      </c>
      <c r="DC298" s="21">
        <v>1</v>
      </c>
      <c r="DD298" s="21">
        <v>3</v>
      </c>
      <c r="DE298" s="22">
        <v>42751</v>
      </c>
      <c r="DF298" s="21" t="s">
        <v>3929</v>
      </c>
      <c r="DG298" s="21" t="s">
        <v>522</v>
      </c>
      <c r="DH298" s="21" t="s">
        <v>3930</v>
      </c>
      <c r="DI298" s="21" t="s">
        <v>495</v>
      </c>
      <c r="DJ298" s="21" t="s">
        <v>520</v>
      </c>
      <c r="DK298" s="26"/>
      <c r="DL298" s="26">
        <v>42760</v>
      </c>
      <c r="DM298" s="26">
        <v>42750</v>
      </c>
      <c r="DN298" s="21">
        <v>3100</v>
      </c>
      <c r="DO298" s="21">
        <v>10</v>
      </c>
      <c r="DP298" s="21">
        <v>1</v>
      </c>
      <c r="DQ298" s="21">
        <v>1</v>
      </c>
      <c r="DR298" s="21">
        <v>3</v>
      </c>
      <c r="DS298" s="21">
        <v>10</v>
      </c>
      <c r="DT298" s="21">
        <v>10</v>
      </c>
      <c r="DU298" s="21">
        <v>10</v>
      </c>
      <c r="DW298" s="21">
        <v>10</v>
      </c>
      <c r="EA298" s="21">
        <v>9</v>
      </c>
      <c r="EB298" s="21" t="s">
        <v>3931</v>
      </c>
      <c r="EC298" s="21" t="s">
        <v>4036</v>
      </c>
      <c r="EF298" s="25">
        <v>1</v>
      </c>
      <c r="EG298" s="25">
        <v>0</v>
      </c>
      <c r="EH298" s="25">
        <v>1</v>
      </c>
      <c r="EI298" s="25">
        <v>0</v>
      </c>
      <c r="EJ298" s="25" t="s">
        <v>62</v>
      </c>
      <c r="EK298" s="25" t="s">
        <v>624</v>
      </c>
      <c r="EL298" s="25" t="s">
        <v>624</v>
      </c>
      <c r="EM298" s="25" t="s">
        <v>276</v>
      </c>
      <c r="EN298" s="25" t="s">
        <v>23</v>
      </c>
      <c r="EO298" s="25" t="s">
        <v>23</v>
      </c>
      <c r="EP298" s="25" t="s">
        <v>62</v>
      </c>
      <c r="EQ298" s="25" t="s">
        <v>62</v>
      </c>
      <c r="ER298" s="25" t="s">
        <v>278</v>
      </c>
      <c r="ES298" s="25" t="s">
        <v>278</v>
      </c>
      <c r="ET298" s="25">
        <v>1</v>
      </c>
      <c r="EU298" s="25" t="s">
        <v>522</v>
      </c>
      <c r="EV298" s="25" t="s">
        <v>624</v>
      </c>
      <c r="EW298" s="25" t="s">
        <v>23</v>
      </c>
      <c r="EX298" s="25" t="s">
        <v>278</v>
      </c>
      <c r="EY298" s="20" t="e">
        <v>#N/A</v>
      </c>
    </row>
    <row r="299" spans="1:155">
      <c r="A299" s="21" t="s">
        <v>491</v>
      </c>
      <c r="B299" s="21" t="s">
        <v>491</v>
      </c>
      <c r="C299" s="21" t="s">
        <v>492</v>
      </c>
      <c r="D299" s="21" t="s">
        <v>493</v>
      </c>
      <c r="E299" s="21" t="s">
        <v>493</v>
      </c>
      <c r="F299" s="21" t="s">
        <v>493</v>
      </c>
      <c r="G299" s="21" t="s">
        <v>3932</v>
      </c>
      <c r="H299" s="21">
        <v>5132801212</v>
      </c>
      <c r="I299" s="21" t="s">
        <v>494</v>
      </c>
      <c r="J299" s="21" t="s">
        <v>3933</v>
      </c>
      <c r="L299" s="21" t="s">
        <v>495</v>
      </c>
      <c r="M299" s="21" t="s">
        <v>3934</v>
      </c>
      <c r="N299" s="21" t="s">
        <v>550</v>
      </c>
      <c r="O299" s="21" t="s">
        <v>69</v>
      </c>
      <c r="P299" s="21" t="s">
        <v>497</v>
      </c>
      <c r="R299" s="21" t="s">
        <v>551</v>
      </c>
      <c r="S299" s="21" t="s">
        <v>552</v>
      </c>
      <c r="V299" s="21" t="s">
        <v>500</v>
      </c>
      <c r="W299" s="21" t="s">
        <v>501</v>
      </c>
      <c r="X299" s="21" t="s">
        <v>502</v>
      </c>
      <c r="Y299" s="21" t="s">
        <v>503</v>
      </c>
      <c r="Z299" s="21">
        <v>3035766764</v>
      </c>
      <c r="AA299" s="26">
        <v>42748</v>
      </c>
      <c r="AB299" s="26">
        <v>42748</v>
      </c>
      <c r="AC299" s="21" t="s">
        <v>504</v>
      </c>
      <c r="AD299" s="21" t="s">
        <v>505</v>
      </c>
      <c r="AE299" s="21" t="s">
        <v>500</v>
      </c>
      <c r="AF299" s="21" t="s">
        <v>506</v>
      </c>
      <c r="AG299" s="21" t="s">
        <v>1638</v>
      </c>
      <c r="AH299" s="21" t="s">
        <v>1639</v>
      </c>
      <c r="AI299" s="21" t="s">
        <v>3935</v>
      </c>
      <c r="AJ299" s="21" t="s">
        <v>526</v>
      </c>
      <c r="AK299" s="21" t="s">
        <v>494</v>
      </c>
      <c r="AL299" s="21" t="s">
        <v>527</v>
      </c>
      <c r="AM299" s="21" t="s">
        <v>527</v>
      </c>
      <c r="AN299" s="21" t="s">
        <v>527</v>
      </c>
      <c r="AO299" s="21" t="s">
        <v>528</v>
      </c>
      <c r="AS299" s="21" t="s">
        <v>511</v>
      </c>
      <c r="AT299" s="21" t="s">
        <v>512</v>
      </c>
      <c r="AW299" s="21">
        <v>0</v>
      </c>
      <c r="AX299" s="21">
        <v>2</v>
      </c>
      <c r="AY299" s="26"/>
      <c r="AZ299" s="26"/>
      <c r="BB299" s="26"/>
      <c r="BC299" s="21" t="s">
        <v>513</v>
      </c>
      <c r="BD299" s="21" t="s">
        <v>514</v>
      </c>
      <c r="BE299" s="21" t="s">
        <v>514</v>
      </c>
      <c r="BF299" s="21" t="s">
        <v>515</v>
      </c>
      <c r="BG299" s="21">
        <v>1</v>
      </c>
      <c r="BH299" s="21" t="s">
        <v>516</v>
      </c>
      <c r="BI299" s="21" t="s">
        <v>517</v>
      </c>
      <c r="BJ299" s="21" t="s">
        <v>516</v>
      </c>
      <c r="BK299" s="21" t="s">
        <v>516</v>
      </c>
      <c r="BM299" s="21" t="s">
        <v>37</v>
      </c>
      <c r="BN299" s="21" t="s">
        <v>250</v>
      </c>
      <c r="BO299" s="21" t="s">
        <v>518</v>
      </c>
      <c r="BP299" s="21" t="s">
        <v>1044</v>
      </c>
      <c r="BQ299" s="21" t="s">
        <v>37</v>
      </c>
      <c r="BR299" s="21" t="s">
        <v>250</v>
      </c>
      <c r="BS299" s="21" t="s">
        <v>518</v>
      </c>
      <c r="BT299" s="21" t="s">
        <v>1044</v>
      </c>
      <c r="BU299" s="21" t="s">
        <v>250</v>
      </c>
      <c r="CD299" s="21" t="s">
        <v>520</v>
      </c>
      <c r="CF299" s="21" t="s">
        <v>521</v>
      </c>
      <c r="CN299" s="26"/>
      <c r="DB299" s="24" t="s">
        <v>943</v>
      </c>
      <c r="DC299" s="21">
        <v>1</v>
      </c>
      <c r="DD299" s="21">
        <v>3</v>
      </c>
      <c r="DE299" s="22">
        <v>42751</v>
      </c>
      <c r="DF299" s="21" t="s">
        <v>3936</v>
      </c>
      <c r="DG299" s="21" t="s">
        <v>522</v>
      </c>
      <c r="DH299" s="21" t="s">
        <v>3937</v>
      </c>
      <c r="DI299" s="21" t="s">
        <v>495</v>
      </c>
      <c r="DJ299" s="21" t="s">
        <v>520</v>
      </c>
      <c r="DK299" s="26"/>
      <c r="DL299" s="26">
        <v>42760</v>
      </c>
      <c r="DM299" s="26">
        <v>42750</v>
      </c>
      <c r="DN299" s="21">
        <v>3100</v>
      </c>
      <c r="DO299" s="21">
        <v>10</v>
      </c>
      <c r="DP299" s="21">
        <v>1</v>
      </c>
      <c r="DQ299" s="21">
        <v>1</v>
      </c>
      <c r="DR299" s="21">
        <v>7</v>
      </c>
      <c r="DS299" s="21">
        <v>10</v>
      </c>
      <c r="DT299" s="21">
        <v>10</v>
      </c>
      <c r="DU299" s="21">
        <v>10</v>
      </c>
      <c r="DW299" s="21">
        <v>10</v>
      </c>
      <c r="EA299" s="21">
        <v>10</v>
      </c>
      <c r="EF299" s="25">
        <v>1</v>
      </c>
      <c r="EG299" s="25">
        <v>0</v>
      </c>
      <c r="EH299" s="25">
        <v>1</v>
      </c>
      <c r="EI299" s="25">
        <v>0</v>
      </c>
      <c r="EJ299" s="25" t="s">
        <v>62</v>
      </c>
      <c r="EK299" s="25" t="s">
        <v>251</v>
      </c>
      <c r="EL299" s="25" t="s">
        <v>251</v>
      </c>
      <c r="EM299" s="25" t="s">
        <v>276</v>
      </c>
      <c r="EN299" s="25" t="s">
        <v>39</v>
      </c>
      <c r="EO299" s="25" t="s">
        <v>39</v>
      </c>
      <c r="EP299" s="25" t="s">
        <v>92</v>
      </c>
      <c r="EQ299" s="25" t="s">
        <v>92</v>
      </c>
      <c r="ER299" s="25" t="s">
        <v>278</v>
      </c>
      <c r="ES299" s="25" t="s">
        <v>278</v>
      </c>
      <c r="ET299" s="25">
        <v>1</v>
      </c>
      <c r="EU299" s="25" t="s">
        <v>522</v>
      </c>
      <c r="EV299" s="25" t="s">
        <v>251</v>
      </c>
      <c r="EW299" s="25" t="s">
        <v>39</v>
      </c>
      <c r="EX299" s="25" t="s">
        <v>278</v>
      </c>
      <c r="EY299" s="20" t="e">
        <v>#N/A</v>
      </c>
    </row>
    <row r="300" spans="1:155">
      <c r="A300" s="21" t="s">
        <v>491</v>
      </c>
      <c r="B300" s="21" t="s">
        <v>491</v>
      </c>
      <c r="C300" s="21" t="s">
        <v>492</v>
      </c>
      <c r="D300" s="21" t="s">
        <v>493</v>
      </c>
      <c r="E300" s="21" t="s">
        <v>493</v>
      </c>
      <c r="F300" s="21" t="s">
        <v>493</v>
      </c>
      <c r="G300" s="21" t="s">
        <v>3938</v>
      </c>
      <c r="H300" s="21">
        <v>11996024163</v>
      </c>
      <c r="I300" s="21" t="s">
        <v>494</v>
      </c>
      <c r="J300" s="21" t="s">
        <v>3939</v>
      </c>
      <c r="L300" s="21" t="s">
        <v>495</v>
      </c>
      <c r="M300" s="21" t="s">
        <v>3940</v>
      </c>
      <c r="N300" s="21" t="s">
        <v>1981</v>
      </c>
      <c r="O300" s="21" t="s">
        <v>97</v>
      </c>
      <c r="P300" s="21" t="s">
        <v>1040</v>
      </c>
      <c r="Q300" s="21" t="s">
        <v>1752</v>
      </c>
      <c r="R300" s="21" t="s">
        <v>1982</v>
      </c>
      <c r="S300" s="21" t="s">
        <v>1983</v>
      </c>
      <c r="V300" s="21" t="s">
        <v>500</v>
      </c>
      <c r="W300" s="21" t="s">
        <v>501</v>
      </c>
      <c r="X300" s="21" t="s">
        <v>502</v>
      </c>
      <c r="Y300" s="21" t="s">
        <v>503</v>
      </c>
      <c r="Z300" s="21">
        <v>3035749473</v>
      </c>
      <c r="AA300" s="26">
        <v>42748</v>
      </c>
      <c r="AB300" s="26">
        <v>42748</v>
      </c>
      <c r="AC300" s="21" t="s">
        <v>504</v>
      </c>
      <c r="AD300" s="21" t="s">
        <v>505</v>
      </c>
      <c r="AE300" s="21" t="s">
        <v>500</v>
      </c>
      <c r="AF300" s="21" t="s">
        <v>549</v>
      </c>
      <c r="AG300" s="21" t="s">
        <v>555</v>
      </c>
      <c r="AH300" s="21" t="s">
        <v>556</v>
      </c>
      <c r="AI300" s="21" t="s">
        <v>2754</v>
      </c>
      <c r="AJ300" s="21" t="s">
        <v>526</v>
      </c>
      <c r="AK300" s="21" t="s">
        <v>494</v>
      </c>
      <c r="AL300" s="21" t="s">
        <v>527</v>
      </c>
      <c r="AM300" s="21" t="s">
        <v>527</v>
      </c>
      <c r="AN300" s="21" t="s">
        <v>527</v>
      </c>
      <c r="AO300" s="21" t="s">
        <v>528</v>
      </c>
      <c r="AS300" s="21" t="s">
        <v>511</v>
      </c>
      <c r="AT300" s="21" t="s">
        <v>512</v>
      </c>
      <c r="AW300" s="21">
        <v>0</v>
      </c>
      <c r="AX300" s="21">
        <v>2</v>
      </c>
      <c r="AY300" s="26"/>
      <c r="AZ300" s="26"/>
      <c r="BB300" s="26"/>
      <c r="BC300" s="21" t="s">
        <v>513</v>
      </c>
      <c r="BD300" s="21" t="s">
        <v>514</v>
      </c>
      <c r="BE300" s="21" t="s">
        <v>514</v>
      </c>
      <c r="BF300" s="21" t="s">
        <v>515</v>
      </c>
      <c r="BG300" s="21">
        <v>1</v>
      </c>
      <c r="BH300" s="21" t="s">
        <v>516</v>
      </c>
      <c r="BI300" s="21" t="s">
        <v>517</v>
      </c>
      <c r="BJ300" s="21" t="s">
        <v>516</v>
      </c>
      <c r="BK300" s="21" t="s">
        <v>516</v>
      </c>
      <c r="BM300" s="21" t="s">
        <v>34</v>
      </c>
      <c r="BN300" s="21" t="s">
        <v>113</v>
      </c>
      <c r="BO300" s="21" t="s">
        <v>518</v>
      </c>
      <c r="BP300" s="21" t="s">
        <v>2836</v>
      </c>
      <c r="BQ300" s="21" t="s">
        <v>34</v>
      </c>
      <c r="BR300" s="21" t="s">
        <v>113</v>
      </c>
      <c r="BS300" s="21" t="s">
        <v>518</v>
      </c>
      <c r="BT300" s="21" t="s">
        <v>2836</v>
      </c>
      <c r="BU300" s="21" t="s">
        <v>113</v>
      </c>
      <c r="CD300" s="21" t="s">
        <v>520</v>
      </c>
      <c r="CF300" s="21" t="s">
        <v>521</v>
      </c>
      <c r="CN300" s="26"/>
      <c r="DB300" s="24" t="s">
        <v>943</v>
      </c>
      <c r="DC300" s="21">
        <v>1</v>
      </c>
      <c r="DD300" s="21">
        <v>3</v>
      </c>
      <c r="DE300" s="22">
        <v>42751</v>
      </c>
      <c r="DF300" s="21" t="s">
        <v>3941</v>
      </c>
      <c r="DG300" s="21" t="s">
        <v>522</v>
      </c>
      <c r="DH300" s="21" t="s">
        <v>3942</v>
      </c>
      <c r="DI300" s="21" t="s">
        <v>495</v>
      </c>
      <c r="DJ300" s="21" t="s">
        <v>520</v>
      </c>
      <c r="DK300" s="26"/>
      <c r="DL300" s="26">
        <v>42760</v>
      </c>
      <c r="DM300" s="26">
        <v>42750</v>
      </c>
      <c r="DN300" s="21">
        <v>3100</v>
      </c>
      <c r="DO300" s="21">
        <v>7</v>
      </c>
      <c r="DP300" s="21">
        <v>1</v>
      </c>
      <c r="DQ300" s="21">
        <v>1</v>
      </c>
      <c r="DR300" s="21">
        <v>6</v>
      </c>
      <c r="DS300" s="21">
        <v>10</v>
      </c>
      <c r="DT300" s="21">
        <v>10</v>
      </c>
      <c r="DU300" s="21">
        <v>10</v>
      </c>
      <c r="DW300" s="21">
        <v>8</v>
      </c>
      <c r="EA300" s="21">
        <v>8</v>
      </c>
      <c r="EF300" s="25">
        <v>0</v>
      </c>
      <c r="EG300" s="25">
        <v>0</v>
      </c>
      <c r="EH300" s="25">
        <v>0</v>
      </c>
      <c r="EI300" s="25">
        <v>0</v>
      </c>
      <c r="EJ300" s="25" t="s">
        <v>62</v>
      </c>
      <c r="EK300" s="25" t="s">
        <v>114</v>
      </c>
      <c r="EL300" s="25" t="s">
        <v>114</v>
      </c>
      <c r="EM300" s="25" t="s">
        <v>276</v>
      </c>
      <c r="EN300" s="25" t="s">
        <v>31</v>
      </c>
      <c r="EO300" s="25" t="s">
        <v>31</v>
      </c>
      <c r="EP300" s="25" t="s">
        <v>62</v>
      </c>
      <c r="EQ300" s="25" t="s">
        <v>62</v>
      </c>
      <c r="ER300" s="25" t="s">
        <v>278</v>
      </c>
      <c r="ES300" s="25" t="s">
        <v>278</v>
      </c>
      <c r="ET300" s="25">
        <v>1</v>
      </c>
      <c r="EU300" s="25" t="s">
        <v>522</v>
      </c>
      <c r="EV300" s="25" t="s">
        <v>114</v>
      </c>
      <c r="EW300" s="25" t="s">
        <v>31</v>
      </c>
      <c r="EX300" s="25" t="s">
        <v>278</v>
      </c>
      <c r="EY300" s="20" t="e">
        <v>#N/A</v>
      </c>
    </row>
    <row r="301" spans="1:155">
      <c r="A301" s="21" t="s">
        <v>491</v>
      </c>
      <c r="B301" s="21" t="s">
        <v>491</v>
      </c>
      <c r="C301" s="21" t="s">
        <v>492</v>
      </c>
      <c r="D301" s="21" t="s">
        <v>493</v>
      </c>
      <c r="E301" s="21" t="s">
        <v>493</v>
      </c>
      <c r="F301" s="21" t="s">
        <v>493</v>
      </c>
      <c r="G301" s="21" t="s">
        <v>3943</v>
      </c>
      <c r="H301" s="21">
        <v>2122756262</v>
      </c>
      <c r="I301" s="21" t="s">
        <v>494</v>
      </c>
      <c r="J301" s="21" t="s">
        <v>3944</v>
      </c>
      <c r="L301" s="21" t="s">
        <v>495</v>
      </c>
      <c r="M301" s="21" t="s">
        <v>3945</v>
      </c>
      <c r="N301" s="21" t="s">
        <v>496</v>
      </c>
      <c r="O301" s="21" t="s">
        <v>69</v>
      </c>
      <c r="P301" s="21" t="s">
        <v>497</v>
      </c>
      <c r="R301" s="21" t="s">
        <v>498</v>
      </c>
      <c r="S301" s="21" t="s">
        <v>499</v>
      </c>
      <c r="V301" s="21" t="s">
        <v>500</v>
      </c>
      <c r="W301" s="21" t="s">
        <v>501</v>
      </c>
      <c r="X301" s="21" t="s">
        <v>502</v>
      </c>
      <c r="Y301" s="21" t="s">
        <v>503</v>
      </c>
      <c r="Z301" s="21">
        <v>3035748734</v>
      </c>
      <c r="AA301" s="26">
        <v>42748</v>
      </c>
      <c r="AB301" s="26">
        <v>42748</v>
      </c>
      <c r="AC301" s="21" t="s">
        <v>504</v>
      </c>
      <c r="AD301" s="21" t="s">
        <v>505</v>
      </c>
      <c r="AE301" s="21" t="s">
        <v>500</v>
      </c>
      <c r="AF301" s="21" t="s">
        <v>549</v>
      </c>
      <c r="AG301" s="21" t="s">
        <v>555</v>
      </c>
      <c r="AH301" s="21" t="s">
        <v>556</v>
      </c>
      <c r="AI301" s="21" t="s">
        <v>3946</v>
      </c>
      <c r="AJ301" s="21" t="s">
        <v>526</v>
      </c>
      <c r="AK301" s="21" t="s">
        <v>494</v>
      </c>
      <c r="AL301" s="21" t="s">
        <v>527</v>
      </c>
      <c r="AM301" s="21" t="s">
        <v>527</v>
      </c>
      <c r="AN301" s="21" t="s">
        <v>527</v>
      </c>
      <c r="AO301" s="21" t="s">
        <v>528</v>
      </c>
      <c r="AS301" s="21" t="s">
        <v>511</v>
      </c>
      <c r="AT301" s="21" t="s">
        <v>512</v>
      </c>
      <c r="AW301" s="21">
        <v>0</v>
      </c>
      <c r="AX301" s="21">
        <v>3</v>
      </c>
      <c r="AY301" s="26"/>
      <c r="AZ301" s="26"/>
      <c r="BB301" s="26"/>
      <c r="BC301" s="21" t="s">
        <v>513</v>
      </c>
      <c r="BD301" s="21" t="s">
        <v>514</v>
      </c>
      <c r="BE301" s="21" t="s">
        <v>514</v>
      </c>
      <c r="BF301" s="21" t="s">
        <v>515</v>
      </c>
      <c r="BG301" s="21">
        <v>1</v>
      </c>
      <c r="BH301" s="21" t="s">
        <v>516</v>
      </c>
      <c r="BI301" s="21" t="s">
        <v>517</v>
      </c>
      <c r="BJ301" s="21" t="s">
        <v>516</v>
      </c>
      <c r="BK301" s="21" t="s">
        <v>516</v>
      </c>
      <c r="BM301" s="21" t="s">
        <v>35</v>
      </c>
      <c r="BN301" s="21" t="s">
        <v>219</v>
      </c>
      <c r="BO301" s="21" t="s">
        <v>518</v>
      </c>
      <c r="BP301" s="21" t="s">
        <v>1044</v>
      </c>
      <c r="BQ301" s="21" t="s">
        <v>35</v>
      </c>
      <c r="BR301" s="21" t="s">
        <v>219</v>
      </c>
      <c r="BS301" s="21" t="s">
        <v>518</v>
      </c>
      <c r="BT301" s="21" t="s">
        <v>1044</v>
      </c>
      <c r="BU301" s="21" t="s">
        <v>219</v>
      </c>
      <c r="CD301" s="21" t="s">
        <v>520</v>
      </c>
      <c r="CF301" s="21" t="s">
        <v>521</v>
      </c>
      <c r="CN301" s="26"/>
      <c r="DB301" s="24" t="s">
        <v>943</v>
      </c>
      <c r="DC301" s="21">
        <v>1</v>
      </c>
      <c r="DD301" s="21">
        <v>3</v>
      </c>
      <c r="DE301" s="22">
        <v>42751</v>
      </c>
      <c r="DF301" s="21" t="s">
        <v>3947</v>
      </c>
      <c r="DG301" s="21" t="s">
        <v>522</v>
      </c>
      <c r="DH301" s="21" t="s">
        <v>3948</v>
      </c>
      <c r="DI301" s="21" t="s">
        <v>495</v>
      </c>
      <c r="DJ301" s="21" t="s">
        <v>520</v>
      </c>
      <c r="DK301" s="26"/>
      <c r="DL301" s="26">
        <v>42760</v>
      </c>
      <c r="DM301" s="26">
        <v>42750</v>
      </c>
      <c r="DN301" s="21">
        <v>3100</v>
      </c>
      <c r="DO301" s="21">
        <v>10</v>
      </c>
      <c r="DP301" s="21">
        <v>1</v>
      </c>
      <c r="DQ301" s="21">
        <v>2</v>
      </c>
      <c r="DR301" s="21">
        <v>7</v>
      </c>
      <c r="DS301" s="21">
        <v>10</v>
      </c>
      <c r="DT301" s="21">
        <v>10</v>
      </c>
      <c r="DU301" s="21">
        <v>10</v>
      </c>
      <c r="DW301" s="21">
        <v>10</v>
      </c>
      <c r="EA301" s="21">
        <v>10</v>
      </c>
      <c r="EB301" s="21" t="s">
        <v>3949</v>
      </c>
      <c r="EC301" s="21" t="s">
        <v>1221</v>
      </c>
      <c r="EF301" s="25">
        <v>1</v>
      </c>
      <c r="EG301" s="25">
        <v>0</v>
      </c>
      <c r="EH301" s="25">
        <v>1</v>
      </c>
      <c r="EI301" s="25">
        <v>0</v>
      </c>
      <c r="EJ301" s="25" t="s">
        <v>62</v>
      </c>
      <c r="EK301" s="25" t="s">
        <v>220</v>
      </c>
      <c r="EL301" s="25" t="s">
        <v>220</v>
      </c>
      <c r="EM301" s="25" t="s">
        <v>276</v>
      </c>
      <c r="EN301" s="25" t="s">
        <v>31</v>
      </c>
      <c r="EO301" s="25" t="s">
        <v>31</v>
      </c>
      <c r="EP301" s="25" t="s">
        <v>92</v>
      </c>
      <c r="EQ301" s="25" t="s">
        <v>92</v>
      </c>
      <c r="ER301" s="25" t="s">
        <v>278</v>
      </c>
      <c r="ES301" s="25" t="s">
        <v>278</v>
      </c>
      <c r="ET301" s="25">
        <v>1</v>
      </c>
      <c r="EU301" s="25" t="s">
        <v>522</v>
      </c>
      <c r="EV301" s="25" t="s">
        <v>220</v>
      </c>
      <c r="EW301" s="25" t="s">
        <v>31</v>
      </c>
      <c r="EX301" s="25" t="s">
        <v>278</v>
      </c>
      <c r="EY301" s="20" t="e">
        <v>#N/A</v>
      </c>
    </row>
    <row r="302" spans="1:155">
      <c r="A302" s="21" t="s">
        <v>491</v>
      </c>
      <c r="B302" s="21" t="s">
        <v>491</v>
      </c>
      <c r="C302" s="21" t="s">
        <v>492</v>
      </c>
      <c r="D302" s="21" t="s">
        <v>493</v>
      </c>
      <c r="E302" s="21" t="s">
        <v>493</v>
      </c>
      <c r="F302" s="21" t="s">
        <v>493</v>
      </c>
      <c r="G302" s="21" t="s">
        <v>3950</v>
      </c>
      <c r="H302" s="21">
        <v>12991477696</v>
      </c>
      <c r="I302" s="21" t="s">
        <v>494</v>
      </c>
      <c r="J302" s="21" t="s">
        <v>3951</v>
      </c>
      <c r="L302" s="21" t="s">
        <v>495</v>
      </c>
      <c r="M302" s="21" t="s">
        <v>3952</v>
      </c>
      <c r="N302" s="21" t="s">
        <v>496</v>
      </c>
      <c r="O302" s="21" t="s">
        <v>69</v>
      </c>
      <c r="P302" s="21" t="s">
        <v>497</v>
      </c>
      <c r="Q302" s="21" t="s">
        <v>3953</v>
      </c>
      <c r="R302" s="21" t="s">
        <v>498</v>
      </c>
      <c r="S302" s="21" t="s">
        <v>499</v>
      </c>
      <c r="V302" s="21" t="s">
        <v>500</v>
      </c>
      <c r="W302" s="21" t="s">
        <v>501</v>
      </c>
      <c r="X302" s="21" t="s">
        <v>502</v>
      </c>
      <c r="Y302" s="21" t="s">
        <v>503</v>
      </c>
      <c r="Z302" s="21">
        <v>3035752674</v>
      </c>
      <c r="AA302" s="26">
        <v>42748</v>
      </c>
      <c r="AB302" s="26">
        <v>42748</v>
      </c>
      <c r="AC302" s="21" t="s">
        <v>504</v>
      </c>
      <c r="AD302" s="21" t="s">
        <v>505</v>
      </c>
      <c r="AE302" s="21" t="s">
        <v>500</v>
      </c>
      <c r="AF302" s="21" t="s">
        <v>549</v>
      </c>
      <c r="AG302" s="21" t="s">
        <v>1488</v>
      </c>
      <c r="AH302" s="21" t="s">
        <v>1489</v>
      </c>
      <c r="AI302" s="21" t="s">
        <v>3954</v>
      </c>
      <c r="AJ302" s="21" t="s">
        <v>526</v>
      </c>
      <c r="AK302" s="21" t="s">
        <v>494</v>
      </c>
      <c r="AL302" s="21" t="s">
        <v>527</v>
      </c>
      <c r="AM302" s="21" t="s">
        <v>527</v>
      </c>
      <c r="AN302" s="21" t="s">
        <v>527</v>
      </c>
      <c r="AO302" s="21" t="s">
        <v>528</v>
      </c>
      <c r="AS302" s="21" t="s">
        <v>511</v>
      </c>
      <c r="AT302" s="21" t="s">
        <v>512</v>
      </c>
      <c r="AW302" s="21">
        <v>0</v>
      </c>
      <c r="AX302" s="21">
        <v>2</v>
      </c>
      <c r="AY302" s="26"/>
      <c r="AZ302" s="26"/>
      <c r="BB302" s="26"/>
      <c r="BC302" s="21" t="s">
        <v>513</v>
      </c>
      <c r="BD302" s="21" t="s">
        <v>514</v>
      </c>
      <c r="BE302" s="21" t="s">
        <v>514</v>
      </c>
      <c r="BF302" s="21" t="s">
        <v>515</v>
      </c>
      <c r="BG302" s="21">
        <v>1</v>
      </c>
      <c r="BH302" s="21" t="s">
        <v>516</v>
      </c>
      <c r="BI302" s="21" t="s">
        <v>517</v>
      </c>
      <c r="BJ302" s="21" t="s">
        <v>516</v>
      </c>
      <c r="BK302" s="21" t="s">
        <v>516</v>
      </c>
      <c r="BM302" s="21" t="s">
        <v>28</v>
      </c>
      <c r="BN302" s="21" t="s">
        <v>158</v>
      </c>
      <c r="BO302" s="21" t="s">
        <v>518</v>
      </c>
      <c r="BP302" s="21" t="s">
        <v>519</v>
      </c>
      <c r="BQ302" s="21" t="s">
        <v>28</v>
      </c>
      <c r="BR302" s="21" t="s">
        <v>158</v>
      </c>
      <c r="BS302" s="21" t="s">
        <v>518</v>
      </c>
      <c r="BT302" s="21" t="s">
        <v>519</v>
      </c>
      <c r="BU302" s="21" t="s">
        <v>158</v>
      </c>
      <c r="CD302" s="21" t="s">
        <v>520</v>
      </c>
      <c r="CF302" s="21" t="s">
        <v>521</v>
      </c>
      <c r="CN302" s="26"/>
      <c r="DB302" s="24" t="s">
        <v>943</v>
      </c>
      <c r="DC302" s="21">
        <v>1</v>
      </c>
      <c r="DD302" s="21">
        <v>3</v>
      </c>
      <c r="DE302" s="22">
        <v>42751</v>
      </c>
      <c r="DF302" s="21" t="s">
        <v>3955</v>
      </c>
      <c r="DG302" s="21" t="s">
        <v>522</v>
      </c>
      <c r="DH302" s="21" t="s">
        <v>3956</v>
      </c>
      <c r="DI302" s="21" t="s">
        <v>495</v>
      </c>
      <c r="DJ302" s="21" t="s">
        <v>520</v>
      </c>
      <c r="DK302" s="26"/>
      <c r="DL302" s="26">
        <v>42760</v>
      </c>
      <c r="DM302" s="26">
        <v>42750</v>
      </c>
      <c r="DN302" s="21">
        <v>3100</v>
      </c>
      <c r="DO302" s="21">
        <v>10</v>
      </c>
      <c r="DP302" s="21">
        <v>1</v>
      </c>
      <c r="DQ302" s="21">
        <v>1</v>
      </c>
      <c r="DR302" s="21">
        <v>6</v>
      </c>
      <c r="DS302" s="21">
        <v>10</v>
      </c>
      <c r="DT302" s="21">
        <v>10</v>
      </c>
      <c r="DU302" s="21">
        <v>10</v>
      </c>
      <c r="DW302" s="21">
        <v>10</v>
      </c>
      <c r="EA302" s="21">
        <v>10</v>
      </c>
      <c r="EF302" s="25">
        <v>1</v>
      </c>
      <c r="EG302" s="25">
        <v>0</v>
      </c>
      <c r="EH302" s="25">
        <v>1</v>
      </c>
      <c r="EI302" s="25">
        <v>0</v>
      </c>
      <c r="EJ302" s="25" t="s">
        <v>62</v>
      </c>
      <c r="EK302" s="25" t="s">
        <v>159</v>
      </c>
      <c r="EL302" s="25" t="s">
        <v>159</v>
      </c>
      <c r="EM302" s="25" t="s">
        <v>276</v>
      </c>
      <c r="EN302" s="25" t="s">
        <v>9</v>
      </c>
      <c r="EO302" s="25" t="s">
        <v>9</v>
      </c>
      <c r="EP302" s="25" t="s">
        <v>62</v>
      </c>
      <c r="EQ302" s="25" t="s">
        <v>62</v>
      </c>
      <c r="ER302" s="25" t="s">
        <v>278</v>
      </c>
      <c r="ES302" s="25" t="s">
        <v>278</v>
      </c>
      <c r="ET302" s="25">
        <v>1</v>
      </c>
      <c r="EU302" s="25" t="s">
        <v>522</v>
      </c>
      <c r="EV302" s="25" t="s">
        <v>159</v>
      </c>
      <c r="EW302" s="25" t="s">
        <v>9</v>
      </c>
      <c r="EX302" s="25" t="s">
        <v>278</v>
      </c>
      <c r="EY302" s="20" t="e">
        <v>#N/A</v>
      </c>
    </row>
    <row r="303" spans="1:155">
      <c r="A303" s="21" t="s">
        <v>491</v>
      </c>
      <c r="B303" s="21" t="s">
        <v>491</v>
      </c>
      <c r="C303" s="21" t="s">
        <v>492</v>
      </c>
      <c r="D303" s="21" t="s">
        <v>493</v>
      </c>
      <c r="E303" s="21" t="s">
        <v>493</v>
      </c>
      <c r="F303" s="21" t="s">
        <v>493</v>
      </c>
      <c r="G303" s="21" t="s">
        <v>3957</v>
      </c>
      <c r="H303" s="21">
        <v>1141392364</v>
      </c>
      <c r="I303" s="21" t="s">
        <v>494</v>
      </c>
      <c r="J303" s="21" t="s">
        <v>3958</v>
      </c>
      <c r="L303" s="21" t="s">
        <v>495</v>
      </c>
      <c r="M303" s="21" t="s">
        <v>3959</v>
      </c>
      <c r="N303" s="21" t="s">
        <v>496</v>
      </c>
      <c r="O303" s="21" t="s">
        <v>69</v>
      </c>
      <c r="P303" s="21" t="s">
        <v>497</v>
      </c>
      <c r="R303" s="21" t="s">
        <v>498</v>
      </c>
      <c r="S303" s="21" t="s">
        <v>499</v>
      </c>
      <c r="V303" s="21" t="s">
        <v>500</v>
      </c>
      <c r="W303" s="21" t="s">
        <v>501</v>
      </c>
      <c r="X303" s="21" t="s">
        <v>502</v>
      </c>
      <c r="Y303" s="21" t="s">
        <v>503</v>
      </c>
      <c r="Z303" s="21">
        <v>3035766068</v>
      </c>
      <c r="AA303" s="26">
        <v>42748</v>
      </c>
      <c r="AB303" s="26">
        <v>42748</v>
      </c>
      <c r="AC303" s="21" t="s">
        <v>504</v>
      </c>
      <c r="AD303" s="21" t="s">
        <v>505</v>
      </c>
      <c r="AE303" s="21" t="s">
        <v>500</v>
      </c>
      <c r="AF303" s="21" t="s">
        <v>506</v>
      </c>
      <c r="AG303" s="21" t="s">
        <v>581</v>
      </c>
      <c r="AH303" s="21" t="s">
        <v>582</v>
      </c>
      <c r="AI303" s="21" t="s">
        <v>2754</v>
      </c>
      <c r="AJ303" s="21" t="s">
        <v>526</v>
      </c>
      <c r="AK303" s="21" t="s">
        <v>494</v>
      </c>
      <c r="AL303" s="21" t="s">
        <v>527</v>
      </c>
      <c r="AM303" s="21" t="s">
        <v>527</v>
      </c>
      <c r="AN303" s="21" t="s">
        <v>527</v>
      </c>
      <c r="AO303" s="21" t="s">
        <v>528</v>
      </c>
      <c r="AS303" s="21" t="s">
        <v>511</v>
      </c>
      <c r="AT303" s="21" t="s">
        <v>512</v>
      </c>
      <c r="AW303" s="21">
        <v>0</v>
      </c>
      <c r="AX303" s="21">
        <v>3</v>
      </c>
      <c r="AY303" s="26"/>
      <c r="AZ303" s="26"/>
      <c r="BB303" s="26"/>
      <c r="BC303" s="21" t="s">
        <v>513</v>
      </c>
      <c r="BD303" s="21" t="s">
        <v>514</v>
      </c>
      <c r="BE303" s="21" t="s">
        <v>514</v>
      </c>
      <c r="BF303" s="21" t="s">
        <v>515</v>
      </c>
      <c r="BG303" s="21">
        <v>1</v>
      </c>
      <c r="BH303" s="21" t="s">
        <v>516</v>
      </c>
      <c r="BI303" s="21" t="s">
        <v>517</v>
      </c>
      <c r="BJ303" s="21" t="s">
        <v>516</v>
      </c>
      <c r="BK303" s="21" t="s">
        <v>516</v>
      </c>
      <c r="BM303" s="21" t="s">
        <v>46</v>
      </c>
      <c r="BN303" s="21" t="s">
        <v>248</v>
      </c>
      <c r="BO303" s="21" t="s">
        <v>518</v>
      </c>
      <c r="BP303" s="21" t="s">
        <v>519</v>
      </c>
      <c r="BQ303" s="21" t="s">
        <v>46</v>
      </c>
      <c r="BR303" s="21" t="s">
        <v>248</v>
      </c>
      <c r="BS303" s="21" t="s">
        <v>518</v>
      </c>
      <c r="BT303" s="21" t="s">
        <v>519</v>
      </c>
      <c r="BU303" s="21" t="s">
        <v>248</v>
      </c>
      <c r="CD303" s="21" t="s">
        <v>520</v>
      </c>
      <c r="CF303" s="21" t="s">
        <v>521</v>
      </c>
      <c r="CN303" s="26"/>
      <c r="DB303" s="24" t="s">
        <v>943</v>
      </c>
      <c r="DC303" s="21">
        <v>1</v>
      </c>
      <c r="DD303" s="21">
        <v>3</v>
      </c>
      <c r="DE303" s="22">
        <v>42751</v>
      </c>
      <c r="DF303" s="21" t="s">
        <v>3960</v>
      </c>
      <c r="DG303" s="21" t="s">
        <v>522</v>
      </c>
      <c r="DH303" s="21" t="s">
        <v>3961</v>
      </c>
      <c r="DI303" s="21" t="s">
        <v>495</v>
      </c>
      <c r="DJ303" s="21" t="s">
        <v>520</v>
      </c>
      <c r="DK303" s="26"/>
      <c r="DL303" s="26">
        <v>42760</v>
      </c>
      <c r="DM303" s="26">
        <v>42750</v>
      </c>
      <c r="DN303" s="21">
        <v>3100</v>
      </c>
      <c r="DO303" s="21">
        <v>10</v>
      </c>
      <c r="DP303" s="21">
        <v>1</v>
      </c>
      <c r="DQ303" s="21">
        <v>1</v>
      </c>
      <c r="DR303" s="21">
        <v>6</v>
      </c>
      <c r="DS303" s="21">
        <v>10</v>
      </c>
      <c r="DT303" s="21">
        <v>10</v>
      </c>
      <c r="DU303" s="21">
        <v>10</v>
      </c>
      <c r="DW303" s="21">
        <v>10</v>
      </c>
      <c r="EA303" s="21">
        <v>10</v>
      </c>
      <c r="EF303" s="25">
        <v>1</v>
      </c>
      <c r="EG303" s="25">
        <v>0</v>
      </c>
      <c r="EH303" s="25">
        <v>1</v>
      </c>
      <c r="EI303" s="25">
        <v>0</v>
      </c>
      <c r="EJ303" s="25" t="s">
        <v>62</v>
      </c>
      <c r="EK303" s="25" t="s">
        <v>249</v>
      </c>
      <c r="EL303" s="25" t="s">
        <v>249</v>
      </c>
      <c r="EM303" s="25" t="s">
        <v>276</v>
      </c>
      <c r="EN303" s="25" t="s">
        <v>39</v>
      </c>
      <c r="EO303" s="25" t="s">
        <v>39</v>
      </c>
      <c r="EP303" s="25" t="s">
        <v>92</v>
      </c>
      <c r="EQ303" s="25" t="s">
        <v>92</v>
      </c>
      <c r="ER303" s="25" t="s">
        <v>278</v>
      </c>
      <c r="ES303" s="25" t="s">
        <v>278</v>
      </c>
      <c r="ET303" s="25">
        <v>1</v>
      </c>
      <c r="EU303" s="25" t="s">
        <v>522</v>
      </c>
      <c r="EV303" s="25" t="s">
        <v>249</v>
      </c>
      <c r="EW303" s="25" t="s">
        <v>39</v>
      </c>
      <c r="EX303" s="25" t="s">
        <v>278</v>
      </c>
      <c r="EY303" s="20" t="e">
        <v>#N/A</v>
      </c>
    </row>
    <row r="304" spans="1:155">
      <c r="A304" s="21" t="s">
        <v>491</v>
      </c>
      <c r="B304" s="21" t="s">
        <v>491</v>
      </c>
      <c r="C304" s="21" t="s">
        <v>492</v>
      </c>
      <c r="D304" s="21" t="s">
        <v>493</v>
      </c>
      <c r="E304" s="21" t="s">
        <v>493</v>
      </c>
      <c r="F304" s="21" t="s">
        <v>493</v>
      </c>
      <c r="G304" s="21" t="s">
        <v>3962</v>
      </c>
      <c r="H304" s="21">
        <v>2134064239</v>
      </c>
      <c r="I304" s="21" t="s">
        <v>494</v>
      </c>
      <c r="J304" s="21" t="s">
        <v>3963</v>
      </c>
      <c r="L304" s="21" t="s">
        <v>495</v>
      </c>
      <c r="M304" s="21" t="s">
        <v>3964</v>
      </c>
      <c r="N304" s="21" t="s">
        <v>496</v>
      </c>
      <c r="O304" s="21" t="s">
        <v>69</v>
      </c>
      <c r="P304" s="21" t="s">
        <v>497</v>
      </c>
      <c r="R304" s="21" t="s">
        <v>498</v>
      </c>
      <c r="S304" s="21" t="s">
        <v>499</v>
      </c>
      <c r="V304" s="21" t="s">
        <v>500</v>
      </c>
      <c r="W304" s="21" t="s">
        <v>501</v>
      </c>
      <c r="X304" s="21" t="s">
        <v>502</v>
      </c>
      <c r="Y304" s="21" t="s">
        <v>503</v>
      </c>
      <c r="Z304" s="21">
        <v>3035756179</v>
      </c>
      <c r="AA304" s="26">
        <v>42748</v>
      </c>
      <c r="AB304" s="26">
        <v>42748</v>
      </c>
      <c r="AC304" s="21" t="s">
        <v>504</v>
      </c>
      <c r="AD304" s="21" t="s">
        <v>505</v>
      </c>
      <c r="AE304" s="21" t="s">
        <v>1020</v>
      </c>
      <c r="AF304" s="21" t="s">
        <v>1314</v>
      </c>
      <c r="AG304" s="21" t="s">
        <v>1315</v>
      </c>
      <c r="AH304" s="21" t="s">
        <v>1316</v>
      </c>
      <c r="AI304" s="21" t="s">
        <v>3965</v>
      </c>
      <c r="AJ304" s="21" t="s">
        <v>526</v>
      </c>
      <c r="AK304" s="21" t="s">
        <v>494</v>
      </c>
      <c r="AL304" s="21" t="s">
        <v>527</v>
      </c>
      <c r="AM304" s="21" t="s">
        <v>527</v>
      </c>
      <c r="AN304" s="21" t="s">
        <v>527</v>
      </c>
      <c r="AO304" s="21" t="s">
        <v>528</v>
      </c>
      <c r="AS304" s="21" t="s">
        <v>511</v>
      </c>
      <c r="AT304" s="21" t="s">
        <v>512</v>
      </c>
      <c r="AW304" s="21">
        <v>0</v>
      </c>
      <c r="AX304" s="21">
        <v>2</v>
      </c>
      <c r="AY304" s="26"/>
      <c r="AZ304" s="26"/>
      <c r="BB304" s="26"/>
      <c r="BC304" s="21" t="s">
        <v>513</v>
      </c>
      <c r="BD304" s="21" t="s">
        <v>514</v>
      </c>
      <c r="BE304" s="21" t="s">
        <v>514</v>
      </c>
      <c r="BF304" s="21" t="s">
        <v>515</v>
      </c>
      <c r="BG304" s="21">
        <v>1</v>
      </c>
      <c r="BH304" s="21" t="s">
        <v>516</v>
      </c>
      <c r="BI304" s="21" t="s">
        <v>517</v>
      </c>
      <c r="BJ304" s="21" t="s">
        <v>516</v>
      </c>
      <c r="BK304" s="21" t="s">
        <v>516</v>
      </c>
      <c r="BM304" s="21" t="s">
        <v>1525</v>
      </c>
      <c r="BN304" s="21" t="s">
        <v>862</v>
      </c>
      <c r="BO304" s="21" t="s">
        <v>518</v>
      </c>
      <c r="BP304" s="21" t="s">
        <v>519</v>
      </c>
      <c r="BQ304" s="21" t="s">
        <v>1525</v>
      </c>
      <c r="BR304" s="21" t="s">
        <v>862</v>
      </c>
      <c r="BS304" s="21" t="s">
        <v>518</v>
      </c>
      <c r="BT304" s="21" t="s">
        <v>519</v>
      </c>
      <c r="BU304" s="21" t="s">
        <v>862</v>
      </c>
      <c r="CD304" s="21" t="s">
        <v>520</v>
      </c>
      <c r="CF304" s="21" t="s">
        <v>521</v>
      </c>
      <c r="CN304" s="26"/>
      <c r="DB304" s="24" t="s">
        <v>943</v>
      </c>
      <c r="DC304" s="21">
        <v>1</v>
      </c>
      <c r="DD304" s="21">
        <v>3</v>
      </c>
      <c r="DE304" s="22">
        <v>42751</v>
      </c>
      <c r="DF304" s="21" t="s">
        <v>3966</v>
      </c>
      <c r="DG304" s="21" t="s">
        <v>522</v>
      </c>
      <c r="DH304" s="21" t="s">
        <v>3967</v>
      </c>
      <c r="DI304" s="21" t="s">
        <v>495</v>
      </c>
      <c r="DJ304" s="21" t="s">
        <v>520</v>
      </c>
      <c r="DK304" s="26"/>
      <c r="DL304" s="26">
        <v>42760</v>
      </c>
      <c r="DM304" s="26">
        <v>42750</v>
      </c>
      <c r="DN304" s="21">
        <v>3100</v>
      </c>
      <c r="DO304" s="21">
        <v>10</v>
      </c>
      <c r="DP304" s="21">
        <v>1</v>
      </c>
      <c r="DQ304" s="21">
        <v>1</v>
      </c>
      <c r="DR304" s="21">
        <v>7</v>
      </c>
      <c r="DS304" s="21">
        <v>10</v>
      </c>
      <c r="DT304" s="21">
        <v>10</v>
      </c>
      <c r="DU304" s="21">
        <v>10</v>
      </c>
      <c r="DW304" s="21">
        <v>10</v>
      </c>
      <c r="EA304" s="21">
        <v>10</v>
      </c>
      <c r="EB304" s="21" t="s">
        <v>3968</v>
      </c>
      <c r="EC304" s="21" t="s">
        <v>1221</v>
      </c>
      <c r="EF304" s="25">
        <v>1</v>
      </c>
      <c r="EG304" s="25">
        <v>0</v>
      </c>
      <c r="EH304" s="25">
        <v>1</v>
      </c>
      <c r="EI304" s="25">
        <v>0</v>
      </c>
      <c r="EJ304" s="25" t="s">
        <v>62</v>
      </c>
      <c r="EK304" s="25" t="s">
        <v>624</v>
      </c>
      <c r="EL304" s="25" t="s">
        <v>624</v>
      </c>
      <c r="EM304" s="25" t="s">
        <v>276</v>
      </c>
      <c r="EN304" s="25" t="s">
        <v>23</v>
      </c>
      <c r="EO304" s="25" t="s">
        <v>23</v>
      </c>
      <c r="EP304" s="25" t="s">
        <v>62</v>
      </c>
      <c r="EQ304" s="25" t="s">
        <v>62</v>
      </c>
      <c r="ER304" s="25" t="s">
        <v>278</v>
      </c>
      <c r="ES304" s="25" t="s">
        <v>278</v>
      </c>
      <c r="ET304" s="25">
        <v>1</v>
      </c>
      <c r="EU304" s="25" t="s">
        <v>522</v>
      </c>
      <c r="EV304" s="25" t="s">
        <v>624</v>
      </c>
      <c r="EW304" s="25" t="s">
        <v>23</v>
      </c>
      <c r="EX304" s="25" t="s">
        <v>278</v>
      </c>
      <c r="EY304" s="20" t="e">
        <v>#N/A</v>
      </c>
    </row>
    <row r="305" spans="1:155">
      <c r="A305" s="21" t="s">
        <v>491</v>
      </c>
      <c r="B305" s="21" t="s">
        <v>491</v>
      </c>
      <c r="C305" s="21" t="s">
        <v>492</v>
      </c>
      <c r="D305" s="21" t="s">
        <v>493</v>
      </c>
      <c r="E305" s="21" t="s">
        <v>493</v>
      </c>
      <c r="F305" s="21" t="s">
        <v>493</v>
      </c>
      <c r="G305" s="21" t="s">
        <v>3969</v>
      </c>
      <c r="H305" s="21" t="s">
        <v>494</v>
      </c>
      <c r="I305" s="21" t="s">
        <v>494</v>
      </c>
      <c r="J305" s="21" t="s">
        <v>3970</v>
      </c>
      <c r="L305" s="21" t="s">
        <v>495</v>
      </c>
      <c r="M305" s="21" t="s">
        <v>3971</v>
      </c>
      <c r="N305" s="21" t="s">
        <v>1017</v>
      </c>
      <c r="O305" s="21" t="s">
        <v>98</v>
      </c>
      <c r="P305" s="21" t="s">
        <v>553</v>
      </c>
      <c r="R305" s="21" t="s">
        <v>1018</v>
      </c>
      <c r="S305" s="21" t="s">
        <v>1019</v>
      </c>
      <c r="V305" s="21" t="s">
        <v>500</v>
      </c>
      <c r="W305" s="21" t="s">
        <v>501</v>
      </c>
      <c r="X305" s="21" t="s">
        <v>502</v>
      </c>
      <c r="Y305" s="21" t="s">
        <v>554</v>
      </c>
      <c r="Z305" s="21">
        <v>3035751120</v>
      </c>
      <c r="AA305" s="26">
        <v>42748</v>
      </c>
      <c r="AB305" s="26">
        <v>42748</v>
      </c>
      <c r="AC305" s="21" t="s">
        <v>504</v>
      </c>
      <c r="AD305" s="21" t="s">
        <v>505</v>
      </c>
      <c r="AE305" s="21" t="s">
        <v>1020</v>
      </c>
      <c r="AF305" s="21" t="s">
        <v>1314</v>
      </c>
      <c r="AG305" s="21" t="s">
        <v>1315</v>
      </c>
      <c r="AH305" s="21" t="s">
        <v>1316</v>
      </c>
      <c r="AI305" s="21" t="s">
        <v>3972</v>
      </c>
      <c r="AJ305" s="21" t="s">
        <v>526</v>
      </c>
      <c r="AK305" s="21" t="s">
        <v>494</v>
      </c>
      <c r="AL305" s="21" t="s">
        <v>527</v>
      </c>
      <c r="AM305" s="21" t="s">
        <v>527</v>
      </c>
      <c r="AN305" s="21" t="s">
        <v>527</v>
      </c>
      <c r="AO305" s="21" t="s">
        <v>528</v>
      </c>
      <c r="AS305" s="21" t="s">
        <v>511</v>
      </c>
      <c r="AT305" s="21" t="s">
        <v>512</v>
      </c>
      <c r="AW305" s="21">
        <v>0</v>
      </c>
      <c r="AX305" s="21">
        <v>3</v>
      </c>
      <c r="AY305" s="26"/>
      <c r="AZ305" s="26"/>
      <c r="BB305" s="26"/>
      <c r="BC305" s="21" t="s">
        <v>513</v>
      </c>
      <c r="BD305" s="21" t="s">
        <v>514</v>
      </c>
      <c r="BE305" s="21" t="s">
        <v>514</v>
      </c>
      <c r="BF305" s="21" t="s">
        <v>515</v>
      </c>
      <c r="BG305" s="21">
        <v>1</v>
      </c>
      <c r="BH305" s="21" t="s">
        <v>516</v>
      </c>
      <c r="BI305" s="21" t="s">
        <v>517</v>
      </c>
      <c r="BJ305" s="21" t="s">
        <v>516</v>
      </c>
      <c r="BK305" s="21" t="s">
        <v>516</v>
      </c>
      <c r="BM305" s="21" t="s">
        <v>54</v>
      </c>
      <c r="BN305" s="21" t="s">
        <v>259</v>
      </c>
      <c r="BO305" s="21" t="s">
        <v>518</v>
      </c>
      <c r="BP305" s="21" t="s">
        <v>519</v>
      </c>
      <c r="BQ305" s="21" t="s">
        <v>54</v>
      </c>
      <c r="BR305" s="21" t="s">
        <v>259</v>
      </c>
      <c r="BS305" s="21" t="s">
        <v>518</v>
      </c>
      <c r="BT305" s="21" t="s">
        <v>519</v>
      </c>
      <c r="BU305" s="21" t="s">
        <v>259</v>
      </c>
      <c r="CD305" s="21" t="s">
        <v>520</v>
      </c>
      <c r="CF305" s="21" t="s">
        <v>521</v>
      </c>
      <c r="CN305" s="26"/>
      <c r="DB305" s="24" t="s">
        <v>943</v>
      </c>
      <c r="DC305" s="21">
        <v>1</v>
      </c>
      <c r="DD305" s="21">
        <v>3</v>
      </c>
      <c r="DE305" s="22">
        <v>42751</v>
      </c>
      <c r="DF305" s="21" t="s">
        <v>3973</v>
      </c>
      <c r="DG305" s="21" t="s">
        <v>522</v>
      </c>
      <c r="DH305" s="21" t="s">
        <v>3974</v>
      </c>
      <c r="DI305" s="21" t="s">
        <v>495</v>
      </c>
      <c r="DJ305" s="21" t="s">
        <v>520</v>
      </c>
      <c r="DK305" s="26"/>
      <c r="DL305" s="26">
        <v>42760</v>
      </c>
      <c r="DM305" s="26">
        <v>42750</v>
      </c>
      <c r="DN305" s="21">
        <v>3100</v>
      </c>
      <c r="DO305" s="21">
        <v>10</v>
      </c>
      <c r="DP305" s="21">
        <v>1</v>
      </c>
      <c r="DQ305" s="21">
        <v>1</v>
      </c>
      <c r="DR305" s="21">
        <v>7</v>
      </c>
      <c r="DS305" s="21">
        <v>10</v>
      </c>
      <c r="DT305" s="21">
        <v>10</v>
      </c>
      <c r="DU305" s="21">
        <v>10</v>
      </c>
      <c r="DW305" s="21">
        <v>10</v>
      </c>
      <c r="EA305" s="21">
        <v>10</v>
      </c>
      <c r="EB305" s="21" t="s">
        <v>3975</v>
      </c>
      <c r="EC305" s="21" t="s">
        <v>4037</v>
      </c>
      <c r="EF305" s="25">
        <v>1</v>
      </c>
      <c r="EG305" s="25">
        <v>0</v>
      </c>
      <c r="EH305" s="25">
        <v>1</v>
      </c>
      <c r="EI305" s="25">
        <v>0</v>
      </c>
      <c r="EJ305" s="25" t="s">
        <v>62</v>
      </c>
      <c r="EK305" s="25" t="s">
        <v>276</v>
      </c>
      <c r="EL305" s="25" t="s">
        <v>276</v>
      </c>
      <c r="EM305" s="25" t="s">
        <v>276</v>
      </c>
      <c r="EN305" s="25" t="s">
        <v>276</v>
      </c>
      <c r="EO305" s="25" t="s">
        <v>276</v>
      </c>
      <c r="EP305" s="25" t="s">
        <v>276</v>
      </c>
      <c r="EQ305" s="25" t="s">
        <v>276</v>
      </c>
      <c r="ER305" s="25" t="s">
        <v>276</v>
      </c>
      <c r="ES305" s="25" t="s">
        <v>276</v>
      </c>
      <c r="ET305" s="25">
        <v>1</v>
      </c>
      <c r="EU305" s="25" t="s">
        <v>522</v>
      </c>
      <c r="EV305" s="25" t="s">
        <v>276</v>
      </c>
      <c r="EW305" s="25" t="s">
        <v>276</v>
      </c>
      <c r="EX305" s="25" t="s">
        <v>276</v>
      </c>
      <c r="EY305" s="20" t="s">
        <v>273</v>
      </c>
    </row>
    <row r="306" spans="1:155">
      <c r="A306" s="21" t="s">
        <v>491</v>
      </c>
      <c r="B306" s="21" t="s">
        <v>491</v>
      </c>
      <c r="C306" s="21" t="s">
        <v>492</v>
      </c>
      <c r="D306" s="21" t="s">
        <v>493</v>
      </c>
      <c r="E306" s="21" t="s">
        <v>493</v>
      </c>
      <c r="F306" s="21" t="s">
        <v>493</v>
      </c>
      <c r="G306" s="21" t="s">
        <v>3976</v>
      </c>
      <c r="H306" s="21">
        <v>6232045570</v>
      </c>
      <c r="I306" s="21" t="s">
        <v>494</v>
      </c>
      <c r="J306" s="21" t="s">
        <v>3977</v>
      </c>
      <c r="L306" s="21" t="s">
        <v>495</v>
      </c>
      <c r="M306" s="21" t="s">
        <v>3978</v>
      </c>
      <c r="N306" s="21" t="s">
        <v>2266</v>
      </c>
      <c r="O306" s="21" t="s">
        <v>93</v>
      </c>
      <c r="P306" s="21" t="s">
        <v>539</v>
      </c>
      <c r="Q306" s="21" t="s">
        <v>1168</v>
      </c>
      <c r="R306" s="21" t="s">
        <v>2267</v>
      </c>
      <c r="S306" s="21" t="s">
        <v>1388</v>
      </c>
      <c r="V306" s="21" t="s">
        <v>277</v>
      </c>
      <c r="W306" s="21" t="s">
        <v>524</v>
      </c>
      <c r="X306" s="21" t="s">
        <v>525</v>
      </c>
      <c r="Y306" s="21" t="s">
        <v>530</v>
      </c>
      <c r="Z306" s="21">
        <v>3035712639</v>
      </c>
      <c r="AA306" s="26">
        <v>42747</v>
      </c>
      <c r="AB306" s="26">
        <v>42748</v>
      </c>
      <c r="AC306" s="21" t="s">
        <v>504</v>
      </c>
      <c r="AD306" s="21" t="s">
        <v>505</v>
      </c>
      <c r="AE306" s="21" t="s">
        <v>1156</v>
      </c>
      <c r="AF306" s="21" t="s">
        <v>1191</v>
      </c>
      <c r="AG306" s="21" t="s">
        <v>3979</v>
      </c>
      <c r="AH306" s="21" t="s">
        <v>3980</v>
      </c>
      <c r="AI306" s="21" t="s">
        <v>3981</v>
      </c>
      <c r="AJ306" s="21" t="s">
        <v>507</v>
      </c>
      <c r="AK306" s="21" t="s">
        <v>494</v>
      </c>
      <c r="AL306" s="21" t="s">
        <v>508</v>
      </c>
      <c r="AM306" s="21" t="s">
        <v>509</v>
      </c>
      <c r="AN306" s="21" t="s">
        <v>509</v>
      </c>
      <c r="AO306" s="21" t="s">
        <v>510</v>
      </c>
      <c r="AS306" s="21" t="s">
        <v>511</v>
      </c>
      <c r="AT306" s="21" t="s">
        <v>512</v>
      </c>
      <c r="AW306" s="21">
        <v>0</v>
      </c>
      <c r="AX306" s="21">
        <v>5</v>
      </c>
      <c r="AY306" s="26"/>
      <c r="AZ306" s="26"/>
      <c r="BB306" s="26"/>
      <c r="BC306" s="21" t="s">
        <v>513</v>
      </c>
      <c r="BD306" s="21" t="s">
        <v>514</v>
      </c>
      <c r="BE306" s="21" t="s">
        <v>514</v>
      </c>
      <c r="BF306" s="21" t="s">
        <v>515</v>
      </c>
      <c r="BG306" s="21">
        <v>1</v>
      </c>
      <c r="BH306" s="21" t="s">
        <v>516</v>
      </c>
      <c r="BI306" s="21" t="s">
        <v>517</v>
      </c>
      <c r="BJ306" s="21" t="s">
        <v>516</v>
      </c>
      <c r="BK306" s="21" t="s">
        <v>516</v>
      </c>
      <c r="BM306" s="21" t="s">
        <v>1519</v>
      </c>
      <c r="BN306" s="21" t="s">
        <v>221</v>
      </c>
      <c r="BO306" s="21" t="s">
        <v>518</v>
      </c>
      <c r="BP306" s="21" t="s">
        <v>1044</v>
      </c>
      <c r="BQ306" s="21" t="s">
        <v>33</v>
      </c>
      <c r="BR306" s="21" t="s">
        <v>209</v>
      </c>
      <c r="BS306" s="21" t="s">
        <v>518</v>
      </c>
      <c r="BT306" s="21" t="s">
        <v>1044</v>
      </c>
      <c r="BU306" s="21" t="s">
        <v>221</v>
      </c>
      <c r="CD306" s="21" t="s">
        <v>520</v>
      </c>
      <c r="CF306" s="21" t="s">
        <v>521</v>
      </c>
      <c r="CN306" s="26"/>
      <c r="DB306" s="24" t="s">
        <v>943</v>
      </c>
      <c r="DC306" s="21">
        <v>1</v>
      </c>
      <c r="DD306" s="21">
        <v>3</v>
      </c>
      <c r="DE306" s="22">
        <v>42751</v>
      </c>
      <c r="DF306" s="21" t="s">
        <v>3982</v>
      </c>
      <c r="DG306" s="21" t="s">
        <v>522</v>
      </c>
      <c r="DH306" s="21" t="s">
        <v>3983</v>
      </c>
      <c r="DI306" s="21" t="s">
        <v>495</v>
      </c>
      <c r="DJ306" s="21" t="s">
        <v>520</v>
      </c>
      <c r="DK306" s="26"/>
      <c r="DL306" s="26">
        <v>42760</v>
      </c>
      <c r="DM306" s="26">
        <v>42750</v>
      </c>
      <c r="DN306" s="21">
        <v>1100</v>
      </c>
      <c r="DO306" s="21">
        <v>10</v>
      </c>
      <c r="DP306" s="21">
        <v>1</v>
      </c>
      <c r="DQ306" s="21">
        <v>1</v>
      </c>
      <c r="DR306" s="21">
        <v>7</v>
      </c>
      <c r="DS306" s="21">
        <v>10</v>
      </c>
      <c r="DT306" s="21">
        <v>10</v>
      </c>
      <c r="DU306" s="21">
        <v>10</v>
      </c>
      <c r="DW306" s="21">
        <v>10</v>
      </c>
      <c r="EA306" s="21">
        <v>10</v>
      </c>
      <c r="EF306" s="25">
        <v>1</v>
      </c>
      <c r="EG306" s="25">
        <v>0</v>
      </c>
      <c r="EH306" s="25">
        <v>1</v>
      </c>
      <c r="EI306" s="25">
        <v>0</v>
      </c>
      <c r="EJ306" s="25" t="s">
        <v>92</v>
      </c>
      <c r="EK306" s="25" t="s">
        <v>222</v>
      </c>
      <c r="EL306" s="25" t="s">
        <v>210</v>
      </c>
      <c r="EM306" s="25" t="s">
        <v>276</v>
      </c>
      <c r="EN306" s="25" t="s">
        <v>31</v>
      </c>
      <c r="EO306" s="25" t="s">
        <v>31</v>
      </c>
      <c r="EP306" s="25" t="s">
        <v>92</v>
      </c>
      <c r="EQ306" s="25" t="s">
        <v>529</v>
      </c>
      <c r="ER306" s="25" t="s">
        <v>278</v>
      </c>
      <c r="ES306" s="25" t="s">
        <v>278</v>
      </c>
      <c r="ET306" s="25">
        <v>1</v>
      </c>
      <c r="EU306" s="25" t="s">
        <v>522</v>
      </c>
      <c r="EV306" s="25" t="s">
        <v>279</v>
      </c>
      <c r="EW306" s="25" t="s">
        <v>279</v>
      </c>
      <c r="EX306" s="25" t="s">
        <v>279</v>
      </c>
      <c r="EY306" s="20" t="e">
        <v>#N/A</v>
      </c>
    </row>
    <row r="307" spans="1:155">
      <c r="A307" s="21" t="s">
        <v>491</v>
      </c>
      <c r="B307" s="21" t="s">
        <v>491</v>
      </c>
      <c r="C307" s="21" t="s">
        <v>492</v>
      </c>
      <c r="D307" s="21" t="s">
        <v>493</v>
      </c>
      <c r="E307" s="21" t="s">
        <v>493</v>
      </c>
      <c r="F307" s="21" t="s">
        <v>493</v>
      </c>
      <c r="G307" s="21" t="s">
        <v>3984</v>
      </c>
      <c r="H307" s="21">
        <v>1634724661</v>
      </c>
      <c r="I307" s="21" t="s">
        <v>494</v>
      </c>
      <c r="J307" s="21" t="s">
        <v>3985</v>
      </c>
      <c r="L307" s="21" t="s">
        <v>495</v>
      </c>
      <c r="M307" s="21" t="s">
        <v>3986</v>
      </c>
      <c r="N307" s="21" t="s">
        <v>1258</v>
      </c>
      <c r="O307" s="21" t="s">
        <v>69</v>
      </c>
      <c r="P307" s="21" t="s">
        <v>497</v>
      </c>
      <c r="R307" s="21" t="s">
        <v>1259</v>
      </c>
      <c r="S307" s="21" t="s">
        <v>1260</v>
      </c>
      <c r="V307" s="21" t="s">
        <v>500</v>
      </c>
      <c r="W307" s="21" t="s">
        <v>501</v>
      </c>
      <c r="X307" s="21" t="s">
        <v>502</v>
      </c>
      <c r="Y307" s="21" t="s">
        <v>503</v>
      </c>
      <c r="Z307" s="21">
        <v>3035758970</v>
      </c>
      <c r="AA307" s="26">
        <v>42748</v>
      </c>
      <c r="AB307" s="26">
        <v>42748</v>
      </c>
      <c r="AC307" s="21" t="s">
        <v>504</v>
      </c>
      <c r="AD307" s="21" t="s">
        <v>505</v>
      </c>
      <c r="AE307" s="21" t="s">
        <v>500</v>
      </c>
      <c r="AF307" s="21" t="s">
        <v>549</v>
      </c>
      <c r="AG307" s="21" t="s">
        <v>587</v>
      </c>
      <c r="AH307" s="21" t="s">
        <v>579</v>
      </c>
      <c r="AI307" s="21" t="s">
        <v>3987</v>
      </c>
      <c r="AJ307" s="21" t="s">
        <v>526</v>
      </c>
      <c r="AK307" s="21" t="s">
        <v>494</v>
      </c>
      <c r="AL307" s="21" t="s">
        <v>527</v>
      </c>
      <c r="AM307" s="21" t="s">
        <v>527</v>
      </c>
      <c r="AN307" s="21" t="s">
        <v>527</v>
      </c>
      <c r="AO307" s="21" t="s">
        <v>528</v>
      </c>
      <c r="AS307" s="21" t="s">
        <v>511</v>
      </c>
      <c r="AT307" s="21" t="s">
        <v>512</v>
      </c>
      <c r="AW307" s="21">
        <v>0</v>
      </c>
      <c r="AX307" s="21">
        <v>2</v>
      </c>
      <c r="AY307" s="26"/>
      <c r="AZ307" s="26"/>
      <c r="BB307" s="26"/>
      <c r="BC307" s="21" t="s">
        <v>513</v>
      </c>
      <c r="BD307" s="21" t="s">
        <v>514</v>
      </c>
      <c r="BE307" s="21" t="s">
        <v>514</v>
      </c>
      <c r="BF307" s="21" t="s">
        <v>515</v>
      </c>
      <c r="BG307" s="21">
        <v>1</v>
      </c>
      <c r="BH307" s="21" t="s">
        <v>516</v>
      </c>
      <c r="BI307" s="21" t="s">
        <v>517</v>
      </c>
      <c r="BJ307" s="21" t="s">
        <v>516</v>
      </c>
      <c r="BK307" s="21" t="s">
        <v>516</v>
      </c>
      <c r="BM307" s="21" t="s">
        <v>846</v>
      </c>
      <c r="BN307" s="21" t="s">
        <v>854</v>
      </c>
      <c r="BO307" s="21" t="s">
        <v>518</v>
      </c>
      <c r="BP307" s="21" t="s">
        <v>519</v>
      </c>
      <c r="BQ307" s="21" t="s">
        <v>846</v>
      </c>
      <c r="BR307" s="21" t="s">
        <v>854</v>
      </c>
      <c r="BS307" s="21" t="s">
        <v>518</v>
      </c>
      <c r="BT307" s="21" t="s">
        <v>519</v>
      </c>
      <c r="BU307" s="21" t="s">
        <v>854</v>
      </c>
      <c r="CD307" s="21" t="s">
        <v>520</v>
      </c>
      <c r="CF307" s="21" t="s">
        <v>521</v>
      </c>
      <c r="CN307" s="26"/>
      <c r="DB307" s="24" t="s">
        <v>943</v>
      </c>
      <c r="DC307" s="21">
        <v>1</v>
      </c>
      <c r="DD307" s="21">
        <v>3</v>
      </c>
      <c r="DE307" s="22">
        <v>42751</v>
      </c>
      <c r="DF307" s="21" t="s">
        <v>3988</v>
      </c>
      <c r="DG307" s="21" t="s">
        <v>522</v>
      </c>
      <c r="DH307" s="21" t="s">
        <v>3989</v>
      </c>
      <c r="DI307" s="21" t="s">
        <v>495</v>
      </c>
      <c r="DJ307" s="21" t="s">
        <v>520</v>
      </c>
      <c r="DK307" s="26"/>
      <c r="DL307" s="26">
        <v>42760</v>
      </c>
      <c r="DM307" s="26">
        <v>42750</v>
      </c>
      <c r="DN307" s="21">
        <v>3100</v>
      </c>
      <c r="DO307" s="21">
        <v>10</v>
      </c>
      <c r="DP307" s="21">
        <v>1</v>
      </c>
      <c r="DQ307" s="21">
        <v>1</v>
      </c>
      <c r="DR307" s="21">
        <v>7</v>
      </c>
      <c r="DS307" s="21">
        <v>10</v>
      </c>
      <c r="DT307" s="21">
        <v>10</v>
      </c>
      <c r="DU307" s="21">
        <v>10</v>
      </c>
      <c r="DW307" s="21">
        <v>10</v>
      </c>
      <c r="EA307" s="21">
        <v>10</v>
      </c>
      <c r="EB307" s="21" t="s">
        <v>3990</v>
      </c>
      <c r="EC307" s="21" t="s">
        <v>4038</v>
      </c>
      <c r="EF307" s="25">
        <v>1</v>
      </c>
      <c r="EG307" s="25">
        <v>0</v>
      </c>
      <c r="EH307" s="25">
        <v>1</v>
      </c>
      <c r="EI307" s="25">
        <v>0</v>
      </c>
      <c r="EJ307" s="25" t="s">
        <v>62</v>
      </c>
      <c r="EK307" s="25" t="s">
        <v>276</v>
      </c>
      <c r="EL307" s="25" t="s">
        <v>276</v>
      </c>
      <c r="EM307" s="25" t="s">
        <v>276</v>
      </c>
      <c r="EN307" s="25" t="s">
        <v>276</v>
      </c>
      <c r="EO307" s="25" t="s">
        <v>276</v>
      </c>
      <c r="EP307" s="25" t="s">
        <v>276</v>
      </c>
      <c r="EQ307" s="25" t="s">
        <v>276</v>
      </c>
      <c r="ER307" s="25" t="s">
        <v>276</v>
      </c>
      <c r="ES307" s="25" t="s">
        <v>276</v>
      </c>
      <c r="ET307" s="25">
        <v>1</v>
      </c>
      <c r="EU307" s="25" t="s">
        <v>522</v>
      </c>
      <c r="EV307" s="25" t="s">
        <v>276</v>
      </c>
      <c r="EW307" s="25" t="s">
        <v>276</v>
      </c>
      <c r="EX307" s="25" t="s">
        <v>276</v>
      </c>
      <c r="EY307" s="20" t="s">
        <v>273</v>
      </c>
    </row>
    <row r="308" spans="1:155">
      <c r="A308" s="21" t="s">
        <v>491</v>
      </c>
      <c r="B308" s="21" t="s">
        <v>491</v>
      </c>
      <c r="C308" s="21" t="s">
        <v>492</v>
      </c>
      <c r="D308" s="21" t="s">
        <v>493</v>
      </c>
      <c r="E308" s="21" t="s">
        <v>493</v>
      </c>
      <c r="F308" s="21" t="s">
        <v>493</v>
      </c>
      <c r="G308" s="21" t="s">
        <v>3991</v>
      </c>
      <c r="H308" s="21" t="s">
        <v>3992</v>
      </c>
      <c r="I308" s="21" t="s">
        <v>494</v>
      </c>
      <c r="J308" s="21" t="s">
        <v>3993</v>
      </c>
      <c r="L308" s="21" t="s">
        <v>495</v>
      </c>
      <c r="M308" s="21" t="s">
        <v>3994</v>
      </c>
      <c r="N308" s="21" t="s">
        <v>1103</v>
      </c>
      <c r="O308" s="21" t="s">
        <v>93</v>
      </c>
      <c r="P308" s="21" t="s">
        <v>539</v>
      </c>
      <c r="R308" s="21" t="s">
        <v>1104</v>
      </c>
      <c r="S308" s="21" t="s">
        <v>559</v>
      </c>
      <c r="V308" s="21" t="s">
        <v>277</v>
      </c>
      <c r="W308" s="21" t="s">
        <v>524</v>
      </c>
      <c r="X308" s="21" t="s">
        <v>525</v>
      </c>
      <c r="Y308" s="21" t="s">
        <v>530</v>
      </c>
      <c r="Z308" s="21">
        <v>3035732998</v>
      </c>
      <c r="AA308" s="26">
        <v>42747</v>
      </c>
      <c r="AB308" s="26">
        <v>42748</v>
      </c>
      <c r="AC308" s="21" t="s">
        <v>504</v>
      </c>
      <c r="AD308" s="21" t="s">
        <v>505</v>
      </c>
      <c r="AE308" s="21" t="s">
        <v>1054</v>
      </c>
      <c r="AF308" s="21" t="s">
        <v>1105</v>
      </c>
      <c r="AG308" s="21" t="s">
        <v>1285</v>
      </c>
      <c r="AH308" s="21" t="s">
        <v>1286</v>
      </c>
      <c r="AI308" s="21" t="s">
        <v>3995</v>
      </c>
      <c r="AJ308" s="21" t="s">
        <v>526</v>
      </c>
      <c r="AK308" s="21" t="s">
        <v>494</v>
      </c>
      <c r="AL308" s="21" t="s">
        <v>527</v>
      </c>
      <c r="AM308" s="21" t="s">
        <v>527</v>
      </c>
      <c r="AN308" s="21" t="s">
        <v>527</v>
      </c>
      <c r="AO308" s="21" t="s">
        <v>528</v>
      </c>
      <c r="AS308" s="21" t="s">
        <v>511</v>
      </c>
      <c r="AT308" s="21" t="s">
        <v>512</v>
      </c>
      <c r="AW308" s="21">
        <v>0</v>
      </c>
      <c r="AX308" s="21">
        <v>4</v>
      </c>
      <c r="AY308" s="26"/>
      <c r="AZ308" s="26"/>
      <c r="BB308" s="26"/>
      <c r="BC308" s="21" t="s">
        <v>513</v>
      </c>
      <c r="BD308" s="21" t="s">
        <v>514</v>
      </c>
      <c r="BE308" s="21" t="s">
        <v>514</v>
      </c>
      <c r="BF308" s="21" t="s">
        <v>515</v>
      </c>
      <c r="BG308" s="21">
        <v>1</v>
      </c>
      <c r="BH308" s="21" t="s">
        <v>516</v>
      </c>
      <c r="BI308" s="21" t="s">
        <v>517</v>
      </c>
      <c r="BJ308" s="21" t="s">
        <v>516</v>
      </c>
      <c r="BK308" s="21" t="s">
        <v>516</v>
      </c>
      <c r="BM308" s="21" t="s">
        <v>1453</v>
      </c>
      <c r="BN308" s="21" t="s">
        <v>231</v>
      </c>
      <c r="BO308" s="21" t="s">
        <v>518</v>
      </c>
      <c r="BP308" s="21" t="s">
        <v>1044</v>
      </c>
      <c r="BQ308" s="21" t="s">
        <v>38</v>
      </c>
      <c r="BR308" s="21" t="s">
        <v>238</v>
      </c>
      <c r="BS308" s="21" t="s">
        <v>518</v>
      </c>
      <c r="BT308" s="21" t="s">
        <v>1044</v>
      </c>
      <c r="BU308" s="21" t="s">
        <v>231</v>
      </c>
      <c r="CD308" s="21" t="s">
        <v>520</v>
      </c>
      <c r="CF308" s="21" t="s">
        <v>521</v>
      </c>
      <c r="CN308" s="26"/>
      <c r="DB308" s="24" t="s">
        <v>943</v>
      </c>
      <c r="DC308" s="21">
        <v>1</v>
      </c>
      <c r="DD308" s="21">
        <v>3</v>
      </c>
      <c r="DE308" s="22">
        <v>42751</v>
      </c>
      <c r="DF308" s="21" t="s">
        <v>3996</v>
      </c>
      <c r="DG308" s="21" t="s">
        <v>522</v>
      </c>
      <c r="DH308" s="21" t="s">
        <v>3997</v>
      </c>
      <c r="DI308" s="21" t="s">
        <v>495</v>
      </c>
      <c r="DJ308" s="21" t="s">
        <v>520</v>
      </c>
      <c r="DK308" s="26"/>
      <c r="DL308" s="26">
        <v>42760</v>
      </c>
      <c r="DM308" s="26">
        <v>42750</v>
      </c>
      <c r="DN308" s="21">
        <v>1100</v>
      </c>
      <c r="DO308" s="21">
        <v>10</v>
      </c>
      <c r="DP308" s="21">
        <v>1</v>
      </c>
      <c r="DQ308" s="21">
        <v>1</v>
      </c>
      <c r="DR308" s="21">
        <v>7</v>
      </c>
      <c r="DS308" s="21">
        <v>10</v>
      </c>
      <c r="DT308" s="21">
        <v>10</v>
      </c>
      <c r="DU308" s="21">
        <v>10</v>
      </c>
      <c r="DW308" s="21">
        <v>10</v>
      </c>
      <c r="EA308" s="21">
        <v>10</v>
      </c>
      <c r="EB308" s="21" t="s">
        <v>3998</v>
      </c>
      <c r="EC308" s="21" t="s">
        <v>1226</v>
      </c>
      <c r="EF308" s="25">
        <v>1</v>
      </c>
      <c r="EG308" s="25">
        <v>0</v>
      </c>
      <c r="EH308" s="25">
        <v>1</v>
      </c>
      <c r="EI308" s="25">
        <v>0</v>
      </c>
      <c r="EJ308" s="25" t="s">
        <v>92</v>
      </c>
      <c r="EK308" s="25" t="s">
        <v>232</v>
      </c>
      <c r="EL308" s="25" t="s">
        <v>239</v>
      </c>
      <c r="EM308" s="25" t="s">
        <v>276</v>
      </c>
      <c r="EN308" s="25" t="s">
        <v>39</v>
      </c>
      <c r="EO308" s="25" t="s">
        <v>39</v>
      </c>
      <c r="EP308" s="25" t="s">
        <v>92</v>
      </c>
      <c r="EQ308" s="25" t="s">
        <v>529</v>
      </c>
      <c r="ER308" s="25" t="s">
        <v>278</v>
      </c>
      <c r="ES308" s="25" t="s">
        <v>278</v>
      </c>
      <c r="ET308" s="25">
        <v>1</v>
      </c>
      <c r="EU308" s="25" t="s">
        <v>522</v>
      </c>
      <c r="EV308" s="25" t="s">
        <v>279</v>
      </c>
      <c r="EW308" s="25" t="s">
        <v>279</v>
      </c>
      <c r="EX308" s="25" t="s">
        <v>279</v>
      </c>
      <c r="EY308" s="20" t="e">
        <v>#N/A</v>
      </c>
    </row>
    <row r="309" spans="1:155">
      <c r="A309" s="21" t="s">
        <v>491</v>
      </c>
      <c r="B309" s="21" t="s">
        <v>491</v>
      </c>
      <c r="C309" s="21" t="s">
        <v>492</v>
      </c>
      <c r="D309" s="21" t="s">
        <v>493</v>
      </c>
      <c r="E309" s="21" t="s">
        <v>493</v>
      </c>
      <c r="F309" s="21" t="s">
        <v>493</v>
      </c>
      <c r="G309" s="21" t="s">
        <v>4039</v>
      </c>
      <c r="H309" s="21">
        <v>32480285</v>
      </c>
      <c r="I309" s="21" t="s">
        <v>494</v>
      </c>
      <c r="J309" s="21" t="s">
        <v>4040</v>
      </c>
      <c r="L309" s="21" t="s">
        <v>495</v>
      </c>
      <c r="M309" s="21" t="s">
        <v>4041</v>
      </c>
      <c r="N309" s="21" t="s">
        <v>4042</v>
      </c>
      <c r="O309" s="21" t="s">
        <v>69</v>
      </c>
      <c r="P309" s="21" t="s">
        <v>497</v>
      </c>
      <c r="R309" s="21" t="s">
        <v>4043</v>
      </c>
      <c r="S309" s="21" t="s">
        <v>4044</v>
      </c>
      <c r="V309" s="21" t="s">
        <v>500</v>
      </c>
      <c r="W309" s="21" t="s">
        <v>501</v>
      </c>
      <c r="X309" s="21" t="s">
        <v>502</v>
      </c>
      <c r="Y309" s="21" t="s">
        <v>503</v>
      </c>
      <c r="Z309" s="21">
        <v>3035549488</v>
      </c>
      <c r="AA309" s="26">
        <v>42741</v>
      </c>
      <c r="AB309" s="26">
        <v>42741</v>
      </c>
      <c r="AC309" s="21" t="s">
        <v>504</v>
      </c>
      <c r="AD309" s="21" t="s">
        <v>505</v>
      </c>
      <c r="AE309" s="21" t="s">
        <v>500</v>
      </c>
      <c r="AF309" s="21" t="s">
        <v>564</v>
      </c>
      <c r="AG309" s="21" t="s">
        <v>571</v>
      </c>
      <c r="AH309" s="21" t="s">
        <v>572</v>
      </c>
      <c r="AI309" s="21" t="s">
        <v>4045</v>
      </c>
      <c r="AJ309" s="21" t="s">
        <v>507</v>
      </c>
      <c r="AK309" s="21" t="s">
        <v>494</v>
      </c>
      <c r="AL309" s="21" t="s">
        <v>508</v>
      </c>
      <c r="AM309" s="21" t="s">
        <v>509</v>
      </c>
      <c r="AN309" s="21" t="s">
        <v>509</v>
      </c>
      <c r="AO309" s="21" t="s">
        <v>510</v>
      </c>
      <c r="AS309" s="21" t="s">
        <v>511</v>
      </c>
      <c r="AT309" s="21" t="s">
        <v>512</v>
      </c>
      <c r="AW309" s="21">
        <v>0</v>
      </c>
      <c r="AX309" s="21">
        <v>4</v>
      </c>
      <c r="AY309" s="26"/>
      <c r="AZ309" s="26"/>
      <c r="BB309" s="26"/>
      <c r="BC309" s="21" t="s">
        <v>513</v>
      </c>
      <c r="BD309" s="21" t="s">
        <v>514</v>
      </c>
      <c r="BE309" s="21" t="s">
        <v>514</v>
      </c>
      <c r="BF309" s="21" t="s">
        <v>515</v>
      </c>
      <c r="BG309" s="21">
        <v>1</v>
      </c>
      <c r="BH309" s="21" t="s">
        <v>516</v>
      </c>
      <c r="BI309" s="21" t="s">
        <v>517</v>
      </c>
      <c r="BJ309" s="21" t="s">
        <v>516</v>
      </c>
      <c r="BK309" s="21" t="s">
        <v>516</v>
      </c>
      <c r="BM309" s="21" t="s">
        <v>1525</v>
      </c>
      <c r="BN309" s="21" t="s">
        <v>862</v>
      </c>
      <c r="BO309" s="21" t="s">
        <v>518</v>
      </c>
      <c r="BP309" s="21" t="s">
        <v>519</v>
      </c>
      <c r="BQ309" s="21" t="s">
        <v>1525</v>
      </c>
      <c r="BR309" s="21" t="s">
        <v>862</v>
      </c>
      <c r="BS309" s="21" t="s">
        <v>518</v>
      </c>
      <c r="BT309" s="21" t="s">
        <v>519</v>
      </c>
      <c r="BU309" s="21" t="s">
        <v>862</v>
      </c>
      <c r="CD309" s="21" t="s">
        <v>520</v>
      </c>
      <c r="CF309" s="21" t="s">
        <v>521</v>
      </c>
      <c r="CN309" s="26"/>
      <c r="DB309" s="24" t="s">
        <v>943</v>
      </c>
      <c r="DC309" s="21">
        <v>1</v>
      </c>
      <c r="DD309" s="21">
        <v>3</v>
      </c>
      <c r="DE309" s="22">
        <v>42752</v>
      </c>
      <c r="DF309" s="21" t="s">
        <v>4046</v>
      </c>
      <c r="DG309" s="21" t="s">
        <v>522</v>
      </c>
      <c r="DH309" s="21" t="s">
        <v>4047</v>
      </c>
      <c r="DI309" s="21" t="s">
        <v>495</v>
      </c>
      <c r="DJ309" s="21" t="s">
        <v>523</v>
      </c>
      <c r="DK309" s="26"/>
      <c r="DL309" s="26">
        <v>42753</v>
      </c>
      <c r="DM309" s="26">
        <v>42743</v>
      </c>
      <c r="DN309" s="21">
        <v>3100</v>
      </c>
      <c r="DO309" s="21">
        <v>10</v>
      </c>
      <c r="DP309" s="21">
        <v>1</v>
      </c>
      <c r="DQ309" s="21">
        <v>1</v>
      </c>
      <c r="DR309" s="21">
        <v>6</v>
      </c>
      <c r="DS309" s="21">
        <v>8</v>
      </c>
      <c r="DT309" s="21">
        <v>6</v>
      </c>
      <c r="DU309" s="21">
        <v>5</v>
      </c>
      <c r="DW309" s="21">
        <v>5</v>
      </c>
      <c r="EA309" s="21">
        <v>10</v>
      </c>
      <c r="EF309" s="25">
        <v>1</v>
      </c>
      <c r="EG309" s="25">
        <v>0</v>
      </c>
      <c r="EH309" s="25">
        <v>1</v>
      </c>
      <c r="EI309" s="25">
        <v>0</v>
      </c>
      <c r="EJ309" s="25" t="s">
        <v>62</v>
      </c>
      <c r="EK309" s="25" t="s">
        <v>624</v>
      </c>
      <c r="EL309" s="25" t="s">
        <v>624</v>
      </c>
      <c r="EM309" s="25" t="s">
        <v>276</v>
      </c>
      <c r="EN309" s="25" t="s">
        <v>23</v>
      </c>
      <c r="EO309" s="25" t="s">
        <v>23</v>
      </c>
      <c r="EP309" s="25" t="s">
        <v>62</v>
      </c>
      <c r="EQ309" s="25" t="s">
        <v>62</v>
      </c>
      <c r="ER309" s="25" t="s">
        <v>278</v>
      </c>
      <c r="ES309" s="25" t="s">
        <v>278</v>
      </c>
      <c r="ET309" s="25">
        <v>1</v>
      </c>
      <c r="EU309" s="25" t="s">
        <v>522</v>
      </c>
      <c r="EV309" s="25" t="s">
        <v>624</v>
      </c>
      <c r="EW309" s="25" t="s">
        <v>23</v>
      </c>
      <c r="EX309" s="25" t="s">
        <v>278</v>
      </c>
      <c r="EY309" s="20" t="e">
        <v>#N/A</v>
      </c>
    </row>
    <row r="310" spans="1:155">
      <c r="A310" s="21" t="s">
        <v>491</v>
      </c>
      <c r="B310" s="21" t="s">
        <v>491</v>
      </c>
      <c r="C310" s="21" t="s">
        <v>492</v>
      </c>
      <c r="D310" s="21" t="s">
        <v>493</v>
      </c>
      <c r="E310" s="21" t="s">
        <v>493</v>
      </c>
      <c r="F310" s="21" t="s">
        <v>493</v>
      </c>
      <c r="G310" s="21" t="s">
        <v>4048</v>
      </c>
      <c r="H310" s="21">
        <v>8335125126</v>
      </c>
      <c r="I310" s="21" t="s">
        <v>494</v>
      </c>
      <c r="J310" s="21" t="s">
        <v>4049</v>
      </c>
      <c r="L310" s="21" t="s">
        <v>495</v>
      </c>
      <c r="M310" s="21" t="s">
        <v>4050</v>
      </c>
      <c r="N310" s="21" t="s">
        <v>4051</v>
      </c>
      <c r="O310" s="21" t="s">
        <v>69</v>
      </c>
      <c r="P310" s="21" t="s">
        <v>497</v>
      </c>
      <c r="Q310" s="21" t="s">
        <v>1168</v>
      </c>
      <c r="R310" s="21" t="s">
        <v>4052</v>
      </c>
      <c r="S310" s="21" t="s">
        <v>4053</v>
      </c>
      <c r="V310" s="21" t="s">
        <v>500</v>
      </c>
      <c r="W310" s="21" t="s">
        <v>501</v>
      </c>
      <c r="X310" s="21" t="s">
        <v>502</v>
      </c>
      <c r="Y310" s="21" t="s">
        <v>503</v>
      </c>
      <c r="Z310" s="21">
        <v>3035644540</v>
      </c>
      <c r="AA310" s="26">
        <v>42745</v>
      </c>
      <c r="AB310" s="26">
        <v>42745</v>
      </c>
      <c r="AC310" s="21" t="s">
        <v>504</v>
      </c>
      <c r="AD310" s="21" t="s">
        <v>505</v>
      </c>
      <c r="AE310" s="21" t="s">
        <v>500</v>
      </c>
      <c r="AF310" s="21" t="s">
        <v>549</v>
      </c>
      <c r="AG310" s="21" t="s">
        <v>1972</v>
      </c>
      <c r="AH310" s="21" t="s">
        <v>1973</v>
      </c>
      <c r="AI310" s="21" t="s">
        <v>4054</v>
      </c>
      <c r="AJ310" s="21" t="s">
        <v>526</v>
      </c>
      <c r="AK310" s="21" t="s">
        <v>494</v>
      </c>
      <c r="AL310" s="21" t="s">
        <v>508</v>
      </c>
      <c r="AM310" s="21" t="s">
        <v>509</v>
      </c>
      <c r="AN310" s="21" t="s">
        <v>509</v>
      </c>
      <c r="AO310" s="21" t="s">
        <v>510</v>
      </c>
      <c r="AS310" s="21" t="s">
        <v>511</v>
      </c>
      <c r="AT310" s="21" t="s">
        <v>512</v>
      </c>
      <c r="AW310" s="21">
        <v>0</v>
      </c>
      <c r="AX310" s="21">
        <v>3</v>
      </c>
      <c r="AY310" s="26"/>
      <c r="AZ310" s="26"/>
      <c r="BB310" s="26"/>
      <c r="BC310" s="21" t="s">
        <v>513</v>
      </c>
      <c r="BD310" s="21" t="s">
        <v>514</v>
      </c>
      <c r="BE310" s="21" t="s">
        <v>514</v>
      </c>
      <c r="BF310" s="21" t="s">
        <v>515</v>
      </c>
      <c r="BG310" s="21">
        <v>1</v>
      </c>
      <c r="BH310" s="21" t="s">
        <v>516</v>
      </c>
      <c r="BI310" s="21" t="s">
        <v>517</v>
      </c>
      <c r="BJ310" s="21" t="s">
        <v>516</v>
      </c>
      <c r="BK310" s="21" t="s">
        <v>516</v>
      </c>
      <c r="BM310" s="21" t="s">
        <v>1374</v>
      </c>
      <c r="BN310" s="21" t="s">
        <v>206</v>
      </c>
      <c r="BO310" s="21" t="s">
        <v>518</v>
      </c>
      <c r="BP310" s="21" t="s">
        <v>519</v>
      </c>
      <c r="BQ310" s="21" t="s">
        <v>1374</v>
      </c>
      <c r="BR310" s="21" t="s">
        <v>206</v>
      </c>
      <c r="BS310" s="21" t="s">
        <v>518</v>
      </c>
      <c r="BT310" s="21" t="s">
        <v>519</v>
      </c>
      <c r="BU310" s="21" t="s">
        <v>206</v>
      </c>
      <c r="CD310" s="21" t="s">
        <v>520</v>
      </c>
      <c r="CF310" s="21" t="s">
        <v>521</v>
      </c>
      <c r="CN310" s="26"/>
      <c r="DB310" s="24" t="s">
        <v>943</v>
      </c>
      <c r="DC310" s="21">
        <v>1</v>
      </c>
      <c r="DD310" s="21">
        <v>3</v>
      </c>
      <c r="DE310" s="22">
        <v>42752</v>
      </c>
      <c r="DF310" s="21" t="s">
        <v>4055</v>
      </c>
      <c r="DG310" s="21" t="s">
        <v>522</v>
      </c>
      <c r="DH310" s="21" t="s">
        <v>4056</v>
      </c>
      <c r="DI310" s="21" t="s">
        <v>495</v>
      </c>
      <c r="DJ310" s="21" t="s">
        <v>523</v>
      </c>
      <c r="DK310" s="26"/>
      <c r="DL310" s="26">
        <v>42757</v>
      </c>
      <c r="DM310" s="26">
        <v>42747</v>
      </c>
      <c r="DN310" s="21">
        <v>3100</v>
      </c>
      <c r="DO310" s="21">
        <v>10</v>
      </c>
      <c r="DP310" s="21">
        <v>1</v>
      </c>
      <c r="DQ310" s="21">
        <v>2</v>
      </c>
      <c r="DR310" s="21">
        <v>6</v>
      </c>
      <c r="DS310" s="21">
        <v>9</v>
      </c>
      <c r="DT310" s="21">
        <v>10</v>
      </c>
      <c r="DU310" s="21">
        <v>10</v>
      </c>
      <c r="DW310" s="21">
        <v>9</v>
      </c>
      <c r="EA310" s="21">
        <v>9</v>
      </c>
      <c r="EB310" s="21" t="s">
        <v>4057</v>
      </c>
      <c r="EC310" s="21" t="s">
        <v>1221</v>
      </c>
      <c r="EF310" s="25">
        <v>1</v>
      </c>
      <c r="EG310" s="25">
        <v>0</v>
      </c>
      <c r="EH310" s="25">
        <v>1</v>
      </c>
      <c r="EI310" s="25">
        <v>0</v>
      </c>
      <c r="EJ310" s="25" t="s">
        <v>62</v>
      </c>
      <c r="EK310" s="25" t="s">
        <v>207</v>
      </c>
      <c r="EL310" s="25" t="s">
        <v>207</v>
      </c>
      <c r="EM310" s="25" t="s">
        <v>276</v>
      </c>
      <c r="EN310" s="25" t="s">
        <v>31</v>
      </c>
      <c r="EO310" s="25" t="s">
        <v>31</v>
      </c>
      <c r="EP310" s="25" t="s">
        <v>92</v>
      </c>
      <c r="EQ310" s="25" t="s">
        <v>92</v>
      </c>
      <c r="ER310" s="25" t="s">
        <v>278</v>
      </c>
      <c r="ES310" s="25" t="s">
        <v>278</v>
      </c>
      <c r="ET310" s="25">
        <v>1</v>
      </c>
      <c r="EU310" s="25" t="s">
        <v>522</v>
      </c>
      <c r="EV310" s="25" t="s">
        <v>207</v>
      </c>
      <c r="EW310" s="25" t="s">
        <v>31</v>
      </c>
      <c r="EX310" s="25" t="s">
        <v>278</v>
      </c>
      <c r="EY310" s="20" t="e">
        <v>#N/A</v>
      </c>
    </row>
    <row r="311" spans="1:155">
      <c r="A311" s="21" t="s">
        <v>491</v>
      </c>
      <c r="B311" s="21" t="s">
        <v>491</v>
      </c>
      <c r="C311" s="21" t="s">
        <v>492</v>
      </c>
      <c r="D311" s="21" t="s">
        <v>493</v>
      </c>
      <c r="E311" s="21" t="s">
        <v>493</v>
      </c>
      <c r="F311" s="21" t="s">
        <v>493</v>
      </c>
      <c r="G311" s="21" t="s">
        <v>4058</v>
      </c>
      <c r="H311" s="21">
        <v>11984604169</v>
      </c>
      <c r="I311" s="21" t="s">
        <v>494</v>
      </c>
      <c r="J311" s="21" t="s">
        <v>4059</v>
      </c>
      <c r="L311" s="21" t="s">
        <v>495</v>
      </c>
      <c r="M311" s="21" t="s">
        <v>4060</v>
      </c>
      <c r="N311" s="21" t="s">
        <v>496</v>
      </c>
      <c r="O311" s="21" t="s">
        <v>69</v>
      </c>
      <c r="P311" s="21" t="s">
        <v>497</v>
      </c>
      <c r="R311" s="21" t="s">
        <v>498</v>
      </c>
      <c r="S311" s="21" t="s">
        <v>499</v>
      </c>
      <c r="V311" s="21" t="s">
        <v>500</v>
      </c>
      <c r="W311" s="21" t="s">
        <v>501</v>
      </c>
      <c r="X311" s="21" t="s">
        <v>502</v>
      </c>
      <c r="Y311" s="21" t="s">
        <v>503</v>
      </c>
      <c r="Z311" s="21">
        <v>3035571430</v>
      </c>
      <c r="AA311" s="26">
        <v>42742</v>
      </c>
      <c r="AB311" s="26">
        <v>42745</v>
      </c>
      <c r="AC311" s="21" t="s">
        <v>504</v>
      </c>
      <c r="AD311" s="21" t="s">
        <v>505</v>
      </c>
      <c r="AE311" s="21" t="s">
        <v>1020</v>
      </c>
      <c r="AF311" s="21" t="s">
        <v>1021</v>
      </c>
      <c r="AG311" s="21" t="s">
        <v>1340</v>
      </c>
      <c r="AH311" s="21" t="s">
        <v>1341</v>
      </c>
      <c r="AI311" s="21" t="s">
        <v>4061</v>
      </c>
      <c r="AJ311" s="21" t="s">
        <v>507</v>
      </c>
      <c r="AK311" s="21" t="s">
        <v>494</v>
      </c>
      <c r="AL311" s="21" t="s">
        <v>527</v>
      </c>
      <c r="AM311" s="21" t="s">
        <v>527</v>
      </c>
      <c r="AN311" s="21" t="s">
        <v>527</v>
      </c>
      <c r="AO311" s="21" t="s">
        <v>528</v>
      </c>
      <c r="AS311" s="21" t="s">
        <v>511</v>
      </c>
      <c r="AT311" s="21" t="s">
        <v>512</v>
      </c>
      <c r="AW311" s="21">
        <v>0</v>
      </c>
      <c r="AX311" s="21">
        <v>0</v>
      </c>
      <c r="AY311" s="26"/>
      <c r="AZ311" s="26"/>
      <c r="BB311" s="26"/>
      <c r="BC311" s="21" t="s">
        <v>513</v>
      </c>
      <c r="BD311" s="21" t="s">
        <v>514</v>
      </c>
      <c r="BE311" s="21" t="s">
        <v>514</v>
      </c>
      <c r="BF311" s="21" t="s">
        <v>1351</v>
      </c>
      <c r="BG311" s="21">
        <v>1</v>
      </c>
      <c r="BH311" s="21" t="s">
        <v>516</v>
      </c>
      <c r="BI311" s="21" t="s">
        <v>517</v>
      </c>
      <c r="BJ311" s="21" t="s">
        <v>516</v>
      </c>
      <c r="BK311" s="21" t="s">
        <v>516</v>
      </c>
      <c r="BM311" s="21" t="s">
        <v>281</v>
      </c>
      <c r="BN311" s="21" t="s">
        <v>142</v>
      </c>
      <c r="BO311" s="21" t="s">
        <v>518</v>
      </c>
      <c r="BP311" s="21" t="s">
        <v>519</v>
      </c>
      <c r="BQ311" s="21" t="s">
        <v>281</v>
      </c>
      <c r="BR311" s="21" t="s">
        <v>142</v>
      </c>
      <c r="BS311" s="21" t="s">
        <v>518</v>
      </c>
      <c r="BT311" s="21" t="s">
        <v>519</v>
      </c>
      <c r="BU311" s="21" t="s">
        <v>142</v>
      </c>
      <c r="CD311" s="21" t="s">
        <v>520</v>
      </c>
      <c r="CF311" s="21" t="s">
        <v>521</v>
      </c>
      <c r="CN311" s="26"/>
      <c r="DB311" s="24" t="s">
        <v>943</v>
      </c>
      <c r="DC311" s="21">
        <v>1</v>
      </c>
      <c r="DD311" s="21">
        <v>3</v>
      </c>
      <c r="DE311" s="22">
        <v>42752</v>
      </c>
      <c r="DF311" s="21" t="s">
        <v>4062</v>
      </c>
      <c r="DG311" s="21" t="s">
        <v>522</v>
      </c>
      <c r="DH311" s="21" t="s">
        <v>4063</v>
      </c>
      <c r="DI311" s="21" t="s">
        <v>495</v>
      </c>
      <c r="DJ311" s="21" t="s">
        <v>523</v>
      </c>
      <c r="DK311" s="26"/>
      <c r="DL311" s="26">
        <v>42757</v>
      </c>
      <c r="DM311" s="26">
        <v>42747</v>
      </c>
      <c r="DN311" s="21">
        <v>3100</v>
      </c>
      <c r="DO311" s="21">
        <v>10</v>
      </c>
      <c r="DP311" s="21">
        <v>1</v>
      </c>
      <c r="DQ311" s="21">
        <v>1</v>
      </c>
      <c r="DR311" s="21">
        <v>5</v>
      </c>
      <c r="DS311" s="21">
        <v>10</v>
      </c>
      <c r="DT311" s="21">
        <v>10</v>
      </c>
      <c r="DU311" s="21">
        <v>10</v>
      </c>
      <c r="DW311" s="21">
        <v>10</v>
      </c>
      <c r="EA311" s="21">
        <v>10</v>
      </c>
      <c r="EB311" s="21" t="s">
        <v>4064</v>
      </c>
      <c r="EC311" s="21" t="s">
        <v>1221</v>
      </c>
      <c r="EF311" s="25">
        <v>1</v>
      </c>
      <c r="EG311" s="25">
        <v>0</v>
      </c>
      <c r="EH311" s="25">
        <v>1</v>
      </c>
      <c r="EI311" s="25">
        <v>0</v>
      </c>
      <c r="EJ311" s="25" t="s">
        <v>62</v>
      </c>
      <c r="EK311" s="25" t="s">
        <v>143</v>
      </c>
      <c r="EL311" s="25" t="s">
        <v>143</v>
      </c>
      <c r="EM311" s="25" t="s">
        <v>276</v>
      </c>
      <c r="EN311" s="25" t="s">
        <v>51</v>
      </c>
      <c r="EO311" s="25" t="s">
        <v>51</v>
      </c>
      <c r="EP311" s="25" t="s">
        <v>1355</v>
      </c>
      <c r="EQ311" s="25" t="s">
        <v>1355</v>
      </c>
      <c r="ER311" s="25" t="s">
        <v>278</v>
      </c>
      <c r="ES311" s="25" t="s">
        <v>278</v>
      </c>
      <c r="ET311" s="25">
        <v>1</v>
      </c>
      <c r="EU311" s="25" t="s">
        <v>522</v>
      </c>
      <c r="EV311" s="25" t="s">
        <v>143</v>
      </c>
      <c r="EW311" s="25" t="s">
        <v>51</v>
      </c>
      <c r="EX311" s="25" t="s">
        <v>278</v>
      </c>
      <c r="EY311" s="20" t="e">
        <v>#N/A</v>
      </c>
    </row>
    <row r="312" spans="1:155">
      <c r="A312" s="21" t="s">
        <v>491</v>
      </c>
      <c r="B312" s="21" t="s">
        <v>491</v>
      </c>
      <c r="C312" s="21" t="s">
        <v>492</v>
      </c>
      <c r="D312" s="21" t="s">
        <v>493</v>
      </c>
      <c r="E312" s="21" t="s">
        <v>493</v>
      </c>
      <c r="F312" s="21" t="s">
        <v>493</v>
      </c>
      <c r="G312" s="21" t="s">
        <v>4065</v>
      </c>
      <c r="H312" s="21">
        <v>12988300055</v>
      </c>
      <c r="I312" s="21" t="s">
        <v>494</v>
      </c>
      <c r="J312" s="21" t="s">
        <v>4066</v>
      </c>
      <c r="L312" s="21" t="s">
        <v>495</v>
      </c>
      <c r="M312" s="21" t="s">
        <v>4067</v>
      </c>
      <c r="N312" s="21" t="s">
        <v>1051</v>
      </c>
      <c r="O312" s="21" t="s">
        <v>93</v>
      </c>
      <c r="P312" s="21" t="s">
        <v>539</v>
      </c>
      <c r="Q312" s="21" t="s">
        <v>1168</v>
      </c>
      <c r="R312" s="21" t="s">
        <v>1052</v>
      </c>
      <c r="S312" s="21" t="s">
        <v>1053</v>
      </c>
      <c r="V312" s="21" t="s">
        <v>277</v>
      </c>
      <c r="W312" s="21" t="s">
        <v>524</v>
      </c>
      <c r="X312" s="21" t="s">
        <v>525</v>
      </c>
      <c r="Y312" s="21" t="s">
        <v>530</v>
      </c>
      <c r="Z312" s="21">
        <v>3035623536</v>
      </c>
      <c r="AA312" s="26">
        <v>42744</v>
      </c>
      <c r="AB312" s="26">
        <v>42745</v>
      </c>
      <c r="AC312" s="21" t="s">
        <v>504</v>
      </c>
      <c r="AD312" s="21" t="s">
        <v>505</v>
      </c>
      <c r="AE312" s="21" t="s">
        <v>1054</v>
      </c>
      <c r="AF312" s="21" t="s">
        <v>1105</v>
      </c>
      <c r="AG312" s="21" t="s">
        <v>1415</v>
      </c>
      <c r="AH312" s="21" t="s">
        <v>1416</v>
      </c>
      <c r="AI312" s="21" t="s">
        <v>1372</v>
      </c>
      <c r="AJ312" s="21" t="s">
        <v>526</v>
      </c>
      <c r="AK312" s="21" t="s">
        <v>494</v>
      </c>
      <c r="AL312" s="21" t="s">
        <v>527</v>
      </c>
      <c r="AM312" s="21" t="s">
        <v>527</v>
      </c>
      <c r="AN312" s="21" t="s">
        <v>527</v>
      </c>
      <c r="AO312" s="21" t="s">
        <v>528</v>
      </c>
      <c r="AS312" s="21" t="s">
        <v>511</v>
      </c>
      <c r="AT312" s="21" t="s">
        <v>512</v>
      </c>
      <c r="AW312" s="21">
        <v>0</v>
      </c>
      <c r="AX312" s="21">
        <v>4</v>
      </c>
      <c r="AY312" s="26"/>
      <c r="AZ312" s="26"/>
      <c r="BB312" s="26"/>
      <c r="BC312" s="21" t="s">
        <v>513</v>
      </c>
      <c r="BD312" s="21" t="s">
        <v>514</v>
      </c>
      <c r="BE312" s="21" t="s">
        <v>514</v>
      </c>
      <c r="BF312" s="21" t="s">
        <v>515</v>
      </c>
      <c r="BG312" s="21">
        <v>1</v>
      </c>
      <c r="BH312" s="21" t="s">
        <v>516</v>
      </c>
      <c r="BI312" s="21" t="s">
        <v>517</v>
      </c>
      <c r="BJ312" s="21" t="s">
        <v>516</v>
      </c>
      <c r="BK312" s="21" t="s">
        <v>516</v>
      </c>
      <c r="BM312" s="21" t="s">
        <v>1288</v>
      </c>
      <c r="BN312" s="21" t="s">
        <v>234</v>
      </c>
      <c r="BO312" s="21" t="s">
        <v>518</v>
      </c>
      <c r="BP312" s="21" t="s">
        <v>1044</v>
      </c>
      <c r="BQ312" s="21" t="s">
        <v>38</v>
      </c>
      <c r="BR312" s="21" t="s">
        <v>238</v>
      </c>
      <c r="BS312" s="21" t="s">
        <v>518</v>
      </c>
      <c r="BT312" s="21" t="s">
        <v>1044</v>
      </c>
      <c r="BU312" s="21" t="s">
        <v>234</v>
      </c>
      <c r="CD312" s="21" t="s">
        <v>520</v>
      </c>
      <c r="CF312" s="21" t="s">
        <v>521</v>
      </c>
      <c r="CN312" s="26"/>
      <c r="DB312" s="24" t="s">
        <v>943</v>
      </c>
      <c r="DC312" s="21">
        <v>1</v>
      </c>
      <c r="DD312" s="21">
        <v>3</v>
      </c>
      <c r="DE312" s="22">
        <v>42752</v>
      </c>
      <c r="DF312" s="21" t="s">
        <v>1605</v>
      </c>
      <c r="DG312" s="21" t="s">
        <v>522</v>
      </c>
      <c r="DH312" s="21" t="s">
        <v>4068</v>
      </c>
      <c r="DI312" s="21" t="s">
        <v>495</v>
      </c>
      <c r="DJ312" s="21" t="s">
        <v>520</v>
      </c>
      <c r="DK312" s="26"/>
      <c r="DL312" s="26">
        <v>42757</v>
      </c>
      <c r="DM312" s="26">
        <v>42747</v>
      </c>
      <c r="DN312" s="21">
        <v>1100</v>
      </c>
      <c r="DO312" s="21">
        <v>8</v>
      </c>
      <c r="DP312" s="21">
        <v>2</v>
      </c>
      <c r="DQ312" s="21">
        <v>2</v>
      </c>
      <c r="DR312" s="21">
        <v>4</v>
      </c>
      <c r="DS312" s="21">
        <v>8</v>
      </c>
      <c r="DT312" s="21">
        <v>8</v>
      </c>
      <c r="DU312" s="21">
        <v>8</v>
      </c>
      <c r="DW312" s="21">
        <v>7</v>
      </c>
      <c r="EA312" s="21">
        <v>0</v>
      </c>
      <c r="EB312" s="21" t="s">
        <v>4069</v>
      </c>
      <c r="EC312" s="21" t="s">
        <v>4268</v>
      </c>
      <c r="EF312" s="25">
        <v>0</v>
      </c>
      <c r="EG312" s="25">
        <v>1</v>
      </c>
      <c r="EH312" s="25">
        <v>0</v>
      </c>
      <c r="EI312" s="25">
        <v>0</v>
      </c>
      <c r="EJ312" s="25" t="s">
        <v>92</v>
      </c>
      <c r="EK312" s="25" t="s">
        <v>235</v>
      </c>
      <c r="EL312" s="25" t="s">
        <v>239</v>
      </c>
      <c r="EM312" s="25" t="s">
        <v>276</v>
      </c>
      <c r="EN312" s="25" t="s">
        <v>39</v>
      </c>
      <c r="EO312" s="25" t="s">
        <v>39</v>
      </c>
      <c r="EP312" s="25" t="s">
        <v>92</v>
      </c>
      <c r="EQ312" s="25" t="s">
        <v>529</v>
      </c>
      <c r="ER312" s="25" t="s">
        <v>278</v>
      </c>
      <c r="ES312" s="25" t="s">
        <v>278</v>
      </c>
      <c r="ET312" s="25">
        <v>1</v>
      </c>
      <c r="EU312" s="25" t="s">
        <v>522</v>
      </c>
      <c r="EV312" s="25" t="s">
        <v>279</v>
      </c>
      <c r="EW312" s="25" t="s">
        <v>279</v>
      </c>
      <c r="EX312" s="25" t="s">
        <v>279</v>
      </c>
      <c r="EY312" s="20" t="e">
        <v>#N/A</v>
      </c>
    </row>
    <row r="313" spans="1:155">
      <c r="A313" s="21" t="s">
        <v>491</v>
      </c>
      <c r="B313" s="21" t="s">
        <v>491</v>
      </c>
      <c r="C313" s="21" t="s">
        <v>492</v>
      </c>
      <c r="D313" s="21" t="s">
        <v>493</v>
      </c>
      <c r="E313" s="21" t="s">
        <v>493</v>
      </c>
      <c r="F313" s="21" t="s">
        <v>493</v>
      </c>
      <c r="G313" s="21" t="s">
        <v>4070</v>
      </c>
      <c r="H313" s="21" t="s">
        <v>4071</v>
      </c>
      <c r="I313" s="21">
        <v>11952116125</v>
      </c>
      <c r="J313" s="21" t="s">
        <v>4072</v>
      </c>
      <c r="L313" s="21" t="s">
        <v>495</v>
      </c>
      <c r="M313" s="21" t="s">
        <v>4073</v>
      </c>
      <c r="N313" s="21" t="s">
        <v>496</v>
      </c>
      <c r="O313" s="21" t="s">
        <v>69</v>
      </c>
      <c r="P313" s="21" t="s">
        <v>497</v>
      </c>
      <c r="Q313" s="21" t="s">
        <v>1301</v>
      </c>
      <c r="R313" s="21" t="s">
        <v>498</v>
      </c>
      <c r="S313" s="21" t="s">
        <v>499</v>
      </c>
      <c r="V313" s="21" t="s">
        <v>500</v>
      </c>
      <c r="W313" s="21" t="s">
        <v>501</v>
      </c>
      <c r="X313" s="21" t="s">
        <v>502</v>
      </c>
      <c r="Y313" s="21" t="s">
        <v>503</v>
      </c>
      <c r="Z313" s="21">
        <v>3035656451</v>
      </c>
      <c r="AA313" s="26">
        <v>42745</v>
      </c>
      <c r="AB313" s="26">
        <v>42745</v>
      </c>
      <c r="AC313" s="21" t="s">
        <v>504</v>
      </c>
      <c r="AD313" s="21" t="s">
        <v>505</v>
      </c>
      <c r="AE313" s="21" t="s">
        <v>500</v>
      </c>
      <c r="AF313" s="21" t="s">
        <v>506</v>
      </c>
      <c r="AG313" s="21" t="s">
        <v>581</v>
      </c>
      <c r="AH313" s="21" t="s">
        <v>582</v>
      </c>
      <c r="AI313" s="21" t="s">
        <v>4074</v>
      </c>
      <c r="AJ313" s="21" t="s">
        <v>526</v>
      </c>
      <c r="AK313" s="21" t="s">
        <v>494</v>
      </c>
      <c r="AL313" s="21" t="s">
        <v>527</v>
      </c>
      <c r="AM313" s="21" t="s">
        <v>527</v>
      </c>
      <c r="AN313" s="21" t="s">
        <v>527</v>
      </c>
      <c r="AO313" s="21" t="s">
        <v>528</v>
      </c>
      <c r="AS313" s="21" t="s">
        <v>511</v>
      </c>
      <c r="AT313" s="21" t="s">
        <v>512</v>
      </c>
      <c r="AW313" s="21">
        <v>0</v>
      </c>
      <c r="AX313" s="21">
        <v>2</v>
      </c>
      <c r="AY313" s="26"/>
      <c r="AZ313" s="26"/>
      <c r="BB313" s="26"/>
      <c r="BC313" s="21" t="s">
        <v>513</v>
      </c>
      <c r="BD313" s="21" t="s">
        <v>514</v>
      </c>
      <c r="BE313" s="21" t="s">
        <v>514</v>
      </c>
      <c r="BF313" s="21" t="s">
        <v>515</v>
      </c>
      <c r="BG313" s="21">
        <v>1</v>
      </c>
      <c r="BH313" s="21" t="s">
        <v>516</v>
      </c>
      <c r="BI313" s="21" t="s">
        <v>517</v>
      </c>
      <c r="BJ313" s="21" t="s">
        <v>516</v>
      </c>
      <c r="BK313" s="21" t="s">
        <v>516</v>
      </c>
      <c r="BM313" s="21" t="s">
        <v>583</v>
      </c>
      <c r="BN313" s="21" t="s">
        <v>154</v>
      </c>
      <c r="BO313" s="21" t="s">
        <v>518</v>
      </c>
      <c r="BP313" s="21" t="s">
        <v>519</v>
      </c>
      <c r="BQ313" s="21" t="s">
        <v>583</v>
      </c>
      <c r="BR313" s="21" t="s">
        <v>154</v>
      </c>
      <c r="BS313" s="21" t="s">
        <v>518</v>
      </c>
      <c r="BT313" s="21" t="s">
        <v>519</v>
      </c>
      <c r="BU313" s="21" t="s">
        <v>154</v>
      </c>
      <c r="CD313" s="21" t="s">
        <v>520</v>
      </c>
      <c r="CF313" s="21" t="s">
        <v>521</v>
      </c>
      <c r="CN313" s="26"/>
      <c r="DB313" s="24" t="s">
        <v>943</v>
      </c>
      <c r="DC313" s="21">
        <v>1</v>
      </c>
      <c r="DD313" s="21">
        <v>3</v>
      </c>
      <c r="DE313" s="22">
        <v>42752</v>
      </c>
      <c r="DF313" s="21" t="s">
        <v>4075</v>
      </c>
      <c r="DG313" s="21" t="s">
        <v>522</v>
      </c>
      <c r="DH313" s="21" t="s">
        <v>4076</v>
      </c>
      <c r="DI313" s="21" t="s">
        <v>495</v>
      </c>
      <c r="DJ313" s="21" t="s">
        <v>520</v>
      </c>
      <c r="DK313" s="26"/>
      <c r="DL313" s="26">
        <v>42757</v>
      </c>
      <c r="DM313" s="26">
        <v>42747</v>
      </c>
      <c r="DN313" s="21">
        <v>3100</v>
      </c>
      <c r="DO313" s="21">
        <v>10</v>
      </c>
      <c r="DP313" s="21">
        <v>1</v>
      </c>
      <c r="DQ313" s="21">
        <v>1</v>
      </c>
      <c r="DR313" s="21">
        <v>7</v>
      </c>
      <c r="DS313" s="21">
        <v>10</v>
      </c>
      <c r="DT313" s="21">
        <v>10</v>
      </c>
      <c r="DU313" s="21">
        <v>10</v>
      </c>
      <c r="DW313" s="21">
        <v>10</v>
      </c>
      <c r="EA313" s="21">
        <v>10</v>
      </c>
      <c r="EB313" s="21" t="s">
        <v>4077</v>
      </c>
      <c r="EC313" s="21" t="s">
        <v>1224</v>
      </c>
      <c r="EF313" s="25">
        <v>1</v>
      </c>
      <c r="EG313" s="25">
        <v>0</v>
      </c>
      <c r="EH313" s="25">
        <v>1</v>
      </c>
      <c r="EI313" s="25">
        <v>0</v>
      </c>
      <c r="EJ313" s="25" t="s">
        <v>62</v>
      </c>
      <c r="EK313" s="25" t="s">
        <v>155</v>
      </c>
      <c r="EL313" s="25" t="s">
        <v>155</v>
      </c>
      <c r="EM313" s="25" t="s">
        <v>276</v>
      </c>
      <c r="EN313" s="25" t="s">
        <v>23</v>
      </c>
      <c r="EO313" s="25" t="s">
        <v>23</v>
      </c>
      <c r="EP313" s="25" t="s">
        <v>62</v>
      </c>
      <c r="EQ313" s="25" t="s">
        <v>62</v>
      </c>
      <c r="ER313" s="25" t="s">
        <v>278</v>
      </c>
      <c r="ES313" s="25" t="s">
        <v>278</v>
      </c>
      <c r="ET313" s="25">
        <v>1</v>
      </c>
      <c r="EU313" s="25" t="s">
        <v>522</v>
      </c>
      <c r="EV313" s="25" t="s">
        <v>155</v>
      </c>
      <c r="EW313" s="25" t="s">
        <v>23</v>
      </c>
      <c r="EX313" s="25" t="s">
        <v>278</v>
      </c>
      <c r="EY313" s="20" t="e">
        <v>#N/A</v>
      </c>
    </row>
    <row r="314" spans="1:155">
      <c r="A314" s="21" t="s">
        <v>491</v>
      </c>
      <c r="B314" s="21" t="s">
        <v>491</v>
      </c>
      <c r="C314" s="21" t="s">
        <v>492</v>
      </c>
      <c r="D314" s="21" t="s">
        <v>493</v>
      </c>
      <c r="E314" s="21" t="s">
        <v>493</v>
      </c>
      <c r="F314" s="21" t="s">
        <v>493</v>
      </c>
      <c r="G314" s="21" t="s">
        <v>4078</v>
      </c>
      <c r="H314" s="21">
        <v>3133540429</v>
      </c>
      <c r="I314" s="21" t="s">
        <v>494</v>
      </c>
      <c r="J314" s="21" t="s">
        <v>4079</v>
      </c>
      <c r="L314" s="21" t="s">
        <v>495</v>
      </c>
      <c r="M314" s="21" t="s">
        <v>4080</v>
      </c>
      <c r="N314" s="21" t="s">
        <v>496</v>
      </c>
      <c r="O314" s="21" t="s">
        <v>69</v>
      </c>
      <c r="P314" s="21" t="s">
        <v>497</v>
      </c>
      <c r="R314" s="21" t="s">
        <v>498</v>
      </c>
      <c r="S314" s="21" t="s">
        <v>499</v>
      </c>
      <c r="V314" s="21" t="s">
        <v>500</v>
      </c>
      <c r="W314" s="21" t="s">
        <v>501</v>
      </c>
      <c r="X314" s="21" t="s">
        <v>502</v>
      </c>
      <c r="Y314" s="21" t="s">
        <v>503</v>
      </c>
      <c r="Z314" s="21">
        <v>3035650530</v>
      </c>
      <c r="AA314" s="26">
        <v>42745</v>
      </c>
      <c r="AB314" s="26">
        <v>42745</v>
      </c>
      <c r="AC314" s="21" t="s">
        <v>504</v>
      </c>
      <c r="AD314" s="21" t="s">
        <v>505</v>
      </c>
      <c r="AE314" s="21" t="s">
        <v>500</v>
      </c>
      <c r="AF314" s="21" t="s">
        <v>506</v>
      </c>
      <c r="AG314" s="21" t="s">
        <v>1079</v>
      </c>
      <c r="AH314" s="21" t="s">
        <v>1080</v>
      </c>
      <c r="AI314" s="21" t="s">
        <v>1332</v>
      </c>
      <c r="AJ314" s="21" t="s">
        <v>507</v>
      </c>
      <c r="AK314" s="21" t="s">
        <v>494</v>
      </c>
      <c r="AL314" s="21" t="s">
        <v>527</v>
      </c>
      <c r="AM314" s="21" t="s">
        <v>527</v>
      </c>
      <c r="AN314" s="21" t="s">
        <v>527</v>
      </c>
      <c r="AO314" s="21" t="s">
        <v>528</v>
      </c>
      <c r="AS314" s="21" t="s">
        <v>511</v>
      </c>
      <c r="AT314" s="21" t="s">
        <v>512</v>
      </c>
      <c r="AW314" s="21">
        <v>0</v>
      </c>
      <c r="AX314" s="21">
        <v>2</v>
      </c>
      <c r="AY314" s="26"/>
      <c r="AZ314" s="26"/>
      <c r="BB314" s="26"/>
      <c r="BC314" s="21" t="s">
        <v>513</v>
      </c>
      <c r="BD314" s="21" t="s">
        <v>514</v>
      </c>
      <c r="BE314" s="21" t="s">
        <v>514</v>
      </c>
      <c r="BF314" s="21" t="s">
        <v>515</v>
      </c>
      <c r="BG314" s="21">
        <v>1</v>
      </c>
      <c r="BH314" s="21" t="s">
        <v>516</v>
      </c>
      <c r="BI314" s="21" t="s">
        <v>517</v>
      </c>
      <c r="BJ314" s="21" t="s">
        <v>516</v>
      </c>
      <c r="BK314" s="21" t="s">
        <v>516</v>
      </c>
      <c r="BM314" s="21" t="s">
        <v>1537</v>
      </c>
      <c r="BN314" s="21" t="s">
        <v>149</v>
      </c>
      <c r="BO314" s="21" t="s">
        <v>518</v>
      </c>
      <c r="BP314" s="21" t="s">
        <v>519</v>
      </c>
      <c r="BQ314" s="21" t="s">
        <v>1537</v>
      </c>
      <c r="BR314" s="21" t="s">
        <v>149</v>
      </c>
      <c r="BS314" s="21" t="s">
        <v>518</v>
      </c>
      <c r="BT314" s="21" t="s">
        <v>519</v>
      </c>
      <c r="BU314" s="21" t="s">
        <v>149</v>
      </c>
      <c r="CD314" s="21" t="s">
        <v>520</v>
      </c>
      <c r="CF314" s="21" t="s">
        <v>521</v>
      </c>
      <c r="CN314" s="26"/>
      <c r="DB314" s="24" t="s">
        <v>943</v>
      </c>
      <c r="DC314" s="21">
        <v>1</v>
      </c>
      <c r="DD314" s="21">
        <v>3</v>
      </c>
      <c r="DE314" s="22">
        <v>42752</v>
      </c>
      <c r="DF314" s="21" t="s">
        <v>4081</v>
      </c>
      <c r="DG314" s="21" t="s">
        <v>522</v>
      </c>
      <c r="DH314" s="21" t="s">
        <v>4082</v>
      </c>
      <c r="DI314" s="21" t="s">
        <v>495</v>
      </c>
      <c r="DJ314" s="21" t="s">
        <v>520</v>
      </c>
      <c r="DK314" s="26"/>
      <c r="DL314" s="26">
        <v>42757</v>
      </c>
      <c r="DM314" s="26">
        <v>42747</v>
      </c>
      <c r="DN314" s="21">
        <v>3100</v>
      </c>
      <c r="DO314" s="21">
        <v>10</v>
      </c>
      <c r="DP314" s="21">
        <v>1</v>
      </c>
      <c r="DQ314" s="21">
        <v>1</v>
      </c>
      <c r="DR314" s="21">
        <v>7</v>
      </c>
      <c r="DS314" s="21">
        <v>10</v>
      </c>
      <c r="DT314" s="21">
        <v>10</v>
      </c>
      <c r="DU314" s="21">
        <v>10</v>
      </c>
      <c r="DW314" s="21">
        <v>10</v>
      </c>
      <c r="EA314" s="21">
        <v>10</v>
      </c>
      <c r="EF314" s="25">
        <v>1</v>
      </c>
      <c r="EG314" s="25">
        <v>0</v>
      </c>
      <c r="EH314" s="25">
        <v>1</v>
      </c>
      <c r="EI314" s="25">
        <v>0</v>
      </c>
      <c r="EJ314" s="25" t="s">
        <v>62</v>
      </c>
      <c r="EK314" s="25" t="s">
        <v>150</v>
      </c>
      <c r="EL314" s="25" t="s">
        <v>150</v>
      </c>
      <c r="EM314" s="25" t="s">
        <v>276</v>
      </c>
      <c r="EN314" s="25" t="s">
        <v>23</v>
      </c>
      <c r="EO314" s="25" t="s">
        <v>23</v>
      </c>
      <c r="EP314" s="25" t="s">
        <v>62</v>
      </c>
      <c r="EQ314" s="25" t="s">
        <v>62</v>
      </c>
      <c r="ER314" s="25" t="s">
        <v>278</v>
      </c>
      <c r="ES314" s="25" t="s">
        <v>278</v>
      </c>
      <c r="ET314" s="25">
        <v>1</v>
      </c>
      <c r="EU314" s="25" t="s">
        <v>522</v>
      </c>
      <c r="EV314" s="25" t="s">
        <v>150</v>
      </c>
      <c r="EW314" s="25" t="s">
        <v>23</v>
      </c>
      <c r="EX314" s="25" t="s">
        <v>278</v>
      </c>
      <c r="EY314" s="20" t="e">
        <v>#N/A</v>
      </c>
    </row>
    <row r="315" spans="1:155">
      <c r="A315" s="21" t="s">
        <v>491</v>
      </c>
      <c r="B315" s="21" t="s">
        <v>491</v>
      </c>
      <c r="C315" s="21" t="s">
        <v>492</v>
      </c>
      <c r="D315" s="21" t="s">
        <v>493</v>
      </c>
      <c r="E315" s="21" t="s">
        <v>493</v>
      </c>
      <c r="F315" s="21" t="s">
        <v>493</v>
      </c>
      <c r="G315" s="21" t="s">
        <v>4083</v>
      </c>
      <c r="H315" s="21">
        <v>1532624845</v>
      </c>
      <c r="I315" s="21" t="s">
        <v>494</v>
      </c>
      <c r="J315" s="21" t="s">
        <v>4084</v>
      </c>
      <c r="L315" s="21" t="s">
        <v>495</v>
      </c>
      <c r="M315" s="21" t="s">
        <v>4085</v>
      </c>
      <c r="N315" s="21" t="s">
        <v>1268</v>
      </c>
      <c r="O315" s="21" t="s">
        <v>69</v>
      </c>
      <c r="P315" s="21" t="s">
        <v>497</v>
      </c>
      <c r="R315" s="21" t="s">
        <v>1269</v>
      </c>
      <c r="S315" s="21" t="s">
        <v>1270</v>
      </c>
      <c r="V315" s="21" t="s">
        <v>500</v>
      </c>
      <c r="W315" s="21" t="s">
        <v>501</v>
      </c>
      <c r="X315" s="21" t="s">
        <v>502</v>
      </c>
      <c r="Y315" s="21" t="s">
        <v>503</v>
      </c>
      <c r="Z315" s="21">
        <v>3035643750</v>
      </c>
      <c r="AA315" s="26">
        <v>42745</v>
      </c>
      <c r="AB315" s="26">
        <v>42745</v>
      </c>
      <c r="AC315" s="21" t="s">
        <v>504</v>
      </c>
      <c r="AD315" s="21" t="s">
        <v>505</v>
      </c>
      <c r="AE315" s="21" t="s">
        <v>500</v>
      </c>
      <c r="AF315" s="21" t="s">
        <v>549</v>
      </c>
      <c r="AG315" s="21" t="s">
        <v>555</v>
      </c>
      <c r="AH315" s="21" t="s">
        <v>556</v>
      </c>
      <c r="AI315" s="21" t="s">
        <v>4086</v>
      </c>
      <c r="AJ315" s="21" t="s">
        <v>526</v>
      </c>
      <c r="AK315" s="21" t="s">
        <v>494</v>
      </c>
      <c r="AL315" s="21" t="s">
        <v>527</v>
      </c>
      <c r="AM315" s="21" t="s">
        <v>527</v>
      </c>
      <c r="AN315" s="21" t="s">
        <v>527</v>
      </c>
      <c r="AO315" s="21" t="s">
        <v>528</v>
      </c>
      <c r="AS315" s="21" t="s">
        <v>511</v>
      </c>
      <c r="AT315" s="21" t="s">
        <v>512</v>
      </c>
      <c r="AW315" s="21">
        <v>0</v>
      </c>
      <c r="AX315" s="21">
        <v>2</v>
      </c>
      <c r="AY315" s="26"/>
      <c r="AZ315" s="26"/>
      <c r="BB315" s="26"/>
      <c r="BC315" s="21" t="s">
        <v>513</v>
      </c>
      <c r="BD315" s="21" t="s">
        <v>514</v>
      </c>
      <c r="BE315" s="21" t="s">
        <v>514</v>
      </c>
      <c r="BF315" s="21" t="s">
        <v>515</v>
      </c>
      <c r="BG315" s="21">
        <v>1</v>
      </c>
      <c r="BH315" s="21" t="s">
        <v>516</v>
      </c>
      <c r="BI315" s="21" t="s">
        <v>517</v>
      </c>
      <c r="BJ315" s="21" t="s">
        <v>516</v>
      </c>
      <c r="BK315" s="21" t="s">
        <v>516</v>
      </c>
      <c r="BM315" s="21" t="s">
        <v>861</v>
      </c>
      <c r="BN315" s="21" t="s">
        <v>852</v>
      </c>
      <c r="BO315" s="21" t="s">
        <v>849</v>
      </c>
      <c r="BP315" s="21" t="s">
        <v>541</v>
      </c>
      <c r="BQ315" s="21" t="s">
        <v>861</v>
      </c>
      <c r="BR315" s="21" t="s">
        <v>852</v>
      </c>
      <c r="BS315" s="21" t="s">
        <v>849</v>
      </c>
      <c r="BT315" s="21" t="s">
        <v>541</v>
      </c>
      <c r="BU315" s="21" t="s">
        <v>852</v>
      </c>
      <c r="CD315" s="21" t="s">
        <v>520</v>
      </c>
      <c r="CF315" s="21" t="s">
        <v>534</v>
      </c>
      <c r="CN315" s="26"/>
      <c r="DB315" s="24" t="s">
        <v>943</v>
      </c>
      <c r="DC315" s="21">
        <v>1</v>
      </c>
      <c r="DD315" s="21">
        <v>3</v>
      </c>
      <c r="DE315" s="22">
        <v>42752</v>
      </c>
      <c r="DF315" s="21" t="s">
        <v>4087</v>
      </c>
      <c r="DG315" s="21" t="s">
        <v>522</v>
      </c>
      <c r="DH315" s="21" t="s">
        <v>4088</v>
      </c>
      <c r="DI315" s="21" t="s">
        <v>495</v>
      </c>
      <c r="DJ315" s="21" t="s">
        <v>523</v>
      </c>
      <c r="DK315" s="26"/>
      <c r="DL315" s="26">
        <v>42757</v>
      </c>
      <c r="DM315" s="26">
        <v>42747</v>
      </c>
      <c r="DN315" s="21">
        <v>3100</v>
      </c>
      <c r="DO315" s="21">
        <v>10</v>
      </c>
      <c r="DP315" s="21">
        <v>1</v>
      </c>
      <c r="DQ315" s="21">
        <v>1</v>
      </c>
      <c r="DR315" s="21">
        <v>7</v>
      </c>
      <c r="DS315" s="21">
        <v>10</v>
      </c>
      <c r="DT315" s="21">
        <v>10</v>
      </c>
      <c r="DU315" s="21">
        <v>10</v>
      </c>
      <c r="DW315" s="21">
        <v>10</v>
      </c>
      <c r="DY315" s="21">
        <v>10</v>
      </c>
      <c r="EA315" s="21">
        <v>10</v>
      </c>
      <c r="EF315" s="25">
        <v>1</v>
      </c>
      <c r="EG315" s="25">
        <v>0</v>
      </c>
      <c r="EH315" s="25">
        <v>1</v>
      </c>
      <c r="EI315" s="25">
        <v>0</v>
      </c>
      <c r="EJ315" s="25" t="s">
        <v>62</v>
      </c>
      <c r="EK315" s="25" t="s">
        <v>197</v>
      </c>
      <c r="EL315" s="25" t="s">
        <v>197</v>
      </c>
      <c r="EM315" s="25" t="s">
        <v>276</v>
      </c>
      <c r="EN315" s="25" t="s">
        <v>271</v>
      </c>
      <c r="EO315" s="25" t="s">
        <v>271</v>
      </c>
      <c r="EP315" s="25" t="s">
        <v>548</v>
      </c>
      <c r="EQ315" s="25" t="s">
        <v>548</v>
      </c>
      <c r="ER315" s="25" t="s">
        <v>278</v>
      </c>
      <c r="ES315" s="25" t="s">
        <v>278</v>
      </c>
      <c r="ET315" s="25">
        <v>1</v>
      </c>
      <c r="EU315" s="25" t="s">
        <v>522</v>
      </c>
      <c r="EV315" s="25" t="s">
        <v>197</v>
      </c>
      <c r="EW315" s="25" t="s">
        <v>271</v>
      </c>
      <c r="EX315" s="25" t="s">
        <v>278</v>
      </c>
      <c r="EY315" s="20" t="e">
        <v>#N/A</v>
      </c>
    </row>
    <row r="316" spans="1:155">
      <c r="A316" s="21" t="s">
        <v>491</v>
      </c>
      <c r="B316" s="21" t="s">
        <v>491</v>
      </c>
      <c r="C316" s="21" t="s">
        <v>492</v>
      </c>
      <c r="D316" s="21" t="s">
        <v>493</v>
      </c>
      <c r="E316" s="21" t="s">
        <v>493</v>
      </c>
      <c r="F316" s="21" t="s">
        <v>493</v>
      </c>
      <c r="G316" s="21" t="s">
        <v>4089</v>
      </c>
      <c r="H316" s="21">
        <v>1129165218</v>
      </c>
      <c r="I316" s="21" t="s">
        <v>494</v>
      </c>
      <c r="J316" s="21" t="s">
        <v>4090</v>
      </c>
      <c r="L316" s="21" t="s">
        <v>495</v>
      </c>
      <c r="M316" s="21" t="s">
        <v>4091</v>
      </c>
      <c r="N316" s="21" t="s">
        <v>561</v>
      </c>
      <c r="O316" s="21" t="s">
        <v>93</v>
      </c>
      <c r="P316" s="21" t="s">
        <v>539</v>
      </c>
      <c r="R316" s="21" t="s">
        <v>562</v>
      </c>
      <c r="S316" s="21" t="s">
        <v>559</v>
      </c>
      <c r="V316" s="21" t="s">
        <v>277</v>
      </c>
      <c r="W316" s="21" t="s">
        <v>524</v>
      </c>
      <c r="X316" s="21" t="s">
        <v>525</v>
      </c>
      <c r="Y316" s="21" t="s">
        <v>530</v>
      </c>
      <c r="Z316" s="21">
        <v>3035681592</v>
      </c>
      <c r="AA316" s="26">
        <v>42746</v>
      </c>
      <c r="AB316" s="26">
        <v>42746</v>
      </c>
      <c r="AC316" s="21" t="s">
        <v>504</v>
      </c>
      <c r="AD316" s="21" t="s">
        <v>505</v>
      </c>
      <c r="AE316" s="21" t="s">
        <v>1156</v>
      </c>
      <c r="AF316" s="21" t="s">
        <v>1191</v>
      </c>
      <c r="AG316" s="21" t="s">
        <v>3979</v>
      </c>
      <c r="AH316" s="21" t="s">
        <v>3980</v>
      </c>
      <c r="AI316" s="21" t="s">
        <v>3981</v>
      </c>
      <c r="AJ316" s="21" t="s">
        <v>507</v>
      </c>
      <c r="AK316" s="21" t="s">
        <v>494</v>
      </c>
      <c r="AL316" s="21" t="s">
        <v>527</v>
      </c>
      <c r="AM316" s="21" t="s">
        <v>527</v>
      </c>
      <c r="AN316" s="21" t="s">
        <v>527</v>
      </c>
      <c r="AO316" s="21" t="s">
        <v>528</v>
      </c>
      <c r="AS316" s="21" t="s">
        <v>511</v>
      </c>
      <c r="AT316" s="21" t="s">
        <v>512</v>
      </c>
      <c r="AW316" s="21">
        <v>0</v>
      </c>
      <c r="AX316" s="21">
        <v>2</v>
      </c>
      <c r="AY316" s="26"/>
      <c r="AZ316" s="26"/>
      <c r="BB316" s="26"/>
      <c r="BC316" s="21" t="s">
        <v>513</v>
      </c>
      <c r="BD316" s="21" t="s">
        <v>514</v>
      </c>
      <c r="BE316" s="21" t="s">
        <v>514</v>
      </c>
      <c r="BF316" s="21" t="s">
        <v>515</v>
      </c>
      <c r="BG316" s="21">
        <v>1</v>
      </c>
      <c r="BH316" s="21" t="s">
        <v>516</v>
      </c>
      <c r="BI316" s="21" t="s">
        <v>517</v>
      </c>
      <c r="BJ316" s="21" t="s">
        <v>516</v>
      </c>
      <c r="BK316" s="21" t="s">
        <v>516</v>
      </c>
      <c r="BM316" s="21" t="s">
        <v>1110</v>
      </c>
      <c r="BN316" s="21" t="s">
        <v>200</v>
      </c>
      <c r="BO316" s="21" t="s">
        <v>518</v>
      </c>
      <c r="BP316" s="21" t="s">
        <v>1044</v>
      </c>
      <c r="BQ316" s="21" t="s">
        <v>1110</v>
      </c>
      <c r="BR316" s="21" t="s">
        <v>200</v>
      </c>
      <c r="BS316" s="21" t="s">
        <v>518</v>
      </c>
      <c r="BT316" s="21" t="s">
        <v>1044</v>
      </c>
      <c r="BU316" s="21" t="s">
        <v>200</v>
      </c>
      <c r="CD316" s="21" t="s">
        <v>520</v>
      </c>
      <c r="CF316" s="21" t="s">
        <v>521</v>
      </c>
      <c r="CN316" s="26"/>
      <c r="DB316" s="24" t="s">
        <v>943</v>
      </c>
      <c r="DC316" s="21">
        <v>1</v>
      </c>
      <c r="DD316" s="21">
        <v>3</v>
      </c>
      <c r="DE316" s="22">
        <v>42752</v>
      </c>
      <c r="DF316" s="21" t="s">
        <v>4092</v>
      </c>
      <c r="DG316" s="21" t="s">
        <v>522</v>
      </c>
      <c r="DH316" s="21" t="s">
        <v>4093</v>
      </c>
      <c r="DI316" s="21" t="s">
        <v>495</v>
      </c>
      <c r="DJ316" s="21" t="s">
        <v>523</v>
      </c>
      <c r="DK316" s="26"/>
      <c r="DL316" s="26">
        <v>42758</v>
      </c>
      <c r="DM316" s="26">
        <v>42748</v>
      </c>
      <c r="DN316" s="21">
        <v>1100</v>
      </c>
      <c r="DO316" s="21">
        <v>8</v>
      </c>
      <c r="DP316" s="21">
        <v>2</v>
      </c>
      <c r="DQ316" s="21">
        <v>2</v>
      </c>
      <c r="DR316" s="21">
        <v>3</v>
      </c>
      <c r="DS316" s="21">
        <v>10</v>
      </c>
      <c r="DT316" s="21">
        <v>8</v>
      </c>
      <c r="DU316" s="21">
        <v>9</v>
      </c>
      <c r="DW316" s="21">
        <v>8</v>
      </c>
      <c r="EA316" s="21">
        <v>9</v>
      </c>
      <c r="EF316" s="25">
        <v>1</v>
      </c>
      <c r="EG316" s="25">
        <v>0</v>
      </c>
      <c r="EH316" s="25">
        <v>0</v>
      </c>
      <c r="EI316" s="25">
        <v>0</v>
      </c>
      <c r="EJ316" s="25" t="s">
        <v>92</v>
      </c>
      <c r="EK316" s="25" t="s">
        <v>201</v>
      </c>
      <c r="EL316" s="25" t="s">
        <v>201</v>
      </c>
      <c r="EM316" s="25" t="s">
        <v>276</v>
      </c>
      <c r="EN316" s="25" t="s">
        <v>31</v>
      </c>
      <c r="EO316" s="25" t="s">
        <v>31</v>
      </c>
      <c r="EP316" s="25" t="s">
        <v>92</v>
      </c>
      <c r="EQ316" s="25" t="s">
        <v>92</v>
      </c>
      <c r="ER316" s="25" t="s">
        <v>278</v>
      </c>
      <c r="ES316" s="25" t="s">
        <v>278</v>
      </c>
      <c r="ET316" s="25">
        <v>1</v>
      </c>
      <c r="EU316" s="25" t="s">
        <v>522</v>
      </c>
      <c r="EV316" s="25" t="s">
        <v>201</v>
      </c>
      <c r="EW316" s="25" t="s">
        <v>31</v>
      </c>
      <c r="EX316" s="25" t="s">
        <v>278</v>
      </c>
      <c r="EY316" s="20" t="e">
        <v>#N/A</v>
      </c>
    </row>
    <row r="317" spans="1:155">
      <c r="A317" s="21" t="s">
        <v>491</v>
      </c>
      <c r="B317" s="21" t="s">
        <v>491</v>
      </c>
      <c r="C317" s="21" t="s">
        <v>492</v>
      </c>
      <c r="D317" s="21" t="s">
        <v>493</v>
      </c>
      <c r="E317" s="21" t="s">
        <v>493</v>
      </c>
      <c r="F317" s="21" t="s">
        <v>493</v>
      </c>
      <c r="G317" s="21" t="s">
        <v>4094</v>
      </c>
      <c r="H317" s="21" t="s">
        <v>4095</v>
      </c>
      <c r="I317" s="21" t="s">
        <v>494</v>
      </c>
      <c r="J317" s="21" t="s">
        <v>4096</v>
      </c>
      <c r="L317" s="21" t="s">
        <v>495</v>
      </c>
      <c r="M317" s="21" t="s">
        <v>4097</v>
      </c>
      <c r="N317" s="21" t="s">
        <v>496</v>
      </c>
      <c r="O317" s="21" t="s">
        <v>69</v>
      </c>
      <c r="P317" s="21" t="s">
        <v>497</v>
      </c>
      <c r="R317" s="21" t="s">
        <v>498</v>
      </c>
      <c r="S317" s="21" t="s">
        <v>499</v>
      </c>
      <c r="V317" s="21" t="s">
        <v>500</v>
      </c>
      <c r="W317" s="21" t="s">
        <v>501</v>
      </c>
      <c r="X317" s="21" t="s">
        <v>502</v>
      </c>
      <c r="Y317" s="21" t="s">
        <v>503</v>
      </c>
      <c r="Z317" s="21">
        <v>3035683925</v>
      </c>
      <c r="AA317" s="26">
        <v>42746</v>
      </c>
      <c r="AB317" s="26">
        <v>42746</v>
      </c>
      <c r="AC317" s="21" t="s">
        <v>504</v>
      </c>
      <c r="AD317" s="21" t="s">
        <v>505</v>
      </c>
      <c r="AE317" s="21" t="s">
        <v>1020</v>
      </c>
      <c r="AF317" s="21" t="s">
        <v>1021</v>
      </c>
      <c r="AG317" s="21" t="s">
        <v>1340</v>
      </c>
      <c r="AH317" s="21" t="s">
        <v>1341</v>
      </c>
      <c r="AI317" s="21" t="s">
        <v>2217</v>
      </c>
      <c r="AJ317" s="21" t="s">
        <v>507</v>
      </c>
      <c r="AK317" s="21" t="s">
        <v>494</v>
      </c>
      <c r="AL317" s="21" t="s">
        <v>527</v>
      </c>
      <c r="AM317" s="21" t="s">
        <v>527</v>
      </c>
      <c r="AN317" s="21" t="s">
        <v>527</v>
      </c>
      <c r="AO317" s="21" t="s">
        <v>528</v>
      </c>
      <c r="AS317" s="21" t="s">
        <v>511</v>
      </c>
      <c r="AT317" s="21" t="s">
        <v>512</v>
      </c>
      <c r="AW317" s="21">
        <v>0</v>
      </c>
      <c r="AX317" s="21">
        <v>2</v>
      </c>
      <c r="AY317" s="26"/>
      <c r="AZ317" s="26"/>
      <c r="BB317" s="26"/>
      <c r="BC317" s="21" t="s">
        <v>513</v>
      </c>
      <c r="BD317" s="21" t="s">
        <v>514</v>
      </c>
      <c r="BE317" s="21" t="s">
        <v>514</v>
      </c>
      <c r="BF317" s="21" t="s">
        <v>515</v>
      </c>
      <c r="BG317" s="21">
        <v>1</v>
      </c>
      <c r="BH317" s="21" t="s">
        <v>516</v>
      </c>
      <c r="BI317" s="21" t="s">
        <v>517</v>
      </c>
      <c r="BJ317" s="21" t="s">
        <v>516</v>
      </c>
      <c r="BK317" s="21" t="s">
        <v>516</v>
      </c>
      <c r="BM317" s="21" t="s">
        <v>28</v>
      </c>
      <c r="BN317" s="21" t="s">
        <v>158</v>
      </c>
      <c r="BO317" s="21" t="s">
        <v>518</v>
      </c>
      <c r="BP317" s="21" t="s">
        <v>519</v>
      </c>
      <c r="BQ317" s="21" t="s">
        <v>28</v>
      </c>
      <c r="BR317" s="21" t="s">
        <v>158</v>
      </c>
      <c r="BS317" s="21" t="s">
        <v>518</v>
      </c>
      <c r="BT317" s="21" t="s">
        <v>519</v>
      </c>
      <c r="BU317" s="21" t="s">
        <v>158</v>
      </c>
      <c r="CD317" s="21" t="s">
        <v>520</v>
      </c>
      <c r="CF317" s="21" t="s">
        <v>521</v>
      </c>
      <c r="CN317" s="26"/>
      <c r="DB317" s="24" t="s">
        <v>943</v>
      </c>
      <c r="DC317" s="21">
        <v>1</v>
      </c>
      <c r="DD317" s="21">
        <v>3</v>
      </c>
      <c r="DE317" s="22">
        <v>42752</v>
      </c>
      <c r="DF317" s="21" t="s">
        <v>4098</v>
      </c>
      <c r="DG317" s="21" t="s">
        <v>522</v>
      </c>
      <c r="DH317" s="21" t="s">
        <v>4099</v>
      </c>
      <c r="DI317" s="21" t="s">
        <v>495</v>
      </c>
      <c r="DJ317" s="21" t="s">
        <v>523</v>
      </c>
      <c r="DK317" s="26"/>
      <c r="DL317" s="26">
        <v>42758</v>
      </c>
      <c r="DM317" s="26">
        <v>42748</v>
      </c>
      <c r="DN317" s="21">
        <v>3100</v>
      </c>
      <c r="DO317" s="21">
        <v>8</v>
      </c>
      <c r="DP317" s="21">
        <v>1</v>
      </c>
      <c r="DQ317" s="21">
        <v>1</v>
      </c>
      <c r="DR317" s="21">
        <v>5</v>
      </c>
      <c r="DS317" s="21">
        <v>10</v>
      </c>
      <c r="DT317" s="21">
        <v>10</v>
      </c>
      <c r="DU317" s="21">
        <v>10</v>
      </c>
      <c r="DW317" s="21">
        <v>10</v>
      </c>
      <c r="EA317" s="21">
        <v>10</v>
      </c>
      <c r="EF317" s="25">
        <v>1</v>
      </c>
      <c r="EG317" s="25">
        <v>0</v>
      </c>
      <c r="EH317" s="25">
        <v>0</v>
      </c>
      <c r="EI317" s="25">
        <v>0</v>
      </c>
      <c r="EJ317" s="25" t="s">
        <v>62</v>
      </c>
      <c r="EK317" s="25" t="s">
        <v>159</v>
      </c>
      <c r="EL317" s="25" t="s">
        <v>159</v>
      </c>
      <c r="EM317" s="25" t="s">
        <v>276</v>
      </c>
      <c r="EN317" s="25" t="s">
        <v>9</v>
      </c>
      <c r="EO317" s="25" t="s">
        <v>9</v>
      </c>
      <c r="EP317" s="25" t="s">
        <v>62</v>
      </c>
      <c r="EQ317" s="25" t="s">
        <v>62</v>
      </c>
      <c r="ER317" s="25" t="s">
        <v>278</v>
      </c>
      <c r="ES317" s="25" t="s">
        <v>278</v>
      </c>
      <c r="ET317" s="25">
        <v>1</v>
      </c>
      <c r="EU317" s="25" t="s">
        <v>522</v>
      </c>
      <c r="EV317" s="25" t="s">
        <v>159</v>
      </c>
      <c r="EW317" s="25" t="s">
        <v>9</v>
      </c>
      <c r="EX317" s="25" t="s">
        <v>278</v>
      </c>
      <c r="EY317" s="20" t="e">
        <v>#N/A</v>
      </c>
    </row>
    <row r="318" spans="1:155">
      <c r="A318" s="21" t="s">
        <v>491</v>
      </c>
      <c r="B318" s="21" t="s">
        <v>491</v>
      </c>
      <c r="C318" s="21" t="s">
        <v>492</v>
      </c>
      <c r="D318" s="21" t="s">
        <v>493</v>
      </c>
      <c r="E318" s="21" t="s">
        <v>493</v>
      </c>
      <c r="F318" s="21" t="s">
        <v>493</v>
      </c>
      <c r="G318" s="21" t="s">
        <v>4100</v>
      </c>
      <c r="H318" s="21">
        <v>1126829695</v>
      </c>
      <c r="I318" s="21" t="s">
        <v>494</v>
      </c>
      <c r="J318" s="21" t="s">
        <v>4101</v>
      </c>
      <c r="L318" s="21" t="s">
        <v>495</v>
      </c>
      <c r="M318" s="21" t="s">
        <v>4102</v>
      </c>
      <c r="N318" s="21" t="s">
        <v>4103</v>
      </c>
      <c r="O318" s="21" t="s">
        <v>58</v>
      </c>
      <c r="P318" s="21" t="s">
        <v>557</v>
      </c>
      <c r="R318" s="21" t="s">
        <v>4104</v>
      </c>
      <c r="S318" s="21" t="s">
        <v>4105</v>
      </c>
      <c r="V318" s="21" t="s">
        <v>500</v>
      </c>
      <c r="W318" s="21" t="s">
        <v>501</v>
      </c>
      <c r="X318" s="21" t="s">
        <v>502</v>
      </c>
      <c r="Y318" s="21" t="s">
        <v>558</v>
      </c>
      <c r="Z318" s="21">
        <v>3035678329</v>
      </c>
      <c r="AA318" s="26">
        <v>42746</v>
      </c>
      <c r="AB318" s="26">
        <v>42746</v>
      </c>
      <c r="AC318" s="21" t="s">
        <v>504</v>
      </c>
      <c r="AD318" s="21" t="s">
        <v>505</v>
      </c>
      <c r="AE318" s="21" t="s">
        <v>1020</v>
      </c>
      <c r="AF318" s="21" t="s">
        <v>1314</v>
      </c>
      <c r="AG318" s="21" t="s">
        <v>1315</v>
      </c>
      <c r="AH318" s="21" t="s">
        <v>1316</v>
      </c>
      <c r="AI318" s="21" t="s">
        <v>1117</v>
      </c>
      <c r="AJ318" s="21" t="s">
        <v>526</v>
      </c>
      <c r="AK318" s="21" t="s">
        <v>494</v>
      </c>
      <c r="AL318" s="21" t="s">
        <v>508</v>
      </c>
      <c r="AM318" s="21" t="s">
        <v>509</v>
      </c>
      <c r="AN318" s="21" t="s">
        <v>509</v>
      </c>
      <c r="AO318" s="21" t="s">
        <v>510</v>
      </c>
      <c r="AS318" s="21" t="s">
        <v>511</v>
      </c>
      <c r="AT318" s="21" t="s">
        <v>512</v>
      </c>
      <c r="AW318" s="21">
        <v>0</v>
      </c>
      <c r="AX318" s="21">
        <v>4</v>
      </c>
      <c r="AY318" s="26"/>
      <c r="AZ318" s="26"/>
      <c r="BB318" s="26"/>
      <c r="BC318" s="21" t="s">
        <v>513</v>
      </c>
      <c r="BD318" s="21" t="s">
        <v>514</v>
      </c>
      <c r="BE318" s="21" t="s">
        <v>514</v>
      </c>
      <c r="BF318" s="21" t="s">
        <v>515</v>
      </c>
      <c r="BG318" s="21">
        <v>1</v>
      </c>
      <c r="BH318" s="21" t="s">
        <v>516</v>
      </c>
      <c r="BI318" s="21" t="s">
        <v>517</v>
      </c>
      <c r="BJ318" s="21" t="s">
        <v>516</v>
      </c>
      <c r="BK318" s="21" t="s">
        <v>516</v>
      </c>
      <c r="BM318" s="21" t="s">
        <v>54</v>
      </c>
      <c r="BN318" s="21" t="s">
        <v>259</v>
      </c>
      <c r="BO318" s="21" t="s">
        <v>518</v>
      </c>
      <c r="BP318" s="21" t="s">
        <v>519</v>
      </c>
      <c r="BQ318" s="21" t="s">
        <v>54</v>
      </c>
      <c r="BR318" s="21" t="s">
        <v>259</v>
      </c>
      <c r="BS318" s="21" t="s">
        <v>518</v>
      </c>
      <c r="BT318" s="21" t="s">
        <v>519</v>
      </c>
      <c r="BU318" s="21" t="s">
        <v>259</v>
      </c>
      <c r="CD318" s="21" t="s">
        <v>520</v>
      </c>
      <c r="CF318" s="21" t="s">
        <v>521</v>
      </c>
      <c r="CN318" s="26"/>
      <c r="DB318" s="24" t="s">
        <v>943</v>
      </c>
      <c r="DC318" s="21">
        <v>1</v>
      </c>
      <c r="DD318" s="21">
        <v>3</v>
      </c>
      <c r="DE318" s="22">
        <v>42752</v>
      </c>
      <c r="DF318" s="21" t="s">
        <v>4106</v>
      </c>
      <c r="DG318" s="21" t="s">
        <v>522</v>
      </c>
      <c r="DH318" s="21" t="s">
        <v>4107</v>
      </c>
      <c r="DI318" s="21" t="s">
        <v>495</v>
      </c>
      <c r="DJ318" s="21" t="s">
        <v>523</v>
      </c>
      <c r="DK318" s="26"/>
      <c r="DL318" s="26">
        <v>42758</v>
      </c>
      <c r="DM318" s="26">
        <v>42748</v>
      </c>
      <c r="DN318" s="21">
        <v>3100</v>
      </c>
      <c r="DO318" s="21">
        <v>10</v>
      </c>
      <c r="DP318" s="21">
        <v>1</v>
      </c>
      <c r="DQ318" s="21">
        <v>1</v>
      </c>
      <c r="DR318" s="21">
        <v>7</v>
      </c>
      <c r="DS318" s="21">
        <v>10</v>
      </c>
      <c r="DT318" s="21">
        <v>10</v>
      </c>
      <c r="DU318" s="21">
        <v>10</v>
      </c>
      <c r="DW318" s="21">
        <v>10</v>
      </c>
      <c r="EA318" s="21">
        <v>10</v>
      </c>
      <c r="EF318" s="25">
        <v>1</v>
      </c>
      <c r="EG318" s="25">
        <v>0</v>
      </c>
      <c r="EH318" s="25">
        <v>1</v>
      </c>
      <c r="EI318" s="25">
        <v>0</v>
      </c>
      <c r="EJ318" s="25" t="s">
        <v>62</v>
      </c>
      <c r="EK318" s="25" t="s">
        <v>276</v>
      </c>
      <c r="EL318" s="25" t="s">
        <v>276</v>
      </c>
      <c r="EM318" s="25" t="s">
        <v>276</v>
      </c>
      <c r="EN318" s="25" t="s">
        <v>276</v>
      </c>
      <c r="EO318" s="25" t="s">
        <v>276</v>
      </c>
      <c r="EP318" s="25" t="s">
        <v>276</v>
      </c>
      <c r="EQ318" s="25" t="s">
        <v>276</v>
      </c>
      <c r="ER318" s="25" t="s">
        <v>276</v>
      </c>
      <c r="ES318" s="25" t="s">
        <v>276</v>
      </c>
      <c r="ET318" s="25">
        <v>1</v>
      </c>
      <c r="EU318" s="25" t="s">
        <v>522</v>
      </c>
      <c r="EV318" s="25" t="s">
        <v>276</v>
      </c>
      <c r="EW318" s="25" t="s">
        <v>276</v>
      </c>
      <c r="EX318" s="25" t="s">
        <v>276</v>
      </c>
      <c r="EY318" s="20" t="s">
        <v>273</v>
      </c>
    </row>
    <row r="319" spans="1:155">
      <c r="A319" s="21" t="s">
        <v>491</v>
      </c>
      <c r="B319" s="21" t="s">
        <v>491</v>
      </c>
      <c r="C319" s="21" t="s">
        <v>492</v>
      </c>
      <c r="D319" s="21" t="s">
        <v>493</v>
      </c>
      <c r="E319" s="21" t="s">
        <v>493</v>
      </c>
      <c r="F319" s="21" t="s">
        <v>493</v>
      </c>
      <c r="G319" s="21" t="s">
        <v>4108</v>
      </c>
      <c r="H319" s="21" t="s">
        <v>4109</v>
      </c>
      <c r="I319" s="21" t="s">
        <v>4110</v>
      </c>
      <c r="J319" s="21" t="s">
        <v>4111</v>
      </c>
      <c r="L319" s="21" t="s">
        <v>495</v>
      </c>
      <c r="M319" s="21" t="s">
        <v>4112</v>
      </c>
      <c r="N319" s="21" t="s">
        <v>1066</v>
      </c>
      <c r="O319" s="21" t="s">
        <v>93</v>
      </c>
      <c r="P319" s="21" t="s">
        <v>539</v>
      </c>
      <c r="R319" s="21" t="s">
        <v>1067</v>
      </c>
      <c r="S319" s="21" t="s">
        <v>1068</v>
      </c>
      <c r="V319" s="21" t="s">
        <v>277</v>
      </c>
      <c r="W319" s="21" t="s">
        <v>524</v>
      </c>
      <c r="X319" s="21" t="s">
        <v>525</v>
      </c>
      <c r="Y319" s="21" t="s">
        <v>530</v>
      </c>
      <c r="Z319" s="21">
        <v>3035332711</v>
      </c>
      <c r="AA319" s="26">
        <v>42733</v>
      </c>
      <c r="AB319" s="26">
        <v>42746</v>
      </c>
      <c r="AC319" s="21" t="s">
        <v>504</v>
      </c>
      <c r="AD319" s="21" t="s">
        <v>505</v>
      </c>
      <c r="AE319" s="21" t="s">
        <v>1156</v>
      </c>
      <c r="AF319" s="21" t="s">
        <v>1304</v>
      </c>
      <c r="AG319" s="21" t="s">
        <v>2256</v>
      </c>
      <c r="AH319" s="21" t="s">
        <v>2257</v>
      </c>
      <c r="AI319" s="21" t="s">
        <v>2676</v>
      </c>
      <c r="AJ319" s="21" t="s">
        <v>507</v>
      </c>
      <c r="AK319" s="21" t="s">
        <v>494</v>
      </c>
      <c r="AL319" s="21" t="s">
        <v>527</v>
      </c>
      <c r="AM319" s="21" t="s">
        <v>527</v>
      </c>
      <c r="AN319" s="21" t="s">
        <v>527</v>
      </c>
      <c r="AO319" s="21" t="s">
        <v>528</v>
      </c>
      <c r="AS319" s="21" t="s">
        <v>511</v>
      </c>
      <c r="AT319" s="21" t="s">
        <v>512</v>
      </c>
      <c r="AW319" s="21">
        <v>0</v>
      </c>
      <c r="AX319" s="21">
        <v>28</v>
      </c>
      <c r="AY319" s="26"/>
      <c r="AZ319" s="26"/>
      <c r="BB319" s="26"/>
      <c r="BC319" s="21" t="s">
        <v>513</v>
      </c>
      <c r="BD319" s="21" t="s">
        <v>514</v>
      </c>
      <c r="BE319" s="21" t="s">
        <v>514</v>
      </c>
      <c r="BF319" s="21" t="s">
        <v>515</v>
      </c>
      <c r="BG319" s="21">
        <v>1</v>
      </c>
      <c r="BH319" s="21" t="s">
        <v>516</v>
      </c>
      <c r="BI319" s="21" t="s">
        <v>517</v>
      </c>
      <c r="BJ319" s="21" t="s">
        <v>516</v>
      </c>
      <c r="BK319" s="21" t="s">
        <v>516</v>
      </c>
      <c r="BM319" s="21" t="s">
        <v>1453</v>
      </c>
      <c r="BN319" s="21" t="s">
        <v>231</v>
      </c>
      <c r="BO319" s="21" t="s">
        <v>518</v>
      </c>
      <c r="BP319" s="21" t="s">
        <v>1044</v>
      </c>
      <c r="BQ319" s="21" t="s">
        <v>38</v>
      </c>
      <c r="BR319" s="21" t="s">
        <v>238</v>
      </c>
      <c r="BS319" s="21" t="s">
        <v>518</v>
      </c>
      <c r="BT319" s="21" t="s">
        <v>1044</v>
      </c>
      <c r="BU319" s="21" t="s">
        <v>231</v>
      </c>
      <c r="CD319" s="21" t="s">
        <v>520</v>
      </c>
      <c r="CF319" s="21" t="s">
        <v>521</v>
      </c>
      <c r="CN319" s="26"/>
      <c r="DB319" s="24" t="s">
        <v>943</v>
      </c>
      <c r="DC319" s="21">
        <v>1</v>
      </c>
      <c r="DD319" s="21">
        <v>3</v>
      </c>
      <c r="DE319" s="22">
        <v>42752</v>
      </c>
      <c r="DF319" s="21" t="s">
        <v>4113</v>
      </c>
      <c r="DG319" s="21" t="s">
        <v>522</v>
      </c>
      <c r="DH319" s="21" t="s">
        <v>4114</v>
      </c>
      <c r="DI319" s="21" t="s">
        <v>495</v>
      </c>
      <c r="DJ319" s="21" t="s">
        <v>523</v>
      </c>
      <c r="DK319" s="26"/>
      <c r="DL319" s="26">
        <v>42758</v>
      </c>
      <c r="DM319" s="26">
        <v>42748</v>
      </c>
      <c r="DN319" s="21">
        <v>1100</v>
      </c>
      <c r="DO319" s="21">
        <v>7</v>
      </c>
      <c r="DP319" s="21">
        <v>2</v>
      </c>
      <c r="DQ319" s="21">
        <v>2</v>
      </c>
      <c r="DR319" s="21">
        <v>2</v>
      </c>
      <c r="DS319" s="21">
        <v>10</v>
      </c>
      <c r="DT319" s="21">
        <v>7</v>
      </c>
      <c r="DU319" s="21">
        <v>7</v>
      </c>
      <c r="DW319" s="21">
        <v>0</v>
      </c>
      <c r="EA319" s="21">
        <v>0</v>
      </c>
      <c r="EF319" s="25">
        <v>0</v>
      </c>
      <c r="EG319" s="25">
        <v>1</v>
      </c>
      <c r="EH319" s="25">
        <v>0</v>
      </c>
      <c r="EI319" s="25">
        <v>0</v>
      </c>
      <c r="EJ319" s="25" t="s">
        <v>92</v>
      </c>
      <c r="EK319" s="25" t="s">
        <v>232</v>
      </c>
      <c r="EL319" s="25" t="s">
        <v>239</v>
      </c>
      <c r="EM319" s="25" t="s">
        <v>276</v>
      </c>
      <c r="EN319" s="25" t="s">
        <v>39</v>
      </c>
      <c r="EO319" s="25" t="s">
        <v>39</v>
      </c>
      <c r="EP319" s="25" t="s">
        <v>92</v>
      </c>
      <c r="EQ319" s="25" t="s">
        <v>529</v>
      </c>
      <c r="ER319" s="25" t="s">
        <v>278</v>
      </c>
      <c r="ES319" s="25" t="s">
        <v>278</v>
      </c>
      <c r="ET319" s="25">
        <v>1</v>
      </c>
      <c r="EU319" s="25" t="s">
        <v>522</v>
      </c>
      <c r="EV319" s="25" t="s">
        <v>279</v>
      </c>
      <c r="EW319" s="25" t="s">
        <v>279</v>
      </c>
      <c r="EX319" s="25" t="s">
        <v>279</v>
      </c>
      <c r="EY319" s="20" t="e">
        <v>#N/A</v>
      </c>
    </row>
    <row r="320" spans="1:155">
      <c r="A320" s="21" t="s">
        <v>491</v>
      </c>
      <c r="B320" s="21" t="s">
        <v>491</v>
      </c>
      <c r="C320" s="21" t="s">
        <v>492</v>
      </c>
      <c r="D320" s="21" t="s">
        <v>493</v>
      </c>
      <c r="E320" s="21" t="s">
        <v>493</v>
      </c>
      <c r="F320" s="21" t="s">
        <v>493</v>
      </c>
      <c r="G320" s="21" t="s">
        <v>4115</v>
      </c>
      <c r="H320" s="21">
        <v>7132722896</v>
      </c>
      <c r="I320" s="21" t="s">
        <v>494</v>
      </c>
      <c r="J320" s="21" t="s">
        <v>4116</v>
      </c>
      <c r="L320" s="21" t="s">
        <v>495</v>
      </c>
      <c r="M320" s="21" t="s">
        <v>4117</v>
      </c>
      <c r="N320" s="21" t="s">
        <v>496</v>
      </c>
      <c r="O320" s="21" t="s">
        <v>69</v>
      </c>
      <c r="P320" s="21" t="s">
        <v>497</v>
      </c>
      <c r="R320" s="21" t="s">
        <v>498</v>
      </c>
      <c r="S320" s="21" t="s">
        <v>499</v>
      </c>
      <c r="V320" s="21" t="s">
        <v>500</v>
      </c>
      <c r="W320" s="21" t="s">
        <v>501</v>
      </c>
      <c r="X320" s="21" t="s">
        <v>502</v>
      </c>
      <c r="Y320" s="21" t="s">
        <v>503</v>
      </c>
      <c r="Z320" s="21">
        <v>3035678648</v>
      </c>
      <c r="AA320" s="26">
        <v>42746</v>
      </c>
      <c r="AB320" s="26">
        <v>42746</v>
      </c>
      <c r="AC320" s="21" t="s">
        <v>504</v>
      </c>
      <c r="AD320" s="21" t="s">
        <v>505</v>
      </c>
      <c r="AE320" s="21" t="s">
        <v>500</v>
      </c>
      <c r="AF320" s="21" t="s">
        <v>549</v>
      </c>
      <c r="AG320" s="21" t="s">
        <v>555</v>
      </c>
      <c r="AH320" s="21" t="s">
        <v>556</v>
      </c>
      <c r="AI320" s="21" t="s">
        <v>1117</v>
      </c>
      <c r="AJ320" s="21" t="s">
        <v>526</v>
      </c>
      <c r="AK320" s="21" t="s">
        <v>494</v>
      </c>
      <c r="AL320" s="21" t="s">
        <v>527</v>
      </c>
      <c r="AM320" s="21" t="s">
        <v>527</v>
      </c>
      <c r="AN320" s="21" t="s">
        <v>527</v>
      </c>
      <c r="AO320" s="21" t="s">
        <v>528</v>
      </c>
      <c r="AS320" s="21" t="s">
        <v>511</v>
      </c>
      <c r="AT320" s="21" t="s">
        <v>512</v>
      </c>
      <c r="AW320" s="21">
        <v>0</v>
      </c>
      <c r="AX320" s="21">
        <v>4</v>
      </c>
      <c r="AY320" s="26"/>
      <c r="AZ320" s="26"/>
      <c r="BB320" s="26"/>
      <c r="BC320" s="21" t="s">
        <v>513</v>
      </c>
      <c r="BD320" s="21" t="s">
        <v>514</v>
      </c>
      <c r="BE320" s="21" t="s">
        <v>514</v>
      </c>
      <c r="BF320" s="21" t="s">
        <v>515</v>
      </c>
      <c r="BG320" s="21">
        <v>1</v>
      </c>
      <c r="BH320" s="21" t="s">
        <v>516</v>
      </c>
      <c r="BI320" s="21" t="s">
        <v>517</v>
      </c>
      <c r="BJ320" s="21" t="s">
        <v>516</v>
      </c>
      <c r="BK320" s="21" t="s">
        <v>516</v>
      </c>
      <c r="BM320" s="21" t="s">
        <v>593</v>
      </c>
      <c r="BN320" s="21" t="s">
        <v>909</v>
      </c>
      <c r="BO320" s="21" t="s">
        <v>1271</v>
      </c>
      <c r="BP320" s="21" t="s">
        <v>533</v>
      </c>
      <c r="BQ320" s="21" t="s">
        <v>593</v>
      </c>
      <c r="BR320" s="21" t="s">
        <v>909</v>
      </c>
      <c r="BS320" s="21" t="s">
        <v>1271</v>
      </c>
      <c r="BT320" s="21" t="s">
        <v>533</v>
      </c>
      <c r="BU320" s="21" t="s">
        <v>909</v>
      </c>
      <c r="CD320" s="21" t="s">
        <v>520</v>
      </c>
      <c r="CF320" s="21" t="s">
        <v>534</v>
      </c>
      <c r="CN320" s="26"/>
      <c r="DB320" s="24" t="s">
        <v>943</v>
      </c>
      <c r="DC320" s="21">
        <v>1</v>
      </c>
      <c r="DD320" s="21">
        <v>3</v>
      </c>
      <c r="DE320" s="22">
        <v>42752</v>
      </c>
      <c r="DF320" s="21" t="s">
        <v>4118</v>
      </c>
      <c r="DG320" s="21" t="s">
        <v>522</v>
      </c>
      <c r="DH320" s="21" t="s">
        <v>4119</v>
      </c>
      <c r="DI320" s="21" t="s">
        <v>495</v>
      </c>
      <c r="DJ320" s="21" t="s">
        <v>523</v>
      </c>
      <c r="DK320" s="26"/>
      <c r="DL320" s="26">
        <v>42758</v>
      </c>
      <c r="DM320" s="26">
        <v>42748</v>
      </c>
      <c r="DN320" s="21">
        <v>3100</v>
      </c>
      <c r="DO320" s="21">
        <v>5</v>
      </c>
      <c r="DP320" s="21">
        <v>2</v>
      </c>
      <c r="DQ320" s="21">
        <v>2</v>
      </c>
      <c r="DR320" s="21">
        <v>5</v>
      </c>
      <c r="DS320" s="21">
        <v>9</v>
      </c>
      <c r="DT320" s="21">
        <v>10</v>
      </c>
      <c r="DU320" s="21">
        <v>8</v>
      </c>
      <c r="DW320" s="21">
        <v>5</v>
      </c>
      <c r="DY320" s="21">
        <v>7</v>
      </c>
      <c r="EA320" s="21">
        <v>7</v>
      </c>
      <c r="EB320" s="21" t="s">
        <v>4120</v>
      </c>
      <c r="EC320" s="21" t="s">
        <v>4367</v>
      </c>
      <c r="EF320" s="25">
        <v>0</v>
      </c>
      <c r="EG320" s="25">
        <v>0</v>
      </c>
      <c r="EH320" s="25">
        <v>0</v>
      </c>
      <c r="EI320" s="25">
        <v>0</v>
      </c>
      <c r="EJ320" s="25" t="s">
        <v>62</v>
      </c>
      <c r="EK320" s="25" t="s">
        <v>276</v>
      </c>
      <c r="EL320" s="25" t="s">
        <v>276</v>
      </c>
      <c r="EM320" s="25" t="s">
        <v>276</v>
      </c>
      <c r="EN320" s="25" t="s">
        <v>276</v>
      </c>
      <c r="EO320" s="25" t="s">
        <v>276</v>
      </c>
      <c r="EP320" s="25" t="s">
        <v>276</v>
      </c>
      <c r="EQ320" s="25" t="s">
        <v>276</v>
      </c>
      <c r="ER320" s="25" t="s">
        <v>276</v>
      </c>
      <c r="ES320" s="25" t="s">
        <v>276</v>
      </c>
      <c r="ET320" s="25">
        <v>1</v>
      </c>
      <c r="EU320" s="25" t="s">
        <v>522</v>
      </c>
      <c r="EV320" s="25" t="s">
        <v>276</v>
      </c>
      <c r="EW320" s="25" t="s">
        <v>276</v>
      </c>
      <c r="EX320" s="25" t="s">
        <v>276</v>
      </c>
      <c r="EY320" s="20" t="s">
        <v>273</v>
      </c>
    </row>
    <row r="321" spans="1:155">
      <c r="A321" s="21" t="s">
        <v>491</v>
      </c>
      <c r="B321" s="21" t="s">
        <v>491</v>
      </c>
      <c r="C321" s="21" t="s">
        <v>492</v>
      </c>
      <c r="D321" s="21" t="s">
        <v>493</v>
      </c>
      <c r="E321" s="21" t="s">
        <v>493</v>
      </c>
      <c r="F321" s="21" t="s">
        <v>493</v>
      </c>
      <c r="G321" s="21" t="s">
        <v>4121</v>
      </c>
      <c r="H321" s="21">
        <v>2137217793</v>
      </c>
      <c r="I321" s="21">
        <v>2137217793</v>
      </c>
      <c r="J321" s="21" t="s">
        <v>4122</v>
      </c>
      <c r="L321" s="21" t="s">
        <v>495</v>
      </c>
      <c r="M321" s="21" t="s">
        <v>4123</v>
      </c>
      <c r="N321" s="21" t="s">
        <v>4124</v>
      </c>
      <c r="O321" s="21" t="s">
        <v>98</v>
      </c>
      <c r="P321" s="21" t="s">
        <v>553</v>
      </c>
      <c r="R321" s="21" t="s">
        <v>4125</v>
      </c>
      <c r="S321" s="21" t="s">
        <v>4126</v>
      </c>
      <c r="V321" s="21" t="s">
        <v>500</v>
      </c>
      <c r="W321" s="21" t="s">
        <v>501</v>
      </c>
      <c r="X321" s="21" t="s">
        <v>502</v>
      </c>
      <c r="Y321" s="21" t="s">
        <v>554</v>
      </c>
      <c r="Z321" s="21">
        <v>3035686031</v>
      </c>
      <c r="AA321" s="26">
        <v>42746</v>
      </c>
      <c r="AB321" s="26">
        <v>42746</v>
      </c>
      <c r="AC321" s="21" t="s">
        <v>504</v>
      </c>
      <c r="AD321" s="21" t="s">
        <v>505</v>
      </c>
      <c r="AE321" s="21" t="s">
        <v>500</v>
      </c>
      <c r="AF321" s="21" t="s">
        <v>506</v>
      </c>
      <c r="AG321" s="21" t="s">
        <v>1148</v>
      </c>
      <c r="AH321" s="21" t="s">
        <v>1149</v>
      </c>
      <c r="AI321" s="21" t="s">
        <v>4127</v>
      </c>
      <c r="AJ321" s="21" t="s">
        <v>507</v>
      </c>
      <c r="AK321" s="21" t="s">
        <v>494</v>
      </c>
      <c r="AL321" s="21" t="s">
        <v>527</v>
      </c>
      <c r="AM321" s="21" t="s">
        <v>527</v>
      </c>
      <c r="AN321" s="21" t="s">
        <v>527</v>
      </c>
      <c r="AO321" s="21" t="s">
        <v>528</v>
      </c>
      <c r="AS321" s="21" t="s">
        <v>511</v>
      </c>
      <c r="AT321" s="21" t="s">
        <v>512</v>
      </c>
      <c r="AW321" s="21">
        <v>0</v>
      </c>
      <c r="AX321" s="21">
        <v>2</v>
      </c>
      <c r="AY321" s="26"/>
      <c r="AZ321" s="26"/>
      <c r="BB321" s="26"/>
      <c r="BC321" s="21" t="s">
        <v>513</v>
      </c>
      <c r="BD321" s="21" t="s">
        <v>514</v>
      </c>
      <c r="BE321" s="21" t="s">
        <v>514</v>
      </c>
      <c r="BF321" s="21" t="s">
        <v>515</v>
      </c>
      <c r="BG321" s="21">
        <v>1</v>
      </c>
      <c r="BH321" s="21" t="s">
        <v>516</v>
      </c>
      <c r="BI321" s="21" t="s">
        <v>517</v>
      </c>
      <c r="BJ321" s="21" t="s">
        <v>516</v>
      </c>
      <c r="BK321" s="21" t="s">
        <v>516</v>
      </c>
      <c r="BM321" s="21" t="s">
        <v>14</v>
      </c>
      <c r="BN321" s="21" t="s">
        <v>133</v>
      </c>
      <c r="BO321" s="21" t="s">
        <v>518</v>
      </c>
      <c r="BP321" s="21" t="s">
        <v>519</v>
      </c>
      <c r="BQ321" s="21" t="s">
        <v>14</v>
      </c>
      <c r="BR321" s="21" t="s">
        <v>133</v>
      </c>
      <c r="BS321" s="21" t="s">
        <v>518</v>
      </c>
      <c r="BT321" s="21" t="s">
        <v>519</v>
      </c>
      <c r="BU321" s="21" t="s">
        <v>133</v>
      </c>
      <c r="CD321" s="21" t="s">
        <v>520</v>
      </c>
      <c r="CF321" s="21" t="s">
        <v>521</v>
      </c>
      <c r="CN321" s="26"/>
      <c r="DB321" s="24" t="s">
        <v>943</v>
      </c>
      <c r="DC321" s="21">
        <v>1</v>
      </c>
      <c r="DD321" s="21">
        <v>3</v>
      </c>
      <c r="DE321" s="22">
        <v>42752</v>
      </c>
      <c r="DF321" s="21" t="s">
        <v>4128</v>
      </c>
      <c r="DG321" s="21" t="s">
        <v>522</v>
      </c>
      <c r="DH321" s="21" t="s">
        <v>4129</v>
      </c>
      <c r="DI321" s="21" t="s">
        <v>495</v>
      </c>
      <c r="DJ321" s="21" t="s">
        <v>523</v>
      </c>
      <c r="DK321" s="26"/>
      <c r="DL321" s="26">
        <v>42758</v>
      </c>
      <c r="DM321" s="26">
        <v>42748</v>
      </c>
      <c r="DN321" s="21">
        <v>3100</v>
      </c>
      <c r="DO321" s="21">
        <v>9</v>
      </c>
      <c r="DP321" s="21">
        <v>1</v>
      </c>
      <c r="DQ321" s="21">
        <v>2</v>
      </c>
      <c r="DR321" s="21">
        <v>5</v>
      </c>
      <c r="DS321" s="21">
        <v>9</v>
      </c>
      <c r="DT321" s="21">
        <v>9</v>
      </c>
      <c r="DU321" s="21">
        <v>8</v>
      </c>
      <c r="DW321" s="21">
        <v>9</v>
      </c>
      <c r="EA321" s="21">
        <v>9</v>
      </c>
      <c r="EF321" s="25">
        <v>1</v>
      </c>
      <c r="EG321" s="25">
        <v>0</v>
      </c>
      <c r="EH321" s="25">
        <v>1</v>
      </c>
      <c r="EI321" s="25">
        <v>0</v>
      </c>
      <c r="EJ321" s="25" t="s">
        <v>62</v>
      </c>
      <c r="EK321" s="25" t="s">
        <v>134</v>
      </c>
      <c r="EL321" s="25" t="s">
        <v>134</v>
      </c>
      <c r="EM321" s="25" t="s">
        <v>276</v>
      </c>
      <c r="EN321" s="25" t="s">
        <v>9</v>
      </c>
      <c r="EO321" s="25" t="s">
        <v>9</v>
      </c>
      <c r="EP321" s="25" t="s">
        <v>62</v>
      </c>
      <c r="EQ321" s="25" t="s">
        <v>62</v>
      </c>
      <c r="ER321" s="25" t="s">
        <v>278</v>
      </c>
      <c r="ES321" s="25" t="s">
        <v>278</v>
      </c>
      <c r="ET321" s="25">
        <v>1</v>
      </c>
      <c r="EU321" s="25" t="s">
        <v>522</v>
      </c>
      <c r="EV321" s="25" t="s">
        <v>134</v>
      </c>
      <c r="EW321" s="25" t="s">
        <v>9</v>
      </c>
      <c r="EX321" s="25" t="s">
        <v>278</v>
      </c>
      <c r="EY321" s="20" t="e">
        <v>#N/A</v>
      </c>
    </row>
    <row r="322" spans="1:155">
      <c r="A322" s="21" t="s">
        <v>491</v>
      </c>
      <c r="B322" s="21" t="s">
        <v>491</v>
      </c>
      <c r="C322" s="21" t="s">
        <v>492</v>
      </c>
      <c r="D322" s="21" t="s">
        <v>493</v>
      </c>
      <c r="E322" s="21" t="s">
        <v>493</v>
      </c>
      <c r="F322" s="21" t="s">
        <v>493</v>
      </c>
      <c r="G322" s="21" t="s">
        <v>4130</v>
      </c>
      <c r="H322" s="21" t="s">
        <v>4131</v>
      </c>
      <c r="I322" s="21" t="s">
        <v>494</v>
      </c>
      <c r="J322" s="21" t="s">
        <v>4132</v>
      </c>
      <c r="L322" s="21" t="s">
        <v>495</v>
      </c>
      <c r="M322" s="21" t="s">
        <v>4133</v>
      </c>
      <c r="N322" s="21" t="s">
        <v>1051</v>
      </c>
      <c r="O322" s="21" t="s">
        <v>93</v>
      </c>
      <c r="P322" s="21" t="s">
        <v>539</v>
      </c>
      <c r="R322" s="21" t="s">
        <v>1052</v>
      </c>
      <c r="S322" s="21" t="s">
        <v>1053</v>
      </c>
      <c r="V322" s="21" t="s">
        <v>277</v>
      </c>
      <c r="W322" s="21" t="s">
        <v>524</v>
      </c>
      <c r="X322" s="21" t="s">
        <v>525</v>
      </c>
      <c r="Y322" s="21" t="s">
        <v>530</v>
      </c>
      <c r="Z322" s="21">
        <v>3035683352</v>
      </c>
      <c r="AA322" s="26">
        <v>42746</v>
      </c>
      <c r="AB322" s="26">
        <v>42747</v>
      </c>
      <c r="AC322" s="21" t="s">
        <v>504</v>
      </c>
      <c r="AD322" s="21" t="s">
        <v>505</v>
      </c>
      <c r="AE322" s="21" t="s">
        <v>1020</v>
      </c>
      <c r="AF322" s="21" t="s">
        <v>1021</v>
      </c>
      <c r="AG322" s="21" t="s">
        <v>1794</v>
      </c>
      <c r="AH322" s="21" t="s">
        <v>1795</v>
      </c>
      <c r="AI322" s="21" t="s">
        <v>1372</v>
      </c>
      <c r="AJ322" s="21" t="s">
        <v>507</v>
      </c>
      <c r="AK322" s="21" t="s">
        <v>494</v>
      </c>
      <c r="AL322" s="21" t="s">
        <v>527</v>
      </c>
      <c r="AM322" s="21" t="s">
        <v>527</v>
      </c>
      <c r="AN322" s="21" t="s">
        <v>527</v>
      </c>
      <c r="AO322" s="21" t="s">
        <v>528</v>
      </c>
      <c r="AS322" s="21" t="s">
        <v>511</v>
      </c>
      <c r="AT322" s="21" t="s">
        <v>512</v>
      </c>
      <c r="AW322" s="21">
        <v>0</v>
      </c>
      <c r="AX322" s="21">
        <v>6</v>
      </c>
      <c r="AY322" s="26"/>
      <c r="AZ322" s="26"/>
      <c r="BB322" s="26"/>
      <c r="BC322" s="21" t="s">
        <v>513</v>
      </c>
      <c r="BD322" s="21" t="s">
        <v>514</v>
      </c>
      <c r="BE322" s="21" t="s">
        <v>514</v>
      </c>
      <c r="BF322" s="21" t="s">
        <v>515</v>
      </c>
      <c r="BG322" s="21">
        <v>1</v>
      </c>
      <c r="BH322" s="21" t="s">
        <v>516</v>
      </c>
      <c r="BI322" s="21" t="s">
        <v>517</v>
      </c>
      <c r="BJ322" s="21" t="s">
        <v>516</v>
      </c>
      <c r="BK322" s="21" t="s">
        <v>516</v>
      </c>
      <c r="BM322" s="21" t="s">
        <v>1526</v>
      </c>
      <c r="BN322" s="21" t="s">
        <v>145</v>
      </c>
      <c r="BO322" s="21" t="s">
        <v>518</v>
      </c>
      <c r="BP322" s="21" t="s">
        <v>1044</v>
      </c>
      <c r="BQ322" s="21" t="s">
        <v>1373</v>
      </c>
      <c r="BR322" s="21" t="s">
        <v>213</v>
      </c>
      <c r="BS322" s="21" t="s">
        <v>518</v>
      </c>
      <c r="BT322" s="21" t="s">
        <v>1044</v>
      </c>
      <c r="BU322" s="21" t="s">
        <v>145</v>
      </c>
      <c r="CD322" s="21" t="s">
        <v>520</v>
      </c>
      <c r="CF322" s="21" t="s">
        <v>521</v>
      </c>
      <c r="CN322" s="26"/>
      <c r="DB322" s="24" t="s">
        <v>943</v>
      </c>
      <c r="DC322" s="21">
        <v>1</v>
      </c>
      <c r="DD322" s="21">
        <v>3</v>
      </c>
      <c r="DE322" s="22">
        <v>42752</v>
      </c>
      <c r="DF322" s="21" t="s">
        <v>4134</v>
      </c>
      <c r="DG322" s="21" t="s">
        <v>522</v>
      </c>
      <c r="DH322" s="21" t="s">
        <v>4135</v>
      </c>
      <c r="DI322" s="21" t="s">
        <v>495</v>
      </c>
      <c r="DJ322" s="21" t="s">
        <v>520</v>
      </c>
      <c r="DK322" s="26"/>
      <c r="DL322" s="26">
        <v>42759</v>
      </c>
      <c r="DM322" s="26">
        <v>42749</v>
      </c>
      <c r="DN322" s="21">
        <v>1100</v>
      </c>
      <c r="DO322" s="21">
        <v>10</v>
      </c>
      <c r="DP322" s="21">
        <v>1</v>
      </c>
      <c r="DQ322" s="21">
        <v>2</v>
      </c>
      <c r="DR322" s="21">
        <v>7</v>
      </c>
      <c r="DS322" s="21">
        <v>10</v>
      </c>
      <c r="DT322" s="21">
        <v>10</v>
      </c>
      <c r="DU322" s="21">
        <v>10</v>
      </c>
      <c r="DW322" s="21">
        <v>10</v>
      </c>
      <c r="EA322" s="21">
        <v>10</v>
      </c>
      <c r="EB322" s="21" t="s">
        <v>4136</v>
      </c>
      <c r="EC322" s="21" t="s">
        <v>1221</v>
      </c>
      <c r="EF322" s="25">
        <v>1</v>
      </c>
      <c r="EG322" s="25">
        <v>0</v>
      </c>
      <c r="EH322" s="25">
        <v>1</v>
      </c>
      <c r="EI322" s="25">
        <v>0</v>
      </c>
      <c r="EJ322" s="25" t="s">
        <v>92</v>
      </c>
      <c r="EK322" s="25" t="s">
        <v>146</v>
      </c>
      <c r="EL322" s="25" t="s">
        <v>214</v>
      </c>
      <c r="EM322" s="25" t="s">
        <v>276</v>
      </c>
      <c r="EN322" s="25" t="s">
        <v>31</v>
      </c>
      <c r="EO322" s="25" t="s">
        <v>31</v>
      </c>
      <c r="EP322" s="25" t="s">
        <v>92</v>
      </c>
      <c r="EQ322" s="25" t="s">
        <v>92</v>
      </c>
      <c r="ER322" s="25" t="s">
        <v>278</v>
      </c>
      <c r="ES322" s="25" t="s">
        <v>278</v>
      </c>
      <c r="ET322" s="25">
        <v>1</v>
      </c>
      <c r="EU322" s="25" t="s">
        <v>522</v>
      </c>
      <c r="EV322" s="25" t="s">
        <v>279</v>
      </c>
      <c r="EW322" s="25" t="s">
        <v>279</v>
      </c>
      <c r="EX322" s="25" t="s">
        <v>279</v>
      </c>
      <c r="EY322" s="20" t="e">
        <v>#N/A</v>
      </c>
    </row>
    <row r="323" spans="1:155">
      <c r="A323" s="21" t="s">
        <v>491</v>
      </c>
      <c r="B323" s="21" t="s">
        <v>491</v>
      </c>
      <c r="C323" s="21" t="s">
        <v>492</v>
      </c>
      <c r="D323" s="21" t="s">
        <v>493</v>
      </c>
      <c r="E323" s="21" t="s">
        <v>493</v>
      </c>
      <c r="F323" s="21" t="s">
        <v>493</v>
      </c>
      <c r="G323" s="21" t="s">
        <v>4137</v>
      </c>
      <c r="H323" s="21" t="s">
        <v>4138</v>
      </c>
      <c r="I323" s="21" t="s">
        <v>494</v>
      </c>
      <c r="J323" s="21" t="s">
        <v>4139</v>
      </c>
      <c r="L323" s="21" t="s">
        <v>495</v>
      </c>
      <c r="M323" s="21" t="s">
        <v>4140</v>
      </c>
      <c r="N323" s="21" t="s">
        <v>2733</v>
      </c>
      <c r="O323" s="21" t="s">
        <v>69</v>
      </c>
      <c r="P323" s="21" t="s">
        <v>497</v>
      </c>
      <c r="R323" s="21" t="s">
        <v>2734</v>
      </c>
      <c r="S323" s="21" t="s">
        <v>2735</v>
      </c>
      <c r="V323" s="21" t="s">
        <v>500</v>
      </c>
      <c r="W323" s="21" t="s">
        <v>501</v>
      </c>
      <c r="X323" s="21" t="s">
        <v>502</v>
      </c>
      <c r="Y323" s="21" t="s">
        <v>503</v>
      </c>
      <c r="Z323" s="21">
        <v>3035688643</v>
      </c>
      <c r="AA323" s="26">
        <v>42746</v>
      </c>
      <c r="AB323" s="26">
        <v>42747</v>
      </c>
      <c r="AC323" s="21" t="s">
        <v>504</v>
      </c>
      <c r="AD323" s="21" t="s">
        <v>505</v>
      </c>
      <c r="AE323" s="21" t="s">
        <v>500</v>
      </c>
      <c r="AF323" s="21" t="s">
        <v>564</v>
      </c>
      <c r="AG323" s="21" t="s">
        <v>4141</v>
      </c>
      <c r="AH323" s="21" t="s">
        <v>4142</v>
      </c>
      <c r="AI323" s="21" t="s">
        <v>4143</v>
      </c>
      <c r="AJ323" s="21" t="s">
        <v>507</v>
      </c>
      <c r="AK323" s="21" t="s">
        <v>494</v>
      </c>
      <c r="AL323" s="21" t="s">
        <v>527</v>
      </c>
      <c r="AM323" s="21" t="s">
        <v>527</v>
      </c>
      <c r="AN323" s="21" t="s">
        <v>527</v>
      </c>
      <c r="AO323" s="21" t="s">
        <v>528</v>
      </c>
      <c r="AS323" s="21" t="s">
        <v>511</v>
      </c>
      <c r="AT323" s="21" t="s">
        <v>512</v>
      </c>
      <c r="AW323" s="21">
        <v>0</v>
      </c>
      <c r="AX323" s="21">
        <v>4</v>
      </c>
      <c r="AY323" s="26"/>
      <c r="AZ323" s="26"/>
      <c r="BB323" s="26"/>
      <c r="BC323" s="21" t="s">
        <v>513</v>
      </c>
      <c r="BD323" s="21" t="s">
        <v>514</v>
      </c>
      <c r="BE323" s="21" t="s">
        <v>514</v>
      </c>
      <c r="BF323" s="21" t="s">
        <v>515</v>
      </c>
      <c r="BG323" s="21">
        <v>1</v>
      </c>
      <c r="BH323" s="21" t="s">
        <v>516</v>
      </c>
      <c r="BI323" s="21" t="s">
        <v>517</v>
      </c>
      <c r="BJ323" s="21" t="s">
        <v>516</v>
      </c>
      <c r="BK323" s="21" t="s">
        <v>516</v>
      </c>
      <c r="BM323" s="21" t="s">
        <v>593</v>
      </c>
      <c r="BN323" s="21" t="s">
        <v>909</v>
      </c>
      <c r="BO323" s="21" t="s">
        <v>1271</v>
      </c>
      <c r="BP323" s="21" t="s">
        <v>533</v>
      </c>
      <c r="BQ323" s="21" t="s">
        <v>21</v>
      </c>
      <c r="BR323" s="21" t="s">
        <v>115</v>
      </c>
      <c r="BS323" s="21" t="s">
        <v>518</v>
      </c>
      <c r="BT323" s="21" t="s">
        <v>519</v>
      </c>
      <c r="BU323" s="21" t="s">
        <v>909</v>
      </c>
      <c r="CD323" s="21" t="s">
        <v>520</v>
      </c>
      <c r="CF323" s="21" t="s">
        <v>534</v>
      </c>
      <c r="CN323" s="26"/>
      <c r="DB323" s="24" t="s">
        <v>943</v>
      </c>
      <c r="DC323" s="21">
        <v>1</v>
      </c>
      <c r="DD323" s="21">
        <v>3</v>
      </c>
      <c r="DE323" s="22">
        <v>42752</v>
      </c>
      <c r="DF323" s="21" t="s">
        <v>1521</v>
      </c>
      <c r="DG323" s="21" t="s">
        <v>522</v>
      </c>
      <c r="DH323" s="21" t="s">
        <v>4144</v>
      </c>
      <c r="DI323" s="21" t="s">
        <v>495</v>
      </c>
      <c r="DJ323" s="21" t="s">
        <v>520</v>
      </c>
      <c r="DK323" s="26"/>
      <c r="DL323" s="26">
        <v>42759</v>
      </c>
      <c r="DM323" s="26">
        <v>42749</v>
      </c>
      <c r="DN323" s="21">
        <v>3100</v>
      </c>
      <c r="DO323" s="21">
        <v>8</v>
      </c>
      <c r="DP323" s="21">
        <v>1</v>
      </c>
      <c r="DQ323" s="21">
        <v>2</v>
      </c>
      <c r="DR323" s="21">
        <v>6</v>
      </c>
      <c r="DS323" s="21">
        <v>8</v>
      </c>
      <c r="DT323" s="21">
        <v>8</v>
      </c>
      <c r="DU323" s="21">
        <v>8</v>
      </c>
      <c r="DW323" s="21">
        <v>8</v>
      </c>
      <c r="DY323" s="21">
        <v>8</v>
      </c>
      <c r="EA323" s="21">
        <v>9</v>
      </c>
      <c r="EB323" s="21" t="s">
        <v>4145</v>
      </c>
      <c r="EC323" s="21" t="s">
        <v>1221</v>
      </c>
      <c r="EF323" s="25">
        <v>1</v>
      </c>
      <c r="EG323" s="25">
        <v>0</v>
      </c>
      <c r="EH323" s="25">
        <v>0</v>
      </c>
      <c r="EI323" s="25">
        <v>0</v>
      </c>
      <c r="EJ323" s="25" t="s">
        <v>62</v>
      </c>
      <c r="EK323" s="25" t="s">
        <v>276</v>
      </c>
      <c r="EL323" s="25" t="s">
        <v>116</v>
      </c>
      <c r="EM323" s="25" t="s">
        <v>276</v>
      </c>
      <c r="EN323" s="25" t="s">
        <v>276</v>
      </c>
      <c r="EO323" s="25" t="s">
        <v>127</v>
      </c>
      <c r="EP323" s="25" t="s">
        <v>276</v>
      </c>
      <c r="EQ323" s="25" t="s">
        <v>529</v>
      </c>
      <c r="ER323" s="25" t="s">
        <v>276</v>
      </c>
      <c r="ES323" s="25" t="s">
        <v>278</v>
      </c>
      <c r="ET323" s="25">
        <v>1</v>
      </c>
      <c r="EU323" s="25" t="s">
        <v>522</v>
      </c>
      <c r="EV323" s="25" t="s">
        <v>279</v>
      </c>
      <c r="EW323" s="25" t="s">
        <v>279</v>
      </c>
      <c r="EX323" s="25" t="s">
        <v>279</v>
      </c>
      <c r="EY323" s="20" t="s">
        <v>273</v>
      </c>
    </row>
    <row r="324" spans="1:155">
      <c r="A324" s="21" t="s">
        <v>491</v>
      </c>
      <c r="B324" s="21" t="s">
        <v>491</v>
      </c>
      <c r="C324" s="21" t="s">
        <v>492</v>
      </c>
      <c r="D324" s="21" t="s">
        <v>493</v>
      </c>
      <c r="E324" s="21" t="s">
        <v>493</v>
      </c>
      <c r="F324" s="21" t="s">
        <v>493</v>
      </c>
      <c r="G324" s="21" t="s">
        <v>4146</v>
      </c>
      <c r="H324" s="21" t="s">
        <v>4147</v>
      </c>
      <c r="I324" s="21" t="s">
        <v>494</v>
      </c>
      <c r="J324" s="21" t="s">
        <v>4148</v>
      </c>
      <c r="L324" s="21" t="s">
        <v>495</v>
      </c>
      <c r="M324" s="21" t="s">
        <v>4149</v>
      </c>
      <c r="N324" s="21" t="s">
        <v>4150</v>
      </c>
      <c r="O324" s="21" t="s">
        <v>79</v>
      </c>
      <c r="P324" s="21" t="s">
        <v>570</v>
      </c>
      <c r="R324" s="21" t="s">
        <v>4151</v>
      </c>
      <c r="S324" s="21" t="s">
        <v>4152</v>
      </c>
      <c r="V324" s="21" t="s">
        <v>500</v>
      </c>
      <c r="W324" s="21" t="s">
        <v>501</v>
      </c>
      <c r="X324" s="21" t="s">
        <v>502</v>
      </c>
      <c r="Y324" s="21" t="s">
        <v>503</v>
      </c>
      <c r="Z324" s="21">
        <v>3035751035</v>
      </c>
      <c r="AA324" s="26">
        <v>42748</v>
      </c>
      <c r="AB324" s="26">
        <v>42748</v>
      </c>
      <c r="AC324" s="21" t="s">
        <v>504</v>
      </c>
      <c r="AD324" s="21" t="s">
        <v>505</v>
      </c>
      <c r="AE324" s="21" t="s">
        <v>500</v>
      </c>
      <c r="AF324" s="21" t="s">
        <v>549</v>
      </c>
      <c r="AG324" s="21" t="s">
        <v>555</v>
      </c>
      <c r="AH324" s="21" t="s">
        <v>556</v>
      </c>
      <c r="AI324" s="21" t="s">
        <v>4153</v>
      </c>
      <c r="AJ324" s="21" t="s">
        <v>526</v>
      </c>
      <c r="AK324" s="21" t="s">
        <v>494</v>
      </c>
      <c r="AL324" s="21" t="s">
        <v>527</v>
      </c>
      <c r="AM324" s="21" t="s">
        <v>527</v>
      </c>
      <c r="AN324" s="21" t="s">
        <v>527</v>
      </c>
      <c r="AO324" s="21" t="s">
        <v>528</v>
      </c>
      <c r="AS324" s="21" t="s">
        <v>511</v>
      </c>
      <c r="AT324" s="21" t="s">
        <v>512</v>
      </c>
      <c r="AW324" s="21">
        <v>0</v>
      </c>
      <c r="AX324" s="21">
        <v>2</v>
      </c>
      <c r="AY324" s="26"/>
      <c r="AZ324" s="26"/>
      <c r="BB324" s="26"/>
      <c r="BC324" s="21" t="s">
        <v>513</v>
      </c>
      <c r="BD324" s="21" t="s">
        <v>514</v>
      </c>
      <c r="BE324" s="21" t="s">
        <v>514</v>
      </c>
      <c r="BF324" s="21" t="s">
        <v>515</v>
      </c>
      <c r="BG324" s="21">
        <v>1</v>
      </c>
      <c r="BH324" s="21" t="s">
        <v>516</v>
      </c>
      <c r="BI324" s="21" t="s">
        <v>517</v>
      </c>
      <c r="BJ324" s="21" t="s">
        <v>516</v>
      </c>
      <c r="BK324" s="21" t="s">
        <v>516</v>
      </c>
      <c r="BM324" s="21" t="s">
        <v>1110</v>
      </c>
      <c r="BN324" s="21" t="s">
        <v>200</v>
      </c>
      <c r="BO324" s="21" t="s">
        <v>518</v>
      </c>
      <c r="BP324" s="21" t="s">
        <v>1044</v>
      </c>
      <c r="BQ324" s="21" t="s">
        <v>1110</v>
      </c>
      <c r="BR324" s="21" t="s">
        <v>200</v>
      </c>
      <c r="BS324" s="21" t="s">
        <v>518</v>
      </c>
      <c r="BT324" s="21" t="s">
        <v>1044</v>
      </c>
      <c r="BU324" s="21" t="s">
        <v>200</v>
      </c>
      <c r="CD324" s="21" t="s">
        <v>520</v>
      </c>
      <c r="CF324" s="21" t="s">
        <v>521</v>
      </c>
      <c r="CN324" s="26"/>
      <c r="DB324" s="24" t="s">
        <v>943</v>
      </c>
      <c r="DC324" s="21">
        <v>1</v>
      </c>
      <c r="DD324" s="21">
        <v>3</v>
      </c>
      <c r="DE324" s="22">
        <v>42752</v>
      </c>
      <c r="DF324" s="21" t="s">
        <v>4154</v>
      </c>
      <c r="DG324" s="21" t="s">
        <v>522</v>
      </c>
      <c r="DH324" s="21" t="s">
        <v>4155</v>
      </c>
      <c r="DI324" s="21" t="s">
        <v>495</v>
      </c>
      <c r="DJ324" s="21" t="s">
        <v>520</v>
      </c>
      <c r="DK324" s="26"/>
      <c r="DL324" s="26">
        <v>42760</v>
      </c>
      <c r="DM324" s="26">
        <v>42750</v>
      </c>
      <c r="DN324" s="21">
        <v>3100</v>
      </c>
      <c r="DO324" s="21">
        <v>10</v>
      </c>
      <c r="DP324" s="21">
        <v>1</v>
      </c>
      <c r="DQ324" s="21">
        <v>1</v>
      </c>
      <c r="DR324" s="21">
        <v>5</v>
      </c>
      <c r="DS324" s="21">
        <v>10</v>
      </c>
      <c r="DT324" s="21">
        <v>10</v>
      </c>
      <c r="DU324" s="21">
        <v>10</v>
      </c>
      <c r="DW324" s="21">
        <v>9</v>
      </c>
      <c r="EA324" s="21">
        <v>8</v>
      </c>
      <c r="EB324" s="21" t="s">
        <v>4156</v>
      </c>
      <c r="EC324" s="21" t="s">
        <v>1221</v>
      </c>
      <c r="EF324" s="25">
        <v>0</v>
      </c>
      <c r="EG324" s="25">
        <v>0</v>
      </c>
      <c r="EH324" s="25">
        <v>1</v>
      </c>
      <c r="EI324" s="25">
        <v>0</v>
      </c>
      <c r="EJ324" s="25" t="s">
        <v>62</v>
      </c>
      <c r="EK324" s="25" t="s">
        <v>201</v>
      </c>
      <c r="EL324" s="25" t="s">
        <v>201</v>
      </c>
      <c r="EM324" s="25" t="s">
        <v>276</v>
      </c>
      <c r="EN324" s="25" t="s">
        <v>31</v>
      </c>
      <c r="EO324" s="25" t="s">
        <v>31</v>
      </c>
      <c r="EP324" s="25" t="s">
        <v>92</v>
      </c>
      <c r="EQ324" s="25" t="s">
        <v>92</v>
      </c>
      <c r="ER324" s="25" t="s">
        <v>278</v>
      </c>
      <c r="ES324" s="25" t="s">
        <v>278</v>
      </c>
      <c r="ET324" s="25">
        <v>1</v>
      </c>
      <c r="EU324" s="25" t="s">
        <v>522</v>
      </c>
      <c r="EV324" s="25" t="s">
        <v>201</v>
      </c>
      <c r="EW324" s="25" t="s">
        <v>31</v>
      </c>
      <c r="EX324" s="25" t="s">
        <v>278</v>
      </c>
      <c r="EY324" s="20" t="e">
        <v>#N/A</v>
      </c>
    </row>
    <row r="325" spans="1:155">
      <c r="A325" s="21" t="s">
        <v>491</v>
      </c>
      <c r="B325" s="21" t="s">
        <v>491</v>
      </c>
      <c r="C325" s="21" t="s">
        <v>492</v>
      </c>
      <c r="D325" s="21" t="s">
        <v>493</v>
      </c>
      <c r="E325" s="21" t="s">
        <v>493</v>
      </c>
      <c r="F325" s="21" t="s">
        <v>493</v>
      </c>
      <c r="G325" s="21" t="s">
        <v>4157</v>
      </c>
      <c r="H325" s="21">
        <v>5332212726</v>
      </c>
      <c r="I325" s="21" t="s">
        <v>494</v>
      </c>
      <c r="J325" s="21" t="s">
        <v>4158</v>
      </c>
      <c r="L325" s="21" t="s">
        <v>495</v>
      </c>
      <c r="M325" s="21" t="s">
        <v>4159</v>
      </c>
      <c r="N325" s="21" t="s">
        <v>496</v>
      </c>
      <c r="O325" s="21" t="s">
        <v>69</v>
      </c>
      <c r="P325" s="21" t="s">
        <v>497</v>
      </c>
      <c r="R325" s="21" t="s">
        <v>498</v>
      </c>
      <c r="S325" s="21" t="s">
        <v>499</v>
      </c>
      <c r="V325" s="21" t="s">
        <v>500</v>
      </c>
      <c r="W325" s="21" t="s">
        <v>501</v>
      </c>
      <c r="X325" s="21" t="s">
        <v>502</v>
      </c>
      <c r="Y325" s="21" t="s">
        <v>503</v>
      </c>
      <c r="Z325" s="21">
        <v>3035748750</v>
      </c>
      <c r="AA325" s="26">
        <v>42748</v>
      </c>
      <c r="AB325" s="26">
        <v>42748</v>
      </c>
      <c r="AC325" s="21" t="s">
        <v>504</v>
      </c>
      <c r="AD325" s="21" t="s">
        <v>505</v>
      </c>
      <c r="AE325" s="21" t="s">
        <v>500</v>
      </c>
      <c r="AF325" s="21" t="s">
        <v>506</v>
      </c>
      <c r="AG325" s="21" t="s">
        <v>1685</v>
      </c>
      <c r="AH325" s="21" t="s">
        <v>1686</v>
      </c>
      <c r="AI325" s="21" t="s">
        <v>1024</v>
      </c>
      <c r="AJ325" s="21" t="s">
        <v>526</v>
      </c>
      <c r="AK325" s="21" t="s">
        <v>494</v>
      </c>
      <c r="AL325" s="21" t="s">
        <v>527</v>
      </c>
      <c r="AM325" s="21" t="s">
        <v>527</v>
      </c>
      <c r="AN325" s="21" t="s">
        <v>527</v>
      </c>
      <c r="AO325" s="21" t="s">
        <v>528</v>
      </c>
      <c r="AS325" s="21" t="s">
        <v>511</v>
      </c>
      <c r="AT325" s="21" t="s">
        <v>512</v>
      </c>
      <c r="AW325" s="21">
        <v>0</v>
      </c>
      <c r="AX325" s="21">
        <v>2</v>
      </c>
      <c r="AY325" s="26"/>
      <c r="AZ325" s="26"/>
      <c r="BB325" s="26"/>
      <c r="BC325" s="21" t="s">
        <v>513</v>
      </c>
      <c r="BD325" s="21" t="s">
        <v>514</v>
      </c>
      <c r="BE325" s="21" t="s">
        <v>514</v>
      </c>
      <c r="BF325" s="21" t="s">
        <v>515</v>
      </c>
      <c r="BG325" s="21">
        <v>1</v>
      </c>
      <c r="BH325" s="21" t="s">
        <v>516</v>
      </c>
      <c r="BI325" s="21" t="s">
        <v>517</v>
      </c>
      <c r="BJ325" s="21" t="s">
        <v>516</v>
      </c>
      <c r="BK325" s="21" t="s">
        <v>516</v>
      </c>
      <c r="BM325" s="21" t="s">
        <v>1423</v>
      </c>
      <c r="BN325" s="21" t="s">
        <v>227</v>
      </c>
      <c r="BO325" s="21" t="s">
        <v>518</v>
      </c>
      <c r="BP325" s="21" t="s">
        <v>1044</v>
      </c>
      <c r="BQ325" s="21" t="s">
        <v>1423</v>
      </c>
      <c r="BR325" s="21" t="s">
        <v>227</v>
      </c>
      <c r="BS325" s="21" t="s">
        <v>518</v>
      </c>
      <c r="BT325" s="21" t="s">
        <v>1044</v>
      </c>
      <c r="BU325" s="21" t="s">
        <v>227</v>
      </c>
      <c r="CD325" s="21" t="s">
        <v>520</v>
      </c>
      <c r="CF325" s="21" t="s">
        <v>521</v>
      </c>
      <c r="CN325" s="26"/>
      <c r="DB325" s="24" t="s">
        <v>943</v>
      </c>
      <c r="DC325" s="21">
        <v>1</v>
      </c>
      <c r="DD325" s="21">
        <v>3</v>
      </c>
      <c r="DE325" s="22">
        <v>42752</v>
      </c>
      <c r="DF325" s="21" t="s">
        <v>4160</v>
      </c>
      <c r="DG325" s="21" t="s">
        <v>522</v>
      </c>
      <c r="DH325" s="21" t="s">
        <v>4161</v>
      </c>
      <c r="DI325" s="21" t="s">
        <v>495</v>
      </c>
      <c r="DJ325" s="21" t="s">
        <v>520</v>
      </c>
      <c r="DK325" s="26"/>
      <c r="DL325" s="26">
        <v>42760</v>
      </c>
      <c r="DM325" s="26">
        <v>42750</v>
      </c>
      <c r="DN325" s="21">
        <v>3100</v>
      </c>
      <c r="DO325" s="21">
        <v>9</v>
      </c>
      <c r="DP325" s="21">
        <v>1</v>
      </c>
      <c r="DQ325" s="21">
        <v>1</v>
      </c>
      <c r="DR325" s="21">
        <v>6</v>
      </c>
      <c r="DS325" s="21">
        <v>9</v>
      </c>
      <c r="DT325" s="21">
        <v>9</v>
      </c>
      <c r="DU325" s="21">
        <v>9</v>
      </c>
      <c r="DW325" s="21">
        <v>9</v>
      </c>
      <c r="EA325" s="21">
        <v>9</v>
      </c>
      <c r="EB325" s="21" t="s">
        <v>4162</v>
      </c>
      <c r="EC325" s="21" t="s">
        <v>1221</v>
      </c>
      <c r="EF325" s="25">
        <v>1</v>
      </c>
      <c r="EG325" s="25">
        <v>0</v>
      </c>
      <c r="EH325" s="25">
        <v>1</v>
      </c>
      <c r="EI325" s="25">
        <v>0</v>
      </c>
      <c r="EJ325" s="25" t="s">
        <v>62</v>
      </c>
      <c r="EK325" s="25" t="s">
        <v>228</v>
      </c>
      <c r="EL325" s="25" t="s">
        <v>228</v>
      </c>
      <c r="EM325" s="25" t="s">
        <v>276</v>
      </c>
      <c r="EN325" s="25" t="s">
        <v>31</v>
      </c>
      <c r="EO325" s="25" t="s">
        <v>31</v>
      </c>
      <c r="EP325" s="25" t="s">
        <v>92</v>
      </c>
      <c r="EQ325" s="25" t="s">
        <v>92</v>
      </c>
      <c r="ER325" s="25" t="s">
        <v>278</v>
      </c>
      <c r="ES325" s="25" t="s">
        <v>278</v>
      </c>
      <c r="ET325" s="25">
        <v>1</v>
      </c>
      <c r="EU325" s="25" t="s">
        <v>522</v>
      </c>
      <c r="EV325" s="25" t="s">
        <v>228</v>
      </c>
      <c r="EW325" s="25" t="s">
        <v>31</v>
      </c>
      <c r="EX325" s="25" t="s">
        <v>278</v>
      </c>
      <c r="EY325" s="20" t="e">
        <v>#N/A</v>
      </c>
    </row>
    <row r="326" spans="1:155">
      <c r="A326" s="21" t="s">
        <v>491</v>
      </c>
      <c r="B326" s="21" t="s">
        <v>491</v>
      </c>
      <c r="C326" s="21" t="s">
        <v>492</v>
      </c>
      <c r="D326" s="21" t="s">
        <v>493</v>
      </c>
      <c r="E326" s="21" t="s">
        <v>493</v>
      </c>
      <c r="F326" s="21" t="s">
        <v>493</v>
      </c>
      <c r="G326" s="21" t="s">
        <v>4163</v>
      </c>
      <c r="H326" s="21" t="s">
        <v>4164</v>
      </c>
      <c r="I326" s="21" t="s">
        <v>4165</v>
      </c>
      <c r="J326" s="21" t="s">
        <v>4166</v>
      </c>
      <c r="L326" s="21" t="s">
        <v>495</v>
      </c>
      <c r="M326" s="21" t="s">
        <v>4167</v>
      </c>
      <c r="N326" s="21" t="s">
        <v>550</v>
      </c>
      <c r="O326" s="21" t="s">
        <v>69</v>
      </c>
      <c r="P326" s="21" t="s">
        <v>497</v>
      </c>
      <c r="Q326" s="21" t="s">
        <v>1178</v>
      </c>
      <c r="R326" s="21" t="s">
        <v>551</v>
      </c>
      <c r="S326" s="21" t="s">
        <v>552</v>
      </c>
      <c r="V326" s="21" t="s">
        <v>500</v>
      </c>
      <c r="W326" s="21" t="s">
        <v>501</v>
      </c>
      <c r="X326" s="21" t="s">
        <v>502</v>
      </c>
      <c r="Y326" s="21" t="s">
        <v>503</v>
      </c>
      <c r="Z326" s="21">
        <v>3035757620</v>
      </c>
      <c r="AA326" s="26">
        <v>42748</v>
      </c>
      <c r="AB326" s="26">
        <v>42748</v>
      </c>
      <c r="AC326" s="21" t="s">
        <v>504</v>
      </c>
      <c r="AD326" s="21" t="s">
        <v>505</v>
      </c>
      <c r="AE326" s="21" t="s">
        <v>1091</v>
      </c>
      <c r="AF326" s="21" t="s">
        <v>2524</v>
      </c>
      <c r="AG326" s="21" t="s">
        <v>4168</v>
      </c>
      <c r="AH326" s="21" t="s">
        <v>4169</v>
      </c>
      <c r="AI326" s="21" t="s">
        <v>1127</v>
      </c>
      <c r="AJ326" s="21" t="s">
        <v>526</v>
      </c>
      <c r="AK326" s="21" t="s">
        <v>494</v>
      </c>
      <c r="AL326" s="21" t="s">
        <v>527</v>
      </c>
      <c r="AM326" s="21" t="s">
        <v>527</v>
      </c>
      <c r="AN326" s="21" t="s">
        <v>527</v>
      </c>
      <c r="AO326" s="21" t="s">
        <v>528</v>
      </c>
      <c r="AS326" s="21" t="s">
        <v>511</v>
      </c>
      <c r="AT326" s="21" t="s">
        <v>512</v>
      </c>
      <c r="AW326" s="21">
        <v>0</v>
      </c>
      <c r="AX326" s="21">
        <v>2</v>
      </c>
      <c r="AY326" s="26"/>
      <c r="AZ326" s="26"/>
      <c r="BB326" s="26"/>
      <c r="BC326" s="21" t="s">
        <v>513</v>
      </c>
      <c r="BD326" s="21" t="s">
        <v>514</v>
      </c>
      <c r="BE326" s="21" t="s">
        <v>514</v>
      </c>
      <c r="BF326" s="21" t="s">
        <v>515</v>
      </c>
      <c r="BG326" s="21">
        <v>1</v>
      </c>
      <c r="BH326" s="21" t="s">
        <v>516</v>
      </c>
      <c r="BI326" s="21" t="s">
        <v>517</v>
      </c>
      <c r="BJ326" s="21" t="s">
        <v>516</v>
      </c>
      <c r="BK326" s="21" t="s">
        <v>516</v>
      </c>
      <c r="BM326" s="21" t="s">
        <v>34</v>
      </c>
      <c r="BN326" s="21" t="s">
        <v>113</v>
      </c>
      <c r="BO326" s="21" t="s">
        <v>518</v>
      </c>
      <c r="BP326" s="21" t="s">
        <v>2836</v>
      </c>
      <c r="BQ326" s="21" t="s">
        <v>34</v>
      </c>
      <c r="BR326" s="21" t="s">
        <v>113</v>
      </c>
      <c r="BS326" s="21" t="s">
        <v>518</v>
      </c>
      <c r="BT326" s="21" t="s">
        <v>2836</v>
      </c>
      <c r="BU326" s="21" t="s">
        <v>113</v>
      </c>
      <c r="CD326" s="21" t="s">
        <v>520</v>
      </c>
      <c r="CF326" s="21" t="s">
        <v>521</v>
      </c>
      <c r="CN326" s="26"/>
      <c r="DB326" s="24" t="s">
        <v>943</v>
      </c>
      <c r="DC326" s="21">
        <v>1</v>
      </c>
      <c r="DD326" s="21">
        <v>3</v>
      </c>
      <c r="DE326" s="22">
        <v>42752</v>
      </c>
      <c r="DF326" s="21" t="s">
        <v>4170</v>
      </c>
      <c r="DG326" s="21" t="s">
        <v>522</v>
      </c>
      <c r="DH326" s="21" t="s">
        <v>4171</v>
      </c>
      <c r="DI326" s="21" t="s">
        <v>495</v>
      </c>
      <c r="DJ326" s="21" t="s">
        <v>520</v>
      </c>
      <c r="DK326" s="26"/>
      <c r="DL326" s="26">
        <v>42760</v>
      </c>
      <c r="DM326" s="26">
        <v>42750</v>
      </c>
      <c r="DN326" s="21">
        <v>3100</v>
      </c>
      <c r="DO326" s="21">
        <v>10</v>
      </c>
      <c r="DP326" s="21">
        <v>1</v>
      </c>
      <c r="DQ326" s="21">
        <v>1</v>
      </c>
      <c r="DR326" s="21">
        <v>1</v>
      </c>
      <c r="DS326" s="21">
        <v>10</v>
      </c>
      <c r="DT326" s="21">
        <v>10</v>
      </c>
      <c r="DU326" s="21">
        <v>10</v>
      </c>
      <c r="DW326" s="21">
        <v>10</v>
      </c>
      <c r="EA326" s="21">
        <v>10</v>
      </c>
      <c r="EF326" s="25">
        <v>1</v>
      </c>
      <c r="EG326" s="25">
        <v>0</v>
      </c>
      <c r="EH326" s="25">
        <v>1</v>
      </c>
      <c r="EI326" s="25">
        <v>0</v>
      </c>
      <c r="EJ326" s="25" t="s">
        <v>62</v>
      </c>
      <c r="EK326" s="25" t="s">
        <v>114</v>
      </c>
      <c r="EL326" s="25" t="s">
        <v>114</v>
      </c>
      <c r="EM326" s="25" t="s">
        <v>276</v>
      </c>
      <c r="EN326" s="25" t="s">
        <v>31</v>
      </c>
      <c r="EO326" s="25" t="s">
        <v>31</v>
      </c>
      <c r="EP326" s="25" t="s">
        <v>62</v>
      </c>
      <c r="EQ326" s="25" t="s">
        <v>62</v>
      </c>
      <c r="ER326" s="25" t="s">
        <v>278</v>
      </c>
      <c r="ES326" s="25" t="s">
        <v>278</v>
      </c>
      <c r="ET326" s="25">
        <v>1</v>
      </c>
      <c r="EU326" s="25" t="s">
        <v>522</v>
      </c>
      <c r="EV326" s="25" t="s">
        <v>114</v>
      </c>
      <c r="EW326" s="25" t="s">
        <v>31</v>
      </c>
      <c r="EX326" s="25" t="s">
        <v>278</v>
      </c>
      <c r="EY326" s="20" t="e">
        <v>#N/A</v>
      </c>
    </row>
    <row r="327" spans="1:155">
      <c r="A327" s="21" t="s">
        <v>491</v>
      </c>
      <c r="B327" s="21" t="s">
        <v>491</v>
      </c>
      <c r="C327" s="21" t="s">
        <v>492</v>
      </c>
      <c r="D327" s="21" t="s">
        <v>493</v>
      </c>
      <c r="E327" s="21" t="s">
        <v>493</v>
      </c>
      <c r="F327" s="21" t="s">
        <v>493</v>
      </c>
      <c r="G327" s="21" t="s">
        <v>4172</v>
      </c>
      <c r="H327" s="21" t="s">
        <v>4173</v>
      </c>
      <c r="I327" s="21" t="s">
        <v>4174</v>
      </c>
      <c r="J327" s="21" t="s">
        <v>4175</v>
      </c>
      <c r="L327" s="21" t="s">
        <v>495</v>
      </c>
      <c r="M327" s="21" t="s">
        <v>4176</v>
      </c>
      <c r="N327" s="21" t="s">
        <v>496</v>
      </c>
      <c r="O327" s="21" t="s">
        <v>69</v>
      </c>
      <c r="P327" s="21" t="s">
        <v>497</v>
      </c>
      <c r="R327" s="21" t="s">
        <v>498</v>
      </c>
      <c r="S327" s="21" t="s">
        <v>499</v>
      </c>
      <c r="V327" s="21" t="s">
        <v>500</v>
      </c>
      <c r="W327" s="21" t="s">
        <v>501</v>
      </c>
      <c r="X327" s="21" t="s">
        <v>502</v>
      </c>
      <c r="Y327" s="21" t="s">
        <v>503</v>
      </c>
      <c r="Z327" s="21">
        <v>3035749341</v>
      </c>
      <c r="AA327" s="26">
        <v>42748</v>
      </c>
      <c r="AB327" s="26">
        <v>42748</v>
      </c>
      <c r="AC327" s="21" t="s">
        <v>504</v>
      </c>
      <c r="AD327" s="21" t="s">
        <v>505</v>
      </c>
      <c r="AE327" s="21" t="s">
        <v>500</v>
      </c>
      <c r="AF327" s="21" t="s">
        <v>549</v>
      </c>
      <c r="AG327" s="21" t="s">
        <v>555</v>
      </c>
      <c r="AH327" s="21" t="s">
        <v>556</v>
      </c>
      <c r="AI327" s="21" t="s">
        <v>1024</v>
      </c>
      <c r="AJ327" s="21" t="s">
        <v>526</v>
      </c>
      <c r="AK327" s="21" t="s">
        <v>494</v>
      </c>
      <c r="AL327" s="21" t="s">
        <v>527</v>
      </c>
      <c r="AM327" s="21" t="s">
        <v>527</v>
      </c>
      <c r="AN327" s="21" t="s">
        <v>527</v>
      </c>
      <c r="AO327" s="21" t="s">
        <v>528</v>
      </c>
      <c r="AS327" s="21" t="s">
        <v>511</v>
      </c>
      <c r="AT327" s="21" t="s">
        <v>512</v>
      </c>
      <c r="AW327" s="21">
        <v>0</v>
      </c>
      <c r="AX327" s="21">
        <v>2</v>
      </c>
      <c r="AY327" s="26"/>
      <c r="AZ327" s="26"/>
      <c r="BB327" s="26"/>
      <c r="BC327" s="21" t="s">
        <v>513</v>
      </c>
      <c r="BD327" s="21" t="s">
        <v>514</v>
      </c>
      <c r="BE327" s="21" t="s">
        <v>514</v>
      </c>
      <c r="BF327" s="21" t="s">
        <v>515</v>
      </c>
      <c r="BG327" s="21">
        <v>1</v>
      </c>
      <c r="BH327" s="21" t="s">
        <v>516</v>
      </c>
      <c r="BI327" s="21" t="s">
        <v>517</v>
      </c>
      <c r="BJ327" s="21" t="s">
        <v>516</v>
      </c>
      <c r="BK327" s="21" t="s">
        <v>516</v>
      </c>
      <c r="BM327" s="21" t="s">
        <v>16</v>
      </c>
      <c r="BN327" s="21" t="s">
        <v>111</v>
      </c>
      <c r="BO327" s="21" t="s">
        <v>518</v>
      </c>
      <c r="BP327" s="21" t="s">
        <v>519</v>
      </c>
      <c r="BQ327" s="21" t="s">
        <v>16</v>
      </c>
      <c r="BR327" s="21" t="s">
        <v>111</v>
      </c>
      <c r="BS327" s="21" t="s">
        <v>518</v>
      </c>
      <c r="BT327" s="21" t="s">
        <v>519</v>
      </c>
      <c r="BU327" s="21" t="s">
        <v>111</v>
      </c>
      <c r="CD327" s="21" t="s">
        <v>520</v>
      </c>
      <c r="CF327" s="21" t="s">
        <v>521</v>
      </c>
      <c r="CN327" s="26"/>
      <c r="DB327" s="24" t="s">
        <v>943</v>
      </c>
      <c r="DC327" s="21">
        <v>1</v>
      </c>
      <c r="DD327" s="21">
        <v>3</v>
      </c>
      <c r="DE327" s="22">
        <v>42752</v>
      </c>
      <c r="DF327" s="21" t="s">
        <v>4177</v>
      </c>
      <c r="DG327" s="21" t="s">
        <v>522</v>
      </c>
      <c r="DH327" s="21" t="s">
        <v>4178</v>
      </c>
      <c r="DI327" s="21" t="s">
        <v>495</v>
      </c>
      <c r="DJ327" s="21" t="s">
        <v>520</v>
      </c>
      <c r="DK327" s="26"/>
      <c r="DL327" s="26">
        <v>42760</v>
      </c>
      <c r="DM327" s="26">
        <v>42750</v>
      </c>
      <c r="DN327" s="21">
        <v>3100</v>
      </c>
      <c r="DO327" s="21">
        <v>10</v>
      </c>
      <c r="DP327" s="21">
        <v>1</v>
      </c>
      <c r="DQ327" s="21">
        <v>1</v>
      </c>
      <c r="DR327" s="21">
        <v>6</v>
      </c>
      <c r="DS327" s="21">
        <v>10</v>
      </c>
      <c r="DT327" s="21">
        <v>10</v>
      </c>
      <c r="DU327" s="21">
        <v>10</v>
      </c>
      <c r="DW327" s="21">
        <v>10</v>
      </c>
      <c r="EA327" s="21">
        <v>10</v>
      </c>
      <c r="EB327" s="21" t="s">
        <v>4179</v>
      </c>
      <c r="EC327" s="21" t="s">
        <v>1221</v>
      </c>
      <c r="EF327" s="25">
        <v>1</v>
      </c>
      <c r="EG327" s="25">
        <v>0</v>
      </c>
      <c r="EH327" s="25">
        <v>1</v>
      </c>
      <c r="EI327" s="25">
        <v>0</v>
      </c>
      <c r="EJ327" s="25" t="s">
        <v>62</v>
      </c>
      <c r="EK327" s="25" t="s">
        <v>112</v>
      </c>
      <c r="EL327" s="25" t="s">
        <v>112</v>
      </c>
      <c r="EM327" s="25" t="s">
        <v>276</v>
      </c>
      <c r="EN327" s="25" t="s">
        <v>9</v>
      </c>
      <c r="EO327" s="25" t="s">
        <v>9</v>
      </c>
      <c r="EP327" s="25" t="s">
        <v>62</v>
      </c>
      <c r="EQ327" s="25" t="s">
        <v>62</v>
      </c>
      <c r="ER327" s="25" t="s">
        <v>278</v>
      </c>
      <c r="ES327" s="25" t="s">
        <v>278</v>
      </c>
      <c r="ET327" s="25">
        <v>1</v>
      </c>
      <c r="EU327" s="25" t="s">
        <v>522</v>
      </c>
      <c r="EV327" s="25" t="s">
        <v>112</v>
      </c>
      <c r="EW327" s="25" t="s">
        <v>9</v>
      </c>
      <c r="EX327" s="25" t="s">
        <v>278</v>
      </c>
      <c r="EY327" s="20" t="e">
        <v>#N/A</v>
      </c>
    </row>
    <row r="328" spans="1:155">
      <c r="A328" s="21" t="s">
        <v>491</v>
      </c>
      <c r="B328" s="21" t="s">
        <v>491</v>
      </c>
      <c r="C328" s="21" t="s">
        <v>492</v>
      </c>
      <c r="D328" s="21" t="s">
        <v>493</v>
      </c>
      <c r="E328" s="21" t="s">
        <v>493</v>
      </c>
      <c r="F328" s="21" t="s">
        <v>493</v>
      </c>
      <c r="G328" s="21" t="s">
        <v>4180</v>
      </c>
      <c r="H328" s="21" t="s">
        <v>4181</v>
      </c>
      <c r="I328" s="21" t="s">
        <v>494</v>
      </c>
      <c r="J328" s="21" t="s">
        <v>4182</v>
      </c>
      <c r="L328" s="21" t="s">
        <v>495</v>
      </c>
      <c r="M328" s="21" t="s">
        <v>4183</v>
      </c>
      <c r="N328" s="21" t="s">
        <v>1761</v>
      </c>
      <c r="O328" s="21" t="s">
        <v>69</v>
      </c>
      <c r="P328" s="21" t="s">
        <v>497</v>
      </c>
      <c r="Q328" s="21" t="s">
        <v>1168</v>
      </c>
      <c r="R328" s="21" t="s">
        <v>1762</v>
      </c>
      <c r="S328" s="21" t="s">
        <v>1763</v>
      </c>
      <c r="V328" s="21" t="s">
        <v>500</v>
      </c>
      <c r="W328" s="21" t="s">
        <v>501</v>
      </c>
      <c r="X328" s="21" t="s">
        <v>502</v>
      </c>
      <c r="Y328" s="21" t="s">
        <v>503</v>
      </c>
      <c r="Z328" s="21">
        <v>3035759367</v>
      </c>
      <c r="AA328" s="26">
        <v>42748</v>
      </c>
      <c r="AB328" s="26">
        <v>42748</v>
      </c>
      <c r="AC328" s="21" t="s">
        <v>504</v>
      </c>
      <c r="AD328" s="21" t="s">
        <v>505</v>
      </c>
      <c r="AE328" s="21" t="s">
        <v>500</v>
      </c>
      <c r="AF328" s="21" t="s">
        <v>506</v>
      </c>
      <c r="AG328" s="21" t="s">
        <v>581</v>
      </c>
      <c r="AH328" s="21" t="s">
        <v>582</v>
      </c>
      <c r="AI328" s="21" t="s">
        <v>1342</v>
      </c>
      <c r="AJ328" s="21" t="s">
        <v>526</v>
      </c>
      <c r="AK328" s="21" t="s">
        <v>494</v>
      </c>
      <c r="AL328" s="21" t="s">
        <v>527</v>
      </c>
      <c r="AM328" s="21" t="s">
        <v>527</v>
      </c>
      <c r="AN328" s="21" t="s">
        <v>527</v>
      </c>
      <c r="AO328" s="21" t="s">
        <v>528</v>
      </c>
      <c r="AS328" s="21" t="s">
        <v>511</v>
      </c>
      <c r="AT328" s="21" t="s">
        <v>512</v>
      </c>
      <c r="AW328" s="21">
        <v>0</v>
      </c>
      <c r="AX328" s="21">
        <v>2</v>
      </c>
      <c r="AY328" s="26"/>
      <c r="AZ328" s="26"/>
      <c r="BB328" s="26"/>
      <c r="BC328" s="21" t="s">
        <v>513</v>
      </c>
      <c r="BD328" s="21" t="s">
        <v>514</v>
      </c>
      <c r="BE328" s="21" t="s">
        <v>514</v>
      </c>
      <c r="BF328" s="21" t="s">
        <v>515</v>
      </c>
      <c r="BG328" s="21">
        <v>1</v>
      </c>
      <c r="BH328" s="21" t="s">
        <v>516</v>
      </c>
      <c r="BI328" s="21" t="s">
        <v>517</v>
      </c>
      <c r="BJ328" s="21" t="s">
        <v>516</v>
      </c>
      <c r="BK328" s="21" t="s">
        <v>516</v>
      </c>
      <c r="BM328" s="21" t="s">
        <v>583</v>
      </c>
      <c r="BN328" s="21" t="s">
        <v>154</v>
      </c>
      <c r="BO328" s="21" t="s">
        <v>518</v>
      </c>
      <c r="BP328" s="21" t="s">
        <v>519</v>
      </c>
      <c r="BQ328" s="21" t="s">
        <v>583</v>
      </c>
      <c r="BR328" s="21" t="s">
        <v>154</v>
      </c>
      <c r="BS328" s="21" t="s">
        <v>518</v>
      </c>
      <c r="BT328" s="21" t="s">
        <v>519</v>
      </c>
      <c r="BU328" s="21" t="s">
        <v>154</v>
      </c>
      <c r="CD328" s="21" t="s">
        <v>520</v>
      </c>
      <c r="CF328" s="21" t="s">
        <v>521</v>
      </c>
      <c r="CN328" s="26"/>
      <c r="DB328" s="24" t="s">
        <v>943</v>
      </c>
      <c r="DC328" s="21">
        <v>1</v>
      </c>
      <c r="DD328" s="21">
        <v>3</v>
      </c>
      <c r="DE328" s="22">
        <v>42752</v>
      </c>
      <c r="DF328" s="21" t="s">
        <v>4184</v>
      </c>
      <c r="DG328" s="21" t="s">
        <v>522</v>
      </c>
      <c r="DH328" s="21" t="s">
        <v>4185</v>
      </c>
      <c r="DI328" s="21" t="s">
        <v>495</v>
      </c>
      <c r="DJ328" s="21" t="s">
        <v>520</v>
      </c>
      <c r="DK328" s="26"/>
      <c r="DL328" s="26">
        <v>42760</v>
      </c>
      <c r="DM328" s="26">
        <v>42750</v>
      </c>
      <c r="DN328" s="21">
        <v>3100</v>
      </c>
      <c r="DO328" s="21">
        <v>9</v>
      </c>
      <c r="DP328" s="21">
        <v>1</v>
      </c>
      <c r="DQ328" s="21">
        <v>1</v>
      </c>
      <c r="DR328" s="21">
        <v>6</v>
      </c>
      <c r="DS328" s="21">
        <v>9</v>
      </c>
      <c r="DT328" s="21">
        <v>9</v>
      </c>
      <c r="DU328" s="21">
        <v>9</v>
      </c>
      <c r="DW328" s="21">
        <v>9</v>
      </c>
      <c r="EA328" s="21">
        <v>9</v>
      </c>
      <c r="EF328" s="25">
        <v>1</v>
      </c>
      <c r="EG328" s="25">
        <v>0</v>
      </c>
      <c r="EH328" s="25">
        <v>1</v>
      </c>
      <c r="EI328" s="25">
        <v>0</v>
      </c>
      <c r="EJ328" s="25" t="s">
        <v>62</v>
      </c>
      <c r="EK328" s="25" t="s">
        <v>155</v>
      </c>
      <c r="EL328" s="25" t="s">
        <v>155</v>
      </c>
      <c r="EM328" s="25" t="s">
        <v>276</v>
      </c>
      <c r="EN328" s="25" t="s">
        <v>23</v>
      </c>
      <c r="EO328" s="25" t="s">
        <v>23</v>
      </c>
      <c r="EP328" s="25" t="s">
        <v>62</v>
      </c>
      <c r="EQ328" s="25" t="s">
        <v>62</v>
      </c>
      <c r="ER328" s="25" t="s">
        <v>278</v>
      </c>
      <c r="ES328" s="25" t="s">
        <v>278</v>
      </c>
      <c r="ET328" s="25">
        <v>1</v>
      </c>
      <c r="EU328" s="25" t="s">
        <v>522</v>
      </c>
      <c r="EV328" s="25" t="s">
        <v>155</v>
      </c>
      <c r="EW328" s="25" t="s">
        <v>23</v>
      </c>
      <c r="EX328" s="25" t="s">
        <v>278</v>
      </c>
      <c r="EY328" s="20" t="e">
        <v>#N/A</v>
      </c>
    </row>
    <row r="329" spans="1:155">
      <c r="A329" s="21" t="s">
        <v>491</v>
      </c>
      <c r="B329" s="21" t="s">
        <v>491</v>
      </c>
      <c r="C329" s="21" t="s">
        <v>492</v>
      </c>
      <c r="D329" s="21" t="s">
        <v>493</v>
      </c>
      <c r="E329" s="21" t="s">
        <v>493</v>
      </c>
      <c r="F329" s="21" t="s">
        <v>493</v>
      </c>
      <c r="G329" s="21" t="s">
        <v>4186</v>
      </c>
      <c r="H329" s="21">
        <v>21984265961</v>
      </c>
      <c r="I329" s="21" t="s">
        <v>494</v>
      </c>
      <c r="J329" s="21" t="s">
        <v>4187</v>
      </c>
      <c r="L329" s="21" t="s">
        <v>495</v>
      </c>
      <c r="M329" s="21" t="s">
        <v>4188</v>
      </c>
      <c r="N329" s="21" t="s">
        <v>496</v>
      </c>
      <c r="O329" s="21" t="s">
        <v>69</v>
      </c>
      <c r="P329" s="21" t="s">
        <v>497</v>
      </c>
      <c r="R329" s="21" t="s">
        <v>498</v>
      </c>
      <c r="S329" s="21" t="s">
        <v>499</v>
      </c>
      <c r="V329" s="21" t="s">
        <v>500</v>
      </c>
      <c r="W329" s="21" t="s">
        <v>501</v>
      </c>
      <c r="X329" s="21" t="s">
        <v>502</v>
      </c>
      <c r="Y329" s="21" t="s">
        <v>503</v>
      </c>
      <c r="Z329" s="21">
        <v>3035773132</v>
      </c>
      <c r="AA329" s="26">
        <v>42749</v>
      </c>
      <c r="AB329" s="26">
        <v>42749</v>
      </c>
      <c r="AC329" s="21" t="s">
        <v>504</v>
      </c>
      <c r="AD329" s="21" t="s">
        <v>505</v>
      </c>
      <c r="AE329" s="21" t="s">
        <v>565</v>
      </c>
      <c r="AF329" s="21" t="s">
        <v>566</v>
      </c>
      <c r="AG329" s="21" t="s">
        <v>4189</v>
      </c>
      <c r="AH329" s="21" t="s">
        <v>4190</v>
      </c>
      <c r="AI329" s="21" t="s">
        <v>4191</v>
      </c>
      <c r="AJ329" s="21" t="s">
        <v>1109</v>
      </c>
      <c r="AK329" s="21" t="s">
        <v>494</v>
      </c>
      <c r="AL329" s="21" t="s">
        <v>527</v>
      </c>
      <c r="AM329" s="21" t="s">
        <v>527</v>
      </c>
      <c r="AN329" s="21" t="s">
        <v>527</v>
      </c>
      <c r="AO329" s="21" t="s">
        <v>528</v>
      </c>
      <c r="AS329" s="21" t="s">
        <v>511</v>
      </c>
      <c r="AT329" s="21" t="s">
        <v>512</v>
      </c>
      <c r="AW329" s="21">
        <v>0</v>
      </c>
      <c r="AX329" s="21">
        <v>2</v>
      </c>
      <c r="AY329" s="26"/>
      <c r="AZ329" s="26"/>
      <c r="BB329" s="26"/>
      <c r="BC329" s="21" t="s">
        <v>513</v>
      </c>
      <c r="BD329" s="21" t="s">
        <v>514</v>
      </c>
      <c r="BE329" s="21" t="s">
        <v>514</v>
      </c>
      <c r="BF329" s="21" t="s">
        <v>515</v>
      </c>
      <c r="BG329" s="21">
        <v>1</v>
      </c>
      <c r="BH329" s="21" t="s">
        <v>516</v>
      </c>
      <c r="BI329" s="21" t="s">
        <v>517</v>
      </c>
      <c r="BJ329" s="21" t="s">
        <v>516</v>
      </c>
      <c r="BK329" s="21" t="s">
        <v>516</v>
      </c>
      <c r="BM329" s="21" t="s">
        <v>36</v>
      </c>
      <c r="BN329" s="21" t="s">
        <v>223</v>
      </c>
      <c r="BO329" s="21" t="s">
        <v>518</v>
      </c>
      <c r="BP329" s="21" t="s">
        <v>519</v>
      </c>
      <c r="BQ329" s="21" t="s">
        <v>36</v>
      </c>
      <c r="BR329" s="21" t="s">
        <v>223</v>
      </c>
      <c r="BS329" s="21" t="s">
        <v>518</v>
      </c>
      <c r="BT329" s="21" t="s">
        <v>519</v>
      </c>
      <c r="BU329" s="21" t="s">
        <v>223</v>
      </c>
      <c r="CD329" s="21" t="s">
        <v>520</v>
      </c>
      <c r="CF329" s="21" t="s">
        <v>521</v>
      </c>
      <c r="CN329" s="26"/>
      <c r="DB329" s="24" t="s">
        <v>943</v>
      </c>
      <c r="DC329" s="21">
        <v>1</v>
      </c>
      <c r="DD329" s="21">
        <v>3</v>
      </c>
      <c r="DE329" s="22">
        <v>42752</v>
      </c>
      <c r="DF329" s="21" t="s">
        <v>4192</v>
      </c>
      <c r="DG329" s="21" t="s">
        <v>522</v>
      </c>
      <c r="DH329" s="21" t="s">
        <v>4193</v>
      </c>
      <c r="DI329" s="21" t="s">
        <v>495</v>
      </c>
      <c r="DJ329" s="21" t="s">
        <v>520</v>
      </c>
      <c r="DK329" s="26"/>
      <c r="DL329" s="26">
        <v>42761</v>
      </c>
      <c r="DM329" s="26">
        <v>42751</v>
      </c>
      <c r="DN329" s="21">
        <v>3100</v>
      </c>
      <c r="DO329" s="21">
        <v>10</v>
      </c>
      <c r="DP329" s="21">
        <v>1</v>
      </c>
      <c r="DQ329" s="21">
        <v>1</v>
      </c>
      <c r="DR329" s="21">
        <v>7</v>
      </c>
      <c r="DS329" s="21">
        <v>10</v>
      </c>
      <c r="DT329" s="21">
        <v>10</v>
      </c>
      <c r="DU329" s="21">
        <v>10</v>
      </c>
      <c r="DW329" s="21">
        <v>8</v>
      </c>
      <c r="EA329" s="21">
        <v>10</v>
      </c>
      <c r="EF329" s="25">
        <v>1</v>
      </c>
      <c r="EG329" s="25">
        <v>0</v>
      </c>
      <c r="EH329" s="25">
        <v>1</v>
      </c>
      <c r="EI329" s="25">
        <v>0</v>
      </c>
      <c r="EJ329" s="25" t="s">
        <v>62</v>
      </c>
      <c r="EK329" s="25" t="s">
        <v>224</v>
      </c>
      <c r="EL329" s="25" t="s">
        <v>224</v>
      </c>
      <c r="EM329" s="25" t="s">
        <v>276</v>
      </c>
      <c r="EN329" s="25" t="s">
        <v>31</v>
      </c>
      <c r="EO329" s="25" t="s">
        <v>31</v>
      </c>
      <c r="EP329" s="25" t="s">
        <v>92</v>
      </c>
      <c r="EQ329" s="25" t="s">
        <v>92</v>
      </c>
      <c r="ER329" s="25" t="s">
        <v>278</v>
      </c>
      <c r="ES329" s="25" t="s">
        <v>278</v>
      </c>
      <c r="ET329" s="25">
        <v>1</v>
      </c>
      <c r="EU329" s="25" t="s">
        <v>522</v>
      </c>
      <c r="EV329" s="25" t="s">
        <v>224</v>
      </c>
      <c r="EW329" s="25" t="s">
        <v>31</v>
      </c>
      <c r="EX329" s="25" t="s">
        <v>278</v>
      </c>
      <c r="EY329" s="20" t="e">
        <v>#N/A</v>
      </c>
    </row>
    <row r="330" spans="1:155">
      <c r="A330" s="21" t="s">
        <v>491</v>
      </c>
      <c r="B330" s="21" t="s">
        <v>491</v>
      </c>
      <c r="C330" s="21" t="s">
        <v>492</v>
      </c>
      <c r="D330" s="21" t="s">
        <v>493</v>
      </c>
      <c r="E330" s="21" t="s">
        <v>493</v>
      </c>
      <c r="F330" s="21" t="s">
        <v>493</v>
      </c>
      <c r="G330" s="21" t="s">
        <v>4194</v>
      </c>
      <c r="H330" s="21">
        <v>6932220767</v>
      </c>
      <c r="I330" s="21" t="s">
        <v>494</v>
      </c>
      <c r="J330" s="21" t="s">
        <v>4195</v>
      </c>
      <c r="L330" s="21" t="s">
        <v>495</v>
      </c>
      <c r="M330" s="21" t="s">
        <v>4196</v>
      </c>
      <c r="N330" s="21" t="s">
        <v>1450</v>
      </c>
      <c r="O330" s="21" t="s">
        <v>93</v>
      </c>
      <c r="P330" s="21" t="s">
        <v>539</v>
      </c>
      <c r="R330" s="21" t="s">
        <v>1451</v>
      </c>
      <c r="S330" s="21" t="s">
        <v>1068</v>
      </c>
      <c r="V330" s="21" t="s">
        <v>277</v>
      </c>
      <c r="W330" s="21" t="s">
        <v>524</v>
      </c>
      <c r="X330" s="21" t="s">
        <v>525</v>
      </c>
      <c r="Y330" s="21" t="s">
        <v>530</v>
      </c>
      <c r="Z330" s="21">
        <v>3035774867</v>
      </c>
      <c r="AA330" s="26">
        <v>42749</v>
      </c>
      <c r="AB330" s="26">
        <v>42749</v>
      </c>
      <c r="AC330" s="21" t="s">
        <v>504</v>
      </c>
      <c r="AD330" s="21" t="s">
        <v>505</v>
      </c>
      <c r="AE330" s="21" t="s">
        <v>565</v>
      </c>
      <c r="AF330" s="21" t="s">
        <v>566</v>
      </c>
      <c r="AG330" s="21" t="s">
        <v>1743</v>
      </c>
      <c r="AH330" s="21" t="s">
        <v>1744</v>
      </c>
      <c r="AI330" s="21" t="s">
        <v>1923</v>
      </c>
      <c r="AJ330" s="21" t="s">
        <v>507</v>
      </c>
      <c r="AK330" s="21" t="s">
        <v>494</v>
      </c>
      <c r="AL330" s="21" t="s">
        <v>527</v>
      </c>
      <c r="AM330" s="21" t="s">
        <v>527</v>
      </c>
      <c r="AN330" s="21" t="s">
        <v>527</v>
      </c>
      <c r="AO330" s="21" t="s">
        <v>528</v>
      </c>
      <c r="AS330" s="21" t="s">
        <v>511</v>
      </c>
      <c r="AT330" s="21" t="s">
        <v>512</v>
      </c>
      <c r="AW330" s="21">
        <v>0</v>
      </c>
      <c r="AX330" s="21">
        <v>2</v>
      </c>
      <c r="AY330" s="26"/>
      <c r="AZ330" s="26"/>
      <c r="BB330" s="26"/>
      <c r="BC330" s="21" t="s">
        <v>513</v>
      </c>
      <c r="BD330" s="21" t="s">
        <v>514</v>
      </c>
      <c r="BE330" s="21" t="s">
        <v>514</v>
      </c>
      <c r="BF330" s="21" t="s">
        <v>515</v>
      </c>
      <c r="BG330" s="21">
        <v>1</v>
      </c>
      <c r="BH330" s="21" t="s">
        <v>516</v>
      </c>
      <c r="BI330" s="21" t="s">
        <v>517</v>
      </c>
      <c r="BJ330" s="21" t="s">
        <v>516</v>
      </c>
      <c r="BK330" s="21" t="s">
        <v>516</v>
      </c>
      <c r="BM330" s="21" t="s">
        <v>1110</v>
      </c>
      <c r="BN330" s="21" t="s">
        <v>200</v>
      </c>
      <c r="BO330" s="21" t="s">
        <v>518</v>
      </c>
      <c r="BP330" s="21" t="s">
        <v>1044</v>
      </c>
      <c r="BQ330" s="21" t="s">
        <v>1110</v>
      </c>
      <c r="BR330" s="21" t="s">
        <v>200</v>
      </c>
      <c r="BS330" s="21" t="s">
        <v>518</v>
      </c>
      <c r="BT330" s="21" t="s">
        <v>1044</v>
      </c>
      <c r="BU330" s="21" t="s">
        <v>200</v>
      </c>
      <c r="CD330" s="21" t="s">
        <v>520</v>
      </c>
      <c r="CF330" s="21" t="s">
        <v>521</v>
      </c>
      <c r="CN330" s="26"/>
      <c r="DB330" s="24" t="s">
        <v>943</v>
      </c>
      <c r="DC330" s="21">
        <v>1</v>
      </c>
      <c r="DD330" s="21">
        <v>3</v>
      </c>
      <c r="DE330" s="22">
        <v>42752</v>
      </c>
      <c r="DF330" s="21" t="s">
        <v>4197</v>
      </c>
      <c r="DG330" s="21" t="s">
        <v>522</v>
      </c>
      <c r="DH330" s="21" t="s">
        <v>4198</v>
      </c>
      <c r="DI330" s="21" t="s">
        <v>495</v>
      </c>
      <c r="DJ330" s="21" t="s">
        <v>520</v>
      </c>
      <c r="DK330" s="26"/>
      <c r="DL330" s="26">
        <v>42761</v>
      </c>
      <c r="DM330" s="26">
        <v>42751</v>
      </c>
      <c r="DN330" s="21">
        <v>1100</v>
      </c>
      <c r="DO330" s="21">
        <v>10</v>
      </c>
      <c r="DP330" s="21">
        <v>1</v>
      </c>
      <c r="DQ330" s="21">
        <v>1</v>
      </c>
      <c r="DR330" s="21">
        <v>7</v>
      </c>
      <c r="DS330" s="21">
        <v>10</v>
      </c>
      <c r="DT330" s="21">
        <v>9</v>
      </c>
      <c r="DU330" s="21">
        <v>10</v>
      </c>
      <c r="DW330" s="21">
        <v>10</v>
      </c>
      <c r="EA330" s="21">
        <v>10</v>
      </c>
      <c r="EB330" s="21" t="s">
        <v>4199</v>
      </c>
      <c r="EC330" s="21" t="s">
        <v>1221</v>
      </c>
      <c r="EF330" s="25">
        <v>1</v>
      </c>
      <c r="EG330" s="25">
        <v>0</v>
      </c>
      <c r="EH330" s="25">
        <v>1</v>
      </c>
      <c r="EI330" s="25">
        <v>0</v>
      </c>
      <c r="EJ330" s="25" t="s">
        <v>92</v>
      </c>
      <c r="EK330" s="25" t="s">
        <v>201</v>
      </c>
      <c r="EL330" s="25" t="s">
        <v>201</v>
      </c>
      <c r="EM330" s="25" t="s">
        <v>276</v>
      </c>
      <c r="EN330" s="25" t="s">
        <v>31</v>
      </c>
      <c r="EO330" s="25" t="s">
        <v>31</v>
      </c>
      <c r="EP330" s="25" t="s">
        <v>92</v>
      </c>
      <c r="EQ330" s="25" t="s">
        <v>92</v>
      </c>
      <c r="ER330" s="25" t="s">
        <v>278</v>
      </c>
      <c r="ES330" s="25" t="s">
        <v>278</v>
      </c>
      <c r="ET330" s="25">
        <v>1</v>
      </c>
      <c r="EU330" s="25" t="s">
        <v>522</v>
      </c>
      <c r="EV330" s="25" t="s">
        <v>201</v>
      </c>
      <c r="EW330" s="25" t="s">
        <v>31</v>
      </c>
      <c r="EX330" s="25" t="s">
        <v>278</v>
      </c>
      <c r="EY330" s="20" t="e">
        <v>#N/A</v>
      </c>
    </row>
    <row r="331" spans="1:155">
      <c r="A331" s="21" t="s">
        <v>491</v>
      </c>
      <c r="B331" s="21" t="s">
        <v>491</v>
      </c>
      <c r="C331" s="21" t="s">
        <v>492</v>
      </c>
      <c r="D331" s="21" t="s">
        <v>493</v>
      </c>
      <c r="E331" s="21" t="s">
        <v>493</v>
      </c>
      <c r="F331" s="21" t="s">
        <v>493</v>
      </c>
      <c r="G331" s="21" t="s">
        <v>4200</v>
      </c>
      <c r="H331" s="21" t="s">
        <v>4201</v>
      </c>
      <c r="I331" s="21" t="s">
        <v>494</v>
      </c>
      <c r="J331" s="21" t="s">
        <v>4202</v>
      </c>
      <c r="L331" s="21" t="s">
        <v>495</v>
      </c>
      <c r="M331" s="21" t="s">
        <v>4203</v>
      </c>
      <c r="N331" s="21" t="s">
        <v>496</v>
      </c>
      <c r="O331" s="21" t="s">
        <v>69</v>
      </c>
      <c r="P331" s="21" t="s">
        <v>497</v>
      </c>
      <c r="R331" s="21" t="s">
        <v>498</v>
      </c>
      <c r="S331" s="21" t="s">
        <v>499</v>
      </c>
      <c r="V331" s="21" t="s">
        <v>500</v>
      </c>
      <c r="W331" s="21" t="s">
        <v>501</v>
      </c>
      <c r="X331" s="21" t="s">
        <v>502</v>
      </c>
      <c r="Y331" s="21" t="s">
        <v>503</v>
      </c>
      <c r="Z331" s="21">
        <v>3035690223</v>
      </c>
      <c r="AA331" s="26">
        <v>42746</v>
      </c>
      <c r="AB331" s="26">
        <v>42749</v>
      </c>
      <c r="AC331" s="21" t="s">
        <v>504</v>
      </c>
      <c r="AD331" s="21" t="s">
        <v>505</v>
      </c>
      <c r="AE331" s="21" t="s">
        <v>500</v>
      </c>
      <c r="AF331" s="21" t="s">
        <v>506</v>
      </c>
      <c r="AG331" s="21" t="s">
        <v>3354</v>
      </c>
      <c r="AH331" s="21" t="s">
        <v>3355</v>
      </c>
      <c r="AI331" s="21" t="s">
        <v>4204</v>
      </c>
      <c r="AJ331" s="21" t="s">
        <v>507</v>
      </c>
      <c r="AK331" s="21" t="s">
        <v>494</v>
      </c>
      <c r="AL331" s="21" t="s">
        <v>527</v>
      </c>
      <c r="AM331" s="21" t="s">
        <v>527</v>
      </c>
      <c r="AN331" s="21" t="s">
        <v>527</v>
      </c>
      <c r="AO331" s="21" t="s">
        <v>528</v>
      </c>
      <c r="AS331" s="21" t="s">
        <v>511</v>
      </c>
      <c r="AT331" s="21" t="s">
        <v>512</v>
      </c>
      <c r="AW331" s="21">
        <v>0</v>
      </c>
      <c r="AX331" s="21">
        <v>6</v>
      </c>
      <c r="AY331" s="26"/>
      <c r="AZ331" s="26"/>
      <c r="BB331" s="26"/>
      <c r="BC331" s="21" t="s">
        <v>513</v>
      </c>
      <c r="BD331" s="21" t="s">
        <v>514</v>
      </c>
      <c r="BE331" s="21" t="s">
        <v>514</v>
      </c>
      <c r="BF331" s="21" t="s">
        <v>515</v>
      </c>
      <c r="BG331" s="21">
        <v>1</v>
      </c>
      <c r="BH331" s="21" t="s">
        <v>516</v>
      </c>
      <c r="BI331" s="21" t="s">
        <v>517</v>
      </c>
      <c r="BJ331" s="21" t="s">
        <v>516</v>
      </c>
      <c r="BK331" s="21" t="s">
        <v>516</v>
      </c>
      <c r="BM331" s="21" t="s">
        <v>16</v>
      </c>
      <c r="BN331" s="21" t="s">
        <v>111</v>
      </c>
      <c r="BO331" s="21" t="s">
        <v>518</v>
      </c>
      <c r="BP331" s="21" t="s">
        <v>519</v>
      </c>
      <c r="BQ331" s="21" t="s">
        <v>18</v>
      </c>
      <c r="BR331" s="21" t="s">
        <v>73</v>
      </c>
      <c r="BS331" s="21" t="s">
        <v>518</v>
      </c>
      <c r="BT331" s="21" t="s">
        <v>519</v>
      </c>
      <c r="BU331" s="21" t="s">
        <v>111</v>
      </c>
      <c r="CD331" s="21" t="s">
        <v>520</v>
      </c>
      <c r="CF331" s="21" t="s">
        <v>521</v>
      </c>
      <c r="CN331" s="26"/>
      <c r="DB331" s="24" t="s">
        <v>943</v>
      </c>
      <c r="DC331" s="21">
        <v>1</v>
      </c>
      <c r="DD331" s="21">
        <v>3</v>
      </c>
      <c r="DE331" s="22">
        <v>42752</v>
      </c>
      <c r="DF331" s="21" t="s">
        <v>4205</v>
      </c>
      <c r="DG331" s="21" t="s">
        <v>522</v>
      </c>
      <c r="DH331" s="21" t="s">
        <v>4206</v>
      </c>
      <c r="DI331" s="21" t="s">
        <v>495</v>
      </c>
      <c r="DJ331" s="21" t="s">
        <v>520</v>
      </c>
      <c r="DK331" s="26"/>
      <c r="DL331" s="26">
        <v>42761</v>
      </c>
      <c r="DM331" s="26">
        <v>42751</v>
      </c>
      <c r="DN331" s="21">
        <v>3100</v>
      </c>
      <c r="DO331" s="21">
        <v>8</v>
      </c>
      <c r="DP331" s="21">
        <v>1</v>
      </c>
      <c r="DQ331" s="21">
        <v>1</v>
      </c>
      <c r="DR331" s="21">
        <v>6</v>
      </c>
      <c r="DS331" s="21">
        <v>10</v>
      </c>
      <c r="DT331" s="21">
        <v>10</v>
      </c>
      <c r="DU331" s="21">
        <v>10</v>
      </c>
      <c r="DW331" s="21">
        <v>10</v>
      </c>
      <c r="EA331" s="21">
        <v>10</v>
      </c>
      <c r="EF331" s="25">
        <v>1</v>
      </c>
      <c r="EG331" s="25">
        <v>0</v>
      </c>
      <c r="EH331" s="25">
        <v>0</v>
      </c>
      <c r="EI331" s="25">
        <v>0</v>
      </c>
      <c r="EJ331" s="25" t="s">
        <v>62</v>
      </c>
      <c r="EK331" s="25" t="s">
        <v>112</v>
      </c>
      <c r="EL331" s="25" t="s">
        <v>74</v>
      </c>
      <c r="EM331" s="25" t="s">
        <v>276</v>
      </c>
      <c r="EN331" s="25" t="s">
        <v>9</v>
      </c>
      <c r="EO331" s="25" t="s">
        <v>9</v>
      </c>
      <c r="EP331" s="25" t="s">
        <v>62</v>
      </c>
      <c r="EQ331" s="25" t="s">
        <v>62</v>
      </c>
      <c r="ER331" s="25" t="s">
        <v>278</v>
      </c>
      <c r="ES331" s="25" t="s">
        <v>278</v>
      </c>
      <c r="ET331" s="25">
        <v>1</v>
      </c>
      <c r="EU331" s="25" t="s">
        <v>522</v>
      </c>
      <c r="EV331" s="25" t="s">
        <v>279</v>
      </c>
      <c r="EW331" s="25" t="s">
        <v>279</v>
      </c>
      <c r="EX331" s="25" t="s">
        <v>279</v>
      </c>
      <c r="EY331" s="20" t="e">
        <v>#N/A</v>
      </c>
    </row>
    <row r="332" spans="1:155">
      <c r="A332" s="21" t="s">
        <v>491</v>
      </c>
      <c r="B332" s="21" t="s">
        <v>491</v>
      </c>
      <c r="C332" s="21" t="s">
        <v>492</v>
      </c>
      <c r="D332" s="21" t="s">
        <v>493</v>
      </c>
      <c r="E332" s="21" t="s">
        <v>493</v>
      </c>
      <c r="F332" s="21" t="s">
        <v>493</v>
      </c>
      <c r="G332" s="21" t="s">
        <v>4301</v>
      </c>
      <c r="H332" s="21" t="s">
        <v>4302</v>
      </c>
      <c r="I332" s="21" t="s">
        <v>494</v>
      </c>
      <c r="J332" s="21" t="s">
        <v>4303</v>
      </c>
      <c r="L332" s="21" t="s">
        <v>495</v>
      </c>
      <c r="M332" s="21" t="s">
        <v>4304</v>
      </c>
      <c r="N332" s="21" t="s">
        <v>2918</v>
      </c>
      <c r="O332" s="21" t="s">
        <v>99</v>
      </c>
      <c r="P332" s="21" t="s">
        <v>2029</v>
      </c>
      <c r="Q332" s="21" t="s">
        <v>1301</v>
      </c>
      <c r="R332" s="21" t="s">
        <v>2919</v>
      </c>
      <c r="S332" s="21" t="s">
        <v>2920</v>
      </c>
      <c r="V332" s="21" t="s">
        <v>500</v>
      </c>
      <c r="W332" s="21" t="s">
        <v>501</v>
      </c>
      <c r="X332" s="21" t="s">
        <v>502</v>
      </c>
      <c r="Y332" s="21" t="s">
        <v>558</v>
      </c>
      <c r="Z332" s="21">
        <v>3035556491</v>
      </c>
      <c r="AA332" s="26">
        <v>42741</v>
      </c>
      <c r="AB332" s="26">
        <v>42744</v>
      </c>
      <c r="AC332" s="21" t="s">
        <v>504</v>
      </c>
      <c r="AD332" s="21" t="s">
        <v>505</v>
      </c>
      <c r="AE332" s="21" t="s">
        <v>500</v>
      </c>
      <c r="AF332" s="21" t="s">
        <v>549</v>
      </c>
      <c r="AG332" s="21" t="s">
        <v>555</v>
      </c>
      <c r="AH332" s="21" t="s">
        <v>556</v>
      </c>
      <c r="AI332" s="21" t="s">
        <v>4305</v>
      </c>
      <c r="AJ332" s="21" t="s">
        <v>526</v>
      </c>
      <c r="AK332" s="21" t="s">
        <v>494</v>
      </c>
      <c r="AL332" s="21" t="s">
        <v>527</v>
      </c>
      <c r="AM332" s="21" t="s">
        <v>527</v>
      </c>
      <c r="AN332" s="21" t="s">
        <v>527</v>
      </c>
      <c r="AO332" s="21" t="s">
        <v>528</v>
      </c>
      <c r="AS332" s="21" t="s">
        <v>511</v>
      </c>
      <c r="AT332" s="21" t="s">
        <v>512</v>
      </c>
      <c r="AW332" s="21">
        <v>0</v>
      </c>
      <c r="AX332" s="21">
        <v>9</v>
      </c>
      <c r="AY332" s="26"/>
      <c r="AZ332" s="26"/>
      <c r="BB332" s="26"/>
      <c r="BC332" s="21" t="s">
        <v>513</v>
      </c>
      <c r="BD332" s="21" t="s">
        <v>514</v>
      </c>
      <c r="BE332" s="21" t="s">
        <v>514</v>
      </c>
      <c r="BF332" s="21" t="s">
        <v>515</v>
      </c>
      <c r="BG332" s="21">
        <v>1</v>
      </c>
      <c r="BH332" s="21" t="s">
        <v>516</v>
      </c>
      <c r="BI332" s="21" t="s">
        <v>517</v>
      </c>
      <c r="BJ332" s="21" t="s">
        <v>516</v>
      </c>
      <c r="BK332" s="21" t="s">
        <v>516</v>
      </c>
      <c r="BM332" s="21" t="s">
        <v>29</v>
      </c>
      <c r="BN332" s="21" t="s">
        <v>129</v>
      </c>
      <c r="BO332" s="21" t="s">
        <v>518</v>
      </c>
      <c r="BP332" s="21" t="s">
        <v>519</v>
      </c>
      <c r="BQ332" s="21" t="s">
        <v>2693</v>
      </c>
      <c r="BR332" s="21" t="s">
        <v>3051</v>
      </c>
      <c r="BS332" s="21" t="s">
        <v>4306</v>
      </c>
      <c r="BT332" s="21" t="s">
        <v>4307</v>
      </c>
      <c r="BU332" s="21" t="s">
        <v>129</v>
      </c>
      <c r="CD332" s="21" t="s">
        <v>520</v>
      </c>
      <c r="CF332" s="21" t="s">
        <v>521</v>
      </c>
      <c r="CN332" s="26"/>
      <c r="DB332" s="24" t="s">
        <v>943</v>
      </c>
      <c r="DC332" s="21">
        <v>1</v>
      </c>
      <c r="DD332" s="21">
        <v>3</v>
      </c>
      <c r="DE332" s="22">
        <v>42753</v>
      </c>
      <c r="DF332" s="21" t="s">
        <v>4308</v>
      </c>
      <c r="DG332" s="21" t="s">
        <v>522</v>
      </c>
      <c r="DH332" s="21" t="s">
        <v>4309</v>
      </c>
      <c r="DI332" s="21" t="s">
        <v>495</v>
      </c>
      <c r="DJ332" s="21" t="s">
        <v>523</v>
      </c>
      <c r="DK332" s="26"/>
      <c r="DL332" s="26">
        <v>42756</v>
      </c>
      <c r="DM332" s="26">
        <v>42746</v>
      </c>
      <c r="DN332" s="21">
        <v>3100</v>
      </c>
      <c r="DO332" s="21">
        <v>10</v>
      </c>
      <c r="DP332" s="21">
        <v>1</v>
      </c>
      <c r="DQ332" s="21">
        <v>2</v>
      </c>
      <c r="DR332" s="21">
        <v>7</v>
      </c>
      <c r="DS332" s="21">
        <v>10</v>
      </c>
      <c r="DT332" s="21">
        <v>10</v>
      </c>
      <c r="DU332" s="21">
        <v>10</v>
      </c>
      <c r="DW332" s="21">
        <v>9</v>
      </c>
      <c r="EA332" s="21">
        <v>10</v>
      </c>
      <c r="EB332" s="21" t="s">
        <v>4310</v>
      </c>
      <c r="EC332" s="21" t="s">
        <v>4422</v>
      </c>
      <c r="EF332" s="25">
        <v>1</v>
      </c>
      <c r="EG332" s="25">
        <v>0</v>
      </c>
      <c r="EH332" s="25">
        <v>1</v>
      </c>
      <c r="EI332" s="25">
        <v>0</v>
      </c>
      <c r="EJ332" s="25" t="s">
        <v>62</v>
      </c>
      <c r="EK332" s="25" t="s">
        <v>130</v>
      </c>
      <c r="EL332" s="25" t="s">
        <v>563</v>
      </c>
      <c r="EM332" s="25" t="s">
        <v>276</v>
      </c>
      <c r="EN332" s="25" t="s">
        <v>23</v>
      </c>
      <c r="EO332" s="25" t="s">
        <v>23</v>
      </c>
      <c r="EP332" s="25" t="s">
        <v>62</v>
      </c>
      <c r="EQ332" s="25" t="s">
        <v>3007</v>
      </c>
      <c r="ER332" s="25" t="s">
        <v>278</v>
      </c>
      <c r="ES332" s="25" t="s">
        <v>278</v>
      </c>
      <c r="ET332" s="25">
        <v>1</v>
      </c>
      <c r="EU332" s="25" t="s">
        <v>522</v>
      </c>
      <c r="EV332" s="25" t="s">
        <v>279</v>
      </c>
      <c r="EW332" s="25" t="s">
        <v>279</v>
      </c>
      <c r="EX332" s="25" t="s">
        <v>279</v>
      </c>
      <c r="EY332" s="20" t="e">
        <v>#N/A</v>
      </c>
    </row>
    <row r="333" spans="1:155">
      <c r="A333" s="21" t="s">
        <v>491</v>
      </c>
      <c r="B333" s="21" t="s">
        <v>491</v>
      </c>
      <c r="C333" s="21" t="s">
        <v>492</v>
      </c>
      <c r="D333" s="21" t="s">
        <v>493</v>
      </c>
      <c r="E333" s="21" t="s">
        <v>493</v>
      </c>
      <c r="F333" s="21" t="s">
        <v>493</v>
      </c>
      <c r="G333" s="21" t="s">
        <v>4311</v>
      </c>
      <c r="H333" s="21">
        <v>1633419900</v>
      </c>
      <c r="I333" s="21">
        <v>1633419901</v>
      </c>
      <c r="J333" s="21" t="s">
        <v>4312</v>
      </c>
      <c r="L333" s="21" t="s">
        <v>495</v>
      </c>
      <c r="M333" s="21" t="s">
        <v>4313</v>
      </c>
      <c r="N333" s="21" t="s">
        <v>2374</v>
      </c>
      <c r="O333" s="21" t="s">
        <v>98</v>
      </c>
      <c r="P333" s="21" t="s">
        <v>553</v>
      </c>
      <c r="R333" s="21" t="s">
        <v>2375</v>
      </c>
      <c r="S333" s="21" t="s">
        <v>2376</v>
      </c>
      <c r="V333" s="21" t="s">
        <v>500</v>
      </c>
      <c r="W333" s="21" t="s">
        <v>501</v>
      </c>
      <c r="X333" s="21" t="s">
        <v>502</v>
      </c>
      <c r="Y333" s="21" t="s">
        <v>554</v>
      </c>
      <c r="Z333" s="21">
        <v>3035655460</v>
      </c>
      <c r="AA333" s="26">
        <v>42745</v>
      </c>
      <c r="AB333" s="26">
        <v>42745</v>
      </c>
      <c r="AC333" s="21" t="s">
        <v>504</v>
      </c>
      <c r="AD333" s="21" t="s">
        <v>505</v>
      </c>
      <c r="AE333" s="21" t="s">
        <v>1091</v>
      </c>
      <c r="AF333" s="21" t="s">
        <v>2524</v>
      </c>
      <c r="AG333" s="21" t="s">
        <v>2944</v>
      </c>
      <c r="AH333" s="21" t="s">
        <v>2945</v>
      </c>
      <c r="AI333" s="21" t="s">
        <v>4314</v>
      </c>
      <c r="AJ333" s="21" t="s">
        <v>526</v>
      </c>
      <c r="AK333" s="21" t="s">
        <v>494</v>
      </c>
      <c r="AL333" s="21" t="s">
        <v>527</v>
      </c>
      <c r="AM333" s="21" t="s">
        <v>527</v>
      </c>
      <c r="AN333" s="21" t="s">
        <v>527</v>
      </c>
      <c r="AO333" s="21" t="s">
        <v>528</v>
      </c>
      <c r="AS333" s="21" t="s">
        <v>511</v>
      </c>
      <c r="AT333" s="21" t="s">
        <v>512</v>
      </c>
      <c r="AW333" s="21">
        <v>0</v>
      </c>
      <c r="AX333" s="21">
        <v>2</v>
      </c>
      <c r="AY333" s="26"/>
      <c r="AZ333" s="26"/>
      <c r="BB333" s="26"/>
      <c r="BC333" s="21" t="s">
        <v>513</v>
      </c>
      <c r="BD333" s="21" t="s">
        <v>514</v>
      </c>
      <c r="BE333" s="21" t="s">
        <v>514</v>
      </c>
      <c r="BF333" s="21" t="s">
        <v>515</v>
      </c>
      <c r="BG333" s="21">
        <v>1</v>
      </c>
      <c r="BH333" s="21" t="s">
        <v>516</v>
      </c>
      <c r="BI333" s="21" t="s">
        <v>517</v>
      </c>
      <c r="BJ333" s="21" t="s">
        <v>516</v>
      </c>
      <c r="BK333" s="21" t="s">
        <v>516</v>
      </c>
      <c r="BM333" s="21" t="s">
        <v>839</v>
      </c>
      <c r="BN333" s="21" t="s">
        <v>889</v>
      </c>
      <c r="BO333" s="21" t="s">
        <v>518</v>
      </c>
      <c r="BP333" s="21" t="s">
        <v>519</v>
      </c>
      <c r="BQ333" s="21" t="s">
        <v>839</v>
      </c>
      <c r="BR333" s="21" t="s">
        <v>889</v>
      </c>
      <c r="BS333" s="21" t="s">
        <v>518</v>
      </c>
      <c r="BT333" s="21" t="s">
        <v>519</v>
      </c>
      <c r="BU333" s="21" t="s">
        <v>889</v>
      </c>
      <c r="CD333" s="21" t="s">
        <v>520</v>
      </c>
      <c r="CF333" s="21" t="s">
        <v>521</v>
      </c>
      <c r="CN333" s="26"/>
      <c r="DB333" s="24" t="s">
        <v>943</v>
      </c>
      <c r="DC333" s="21">
        <v>1</v>
      </c>
      <c r="DD333" s="21">
        <v>3</v>
      </c>
      <c r="DE333" s="22">
        <v>42753</v>
      </c>
      <c r="DF333" s="21" t="s">
        <v>4315</v>
      </c>
      <c r="DG333" s="21" t="s">
        <v>522</v>
      </c>
      <c r="DH333" s="21" t="s">
        <v>4316</v>
      </c>
      <c r="DI333" s="21" t="s">
        <v>495</v>
      </c>
      <c r="DJ333" s="21" t="s">
        <v>520</v>
      </c>
      <c r="DK333" s="26"/>
      <c r="DL333" s="26">
        <v>42757</v>
      </c>
      <c r="DM333" s="26">
        <v>42747</v>
      </c>
      <c r="DN333" s="21">
        <v>3100</v>
      </c>
      <c r="DO333" s="21">
        <v>9</v>
      </c>
      <c r="DP333" s="21">
        <v>1</v>
      </c>
      <c r="DQ333" s="21">
        <v>1</v>
      </c>
      <c r="DR333" s="21">
        <v>6</v>
      </c>
      <c r="DS333" s="21">
        <v>10</v>
      </c>
      <c r="DT333" s="21">
        <v>9</v>
      </c>
      <c r="DU333" s="21">
        <v>10</v>
      </c>
      <c r="DW333" s="21">
        <v>8</v>
      </c>
      <c r="EA333" s="21">
        <v>10</v>
      </c>
      <c r="EF333" s="25">
        <v>1</v>
      </c>
      <c r="EG333" s="25">
        <v>0</v>
      </c>
      <c r="EH333" s="25">
        <v>1</v>
      </c>
      <c r="EI333" s="25">
        <v>0</v>
      </c>
      <c r="EJ333" s="25" t="s">
        <v>62</v>
      </c>
      <c r="EK333" s="25" t="s">
        <v>276</v>
      </c>
      <c r="EL333" s="25" t="s">
        <v>276</v>
      </c>
      <c r="EM333" s="25" t="s">
        <v>276</v>
      </c>
      <c r="EN333" s="25" t="s">
        <v>276</v>
      </c>
      <c r="EO333" s="25" t="s">
        <v>276</v>
      </c>
      <c r="EP333" s="25" t="s">
        <v>276</v>
      </c>
      <c r="EQ333" s="25" t="s">
        <v>276</v>
      </c>
      <c r="ER333" s="25" t="s">
        <v>276</v>
      </c>
      <c r="ES333" s="25" t="s">
        <v>276</v>
      </c>
      <c r="ET333" s="25">
        <v>1</v>
      </c>
      <c r="EU333" s="25" t="s">
        <v>522</v>
      </c>
      <c r="EV333" s="25" t="s">
        <v>276</v>
      </c>
      <c r="EW333" s="25" t="s">
        <v>276</v>
      </c>
      <c r="EX333" s="25" t="s">
        <v>276</v>
      </c>
      <c r="EY333" s="20" t="e">
        <v>#N/A</v>
      </c>
    </row>
    <row r="334" spans="1:155">
      <c r="A334" s="21" t="s">
        <v>491</v>
      </c>
      <c r="B334" s="21" t="s">
        <v>491</v>
      </c>
      <c r="C334" s="21" t="s">
        <v>492</v>
      </c>
      <c r="D334" s="21" t="s">
        <v>493</v>
      </c>
      <c r="E334" s="21" t="s">
        <v>493</v>
      </c>
      <c r="F334" s="21" t="s">
        <v>493</v>
      </c>
      <c r="G334" s="21" t="s">
        <v>4259</v>
      </c>
      <c r="H334" s="21">
        <v>98988160436</v>
      </c>
      <c r="I334" s="21" t="s">
        <v>494</v>
      </c>
      <c r="J334" s="21" t="s">
        <v>4260</v>
      </c>
      <c r="L334" s="21" t="s">
        <v>495</v>
      </c>
      <c r="M334" s="21" t="s">
        <v>4261</v>
      </c>
      <c r="N334" s="21" t="s">
        <v>4262</v>
      </c>
      <c r="O334" s="21" t="s">
        <v>93</v>
      </c>
      <c r="P334" s="21" t="s">
        <v>539</v>
      </c>
      <c r="Q334" s="21" t="s">
        <v>1301</v>
      </c>
      <c r="R334" s="21" t="s">
        <v>4263</v>
      </c>
      <c r="S334" s="21" t="s">
        <v>1440</v>
      </c>
      <c r="V334" s="21" t="s">
        <v>277</v>
      </c>
      <c r="W334" s="21" t="s">
        <v>524</v>
      </c>
      <c r="X334" s="21" t="s">
        <v>525</v>
      </c>
      <c r="Y334" s="21" t="s">
        <v>530</v>
      </c>
      <c r="Z334" s="21">
        <v>3035686953</v>
      </c>
      <c r="AA334" s="26">
        <v>42746</v>
      </c>
      <c r="AB334" s="26">
        <v>42746</v>
      </c>
      <c r="AC334" s="21" t="s">
        <v>504</v>
      </c>
      <c r="AD334" s="21" t="s">
        <v>505</v>
      </c>
      <c r="AE334" s="21" t="s">
        <v>1054</v>
      </c>
      <c r="AF334" s="21" t="s">
        <v>1105</v>
      </c>
      <c r="AG334" s="21" t="s">
        <v>1516</v>
      </c>
      <c r="AH334" s="21" t="s">
        <v>1517</v>
      </c>
      <c r="AI334" s="21" t="s">
        <v>4264</v>
      </c>
      <c r="AJ334" s="21" t="s">
        <v>526</v>
      </c>
      <c r="AK334" s="21" t="s">
        <v>494</v>
      </c>
      <c r="AL334" s="21" t="s">
        <v>527</v>
      </c>
      <c r="AM334" s="21" t="s">
        <v>527</v>
      </c>
      <c r="AN334" s="21" t="s">
        <v>527</v>
      </c>
      <c r="AO334" s="21" t="s">
        <v>528</v>
      </c>
      <c r="AS334" s="21" t="s">
        <v>511</v>
      </c>
      <c r="AT334" s="21" t="s">
        <v>512</v>
      </c>
      <c r="AW334" s="21">
        <v>0</v>
      </c>
      <c r="AX334" s="21">
        <v>2</v>
      </c>
      <c r="AY334" s="26"/>
      <c r="AZ334" s="26"/>
      <c r="BB334" s="26"/>
      <c r="BC334" s="21" t="s">
        <v>513</v>
      </c>
      <c r="BD334" s="21" t="s">
        <v>514</v>
      </c>
      <c r="BE334" s="21" t="s">
        <v>514</v>
      </c>
      <c r="BF334" s="21" t="s">
        <v>515</v>
      </c>
      <c r="BG334" s="21">
        <v>1</v>
      </c>
      <c r="BH334" s="21" t="s">
        <v>516</v>
      </c>
      <c r="BI334" s="21" t="s">
        <v>517</v>
      </c>
      <c r="BJ334" s="21" t="s">
        <v>516</v>
      </c>
      <c r="BK334" s="21" t="s">
        <v>516</v>
      </c>
      <c r="BM334" s="21" t="s">
        <v>27</v>
      </c>
      <c r="BN334" s="21" t="s">
        <v>119</v>
      </c>
      <c r="BO334" s="21" t="s">
        <v>518</v>
      </c>
      <c r="BP334" s="21" t="s">
        <v>519</v>
      </c>
      <c r="BQ334" s="21" t="s">
        <v>27</v>
      </c>
      <c r="BR334" s="21" t="s">
        <v>119</v>
      </c>
      <c r="BS334" s="21" t="s">
        <v>518</v>
      </c>
      <c r="BT334" s="21" t="s">
        <v>519</v>
      </c>
      <c r="BU334" s="21" t="s">
        <v>119</v>
      </c>
      <c r="CD334" s="21" t="s">
        <v>520</v>
      </c>
      <c r="CF334" s="21" t="s">
        <v>521</v>
      </c>
      <c r="CN334" s="26"/>
      <c r="DB334" s="24" t="s">
        <v>943</v>
      </c>
      <c r="DC334" s="21">
        <v>1</v>
      </c>
      <c r="DD334" s="21">
        <v>3</v>
      </c>
      <c r="DE334" s="22">
        <v>42753</v>
      </c>
      <c r="DF334" s="21" t="s">
        <v>4265</v>
      </c>
      <c r="DG334" s="21" t="s">
        <v>522</v>
      </c>
      <c r="DH334" s="21" t="s">
        <v>4266</v>
      </c>
      <c r="DI334" s="21" t="s">
        <v>495</v>
      </c>
      <c r="DJ334" s="21" t="s">
        <v>523</v>
      </c>
      <c r="DK334" s="26"/>
      <c r="DL334" s="26">
        <v>42758</v>
      </c>
      <c r="DM334" s="26">
        <v>42748</v>
      </c>
      <c r="DN334" s="21">
        <v>1100</v>
      </c>
      <c r="DO334" s="21">
        <v>10</v>
      </c>
      <c r="DP334" s="21">
        <v>1</v>
      </c>
      <c r="DQ334" s="21">
        <v>1</v>
      </c>
      <c r="DR334" s="21">
        <v>7</v>
      </c>
      <c r="DS334" s="21">
        <v>10</v>
      </c>
      <c r="DT334" s="21">
        <v>10</v>
      </c>
      <c r="DU334" s="21">
        <v>10</v>
      </c>
      <c r="DW334" s="21">
        <v>10</v>
      </c>
      <c r="EA334" s="21">
        <v>10</v>
      </c>
      <c r="EB334" s="21" t="s">
        <v>4267</v>
      </c>
      <c r="EC334" s="21" t="s">
        <v>1680</v>
      </c>
      <c r="EF334" s="25">
        <v>1</v>
      </c>
      <c r="EG334" s="25">
        <v>0</v>
      </c>
      <c r="EH334" s="25">
        <v>1</v>
      </c>
      <c r="EI334" s="25">
        <v>0</v>
      </c>
      <c r="EJ334" s="25" t="s">
        <v>92</v>
      </c>
      <c r="EK334" s="25" t="s">
        <v>120</v>
      </c>
      <c r="EL334" s="25" t="s">
        <v>120</v>
      </c>
      <c r="EM334" s="25" t="s">
        <v>276</v>
      </c>
      <c r="EN334" s="25" t="s">
        <v>23</v>
      </c>
      <c r="EO334" s="25" t="s">
        <v>23</v>
      </c>
      <c r="EP334" s="25" t="s">
        <v>62</v>
      </c>
      <c r="EQ334" s="25" t="s">
        <v>62</v>
      </c>
      <c r="ER334" s="25" t="s">
        <v>278</v>
      </c>
      <c r="ES334" s="25" t="s">
        <v>278</v>
      </c>
      <c r="ET334" s="25">
        <v>1</v>
      </c>
      <c r="EU334" s="25" t="s">
        <v>522</v>
      </c>
      <c r="EV334" s="25" t="s">
        <v>120</v>
      </c>
      <c r="EW334" s="25" t="s">
        <v>23</v>
      </c>
      <c r="EX334" s="25" t="s">
        <v>278</v>
      </c>
      <c r="EY334" s="20" t="e">
        <v>#N/A</v>
      </c>
    </row>
    <row r="335" spans="1:155">
      <c r="A335" s="21" t="s">
        <v>491</v>
      </c>
      <c r="B335" s="21" t="s">
        <v>491</v>
      </c>
      <c r="C335" s="21" t="s">
        <v>492</v>
      </c>
      <c r="D335" s="21" t="s">
        <v>493</v>
      </c>
      <c r="E335" s="21" t="s">
        <v>493</v>
      </c>
      <c r="F335" s="21" t="s">
        <v>493</v>
      </c>
      <c r="G335" s="21" t="s">
        <v>4317</v>
      </c>
      <c r="H335" s="21">
        <v>1238822469</v>
      </c>
      <c r="I335" s="21" t="s">
        <v>494</v>
      </c>
      <c r="J335" s="21" t="s">
        <v>4318</v>
      </c>
      <c r="L335" s="21" t="s">
        <v>495</v>
      </c>
      <c r="M335" s="21" t="s">
        <v>4319</v>
      </c>
      <c r="N335" s="21" t="s">
        <v>1204</v>
      </c>
      <c r="O335" s="21" t="s">
        <v>58</v>
      </c>
      <c r="P335" s="21" t="s">
        <v>557</v>
      </c>
      <c r="R335" s="21" t="s">
        <v>1205</v>
      </c>
      <c r="S335" s="21" t="s">
        <v>1206</v>
      </c>
      <c r="V335" s="21" t="s">
        <v>500</v>
      </c>
      <c r="W335" s="21" t="s">
        <v>501</v>
      </c>
      <c r="X335" s="21" t="s">
        <v>502</v>
      </c>
      <c r="Y335" s="21" t="s">
        <v>558</v>
      </c>
      <c r="Z335" s="21">
        <v>3035688638</v>
      </c>
      <c r="AA335" s="26">
        <v>42746</v>
      </c>
      <c r="AB335" s="26">
        <v>42746</v>
      </c>
      <c r="AC335" s="21" t="s">
        <v>504</v>
      </c>
      <c r="AD335" s="21" t="s">
        <v>505</v>
      </c>
      <c r="AE335" s="21" t="s">
        <v>500</v>
      </c>
      <c r="AF335" s="21" t="s">
        <v>549</v>
      </c>
      <c r="AG335" s="21" t="s">
        <v>1861</v>
      </c>
      <c r="AH335" s="21" t="s">
        <v>1862</v>
      </c>
      <c r="AI335" s="21" t="s">
        <v>1024</v>
      </c>
      <c r="AJ335" s="21" t="s">
        <v>526</v>
      </c>
      <c r="AK335" s="21" t="s">
        <v>494</v>
      </c>
      <c r="AL335" s="21" t="s">
        <v>527</v>
      </c>
      <c r="AM335" s="21" t="s">
        <v>527</v>
      </c>
      <c r="AN335" s="21" t="s">
        <v>527</v>
      </c>
      <c r="AO335" s="21" t="s">
        <v>528</v>
      </c>
      <c r="AS335" s="21" t="s">
        <v>511</v>
      </c>
      <c r="AT335" s="21" t="s">
        <v>512</v>
      </c>
      <c r="AW335" s="21">
        <v>0</v>
      </c>
      <c r="AX335" s="21">
        <v>2</v>
      </c>
      <c r="AY335" s="26"/>
      <c r="AZ335" s="26"/>
      <c r="BB335" s="26"/>
      <c r="BC335" s="21" t="s">
        <v>513</v>
      </c>
      <c r="BD335" s="21" t="s">
        <v>514</v>
      </c>
      <c r="BE335" s="21" t="s">
        <v>514</v>
      </c>
      <c r="BF335" s="21" t="s">
        <v>515</v>
      </c>
      <c r="BG335" s="21">
        <v>1</v>
      </c>
      <c r="BH335" s="21" t="s">
        <v>516</v>
      </c>
      <c r="BI335" s="21" t="s">
        <v>517</v>
      </c>
      <c r="BJ335" s="21" t="s">
        <v>516</v>
      </c>
      <c r="BK335" s="21" t="s">
        <v>516</v>
      </c>
      <c r="BM335" s="21" t="s">
        <v>44</v>
      </c>
      <c r="BN335" s="21" t="s">
        <v>244</v>
      </c>
      <c r="BO335" s="21" t="s">
        <v>518</v>
      </c>
      <c r="BP335" s="21" t="s">
        <v>1044</v>
      </c>
      <c r="BQ335" s="21" t="s">
        <v>44</v>
      </c>
      <c r="BR335" s="21" t="s">
        <v>244</v>
      </c>
      <c r="BS335" s="21" t="s">
        <v>518</v>
      </c>
      <c r="BT335" s="21" t="s">
        <v>1044</v>
      </c>
      <c r="BU335" s="21" t="s">
        <v>244</v>
      </c>
      <c r="CD335" s="21" t="s">
        <v>520</v>
      </c>
      <c r="CF335" s="21" t="s">
        <v>521</v>
      </c>
      <c r="CN335" s="26"/>
      <c r="DB335" s="24" t="s">
        <v>943</v>
      </c>
      <c r="DC335" s="21">
        <v>1</v>
      </c>
      <c r="DD335" s="21">
        <v>3</v>
      </c>
      <c r="DE335" s="22">
        <v>42753</v>
      </c>
      <c r="DF335" s="21" t="s">
        <v>1454</v>
      </c>
      <c r="DG335" s="21" t="s">
        <v>522</v>
      </c>
      <c r="DH335" s="21" t="s">
        <v>4320</v>
      </c>
      <c r="DI335" s="21" t="s">
        <v>495</v>
      </c>
      <c r="DJ335" s="21" t="s">
        <v>520</v>
      </c>
      <c r="DK335" s="26"/>
      <c r="DL335" s="26">
        <v>42758</v>
      </c>
      <c r="DM335" s="26">
        <v>42748</v>
      </c>
      <c r="DN335" s="21">
        <v>3100</v>
      </c>
      <c r="DO335" s="21">
        <v>9</v>
      </c>
      <c r="DP335" s="21">
        <v>1</v>
      </c>
      <c r="DQ335" s="21">
        <v>1</v>
      </c>
      <c r="DR335" s="21">
        <v>6</v>
      </c>
      <c r="DS335" s="21">
        <v>10</v>
      </c>
      <c r="DT335" s="21">
        <v>9</v>
      </c>
      <c r="DU335" s="21">
        <v>8</v>
      </c>
      <c r="DW335" s="21">
        <v>2</v>
      </c>
      <c r="EA335" s="21">
        <v>9</v>
      </c>
      <c r="EF335" s="25">
        <v>1</v>
      </c>
      <c r="EG335" s="25">
        <v>0</v>
      </c>
      <c r="EH335" s="25">
        <v>1</v>
      </c>
      <c r="EI335" s="25">
        <v>0</v>
      </c>
      <c r="EJ335" s="25" t="s">
        <v>62</v>
      </c>
      <c r="EK335" s="25" t="s">
        <v>245</v>
      </c>
      <c r="EL335" s="25" t="s">
        <v>245</v>
      </c>
      <c r="EM335" s="25" t="s">
        <v>276</v>
      </c>
      <c r="EN335" s="25" t="s">
        <v>39</v>
      </c>
      <c r="EO335" s="25" t="s">
        <v>39</v>
      </c>
      <c r="EP335" s="25" t="s">
        <v>92</v>
      </c>
      <c r="EQ335" s="25" t="s">
        <v>92</v>
      </c>
      <c r="ER335" s="25" t="s">
        <v>278</v>
      </c>
      <c r="ES335" s="25" t="s">
        <v>278</v>
      </c>
      <c r="ET335" s="25">
        <v>1</v>
      </c>
      <c r="EU335" s="25" t="s">
        <v>522</v>
      </c>
      <c r="EV335" s="25" t="s">
        <v>245</v>
      </c>
      <c r="EW335" s="25" t="s">
        <v>39</v>
      </c>
      <c r="EX335" s="25" t="s">
        <v>278</v>
      </c>
      <c r="EY335" s="20" t="e">
        <v>#N/A</v>
      </c>
    </row>
    <row r="336" spans="1:155">
      <c r="A336" s="21" t="s">
        <v>491</v>
      </c>
      <c r="B336" s="21" t="s">
        <v>491</v>
      </c>
      <c r="C336" s="21" t="s">
        <v>492</v>
      </c>
      <c r="D336" s="21" t="s">
        <v>493</v>
      </c>
      <c r="E336" s="21" t="s">
        <v>493</v>
      </c>
      <c r="F336" s="21" t="s">
        <v>493</v>
      </c>
      <c r="G336" s="21" t="s">
        <v>4321</v>
      </c>
      <c r="H336" s="21">
        <v>55991522826</v>
      </c>
      <c r="I336" s="21" t="s">
        <v>494</v>
      </c>
      <c r="J336" s="21" t="s">
        <v>4322</v>
      </c>
      <c r="L336" s="21" t="s">
        <v>495</v>
      </c>
      <c r="M336" s="21" t="s">
        <v>4323</v>
      </c>
      <c r="N336" s="21" t="s">
        <v>2280</v>
      </c>
      <c r="O336" s="21" t="s">
        <v>58</v>
      </c>
      <c r="P336" s="21" t="s">
        <v>557</v>
      </c>
      <c r="R336" s="21" t="s">
        <v>2281</v>
      </c>
      <c r="S336" s="21" t="s">
        <v>2282</v>
      </c>
      <c r="V336" s="21" t="s">
        <v>500</v>
      </c>
      <c r="W336" s="21" t="s">
        <v>501</v>
      </c>
      <c r="X336" s="21" t="s">
        <v>502</v>
      </c>
      <c r="Y336" s="21" t="s">
        <v>558</v>
      </c>
      <c r="Z336" s="21">
        <v>3035641678</v>
      </c>
      <c r="AA336" s="26">
        <v>42745</v>
      </c>
      <c r="AB336" s="26">
        <v>42746</v>
      </c>
      <c r="AC336" s="21" t="s">
        <v>504</v>
      </c>
      <c r="AD336" s="21" t="s">
        <v>505</v>
      </c>
      <c r="AE336" s="21" t="s">
        <v>500</v>
      </c>
      <c r="AF336" s="21" t="s">
        <v>506</v>
      </c>
      <c r="AG336" s="21" t="s">
        <v>1148</v>
      </c>
      <c r="AH336" s="21" t="s">
        <v>1149</v>
      </c>
      <c r="AI336" s="21" t="s">
        <v>4324</v>
      </c>
      <c r="AJ336" s="21" t="s">
        <v>507</v>
      </c>
      <c r="AK336" s="21" t="s">
        <v>494</v>
      </c>
      <c r="AL336" s="21" t="s">
        <v>527</v>
      </c>
      <c r="AM336" s="21" t="s">
        <v>527</v>
      </c>
      <c r="AN336" s="21" t="s">
        <v>527</v>
      </c>
      <c r="AO336" s="21" t="s">
        <v>528</v>
      </c>
      <c r="AS336" s="21" t="s">
        <v>511</v>
      </c>
      <c r="AT336" s="21" t="s">
        <v>512</v>
      </c>
      <c r="AW336" s="21">
        <v>0</v>
      </c>
      <c r="AX336" s="21">
        <v>0</v>
      </c>
      <c r="AY336" s="26"/>
      <c r="AZ336" s="26"/>
      <c r="BB336" s="26"/>
      <c r="BC336" s="21" t="s">
        <v>513</v>
      </c>
      <c r="BD336" s="21" t="s">
        <v>514</v>
      </c>
      <c r="BE336" s="21" t="s">
        <v>514</v>
      </c>
      <c r="BF336" s="21" t="s">
        <v>1351</v>
      </c>
      <c r="BG336" s="21">
        <v>1</v>
      </c>
      <c r="BH336" s="21" t="s">
        <v>516</v>
      </c>
      <c r="BI336" s="21" t="s">
        <v>517</v>
      </c>
      <c r="BJ336" s="21" t="s">
        <v>516</v>
      </c>
      <c r="BK336" s="21" t="s">
        <v>516</v>
      </c>
      <c r="BM336" s="21" t="s">
        <v>281</v>
      </c>
      <c r="BN336" s="21" t="s">
        <v>142</v>
      </c>
      <c r="BO336" s="21" t="s">
        <v>518</v>
      </c>
      <c r="BP336" s="21" t="s">
        <v>519</v>
      </c>
      <c r="BQ336" s="21" t="s">
        <v>281</v>
      </c>
      <c r="BR336" s="21" t="s">
        <v>142</v>
      </c>
      <c r="BS336" s="21" t="s">
        <v>518</v>
      </c>
      <c r="BT336" s="21" t="s">
        <v>519</v>
      </c>
      <c r="BU336" s="21" t="s">
        <v>142</v>
      </c>
      <c r="CD336" s="21" t="s">
        <v>520</v>
      </c>
      <c r="CF336" s="21" t="s">
        <v>521</v>
      </c>
      <c r="CN336" s="26"/>
      <c r="DB336" s="24" t="s">
        <v>943</v>
      </c>
      <c r="DC336" s="21">
        <v>1</v>
      </c>
      <c r="DD336" s="21">
        <v>3</v>
      </c>
      <c r="DE336" s="22">
        <v>42753</v>
      </c>
      <c r="DF336" s="21" t="s">
        <v>4325</v>
      </c>
      <c r="DG336" s="21" t="s">
        <v>522</v>
      </c>
      <c r="DH336" s="21" t="s">
        <v>4326</v>
      </c>
      <c r="DI336" s="21" t="s">
        <v>495</v>
      </c>
      <c r="DJ336" s="21" t="s">
        <v>523</v>
      </c>
      <c r="DK336" s="26"/>
      <c r="DL336" s="26">
        <v>42758</v>
      </c>
      <c r="DM336" s="26">
        <v>42748</v>
      </c>
      <c r="DN336" s="21">
        <v>3100</v>
      </c>
      <c r="DO336" s="21">
        <v>10</v>
      </c>
      <c r="DP336" s="21">
        <v>1</v>
      </c>
      <c r="DQ336" s="21">
        <v>2</v>
      </c>
      <c r="DR336" s="21">
        <v>5</v>
      </c>
      <c r="DS336" s="21">
        <v>10</v>
      </c>
      <c r="DT336" s="21">
        <v>10</v>
      </c>
      <c r="DU336" s="21">
        <v>10</v>
      </c>
      <c r="DW336" s="21">
        <v>10</v>
      </c>
      <c r="EA336" s="21">
        <v>10</v>
      </c>
      <c r="EB336" s="21" t="s">
        <v>4327</v>
      </c>
      <c r="EC336" s="21" t="s">
        <v>1968</v>
      </c>
      <c r="EF336" s="25">
        <v>1</v>
      </c>
      <c r="EG336" s="25">
        <v>0</v>
      </c>
      <c r="EH336" s="25">
        <v>1</v>
      </c>
      <c r="EI336" s="25">
        <v>0</v>
      </c>
      <c r="EJ336" s="25" t="s">
        <v>62</v>
      </c>
      <c r="EK336" s="25" t="s">
        <v>143</v>
      </c>
      <c r="EL336" s="25" t="s">
        <v>143</v>
      </c>
      <c r="EM336" s="25" t="s">
        <v>276</v>
      </c>
      <c r="EN336" s="25" t="s">
        <v>51</v>
      </c>
      <c r="EO336" s="25" t="s">
        <v>51</v>
      </c>
      <c r="EP336" s="25" t="s">
        <v>1355</v>
      </c>
      <c r="EQ336" s="25" t="s">
        <v>1355</v>
      </c>
      <c r="ER336" s="25" t="s">
        <v>278</v>
      </c>
      <c r="ES336" s="25" t="s">
        <v>278</v>
      </c>
      <c r="ET336" s="25">
        <v>1</v>
      </c>
      <c r="EU336" s="25" t="s">
        <v>522</v>
      </c>
      <c r="EV336" s="25" t="s">
        <v>143</v>
      </c>
      <c r="EW336" s="25" t="s">
        <v>51</v>
      </c>
      <c r="EX336" s="25" t="s">
        <v>278</v>
      </c>
      <c r="EY336" s="20" t="e">
        <v>#N/A</v>
      </c>
    </row>
    <row r="337" spans="1:155">
      <c r="A337" s="21" t="s">
        <v>491</v>
      </c>
      <c r="B337" s="21" t="s">
        <v>491</v>
      </c>
      <c r="C337" s="21" t="s">
        <v>492</v>
      </c>
      <c r="D337" s="21" t="s">
        <v>493</v>
      </c>
      <c r="E337" s="21" t="s">
        <v>493</v>
      </c>
      <c r="F337" s="21" t="s">
        <v>493</v>
      </c>
      <c r="G337" s="21" t="s">
        <v>4328</v>
      </c>
      <c r="H337" s="21">
        <v>11951510302</v>
      </c>
      <c r="I337" s="21" t="s">
        <v>494</v>
      </c>
      <c r="J337" s="21" t="s">
        <v>4329</v>
      </c>
      <c r="L337" s="21" t="s">
        <v>495</v>
      </c>
      <c r="M337" s="21" t="s">
        <v>4330</v>
      </c>
      <c r="N337" s="21" t="s">
        <v>2289</v>
      </c>
      <c r="O337" s="21" t="s">
        <v>93</v>
      </c>
      <c r="P337" s="21" t="s">
        <v>539</v>
      </c>
      <c r="R337" s="21" t="s">
        <v>2290</v>
      </c>
      <c r="S337" s="21" t="s">
        <v>2231</v>
      </c>
      <c r="V337" s="21" t="s">
        <v>277</v>
      </c>
      <c r="W337" s="21" t="s">
        <v>524</v>
      </c>
      <c r="X337" s="21" t="s">
        <v>525</v>
      </c>
      <c r="Y337" s="21" t="s">
        <v>530</v>
      </c>
      <c r="Z337" s="21">
        <v>3035542013</v>
      </c>
      <c r="AA337" s="26">
        <v>42741</v>
      </c>
      <c r="AB337" s="26">
        <v>42746</v>
      </c>
      <c r="AC337" s="21" t="s">
        <v>504</v>
      </c>
      <c r="AD337" s="21" t="s">
        <v>505</v>
      </c>
      <c r="AE337" s="21" t="s">
        <v>1156</v>
      </c>
      <c r="AF337" s="21" t="s">
        <v>1169</v>
      </c>
      <c r="AG337" s="21" t="s">
        <v>4331</v>
      </c>
      <c r="AH337" s="21" t="s">
        <v>4332</v>
      </c>
      <c r="AI337" s="21" t="s">
        <v>4333</v>
      </c>
      <c r="AJ337" s="21" t="s">
        <v>507</v>
      </c>
      <c r="AK337" s="21" t="s">
        <v>494</v>
      </c>
      <c r="AL337" s="21" t="s">
        <v>508</v>
      </c>
      <c r="AM337" s="21" t="s">
        <v>509</v>
      </c>
      <c r="AN337" s="21" t="s">
        <v>509</v>
      </c>
      <c r="AO337" s="21" t="s">
        <v>510</v>
      </c>
      <c r="AS337" s="21" t="s">
        <v>511</v>
      </c>
      <c r="AT337" s="21" t="s">
        <v>512</v>
      </c>
      <c r="AW337" s="21">
        <v>0</v>
      </c>
      <c r="AX337" s="21">
        <v>5</v>
      </c>
      <c r="AY337" s="26"/>
      <c r="AZ337" s="26"/>
      <c r="BB337" s="26"/>
      <c r="BC337" s="21" t="s">
        <v>513</v>
      </c>
      <c r="BD337" s="21" t="s">
        <v>514</v>
      </c>
      <c r="BE337" s="21" t="s">
        <v>514</v>
      </c>
      <c r="BF337" s="21" t="s">
        <v>515</v>
      </c>
      <c r="BG337" s="21">
        <v>1</v>
      </c>
      <c r="BH337" s="21" t="s">
        <v>516</v>
      </c>
      <c r="BI337" s="21" t="s">
        <v>517</v>
      </c>
      <c r="BJ337" s="21" t="s">
        <v>516</v>
      </c>
      <c r="BK337" s="21" t="s">
        <v>516</v>
      </c>
      <c r="BM337" s="21" t="s">
        <v>28</v>
      </c>
      <c r="BN337" s="21" t="s">
        <v>158</v>
      </c>
      <c r="BO337" s="21" t="s">
        <v>518</v>
      </c>
      <c r="BP337" s="21" t="s">
        <v>519</v>
      </c>
      <c r="BQ337" s="21" t="s">
        <v>8</v>
      </c>
      <c r="BR337" s="21" t="s">
        <v>80</v>
      </c>
      <c r="BS337" s="21" t="s">
        <v>518</v>
      </c>
      <c r="BT337" s="21" t="s">
        <v>519</v>
      </c>
      <c r="BU337" s="21" t="s">
        <v>158</v>
      </c>
      <c r="CD337" s="21" t="s">
        <v>520</v>
      </c>
      <c r="CF337" s="21" t="s">
        <v>521</v>
      </c>
      <c r="CN337" s="26"/>
      <c r="DB337" s="24" t="s">
        <v>943</v>
      </c>
      <c r="DC337" s="21">
        <v>1</v>
      </c>
      <c r="DD337" s="21">
        <v>3</v>
      </c>
      <c r="DE337" s="22">
        <v>42753</v>
      </c>
      <c r="DF337" s="21" t="s">
        <v>4334</v>
      </c>
      <c r="DG337" s="21" t="s">
        <v>522</v>
      </c>
      <c r="DH337" s="21" t="s">
        <v>4335</v>
      </c>
      <c r="DI337" s="21" t="s">
        <v>495</v>
      </c>
      <c r="DJ337" s="21" t="s">
        <v>523</v>
      </c>
      <c r="DK337" s="26"/>
      <c r="DL337" s="26">
        <v>42758</v>
      </c>
      <c r="DM337" s="26">
        <v>42748</v>
      </c>
      <c r="DN337" s="21">
        <v>1100</v>
      </c>
      <c r="DO337" s="21">
        <v>10</v>
      </c>
      <c r="DP337" s="21">
        <v>1</v>
      </c>
      <c r="DQ337" s="21">
        <v>1</v>
      </c>
      <c r="DR337" s="21">
        <v>7</v>
      </c>
      <c r="DS337" s="21">
        <v>10</v>
      </c>
      <c r="DT337" s="21">
        <v>10</v>
      </c>
      <c r="DU337" s="21">
        <v>10</v>
      </c>
      <c r="DW337" s="21">
        <v>10</v>
      </c>
      <c r="EA337" s="21">
        <v>10</v>
      </c>
      <c r="EB337" s="21" t="s">
        <v>4336</v>
      </c>
      <c r="EC337" s="21" t="s">
        <v>1221</v>
      </c>
      <c r="EF337" s="25">
        <v>1</v>
      </c>
      <c r="EG337" s="25">
        <v>0</v>
      </c>
      <c r="EH337" s="25">
        <v>1</v>
      </c>
      <c r="EI337" s="25">
        <v>0</v>
      </c>
      <c r="EJ337" s="25" t="s">
        <v>92</v>
      </c>
      <c r="EK337" s="25" t="s">
        <v>159</v>
      </c>
      <c r="EL337" s="25" t="s">
        <v>81</v>
      </c>
      <c r="EM337" s="25" t="s">
        <v>276</v>
      </c>
      <c r="EN337" s="25" t="s">
        <v>9</v>
      </c>
      <c r="EO337" s="25" t="s">
        <v>271</v>
      </c>
      <c r="EP337" s="25" t="s">
        <v>62</v>
      </c>
      <c r="EQ337" s="25" t="s">
        <v>548</v>
      </c>
      <c r="ER337" s="25" t="s">
        <v>278</v>
      </c>
      <c r="ES337" s="25" t="s">
        <v>278</v>
      </c>
      <c r="ET337" s="25">
        <v>1</v>
      </c>
      <c r="EU337" s="25" t="s">
        <v>522</v>
      </c>
      <c r="EV337" s="25" t="s">
        <v>279</v>
      </c>
      <c r="EW337" s="25" t="s">
        <v>279</v>
      </c>
      <c r="EX337" s="25" t="s">
        <v>279</v>
      </c>
      <c r="EY337" s="20" t="e">
        <v>#N/A</v>
      </c>
    </row>
    <row r="338" spans="1:155">
      <c r="A338" s="21" t="s">
        <v>491</v>
      </c>
      <c r="B338" s="21" t="s">
        <v>491</v>
      </c>
      <c r="C338" s="21" t="s">
        <v>492</v>
      </c>
      <c r="D338" s="21" t="s">
        <v>493</v>
      </c>
      <c r="E338" s="21" t="s">
        <v>493</v>
      </c>
      <c r="F338" s="21" t="s">
        <v>493</v>
      </c>
      <c r="G338" s="21" t="s">
        <v>4269</v>
      </c>
      <c r="H338" s="21" t="s">
        <v>494</v>
      </c>
      <c r="I338" s="21">
        <v>8498841859</v>
      </c>
      <c r="J338" s="21" t="s">
        <v>4270</v>
      </c>
      <c r="L338" s="21" t="s">
        <v>495</v>
      </c>
      <c r="M338" s="21" t="s">
        <v>4271</v>
      </c>
      <c r="N338" s="21" t="s">
        <v>1258</v>
      </c>
      <c r="O338" s="21" t="s">
        <v>69</v>
      </c>
      <c r="P338" s="21" t="s">
        <v>497</v>
      </c>
      <c r="R338" s="21" t="s">
        <v>1259</v>
      </c>
      <c r="S338" s="21" t="s">
        <v>1260</v>
      </c>
      <c r="V338" s="21" t="s">
        <v>500</v>
      </c>
      <c r="W338" s="21" t="s">
        <v>501</v>
      </c>
      <c r="X338" s="21" t="s">
        <v>502</v>
      </c>
      <c r="Y338" s="21" t="s">
        <v>503</v>
      </c>
      <c r="Z338" s="21">
        <v>3035733708</v>
      </c>
      <c r="AA338" s="26">
        <v>42747</v>
      </c>
      <c r="AB338" s="26">
        <v>42747</v>
      </c>
      <c r="AC338" s="21" t="s">
        <v>504</v>
      </c>
      <c r="AD338" s="21" t="s">
        <v>505</v>
      </c>
      <c r="AE338" s="21" t="s">
        <v>500</v>
      </c>
      <c r="AF338" s="21" t="s">
        <v>506</v>
      </c>
      <c r="AG338" s="21" t="s">
        <v>581</v>
      </c>
      <c r="AH338" s="21" t="s">
        <v>582</v>
      </c>
      <c r="AI338" s="21" t="s">
        <v>2096</v>
      </c>
      <c r="AJ338" s="21" t="s">
        <v>526</v>
      </c>
      <c r="AK338" s="21" t="s">
        <v>494</v>
      </c>
      <c r="AL338" s="21" t="s">
        <v>527</v>
      </c>
      <c r="AM338" s="21" t="s">
        <v>527</v>
      </c>
      <c r="AN338" s="21" t="s">
        <v>527</v>
      </c>
      <c r="AO338" s="21" t="s">
        <v>528</v>
      </c>
      <c r="AS338" s="21" t="s">
        <v>511</v>
      </c>
      <c r="AT338" s="21" t="s">
        <v>512</v>
      </c>
      <c r="AW338" s="21">
        <v>0</v>
      </c>
      <c r="AX338" s="21">
        <v>2</v>
      </c>
      <c r="AY338" s="26"/>
      <c r="AZ338" s="26"/>
      <c r="BB338" s="26"/>
      <c r="BC338" s="21" t="s">
        <v>513</v>
      </c>
      <c r="BD338" s="21" t="s">
        <v>514</v>
      </c>
      <c r="BE338" s="21" t="s">
        <v>514</v>
      </c>
      <c r="BF338" s="21" t="s">
        <v>515</v>
      </c>
      <c r="BG338" s="21">
        <v>1</v>
      </c>
      <c r="BH338" s="21" t="s">
        <v>516</v>
      </c>
      <c r="BI338" s="21" t="s">
        <v>517</v>
      </c>
      <c r="BJ338" s="21" t="s">
        <v>516</v>
      </c>
      <c r="BK338" s="21" t="s">
        <v>516</v>
      </c>
      <c r="BM338" s="21" t="s">
        <v>46</v>
      </c>
      <c r="BN338" s="21" t="s">
        <v>248</v>
      </c>
      <c r="BO338" s="21" t="s">
        <v>518</v>
      </c>
      <c r="BP338" s="21" t="s">
        <v>519</v>
      </c>
      <c r="BQ338" s="21" t="s">
        <v>46</v>
      </c>
      <c r="BR338" s="21" t="s">
        <v>248</v>
      </c>
      <c r="BS338" s="21" t="s">
        <v>518</v>
      </c>
      <c r="BT338" s="21" t="s">
        <v>519</v>
      </c>
      <c r="BU338" s="21" t="s">
        <v>248</v>
      </c>
      <c r="CD338" s="21" t="s">
        <v>520</v>
      </c>
      <c r="CF338" s="21" t="s">
        <v>521</v>
      </c>
      <c r="CN338" s="26"/>
      <c r="DB338" s="24" t="s">
        <v>943</v>
      </c>
      <c r="DC338" s="21">
        <v>1</v>
      </c>
      <c r="DD338" s="21">
        <v>3</v>
      </c>
      <c r="DE338" s="22">
        <v>42753</v>
      </c>
      <c r="DF338" s="21" t="s">
        <v>4272</v>
      </c>
      <c r="DG338" s="21" t="s">
        <v>522</v>
      </c>
      <c r="DH338" s="21" t="s">
        <v>4273</v>
      </c>
      <c r="DI338" s="21" t="s">
        <v>495</v>
      </c>
      <c r="DJ338" s="21" t="s">
        <v>523</v>
      </c>
      <c r="DK338" s="26"/>
      <c r="DL338" s="26">
        <v>42759</v>
      </c>
      <c r="DM338" s="26">
        <v>42749</v>
      </c>
      <c r="DN338" s="21">
        <v>3100</v>
      </c>
      <c r="DO338" s="21">
        <v>10</v>
      </c>
      <c r="DP338" s="21">
        <v>1</v>
      </c>
      <c r="DQ338" s="21">
        <v>1</v>
      </c>
      <c r="DR338" s="21">
        <v>7</v>
      </c>
      <c r="DS338" s="21">
        <v>10</v>
      </c>
      <c r="DT338" s="21">
        <v>10</v>
      </c>
      <c r="DU338" s="21">
        <v>10</v>
      </c>
      <c r="DW338" s="21">
        <v>10</v>
      </c>
      <c r="EA338" s="21">
        <v>10</v>
      </c>
      <c r="EB338" s="21" t="s">
        <v>4274</v>
      </c>
      <c r="EC338" s="21" t="s">
        <v>3395</v>
      </c>
      <c r="EF338" s="25">
        <v>1</v>
      </c>
      <c r="EG338" s="25">
        <v>0</v>
      </c>
      <c r="EH338" s="25">
        <v>1</v>
      </c>
      <c r="EI338" s="25">
        <v>0</v>
      </c>
      <c r="EJ338" s="25" t="s">
        <v>62</v>
      </c>
      <c r="EK338" s="25" t="s">
        <v>249</v>
      </c>
      <c r="EL338" s="25" t="s">
        <v>249</v>
      </c>
      <c r="EM338" s="25" t="s">
        <v>276</v>
      </c>
      <c r="EN338" s="25" t="s">
        <v>39</v>
      </c>
      <c r="EO338" s="25" t="s">
        <v>39</v>
      </c>
      <c r="EP338" s="25" t="s">
        <v>92</v>
      </c>
      <c r="EQ338" s="25" t="s">
        <v>92</v>
      </c>
      <c r="ER338" s="25" t="s">
        <v>278</v>
      </c>
      <c r="ES338" s="25" t="s">
        <v>278</v>
      </c>
      <c r="ET338" s="25">
        <v>1</v>
      </c>
      <c r="EU338" s="25" t="s">
        <v>522</v>
      </c>
      <c r="EV338" s="25" t="s">
        <v>249</v>
      </c>
      <c r="EW338" s="25" t="s">
        <v>39</v>
      </c>
      <c r="EX338" s="25" t="s">
        <v>278</v>
      </c>
      <c r="EY338" s="20" t="e">
        <v>#N/A</v>
      </c>
    </row>
    <row r="339" spans="1:155">
      <c r="A339" s="21" t="s">
        <v>491</v>
      </c>
      <c r="B339" s="21" t="s">
        <v>491</v>
      </c>
      <c r="C339" s="21" t="s">
        <v>492</v>
      </c>
      <c r="D339" s="21" t="s">
        <v>493</v>
      </c>
      <c r="E339" s="21" t="s">
        <v>493</v>
      </c>
      <c r="F339" s="21" t="s">
        <v>493</v>
      </c>
      <c r="G339" s="21" t="s">
        <v>4337</v>
      </c>
      <c r="H339" s="21">
        <v>9130380348</v>
      </c>
      <c r="I339" s="21">
        <v>9132467228</v>
      </c>
      <c r="J339" s="21" t="s">
        <v>4338</v>
      </c>
      <c r="L339" s="21" t="s">
        <v>495</v>
      </c>
      <c r="M339" s="21" t="s">
        <v>4339</v>
      </c>
      <c r="N339" s="21" t="s">
        <v>3529</v>
      </c>
      <c r="O339" s="21" t="s">
        <v>93</v>
      </c>
      <c r="P339" s="21" t="s">
        <v>539</v>
      </c>
      <c r="R339" s="21" t="s">
        <v>3530</v>
      </c>
      <c r="S339" s="21" t="s">
        <v>559</v>
      </c>
      <c r="V339" s="21" t="s">
        <v>277</v>
      </c>
      <c r="W339" s="21" t="s">
        <v>524</v>
      </c>
      <c r="X339" s="21" t="s">
        <v>525</v>
      </c>
      <c r="Y339" s="21" t="s">
        <v>530</v>
      </c>
      <c r="Z339" s="21">
        <v>3035731576</v>
      </c>
      <c r="AA339" s="26">
        <v>42747</v>
      </c>
      <c r="AB339" s="26">
        <v>42747</v>
      </c>
      <c r="AC339" s="21" t="s">
        <v>504</v>
      </c>
      <c r="AD339" s="21" t="s">
        <v>505</v>
      </c>
      <c r="AE339" s="21" t="s">
        <v>1020</v>
      </c>
      <c r="AF339" s="21" t="s">
        <v>1021</v>
      </c>
      <c r="AG339" s="21" t="s">
        <v>1794</v>
      </c>
      <c r="AH339" s="21" t="s">
        <v>1795</v>
      </c>
      <c r="AI339" s="21" t="s">
        <v>1372</v>
      </c>
      <c r="AJ339" s="21" t="s">
        <v>507</v>
      </c>
      <c r="AK339" s="21" t="s">
        <v>494</v>
      </c>
      <c r="AL339" s="21" t="s">
        <v>527</v>
      </c>
      <c r="AM339" s="21" t="s">
        <v>527</v>
      </c>
      <c r="AN339" s="21" t="s">
        <v>527</v>
      </c>
      <c r="AO339" s="21" t="s">
        <v>528</v>
      </c>
      <c r="AS339" s="21" t="s">
        <v>511</v>
      </c>
      <c r="AT339" s="21" t="s">
        <v>512</v>
      </c>
      <c r="AW339" s="21">
        <v>0</v>
      </c>
      <c r="AX339" s="21">
        <v>3</v>
      </c>
      <c r="AY339" s="26"/>
      <c r="AZ339" s="26"/>
      <c r="BB339" s="26"/>
      <c r="BC339" s="21" t="s">
        <v>513</v>
      </c>
      <c r="BD339" s="21" t="s">
        <v>514</v>
      </c>
      <c r="BE339" s="21" t="s">
        <v>514</v>
      </c>
      <c r="BF339" s="21" t="s">
        <v>515</v>
      </c>
      <c r="BG339" s="21">
        <v>1</v>
      </c>
      <c r="BH339" s="21" t="s">
        <v>516</v>
      </c>
      <c r="BI339" s="21" t="s">
        <v>517</v>
      </c>
      <c r="BJ339" s="21" t="s">
        <v>516</v>
      </c>
      <c r="BK339" s="21" t="s">
        <v>516</v>
      </c>
      <c r="BM339" s="21" t="s">
        <v>1548</v>
      </c>
      <c r="BN339" s="21" t="s">
        <v>156</v>
      </c>
      <c r="BO339" s="21" t="s">
        <v>518</v>
      </c>
      <c r="BP339" s="21" t="s">
        <v>519</v>
      </c>
      <c r="BQ339" s="21" t="s">
        <v>1548</v>
      </c>
      <c r="BR339" s="21" t="s">
        <v>156</v>
      </c>
      <c r="BS339" s="21" t="s">
        <v>518</v>
      </c>
      <c r="BT339" s="21" t="s">
        <v>519</v>
      </c>
      <c r="BU339" s="21" t="s">
        <v>156</v>
      </c>
      <c r="CD339" s="21" t="s">
        <v>520</v>
      </c>
      <c r="CF339" s="21" t="s">
        <v>521</v>
      </c>
      <c r="CN339" s="26"/>
      <c r="DB339" s="24" t="s">
        <v>943</v>
      </c>
      <c r="DC339" s="21">
        <v>1</v>
      </c>
      <c r="DD339" s="21">
        <v>3</v>
      </c>
      <c r="DE339" s="22">
        <v>42753</v>
      </c>
      <c r="DF339" s="21" t="s">
        <v>4340</v>
      </c>
      <c r="DG339" s="21" t="s">
        <v>522</v>
      </c>
      <c r="DH339" s="21" t="s">
        <v>4341</v>
      </c>
      <c r="DI339" s="21" t="s">
        <v>495</v>
      </c>
      <c r="DJ339" s="21" t="s">
        <v>523</v>
      </c>
      <c r="DK339" s="26"/>
      <c r="DL339" s="26">
        <v>42759</v>
      </c>
      <c r="DM339" s="26">
        <v>42749</v>
      </c>
      <c r="DN339" s="21">
        <v>1100</v>
      </c>
      <c r="DO339" s="21">
        <v>10</v>
      </c>
      <c r="DP339" s="21">
        <v>1</v>
      </c>
      <c r="DQ339" s="21">
        <v>1</v>
      </c>
      <c r="DR339" s="21">
        <v>5</v>
      </c>
      <c r="DS339" s="21">
        <v>10</v>
      </c>
      <c r="DT339" s="21">
        <v>10</v>
      </c>
      <c r="DU339" s="21">
        <v>10</v>
      </c>
      <c r="DW339" s="21">
        <v>8</v>
      </c>
      <c r="EA339" s="21">
        <v>9</v>
      </c>
      <c r="EF339" s="25">
        <v>1</v>
      </c>
      <c r="EG339" s="25">
        <v>0</v>
      </c>
      <c r="EH339" s="25">
        <v>1</v>
      </c>
      <c r="EI339" s="25">
        <v>0</v>
      </c>
      <c r="EJ339" s="25" t="s">
        <v>92</v>
      </c>
      <c r="EK339" s="25" t="s">
        <v>157</v>
      </c>
      <c r="EL339" s="25" t="s">
        <v>157</v>
      </c>
      <c r="EM339" s="25" t="s">
        <v>276</v>
      </c>
      <c r="EN339" s="25" t="s">
        <v>31</v>
      </c>
      <c r="EO339" s="25" t="s">
        <v>31</v>
      </c>
      <c r="EP339" s="25" t="s">
        <v>92</v>
      </c>
      <c r="EQ339" s="25" t="s">
        <v>92</v>
      </c>
      <c r="ER339" s="25" t="s">
        <v>278</v>
      </c>
      <c r="ES339" s="25" t="s">
        <v>278</v>
      </c>
      <c r="ET339" s="25">
        <v>1</v>
      </c>
      <c r="EU339" s="25" t="s">
        <v>522</v>
      </c>
      <c r="EV339" s="25" t="s">
        <v>157</v>
      </c>
      <c r="EW339" s="25" t="s">
        <v>31</v>
      </c>
      <c r="EX339" s="25" t="s">
        <v>278</v>
      </c>
      <c r="EY339" s="20" t="e">
        <v>#N/A</v>
      </c>
    </row>
    <row r="340" spans="1:155">
      <c r="A340" s="21" t="s">
        <v>491</v>
      </c>
      <c r="B340" s="21" t="s">
        <v>491</v>
      </c>
      <c r="C340" s="21" t="s">
        <v>492</v>
      </c>
      <c r="D340" s="21" t="s">
        <v>493</v>
      </c>
      <c r="E340" s="21" t="s">
        <v>493</v>
      </c>
      <c r="F340" s="21" t="s">
        <v>493</v>
      </c>
      <c r="G340" s="21" t="s">
        <v>4342</v>
      </c>
      <c r="H340" s="21" t="s">
        <v>4343</v>
      </c>
      <c r="I340" s="21" t="s">
        <v>494</v>
      </c>
      <c r="J340" s="21" t="s">
        <v>4344</v>
      </c>
      <c r="L340" s="21" t="s">
        <v>495</v>
      </c>
      <c r="M340" s="21" t="s">
        <v>4345</v>
      </c>
      <c r="N340" s="21" t="s">
        <v>1485</v>
      </c>
      <c r="O340" s="21" t="s">
        <v>97</v>
      </c>
      <c r="P340" s="21" t="s">
        <v>1040</v>
      </c>
      <c r="R340" s="21" t="s">
        <v>1486</v>
      </c>
      <c r="S340" s="21" t="s">
        <v>1487</v>
      </c>
      <c r="V340" s="21" t="s">
        <v>500</v>
      </c>
      <c r="W340" s="21" t="s">
        <v>501</v>
      </c>
      <c r="X340" s="21" t="s">
        <v>502</v>
      </c>
      <c r="Y340" s="21" t="s">
        <v>503</v>
      </c>
      <c r="Z340" s="21">
        <v>3035721716</v>
      </c>
      <c r="AA340" s="26">
        <v>42747</v>
      </c>
      <c r="AB340" s="26">
        <v>42747</v>
      </c>
      <c r="AC340" s="21" t="s">
        <v>504</v>
      </c>
      <c r="AD340" s="21" t="s">
        <v>505</v>
      </c>
      <c r="AE340" s="21" t="s">
        <v>500</v>
      </c>
      <c r="AF340" s="21" t="s">
        <v>549</v>
      </c>
      <c r="AG340" s="21" t="s">
        <v>555</v>
      </c>
      <c r="AH340" s="21" t="s">
        <v>556</v>
      </c>
      <c r="AI340" s="21" t="s">
        <v>2754</v>
      </c>
      <c r="AJ340" s="21" t="s">
        <v>526</v>
      </c>
      <c r="AK340" s="21" t="s">
        <v>494</v>
      </c>
      <c r="AL340" s="21" t="s">
        <v>527</v>
      </c>
      <c r="AM340" s="21" t="s">
        <v>527</v>
      </c>
      <c r="AN340" s="21" t="s">
        <v>527</v>
      </c>
      <c r="AO340" s="21" t="s">
        <v>528</v>
      </c>
      <c r="AS340" s="21" t="s">
        <v>511</v>
      </c>
      <c r="AT340" s="21" t="s">
        <v>512</v>
      </c>
      <c r="AW340" s="21">
        <v>0</v>
      </c>
      <c r="AX340" s="21">
        <v>3</v>
      </c>
      <c r="AY340" s="26"/>
      <c r="AZ340" s="26"/>
      <c r="BB340" s="26"/>
      <c r="BC340" s="21" t="s">
        <v>513</v>
      </c>
      <c r="BD340" s="21" t="s">
        <v>514</v>
      </c>
      <c r="BE340" s="21" t="s">
        <v>514</v>
      </c>
      <c r="BF340" s="21" t="s">
        <v>515</v>
      </c>
      <c r="BG340" s="21">
        <v>1</v>
      </c>
      <c r="BH340" s="21" t="s">
        <v>516</v>
      </c>
      <c r="BI340" s="21" t="s">
        <v>517</v>
      </c>
      <c r="BJ340" s="21" t="s">
        <v>516</v>
      </c>
      <c r="BK340" s="21" t="s">
        <v>516</v>
      </c>
      <c r="BM340" s="21" t="s">
        <v>27</v>
      </c>
      <c r="BN340" s="21" t="s">
        <v>119</v>
      </c>
      <c r="BO340" s="21" t="s">
        <v>518</v>
      </c>
      <c r="BP340" s="21" t="s">
        <v>519</v>
      </c>
      <c r="BQ340" s="21" t="s">
        <v>27</v>
      </c>
      <c r="BR340" s="21" t="s">
        <v>119</v>
      </c>
      <c r="BS340" s="21" t="s">
        <v>518</v>
      </c>
      <c r="BT340" s="21" t="s">
        <v>519</v>
      </c>
      <c r="BU340" s="21" t="s">
        <v>119</v>
      </c>
      <c r="CD340" s="21" t="s">
        <v>520</v>
      </c>
      <c r="CF340" s="21" t="s">
        <v>521</v>
      </c>
      <c r="CN340" s="26"/>
      <c r="DB340" s="24" t="s">
        <v>943</v>
      </c>
      <c r="DC340" s="21">
        <v>1</v>
      </c>
      <c r="DD340" s="21">
        <v>3</v>
      </c>
      <c r="DE340" s="22">
        <v>42753</v>
      </c>
      <c r="DF340" s="21" t="s">
        <v>4346</v>
      </c>
      <c r="DG340" s="21" t="s">
        <v>522</v>
      </c>
      <c r="DH340" s="21" t="s">
        <v>4347</v>
      </c>
      <c r="DI340" s="21" t="s">
        <v>495</v>
      </c>
      <c r="DJ340" s="21" t="s">
        <v>523</v>
      </c>
      <c r="DK340" s="26"/>
      <c r="DL340" s="26">
        <v>42759</v>
      </c>
      <c r="DM340" s="26">
        <v>42749</v>
      </c>
      <c r="DN340" s="21">
        <v>3100</v>
      </c>
      <c r="DO340" s="21">
        <v>10</v>
      </c>
      <c r="DP340" s="21">
        <v>1</v>
      </c>
      <c r="DQ340" s="21">
        <v>1</v>
      </c>
      <c r="DR340" s="21">
        <v>6</v>
      </c>
      <c r="DS340" s="21">
        <v>10</v>
      </c>
      <c r="DT340" s="21">
        <v>10</v>
      </c>
      <c r="DU340" s="21">
        <v>10</v>
      </c>
      <c r="DW340" s="21">
        <v>10</v>
      </c>
      <c r="EA340" s="21">
        <v>10</v>
      </c>
      <c r="EB340" s="21" t="s">
        <v>4348</v>
      </c>
      <c r="EC340" s="21" t="s">
        <v>1221</v>
      </c>
      <c r="EF340" s="25">
        <v>1</v>
      </c>
      <c r="EG340" s="25">
        <v>0</v>
      </c>
      <c r="EH340" s="25">
        <v>1</v>
      </c>
      <c r="EI340" s="25">
        <v>0</v>
      </c>
      <c r="EJ340" s="25" t="s">
        <v>62</v>
      </c>
      <c r="EK340" s="25" t="s">
        <v>120</v>
      </c>
      <c r="EL340" s="25" t="s">
        <v>120</v>
      </c>
      <c r="EM340" s="25" t="s">
        <v>276</v>
      </c>
      <c r="EN340" s="25" t="s">
        <v>23</v>
      </c>
      <c r="EO340" s="25" t="s">
        <v>23</v>
      </c>
      <c r="EP340" s="25" t="s">
        <v>62</v>
      </c>
      <c r="EQ340" s="25" t="s">
        <v>62</v>
      </c>
      <c r="ER340" s="25" t="s">
        <v>278</v>
      </c>
      <c r="ES340" s="25" t="s">
        <v>278</v>
      </c>
      <c r="ET340" s="25">
        <v>1</v>
      </c>
      <c r="EU340" s="25" t="s">
        <v>522</v>
      </c>
      <c r="EV340" s="25" t="s">
        <v>120</v>
      </c>
      <c r="EW340" s="25" t="s">
        <v>23</v>
      </c>
      <c r="EX340" s="25" t="s">
        <v>278</v>
      </c>
      <c r="EY340" s="20" t="e">
        <v>#N/A</v>
      </c>
    </row>
    <row r="341" spans="1:155">
      <c r="A341" s="21" t="s">
        <v>491</v>
      </c>
      <c r="B341" s="21" t="s">
        <v>491</v>
      </c>
      <c r="C341" s="21" t="s">
        <v>492</v>
      </c>
      <c r="D341" s="21" t="s">
        <v>493</v>
      </c>
      <c r="E341" s="21" t="s">
        <v>493</v>
      </c>
      <c r="F341" s="21" t="s">
        <v>493</v>
      </c>
      <c r="G341" s="21" t="s">
        <v>4275</v>
      </c>
      <c r="H341" s="21">
        <v>7536292959</v>
      </c>
      <c r="I341" s="21" t="s">
        <v>494</v>
      </c>
      <c r="J341" s="21" t="s">
        <v>4276</v>
      </c>
      <c r="L341" s="21" t="s">
        <v>495</v>
      </c>
      <c r="M341" s="21" t="s">
        <v>4277</v>
      </c>
      <c r="N341" s="21" t="s">
        <v>550</v>
      </c>
      <c r="O341" s="21" t="s">
        <v>69</v>
      </c>
      <c r="P341" s="21" t="s">
        <v>497</v>
      </c>
      <c r="R341" s="21" t="s">
        <v>551</v>
      </c>
      <c r="S341" s="21" t="s">
        <v>552</v>
      </c>
      <c r="V341" s="21" t="s">
        <v>500</v>
      </c>
      <c r="W341" s="21" t="s">
        <v>501</v>
      </c>
      <c r="X341" s="21" t="s">
        <v>502</v>
      </c>
      <c r="Y341" s="21" t="s">
        <v>503</v>
      </c>
      <c r="Z341" s="21">
        <v>3035714034</v>
      </c>
      <c r="AA341" s="26">
        <v>42747</v>
      </c>
      <c r="AB341" s="26">
        <v>42747</v>
      </c>
      <c r="AC341" s="21" t="s">
        <v>504</v>
      </c>
      <c r="AD341" s="21" t="s">
        <v>505</v>
      </c>
      <c r="AE341" s="21" t="s">
        <v>1020</v>
      </c>
      <c r="AF341" s="21" t="s">
        <v>4278</v>
      </c>
      <c r="AG341" s="21" t="s">
        <v>4279</v>
      </c>
      <c r="AH341" s="21" t="s">
        <v>4280</v>
      </c>
      <c r="AI341" s="21" t="s">
        <v>1342</v>
      </c>
      <c r="AJ341" s="21" t="s">
        <v>526</v>
      </c>
      <c r="AK341" s="21" t="s">
        <v>494</v>
      </c>
      <c r="AL341" s="21" t="s">
        <v>527</v>
      </c>
      <c r="AM341" s="21" t="s">
        <v>527</v>
      </c>
      <c r="AN341" s="21" t="s">
        <v>527</v>
      </c>
      <c r="AO341" s="21" t="s">
        <v>528</v>
      </c>
      <c r="AS341" s="21" t="s">
        <v>511</v>
      </c>
      <c r="AT341" s="21" t="s">
        <v>512</v>
      </c>
      <c r="AW341" s="21">
        <v>0</v>
      </c>
      <c r="AX341" s="21">
        <v>2</v>
      </c>
      <c r="AY341" s="26"/>
      <c r="AZ341" s="26"/>
      <c r="BB341" s="26"/>
      <c r="BC341" s="21" t="s">
        <v>513</v>
      </c>
      <c r="BD341" s="21" t="s">
        <v>514</v>
      </c>
      <c r="BE341" s="21" t="s">
        <v>514</v>
      </c>
      <c r="BF341" s="21" t="s">
        <v>515</v>
      </c>
      <c r="BG341" s="21">
        <v>1</v>
      </c>
      <c r="BH341" s="21" t="s">
        <v>516</v>
      </c>
      <c r="BI341" s="21" t="s">
        <v>517</v>
      </c>
      <c r="BJ341" s="21" t="s">
        <v>516</v>
      </c>
      <c r="BK341" s="21" t="s">
        <v>516</v>
      </c>
      <c r="BM341" s="21" t="s">
        <v>36</v>
      </c>
      <c r="BN341" s="21" t="s">
        <v>223</v>
      </c>
      <c r="BO341" s="21" t="s">
        <v>518</v>
      </c>
      <c r="BP341" s="21" t="s">
        <v>519</v>
      </c>
      <c r="BQ341" s="21" t="s">
        <v>36</v>
      </c>
      <c r="BR341" s="21" t="s">
        <v>223</v>
      </c>
      <c r="BS341" s="21" t="s">
        <v>518</v>
      </c>
      <c r="BT341" s="21" t="s">
        <v>519</v>
      </c>
      <c r="BU341" s="21" t="s">
        <v>223</v>
      </c>
      <c r="CD341" s="21" t="s">
        <v>520</v>
      </c>
      <c r="CF341" s="21" t="s">
        <v>521</v>
      </c>
      <c r="CN341" s="26"/>
      <c r="DB341" s="24" t="s">
        <v>943</v>
      </c>
      <c r="DC341" s="21">
        <v>1</v>
      </c>
      <c r="DD341" s="21">
        <v>3</v>
      </c>
      <c r="DE341" s="22">
        <v>42753</v>
      </c>
      <c r="DF341" s="21" t="s">
        <v>4281</v>
      </c>
      <c r="DG341" s="21" t="s">
        <v>522</v>
      </c>
      <c r="DH341" s="21" t="s">
        <v>4282</v>
      </c>
      <c r="DI341" s="21" t="s">
        <v>495</v>
      </c>
      <c r="DJ341" s="21" t="s">
        <v>523</v>
      </c>
      <c r="DK341" s="26"/>
      <c r="DL341" s="26">
        <v>42759</v>
      </c>
      <c r="DM341" s="26">
        <v>42749</v>
      </c>
      <c r="DN341" s="21">
        <v>3100</v>
      </c>
      <c r="DO341" s="21">
        <v>9</v>
      </c>
      <c r="DP341" s="21">
        <v>1</v>
      </c>
      <c r="DQ341" s="21">
        <v>1</v>
      </c>
      <c r="DR341" s="21">
        <v>6</v>
      </c>
      <c r="DS341" s="21">
        <v>10</v>
      </c>
      <c r="DT341" s="21">
        <v>10</v>
      </c>
      <c r="DU341" s="21">
        <v>10</v>
      </c>
      <c r="DW341" s="21">
        <v>10</v>
      </c>
      <c r="EA341" s="21">
        <v>10</v>
      </c>
      <c r="EB341" s="21" t="s">
        <v>4283</v>
      </c>
      <c r="EC341" s="21" t="s">
        <v>1221</v>
      </c>
      <c r="EF341" s="25">
        <v>1</v>
      </c>
      <c r="EG341" s="25">
        <v>0</v>
      </c>
      <c r="EH341" s="25">
        <v>1</v>
      </c>
      <c r="EI341" s="25">
        <v>0</v>
      </c>
      <c r="EJ341" s="25" t="s">
        <v>62</v>
      </c>
      <c r="EK341" s="25" t="s">
        <v>224</v>
      </c>
      <c r="EL341" s="25" t="s">
        <v>224</v>
      </c>
      <c r="EM341" s="25" t="s">
        <v>276</v>
      </c>
      <c r="EN341" s="25" t="s">
        <v>31</v>
      </c>
      <c r="EO341" s="25" t="s">
        <v>31</v>
      </c>
      <c r="EP341" s="25" t="s">
        <v>92</v>
      </c>
      <c r="EQ341" s="25" t="s">
        <v>92</v>
      </c>
      <c r="ER341" s="25" t="s">
        <v>278</v>
      </c>
      <c r="ES341" s="25" t="s">
        <v>278</v>
      </c>
      <c r="ET341" s="25">
        <v>1</v>
      </c>
      <c r="EU341" s="25" t="s">
        <v>522</v>
      </c>
      <c r="EV341" s="25" t="s">
        <v>224</v>
      </c>
      <c r="EW341" s="25" t="s">
        <v>31</v>
      </c>
      <c r="EX341" s="25" t="s">
        <v>278</v>
      </c>
      <c r="EY341" s="20" t="e">
        <v>#N/A</v>
      </c>
    </row>
    <row r="342" spans="1:155">
      <c r="A342" s="21" t="s">
        <v>491</v>
      </c>
      <c r="B342" s="21" t="s">
        <v>491</v>
      </c>
      <c r="C342" s="21" t="s">
        <v>492</v>
      </c>
      <c r="D342" s="21" t="s">
        <v>493</v>
      </c>
      <c r="E342" s="21" t="s">
        <v>493</v>
      </c>
      <c r="F342" s="21" t="s">
        <v>493</v>
      </c>
      <c r="G342" s="21" t="s">
        <v>4349</v>
      </c>
      <c r="H342" s="21">
        <v>1133806138</v>
      </c>
      <c r="I342" s="21" t="s">
        <v>494</v>
      </c>
      <c r="J342" s="21" t="s">
        <v>4350</v>
      </c>
      <c r="L342" s="21" t="s">
        <v>495</v>
      </c>
      <c r="M342" s="21" t="s">
        <v>4351</v>
      </c>
      <c r="N342" s="21" t="s">
        <v>1485</v>
      </c>
      <c r="O342" s="21" t="s">
        <v>97</v>
      </c>
      <c r="P342" s="21" t="s">
        <v>1040</v>
      </c>
      <c r="Q342" s="21" t="s">
        <v>1178</v>
      </c>
      <c r="R342" s="21" t="s">
        <v>1486</v>
      </c>
      <c r="S342" s="21" t="s">
        <v>1487</v>
      </c>
      <c r="V342" s="21" t="s">
        <v>500</v>
      </c>
      <c r="W342" s="21" t="s">
        <v>501</v>
      </c>
      <c r="X342" s="21" t="s">
        <v>502</v>
      </c>
      <c r="Y342" s="21" t="s">
        <v>503</v>
      </c>
      <c r="Z342" s="21">
        <v>3035689410</v>
      </c>
      <c r="AA342" s="26">
        <v>42746</v>
      </c>
      <c r="AB342" s="26">
        <v>42747</v>
      </c>
      <c r="AC342" s="21" t="s">
        <v>504</v>
      </c>
      <c r="AD342" s="21" t="s">
        <v>505</v>
      </c>
      <c r="AE342" s="21" t="s">
        <v>500</v>
      </c>
      <c r="AF342" s="21" t="s">
        <v>549</v>
      </c>
      <c r="AG342" s="21" t="s">
        <v>555</v>
      </c>
      <c r="AH342" s="21" t="s">
        <v>556</v>
      </c>
      <c r="AI342" s="21" t="s">
        <v>4352</v>
      </c>
      <c r="AJ342" s="21" t="s">
        <v>526</v>
      </c>
      <c r="AK342" s="21" t="s">
        <v>494</v>
      </c>
      <c r="AL342" s="21" t="s">
        <v>527</v>
      </c>
      <c r="AM342" s="21" t="s">
        <v>527</v>
      </c>
      <c r="AN342" s="21" t="s">
        <v>527</v>
      </c>
      <c r="AO342" s="21" t="s">
        <v>528</v>
      </c>
      <c r="AS342" s="21" t="s">
        <v>511</v>
      </c>
      <c r="AT342" s="21" t="s">
        <v>512</v>
      </c>
      <c r="AW342" s="21">
        <v>0</v>
      </c>
      <c r="AX342" s="21">
        <v>5</v>
      </c>
      <c r="AY342" s="26"/>
      <c r="AZ342" s="26"/>
      <c r="BB342" s="26"/>
      <c r="BC342" s="21" t="s">
        <v>513</v>
      </c>
      <c r="BD342" s="21" t="s">
        <v>514</v>
      </c>
      <c r="BE342" s="21" t="s">
        <v>514</v>
      </c>
      <c r="BF342" s="21" t="s">
        <v>515</v>
      </c>
      <c r="BG342" s="21">
        <v>1</v>
      </c>
      <c r="BH342" s="21" t="s">
        <v>516</v>
      </c>
      <c r="BI342" s="21" t="s">
        <v>517</v>
      </c>
      <c r="BJ342" s="21" t="s">
        <v>516</v>
      </c>
      <c r="BK342" s="21" t="s">
        <v>516</v>
      </c>
      <c r="BM342" s="21" t="s">
        <v>29</v>
      </c>
      <c r="BN342" s="21" t="s">
        <v>129</v>
      </c>
      <c r="BO342" s="21" t="s">
        <v>518</v>
      </c>
      <c r="BP342" s="21" t="s">
        <v>519</v>
      </c>
      <c r="BQ342" s="21" t="s">
        <v>47</v>
      </c>
      <c r="BR342" s="21" t="s">
        <v>139</v>
      </c>
      <c r="BS342" s="21" t="s">
        <v>518</v>
      </c>
      <c r="BT342" s="21" t="s">
        <v>1044</v>
      </c>
      <c r="BU342" s="21" t="s">
        <v>129</v>
      </c>
      <c r="CD342" s="21" t="s">
        <v>520</v>
      </c>
      <c r="CF342" s="21" t="s">
        <v>521</v>
      </c>
      <c r="CN342" s="26"/>
      <c r="DB342" s="24" t="s">
        <v>943</v>
      </c>
      <c r="DC342" s="21">
        <v>1</v>
      </c>
      <c r="DD342" s="21">
        <v>3</v>
      </c>
      <c r="DE342" s="22">
        <v>42753</v>
      </c>
      <c r="DF342" s="21" t="s">
        <v>4353</v>
      </c>
      <c r="DG342" s="21" t="s">
        <v>522</v>
      </c>
      <c r="DH342" s="21" t="s">
        <v>4354</v>
      </c>
      <c r="DI342" s="21" t="s">
        <v>495</v>
      </c>
      <c r="DJ342" s="21" t="s">
        <v>523</v>
      </c>
      <c r="DK342" s="26"/>
      <c r="DL342" s="26">
        <v>42759</v>
      </c>
      <c r="DM342" s="26">
        <v>42749</v>
      </c>
      <c r="DN342" s="21">
        <v>3100</v>
      </c>
      <c r="DO342" s="21">
        <v>9</v>
      </c>
      <c r="DP342" s="21">
        <v>1</v>
      </c>
      <c r="DQ342" s="21">
        <v>1</v>
      </c>
      <c r="DR342" s="21">
        <v>6</v>
      </c>
      <c r="DS342" s="21">
        <v>10</v>
      </c>
      <c r="DT342" s="21">
        <v>10</v>
      </c>
      <c r="DU342" s="21">
        <v>10</v>
      </c>
      <c r="DW342" s="21">
        <v>10</v>
      </c>
      <c r="EA342" s="21">
        <v>10</v>
      </c>
      <c r="EF342" s="25">
        <v>1</v>
      </c>
      <c r="EG342" s="25">
        <v>0</v>
      </c>
      <c r="EH342" s="25">
        <v>1</v>
      </c>
      <c r="EI342" s="25">
        <v>0</v>
      </c>
      <c r="EJ342" s="25" t="s">
        <v>62</v>
      </c>
      <c r="EK342" s="25" t="s">
        <v>130</v>
      </c>
      <c r="EL342" s="25" t="s">
        <v>140</v>
      </c>
      <c r="EM342" s="25" t="s">
        <v>276</v>
      </c>
      <c r="EN342" s="25" t="s">
        <v>23</v>
      </c>
      <c r="EO342" s="25" t="s">
        <v>23</v>
      </c>
      <c r="EP342" s="25" t="s">
        <v>62</v>
      </c>
      <c r="EQ342" s="25" t="s">
        <v>529</v>
      </c>
      <c r="ER342" s="25" t="s">
        <v>278</v>
      </c>
      <c r="ES342" s="25" t="s">
        <v>278</v>
      </c>
      <c r="ET342" s="25">
        <v>1</v>
      </c>
      <c r="EU342" s="25" t="s">
        <v>522</v>
      </c>
      <c r="EV342" s="25" t="s">
        <v>279</v>
      </c>
      <c r="EW342" s="25" t="s">
        <v>279</v>
      </c>
      <c r="EX342" s="25" t="s">
        <v>279</v>
      </c>
      <c r="EY342" s="20" t="e">
        <v>#N/A</v>
      </c>
    </row>
    <row r="343" spans="1:155">
      <c r="A343" s="21" t="s">
        <v>491</v>
      </c>
      <c r="B343" s="21" t="s">
        <v>491</v>
      </c>
      <c r="C343" s="21" t="s">
        <v>492</v>
      </c>
      <c r="D343" s="21" t="s">
        <v>493</v>
      </c>
      <c r="E343" s="21" t="s">
        <v>493</v>
      </c>
      <c r="F343" s="21" t="s">
        <v>493</v>
      </c>
      <c r="G343" s="21" t="s">
        <v>4355</v>
      </c>
      <c r="H343" s="21">
        <v>1158947361</v>
      </c>
      <c r="I343" s="21">
        <v>1158947361</v>
      </c>
      <c r="J343" s="21" t="s">
        <v>4356</v>
      </c>
      <c r="L343" s="21" t="s">
        <v>495</v>
      </c>
      <c r="M343" s="21" t="s">
        <v>4357</v>
      </c>
      <c r="N343" s="21" t="s">
        <v>496</v>
      </c>
      <c r="O343" s="21" t="s">
        <v>69</v>
      </c>
      <c r="P343" s="21" t="s">
        <v>497</v>
      </c>
      <c r="Q343" s="21" t="s">
        <v>1168</v>
      </c>
      <c r="R343" s="21" t="s">
        <v>498</v>
      </c>
      <c r="S343" s="21" t="s">
        <v>499</v>
      </c>
      <c r="V343" s="21" t="s">
        <v>500</v>
      </c>
      <c r="W343" s="21" t="s">
        <v>501</v>
      </c>
      <c r="X343" s="21" t="s">
        <v>502</v>
      </c>
      <c r="Y343" s="21" t="s">
        <v>503</v>
      </c>
      <c r="Z343" s="21">
        <v>3035735067</v>
      </c>
      <c r="AA343" s="26">
        <v>42747</v>
      </c>
      <c r="AB343" s="26">
        <v>42747</v>
      </c>
      <c r="AC343" s="21" t="s">
        <v>504</v>
      </c>
      <c r="AD343" s="21" t="s">
        <v>505</v>
      </c>
      <c r="AE343" s="21" t="s">
        <v>500</v>
      </c>
      <c r="AF343" s="21" t="s">
        <v>549</v>
      </c>
      <c r="AG343" s="21" t="s">
        <v>555</v>
      </c>
      <c r="AH343" s="21" t="s">
        <v>556</v>
      </c>
      <c r="AI343" s="21" t="s">
        <v>1024</v>
      </c>
      <c r="AJ343" s="21" t="s">
        <v>526</v>
      </c>
      <c r="AK343" s="21" t="s">
        <v>494</v>
      </c>
      <c r="AL343" s="21" t="s">
        <v>527</v>
      </c>
      <c r="AM343" s="21" t="s">
        <v>527</v>
      </c>
      <c r="AN343" s="21" t="s">
        <v>527</v>
      </c>
      <c r="AO343" s="21" t="s">
        <v>528</v>
      </c>
      <c r="AS343" s="21" t="s">
        <v>511</v>
      </c>
      <c r="AT343" s="21" t="s">
        <v>512</v>
      </c>
      <c r="AW343" s="21">
        <v>0</v>
      </c>
      <c r="AX343" s="21">
        <v>2</v>
      </c>
      <c r="AY343" s="26"/>
      <c r="AZ343" s="26"/>
      <c r="BB343" s="26"/>
      <c r="BC343" s="21" t="s">
        <v>513</v>
      </c>
      <c r="BD343" s="21" t="s">
        <v>514</v>
      </c>
      <c r="BE343" s="21" t="s">
        <v>514</v>
      </c>
      <c r="BF343" s="21" t="s">
        <v>515</v>
      </c>
      <c r="BG343" s="21">
        <v>1</v>
      </c>
      <c r="BH343" s="21" t="s">
        <v>516</v>
      </c>
      <c r="BI343" s="21" t="s">
        <v>517</v>
      </c>
      <c r="BJ343" s="21" t="s">
        <v>516</v>
      </c>
      <c r="BK343" s="21" t="s">
        <v>516</v>
      </c>
      <c r="BM343" s="21" t="s">
        <v>29</v>
      </c>
      <c r="BN343" s="21" t="s">
        <v>129</v>
      </c>
      <c r="BO343" s="21" t="s">
        <v>518</v>
      </c>
      <c r="BP343" s="21" t="s">
        <v>519</v>
      </c>
      <c r="BQ343" s="21" t="s">
        <v>29</v>
      </c>
      <c r="BR343" s="21" t="s">
        <v>129</v>
      </c>
      <c r="BS343" s="21" t="s">
        <v>518</v>
      </c>
      <c r="BT343" s="21" t="s">
        <v>519</v>
      </c>
      <c r="BU343" s="21" t="s">
        <v>129</v>
      </c>
      <c r="CD343" s="21" t="s">
        <v>520</v>
      </c>
      <c r="CF343" s="21" t="s">
        <v>521</v>
      </c>
      <c r="CN343" s="26"/>
      <c r="DB343" s="24" t="s">
        <v>943</v>
      </c>
      <c r="DC343" s="21">
        <v>1</v>
      </c>
      <c r="DD343" s="21">
        <v>3</v>
      </c>
      <c r="DE343" s="22">
        <v>42753</v>
      </c>
      <c r="DF343" s="21" t="s">
        <v>4358</v>
      </c>
      <c r="DG343" s="21" t="s">
        <v>522</v>
      </c>
      <c r="DH343" s="21" t="s">
        <v>4359</v>
      </c>
      <c r="DI343" s="21" t="s">
        <v>495</v>
      </c>
      <c r="DJ343" s="21" t="s">
        <v>520</v>
      </c>
      <c r="DK343" s="26"/>
      <c r="DL343" s="26">
        <v>42759</v>
      </c>
      <c r="DM343" s="26">
        <v>42749</v>
      </c>
      <c r="DN343" s="21">
        <v>3100</v>
      </c>
      <c r="DO343" s="21">
        <v>10</v>
      </c>
      <c r="DP343" s="21">
        <v>1</v>
      </c>
      <c r="DQ343" s="21">
        <v>1</v>
      </c>
      <c r="DR343" s="21">
        <v>6</v>
      </c>
      <c r="DS343" s="21">
        <v>10</v>
      </c>
      <c r="DT343" s="21">
        <v>10</v>
      </c>
      <c r="DU343" s="21">
        <v>10</v>
      </c>
      <c r="DW343" s="21">
        <v>9</v>
      </c>
      <c r="EA343" s="21">
        <v>8</v>
      </c>
      <c r="EF343" s="25">
        <v>0</v>
      </c>
      <c r="EG343" s="25">
        <v>0</v>
      </c>
      <c r="EH343" s="25">
        <v>1</v>
      </c>
      <c r="EI343" s="25">
        <v>0</v>
      </c>
      <c r="EJ343" s="25" t="s">
        <v>62</v>
      </c>
      <c r="EK343" s="25" t="s">
        <v>130</v>
      </c>
      <c r="EL343" s="25" t="s">
        <v>130</v>
      </c>
      <c r="EM343" s="25" t="s">
        <v>276</v>
      </c>
      <c r="EN343" s="25" t="s">
        <v>23</v>
      </c>
      <c r="EO343" s="25" t="s">
        <v>23</v>
      </c>
      <c r="EP343" s="25" t="s">
        <v>62</v>
      </c>
      <c r="EQ343" s="25" t="s">
        <v>62</v>
      </c>
      <c r="ER343" s="25" t="s">
        <v>278</v>
      </c>
      <c r="ES343" s="25" t="s">
        <v>278</v>
      </c>
      <c r="ET343" s="25">
        <v>1</v>
      </c>
      <c r="EU343" s="25" t="s">
        <v>522</v>
      </c>
      <c r="EV343" s="25" t="s">
        <v>130</v>
      </c>
      <c r="EW343" s="25" t="s">
        <v>23</v>
      </c>
      <c r="EX343" s="25" t="s">
        <v>278</v>
      </c>
      <c r="EY343" s="20" t="e">
        <v>#N/A</v>
      </c>
    </row>
    <row r="344" spans="1:155">
      <c r="A344" s="21" t="s">
        <v>491</v>
      </c>
      <c r="B344" s="21" t="s">
        <v>491</v>
      </c>
      <c r="C344" s="21" t="s">
        <v>492</v>
      </c>
      <c r="D344" s="21" t="s">
        <v>493</v>
      </c>
      <c r="E344" s="21" t="s">
        <v>493</v>
      </c>
      <c r="F344" s="21" t="s">
        <v>493</v>
      </c>
      <c r="G344" s="21" t="s">
        <v>4284</v>
      </c>
      <c r="H344" s="21">
        <v>3438516220</v>
      </c>
      <c r="I344" s="21" t="s">
        <v>494</v>
      </c>
      <c r="J344" s="21" t="s">
        <v>4285</v>
      </c>
      <c r="L344" s="21" t="s">
        <v>495</v>
      </c>
      <c r="M344" s="21" t="s">
        <v>4286</v>
      </c>
      <c r="N344" s="21" t="s">
        <v>1088</v>
      </c>
      <c r="O344" s="21" t="s">
        <v>98</v>
      </c>
      <c r="P344" s="21" t="s">
        <v>553</v>
      </c>
      <c r="R344" s="21" t="s">
        <v>1089</v>
      </c>
      <c r="S344" s="21" t="s">
        <v>1090</v>
      </c>
      <c r="V344" s="21" t="s">
        <v>500</v>
      </c>
      <c r="W344" s="21" t="s">
        <v>501</v>
      </c>
      <c r="X344" s="21" t="s">
        <v>502</v>
      </c>
      <c r="Y344" s="21" t="s">
        <v>554</v>
      </c>
      <c r="Z344" s="21">
        <v>3035722668</v>
      </c>
      <c r="AA344" s="26">
        <v>42747</v>
      </c>
      <c r="AB344" s="26">
        <v>42747</v>
      </c>
      <c r="AC344" s="21" t="s">
        <v>504</v>
      </c>
      <c r="AD344" s="21" t="s">
        <v>505</v>
      </c>
      <c r="AE344" s="21" t="s">
        <v>1091</v>
      </c>
      <c r="AF344" s="21" t="s">
        <v>4287</v>
      </c>
      <c r="AG344" s="21" t="s">
        <v>4288</v>
      </c>
      <c r="AH344" s="21" t="s">
        <v>4289</v>
      </c>
      <c r="AI344" s="21" t="s">
        <v>1207</v>
      </c>
      <c r="AJ344" s="21" t="s">
        <v>507</v>
      </c>
      <c r="AK344" s="21" t="s">
        <v>494</v>
      </c>
      <c r="AL344" s="21" t="s">
        <v>527</v>
      </c>
      <c r="AM344" s="21" t="s">
        <v>527</v>
      </c>
      <c r="AN344" s="21" t="s">
        <v>527</v>
      </c>
      <c r="AO344" s="21" t="s">
        <v>528</v>
      </c>
      <c r="AS344" s="21" t="s">
        <v>511</v>
      </c>
      <c r="AT344" s="21" t="s">
        <v>512</v>
      </c>
      <c r="AW344" s="21">
        <v>0</v>
      </c>
      <c r="AX344" s="21">
        <v>2</v>
      </c>
      <c r="AY344" s="26"/>
      <c r="AZ344" s="26"/>
      <c r="BB344" s="26"/>
      <c r="BC344" s="21" t="s">
        <v>513</v>
      </c>
      <c r="BD344" s="21" t="s">
        <v>514</v>
      </c>
      <c r="BE344" s="21" t="s">
        <v>514</v>
      </c>
      <c r="BF344" s="21" t="s">
        <v>515</v>
      </c>
      <c r="BG344" s="21">
        <v>1</v>
      </c>
      <c r="BH344" s="21" t="s">
        <v>516</v>
      </c>
      <c r="BI344" s="21" t="s">
        <v>517</v>
      </c>
      <c r="BJ344" s="21" t="s">
        <v>516</v>
      </c>
      <c r="BK344" s="21" t="s">
        <v>516</v>
      </c>
      <c r="BM344" s="21" t="s">
        <v>54</v>
      </c>
      <c r="BN344" s="21" t="s">
        <v>259</v>
      </c>
      <c r="BO344" s="21" t="s">
        <v>518</v>
      </c>
      <c r="BP344" s="21" t="s">
        <v>519</v>
      </c>
      <c r="BQ344" s="21" t="s">
        <v>54</v>
      </c>
      <c r="BR344" s="21" t="s">
        <v>259</v>
      </c>
      <c r="BS344" s="21" t="s">
        <v>518</v>
      </c>
      <c r="BT344" s="21" t="s">
        <v>519</v>
      </c>
      <c r="BU344" s="21" t="s">
        <v>259</v>
      </c>
      <c r="CD344" s="21" t="s">
        <v>520</v>
      </c>
      <c r="CF344" s="21" t="s">
        <v>521</v>
      </c>
      <c r="CN344" s="26"/>
      <c r="DB344" s="24" t="s">
        <v>943</v>
      </c>
      <c r="DC344" s="21">
        <v>1</v>
      </c>
      <c r="DD344" s="21">
        <v>3</v>
      </c>
      <c r="DE344" s="22">
        <v>42753</v>
      </c>
      <c r="DF344" s="21" t="s">
        <v>4290</v>
      </c>
      <c r="DG344" s="21" t="s">
        <v>522</v>
      </c>
      <c r="DH344" s="21" t="s">
        <v>4291</v>
      </c>
      <c r="DI344" s="21" t="s">
        <v>495</v>
      </c>
      <c r="DJ344" s="21" t="s">
        <v>523</v>
      </c>
      <c r="DK344" s="26"/>
      <c r="DL344" s="26">
        <v>42759</v>
      </c>
      <c r="DM344" s="26">
        <v>42749</v>
      </c>
      <c r="DN344" s="21">
        <v>3100</v>
      </c>
      <c r="DO344" s="21">
        <v>10</v>
      </c>
      <c r="DP344" s="21">
        <v>1</v>
      </c>
      <c r="DQ344" s="21">
        <v>1</v>
      </c>
      <c r="DR344" s="21">
        <v>6</v>
      </c>
      <c r="DS344" s="21">
        <v>99</v>
      </c>
      <c r="DT344" s="21">
        <v>99</v>
      </c>
      <c r="DU344" s="21">
        <v>99</v>
      </c>
      <c r="DW344" s="21">
        <v>99</v>
      </c>
      <c r="EA344" s="21">
        <v>8</v>
      </c>
      <c r="EF344" s="25">
        <v>0</v>
      </c>
      <c r="EG344" s="25">
        <v>0</v>
      </c>
      <c r="EH344" s="25">
        <v>1</v>
      </c>
      <c r="EI344" s="25">
        <v>0</v>
      </c>
      <c r="EJ344" s="25" t="s">
        <v>62</v>
      </c>
      <c r="EK344" s="25" t="s">
        <v>276</v>
      </c>
      <c r="EL344" s="25" t="s">
        <v>276</v>
      </c>
      <c r="EM344" s="25" t="s">
        <v>276</v>
      </c>
      <c r="EN344" s="25" t="s">
        <v>276</v>
      </c>
      <c r="EO344" s="25" t="s">
        <v>276</v>
      </c>
      <c r="EP344" s="25" t="s">
        <v>276</v>
      </c>
      <c r="EQ344" s="25" t="s">
        <v>276</v>
      </c>
      <c r="ER344" s="25" t="s">
        <v>276</v>
      </c>
      <c r="ES344" s="25" t="s">
        <v>276</v>
      </c>
      <c r="ET344" s="25">
        <v>1</v>
      </c>
      <c r="EU344" s="25" t="s">
        <v>522</v>
      </c>
      <c r="EV344" s="25" t="s">
        <v>276</v>
      </c>
      <c r="EW344" s="25" t="s">
        <v>276</v>
      </c>
      <c r="EX344" s="25" t="s">
        <v>276</v>
      </c>
      <c r="EY344" s="20" t="s">
        <v>273</v>
      </c>
    </row>
    <row r="345" spans="1:155">
      <c r="A345" s="21" t="s">
        <v>491</v>
      </c>
      <c r="B345" s="21" t="s">
        <v>491</v>
      </c>
      <c r="C345" s="21" t="s">
        <v>492</v>
      </c>
      <c r="D345" s="21" t="s">
        <v>493</v>
      </c>
      <c r="E345" s="21" t="s">
        <v>493</v>
      </c>
      <c r="F345" s="21" t="s">
        <v>493</v>
      </c>
      <c r="G345" s="21" t="s">
        <v>4292</v>
      </c>
      <c r="H345" s="21" t="s">
        <v>4293</v>
      </c>
      <c r="I345" s="21" t="s">
        <v>4294</v>
      </c>
      <c r="J345" s="21" t="s">
        <v>4295</v>
      </c>
      <c r="L345" s="21" t="s">
        <v>495</v>
      </c>
      <c r="M345" s="21" t="s">
        <v>4296</v>
      </c>
      <c r="N345" s="21" t="s">
        <v>1707</v>
      </c>
      <c r="O345" s="21" t="s">
        <v>100</v>
      </c>
      <c r="P345" s="21" t="s">
        <v>1187</v>
      </c>
      <c r="R345" s="21" t="s">
        <v>1708</v>
      </c>
      <c r="S345" s="21" t="s">
        <v>1709</v>
      </c>
      <c r="V345" s="21" t="s">
        <v>277</v>
      </c>
      <c r="W345" s="21" t="s">
        <v>524</v>
      </c>
      <c r="X345" s="21" t="s">
        <v>525</v>
      </c>
      <c r="Y345" s="21" t="s">
        <v>1190</v>
      </c>
      <c r="Z345" s="21">
        <v>3035780835</v>
      </c>
      <c r="AA345" s="26">
        <v>42749</v>
      </c>
      <c r="AB345" s="26">
        <v>42749</v>
      </c>
      <c r="AC345" s="21" t="s">
        <v>504</v>
      </c>
      <c r="AD345" s="21" t="s">
        <v>505</v>
      </c>
      <c r="AE345" s="21" t="s">
        <v>1054</v>
      </c>
      <c r="AF345" s="21" t="s">
        <v>2567</v>
      </c>
      <c r="AG345" s="21" t="s">
        <v>2568</v>
      </c>
      <c r="AH345" s="21" t="s">
        <v>2569</v>
      </c>
      <c r="AI345" s="21" t="s">
        <v>4297</v>
      </c>
      <c r="AJ345" s="21" t="s">
        <v>526</v>
      </c>
      <c r="AK345" s="21" t="s">
        <v>494</v>
      </c>
      <c r="AL345" s="21" t="s">
        <v>527</v>
      </c>
      <c r="AM345" s="21" t="s">
        <v>527</v>
      </c>
      <c r="AN345" s="21" t="s">
        <v>527</v>
      </c>
      <c r="AO345" s="21" t="s">
        <v>528</v>
      </c>
      <c r="AS345" s="21" t="s">
        <v>511</v>
      </c>
      <c r="AT345" s="21" t="s">
        <v>512</v>
      </c>
      <c r="AW345" s="21">
        <v>0</v>
      </c>
      <c r="AX345" s="21">
        <v>2</v>
      </c>
      <c r="AY345" s="26"/>
      <c r="AZ345" s="26"/>
      <c r="BB345" s="26"/>
      <c r="BC345" s="21" t="s">
        <v>513</v>
      </c>
      <c r="BD345" s="21" t="s">
        <v>514</v>
      </c>
      <c r="BE345" s="21" t="s">
        <v>514</v>
      </c>
      <c r="BF345" s="21" t="s">
        <v>515</v>
      </c>
      <c r="BG345" s="21">
        <v>1</v>
      </c>
      <c r="BH345" s="21" t="s">
        <v>516</v>
      </c>
      <c r="BI345" s="21" t="s">
        <v>517</v>
      </c>
      <c r="BJ345" s="21" t="s">
        <v>516</v>
      </c>
      <c r="BK345" s="21" t="s">
        <v>516</v>
      </c>
      <c r="BM345" s="21" t="s">
        <v>1252</v>
      </c>
      <c r="BN345" s="21" t="s">
        <v>225</v>
      </c>
      <c r="BO345" s="21" t="s">
        <v>518</v>
      </c>
      <c r="BP345" s="21" t="s">
        <v>1044</v>
      </c>
      <c r="BQ345" s="21" t="s">
        <v>1252</v>
      </c>
      <c r="BR345" s="21" t="s">
        <v>225</v>
      </c>
      <c r="BS345" s="21" t="s">
        <v>518</v>
      </c>
      <c r="BT345" s="21" t="s">
        <v>1044</v>
      </c>
      <c r="BU345" s="21" t="s">
        <v>225</v>
      </c>
      <c r="CD345" s="21" t="s">
        <v>520</v>
      </c>
      <c r="CF345" s="21" t="s">
        <v>521</v>
      </c>
      <c r="CN345" s="26"/>
      <c r="DB345" s="24" t="s">
        <v>943</v>
      </c>
      <c r="DC345" s="21">
        <v>1</v>
      </c>
      <c r="DD345" s="21">
        <v>3</v>
      </c>
      <c r="DE345" s="22">
        <v>42753</v>
      </c>
      <c r="DF345" s="21" t="s">
        <v>4298</v>
      </c>
      <c r="DG345" s="21" t="s">
        <v>522</v>
      </c>
      <c r="DH345" s="21" t="s">
        <v>4299</v>
      </c>
      <c r="DI345" s="21" t="s">
        <v>495</v>
      </c>
      <c r="DJ345" s="21" t="s">
        <v>520</v>
      </c>
      <c r="DK345" s="26"/>
      <c r="DL345" s="26">
        <v>42761</v>
      </c>
      <c r="DM345" s="26">
        <v>42751</v>
      </c>
      <c r="DN345" s="21">
        <v>1100</v>
      </c>
      <c r="DO345" s="21">
        <v>9</v>
      </c>
      <c r="DP345" s="21">
        <v>1</v>
      </c>
      <c r="DQ345" s="21">
        <v>1</v>
      </c>
      <c r="DR345" s="21">
        <v>4</v>
      </c>
      <c r="DS345" s="21">
        <v>9</v>
      </c>
      <c r="DT345" s="21">
        <v>9</v>
      </c>
      <c r="DU345" s="21">
        <v>9</v>
      </c>
      <c r="DW345" s="21">
        <v>9</v>
      </c>
      <c r="EA345" s="21">
        <v>9</v>
      </c>
      <c r="EB345" s="21" t="s">
        <v>4300</v>
      </c>
      <c r="EC345" s="21" t="s">
        <v>1221</v>
      </c>
      <c r="EF345" s="25">
        <v>1</v>
      </c>
      <c r="EG345" s="25">
        <v>0</v>
      </c>
      <c r="EH345" s="25">
        <v>1</v>
      </c>
      <c r="EI345" s="25">
        <v>0</v>
      </c>
      <c r="EJ345" s="25" t="s">
        <v>92</v>
      </c>
      <c r="EK345" s="25" t="s">
        <v>226</v>
      </c>
      <c r="EL345" s="25" t="s">
        <v>226</v>
      </c>
      <c r="EM345" s="25" t="s">
        <v>276</v>
      </c>
      <c r="EN345" s="25" t="s">
        <v>39</v>
      </c>
      <c r="EO345" s="25" t="s">
        <v>39</v>
      </c>
      <c r="EP345" s="25" t="s">
        <v>92</v>
      </c>
      <c r="EQ345" s="25" t="s">
        <v>92</v>
      </c>
      <c r="ER345" s="25" t="s">
        <v>278</v>
      </c>
      <c r="ES345" s="25" t="s">
        <v>278</v>
      </c>
      <c r="ET345" s="25">
        <v>1</v>
      </c>
      <c r="EU345" s="25" t="s">
        <v>522</v>
      </c>
      <c r="EV345" s="25" t="s">
        <v>226</v>
      </c>
      <c r="EW345" s="25" t="s">
        <v>39</v>
      </c>
      <c r="EX345" s="25" t="s">
        <v>278</v>
      </c>
      <c r="EY345" s="20" t="e">
        <v>#N/A</v>
      </c>
    </row>
    <row r="346" spans="1:155">
      <c r="A346" s="21" t="s">
        <v>491</v>
      </c>
      <c r="B346" s="21" t="s">
        <v>491</v>
      </c>
      <c r="C346" s="21" t="s">
        <v>492</v>
      </c>
      <c r="D346" s="21" t="s">
        <v>493</v>
      </c>
      <c r="E346" s="21" t="s">
        <v>493</v>
      </c>
      <c r="F346" s="21" t="s">
        <v>493</v>
      </c>
      <c r="G346" s="21" t="s">
        <v>4360</v>
      </c>
      <c r="H346" s="21" t="s">
        <v>4361</v>
      </c>
      <c r="I346" s="21" t="s">
        <v>494</v>
      </c>
      <c r="J346" s="21" t="s">
        <v>4362</v>
      </c>
      <c r="L346" s="21" t="s">
        <v>495</v>
      </c>
      <c r="M346" s="21" t="s">
        <v>4363</v>
      </c>
      <c r="N346" s="21" t="s">
        <v>3724</v>
      </c>
      <c r="O346" s="21" t="s">
        <v>144</v>
      </c>
      <c r="P346" s="21" t="s">
        <v>1635</v>
      </c>
      <c r="R346" s="21" t="s">
        <v>3725</v>
      </c>
      <c r="S346" s="21" t="s">
        <v>3726</v>
      </c>
      <c r="V346" s="21" t="s">
        <v>500</v>
      </c>
      <c r="W346" s="21" t="s">
        <v>501</v>
      </c>
      <c r="X346" s="21" t="s">
        <v>502</v>
      </c>
      <c r="Y346" s="21" t="s">
        <v>554</v>
      </c>
      <c r="Z346" s="21">
        <v>3035817523</v>
      </c>
      <c r="AA346" s="26">
        <v>42751</v>
      </c>
      <c r="AB346" s="26">
        <v>42751</v>
      </c>
      <c r="AC346" s="21" t="s">
        <v>504</v>
      </c>
      <c r="AD346" s="21" t="s">
        <v>505</v>
      </c>
      <c r="AE346" s="21" t="s">
        <v>1020</v>
      </c>
      <c r="AF346" s="21" t="s">
        <v>1314</v>
      </c>
      <c r="AG346" s="21" t="s">
        <v>1315</v>
      </c>
      <c r="AH346" s="21" t="s">
        <v>1316</v>
      </c>
      <c r="AI346" s="21" t="s">
        <v>2720</v>
      </c>
      <c r="AJ346" s="21" t="s">
        <v>526</v>
      </c>
      <c r="AK346" s="21" t="s">
        <v>494</v>
      </c>
      <c r="AL346" s="21" t="s">
        <v>527</v>
      </c>
      <c r="AM346" s="21" t="s">
        <v>527</v>
      </c>
      <c r="AN346" s="21" t="s">
        <v>527</v>
      </c>
      <c r="AO346" s="21" t="s">
        <v>528</v>
      </c>
      <c r="AS346" s="21" t="s">
        <v>511</v>
      </c>
      <c r="AT346" s="21" t="s">
        <v>512</v>
      </c>
      <c r="AW346" s="21">
        <v>0</v>
      </c>
      <c r="AX346" s="21">
        <v>2</v>
      </c>
      <c r="AY346" s="26"/>
      <c r="AZ346" s="26"/>
      <c r="BB346" s="26"/>
      <c r="BC346" s="21" t="s">
        <v>513</v>
      </c>
      <c r="BD346" s="21" t="s">
        <v>514</v>
      </c>
      <c r="BE346" s="21" t="s">
        <v>514</v>
      </c>
      <c r="BF346" s="21" t="s">
        <v>515</v>
      </c>
      <c r="BG346" s="21">
        <v>1</v>
      </c>
      <c r="BH346" s="21" t="s">
        <v>516</v>
      </c>
      <c r="BI346" s="21" t="s">
        <v>517</v>
      </c>
      <c r="BJ346" s="21" t="s">
        <v>516</v>
      </c>
      <c r="BK346" s="21" t="s">
        <v>516</v>
      </c>
      <c r="BM346" s="21" t="s">
        <v>14</v>
      </c>
      <c r="BN346" s="21" t="s">
        <v>133</v>
      </c>
      <c r="BO346" s="21" t="s">
        <v>518</v>
      </c>
      <c r="BP346" s="21" t="s">
        <v>519</v>
      </c>
      <c r="BQ346" s="21" t="s">
        <v>14</v>
      </c>
      <c r="BR346" s="21" t="s">
        <v>133</v>
      </c>
      <c r="BS346" s="21" t="s">
        <v>518</v>
      </c>
      <c r="BT346" s="21" t="s">
        <v>519</v>
      </c>
      <c r="BU346" s="21" t="s">
        <v>133</v>
      </c>
      <c r="CD346" s="21" t="s">
        <v>520</v>
      </c>
      <c r="CF346" s="21" t="s">
        <v>521</v>
      </c>
      <c r="CN346" s="26"/>
      <c r="DB346" s="24" t="s">
        <v>943</v>
      </c>
      <c r="DC346" s="21">
        <v>1</v>
      </c>
      <c r="DD346" s="21">
        <v>3</v>
      </c>
      <c r="DE346" s="22">
        <v>42753</v>
      </c>
      <c r="DF346" s="21" t="s">
        <v>4364</v>
      </c>
      <c r="DG346" s="21" t="s">
        <v>522</v>
      </c>
      <c r="DH346" s="21" t="s">
        <v>4365</v>
      </c>
      <c r="DI346" s="21" t="s">
        <v>495</v>
      </c>
      <c r="DJ346" s="21" t="s">
        <v>520</v>
      </c>
      <c r="DK346" s="26"/>
      <c r="DL346" s="26">
        <v>42763</v>
      </c>
      <c r="DM346" s="26">
        <v>42753</v>
      </c>
      <c r="DN346" s="21">
        <v>3100</v>
      </c>
      <c r="DO346" s="21">
        <v>10</v>
      </c>
      <c r="DP346" s="21">
        <v>1</v>
      </c>
      <c r="DQ346" s="21">
        <v>1</v>
      </c>
      <c r="DR346" s="21">
        <v>7</v>
      </c>
      <c r="DS346" s="21">
        <v>10</v>
      </c>
      <c r="DT346" s="21">
        <v>10</v>
      </c>
      <c r="DU346" s="21">
        <v>10</v>
      </c>
      <c r="DW346" s="21">
        <v>10</v>
      </c>
      <c r="EA346" s="21">
        <v>10</v>
      </c>
      <c r="EB346" s="21" t="s">
        <v>4366</v>
      </c>
      <c r="EC346" s="21" t="s">
        <v>1968</v>
      </c>
      <c r="EF346" s="25">
        <v>1</v>
      </c>
      <c r="EG346" s="25">
        <v>0</v>
      </c>
      <c r="EH346" s="25">
        <v>1</v>
      </c>
      <c r="EI346" s="25">
        <v>0</v>
      </c>
      <c r="EJ346" s="25" t="s">
        <v>62</v>
      </c>
      <c r="EK346" s="25" t="s">
        <v>134</v>
      </c>
      <c r="EL346" s="25" t="s">
        <v>134</v>
      </c>
      <c r="EM346" s="25" t="s">
        <v>276</v>
      </c>
      <c r="EN346" s="25" t="s">
        <v>9</v>
      </c>
      <c r="EO346" s="25" t="s">
        <v>9</v>
      </c>
      <c r="EP346" s="25" t="s">
        <v>62</v>
      </c>
      <c r="EQ346" s="25" t="s">
        <v>62</v>
      </c>
      <c r="ER346" s="25" t="s">
        <v>278</v>
      </c>
      <c r="ES346" s="25" t="s">
        <v>278</v>
      </c>
      <c r="ET346" s="25">
        <v>1</v>
      </c>
      <c r="EU346" s="25" t="s">
        <v>522</v>
      </c>
      <c r="EV346" s="25" t="s">
        <v>134</v>
      </c>
      <c r="EW346" s="25" t="s">
        <v>9</v>
      </c>
      <c r="EX346" s="25" t="s">
        <v>278</v>
      </c>
      <c r="EY346" s="20" t="e">
        <v>#N/A</v>
      </c>
    </row>
    <row r="347" spans="1:155">
      <c r="A347" s="21" t="s">
        <v>491</v>
      </c>
      <c r="B347" s="21" t="s">
        <v>491</v>
      </c>
      <c r="C347" s="21" t="s">
        <v>492</v>
      </c>
      <c r="D347" s="21" t="s">
        <v>493</v>
      </c>
      <c r="E347" s="21" t="s">
        <v>493</v>
      </c>
      <c r="F347" s="21" t="s">
        <v>493</v>
      </c>
      <c r="G347" s="21" t="s">
        <v>4368</v>
      </c>
      <c r="H347" s="21">
        <v>11985144504</v>
      </c>
      <c r="I347" s="21" t="s">
        <v>494</v>
      </c>
      <c r="J347" s="21" t="s">
        <v>4369</v>
      </c>
      <c r="L347" s="21" t="s">
        <v>495</v>
      </c>
      <c r="M347" s="21" t="s">
        <v>4370</v>
      </c>
      <c r="N347" s="21" t="s">
        <v>496</v>
      </c>
      <c r="O347" s="21" t="s">
        <v>69</v>
      </c>
      <c r="P347" s="21" t="s">
        <v>497</v>
      </c>
      <c r="Q347" s="21" t="s">
        <v>1168</v>
      </c>
      <c r="R347" s="21" t="s">
        <v>498</v>
      </c>
      <c r="S347" s="21" t="s">
        <v>499</v>
      </c>
      <c r="V347" s="21" t="s">
        <v>500</v>
      </c>
      <c r="W347" s="21" t="s">
        <v>501</v>
      </c>
      <c r="X347" s="21" t="s">
        <v>502</v>
      </c>
      <c r="Y347" s="21" t="s">
        <v>503</v>
      </c>
      <c r="Z347" s="21">
        <v>3035809807</v>
      </c>
      <c r="AA347" s="26">
        <v>42751</v>
      </c>
      <c r="AB347" s="26">
        <v>42751</v>
      </c>
      <c r="AC347" s="21" t="s">
        <v>504</v>
      </c>
      <c r="AD347" s="21" t="s">
        <v>505</v>
      </c>
      <c r="AE347" s="21" t="s">
        <v>500</v>
      </c>
      <c r="AF347" s="21" t="s">
        <v>564</v>
      </c>
      <c r="AG347" s="21" t="s">
        <v>1699</v>
      </c>
      <c r="AH347" s="21" t="s">
        <v>1700</v>
      </c>
      <c r="AI347" s="21" t="s">
        <v>2811</v>
      </c>
      <c r="AJ347" s="21" t="s">
        <v>507</v>
      </c>
      <c r="AK347" s="21" t="s">
        <v>494</v>
      </c>
      <c r="AL347" s="21" t="s">
        <v>527</v>
      </c>
      <c r="AM347" s="21" t="s">
        <v>527</v>
      </c>
      <c r="AN347" s="21" t="s">
        <v>527</v>
      </c>
      <c r="AO347" s="21" t="s">
        <v>528</v>
      </c>
      <c r="AS347" s="21" t="s">
        <v>511</v>
      </c>
      <c r="AT347" s="21" t="s">
        <v>512</v>
      </c>
      <c r="AW347" s="21">
        <v>0</v>
      </c>
      <c r="AX347" s="21">
        <v>2</v>
      </c>
      <c r="AY347" s="26"/>
      <c r="AZ347" s="26"/>
      <c r="BB347" s="26"/>
      <c r="BC347" s="21" t="s">
        <v>513</v>
      </c>
      <c r="BD347" s="21" t="s">
        <v>514</v>
      </c>
      <c r="BE347" s="21" t="s">
        <v>514</v>
      </c>
      <c r="BF347" s="21" t="s">
        <v>515</v>
      </c>
      <c r="BG347" s="21">
        <v>1</v>
      </c>
      <c r="BH347" s="21" t="s">
        <v>516</v>
      </c>
      <c r="BI347" s="21" t="s">
        <v>517</v>
      </c>
      <c r="BJ347" s="21" t="s">
        <v>516</v>
      </c>
      <c r="BK347" s="21" t="s">
        <v>516</v>
      </c>
      <c r="BM347" s="21" t="s">
        <v>12</v>
      </c>
      <c r="BN347" s="21" t="s">
        <v>67</v>
      </c>
      <c r="BO347" s="21" t="s">
        <v>518</v>
      </c>
      <c r="BP347" s="21" t="s">
        <v>519</v>
      </c>
      <c r="BQ347" s="21" t="s">
        <v>12</v>
      </c>
      <c r="BR347" s="21" t="s">
        <v>67</v>
      </c>
      <c r="BS347" s="21" t="s">
        <v>518</v>
      </c>
      <c r="BT347" s="21" t="s">
        <v>519</v>
      </c>
      <c r="BU347" s="21" t="s">
        <v>67</v>
      </c>
      <c r="CD347" s="21" t="s">
        <v>520</v>
      </c>
      <c r="CF347" s="21" t="s">
        <v>521</v>
      </c>
      <c r="CN347" s="26"/>
      <c r="DB347" s="24" t="s">
        <v>943</v>
      </c>
      <c r="DC347" s="21">
        <v>1</v>
      </c>
      <c r="DD347" s="21">
        <v>3</v>
      </c>
      <c r="DE347" s="22">
        <v>42753</v>
      </c>
      <c r="DF347" s="21" t="s">
        <v>4371</v>
      </c>
      <c r="DG347" s="21" t="s">
        <v>522</v>
      </c>
      <c r="DH347" s="21" t="s">
        <v>4372</v>
      </c>
      <c r="DI347" s="21" t="s">
        <v>495</v>
      </c>
      <c r="DJ347" s="21" t="s">
        <v>520</v>
      </c>
      <c r="DK347" s="26"/>
      <c r="DL347" s="26">
        <v>42763</v>
      </c>
      <c r="DM347" s="26">
        <v>42753</v>
      </c>
      <c r="DN347" s="21">
        <v>3100</v>
      </c>
      <c r="DO347" s="21">
        <v>8</v>
      </c>
      <c r="DP347" s="21">
        <v>1</v>
      </c>
      <c r="DQ347" s="21">
        <v>1</v>
      </c>
      <c r="DR347" s="21">
        <v>6</v>
      </c>
      <c r="DS347" s="21">
        <v>8</v>
      </c>
      <c r="DT347" s="21">
        <v>7</v>
      </c>
      <c r="DU347" s="21">
        <v>6</v>
      </c>
      <c r="DW347" s="21">
        <v>5</v>
      </c>
      <c r="EA347" s="21">
        <v>7</v>
      </c>
      <c r="EF347" s="25">
        <v>0</v>
      </c>
      <c r="EG347" s="25">
        <v>0</v>
      </c>
      <c r="EH347" s="25">
        <v>0</v>
      </c>
      <c r="EI347" s="25">
        <v>0</v>
      </c>
      <c r="EJ347" s="25" t="s">
        <v>62</v>
      </c>
      <c r="EK347" s="25" t="s">
        <v>68</v>
      </c>
      <c r="EL347" s="25" t="s">
        <v>68</v>
      </c>
      <c r="EM347" s="25" t="s">
        <v>276</v>
      </c>
      <c r="EN347" s="25" t="s">
        <v>9</v>
      </c>
      <c r="EO347" s="25" t="s">
        <v>9</v>
      </c>
      <c r="EP347" s="25" t="s">
        <v>62</v>
      </c>
      <c r="EQ347" s="25" t="s">
        <v>62</v>
      </c>
      <c r="ER347" s="25" t="s">
        <v>278</v>
      </c>
      <c r="ES347" s="25" t="s">
        <v>278</v>
      </c>
      <c r="ET347" s="25">
        <v>1</v>
      </c>
      <c r="EU347" s="25" t="s">
        <v>522</v>
      </c>
      <c r="EV347" s="25" t="s">
        <v>68</v>
      </c>
      <c r="EW347" s="25" t="s">
        <v>9</v>
      </c>
      <c r="EX347" s="25" t="s">
        <v>278</v>
      </c>
      <c r="EY347" s="20" t="e">
        <v>#N/A</v>
      </c>
    </row>
    <row r="348" spans="1:155">
      <c r="A348" s="21" t="s">
        <v>491</v>
      </c>
      <c r="B348" s="21" t="s">
        <v>491</v>
      </c>
      <c r="C348" s="21" t="s">
        <v>492</v>
      </c>
      <c r="D348" s="21" t="s">
        <v>493</v>
      </c>
      <c r="E348" s="21" t="s">
        <v>493</v>
      </c>
      <c r="F348" s="21" t="s">
        <v>493</v>
      </c>
      <c r="G348" s="21" t="s">
        <v>4373</v>
      </c>
      <c r="H348" s="21">
        <v>1129501518</v>
      </c>
      <c r="I348" s="21" t="s">
        <v>494</v>
      </c>
      <c r="J348" s="21" t="s">
        <v>4374</v>
      </c>
      <c r="L348" s="21" t="s">
        <v>495</v>
      </c>
      <c r="M348" s="21" t="s">
        <v>4375</v>
      </c>
      <c r="N348" s="21" t="s">
        <v>1438</v>
      </c>
      <c r="O348" s="21" t="s">
        <v>93</v>
      </c>
      <c r="P348" s="21" t="s">
        <v>539</v>
      </c>
      <c r="R348" s="21" t="s">
        <v>1439</v>
      </c>
      <c r="S348" s="21" t="s">
        <v>1440</v>
      </c>
      <c r="V348" s="21" t="s">
        <v>277</v>
      </c>
      <c r="W348" s="21" t="s">
        <v>524</v>
      </c>
      <c r="X348" s="21" t="s">
        <v>525</v>
      </c>
      <c r="Y348" s="21" t="s">
        <v>530</v>
      </c>
      <c r="Z348" s="21">
        <v>3035821113</v>
      </c>
      <c r="AA348" s="26">
        <v>42751</v>
      </c>
      <c r="AB348" s="26">
        <v>42751</v>
      </c>
      <c r="AC348" s="21" t="s">
        <v>504</v>
      </c>
      <c r="AD348" s="21" t="s">
        <v>505</v>
      </c>
      <c r="AE348" s="21" t="s">
        <v>565</v>
      </c>
      <c r="AF348" s="21" t="s">
        <v>566</v>
      </c>
      <c r="AG348" s="21" t="s">
        <v>1743</v>
      </c>
      <c r="AH348" s="21" t="s">
        <v>1744</v>
      </c>
      <c r="AI348" s="21" t="s">
        <v>4376</v>
      </c>
      <c r="AJ348" s="21" t="s">
        <v>507</v>
      </c>
      <c r="AK348" s="21" t="s">
        <v>494</v>
      </c>
      <c r="AL348" s="21" t="s">
        <v>527</v>
      </c>
      <c r="AM348" s="21" t="s">
        <v>527</v>
      </c>
      <c r="AN348" s="21" t="s">
        <v>527</v>
      </c>
      <c r="AO348" s="21" t="s">
        <v>528</v>
      </c>
      <c r="AS348" s="21" t="s">
        <v>511</v>
      </c>
      <c r="AT348" s="21" t="s">
        <v>512</v>
      </c>
      <c r="AW348" s="21">
        <v>0</v>
      </c>
      <c r="AX348" s="21">
        <v>2</v>
      </c>
      <c r="AY348" s="26"/>
      <c r="AZ348" s="26"/>
      <c r="BB348" s="26"/>
      <c r="BC348" s="21" t="s">
        <v>513</v>
      </c>
      <c r="BD348" s="21" t="s">
        <v>514</v>
      </c>
      <c r="BE348" s="21" t="s">
        <v>514</v>
      </c>
      <c r="BF348" s="21" t="s">
        <v>515</v>
      </c>
      <c r="BG348" s="21">
        <v>1</v>
      </c>
      <c r="BH348" s="21" t="s">
        <v>516</v>
      </c>
      <c r="BI348" s="21" t="s">
        <v>517</v>
      </c>
      <c r="BJ348" s="21" t="s">
        <v>516</v>
      </c>
      <c r="BK348" s="21" t="s">
        <v>516</v>
      </c>
      <c r="BM348" s="21" t="s">
        <v>1362</v>
      </c>
      <c r="BN348" s="21" t="s">
        <v>236</v>
      </c>
      <c r="BO348" s="21" t="s">
        <v>518</v>
      </c>
      <c r="BP348" s="21" t="s">
        <v>1044</v>
      </c>
      <c r="BQ348" s="21" t="s">
        <v>1362</v>
      </c>
      <c r="BR348" s="21" t="s">
        <v>236</v>
      </c>
      <c r="BS348" s="21" t="s">
        <v>518</v>
      </c>
      <c r="BT348" s="21" t="s">
        <v>1044</v>
      </c>
      <c r="BU348" s="21" t="s">
        <v>236</v>
      </c>
      <c r="CD348" s="21" t="s">
        <v>520</v>
      </c>
      <c r="CF348" s="21" t="s">
        <v>521</v>
      </c>
      <c r="CN348" s="26"/>
      <c r="DB348" s="24" t="s">
        <v>943</v>
      </c>
      <c r="DC348" s="21">
        <v>1</v>
      </c>
      <c r="DD348" s="21">
        <v>3</v>
      </c>
      <c r="DE348" s="22">
        <v>42753</v>
      </c>
      <c r="DF348" s="21" t="s">
        <v>4377</v>
      </c>
      <c r="DG348" s="21" t="s">
        <v>522</v>
      </c>
      <c r="DH348" s="21" t="s">
        <v>4378</v>
      </c>
      <c r="DI348" s="21" t="s">
        <v>495</v>
      </c>
      <c r="DJ348" s="21" t="s">
        <v>520</v>
      </c>
      <c r="DK348" s="26"/>
      <c r="DL348" s="26">
        <v>42763</v>
      </c>
      <c r="DM348" s="26">
        <v>42753</v>
      </c>
      <c r="DN348" s="21">
        <v>1100</v>
      </c>
      <c r="DO348" s="21">
        <v>10</v>
      </c>
      <c r="DP348" s="21">
        <v>1</v>
      </c>
      <c r="DQ348" s="21">
        <v>1</v>
      </c>
      <c r="DR348" s="21">
        <v>7</v>
      </c>
      <c r="DS348" s="21">
        <v>10</v>
      </c>
      <c r="DT348" s="21">
        <v>10</v>
      </c>
      <c r="DU348" s="21">
        <v>10</v>
      </c>
      <c r="DW348" s="21">
        <v>10</v>
      </c>
      <c r="EA348" s="21">
        <v>10</v>
      </c>
      <c r="EB348" s="21" t="s">
        <v>4379</v>
      </c>
      <c r="EC348" s="21" t="s">
        <v>4423</v>
      </c>
      <c r="EF348" s="25">
        <v>1</v>
      </c>
      <c r="EG348" s="25">
        <v>0</v>
      </c>
      <c r="EH348" s="25">
        <v>1</v>
      </c>
      <c r="EI348" s="25">
        <v>0</v>
      </c>
      <c r="EJ348" s="25" t="s">
        <v>92</v>
      </c>
      <c r="EK348" s="25" t="s">
        <v>237</v>
      </c>
      <c r="EL348" s="25" t="s">
        <v>237</v>
      </c>
      <c r="EM348" s="25" t="s">
        <v>276</v>
      </c>
      <c r="EN348" s="25" t="s">
        <v>39</v>
      </c>
      <c r="EO348" s="25" t="s">
        <v>39</v>
      </c>
      <c r="EP348" s="25" t="s">
        <v>92</v>
      </c>
      <c r="EQ348" s="25" t="s">
        <v>92</v>
      </c>
      <c r="ER348" s="25" t="s">
        <v>278</v>
      </c>
      <c r="ES348" s="25" t="s">
        <v>278</v>
      </c>
      <c r="ET348" s="25">
        <v>1</v>
      </c>
      <c r="EU348" s="25" t="s">
        <v>522</v>
      </c>
      <c r="EV348" s="25" t="s">
        <v>237</v>
      </c>
      <c r="EW348" s="25" t="s">
        <v>39</v>
      </c>
      <c r="EX348" s="25" t="s">
        <v>278</v>
      </c>
      <c r="EY348" s="20" t="e">
        <v>#N/A</v>
      </c>
    </row>
    <row r="349" spans="1:155">
      <c r="A349" s="21" t="s">
        <v>491</v>
      </c>
      <c r="B349" s="21" t="s">
        <v>491</v>
      </c>
      <c r="C349" s="21" t="s">
        <v>492</v>
      </c>
      <c r="D349" s="21" t="s">
        <v>493</v>
      </c>
      <c r="E349" s="21" t="s">
        <v>493</v>
      </c>
      <c r="F349" s="21" t="s">
        <v>493</v>
      </c>
      <c r="G349" s="21" t="s">
        <v>4424</v>
      </c>
      <c r="H349" s="21" t="s">
        <v>4425</v>
      </c>
      <c r="I349" s="21" t="s">
        <v>494</v>
      </c>
      <c r="J349" s="21" t="s">
        <v>4426</v>
      </c>
      <c r="L349" s="21" t="s">
        <v>495</v>
      </c>
      <c r="M349" s="21" t="s">
        <v>4427</v>
      </c>
      <c r="N349" s="21" t="s">
        <v>1634</v>
      </c>
      <c r="O349" s="21" t="s">
        <v>144</v>
      </c>
      <c r="P349" s="21" t="s">
        <v>1635</v>
      </c>
      <c r="R349" s="21" t="s">
        <v>1816</v>
      </c>
      <c r="S349" s="21" t="s">
        <v>1637</v>
      </c>
      <c r="V349" s="21" t="s">
        <v>500</v>
      </c>
      <c r="W349" s="21" t="s">
        <v>501</v>
      </c>
      <c r="X349" s="21" t="s">
        <v>502</v>
      </c>
      <c r="Y349" s="21" t="s">
        <v>554</v>
      </c>
      <c r="Z349" s="21">
        <v>3035681702</v>
      </c>
      <c r="AA349" s="26">
        <v>42746</v>
      </c>
      <c r="AB349" s="26">
        <v>42746</v>
      </c>
      <c r="AC349" s="21" t="s">
        <v>504</v>
      </c>
      <c r="AD349" s="21" t="s">
        <v>505</v>
      </c>
      <c r="AE349" s="21" t="s">
        <v>500</v>
      </c>
      <c r="AF349" s="21" t="s">
        <v>549</v>
      </c>
      <c r="AG349" s="21" t="s">
        <v>555</v>
      </c>
      <c r="AH349" s="21" t="s">
        <v>556</v>
      </c>
      <c r="AI349" s="21" t="s">
        <v>2720</v>
      </c>
      <c r="AJ349" s="21" t="s">
        <v>526</v>
      </c>
      <c r="AK349" s="21" t="s">
        <v>494</v>
      </c>
      <c r="AL349" s="21" t="s">
        <v>508</v>
      </c>
      <c r="AM349" s="21" t="s">
        <v>509</v>
      </c>
      <c r="AN349" s="21" t="s">
        <v>509</v>
      </c>
      <c r="AO349" s="21" t="s">
        <v>510</v>
      </c>
      <c r="AS349" s="21" t="s">
        <v>511</v>
      </c>
      <c r="AT349" s="21" t="s">
        <v>512</v>
      </c>
      <c r="AW349" s="21">
        <v>0</v>
      </c>
      <c r="AX349" s="21">
        <v>3</v>
      </c>
      <c r="AY349" s="26"/>
      <c r="AZ349" s="26"/>
      <c r="BB349" s="26"/>
      <c r="BC349" s="21" t="s">
        <v>513</v>
      </c>
      <c r="BD349" s="21" t="s">
        <v>514</v>
      </c>
      <c r="BE349" s="21" t="s">
        <v>514</v>
      </c>
      <c r="BF349" s="21" t="s">
        <v>515</v>
      </c>
      <c r="BG349" s="21">
        <v>1</v>
      </c>
      <c r="BH349" s="21" t="s">
        <v>516</v>
      </c>
      <c r="BI349" s="21" t="s">
        <v>517</v>
      </c>
      <c r="BJ349" s="21" t="s">
        <v>516</v>
      </c>
      <c r="BK349" s="21" t="s">
        <v>516</v>
      </c>
      <c r="BM349" s="21" t="s">
        <v>846</v>
      </c>
      <c r="BN349" s="21" t="s">
        <v>854</v>
      </c>
      <c r="BO349" s="21" t="s">
        <v>518</v>
      </c>
      <c r="BP349" s="21" t="s">
        <v>519</v>
      </c>
      <c r="BQ349" s="21" t="s">
        <v>846</v>
      </c>
      <c r="BR349" s="21" t="s">
        <v>854</v>
      </c>
      <c r="BS349" s="21" t="s">
        <v>518</v>
      </c>
      <c r="BT349" s="21" t="s">
        <v>519</v>
      </c>
      <c r="BU349" s="21" t="s">
        <v>854</v>
      </c>
      <c r="CD349" s="21" t="s">
        <v>520</v>
      </c>
      <c r="CF349" s="21" t="s">
        <v>521</v>
      </c>
      <c r="CN349" s="26"/>
      <c r="DB349" s="24" t="s">
        <v>943</v>
      </c>
      <c r="DC349" s="21">
        <v>1</v>
      </c>
      <c r="DD349" s="21">
        <v>3</v>
      </c>
      <c r="DE349" s="22">
        <v>42754</v>
      </c>
      <c r="DF349" s="21" t="s">
        <v>4428</v>
      </c>
      <c r="DG349" s="21" t="s">
        <v>522</v>
      </c>
      <c r="DH349" s="21" t="s">
        <v>4429</v>
      </c>
      <c r="DI349" s="21" t="s">
        <v>495</v>
      </c>
      <c r="DJ349" s="21" t="s">
        <v>523</v>
      </c>
      <c r="DK349" s="26"/>
      <c r="DL349" s="26">
        <v>42758</v>
      </c>
      <c r="DM349" s="26">
        <v>42748</v>
      </c>
      <c r="DN349" s="21">
        <v>3100</v>
      </c>
      <c r="DO349" s="21">
        <v>10</v>
      </c>
      <c r="DP349" s="21">
        <v>1</v>
      </c>
      <c r="DQ349" s="21">
        <v>1</v>
      </c>
      <c r="DR349" s="21">
        <v>7</v>
      </c>
      <c r="DS349" s="21">
        <v>10</v>
      </c>
      <c r="DT349" s="21">
        <v>10</v>
      </c>
      <c r="DU349" s="21">
        <v>10</v>
      </c>
      <c r="DW349" s="21">
        <v>9</v>
      </c>
      <c r="EA349" s="21">
        <v>10</v>
      </c>
      <c r="EF349" s="25">
        <v>1</v>
      </c>
      <c r="EG349" s="25">
        <v>0</v>
      </c>
      <c r="EH349" s="25">
        <v>1</v>
      </c>
      <c r="EI349" s="25">
        <v>0</v>
      </c>
      <c r="EJ349" s="25" t="s">
        <v>62</v>
      </c>
      <c r="EK349" s="25" t="s">
        <v>276</v>
      </c>
      <c r="EL349" s="25" t="s">
        <v>276</v>
      </c>
      <c r="EM349" s="25" t="s">
        <v>276</v>
      </c>
      <c r="EN349" s="25" t="s">
        <v>276</v>
      </c>
      <c r="EO349" s="25" t="s">
        <v>276</v>
      </c>
      <c r="EP349" s="25" t="s">
        <v>276</v>
      </c>
      <c r="EQ349" s="25" t="s">
        <v>276</v>
      </c>
      <c r="ER349" s="25" t="s">
        <v>276</v>
      </c>
      <c r="ES349" s="25" t="s">
        <v>276</v>
      </c>
      <c r="ET349" s="25">
        <v>1</v>
      </c>
      <c r="EU349" s="25" t="s">
        <v>522</v>
      </c>
      <c r="EV349" s="25" t="s">
        <v>276</v>
      </c>
      <c r="EW349" s="25" t="s">
        <v>276</v>
      </c>
      <c r="EX349" s="25" t="s">
        <v>276</v>
      </c>
      <c r="EY349" s="20" t="s">
        <v>273</v>
      </c>
    </row>
    <row r="350" spans="1:155">
      <c r="A350" s="21" t="s">
        <v>491</v>
      </c>
      <c r="B350" s="21" t="s">
        <v>491</v>
      </c>
      <c r="C350" s="21" t="s">
        <v>492</v>
      </c>
      <c r="D350" s="21" t="s">
        <v>493</v>
      </c>
      <c r="E350" s="21" t="s">
        <v>493</v>
      </c>
      <c r="F350" s="21" t="s">
        <v>493</v>
      </c>
      <c r="G350" s="21" t="s">
        <v>4430</v>
      </c>
      <c r="H350" s="21">
        <v>48998464603</v>
      </c>
      <c r="I350" s="21" t="s">
        <v>494</v>
      </c>
      <c r="J350" s="21" t="s">
        <v>4431</v>
      </c>
      <c r="L350" s="21" t="s">
        <v>495</v>
      </c>
      <c r="M350" s="21" t="s">
        <v>4432</v>
      </c>
      <c r="N350" s="21" t="s">
        <v>1386</v>
      </c>
      <c r="O350" s="21" t="s">
        <v>93</v>
      </c>
      <c r="P350" s="21" t="s">
        <v>539</v>
      </c>
      <c r="R350" s="21" t="s">
        <v>1387</v>
      </c>
      <c r="S350" s="21" t="s">
        <v>1388</v>
      </c>
      <c r="V350" s="21" t="s">
        <v>277</v>
      </c>
      <c r="W350" s="21" t="s">
        <v>524</v>
      </c>
      <c r="X350" s="21" t="s">
        <v>525</v>
      </c>
      <c r="Y350" s="21" t="s">
        <v>530</v>
      </c>
      <c r="Z350" s="21">
        <v>3035694137</v>
      </c>
      <c r="AA350" s="26">
        <v>42746</v>
      </c>
      <c r="AB350" s="26">
        <v>42746</v>
      </c>
      <c r="AC350" s="21" t="s">
        <v>504</v>
      </c>
      <c r="AD350" s="21" t="s">
        <v>505</v>
      </c>
      <c r="AE350" s="21" t="s">
        <v>1156</v>
      </c>
      <c r="AF350" s="21" t="s">
        <v>2049</v>
      </c>
      <c r="AG350" s="21" t="s">
        <v>2050</v>
      </c>
      <c r="AH350" s="21" t="s">
        <v>2051</v>
      </c>
      <c r="AI350" s="21" t="s">
        <v>4433</v>
      </c>
      <c r="AJ350" s="21" t="s">
        <v>507</v>
      </c>
      <c r="AK350" s="21" t="s">
        <v>494</v>
      </c>
      <c r="AL350" s="21" t="s">
        <v>527</v>
      </c>
      <c r="AM350" s="21" t="s">
        <v>527</v>
      </c>
      <c r="AN350" s="21" t="s">
        <v>527</v>
      </c>
      <c r="AO350" s="21" t="s">
        <v>528</v>
      </c>
      <c r="AS350" s="21" t="s">
        <v>511</v>
      </c>
      <c r="AT350" s="21" t="s">
        <v>512</v>
      </c>
      <c r="AW350" s="21">
        <v>0</v>
      </c>
      <c r="AX350" s="21">
        <v>2</v>
      </c>
      <c r="AY350" s="26"/>
      <c r="AZ350" s="26"/>
      <c r="BB350" s="26"/>
      <c r="BC350" s="21" t="s">
        <v>513</v>
      </c>
      <c r="BD350" s="21" t="s">
        <v>514</v>
      </c>
      <c r="BE350" s="21" t="s">
        <v>514</v>
      </c>
      <c r="BF350" s="21" t="s">
        <v>515</v>
      </c>
      <c r="BG350" s="21">
        <v>1</v>
      </c>
      <c r="BH350" s="21" t="s">
        <v>516</v>
      </c>
      <c r="BI350" s="21" t="s">
        <v>517</v>
      </c>
      <c r="BJ350" s="21" t="s">
        <v>516</v>
      </c>
      <c r="BK350" s="21" t="s">
        <v>516</v>
      </c>
      <c r="BM350" s="21" t="s">
        <v>1453</v>
      </c>
      <c r="BN350" s="21" t="s">
        <v>231</v>
      </c>
      <c r="BO350" s="21" t="s">
        <v>518</v>
      </c>
      <c r="BP350" s="21" t="s">
        <v>1044</v>
      </c>
      <c r="BQ350" s="21" t="s">
        <v>1453</v>
      </c>
      <c r="BR350" s="21" t="s">
        <v>231</v>
      </c>
      <c r="BS350" s="21" t="s">
        <v>518</v>
      </c>
      <c r="BT350" s="21" t="s">
        <v>1044</v>
      </c>
      <c r="BU350" s="21" t="s">
        <v>231</v>
      </c>
      <c r="CD350" s="21" t="s">
        <v>520</v>
      </c>
      <c r="CF350" s="21" t="s">
        <v>521</v>
      </c>
      <c r="CN350" s="26"/>
      <c r="DB350" s="24" t="s">
        <v>943</v>
      </c>
      <c r="DC350" s="21">
        <v>1</v>
      </c>
      <c r="DD350" s="21">
        <v>3</v>
      </c>
      <c r="DE350" s="22">
        <v>42754</v>
      </c>
      <c r="DF350" s="21" t="s">
        <v>1605</v>
      </c>
      <c r="DG350" s="21" t="s">
        <v>522</v>
      </c>
      <c r="DH350" s="21" t="s">
        <v>4434</v>
      </c>
      <c r="DI350" s="21" t="s">
        <v>495</v>
      </c>
      <c r="DJ350" s="21" t="s">
        <v>523</v>
      </c>
      <c r="DK350" s="26"/>
      <c r="DL350" s="26">
        <v>42758</v>
      </c>
      <c r="DM350" s="26">
        <v>42748</v>
      </c>
      <c r="DN350" s="21">
        <v>1100</v>
      </c>
      <c r="DO350" s="21">
        <v>9</v>
      </c>
      <c r="DP350" s="21">
        <v>1</v>
      </c>
      <c r="DQ350" s="21">
        <v>1</v>
      </c>
      <c r="DR350" s="21">
        <v>7</v>
      </c>
      <c r="DS350" s="21">
        <v>10</v>
      </c>
      <c r="DT350" s="21">
        <v>10</v>
      </c>
      <c r="DU350" s="21">
        <v>10</v>
      </c>
      <c r="DW350" s="21">
        <v>9</v>
      </c>
      <c r="EA350" s="21">
        <v>9</v>
      </c>
      <c r="EF350" s="25">
        <v>1</v>
      </c>
      <c r="EG350" s="25">
        <v>0</v>
      </c>
      <c r="EH350" s="25">
        <v>1</v>
      </c>
      <c r="EI350" s="25">
        <v>0</v>
      </c>
      <c r="EJ350" s="25" t="s">
        <v>92</v>
      </c>
      <c r="EK350" s="25" t="s">
        <v>232</v>
      </c>
      <c r="EL350" s="25" t="s">
        <v>232</v>
      </c>
      <c r="EM350" s="25" t="s">
        <v>276</v>
      </c>
      <c r="EN350" s="25" t="s">
        <v>39</v>
      </c>
      <c r="EO350" s="25" t="s">
        <v>39</v>
      </c>
      <c r="EP350" s="25" t="s">
        <v>92</v>
      </c>
      <c r="EQ350" s="25" t="s">
        <v>92</v>
      </c>
      <c r="ER350" s="25" t="s">
        <v>278</v>
      </c>
      <c r="ES350" s="25" t="s">
        <v>278</v>
      </c>
      <c r="ET350" s="25">
        <v>1</v>
      </c>
      <c r="EU350" s="25" t="s">
        <v>522</v>
      </c>
      <c r="EV350" s="25" t="s">
        <v>232</v>
      </c>
      <c r="EW350" s="25" t="s">
        <v>39</v>
      </c>
      <c r="EX350" s="25" t="s">
        <v>278</v>
      </c>
      <c r="EY350" s="20" t="e">
        <v>#N/A</v>
      </c>
    </row>
    <row r="351" spans="1:155">
      <c r="A351" s="21" t="s">
        <v>491</v>
      </c>
      <c r="B351" s="21" t="s">
        <v>491</v>
      </c>
      <c r="C351" s="21" t="s">
        <v>492</v>
      </c>
      <c r="D351" s="21" t="s">
        <v>493</v>
      </c>
      <c r="E351" s="21" t="s">
        <v>493</v>
      </c>
      <c r="F351" s="21" t="s">
        <v>493</v>
      </c>
      <c r="G351" s="21" t="s">
        <v>4435</v>
      </c>
      <c r="H351" s="21">
        <v>1636370488</v>
      </c>
      <c r="I351" s="21" t="s">
        <v>494</v>
      </c>
      <c r="J351" s="21" t="s">
        <v>4436</v>
      </c>
      <c r="L351" s="21" t="s">
        <v>495</v>
      </c>
      <c r="M351" s="21" t="s">
        <v>4437</v>
      </c>
      <c r="N351" s="21" t="s">
        <v>1268</v>
      </c>
      <c r="O351" s="21" t="s">
        <v>69</v>
      </c>
      <c r="P351" s="21" t="s">
        <v>497</v>
      </c>
      <c r="R351" s="21" t="s">
        <v>1269</v>
      </c>
      <c r="S351" s="21" t="s">
        <v>1270</v>
      </c>
      <c r="V351" s="21" t="s">
        <v>500</v>
      </c>
      <c r="W351" s="21" t="s">
        <v>501</v>
      </c>
      <c r="X351" s="21" t="s">
        <v>502</v>
      </c>
      <c r="Y351" s="21" t="s">
        <v>503</v>
      </c>
      <c r="Z351" s="21">
        <v>3035679970</v>
      </c>
      <c r="AA351" s="26">
        <v>42746</v>
      </c>
      <c r="AB351" s="26">
        <v>42746</v>
      </c>
      <c r="AC351" s="21" t="s">
        <v>504</v>
      </c>
      <c r="AD351" s="21" t="s">
        <v>505</v>
      </c>
      <c r="AE351" s="21" t="s">
        <v>500</v>
      </c>
      <c r="AF351" s="21" t="s">
        <v>506</v>
      </c>
      <c r="AG351" s="21" t="s">
        <v>1079</v>
      </c>
      <c r="AH351" s="21" t="s">
        <v>1080</v>
      </c>
      <c r="AI351" s="21" t="s">
        <v>1332</v>
      </c>
      <c r="AJ351" s="21" t="s">
        <v>507</v>
      </c>
      <c r="AK351" s="21" t="s">
        <v>494</v>
      </c>
      <c r="AL351" s="21" t="s">
        <v>508</v>
      </c>
      <c r="AM351" s="21" t="s">
        <v>509</v>
      </c>
      <c r="AN351" s="21" t="s">
        <v>509</v>
      </c>
      <c r="AO351" s="21" t="s">
        <v>510</v>
      </c>
      <c r="AS351" s="21" t="s">
        <v>511</v>
      </c>
      <c r="AT351" s="21" t="s">
        <v>512</v>
      </c>
      <c r="AW351" s="21">
        <v>0</v>
      </c>
      <c r="AX351" s="21">
        <v>3</v>
      </c>
      <c r="AY351" s="26"/>
      <c r="AZ351" s="26"/>
      <c r="BB351" s="26"/>
      <c r="BC351" s="21" t="s">
        <v>513</v>
      </c>
      <c r="BD351" s="21" t="s">
        <v>514</v>
      </c>
      <c r="BE351" s="21" t="s">
        <v>514</v>
      </c>
      <c r="BF351" s="21" t="s">
        <v>515</v>
      </c>
      <c r="BG351" s="21">
        <v>1</v>
      </c>
      <c r="BH351" s="21" t="s">
        <v>516</v>
      </c>
      <c r="BI351" s="21" t="s">
        <v>517</v>
      </c>
      <c r="BJ351" s="21" t="s">
        <v>516</v>
      </c>
      <c r="BK351" s="21" t="s">
        <v>516</v>
      </c>
      <c r="BM351" s="21" t="s">
        <v>34</v>
      </c>
      <c r="BN351" s="21" t="s">
        <v>113</v>
      </c>
      <c r="BO351" s="21" t="s">
        <v>518</v>
      </c>
      <c r="BP351" s="21" t="s">
        <v>2836</v>
      </c>
      <c r="BQ351" s="21" t="s">
        <v>34</v>
      </c>
      <c r="BR351" s="21" t="s">
        <v>113</v>
      </c>
      <c r="BS351" s="21" t="s">
        <v>518</v>
      </c>
      <c r="BT351" s="21" t="s">
        <v>2836</v>
      </c>
      <c r="BU351" s="21" t="s">
        <v>113</v>
      </c>
      <c r="CD351" s="21" t="s">
        <v>520</v>
      </c>
      <c r="CF351" s="21" t="s">
        <v>521</v>
      </c>
      <c r="CN351" s="26"/>
      <c r="DB351" s="24" t="s">
        <v>943</v>
      </c>
      <c r="DC351" s="21">
        <v>1</v>
      </c>
      <c r="DD351" s="21">
        <v>3</v>
      </c>
      <c r="DE351" s="22">
        <v>42754</v>
      </c>
      <c r="DF351" s="21" t="s">
        <v>4438</v>
      </c>
      <c r="DG351" s="21" t="s">
        <v>522</v>
      </c>
      <c r="DH351" s="21" t="s">
        <v>4439</v>
      </c>
      <c r="DI351" s="21" t="s">
        <v>495</v>
      </c>
      <c r="DJ351" s="21" t="s">
        <v>520</v>
      </c>
      <c r="DK351" s="26"/>
      <c r="DL351" s="26">
        <v>42758</v>
      </c>
      <c r="DM351" s="26">
        <v>42748</v>
      </c>
      <c r="DN351" s="21">
        <v>3100</v>
      </c>
      <c r="DO351" s="21">
        <v>9</v>
      </c>
      <c r="DP351" s="21">
        <v>1</v>
      </c>
      <c r="DQ351" s="21">
        <v>2</v>
      </c>
      <c r="DR351" s="21">
        <v>6</v>
      </c>
      <c r="DS351" s="21">
        <v>10</v>
      </c>
      <c r="DT351" s="21">
        <v>9</v>
      </c>
      <c r="DU351" s="21">
        <v>10</v>
      </c>
      <c r="DW351" s="21">
        <v>9</v>
      </c>
      <c r="EA351" s="21">
        <v>9</v>
      </c>
      <c r="EB351" s="21" t="s">
        <v>4440</v>
      </c>
      <c r="EF351" s="25">
        <v>1</v>
      </c>
      <c r="EG351" s="25">
        <v>0</v>
      </c>
      <c r="EH351" s="25">
        <v>1</v>
      </c>
      <c r="EI351" s="25">
        <v>0</v>
      </c>
      <c r="EJ351" s="25" t="s">
        <v>62</v>
      </c>
      <c r="EK351" s="25" t="s">
        <v>114</v>
      </c>
      <c r="EL351" s="25" t="s">
        <v>114</v>
      </c>
      <c r="EM351" s="25" t="s">
        <v>276</v>
      </c>
      <c r="EN351" s="25" t="s">
        <v>31</v>
      </c>
      <c r="EO351" s="25" t="s">
        <v>31</v>
      </c>
      <c r="EP351" s="25" t="s">
        <v>62</v>
      </c>
      <c r="EQ351" s="25" t="s">
        <v>62</v>
      </c>
      <c r="ER351" s="25" t="s">
        <v>278</v>
      </c>
      <c r="ES351" s="25" t="s">
        <v>278</v>
      </c>
      <c r="ET351" s="25">
        <v>1</v>
      </c>
      <c r="EU351" s="25" t="s">
        <v>522</v>
      </c>
      <c r="EV351" s="25" t="s">
        <v>114</v>
      </c>
      <c r="EW351" s="25" t="s">
        <v>31</v>
      </c>
      <c r="EX351" s="25" t="s">
        <v>278</v>
      </c>
      <c r="EY351" s="20" t="e">
        <v>#N/A</v>
      </c>
    </row>
    <row r="352" spans="1:155">
      <c r="A352" s="21" t="s">
        <v>491</v>
      </c>
      <c r="B352" s="21" t="s">
        <v>491</v>
      </c>
      <c r="C352" s="21" t="s">
        <v>492</v>
      </c>
      <c r="D352" s="21" t="s">
        <v>493</v>
      </c>
      <c r="E352" s="21" t="s">
        <v>493</v>
      </c>
      <c r="F352" s="21" t="s">
        <v>493</v>
      </c>
      <c r="G352" s="21" t="s">
        <v>4441</v>
      </c>
      <c r="H352" s="21" t="s">
        <v>4442</v>
      </c>
      <c r="I352" s="21" t="s">
        <v>494</v>
      </c>
      <c r="J352" s="21" t="s">
        <v>4443</v>
      </c>
      <c r="L352" s="21" t="s">
        <v>495</v>
      </c>
      <c r="M352" s="21" t="s">
        <v>4444</v>
      </c>
      <c r="N352" s="21" t="s">
        <v>1268</v>
      </c>
      <c r="O352" s="21" t="s">
        <v>69</v>
      </c>
      <c r="P352" s="21" t="s">
        <v>497</v>
      </c>
      <c r="R352" s="21" t="s">
        <v>1269</v>
      </c>
      <c r="S352" s="21" t="s">
        <v>1270</v>
      </c>
      <c r="V352" s="21" t="s">
        <v>500</v>
      </c>
      <c r="W352" s="21" t="s">
        <v>501</v>
      </c>
      <c r="X352" s="21" t="s">
        <v>502</v>
      </c>
      <c r="Y352" s="21" t="s">
        <v>503</v>
      </c>
      <c r="Z352" s="21">
        <v>3035722396</v>
      </c>
      <c r="AA352" s="26">
        <v>42747</v>
      </c>
      <c r="AB352" s="26">
        <v>42747</v>
      </c>
      <c r="AC352" s="21" t="s">
        <v>504</v>
      </c>
      <c r="AD352" s="21" t="s">
        <v>505</v>
      </c>
      <c r="AE352" s="21" t="s">
        <v>500</v>
      </c>
      <c r="AF352" s="21" t="s">
        <v>549</v>
      </c>
      <c r="AG352" s="21" t="s">
        <v>555</v>
      </c>
      <c r="AH352" s="21" t="s">
        <v>556</v>
      </c>
      <c r="AI352" s="21" t="s">
        <v>4445</v>
      </c>
      <c r="AJ352" s="21" t="s">
        <v>526</v>
      </c>
      <c r="AK352" s="21" t="s">
        <v>494</v>
      </c>
      <c r="AL352" s="21" t="s">
        <v>527</v>
      </c>
      <c r="AM352" s="21" t="s">
        <v>527</v>
      </c>
      <c r="AN352" s="21" t="s">
        <v>527</v>
      </c>
      <c r="AO352" s="21" t="s">
        <v>528</v>
      </c>
      <c r="AS352" s="21" t="s">
        <v>511</v>
      </c>
      <c r="AT352" s="21" t="s">
        <v>512</v>
      </c>
      <c r="AW352" s="21">
        <v>0</v>
      </c>
      <c r="AX352" s="21">
        <v>2</v>
      </c>
      <c r="AY352" s="26"/>
      <c r="AZ352" s="26"/>
      <c r="BB352" s="26"/>
      <c r="BC352" s="21" t="s">
        <v>513</v>
      </c>
      <c r="BD352" s="21" t="s">
        <v>514</v>
      </c>
      <c r="BE352" s="21" t="s">
        <v>514</v>
      </c>
      <c r="BF352" s="21" t="s">
        <v>515</v>
      </c>
      <c r="BG352" s="21">
        <v>1</v>
      </c>
      <c r="BH352" s="21" t="s">
        <v>516</v>
      </c>
      <c r="BI352" s="21" t="s">
        <v>517</v>
      </c>
      <c r="BJ352" s="21" t="s">
        <v>516</v>
      </c>
      <c r="BK352" s="21" t="s">
        <v>516</v>
      </c>
      <c r="BM352" s="21" t="s">
        <v>32</v>
      </c>
      <c r="BN352" s="21" t="s">
        <v>202</v>
      </c>
      <c r="BO352" s="21" t="s">
        <v>518</v>
      </c>
      <c r="BP352" s="21" t="s">
        <v>519</v>
      </c>
      <c r="BQ352" s="21" t="s">
        <v>32</v>
      </c>
      <c r="BR352" s="21" t="s">
        <v>202</v>
      </c>
      <c r="BS352" s="21" t="s">
        <v>518</v>
      </c>
      <c r="BT352" s="21" t="s">
        <v>519</v>
      </c>
      <c r="BU352" s="21" t="s">
        <v>202</v>
      </c>
      <c r="CD352" s="21" t="s">
        <v>520</v>
      </c>
      <c r="CF352" s="21" t="s">
        <v>521</v>
      </c>
      <c r="CN352" s="26"/>
      <c r="DB352" s="24" t="s">
        <v>943</v>
      </c>
      <c r="DC352" s="21">
        <v>1</v>
      </c>
      <c r="DD352" s="21">
        <v>3</v>
      </c>
      <c r="DE352" s="22">
        <v>42754</v>
      </c>
      <c r="DF352" s="21" t="s">
        <v>4446</v>
      </c>
      <c r="DG352" s="21" t="s">
        <v>522</v>
      </c>
      <c r="DH352" s="21" t="s">
        <v>4447</v>
      </c>
      <c r="DI352" s="21" t="s">
        <v>495</v>
      </c>
      <c r="DJ352" s="21" t="s">
        <v>523</v>
      </c>
      <c r="DK352" s="26"/>
      <c r="DL352" s="26">
        <v>42759</v>
      </c>
      <c r="DM352" s="26">
        <v>42749</v>
      </c>
      <c r="DN352" s="21">
        <v>3100</v>
      </c>
      <c r="DO352" s="21">
        <v>8</v>
      </c>
      <c r="DP352" s="21">
        <v>1</v>
      </c>
      <c r="DQ352" s="21">
        <v>1</v>
      </c>
      <c r="DR352" s="21">
        <v>7</v>
      </c>
      <c r="DS352" s="21">
        <v>8</v>
      </c>
      <c r="DT352" s="21">
        <v>0</v>
      </c>
      <c r="DU352" s="21">
        <v>8</v>
      </c>
      <c r="DW352" s="21">
        <v>8</v>
      </c>
      <c r="EA352" s="21">
        <v>8</v>
      </c>
      <c r="EB352" s="21" t="s">
        <v>4448</v>
      </c>
      <c r="EF352" s="25">
        <v>0</v>
      </c>
      <c r="EG352" s="25">
        <v>0</v>
      </c>
      <c r="EH352" s="25">
        <v>0</v>
      </c>
      <c r="EI352" s="25">
        <v>0</v>
      </c>
      <c r="EJ352" s="25" t="s">
        <v>62</v>
      </c>
      <c r="EK352" s="25" t="s">
        <v>203</v>
      </c>
      <c r="EL352" s="25" t="s">
        <v>203</v>
      </c>
      <c r="EM352" s="25" t="s">
        <v>276</v>
      </c>
      <c r="EN352" s="25" t="s">
        <v>31</v>
      </c>
      <c r="EO352" s="25" t="s">
        <v>31</v>
      </c>
      <c r="EP352" s="25" t="s">
        <v>62</v>
      </c>
      <c r="EQ352" s="25" t="s">
        <v>62</v>
      </c>
      <c r="ER352" s="25" t="s">
        <v>278</v>
      </c>
      <c r="ES352" s="25" t="s">
        <v>278</v>
      </c>
      <c r="ET352" s="25">
        <v>1</v>
      </c>
      <c r="EU352" s="25" t="s">
        <v>522</v>
      </c>
      <c r="EV352" s="25" t="s">
        <v>203</v>
      </c>
      <c r="EW352" s="25" t="s">
        <v>31</v>
      </c>
      <c r="EX352" s="25" t="s">
        <v>278</v>
      </c>
      <c r="EY352" s="20" t="e">
        <v>#N/A</v>
      </c>
    </row>
    <row r="353" spans="1:155">
      <c r="A353" s="21" t="s">
        <v>491</v>
      </c>
      <c r="B353" s="21" t="s">
        <v>491</v>
      </c>
      <c r="C353" s="21" t="s">
        <v>492</v>
      </c>
      <c r="D353" s="21" t="s">
        <v>493</v>
      </c>
      <c r="E353" s="21" t="s">
        <v>493</v>
      </c>
      <c r="F353" s="21" t="s">
        <v>493</v>
      </c>
      <c r="G353" s="21" t="s">
        <v>4449</v>
      </c>
      <c r="H353" s="21">
        <v>1137652795</v>
      </c>
      <c r="I353" s="21" t="s">
        <v>494</v>
      </c>
      <c r="J353" s="21" t="s">
        <v>4450</v>
      </c>
      <c r="L353" s="21" t="s">
        <v>495</v>
      </c>
      <c r="M353" s="21" t="s">
        <v>4451</v>
      </c>
      <c r="N353" s="21" t="s">
        <v>1894</v>
      </c>
      <c r="O353" s="21" t="s">
        <v>93</v>
      </c>
      <c r="P353" s="21" t="s">
        <v>539</v>
      </c>
      <c r="R353" s="21" t="s">
        <v>1895</v>
      </c>
      <c r="S353" s="21" t="s">
        <v>1440</v>
      </c>
      <c r="V353" s="21" t="s">
        <v>277</v>
      </c>
      <c r="W353" s="21" t="s">
        <v>524</v>
      </c>
      <c r="X353" s="21" t="s">
        <v>525</v>
      </c>
      <c r="Y353" s="21" t="s">
        <v>530</v>
      </c>
      <c r="Z353" s="21">
        <v>3035718638</v>
      </c>
      <c r="AA353" s="26">
        <v>42747</v>
      </c>
      <c r="AB353" s="26">
        <v>42747</v>
      </c>
      <c r="AC353" s="21" t="s">
        <v>504</v>
      </c>
      <c r="AD353" s="21" t="s">
        <v>505</v>
      </c>
      <c r="AE353" s="21" t="s">
        <v>1054</v>
      </c>
      <c r="AF353" s="21" t="s">
        <v>1105</v>
      </c>
      <c r="AG353" s="21" t="s">
        <v>1415</v>
      </c>
      <c r="AH353" s="21" t="s">
        <v>1416</v>
      </c>
      <c r="AI353" s="21" t="s">
        <v>4452</v>
      </c>
      <c r="AJ353" s="21" t="s">
        <v>526</v>
      </c>
      <c r="AK353" s="21" t="s">
        <v>494</v>
      </c>
      <c r="AL353" s="21" t="s">
        <v>527</v>
      </c>
      <c r="AM353" s="21" t="s">
        <v>527</v>
      </c>
      <c r="AN353" s="21" t="s">
        <v>527</v>
      </c>
      <c r="AO353" s="21" t="s">
        <v>528</v>
      </c>
      <c r="AS353" s="21" t="s">
        <v>511</v>
      </c>
      <c r="AT353" s="21" t="s">
        <v>512</v>
      </c>
      <c r="AW353" s="21">
        <v>0</v>
      </c>
      <c r="AX353" s="21">
        <v>2</v>
      </c>
      <c r="AY353" s="26"/>
      <c r="AZ353" s="26"/>
      <c r="BB353" s="26"/>
      <c r="BC353" s="21" t="s">
        <v>513</v>
      </c>
      <c r="BD353" s="21" t="s">
        <v>514</v>
      </c>
      <c r="BE353" s="21" t="s">
        <v>514</v>
      </c>
      <c r="BF353" s="21" t="s">
        <v>515</v>
      </c>
      <c r="BG353" s="21">
        <v>1</v>
      </c>
      <c r="BH353" s="21" t="s">
        <v>516</v>
      </c>
      <c r="BI353" s="21" t="s">
        <v>517</v>
      </c>
      <c r="BJ353" s="21" t="s">
        <v>516</v>
      </c>
      <c r="BK353" s="21" t="s">
        <v>516</v>
      </c>
      <c r="BM353" s="21" t="s">
        <v>1110</v>
      </c>
      <c r="BN353" s="21" t="s">
        <v>200</v>
      </c>
      <c r="BO353" s="21" t="s">
        <v>518</v>
      </c>
      <c r="BP353" s="21" t="s">
        <v>1044</v>
      </c>
      <c r="BQ353" s="21" t="s">
        <v>1110</v>
      </c>
      <c r="BR353" s="21" t="s">
        <v>200</v>
      </c>
      <c r="BS353" s="21" t="s">
        <v>518</v>
      </c>
      <c r="BT353" s="21" t="s">
        <v>1044</v>
      </c>
      <c r="BU353" s="21" t="s">
        <v>200</v>
      </c>
      <c r="CD353" s="21" t="s">
        <v>520</v>
      </c>
      <c r="CF353" s="21" t="s">
        <v>521</v>
      </c>
      <c r="CN353" s="26"/>
      <c r="DB353" s="24" t="s">
        <v>943</v>
      </c>
      <c r="DC353" s="21">
        <v>1</v>
      </c>
      <c r="DD353" s="21">
        <v>3</v>
      </c>
      <c r="DE353" s="22">
        <v>42754</v>
      </c>
      <c r="DF353" s="21" t="s">
        <v>4453</v>
      </c>
      <c r="DG353" s="21" t="s">
        <v>522</v>
      </c>
      <c r="DH353" s="21" t="s">
        <v>4454</v>
      </c>
      <c r="DI353" s="21" t="s">
        <v>495</v>
      </c>
      <c r="DJ353" s="21" t="s">
        <v>523</v>
      </c>
      <c r="DK353" s="26"/>
      <c r="DL353" s="26">
        <v>42759</v>
      </c>
      <c r="DM353" s="26">
        <v>42749</v>
      </c>
      <c r="DN353" s="21">
        <v>1100</v>
      </c>
      <c r="DO353" s="21">
        <v>8</v>
      </c>
      <c r="DP353" s="21">
        <v>1</v>
      </c>
      <c r="DQ353" s="21">
        <v>1</v>
      </c>
      <c r="DR353" s="21">
        <v>6</v>
      </c>
      <c r="DS353" s="21">
        <v>8</v>
      </c>
      <c r="DT353" s="21">
        <v>7</v>
      </c>
      <c r="DU353" s="21">
        <v>9</v>
      </c>
      <c r="DW353" s="21">
        <v>9</v>
      </c>
      <c r="EA353" s="21">
        <v>8</v>
      </c>
      <c r="EB353" s="21" t="s">
        <v>4455</v>
      </c>
      <c r="EF353" s="25">
        <v>0</v>
      </c>
      <c r="EG353" s="25">
        <v>0</v>
      </c>
      <c r="EH353" s="25">
        <v>0</v>
      </c>
      <c r="EI353" s="25">
        <v>0</v>
      </c>
      <c r="EJ353" s="25" t="s">
        <v>92</v>
      </c>
      <c r="EK353" s="25" t="s">
        <v>201</v>
      </c>
      <c r="EL353" s="25" t="s">
        <v>201</v>
      </c>
      <c r="EM353" s="25" t="s">
        <v>276</v>
      </c>
      <c r="EN353" s="25" t="s">
        <v>31</v>
      </c>
      <c r="EO353" s="25" t="s">
        <v>31</v>
      </c>
      <c r="EP353" s="25" t="s">
        <v>92</v>
      </c>
      <c r="EQ353" s="25" t="s">
        <v>92</v>
      </c>
      <c r="ER353" s="25" t="s">
        <v>278</v>
      </c>
      <c r="ES353" s="25" t="s">
        <v>278</v>
      </c>
      <c r="ET353" s="25">
        <v>1</v>
      </c>
      <c r="EU353" s="25" t="s">
        <v>522</v>
      </c>
      <c r="EV353" s="25" t="s">
        <v>201</v>
      </c>
      <c r="EW353" s="25" t="s">
        <v>31</v>
      </c>
      <c r="EX353" s="25" t="s">
        <v>278</v>
      </c>
      <c r="EY353" s="20" t="e">
        <v>#N/A</v>
      </c>
    </row>
    <row r="354" spans="1:155">
      <c r="A354" s="21" t="s">
        <v>491</v>
      </c>
      <c r="B354" s="21" t="s">
        <v>491</v>
      </c>
      <c r="C354" s="21" t="s">
        <v>492</v>
      </c>
      <c r="D354" s="21" t="s">
        <v>493</v>
      </c>
      <c r="E354" s="21" t="s">
        <v>493</v>
      </c>
      <c r="F354" s="21" t="s">
        <v>493</v>
      </c>
      <c r="G354" s="21" t="s">
        <v>4456</v>
      </c>
      <c r="H354" s="21">
        <v>1145772133</v>
      </c>
      <c r="I354" s="21" t="s">
        <v>494</v>
      </c>
      <c r="J354" s="21" t="s">
        <v>4457</v>
      </c>
      <c r="L354" s="21" t="s">
        <v>495</v>
      </c>
      <c r="M354" s="21" t="s">
        <v>4458</v>
      </c>
      <c r="N354" s="21" t="s">
        <v>4459</v>
      </c>
      <c r="O354" s="21" t="s">
        <v>91</v>
      </c>
      <c r="P354" s="21" t="s">
        <v>2416</v>
      </c>
      <c r="R354" s="21" t="s">
        <v>4460</v>
      </c>
      <c r="S354" s="21" t="s">
        <v>4461</v>
      </c>
      <c r="V354" s="21" t="s">
        <v>277</v>
      </c>
      <c r="W354" s="21" t="s">
        <v>524</v>
      </c>
      <c r="X354" s="21" t="s">
        <v>525</v>
      </c>
      <c r="Y354" s="21" t="s">
        <v>530</v>
      </c>
      <c r="Z354" s="21">
        <v>3035653596</v>
      </c>
      <c r="AA354" s="26">
        <v>42745</v>
      </c>
      <c r="AB354" s="26">
        <v>42747</v>
      </c>
      <c r="AC354" s="21" t="s">
        <v>504</v>
      </c>
      <c r="AD354" s="21" t="s">
        <v>512</v>
      </c>
      <c r="AE354" s="21" t="s">
        <v>1156</v>
      </c>
      <c r="AF354" s="21" t="s">
        <v>4462</v>
      </c>
      <c r="AG354" s="21" t="s">
        <v>4463</v>
      </c>
      <c r="AH354" s="21" t="s">
        <v>4464</v>
      </c>
      <c r="AI354" s="21" t="s">
        <v>4465</v>
      </c>
      <c r="AJ354" s="21" t="s">
        <v>507</v>
      </c>
      <c r="AK354" s="21" t="s">
        <v>494</v>
      </c>
      <c r="AL354" s="21" t="s">
        <v>527</v>
      </c>
      <c r="AM354" s="21" t="s">
        <v>527</v>
      </c>
      <c r="AN354" s="21" t="s">
        <v>527</v>
      </c>
      <c r="AO354" s="21" t="s">
        <v>528</v>
      </c>
      <c r="AS354" s="21" t="s">
        <v>511</v>
      </c>
      <c r="AT354" s="21" t="s">
        <v>532</v>
      </c>
      <c r="AX354" s="21">
        <v>3</v>
      </c>
      <c r="AY354" s="26"/>
      <c r="AZ354" s="26"/>
      <c r="BB354" s="26"/>
      <c r="BC354" s="21" t="s">
        <v>513</v>
      </c>
      <c r="BD354" s="21" t="s">
        <v>514</v>
      </c>
      <c r="BE354" s="21" t="s">
        <v>514</v>
      </c>
      <c r="BF354" s="21" t="s">
        <v>515</v>
      </c>
      <c r="BG354" s="21">
        <v>1</v>
      </c>
      <c r="BH354" s="21" t="s">
        <v>516</v>
      </c>
      <c r="BI354" s="21" t="s">
        <v>517</v>
      </c>
      <c r="BJ354" s="21" t="s">
        <v>516</v>
      </c>
      <c r="BK354" s="21" t="s">
        <v>516</v>
      </c>
      <c r="BN354" s="21" t="s">
        <v>234</v>
      </c>
      <c r="BR354" s="21" t="s">
        <v>2986</v>
      </c>
      <c r="BT354" s="21" t="s">
        <v>533</v>
      </c>
      <c r="BU354" s="21" t="s">
        <v>234</v>
      </c>
      <c r="CD354" s="21" t="s">
        <v>520</v>
      </c>
      <c r="CF354" s="21" t="s">
        <v>534</v>
      </c>
      <c r="CG354" s="21" t="s">
        <v>515</v>
      </c>
      <c r="CH354" s="21" t="s">
        <v>535</v>
      </c>
      <c r="CI354" s="21" t="s">
        <v>1419</v>
      </c>
      <c r="CJ354" s="21" t="s">
        <v>4466</v>
      </c>
      <c r="CL354" s="21" t="s">
        <v>4467</v>
      </c>
      <c r="CM354" s="21">
        <v>3035653732</v>
      </c>
      <c r="CN354" s="26">
        <v>42745</v>
      </c>
      <c r="CO354" s="21" t="s">
        <v>537</v>
      </c>
      <c r="CP354" s="21" t="s">
        <v>516</v>
      </c>
      <c r="CR354" s="21" t="s">
        <v>1288</v>
      </c>
      <c r="CS354" s="21" t="s">
        <v>516</v>
      </c>
      <c r="CU354" s="21" t="s">
        <v>4468</v>
      </c>
      <c r="CV354" s="21" t="s">
        <v>4468</v>
      </c>
      <c r="CW354" s="21" t="s">
        <v>1044</v>
      </c>
      <c r="CX354" s="21" t="s">
        <v>1288</v>
      </c>
      <c r="CY354" s="21" t="s">
        <v>516</v>
      </c>
      <c r="CZ354" s="21" t="s">
        <v>533</v>
      </c>
      <c r="DA354" s="21" t="s">
        <v>516</v>
      </c>
      <c r="DB354" s="24" t="s">
        <v>943</v>
      </c>
      <c r="DC354" s="21">
        <v>1</v>
      </c>
      <c r="DD354" s="21">
        <v>3</v>
      </c>
      <c r="DE354" s="22">
        <v>42754</v>
      </c>
      <c r="DF354" s="21" t="s">
        <v>1521</v>
      </c>
      <c r="DG354" s="21" t="s">
        <v>538</v>
      </c>
      <c r="DH354" s="21" t="s">
        <v>4469</v>
      </c>
      <c r="DI354" s="21" t="s">
        <v>495</v>
      </c>
      <c r="DJ354" s="21" t="s">
        <v>523</v>
      </c>
      <c r="DK354" s="26"/>
      <c r="DL354" s="26">
        <v>42759</v>
      </c>
      <c r="DM354" s="26">
        <v>42749</v>
      </c>
      <c r="DN354" s="21">
        <v>1100</v>
      </c>
      <c r="DO354" s="21">
        <v>0</v>
      </c>
      <c r="DP354" s="21">
        <v>2</v>
      </c>
      <c r="DQ354" s="21">
        <v>2</v>
      </c>
      <c r="DR354" s="21">
        <v>2</v>
      </c>
      <c r="DS354" s="21">
        <v>0</v>
      </c>
      <c r="DT354" s="21">
        <v>0</v>
      </c>
      <c r="DU354" s="21">
        <v>1</v>
      </c>
      <c r="DW354" s="21">
        <v>1</v>
      </c>
      <c r="DY354" s="21">
        <v>1</v>
      </c>
      <c r="EA354" s="21">
        <v>0</v>
      </c>
      <c r="EB354" s="21" t="s">
        <v>4470</v>
      </c>
      <c r="EF354" s="25">
        <v>0</v>
      </c>
      <c r="EG354" s="25">
        <v>1</v>
      </c>
      <c r="EH354" s="25">
        <v>0</v>
      </c>
      <c r="EI354" s="25">
        <v>1</v>
      </c>
      <c r="EJ354" s="25" t="s">
        <v>92</v>
      </c>
      <c r="EK354" s="25" t="s">
        <v>235</v>
      </c>
      <c r="EL354" s="25" t="s">
        <v>645</v>
      </c>
      <c r="EM354" s="25" t="s">
        <v>276</v>
      </c>
      <c r="EN354" s="25" t="s">
        <v>39</v>
      </c>
      <c r="EO354" s="25" t="s">
        <v>204</v>
      </c>
      <c r="EP354" s="25" t="s">
        <v>92</v>
      </c>
      <c r="EQ354" s="25" t="s">
        <v>65</v>
      </c>
      <c r="ER354" s="25" t="s">
        <v>278</v>
      </c>
      <c r="ES354" s="25" t="s">
        <v>278</v>
      </c>
      <c r="ET354" s="25">
        <v>1</v>
      </c>
      <c r="EU354" s="25" t="s">
        <v>522</v>
      </c>
      <c r="EV354" s="25" t="s">
        <v>279</v>
      </c>
      <c r="EW354" s="25" t="s">
        <v>279</v>
      </c>
      <c r="EX354" s="25" t="s">
        <v>279</v>
      </c>
      <c r="EY354" s="20" t="e">
        <v>#N/A</v>
      </c>
    </row>
    <row r="355" spans="1:155">
      <c r="A355" s="21" t="s">
        <v>491</v>
      </c>
      <c r="B355" s="21" t="s">
        <v>491</v>
      </c>
      <c r="C355" s="21" t="s">
        <v>492</v>
      </c>
      <c r="D355" s="21" t="s">
        <v>493</v>
      </c>
      <c r="E355" s="21" t="s">
        <v>493</v>
      </c>
      <c r="F355" s="21" t="s">
        <v>493</v>
      </c>
      <c r="G355" s="21" t="s">
        <v>4471</v>
      </c>
      <c r="H355" s="21">
        <v>1139638124</v>
      </c>
      <c r="I355" s="21" t="s">
        <v>494</v>
      </c>
      <c r="J355" s="21" t="s">
        <v>4472</v>
      </c>
      <c r="L355" s="21" t="s">
        <v>495</v>
      </c>
      <c r="M355" s="21" t="s">
        <v>4473</v>
      </c>
      <c r="N355" s="21" t="s">
        <v>1258</v>
      </c>
      <c r="O355" s="21" t="s">
        <v>69</v>
      </c>
      <c r="P355" s="21" t="s">
        <v>497</v>
      </c>
      <c r="R355" s="21" t="s">
        <v>1259</v>
      </c>
      <c r="S355" s="21" t="s">
        <v>1260</v>
      </c>
      <c r="V355" s="21" t="s">
        <v>500</v>
      </c>
      <c r="W355" s="21" t="s">
        <v>501</v>
      </c>
      <c r="X355" s="21" t="s">
        <v>502</v>
      </c>
      <c r="Y355" s="21" t="s">
        <v>503</v>
      </c>
      <c r="Z355" s="21">
        <v>3035748909</v>
      </c>
      <c r="AA355" s="26">
        <v>42748</v>
      </c>
      <c r="AB355" s="26">
        <v>42748</v>
      </c>
      <c r="AC355" s="21" t="s">
        <v>504</v>
      </c>
      <c r="AD355" s="21" t="s">
        <v>505</v>
      </c>
      <c r="AE355" s="21" t="s">
        <v>1091</v>
      </c>
      <c r="AF355" s="21" t="s">
        <v>1902</v>
      </c>
      <c r="AG355" s="21" t="s">
        <v>2921</v>
      </c>
      <c r="AH355" s="21" t="s">
        <v>2922</v>
      </c>
      <c r="AI355" s="21" t="s">
        <v>4474</v>
      </c>
      <c r="AJ355" s="21" t="s">
        <v>526</v>
      </c>
      <c r="AK355" s="21" t="s">
        <v>494</v>
      </c>
      <c r="AL355" s="21" t="s">
        <v>527</v>
      </c>
      <c r="AM355" s="21" t="s">
        <v>527</v>
      </c>
      <c r="AN355" s="21" t="s">
        <v>527</v>
      </c>
      <c r="AO355" s="21" t="s">
        <v>528</v>
      </c>
      <c r="AS355" s="21" t="s">
        <v>511</v>
      </c>
      <c r="AT355" s="21" t="s">
        <v>512</v>
      </c>
      <c r="AW355" s="21">
        <v>0</v>
      </c>
      <c r="AX355" s="21">
        <v>2</v>
      </c>
      <c r="AY355" s="26"/>
      <c r="AZ355" s="26"/>
      <c r="BB355" s="26"/>
      <c r="BC355" s="21" t="s">
        <v>513</v>
      </c>
      <c r="BD355" s="21" t="s">
        <v>514</v>
      </c>
      <c r="BE355" s="21" t="s">
        <v>514</v>
      </c>
      <c r="BF355" s="21" t="s">
        <v>515</v>
      </c>
      <c r="BG355" s="21">
        <v>1</v>
      </c>
      <c r="BH355" s="21" t="s">
        <v>516</v>
      </c>
      <c r="BI355" s="21" t="s">
        <v>517</v>
      </c>
      <c r="BJ355" s="21" t="s">
        <v>516</v>
      </c>
      <c r="BK355" s="21" t="s">
        <v>516</v>
      </c>
      <c r="BM355" s="21" t="s">
        <v>20</v>
      </c>
      <c r="BN355" s="21" t="s">
        <v>101</v>
      </c>
      <c r="BO355" s="21" t="s">
        <v>518</v>
      </c>
      <c r="BP355" s="21" t="s">
        <v>519</v>
      </c>
      <c r="BQ355" s="21" t="s">
        <v>20</v>
      </c>
      <c r="BR355" s="21" t="s">
        <v>101</v>
      </c>
      <c r="BS355" s="21" t="s">
        <v>518</v>
      </c>
      <c r="BT355" s="21" t="s">
        <v>519</v>
      </c>
      <c r="BU355" s="21" t="s">
        <v>101</v>
      </c>
      <c r="CD355" s="21" t="s">
        <v>520</v>
      </c>
      <c r="CF355" s="21" t="s">
        <v>521</v>
      </c>
      <c r="CN355" s="26"/>
      <c r="DB355" s="24" t="s">
        <v>943</v>
      </c>
      <c r="DC355" s="21">
        <v>1</v>
      </c>
      <c r="DD355" s="21">
        <v>3</v>
      </c>
      <c r="DE355" s="22">
        <v>42754</v>
      </c>
      <c r="DF355" s="21" t="s">
        <v>4475</v>
      </c>
      <c r="DG355" s="21" t="s">
        <v>522</v>
      </c>
      <c r="DH355" s="21" t="s">
        <v>4476</v>
      </c>
      <c r="DI355" s="21" t="s">
        <v>495</v>
      </c>
      <c r="DJ355" s="21" t="s">
        <v>523</v>
      </c>
      <c r="DK355" s="26"/>
      <c r="DL355" s="26">
        <v>42760</v>
      </c>
      <c r="DM355" s="26">
        <v>42750</v>
      </c>
      <c r="DN355" s="21">
        <v>3100</v>
      </c>
      <c r="DO355" s="21">
        <v>7</v>
      </c>
      <c r="DP355" s="21">
        <v>1</v>
      </c>
      <c r="DQ355" s="21">
        <v>1</v>
      </c>
      <c r="DR355" s="21">
        <v>6</v>
      </c>
      <c r="DS355" s="21">
        <v>9</v>
      </c>
      <c r="DT355" s="21">
        <v>9</v>
      </c>
      <c r="DU355" s="21">
        <v>9</v>
      </c>
      <c r="DW355" s="21">
        <v>7</v>
      </c>
      <c r="EA355" s="21">
        <v>8</v>
      </c>
      <c r="EF355" s="25">
        <v>0</v>
      </c>
      <c r="EG355" s="25">
        <v>0</v>
      </c>
      <c r="EH355" s="25">
        <v>0</v>
      </c>
      <c r="EI355" s="25">
        <v>0</v>
      </c>
      <c r="EJ355" s="25" t="s">
        <v>62</v>
      </c>
      <c r="EK355" s="25" t="s">
        <v>102</v>
      </c>
      <c r="EL355" s="25" t="s">
        <v>102</v>
      </c>
      <c r="EM355" s="25" t="s">
        <v>276</v>
      </c>
      <c r="EN355" s="25" t="s">
        <v>9</v>
      </c>
      <c r="EO355" s="25" t="s">
        <v>9</v>
      </c>
      <c r="EP355" s="25" t="s">
        <v>62</v>
      </c>
      <c r="EQ355" s="25" t="s">
        <v>62</v>
      </c>
      <c r="ER355" s="25" t="s">
        <v>278</v>
      </c>
      <c r="ES355" s="25" t="s">
        <v>278</v>
      </c>
      <c r="ET355" s="25">
        <v>1</v>
      </c>
      <c r="EU355" s="25" t="s">
        <v>522</v>
      </c>
      <c r="EV355" s="25" t="s">
        <v>102</v>
      </c>
      <c r="EW355" s="25" t="s">
        <v>9</v>
      </c>
      <c r="EX355" s="25" t="s">
        <v>278</v>
      </c>
      <c r="EY355" s="20" t="e">
        <v>#N/A</v>
      </c>
    </row>
    <row r="356" spans="1:155">
      <c r="A356" s="21" t="s">
        <v>491</v>
      </c>
      <c r="B356" s="21" t="s">
        <v>491</v>
      </c>
      <c r="C356" s="21" t="s">
        <v>492</v>
      </c>
      <c r="D356" s="21" t="s">
        <v>493</v>
      </c>
      <c r="E356" s="21" t="s">
        <v>493</v>
      </c>
      <c r="F356" s="21" t="s">
        <v>493</v>
      </c>
      <c r="G356" s="21" t="s">
        <v>4477</v>
      </c>
      <c r="H356" s="21" t="s">
        <v>4478</v>
      </c>
      <c r="I356" s="21" t="s">
        <v>494</v>
      </c>
      <c r="J356" s="21" t="s">
        <v>4479</v>
      </c>
      <c r="L356" s="21" t="s">
        <v>495</v>
      </c>
      <c r="M356" s="21" t="s">
        <v>4480</v>
      </c>
      <c r="N356" s="21" t="s">
        <v>496</v>
      </c>
      <c r="O356" s="21" t="s">
        <v>69</v>
      </c>
      <c r="P356" s="21" t="s">
        <v>497</v>
      </c>
      <c r="R356" s="21" t="s">
        <v>498</v>
      </c>
      <c r="S356" s="21" t="s">
        <v>499</v>
      </c>
      <c r="V356" s="21" t="s">
        <v>500</v>
      </c>
      <c r="W356" s="21" t="s">
        <v>501</v>
      </c>
      <c r="X356" s="21" t="s">
        <v>502</v>
      </c>
      <c r="Y356" s="21" t="s">
        <v>503</v>
      </c>
      <c r="Z356" s="21">
        <v>3035680170</v>
      </c>
      <c r="AA356" s="26">
        <v>42746</v>
      </c>
      <c r="AB356" s="26">
        <v>42748</v>
      </c>
      <c r="AC356" s="21" t="s">
        <v>504</v>
      </c>
      <c r="AD356" s="21" t="s">
        <v>505</v>
      </c>
      <c r="AE356" s="21" t="s">
        <v>500</v>
      </c>
      <c r="AF356" s="21" t="s">
        <v>506</v>
      </c>
      <c r="AG356" s="21" t="s">
        <v>1685</v>
      </c>
      <c r="AH356" s="21" t="s">
        <v>1686</v>
      </c>
      <c r="AI356" s="21" t="s">
        <v>4481</v>
      </c>
      <c r="AJ356" s="21" t="s">
        <v>526</v>
      </c>
      <c r="AK356" s="21" t="s">
        <v>494</v>
      </c>
      <c r="AL356" s="21" t="s">
        <v>527</v>
      </c>
      <c r="AM356" s="21" t="s">
        <v>527</v>
      </c>
      <c r="AN356" s="21" t="s">
        <v>527</v>
      </c>
      <c r="AO356" s="21" t="s">
        <v>528</v>
      </c>
      <c r="AS356" s="21" t="s">
        <v>511</v>
      </c>
      <c r="AT356" s="21" t="s">
        <v>512</v>
      </c>
      <c r="AW356" s="21">
        <v>0</v>
      </c>
      <c r="AX356" s="21">
        <v>7</v>
      </c>
      <c r="AY356" s="26"/>
      <c r="AZ356" s="26"/>
      <c r="BB356" s="26"/>
      <c r="BC356" s="21" t="s">
        <v>513</v>
      </c>
      <c r="BD356" s="21" t="s">
        <v>514</v>
      </c>
      <c r="BE356" s="21" t="s">
        <v>514</v>
      </c>
      <c r="BF356" s="21" t="s">
        <v>515</v>
      </c>
      <c r="BG356" s="21">
        <v>1</v>
      </c>
      <c r="BH356" s="21" t="s">
        <v>516</v>
      </c>
      <c r="BI356" s="21" t="s">
        <v>517</v>
      </c>
      <c r="BJ356" s="21" t="s">
        <v>516</v>
      </c>
      <c r="BK356" s="21" t="s">
        <v>516</v>
      </c>
      <c r="BM356" s="21" t="s">
        <v>13</v>
      </c>
      <c r="BN356" s="21" t="s">
        <v>56</v>
      </c>
      <c r="BO356" s="21" t="s">
        <v>518</v>
      </c>
      <c r="BP356" s="21" t="s">
        <v>519</v>
      </c>
      <c r="BQ356" s="21" t="s">
        <v>19</v>
      </c>
      <c r="BR356" s="21" t="s">
        <v>82</v>
      </c>
      <c r="BS356" s="21" t="s">
        <v>518</v>
      </c>
      <c r="BT356" s="21" t="s">
        <v>519</v>
      </c>
      <c r="BU356" s="21" t="s">
        <v>56</v>
      </c>
      <c r="CD356" s="21" t="s">
        <v>520</v>
      </c>
      <c r="CF356" s="21" t="s">
        <v>521</v>
      </c>
      <c r="CN356" s="26"/>
      <c r="DB356" s="24" t="s">
        <v>943</v>
      </c>
      <c r="DC356" s="21">
        <v>1</v>
      </c>
      <c r="DD356" s="21">
        <v>3</v>
      </c>
      <c r="DE356" s="22">
        <v>42754</v>
      </c>
      <c r="DF356" s="21" t="s">
        <v>4482</v>
      </c>
      <c r="DG356" s="21" t="s">
        <v>522</v>
      </c>
      <c r="DH356" s="21" t="s">
        <v>4483</v>
      </c>
      <c r="DI356" s="21" t="s">
        <v>495</v>
      </c>
      <c r="DJ356" s="21" t="s">
        <v>523</v>
      </c>
      <c r="DK356" s="26"/>
      <c r="DL356" s="26">
        <v>42760</v>
      </c>
      <c r="DM356" s="26">
        <v>42750</v>
      </c>
      <c r="DN356" s="21">
        <v>3100</v>
      </c>
      <c r="DO356" s="21">
        <v>10</v>
      </c>
      <c r="DP356" s="21">
        <v>1</v>
      </c>
      <c r="DQ356" s="21">
        <v>1</v>
      </c>
      <c r="DR356" s="21">
        <v>7</v>
      </c>
      <c r="DS356" s="21">
        <v>9</v>
      </c>
      <c r="DT356" s="21">
        <v>10</v>
      </c>
      <c r="DU356" s="21">
        <v>10</v>
      </c>
      <c r="DW356" s="21">
        <v>10</v>
      </c>
      <c r="EA356" s="21">
        <v>10</v>
      </c>
      <c r="EB356" s="21" t="s">
        <v>4484</v>
      </c>
      <c r="EF356" s="25">
        <v>1</v>
      </c>
      <c r="EG356" s="25">
        <v>0</v>
      </c>
      <c r="EH356" s="25">
        <v>1</v>
      </c>
      <c r="EI356" s="25">
        <v>0</v>
      </c>
      <c r="EJ356" s="25" t="s">
        <v>62</v>
      </c>
      <c r="EK356" s="25" t="s">
        <v>57</v>
      </c>
      <c r="EL356" s="25" t="s">
        <v>83</v>
      </c>
      <c r="EM356" s="25" t="s">
        <v>276</v>
      </c>
      <c r="EN356" s="25" t="s">
        <v>9</v>
      </c>
      <c r="EO356" s="25" t="s">
        <v>9</v>
      </c>
      <c r="EP356" s="25" t="s">
        <v>62</v>
      </c>
      <c r="EQ356" s="25" t="s">
        <v>62</v>
      </c>
      <c r="ER356" s="25" t="s">
        <v>278</v>
      </c>
      <c r="ES356" s="25" t="s">
        <v>278</v>
      </c>
      <c r="ET356" s="25">
        <v>1</v>
      </c>
      <c r="EU356" s="25" t="s">
        <v>522</v>
      </c>
      <c r="EV356" s="25" t="s">
        <v>279</v>
      </c>
      <c r="EW356" s="25" t="s">
        <v>279</v>
      </c>
      <c r="EX356" s="25" t="s">
        <v>279</v>
      </c>
      <c r="EY356" s="20" t="e">
        <v>#N/A</v>
      </c>
    </row>
    <row r="357" spans="1:155">
      <c r="A357" s="21" t="s">
        <v>491</v>
      </c>
      <c r="B357" s="21" t="s">
        <v>491</v>
      </c>
      <c r="C357" s="21" t="s">
        <v>492</v>
      </c>
      <c r="D357" s="21" t="s">
        <v>493</v>
      </c>
      <c r="E357" s="21" t="s">
        <v>493</v>
      </c>
      <c r="F357" s="21" t="s">
        <v>493</v>
      </c>
      <c r="G357" s="21" t="s">
        <v>4485</v>
      </c>
      <c r="H357" s="21" t="s">
        <v>4486</v>
      </c>
      <c r="I357" s="21" t="s">
        <v>494</v>
      </c>
      <c r="J357" s="21" t="s">
        <v>4487</v>
      </c>
      <c r="L357" s="21" t="s">
        <v>495</v>
      </c>
      <c r="M357" s="21" t="s">
        <v>494</v>
      </c>
      <c r="N357" s="21" t="s">
        <v>494</v>
      </c>
      <c r="O357" s="21" t="s">
        <v>514</v>
      </c>
      <c r="P357" s="21" t="s">
        <v>595</v>
      </c>
      <c r="R357" s="21" t="s">
        <v>494</v>
      </c>
      <c r="S357" s="21" t="s">
        <v>494</v>
      </c>
      <c r="V357" s="21" t="s">
        <v>514</v>
      </c>
      <c r="W357" s="21" t="s">
        <v>514</v>
      </c>
      <c r="X357" s="21" t="s">
        <v>514</v>
      </c>
      <c r="Y357" s="21" t="s">
        <v>514</v>
      </c>
      <c r="Z357" s="21">
        <v>3035714383</v>
      </c>
      <c r="AA357" s="26">
        <v>42747</v>
      </c>
      <c r="AB357" s="26">
        <v>42748</v>
      </c>
      <c r="AC357" s="21" t="s">
        <v>504</v>
      </c>
      <c r="AD357" s="21" t="s">
        <v>512</v>
      </c>
      <c r="AE357" s="21" t="s">
        <v>540</v>
      </c>
      <c r="AF357" s="21" t="s">
        <v>3248</v>
      </c>
      <c r="AG357" s="21" t="s">
        <v>3747</v>
      </c>
      <c r="AH357" s="21" t="s">
        <v>3748</v>
      </c>
      <c r="AI357" s="21" t="s">
        <v>2534</v>
      </c>
      <c r="AJ357" s="21" t="s">
        <v>3249</v>
      </c>
      <c r="AK357" s="21" t="s">
        <v>494</v>
      </c>
      <c r="AM357" s="21" t="s">
        <v>586</v>
      </c>
      <c r="AN357" s="21" t="s">
        <v>586</v>
      </c>
      <c r="AO357" s="21" t="s">
        <v>586</v>
      </c>
      <c r="AS357" s="21" t="s">
        <v>511</v>
      </c>
      <c r="AT357" s="21" t="s">
        <v>532</v>
      </c>
      <c r="AX357" s="21">
        <v>1</v>
      </c>
      <c r="AY357" s="26"/>
      <c r="AZ357" s="26"/>
      <c r="BB357" s="26"/>
      <c r="BC357" s="21" t="s">
        <v>513</v>
      </c>
      <c r="BD357" s="21" t="s">
        <v>514</v>
      </c>
      <c r="BE357" s="21" t="s">
        <v>514</v>
      </c>
      <c r="BF357" s="21" t="s">
        <v>515</v>
      </c>
      <c r="BG357" s="21">
        <v>1</v>
      </c>
      <c r="BH357" s="21" t="s">
        <v>516</v>
      </c>
      <c r="BI357" s="21" t="s">
        <v>517</v>
      </c>
      <c r="BJ357" s="21" t="s">
        <v>516</v>
      </c>
      <c r="BK357" s="21" t="s">
        <v>516</v>
      </c>
      <c r="BN357" s="21" t="s">
        <v>4488</v>
      </c>
      <c r="BR357" s="21" t="s">
        <v>4488</v>
      </c>
      <c r="BT357" s="21" t="s">
        <v>547</v>
      </c>
      <c r="BU357" s="21" t="s">
        <v>4488</v>
      </c>
      <c r="CD357" s="21" t="s">
        <v>520</v>
      </c>
      <c r="CF357" s="21" t="s">
        <v>534</v>
      </c>
      <c r="CG357" s="21" t="s">
        <v>515</v>
      </c>
      <c r="CH357" s="21" t="s">
        <v>543</v>
      </c>
      <c r="CI357" s="21" t="s">
        <v>596</v>
      </c>
      <c r="CJ357" s="21" t="s">
        <v>2538</v>
      </c>
      <c r="CL357" s="21" t="s">
        <v>4489</v>
      </c>
      <c r="CM357" s="21">
        <v>3035714400</v>
      </c>
      <c r="CN357" s="26">
        <v>42747</v>
      </c>
      <c r="CO357" s="21" t="s">
        <v>537</v>
      </c>
      <c r="CP357" s="21" t="s">
        <v>516</v>
      </c>
      <c r="CR357" s="21" t="s">
        <v>4490</v>
      </c>
      <c r="CS357" s="21" t="s">
        <v>516</v>
      </c>
      <c r="CU357" s="21" t="s">
        <v>4490</v>
      </c>
      <c r="CV357" s="21" t="s">
        <v>4490</v>
      </c>
      <c r="CW357" s="21" t="s">
        <v>547</v>
      </c>
      <c r="CX357" s="21" t="s">
        <v>4490</v>
      </c>
      <c r="CY357" s="21" t="s">
        <v>516</v>
      </c>
      <c r="CZ357" s="21" t="s">
        <v>547</v>
      </c>
      <c r="DA357" s="21" t="s">
        <v>516</v>
      </c>
      <c r="DB357" s="24" t="s">
        <v>943</v>
      </c>
      <c r="DC357" s="21">
        <v>1</v>
      </c>
      <c r="DD357" s="21">
        <v>3</v>
      </c>
      <c r="DE357" s="22">
        <v>42754</v>
      </c>
      <c r="DF357" s="21" t="s">
        <v>4491</v>
      </c>
      <c r="DG357" s="21" t="s">
        <v>538</v>
      </c>
      <c r="DH357" s="21" t="s">
        <v>4492</v>
      </c>
      <c r="DI357" s="21" t="s">
        <v>495</v>
      </c>
      <c r="DJ357" s="21" t="s">
        <v>523</v>
      </c>
      <c r="DK357" s="26"/>
      <c r="DL357" s="26">
        <v>42760</v>
      </c>
      <c r="DM357" s="26">
        <v>42750</v>
      </c>
      <c r="DN357" s="21">
        <v>2500</v>
      </c>
      <c r="DO357" s="21">
        <v>6</v>
      </c>
      <c r="DP357" s="21">
        <v>1</v>
      </c>
      <c r="DQ357" s="21">
        <v>2</v>
      </c>
      <c r="DR357" s="21">
        <v>2</v>
      </c>
      <c r="DS357" s="21">
        <v>6</v>
      </c>
      <c r="DT357" s="21">
        <v>6</v>
      </c>
      <c r="DU357" s="21">
        <v>6</v>
      </c>
      <c r="DW357" s="21">
        <v>0</v>
      </c>
      <c r="DY357" s="21">
        <v>0</v>
      </c>
      <c r="EA357" s="21">
        <v>0</v>
      </c>
      <c r="EB357" s="21" t="s">
        <v>4493</v>
      </c>
      <c r="EF357" s="25">
        <v>0</v>
      </c>
      <c r="EG357" s="25">
        <v>1</v>
      </c>
      <c r="EH357" s="25">
        <v>0</v>
      </c>
      <c r="EI357" s="25">
        <v>0</v>
      </c>
      <c r="EJ357" s="25" t="s">
        <v>597</v>
      </c>
      <c r="EK357" s="25" t="s">
        <v>616</v>
      </c>
      <c r="EL357" s="25" t="s">
        <v>616</v>
      </c>
      <c r="EM357" s="25" t="s">
        <v>276</v>
      </c>
      <c r="EN357" s="25" t="s">
        <v>271</v>
      </c>
      <c r="EO357" s="25" t="s">
        <v>271</v>
      </c>
      <c r="EP357" s="25" t="s">
        <v>548</v>
      </c>
      <c r="EQ357" s="25" t="s">
        <v>548</v>
      </c>
      <c r="ER357" s="25" t="s">
        <v>278</v>
      </c>
      <c r="ES357" s="25" t="s">
        <v>278</v>
      </c>
      <c r="ET357" s="25">
        <v>1</v>
      </c>
      <c r="EU357" s="25" t="s">
        <v>522</v>
      </c>
      <c r="EV357" s="25" t="s">
        <v>616</v>
      </c>
      <c r="EW357" s="25" t="s">
        <v>271</v>
      </c>
      <c r="EX357" s="25" t="s">
        <v>278</v>
      </c>
      <c r="EY357" s="20" t="e">
        <v>#N/A</v>
      </c>
    </row>
    <row r="358" spans="1:155">
      <c r="A358" s="21" t="s">
        <v>491</v>
      </c>
      <c r="B358" s="21" t="s">
        <v>491</v>
      </c>
      <c r="C358" s="21" t="s">
        <v>492</v>
      </c>
      <c r="D358" s="21" t="s">
        <v>493</v>
      </c>
      <c r="E358" s="21" t="s">
        <v>493</v>
      </c>
      <c r="F358" s="21" t="s">
        <v>493</v>
      </c>
      <c r="G358" s="21" t="s">
        <v>4494</v>
      </c>
      <c r="H358" s="21">
        <v>4432453736</v>
      </c>
      <c r="I358" s="21" t="s">
        <v>494</v>
      </c>
      <c r="J358" s="21" t="s">
        <v>4495</v>
      </c>
      <c r="L358" s="21" t="s">
        <v>495</v>
      </c>
      <c r="M358" s="21" t="s">
        <v>4496</v>
      </c>
      <c r="N358" s="21" t="s">
        <v>1634</v>
      </c>
      <c r="O358" s="21" t="s">
        <v>144</v>
      </c>
      <c r="P358" s="21" t="s">
        <v>1635</v>
      </c>
      <c r="R358" s="21" t="s">
        <v>1816</v>
      </c>
      <c r="S358" s="21" t="s">
        <v>1637</v>
      </c>
      <c r="V358" s="21" t="s">
        <v>500</v>
      </c>
      <c r="W358" s="21" t="s">
        <v>501</v>
      </c>
      <c r="X358" s="21" t="s">
        <v>502</v>
      </c>
      <c r="Y358" s="21" t="s">
        <v>554</v>
      </c>
      <c r="Z358" s="21">
        <v>3035750965</v>
      </c>
      <c r="AA358" s="26">
        <v>42748</v>
      </c>
      <c r="AB358" s="26">
        <v>42748</v>
      </c>
      <c r="AC358" s="21" t="s">
        <v>504</v>
      </c>
      <c r="AD358" s="21" t="s">
        <v>505</v>
      </c>
      <c r="AE358" s="21" t="s">
        <v>500</v>
      </c>
      <c r="AF358" s="21" t="s">
        <v>549</v>
      </c>
      <c r="AG358" s="21" t="s">
        <v>555</v>
      </c>
      <c r="AH358" s="21" t="s">
        <v>556</v>
      </c>
      <c r="AI358" s="21" t="s">
        <v>2070</v>
      </c>
      <c r="AJ358" s="21" t="s">
        <v>526</v>
      </c>
      <c r="AK358" s="21" t="s">
        <v>494</v>
      </c>
      <c r="AL358" s="21" t="s">
        <v>527</v>
      </c>
      <c r="AM358" s="21" t="s">
        <v>527</v>
      </c>
      <c r="AN358" s="21" t="s">
        <v>527</v>
      </c>
      <c r="AO358" s="21" t="s">
        <v>528</v>
      </c>
      <c r="AS358" s="21" t="s">
        <v>511</v>
      </c>
      <c r="AT358" s="21" t="s">
        <v>512</v>
      </c>
      <c r="AW358" s="21">
        <v>0</v>
      </c>
      <c r="AX358" s="21">
        <v>3</v>
      </c>
      <c r="AY358" s="26"/>
      <c r="AZ358" s="26"/>
      <c r="BB358" s="26"/>
      <c r="BC358" s="21" t="s">
        <v>513</v>
      </c>
      <c r="BD358" s="21" t="s">
        <v>514</v>
      </c>
      <c r="BE358" s="21" t="s">
        <v>514</v>
      </c>
      <c r="BF358" s="21" t="s">
        <v>515</v>
      </c>
      <c r="BG358" s="21">
        <v>1</v>
      </c>
      <c r="BH358" s="21" t="s">
        <v>516</v>
      </c>
      <c r="BI358" s="21" t="s">
        <v>517</v>
      </c>
      <c r="BJ358" s="21" t="s">
        <v>516</v>
      </c>
      <c r="BK358" s="21" t="s">
        <v>516</v>
      </c>
      <c r="BM358" s="21" t="s">
        <v>49</v>
      </c>
      <c r="BN358" s="21" t="s">
        <v>261</v>
      </c>
      <c r="BO358" s="21" t="s">
        <v>518</v>
      </c>
      <c r="BP358" s="21" t="s">
        <v>519</v>
      </c>
      <c r="BQ358" s="21" t="s">
        <v>49</v>
      </c>
      <c r="BR358" s="21" t="s">
        <v>261</v>
      </c>
      <c r="BS358" s="21" t="s">
        <v>518</v>
      </c>
      <c r="BT358" s="21" t="s">
        <v>519</v>
      </c>
      <c r="BU358" s="21" t="s">
        <v>261</v>
      </c>
      <c r="CD358" s="21" t="s">
        <v>520</v>
      </c>
      <c r="CF358" s="21" t="s">
        <v>521</v>
      </c>
      <c r="CN358" s="26"/>
      <c r="DB358" s="24" t="s">
        <v>943</v>
      </c>
      <c r="DC358" s="21">
        <v>1</v>
      </c>
      <c r="DD358" s="21">
        <v>3</v>
      </c>
      <c r="DE358" s="22">
        <v>42754</v>
      </c>
      <c r="DF358" s="21" t="s">
        <v>4497</v>
      </c>
      <c r="DG358" s="21" t="s">
        <v>522</v>
      </c>
      <c r="DH358" s="21" t="s">
        <v>4498</v>
      </c>
      <c r="DI358" s="21" t="s">
        <v>495</v>
      </c>
      <c r="DJ358" s="21" t="s">
        <v>523</v>
      </c>
      <c r="DK358" s="26"/>
      <c r="DL358" s="26">
        <v>42760</v>
      </c>
      <c r="DM358" s="26">
        <v>42750</v>
      </c>
      <c r="DN358" s="21">
        <v>3100</v>
      </c>
      <c r="DO358" s="21">
        <v>10</v>
      </c>
      <c r="DP358" s="21">
        <v>1</v>
      </c>
      <c r="DQ358" s="21">
        <v>1</v>
      </c>
      <c r="DR358" s="21">
        <v>7</v>
      </c>
      <c r="DS358" s="21">
        <v>10</v>
      </c>
      <c r="DT358" s="21">
        <v>10</v>
      </c>
      <c r="DU358" s="21">
        <v>10</v>
      </c>
      <c r="DW358" s="21">
        <v>8</v>
      </c>
      <c r="EA358" s="21">
        <v>9</v>
      </c>
      <c r="EB358" s="21" t="s">
        <v>4499</v>
      </c>
      <c r="EF358" s="25">
        <v>1</v>
      </c>
      <c r="EG358" s="25">
        <v>0</v>
      </c>
      <c r="EH358" s="25">
        <v>1</v>
      </c>
      <c r="EI358" s="25">
        <v>0</v>
      </c>
      <c r="EJ358" s="25" t="s">
        <v>62</v>
      </c>
      <c r="EK358" s="25" t="s">
        <v>276</v>
      </c>
      <c r="EL358" s="25" t="s">
        <v>276</v>
      </c>
      <c r="EM358" s="25" t="s">
        <v>276</v>
      </c>
      <c r="EN358" s="25" t="s">
        <v>276</v>
      </c>
      <c r="EO358" s="25" t="s">
        <v>276</v>
      </c>
      <c r="EP358" s="25" t="s">
        <v>276</v>
      </c>
      <c r="EQ358" s="25" t="s">
        <v>276</v>
      </c>
      <c r="ER358" s="25" t="s">
        <v>276</v>
      </c>
      <c r="ES358" s="25" t="s">
        <v>276</v>
      </c>
      <c r="ET358" s="25">
        <v>1</v>
      </c>
      <c r="EU358" s="25" t="s">
        <v>522</v>
      </c>
      <c r="EV358" s="25" t="s">
        <v>276</v>
      </c>
      <c r="EW358" s="25" t="s">
        <v>276</v>
      </c>
      <c r="EX358" s="25" t="s">
        <v>276</v>
      </c>
      <c r="EY358" s="20" t="s">
        <v>273</v>
      </c>
    </row>
    <row r="359" spans="1:155">
      <c r="A359" s="21" t="s">
        <v>491</v>
      </c>
      <c r="B359" s="21" t="s">
        <v>491</v>
      </c>
      <c r="C359" s="21" t="s">
        <v>492</v>
      </c>
      <c r="D359" s="21" t="s">
        <v>493</v>
      </c>
      <c r="E359" s="21" t="s">
        <v>493</v>
      </c>
      <c r="F359" s="21" t="s">
        <v>493</v>
      </c>
      <c r="G359" s="21" t="s">
        <v>4500</v>
      </c>
      <c r="H359" s="21" t="s">
        <v>4501</v>
      </c>
      <c r="I359" s="21">
        <v>83991625499</v>
      </c>
      <c r="J359" s="21" t="s">
        <v>4502</v>
      </c>
      <c r="L359" s="21" t="s">
        <v>495</v>
      </c>
      <c r="M359" s="21" t="s">
        <v>4503</v>
      </c>
      <c r="N359" s="21" t="s">
        <v>3440</v>
      </c>
      <c r="O359" s="21" t="s">
        <v>97</v>
      </c>
      <c r="P359" s="21" t="s">
        <v>1040</v>
      </c>
      <c r="R359" s="21" t="s">
        <v>3441</v>
      </c>
      <c r="S359" s="21" t="s">
        <v>3442</v>
      </c>
      <c r="V359" s="21" t="s">
        <v>500</v>
      </c>
      <c r="W359" s="21" t="s">
        <v>501</v>
      </c>
      <c r="X359" s="21" t="s">
        <v>502</v>
      </c>
      <c r="Y359" s="21" t="s">
        <v>503</v>
      </c>
      <c r="Z359" s="21">
        <v>3035481247</v>
      </c>
      <c r="AA359" s="26">
        <v>42739</v>
      </c>
      <c r="AB359" s="26">
        <v>42748</v>
      </c>
      <c r="AC359" s="21" t="s">
        <v>504</v>
      </c>
      <c r="AD359" s="21" t="s">
        <v>505</v>
      </c>
      <c r="AE359" s="21" t="s">
        <v>500</v>
      </c>
      <c r="AF359" s="21" t="s">
        <v>506</v>
      </c>
      <c r="AG359" s="21" t="s">
        <v>1079</v>
      </c>
      <c r="AH359" s="21" t="s">
        <v>1080</v>
      </c>
      <c r="AI359" s="21" t="s">
        <v>1332</v>
      </c>
      <c r="AJ359" s="21" t="s">
        <v>507</v>
      </c>
      <c r="AK359" s="21" t="s">
        <v>494</v>
      </c>
      <c r="AL359" s="21" t="s">
        <v>508</v>
      </c>
      <c r="AM359" s="21" t="s">
        <v>509</v>
      </c>
      <c r="AN359" s="21" t="s">
        <v>509</v>
      </c>
      <c r="AO359" s="21" t="s">
        <v>510</v>
      </c>
      <c r="AS359" s="21" t="s">
        <v>1418</v>
      </c>
      <c r="AT359" s="21" t="s">
        <v>512</v>
      </c>
      <c r="AW359" s="21">
        <v>0</v>
      </c>
      <c r="AX359" s="21">
        <v>16</v>
      </c>
      <c r="AY359" s="26"/>
      <c r="AZ359" s="26"/>
      <c r="BB359" s="26"/>
      <c r="BC359" s="21" t="s">
        <v>513</v>
      </c>
      <c r="BD359" s="21" t="s">
        <v>514</v>
      </c>
      <c r="BE359" s="21" t="s">
        <v>514</v>
      </c>
      <c r="BF359" s="21" t="s">
        <v>515</v>
      </c>
      <c r="BG359" s="21">
        <v>1</v>
      </c>
      <c r="BH359" s="21" t="s">
        <v>516</v>
      </c>
      <c r="BI359" s="21" t="s">
        <v>517</v>
      </c>
      <c r="BJ359" s="21" t="s">
        <v>516</v>
      </c>
      <c r="BK359" s="21" t="s">
        <v>516</v>
      </c>
      <c r="BM359" s="21" t="s">
        <v>591</v>
      </c>
      <c r="BN359" s="21" t="s">
        <v>131</v>
      </c>
      <c r="BO359" s="21" t="s">
        <v>518</v>
      </c>
      <c r="BP359" s="21" t="s">
        <v>519</v>
      </c>
      <c r="BQ359" s="21" t="s">
        <v>47</v>
      </c>
      <c r="BR359" s="21" t="s">
        <v>139</v>
      </c>
      <c r="BS359" s="21" t="s">
        <v>518</v>
      </c>
      <c r="BT359" s="21" t="s">
        <v>1044</v>
      </c>
      <c r="BU359" s="21" t="s">
        <v>131</v>
      </c>
      <c r="CD359" s="21" t="s">
        <v>520</v>
      </c>
      <c r="CF359" s="21" t="s">
        <v>521</v>
      </c>
      <c r="CN359" s="26"/>
      <c r="DB359" s="24" t="s">
        <v>943</v>
      </c>
      <c r="DC359" s="21">
        <v>1</v>
      </c>
      <c r="DD359" s="21">
        <v>3</v>
      </c>
      <c r="DE359" s="22">
        <v>42754</v>
      </c>
      <c r="DF359" s="21" t="s">
        <v>4504</v>
      </c>
      <c r="DG359" s="21" t="s">
        <v>522</v>
      </c>
      <c r="DH359" s="21" t="s">
        <v>4505</v>
      </c>
      <c r="DI359" s="21" t="s">
        <v>495</v>
      </c>
      <c r="DJ359" s="21" t="s">
        <v>523</v>
      </c>
      <c r="DK359" s="26"/>
      <c r="DL359" s="26">
        <v>42760</v>
      </c>
      <c r="DM359" s="26">
        <v>42750</v>
      </c>
      <c r="DN359" s="21">
        <v>3100</v>
      </c>
      <c r="DO359" s="21">
        <v>8</v>
      </c>
      <c r="DP359" s="21">
        <v>2</v>
      </c>
      <c r="DQ359" s="21">
        <v>2</v>
      </c>
      <c r="DR359" s="21">
        <v>6</v>
      </c>
      <c r="DS359" s="21">
        <v>10</v>
      </c>
      <c r="DT359" s="21">
        <v>10</v>
      </c>
      <c r="DU359" s="21">
        <v>5</v>
      </c>
      <c r="DW359" s="21">
        <v>8</v>
      </c>
      <c r="EA359" s="21">
        <v>7</v>
      </c>
      <c r="EF359" s="25">
        <v>0</v>
      </c>
      <c r="EG359" s="25">
        <v>0</v>
      </c>
      <c r="EH359" s="25">
        <v>0</v>
      </c>
      <c r="EI359" s="25">
        <v>0</v>
      </c>
      <c r="EJ359" s="25" t="s">
        <v>62</v>
      </c>
      <c r="EK359" s="25" t="s">
        <v>132</v>
      </c>
      <c r="EL359" s="25" t="s">
        <v>140</v>
      </c>
      <c r="EM359" s="25" t="s">
        <v>276</v>
      </c>
      <c r="EN359" s="25" t="s">
        <v>23</v>
      </c>
      <c r="EO359" s="25" t="s">
        <v>23</v>
      </c>
      <c r="EP359" s="25" t="s">
        <v>62</v>
      </c>
      <c r="EQ359" s="25" t="s">
        <v>529</v>
      </c>
      <c r="ER359" s="25" t="s">
        <v>278</v>
      </c>
      <c r="ES359" s="25" t="s">
        <v>278</v>
      </c>
      <c r="ET359" s="25">
        <v>1</v>
      </c>
      <c r="EU359" s="25" t="s">
        <v>522</v>
      </c>
      <c r="EV359" s="25" t="s">
        <v>279</v>
      </c>
      <c r="EW359" s="25" t="s">
        <v>279</v>
      </c>
      <c r="EX359" s="25" t="s">
        <v>279</v>
      </c>
      <c r="EY359" s="20" t="e">
        <v>#N/A</v>
      </c>
    </row>
    <row r="360" spans="1:155">
      <c r="A360" s="21" t="s">
        <v>491</v>
      </c>
      <c r="B360" s="21" t="s">
        <v>491</v>
      </c>
      <c r="C360" s="21" t="s">
        <v>492</v>
      </c>
      <c r="D360" s="21" t="s">
        <v>493</v>
      </c>
      <c r="E360" s="21" t="s">
        <v>493</v>
      </c>
      <c r="F360" s="21" t="s">
        <v>493</v>
      </c>
      <c r="G360" s="21" t="s">
        <v>4506</v>
      </c>
      <c r="H360" s="21" t="s">
        <v>4507</v>
      </c>
      <c r="I360" s="21" t="s">
        <v>494</v>
      </c>
      <c r="J360" s="21" t="s">
        <v>4508</v>
      </c>
      <c r="L360" s="21" t="s">
        <v>495</v>
      </c>
      <c r="M360" s="21" t="s">
        <v>4509</v>
      </c>
      <c r="N360" s="21" t="s">
        <v>573</v>
      </c>
      <c r="O360" s="21" t="s">
        <v>58</v>
      </c>
      <c r="P360" s="21" t="s">
        <v>557</v>
      </c>
      <c r="R360" s="21" t="s">
        <v>574</v>
      </c>
      <c r="S360" s="21" t="s">
        <v>575</v>
      </c>
      <c r="V360" s="21" t="s">
        <v>500</v>
      </c>
      <c r="W360" s="21" t="s">
        <v>501</v>
      </c>
      <c r="X360" s="21" t="s">
        <v>502</v>
      </c>
      <c r="Y360" s="21" t="s">
        <v>558</v>
      </c>
      <c r="Z360" s="21">
        <v>3035544764</v>
      </c>
      <c r="AA360" s="26">
        <v>42741</v>
      </c>
      <c r="AB360" s="26">
        <v>42748</v>
      </c>
      <c r="AC360" s="21" t="s">
        <v>504</v>
      </c>
      <c r="AD360" s="21" t="s">
        <v>505</v>
      </c>
      <c r="AE360" s="21" t="s">
        <v>500</v>
      </c>
      <c r="AF360" s="21" t="s">
        <v>549</v>
      </c>
      <c r="AG360" s="21" t="s">
        <v>555</v>
      </c>
      <c r="AH360" s="21" t="s">
        <v>556</v>
      </c>
      <c r="AI360" s="21" t="s">
        <v>4510</v>
      </c>
      <c r="AJ360" s="21" t="s">
        <v>526</v>
      </c>
      <c r="AK360" s="21" t="s">
        <v>494</v>
      </c>
      <c r="AL360" s="21" t="s">
        <v>527</v>
      </c>
      <c r="AM360" s="21" t="s">
        <v>527</v>
      </c>
      <c r="AN360" s="21" t="s">
        <v>527</v>
      </c>
      <c r="AO360" s="21" t="s">
        <v>528</v>
      </c>
      <c r="AT360" s="21" t="s">
        <v>512</v>
      </c>
      <c r="AW360" s="21">
        <v>0</v>
      </c>
      <c r="AX360" s="21">
        <v>4</v>
      </c>
      <c r="AY360" s="26"/>
      <c r="AZ360" s="26"/>
      <c r="BB360" s="26"/>
      <c r="BC360" s="21" t="s">
        <v>513</v>
      </c>
      <c r="BD360" s="21" t="s">
        <v>514</v>
      </c>
      <c r="BE360" s="21" t="s">
        <v>514</v>
      </c>
      <c r="BF360" s="21" t="s">
        <v>515</v>
      </c>
      <c r="BG360" s="21">
        <v>1</v>
      </c>
      <c r="BH360" s="21" t="s">
        <v>516</v>
      </c>
      <c r="BI360" s="21" t="s">
        <v>517</v>
      </c>
      <c r="BJ360" s="21" t="s">
        <v>516</v>
      </c>
      <c r="BK360" s="21" t="s">
        <v>516</v>
      </c>
      <c r="BM360" s="21" t="s">
        <v>28</v>
      </c>
      <c r="BN360" s="21" t="s">
        <v>158</v>
      </c>
      <c r="BO360" s="21" t="s">
        <v>518</v>
      </c>
      <c r="BP360" s="21" t="s">
        <v>519</v>
      </c>
      <c r="BQ360" s="21" t="s">
        <v>28</v>
      </c>
      <c r="BR360" s="21" t="s">
        <v>158</v>
      </c>
      <c r="BS360" s="21" t="s">
        <v>518</v>
      </c>
      <c r="BT360" s="21" t="s">
        <v>519</v>
      </c>
      <c r="BU360" s="21" t="s">
        <v>158</v>
      </c>
      <c r="CD360" s="21" t="s">
        <v>520</v>
      </c>
      <c r="CF360" s="21" t="s">
        <v>521</v>
      </c>
      <c r="CN360" s="26"/>
      <c r="DB360" s="24" t="s">
        <v>943</v>
      </c>
      <c r="DC360" s="21">
        <v>1</v>
      </c>
      <c r="DD360" s="21">
        <v>3</v>
      </c>
      <c r="DE360" s="22">
        <v>42754</v>
      </c>
      <c r="DF360" s="21" t="s">
        <v>4511</v>
      </c>
      <c r="DG360" s="21" t="s">
        <v>522</v>
      </c>
      <c r="DH360" s="21" t="s">
        <v>4512</v>
      </c>
      <c r="DI360" s="21" t="s">
        <v>495</v>
      </c>
      <c r="DJ360" s="21" t="s">
        <v>523</v>
      </c>
      <c r="DK360" s="26"/>
      <c r="DL360" s="26">
        <v>42760</v>
      </c>
      <c r="DM360" s="26">
        <v>42750</v>
      </c>
      <c r="DN360" s="21">
        <v>3100</v>
      </c>
      <c r="DO360" s="21">
        <v>2</v>
      </c>
      <c r="DP360" s="21">
        <v>2</v>
      </c>
      <c r="DQ360" s="21">
        <v>2</v>
      </c>
      <c r="DR360" s="21">
        <v>1</v>
      </c>
      <c r="DS360" s="21">
        <v>99</v>
      </c>
      <c r="DT360" s="21">
        <v>8</v>
      </c>
      <c r="DU360" s="21">
        <v>8</v>
      </c>
      <c r="DW360" s="21">
        <v>8</v>
      </c>
      <c r="EA360" s="21">
        <v>0</v>
      </c>
      <c r="EB360" s="21" t="s">
        <v>4513</v>
      </c>
      <c r="EF360" s="25">
        <v>0</v>
      </c>
      <c r="EG360" s="25">
        <v>1</v>
      </c>
      <c r="EH360" s="25">
        <v>0</v>
      </c>
      <c r="EI360" s="25">
        <v>1</v>
      </c>
      <c r="EJ360" s="25" t="s">
        <v>62</v>
      </c>
      <c r="EK360" s="25" t="s">
        <v>159</v>
      </c>
      <c r="EL360" s="25" t="s">
        <v>159</v>
      </c>
      <c r="EM360" s="25" t="s">
        <v>276</v>
      </c>
      <c r="EN360" s="25" t="s">
        <v>9</v>
      </c>
      <c r="EO360" s="25" t="s">
        <v>9</v>
      </c>
      <c r="EP360" s="25" t="s">
        <v>62</v>
      </c>
      <c r="EQ360" s="25" t="s">
        <v>62</v>
      </c>
      <c r="ER360" s="25" t="s">
        <v>278</v>
      </c>
      <c r="ES360" s="25" t="s">
        <v>278</v>
      </c>
      <c r="ET360" s="25">
        <v>1</v>
      </c>
      <c r="EU360" s="25" t="s">
        <v>522</v>
      </c>
      <c r="EV360" s="25" t="s">
        <v>159</v>
      </c>
      <c r="EW360" s="25" t="s">
        <v>9</v>
      </c>
      <c r="EX360" s="25" t="s">
        <v>278</v>
      </c>
      <c r="EY360" s="20" t="e">
        <v>#N/A</v>
      </c>
    </row>
    <row r="361" spans="1:155">
      <c r="A361" s="21" t="s">
        <v>491</v>
      </c>
      <c r="B361" s="21" t="s">
        <v>491</v>
      </c>
      <c r="C361" s="21" t="s">
        <v>492</v>
      </c>
      <c r="D361" s="21" t="s">
        <v>493</v>
      </c>
      <c r="E361" s="21" t="s">
        <v>493</v>
      </c>
      <c r="F361" s="21" t="s">
        <v>493</v>
      </c>
      <c r="G361" s="21" t="s">
        <v>4514</v>
      </c>
      <c r="H361" s="21">
        <v>21982298853</v>
      </c>
      <c r="I361" s="21" t="s">
        <v>494</v>
      </c>
      <c r="J361" s="21" t="s">
        <v>4515</v>
      </c>
      <c r="L361" s="21" t="s">
        <v>495</v>
      </c>
      <c r="M361" s="21" t="s">
        <v>4516</v>
      </c>
      <c r="N361" s="21" t="s">
        <v>576</v>
      </c>
      <c r="O361" s="21" t="s">
        <v>79</v>
      </c>
      <c r="P361" s="21" t="s">
        <v>570</v>
      </c>
      <c r="R361" s="21" t="s">
        <v>577</v>
      </c>
      <c r="S361" s="21" t="s">
        <v>578</v>
      </c>
      <c r="V361" s="21" t="s">
        <v>500</v>
      </c>
      <c r="W361" s="21" t="s">
        <v>501</v>
      </c>
      <c r="X361" s="21" t="s">
        <v>502</v>
      </c>
      <c r="Y361" s="21" t="s">
        <v>503</v>
      </c>
      <c r="Z361" s="21">
        <v>3035747577</v>
      </c>
      <c r="AA361" s="26">
        <v>42748</v>
      </c>
      <c r="AB361" s="26">
        <v>42748</v>
      </c>
      <c r="AC361" s="21" t="s">
        <v>504</v>
      </c>
      <c r="AD361" s="21" t="s">
        <v>505</v>
      </c>
      <c r="AE361" s="21" t="s">
        <v>500</v>
      </c>
      <c r="AF361" s="21" t="s">
        <v>549</v>
      </c>
      <c r="AG361" s="21" t="s">
        <v>555</v>
      </c>
      <c r="AH361" s="21" t="s">
        <v>556</v>
      </c>
      <c r="AI361" s="21" t="s">
        <v>4445</v>
      </c>
      <c r="AJ361" s="21" t="s">
        <v>526</v>
      </c>
      <c r="AK361" s="21" t="s">
        <v>494</v>
      </c>
      <c r="AL361" s="21" t="s">
        <v>527</v>
      </c>
      <c r="AM361" s="21" t="s">
        <v>527</v>
      </c>
      <c r="AN361" s="21" t="s">
        <v>527</v>
      </c>
      <c r="AO361" s="21" t="s">
        <v>528</v>
      </c>
      <c r="AS361" s="21" t="s">
        <v>511</v>
      </c>
      <c r="AT361" s="21" t="s">
        <v>512</v>
      </c>
      <c r="AW361" s="21">
        <v>0</v>
      </c>
      <c r="AX361" s="21">
        <v>2</v>
      </c>
      <c r="AY361" s="26"/>
      <c r="AZ361" s="26"/>
      <c r="BB361" s="26"/>
      <c r="BC361" s="21" t="s">
        <v>513</v>
      </c>
      <c r="BD361" s="21" t="s">
        <v>514</v>
      </c>
      <c r="BE361" s="21" t="s">
        <v>514</v>
      </c>
      <c r="BF361" s="21" t="s">
        <v>515</v>
      </c>
      <c r="BG361" s="21">
        <v>1</v>
      </c>
      <c r="BH361" s="21" t="s">
        <v>516</v>
      </c>
      <c r="BI361" s="21" t="s">
        <v>517</v>
      </c>
      <c r="BJ361" s="21" t="s">
        <v>516</v>
      </c>
      <c r="BK361" s="21" t="s">
        <v>516</v>
      </c>
      <c r="BM361" s="21" t="s">
        <v>32</v>
      </c>
      <c r="BN361" s="21" t="s">
        <v>202</v>
      </c>
      <c r="BO361" s="21" t="s">
        <v>518</v>
      </c>
      <c r="BP361" s="21" t="s">
        <v>519</v>
      </c>
      <c r="BQ361" s="21" t="s">
        <v>32</v>
      </c>
      <c r="BR361" s="21" t="s">
        <v>202</v>
      </c>
      <c r="BS361" s="21" t="s">
        <v>518</v>
      </c>
      <c r="BT361" s="21" t="s">
        <v>519</v>
      </c>
      <c r="BU361" s="21" t="s">
        <v>202</v>
      </c>
      <c r="CD361" s="21" t="s">
        <v>520</v>
      </c>
      <c r="CF361" s="21" t="s">
        <v>521</v>
      </c>
      <c r="CN361" s="26"/>
      <c r="DB361" s="24" t="s">
        <v>943</v>
      </c>
      <c r="DC361" s="21">
        <v>1</v>
      </c>
      <c r="DD361" s="21">
        <v>3</v>
      </c>
      <c r="DE361" s="22">
        <v>42754</v>
      </c>
      <c r="DF361" s="21" t="s">
        <v>4517</v>
      </c>
      <c r="DG361" s="21" t="s">
        <v>522</v>
      </c>
      <c r="DH361" s="21" t="s">
        <v>4518</v>
      </c>
      <c r="DI361" s="21" t="s">
        <v>495</v>
      </c>
      <c r="DJ361" s="21" t="s">
        <v>523</v>
      </c>
      <c r="DK361" s="26"/>
      <c r="DL361" s="26">
        <v>42760</v>
      </c>
      <c r="DM361" s="26">
        <v>42750</v>
      </c>
      <c r="DN361" s="21">
        <v>3100</v>
      </c>
      <c r="DO361" s="21">
        <v>10</v>
      </c>
      <c r="DP361" s="21">
        <v>1</v>
      </c>
      <c r="DQ361" s="21">
        <v>1</v>
      </c>
      <c r="DR361" s="21">
        <v>7</v>
      </c>
      <c r="DS361" s="21">
        <v>10</v>
      </c>
      <c r="DT361" s="21">
        <v>10</v>
      </c>
      <c r="DU361" s="21">
        <v>10</v>
      </c>
      <c r="DW361" s="21">
        <v>10</v>
      </c>
      <c r="EA361" s="21">
        <v>10</v>
      </c>
      <c r="EB361" s="21" t="s">
        <v>4519</v>
      </c>
      <c r="EF361" s="25">
        <v>1</v>
      </c>
      <c r="EG361" s="25">
        <v>0</v>
      </c>
      <c r="EH361" s="25">
        <v>1</v>
      </c>
      <c r="EI361" s="25">
        <v>0</v>
      </c>
      <c r="EJ361" s="25" t="s">
        <v>62</v>
      </c>
      <c r="EK361" s="25" t="s">
        <v>203</v>
      </c>
      <c r="EL361" s="25" t="s">
        <v>203</v>
      </c>
      <c r="EM361" s="25" t="s">
        <v>276</v>
      </c>
      <c r="EN361" s="25" t="s">
        <v>31</v>
      </c>
      <c r="EO361" s="25" t="s">
        <v>31</v>
      </c>
      <c r="EP361" s="25" t="s">
        <v>62</v>
      </c>
      <c r="EQ361" s="25" t="s">
        <v>62</v>
      </c>
      <c r="ER361" s="25" t="s">
        <v>278</v>
      </c>
      <c r="ES361" s="25" t="s">
        <v>278</v>
      </c>
      <c r="ET361" s="25">
        <v>1</v>
      </c>
      <c r="EU361" s="25" t="s">
        <v>522</v>
      </c>
      <c r="EV361" s="25" t="s">
        <v>203</v>
      </c>
      <c r="EW361" s="25" t="s">
        <v>31</v>
      </c>
      <c r="EX361" s="25" t="s">
        <v>278</v>
      </c>
      <c r="EY361" s="20" t="e">
        <v>#N/A</v>
      </c>
    </row>
    <row r="362" spans="1:155">
      <c r="A362" s="21" t="s">
        <v>491</v>
      </c>
      <c r="B362" s="21" t="s">
        <v>491</v>
      </c>
      <c r="C362" s="21" t="s">
        <v>492</v>
      </c>
      <c r="D362" s="21" t="s">
        <v>493</v>
      </c>
      <c r="E362" s="21" t="s">
        <v>493</v>
      </c>
      <c r="F362" s="21" t="s">
        <v>493</v>
      </c>
      <c r="G362" s="21" t="s">
        <v>4520</v>
      </c>
      <c r="H362" s="21" t="s">
        <v>4521</v>
      </c>
      <c r="I362" s="21" t="s">
        <v>494</v>
      </c>
      <c r="J362" s="21" t="s">
        <v>4522</v>
      </c>
      <c r="L362" s="21" t="s">
        <v>495</v>
      </c>
      <c r="M362" s="21" t="s">
        <v>4523</v>
      </c>
      <c r="N362" s="21" t="s">
        <v>573</v>
      </c>
      <c r="O362" s="21" t="s">
        <v>58</v>
      </c>
      <c r="P362" s="21" t="s">
        <v>557</v>
      </c>
      <c r="Q362" s="21" t="s">
        <v>1168</v>
      </c>
      <c r="R362" s="21" t="s">
        <v>574</v>
      </c>
      <c r="S362" s="21" t="s">
        <v>575</v>
      </c>
      <c r="V362" s="21" t="s">
        <v>500</v>
      </c>
      <c r="W362" s="21" t="s">
        <v>501</v>
      </c>
      <c r="X362" s="21" t="s">
        <v>502</v>
      </c>
      <c r="Y362" s="21" t="s">
        <v>558</v>
      </c>
      <c r="Z362" s="21">
        <v>3035748728</v>
      </c>
      <c r="AA362" s="26">
        <v>42748</v>
      </c>
      <c r="AB362" s="26">
        <v>42748</v>
      </c>
      <c r="AC362" s="21" t="s">
        <v>504</v>
      </c>
      <c r="AD362" s="21" t="s">
        <v>505</v>
      </c>
      <c r="AE362" s="21" t="s">
        <v>500</v>
      </c>
      <c r="AF362" s="21" t="s">
        <v>549</v>
      </c>
      <c r="AG362" s="21" t="s">
        <v>1972</v>
      </c>
      <c r="AH362" s="21" t="s">
        <v>1973</v>
      </c>
      <c r="AI362" s="21" t="s">
        <v>4524</v>
      </c>
      <c r="AJ362" s="21" t="s">
        <v>526</v>
      </c>
      <c r="AK362" s="21" t="s">
        <v>494</v>
      </c>
      <c r="AL362" s="21" t="s">
        <v>527</v>
      </c>
      <c r="AM362" s="21" t="s">
        <v>527</v>
      </c>
      <c r="AN362" s="21" t="s">
        <v>527</v>
      </c>
      <c r="AO362" s="21" t="s">
        <v>528</v>
      </c>
      <c r="AS362" s="21" t="s">
        <v>511</v>
      </c>
      <c r="AT362" s="21" t="s">
        <v>512</v>
      </c>
      <c r="AW362" s="21">
        <v>0</v>
      </c>
      <c r="AX362" s="21">
        <v>2</v>
      </c>
      <c r="AY362" s="26"/>
      <c r="AZ362" s="26"/>
      <c r="BB362" s="26"/>
      <c r="BC362" s="21" t="s">
        <v>513</v>
      </c>
      <c r="BD362" s="21" t="s">
        <v>514</v>
      </c>
      <c r="BE362" s="21" t="s">
        <v>514</v>
      </c>
      <c r="BF362" s="21" t="s">
        <v>515</v>
      </c>
      <c r="BG362" s="21">
        <v>1</v>
      </c>
      <c r="BH362" s="21" t="s">
        <v>516</v>
      </c>
      <c r="BI362" s="21" t="s">
        <v>517</v>
      </c>
      <c r="BJ362" s="21" t="s">
        <v>516</v>
      </c>
      <c r="BK362" s="21" t="s">
        <v>516</v>
      </c>
      <c r="BM362" s="21" t="s">
        <v>17</v>
      </c>
      <c r="BN362" s="21" t="s">
        <v>107</v>
      </c>
      <c r="BO362" s="21" t="s">
        <v>518</v>
      </c>
      <c r="BP362" s="21" t="s">
        <v>519</v>
      </c>
      <c r="BQ362" s="21" t="s">
        <v>17</v>
      </c>
      <c r="BR362" s="21" t="s">
        <v>107</v>
      </c>
      <c r="BS362" s="21" t="s">
        <v>518</v>
      </c>
      <c r="BT362" s="21" t="s">
        <v>519</v>
      </c>
      <c r="BU362" s="21" t="s">
        <v>107</v>
      </c>
      <c r="CD362" s="21" t="s">
        <v>520</v>
      </c>
      <c r="CF362" s="21" t="s">
        <v>521</v>
      </c>
      <c r="CN362" s="26"/>
      <c r="DB362" s="24" t="s">
        <v>943</v>
      </c>
      <c r="DC362" s="21">
        <v>1</v>
      </c>
      <c r="DD362" s="21">
        <v>3</v>
      </c>
      <c r="DE362" s="22">
        <v>42754</v>
      </c>
      <c r="DF362" s="21" t="s">
        <v>4525</v>
      </c>
      <c r="DG362" s="21" t="s">
        <v>522</v>
      </c>
      <c r="DH362" s="21" t="s">
        <v>4526</v>
      </c>
      <c r="DI362" s="21" t="s">
        <v>495</v>
      </c>
      <c r="DJ362" s="21" t="s">
        <v>523</v>
      </c>
      <c r="DK362" s="26"/>
      <c r="DL362" s="26">
        <v>42760</v>
      </c>
      <c r="DM362" s="26">
        <v>42750</v>
      </c>
      <c r="DN362" s="21">
        <v>3100</v>
      </c>
      <c r="DO362" s="21">
        <v>10</v>
      </c>
      <c r="DP362" s="21">
        <v>1</v>
      </c>
      <c r="DQ362" s="21">
        <v>1</v>
      </c>
      <c r="DR362" s="21">
        <v>7</v>
      </c>
      <c r="DS362" s="21">
        <v>10</v>
      </c>
      <c r="DT362" s="21">
        <v>10</v>
      </c>
      <c r="DU362" s="21">
        <v>10</v>
      </c>
      <c r="DW362" s="21">
        <v>10</v>
      </c>
      <c r="EA362" s="21">
        <v>10</v>
      </c>
      <c r="EF362" s="25">
        <v>1</v>
      </c>
      <c r="EG362" s="25">
        <v>0</v>
      </c>
      <c r="EH362" s="25">
        <v>1</v>
      </c>
      <c r="EI362" s="25">
        <v>0</v>
      </c>
      <c r="EJ362" s="25" t="s">
        <v>62</v>
      </c>
      <c r="EK362" s="25" t="s">
        <v>108</v>
      </c>
      <c r="EL362" s="25" t="s">
        <v>108</v>
      </c>
      <c r="EM362" s="25" t="s">
        <v>276</v>
      </c>
      <c r="EN362" s="25" t="s">
        <v>9</v>
      </c>
      <c r="EO362" s="25" t="s">
        <v>9</v>
      </c>
      <c r="EP362" s="25" t="s">
        <v>62</v>
      </c>
      <c r="EQ362" s="25" t="s">
        <v>62</v>
      </c>
      <c r="ER362" s="25" t="s">
        <v>278</v>
      </c>
      <c r="ES362" s="25" t="s">
        <v>278</v>
      </c>
      <c r="ET362" s="25">
        <v>1</v>
      </c>
      <c r="EU362" s="25" t="s">
        <v>522</v>
      </c>
      <c r="EV362" s="25" t="s">
        <v>108</v>
      </c>
      <c r="EW362" s="25" t="s">
        <v>9</v>
      </c>
      <c r="EX362" s="25" t="s">
        <v>278</v>
      </c>
      <c r="EY362" s="20" t="e">
        <v>#N/A</v>
      </c>
    </row>
    <row r="363" spans="1:155">
      <c r="A363" s="21" t="s">
        <v>491</v>
      </c>
      <c r="B363" s="21" t="s">
        <v>491</v>
      </c>
      <c r="C363" s="21" t="s">
        <v>492</v>
      </c>
      <c r="D363" s="21" t="s">
        <v>493</v>
      </c>
      <c r="E363" s="21" t="s">
        <v>493</v>
      </c>
      <c r="F363" s="21" t="s">
        <v>493</v>
      </c>
      <c r="G363" s="21" t="s">
        <v>4527</v>
      </c>
      <c r="H363" s="21" t="s">
        <v>494</v>
      </c>
      <c r="I363" s="21" t="s">
        <v>494</v>
      </c>
      <c r="J363" s="21" t="s">
        <v>4528</v>
      </c>
      <c r="L363" s="21" t="s">
        <v>495</v>
      </c>
      <c r="M363" s="21" t="s">
        <v>4529</v>
      </c>
      <c r="N363" s="21" t="s">
        <v>4530</v>
      </c>
      <c r="O363" s="21" t="s">
        <v>93</v>
      </c>
      <c r="P363" s="21" t="s">
        <v>539</v>
      </c>
      <c r="R363" s="21" t="s">
        <v>4531</v>
      </c>
      <c r="S363" s="21" t="s">
        <v>1440</v>
      </c>
      <c r="V363" s="21" t="s">
        <v>277</v>
      </c>
      <c r="W363" s="21" t="s">
        <v>524</v>
      </c>
      <c r="X363" s="21" t="s">
        <v>525</v>
      </c>
      <c r="Y363" s="21" t="s">
        <v>530</v>
      </c>
      <c r="Z363" s="21">
        <v>3035746797</v>
      </c>
      <c r="AA363" s="26">
        <v>42748</v>
      </c>
      <c r="AB363" s="26">
        <v>42748</v>
      </c>
      <c r="AC363" s="21" t="s">
        <v>504</v>
      </c>
      <c r="AD363" s="21" t="s">
        <v>505</v>
      </c>
      <c r="AE363" s="21" t="s">
        <v>1156</v>
      </c>
      <c r="AF363" s="21" t="s">
        <v>2049</v>
      </c>
      <c r="AG363" s="21" t="s">
        <v>2050</v>
      </c>
      <c r="AH363" s="21" t="s">
        <v>2051</v>
      </c>
      <c r="AI363" s="21" t="s">
        <v>2052</v>
      </c>
      <c r="AJ363" s="21" t="s">
        <v>507</v>
      </c>
      <c r="AK363" s="21" t="s">
        <v>494</v>
      </c>
      <c r="AL363" s="21" t="s">
        <v>508</v>
      </c>
      <c r="AM363" s="21" t="s">
        <v>509</v>
      </c>
      <c r="AN363" s="21" t="s">
        <v>509</v>
      </c>
      <c r="AO363" s="21" t="s">
        <v>510</v>
      </c>
      <c r="AS363" s="21" t="s">
        <v>531</v>
      </c>
      <c r="AT363" s="21" t="s">
        <v>512</v>
      </c>
      <c r="AW363" s="21">
        <v>0</v>
      </c>
      <c r="AX363" s="21">
        <v>4</v>
      </c>
      <c r="AY363" s="26"/>
      <c r="AZ363" s="26"/>
      <c r="BB363" s="26"/>
      <c r="BC363" s="21" t="s">
        <v>513</v>
      </c>
      <c r="BD363" s="21" t="s">
        <v>514</v>
      </c>
      <c r="BE363" s="21" t="s">
        <v>514</v>
      </c>
      <c r="BF363" s="21" t="s">
        <v>515</v>
      </c>
      <c r="BG363" s="21">
        <v>1</v>
      </c>
      <c r="BH363" s="21" t="s">
        <v>516</v>
      </c>
      <c r="BI363" s="21" t="s">
        <v>517</v>
      </c>
      <c r="BJ363" s="21" t="s">
        <v>516</v>
      </c>
      <c r="BK363" s="21" t="s">
        <v>516</v>
      </c>
      <c r="BM363" s="21" t="s">
        <v>1548</v>
      </c>
      <c r="BN363" s="21" t="s">
        <v>156</v>
      </c>
      <c r="BO363" s="21" t="s">
        <v>518</v>
      </c>
      <c r="BP363" s="21" t="s">
        <v>519</v>
      </c>
      <c r="BQ363" s="21" t="s">
        <v>1548</v>
      </c>
      <c r="BR363" s="21" t="s">
        <v>156</v>
      </c>
      <c r="BS363" s="21" t="s">
        <v>518</v>
      </c>
      <c r="BT363" s="21" t="s">
        <v>519</v>
      </c>
      <c r="BU363" s="21" t="s">
        <v>156</v>
      </c>
      <c r="CD363" s="21" t="s">
        <v>520</v>
      </c>
      <c r="CF363" s="21" t="s">
        <v>521</v>
      </c>
      <c r="CN363" s="26"/>
      <c r="DB363" s="24" t="s">
        <v>943</v>
      </c>
      <c r="DC363" s="21">
        <v>1</v>
      </c>
      <c r="DD363" s="21">
        <v>3</v>
      </c>
      <c r="DE363" s="22">
        <v>42754</v>
      </c>
      <c r="DF363" s="21" t="s">
        <v>4532</v>
      </c>
      <c r="DG363" s="21" t="s">
        <v>522</v>
      </c>
      <c r="DH363" s="21" t="s">
        <v>4533</v>
      </c>
      <c r="DI363" s="21" t="s">
        <v>495</v>
      </c>
      <c r="DJ363" s="21" t="s">
        <v>523</v>
      </c>
      <c r="DK363" s="26"/>
      <c r="DL363" s="26">
        <v>42760</v>
      </c>
      <c r="DM363" s="26">
        <v>42750</v>
      </c>
      <c r="DN363" s="21">
        <v>1100</v>
      </c>
      <c r="DO363" s="21">
        <v>7</v>
      </c>
      <c r="DP363" s="21">
        <v>1</v>
      </c>
      <c r="DQ363" s="21">
        <v>1</v>
      </c>
      <c r="DR363" s="21">
        <v>6</v>
      </c>
      <c r="DS363" s="21">
        <v>8</v>
      </c>
      <c r="DT363" s="21">
        <v>9</v>
      </c>
      <c r="DU363" s="21">
        <v>8</v>
      </c>
      <c r="DW363" s="21">
        <v>9</v>
      </c>
      <c r="EA363" s="21">
        <v>8</v>
      </c>
      <c r="EF363" s="25">
        <v>0</v>
      </c>
      <c r="EG363" s="25">
        <v>0</v>
      </c>
      <c r="EH363" s="25">
        <v>0</v>
      </c>
      <c r="EI363" s="25">
        <v>0</v>
      </c>
      <c r="EJ363" s="25" t="s">
        <v>92</v>
      </c>
      <c r="EK363" s="25" t="s">
        <v>157</v>
      </c>
      <c r="EL363" s="25" t="s">
        <v>157</v>
      </c>
      <c r="EM363" s="25" t="s">
        <v>276</v>
      </c>
      <c r="EN363" s="25" t="s">
        <v>31</v>
      </c>
      <c r="EO363" s="25" t="s">
        <v>31</v>
      </c>
      <c r="EP363" s="25" t="s">
        <v>92</v>
      </c>
      <c r="EQ363" s="25" t="s">
        <v>92</v>
      </c>
      <c r="ER363" s="25" t="s">
        <v>278</v>
      </c>
      <c r="ES363" s="25" t="s">
        <v>278</v>
      </c>
      <c r="ET363" s="25">
        <v>1</v>
      </c>
      <c r="EU363" s="25" t="s">
        <v>522</v>
      </c>
      <c r="EV363" s="25" t="s">
        <v>157</v>
      </c>
      <c r="EW363" s="25" t="s">
        <v>31</v>
      </c>
      <c r="EX363" s="25" t="s">
        <v>278</v>
      </c>
      <c r="EY363" s="20" t="e">
        <v>#N/A</v>
      </c>
    </row>
    <row r="364" spans="1:155">
      <c r="A364" s="21" t="s">
        <v>491</v>
      </c>
      <c r="B364" s="21" t="s">
        <v>491</v>
      </c>
      <c r="C364" s="21" t="s">
        <v>492</v>
      </c>
      <c r="D364" s="21" t="s">
        <v>493</v>
      </c>
      <c r="E364" s="21" t="s">
        <v>493</v>
      </c>
      <c r="F364" s="21" t="s">
        <v>493</v>
      </c>
      <c r="G364" s="21" t="s">
        <v>4534</v>
      </c>
      <c r="H364" s="21">
        <v>2126973534</v>
      </c>
      <c r="I364" s="21" t="s">
        <v>494</v>
      </c>
      <c r="J364" s="21" t="s">
        <v>4535</v>
      </c>
      <c r="L364" s="21" t="s">
        <v>495</v>
      </c>
      <c r="M364" s="21">
        <v>21996781045</v>
      </c>
      <c r="N364" s="21" t="s">
        <v>496</v>
      </c>
      <c r="O364" s="21" t="s">
        <v>69</v>
      </c>
      <c r="P364" s="21" t="s">
        <v>497</v>
      </c>
      <c r="Q364" s="21" t="s">
        <v>1178</v>
      </c>
      <c r="R364" s="21" t="s">
        <v>498</v>
      </c>
      <c r="S364" s="21" t="s">
        <v>499</v>
      </c>
      <c r="V364" s="21" t="s">
        <v>500</v>
      </c>
      <c r="W364" s="21" t="s">
        <v>501</v>
      </c>
      <c r="X364" s="21" t="s">
        <v>502</v>
      </c>
      <c r="Y364" s="21" t="s">
        <v>503</v>
      </c>
      <c r="Z364" s="21">
        <v>3035811754</v>
      </c>
      <c r="AA364" s="26">
        <v>42751</v>
      </c>
      <c r="AB364" s="26">
        <v>42751</v>
      </c>
      <c r="AC364" s="21" t="s">
        <v>504</v>
      </c>
      <c r="AD364" s="21" t="s">
        <v>505</v>
      </c>
      <c r="AE364" s="21" t="s">
        <v>500</v>
      </c>
      <c r="AF364" s="21" t="s">
        <v>549</v>
      </c>
      <c r="AG364" s="21" t="s">
        <v>1488</v>
      </c>
      <c r="AH364" s="21" t="s">
        <v>1489</v>
      </c>
      <c r="AI364" s="21" t="s">
        <v>4536</v>
      </c>
      <c r="AJ364" s="21" t="s">
        <v>526</v>
      </c>
      <c r="AK364" s="21" t="s">
        <v>494</v>
      </c>
      <c r="AL364" s="21" t="s">
        <v>527</v>
      </c>
      <c r="AM364" s="21" t="s">
        <v>527</v>
      </c>
      <c r="AN364" s="21" t="s">
        <v>527</v>
      </c>
      <c r="AO364" s="21" t="s">
        <v>528</v>
      </c>
      <c r="AS364" s="21" t="s">
        <v>511</v>
      </c>
      <c r="AT364" s="21" t="s">
        <v>512</v>
      </c>
      <c r="AW364" s="21">
        <v>0</v>
      </c>
      <c r="AX364" s="21">
        <v>2</v>
      </c>
      <c r="AY364" s="26"/>
      <c r="AZ364" s="26"/>
      <c r="BB364" s="26"/>
      <c r="BC364" s="21" t="s">
        <v>513</v>
      </c>
      <c r="BD364" s="21" t="s">
        <v>514</v>
      </c>
      <c r="BE364" s="21" t="s">
        <v>514</v>
      </c>
      <c r="BF364" s="21" t="s">
        <v>515</v>
      </c>
      <c r="BG364" s="21">
        <v>1</v>
      </c>
      <c r="BH364" s="21" t="s">
        <v>516</v>
      </c>
      <c r="BI364" s="21" t="s">
        <v>517</v>
      </c>
      <c r="BJ364" s="21" t="s">
        <v>516</v>
      </c>
      <c r="BK364" s="21" t="s">
        <v>516</v>
      </c>
      <c r="BM364" s="21" t="s">
        <v>28</v>
      </c>
      <c r="BN364" s="21" t="s">
        <v>158</v>
      </c>
      <c r="BO364" s="21" t="s">
        <v>518</v>
      </c>
      <c r="BP364" s="21" t="s">
        <v>519</v>
      </c>
      <c r="BQ364" s="21" t="s">
        <v>28</v>
      </c>
      <c r="BR364" s="21" t="s">
        <v>158</v>
      </c>
      <c r="BS364" s="21" t="s">
        <v>518</v>
      </c>
      <c r="BT364" s="21" t="s">
        <v>519</v>
      </c>
      <c r="BU364" s="21" t="s">
        <v>158</v>
      </c>
      <c r="CD364" s="21" t="s">
        <v>520</v>
      </c>
      <c r="CF364" s="21" t="s">
        <v>521</v>
      </c>
      <c r="CN364" s="26"/>
      <c r="DB364" s="24" t="s">
        <v>943</v>
      </c>
      <c r="DC364" s="21">
        <v>1</v>
      </c>
      <c r="DD364" s="21">
        <v>3</v>
      </c>
      <c r="DE364" s="22">
        <v>42754</v>
      </c>
      <c r="DF364" s="21" t="s">
        <v>1454</v>
      </c>
      <c r="DG364" s="21" t="s">
        <v>522</v>
      </c>
      <c r="DH364" s="21" t="s">
        <v>4537</v>
      </c>
      <c r="DI364" s="21" t="s">
        <v>495</v>
      </c>
      <c r="DJ364" s="21" t="s">
        <v>520</v>
      </c>
      <c r="DK364" s="26"/>
      <c r="DL364" s="26">
        <v>42763</v>
      </c>
      <c r="DM364" s="26">
        <v>42753</v>
      </c>
      <c r="DN364" s="21">
        <v>3100</v>
      </c>
      <c r="DO364" s="21">
        <v>10</v>
      </c>
      <c r="DP364" s="21">
        <v>1</v>
      </c>
      <c r="DQ364" s="21">
        <v>1</v>
      </c>
      <c r="DR364" s="21">
        <v>6</v>
      </c>
      <c r="DS364" s="21">
        <v>10</v>
      </c>
      <c r="DT364" s="21">
        <v>10</v>
      </c>
      <c r="DU364" s="21">
        <v>10</v>
      </c>
      <c r="DW364" s="21">
        <v>10</v>
      </c>
      <c r="EA364" s="21">
        <v>10</v>
      </c>
      <c r="EF364" s="25">
        <v>1</v>
      </c>
      <c r="EG364" s="25">
        <v>0</v>
      </c>
      <c r="EH364" s="25">
        <v>1</v>
      </c>
      <c r="EI364" s="25">
        <v>0</v>
      </c>
      <c r="EJ364" s="25" t="s">
        <v>62</v>
      </c>
      <c r="EK364" s="25" t="s">
        <v>159</v>
      </c>
      <c r="EL364" s="25" t="s">
        <v>159</v>
      </c>
      <c r="EM364" s="25" t="s">
        <v>276</v>
      </c>
      <c r="EN364" s="25" t="s">
        <v>9</v>
      </c>
      <c r="EO364" s="25" t="s">
        <v>9</v>
      </c>
      <c r="EP364" s="25" t="s">
        <v>62</v>
      </c>
      <c r="EQ364" s="25" t="s">
        <v>62</v>
      </c>
      <c r="ER364" s="25" t="s">
        <v>278</v>
      </c>
      <c r="ES364" s="25" t="s">
        <v>278</v>
      </c>
      <c r="ET364" s="25">
        <v>1</v>
      </c>
      <c r="EU364" s="25" t="s">
        <v>522</v>
      </c>
      <c r="EV364" s="25" t="s">
        <v>159</v>
      </c>
      <c r="EW364" s="25" t="s">
        <v>9</v>
      </c>
      <c r="EX364" s="25" t="s">
        <v>278</v>
      </c>
      <c r="EY364" s="20" t="e">
        <v>#N/A</v>
      </c>
    </row>
    <row r="365" spans="1:155">
      <c r="A365" s="21" t="s">
        <v>491</v>
      </c>
      <c r="B365" s="21" t="s">
        <v>491</v>
      </c>
      <c r="C365" s="21" t="s">
        <v>492</v>
      </c>
      <c r="D365" s="21" t="s">
        <v>493</v>
      </c>
      <c r="E365" s="21" t="s">
        <v>493</v>
      </c>
      <c r="F365" s="21" t="s">
        <v>493</v>
      </c>
      <c r="G365" s="21" t="s">
        <v>4538</v>
      </c>
      <c r="H365" s="21">
        <v>21979558884</v>
      </c>
      <c r="I365" s="21" t="s">
        <v>494</v>
      </c>
      <c r="J365" s="21" t="s">
        <v>4539</v>
      </c>
      <c r="L365" s="21" t="s">
        <v>495</v>
      </c>
      <c r="M365" s="21" t="s">
        <v>4540</v>
      </c>
      <c r="N365" s="21" t="s">
        <v>573</v>
      </c>
      <c r="O365" s="21" t="s">
        <v>58</v>
      </c>
      <c r="P365" s="21" t="s">
        <v>557</v>
      </c>
      <c r="R365" s="21" t="s">
        <v>574</v>
      </c>
      <c r="S365" s="21" t="s">
        <v>575</v>
      </c>
      <c r="V365" s="21" t="s">
        <v>500</v>
      </c>
      <c r="W365" s="21" t="s">
        <v>501</v>
      </c>
      <c r="X365" s="21" t="s">
        <v>502</v>
      </c>
      <c r="Y365" s="21" t="s">
        <v>558</v>
      </c>
      <c r="Z365" s="21">
        <v>3035760734</v>
      </c>
      <c r="AA365" s="26">
        <v>42748</v>
      </c>
      <c r="AB365" s="26">
        <v>42751</v>
      </c>
      <c r="AC365" s="21" t="s">
        <v>504</v>
      </c>
      <c r="AD365" s="21" t="s">
        <v>505</v>
      </c>
      <c r="AE365" s="21" t="s">
        <v>500</v>
      </c>
      <c r="AF365" s="21" t="s">
        <v>549</v>
      </c>
      <c r="AG365" s="21" t="s">
        <v>555</v>
      </c>
      <c r="AH365" s="21" t="s">
        <v>556</v>
      </c>
      <c r="AI365" s="21" t="s">
        <v>4541</v>
      </c>
      <c r="AJ365" s="21" t="s">
        <v>526</v>
      </c>
      <c r="AK365" s="21" t="s">
        <v>494</v>
      </c>
      <c r="AL365" s="21" t="s">
        <v>527</v>
      </c>
      <c r="AM365" s="21" t="s">
        <v>527</v>
      </c>
      <c r="AN365" s="21" t="s">
        <v>527</v>
      </c>
      <c r="AO365" s="21" t="s">
        <v>528</v>
      </c>
      <c r="AS365" s="21" t="s">
        <v>511</v>
      </c>
      <c r="AT365" s="21" t="s">
        <v>512</v>
      </c>
      <c r="AW365" s="21">
        <v>0</v>
      </c>
      <c r="AX365" s="21">
        <v>0</v>
      </c>
      <c r="AY365" s="26"/>
      <c r="AZ365" s="26"/>
      <c r="BB365" s="26"/>
      <c r="BC365" s="21" t="s">
        <v>513</v>
      </c>
      <c r="BD365" s="21" t="s">
        <v>514</v>
      </c>
      <c r="BE365" s="21" t="s">
        <v>514</v>
      </c>
      <c r="BF365" s="21" t="s">
        <v>1351</v>
      </c>
      <c r="BG365" s="21">
        <v>1</v>
      </c>
      <c r="BH365" s="21" t="s">
        <v>516</v>
      </c>
      <c r="BI365" s="21" t="s">
        <v>517</v>
      </c>
      <c r="BJ365" s="21" t="s">
        <v>516</v>
      </c>
      <c r="BK365" s="21" t="s">
        <v>516</v>
      </c>
      <c r="BM365" s="21" t="s">
        <v>281</v>
      </c>
      <c r="BN365" s="21" t="s">
        <v>142</v>
      </c>
      <c r="BO365" s="21" t="s">
        <v>518</v>
      </c>
      <c r="BP365" s="21" t="s">
        <v>519</v>
      </c>
      <c r="BQ365" s="21" t="s">
        <v>281</v>
      </c>
      <c r="BR365" s="21" t="s">
        <v>142</v>
      </c>
      <c r="BS365" s="21" t="s">
        <v>518</v>
      </c>
      <c r="BT365" s="21" t="s">
        <v>519</v>
      </c>
      <c r="BU365" s="21" t="s">
        <v>142</v>
      </c>
      <c r="CD365" s="21" t="s">
        <v>520</v>
      </c>
      <c r="CF365" s="21" t="s">
        <v>521</v>
      </c>
      <c r="CN365" s="26"/>
      <c r="DB365" s="24" t="s">
        <v>943</v>
      </c>
      <c r="DC365" s="21">
        <v>1</v>
      </c>
      <c r="DD365" s="21">
        <v>3</v>
      </c>
      <c r="DE365" s="22">
        <v>42754</v>
      </c>
      <c r="DF365" s="21" t="s">
        <v>4542</v>
      </c>
      <c r="DG365" s="21" t="s">
        <v>522</v>
      </c>
      <c r="DH365" s="21" t="s">
        <v>4543</v>
      </c>
      <c r="DI365" s="21" t="s">
        <v>495</v>
      </c>
      <c r="DJ365" s="21" t="s">
        <v>520</v>
      </c>
      <c r="DK365" s="26"/>
      <c r="DL365" s="26">
        <v>42763</v>
      </c>
      <c r="DM365" s="26">
        <v>42753</v>
      </c>
      <c r="DN365" s="21">
        <v>3100</v>
      </c>
      <c r="DO365" s="21">
        <v>10</v>
      </c>
      <c r="DP365" s="21">
        <v>1</v>
      </c>
      <c r="DQ365" s="21">
        <v>2</v>
      </c>
      <c r="DR365" s="21">
        <v>7</v>
      </c>
      <c r="DS365" s="21">
        <v>10</v>
      </c>
      <c r="DT365" s="21">
        <v>10</v>
      </c>
      <c r="DU365" s="21">
        <v>10</v>
      </c>
      <c r="DW365" s="21">
        <v>10</v>
      </c>
      <c r="EA365" s="21">
        <v>10</v>
      </c>
      <c r="EB365" s="21" t="s">
        <v>4544</v>
      </c>
      <c r="EF365" s="25">
        <v>1</v>
      </c>
      <c r="EG365" s="25">
        <v>0</v>
      </c>
      <c r="EH365" s="25">
        <v>1</v>
      </c>
      <c r="EI365" s="25">
        <v>0</v>
      </c>
      <c r="EJ365" s="25" t="s">
        <v>62</v>
      </c>
      <c r="EK365" s="25" t="s">
        <v>143</v>
      </c>
      <c r="EL365" s="25" t="s">
        <v>143</v>
      </c>
      <c r="EM365" s="25" t="s">
        <v>276</v>
      </c>
      <c r="EN365" s="25" t="s">
        <v>51</v>
      </c>
      <c r="EO365" s="25" t="s">
        <v>51</v>
      </c>
      <c r="EP365" s="25" t="s">
        <v>1355</v>
      </c>
      <c r="EQ365" s="25" t="s">
        <v>1355</v>
      </c>
      <c r="ER365" s="25" t="s">
        <v>278</v>
      </c>
      <c r="ES365" s="25" t="s">
        <v>278</v>
      </c>
      <c r="ET365" s="25">
        <v>1</v>
      </c>
      <c r="EU365" s="25" t="s">
        <v>522</v>
      </c>
      <c r="EV365" s="25" t="s">
        <v>143</v>
      </c>
      <c r="EW365" s="25" t="s">
        <v>51</v>
      </c>
      <c r="EX365" s="25" t="s">
        <v>278</v>
      </c>
      <c r="EY365" s="20" t="e">
        <v>#N/A</v>
      </c>
    </row>
    <row r="366" spans="1:155">
      <c r="A366" s="21" t="s">
        <v>491</v>
      </c>
      <c r="B366" s="21" t="s">
        <v>491</v>
      </c>
      <c r="C366" s="21" t="s">
        <v>492</v>
      </c>
      <c r="D366" s="21" t="s">
        <v>493</v>
      </c>
      <c r="E366" s="21" t="s">
        <v>493</v>
      </c>
      <c r="F366" s="21" t="s">
        <v>493</v>
      </c>
      <c r="G366" s="21" t="s">
        <v>4545</v>
      </c>
      <c r="H366" s="21" t="s">
        <v>4546</v>
      </c>
      <c r="I366" s="21" t="s">
        <v>494</v>
      </c>
      <c r="J366" s="21" t="s">
        <v>4547</v>
      </c>
      <c r="L366" s="21" t="s">
        <v>495</v>
      </c>
      <c r="M366" s="21" t="s">
        <v>4548</v>
      </c>
      <c r="N366" s="21" t="s">
        <v>496</v>
      </c>
      <c r="O366" s="21" t="s">
        <v>69</v>
      </c>
      <c r="P366" s="21" t="s">
        <v>497</v>
      </c>
      <c r="R366" s="21" t="s">
        <v>498</v>
      </c>
      <c r="S366" s="21" t="s">
        <v>499</v>
      </c>
      <c r="V366" s="21" t="s">
        <v>500</v>
      </c>
      <c r="W366" s="21" t="s">
        <v>501</v>
      </c>
      <c r="X366" s="21" t="s">
        <v>502</v>
      </c>
      <c r="Y366" s="21" t="s">
        <v>503</v>
      </c>
      <c r="Z366" s="21">
        <v>3035810541</v>
      </c>
      <c r="AA366" s="26">
        <v>42751</v>
      </c>
      <c r="AB366" s="26">
        <v>42751</v>
      </c>
      <c r="AC366" s="21" t="s">
        <v>504</v>
      </c>
      <c r="AD366" s="21" t="s">
        <v>505</v>
      </c>
      <c r="AE366" s="21" t="s">
        <v>500</v>
      </c>
      <c r="AF366" s="21" t="s">
        <v>549</v>
      </c>
      <c r="AG366" s="21" t="s">
        <v>555</v>
      </c>
      <c r="AH366" s="21" t="s">
        <v>556</v>
      </c>
      <c r="AI366" s="21" t="s">
        <v>4153</v>
      </c>
      <c r="AJ366" s="21" t="s">
        <v>526</v>
      </c>
      <c r="AK366" s="21" t="s">
        <v>494</v>
      </c>
      <c r="AL366" s="21" t="s">
        <v>527</v>
      </c>
      <c r="AM366" s="21" t="s">
        <v>527</v>
      </c>
      <c r="AN366" s="21" t="s">
        <v>527</v>
      </c>
      <c r="AO366" s="21" t="s">
        <v>528</v>
      </c>
      <c r="AS366" s="21" t="s">
        <v>511</v>
      </c>
      <c r="AT366" s="21" t="s">
        <v>512</v>
      </c>
      <c r="AW366" s="21">
        <v>0</v>
      </c>
      <c r="AX366" s="21">
        <v>2</v>
      </c>
      <c r="AY366" s="26"/>
      <c r="AZ366" s="26"/>
      <c r="BB366" s="26"/>
      <c r="BC366" s="21" t="s">
        <v>513</v>
      </c>
      <c r="BD366" s="21" t="s">
        <v>514</v>
      </c>
      <c r="BE366" s="21" t="s">
        <v>514</v>
      </c>
      <c r="BF366" s="21" t="s">
        <v>515</v>
      </c>
      <c r="BG366" s="21">
        <v>1</v>
      </c>
      <c r="BH366" s="21" t="s">
        <v>516</v>
      </c>
      <c r="BI366" s="21" t="s">
        <v>517</v>
      </c>
      <c r="BJ366" s="21" t="s">
        <v>516</v>
      </c>
      <c r="BK366" s="21" t="s">
        <v>516</v>
      </c>
      <c r="BM366" s="21" t="s">
        <v>1110</v>
      </c>
      <c r="BN366" s="21" t="s">
        <v>200</v>
      </c>
      <c r="BO366" s="21" t="s">
        <v>518</v>
      </c>
      <c r="BP366" s="21" t="s">
        <v>1044</v>
      </c>
      <c r="BQ366" s="21" t="s">
        <v>1110</v>
      </c>
      <c r="BR366" s="21" t="s">
        <v>200</v>
      </c>
      <c r="BS366" s="21" t="s">
        <v>518</v>
      </c>
      <c r="BT366" s="21" t="s">
        <v>1044</v>
      </c>
      <c r="BU366" s="21" t="s">
        <v>200</v>
      </c>
      <c r="CD366" s="21" t="s">
        <v>520</v>
      </c>
      <c r="CF366" s="21" t="s">
        <v>521</v>
      </c>
      <c r="CN366" s="26"/>
      <c r="DB366" s="24" t="s">
        <v>943</v>
      </c>
      <c r="DC366" s="21">
        <v>1</v>
      </c>
      <c r="DD366" s="21">
        <v>3</v>
      </c>
      <c r="DE366" s="22">
        <v>42754</v>
      </c>
      <c r="DF366" s="21" t="s">
        <v>4549</v>
      </c>
      <c r="DG366" s="21" t="s">
        <v>522</v>
      </c>
      <c r="DH366" s="21" t="s">
        <v>4550</v>
      </c>
      <c r="DI366" s="21" t="s">
        <v>495</v>
      </c>
      <c r="DJ366" s="21" t="s">
        <v>520</v>
      </c>
      <c r="DK366" s="26"/>
      <c r="DL366" s="26">
        <v>42763</v>
      </c>
      <c r="DM366" s="26">
        <v>42753</v>
      </c>
      <c r="DN366" s="21">
        <v>3100</v>
      </c>
      <c r="DO366" s="21">
        <v>10</v>
      </c>
      <c r="DP366" s="21">
        <v>1</v>
      </c>
      <c r="DQ366" s="21">
        <v>1</v>
      </c>
      <c r="DR366" s="21">
        <v>7</v>
      </c>
      <c r="DS366" s="21">
        <v>10</v>
      </c>
      <c r="DT366" s="21">
        <v>10</v>
      </c>
      <c r="DU366" s="21">
        <v>10</v>
      </c>
      <c r="DW366" s="21">
        <v>10</v>
      </c>
      <c r="EA366" s="21">
        <v>10</v>
      </c>
      <c r="EB366" s="21" t="s">
        <v>4551</v>
      </c>
      <c r="EF366" s="25">
        <v>1</v>
      </c>
      <c r="EG366" s="25">
        <v>0</v>
      </c>
      <c r="EH366" s="25">
        <v>1</v>
      </c>
      <c r="EI366" s="25">
        <v>0</v>
      </c>
      <c r="EJ366" s="25" t="s">
        <v>62</v>
      </c>
      <c r="EK366" s="25" t="s">
        <v>201</v>
      </c>
      <c r="EL366" s="25" t="s">
        <v>201</v>
      </c>
      <c r="EM366" s="25" t="s">
        <v>276</v>
      </c>
      <c r="EN366" s="25" t="s">
        <v>31</v>
      </c>
      <c r="EO366" s="25" t="s">
        <v>31</v>
      </c>
      <c r="EP366" s="25" t="s">
        <v>92</v>
      </c>
      <c r="EQ366" s="25" t="s">
        <v>92</v>
      </c>
      <c r="ER366" s="25" t="s">
        <v>278</v>
      </c>
      <c r="ES366" s="25" t="s">
        <v>278</v>
      </c>
      <c r="ET366" s="25">
        <v>1</v>
      </c>
      <c r="EU366" s="25" t="s">
        <v>522</v>
      </c>
      <c r="EV366" s="25" t="s">
        <v>201</v>
      </c>
      <c r="EW366" s="25" t="s">
        <v>31</v>
      </c>
      <c r="EX366" s="25" t="s">
        <v>278</v>
      </c>
      <c r="EY366" s="20" t="e">
        <v>#N/A</v>
      </c>
    </row>
    <row r="367" spans="1:155">
      <c r="A367" s="21" t="s">
        <v>491</v>
      </c>
      <c r="B367" s="21" t="s">
        <v>491</v>
      </c>
      <c r="C367" s="21" t="s">
        <v>492</v>
      </c>
      <c r="D367" s="21" t="s">
        <v>493</v>
      </c>
      <c r="E367" s="21" t="s">
        <v>493</v>
      </c>
      <c r="F367" s="21" t="s">
        <v>493</v>
      </c>
      <c r="G367" s="21" t="s">
        <v>4552</v>
      </c>
      <c r="H367" s="21" t="s">
        <v>4553</v>
      </c>
      <c r="I367" s="21" t="s">
        <v>494</v>
      </c>
      <c r="J367" s="21" t="s">
        <v>4554</v>
      </c>
      <c r="L367" s="21" t="s">
        <v>495</v>
      </c>
      <c r="M367" s="21" t="s">
        <v>4555</v>
      </c>
      <c r="N367" s="21" t="s">
        <v>561</v>
      </c>
      <c r="O367" s="21" t="s">
        <v>93</v>
      </c>
      <c r="P367" s="21" t="s">
        <v>539</v>
      </c>
      <c r="R367" s="21" t="s">
        <v>562</v>
      </c>
      <c r="S367" s="21" t="s">
        <v>559</v>
      </c>
      <c r="V367" s="21" t="s">
        <v>277</v>
      </c>
      <c r="W367" s="21" t="s">
        <v>524</v>
      </c>
      <c r="X367" s="21" t="s">
        <v>525</v>
      </c>
      <c r="Y367" s="21" t="s">
        <v>530</v>
      </c>
      <c r="Z367" s="21">
        <v>3035813572</v>
      </c>
      <c r="AA367" s="26">
        <v>42751</v>
      </c>
      <c r="AB367" s="26">
        <v>42751</v>
      </c>
      <c r="AC367" s="21" t="s">
        <v>504</v>
      </c>
      <c r="AD367" s="21" t="s">
        <v>505</v>
      </c>
      <c r="AE367" s="21" t="s">
        <v>1156</v>
      </c>
      <c r="AF367" s="21" t="s">
        <v>1505</v>
      </c>
      <c r="AG367" s="21" t="s">
        <v>1506</v>
      </c>
      <c r="AH367" s="21" t="s">
        <v>1507</v>
      </c>
      <c r="AI367" s="21" t="s">
        <v>1372</v>
      </c>
      <c r="AJ367" s="21" t="s">
        <v>507</v>
      </c>
      <c r="AK367" s="21" t="s">
        <v>494</v>
      </c>
      <c r="AL367" s="21" t="s">
        <v>527</v>
      </c>
      <c r="AM367" s="21" t="s">
        <v>527</v>
      </c>
      <c r="AN367" s="21" t="s">
        <v>527</v>
      </c>
      <c r="AO367" s="21" t="s">
        <v>528</v>
      </c>
      <c r="AS367" s="21" t="s">
        <v>511</v>
      </c>
      <c r="AT367" s="21" t="s">
        <v>512</v>
      </c>
      <c r="AW367" s="21">
        <v>0</v>
      </c>
      <c r="AX367" s="21">
        <v>3</v>
      </c>
      <c r="AY367" s="26"/>
      <c r="AZ367" s="26"/>
      <c r="BB367" s="26"/>
      <c r="BC367" s="21" t="s">
        <v>513</v>
      </c>
      <c r="BD367" s="21" t="s">
        <v>514</v>
      </c>
      <c r="BE367" s="21" t="s">
        <v>514</v>
      </c>
      <c r="BF367" s="21" t="s">
        <v>515</v>
      </c>
      <c r="BG367" s="21">
        <v>1</v>
      </c>
      <c r="BH367" s="21" t="s">
        <v>516</v>
      </c>
      <c r="BI367" s="21" t="s">
        <v>517</v>
      </c>
      <c r="BJ367" s="21" t="s">
        <v>516</v>
      </c>
      <c r="BK367" s="21" t="s">
        <v>516</v>
      </c>
      <c r="BM367" s="21" t="s">
        <v>1887</v>
      </c>
      <c r="BN367" s="21" t="s">
        <v>216</v>
      </c>
      <c r="BO367" s="21" t="s">
        <v>518</v>
      </c>
      <c r="BP367" s="21" t="s">
        <v>1044</v>
      </c>
      <c r="BQ367" s="21" t="s">
        <v>33</v>
      </c>
      <c r="BR367" s="21" t="s">
        <v>209</v>
      </c>
      <c r="BS367" s="21" t="s">
        <v>518</v>
      </c>
      <c r="BT367" s="21" t="s">
        <v>1044</v>
      </c>
      <c r="BU367" s="21" t="s">
        <v>216</v>
      </c>
      <c r="CD367" s="21" t="s">
        <v>520</v>
      </c>
      <c r="CF367" s="21" t="s">
        <v>521</v>
      </c>
      <c r="CN367" s="26"/>
      <c r="DB367" s="24" t="s">
        <v>943</v>
      </c>
      <c r="DC367" s="21">
        <v>1</v>
      </c>
      <c r="DD367" s="21">
        <v>3</v>
      </c>
      <c r="DE367" s="22">
        <v>42754</v>
      </c>
      <c r="DF367" s="21" t="s">
        <v>4556</v>
      </c>
      <c r="DG367" s="21" t="s">
        <v>522</v>
      </c>
      <c r="DH367" s="21" t="s">
        <v>4557</v>
      </c>
      <c r="DI367" s="21" t="s">
        <v>495</v>
      </c>
      <c r="DJ367" s="21" t="s">
        <v>520</v>
      </c>
      <c r="DK367" s="26"/>
      <c r="DL367" s="26">
        <v>42763</v>
      </c>
      <c r="DM367" s="26">
        <v>42753</v>
      </c>
      <c r="DN367" s="21">
        <v>1100</v>
      </c>
      <c r="DO367" s="21">
        <v>10</v>
      </c>
      <c r="DP367" s="21">
        <v>1</v>
      </c>
      <c r="DQ367" s="21">
        <v>1</v>
      </c>
      <c r="DR367" s="21">
        <v>5</v>
      </c>
      <c r="DS367" s="21">
        <v>10</v>
      </c>
      <c r="DT367" s="21">
        <v>10</v>
      </c>
      <c r="DU367" s="21">
        <v>10</v>
      </c>
      <c r="DW367" s="21">
        <v>10</v>
      </c>
      <c r="EA367" s="21">
        <v>10</v>
      </c>
      <c r="EB367" s="21" t="s">
        <v>4558</v>
      </c>
      <c r="EF367" s="25">
        <v>1</v>
      </c>
      <c r="EG367" s="25">
        <v>0</v>
      </c>
      <c r="EH367" s="25">
        <v>1</v>
      </c>
      <c r="EI367" s="25">
        <v>0</v>
      </c>
      <c r="EJ367" s="25" t="s">
        <v>92</v>
      </c>
      <c r="EK367" s="25" t="s">
        <v>217</v>
      </c>
      <c r="EL367" s="25" t="s">
        <v>210</v>
      </c>
      <c r="EM367" s="25" t="s">
        <v>276</v>
      </c>
      <c r="EN367" s="25" t="s">
        <v>31</v>
      </c>
      <c r="EO367" s="25" t="s">
        <v>31</v>
      </c>
      <c r="EP367" s="25" t="s">
        <v>92</v>
      </c>
      <c r="EQ367" s="25" t="s">
        <v>529</v>
      </c>
      <c r="ER367" s="25" t="s">
        <v>278</v>
      </c>
      <c r="ES367" s="25" t="s">
        <v>278</v>
      </c>
      <c r="ET367" s="25">
        <v>1</v>
      </c>
      <c r="EU367" s="25" t="s">
        <v>522</v>
      </c>
      <c r="EV367" s="25" t="s">
        <v>279</v>
      </c>
      <c r="EW367" s="25" t="s">
        <v>279</v>
      </c>
      <c r="EX367" s="25" t="s">
        <v>279</v>
      </c>
      <c r="EY367" s="20" t="e">
        <v>#N/A</v>
      </c>
    </row>
    <row r="368" spans="1:155">
      <c r="A368" s="21" t="s">
        <v>491</v>
      </c>
      <c r="B368" s="21" t="s">
        <v>491</v>
      </c>
      <c r="C368" s="21" t="s">
        <v>492</v>
      </c>
      <c r="D368" s="21" t="s">
        <v>493</v>
      </c>
      <c r="E368" s="21" t="s">
        <v>493</v>
      </c>
      <c r="F368" s="21" t="s">
        <v>493</v>
      </c>
      <c r="G368" s="21" t="s">
        <v>4559</v>
      </c>
      <c r="H368" s="21">
        <v>3133351799</v>
      </c>
      <c r="I368" s="21" t="s">
        <v>494</v>
      </c>
      <c r="J368" s="21" t="s">
        <v>4560</v>
      </c>
      <c r="L368" s="21" t="s">
        <v>495</v>
      </c>
      <c r="M368" s="21" t="s">
        <v>4561</v>
      </c>
      <c r="N368" s="21" t="s">
        <v>4562</v>
      </c>
      <c r="O368" s="21" t="s">
        <v>79</v>
      </c>
      <c r="P368" s="21" t="s">
        <v>570</v>
      </c>
      <c r="R368" s="21" t="s">
        <v>4563</v>
      </c>
      <c r="S368" s="21" t="s">
        <v>4564</v>
      </c>
      <c r="V368" s="21" t="s">
        <v>500</v>
      </c>
      <c r="W368" s="21" t="s">
        <v>501</v>
      </c>
      <c r="X368" s="21" t="s">
        <v>502</v>
      </c>
      <c r="Y368" s="21" t="s">
        <v>503</v>
      </c>
      <c r="Z368" s="21">
        <v>3035807686</v>
      </c>
      <c r="AA368" s="26">
        <v>42751</v>
      </c>
      <c r="AB368" s="26">
        <v>42751</v>
      </c>
      <c r="AC368" s="21" t="s">
        <v>504</v>
      </c>
      <c r="AD368" s="21" t="s">
        <v>505</v>
      </c>
      <c r="AE368" s="21" t="s">
        <v>500</v>
      </c>
      <c r="AF368" s="21" t="s">
        <v>564</v>
      </c>
      <c r="AG368" s="21" t="s">
        <v>571</v>
      </c>
      <c r="AH368" s="21" t="s">
        <v>572</v>
      </c>
      <c r="AI368" s="21" t="s">
        <v>4565</v>
      </c>
      <c r="AJ368" s="21" t="s">
        <v>507</v>
      </c>
      <c r="AK368" s="21" t="s">
        <v>494</v>
      </c>
      <c r="AL368" s="21" t="s">
        <v>508</v>
      </c>
      <c r="AM368" s="21" t="s">
        <v>509</v>
      </c>
      <c r="AN368" s="21" t="s">
        <v>527</v>
      </c>
      <c r="AO368" s="21" t="s">
        <v>528</v>
      </c>
      <c r="AQ368" s="21" t="s">
        <v>1431</v>
      </c>
      <c r="AS368" s="21" t="s">
        <v>511</v>
      </c>
      <c r="AT368" s="21" t="s">
        <v>512</v>
      </c>
      <c r="AW368" s="21">
        <v>0</v>
      </c>
      <c r="AX368" s="21">
        <v>2</v>
      </c>
      <c r="AY368" s="26"/>
      <c r="AZ368" s="26"/>
      <c r="BB368" s="26"/>
      <c r="BC368" s="21" t="s">
        <v>513</v>
      </c>
      <c r="BD368" s="21" t="s">
        <v>514</v>
      </c>
      <c r="BE368" s="21" t="s">
        <v>514</v>
      </c>
      <c r="BF368" s="21" t="s">
        <v>515</v>
      </c>
      <c r="BG368" s="21">
        <v>1</v>
      </c>
      <c r="BH368" s="21" t="s">
        <v>516</v>
      </c>
      <c r="BI368" s="21" t="s">
        <v>517</v>
      </c>
      <c r="BJ368" s="21" t="s">
        <v>516</v>
      </c>
      <c r="BK368" s="21" t="s">
        <v>516</v>
      </c>
      <c r="BM368" s="21" t="s">
        <v>14</v>
      </c>
      <c r="BN368" s="21" t="s">
        <v>133</v>
      </c>
      <c r="BO368" s="21" t="s">
        <v>518</v>
      </c>
      <c r="BP368" s="21" t="s">
        <v>519</v>
      </c>
      <c r="BQ368" s="21" t="s">
        <v>14</v>
      </c>
      <c r="BR368" s="21" t="s">
        <v>133</v>
      </c>
      <c r="BS368" s="21" t="s">
        <v>518</v>
      </c>
      <c r="BT368" s="21" t="s">
        <v>519</v>
      </c>
      <c r="BU368" s="21" t="s">
        <v>133</v>
      </c>
      <c r="CD368" s="21" t="s">
        <v>520</v>
      </c>
      <c r="CF368" s="21" t="s">
        <v>521</v>
      </c>
      <c r="CN368" s="26"/>
      <c r="DB368" s="24" t="s">
        <v>943</v>
      </c>
      <c r="DC368" s="21">
        <v>1</v>
      </c>
      <c r="DD368" s="21">
        <v>3</v>
      </c>
      <c r="DE368" s="22">
        <v>42754</v>
      </c>
      <c r="DF368" s="21" t="s">
        <v>4566</v>
      </c>
      <c r="DG368" s="21" t="s">
        <v>522</v>
      </c>
      <c r="DH368" s="21" t="s">
        <v>4567</v>
      </c>
      <c r="DI368" s="21" t="s">
        <v>495</v>
      </c>
      <c r="DJ368" s="21" t="s">
        <v>520</v>
      </c>
      <c r="DK368" s="26"/>
      <c r="DL368" s="26">
        <v>42763</v>
      </c>
      <c r="DM368" s="26">
        <v>42753</v>
      </c>
      <c r="DN368" s="21">
        <v>3100</v>
      </c>
      <c r="DO368" s="21">
        <v>8</v>
      </c>
      <c r="DP368" s="21">
        <v>1</v>
      </c>
      <c r="DQ368" s="21">
        <v>1</v>
      </c>
      <c r="DR368" s="21">
        <v>6</v>
      </c>
      <c r="DS368" s="21">
        <v>8</v>
      </c>
      <c r="DT368" s="21">
        <v>8</v>
      </c>
      <c r="DU368" s="21">
        <v>9</v>
      </c>
      <c r="DW368" s="21">
        <v>8</v>
      </c>
      <c r="EA368" s="21">
        <v>4</v>
      </c>
      <c r="EF368" s="25">
        <v>0</v>
      </c>
      <c r="EG368" s="25">
        <v>1</v>
      </c>
      <c r="EH368" s="25">
        <v>0</v>
      </c>
      <c r="EI368" s="25">
        <v>0</v>
      </c>
      <c r="EJ368" s="25" t="s">
        <v>62</v>
      </c>
      <c r="EK368" s="25" t="s">
        <v>134</v>
      </c>
      <c r="EL368" s="25" t="s">
        <v>134</v>
      </c>
      <c r="EM368" s="25" t="s">
        <v>276</v>
      </c>
      <c r="EN368" s="25" t="s">
        <v>9</v>
      </c>
      <c r="EO368" s="25" t="s">
        <v>9</v>
      </c>
      <c r="EP368" s="25" t="s">
        <v>62</v>
      </c>
      <c r="EQ368" s="25" t="s">
        <v>62</v>
      </c>
      <c r="ER368" s="25" t="s">
        <v>278</v>
      </c>
      <c r="ES368" s="25" t="s">
        <v>278</v>
      </c>
      <c r="ET368" s="25">
        <v>1</v>
      </c>
      <c r="EU368" s="25" t="s">
        <v>522</v>
      </c>
      <c r="EV368" s="25" t="s">
        <v>134</v>
      </c>
      <c r="EW368" s="25" t="s">
        <v>9</v>
      </c>
      <c r="EX368" s="25" t="s">
        <v>278</v>
      </c>
      <c r="EY368" s="20" t="e">
        <v>#N/A</v>
      </c>
    </row>
    <row r="369" spans="1:155">
      <c r="A369" s="21" t="s">
        <v>491</v>
      </c>
      <c r="B369" s="21" t="s">
        <v>491</v>
      </c>
      <c r="C369" s="21" t="s">
        <v>492</v>
      </c>
      <c r="D369" s="21" t="s">
        <v>493</v>
      </c>
      <c r="E369" s="21" t="s">
        <v>493</v>
      </c>
      <c r="F369" s="21" t="s">
        <v>493</v>
      </c>
      <c r="G369" s="21" t="s">
        <v>4568</v>
      </c>
      <c r="H369" s="21" t="s">
        <v>4569</v>
      </c>
      <c r="I369" s="21" t="s">
        <v>494</v>
      </c>
      <c r="J369" s="21" t="s">
        <v>4570</v>
      </c>
      <c r="L369" s="21" t="s">
        <v>495</v>
      </c>
      <c r="M369" s="21" t="s">
        <v>4571</v>
      </c>
      <c r="N369" s="21" t="s">
        <v>1659</v>
      </c>
      <c r="O369" s="21" t="s">
        <v>100</v>
      </c>
      <c r="P369" s="21" t="s">
        <v>1187</v>
      </c>
      <c r="Q369" s="21" t="s">
        <v>1168</v>
      </c>
      <c r="R369" s="21" t="s">
        <v>1660</v>
      </c>
      <c r="S369" s="21" t="s">
        <v>1661</v>
      </c>
      <c r="V369" s="21" t="s">
        <v>277</v>
      </c>
      <c r="W369" s="21" t="s">
        <v>524</v>
      </c>
      <c r="X369" s="21" t="s">
        <v>525</v>
      </c>
      <c r="Y369" s="21" t="s">
        <v>1190</v>
      </c>
      <c r="Z369" s="21">
        <v>3035621601</v>
      </c>
      <c r="AA369" s="26">
        <v>42744</v>
      </c>
      <c r="AB369" s="26">
        <v>42751</v>
      </c>
      <c r="AC369" s="21" t="s">
        <v>504</v>
      </c>
      <c r="AD369" s="21" t="s">
        <v>505</v>
      </c>
      <c r="AE369" s="21" t="s">
        <v>1156</v>
      </c>
      <c r="AF369" s="21" t="s">
        <v>1157</v>
      </c>
      <c r="AG369" s="21" t="s">
        <v>1389</v>
      </c>
      <c r="AH369" s="21" t="s">
        <v>1390</v>
      </c>
      <c r="AI369" s="21" t="s">
        <v>4572</v>
      </c>
      <c r="AJ369" s="21" t="s">
        <v>507</v>
      </c>
      <c r="AK369" s="21" t="s">
        <v>494</v>
      </c>
      <c r="AL369" s="21" t="s">
        <v>527</v>
      </c>
      <c r="AM369" s="21" t="s">
        <v>527</v>
      </c>
      <c r="AN369" s="21" t="s">
        <v>527</v>
      </c>
      <c r="AO369" s="21" t="s">
        <v>528</v>
      </c>
      <c r="AS369" s="21" t="s">
        <v>511</v>
      </c>
      <c r="AT369" s="21" t="s">
        <v>512</v>
      </c>
      <c r="AW369" s="21">
        <v>0</v>
      </c>
      <c r="AX369" s="21">
        <v>10</v>
      </c>
      <c r="AY369" s="26"/>
      <c r="AZ369" s="26"/>
      <c r="BB369" s="26"/>
      <c r="BC369" s="21" t="s">
        <v>513</v>
      </c>
      <c r="BD369" s="21" t="s">
        <v>514</v>
      </c>
      <c r="BE369" s="21" t="s">
        <v>514</v>
      </c>
      <c r="BF369" s="21" t="s">
        <v>515</v>
      </c>
      <c r="BG369" s="21">
        <v>1</v>
      </c>
      <c r="BH369" s="21" t="s">
        <v>516</v>
      </c>
      <c r="BI369" s="21" t="s">
        <v>517</v>
      </c>
      <c r="BJ369" s="21" t="s">
        <v>516</v>
      </c>
      <c r="BK369" s="21" t="s">
        <v>516</v>
      </c>
      <c r="BM369" s="21" t="s">
        <v>1252</v>
      </c>
      <c r="BN369" s="21" t="s">
        <v>225</v>
      </c>
      <c r="BO369" s="21" t="s">
        <v>518</v>
      </c>
      <c r="BP369" s="21" t="s">
        <v>1044</v>
      </c>
      <c r="BQ369" s="21" t="s">
        <v>1362</v>
      </c>
      <c r="BR369" s="21" t="s">
        <v>236</v>
      </c>
      <c r="BS369" s="21" t="s">
        <v>518</v>
      </c>
      <c r="BT369" s="21" t="s">
        <v>1044</v>
      </c>
      <c r="BU369" s="21" t="s">
        <v>225</v>
      </c>
      <c r="CD369" s="21" t="s">
        <v>520</v>
      </c>
      <c r="CF369" s="21" t="s">
        <v>521</v>
      </c>
      <c r="CN369" s="26"/>
      <c r="DB369" s="24" t="s">
        <v>943</v>
      </c>
      <c r="DC369" s="21">
        <v>1</v>
      </c>
      <c r="DD369" s="21">
        <v>3</v>
      </c>
      <c r="DE369" s="22">
        <v>42754</v>
      </c>
      <c r="DF369" s="21" t="s">
        <v>4573</v>
      </c>
      <c r="DG369" s="21" t="s">
        <v>522</v>
      </c>
      <c r="DH369" s="21" t="s">
        <v>4574</v>
      </c>
      <c r="DI369" s="21" t="s">
        <v>495</v>
      </c>
      <c r="DJ369" s="21" t="s">
        <v>520</v>
      </c>
      <c r="DK369" s="26"/>
      <c r="DL369" s="26">
        <v>42763</v>
      </c>
      <c r="DM369" s="26">
        <v>42753</v>
      </c>
      <c r="DN369" s="21">
        <v>1100</v>
      </c>
      <c r="DO369" s="21">
        <v>7</v>
      </c>
      <c r="DP369" s="21">
        <v>1</v>
      </c>
      <c r="DQ369" s="21">
        <v>2</v>
      </c>
      <c r="DR369" s="21">
        <v>5</v>
      </c>
      <c r="DS369" s="21">
        <v>7</v>
      </c>
      <c r="DT369" s="21">
        <v>8</v>
      </c>
      <c r="DU369" s="21">
        <v>9</v>
      </c>
      <c r="DW369" s="21">
        <v>6</v>
      </c>
      <c r="EA369" s="21">
        <v>8</v>
      </c>
      <c r="EF369" s="25">
        <v>0</v>
      </c>
      <c r="EG369" s="25">
        <v>0</v>
      </c>
      <c r="EH369" s="25">
        <v>0</v>
      </c>
      <c r="EI369" s="25">
        <v>0</v>
      </c>
      <c r="EJ369" s="25" t="s">
        <v>92</v>
      </c>
      <c r="EK369" s="25" t="s">
        <v>226</v>
      </c>
      <c r="EL369" s="25" t="s">
        <v>237</v>
      </c>
      <c r="EM369" s="25" t="s">
        <v>276</v>
      </c>
      <c r="EN369" s="25" t="s">
        <v>39</v>
      </c>
      <c r="EO369" s="25" t="s">
        <v>39</v>
      </c>
      <c r="EP369" s="25" t="s">
        <v>92</v>
      </c>
      <c r="EQ369" s="25" t="s">
        <v>92</v>
      </c>
      <c r="ER369" s="25" t="s">
        <v>278</v>
      </c>
      <c r="ES369" s="25" t="s">
        <v>278</v>
      </c>
      <c r="ET369" s="25">
        <v>1</v>
      </c>
      <c r="EU369" s="25" t="s">
        <v>522</v>
      </c>
      <c r="EV369" s="25" t="s">
        <v>279</v>
      </c>
      <c r="EW369" s="25" t="s">
        <v>279</v>
      </c>
      <c r="EX369" s="25" t="s">
        <v>279</v>
      </c>
      <c r="EY369" s="20" t="e">
        <v>#N/A</v>
      </c>
    </row>
    <row r="370" spans="1:155">
      <c r="A370" s="21" t="s">
        <v>491</v>
      </c>
      <c r="B370" s="21" t="s">
        <v>491</v>
      </c>
      <c r="C370" s="21" t="s">
        <v>492</v>
      </c>
      <c r="D370" s="21" t="s">
        <v>493</v>
      </c>
      <c r="E370" s="21" t="s">
        <v>493</v>
      </c>
      <c r="F370" s="21" t="s">
        <v>493</v>
      </c>
      <c r="G370" s="21" t="s">
        <v>4575</v>
      </c>
      <c r="H370" s="21">
        <v>84999040747</v>
      </c>
      <c r="I370" s="21">
        <v>84991763949</v>
      </c>
      <c r="J370" s="21" t="s">
        <v>4576</v>
      </c>
      <c r="L370" s="21" t="s">
        <v>495</v>
      </c>
      <c r="M370" s="21" t="s">
        <v>4577</v>
      </c>
      <c r="N370" s="21" t="s">
        <v>3553</v>
      </c>
      <c r="O370" s="21" t="s">
        <v>58</v>
      </c>
      <c r="P370" s="21" t="s">
        <v>557</v>
      </c>
      <c r="R370" s="21" t="s">
        <v>3554</v>
      </c>
      <c r="S370" s="21" t="s">
        <v>3555</v>
      </c>
      <c r="V370" s="21" t="s">
        <v>500</v>
      </c>
      <c r="W370" s="21" t="s">
        <v>501</v>
      </c>
      <c r="X370" s="21" t="s">
        <v>502</v>
      </c>
      <c r="Y370" s="21" t="s">
        <v>558</v>
      </c>
      <c r="Z370" s="21">
        <v>3035812205</v>
      </c>
      <c r="AA370" s="26">
        <v>42751</v>
      </c>
      <c r="AB370" s="26">
        <v>42751</v>
      </c>
      <c r="AC370" s="21" t="s">
        <v>504</v>
      </c>
      <c r="AD370" s="21" t="s">
        <v>505</v>
      </c>
      <c r="AE370" s="21" t="s">
        <v>1020</v>
      </c>
      <c r="AF370" s="21" t="s">
        <v>4278</v>
      </c>
      <c r="AG370" s="21" t="s">
        <v>4578</v>
      </c>
      <c r="AH370" s="21" t="s">
        <v>4579</v>
      </c>
      <c r="AI370" s="21" t="s">
        <v>2561</v>
      </c>
      <c r="AJ370" s="21" t="s">
        <v>526</v>
      </c>
      <c r="AK370" s="21" t="s">
        <v>494</v>
      </c>
      <c r="AL370" s="21" t="s">
        <v>527</v>
      </c>
      <c r="AM370" s="21" t="s">
        <v>527</v>
      </c>
      <c r="AN370" s="21" t="s">
        <v>527</v>
      </c>
      <c r="AO370" s="21" t="s">
        <v>528</v>
      </c>
      <c r="AS370" s="21" t="s">
        <v>511</v>
      </c>
      <c r="AT370" s="21" t="s">
        <v>512</v>
      </c>
      <c r="AW370" s="21">
        <v>0</v>
      </c>
      <c r="AX370" s="21">
        <v>2</v>
      </c>
      <c r="AY370" s="26"/>
      <c r="AZ370" s="26"/>
      <c r="BB370" s="26"/>
      <c r="BC370" s="21" t="s">
        <v>513</v>
      </c>
      <c r="BD370" s="21" t="s">
        <v>514</v>
      </c>
      <c r="BE370" s="21" t="s">
        <v>514</v>
      </c>
      <c r="BF370" s="21" t="s">
        <v>515</v>
      </c>
      <c r="BG370" s="21">
        <v>1</v>
      </c>
      <c r="BH370" s="21" t="s">
        <v>516</v>
      </c>
      <c r="BI370" s="21" t="s">
        <v>517</v>
      </c>
      <c r="BJ370" s="21" t="s">
        <v>516</v>
      </c>
      <c r="BK370" s="21" t="s">
        <v>516</v>
      </c>
      <c r="BM370" s="21" t="s">
        <v>30</v>
      </c>
      <c r="BN370" s="21" t="s">
        <v>179</v>
      </c>
      <c r="BO370" s="21" t="s">
        <v>518</v>
      </c>
      <c r="BP370" s="21" t="s">
        <v>519</v>
      </c>
      <c r="BQ370" s="21" t="s">
        <v>30</v>
      </c>
      <c r="BR370" s="21" t="s">
        <v>179</v>
      </c>
      <c r="BS370" s="21" t="s">
        <v>518</v>
      </c>
      <c r="BT370" s="21" t="s">
        <v>519</v>
      </c>
      <c r="BU370" s="21" t="s">
        <v>179</v>
      </c>
      <c r="CD370" s="21" t="s">
        <v>520</v>
      </c>
      <c r="CF370" s="21" t="s">
        <v>521</v>
      </c>
      <c r="CN370" s="26"/>
      <c r="DB370" s="24" t="s">
        <v>943</v>
      </c>
      <c r="DC370" s="21">
        <v>1</v>
      </c>
      <c r="DD370" s="21">
        <v>3</v>
      </c>
      <c r="DE370" s="22">
        <v>42754</v>
      </c>
      <c r="DF370" s="21" t="s">
        <v>4580</v>
      </c>
      <c r="DG370" s="21" t="s">
        <v>522</v>
      </c>
      <c r="DH370" s="21" t="s">
        <v>4581</v>
      </c>
      <c r="DI370" s="21" t="s">
        <v>495</v>
      </c>
      <c r="DJ370" s="21" t="s">
        <v>520</v>
      </c>
      <c r="DK370" s="26"/>
      <c r="DL370" s="26">
        <v>42763</v>
      </c>
      <c r="DM370" s="26">
        <v>42753</v>
      </c>
      <c r="DN370" s="21">
        <v>3100</v>
      </c>
      <c r="DO370" s="21">
        <v>10</v>
      </c>
      <c r="DP370" s="21">
        <v>1</v>
      </c>
      <c r="DQ370" s="21">
        <v>1</v>
      </c>
      <c r="DR370" s="21">
        <v>7</v>
      </c>
      <c r="DS370" s="21">
        <v>10</v>
      </c>
      <c r="DT370" s="21">
        <v>10</v>
      </c>
      <c r="DU370" s="21">
        <v>10</v>
      </c>
      <c r="DW370" s="21">
        <v>10</v>
      </c>
      <c r="EA370" s="21">
        <v>10</v>
      </c>
      <c r="EF370" s="25">
        <v>1</v>
      </c>
      <c r="EG370" s="25">
        <v>0</v>
      </c>
      <c r="EH370" s="25">
        <v>1</v>
      </c>
      <c r="EI370" s="25">
        <v>0</v>
      </c>
      <c r="EJ370" s="25" t="s">
        <v>62</v>
      </c>
      <c r="EK370" s="25" t="s">
        <v>180</v>
      </c>
      <c r="EL370" s="25" t="s">
        <v>180</v>
      </c>
      <c r="EM370" s="25" t="s">
        <v>276</v>
      </c>
      <c r="EN370" s="25" t="s">
        <v>23</v>
      </c>
      <c r="EO370" s="25" t="s">
        <v>23</v>
      </c>
      <c r="EP370" s="25" t="s">
        <v>62</v>
      </c>
      <c r="EQ370" s="25" t="s">
        <v>62</v>
      </c>
      <c r="ER370" s="25" t="s">
        <v>278</v>
      </c>
      <c r="ES370" s="25" t="s">
        <v>278</v>
      </c>
      <c r="ET370" s="25">
        <v>1</v>
      </c>
      <c r="EU370" s="25" t="s">
        <v>522</v>
      </c>
      <c r="EV370" s="25" t="s">
        <v>180</v>
      </c>
      <c r="EW370" s="25" t="s">
        <v>23</v>
      </c>
      <c r="EX370" s="25" t="s">
        <v>278</v>
      </c>
      <c r="EY370" s="20" t="e">
        <v>#N/A</v>
      </c>
    </row>
    <row r="371" spans="1:155">
      <c r="A371" s="21" t="s">
        <v>491</v>
      </c>
      <c r="B371" s="21" t="s">
        <v>491</v>
      </c>
      <c r="C371" s="21" t="s">
        <v>492</v>
      </c>
      <c r="D371" s="21" t="s">
        <v>493</v>
      </c>
      <c r="E371" s="21" t="s">
        <v>493</v>
      </c>
      <c r="F371" s="21" t="s">
        <v>493</v>
      </c>
      <c r="G371" s="21" t="s">
        <v>4582</v>
      </c>
      <c r="H371" s="21">
        <v>1932557536</v>
      </c>
      <c r="I371" s="21" t="s">
        <v>494</v>
      </c>
      <c r="J371" s="21" t="s">
        <v>4583</v>
      </c>
      <c r="L371" s="21" t="s">
        <v>495</v>
      </c>
      <c r="M371" s="21" t="s">
        <v>4584</v>
      </c>
      <c r="N371" s="21" t="s">
        <v>576</v>
      </c>
      <c r="O371" s="21" t="s">
        <v>79</v>
      </c>
      <c r="P371" s="21" t="s">
        <v>570</v>
      </c>
      <c r="R371" s="21" t="s">
        <v>577</v>
      </c>
      <c r="S371" s="21" t="s">
        <v>578</v>
      </c>
      <c r="V371" s="21" t="s">
        <v>500</v>
      </c>
      <c r="W371" s="21" t="s">
        <v>501</v>
      </c>
      <c r="X371" s="21" t="s">
        <v>502</v>
      </c>
      <c r="Y371" s="21" t="s">
        <v>503</v>
      </c>
      <c r="Z371" s="21">
        <v>3035830700</v>
      </c>
      <c r="AA371" s="26">
        <v>42751</v>
      </c>
      <c r="AB371" s="26">
        <v>42751</v>
      </c>
      <c r="AC371" s="21" t="s">
        <v>504</v>
      </c>
      <c r="AD371" s="21" t="s">
        <v>505</v>
      </c>
      <c r="AE371" s="21" t="s">
        <v>500</v>
      </c>
      <c r="AF371" s="21" t="s">
        <v>549</v>
      </c>
      <c r="AG371" s="21" t="s">
        <v>555</v>
      </c>
      <c r="AH371" s="21" t="s">
        <v>556</v>
      </c>
      <c r="AI371" s="21" t="s">
        <v>4585</v>
      </c>
      <c r="AJ371" s="21" t="s">
        <v>526</v>
      </c>
      <c r="AK371" s="21" t="s">
        <v>494</v>
      </c>
      <c r="AL371" s="21" t="s">
        <v>527</v>
      </c>
      <c r="AM371" s="21" t="s">
        <v>527</v>
      </c>
      <c r="AN371" s="21" t="s">
        <v>527</v>
      </c>
      <c r="AO371" s="21" t="s">
        <v>528</v>
      </c>
      <c r="AS371" s="21" t="s">
        <v>511</v>
      </c>
      <c r="AT371" s="21" t="s">
        <v>512</v>
      </c>
      <c r="AW371" s="21">
        <v>0</v>
      </c>
      <c r="AX371" s="21">
        <v>2</v>
      </c>
      <c r="AY371" s="26"/>
      <c r="AZ371" s="26"/>
      <c r="BB371" s="26"/>
      <c r="BC371" s="21" t="s">
        <v>513</v>
      </c>
      <c r="BD371" s="21" t="s">
        <v>514</v>
      </c>
      <c r="BE371" s="21" t="s">
        <v>514</v>
      </c>
      <c r="BF371" s="21" t="s">
        <v>515</v>
      </c>
      <c r="BG371" s="21">
        <v>1</v>
      </c>
      <c r="BH371" s="21" t="s">
        <v>516</v>
      </c>
      <c r="BI371" s="21" t="s">
        <v>517</v>
      </c>
      <c r="BJ371" s="21" t="s">
        <v>516</v>
      </c>
      <c r="BK371" s="21" t="s">
        <v>516</v>
      </c>
      <c r="BM371" s="21" t="s">
        <v>4381</v>
      </c>
      <c r="BN371" s="21" t="s">
        <v>4001</v>
      </c>
      <c r="BO371" s="21" t="s">
        <v>518</v>
      </c>
      <c r="BP371" s="21" t="s">
        <v>519</v>
      </c>
      <c r="BQ371" s="21" t="s">
        <v>4381</v>
      </c>
      <c r="BR371" s="21" t="s">
        <v>4001</v>
      </c>
      <c r="BS371" s="21" t="s">
        <v>518</v>
      </c>
      <c r="BT371" s="21" t="s">
        <v>519</v>
      </c>
      <c r="BU371" s="21" t="s">
        <v>4001</v>
      </c>
      <c r="CD371" s="21" t="s">
        <v>520</v>
      </c>
      <c r="CF371" s="21" t="s">
        <v>521</v>
      </c>
      <c r="CN371" s="26"/>
      <c r="DB371" s="24" t="s">
        <v>943</v>
      </c>
      <c r="DC371" s="21">
        <v>1</v>
      </c>
      <c r="DD371" s="21">
        <v>3</v>
      </c>
      <c r="DE371" s="22">
        <v>42754</v>
      </c>
      <c r="DF371" s="21" t="s">
        <v>4586</v>
      </c>
      <c r="DG371" s="21" t="s">
        <v>522</v>
      </c>
      <c r="DH371" s="21" t="s">
        <v>4587</v>
      </c>
      <c r="DI371" s="21" t="s">
        <v>495</v>
      </c>
      <c r="DJ371" s="21" t="s">
        <v>520</v>
      </c>
      <c r="DK371" s="26"/>
      <c r="DL371" s="26">
        <v>42763</v>
      </c>
      <c r="DM371" s="26">
        <v>42753</v>
      </c>
      <c r="DN371" s="21">
        <v>3100</v>
      </c>
      <c r="DO371" s="21">
        <v>9</v>
      </c>
      <c r="DP371" s="21">
        <v>1</v>
      </c>
      <c r="DQ371" s="21">
        <v>1</v>
      </c>
      <c r="DR371" s="21">
        <v>6</v>
      </c>
      <c r="DS371" s="21">
        <v>10</v>
      </c>
      <c r="DT371" s="21">
        <v>10</v>
      </c>
      <c r="DU371" s="21">
        <v>10</v>
      </c>
      <c r="DW371" s="21">
        <v>9</v>
      </c>
      <c r="EA371" s="21">
        <v>10</v>
      </c>
      <c r="EB371" s="21" t="s">
        <v>4588</v>
      </c>
      <c r="EF371" s="25">
        <v>1</v>
      </c>
      <c r="EG371" s="25">
        <v>0</v>
      </c>
      <c r="EH371" s="25">
        <v>1</v>
      </c>
      <c r="EI371" s="25">
        <v>0</v>
      </c>
      <c r="EJ371" s="25" t="s">
        <v>62</v>
      </c>
      <c r="EK371" s="25" t="s">
        <v>190</v>
      </c>
      <c r="EL371" s="25" t="s">
        <v>190</v>
      </c>
      <c r="EM371" s="25" t="s">
        <v>276</v>
      </c>
      <c r="EN371" s="25" t="s">
        <v>23</v>
      </c>
      <c r="EO371" s="25" t="s">
        <v>23</v>
      </c>
      <c r="EP371" s="25" t="s">
        <v>62</v>
      </c>
      <c r="EQ371" s="25" t="s">
        <v>62</v>
      </c>
      <c r="ER371" s="25" t="s">
        <v>278</v>
      </c>
      <c r="ES371" s="25" t="s">
        <v>278</v>
      </c>
      <c r="ET371" s="25">
        <v>1</v>
      </c>
      <c r="EU371" s="25" t="s">
        <v>522</v>
      </c>
      <c r="EV371" s="25" t="s">
        <v>190</v>
      </c>
      <c r="EW371" s="25" t="s">
        <v>23</v>
      </c>
      <c r="EX371" s="25" t="s">
        <v>278</v>
      </c>
      <c r="EY371" s="20" t="e">
        <v>#N/A</v>
      </c>
    </row>
    <row r="372" spans="1:155">
      <c r="A372" s="21" t="s">
        <v>491</v>
      </c>
      <c r="B372" s="21" t="s">
        <v>491</v>
      </c>
      <c r="C372" s="21" t="s">
        <v>492</v>
      </c>
      <c r="D372" s="21" t="s">
        <v>493</v>
      </c>
      <c r="E372" s="21" t="s">
        <v>493</v>
      </c>
      <c r="F372" s="21" t="s">
        <v>493</v>
      </c>
      <c r="G372" s="21" t="s">
        <v>4589</v>
      </c>
      <c r="H372" s="21" t="s">
        <v>4590</v>
      </c>
      <c r="I372" s="21" t="s">
        <v>494</v>
      </c>
      <c r="J372" s="21" t="s">
        <v>4591</v>
      </c>
      <c r="L372" s="21" t="s">
        <v>495</v>
      </c>
      <c r="M372" s="21" t="s">
        <v>4592</v>
      </c>
      <c r="N372" s="21" t="s">
        <v>1103</v>
      </c>
      <c r="O372" s="21" t="s">
        <v>93</v>
      </c>
      <c r="P372" s="21" t="s">
        <v>539</v>
      </c>
      <c r="Q372" s="21" t="s">
        <v>1168</v>
      </c>
      <c r="R372" s="21" t="s">
        <v>1104</v>
      </c>
      <c r="S372" s="21" t="s">
        <v>559</v>
      </c>
      <c r="V372" s="21" t="s">
        <v>277</v>
      </c>
      <c r="W372" s="21" t="s">
        <v>524</v>
      </c>
      <c r="X372" s="21" t="s">
        <v>525</v>
      </c>
      <c r="Y372" s="21" t="s">
        <v>530</v>
      </c>
      <c r="Z372" s="21">
        <v>3035754362</v>
      </c>
      <c r="AA372" s="26">
        <v>42748</v>
      </c>
      <c r="AB372" s="26">
        <v>42751</v>
      </c>
      <c r="AC372" s="21" t="s">
        <v>504</v>
      </c>
      <c r="AD372" s="21" t="s">
        <v>505</v>
      </c>
      <c r="AE372" s="21" t="s">
        <v>1020</v>
      </c>
      <c r="AF372" s="21" t="s">
        <v>1369</v>
      </c>
      <c r="AG372" s="21" t="s">
        <v>1370</v>
      </c>
      <c r="AH372" s="21" t="s">
        <v>1371</v>
      </c>
      <c r="AI372" s="21" t="s">
        <v>3531</v>
      </c>
      <c r="AJ372" s="21" t="s">
        <v>526</v>
      </c>
      <c r="AK372" s="21" t="s">
        <v>494</v>
      </c>
      <c r="AL372" s="21" t="s">
        <v>527</v>
      </c>
      <c r="AM372" s="21" t="s">
        <v>527</v>
      </c>
      <c r="AN372" s="21" t="s">
        <v>527</v>
      </c>
      <c r="AO372" s="21" t="s">
        <v>528</v>
      </c>
      <c r="AS372" s="21" t="s">
        <v>511</v>
      </c>
      <c r="AT372" s="21" t="s">
        <v>512</v>
      </c>
      <c r="AW372" s="21">
        <v>0</v>
      </c>
      <c r="AX372" s="21">
        <v>6</v>
      </c>
      <c r="AY372" s="26"/>
      <c r="AZ372" s="26"/>
      <c r="BB372" s="26"/>
      <c r="BC372" s="21" t="s">
        <v>513</v>
      </c>
      <c r="BD372" s="21" t="s">
        <v>514</v>
      </c>
      <c r="BE372" s="21" t="s">
        <v>514</v>
      </c>
      <c r="BF372" s="21" t="s">
        <v>515</v>
      </c>
      <c r="BG372" s="21">
        <v>1</v>
      </c>
      <c r="BH372" s="21" t="s">
        <v>516</v>
      </c>
      <c r="BI372" s="21" t="s">
        <v>517</v>
      </c>
      <c r="BJ372" s="21" t="s">
        <v>516</v>
      </c>
      <c r="BK372" s="21" t="s">
        <v>516</v>
      </c>
      <c r="BM372" s="21" t="s">
        <v>1373</v>
      </c>
      <c r="BN372" s="21" t="s">
        <v>213</v>
      </c>
      <c r="BO372" s="21" t="s">
        <v>518</v>
      </c>
      <c r="BP372" s="21" t="s">
        <v>1044</v>
      </c>
      <c r="BQ372" s="21" t="s">
        <v>33</v>
      </c>
      <c r="BR372" s="21" t="s">
        <v>209</v>
      </c>
      <c r="BS372" s="21" t="s">
        <v>518</v>
      </c>
      <c r="BT372" s="21" t="s">
        <v>1044</v>
      </c>
      <c r="BU372" s="21" t="s">
        <v>213</v>
      </c>
      <c r="CD372" s="21" t="s">
        <v>520</v>
      </c>
      <c r="CF372" s="21" t="s">
        <v>521</v>
      </c>
      <c r="CN372" s="26"/>
      <c r="DB372" s="24" t="s">
        <v>943</v>
      </c>
      <c r="DC372" s="21">
        <v>1</v>
      </c>
      <c r="DD372" s="21">
        <v>3</v>
      </c>
      <c r="DE372" s="22">
        <v>42754</v>
      </c>
      <c r="DF372" s="21" t="s">
        <v>4593</v>
      </c>
      <c r="DG372" s="21" t="s">
        <v>522</v>
      </c>
      <c r="DH372" s="21" t="s">
        <v>4594</v>
      </c>
      <c r="DI372" s="21" t="s">
        <v>495</v>
      </c>
      <c r="DJ372" s="21" t="s">
        <v>520</v>
      </c>
      <c r="DK372" s="26"/>
      <c r="DL372" s="26">
        <v>42763</v>
      </c>
      <c r="DM372" s="26">
        <v>42753</v>
      </c>
      <c r="DN372" s="21">
        <v>1100</v>
      </c>
      <c r="DO372" s="21">
        <v>9</v>
      </c>
      <c r="DP372" s="21">
        <v>1</v>
      </c>
      <c r="DQ372" s="21">
        <v>1</v>
      </c>
      <c r="DR372" s="21">
        <v>6</v>
      </c>
      <c r="DS372" s="21">
        <v>9</v>
      </c>
      <c r="DT372" s="21">
        <v>9</v>
      </c>
      <c r="DU372" s="21">
        <v>9</v>
      </c>
      <c r="DW372" s="21">
        <v>9</v>
      </c>
      <c r="EA372" s="21">
        <v>10</v>
      </c>
      <c r="EF372" s="25">
        <v>1</v>
      </c>
      <c r="EG372" s="25">
        <v>0</v>
      </c>
      <c r="EH372" s="25">
        <v>1</v>
      </c>
      <c r="EI372" s="25">
        <v>0</v>
      </c>
      <c r="EJ372" s="25" t="s">
        <v>92</v>
      </c>
      <c r="EK372" s="25" t="s">
        <v>214</v>
      </c>
      <c r="EL372" s="25" t="s">
        <v>210</v>
      </c>
      <c r="EM372" s="25" t="s">
        <v>276</v>
      </c>
      <c r="EN372" s="25" t="s">
        <v>31</v>
      </c>
      <c r="EO372" s="25" t="s">
        <v>31</v>
      </c>
      <c r="EP372" s="25" t="s">
        <v>92</v>
      </c>
      <c r="EQ372" s="25" t="s">
        <v>529</v>
      </c>
      <c r="ER372" s="25" t="s">
        <v>278</v>
      </c>
      <c r="ES372" s="25" t="s">
        <v>278</v>
      </c>
      <c r="ET372" s="25">
        <v>1</v>
      </c>
      <c r="EU372" s="25" t="s">
        <v>522</v>
      </c>
      <c r="EV372" s="25" t="s">
        <v>279</v>
      </c>
      <c r="EW372" s="25" t="s">
        <v>279</v>
      </c>
      <c r="EX372" s="25" t="s">
        <v>279</v>
      </c>
      <c r="EY372" s="20" t="e">
        <v>#N/A</v>
      </c>
    </row>
    <row r="373" spans="1:155">
      <c r="A373" s="21" t="s">
        <v>491</v>
      </c>
      <c r="B373" s="21" t="s">
        <v>491</v>
      </c>
      <c r="C373" s="21" t="s">
        <v>492</v>
      </c>
      <c r="D373" s="21" t="s">
        <v>493</v>
      </c>
      <c r="E373" s="21" t="s">
        <v>493</v>
      </c>
      <c r="F373" s="21" t="s">
        <v>493</v>
      </c>
      <c r="G373" s="21" t="s">
        <v>4595</v>
      </c>
      <c r="H373" s="21">
        <v>2137568415</v>
      </c>
      <c r="I373" s="21" t="s">
        <v>494</v>
      </c>
      <c r="J373" s="21" t="s">
        <v>4596</v>
      </c>
      <c r="L373" s="21" t="s">
        <v>495</v>
      </c>
      <c r="M373" s="21" t="s">
        <v>4597</v>
      </c>
      <c r="N373" s="21" t="s">
        <v>1485</v>
      </c>
      <c r="O373" s="21" t="s">
        <v>97</v>
      </c>
      <c r="P373" s="21" t="s">
        <v>1040</v>
      </c>
      <c r="Q373" s="21" t="s">
        <v>1752</v>
      </c>
      <c r="R373" s="21" t="s">
        <v>1486</v>
      </c>
      <c r="S373" s="21" t="s">
        <v>1487</v>
      </c>
      <c r="V373" s="21" t="s">
        <v>500</v>
      </c>
      <c r="W373" s="21" t="s">
        <v>501</v>
      </c>
      <c r="X373" s="21" t="s">
        <v>502</v>
      </c>
      <c r="Y373" s="21" t="s">
        <v>503</v>
      </c>
      <c r="Z373" s="21">
        <v>3035819774</v>
      </c>
      <c r="AA373" s="26">
        <v>42751</v>
      </c>
      <c r="AB373" s="26">
        <v>42751</v>
      </c>
      <c r="AC373" s="21" t="s">
        <v>504</v>
      </c>
      <c r="AD373" s="21" t="s">
        <v>505</v>
      </c>
      <c r="AE373" s="21" t="s">
        <v>500</v>
      </c>
      <c r="AF373" s="21" t="s">
        <v>549</v>
      </c>
      <c r="AG373" s="21" t="s">
        <v>555</v>
      </c>
      <c r="AH373" s="21" t="s">
        <v>556</v>
      </c>
      <c r="AI373" s="21" t="s">
        <v>4598</v>
      </c>
      <c r="AJ373" s="21" t="s">
        <v>526</v>
      </c>
      <c r="AK373" s="21" t="s">
        <v>494</v>
      </c>
      <c r="AL373" s="21" t="s">
        <v>527</v>
      </c>
      <c r="AM373" s="21" t="s">
        <v>527</v>
      </c>
      <c r="AN373" s="21" t="s">
        <v>527</v>
      </c>
      <c r="AO373" s="21" t="s">
        <v>528</v>
      </c>
      <c r="AS373" s="21" t="s">
        <v>511</v>
      </c>
      <c r="AT373" s="21" t="s">
        <v>512</v>
      </c>
      <c r="AW373" s="21">
        <v>0</v>
      </c>
      <c r="AX373" s="21">
        <v>2</v>
      </c>
      <c r="AY373" s="26"/>
      <c r="AZ373" s="26"/>
      <c r="BB373" s="26"/>
      <c r="BC373" s="21" t="s">
        <v>513</v>
      </c>
      <c r="BD373" s="21" t="s">
        <v>514</v>
      </c>
      <c r="BE373" s="21" t="s">
        <v>514</v>
      </c>
      <c r="BF373" s="21" t="s">
        <v>515</v>
      </c>
      <c r="BG373" s="21">
        <v>1</v>
      </c>
      <c r="BH373" s="21" t="s">
        <v>516</v>
      </c>
      <c r="BI373" s="21" t="s">
        <v>517</v>
      </c>
      <c r="BJ373" s="21" t="s">
        <v>516</v>
      </c>
      <c r="BK373" s="21" t="s">
        <v>516</v>
      </c>
      <c r="BM373" s="21" t="s">
        <v>34</v>
      </c>
      <c r="BN373" s="21" t="s">
        <v>113</v>
      </c>
      <c r="BO373" s="21" t="s">
        <v>518</v>
      </c>
      <c r="BP373" s="21" t="s">
        <v>2836</v>
      </c>
      <c r="BQ373" s="21" t="s">
        <v>34</v>
      </c>
      <c r="BR373" s="21" t="s">
        <v>113</v>
      </c>
      <c r="BS373" s="21" t="s">
        <v>518</v>
      </c>
      <c r="BT373" s="21" t="s">
        <v>2836</v>
      </c>
      <c r="BU373" s="21" t="s">
        <v>113</v>
      </c>
      <c r="CD373" s="21" t="s">
        <v>520</v>
      </c>
      <c r="CF373" s="21" t="s">
        <v>521</v>
      </c>
      <c r="CN373" s="26"/>
      <c r="DB373" s="24" t="s">
        <v>943</v>
      </c>
      <c r="DC373" s="21">
        <v>1</v>
      </c>
      <c r="DD373" s="21">
        <v>3</v>
      </c>
      <c r="DE373" s="22">
        <v>42754</v>
      </c>
      <c r="DF373" s="21" t="s">
        <v>4599</v>
      </c>
      <c r="DG373" s="21" t="s">
        <v>522</v>
      </c>
      <c r="DH373" s="21" t="s">
        <v>4600</v>
      </c>
      <c r="DI373" s="21" t="s">
        <v>495</v>
      </c>
      <c r="DJ373" s="21" t="s">
        <v>520</v>
      </c>
      <c r="DK373" s="26"/>
      <c r="DL373" s="26">
        <v>42763</v>
      </c>
      <c r="DM373" s="26">
        <v>42753</v>
      </c>
      <c r="DN373" s="21">
        <v>3100</v>
      </c>
      <c r="DO373" s="21">
        <v>10</v>
      </c>
      <c r="DP373" s="21">
        <v>1</v>
      </c>
      <c r="DQ373" s="21">
        <v>1</v>
      </c>
      <c r="DR373" s="21">
        <v>6</v>
      </c>
      <c r="DS373" s="21">
        <v>10</v>
      </c>
      <c r="DT373" s="21">
        <v>10</v>
      </c>
      <c r="DU373" s="21">
        <v>10</v>
      </c>
      <c r="DW373" s="21">
        <v>10</v>
      </c>
      <c r="EA373" s="21">
        <v>10</v>
      </c>
      <c r="EB373" s="21" t="s">
        <v>4601</v>
      </c>
      <c r="EF373" s="25">
        <v>1</v>
      </c>
      <c r="EG373" s="25">
        <v>0</v>
      </c>
      <c r="EH373" s="25">
        <v>1</v>
      </c>
      <c r="EI373" s="25">
        <v>0</v>
      </c>
      <c r="EJ373" s="25" t="s">
        <v>62</v>
      </c>
      <c r="EK373" s="25" t="s">
        <v>114</v>
      </c>
      <c r="EL373" s="25" t="s">
        <v>114</v>
      </c>
      <c r="EM373" s="25" t="s">
        <v>276</v>
      </c>
      <c r="EN373" s="25" t="s">
        <v>31</v>
      </c>
      <c r="EO373" s="25" t="s">
        <v>31</v>
      </c>
      <c r="EP373" s="25" t="s">
        <v>62</v>
      </c>
      <c r="EQ373" s="25" t="s">
        <v>62</v>
      </c>
      <c r="ER373" s="25" t="s">
        <v>278</v>
      </c>
      <c r="ES373" s="25" t="s">
        <v>278</v>
      </c>
      <c r="ET373" s="25">
        <v>1</v>
      </c>
      <c r="EU373" s="25" t="s">
        <v>522</v>
      </c>
      <c r="EV373" s="25" t="s">
        <v>114</v>
      </c>
      <c r="EW373" s="25" t="s">
        <v>31</v>
      </c>
      <c r="EX373" s="25" t="s">
        <v>278</v>
      </c>
      <c r="EY373" s="20" t="e">
        <v>#N/A</v>
      </c>
    </row>
    <row r="374" spans="1:155">
      <c r="A374" s="21" t="s">
        <v>491</v>
      </c>
      <c r="B374" s="21" t="s">
        <v>491</v>
      </c>
      <c r="C374" s="21" t="s">
        <v>492</v>
      </c>
      <c r="D374" s="21" t="s">
        <v>493</v>
      </c>
      <c r="E374" s="21" t="s">
        <v>493</v>
      </c>
      <c r="F374" s="21" t="s">
        <v>493</v>
      </c>
      <c r="G374" s="21" t="s">
        <v>4602</v>
      </c>
      <c r="H374" s="21" t="s">
        <v>4603</v>
      </c>
      <c r="I374" s="21" t="s">
        <v>494</v>
      </c>
      <c r="J374" s="21" t="s">
        <v>4604</v>
      </c>
      <c r="L374" s="21" t="s">
        <v>495</v>
      </c>
      <c r="M374" s="21" t="s">
        <v>4605</v>
      </c>
      <c r="N374" s="21" t="s">
        <v>1450</v>
      </c>
      <c r="O374" s="21" t="s">
        <v>93</v>
      </c>
      <c r="P374" s="21" t="s">
        <v>539</v>
      </c>
      <c r="Q374" s="21" t="s">
        <v>1168</v>
      </c>
      <c r="R374" s="21" t="s">
        <v>1451</v>
      </c>
      <c r="S374" s="21" t="s">
        <v>1068</v>
      </c>
      <c r="V374" s="21" t="s">
        <v>277</v>
      </c>
      <c r="W374" s="21" t="s">
        <v>524</v>
      </c>
      <c r="X374" s="21" t="s">
        <v>525</v>
      </c>
      <c r="Y374" s="21" t="s">
        <v>530</v>
      </c>
      <c r="Z374" s="21">
        <v>3035807051</v>
      </c>
      <c r="AA374" s="26">
        <v>42751</v>
      </c>
      <c r="AB374" s="26">
        <v>42751</v>
      </c>
      <c r="AC374" s="21" t="s">
        <v>504</v>
      </c>
      <c r="AD374" s="21" t="s">
        <v>505</v>
      </c>
      <c r="AE374" s="21" t="s">
        <v>1054</v>
      </c>
      <c r="AF374" s="21" t="s">
        <v>1105</v>
      </c>
      <c r="AG374" s="21" t="s">
        <v>1516</v>
      </c>
      <c r="AH374" s="21" t="s">
        <v>1517</v>
      </c>
      <c r="AI374" s="21" t="s">
        <v>4606</v>
      </c>
      <c r="AJ374" s="21" t="s">
        <v>526</v>
      </c>
      <c r="AK374" s="21" t="s">
        <v>494</v>
      </c>
      <c r="AL374" s="21" t="s">
        <v>527</v>
      </c>
      <c r="AM374" s="21" t="s">
        <v>527</v>
      </c>
      <c r="AN374" s="21" t="s">
        <v>527</v>
      </c>
      <c r="AO374" s="21" t="s">
        <v>528</v>
      </c>
      <c r="AS374" s="21" t="s">
        <v>511</v>
      </c>
      <c r="AT374" s="21" t="s">
        <v>512</v>
      </c>
      <c r="AW374" s="21">
        <v>0</v>
      </c>
      <c r="AX374" s="21">
        <v>2</v>
      </c>
      <c r="AY374" s="26"/>
      <c r="AZ374" s="26"/>
      <c r="BB374" s="26"/>
      <c r="BC374" s="21" t="s">
        <v>513</v>
      </c>
      <c r="BD374" s="21" t="s">
        <v>514</v>
      </c>
      <c r="BE374" s="21" t="s">
        <v>514</v>
      </c>
      <c r="BF374" s="21" t="s">
        <v>515</v>
      </c>
      <c r="BG374" s="21">
        <v>1</v>
      </c>
      <c r="BH374" s="21" t="s">
        <v>516</v>
      </c>
      <c r="BI374" s="21" t="s">
        <v>517</v>
      </c>
      <c r="BJ374" s="21" t="s">
        <v>516</v>
      </c>
      <c r="BK374" s="21" t="s">
        <v>516</v>
      </c>
      <c r="BM374" s="21" t="s">
        <v>1519</v>
      </c>
      <c r="BN374" s="21" t="s">
        <v>221</v>
      </c>
      <c r="BO374" s="21" t="s">
        <v>518</v>
      </c>
      <c r="BP374" s="21" t="s">
        <v>1044</v>
      </c>
      <c r="BQ374" s="21" t="s">
        <v>1519</v>
      </c>
      <c r="BR374" s="21" t="s">
        <v>221</v>
      </c>
      <c r="BS374" s="21" t="s">
        <v>518</v>
      </c>
      <c r="BT374" s="21" t="s">
        <v>1044</v>
      </c>
      <c r="BU374" s="21" t="s">
        <v>221</v>
      </c>
      <c r="CD374" s="21" t="s">
        <v>520</v>
      </c>
      <c r="CF374" s="21" t="s">
        <v>521</v>
      </c>
      <c r="CN374" s="26"/>
      <c r="DB374" s="24" t="s">
        <v>943</v>
      </c>
      <c r="DC374" s="21">
        <v>1</v>
      </c>
      <c r="DD374" s="21">
        <v>3</v>
      </c>
      <c r="DE374" s="22">
        <v>42754</v>
      </c>
      <c r="DF374" s="21" t="s">
        <v>4607</v>
      </c>
      <c r="DG374" s="21" t="s">
        <v>522</v>
      </c>
      <c r="DH374" s="21" t="s">
        <v>4608</v>
      </c>
      <c r="DI374" s="21" t="s">
        <v>495</v>
      </c>
      <c r="DJ374" s="21" t="s">
        <v>520</v>
      </c>
      <c r="DK374" s="26"/>
      <c r="DL374" s="26">
        <v>42763</v>
      </c>
      <c r="DM374" s="26">
        <v>42753</v>
      </c>
      <c r="DN374" s="21">
        <v>1100</v>
      </c>
      <c r="DO374" s="21">
        <v>8</v>
      </c>
      <c r="DP374" s="21">
        <v>1</v>
      </c>
      <c r="DQ374" s="21">
        <v>1</v>
      </c>
      <c r="DR374" s="21">
        <v>7</v>
      </c>
      <c r="DS374" s="21">
        <v>8</v>
      </c>
      <c r="DT374" s="21">
        <v>8</v>
      </c>
      <c r="DU374" s="21">
        <v>8</v>
      </c>
      <c r="DW374" s="21">
        <v>8</v>
      </c>
      <c r="EA374" s="21">
        <v>8</v>
      </c>
      <c r="EB374" s="21" t="s">
        <v>4609</v>
      </c>
      <c r="EF374" s="25">
        <v>0</v>
      </c>
      <c r="EG374" s="25">
        <v>0</v>
      </c>
      <c r="EH374" s="25">
        <v>0</v>
      </c>
      <c r="EI374" s="25">
        <v>0</v>
      </c>
      <c r="EJ374" s="25" t="s">
        <v>92</v>
      </c>
      <c r="EK374" s="25" t="s">
        <v>222</v>
      </c>
      <c r="EL374" s="25" t="s">
        <v>222</v>
      </c>
      <c r="EM374" s="25" t="s">
        <v>276</v>
      </c>
      <c r="EN374" s="25" t="s">
        <v>31</v>
      </c>
      <c r="EO374" s="25" t="s">
        <v>31</v>
      </c>
      <c r="EP374" s="25" t="s">
        <v>92</v>
      </c>
      <c r="EQ374" s="25" t="s">
        <v>92</v>
      </c>
      <c r="ER374" s="25" t="s">
        <v>278</v>
      </c>
      <c r="ES374" s="25" t="s">
        <v>278</v>
      </c>
      <c r="ET374" s="25">
        <v>1</v>
      </c>
      <c r="EU374" s="25" t="s">
        <v>522</v>
      </c>
      <c r="EV374" s="25" t="s">
        <v>222</v>
      </c>
      <c r="EW374" s="25" t="s">
        <v>31</v>
      </c>
      <c r="EX374" s="25" t="s">
        <v>278</v>
      </c>
      <c r="EY374" s="20" t="e">
        <v>#N/A</v>
      </c>
    </row>
    <row r="375" spans="1:155">
      <c r="A375" s="21" t="s">
        <v>491</v>
      </c>
      <c r="B375" s="21" t="s">
        <v>491</v>
      </c>
      <c r="C375" s="21" t="s">
        <v>492</v>
      </c>
      <c r="D375" s="21" t="s">
        <v>493</v>
      </c>
      <c r="E375" s="21" t="s">
        <v>493</v>
      </c>
      <c r="F375" s="21" t="s">
        <v>493</v>
      </c>
      <c r="G375" s="21" t="s">
        <v>4610</v>
      </c>
      <c r="H375" s="21">
        <v>12988788482</v>
      </c>
      <c r="I375" s="21" t="s">
        <v>494</v>
      </c>
      <c r="J375" s="21" t="s">
        <v>4611</v>
      </c>
      <c r="L375" s="21" t="s">
        <v>495</v>
      </c>
      <c r="M375" s="21" t="s">
        <v>4612</v>
      </c>
      <c r="N375" s="21" t="s">
        <v>496</v>
      </c>
      <c r="O375" s="21" t="s">
        <v>69</v>
      </c>
      <c r="P375" s="21" t="s">
        <v>497</v>
      </c>
      <c r="R375" s="21" t="s">
        <v>498</v>
      </c>
      <c r="S375" s="21" t="s">
        <v>499</v>
      </c>
      <c r="V375" s="21" t="s">
        <v>500</v>
      </c>
      <c r="W375" s="21" t="s">
        <v>501</v>
      </c>
      <c r="X375" s="21" t="s">
        <v>502</v>
      </c>
      <c r="Y375" s="21" t="s">
        <v>503</v>
      </c>
      <c r="Z375" s="21">
        <v>3035858468</v>
      </c>
      <c r="AA375" s="26">
        <v>42752</v>
      </c>
      <c r="AB375" s="26">
        <v>42752</v>
      </c>
      <c r="AC375" s="21" t="s">
        <v>504</v>
      </c>
      <c r="AD375" s="21" t="s">
        <v>505</v>
      </c>
      <c r="AE375" s="21" t="s">
        <v>500</v>
      </c>
      <c r="AF375" s="21" t="s">
        <v>549</v>
      </c>
      <c r="AG375" s="21" t="s">
        <v>555</v>
      </c>
      <c r="AH375" s="21" t="s">
        <v>556</v>
      </c>
      <c r="AI375" s="21" t="s">
        <v>4613</v>
      </c>
      <c r="AJ375" s="21" t="s">
        <v>526</v>
      </c>
      <c r="AK375" s="21" t="s">
        <v>494</v>
      </c>
      <c r="AL375" s="21" t="s">
        <v>527</v>
      </c>
      <c r="AM375" s="21" t="s">
        <v>527</v>
      </c>
      <c r="AN375" s="21" t="s">
        <v>527</v>
      </c>
      <c r="AO375" s="21" t="s">
        <v>528</v>
      </c>
      <c r="AS375" s="21" t="s">
        <v>511</v>
      </c>
      <c r="AT375" s="21" t="s">
        <v>512</v>
      </c>
      <c r="AW375" s="21">
        <v>0</v>
      </c>
      <c r="AX375" s="21">
        <v>3</v>
      </c>
      <c r="AY375" s="26"/>
      <c r="AZ375" s="26"/>
      <c r="BB375" s="26"/>
      <c r="BC375" s="21" t="s">
        <v>513</v>
      </c>
      <c r="BD375" s="21" t="s">
        <v>514</v>
      </c>
      <c r="BE375" s="21" t="s">
        <v>514</v>
      </c>
      <c r="BF375" s="21" t="s">
        <v>515</v>
      </c>
      <c r="BG375" s="21">
        <v>1</v>
      </c>
      <c r="BH375" s="21" t="s">
        <v>516</v>
      </c>
      <c r="BI375" s="21" t="s">
        <v>517</v>
      </c>
      <c r="BJ375" s="21" t="s">
        <v>516</v>
      </c>
      <c r="BK375" s="21" t="s">
        <v>516</v>
      </c>
      <c r="BM375" s="21" t="s">
        <v>4381</v>
      </c>
      <c r="BN375" s="21" t="s">
        <v>4001</v>
      </c>
      <c r="BO375" s="21" t="s">
        <v>518</v>
      </c>
      <c r="BP375" s="21" t="s">
        <v>519</v>
      </c>
      <c r="BQ375" s="21" t="s">
        <v>4381</v>
      </c>
      <c r="BR375" s="21" t="s">
        <v>4001</v>
      </c>
      <c r="BS375" s="21" t="s">
        <v>518</v>
      </c>
      <c r="BT375" s="21" t="s">
        <v>519</v>
      </c>
      <c r="BU375" s="21" t="s">
        <v>4001</v>
      </c>
      <c r="CD375" s="21" t="s">
        <v>520</v>
      </c>
      <c r="CF375" s="21" t="s">
        <v>521</v>
      </c>
      <c r="CN375" s="26"/>
      <c r="DB375" s="24" t="s">
        <v>943</v>
      </c>
      <c r="DC375" s="21">
        <v>1</v>
      </c>
      <c r="DD375" s="21">
        <v>3</v>
      </c>
      <c r="DE375" s="22">
        <v>42754</v>
      </c>
      <c r="DF375" s="21" t="s">
        <v>4614</v>
      </c>
      <c r="DG375" s="21" t="s">
        <v>522</v>
      </c>
      <c r="DH375" s="21" t="s">
        <v>4615</v>
      </c>
      <c r="DI375" s="21" t="s">
        <v>495</v>
      </c>
      <c r="DJ375" s="21" t="s">
        <v>520</v>
      </c>
      <c r="DK375" s="26"/>
      <c r="DL375" s="26">
        <v>42764</v>
      </c>
      <c r="DM375" s="26">
        <v>42754</v>
      </c>
      <c r="DN375" s="21">
        <v>3100</v>
      </c>
      <c r="DO375" s="21">
        <v>8</v>
      </c>
      <c r="DP375" s="21">
        <v>1</v>
      </c>
      <c r="DQ375" s="21">
        <v>1</v>
      </c>
      <c r="DR375" s="21">
        <v>6</v>
      </c>
      <c r="DS375" s="21">
        <v>8</v>
      </c>
      <c r="DT375" s="21">
        <v>8</v>
      </c>
      <c r="DU375" s="21">
        <v>8</v>
      </c>
      <c r="DW375" s="21">
        <v>8</v>
      </c>
      <c r="EA375" s="21">
        <v>8</v>
      </c>
      <c r="EB375" s="21" t="s">
        <v>4616</v>
      </c>
      <c r="EF375" s="25">
        <v>0</v>
      </c>
      <c r="EG375" s="25">
        <v>0</v>
      </c>
      <c r="EH375" s="25">
        <v>0</v>
      </c>
      <c r="EI375" s="25">
        <v>0</v>
      </c>
      <c r="EJ375" s="25" t="s">
        <v>62</v>
      </c>
      <c r="EK375" s="25" t="s">
        <v>190</v>
      </c>
      <c r="EL375" s="25" t="s">
        <v>190</v>
      </c>
      <c r="EM375" s="25" t="s">
        <v>276</v>
      </c>
      <c r="EN375" s="25" t="s">
        <v>23</v>
      </c>
      <c r="EO375" s="25" t="s">
        <v>23</v>
      </c>
      <c r="EP375" s="25" t="s">
        <v>62</v>
      </c>
      <c r="EQ375" s="25" t="s">
        <v>62</v>
      </c>
      <c r="ER375" s="25" t="s">
        <v>278</v>
      </c>
      <c r="ES375" s="25" t="s">
        <v>278</v>
      </c>
      <c r="ET375" s="25">
        <v>1</v>
      </c>
      <c r="EU375" s="25" t="s">
        <v>522</v>
      </c>
      <c r="EV375" s="25" t="s">
        <v>190</v>
      </c>
      <c r="EW375" s="25" t="s">
        <v>23</v>
      </c>
      <c r="EX375" s="25" t="s">
        <v>278</v>
      </c>
      <c r="EY375" s="20" t="e">
        <v>#N/A</v>
      </c>
    </row>
    <row r="376" spans="1:155">
      <c r="A376" s="21" t="s">
        <v>491</v>
      </c>
      <c r="B376" s="21" t="s">
        <v>491</v>
      </c>
      <c r="C376" s="21" t="s">
        <v>492</v>
      </c>
      <c r="D376" s="21" t="s">
        <v>493</v>
      </c>
      <c r="E376" s="21" t="s">
        <v>493</v>
      </c>
      <c r="F376" s="21" t="s">
        <v>493</v>
      </c>
      <c r="G376" s="21" t="s">
        <v>4617</v>
      </c>
      <c r="H376" s="21">
        <v>21991177603</v>
      </c>
      <c r="I376" s="21" t="s">
        <v>494</v>
      </c>
      <c r="J376" s="21" t="s">
        <v>4618</v>
      </c>
      <c r="L376" s="21" t="s">
        <v>495</v>
      </c>
      <c r="M376" s="21" t="s">
        <v>4619</v>
      </c>
      <c r="N376" s="21" t="s">
        <v>4620</v>
      </c>
      <c r="O376" s="21" t="s">
        <v>98</v>
      </c>
      <c r="P376" s="21" t="s">
        <v>553</v>
      </c>
      <c r="R376" s="21" t="s">
        <v>4621</v>
      </c>
      <c r="S376" s="21" t="s">
        <v>4622</v>
      </c>
      <c r="V376" s="21" t="s">
        <v>500</v>
      </c>
      <c r="W376" s="21" t="s">
        <v>501</v>
      </c>
      <c r="X376" s="21" t="s">
        <v>502</v>
      </c>
      <c r="Y376" s="21" t="s">
        <v>554</v>
      </c>
      <c r="Z376" s="21">
        <v>3035819976</v>
      </c>
      <c r="AA376" s="26">
        <v>42751</v>
      </c>
      <c r="AB376" s="26">
        <v>42751</v>
      </c>
      <c r="AC376" s="21" t="s">
        <v>504</v>
      </c>
      <c r="AD376" s="21" t="s">
        <v>505</v>
      </c>
      <c r="AE376" s="21" t="s">
        <v>1091</v>
      </c>
      <c r="AF376" s="21" t="s">
        <v>1902</v>
      </c>
      <c r="AG376" s="21" t="s">
        <v>3899</v>
      </c>
      <c r="AH376" s="21" t="s">
        <v>3900</v>
      </c>
      <c r="AI376" s="21" t="s">
        <v>4623</v>
      </c>
      <c r="AJ376" s="21" t="s">
        <v>526</v>
      </c>
      <c r="AK376" s="21" t="s">
        <v>494</v>
      </c>
      <c r="AL376" s="21" t="s">
        <v>527</v>
      </c>
      <c r="AM376" s="21" t="s">
        <v>527</v>
      </c>
      <c r="AN376" s="21" t="s">
        <v>527</v>
      </c>
      <c r="AO376" s="21" t="s">
        <v>528</v>
      </c>
      <c r="AS376" s="21" t="s">
        <v>2535</v>
      </c>
      <c r="AT376" s="21" t="s">
        <v>512</v>
      </c>
      <c r="AW376" s="21">
        <v>0</v>
      </c>
      <c r="AX376" s="21">
        <v>1</v>
      </c>
      <c r="AY376" s="26"/>
      <c r="AZ376" s="26"/>
      <c r="BB376" s="26"/>
      <c r="BC376" s="21" t="s">
        <v>513</v>
      </c>
      <c r="BD376" s="21" t="s">
        <v>514</v>
      </c>
      <c r="BE376" s="21" t="s">
        <v>514</v>
      </c>
      <c r="BF376" s="21" t="s">
        <v>1351</v>
      </c>
      <c r="BG376" s="21">
        <v>1</v>
      </c>
      <c r="BH376" s="21" t="s">
        <v>516</v>
      </c>
      <c r="BI376" s="21" t="s">
        <v>517</v>
      </c>
      <c r="BJ376" s="21" t="s">
        <v>516</v>
      </c>
      <c r="BK376" s="21" t="s">
        <v>516</v>
      </c>
      <c r="BM376" s="21" t="s">
        <v>593</v>
      </c>
      <c r="BN376" s="21" t="s">
        <v>909</v>
      </c>
      <c r="BO376" s="21" t="s">
        <v>1271</v>
      </c>
      <c r="BP376" s="21" t="s">
        <v>533</v>
      </c>
      <c r="BQ376" s="21" t="s">
        <v>593</v>
      </c>
      <c r="BR376" s="21" t="s">
        <v>909</v>
      </c>
      <c r="BS376" s="21" t="s">
        <v>1271</v>
      </c>
      <c r="BT376" s="21" t="s">
        <v>533</v>
      </c>
      <c r="BU376" s="21" t="s">
        <v>909</v>
      </c>
      <c r="CD376" s="21" t="s">
        <v>520</v>
      </c>
      <c r="CF376" s="21" t="s">
        <v>534</v>
      </c>
      <c r="CN376" s="26"/>
      <c r="DB376" s="24" t="s">
        <v>943</v>
      </c>
      <c r="DC376" s="21">
        <v>1</v>
      </c>
      <c r="DD376" s="21">
        <v>3</v>
      </c>
      <c r="DE376" s="22">
        <v>42754</v>
      </c>
      <c r="DF376" s="21" t="s">
        <v>4624</v>
      </c>
      <c r="DG376" s="21" t="s">
        <v>522</v>
      </c>
      <c r="DH376" s="21" t="s">
        <v>4625</v>
      </c>
      <c r="DI376" s="21" t="s">
        <v>495</v>
      </c>
      <c r="DJ376" s="21" t="s">
        <v>520</v>
      </c>
      <c r="DK376" s="26"/>
      <c r="DL376" s="26">
        <v>42763</v>
      </c>
      <c r="DM376" s="26">
        <v>42753</v>
      </c>
      <c r="DN376" s="21">
        <v>3100</v>
      </c>
      <c r="DO376" s="21">
        <v>10</v>
      </c>
      <c r="DP376" s="21">
        <v>1</v>
      </c>
      <c r="DQ376" s="21">
        <v>1</v>
      </c>
      <c r="DR376" s="21">
        <v>7</v>
      </c>
      <c r="DS376" s="21">
        <v>10</v>
      </c>
      <c r="DT376" s="21">
        <v>10</v>
      </c>
      <c r="DU376" s="21">
        <v>10</v>
      </c>
      <c r="DW376" s="21">
        <v>10</v>
      </c>
      <c r="DY376" s="21">
        <v>10</v>
      </c>
      <c r="EA376" s="21">
        <v>10</v>
      </c>
      <c r="EF376" s="25">
        <v>1</v>
      </c>
      <c r="EG376" s="25">
        <v>0</v>
      </c>
      <c r="EH376" s="25">
        <v>1</v>
      </c>
      <c r="EI376" s="25">
        <v>0</v>
      </c>
      <c r="EJ376" s="25" t="s">
        <v>62</v>
      </c>
      <c r="EK376" s="25" t="s">
        <v>276</v>
      </c>
      <c r="EL376" s="25" t="s">
        <v>276</v>
      </c>
      <c r="EM376" s="25" t="s">
        <v>276</v>
      </c>
      <c r="EN376" s="25" t="s">
        <v>276</v>
      </c>
      <c r="EO376" s="25" t="s">
        <v>276</v>
      </c>
      <c r="EP376" s="25" t="s">
        <v>276</v>
      </c>
      <c r="EQ376" s="25" t="s">
        <v>276</v>
      </c>
      <c r="ER376" s="25" t="s">
        <v>276</v>
      </c>
      <c r="ES376" s="25" t="s">
        <v>276</v>
      </c>
      <c r="ET376" s="25">
        <v>1</v>
      </c>
      <c r="EU376" s="25" t="s">
        <v>522</v>
      </c>
      <c r="EV376" s="25" t="s">
        <v>276</v>
      </c>
      <c r="EW376" s="25" t="s">
        <v>276</v>
      </c>
      <c r="EX376" s="25" t="s">
        <v>276</v>
      </c>
      <c r="EY376" s="20" t="s">
        <v>273</v>
      </c>
    </row>
    <row r="377" spans="1:155">
      <c r="A377" s="21"/>
      <c r="B377" s="21"/>
      <c r="AA377" s="26"/>
      <c r="AB377" s="26"/>
      <c r="AC377" s="21"/>
      <c r="AD377" s="21"/>
      <c r="AY377" s="26"/>
      <c r="AZ377" s="26"/>
      <c r="BB377" s="26"/>
      <c r="BD377" s="21"/>
      <c r="CN377" s="26"/>
      <c r="DB377" s="24"/>
      <c r="DD377" s="21"/>
      <c r="DE377" s="22"/>
      <c r="DG377" s="21"/>
      <c r="DK377" s="26"/>
      <c r="DL377" s="26"/>
      <c r="DM377" s="26"/>
      <c r="DN377" s="21"/>
      <c r="DO377" s="21"/>
      <c r="EF377" s="25"/>
      <c r="EG377" s="25"/>
      <c r="EY377" s="20"/>
    </row>
    <row r="378" spans="1:155">
      <c r="A378" s="21"/>
      <c r="B378" s="21"/>
      <c r="AA378" s="26"/>
      <c r="AB378" s="26"/>
      <c r="AC378" s="21"/>
      <c r="AD378" s="21"/>
      <c r="AY378" s="26"/>
      <c r="AZ378" s="26"/>
      <c r="BB378" s="26"/>
      <c r="BD378" s="21"/>
      <c r="CN378" s="26"/>
      <c r="DB378" s="24"/>
      <c r="DD378" s="21"/>
      <c r="DE378" s="22"/>
      <c r="DG378" s="21"/>
      <c r="DK378" s="26"/>
      <c r="DL378" s="26"/>
      <c r="DM378" s="26"/>
      <c r="DN378" s="21"/>
      <c r="DO378" s="21"/>
      <c r="EF378" s="25"/>
      <c r="EG378" s="25"/>
      <c r="EY378" s="20"/>
    </row>
    <row r="379" spans="1:155">
      <c r="A379" s="21"/>
      <c r="B379" s="21"/>
      <c r="AA379" s="26"/>
      <c r="AB379" s="26"/>
      <c r="AC379" s="21"/>
      <c r="AD379" s="21"/>
      <c r="AY379" s="26"/>
      <c r="AZ379" s="26"/>
      <c r="BB379" s="26"/>
      <c r="BD379" s="21"/>
      <c r="CN379" s="26"/>
      <c r="DB379" s="24"/>
      <c r="DD379" s="21"/>
      <c r="DE379" s="22"/>
      <c r="DG379" s="21"/>
      <c r="DK379" s="26"/>
      <c r="DL379" s="26"/>
      <c r="DM379" s="26"/>
      <c r="DN379" s="21"/>
      <c r="DO379" s="21"/>
      <c r="EF379" s="25"/>
      <c r="EG379" s="25"/>
      <c r="EY379" s="20"/>
    </row>
    <row r="380" spans="1:155">
      <c r="A380" s="21"/>
      <c r="B380" s="21"/>
      <c r="AA380" s="26"/>
      <c r="AB380" s="26"/>
      <c r="AC380" s="21"/>
      <c r="AD380" s="21"/>
      <c r="AY380" s="26"/>
      <c r="AZ380" s="26"/>
      <c r="BB380" s="26"/>
      <c r="BD380" s="21"/>
      <c r="CN380" s="26"/>
      <c r="DB380" s="24"/>
      <c r="DD380" s="21"/>
      <c r="DE380" s="22"/>
      <c r="DG380" s="21"/>
      <c r="DK380" s="26"/>
      <c r="DL380" s="26"/>
      <c r="DM380" s="26"/>
      <c r="DN380" s="21"/>
      <c r="DO380" s="21"/>
      <c r="EF380" s="25"/>
      <c r="EG380" s="25"/>
      <c r="EY380" s="20"/>
    </row>
    <row r="381" spans="1:155">
      <c r="A381" s="21"/>
      <c r="B381" s="21"/>
      <c r="AA381" s="26"/>
      <c r="AB381" s="26"/>
      <c r="AC381" s="21"/>
      <c r="AD381" s="21"/>
      <c r="AY381" s="26"/>
      <c r="AZ381" s="26"/>
      <c r="BB381" s="26"/>
      <c r="BD381" s="21"/>
      <c r="CN381" s="26"/>
      <c r="DB381" s="24"/>
      <c r="DD381" s="21"/>
      <c r="DE381" s="22"/>
      <c r="DG381" s="21"/>
      <c r="DK381" s="26"/>
      <c r="DL381" s="26"/>
      <c r="DM381" s="26"/>
      <c r="DN381" s="21"/>
      <c r="DO381" s="21"/>
      <c r="EF381" s="25"/>
      <c r="EG381" s="25"/>
      <c r="EY381" s="20"/>
    </row>
    <row r="382" spans="1:155">
      <c r="A382" s="21"/>
      <c r="B382" s="21"/>
      <c r="AA382" s="26"/>
      <c r="AB382" s="26"/>
      <c r="AC382" s="21"/>
      <c r="AD382" s="21"/>
      <c r="AY382" s="26"/>
      <c r="AZ382" s="26"/>
      <c r="BB382" s="26"/>
      <c r="BD382" s="21"/>
      <c r="CN382" s="26"/>
      <c r="DB382" s="24"/>
      <c r="DD382" s="21"/>
      <c r="DE382" s="22"/>
      <c r="DG382" s="21"/>
      <c r="DK382" s="26"/>
      <c r="DL382" s="26"/>
      <c r="DM382" s="26"/>
      <c r="DN382" s="21"/>
      <c r="DO382" s="21"/>
      <c r="EF382" s="25"/>
      <c r="EG382" s="25"/>
      <c r="EY382" s="20"/>
    </row>
    <row r="383" spans="1:155">
      <c r="A383" s="21"/>
      <c r="B383" s="21"/>
      <c r="AA383" s="26"/>
      <c r="AB383" s="26"/>
      <c r="AC383" s="21"/>
      <c r="AD383" s="21"/>
      <c r="AY383" s="26"/>
      <c r="AZ383" s="26"/>
      <c r="BB383" s="26"/>
      <c r="BD383" s="21"/>
      <c r="CN383" s="26"/>
      <c r="DB383" s="24"/>
      <c r="DD383" s="21"/>
      <c r="DE383" s="22"/>
      <c r="DG383" s="21"/>
      <c r="DK383" s="26"/>
      <c r="DL383" s="26"/>
      <c r="DM383" s="26"/>
      <c r="DN383" s="21"/>
      <c r="DO383" s="21"/>
      <c r="EF383" s="25"/>
      <c r="EG383" s="25"/>
      <c r="EY383" s="20"/>
    </row>
    <row r="384" spans="1:155">
      <c r="A384" s="21"/>
      <c r="B384" s="21"/>
      <c r="AA384" s="26"/>
      <c r="AB384" s="26"/>
      <c r="AC384" s="21"/>
      <c r="AD384" s="21"/>
      <c r="AY384" s="26"/>
      <c r="AZ384" s="26"/>
      <c r="BB384" s="26"/>
      <c r="BD384" s="21"/>
      <c r="CN384" s="26"/>
      <c r="DB384" s="24"/>
      <c r="DD384" s="21"/>
      <c r="DE384" s="22"/>
      <c r="DG384" s="21"/>
      <c r="DK384" s="26"/>
      <c r="DL384" s="26"/>
      <c r="DM384" s="26"/>
      <c r="DN384" s="21"/>
      <c r="DO384" s="21"/>
      <c r="EF384" s="25"/>
      <c r="EG384" s="25"/>
      <c r="EY384" s="20"/>
    </row>
    <row r="385" spans="1:155">
      <c r="A385" s="21"/>
      <c r="B385" s="21"/>
      <c r="AA385" s="26"/>
      <c r="AB385" s="26"/>
      <c r="AC385" s="21"/>
      <c r="AD385" s="21"/>
      <c r="AY385" s="26"/>
      <c r="AZ385" s="26"/>
      <c r="BB385" s="26"/>
      <c r="BD385" s="21"/>
      <c r="CN385" s="26"/>
      <c r="DB385" s="24"/>
      <c r="DD385" s="21"/>
      <c r="DE385" s="22"/>
      <c r="DG385" s="21"/>
      <c r="DK385" s="26"/>
      <c r="DL385" s="26"/>
      <c r="DM385" s="26"/>
      <c r="DN385" s="21"/>
      <c r="DO385" s="21"/>
      <c r="EF385" s="25"/>
      <c r="EG385" s="25"/>
      <c r="EY385" s="20"/>
    </row>
    <row r="386" spans="1:155">
      <c r="A386" s="21"/>
      <c r="B386" s="21"/>
      <c r="AA386" s="26"/>
      <c r="AB386" s="26"/>
      <c r="AC386" s="21"/>
      <c r="AD386" s="21"/>
      <c r="AY386" s="26"/>
      <c r="AZ386" s="26"/>
      <c r="BB386" s="26"/>
      <c r="BD386" s="21"/>
      <c r="CN386" s="26"/>
      <c r="DB386" s="24"/>
      <c r="DD386" s="21"/>
      <c r="DE386" s="22"/>
      <c r="DG386" s="21"/>
      <c r="DK386" s="26"/>
      <c r="DL386" s="26"/>
      <c r="DM386" s="26"/>
      <c r="DN386" s="21"/>
      <c r="DO386" s="21"/>
      <c r="EF386" s="25"/>
      <c r="EG386" s="25"/>
      <c r="EY386" s="20"/>
    </row>
    <row r="387" spans="1:155">
      <c r="A387" s="21"/>
      <c r="B387" s="21"/>
      <c r="AA387" s="26"/>
      <c r="AB387" s="26"/>
      <c r="AC387" s="21"/>
      <c r="AD387" s="21"/>
      <c r="AY387" s="26"/>
      <c r="AZ387" s="26"/>
      <c r="BB387" s="26"/>
      <c r="BD387" s="21"/>
      <c r="CN387" s="26"/>
      <c r="DB387" s="24"/>
      <c r="DD387" s="21"/>
      <c r="DE387" s="22"/>
      <c r="DG387" s="21"/>
      <c r="DK387" s="26"/>
      <c r="DL387" s="26"/>
      <c r="DM387" s="26"/>
      <c r="DN387" s="21"/>
      <c r="DO387" s="21"/>
      <c r="EF387" s="25"/>
      <c r="EG387" s="25"/>
      <c r="EY387" s="20"/>
    </row>
    <row r="388" spans="1:155">
      <c r="A388" s="21"/>
      <c r="B388" s="21"/>
      <c r="AA388" s="26"/>
      <c r="AB388" s="26"/>
      <c r="AC388" s="21"/>
      <c r="AD388" s="21"/>
      <c r="AY388" s="26"/>
      <c r="AZ388" s="26"/>
      <c r="BB388" s="26"/>
      <c r="BD388" s="21"/>
      <c r="CN388" s="26"/>
      <c r="DB388" s="24"/>
      <c r="DD388" s="21"/>
      <c r="DE388" s="22"/>
      <c r="DG388" s="21"/>
      <c r="DK388" s="26"/>
      <c r="DL388" s="26"/>
      <c r="DM388" s="26"/>
      <c r="DN388" s="21"/>
      <c r="DO388" s="21"/>
      <c r="EF388" s="25"/>
      <c r="EG388" s="25"/>
      <c r="EY388" s="20"/>
    </row>
    <row r="389" spans="1:155">
      <c r="A389" s="21"/>
      <c r="B389" s="21"/>
      <c r="AA389" s="26"/>
      <c r="AB389" s="26"/>
      <c r="AC389" s="21"/>
      <c r="AD389" s="21"/>
      <c r="AY389" s="26"/>
      <c r="AZ389" s="26"/>
      <c r="BB389" s="26"/>
      <c r="BD389" s="21"/>
      <c r="CN389" s="26"/>
      <c r="DB389" s="24"/>
      <c r="DD389" s="21"/>
      <c r="DE389" s="22"/>
      <c r="DG389" s="21"/>
      <c r="DK389" s="26"/>
      <c r="DL389" s="26"/>
      <c r="DM389" s="26"/>
      <c r="DN389" s="21"/>
      <c r="DO389" s="21"/>
      <c r="EF389" s="25"/>
      <c r="EG389" s="25"/>
      <c r="EY389" s="20"/>
    </row>
    <row r="390" spans="1:155">
      <c r="A390" s="21"/>
      <c r="B390" s="21"/>
      <c r="AA390" s="26"/>
      <c r="AB390" s="26"/>
      <c r="AC390" s="21"/>
      <c r="AD390" s="21"/>
      <c r="AY390" s="26"/>
      <c r="AZ390" s="26"/>
      <c r="BB390" s="26"/>
      <c r="BD390" s="21"/>
      <c r="CN390" s="26"/>
      <c r="DB390" s="24"/>
      <c r="DD390" s="21"/>
      <c r="DE390" s="22"/>
      <c r="DG390" s="21"/>
      <c r="DK390" s="26"/>
      <c r="DL390" s="26"/>
      <c r="DM390" s="26"/>
      <c r="DN390" s="21"/>
      <c r="DO390" s="21"/>
      <c r="EF390" s="25"/>
      <c r="EG390" s="25"/>
      <c r="EY390" s="20"/>
    </row>
    <row r="391" spans="1:155">
      <c r="A391" s="21"/>
      <c r="B391" s="21"/>
      <c r="AA391" s="26"/>
      <c r="AB391" s="26"/>
      <c r="AC391" s="21"/>
      <c r="AD391" s="21"/>
      <c r="AY391" s="26"/>
      <c r="AZ391" s="26"/>
      <c r="BB391" s="26"/>
      <c r="BD391" s="21"/>
      <c r="CN391" s="26"/>
      <c r="DB391" s="24"/>
      <c r="DD391" s="21"/>
      <c r="DE391" s="22"/>
      <c r="DG391" s="21"/>
      <c r="DK391" s="26"/>
      <c r="DL391" s="26"/>
      <c r="DM391" s="26"/>
      <c r="DN391" s="21"/>
      <c r="DO391" s="21"/>
      <c r="EF391" s="25"/>
      <c r="EG391" s="25"/>
      <c r="EY391" s="20"/>
    </row>
    <row r="392" spans="1:155">
      <c r="A392" s="21"/>
      <c r="B392" s="21"/>
      <c r="AA392" s="26"/>
      <c r="AB392" s="26"/>
      <c r="AC392" s="21"/>
      <c r="AD392" s="21"/>
      <c r="AY392" s="26"/>
      <c r="AZ392" s="26"/>
      <c r="BB392" s="26"/>
      <c r="BD392" s="21"/>
      <c r="CN392" s="26"/>
      <c r="DB392" s="24"/>
      <c r="DD392" s="21"/>
      <c r="DE392" s="22"/>
      <c r="DG392" s="21"/>
      <c r="DK392" s="26"/>
      <c r="DL392" s="26"/>
      <c r="DM392" s="26"/>
      <c r="DN392" s="21"/>
      <c r="DO392" s="21"/>
      <c r="EF392" s="25"/>
      <c r="EG392" s="25"/>
      <c r="EY392" s="20"/>
    </row>
    <row r="393" spans="1:155">
      <c r="A393" s="21"/>
      <c r="B393" s="21"/>
      <c r="AA393" s="26"/>
      <c r="AB393" s="26"/>
      <c r="AC393" s="21"/>
      <c r="AD393" s="21"/>
      <c r="AY393" s="26"/>
      <c r="AZ393" s="26"/>
      <c r="BB393" s="26"/>
      <c r="BD393" s="21"/>
      <c r="CN393" s="26"/>
      <c r="DB393" s="24"/>
      <c r="DD393" s="21"/>
      <c r="DE393" s="22"/>
      <c r="DG393" s="21"/>
      <c r="DK393" s="26"/>
      <c r="DL393" s="26"/>
      <c r="DM393" s="26"/>
      <c r="DN393" s="21"/>
      <c r="DO393" s="21"/>
      <c r="EF393" s="25"/>
      <c r="EG393" s="25"/>
      <c r="EY393" s="20"/>
    </row>
    <row r="394" spans="1:155">
      <c r="A394" s="21"/>
      <c r="B394" s="21"/>
      <c r="AA394" s="26"/>
      <c r="AB394" s="26"/>
      <c r="AC394" s="21"/>
      <c r="AD394" s="21"/>
      <c r="AY394" s="26"/>
      <c r="AZ394" s="26"/>
      <c r="BB394" s="26"/>
      <c r="BD394" s="21"/>
      <c r="CN394" s="26"/>
      <c r="DB394" s="24"/>
      <c r="DD394" s="21"/>
      <c r="DE394" s="22"/>
      <c r="DG394" s="21"/>
      <c r="DK394" s="26"/>
      <c r="DL394" s="26"/>
      <c r="DM394" s="26"/>
      <c r="DN394" s="21"/>
      <c r="DO394" s="21"/>
      <c r="EF394" s="25"/>
      <c r="EG394" s="25"/>
      <c r="EY394" s="20"/>
    </row>
    <row r="395" spans="1:155">
      <c r="A395" s="21"/>
      <c r="B395" s="21"/>
      <c r="AA395" s="26"/>
      <c r="AB395" s="26"/>
      <c r="AC395" s="21"/>
      <c r="AD395" s="21"/>
      <c r="AY395" s="26"/>
      <c r="AZ395" s="26"/>
      <c r="BB395" s="26"/>
      <c r="BD395" s="21"/>
      <c r="CN395" s="26"/>
      <c r="DB395" s="24"/>
      <c r="DD395" s="21"/>
      <c r="DE395" s="22"/>
      <c r="DG395" s="21"/>
      <c r="DK395" s="26"/>
      <c r="DL395" s="26"/>
      <c r="DM395" s="26"/>
      <c r="DN395" s="21"/>
      <c r="DO395" s="21"/>
      <c r="EF395" s="25"/>
      <c r="EG395" s="25"/>
      <c r="EY395" s="20"/>
    </row>
    <row r="396" spans="1:155">
      <c r="A396" s="21"/>
      <c r="B396" s="21"/>
      <c r="AA396" s="26"/>
      <c r="AB396" s="26"/>
      <c r="AC396" s="21"/>
      <c r="AD396" s="21"/>
      <c r="AY396" s="26"/>
      <c r="AZ396" s="26"/>
      <c r="BB396" s="26"/>
      <c r="BD396" s="21"/>
      <c r="CN396" s="26"/>
      <c r="DB396" s="24"/>
      <c r="DD396" s="21"/>
      <c r="DE396" s="22"/>
      <c r="DG396" s="21"/>
      <c r="DK396" s="26"/>
      <c r="DL396" s="26"/>
      <c r="DM396" s="26"/>
      <c r="DN396" s="21"/>
      <c r="DO396" s="21"/>
      <c r="EF396" s="25"/>
      <c r="EG396" s="25"/>
      <c r="EY396" s="20"/>
    </row>
    <row r="397" spans="1:155">
      <c r="A397" s="21"/>
      <c r="B397" s="21"/>
      <c r="AA397" s="26"/>
      <c r="AB397" s="26"/>
      <c r="AC397" s="21"/>
      <c r="AD397" s="21"/>
      <c r="AY397" s="26"/>
      <c r="AZ397" s="26"/>
      <c r="BB397" s="26"/>
      <c r="BD397" s="21"/>
      <c r="CN397" s="26"/>
      <c r="DB397" s="24"/>
      <c r="DD397" s="21"/>
      <c r="DE397" s="22"/>
      <c r="DG397" s="21"/>
      <c r="DK397" s="26"/>
      <c r="DL397" s="26"/>
      <c r="DM397" s="26"/>
      <c r="DN397" s="21"/>
      <c r="DO397" s="21"/>
      <c r="EF397" s="25"/>
      <c r="EG397" s="25"/>
      <c r="EY397" s="20"/>
    </row>
    <row r="398" spans="1:155">
      <c r="A398" s="21"/>
      <c r="B398" s="21"/>
      <c r="AA398" s="26"/>
      <c r="AB398" s="26"/>
      <c r="AC398" s="21"/>
      <c r="AD398" s="21"/>
      <c r="AY398" s="26"/>
      <c r="AZ398" s="26"/>
      <c r="BB398" s="26"/>
      <c r="BD398" s="21"/>
      <c r="CN398" s="26"/>
      <c r="DB398" s="24"/>
      <c r="DD398" s="21"/>
      <c r="DE398" s="22"/>
      <c r="DG398" s="21"/>
      <c r="DK398" s="26"/>
      <c r="DL398" s="26"/>
      <c r="DM398" s="26"/>
      <c r="DN398" s="21"/>
      <c r="DO398" s="21"/>
      <c r="EF398" s="25"/>
      <c r="EG398" s="25"/>
      <c r="EY398" s="20"/>
    </row>
    <row r="399" spans="1:155">
      <c r="A399" s="21"/>
      <c r="B399" s="21"/>
      <c r="AA399" s="26"/>
      <c r="AB399" s="26"/>
      <c r="AC399" s="21"/>
      <c r="AD399" s="21"/>
      <c r="AY399" s="26"/>
      <c r="AZ399" s="26"/>
      <c r="BB399" s="26"/>
      <c r="BD399" s="21"/>
      <c r="CN399" s="26"/>
      <c r="DB399" s="24"/>
      <c r="DD399" s="21"/>
      <c r="DE399" s="22"/>
      <c r="DG399" s="21"/>
      <c r="DK399" s="26"/>
      <c r="DL399" s="26"/>
      <c r="DM399" s="26"/>
      <c r="DN399" s="21"/>
      <c r="DO399" s="21"/>
      <c r="EF399" s="25"/>
      <c r="EG399" s="25"/>
      <c r="EY399" s="20"/>
    </row>
    <row r="400" spans="1:155">
      <c r="A400" s="21"/>
      <c r="B400" s="21"/>
      <c r="AA400" s="26"/>
      <c r="AB400" s="26"/>
      <c r="AC400" s="21"/>
      <c r="AD400" s="21"/>
      <c r="AY400" s="26"/>
      <c r="AZ400" s="26"/>
      <c r="BB400" s="26"/>
      <c r="BD400" s="21"/>
      <c r="CN400" s="26"/>
      <c r="DB400" s="24"/>
      <c r="DD400" s="21"/>
      <c r="DE400" s="22"/>
      <c r="DG400" s="21"/>
      <c r="DK400" s="26"/>
      <c r="DL400" s="26"/>
      <c r="DM400" s="26"/>
      <c r="DN400" s="21"/>
      <c r="DO400" s="21"/>
      <c r="EF400" s="25"/>
      <c r="EG400" s="25"/>
      <c r="EY400" s="20"/>
    </row>
    <row r="401" spans="1:155">
      <c r="A401" s="21"/>
      <c r="B401" s="21"/>
      <c r="AA401" s="26"/>
      <c r="AB401" s="26"/>
      <c r="AC401" s="21"/>
      <c r="AD401" s="21"/>
      <c r="AY401" s="26"/>
      <c r="AZ401" s="26"/>
      <c r="BB401" s="26"/>
      <c r="BD401" s="21"/>
      <c r="CN401" s="26"/>
      <c r="DB401" s="24"/>
      <c r="DD401" s="21"/>
      <c r="DE401" s="22"/>
      <c r="DG401" s="21"/>
      <c r="DK401" s="26"/>
      <c r="DL401" s="26"/>
      <c r="DM401" s="26"/>
      <c r="DN401" s="21"/>
      <c r="DO401" s="21"/>
      <c r="EF401" s="25"/>
      <c r="EG401" s="25"/>
      <c r="EY401" s="20"/>
    </row>
    <row r="402" spans="1:155">
      <c r="A402" s="21"/>
      <c r="B402" s="21"/>
      <c r="AA402" s="26"/>
      <c r="AB402" s="26"/>
      <c r="AC402" s="21"/>
      <c r="AD402" s="21"/>
      <c r="AY402" s="26"/>
      <c r="AZ402" s="26"/>
      <c r="BB402" s="26"/>
      <c r="BD402" s="21"/>
      <c r="CN402" s="26"/>
      <c r="DB402" s="24"/>
      <c r="DD402" s="21"/>
      <c r="DE402" s="22"/>
      <c r="DG402" s="21"/>
      <c r="DK402" s="26"/>
      <c r="DL402" s="26"/>
      <c r="DM402" s="26"/>
      <c r="DN402" s="21"/>
      <c r="DO402" s="21"/>
      <c r="EF402" s="25"/>
      <c r="EG402" s="25"/>
      <c r="EY402" s="20"/>
    </row>
    <row r="403" spans="1:155">
      <c r="A403" s="21"/>
      <c r="B403" s="21"/>
      <c r="AA403" s="26"/>
      <c r="AB403" s="26"/>
      <c r="AC403" s="21"/>
      <c r="AD403" s="21"/>
      <c r="AY403" s="26"/>
      <c r="AZ403" s="26"/>
      <c r="BB403" s="26"/>
      <c r="BD403" s="21"/>
      <c r="CN403" s="26"/>
      <c r="DB403" s="24"/>
      <c r="DD403" s="21"/>
      <c r="DE403" s="22"/>
      <c r="DG403" s="21"/>
      <c r="DK403" s="26"/>
      <c r="DL403" s="26"/>
      <c r="DM403" s="26"/>
      <c r="DN403" s="21"/>
      <c r="DO403" s="21"/>
      <c r="EF403" s="25"/>
      <c r="EG403" s="25"/>
      <c r="EY403" s="20"/>
    </row>
    <row r="404" spans="1:155">
      <c r="A404" s="21"/>
      <c r="B404" s="21"/>
      <c r="AA404" s="26"/>
      <c r="AB404" s="26"/>
      <c r="AC404" s="21"/>
      <c r="AD404" s="21"/>
      <c r="AY404" s="26"/>
      <c r="AZ404" s="26"/>
      <c r="BB404" s="26"/>
      <c r="BD404" s="21"/>
      <c r="CN404" s="26"/>
      <c r="DB404" s="24"/>
      <c r="DD404" s="21"/>
      <c r="DE404" s="22"/>
      <c r="DG404" s="21"/>
      <c r="DK404" s="26"/>
      <c r="DL404" s="26"/>
      <c r="DM404" s="26"/>
      <c r="DN404" s="21"/>
      <c r="DO404" s="21"/>
      <c r="EF404" s="25"/>
      <c r="EG404" s="25"/>
      <c r="EY404" s="20"/>
    </row>
    <row r="405" spans="1:155">
      <c r="A405" s="21"/>
      <c r="B405" s="21"/>
      <c r="AA405" s="26"/>
      <c r="AB405" s="26"/>
      <c r="AC405" s="21"/>
      <c r="AD405" s="21"/>
      <c r="AY405" s="26"/>
      <c r="AZ405" s="26"/>
      <c r="BB405" s="26"/>
      <c r="BD405" s="21"/>
      <c r="CN405" s="26"/>
      <c r="DB405" s="24"/>
      <c r="DD405" s="21"/>
      <c r="DE405" s="22"/>
      <c r="DG405" s="21"/>
      <c r="DK405" s="26"/>
      <c r="DL405" s="26"/>
      <c r="DM405" s="26"/>
      <c r="DN405" s="21"/>
      <c r="DO405" s="21"/>
      <c r="EF405" s="25"/>
      <c r="EG405" s="25"/>
      <c r="EY405" s="20"/>
    </row>
    <row r="406" spans="1:155">
      <c r="A406" s="21"/>
      <c r="B406" s="21"/>
      <c r="AA406" s="26"/>
      <c r="AB406" s="26"/>
      <c r="AC406" s="21"/>
      <c r="AD406" s="21"/>
      <c r="AY406" s="26"/>
      <c r="AZ406" s="26"/>
      <c r="BB406" s="26"/>
      <c r="BD406" s="21"/>
      <c r="CN406" s="26"/>
      <c r="DB406" s="24"/>
      <c r="DD406" s="21"/>
      <c r="DE406" s="22"/>
      <c r="DG406" s="21"/>
      <c r="DK406" s="26"/>
      <c r="DL406" s="26"/>
      <c r="DM406" s="26"/>
      <c r="DN406" s="21"/>
      <c r="DO406" s="21"/>
      <c r="EF406" s="25"/>
      <c r="EG406" s="25"/>
      <c r="EY406" s="20"/>
    </row>
    <row r="407" spans="1:155">
      <c r="A407" s="21"/>
      <c r="B407" s="21"/>
      <c r="AA407" s="26"/>
      <c r="AB407" s="26"/>
      <c r="AC407" s="21"/>
      <c r="AD407" s="21"/>
      <c r="AY407" s="26"/>
      <c r="AZ407" s="26"/>
      <c r="BB407" s="26"/>
      <c r="BD407" s="21"/>
      <c r="CN407" s="26"/>
      <c r="DB407" s="24"/>
      <c r="DD407" s="21"/>
      <c r="DE407" s="22"/>
      <c r="DG407" s="21"/>
      <c r="DK407" s="26"/>
      <c r="DL407" s="26"/>
      <c r="DM407" s="26"/>
      <c r="DN407" s="21"/>
      <c r="DO407" s="21"/>
      <c r="EF407" s="25"/>
      <c r="EG407" s="25"/>
      <c r="EY407" s="20"/>
    </row>
    <row r="408" spans="1:155">
      <c r="A408" s="21"/>
      <c r="B408" s="21"/>
      <c r="AA408" s="26"/>
      <c r="AB408" s="26"/>
      <c r="AC408" s="21"/>
      <c r="AD408" s="21"/>
      <c r="AY408" s="26"/>
      <c r="AZ408" s="26"/>
      <c r="BB408" s="26"/>
      <c r="BD408" s="21"/>
      <c r="CN408" s="26"/>
      <c r="DB408" s="24"/>
      <c r="DD408" s="21"/>
      <c r="DE408" s="22"/>
      <c r="DG408" s="21"/>
      <c r="DK408" s="26"/>
      <c r="DL408" s="26"/>
      <c r="DM408" s="26"/>
      <c r="DN408" s="21"/>
      <c r="DO408" s="21"/>
      <c r="EF408" s="25"/>
      <c r="EG408" s="25"/>
      <c r="EY408" s="20"/>
    </row>
    <row r="409" spans="1:155">
      <c r="A409" s="21"/>
      <c r="B409" s="21"/>
      <c r="AA409" s="26"/>
      <c r="AB409" s="26"/>
      <c r="AC409" s="21"/>
      <c r="AD409" s="21"/>
      <c r="AY409" s="26"/>
      <c r="AZ409" s="26"/>
      <c r="BB409" s="26"/>
      <c r="BD409" s="21"/>
      <c r="CN409" s="26"/>
      <c r="DB409" s="24"/>
      <c r="DD409" s="21"/>
      <c r="DE409" s="22"/>
      <c r="DG409" s="21"/>
      <c r="DK409" s="26"/>
      <c r="DL409" s="26"/>
      <c r="DM409" s="26"/>
      <c r="DN409" s="21"/>
      <c r="DO409" s="21"/>
      <c r="EF409" s="25"/>
      <c r="EG409" s="25"/>
      <c r="EY409" s="20"/>
    </row>
    <row r="410" spans="1:155">
      <c r="A410" s="21"/>
      <c r="B410" s="21"/>
      <c r="AA410" s="26"/>
      <c r="AB410" s="26"/>
      <c r="AC410" s="21"/>
      <c r="AD410" s="21"/>
      <c r="AY410" s="26"/>
      <c r="AZ410" s="26"/>
      <c r="BB410" s="26"/>
      <c r="BD410" s="21"/>
      <c r="CN410" s="26"/>
      <c r="DB410" s="24"/>
      <c r="DD410" s="21"/>
      <c r="DE410" s="22"/>
      <c r="DG410" s="21"/>
      <c r="DK410" s="26"/>
      <c r="DL410" s="26"/>
      <c r="DM410" s="26"/>
      <c r="DN410" s="21"/>
      <c r="DO410" s="21"/>
      <c r="EF410" s="25"/>
      <c r="EG410" s="25"/>
      <c r="EY410" s="20"/>
    </row>
    <row r="411" spans="1:155">
      <c r="A411" s="21"/>
      <c r="B411" s="21"/>
      <c r="AA411" s="26"/>
      <c r="AB411" s="26"/>
      <c r="AC411" s="21"/>
      <c r="AD411" s="21"/>
      <c r="AY411" s="26"/>
      <c r="AZ411" s="26"/>
      <c r="BB411" s="26"/>
      <c r="BD411" s="21"/>
      <c r="CN411" s="26"/>
      <c r="DB411" s="24"/>
      <c r="DD411" s="21"/>
      <c r="DE411" s="22"/>
      <c r="DG411" s="21"/>
      <c r="DK411" s="26"/>
      <c r="DL411" s="26"/>
      <c r="DM411" s="26"/>
      <c r="DN411" s="21"/>
      <c r="DO411" s="21"/>
      <c r="EF411" s="25"/>
      <c r="EG411" s="25"/>
      <c r="EY411" s="20"/>
    </row>
    <row r="412" spans="1:155">
      <c r="A412" s="21"/>
      <c r="B412" s="21"/>
      <c r="AA412" s="26"/>
      <c r="AB412" s="26"/>
      <c r="AC412" s="21"/>
      <c r="AD412" s="21"/>
      <c r="AY412" s="26"/>
      <c r="AZ412" s="26"/>
      <c r="BB412" s="26"/>
      <c r="BD412" s="21"/>
      <c r="CN412" s="26"/>
      <c r="DB412" s="24"/>
      <c r="DD412" s="21"/>
      <c r="DE412" s="22"/>
      <c r="DG412" s="21"/>
      <c r="DK412" s="26"/>
      <c r="DL412" s="26"/>
      <c r="DM412" s="26"/>
      <c r="DN412" s="21"/>
      <c r="DO412" s="21"/>
      <c r="EF412" s="25"/>
      <c r="EG412" s="25"/>
      <c r="EY412" s="20"/>
    </row>
    <row r="413" spans="1:155">
      <c r="A413" s="21"/>
      <c r="B413" s="21"/>
      <c r="AA413" s="26"/>
      <c r="AB413" s="26"/>
      <c r="AC413" s="21"/>
      <c r="AD413" s="21"/>
      <c r="AY413" s="26"/>
      <c r="AZ413" s="26"/>
      <c r="BB413" s="26"/>
      <c r="BD413" s="21"/>
      <c r="CN413" s="26"/>
      <c r="DB413" s="24"/>
      <c r="DD413" s="21"/>
      <c r="DE413" s="22"/>
      <c r="DG413" s="21"/>
      <c r="DK413" s="26"/>
      <c r="DL413" s="26"/>
      <c r="DM413" s="26"/>
      <c r="DN413" s="21"/>
      <c r="DO413" s="21"/>
      <c r="EF413" s="25"/>
      <c r="EG413" s="25"/>
      <c r="EY413" s="20"/>
    </row>
    <row r="414" spans="1:155">
      <c r="A414" s="21"/>
      <c r="B414" s="21"/>
      <c r="AA414" s="26"/>
      <c r="AB414" s="26"/>
      <c r="AC414" s="21"/>
      <c r="AD414" s="21"/>
      <c r="AY414" s="26"/>
      <c r="AZ414" s="26"/>
      <c r="BB414" s="26"/>
      <c r="BD414" s="21"/>
      <c r="CN414" s="26"/>
      <c r="DB414" s="24"/>
      <c r="DD414" s="21"/>
      <c r="DE414" s="22"/>
      <c r="DG414" s="21"/>
      <c r="DK414" s="26"/>
      <c r="DL414" s="26"/>
      <c r="DM414" s="26"/>
      <c r="DN414" s="21"/>
      <c r="DO414" s="21"/>
      <c r="EF414" s="25"/>
      <c r="EG414" s="25"/>
      <c r="EY414" s="20"/>
    </row>
    <row r="415" spans="1:155">
      <c r="A415" s="21"/>
      <c r="B415" s="21"/>
      <c r="AA415" s="26"/>
      <c r="AB415" s="26"/>
      <c r="AC415" s="21"/>
      <c r="AD415" s="21"/>
      <c r="AY415" s="26"/>
      <c r="AZ415" s="26"/>
      <c r="BB415" s="26"/>
      <c r="BD415" s="21"/>
      <c r="CN415" s="26"/>
      <c r="DB415" s="24"/>
      <c r="DD415" s="21"/>
      <c r="DE415" s="22"/>
      <c r="DG415" s="21"/>
      <c r="DK415" s="26"/>
      <c r="DL415" s="26"/>
      <c r="DM415" s="26"/>
      <c r="DN415" s="21"/>
      <c r="DO415" s="21"/>
      <c r="EF415" s="25"/>
      <c r="EG415" s="25"/>
      <c r="EY415" s="20"/>
    </row>
    <row r="416" spans="1:155">
      <c r="A416" s="21"/>
      <c r="B416" s="21"/>
      <c r="AA416" s="26"/>
      <c r="AB416" s="26"/>
      <c r="AC416" s="21"/>
      <c r="AD416" s="21"/>
      <c r="AY416" s="26"/>
      <c r="AZ416" s="26"/>
      <c r="BB416" s="26"/>
      <c r="BD416" s="21"/>
      <c r="CN416" s="26"/>
      <c r="DB416" s="24"/>
      <c r="DD416" s="21"/>
      <c r="DE416" s="22"/>
      <c r="DG416" s="21"/>
      <c r="DK416" s="26"/>
      <c r="DL416" s="26"/>
      <c r="DM416" s="26"/>
      <c r="DN416" s="21"/>
      <c r="DO416" s="21"/>
      <c r="EF416" s="25"/>
      <c r="EG416" s="25"/>
      <c r="EY416" s="20"/>
    </row>
    <row r="417" spans="1:155">
      <c r="A417" s="21"/>
      <c r="B417" s="21"/>
      <c r="AA417" s="26"/>
      <c r="AB417" s="26"/>
      <c r="AC417" s="21"/>
      <c r="AD417" s="21"/>
      <c r="AY417" s="26"/>
      <c r="AZ417" s="26"/>
      <c r="BB417" s="26"/>
      <c r="BD417" s="21"/>
      <c r="CN417" s="26"/>
      <c r="DB417" s="24"/>
      <c r="DD417" s="21"/>
      <c r="DE417" s="22"/>
      <c r="DG417" s="21"/>
      <c r="DK417" s="26"/>
      <c r="DL417" s="26"/>
      <c r="DM417" s="26"/>
      <c r="DN417" s="21"/>
      <c r="DO417" s="21"/>
      <c r="EF417" s="25"/>
      <c r="EG417" s="25"/>
      <c r="EY417" s="20"/>
    </row>
    <row r="418" spans="1:155">
      <c r="A418" s="21"/>
      <c r="B418" s="21"/>
      <c r="AA418" s="26"/>
      <c r="AB418" s="26"/>
      <c r="AC418" s="21"/>
      <c r="AD418" s="21"/>
      <c r="AY418" s="26"/>
      <c r="AZ418" s="26"/>
      <c r="BB418" s="26"/>
      <c r="BD418" s="21"/>
      <c r="CN418" s="26"/>
      <c r="DB418" s="24"/>
      <c r="DD418" s="21"/>
      <c r="DE418" s="22"/>
      <c r="DG418" s="21"/>
      <c r="DK418" s="26"/>
      <c r="DL418" s="26"/>
      <c r="DM418" s="26"/>
      <c r="DN418" s="21"/>
      <c r="DO418" s="21"/>
      <c r="EF418" s="25"/>
      <c r="EG418" s="25"/>
      <c r="EY418" s="20"/>
    </row>
    <row r="419" spans="1:155">
      <c r="A419" s="21"/>
      <c r="B419" s="21"/>
      <c r="AA419" s="26"/>
      <c r="AB419" s="26"/>
      <c r="AC419" s="21"/>
      <c r="AD419" s="21"/>
      <c r="AY419" s="26"/>
      <c r="AZ419" s="26"/>
      <c r="BB419" s="26"/>
      <c r="BD419" s="21"/>
      <c r="CN419" s="26"/>
      <c r="DB419" s="24"/>
      <c r="DD419" s="21"/>
      <c r="DE419" s="22"/>
      <c r="DG419" s="21"/>
      <c r="DK419" s="26"/>
      <c r="DL419" s="26"/>
      <c r="DM419" s="26"/>
      <c r="DN419" s="21"/>
      <c r="DO419" s="21"/>
      <c r="EF419" s="25"/>
      <c r="EG419" s="25"/>
      <c r="EY419" s="20"/>
    </row>
    <row r="420" spans="1:155">
      <c r="A420" s="21"/>
      <c r="B420" s="21"/>
      <c r="AA420" s="26"/>
      <c r="AB420" s="26"/>
      <c r="AC420" s="21"/>
      <c r="AD420" s="21"/>
      <c r="AY420" s="26"/>
      <c r="AZ420" s="26"/>
      <c r="BB420" s="26"/>
      <c r="BD420" s="21"/>
      <c r="CN420" s="26"/>
      <c r="DB420" s="24"/>
      <c r="DD420" s="21"/>
      <c r="DE420" s="22"/>
      <c r="DG420" s="21"/>
      <c r="DK420" s="26"/>
      <c r="DL420" s="26"/>
      <c r="DM420" s="26"/>
      <c r="DN420" s="21"/>
      <c r="DO420" s="21"/>
      <c r="EF420" s="25"/>
      <c r="EG420" s="25"/>
      <c r="EY420" s="20"/>
    </row>
    <row r="421" spans="1:155">
      <c r="A421" s="21"/>
      <c r="B421" s="21"/>
      <c r="AA421" s="26"/>
      <c r="AB421" s="26"/>
      <c r="AC421" s="21"/>
      <c r="AD421" s="21"/>
      <c r="AY421" s="26"/>
      <c r="AZ421" s="26"/>
      <c r="BB421" s="26"/>
      <c r="BD421" s="21"/>
      <c r="CN421" s="26"/>
      <c r="DB421" s="24"/>
      <c r="DD421" s="21"/>
      <c r="DE421" s="22"/>
      <c r="DG421" s="21"/>
      <c r="DK421" s="26"/>
      <c r="DL421" s="26"/>
      <c r="DM421" s="26"/>
      <c r="DN421" s="21"/>
      <c r="DO421" s="21"/>
      <c r="EF421" s="25"/>
      <c r="EG421" s="25"/>
      <c r="EY421" s="20"/>
    </row>
    <row r="422" spans="1:155">
      <c r="A422" s="21"/>
      <c r="B422" s="21"/>
      <c r="AA422" s="26"/>
      <c r="AB422" s="26"/>
      <c r="AC422" s="21"/>
      <c r="AD422" s="21"/>
      <c r="AY422" s="26"/>
      <c r="AZ422" s="26"/>
      <c r="BB422" s="26"/>
      <c r="BD422" s="21"/>
      <c r="CN422" s="26"/>
      <c r="DB422" s="24"/>
      <c r="DD422" s="21"/>
      <c r="DE422" s="22"/>
      <c r="DG422" s="21"/>
      <c r="DK422" s="26"/>
      <c r="DL422" s="26"/>
      <c r="DM422" s="26"/>
      <c r="DN422" s="21"/>
      <c r="DO422" s="21"/>
      <c r="EF422" s="25"/>
      <c r="EG422" s="25"/>
      <c r="EY422" s="20"/>
    </row>
    <row r="423" spans="1:155">
      <c r="A423" s="21"/>
      <c r="B423" s="21"/>
      <c r="AA423" s="26"/>
      <c r="AB423" s="26"/>
      <c r="AC423" s="21"/>
      <c r="AD423" s="21"/>
      <c r="AY423" s="26"/>
      <c r="AZ423" s="26"/>
      <c r="BB423" s="26"/>
      <c r="BD423" s="21"/>
      <c r="CN423" s="26"/>
      <c r="DB423" s="24"/>
      <c r="DD423" s="21"/>
      <c r="DE423" s="22"/>
      <c r="DG423" s="21"/>
      <c r="DK423" s="26"/>
      <c r="DL423" s="26"/>
      <c r="DM423" s="26"/>
      <c r="DN423" s="21"/>
      <c r="DO423" s="21"/>
      <c r="EF423" s="25"/>
      <c r="EG423" s="25"/>
      <c r="EY423" s="20"/>
    </row>
    <row r="424" spans="1:155">
      <c r="A424" s="21"/>
      <c r="B424" s="21"/>
      <c r="AA424" s="26"/>
      <c r="AB424" s="26"/>
      <c r="AC424" s="21"/>
      <c r="AD424" s="21"/>
      <c r="AY424" s="26"/>
      <c r="AZ424" s="26"/>
      <c r="BB424" s="26"/>
      <c r="BD424" s="21"/>
      <c r="CN424" s="26"/>
      <c r="DB424" s="24"/>
      <c r="DD424" s="21"/>
      <c r="DE424" s="22"/>
      <c r="DG424" s="21"/>
      <c r="DK424" s="26"/>
      <c r="DL424" s="26"/>
      <c r="DM424" s="26"/>
      <c r="DN424" s="21"/>
      <c r="DO424" s="21"/>
      <c r="EF424" s="25"/>
      <c r="EG424" s="25"/>
      <c r="EY424" s="20"/>
    </row>
    <row r="425" spans="1:155">
      <c r="A425" s="21"/>
      <c r="B425" s="21"/>
      <c r="AA425" s="26"/>
      <c r="AB425" s="26"/>
      <c r="AC425" s="21"/>
      <c r="AD425" s="21"/>
      <c r="AY425" s="26"/>
      <c r="AZ425" s="26"/>
      <c r="BB425" s="26"/>
      <c r="BD425" s="21"/>
      <c r="CN425" s="26"/>
      <c r="DB425" s="24"/>
      <c r="DD425" s="21"/>
      <c r="DE425" s="22"/>
      <c r="DG425" s="21"/>
      <c r="DK425" s="26"/>
      <c r="DL425" s="26"/>
      <c r="DM425" s="26"/>
      <c r="DN425" s="21"/>
      <c r="DO425" s="21"/>
      <c r="EF425" s="25"/>
      <c r="EG425" s="25"/>
      <c r="EY425" s="20"/>
    </row>
    <row r="426" spans="1:155">
      <c r="A426" s="21"/>
      <c r="B426" s="21"/>
      <c r="AA426" s="26"/>
      <c r="AB426" s="26"/>
      <c r="AC426" s="21"/>
      <c r="AD426" s="21"/>
      <c r="AY426" s="26"/>
      <c r="AZ426" s="26"/>
      <c r="BB426" s="26"/>
      <c r="BD426" s="21"/>
      <c r="CN426" s="26"/>
      <c r="DB426" s="24"/>
      <c r="DD426" s="21"/>
      <c r="DE426" s="22"/>
      <c r="DG426" s="21"/>
      <c r="DK426" s="26"/>
      <c r="DL426" s="26"/>
      <c r="DM426" s="26"/>
      <c r="DN426" s="21"/>
      <c r="DO426" s="21"/>
      <c r="EF426" s="25"/>
      <c r="EG426" s="25"/>
      <c r="EY426" s="20"/>
    </row>
    <row r="427" spans="1:155">
      <c r="A427" s="21"/>
      <c r="B427" s="21"/>
      <c r="AA427" s="26"/>
      <c r="AB427" s="26"/>
      <c r="AC427" s="21"/>
      <c r="AD427" s="21"/>
      <c r="AY427" s="26"/>
      <c r="AZ427" s="26"/>
      <c r="BB427" s="26"/>
      <c r="BD427" s="21"/>
      <c r="CN427" s="26"/>
      <c r="DB427" s="24"/>
      <c r="DD427" s="21"/>
      <c r="DE427" s="22"/>
      <c r="DG427" s="21"/>
      <c r="DK427" s="26"/>
      <c r="DL427" s="26"/>
      <c r="DM427" s="26"/>
      <c r="DN427" s="21"/>
      <c r="DO427" s="21"/>
      <c r="EF427" s="25"/>
      <c r="EG427" s="25"/>
      <c r="EY427" s="20"/>
    </row>
    <row r="428" spans="1:155">
      <c r="A428" s="21"/>
      <c r="B428" s="21"/>
      <c r="AA428" s="26"/>
      <c r="AB428" s="26"/>
      <c r="AC428" s="21"/>
      <c r="AD428" s="21"/>
      <c r="AY428" s="26"/>
      <c r="AZ428" s="26"/>
      <c r="BB428" s="26"/>
      <c r="BD428" s="21"/>
      <c r="CN428" s="26"/>
      <c r="DB428" s="24"/>
      <c r="DD428" s="21"/>
      <c r="DE428" s="22"/>
      <c r="DG428" s="21"/>
      <c r="DK428" s="26"/>
      <c r="DL428" s="26"/>
      <c r="DM428" s="26"/>
      <c r="DN428" s="21"/>
      <c r="DO428" s="21"/>
      <c r="EF428" s="25"/>
      <c r="EG428" s="25"/>
      <c r="EY428" s="20"/>
    </row>
    <row r="429" spans="1:155">
      <c r="A429" s="21"/>
      <c r="B429" s="21"/>
      <c r="AA429" s="26"/>
      <c r="AB429" s="26"/>
      <c r="AC429" s="21"/>
      <c r="AD429" s="21"/>
      <c r="AY429" s="26"/>
      <c r="AZ429" s="26"/>
      <c r="BB429" s="26"/>
      <c r="BD429" s="21"/>
      <c r="CN429" s="26"/>
      <c r="DB429" s="24"/>
      <c r="DD429" s="21"/>
      <c r="DE429" s="22"/>
      <c r="DG429" s="21"/>
      <c r="DK429" s="26"/>
      <c r="DL429" s="26"/>
      <c r="DM429" s="26"/>
      <c r="DN429" s="21"/>
      <c r="DO429" s="21"/>
      <c r="EF429" s="25"/>
      <c r="EG429" s="25"/>
      <c r="EY429" s="20"/>
    </row>
    <row r="430" spans="1:155">
      <c r="A430" s="21"/>
      <c r="B430" s="21"/>
      <c r="AA430" s="26"/>
      <c r="AB430" s="26"/>
      <c r="AC430" s="21"/>
      <c r="AD430" s="21"/>
      <c r="AY430" s="26"/>
      <c r="AZ430" s="26"/>
      <c r="BB430" s="26"/>
      <c r="BD430" s="21"/>
      <c r="CN430" s="26"/>
      <c r="DB430" s="24"/>
      <c r="DD430" s="21"/>
      <c r="DE430" s="22"/>
      <c r="DG430" s="21"/>
      <c r="DK430" s="26"/>
      <c r="DL430" s="26"/>
      <c r="DM430" s="26"/>
      <c r="DN430" s="21"/>
      <c r="DO430" s="21"/>
      <c r="EF430" s="25"/>
      <c r="EG430" s="25"/>
      <c r="EY430" s="20"/>
    </row>
    <row r="431" spans="1:155">
      <c r="A431" s="21"/>
      <c r="B431" s="21"/>
      <c r="AA431" s="26"/>
      <c r="AB431" s="26"/>
      <c r="AC431" s="21"/>
      <c r="AD431" s="21"/>
      <c r="AY431" s="26"/>
      <c r="AZ431" s="26"/>
      <c r="BB431" s="26"/>
      <c r="BD431" s="21"/>
      <c r="CN431" s="26"/>
      <c r="DB431" s="24"/>
      <c r="DD431" s="21"/>
      <c r="DE431" s="22"/>
      <c r="DG431" s="21"/>
      <c r="DK431" s="26"/>
      <c r="DL431" s="26"/>
      <c r="DM431" s="26"/>
      <c r="DN431" s="21"/>
      <c r="DO431" s="21"/>
      <c r="EF431" s="25"/>
      <c r="EG431" s="25"/>
      <c r="EY431" s="20"/>
    </row>
    <row r="432" spans="1:155">
      <c r="A432" s="21"/>
      <c r="B432" s="21"/>
      <c r="AA432" s="26"/>
      <c r="AB432" s="26"/>
      <c r="AC432" s="21"/>
      <c r="AD432" s="21"/>
      <c r="AY432" s="26"/>
      <c r="AZ432" s="26"/>
      <c r="BB432" s="26"/>
      <c r="BD432" s="21"/>
      <c r="CN432" s="26"/>
      <c r="DB432" s="24"/>
      <c r="DD432" s="21"/>
      <c r="DE432" s="22"/>
      <c r="DG432" s="21"/>
      <c r="DK432" s="26"/>
      <c r="DL432" s="26"/>
      <c r="DM432" s="26"/>
      <c r="DN432" s="21"/>
      <c r="DO432" s="21"/>
      <c r="EF432" s="25"/>
      <c r="EG432" s="25"/>
      <c r="EY432" s="20"/>
    </row>
    <row r="433" spans="1:155">
      <c r="A433" s="21"/>
      <c r="B433" s="21"/>
      <c r="AA433" s="26"/>
      <c r="AB433" s="26"/>
      <c r="AC433" s="21"/>
      <c r="AD433" s="21"/>
      <c r="AY433" s="26"/>
      <c r="AZ433" s="26"/>
      <c r="BB433" s="26"/>
      <c r="BD433" s="21"/>
      <c r="CN433" s="26"/>
      <c r="DB433" s="24"/>
      <c r="DD433" s="21"/>
      <c r="DE433" s="22"/>
      <c r="DG433" s="21"/>
      <c r="DK433" s="26"/>
      <c r="DL433" s="26"/>
      <c r="DM433" s="26"/>
      <c r="DN433" s="21"/>
      <c r="DO433" s="21"/>
      <c r="EF433" s="25"/>
      <c r="EG433" s="25"/>
      <c r="EY433" s="20"/>
    </row>
    <row r="434" spans="1:155">
      <c r="A434" s="21"/>
      <c r="B434" s="21"/>
      <c r="AA434" s="26"/>
      <c r="AB434" s="26"/>
      <c r="AC434" s="21"/>
      <c r="AD434" s="21"/>
      <c r="AY434" s="26"/>
      <c r="AZ434" s="26"/>
      <c r="BB434" s="26"/>
      <c r="BD434" s="21"/>
      <c r="CN434" s="26"/>
      <c r="DB434" s="24"/>
      <c r="DD434" s="21"/>
      <c r="DE434" s="22"/>
      <c r="DG434" s="21"/>
      <c r="DK434" s="26"/>
      <c r="DL434" s="26"/>
      <c r="DM434" s="26"/>
      <c r="DN434" s="21"/>
      <c r="DO434" s="21"/>
      <c r="EF434" s="25"/>
      <c r="EG434" s="25"/>
      <c r="EY434" s="20"/>
    </row>
    <row r="435" spans="1:155">
      <c r="A435" s="21"/>
      <c r="B435" s="21"/>
      <c r="AA435" s="26"/>
      <c r="AB435" s="26"/>
      <c r="AC435" s="21"/>
      <c r="AD435" s="21"/>
      <c r="AY435" s="26"/>
      <c r="AZ435" s="26"/>
      <c r="BB435" s="26"/>
      <c r="BD435" s="21"/>
      <c r="CN435" s="26"/>
      <c r="DB435" s="24"/>
      <c r="DD435" s="21"/>
      <c r="DE435" s="22"/>
      <c r="DG435" s="21"/>
      <c r="DK435" s="26"/>
      <c r="DL435" s="26"/>
      <c r="DM435" s="26"/>
      <c r="DN435" s="21"/>
      <c r="DO435" s="21"/>
      <c r="EF435" s="25"/>
      <c r="EG435" s="25"/>
      <c r="EY435" s="20"/>
    </row>
    <row r="436" spans="1:155">
      <c r="A436" s="21"/>
      <c r="B436" s="21"/>
      <c r="AA436" s="26"/>
      <c r="AB436" s="26"/>
      <c r="AC436" s="21"/>
      <c r="AD436" s="21"/>
      <c r="AY436" s="26"/>
      <c r="AZ436" s="26"/>
      <c r="BB436" s="26"/>
      <c r="BD436" s="21"/>
      <c r="CN436" s="26"/>
      <c r="DB436" s="24"/>
      <c r="DD436" s="21"/>
      <c r="DE436" s="22"/>
      <c r="DG436" s="21"/>
      <c r="DK436" s="26"/>
      <c r="DL436" s="26"/>
      <c r="DM436" s="26"/>
      <c r="DN436" s="21"/>
      <c r="DO436" s="21"/>
      <c r="EF436" s="25"/>
      <c r="EG436" s="25"/>
      <c r="EY436" s="20"/>
    </row>
    <row r="437" spans="1:155">
      <c r="A437" s="21"/>
      <c r="B437" s="21"/>
      <c r="AA437" s="26"/>
      <c r="AB437" s="26"/>
      <c r="AC437" s="21"/>
      <c r="AD437" s="21"/>
      <c r="AY437" s="26"/>
      <c r="AZ437" s="26"/>
      <c r="BB437" s="26"/>
      <c r="BD437" s="21"/>
      <c r="CN437" s="26"/>
      <c r="DB437" s="24"/>
      <c r="DD437" s="21"/>
      <c r="DE437" s="22"/>
      <c r="DG437" s="21"/>
      <c r="DK437" s="26"/>
      <c r="DL437" s="26"/>
      <c r="DM437" s="26"/>
      <c r="DN437" s="21"/>
      <c r="DO437" s="21"/>
      <c r="EF437" s="25"/>
      <c r="EG437" s="25"/>
      <c r="EY437" s="20"/>
    </row>
    <row r="438" spans="1:155">
      <c r="A438" s="21"/>
      <c r="B438" s="21"/>
      <c r="AA438" s="26"/>
      <c r="AB438" s="26"/>
      <c r="AC438" s="21"/>
      <c r="AD438" s="21"/>
      <c r="AY438" s="26"/>
      <c r="AZ438" s="26"/>
      <c r="BB438" s="26"/>
      <c r="BD438" s="21"/>
      <c r="CN438" s="26"/>
      <c r="DB438" s="24"/>
      <c r="DD438" s="21"/>
      <c r="DE438" s="22"/>
      <c r="DG438" s="21"/>
      <c r="DK438" s="26"/>
      <c r="DL438" s="26"/>
      <c r="DM438" s="26"/>
      <c r="DN438" s="21"/>
      <c r="DO438" s="21"/>
      <c r="EF438" s="25"/>
      <c r="EG438" s="25"/>
      <c r="EY438" s="20"/>
    </row>
    <row r="439" spans="1:155">
      <c r="A439" s="21"/>
      <c r="B439" s="21"/>
      <c r="AA439" s="26"/>
      <c r="AB439" s="26"/>
      <c r="AC439" s="21"/>
      <c r="AD439" s="21"/>
      <c r="AY439" s="26"/>
      <c r="AZ439" s="26"/>
      <c r="BB439" s="26"/>
      <c r="BD439" s="21"/>
      <c r="CN439" s="26"/>
      <c r="DB439" s="24"/>
      <c r="DD439" s="21"/>
      <c r="DE439" s="22"/>
      <c r="DG439" s="21"/>
      <c r="DK439" s="26"/>
      <c r="DL439" s="26"/>
      <c r="DM439" s="26"/>
      <c r="DN439" s="21"/>
      <c r="DO439" s="21"/>
      <c r="EF439" s="25"/>
      <c r="EG439" s="25"/>
      <c r="EY439" s="20"/>
    </row>
    <row r="440" spans="1:155">
      <c r="A440" s="21"/>
      <c r="B440" s="21"/>
      <c r="AA440" s="26"/>
      <c r="AB440" s="26"/>
      <c r="AC440" s="21"/>
      <c r="AD440" s="21"/>
      <c r="AY440" s="26"/>
      <c r="AZ440" s="26"/>
      <c r="BB440" s="26"/>
      <c r="BD440" s="21"/>
      <c r="CN440" s="26"/>
      <c r="DB440" s="24"/>
      <c r="DD440" s="21"/>
      <c r="DE440" s="22"/>
      <c r="DG440" s="21"/>
      <c r="DK440" s="26"/>
      <c r="DL440" s="26"/>
      <c r="DM440" s="26"/>
      <c r="DN440" s="21"/>
      <c r="DO440" s="21"/>
      <c r="EF440" s="25"/>
      <c r="EG440" s="25"/>
      <c r="EY440" s="20"/>
    </row>
    <row r="441" spans="1:155">
      <c r="A441" s="21"/>
      <c r="B441" s="21"/>
      <c r="AA441" s="26"/>
      <c r="AB441" s="26"/>
      <c r="AC441" s="21"/>
      <c r="AD441" s="21"/>
      <c r="AY441" s="26"/>
      <c r="AZ441" s="26"/>
      <c r="BB441" s="26"/>
      <c r="BD441" s="21"/>
      <c r="CN441" s="26"/>
      <c r="DB441" s="24"/>
      <c r="DD441" s="21"/>
      <c r="DE441" s="22"/>
      <c r="DG441" s="21"/>
      <c r="DK441" s="26"/>
      <c r="DL441" s="26"/>
      <c r="DM441" s="26"/>
      <c r="DN441" s="21"/>
      <c r="DO441" s="21"/>
      <c r="EF441" s="25"/>
      <c r="EG441" s="25"/>
      <c r="EY441" s="20"/>
    </row>
    <row r="442" spans="1:155">
      <c r="A442" s="21"/>
      <c r="B442" s="21"/>
      <c r="AA442" s="26"/>
      <c r="AB442" s="26"/>
      <c r="AC442" s="21"/>
      <c r="AD442" s="21"/>
      <c r="AY442" s="26"/>
      <c r="AZ442" s="26"/>
      <c r="BB442" s="26"/>
      <c r="BD442" s="21"/>
      <c r="CN442" s="26"/>
      <c r="DB442" s="24"/>
      <c r="DD442" s="21"/>
      <c r="DE442" s="22"/>
      <c r="DG442" s="21"/>
      <c r="DK442" s="26"/>
      <c r="DL442" s="26"/>
      <c r="DM442" s="26"/>
      <c r="DN442" s="21"/>
      <c r="DO442" s="21"/>
      <c r="EF442" s="25"/>
      <c r="EG442" s="25"/>
      <c r="EY442" s="20"/>
    </row>
    <row r="443" spans="1:155">
      <c r="A443" s="21"/>
      <c r="B443" s="21"/>
      <c r="AA443" s="26"/>
      <c r="AB443" s="26"/>
      <c r="AC443" s="21"/>
      <c r="AD443" s="21"/>
      <c r="AY443" s="26"/>
      <c r="AZ443" s="26"/>
      <c r="BB443" s="26"/>
      <c r="BD443" s="21"/>
      <c r="CN443" s="26"/>
      <c r="DB443" s="24"/>
      <c r="DD443" s="21"/>
      <c r="DE443" s="22"/>
      <c r="DG443" s="21"/>
      <c r="DK443" s="26"/>
      <c r="DL443" s="26"/>
      <c r="DM443" s="26"/>
      <c r="DN443" s="21"/>
      <c r="DO443" s="21"/>
      <c r="EF443" s="25"/>
      <c r="EG443" s="25"/>
      <c r="EY443" s="20"/>
    </row>
    <row r="444" spans="1:155">
      <c r="A444" s="21"/>
      <c r="B444" s="21"/>
      <c r="AA444" s="26"/>
      <c r="AB444" s="26"/>
      <c r="AC444" s="21"/>
      <c r="AD444" s="21"/>
      <c r="AY444" s="26"/>
      <c r="AZ444" s="26"/>
      <c r="BB444" s="26"/>
      <c r="BD444" s="21"/>
      <c r="CN444" s="26"/>
      <c r="DB444" s="24"/>
      <c r="DD444" s="21"/>
      <c r="DE444" s="22"/>
      <c r="DG444" s="21"/>
      <c r="DK444" s="26"/>
      <c r="DL444" s="26"/>
      <c r="DM444" s="26"/>
      <c r="DN444" s="21"/>
      <c r="DO444" s="21"/>
      <c r="EF444" s="25"/>
      <c r="EG444" s="25"/>
      <c r="EY444" s="20"/>
    </row>
    <row r="445" spans="1:155">
      <c r="A445" s="21"/>
      <c r="B445" s="21"/>
      <c r="AA445" s="26"/>
      <c r="AB445" s="26"/>
      <c r="AC445" s="21"/>
      <c r="AD445" s="21"/>
      <c r="AY445" s="26"/>
      <c r="AZ445" s="26"/>
      <c r="BB445" s="26"/>
      <c r="BD445" s="21"/>
      <c r="CN445" s="26"/>
      <c r="DB445" s="24"/>
      <c r="DD445" s="21"/>
      <c r="DE445" s="22"/>
      <c r="DG445" s="21"/>
      <c r="DK445" s="26"/>
      <c r="DL445" s="26"/>
      <c r="DM445" s="26"/>
      <c r="DN445" s="21"/>
      <c r="DO445" s="21"/>
      <c r="EF445" s="25"/>
      <c r="EG445" s="25"/>
      <c r="EY445" s="20"/>
    </row>
    <row r="446" spans="1:155">
      <c r="A446" s="21"/>
      <c r="B446" s="21"/>
      <c r="AA446" s="26"/>
      <c r="AB446" s="26"/>
      <c r="AC446" s="21"/>
      <c r="AD446" s="21"/>
      <c r="AY446" s="26"/>
      <c r="AZ446" s="26"/>
      <c r="BB446" s="26"/>
      <c r="BD446" s="21"/>
      <c r="CN446" s="26"/>
      <c r="DB446" s="24"/>
      <c r="DD446" s="21"/>
      <c r="DE446" s="22"/>
      <c r="DG446" s="21"/>
      <c r="DK446" s="26"/>
      <c r="DL446" s="26"/>
      <c r="DM446" s="26"/>
      <c r="DN446" s="21"/>
      <c r="DO446" s="21"/>
      <c r="EF446" s="25"/>
      <c r="EG446" s="25"/>
      <c r="EY446" s="20"/>
    </row>
    <row r="447" spans="1:155">
      <c r="A447" s="21"/>
      <c r="B447" s="21"/>
      <c r="AA447" s="26"/>
      <c r="AB447" s="26"/>
      <c r="AC447" s="21"/>
      <c r="AD447" s="21"/>
      <c r="AY447" s="26"/>
      <c r="AZ447" s="26"/>
      <c r="BB447" s="26"/>
      <c r="BD447" s="21"/>
      <c r="CN447" s="26"/>
      <c r="DB447" s="24"/>
      <c r="DD447" s="21"/>
      <c r="DE447" s="22"/>
      <c r="DG447" s="21"/>
      <c r="DK447" s="26"/>
      <c r="DL447" s="26"/>
      <c r="DM447" s="26"/>
      <c r="DN447" s="21"/>
      <c r="DO447" s="21"/>
      <c r="EF447" s="25"/>
      <c r="EG447" s="25"/>
      <c r="EY447" s="20"/>
    </row>
    <row r="448" spans="1:155">
      <c r="A448" s="21"/>
      <c r="B448" s="21"/>
      <c r="AA448" s="26"/>
      <c r="AB448" s="26"/>
      <c r="AC448" s="21"/>
      <c r="AD448" s="21"/>
      <c r="AY448" s="26"/>
      <c r="AZ448" s="26"/>
      <c r="BB448" s="26"/>
      <c r="BD448" s="21"/>
      <c r="CN448" s="26"/>
      <c r="DB448" s="24"/>
      <c r="DD448" s="21"/>
      <c r="DE448" s="22"/>
      <c r="DG448" s="21"/>
      <c r="DK448" s="26"/>
      <c r="DL448" s="26"/>
      <c r="DM448" s="26"/>
      <c r="DN448" s="21"/>
      <c r="DO448" s="21"/>
      <c r="EF448" s="25"/>
      <c r="EG448" s="25"/>
      <c r="EY448" s="20"/>
    </row>
    <row r="449" spans="1:155">
      <c r="A449" s="21"/>
      <c r="B449" s="21"/>
      <c r="AA449" s="26"/>
      <c r="AB449" s="26"/>
      <c r="AC449" s="21"/>
      <c r="AD449" s="21"/>
      <c r="AY449" s="26"/>
      <c r="AZ449" s="26"/>
      <c r="BB449" s="26"/>
      <c r="BD449" s="21"/>
      <c r="CN449" s="26"/>
      <c r="DB449" s="24"/>
      <c r="DD449" s="21"/>
      <c r="DE449" s="22"/>
      <c r="DG449" s="21"/>
      <c r="DK449" s="26"/>
      <c r="DL449" s="26"/>
      <c r="DM449" s="26"/>
      <c r="DN449" s="21"/>
      <c r="DO449" s="21"/>
      <c r="EF449" s="25"/>
      <c r="EG449" s="25"/>
      <c r="EY449" s="20"/>
    </row>
    <row r="450" spans="1:155">
      <c r="A450" s="21"/>
      <c r="B450" s="21"/>
      <c r="AA450" s="26"/>
      <c r="AB450" s="26"/>
      <c r="AC450" s="21"/>
      <c r="AD450" s="21"/>
      <c r="AY450" s="26"/>
      <c r="AZ450" s="26"/>
      <c r="BB450" s="26"/>
      <c r="BD450" s="21"/>
      <c r="CN450" s="26"/>
      <c r="DB450" s="24"/>
      <c r="DD450" s="21"/>
      <c r="DE450" s="22"/>
      <c r="DG450" s="21"/>
      <c r="DK450" s="26"/>
      <c r="DL450" s="26"/>
      <c r="DM450" s="26"/>
      <c r="DN450" s="21"/>
      <c r="DO450" s="21"/>
      <c r="EF450" s="25"/>
      <c r="EG450" s="25"/>
      <c r="EY450" s="20"/>
    </row>
    <row r="451" spans="1:155">
      <c r="A451" s="21"/>
      <c r="B451" s="21"/>
      <c r="AA451" s="26"/>
      <c r="AB451" s="26"/>
      <c r="AC451" s="21"/>
      <c r="AD451" s="21"/>
      <c r="AY451" s="26"/>
      <c r="AZ451" s="26"/>
      <c r="BB451" s="26"/>
      <c r="BD451" s="21"/>
      <c r="CN451" s="26"/>
      <c r="DB451" s="24"/>
      <c r="DD451" s="21"/>
      <c r="DE451" s="22"/>
      <c r="DG451" s="21"/>
      <c r="DK451" s="26"/>
      <c r="DL451" s="26"/>
      <c r="DM451" s="26"/>
      <c r="DN451" s="21"/>
      <c r="DO451" s="21"/>
      <c r="EF451" s="25"/>
      <c r="EG451" s="25"/>
      <c r="EY451" s="20"/>
    </row>
    <row r="452" spans="1:155">
      <c r="A452" s="21"/>
      <c r="B452" s="21"/>
      <c r="AA452" s="26"/>
      <c r="AB452" s="26"/>
      <c r="AC452" s="21"/>
      <c r="AD452" s="21"/>
      <c r="AY452" s="26"/>
      <c r="AZ452" s="26"/>
      <c r="BB452" s="26"/>
      <c r="BD452" s="21"/>
      <c r="CN452" s="26"/>
      <c r="DB452" s="24"/>
      <c r="DD452" s="21"/>
      <c r="DE452" s="22"/>
      <c r="DG452" s="21"/>
      <c r="DK452" s="26"/>
      <c r="DL452" s="26"/>
      <c r="DM452" s="26"/>
      <c r="DN452" s="21"/>
      <c r="DO452" s="21"/>
      <c r="EF452" s="25"/>
      <c r="EG452" s="25"/>
      <c r="EY452" s="20"/>
    </row>
    <row r="453" spans="1:155">
      <c r="A453" s="21"/>
      <c r="B453" s="21"/>
      <c r="AA453" s="26"/>
      <c r="AB453" s="26"/>
      <c r="AC453" s="21"/>
      <c r="AD453" s="21"/>
      <c r="AY453" s="26"/>
      <c r="AZ453" s="26"/>
      <c r="BB453" s="26"/>
      <c r="BD453" s="21"/>
      <c r="CN453" s="26"/>
      <c r="DB453" s="24"/>
      <c r="DD453" s="21"/>
      <c r="DE453" s="22"/>
      <c r="DG453" s="21"/>
      <c r="DK453" s="26"/>
      <c r="DL453" s="26"/>
      <c r="DM453" s="26"/>
      <c r="DN453" s="21"/>
      <c r="DO453" s="21"/>
      <c r="EF453" s="25"/>
      <c r="EG453" s="25"/>
      <c r="EY453" s="20"/>
    </row>
    <row r="454" spans="1:155">
      <c r="A454" s="21"/>
      <c r="B454" s="21"/>
      <c r="AA454" s="26"/>
      <c r="AB454" s="26"/>
      <c r="AC454" s="21"/>
      <c r="AD454" s="21"/>
      <c r="AY454" s="26"/>
      <c r="AZ454" s="26"/>
      <c r="BB454" s="26"/>
      <c r="BD454" s="21"/>
      <c r="CN454" s="26"/>
      <c r="DB454" s="24"/>
      <c r="DD454" s="21"/>
      <c r="DE454" s="22"/>
      <c r="DG454" s="21"/>
      <c r="DK454" s="26"/>
      <c r="DL454" s="26"/>
      <c r="DM454" s="26"/>
      <c r="DN454" s="21"/>
      <c r="DO454" s="21"/>
      <c r="EF454" s="25"/>
      <c r="EG454" s="25"/>
      <c r="EY454" s="20"/>
    </row>
    <row r="455" spans="1:155">
      <c r="A455" s="21"/>
      <c r="B455" s="21"/>
      <c r="AA455" s="26"/>
      <c r="AB455" s="26"/>
      <c r="AC455" s="21"/>
      <c r="AD455" s="21"/>
      <c r="AY455" s="26"/>
      <c r="AZ455" s="26"/>
      <c r="BB455" s="26"/>
      <c r="BD455" s="21"/>
      <c r="CN455" s="26"/>
      <c r="DB455" s="24"/>
      <c r="DD455" s="21"/>
      <c r="DE455" s="22"/>
      <c r="DG455" s="21"/>
      <c r="DK455" s="26"/>
      <c r="DL455" s="26"/>
      <c r="DM455" s="26"/>
      <c r="DN455" s="21"/>
      <c r="DO455" s="21"/>
      <c r="EF455" s="25"/>
      <c r="EG455" s="25"/>
      <c r="EY455" s="20"/>
    </row>
    <row r="456" spans="1:155">
      <c r="A456" s="21"/>
      <c r="B456" s="21"/>
      <c r="AA456" s="26"/>
      <c r="AB456" s="26"/>
      <c r="AC456" s="21"/>
      <c r="AD456" s="21"/>
      <c r="AY456" s="26"/>
      <c r="AZ456" s="26"/>
      <c r="BB456" s="26"/>
      <c r="BD456" s="21"/>
      <c r="CN456" s="26"/>
      <c r="DB456" s="24"/>
      <c r="DD456" s="21"/>
      <c r="DE456" s="22"/>
      <c r="DG456" s="21"/>
      <c r="DK456" s="26"/>
      <c r="DL456" s="26"/>
      <c r="DM456" s="26"/>
      <c r="DN456" s="21"/>
      <c r="DO456" s="21"/>
      <c r="EF456" s="25"/>
      <c r="EG456" s="25"/>
      <c r="EY456" s="20"/>
    </row>
    <row r="457" spans="1:155">
      <c r="A457" s="21"/>
      <c r="B457" s="21"/>
      <c r="AA457" s="26"/>
      <c r="AB457" s="26"/>
      <c r="AC457" s="21"/>
      <c r="AD457" s="21"/>
      <c r="AY457" s="26"/>
      <c r="AZ457" s="26"/>
      <c r="BB457" s="26"/>
      <c r="BD457" s="21"/>
      <c r="CN457" s="26"/>
      <c r="DB457" s="24"/>
      <c r="DD457" s="21"/>
      <c r="DE457" s="22"/>
      <c r="DG457" s="21"/>
      <c r="DK457" s="26"/>
      <c r="DL457" s="26"/>
      <c r="DM457" s="26"/>
      <c r="DN457" s="21"/>
      <c r="DO457" s="21"/>
      <c r="EF457" s="25"/>
      <c r="EG457" s="25"/>
      <c r="EY457" s="20"/>
    </row>
    <row r="458" spans="1:155">
      <c r="A458" s="21"/>
      <c r="B458" s="21"/>
      <c r="AA458" s="26"/>
      <c r="AB458" s="26"/>
      <c r="AC458" s="21"/>
      <c r="AD458" s="21"/>
      <c r="AY458" s="26"/>
      <c r="AZ458" s="26"/>
      <c r="BB458" s="26"/>
      <c r="BD458" s="21"/>
      <c r="CN458" s="26"/>
      <c r="DB458" s="24"/>
      <c r="DD458" s="21"/>
      <c r="DE458" s="22"/>
      <c r="DG458" s="21"/>
      <c r="DK458" s="26"/>
      <c r="DL458" s="26"/>
      <c r="DM458" s="26"/>
      <c r="DN458" s="21"/>
      <c r="DO458" s="21"/>
      <c r="EF458" s="25"/>
      <c r="EG458" s="25"/>
      <c r="EY458" s="20"/>
    </row>
    <row r="459" spans="1:155">
      <c r="A459" s="21"/>
      <c r="B459" s="21"/>
      <c r="AA459" s="26"/>
      <c r="AB459" s="26"/>
      <c r="AC459" s="21"/>
      <c r="AD459" s="21"/>
      <c r="AY459" s="26"/>
      <c r="AZ459" s="26"/>
      <c r="BB459" s="26"/>
      <c r="BD459" s="21"/>
      <c r="CN459" s="26"/>
      <c r="DB459" s="24"/>
      <c r="DD459" s="21"/>
      <c r="DE459" s="22"/>
      <c r="DG459" s="21"/>
      <c r="DK459" s="26"/>
      <c r="DL459" s="26"/>
      <c r="DM459" s="26"/>
      <c r="DN459" s="21"/>
      <c r="DO459" s="21"/>
      <c r="EF459" s="25"/>
      <c r="EG459" s="25"/>
      <c r="EY459" s="20"/>
    </row>
    <row r="460" spans="1:155">
      <c r="A460" s="21"/>
      <c r="B460" s="21"/>
      <c r="AA460" s="26"/>
      <c r="AB460" s="26"/>
      <c r="AC460" s="21"/>
      <c r="AD460" s="21"/>
      <c r="AY460" s="26"/>
      <c r="AZ460" s="26"/>
      <c r="BB460" s="26"/>
      <c r="BD460" s="21"/>
      <c r="CN460" s="26"/>
      <c r="DB460" s="24"/>
      <c r="DD460" s="21"/>
      <c r="DE460" s="22"/>
      <c r="DG460" s="21"/>
      <c r="DK460" s="26"/>
      <c r="DL460" s="26"/>
      <c r="DM460" s="26"/>
      <c r="DN460" s="21"/>
      <c r="DO460" s="21"/>
      <c r="EF460" s="25"/>
      <c r="EG460" s="25"/>
      <c r="EY460" s="20"/>
    </row>
    <row r="461" spans="1:155">
      <c r="A461" s="21"/>
      <c r="B461" s="21"/>
      <c r="AA461" s="26"/>
      <c r="AB461" s="26"/>
      <c r="AC461" s="21"/>
      <c r="AD461" s="21"/>
      <c r="AY461" s="26"/>
      <c r="AZ461" s="26"/>
      <c r="BB461" s="26"/>
      <c r="BD461" s="21"/>
      <c r="CN461" s="26"/>
      <c r="DB461" s="24"/>
      <c r="DD461" s="21"/>
      <c r="DE461" s="22"/>
      <c r="DG461" s="21"/>
      <c r="DK461" s="26"/>
      <c r="DL461" s="26"/>
      <c r="DM461" s="26"/>
      <c r="DN461" s="21"/>
      <c r="DO461" s="21"/>
      <c r="EF461" s="25"/>
      <c r="EG461" s="25"/>
      <c r="EY461" s="20"/>
    </row>
    <row r="462" spans="1:155">
      <c r="A462" s="21"/>
      <c r="B462" s="21"/>
      <c r="AA462" s="26"/>
      <c r="AB462" s="26"/>
      <c r="AC462" s="21"/>
      <c r="AD462" s="21"/>
      <c r="AY462" s="26"/>
      <c r="AZ462" s="26"/>
      <c r="BB462" s="26"/>
      <c r="BD462" s="21"/>
      <c r="CN462" s="26"/>
      <c r="DB462" s="24"/>
      <c r="DD462" s="21"/>
      <c r="DE462" s="22"/>
      <c r="DG462" s="21"/>
      <c r="DK462" s="26"/>
      <c r="DL462" s="26"/>
      <c r="DM462" s="26"/>
      <c r="DN462" s="21"/>
      <c r="DO462" s="21"/>
      <c r="EF462" s="25"/>
      <c r="EG462" s="25"/>
      <c r="EY462" s="20"/>
    </row>
    <row r="463" spans="1:155">
      <c r="A463" s="21"/>
      <c r="B463" s="21"/>
      <c r="AA463" s="26"/>
      <c r="AB463" s="26"/>
      <c r="AC463" s="21"/>
      <c r="AD463" s="21"/>
      <c r="AY463" s="26"/>
      <c r="AZ463" s="26"/>
      <c r="BB463" s="26"/>
      <c r="BD463" s="21"/>
      <c r="CN463" s="26"/>
      <c r="DB463" s="24"/>
      <c r="DD463" s="21"/>
      <c r="DE463" s="22"/>
      <c r="DG463" s="21"/>
      <c r="DK463" s="26"/>
      <c r="DL463" s="26"/>
      <c r="DM463" s="26"/>
      <c r="DN463" s="21"/>
      <c r="DO463" s="21"/>
      <c r="EF463" s="25"/>
      <c r="EG463" s="25"/>
      <c r="EY463" s="20"/>
    </row>
    <row r="464" spans="1:155">
      <c r="A464" s="21"/>
      <c r="B464" s="21"/>
      <c r="AA464" s="26"/>
      <c r="AB464" s="26"/>
      <c r="AC464" s="21"/>
      <c r="AD464" s="21"/>
      <c r="AY464" s="26"/>
      <c r="AZ464" s="26"/>
      <c r="BB464" s="26"/>
      <c r="BD464" s="21"/>
      <c r="CN464" s="26"/>
      <c r="DB464" s="24"/>
      <c r="DD464" s="21"/>
      <c r="DE464" s="22"/>
      <c r="DG464" s="21"/>
      <c r="DK464" s="26"/>
      <c r="DL464" s="26"/>
      <c r="DM464" s="26"/>
      <c r="DN464" s="21"/>
      <c r="DO464" s="21"/>
      <c r="EF464" s="25"/>
      <c r="EG464" s="25"/>
      <c r="EY464" s="20"/>
    </row>
    <row r="465" spans="1:155">
      <c r="A465" s="21"/>
      <c r="B465" s="21"/>
      <c r="AA465" s="26"/>
      <c r="AB465" s="26"/>
      <c r="AC465" s="21"/>
      <c r="AD465" s="21"/>
      <c r="AY465" s="26"/>
      <c r="AZ465" s="26"/>
      <c r="BB465" s="26"/>
      <c r="BD465" s="21"/>
      <c r="CN465" s="26"/>
      <c r="DB465" s="24"/>
      <c r="DD465" s="21"/>
      <c r="DE465" s="22"/>
      <c r="DG465" s="21"/>
      <c r="DK465" s="26"/>
      <c r="DL465" s="26"/>
      <c r="DM465" s="26"/>
      <c r="DN465" s="21"/>
      <c r="DO465" s="21"/>
      <c r="EF465" s="25"/>
      <c r="EG465" s="25"/>
      <c r="EY465" s="20"/>
    </row>
    <row r="466" spans="1:155">
      <c r="A466" s="21"/>
      <c r="B466" s="21"/>
      <c r="AA466" s="26"/>
      <c r="AB466" s="26"/>
      <c r="AC466" s="21"/>
      <c r="AD466" s="21"/>
      <c r="AY466" s="26"/>
      <c r="AZ466" s="26"/>
      <c r="BB466" s="26"/>
      <c r="BD466" s="21"/>
      <c r="CN466" s="26"/>
      <c r="DB466" s="24"/>
      <c r="DD466" s="21"/>
      <c r="DE466" s="22"/>
      <c r="DG466" s="21"/>
      <c r="DK466" s="26"/>
      <c r="DL466" s="26"/>
      <c r="DM466" s="26"/>
      <c r="DN466" s="21"/>
      <c r="DO466" s="21"/>
      <c r="EF466" s="25"/>
      <c r="EG466" s="25"/>
      <c r="EY466" s="20"/>
    </row>
    <row r="467" spans="1:155">
      <c r="A467" s="21"/>
      <c r="B467" s="21"/>
      <c r="AA467" s="26"/>
      <c r="AB467" s="26"/>
      <c r="AC467" s="21"/>
      <c r="AD467" s="21"/>
      <c r="AY467" s="26"/>
      <c r="AZ467" s="26"/>
      <c r="BB467" s="26"/>
      <c r="BD467" s="21"/>
      <c r="CN467" s="26"/>
      <c r="DB467" s="24"/>
      <c r="DD467" s="21"/>
      <c r="DE467" s="22"/>
      <c r="DG467" s="21"/>
      <c r="DK467" s="26"/>
      <c r="DL467" s="26"/>
      <c r="DM467" s="26"/>
      <c r="DN467" s="21"/>
      <c r="DO467" s="21"/>
      <c r="EF467" s="25"/>
      <c r="EG467" s="25"/>
      <c r="EY467" s="20"/>
    </row>
    <row r="468" spans="1:155">
      <c r="A468" s="21"/>
      <c r="B468" s="21"/>
      <c r="AA468" s="26"/>
      <c r="AB468" s="26"/>
      <c r="AC468" s="21"/>
      <c r="AD468" s="21"/>
      <c r="AY468" s="26"/>
      <c r="AZ468" s="26"/>
      <c r="BB468" s="26"/>
      <c r="BD468" s="21"/>
      <c r="CN468" s="26"/>
      <c r="DB468" s="24"/>
      <c r="DD468" s="21"/>
      <c r="DE468" s="22"/>
      <c r="DG468" s="21"/>
      <c r="DK468" s="26"/>
      <c r="DL468" s="26"/>
      <c r="DM468" s="26"/>
      <c r="DN468" s="21"/>
      <c r="DO468" s="21"/>
      <c r="EF468" s="25"/>
      <c r="EG468" s="25"/>
      <c r="EY468" s="20"/>
    </row>
    <row r="469" spans="1:155">
      <c r="A469" s="21"/>
      <c r="B469" s="21"/>
      <c r="AA469" s="26"/>
      <c r="AB469" s="26"/>
      <c r="AC469" s="21"/>
      <c r="AD469" s="21"/>
      <c r="AY469" s="26"/>
      <c r="AZ469" s="26"/>
      <c r="BB469" s="26"/>
      <c r="BD469" s="21"/>
      <c r="CN469" s="26"/>
      <c r="DB469" s="24"/>
      <c r="DD469" s="21"/>
      <c r="DE469" s="22"/>
      <c r="DG469" s="21"/>
      <c r="DK469" s="26"/>
      <c r="DL469" s="26"/>
      <c r="DM469" s="26"/>
      <c r="DN469" s="21"/>
      <c r="DO469" s="21"/>
      <c r="EF469" s="25"/>
      <c r="EG469" s="25"/>
      <c r="EY469" s="20"/>
    </row>
    <row r="470" spans="1:155">
      <c r="A470" s="21"/>
      <c r="B470" s="21"/>
      <c r="AA470" s="26"/>
      <c r="AB470" s="26"/>
      <c r="AC470" s="21"/>
      <c r="AD470" s="21"/>
      <c r="AY470" s="26"/>
      <c r="AZ470" s="26"/>
      <c r="BB470" s="26"/>
      <c r="BD470" s="21"/>
      <c r="CN470" s="26"/>
      <c r="DB470" s="24"/>
      <c r="DD470" s="21"/>
      <c r="DE470" s="22"/>
      <c r="DG470" s="21"/>
      <c r="DK470" s="26"/>
      <c r="DL470" s="26"/>
      <c r="DM470" s="26"/>
      <c r="DN470" s="21"/>
      <c r="DO470" s="21"/>
      <c r="EF470" s="25"/>
      <c r="EG470" s="25"/>
      <c r="EY470" s="20"/>
    </row>
    <row r="471" spans="1:155">
      <c r="A471" s="21"/>
      <c r="B471" s="21"/>
      <c r="AA471" s="26"/>
      <c r="AB471" s="26"/>
      <c r="AC471" s="21"/>
      <c r="AD471" s="21"/>
      <c r="AY471" s="26"/>
      <c r="AZ471" s="26"/>
      <c r="BB471" s="26"/>
      <c r="BD471" s="21"/>
      <c r="CN471" s="26"/>
      <c r="DB471" s="24"/>
      <c r="DD471" s="21"/>
      <c r="DE471" s="22"/>
      <c r="DG471" s="21"/>
      <c r="DK471" s="26"/>
      <c r="DL471" s="26"/>
      <c r="DM471" s="26"/>
      <c r="DN471" s="21"/>
      <c r="DO471" s="21"/>
      <c r="EF471" s="25"/>
      <c r="EG471" s="25"/>
      <c r="EY471" s="20"/>
    </row>
    <row r="472" spans="1:155">
      <c r="A472" s="21"/>
      <c r="B472" s="21"/>
      <c r="AA472" s="26"/>
      <c r="AB472" s="26"/>
      <c r="AC472" s="21"/>
      <c r="AD472" s="21"/>
      <c r="AY472" s="26"/>
      <c r="AZ472" s="26"/>
      <c r="BB472" s="26"/>
      <c r="BD472" s="21"/>
      <c r="CN472" s="26"/>
      <c r="DB472" s="24"/>
      <c r="DD472" s="21"/>
      <c r="DE472" s="22"/>
      <c r="DG472" s="21"/>
      <c r="DK472" s="26"/>
      <c r="DL472" s="26"/>
      <c r="DM472" s="26"/>
      <c r="DN472" s="21"/>
      <c r="DO472" s="21"/>
      <c r="EF472" s="25"/>
      <c r="EG472" s="25"/>
      <c r="EY472" s="20"/>
    </row>
    <row r="473" spans="1:155">
      <c r="A473" s="21"/>
      <c r="B473" s="21"/>
      <c r="AA473" s="26"/>
      <c r="AB473" s="26"/>
      <c r="AC473" s="21"/>
      <c r="AD473" s="21"/>
      <c r="AY473" s="26"/>
      <c r="AZ473" s="26"/>
      <c r="BB473" s="26"/>
      <c r="BD473" s="21"/>
      <c r="CN473" s="26"/>
      <c r="DB473" s="24"/>
      <c r="DD473" s="21"/>
      <c r="DE473" s="22"/>
      <c r="DG473" s="21"/>
      <c r="DK473" s="26"/>
      <c r="DL473" s="26"/>
      <c r="DM473" s="26"/>
      <c r="DN473" s="21"/>
      <c r="DO473" s="21"/>
      <c r="EF473" s="25"/>
      <c r="EG473" s="25"/>
      <c r="EY473" s="20"/>
    </row>
    <row r="474" spans="1:155">
      <c r="A474" s="21"/>
      <c r="B474" s="21"/>
      <c r="AA474" s="26"/>
      <c r="AB474" s="26"/>
      <c r="AC474" s="21"/>
      <c r="AD474" s="21"/>
      <c r="AY474" s="26"/>
      <c r="AZ474" s="26"/>
      <c r="BB474" s="26"/>
      <c r="BD474" s="21"/>
      <c r="CN474" s="26"/>
      <c r="DB474" s="24"/>
      <c r="DD474" s="21"/>
      <c r="DE474" s="22"/>
      <c r="DG474" s="21"/>
      <c r="DK474" s="26"/>
      <c r="DL474" s="26"/>
      <c r="DM474" s="26"/>
      <c r="DN474" s="21"/>
      <c r="DO474" s="21"/>
      <c r="EF474" s="25"/>
      <c r="EG474" s="25"/>
      <c r="EY474" s="20"/>
    </row>
    <row r="475" spans="1:155">
      <c r="A475" s="21"/>
      <c r="B475" s="21"/>
      <c r="AA475" s="26"/>
      <c r="AB475" s="26"/>
      <c r="AC475" s="21"/>
      <c r="AD475" s="21"/>
      <c r="AY475" s="26"/>
      <c r="AZ475" s="26"/>
      <c r="BB475" s="26"/>
      <c r="BD475" s="21"/>
      <c r="CN475" s="26"/>
      <c r="DB475" s="24"/>
      <c r="DD475" s="21"/>
      <c r="DE475" s="22"/>
      <c r="DG475" s="21"/>
      <c r="DK475" s="26"/>
      <c r="DL475" s="26"/>
      <c r="DM475" s="26"/>
      <c r="DN475" s="21"/>
      <c r="DO475" s="21"/>
      <c r="EF475" s="25"/>
      <c r="EG475" s="25"/>
      <c r="EY475" s="20"/>
    </row>
    <row r="476" spans="1:155">
      <c r="A476" s="21"/>
      <c r="B476" s="21"/>
      <c r="AA476" s="26"/>
      <c r="AB476" s="26"/>
      <c r="AC476" s="21"/>
      <c r="AD476" s="21"/>
      <c r="AY476" s="26"/>
      <c r="AZ476" s="26"/>
      <c r="BB476" s="26"/>
      <c r="BD476" s="21"/>
      <c r="CN476" s="26"/>
      <c r="DB476" s="24"/>
      <c r="DD476" s="21"/>
      <c r="DE476" s="22"/>
      <c r="DG476" s="21"/>
      <c r="DK476" s="26"/>
      <c r="DL476" s="26"/>
      <c r="DM476" s="26"/>
      <c r="DN476" s="21"/>
      <c r="DO476" s="21"/>
      <c r="EF476" s="25"/>
      <c r="EG476" s="25"/>
      <c r="EY476" s="20"/>
    </row>
    <row r="477" spans="1:155">
      <c r="A477" s="21"/>
      <c r="B477" s="21"/>
      <c r="AA477" s="26"/>
      <c r="AB477" s="26"/>
      <c r="AC477" s="21"/>
      <c r="AD477" s="21"/>
      <c r="AY477" s="26"/>
      <c r="AZ477" s="26"/>
      <c r="BB477" s="26"/>
      <c r="BD477" s="21"/>
      <c r="CN477" s="26"/>
      <c r="DB477" s="24"/>
      <c r="DD477" s="21"/>
      <c r="DE477" s="22"/>
      <c r="DG477" s="21"/>
      <c r="DK477" s="26"/>
      <c r="DL477" s="26"/>
      <c r="DM477" s="26"/>
      <c r="DN477" s="21"/>
      <c r="DO477" s="21"/>
      <c r="EF477" s="25"/>
      <c r="EG477" s="25"/>
      <c r="EY477" s="20"/>
    </row>
    <row r="478" spans="1:155">
      <c r="A478" s="21"/>
      <c r="B478" s="21"/>
      <c r="AA478" s="26"/>
      <c r="AB478" s="26"/>
      <c r="AC478" s="21"/>
      <c r="AD478" s="21"/>
      <c r="AY478" s="26"/>
      <c r="AZ478" s="26"/>
      <c r="BB478" s="26"/>
      <c r="BD478" s="21"/>
      <c r="CN478" s="26"/>
      <c r="DB478" s="24"/>
      <c r="DD478" s="21"/>
      <c r="DE478" s="22"/>
      <c r="DG478" s="21"/>
      <c r="DK478" s="26"/>
      <c r="DL478" s="26"/>
      <c r="DM478" s="26"/>
      <c r="DN478" s="21"/>
      <c r="DO478" s="21"/>
      <c r="EF478" s="25"/>
      <c r="EG478" s="25"/>
      <c r="EY478" s="20"/>
    </row>
    <row r="479" spans="1:155">
      <c r="A479" s="21"/>
      <c r="B479" s="21"/>
      <c r="AA479" s="26"/>
      <c r="AB479" s="26"/>
      <c r="AC479" s="21"/>
      <c r="AD479" s="21"/>
      <c r="AY479" s="26"/>
      <c r="AZ479" s="26"/>
      <c r="BB479" s="26"/>
      <c r="BD479" s="21"/>
      <c r="CN479" s="26"/>
      <c r="DB479" s="24"/>
      <c r="DD479" s="21"/>
      <c r="DE479" s="22"/>
      <c r="DG479" s="21"/>
      <c r="DK479" s="26"/>
      <c r="DL479" s="26"/>
      <c r="DM479" s="26"/>
      <c r="DN479" s="21"/>
      <c r="DO479" s="21"/>
      <c r="EF479" s="25"/>
      <c r="EG479" s="25"/>
      <c r="EY479" s="20"/>
    </row>
    <row r="480" spans="1:155">
      <c r="A480" s="21"/>
      <c r="B480" s="21"/>
      <c r="AA480" s="26"/>
      <c r="AB480" s="26"/>
      <c r="AC480" s="21"/>
      <c r="AD480" s="21"/>
      <c r="AY480" s="26"/>
      <c r="AZ480" s="26"/>
      <c r="BB480" s="26"/>
      <c r="BD480" s="21"/>
      <c r="CN480" s="26"/>
      <c r="DB480" s="24"/>
      <c r="DD480" s="21"/>
      <c r="DE480" s="22"/>
      <c r="DG480" s="21"/>
      <c r="DK480" s="26"/>
      <c r="DL480" s="26"/>
      <c r="DM480" s="26"/>
      <c r="DN480" s="21"/>
      <c r="DO480" s="21"/>
      <c r="EF480" s="25"/>
      <c r="EG480" s="25"/>
      <c r="EY480" s="20"/>
    </row>
    <row r="481" spans="1:155">
      <c r="A481" s="21"/>
      <c r="B481" s="21"/>
      <c r="AA481" s="26"/>
      <c r="AB481" s="26"/>
      <c r="AC481" s="21"/>
      <c r="AD481" s="21"/>
      <c r="AY481" s="26"/>
      <c r="AZ481" s="26"/>
      <c r="BB481" s="26"/>
      <c r="BD481" s="21"/>
      <c r="CN481" s="26"/>
      <c r="DB481" s="24"/>
      <c r="DD481" s="21"/>
      <c r="DE481" s="22"/>
      <c r="DG481" s="21"/>
      <c r="DK481" s="26"/>
      <c r="DL481" s="26"/>
      <c r="DM481" s="26"/>
      <c r="DN481" s="21"/>
      <c r="DO481" s="21"/>
      <c r="EF481" s="25"/>
      <c r="EG481" s="25"/>
      <c r="EY481" s="20"/>
    </row>
    <row r="482" spans="1:155">
      <c r="A482" s="21"/>
      <c r="B482" s="21"/>
      <c r="AA482" s="26"/>
      <c r="AB482" s="26"/>
      <c r="AC482" s="21"/>
      <c r="AD482" s="21"/>
      <c r="AY482" s="26"/>
      <c r="AZ482" s="26"/>
      <c r="BB482" s="26"/>
      <c r="BD482" s="21"/>
      <c r="CN482" s="26"/>
      <c r="DB482" s="24"/>
      <c r="DD482" s="21"/>
      <c r="DE482" s="22"/>
      <c r="DG482" s="21"/>
      <c r="DK482" s="26"/>
      <c r="DL482" s="26"/>
      <c r="DM482" s="26"/>
      <c r="DN482" s="21"/>
      <c r="DO482" s="21"/>
      <c r="EF482" s="25"/>
      <c r="EG482" s="25"/>
      <c r="EY482" s="20"/>
    </row>
    <row r="483" spans="1:155">
      <c r="A483" s="21"/>
      <c r="B483" s="21"/>
      <c r="AA483" s="26"/>
      <c r="AB483" s="26"/>
      <c r="AC483" s="21"/>
      <c r="AD483" s="21"/>
      <c r="AY483" s="26"/>
      <c r="AZ483" s="26"/>
      <c r="BB483" s="26"/>
      <c r="BD483" s="21"/>
      <c r="CN483" s="26"/>
      <c r="DB483" s="24"/>
      <c r="DD483" s="21"/>
      <c r="DE483" s="22"/>
      <c r="DG483" s="21"/>
      <c r="DK483" s="26"/>
      <c r="DL483" s="26"/>
      <c r="DM483" s="26"/>
      <c r="DN483" s="21"/>
      <c r="DO483" s="21"/>
      <c r="EF483" s="25"/>
      <c r="EG483" s="25"/>
      <c r="EY483" s="20"/>
    </row>
    <row r="484" spans="1:155">
      <c r="A484" s="21"/>
      <c r="B484" s="21"/>
      <c r="AA484" s="26"/>
      <c r="AB484" s="26"/>
      <c r="AC484" s="21"/>
      <c r="AD484" s="21"/>
      <c r="AY484" s="26"/>
      <c r="AZ484" s="26"/>
      <c r="BB484" s="26"/>
      <c r="BD484" s="21"/>
      <c r="CN484" s="26"/>
      <c r="DB484" s="24"/>
      <c r="DD484" s="21"/>
      <c r="DE484" s="22"/>
      <c r="DG484" s="21"/>
      <c r="DK484" s="26"/>
      <c r="DL484" s="26"/>
      <c r="DM484" s="26"/>
      <c r="DN484" s="21"/>
      <c r="DO484" s="21"/>
      <c r="EF484" s="25"/>
      <c r="EG484" s="25"/>
      <c r="EY484" s="20"/>
    </row>
    <row r="485" spans="1:155">
      <c r="A485" s="21"/>
      <c r="B485" s="21"/>
      <c r="AA485" s="26"/>
      <c r="AB485" s="26"/>
      <c r="AC485" s="21"/>
      <c r="AD485" s="21"/>
      <c r="AY485" s="26"/>
      <c r="AZ485" s="26"/>
      <c r="BB485" s="26"/>
      <c r="BD485" s="21"/>
      <c r="CN485" s="26"/>
      <c r="DB485" s="24"/>
      <c r="DD485" s="21"/>
      <c r="DE485" s="22"/>
      <c r="DG485" s="21"/>
      <c r="DK485" s="26"/>
      <c r="DL485" s="26"/>
      <c r="DM485" s="26"/>
      <c r="DN485" s="21"/>
      <c r="DO485" s="21"/>
      <c r="EF485" s="25"/>
      <c r="EG485" s="25"/>
      <c r="EY485" s="20"/>
    </row>
    <row r="486" spans="1:155">
      <c r="A486" s="21"/>
      <c r="B486" s="21"/>
      <c r="AA486" s="26"/>
      <c r="AB486" s="26"/>
      <c r="AC486" s="21"/>
      <c r="AD486" s="21"/>
      <c r="AY486" s="26"/>
      <c r="AZ486" s="26"/>
      <c r="BB486" s="26"/>
      <c r="BD486" s="21"/>
      <c r="CN486" s="26"/>
      <c r="DB486" s="24"/>
      <c r="DD486" s="21"/>
      <c r="DE486" s="22"/>
      <c r="DG486" s="21"/>
      <c r="DK486" s="26"/>
      <c r="DL486" s="26"/>
      <c r="DM486" s="26"/>
      <c r="DN486" s="21"/>
      <c r="DO486" s="21"/>
      <c r="EF486" s="25"/>
      <c r="EG486" s="25"/>
      <c r="EY486" s="20"/>
    </row>
    <row r="487" spans="1:155">
      <c r="A487" s="21"/>
      <c r="B487" s="21"/>
      <c r="AA487" s="26"/>
      <c r="AB487" s="26"/>
      <c r="AC487" s="21"/>
      <c r="AD487" s="21"/>
      <c r="AY487" s="26"/>
      <c r="AZ487" s="26"/>
      <c r="BB487" s="26"/>
      <c r="BD487" s="21"/>
      <c r="CN487" s="26"/>
      <c r="DB487" s="24"/>
      <c r="DD487" s="21"/>
      <c r="DE487" s="22"/>
      <c r="DG487" s="21"/>
      <c r="DK487" s="26"/>
      <c r="DL487" s="26"/>
      <c r="DM487" s="26"/>
      <c r="DN487" s="21"/>
      <c r="DO487" s="21"/>
      <c r="EF487" s="25"/>
      <c r="EG487" s="25"/>
      <c r="EY487" s="20"/>
    </row>
    <row r="488" spans="1:155">
      <c r="A488" s="21"/>
      <c r="B488" s="21"/>
      <c r="AA488" s="26"/>
      <c r="AB488" s="26"/>
      <c r="AC488" s="21"/>
      <c r="AD488" s="21"/>
      <c r="AY488" s="26"/>
      <c r="AZ488" s="26"/>
      <c r="BB488" s="26"/>
      <c r="BD488" s="21"/>
      <c r="CN488" s="26"/>
      <c r="DB488" s="24"/>
      <c r="DD488" s="21"/>
      <c r="DE488" s="22"/>
      <c r="DG488" s="21"/>
      <c r="DK488" s="26"/>
      <c r="DL488" s="26"/>
      <c r="DM488" s="26"/>
      <c r="DN488" s="21"/>
      <c r="DO488" s="21"/>
      <c r="EF488" s="25"/>
      <c r="EG488" s="25"/>
      <c r="EY488" s="20"/>
    </row>
    <row r="489" spans="1:155">
      <c r="A489" s="21"/>
      <c r="B489" s="21"/>
      <c r="AA489" s="26"/>
      <c r="AB489" s="26"/>
      <c r="AC489" s="21"/>
      <c r="AD489" s="21"/>
      <c r="AY489" s="26"/>
      <c r="AZ489" s="26"/>
      <c r="BB489" s="26"/>
      <c r="BD489" s="21"/>
      <c r="CN489" s="26"/>
      <c r="DB489" s="24"/>
      <c r="DD489" s="21"/>
      <c r="DE489" s="22"/>
      <c r="DG489" s="21"/>
      <c r="DK489" s="26"/>
      <c r="DL489" s="26"/>
      <c r="DM489" s="26"/>
      <c r="DN489" s="21"/>
      <c r="DO489" s="21"/>
      <c r="EF489" s="25"/>
      <c r="EG489" s="25"/>
      <c r="EY489" s="20"/>
    </row>
    <row r="490" spans="1:155">
      <c r="A490" s="21"/>
      <c r="B490" s="21"/>
      <c r="AA490" s="26"/>
      <c r="AB490" s="26"/>
      <c r="AC490" s="21"/>
      <c r="AD490" s="21"/>
      <c r="AY490" s="26"/>
      <c r="AZ490" s="26"/>
      <c r="BB490" s="26"/>
      <c r="BD490" s="21"/>
      <c r="CN490" s="26"/>
      <c r="DB490" s="24"/>
      <c r="DD490" s="21"/>
      <c r="DE490" s="22"/>
      <c r="DG490" s="21"/>
      <c r="DK490" s="26"/>
      <c r="DL490" s="26"/>
      <c r="DM490" s="26"/>
      <c r="DN490" s="21"/>
      <c r="DO490" s="21"/>
      <c r="EF490" s="25"/>
      <c r="EG490" s="25"/>
      <c r="EY490" s="20"/>
    </row>
    <row r="491" spans="1:155">
      <c r="A491" s="21"/>
      <c r="B491" s="21"/>
      <c r="AA491" s="26"/>
      <c r="AB491" s="26"/>
      <c r="AC491" s="21"/>
      <c r="AD491" s="21"/>
      <c r="AY491" s="26"/>
      <c r="AZ491" s="26"/>
      <c r="BB491" s="26"/>
      <c r="BD491" s="21"/>
      <c r="CN491" s="26"/>
      <c r="DB491" s="24"/>
      <c r="DD491" s="21"/>
      <c r="DE491" s="22"/>
      <c r="DG491" s="21"/>
      <c r="DK491" s="26"/>
      <c r="DL491" s="26"/>
      <c r="DM491" s="26"/>
      <c r="DN491" s="21"/>
      <c r="DO491" s="21"/>
      <c r="EF491" s="25"/>
      <c r="EG491" s="25"/>
      <c r="EY491" s="20"/>
    </row>
    <row r="492" spans="1:155">
      <c r="A492" s="21"/>
      <c r="B492" s="21"/>
      <c r="AA492" s="26"/>
      <c r="AB492" s="26"/>
      <c r="AC492" s="21"/>
      <c r="AD492" s="21"/>
      <c r="AY492" s="26"/>
      <c r="AZ492" s="26"/>
      <c r="BB492" s="26"/>
      <c r="BD492" s="21"/>
      <c r="CN492" s="26"/>
      <c r="DB492" s="24"/>
      <c r="DD492" s="21"/>
      <c r="DE492" s="22"/>
      <c r="DG492" s="21"/>
      <c r="DK492" s="26"/>
      <c r="DL492" s="26"/>
      <c r="DM492" s="26"/>
      <c r="DN492" s="21"/>
      <c r="DO492" s="21"/>
      <c r="EF492" s="25"/>
      <c r="EG492" s="25"/>
      <c r="EY492" s="20"/>
    </row>
    <row r="493" spans="1:155">
      <c r="A493" s="21"/>
      <c r="B493" s="21"/>
      <c r="AA493" s="26"/>
      <c r="AB493" s="26"/>
      <c r="AC493" s="21"/>
      <c r="AD493" s="21"/>
      <c r="AY493" s="26"/>
      <c r="AZ493" s="26"/>
      <c r="BB493" s="26"/>
      <c r="BD493" s="21"/>
      <c r="CN493" s="26"/>
      <c r="DB493" s="24"/>
      <c r="DD493" s="21"/>
      <c r="DE493" s="22"/>
      <c r="DG493" s="21"/>
      <c r="DK493" s="26"/>
      <c r="DL493" s="26"/>
      <c r="DM493" s="26"/>
      <c r="DN493" s="21"/>
      <c r="DO493" s="21"/>
      <c r="EF493" s="25"/>
      <c r="EG493" s="25"/>
      <c r="EY493" s="20"/>
    </row>
    <row r="494" spans="1:155">
      <c r="A494" s="21"/>
      <c r="B494" s="21"/>
      <c r="AA494" s="26"/>
      <c r="AB494" s="26"/>
      <c r="AC494" s="21"/>
      <c r="AD494" s="21"/>
      <c r="AY494" s="26"/>
      <c r="AZ494" s="26"/>
      <c r="BB494" s="26"/>
      <c r="BD494" s="21"/>
      <c r="CN494" s="26"/>
      <c r="DB494" s="24"/>
      <c r="DD494" s="21"/>
      <c r="DE494" s="22"/>
      <c r="DG494" s="21"/>
      <c r="DK494" s="26"/>
      <c r="DL494" s="26"/>
      <c r="DM494" s="26"/>
      <c r="DN494" s="21"/>
      <c r="DO494" s="21"/>
      <c r="EF494" s="25"/>
      <c r="EG494" s="25"/>
      <c r="EY494" s="20"/>
    </row>
    <row r="495" spans="1:155">
      <c r="A495" s="21"/>
      <c r="B495" s="21"/>
      <c r="AA495" s="26"/>
      <c r="AB495" s="26"/>
      <c r="AC495" s="21"/>
      <c r="AD495" s="21"/>
      <c r="AY495" s="26"/>
      <c r="AZ495" s="26"/>
      <c r="BB495" s="26"/>
      <c r="BD495" s="21"/>
      <c r="CN495" s="26"/>
      <c r="DB495" s="24"/>
      <c r="DD495" s="21"/>
      <c r="DE495" s="22"/>
      <c r="DG495" s="21"/>
      <c r="DK495" s="26"/>
      <c r="DL495" s="26"/>
      <c r="DM495" s="26"/>
      <c r="DN495" s="21"/>
      <c r="DO495" s="21"/>
      <c r="EF495" s="25"/>
      <c r="EG495" s="25"/>
      <c r="EY495" s="20"/>
    </row>
    <row r="496" spans="1:155">
      <c r="A496" s="21"/>
      <c r="B496" s="21"/>
      <c r="AA496" s="26"/>
      <c r="AB496" s="26"/>
      <c r="AC496" s="21"/>
      <c r="AD496" s="21"/>
      <c r="AY496" s="26"/>
      <c r="AZ496" s="26"/>
      <c r="BB496" s="26"/>
      <c r="BD496" s="21"/>
      <c r="CN496" s="26"/>
      <c r="DB496" s="24"/>
      <c r="DD496" s="21"/>
      <c r="DE496" s="22"/>
      <c r="DG496" s="21"/>
      <c r="DK496" s="26"/>
      <c r="DL496" s="26"/>
      <c r="DM496" s="26"/>
      <c r="DN496" s="21"/>
      <c r="DO496" s="21"/>
      <c r="EF496" s="25"/>
      <c r="EG496" s="25"/>
      <c r="EY496" s="20"/>
    </row>
    <row r="497" spans="1:155">
      <c r="A497" s="21"/>
      <c r="B497" s="21"/>
      <c r="AA497" s="26"/>
      <c r="AB497" s="26"/>
      <c r="AC497" s="21"/>
      <c r="AD497" s="21"/>
      <c r="AY497" s="26"/>
      <c r="AZ497" s="26"/>
      <c r="BB497" s="26"/>
      <c r="BD497" s="21"/>
      <c r="CN497" s="26"/>
      <c r="DB497" s="24"/>
      <c r="DD497" s="21"/>
      <c r="DE497" s="22"/>
      <c r="DG497" s="21"/>
      <c r="DK497" s="26"/>
      <c r="DL497" s="26"/>
      <c r="DM497" s="26"/>
      <c r="DN497" s="21"/>
      <c r="DO497" s="21"/>
      <c r="EF497" s="25"/>
      <c r="EG497" s="25"/>
      <c r="EY497" s="20"/>
    </row>
    <row r="498" spans="1:155">
      <c r="A498" s="21"/>
      <c r="B498" s="21"/>
      <c r="AA498" s="26"/>
      <c r="AB498" s="26"/>
      <c r="AC498" s="21"/>
      <c r="AD498" s="21"/>
      <c r="AY498" s="26"/>
      <c r="AZ498" s="26"/>
      <c r="BB498" s="26"/>
      <c r="BD498" s="21"/>
      <c r="CN498" s="26"/>
      <c r="DB498" s="24"/>
      <c r="DD498" s="21"/>
      <c r="DE498" s="22"/>
      <c r="DG498" s="21"/>
      <c r="DK498" s="26"/>
      <c r="DL498" s="26"/>
      <c r="DM498" s="26"/>
      <c r="DN498" s="21"/>
      <c r="DO498" s="21"/>
      <c r="EF498" s="25"/>
      <c r="EG498" s="25"/>
      <c r="EY498" s="20"/>
    </row>
    <row r="499" spans="1:155">
      <c r="A499" s="21"/>
      <c r="B499" s="21"/>
      <c r="AA499" s="26"/>
      <c r="AB499" s="26"/>
      <c r="AC499" s="21"/>
      <c r="AD499" s="21"/>
      <c r="AY499" s="26"/>
      <c r="AZ499" s="26"/>
      <c r="BB499" s="26"/>
      <c r="BD499" s="21"/>
      <c r="CN499" s="26"/>
      <c r="DB499" s="24"/>
      <c r="DD499" s="21"/>
      <c r="DE499" s="22"/>
      <c r="DG499" s="21"/>
      <c r="DK499" s="26"/>
      <c r="DL499" s="26"/>
      <c r="DM499" s="26"/>
      <c r="DN499" s="21"/>
      <c r="DO499" s="21"/>
      <c r="EF499" s="25"/>
      <c r="EG499" s="25"/>
      <c r="EY499" s="20"/>
    </row>
    <row r="500" spans="1:155">
      <c r="A500" s="21"/>
      <c r="B500" s="21"/>
      <c r="AA500" s="26"/>
      <c r="AB500" s="26"/>
      <c r="AC500" s="21"/>
      <c r="AD500" s="21"/>
      <c r="AY500" s="26"/>
      <c r="AZ500" s="26"/>
      <c r="BB500" s="26"/>
      <c r="BD500" s="21"/>
      <c r="CN500" s="26"/>
      <c r="DB500" s="24"/>
      <c r="DD500" s="21"/>
      <c r="DE500" s="22"/>
      <c r="DG500" s="21"/>
      <c r="DK500" s="26"/>
      <c r="DL500" s="26"/>
      <c r="DM500" s="26"/>
      <c r="DN500" s="21"/>
      <c r="DO500" s="21"/>
      <c r="EF500" s="25"/>
      <c r="EG500" s="25"/>
      <c r="EY500" s="20"/>
    </row>
    <row r="501" spans="1:155">
      <c r="A501" s="21"/>
      <c r="B501" s="21"/>
      <c r="AA501" s="26"/>
      <c r="AB501" s="26"/>
      <c r="AC501" s="21"/>
      <c r="AD501" s="21"/>
      <c r="AY501" s="26"/>
      <c r="AZ501" s="26"/>
      <c r="BB501" s="26"/>
      <c r="BD501" s="21"/>
      <c r="CN501" s="26"/>
      <c r="DB501" s="24"/>
      <c r="DD501" s="21"/>
      <c r="DE501" s="22"/>
      <c r="DG501" s="21"/>
      <c r="DK501" s="26"/>
      <c r="DL501" s="26"/>
      <c r="DM501" s="26"/>
      <c r="DN501" s="21"/>
      <c r="DO501" s="21"/>
      <c r="EF501" s="25"/>
      <c r="EG501" s="25"/>
      <c r="EY501" s="20"/>
    </row>
    <row r="502" spans="1:155">
      <c r="A502" s="21"/>
      <c r="B502" s="21"/>
      <c r="AA502" s="26"/>
      <c r="AB502" s="26"/>
      <c r="AC502" s="21"/>
      <c r="AD502" s="21"/>
      <c r="AY502" s="26"/>
      <c r="AZ502" s="26"/>
      <c r="BB502" s="26"/>
      <c r="BD502" s="21"/>
      <c r="CN502" s="26"/>
      <c r="DB502" s="24"/>
      <c r="DD502" s="21"/>
      <c r="DE502" s="22"/>
      <c r="DG502" s="21"/>
      <c r="DK502" s="26"/>
      <c r="DL502" s="26"/>
      <c r="DM502" s="26"/>
      <c r="DN502" s="21"/>
      <c r="DO502" s="21"/>
      <c r="EF502" s="25"/>
      <c r="EG502" s="25"/>
      <c r="EY502" s="20"/>
    </row>
    <row r="503" spans="1:155">
      <c r="A503" s="21"/>
      <c r="B503" s="21"/>
      <c r="AA503" s="26"/>
      <c r="AB503" s="26"/>
      <c r="AC503" s="21"/>
      <c r="AD503" s="21"/>
      <c r="AY503" s="26"/>
      <c r="AZ503" s="26"/>
      <c r="BB503" s="26"/>
      <c r="BD503" s="21"/>
      <c r="CN503" s="26"/>
      <c r="DB503" s="24"/>
      <c r="DD503" s="21"/>
      <c r="DE503" s="22"/>
      <c r="DG503" s="21"/>
      <c r="DK503" s="26"/>
      <c r="DL503" s="26"/>
      <c r="DM503" s="26"/>
      <c r="DN503" s="21"/>
      <c r="DO503" s="21"/>
      <c r="EF503" s="25"/>
      <c r="EG503" s="25"/>
      <c r="EY503" s="20"/>
    </row>
    <row r="504" spans="1:155">
      <c r="A504" s="21"/>
      <c r="B504" s="21"/>
      <c r="AA504" s="26"/>
      <c r="AB504" s="26"/>
      <c r="AC504" s="21"/>
      <c r="AD504" s="21"/>
      <c r="AY504" s="26"/>
      <c r="AZ504" s="26"/>
      <c r="BB504" s="26"/>
      <c r="BD504" s="21"/>
      <c r="CN504" s="26"/>
      <c r="DB504" s="24"/>
      <c r="DD504" s="21"/>
      <c r="DE504" s="22"/>
      <c r="DG504" s="21"/>
      <c r="DK504" s="26"/>
      <c r="DL504" s="26"/>
      <c r="DM504" s="26"/>
      <c r="DN504" s="21"/>
      <c r="DO504" s="21"/>
      <c r="EF504" s="25"/>
      <c r="EG504" s="25"/>
      <c r="EY504" s="20"/>
    </row>
    <row r="505" spans="1:155">
      <c r="A505" s="21"/>
      <c r="B505" s="21"/>
      <c r="AA505" s="26"/>
      <c r="AB505" s="26"/>
      <c r="AC505" s="21"/>
      <c r="AD505" s="21"/>
      <c r="AY505" s="26"/>
      <c r="AZ505" s="26"/>
      <c r="BB505" s="26"/>
      <c r="BD505" s="21"/>
      <c r="CN505" s="26"/>
      <c r="DB505" s="24"/>
      <c r="DD505" s="21"/>
      <c r="DE505" s="22"/>
      <c r="DG505" s="21"/>
      <c r="DK505" s="26"/>
      <c r="DL505" s="26"/>
      <c r="DM505" s="26"/>
      <c r="DN505" s="21"/>
      <c r="DO505" s="21"/>
      <c r="EF505" s="25"/>
      <c r="EG505" s="25"/>
      <c r="EY505" s="20"/>
    </row>
    <row r="506" spans="1:155">
      <c r="A506" s="21"/>
      <c r="B506" s="21"/>
      <c r="AA506" s="26"/>
      <c r="AB506" s="26"/>
      <c r="AC506" s="21"/>
      <c r="AD506" s="21"/>
      <c r="AY506" s="26"/>
      <c r="AZ506" s="26"/>
      <c r="BB506" s="26"/>
      <c r="BD506" s="21"/>
      <c r="CN506" s="26"/>
      <c r="DB506" s="24"/>
      <c r="DD506" s="21"/>
      <c r="DE506" s="22"/>
      <c r="DG506" s="21"/>
      <c r="DK506" s="26"/>
      <c r="DL506" s="26"/>
      <c r="DM506" s="26"/>
      <c r="DN506" s="21"/>
      <c r="DO506" s="21"/>
      <c r="EF506" s="25"/>
      <c r="EG506" s="25"/>
      <c r="EY506" s="20"/>
    </row>
    <row r="507" spans="1:155">
      <c r="A507" s="21"/>
      <c r="B507" s="21"/>
      <c r="AA507" s="26"/>
      <c r="AB507" s="26"/>
      <c r="AC507" s="21"/>
      <c r="AD507" s="21"/>
      <c r="AY507" s="26"/>
      <c r="AZ507" s="26"/>
      <c r="BB507" s="26"/>
      <c r="BD507" s="21"/>
      <c r="CN507" s="26"/>
      <c r="DB507" s="24"/>
      <c r="DD507" s="21"/>
      <c r="DE507" s="22"/>
      <c r="DG507" s="21"/>
      <c r="DK507" s="26"/>
      <c r="DL507" s="26"/>
      <c r="DM507" s="26"/>
      <c r="DN507" s="21"/>
      <c r="DO507" s="21"/>
      <c r="EF507" s="25"/>
      <c r="EG507" s="25"/>
      <c r="EY507" s="20"/>
    </row>
    <row r="508" spans="1:155">
      <c r="A508" s="21"/>
      <c r="B508" s="21"/>
      <c r="AA508" s="26"/>
      <c r="AB508" s="26"/>
      <c r="AC508" s="21"/>
      <c r="AD508" s="21"/>
      <c r="AY508" s="26"/>
      <c r="AZ508" s="26"/>
      <c r="BB508" s="26"/>
      <c r="BD508" s="21"/>
      <c r="CN508" s="26"/>
      <c r="DB508" s="24"/>
      <c r="DD508" s="21"/>
      <c r="DE508" s="22"/>
      <c r="DG508" s="21"/>
      <c r="DK508" s="26"/>
      <c r="DL508" s="26"/>
      <c r="DM508" s="26"/>
      <c r="DN508" s="21"/>
      <c r="DO508" s="21"/>
      <c r="EF508" s="25"/>
      <c r="EG508" s="25"/>
      <c r="EY508" s="20"/>
    </row>
    <row r="509" spans="1:155">
      <c r="A509" s="21"/>
      <c r="B509" s="21"/>
      <c r="AA509" s="26"/>
      <c r="AB509" s="26"/>
      <c r="AC509" s="21"/>
      <c r="AD509" s="21"/>
      <c r="AY509" s="26"/>
      <c r="AZ509" s="26"/>
      <c r="BB509" s="26"/>
      <c r="BD509" s="21"/>
      <c r="CN509" s="26"/>
      <c r="DB509" s="24"/>
      <c r="DD509" s="21"/>
      <c r="DE509" s="22"/>
      <c r="DG509" s="21"/>
      <c r="DK509" s="26"/>
      <c r="DL509" s="26"/>
      <c r="DM509" s="26"/>
      <c r="DN509" s="21"/>
      <c r="DO509" s="21"/>
      <c r="EF509" s="25"/>
      <c r="EG509" s="25"/>
      <c r="EY509" s="20"/>
    </row>
    <row r="510" spans="1:155">
      <c r="A510" s="21"/>
      <c r="B510" s="21"/>
      <c r="AA510" s="26"/>
      <c r="AB510" s="26"/>
      <c r="AC510" s="21"/>
      <c r="AD510" s="21"/>
      <c r="AY510" s="26"/>
      <c r="AZ510" s="26"/>
      <c r="BB510" s="26"/>
      <c r="BD510" s="21"/>
      <c r="CN510" s="26"/>
      <c r="DB510" s="24"/>
      <c r="DD510" s="21"/>
      <c r="DE510" s="22"/>
      <c r="DG510" s="21"/>
      <c r="DK510" s="26"/>
      <c r="DL510" s="26"/>
      <c r="DM510" s="26"/>
      <c r="DN510" s="21"/>
      <c r="DO510" s="21"/>
      <c r="EF510" s="25"/>
      <c r="EG510" s="25"/>
      <c r="EY510" s="20"/>
    </row>
    <row r="511" spans="1:155">
      <c r="A511" s="21"/>
      <c r="B511" s="21"/>
      <c r="AA511" s="26"/>
      <c r="AB511" s="26"/>
      <c r="AC511" s="21"/>
      <c r="AD511" s="21"/>
      <c r="AY511" s="26"/>
      <c r="AZ511" s="26"/>
      <c r="BB511" s="26"/>
      <c r="BD511" s="21"/>
      <c r="CN511" s="26"/>
      <c r="DB511" s="24"/>
      <c r="DD511" s="21"/>
      <c r="DE511" s="22"/>
      <c r="DG511" s="21"/>
      <c r="DK511" s="26"/>
      <c r="DL511" s="26"/>
      <c r="DM511" s="26"/>
      <c r="DN511" s="21"/>
      <c r="DO511" s="21"/>
      <c r="EF511" s="25"/>
      <c r="EG511" s="25"/>
      <c r="EY511" s="20"/>
    </row>
    <row r="512" spans="1:155">
      <c r="A512" s="21"/>
      <c r="B512" s="21"/>
      <c r="AA512" s="26"/>
      <c r="AB512" s="26"/>
      <c r="AC512" s="21"/>
      <c r="AD512" s="21"/>
      <c r="AY512" s="26"/>
      <c r="AZ512" s="26"/>
      <c r="BB512" s="26"/>
      <c r="BD512" s="21"/>
      <c r="CN512" s="26"/>
      <c r="DB512" s="24"/>
      <c r="DD512" s="21"/>
      <c r="DE512" s="22"/>
      <c r="DG512" s="21"/>
      <c r="DK512" s="26"/>
      <c r="DL512" s="26"/>
      <c r="DM512" s="26"/>
      <c r="DN512" s="21"/>
      <c r="DO512" s="21"/>
      <c r="EF512" s="25"/>
      <c r="EG512" s="25"/>
      <c r="EY512" s="20"/>
    </row>
    <row r="513" spans="1:155">
      <c r="A513" s="21"/>
      <c r="B513" s="21"/>
      <c r="AA513" s="26"/>
      <c r="AB513" s="26"/>
      <c r="AC513" s="21"/>
      <c r="AD513" s="21"/>
      <c r="AY513" s="26"/>
      <c r="AZ513" s="26"/>
      <c r="BB513" s="26"/>
      <c r="BD513" s="21"/>
      <c r="CN513" s="26"/>
      <c r="DB513" s="24"/>
      <c r="DD513" s="21"/>
      <c r="DE513" s="22"/>
      <c r="DG513" s="21"/>
      <c r="DK513" s="26"/>
      <c r="DL513" s="26"/>
      <c r="DM513" s="26"/>
      <c r="DN513" s="21"/>
      <c r="DO513" s="21"/>
      <c r="EF513" s="25"/>
      <c r="EG513" s="25"/>
      <c r="EY513" s="20"/>
    </row>
    <row r="514" spans="1:155">
      <c r="A514" s="21"/>
      <c r="B514" s="21"/>
      <c r="AA514" s="26"/>
      <c r="AB514" s="26"/>
      <c r="AC514" s="21"/>
      <c r="AD514" s="21"/>
      <c r="AY514" s="26"/>
      <c r="AZ514" s="26"/>
      <c r="BB514" s="26"/>
      <c r="BD514" s="21"/>
      <c r="CN514" s="26"/>
      <c r="DB514" s="24"/>
      <c r="DD514" s="21"/>
      <c r="DE514" s="22"/>
      <c r="DG514" s="21"/>
      <c r="DK514" s="26"/>
      <c r="DL514" s="26"/>
      <c r="DM514" s="26"/>
      <c r="DN514" s="21"/>
      <c r="DO514" s="21"/>
      <c r="EF514" s="25"/>
      <c r="EG514" s="25"/>
      <c r="EY514" s="20"/>
    </row>
    <row r="515" spans="1:155">
      <c r="A515" s="21"/>
      <c r="B515" s="21"/>
      <c r="AA515" s="26"/>
      <c r="AB515" s="26"/>
      <c r="AC515" s="21"/>
      <c r="AD515" s="21"/>
      <c r="AY515" s="26"/>
      <c r="AZ515" s="26"/>
      <c r="BB515" s="26"/>
      <c r="BD515" s="21"/>
      <c r="CN515" s="26"/>
      <c r="DB515" s="24"/>
      <c r="DD515" s="21"/>
      <c r="DE515" s="22"/>
      <c r="DG515" s="21"/>
      <c r="DK515" s="26"/>
      <c r="DL515" s="26"/>
      <c r="DM515" s="26"/>
      <c r="DN515" s="21"/>
      <c r="DO515" s="21"/>
      <c r="EF515" s="25"/>
      <c r="EG515" s="25"/>
      <c r="EY515" s="20"/>
    </row>
    <row r="516" spans="1:155">
      <c r="A516" s="21"/>
      <c r="B516" s="21"/>
      <c r="AA516" s="26"/>
      <c r="AB516" s="26"/>
      <c r="AC516" s="21"/>
      <c r="AD516" s="21"/>
      <c r="AY516" s="26"/>
      <c r="AZ516" s="26"/>
      <c r="BB516" s="26"/>
      <c r="BD516" s="21"/>
      <c r="CN516" s="26"/>
      <c r="DB516" s="24"/>
      <c r="DD516" s="21"/>
      <c r="DE516" s="22"/>
      <c r="DG516" s="21"/>
      <c r="DK516" s="26"/>
      <c r="DL516" s="26"/>
      <c r="DM516" s="26"/>
      <c r="DN516" s="21"/>
      <c r="DO516" s="21"/>
      <c r="EF516" s="25"/>
      <c r="EG516" s="25"/>
      <c r="EY516" s="20"/>
    </row>
    <row r="517" spans="1:155">
      <c r="A517" s="21"/>
      <c r="B517" s="21"/>
      <c r="AA517" s="26"/>
      <c r="AB517" s="26"/>
      <c r="AC517" s="21"/>
      <c r="AD517" s="21"/>
      <c r="AY517" s="26"/>
      <c r="AZ517" s="26"/>
      <c r="BB517" s="26"/>
      <c r="BD517" s="21"/>
      <c r="CN517" s="26"/>
      <c r="DB517" s="24"/>
      <c r="DD517" s="21"/>
      <c r="DE517" s="22"/>
      <c r="DG517" s="21"/>
      <c r="DK517" s="26"/>
      <c r="DL517" s="26"/>
      <c r="DM517" s="26"/>
      <c r="DN517" s="21"/>
      <c r="DO517" s="21"/>
      <c r="EF517" s="25"/>
      <c r="EG517" s="25"/>
      <c r="EY517" s="20"/>
    </row>
    <row r="518" spans="1:155">
      <c r="A518" s="21"/>
      <c r="B518" s="21"/>
      <c r="AA518" s="26"/>
      <c r="AB518" s="26"/>
      <c r="AC518" s="21"/>
      <c r="AD518" s="21"/>
      <c r="AY518" s="26"/>
      <c r="AZ518" s="26"/>
      <c r="BB518" s="26"/>
      <c r="BD518" s="21"/>
      <c r="CN518" s="26"/>
      <c r="DB518" s="24"/>
      <c r="DD518" s="21"/>
      <c r="DE518" s="22"/>
      <c r="DG518" s="21"/>
      <c r="DK518" s="26"/>
      <c r="DL518" s="26"/>
      <c r="DM518" s="26"/>
      <c r="DN518" s="21"/>
      <c r="DO518" s="21"/>
      <c r="EF518" s="25"/>
      <c r="EG518" s="25"/>
      <c r="EY518" s="20"/>
    </row>
    <row r="519" spans="1:155">
      <c r="A519" s="21"/>
      <c r="B519" s="21"/>
      <c r="AA519" s="26"/>
      <c r="AB519" s="26"/>
      <c r="AC519" s="21"/>
      <c r="AD519" s="21"/>
      <c r="AY519" s="26"/>
      <c r="AZ519" s="26"/>
      <c r="BB519" s="26"/>
      <c r="BD519" s="21"/>
      <c r="CN519" s="26"/>
      <c r="DB519" s="24"/>
      <c r="DD519" s="21"/>
      <c r="DE519" s="22"/>
      <c r="DG519" s="21"/>
      <c r="DK519" s="26"/>
      <c r="DL519" s="26"/>
      <c r="DM519" s="26"/>
      <c r="DN519" s="21"/>
      <c r="DO519" s="21"/>
      <c r="EF519" s="25"/>
      <c r="EG519" s="25"/>
      <c r="EY519" s="20"/>
    </row>
    <row r="520" spans="1:155">
      <c r="A520" s="21"/>
      <c r="B520" s="21"/>
      <c r="AA520" s="26"/>
      <c r="AB520" s="26"/>
      <c r="AC520" s="21"/>
      <c r="AD520" s="21"/>
      <c r="AY520" s="26"/>
      <c r="AZ520" s="26"/>
      <c r="BB520" s="26"/>
      <c r="BD520" s="21"/>
      <c r="CN520" s="26"/>
      <c r="DB520" s="24"/>
      <c r="DD520" s="21"/>
      <c r="DE520" s="22"/>
      <c r="DG520" s="21"/>
      <c r="DK520" s="26"/>
      <c r="DL520" s="26"/>
      <c r="DM520" s="26"/>
      <c r="DN520" s="21"/>
      <c r="DO520" s="21"/>
      <c r="EF520" s="25"/>
      <c r="EG520" s="25"/>
      <c r="EY520" s="20"/>
    </row>
    <row r="521" spans="1:155">
      <c r="A521" s="21"/>
      <c r="B521" s="21"/>
      <c r="AA521" s="26"/>
      <c r="AB521" s="26"/>
      <c r="AC521" s="21"/>
      <c r="AD521" s="21"/>
      <c r="AY521" s="26"/>
      <c r="AZ521" s="26"/>
      <c r="BB521" s="26"/>
      <c r="BD521" s="21"/>
      <c r="CN521" s="26"/>
      <c r="DB521" s="24"/>
      <c r="DD521" s="21"/>
      <c r="DE521" s="22"/>
      <c r="DG521" s="21"/>
      <c r="DK521" s="26"/>
      <c r="DL521" s="26"/>
      <c r="DM521" s="26"/>
      <c r="DN521" s="21"/>
      <c r="DO521" s="21"/>
      <c r="EF521" s="25"/>
      <c r="EG521" s="25"/>
      <c r="EY521" s="20"/>
    </row>
    <row r="522" spans="1:155">
      <c r="A522" s="21"/>
      <c r="B522" s="21"/>
      <c r="AA522" s="26"/>
      <c r="AB522" s="26"/>
      <c r="AC522" s="21"/>
      <c r="AD522" s="21"/>
      <c r="AY522" s="26"/>
      <c r="AZ522" s="26"/>
      <c r="BB522" s="26"/>
      <c r="BD522" s="21"/>
      <c r="CN522" s="26"/>
      <c r="DB522" s="24"/>
      <c r="DD522" s="21"/>
      <c r="DE522" s="22"/>
      <c r="DG522" s="21"/>
      <c r="DK522" s="26"/>
      <c r="DL522" s="26"/>
      <c r="DM522" s="26"/>
      <c r="DN522" s="21"/>
      <c r="DO522" s="21"/>
      <c r="EF522" s="25"/>
      <c r="EG522" s="25"/>
      <c r="EY522" s="20"/>
    </row>
    <row r="523" spans="1:155">
      <c r="A523" s="21"/>
      <c r="B523" s="21"/>
      <c r="AA523" s="26"/>
      <c r="AB523" s="26"/>
      <c r="AC523" s="21"/>
      <c r="AD523" s="21"/>
      <c r="AY523" s="26"/>
      <c r="AZ523" s="26"/>
      <c r="BB523" s="26"/>
      <c r="BD523" s="21"/>
      <c r="CN523" s="26"/>
      <c r="DB523" s="24"/>
      <c r="DD523" s="21"/>
      <c r="DE523" s="22"/>
      <c r="DG523" s="21"/>
      <c r="DK523" s="26"/>
      <c r="DL523" s="26"/>
      <c r="DM523" s="26"/>
      <c r="DN523" s="21"/>
      <c r="DO523" s="21"/>
      <c r="EF523" s="25"/>
      <c r="EG523" s="25"/>
      <c r="EY523" s="20"/>
    </row>
    <row r="524" spans="1:155">
      <c r="A524" s="21"/>
      <c r="B524" s="21"/>
      <c r="AA524" s="26"/>
      <c r="AB524" s="26"/>
      <c r="AC524" s="21"/>
      <c r="AD524" s="21"/>
      <c r="AY524" s="26"/>
      <c r="AZ524" s="26"/>
      <c r="BB524" s="26"/>
      <c r="BD524" s="21"/>
      <c r="CN524" s="26"/>
      <c r="DB524" s="24"/>
      <c r="DD524" s="21"/>
      <c r="DE524" s="22"/>
      <c r="DG524" s="21"/>
      <c r="DK524" s="26"/>
      <c r="DL524" s="26"/>
      <c r="DM524" s="26"/>
      <c r="DN524" s="21"/>
      <c r="DO524" s="21"/>
      <c r="EF524" s="25"/>
      <c r="EG524" s="25"/>
      <c r="EY524" s="20"/>
    </row>
    <row r="525" spans="1:155">
      <c r="A525" s="21"/>
      <c r="B525" s="21"/>
      <c r="AA525" s="26"/>
      <c r="AB525" s="26"/>
      <c r="AC525" s="21"/>
      <c r="AD525" s="21"/>
      <c r="AY525" s="26"/>
      <c r="AZ525" s="26"/>
      <c r="BB525" s="26"/>
      <c r="BD525" s="21"/>
      <c r="CN525" s="26"/>
      <c r="DB525" s="24"/>
      <c r="DD525" s="21"/>
      <c r="DE525" s="22"/>
      <c r="DG525" s="21"/>
      <c r="DK525" s="26"/>
      <c r="DL525" s="26"/>
      <c r="DM525" s="26"/>
      <c r="DN525" s="21"/>
      <c r="DO525" s="21"/>
      <c r="EF525" s="25"/>
      <c r="EG525" s="25"/>
      <c r="EY525" s="20"/>
    </row>
    <row r="526" spans="1:155">
      <c r="A526" s="21"/>
      <c r="B526" s="21"/>
      <c r="AA526" s="26"/>
      <c r="AB526" s="26"/>
      <c r="AC526" s="21"/>
      <c r="AD526" s="21"/>
      <c r="AY526" s="26"/>
      <c r="AZ526" s="26"/>
      <c r="BB526" s="26"/>
      <c r="BD526" s="21"/>
      <c r="CN526" s="26"/>
      <c r="DB526" s="24"/>
      <c r="DD526" s="21"/>
      <c r="DE526" s="22"/>
      <c r="DG526" s="21"/>
      <c r="DK526" s="26"/>
      <c r="DL526" s="26"/>
      <c r="DM526" s="26"/>
      <c r="DN526" s="21"/>
      <c r="DO526" s="21"/>
      <c r="EF526" s="25"/>
      <c r="EG526" s="25"/>
      <c r="EY526" s="20"/>
    </row>
    <row r="527" spans="1:155">
      <c r="A527" s="21"/>
      <c r="B527" s="21"/>
      <c r="AA527" s="26"/>
      <c r="AB527" s="26"/>
      <c r="AC527" s="21"/>
      <c r="AD527" s="21"/>
      <c r="AY527" s="26"/>
      <c r="AZ527" s="26"/>
      <c r="BB527" s="26"/>
      <c r="BD527" s="21"/>
      <c r="CN527" s="26"/>
      <c r="DB527" s="24"/>
      <c r="DD527" s="21"/>
      <c r="DE527" s="22"/>
      <c r="DG527" s="21"/>
      <c r="DK527" s="26"/>
      <c r="DL527" s="26"/>
      <c r="DM527" s="26"/>
      <c r="DN527" s="21"/>
      <c r="DO527" s="21"/>
      <c r="EF527" s="25"/>
      <c r="EG527" s="25"/>
      <c r="EY527" s="20"/>
    </row>
    <row r="528" spans="1:155">
      <c r="A528" s="21"/>
      <c r="B528" s="21"/>
      <c r="AA528" s="26"/>
      <c r="AB528" s="26"/>
      <c r="AC528" s="21"/>
      <c r="AD528" s="21"/>
      <c r="AY528" s="26"/>
      <c r="AZ528" s="26"/>
      <c r="BB528" s="26"/>
      <c r="BD528" s="21"/>
      <c r="CN528" s="26"/>
      <c r="DB528" s="24"/>
      <c r="DD528" s="21"/>
      <c r="DE528" s="22"/>
      <c r="DG528" s="21"/>
      <c r="DK528" s="26"/>
      <c r="DL528" s="26"/>
      <c r="DM528" s="26"/>
      <c r="DN528" s="21"/>
      <c r="DO528" s="21"/>
      <c r="EF528" s="25"/>
      <c r="EG528" s="25"/>
      <c r="EY528" s="20"/>
    </row>
    <row r="529" spans="1:155">
      <c r="A529" s="21"/>
      <c r="B529" s="21"/>
      <c r="AA529" s="26"/>
      <c r="AB529" s="26"/>
      <c r="AC529" s="21"/>
      <c r="AD529" s="21"/>
      <c r="AY529" s="26"/>
      <c r="AZ529" s="26"/>
      <c r="BB529" s="26"/>
      <c r="BD529" s="21"/>
      <c r="CN529" s="26"/>
      <c r="DB529" s="24"/>
      <c r="DD529" s="21"/>
      <c r="DE529" s="22"/>
      <c r="DG529" s="21"/>
      <c r="DK529" s="26"/>
      <c r="DL529" s="26"/>
      <c r="DM529" s="26"/>
      <c r="DN529" s="21"/>
      <c r="DO529" s="21"/>
      <c r="EF529" s="25"/>
      <c r="EG529" s="25"/>
      <c r="EY529" s="20"/>
    </row>
    <row r="530" spans="1:155">
      <c r="A530" s="21"/>
      <c r="B530" s="21"/>
      <c r="AA530" s="26"/>
      <c r="AB530" s="26"/>
      <c r="AC530" s="21"/>
      <c r="AD530" s="21"/>
      <c r="AY530" s="26"/>
      <c r="AZ530" s="26"/>
      <c r="BB530" s="26"/>
      <c r="BD530" s="21"/>
      <c r="CN530" s="26"/>
      <c r="DB530" s="24"/>
      <c r="DD530" s="21"/>
      <c r="DE530" s="22"/>
      <c r="DG530" s="21"/>
      <c r="DK530" s="26"/>
      <c r="DL530" s="26"/>
      <c r="DM530" s="26"/>
      <c r="DN530" s="21"/>
      <c r="DO530" s="21"/>
      <c r="EF530" s="25"/>
      <c r="EG530" s="25"/>
      <c r="EY530" s="20"/>
    </row>
    <row r="531" spans="1:155">
      <c r="A531" s="21"/>
      <c r="B531" s="21"/>
      <c r="AA531" s="26"/>
      <c r="AB531" s="26"/>
      <c r="AC531" s="21"/>
      <c r="AD531" s="21"/>
      <c r="AY531" s="26"/>
      <c r="AZ531" s="26"/>
      <c r="BB531" s="26"/>
      <c r="BD531" s="21"/>
      <c r="CN531" s="26"/>
      <c r="DB531" s="24"/>
      <c r="DD531" s="21"/>
      <c r="DE531" s="22"/>
      <c r="DG531" s="21"/>
      <c r="DK531" s="26"/>
      <c r="DL531" s="26"/>
      <c r="DM531" s="26"/>
      <c r="DN531" s="21"/>
      <c r="DO531" s="21"/>
      <c r="EF531" s="25"/>
      <c r="EG531" s="25"/>
      <c r="EY531" s="20"/>
    </row>
    <row r="532" spans="1:155">
      <c r="A532" s="21"/>
      <c r="B532" s="21"/>
      <c r="AA532" s="26"/>
      <c r="AB532" s="26"/>
      <c r="AC532" s="21"/>
      <c r="AD532" s="21"/>
      <c r="AY532" s="26"/>
      <c r="AZ532" s="26"/>
      <c r="BB532" s="26"/>
      <c r="BD532" s="21"/>
      <c r="CN532" s="26"/>
      <c r="DB532" s="24"/>
      <c r="DD532" s="21"/>
      <c r="DE532" s="22"/>
      <c r="DG532" s="21"/>
      <c r="DK532" s="26"/>
      <c r="DL532" s="26"/>
      <c r="DM532" s="26"/>
      <c r="DN532" s="21"/>
      <c r="DO532" s="21"/>
      <c r="EF532" s="25"/>
      <c r="EG532" s="25"/>
      <c r="EY532" s="20"/>
    </row>
    <row r="533" spans="1:155">
      <c r="A533" s="21"/>
      <c r="B533" s="21"/>
      <c r="AA533" s="26"/>
      <c r="AB533" s="26"/>
      <c r="AC533" s="21"/>
      <c r="AD533" s="21"/>
      <c r="AY533" s="26"/>
      <c r="AZ533" s="26"/>
      <c r="BB533" s="26"/>
      <c r="BD533" s="21"/>
      <c r="CN533" s="26"/>
      <c r="DB533" s="24"/>
      <c r="DD533" s="21"/>
      <c r="DE533" s="22"/>
      <c r="DG533" s="21"/>
      <c r="DK533" s="26"/>
      <c r="DL533" s="26"/>
      <c r="DM533" s="26"/>
      <c r="DN533" s="21"/>
      <c r="DO533" s="21"/>
      <c r="EF533" s="25"/>
      <c r="EG533" s="25"/>
      <c r="EY533" s="20"/>
    </row>
    <row r="534" spans="1:155">
      <c r="A534" s="21"/>
      <c r="B534" s="21"/>
      <c r="AA534" s="26"/>
      <c r="AB534" s="26"/>
      <c r="AC534" s="21"/>
      <c r="AD534" s="21"/>
      <c r="AY534" s="26"/>
      <c r="AZ534" s="26"/>
      <c r="BB534" s="26"/>
      <c r="BD534" s="21"/>
      <c r="CN534" s="26"/>
      <c r="DB534" s="24"/>
      <c r="DD534" s="21"/>
      <c r="DE534" s="22"/>
      <c r="DG534" s="21"/>
      <c r="DK534" s="26"/>
      <c r="DL534" s="26"/>
      <c r="DM534" s="26"/>
      <c r="DN534" s="21"/>
      <c r="DO534" s="21"/>
      <c r="EF534" s="25"/>
      <c r="EG534" s="25"/>
      <c r="EY534" s="20"/>
    </row>
    <row r="535" spans="1:155">
      <c r="A535" s="21"/>
      <c r="B535" s="21"/>
      <c r="AA535" s="26"/>
      <c r="AB535" s="26"/>
      <c r="AC535" s="21"/>
      <c r="AD535" s="21"/>
      <c r="AY535" s="26"/>
      <c r="AZ535" s="26"/>
      <c r="BB535" s="26"/>
      <c r="BD535" s="21"/>
      <c r="CN535" s="26"/>
      <c r="DB535" s="24"/>
      <c r="DD535" s="21"/>
      <c r="DE535" s="22"/>
      <c r="DG535" s="21"/>
      <c r="DK535" s="26"/>
      <c r="DL535" s="26"/>
      <c r="DM535" s="26"/>
      <c r="DN535" s="21"/>
      <c r="DO535" s="21"/>
      <c r="EF535" s="25"/>
      <c r="EG535" s="25"/>
      <c r="EY535" s="20"/>
    </row>
    <row r="536" spans="1:155">
      <c r="A536" s="21"/>
      <c r="B536" s="21"/>
      <c r="AA536" s="26"/>
      <c r="AB536" s="26"/>
      <c r="AC536" s="21"/>
      <c r="AD536" s="21"/>
      <c r="AY536" s="26"/>
      <c r="AZ536" s="26"/>
      <c r="BB536" s="26"/>
      <c r="BD536" s="21"/>
      <c r="CN536" s="26"/>
      <c r="DB536" s="24"/>
      <c r="DD536" s="21"/>
      <c r="DE536" s="22"/>
      <c r="DG536" s="21"/>
      <c r="DK536" s="26"/>
      <c r="DL536" s="26"/>
      <c r="DM536" s="26"/>
      <c r="DN536" s="21"/>
      <c r="DO536" s="21"/>
      <c r="EF536" s="25"/>
      <c r="EG536" s="25"/>
      <c r="EY536" s="20"/>
    </row>
    <row r="537" spans="1:155">
      <c r="A537" s="21"/>
      <c r="B537" s="21"/>
      <c r="AA537" s="26"/>
      <c r="AB537" s="26"/>
      <c r="AC537" s="21"/>
      <c r="AD537" s="21"/>
      <c r="AY537" s="26"/>
      <c r="AZ537" s="26"/>
      <c r="BB537" s="26"/>
      <c r="BD537" s="21"/>
      <c r="CN537" s="26"/>
      <c r="DB537" s="24"/>
      <c r="DD537" s="21"/>
      <c r="DE537" s="22"/>
      <c r="DG537" s="21"/>
      <c r="DK537" s="26"/>
      <c r="DL537" s="26"/>
      <c r="DM537" s="26"/>
      <c r="DN537" s="21"/>
      <c r="DO537" s="21"/>
      <c r="EF537" s="25"/>
      <c r="EG537" s="25"/>
      <c r="EY537" s="20"/>
    </row>
    <row r="538" spans="1:155">
      <c r="A538" s="21"/>
      <c r="B538" s="21"/>
      <c r="AA538" s="26"/>
      <c r="AB538" s="26"/>
      <c r="AC538" s="21"/>
      <c r="AD538" s="21"/>
      <c r="AY538" s="26"/>
      <c r="AZ538" s="26"/>
      <c r="BB538" s="26"/>
      <c r="BD538" s="21"/>
      <c r="CN538" s="26"/>
      <c r="DB538" s="24"/>
      <c r="DD538" s="21"/>
      <c r="DE538" s="22"/>
      <c r="DG538" s="21"/>
      <c r="DK538" s="26"/>
      <c r="DL538" s="26"/>
      <c r="DM538" s="26"/>
      <c r="DN538" s="21"/>
      <c r="DO538" s="21"/>
      <c r="EF538" s="25"/>
      <c r="EG538" s="25"/>
      <c r="EY538" s="20"/>
    </row>
    <row r="539" spans="1:155">
      <c r="A539" s="21"/>
      <c r="B539" s="21"/>
      <c r="AA539" s="26"/>
      <c r="AB539" s="26"/>
      <c r="AC539" s="21"/>
      <c r="AD539" s="21"/>
      <c r="AY539" s="26"/>
      <c r="AZ539" s="26"/>
      <c r="BB539" s="26"/>
      <c r="BD539" s="21"/>
      <c r="CN539" s="26"/>
      <c r="DB539" s="24"/>
      <c r="DD539" s="21"/>
      <c r="DE539" s="22"/>
      <c r="DG539" s="21"/>
      <c r="DK539" s="26"/>
      <c r="DL539" s="26"/>
      <c r="DM539" s="26"/>
      <c r="DN539" s="21"/>
      <c r="DO539" s="21"/>
      <c r="EF539" s="25"/>
      <c r="EG539" s="25"/>
      <c r="EY539" s="20"/>
    </row>
    <row r="540" spans="1:155">
      <c r="A540" s="21"/>
      <c r="B540" s="21"/>
      <c r="AA540" s="26"/>
      <c r="AB540" s="26"/>
      <c r="AC540" s="21"/>
      <c r="AD540" s="21"/>
      <c r="AY540" s="26"/>
      <c r="AZ540" s="26"/>
      <c r="BB540" s="26"/>
      <c r="BD540" s="21"/>
      <c r="CN540" s="26"/>
      <c r="DB540" s="24"/>
      <c r="DD540" s="21"/>
      <c r="DE540" s="22"/>
      <c r="DG540" s="21"/>
      <c r="DK540" s="26"/>
      <c r="DL540" s="26"/>
      <c r="DM540" s="26"/>
      <c r="DN540" s="21"/>
      <c r="DO540" s="21"/>
      <c r="EF540" s="25"/>
      <c r="EG540" s="25"/>
      <c r="EY540" s="20"/>
    </row>
    <row r="541" spans="1:155">
      <c r="A541" s="21"/>
      <c r="B541" s="21"/>
      <c r="AA541" s="26"/>
      <c r="AB541" s="26"/>
      <c r="AC541" s="21"/>
      <c r="AD541" s="21"/>
      <c r="AY541" s="26"/>
      <c r="AZ541" s="26"/>
      <c r="BB541" s="26"/>
      <c r="BD541" s="21"/>
      <c r="CN541" s="26"/>
      <c r="DB541" s="24"/>
      <c r="DD541" s="21"/>
      <c r="DE541" s="22"/>
      <c r="DG541" s="21"/>
      <c r="DK541" s="26"/>
      <c r="DL541" s="26"/>
      <c r="DM541" s="26"/>
      <c r="DN541" s="21"/>
      <c r="DO541" s="21"/>
      <c r="EF541" s="25"/>
      <c r="EG541" s="25"/>
      <c r="EY541" s="20"/>
    </row>
    <row r="542" spans="1:155">
      <c r="A542" s="21"/>
      <c r="B542" s="21"/>
      <c r="AA542" s="26"/>
      <c r="AB542" s="26"/>
      <c r="AC542" s="21"/>
      <c r="AD542" s="21"/>
      <c r="AY542" s="26"/>
      <c r="AZ542" s="26"/>
      <c r="BB542" s="26"/>
      <c r="BD542" s="21"/>
      <c r="CN542" s="26"/>
      <c r="DB542" s="24"/>
      <c r="DD542" s="21"/>
      <c r="DE542" s="22"/>
      <c r="DG542" s="21"/>
      <c r="DK542" s="26"/>
      <c r="DL542" s="26"/>
      <c r="DM542" s="26"/>
      <c r="DN542" s="21"/>
      <c r="DO542" s="21"/>
      <c r="EF542" s="25"/>
      <c r="EG542" s="25"/>
      <c r="EY542" s="20"/>
    </row>
    <row r="543" spans="1:155">
      <c r="A543" s="21"/>
      <c r="B543" s="21"/>
      <c r="AA543" s="26"/>
      <c r="AB543" s="26"/>
      <c r="AC543" s="21"/>
      <c r="AD543" s="21"/>
      <c r="AY543" s="26"/>
      <c r="AZ543" s="26"/>
      <c r="BB543" s="26"/>
      <c r="BD543" s="21"/>
      <c r="CN543" s="26"/>
      <c r="DB543" s="24"/>
      <c r="DD543" s="21"/>
      <c r="DE543" s="22"/>
      <c r="DG543" s="21"/>
      <c r="DK543" s="26"/>
      <c r="DL543" s="26"/>
      <c r="DM543" s="26"/>
      <c r="DN543" s="21"/>
      <c r="DO543" s="21"/>
      <c r="EF543" s="25"/>
      <c r="EG543" s="25"/>
      <c r="EY543" s="20"/>
    </row>
    <row r="544" spans="1:155">
      <c r="A544" s="21"/>
      <c r="B544" s="21"/>
      <c r="AA544" s="26"/>
      <c r="AB544" s="26"/>
      <c r="AC544" s="21"/>
      <c r="AD544" s="21"/>
      <c r="AY544" s="26"/>
      <c r="AZ544" s="26"/>
      <c r="BB544" s="26"/>
      <c r="BD544" s="21"/>
      <c r="CN544" s="26"/>
      <c r="DB544" s="24"/>
      <c r="DD544" s="21"/>
      <c r="DE544" s="22"/>
      <c r="DG544" s="21"/>
      <c r="DK544" s="26"/>
      <c r="DL544" s="26"/>
      <c r="DM544" s="26"/>
      <c r="DN544" s="21"/>
      <c r="DO544" s="21"/>
      <c r="EF544" s="25"/>
      <c r="EG544" s="25"/>
      <c r="EY544" s="20"/>
    </row>
    <row r="545" spans="1:155">
      <c r="A545" s="21"/>
      <c r="B545" s="21"/>
      <c r="AA545" s="26"/>
      <c r="AB545" s="26"/>
      <c r="AC545" s="21"/>
      <c r="AD545" s="21"/>
      <c r="AY545" s="26"/>
      <c r="AZ545" s="26"/>
      <c r="BB545" s="26"/>
      <c r="BD545" s="21"/>
      <c r="CN545" s="26"/>
      <c r="DB545" s="24"/>
      <c r="DD545" s="21"/>
      <c r="DE545" s="22"/>
      <c r="DG545" s="21"/>
      <c r="DK545" s="26"/>
      <c r="DL545" s="26"/>
      <c r="DM545" s="26"/>
      <c r="DN545" s="21"/>
      <c r="DO545" s="21"/>
      <c r="EF545" s="25"/>
      <c r="EG545" s="25"/>
      <c r="EY545" s="20"/>
    </row>
    <row r="546" spans="1:155">
      <c r="A546" s="21"/>
      <c r="B546" s="21"/>
      <c r="AA546" s="26"/>
      <c r="AB546" s="26"/>
      <c r="AC546" s="21"/>
      <c r="AD546" s="21"/>
      <c r="AY546" s="26"/>
      <c r="AZ546" s="26"/>
      <c r="BB546" s="26"/>
      <c r="BD546" s="21"/>
      <c r="CN546" s="26"/>
      <c r="DB546" s="24"/>
      <c r="DD546" s="21"/>
      <c r="DE546" s="22"/>
      <c r="DG546" s="21"/>
      <c r="DK546" s="26"/>
      <c r="DL546" s="26"/>
      <c r="DM546" s="26"/>
      <c r="DN546" s="21"/>
      <c r="DO546" s="21"/>
      <c r="EF546" s="25"/>
      <c r="EG546" s="25"/>
      <c r="EY546" s="20"/>
    </row>
    <row r="547" spans="1:155">
      <c r="A547" s="21"/>
      <c r="B547" s="21"/>
      <c r="AA547" s="26"/>
      <c r="AB547" s="26"/>
      <c r="AC547" s="21"/>
      <c r="AD547" s="21"/>
      <c r="AY547" s="26"/>
      <c r="AZ547" s="26"/>
      <c r="BB547" s="26"/>
      <c r="BD547" s="21"/>
      <c r="CN547" s="26"/>
      <c r="DB547" s="24"/>
      <c r="DD547" s="21"/>
      <c r="DE547" s="22"/>
      <c r="DG547" s="21"/>
      <c r="DK547" s="26"/>
      <c r="DL547" s="26"/>
      <c r="DM547" s="26"/>
      <c r="DN547" s="21"/>
      <c r="DO547" s="21"/>
      <c r="EF547" s="25"/>
      <c r="EG547" s="25"/>
      <c r="EY547" s="20"/>
    </row>
    <row r="548" spans="1:155">
      <c r="A548" s="21"/>
      <c r="B548" s="21"/>
      <c r="AA548" s="26"/>
      <c r="AB548" s="26"/>
      <c r="AC548" s="21"/>
      <c r="AD548" s="21"/>
      <c r="AY548" s="26"/>
      <c r="AZ548" s="26"/>
      <c r="BB548" s="26"/>
      <c r="BD548" s="21"/>
      <c r="CN548" s="26"/>
      <c r="DB548" s="24"/>
      <c r="DD548" s="21"/>
      <c r="DE548" s="22"/>
      <c r="DG548" s="21"/>
      <c r="DK548" s="26"/>
      <c r="DL548" s="26"/>
      <c r="DM548" s="26"/>
      <c r="DN548" s="21"/>
      <c r="DO548" s="21"/>
      <c r="EF548" s="25"/>
      <c r="EG548" s="25"/>
      <c r="EY548" s="20"/>
    </row>
    <row r="549" spans="1:155">
      <c r="A549" s="21"/>
      <c r="B549" s="21"/>
      <c r="AA549" s="26"/>
      <c r="AB549" s="26"/>
      <c r="AC549" s="21"/>
      <c r="AD549" s="21"/>
      <c r="AY549" s="26"/>
      <c r="AZ549" s="26"/>
      <c r="BB549" s="26"/>
      <c r="BD549" s="21"/>
      <c r="CN549" s="26"/>
      <c r="DB549" s="24"/>
      <c r="DD549" s="21"/>
      <c r="DE549" s="22"/>
      <c r="DG549" s="21"/>
      <c r="DK549" s="26"/>
      <c r="DL549" s="26"/>
      <c r="DM549" s="26"/>
      <c r="DN549" s="21"/>
      <c r="DO549" s="21"/>
      <c r="EF549" s="25"/>
      <c r="EG549" s="25"/>
      <c r="EY549" s="20"/>
    </row>
    <row r="550" spans="1:155">
      <c r="A550" s="21"/>
      <c r="B550" s="21"/>
      <c r="AA550" s="26"/>
      <c r="AB550" s="26"/>
      <c r="AC550" s="21"/>
      <c r="AD550" s="21"/>
      <c r="AY550" s="26"/>
      <c r="AZ550" s="26"/>
      <c r="BB550" s="26"/>
      <c r="BD550" s="21"/>
      <c r="CN550" s="26"/>
      <c r="DB550" s="24"/>
      <c r="DD550" s="21"/>
      <c r="DE550" s="22"/>
      <c r="DG550" s="21"/>
      <c r="DK550" s="26"/>
      <c r="DL550" s="26"/>
      <c r="DM550" s="26"/>
      <c r="DN550" s="21"/>
      <c r="DO550" s="21"/>
      <c r="EF550" s="25"/>
      <c r="EG550" s="25"/>
      <c r="EY550" s="20"/>
    </row>
    <row r="551" spans="1:155">
      <c r="A551" s="21"/>
      <c r="B551" s="21"/>
      <c r="AA551" s="26"/>
      <c r="AB551" s="26"/>
      <c r="AC551" s="21"/>
      <c r="AD551" s="21"/>
      <c r="AY551" s="26"/>
      <c r="AZ551" s="26"/>
      <c r="BB551" s="26"/>
      <c r="BD551" s="21"/>
      <c r="CN551" s="26"/>
      <c r="DB551" s="24"/>
      <c r="DD551" s="21"/>
      <c r="DE551" s="22"/>
      <c r="DG551" s="21"/>
      <c r="DK551" s="26"/>
      <c r="DL551" s="26"/>
      <c r="DM551" s="26"/>
      <c r="DN551" s="21"/>
      <c r="DO551" s="21"/>
      <c r="EF551" s="25"/>
      <c r="EG551" s="25"/>
      <c r="EY551" s="20"/>
    </row>
    <row r="552" spans="1:155">
      <c r="A552" s="21"/>
      <c r="B552" s="21"/>
      <c r="AA552" s="26"/>
      <c r="AB552" s="26"/>
      <c r="AC552" s="21"/>
      <c r="AD552" s="21"/>
      <c r="AY552" s="26"/>
      <c r="AZ552" s="26"/>
      <c r="BB552" s="26"/>
      <c r="BD552" s="21"/>
      <c r="CN552" s="26"/>
      <c r="DB552" s="24"/>
      <c r="DD552" s="21"/>
      <c r="DE552" s="22"/>
      <c r="DG552" s="21"/>
      <c r="DK552" s="26"/>
      <c r="DL552" s="26"/>
      <c r="DM552" s="26"/>
      <c r="DN552" s="21"/>
      <c r="DO552" s="21"/>
      <c r="EF552" s="25"/>
      <c r="EG552" s="25"/>
      <c r="EY552" s="20"/>
    </row>
    <row r="553" spans="1:155">
      <c r="A553" s="21"/>
      <c r="B553" s="21"/>
      <c r="AA553" s="26"/>
      <c r="AB553" s="26"/>
      <c r="AC553" s="21"/>
      <c r="AD553" s="21"/>
      <c r="AY553" s="26"/>
      <c r="AZ553" s="26"/>
      <c r="BB553" s="26"/>
      <c r="BD553" s="21"/>
      <c r="CN553" s="26"/>
      <c r="DB553" s="24"/>
      <c r="DD553" s="21"/>
      <c r="DE553" s="22"/>
      <c r="DG553" s="21"/>
      <c r="DK553" s="26"/>
      <c r="DL553" s="26"/>
      <c r="DM553" s="26"/>
      <c r="DN553" s="21"/>
      <c r="DO553" s="21"/>
      <c r="EF553" s="25"/>
      <c r="EG553" s="25"/>
      <c r="EY553" s="20"/>
    </row>
    <row r="554" spans="1:155">
      <c r="A554" s="21"/>
      <c r="B554" s="21"/>
      <c r="AA554" s="26"/>
      <c r="AB554" s="26"/>
      <c r="AC554" s="21"/>
      <c r="AD554" s="21"/>
      <c r="AY554" s="26"/>
      <c r="AZ554" s="26"/>
      <c r="BB554" s="26"/>
      <c r="BD554" s="21"/>
      <c r="CN554" s="26"/>
      <c r="DB554" s="24"/>
      <c r="DD554" s="21"/>
      <c r="DE554" s="22"/>
      <c r="DG554" s="21"/>
      <c r="DK554" s="26"/>
      <c r="DL554" s="26"/>
      <c r="DM554" s="26"/>
      <c r="DN554" s="21"/>
      <c r="DO554" s="21"/>
      <c r="EF554" s="25"/>
      <c r="EG554" s="25"/>
      <c r="EY554" s="20"/>
    </row>
    <row r="555" spans="1:155">
      <c r="A555" s="21"/>
      <c r="B555" s="21"/>
      <c r="AA555" s="26"/>
      <c r="AB555" s="26"/>
      <c r="AC555" s="21"/>
      <c r="AD555" s="21"/>
      <c r="AY555" s="26"/>
      <c r="AZ555" s="26"/>
      <c r="BB555" s="26"/>
      <c r="BD555" s="21"/>
      <c r="CN555" s="26"/>
      <c r="DB555" s="24"/>
      <c r="DD555" s="21"/>
      <c r="DE555" s="22"/>
      <c r="DG555" s="21"/>
      <c r="DK555" s="26"/>
      <c r="DL555" s="26"/>
      <c r="DM555" s="26"/>
      <c r="DN555" s="21"/>
      <c r="DO555" s="21"/>
      <c r="EF555" s="25"/>
      <c r="EG555" s="25"/>
      <c r="EY555" s="20"/>
    </row>
    <row r="556" spans="1:155">
      <c r="A556" s="21"/>
      <c r="B556" s="21"/>
      <c r="AA556" s="26"/>
      <c r="AB556" s="26"/>
      <c r="AC556" s="21"/>
      <c r="AD556" s="21"/>
      <c r="AY556" s="26"/>
      <c r="AZ556" s="26"/>
      <c r="BB556" s="26"/>
      <c r="BD556" s="21"/>
      <c r="CN556" s="26"/>
      <c r="DB556" s="24"/>
      <c r="DD556" s="21"/>
      <c r="DE556" s="22"/>
      <c r="DG556" s="21"/>
      <c r="DK556" s="26"/>
      <c r="DL556" s="26"/>
      <c r="DM556" s="26"/>
      <c r="DN556" s="21"/>
      <c r="DO556" s="21"/>
      <c r="EF556" s="25"/>
      <c r="EG556" s="25"/>
      <c r="EY556" s="20"/>
    </row>
    <row r="557" spans="1:155">
      <c r="A557" s="21"/>
      <c r="B557" s="21"/>
      <c r="AA557" s="26"/>
      <c r="AB557" s="26"/>
      <c r="AC557" s="21"/>
      <c r="AD557" s="21"/>
      <c r="AY557" s="26"/>
      <c r="AZ557" s="26"/>
      <c r="BB557" s="26"/>
      <c r="BD557" s="21"/>
      <c r="CN557" s="26"/>
      <c r="DB557" s="24"/>
      <c r="DD557" s="21"/>
      <c r="DE557" s="22"/>
      <c r="DG557" s="21"/>
      <c r="DK557" s="26"/>
      <c r="DL557" s="26"/>
      <c r="DM557" s="26"/>
      <c r="DN557" s="21"/>
      <c r="DO557" s="21"/>
      <c r="EF557" s="25"/>
      <c r="EG557" s="25"/>
      <c r="EY557" s="20"/>
    </row>
    <row r="558" spans="1:155">
      <c r="A558" s="21"/>
      <c r="B558" s="21"/>
      <c r="AA558" s="26"/>
      <c r="AB558" s="26"/>
      <c r="AC558" s="21"/>
      <c r="AD558" s="21"/>
      <c r="AY558" s="26"/>
      <c r="AZ558" s="26"/>
      <c r="BB558" s="26"/>
      <c r="BD558" s="21"/>
      <c r="CN558" s="26"/>
      <c r="DB558" s="24"/>
      <c r="DD558" s="21"/>
      <c r="DE558" s="22"/>
      <c r="DG558" s="21"/>
      <c r="DK558" s="26"/>
      <c r="DL558" s="26"/>
      <c r="DM558" s="26"/>
      <c r="DN558" s="21"/>
      <c r="DO558" s="21"/>
      <c r="EF558" s="25"/>
      <c r="EG558" s="25"/>
      <c r="EY558" s="20"/>
    </row>
    <row r="559" spans="1:155">
      <c r="A559" s="21"/>
      <c r="B559" s="21"/>
      <c r="AA559" s="26"/>
      <c r="AB559" s="26"/>
      <c r="AC559" s="21"/>
      <c r="AD559" s="21"/>
      <c r="AY559" s="26"/>
      <c r="AZ559" s="26"/>
      <c r="BB559" s="26"/>
      <c r="BD559" s="21"/>
      <c r="CN559" s="26"/>
      <c r="DB559" s="24"/>
      <c r="DD559" s="21"/>
      <c r="DE559" s="22"/>
      <c r="DG559" s="21"/>
      <c r="DK559" s="26"/>
      <c r="DL559" s="26"/>
      <c r="DM559" s="26"/>
      <c r="DN559" s="21"/>
      <c r="DO559" s="21"/>
      <c r="EF559" s="25"/>
      <c r="EG559" s="25"/>
      <c r="EY559" s="20"/>
    </row>
    <row r="560" spans="1:155">
      <c r="A560" s="21"/>
      <c r="B560" s="21"/>
      <c r="AA560" s="26"/>
      <c r="AB560" s="26"/>
      <c r="AC560" s="21"/>
      <c r="AD560" s="21"/>
      <c r="AY560" s="26"/>
      <c r="AZ560" s="26"/>
      <c r="BB560" s="26"/>
      <c r="BD560" s="21"/>
      <c r="CN560" s="26"/>
      <c r="DB560" s="24"/>
      <c r="DD560" s="21"/>
      <c r="DE560" s="22"/>
      <c r="DG560" s="21"/>
      <c r="DK560" s="26"/>
      <c r="DL560" s="26"/>
      <c r="DM560" s="26"/>
      <c r="DN560" s="21"/>
      <c r="DO560" s="21"/>
      <c r="EF560" s="25"/>
      <c r="EG560" s="25"/>
      <c r="EY560" s="20"/>
    </row>
    <row r="561" spans="1:155">
      <c r="A561" s="21"/>
      <c r="B561" s="21"/>
      <c r="AA561" s="26"/>
      <c r="AB561" s="26"/>
      <c r="AC561" s="21"/>
      <c r="AD561" s="21"/>
      <c r="AY561" s="26"/>
      <c r="AZ561" s="26"/>
      <c r="BB561" s="26"/>
      <c r="BD561" s="21"/>
      <c r="CN561" s="26"/>
      <c r="DB561" s="24"/>
      <c r="DD561" s="21"/>
      <c r="DE561" s="22"/>
      <c r="DG561" s="21"/>
      <c r="DK561" s="26"/>
      <c r="DL561" s="26"/>
      <c r="DM561" s="26"/>
      <c r="DN561" s="21"/>
      <c r="DO561" s="21"/>
      <c r="EF561" s="25"/>
      <c r="EG561" s="25"/>
      <c r="EY561" s="20"/>
    </row>
    <row r="562" spans="1:155">
      <c r="A562" s="21"/>
      <c r="B562" s="21"/>
      <c r="AA562" s="26"/>
      <c r="AB562" s="26"/>
      <c r="AC562" s="21"/>
      <c r="AD562" s="21"/>
      <c r="AY562" s="26"/>
      <c r="AZ562" s="26"/>
      <c r="BB562" s="26"/>
      <c r="BD562" s="21"/>
      <c r="CN562" s="26"/>
      <c r="DB562" s="24"/>
      <c r="DD562" s="21"/>
      <c r="DE562" s="22"/>
      <c r="DG562" s="21"/>
      <c r="DK562" s="26"/>
      <c r="DL562" s="26"/>
      <c r="DM562" s="26"/>
      <c r="DN562" s="21"/>
      <c r="DO562" s="21"/>
      <c r="EF562" s="25"/>
      <c r="EG562" s="25"/>
      <c r="EY562" s="20"/>
    </row>
    <row r="563" spans="1:155">
      <c r="A563" s="21"/>
      <c r="B563" s="21"/>
      <c r="AA563" s="26"/>
      <c r="AB563" s="26"/>
      <c r="AC563" s="21"/>
      <c r="AD563" s="21"/>
      <c r="AY563" s="26"/>
      <c r="AZ563" s="26"/>
      <c r="BB563" s="26"/>
      <c r="BD563" s="21"/>
      <c r="CN563" s="26"/>
      <c r="DB563" s="24"/>
      <c r="DD563" s="21"/>
      <c r="DE563" s="22"/>
      <c r="DG563" s="21"/>
      <c r="DK563" s="26"/>
      <c r="DL563" s="26"/>
      <c r="DM563" s="26"/>
      <c r="DN563" s="21"/>
      <c r="DO563" s="21"/>
      <c r="EF563" s="25"/>
      <c r="EG563" s="25"/>
      <c r="EY563" s="20"/>
    </row>
    <row r="564" spans="1:155">
      <c r="A564" s="21"/>
      <c r="B564" s="21"/>
      <c r="AA564" s="26"/>
      <c r="AB564" s="26"/>
      <c r="AC564" s="21"/>
      <c r="AD564" s="21"/>
      <c r="AY564" s="26"/>
      <c r="AZ564" s="26"/>
      <c r="BB564" s="26"/>
      <c r="BD564" s="21"/>
      <c r="CN564" s="26"/>
      <c r="DB564" s="24"/>
      <c r="DD564" s="21"/>
      <c r="DE564" s="22"/>
      <c r="DG564" s="21"/>
      <c r="DK564" s="26"/>
      <c r="DL564" s="26"/>
      <c r="DM564" s="26"/>
      <c r="DN564" s="21"/>
      <c r="DO564" s="21"/>
      <c r="EF564" s="25"/>
      <c r="EG564" s="25"/>
      <c r="EY564" s="20"/>
    </row>
    <row r="565" spans="1:155">
      <c r="A565" s="21"/>
      <c r="B565" s="21"/>
      <c r="AA565" s="26"/>
      <c r="AB565" s="26"/>
      <c r="AC565" s="21"/>
      <c r="AD565" s="21"/>
      <c r="AY565" s="26"/>
      <c r="AZ565" s="26"/>
      <c r="BB565" s="26"/>
      <c r="BD565" s="21"/>
      <c r="CN565" s="26"/>
      <c r="DB565" s="24"/>
      <c r="DD565" s="21"/>
      <c r="DE565" s="22"/>
      <c r="DG565" s="21"/>
      <c r="DK565" s="26"/>
      <c r="DL565" s="26"/>
      <c r="DM565" s="26"/>
      <c r="DN565" s="21"/>
      <c r="DO565" s="21"/>
      <c r="EF565" s="25"/>
      <c r="EG565" s="25"/>
      <c r="EY565" s="20"/>
    </row>
    <row r="566" spans="1:155">
      <c r="A566" s="21"/>
      <c r="B566" s="21"/>
      <c r="AA566" s="26"/>
      <c r="AB566" s="26"/>
      <c r="AC566" s="21"/>
      <c r="AD566" s="21"/>
      <c r="AY566" s="26"/>
      <c r="AZ566" s="26"/>
      <c r="BB566" s="26"/>
      <c r="BD566" s="21"/>
      <c r="CN566" s="26"/>
      <c r="DB566" s="24"/>
      <c r="DD566" s="21"/>
      <c r="DE566" s="22"/>
      <c r="DG566" s="21"/>
      <c r="DK566" s="26"/>
      <c r="DL566" s="26"/>
      <c r="DM566" s="26"/>
      <c r="DN566" s="21"/>
      <c r="DO566" s="21"/>
      <c r="EF566" s="25"/>
      <c r="EG566" s="25"/>
      <c r="EY566" s="20"/>
    </row>
    <row r="567" spans="1:155">
      <c r="A567" s="21"/>
      <c r="B567" s="21"/>
      <c r="AA567" s="26"/>
      <c r="AB567" s="26"/>
      <c r="AC567" s="21"/>
      <c r="AD567" s="21"/>
      <c r="AY567" s="26"/>
      <c r="AZ567" s="26"/>
      <c r="BB567" s="26"/>
      <c r="BD567" s="21"/>
      <c r="CN567" s="26"/>
      <c r="DB567" s="24"/>
      <c r="DD567" s="21"/>
      <c r="DE567" s="22"/>
      <c r="DG567" s="21"/>
      <c r="DK567" s="26"/>
      <c r="DL567" s="26"/>
      <c r="DM567" s="26"/>
      <c r="DN567" s="21"/>
      <c r="DO567" s="21"/>
      <c r="EF567" s="25"/>
      <c r="EG567" s="25"/>
      <c r="EY567" s="20"/>
    </row>
    <row r="568" spans="1:155">
      <c r="A568" s="21"/>
      <c r="B568" s="21"/>
      <c r="AA568" s="26"/>
      <c r="AB568" s="26"/>
      <c r="AC568" s="21"/>
      <c r="AD568" s="21"/>
      <c r="AY568" s="26"/>
      <c r="AZ568" s="26"/>
      <c r="BB568" s="26"/>
      <c r="BD568" s="21"/>
      <c r="CN568" s="26"/>
      <c r="DB568" s="24"/>
      <c r="DD568" s="21"/>
      <c r="DE568" s="22"/>
      <c r="DG568" s="21"/>
      <c r="DK568" s="26"/>
      <c r="DL568" s="26"/>
      <c r="DM568" s="26"/>
      <c r="DN568" s="21"/>
      <c r="DO568" s="21"/>
      <c r="EF568" s="25"/>
      <c r="EG568" s="25"/>
      <c r="EY568" s="20"/>
    </row>
    <row r="569" spans="1:155">
      <c r="A569" s="21"/>
      <c r="B569" s="21"/>
      <c r="AA569" s="26"/>
      <c r="AB569" s="26"/>
      <c r="AC569" s="21"/>
      <c r="AD569" s="21"/>
      <c r="AY569" s="26"/>
      <c r="AZ569" s="26"/>
      <c r="BB569" s="26"/>
      <c r="BD569" s="21"/>
      <c r="CN569" s="26"/>
      <c r="DB569" s="24"/>
      <c r="DD569" s="21"/>
      <c r="DE569" s="22"/>
      <c r="DG569" s="21"/>
      <c r="DK569" s="26"/>
      <c r="DL569" s="26"/>
      <c r="DM569" s="26"/>
      <c r="DN569" s="21"/>
      <c r="DO569" s="21"/>
      <c r="EF569" s="25"/>
      <c r="EG569" s="25"/>
      <c r="EY569" s="20"/>
    </row>
    <row r="570" spans="1:155">
      <c r="A570" s="21"/>
      <c r="B570" s="21"/>
      <c r="AA570" s="26"/>
      <c r="AB570" s="26"/>
      <c r="AC570" s="21"/>
      <c r="AD570" s="21"/>
      <c r="AY570" s="26"/>
      <c r="AZ570" s="26"/>
      <c r="BB570" s="26"/>
      <c r="BD570" s="21"/>
      <c r="CN570" s="26"/>
      <c r="DB570" s="24"/>
      <c r="DD570" s="21"/>
      <c r="DE570" s="22"/>
      <c r="DG570" s="21"/>
      <c r="DK570" s="26"/>
      <c r="DL570" s="26"/>
      <c r="DM570" s="26"/>
      <c r="DN570" s="21"/>
      <c r="DO570" s="21"/>
      <c r="EF570" s="25"/>
      <c r="EG570" s="25"/>
      <c r="EY570" s="20"/>
    </row>
    <row r="571" spans="1:155">
      <c r="A571" s="21"/>
      <c r="B571" s="21"/>
      <c r="AA571" s="26"/>
      <c r="AB571" s="26"/>
      <c r="AC571" s="21"/>
      <c r="AD571" s="21"/>
      <c r="AY571" s="26"/>
      <c r="AZ571" s="26"/>
      <c r="BB571" s="26"/>
      <c r="BD571" s="21"/>
      <c r="CN571" s="26"/>
      <c r="DB571" s="24"/>
      <c r="DD571" s="21"/>
      <c r="DE571" s="22"/>
      <c r="DG571" s="21"/>
      <c r="DK571" s="26"/>
      <c r="DL571" s="26"/>
      <c r="DM571" s="26"/>
      <c r="DN571" s="21"/>
      <c r="DO571" s="21"/>
      <c r="EF571" s="25"/>
      <c r="EG571" s="25"/>
      <c r="EY571" s="20"/>
    </row>
    <row r="572" spans="1:155">
      <c r="A572" s="21"/>
      <c r="B572" s="21"/>
      <c r="AA572" s="26"/>
      <c r="AB572" s="26"/>
      <c r="AC572" s="21"/>
      <c r="AD572" s="21"/>
      <c r="AY572" s="26"/>
      <c r="AZ572" s="26"/>
      <c r="BB572" s="26"/>
      <c r="BD572" s="21"/>
      <c r="CN572" s="26"/>
      <c r="DB572" s="24"/>
      <c r="DD572" s="21"/>
      <c r="DE572" s="22"/>
      <c r="DG572" s="21"/>
      <c r="DK572" s="26"/>
      <c r="DL572" s="26"/>
      <c r="DM572" s="26"/>
      <c r="DN572" s="21"/>
      <c r="DO572" s="21"/>
      <c r="EF572" s="25"/>
      <c r="EG572" s="25"/>
      <c r="EY572" s="20"/>
    </row>
    <row r="573" spans="1:155">
      <c r="A573" s="21"/>
      <c r="B573" s="21"/>
      <c r="AA573" s="26"/>
      <c r="AB573" s="26"/>
      <c r="AC573" s="21"/>
      <c r="AD573" s="21"/>
      <c r="AY573" s="26"/>
      <c r="AZ573" s="26"/>
      <c r="BB573" s="26"/>
      <c r="BD573" s="21"/>
      <c r="CN573" s="26"/>
      <c r="DB573" s="24"/>
      <c r="DD573" s="21"/>
      <c r="DE573" s="22"/>
      <c r="DG573" s="21"/>
      <c r="DK573" s="26"/>
      <c r="DL573" s="26"/>
      <c r="DM573" s="26"/>
      <c r="DN573" s="21"/>
      <c r="DO573" s="21"/>
      <c r="EF573" s="25"/>
      <c r="EG573" s="25"/>
      <c r="EY573" s="20"/>
    </row>
    <row r="574" spans="1:155">
      <c r="A574" s="21"/>
      <c r="B574" s="21"/>
      <c r="AA574" s="26"/>
      <c r="AB574" s="26"/>
      <c r="AC574" s="21"/>
      <c r="AD574" s="21"/>
      <c r="AY574" s="26"/>
      <c r="AZ574" s="26"/>
      <c r="BB574" s="26"/>
      <c r="BD574" s="21"/>
      <c r="CN574" s="26"/>
      <c r="DB574" s="24"/>
      <c r="DD574" s="21"/>
      <c r="DE574" s="22"/>
      <c r="DG574" s="21"/>
      <c r="DK574" s="26"/>
      <c r="DL574" s="26"/>
      <c r="DM574" s="26"/>
      <c r="DN574" s="21"/>
      <c r="DO574" s="21"/>
      <c r="EF574" s="25"/>
      <c r="EG574" s="25"/>
      <c r="EY574" s="20"/>
    </row>
    <row r="575" spans="1:155">
      <c r="A575" s="21"/>
      <c r="B575" s="21"/>
      <c r="AA575" s="26"/>
      <c r="AB575" s="26"/>
      <c r="AC575" s="21"/>
      <c r="AD575" s="21"/>
      <c r="AY575" s="26"/>
      <c r="AZ575" s="26"/>
      <c r="BB575" s="26"/>
      <c r="BD575" s="21"/>
      <c r="CN575" s="26"/>
      <c r="DB575" s="24"/>
      <c r="DD575" s="21"/>
      <c r="DE575" s="22"/>
      <c r="DG575" s="21"/>
      <c r="DK575" s="26"/>
      <c r="DL575" s="26"/>
      <c r="DM575" s="26"/>
      <c r="DN575" s="21"/>
      <c r="DO575" s="21"/>
      <c r="EF575" s="25"/>
      <c r="EG575" s="25"/>
      <c r="EY575" s="20"/>
    </row>
    <row r="576" spans="1:155">
      <c r="A576" s="21"/>
      <c r="B576" s="21"/>
      <c r="AA576" s="26"/>
      <c r="AB576" s="26"/>
      <c r="AC576" s="21"/>
      <c r="AD576" s="21"/>
      <c r="AY576" s="26"/>
      <c r="AZ576" s="26"/>
      <c r="BB576" s="26"/>
      <c r="BD576" s="21"/>
      <c r="CN576" s="26"/>
      <c r="DB576" s="24"/>
      <c r="DD576" s="21"/>
      <c r="DE576" s="22"/>
      <c r="DG576" s="21"/>
      <c r="DK576" s="26"/>
      <c r="DL576" s="26"/>
      <c r="DM576" s="26"/>
      <c r="DN576" s="21"/>
      <c r="DO576" s="21"/>
      <c r="EF576" s="25"/>
      <c r="EG576" s="25"/>
      <c r="EY576" s="20"/>
    </row>
    <row r="577" spans="1:155">
      <c r="A577" s="21"/>
      <c r="B577" s="21"/>
      <c r="AA577" s="26"/>
      <c r="AB577" s="26"/>
      <c r="AC577" s="21"/>
      <c r="AD577" s="21"/>
      <c r="AY577" s="26"/>
      <c r="AZ577" s="26"/>
      <c r="BB577" s="26"/>
      <c r="BD577" s="21"/>
      <c r="CN577" s="26"/>
      <c r="DB577" s="24"/>
      <c r="DD577" s="21"/>
      <c r="DE577" s="22"/>
      <c r="DG577" s="21"/>
      <c r="DK577" s="26"/>
      <c r="DL577" s="26"/>
      <c r="DM577" s="26"/>
      <c r="DN577" s="21"/>
      <c r="DO577" s="21"/>
      <c r="EF577" s="25"/>
      <c r="EG577" s="25"/>
      <c r="EY577" s="20"/>
    </row>
    <row r="578" spans="1:155">
      <c r="A578" s="21"/>
      <c r="B578" s="21"/>
      <c r="AA578" s="26"/>
      <c r="AB578" s="26"/>
      <c r="AC578" s="21"/>
      <c r="AD578" s="21"/>
      <c r="AY578" s="26"/>
      <c r="AZ578" s="26"/>
      <c r="BB578" s="26"/>
      <c r="BD578" s="21"/>
      <c r="CN578" s="26"/>
      <c r="DB578" s="24"/>
      <c r="DD578" s="21"/>
      <c r="DE578" s="22"/>
      <c r="DG578" s="21"/>
      <c r="DK578" s="26"/>
      <c r="DL578" s="26"/>
      <c r="DM578" s="26"/>
      <c r="DN578" s="21"/>
      <c r="DO578" s="21"/>
      <c r="EF578" s="25"/>
      <c r="EG578" s="25"/>
      <c r="EY578" s="20"/>
    </row>
    <row r="579" spans="1:155">
      <c r="A579" s="21"/>
      <c r="B579" s="21"/>
      <c r="AA579" s="26"/>
      <c r="AB579" s="26"/>
      <c r="AC579" s="21"/>
      <c r="AD579" s="21"/>
      <c r="AY579" s="26"/>
      <c r="AZ579" s="26"/>
      <c r="BB579" s="26"/>
      <c r="BD579" s="21"/>
      <c r="CN579" s="26"/>
      <c r="DB579" s="24"/>
      <c r="DD579" s="21"/>
      <c r="DE579" s="22"/>
      <c r="DG579" s="21"/>
      <c r="DK579" s="26"/>
      <c r="DL579" s="26"/>
      <c r="DM579" s="26"/>
      <c r="DN579" s="21"/>
      <c r="DO579" s="21"/>
      <c r="EF579" s="25"/>
      <c r="EG579" s="25"/>
      <c r="EY579" s="20"/>
    </row>
    <row r="580" spans="1:155">
      <c r="A580" s="21"/>
      <c r="B580" s="21"/>
      <c r="AA580" s="26"/>
      <c r="AB580" s="26"/>
      <c r="AC580" s="21"/>
      <c r="AD580" s="21"/>
      <c r="AY580" s="26"/>
      <c r="AZ580" s="26"/>
      <c r="BB580" s="26"/>
      <c r="BD580" s="21"/>
      <c r="CN580" s="26"/>
      <c r="DB580" s="24"/>
      <c r="DD580" s="21"/>
      <c r="DE580" s="22"/>
      <c r="DG580" s="21"/>
      <c r="DK580" s="26"/>
      <c r="DL580" s="26"/>
      <c r="DM580" s="26"/>
      <c r="DN580" s="21"/>
      <c r="DO580" s="21"/>
      <c r="EF580" s="25"/>
      <c r="EG580" s="25"/>
      <c r="EY580" s="20"/>
    </row>
    <row r="581" spans="1:155">
      <c r="A581" s="21"/>
      <c r="B581" s="21"/>
      <c r="AA581" s="26"/>
      <c r="AB581" s="26"/>
      <c r="AC581" s="21"/>
      <c r="AD581" s="21"/>
      <c r="AY581" s="26"/>
      <c r="AZ581" s="26"/>
      <c r="BB581" s="26"/>
      <c r="BD581" s="21"/>
      <c r="CN581" s="26"/>
      <c r="DB581" s="24"/>
      <c r="DD581" s="21"/>
      <c r="DE581" s="22"/>
      <c r="DG581" s="21"/>
      <c r="DK581" s="26"/>
      <c r="DL581" s="26"/>
      <c r="DM581" s="26"/>
      <c r="DN581" s="21"/>
      <c r="DO581" s="21"/>
      <c r="EF581" s="25"/>
      <c r="EG581" s="25"/>
      <c r="EY581" s="20"/>
    </row>
    <row r="582" spans="1:155">
      <c r="A582" s="21"/>
      <c r="B582" s="21"/>
      <c r="AA582" s="26"/>
      <c r="AB582" s="26"/>
      <c r="AC582" s="21"/>
      <c r="AD582" s="21"/>
      <c r="AY582" s="26"/>
      <c r="AZ582" s="26"/>
      <c r="BB582" s="26"/>
      <c r="BD582" s="21"/>
      <c r="CN582" s="26"/>
      <c r="DB582" s="24"/>
      <c r="DD582" s="21"/>
      <c r="DE582" s="22"/>
      <c r="DG582" s="21"/>
      <c r="DK582" s="26"/>
      <c r="DL582" s="26"/>
      <c r="DM582" s="26"/>
      <c r="DN582" s="21"/>
      <c r="DO582" s="21"/>
      <c r="EF582" s="25"/>
      <c r="EG582" s="25"/>
      <c r="EY582" s="20"/>
    </row>
    <row r="583" spans="1:155">
      <c r="A583" s="21"/>
      <c r="B583" s="21"/>
      <c r="AA583" s="26"/>
      <c r="AB583" s="26"/>
      <c r="AC583" s="21"/>
      <c r="AD583" s="21"/>
      <c r="AY583" s="26"/>
      <c r="AZ583" s="26"/>
      <c r="BB583" s="26"/>
      <c r="BD583" s="21"/>
      <c r="CN583" s="26"/>
      <c r="DB583" s="24"/>
      <c r="DD583" s="21"/>
      <c r="DE583" s="22"/>
      <c r="DG583" s="21"/>
      <c r="DK583" s="26"/>
      <c r="DL583" s="26"/>
      <c r="DM583" s="26"/>
      <c r="DN583" s="21"/>
      <c r="DO583" s="21"/>
      <c r="EF583" s="25"/>
      <c r="EG583" s="25"/>
      <c r="EY583" s="20"/>
    </row>
    <row r="584" spans="1:155">
      <c r="A584" s="21"/>
      <c r="B584" s="21"/>
      <c r="AA584" s="26"/>
      <c r="AB584" s="26"/>
      <c r="AC584" s="21"/>
      <c r="AD584" s="21"/>
      <c r="AY584" s="26"/>
      <c r="AZ584" s="26"/>
      <c r="BB584" s="26"/>
      <c r="BD584" s="21"/>
      <c r="CN584" s="26"/>
      <c r="DB584" s="24"/>
      <c r="DD584" s="21"/>
      <c r="DE584" s="22"/>
      <c r="DG584" s="21"/>
      <c r="DK584" s="26"/>
      <c r="DL584" s="26"/>
      <c r="DM584" s="26"/>
      <c r="DN584" s="21"/>
      <c r="DO584" s="21"/>
      <c r="EF584" s="25"/>
      <c r="EG584" s="25"/>
      <c r="EY584" s="20"/>
    </row>
    <row r="585" spans="1:155">
      <c r="A585" s="21"/>
      <c r="B585" s="21"/>
      <c r="AA585" s="26"/>
      <c r="AB585" s="26"/>
      <c r="AC585" s="21"/>
      <c r="AD585" s="21"/>
      <c r="AY585" s="26"/>
      <c r="AZ585" s="26"/>
      <c r="BB585" s="26"/>
      <c r="BD585" s="21"/>
      <c r="CN585" s="26"/>
      <c r="DB585" s="24"/>
      <c r="DD585" s="21"/>
      <c r="DE585" s="22"/>
      <c r="DG585" s="21"/>
      <c r="DK585" s="26"/>
      <c r="DL585" s="26"/>
      <c r="DM585" s="26"/>
      <c r="DN585" s="21"/>
      <c r="DO585" s="21"/>
      <c r="EF585" s="25"/>
      <c r="EG585" s="25"/>
      <c r="EY585" s="20"/>
    </row>
    <row r="586" spans="1:155">
      <c r="A586" s="21"/>
      <c r="B586" s="21"/>
      <c r="AA586" s="26"/>
      <c r="AB586" s="26"/>
      <c r="AC586" s="21"/>
      <c r="AD586" s="21"/>
      <c r="AY586" s="26"/>
      <c r="AZ586" s="26"/>
      <c r="BB586" s="26"/>
      <c r="BD586" s="21"/>
      <c r="CN586" s="26"/>
      <c r="DB586" s="24"/>
      <c r="DD586" s="21"/>
      <c r="DE586" s="22"/>
      <c r="DG586" s="21"/>
      <c r="DK586" s="26"/>
      <c r="DL586" s="26"/>
      <c r="DM586" s="26"/>
      <c r="DN586" s="21"/>
      <c r="DO586" s="21"/>
      <c r="EF586" s="25"/>
      <c r="EG586" s="25"/>
      <c r="EY586" s="20"/>
    </row>
    <row r="587" spans="1:155">
      <c r="A587" s="21"/>
      <c r="B587" s="21"/>
      <c r="AA587" s="26"/>
      <c r="AB587" s="26"/>
      <c r="AC587" s="21"/>
      <c r="AD587" s="21"/>
      <c r="AY587" s="26"/>
      <c r="AZ587" s="26"/>
      <c r="BB587" s="26"/>
      <c r="BD587" s="21"/>
      <c r="CN587" s="26"/>
      <c r="DB587" s="24"/>
      <c r="DD587" s="21"/>
      <c r="DE587" s="22"/>
      <c r="DG587" s="21"/>
      <c r="DK587" s="26"/>
      <c r="DL587" s="26"/>
      <c r="DM587" s="26"/>
      <c r="DN587" s="21"/>
      <c r="DO587" s="21"/>
      <c r="EF587" s="25"/>
      <c r="EG587" s="25"/>
      <c r="EY587" s="20"/>
    </row>
    <row r="588" spans="1:155">
      <c r="A588" s="21"/>
      <c r="B588" s="21"/>
      <c r="AA588" s="26"/>
      <c r="AB588" s="26"/>
      <c r="AC588" s="21"/>
      <c r="AD588" s="21"/>
      <c r="AY588" s="26"/>
      <c r="AZ588" s="26"/>
      <c r="BB588" s="26"/>
      <c r="BD588" s="21"/>
      <c r="CN588" s="26"/>
      <c r="DB588" s="24"/>
      <c r="DD588" s="21"/>
      <c r="DE588" s="22"/>
      <c r="DG588" s="21"/>
      <c r="DK588" s="26"/>
      <c r="DL588" s="26"/>
      <c r="DM588" s="26"/>
      <c r="DN588" s="21"/>
      <c r="DO588" s="21"/>
      <c r="EF588" s="25"/>
      <c r="EG588" s="25"/>
      <c r="EY588" s="20"/>
    </row>
    <row r="589" spans="1:155">
      <c r="A589" s="21"/>
      <c r="B589" s="21"/>
      <c r="AA589" s="26"/>
      <c r="AB589" s="26"/>
      <c r="AC589" s="21"/>
      <c r="AD589" s="21"/>
      <c r="AY589" s="26"/>
      <c r="AZ589" s="26"/>
      <c r="BB589" s="26"/>
      <c r="BD589" s="21"/>
      <c r="CN589" s="26"/>
      <c r="DB589" s="24"/>
      <c r="DD589" s="21"/>
      <c r="DE589" s="22"/>
      <c r="DG589" s="21"/>
      <c r="DK589" s="26"/>
      <c r="DL589" s="26"/>
      <c r="DM589" s="26"/>
      <c r="DN589" s="21"/>
      <c r="DO589" s="21"/>
      <c r="EF589" s="25"/>
      <c r="EG589" s="25"/>
      <c r="EY589" s="20"/>
    </row>
    <row r="590" spans="1:155">
      <c r="A590" s="21"/>
      <c r="B590" s="21"/>
      <c r="AA590" s="26"/>
      <c r="AB590" s="26"/>
      <c r="AC590" s="21"/>
      <c r="AD590" s="21"/>
      <c r="AY590" s="26"/>
      <c r="AZ590" s="26"/>
      <c r="BB590" s="26"/>
      <c r="BD590" s="21"/>
      <c r="CN590" s="26"/>
      <c r="DB590" s="24"/>
      <c r="DD590" s="21"/>
      <c r="DE590" s="22"/>
      <c r="DG590" s="21"/>
      <c r="DK590" s="26"/>
      <c r="DL590" s="26"/>
      <c r="DM590" s="26"/>
      <c r="DN590" s="21"/>
      <c r="DO590" s="21"/>
      <c r="EF590" s="25"/>
      <c r="EG590" s="25"/>
      <c r="EY590" s="20"/>
    </row>
    <row r="591" spans="1:155">
      <c r="A591" s="21"/>
      <c r="B591" s="21"/>
      <c r="AA591" s="26"/>
      <c r="AB591" s="26"/>
      <c r="AC591" s="21"/>
      <c r="AD591" s="21"/>
      <c r="AY591" s="26"/>
      <c r="AZ591" s="26"/>
      <c r="BB591" s="26"/>
      <c r="BD591" s="21"/>
      <c r="CN591" s="26"/>
      <c r="DB591" s="24"/>
      <c r="DD591" s="21"/>
      <c r="DE591" s="22"/>
      <c r="DG591" s="21"/>
      <c r="DK591" s="26"/>
      <c r="DL591" s="26"/>
      <c r="DM591" s="26"/>
      <c r="DN591" s="21"/>
      <c r="DO591" s="21"/>
      <c r="EF591" s="25"/>
      <c r="EG591" s="25"/>
      <c r="EY591" s="20"/>
    </row>
    <row r="592" spans="1:155">
      <c r="A592" s="21"/>
      <c r="B592" s="21"/>
      <c r="AA592" s="26"/>
      <c r="AB592" s="26"/>
      <c r="AC592" s="21"/>
      <c r="AD592" s="21"/>
      <c r="AY592" s="26"/>
      <c r="AZ592" s="26"/>
      <c r="BB592" s="26"/>
      <c r="BD592" s="21"/>
      <c r="CN592" s="26"/>
      <c r="DB592" s="24"/>
      <c r="DD592" s="21"/>
      <c r="DE592" s="22"/>
      <c r="DG592" s="21"/>
      <c r="DK592" s="26"/>
      <c r="DL592" s="26"/>
      <c r="DM592" s="26"/>
      <c r="DN592" s="21"/>
      <c r="DO592" s="21"/>
      <c r="EF592" s="25"/>
      <c r="EG592" s="25"/>
      <c r="EY592" s="20"/>
    </row>
    <row r="593" spans="1:155">
      <c r="A593" s="21"/>
      <c r="B593" s="21"/>
      <c r="AA593" s="26"/>
      <c r="AB593" s="26"/>
      <c r="AC593" s="21"/>
      <c r="AD593" s="21"/>
      <c r="AY593" s="26"/>
      <c r="AZ593" s="26"/>
      <c r="BB593" s="26"/>
      <c r="BD593" s="21"/>
      <c r="CN593" s="26"/>
      <c r="DB593" s="24"/>
      <c r="DD593" s="21"/>
      <c r="DE593" s="22"/>
      <c r="DG593" s="21"/>
      <c r="DK593" s="26"/>
      <c r="DL593" s="26"/>
      <c r="DM593" s="26"/>
      <c r="DN593" s="21"/>
      <c r="DO593" s="21"/>
      <c r="EF593" s="25"/>
      <c r="EG593" s="25"/>
      <c r="EY593" s="20"/>
    </row>
    <row r="594" spans="1:155">
      <c r="A594" s="21"/>
      <c r="B594" s="21"/>
      <c r="AA594" s="26"/>
      <c r="AB594" s="26"/>
      <c r="AC594" s="21"/>
      <c r="AD594" s="21"/>
      <c r="AY594" s="26"/>
      <c r="AZ594" s="26"/>
      <c r="BB594" s="26"/>
      <c r="BD594" s="21"/>
      <c r="CN594" s="26"/>
      <c r="DB594" s="24"/>
      <c r="DD594" s="21"/>
      <c r="DE594" s="22"/>
      <c r="DG594" s="21"/>
      <c r="DK594" s="26"/>
      <c r="DL594" s="26"/>
      <c r="DM594" s="26"/>
      <c r="DN594" s="21"/>
      <c r="DO594" s="21"/>
      <c r="EF594" s="25"/>
      <c r="EG594" s="25"/>
      <c r="EY594" s="20"/>
    </row>
    <row r="595" spans="1:155">
      <c r="A595" s="21"/>
      <c r="B595" s="21"/>
      <c r="AA595" s="26"/>
      <c r="AB595" s="26"/>
      <c r="AC595" s="21"/>
      <c r="AD595" s="21"/>
      <c r="AY595" s="26"/>
      <c r="AZ595" s="26"/>
      <c r="BB595" s="26"/>
      <c r="BD595" s="21"/>
      <c r="CN595" s="26"/>
      <c r="DB595" s="24"/>
      <c r="DD595" s="21"/>
      <c r="DE595" s="22"/>
      <c r="DG595" s="21"/>
      <c r="DK595" s="26"/>
      <c r="DL595" s="26"/>
      <c r="DM595" s="26"/>
      <c r="DN595" s="21"/>
      <c r="DO595" s="21"/>
      <c r="EF595" s="25"/>
      <c r="EG595" s="25"/>
      <c r="EY595" s="20"/>
    </row>
    <row r="596" spans="1:155">
      <c r="A596" s="21"/>
      <c r="B596" s="21"/>
      <c r="AA596" s="26"/>
      <c r="AB596" s="26"/>
      <c r="AC596" s="21"/>
      <c r="AD596" s="21"/>
      <c r="AY596" s="26"/>
      <c r="AZ596" s="26"/>
      <c r="BB596" s="26"/>
      <c r="BD596" s="21"/>
      <c r="CN596" s="26"/>
      <c r="DB596" s="24"/>
      <c r="DD596" s="21"/>
      <c r="DE596" s="22"/>
      <c r="DG596" s="21"/>
      <c r="DK596" s="26"/>
      <c r="DL596" s="26"/>
      <c r="DM596" s="26"/>
      <c r="DN596" s="21"/>
      <c r="DO596" s="21"/>
      <c r="EF596" s="25"/>
      <c r="EG596" s="25"/>
      <c r="EY596" s="20"/>
    </row>
    <row r="597" spans="1:155">
      <c r="A597" s="21"/>
      <c r="B597" s="21"/>
      <c r="AA597" s="26"/>
      <c r="AB597" s="26"/>
      <c r="AC597" s="21"/>
      <c r="AD597" s="21"/>
      <c r="AY597" s="26"/>
      <c r="AZ597" s="26"/>
      <c r="BB597" s="26"/>
      <c r="BD597" s="21"/>
      <c r="CN597" s="26"/>
      <c r="DB597" s="24"/>
      <c r="DD597" s="21"/>
      <c r="DE597" s="22"/>
      <c r="DG597" s="21"/>
      <c r="DK597" s="26"/>
      <c r="DL597" s="26"/>
      <c r="DM597" s="26"/>
      <c r="DN597" s="21"/>
      <c r="DO597" s="21"/>
      <c r="EF597" s="25"/>
      <c r="EG597" s="25"/>
      <c r="EY597" s="20"/>
    </row>
    <row r="598" spans="1:155">
      <c r="A598" s="21"/>
      <c r="B598" s="21"/>
      <c r="AA598" s="26"/>
      <c r="AB598" s="26"/>
      <c r="AC598" s="21"/>
      <c r="AD598" s="21"/>
      <c r="AY598" s="26"/>
      <c r="AZ598" s="26"/>
      <c r="BB598" s="26"/>
      <c r="BD598" s="21"/>
      <c r="CN598" s="26"/>
      <c r="DB598" s="24"/>
      <c r="DD598" s="21"/>
      <c r="DE598" s="22"/>
      <c r="DG598" s="21"/>
      <c r="DK598" s="26"/>
      <c r="DL598" s="26"/>
      <c r="DM598" s="26"/>
      <c r="DN598" s="21"/>
      <c r="DO598" s="21"/>
      <c r="EF598" s="25"/>
      <c r="EG598" s="25"/>
      <c r="EY598" s="20"/>
    </row>
    <row r="599" spans="1:155">
      <c r="A599" s="21"/>
      <c r="B599" s="21"/>
      <c r="AA599" s="26"/>
      <c r="AB599" s="26"/>
      <c r="AC599" s="21"/>
      <c r="AD599" s="21"/>
      <c r="AY599" s="26"/>
      <c r="AZ599" s="26"/>
      <c r="BB599" s="26"/>
      <c r="BD599" s="21"/>
      <c r="CN599" s="26"/>
      <c r="DB599" s="24"/>
      <c r="DD599" s="21"/>
      <c r="DE599" s="22"/>
      <c r="DG599" s="21"/>
      <c r="DK599" s="26"/>
      <c r="DL599" s="26"/>
      <c r="DM599" s="26"/>
      <c r="DN599" s="21"/>
      <c r="DO599" s="21"/>
      <c r="EF599" s="25"/>
      <c r="EG599" s="25"/>
      <c r="EY599" s="20"/>
    </row>
    <row r="600" spans="1:155">
      <c r="A600" s="21"/>
      <c r="B600" s="21"/>
      <c r="AA600" s="26"/>
      <c r="AB600" s="26"/>
      <c r="AC600" s="21"/>
      <c r="AD600" s="21"/>
      <c r="AY600" s="26"/>
      <c r="AZ600" s="26"/>
      <c r="BB600" s="26"/>
      <c r="BD600" s="21"/>
      <c r="CN600" s="26"/>
      <c r="DB600" s="24"/>
      <c r="DD600" s="21"/>
      <c r="DE600" s="22"/>
      <c r="DG600" s="21"/>
      <c r="DK600" s="26"/>
      <c r="DL600" s="26"/>
      <c r="DM600" s="26"/>
      <c r="DN600" s="21"/>
      <c r="DO600" s="21"/>
      <c r="EF600" s="25"/>
      <c r="EG600" s="25"/>
      <c r="EY600" s="20"/>
    </row>
    <row r="601" spans="1:155">
      <c r="A601" s="21"/>
      <c r="B601" s="21"/>
      <c r="AA601" s="26"/>
      <c r="AB601" s="26"/>
      <c r="AC601" s="21"/>
      <c r="AD601" s="21"/>
      <c r="AY601" s="26"/>
      <c r="AZ601" s="26"/>
      <c r="BB601" s="26"/>
      <c r="BD601" s="21"/>
      <c r="CN601" s="26"/>
      <c r="DB601" s="24"/>
      <c r="DD601" s="21"/>
      <c r="DE601" s="22"/>
      <c r="DG601" s="21"/>
      <c r="DK601" s="26"/>
      <c r="DL601" s="26"/>
      <c r="DM601" s="26"/>
      <c r="DN601" s="21"/>
      <c r="DO601" s="21"/>
      <c r="EF601" s="25"/>
      <c r="EG601" s="25"/>
      <c r="EY601" s="20"/>
    </row>
    <row r="602" spans="1:155">
      <c r="A602" s="21"/>
      <c r="B602" s="21"/>
      <c r="AA602" s="26"/>
      <c r="AB602" s="26"/>
      <c r="AC602" s="21"/>
      <c r="AD602" s="21"/>
      <c r="AY602" s="26"/>
      <c r="AZ602" s="26"/>
      <c r="BB602" s="26"/>
      <c r="BD602" s="21"/>
      <c r="CN602" s="26"/>
      <c r="DB602" s="24"/>
      <c r="DD602" s="21"/>
      <c r="DE602" s="22"/>
      <c r="DG602" s="21"/>
      <c r="DK602" s="26"/>
      <c r="DL602" s="26"/>
      <c r="DM602" s="26"/>
      <c r="DN602" s="21"/>
      <c r="DO602" s="21"/>
      <c r="EF602" s="25"/>
      <c r="EG602" s="25"/>
      <c r="EY602" s="20"/>
    </row>
    <row r="603" spans="1:155">
      <c r="A603" s="21"/>
      <c r="B603" s="21"/>
      <c r="AA603" s="26"/>
      <c r="AB603" s="26"/>
      <c r="AC603" s="21"/>
      <c r="AD603" s="21"/>
      <c r="AY603" s="26"/>
      <c r="AZ603" s="26"/>
      <c r="BB603" s="26"/>
      <c r="BD603" s="21"/>
      <c r="CN603" s="26"/>
      <c r="DB603" s="24"/>
      <c r="DD603" s="21"/>
      <c r="DE603" s="22"/>
      <c r="DG603" s="21"/>
      <c r="DK603" s="26"/>
      <c r="DL603" s="26"/>
      <c r="DM603" s="26"/>
      <c r="DN603" s="21"/>
      <c r="DO603" s="21"/>
      <c r="EF603" s="25"/>
      <c r="EG603" s="25"/>
      <c r="EY603" s="20"/>
    </row>
    <row r="604" spans="1:155">
      <c r="A604" s="21"/>
      <c r="B604" s="21"/>
      <c r="AA604" s="26"/>
      <c r="AB604" s="26"/>
      <c r="AC604" s="21"/>
      <c r="AD604" s="21"/>
      <c r="AY604" s="26"/>
      <c r="AZ604" s="26"/>
      <c r="BB604" s="26"/>
      <c r="BD604" s="21"/>
      <c r="CN604" s="26"/>
      <c r="DB604" s="24"/>
      <c r="DD604" s="21"/>
      <c r="DE604" s="22"/>
      <c r="DG604" s="21"/>
      <c r="DK604" s="26"/>
      <c r="DL604" s="26"/>
      <c r="DM604" s="26"/>
      <c r="DN604" s="21"/>
      <c r="DO604" s="21"/>
      <c r="EF604" s="25"/>
      <c r="EG604" s="25"/>
      <c r="EY604" s="20"/>
    </row>
    <row r="605" spans="1:155">
      <c r="A605" s="21"/>
      <c r="B605" s="21"/>
      <c r="AA605" s="26"/>
      <c r="AB605" s="26"/>
      <c r="AC605" s="21"/>
      <c r="AD605" s="21"/>
      <c r="AY605" s="26"/>
      <c r="AZ605" s="26"/>
      <c r="BB605" s="26"/>
      <c r="BD605" s="21"/>
      <c r="CN605" s="26"/>
      <c r="DB605" s="24"/>
      <c r="DD605" s="21"/>
      <c r="DE605" s="22"/>
      <c r="DG605" s="21"/>
      <c r="DK605" s="26"/>
      <c r="DL605" s="26"/>
      <c r="DM605" s="26"/>
      <c r="DN605" s="21"/>
      <c r="DO605" s="21"/>
      <c r="EF605" s="25"/>
      <c r="EG605" s="25"/>
      <c r="EY605" s="20"/>
    </row>
    <row r="606" spans="1:155">
      <c r="A606" s="21"/>
      <c r="B606" s="21"/>
      <c r="AA606" s="26"/>
      <c r="AB606" s="26"/>
      <c r="AC606" s="21"/>
      <c r="AD606" s="21"/>
      <c r="AY606" s="26"/>
      <c r="AZ606" s="26"/>
      <c r="BB606" s="26"/>
      <c r="BD606" s="21"/>
      <c r="CN606" s="26"/>
      <c r="DB606" s="24"/>
      <c r="DD606" s="21"/>
      <c r="DE606" s="22"/>
      <c r="DG606" s="21"/>
      <c r="DK606" s="26"/>
      <c r="DL606" s="26"/>
      <c r="DM606" s="26"/>
      <c r="DN606" s="21"/>
      <c r="DO606" s="21"/>
      <c r="EF606" s="25"/>
      <c r="EG606" s="25"/>
      <c r="EY606" s="20"/>
    </row>
    <row r="607" spans="1:155">
      <c r="A607" s="21"/>
      <c r="B607" s="21"/>
      <c r="AA607" s="26"/>
      <c r="AB607" s="26"/>
      <c r="AC607" s="21"/>
      <c r="AD607" s="21"/>
      <c r="AY607" s="26"/>
      <c r="AZ607" s="26"/>
      <c r="BB607" s="26"/>
      <c r="BD607" s="21"/>
      <c r="CN607" s="26"/>
      <c r="DB607" s="24"/>
      <c r="DD607" s="21"/>
      <c r="DE607" s="22"/>
      <c r="DG607" s="21"/>
      <c r="DK607" s="26"/>
      <c r="DL607" s="26"/>
      <c r="DM607" s="26"/>
      <c r="DN607" s="21"/>
      <c r="DO607" s="21"/>
      <c r="EF607" s="25"/>
      <c r="EG607" s="25"/>
      <c r="EY607" s="20"/>
    </row>
    <row r="608" spans="1:155">
      <c r="A608" s="21"/>
      <c r="B608" s="21"/>
      <c r="AA608" s="26"/>
      <c r="AB608" s="26"/>
      <c r="AC608" s="21"/>
      <c r="AD608" s="21"/>
      <c r="AY608" s="26"/>
      <c r="AZ608" s="26"/>
      <c r="BB608" s="26"/>
      <c r="BD608" s="21"/>
      <c r="CN608" s="26"/>
      <c r="DB608" s="24"/>
      <c r="DD608" s="21"/>
      <c r="DE608" s="22"/>
      <c r="DG608" s="21"/>
      <c r="DK608" s="26"/>
      <c r="DL608" s="26"/>
      <c r="DM608" s="26"/>
      <c r="DN608" s="21"/>
      <c r="DO608" s="21"/>
      <c r="EF608" s="25"/>
      <c r="EG608" s="25"/>
      <c r="EY608" s="20"/>
    </row>
    <row r="609" spans="1:155">
      <c r="A609" s="21"/>
      <c r="B609" s="21"/>
      <c r="AA609" s="26"/>
      <c r="AB609" s="26"/>
      <c r="AC609" s="21"/>
      <c r="AD609" s="21"/>
      <c r="AY609" s="26"/>
      <c r="AZ609" s="26"/>
      <c r="BB609" s="26"/>
      <c r="BD609" s="21"/>
      <c r="CN609" s="26"/>
      <c r="DB609" s="24"/>
      <c r="DD609" s="21"/>
      <c r="DE609" s="22"/>
      <c r="DG609" s="21"/>
      <c r="DK609" s="26"/>
      <c r="DL609" s="26"/>
      <c r="DM609" s="26"/>
      <c r="DN609" s="21"/>
      <c r="DO609" s="21"/>
      <c r="EF609" s="25"/>
      <c r="EG609" s="25"/>
      <c r="EY609" s="20"/>
    </row>
    <row r="610" spans="1:155">
      <c r="A610" s="21"/>
      <c r="B610" s="21"/>
      <c r="AA610" s="26"/>
      <c r="AB610" s="26"/>
      <c r="AC610" s="21"/>
      <c r="AD610" s="21"/>
      <c r="AY610" s="26"/>
      <c r="AZ610" s="26"/>
      <c r="BB610" s="26"/>
      <c r="BD610" s="21"/>
      <c r="CN610" s="26"/>
      <c r="DB610" s="24"/>
      <c r="DD610" s="21"/>
      <c r="DE610" s="22"/>
      <c r="DG610" s="21"/>
      <c r="DK610" s="26"/>
      <c r="DL610" s="26"/>
      <c r="DM610" s="26"/>
      <c r="DN610" s="21"/>
      <c r="DO610" s="21"/>
      <c r="EF610" s="25"/>
      <c r="EG610" s="25"/>
      <c r="EY610" s="20"/>
    </row>
    <row r="611" spans="1:155">
      <c r="A611" s="21"/>
      <c r="B611" s="21"/>
      <c r="AA611" s="26"/>
      <c r="AB611" s="26"/>
      <c r="AC611" s="21"/>
      <c r="AD611" s="21"/>
      <c r="AY611" s="26"/>
      <c r="AZ611" s="26"/>
      <c r="BB611" s="26"/>
      <c r="BD611" s="21"/>
      <c r="CN611" s="26"/>
      <c r="DB611" s="24"/>
      <c r="DD611" s="21"/>
      <c r="DE611" s="22"/>
      <c r="DG611" s="21"/>
      <c r="DK611" s="26"/>
      <c r="DL611" s="26"/>
      <c r="DM611" s="26"/>
      <c r="DN611" s="21"/>
      <c r="DO611" s="21"/>
      <c r="EF611" s="25"/>
      <c r="EG611" s="25"/>
      <c r="EY611" s="20"/>
    </row>
    <row r="612" spans="1:155">
      <c r="A612" s="21"/>
      <c r="B612" s="21"/>
      <c r="AA612" s="26"/>
      <c r="AB612" s="26"/>
      <c r="AC612" s="21"/>
      <c r="AD612" s="21"/>
      <c r="AY612" s="26"/>
      <c r="AZ612" s="26"/>
      <c r="BB612" s="26"/>
      <c r="BD612" s="21"/>
      <c r="CN612" s="26"/>
      <c r="DB612" s="24"/>
      <c r="DD612" s="21"/>
      <c r="DE612" s="22"/>
      <c r="DG612" s="21"/>
      <c r="DK612" s="26"/>
      <c r="DL612" s="26"/>
      <c r="DM612" s="26"/>
      <c r="DN612" s="21"/>
      <c r="DO612" s="21"/>
      <c r="EF612" s="25"/>
      <c r="EG612" s="25"/>
      <c r="EY612" s="20"/>
    </row>
    <row r="613" spans="1:155">
      <c r="A613" s="21"/>
      <c r="B613" s="21"/>
      <c r="AA613" s="26"/>
      <c r="AB613" s="26"/>
      <c r="AC613" s="21"/>
      <c r="AD613" s="21"/>
      <c r="AY613" s="26"/>
      <c r="AZ613" s="26"/>
      <c r="BB613" s="26"/>
      <c r="BD613" s="21"/>
      <c r="CN613" s="26"/>
      <c r="DB613" s="24"/>
      <c r="DD613" s="21"/>
      <c r="DE613" s="22"/>
      <c r="DG613" s="21"/>
      <c r="DK613" s="26"/>
      <c r="DL613" s="26"/>
      <c r="DM613" s="26"/>
      <c r="DN613" s="21"/>
      <c r="DO613" s="21"/>
      <c r="EF613" s="25"/>
      <c r="EG613" s="25"/>
      <c r="EY613" s="20"/>
    </row>
    <row r="614" spans="1:155">
      <c r="A614" s="21"/>
      <c r="B614" s="21"/>
      <c r="AA614" s="26"/>
      <c r="AB614" s="26"/>
      <c r="AC614" s="21"/>
      <c r="AD614" s="21"/>
      <c r="AY614" s="26"/>
      <c r="AZ614" s="26"/>
      <c r="BB614" s="26"/>
      <c r="BD614" s="21"/>
      <c r="CN614" s="26"/>
      <c r="DB614" s="24"/>
      <c r="DD614" s="21"/>
      <c r="DE614" s="22"/>
      <c r="DG614" s="21"/>
      <c r="DK614" s="26"/>
      <c r="DL614" s="26"/>
      <c r="DM614" s="26"/>
      <c r="DN614" s="21"/>
      <c r="DO614" s="21"/>
      <c r="EF614" s="25"/>
      <c r="EG614" s="25"/>
      <c r="EY614" s="20"/>
    </row>
    <row r="615" spans="1:155">
      <c r="A615" s="21"/>
      <c r="B615" s="21"/>
      <c r="AA615" s="26"/>
      <c r="AB615" s="26"/>
      <c r="AC615" s="21"/>
      <c r="AD615" s="21"/>
      <c r="AY615" s="26"/>
      <c r="AZ615" s="26"/>
      <c r="BB615" s="26"/>
      <c r="BD615" s="21"/>
      <c r="CN615" s="26"/>
      <c r="DB615" s="24"/>
      <c r="DD615" s="21"/>
      <c r="DE615" s="22"/>
      <c r="DG615" s="21"/>
      <c r="DK615" s="26"/>
      <c r="DL615" s="26"/>
      <c r="DM615" s="26"/>
      <c r="DN615" s="21"/>
      <c r="DO615" s="21"/>
      <c r="EF615" s="25"/>
      <c r="EG615" s="25"/>
      <c r="EY615" s="20"/>
    </row>
    <row r="616" spans="1:155">
      <c r="A616" s="21"/>
      <c r="B616" s="21"/>
      <c r="AA616" s="26"/>
      <c r="AB616" s="26"/>
      <c r="AC616" s="21"/>
      <c r="AD616" s="21"/>
      <c r="AY616" s="26"/>
      <c r="AZ616" s="26"/>
      <c r="BB616" s="26"/>
      <c r="BD616" s="21"/>
      <c r="CN616" s="26"/>
      <c r="DB616" s="24"/>
      <c r="DD616" s="21"/>
      <c r="DE616" s="22"/>
      <c r="DG616" s="21"/>
      <c r="DK616" s="26"/>
      <c r="DL616" s="26"/>
      <c r="DM616" s="26"/>
      <c r="DN616" s="21"/>
      <c r="DO616" s="21"/>
      <c r="EF616" s="25"/>
      <c r="EG616" s="25"/>
      <c r="EY616" s="20"/>
    </row>
    <row r="617" spans="1:155">
      <c r="A617" s="21"/>
      <c r="B617" s="21"/>
      <c r="AA617" s="26"/>
      <c r="AB617" s="26"/>
      <c r="AC617" s="21"/>
      <c r="AD617" s="21"/>
      <c r="AY617" s="26"/>
      <c r="AZ617" s="26"/>
      <c r="BB617" s="26"/>
      <c r="BD617" s="21"/>
      <c r="CN617" s="26"/>
      <c r="DB617" s="24"/>
      <c r="DD617" s="21"/>
      <c r="DE617" s="22"/>
      <c r="DG617" s="21"/>
      <c r="DK617" s="26"/>
      <c r="DL617" s="26"/>
      <c r="DM617" s="26"/>
      <c r="DN617" s="21"/>
      <c r="DO617" s="21"/>
      <c r="EF617" s="25"/>
      <c r="EG617" s="25"/>
      <c r="EY617" s="20"/>
    </row>
    <row r="618" spans="1:155">
      <c r="A618" s="21"/>
      <c r="B618" s="21"/>
      <c r="AA618" s="26"/>
      <c r="AB618" s="26"/>
      <c r="AC618" s="21"/>
      <c r="AD618" s="21"/>
      <c r="AY618" s="26"/>
      <c r="AZ618" s="26"/>
      <c r="BB618" s="26"/>
      <c r="BD618" s="21"/>
      <c r="CN618" s="26"/>
      <c r="DB618" s="24"/>
      <c r="DD618" s="21"/>
      <c r="DE618" s="22"/>
      <c r="DG618" s="21"/>
      <c r="DK618" s="26"/>
      <c r="DL618" s="26"/>
      <c r="DM618" s="26"/>
      <c r="DN618" s="21"/>
      <c r="DO618" s="21"/>
      <c r="EF618" s="25"/>
      <c r="EG618" s="25"/>
      <c r="EY618" s="20"/>
    </row>
    <row r="619" spans="1:155">
      <c r="A619" s="21"/>
      <c r="B619" s="21"/>
      <c r="AA619" s="26"/>
      <c r="AB619" s="26"/>
      <c r="AC619" s="21"/>
      <c r="AD619" s="21"/>
      <c r="AY619" s="26"/>
      <c r="AZ619" s="26"/>
      <c r="BB619" s="26"/>
      <c r="BD619" s="21"/>
      <c r="CN619" s="26"/>
      <c r="DB619" s="24"/>
      <c r="DD619" s="21"/>
      <c r="DE619" s="22"/>
      <c r="DG619" s="21"/>
      <c r="DK619" s="26"/>
      <c r="DL619" s="26"/>
      <c r="DM619" s="26"/>
      <c r="DN619" s="21"/>
      <c r="DO619" s="21"/>
      <c r="EF619" s="25"/>
      <c r="EG619" s="25"/>
      <c r="EY619" s="20"/>
    </row>
    <row r="620" spans="1:155">
      <c r="A620" s="21"/>
      <c r="B620" s="21"/>
      <c r="AA620" s="26"/>
      <c r="AB620" s="26"/>
      <c r="AC620" s="21"/>
      <c r="AD620" s="21"/>
      <c r="AY620" s="26"/>
      <c r="AZ620" s="26"/>
      <c r="BB620" s="26"/>
      <c r="BD620" s="21"/>
      <c r="CN620" s="26"/>
      <c r="DB620" s="24"/>
      <c r="DD620" s="21"/>
      <c r="DE620" s="22"/>
      <c r="DG620" s="21"/>
      <c r="DK620" s="26"/>
      <c r="DL620" s="26"/>
      <c r="DM620" s="26"/>
      <c r="DN620" s="21"/>
      <c r="DO620" s="21"/>
      <c r="EF620" s="25"/>
      <c r="EG620" s="25"/>
      <c r="EY620" s="20"/>
    </row>
    <row r="621" spans="1:155">
      <c r="A621" s="21"/>
      <c r="B621" s="21"/>
      <c r="AA621" s="26"/>
      <c r="AB621" s="26"/>
      <c r="AC621" s="21"/>
      <c r="AD621" s="21"/>
      <c r="AY621" s="26"/>
      <c r="AZ621" s="26"/>
      <c r="BB621" s="26"/>
      <c r="BD621" s="21"/>
      <c r="CN621" s="26"/>
      <c r="DB621" s="24"/>
      <c r="DD621" s="21"/>
      <c r="DE621" s="22"/>
      <c r="DG621" s="21"/>
      <c r="DK621" s="26"/>
      <c r="DL621" s="26"/>
      <c r="DM621" s="26"/>
      <c r="DN621" s="21"/>
      <c r="DO621" s="21"/>
      <c r="EF621" s="25"/>
      <c r="EG621" s="25"/>
      <c r="EY621" s="20"/>
    </row>
    <row r="622" spans="1:155">
      <c r="A622" s="21"/>
      <c r="B622" s="21"/>
      <c r="AA622" s="26"/>
      <c r="AB622" s="26"/>
      <c r="AC622" s="21"/>
      <c r="AD622" s="21"/>
      <c r="AY622" s="26"/>
      <c r="AZ622" s="26"/>
      <c r="BB622" s="26"/>
      <c r="BD622" s="21"/>
      <c r="CN622" s="26"/>
      <c r="DB622" s="24"/>
      <c r="DD622" s="21"/>
      <c r="DE622" s="22"/>
      <c r="DG622" s="21"/>
      <c r="DK622" s="26"/>
      <c r="DL622" s="26"/>
      <c r="DM622" s="26"/>
      <c r="DN622" s="21"/>
      <c r="DO622" s="21"/>
      <c r="EF622" s="25"/>
      <c r="EG622" s="25"/>
      <c r="EY622" s="20"/>
    </row>
    <row r="623" spans="1:155">
      <c r="A623" s="21"/>
      <c r="B623" s="21"/>
      <c r="AA623" s="26"/>
      <c r="AB623" s="26"/>
      <c r="AC623" s="21"/>
      <c r="AD623" s="21"/>
      <c r="AY623" s="26"/>
      <c r="AZ623" s="26"/>
      <c r="BB623" s="26"/>
      <c r="BD623" s="21"/>
      <c r="CN623" s="26"/>
      <c r="DB623" s="24"/>
      <c r="DD623" s="21"/>
      <c r="DE623" s="22"/>
      <c r="DG623" s="21"/>
      <c r="DK623" s="26"/>
      <c r="DL623" s="26"/>
      <c r="DM623" s="26"/>
      <c r="DN623" s="21"/>
      <c r="DO623" s="21"/>
      <c r="EF623" s="25"/>
      <c r="EG623" s="25"/>
      <c r="EY623" s="20"/>
    </row>
    <row r="624" spans="1:155">
      <c r="A624" s="21"/>
      <c r="B624" s="21"/>
      <c r="AA624" s="26"/>
      <c r="AB624" s="26"/>
      <c r="AC624" s="21"/>
      <c r="AD624" s="21"/>
      <c r="AY624" s="26"/>
      <c r="AZ624" s="26"/>
      <c r="BB624" s="26"/>
      <c r="BD624" s="21"/>
      <c r="CN624" s="26"/>
      <c r="DB624" s="24"/>
      <c r="DD624" s="21"/>
      <c r="DE624" s="22"/>
      <c r="DG624" s="21"/>
      <c r="DK624" s="26"/>
      <c r="DL624" s="26"/>
      <c r="DM624" s="26"/>
      <c r="DN624" s="21"/>
      <c r="DO624" s="21"/>
      <c r="EF624" s="25"/>
      <c r="EG624" s="25"/>
      <c r="EY624" s="20"/>
    </row>
    <row r="625" spans="1:155">
      <c r="A625" s="21"/>
      <c r="B625" s="21"/>
      <c r="AA625" s="26"/>
      <c r="AB625" s="26"/>
      <c r="AC625" s="21"/>
      <c r="AD625" s="21"/>
      <c r="AY625" s="26"/>
      <c r="AZ625" s="26"/>
      <c r="BB625" s="26"/>
      <c r="BD625" s="21"/>
      <c r="CN625" s="26"/>
      <c r="DB625" s="24"/>
      <c r="DD625" s="21"/>
      <c r="DE625" s="22"/>
      <c r="DG625" s="21"/>
      <c r="DK625" s="26"/>
      <c r="DL625" s="26"/>
      <c r="DM625" s="26"/>
      <c r="DN625" s="21"/>
      <c r="DO625" s="21"/>
      <c r="EF625" s="25"/>
      <c r="EG625" s="25"/>
      <c r="EY625" s="20"/>
    </row>
    <row r="626" spans="1:155">
      <c r="A626" s="21"/>
      <c r="B626" s="21"/>
      <c r="AA626" s="26"/>
      <c r="AB626" s="26"/>
      <c r="AC626" s="21"/>
      <c r="AD626" s="21"/>
      <c r="AY626" s="26"/>
      <c r="AZ626" s="26"/>
      <c r="BB626" s="26"/>
      <c r="BD626" s="21"/>
      <c r="CN626" s="26"/>
      <c r="DB626" s="24"/>
      <c r="DD626" s="21"/>
      <c r="DE626" s="22"/>
      <c r="DG626" s="21"/>
      <c r="DK626" s="26"/>
      <c r="DL626" s="26"/>
      <c r="DM626" s="26"/>
      <c r="DN626" s="21"/>
      <c r="DO626" s="21"/>
      <c r="EF626" s="25"/>
      <c r="EG626" s="25"/>
      <c r="EY626" s="20"/>
    </row>
    <row r="627" spans="1:155">
      <c r="A627" s="21"/>
      <c r="B627" s="21"/>
      <c r="AA627" s="26"/>
      <c r="AB627" s="26"/>
      <c r="AC627" s="21"/>
      <c r="AD627" s="21"/>
      <c r="AY627" s="26"/>
      <c r="AZ627" s="26"/>
      <c r="BB627" s="26"/>
      <c r="BD627" s="21"/>
      <c r="CN627" s="26"/>
      <c r="DB627" s="24"/>
      <c r="DD627" s="21"/>
      <c r="DE627" s="22"/>
      <c r="DG627" s="21"/>
      <c r="DK627" s="26"/>
      <c r="DL627" s="26"/>
      <c r="DM627" s="26"/>
      <c r="DN627" s="21"/>
      <c r="DO627" s="21"/>
      <c r="EF627" s="25"/>
      <c r="EG627" s="25"/>
      <c r="EY627" s="20"/>
    </row>
    <row r="628" spans="1:155">
      <c r="A628" s="21"/>
      <c r="B628" s="21"/>
      <c r="AA628" s="26"/>
      <c r="AB628" s="26"/>
      <c r="AC628" s="21"/>
      <c r="AD628" s="21"/>
      <c r="AY628" s="26"/>
      <c r="AZ628" s="26"/>
      <c r="BB628" s="26"/>
      <c r="BD628" s="21"/>
      <c r="CN628" s="26"/>
      <c r="DB628" s="24"/>
      <c r="DD628" s="21"/>
      <c r="DE628" s="22"/>
      <c r="DG628" s="21"/>
      <c r="DK628" s="26"/>
      <c r="DL628" s="26"/>
      <c r="DM628" s="26"/>
      <c r="DN628" s="21"/>
      <c r="DO628" s="21"/>
      <c r="EF628" s="25"/>
      <c r="EG628" s="25"/>
      <c r="EY628" s="20"/>
    </row>
    <row r="629" spans="1:155">
      <c r="A629" s="21"/>
      <c r="B629" s="21"/>
      <c r="AA629" s="26"/>
      <c r="AB629" s="26"/>
      <c r="AC629" s="21"/>
      <c r="AD629" s="21"/>
      <c r="AY629" s="26"/>
      <c r="AZ629" s="26"/>
      <c r="BB629" s="26"/>
      <c r="BD629" s="21"/>
      <c r="CN629" s="26"/>
      <c r="DB629" s="24"/>
      <c r="DD629" s="21"/>
      <c r="DE629" s="22"/>
      <c r="DG629" s="21"/>
      <c r="DK629" s="26"/>
      <c r="DL629" s="26"/>
      <c r="DM629" s="26"/>
      <c r="DN629" s="21"/>
      <c r="DO629" s="21"/>
      <c r="EF629" s="25"/>
      <c r="EG629" s="25"/>
      <c r="EY629" s="20"/>
    </row>
    <row r="630" spans="1:155">
      <c r="A630" s="21"/>
      <c r="B630" s="21"/>
      <c r="AA630" s="26"/>
      <c r="AB630" s="26"/>
      <c r="AC630" s="21"/>
      <c r="AD630" s="21"/>
      <c r="AY630" s="26"/>
      <c r="AZ630" s="26"/>
      <c r="BB630" s="26"/>
      <c r="BD630" s="21"/>
      <c r="CN630" s="26"/>
      <c r="DB630" s="24"/>
      <c r="DD630" s="21"/>
      <c r="DE630" s="22"/>
      <c r="DG630" s="21"/>
      <c r="DK630" s="26"/>
      <c r="DL630" s="26"/>
      <c r="DM630" s="26"/>
      <c r="DN630" s="21"/>
      <c r="DO630" s="21"/>
      <c r="EF630" s="25"/>
      <c r="EG630" s="25"/>
      <c r="EY630" s="20"/>
    </row>
    <row r="631" spans="1:155">
      <c r="A631" s="21"/>
      <c r="B631" s="21"/>
      <c r="AA631" s="26"/>
      <c r="AB631" s="26"/>
      <c r="AC631" s="21"/>
      <c r="AD631" s="21"/>
      <c r="AY631" s="26"/>
      <c r="AZ631" s="26"/>
      <c r="BB631" s="26"/>
      <c r="BD631" s="21"/>
      <c r="CN631" s="26"/>
      <c r="DB631" s="24"/>
      <c r="DD631" s="21"/>
      <c r="DE631" s="22"/>
      <c r="DG631" s="21"/>
      <c r="DK631" s="26"/>
      <c r="DL631" s="26"/>
      <c r="DM631" s="26"/>
      <c r="DN631" s="21"/>
      <c r="DO631" s="21"/>
      <c r="EF631" s="25"/>
      <c r="EG631" s="25"/>
      <c r="EY631" s="20"/>
    </row>
    <row r="632" spans="1:155">
      <c r="A632" s="21"/>
      <c r="B632" s="21"/>
      <c r="AA632" s="26"/>
      <c r="AB632" s="26"/>
      <c r="AC632" s="21"/>
      <c r="AD632" s="21"/>
      <c r="AY632" s="26"/>
      <c r="AZ632" s="26"/>
      <c r="BB632" s="26"/>
      <c r="BD632" s="21"/>
      <c r="CN632" s="26"/>
      <c r="DB632" s="24"/>
      <c r="DD632" s="21"/>
      <c r="DE632" s="22"/>
      <c r="DG632" s="21"/>
      <c r="DK632" s="26"/>
      <c r="DL632" s="26"/>
      <c r="DM632" s="26"/>
      <c r="DN632" s="21"/>
      <c r="DO632" s="21"/>
      <c r="EF632" s="25"/>
      <c r="EG632" s="25"/>
      <c r="EY632" s="20"/>
    </row>
    <row r="633" spans="1:155">
      <c r="A633" s="21"/>
      <c r="B633" s="21"/>
      <c r="AA633" s="26"/>
      <c r="AB633" s="26"/>
      <c r="AC633" s="21"/>
      <c r="AD633" s="21"/>
      <c r="AY633" s="26"/>
      <c r="AZ633" s="26"/>
      <c r="BB633" s="26"/>
      <c r="BD633" s="21"/>
      <c r="CN633" s="26"/>
      <c r="DB633" s="24"/>
      <c r="DD633" s="21"/>
      <c r="DE633" s="22"/>
      <c r="DG633" s="21"/>
      <c r="DK633" s="26"/>
      <c r="DL633" s="26"/>
      <c r="DM633" s="26"/>
      <c r="DN633" s="21"/>
      <c r="DO633" s="21"/>
      <c r="EF633" s="25"/>
      <c r="EG633" s="25"/>
      <c r="EY633" s="20"/>
    </row>
    <row r="634" spans="1:155">
      <c r="A634" s="21"/>
      <c r="B634" s="21"/>
      <c r="AA634" s="26"/>
      <c r="AB634" s="26"/>
      <c r="AC634" s="21"/>
      <c r="AD634" s="21"/>
      <c r="AY634" s="26"/>
      <c r="AZ634" s="26"/>
      <c r="BB634" s="26"/>
      <c r="BD634" s="21"/>
      <c r="CN634" s="26"/>
      <c r="DB634" s="24"/>
      <c r="DD634" s="21"/>
      <c r="DE634" s="22"/>
      <c r="DG634" s="21"/>
      <c r="DK634" s="26"/>
      <c r="DL634" s="26"/>
      <c r="DM634" s="26"/>
      <c r="DN634" s="21"/>
      <c r="DO634" s="21"/>
      <c r="EF634" s="25"/>
      <c r="EG634" s="25"/>
      <c r="EY634" s="20"/>
    </row>
    <row r="635" spans="1:155">
      <c r="A635" s="21"/>
      <c r="B635" s="21"/>
      <c r="AA635" s="26"/>
      <c r="AB635" s="26"/>
      <c r="AC635" s="21"/>
      <c r="AD635" s="21"/>
      <c r="AY635" s="26"/>
      <c r="AZ635" s="26"/>
      <c r="BB635" s="26"/>
      <c r="BD635" s="21"/>
      <c r="CN635" s="26"/>
      <c r="DB635" s="24"/>
      <c r="DD635" s="21"/>
      <c r="DE635" s="22"/>
      <c r="DG635" s="21"/>
      <c r="DK635" s="26"/>
      <c r="DL635" s="26"/>
      <c r="DM635" s="26"/>
      <c r="DN635" s="21"/>
      <c r="DO635" s="21"/>
      <c r="EF635" s="25"/>
      <c r="EG635" s="25"/>
      <c r="EY635" s="20"/>
    </row>
    <row r="636" spans="1:155">
      <c r="A636" s="21"/>
      <c r="B636" s="21"/>
      <c r="AA636" s="26"/>
      <c r="AB636" s="26"/>
      <c r="AC636" s="21"/>
      <c r="AD636" s="21"/>
      <c r="AY636" s="26"/>
      <c r="AZ636" s="26"/>
      <c r="BB636" s="26"/>
      <c r="BD636" s="21"/>
      <c r="CN636" s="26"/>
      <c r="DB636" s="24"/>
      <c r="DD636" s="21"/>
      <c r="DE636" s="22"/>
      <c r="DG636" s="21"/>
      <c r="DK636" s="26"/>
      <c r="DL636" s="26"/>
      <c r="DM636" s="26"/>
      <c r="DN636" s="21"/>
      <c r="DO636" s="21"/>
      <c r="EF636" s="25"/>
      <c r="EG636" s="25"/>
      <c r="EY636" s="20"/>
    </row>
    <row r="637" spans="1:155">
      <c r="A637" s="21"/>
      <c r="B637" s="21"/>
      <c r="AA637" s="26"/>
      <c r="AB637" s="26"/>
      <c r="AC637" s="21"/>
      <c r="AD637" s="21"/>
      <c r="AY637" s="26"/>
      <c r="AZ637" s="26"/>
      <c r="BB637" s="26"/>
      <c r="BD637" s="21"/>
      <c r="CN637" s="26"/>
      <c r="DB637" s="24"/>
      <c r="DD637" s="21"/>
      <c r="DE637" s="22"/>
      <c r="DG637" s="21"/>
      <c r="DK637" s="26"/>
      <c r="DL637" s="26"/>
      <c r="DM637" s="26"/>
      <c r="DN637" s="21"/>
      <c r="DO637" s="21"/>
      <c r="EF637" s="25"/>
      <c r="EG637" s="25"/>
      <c r="EY637" s="20"/>
    </row>
    <row r="638" spans="1:155">
      <c r="A638" s="21"/>
      <c r="B638" s="21"/>
      <c r="AA638" s="26"/>
      <c r="AB638" s="26"/>
      <c r="AC638" s="21"/>
      <c r="AD638" s="21"/>
      <c r="AY638" s="26"/>
      <c r="AZ638" s="26"/>
      <c r="BB638" s="26"/>
      <c r="BD638" s="21"/>
      <c r="CN638" s="26"/>
      <c r="DB638" s="24"/>
      <c r="DD638" s="21"/>
      <c r="DE638" s="22"/>
      <c r="DG638" s="21"/>
      <c r="DK638" s="26"/>
      <c r="DL638" s="26"/>
      <c r="DM638" s="26"/>
      <c r="DN638" s="21"/>
      <c r="DO638" s="21"/>
      <c r="EF638" s="25"/>
      <c r="EG638" s="25"/>
      <c r="EY638" s="20"/>
    </row>
    <row r="639" spans="1:155">
      <c r="A639" s="21"/>
      <c r="B639" s="21"/>
      <c r="AA639" s="26"/>
      <c r="AB639" s="26"/>
      <c r="AC639" s="21"/>
      <c r="AD639" s="21"/>
      <c r="AY639" s="26"/>
      <c r="AZ639" s="26"/>
      <c r="BB639" s="26"/>
      <c r="BD639" s="21"/>
      <c r="CN639" s="26"/>
      <c r="DB639" s="24"/>
      <c r="DD639" s="21"/>
      <c r="DE639" s="22"/>
      <c r="DG639" s="21"/>
      <c r="DK639" s="26"/>
      <c r="DL639" s="26"/>
      <c r="DM639" s="26"/>
      <c r="DN639" s="21"/>
      <c r="DO639" s="21"/>
      <c r="EF639" s="25"/>
      <c r="EG639" s="25"/>
      <c r="EY639" s="20"/>
    </row>
    <row r="640" spans="1:155">
      <c r="A640" s="21"/>
      <c r="B640" s="21"/>
      <c r="AA640" s="26"/>
      <c r="AB640" s="26"/>
      <c r="AC640" s="21"/>
      <c r="AD640" s="21"/>
      <c r="AY640" s="26"/>
      <c r="AZ640" s="26"/>
      <c r="BB640" s="26"/>
      <c r="BD640" s="21"/>
      <c r="CN640" s="26"/>
      <c r="DB640" s="24"/>
      <c r="DD640" s="21"/>
      <c r="DE640" s="22"/>
      <c r="DG640" s="21"/>
      <c r="DK640" s="26"/>
      <c r="DL640" s="26"/>
      <c r="DM640" s="26"/>
      <c r="DN640" s="21"/>
      <c r="DO640" s="21"/>
      <c r="EF640" s="25"/>
      <c r="EG640" s="25"/>
      <c r="EY640" s="20"/>
    </row>
    <row r="641" spans="1:155">
      <c r="A641" s="21"/>
      <c r="B641" s="21"/>
      <c r="AA641" s="26"/>
      <c r="AB641" s="26"/>
      <c r="AC641" s="21"/>
      <c r="AD641" s="21"/>
      <c r="AY641" s="26"/>
      <c r="AZ641" s="26"/>
      <c r="BB641" s="26"/>
      <c r="BD641" s="21"/>
      <c r="CN641" s="26"/>
      <c r="DB641" s="24"/>
      <c r="DD641" s="21"/>
      <c r="DE641" s="22"/>
      <c r="DG641" s="21"/>
      <c r="DK641" s="26"/>
      <c r="DL641" s="26"/>
      <c r="DM641" s="26"/>
      <c r="DN641" s="21"/>
      <c r="DO641" s="21"/>
      <c r="EF641" s="25"/>
      <c r="EG641" s="25"/>
      <c r="EY641" s="20"/>
    </row>
    <row r="642" spans="1:155">
      <c r="A642" s="21"/>
      <c r="B642" s="21"/>
      <c r="AA642" s="26"/>
      <c r="AB642" s="26"/>
      <c r="AC642" s="21"/>
      <c r="AD642" s="21"/>
      <c r="AY642" s="26"/>
      <c r="AZ642" s="26"/>
      <c r="BB642" s="26"/>
      <c r="BD642" s="21"/>
      <c r="CN642" s="26"/>
      <c r="DB642" s="24"/>
      <c r="DD642" s="21"/>
      <c r="DE642" s="22"/>
      <c r="DG642" s="21"/>
      <c r="DK642" s="26"/>
      <c r="DL642" s="26"/>
      <c r="DM642" s="26"/>
      <c r="DN642" s="21"/>
      <c r="DO642" s="21"/>
      <c r="EF642" s="25"/>
      <c r="EG642" s="25"/>
      <c r="EY642" s="20"/>
    </row>
    <row r="643" spans="1:155">
      <c r="A643" s="21"/>
      <c r="B643" s="21"/>
      <c r="AA643" s="26"/>
      <c r="AB643" s="26"/>
      <c r="AC643" s="21"/>
      <c r="AD643" s="21"/>
      <c r="AY643" s="26"/>
      <c r="AZ643" s="26"/>
      <c r="BB643" s="26"/>
      <c r="BD643" s="21"/>
      <c r="CN643" s="26"/>
      <c r="DB643" s="24"/>
      <c r="DD643" s="21"/>
      <c r="DE643" s="22"/>
      <c r="DG643" s="21"/>
      <c r="DK643" s="26"/>
      <c r="DL643" s="26"/>
      <c r="DM643" s="26"/>
      <c r="DN643" s="21"/>
      <c r="DO643" s="21"/>
      <c r="EF643" s="25"/>
      <c r="EG643" s="25"/>
      <c r="EY643" s="20"/>
    </row>
    <row r="644" spans="1:155">
      <c r="A644" s="21"/>
      <c r="B644" s="21"/>
      <c r="AA644" s="26"/>
      <c r="AB644" s="26"/>
      <c r="AC644" s="21"/>
      <c r="AD644" s="21"/>
      <c r="AY644" s="26"/>
      <c r="AZ644" s="26"/>
      <c r="BB644" s="26"/>
      <c r="BD644" s="21"/>
      <c r="CN644" s="26"/>
      <c r="DB644" s="24"/>
      <c r="DD644" s="21"/>
      <c r="DE644" s="22"/>
      <c r="DG644" s="21"/>
      <c r="DK644" s="26"/>
      <c r="DL644" s="26"/>
      <c r="DM644" s="26"/>
      <c r="DN644" s="21"/>
      <c r="DO644" s="21"/>
      <c r="EF644" s="25"/>
      <c r="EG644" s="25"/>
      <c r="EY644" s="20"/>
    </row>
    <row r="645" spans="1:155">
      <c r="A645" s="21"/>
      <c r="B645" s="21"/>
      <c r="AA645" s="26"/>
      <c r="AB645" s="26"/>
      <c r="AC645" s="21"/>
      <c r="AD645" s="21"/>
      <c r="AY645" s="26"/>
      <c r="AZ645" s="26"/>
      <c r="BB645" s="26"/>
      <c r="BD645" s="21"/>
      <c r="CN645" s="26"/>
      <c r="DB645" s="24"/>
      <c r="DD645" s="21"/>
      <c r="DE645" s="22"/>
      <c r="DG645" s="21"/>
      <c r="DK645" s="26"/>
      <c r="DL645" s="26"/>
      <c r="DM645" s="26"/>
      <c r="DN645" s="21"/>
      <c r="DO645" s="21"/>
      <c r="EF645" s="25"/>
      <c r="EG645" s="25"/>
      <c r="EY645" s="20"/>
    </row>
    <row r="646" spans="1:155">
      <c r="A646" s="21"/>
      <c r="B646" s="21"/>
      <c r="AA646" s="26"/>
      <c r="AB646" s="26"/>
      <c r="AC646" s="21"/>
      <c r="AD646" s="21"/>
      <c r="AY646" s="26"/>
      <c r="AZ646" s="26"/>
      <c r="BB646" s="26"/>
      <c r="BD646" s="21"/>
      <c r="CN646" s="26"/>
      <c r="DB646" s="24"/>
      <c r="DD646" s="21"/>
      <c r="DE646" s="22"/>
      <c r="DG646" s="21"/>
      <c r="DK646" s="26"/>
      <c r="DL646" s="26"/>
      <c r="DM646" s="26"/>
      <c r="DN646" s="21"/>
      <c r="DO646" s="21"/>
      <c r="EF646" s="25"/>
      <c r="EG646" s="25"/>
      <c r="EY646" s="20"/>
    </row>
    <row r="647" spans="1:155">
      <c r="A647" s="21"/>
      <c r="B647" s="21"/>
      <c r="AA647" s="26"/>
      <c r="AB647" s="26"/>
      <c r="AC647" s="21"/>
      <c r="AD647" s="21"/>
      <c r="AY647" s="26"/>
      <c r="AZ647" s="26"/>
      <c r="BB647" s="26"/>
      <c r="BD647" s="21"/>
      <c r="CN647" s="26"/>
      <c r="DB647" s="24"/>
      <c r="DD647" s="21"/>
      <c r="DE647" s="22"/>
      <c r="DG647" s="21"/>
      <c r="DK647" s="26"/>
      <c r="DL647" s="26"/>
      <c r="DM647" s="26"/>
      <c r="DN647" s="21"/>
      <c r="DO647" s="21"/>
      <c r="EF647" s="25"/>
      <c r="EG647" s="25"/>
      <c r="EY647" s="20"/>
    </row>
    <row r="648" spans="1:155">
      <c r="A648" s="21"/>
      <c r="B648" s="21"/>
      <c r="AA648" s="26"/>
      <c r="AB648" s="26"/>
      <c r="AC648" s="21"/>
      <c r="AD648" s="21"/>
      <c r="AY648" s="26"/>
      <c r="AZ648" s="26"/>
      <c r="BB648" s="26"/>
      <c r="BD648" s="21"/>
      <c r="CN648" s="26"/>
      <c r="DB648" s="24"/>
      <c r="DD648" s="21"/>
      <c r="DE648" s="22"/>
      <c r="DG648" s="21"/>
      <c r="DK648" s="26"/>
      <c r="DL648" s="26"/>
      <c r="DM648" s="26"/>
      <c r="DN648" s="21"/>
      <c r="DO648" s="21"/>
      <c r="EF648" s="25"/>
      <c r="EG648" s="25"/>
      <c r="EY648" s="20"/>
    </row>
    <row r="649" spans="1:155">
      <c r="A649" s="21"/>
      <c r="B649" s="21"/>
      <c r="AA649" s="26"/>
      <c r="AB649" s="26"/>
      <c r="AC649" s="21"/>
      <c r="AD649" s="21"/>
      <c r="AY649" s="26"/>
      <c r="AZ649" s="26"/>
      <c r="BB649" s="26"/>
      <c r="BD649" s="21"/>
      <c r="CN649" s="26"/>
      <c r="DB649" s="24"/>
      <c r="DD649" s="21"/>
      <c r="DE649" s="22"/>
      <c r="DG649" s="21"/>
      <c r="DK649" s="26"/>
      <c r="DL649" s="26"/>
      <c r="DM649" s="26"/>
      <c r="DN649" s="21"/>
      <c r="DO649" s="21"/>
      <c r="EF649" s="25"/>
      <c r="EG649" s="25"/>
      <c r="EY649" s="20"/>
    </row>
    <row r="650" spans="1:155">
      <c r="A650" s="21"/>
      <c r="B650" s="21"/>
      <c r="AA650" s="26"/>
      <c r="AB650" s="26"/>
      <c r="AC650" s="21"/>
      <c r="AD650" s="21"/>
      <c r="AY650" s="26"/>
      <c r="AZ650" s="26"/>
      <c r="BB650" s="26"/>
      <c r="BD650" s="21"/>
      <c r="CN650" s="26"/>
      <c r="DB650" s="24"/>
      <c r="DD650" s="21"/>
      <c r="DE650" s="22"/>
      <c r="DG650" s="21"/>
      <c r="DK650" s="26"/>
      <c r="DL650" s="26"/>
      <c r="DM650" s="26"/>
      <c r="DN650" s="21"/>
      <c r="DO650" s="21"/>
      <c r="EF650" s="25"/>
      <c r="EG650" s="25"/>
      <c r="EY650" s="20"/>
    </row>
    <row r="651" spans="1:155">
      <c r="A651" s="21"/>
      <c r="B651" s="21"/>
      <c r="AA651" s="26"/>
      <c r="AB651" s="26"/>
      <c r="AC651" s="21"/>
      <c r="AD651" s="21"/>
      <c r="AY651" s="26"/>
      <c r="AZ651" s="26"/>
      <c r="BB651" s="26"/>
      <c r="BD651" s="21"/>
      <c r="CN651" s="26"/>
      <c r="DB651" s="24"/>
      <c r="DD651" s="21"/>
      <c r="DE651" s="22"/>
      <c r="DG651" s="21"/>
      <c r="DK651" s="26"/>
      <c r="DL651" s="26"/>
      <c r="DM651" s="26"/>
      <c r="DN651" s="21"/>
      <c r="DO651" s="21"/>
      <c r="EF651" s="25"/>
      <c r="EG651" s="25"/>
      <c r="EY651" s="20"/>
    </row>
    <row r="652" spans="1:155">
      <c r="A652" s="21"/>
      <c r="B652" s="21"/>
      <c r="AA652" s="26"/>
      <c r="AB652" s="26"/>
      <c r="AC652" s="21"/>
      <c r="AD652" s="21"/>
      <c r="AY652" s="26"/>
      <c r="AZ652" s="26"/>
      <c r="BB652" s="26"/>
      <c r="BD652" s="21"/>
      <c r="CN652" s="26"/>
      <c r="DB652" s="24"/>
      <c r="DD652" s="21"/>
      <c r="DE652" s="22"/>
      <c r="DG652" s="21"/>
      <c r="DK652" s="26"/>
      <c r="DL652" s="26"/>
      <c r="DM652" s="26"/>
      <c r="DN652" s="21"/>
      <c r="DO652" s="21"/>
      <c r="EF652" s="25"/>
      <c r="EG652" s="25"/>
      <c r="EY652" s="20"/>
    </row>
    <row r="653" spans="1:155">
      <c r="A653" s="21"/>
      <c r="B653" s="21"/>
      <c r="AA653" s="26"/>
      <c r="AB653" s="26"/>
      <c r="AC653" s="21"/>
      <c r="AD653" s="21"/>
      <c r="AY653" s="26"/>
      <c r="AZ653" s="26"/>
      <c r="BB653" s="26"/>
      <c r="BD653" s="21"/>
      <c r="CN653" s="26"/>
      <c r="DB653" s="24"/>
      <c r="DD653" s="21"/>
      <c r="DE653" s="22"/>
      <c r="DG653" s="21"/>
      <c r="DK653" s="26"/>
      <c r="DL653" s="26"/>
      <c r="DM653" s="26"/>
      <c r="DN653" s="21"/>
      <c r="DO653" s="21"/>
      <c r="EF653" s="25"/>
      <c r="EG653" s="25"/>
      <c r="EY653" s="20"/>
    </row>
    <row r="654" spans="1:155">
      <c r="A654" s="21"/>
      <c r="B654" s="21"/>
      <c r="AA654" s="26"/>
      <c r="AB654" s="26"/>
      <c r="AC654" s="21"/>
      <c r="AD654" s="21"/>
      <c r="AY654" s="26"/>
      <c r="AZ654" s="26"/>
      <c r="BB654" s="26"/>
      <c r="BD654" s="21"/>
      <c r="CN654" s="26"/>
      <c r="DB654" s="24"/>
      <c r="DD654" s="21"/>
      <c r="DE654" s="22"/>
      <c r="DG654" s="21"/>
      <c r="DK654" s="26"/>
      <c r="DL654" s="26"/>
      <c r="DM654" s="26"/>
      <c r="DN654" s="21"/>
      <c r="DO654" s="21"/>
      <c r="EF654" s="25"/>
      <c r="EG654" s="25"/>
      <c r="EY654" s="20"/>
    </row>
    <row r="655" spans="1:155">
      <c r="A655" s="21"/>
      <c r="B655" s="21"/>
      <c r="AA655" s="26"/>
      <c r="AB655" s="26"/>
      <c r="AC655" s="21"/>
      <c r="AD655" s="21"/>
      <c r="AY655" s="26"/>
      <c r="AZ655" s="26"/>
      <c r="BB655" s="26"/>
      <c r="BD655" s="21"/>
      <c r="CN655" s="26"/>
      <c r="DB655" s="24"/>
      <c r="DD655" s="21"/>
      <c r="DE655" s="22"/>
      <c r="DG655" s="21"/>
      <c r="DK655" s="26"/>
      <c r="DL655" s="26"/>
      <c r="DM655" s="26"/>
      <c r="DN655" s="21"/>
      <c r="DO655" s="21"/>
      <c r="EF655" s="25"/>
      <c r="EG655" s="25"/>
      <c r="EY655" s="20"/>
    </row>
    <row r="656" spans="1:155">
      <c r="A656" s="21"/>
      <c r="B656" s="21"/>
      <c r="AA656" s="26"/>
      <c r="AB656" s="26"/>
      <c r="AC656" s="21"/>
      <c r="AD656" s="21"/>
      <c r="AY656" s="26"/>
      <c r="AZ656" s="26"/>
      <c r="BB656" s="26"/>
      <c r="BD656" s="21"/>
      <c r="CN656" s="26"/>
      <c r="DB656" s="24"/>
      <c r="DD656" s="21"/>
      <c r="DE656" s="22"/>
      <c r="DG656" s="21"/>
      <c r="DK656" s="26"/>
      <c r="DL656" s="26"/>
      <c r="DM656" s="26"/>
      <c r="DN656" s="21"/>
      <c r="DO656" s="21"/>
      <c r="EF656" s="25"/>
      <c r="EG656" s="25"/>
      <c r="EY656" s="20"/>
    </row>
    <row r="657" spans="1:155">
      <c r="A657" s="21"/>
      <c r="B657" s="21"/>
      <c r="AA657" s="26"/>
      <c r="AB657" s="26"/>
      <c r="AC657" s="21"/>
      <c r="AD657" s="21"/>
      <c r="AY657" s="26"/>
      <c r="AZ657" s="26"/>
      <c r="BB657" s="26"/>
      <c r="BD657" s="21"/>
      <c r="CN657" s="26"/>
      <c r="DB657" s="24"/>
      <c r="DD657" s="21"/>
      <c r="DE657" s="22"/>
      <c r="DG657" s="21"/>
      <c r="DK657" s="26"/>
      <c r="DL657" s="26"/>
      <c r="DM657" s="26"/>
      <c r="DN657" s="21"/>
      <c r="DO657" s="21"/>
      <c r="EF657" s="25"/>
      <c r="EG657" s="25"/>
      <c r="EY657" s="20"/>
    </row>
    <row r="658" spans="1:155">
      <c r="A658" s="21"/>
      <c r="B658" s="21"/>
      <c r="AA658" s="26"/>
      <c r="AB658" s="26"/>
      <c r="AC658" s="21"/>
      <c r="AD658" s="21"/>
      <c r="AY658" s="26"/>
      <c r="AZ658" s="26"/>
      <c r="BB658" s="26"/>
      <c r="BD658" s="21"/>
      <c r="CN658" s="26"/>
      <c r="DB658" s="24"/>
      <c r="DD658" s="21"/>
      <c r="DE658" s="22"/>
      <c r="DG658" s="21"/>
      <c r="DK658" s="26"/>
      <c r="DL658" s="26"/>
      <c r="DM658" s="26"/>
      <c r="DN658" s="21"/>
      <c r="DO658" s="21"/>
      <c r="EF658" s="25"/>
      <c r="EG658" s="25"/>
      <c r="EY658" s="20"/>
    </row>
    <row r="659" spans="1:155">
      <c r="A659" s="21"/>
      <c r="B659" s="21"/>
      <c r="AA659" s="26"/>
      <c r="AB659" s="26"/>
      <c r="AC659" s="21"/>
      <c r="AD659" s="21"/>
      <c r="AY659" s="26"/>
      <c r="AZ659" s="26"/>
      <c r="BB659" s="26"/>
      <c r="BD659" s="21"/>
      <c r="CN659" s="26"/>
      <c r="DB659" s="24"/>
      <c r="DD659" s="21"/>
      <c r="DE659" s="22"/>
      <c r="DG659" s="21"/>
      <c r="DK659" s="26"/>
      <c r="DL659" s="26"/>
      <c r="DM659" s="26"/>
      <c r="DN659" s="21"/>
      <c r="DO659" s="21"/>
      <c r="EF659" s="25"/>
      <c r="EG659" s="25"/>
      <c r="EY659" s="20"/>
    </row>
    <row r="660" spans="1:155">
      <c r="A660" s="21"/>
      <c r="B660" s="21"/>
      <c r="AA660" s="26"/>
      <c r="AB660" s="26"/>
      <c r="AC660" s="21"/>
      <c r="AD660" s="21"/>
      <c r="AY660" s="26"/>
      <c r="AZ660" s="26"/>
      <c r="BB660" s="26"/>
      <c r="BD660" s="21"/>
      <c r="CN660" s="26"/>
      <c r="DB660" s="24"/>
      <c r="DD660" s="21"/>
      <c r="DE660" s="22"/>
      <c r="DG660" s="21"/>
      <c r="DK660" s="26"/>
      <c r="DL660" s="26"/>
      <c r="DM660" s="26"/>
      <c r="DN660" s="21"/>
      <c r="DO660" s="21"/>
      <c r="EF660" s="25"/>
      <c r="EG660" s="25"/>
      <c r="EY660" s="20"/>
    </row>
    <row r="661" spans="1:155">
      <c r="A661" s="21"/>
      <c r="B661" s="21"/>
      <c r="AA661" s="26"/>
      <c r="AB661" s="26"/>
      <c r="AC661" s="21"/>
      <c r="AD661" s="21"/>
      <c r="AY661" s="26"/>
      <c r="AZ661" s="26"/>
      <c r="BB661" s="26"/>
      <c r="BD661" s="21"/>
      <c r="CN661" s="26"/>
      <c r="DB661" s="24"/>
      <c r="DD661" s="21"/>
      <c r="DE661" s="22"/>
      <c r="DG661" s="21"/>
      <c r="DK661" s="26"/>
      <c r="DL661" s="26"/>
      <c r="DM661" s="26"/>
      <c r="DN661" s="21"/>
      <c r="DO661" s="21"/>
      <c r="EF661" s="25"/>
      <c r="EG661" s="25"/>
      <c r="EY661" s="20"/>
    </row>
    <row r="662" spans="1:155">
      <c r="A662" s="21"/>
      <c r="B662" s="21"/>
      <c r="AA662" s="26"/>
      <c r="AB662" s="26"/>
      <c r="AC662" s="21"/>
      <c r="AD662" s="21"/>
      <c r="AY662" s="26"/>
      <c r="AZ662" s="26"/>
      <c r="BB662" s="26"/>
      <c r="BD662" s="21"/>
      <c r="CN662" s="26"/>
      <c r="DB662" s="24"/>
      <c r="DD662" s="21"/>
      <c r="DE662" s="22"/>
      <c r="DG662" s="21"/>
      <c r="DK662" s="26"/>
      <c r="DL662" s="26"/>
      <c r="DM662" s="26"/>
      <c r="DN662" s="21"/>
      <c r="DO662" s="21"/>
      <c r="EF662" s="25"/>
      <c r="EG662" s="25"/>
      <c r="EY662" s="20"/>
    </row>
    <row r="663" spans="1:155">
      <c r="A663" s="21"/>
      <c r="B663" s="21"/>
      <c r="AA663" s="26"/>
      <c r="AB663" s="26"/>
      <c r="AC663" s="21"/>
      <c r="AD663" s="21"/>
      <c r="AY663" s="26"/>
      <c r="AZ663" s="26"/>
      <c r="BB663" s="26"/>
      <c r="BD663" s="21"/>
      <c r="CN663" s="26"/>
      <c r="DB663" s="24"/>
      <c r="DD663" s="21"/>
      <c r="DE663" s="22"/>
      <c r="DG663" s="21"/>
      <c r="DK663" s="26"/>
      <c r="DL663" s="26"/>
      <c r="DM663" s="26"/>
      <c r="DN663" s="21"/>
      <c r="DO663" s="21"/>
      <c r="EF663" s="25"/>
      <c r="EG663" s="25"/>
      <c r="EY663" s="20"/>
    </row>
    <row r="664" spans="1:155">
      <c r="A664" s="21"/>
      <c r="B664" s="21"/>
      <c r="AA664" s="26"/>
      <c r="AB664" s="26"/>
      <c r="AC664" s="21"/>
      <c r="AD664" s="21"/>
      <c r="AY664" s="26"/>
      <c r="AZ664" s="26"/>
      <c r="BB664" s="26"/>
      <c r="BD664" s="21"/>
      <c r="CN664" s="26"/>
      <c r="DB664" s="24"/>
      <c r="DD664" s="21"/>
      <c r="DE664" s="22"/>
      <c r="DG664" s="21"/>
      <c r="DK664" s="26"/>
      <c r="DL664" s="26"/>
      <c r="DM664" s="26"/>
      <c r="DN664" s="21"/>
      <c r="DO664" s="21"/>
      <c r="EF664" s="25"/>
      <c r="EG664" s="25"/>
      <c r="EY664" s="20"/>
    </row>
    <row r="665" spans="1:155">
      <c r="A665" s="21"/>
      <c r="B665" s="21"/>
      <c r="AA665" s="26"/>
      <c r="AB665" s="26"/>
      <c r="AC665" s="21"/>
      <c r="AD665" s="21"/>
      <c r="AY665" s="26"/>
      <c r="AZ665" s="26"/>
      <c r="BB665" s="26"/>
      <c r="BD665" s="21"/>
      <c r="CN665" s="26"/>
      <c r="DB665" s="24"/>
      <c r="DD665" s="21"/>
      <c r="DE665" s="22"/>
      <c r="DG665" s="21"/>
      <c r="DK665" s="26"/>
      <c r="DL665" s="26"/>
      <c r="DM665" s="26"/>
      <c r="DN665" s="21"/>
      <c r="DO665" s="21"/>
      <c r="EF665" s="25"/>
      <c r="EG665" s="25"/>
      <c r="EY665" s="20"/>
    </row>
    <row r="666" spans="1:155">
      <c r="A666" s="21"/>
      <c r="B666" s="21"/>
      <c r="AA666" s="26"/>
      <c r="AB666" s="26"/>
      <c r="AC666" s="21"/>
      <c r="AD666" s="21"/>
      <c r="AY666" s="26"/>
      <c r="AZ666" s="26"/>
      <c r="BB666" s="26"/>
      <c r="BD666" s="21"/>
      <c r="CN666" s="26"/>
      <c r="DB666" s="24"/>
      <c r="DD666" s="21"/>
      <c r="DE666" s="22"/>
      <c r="DG666" s="21"/>
      <c r="DK666" s="26"/>
      <c r="DL666" s="26"/>
      <c r="DM666" s="26"/>
      <c r="DN666" s="21"/>
      <c r="DO666" s="21"/>
      <c r="EF666" s="25"/>
      <c r="EG666" s="25"/>
      <c r="EY666" s="20"/>
    </row>
    <row r="667" spans="1:155">
      <c r="A667" s="21"/>
      <c r="B667" s="21"/>
      <c r="AA667" s="26"/>
      <c r="AB667" s="26"/>
      <c r="AC667" s="21"/>
      <c r="AD667" s="21"/>
      <c r="AY667" s="26"/>
      <c r="AZ667" s="26"/>
      <c r="BB667" s="26"/>
      <c r="BD667" s="21"/>
      <c r="CN667" s="26"/>
      <c r="DB667" s="24"/>
      <c r="DD667" s="21"/>
      <c r="DE667" s="22"/>
      <c r="DG667" s="21"/>
      <c r="DK667" s="26"/>
      <c r="DL667" s="26"/>
      <c r="DM667" s="26"/>
      <c r="DN667" s="21"/>
      <c r="DO667" s="21"/>
      <c r="EF667" s="25"/>
      <c r="EG667" s="25"/>
      <c r="EY667" s="20"/>
    </row>
    <row r="668" spans="1:155">
      <c r="A668" s="21"/>
      <c r="B668" s="21"/>
      <c r="AA668" s="26"/>
      <c r="AB668" s="26"/>
      <c r="AC668" s="21"/>
      <c r="AD668" s="21"/>
      <c r="AY668" s="26"/>
      <c r="AZ668" s="26"/>
      <c r="BB668" s="26"/>
      <c r="BD668" s="21"/>
      <c r="CN668" s="26"/>
      <c r="DB668" s="24"/>
      <c r="DD668" s="21"/>
      <c r="DE668" s="22"/>
      <c r="DG668" s="21"/>
      <c r="DK668" s="26"/>
      <c r="DL668" s="26"/>
      <c r="DM668" s="26"/>
      <c r="DN668" s="21"/>
      <c r="DO668" s="21"/>
      <c r="EF668" s="25"/>
      <c r="EG668" s="25"/>
      <c r="EY668" s="20"/>
    </row>
    <row r="669" spans="1:155">
      <c r="A669" s="21"/>
      <c r="B669" s="21"/>
      <c r="AA669" s="26"/>
      <c r="AB669" s="26"/>
      <c r="AC669" s="21"/>
      <c r="AD669" s="21"/>
      <c r="AY669" s="26"/>
      <c r="AZ669" s="26"/>
      <c r="BB669" s="26"/>
      <c r="BD669" s="21"/>
      <c r="CN669" s="26"/>
      <c r="DB669" s="24"/>
      <c r="DD669" s="21"/>
      <c r="DE669" s="22"/>
      <c r="DG669" s="21"/>
      <c r="DK669" s="26"/>
      <c r="DL669" s="26"/>
      <c r="DM669" s="26"/>
      <c r="DN669" s="21"/>
      <c r="DO669" s="21"/>
      <c r="EF669" s="25"/>
      <c r="EG669" s="25"/>
      <c r="EY669" s="20"/>
    </row>
    <row r="670" spans="1:155">
      <c r="A670" s="21"/>
      <c r="B670" s="21"/>
      <c r="AA670" s="26"/>
      <c r="AB670" s="26"/>
      <c r="AC670" s="21"/>
      <c r="AD670" s="21"/>
      <c r="AY670" s="26"/>
      <c r="AZ670" s="26"/>
      <c r="BB670" s="26"/>
      <c r="BD670" s="21"/>
      <c r="CN670" s="26"/>
      <c r="DB670" s="24"/>
      <c r="DD670" s="21"/>
      <c r="DE670" s="22"/>
      <c r="DG670" s="21"/>
      <c r="DK670" s="26"/>
      <c r="DL670" s="26"/>
      <c r="DM670" s="26"/>
      <c r="DN670" s="21"/>
      <c r="DO670" s="21"/>
      <c r="EF670" s="25"/>
      <c r="EG670" s="25"/>
      <c r="EY670" s="20"/>
    </row>
    <row r="671" spans="1:155">
      <c r="A671" s="21"/>
      <c r="B671" s="21"/>
      <c r="AA671" s="26"/>
      <c r="AB671" s="26"/>
      <c r="AC671" s="21"/>
      <c r="AD671" s="21"/>
      <c r="AY671" s="26"/>
      <c r="AZ671" s="26"/>
      <c r="BB671" s="26"/>
      <c r="BD671" s="21"/>
      <c r="CN671" s="26"/>
      <c r="DB671" s="24"/>
      <c r="DD671" s="21"/>
      <c r="DE671" s="22"/>
      <c r="DG671" s="21"/>
      <c r="DK671" s="26"/>
      <c r="DL671" s="26"/>
      <c r="DM671" s="26"/>
      <c r="DN671" s="21"/>
      <c r="DO671" s="21"/>
      <c r="EF671" s="25"/>
      <c r="EG671" s="25"/>
      <c r="EY671" s="20"/>
    </row>
    <row r="672" spans="1:155">
      <c r="A672" s="21"/>
      <c r="B672" s="21"/>
      <c r="AA672" s="26"/>
      <c r="AB672" s="26"/>
      <c r="AC672" s="21"/>
      <c r="AD672" s="21"/>
      <c r="AY672" s="26"/>
      <c r="AZ672" s="26"/>
      <c r="BB672" s="26"/>
      <c r="BD672" s="21"/>
      <c r="CN672" s="26"/>
      <c r="DB672" s="24"/>
      <c r="DD672" s="21"/>
      <c r="DE672" s="22"/>
      <c r="DG672" s="21"/>
      <c r="DK672" s="26"/>
      <c r="DL672" s="26"/>
      <c r="DM672" s="26"/>
      <c r="DN672" s="21"/>
      <c r="DO672" s="21"/>
      <c r="EF672" s="25"/>
      <c r="EG672" s="25"/>
      <c r="EY672" s="20"/>
    </row>
    <row r="673" spans="1:155">
      <c r="A673" s="21"/>
      <c r="B673" s="21"/>
      <c r="AA673" s="26"/>
      <c r="AB673" s="26"/>
      <c r="AC673" s="21"/>
      <c r="AD673" s="21"/>
      <c r="AY673" s="26"/>
      <c r="AZ673" s="26"/>
      <c r="BB673" s="26"/>
      <c r="BD673" s="21"/>
      <c r="CN673" s="26"/>
      <c r="DB673" s="24"/>
      <c r="DD673" s="21"/>
      <c r="DE673" s="22"/>
      <c r="DG673" s="21"/>
      <c r="DK673" s="26"/>
      <c r="DL673" s="26"/>
      <c r="DM673" s="26"/>
      <c r="DN673" s="21"/>
      <c r="DO673" s="21"/>
      <c r="EF673" s="25"/>
      <c r="EG673" s="25"/>
      <c r="EY673" s="20"/>
    </row>
    <row r="674" spans="1:155">
      <c r="A674" s="21"/>
      <c r="B674" s="21"/>
      <c r="AA674" s="26"/>
      <c r="AB674" s="26"/>
      <c r="AC674" s="21"/>
      <c r="AD674" s="21"/>
      <c r="AY674" s="26"/>
      <c r="AZ674" s="26"/>
      <c r="BB674" s="26"/>
      <c r="BD674" s="21"/>
      <c r="CN674" s="26"/>
      <c r="DB674" s="24"/>
      <c r="DD674" s="21"/>
      <c r="DE674" s="22"/>
      <c r="DG674" s="21"/>
      <c r="DK674" s="26"/>
      <c r="DL674" s="26"/>
      <c r="DM674" s="26"/>
      <c r="DN674" s="21"/>
      <c r="DO674" s="21"/>
      <c r="EF674" s="25"/>
      <c r="EG674" s="25"/>
      <c r="EY674" s="20"/>
    </row>
    <row r="675" spans="1:155">
      <c r="A675" s="21"/>
      <c r="B675" s="21"/>
      <c r="AA675" s="26"/>
      <c r="AB675" s="26"/>
      <c r="AC675" s="21"/>
      <c r="AD675" s="21"/>
      <c r="AY675" s="26"/>
      <c r="AZ675" s="26"/>
      <c r="BB675" s="26"/>
      <c r="BD675" s="21"/>
      <c r="CN675" s="26"/>
      <c r="DB675" s="24"/>
      <c r="DD675" s="21"/>
      <c r="DE675" s="22"/>
      <c r="DG675" s="21"/>
      <c r="DK675" s="26"/>
      <c r="DL675" s="26"/>
      <c r="DM675" s="26"/>
      <c r="DN675" s="21"/>
      <c r="DO675" s="21"/>
      <c r="EF675" s="25"/>
      <c r="EG675" s="25"/>
      <c r="EY675" s="20"/>
    </row>
    <row r="676" spans="1:155">
      <c r="A676" s="21"/>
      <c r="B676" s="21"/>
      <c r="AA676" s="26"/>
      <c r="AB676" s="26"/>
      <c r="AC676" s="21"/>
      <c r="AD676" s="21"/>
      <c r="AY676" s="26"/>
      <c r="AZ676" s="26"/>
      <c r="BB676" s="26"/>
      <c r="BD676" s="21"/>
      <c r="CN676" s="26"/>
      <c r="DB676" s="24"/>
      <c r="DD676" s="21"/>
      <c r="DE676" s="22"/>
      <c r="DG676" s="21"/>
      <c r="DK676" s="26"/>
      <c r="DL676" s="26"/>
      <c r="DM676" s="26"/>
      <c r="DN676" s="21"/>
      <c r="DO676" s="21"/>
      <c r="EF676" s="25"/>
      <c r="EG676" s="25"/>
      <c r="EY676" s="20"/>
    </row>
    <row r="677" spans="1:155">
      <c r="A677" s="21"/>
      <c r="B677" s="21"/>
      <c r="AA677" s="26"/>
      <c r="AB677" s="26"/>
      <c r="AC677" s="21"/>
      <c r="AD677" s="21"/>
      <c r="AY677" s="26"/>
      <c r="AZ677" s="26"/>
      <c r="BB677" s="26"/>
      <c r="BD677" s="21"/>
      <c r="CN677" s="26"/>
      <c r="DB677" s="24"/>
      <c r="DD677" s="21"/>
      <c r="DE677" s="22"/>
      <c r="DG677" s="21"/>
      <c r="DK677" s="26"/>
      <c r="DL677" s="26"/>
      <c r="DM677" s="26"/>
      <c r="DN677" s="21"/>
      <c r="DO677" s="21"/>
      <c r="EF677" s="25"/>
      <c r="EG677" s="25"/>
      <c r="EY677" s="20"/>
    </row>
    <row r="678" spans="1:155">
      <c r="A678" s="21"/>
      <c r="B678" s="21"/>
      <c r="AA678" s="26"/>
      <c r="AB678" s="26"/>
      <c r="AC678" s="21"/>
      <c r="AD678" s="21"/>
      <c r="AY678" s="26"/>
      <c r="AZ678" s="26"/>
      <c r="BB678" s="26"/>
      <c r="BD678" s="21"/>
      <c r="CN678" s="26"/>
      <c r="DB678" s="24"/>
      <c r="DD678" s="21"/>
      <c r="DE678" s="22"/>
      <c r="DG678" s="21"/>
      <c r="DK678" s="26"/>
      <c r="DL678" s="26"/>
      <c r="DM678" s="26"/>
      <c r="DN678" s="21"/>
      <c r="DO678" s="21"/>
      <c r="EF678" s="25"/>
      <c r="EG678" s="25"/>
      <c r="EY678" s="20"/>
    </row>
    <row r="679" spans="1:155">
      <c r="A679" s="21"/>
      <c r="B679" s="21"/>
      <c r="AA679" s="26"/>
      <c r="AB679" s="26"/>
      <c r="AC679" s="21"/>
      <c r="AD679" s="21"/>
      <c r="AY679" s="26"/>
      <c r="AZ679" s="26"/>
      <c r="BB679" s="26"/>
      <c r="BD679" s="21"/>
      <c r="CN679" s="26"/>
      <c r="DB679" s="24"/>
      <c r="DD679" s="21"/>
      <c r="DE679" s="22"/>
      <c r="DG679" s="21"/>
      <c r="DK679" s="26"/>
      <c r="DL679" s="26"/>
      <c r="DM679" s="26"/>
      <c r="DN679" s="21"/>
      <c r="DO679" s="21"/>
      <c r="EF679" s="25"/>
      <c r="EG679" s="25"/>
      <c r="EY679" s="20"/>
    </row>
    <row r="680" spans="1:155">
      <c r="A680" s="21"/>
      <c r="B680" s="21"/>
      <c r="AA680" s="26"/>
      <c r="AB680" s="26"/>
      <c r="AC680" s="21"/>
      <c r="AD680" s="21"/>
      <c r="AY680" s="26"/>
      <c r="AZ680" s="26"/>
      <c r="BB680" s="26"/>
      <c r="BD680" s="21"/>
      <c r="CN680" s="26"/>
      <c r="DB680" s="24"/>
      <c r="DD680" s="21"/>
      <c r="DE680" s="22"/>
      <c r="DG680" s="21"/>
      <c r="DK680" s="26"/>
      <c r="DL680" s="26"/>
      <c r="DM680" s="26"/>
      <c r="DN680" s="21"/>
      <c r="DO680" s="21"/>
      <c r="EF680" s="25"/>
      <c r="EG680" s="25"/>
      <c r="EY680" s="20"/>
    </row>
    <row r="681" spans="1:155">
      <c r="A681" s="21"/>
      <c r="B681" s="21"/>
      <c r="AA681" s="26"/>
      <c r="AB681" s="26"/>
      <c r="AC681" s="21"/>
      <c r="AD681" s="21"/>
      <c r="AY681" s="26"/>
      <c r="AZ681" s="26"/>
      <c r="BB681" s="26"/>
      <c r="BD681" s="21"/>
      <c r="CN681" s="26"/>
      <c r="DB681" s="24"/>
      <c r="DD681" s="21"/>
      <c r="DE681" s="22"/>
      <c r="DG681" s="21"/>
      <c r="DK681" s="26"/>
      <c r="DL681" s="26"/>
      <c r="DM681" s="26"/>
      <c r="DN681" s="21"/>
      <c r="DO681" s="21"/>
      <c r="EF681" s="25"/>
      <c r="EG681" s="25"/>
      <c r="EY681" s="20"/>
    </row>
    <row r="682" spans="1:155">
      <c r="A682" s="21"/>
      <c r="B682" s="21"/>
      <c r="AA682" s="26"/>
      <c r="AB682" s="26"/>
      <c r="AC682" s="21"/>
      <c r="AD682" s="21"/>
      <c r="AY682" s="26"/>
      <c r="AZ682" s="26"/>
      <c r="BB682" s="26"/>
      <c r="BD682" s="21"/>
      <c r="CN682" s="26"/>
      <c r="DB682" s="24"/>
      <c r="DD682" s="21"/>
      <c r="DE682" s="22"/>
      <c r="DG682" s="21"/>
      <c r="DK682" s="26"/>
      <c r="DL682" s="26"/>
      <c r="DM682" s="26"/>
      <c r="DN682" s="21"/>
      <c r="DO682" s="21"/>
      <c r="EF682" s="25"/>
      <c r="EG682" s="25"/>
      <c r="EY682" s="20"/>
    </row>
    <row r="683" spans="1:155">
      <c r="A683" s="21"/>
      <c r="B683" s="21"/>
      <c r="AA683" s="26"/>
      <c r="AB683" s="26"/>
      <c r="AC683" s="21"/>
      <c r="AD683" s="21"/>
      <c r="AY683" s="26"/>
      <c r="AZ683" s="26"/>
      <c r="BB683" s="26"/>
      <c r="BD683" s="21"/>
      <c r="CN683" s="26"/>
      <c r="DB683" s="24"/>
      <c r="DD683" s="21"/>
      <c r="DE683" s="22"/>
      <c r="DG683" s="21"/>
      <c r="DK683" s="26"/>
      <c r="DL683" s="26"/>
      <c r="DM683" s="26"/>
      <c r="DN683" s="21"/>
      <c r="DO683" s="21"/>
      <c r="EF683" s="25"/>
      <c r="EG683" s="25"/>
      <c r="EY683" s="20"/>
    </row>
    <row r="684" spans="1:155">
      <c r="A684" s="21"/>
      <c r="B684" s="21"/>
      <c r="AA684" s="26"/>
      <c r="AB684" s="26"/>
      <c r="AC684" s="21"/>
      <c r="AD684" s="21"/>
      <c r="AY684" s="26"/>
      <c r="AZ684" s="26"/>
      <c r="BB684" s="26"/>
      <c r="BD684" s="21"/>
      <c r="CN684" s="26"/>
      <c r="DB684" s="24"/>
      <c r="DD684" s="21"/>
      <c r="DE684" s="22"/>
      <c r="DG684" s="21"/>
      <c r="DK684" s="26"/>
      <c r="DL684" s="26"/>
      <c r="DM684" s="26"/>
      <c r="DN684" s="21"/>
      <c r="DO684" s="21"/>
      <c r="EF684" s="25"/>
      <c r="EG684" s="25"/>
      <c r="EY684" s="20"/>
    </row>
    <row r="685" spans="1:155">
      <c r="A685" s="21"/>
      <c r="B685" s="21"/>
      <c r="AA685" s="26"/>
      <c r="AB685" s="26"/>
      <c r="AC685" s="21"/>
      <c r="AD685" s="21"/>
      <c r="AY685" s="26"/>
      <c r="AZ685" s="26"/>
      <c r="BB685" s="26"/>
      <c r="BD685" s="21"/>
      <c r="CN685" s="26"/>
      <c r="DB685" s="24"/>
      <c r="DD685" s="21"/>
      <c r="DE685" s="22"/>
      <c r="DG685" s="21"/>
      <c r="DK685" s="26"/>
      <c r="DL685" s="26"/>
      <c r="DM685" s="26"/>
      <c r="DN685" s="21"/>
      <c r="DO685" s="21"/>
      <c r="EF685" s="25"/>
      <c r="EG685" s="25"/>
      <c r="EY685" s="20"/>
    </row>
    <row r="686" spans="1:155">
      <c r="A686" s="21"/>
      <c r="B686" s="21"/>
      <c r="AA686" s="26"/>
      <c r="AB686" s="26"/>
      <c r="AC686" s="21"/>
      <c r="AD686" s="21"/>
      <c r="AY686" s="26"/>
      <c r="AZ686" s="26"/>
      <c r="BB686" s="26"/>
      <c r="BD686" s="21"/>
      <c r="CN686" s="26"/>
      <c r="DB686" s="24"/>
      <c r="DD686" s="21"/>
      <c r="DE686" s="22"/>
      <c r="DG686" s="21"/>
      <c r="DK686" s="26"/>
      <c r="DL686" s="26"/>
      <c r="DM686" s="26"/>
      <c r="DN686" s="21"/>
      <c r="DO686" s="21"/>
      <c r="EF686" s="25"/>
      <c r="EG686" s="25"/>
      <c r="EY686" s="20"/>
    </row>
    <row r="687" spans="1:155">
      <c r="A687" s="21"/>
      <c r="B687" s="21"/>
      <c r="AA687" s="26"/>
      <c r="AB687" s="26"/>
      <c r="AC687" s="21"/>
      <c r="AD687" s="21"/>
      <c r="AY687" s="26"/>
      <c r="AZ687" s="26"/>
      <c r="BB687" s="26"/>
      <c r="BD687" s="21"/>
      <c r="CN687" s="26"/>
      <c r="DB687" s="24"/>
      <c r="DD687" s="21"/>
      <c r="DE687" s="22"/>
      <c r="DG687" s="21"/>
      <c r="DK687" s="26"/>
      <c r="DL687" s="26"/>
      <c r="DM687" s="26"/>
      <c r="DN687" s="21"/>
      <c r="DO687" s="21"/>
      <c r="EF687" s="25"/>
      <c r="EG687" s="25"/>
      <c r="EY687" s="20"/>
    </row>
    <row r="688" spans="1:155">
      <c r="A688" s="21"/>
      <c r="B688" s="21"/>
      <c r="AA688" s="26"/>
      <c r="AB688" s="26"/>
      <c r="AC688" s="21"/>
      <c r="AD688" s="21"/>
      <c r="AY688" s="26"/>
      <c r="AZ688" s="26"/>
      <c r="BB688" s="26"/>
      <c r="BD688" s="21"/>
      <c r="CN688" s="26"/>
      <c r="DB688" s="24"/>
      <c r="DD688" s="21"/>
      <c r="DE688" s="22"/>
      <c r="DG688" s="21"/>
      <c r="DK688" s="26"/>
      <c r="DL688" s="26"/>
      <c r="DM688" s="26"/>
      <c r="DN688" s="21"/>
      <c r="DO688" s="21"/>
      <c r="EF688" s="25"/>
      <c r="EG688" s="25"/>
      <c r="EY688" s="20"/>
    </row>
    <row r="689" spans="1:155">
      <c r="A689" s="21"/>
      <c r="B689" s="21"/>
      <c r="AA689" s="26"/>
      <c r="AB689" s="26"/>
      <c r="AC689" s="21"/>
      <c r="AD689" s="21"/>
      <c r="AY689" s="26"/>
      <c r="AZ689" s="26"/>
      <c r="BB689" s="26"/>
      <c r="BD689" s="21"/>
      <c r="CN689" s="26"/>
      <c r="DB689" s="24"/>
      <c r="DD689" s="21"/>
      <c r="DE689" s="22"/>
      <c r="DG689" s="21"/>
      <c r="DK689" s="26"/>
      <c r="DL689" s="26"/>
      <c r="DM689" s="26"/>
      <c r="DN689" s="21"/>
      <c r="DO689" s="21"/>
      <c r="EF689" s="25"/>
      <c r="EG689" s="25"/>
      <c r="EY689" s="20"/>
    </row>
    <row r="690" spans="1:155">
      <c r="A690" s="21"/>
      <c r="B690" s="21"/>
      <c r="AA690" s="26"/>
      <c r="AB690" s="26"/>
      <c r="AC690" s="21"/>
      <c r="AD690" s="21"/>
      <c r="AY690" s="26"/>
      <c r="AZ690" s="26"/>
      <c r="BB690" s="26"/>
      <c r="BD690" s="21"/>
      <c r="CN690" s="26"/>
      <c r="DB690" s="24"/>
      <c r="DD690" s="21"/>
      <c r="DE690" s="22"/>
      <c r="DG690" s="21"/>
      <c r="DK690" s="26"/>
      <c r="DL690" s="26"/>
      <c r="DM690" s="26"/>
      <c r="DN690" s="21"/>
      <c r="DO690" s="21"/>
      <c r="EF690" s="25"/>
      <c r="EG690" s="25"/>
      <c r="EY690" s="20"/>
    </row>
    <row r="691" spans="1:155">
      <c r="A691" s="21"/>
      <c r="B691" s="21"/>
      <c r="AA691" s="26"/>
      <c r="AB691" s="26"/>
      <c r="AC691" s="21"/>
      <c r="AD691" s="21"/>
      <c r="AY691" s="26"/>
      <c r="AZ691" s="26"/>
      <c r="BB691" s="26"/>
      <c r="BD691" s="21"/>
      <c r="CN691" s="26"/>
      <c r="DB691" s="24"/>
      <c r="DD691" s="21"/>
      <c r="DE691" s="22"/>
      <c r="DG691" s="21"/>
      <c r="DK691" s="26"/>
      <c r="DL691" s="26"/>
      <c r="DM691" s="26"/>
      <c r="DN691" s="21"/>
      <c r="DO691" s="21"/>
      <c r="EF691" s="25"/>
      <c r="EG691" s="25"/>
      <c r="EY691" s="20"/>
    </row>
    <row r="692" spans="1:155">
      <c r="A692" s="21"/>
      <c r="B692" s="21"/>
      <c r="AA692" s="26"/>
      <c r="AB692" s="26"/>
      <c r="AC692" s="21"/>
      <c r="AD692" s="21"/>
      <c r="AY692" s="26"/>
      <c r="AZ692" s="26"/>
      <c r="BB692" s="26"/>
      <c r="BD692" s="21"/>
      <c r="CN692" s="26"/>
      <c r="DB692" s="24"/>
      <c r="DD692" s="21"/>
      <c r="DE692" s="22"/>
      <c r="DG692" s="21"/>
      <c r="DK692" s="26"/>
      <c r="DL692" s="26"/>
      <c r="DM692" s="26"/>
      <c r="DN692" s="21"/>
      <c r="DO692" s="21"/>
      <c r="EF692" s="25"/>
      <c r="EG692" s="25"/>
      <c r="EY692" s="20"/>
    </row>
    <row r="693" spans="1:155">
      <c r="A693" s="21"/>
      <c r="B693" s="21"/>
      <c r="AA693" s="26"/>
      <c r="AB693" s="26"/>
      <c r="AC693" s="21"/>
      <c r="AD693" s="21"/>
      <c r="AY693" s="26"/>
      <c r="AZ693" s="26"/>
      <c r="BB693" s="26"/>
      <c r="BD693" s="21"/>
      <c r="CN693" s="26"/>
      <c r="DB693" s="24"/>
      <c r="DD693" s="21"/>
      <c r="DE693" s="22"/>
      <c r="DG693" s="21"/>
      <c r="DK693" s="26"/>
      <c r="DL693" s="26"/>
      <c r="DM693" s="26"/>
      <c r="DN693" s="21"/>
      <c r="DO693" s="21"/>
      <c r="EF693" s="25"/>
      <c r="EG693" s="25"/>
      <c r="EY693" s="20"/>
    </row>
    <row r="694" spans="1:155">
      <c r="A694" s="21"/>
      <c r="B694" s="21"/>
      <c r="AA694" s="26"/>
      <c r="AB694" s="26"/>
      <c r="AC694" s="21"/>
      <c r="AD694" s="21"/>
      <c r="AY694" s="26"/>
      <c r="AZ694" s="26"/>
      <c r="BB694" s="26"/>
      <c r="BD694" s="21"/>
      <c r="CN694" s="26"/>
      <c r="DB694" s="24"/>
      <c r="DD694" s="21"/>
      <c r="DE694" s="22"/>
      <c r="DG694" s="21"/>
      <c r="DK694" s="26"/>
      <c r="DL694" s="26"/>
      <c r="DM694" s="26"/>
      <c r="DN694" s="21"/>
      <c r="DO694" s="21"/>
      <c r="EF694" s="25"/>
      <c r="EG694" s="25"/>
      <c r="EY694" s="20"/>
    </row>
    <row r="695" spans="1:155">
      <c r="A695" s="21"/>
      <c r="B695" s="21"/>
      <c r="AA695" s="26"/>
      <c r="AB695" s="26"/>
      <c r="AC695" s="21"/>
      <c r="AD695" s="21"/>
      <c r="AY695" s="26"/>
      <c r="AZ695" s="26"/>
      <c r="BB695" s="26"/>
      <c r="BD695" s="21"/>
      <c r="CN695" s="26"/>
      <c r="DB695" s="24"/>
      <c r="DD695" s="21"/>
      <c r="DE695" s="22"/>
      <c r="DG695" s="21"/>
      <c r="DK695" s="26"/>
      <c r="DL695" s="26"/>
      <c r="DM695" s="26"/>
      <c r="DN695" s="21"/>
      <c r="DO695" s="21"/>
      <c r="EF695" s="25"/>
      <c r="EG695" s="25"/>
      <c r="EY695" s="20"/>
    </row>
    <row r="696" spans="1:155">
      <c r="A696" s="21"/>
      <c r="B696" s="21"/>
      <c r="AA696" s="26"/>
      <c r="AB696" s="26"/>
      <c r="AC696" s="21"/>
      <c r="AD696" s="21"/>
      <c r="AY696" s="26"/>
      <c r="AZ696" s="26"/>
      <c r="BB696" s="26"/>
      <c r="BD696" s="21"/>
      <c r="CN696" s="26"/>
      <c r="DB696" s="24"/>
      <c r="DD696" s="21"/>
      <c r="DE696" s="22"/>
      <c r="DG696" s="21"/>
      <c r="DK696" s="26"/>
      <c r="DL696" s="26"/>
      <c r="DM696" s="26"/>
      <c r="DN696" s="21"/>
      <c r="DO696" s="21"/>
      <c r="EF696" s="25"/>
      <c r="EG696" s="25"/>
      <c r="EY696" s="20"/>
    </row>
    <row r="697" spans="1:155">
      <c r="A697" s="21"/>
      <c r="B697" s="21"/>
      <c r="AA697" s="26"/>
      <c r="AB697" s="26"/>
      <c r="AC697" s="21"/>
      <c r="AD697" s="21"/>
      <c r="AY697" s="26"/>
      <c r="AZ697" s="26"/>
      <c r="BB697" s="26"/>
      <c r="BD697" s="21"/>
      <c r="CN697" s="26"/>
      <c r="DB697" s="24"/>
      <c r="DD697" s="21"/>
      <c r="DE697" s="22"/>
      <c r="DG697" s="21"/>
      <c r="DK697" s="26"/>
      <c r="DL697" s="26"/>
      <c r="DM697" s="26"/>
      <c r="DN697" s="21"/>
      <c r="DO697" s="21"/>
      <c r="EF697" s="25"/>
      <c r="EG697" s="25"/>
      <c r="EY697" s="20"/>
    </row>
    <row r="698" spans="1:155">
      <c r="A698" s="21"/>
      <c r="B698" s="21"/>
      <c r="AA698" s="26"/>
      <c r="AB698" s="26"/>
      <c r="AC698" s="21"/>
      <c r="AD698" s="21"/>
      <c r="AY698" s="26"/>
      <c r="AZ698" s="26"/>
      <c r="BB698" s="26"/>
      <c r="BD698" s="21"/>
      <c r="CN698" s="26"/>
      <c r="DB698" s="24"/>
      <c r="DD698" s="21"/>
      <c r="DE698" s="22"/>
      <c r="DG698" s="21"/>
      <c r="DK698" s="26"/>
      <c r="DL698" s="26"/>
      <c r="DM698" s="26"/>
      <c r="DN698" s="21"/>
      <c r="DO698" s="21"/>
      <c r="EF698" s="25"/>
      <c r="EG698" s="25"/>
      <c r="EY698" s="20"/>
    </row>
    <row r="699" spans="1:155">
      <c r="A699" s="21"/>
      <c r="B699" s="21"/>
      <c r="AA699" s="26"/>
      <c r="AB699" s="26"/>
      <c r="AC699" s="21"/>
      <c r="AD699" s="21"/>
      <c r="AY699" s="26"/>
      <c r="AZ699" s="26"/>
      <c r="BB699" s="26"/>
      <c r="BD699" s="21"/>
      <c r="CN699" s="26"/>
      <c r="DB699" s="24"/>
      <c r="DD699" s="21"/>
      <c r="DE699" s="22"/>
      <c r="DG699" s="21"/>
      <c r="DK699" s="26"/>
      <c r="DL699" s="26"/>
      <c r="DM699" s="26"/>
      <c r="DN699" s="21"/>
      <c r="DO699" s="21"/>
      <c r="EF699" s="25"/>
      <c r="EG699" s="25"/>
      <c r="EY699" s="20"/>
    </row>
    <row r="700" spans="1:155">
      <c r="A700" s="21"/>
      <c r="B700" s="21"/>
      <c r="AA700" s="26"/>
      <c r="AB700" s="26"/>
      <c r="AC700" s="21"/>
      <c r="AD700" s="21"/>
      <c r="AY700" s="26"/>
      <c r="AZ700" s="26"/>
      <c r="BB700" s="26"/>
      <c r="BD700" s="21"/>
      <c r="CN700" s="26"/>
      <c r="DB700" s="24"/>
      <c r="DD700" s="21"/>
      <c r="DE700" s="22"/>
      <c r="DG700" s="21"/>
      <c r="DK700" s="26"/>
      <c r="DL700" s="26"/>
      <c r="DM700" s="26"/>
      <c r="DN700" s="21"/>
      <c r="DO700" s="21"/>
      <c r="EF700" s="25"/>
      <c r="EG700" s="25"/>
      <c r="EY700" s="20"/>
    </row>
    <row r="701" spans="1:155">
      <c r="A701" s="21"/>
      <c r="B701" s="21"/>
      <c r="AA701" s="26"/>
      <c r="AB701" s="26"/>
      <c r="AC701" s="21"/>
      <c r="AD701" s="21"/>
      <c r="AY701" s="26"/>
      <c r="AZ701" s="26"/>
      <c r="BB701" s="26"/>
      <c r="BD701" s="21"/>
      <c r="CN701" s="26"/>
      <c r="DB701" s="24"/>
      <c r="DD701" s="21"/>
      <c r="DE701" s="22"/>
      <c r="DG701" s="21"/>
      <c r="DK701" s="26"/>
      <c r="DL701" s="26"/>
      <c r="DM701" s="26"/>
      <c r="DN701" s="21"/>
      <c r="DO701" s="21"/>
      <c r="EF701" s="25"/>
      <c r="EG701" s="25"/>
      <c r="EY701" s="20"/>
    </row>
    <row r="702" spans="1:155">
      <c r="A702" s="21"/>
      <c r="B702" s="21"/>
      <c r="AA702" s="26"/>
      <c r="AB702" s="26"/>
      <c r="AC702" s="21"/>
      <c r="AD702" s="21"/>
      <c r="AY702" s="26"/>
      <c r="AZ702" s="26"/>
      <c r="BB702" s="26"/>
      <c r="BD702" s="21"/>
      <c r="CN702" s="26"/>
      <c r="DB702" s="24"/>
      <c r="DD702" s="21"/>
      <c r="DE702" s="22"/>
      <c r="DG702" s="21"/>
      <c r="DK702" s="26"/>
      <c r="DL702" s="26"/>
      <c r="DM702" s="26"/>
      <c r="DN702" s="21"/>
      <c r="DO702" s="21"/>
      <c r="EF702" s="25"/>
      <c r="EG702" s="25"/>
      <c r="EY702" s="20"/>
    </row>
    <row r="703" spans="1:155">
      <c r="A703" s="21"/>
      <c r="B703" s="21"/>
      <c r="AA703" s="26"/>
      <c r="AB703" s="26"/>
      <c r="AC703" s="21"/>
      <c r="AD703" s="21"/>
      <c r="AY703" s="26"/>
      <c r="AZ703" s="26"/>
      <c r="BB703" s="26"/>
      <c r="BD703" s="21"/>
      <c r="CN703" s="26"/>
      <c r="DB703" s="24"/>
      <c r="DD703" s="21"/>
      <c r="DE703" s="22"/>
      <c r="DG703" s="21"/>
      <c r="DK703" s="26"/>
      <c r="DL703" s="26"/>
      <c r="DM703" s="26"/>
      <c r="DN703" s="21"/>
      <c r="DO703" s="21"/>
      <c r="EF703" s="25"/>
      <c r="EG703" s="25"/>
      <c r="EY703" s="20"/>
    </row>
    <row r="704" spans="1:155">
      <c r="A704" s="21"/>
      <c r="B704" s="21"/>
      <c r="AA704" s="26"/>
      <c r="AB704" s="26"/>
      <c r="AC704" s="21"/>
      <c r="AD704" s="21"/>
      <c r="AY704" s="26"/>
      <c r="AZ704" s="26"/>
      <c r="BB704" s="26"/>
      <c r="BD704" s="21"/>
      <c r="CN704" s="26"/>
      <c r="DB704" s="24"/>
      <c r="DD704" s="21"/>
      <c r="DE704" s="22"/>
      <c r="DG704" s="21"/>
      <c r="DK704" s="26"/>
      <c r="DL704" s="26"/>
      <c r="DM704" s="26"/>
      <c r="DN704" s="21"/>
      <c r="DO704" s="21"/>
      <c r="EF704" s="25"/>
      <c r="EG704" s="25"/>
      <c r="EY704" s="20"/>
    </row>
    <row r="705" spans="1:155">
      <c r="A705" s="21"/>
      <c r="B705" s="21"/>
      <c r="AA705" s="26"/>
      <c r="AB705" s="26"/>
      <c r="AC705" s="21"/>
      <c r="AD705" s="21"/>
      <c r="AY705" s="26"/>
      <c r="AZ705" s="26"/>
      <c r="BB705" s="26"/>
      <c r="BD705" s="21"/>
      <c r="CN705" s="26"/>
      <c r="DB705" s="24"/>
      <c r="DD705" s="21"/>
      <c r="DE705" s="22"/>
      <c r="DG705" s="21"/>
      <c r="DK705" s="26"/>
      <c r="DL705" s="26"/>
      <c r="DM705" s="26"/>
      <c r="DN705" s="21"/>
      <c r="DO705" s="21"/>
      <c r="EF705" s="25"/>
      <c r="EG705" s="25"/>
      <c r="EY705" s="20"/>
    </row>
    <row r="706" spans="1:155">
      <c r="A706" s="21"/>
      <c r="B706" s="21"/>
      <c r="AA706" s="26"/>
      <c r="AB706" s="26"/>
      <c r="AC706" s="21"/>
      <c r="AD706" s="21"/>
      <c r="AY706" s="26"/>
      <c r="AZ706" s="26"/>
      <c r="BB706" s="26"/>
      <c r="BD706" s="21"/>
      <c r="CN706" s="26"/>
      <c r="DB706" s="24"/>
      <c r="DD706" s="21"/>
      <c r="DE706" s="22"/>
      <c r="DG706" s="21"/>
      <c r="DK706" s="26"/>
      <c r="DL706" s="26"/>
      <c r="DM706" s="26"/>
      <c r="DN706" s="21"/>
      <c r="DO706" s="21"/>
      <c r="EF706" s="25"/>
      <c r="EG706" s="25"/>
      <c r="EY706" s="20"/>
    </row>
    <row r="707" spans="1:155">
      <c r="A707" s="21"/>
      <c r="B707" s="21"/>
      <c r="AA707" s="26"/>
      <c r="AB707" s="26"/>
      <c r="AC707" s="21"/>
      <c r="AD707" s="21"/>
      <c r="AY707" s="26"/>
      <c r="AZ707" s="26"/>
      <c r="BB707" s="26"/>
      <c r="BD707" s="21"/>
      <c r="CN707" s="26"/>
      <c r="DB707" s="24"/>
      <c r="DD707" s="21"/>
      <c r="DE707" s="22"/>
      <c r="DG707" s="21"/>
      <c r="DK707" s="26"/>
      <c r="DL707" s="26"/>
      <c r="DM707" s="26"/>
      <c r="DN707" s="21"/>
      <c r="DO707" s="21"/>
      <c r="EF707" s="25"/>
      <c r="EG707" s="25"/>
      <c r="EY707" s="20"/>
    </row>
    <row r="708" spans="1:155">
      <c r="A708" s="21"/>
      <c r="B708" s="21"/>
      <c r="AA708" s="26"/>
      <c r="AB708" s="26"/>
      <c r="AC708" s="21"/>
      <c r="AD708" s="21"/>
      <c r="AY708" s="26"/>
      <c r="AZ708" s="26"/>
      <c r="BB708" s="26"/>
      <c r="BD708" s="21"/>
      <c r="CN708" s="26"/>
      <c r="DB708" s="24"/>
      <c r="DD708" s="21"/>
      <c r="DE708" s="22"/>
      <c r="DG708" s="21"/>
      <c r="DK708" s="26"/>
      <c r="DL708" s="26"/>
      <c r="DM708" s="26"/>
      <c r="DN708" s="21"/>
      <c r="DO708" s="21"/>
      <c r="EF708" s="25"/>
      <c r="EG708" s="25"/>
      <c r="EY708" s="20"/>
    </row>
    <row r="709" spans="1:155">
      <c r="A709" s="21"/>
      <c r="B709" s="21"/>
      <c r="AA709" s="26"/>
      <c r="AB709" s="26"/>
      <c r="AC709" s="21"/>
      <c r="AD709" s="21"/>
      <c r="AY709" s="26"/>
      <c r="AZ709" s="26"/>
      <c r="BB709" s="26"/>
      <c r="BD709" s="21"/>
      <c r="CN709" s="26"/>
      <c r="DB709" s="24"/>
      <c r="DD709" s="21"/>
      <c r="DE709" s="22"/>
      <c r="DG709" s="21"/>
      <c r="DK709" s="26"/>
      <c r="DL709" s="26"/>
      <c r="DM709" s="26"/>
      <c r="DN709" s="21"/>
      <c r="DO709" s="21"/>
      <c r="EF709" s="25"/>
      <c r="EG709" s="25"/>
      <c r="EY709" s="20"/>
    </row>
    <row r="710" spans="1:155">
      <c r="A710" s="21"/>
      <c r="B710" s="21"/>
      <c r="AA710" s="26"/>
      <c r="AB710" s="26"/>
      <c r="AC710" s="21"/>
      <c r="AD710" s="21"/>
      <c r="AY710" s="26"/>
      <c r="AZ710" s="26"/>
      <c r="BB710" s="26"/>
      <c r="BD710" s="21"/>
      <c r="CN710" s="26"/>
      <c r="DB710" s="24"/>
      <c r="DD710" s="21"/>
      <c r="DE710" s="22"/>
      <c r="DG710" s="21"/>
      <c r="DK710" s="26"/>
      <c r="DL710" s="26"/>
      <c r="DM710" s="26"/>
      <c r="DN710" s="21"/>
      <c r="DO710" s="21"/>
      <c r="EF710" s="25"/>
      <c r="EG710" s="25"/>
      <c r="EY710" s="20"/>
    </row>
    <row r="711" spans="1:155">
      <c r="A711" s="21"/>
      <c r="B711" s="21"/>
      <c r="AA711" s="26"/>
      <c r="AB711" s="26"/>
      <c r="AC711" s="21"/>
      <c r="AD711" s="21"/>
      <c r="AY711" s="26"/>
      <c r="AZ711" s="26"/>
      <c r="BB711" s="26"/>
      <c r="BD711" s="21"/>
      <c r="CN711" s="26"/>
      <c r="DB711" s="24"/>
      <c r="DD711" s="21"/>
      <c r="DE711" s="22"/>
      <c r="DG711" s="21"/>
      <c r="DK711" s="26"/>
      <c r="DL711" s="26"/>
      <c r="DM711" s="26"/>
      <c r="DN711" s="21"/>
      <c r="DO711" s="21"/>
      <c r="EF711" s="25"/>
      <c r="EG711" s="25"/>
      <c r="EY711" s="20"/>
    </row>
    <row r="712" spans="1:155">
      <c r="A712" s="21"/>
      <c r="B712" s="21"/>
      <c r="AA712" s="26"/>
      <c r="AB712" s="26"/>
      <c r="AC712" s="21"/>
      <c r="AD712" s="21"/>
      <c r="AY712" s="26"/>
      <c r="AZ712" s="26"/>
      <c r="BB712" s="26"/>
      <c r="BD712" s="21"/>
      <c r="CN712" s="26"/>
      <c r="DB712" s="24"/>
      <c r="DD712" s="21"/>
      <c r="DE712" s="22"/>
      <c r="DG712" s="21"/>
      <c r="DK712" s="26"/>
      <c r="DL712" s="26"/>
      <c r="DM712" s="26"/>
      <c r="DN712" s="21"/>
      <c r="DO712" s="21"/>
      <c r="EF712" s="25"/>
      <c r="EG712" s="25"/>
      <c r="EY712" s="20"/>
    </row>
    <row r="713" spans="1:155">
      <c r="A713" s="21"/>
      <c r="B713" s="21"/>
      <c r="AA713" s="26"/>
      <c r="AB713" s="26"/>
      <c r="AC713" s="21"/>
      <c r="AD713" s="21"/>
      <c r="AY713" s="26"/>
      <c r="AZ713" s="26"/>
      <c r="BB713" s="26"/>
      <c r="BD713" s="21"/>
      <c r="CN713" s="26"/>
      <c r="DB713" s="24"/>
      <c r="DD713" s="21"/>
      <c r="DE713" s="22"/>
      <c r="DG713" s="21"/>
      <c r="DK713" s="26"/>
      <c r="DL713" s="26"/>
      <c r="DM713" s="26"/>
      <c r="DN713" s="21"/>
      <c r="DO713" s="21"/>
      <c r="EF713" s="25"/>
      <c r="EG713" s="25"/>
      <c r="EY713" s="20"/>
    </row>
    <row r="714" spans="1:155">
      <c r="A714" s="21"/>
      <c r="B714" s="21"/>
      <c r="AA714" s="26"/>
      <c r="AB714" s="26"/>
      <c r="AC714" s="21"/>
      <c r="AD714" s="21"/>
      <c r="AY714" s="26"/>
      <c r="AZ714" s="26"/>
      <c r="BB714" s="26"/>
      <c r="BD714" s="21"/>
      <c r="CN714" s="26"/>
      <c r="DB714" s="24"/>
      <c r="DD714" s="21"/>
      <c r="DE714" s="22"/>
      <c r="DG714" s="21"/>
      <c r="DK714" s="26"/>
      <c r="DL714" s="26"/>
      <c r="DM714" s="26"/>
      <c r="DN714" s="21"/>
      <c r="DO714" s="21"/>
      <c r="EF714" s="25"/>
      <c r="EG714" s="25"/>
      <c r="EY714" s="20"/>
    </row>
    <row r="715" spans="1:155">
      <c r="A715" s="21"/>
      <c r="B715" s="21"/>
      <c r="AA715" s="26"/>
      <c r="AB715" s="26"/>
      <c r="AC715" s="21"/>
      <c r="AD715" s="21"/>
      <c r="AY715" s="26"/>
      <c r="AZ715" s="26"/>
      <c r="BB715" s="26"/>
      <c r="BD715" s="21"/>
      <c r="CN715" s="26"/>
      <c r="DB715" s="24"/>
      <c r="DD715" s="21"/>
      <c r="DE715" s="22"/>
      <c r="DG715" s="21"/>
      <c r="DK715" s="26"/>
      <c r="DL715" s="26"/>
      <c r="DM715" s="26"/>
      <c r="DN715" s="21"/>
      <c r="DO715" s="21"/>
      <c r="EF715" s="25"/>
      <c r="EG715" s="25"/>
      <c r="EY715" s="20"/>
    </row>
    <row r="716" spans="1:155">
      <c r="A716" s="21"/>
      <c r="B716" s="21"/>
      <c r="AA716" s="26"/>
      <c r="AB716" s="26"/>
      <c r="AC716" s="21"/>
      <c r="AD716" s="21"/>
      <c r="AY716" s="26"/>
      <c r="AZ716" s="26"/>
      <c r="BB716" s="26"/>
      <c r="BD716" s="21"/>
      <c r="CN716" s="26"/>
      <c r="DB716" s="24"/>
      <c r="DD716" s="21"/>
      <c r="DE716" s="22"/>
      <c r="DG716" s="21"/>
      <c r="DK716" s="26"/>
      <c r="DL716" s="26"/>
      <c r="DM716" s="26"/>
      <c r="DN716" s="21"/>
      <c r="DO716" s="21"/>
      <c r="EF716" s="25"/>
      <c r="EG716" s="25"/>
      <c r="EY716" s="20"/>
    </row>
    <row r="717" spans="1:155">
      <c r="A717" s="21"/>
      <c r="B717" s="21"/>
      <c r="AA717" s="26"/>
      <c r="AB717" s="26"/>
      <c r="AC717" s="21"/>
      <c r="AD717" s="21"/>
      <c r="AY717" s="26"/>
      <c r="AZ717" s="26"/>
      <c r="BB717" s="26"/>
      <c r="BD717" s="21"/>
      <c r="CN717" s="26"/>
      <c r="DB717" s="24"/>
      <c r="DD717" s="21"/>
      <c r="DE717" s="22"/>
      <c r="DG717" s="21"/>
      <c r="DK717" s="26"/>
      <c r="DL717" s="26"/>
      <c r="DM717" s="26"/>
      <c r="DN717" s="21"/>
      <c r="DO717" s="21"/>
      <c r="EF717" s="25"/>
      <c r="EG717" s="25"/>
      <c r="EY717" s="20"/>
    </row>
    <row r="718" spans="1:155">
      <c r="A718" s="21"/>
      <c r="B718" s="21"/>
      <c r="AA718" s="26"/>
      <c r="AB718" s="26"/>
      <c r="AC718" s="21"/>
      <c r="AD718" s="21"/>
      <c r="AY718" s="26"/>
      <c r="AZ718" s="26"/>
      <c r="BB718" s="26"/>
      <c r="BD718" s="21"/>
      <c r="CN718" s="26"/>
      <c r="DB718" s="24"/>
      <c r="DD718" s="21"/>
      <c r="DE718" s="22"/>
      <c r="DG718" s="21"/>
      <c r="DK718" s="26"/>
      <c r="DL718" s="26"/>
      <c r="DM718" s="26"/>
      <c r="DN718" s="21"/>
      <c r="DO718" s="21"/>
      <c r="EF718" s="25"/>
      <c r="EG718" s="25"/>
      <c r="EY718" s="20"/>
    </row>
    <row r="719" spans="1:155">
      <c r="A719" s="21"/>
      <c r="B719" s="21"/>
      <c r="AA719" s="26"/>
      <c r="AB719" s="26"/>
      <c r="AC719" s="21"/>
      <c r="AD719" s="21"/>
      <c r="AY719" s="26"/>
      <c r="AZ719" s="26"/>
      <c r="BB719" s="26"/>
      <c r="BD719" s="21"/>
      <c r="CN719" s="26"/>
      <c r="DB719" s="24"/>
      <c r="DD719" s="21"/>
      <c r="DE719" s="22"/>
      <c r="DG719" s="21"/>
      <c r="DK719" s="26"/>
      <c r="DL719" s="26"/>
      <c r="DM719" s="26"/>
      <c r="DN719" s="21"/>
      <c r="DO719" s="21"/>
      <c r="EF719" s="25"/>
      <c r="EG719" s="25"/>
      <c r="EY719" s="20"/>
    </row>
    <row r="720" spans="1:155">
      <c r="A720" s="21"/>
      <c r="B720" s="21"/>
      <c r="AA720" s="26"/>
      <c r="AB720" s="26"/>
      <c r="AC720" s="21"/>
      <c r="AD720" s="21"/>
      <c r="AY720" s="26"/>
      <c r="AZ720" s="26"/>
      <c r="BB720" s="26"/>
      <c r="BD720" s="21"/>
      <c r="CN720" s="26"/>
      <c r="DB720" s="24"/>
      <c r="DD720" s="21"/>
      <c r="DE720" s="22"/>
      <c r="DG720" s="21"/>
      <c r="DK720" s="26"/>
      <c r="DL720" s="26"/>
      <c r="DM720" s="26"/>
      <c r="DN720" s="21"/>
      <c r="DO720" s="21"/>
      <c r="EF720" s="25"/>
      <c r="EG720" s="25"/>
      <c r="EY720" s="20"/>
    </row>
    <row r="721" spans="1:155">
      <c r="A721" s="21"/>
      <c r="B721" s="21"/>
      <c r="AA721" s="26"/>
      <c r="AB721" s="26"/>
      <c r="AC721" s="21"/>
      <c r="AD721" s="21"/>
      <c r="AY721" s="26"/>
      <c r="AZ721" s="26"/>
      <c r="BB721" s="26"/>
      <c r="BD721" s="21"/>
      <c r="CN721" s="26"/>
      <c r="DB721" s="24"/>
      <c r="DD721" s="21"/>
      <c r="DE721" s="22"/>
      <c r="DG721" s="21"/>
      <c r="DK721" s="26"/>
      <c r="DL721" s="26"/>
      <c r="DM721" s="26"/>
      <c r="DN721" s="21"/>
      <c r="DO721" s="21"/>
      <c r="EF721" s="25"/>
      <c r="EG721" s="25"/>
      <c r="EY721" s="20"/>
    </row>
    <row r="722" spans="1:155">
      <c r="A722" s="21"/>
      <c r="B722" s="21"/>
      <c r="AA722" s="26"/>
      <c r="AB722" s="26"/>
      <c r="AC722" s="21"/>
      <c r="AD722" s="21"/>
      <c r="AY722" s="26"/>
      <c r="AZ722" s="26"/>
      <c r="BB722" s="26"/>
      <c r="BD722" s="21"/>
      <c r="CN722" s="26"/>
      <c r="DB722" s="24"/>
      <c r="DD722" s="21"/>
      <c r="DE722" s="22"/>
      <c r="DG722" s="21"/>
      <c r="DK722" s="26"/>
      <c r="DL722" s="26"/>
      <c r="DM722" s="26"/>
      <c r="DN722" s="21"/>
      <c r="DO722" s="21"/>
      <c r="EF722" s="25"/>
      <c r="EG722" s="25"/>
      <c r="EY722" s="20"/>
    </row>
    <row r="723" spans="1:155">
      <c r="A723" s="21"/>
      <c r="B723" s="21"/>
      <c r="AA723" s="26"/>
      <c r="AB723" s="26"/>
      <c r="AC723" s="21"/>
      <c r="AD723" s="21"/>
      <c r="AY723" s="26"/>
      <c r="AZ723" s="26"/>
      <c r="BB723" s="26"/>
      <c r="BD723" s="21"/>
      <c r="CN723" s="26"/>
      <c r="DB723" s="24"/>
      <c r="DD723" s="21"/>
      <c r="DE723" s="22"/>
      <c r="DG723" s="21"/>
      <c r="DK723" s="26"/>
      <c r="DL723" s="26"/>
      <c r="DM723" s="26"/>
      <c r="DN723" s="21"/>
      <c r="DO723" s="21"/>
      <c r="EF723" s="25"/>
      <c r="EG723" s="25"/>
      <c r="EY723" s="20"/>
    </row>
    <row r="724" spans="1:155">
      <c r="A724" s="21"/>
      <c r="B724" s="21"/>
      <c r="AA724" s="26"/>
      <c r="AB724" s="26"/>
      <c r="AC724" s="21"/>
      <c r="AD724" s="21"/>
      <c r="AY724" s="26"/>
      <c r="AZ724" s="26"/>
      <c r="BB724" s="26"/>
      <c r="BD724" s="21"/>
      <c r="CN724" s="26"/>
      <c r="DB724" s="24"/>
      <c r="DD724" s="21"/>
      <c r="DE724" s="22"/>
      <c r="DG724" s="21"/>
      <c r="DK724" s="26"/>
      <c r="DL724" s="26"/>
      <c r="DM724" s="26"/>
      <c r="DN724" s="21"/>
      <c r="DO724" s="21"/>
      <c r="EF724" s="25"/>
      <c r="EG724" s="25"/>
      <c r="EY724" s="20"/>
    </row>
    <row r="725" spans="1:155">
      <c r="A725" s="21"/>
      <c r="B725" s="21"/>
      <c r="AA725" s="26"/>
      <c r="AB725" s="26"/>
      <c r="AC725" s="21"/>
      <c r="AD725" s="21"/>
      <c r="AY725" s="26"/>
      <c r="AZ725" s="26"/>
      <c r="BB725" s="26"/>
      <c r="BD725" s="21"/>
      <c r="CN725" s="26"/>
      <c r="DB725" s="24"/>
      <c r="DD725" s="21"/>
      <c r="DE725" s="22"/>
      <c r="DG725" s="21"/>
      <c r="DK725" s="26"/>
      <c r="DL725" s="26"/>
      <c r="DM725" s="26"/>
      <c r="DN725" s="21"/>
      <c r="DO725" s="21"/>
      <c r="EF725" s="25"/>
      <c r="EG725" s="25"/>
      <c r="EY725" s="20"/>
    </row>
    <row r="726" spans="1:155">
      <c r="A726" s="21"/>
      <c r="B726" s="21"/>
      <c r="AA726" s="26"/>
      <c r="AB726" s="26"/>
      <c r="AC726" s="21"/>
      <c r="AD726" s="21"/>
      <c r="AY726" s="26"/>
      <c r="AZ726" s="26"/>
      <c r="BB726" s="26"/>
      <c r="BD726" s="21"/>
      <c r="CN726" s="26"/>
      <c r="DB726" s="24"/>
      <c r="DD726" s="21"/>
      <c r="DE726" s="22"/>
      <c r="DG726" s="21"/>
      <c r="DK726" s="26"/>
      <c r="DL726" s="26"/>
      <c r="DM726" s="26"/>
      <c r="DN726" s="21"/>
      <c r="DO726" s="21"/>
      <c r="EF726" s="25"/>
      <c r="EG726" s="25"/>
      <c r="EY726" s="20"/>
    </row>
    <row r="727" spans="1:155">
      <c r="A727" s="21"/>
      <c r="B727" s="21"/>
      <c r="AA727" s="26"/>
      <c r="AB727" s="26"/>
      <c r="AC727" s="21"/>
      <c r="AD727" s="21"/>
      <c r="AY727" s="26"/>
      <c r="AZ727" s="26"/>
      <c r="BB727" s="26"/>
      <c r="BD727" s="21"/>
      <c r="CN727" s="26"/>
      <c r="DB727" s="24"/>
      <c r="DD727" s="21"/>
      <c r="DE727" s="22"/>
      <c r="DG727" s="21"/>
      <c r="DK727" s="26"/>
      <c r="DL727" s="26"/>
      <c r="DM727" s="26"/>
      <c r="DN727" s="21"/>
      <c r="DO727" s="21"/>
      <c r="EF727" s="25"/>
      <c r="EG727" s="25"/>
      <c r="EY727" s="20"/>
    </row>
    <row r="728" spans="1:155">
      <c r="A728" s="21"/>
      <c r="B728" s="21"/>
      <c r="AA728" s="26"/>
      <c r="AB728" s="26"/>
      <c r="AC728" s="21"/>
      <c r="AD728" s="21"/>
      <c r="AY728" s="26"/>
      <c r="AZ728" s="26"/>
      <c r="BB728" s="26"/>
      <c r="BD728" s="21"/>
      <c r="CN728" s="26"/>
      <c r="DB728" s="24"/>
      <c r="DD728" s="21"/>
      <c r="DE728" s="22"/>
      <c r="DG728" s="21"/>
      <c r="DK728" s="26"/>
      <c r="DL728" s="26"/>
      <c r="DM728" s="26"/>
      <c r="DN728" s="21"/>
      <c r="DO728" s="21"/>
      <c r="EF728" s="25"/>
      <c r="EG728" s="25"/>
      <c r="EY728" s="20"/>
    </row>
    <row r="729" spans="1:155">
      <c r="A729" s="21"/>
      <c r="B729" s="21"/>
      <c r="AA729" s="26"/>
      <c r="AB729" s="26"/>
      <c r="AC729" s="21"/>
      <c r="AD729" s="21"/>
      <c r="AY729" s="26"/>
      <c r="AZ729" s="26"/>
      <c r="BB729" s="26"/>
      <c r="BD729" s="21"/>
      <c r="CN729" s="26"/>
      <c r="DB729" s="24"/>
      <c r="DD729" s="21"/>
      <c r="DE729" s="22"/>
      <c r="DG729" s="21"/>
      <c r="DK729" s="26"/>
      <c r="DL729" s="26"/>
      <c r="DM729" s="26"/>
      <c r="DN729" s="21"/>
      <c r="DO729" s="21"/>
      <c r="EF729" s="25"/>
      <c r="EG729" s="25"/>
      <c r="EY729" s="20"/>
    </row>
    <row r="730" spans="1:155">
      <c r="A730" s="21"/>
      <c r="B730" s="21"/>
      <c r="AA730" s="26"/>
      <c r="AB730" s="26"/>
      <c r="AC730" s="21"/>
      <c r="AD730" s="21"/>
      <c r="AY730" s="26"/>
      <c r="AZ730" s="26"/>
      <c r="BB730" s="26"/>
      <c r="BD730" s="21"/>
      <c r="CN730" s="26"/>
      <c r="DB730" s="24"/>
      <c r="DD730" s="21"/>
      <c r="DE730" s="22"/>
      <c r="DG730" s="21"/>
      <c r="DK730" s="26"/>
      <c r="DL730" s="26"/>
      <c r="DM730" s="26"/>
      <c r="DN730" s="21"/>
      <c r="DO730" s="21"/>
      <c r="EF730" s="25"/>
      <c r="EG730" s="25"/>
      <c r="EY730" s="20"/>
    </row>
    <row r="731" spans="1:155">
      <c r="A731" s="21"/>
      <c r="B731" s="21"/>
      <c r="AA731" s="26"/>
      <c r="AB731" s="26"/>
      <c r="AC731" s="21"/>
      <c r="AD731" s="21"/>
      <c r="AY731" s="26"/>
      <c r="AZ731" s="26"/>
      <c r="BB731" s="26"/>
      <c r="BD731" s="21"/>
      <c r="CN731" s="26"/>
      <c r="DB731" s="24"/>
      <c r="DD731" s="21"/>
      <c r="DE731" s="22"/>
      <c r="DG731" s="21"/>
      <c r="DK731" s="26"/>
      <c r="DL731" s="26"/>
      <c r="DM731" s="26"/>
      <c r="DN731" s="21"/>
      <c r="DO731" s="21"/>
      <c r="EF731" s="25"/>
      <c r="EG731" s="25"/>
      <c r="EY731" s="20"/>
    </row>
    <row r="732" spans="1:155">
      <c r="A732" s="21"/>
      <c r="B732" s="21"/>
      <c r="AA732" s="26"/>
      <c r="AB732" s="26"/>
      <c r="AC732" s="21"/>
      <c r="AD732" s="21"/>
      <c r="AY732" s="26"/>
      <c r="AZ732" s="26"/>
      <c r="BB732" s="26"/>
      <c r="BD732" s="21"/>
      <c r="CN732" s="26"/>
      <c r="DB732" s="24"/>
      <c r="DD732" s="21"/>
      <c r="DE732" s="22"/>
      <c r="DG732" s="21"/>
      <c r="DK732" s="26"/>
      <c r="DL732" s="26"/>
      <c r="DM732" s="26"/>
      <c r="DN732" s="21"/>
      <c r="DO732" s="21"/>
      <c r="EF732" s="25"/>
      <c r="EG732" s="25"/>
      <c r="EY732" s="20"/>
    </row>
    <row r="733" spans="1:155">
      <c r="A733" s="21"/>
      <c r="B733" s="21"/>
      <c r="AA733" s="26"/>
      <c r="AB733" s="26"/>
      <c r="AC733" s="21"/>
      <c r="AD733" s="21"/>
      <c r="AY733" s="26"/>
      <c r="AZ733" s="26"/>
      <c r="BB733" s="26"/>
      <c r="BD733" s="21"/>
      <c r="CN733" s="26"/>
      <c r="DB733" s="24"/>
      <c r="DD733" s="21"/>
      <c r="DE733" s="22"/>
      <c r="DG733" s="21"/>
      <c r="DK733" s="26"/>
      <c r="DL733" s="26"/>
      <c r="DM733" s="26"/>
      <c r="DN733" s="21"/>
      <c r="DO733" s="21"/>
      <c r="EF733" s="25"/>
      <c r="EG733" s="25"/>
      <c r="EY733" s="20"/>
    </row>
    <row r="734" spans="1:155">
      <c r="A734" s="21"/>
      <c r="B734" s="21"/>
      <c r="AA734" s="26"/>
      <c r="AB734" s="26"/>
      <c r="AC734" s="21"/>
      <c r="AD734" s="21"/>
      <c r="AY734" s="26"/>
      <c r="AZ734" s="26"/>
      <c r="BB734" s="26"/>
      <c r="BD734" s="21"/>
      <c r="CN734" s="26"/>
      <c r="DB734" s="24"/>
      <c r="DD734" s="21"/>
      <c r="DE734" s="22"/>
      <c r="DG734" s="21"/>
      <c r="DK734" s="26"/>
      <c r="DL734" s="26"/>
      <c r="DM734" s="26"/>
      <c r="DN734" s="21"/>
      <c r="DO734" s="21"/>
      <c r="EF734" s="25"/>
      <c r="EG734" s="25"/>
      <c r="EY734" s="20"/>
    </row>
    <row r="735" spans="1:155">
      <c r="A735" s="21"/>
      <c r="B735" s="21"/>
      <c r="AA735" s="26"/>
      <c r="AB735" s="26"/>
      <c r="AC735" s="21"/>
      <c r="AD735" s="21"/>
      <c r="AY735" s="26"/>
      <c r="AZ735" s="26"/>
      <c r="BB735" s="26"/>
      <c r="BD735" s="21"/>
      <c r="CN735" s="26"/>
      <c r="DB735" s="24"/>
      <c r="DD735" s="21"/>
      <c r="DE735" s="22"/>
      <c r="DG735" s="21"/>
      <c r="DK735" s="26"/>
      <c r="DL735" s="26"/>
      <c r="DM735" s="26"/>
      <c r="DN735" s="21"/>
      <c r="DO735" s="21"/>
      <c r="EF735" s="25"/>
      <c r="EG735" s="25"/>
      <c r="EY735" s="20"/>
    </row>
    <row r="736" spans="1:155">
      <c r="A736" s="21"/>
      <c r="B736" s="21"/>
      <c r="AA736" s="26"/>
      <c r="AB736" s="26"/>
      <c r="AC736" s="21"/>
      <c r="AD736" s="21"/>
      <c r="AY736" s="26"/>
      <c r="AZ736" s="26"/>
      <c r="BB736" s="26"/>
      <c r="BD736" s="21"/>
      <c r="CN736" s="26"/>
      <c r="DB736" s="24"/>
      <c r="DD736" s="21"/>
      <c r="DE736" s="22"/>
      <c r="DG736" s="21"/>
      <c r="DK736" s="26"/>
      <c r="DL736" s="26"/>
      <c r="DM736" s="26"/>
      <c r="DN736" s="21"/>
      <c r="DO736" s="21"/>
      <c r="EF736" s="25"/>
      <c r="EG736" s="25"/>
      <c r="EY736" s="20"/>
    </row>
    <row r="737" spans="1:155">
      <c r="A737" s="21"/>
      <c r="B737" s="21"/>
      <c r="AA737" s="26"/>
      <c r="AB737" s="26"/>
      <c r="AC737" s="21"/>
      <c r="AD737" s="21"/>
      <c r="AY737" s="26"/>
      <c r="AZ737" s="26"/>
      <c r="BB737" s="26"/>
      <c r="BD737" s="21"/>
      <c r="CN737" s="26"/>
      <c r="DB737" s="24"/>
      <c r="DD737" s="21"/>
      <c r="DE737" s="22"/>
      <c r="DG737" s="21"/>
      <c r="DK737" s="26"/>
      <c r="DL737" s="26"/>
      <c r="DM737" s="26"/>
      <c r="DN737" s="21"/>
      <c r="DO737" s="21"/>
      <c r="EF737" s="25"/>
      <c r="EG737" s="25"/>
      <c r="EY737" s="20"/>
    </row>
    <row r="738" spans="1:155">
      <c r="A738" s="21"/>
      <c r="B738" s="21"/>
      <c r="AA738" s="26"/>
      <c r="AB738" s="26"/>
      <c r="AC738" s="21"/>
      <c r="AD738" s="21"/>
      <c r="AY738" s="26"/>
      <c r="AZ738" s="26"/>
      <c r="BB738" s="26"/>
      <c r="BD738" s="21"/>
      <c r="CN738" s="26"/>
      <c r="DB738" s="24"/>
      <c r="DD738" s="21"/>
      <c r="DE738" s="22"/>
      <c r="DG738" s="21"/>
      <c r="DK738" s="26"/>
      <c r="DL738" s="26"/>
      <c r="DM738" s="26"/>
      <c r="DN738" s="21"/>
      <c r="DO738" s="21"/>
      <c r="EF738" s="25"/>
      <c r="EG738" s="25"/>
      <c r="EY738" s="20"/>
    </row>
    <row r="739" spans="1:155">
      <c r="A739" s="21"/>
      <c r="B739" s="21"/>
      <c r="AA739" s="26"/>
      <c r="AB739" s="26"/>
      <c r="AC739" s="21"/>
      <c r="AD739" s="21"/>
      <c r="AY739" s="26"/>
      <c r="AZ739" s="26"/>
      <c r="BB739" s="26"/>
      <c r="BD739" s="21"/>
      <c r="CN739" s="26"/>
      <c r="DB739" s="24"/>
      <c r="DD739" s="21"/>
      <c r="DE739" s="22"/>
      <c r="DG739" s="21"/>
      <c r="DK739" s="26"/>
      <c r="DL739" s="26"/>
      <c r="DM739" s="26"/>
      <c r="DN739" s="21"/>
      <c r="DO739" s="21"/>
      <c r="EF739" s="25"/>
      <c r="EG739" s="25"/>
      <c r="EY739" s="20"/>
    </row>
    <row r="740" spans="1:155">
      <c r="A740" s="21"/>
      <c r="B740" s="21"/>
      <c r="AA740" s="26"/>
      <c r="AB740" s="26"/>
      <c r="AC740" s="21"/>
      <c r="AD740" s="21"/>
      <c r="AY740" s="26"/>
      <c r="AZ740" s="26"/>
      <c r="BB740" s="26"/>
      <c r="BD740" s="21"/>
      <c r="CN740" s="26"/>
      <c r="DB740" s="24"/>
      <c r="DD740" s="21"/>
      <c r="DE740" s="22"/>
      <c r="DG740" s="21"/>
      <c r="DK740" s="26"/>
      <c r="DL740" s="26"/>
      <c r="DM740" s="26"/>
      <c r="DN740" s="21"/>
      <c r="DO740" s="21"/>
      <c r="EF740" s="25"/>
      <c r="EG740" s="25"/>
      <c r="EY740" s="20"/>
    </row>
    <row r="741" spans="1:155">
      <c r="A741" s="21"/>
      <c r="B741" s="21"/>
      <c r="AA741" s="26"/>
      <c r="AB741" s="26"/>
      <c r="AC741" s="21"/>
      <c r="AD741" s="21"/>
      <c r="AY741" s="26"/>
      <c r="AZ741" s="26"/>
      <c r="BB741" s="26"/>
      <c r="BD741" s="21"/>
      <c r="CN741" s="26"/>
      <c r="DB741" s="24"/>
      <c r="DD741" s="21"/>
      <c r="DE741" s="22"/>
      <c r="DG741" s="21"/>
      <c r="DK741" s="26"/>
      <c r="DL741" s="26"/>
      <c r="DM741" s="26"/>
      <c r="DN741" s="21"/>
      <c r="DO741" s="21"/>
      <c r="EF741" s="25"/>
      <c r="EG741" s="25"/>
      <c r="EY741" s="20"/>
    </row>
    <row r="742" spans="1:155">
      <c r="A742" s="21"/>
      <c r="B742" s="21"/>
      <c r="AA742" s="26"/>
      <c r="AB742" s="26"/>
      <c r="AC742" s="21"/>
      <c r="AD742" s="21"/>
      <c r="AY742" s="26"/>
      <c r="AZ742" s="26"/>
      <c r="BB742" s="26"/>
      <c r="BD742" s="21"/>
      <c r="CN742" s="26"/>
      <c r="DB742" s="24"/>
      <c r="DD742" s="21"/>
      <c r="DE742" s="22"/>
      <c r="DG742" s="21"/>
      <c r="DK742" s="26"/>
      <c r="DL742" s="26"/>
      <c r="DM742" s="26"/>
      <c r="DN742" s="21"/>
      <c r="DO742" s="21"/>
      <c r="EF742" s="25"/>
      <c r="EG742" s="25"/>
      <c r="EY742" s="20"/>
    </row>
    <row r="743" spans="1:155">
      <c r="A743" s="21"/>
      <c r="B743" s="21"/>
      <c r="AA743" s="26"/>
      <c r="AB743" s="26"/>
      <c r="AC743" s="21"/>
      <c r="AD743" s="21"/>
      <c r="AY743" s="26"/>
      <c r="AZ743" s="26"/>
      <c r="BB743" s="26"/>
      <c r="BD743" s="21"/>
      <c r="CN743" s="26"/>
      <c r="DB743" s="24"/>
      <c r="DD743" s="21"/>
      <c r="DE743" s="22"/>
      <c r="DG743" s="21"/>
      <c r="DK743" s="26"/>
      <c r="DL743" s="26"/>
      <c r="DM743" s="26"/>
      <c r="DN743" s="21"/>
      <c r="DO743" s="21"/>
      <c r="EF743" s="25"/>
      <c r="EG743" s="25"/>
      <c r="EY743" s="20"/>
    </row>
    <row r="744" spans="1:155">
      <c r="A744" s="21"/>
      <c r="B744" s="21"/>
      <c r="AA744" s="26"/>
      <c r="AB744" s="26"/>
      <c r="AC744" s="21"/>
      <c r="AD744" s="21"/>
      <c r="AY744" s="26"/>
      <c r="AZ744" s="26"/>
      <c r="BB744" s="26"/>
      <c r="BD744" s="21"/>
      <c r="CN744" s="26"/>
      <c r="DB744" s="24"/>
      <c r="DD744" s="21"/>
      <c r="DE744" s="22"/>
      <c r="DG744" s="21"/>
      <c r="DK744" s="26"/>
      <c r="DL744" s="26"/>
      <c r="DM744" s="26"/>
      <c r="DN744" s="21"/>
      <c r="DO744" s="21"/>
      <c r="EF744" s="25"/>
      <c r="EG744" s="25"/>
      <c r="EY744" s="20"/>
    </row>
    <row r="745" spans="1:155">
      <c r="A745" s="21"/>
      <c r="B745" s="21"/>
      <c r="AA745" s="26"/>
      <c r="AB745" s="26"/>
      <c r="AC745" s="21"/>
      <c r="AD745" s="21"/>
      <c r="AY745" s="26"/>
      <c r="AZ745" s="26"/>
      <c r="BB745" s="26"/>
      <c r="BD745" s="21"/>
      <c r="CN745" s="26"/>
      <c r="DB745" s="24"/>
      <c r="DD745" s="21"/>
      <c r="DE745" s="22"/>
      <c r="DG745" s="21"/>
      <c r="DK745" s="26"/>
      <c r="DL745" s="26"/>
      <c r="DM745" s="26"/>
      <c r="DN745" s="21"/>
      <c r="DO745" s="21"/>
      <c r="EF745" s="25"/>
      <c r="EG745" s="25"/>
      <c r="EY745" s="20"/>
    </row>
    <row r="746" spans="1:155">
      <c r="A746" s="21"/>
      <c r="B746" s="21"/>
      <c r="AA746" s="26"/>
      <c r="AB746" s="26"/>
      <c r="AC746" s="21"/>
      <c r="AD746" s="21"/>
      <c r="AY746" s="26"/>
      <c r="AZ746" s="26"/>
      <c r="BB746" s="26"/>
      <c r="BD746" s="21"/>
      <c r="CN746" s="26"/>
      <c r="DB746" s="24"/>
      <c r="DD746" s="21"/>
      <c r="DE746" s="22"/>
      <c r="DG746" s="21"/>
      <c r="DK746" s="26"/>
      <c r="DL746" s="26"/>
      <c r="DM746" s="26"/>
      <c r="DN746" s="21"/>
      <c r="DO746" s="21"/>
      <c r="EF746" s="25"/>
      <c r="EG746" s="25"/>
      <c r="EY746" s="20"/>
    </row>
    <row r="747" spans="1:155">
      <c r="A747" s="21"/>
      <c r="B747" s="21"/>
      <c r="AA747" s="26"/>
      <c r="AB747" s="26"/>
      <c r="AC747" s="21"/>
      <c r="AD747" s="21"/>
      <c r="AY747" s="26"/>
      <c r="AZ747" s="26"/>
      <c r="BB747" s="26"/>
      <c r="BD747" s="21"/>
      <c r="CN747" s="26"/>
      <c r="DB747" s="24"/>
      <c r="DD747" s="21"/>
      <c r="DE747" s="22"/>
      <c r="DG747" s="21"/>
      <c r="DK747" s="26"/>
      <c r="DL747" s="26"/>
      <c r="DM747" s="26"/>
      <c r="DN747" s="21"/>
      <c r="DO747" s="21"/>
      <c r="EF747" s="25"/>
      <c r="EG747" s="25"/>
      <c r="EY747" s="20"/>
    </row>
    <row r="748" spans="1:155">
      <c r="A748" s="21"/>
      <c r="B748" s="21"/>
      <c r="AA748" s="26"/>
      <c r="AB748" s="26"/>
      <c r="AC748" s="21"/>
      <c r="AD748" s="21"/>
      <c r="AY748" s="26"/>
      <c r="AZ748" s="26"/>
      <c r="BB748" s="26"/>
      <c r="BD748" s="21"/>
      <c r="CN748" s="26"/>
      <c r="DB748" s="24"/>
      <c r="DD748" s="21"/>
      <c r="DE748" s="22"/>
      <c r="DG748" s="21"/>
      <c r="DK748" s="26"/>
      <c r="DL748" s="26"/>
      <c r="DM748" s="26"/>
      <c r="DN748" s="21"/>
      <c r="DO748" s="21"/>
      <c r="EF748" s="25"/>
      <c r="EG748" s="25"/>
      <c r="EY748" s="20"/>
    </row>
    <row r="749" spans="1:155">
      <c r="A749" s="21"/>
      <c r="B749" s="21"/>
      <c r="AA749" s="26"/>
      <c r="AB749" s="26"/>
      <c r="AC749" s="21"/>
      <c r="AD749" s="21"/>
      <c r="AY749" s="26"/>
      <c r="AZ749" s="26"/>
      <c r="BB749" s="26"/>
      <c r="BD749" s="21"/>
      <c r="CN749" s="26"/>
      <c r="DB749" s="24"/>
      <c r="DD749" s="21"/>
      <c r="DE749" s="22"/>
      <c r="DG749" s="21"/>
      <c r="DK749" s="26"/>
      <c r="DL749" s="26"/>
      <c r="DM749" s="26"/>
      <c r="DN749" s="21"/>
      <c r="DO749" s="21"/>
      <c r="EF749" s="25"/>
      <c r="EG749" s="25"/>
      <c r="EY749" s="20"/>
    </row>
    <row r="750" spans="1:155">
      <c r="A750" s="21"/>
      <c r="B750" s="21"/>
      <c r="AA750" s="26"/>
      <c r="AB750" s="26"/>
      <c r="AC750" s="21"/>
      <c r="AD750" s="21"/>
      <c r="AY750" s="26"/>
      <c r="AZ750" s="26"/>
      <c r="BB750" s="26"/>
      <c r="BD750" s="21"/>
      <c r="CN750" s="26"/>
      <c r="DB750" s="24"/>
      <c r="DD750" s="21"/>
      <c r="DE750" s="22"/>
      <c r="DG750" s="21"/>
      <c r="DK750" s="26"/>
      <c r="DL750" s="26"/>
      <c r="DM750" s="26"/>
      <c r="DN750" s="21"/>
      <c r="DO750" s="21"/>
      <c r="EF750" s="25"/>
      <c r="EG750" s="25"/>
      <c r="EY750" s="20"/>
    </row>
    <row r="751" spans="1:155">
      <c r="A751" s="21"/>
      <c r="B751" s="21"/>
      <c r="AA751" s="26"/>
      <c r="AB751" s="26"/>
      <c r="AC751" s="21"/>
      <c r="AD751" s="21"/>
      <c r="AY751" s="26"/>
      <c r="AZ751" s="26"/>
      <c r="BB751" s="26"/>
      <c r="BD751" s="21"/>
      <c r="CN751" s="26"/>
      <c r="DB751" s="24"/>
      <c r="DD751" s="21"/>
      <c r="DE751" s="22"/>
      <c r="DG751" s="21"/>
      <c r="DK751" s="26"/>
      <c r="DL751" s="26"/>
      <c r="DM751" s="26"/>
      <c r="DN751" s="21"/>
      <c r="DO751" s="21"/>
      <c r="EF751" s="25"/>
      <c r="EG751" s="25"/>
      <c r="EY751" s="20"/>
    </row>
    <row r="752" spans="1:155">
      <c r="A752" s="21"/>
      <c r="B752" s="21"/>
      <c r="AA752" s="26"/>
      <c r="AB752" s="26"/>
      <c r="AC752" s="21"/>
      <c r="AD752" s="21"/>
      <c r="AY752" s="26"/>
      <c r="AZ752" s="26"/>
      <c r="BB752" s="26"/>
      <c r="BD752" s="21"/>
      <c r="CN752" s="26"/>
      <c r="DB752" s="24"/>
      <c r="DD752" s="21"/>
      <c r="DE752" s="22"/>
      <c r="DG752" s="21"/>
      <c r="DK752" s="26"/>
      <c r="DL752" s="26"/>
      <c r="DM752" s="26"/>
      <c r="DN752" s="21"/>
      <c r="DO752" s="21"/>
      <c r="EF752" s="25"/>
      <c r="EG752" s="25"/>
      <c r="EY752" s="20"/>
    </row>
    <row r="753" spans="1:155">
      <c r="A753" s="21"/>
      <c r="B753" s="21"/>
      <c r="AA753" s="26"/>
      <c r="AB753" s="26"/>
      <c r="AC753" s="21"/>
      <c r="AD753" s="21"/>
      <c r="AY753" s="26"/>
      <c r="AZ753" s="26"/>
      <c r="BB753" s="26"/>
      <c r="BD753" s="21"/>
      <c r="CN753" s="26"/>
      <c r="DB753" s="24"/>
      <c r="DD753" s="21"/>
      <c r="DE753" s="22"/>
      <c r="DG753" s="21"/>
      <c r="DK753" s="26"/>
      <c r="DL753" s="26"/>
      <c r="DM753" s="26"/>
      <c r="DN753" s="21"/>
      <c r="DO753" s="21"/>
      <c r="EF753" s="25"/>
      <c r="EG753" s="25"/>
      <c r="EY753" s="20"/>
    </row>
    <row r="754" spans="1:155">
      <c r="A754" s="21"/>
      <c r="B754" s="21"/>
      <c r="AA754" s="26"/>
      <c r="AB754" s="26"/>
      <c r="AC754" s="21"/>
      <c r="AD754" s="21"/>
      <c r="AY754" s="26"/>
      <c r="AZ754" s="26"/>
      <c r="BB754" s="26"/>
      <c r="BD754" s="21"/>
      <c r="CN754" s="26"/>
      <c r="DB754" s="24"/>
      <c r="DD754" s="21"/>
      <c r="DE754" s="22"/>
      <c r="DG754" s="21"/>
      <c r="DK754" s="26"/>
      <c r="DL754" s="26"/>
      <c r="DM754" s="26"/>
      <c r="DN754" s="21"/>
      <c r="DO754" s="21"/>
      <c r="EF754" s="25"/>
      <c r="EG754" s="25"/>
      <c r="EY754" s="20"/>
    </row>
    <row r="755" spans="1:155">
      <c r="A755" s="21"/>
      <c r="B755" s="21"/>
      <c r="AA755" s="26"/>
      <c r="AB755" s="26"/>
      <c r="AC755" s="21"/>
      <c r="AD755" s="21"/>
      <c r="AY755" s="26"/>
      <c r="AZ755" s="26"/>
      <c r="BB755" s="26"/>
      <c r="BD755" s="21"/>
      <c r="CN755" s="26"/>
      <c r="DB755" s="24"/>
      <c r="DD755" s="21"/>
      <c r="DE755" s="22"/>
      <c r="DG755" s="21"/>
      <c r="DK755" s="26"/>
      <c r="DL755" s="26"/>
      <c r="DM755" s="26"/>
      <c r="DN755" s="21"/>
      <c r="DO755" s="21"/>
      <c r="EF755" s="25"/>
      <c r="EG755" s="25"/>
      <c r="EY755" s="20"/>
    </row>
    <row r="756" spans="1:155">
      <c r="A756" s="21"/>
      <c r="B756" s="21"/>
      <c r="AA756" s="26"/>
      <c r="AB756" s="26"/>
      <c r="AC756" s="21"/>
      <c r="AD756" s="21"/>
      <c r="AY756" s="26"/>
      <c r="AZ756" s="26"/>
      <c r="BB756" s="26"/>
      <c r="BD756" s="21"/>
      <c r="CN756" s="26"/>
      <c r="DB756" s="24"/>
      <c r="DD756" s="21"/>
      <c r="DE756" s="22"/>
      <c r="DG756" s="21"/>
      <c r="DK756" s="26"/>
      <c r="DL756" s="26"/>
      <c r="DM756" s="26"/>
      <c r="DN756" s="21"/>
      <c r="DO756" s="21"/>
      <c r="EF756" s="25"/>
      <c r="EG756" s="25"/>
      <c r="EY756" s="20"/>
    </row>
    <row r="757" spans="1:155">
      <c r="A757" s="21"/>
      <c r="B757" s="21"/>
      <c r="AA757" s="26"/>
      <c r="AB757" s="26"/>
      <c r="AC757" s="21"/>
      <c r="AD757" s="21"/>
      <c r="AY757" s="26"/>
      <c r="AZ757" s="26"/>
      <c r="BB757" s="26"/>
      <c r="BD757" s="21"/>
      <c r="CN757" s="26"/>
      <c r="DB757" s="24"/>
      <c r="DD757" s="21"/>
      <c r="DE757" s="22"/>
      <c r="DG757" s="21"/>
      <c r="DK757" s="26"/>
      <c r="DL757" s="26"/>
      <c r="DM757" s="26"/>
      <c r="DN757" s="21"/>
      <c r="DO757" s="21"/>
      <c r="EF757" s="25"/>
      <c r="EG757" s="25"/>
      <c r="EY757" s="20"/>
    </row>
    <row r="758" spans="1:155">
      <c r="A758" s="21"/>
      <c r="B758" s="21"/>
      <c r="AA758" s="26"/>
      <c r="AB758" s="26"/>
      <c r="AC758" s="21"/>
      <c r="AD758" s="21"/>
      <c r="AY758" s="26"/>
      <c r="AZ758" s="26"/>
      <c r="BB758" s="26"/>
      <c r="BD758" s="21"/>
      <c r="CN758" s="26"/>
      <c r="DB758" s="24"/>
      <c r="DD758" s="21"/>
      <c r="DE758" s="22"/>
      <c r="DG758" s="21"/>
      <c r="DK758" s="26"/>
      <c r="DL758" s="26"/>
      <c r="DM758" s="26"/>
      <c r="DN758" s="21"/>
      <c r="DO758" s="21"/>
      <c r="EF758" s="25"/>
      <c r="EG758" s="25"/>
      <c r="EY758" s="20"/>
    </row>
    <row r="759" spans="1:155">
      <c r="A759" s="21"/>
      <c r="B759" s="21"/>
      <c r="AA759" s="26"/>
      <c r="AB759" s="26"/>
      <c r="AC759" s="21"/>
      <c r="AD759" s="21"/>
      <c r="AY759" s="26"/>
      <c r="AZ759" s="26"/>
      <c r="BB759" s="26"/>
      <c r="BD759" s="21"/>
      <c r="CN759" s="26"/>
      <c r="DB759" s="24"/>
      <c r="DD759" s="21"/>
      <c r="DE759" s="22"/>
      <c r="DG759" s="21"/>
      <c r="DK759" s="26"/>
      <c r="DL759" s="26"/>
      <c r="DM759" s="26"/>
      <c r="DN759" s="21"/>
      <c r="DO759" s="21"/>
      <c r="EF759" s="25"/>
      <c r="EG759" s="25"/>
      <c r="EY759" s="20"/>
    </row>
    <row r="760" spans="1:155">
      <c r="A760" s="21"/>
      <c r="B760" s="21"/>
      <c r="AA760" s="26"/>
      <c r="AB760" s="26"/>
      <c r="AC760" s="21"/>
      <c r="AD760" s="21"/>
      <c r="AY760" s="26"/>
      <c r="AZ760" s="26"/>
      <c r="BB760" s="26"/>
      <c r="BD760" s="21"/>
      <c r="CN760" s="26"/>
      <c r="DB760" s="24"/>
      <c r="DD760" s="21"/>
      <c r="DE760" s="22"/>
      <c r="DG760" s="21"/>
      <c r="DK760" s="26"/>
      <c r="DL760" s="26"/>
      <c r="DM760" s="26"/>
      <c r="DN760" s="21"/>
      <c r="DO760" s="21"/>
      <c r="EF760" s="25"/>
      <c r="EG760" s="25"/>
      <c r="EY760" s="20"/>
    </row>
    <row r="761" spans="1:155">
      <c r="A761" s="21"/>
      <c r="B761" s="21"/>
      <c r="AA761" s="26"/>
      <c r="AB761" s="26"/>
      <c r="AC761" s="21"/>
      <c r="AD761" s="21"/>
      <c r="AY761" s="26"/>
      <c r="AZ761" s="26"/>
      <c r="BB761" s="26"/>
      <c r="BD761" s="21"/>
      <c r="CN761" s="26"/>
      <c r="DB761" s="24"/>
      <c r="DD761" s="21"/>
      <c r="DE761" s="22"/>
      <c r="DG761" s="21"/>
      <c r="DK761" s="26"/>
      <c r="DL761" s="26"/>
      <c r="DM761" s="26"/>
      <c r="DN761" s="21"/>
      <c r="DO761" s="21"/>
      <c r="EF761" s="25"/>
      <c r="EG761" s="25"/>
      <c r="EY761" s="20"/>
    </row>
    <row r="762" spans="1:155">
      <c r="A762" s="21"/>
      <c r="B762" s="21"/>
      <c r="AA762" s="26"/>
      <c r="AB762" s="26"/>
      <c r="AC762" s="21"/>
      <c r="AD762" s="21"/>
      <c r="AY762" s="26"/>
      <c r="AZ762" s="26"/>
      <c r="BB762" s="26"/>
      <c r="BD762" s="21"/>
      <c r="CN762" s="26"/>
      <c r="DB762" s="24"/>
      <c r="DD762" s="21"/>
      <c r="DE762" s="22"/>
      <c r="DG762" s="21"/>
      <c r="DK762" s="26"/>
      <c r="DL762" s="26"/>
      <c r="DM762" s="26"/>
      <c r="DN762" s="21"/>
      <c r="DO762" s="21"/>
      <c r="EF762" s="25"/>
      <c r="EG762" s="25"/>
      <c r="EY762" s="20"/>
    </row>
    <row r="763" spans="1:155">
      <c r="A763" s="21"/>
      <c r="B763" s="21"/>
      <c r="AA763" s="26"/>
      <c r="AB763" s="26"/>
      <c r="AC763" s="21"/>
      <c r="AD763" s="21"/>
      <c r="AY763" s="26"/>
      <c r="AZ763" s="26"/>
      <c r="BB763" s="26"/>
      <c r="BD763" s="21"/>
      <c r="CN763" s="26"/>
      <c r="DB763" s="24"/>
      <c r="DD763" s="21"/>
      <c r="DE763" s="22"/>
      <c r="DG763" s="21"/>
      <c r="DK763" s="26"/>
      <c r="DL763" s="26"/>
      <c r="DM763" s="26"/>
      <c r="DN763" s="21"/>
      <c r="DO763" s="21"/>
      <c r="EF763" s="25"/>
      <c r="EG763" s="25"/>
      <c r="EY763" s="20"/>
    </row>
    <row r="764" spans="1:155">
      <c r="A764" s="21"/>
      <c r="B764" s="21"/>
      <c r="AA764" s="26"/>
      <c r="AB764" s="26"/>
      <c r="AC764" s="21"/>
      <c r="AD764" s="21"/>
      <c r="AY764" s="26"/>
      <c r="AZ764" s="26"/>
      <c r="BB764" s="26"/>
      <c r="BD764" s="21"/>
      <c r="CN764" s="26"/>
      <c r="DB764" s="24"/>
      <c r="DD764" s="21"/>
      <c r="DE764" s="22"/>
      <c r="DG764" s="21"/>
      <c r="DK764" s="26"/>
      <c r="DL764" s="26"/>
      <c r="DM764" s="26"/>
      <c r="DN764" s="21"/>
      <c r="DO764" s="21"/>
      <c r="EF764" s="25"/>
      <c r="EG764" s="25"/>
      <c r="EY764" s="20"/>
    </row>
    <row r="765" spans="1:155">
      <c r="A765" s="21"/>
      <c r="B765" s="21"/>
      <c r="AA765" s="26"/>
      <c r="AB765" s="26"/>
      <c r="AC765" s="21"/>
      <c r="AD765" s="21"/>
      <c r="AY765" s="26"/>
      <c r="AZ765" s="26"/>
      <c r="BB765" s="26"/>
      <c r="BD765" s="21"/>
      <c r="CN765" s="26"/>
      <c r="DB765" s="24"/>
      <c r="DD765" s="21"/>
      <c r="DE765" s="22"/>
      <c r="DG765" s="21"/>
      <c r="DK765" s="26"/>
      <c r="DL765" s="26"/>
      <c r="DM765" s="26"/>
      <c r="DN765" s="21"/>
      <c r="DO765" s="21"/>
      <c r="EF765" s="25"/>
      <c r="EG765" s="25"/>
      <c r="EY765" s="20"/>
    </row>
    <row r="766" spans="1:155">
      <c r="A766" s="21"/>
      <c r="B766" s="21"/>
      <c r="AA766" s="26"/>
      <c r="AB766" s="26"/>
      <c r="AC766" s="21"/>
      <c r="AD766" s="21"/>
      <c r="AY766" s="26"/>
      <c r="AZ766" s="26"/>
      <c r="BB766" s="26"/>
      <c r="BD766" s="21"/>
      <c r="CN766" s="26"/>
      <c r="DB766" s="24"/>
      <c r="DD766" s="21"/>
      <c r="DE766" s="22"/>
      <c r="DG766" s="21"/>
      <c r="DK766" s="26"/>
      <c r="DL766" s="26"/>
      <c r="DM766" s="26"/>
      <c r="DN766" s="21"/>
      <c r="DO766" s="21"/>
      <c r="EF766" s="25"/>
      <c r="EG766" s="25"/>
      <c r="EY766" s="20"/>
    </row>
    <row r="767" spans="1:155">
      <c r="A767" s="21"/>
      <c r="B767" s="21"/>
      <c r="AA767" s="26"/>
      <c r="AB767" s="26"/>
      <c r="AC767" s="21"/>
      <c r="AD767" s="21"/>
      <c r="AY767" s="26"/>
      <c r="AZ767" s="26"/>
      <c r="BB767" s="26"/>
      <c r="BD767" s="21"/>
      <c r="CN767" s="26"/>
      <c r="DB767" s="24"/>
      <c r="DD767" s="21"/>
      <c r="DE767" s="22"/>
      <c r="DG767" s="21"/>
      <c r="DK767" s="26"/>
      <c r="DL767" s="26"/>
      <c r="DM767" s="26"/>
      <c r="DN767" s="21"/>
      <c r="DO767" s="21"/>
      <c r="EF767" s="25"/>
      <c r="EG767" s="25"/>
      <c r="EY767" s="20"/>
    </row>
    <row r="768" spans="1:155">
      <c r="A768" s="21"/>
      <c r="B768" s="21"/>
      <c r="AA768" s="26"/>
      <c r="AB768" s="26"/>
      <c r="AC768" s="21"/>
      <c r="AD768" s="21"/>
      <c r="AY768" s="26"/>
      <c r="AZ768" s="26"/>
      <c r="BB768" s="26"/>
      <c r="BD768" s="21"/>
      <c r="CN768" s="26"/>
      <c r="DB768" s="24"/>
      <c r="DD768" s="21"/>
      <c r="DE768" s="22"/>
      <c r="DG768" s="21"/>
      <c r="DK768" s="26"/>
      <c r="DL768" s="26"/>
      <c r="DM768" s="26"/>
      <c r="DN768" s="21"/>
      <c r="DO768" s="21"/>
      <c r="EF768" s="25"/>
      <c r="EG768" s="25"/>
      <c r="EY768" s="20"/>
    </row>
    <row r="769" spans="1:155">
      <c r="A769" s="21"/>
      <c r="B769" s="21"/>
      <c r="AA769" s="26"/>
      <c r="AB769" s="26"/>
      <c r="AC769" s="21"/>
      <c r="AD769" s="21"/>
      <c r="AY769" s="26"/>
      <c r="AZ769" s="26"/>
      <c r="BB769" s="26"/>
      <c r="BD769" s="21"/>
      <c r="CN769" s="26"/>
      <c r="DB769" s="24"/>
      <c r="DD769" s="21"/>
      <c r="DE769" s="22"/>
      <c r="DG769" s="21"/>
      <c r="DK769" s="26"/>
      <c r="DL769" s="26"/>
      <c r="DM769" s="26"/>
      <c r="DN769" s="21"/>
      <c r="DO769" s="21"/>
      <c r="EF769" s="25"/>
      <c r="EG769" s="25"/>
      <c r="EY769" s="20"/>
    </row>
    <row r="770" spans="1:155">
      <c r="A770" s="21"/>
      <c r="B770" s="21"/>
      <c r="AA770" s="26"/>
      <c r="AB770" s="26"/>
      <c r="AC770" s="21"/>
      <c r="AD770" s="21"/>
      <c r="AY770" s="26"/>
      <c r="AZ770" s="26"/>
      <c r="BB770" s="26"/>
      <c r="BD770" s="21"/>
      <c r="CN770" s="26"/>
      <c r="DB770" s="24"/>
      <c r="DD770" s="21"/>
      <c r="DE770" s="22"/>
      <c r="DG770" s="21"/>
      <c r="DK770" s="26"/>
      <c r="DL770" s="26"/>
      <c r="DM770" s="26"/>
      <c r="DN770" s="21"/>
      <c r="DO770" s="21"/>
      <c r="EF770" s="25"/>
      <c r="EG770" s="25"/>
      <c r="EY770" s="20"/>
    </row>
    <row r="771" spans="1:155">
      <c r="A771" s="21"/>
      <c r="B771" s="21"/>
      <c r="AA771" s="26"/>
      <c r="AB771" s="26"/>
      <c r="AC771" s="21"/>
      <c r="AD771" s="21"/>
      <c r="AY771" s="26"/>
      <c r="AZ771" s="26"/>
      <c r="BB771" s="26"/>
      <c r="BD771" s="21"/>
      <c r="CN771" s="26"/>
      <c r="DB771" s="24"/>
      <c r="DD771" s="21"/>
      <c r="DE771" s="22"/>
      <c r="DG771" s="21"/>
      <c r="DK771" s="26"/>
      <c r="DL771" s="26"/>
      <c r="DM771" s="26"/>
      <c r="DN771" s="21"/>
      <c r="DO771" s="21"/>
      <c r="EF771" s="25"/>
      <c r="EG771" s="25"/>
      <c r="EY771" s="20"/>
    </row>
    <row r="772" spans="1:155">
      <c r="A772" s="21"/>
      <c r="B772" s="21"/>
      <c r="AA772" s="26"/>
      <c r="AB772" s="26"/>
      <c r="AC772" s="21"/>
      <c r="AD772" s="21"/>
      <c r="AY772" s="26"/>
      <c r="AZ772" s="26"/>
      <c r="BB772" s="26"/>
      <c r="BD772" s="21"/>
      <c r="CN772" s="26"/>
      <c r="DB772" s="24"/>
      <c r="DD772" s="21"/>
      <c r="DE772" s="22"/>
      <c r="DG772" s="21"/>
      <c r="DK772" s="26"/>
      <c r="DL772" s="26"/>
      <c r="DM772" s="26"/>
      <c r="DN772" s="21"/>
      <c r="DO772" s="21"/>
      <c r="EF772" s="25"/>
      <c r="EG772" s="25"/>
      <c r="EY772" s="20"/>
    </row>
    <row r="773" spans="1:155">
      <c r="A773" s="21"/>
      <c r="B773" s="21"/>
      <c r="AA773" s="26"/>
      <c r="AB773" s="26"/>
      <c r="AC773" s="21"/>
      <c r="AD773" s="21"/>
      <c r="AY773" s="26"/>
      <c r="AZ773" s="26"/>
      <c r="BB773" s="26"/>
      <c r="BD773" s="21"/>
      <c r="CN773" s="26"/>
      <c r="DB773" s="24"/>
      <c r="DD773" s="21"/>
      <c r="DE773" s="22"/>
      <c r="DG773" s="21"/>
      <c r="DK773" s="26"/>
      <c r="DL773" s="26"/>
      <c r="DM773" s="26"/>
      <c r="DN773" s="21"/>
      <c r="DO773" s="21"/>
      <c r="EF773" s="25"/>
      <c r="EG773" s="25"/>
      <c r="EY773" s="20"/>
    </row>
    <row r="774" spans="1:155">
      <c r="A774" s="21"/>
      <c r="B774" s="21"/>
      <c r="AA774" s="26"/>
      <c r="AB774" s="26"/>
      <c r="AC774" s="21"/>
      <c r="AD774" s="21"/>
      <c r="AY774" s="26"/>
      <c r="AZ774" s="26"/>
      <c r="BB774" s="26"/>
      <c r="BD774" s="21"/>
      <c r="CN774" s="26"/>
      <c r="DB774" s="24"/>
      <c r="DD774" s="21"/>
      <c r="DE774" s="22"/>
      <c r="DG774" s="21"/>
      <c r="DK774" s="26"/>
      <c r="DL774" s="26"/>
      <c r="DM774" s="26"/>
      <c r="DN774" s="21"/>
      <c r="DO774" s="21"/>
      <c r="EF774" s="25"/>
      <c r="EG774" s="25"/>
      <c r="EY774" s="20"/>
    </row>
    <row r="775" spans="1:155">
      <c r="A775" s="21"/>
      <c r="B775" s="21"/>
      <c r="AA775" s="26"/>
      <c r="AB775" s="26"/>
      <c r="AC775" s="21"/>
      <c r="AD775" s="21"/>
      <c r="AY775" s="26"/>
      <c r="AZ775" s="26"/>
      <c r="BB775" s="26"/>
      <c r="BD775" s="21"/>
      <c r="CN775" s="26"/>
      <c r="DB775" s="24"/>
      <c r="DD775" s="21"/>
      <c r="DE775" s="22"/>
      <c r="DG775" s="21"/>
      <c r="DK775" s="26"/>
      <c r="DL775" s="26"/>
      <c r="DM775" s="26"/>
      <c r="DN775" s="21"/>
      <c r="DO775" s="21"/>
      <c r="EF775" s="25"/>
      <c r="EG775" s="25"/>
      <c r="EY775" s="20"/>
    </row>
    <row r="776" spans="1:155">
      <c r="A776" s="21"/>
      <c r="B776" s="21"/>
      <c r="AA776" s="26"/>
      <c r="AB776" s="26"/>
      <c r="AC776" s="21"/>
      <c r="AD776" s="21"/>
      <c r="AY776" s="26"/>
      <c r="AZ776" s="26"/>
      <c r="BB776" s="26"/>
      <c r="BD776" s="21"/>
      <c r="CN776" s="26"/>
      <c r="DB776" s="24"/>
      <c r="DD776" s="21"/>
      <c r="DE776" s="22"/>
      <c r="DG776" s="21"/>
      <c r="DK776" s="26"/>
      <c r="DL776" s="26"/>
      <c r="DM776" s="26"/>
      <c r="DN776" s="21"/>
      <c r="DO776" s="21"/>
      <c r="EF776" s="25"/>
      <c r="EG776" s="25"/>
      <c r="EY776" s="20"/>
    </row>
    <row r="777" spans="1:155">
      <c r="A777" s="21"/>
      <c r="B777" s="21"/>
      <c r="AA777" s="26"/>
      <c r="AB777" s="26"/>
      <c r="AC777" s="21"/>
      <c r="AD777" s="21"/>
      <c r="AY777" s="26"/>
      <c r="AZ777" s="26"/>
      <c r="BB777" s="26"/>
      <c r="BD777" s="21"/>
      <c r="CN777" s="26"/>
      <c r="DB777" s="24"/>
      <c r="DD777" s="21"/>
      <c r="DE777" s="22"/>
      <c r="DG777" s="21"/>
      <c r="DK777" s="26"/>
      <c r="DL777" s="26"/>
      <c r="DM777" s="26"/>
      <c r="DN777" s="21"/>
      <c r="DO777" s="21"/>
      <c r="EF777" s="25"/>
      <c r="EG777" s="25"/>
      <c r="EY777" s="20"/>
    </row>
    <row r="778" spans="1:155">
      <c r="A778" s="21"/>
      <c r="B778" s="21"/>
      <c r="AA778" s="26"/>
      <c r="AB778" s="26"/>
      <c r="AC778" s="21"/>
      <c r="AD778" s="21"/>
      <c r="AY778" s="26"/>
      <c r="AZ778" s="26"/>
      <c r="BB778" s="26"/>
      <c r="BD778" s="21"/>
      <c r="CN778" s="26"/>
      <c r="DB778" s="24"/>
      <c r="DD778" s="21"/>
      <c r="DE778" s="22"/>
      <c r="DG778" s="21"/>
      <c r="DK778" s="26"/>
      <c r="DL778" s="26"/>
      <c r="DM778" s="26"/>
      <c r="DN778" s="21"/>
      <c r="DO778" s="21"/>
      <c r="EF778" s="25"/>
      <c r="EG778" s="25"/>
      <c r="EY778" s="20"/>
    </row>
    <row r="779" spans="1:155">
      <c r="A779" s="21"/>
      <c r="B779" s="21"/>
      <c r="AA779" s="26"/>
      <c r="AB779" s="26"/>
      <c r="AC779" s="21"/>
      <c r="AD779" s="21"/>
      <c r="AY779" s="26"/>
      <c r="AZ779" s="26"/>
      <c r="BB779" s="26"/>
      <c r="BD779" s="21"/>
      <c r="CN779" s="26"/>
      <c r="DB779" s="24"/>
      <c r="DD779" s="21"/>
      <c r="DE779" s="22"/>
      <c r="DG779" s="21"/>
      <c r="DK779" s="26"/>
      <c r="DL779" s="26"/>
      <c r="DM779" s="26"/>
      <c r="DN779" s="21"/>
      <c r="DO779" s="21"/>
      <c r="EF779" s="25"/>
      <c r="EG779" s="25"/>
      <c r="EY779" s="20"/>
    </row>
    <row r="780" spans="1:155">
      <c r="A780" s="21"/>
      <c r="B780" s="21"/>
      <c r="AA780" s="26"/>
      <c r="AB780" s="26"/>
      <c r="AC780" s="21"/>
      <c r="AD780" s="21"/>
      <c r="AY780" s="26"/>
      <c r="AZ780" s="26"/>
      <c r="BB780" s="26"/>
      <c r="BD780" s="21"/>
      <c r="CN780" s="26"/>
      <c r="DB780" s="24"/>
      <c r="DD780" s="21"/>
      <c r="DE780" s="22"/>
      <c r="DG780" s="21"/>
      <c r="DK780" s="26"/>
      <c r="DL780" s="26"/>
      <c r="DM780" s="26"/>
      <c r="DN780" s="21"/>
      <c r="DO780" s="21"/>
      <c r="EF780" s="25"/>
      <c r="EG780" s="25"/>
      <c r="EY780" s="20"/>
    </row>
    <row r="781" spans="1:155">
      <c r="A781" s="21"/>
      <c r="B781" s="21"/>
      <c r="AA781" s="26"/>
      <c r="AB781" s="26"/>
      <c r="AC781" s="21"/>
      <c r="AD781" s="21"/>
      <c r="AY781" s="26"/>
      <c r="AZ781" s="26"/>
      <c r="BB781" s="26"/>
      <c r="BD781" s="21"/>
      <c r="CN781" s="26"/>
      <c r="DB781" s="24"/>
      <c r="DD781" s="21"/>
      <c r="DE781" s="22"/>
      <c r="DG781" s="21"/>
      <c r="DK781" s="26"/>
      <c r="DL781" s="26"/>
      <c r="DM781" s="26"/>
      <c r="DN781" s="21"/>
      <c r="DO781" s="21"/>
      <c r="EF781" s="25"/>
      <c r="EG781" s="25"/>
      <c r="EY781" s="20"/>
    </row>
    <row r="782" spans="1:155">
      <c r="A782" s="21"/>
      <c r="B782" s="21"/>
      <c r="AA782" s="26"/>
      <c r="AB782" s="26"/>
      <c r="AC782" s="21"/>
      <c r="AD782" s="21"/>
      <c r="AY782" s="26"/>
      <c r="AZ782" s="26"/>
      <c r="BB782" s="26"/>
      <c r="BD782" s="21"/>
      <c r="CN782" s="26"/>
      <c r="DB782" s="24"/>
      <c r="DD782" s="21"/>
      <c r="DE782" s="22"/>
      <c r="DG782" s="21"/>
      <c r="DK782" s="26"/>
      <c r="DL782" s="26"/>
      <c r="DM782" s="26"/>
      <c r="DN782" s="21"/>
      <c r="DO782" s="21"/>
      <c r="EF782" s="25"/>
      <c r="EG782" s="25"/>
      <c r="EY782" s="20"/>
    </row>
    <row r="783" spans="1:155">
      <c r="A783" s="21"/>
      <c r="B783" s="21"/>
      <c r="AA783" s="26"/>
      <c r="AB783" s="26"/>
      <c r="AC783" s="21"/>
      <c r="AD783" s="21"/>
      <c r="AY783" s="26"/>
      <c r="AZ783" s="26"/>
      <c r="BB783" s="26"/>
      <c r="BD783" s="21"/>
      <c r="CN783" s="26"/>
      <c r="DB783" s="24"/>
      <c r="DD783" s="21"/>
      <c r="DE783" s="22"/>
      <c r="DG783" s="21"/>
      <c r="DK783" s="26"/>
      <c r="DL783" s="26"/>
      <c r="DM783" s="26"/>
      <c r="DN783" s="21"/>
      <c r="DO783" s="21"/>
      <c r="EF783" s="25"/>
      <c r="EG783" s="25"/>
      <c r="EY783" s="20"/>
    </row>
    <row r="784" spans="1:155">
      <c r="A784" s="21"/>
      <c r="B784" s="21"/>
      <c r="AA784" s="26"/>
      <c r="AB784" s="26"/>
      <c r="AC784" s="21"/>
      <c r="AD784" s="21"/>
      <c r="AY784" s="26"/>
      <c r="AZ784" s="26"/>
      <c r="BB784" s="26"/>
      <c r="BD784" s="21"/>
      <c r="CN784" s="26"/>
      <c r="DB784" s="24"/>
      <c r="DD784" s="21"/>
      <c r="DE784" s="22"/>
      <c r="DG784" s="21"/>
      <c r="DK784" s="26"/>
      <c r="DL784" s="26"/>
      <c r="DM784" s="26"/>
      <c r="DN784" s="21"/>
      <c r="DO784" s="21"/>
      <c r="EF784" s="25"/>
      <c r="EG784" s="25"/>
      <c r="EY784" s="20"/>
    </row>
    <row r="785" spans="1:155">
      <c r="A785" s="21"/>
      <c r="B785" s="21"/>
      <c r="AA785" s="26"/>
      <c r="AB785" s="26"/>
      <c r="AC785" s="21"/>
      <c r="AD785" s="21"/>
      <c r="AY785" s="26"/>
      <c r="AZ785" s="26"/>
      <c r="BB785" s="26"/>
      <c r="BD785" s="21"/>
      <c r="CN785" s="26"/>
      <c r="DB785" s="24"/>
      <c r="DD785" s="21"/>
      <c r="DE785" s="22"/>
      <c r="DG785" s="21"/>
      <c r="DK785" s="26"/>
      <c r="DL785" s="26"/>
      <c r="DM785" s="26"/>
      <c r="DN785" s="21"/>
      <c r="DO785" s="21"/>
      <c r="EF785" s="25"/>
      <c r="EG785" s="25"/>
      <c r="EY785" s="20"/>
    </row>
    <row r="786" spans="1:155">
      <c r="A786" s="21"/>
      <c r="B786" s="21"/>
      <c r="AA786" s="26"/>
      <c r="AB786" s="26"/>
      <c r="AC786" s="21"/>
      <c r="AD786" s="21"/>
      <c r="AY786" s="26"/>
      <c r="AZ786" s="26"/>
      <c r="BB786" s="26"/>
      <c r="BD786" s="21"/>
      <c r="CN786" s="26"/>
      <c r="DB786" s="24"/>
      <c r="DD786" s="21"/>
      <c r="DE786" s="22"/>
      <c r="DG786" s="21"/>
      <c r="DK786" s="26"/>
      <c r="DL786" s="26"/>
      <c r="DM786" s="26"/>
      <c r="DN786" s="21"/>
      <c r="DO786" s="21"/>
      <c r="EF786" s="25"/>
      <c r="EG786" s="25"/>
      <c r="EY786" s="20"/>
    </row>
    <row r="787" spans="1:155">
      <c r="A787" s="21"/>
      <c r="B787" s="21"/>
      <c r="AA787" s="26"/>
      <c r="AB787" s="26"/>
      <c r="AC787" s="21"/>
      <c r="AD787" s="21"/>
      <c r="AY787" s="26"/>
      <c r="AZ787" s="26"/>
      <c r="BB787" s="26"/>
      <c r="BD787" s="21"/>
      <c r="CN787" s="26"/>
      <c r="DB787" s="24"/>
      <c r="DD787" s="21"/>
      <c r="DE787" s="22"/>
      <c r="DG787" s="21"/>
      <c r="DK787" s="26"/>
      <c r="DL787" s="26"/>
      <c r="DM787" s="26"/>
      <c r="DN787" s="21"/>
      <c r="DO787" s="21"/>
      <c r="EF787" s="25"/>
      <c r="EG787" s="25"/>
      <c r="EY787" s="20"/>
    </row>
    <row r="788" spans="1:155">
      <c r="A788" s="21"/>
      <c r="B788" s="21"/>
      <c r="AA788" s="26"/>
      <c r="AB788" s="26"/>
      <c r="AC788" s="21"/>
      <c r="AD788" s="21"/>
      <c r="AY788" s="26"/>
      <c r="AZ788" s="26"/>
      <c r="BB788" s="26"/>
      <c r="BD788" s="21"/>
      <c r="CN788" s="26"/>
      <c r="DB788" s="24"/>
      <c r="DD788" s="21"/>
      <c r="DE788" s="22"/>
      <c r="DG788" s="21"/>
      <c r="DK788" s="26"/>
      <c r="DL788" s="26"/>
      <c r="DM788" s="26"/>
      <c r="DN788" s="21"/>
      <c r="DO788" s="21"/>
      <c r="EF788" s="25"/>
      <c r="EG788" s="25"/>
      <c r="EY788" s="20"/>
    </row>
    <row r="789" spans="1:155">
      <c r="A789" s="21"/>
      <c r="B789" s="21"/>
      <c r="AA789" s="26"/>
      <c r="AB789" s="26"/>
      <c r="AC789" s="21"/>
      <c r="AD789" s="21"/>
      <c r="AY789" s="26"/>
      <c r="AZ789" s="26"/>
      <c r="BB789" s="26"/>
      <c r="BD789" s="21"/>
      <c r="CN789" s="26"/>
      <c r="DB789" s="24"/>
      <c r="DD789" s="21"/>
      <c r="DE789" s="22"/>
      <c r="DG789" s="21"/>
      <c r="DK789" s="26"/>
      <c r="DL789" s="26"/>
      <c r="DM789" s="26"/>
      <c r="DN789" s="21"/>
      <c r="DO789" s="21"/>
      <c r="EF789" s="25"/>
      <c r="EG789" s="25"/>
      <c r="EY789" s="20"/>
    </row>
    <row r="790" spans="1:155">
      <c r="A790" s="21"/>
      <c r="B790" s="21"/>
      <c r="AA790" s="26"/>
      <c r="AB790" s="26"/>
      <c r="AC790" s="21"/>
      <c r="AD790" s="21"/>
      <c r="AY790" s="26"/>
      <c r="AZ790" s="26"/>
      <c r="BB790" s="26"/>
      <c r="BD790" s="21"/>
      <c r="CN790" s="26"/>
      <c r="DB790" s="24"/>
      <c r="DD790" s="21"/>
      <c r="DE790" s="22"/>
      <c r="DG790" s="21"/>
      <c r="DK790" s="26"/>
      <c r="DL790" s="26"/>
      <c r="DM790" s="26"/>
      <c r="DN790" s="21"/>
      <c r="DO790" s="21"/>
      <c r="EF790" s="25"/>
      <c r="EG790" s="25"/>
      <c r="EY790" s="20"/>
    </row>
    <row r="791" spans="1:155">
      <c r="A791" s="21"/>
      <c r="B791" s="21"/>
      <c r="AA791" s="26"/>
      <c r="AB791" s="26"/>
      <c r="AC791" s="21"/>
      <c r="AD791" s="21"/>
      <c r="AY791" s="26"/>
      <c r="AZ791" s="26"/>
      <c r="BB791" s="26"/>
      <c r="BD791" s="21"/>
      <c r="CN791" s="26"/>
      <c r="DB791" s="24"/>
      <c r="DD791" s="21"/>
      <c r="DE791" s="22"/>
      <c r="DG791" s="21"/>
      <c r="DK791" s="26"/>
      <c r="DL791" s="26"/>
      <c r="DM791" s="26"/>
      <c r="DN791" s="21"/>
      <c r="DO791" s="21"/>
      <c r="EF791" s="25"/>
      <c r="EG791" s="25"/>
      <c r="EY791" s="20"/>
    </row>
    <row r="792" spans="1:155">
      <c r="A792" s="21"/>
      <c r="B792" s="21"/>
      <c r="AA792" s="26"/>
      <c r="AB792" s="26"/>
      <c r="AC792" s="21"/>
      <c r="AD792" s="21"/>
      <c r="AY792" s="26"/>
      <c r="AZ792" s="26"/>
      <c r="BB792" s="26"/>
      <c r="BD792" s="21"/>
      <c r="CN792" s="26"/>
      <c r="DB792" s="24"/>
      <c r="DD792" s="21"/>
      <c r="DE792" s="22"/>
      <c r="DG792" s="21"/>
      <c r="DK792" s="26"/>
      <c r="DL792" s="26"/>
      <c r="DM792" s="26"/>
      <c r="DN792" s="21"/>
      <c r="DO792" s="21"/>
      <c r="EF792" s="25"/>
      <c r="EG792" s="25"/>
      <c r="EY792" s="20"/>
    </row>
    <row r="793" spans="1:155">
      <c r="A793" s="21"/>
      <c r="B793" s="21"/>
      <c r="AA793" s="26"/>
      <c r="AB793" s="26"/>
      <c r="AC793" s="21"/>
      <c r="AD793" s="21"/>
      <c r="AY793" s="26"/>
      <c r="AZ793" s="26"/>
      <c r="BB793" s="26"/>
      <c r="BD793" s="21"/>
      <c r="CN793" s="26"/>
      <c r="DB793" s="24"/>
      <c r="DD793" s="21"/>
      <c r="DE793" s="22"/>
      <c r="DG793" s="21"/>
      <c r="DK793" s="26"/>
      <c r="DL793" s="26"/>
      <c r="DM793" s="26"/>
      <c r="DN793" s="21"/>
      <c r="DO793" s="21"/>
      <c r="EF793" s="25"/>
      <c r="EG793" s="25"/>
      <c r="EY793" s="20"/>
    </row>
    <row r="794" spans="1:155">
      <c r="A794" s="21"/>
      <c r="B794" s="21"/>
      <c r="AA794" s="26"/>
      <c r="AB794" s="26"/>
      <c r="AC794" s="21"/>
      <c r="AD794" s="21"/>
      <c r="AY794" s="26"/>
      <c r="AZ794" s="26"/>
      <c r="BB794" s="26"/>
      <c r="BD794" s="21"/>
      <c r="CN794" s="26"/>
      <c r="DB794" s="24"/>
      <c r="DD794" s="21"/>
      <c r="DE794" s="22"/>
      <c r="DG794" s="21"/>
      <c r="DK794" s="26"/>
      <c r="DL794" s="26"/>
      <c r="DM794" s="26"/>
      <c r="DN794" s="21"/>
      <c r="DO794" s="21"/>
      <c r="EF794" s="25"/>
      <c r="EG794" s="25"/>
      <c r="EY794" s="20"/>
    </row>
    <row r="795" spans="1:155">
      <c r="A795" s="21"/>
      <c r="B795" s="21"/>
      <c r="AA795" s="26"/>
      <c r="AB795" s="26"/>
      <c r="AC795" s="21"/>
      <c r="AD795" s="21"/>
      <c r="AY795" s="26"/>
      <c r="AZ795" s="26"/>
      <c r="BB795" s="26"/>
      <c r="BD795" s="21"/>
      <c r="CN795" s="26"/>
      <c r="DB795" s="24"/>
      <c r="DD795" s="21"/>
      <c r="DE795" s="22"/>
      <c r="DG795" s="21"/>
      <c r="DK795" s="26"/>
      <c r="DL795" s="26"/>
      <c r="DM795" s="26"/>
      <c r="DN795" s="21"/>
      <c r="DO795" s="21"/>
      <c r="EF795" s="25"/>
      <c r="EG795" s="25"/>
      <c r="EY795" s="20"/>
    </row>
    <row r="796" spans="1:155">
      <c r="A796" s="21"/>
      <c r="B796" s="21"/>
      <c r="AA796" s="26"/>
      <c r="AB796" s="26"/>
      <c r="AC796" s="21"/>
      <c r="AD796" s="21"/>
      <c r="AY796" s="26"/>
      <c r="AZ796" s="26"/>
      <c r="BB796" s="26"/>
      <c r="BD796" s="21"/>
      <c r="CN796" s="26"/>
      <c r="DB796" s="24"/>
      <c r="DD796" s="21"/>
      <c r="DE796" s="22"/>
      <c r="DG796" s="21"/>
      <c r="DK796" s="26"/>
      <c r="DL796" s="26"/>
      <c r="DM796" s="26"/>
      <c r="DN796" s="21"/>
      <c r="DO796" s="21"/>
      <c r="EF796" s="25"/>
      <c r="EG796" s="25"/>
      <c r="EY796" s="20"/>
    </row>
    <row r="797" spans="1:155">
      <c r="A797" s="21"/>
      <c r="B797" s="21"/>
      <c r="AA797" s="26"/>
      <c r="AB797" s="26"/>
      <c r="AC797" s="21"/>
      <c r="AD797" s="21"/>
      <c r="AY797" s="26"/>
      <c r="AZ797" s="26"/>
      <c r="BB797" s="26"/>
      <c r="BD797" s="21"/>
      <c r="CN797" s="26"/>
      <c r="DB797" s="24"/>
      <c r="DD797" s="21"/>
      <c r="DE797" s="22"/>
      <c r="DG797" s="21"/>
      <c r="DK797" s="26"/>
      <c r="DL797" s="26"/>
      <c r="DM797" s="26"/>
      <c r="DN797" s="21"/>
      <c r="DO797" s="21"/>
      <c r="EF797" s="25"/>
      <c r="EG797" s="25"/>
      <c r="EY797" s="20"/>
    </row>
    <row r="798" spans="1:155">
      <c r="A798" s="21"/>
      <c r="B798" s="21"/>
      <c r="AA798" s="26"/>
      <c r="AB798" s="26"/>
      <c r="AC798" s="21"/>
      <c r="AD798" s="21"/>
      <c r="AY798" s="26"/>
      <c r="AZ798" s="26"/>
      <c r="BB798" s="26"/>
      <c r="BD798" s="21"/>
      <c r="CN798" s="26"/>
      <c r="DB798" s="24"/>
      <c r="DD798" s="21"/>
      <c r="DE798" s="22"/>
      <c r="DG798" s="21"/>
      <c r="DK798" s="26"/>
      <c r="DL798" s="26"/>
      <c r="DM798" s="26"/>
      <c r="DN798" s="21"/>
      <c r="DO798" s="21"/>
      <c r="EF798" s="25"/>
      <c r="EG798" s="25"/>
      <c r="EY798" s="20"/>
    </row>
    <row r="799" spans="1:155">
      <c r="A799" s="21"/>
      <c r="B799" s="21"/>
      <c r="AA799" s="26"/>
      <c r="AB799" s="26"/>
      <c r="AC799" s="21"/>
      <c r="AD799" s="21"/>
      <c r="AY799" s="26"/>
      <c r="AZ799" s="26"/>
      <c r="BB799" s="26"/>
      <c r="BD799" s="21"/>
      <c r="CN799" s="26"/>
      <c r="DB799" s="24"/>
      <c r="DD799" s="21"/>
      <c r="DE799" s="22"/>
      <c r="DG799" s="21"/>
      <c r="DK799" s="26"/>
      <c r="DL799" s="26"/>
      <c r="DM799" s="26"/>
      <c r="DN799" s="21"/>
      <c r="DO799" s="21"/>
      <c r="EF799" s="25"/>
      <c r="EG799" s="25"/>
      <c r="EY799" s="20"/>
    </row>
    <row r="800" spans="1:155">
      <c r="A800" s="21"/>
      <c r="B800" s="21"/>
      <c r="AA800" s="26"/>
      <c r="AB800" s="26"/>
      <c r="AC800" s="21"/>
      <c r="AD800" s="21"/>
      <c r="AY800" s="26"/>
      <c r="AZ800" s="26"/>
      <c r="BB800" s="26"/>
      <c r="BD800" s="21"/>
      <c r="CN800" s="26"/>
      <c r="DB800" s="24"/>
      <c r="DD800" s="21"/>
      <c r="DE800" s="22"/>
      <c r="DG800" s="21"/>
      <c r="DK800" s="26"/>
      <c r="DL800" s="26"/>
      <c r="DM800" s="26"/>
      <c r="DN800" s="21"/>
      <c r="DO800" s="21"/>
      <c r="EF800" s="25"/>
      <c r="EG800" s="25"/>
      <c r="EY800" s="20"/>
    </row>
    <row r="801" spans="1:155">
      <c r="A801" s="21"/>
      <c r="B801" s="21"/>
      <c r="AA801" s="26"/>
      <c r="AB801" s="26"/>
      <c r="AC801" s="21"/>
      <c r="AD801" s="21"/>
      <c r="AY801" s="26"/>
      <c r="AZ801" s="26"/>
      <c r="BB801" s="26"/>
      <c r="BD801" s="21"/>
      <c r="CN801" s="26"/>
      <c r="DB801" s="24"/>
      <c r="DD801" s="21"/>
      <c r="DE801" s="22"/>
      <c r="DG801" s="21"/>
      <c r="DK801" s="26"/>
      <c r="DL801" s="26"/>
      <c r="DM801" s="26"/>
      <c r="DN801" s="21"/>
      <c r="DO801" s="21"/>
      <c r="EF801" s="25"/>
      <c r="EG801" s="25"/>
      <c r="EY801" s="20"/>
    </row>
    <row r="802" spans="1:155">
      <c r="A802" s="21"/>
      <c r="B802" s="21"/>
      <c r="AA802" s="26"/>
      <c r="AB802" s="26"/>
      <c r="AC802" s="21"/>
      <c r="AD802" s="21"/>
      <c r="AY802" s="26"/>
      <c r="AZ802" s="26"/>
      <c r="BB802" s="26"/>
      <c r="BD802" s="21"/>
      <c r="CN802" s="26"/>
      <c r="DB802" s="24"/>
      <c r="DD802" s="21"/>
      <c r="DE802" s="22"/>
      <c r="DG802" s="21"/>
      <c r="DK802" s="26"/>
      <c r="DL802" s="26"/>
      <c r="DM802" s="26"/>
      <c r="DN802" s="21"/>
      <c r="DO802" s="21"/>
      <c r="EF802" s="25"/>
      <c r="EG802" s="25"/>
      <c r="EY802" s="20"/>
    </row>
    <row r="803" spans="1:155">
      <c r="A803" s="21"/>
      <c r="B803" s="21"/>
      <c r="AA803" s="26"/>
      <c r="AB803" s="26"/>
      <c r="AC803" s="21"/>
      <c r="AD803" s="21"/>
      <c r="AY803" s="26"/>
      <c r="AZ803" s="26"/>
      <c r="BB803" s="26"/>
      <c r="BD803" s="21"/>
      <c r="CN803" s="26"/>
      <c r="DB803" s="24"/>
      <c r="DD803" s="21"/>
      <c r="DE803" s="22"/>
      <c r="DG803" s="21"/>
      <c r="DK803" s="26"/>
      <c r="DL803" s="26"/>
      <c r="DM803" s="26"/>
      <c r="DN803" s="21"/>
      <c r="DO803" s="21"/>
      <c r="EF803" s="25"/>
      <c r="EG803" s="25"/>
      <c r="EY803" s="20"/>
    </row>
    <row r="804" spans="1:155">
      <c r="A804" s="21"/>
      <c r="B804" s="21"/>
      <c r="AA804" s="26"/>
      <c r="AB804" s="26"/>
      <c r="AC804" s="21"/>
      <c r="AD804" s="21"/>
      <c r="AY804" s="26"/>
      <c r="AZ804" s="26"/>
      <c r="BB804" s="26"/>
      <c r="BD804" s="21"/>
      <c r="CN804" s="26"/>
      <c r="DB804" s="24"/>
      <c r="DD804" s="21"/>
      <c r="DE804" s="22"/>
      <c r="DG804" s="21"/>
      <c r="DK804" s="26"/>
      <c r="DL804" s="26"/>
      <c r="DM804" s="26"/>
      <c r="DN804" s="21"/>
      <c r="DO804" s="21"/>
      <c r="EF804" s="25"/>
      <c r="EG804" s="25"/>
      <c r="EY804" s="20"/>
    </row>
    <row r="805" spans="1:155">
      <c r="A805" s="21"/>
      <c r="B805" s="21"/>
      <c r="AA805" s="26"/>
      <c r="AB805" s="26"/>
      <c r="AC805" s="21"/>
      <c r="AD805" s="21"/>
      <c r="AY805" s="26"/>
      <c r="AZ805" s="26"/>
      <c r="BB805" s="26"/>
      <c r="BD805" s="21"/>
      <c r="CN805" s="26"/>
      <c r="DB805" s="24"/>
      <c r="DD805" s="21"/>
      <c r="DE805" s="22"/>
      <c r="DG805" s="21"/>
      <c r="DK805" s="26"/>
      <c r="DL805" s="26"/>
      <c r="DM805" s="26"/>
      <c r="DN805" s="21"/>
      <c r="DO805" s="21"/>
      <c r="EF805" s="25"/>
      <c r="EG805" s="25"/>
      <c r="EY805" s="20"/>
    </row>
    <row r="806" spans="1:155">
      <c r="A806" s="21"/>
      <c r="B806" s="21"/>
      <c r="AA806" s="26"/>
      <c r="AB806" s="26"/>
      <c r="AC806" s="21"/>
      <c r="AD806" s="21"/>
      <c r="AY806" s="26"/>
      <c r="AZ806" s="26"/>
      <c r="BB806" s="26"/>
      <c r="BD806" s="21"/>
      <c r="CN806" s="26"/>
      <c r="DB806" s="24"/>
      <c r="DD806" s="21"/>
      <c r="DE806" s="22"/>
      <c r="DG806" s="21"/>
      <c r="DK806" s="26"/>
      <c r="DL806" s="26"/>
      <c r="DM806" s="26"/>
      <c r="DN806" s="21"/>
      <c r="DO806" s="21"/>
      <c r="EF806" s="25"/>
      <c r="EG806" s="25"/>
      <c r="EY806" s="20"/>
    </row>
    <row r="807" spans="1:155">
      <c r="A807" s="21"/>
      <c r="B807" s="21"/>
      <c r="AA807" s="26"/>
      <c r="AB807" s="26"/>
      <c r="AC807" s="21"/>
      <c r="AD807" s="21"/>
      <c r="AY807" s="26"/>
      <c r="AZ807" s="26"/>
      <c r="BB807" s="26"/>
      <c r="BD807" s="21"/>
      <c r="CN807" s="26"/>
      <c r="DB807" s="24"/>
      <c r="DD807" s="21"/>
      <c r="DE807" s="22"/>
      <c r="DG807" s="21"/>
      <c r="DK807" s="26"/>
      <c r="DL807" s="26"/>
      <c r="DM807" s="26"/>
      <c r="DN807" s="21"/>
      <c r="DO807" s="21"/>
      <c r="EF807" s="25"/>
      <c r="EG807" s="25"/>
      <c r="EY807" s="20"/>
    </row>
    <row r="808" spans="1:155">
      <c r="A808" s="21"/>
      <c r="B808" s="21"/>
      <c r="AA808" s="26"/>
      <c r="AB808" s="26"/>
      <c r="AC808" s="21"/>
      <c r="AD808" s="21"/>
      <c r="AY808" s="26"/>
      <c r="AZ808" s="26"/>
      <c r="BB808" s="26"/>
      <c r="BD808" s="21"/>
      <c r="CN808" s="26"/>
      <c r="DB808" s="24"/>
      <c r="DD808" s="21"/>
      <c r="DE808" s="22"/>
      <c r="DG808" s="21"/>
      <c r="DK808" s="26"/>
      <c r="DL808" s="26"/>
      <c r="DM808" s="26"/>
      <c r="DN808" s="21"/>
      <c r="DO808" s="21"/>
      <c r="EF808" s="25"/>
      <c r="EG808" s="25"/>
      <c r="EY808" s="20"/>
    </row>
    <row r="809" spans="1:155">
      <c r="A809" s="21"/>
      <c r="B809" s="21"/>
      <c r="AA809" s="26"/>
      <c r="AB809" s="26"/>
      <c r="AC809" s="21"/>
      <c r="AD809" s="21"/>
      <c r="AY809" s="26"/>
      <c r="AZ809" s="26"/>
      <c r="BB809" s="26"/>
      <c r="BD809" s="21"/>
      <c r="CN809" s="26"/>
      <c r="DB809" s="24"/>
      <c r="DD809" s="21"/>
      <c r="DE809" s="22"/>
      <c r="DG809" s="21"/>
      <c r="DK809" s="26"/>
      <c r="DL809" s="26"/>
      <c r="DM809" s="26"/>
      <c r="DN809" s="21"/>
      <c r="DO809" s="21"/>
      <c r="EF809" s="25"/>
      <c r="EG809" s="25"/>
      <c r="EY809" s="20"/>
    </row>
    <row r="810" spans="1:155">
      <c r="A810" s="21"/>
      <c r="B810" s="21"/>
      <c r="AA810" s="26"/>
      <c r="AB810" s="26"/>
      <c r="AC810" s="21"/>
      <c r="AD810" s="21"/>
      <c r="AY810" s="26"/>
      <c r="AZ810" s="26"/>
      <c r="BB810" s="26"/>
      <c r="BD810" s="21"/>
      <c r="CN810" s="26"/>
      <c r="DB810" s="24"/>
      <c r="DD810" s="21"/>
      <c r="DE810" s="22"/>
      <c r="DG810" s="21"/>
      <c r="DK810" s="26"/>
      <c r="DL810" s="26"/>
      <c r="DM810" s="26"/>
      <c r="DN810" s="21"/>
      <c r="DO810" s="21"/>
      <c r="EF810" s="25"/>
      <c r="EG810" s="25"/>
      <c r="EY810" s="20"/>
    </row>
    <row r="811" spans="1:155">
      <c r="A811" s="21"/>
      <c r="B811" s="21"/>
      <c r="AA811" s="26"/>
      <c r="AB811" s="26"/>
      <c r="AC811" s="21"/>
      <c r="AD811" s="21"/>
      <c r="AY811" s="26"/>
      <c r="AZ811" s="26"/>
      <c r="BB811" s="26"/>
      <c r="BD811" s="21"/>
      <c r="CN811" s="26"/>
      <c r="DB811" s="24"/>
      <c r="DD811" s="21"/>
      <c r="DE811" s="22"/>
      <c r="DG811" s="21"/>
      <c r="DK811" s="26"/>
      <c r="DL811" s="26"/>
      <c r="DM811" s="26"/>
      <c r="DN811" s="21"/>
      <c r="DO811" s="21"/>
      <c r="EF811" s="25"/>
      <c r="EG811" s="25"/>
      <c r="EY811" s="20"/>
    </row>
    <row r="812" spans="1:155">
      <c r="A812" s="21"/>
      <c r="B812" s="21"/>
      <c r="AA812" s="26"/>
      <c r="AB812" s="26"/>
      <c r="AC812" s="21"/>
      <c r="AD812" s="21"/>
      <c r="AY812" s="26"/>
      <c r="AZ812" s="26"/>
      <c r="BB812" s="26"/>
      <c r="BD812" s="21"/>
      <c r="CN812" s="26"/>
      <c r="DB812" s="24"/>
      <c r="DD812" s="21"/>
      <c r="DE812" s="22"/>
      <c r="DG812" s="21"/>
      <c r="DK812" s="26"/>
      <c r="DL812" s="26"/>
      <c r="DM812" s="26"/>
      <c r="DN812" s="21"/>
      <c r="DO812" s="21"/>
      <c r="EF812" s="25"/>
      <c r="EG812" s="25"/>
      <c r="EY812" s="20"/>
    </row>
    <row r="813" spans="1:155">
      <c r="A813" s="21"/>
      <c r="B813" s="21"/>
      <c r="AA813" s="26"/>
      <c r="AB813" s="26"/>
      <c r="AC813" s="21"/>
      <c r="AD813" s="21"/>
      <c r="AY813" s="26"/>
      <c r="AZ813" s="26"/>
      <c r="BB813" s="26"/>
      <c r="BD813" s="21"/>
      <c r="CN813" s="26"/>
      <c r="DB813" s="24"/>
      <c r="DD813" s="21"/>
      <c r="DE813" s="22"/>
      <c r="DG813" s="21"/>
      <c r="DK813" s="26"/>
      <c r="DL813" s="26"/>
      <c r="DM813" s="26"/>
      <c r="DN813" s="21"/>
      <c r="DO813" s="21"/>
      <c r="EF813" s="25"/>
      <c r="EG813" s="25"/>
      <c r="EY813" s="20"/>
    </row>
    <row r="814" spans="1:155">
      <c r="A814" s="21"/>
      <c r="B814" s="21"/>
      <c r="AA814" s="26"/>
      <c r="AB814" s="26"/>
      <c r="AC814" s="21"/>
      <c r="AD814" s="21"/>
      <c r="AY814" s="26"/>
      <c r="AZ814" s="26"/>
      <c r="BB814" s="26"/>
      <c r="BD814" s="21"/>
      <c r="CN814" s="26"/>
      <c r="DB814" s="24"/>
      <c r="DD814" s="21"/>
      <c r="DE814" s="22"/>
      <c r="DG814" s="21"/>
      <c r="DK814" s="26"/>
      <c r="DL814" s="26"/>
      <c r="DM814" s="26"/>
      <c r="DN814" s="21"/>
      <c r="DO814" s="21"/>
      <c r="EF814" s="25"/>
      <c r="EG814" s="25"/>
      <c r="EY814" s="20"/>
    </row>
    <row r="815" spans="1:155">
      <c r="A815" s="21"/>
      <c r="B815" s="21"/>
      <c r="AA815" s="26"/>
      <c r="AB815" s="26"/>
      <c r="AC815" s="21"/>
      <c r="AD815" s="21"/>
      <c r="AY815" s="26"/>
      <c r="AZ815" s="26"/>
      <c r="BB815" s="26"/>
      <c r="BD815" s="21"/>
      <c r="CN815" s="26"/>
      <c r="DB815" s="24"/>
      <c r="DD815" s="21"/>
      <c r="DE815" s="22"/>
      <c r="DG815" s="21"/>
      <c r="DK815" s="26"/>
      <c r="DL815" s="26"/>
      <c r="DM815" s="26"/>
      <c r="DN815" s="21"/>
      <c r="DO815" s="21"/>
      <c r="EF815" s="25"/>
      <c r="EG815" s="25"/>
      <c r="EY815" s="20"/>
    </row>
    <row r="816" spans="1:155">
      <c r="A816" s="21"/>
      <c r="B816" s="21"/>
      <c r="AA816" s="26"/>
      <c r="AB816" s="26"/>
      <c r="AC816" s="21"/>
      <c r="AD816" s="21"/>
      <c r="AY816" s="26"/>
      <c r="AZ816" s="26"/>
      <c r="BB816" s="26"/>
      <c r="BD816" s="21"/>
      <c r="CN816" s="26"/>
      <c r="DB816" s="24"/>
      <c r="DD816" s="21"/>
      <c r="DE816" s="22"/>
      <c r="DG816" s="21"/>
      <c r="DK816" s="26"/>
      <c r="DL816" s="26"/>
      <c r="DM816" s="26"/>
      <c r="DN816" s="21"/>
      <c r="DO816" s="21"/>
      <c r="EF816" s="25"/>
      <c r="EG816" s="25"/>
      <c r="EY816" s="20"/>
    </row>
    <row r="817" spans="1:155">
      <c r="A817" s="21"/>
      <c r="B817" s="21"/>
      <c r="AA817" s="26"/>
      <c r="AB817" s="26"/>
      <c r="AC817" s="21"/>
      <c r="AD817" s="21"/>
      <c r="AY817" s="26"/>
      <c r="AZ817" s="26"/>
      <c r="BB817" s="26"/>
      <c r="BD817" s="21"/>
      <c r="CN817" s="26"/>
      <c r="DB817" s="24"/>
      <c r="DD817" s="21"/>
      <c r="DE817" s="22"/>
      <c r="DG817" s="21"/>
      <c r="DK817" s="26"/>
      <c r="DL817" s="26"/>
      <c r="DM817" s="26"/>
      <c r="DN817" s="21"/>
      <c r="DO817" s="21"/>
      <c r="EF817" s="25"/>
      <c r="EG817" s="25"/>
      <c r="EY817" s="20"/>
    </row>
    <row r="818" spans="1:155">
      <c r="A818" s="21"/>
      <c r="B818" s="21"/>
      <c r="AA818" s="26"/>
      <c r="AB818" s="26"/>
      <c r="AC818" s="21"/>
      <c r="AD818" s="21"/>
      <c r="AY818" s="26"/>
      <c r="AZ818" s="26"/>
      <c r="BB818" s="26"/>
      <c r="BD818" s="21"/>
      <c r="CN818" s="26"/>
      <c r="DB818" s="24"/>
      <c r="DD818" s="21"/>
      <c r="DE818" s="22"/>
      <c r="DG818" s="21"/>
      <c r="DK818" s="26"/>
      <c r="DL818" s="26"/>
      <c r="DM818" s="26"/>
      <c r="DN818" s="21"/>
      <c r="DO818" s="21"/>
      <c r="EF818" s="25"/>
      <c r="EG818" s="25"/>
      <c r="EY818" s="20"/>
    </row>
    <row r="819" spans="1:155">
      <c r="A819" s="21"/>
      <c r="B819" s="21"/>
      <c r="AA819" s="26"/>
      <c r="AB819" s="26"/>
      <c r="AC819" s="21"/>
      <c r="AD819" s="21"/>
      <c r="AY819" s="26"/>
      <c r="AZ819" s="26"/>
      <c r="BB819" s="26"/>
      <c r="BD819" s="21"/>
      <c r="CN819" s="26"/>
      <c r="DB819" s="24"/>
      <c r="DD819" s="21"/>
      <c r="DE819" s="22"/>
      <c r="DG819" s="21"/>
      <c r="DK819" s="26"/>
      <c r="DL819" s="26"/>
      <c r="DM819" s="26"/>
      <c r="DN819" s="21"/>
      <c r="DO819" s="21"/>
      <c r="EF819" s="25"/>
      <c r="EG819" s="25"/>
      <c r="EY819" s="20"/>
    </row>
    <row r="820" spans="1:155">
      <c r="A820" s="21"/>
      <c r="B820" s="21"/>
      <c r="AA820" s="26"/>
      <c r="AB820" s="26"/>
      <c r="AC820" s="21"/>
      <c r="AD820" s="21"/>
      <c r="AY820" s="26"/>
      <c r="AZ820" s="26"/>
      <c r="BB820" s="26"/>
      <c r="BD820" s="21"/>
      <c r="CN820" s="26"/>
      <c r="DB820" s="24"/>
      <c r="DD820" s="21"/>
      <c r="DE820" s="22"/>
      <c r="DG820" s="21"/>
      <c r="DK820" s="26"/>
      <c r="DL820" s="26"/>
      <c r="DM820" s="26"/>
      <c r="DN820" s="21"/>
      <c r="DO820" s="21"/>
      <c r="EF820" s="25"/>
      <c r="EG820" s="25"/>
      <c r="EY820" s="20"/>
    </row>
    <row r="821" spans="1:155">
      <c r="A821" s="21"/>
      <c r="B821" s="21"/>
      <c r="AA821" s="26"/>
      <c r="AB821" s="26"/>
      <c r="AC821" s="21"/>
      <c r="AD821" s="21"/>
      <c r="AY821" s="26"/>
      <c r="AZ821" s="26"/>
      <c r="BB821" s="26"/>
      <c r="BD821" s="21"/>
      <c r="CN821" s="26"/>
      <c r="DB821" s="24"/>
      <c r="DD821" s="21"/>
      <c r="DE821" s="22"/>
      <c r="DG821" s="21"/>
      <c r="DK821" s="26"/>
      <c r="DL821" s="26"/>
      <c r="DM821" s="26"/>
      <c r="DN821" s="21"/>
      <c r="DO821" s="21"/>
      <c r="EF821" s="25"/>
      <c r="EG821" s="25"/>
      <c r="EY821" s="20"/>
    </row>
    <row r="822" spans="1:155">
      <c r="A822" s="21"/>
      <c r="B822" s="21"/>
      <c r="AA822" s="26"/>
      <c r="AB822" s="26"/>
      <c r="AC822" s="21"/>
      <c r="AD822" s="21"/>
      <c r="AY822" s="26"/>
      <c r="AZ822" s="26"/>
      <c r="BB822" s="26"/>
      <c r="BD822" s="21"/>
      <c r="CN822" s="26"/>
      <c r="DB822" s="24"/>
      <c r="DD822" s="21"/>
      <c r="DE822" s="22"/>
      <c r="DG822" s="21"/>
      <c r="DK822" s="26"/>
      <c r="DL822" s="26"/>
      <c r="DM822" s="26"/>
      <c r="DN822" s="21"/>
      <c r="DO822" s="21"/>
      <c r="EF822" s="25"/>
      <c r="EG822" s="25"/>
      <c r="EY822" s="20"/>
    </row>
    <row r="823" spans="1:155">
      <c r="A823" s="21"/>
      <c r="B823" s="21"/>
      <c r="AA823" s="26"/>
      <c r="AB823" s="26"/>
      <c r="AC823" s="21"/>
      <c r="AD823" s="21"/>
      <c r="AY823" s="26"/>
      <c r="AZ823" s="26"/>
      <c r="BB823" s="26"/>
      <c r="BD823" s="21"/>
      <c r="CN823" s="26"/>
      <c r="DB823" s="24"/>
      <c r="DD823" s="21"/>
      <c r="DE823" s="22"/>
      <c r="DG823" s="21"/>
      <c r="DK823" s="26"/>
      <c r="DL823" s="26"/>
      <c r="DM823" s="26"/>
      <c r="DN823" s="21"/>
      <c r="DO823" s="21"/>
      <c r="EF823" s="25"/>
      <c r="EG823" s="25"/>
      <c r="EY823" s="20"/>
    </row>
    <row r="824" spans="1:155">
      <c r="A824" s="21"/>
      <c r="B824" s="21"/>
      <c r="AA824" s="26"/>
      <c r="AB824" s="26"/>
      <c r="AC824" s="21"/>
      <c r="AD824" s="21"/>
      <c r="AY824" s="26"/>
      <c r="AZ824" s="26"/>
      <c r="BB824" s="26"/>
      <c r="BD824" s="21"/>
      <c r="CN824" s="26"/>
      <c r="DB824" s="24"/>
      <c r="DD824" s="21"/>
      <c r="DE824" s="22"/>
      <c r="DG824" s="21"/>
      <c r="DK824" s="26"/>
      <c r="DL824" s="26"/>
      <c r="DM824" s="26"/>
      <c r="DN824" s="21"/>
      <c r="DO824" s="21"/>
      <c r="EF824" s="25"/>
      <c r="EG824" s="25"/>
      <c r="EY824" s="20"/>
    </row>
    <row r="825" spans="1:155">
      <c r="A825" s="21"/>
      <c r="B825" s="21"/>
      <c r="AA825" s="26"/>
      <c r="AB825" s="26"/>
      <c r="AC825" s="21"/>
      <c r="AD825" s="21"/>
      <c r="AY825" s="26"/>
      <c r="AZ825" s="26"/>
      <c r="BB825" s="26"/>
      <c r="BD825" s="21"/>
      <c r="CN825" s="26"/>
      <c r="DB825" s="24"/>
      <c r="DD825" s="21"/>
      <c r="DE825" s="22"/>
      <c r="DG825" s="21"/>
      <c r="DK825" s="26"/>
      <c r="DL825" s="26"/>
      <c r="DM825" s="26"/>
      <c r="DN825" s="21"/>
      <c r="DO825" s="21"/>
      <c r="EF825" s="25"/>
      <c r="EG825" s="25"/>
      <c r="EY825" s="20"/>
    </row>
    <row r="826" spans="1:155">
      <c r="A826" s="21"/>
      <c r="B826" s="21"/>
      <c r="AA826" s="26"/>
      <c r="AB826" s="26"/>
      <c r="AC826" s="21"/>
      <c r="AD826" s="21"/>
      <c r="AY826" s="26"/>
      <c r="AZ826" s="26"/>
      <c r="BB826" s="26"/>
      <c r="BD826" s="21"/>
      <c r="CN826" s="26"/>
      <c r="DB826" s="24"/>
      <c r="DD826" s="21"/>
      <c r="DE826" s="22"/>
      <c r="DG826" s="21"/>
      <c r="DK826" s="26"/>
      <c r="DL826" s="26"/>
      <c r="DM826" s="26"/>
      <c r="DN826" s="21"/>
      <c r="DO826" s="21"/>
      <c r="EF826" s="25"/>
      <c r="EG826" s="25"/>
      <c r="EY826" s="20"/>
    </row>
    <row r="827" spans="1:155">
      <c r="A827" s="21"/>
      <c r="B827" s="21"/>
      <c r="AA827" s="26"/>
      <c r="AB827" s="26"/>
      <c r="AC827" s="21"/>
      <c r="AD827" s="21"/>
      <c r="AY827" s="26"/>
      <c r="AZ827" s="26"/>
      <c r="BB827" s="26"/>
      <c r="BD827" s="21"/>
      <c r="CN827" s="26"/>
      <c r="DB827" s="24"/>
      <c r="DD827" s="21"/>
      <c r="DE827" s="22"/>
      <c r="DG827" s="21"/>
      <c r="DK827" s="26"/>
      <c r="DL827" s="26"/>
      <c r="DM827" s="26"/>
      <c r="DN827" s="21"/>
      <c r="DO827" s="21"/>
      <c r="EF827" s="25"/>
      <c r="EG827" s="25"/>
      <c r="EY827" s="20"/>
    </row>
    <row r="828" spans="1:155">
      <c r="A828" s="21"/>
      <c r="B828" s="21"/>
      <c r="AA828" s="26"/>
      <c r="AB828" s="26"/>
      <c r="AC828" s="21"/>
      <c r="AD828" s="21"/>
      <c r="AY828" s="26"/>
      <c r="AZ828" s="26"/>
      <c r="BB828" s="26"/>
      <c r="BD828" s="21"/>
      <c r="CN828" s="26"/>
      <c r="DB828" s="24"/>
      <c r="DD828" s="21"/>
      <c r="DE828" s="22"/>
      <c r="DG828" s="21"/>
      <c r="DK828" s="26"/>
      <c r="DL828" s="26"/>
      <c r="DM828" s="26"/>
      <c r="DN828" s="21"/>
      <c r="DO828" s="21"/>
      <c r="EF828" s="25"/>
      <c r="EG828" s="25"/>
      <c r="EY828" s="20"/>
    </row>
    <row r="829" spans="1:155">
      <c r="A829" s="21"/>
      <c r="B829" s="21"/>
      <c r="AA829" s="26"/>
      <c r="AB829" s="26"/>
      <c r="AC829" s="21"/>
      <c r="AD829" s="21"/>
      <c r="AY829" s="26"/>
      <c r="AZ829" s="26"/>
      <c r="BB829" s="26"/>
      <c r="BD829" s="21"/>
      <c r="CN829" s="26"/>
      <c r="DB829" s="24"/>
      <c r="DD829" s="21"/>
      <c r="DE829" s="22"/>
      <c r="DG829" s="21"/>
      <c r="DK829" s="26"/>
      <c r="DL829" s="26"/>
      <c r="DM829" s="26"/>
      <c r="DN829" s="21"/>
      <c r="DO829" s="21"/>
      <c r="EF829" s="25"/>
      <c r="EG829" s="25"/>
      <c r="EY829" s="20"/>
    </row>
    <row r="830" spans="1:155">
      <c r="A830" s="21"/>
      <c r="B830" s="21"/>
      <c r="AA830" s="26"/>
      <c r="AB830" s="26"/>
      <c r="AC830" s="21"/>
      <c r="AD830" s="21"/>
      <c r="AY830" s="26"/>
      <c r="AZ830" s="26"/>
      <c r="BB830" s="26"/>
      <c r="BD830" s="21"/>
      <c r="CN830" s="26"/>
      <c r="DB830" s="24"/>
      <c r="DD830" s="21"/>
      <c r="DE830" s="22"/>
      <c r="DG830" s="21"/>
      <c r="DK830" s="26"/>
      <c r="DL830" s="26"/>
      <c r="DM830" s="26"/>
      <c r="DN830" s="21"/>
      <c r="DO830" s="21"/>
      <c r="EF830" s="25"/>
      <c r="EG830" s="25"/>
      <c r="EY830" s="20"/>
    </row>
    <row r="831" spans="1:155">
      <c r="A831" s="21"/>
      <c r="B831" s="21"/>
      <c r="AA831" s="26"/>
      <c r="AB831" s="26"/>
      <c r="AC831" s="21"/>
      <c r="AD831" s="21"/>
      <c r="AY831" s="26"/>
      <c r="AZ831" s="26"/>
      <c r="BB831" s="26"/>
      <c r="BD831" s="21"/>
      <c r="CN831" s="26"/>
      <c r="DB831" s="24"/>
      <c r="DD831" s="21"/>
      <c r="DE831" s="22"/>
      <c r="DG831" s="21"/>
      <c r="DK831" s="26"/>
      <c r="DL831" s="26"/>
      <c r="DM831" s="26"/>
      <c r="DN831" s="21"/>
      <c r="DO831" s="21"/>
      <c r="EF831" s="25"/>
      <c r="EG831" s="25"/>
      <c r="EY831" s="20"/>
    </row>
    <row r="832" spans="1:155">
      <c r="A832" s="21"/>
      <c r="B832" s="21"/>
      <c r="AA832" s="26"/>
      <c r="AB832" s="26"/>
      <c r="AC832" s="21"/>
      <c r="AD832" s="21"/>
      <c r="AY832" s="26"/>
      <c r="AZ832" s="26"/>
      <c r="BB832" s="26"/>
      <c r="BD832" s="21"/>
      <c r="CN832" s="26"/>
      <c r="DB832" s="24"/>
      <c r="DD832" s="21"/>
      <c r="DE832" s="22"/>
      <c r="DG832" s="21"/>
      <c r="DK832" s="26"/>
      <c r="DL832" s="26"/>
      <c r="DM832" s="26"/>
      <c r="DN832" s="21"/>
      <c r="DO832" s="21"/>
      <c r="EF832" s="25"/>
      <c r="EG832" s="25"/>
      <c r="EY832" s="20"/>
    </row>
    <row r="833" spans="1:155">
      <c r="A833" s="21"/>
      <c r="B833" s="21"/>
      <c r="AA833" s="26"/>
      <c r="AB833" s="26"/>
      <c r="AC833" s="21"/>
      <c r="AD833" s="21"/>
      <c r="AY833" s="26"/>
      <c r="AZ833" s="26"/>
      <c r="BB833" s="26"/>
      <c r="BD833" s="21"/>
      <c r="CN833" s="26"/>
      <c r="DB833" s="24"/>
      <c r="DD833" s="21"/>
      <c r="DE833" s="22"/>
      <c r="DG833" s="21"/>
      <c r="DK833" s="26"/>
      <c r="DL833" s="26"/>
      <c r="DM833" s="26"/>
      <c r="DN833" s="21"/>
      <c r="DO833" s="21"/>
      <c r="EF833" s="25"/>
      <c r="EG833" s="25"/>
      <c r="EY833" s="20"/>
    </row>
    <row r="834" spans="1:155">
      <c r="A834" s="21"/>
      <c r="B834" s="21"/>
      <c r="AA834" s="26"/>
      <c r="AB834" s="26"/>
      <c r="AC834" s="21"/>
      <c r="AD834" s="21"/>
      <c r="AY834" s="26"/>
      <c r="AZ834" s="26"/>
      <c r="BB834" s="26"/>
      <c r="BD834" s="21"/>
      <c r="CN834" s="26"/>
      <c r="DB834" s="24"/>
      <c r="DD834" s="21"/>
      <c r="DE834" s="22"/>
      <c r="DG834" s="21"/>
      <c r="DK834" s="26"/>
      <c r="DL834" s="26"/>
      <c r="DM834" s="26"/>
      <c r="DN834" s="21"/>
      <c r="DO834" s="21"/>
      <c r="EF834" s="25"/>
      <c r="EG834" s="25"/>
      <c r="EY834" s="20"/>
    </row>
    <row r="835" spans="1:155">
      <c r="A835" s="21"/>
      <c r="B835" s="21"/>
      <c r="AA835" s="26"/>
      <c r="AB835" s="26"/>
      <c r="AC835" s="21"/>
      <c r="AD835" s="21"/>
      <c r="AY835" s="26"/>
      <c r="AZ835" s="26"/>
      <c r="BB835" s="26"/>
      <c r="BD835" s="21"/>
      <c r="CN835" s="26"/>
      <c r="DB835" s="24"/>
      <c r="DD835" s="21"/>
      <c r="DE835" s="22"/>
      <c r="DG835" s="21"/>
      <c r="DK835" s="26"/>
      <c r="DL835" s="26"/>
      <c r="DM835" s="26"/>
      <c r="DN835" s="21"/>
      <c r="DO835" s="21"/>
      <c r="EF835" s="25"/>
      <c r="EG835" s="25"/>
      <c r="EY835" s="20"/>
    </row>
    <row r="836" spans="1:155">
      <c r="A836" s="21"/>
      <c r="B836" s="21"/>
      <c r="AA836" s="26"/>
      <c r="AB836" s="26"/>
      <c r="AC836" s="21"/>
      <c r="AD836" s="21"/>
      <c r="AY836" s="26"/>
      <c r="AZ836" s="26"/>
      <c r="BB836" s="26"/>
      <c r="BD836" s="21"/>
      <c r="CN836" s="26"/>
      <c r="DB836" s="24"/>
      <c r="DD836" s="21"/>
      <c r="DE836" s="22"/>
      <c r="DG836" s="21"/>
      <c r="DK836" s="26"/>
      <c r="DL836" s="26"/>
      <c r="DM836" s="26"/>
      <c r="DN836" s="21"/>
      <c r="DO836" s="21"/>
      <c r="EF836" s="25"/>
      <c r="EG836" s="25"/>
      <c r="EY836" s="20"/>
    </row>
    <row r="837" spans="1:155">
      <c r="A837" s="21"/>
      <c r="B837" s="21"/>
      <c r="AA837" s="26"/>
      <c r="AB837" s="26"/>
      <c r="AC837" s="21"/>
      <c r="AD837" s="21"/>
      <c r="AY837" s="26"/>
      <c r="AZ837" s="26"/>
      <c r="BB837" s="26"/>
      <c r="BD837" s="21"/>
      <c r="CN837" s="26"/>
      <c r="DB837" s="24"/>
      <c r="DD837" s="21"/>
      <c r="DE837" s="22"/>
      <c r="DG837" s="21"/>
      <c r="DK837" s="26"/>
      <c r="DL837" s="26"/>
      <c r="DM837" s="26"/>
      <c r="DN837" s="21"/>
      <c r="DO837" s="21"/>
      <c r="EF837" s="25"/>
      <c r="EG837" s="25"/>
      <c r="EY837" s="20"/>
    </row>
    <row r="838" spans="1:155">
      <c r="A838" s="21"/>
      <c r="B838" s="21"/>
      <c r="AA838" s="26"/>
      <c r="AB838" s="26"/>
      <c r="AC838" s="21"/>
      <c r="AD838" s="21"/>
      <c r="AY838" s="26"/>
      <c r="AZ838" s="26"/>
      <c r="BB838" s="26"/>
      <c r="BD838" s="21"/>
      <c r="CN838" s="26"/>
      <c r="DB838" s="24"/>
      <c r="DD838" s="21"/>
      <c r="DE838" s="22"/>
      <c r="DG838" s="21"/>
      <c r="DK838" s="26"/>
      <c r="DL838" s="26"/>
      <c r="DM838" s="26"/>
      <c r="DN838" s="21"/>
      <c r="DO838" s="21"/>
      <c r="EF838" s="25"/>
      <c r="EG838" s="25"/>
      <c r="EY838" s="20"/>
    </row>
    <row r="839" spans="1:155">
      <c r="A839" s="21"/>
      <c r="B839" s="21"/>
      <c r="AA839" s="26"/>
      <c r="AB839" s="26"/>
      <c r="AC839" s="21"/>
      <c r="AD839" s="21"/>
      <c r="AY839" s="26"/>
      <c r="AZ839" s="26"/>
      <c r="BB839" s="26"/>
      <c r="BD839" s="21"/>
      <c r="CN839" s="26"/>
      <c r="DB839" s="24"/>
      <c r="DD839" s="21"/>
      <c r="DE839" s="22"/>
      <c r="DG839" s="21"/>
      <c r="DK839" s="26"/>
      <c r="DL839" s="26"/>
      <c r="DM839" s="26"/>
      <c r="DN839" s="21"/>
      <c r="DO839" s="21"/>
      <c r="EF839" s="25"/>
      <c r="EG839" s="25"/>
      <c r="EY839" s="20"/>
    </row>
    <row r="840" spans="1:155">
      <c r="A840" s="21"/>
      <c r="B840" s="21"/>
      <c r="AA840" s="26"/>
      <c r="AB840" s="26"/>
      <c r="AC840" s="21"/>
      <c r="AD840" s="21"/>
      <c r="AY840" s="26"/>
      <c r="AZ840" s="26"/>
      <c r="BB840" s="26"/>
      <c r="BD840" s="21"/>
      <c r="CN840" s="26"/>
      <c r="DB840" s="24"/>
      <c r="DD840" s="21"/>
      <c r="DE840" s="22"/>
      <c r="DG840" s="21"/>
      <c r="DK840" s="26"/>
      <c r="DL840" s="26"/>
      <c r="DM840" s="26"/>
      <c r="DN840" s="21"/>
      <c r="DO840" s="21"/>
      <c r="EF840" s="25"/>
      <c r="EG840" s="25"/>
      <c r="EY840" s="20"/>
    </row>
    <row r="841" spans="1:155">
      <c r="A841" s="21"/>
      <c r="B841" s="21"/>
      <c r="AA841" s="26"/>
      <c r="AB841" s="26"/>
      <c r="AC841" s="21"/>
      <c r="AD841" s="21"/>
      <c r="AY841" s="26"/>
      <c r="AZ841" s="26"/>
      <c r="BB841" s="26"/>
      <c r="BD841" s="21"/>
      <c r="CN841" s="26"/>
      <c r="DB841" s="24"/>
      <c r="DD841" s="21"/>
      <c r="DE841" s="22"/>
      <c r="DG841" s="21"/>
      <c r="DK841" s="26"/>
      <c r="DL841" s="26"/>
      <c r="DM841" s="26"/>
      <c r="DN841" s="21"/>
      <c r="DO841" s="21"/>
      <c r="EF841" s="25"/>
      <c r="EG841" s="25"/>
      <c r="EY841" s="20"/>
    </row>
    <row r="842" spans="1:155">
      <c r="A842" s="21"/>
      <c r="B842" s="21"/>
      <c r="AA842" s="26"/>
      <c r="AB842" s="26"/>
      <c r="AC842" s="21"/>
      <c r="AD842" s="21"/>
      <c r="AY842" s="26"/>
      <c r="AZ842" s="26"/>
      <c r="BB842" s="26"/>
      <c r="BD842" s="21"/>
      <c r="CN842" s="26"/>
      <c r="DB842" s="24"/>
      <c r="DD842" s="21"/>
      <c r="DE842" s="22"/>
      <c r="DG842" s="21"/>
      <c r="DK842" s="26"/>
      <c r="DL842" s="26"/>
      <c r="DM842" s="26"/>
      <c r="DN842" s="21"/>
      <c r="DO842" s="21"/>
      <c r="EF842" s="25"/>
      <c r="EG842" s="25"/>
      <c r="EY842" s="20"/>
    </row>
    <row r="843" spans="1:155">
      <c r="A843" s="21"/>
      <c r="B843" s="21"/>
      <c r="AA843" s="26"/>
      <c r="AB843" s="26"/>
      <c r="AC843" s="21"/>
      <c r="AD843" s="21"/>
      <c r="AY843" s="26"/>
      <c r="AZ843" s="26"/>
      <c r="BB843" s="26"/>
      <c r="BD843" s="21"/>
      <c r="CN843" s="26"/>
      <c r="DB843" s="24"/>
      <c r="DD843" s="21"/>
      <c r="DE843" s="22"/>
      <c r="DG843" s="21"/>
      <c r="DK843" s="26"/>
      <c r="DL843" s="26"/>
      <c r="DM843" s="26"/>
      <c r="DN843" s="21"/>
      <c r="DO843" s="21"/>
      <c r="EF843" s="25"/>
      <c r="EG843" s="25"/>
      <c r="EY843" s="20"/>
    </row>
    <row r="844" spans="1:155">
      <c r="A844" s="21"/>
      <c r="B844" s="21"/>
      <c r="AA844" s="26"/>
      <c r="AB844" s="26"/>
      <c r="AC844" s="21"/>
      <c r="AD844" s="21"/>
      <c r="AY844" s="26"/>
      <c r="AZ844" s="26"/>
      <c r="BB844" s="26"/>
      <c r="BD844" s="21"/>
      <c r="CN844" s="26"/>
      <c r="DB844" s="24"/>
      <c r="DD844" s="21"/>
      <c r="DE844" s="22"/>
      <c r="DG844" s="21"/>
      <c r="DK844" s="26"/>
      <c r="DL844" s="26"/>
      <c r="DM844" s="26"/>
      <c r="DN844" s="21"/>
      <c r="DO844" s="21"/>
      <c r="EF844" s="25"/>
      <c r="EG844" s="25"/>
      <c r="EY844" s="20"/>
    </row>
    <row r="845" spans="1:155">
      <c r="A845" s="21"/>
      <c r="B845" s="21"/>
      <c r="AA845" s="26"/>
      <c r="AB845" s="26"/>
      <c r="AC845" s="21"/>
      <c r="AD845" s="21"/>
      <c r="AY845" s="26"/>
      <c r="AZ845" s="26"/>
      <c r="BB845" s="26"/>
      <c r="BD845" s="21"/>
      <c r="CN845" s="26"/>
      <c r="DB845" s="24"/>
      <c r="DD845" s="21"/>
      <c r="DE845" s="22"/>
      <c r="DG845" s="21"/>
      <c r="DK845" s="26"/>
      <c r="DL845" s="26"/>
      <c r="DM845" s="26"/>
      <c r="DN845" s="21"/>
      <c r="DO845" s="21"/>
      <c r="EF845" s="25"/>
      <c r="EG845" s="25"/>
      <c r="EY845" s="20"/>
    </row>
    <row r="846" spans="1:155">
      <c r="A846" s="21"/>
      <c r="B846" s="21"/>
      <c r="AA846" s="26"/>
      <c r="AB846" s="26"/>
      <c r="AC846" s="21"/>
      <c r="AD846" s="21"/>
      <c r="AY846" s="26"/>
      <c r="AZ846" s="26"/>
      <c r="BB846" s="26"/>
      <c r="BD846" s="21"/>
      <c r="CN846" s="26"/>
      <c r="DB846" s="24"/>
      <c r="DD846" s="21"/>
      <c r="DE846" s="22"/>
      <c r="DG846" s="21"/>
      <c r="DK846" s="26"/>
      <c r="DL846" s="26"/>
      <c r="DM846" s="26"/>
      <c r="DN846" s="21"/>
      <c r="DO846" s="21"/>
      <c r="EF846" s="25"/>
      <c r="EG846" s="25"/>
      <c r="EY846" s="20"/>
    </row>
    <row r="847" spans="1:155">
      <c r="A847" s="21"/>
      <c r="B847" s="21"/>
      <c r="AA847" s="26"/>
      <c r="AB847" s="26"/>
      <c r="AC847" s="21"/>
      <c r="AD847" s="21"/>
      <c r="AY847" s="26"/>
      <c r="AZ847" s="26"/>
      <c r="BB847" s="26"/>
      <c r="BD847" s="21"/>
      <c r="CN847" s="26"/>
      <c r="DB847" s="24"/>
      <c r="DD847" s="21"/>
      <c r="DE847" s="22"/>
      <c r="DG847" s="21"/>
      <c r="DK847" s="26"/>
      <c r="DL847" s="26"/>
      <c r="DM847" s="26"/>
      <c r="DN847" s="21"/>
      <c r="DO847" s="21"/>
      <c r="EF847" s="25"/>
      <c r="EG847" s="25"/>
      <c r="EY847" s="20"/>
    </row>
    <row r="848" spans="1:155">
      <c r="A848" s="21"/>
      <c r="B848" s="21"/>
      <c r="AA848" s="26"/>
      <c r="AB848" s="26"/>
      <c r="AC848" s="21"/>
      <c r="AD848" s="21"/>
      <c r="AY848" s="26"/>
      <c r="AZ848" s="26"/>
      <c r="BB848" s="26"/>
      <c r="BD848" s="21"/>
      <c r="CN848" s="26"/>
      <c r="DB848" s="24"/>
      <c r="DD848" s="21"/>
      <c r="DE848" s="22"/>
      <c r="DG848" s="21"/>
      <c r="DK848" s="26"/>
      <c r="DL848" s="26"/>
      <c r="DM848" s="26"/>
      <c r="DN848" s="21"/>
      <c r="DO848" s="21"/>
      <c r="EF848" s="25"/>
      <c r="EG848" s="25"/>
      <c r="EY848" s="20"/>
    </row>
    <row r="849" spans="1:155">
      <c r="A849" s="21"/>
      <c r="B849" s="21"/>
      <c r="AA849" s="26"/>
      <c r="AB849" s="26"/>
      <c r="AC849" s="21"/>
      <c r="AD849" s="21"/>
      <c r="AY849" s="26"/>
      <c r="AZ849" s="26"/>
      <c r="BB849" s="26"/>
      <c r="BD849" s="21"/>
      <c r="CN849" s="26"/>
      <c r="DB849" s="24"/>
      <c r="DD849" s="21"/>
      <c r="DE849" s="22"/>
      <c r="DG849" s="21"/>
      <c r="DK849" s="26"/>
      <c r="DL849" s="26"/>
      <c r="DM849" s="26"/>
      <c r="DN849" s="21"/>
      <c r="DO849" s="21"/>
      <c r="EF849" s="25"/>
      <c r="EG849" s="25"/>
      <c r="EY849" s="20"/>
    </row>
    <row r="850" spans="1:155">
      <c r="A850" s="21"/>
      <c r="B850" s="21"/>
      <c r="AA850" s="26"/>
      <c r="AB850" s="26"/>
      <c r="AC850" s="21"/>
      <c r="AD850" s="21"/>
      <c r="AY850" s="26"/>
      <c r="AZ850" s="26"/>
      <c r="BB850" s="26"/>
      <c r="BD850" s="21"/>
      <c r="CN850" s="26"/>
      <c r="DB850" s="24"/>
      <c r="DD850" s="21"/>
      <c r="DE850" s="22"/>
      <c r="DG850" s="21"/>
      <c r="DK850" s="26"/>
      <c r="DL850" s="26"/>
      <c r="DM850" s="26"/>
      <c r="DN850" s="21"/>
      <c r="DO850" s="21"/>
      <c r="EF850" s="25"/>
      <c r="EG850" s="25"/>
      <c r="EY850" s="20"/>
    </row>
    <row r="851" spans="1:155">
      <c r="A851" s="21"/>
      <c r="B851" s="21"/>
      <c r="AA851" s="26"/>
      <c r="AB851" s="26"/>
      <c r="AC851" s="21"/>
      <c r="AD851" s="21"/>
      <c r="AY851" s="26"/>
      <c r="AZ851" s="26"/>
      <c r="BB851" s="26"/>
      <c r="BD851" s="21"/>
      <c r="CN851" s="26"/>
      <c r="DB851" s="24"/>
      <c r="DD851" s="21"/>
      <c r="DE851" s="22"/>
      <c r="DG851" s="21"/>
      <c r="DK851" s="26"/>
      <c r="DL851" s="26"/>
      <c r="DM851" s="26"/>
      <c r="DN851" s="21"/>
      <c r="DO851" s="21"/>
      <c r="EF851" s="25"/>
      <c r="EG851" s="25"/>
      <c r="EY851" s="20"/>
    </row>
    <row r="852" spans="1:155">
      <c r="A852" s="21"/>
      <c r="B852" s="21"/>
      <c r="AA852" s="26"/>
      <c r="AB852" s="26"/>
      <c r="AC852" s="21"/>
      <c r="AD852" s="21"/>
      <c r="AY852" s="26"/>
      <c r="AZ852" s="26"/>
      <c r="BB852" s="26"/>
      <c r="BD852" s="21"/>
      <c r="CN852" s="26"/>
      <c r="DB852" s="24"/>
      <c r="DD852" s="21"/>
      <c r="DE852" s="22"/>
      <c r="DG852" s="21"/>
      <c r="DK852" s="26"/>
      <c r="DL852" s="26"/>
      <c r="DM852" s="26"/>
      <c r="DN852" s="21"/>
      <c r="DO852" s="21"/>
      <c r="EF852" s="25"/>
      <c r="EG852" s="25"/>
      <c r="EY852" s="20"/>
    </row>
    <row r="853" spans="1:155">
      <c r="A853" s="21"/>
      <c r="B853" s="21"/>
      <c r="AA853" s="26"/>
      <c r="AB853" s="26"/>
      <c r="AC853" s="21"/>
      <c r="AD853" s="21"/>
      <c r="AY853" s="26"/>
      <c r="AZ853" s="26"/>
      <c r="BB853" s="26"/>
      <c r="BD853" s="21"/>
      <c r="CN853" s="26"/>
      <c r="DB853" s="24"/>
      <c r="DD853" s="21"/>
      <c r="DE853" s="22"/>
      <c r="DG853" s="21"/>
      <c r="DK853" s="26"/>
      <c r="DL853" s="26"/>
      <c r="DM853" s="26"/>
      <c r="DN853" s="21"/>
      <c r="DO853" s="21"/>
      <c r="EF853" s="25"/>
      <c r="EG853" s="25"/>
      <c r="EY853" s="20"/>
    </row>
    <row r="854" spans="1:155">
      <c r="A854" s="21"/>
      <c r="B854" s="21"/>
      <c r="AA854" s="26"/>
      <c r="AB854" s="26"/>
      <c r="AC854" s="21"/>
      <c r="AD854" s="21"/>
      <c r="AY854" s="26"/>
      <c r="AZ854" s="26"/>
      <c r="BB854" s="26"/>
      <c r="BD854" s="21"/>
      <c r="CN854" s="26"/>
      <c r="DB854" s="24"/>
      <c r="DD854" s="21"/>
      <c r="DE854" s="22"/>
      <c r="DG854" s="21"/>
      <c r="DK854" s="26"/>
      <c r="DL854" s="26"/>
      <c r="DM854" s="26"/>
      <c r="DN854" s="21"/>
      <c r="DO854" s="21"/>
      <c r="EF854" s="25"/>
      <c r="EG854" s="25"/>
      <c r="EY854" s="20"/>
    </row>
    <row r="855" spans="1:155">
      <c r="A855" s="21"/>
      <c r="B855" s="21"/>
      <c r="AA855" s="26"/>
      <c r="AB855" s="26"/>
      <c r="AC855" s="21"/>
      <c r="AD855" s="21"/>
      <c r="AY855" s="26"/>
      <c r="AZ855" s="26"/>
      <c r="BB855" s="26"/>
      <c r="BD855" s="21"/>
      <c r="CN855" s="26"/>
      <c r="DB855" s="24"/>
      <c r="DD855" s="21"/>
      <c r="DE855" s="22"/>
      <c r="DG855" s="21"/>
      <c r="DK855" s="26"/>
      <c r="DL855" s="26"/>
      <c r="DM855" s="26"/>
      <c r="DN855" s="21"/>
      <c r="DO855" s="21"/>
      <c r="EF855" s="25"/>
      <c r="EG855" s="25"/>
      <c r="EY855" s="20"/>
    </row>
    <row r="856" spans="1:155">
      <c r="A856" s="21"/>
      <c r="B856" s="21"/>
      <c r="AA856" s="26"/>
      <c r="AB856" s="26"/>
      <c r="AC856" s="21"/>
      <c r="AD856" s="21"/>
      <c r="AY856" s="26"/>
      <c r="AZ856" s="26"/>
      <c r="BB856" s="26"/>
      <c r="BD856" s="21"/>
      <c r="CN856" s="26"/>
      <c r="DB856" s="24"/>
      <c r="DD856" s="21"/>
      <c r="DE856" s="22"/>
      <c r="DG856" s="21"/>
      <c r="DK856" s="26"/>
      <c r="DL856" s="26"/>
      <c r="DM856" s="26"/>
      <c r="DN856" s="21"/>
      <c r="DO856" s="21"/>
      <c r="EF856" s="25"/>
      <c r="EG856" s="25"/>
      <c r="EY856" s="20"/>
    </row>
    <row r="857" spans="1:155">
      <c r="A857" s="21"/>
      <c r="B857" s="21"/>
      <c r="AA857" s="26"/>
      <c r="AB857" s="26"/>
      <c r="AC857" s="21"/>
      <c r="AD857" s="21"/>
      <c r="AY857" s="26"/>
      <c r="AZ857" s="26"/>
      <c r="BB857" s="26"/>
      <c r="BD857" s="21"/>
      <c r="CN857" s="26"/>
      <c r="DB857" s="24"/>
      <c r="DD857" s="21"/>
      <c r="DE857" s="22"/>
      <c r="DG857" s="21"/>
      <c r="DK857" s="26"/>
      <c r="DL857" s="26"/>
      <c r="DM857" s="26"/>
      <c r="DN857" s="21"/>
      <c r="DO857" s="21"/>
      <c r="EF857" s="25"/>
      <c r="EG857" s="25"/>
      <c r="EY857" s="20"/>
    </row>
    <row r="858" spans="1:155">
      <c r="A858" s="21"/>
      <c r="B858" s="21"/>
      <c r="AA858" s="26"/>
      <c r="AB858" s="26"/>
      <c r="AC858" s="21"/>
      <c r="AD858" s="21"/>
      <c r="AY858" s="26"/>
      <c r="AZ858" s="26"/>
      <c r="BB858" s="26"/>
      <c r="BD858" s="21"/>
      <c r="CN858" s="26"/>
      <c r="DB858" s="24"/>
      <c r="DD858" s="21"/>
      <c r="DE858" s="22"/>
      <c r="DG858" s="21"/>
      <c r="DK858" s="26"/>
      <c r="DL858" s="26"/>
      <c r="DM858" s="26"/>
      <c r="DN858" s="21"/>
      <c r="DO858" s="21"/>
      <c r="EF858" s="25"/>
      <c r="EG858" s="25"/>
      <c r="EY858" s="20"/>
    </row>
    <row r="859" spans="1:155">
      <c r="A859" s="21"/>
      <c r="B859" s="21"/>
      <c r="AA859" s="26"/>
      <c r="AB859" s="26"/>
      <c r="AC859" s="21"/>
      <c r="AD859" s="21"/>
      <c r="AY859" s="26"/>
      <c r="AZ859" s="26"/>
      <c r="BB859" s="26"/>
      <c r="BD859" s="21"/>
      <c r="CN859" s="26"/>
      <c r="DB859" s="24"/>
      <c r="DD859" s="21"/>
      <c r="DE859" s="22"/>
      <c r="DG859" s="21"/>
      <c r="DK859" s="26"/>
      <c r="DL859" s="26"/>
      <c r="DM859" s="26"/>
      <c r="DN859" s="21"/>
      <c r="DO859" s="21"/>
      <c r="EF859" s="25"/>
      <c r="EG859" s="25"/>
      <c r="EY859" s="20"/>
    </row>
    <row r="860" spans="1:155">
      <c r="A860" s="21"/>
      <c r="B860" s="21"/>
      <c r="AA860" s="26"/>
      <c r="AB860" s="26"/>
      <c r="AC860" s="21"/>
      <c r="AD860" s="21"/>
      <c r="AY860" s="26"/>
      <c r="AZ860" s="26"/>
      <c r="BB860" s="26"/>
      <c r="BD860" s="21"/>
      <c r="CN860" s="26"/>
      <c r="DB860" s="24"/>
      <c r="DD860" s="21"/>
      <c r="DE860" s="22"/>
      <c r="DG860" s="21"/>
      <c r="DK860" s="26"/>
      <c r="DL860" s="26"/>
      <c r="DM860" s="26"/>
      <c r="DN860" s="21"/>
      <c r="DO860" s="21"/>
      <c r="EF860" s="25"/>
      <c r="EG860" s="25"/>
      <c r="EY860" s="20"/>
    </row>
    <row r="861" spans="1:155">
      <c r="A861" s="21"/>
      <c r="B861" s="21"/>
      <c r="AA861" s="26"/>
      <c r="AB861" s="26"/>
      <c r="AC861" s="21"/>
      <c r="AD861" s="21"/>
      <c r="AY861" s="26"/>
      <c r="AZ861" s="26"/>
      <c r="BB861" s="26"/>
      <c r="BD861" s="21"/>
      <c r="CN861" s="26"/>
      <c r="DB861" s="24"/>
      <c r="DD861" s="21"/>
      <c r="DE861" s="22"/>
      <c r="DG861" s="21"/>
      <c r="DK861" s="26"/>
      <c r="DL861" s="26"/>
      <c r="DM861" s="26"/>
      <c r="DN861" s="21"/>
      <c r="DO861" s="21"/>
      <c r="EF861" s="25"/>
      <c r="EG861" s="25"/>
      <c r="EY861" s="20"/>
    </row>
    <row r="862" spans="1:155">
      <c r="A862" s="21"/>
      <c r="B862" s="21"/>
      <c r="AA862" s="26"/>
      <c r="AB862" s="26"/>
      <c r="AC862" s="21"/>
      <c r="AD862" s="21"/>
      <c r="AY862" s="26"/>
      <c r="AZ862" s="26"/>
      <c r="BB862" s="26"/>
      <c r="BD862" s="21"/>
      <c r="CN862" s="26"/>
      <c r="DB862" s="24"/>
      <c r="DD862" s="21"/>
      <c r="DE862" s="22"/>
      <c r="DG862" s="21"/>
      <c r="DK862" s="26"/>
      <c r="DL862" s="26"/>
      <c r="DM862" s="26"/>
      <c r="DN862" s="21"/>
      <c r="DO862" s="21"/>
      <c r="EF862" s="25"/>
      <c r="EG862" s="25"/>
      <c r="EY862" s="20"/>
    </row>
    <row r="863" spans="1:155">
      <c r="A863" s="21"/>
      <c r="B863" s="21"/>
      <c r="AA863" s="26"/>
      <c r="AB863" s="26"/>
      <c r="AC863" s="21"/>
      <c r="AD863" s="21"/>
      <c r="AY863" s="26"/>
      <c r="AZ863" s="26"/>
      <c r="BB863" s="26"/>
      <c r="BD863" s="21"/>
      <c r="CN863" s="26"/>
      <c r="DB863" s="24"/>
      <c r="DD863" s="21"/>
      <c r="DE863" s="22"/>
      <c r="DG863" s="21"/>
      <c r="DK863" s="26"/>
      <c r="DL863" s="26"/>
      <c r="DM863" s="26"/>
      <c r="DN863" s="21"/>
      <c r="DO863" s="21"/>
      <c r="EF863" s="25"/>
      <c r="EG863" s="25"/>
      <c r="EY863" s="20"/>
    </row>
    <row r="864" spans="1:155">
      <c r="A864" s="21"/>
      <c r="B864" s="21"/>
      <c r="AA864" s="26"/>
      <c r="AB864" s="26"/>
      <c r="AC864" s="21"/>
      <c r="AD864" s="21"/>
      <c r="AY864" s="26"/>
      <c r="AZ864" s="26"/>
      <c r="BB864" s="26"/>
      <c r="BD864" s="21"/>
      <c r="CN864" s="26"/>
      <c r="DB864" s="24"/>
      <c r="DD864" s="21"/>
      <c r="DE864" s="22"/>
      <c r="DG864" s="21"/>
      <c r="DK864" s="26"/>
      <c r="DL864" s="26"/>
      <c r="DM864" s="26"/>
      <c r="DN864" s="21"/>
      <c r="DO864" s="21"/>
      <c r="EF864" s="25"/>
      <c r="EG864" s="25"/>
      <c r="EY864" s="20"/>
    </row>
    <row r="865" spans="1:155">
      <c r="A865" s="21"/>
      <c r="B865" s="21"/>
      <c r="AA865" s="26"/>
      <c r="AB865" s="26"/>
      <c r="AC865" s="21"/>
      <c r="AD865" s="21"/>
      <c r="AY865" s="26"/>
      <c r="AZ865" s="26"/>
      <c r="BB865" s="26"/>
      <c r="BD865" s="21"/>
      <c r="CN865" s="26"/>
      <c r="DB865" s="24"/>
      <c r="DD865" s="21"/>
      <c r="DE865" s="22"/>
      <c r="DG865" s="21"/>
      <c r="DK865" s="26"/>
      <c r="DL865" s="26"/>
      <c r="DM865" s="26"/>
      <c r="DN865" s="21"/>
      <c r="DO865" s="21"/>
      <c r="EF865" s="25"/>
      <c r="EG865" s="25"/>
      <c r="EY865" s="20"/>
    </row>
    <row r="866" spans="1:155">
      <c r="A866" s="21"/>
      <c r="B866" s="21"/>
      <c r="AA866" s="26"/>
      <c r="AB866" s="26"/>
      <c r="AC866" s="21"/>
      <c r="AD866" s="21"/>
      <c r="AY866" s="26"/>
      <c r="AZ866" s="26"/>
      <c r="BB866" s="26"/>
      <c r="BD866" s="21"/>
      <c r="CN866" s="26"/>
      <c r="DB866" s="24"/>
      <c r="DD866" s="21"/>
      <c r="DE866" s="22"/>
      <c r="DG866" s="21"/>
      <c r="DK866" s="26"/>
      <c r="DL866" s="26"/>
      <c r="DM866" s="26"/>
      <c r="DN866" s="21"/>
      <c r="DO866" s="21"/>
      <c r="EF866" s="25"/>
      <c r="EG866" s="25"/>
      <c r="EY866" s="20"/>
    </row>
    <row r="867" spans="1:155">
      <c r="A867" s="21"/>
      <c r="B867" s="21"/>
      <c r="AA867" s="26"/>
      <c r="AB867" s="26"/>
      <c r="AC867" s="21"/>
      <c r="AD867" s="21"/>
      <c r="AY867" s="26"/>
      <c r="AZ867" s="26"/>
      <c r="BB867" s="26"/>
      <c r="BD867" s="21"/>
      <c r="CN867" s="26"/>
      <c r="DB867" s="24"/>
      <c r="DD867" s="21"/>
      <c r="DE867" s="22"/>
      <c r="DG867" s="21"/>
      <c r="DK867" s="26"/>
      <c r="DL867" s="26"/>
      <c r="DM867" s="26"/>
      <c r="DN867" s="21"/>
      <c r="DO867" s="21"/>
      <c r="EF867" s="25"/>
      <c r="EG867" s="25"/>
      <c r="EY867" s="20"/>
    </row>
    <row r="868" spans="1:155">
      <c r="A868" s="21"/>
      <c r="B868" s="21"/>
      <c r="AA868" s="26"/>
      <c r="AB868" s="26"/>
      <c r="AC868" s="21"/>
      <c r="AD868" s="21"/>
      <c r="AY868" s="26"/>
      <c r="AZ868" s="26"/>
      <c r="BB868" s="26"/>
      <c r="BD868" s="21"/>
      <c r="CN868" s="26"/>
      <c r="DB868" s="24"/>
      <c r="DD868" s="21"/>
      <c r="DE868" s="22"/>
      <c r="DG868" s="21"/>
      <c r="DK868" s="26"/>
      <c r="DL868" s="26"/>
      <c r="DM868" s="26"/>
      <c r="DN868" s="21"/>
      <c r="DO868" s="21"/>
      <c r="EF868" s="25"/>
      <c r="EG868" s="25"/>
      <c r="EY868" s="20"/>
    </row>
    <row r="869" spans="1:155">
      <c r="A869" s="21"/>
      <c r="B869" s="21"/>
      <c r="AA869" s="26"/>
      <c r="AB869" s="26"/>
      <c r="AC869" s="21"/>
      <c r="AD869" s="21"/>
      <c r="AY869" s="26"/>
      <c r="AZ869" s="26"/>
      <c r="BB869" s="26"/>
      <c r="BD869" s="21"/>
      <c r="CN869" s="26"/>
      <c r="DB869" s="24"/>
      <c r="DD869" s="21"/>
      <c r="DE869" s="22"/>
      <c r="DG869" s="21"/>
      <c r="DK869" s="26"/>
      <c r="DL869" s="26"/>
      <c r="DM869" s="26"/>
      <c r="DN869" s="21"/>
      <c r="DO869" s="21"/>
      <c r="EF869" s="25"/>
      <c r="EG869" s="25"/>
      <c r="EY869" s="20"/>
    </row>
    <row r="870" spans="1:155">
      <c r="A870" s="21"/>
      <c r="B870" s="21"/>
      <c r="AA870" s="26"/>
      <c r="AB870" s="26"/>
      <c r="AC870" s="21"/>
      <c r="AD870" s="21"/>
      <c r="AY870" s="26"/>
      <c r="AZ870" s="26"/>
      <c r="BB870" s="26"/>
      <c r="BD870" s="21"/>
      <c r="CN870" s="26"/>
      <c r="DB870" s="24"/>
      <c r="DD870" s="21"/>
      <c r="DE870" s="22"/>
      <c r="DG870" s="21"/>
      <c r="DK870" s="26"/>
      <c r="DL870" s="26"/>
      <c r="DM870" s="26"/>
      <c r="DN870" s="21"/>
      <c r="DO870" s="21"/>
      <c r="EF870" s="25"/>
      <c r="EG870" s="25"/>
      <c r="EY870" s="20"/>
    </row>
    <row r="871" spans="1:155">
      <c r="A871" s="21"/>
      <c r="B871" s="21"/>
      <c r="AA871" s="26"/>
      <c r="AB871" s="26"/>
      <c r="AC871" s="21"/>
      <c r="AD871" s="21"/>
      <c r="AY871" s="26"/>
      <c r="AZ871" s="26"/>
      <c r="BB871" s="26"/>
      <c r="BD871" s="21"/>
      <c r="CN871" s="26"/>
      <c r="DB871" s="24"/>
      <c r="DD871" s="21"/>
      <c r="DE871" s="22"/>
      <c r="DG871" s="21"/>
      <c r="DK871" s="26"/>
      <c r="DL871" s="26"/>
      <c r="DM871" s="26"/>
      <c r="DN871" s="21"/>
      <c r="DO871" s="21"/>
      <c r="EF871" s="25"/>
      <c r="EG871" s="25"/>
      <c r="EY871" s="20"/>
    </row>
    <row r="872" spans="1:155">
      <c r="A872" s="21"/>
      <c r="B872" s="21"/>
      <c r="AA872" s="26"/>
      <c r="AB872" s="26"/>
      <c r="AC872" s="21"/>
      <c r="AD872" s="21"/>
      <c r="AY872" s="26"/>
      <c r="AZ872" s="26"/>
      <c r="BB872" s="26"/>
      <c r="BD872" s="21"/>
      <c r="CN872" s="26"/>
      <c r="DB872" s="24"/>
      <c r="DD872" s="21"/>
      <c r="DE872" s="22"/>
      <c r="DG872" s="21"/>
      <c r="DK872" s="26"/>
      <c r="DL872" s="26"/>
      <c r="DM872" s="26"/>
      <c r="DN872" s="21"/>
      <c r="DO872" s="21"/>
      <c r="EF872" s="25"/>
      <c r="EG872" s="25"/>
      <c r="EY872" s="20"/>
    </row>
    <row r="873" spans="1:155">
      <c r="A873" s="21"/>
      <c r="B873" s="21"/>
      <c r="AA873" s="26"/>
      <c r="AB873" s="26"/>
      <c r="AC873" s="21"/>
      <c r="AD873" s="21"/>
      <c r="AY873" s="26"/>
      <c r="AZ873" s="26"/>
      <c r="BB873" s="26"/>
      <c r="BD873" s="21"/>
      <c r="CN873" s="26"/>
      <c r="DB873" s="24"/>
      <c r="DD873" s="21"/>
      <c r="DE873" s="22"/>
      <c r="DG873" s="21"/>
      <c r="DK873" s="26"/>
      <c r="DL873" s="26"/>
      <c r="DM873" s="26"/>
      <c r="DN873" s="21"/>
      <c r="DO873" s="21"/>
      <c r="EF873" s="25"/>
      <c r="EG873" s="25"/>
      <c r="EY873" s="20"/>
    </row>
    <row r="874" spans="1:155">
      <c r="A874" s="21"/>
      <c r="B874" s="21"/>
      <c r="AA874" s="26"/>
      <c r="AB874" s="26"/>
      <c r="AC874" s="21"/>
      <c r="AD874" s="21"/>
      <c r="AY874" s="26"/>
      <c r="AZ874" s="26"/>
      <c r="BB874" s="26"/>
      <c r="BD874" s="21"/>
      <c r="CN874" s="26"/>
      <c r="DB874" s="24"/>
      <c r="DD874" s="21"/>
      <c r="DE874" s="22"/>
      <c r="DG874" s="21"/>
      <c r="DK874" s="26"/>
      <c r="DL874" s="26"/>
      <c r="DM874" s="26"/>
      <c r="DN874" s="21"/>
      <c r="DO874" s="21"/>
      <c r="EF874" s="25"/>
      <c r="EG874" s="25"/>
      <c r="EY874" s="20"/>
    </row>
    <row r="875" spans="1:155">
      <c r="A875" s="21"/>
      <c r="B875" s="21"/>
      <c r="AA875" s="26"/>
      <c r="AB875" s="26"/>
      <c r="AC875" s="21"/>
      <c r="AD875" s="21"/>
      <c r="AY875" s="26"/>
      <c r="AZ875" s="26"/>
      <c r="BB875" s="26"/>
      <c r="BD875" s="21"/>
      <c r="CN875" s="26"/>
      <c r="DB875" s="24"/>
      <c r="DD875" s="21"/>
      <c r="DE875" s="22"/>
      <c r="DG875" s="21"/>
      <c r="DK875" s="26"/>
      <c r="DL875" s="26"/>
      <c r="DM875" s="26"/>
      <c r="DN875" s="21"/>
      <c r="DO875" s="21"/>
      <c r="EF875" s="25"/>
      <c r="EG875" s="25"/>
      <c r="EY875" s="20"/>
    </row>
    <row r="876" spans="1:155">
      <c r="A876" s="21"/>
      <c r="B876" s="21"/>
      <c r="AA876" s="26"/>
      <c r="AB876" s="26"/>
      <c r="AC876" s="21"/>
      <c r="AD876" s="21"/>
      <c r="AY876" s="26"/>
      <c r="AZ876" s="26"/>
      <c r="BB876" s="26"/>
      <c r="BD876" s="21"/>
      <c r="CN876" s="26"/>
      <c r="DB876" s="24"/>
      <c r="DD876" s="21"/>
      <c r="DE876" s="22"/>
      <c r="DG876" s="21"/>
      <c r="DK876" s="26"/>
      <c r="DL876" s="26"/>
      <c r="DM876" s="26"/>
      <c r="DN876" s="21"/>
      <c r="DO876" s="21"/>
      <c r="EF876" s="25"/>
      <c r="EG876" s="25"/>
      <c r="EY876" s="20"/>
    </row>
    <row r="877" spans="1:155">
      <c r="A877" s="21"/>
      <c r="B877" s="21"/>
      <c r="AA877" s="26"/>
      <c r="AB877" s="26"/>
      <c r="AC877" s="21"/>
      <c r="AD877" s="21"/>
      <c r="AY877" s="26"/>
      <c r="AZ877" s="26"/>
      <c r="BB877" s="26"/>
      <c r="BD877" s="21"/>
      <c r="CN877" s="26"/>
      <c r="DB877" s="24"/>
      <c r="DD877" s="21"/>
      <c r="DE877" s="22"/>
      <c r="DG877" s="21"/>
      <c r="DK877" s="26"/>
      <c r="DL877" s="26"/>
      <c r="DM877" s="26"/>
      <c r="DN877" s="21"/>
      <c r="DO877" s="21"/>
      <c r="EF877" s="25"/>
      <c r="EG877" s="25"/>
      <c r="EY877" s="20"/>
    </row>
    <row r="878" spans="1:155">
      <c r="A878" s="21"/>
      <c r="B878" s="21"/>
      <c r="AA878" s="26"/>
      <c r="AB878" s="26"/>
      <c r="AC878" s="21"/>
      <c r="AD878" s="21"/>
      <c r="AY878" s="26"/>
      <c r="AZ878" s="26"/>
      <c r="BB878" s="26"/>
      <c r="BD878" s="21"/>
      <c r="CN878" s="26"/>
      <c r="DB878" s="24"/>
      <c r="DD878" s="21"/>
      <c r="DE878" s="22"/>
      <c r="DG878" s="21"/>
      <c r="DK878" s="26"/>
      <c r="DL878" s="26"/>
      <c r="DM878" s="26"/>
      <c r="DN878" s="21"/>
      <c r="DO878" s="21"/>
      <c r="EF878" s="25"/>
      <c r="EG878" s="25"/>
      <c r="EY878" s="20"/>
    </row>
    <row r="879" spans="1:155">
      <c r="A879" s="21"/>
      <c r="B879" s="21"/>
      <c r="AA879" s="26"/>
      <c r="AB879" s="26"/>
      <c r="AC879" s="21"/>
      <c r="AD879" s="21"/>
      <c r="AY879" s="26"/>
      <c r="AZ879" s="26"/>
      <c r="BB879" s="26"/>
      <c r="BD879" s="21"/>
      <c r="CN879" s="26"/>
      <c r="DB879" s="24"/>
      <c r="DD879" s="21"/>
      <c r="DE879" s="22"/>
      <c r="DG879" s="21"/>
      <c r="DK879" s="26"/>
      <c r="DL879" s="26"/>
      <c r="DM879" s="26"/>
      <c r="DN879" s="21"/>
      <c r="DO879" s="21"/>
      <c r="EF879" s="25"/>
      <c r="EG879" s="25"/>
      <c r="EY879" s="20"/>
    </row>
    <row r="880" spans="1:155">
      <c r="A880" s="21"/>
      <c r="B880" s="21"/>
      <c r="AA880" s="26"/>
      <c r="AB880" s="26"/>
      <c r="AC880" s="21"/>
      <c r="AD880" s="21"/>
      <c r="AY880" s="26"/>
      <c r="AZ880" s="26"/>
      <c r="BB880" s="26"/>
      <c r="BD880" s="21"/>
      <c r="CN880" s="26"/>
      <c r="DB880" s="24"/>
      <c r="DD880" s="21"/>
      <c r="DE880" s="22"/>
      <c r="DG880" s="21"/>
      <c r="DK880" s="26"/>
      <c r="DL880" s="26"/>
      <c r="DM880" s="26"/>
      <c r="DN880" s="21"/>
      <c r="DO880" s="21"/>
      <c r="EF880" s="25"/>
      <c r="EG880" s="25"/>
      <c r="EY880" s="20"/>
    </row>
    <row r="881" spans="1:155">
      <c r="A881" s="21"/>
      <c r="B881" s="21"/>
      <c r="AA881" s="26"/>
      <c r="AB881" s="26"/>
      <c r="AC881" s="21"/>
      <c r="AD881" s="21"/>
      <c r="AY881" s="26"/>
      <c r="AZ881" s="26"/>
      <c r="BB881" s="26"/>
      <c r="BD881" s="21"/>
      <c r="CN881" s="26"/>
      <c r="DB881" s="24"/>
      <c r="DD881" s="21"/>
      <c r="DE881" s="22"/>
      <c r="DG881" s="21"/>
      <c r="DK881" s="26"/>
      <c r="DL881" s="26"/>
      <c r="DM881" s="26"/>
      <c r="DN881" s="21"/>
      <c r="DO881" s="21"/>
      <c r="EF881" s="25"/>
      <c r="EG881" s="25"/>
      <c r="EY881" s="20"/>
    </row>
    <row r="882" spans="1:155">
      <c r="A882" s="21"/>
      <c r="B882" s="21"/>
      <c r="AA882" s="26"/>
      <c r="AB882" s="26"/>
      <c r="AC882" s="21"/>
      <c r="AD882" s="21"/>
      <c r="AY882" s="26"/>
      <c r="AZ882" s="26"/>
      <c r="BB882" s="26"/>
      <c r="BD882" s="21"/>
      <c r="CN882" s="26"/>
      <c r="DB882" s="24"/>
      <c r="DD882" s="21"/>
      <c r="DE882" s="22"/>
      <c r="DG882" s="21"/>
      <c r="DK882" s="26"/>
      <c r="DL882" s="26"/>
      <c r="DM882" s="26"/>
      <c r="DN882" s="21"/>
      <c r="DO882" s="21"/>
      <c r="EF882" s="25"/>
      <c r="EG882" s="25"/>
      <c r="EY882" s="20"/>
    </row>
    <row r="883" spans="1:155">
      <c r="A883" s="21"/>
      <c r="B883" s="21"/>
      <c r="AA883" s="26"/>
      <c r="AB883" s="26"/>
      <c r="AC883" s="21"/>
      <c r="AD883" s="21"/>
      <c r="AY883" s="26"/>
      <c r="AZ883" s="26"/>
      <c r="BB883" s="26"/>
      <c r="BD883" s="21"/>
      <c r="CN883" s="26"/>
      <c r="DB883" s="24"/>
      <c r="DD883" s="21"/>
      <c r="DE883" s="22"/>
      <c r="DG883" s="21"/>
      <c r="DK883" s="26"/>
      <c r="DL883" s="26"/>
      <c r="DM883" s="26"/>
      <c r="DN883" s="21"/>
      <c r="DO883" s="21"/>
      <c r="EF883" s="25"/>
      <c r="EG883" s="25"/>
      <c r="EY883" s="20"/>
    </row>
    <row r="884" spans="1:155">
      <c r="A884" s="21"/>
      <c r="B884" s="21"/>
      <c r="AA884" s="26"/>
      <c r="AB884" s="26"/>
      <c r="AC884" s="21"/>
      <c r="AD884" s="21"/>
      <c r="AY884" s="26"/>
      <c r="AZ884" s="26"/>
      <c r="BB884" s="26"/>
      <c r="BD884" s="21"/>
      <c r="CN884" s="26"/>
      <c r="DB884" s="24"/>
      <c r="DD884" s="21"/>
      <c r="DE884" s="22"/>
      <c r="DG884" s="21"/>
      <c r="DK884" s="26"/>
      <c r="DL884" s="26"/>
      <c r="DM884" s="26"/>
      <c r="DN884" s="21"/>
      <c r="DO884" s="21"/>
      <c r="EF884" s="25"/>
      <c r="EG884" s="25"/>
      <c r="EY884" s="20"/>
    </row>
    <row r="885" spans="1:155">
      <c r="A885" s="21"/>
      <c r="B885" s="21"/>
      <c r="AA885" s="26"/>
      <c r="AB885" s="26"/>
      <c r="AC885" s="21"/>
      <c r="AD885" s="21"/>
      <c r="AY885" s="26"/>
      <c r="AZ885" s="26"/>
      <c r="BB885" s="26"/>
      <c r="BD885" s="21"/>
      <c r="CN885" s="26"/>
      <c r="DB885" s="24"/>
      <c r="DD885" s="21"/>
      <c r="DE885" s="22"/>
      <c r="DG885" s="21"/>
      <c r="DK885" s="26"/>
      <c r="DL885" s="26"/>
      <c r="DM885" s="26"/>
      <c r="DN885" s="21"/>
      <c r="DO885" s="21"/>
      <c r="EF885" s="25"/>
      <c r="EG885" s="25"/>
      <c r="EY885" s="20"/>
    </row>
    <row r="886" spans="1:155">
      <c r="A886" s="21"/>
      <c r="B886" s="21"/>
      <c r="AA886" s="26"/>
      <c r="AB886" s="26"/>
      <c r="AC886" s="21"/>
      <c r="AD886" s="21"/>
      <c r="AY886" s="26"/>
      <c r="AZ886" s="26"/>
      <c r="BB886" s="26"/>
      <c r="BD886" s="21"/>
      <c r="CN886" s="26"/>
      <c r="DB886" s="24"/>
      <c r="DD886" s="21"/>
      <c r="DE886" s="22"/>
      <c r="DG886" s="21"/>
      <c r="DK886" s="26"/>
      <c r="DL886" s="26"/>
      <c r="DM886" s="26"/>
      <c r="DN886" s="21"/>
      <c r="DO886" s="21"/>
      <c r="EF886" s="25"/>
      <c r="EG886" s="25"/>
      <c r="EY886" s="20"/>
    </row>
    <row r="887" spans="1:155">
      <c r="A887" s="21"/>
      <c r="B887" s="21"/>
      <c r="AA887" s="26"/>
      <c r="AB887" s="26"/>
      <c r="AC887" s="21"/>
      <c r="AD887" s="21"/>
      <c r="AY887" s="26"/>
      <c r="AZ887" s="26"/>
      <c r="BB887" s="26"/>
      <c r="BD887" s="21"/>
      <c r="CN887" s="26"/>
      <c r="DB887" s="24"/>
      <c r="DD887" s="21"/>
      <c r="DE887" s="22"/>
      <c r="DG887" s="21"/>
      <c r="DK887" s="26"/>
      <c r="DL887" s="26"/>
      <c r="DM887" s="26"/>
      <c r="DN887" s="21"/>
      <c r="DO887" s="21"/>
      <c r="EF887" s="25"/>
      <c r="EG887" s="25"/>
      <c r="EY887" s="20"/>
    </row>
    <row r="888" spans="1:155">
      <c r="A888" s="21"/>
      <c r="B888" s="21"/>
      <c r="AA888" s="26"/>
      <c r="AB888" s="26"/>
      <c r="AC888" s="21"/>
      <c r="AD888" s="21"/>
      <c r="AY888" s="26"/>
      <c r="AZ888" s="26"/>
      <c r="BB888" s="26"/>
      <c r="BD888" s="21"/>
      <c r="CN888" s="26"/>
      <c r="DB888" s="24"/>
      <c r="DD888" s="21"/>
      <c r="DE888" s="22"/>
      <c r="DG888" s="21"/>
      <c r="DK888" s="26"/>
      <c r="DL888" s="26"/>
      <c r="DM888" s="26"/>
      <c r="DN888" s="21"/>
      <c r="DO888" s="21"/>
      <c r="EF888" s="25"/>
      <c r="EG888" s="25"/>
      <c r="EY888" s="20"/>
    </row>
    <row r="889" spans="1:155">
      <c r="A889" s="21"/>
      <c r="B889" s="21"/>
      <c r="AA889" s="26"/>
      <c r="AB889" s="26"/>
      <c r="AC889" s="21"/>
      <c r="AD889" s="21"/>
      <c r="AY889" s="26"/>
      <c r="AZ889" s="26"/>
      <c r="BB889" s="26"/>
      <c r="BD889" s="21"/>
      <c r="CN889" s="26"/>
      <c r="DB889" s="24"/>
      <c r="DD889" s="21"/>
      <c r="DE889" s="22"/>
      <c r="DG889" s="21"/>
      <c r="DK889" s="26"/>
      <c r="DL889" s="26"/>
      <c r="DM889" s="26"/>
      <c r="DN889" s="21"/>
      <c r="DO889" s="21"/>
      <c r="EF889" s="25"/>
      <c r="EG889" s="25"/>
      <c r="EY889" s="20"/>
    </row>
    <row r="890" spans="1:155">
      <c r="A890" s="21"/>
      <c r="B890" s="21"/>
      <c r="AA890" s="26"/>
      <c r="AB890" s="26"/>
      <c r="AC890" s="21"/>
      <c r="AD890" s="21"/>
      <c r="AY890" s="26"/>
      <c r="AZ890" s="26"/>
      <c r="BB890" s="26"/>
      <c r="BD890" s="21"/>
      <c r="CN890" s="26"/>
      <c r="DB890" s="24"/>
      <c r="DD890" s="21"/>
      <c r="DE890" s="22"/>
      <c r="DG890" s="21"/>
      <c r="DK890" s="26"/>
      <c r="DL890" s="26"/>
      <c r="DM890" s="26"/>
      <c r="DN890" s="21"/>
      <c r="DO890" s="21"/>
      <c r="EF890" s="25"/>
      <c r="EG890" s="25"/>
      <c r="EY890" s="20"/>
    </row>
    <row r="891" spans="1:155">
      <c r="A891" s="21"/>
      <c r="B891" s="21"/>
      <c r="AA891" s="26"/>
      <c r="AB891" s="26"/>
      <c r="AC891" s="21"/>
      <c r="AD891" s="21"/>
      <c r="AY891" s="26"/>
      <c r="AZ891" s="26"/>
      <c r="BB891" s="26"/>
      <c r="BD891" s="21"/>
      <c r="CN891" s="26"/>
      <c r="DB891" s="24"/>
      <c r="DD891" s="21"/>
      <c r="DE891" s="22"/>
      <c r="DG891" s="21"/>
      <c r="DK891" s="26"/>
      <c r="DL891" s="26"/>
      <c r="DM891" s="26"/>
      <c r="DN891" s="21"/>
      <c r="DO891" s="21"/>
      <c r="EF891" s="25"/>
      <c r="EG891" s="25"/>
      <c r="EY891" s="20"/>
    </row>
    <row r="892" spans="1:155">
      <c r="A892" s="21"/>
      <c r="B892" s="21"/>
      <c r="AA892" s="26"/>
      <c r="AB892" s="26"/>
      <c r="AC892" s="21"/>
      <c r="AD892" s="21"/>
      <c r="AY892" s="26"/>
      <c r="AZ892" s="26"/>
      <c r="BB892" s="26"/>
      <c r="BD892" s="21"/>
      <c r="CN892" s="26"/>
      <c r="DB892" s="24"/>
      <c r="DD892" s="21"/>
      <c r="DE892" s="22"/>
      <c r="DG892" s="21"/>
      <c r="DK892" s="26"/>
      <c r="DL892" s="26"/>
      <c r="DM892" s="26"/>
      <c r="DN892" s="21"/>
      <c r="DO892" s="21"/>
      <c r="EF892" s="25"/>
      <c r="EG892" s="25"/>
      <c r="EY892" s="20"/>
    </row>
    <row r="893" spans="1:155">
      <c r="A893" s="21"/>
      <c r="B893" s="21"/>
      <c r="AA893" s="26"/>
      <c r="AB893" s="26"/>
      <c r="AC893" s="21"/>
      <c r="AD893" s="21"/>
      <c r="AY893" s="26"/>
      <c r="AZ893" s="26"/>
      <c r="BB893" s="26"/>
      <c r="BD893" s="21"/>
      <c r="CN893" s="26"/>
      <c r="DB893" s="24"/>
      <c r="DD893" s="21"/>
      <c r="DE893" s="22"/>
      <c r="DG893" s="21"/>
      <c r="DK893" s="26"/>
      <c r="DL893" s="26"/>
      <c r="DM893" s="26"/>
      <c r="DN893" s="21"/>
      <c r="DO893" s="21"/>
      <c r="EF893" s="25"/>
      <c r="EG893" s="25"/>
      <c r="EY893" s="20"/>
    </row>
    <row r="894" spans="1:155">
      <c r="A894" s="21"/>
      <c r="B894" s="21"/>
      <c r="AA894" s="26"/>
      <c r="AB894" s="26"/>
      <c r="AC894" s="21"/>
      <c r="AD894" s="21"/>
      <c r="AY894" s="26"/>
      <c r="AZ894" s="26"/>
      <c r="BB894" s="26"/>
      <c r="BD894" s="21"/>
      <c r="CN894" s="26"/>
      <c r="DB894" s="24"/>
      <c r="DD894" s="21"/>
      <c r="DE894" s="22"/>
      <c r="DG894" s="21"/>
      <c r="DK894" s="26"/>
      <c r="DL894" s="26"/>
      <c r="DM894" s="26"/>
      <c r="DN894" s="21"/>
      <c r="DO894" s="21"/>
      <c r="EF894" s="25"/>
      <c r="EG894" s="25"/>
      <c r="EY894" s="20"/>
    </row>
    <row r="895" spans="1:155">
      <c r="A895" s="21"/>
      <c r="B895" s="21"/>
      <c r="AA895" s="26"/>
      <c r="AB895" s="26"/>
      <c r="AC895" s="21"/>
      <c r="AD895" s="21"/>
      <c r="AY895" s="26"/>
      <c r="AZ895" s="26"/>
      <c r="BB895" s="26"/>
      <c r="BD895" s="21"/>
      <c r="CN895" s="26"/>
      <c r="DB895" s="24"/>
      <c r="DD895" s="21"/>
      <c r="DE895" s="22"/>
      <c r="DG895" s="21"/>
      <c r="DK895" s="26"/>
      <c r="DL895" s="26"/>
      <c r="DM895" s="26"/>
      <c r="DN895" s="21"/>
      <c r="DO895" s="21"/>
      <c r="EF895" s="25"/>
      <c r="EG895" s="25"/>
      <c r="EY895" s="20"/>
    </row>
    <row r="896" spans="1:155">
      <c r="A896" s="21"/>
      <c r="B896" s="21"/>
      <c r="AA896" s="26"/>
      <c r="AB896" s="26"/>
      <c r="AC896" s="21"/>
      <c r="AD896" s="21"/>
      <c r="AY896" s="26"/>
      <c r="AZ896" s="26"/>
      <c r="BB896" s="26"/>
      <c r="BD896" s="21"/>
      <c r="CN896" s="26"/>
      <c r="DB896" s="24"/>
      <c r="DD896" s="21"/>
      <c r="DE896" s="22"/>
      <c r="DG896" s="21"/>
      <c r="DK896" s="26"/>
      <c r="DL896" s="26"/>
      <c r="DM896" s="26"/>
      <c r="DN896" s="21"/>
      <c r="DO896" s="21"/>
      <c r="EF896" s="25"/>
      <c r="EG896" s="25"/>
      <c r="EY896" s="20"/>
    </row>
    <row r="897" spans="1:155">
      <c r="A897" s="21"/>
      <c r="B897" s="21"/>
      <c r="AA897" s="26"/>
      <c r="AB897" s="26"/>
      <c r="AC897" s="21"/>
      <c r="AD897" s="21"/>
      <c r="AY897" s="26"/>
      <c r="AZ897" s="26"/>
      <c r="BB897" s="26"/>
      <c r="BD897" s="21"/>
      <c r="CN897" s="26"/>
      <c r="DB897" s="24"/>
      <c r="DD897" s="21"/>
      <c r="DE897" s="22"/>
      <c r="DG897" s="21"/>
      <c r="DK897" s="26"/>
      <c r="DL897" s="26"/>
      <c r="DM897" s="26"/>
      <c r="DN897" s="21"/>
      <c r="DO897" s="21"/>
      <c r="EF897" s="25"/>
      <c r="EG897" s="25"/>
      <c r="EY897" s="20"/>
    </row>
    <row r="898" spans="1:155">
      <c r="A898" s="21"/>
      <c r="B898" s="21"/>
      <c r="AA898" s="26"/>
      <c r="AB898" s="26"/>
      <c r="AC898" s="21"/>
      <c r="AD898" s="21"/>
      <c r="AY898" s="26"/>
      <c r="AZ898" s="26"/>
      <c r="BB898" s="26"/>
      <c r="BD898" s="21"/>
      <c r="CN898" s="26"/>
      <c r="DB898" s="24"/>
      <c r="DD898" s="21"/>
      <c r="DE898" s="22"/>
      <c r="DG898" s="21"/>
      <c r="DK898" s="26"/>
      <c r="DL898" s="26"/>
      <c r="DM898" s="26"/>
      <c r="DN898" s="21"/>
      <c r="DO898" s="21"/>
      <c r="EF898" s="25"/>
      <c r="EG898" s="25"/>
      <c r="EY898" s="20"/>
    </row>
    <row r="899" spans="1:155">
      <c r="A899" s="21"/>
      <c r="B899" s="21"/>
      <c r="AA899" s="26"/>
      <c r="AB899" s="26"/>
      <c r="AC899" s="21"/>
      <c r="AD899" s="21"/>
      <c r="AY899" s="26"/>
      <c r="AZ899" s="26"/>
      <c r="BB899" s="26"/>
      <c r="BD899" s="21"/>
      <c r="CN899" s="26"/>
      <c r="DB899" s="24"/>
      <c r="DD899" s="21"/>
      <c r="DE899" s="22"/>
      <c r="DG899" s="21"/>
      <c r="DK899" s="26"/>
      <c r="DL899" s="26"/>
      <c r="DM899" s="26"/>
      <c r="DN899" s="21"/>
      <c r="DO899" s="21"/>
      <c r="EF899" s="25"/>
      <c r="EG899" s="25"/>
      <c r="EY899" s="20"/>
    </row>
    <row r="900" spans="1:155">
      <c r="A900" s="21"/>
      <c r="B900" s="21"/>
      <c r="AA900" s="26"/>
      <c r="AB900" s="26"/>
      <c r="AC900" s="21"/>
      <c r="AD900" s="21"/>
      <c r="AY900" s="26"/>
      <c r="AZ900" s="26"/>
      <c r="BB900" s="26"/>
      <c r="BD900" s="21"/>
      <c r="CN900" s="26"/>
      <c r="DB900" s="24"/>
      <c r="DD900" s="21"/>
      <c r="DE900" s="22"/>
      <c r="DG900" s="21"/>
      <c r="DK900" s="26"/>
      <c r="DL900" s="26"/>
      <c r="DM900" s="26"/>
      <c r="DN900" s="21"/>
      <c r="DO900" s="21"/>
      <c r="EF900" s="25"/>
      <c r="EG900" s="25"/>
      <c r="EY900" s="20"/>
    </row>
    <row r="901" spans="1:155">
      <c r="A901" s="21"/>
      <c r="B901" s="21"/>
      <c r="AA901" s="26"/>
      <c r="AB901" s="26"/>
      <c r="AC901" s="21"/>
      <c r="AD901" s="21"/>
      <c r="AY901" s="26"/>
      <c r="AZ901" s="26"/>
      <c r="BB901" s="26"/>
      <c r="BD901" s="21"/>
      <c r="CN901" s="26"/>
      <c r="DB901" s="24"/>
      <c r="DD901" s="21"/>
      <c r="DE901" s="22"/>
      <c r="DG901" s="21"/>
      <c r="DK901" s="26"/>
      <c r="DL901" s="26"/>
      <c r="DM901" s="26"/>
      <c r="DN901" s="21"/>
      <c r="DO901" s="21"/>
      <c r="EF901" s="25"/>
      <c r="EG901" s="25"/>
      <c r="EY901" s="20"/>
    </row>
    <row r="902" spans="1:155">
      <c r="A902" s="21"/>
      <c r="B902" s="21"/>
      <c r="AA902" s="26"/>
      <c r="AB902" s="26"/>
      <c r="AC902" s="21"/>
      <c r="AD902" s="21"/>
      <c r="AY902" s="26"/>
      <c r="AZ902" s="26"/>
      <c r="BB902" s="26"/>
      <c r="BD902" s="21"/>
      <c r="CN902" s="26"/>
      <c r="DB902" s="24"/>
      <c r="DD902" s="21"/>
      <c r="DE902" s="22"/>
      <c r="DG902" s="21"/>
      <c r="DK902" s="26"/>
      <c r="DL902" s="26"/>
      <c r="DM902" s="26"/>
      <c r="DN902" s="21"/>
      <c r="DO902" s="21"/>
      <c r="EF902" s="25"/>
      <c r="EG902" s="25"/>
      <c r="EY902" s="20"/>
    </row>
    <row r="903" spans="1:155">
      <c r="A903" s="21"/>
      <c r="B903" s="21"/>
      <c r="AA903" s="26"/>
      <c r="AB903" s="26"/>
      <c r="AC903" s="21"/>
      <c r="AD903" s="21"/>
      <c r="AY903" s="26"/>
      <c r="AZ903" s="26"/>
      <c r="BB903" s="26"/>
      <c r="BD903" s="21"/>
      <c r="CN903" s="26"/>
      <c r="DB903" s="24"/>
      <c r="DD903" s="21"/>
      <c r="DE903" s="22"/>
      <c r="DG903" s="21"/>
      <c r="DK903" s="26"/>
      <c r="DL903" s="26"/>
      <c r="DM903" s="26"/>
      <c r="DN903" s="21"/>
      <c r="DO903" s="21"/>
      <c r="EF903" s="25"/>
      <c r="EG903" s="25"/>
      <c r="EY903" s="20"/>
    </row>
    <row r="904" spans="1:155">
      <c r="A904" s="21"/>
      <c r="B904" s="21"/>
      <c r="AA904" s="26"/>
      <c r="AB904" s="26"/>
      <c r="AC904" s="21"/>
      <c r="AD904" s="21"/>
      <c r="AY904" s="26"/>
      <c r="AZ904" s="26"/>
      <c r="BB904" s="26"/>
      <c r="BD904" s="21"/>
      <c r="CN904" s="26"/>
      <c r="DB904" s="24"/>
      <c r="DD904" s="21"/>
      <c r="DE904" s="22"/>
      <c r="DG904" s="21"/>
      <c r="DK904" s="26"/>
      <c r="DL904" s="26"/>
      <c r="DM904" s="26"/>
      <c r="DN904" s="21"/>
      <c r="DO904" s="21"/>
      <c r="EF904" s="25"/>
      <c r="EG904" s="25"/>
      <c r="EY904" s="20"/>
    </row>
    <row r="905" spans="1:155">
      <c r="A905" s="21"/>
      <c r="B905" s="21"/>
      <c r="AA905" s="26"/>
      <c r="AB905" s="26"/>
      <c r="AC905" s="21"/>
      <c r="AD905" s="21"/>
      <c r="AY905" s="26"/>
      <c r="AZ905" s="26"/>
      <c r="BB905" s="26"/>
      <c r="BD905" s="21"/>
      <c r="CN905" s="26"/>
      <c r="DB905" s="24"/>
      <c r="DD905" s="21"/>
      <c r="DE905" s="22"/>
      <c r="DG905" s="21"/>
      <c r="DK905" s="26"/>
      <c r="DL905" s="26"/>
      <c r="DM905" s="26"/>
      <c r="DN905" s="21"/>
      <c r="DO905" s="21"/>
      <c r="EF905" s="25"/>
      <c r="EG905" s="25"/>
      <c r="EY905" s="20"/>
    </row>
    <row r="906" spans="1:155">
      <c r="A906" s="21"/>
      <c r="B906" s="21"/>
      <c r="AA906" s="26"/>
      <c r="AB906" s="26"/>
      <c r="AC906" s="21"/>
      <c r="AD906" s="21"/>
      <c r="AY906" s="26"/>
      <c r="AZ906" s="26"/>
      <c r="BB906" s="26"/>
      <c r="BD906" s="21"/>
      <c r="CN906" s="26"/>
      <c r="DB906" s="24"/>
      <c r="DD906" s="21"/>
      <c r="DE906" s="22"/>
      <c r="DG906" s="21"/>
      <c r="DK906" s="26"/>
      <c r="DL906" s="26"/>
      <c r="DM906" s="26"/>
      <c r="DN906" s="21"/>
      <c r="DO906" s="21"/>
      <c r="EF906" s="25"/>
      <c r="EG906" s="25"/>
      <c r="EY906" s="20"/>
    </row>
    <row r="907" spans="1:155">
      <c r="A907" s="21"/>
      <c r="B907" s="21"/>
      <c r="AA907" s="26"/>
      <c r="AB907" s="26"/>
      <c r="AC907" s="21"/>
      <c r="AD907" s="21"/>
      <c r="AY907" s="26"/>
      <c r="AZ907" s="26"/>
      <c r="BB907" s="26"/>
      <c r="BD907" s="21"/>
      <c r="CN907" s="26"/>
      <c r="DB907" s="24"/>
      <c r="DD907" s="21"/>
      <c r="DE907" s="22"/>
      <c r="DG907" s="21"/>
      <c r="DK907" s="26"/>
      <c r="DL907" s="26"/>
      <c r="DM907" s="26"/>
      <c r="DN907" s="21"/>
      <c r="DO907" s="21"/>
      <c r="EF907" s="25"/>
      <c r="EG907" s="25"/>
      <c r="EY907" s="20"/>
    </row>
    <row r="908" spans="1:155">
      <c r="A908" s="21"/>
      <c r="B908" s="21"/>
      <c r="AA908" s="26"/>
      <c r="AB908" s="26"/>
      <c r="AC908" s="21"/>
      <c r="AD908" s="21"/>
      <c r="AY908" s="26"/>
      <c r="AZ908" s="26"/>
      <c r="BB908" s="26"/>
      <c r="BD908" s="21"/>
      <c r="CN908" s="26"/>
      <c r="DB908" s="24"/>
      <c r="DD908" s="21"/>
      <c r="DE908" s="22"/>
      <c r="DG908" s="21"/>
      <c r="DK908" s="26"/>
      <c r="DL908" s="26"/>
      <c r="DM908" s="26"/>
      <c r="DN908" s="21"/>
      <c r="DO908" s="21"/>
      <c r="EF908" s="25"/>
      <c r="EG908" s="25"/>
      <c r="EY908" s="20"/>
    </row>
    <row r="909" spans="1:155">
      <c r="A909" s="21"/>
      <c r="B909" s="21"/>
      <c r="AA909" s="26"/>
      <c r="AB909" s="26"/>
      <c r="AC909" s="21"/>
      <c r="AD909" s="21"/>
      <c r="AY909" s="26"/>
      <c r="AZ909" s="26"/>
      <c r="BB909" s="26"/>
      <c r="BD909" s="21"/>
      <c r="CN909" s="26"/>
      <c r="DB909" s="24"/>
      <c r="DD909" s="21"/>
      <c r="DE909" s="22"/>
      <c r="DG909" s="21"/>
      <c r="DK909" s="26"/>
      <c r="DL909" s="26"/>
      <c r="DM909" s="26"/>
      <c r="DN909" s="21"/>
      <c r="DO909" s="21"/>
      <c r="EF909" s="25"/>
      <c r="EG909" s="25"/>
      <c r="EY909" s="20"/>
    </row>
    <row r="910" spans="1:155">
      <c r="A910" s="21"/>
      <c r="B910" s="21"/>
      <c r="AA910" s="26"/>
      <c r="AB910" s="26"/>
      <c r="AC910" s="21"/>
      <c r="AD910" s="21"/>
      <c r="AY910" s="26"/>
      <c r="AZ910" s="26"/>
      <c r="BB910" s="26"/>
      <c r="BD910" s="21"/>
      <c r="CN910" s="26"/>
      <c r="DB910" s="24"/>
      <c r="DD910" s="21"/>
      <c r="DE910" s="22"/>
      <c r="DG910" s="21"/>
      <c r="DK910" s="26"/>
      <c r="DL910" s="26"/>
      <c r="DM910" s="26"/>
      <c r="DN910" s="21"/>
      <c r="DO910" s="21"/>
      <c r="EF910" s="25"/>
      <c r="EG910" s="25"/>
      <c r="EY910" s="20"/>
    </row>
    <row r="911" spans="1:155">
      <c r="A911" s="21"/>
      <c r="B911" s="21"/>
      <c r="AA911" s="26"/>
      <c r="AB911" s="26"/>
      <c r="AC911" s="21"/>
      <c r="AD911" s="21"/>
      <c r="AY911" s="26"/>
      <c r="AZ911" s="26"/>
      <c r="BB911" s="26"/>
      <c r="BD911" s="21"/>
      <c r="CN911" s="26"/>
      <c r="DB911" s="24"/>
      <c r="DD911" s="21"/>
      <c r="DE911" s="22"/>
      <c r="DG911" s="21"/>
      <c r="DK911" s="26"/>
      <c r="DL911" s="26"/>
      <c r="DM911" s="26"/>
      <c r="DN911" s="21"/>
      <c r="DO911" s="21"/>
      <c r="EF911" s="25"/>
      <c r="EG911" s="25"/>
      <c r="EY911" s="20"/>
    </row>
    <row r="912" spans="1:155">
      <c r="A912" s="21"/>
      <c r="B912" s="21"/>
      <c r="AA912" s="26"/>
      <c r="AB912" s="26"/>
      <c r="AC912" s="21"/>
      <c r="AD912" s="21"/>
      <c r="AY912" s="26"/>
      <c r="AZ912" s="26"/>
      <c r="BB912" s="26"/>
      <c r="BD912" s="21"/>
      <c r="CN912" s="26"/>
      <c r="DB912" s="24"/>
      <c r="DD912" s="21"/>
      <c r="DE912" s="22"/>
      <c r="DG912" s="21"/>
      <c r="DK912" s="26"/>
      <c r="DL912" s="26"/>
      <c r="DM912" s="26"/>
      <c r="DN912" s="21"/>
      <c r="DO912" s="21"/>
      <c r="EF912" s="25"/>
      <c r="EG912" s="25"/>
      <c r="EY912" s="20"/>
    </row>
    <row r="913" spans="1:155">
      <c r="A913" s="21"/>
      <c r="B913" s="21"/>
      <c r="AA913" s="26"/>
      <c r="AB913" s="26"/>
      <c r="AC913" s="21"/>
      <c r="AD913" s="21"/>
      <c r="AY913" s="26"/>
      <c r="AZ913" s="26"/>
      <c r="BB913" s="26"/>
      <c r="BD913" s="21"/>
      <c r="CN913" s="26"/>
      <c r="DB913" s="24"/>
      <c r="DD913" s="21"/>
      <c r="DE913" s="22"/>
      <c r="DG913" s="21"/>
      <c r="DK913" s="26"/>
      <c r="DL913" s="26"/>
      <c r="DM913" s="26"/>
      <c r="DN913" s="21"/>
      <c r="DO913" s="21"/>
      <c r="EF913" s="25"/>
      <c r="EG913" s="25"/>
      <c r="EY913" s="20"/>
    </row>
    <row r="914" spans="1:155">
      <c r="A914" s="21"/>
      <c r="B914" s="21"/>
      <c r="AA914" s="26"/>
      <c r="AB914" s="26"/>
      <c r="AC914" s="21"/>
      <c r="AD914" s="21"/>
      <c r="AY914" s="26"/>
      <c r="AZ914" s="26"/>
      <c r="BB914" s="26"/>
      <c r="BD914" s="21"/>
      <c r="CN914" s="26"/>
      <c r="DB914" s="24"/>
      <c r="DD914" s="21"/>
      <c r="DE914" s="22"/>
      <c r="DG914" s="21"/>
      <c r="DK914" s="26"/>
      <c r="DL914" s="26"/>
      <c r="DM914" s="26"/>
      <c r="DN914" s="21"/>
      <c r="DO914" s="21"/>
      <c r="EF914" s="25"/>
      <c r="EG914" s="25"/>
      <c r="EY914" s="20"/>
    </row>
    <row r="915" spans="1:155">
      <c r="A915" s="21"/>
      <c r="B915" s="21"/>
      <c r="AA915" s="26"/>
      <c r="AB915" s="26"/>
      <c r="AC915" s="21"/>
      <c r="AD915" s="21"/>
      <c r="AY915" s="26"/>
      <c r="AZ915" s="26"/>
      <c r="BB915" s="26"/>
      <c r="BD915" s="21"/>
      <c r="CN915" s="26"/>
      <c r="DB915" s="24"/>
      <c r="DD915" s="21"/>
      <c r="DE915" s="22"/>
      <c r="DG915" s="21"/>
      <c r="DK915" s="26"/>
      <c r="DL915" s="26"/>
      <c r="DM915" s="26"/>
      <c r="DN915" s="21"/>
      <c r="DO915" s="21"/>
      <c r="EF915" s="25"/>
      <c r="EG915" s="25"/>
      <c r="EY915" s="20"/>
    </row>
    <row r="916" spans="1:155">
      <c r="A916" s="21"/>
      <c r="B916" s="21"/>
      <c r="AA916" s="26"/>
      <c r="AB916" s="26"/>
      <c r="AC916" s="21"/>
      <c r="AD916" s="21"/>
      <c r="AY916" s="26"/>
      <c r="AZ916" s="26"/>
      <c r="BB916" s="26"/>
      <c r="BD916" s="21"/>
      <c r="CN916" s="26"/>
      <c r="DB916" s="24"/>
      <c r="DD916" s="21"/>
      <c r="DE916" s="22"/>
      <c r="DG916" s="21"/>
      <c r="DK916" s="26"/>
      <c r="DL916" s="26"/>
      <c r="DM916" s="26"/>
      <c r="DN916" s="21"/>
      <c r="DO916" s="21"/>
      <c r="EF916" s="25"/>
      <c r="EG916" s="25"/>
      <c r="EY916" s="20"/>
    </row>
    <row r="917" spans="1:155">
      <c r="A917" s="21"/>
      <c r="B917" s="21"/>
      <c r="AA917" s="26"/>
      <c r="AB917" s="26"/>
      <c r="AC917" s="21"/>
      <c r="AD917" s="21"/>
      <c r="AY917" s="26"/>
      <c r="AZ917" s="26"/>
      <c r="BB917" s="26"/>
      <c r="BD917" s="21"/>
      <c r="CN917" s="26"/>
      <c r="DB917" s="24"/>
      <c r="DD917" s="21"/>
      <c r="DE917" s="22"/>
      <c r="DG917" s="21"/>
      <c r="DK917" s="26"/>
      <c r="DL917" s="26"/>
      <c r="DM917" s="26"/>
      <c r="DN917" s="21"/>
      <c r="DO917" s="21"/>
      <c r="EF917" s="25"/>
      <c r="EG917" s="25"/>
      <c r="EY917" s="20"/>
    </row>
    <row r="918" spans="1:155">
      <c r="A918" s="21"/>
      <c r="B918" s="21"/>
      <c r="AA918" s="26"/>
      <c r="AB918" s="26"/>
      <c r="AC918" s="21"/>
      <c r="AD918" s="21"/>
      <c r="AY918" s="26"/>
      <c r="AZ918" s="26"/>
      <c r="BB918" s="26"/>
      <c r="BD918" s="21"/>
      <c r="CN918" s="26"/>
      <c r="DB918" s="24"/>
      <c r="DD918" s="21"/>
      <c r="DE918" s="22"/>
      <c r="DG918" s="21"/>
      <c r="DK918" s="26"/>
      <c r="DL918" s="26"/>
      <c r="DM918" s="26"/>
      <c r="DN918" s="21"/>
      <c r="DO918" s="21"/>
      <c r="EF918" s="25"/>
      <c r="EG918" s="25"/>
      <c r="EY918" s="20"/>
    </row>
    <row r="919" spans="1:155">
      <c r="A919" s="21"/>
      <c r="B919" s="21"/>
      <c r="AA919" s="26"/>
      <c r="AB919" s="26"/>
      <c r="AC919" s="21"/>
      <c r="AD919" s="21"/>
      <c r="AY919" s="26"/>
      <c r="AZ919" s="26"/>
      <c r="BB919" s="26"/>
      <c r="BD919" s="21"/>
      <c r="CN919" s="26"/>
      <c r="DB919" s="24"/>
      <c r="DD919" s="21"/>
      <c r="DE919" s="22"/>
      <c r="DG919" s="21"/>
      <c r="DK919" s="26"/>
      <c r="DL919" s="26"/>
      <c r="DM919" s="26"/>
      <c r="DN919" s="21"/>
      <c r="DO919" s="21"/>
      <c r="EF919" s="25"/>
      <c r="EG919" s="25"/>
      <c r="EY919" s="20"/>
    </row>
    <row r="920" spans="1:155">
      <c r="A920" s="21"/>
      <c r="B920" s="21"/>
      <c r="AA920" s="26"/>
      <c r="AB920" s="26"/>
      <c r="AC920" s="21"/>
      <c r="AD920" s="21"/>
      <c r="AY920" s="26"/>
      <c r="AZ920" s="26"/>
      <c r="BB920" s="26"/>
      <c r="BD920" s="21"/>
      <c r="CN920" s="26"/>
      <c r="DB920" s="24"/>
      <c r="DD920" s="21"/>
      <c r="DE920" s="22"/>
      <c r="DG920" s="21"/>
      <c r="DK920" s="26"/>
      <c r="DL920" s="26"/>
      <c r="DM920" s="26"/>
      <c r="DN920" s="21"/>
      <c r="DO920" s="21"/>
      <c r="EF920" s="25"/>
      <c r="EG920" s="25"/>
      <c r="EY920" s="20"/>
    </row>
    <row r="921" spans="1:155">
      <c r="A921" s="21"/>
      <c r="B921" s="21"/>
      <c r="AA921" s="26"/>
      <c r="AB921" s="26"/>
      <c r="AC921" s="21"/>
      <c r="AD921" s="21"/>
      <c r="AY921" s="26"/>
      <c r="AZ921" s="26"/>
      <c r="BB921" s="26"/>
      <c r="BD921" s="21"/>
      <c r="CN921" s="26"/>
      <c r="DB921" s="24"/>
      <c r="DD921" s="21"/>
      <c r="DE921" s="22"/>
      <c r="DG921" s="21"/>
      <c r="DK921" s="26"/>
      <c r="DL921" s="26"/>
      <c r="DM921" s="26"/>
      <c r="DN921" s="21"/>
      <c r="DO921" s="21"/>
      <c r="EF921" s="25"/>
      <c r="EG921" s="25"/>
      <c r="EY921" s="20"/>
    </row>
    <row r="922" spans="1:155">
      <c r="A922" s="21"/>
      <c r="B922" s="21"/>
      <c r="AA922" s="26"/>
      <c r="AB922" s="26"/>
      <c r="AC922" s="21"/>
      <c r="AD922" s="21"/>
      <c r="AY922" s="26"/>
      <c r="AZ922" s="26"/>
      <c r="BB922" s="26"/>
      <c r="BD922" s="21"/>
      <c r="CN922" s="26"/>
      <c r="DB922" s="24"/>
      <c r="DD922" s="21"/>
      <c r="DE922" s="22"/>
      <c r="DG922" s="21"/>
      <c r="DK922" s="26"/>
      <c r="DL922" s="26"/>
      <c r="DM922" s="26"/>
      <c r="DN922" s="21"/>
      <c r="DO922" s="21"/>
      <c r="EF922" s="25"/>
      <c r="EG922" s="25"/>
      <c r="EY922" s="20"/>
    </row>
    <row r="923" spans="1:155">
      <c r="A923" s="21"/>
      <c r="B923" s="21"/>
      <c r="AA923" s="26"/>
      <c r="AB923" s="26"/>
      <c r="AC923" s="21"/>
      <c r="AD923" s="21"/>
      <c r="AY923" s="26"/>
      <c r="AZ923" s="26"/>
      <c r="BB923" s="26"/>
      <c r="BD923" s="21"/>
      <c r="CN923" s="26"/>
      <c r="DB923" s="24"/>
      <c r="DD923" s="21"/>
      <c r="DE923" s="22"/>
      <c r="DG923" s="21"/>
      <c r="DK923" s="26"/>
      <c r="DL923" s="26"/>
      <c r="DM923" s="26"/>
      <c r="DN923" s="21"/>
      <c r="DO923" s="21"/>
      <c r="EF923" s="25"/>
      <c r="EG923" s="25"/>
      <c r="EY923" s="20"/>
    </row>
    <row r="924" spans="1:155">
      <c r="A924" s="21"/>
      <c r="B924" s="21"/>
      <c r="AA924" s="26"/>
      <c r="AB924" s="26"/>
      <c r="AC924" s="21"/>
      <c r="AD924" s="21"/>
      <c r="AY924" s="26"/>
      <c r="AZ924" s="26"/>
      <c r="BB924" s="26"/>
      <c r="BD924" s="21"/>
      <c r="CN924" s="26"/>
      <c r="DB924" s="24"/>
      <c r="DD924" s="21"/>
      <c r="DE924" s="22"/>
      <c r="DG924" s="21"/>
      <c r="DK924" s="26"/>
      <c r="DL924" s="26"/>
      <c r="DM924" s="26"/>
      <c r="DN924" s="21"/>
      <c r="DO924" s="21"/>
      <c r="EF924" s="25"/>
      <c r="EG924" s="25"/>
      <c r="EY924" s="20"/>
    </row>
    <row r="925" spans="1:155">
      <c r="A925" s="21"/>
      <c r="B925" s="21"/>
      <c r="AA925" s="26"/>
      <c r="AB925" s="26"/>
      <c r="AC925" s="21"/>
      <c r="AD925" s="21"/>
      <c r="AY925" s="26"/>
      <c r="AZ925" s="26"/>
      <c r="BB925" s="26"/>
      <c r="BD925" s="21"/>
      <c r="CN925" s="26"/>
      <c r="DB925" s="24"/>
      <c r="DD925" s="21"/>
      <c r="DE925" s="22"/>
      <c r="DG925" s="21"/>
      <c r="DK925" s="26"/>
      <c r="DL925" s="26"/>
      <c r="DM925" s="26"/>
      <c r="DN925" s="21"/>
      <c r="DO925" s="21"/>
      <c r="EF925" s="25"/>
      <c r="EG925" s="25"/>
      <c r="EY925" s="20"/>
    </row>
    <row r="926" spans="1:155">
      <c r="A926" s="21"/>
      <c r="B926" s="21"/>
      <c r="AA926" s="26"/>
      <c r="AB926" s="26"/>
      <c r="AC926" s="21"/>
      <c r="AD926" s="21"/>
      <c r="AY926" s="26"/>
      <c r="AZ926" s="26"/>
      <c r="BB926" s="26"/>
      <c r="BD926" s="21"/>
      <c r="CN926" s="26"/>
      <c r="DB926" s="24"/>
      <c r="DD926" s="21"/>
      <c r="DE926" s="22"/>
      <c r="DG926" s="21"/>
      <c r="DK926" s="26"/>
      <c r="DL926" s="26"/>
      <c r="DM926" s="26"/>
      <c r="DN926" s="21"/>
      <c r="DO926" s="21"/>
      <c r="EF926" s="25"/>
      <c r="EG926" s="25"/>
      <c r="EY926" s="20"/>
    </row>
    <row r="927" spans="1:155">
      <c r="A927" s="21"/>
      <c r="B927" s="21"/>
      <c r="AA927" s="26"/>
      <c r="AB927" s="26"/>
      <c r="AC927" s="21"/>
      <c r="AD927" s="21"/>
      <c r="AY927" s="26"/>
      <c r="AZ927" s="26"/>
      <c r="BB927" s="26"/>
      <c r="BD927" s="21"/>
      <c r="CN927" s="26"/>
      <c r="DB927" s="24"/>
      <c r="DD927" s="21"/>
      <c r="DE927" s="22"/>
      <c r="DG927" s="21"/>
      <c r="DK927" s="26"/>
      <c r="DL927" s="26"/>
      <c r="DM927" s="26"/>
      <c r="DN927" s="21"/>
      <c r="DO927" s="21"/>
      <c r="EF927" s="25"/>
      <c r="EG927" s="25"/>
      <c r="EY927" s="20"/>
    </row>
    <row r="928" spans="1:155">
      <c r="A928" s="21"/>
      <c r="B928" s="21"/>
      <c r="AA928" s="26"/>
      <c r="AB928" s="26"/>
      <c r="AC928" s="21"/>
      <c r="AD928" s="21"/>
      <c r="AY928" s="26"/>
      <c r="AZ928" s="26"/>
      <c r="BB928" s="26"/>
      <c r="BD928" s="21"/>
      <c r="CN928" s="26"/>
      <c r="DB928" s="24"/>
      <c r="DD928" s="21"/>
      <c r="DE928" s="22"/>
      <c r="DG928" s="21"/>
      <c r="DK928" s="26"/>
      <c r="DL928" s="26"/>
      <c r="DM928" s="26"/>
      <c r="DN928" s="21"/>
      <c r="DO928" s="21"/>
      <c r="EF928" s="25"/>
      <c r="EG928" s="25"/>
      <c r="EY928" s="20"/>
    </row>
    <row r="929" spans="1:155">
      <c r="A929" s="21"/>
      <c r="B929" s="21"/>
      <c r="AA929" s="26"/>
      <c r="AB929" s="26"/>
      <c r="AC929" s="21"/>
      <c r="AD929" s="21"/>
      <c r="AY929" s="26"/>
      <c r="AZ929" s="26"/>
      <c r="BB929" s="26"/>
      <c r="BD929" s="21"/>
      <c r="CN929" s="26"/>
      <c r="DB929" s="24"/>
      <c r="DD929" s="21"/>
      <c r="DE929" s="22"/>
      <c r="DG929" s="21"/>
      <c r="DK929" s="26"/>
      <c r="DL929" s="26"/>
      <c r="DM929" s="26"/>
      <c r="DN929" s="21"/>
      <c r="DO929" s="21"/>
      <c r="EF929" s="25"/>
      <c r="EG929" s="25"/>
      <c r="EY929" s="20"/>
    </row>
    <row r="930" spans="1:155">
      <c r="A930" s="21"/>
      <c r="B930" s="21"/>
      <c r="AA930" s="26"/>
      <c r="AB930" s="26"/>
      <c r="AC930" s="21"/>
      <c r="AD930" s="21"/>
      <c r="AY930" s="26"/>
      <c r="AZ930" s="26"/>
      <c r="BB930" s="26"/>
      <c r="BD930" s="21"/>
      <c r="CN930" s="26"/>
      <c r="DB930" s="24"/>
      <c r="DD930" s="21"/>
      <c r="DE930" s="22"/>
      <c r="DG930" s="21"/>
      <c r="DK930" s="26"/>
      <c r="DL930" s="26"/>
      <c r="DM930" s="26"/>
      <c r="DN930" s="21"/>
      <c r="DO930" s="21"/>
      <c r="EF930" s="25"/>
      <c r="EG930" s="25"/>
      <c r="EY930" s="20"/>
    </row>
    <row r="931" spans="1:155">
      <c r="A931" s="21"/>
      <c r="B931" s="21"/>
      <c r="AA931" s="26"/>
      <c r="AB931" s="26"/>
      <c r="AC931" s="21"/>
      <c r="AD931" s="21"/>
      <c r="AY931" s="26"/>
      <c r="AZ931" s="26"/>
      <c r="BB931" s="26"/>
      <c r="BD931" s="21"/>
      <c r="CN931" s="26"/>
      <c r="DB931" s="24"/>
      <c r="DD931" s="21"/>
      <c r="DE931" s="22"/>
      <c r="DG931" s="21"/>
      <c r="DK931" s="26"/>
      <c r="DL931" s="26"/>
      <c r="DM931" s="26"/>
      <c r="DN931" s="21"/>
      <c r="DO931" s="21"/>
      <c r="EF931" s="25"/>
      <c r="EG931" s="25"/>
      <c r="EY931" s="20"/>
    </row>
    <row r="932" spans="1:155">
      <c r="A932" s="21"/>
      <c r="B932" s="21"/>
      <c r="AA932" s="26"/>
      <c r="AB932" s="26"/>
      <c r="AC932" s="21"/>
      <c r="AD932" s="21"/>
      <c r="AY932" s="26"/>
      <c r="AZ932" s="26"/>
      <c r="BB932" s="26"/>
      <c r="BD932" s="21"/>
      <c r="CN932" s="26"/>
      <c r="DB932" s="24"/>
      <c r="DD932" s="21"/>
      <c r="DE932" s="22"/>
      <c r="DG932" s="21"/>
      <c r="DK932" s="26"/>
      <c r="DL932" s="26"/>
      <c r="DM932" s="26"/>
      <c r="DN932" s="21"/>
      <c r="DO932" s="21"/>
      <c r="EF932" s="25"/>
      <c r="EG932" s="25"/>
      <c r="EY932" s="20"/>
    </row>
    <row r="933" spans="1:155">
      <c r="A933" s="21"/>
      <c r="B933" s="21"/>
      <c r="AA933" s="26"/>
      <c r="AB933" s="26"/>
      <c r="AC933" s="21"/>
      <c r="AD933" s="21"/>
      <c r="AY933" s="26"/>
      <c r="AZ933" s="26"/>
      <c r="BB933" s="26"/>
      <c r="BD933" s="21"/>
      <c r="CN933" s="26"/>
      <c r="DB933" s="24"/>
      <c r="DD933" s="21"/>
      <c r="DE933" s="22"/>
      <c r="DG933" s="21"/>
      <c r="DK933" s="26"/>
      <c r="DL933" s="26"/>
      <c r="DM933" s="26"/>
      <c r="DN933" s="21"/>
      <c r="DO933" s="21"/>
      <c r="EF933" s="25"/>
      <c r="EG933" s="25"/>
      <c r="EY933" s="20"/>
    </row>
    <row r="934" spans="1:155">
      <c r="A934" s="21"/>
      <c r="B934" s="21"/>
      <c r="AA934" s="26"/>
      <c r="AB934" s="26"/>
      <c r="AC934" s="21"/>
      <c r="AD934" s="21"/>
      <c r="AY934" s="26"/>
      <c r="AZ934" s="26"/>
      <c r="BB934" s="26"/>
      <c r="BD934" s="21"/>
      <c r="CN934" s="26"/>
      <c r="DB934" s="24"/>
      <c r="DD934" s="21"/>
      <c r="DE934" s="22"/>
      <c r="DG934" s="21"/>
      <c r="DK934" s="26"/>
      <c r="DL934" s="26"/>
      <c r="DM934" s="26"/>
      <c r="DN934" s="21"/>
      <c r="DO934" s="21"/>
      <c r="EF934" s="25"/>
      <c r="EG934" s="25"/>
      <c r="EY934" s="20"/>
    </row>
    <row r="935" spans="1:155">
      <c r="A935" s="21"/>
      <c r="B935" s="21"/>
      <c r="AA935" s="26"/>
      <c r="AB935" s="26"/>
      <c r="AC935" s="21"/>
      <c r="AD935" s="21"/>
      <c r="AY935" s="26"/>
      <c r="AZ935" s="26"/>
      <c r="BB935" s="26"/>
      <c r="BD935" s="21"/>
      <c r="CN935" s="26"/>
      <c r="DB935" s="24"/>
      <c r="DD935" s="21"/>
      <c r="DE935" s="22"/>
      <c r="DG935" s="21"/>
      <c r="DK935" s="26"/>
      <c r="DL935" s="26"/>
      <c r="DM935" s="26"/>
      <c r="DN935" s="21"/>
      <c r="DO935" s="21"/>
      <c r="EF935" s="25"/>
      <c r="EG935" s="25"/>
      <c r="EY935" s="20"/>
    </row>
    <row r="936" spans="1:155">
      <c r="A936" s="21"/>
      <c r="B936" s="21"/>
      <c r="AA936" s="26"/>
      <c r="AB936" s="26"/>
      <c r="AC936" s="21"/>
      <c r="AD936" s="21"/>
      <c r="AY936" s="26"/>
      <c r="AZ936" s="26"/>
      <c r="BB936" s="26"/>
      <c r="BD936" s="21"/>
      <c r="CN936" s="26"/>
      <c r="DB936" s="24"/>
      <c r="DD936" s="21"/>
      <c r="DE936" s="22"/>
      <c r="DG936" s="21"/>
      <c r="DK936" s="26"/>
      <c r="DL936" s="26"/>
      <c r="DM936" s="26"/>
      <c r="DN936" s="21"/>
      <c r="DO936" s="21"/>
      <c r="EF936" s="25"/>
      <c r="EG936" s="25"/>
      <c r="EY936" s="20"/>
    </row>
    <row r="937" spans="1:155">
      <c r="A937" s="21"/>
      <c r="B937" s="21"/>
      <c r="AA937" s="26"/>
      <c r="AB937" s="26"/>
      <c r="AC937" s="21"/>
      <c r="AD937" s="21"/>
      <c r="AY937" s="26"/>
      <c r="AZ937" s="26"/>
      <c r="BB937" s="26"/>
      <c r="BD937" s="21"/>
      <c r="CN937" s="26"/>
      <c r="DB937" s="24"/>
      <c r="DD937" s="21"/>
      <c r="DE937" s="22"/>
      <c r="DG937" s="21"/>
      <c r="DK937" s="26"/>
      <c r="DL937" s="26"/>
      <c r="DM937" s="26"/>
      <c r="DN937" s="21"/>
      <c r="DO937" s="21"/>
      <c r="EF937" s="25"/>
      <c r="EG937" s="25"/>
      <c r="EY937" s="20"/>
    </row>
    <row r="938" spans="1:155">
      <c r="A938" s="21"/>
      <c r="B938" s="21"/>
      <c r="AA938" s="26"/>
      <c r="AB938" s="26"/>
      <c r="AC938" s="21"/>
      <c r="AD938" s="21"/>
      <c r="AY938" s="26"/>
      <c r="AZ938" s="26"/>
      <c r="BB938" s="26"/>
      <c r="BD938" s="21"/>
      <c r="CN938" s="26"/>
      <c r="DB938" s="24"/>
      <c r="DD938" s="21"/>
      <c r="DE938" s="22"/>
      <c r="DG938" s="21"/>
      <c r="DK938" s="26"/>
      <c r="DL938" s="26"/>
      <c r="DM938" s="26"/>
      <c r="DN938" s="21"/>
      <c r="DO938" s="21"/>
      <c r="EF938" s="25"/>
      <c r="EG938" s="25"/>
      <c r="EY938" s="20"/>
    </row>
    <row r="939" spans="1:155">
      <c r="A939" s="21"/>
      <c r="B939" s="21"/>
      <c r="AA939" s="26"/>
      <c r="AB939" s="26"/>
      <c r="AC939" s="21"/>
      <c r="AD939" s="21"/>
      <c r="AY939" s="26"/>
      <c r="AZ939" s="26"/>
      <c r="BB939" s="26"/>
      <c r="BD939" s="21"/>
      <c r="CN939" s="26"/>
      <c r="DB939" s="24"/>
      <c r="DD939" s="21"/>
      <c r="DE939" s="22"/>
      <c r="DG939" s="21"/>
      <c r="DK939" s="26"/>
      <c r="DL939" s="26"/>
      <c r="DM939" s="26"/>
      <c r="DN939" s="21"/>
      <c r="DO939" s="21"/>
      <c r="EF939" s="25"/>
      <c r="EG939" s="25"/>
      <c r="EY939" s="20"/>
    </row>
    <row r="940" spans="1:155">
      <c r="A940" s="21"/>
      <c r="B940" s="21"/>
      <c r="AA940" s="26"/>
      <c r="AB940" s="26"/>
      <c r="AC940" s="21"/>
      <c r="AD940" s="21"/>
      <c r="AY940" s="26"/>
      <c r="AZ940" s="26"/>
      <c r="BB940" s="26"/>
      <c r="BD940" s="21"/>
      <c r="CN940" s="26"/>
      <c r="DB940" s="24"/>
      <c r="DD940" s="21"/>
      <c r="DE940" s="22"/>
      <c r="DG940" s="21"/>
      <c r="DK940" s="26"/>
      <c r="DL940" s="26"/>
      <c r="DM940" s="26"/>
      <c r="DN940" s="21"/>
      <c r="DO940" s="21"/>
      <c r="EF940" s="25"/>
      <c r="EG940" s="25"/>
      <c r="EY940" s="20"/>
    </row>
    <row r="941" spans="1:155">
      <c r="A941" s="21"/>
      <c r="B941" s="21"/>
      <c r="AA941" s="26"/>
      <c r="AB941" s="26"/>
      <c r="AC941" s="21"/>
      <c r="AD941" s="21"/>
      <c r="AY941" s="26"/>
      <c r="AZ941" s="26"/>
      <c r="BB941" s="26"/>
      <c r="BD941" s="21"/>
      <c r="CN941" s="26"/>
      <c r="DB941" s="24"/>
      <c r="DD941" s="21"/>
      <c r="DE941" s="22"/>
      <c r="DG941" s="21"/>
      <c r="DK941" s="26"/>
      <c r="DL941" s="26"/>
      <c r="DM941" s="26"/>
      <c r="DN941" s="21"/>
      <c r="DO941" s="21"/>
      <c r="EF941" s="25"/>
      <c r="EG941" s="25"/>
      <c r="EY941" s="20"/>
    </row>
    <row r="942" spans="1:155">
      <c r="A942" s="21"/>
      <c r="B942" s="21"/>
      <c r="AA942" s="26"/>
      <c r="AB942" s="26"/>
      <c r="AC942" s="21"/>
      <c r="AD942" s="21"/>
      <c r="AY942" s="26"/>
      <c r="AZ942" s="26"/>
      <c r="BB942" s="26"/>
      <c r="BD942" s="21"/>
      <c r="CN942" s="26"/>
      <c r="DB942" s="24"/>
      <c r="DD942" s="21"/>
      <c r="DE942" s="22"/>
      <c r="DG942" s="21"/>
      <c r="DK942" s="26"/>
      <c r="DL942" s="26"/>
      <c r="DM942" s="26"/>
      <c r="DN942" s="21"/>
      <c r="DO942" s="21"/>
      <c r="EF942" s="25"/>
      <c r="EG942" s="25"/>
      <c r="EY942" s="20"/>
    </row>
    <row r="943" spans="1:155">
      <c r="A943" s="21"/>
      <c r="B943" s="21"/>
      <c r="AA943" s="26"/>
      <c r="AB943" s="26"/>
      <c r="AC943" s="21"/>
      <c r="AD943" s="21"/>
      <c r="AY943" s="26"/>
      <c r="AZ943" s="26"/>
      <c r="BB943" s="26"/>
      <c r="BD943" s="21"/>
      <c r="CN943" s="26"/>
      <c r="DB943" s="24"/>
      <c r="DD943" s="21"/>
      <c r="DE943" s="22"/>
      <c r="DG943" s="21"/>
      <c r="DK943" s="26"/>
      <c r="DL943" s="26"/>
      <c r="DM943" s="26"/>
      <c r="DN943" s="21"/>
      <c r="DO943" s="21"/>
      <c r="EF943" s="25"/>
      <c r="EG943" s="25"/>
      <c r="EY943" s="20"/>
    </row>
    <row r="944" spans="1:155">
      <c r="A944" s="21"/>
      <c r="B944" s="21"/>
      <c r="AA944" s="26"/>
      <c r="AB944" s="26"/>
      <c r="AC944" s="21"/>
      <c r="AD944" s="21"/>
      <c r="AY944" s="26"/>
      <c r="AZ944" s="26"/>
      <c r="BB944" s="26"/>
      <c r="BD944" s="21"/>
      <c r="CN944" s="26"/>
      <c r="DB944" s="24"/>
      <c r="DD944" s="21"/>
      <c r="DE944" s="22"/>
      <c r="DG944" s="21"/>
      <c r="DK944" s="26"/>
      <c r="DL944" s="26"/>
      <c r="DM944" s="26"/>
      <c r="DN944" s="21"/>
      <c r="DO944" s="21"/>
      <c r="EF944" s="25"/>
      <c r="EG944" s="25"/>
      <c r="EY944" s="20"/>
    </row>
    <row r="945" spans="1:155">
      <c r="A945" s="21"/>
      <c r="B945" s="21"/>
      <c r="AA945" s="26"/>
      <c r="AB945" s="26"/>
      <c r="AC945" s="21"/>
      <c r="AD945" s="21"/>
      <c r="AY945" s="26"/>
      <c r="AZ945" s="26"/>
      <c r="BB945" s="26"/>
      <c r="BD945" s="21"/>
      <c r="CN945" s="26"/>
      <c r="DB945" s="24"/>
      <c r="DD945" s="21"/>
      <c r="DE945" s="22"/>
      <c r="DG945" s="21"/>
      <c r="DK945" s="26"/>
      <c r="DL945" s="26"/>
      <c r="DM945" s="26"/>
      <c r="DN945" s="21"/>
      <c r="DO945" s="21"/>
      <c r="EF945" s="25"/>
      <c r="EG945" s="25"/>
      <c r="EY945" s="20"/>
    </row>
    <row r="946" spans="1:155">
      <c r="A946" s="21"/>
      <c r="B946" s="21"/>
      <c r="AA946" s="26"/>
      <c r="AB946" s="26"/>
      <c r="AC946" s="21"/>
      <c r="AD946" s="21"/>
      <c r="AY946" s="26"/>
      <c r="AZ946" s="26"/>
      <c r="BB946" s="26"/>
      <c r="BD946" s="21"/>
      <c r="CN946" s="26"/>
      <c r="DB946" s="24"/>
      <c r="DD946" s="21"/>
      <c r="DE946" s="22"/>
      <c r="DG946" s="21"/>
      <c r="DK946" s="26"/>
      <c r="DL946" s="26"/>
      <c r="DM946" s="26"/>
      <c r="DN946" s="21"/>
      <c r="DO946" s="21"/>
      <c r="EF946" s="25"/>
      <c r="EG946" s="25"/>
      <c r="EY946" s="20"/>
    </row>
    <row r="947" spans="1:155">
      <c r="A947" s="21"/>
      <c r="B947" s="21"/>
      <c r="AA947" s="26"/>
      <c r="AB947" s="26"/>
      <c r="AC947" s="21"/>
      <c r="AD947" s="21"/>
      <c r="AY947" s="26"/>
      <c r="AZ947" s="26"/>
      <c r="BB947" s="26"/>
      <c r="BD947" s="21"/>
      <c r="CN947" s="26"/>
      <c r="DB947" s="24"/>
      <c r="DD947" s="21"/>
      <c r="DE947" s="22"/>
      <c r="DG947" s="21"/>
      <c r="DK947" s="26"/>
      <c r="DL947" s="26"/>
      <c r="DM947" s="26"/>
      <c r="DN947" s="21"/>
      <c r="DO947" s="21"/>
      <c r="EF947" s="25"/>
      <c r="EG947" s="25"/>
      <c r="EY947" s="20"/>
    </row>
    <row r="948" spans="1:155">
      <c r="A948" s="21"/>
      <c r="B948" s="21"/>
      <c r="AA948" s="26"/>
      <c r="AB948" s="26"/>
      <c r="AC948" s="21"/>
      <c r="AD948" s="21"/>
      <c r="AY948" s="26"/>
      <c r="AZ948" s="26"/>
      <c r="BB948" s="26"/>
      <c r="BD948" s="21"/>
      <c r="CN948" s="26"/>
      <c r="DB948" s="24"/>
      <c r="DD948" s="21"/>
      <c r="DE948" s="22"/>
      <c r="DG948" s="21"/>
      <c r="DK948" s="26"/>
      <c r="DL948" s="26"/>
      <c r="DM948" s="26"/>
      <c r="DN948" s="21"/>
      <c r="DO948" s="21"/>
      <c r="EF948" s="25"/>
      <c r="EG948" s="25"/>
      <c r="EY948" s="20"/>
    </row>
    <row r="949" spans="1:155">
      <c r="A949" s="21"/>
      <c r="B949" s="21"/>
      <c r="AA949" s="26"/>
      <c r="AB949" s="26"/>
      <c r="AC949" s="21"/>
      <c r="AD949" s="21"/>
      <c r="AY949" s="26"/>
      <c r="AZ949" s="26"/>
      <c r="BB949" s="26"/>
      <c r="BD949" s="21"/>
      <c r="CN949" s="26"/>
      <c r="DB949" s="24"/>
      <c r="DD949" s="21"/>
      <c r="DE949" s="22"/>
      <c r="DG949" s="21"/>
      <c r="DK949" s="26"/>
      <c r="DL949" s="26"/>
      <c r="DM949" s="26"/>
      <c r="DN949" s="21"/>
      <c r="DO949" s="21"/>
      <c r="EF949" s="25"/>
      <c r="EG949" s="25"/>
      <c r="EY949" s="20"/>
    </row>
    <row r="950" spans="1:155">
      <c r="A950" s="21"/>
      <c r="B950" s="21"/>
      <c r="AA950" s="26"/>
      <c r="AB950" s="26"/>
      <c r="AC950" s="21"/>
      <c r="AD950" s="21"/>
      <c r="AY950" s="26"/>
      <c r="AZ950" s="26"/>
      <c r="BB950" s="26"/>
      <c r="BD950" s="21"/>
      <c r="CN950" s="26"/>
      <c r="DB950" s="24"/>
      <c r="DD950" s="21"/>
      <c r="DE950" s="22"/>
      <c r="DG950" s="21"/>
      <c r="DK950" s="26"/>
      <c r="DL950" s="26"/>
      <c r="DM950" s="26"/>
      <c r="DN950" s="21"/>
      <c r="DO950" s="21"/>
      <c r="EF950" s="25"/>
      <c r="EG950" s="25"/>
      <c r="EY950" s="20"/>
    </row>
    <row r="951" spans="1:155">
      <c r="A951" s="21"/>
      <c r="B951" s="21"/>
      <c r="AA951" s="26"/>
      <c r="AB951" s="26"/>
      <c r="AC951" s="21"/>
      <c r="AD951" s="21"/>
      <c r="AY951" s="26"/>
      <c r="AZ951" s="26"/>
      <c r="BB951" s="26"/>
      <c r="BD951" s="21"/>
      <c r="CN951" s="26"/>
      <c r="DB951" s="24"/>
      <c r="DD951" s="21"/>
      <c r="DE951" s="22"/>
      <c r="DG951" s="21"/>
      <c r="DK951" s="26"/>
      <c r="DL951" s="26"/>
      <c r="DM951" s="26"/>
      <c r="DN951" s="21"/>
      <c r="DO951" s="21"/>
      <c r="EF951" s="25"/>
      <c r="EG951" s="25"/>
      <c r="EY951" s="20"/>
    </row>
    <row r="952" spans="1:155">
      <c r="A952" s="21"/>
      <c r="B952" s="21"/>
      <c r="AA952" s="26"/>
      <c r="AB952" s="26"/>
      <c r="AC952" s="21"/>
      <c r="AD952" s="21"/>
      <c r="AY952" s="26"/>
      <c r="AZ952" s="26"/>
      <c r="BB952" s="26"/>
      <c r="BD952" s="21"/>
      <c r="CN952" s="26"/>
      <c r="DB952" s="24"/>
      <c r="DD952" s="21"/>
      <c r="DE952" s="22"/>
      <c r="DG952" s="21"/>
      <c r="DK952" s="26"/>
      <c r="DL952" s="26"/>
      <c r="DM952" s="26"/>
      <c r="DN952" s="21"/>
      <c r="DO952" s="21"/>
      <c r="EF952" s="25"/>
      <c r="EG952" s="25"/>
      <c r="EY952" s="20"/>
    </row>
    <row r="953" spans="1:155">
      <c r="A953" s="21"/>
      <c r="B953" s="21"/>
      <c r="AA953" s="26"/>
      <c r="AB953" s="26"/>
      <c r="AC953" s="21"/>
      <c r="AD953" s="21"/>
      <c r="AY953" s="26"/>
      <c r="AZ953" s="26"/>
      <c r="BB953" s="26"/>
      <c r="BD953" s="21"/>
      <c r="CN953" s="26"/>
      <c r="DB953" s="24"/>
      <c r="DD953" s="21"/>
      <c r="DE953" s="22"/>
      <c r="DG953" s="21"/>
      <c r="DK953" s="26"/>
      <c r="DL953" s="26"/>
      <c r="DM953" s="26"/>
      <c r="DN953" s="21"/>
      <c r="DO953" s="21"/>
      <c r="EF953" s="25"/>
      <c r="EG953" s="25"/>
      <c r="EY953" s="20"/>
    </row>
    <row r="954" spans="1:155">
      <c r="A954" s="21"/>
      <c r="B954" s="21"/>
      <c r="AA954" s="26"/>
      <c r="AB954" s="26"/>
      <c r="AC954" s="21"/>
      <c r="AD954" s="21"/>
      <c r="AY954" s="26"/>
      <c r="AZ954" s="26"/>
      <c r="BB954" s="26"/>
      <c r="BD954" s="21"/>
      <c r="CN954" s="26"/>
      <c r="DB954" s="24"/>
      <c r="DD954" s="21"/>
      <c r="DE954" s="22"/>
      <c r="DG954" s="21"/>
      <c r="DK954" s="26"/>
      <c r="DL954" s="26"/>
      <c r="DM954" s="26"/>
      <c r="DN954" s="21"/>
      <c r="DO954" s="21"/>
      <c r="EF954" s="25"/>
      <c r="EG954" s="25"/>
      <c r="EY954" s="20"/>
    </row>
    <row r="955" spans="1:155">
      <c r="A955" s="21"/>
      <c r="B955" s="21"/>
      <c r="AA955" s="26"/>
      <c r="AB955" s="26"/>
      <c r="AC955" s="21"/>
      <c r="AD955" s="21"/>
      <c r="AY955" s="26"/>
      <c r="AZ955" s="26"/>
      <c r="BB955" s="26"/>
      <c r="BD955" s="21"/>
      <c r="CN955" s="26"/>
      <c r="DB955" s="24"/>
      <c r="DD955" s="21"/>
      <c r="DE955" s="22"/>
      <c r="DG955" s="21"/>
      <c r="DK955" s="26"/>
      <c r="DL955" s="26"/>
      <c r="DM955" s="26"/>
      <c r="DN955" s="21"/>
      <c r="DO955" s="21"/>
      <c r="EF955" s="25"/>
      <c r="EG955" s="25"/>
      <c r="EY955" s="20"/>
    </row>
    <row r="956" spans="1:155">
      <c r="A956" s="21"/>
      <c r="B956" s="21"/>
      <c r="AA956" s="26"/>
      <c r="AB956" s="26"/>
      <c r="AC956" s="21"/>
      <c r="AD956" s="21"/>
      <c r="AY956" s="26"/>
      <c r="AZ956" s="26"/>
      <c r="BB956" s="26"/>
      <c r="BD956" s="21"/>
      <c r="CN956" s="26"/>
      <c r="DB956" s="24"/>
      <c r="DD956" s="21"/>
      <c r="DE956" s="22"/>
      <c r="DG956" s="21"/>
      <c r="DK956" s="26"/>
      <c r="DL956" s="26"/>
      <c r="DM956" s="26"/>
      <c r="DN956" s="21"/>
      <c r="DO956" s="21"/>
      <c r="EF956" s="25"/>
      <c r="EG956" s="25"/>
      <c r="EY956" s="20"/>
    </row>
    <row r="957" spans="1:155">
      <c r="A957" s="21"/>
      <c r="B957" s="21"/>
      <c r="AA957" s="26"/>
      <c r="AB957" s="26"/>
      <c r="AC957" s="21"/>
      <c r="AD957" s="21"/>
      <c r="AY957" s="26"/>
      <c r="AZ957" s="26"/>
      <c r="BB957" s="26"/>
      <c r="BD957" s="21"/>
      <c r="CN957" s="26"/>
      <c r="DB957" s="24"/>
      <c r="DD957" s="21"/>
      <c r="DE957" s="22"/>
      <c r="DG957" s="21"/>
      <c r="DK957" s="26"/>
      <c r="DL957" s="26"/>
      <c r="DM957" s="26"/>
      <c r="DN957" s="21"/>
      <c r="DO957" s="21"/>
      <c r="EF957" s="25"/>
      <c r="EG957" s="25"/>
      <c r="EY957" s="20"/>
    </row>
    <row r="958" spans="1:155">
      <c r="A958" s="21"/>
      <c r="B958" s="21"/>
      <c r="AA958" s="26"/>
      <c r="AB958" s="26"/>
      <c r="AC958" s="21"/>
      <c r="AD958" s="21"/>
      <c r="AY958" s="26"/>
      <c r="AZ958" s="26"/>
      <c r="BB958" s="26"/>
      <c r="BD958" s="21"/>
      <c r="CN958" s="26"/>
      <c r="DB958" s="24"/>
      <c r="DD958" s="21"/>
      <c r="DE958" s="22"/>
      <c r="DG958" s="21"/>
      <c r="DK958" s="26"/>
      <c r="DL958" s="26"/>
      <c r="DM958" s="26"/>
      <c r="DN958" s="21"/>
      <c r="DO958" s="21"/>
      <c r="EF958" s="25"/>
      <c r="EG958" s="25"/>
      <c r="EY958" s="20"/>
    </row>
    <row r="959" spans="1:155">
      <c r="A959" s="21"/>
      <c r="B959" s="21"/>
      <c r="AA959" s="26"/>
      <c r="AB959" s="26"/>
      <c r="AC959" s="21"/>
      <c r="AD959" s="21"/>
      <c r="AY959" s="26"/>
      <c r="AZ959" s="26"/>
      <c r="BB959" s="26"/>
      <c r="BD959" s="21"/>
      <c r="CN959" s="26"/>
      <c r="DB959" s="24"/>
      <c r="DD959" s="21"/>
      <c r="DE959" s="22"/>
      <c r="DG959" s="21"/>
      <c r="DK959" s="26"/>
      <c r="DL959" s="26"/>
      <c r="DM959" s="26"/>
      <c r="DN959" s="21"/>
      <c r="DO959" s="21"/>
      <c r="EF959" s="25"/>
      <c r="EG959" s="25"/>
      <c r="EY959" s="20"/>
    </row>
    <row r="960" spans="1:155">
      <c r="A960" s="21"/>
      <c r="B960" s="21"/>
      <c r="AA960" s="26"/>
      <c r="AB960" s="26"/>
      <c r="AC960" s="21"/>
      <c r="AD960" s="21"/>
      <c r="AY960" s="26"/>
      <c r="AZ960" s="26"/>
      <c r="BB960" s="26"/>
      <c r="BD960" s="21"/>
      <c r="CN960" s="26"/>
      <c r="DB960" s="24"/>
      <c r="DD960" s="21"/>
      <c r="DE960" s="22"/>
      <c r="DG960" s="21"/>
      <c r="DK960" s="26"/>
      <c r="DL960" s="26"/>
      <c r="DM960" s="26"/>
      <c r="DN960" s="21"/>
      <c r="DO960" s="21"/>
      <c r="EF960" s="25"/>
      <c r="EG960" s="25"/>
      <c r="EY960" s="20"/>
    </row>
    <row r="961" spans="1:155">
      <c r="A961" s="21"/>
      <c r="B961" s="21"/>
      <c r="AA961" s="26"/>
      <c r="AB961" s="26"/>
      <c r="AC961" s="21"/>
      <c r="AD961" s="21"/>
      <c r="AY961" s="26"/>
      <c r="AZ961" s="26"/>
      <c r="BB961" s="26"/>
      <c r="BD961" s="21"/>
      <c r="CN961" s="26"/>
      <c r="DB961" s="24"/>
      <c r="DD961" s="21"/>
      <c r="DE961" s="22"/>
      <c r="DG961" s="21"/>
      <c r="DK961" s="26"/>
      <c r="DL961" s="26"/>
      <c r="DM961" s="26"/>
      <c r="DN961" s="21"/>
      <c r="DO961" s="21"/>
      <c r="EF961" s="25"/>
      <c r="EG961" s="25"/>
      <c r="EY961" s="20"/>
    </row>
    <row r="962" spans="1:155">
      <c r="A962" s="21"/>
      <c r="B962" s="21"/>
      <c r="AA962" s="26"/>
      <c r="AB962" s="26"/>
      <c r="AC962" s="21"/>
      <c r="AD962" s="21"/>
      <c r="AY962" s="26"/>
      <c r="AZ962" s="26"/>
      <c r="BB962" s="26"/>
      <c r="BD962" s="21"/>
      <c r="CN962" s="26"/>
      <c r="DB962" s="24"/>
      <c r="DD962" s="21"/>
      <c r="DE962" s="22"/>
      <c r="DG962" s="21"/>
      <c r="DK962" s="26"/>
      <c r="DL962" s="26"/>
      <c r="DM962" s="26"/>
      <c r="DN962" s="21"/>
      <c r="DO962" s="21"/>
      <c r="EB962" s="27"/>
      <c r="EF962" s="25"/>
      <c r="EG962" s="25"/>
      <c r="EY962" s="20"/>
    </row>
    <row r="963" spans="1:155">
      <c r="A963" s="21"/>
      <c r="B963" s="21"/>
      <c r="AA963" s="26"/>
      <c r="AB963" s="26"/>
      <c r="AC963" s="21"/>
      <c r="AD963" s="21"/>
      <c r="AY963" s="26"/>
      <c r="AZ963" s="26"/>
      <c r="BB963" s="26"/>
      <c r="BD963" s="21"/>
      <c r="CN963" s="26"/>
      <c r="DB963" s="24"/>
      <c r="DD963" s="21"/>
      <c r="DE963" s="22"/>
      <c r="DG963" s="21"/>
      <c r="DK963" s="26"/>
      <c r="DL963" s="26"/>
      <c r="DM963" s="26"/>
      <c r="DN963" s="21"/>
      <c r="DO963" s="21"/>
      <c r="EF963" s="25"/>
      <c r="EG963" s="25"/>
      <c r="EY963" s="20"/>
    </row>
    <row r="964" spans="1:155">
      <c r="A964" s="21"/>
      <c r="B964" s="21"/>
      <c r="AA964" s="26"/>
      <c r="AB964" s="26"/>
      <c r="AC964" s="21"/>
      <c r="AD964" s="21"/>
      <c r="AY964" s="26"/>
      <c r="AZ964" s="26"/>
      <c r="BB964" s="26"/>
      <c r="BD964" s="21"/>
      <c r="CN964" s="26"/>
      <c r="DB964" s="24"/>
      <c r="DD964" s="21"/>
      <c r="DE964" s="22"/>
      <c r="DG964" s="21"/>
      <c r="DK964" s="26"/>
      <c r="DL964" s="26"/>
      <c r="DM964" s="26"/>
      <c r="DN964" s="21"/>
      <c r="DO964" s="21"/>
      <c r="EF964" s="25"/>
      <c r="EG964" s="25"/>
      <c r="EY964" s="20"/>
    </row>
    <row r="965" spans="1:155">
      <c r="A965" s="21"/>
      <c r="B965" s="21"/>
      <c r="AA965" s="26"/>
      <c r="AB965" s="26"/>
      <c r="AC965" s="21"/>
      <c r="AD965" s="21"/>
      <c r="AY965" s="26"/>
      <c r="AZ965" s="26"/>
      <c r="BB965" s="26"/>
      <c r="BD965" s="21"/>
      <c r="CN965" s="26"/>
      <c r="DB965" s="24"/>
      <c r="DD965" s="21"/>
      <c r="DE965" s="22"/>
      <c r="DG965" s="21"/>
      <c r="DK965" s="26"/>
      <c r="DL965" s="26"/>
      <c r="DM965" s="26"/>
      <c r="DN965" s="21"/>
      <c r="DO965" s="21"/>
      <c r="EF965" s="25"/>
      <c r="EG965" s="25"/>
      <c r="EY965" s="20"/>
    </row>
    <row r="966" spans="1:155">
      <c r="A966" s="21"/>
      <c r="B966" s="21"/>
      <c r="AA966" s="26"/>
      <c r="AB966" s="26"/>
      <c r="AC966" s="21"/>
      <c r="AD966" s="21"/>
      <c r="AY966" s="26"/>
      <c r="AZ966" s="26"/>
      <c r="BB966" s="26"/>
      <c r="BD966" s="21"/>
      <c r="CN966" s="26"/>
      <c r="DB966" s="24"/>
      <c r="DD966" s="21"/>
      <c r="DE966" s="22"/>
      <c r="DG966" s="21"/>
      <c r="DK966" s="26"/>
      <c r="DL966" s="26"/>
      <c r="DM966" s="26"/>
      <c r="DN966" s="21"/>
      <c r="DO966" s="21"/>
      <c r="EF966" s="25"/>
      <c r="EG966" s="25"/>
      <c r="EY966" s="20"/>
    </row>
    <row r="967" spans="1:155">
      <c r="A967" s="21"/>
      <c r="B967" s="21"/>
      <c r="AA967" s="26"/>
      <c r="AB967" s="26"/>
      <c r="AC967" s="21"/>
      <c r="AD967" s="21"/>
      <c r="AY967" s="26"/>
      <c r="AZ967" s="26"/>
      <c r="BB967" s="26"/>
      <c r="BD967" s="21"/>
      <c r="CN967" s="26"/>
      <c r="DB967" s="24"/>
      <c r="DD967" s="21"/>
      <c r="DE967" s="22"/>
      <c r="DG967" s="21"/>
      <c r="DK967" s="26"/>
      <c r="DL967" s="26"/>
      <c r="DM967" s="26"/>
      <c r="DN967" s="21"/>
      <c r="DO967" s="21"/>
      <c r="EF967" s="25"/>
      <c r="EG967" s="25"/>
      <c r="EY967" s="20"/>
    </row>
    <row r="968" spans="1:155">
      <c r="A968" s="21"/>
      <c r="B968" s="21"/>
      <c r="AA968" s="26"/>
      <c r="AB968" s="26"/>
      <c r="AC968" s="21"/>
      <c r="AD968" s="21"/>
      <c r="AY968" s="26"/>
      <c r="AZ968" s="26"/>
      <c r="BB968" s="26"/>
      <c r="BD968" s="21"/>
      <c r="CN968" s="26"/>
      <c r="DB968" s="24"/>
      <c r="DD968" s="21"/>
      <c r="DE968" s="22"/>
      <c r="DG968" s="21"/>
      <c r="DK968" s="26"/>
      <c r="DL968" s="26"/>
      <c r="DM968" s="26"/>
      <c r="DN968" s="21"/>
      <c r="DO968" s="21"/>
      <c r="EF968" s="25"/>
      <c r="EG968" s="25"/>
      <c r="EY968" s="20"/>
    </row>
    <row r="969" spans="1:155">
      <c r="A969" s="21"/>
      <c r="B969" s="21"/>
      <c r="AA969" s="26"/>
      <c r="AB969" s="26"/>
      <c r="AC969" s="21"/>
      <c r="AD969" s="21"/>
      <c r="AY969" s="26"/>
      <c r="AZ969" s="26"/>
      <c r="BB969" s="26"/>
      <c r="BD969" s="21"/>
      <c r="CN969" s="26"/>
      <c r="DB969" s="24"/>
      <c r="DD969" s="21"/>
      <c r="DE969" s="22"/>
      <c r="DG969" s="21"/>
      <c r="DK969" s="26"/>
      <c r="DL969" s="26"/>
      <c r="DM969" s="26"/>
      <c r="DN969" s="21"/>
      <c r="DO969" s="21"/>
      <c r="EF969" s="25"/>
      <c r="EG969" s="25"/>
      <c r="EY969" s="20"/>
    </row>
    <row r="970" spans="1:155">
      <c r="A970" s="21"/>
      <c r="B970" s="21"/>
      <c r="AA970" s="26"/>
      <c r="AB970" s="26"/>
      <c r="AC970" s="21"/>
      <c r="AD970" s="21"/>
      <c r="AY970" s="26"/>
      <c r="AZ970" s="26"/>
      <c r="BB970" s="26"/>
      <c r="BD970" s="21"/>
      <c r="CN970" s="26"/>
      <c r="DB970" s="24"/>
      <c r="DD970" s="21"/>
      <c r="DE970" s="22"/>
      <c r="DG970" s="21"/>
      <c r="DK970" s="26"/>
      <c r="DL970" s="26"/>
      <c r="DM970" s="26"/>
      <c r="DN970" s="21"/>
      <c r="DO970" s="21"/>
      <c r="EF970" s="25"/>
      <c r="EG970" s="25"/>
      <c r="EY970" s="20"/>
    </row>
    <row r="971" spans="1:155">
      <c r="A971" s="21"/>
      <c r="B971" s="21"/>
      <c r="AA971" s="26"/>
      <c r="AB971" s="26"/>
      <c r="AC971" s="21"/>
      <c r="AD971" s="21"/>
      <c r="AY971" s="26"/>
      <c r="AZ971" s="26"/>
      <c r="BB971" s="26"/>
      <c r="BD971" s="21"/>
      <c r="CN971" s="26"/>
      <c r="DB971" s="24"/>
      <c r="DD971" s="21"/>
      <c r="DE971" s="22"/>
      <c r="DG971" s="21"/>
      <c r="DK971" s="26"/>
      <c r="DL971" s="26"/>
      <c r="DM971" s="26"/>
      <c r="DN971" s="21"/>
      <c r="DO971" s="21"/>
      <c r="EF971" s="25"/>
      <c r="EG971" s="25"/>
      <c r="EY971" s="20"/>
    </row>
    <row r="972" spans="1:155">
      <c r="A972" s="21"/>
      <c r="B972" s="21"/>
      <c r="AA972" s="26"/>
      <c r="AB972" s="26"/>
      <c r="AC972" s="21"/>
      <c r="AD972" s="21"/>
      <c r="AY972" s="26"/>
      <c r="AZ972" s="26"/>
      <c r="BB972" s="26"/>
      <c r="BD972" s="21"/>
      <c r="CN972" s="26"/>
      <c r="DB972" s="24"/>
      <c r="DD972" s="21"/>
      <c r="DE972" s="22"/>
      <c r="DG972" s="21"/>
      <c r="DK972" s="26"/>
      <c r="DL972" s="26"/>
      <c r="DM972" s="26"/>
      <c r="DN972" s="21"/>
      <c r="DO972" s="21"/>
      <c r="EF972" s="25"/>
      <c r="EG972" s="25"/>
      <c r="EY972" s="20"/>
    </row>
    <row r="973" spans="1:155">
      <c r="A973" s="21"/>
      <c r="B973" s="21"/>
      <c r="AA973" s="26"/>
      <c r="AB973" s="26"/>
      <c r="AC973" s="21"/>
      <c r="AD973" s="21"/>
      <c r="AY973" s="26"/>
      <c r="AZ973" s="26"/>
      <c r="BB973" s="26"/>
      <c r="BD973" s="21"/>
      <c r="CN973" s="26"/>
      <c r="DB973" s="24"/>
      <c r="DD973" s="21"/>
      <c r="DE973" s="22"/>
      <c r="DG973" s="21"/>
      <c r="DK973" s="26"/>
      <c r="DL973" s="26"/>
      <c r="DM973" s="26"/>
      <c r="DN973" s="21"/>
      <c r="DO973" s="21"/>
      <c r="EF973" s="25"/>
      <c r="EG973" s="25"/>
      <c r="EY973" s="20"/>
    </row>
    <row r="974" spans="1:155">
      <c r="A974" s="21"/>
      <c r="B974" s="21"/>
      <c r="AA974" s="26"/>
      <c r="AB974" s="26"/>
      <c r="AC974" s="21"/>
      <c r="AD974" s="21"/>
      <c r="AY974" s="26"/>
      <c r="AZ974" s="26"/>
      <c r="BB974" s="26"/>
      <c r="BD974" s="21"/>
      <c r="CN974" s="26"/>
      <c r="DB974" s="24"/>
      <c r="DD974" s="21"/>
      <c r="DE974" s="22"/>
      <c r="DG974" s="21"/>
      <c r="DK974" s="26"/>
      <c r="DL974" s="26"/>
      <c r="DM974" s="26"/>
      <c r="DN974" s="21"/>
      <c r="DO974" s="21"/>
      <c r="EF974" s="25"/>
      <c r="EG974" s="25"/>
      <c r="EY974" s="20"/>
    </row>
    <row r="975" spans="1:155">
      <c r="A975" s="21"/>
      <c r="B975" s="21"/>
      <c r="AA975" s="26"/>
      <c r="AB975" s="26"/>
      <c r="AC975" s="21"/>
      <c r="AD975" s="21"/>
      <c r="AY975" s="26"/>
      <c r="AZ975" s="26"/>
      <c r="BB975" s="26"/>
      <c r="BD975" s="21"/>
      <c r="CN975" s="26"/>
      <c r="DB975" s="24"/>
      <c r="DD975" s="21"/>
      <c r="DE975" s="22"/>
      <c r="DG975" s="21"/>
      <c r="DK975" s="26"/>
      <c r="DL975" s="26"/>
      <c r="DM975" s="26"/>
      <c r="DN975" s="21"/>
      <c r="DO975" s="21"/>
      <c r="EF975" s="25"/>
      <c r="EG975" s="25"/>
      <c r="EY975" s="20"/>
    </row>
    <row r="976" spans="1:155">
      <c r="A976" s="21"/>
      <c r="B976" s="21"/>
      <c r="AA976" s="26"/>
      <c r="AB976" s="26"/>
      <c r="AC976" s="21"/>
      <c r="AD976" s="21"/>
      <c r="AY976" s="26"/>
      <c r="AZ976" s="26"/>
      <c r="BB976" s="26"/>
      <c r="BD976" s="21"/>
      <c r="CN976" s="26"/>
      <c r="DB976" s="24"/>
      <c r="DD976" s="21"/>
      <c r="DE976" s="22"/>
      <c r="DG976" s="21"/>
      <c r="DK976" s="26"/>
      <c r="DL976" s="26"/>
      <c r="DM976" s="26"/>
      <c r="DN976" s="21"/>
      <c r="DO976" s="21"/>
      <c r="EF976" s="25"/>
      <c r="EG976" s="25"/>
      <c r="EY976" s="20"/>
    </row>
    <row r="977" spans="1:155">
      <c r="A977" s="21"/>
      <c r="B977" s="21"/>
      <c r="AA977" s="26"/>
      <c r="AB977" s="26"/>
      <c r="AC977" s="21"/>
      <c r="AD977" s="21"/>
      <c r="AY977" s="26"/>
      <c r="AZ977" s="26"/>
      <c r="BB977" s="26"/>
      <c r="BD977" s="21"/>
      <c r="CN977" s="26"/>
      <c r="DB977" s="24"/>
      <c r="DD977" s="21"/>
      <c r="DE977" s="22"/>
      <c r="DG977" s="21"/>
      <c r="DK977" s="26"/>
      <c r="DL977" s="26"/>
      <c r="DM977" s="26"/>
      <c r="DN977" s="21"/>
      <c r="DO977" s="21"/>
      <c r="EF977" s="25"/>
      <c r="EG977" s="25"/>
      <c r="EY977" s="20"/>
    </row>
    <row r="978" spans="1:155">
      <c r="A978" s="21"/>
      <c r="B978" s="21"/>
      <c r="AA978" s="26"/>
      <c r="AB978" s="26"/>
      <c r="AC978" s="21"/>
      <c r="AD978" s="21"/>
      <c r="AY978" s="26"/>
      <c r="AZ978" s="26"/>
      <c r="BB978" s="26"/>
      <c r="BD978" s="21"/>
      <c r="CN978" s="26"/>
      <c r="DB978" s="24"/>
      <c r="DD978" s="21"/>
      <c r="DE978" s="22"/>
      <c r="DG978" s="21"/>
      <c r="DK978" s="26"/>
      <c r="DL978" s="26"/>
      <c r="DM978" s="26"/>
      <c r="DN978" s="21"/>
      <c r="DO978" s="21"/>
      <c r="EF978" s="25"/>
      <c r="EG978" s="25"/>
      <c r="EY978" s="20"/>
    </row>
    <row r="979" spans="1:155">
      <c r="A979" s="21"/>
      <c r="B979" s="21"/>
      <c r="AA979" s="26"/>
      <c r="AB979" s="26"/>
      <c r="AC979" s="21"/>
      <c r="AD979" s="21"/>
      <c r="AY979" s="26"/>
      <c r="AZ979" s="26"/>
      <c r="BB979" s="26"/>
      <c r="BD979" s="21"/>
      <c r="CN979" s="26"/>
      <c r="DB979" s="24"/>
      <c r="DD979" s="21"/>
      <c r="DE979" s="22"/>
      <c r="DG979" s="21"/>
      <c r="DK979" s="26"/>
      <c r="DL979" s="26"/>
      <c r="DM979" s="26"/>
      <c r="DN979" s="21"/>
      <c r="DO979" s="21"/>
      <c r="EF979" s="25"/>
      <c r="EG979" s="25"/>
      <c r="EY979" s="20"/>
    </row>
    <row r="980" spans="1:155">
      <c r="A980" s="21"/>
      <c r="B980" s="21"/>
      <c r="AA980" s="26"/>
      <c r="AB980" s="26"/>
      <c r="AC980" s="21"/>
      <c r="AD980" s="21"/>
      <c r="AY980" s="26"/>
      <c r="AZ980" s="26"/>
      <c r="BB980" s="26"/>
      <c r="BD980" s="21"/>
      <c r="CN980" s="26"/>
      <c r="DB980" s="24"/>
      <c r="DD980" s="21"/>
      <c r="DE980" s="22"/>
      <c r="DG980" s="21"/>
      <c r="DK980" s="26"/>
      <c r="DL980" s="26"/>
      <c r="DM980" s="26"/>
      <c r="DN980" s="21"/>
      <c r="DO980" s="21"/>
      <c r="EF980" s="25"/>
      <c r="EG980" s="25"/>
      <c r="EY980" s="20"/>
    </row>
    <row r="981" spans="1:155">
      <c r="A981" s="21"/>
      <c r="B981" s="21"/>
      <c r="AA981" s="26"/>
      <c r="AB981" s="26"/>
      <c r="AC981" s="21"/>
      <c r="AD981" s="21"/>
      <c r="AY981" s="26"/>
      <c r="AZ981" s="26"/>
      <c r="BB981" s="26"/>
      <c r="BD981" s="21"/>
      <c r="CN981" s="26"/>
      <c r="DB981" s="24"/>
      <c r="DD981" s="21"/>
      <c r="DE981" s="22"/>
      <c r="DG981" s="21"/>
      <c r="DK981" s="26"/>
      <c r="DL981" s="26"/>
      <c r="DM981" s="26"/>
      <c r="DN981" s="21"/>
      <c r="DO981" s="21"/>
      <c r="EF981" s="25"/>
      <c r="EG981" s="25"/>
      <c r="EY981" s="20"/>
    </row>
    <row r="982" spans="1:155">
      <c r="A982" s="21"/>
      <c r="B982" s="21"/>
      <c r="AA982" s="26"/>
      <c r="AB982" s="26"/>
      <c r="AC982" s="21"/>
      <c r="AD982" s="21"/>
      <c r="AY982" s="26"/>
      <c r="AZ982" s="26"/>
      <c r="BB982" s="26"/>
      <c r="BD982" s="21"/>
      <c r="CN982" s="26"/>
      <c r="DB982" s="24"/>
      <c r="DD982" s="21"/>
      <c r="DE982" s="22"/>
      <c r="DG982" s="21"/>
      <c r="DK982" s="26"/>
      <c r="DL982" s="26"/>
      <c r="DM982" s="26"/>
      <c r="DN982" s="21"/>
      <c r="DO982" s="21"/>
      <c r="EF982" s="25"/>
      <c r="EG982" s="25"/>
      <c r="EY982" s="20"/>
    </row>
    <row r="983" spans="1:155">
      <c r="A983" s="21"/>
      <c r="B983" s="21"/>
      <c r="AA983" s="26"/>
      <c r="AB983" s="26"/>
      <c r="AC983" s="21"/>
      <c r="AD983" s="21"/>
      <c r="AY983" s="26"/>
      <c r="AZ983" s="26"/>
      <c r="BB983" s="26"/>
      <c r="BD983" s="21"/>
      <c r="CN983" s="26"/>
      <c r="DB983" s="24"/>
      <c r="DD983" s="21"/>
      <c r="DE983" s="22"/>
      <c r="DG983" s="21"/>
      <c r="DK983" s="26"/>
      <c r="DL983" s="26"/>
      <c r="DM983" s="26"/>
      <c r="DN983" s="21"/>
      <c r="DO983" s="21"/>
      <c r="EF983" s="25"/>
      <c r="EG983" s="25"/>
      <c r="EY983" s="20"/>
    </row>
    <row r="984" spans="1:155">
      <c r="A984" s="21"/>
      <c r="B984" s="21"/>
      <c r="AA984" s="26"/>
      <c r="AB984" s="26"/>
      <c r="AC984" s="21"/>
      <c r="AD984" s="21"/>
      <c r="AY984" s="26"/>
      <c r="AZ984" s="26"/>
      <c r="BB984" s="26"/>
      <c r="BD984" s="21"/>
      <c r="CN984" s="26"/>
      <c r="DB984" s="24"/>
      <c r="DD984" s="21"/>
      <c r="DE984" s="22"/>
      <c r="DG984" s="21"/>
      <c r="DK984" s="26"/>
      <c r="DL984" s="26"/>
      <c r="DM984" s="26"/>
      <c r="DN984" s="21"/>
      <c r="DO984" s="21"/>
      <c r="EF984" s="25"/>
      <c r="EG984" s="25"/>
      <c r="EY984" s="20"/>
    </row>
    <row r="985" spans="1:155">
      <c r="A985" s="21"/>
      <c r="B985" s="21"/>
      <c r="AA985" s="26"/>
      <c r="AB985" s="26"/>
      <c r="AC985" s="21"/>
      <c r="AD985" s="21"/>
      <c r="AY985" s="26"/>
      <c r="AZ985" s="26"/>
      <c r="BB985" s="26"/>
      <c r="BD985" s="21"/>
      <c r="CN985" s="26"/>
      <c r="DB985" s="24"/>
      <c r="DD985" s="21"/>
      <c r="DE985" s="22"/>
      <c r="DG985" s="21"/>
      <c r="DK985" s="26"/>
      <c r="DL985" s="26"/>
      <c r="DM985" s="26"/>
      <c r="DN985" s="21"/>
      <c r="DO985" s="21"/>
      <c r="EF985" s="25"/>
      <c r="EG985" s="25"/>
      <c r="EY985" s="20"/>
    </row>
    <row r="986" spans="1:155">
      <c r="A986" s="21"/>
      <c r="B986" s="21"/>
      <c r="AA986" s="26"/>
      <c r="AB986" s="26"/>
      <c r="AC986" s="21"/>
      <c r="AD986" s="21"/>
      <c r="AY986" s="26"/>
      <c r="AZ986" s="26"/>
      <c r="BB986" s="26"/>
      <c r="BD986" s="21"/>
      <c r="CN986" s="26"/>
      <c r="DB986" s="24"/>
      <c r="DD986" s="21"/>
      <c r="DE986" s="22"/>
      <c r="DG986" s="21"/>
      <c r="DK986" s="26"/>
      <c r="DL986" s="26"/>
      <c r="DM986" s="26"/>
      <c r="DN986" s="21"/>
      <c r="DO986" s="21"/>
      <c r="EF986" s="25"/>
      <c r="EG986" s="25"/>
      <c r="EY986" s="20"/>
    </row>
    <row r="987" spans="1:155">
      <c r="A987" s="21"/>
      <c r="B987" s="21"/>
      <c r="AA987" s="26"/>
      <c r="AB987" s="26"/>
      <c r="AC987" s="21"/>
      <c r="AD987" s="21"/>
      <c r="AY987" s="26"/>
      <c r="AZ987" s="26"/>
      <c r="BB987" s="26"/>
      <c r="BD987" s="21"/>
      <c r="CN987" s="26"/>
      <c r="DB987" s="24"/>
      <c r="DD987" s="21"/>
      <c r="DE987" s="22"/>
      <c r="DG987" s="21"/>
      <c r="DK987" s="26"/>
      <c r="DL987" s="26"/>
      <c r="DM987" s="26"/>
      <c r="DN987" s="21"/>
      <c r="DO987" s="21"/>
      <c r="EB987" s="28"/>
      <c r="EF987" s="25"/>
      <c r="EG987" s="25"/>
      <c r="EY987" s="20"/>
    </row>
    <row r="988" spans="1:155">
      <c r="A988" s="21"/>
      <c r="B988" s="21"/>
      <c r="AA988" s="26"/>
      <c r="AB988" s="26"/>
      <c r="AC988" s="21"/>
      <c r="AD988" s="21"/>
      <c r="AY988" s="26"/>
      <c r="AZ988" s="26"/>
      <c r="BB988" s="26"/>
      <c r="BD988" s="21"/>
      <c r="CN988" s="26"/>
      <c r="DB988" s="24"/>
      <c r="DD988" s="21"/>
      <c r="DE988" s="22"/>
      <c r="DG988" s="21"/>
      <c r="DK988" s="26"/>
      <c r="DL988" s="26"/>
      <c r="DM988" s="26"/>
      <c r="DN988" s="21"/>
      <c r="DO988" s="21"/>
      <c r="EF988" s="25"/>
      <c r="EG988" s="25"/>
      <c r="EY988" s="20"/>
    </row>
    <row r="989" spans="1:155">
      <c r="A989" s="21"/>
      <c r="B989" s="21"/>
      <c r="AA989" s="26"/>
      <c r="AB989" s="26"/>
      <c r="AC989" s="21"/>
      <c r="AD989" s="21"/>
      <c r="AY989" s="26"/>
      <c r="AZ989" s="26"/>
      <c r="BB989" s="26"/>
      <c r="BD989" s="21"/>
      <c r="CN989" s="26"/>
      <c r="DB989" s="24"/>
      <c r="DD989" s="21"/>
      <c r="DE989" s="22"/>
      <c r="DG989" s="21"/>
      <c r="DK989" s="26"/>
      <c r="DL989" s="26"/>
      <c r="DM989" s="26"/>
      <c r="DN989" s="21"/>
      <c r="DO989" s="21"/>
      <c r="EF989" s="25"/>
      <c r="EG989" s="25"/>
      <c r="EY989" s="20"/>
    </row>
    <row r="990" spans="1:155">
      <c r="A990" s="21"/>
      <c r="B990" s="21"/>
      <c r="AA990" s="26"/>
      <c r="AB990" s="26"/>
      <c r="AC990" s="21"/>
      <c r="AD990" s="21"/>
      <c r="AY990" s="26"/>
      <c r="AZ990" s="26"/>
      <c r="BB990" s="26"/>
      <c r="BD990" s="21"/>
      <c r="CN990" s="26"/>
      <c r="DB990" s="24"/>
      <c r="DD990" s="21"/>
      <c r="DE990" s="22"/>
      <c r="DG990" s="21"/>
      <c r="DK990" s="26"/>
      <c r="DL990" s="26"/>
      <c r="DM990" s="26"/>
      <c r="DN990" s="21"/>
      <c r="DO990" s="21"/>
      <c r="EF990" s="25"/>
      <c r="EG990" s="25"/>
      <c r="EY990" s="20"/>
    </row>
    <row r="991" spans="1:155">
      <c r="A991" s="21"/>
      <c r="B991" s="21"/>
      <c r="AA991" s="26"/>
      <c r="AB991" s="26"/>
      <c r="AC991" s="21"/>
      <c r="AD991" s="21"/>
      <c r="AY991" s="26"/>
      <c r="AZ991" s="26"/>
      <c r="BB991" s="26"/>
      <c r="BD991" s="21"/>
      <c r="CN991" s="26"/>
      <c r="DB991" s="24"/>
      <c r="DD991" s="21"/>
      <c r="DE991" s="22"/>
      <c r="DG991" s="21"/>
      <c r="DK991" s="26"/>
      <c r="DL991" s="26"/>
      <c r="DM991" s="26"/>
      <c r="DN991" s="21"/>
      <c r="DO991" s="21"/>
      <c r="EF991" s="25"/>
      <c r="EG991" s="25"/>
      <c r="EY991" s="20"/>
    </row>
    <row r="992" spans="1:155">
      <c r="A992" s="21"/>
      <c r="B992" s="21"/>
      <c r="AA992" s="26"/>
      <c r="AB992" s="26"/>
      <c r="AC992" s="21"/>
      <c r="AD992" s="21"/>
      <c r="AY992" s="26"/>
      <c r="AZ992" s="26"/>
      <c r="BB992" s="26"/>
      <c r="BD992" s="21"/>
      <c r="CN992" s="26"/>
      <c r="DB992" s="24"/>
      <c r="DD992" s="21"/>
      <c r="DE992" s="22"/>
      <c r="DG992" s="21"/>
      <c r="DK992" s="26"/>
      <c r="DL992" s="26"/>
      <c r="DM992" s="26"/>
      <c r="DN992" s="21"/>
      <c r="DO992" s="21"/>
      <c r="EF992" s="25"/>
      <c r="EG992" s="25"/>
      <c r="EY992" s="20"/>
    </row>
    <row r="993" spans="1:155">
      <c r="A993" s="21"/>
      <c r="B993" s="21"/>
      <c r="AA993" s="26"/>
      <c r="AB993" s="26"/>
      <c r="AC993" s="21"/>
      <c r="AD993" s="21"/>
      <c r="AY993" s="26"/>
      <c r="AZ993" s="26"/>
      <c r="BB993" s="26"/>
      <c r="BD993" s="21"/>
      <c r="CN993" s="26"/>
      <c r="DB993" s="24"/>
      <c r="DD993" s="21"/>
      <c r="DE993" s="22"/>
      <c r="DG993" s="21"/>
      <c r="DK993" s="26"/>
      <c r="DL993" s="26"/>
      <c r="DM993" s="26"/>
      <c r="DN993" s="21"/>
      <c r="DO993" s="21"/>
      <c r="EF993" s="25"/>
      <c r="EG993" s="25"/>
      <c r="EY993" s="20"/>
    </row>
    <row r="994" spans="1:155">
      <c r="A994" s="21"/>
      <c r="B994" s="21"/>
      <c r="AA994" s="26"/>
      <c r="AB994" s="26"/>
      <c r="AC994" s="21"/>
      <c r="AD994" s="21"/>
      <c r="AY994" s="26"/>
      <c r="AZ994" s="26"/>
      <c r="BB994" s="26"/>
      <c r="BD994" s="21"/>
      <c r="CN994" s="26"/>
      <c r="DB994" s="24"/>
      <c r="DD994" s="21"/>
      <c r="DE994" s="22"/>
      <c r="DG994" s="21"/>
      <c r="DK994" s="26"/>
      <c r="DL994" s="26"/>
      <c r="DM994" s="26"/>
      <c r="DN994" s="21"/>
      <c r="DO994" s="21"/>
      <c r="EF994" s="25"/>
      <c r="EG994" s="25"/>
      <c r="EY994" s="20"/>
    </row>
    <row r="995" spans="1:155">
      <c r="A995" s="21"/>
      <c r="B995" s="21"/>
      <c r="AA995" s="26"/>
      <c r="AB995" s="26"/>
      <c r="AC995" s="21"/>
      <c r="AD995" s="21"/>
      <c r="AY995" s="26"/>
      <c r="AZ995" s="26"/>
      <c r="BB995" s="26"/>
      <c r="BD995" s="21"/>
      <c r="CN995" s="26"/>
      <c r="DB995" s="24"/>
      <c r="DD995" s="21"/>
      <c r="DE995" s="22"/>
      <c r="DG995" s="21"/>
      <c r="DK995" s="26"/>
      <c r="DL995" s="26"/>
      <c r="DM995" s="26"/>
      <c r="DN995" s="21"/>
      <c r="DO995" s="21"/>
      <c r="EF995" s="25"/>
      <c r="EG995" s="25"/>
      <c r="EY995" s="20"/>
    </row>
    <row r="996" spans="1:155">
      <c r="A996" s="21"/>
      <c r="B996" s="21"/>
      <c r="AA996" s="26"/>
      <c r="AB996" s="26"/>
      <c r="AC996" s="21"/>
      <c r="AD996" s="21"/>
      <c r="AY996" s="26"/>
      <c r="AZ996" s="26"/>
      <c r="BB996" s="26"/>
      <c r="BD996" s="21"/>
      <c r="CN996" s="26"/>
      <c r="DB996" s="24"/>
      <c r="DD996" s="21"/>
      <c r="DE996" s="22"/>
      <c r="DG996" s="21"/>
      <c r="DK996" s="26"/>
      <c r="DL996" s="26"/>
      <c r="DM996" s="26"/>
      <c r="DN996" s="21"/>
      <c r="DO996" s="21"/>
      <c r="EF996" s="25"/>
      <c r="EG996" s="25"/>
      <c r="EY996" s="20"/>
    </row>
    <row r="997" spans="1:155">
      <c r="A997" s="21"/>
      <c r="B997" s="21"/>
      <c r="AA997" s="26"/>
      <c r="AB997" s="26"/>
      <c r="AC997" s="21"/>
      <c r="AD997" s="21"/>
      <c r="AY997" s="26"/>
      <c r="AZ997" s="26"/>
      <c r="BB997" s="26"/>
      <c r="BD997" s="21"/>
      <c r="CN997" s="26"/>
      <c r="DB997" s="24"/>
      <c r="DD997" s="21"/>
      <c r="DE997" s="22"/>
      <c r="DG997" s="21"/>
      <c r="DK997" s="26"/>
      <c r="DL997" s="26"/>
      <c r="DM997" s="26"/>
      <c r="DN997" s="21"/>
      <c r="DO997" s="21"/>
      <c r="EF997" s="25"/>
      <c r="EG997" s="25"/>
      <c r="EY997" s="20"/>
    </row>
    <row r="998" spans="1:155">
      <c r="A998" s="21"/>
      <c r="B998" s="21"/>
      <c r="AA998" s="26"/>
      <c r="AB998" s="26"/>
      <c r="AC998" s="21"/>
      <c r="AD998" s="21"/>
      <c r="AY998" s="26"/>
      <c r="AZ998" s="26"/>
      <c r="BB998" s="26"/>
      <c r="BD998" s="21"/>
      <c r="CN998" s="26"/>
      <c r="DB998" s="24"/>
      <c r="DD998" s="21"/>
      <c r="DE998" s="22"/>
      <c r="DG998" s="21"/>
      <c r="DK998" s="26"/>
      <c r="DL998" s="26"/>
      <c r="DM998" s="26"/>
      <c r="DN998" s="21"/>
      <c r="DO998" s="21"/>
      <c r="EF998" s="25"/>
      <c r="EG998" s="25"/>
      <c r="EY998" s="20"/>
    </row>
    <row r="999" spans="1:155">
      <c r="A999" s="21"/>
      <c r="B999" s="21"/>
      <c r="AA999" s="26"/>
      <c r="AB999" s="26"/>
      <c r="AC999" s="21"/>
      <c r="AD999" s="21"/>
      <c r="AY999" s="26"/>
      <c r="AZ999" s="26"/>
      <c r="BB999" s="26"/>
      <c r="BD999" s="21"/>
      <c r="CN999" s="26"/>
      <c r="DB999" s="24"/>
      <c r="DD999" s="21"/>
      <c r="DE999" s="22"/>
      <c r="DG999" s="21"/>
      <c r="DK999" s="26"/>
      <c r="DL999" s="26"/>
      <c r="DM999" s="26"/>
      <c r="DN999" s="21"/>
      <c r="DO999" s="21"/>
      <c r="EF999" s="25"/>
      <c r="EG999" s="25"/>
      <c r="EY999" s="20"/>
    </row>
    <row r="1000" spans="1:155">
      <c r="A1000" s="21"/>
      <c r="B1000" s="21"/>
      <c r="AA1000" s="26"/>
      <c r="AB1000" s="26"/>
      <c r="AC1000" s="21"/>
      <c r="AD1000" s="21"/>
      <c r="AY1000" s="26"/>
      <c r="AZ1000" s="26"/>
      <c r="BB1000" s="26"/>
      <c r="BD1000" s="21"/>
      <c r="CN1000" s="26"/>
      <c r="DB1000" s="24"/>
      <c r="DD1000" s="21"/>
      <c r="DE1000" s="22"/>
      <c r="DG1000" s="21"/>
      <c r="DK1000" s="26"/>
      <c r="DL1000" s="26"/>
      <c r="DM1000" s="26"/>
      <c r="DN1000" s="21"/>
      <c r="DO1000" s="21"/>
      <c r="EF1000" s="25"/>
      <c r="EG1000" s="25"/>
      <c r="EY1000" s="20"/>
    </row>
    <row r="1001" spans="1:155">
      <c r="A1001" s="21"/>
      <c r="B1001" s="21"/>
      <c r="AA1001" s="26"/>
      <c r="AB1001" s="26"/>
      <c r="AC1001" s="21"/>
      <c r="AD1001" s="21"/>
      <c r="AY1001" s="26"/>
      <c r="AZ1001" s="26"/>
      <c r="BB1001" s="26"/>
      <c r="BD1001" s="21"/>
      <c r="CN1001" s="26"/>
      <c r="DB1001" s="24"/>
      <c r="DD1001" s="21"/>
      <c r="DE1001" s="22"/>
      <c r="DG1001" s="21"/>
      <c r="DK1001" s="26"/>
      <c r="DL1001" s="26"/>
      <c r="DM1001" s="26"/>
      <c r="DN1001" s="21"/>
      <c r="DO1001" s="21"/>
      <c r="EF1001" s="25"/>
      <c r="EG1001" s="25"/>
      <c r="EY1001" s="20"/>
    </row>
    <row r="1002" spans="1:155">
      <c r="A1002" s="21"/>
      <c r="B1002" s="21"/>
      <c r="AA1002" s="26"/>
      <c r="AB1002" s="26"/>
      <c r="AC1002" s="21"/>
      <c r="AD1002" s="21"/>
      <c r="AY1002" s="26"/>
      <c r="AZ1002" s="26"/>
      <c r="BB1002" s="26"/>
      <c r="BD1002" s="21"/>
      <c r="CN1002" s="26"/>
      <c r="DB1002" s="24"/>
      <c r="DD1002" s="21"/>
      <c r="DE1002" s="22"/>
      <c r="DG1002" s="21"/>
      <c r="DK1002" s="26"/>
      <c r="DL1002" s="26"/>
      <c r="DM1002" s="26"/>
      <c r="DN1002" s="21"/>
      <c r="DO1002" s="21"/>
      <c r="EF1002" s="25"/>
      <c r="EG1002" s="25"/>
      <c r="EY1002" s="20"/>
    </row>
    <row r="1003" spans="1:155">
      <c r="A1003" s="21"/>
      <c r="B1003" s="21"/>
      <c r="AA1003" s="26"/>
      <c r="AB1003" s="26"/>
      <c r="AC1003" s="21"/>
      <c r="AD1003" s="21"/>
      <c r="AY1003" s="26"/>
      <c r="AZ1003" s="26"/>
      <c r="BB1003" s="26"/>
      <c r="BD1003" s="21"/>
      <c r="CN1003" s="26"/>
      <c r="DB1003" s="24"/>
      <c r="DD1003" s="21"/>
      <c r="DE1003" s="22"/>
      <c r="DG1003" s="21"/>
      <c r="DK1003" s="26"/>
      <c r="DL1003" s="26"/>
      <c r="DM1003" s="26"/>
      <c r="DN1003" s="21"/>
      <c r="DO1003" s="21"/>
      <c r="EF1003" s="25"/>
      <c r="EG1003" s="25"/>
      <c r="EY1003" s="20"/>
    </row>
    <row r="1004" spans="1:155">
      <c r="A1004" s="21"/>
      <c r="B1004" s="21"/>
      <c r="AA1004" s="26"/>
      <c r="AB1004" s="26"/>
      <c r="AC1004" s="21"/>
      <c r="AD1004" s="21"/>
      <c r="AY1004" s="26"/>
      <c r="AZ1004" s="26"/>
      <c r="BB1004" s="26"/>
      <c r="BD1004" s="21"/>
      <c r="CN1004" s="26"/>
      <c r="DB1004" s="24"/>
      <c r="DD1004" s="21"/>
      <c r="DE1004" s="22"/>
      <c r="DG1004" s="21"/>
      <c r="DK1004" s="26"/>
      <c r="DL1004" s="26"/>
      <c r="DM1004" s="26"/>
      <c r="DN1004" s="21"/>
      <c r="DO1004" s="21"/>
      <c r="EF1004" s="25"/>
      <c r="EG1004" s="25"/>
      <c r="EY1004" s="20"/>
    </row>
    <row r="1005" spans="1:155">
      <c r="A1005" s="21"/>
      <c r="B1005" s="21"/>
      <c r="AA1005" s="26"/>
      <c r="AB1005" s="26"/>
      <c r="AC1005" s="21"/>
      <c r="AD1005" s="21"/>
      <c r="AY1005" s="26"/>
      <c r="AZ1005" s="26"/>
      <c r="BB1005" s="26"/>
      <c r="BD1005" s="21"/>
      <c r="CN1005" s="26"/>
      <c r="DB1005" s="24"/>
      <c r="DD1005" s="21"/>
      <c r="DE1005" s="22"/>
      <c r="DG1005" s="21"/>
      <c r="DK1005" s="26"/>
      <c r="DL1005" s="26"/>
      <c r="DM1005" s="26"/>
      <c r="DN1005" s="21"/>
      <c r="DO1005" s="21"/>
      <c r="EF1005" s="25"/>
      <c r="EG1005" s="25"/>
      <c r="EY1005" s="20"/>
    </row>
    <row r="1006" spans="1:155">
      <c r="A1006" s="21"/>
      <c r="B1006" s="21"/>
      <c r="AA1006" s="26"/>
      <c r="AB1006" s="26"/>
      <c r="AC1006" s="21"/>
      <c r="AD1006" s="21"/>
      <c r="AY1006" s="26"/>
      <c r="AZ1006" s="26"/>
      <c r="BB1006" s="26"/>
      <c r="BD1006" s="21"/>
      <c r="CN1006" s="26"/>
      <c r="DB1006" s="24"/>
      <c r="DD1006" s="21"/>
      <c r="DE1006" s="22"/>
      <c r="DG1006" s="21"/>
      <c r="DK1006" s="26"/>
      <c r="DL1006" s="26"/>
      <c r="DM1006" s="26"/>
      <c r="DN1006" s="21"/>
      <c r="DO1006" s="21"/>
      <c r="EF1006" s="25"/>
      <c r="EG1006" s="25"/>
      <c r="EY1006" s="20"/>
    </row>
    <row r="1007" spans="1:155">
      <c r="A1007" s="21"/>
      <c r="B1007" s="21"/>
      <c r="AA1007" s="26"/>
      <c r="AB1007" s="26"/>
      <c r="AC1007" s="21"/>
      <c r="AD1007" s="21"/>
      <c r="AY1007" s="26"/>
      <c r="AZ1007" s="26"/>
      <c r="BB1007" s="26"/>
      <c r="BD1007" s="21"/>
      <c r="CN1007" s="26"/>
      <c r="DB1007" s="24"/>
      <c r="DD1007" s="21"/>
      <c r="DE1007" s="22"/>
      <c r="DG1007" s="21"/>
      <c r="DK1007" s="26"/>
      <c r="DL1007" s="26"/>
      <c r="DM1007" s="26"/>
      <c r="DN1007" s="21"/>
      <c r="DO1007" s="21"/>
      <c r="EF1007" s="25"/>
      <c r="EG1007" s="25"/>
      <c r="EY1007" s="20"/>
    </row>
    <row r="1008" spans="1:155">
      <c r="A1008" s="21"/>
      <c r="B1008" s="21"/>
      <c r="AA1008" s="26"/>
      <c r="AB1008" s="26"/>
      <c r="AC1008" s="21"/>
      <c r="AD1008" s="21"/>
      <c r="AY1008" s="26"/>
      <c r="AZ1008" s="26"/>
      <c r="BB1008" s="26"/>
      <c r="BD1008" s="21"/>
      <c r="CN1008" s="26"/>
      <c r="DB1008" s="24"/>
      <c r="DD1008" s="21"/>
      <c r="DE1008" s="22"/>
      <c r="DG1008" s="21"/>
      <c r="DK1008" s="26"/>
      <c r="DL1008" s="26"/>
      <c r="DM1008" s="26"/>
      <c r="DN1008" s="21"/>
      <c r="DO1008" s="21"/>
      <c r="EF1008" s="25"/>
      <c r="EG1008" s="25"/>
      <c r="EY1008" s="20"/>
    </row>
    <row r="1009" spans="1:155">
      <c r="A1009" s="21"/>
      <c r="B1009" s="21"/>
      <c r="AA1009" s="26"/>
      <c r="AB1009" s="26"/>
      <c r="AC1009" s="21"/>
      <c r="AD1009" s="21"/>
      <c r="AY1009" s="26"/>
      <c r="AZ1009" s="26"/>
      <c r="BB1009" s="26"/>
      <c r="BD1009" s="21"/>
      <c r="CN1009" s="26"/>
      <c r="DB1009" s="24"/>
      <c r="DD1009" s="21"/>
      <c r="DE1009" s="22"/>
      <c r="DG1009" s="21"/>
      <c r="DK1009" s="26"/>
      <c r="DL1009" s="26"/>
      <c r="DM1009" s="26"/>
      <c r="DN1009" s="21"/>
      <c r="DO1009" s="21"/>
      <c r="EF1009" s="25"/>
      <c r="EG1009" s="25"/>
      <c r="EY1009" s="20"/>
    </row>
    <row r="1010" spans="1:155">
      <c r="A1010" s="21"/>
      <c r="B1010" s="21"/>
      <c r="AA1010" s="26"/>
      <c r="AB1010" s="26"/>
      <c r="AC1010" s="21"/>
      <c r="AD1010" s="21"/>
      <c r="AY1010" s="26"/>
      <c r="AZ1010" s="26"/>
      <c r="BB1010" s="26"/>
      <c r="BD1010" s="21"/>
      <c r="CN1010" s="26"/>
      <c r="DB1010" s="24"/>
      <c r="DD1010" s="21"/>
      <c r="DE1010" s="22"/>
      <c r="DG1010" s="21"/>
      <c r="DK1010" s="26"/>
      <c r="DL1010" s="26"/>
      <c r="DM1010" s="26"/>
      <c r="DN1010" s="21"/>
      <c r="DO1010" s="21"/>
      <c r="EF1010" s="25"/>
      <c r="EG1010" s="25"/>
      <c r="EY1010" s="20"/>
    </row>
    <row r="1011" spans="1:155">
      <c r="A1011" s="21"/>
      <c r="B1011" s="21"/>
      <c r="AA1011" s="26"/>
      <c r="AB1011" s="26"/>
      <c r="AC1011" s="21"/>
      <c r="AD1011" s="21"/>
      <c r="AY1011" s="26"/>
      <c r="AZ1011" s="26"/>
      <c r="BB1011" s="26"/>
      <c r="BD1011" s="21"/>
      <c r="CN1011" s="26"/>
      <c r="DB1011" s="24"/>
      <c r="DD1011" s="21"/>
      <c r="DE1011" s="22"/>
      <c r="DG1011" s="21"/>
      <c r="DK1011" s="26"/>
      <c r="DL1011" s="26"/>
      <c r="DM1011" s="26"/>
      <c r="DN1011" s="21"/>
      <c r="DO1011" s="21"/>
      <c r="EF1011" s="25"/>
      <c r="EG1011" s="25"/>
      <c r="EY1011" s="20"/>
    </row>
    <row r="1012" spans="1:155">
      <c r="A1012" s="21"/>
      <c r="B1012" s="21"/>
      <c r="AA1012" s="26"/>
      <c r="AB1012" s="26"/>
      <c r="AC1012" s="21"/>
      <c r="AD1012" s="21"/>
      <c r="AY1012" s="26"/>
      <c r="AZ1012" s="26"/>
      <c r="BB1012" s="26"/>
      <c r="BD1012" s="21"/>
      <c r="CN1012" s="26"/>
      <c r="DB1012" s="24"/>
      <c r="DD1012" s="21"/>
      <c r="DE1012" s="22"/>
      <c r="DG1012" s="21"/>
      <c r="DK1012" s="26"/>
      <c r="DL1012" s="26"/>
      <c r="DM1012" s="26"/>
      <c r="DN1012" s="21"/>
      <c r="DO1012" s="21"/>
      <c r="EF1012" s="25"/>
      <c r="EG1012" s="25"/>
      <c r="EY1012" s="20"/>
    </row>
    <row r="1013" spans="1:155">
      <c r="A1013" s="21"/>
      <c r="B1013" s="21"/>
      <c r="AA1013" s="26"/>
      <c r="AB1013" s="26"/>
      <c r="AC1013" s="21"/>
      <c r="AD1013" s="21"/>
      <c r="AY1013" s="26"/>
      <c r="AZ1013" s="26"/>
      <c r="BB1013" s="26"/>
      <c r="BD1013" s="21"/>
      <c r="CN1013" s="26"/>
      <c r="DB1013" s="24"/>
      <c r="DD1013" s="21"/>
      <c r="DE1013" s="22"/>
      <c r="DG1013" s="21"/>
      <c r="DK1013" s="26"/>
      <c r="DL1013" s="26"/>
      <c r="DM1013" s="26"/>
      <c r="DN1013" s="21"/>
      <c r="DO1013" s="21"/>
      <c r="EF1013" s="25"/>
      <c r="EG1013" s="25"/>
      <c r="EY1013" s="20"/>
    </row>
    <row r="1014" spans="1:155">
      <c r="A1014" s="21"/>
      <c r="B1014" s="21"/>
      <c r="AA1014" s="26"/>
      <c r="AB1014" s="26"/>
      <c r="AC1014" s="21"/>
      <c r="AD1014" s="21"/>
      <c r="AY1014" s="26"/>
      <c r="AZ1014" s="26"/>
      <c r="BB1014" s="26"/>
      <c r="BD1014" s="21"/>
      <c r="CN1014" s="26"/>
      <c r="DB1014" s="24"/>
      <c r="DD1014" s="21"/>
      <c r="DE1014" s="22"/>
      <c r="DG1014" s="21"/>
      <c r="DK1014" s="26"/>
      <c r="DL1014" s="26"/>
      <c r="DM1014" s="26"/>
      <c r="DN1014" s="21"/>
      <c r="DO1014" s="21"/>
      <c r="EF1014" s="25"/>
      <c r="EG1014" s="25"/>
      <c r="EY1014" s="20"/>
    </row>
    <row r="1015" spans="1:155">
      <c r="A1015" s="21"/>
      <c r="B1015" s="21"/>
      <c r="AA1015" s="26"/>
      <c r="AB1015" s="26"/>
      <c r="AC1015" s="21"/>
      <c r="AD1015" s="21"/>
      <c r="AY1015" s="26"/>
      <c r="AZ1015" s="26"/>
      <c r="BB1015" s="26"/>
      <c r="BD1015" s="21"/>
      <c r="CN1015" s="26"/>
      <c r="DB1015" s="24"/>
      <c r="DD1015" s="21"/>
      <c r="DE1015" s="22"/>
      <c r="DG1015" s="21"/>
      <c r="DK1015" s="26"/>
      <c r="DL1015" s="26"/>
      <c r="DM1015" s="26"/>
      <c r="DN1015" s="21"/>
      <c r="DO1015" s="21"/>
      <c r="EF1015" s="25"/>
      <c r="EG1015" s="25"/>
      <c r="EY1015" s="20"/>
    </row>
    <row r="1016" spans="1:155">
      <c r="A1016" s="21"/>
      <c r="B1016" s="21"/>
      <c r="AA1016" s="26"/>
      <c r="AB1016" s="26"/>
      <c r="AC1016" s="21"/>
      <c r="AD1016" s="21"/>
      <c r="AY1016" s="26"/>
      <c r="AZ1016" s="26"/>
      <c r="BB1016" s="26"/>
      <c r="BD1016" s="21"/>
      <c r="CN1016" s="26"/>
      <c r="DB1016" s="24"/>
      <c r="DD1016" s="21"/>
      <c r="DE1016" s="22"/>
      <c r="DG1016" s="21"/>
      <c r="DK1016" s="26"/>
      <c r="DL1016" s="26"/>
      <c r="DM1016" s="26"/>
      <c r="DN1016" s="21"/>
      <c r="DO1016" s="21"/>
      <c r="EF1016" s="25"/>
      <c r="EG1016" s="25"/>
      <c r="EY1016" s="20"/>
    </row>
    <row r="1017" spans="1:155">
      <c r="A1017" s="21"/>
      <c r="B1017" s="21"/>
      <c r="AA1017" s="26"/>
      <c r="AB1017" s="26"/>
      <c r="AC1017" s="21"/>
      <c r="AD1017" s="21"/>
      <c r="AY1017" s="26"/>
      <c r="AZ1017" s="26"/>
      <c r="BB1017" s="26"/>
      <c r="BD1017" s="21"/>
      <c r="CN1017" s="26"/>
      <c r="DB1017" s="24"/>
      <c r="DD1017" s="21"/>
      <c r="DE1017" s="22"/>
      <c r="DG1017" s="21"/>
      <c r="DK1017" s="26"/>
      <c r="DL1017" s="26"/>
      <c r="DM1017" s="26"/>
      <c r="DN1017" s="21"/>
      <c r="DO1017" s="21"/>
      <c r="EF1017" s="25"/>
      <c r="EG1017" s="25"/>
      <c r="EY1017" s="20"/>
    </row>
    <row r="1018" spans="1:155">
      <c r="A1018" s="21"/>
      <c r="B1018" s="21"/>
      <c r="AA1018" s="26"/>
      <c r="AB1018" s="26"/>
      <c r="AC1018" s="21"/>
      <c r="AD1018" s="21"/>
      <c r="AY1018" s="26"/>
      <c r="AZ1018" s="26"/>
      <c r="BB1018" s="26"/>
      <c r="BD1018" s="21"/>
      <c r="CN1018" s="26"/>
      <c r="DB1018" s="24"/>
      <c r="DD1018" s="21"/>
      <c r="DE1018" s="22"/>
      <c r="DG1018" s="21"/>
      <c r="DK1018" s="26"/>
      <c r="DL1018" s="26"/>
      <c r="DM1018" s="26"/>
      <c r="DN1018" s="21"/>
      <c r="DO1018" s="21"/>
      <c r="EF1018" s="25"/>
      <c r="EG1018" s="25"/>
      <c r="EY1018" s="20"/>
    </row>
    <row r="1019" spans="1:155">
      <c r="A1019" s="21"/>
      <c r="B1019" s="21"/>
      <c r="AA1019" s="26"/>
      <c r="AB1019" s="26"/>
      <c r="AC1019" s="21"/>
      <c r="AD1019" s="21"/>
      <c r="AY1019" s="26"/>
      <c r="AZ1019" s="26"/>
      <c r="BB1019" s="26"/>
      <c r="BD1019" s="21"/>
      <c r="CN1019" s="26"/>
      <c r="DB1019" s="24"/>
      <c r="DD1019" s="21"/>
      <c r="DE1019" s="22"/>
      <c r="DG1019" s="21"/>
      <c r="DK1019" s="26"/>
      <c r="DL1019" s="26"/>
      <c r="DM1019" s="26"/>
      <c r="DN1019" s="21"/>
      <c r="DO1019" s="21"/>
      <c r="EF1019" s="25"/>
      <c r="EG1019" s="25"/>
      <c r="EY1019" s="20"/>
    </row>
    <row r="1020" spans="1:155">
      <c r="A1020" s="21"/>
      <c r="B1020" s="21"/>
      <c r="AA1020" s="26"/>
      <c r="AB1020" s="26"/>
      <c r="AC1020" s="21"/>
      <c r="AD1020" s="21"/>
      <c r="AY1020" s="26"/>
      <c r="AZ1020" s="26"/>
      <c r="BB1020" s="26"/>
      <c r="BD1020" s="21"/>
      <c r="CN1020" s="26"/>
      <c r="DB1020" s="24"/>
      <c r="DD1020" s="21"/>
      <c r="DE1020" s="22"/>
      <c r="DG1020" s="21"/>
      <c r="DK1020" s="26"/>
      <c r="DL1020" s="26"/>
      <c r="DM1020" s="26"/>
      <c r="DN1020" s="21"/>
      <c r="DO1020" s="21"/>
      <c r="EF1020" s="25"/>
      <c r="EG1020" s="25"/>
      <c r="EY1020" s="20"/>
    </row>
    <row r="1021" spans="1:155">
      <c r="A1021" s="21"/>
      <c r="B1021" s="21"/>
      <c r="AA1021" s="26"/>
      <c r="AB1021" s="26"/>
      <c r="AC1021" s="21"/>
      <c r="AD1021" s="21"/>
      <c r="AY1021" s="26"/>
      <c r="AZ1021" s="26"/>
      <c r="BB1021" s="26"/>
      <c r="BD1021" s="21"/>
      <c r="CN1021" s="26"/>
      <c r="DB1021" s="24"/>
      <c r="DD1021" s="21"/>
      <c r="DE1021" s="22"/>
      <c r="DG1021" s="21"/>
      <c r="DK1021" s="26"/>
      <c r="DL1021" s="26"/>
      <c r="DM1021" s="26"/>
      <c r="DN1021" s="21"/>
      <c r="DO1021" s="21"/>
      <c r="EF1021" s="25"/>
      <c r="EG1021" s="25"/>
      <c r="EY1021" s="20"/>
    </row>
    <row r="1022" spans="1:155">
      <c r="A1022" s="21"/>
      <c r="B1022" s="21"/>
      <c r="AA1022" s="26"/>
      <c r="AB1022" s="26"/>
      <c r="AC1022" s="21"/>
      <c r="AD1022" s="21"/>
      <c r="AY1022" s="26"/>
      <c r="AZ1022" s="26"/>
      <c r="BB1022" s="26"/>
      <c r="BD1022" s="21"/>
      <c r="CN1022" s="26"/>
      <c r="DB1022" s="24"/>
      <c r="DD1022" s="21"/>
      <c r="DE1022" s="22"/>
      <c r="DG1022" s="21"/>
      <c r="DK1022" s="26"/>
      <c r="DL1022" s="26"/>
      <c r="DM1022" s="26"/>
      <c r="DN1022" s="21"/>
      <c r="DO1022" s="21"/>
      <c r="EF1022" s="25"/>
      <c r="EG1022" s="25"/>
      <c r="EY1022" s="20"/>
    </row>
    <row r="1023" spans="1:155">
      <c r="A1023" s="21"/>
      <c r="B1023" s="21"/>
      <c r="AA1023" s="26"/>
      <c r="AB1023" s="26"/>
      <c r="AC1023" s="21"/>
      <c r="AD1023" s="21"/>
      <c r="AY1023" s="26"/>
      <c r="AZ1023" s="26"/>
      <c r="BB1023" s="26"/>
      <c r="BD1023" s="21"/>
      <c r="CN1023" s="26"/>
      <c r="DB1023" s="24"/>
      <c r="DD1023" s="21"/>
      <c r="DE1023" s="22"/>
      <c r="DG1023" s="21"/>
      <c r="DK1023" s="26"/>
      <c r="DL1023" s="26"/>
      <c r="DM1023" s="26"/>
      <c r="DN1023" s="21"/>
      <c r="DO1023" s="21"/>
      <c r="EF1023" s="25"/>
      <c r="EG1023" s="25"/>
      <c r="EY1023" s="20"/>
    </row>
    <row r="1024" spans="1:155">
      <c r="A1024" s="21"/>
      <c r="B1024" s="21"/>
      <c r="AA1024" s="26"/>
      <c r="AB1024" s="26"/>
      <c r="AC1024" s="21"/>
      <c r="AD1024" s="21"/>
      <c r="AY1024" s="26"/>
      <c r="AZ1024" s="26"/>
      <c r="BB1024" s="26"/>
      <c r="BD1024" s="21"/>
      <c r="CN1024" s="26"/>
      <c r="DB1024" s="24"/>
      <c r="DD1024" s="21"/>
      <c r="DE1024" s="22"/>
      <c r="DG1024" s="21"/>
      <c r="DK1024" s="26"/>
      <c r="DL1024" s="26"/>
      <c r="DM1024" s="26"/>
      <c r="DN1024" s="21"/>
      <c r="DO1024" s="21"/>
      <c r="EF1024" s="25"/>
      <c r="EG1024" s="25"/>
      <c r="EY1024" s="20"/>
    </row>
    <row r="1025" spans="1:155">
      <c r="A1025" s="21"/>
      <c r="B1025" s="21"/>
      <c r="AA1025" s="26"/>
      <c r="AB1025" s="26"/>
      <c r="AC1025" s="21"/>
      <c r="AD1025" s="21"/>
      <c r="AY1025" s="26"/>
      <c r="AZ1025" s="26"/>
      <c r="BB1025" s="26"/>
      <c r="BD1025" s="21"/>
      <c r="CN1025" s="26"/>
      <c r="DB1025" s="24"/>
      <c r="DD1025" s="21"/>
      <c r="DE1025" s="22"/>
      <c r="DG1025" s="21"/>
      <c r="DK1025" s="26"/>
      <c r="DL1025" s="26"/>
      <c r="DM1025" s="26"/>
      <c r="DN1025" s="21"/>
      <c r="DO1025" s="21"/>
      <c r="EF1025" s="25"/>
      <c r="EG1025" s="25"/>
      <c r="EY1025" s="20"/>
    </row>
    <row r="1026" spans="1:155">
      <c r="A1026" s="21"/>
      <c r="B1026" s="21"/>
      <c r="AA1026" s="26"/>
      <c r="AB1026" s="26"/>
      <c r="AC1026" s="21"/>
      <c r="AD1026" s="21"/>
      <c r="AY1026" s="26"/>
      <c r="AZ1026" s="26"/>
      <c r="BB1026" s="26"/>
      <c r="BD1026" s="21"/>
      <c r="CN1026" s="26"/>
      <c r="DB1026" s="24"/>
      <c r="DD1026" s="21"/>
      <c r="DE1026" s="22"/>
      <c r="DG1026" s="21"/>
      <c r="DK1026" s="26"/>
      <c r="DL1026" s="26"/>
      <c r="DM1026" s="26"/>
      <c r="DN1026" s="21"/>
      <c r="DO1026" s="21"/>
      <c r="EF1026" s="25"/>
      <c r="EG1026" s="25"/>
      <c r="EY1026" s="20"/>
    </row>
    <row r="1027" spans="1:155">
      <c r="A1027" s="21"/>
      <c r="B1027" s="21"/>
      <c r="AA1027" s="26"/>
      <c r="AB1027" s="26"/>
      <c r="AC1027" s="21"/>
      <c r="AD1027" s="21"/>
      <c r="AY1027" s="26"/>
      <c r="AZ1027" s="26"/>
      <c r="BB1027" s="26"/>
      <c r="BD1027" s="21"/>
      <c r="CN1027" s="26"/>
      <c r="DB1027" s="24"/>
      <c r="DD1027" s="21"/>
      <c r="DE1027" s="22"/>
      <c r="DG1027" s="21"/>
      <c r="DK1027" s="26"/>
      <c r="DL1027" s="26"/>
      <c r="DM1027" s="26"/>
      <c r="DN1027" s="21"/>
      <c r="DO1027" s="21"/>
      <c r="EF1027" s="25"/>
      <c r="EG1027" s="25"/>
      <c r="EY1027" s="20"/>
    </row>
    <row r="1028" spans="1:155">
      <c r="A1028" s="21"/>
      <c r="B1028" s="21"/>
      <c r="AA1028" s="26"/>
      <c r="AB1028" s="26"/>
      <c r="AC1028" s="21"/>
      <c r="AD1028" s="21"/>
      <c r="AY1028" s="26"/>
      <c r="AZ1028" s="26"/>
      <c r="BB1028" s="26"/>
      <c r="BD1028" s="21"/>
      <c r="CN1028" s="26"/>
      <c r="DB1028" s="24"/>
      <c r="DD1028" s="21"/>
      <c r="DE1028" s="22"/>
      <c r="DG1028" s="21"/>
      <c r="DK1028" s="26"/>
      <c r="DL1028" s="26"/>
      <c r="DM1028" s="26"/>
      <c r="DN1028" s="21"/>
      <c r="DO1028" s="21"/>
      <c r="EF1028" s="25"/>
      <c r="EG1028" s="25"/>
      <c r="EY1028" s="20"/>
    </row>
    <row r="1029" spans="1:155">
      <c r="A1029" s="21"/>
      <c r="B1029" s="21"/>
      <c r="AA1029" s="26"/>
      <c r="AB1029" s="26"/>
      <c r="AC1029" s="21"/>
      <c r="AD1029" s="21"/>
      <c r="AY1029" s="26"/>
      <c r="AZ1029" s="26"/>
      <c r="BB1029" s="26"/>
      <c r="BD1029" s="21"/>
      <c r="CN1029" s="26"/>
      <c r="DB1029" s="24"/>
      <c r="DD1029" s="21"/>
      <c r="DE1029" s="22"/>
      <c r="DG1029" s="21"/>
      <c r="DK1029" s="26"/>
      <c r="DL1029" s="26"/>
      <c r="DM1029" s="26"/>
      <c r="DN1029" s="21"/>
      <c r="DO1029" s="21"/>
      <c r="EF1029" s="25"/>
      <c r="EG1029" s="25"/>
      <c r="EY1029" s="20"/>
    </row>
    <row r="1030" spans="1:155">
      <c r="A1030" s="21"/>
      <c r="B1030" s="21"/>
      <c r="AA1030" s="26"/>
      <c r="AB1030" s="26"/>
      <c r="AC1030" s="21"/>
      <c r="AD1030" s="21"/>
      <c r="AY1030" s="26"/>
      <c r="AZ1030" s="26"/>
      <c r="BB1030" s="26"/>
      <c r="BD1030" s="21"/>
      <c r="CN1030" s="26"/>
      <c r="DB1030" s="24"/>
      <c r="DD1030" s="21"/>
      <c r="DE1030" s="22"/>
      <c r="DG1030" s="21"/>
      <c r="DK1030" s="26"/>
      <c r="DL1030" s="26"/>
      <c r="DM1030" s="26"/>
      <c r="DN1030" s="21"/>
      <c r="DO1030" s="21"/>
      <c r="EF1030" s="25"/>
      <c r="EG1030" s="25"/>
      <c r="EY1030" s="20"/>
    </row>
    <row r="1031" spans="1:155">
      <c r="A1031" s="21"/>
      <c r="B1031" s="21"/>
      <c r="AA1031" s="26"/>
      <c r="AB1031" s="26"/>
      <c r="AC1031" s="21"/>
      <c r="AD1031" s="21"/>
      <c r="AY1031" s="26"/>
      <c r="AZ1031" s="26"/>
      <c r="BB1031" s="26"/>
      <c r="BD1031" s="21"/>
      <c r="CN1031" s="26"/>
      <c r="DB1031" s="24"/>
      <c r="DD1031" s="21"/>
      <c r="DE1031" s="22"/>
      <c r="DG1031" s="21"/>
      <c r="DK1031" s="26"/>
      <c r="DL1031" s="26"/>
      <c r="DM1031" s="26"/>
      <c r="DN1031" s="21"/>
      <c r="DO1031" s="21"/>
      <c r="EF1031" s="25"/>
      <c r="EG1031" s="25"/>
      <c r="EY1031" s="20"/>
    </row>
    <row r="1032" spans="1:155">
      <c r="A1032" s="21"/>
      <c r="B1032" s="21"/>
      <c r="AA1032" s="26"/>
      <c r="AB1032" s="26"/>
      <c r="AC1032" s="21"/>
      <c r="AD1032" s="21"/>
      <c r="AY1032" s="26"/>
      <c r="AZ1032" s="26"/>
      <c r="BB1032" s="26"/>
      <c r="BD1032" s="21"/>
      <c r="CN1032" s="26"/>
      <c r="DB1032" s="24"/>
      <c r="DD1032" s="21"/>
      <c r="DE1032" s="22"/>
      <c r="DG1032" s="21"/>
      <c r="DK1032" s="26"/>
      <c r="DL1032" s="26"/>
      <c r="DM1032" s="26"/>
      <c r="DN1032" s="21"/>
      <c r="DO1032" s="21"/>
      <c r="EF1032" s="25"/>
      <c r="EG1032" s="25"/>
      <c r="EY1032" s="20"/>
    </row>
    <row r="1033" spans="1:155">
      <c r="A1033" s="21"/>
      <c r="B1033" s="21"/>
      <c r="AA1033" s="26"/>
      <c r="AB1033" s="26"/>
      <c r="AC1033" s="21"/>
      <c r="AD1033" s="21"/>
      <c r="AY1033" s="26"/>
      <c r="AZ1033" s="26"/>
      <c r="BB1033" s="26"/>
      <c r="BD1033" s="21"/>
      <c r="CN1033" s="26"/>
      <c r="DB1033" s="24"/>
      <c r="DD1033" s="21"/>
      <c r="DE1033" s="22"/>
      <c r="DG1033" s="21"/>
      <c r="DK1033" s="26"/>
      <c r="DL1033" s="26"/>
      <c r="DM1033" s="26"/>
      <c r="DN1033" s="21"/>
      <c r="DO1033" s="21"/>
      <c r="EF1033" s="25"/>
      <c r="EG1033" s="25"/>
      <c r="EY1033" s="20"/>
    </row>
    <row r="1034" spans="1:155">
      <c r="A1034" s="21"/>
      <c r="B1034" s="21"/>
      <c r="AA1034" s="26"/>
      <c r="AB1034" s="26"/>
      <c r="AC1034" s="21"/>
      <c r="AD1034" s="21"/>
      <c r="AY1034" s="26"/>
      <c r="AZ1034" s="26"/>
      <c r="BB1034" s="26"/>
      <c r="BD1034" s="21"/>
      <c r="CN1034" s="26"/>
      <c r="DB1034" s="24"/>
      <c r="DD1034" s="21"/>
      <c r="DE1034" s="22"/>
      <c r="DG1034" s="21"/>
      <c r="DK1034" s="26"/>
      <c r="DL1034" s="26"/>
      <c r="DM1034" s="26"/>
      <c r="DN1034" s="21"/>
      <c r="DO1034" s="21"/>
      <c r="EF1034" s="25"/>
      <c r="EG1034" s="25"/>
      <c r="EY1034" s="20"/>
    </row>
    <row r="1035" spans="1:155">
      <c r="A1035" s="21"/>
      <c r="B1035" s="21"/>
      <c r="AA1035" s="26"/>
      <c r="AB1035" s="26"/>
      <c r="AC1035" s="21"/>
      <c r="AD1035" s="21"/>
      <c r="AY1035" s="26"/>
      <c r="AZ1035" s="26"/>
      <c r="BB1035" s="26"/>
      <c r="BD1035" s="21"/>
      <c r="CN1035" s="26"/>
      <c r="DB1035" s="24"/>
      <c r="DD1035" s="21"/>
      <c r="DE1035" s="22"/>
      <c r="DG1035" s="21"/>
      <c r="DK1035" s="26"/>
      <c r="DL1035" s="26"/>
      <c r="DM1035" s="26"/>
      <c r="DN1035" s="21"/>
      <c r="DO1035" s="21"/>
      <c r="EF1035" s="25"/>
      <c r="EG1035" s="25"/>
      <c r="EY1035" s="20"/>
    </row>
    <row r="1036" spans="1:155">
      <c r="A1036" s="21"/>
      <c r="B1036" s="21"/>
      <c r="AA1036" s="26"/>
      <c r="AB1036" s="26"/>
      <c r="AC1036" s="21"/>
      <c r="AD1036" s="21"/>
      <c r="AY1036" s="26"/>
      <c r="AZ1036" s="26"/>
      <c r="BB1036" s="26"/>
      <c r="BD1036" s="21"/>
      <c r="CN1036" s="26"/>
      <c r="DB1036" s="24"/>
      <c r="DD1036" s="21"/>
      <c r="DE1036" s="22"/>
      <c r="DG1036" s="21"/>
      <c r="DK1036" s="26"/>
      <c r="DL1036" s="26"/>
      <c r="DM1036" s="26"/>
      <c r="DN1036" s="21"/>
      <c r="DO1036" s="21"/>
      <c r="EF1036" s="25"/>
      <c r="EG1036" s="25"/>
      <c r="EY1036" s="20"/>
    </row>
    <row r="1037" spans="1:155">
      <c r="A1037" s="21"/>
      <c r="B1037" s="21"/>
      <c r="AA1037" s="26"/>
      <c r="AB1037" s="26"/>
      <c r="AC1037" s="21"/>
      <c r="AD1037" s="21"/>
      <c r="AY1037" s="26"/>
      <c r="AZ1037" s="26"/>
      <c r="BB1037" s="26"/>
      <c r="BD1037" s="21"/>
      <c r="CN1037" s="26"/>
      <c r="DB1037" s="24"/>
      <c r="DD1037" s="21"/>
      <c r="DE1037" s="22"/>
      <c r="DG1037" s="21"/>
      <c r="DK1037" s="26"/>
      <c r="DL1037" s="26"/>
      <c r="DM1037" s="26"/>
      <c r="DN1037" s="21"/>
      <c r="DO1037" s="21"/>
      <c r="EF1037" s="25"/>
      <c r="EG1037" s="25"/>
      <c r="EY1037" s="20"/>
    </row>
    <row r="1038" spans="1:155">
      <c r="A1038" s="21"/>
      <c r="B1038" s="21"/>
      <c r="AA1038" s="26"/>
      <c r="AB1038" s="26"/>
      <c r="AC1038" s="21"/>
      <c r="AD1038" s="21"/>
      <c r="AY1038" s="26"/>
      <c r="AZ1038" s="26"/>
      <c r="BB1038" s="26"/>
      <c r="BD1038" s="21"/>
      <c r="CN1038" s="26"/>
      <c r="DB1038" s="24"/>
      <c r="DD1038" s="21"/>
      <c r="DE1038" s="22"/>
      <c r="DG1038" s="21"/>
      <c r="DK1038" s="26"/>
      <c r="DL1038" s="26"/>
      <c r="DM1038" s="26"/>
      <c r="DN1038" s="21"/>
      <c r="DO1038" s="21"/>
      <c r="EF1038" s="25"/>
      <c r="EG1038" s="25"/>
      <c r="EY1038" s="20"/>
    </row>
    <row r="1039" spans="1:155">
      <c r="A1039" s="21"/>
      <c r="B1039" s="21"/>
      <c r="AA1039" s="26"/>
      <c r="AB1039" s="26"/>
      <c r="AC1039" s="21"/>
      <c r="AD1039" s="21"/>
      <c r="AY1039" s="26"/>
      <c r="AZ1039" s="26"/>
      <c r="BB1039" s="26"/>
      <c r="BD1039" s="21"/>
      <c r="CN1039" s="26"/>
      <c r="DB1039" s="24"/>
      <c r="DD1039" s="21"/>
      <c r="DE1039" s="22"/>
      <c r="DG1039" s="21"/>
      <c r="DK1039" s="26"/>
      <c r="DL1039" s="26"/>
      <c r="DM1039" s="26"/>
      <c r="DN1039" s="21"/>
      <c r="DO1039" s="21"/>
      <c r="EF1039" s="25"/>
      <c r="EG1039" s="25"/>
      <c r="EY1039" s="20"/>
    </row>
    <row r="1040" spans="1:155">
      <c r="A1040" s="21"/>
      <c r="B1040" s="21"/>
      <c r="AA1040" s="26"/>
      <c r="AB1040" s="26"/>
      <c r="AC1040" s="21"/>
      <c r="AD1040" s="21"/>
      <c r="AY1040" s="26"/>
      <c r="AZ1040" s="26"/>
      <c r="BB1040" s="26"/>
      <c r="BD1040" s="21"/>
      <c r="CN1040" s="26"/>
      <c r="DB1040" s="24"/>
      <c r="DD1040" s="21"/>
      <c r="DE1040" s="22"/>
      <c r="DG1040" s="21"/>
      <c r="DK1040" s="26"/>
      <c r="DL1040" s="26"/>
      <c r="DM1040" s="26"/>
      <c r="DN1040" s="21"/>
      <c r="DO1040" s="21"/>
      <c r="EF1040" s="25"/>
      <c r="EG1040" s="25"/>
      <c r="EY1040" s="20"/>
    </row>
    <row r="1041" spans="1:155">
      <c r="A1041" s="21"/>
      <c r="B1041" s="21"/>
      <c r="AA1041" s="26"/>
      <c r="AB1041" s="26"/>
      <c r="AC1041" s="21"/>
      <c r="AD1041" s="21"/>
      <c r="AY1041" s="26"/>
      <c r="AZ1041" s="26"/>
      <c r="BB1041" s="26"/>
      <c r="BD1041" s="21"/>
      <c r="CN1041" s="26"/>
      <c r="DB1041" s="24"/>
      <c r="DD1041" s="21"/>
      <c r="DE1041" s="22"/>
      <c r="DG1041" s="21"/>
      <c r="DK1041" s="26"/>
      <c r="DL1041" s="26"/>
      <c r="DM1041" s="26"/>
      <c r="DN1041" s="21"/>
      <c r="DO1041" s="21"/>
      <c r="EF1041" s="25"/>
      <c r="EG1041" s="25"/>
      <c r="EY1041" s="20"/>
    </row>
    <row r="1042" spans="1:155">
      <c r="A1042" s="21"/>
      <c r="B1042" s="21"/>
      <c r="AA1042" s="26"/>
      <c r="AB1042" s="26"/>
      <c r="AC1042" s="21"/>
      <c r="AD1042" s="21"/>
      <c r="AY1042" s="26"/>
      <c r="AZ1042" s="26"/>
      <c r="BB1042" s="26"/>
      <c r="BD1042" s="21"/>
      <c r="CN1042" s="26"/>
      <c r="DB1042" s="24"/>
      <c r="DD1042" s="21"/>
      <c r="DE1042" s="22"/>
      <c r="DG1042" s="21"/>
      <c r="DK1042" s="26"/>
      <c r="DL1042" s="26"/>
      <c r="DM1042" s="26"/>
      <c r="DN1042" s="21"/>
      <c r="DO1042" s="21"/>
      <c r="EF1042" s="25"/>
      <c r="EG1042" s="25"/>
      <c r="EY1042" s="20"/>
    </row>
    <row r="1043" spans="1:155">
      <c r="A1043" s="21"/>
      <c r="B1043" s="21"/>
      <c r="AA1043" s="26"/>
      <c r="AB1043" s="26"/>
      <c r="AC1043" s="21"/>
      <c r="AD1043" s="21"/>
      <c r="AY1043" s="26"/>
      <c r="AZ1043" s="26"/>
      <c r="BB1043" s="26"/>
      <c r="BD1043" s="21"/>
      <c r="CN1043" s="26"/>
      <c r="DB1043" s="24"/>
      <c r="DD1043" s="21"/>
      <c r="DE1043" s="22"/>
      <c r="DG1043" s="21"/>
      <c r="DK1043" s="26"/>
      <c r="DL1043" s="26"/>
      <c r="DM1043" s="26"/>
      <c r="DN1043" s="21"/>
      <c r="DO1043" s="21"/>
      <c r="EF1043" s="25"/>
      <c r="EG1043" s="25"/>
      <c r="EY1043" s="20"/>
    </row>
    <row r="1044" spans="1:155">
      <c r="A1044" s="21"/>
      <c r="B1044" s="21"/>
      <c r="AA1044" s="26"/>
      <c r="AB1044" s="26"/>
      <c r="AC1044" s="21"/>
      <c r="AD1044" s="21"/>
      <c r="AY1044" s="26"/>
      <c r="AZ1044" s="26"/>
      <c r="BB1044" s="26"/>
      <c r="BD1044" s="21"/>
      <c r="CN1044" s="26"/>
      <c r="DB1044" s="24"/>
      <c r="DD1044" s="21"/>
      <c r="DE1044" s="22"/>
      <c r="DG1044" s="21"/>
      <c r="DK1044" s="26"/>
      <c r="DL1044" s="26"/>
      <c r="DM1044" s="26"/>
      <c r="DN1044" s="21"/>
      <c r="DO1044" s="21"/>
      <c r="EF1044" s="25"/>
      <c r="EG1044" s="25"/>
      <c r="EY1044" s="20"/>
    </row>
    <row r="1045" spans="1:155">
      <c r="A1045" s="21"/>
      <c r="B1045" s="21"/>
      <c r="AA1045" s="26"/>
      <c r="AB1045" s="26"/>
      <c r="AC1045" s="21"/>
      <c r="AD1045" s="21"/>
      <c r="AY1045" s="26"/>
      <c r="AZ1045" s="26"/>
      <c r="BB1045" s="26"/>
      <c r="BD1045" s="21"/>
      <c r="CN1045" s="26"/>
      <c r="DB1045" s="24"/>
      <c r="DD1045" s="21"/>
      <c r="DE1045" s="22"/>
      <c r="DG1045" s="21"/>
      <c r="DK1045" s="26"/>
      <c r="DL1045" s="26"/>
      <c r="DM1045" s="26"/>
      <c r="DN1045" s="21"/>
      <c r="DO1045" s="21"/>
      <c r="EF1045" s="25"/>
      <c r="EG1045" s="25"/>
      <c r="EY1045" s="20"/>
    </row>
    <row r="1046" spans="1:155">
      <c r="A1046" s="21"/>
      <c r="B1046" s="21"/>
      <c r="AA1046" s="26"/>
      <c r="AB1046" s="26"/>
      <c r="AC1046" s="21"/>
      <c r="AD1046" s="21"/>
      <c r="AY1046" s="26"/>
      <c r="AZ1046" s="26"/>
      <c r="BB1046" s="26"/>
      <c r="BD1046" s="21"/>
      <c r="CN1046" s="26"/>
      <c r="DB1046" s="24"/>
      <c r="DD1046" s="21"/>
      <c r="DE1046" s="22"/>
      <c r="DG1046" s="21"/>
      <c r="DK1046" s="26"/>
      <c r="DL1046" s="26"/>
      <c r="DM1046" s="26"/>
      <c r="DN1046" s="21"/>
      <c r="DO1046" s="21"/>
      <c r="EF1046" s="25"/>
      <c r="EG1046" s="25"/>
      <c r="EY1046" s="20"/>
    </row>
    <row r="1047" spans="1:155">
      <c r="A1047" s="21"/>
      <c r="B1047" s="21"/>
      <c r="AA1047" s="26"/>
      <c r="AB1047" s="26"/>
      <c r="AC1047" s="21"/>
      <c r="AD1047" s="21"/>
      <c r="AY1047" s="26"/>
      <c r="AZ1047" s="26"/>
      <c r="BB1047" s="26"/>
      <c r="BD1047" s="21"/>
      <c r="CN1047" s="26"/>
      <c r="DB1047" s="24"/>
      <c r="DD1047" s="21"/>
      <c r="DE1047" s="22"/>
      <c r="DG1047" s="21"/>
      <c r="DK1047" s="26"/>
      <c r="DL1047" s="26"/>
      <c r="DM1047" s="26"/>
      <c r="DN1047" s="21"/>
      <c r="DO1047" s="21"/>
      <c r="EF1047" s="25"/>
      <c r="EG1047" s="25"/>
      <c r="EY1047" s="20"/>
    </row>
    <row r="1048" spans="1:155">
      <c r="A1048" s="21"/>
      <c r="B1048" s="21"/>
      <c r="AA1048" s="26"/>
      <c r="AB1048" s="26"/>
      <c r="AC1048" s="21"/>
      <c r="AD1048" s="21"/>
      <c r="AY1048" s="26"/>
      <c r="AZ1048" s="26"/>
      <c r="BB1048" s="26"/>
      <c r="BD1048" s="21"/>
      <c r="CN1048" s="26"/>
      <c r="DB1048" s="24"/>
      <c r="DD1048" s="21"/>
      <c r="DE1048" s="22"/>
      <c r="DG1048" s="21"/>
      <c r="DK1048" s="26"/>
      <c r="DL1048" s="26"/>
      <c r="DM1048" s="26"/>
      <c r="DN1048" s="21"/>
      <c r="DO1048" s="21"/>
      <c r="EF1048" s="25"/>
      <c r="EG1048" s="25"/>
      <c r="EY1048" s="20"/>
    </row>
    <row r="1049" spans="1:155">
      <c r="A1049" s="21"/>
      <c r="B1049" s="21"/>
      <c r="AA1049" s="26"/>
      <c r="AB1049" s="26"/>
      <c r="AC1049" s="21"/>
      <c r="AD1049" s="21"/>
      <c r="AY1049" s="26"/>
      <c r="AZ1049" s="26"/>
      <c r="BB1049" s="26"/>
      <c r="BD1049" s="21"/>
      <c r="CN1049" s="26"/>
      <c r="DB1049" s="24"/>
      <c r="DD1049" s="21"/>
      <c r="DE1049" s="22"/>
      <c r="DG1049" s="21"/>
      <c r="DK1049" s="26"/>
      <c r="DL1049" s="26"/>
      <c r="DM1049" s="26"/>
      <c r="DN1049" s="21"/>
      <c r="DO1049" s="21"/>
      <c r="EF1049" s="25"/>
      <c r="EG1049" s="25"/>
      <c r="EY1049" s="20"/>
    </row>
    <row r="1050" spans="1:155">
      <c r="A1050" s="21"/>
      <c r="B1050" s="21"/>
      <c r="AA1050" s="26"/>
      <c r="AB1050" s="26"/>
      <c r="AC1050" s="21"/>
      <c r="AD1050" s="21"/>
      <c r="AY1050" s="26"/>
      <c r="AZ1050" s="26"/>
      <c r="BB1050" s="26"/>
      <c r="BD1050" s="21"/>
      <c r="CN1050" s="26"/>
      <c r="DB1050" s="24"/>
      <c r="DD1050" s="21"/>
      <c r="DE1050" s="22"/>
      <c r="DG1050" s="21"/>
      <c r="DK1050" s="26"/>
      <c r="DL1050" s="26"/>
      <c r="DM1050" s="26"/>
      <c r="DN1050" s="21"/>
      <c r="DO1050" s="21"/>
      <c r="EF1050" s="25"/>
      <c r="EG1050" s="25"/>
      <c r="EY1050" s="20"/>
    </row>
    <row r="1051" spans="1:155">
      <c r="A1051" s="21"/>
      <c r="B1051" s="21"/>
      <c r="AA1051" s="26"/>
      <c r="AB1051" s="26"/>
      <c r="AC1051" s="21"/>
      <c r="AD1051" s="21"/>
      <c r="AY1051" s="26"/>
      <c r="AZ1051" s="26"/>
      <c r="BB1051" s="26"/>
      <c r="BD1051" s="21"/>
      <c r="CN1051" s="26"/>
      <c r="DB1051" s="24"/>
      <c r="DD1051" s="21"/>
      <c r="DE1051" s="22"/>
      <c r="DG1051" s="21"/>
      <c r="DK1051" s="26"/>
      <c r="DL1051" s="26"/>
      <c r="DM1051" s="26"/>
      <c r="DN1051" s="21"/>
      <c r="DO1051" s="21"/>
      <c r="EF1051" s="25"/>
      <c r="EG1051" s="25"/>
      <c r="EY1051" s="20"/>
    </row>
    <row r="1052" spans="1:155">
      <c r="A1052" s="21"/>
      <c r="B1052" s="21"/>
      <c r="AA1052" s="26"/>
      <c r="AB1052" s="26"/>
      <c r="AC1052" s="21"/>
      <c r="AD1052" s="21"/>
      <c r="AY1052" s="26"/>
      <c r="AZ1052" s="26"/>
      <c r="BB1052" s="26"/>
      <c r="BD1052" s="21"/>
      <c r="CN1052" s="26"/>
      <c r="DB1052" s="24"/>
      <c r="DD1052" s="21"/>
      <c r="DE1052" s="22"/>
      <c r="DG1052" s="21"/>
      <c r="DK1052" s="26"/>
      <c r="DL1052" s="26"/>
      <c r="DM1052" s="26"/>
      <c r="DN1052" s="21"/>
      <c r="DO1052" s="21"/>
      <c r="EF1052" s="25"/>
      <c r="EG1052" s="25"/>
      <c r="EY1052" s="20"/>
    </row>
    <row r="1053" spans="1:155">
      <c r="A1053" s="21"/>
      <c r="B1053" s="21"/>
      <c r="AA1053" s="26"/>
      <c r="AB1053" s="26"/>
      <c r="AC1053" s="21"/>
      <c r="AD1053" s="21"/>
      <c r="AY1053" s="26"/>
      <c r="AZ1053" s="26"/>
      <c r="BB1053" s="26"/>
      <c r="BD1053" s="21"/>
      <c r="CN1053" s="26"/>
      <c r="DB1053" s="24"/>
      <c r="DD1053" s="21"/>
      <c r="DE1053" s="22"/>
      <c r="DG1053" s="21"/>
      <c r="DK1053" s="26"/>
      <c r="DL1053" s="26"/>
      <c r="DM1053" s="26"/>
      <c r="DN1053" s="21"/>
      <c r="DO1053" s="21"/>
      <c r="EF1053" s="25"/>
      <c r="EG1053" s="25"/>
      <c r="EY1053" s="20"/>
    </row>
    <row r="1054" spans="1:155">
      <c r="A1054" s="21"/>
      <c r="B1054" s="21"/>
      <c r="AA1054" s="26"/>
      <c r="AB1054" s="26"/>
      <c r="AC1054" s="21"/>
      <c r="AD1054" s="21"/>
      <c r="AY1054" s="26"/>
      <c r="AZ1054" s="26"/>
      <c r="BB1054" s="26"/>
      <c r="BD1054" s="21"/>
      <c r="CN1054" s="26"/>
      <c r="DB1054" s="24"/>
      <c r="DD1054" s="21"/>
      <c r="DE1054" s="22"/>
      <c r="DG1054" s="21"/>
      <c r="DK1054" s="26"/>
      <c r="DL1054" s="26"/>
      <c r="DM1054" s="26"/>
      <c r="DN1054" s="21"/>
      <c r="DO1054" s="21"/>
      <c r="EF1054" s="25"/>
      <c r="EG1054" s="25"/>
      <c r="EY1054" s="20"/>
    </row>
    <row r="1055" spans="1:155">
      <c r="A1055" s="21"/>
      <c r="B1055" s="21"/>
      <c r="AA1055" s="26"/>
      <c r="AB1055" s="26"/>
      <c r="AC1055" s="21"/>
      <c r="AD1055" s="21"/>
      <c r="AY1055" s="26"/>
      <c r="AZ1055" s="26"/>
      <c r="BB1055" s="26"/>
      <c r="BD1055" s="21"/>
      <c r="CN1055" s="26"/>
      <c r="DB1055" s="24"/>
      <c r="DD1055" s="21"/>
      <c r="DE1055" s="22"/>
      <c r="DG1055" s="21"/>
      <c r="DK1055" s="26"/>
      <c r="DL1055" s="26"/>
      <c r="DM1055" s="26"/>
      <c r="DN1055" s="21"/>
      <c r="DO1055" s="21"/>
      <c r="EF1055" s="25"/>
      <c r="EG1055" s="25"/>
      <c r="EY1055" s="20"/>
    </row>
    <row r="1056" spans="1:155">
      <c r="A1056" s="21"/>
      <c r="B1056" s="21"/>
      <c r="AA1056" s="26"/>
      <c r="AB1056" s="26"/>
      <c r="AC1056" s="21"/>
      <c r="AD1056" s="21"/>
      <c r="AY1056" s="26"/>
      <c r="AZ1056" s="26"/>
      <c r="BB1056" s="26"/>
      <c r="BD1056" s="21"/>
      <c r="CN1056" s="26"/>
      <c r="DB1056" s="24"/>
      <c r="DD1056" s="21"/>
      <c r="DE1056" s="22"/>
      <c r="DG1056" s="21"/>
      <c r="DK1056" s="26"/>
      <c r="DL1056" s="26"/>
      <c r="DM1056" s="26"/>
      <c r="DN1056" s="21"/>
      <c r="DO1056" s="21"/>
      <c r="EF1056" s="25"/>
      <c r="EG1056" s="25"/>
      <c r="EY1056" s="20"/>
    </row>
    <row r="1057" spans="1:155">
      <c r="A1057" s="21"/>
      <c r="B1057" s="21"/>
      <c r="AA1057" s="26"/>
      <c r="AB1057" s="26"/>
      <c r="AC1057" s="21"/>
      <c r="AD1057" s="21"/>
      <c r="AY1057" s="26"/>
      <c r="AZ1057" s="26"/>
      <c r="BB1057" s="26"/>
      <c r="BD1057" s="21"/>
      <c r="CN1057" s="26"/>
      <c r="DB1057" s="24"/>
      <c r="DD1057" s="21"/>
      <c r="DE1057" s="22"/>
      <c r="DG1057" s="21"/>
      <c r="DK1057" s="26"/>
      <c r="DL1057" s="26"/>
      <c r="DM1057" s="26"/>
      <c r="DN1057" s="21"/>
      <c r="DO1057" s="21"/>
      <c r="EF1057" s="25"/>
      <c r="EG1057" s="25"/>
      <c r="EY1057" s="20"/>
    </row>
    <row r="1058" spans="1:155">
      <c r="A1058" s="21"/>
      <c r="B1058" s="21"/>
      <c r="AA1058" s="26"/>
      <c r="AB1058" s="26"/>
      <c r="AC1058" s="21"/>
      <c r="AD1058" s="21"/>
      <c r="AY1058" s="26"/>
      <c r="AZ1058" s="26"/>
      <c r="BB1058" s="26"/>
      <c r="BD1058" s="21"/>
      <c r="CN1058" s="26"/>
      <c r="DB1058" s="24"/>
      <c r="DD1058" s="21"/>
      <c r="DE1058" s="22"/>
      <c r="DG1058" s="21"/>
      <c r="DK1058" s="26"/>
      <c r="DL1058" s="26"/>
      <c r="DM1058" s="26"/>
      <c r="DN1058" s="21"/>
      <c r="DO1058" s="21"/>
      <c r="EF1058" s="25"/>
      <c r="EG1058" s="25"/>
      <c r="EY1058" s="20"/>
    </row>
    <row r="1059" spans="1:155">
      <c r="A1059" s="21"/>
      <c r="B1059" s="21"/>
      <c r="AA1059" s="26"/>
      <c r="AB1059" s="26"/>
      <c r="AC1059" s="21"/>
      <c r="AD1059" s="21"/>
      <c r="AY1059" s="26"/>
      <c r="AZ1059" s="26"/>
      <c r="BB1059" s="26"/>
      <c r="BD1059" s="21"/>
      <c r="CN1059" s="26"/>
      <c r="DB1059" s="24"/>
      <c r="DD1059" s="21"/>
      <c r="DE1059" s="22"/>
      <c r="DG1059" s="21"/>
      <c r="DK1059" s="26"/>
      <c r="DL1059" s="26"/>
      <c r="DM1059" s="26"/>
      <c r="DN1059" s="21"/>
      <c r="DO1059" s="21"/>
      <c r="EF1059" s="25"/>
      <c r="EG1059" s="25"/>
      <c r="EY1059" s="20"/>
    </row>
    <row r="1060" spans="1:155">
      <c r="A1060" s="21"/>
      <c r="B1060" s="21"/>
      <c r="AA1060" s="26"/>
      <c r="AB1060" s="26"/>
      <c r="AC1060" s="21"/>
      <c r="AD1060" s="21"/>
      <c r="AY1060" s="26"/>
      <c r="AZ1060" s="26"/>
      <c r="BB1060" s="26"/>
      <c r="BD1060" s="21"/>
      <c r="CN1060" s="26"/>
      <c r="DB1060" s="24"/>
      <c r="DD1060" s="21"/>
      <c r="DE1060" s="22"/>
      <c r="DG1060" s="21"/>
      <c r="DK1060" s="26"/>
      <c r="DL1060" s="26"/>
      <c r="DM1060" s="26"/>
      <c r="DN1060" s="21"/>
      <c r="DO1060" s="21"/>
      <c r="EF1060" s="25"/>
      <c r="EG1060" s="25"/>
      <c r="EY1060" s="20"/>
    </row>
    <row r="1061" spans="1:155">
      <c r="A1061" s="21"/>
      <c r="B1061" s="21"/>
      <c r="AA1061" s="26"/>
      <c r="AB1061" s="26"/>
      <c r="AC1061" s="21"/>
      <c r="AD1061" s="21"/>
      <c r="AY1061" s="26"/>
      <c r="AZ1061" s="26"/>
      <c r="BB1061" s="26"/>
      <c r="BD1061" s="21"/>
      <c r="CN1061" s="26"/>
      <c r="DB1061" s="24"/>
      <c r="DD1061" s="21"/>
      <c r="DE1061" s="22"/>
      <c r="DG1061" s="21"/>
      <c r="DK1061" s="26"/>
      <c r="DL1061" s="26"/>
      <c r="DM1061" s="26"/>
      <c r="DN1061" s="21"/>
      <c r="DO1061" s="21"/>
      <c r="EF1061" s="25"/>
      <c r="EG1061" s="25"/>
      <c r="EY1061" s="20"/>
    </row>
    <row r="1062" spans="1:155">
      <c r="A1062" s="21"/>
      <c r="B1062" s="21"/>
      <c r="AA1062" s="26"/>
      <c r="AB1062" s="26"/>
      <c r="AC1062" s="21"/>
      <c r="AD1062" s="21"/>
      <c r="AY1062" s="26"/>
      <c r="AZ1062" s="26"/>
      <c r="BB1062" s="26"/>
      <c r="BD1062" s="21"/>
      <c r="CN1062" s="26"/>
      <c r="DB1062" s="24"/>
      <c r="DD1062" s="21"/>
      <c r="DE1062" s="22"/>
      <c r="DG1062" s="21"/>
      <c r="DK1062" s="26"/>
      <c r="DL1062" s="26"/>
      <c r="DM1062" s="26"/>
      <c r="DN1062" s="21"/>
      <c r="DO1062" s="21"/>
      <c r="EF1062" s="25"/>
      <c r="EG1062" s="25"/>
      <c r="EY1062" s="20"/>
    </row>
    <row r="1063" spans="1:155">
      <c r="A1063" s="21"/>
      <c r="B1063" s="21"/>
      <c r="AA1063" s="26"/>
      <c r="AB1063" s="26"/>
      <c r="AC1063" s="21"/>
      <c r="AD1063" s="21"/>
      <c r="AY1063" s="26"/>
      <c r="AZ1063" s="26"/>
      <c r="BB1063" s="26"/>
      <c r="BD1063" s="21"/>
      <c r="CN1063" s="26"/>
      <c r="DB1063" s="24"/>
      <c r="DD1063" s="21"/>
      <c r="DE1063" s="22"/>
      <c r="DG1063" s="21"/>
      <c r="DK1063" s="26"/>
      <c r="DL1063" s="26"/>
      <c r="DM1063" s="26"/>
      <c r="DN1063" s="21"/>
      <c r="DO1063" s="21"/>
      <c r="EF1063" s="25"/>
      <c r="EG1063" s="25"/>
      <c r="EY1063" s="20"/>
    </row>
    <row r="1064" spans="1:155">
      <c r="A1064" s="21"/>
      <c r="B1064" s="21"/>
      <c r="AA1064" s="26"/>
      <c r="AB1064" s="26"/>
      <c r="AC1064" s="21"/>
      <c r="AD1064" s="21"/>
      <c r="AY1064" s="26"/>
      <c r="AZ1064" s="26"/>
      <c r="BB1064" s="26"/>
      <c r="BD1064" s="21"/>
      <c r="CN1064" s="26"/>
      <c r="DB1064" s="24"/>
      <c r="DD1064" s="21"/>
      <c r="DE1064" s="22"/>
      <c r="DG1064" s="21"/>
      <c r="DK1064" s="26"/>
      <c r="DL1064" s="26"/>
      <c r="DM1064" s="26"/>
      <c r="DN1064" s="21"/>
      <c r="DO1064" s="21"/>
      <c r="EF1064" s="25"/>
      <c r="EG1064" s="25"/>
      <c r="EY1064" s="20"/>
    </row>
    <row r="1065" spans="1:155">
      <c r="A1065" s="21"/>
      <c r="B1065" s="21"/>
      <c r="AA1065" s="26"/>
      <c r="AB1065" s="26"/>
      <c r="AC1065" s="21"/>
      <c r="AD1065" s="21"/>
      <c r="AY1065" s="26"/>
      <c r="AZ1065" s="26"/>
      <c r="BB1065" s="26"/>
      <c r="BD1065" s="21"/>
      <c r="CN1065" s="26"/>
      <c r="DB1065" s="24"/>
      <c r="DD1065" s="21"/>
      <c r="DE1065" s="22"/>
      <c r="DG1065" s="21"/>
      <c r="DK1065" s="26"/>
      <c r="DL1065" s="26"/>
      <c r="DM1065" s="26"/>
      <c r="DN1065" s="21"/>
      <c r="DO1065" s="21"/>
      <c r="EF1065" s="25"/>
      <c r="EG1065" s="25"/>
      <c r="EY1065" s="20"/>
    </row>
    <row r="1066" spans="1:155">
      <c r="A1066" s="21"/>
      <c r="B1066" s="21"/>
      <c r="AA1066" s="26"/>
      <c r="AB1066" s="26"/>
      <c r="AC1066" s="21"/>
      <c r="AD1066" s="21"/>
      <c r="AY1066" s="26"/>
      <c r="AZ1066" s="26"/>
      <c r="BB1066" s="26"/>
      <c r="BD1066" s="21"/>
      <c r="CN1066" s="26"/>
      <c r="DB1066" s="24"/>
      <c r="DD1066" s="21"/>
      <c r="DE1066" s="22"/>
      <c r="DG1066" s="21"/>
      <c r="DK1066" s="26"/>
      <c r="DL1066" s="26"/>
      <c r="DM1066" s="26"/>
      <c r="DN1066" s="21"/>
      <c r="DO1066" s="21"/>
      <c r="EF1066" s="25"/>
      <c r="EG1066" s="25"/>
      <c r="EY1066" s="20"/>
    </row>
    <row r="1067" spans="1:155">
      <c r="A1067" s="21"/>
      <c r="B1067" s="21"/>
      <c r="AA1067" s="26"/>
      <c r="AB1067" s="26"/>
      <c r="AC1067" s="21"/>
      <c r="AD1067" s="21"/>
      <c r="AY1067" s="26"/>
      <c r="AZ1067" s="26"/>
      <c r="BB1067" s="26"/>
      <c r="BD1067" s="21"/>
      <c r="CN1067" s="26"/>
      <c r="DB1067" s="24"/>
      <c r="DD1067" s="21"/>
      <c r="DE1067" s="22"/>
      <c r="DG1067" s="21"/>
      <c r="DK1067" s="26"/>
      <c r="DL1067" s="26"/>
      <c r="DM1067" s="26"/>
      <c r="DN1067" s="21"/>
      <c r="DO1067" s="21"/>
      <c r="EF1067" s="25"/>
      <c r="EG1067" s="25"/>
      <c r="EY1067" s="20"/>
    </row>
    <row r="1068" spans="1:155">
      <c r="A1068" s="21"/>
      <c r="B1068" s="21"/>
      <c r="AA1068" s="26"/>
      <c r="AB1068" s="26"/>
      <c r="AC1068" s="21"/>
      <c r="AD1068" s="21"/>
      <c r="AY1068" s="26"/>
      <c r="AZ1068" s="26"/>
      <c r="BB1068" s="26"/>
      <c r="BD1068" s="21"/>
      <c r="CN1068" s="26"/>
      <c r="DB1068" s="24"/>
      <c r="DD1068" s="21"/>
      <c r="DE1068" s="22"/>
      <c r="DG1068" s="21"/>
      <c r="DK1068" s="26"/>
      <c r="DL1068" s="26"/>
      <c r="DM1068" s="26"/>
      <c r="DN1068" s="21"/>
      <c r="DO1068" s="21"/>
      <c r="EF1068" s="25"/>
      <c r="EG1068" s="25"/>
      <c r="EY1068" s="20"/>
    </row>
    <row r="1069" spans="1:155">
      <c r="A1069" s="21"/>
      <c r="B1069" s="21"/>
      <c r="AA1069" s="26"/>
      <c r="AB1069" s="26"/>
      <c r="AC1069" s="21"/>
      <c r="AD1069" s="21"/>
      <c r="AY1069" s="26"/>
      <c r="AZ1069" s="26"/>
      <c r="BB1069" s="26"/>
      <c r="BD1069" s="21"/>
      <c r="CN1069" s="26"/>
      <c r="DB1069" s="24"/>
      <c r="DD1069" s="21"/>
      <c r="DE1069" s="22"/>
      <c r="DG1069" s="21"/>
      <c r="DK1069" s="26"/>
      <c r="DL1069" s="26"/>
      <c r="DM1069" s="26"/>
      <c r="DN1069" s="21"/>
      <c r="DO1069" s="21"/>
      <c r="EF1069" s="25"/>
      <c r="EG1069" s="25"/>
      <c r="EY1069" s="20"/>
    </row>
    <row r="1070" spans="1:155">
      <c r="A1070" s="21"/>
      <c r="B1070" s="21"/>
      <c r="AA1070" s="26"/>
      <c r="AB1070" s="26"/>
      <c r="AC1070" s="21"/>
      <c r="AD1070" s="21"/>
      <c r="AY1070" s="26"/>
      <c r="AZ1070" s="26"/>
      <c r="BB1070" s="26"/>
      <c r="BD1070" s="21"/>
      <c r="CN1070" s="26"/>
      <c r="DB1070" s="24"/>
      <c r="DD1070" s="21"/>
      <c r="DE1070" s="22"/>
      <c r="DG1070" s="21"/>
      <c r="DK1070" s="26"/>
      <c r="DL1070" s="26"/>
      <c r="DM1070" s="26"/>
      <c r="DN1070" s="21"/>
      <c r="DO1070" s="21"/>
      <c r="EF1070" s="25"/>
      <c r="EG1070" s="25"/>
      <c r="EY1070" s="20"/>
    </row>
    <row r="1071" spans="1:155">
      <c r="A1071" s="21"/>
      <c r="B1071" s="21"/>
      <c r="AA1071" s="26"/>
      <c r="AB1071" s="26"/>
      <c r="AC1071" s="21"/>
      <c r="AD1071" s="21"/>
      <c r="AY1071" s="26"/>
      <c r="AZ1071" s="26"/>
      <c r="BB1071" s="26"/>
      <c r="BD1071" s="21"/>
      <c r="CN1071" s="26"/>
      <c r="DB1071" s="24"/>
      <c r="DD1071" s="21"/>
      <c r="DE1071" s="22"/>
      <c r="DG1071" s="21"/>
      <c r="DK1071" s="26"/>
      <c r="DL1071" s="26"/>
      <c r="DM1071" s="26"/>
      <c r="DN1071" s="21"/>
      <c r="DO1071" s="21"/>
      <c r="EF1071" s="25"/>
      <c r="EG1071" s="25"/>
      <c r="EY1071" s="20"/>
    </row>
    <row r="1072" spans="1:155">
      <c r="A1072" s="21"/>
      <c r="B1072" s="21"/>
      <c r="AA1072" s="26"/>
      <c r="AB1072" s="26"/>
      <c r="AC1072" s="21"/>
      <c r="AD1072" s="21"/>
      <c r="AY1072" s="26"/>
      <c r="AZ1072" s="26"/>
      <c r="BB1072" s="26"/>
      <c r="BD1072" s="21"/>
      <c r="CN1072" s="26"/>
      <c r="DB1072" s="24"/>
      <c r="DD1072" s="21"/>
      <c r="DE1072" s="22"/>
      <c r="DG1072" s="21"/>
      <c r="DK1072" s="26"/>
      <c r="DL1072" s="26"/>
      <c r="DM1072" s="26"/>
      <c r="DN1072" s="21"/>
      <c r="DO1072" s="21"/>
      <c r="EF1072" s="25"/>
      <c r="EG1072" s="25"/>
      <c r="EY1072" s="20"/>
    </row>
    <row r="1073" spans="1:155">
      <c r="A1073" s="21"/>
      <c r="B1073" s="21"/>
      <c r="AA1073" s="26"/>
      <c r="AB1073" s="26"/>
      <c r="AC1073" s="21"/>
      <c r="AD1073" s="21"/>
      <c r="AY1073" s="26"/>
      <c r="AZ1073" s="26"/>
      <c r="BB1073" s="26"/>
      <c r="BD1073" s="21"/>
      <c r="CN1073" s="26"/>
      <c r="DB1073" s="24"/>
      <c r="DD1073" s="21"/>
      <c r="DE1073" s="22"/>
      <c r="DG1073" s="21"/>
      <c r="DK1073" s="26"/>
      <c r="DL1073" s="26"/>
      <c r="DM1073" s="26"/>
      <c r="DN1073" s="21"/>
      <c r="DO1073" s="21"/>
      <c r="EF1073" s="25"/>
      <c r="EG1073" s="25"/>
      <c r="EY1073" s="20"/>
    </row>
    <row r="1074" spans="1:155">
      <c r="A1074" s="21"/>
      <c r="B1074" s="21"/>
      <c r="AA1074" s="26"/>
      <c r="AB1074" s="26"/>
      <c r="AC1074" s="21"/>
      <c r="AD1074" s="21"/>
      <c r="AY1074" s="26"/>
      <c r="AZ1074" s="26"/>
      <c r="BB1074" s="26"/>
      <c r="BD1074" s="21"/>
      <c r="CN1074" s="26"/>
      <c r="DB1074" s="24"/>
      <c r="DD1074" s="21"/>
      <c r="DE1074" s="22"/>
      <c r="DG1074" s="21"/>
      <c r="DK1074" s="26"/>
      <c r="DL1074" s="26"/>
      <c r="DM1074" s="26"/>
      <c r="DN1074" s="21"/>
      <c r="DO1074" s="21"/>
      <c r="EF1074" s="25"/>
      <c r="EG1074" s="25"/>
      <c r="EY1074" s="20"/>
    </row>
    <row r="1075" spans="1:155">
      <c r="A1075" s="21"/>
      <c r="B1075" s="21"/>
      <c r="AA1075" s="26"/>
      <c r="AB1075" s="26"/>
      <c r="AC1075" s="21"/>
      <c r="AD1075" s="21"/>
      <c r="AY1075" s="26"/>
      <c r="AZ1075" s="26"/>
      <c r="BB1075" s="26"/>
      <c r="BD1075" s="21"/>
      <c r="CN1075" s="26"/>
      <c r="DB1075" s="24"/>
      <c r="DD1075" s="21"/>
      <c r="DE1075" s="22"/>
      <c r="DG1075" s="21"/>
      <c r="DK1075" s="26"/>
      <c r="DL1075" s="26"/>
      <c r="DM1075" s="26"/>
      <c r="DN1075" s="21"/>
      <c r="DO1075" s="21"/>
      <c r="EF1075" s="25"/>
      <c r="EG1075" s="25"/>
      <c r="EY1075" s="20"/>
    </row>
    <row r="1076" spans="1:155">
      <c r="A1076" s="21"/>
      <c r="B1076" s="21"/>
      <c r="AA1076" s="26"/>
      <c r="AB1076" s="26"/>
      <c r="AC1076" s="21"/>
      <c r="AD1076" s="21"/>
      <c r="AY1076" s="26"/>
      <c r="AZ1076" s="26"/>
      <c r="BB1076" s="26"/>
      <c r="BD1076" s="21"/>
      <c r="CN1076" s="26"/>
      <c r="DB1076" s="24"/>
      <c r="DD1076" s="21"/>
      <c r="DE1076" s="22"/>
      <c r="DG1076" s="21"/>
      <c r="DK1076" s="26"/>
      <c r="DL1076" s="26"/>
      <c r="DM1076" s="26"/>
      <c r="DN1076" s="21"/>
      <c r="DO1076" s="21"/>
      <c r="EF1076" s="25"/>
      <c r="EG1076" s="25"/>
      <c r="EY1076" s="20"/>
    </row>
    <row r="1077" spans="1:155">
      <c r="A1077" s="21"/>
      <c r="B1077" s="21"/>
      <c r="AA1077" s="26"/>
      <c r="AB1077" s="26"/>
      <c r="AC1077" s="21"/>
      <c r="AD1077" s="21"/>
      <c r="AY1077" s="26"/>
      <c r="AZ1077" s="26"/>
      <c r="BB1077" s="26"/>
      <c r="BD1077" s="21"/>
      <c r="CN1077" s="26"/>
      <c r="DB1077" s="24"/>
      <c r="DD1077" s="21"/>
      <c r="DE1077" s="22"/>
      <c r="DG1077" s="21"/>
      <c r="DK1077" s="26"/>
      <c r="DL1077" s="26"/>
      <c r="DM1077" s="26"/>
      <c r="DN1077" s="21"/>
      <c r="DO1077" s="21"/>
      <c r="EF1077" s="25"/>
      <c r="EG1077" s="25"/>
      <c r="EY1077" s="20"/>
    </row>
    <row r="1078" spans="1:155">
      <c r="A1078" s="21"/>
      <c r="B1078" s="21"/>
      <c r="AA1078" s="26"/>
      <c r="AB1078" s="26"/>
      <c r="AC1078" s="21"/>
      <c r="AD1078" s="21"/>
      <c r="AY1078" s="26"/>
      <c r="AZ1078" s="26"/>
      <c r="BB1078" s="26"/>
      <c r="BD1078" s="21"/>
      <c r="CN1078" s="26"/>
      <c r="DB1078" s="24"/>
      <c r="DD1078" s="21"/>
      <c r="DE1078" s="22"/>
      <c r="DG1078" s="21"/>
      <c r="DK1078" s="26"/>
      <c r="DL1078" s="26"/>
      <c r="DM1078" s="26"/>
      <c r="DN1078" s="21"/>
      <c r="DO1078" s="21"/>
      <c r="EF1078" s="25"/>
      <c r="EG1078" s="25"/>
      <c r="EY1078" s="20"/>
    </row>
    <row r="1079" spans="1:155">
      <c r="A1079" s="21"/>
      <c r="B1079" s="21"/>
      <c r="AA1079" s="26"/>
      <c r="AB1079" s="26"/>
      <c r="AC1079" s="21"/>
      <c r="AD1079" s="21"/>
      <c r="AY1079" s="26"/>
      <c r="AZ1079" s="26"/>
      <c r="BB1079" s="26"/>
      <c r="BD1079" s="21"/>
      <c r="CN1079" s="26"/>
      <c r="DB1079" s="24"/>
      <c r="DD1079" s="21"/>
      <c r="DE1079" s="22"/>
      <c r="DG1079" s="21"/>
      <c r="DK1079" s="26"/>
      <c r="DL1079" s="26"/>
      <c r="DM1079" s="26"/>
      <c r="DN1079" s="21"/>
      <c r="DO1079" s="21"/>
      <c r="EF1079" s="25"/>
      <c r="EG1079" s="25"/>
      <c r="EY1079" s="20"/>
    </row>
    <row r="1080" spans="1:155">
      <c r="A1080" s="21"/>
      <c r="B1080" s="21"/>
      <c r="AA1080" s="26"/>
      <c r="AB1080" s="26"/>
      <c r="AC1080" s="21"/>
      <c r="AD1080" s="21"/>
      <c r="AY1080" s="26"/>
      <c r="AZ1080" s="26"/>
      <c r="BB1080" s="26"/>
      <c r="BD1080" s="21"/>
      <c r="CN1080" s="26"/>
      <c r="DB1080" s="24"/>
      <c r="DD1080" s="21"/>
      <c r="DE1080" s="22"/>
      <c r="DG1080" s="21"/>
      <c r="DK1080" s="26"/>
      <c r="DL1080" s="26"/>
      <c r="DM1080" s="26"/>
      <c r="DN1080" s="21"/>
      <c r="DO1080" s="21"/>
      <c r="EF1080" s="25"/>
      <c r="EG1080" s="25"/>
      <c r="EY1080" s="20"/>
    </row>
    <row r="1081" spans="1:155">
      <c r="A1081" s="21"/>
      <c r="B1081" s="21"/>
      <c r="AA1081" s="26"/>
      <c r="AB1081" s="26"/>
      <c r="AC1081" s="21"/>
      <c r="AD1081" s="21"/>
      <c r="AY1081" s="26"/>
      <c r="AZ1081" s="26"/>
      <c r="BB1081" s="26"/>
      <c r="BD1081" s="21"/>
      <c r="CN1081" s="26"/>
      <c r="DB1081" s="24"/>
      <c r="DD1081" s="21"/>
      <c r="DE1081" s="22"/>
      <c r="DG1081" s="21"/>
      <c r="DK1081" s="26"/>
      <c r="DL1081" s="26"/>
      <c r="DM1081" s="26"/>
      <c r="DN1081" s="21"/>
      <c r="DO1081" s="21"/>
      <c r="EF1081" s="25"/>
      <c r="EG1081" s="25"/>
      <c r="EY1081" s="20"/>
    </row>
    <row r="1082" spans="1:155">
      <c r="A1082" s="21"/>
      <c r="B1082" s="21"/>
      <c r="AA1082" s="26"/>
      <c r="AB1082" s="26"/>
      <c r="AC1082" s="21"/>
      <c r="AD1082" s="21"/>
      <c r="AY1082" s="26"/>
      <c r="AZ1082" s="26"/>
      <c r="BB1082" s="26"/>
      <c r="BD1082" s="21"/>
      <c r="CN1082" s="26"/>
      <c r="DB1082" s="24"/>
      <c r="DD1082" s="21"/>
      <c r="DE1082" s="22"/>
      <c r="DG1082" s="21"/>
      <c r="DK1082" s="26"/>
      <c r="DL1082" s="26"/>
      <c r="DM1082" s="26"/>
      <c r="DN1082" s="21"/>
      <c r="DO1082" s="21"/>
      <c r="EF1082" s="25"/>
      <c r="EG1082" s="25"/>
      <c r="EY1082" s="20"/>
    </row>
    <row r="1083" spans="1:155">
      <c r="A1083" s="21"/>
      <c r="B1083" s="21"/>
      <c r="AA1083" s="26"/>
      <c r="AB1083" s="26"/>
      <c r="AC1083" s="21"/>
      <c r="AD1083" s="21"/>
      <c r="AY1083" s="26"/>
      <c r="AZ1083" s="26"/>
      <c r="BB1083" s="26"/>
      <c r="BD1083" s="21"/>
      <c r="CN1083" s="26"/>
      <c r="DB1083" s="24"/>
      <c r="DD1083" s="21"/>
      <c r="DE1083" s="22"/>
      <c r="DG1083" s="21"/>
      <c r="DK1083" s="26"/>
      <c r="DL1083" s="26"/>
      <c r="DM1083" s="26"/>
      <c r="DN1083" s="21"/>
      <c r="DO1083" s="21"/>
      <c r="EF1083" s="25"/>
      <c r="EG1083" s="25"/>
      <c r="EY1083" s="20"/>
    </row>
    <row r="1084" spans="1:155">
      <c r="A1084" s="21"/>
      <c r="B1084" s="21"/>
      <c r="AA1084" s="26"/>
      <c r="AB1084" s="26"/>
      <c r="AC1084" s="21"/>
      <c r="AD1084" s="21"/>
      <c r="AY1084" s="26"/>
      <c r="AZ1084" s="26"/>
      <c r="BB1084" s="26"/>
      <c r="BD1084" s="21"/>
      <c r="CN1084" s="26"/>
      <c r="DB1084" s="24"/>
      <c r="DD1084" s="21"/>
      <c r="DE1084" s="22"/>
      <c r="DG1084" s="21"/>
      <c r="DK1084" s="26"/>
      <c r="DL1084" s="26"/>
      <c r="DM1084" s="26"/>
      <c r="DN1084" s="21"/>
      <c r="DO1084" s="21"/>
      <c r="EF1084" s="25"/>
      <c r="EG1084" s="25"/>
      <c r="EY1084" s="20"/>
    </row>
    <row r="1085" spans="1:155">
      <c r="A1085" s="21"/>
      <c r="B1085" s="21"/>
      <c r="AA1085" s="26"/>
      <c r="AB1085" s="26"/>
      <c r="AC1085" s="21"/>
      <c r="AD1085" s="21"/>
      <c r="AY1085" s="26"/>
      <c r="AZ1085" s="26"/>
      <c r="BB1085" s="26"/>
      <c r="BD1085" s="21"/>
      <c r="CN1085" s="26"/>
      <c r="DB1085" s="24"/>
      <c r="DD1085" s="21"/>
      <c r="DE1085" s="22"/>
      <c r="DG1085" s="21"/>
      <c r="DK1085" s="26"/>
      <c r="DL1085" s="26"/>
      <c r="DM1085" s="26"/>
      <c r="DN1085" s="21"/>
      <c r="DO1085" s="21"/>
      <c r="EF1085" s="25"/>
      <c r="EG1085" s="25"/>
      <c r="EY1085" s="20"/>
    </row>
    <row r="1086" spans="1:155">
      <c r="A1086" s="21"/>
      <c r="B1086" s="21"/>
      <c r="AA1086" s="26"/>
      <c r="AB1086" s="26"/>
      <c r="AC1086" s="21"/>
      <c r="AD1086" s="21"/>
      <c r="AY1086" s="26"/>
      <c r="AZ1086" s="26"/>
      <c r="BB1086" s="26"/>
      <c r="BD1086" s="21"/>
      <c r="CN1086" s="26"/>
      <c r="DB1086" s="24"/>
      <c r="DD1086" s="21"/>
      <c r="DE1086" s="22"/>
      <c r="DG1086" s="21"/>
      <c r="DK1086" s="26"/>
      <c r="DL1086" s="26"/>
      <c r="DM1086" s="26"/>
      <c r="DN1086" s="21"/>
      <c r="DO1086" s="21"/>
      <c r="EF1086" s="25"/>
      <c r="EG1086" s="25"/>
      <c r="EY1086" s="20"/>
    </row>
    <row r="1087" spans="1:155">
      <c r="A1087" s="21"/>
      <c r="B1087" s="21"/>
      <c r="AA1087" s="26"/>
      <c r="AB1087" s="26"/>
      <c r="AC1087" s="21"/>
      <c r="AD1087" s="21"/>
      <c r="AY1087" s="26"/>
      <c r="AZ1087" s="26"/>
      <c r="BB1087" s="26"/>
      <c r="BD1087" s="21"/>
      <c r="CN1087" s="26"/>
      <c r="DB1087" s="24"/>
      <c r="DD1087" s="21"/>
      <c r="DE1087" s="22"/>
      <c r="DG1087" s="21"/>
      <c r="DK1087" s="26"/>
      <c r="DL1087" s="26"/>
      <c r="DM1087" s="26"/>
      <c r="DN1087" s="21"/>
      <c r="DO1087" s="21"/>
      <c r="EF1087" s="25"/>
      <c r="EG1087" s="25"/>
      <c r="EY1087" s="20"/>
    </row>
    <row r="1088" spans="1:155">
      <c r="A1088" s="21"/>
      <c r="B1088" s="21"/>
      <c r="AA1088" s="26"/>
      <c r="AB1088" s="26"/>
      <c r="AC1088" s="21"/>
      <c r="AD1088" s="21"/>
      <c r="AY1088" s="26"/>
      <c r="AZ1088" s="26"/>
      <c r="BB1088" s="26"/>
      <c r="BD1088" s="21"/>
      <c r="CN1088" s="26"/>
      <c r="DB1088" s="24"/>
      <c r="DD1088" s="21"/>
      <c r="DE1088" s="22"/>
      <c r="DG1088" s="21"/>
      <c r="DK1088" s="26"/>
      <c r="DL1088" s="26"/>
      <c r="DM1088" s="26"/>
      <c r="DN1088" s="21"/>
      <c r="DO1088" s="21"/>
      <c r="EF1088" s="25"/>
      <c r="EG1088" s="25"/>
      <c r="EY1088" s="20"/>
    </row>
    <row r="1089" spans="1:155">
      <c r="A1089" s="21"/>
      <c r="B1089" s="21"/>
      <c r="AA1089" s="26"/>
      <c r="AB1089" s="26"/>
      <c r="AC1089" s="21"/>
      <c r="AD1089" s="21"/>
      <c r="AY1089" s="26"/>
      <c r="AZ1089" s="26"/>
      <c r="BB1089" s="26"/>
      <c r="BD1089" s="21"/>
      <c r="CN1089" s="26"/>
      <c r="DB1089" s="24"/>
      <c r="DD1089" s="21"/>
      <c r="DE1089" s="22"/>
      <c r="DG1089" s="21"/>
      <c r="DK1089" s="26"/>
      <c r="DL1089" s="26"/>
      <c r="DM1089" s="26"/>
      <c r="DN1089" s="21"/>
      <c r="DO1089" s="21"/>
      <c r="EF1089" s="25"/>
      <c r="EG1089" s="25"/>
      <c r="EY1089" s="20"/>
    </row>
    <row r="1090" spans="1:155">
      <c r="A1090" s="21"/>
      <c r="B1090" s="21"/>
      <c r="AA1090" s="26"/>
      <c r="AB1090" s="26"/>
      <c r="AC1090" s="21"/>
      <c r="AD1090" s="21"/>
      <c r="AY1090" s="26"/>
      <c r="AZ1090" s="26"/>
      <c r="BB1090" s="26"/>
      <c r="BD1090" s="21"/>
      <c r="CN1090" s="26"/>
      <c r="DB1090" s="24"/>
      <c r="DD1090" s="21"/>
      <c r="DE1090" s="22"/>
      <c r="DG1090" s="21"/>
      <c r="DK1090" s="26"/>
      <c r="DL1090" s="26"/>
      <c r="DM1090" s="26"/>
      <c r="DN1090" s="21"/>
      <c r="DO1090" s="21"/>
      <c r="EF1090" s="25"/>
      <c r="EG1090" s="25"/>
      <c r="EY1090" s="20"/>
    </row>
    <row r="1091" spans="1:155">
      <c r="A1091" s="21"/>
      <c r="B1091" s="21"/>
      <c r="AA1091" s="26"/>
      <c r="AB1091" s="26"/>
      <c r="AC1091" s="21"/>
      <c r="AD1091" s="21"/>
      <c r="AY1091" s="26"/>
      <c r="AZ1091" s="26"/>
      <c r="BB1091" s="26"/>
      <c r="BD1091" s="21"/>
      <c r="CN1091" s="26"/>
      <c r="DB1091" s="24"/>
      <c r="DD1091" s="21"/>
      <c r="DE1091" s="22"/>
      <c r="DG1091" s="21"/>
      <c r="DK1091" s="26"/>
      <c r="DL1091" s="26"/>
      <c r="DM1091" s="26"/>
      <c r="DN1091" s="21"/>
      <c r="DO1091" s="21"/>
      <c r="EF1091" s="25"/>
      <c r="EG1091" s="25"/>
      <c r="EY1091" s="20"/>
    </row>
    <row r="1092" spans="1:155">
      <c r="A1092" s="21"/>
      <c r="B1092" s="21"/>
      <c r="AA1092" s="26"/>
      <c r="AB1092" s="26"/>
      <c r="AC1092" s="21"/>
      <c r="AD1092" s="21"/>
      <c r="AY1092" s="26"/>
      <c r="AZ1092" s="26"/>
      <c r="BB1092" s="26"/>
      <c r="BD1092" s="21"/>
      <c r="CN1092" s="26"/>
      <c r="DB1092" s="24"/>
      <c r="DD1092" s="21"/>
      <c r="DE1092" s="22"/>
      <c r="DG1092" s="21"/>
      <c r="DK1092" s="26"/>
      <c r="DL1092" s="26"/>
      <c r="DM1092" s="26"/>
      <c r="DN1092" s="21"/>
      <c r="DO1092" s="21"/>
      <c r="EF1092" s="25"/>
      <c r="EG1092" s="25"/>
      <c r="EY1092" s="20"/>
    </row>
    <row r="1093" spans="1:155">
      <c r="A1093" s="21"/>
      <c r="B1093" s="21"/>
      <c r="AA1093" s="26"/>
      <c r="AB1093" s="26"/>
      <c r="AC1093" s="21"/>
      <c r="AD1093" s="21"/>
      <c r="AY1093" s="26"/>
      <c r="AZ1093" s="26"/>
      <c r="BB1093" s="26"/>
      <c r="BD1093" s="21"/>
      <c r="CN1093" s="26"/>
      <c r="DB1093" s="24"/>
      <c r="DD1093" s="21"/>
      <c r="DE1093" s="22"/>
      <c r="DG1093" s="21"/>
      <c r="DK1093" s="26"/>
      <c r="DL1093" s="26"/>
      <c r="DM1093" s="26"/>
      <c r="DN1093" s="21"/>
      <c r="DO1093" s="21"/>
      <c r="EF1093" s="25"/>
      <c r="EG1093" s="25"/>
      <c r="EY1093" s="20"/>
    </row>
    <row r="1094" spans="1:155">
      <c r="A1094" s="21"/>
      <c r="B1094" s="21"/>
      <c r="AA1094" s="26"/>
      <c r="AB1094" s="26"/>
      <c r="AC1094" s="21"/>
      <c r="AD1094" s="21"/>
      <c r="AY1094" s="26"/>
      <c r="AZ1094" s="26"/>
      <c r="BB1094" s="26"/>
      <c r="BD1094" s="21"/>
      <c r="CN1094" s="26"/>
      <c r="DB1094" s="24"/>
      <c r="DD1094" s="21"/>
      <c r="DE1094" s="22"/>
      <c r="DG1094" s="21"/>
      <c r="DK1094" s="26"/>
      <c r="DL1094" s="26"/>
      <c r="DM1094" s="26"/>
      <c r="DN1094" s="21"/>
      <c r="DO1094" s="21"/>
      <c r="EF1094" s="25"/>
      <c r="EG1094" s="25"/>
      <c r="EY1094" s="20"/>
    </row>
    <row r="1095" spans="1:155">
      <c r="A1095" s="21"/>
      <c r="B1095" s="21"/>
      <c r="AA1095" s="26"/>
      <c r="AB1095" s="26"/>
      <c r="AC1095" s="21"/>
      <c r="AD1095" s="21"/>
      <c r="AY1095" s="26"/>
      <c r="AZ1095" s="26"/>
      <c r="BB1095" s="26"/>
      <c r="BD1095" s="21"/>
      <c r="CN1095" s="26"/>
      <c r="DB1095" s="24"/>
      <c r="DD1095" s="21"/>
      <c r="DE1095" s="22"/>
      <c r="DG1095" s="21"/>
      <c r="DK1095" s="26"/>
      <c r="DL1095" s="26"/>
      <c r="DM1095" s="26"/>
      <c r="DN1095" s="21"/>
      <c r="DO1095" s="21"/>
      <c r="EF1095" s="25"/>
      <c r="EG1095" s="25"/>
      <c r="EY1095" s="20"/>
    </row>
    <row r="1096" spans="1:155">
      <c r="A1096" s="21"/>
      <c r="B1096" s="21"/>
      <c r="AA1096" s="26"/>
      <c r="AB1096" s="26"/>
      <c r="AC1096" s="21"/>
      <c r="AD1096" s="21"/>
      <c r="AY1096" s="26"/>
      <c r="AZ1096" s="26"/>
      <c r="BB1096" s="26"/>
      <c r="BD1096" s="21"/>
      <c r="CN1096" s="26"/>
      <c r="DB1096" s="24"/>
      <c r="DD1096" s="21"/>
      <c r="DE1096" s="22"/>
      <c r="DG1096" s="21"/>
      <c r="DK1096" s="26"/>
      <c r="DL1096" s="26"/>
      <c r="DM1096" s="26"/>
      <c r="DN1096" s="21"/>
      <c r="DO1096" s="21"/>
      <c r="EF1096" s="25"/>
      <c r="EG1096" s="25"/>
      <c r="EY1096" s="20"/>
    </row>
    <row r="1097" spans="1:155">
      <c r="A1097" s="21"/>
      <c r="B1097" s="21"/>
      <c r="AA1097" s="26"/>
      <c r="AB1097" s="26"/>
      <c r="AC1097" s="21"/>
      <c r="AD1097" s="21"/>
      <c r="AY1097" s="26"/>
      <c r="AZ1097" s="26"/>
      <c r="BB1097" s="26"/>
      <c r="BD1097" s="21"/>
      <c r="CN1097" s="26"/>
      <c r="DB1097" s="24"/>
      <c r="DD1097" s="21"/>
      <c r="DE1097" s="22"/>
      <c r="DG1097" s="21"/>
      <c r="DK1097" s="26"/>
      <c r="DL1097" s="26"/>
      <c r="DM1097" s="26"/>
      <c r="DN1097" s="21"/>
      <c r="DO1097" s="21"/>
      <c r="EF1097" s="25"/>
      <c r="EG1097" s="25"/>
      <c r="EY1097" s="20"/>
    </row>
    <row r="1098" spans="1:155">
      <c r="A1098" s="21"/>
      <c r="B1098" s="21"/>
      <c r="AA1098" s="26"/>
      <c r="AB1098" s="26"/>
      <c r="AC1098" s="21"/>
      <c r="AD1098" s="21"/>
      <c r="AY1098" s="26"/>
      <c r="AZ1098" s="26"/>
      <c r="BB1098" s="26"/>
      <c r="BD1098" s="21"/>
      <c r="CN1098" s="26"/>
      <c r="DB1098" s="24"/>
      <c r="DD1098" s="21"/>
      <c r="DE1098" s="22"/>
      <c r="DG1098" s="21"/>
      <c r="DK1098" s="26"/>
      <c r="DL1098" s="26"/>
      <c r="DM1098" s="26"/>
      <c r="DN1098" s="21"/>
      <c r="DO1098" s="21"/>
      <c r="EF1098" s="25"/>
      <c r="EG1098" s="25"/>
      <c r="EY1098" s="20"/>
    </row>
    <row r="1099" spans="1:155">
      <c r="A1099" s="21"/>
      <c r="B1099" s="21"/>
      <c r="AA1099" s="26"/>
      <c r="AB1099" s="26"/>
      <c r="AC1099" s="21"/>
      <c r="AD1099" s="21"/>
      <c r="AY1099" s="26"/>
      <c r="AZ1099" s="26"/>
      <c r="BB1099" s="26"/>
      <c r="BD1099" s="21"/>
      <c r="CN1099" s="26"/>
      <c r="DB1099" s="24"/>
      <c r="DD1099" s="21"/>
      <c r="DE1099" s="22"/>
      <c r="DG1099" s="21"/>
      <c r="DK1099" s="26"/>
      <c r="DL1099" s="26"/>
      <c r="DM1099" s="26"/>
      <c r="DN1099" s="21"/>
      <c r="DO1099" s="21"/>
      <c r="EF1099" s="25"/>
      <c r="EG1099" s="25"/>
      <c r="EY1099" s="20"/>
    </row>
    <row r="1100" spans="1:155">
      <c r="A1100" s="21"/>
      <c r="B1100" s="21"/>
      <c r="AA1100" s="26"/>
      <c r="AB1100" s="26"/>
      <c r="AC1100" s="21"/>
      <c r="AD1100" s="21"/>
      <c r="AY1100" s="26"/>
      <c r="AZ1100" s="26"/>
      <c r="BB1100" s="26"/>
      <c r="BD1100" s="21"/>
      <c r="CN1100" s="26"/>
      <c r="DB1100" s="24"/>
      <c r="DD1100" s="21"/>
      <c r="DE1100" s="22"/>
      <c r="DG1100" s="21"/>
      <c r="DK1100" s="26"/>
      <c r="DL1100" s="26"/>
      <c r="DM1100" s="26"/>
      <c r="DN1100" s="21"/>
      <c r="DO1100" s="21"/>
      <c r="EF1100" s="25"/>
      <c r="EG1100" s="25"/>
      <c r="EY1100" s="20"/>
    </row>
    <row r="1101" spans="1:155">
      <c r="A1101" s="21"/>
      <c r="B1101" s="21"/>
      <c r="AA1101" s="26"/>
      <c r="AB1101" s="26"/>
      <c r="AC1101" s="21"/>
      <c r="AD1101" s="21"/>
      <c r="AY1101" s="26"/>
      <c r="AZ1101" s="26"/>
      <c r="BB1101" s="26"/>
      <c r="BD1101" s="21"/>
      <c r="CN1101" s="26"/>
      <c r="DB1101" s="24"/>
      <c r="DD1101" s="21"/>
      <c r="DE1101" s="22"/>
      <c r="DG1101" s="21"/>
      <c r="DK1101" s="26"/>
      <c r="DL1101" s="26"/>
      <c r="DM1101" s="26"/>
      <c r="DN1101" s="21"/>
      <c r="DO1101" s="21"/>
      <c r="EF1101" s="25"/>
      <c r="EG1101" s="25"/>
      <c r="EY1101" s="20"/>
    </row>
    <row r="1102" spans="1:155">
      <c r="A1102" s="21"/>
      <c r="B1102" s="21"/>
      <c r="AA1102" s="26"/>
      <c r="AB1102" s="26"/>
      <c r="AC1102" s="21"/>
      <c r="AD1102" s="21"/>
      <c r="AY1102" s="26"/>
      <c r="AZ1102" s="26"/>
      <c r="BB1102" s="26"/>
      <c r="BD1102" s="21"/>
      <c r="CN1102" s="26"/>
      <c r="DB1102" s="24"/>
      <c r="DD1102" s="21"/>
      <c r="DE1102" s="22"/>
      <c r="DG1102" s="21"/>
      <c r="DK1102" s="26"/>
      <c r="DL1102" s="26"/>
      <c r="DM1102" s="26"/>
      <c r="DN1102" s="21"/>
      <c r="DO1102" s="21"/>
      <c r="EF1102" s="25"/>
      <c r="EG1102" s="25"/>
      <c r="EY1102" s="20"/>
    </row>
    <row r="1103" spans="1:155">
      <c r="A1103" s="21"/>
      <c r="B1103" s="21"/>
      <c r="AA1103" s="26"/>
      <c r="AB1103" s="26"/>
      <c r="AC1103" s="21"/>
      <c r="AD1103" s="21"/>
      <c r="AY1103" s="26"/>
      <c r="AZ1103" s="26"/>
      <c r="BB1103" s="26"/>
      <c r="BD1103" s="21"/>
      <c r="CN1103" s="26"/>
      <c r="DB1103" s="24"/>
      <c r="DD1103" s="21"/>
      <c r="DE1103" s="22"/>
      <c r="DG1103" s="21"/>
      <c r="DK1103" s="26"/>
      <c r="DL1103" s="26"/>
      <c r="DM1103" s="26"/>
      <c r="DN1103" s="21"/>
      <c r="DO1103" s="21"/>
      <c r="EF1103" s="25"/>
      <c r="EG1103" s="25"/>
      <c r="EY1103" s="20"/>
    </row>
    <row r="1104" spans="1:155">
      <c r="A1104" s="21"/>
      <c r="B1104" s="21"/>
      <c r="AA1104" s="26"/>
      <c r="AB1104" s="26"/>
      <c r="AC1104" s="21"/>
      <c r="AD1104" s="21"/>
      <c r="AY1104" s="26"/>
      <c r="AZ1104" s="26"/>
      <c r="BB1104" s="26"/>
      <c r="BD1104" s="21"/>
      <c r="CN1104" s="26"/>
      <c r="DB1104" s="24"/>
      <c r="DD1104" s="21"/>
      <c r="DE1104" s="22"/>
      <c r="DG1104" s="21"/>
      <c r="DK1104" s="26"/>
      <c r="DL1104" s="26"/>
      <c r="DM1104" s="26"/>
      <c r="DN1104" s="21"/>
      <c r="DO1104" s="21"/>
      <c r="EF1104" s="25"/>
      <c r="EG1104" s="25"/>
      <c r="EY1104" s="20"/>
    </row>
    <row r="1105" spans="1:155">
      <c r="A1105" s="21"/>
      <c r="B1105" s="21"/>
      <c r="AA1105" s="26"/>
      <c r="AB1105" s="26"/>
      <c r="AC1105" s="21"/>
      <c r="AD1105" s="21"/>
      <c r="AY1105" s="26"/>
      <c r="AZ1105" s="26"/>
      <c r="BB1105" s="26"/>
      <c r="BD1105" s="21"/>
      <c r="CN1105" s="26"/>
      <c r="DB1105" s="24"/>
      <c r="DD1105" s="21"/>
      <c r="DE1105" s="22"/>
      <c r="DG1105" s="21"/>
      <c r="DK1105" s="26"/>
      <c r="DL1105" s="26"/>
      <c r="DM1105" s="26"/>
      <c r="DN1105" s="21"/>
      <c r="DO1105" s="21"/>
      <c r="EF1105" s="25"/>
      <c r="EG1105" s="25"/>
      <c r="EY1105" s="20"/>
    </row>
    <row r="1106" spans="1:155">
      <c r="A1106" s="21"/>
      <c r="B1106" s="21"/>
      <c r="AA1106" s="26"/>
      <c r="AB1106" s="26"/>
      <c r="AC1106" s="21"/>
      <c r="AD1106" s="21"/>
      <c r="AY1106" s="26"/>
      <c r="AZ1106" s="26"/>
      <c r="BB1106" s="26"/>
      <c r="BD1106" s="21"/>
      <c r="CN1106" s="26"/>
      <c r="DB1106" s="24"/>
      <c r="DD1106" s="21"/>
      <c r="DE1106" s="22"/>
      <c r="DG1106" s="21"/>
      <c r="DK1106" s="26"/>
      <c r="DL1106" s="26"/>
      <c r="DM1106" s="26"/>
      <c r="DN1106" s="21"/>
      <c r="DO1106" s="21"/>
      <c r="EF1106" s="25"/>
      <c r="EG1106" s="25"/>
      <c r="EY1106" s="20"/>
    </row>
    <row r="1107" spans="1:155">
      <c r="A1107" s="21"/>
      <c r="B1107" s="21"/>
      <c r="AA1107" s="26"/>
      <c r="AB1107" s="26"/>
      <c r="AC1107" s="21"/>
      <c r="AD1107" s="21"/>
      <c r="AY1107" s="26"/>
      <c r="AZ1107" s="26"/>
      <c r="BB1107" s="26"/>
      <c r="BD1107" s="21"/>
      <c r="CN1107" s="26"/>
      <c r="DB1107" s="24"/>
      <c r="DD1107" s="21"/>
      <c r="DE1107" s="22"/>
      <c r="DG1107" s="21"/>
      <c r="DK1107" s="26"/>
      <c r="DL1107" s="26"/>
      <c r="DM1107" s="26"/>
      <c r="DN1107" s="21"/>
      <c r="DO1107" s="21"/>
      <c r="EF1107" s="25"/>
      <c r="EG1107" s="25"/>
      <c r="EY1107" s="20"/>
    </row>
    <row r="1108" spans="1:155">
      <c r="A1108" s="21"/>
      <c r="B1108" s="21"/>
      <c r="AA1108" s="26"/>
      <c r="AB1108" s="26"/>
      <c r="AC1108" s="21"/>
      <c r="AD1108" s="21"/>
      <c r="AY1108" s="26"/>
      <c r="AZ1108" s="26"/>
      <c r="BB1108" s="26"/>
      <c r="BD1108" s="21"/>
      <c r="CN1108" s="26"/>
      <c r="DB1108" s="24"/>
      <c r="DD1108" s="21"/>
      <c r="DE1108" s="22"/>
      <c r="DG1108" s="21"/>
      <c r="DK1108" s="26"/>
      <c r="DL1108" s="26"/>
      <c r="DM1108" s="26"/>
      <c r="DN1108" s="21"/>
      <c r="DO1108" s="21"/>
      <c r="EF1108" s="25"/>
      <c r="EG1108" s="25"/>
      <c r="EY1108" s="20"/>
    </row>
    <row r="1109" spans="1:155">
      <c r="A1109" s="21"/>
      <c r="B1109" s="21"/>
      <c r="AA1109" s="26"/>
      <c r="AB1109" s="26"/>
      <c r="AC1109" s="21"/>
      <c r="AD1109" s="21"/>
      <c r="AY1109" s="26"/>
      <c r="AZ1109" s="26"/>
      <c r="BB1109" s="26"/>
      <c r="BD1109" s="21"/>
      <c r="CN1109" s="26"/>
      <c r="DB1109" s="24"/>
      <c r="DD1109" s="21"/>
      <c r="DE1109" s="22"/>
      <c r="DG1109" s="21"/>
      <c r="DK1109" s="26"/>
      <c r="DL1109" s="26"/>
      <c r="DM1109" s="26"/>
      <c r="DN1109" s="21"/>
      <c r="DO1109" s="21"/>
      <c r="EF1109" s="25"/>
      <c r="EG1109" s="25"/>
      <c r="EY1109" s="20"/>
    </row>
    <row r="1110" spans="1:155">
      <c r="A1110" s="21"/>
      <c r="B1110" s="21"/>
      <c r="AA1110" s="26"/>
      <c r="AB1110" s="26"/>
      <c r="AC1110" s="21"/>
      <c r="AD1110" s="21"/>
      <c r="AY1110" s="26"/>
      <c r="AZ1110" s="26"/>
      <c r="BB1110" s="26"/>
      <c r="BD1110" s="21"/>
      <c r="CN1110" s="26"/>
      <c r="DB1110" s="24"/>
      <c r="DD1110" s="21"/>
      <c r="DE1110" s="22"/>
      <c r="DG1110" s="21"/>
      <c r="DK1110" s="26"/>
      <c r="DL1110" s="26"/>
      <c r="DM1110" s="26"/>
      <c r="DN1110" s="21"/>
      <c r="DO1110" s="21"/>
      <c r="EF1110" s="25"/>
      <c r="EG1110" s="25"/>
      <c r="EY1110" s="20"/>
    </row>
    <row r="1111" spans="1:155">
      <c r="A1111" s="21"/>
      <c r="B1111" s="21"/>
      <c r="AA1111" s="26"/>
      <c r="AB1111" s="26"/>
      <c r="AC1111" s="21"/>
      <c r="AD1111" s="21"/>
      <c r="AY1111" s="26"/>
      <c r="AZ1111" s="26"/>
      <c r="BB1111" s="26"/>
      <c r="BD1111" s="21"/>
      <c r="CN1111" s="26"/>
      <c r="DB1111" s="24"/>
      <c r="DD1111" s="21"/>
      <c r="DE1111" s="22"/>
      <c r="DG1111" s="21"/>
      <c r="DK1111" s="26"/>
      <c r="DL1111" s="26"/>
      <c r="DM1111" s="26"/>
      <c r="DN1111" s="21"/>
      <c r="DO1111" s="21"/>
      <c r="EF1111" s="25"/>
      <c r="EG1111" s="25"/>
      <c r="EY1111" s="20"/>
    </row>
    <row r="1112" spans="1:155">
      <c r="A1112" s="21"/>
      <c r="B1112" s="21"/>
      <c r="AA1112" s="26"/>
      <c r="AB1112" s="26"/>
      <c r="AC1112" s="21"/>
      <c r="AD1112" s="21"/>
      <c r="AY1112" s="26"/>
      <c r="AZ1112" s="26"/>
      <c r="BB1112" s="26"/>
      <c r="BD1112" s="21"/>
      <c r="CN1112" s="26"/>
      <c r="DB1112" s="24"/>
      <c r="DD1112" s="21"/>
      <c r="DE1112" s="22"/>
      <c r="DG1112" s="21"/>
      <c r="DK1112" s="26"/>
      <c r="DL1112" s="26"/>
      <c r="DM1112" s="26"/>
      <c r="DN1112" s="21"/>
      <c r="DO1112" s="21"/>
      <c r="EF1112" s="25"/>
      <c r="EG1112" s="25"/>
      <c r="EY1112" s="20"/>
    </row>
    <row r="1113" spans="1:155">
      <c r="A1113" s="21"/>
      <c r="B1113" s="21"/>
      <c r="AA1113" s="26"/>
      <c r="AB1113" s="26"/>
      <c r="AC1113" s="21"/>
      <c r="AD1113" s="21"/>
      <c r="AY1113" s="26"/>
      <c r="AZ1113" s="26"/>
      <c r="BB1113" s="26"/>
      <c r="BD1113" s="21"/>
      <c r="CN1113" s="26"/>
      <c r="DB1113" s="24"/>
      <c r="DD1113" s="21"/>
      <c r="DE1113" s="22"/>
      <c r="DG1113" s="21"/>
      <c r="DK1113" s="26"/>
      <c r="DL1113" s="26"/>
      <c r="DM1113" s="26"/>
      <c r="DN1113" s="21"/>
      <c r="DO1113" s="21"/>
      <c r="EF1113" s="25"/>
      <c r="EG1113" s="25"/>
      <c r="EY1113" s="20"/>
    </row>
    <row r="1114" spans="1:155">
      <c r="A1114" s="21"/>
      <c r="B1114" s="21"/>
      <c r="AA1114" s="26"/>
      <c r="AB1114" s="26"/>
      <c r="AC1114" s="21"/>
      <c r="AD1114" s="21"/>
      <c r="AY1114" s="26"/>
      <c r="AZ1114" s="26"/>
      <c r="BB1114" s="26"/>
      <c r="BD1114" s="21"/>
      <c r="CN1114" s="26"/>
      <c r="DB1114" s="24"/>
      <c r="DD1114" s="21"/>
      <c r="DE1114" s="22"/>
      <c r="DG1114" s="21"/>
      <c r="DK1114" s="26"/>
      <c r="DL1114" s="26"/>
      <c r="DM1114" s="26"/>
      <c r="DN1114" s="21"/>
      <c r="DO1114" s="21"/>
      <c r="EF1114" s="25"/>
      <c r="EG1114" s="25"/>
      <c r="EY1114" s="20"/>
    </row>
    <row r="1115" spans="1:155">
      <c r="A1115" s="21"/>
      <c r="B1115" s="21"/>
      <c r="AA1115" s="26"/>
      <c r="AB1115" s="26"/>
      <c r="AC1115" s="21"/>
      <c r="AD1115" s="21"/>
      <c r="AY1115" s="26"/>
      <c r="AZ1115" s="26"/>
      <c r="BB1115" s="26"/>
      <c r="BD1115" s="21"/>
      <c r="CN1115" s="26"/>
      <c r="DB1115" s="24"/>
      <c r="DD1115" s="21"/>
      <c r="DE1115" s="22"/>
      <c r="DG1115" s="21"/>
      <c r="DK1115" s="26"/>
      <c r="DL1115" s="26"/>
      <c r="DM1115" s="26"/>
      <c r="DN1115" s="21"/>
      <c r="DO1115" s="21"/>
      <c r="EF1115" s="25"/>
      <c r="EG1115" s="25"/>
      <c r="EY1115" s="20"/>
    </row>
    <row r="1116" spans="1:155">
      <c r="A1116" s="21"/>
      <c r="B1116" s="21"/>
      <c r="AA1116" s="26"/>
      <c r="AB1116" s="26"/>
      <c r="AC1116" s="21"/>
      <c r="AD1116" s="21"/>
      <c r="AY1116" s="26"/>
      <c r="AZ1116" s="26"/>
      <c r="BB1116" s="26"/>
      <c r="BD1116" s="21"/>
      <c r="CN1116" s="26"/>
      <c r="DB1116" s="24"/>
      <c r="DD1116" s="21"/>
      <c r="DE1116" s="22"/>
      <c r="DG1116" s="21"/>
      <c r="DK1116" s="26"/>
      <c r="DL1116" s="26"/>
      <c r="DM1116" s="26"/>
      <c r="DN1116" s="21"/>
      <c r="DO1116" s="21"/>
      <c r="EF1116" s="25"/>
      <c r="EG1116" s="25"/>
      <c r="EY1116" s="20"/>
    </row>
    <row r="1117" spans="1:155">
      <c r="A1117" s="21"/>
      <c r="B1117" s="21"/>
      <c r="AA1117" s="26"/>
      <c r="AB1117" s="26"/>
      <c r="AC1117" s="21"/>
      <c r="AD1117" s="21"/>
      <c r="AY1117" s="26"/>
      <c r="AZ1117" s="26"/>
      <c r="BB1117" s="26"/>
      <c r="BD1117" s="21"/>
      <c r="CN1117" s="26"/>
      <c r="DB1117" s="24"/>
      <c r="DD1117" s="21"/>
      <c r="DE1117" s="22"/>
      <c r="DG1117" s="21"/>
      <c r="DK1117" s="26"/>
      <c r="DL1117" s="26"/>
      <c r="DM1117" s="26"/>
      <c r="DN1117" s="21"/>
      <c r="DO1117" s="21"/>
      <c r="EF1117" s="25"/>
      <c r="EG1117" s="25"/>
      <c r="EY1117" s="20"/>
    </row>
    <row r="1118" spans="1:155">
      <c r="A1118" s="21"/>
      <c r="B1118" s="21"/>
      <c r="AA1118" s="26"/>
      <c r="AB1118" s="26"/>
      <c r="AC1118" s="21"/>
      <c r="AD1118" s="21"/>
      <c r="AY1118" s="26"/>
      <c r="AZ1118" s="26"/>
      <c r="BB1118" s="26"/>
      <c r="BD1118" s="21"/>
      <c r="CN1118" s="26"/>
      <c r="DB1118" s="24"/>
      <c r="DD1118" s="21"/>
      <c r="DE1118" s="22"/>
      <c r="DG1118" s="21"/>
      <c r="DK1118" s="26"/>
      <c r="DL1118" s="26"/>
      <c r="DM1118" s="26"/>
      <c r="DN1118" s="21"/>
      <c r="DO1118" s="21"/>
      <c r="EF1118" s="25"/>
      <c r="EG1118" s="25"/>
      <c r="EY1118" s="20"/>
    </row>
    <row r="1119" spans="1:155">
      <c r="A1119" s="21"/>
      <c r="B1119" s="21"/>
      <c r="AA1119" s="26"/>
      <c r="AB1119" s="26"/>
      <c r="AC1119" s="21"/>
      <c r="AD1119" s="21"/>
      <c r="AY1119" s="26"/>
      <c r="AZ1119" s="26"/>
      <c r="BB1119" s="26"/>
      <c r="BD1119" s="21"/>
      <c r="CN1119" s="26"/>
      <c r="DB1119" s="24"/>
      <c r="DD1119" s="21"/>
      <c r="DE1119" s="22"/>
      <c r="DG1119" s="21"/>
      <c r="DK1119" s="26"/>
      <c r="DL1119" s="26"/>
      <c r="DM1119" s="26"/>
      <c r="DN1119" s="21"/>
      <c r="DO1119" s="21"/>
      <c r="EF1119" s="25"/>
      <c r="EG1119" s="25"/>
      <c r="EY1119" s="20"/>
    </row>
    <row r="1120" spans="1:155">
      <c r="A1120" s="21"/>
      <c r="B1120" s="21"/>
      <c r="AA1120" s="26"/>
      <c r="AB1120" s="26"/>
      <c r="AC1120" s="21"/>
      <c r="AD1120" s="21"/>
      <c r="AY1120" s="26"/>
      <c r="AZ1120" s="26"/>
      <c r="BB1120" s="26"/>
      <c r="BD1120" s="21"/>
      <c r="CN1120" s="26"/>
      <c r="DB1120" s="24"/>
      <c r="DD1120" s="21"/>
      <c r="DE1120" s="22"/>
      <c r="DG1120" s="21"/>
      <c r="DK1120" s="26"/>
      <c r="DL1120" s="26"/>
      <c r="DM1120" s="26"/>
      <c r="DN1120" s="21"/>
      <c r="DO1120" s="21"/>
      <c r="EF1120" s="25"/>
      <c r="EG1120" s="25"/>
      <c r="EY1120" s="20"/>
    </row>
    <row r="1121" spans="1:155">
      <c r="A1121" s="21"/>
      <c r="B1121" s="21"/>
      <c r="AA1121" s="26"/>
      <c r="AB1121" s="26"/>
      <c r="AC1121" s="21"/>
      <c r="AD1121" s="21"/>
      <c r="AY1121" s="26"/>
      <c r="AZ1121" s="26"/>
      <c r="BB1121" s="26"/>
      <c r="BD1121" s="21"/>
      <c r="CN1121" s="26"/>
      <c r="DB1121" s="24"/>
      <c r="DD1121" s="21"/>
      <c r="DE1121" s="22"/>
      <c r="DG1121" s="21"/>
      <c r="DK1121" s="26"/>
      <c r="DL1121" s="26"/>
      <c r="DM1121" s="26"/>
      <c r="DN1121" s="21"/>
      <c r="DO1121" s="21"/>
      <c r="EF1121" s="25"/>
      <c r="EG1121" s="25"/>
      <c r="EY1121" s="20"/>
    </row>
    <row r="1122" spans="1:155">
      <c r="A1122" s="21"/>
      <c r="B1122" s="21"/>
      <c r="AA1122" s="26"/>
      <c r="AB1122" s="26"/>
      <c r="AC1122" s="21"/>
      <c r="AD1122" s="21"/>
      <c r="AY1122" s="26"/>
      <c r="AZ1122" s="26"/>
      <c r="BB1122" s="26"/>
      <c r="BD1122" s="21"/>
      <c r="CN1122" s="26"/>
      <c r="DB1122" s="24"/>
      <c r="DD1122" s="21"/>
      <c r="DE1122" s="22"/>
      <c r="DG1122" s="21"/>
      <c r="DK1122" s="26"/>
      <c r="DL1122" s="26"/>
      <c r="DM1122" s="26"/>
      <c r="DN1122" s="21"/>
      <c r="DO1122" s="21"/>
      <c r="EF1122" s="25"/>
      <c r="EG1122" s="25"/>
      <c r="EY1122" s="20"/>
    </row>
    <row r="1123" spans="1:155">
      <c r="A1123" s="21"/>
      <c r="B1123" s="21"/>
      <c r="AA1123" s="26"/>
      <c r="AB1123" s="26"/>
      <c r="AC1123" s="21"/>
      <c r="AD1123" s="21"/>
      <c r="AY1123" s="26"/>
      <c r="AZ1123" s="26"/>
      <c r="BB1123" s="26"/>
      <c r="BD1123" s="21"/>
      <c r="CN1123" s="26"/>
      <c r="DB1123" s="24"/>
      <c r="DD1123" s="21"/>
      <c r="DE1123" s="22"/>
      <c r="DG1123" s="21"/>
      <c r="DK1123" s="26"/>
      <c r="DL1123" s="26"/>
      <c r="DM1123" s="26"/>
      <c r="DN1123" s="21"/>
      <c r="DO1123" s="21"/>
      <c r="EF1123" s="25"/>
      <c r="EG1123" s="25"/>
      <c r="EY1123" s="20"/>
    </row>
    <row r="1124" spans="1:155">
      <c r="A1124" s="21"/>
      <c r="B1124" s="21"/>
      <c r="AA1124" s="26"/>
      <c r="AB1124" s="26"/>
      <c r="AC1124" s="21"/>
      <c r="AD1124" s="21"/>
      <c r="AY1124" s="26"/>
      <c r="AZ1124" s="26"/>
      <c r="BB1124" s="26"/>
      <c r="BD1124" s="21"/>
      <c r="CN1124" s="26"/>
      <c r="DB1124" s="24"/>
      <c r="DD1124" s="21"/>
      <c r="DE1124" s="22"/>
      <c r="DG1124" s="21"/>
      <c r="DK1124" s="26"/>
      <c r="DL1124" s="26"/>
      <c r="DM1124" s="26"/>
      <c r="DN1124" s="21"/>
      <c r="DO1124" s="21"/>
      <c r="EF1124" s="25"/>
      <c r="EG1124" s="25"/>
      <c r="EY1124" s="20"/>
    </row>
    <row r="1125" spans="1:155">
      <c r="A1125" s="21"/>
      <c r="B1125" s="21"/>
      <c r="AA1125" s="26"/>
      <c r="AB1125" s="26"/>
      <c r="AC1125" s="21"/>
      <c r="AD1125" s="21"/>
      <c r="AY1125" s="26"/>
      <c r="AZ1125" s="26"/>
      <c r="BB1125" s="26"/>
      <c r="BD1125" s="21"/>
      <c r="CN1125" s="26"/>
      <c r="DB1125" s="24"/>
      <c r="DD1125" s="21"/>
      <c r="DE1125" s="22"/>
      <c r="DG1125" s="21"/>
      <c r="DK1125" s="26"/>
      <c r="DL1125" s="26"/>
      <c r="DM1125" s="26"/>
      <c r="DN1125" s="21"/>
      <c r="DO1125" s="21"/>
      <c r="EF1125" s="25"/>
      <c r="EG1125" s="25"/>
      <c r="EY1125" s="20"/>
    </row>
    <row r="1126" spans="1:155">
      <c r="A1126" s="21"/>
      <c r="B1126" s="21"/>
      <c r="AA1126" s="26"/>
      <c r="AB1126" s="26"/>
      <c r="AC1126" s="21"/>
      <c r="AD1126" s="21"/>
      <c r="AY1126" s="26"/>
      <c r="AZ1126" s="26"/>
      <c r="BB1126" s="26"/>
      <c r="BD1126" s="21"/>
      <c r="CN1126" s="26"/>
      <c r="DB1126" s="24"/>
      <c r="DD1126" s="21"/>
      <c r="DE1126" s="22"/>
      <c r="DG1126" s="21"/>
      <c r="DK1126" s="26"/>
      <c r="DL1126" s="26"/>
      <c r="DM1126" s="26"/>
      <c r="DN1126" s="21"/>
      <c r="DO1126" s="21"/>
      <c r="EF1126" s="25"/>
      <c r="EG1126" s="25"/>
      <c r="EY1126" s="20"/>
    </row>
    <row r="1127" spans="1:155">
      <c r="A1127" s="21"/>
      <c r="B1127" s="21"/>
      <c r="AA1127" s="26"/>
      <c r="AB1127" s="26"/>
      <c r="AC1127" s="21"/>
      <c r="AD1127" s="21"/>
      <c r="AY1127" s="26"/>
      <c r="AZ1127" s="26"/>
      <c r="BB1127" s="26"/>
      <c r="BD1127" s="21"/>
      <c r="CN1127" s="26"/>
      <c r="DB1127" s="24"/>
      <c r="DD1127" s="21"/>
      <c r="DE1127" s="22"/>
      <c r="DG1127" s="21"/>
      <c r="DK1127" s="26"/>
      <c r="DL1127" s="26"/>
      <c r="DM1127" s="26"/>
      <c r="DN1127" s="21"/>
      <c r="DO1127" s="21"/>
      <c r="EF1127" s="25"/>
      <c r="EG1127" s="25"/>
      <c r="EY1127" s="20"/>
    </row>
    <row r="1128" spans="1:155">
      <c r="A1128" s="21"/>
      <c r="B1128" s="21"/>
      <c r="AA1128" s="26"/>
      <c r="AB1128" s="26"/>
      <c r="AC1128" s="21"/>
      <c r="AD1128" s="21"/>
      <c r="AY1128" s="26"/>
      <c r="AZ1128" s="26"/>
      <c r="BB1128" s="26"/>
      <c r="BD1128" s="21"/>
      <c r="CN1128" s="26"/>
      <c r="DB1128" s="24"/>
      <c r="DD1128" s="21"/>
      <c r="DE1128" s="22"/>
      <c r="DG1128" s="21"/>
      <c r="DK1128" s="26"/>
      <c r="DL1128" s="26"/>
      <c r="DM1128" s="26"/>
      <c r="DN1128" s="21"/>
      <c r="DO1128" s="21"/>
      <c r="EF1128" s="25"/>
      <c r="EG1128" s="25"/>
      <c r="EY1128" s="20"/>
    </row>
    <row r="1129" spans="1:155">
      <c r="A1129" s="21"/>
      <c r="B1129" s="21"/>
      <c r="AA1129" s="26"/>
      <c r="AB1129" s="26"/>
      <c r="AC1129" s="21"/>
      <c r="AD1129" s="21"/>
      <c r="AY1129" s="26"/>
      <c r="AZ1129" s="26"/>
      <c r="BB1129" s="26"/>
      <c r="BD1129" s="21"/>
      <c r="CN1129" s="26"/>
      <c r="DB1129" s="24"/>
      <c r="DD1129" s="21"/>
      <c r="DE1129" s="22"/>
      <c r="DG1129" s="21"/>
      <c r="DK1129" s="26"/>
      <c r="DL1129" s="26"/>
      <c r="DM1129" s="26"/>
      <c r="DN1129" s="21"/>
      <c r="DO1129" s="21"/>
      <c r="EF1129" s="25"/>
      <c r="EG1129" s="25"/>
      <c r="EY1129" s="20"/>
    </row>
    <row r="1130" spans="1:155">
      <c r="A1130" s="21"/>
      <c r="B1130" s="21"/>
      <c r="AA1130" s="26"/>
      <c r="AB1130" s="26"/>
      <c r="AC1130" s="21"/>
      <c r="AD1130" s="21"/>
      <c r="AY1130" s="26"/>
      <c r="AZ1130" s="26"/>
      <c r="BB1130" s="26"/>
      <c r="BD1130" s="21"/>
      <c r="CN1130" s="26"/>
      <c r="DB1130" s="24"/>
      <c r="DD1130" s="21"/>
      <c r="DE1130" s="22"/>
      <c r="DG1130" s="21"/>
      <c r="DK1130" s="26"/>
      <c r="DL1130" s="26"/>
      <c r="DM1130" s="26"/>
      <c r="DN1130" s="21"/>
      <c r="DO1130" s="21"/>
      <c r="EF1130" s="25"/>
      <c r="EG1130" s="25"/>
      <c r="EY1130" s="20"/>
    </row>
    <row r="1131" spans="1:155">
      <c r="A1131" s="21"/>
      <c r="B1131" s="21"/>
      <c r="AA1131" s="26"/>
      <c r="AB1131" s="26"/>
      <c r="AC1131" s="21"/>
      <c r="AD1131" s="21"/>
      <c r="AY1131" s="26"/>
      <c r="AZ1131" s="26"/>
      <c r="BB1131" s="26"/>
      <c r="BD1131" s="21"/>
      <c r="CN1131" s="26"/>
      <c r="DB1131" s="24"/>
      <c r="DD1131" s="21"/>
      <c r="DE1131" s="22"/>
      <c r="DG1131" s="21"/>
      <c r="DK1131" s="26"/>
      <c r="DL1131" s="26"/>
      <c r="DM1131" s="26"/>
      <c r="DN1131" s="21"/>
      <c r="DO1131" s="21"/>
      <c r="EF1131" s="25"/>
      <c r="EG1131" s="25"/>
      <c r="EY1131" s="20"/>
    </row>
    <row r="1132" spans="1:155">
      <c r="A1132" s="21"/>
      <c r="B1132" s="21"/>
      <c r="AA1132" s="26"/>
      <c r="AB1132" s="26"/>
      <c r="AC1132" s="21"/>
      <c r="AD1132" s="21"/>
      <c r="AY1132" s="26"/>
      <c r="AZ1132" s="26"/>
      <c r="BB1132" s="26"/>
      <c r="BD1132" s="21"/>
      <c r="CN1132" s="26"/>
      <c r="DB1132" s="24"/>
      <c r="DD1132" s="21"/>
      <c r="DE1132" s="22"/>
      <c r="DG1132" s="21"/>
      <c r="DK1132" s="26"/>
      <c r="DL1132" s="26"/>
      <c r="DM1132" s="26"/>
      <c r="DN1132" s="21"/>
      <c r="DO1132" s="21"/>
      <c r="EF1132" s="25"/>
      <c r="EG1132" s="25"/>
      <c r="EY1132" s="20"/>
    </row>
    <row r="1133" spans="1:155">
      <c r="A1133" s="21"/>
      <c r="B1133" s="21"/>
      <c r="AA1133" s="26"/>
      <c r="AB1133" s="26"/>
      <c r="AC1133" s="21"/>
      <c r="AD1133" s="21"/>
      <c r="AY1133" s="26"/>
      <c r="AZ1133" s="26"/>
      <c r="BB1133" s="26"/>
      <c r="BD1133" s="21"/>
      <c r="CN1133" s="26"/>
      <c r="DB1133" s="24"/>
      <c r="DD1133" s="21"/>
      <c r="DE1133" s="22"/>
      <c r="DG1133" s="21"/>
      <c r="DK1133" s="26"/>
      <c r="DL1133" s="26"/>
      <c r="DM1133" s="26"/>
      <c r="DN1133" s="21"/>
      <c r="DO1133" s="21"/>
      <c r="EF1133" s="25"/>
      <c r="EG1133" s="25"/>
      <c r="EY1133" s="20"/>
    </row>
    <row r="1134" spans="1:155">
      <c r="A1134" s="21"/>
      <c r="B1134" s="21"/>
      <c r="AA1134" s="26"/>
      <c r="AB1134" s="26"/>
      <c r="AC1134" s="21"/>
      <c r="AD1134" s="21"/>
      <c r="AY1134" s="26"/>
      <c r="AZ1134" s="26"/>
      <c r="BB1134" s="26"/>
      <c r="BD1134" s="21"/>
      <c r="CN1134" s="26"/>
      <c r="DB1134" s="24"/>
      <c r="DD1134" s="21"/>
      <c r="DE1134" s="22"/>
      <c r="DG1134" s="21"/>
      <c r="DK1134" s="26"/>
      <c r="DL1134" s="26"/>
      <c r="DM1134" s="26"/>
      <c r="DN1134" s="21"/>
      <c r="DO1134" s="21"/>
      <c r="EF1134" s="25"/>
      <c r="EG1134" s="25"/>
      <c r="EY1134" s="20"/>
    </row>
    <row r="1135" spans="1:155">
      <c r="A1135" s="21"/>
      <c r="B1135" s="21"/>
      <c r="AA1135" s="26"/>
      <c r="AB1135" s="26"/>
      <c r="AC1135" s="21"/>
      <c r="AD1135" s="21"/>
      <c r="AY1135" s="26"/>
      <c r="AZ1135" s="26"/>
      <c r="BB1135" s="26"/>
      <c r="BD1135" s="21"/>
      <c r="CN1135" s="26"/>
      <c r="DB1135" s="24"/>
      <c r="DD1135" s="21"/>
      <c r="DE1135" s="22"/>
      <c r="DG1135" s="21"/>
      <c r="DK1135" s="26"/>
      <c r="DL1135" s="26"/>
      <c r="DM1135" s="26"/>
      <c r="DN1135" s="21"/>
      <c r="DO1135" s="21"/>
      <c r="EF1135" s="25"/>
      <c r="EG1135" s="25"/>
      <c r="EY1135" s="20"/>
    </row>
    <row r="1136" spans="1:155">
      <c r="A1136" s="21"/>
      <c r="B1136" s="21"/>
      <c r="AA1136" s="26"/>
      <c r="AB1136" s="26"/>
      <c r="AC1136" s="21"/>
      <c r="AD1136" s="21"/>
      <c r="AY1136" s="26"/>
      <c r="AZ1136" s="26"/>
      <c r="BB1136" s="26"/>
      <c r="BD1136" s="21"/>
      <c r="CN1136" s="26"/>
      <c r="DB1136" s="24"/>
      <c r="DD1136" s="21"/>
      <c r="DE1136" s="22"/>
      <c r="DG1136" s="21"/>
      <c r="DK1136" s="26"/>
      <c r="DL1136" s="26"/>
      <c r="DM1136" s="26"/>
      <c r="DN1136" s="21"/>
      <c r="DO1136" s="21"/>
      <c r="EF1136" s="25"/>
      <c r="EG1136" s="25"/>
      <c r="EY1136" s="20"/>
    </row>
    <row r="1137" spans="1:155">
      <c r="A1137" s="21"/>
      <c r="B1137" s="21"/>
      <c r="AA1137" s="26"/>
      <c r="AB1137" s="26"/>
      <c r="AC1137" s="21"/>
      <c r="AD1137" s="21"/>
      <c r="AY1137" s="26"/>
      <c r="AZ1137" s="26"/>
      <c r="BB1137" s="26"/>
      <c r="BD1137" s="21"/>
      <c r="CN1137" s="26"/>
      <c r="DB1137" s="24"/>
      <c r="DD1137" s="21"/>
      <c r="DE1137" s="22"/>
      <c r="DG1137" s="21"/>
      <c r="DK1137" s="26"/>
      <c r="DL1137" s="26"/>
      <c r="DM1137" s="26"/>
      <c r="DN1137" s="21"/>
      <c r="DO1137" s="21"/>
      <c r="EF1137" s="25"/>
      <c r="EG1137" s="25"/>
      <c r="EY1137" s="20"/>
    </row>
    <row r="1138" spans="1:155">
      <c r="A1138" s="21"/>
      <c r="B1138" s="21"/>
      <c r="AA1138" s="26"/>
      <c r="AB1138" s="26"/>
      <c r="AC1138" s="21"/>
      <c r="AD1138" s="21"/>
      <c r="AY1138" s="26"/>
      <c r="AZ1138" s="26"/>
      <c r="BB1138" s="26"/>
      <c r="BD1138" s="21"/>
      <c r="CN1138" s="26"/>
      <c r="DB1138" s="24"/>
      <c r="DD1138" s="21"/>
      <c r="DE1138" s="22"/>
      <c r="DG1138" s="21"/>
      <c r="DK1138" s="26"/>
      <c r="DL1138" s="26"/>
      <c r="DM1138" s="26"/>
      <c r="DN1138" s="21"/>
      <c r="DO1138" s="21"/>
      <c r="EF1138" s="25"/>
      <c r="EG1138" s="25"/>
      <c r="EY1138" s="20"/>
    </row>
    <row r="1139" spans="1:155">
      <c r="A1139" s="21"/>
      <c r="B1139" s="21"/>
      <c r="AA1139" s="26"/>
      <c r="AB1139" s="26"/>
      <c r="AC1139" s="21"/>
      <c r="AD1139" s="21"/>
      <c r="AY1139" s="26"/>
      <c r="AZ1139" s="26"/>
      <c r="BB1139" s="26"/>
      <c r="BD1139" s="21"/>
      <c r="CN1139" s="26"/>
      <c r="DB1139" s="24"/>
      <c r="DD1139" s="21"/>
      <c r="DE1139" s="22"/>
      <c r="DG1139" s="21"/>
      <c r="DK1139" s="26"/>
      <c r="DL1139" s="26"/>
      <c r="DM1139" s="26"/>
      <c r="DN1139" s="21"/>
      <c r="DO1139" s="21"/>
      <c r="EF1139" s="25"/>
      <c r="EG1139" s="25"/>
      <c r="EY1139" s="20"/>
    </row>
    <row r="1140" spans="1:155">
      <c r="A1140" s="21"/>
      <c r="B1140" s="21"/>
      <c r="AA1140" s="26"/>
      <c r="AB1140" s="26"/>
      <c r="AC1140" s="21"/>
      <c r="AD1140" s="21"/>
      <c r="AY1140" s="26"/>
      <c r="AZ1140" s="26"/>
      <c r="BB1140" s="26"/>
      <c r="BD1140" s="21"/>
      <c r="CN1140" s="26"/>
      <c r="DB1140" s="24"/>
      <c r="DD1140" s="21"/>
      <c r="DE1140" s="22"/>
      <c r="DG1140" s="21"/>
      <c r="DK1140" s="26"/>
      <c r="DL1140" s="26"/>
      <c r="DM1140" s="26"/>
      <c r="DN1140" s="21"/>
      <c r="DO1140" s="21"/>
      <c r="EF1140" s="25"/>
      <c r="EG1140" s="25"/>
      <c r="EY1140" s="20"/>
    </row>
    <row r="1141" spans="1:155">
      <c r="A1141" s="21"/>
      <c r="B1141" s="21"/>
      <c r="AA1141" s="26"/>
      <c r="AB1141" s="26"/>
      <c r="AC1141" s="21"/>
      <c r="AD1141" s="21"/>
      <c r="AY1141" s="26"/>
      <c r="AZ1141" s="26"/>
      <c r="BB1141" s="26"/>
      <c r="BD1141" s="21"/>
      <c r="CN1141" s="26"/>
      <c r="DB1141" s="24"/>
      <c r="DD1141" s="21"/>
      <c r="DE1141" s="22"/>
      <c r="DG1141" s="21"/>
      <c r="DK1141" s="26"/>
      <c r="DL1141" s="26"/>
      <c r="DM1141" s="26"/>
      <c r="DN1141" s="21"/>
      <c r="DO1141" s="21"/>
      <c r="EF1141" s="25"/>
      <c r="EG1141" s="25"/>
      <c r="EY1141" s="20"/>
    </row>
    <row r="1142" spans="1:155">
      <c r="A1142" s="21"/>
      <c r="B1142" s="21"/>
      <c r="AA1142" s="26"/>
      <c r="AB1142" s="26"/>
      <c r="AC1142" s="21"/>
      <c r="AD1142" s="21"/>
      <c r="AY1142" s="26"/>
      <c r="AZ1142" s="26"/>
      <c r="BB1142" s="26"/>
      <c r="BD1142" s="21"/>
      <c r="CN1142" s="26"/>
      <c r="DB1142" s="24"/>
      <c r="DD1142" s="21"/>
      <c r="DE1142" s="22"/>
      <c r="DG1142" s="21"/>
      <c r="DK1142" s="26"/>
      <c r="DL1142" s="26"/>
      <c r="DM1142" s="26"/>
      <c r="DN1142" s="21"/>
      <c r="DO1142" s="21"/>
      <c r="EF1142" s="25"/>
      <c r="EG1142" s="25"/>
      <c r="EY1142" s="20"/>
    </row>
    <row r="1143" spans="1:155">
      <c r="A1143" s="21"/>
      <c r="B1143" s="21"/>
      <c r="AA1143" s="26"/>
      <c r="AB1143" s="26"/>
      <c r="AC1143" s="21"/>
      <c r="AD1143" s="21"/>
      <c r="AY1143" s="26"/>
      <c r="AZ1143" s="26"/>
      <c r="BB1143" s="26"/>
      <c r="BD1143" s="21"/>
      <c r="CN1143" s="26"/>
      <c r="DB1143" s="24"/>
      <c r="DD1143" s="21"/>
      <c r="DE1143" s="22"/>
      <c r="DG1143" s="21"/>
      <c r="DK1143" s="26"/>
      <c r="DL1143" s="26"/>
      <c r="DM1143" s="26"/>
      <c r="DN1143" s="21"/>
      <c r="DO1143" s="21"/>
      <c r="EF1143" s="25"/>
      <c r="EG1143" s="25"/>
      <c r="EY1143" s="20"/>
    </row>
    <row r="1144" spans="1:155">
      <c r="A1144" s="21"/>
      <c r="B1144" s="21"/>
      <c r="AA1144" s="26"/>
      <c r="AB1144" s="26"/>
      <c r="AC1144" s="21"/>
      <c r="AD1144" s="21"/>
      <c r="AY1144" s="26"/>
      <c r="AZ1144" s="26"/>
      <c r="BB1144" s="26"/>
      <c r="BD1144" s="21"/>
      <c r="CN1144" s="26"/>
      <c r="DB1144" s="24"/>
      <c r="DD1144" s="21"/>
      <c r="DE1144" s="22"/>
      <c r="DG1144" s="21"/>
      <c r="DK1144" s="26"/>
      <c r="DL1144" s="26"/>
      <c r="DM1144" s="26"/>
      <c r="DN1144" s="21"/>
      <c r="DO1144" s="21"/>
      <c r="EF1144" s="25"/>
      <c r="EG1144" s="25"/>
      <c r="EY1144" s="20"/>
    </row>
    <row r="1145" spans="1:155">
      <c r="A1145" s="21"/>
      <c r="B1145" s="21"/>
      <c r="AA1145" s="26"/>
      <c r="AB1145" s="26"/>
      <c r="AC1145" s="21"/>
      <c r="AD1145" s="21"/>
      <c r="AY1145" s="26"/>
      <c r="AZ1145" s="26"/>
      <c r="BB1145" s="26"/>
      <c r="BD1145" s="21"/>
      <c r="CN1145" s="26"/>
      <c r="DB1145" s="24"/>
      <c r="DD1145" s="21"/>
      <c r="DE1145" s="22"/>
      <c r="DG1145" s="21"/>
      <c r="DK1145" s="26"/>
      <c r="DL1145" s="26"/>
      <c r="DM1145" s="26"/>
      <c r="DN1145" s="21"/>
      <c r="DO1145" s="21"/>
      <c r="EF1145" s="25"/>
      <c r="EG1145" s="25"/>
      <c r="EY1145" s="20"/>
    </row>
    <row r="1146" spans="1:155">
      <c r="A1146" s="21"/>
      <c r="B1146" s="21"/>
      <c r="AA1146" s="26"/>
      <c r="AB1146" s="26"/>
      <c r="AC1146" s="21"/>
      <c r="AD1146" s="21"/>
      <c r="AY1146" s="26"/>
      <c r="AZ1146" s="26"/>
      <c r="BB1146" s="26"/>
      <c r="BD1146" s="21"/>
      <c r="CN1146" s="26"/>
      <c r="DB1146" s="24"/>
      <c r="DD1146" s="21"/>
      <c r="DE1146" s="22"/>
      <c r="DG1146" s="21"/>
      <c r="DK1146" s="26"/>
      <c r="DL1146" s="26"/>
      <c r="DM1146" s="26"/>
      <c r="DN1146" s="21"/>
      <c r="DO1146" s="21"/>
      <c r="EF1146" s="25"/>
      <c r="EG1146" s="25"/>
      <c r="EY1146" s="20"/>
    </row>
    <row r="1147" spans="1:155">
      <c r="A1147" s="21"/>
      <c r="B1147" s="21"/>
      <c r="AA1147" s="26"/>
      <c r="AB1147" s="26"/>
      <c r="AC1147" s="21"/>
      <c r="AD1147" s="21"/>
      <c r="AY1147" s="26"/>
      <c r="AZ1147" s="26"/>
      <c r="BB1147" s="26"/>
      <c r="BD1147" s="21"/>
      <c r="CN1147" s="26"/>
      <c r="DB1147" s="24"/>
      <c r="DD1147" s="21"/>
      <c r="DE1147" s="22"/>
      <c r="DG1147" s="21"/>
      <c r="DK1147" s="26"/>
      <c r="DL1147" s="26"/>
      <c r="DM1147" s="26"/>
      <c r="DN1147" s="21"/>
      <c r="DO1147" s="21"/>
      <c r="EF1147" s="25"/>
      <c r="EG1147" s="25"/>
      <c r="EY1147" s="20"/>
    </row>
    <row r="1148" spans="1:155">
      <c r="A1148" s="21"/>
      <c r="B1148" s="21"/>
      <c r="AA1148" s="26"/>
      <c r="AB1148" s="26"/>
      <c r="AC1148" s="21"/>
      <c r="AD1148" s="21"/>
      <c r="AY1148" s="26"/>
      <c r="AZ1148" s="26"/>
      <c r="BB1148" s="26"/>
      <c r="BD1148" s="21"/>
      <c r="CN1148" s="26"/>
      <c r="DB1148" s="24"/>
      <c r="DD1148" s="21"/>
      <c r="DE1148" s="22"/>
      <c r="DG1148" s="21"/>
      <c r="DK1148" s="26"/>
      <c r="DL1148" s="26"/>
      <c r="DM1148" s="26"/>
      <c r="DN1148" s="21"/>
      <c r="DO1148" s="21"/>
      <c r="EF1148" s="25"/>
      <c r="EG1148" s="25"/>
      <c r="EY1148" s="20"/>
    </row>
    <row r="1149" spans="1:155">
      <c r="A1149" s="21"/>
      <c r="B1149" s="21"/>
      <c r="AA1149" s="26"/>
      <c r="AB1149" s="26"/>
      <c r="AC1149" s="21"/>
      <c r="AD1149" s="21"/>
      <c r="AY1149" s="26"/>
      <c r="AZ1149" s="26"/>
      <c r="BB1149" s="26"/>
      <c r="BD1149" s="21"/>
      <c r="CN1149" s="26"/>
      <c r="DB1149" s="24"/>
      <c r="DD1149" s="21"/>
      <c r="DE1149" s="22"/>
      <c r="DG1149" s="21"/>
      <c r="DK1149" s="26"/>
      <c r="DL1149" s="26"/>
      <c r="DM1149" s="26"/>
      <c r="DN1149" s="21"/>
      <c r="DO1149" s="21"/>
      <c r="EF1149" s="25"/>
      <c r="EG1149" s="25"/>
      <c r="EY1149" s="20"/>
    </row>
    <row r="1150" spans="1:155">
      <c r="A1150" s="21"/>
      <c r="B1150" s="21"/>
      <c r="AA1150" s="26"/>
      <c r="AB1150" s="26"/>
      <c r="AC1150" s="21"/>
      <c r="AD1150" s="21"/>
      <c r="AY1150" s="26"/>
      <c r="AZ1150" s="26"/>
      <c r="BB1150" s="26"/>
      <c r="BD1150" s="21"/>
      <c r="CN1150" s="26"/>
      <c r="DB1150" s="24"/>
      <c r="DD1150" s="21"/>
      <c r="DE1150" s="22"/>
      <c r="DG1150" s="21"/>
      <c r="DK1150" s="26"/>
      <c r="DL1150" s="26"/>
      <c r="DM1150" s="26"/>
      <c r="DN1150" s="21"/>
      <c r="DO1150" s="21"/>
      <c r="EF1150" s="25"/>
      <c r="EG1150" s="25"/>
      <c r="EY1150" s="20"/>
    </row>
    <row r="1151" spans="1:155">
      <c r="A1151" s="21"/>
      <c r="B1151" s="21"/>
      <c r="AA1151" s="26"/>
      <c r="AB1151" s="26"/>
      <c r="AC1151" s="21"/>
      <c r="AD1151" s="21"/>
      <c r="AY1151" s="26"/>
      <c r="AZ1151" s="26"/>
      <c r="BB1151" s="26"/>
      <c r="BD1151" s="21"/>
      <c r="CN1151" s="26"/>
      <c r="DB1151" s="24"/>
      <c r="DD1151" s="21"/>
      <c r="DE1151" s="22"/>
      <c r="DG1151" s="21"/>
      <c r="DK1151" s="26"/>
      <c r="DL1151" s="26"/>
      <c r="DM1151" s="26"/>
      <c r="DN1151" s="21"/>
      <c r="DO1151" s="21"/>
      <c r="EF1151" s="25"/>
      <c r="EG1151" s="25"/>
      <c r="EY1151" s="20"/>
    </row>
    <row r="1152" spans="1:155">
      <c r="A1152" s="21"/>
      <c r="B1152" s="21"/>
      <c r="AA1152" s="26"/>
      <c r="AB1152" s="26"/>
      <c r="AC1152" s="21"/>
      <c r="AD1152" s="21"/>
      <c r="AY1152" s="26"/>
      <c r="AZ1152" s="26"/>
      <c r="BB1152" s="26"/>
      <c r="BD1152" s="21"/>
      <c r="CN1152" s="26"/>
      <c r="DB1152" s="24"/>
      <c r="DD1152" s="21"/>
      <c r="DE1152" s="22"/>
      <c r="DG1152" s="21"/>
      <c r="DK1152" s="26"/>
      <c r="DL1152" s="26"/>
      <c r="DM1152" s="26"/>
      <c r="DN1152" s="21"/>
      <c r="DO1152" s="21"/>
      <c r="EF1152" s="25"/>
      <c r="EG1152" s="25"/>
      <c r="EY1152" s="20"/>
    </row>
    <row r="1153" spans="1:155">
      <c r="A1153" s="21"/>
      <c r="B1153" s="21"/>
      <c r="AA1153" s="26"/>
      <c r="AB1153" s="26"/>
      <c r="AC1153" s="21"/>
      <c r="AD1153" s="21"/>
      <c r="AY1153" s="26"/>
      <c r="AZ1153" s="26"/>
      <c r="BB1153" s="26"/>
      <c r="BD1153" s="21"/>
      <c r="CN1153" s="26"/>
      <c r="DB1153" s="24"/>
      <c r="DD1153" s="21"/>
      <c r="DE1153" s="22"/>
      <c r="DG1153" s="21"/>
      <c r="DK1153" s="26"/>
      <c r="DL1153" s="26"/>
      <c r="DM1153" s="26"/>
      <c r="DN1153" s="21"/>
      <c r="DO1153" s="21"/>
      <c r="EF1153" s="25"/>
      <c r="EG1153" s="25"/>
      <c r="EY1153" s="20"/>
    </row>
    <row r="1154" spans="1:155">
      <c r="A1154" s="21"/>
      <c r="B1154" s="21"/>
      <c r="AA1154" s="26"/>
      <c r="AB1154" s="26"/>
      <c r="AC1154" s="21"/>
      <c r="AD1154" s="21"/>
      <c r="AY1154" s="26"/>
      <c r="AZ1154" s="26"/>
      <c r="BB1154" s="26"/>
      <c r="BD1154" s="21"/>
      <c r="CN1154" s="26"/>
      <c r="DB1154" s="24"/>
      <c r="DD1154" s="21"/>
      <c r="DE1154" s="22"/>
      <c r="DG1154" s="21"/>
      <c r="DK1154" s="26"/>
      <c r="DL1154" s="26"/>
      <c r="DM1154" s="26"/>
      <c r="DN1154" s="21"/>
      <c r="DO1154" s="21"/>
      <c r="EF1154" s="25"/>
      <c r="EG1154" s="25"/>
      <c r="EY1154" s="20"/>
    </row>
    <row r="1155" spans="1:155">
      <c r="A1155" s="21"/>
      <c r="B1155" s="21"/>
      <c r="AA1155" s="26"/>
      <c r="AB1155" s="26"/>
      <c r="AC1155" s="21"/>
      <c r="AD1155" s="21"/>
      <c r="AY1155" s="26"/>
      <c r="AZ1155" s="26"/>
      <c r="BB1155" s="26"/>
      <c r="BD1155" s="21"/>
      <c r="CN1155" s="26"/>
      <c r="DB1155" s="24"/>
      <c r="DD1155" s="21"/>
      <c r="DE1155" s="22"/>
      <c r="DG1155" s="21"/>
      <c r="DK1155" s="26"/>
      <c r="DL1155" s="26"/>
      <c r="DM1155" s="26"/>
      <c r="DN1155" s="21"/>
      <c r="DO1155" s="21"/>
      <c r="EF1155" s="25"/>
      <c r="EG1155" s="25"/>
      <c r="EY1155" s="20"/>
    </row>
    <row r="1156" spans="1:155">
      <c r="A1156" s="21"/>
      <c r="B1156" s="21"/>
      <c r="AA1156" s="26"/>
      <c r="AB1156" s="26"/>
      <c r="AC1156" s="21"/>
      <c r="AD1156" s="21"/>
      <c r="AY1156" s="26"/>
      <c r="AZ1156" s="26"/>
      <c r="BB1156" s="26"/>
      <c r="BD1156" s="21"/>
      <c r="CN1156" s="26"/>
      <c r="DB1156" s="24"/>
      <c r="DD1156" s="21"/>
      <c r="DE1156" s="22"/>
      <c r="DG1156" s="21"/>
      <c r="DK1156" s="26"/>
      <c r="DL1156" s="26"/>
      <c r="DM1156" s="26"/>
      <c r="DN1156" s="21"/>
      <c r="DO1156" s="21"/>
      <c r="EF1156" s="25"/>
      <c r="EG1156" s="25"/>
      <c r="EY1156" s="20"/>
    </row>
    <row r="1157" spans="1:155">
      <c r="A1157" s="21"/>
      <c r="B1157" s="21"/>
      <c r="AA1157" s="26"/>
      <c r="AB1157" s="26"/>
      <c r="AC1157" s="21"/>
      <c r="AD1157" s="21"/>
      <c r="AY1157" s="26"/>
      <c r="AZ1157" s="26"/>
      <c r="BB1157" s="26"/>
      <c r="BD1157" s="21"/>
      <c r="CN1157" s="26"/>
      <c r="DB1157" s="24"/>
      <c r="DD1157" s="21"/>
      <c r="DE1157" s="22"/>
      <c r="DG1157" s="21"/>
      <c r="DK1157" s="26"/>
      <c r="DL1157" s="26"/>
      <c r="DM1157" s="26"/>
      <c r="DN1157" s="21"/>
      <c r="DO1157" s="21"/>
      <c r="EF1157" s="25"/>
      <c r="EG1157" s="25"/>
      <c r="EY1157" s="20"/>
    </row>
    <row r="1158" spans="1:155">
      <c r="A1158" s="21"/>
      <c r="B1158" s="21"/>
      <c r="AA1158" s="26"/>
      <c r="AB1158" s="26"/>
      <c r="AC1158" s="21"/>
      <c r="AD1158" s="21"/>
      <c r="AY1158" s="26"/>
      <c r="AZ1158" s="26"/>
      <c r="BB1158" s="26"/>
      <c r="BD1158" s="21"/>
      <c r="CN1158" s="26"/>
      <c r="DB1158" s="24"/>
      <c r="DD1158" s="21"/>
      <c r="DE1158" s="22"/>
      <c r="DG1158" s="21"/>
      <c r="DK1158" s="26"/>
      <c r="DL1158" s="26"/>
      <c r="DM1158" s="26"/>
      <c r="DN1158" s="21"/>
      <c r="DO1158" s="21"/>
      <c r="EF1158" s="25"/>
      <c r="EG1158" s="25"/>
      <c r="EY1158" s="20"/>
    </row>
    <row r="1159" spans="1:155">
      <c r="A1159" s="21"/>
      <c r="B1159" s="21"/>
      <c r="AA1159" s="26"/>
      <c r="AB1159" s="26"/>
      <c r="AC1159" s="21"/>
      <c r="AD1159" s="21"/>
      <c r="AY1159" s="26"/>
      <c r="AZ1159" s="26"/>
      <c r="BB1159" s="26"/>
      <c r="BD1159" s="21"/>
      <c r="CN1159" s="26"/>
      <c r="DB1159" s="24"/>
      <c r="DD1159" s="21"/>
      <c r="DE1159" s="22"/>
      <c r="DG1159" s="21"/>
      <c r="DK1159" s="26"/>
      <c r="DL1159" s="26"/>
      <c r="DM1159" s="26"/>
      <c r="DN1159" s="21"/>
      <c r="DO1159" s="21"/>
      <c r="EF1159" s="25"/>
      <c r="EG1159" s="25"/>
      <c r="EY1159" s="20"/>
    </row>
    <row r="1160" spans="1:155">
      <c r="A1160" s="21"/>
      <c r="B1160" s="21"/>
      <c r="AA1160" s="26"/>
      <c r="AB1160" s="26"/>
      <c r="AC1160" s="21"/>
      <c r="AD1160" s="21"/>
      <c r="AY1160" s="26"/>
      <c r="AZ1160" s="26"/>
      <c r="BB1160" s="26"/>
      <c r="BD1160" s="21"/>
      <c r="CN1160" s="26"/>
      <c r="DB1160" s="24"/>
      <c r="DD1160" s="21"/>
      <c r="DE1160" s="22"/>
      <c r="DG1160" s="21"/>
      <c r="DK1160" s="26"/>
      <c r="DL1160" s="26"/>
      <c r="DM1160" s="26"/>
      <c r="DN1160" s="21"/>
      <c r="DO1160" s="21"/>
      <c r="EF1160" s="25"/>
      <c r="EG1160" s="25"/>
      <c r="EY1160" s="20"/>
    </row>
    <row r="1161" spans="1:155">
      <c r="A1161" s="21"/>
      <c r="B1161" s="21"/>
      <c r="AA1161" s="26"/>
      <c r="AB1161" s="26"/>
      <c r="AC1161" s="21"/>
      <c r="AD1161" s="21"/>
      <c r="AY1161" s="26"/>
      <c r="AZ1161" s="26"/>
      <c r="BB1161" s="26"/>
      <c r="BD1161" s="21"/>
      <c r="CN1161" s="26"/>
      <c r="DB1161" s="24"/>
      <c r="DD1161" s="21"/>
      <c r="DE1161" s="22"/>
      <c r="DG1161" s="21"/>
      <c r="DK1161" s="26"/>
      <c r="DL1161" s="26"/>
      <c r="DM1161" s="26"/>
      <c r="DN1161" s="21"/>
      <c r="DO1161" s="21"/>
      <c r="EF1161" s="25"/>
      <c r="EG1161" s="25"/>
      <c r="EY1161" s="20"/>
    </row>
    <row r="1162" spans="1:155">
      <c r="A1162" s="21"/>
      <c r="B1162" s="21"/>
      <c r="AA1162" s="26"/>
      <c r="AB1162" s="26"/>
      <c r="AC1162" s="21"/>
      <c r="AD1162" s="21"/>
      <c r="AY1162" s="26"/>
      <c r="AZ1162" s="26"/>
      <c r="BB1162" s="26"/>
      <c r="BD1162" s="21"/>
      <c r="CN1162" s="26"/>
      <c r="DB1162" s="24"/>
      <c r="DD1162" s="21"/>
      <c r="DE1162" s="22"/>
      <c r="DG1162" s="21"/>
      <c r="DK1162" s="26"/>
      <c r="DL1162" s="26"/>
      <c r="DM1162" s="26"/>
      <c r="DN1162" s="21"/>
      <c r="DO1162" s="21"/>
      <c r="EF1162" s="25"/>
      <c r="EG1162" s="25"/>
      <c r="EY1162" s="20"/>
    </row>
    <row r="1163" spans="1:155">
      <c r="A1163" s="21"/>
      <c r="B1163" s="21"/>
      <c r="AA1163" s="26"/>
      <c r="AB1163" s="26"/>
      <c r="AC1163" s="21"/>
      <c r="AD1163" s="21"/>
      <c r="AY1163" s="26"/>
      <c r="AZ1163" s="26"/>
      <c r="BB1163" s="26"/>
      <c r="BD1163" s="21"/>
      <c r="CN1163" s="26"/>
      <c r="DB1163" s="24"/>
      <c r="DD1163" s="21"/>
      <c r="DE1163" s="22"/>
      <c r="DG1163" s="21"/>
      <c r="DK1163" s="26"/>
      <c r="DL1163" s="26"/>
      <c r="DM1163" s="26"/>
      <c r="DN1163" s="21"/>
      <c r="DO1163" s="21"/>
      <c r="EF1163" s="25"/>
      <c r="EG1163" s="25"/>
      <c r="EY1163" s="20"/>
    </row>
    <row r="1164" spans="1:155">
      <c r="A1164" s="21"/>
      <c r="B1164" s="21"/>
      <c r="AA1164" s="26"/>
      <c r="AB1164" s="26"/>
      <c r="AC1164" s="21"/>
      <c r="AD1164" s="21"/>
      <c r="AY1164" s="26"/>
      <c r="AZ1164" s="26"/>
      <c r="BB1164" s="26"/>
      <c r="BD1164" s="21"/>
      <c r="CN1164" s="26"/>
      <c r="DB1164" s="24"/>
      <c r="DD1164" s="21"/>
      <c r="DE1164" s="22"/>
      <c r="DG1164" s="21"/>
      <c r="DK1164" s="26"/>
      <c r="DL1164" s="26"/>
      <c r="DM1164" s="26"/>
      <c r="DN1164" s="21"/>
      <c r="DO1164" s="21"/>
      <c r="EF1164" s="25"/>
      <c r="EG1164" s="25"/>
      <c r="EY1164" s="20"/>
    </row>
    <row r="1165" spans="1:155">
      <c r="A1165" s="21"/>
      <c r="B1165" s="21"/>
      <c r="AA1165" s="26"/>
      <c r="AB1165" s="26"/>
      <c r="AC1165" s="21"/>
      <c r="AD1165" s="21"/>
      <c r="AY1165" s="26"/>
      <c r="AZ1165" s="26"/>
      <c r="BB1165" s="26"/>
      <c r="BD1165" s="21"/>
      <c r="CN1165" s="26"/>
      <c r="DB1165" s="24"/>
      <c r="DD1165" s="21"/>
      <c r="DE1165" s="22"/>
      <c r="DG1165" s="21"/>
      <c r="DK1165" s="26"/>
      <c r="DL1165" s="26"/>
      <c r="DM1165" s="26"/>
      <c r="DN1165" s="21"/>
      <c r="DO1165" s="21"/>
      <c r="EF1165" s="25"/>
      <c r="EG1165" s="25"/>
      <c r="EY1165" s="20"/>
    </row>
    <row r="1166" spans="1:155">
      <c r="A1166" s="21"/>
      <c r="B1166" s="21"/>
      <c r="AA1166" s="26"/>
      <c r="AB1166" s="26"/>
      <c r="AC1166" s="21"/>
      <c r="AD1166" s="21"/>
      <c r="AY1166" s="26"/>
      <c r="AZ1166" s="26"/>
      <c r="BB1166" s="26"/>
      <c r="BD1166" s="21"/>
      <c r="CN1166" s="26"/>
      <c r="DB1166" s="24"/>
      <c r="DD1166" s="21"/>
      <c r="DE1166" s="22"/>
      <c r="DG1166" s="21"/>
      <c r="DK1166" s="26"/>
      <c r="DL1166" s="26"/>
      <c r="DM1166" s="26"/>
      <c r="DN1166" s="21"/>
      <c r="DO1166" s="21"/>
      <c r="EF1166" s="25"/>
      <c r="EG1166" s="25"/>
      <c r="EY1166" s="20"/>
    </row>
    <row r="1167" spans="1:155">
      <c r="A1167" s="21"/>
      <c r="B1167" s="21"/>
      <c r="AA1167" s="26"/>
      <c r="AB1167" s="26"/>
      <c r="AC1167" s="21"/>
      <c r="AD1167" s="21"/>
      <c r="AY1167" s="26"/>
      <c r="AZ1167" s="26"/>
      <c r="BB1167" s="26"/>
      <c r="BD1167" s="21"/>
      <c r="CN1167" s="26"/>
      <c r="DB1167" s="24"/>
      <c r="DD1167" s="21"/>
      <c r="DE1167" s="22"/>
      <c r="DG1167" s="21"/>
      <c r="DK1167" s="26"/>
      <c r="DL1167" s="26"/>
      <c r="DM1167" s="26"/>
      <c r="DN1167" s="21"/>
      <c r="DO1167" s="21"/>
      <c r="EF1167" s="25"/>
      <c r="EG1167" s="25"/>
      <c r="EY1167" s="20"/>
    </row>
    <row r="1168" spans="1:155">
      <c r="A1168" s="21"/>
      <c r="B1168" s="21"/>
      <c r="AA1168" s="26"/>
      <c r="AB1168" s="26"/>
      <c r="AC1168" s="21"/>
      <c r="AD1168" s="21"/>
      <c r="AY1168" s="26"/>
      <c r="AZ1168" s="26"/>
      <c r="BB1168" s="26"/>
      <c r="BD1168" s="21"/>
      <c r="CN1168" s="26"/>
      <c r="DB1168" s="24"/>
      <c r="DD1168" s="21"/>
      <c r="DE1168" s="22"/>
      <c r="DG1168" s="21"/>
      <c r="DK1168" s="26"/>
      <c r="DL1168" s="26"/>
      <c r="DM1168" s="26"/>
      <c r="DN1168" s="21"/>
      <c r="DO1168" s="21"/>
      <c r="EF1168" s="25"/>
      <c r="EG1168" s="25"/>
      <c r="EY1168" s="20"/>
    </row>
    <row r="1169" spans="1:155">
      <c r="A1169" s="21"/>
      <c r="B1169" s="21"/>
      <c r="AA1169" s="26"/>
      <c r="AB1169" s="26"/>
      <c r="AC1169" s="21"/>
      <c r="AD1169" s="21"/>
      <c r="AY1169" s="26"/>
      <c r="AZ1169" s="26"/>
      <c r="BB1169" s="26"/>
      <c r="BD1169" s="21"/>
      <c r="CN1169" s="26"/>
      <c r="DB1169" s="24"/>
      <c r="DD1169" s="21"/>
      <c r="DE1169" s="22"/>
      <c r="DG1169" s="21"/>
      <c r="DK1169" s="26"/>
      <c r="DL1169" s="26"/>
      <c r="DM1169" s="26"/>
      <c r="DN1169" s="21"/>
      <c r="DO1169" s="21"/>
      <c r="EF1169" s="25"/>
      <c r="EG1169" s="25"/>
      <c r="EY1169" s="20"/>
    </row>
    <row r="1170" spans="1:155">
      <c r="A1170" s="21"/>
      <c r="B1170" s="21"/>
      <c r="AA1170" s="26"/>
      <c r="AB1170" s="26"/>
      <c r="AC1170" s="21"/>
      <c r="AD1170" s="21"/>
      <c r="AY1170" s="26"/>
      <c r="AZ1170" s="26"/>
      <c r="BB1170" s="26"/>
      <c r="BD1170" s="21"/>
      <c r="CN1170" s="26"/>
      <c r="DB1170" s="24"/>
      <c r="DD1170" s="21"/>
      <c r="DE1170" s="22"/>
      <c r="DG1170" s="21"/>
      <c r="DK1170" s="26"/>
      <c r="DL1170" s="26"/>
      <c r="DM1170" s="26"/>
      <c r="DN1170" s="21"/>
      <c r="DO1170" s="21"/>
      <c r="EF1170" s="25"/>
      <c r="EG1170" s="25"/>
      <c r="EY1170" s="20"/>
    </row>
    <row r="1171" spans="1:155">
      <c r="A1171" s="21"/>
      <c r="B1171" s="21"/>
      <c r="AA1171" s="26"/>
      <c r="AB1171" s="26"/>
      <c r="AC1171" s="21"/>
      <c r="AD1171" s="21"/>
      <c r="AY1171" s="26"/>
      <c r="AZ1171" s="26"/>
      <c r="BB1171" s="26"/>
      <c r="BD1171" s="21"/>
      <c r="CN1171" s="26"/>
      <c r="DB1171" s="24"/>
      <c r="DD1171" s="21"/>
      <c r="DE1171" s="22"/>
      <c r="DG1171" s="21"/>
      <c r="DK1171" s="26"/>
      <c r="DL1171" s="26"/>
      <c r="DM1171" s="26"/>
      <c r="DN1171" s="21"/>
      <c r="DO1171" s="21"/>
      <c r="EF1171" s="25"/>
      <c r="EG1171" s="25"/>
      <c r="EY1171" s="20"/>
    </row>
    <row r="1172" spans="1:155">
      <c r="A1172" s="21"/>
      <c r="B1172" s="21"/>
      <c r="AA1172" s="26"/>
      <c r="AB1172" s="26"/>
      <c r="AC1172" s="21"/>
      <c r="AD1172" s="21"/>
      <c r="AY1172" s="26"/>
      <c r="AZ1172" s="26"/>
      <c r="BB1172" s="26"/>
      <c r="BD1172" s="21"/>
      <c r="CN1172" s="26"/>
      <c r="DB1172" s="24"/>
      <c r="DD1172" s="21"/>
      <c r="DE1172" s="22"/>
      <c r="DG1172" s="21"/>
      <c r="DK1172" s="26"/>
      <c r="DL1172" s="26"/>
      <c r="DM1172" s="26"/>
      <c r="DN1172" s="21"/>
      <c r="DO1172" s="21"/>
      <c r="EF1172" s="25"/>
      <c r="EG1172" s="25"/>
      <c r="EY1172" s="20"/>
    </row>
    <row r="1173" spans="1:155">
      <c r="A1173" s="21"/>
      <c r="B1173" s="21"/>
      <c r="AA1173" s="26"/>
      <c r="AB1173" s="26"/>
      <c r="AC1173" s="21"/>
      <c r="AD1173" s="21"/>
      <c r="AY1173" s="26"/>
      <c r="AZ1173" s="26"/>
      <c r="BB1173" s="26"/>
      <c r="BD1173" s="21"/>
      <c r="CN1173" s="26"/>
      <c r="DB1173" s="24"/>
      <c r="DD1173" s="21"/>
      <c r="DE1173" s="22"/>
      <c r="DG1173" s="21"/>
      <c r="DK1173" s="26"/>
      <c r="DL1173" s="26"/>
      <c r="DM1173" s="26"/>
      <c r="DN1173" s="21"/>
      <c r="DO1173" s="21"/>
      <c r="EF1173" s="25"/>
      <c r="EG1173" s="25"/>
      <c r="EY1173" s="20"/>
    </row>
    <row r="1174" spans="1:155">
      <c r="A1174" s="21"/>
      <c r="B1174" s="21"/>
      <c r="AA1174" s="26"/>
      <c r="AB1174" s="26"/>
      <c r="AC1174" s="21"/>
      <c r="AD1174" s="21"/>
      <c r="AY1174" s="26"/>
      <c r="AZ1174" s="26"/>
      <c r="BB1174" s="26"/>
      <c r="BD1174" s="21"/>
      <c r="CN1174" s="26"/>
      <c r="DB1174" s="24"/>
      <c r="DD1174" s="21"/>
      <c r="DE1174" s="22"/>
      <c r="DG1174" s="21"/>
      <c r="DK1174" s="26"/>
      <c r="DL1174" s="26"/>
      <c r="DM1174" s="26"/>
      <c r="DN1174" s="21"/>
      <c r="DO1174" s="21"/>
      <c r="EF1174" s="25"/>
      <c r="EG1174" s="25"/>
      <c r="EY1174" s="20"/>
    </row>
    <row r="1175" spans="1:155">
      <c r="A1175" s="21"/>
      <c r="B1175" s="21"/>
      <c r="AA1175" s="26"/>
      <c r="AB1175" s="26"/>
      <c r="AC1175" s="21"/>
      <c r="AD1175" s="21"/>
      <c r="AY1175" s="26"/>
      <c r="AZ1175" s="26"/>
      <c r="BB1175" s="26"/>
      <c r="BD1175" s="21"/>
      <c r="CN1175" s="26"/>
      <c r="DB1175" s="24"/>
      <c r="DD1175" s="21"/>
      <c r="DE1175" s="22"/>
      <c r="DG1175" s="21"/>
      <c r="DK1175" s="26"/>
      <c r="DL1175" s="26"/>
      <c r="DM1175" s="26"/>
      <c r="DN1175" s="21"/>
      <c r="DO1175" s="21"/>
      <c r="EF1175" s="25"/>
      <c r="EG1175" s="25"/>
      <c r="EY1175" s="20"/>
    </row>
    <row r="1176" spans="1:155">
      <c r="A1176" s="21"/>
      <c r="B1176" s="21"/>
      <c r="AA1176" s="26"/>
      <c r="AB1176" s="26"/>
      <c r="AC1176" s="21"/>
      <c r="AD1176" s="21"/>
      <c r="AY1176" s="26"/>
      <c r="AZ1176" s="26"/>
      <c r="BB1176" s="26"/>
      <c r="BD1176" s="21"/>
      <c r="CN1176" s="26"/>
      <c r="DB1176" s="24"/>
      <c r="DD1176" s="21"/>
      <c r="DE1176" s="22"/>
      <c r="DG1176" s="21"/>
      <c r="DK1176" s="26"/>
      <c r="DL1176" s="26"/>
      <c r="DM1176" s="26"/>
      <c r="DN1176" s="21"/>
      <c r="DO1176" s="21"/>
      <c r="EF1176" s="25"/>
      <c r="EG1176" s="25"/>
      <c r="EY1176" s="20"/>
    </row>
    <row r="1177" spans="1:155">
      <c r="A1177" s="21"/>
      <c r="B1177" s="21"/>
      <c r="AA1177" s="26"/>
      <c r="AB1177" s="26"/>
      <c r="AC1177" s="21"/>
      <c r="AD1177" s="21"/>
      <c r="AY1177" s="26"/>
      <c r="AZ1177" s="26"/>
      <c r="BB1177" s="26"/>
      <c r="BD1177" s="21"/>
      <c r="CN1177" s="26"/>
      <c r="DB1177" s="24"/>
      <c r="DD1177" s="21"/>
      <c r="DE1177" s="22"/>
      <c r="DG1177" s="21"/>
      <c r="DK1177" s="26"/>
      <c r="DL1177" s="26"/>
      <c r="DM1177" s="26"/>
      <c r="DN1177" s="21"/>
      <c r="DO1177" s="21"/>
      <c r="EF1177" s="25"/>
      <c r="EG1177" s="25"/>
      <c r="EY1177" s="20"/>
    </row>
    <row r="1178" spans="1:155">
      <c r="A1178" s="21"/>
      <c r="B1178" s="21"/>
      <c r="AA1178" s="26"/>
      <c r="AB1178" s="26"/>
      <c r="AC1178" s="21"/>
      <c r="AD1178" s="21"/>
      <c r="AY1178" s="26"/>
      <c r="AZ1178" s="26"/>
      <c r="BB1178" s="26"/>
      <c r="BD1178" s="21"/>
      <c r="CN1178" s="26"/>
      <c r="DB1178" s="24"/>
      <c r="DD1178" s="21"/>
      <c r="DE1178" s="22"/>
      <c r="DG1178" s="21"/>
      <c r="DK1178" s="26"/>
      <c r="DL1178" s="26"/>
      <c r="DM1178" s="26"/>
      <c r="DN1178" s="21"/>
      <c r="DO1178" s="21"/>
      <c r="EF1178" s="25"/>
      <c r="EG1178" s="25"/>
      <c r="EY1178" s="20"/>
    </row>
    <row r="1179" spans="1:155">
      <c r="A1179" s="21"/>
      <c r="B1179" s="21"/>
      <c r="AA1179" s="26"/>
      <c r="AB1179" s="26"/>
      <c r="AC1179" s="21"/>
      <c r="AD1179" s="21"/>
      <c r="AY1179" s="26"/>
      <c r="AZ1179" s="26"/>
      <c r="BB1179" s="26"/>
      <c r="BD1179" s="21"/>
      <c r="CN1179" s="26"/>
      <c r="DB1179" s="24"/>
      <c r="DD1179" s="21"/>
      <c r="DE1179" s="22"/>
      <c r="DG1179" s="21"/>
      <c r="DK1179" s="26"/>
      <c r="DL1179" s="26"/>
      <c r="DM1179" s="26"/>
      <c r="DN1179" s="21"/>
      <c r="DO1179" s="21"/>
      <c r="EF1179" s="25"/>
      <c r="EG1179" s="25"/>
      <c r="EY1179" s="20"/>
    </row>
    <row r="1180" spans="1:155">
      <c r="A1180" s="21"/>
      <c r="B1180" s="21"/>
      <c r="AA1180" s="26"/>
      <c r="AB1180" s="26"/>
      <c r="AC1180" s="21"/>
      <c r="AD1180" s="21"/>
      <c r="AY1180" s="26"/>
      <c r="AZ1180" s="26"/>
      <c r="BB1180" s="26"/>
      <c r="BD1180" s="21"/>
      <c r="CN1180" s="26"/>
      <c r="DB1180" s="24"/>
      <c r="DD1180" s="21"/>
      <c r="DE1180" s="22"/>
      <c r="DG1180" s="21"/>
      <c r="DK1180" s="26"/>
      <c r="DL1180" s="26"/>
      <c r="DM1180" s="26"/>
      <c r="DN1180" s="21"/>
      <c r="DO1180" s="21"/>
      <c r="EF1180" s="25"/>
      <c r="EG1180" s="25"/>
      <c r="EY1180" s="20"/>
    </row>
    <row r="1181" spans="1:155">
      <c r="A1181" s="21"/>
      <c r="B1181" s="21"/>
      <c r="AA1181" s="26"/>
      <c r="AB1181" s="26"/>
      <c r="AC1181" s="21"/>
      <c r="AD1181" s="21"/>
      <c r="AY1181" s="26"/>
      <c r="AZ1181" s="26"/>
      <c r="BB1181" s="26"/>
      <c r="BD1181" s="21"/>
      <c r="CN1181" s="26"/>
      <c r="DB1181" s="24"/>
      <c r="DD1181" s="21"/>
      <c r="DE1181" s="22"/>
      <c r="DG1181" s="21"/>
      <c r="DK1181" s="26"/>
      <c r="DL1181" s="26"/>
      <c r="DM1181" s="26"/>
      <c r="DN1181" s="21"/>
      <c r="DO1181" s="21"/>
      <c r="EF1181" s="25"/>
      <c r="EG1181" s="25"/>
      <c r="EY1181" s="20"/>
    </row>
    <row r="1182" spans="1:155">
      <c r="A1182" s="21"/>
      <c r="B1182" s="21"/>
      <c r="AA1182" s="26"/>
      <c r="AB1182" s="26"/>
      <c r="AC1182" s="21"/>
      <c r="AD1182" s="21"/>
      <c r="AY1182" s="26"/>
      <c r="AZ1182" s="26"/>
      <c r="BB1182" s="26"/>
      <c r="BD1182" s="21"/>
      <c r="CN1182" s="26"/>
      <c r="DB1182" s="24"/>
      <c r="DD1182" s="21"/>
      <c r="DE1182" s="22"/>
      <c r="DG1182" s="21"/>
      <c r="DK1182" s="26"/>
      <c r="DL1182" s="26"/>
      <c r="DM1182" s="26"/>
      <c r="DN1182" s="21"/>
      <c r="DO1182" s="21"/>
      <c r="EF1182" s="25"/>
      <c r="EG1182" s="25"/>
      <c r="EY1182" s="20"/>
    </row>
    <row r="1183" spans="1:155">
      <c r="A1183" s="21"/>
      <c r="B1183" s="21"/>
      <c r="AA1183" s="26"/>
      <c r="AB1183" s="26"/>
      <c r="AC1183" s="21"/>
      <c r="AD1183" s="21"/>
      <c r="AY1183" s="26"/>
      <c r="AZ1183" s="26"/>
      <c r="BB1183" s="26"/>
      <c r="BD1183" s="21"/>
      <c r="CN1183" s="26"/>
      <c r="DB1183" s="24"/>
      <c r="DD1183" s="21"/>
      <c r="DE1183" s="22"/>
      <c r="DG1183" s="21"/>
      <c r="DK1183" s="26"/>
      <c r="DL1183" s="26"/>
      <c r="DM1183" s="26"/>
      <c r="DN1183" s="21"/>
      <c r="DO1183" s="21"/>
      <c r="EF1183" s="25"/>
      <c r="EG1183" s="25"/>
      <c r="EY1183" s="20"/>
    </row>
    <row r="1184" spans="1:155">
      <c r="A1184" s="21"/>
      <c r="B1184" s="21"/>
      <c r="AA1184" s="26"/>
      <c r="AB1184" s="26"/>
      <c r="AC1184" s="21"/>
      <c r="AD1184" s="21"/>
      <c r="AY1184" s="26"/>
      <c r="AZ1184" s="26"/>
      <c r="BB1184" s="26"/>
      <c r="BD1184" s="21"/>
      <c r="CN1184" s="26"/>
      <c r="DB1184" s="24"/>
      <c r="DD1184" s="21"/>
      <c r="DE1184" s="22"/>
      <c r="DG1184" s="21"/>
      <c r="DK1184" s="26"/>
      <c r="DL1184" s="26"/>
      <c r="DM1184" s="26"/>
      <c r="DN1184" s="21"/>
      <c r="DO1184" s="21"/>
      <c r="EF1184" s="25"/>
      <c r="EG1184" s="25"/>
      <c r="EY1184" s="20"/>
    </row>
    <row r="1185" spans="1:155">
      <c r="A1185" s="21"/>
      <c r="B1185" s="21"/>
      <c r="AA1185" s="26"/>
      <c r="AB1185" s="26"/>
      <c r="AC1185" s="21"/>
      <c r="AD1185" s="21"/>
      <c r="AY1185" s="26"/>
      <c r="AZ1185" s="26"/>
      <c r="BB1185" s="26"/>
      <c r="BD1185" s="21"/>
      <c r="CN1185" s="26"/>
      <c r="DB1185" s="24"/>
      <c r="DD1185" s="21"/>
      <c r="DE1185" s="22"/>
      <c r="DG1185" s="21"/>
      <c r="DK1185" s="26"/>
      <c r="DL1185" s="26"/>
      <c r="DM1185" s="26"/>
      <c r="DN1185" s="21"/>
      <c r="DO1185" s="21"/>
      <c r="EF1185" s="25"/>
      <c r="EG1185" s="25"/>
      <c r="EY1185" s="20"/>
    </row>
    <row r="1186" spans="1:155">
      <c r="A1186" s="21"/>
      <c r="B1186" s="21"/>
      <c r="AA1186" s="26"/>
      <c r="AB1186" s="26"/>
      <c r="AC1186" s="21"/>
      <c r="AD1186" s="21"/>
      <c r="AY1186" s="26"/>
      <c r="AZ1186" s="26"/>
      <c r="BB1186" s="26"/>
      <c r="BD1186" s="21"/>
      <c r="CN1186" s="26"/>
      <c r="DB1186" s="24"/>
      <c r="DD1186" s="21"/>
      <c r="DE1186" s="22"/>
      <c r="DG1186" s="21"/>
      <c r="DK1186" s="26"/>
      <c r="DL1186" s="26"/>
      <c r="DM1186" s="26"/>
      <c r="DN1186" s="21"/>
      <c r="DO1186" s="21"/>
      <c r="EF1186" s="25"/>
      <c r="EG1186" s="25"/>
      <c r="EY1186" s="20"/>
    </row>
    <row r="1187" spans="1:155">
      <c r="A1187" s="21"/>
      <c r="B1187" s="21"/>
      <c r="AA1187" s="26"/>
      <c r="AB1187" s="26"/>
      <c r="AC1187" s="21"/>
      <c r="AD1187" s="21"/>
      <c r="AY1187" s="26"/>
      <c r="AZ1187" s="26"/>
      <c r="BB1187" s="26"/>
      <c r="BD1187" s="21"/>
      <c r="CN1187" s="26"/>
      <c r="DB1187" s="24"/>
      <c r="DD1187" s="21"/>
      <c r="DE1187" s="22"/>
      <c r="DG1187" s="21"/>
      <c r="DK1187" s="26"/>
      <c r="DL1187" s="26"/>
      <c r="DM1187" s="26"/>
      <c r="DN1187" s="21"/>
      <c r="DO1187" s="21"/>
      <c r="EF1187" s="25"/>
      <c r="EG1187" s="25"/>
      <c r="EY1187" s="20"/>
    </row>
    <row r="1188" spans="1:155">
      <c r="A1188" s="21"/>
      <c r="B1188" s="21"/>
      <c r="AA1188" s="26"/>
      <c r="AB1188" s="26"/>
      <c r="AC1188" s="21"/>
      <c r="AD1188" s="21"/>
      <c r="AY1188" s="26"/>
      <c r="AZ1188" s="26"/>
      <c r="BB1188" s="26"/>
      <c r="BD1188" s="21"/>
      <c r="CN1188" s="26"/>
      <c r="DB1188" s="24"/>
      <c r="DD1188" s="21"/>
      <c r="DE1188" s="22"/>
      <c r="DG1188" s="21"/>
      <c r="DK1188" s="26"/>
      <c r="DL1188" s="26"/>
      <c r="DM1188" s="26"/>
      <c r="DN1188" s="21"/>
      <c r="DO1188" s="21"/>
      <c r="EF1188" s="25"/>
      <c r="EG1188" s="25"/>
      <c r="EY1188" s="20"/>
    </row>
    <row r="1189" spans="1:155">
      <c r="A1189" s="21"/>
      <c r="B1189" s="21"/>
      <c r="AA1189" s="26"/>
      <c r="AB1189" s="26"/>
      <c r="AC1189" s="21"/>
      <c r="AD1189" s="21"/>
      <c r="AY1189" s="26"/>
      <c r="AZ1189" s="26"/>
      <c r="BB1189" s="26"/>
      <c r="BD1189" s="21"/>
      <c r="CN1189" s="26"/>
      <c r="DB1189" s="24"/>
      <c r="DD1189" s="21"/>
      <c r="DE1189" s="22"/>
      <c r="DG1189" s="21"/>
      <c r="DK1189" s="26"/>
      <c r="DL1189" s="26"/>
      <c r="DM1189" s="26"/>
      <c r="DN1189" s="21"/>
      <c r="DO1189" s="21"/>
      <c r="EF1189" s="25"/>
      <c r="EG1189" s="25"/>
      <c r="EY1189" s="20"/>
    </row>
    <row r="1190" spans="1:155">
      <c r="A1190" s="21"/>
      <c r="B1190" s="21"/>
      <c r="AA1190" s="26"/>
      <c r="AB1190" s="26"/>
      <c r="AC1190" s="21"/>
      <c r="AD1190" s="21"/>
      <c r="AY1190" s="26"/>
      <c r="AZ1190" s="26"/>
      <c r="BB1190" s="26"/>
      <c r="BD1190" s="21"/>
      <c r="CN1190" s="26"/>
      <c r="DB1190" s="24"/>
      <c r="DD1190" s="21"/>
      <c r="DE1190" s="22"/>
      <c r="DG1190" s="21"/>
      <c r="DK1190" s="26"/>
      <c r="DL1190" s="26"/>
      <c r="DM1190" s="26"/>
      <c r="DN1190" s="21"/>
      <c r="DO1190" s="21"/>
      <c r="EF1190" s="25"/>
      <c r="EG1190" s="25"/>
      <c r="EY1190" s="20"/>
    </row>
    <row r="1191" spans="1:155">
      <c r="A1191" s="21"/>
      <c r="B1191" s="21"/>
      <c r="AA1191" s="26"/>
      <c r="AB1191" s="26"/>
      <c r="AC1191" s="21"/>
      <c r="AD1191" s="21"/>
      <c r="AY1191" s="26"/>
      <c r="AZ1191" s="26"/>
      <c r="BB1191" s="26"/>
      <c r="BD1191" s="21"/>
      <c r="CN1191" s="26"/>
      <c r="DB1191" s="24"/>
      <c r="DD1191" s="21"/>
      <c r="DE1191" s="22"/>
      <c r="DG1191" s="21"/>
      <c r="DK1191" s="26"/>
      <c r="DL1191" s="26"/>
      <c r="DM1191" s="26"/>
      <c r="DN1191" s="21"/>
      <c r="DO1191" s="21"/>
      <c r="EF1191" s="25"/>
      <c r="EG1191" s="25"/>
      <c r="EY1191" s="20"/>
    </row>
    <row r="1192" spans="1:155">
      <c r="A1192" s="21"/>
      <c r="B1192" s="21"/>
      <c r="AA1192" s="26"/>
      <c r="AB1192" s="26"/>
      <c r="AC1192" s="21"/>
      <c r="AD1192" s="21"/>
      <c r="AY1192" s="26"/>
      <c r="AZ1192" s="26"/>
      <c r="BB1192" s="26"/>
      <c r="BD1192" s="21"/>
      <c r="CN1192" s="26"/>
      <c r="DB1192" s="24"/>
      <c r="DD1192" s="21"/>
      <c r="DE1192" s="22"/>
      <c r="DG1192" s="21"/>
      <c r="DK1192" s="26"/>
      <c r="DL1192" s="26"/>
      <c r="DM1192" s="26"/>
      <c r="DN1192" s="21"/>
      <c r="DO1192" s="21"/>
      <c r="EF1192" s="25"/>
      <c r="EG1192" s="25"/>
      <c r="EY1192" s="20"/>
    </row>
    <row r="1193" spans="1:155">
      <c r="A1193" s="21"/>
      <c r="B1193" s="21"/>
      <c r="AA1193" s="26"/>
      <c r="AB1193" s="26"/>
      <c r="AC1193" s="21"/>
      <c r="AD1193" s="21"/>
      <c r="AY1193" s="26"/>
      <c r="AZ1193" s="26"/>
      <c r="BB1193" s="26"/>
      <c r="BD1193" s="21"/>
      <c r="CN1193" s="26"/>
      <c r="DB1193" s="24"/>
      <c r="DD1193" s="21"/>
      <c r="DE1193" s="22"/>
      <c r="DG1193" s="21"/>
      <c r="DK1193" s="26"/>
      <c r="DL1193" s="26"/>
      <c r="DM1193" s="26"/>
      <c r="DN1193" s="21"/>
      <c r="DO1193" s="21"/>
      <c r="EF1193" s="25"/>
      <c r="EG1193" s="25"/>
      <c r="EY1193" s="20"/>
    </row>
    <row r="1194" spans="1:155">
      <c r="A1194" s="21"/>
      <c r="B1194" s="21"/>
      <c r="AA1194" s="26"/>
      <c r="AB1194" s="26"/>
      <c r="AC1194" s="21"/>
      <c r="AD1194" s="21"/>
      <c r="AY1194" s="26"/>
      <c r="AZ1194" s="26"/>
      <c r="BB1194" s="26"/>
      <c r="BD1194" s="21"/>
      <c r="CN1194" s="26"/>
      <c r="DB1194" s="24"/>
      <c r="DD1194" s="21"/>
      <c r="DE1194" s="22"/>
      <c r="DG1194" s="21"/>
      <c r="DK1194" s="26"/>
      <c r="DL1194" s="26"/>
      <c r="DM1194" s="26"/>
      <c r="DN1194" s="21"/>
      <c r="DO1194" s="21"/>
      <c r="EF1194" s="25"/>
      <c r="EG1194" s="25"/>
      <c r="EY1194" s="20"/>
    </row>
    <row r="1195" spans="1:155">
      <c r="A1195" s="21"/>
      <c r="B1195" s="21"/>
      <c r="AA1195" s="26"/>
      <c r="AB1195" s="26"/>
      <c r="AC1195" s="21"/>
      <c r="AD1195" s="21"/>
      <c r="AY1195" s="26"/>
      <c r="AZ1195" s="26"/>
      <c r="BB1195" s="26"/>
      <c r="BD1195" s="21"/>
      <c r="CN1195" s="26"/>
      <c r="DB1195" s="24"/>
      <c r="DD1195" s="21"/>
      <c r="DE1195" s="22"/>
      <c r="DG1195" s="21"/>
      <c r="DK1195" s="26"/>
      <c r="DL1195" s="26"/>
      <c r="DM1195" s="26"/>
      <c r="DN1195" s="21"/>
      <c r="DO1195" s="21"/>
      <c r="EF1195" s="25"/>
      <c r="EG1195" s="25"/>
      <c r="EY1195" s="20"/>
    </row>
    <row r="1196" spans="1:155">
      <c r="A1196" s="21"/>
      <c r="B1196" s="21"/>
      <c r="AA1196" s="26"/>
      <c r="AB1196" s="26"/>
      <c r="AC1196" s="21"/>
      <c r="AD1196" s="21"/>
      <c r="AY1196" s="26"/>
      <c r="AZ1196" s="26"/>
      <c r="BB1196" s="26"/>
      <c r="BD1196" s="21"/>
      <c r="CN1196" s="26"/>
      <c r="DB1196" s="24"/>
      <c r="DD1196" s="21"/>
      <c r="DE1196" s="22"/>
      <c r="DG1196" s="21"/>
      <c r="DK1196" s="26"/>
      <c r="DL1196" s="26"/>
      <c r="DM1196" s="26"/>
      <c r="DN1196" s="21"/>
      <c r="DO1196" s="21"/>
      <c r="EF1196" s="25"/>
      <c r="EG1196" s="25"/>
      <c r="EY1196" s="20"/>
    </row>
    <row r="1197" spans="1:155">
      <c r="A1197" s="21"/>
      <c r="B1197" s="21"/>
      <c r="AA1197" s="26"/>
      <c r="AB1197" s="26"/>
      <c r="AC1197" s="21"/>
      <c r="AD1197" s="21"/>
      <c r="AY1197" s="26"/>
      <c r="AZ1197" s="26"/>
      <c r="BB1197" s="26"/>
      <c r="BD1197" s="21"/>
      <c r="CN1197" s="26"/>
      <c r="DB1197" s="24"/>
      <c r="DD1197" s="21"/>
      <c r="DE1197" s="22"/>
      <c r="DG1197" s="21"/>
      <c r="DK1197" s="26"/>
      <c r="DL1197" s="26"/>
      <c r="DM1197" s="26"/>
      <c r="DN1197" s="21"/>
      <c r="DO1197" s="21"/>
      <c r="EF1197" s="25"/>
      <c r="EG1197" s="25"/>
      <c r="EY1197" s="20"/>
    </row>
    <row r="1198" spans="1:155">
      <c r="A1198" s="21"/>
      <c r="B1198" s="21"/>
      <c r="AA1198" s="26"/>
      <c r="AB1198" s="26"/>
      <c r="AC1198" s="21"/>
      <c r="AD1198" s="21"/>
      <c r="AY1198" s="26"/>
      <c r="AZ1198" s="26"/>
      <c r="BB1198" s="26"/>
      <c r="BD1198" s="21"/>
      <c r="CN1198" s="26"/>
      <c r="DB1198" s="24"/>
      <c r="DD1198" s="21"/>
      <c r="DE1198" s="22"/>
      <c r="DG1198" s="21"/>
      <c r="DK1198" s="26"/>
      <c r="DL1198" s="26"/>
      <c r="DM1198" s="26"/>
      <c r="DN1198" s="21"/>
      <c r="DO1198" s="21"/>
      <c r="EF1198" s="25"/>
      <c r="EG1198" s="25"/>
      <c r="EY1198" s="20"/>
    </row>
    <row r="1199" spans="1:155">
      <c r="A1199" s="21"/>
      <c r="B1199" s="21"/>
      <c r="AA1199" s="26"/>
      <c r="AB1199" s="26"/>
      <c r="AC1199" s="21"/>
      <c r="AD1199" s="21"/>
      <c r="AY1199" s="26"/>
      <c r="AZ1199" s="26"/>
      <c r="BB1199" s="26"/>
      <c r="BD1199" s="21"/>
      <c r="CN1199" s="26"/>
      <c r="DB1199" s="24"/>
      <c r="DD1199" s="21"/>
      <c r="DE1199" s="22"/>
      <c r="DG1199" s="21"/>
      <c r="DK1199" s="26"/>
      <c r="DL1199" s="26"/>
      <c r="DM1199" s="26"/>
      <c r="DN1199" s="21"/>
      <c r="DO1199" s="21"/>
      <c r="EF1199" s="25"/>
      <c r="EG1199" s="25"/>
      <c r="EY1199" s="20"/>
    </row>
    <row r="1200" spans="1:155">
      <c r="A1200" s="21"/>
      <c r="B1200" s="21"/>
      <c r="AA1200" s="26"/>
      <c r="AB1200" s="26"/>
      <c r="AC1200" s="21"/>
      <c r="AD1200" s="21"/>
      <c r="AY1200" s="26"/>
      <c r="AZ1200" s="26"/>
      <c r="BB1200" s="26"/>
      <c r="BD1200" s="21"/>
      <c r="CN1200" s="26"/>
      <c r="DB1200" s="24"/>
      <c r="DD1200" s="21"/>
      <c r="DE1200" s="22"/>
      <c r="DG1200" s="21"/>
      <c r="DK1200" s="26"/>
      <c r="DL1200" s="26"/>
      <c r="DM1200" s="26"/>
      <c r="DN1200" s="21"/>
      <c r="DO1200" s="21"/>
      <c r="EF1200" s="25"/>
      <c r="EG1200" s="25"/>
      <c r="EY1200" s="20"/>
    </row>
    <row r="1201" spans="1:155">
      <c r="A1201" s="21"/>
      <c r="B1201" s="21"/>
      <c r="AA1201" s="26"/>
      <c r="AB1201" s="26"/>
      <c r="AC1201" s="21"/>
      <c r="AD1201" s="21"/>
      <c r="AY1201" s="26"/>
      <c r="AZ1201" s="26"/>
      <c r="BB1201" s="26"/>
      <c r="BD1201" s="21"/>
      <c r="CN1201" s="26"/>
      <c r="DB1201" s="24"/>
      <c r="DD1201" s="21"/>
      <c r="DE1201" s="22"/>
      <c r="DG1201" s="21"/>
      <c r="DK1201" s="26"/>
      <c r="DL1201" s="26"/>
      <c r="DM1201" s="26"/>
      <c r="DN1201" s="21"/>
      <c r="DO1201" s="21"/>
      <c r="EF1201" s="25"/>
      <c r="EG1201" s="25"/>
      <c r="EY1201" s="20"/>
    </row>
    <row r="1202" spans="1:155">
      <c r="A1202" s="21"/>
      <c r="B1202" s="21"/>
      <c r="AA1202" s="26"/>
      <c r="AB1202" s="26"/>
      <c r="AC1202" s="21"/>
      <c r="AD1202" s="21"/>
      <c r="AY1202" s="26"/>
      <c r="AZ1202" s="26"/>
      <c r="BB1202" s="26"/>
      <c r="BD1202" s="21"/>
      <c r="CN1202" s="26"/>
      <c r="DB1202" s="24"/>
      <c r="DD1202" s="21"/>
      <c r="DE1202" s="22"/>
      <c r="DG1202" s="21"/>
      <c r="DK1202" s="26"/>
      <c r="DL1202" s="26"/>
      <c r="DM1202" s="26"/>
      <c r="DN1202" s="21"/>
      <c r="DO1202" s="21"/>
      <c r="EF1202" s="25"/>
      <c r="EG1202" s="25"/>
      <c r="EY1202" s="20"/>
    </row>
    <row r="1203" spans="1:155">
      <c r="A1203" s="21"/>
      <c r="B1203" s="21"/>
      <c r="AA1203" s="26"/>
      <c r="AB1203" s="26"/>
      <c r="AC1203" s="21"/>
      <c r="AD1203" s="21"/>
      <c r="AY1203" s="26"/>
      <c r="AZ1203" s="26"/>
      <c r="BB1203" s="26"/>
      <c r="BD1203" s="21"/>
      <c r="CN1203" s="26"/>
      <c r="DB1203" s="24"/>
      <c r="DD1203" s="21"/>
      <c r="DE1203" s="22"/>
      <c r="DG1203" s="21"/>
      <c r="DK1203" s="26"/>
      <c r="DL1203" s="26"/>
      <c r="DM1203" s="26"/>
      <c r="DN1203" s="21"/>
      <c r="DO1203" s="21"/>
      <c r="EF1203" s="25"/>
      <c r="EG1203" s="25"/>
      <c r="EY1203" s="20"/>
    </row>
    <row r="1204" spans="1:155">
      <c r="A1204" s="21"/>
      <c r="B1204" s="21"/>
      <c r="AA1204" s="26"/>
      <c r="AB1204" s="26"/>
      <c r="AC1204" s="21"/>
      <c r="AD1204" s="21"/>
      <c r="AY1204" s="26"/>
      <c r="AZ1204" s="26"/>
      <c r="BB1204" s="26"/>
      <c r="BD1204" s="21"/>
      <c r="CN1204" s="26"/>
      <c r="DB1204" s="24"/>
      <c r="DD1204" s="21"/>
      <c r="DE1204" s="22"/>
      <c r="DG1204" s="21"/>
      <c r="DK1204" s="26"/>
      <c r="DL1204" s="26"/>
      <c r="DM1204" s="26"/>
      <c r="DN1204" s="21"/>
      <c r="DO1204" s="21"/>
      <c r="EF1204" s="25"/>
      <c r="EG1204" s="25"/>
      <c r="EY1204" s="20"/>
    </row>
    <row r="1205" spans="1:155">
      <c r="A1205" s="21"/>
      <c r="B1205" s="21"/>
      <c r="AA1205" s="26"/>
      <c r="AB1205" s="26"/>
      <c r="AC1205" s="21"/>
      <c r="AD1205" s="21"/>
      <c r="AY1205" s="26"/>
      <c r="AZ1205" s="26"/>
      <c r="BB1205" s="26"/>
      <c r="BD1205" s="21"/>
      <c r="CN1205" s="26"/>
      <c r="DB1205" s="24"/>
      <c r="DD1205" s="21"/>
      <c r="DE1205" s="22"/>
      <c r="DG1205" s="21"/>
      <c r="DK1205" s="26"/>
      <c r="DL1205" s="26"/>
      <c r="DM1205" s="26"/>
      <c r="DN1205" s="21"/>
      <c r="DO1205" s="21"/>
      <c r="EF1205" s="25"/>
      <c r="EG1205" s="25"/>
      <c r="EY1205" s="20"/>
    </row>
    <row r="1206" spans="1:155">
      <c r="A1206" s="21"/>
      <c r="B1206" s="21"/>
      <c r="AA1206" s="26"/>
      <c r="AB1206" s="26"/>
      <c r="AC1206" s="21"/>
      <c r="AD1206" s="21"/>
      <c r="AY1206" s="26"/>
      <c r="AZ1206" s="26"/>
      <c r="BB1206" s="26"/>
      <c r="BD1206" s="21"/>
      <c r="CN1206" s="26"/>
      <c r="DB1206" s="24"/>
      <c r="DD1206" s="21"/>
      <c r="DE1206" s="22"/>
      <c r="DG1206" s="21"/>
      <c r="DK1206" s="26"/>
      <c r="DL1206" s="26"/>
      <c r="DM1206" s="26"/>
      <c r="DN1206" s="21"/>
      <c r="DO1206" s="21"/>
      <c r="EF1206" s="25"/>
      <c r="EG1206" s="25"/>
      <c r="EY1206" s="20"/>
    </row>
    <row r="1207" spans="1:155">
      <c r="A1207" s="21"/>
      <c r="B1207" s="21"/>
      <c r="AA1207" s="26"/>
      <c r="AB1207" s="26"/>
      <c r="AC1207" s="21"/>
      <c r="AD1207" s="21"/>
      <c r="AY1207" s="26"/>
      <c r="AZ1207" s="26"/>
      <c r="BB1207" s="26"/>
      <c r="BD1207" s="21"/>
      <c r="CN1207" s="26"/>
      <c r="DB1207" s="24"/>
      <c r="DD1207" s="21"/>
      <c r="DE1207" s="22"/>
      <c r="DG1207" s="21"/>
      <c r="DK1207" s="26"/>
      <c r="DL1207" s="26"/>
      <c r="DM1207" s="26"/>
      <c r="DN1207" s="21"/>
      <c r="DO1207" s="21"/>
      <c r="EF1207" s="25"/>
      <c r="EG1207" s="25"/>
      <c r="EY1207" s="20"/>
    </row>
    <row r="1208" spans="1:155">
      <c r="A1208" s="21"/>
      <c r="B1208" s="21"/>
      <c r="AA1208" s="26"/>
      <c r="AB1208" s="26"/>
      <c r="AC1208" s="21"/>
      <c r="AD1208" s="21"/>
      <c r="AY1208" s="26"/>
      <c r="AZ1208" s="26"/>
      <c r="BB1208" s="26"/>
      <c r="BD1208" s="21"/>
      <c r="CN1208" s="26"/>
      <c r="DB1208" s="24"/>
      <c r="DD1208" s="21"/>
      <c r="DE1208" s="22"/>
      <c r="DG1208" s="21"/>
      <c r="DK1208" s="26"/>
      <c r="DL1208" s="26"/>
      <c r="DM1208" s="26"/>
      <c r="DN1208" s="21"/>
      <c r="DO1208" s="21"/>
      <c r="EF1208" s="25"/>
      <c r="EG1208" s="25"/>
      <c r="EY1208" s="20"/>
    </row>
    <row r="1209" spans="1:155">
      <c r="A1209" s="21"/>
      <c r="B1209" s="21"/>
      <c r="AA1209" s="26"/>
      <c r="AB1209" s="26"/>
      <c r="AC1209" s="21"/>
      <c r="AD1209" s="21"/>
      <c r="AY1209" s="26"/>
      <c r="AZ1209" s="26"/>
      <c r="BB1209" s="26"/>
      <c r="BD1209" s="21"/>
      <c r="CN1209" s="26"/>
      <c r="DB1209" s="24"/>
      <c r="DD1209" s="21"/>
      <c r="DE1209" s="22"/>
      <c r="DG1209" s="21"/>
      <c r="DK1209" s="26"/>
      <c r="DL1209" s="26"/>
      <c r="DM1209" s="26"/>
      <c r="DN1209" s="21"/>
      <c r="DO1209" s="21"/>
      <c r="EF1209" s="25"/>
      <c r="EG1209" s="25"/>
      <c r="EY1209" s="20"/>
    </row>
    <row r="1210" spans="1:155">
      <c r="A1210" s="21"/>
      <c r="B1210" s="21"/>
      <c r="AA1210" s="26"/>
      <c r="AB1210" s="26"/>
      <c r="AC1210" s="21"/>
      <c r="AD1210" s="21"/>
      <c r="AY1210" s="26"/>
      <c r="AZ1210" s="26"/>
      <c r="BB1210" s="26"/>
      <c r="BD1210" s="21"/>
      <c r="CN1210" s="26"/>
      <c r="DB1210" s="24"/>
      <c r="DD1210" s="21"/>
      <c r="DE1210" s="22"/>
      <c r="DG1210" s="21"/>
      <c r="DK1210" s="26"/>
      <c r="DL1210" s="26"/>
      <c r="DM1210" s="26"/>
      <c r="DN1210" s="21"/>
      <c r="DO1210" s="21"/>
      <c r="EF1210" s="25"/>
      <c r="EG1210" s="25"/>
      <c r="EY1210" s="20"/>
    </row>
    <row r="1211" spans="1:155">
      <c r="A1211" s="21"/>
      <c r="B1211" s="21"/>
      <c r="AA1211" s="26"/>
      <c r="AB1211" s="26"/>
      <c r="AC1211" s="21"/>
      <c r="AD1211" s="21"/>
      <c r="AY1211" s="26"/>
      <c r="AZ1211" s="26"/>
      <c r="BB1211" s="26"/>
      <c r="BD1211" s="21"/>
      <c r="CN1211" s="26"/>
      <c r="DB1211" s="24"/>
      <c r="DD1211" s="21"/>
      <c r="DE1211" s="22"/>
      <c r="DG1211" s="21"/>
      <c r="DK1211" s="26"/>
      <c r="DL1211" s="26"/>
      <c r="DM1211" s="26"/>
      <c r="DN1211" s="21"/>
      <c r="DO1211" s="21"/>
      <c r="EF1211" s="25"/>
      <c r="EG1211" s="25"/>
      <c r="EY1211" s="20"/>
    </row>
    <row r="1212" spans="1:155">
      <c r="A1212" s="21"/>
      <c r="B1212" s="21"/>
      <c r="AA1212" s="26"/>
      <c r="AB1212" s="26"/>
      <c r="AC1212" s="21"/>
      <c r="AD1212" s="21"/>
      <c r="AY1212" s="26"/>
      <c r="AZ1212" s="26"/>
      <c r="BB1212" s="26"/>
      <c r="BD1212" s="21"/>
      <c r="CN1212" s="26"/>
      <c r="DB1212" s="24"/>
      <c r="DD1212" s="21"/>
      <c r="DE1212" s="22"/>
      <c r="DG1212" s="21"/>
      <c r="DK1212" s="26"/>
      <c r="DL1212" s="26"/>
      <c r="DM1212" s="26"/>
      <c r="DN1212" s="21"/>
      <c r="DO1212" s="21"/>
      <c r="EF1212" s="25"/>
      <c r="EG1212" s="25"/>
      <c r="EY1212" s="20"/>
    </row>
    <row r="1213" spans="1:155">
      <c r="A1213" s="21"/>
      <c r="B1213" s="21"/>
      <c r="AA1213" s="26"/>
      <c r="AB1213" s="26"/>
      <c r="AC1213" s="21"/>
      <c r="AD1213" s="21"/>
      <c r="AY1213" s="26"/>
      <c r="AZ1213" s="26"/>
      <c r="BB1213" s="26"/>
      <c r="BD1213" s="21"/>
      <c r="CN1213" s="26"/>
      <c r="DB1213" s="24"/>
      <c r="DD1213" s="21"/>
      <c r="DE1213" s="22"/>
      <c r="DG1213" s="21"/>
      <c r="DK1213" s="26"/>
      <c r="DL1213" s="26"/>
      <c r="DM1213" s="26"/>
      <c r="DN1213" s="21"/>
      <c r="DO1213" s="21"/>
      <c r="EF1213" s="25"/>
      <c r="EG1213" s="25"/>
      <c r="EY1213" s="20"/>
    </row>
    <row r="1214" spans="1:155">
      <c r="A1214" s="21"/>
      <c r="B1214" s="21"/>
      <c r="AA1214" s="26"/>
      <c r="AB1214" s="26"/>
      <c r="AC1214" s="21"/>
      <c r="AD1214" s="21"/>
      <c r="AY1214" s="26"/>
      <c r="AZ1214" s="26"/>
      <c r="BB1214" s="26"/>
      <c r="BD1214" s="21"/>
      <c r="CN1214" s="26"/>
      <c r="DB1214" s="24"/>
      <c r="DD1214" s="21"/>
      <c r="DE1214" s="22"/>
      <c r="DG1214" s="21"/>
      <c r="DK1214" s="26"/>
      <c r="DL1214" s="26"/>
      <c r="DM1214" s="26"/>
      <c r="DN1214" s="21"/>
      <c r="DO1214" s="21"/>
      <c r="EF1214" s="25"/>
      <c r="EG1214" s="25"/>
      <c r="EY1214" s="20"/>
    </row>
    <row r="1215" spans="1:155">
      <c r="A1215" s="21"/>
      <c r="B1215" s="21"/>
      <c r="AA1215" s="26"/>
      <c r="AB1215" s="26"/>
      <c r="AC1215" s="21"/>
      <c r="AD1215" s="21"/>
      <c r="AY1215" s="26"/>
      <c r="AZ1215" s="26"/>
      <c r="BB1215" s="26"/>
      <c r="BD1215" s="21"/>
      <c r="CN1215" s="26"/>
      <c r="DB1215" s="24"/>
      <c r="DD1215" s="21"/>
      <c r="DE1215" s="22"/>
      <c r="DG1215" s="21"/>
      <c r="DK1215" s="26"/>
      <c r="DL1215" s="26"/>
      <c r="DM1215" s="26"/>
      <c r="DN1215" s="21"/>
      <c r="DO1215" s="21"/>
      <c r="EF1215" s="25"/>
      <c r="EG1215" s="25"/>
      <c r="EY1215" s="20"/>
    </row>
    <row r="1216" spans="1:155">
      <c r="A1216" s="21"/>
      <c r="B1216" s="21"/>
      <c r="AA1216" s="26"/>
      <c r="AB1216" s="26"/>
      <c r="AC1216" s="21"/>
      <c r="AD1216" s="21"/>
      <c r="AY1216" s="26"/>
      <c r="AZ1216" s="26"/>
      <c r="BB1216" s="26"/>
      <c r="BD1216" s="21"/>
      <c r="CN1216" s="26"/>
      <c r="DB1216" s="24"/>
      <c r="DD1216" s="21"/>
      <c r="DE1216" s="22"/>
      <c r="DG1216" s="21"/>
      <c r="DK1216" s="26"/>
      <c r="DL1216" s="26"/>
      <c r="DM1216" s="26"/>
      <c r="DN1216" s="21"/>
      <c r="DO1216" s="21"/>
      <c r="EF1216" s="25"/>
      <c r="EG1216" s="25"/>
      <c r="EY1216" s="20"/>
    </row>
    <row r="1217" spans="1:155">
      <c r="A1217" s="21"/>
      <c r="B1217" s="21"/>
      <c r="AA1217" s="26"/>
      <c r="AB1217" s="26"/>
      <c r="AC1217" s="21"/>
      <c r="AD1217" s="21"/>
      <c r="AY1217" s="26"/>
      <c r="AZ1217" s="26"/>
      <c r="BB1217" s="26"/>
      <c r="BD1217" s="21"/>
      <c r="CN1217" s="26"/>
      <c r="DB1217" s="24"/>
      <c r="DD1217" s="21"/>
      <c r="DE1217" s="22"/>
      <c r="DG1217" s="21"/>
      <c r="DK1217" s="26"/>
      <c r="DL1217" s="26"/>
      <c r="DM1217" s="26"/>
      <c r="DN1217" s="21"/>
      <c r="DO1217" s="21"/>
      <c r="EF1217" s="25"/>
      <c r="EG1217" s="25"/>
      <c r="EY1217" s="20"/>
    </row>
    <row r="1218" spans="1:155">
      <c r="A1218" s="21"/>
      <c r="B1218" s="21"/>
      <c r="AA1218" s="26"/>
      <c r="AB1218" s="26"/>
      <c r="AC1218" s="21"/>
      <c r="AD1218" s="21"/>
      <c r="AY1218" s="26"/>
      <c r="AZ1218" s="26"/>
      <c r="BB1218" s="26"/>
      <c r="BD1218" s="21"/>
      <c r="CN1218" s="26"/>
      <c r="DB1218" s="24"/>
      <c r="DD1218" s="21"/>
      <c r="DE1218" s="22"/>
      <c r="DG1218" s="21"/>
      <c r="DK1218" s="26"/>
      <c r="DL1218" s="26"/>
      <c r="DM1218" s="26"/>
      <c r="DN1218" s="21"/>
      <c r="DO1218" s="21"/>
      <c r="EF1218" s="25"/>
      <c r="EG1218" s="25"/>
      <c r="EY1218" s="20"/>
    </row>
    <row r="1219" spans="1:155">
      <c r="A1219" s="21"/>
      <c r="B1219" s="21"/>
      <c r="AA1219" s="26"/>
      <c r="AB1219" s="26"/>
      <c r="AC1219" s="21"/>
      <c r="AD1219" s="21"/>
      <c r="AY1219" s="26"/>
      <c r="AZ1219" s="26"/>
      <c r="BB1219" s="26"/>
      <c r="BD1219" s="21"/>
      <c r="CN1219" s="26"/>
      <c r="DB1219" s="24"/>
      <c r="DD1219" s="21"/>
      <c r="DE1219" s="22"/>
      <c r="DG1219" s="21"/>
      <c r="DK1219" s="26"/>
      <c r="DL1219" s="26"/>
      <c r="DM1219" s="26"/>
      <c r="DN1219" s="21"/>
      <c r="DO1219" s="21"/>
      <c r="EF1219" s="25"/>
      <c r="EG1219" s="25"/>
      <c r="EY1219" s="20"/>
    </row>
    <row r="1220" spans="1:155">
      <c r="A1220" s="21"/>
      <c r="B1220" s="21"/>
      <c r="AA1220" s="26"/>
      <c r="AB1220" s="26"/>
      <c r="AC1220" s="21"/>
      <c r="AD1220" s="21"/>
      <c r="AY1220" s="26"/>
      <c r="AZ1220" s="26"/>
      <c r="BB1220" s="26"/>
      <c r="BD1220" s="21"/>
      <c r="CN1220" s="26"/>
      <c r="DB1220" s="24"/>
      <c r="DD1220" s="21"/>
      <c r="DE1220" s="22"/>
      <c r="DG1220" s="21"/>
      <c r="DK1220" s="26"/>
      <c r="DL1220" s="26"/>
      <c r="DM1220" s="26"/>
      <c r="DN1220" s="21"/>
      <c r="DO1220" s="21"/>
      <c r="EF1220" s="25"/>
      <c r="EG1220" s="25"/>
      <c r="EY1220" s="20"/>
    </row>
    <row r="1221" spans="1:155">
      <c r="A1221" s="21"/>
      <c r="B1221" s="21"/>
      <c r="AA1221" s="26"/>
      <c r="AB1221" s="26"/>
      <c r="AC1221" s="21"/>
      <c r="AD1221" s="21"/>
      <c r="AY1221" s="26"/>
      <c r="AZ1221" s="26"/>
      <c r="BB1221" s="26"/>
      <c r="BD1221" s="21"/>
      <c r="CN1221" s="26"/>
      <c r="DB1221" s="24"/>
      <c r="DD1221" s="21"/>
      <c r="DE1221" s="22"/>
      <c r="DG1221" s="21"/>
      <c r="DK1221" s="26"/>
      <c r="DL1221" s="26"/>
      <c r="DM1221" s="26"/>
      <c r="DN1221" s="21"/>
      <c r="DO1221" s="21"/>
      <c r="EF1221" s="25"/>
      <c r="EG1221" s="25"/>
      <c r="EY1221" s="20"/>
    </row>
    <row r="1222" spans="1:155">
      <c r="A1222" s="21"/>
      <c r="B1222" s="21"/>
      <c r="AA1222" s="26"/>
      <c r="AB1222" s="26"/>
      <c r="AC1222" s="21"/>
      <c r="AD1222" s="21"/>
      <c r="AY1222" s="26"/>
      <c r="AZ1222" s="26"/>
      <c r="BB1222" s="26"/>
      <c r="BD1222" s="21"/>
      <c r="CN1222" s="26"/>
      <c r="DB1222" s="24"/>
      <c r="DD1222" s="21"/>
      <c r="DE1222" s="22"/>
      <c r="DG1222" s="21"/>
      <c r="DK1222" s="26"/>
      <c r="DL1222" s="26"/>
      <c r="DM1222" s="26"/>
      <c r="DN1222" s="21"/>
      <c r="DO1222" s="21"/>
      <c r="EF1222" s="25"/>
      <c r="EG1222" s="25"/>
      <c r="EY1222" s="20"/>
    </row>
    <row r="1223" spans="1:155">
      <c r="A1223" s="21"/>
      <c r="B1223" s="21"/>
      <c r="AA1223" s="26"/>
      <c r="AB1223" s="26"/>
      <c r="AC1223" s="21"/>
      <c r="AD1223" s="21"/>
      <c r="AY1223" s="26"/>
      <c r="AZ1223" s="26"/>
      <c r="BB1223" s="26"/>
      <c r="BD1223" s="21"/>
      <c r="CN1223" s="26"/>
      <c r="DB1223" s="24"/>
      <c r="DD1223" s="21"/>
      <c r="DE1223" s="22"/>
      <c r="DG1223" s="21"/>
      <c r="DK1223" s="26"/>
      <c r="DL1223" s="26"/>
      <c r="DM1223" s="26"/>
      <c r="DN1223" s="21"/>
      <c r="DO1223" s="21"/>
      <c r="EF1223" s="25"/>
      <c r="EG1223" s="25"/>
      <c r="EY1223" s="20"/>
    </row>
    <row r="1224" spans="1:155">
      <c r="A1224" s="21"/>
      <c r="B1224" s="21"/>
      <c r="AA1224" s="26"/>
      <c r="AB1224" s="26"/>
      <c r="AC1224" s="21"/>
      <c r="AD1224" s="21"/>
      <c r="AY1224" s="26"/>
      <c r="AZ1224" s="26"/>
      <c r="BB1224" s="26"/>
      <c r="BD1224" s="21"/>
      <c r="CN1224" s="26"/>
      <c r="DB1224" s="24"/>
      <c r="DD1224" s="21"/>
      <c r="DE1224" s="22"/>
      <c r="DG1224" s="21"/>
      <c r="DK1224" s="26"/>
      <c r="DL1224" s="26"/>
      <c r="DM1224" s="26"/>
      <c r="DN1224" s="21"/>
      <c r="DO1224" s="21"/>
      <c r="EF1224" s="25"/>
      <c r="EG1224" s="25"/>
      <c r="EY1224" s="20"/>
    </row>
    <row r="1225" spans="1:155">
      <c r="A1225" s="21"/>
      <c r="B1225" s="21"/>
      <c r="AA1225" s="26"/>
      <c r="AB1225" s="26"/>
      <c r="AC1225" s="21"/>
      <c r="AD1225" s="21"/>
      <c r="AY1225" s="26"/>
      <c r="AZ1225" s="26"/>
      <c r="BB1225" s="26"/>
      <c r="BD1225" s="21"/>
      <c r="CN1225" s="26"/>
      <c r="DB1225" s="24"/>
      <c r="DD1225" s="21"/>
      <c r="DE1225" s="22"/>
      <c r="DG1225" s="21"/>
      <c r="DK1225" s="26"/>
      <c r="DL1225" s="26"/>
      <c r="DM1225" s="26"/>
      <c r="DN1225" s="21"/>
      <c r="DO1225" s="21"/>
      <c r="EF1225" s="25"/>
      <c r="EG1225" s="25"/>
      <c r="EY1225" s="20"/>
    </row>
    <row r="1226" spans="1:155">
      <c r="A1226" s="21"/>
      <c r="B1226" s="21"/>
      <c r="AA1226" s="26"/>
      <c r="AB1226" s="26"/>
      <c r="AC1226" s="21"/>
      <c r="AD1226" s="21"/>
      <c r="AY1226" s="26"/>
      <c r="AZ1226" s="26"/>
      <c r="BB1226" s="26"/>
      <c r="BD1226" s="21"/>
      <c r="CN1226" s="26"/>
      <c r="DB1226" s="24"/>
      <c r="DD1226" s="21"/>
      <c r="DE1226" s="22"/>
      <c r="DG1226" s="21"/>
      <c r="DK1226" s="26"/>
      <c r="DL1226" s="26"/>
      <c r="DM1226" s="26"/>
      <c r="DN1226" s="21"/>
      <c r="DO1226" s="21"/>
      <c r="EF1226" s="25"/>
      <c r="EG1226" s="25"/>
      <c r="EY1226" s="20"/>
    </row>
    <row r="1227" spans="1:155">
      <c r="A1227" s="21"/>
      <c r="B1227" s="21"/>
      <c r="AA1227" s="26"/>
      <c r="AB1227" s="26"/>
      <c r="AC1227" s="21"/>
      <c r="AD1227" s="21"/>
      <c r="AY1227" s="26"/>
      <c r="AZ1227" s="26"/>
      <c r="BB1227" s="26"/>
      <c r="BD1227" s="21"/>
      <c r="CN1227" s="26"/>
      <c r="DB1227" s="24"/>
      <c r="DD1227" s="21"/>
      <c r="DE1227" s="22"/>
      <c r="DG1227" s="21"/>
      <c r="DK1227" s="26"/>
      <c r="DL1227" s="26"/>
      <c r="DM1227" s="26"/>
      <c r="DN1227" s="21"/>
      <c r="DO1227" s="21"/>
      <c r="EF1227" s="25"/>
      <c r="EG1227" s="25"/>
      <c r="EY1227" s="20"/>
    </row>
    <row r="1228" spans="1:155">
      <c r="A1228" s="21"/>
      <c r="B1228" s="21"/>
      <c r="AA1228" s="26"/>
      <c r="AB1228" s="26"/>
      <c r="AC1228" s="21"/>
      <c r="AD1228" s="21"/>
      <c r="AY1228" s="26"/>
      <c r="AZ1228" s="26"/>
      <c r="BB1228" s="26"/>
      <c r="BD1228" s="21"/>
      <c r="CN1228" s="26"/>
      <c r="DB1228" s="24"/>
      <c r="DD1228" s="21"/>
      <c r="DE1228" s="22"/>
      <c r="DG1228" s="21"/>
      <c r="DK1228" s="26"/>
      <c r="DL1228" s="26"/>
      <c r="DM1228" s="26"/>
      <c r="DN1228" s="21"/>
      <c r="DO1228" s="21"/>
      <c r="EF1228" s="25"/>
      <c r="EG1228" s="25"/>
      <c r="EY1228" s="20"/>
    </row>
    <row r="1229" spans="1:155">
      <c r="A1229" s="21"/>
      <c r="B1229" s="21"/>
      <c r="AA1229" s="26"/>
      <c r="AB1229" s="26"/>
      <c r="AC1229" s="21"/>
      <c r="AD1229" s="21"/>
      <c r="AY1229" s="26"/>
      <c r="AZ1229" s="26"/>
      <c r="BB1229" s="26"/>
      <c r="BD1229" s="21"/>
      <c r="CN1229" s="26"/>
      <c r="DB1229" s="24"/>
      <c r="DD1229" s="21"/>
      <c r="DE1229" s="22"/>
      <c r="DG1229" s="21"/>
      <c r="DK1229" s="26"/>
      <c r="DL1229" s="26"/>
      <c r="DM1229" s="26"/>
      <c r="DN1229" s="21"/>
      <c r="DO1229" s="21"/>
      <c r="EF1229" s="25"/>
      <c r="EG1229" s="25"/>
      <c r="EY1229" s="20"/>
    </row>
    <row r="1230" spans="1:155">
      <c r="A1230" s="21"/>
      <c r="B1230" s="21"/>
      <c r="AA1230" s="26"/>
      <c r="AB1230" s="26"/>
      <c r="AC1230" s="21"/>
      <c r="AD1230" s="21"/>
      <c r="AY1230" s="26"/>
      <c r="AZ1230" s="26"/>
      <c r="BB1230" s="26"/>
      <c r="BD1230" s="21"/>
      <c r="CN1230" s="26"/>
      <c r="DB1230" s="24"/>
      <c r="DD1230" s="21"/>
      <c r="DE1230" s="22"/>
      <c r="DG1230" s="21"/>
      <c r="DK1230" s="26"/>
      <c r="DL1230" s="26"/>
      <c r="DM1230" s="26"/>
      <c r="DN1230" s="21"/>
      <c r="DO1230" s="21"/>
      <c r="EF1230" s="25"/>
      <c r="EG1230" s="25"/>
      <c r="EY1230" s="20"/>
    </row>
    <row r="1231" spans="1:155">
      <c r="A1231" s="21"/>
      <c r="B1231" s="21"/>
      <c r="AA1231" s="26"/>
      <c r="AB1231" s="26"/>
      <c r="AC1231" s="21"/>
      <c r="AD1231" s="21"/>
      <c r="AY1231" s="26"/>
      <c r="AZ1231" s="26"/>
      <c r="BB1231" s="26"/>
      <c r="BD1231" s="21"/>
      <c r="CN1231" s="26"/>
      <c r="DB1231" s="24"/>
      <c r="DD1231" s="21"/>
      <c r="DE1231" s="22"/>
      <c r="DG1231" s="21"/>
      <c r="DK1231" s="26"/>
      <c r="DL1231" s="26"/>
      <c r="DM1231" s="26"/>
      <c r="DN1231" s="21"/>
      <c r="DO1231" s="21"/>
      <c r="EF1231" s="25"/>
      <c r="EG1231" s="25"/>
      <c r="EY1231" s="20"/>
    </row>
    <row r="1232" spans="1:155">
      <c r="A1232" s="21"/>
      <c r="B1232" s="21"/>
      <c r="AA1232" s="26"/>
      <c r="AB1232" s="26"/>
      <c r="AC1232" s="21"/>
      <c r="AD1232" s="21"/>
      <c r="AY1232" s="26"/>
      <c r="AZ1232" s="26"/>
      <c r="BB1232" s="26"/>
      <c r="BD1232" s="21"/>
      <c r="CN1232" s="26"/>
      <c r="DB1232" s="24"/>
      <c r="DD1232" s="21"/>
      <c r="DE1232" s="22"/>
      <c r="DG1232" s="21"/>
      <c r="DK1232" s="26"/>
      <c r="DL1232" s="26"/>
      <c r="DM1232" s="26"/>
      <c r="DN1232" s="21"/>
      <c r="DO1232" s="21"/>
      <c r="EF1232" s="25"/>
      <c r="EG1232" s="25"/>
      <c r="EY1232" s="20"/>
    </row>
    <row r="1233" spans="1:155">
      <c r="A1233" s="21"/>
      <c r="B1233" s="21"/>
      <c r="AA1233" s="26"/>
      <c r="AB1233" s="26"/>
      <c r="AC1233" s="21"/>
      <c r="AD1233" s="21"/>
      <c r="AY1233" s="26"/>
      <c r="AZ1233" s="26"/>
      <c r="BB1233" s="26"/>
      <c r="BD1233" s="21"/>
      <c r="CN1233" s="26"/>
      <c r="DB1233" s="24"/>
      <c r="DD1233" s="21"/>
      <c r="DE1233" s="22"/>
      <c r="DG1233" s="21"/>
      <c r="DK1233" s="26"/>
      <c r="DL1233" s="26"/>
      <c r="DM1233" s="26"/>
      <c r="DN1233" s="21"/>
      <c r="DO1233" s="21"/>
      <c r="EF1233" s="25"/>
      <c r="EG1233" s="25"/>
      <c r="EY1233" s="20"/>
    </row>
    <row r="1234" spans="1:155">
      <c r="A1234" s="21"/>
      <c r="B1234" s="21"/>
      <c r="AA1234" s="26"/>
      <c r="AB1234" s="26"/>
      <c r="AC1234" s="21"/>
      <c r="AD1234" s="21"/>
      <c r="AY1234" s="26"/>
      <c r="AZ1234" s="26"/>
      <c r="BB1234" s="26"/>
      <c r="BD1234" s="21"/>
      <c r="CN1234" s="26"/>
      <c r="DB1234" s="24"/>
      <c r="DD1234" s="21"/>
      <c r="DE1234" s="22"/>
      <c r="DG1234" s="21"/>
      <c r="DK1234" s="26"/>
      <c r="DL1234" s="26"/>
      <c r="DM1234" s="26"/>
      <c r="DN1234" s="21"/>
      <c r="DO1234" s="21"/>
      <c r="EF1234" s="25"/>
      <c r="EG1234" s="25"/>
      <c r="EY1234" s="20"/>
    </row>
    <row r="1235" spans="1:155">
      <c r="A1235" s="21"/>
      <c r="B1235" s="21"/>
      <c r="AA1235" s="26"/>
      <c r="AB1235" s="26"/>
      <c r="AC1235" s="21"/>
      <c r="AD1235" s="21"/>
      <c r="AY1235" s="26"/>
      <c r="AZ1235" s="26"/>
      <c r="BB1235" s="26"/>
      <c r="BD1235" s="21"/>
      <c r="CN1235" s="26"/>
      <c r="DB1235" s="24"/>
      <c r="DD1235" s="21"/>
      <c r="DE1235" s="22"/>
      <c r="DG1235" s="21"/>
      <c r="DK1235" s="26"/>
      <c r="DL1235" s="26"/>
      <c r="DM1235" s="26"/>
      <c r="DN1235" s="21"/>
      <c r="DO1235" s="21"/>
      <c r="EF1235" s="25"/>
      <c r="EG1235" s="25"/>
      <c r="EY1235" s="20"/>
    </row>
    <row r="1236" spans="1:155">
      <c r="A1236" s="21"/>
      <c r="B1236" s="21"/>
      <c r="AA1236" s="26"/>
      <c r="AB1236" s="26"/>
      <c r="AC1236" s="21"/>
      <c r="AD1236" s="21"/>
      <c r="AY1236" s="26"/>
      <c r="AZ1236" s="26"/>
      <c r="BB1236" s="26"/>
      <c r="BD1236" s="21"/>
      <c r="CN1236" s="26"/>
      <c r="DB1236" s="24"/>
      <c r="DD1236" s="21"/>
      <c r="DE1236" s="22"/>
      <c r="DG1236" s="21"/>
      <c r="DK1236" s="26"/>
      <c r="DL1236" s="26"/>
      <c r="DM1236" s="26"/>
      <c r="DN1236" s="21"/>
      <c r="DO1236" s="21"/>
      <c r="EF1236" s="25"/>
      <c r="EG1236" s="25"/>
      <c r="EY1236" s="20"/>
    </row>
    <row r="1237" spans="1:155">
      <c r="A1237" s="21"/>
      <c r="B1237" s="21"/>
      <c r="AA1237" s="26"/>
      <c r="AB1237" s="26"/>
      <c r="AC1237" s="21"/>
      <c r="AD1237" s="21"/>
      <c r="AY1237" s="26"/>
      <c r="AZ1237" s="26"/>
      <c r="BB1237" s="26"/>
      <c r="BD1237" s="21"/>
      <c r="CN1237" s="26"/>
      <c r="DB1237" s="24"/>
      <c r="DD1237" s="21"/>
      <c r="DE1237" s="22"/>
      <c r="DG1237" s="21"/>
      <c r="DK1237" s="26"/>
      <c r="DL1237" s="26"/>
      <c r="DM1237" s="26"/>
      <c r="DN1237" s="21"/>
      <c r="DO1237" s="21"/>
      <c r="EF1237" s="25"/>
      <c r="EG1237" s="25"/>
      <c r="EY1237" s="20"/>
    </row>
    <row r="1238" spans="1:155">
      <c r="A1238" s="21"/>
      <c r="B1238" s="21"/>
      <c r="AA1238" s="26"/>
      <c r="AB1238" s="26"/>
      <c r="AC1238" s="21"/>
      <c r="AD1238" s="21"/>
      <c r="AY1238" s="26"/>
      <c r="AZ1238" s="26"/>
      <c r="BB1238" s="26"/>
      <c r="BD1238" s="21"/>
      <c r="CN1238" s="26"/>
      <c r="DB1238" s="24"/>
      <c r="DD1238" s="21"/>
      <c r="DE1238" s="22"/>
      <c r="DG1238" s="21"/>
      <c r="DK1238" s="26"/>
      <c r="DL1238" s="26"/>
      <c r="DM1238" s="26"/>
      <c r="DN1238" s="21"/>
      <c r="DO1238" s="21"/>
      <c r="EF1238" s="25"/>
      <c r="EG1238" s="25"/>
      <c r="EY1238" s="20"/>
    </row>
    <row r="1239" spans="1:155">
      <c r="A1239" s="21"/>
      <c r="B1239" s="21"/>
      <c r="AA1239" s="26"/>
      <c r="AB1239" s="26"/>
      <c r="AC1239" s="21"/>
      <c r="AD1239" s="21"/>
      <c r="AY1239" s="26"/>
      <c r="AZ1239" s="26"/>
      <c r="BB1239" s="26"/>
      <c r="BD1239" s="21"/>
      <c r="CN1239" s="26"/>
      <c r="DB1239" s="24"/>
      <c r="DD1239" s="21"/>
      <c r="DE1239" s="22"/>
      <c r="DG1239" s="21"/>
      <c r="DK1239" s="26"/>
      <c r="DL1239" s="26"/>
      <c r="DM1239" s="26"/>
      <c r="DN1239" s="21"/>
      <c r="DO1239" s="21"/>
      <c r="EF1239" s="25"/>
      <c r="EG1239" s="25"/>
      <c r="EY1239" s="20"/>
    </row>
    <row r="1240" spans="1:155">
      <c r="A1240" s="21"/>
      <c r="B1240" s="21"/>
      <c r="AA1240" s="26"/>
      <c r="AB1240" s="26"/>
      <c r="AC1240" s="21"/>
      <c r="AD1240" s="21"/>
      <c r="AY1240" s="26"/>
      <c r="AZ1240" s="26"/>
      <c r="BB1240" s="26"/>
      <c r="BD1240" s="21"/>
      <c r="CN1240" s="26"/>
      <c r="DB1240" s="24"/>
      <c r="DD1240" s="21"/>
      <c r="DE1240" s="22"/>
      <c r="DG1240" s="21"/>
      <c r="DK1240" s="26"/>
      <c r="DL1240" s="26"/>
      <c r="DM1240" s="26"/>
      <c r="DN1240" s="21"/>
      <c r="DO1240" s="21"/>
      <c r="EF1240" s="25"/>
      <c r="EG1240" s="25"/>
      <c r="EY1240" s="20"/>
    </row>
    <row r="1241" spans="1:155">
      <c r="A1241" s="21"/>
      <c r="B1241" s="21"/>
      <c r="AA1241" s="26"/>
      <c r="AB1241" s="26"/>
      <c r="AC1241" s="21"/>
      <c r="AD1241" s="21"/>
      <c r="AY1241" s="26"/>
      <c r="AZ1241" s="26"/>
      <c r="BB1241" s="26"/>
      <c r="BD1241" s="21"/>
      <c r="CN1241" s="26"/>
      <c r="DB1241" s="24"/>
      <c r="DD1241" s="21"/>
      <c r="DE1241" s="22"/>
      <c r="DG1241" s="21"/>
      <c r="DK1241" s="26"/>
      <c r="DL1241" s="26"/>
      <c r="DM1241" s="26"/>
      <c r="DN1241" s="21"/>
      <c r="DO1241" s="21"/>
      <c r="EF1241" s="25"/>
      <c r="EG1241" s="25"/>
      <c r="EY1241" s="20"/>
    </row>
    <row r="1242" spans="1:155">
      <c r="A1242" s="21"/>
      <c r="B1242" s="21"/>
      <c r="AA1242" s="26"/>
      <c r="AB1242" s="26"/>
      <c r="AC1242" s="21"/>
      <c r="AD1242" s="21"/>
      <c r="AY1242" s="26"/>
      <c r="AZ1242" s="26"/>
      <c r="BB1242" s="26"/>
      <c r="BD1242" s="21"/>
      <c r="CN1242" s="26"/>
      <c r="DB1242" s="24"/>
      <c r="DD1242" s="21"/>
      <c r="DE1242" s="22"/>
      <c r="DG1242" s="21"/>
      <c r="DK1242" s="26"/>
      <c r="DL1242" s="26"/>
      <c r="DM1242" s="26"/>
      <c r="DN1242" s="21"/>
      <c r="DO1242" s="21"/>
      <c r="EF1242" s="25"/>
      <c r="EG1242" s="25"/>
      <c r="EY1242" s="20"/>
    </row>
    <row r="1243" spans="1:155">
      <c r="A1243" s="21"/>
      <c r="B1243" s="21"/>
      <c r="AA1243" s="26"/>
      <c r="AB1243" s="26"/>
      <c r="AC1243" s="21"/>
      <c r="AD1243" s="21"/>
      <c r="AY1243" s="26"/>
      <c r="AZ1243" s="26"/>
      <c r="BB1243" s="26"/>
      <c r="BD1243" s="21"/>
      <c r="CN1243" s="26"/>
      <c r="DB1243" s="24"/>
      <c r="DD1243" s="21"/>
      <c r="DE1243" s="22"/>
      <c r="DG1243" s="21"/>
      <c r="DK1243" s="26"/>
      <c r="DL1243" s="26"/>
      <c r="DM1243" s="26"/>
      <c r="DN1243" s="21"/>
      <c r="DO1243" s="21"/>
      <c r="EF1243" s="25"/>
      <c r="EG1243" s="25"/>
      <c r="EY1243" s="20"/>
    </row>
    <row r="1244" spans="1:155">
      <c r="A1244" s="21"/>
      <c r="B1244" s="21"/>
      <c r="AA1244" s="26"/>
      <c r="AB1244" s="26"/>
      <c r="AC1244" s="21"/>
      <c r="AD1244" s="21"/>
      <c r="AY1244" s="26"/>
      <c r="AZ1244" s="26"/>
      <c r="BB1244" s="26"/>
      <c r="BD1244" s="21"/>
      <c r="CN1244" s="26"/>
      <c r="DB1244" s="24"/>
      <c r="DD1244" s="21"/>
      <c r="DE1244" s="22"/>
      <c r="DG1244" s="21"/>
      <c r="DK1244" s="26"/>
      <c r="DL1244" s="26"/>
      <c r="DM1244" s="26"/>
      <c r="DN1244" s="21"/>
      <c r="DO1244" s="21"/>
      <c r="EF1244" s="25"/>
      <c r="EG1244" s="25"/>
      <c r="EY1244" s="20"/>
    </row>
    <row r="1245" spans="1:155">
      <c r="A1245" s="21"/>
      <c r="B1245" s="21"/>
      <c r="AA1245" s="26"/>
      <c r="AB1245" s="26"/>
      <c r="AC1245" s="21"/>
      <c r="AD1245" s="21"/>
      <c r="AY1245" s="26"/>
      <c r="AZ1245" s="26"/>
      <c r="BB1245" s="26"/>
      <c r="BD1245" s="21"/>
      <c r="CN1245" s="26"/>
      <c r="DB1245" s="24"/>
      <c r="DD1245" s="21"/>
      <c r="DE1245" s="22"/>
      <c r="DG1245" s="21"/>
      <c r="DK1245" s="26"/>
      <c r="DL1245" s="26"/>
      <c r="DM1245" s="26"/>
      <c r="DN1245" s="21"/>
      <c r="DO1245" s="21"/>
      <c r="EF1245" s="25"/>
      <c r="EG1245" s="25"/>
      <c r="EY1245" s="20"/>
    </row>
    <row r="1246" spans="1:155">
      <c r="A1246" s="21"/>
      <c r="B1246" s="21"/>
      <c r="AA1246" s="26"/>
      <c r="AB1246" s="26"/>
      <c r="AC1246" s="21"/>
      <c r="AD1246" s="21"/>
      <c r="AY1246" s="26"/>
      <c r="AZ1246" s="26"/>
      <c r="BB1246" s="26"/>
      <c r="BD1246" s="21"/>
      <c r="CN1246" s="26"/>
      <c r="DB1246" s="24"/>
      <c r="DD1246" s="21"/>
      <c r="DE1246" s="22"/>
      <c r="DG1246" s="21"/>
      <c r="DK1246" s="26"/>
      <c r="DL1246" s="26"/>
      <c r="DM1246" s="26"/>
      <c r="DN1246" s="21"/>
      <c r="DO1246" s="21"/>
      <c r="EF1246" s="25"/>
      <c r="EG1246" s="25"/>
      <c r="EY1246" s="20"/>
    </row>
    <row r="1247" spans="1:155">
      <c r="A1247" s="21"/>
      <c r="B1247" s="21"/>
      <c r="AA1247" s="26"/>
      <c r="AB1247" s="26"/>
      <c r="AC1247" s="21"/>
      <c r="AD1247" s="21"/>
      <c r="AY1247" s="26"/>
      <c r="AZ1247" s="26"/>
      <c r="BB1247" s="26"/>
      <c r="BD1247" s="21"/>
      <c r="CN1247" s="26"/>
      <c r="DB1247" s="24"/>
      <c r="DD1247" s="21"/>
      <c r="DE1247" s="22"/>
      <c r="DG1247" s="21"/>
      <c r="DK1247" s="26"/>
      <c r="DL1247" s="26"/>
      <c r="DM1247" s="26"/>
      <c r="DN1247" s="21"/>
      <c r="DO1247" s="21"/>
      <c r="EF1247" s="25"/>
      <c r="EG1247" s="25"/>
      <c r="EY1247" s="20"/>
    </row>
    <row r="1248" spans="1:155">
      <c r="A1248" s="21"/>
      <c r="B1248" s="21"/>
      <c r="AA1248" s="26"/>
      <c r="AB1248" s="26"/>
      <c r="AC1248" s="21"/>
      <c r="AD1248" s="21"/>
      <c r="AY1248" s="26"/>
      <c r="AZ1248" s="26"/>
      <c r="BB1248" s="26"/>
      <c r="BD1248" s="21"/>
      <c r="CN1248" s="26"/>
      <c r="DB1248" s="24"/>
      <c r="DD1248" s="21"/>
      <c r="DE1248" s="22"/>
      <c r="DG1248" s="21"/>
      <c r="DK1248" s="26"/>
      <c r="DL1248" s="26"/>
      <c r="DM1248" s="26"/>
      <c r="DN1248" s="21"/>
      <c r="DO1248" s="21"/>
      <c r="EF1248" s="25"/>
      <c r="EG1248" s="25"/>
      <c r="EY1248" s="20"/>
    </row>
    <row r="1249" spans="1:155">
      <c r="A1249" s="21"/>
      <c r="B1249" s="21"/>
      <c r="AA1249" s="26"/>
      <c r="AB1249" s="26"/>
      <c r="AC1249" s="21"/>
      <c r="AD1249" s="21"/>
      <c r="AY1249" s="26"/>
      <c r="AZ1249" s="26"/>
      <c r="BB1249" s="26"/>
      <c r="BD1249" s="21"/>
      <c r="CN1249" s="26"/>
      <c r="DB1249" s="24"/>
      <c r="DD1249" s="21"/>
      <c r="DE1249" s="22"/>
      <c r="DG1249" s="21"/>
      <c r="DK1249" s="26"/>
      <c r="DL1249" s="26"/>
      <c r="DM1249" s="26"/>
      <c r="DN1249" s="21"/>
      <c r="DO1249" s="21"/>
      <c r="EF1249" s="25"/>
      <c r="EG1249" s="25"/>
      <c r="EY1249" s="20"/>
    </row>
    <row r="1250" spans="1:155">
      <c r="A1250" s="21"/>
      <c r="B1250" s="21"/>
      <c r="AA1250" s="26"/>
      <c r="AB1250" s="26"/>
      <c r="AC1250" s="21"/>
      <c r="AD1250" s="21"/>
      <c r="AY1250" s="26"/>
      <c r="AZ1250" s="26"/>
      <c r="BB1250" s="26"/>
      <c r="BD1250" s="21"/>
      <c r="CN1250" s="26"/>
      <c r="DB1250" s="24"/>
      <c r="DD1250" s="21"/>
      <c r="DE1250" s="22"/>
      <c r="DG1250" s="21"/>
      <c r="DK1250" s="26"/>
      <c r="DL1250" s="26"/>
      <c r="DM1250" s="26"/>
      <c r="DN1250" s="21"/>
      <c r="DO1250" s="21"/>
      <c r="EF1250" s="25"/>
      <c r="EG1250" s="25"/>
      <c r="EY1250" s="20"/>
    </row>
    <row r="1251" spans="1:155">
      <c r="A1251" s="21"/>
      <c r="B1251" s="21"/>
      <c r="AA1251" s="26"/>
      <c r="AB1251" s="26"/>
      <c r="AC1251" s="21"/>
      <c r="AD1251" s="21"/>
      <c r="AY1251" s="26"/>
      <c r="AZ1251" s="26"/>
      <c r="BB1251" s="26"/>
      <c r="BD1251" s="21"/>
      <c r="CN1251" s="26"/>
      <c r="DB1251" s="24"/>
      <c r="DD1251" s="21"/>
      <c r="DE1251" s="22"/>
      <c r="DG1251" s="21"/>
      <c r="DK1251" s="26"/>
      <c r="DL1251" s="26"/>
      <c r="DM1251" s="26"/>
      <c r="DN1251" s="21"/>
      <c r="DO1251" s="21"/>
      <c r="EF1251" s="25"/>
      <c r="EG1251" s="25"/>
      <c r="EY1251" s="20"/>
    </row>
    <row r="1252" spans="1:155">
      <c r="A1252" s="21"/>
      <c r="B1252" s="21"/>
      <c r="AA1252" s="26"/>
      <c r="AB1252" s="26"/>
      <c r="AC1252" s="21"/>
      <c r="AD1252" s="21"/>
      <c r="AY1252" s="26"/>
      <c r="AZ1252" s="26"/>
      <c r="BB1252" s="26"/>
      <c r="BD1252" s="21"/>
      <c r="CN1252" s="26"/>
      <c r="DB1252" s="24"/>
      <c r="DD1252" s="21"/>
      <c r="DE1252" s="22"/>
      <c r="DG1252" s="21"/>
      <c r="DK1252" s="26"/>
      <c r="DL1252" s="26"/>
      <c r="DM1252" s="26"/>
      <c r="DN1252" s="21"/>
      <c r="DO1252" s="21"/>
      <c r="EF1252" s="25"/>
      <c r="EG1252" s="25"/>
      <c r="EY1252" s="20"/>
    </row>
    <row r="1253" spans="1:155">
      <c r="A1253" s="21"/>
      <c r="B1253" s="21"/>
      <c r="AA1253" s="26"/>
      <c r="AB1253" s="26"/>
      <c r="AC1253" s="21"/>
      <c r="AD1253" s="21"/>
      <c r="AY1253" s="26"/>
      <c r="AZ1253" s="26"/>
      <c r="BB1253" s="26"/>
      <c r="BD1253" s="21"/>
      <c r="CN1253" s="26"/>
      <c r="DB1253" s="24"/>
      <c r="DD1253" s="21"/>
      <c r="DE1253" s="22"/>
      <c r="DG1253" s="21"/>
      <c r="DK1253" s="26"/>
      <c r="DL1253" s="26"/>
      <c r="DM1253" s="26"/>
      <c r="DN1253" s="21"/>
      <c r="DO1253" s="21"/>
      <c r="EF1253" s="25"/>
      <c r="EG1253" s="25"/>
      <c r="EY1253" s="20"/>
    </row>
    <row r="1254" spans="1:155">
      <c r="A1254" s="21"/>
      <c r="B1254" s="21"/>
      <c r="AA1254" s="26"/>
      <c r="AB1254" s="26"/>
      <c r="AC1254" s="21"/>
      <c r="AD1254" s="21"/>
      <c r="AY1254" s="26"/>
      <c r="AZ1254" s="26"/>
      <c r="BB1254" s="26"/>
      <c r="BD1254" s="21"/>
      <c r="CN1254" s="26"/>
      <c r="DB1254" s="24"/>
      <c r="DD1254" s="21"/>
      <c r="DE1254" s="22"/>
      <c r="DG1254" s="21"/>
      <c r="DK1254" s="26"/>
      <c r="DL1254" s="26"/>
      <c r="DM1254" s="26"/>
      <c r="DN1254" s="21"/>
      <c r="DO1254" s="21"/>
      <c r="EF1254" s="25"/>
      <c r="EG1254" s="25"/>
      <c r="EY1254" s="20"/>
    </row>
    <row r="1255" spans="1:155">
      <c r="A1255" s="21"/>
      <c r="B1255" s="21"/>
      <c r="AA1255" s="26"/>
      <c r="AB1255" s="26"/>
      <c r="AC1255" s="21"/>
      <c r="AD1255" s="21"/>
      <c r="AY1255" s="26"/>
      <c r="AZ1255" s="26"/>
      <c r="BB1255" s="26"/>
      <c r="BD1255" s="21"/>
      <c r="CN1255" s="26"/>
      <c r="DB1255" s="24"/>
      <c r="DD1255" s="21"/>
      <c r="DE1255" s="22"/>
      <c r="DG1255" s="21"/>
      <c r="DK1255" s="26"/>
      <c r="DL1255" s="26"/>
      <c r="DM1255" s="26"/>
      <c r="DN1255" s="21"/>
      <c r="DO1255" s="21"/>
      <c r="EF1255" s="25"/>
      <c r="EG1255" s="25"/>
      <c r="EY1255" s="20"/>
    </row>
    <row r="1256" spans="1:155">
      <c r="A1256" s="21"/>
      <c r="B1256" s="21"/>
      <c r="AA1256" s="26"/>
      <c r="AB1256" s="26"/>
      <c r="AC1256" s="21"/>
      <c r="AD1256" s="21"/>
      <c r="AY1256" s="26"/>
      <c r="AZ1256" s="26"/>
      <c r="BB1256" s="26"/>
      <c r="BD1256" s="21"/>
      <c r="CN1256" s="26"/>
      <c r="DB1256" s="24"/>
      <c r="DD1256" s="21"/>
      <c r="DE1256" s="22"/>
      <c r="DG1256" s="21"/>
      <c r="DK1256" s="26"/>
      <c r="DL1256" s="26"/>
      <c r="DM1256" s="26"/>
      <c r="DN1256" s="21"/>
      <c r="DO1256" s="21"/>
      <c r="EF1256" s="25"/>
      <c r="EG1256" s="25"/>
      <c r="EY1256" s="20"/>
    </row>
    <row r="1257" spans="1:155">
      <c r="A1257" s="21"/>
      <c r="B1257" s="21"/>
      <c r="AA1257" s="26"/>
      <c r="AB1257" s="26"/>
      <c r="AC1257" s="21"/>
      <c r="AD1257" s="21"/>
      <c r="AY1257" s="26"/>
      <c r="AZ1257" s="26"/>
      <c r="BB1257" s="26"/>
      <c r="BD1257" s="21"/>
      <c r="CN1257" s="26"/>
      <c r="DB1257" s="24"/>
      <c r="DD1257" s="21"/>
      <c r="DE1257" s="22"/>
      <c r="DG1257" s="21"/>
      <c r="DK1257" s="26"/>
      <c r="DL1257" s="26"/>
      <c r="DM1257" s="26"/>
      <c r="DN1257" s="21"/>
      <c r="DO1257" s="21"/>
      <c r="EF1257" s="25"/>
      <c r="EG1257" s="25"/>
      <c r="EY1257" s="20"/>
    </row>
    <row r="1258" spans="1:155">
      <c r="A1258" s="21"/>
      <c r="B1258" s="21"/>
      <c r="AA1258" s="26"/>
      <c r="AB1258" s="26"/>
      <c r="AC1258" s="21"/>
      <c r="AD1258" s="21"/>
      <c r="AY1258" s="26"/>
      <c r="AZ1258" s="26"/>
      <c r="BB1258" s="26"/>
      <c r="BD1258" s="21"/>
      <c r="CN1258" s="26"/>
      <c r="DB1258" s="24"/>
      <c r="DD1258" s="21"/>
      <c r="DE1258" s="22"/>
      <c r="DG1258" s="21"/>
      <c r="DK1258" s="26"/>
      <c r="DL1258" s="26"/>
      <c r="DM1258" s="26"/>
      <c r="DN1258" s="21"/>
      <c r="DO1258" s="21"/>
      <c r="EF1258" s="25"/>
      <c r="EG1258" s="25"/>
      <c r="EY1258" s="20"/>
    </row>
    <row r="1259" spans="1:155">
      <c r="A1259" s="21"/>
      <c r="B1259" s="21"/>
      <c r="AA1259" s="26"/>
      <c r="AB1259" s="26"/>
      <c r="AC1259" s="21"/>
      <c r="AD1259" s="21"/>
      <c r="AY1259" s="26"/>
      <c r="AZ1259" s="26"/>
      <c r="BB1259" s="26"/>
      <c r="BD1259" s="21"/>
      <c r="CN1259" s="26"/>
      <c r="DB1259" s="24"/>
      <c r="DD1259" s="21"/>
      <c r="DE1259" s="22"/>
      <c r="DG1259" s="21"/>
      <c r="DK1259" s="26"/>
      <c r="DL1259" s="26"/>
      <c r="DM1259" s="26"/>
      <c r="DN1259" s="21"/>
      <c r="DO1259" s="21"/>
      <c r="EF1259" s="25"/>
      <c r="EG1259" s="25"/>
      <c r="EY1259" s="20"/>
    </row>
    <row r="1260" spans="1:155">
      <c r="A1260" s="21"/>
      <c r="B1260" s="21"/>
      <c r="AA1260" s="26"/>
      <c r="AB1260" s="26"/>
      <c r="AC1260" s="21"/>
      <c r="AD1260" s="21"/>
      <c r="AY1260" s="26"/>
      <c r="AZ1260" s="26"/>
      <c r="BB1260" s="26"/>
      <c r="BD1260" s="21"/>
      <c r="CN1260" s="26"/>
      <c r="DB1260" s="24"/>
      <c r="DD1260" s="21"/>
      <c r="DE1260" s="22"/>
      <c r="DG1260" s="21"/>
      <c r="DK1260" s="26"/>
      <c r="DL1260" s="26"/>
      <c r="DM1260" s="26"/>
      <c r="DN1260" s="21"/>
      <c r="DO1260" s="21"/>
      <c r="EF1260" s="25"/>
      <c r="EG1260" s="25"/>
      <c r="EY1260" s="20"/>
    </row>
    <row r="1261" spans="1:155">
      <c r="A1261" s="21"/>
      <c r="B1261" s="21"/>
      <c r="AA1261" s="26"/>
      <c r="AB1261" s="26"/>
      <c r="AC1261" s="21"/>
      <c r="AD1261" s="21"/>
      <c r="AY1261" s="26"/>
      <c r="AZ1261" s="26"/>
      <c r="BB1261" s="26"/>
      <c r="BD1261" s="21"/>
      <c r="CN1261" s="26"/>
      <c r="DB1261" s="24"/>
      <c r="DD1261" s="21"/>
      <c r="DE1261" s="22"/>
      <c r="DG1261" s="21"/>
      <c r="DK1261" s="26"/>
      <c r="DL1261" s="26"/>
      <c r="DM1261" s="26"/>
      <c r="DN1261" s="21"/>
      <c r="DO1261" s="21"/>
      <c r="EF1261" s="25"/>
      <c r="EG1261" s="25"/>
      <c r="EY1261" s="20"/>
    </row>
    <row r="1262" spans="1:155">
      <c r="A1262" s="21"/>
      <c r="B1262" s="21"/>
      <c r="AA1262" s="26"/>
      <c r="AB1262" s="26"/>
      <c r="AC1262" s="21"/>
      <c r="AD1262" s="21"/>
      <c r="AY1262" s="26"/>
      <c r="AZ1262" s="26"/>
      <c r="BB1262" s="26"/>
      <c r="BD1262" s="21"/>
      <c r="CN1262" s="26"/>
      <c r="DB1262" s="24"/>
      <c r="DD1262" s="21"/>
      <c r="DE1262" s="22"/>
      <c r="DG1262" s="21"/>
      <c r="DK1262" s="26"/>
      <c r="DL1262" s="26"/>
      <c r="DM1262" s="26"/>
      <c r="DN1262" s="21"/>
      <c r="DO1262" s="21"/>
      <c r="EF1262" s="25"/>
      <c r="EG1262" s="25"/>
      <c r="EY1262" s="20"/>
    </row>
    <row r="1263" spans="1:155">
      <c r="A1263" s="21"/>
      <c r="B1263" s="21"/>
      <c r="AA1263" s="26"/>
      <c r="AB1263" s="26"/>
      <c r="AC1263" s="21"/>
      <c r="AD1263" s="21"/>
      <c r="AY1263" s="26"/>
      <c r="AZ1263" s="26"/>
      <c r="BB1263" s="26"/>
      <c r="BD1263" s="21"/>
      <c r="CN1263" s="26"/>
      <c r="DB1263" s="24"/>
      <c r="DD1263" s="21"/>
      <c r="DE1263" s="22"/>
      <c r="DG1263" s="21"/>
      <c r="DK1263" s="26"/>
      <c r="DL1263" s="26"/>
      <c r="DM1263" s="26"/>
      <c r="DN1263" s="21"/>
      <c r="DO1263" s="21"/>
      <c r="EF1263" s="25"/>
      <c r="EG1263" s="25"/>
      <c r="EY1263" s="20"/>
    </row>
    <row r="1264" spans="1:155">
      <c r="A1264" s="21"/>
      <c r="B1264" s="21"/>
      <c r="AA1264" s="26"/>
      <c r="AB1264" s="26"/>
      <c r="AC1264" s="21"/>
      <c r="AD1264" s="21"/>
      <c r="AY1264" s="26"/>
      <c r="AZ1264" s="26"/>
      <c r="BB1264" s="26"/>
      <c r="BD1264" s="21"/>
      <c r="CN1264" s="26"/>
      <c r="DB1264" s="24"/>
      <c r="DD1264" s="21"/>
      <c r="DE1264" s="22"/>
      <c r="DG1264" s="21"/>
      <c r="DK1264" s="26"/>
      <c r="DL1264" s="26"/>
      <c r="DM1264" s="26"/>
      <c r="DN1264" s="21"/>
      <c r="DO1264" s="21"/>
      <c r="EF1264" s="25"/>
      <c r="EG1264" s="25"/>
      <c r="EY1264" s="20"/>
    </row>
    <row r="1265" spans="1:155">
      <c r="A1265" s="21"/>
      <c r="B1265" s="21"/>
      <c r="AA1265" s="26"/>
      <c r="AB1265" s="26"/>
      <c r="AC1265" s="21"/>
      <c r="AD1265" s="21"/>
      <c r="AY1265" s="26"/>
      <c r="AZ1265" s="26"/>
      <c r="BB1265" s="26"/>
      <c r="BD1265" s="21"/>
      <c r="CN1265" s="26"/>
      <c r="DB1265" s="24"/>
      <c r="DD1265" s="21"/>
      <c r="DE1265" s="22"/>
      <c r="DG1265" s="21"/>
      <c r="DK1265" s="26"/>
      <c r="DL1265" s="26"/>
      <c r="DM1265" s="26"/>
      <c r="DN1265" s="21"/>
      <c r="DO1265" s="21"/>
      <c r="EF1265" s="25"/>
      <c r="EG1265" s="25"/>
      <c r="EY1265" s="20"/>
    </row>
    <row r="1266" spans="1:155">
      <c r="A1266" s="21"/>
      <c r="B1266" s="21"/>
      <c r="AA1266" s="26"/>
      <c r="AB1266" s="26"/>
      <c r="AC1266" s="21"/>
      <c r="AD1266" s="21"/>
      <c r="AY1266" s="26"/>
      <c r="AZ1266" s="26"/>
      <c r="BB1266" s="26"/>
      <c r="BD1266" s="21"/>
      <c r="CN1266" s="26"/>
      <c r="DB1266" s="24"/>
      <c r="DD1266" s="21"/>
      <c r="DE1266" s="22"/>
      <c r="DG1266" s="21"/>
      <c r="DK1266" s="26"/>
      <c r="DL1266" s="26"/>
      <c r="DM1266" s="26"/>
      <c r="DN1266" s="21"/>
      <c r="DO1266" s="21"/>
      <c r="EF1266" s="25"/>
      <c r="EG1266" s="25"/>
      <c r="EY1266" s="20"/>
    </row>
    <row r="1267" spans="1:155">
      <c r="A1267" s="21"/>
      <c r="B1267" s="21"/>
      <c r="AA1267" s="26"/>
      <c r="AB1267" s="26"/>
      <c r="AC1267" s="21"/>
      <c r="AD1267" s="21"/>
      <c r="AY1267" s="26"/>
      <c r="AZ1267" s="26"/>
      <c r="BB1267" s="26"/>
      <c r="BD1267" s="21"/>
      <c r="CN1267" s="26"/>
      <c r="DB1267" s="24"/>
      <c r="DD1267" s="21"/>
      <c r="DE1267" s="22"/>
      <c r="DG1267" s="21"/>
      <c r="DK1267" s="26"/>
      <c r="DL1267" s="26"/>
      <c r="DM1267" s="26"/>
      <c r="DN1267" s="21"/>
      <c r="DO1267" s="21"/>
      <c r="EF1267" s="25"/>
      <c r="EG1267" s="25"/>
      <c r="EY1267" s="20"/>
    </row>
    <row r="1268" spans="1:155">
      <c r="A1268" s="21"/>
      <c r="B1268" s="21"/>
      <c r="AA1268" s="26"/>
      <c r="AB1268" s="26"/>
      <c r="AC1268" s="21"/>
      <c r="AD1268" s="21"/>
      <c r="AY1268" s="26"/>
      <c r="AZ1268" s="26"/>
      <c r="BB1268" s="26"/>
      <c r="BD1268" s="21"/>
      <c r="CN1268" s="26"/>
      <c r="DB1268" s="24"/>
      <c r="DD1268" s="21"/>
      <c r="DE1268" s="22"/>
      <c r="DG1268" s="21"/>
      <c r="DK1268" s="26"/>
      <c r="DL1268" s="26"/>
      <c r="DM1268" s="26"/>
      <c r="DN1268" s="21"/>
      <c r="DO1268" s="21"/>
      <c r="EF1268" s="25"/>
      <c r="EG1268" s="25"/>
      <c r="EY1268" s="20"/>
    </row>
    <row r="1269" spans="1:155">
      <c r="A1269" s="21"/>
      <c r="B1269" s="21"/>
      <c r="AA1269" s="26"/>
      <c r="AB1269" s="26"/>
      <c r="AC1269" s="21"/>
      <c r="AD1269" s="21"/>
      <c r="AY1269" s="26"/>
      <c r="AZ1269" s="26"/>
      <c r="BB1269" s="26"/>
      <c r="BD1269" s="21"/>
      <c r="CN1269" s="26"/>
      <c r="DB1269" s="24"/>
      <c r="DD1269" s="21"/>
      <c r="DE1269" s="22"/>
      <c r="DG1269" s="21"/>
      <c r="DK1269" s="26"/>
      <c r="DL1269" s="26"/>
      <c r="DM1269" s="26"/>
      <c r="DN1269" s="21"/>
      <c r="DO1269" s="21"/>
      <c r="EF1269" s="25"/>
      <c r="EG1269" s="25"/>
      <c r="EY1269" s="20"/>
    </row>
    <row r="1270" spans="1:155">
      <c r="A1270" s="21"/>
      <c r="B1270" s="21"/>
      <c r="AA1270" s="26"/>
      <c r="AB1270" s="26"/>
      <c r="AC1270" s="21"/>
      <c r="AD1270" s="21"/>
      <c r="AY1270" s="26"/>
      <c r="AZ1270" s="26"/>
      <c r="BB1270" s="26"/>
      <c r="BD1270" s="21"/>
      <c r="CN1270" s="26"/>
      <c r="DB1270" s="24"/>
      <c r="DD1270" s="21"/>
      <c r="DE1270" s="22"/>
      <c r="DG1270" s="21"/>
      <c r="DK1270" s="26"/>
      <c r="DL1270" s="26"/>
      <c r="DM1270" s="26"/>
      <c r="DN1270" s="21"/>
      <c r="DO1270" s="21"/>
      <c r="EF1270" s="25"/>
      <c r="EG1270" s="25"/>
      <c r="EY1270" s="20"/>
    </row>
    <row r="1271" spans="1:155">
      <c r="A1271" s="21"/>
      <c r="B1271" s="21"/>
      <c r="AA1271" s="26"/>
      <c r="AB1271" s="26"/>
      <c r="AC1271" s="21"/>
      <c r="AD1271" s="21"/>
      <c r="AY1271" s="26"/>
      <c r="AZ1271" s="26"/>
      <c r="BB1271" s="26"/>
      <c r="BD1271" s="21"/>
      <c r="CN1271" s="26"/>
      <c r="DB1271" s="24"/>
      <c r="DD1271" s="21"/>
      <c r="DE1271" s="22"/>
      <c r="DG1271" s="21"/>
      <c r="DK1271" s="26"/>
      <c r="DL1271" s="26"/>
      <c r="DM1271" s="26"/>
      <c r="DN1271" s="21"/>
      <c r="DO1271" s="21"/>
      <c r="EF1271" s="25"/>
      <c r="EG1271" s="25"/>
      <c r="EY1271" s="20"/>
    </row>
    <row r="1272" spans="1:155">
      <c r="A1272" s="21"/>
      <c r="B1272" s="21"/>
      <c r="AA1272" s="26"/>
      <c r="AB1272" s="26"/>
      <c r="AC1272" s="21"/>
      <c r="AD1272" s="21"/>
      <c r="AY1272" s="26"/>
      <c r="AZ1272" s="26"/>
      <c r="BB1272" s="26"/>
      <c r="BD1272" s="21"/>
      <c r="CN1272" s="26"/>
      <c r="DB1272" s="24"/>
      <c r="DD1272" s="21"/>
      <c r="DE1272" s="22"/>
      <c r="DG1272" s="21"/>
      <c r="DK1272" s="26"/>
      <c r="DL1272" s="26"/>
      <c r="DM1272" s="26"/>
      <c r="DN1272" s="21"/>
      <c r="DO1272" s="21"/>
      <c r="EF1272" s="25"/>
      <c r="EG1272" s="25"/>
      <c r="EY1272" s="20"/>
    </row>
    <row r="1273" spans="1:155">
      <c r="A1273" s="21"/>
      <c r="B1273" s="21"/>
      <c r="AA1273" s="26"/>
      <c r="AB1273" s="26"/>
      <c r="AC1273" s="21"/>
      <c r="AD1273" s="21"/>
      <c r="AY1273" s="26"/>
      <c r="AZ1273" s="26"/>
      <c r="BB1273" s="26"/>
      <c r="BD1273" s="21"/>
      <c r="CN1273" s="26"/>
      <c r="DB1273" s="24"/>
      <c r="DD1273" s="21"/>
      <c r="DE1273" s="22"/>
      <c r="DG1273" s="21"/>
      <c r="DK1273" s="26"/>
      <c r="DL1273" s="26"/>
      <c r="DM1273" s="26"/>
      <c r="DN1273" s="21"/>
      <c r="DO1273" s="21"/>
      <c r="EF1273" s="25"/>
      <c r="EG1273" s="25"/>
      <c r="EY1273" s="20"/>
    </row>
    <row r="1274" spans="1:155">
      <c r="A1274" s="21"/>
      <c r="B1274" s="21"/>
      <c r="AA1274" s="26"/>
      <c r="AB1274" s="26"/>
      <c r="AC1274" s="21"/>
      <c r="AD1274" s="21"/>
      <c r="AY1274" s="26"/>
      <c r="AZ1274" s="26"/>
      <c r="BB1274" s="26"/>
      <c r="BD1274" s="21"/>
      <c r="CN1274" s="26"/>
      <c r="DB1274" s="24"/>
      <c r="DD1274" s="21"/>
      <c r="DE1274" s="22"/>
      <c r="DG1274" s="21"/>
      <c r="DK1274" s="26"/>
      <c r="DL1274" s="26"/>
      <c r="DM1274" s="26"/>
      <c r="DN1274" s="21"/>
      <c r="DO1274" s="21"/>
      <c r="EF1274" s="25"/>
      <c r="EG1274" s="25"/>
      <c r="EY1274" s="20"/>
    </row>
    <row r="1275" spans="1:155">
      <c r="A1275" s="21"/>
      <c r="B1275" s="21"/>
      <c r="AA1275" s="26"/>
      <c r="AB1275" s="26"/>
      <c r="AC1275" s="21"/>
      <c r="AD1275" s="21"/>
      <c r="AY1275" s="26"/>
      <c r="AZ1275" s="26"/>
      <c r="BB1275" s="26"/>
      <c r="BD1275" s="21"/>
      <c r="CN1275" s="26"/>
      <c r="DB1275" s="24"/>
      <c r="DD1275" s="21"/>
      <c r="DE1275" s="22"/>
      <c r="DG1275" s="21"/>
      <c r="DK1275" s="26"/>
      <c r="DL1275" s="26"/>
      <c r="DM1275" s="26"/>
      <c r="DN1275" s="21"/>
      <c r="DO1275" s="21"/>
      <c r="EF1275" s="25"/>
      <c r="EG1275" s="25"/>
      <c r="EY1275" s="20"/>
    </row>
    <row r="1276" spans="1:155">
      <c r="A1276" s="21"/>
      <c r="B1276" s="21"/>
      <c r="AA1276" s="26"/>
      <c r="AB1276" s="26"/>
      <c r="AC1276" s="21"/>
      <c r="AD1276" s="21"/>
      <c r="AY1276" s="26"/>
      <c r="AZ1276" s="26"/>
      <c r="BB1276" s="26"/>
      <c r="BD1276" s="21"/>
      <c r="CN1276" s="26"/>
      <c r="DB1276" s="24"/>
      <c r="DD1276" s="21"/>
      <c r="DE1276" s="22"/>
      <c r="DG1276" s="21"/>
      <c r="DK1276" s="26"/>
      <c r="DL1276" s="26"/>
      <c r="DM1276" s="26"/>
      <c r="DN1276" s="21"/>
      <c r="DO1276" s="21"/>
      <c r="EF1276" s="25"/>
      <c r="EG1276" s="25"/>
      <c r="EY1276" s="20"/>
    </row>
    <row r="1277" spans="1:155">
      <c r="A1277" s="21"/>
      <c r="B1277" s="21"/>
      <c r="AA1277" s="26"/>
      <c r="AB1277" s="26"/>
      <c r="AC1277" s="21"/>
      <c r="AD1277" s="21"/>
      <c r="AY1277" s="26"/>
      <c r="AZ1277" s="26"/>
      <c r="BB1277" s="26"/>
      <c r="BD1277" s="21"/>
      <c r="CN1277" s="26"/>
      <c r="DB1277" s="24"/>
      <c r="DD1277" s="21"/>
      <c r="DE1277" s="22"/>
      <c r="DG1277" s="21"/>
      <c r="DK1277" s="26"/>
      <c r="DL1277" s="26"/>
      <c r="DM1277" s="26"/>
      <c r="DN1277" s="21"/>
      <c r="DO1277" s="21"/>
      <c r="EF1277" s="25"/>
      <c r="EG1277" s="25"/>
      <c r="EY1277" s="20"/>
    </row>
    <row r="1278" spans="1:155">
      <c r="A1278" s="21"/>
      <c r="B1278" s="21"/>
      <c r="AA1278" s="26"/>
      <c r="AB1278" s="26"/>
      <c r="AC1278" s="21"/>
      <c r="AD1278" s="21"/>
      <c r="AY1278" s="26"/>
      <c r="AZ1278" s="26"/>
      <c r="BB1278" s="26"/>
      <c r="BD1278" s="21"/>
      <c r="CN1278" s="26"/>
      <c r="DB1278" s="24"/>
      <c r="DD1278" s="21"/>
      <c r="DE1278" s="22"/>
      <c r="DG1278" s="21"/>
      <c r="DK1278" s="26"/>
      <c r="DL1278" s="26"/>
      <c r="DM1278" s="26"/>
      <c r="DN1278" s="21"/>
      <c r="DO1278" s="21"/>
      <c r="EF1278" s="25"/>
      <c r="EG1278" s="25"/>
      <c r="EY1278" s="20"/>
    </row>
    <row r="1279" spans="1:155">
      <c r="A1279" s="21"/>
      <c r="B1279" s="21"/>
      <c r="AA1279" s="26"/>
      <c r="AB1279" s="26"/>
      <c r="AC1279" s="21"/>
      <c r="AD1279" s="21"/>
      <c r="AY1279" s="26"/>
      <c r="AZ1279" s="26"/>
      <c r="BB1279" s="26"/>
      <c r="BD1279" s="21"/>
      <c r="CN1279" s="26"/>
      <c r="DB1279" s="24"/>
      <c r="DD1279" s="21"/>
      <c r="DE1279" s="22"/>
      <c r="DG1279" s="21"/>
      <c r="DK1279" s="26"/>
      <c r="DL1279" s="26"/>
      <c r="DM1279" s="26"/>
      <c r="DN1279" s="21"/>
      <c r="DO1279" s="21"/>
      <c r="EF1279" s="25"/>
      <c r="EG1279" s="25"/>
      <c r="EY1279" s="20"/>
    </row>
    <row r="1280" spans="1:155">
      <c r="A1280" s="21"/>
      <c r="B1280" s="21"/>
      <c r="AA1280" s="26"/>
      <c r="AB1280" s="26"/>
      <c r="AC1280" s="21"/>
      <c r="AD1280" s="21"/>
      <c r="AY1280" s="26"/>
      <c r="AZ1280" s="26"/>
      <c r="BB1280" s="26"/>
      <c r="BD1280" s="21"/>
      <c r="CN1280" s="26"/>
      <c r="DB1280" s="24"/>
      <c r="DD1280" s="21"/>
      <c r="DE1280" s="22"/>
      <c r="DG1280" s="21"/>
      <c r="DK1280" s="26"/>
      <c r="DL1280" s="26"/>
      <c r="DM1280" s="26"/>
      <c r="DN1280" s="21"/>
      <c r="DO1280" s="21"/>
      <c r="EF1280" s="25"/>
      <c r="EG1280" s="25"/>
      <c r="EY1280" s="20"/>
    </row>
    <row r="1281" spans="1:155">
      <c r="A1281" s="21"/>
      <c r="B1281" s="21"/>
      <c r="AA1281" s="26"/>
      <c r="AB1281" s="26"/>
      <c r="AC1281" s="21"/>
      <c r="AD1281" s="21"/>
      <c r="AY1281" s="26"/>
      <c r="AZ1281" s="26"/>
      <c r="BB1281" s="26"/>
      <c r="BD1281" s="21"/>
      <c r="CN1281" s="26"/>
      <c r="DB1281" s="24"/>
      <c r="DD1281" s="21"/>
      <c r="DE1281" s="22"/>
      <c r="DG1281" s="21"/>
      <c r="DK1281" s="26"/>
      <c r="DL1281" s="26"/>
      <c r="DM1281" s="26"/>
      <c r="DN1281" s="21"/>
      <c r="DO1281" s="21"/>
      <c r="EF1281" s="25"/>
      <c r="EG1281" s="25"/>
      <c r="EY1281" s="20"/>
    </row>
    <row r="1282" spans="1:155">
      <c r="A1282" s="21"/>
      <c r="B1282" s="21"/>
      <c r="AA1282" s="26"/>
      <c r="AB1282" s="26"/>
      <c r="AC1282" s="21"/>
      <c r="AD1282" s="21"/>
      <c r="AY1282" s="26"/>
      <c r="AZ1282" s="26"/>
      <c r="BB1282" s="26"/>
      <c r="BD1282" s="21"/>
      <c r="CN1282" s="26"/>
      <c r="DB1282" s="24"/>
      <c r="DD1282" s="21"/>
      <c r="DE1282" s="22"/>
      <c r="DG1282" s="21"/>
      <c r="DK1282" s="26"/>
      <c r="DL1282" s="26"/>
      <c r="DM1282" s="26"/>
      <c r="DN1282" s="21"/>
      <c r="DO1282" s="21"/>
      <c r="EF1282" s="25"/>
      <c r="EG1282" s="25"/>
      <c r="EY1282" s="20"/>
    </row>
    <row r="1283" spans="1:155">
      <c r="A1283" s="21"/>
      <c r="B1283" s="21"/>
      <c r="AA1283" s="26"/>
      <c r="AB1283" s="26"/>
      <c r="AC1283" s="21"/>
      <c r="AD1283" s="21"/>
      <c r="AY1283" s="26"/>
      <c r="AZ1283" s="26"/>
      <c r="BB1283" s="26"/>
      <c r="BD1283" s="21"/>
      <c r="CN1283" s="26"/>
      <c r="DB1283" s="24"/>
      <c r="DD1283" s="21"/>
      <c r="DE1283" s="22"/>
      <c r="DG1283" s="21"/>
      <c r="DK1283" s="26"/>
      <c r="DL1283" s="26"/>
      <c r="DM1283" s="26"/>
      <c r="DN1283" s="21"/>
      <c r="DO1283" s="21"/>
      <c r="EF1283" s="25"/>
      <c r="EG1283" s="25"/>
      <c r="EY1283" s="20"/>
    </row>
    <row r="1284" spans="1:155">
      <c r="A1284" s="21"/>
      <c r="B1284" s="21"/>
      <c r="AA1284" s="26"/>
      <c r="AB1284" s="26"/>
      <c r="AC1284" s="21"/>
      <c r="AD1284" s="21"/>
      <c r="AY1284" s="26"/>
      <c r="AZ1284" s="26"/>
      <c r="BB1284" s="26"/>
      <c r="BD1284" s="21"/>
      <c r="CN1284" s="26"/>
      <c r="DB1284" s="24"/>
      <c r="DD1284" s="21"/>
      <c r="DE1284" s="22"/>
      <c r="DG1284" s="21"/>
      <c r="DK1284" s="26"/>
      <c r="DL1284" s="26"/>
      <c r="DM1284" s="26"/>
      <c r="DN1284" s="21"/>
      <c r="DO1284" s="21"/>
      <c r="EF1284" s="25"/>
      <c r="EG1284" s="25"/>
      <c r="EY1284" s="20"/>
    </row>
    <row r="1285" spans="1:155">
      <c r="A1285" s="21"/>
      <c r="B1285" s="21"/>
      <c r="AA1285" s="26"/>
      <c r="AB1285" s="26"/>
      <c r="AC1285" s="21"/>
      <c r="AD1285" s="21"/>
      <c r="AY1285" s="26"/>
      <c r="AZ1285" s="26"/>
      <c r="BB1285" s="26"/>
      <c r="BD1285" s="21"/>
      <c r="CN1285" s="26"/>
      <c r="DB1285" s="24"/>
      <c r="DD1285" s="21"/>
      <c r="DE1285" s="22"/>
      <c r="DG1285" s="21"/>
      <c r="DK1285" s="26"/>
      <c r="DL1285" s="26"/>
      <c r="DM1285" s="26"/>
      <c r="DN1285" s="21"/>
      <c r="DO1285" s="21"/>
      <c r="EF1285" s="25"/>
      <c r="EG1285" s="25"/>
      <c r="EY1285" s="20"/>
    </row>
    <row r="1286" spans="1:155">
      <c r="A1286" s="21"/>
      <c r="B1286" s="21"/>
      <c r="AA1286" s="26"/>
      <c r="AB1286" s="26"/>
      <c r="AC1286" s="21"/>
      <c r="AD1286" s="21"/>
      <c r="AY1286" s="26"/>
      <c r="AZ1286" s="26"/>
      <c r="BB1286" s="26"/>
      <c r="BD1286" s="21"/>
      <c r="CN1286" s="26"/>
      <c r="DB1286" s="24"/>
      <c r="DD1286" s="21"/>
      <c r="DE1286" s="22"/>
      <c r="DG1286" s="21"/>
      <c r="DK1286" s="26"/>
      <c r="DL1286" s="26"/>
      <c r="DM1286" s="26"/>
      <c r="DN1286" s="21"/>
      <c r="DO1286" s="21"/>
      <c r="EF1286" s="25"/>
      <c r="EG1286" s="25"/>
      <c r="EY1286" s="20"/>
    </row>
    <row r="1287" spans="1:155">
      <c r="A1287" s="21"/>
      <c r="B1287" s="21"/>
      <c r="AA1287" s="26"/>
      <c r="AB1287" s="26"/>
      <c r="AC1287" s="21"/>
      <c r="AD1287" s="21"/>
      <c r="AY1287" s="26"/>
      <c r="AZ1287" s="26"/>
      <c r="BB1287" s="26"/>
      <c r="BD1287" s="21"/>
      <c r="CN1287" s="26"/>
      <c r="DB1287" s="24"/>
      <c r="DD1287" s="21"/>
      <c r="DE1287" s="22"/>
      <c r="DG1287" s="21"/>
      <c r="DK1287" s="26"/>
      <c r="DL1287" s="26"/>
      <c r="DM1287" s="26"/>
      <c r="DN1287" s="21"/>
      <c r="DO1287" s="21"/>
      <c r="EF1287" s="25"/>
      <c r="EG1287" s="25"/>
      <c r="EY1287" s="20"/>
    </row>
    <row r="1288" spans="1:155">
      <c r="A1288" s="21"/>
      <c r="B1288" s="21"/>
      <c r="AA1288" s="26"/>
      <c r="AB1288" s="26"/>
      <c r="AC1288" s="21"/>
      <c r="AD1288" s="21"/>
      <c r="AY1288" s="26"/>
      <c r="AZ1288" s="26"/>
      <c r="BB1288" s="26"/>
      <c r="BD1288" s="21"/>
      <c r="CN1288" s="26"/>
      <c r="DB1288" s="24"/>
      <c r="DD1288" s="21"/>
      <c r="DE1288" s="22"/>
      <c r="DG1288" s="21"/>
      <c r="DK1288" s="26"/>
      <c r="DL1288" s="26"/>
      <c r="DM1288" s="26"/>
      <c r="DN1288" s="21"/>
      <c r="DO1288" s="21"/>
      <c r="EF1288" s="25"/>
      <c r="EG1288" s="25"/>
      <c r="EY1288" s="20"/>
    </row>
    <row r="1289" spans="1:155">
      <c r="A1289" s="21"/>
      <c r="B1289" s="21"/>
      <c r="AA1289" s="26"/>
      <c r="AB1289" s="26"/>
      <c r="AC1289" s="21"/>
      <c r="AD1289" s="21"/>
      <c r="AY1289" s="26"/>
      <c r="AZ1289" s="26"/>
      <c r="BB1289" s="26"/>
      <c r="BD1289" s="21"/>
      <c r="CN1289" s="26"/>
      <c r="DB1289" s="24"/>
      <c r="DD1289" s="21"/>
      <c r="DE1289" s="22"/>
      <c r="DG1289" s="21"/>
      <c r="DK1289" s="26"/>
      <c r="DL1289" s="26"/>
      <c r="DM1289" s="26"/>
      <c r="DN1289" s="21"/>
      <c r="DO1289" s="21"/>
      <c r="EF1289" s="25"/>
      <c r="EG1289" s="25"/>
      <c r="EY1289" s="20"/>
    </row>
    <row r="1290" spans="1:155">
      <c r="A1290" s="21"/>
      <c r="B1290" s="21"/>
      <c r="AA1290" s="26"/>
      <c r="AB1290" s="26"/>
      <c r="AC1290" s="21"/>
      <c r="AD1290" s="21"/>
      <c r="AY1290" s="26"/>
      <c r="AZ1290" s="26"/>
      <c r="BB1290" s="26"/>
      <c r="BD1290" s="21"/>
      <c r="CN1290" s="26"/>
      <c r="DB1290" s="24"/>
      <c r="DD1290" s="21"/>
      <c r="DE1290" s="22"/>
      <c r="DG1290" s="21"/>
      <c r="DK1290" s="26"/>
      <c r="DL1290" s="26"/>
      <c r="DM1290" s="26"/>
      <c r="DN1290" s="21"/>
      <c r="DO1290" s="21"/>
      <c r="EF1290" s="25"/>
      <c r="EG1290" s="25"/>
      <c r="EY1290" s="20"/>
    </row>
    <row r="1291" spans="1:155">
      <c r="A1291" s="21"/>
      <c r="B1291" s="21"/>
      <c r="AA1291" s="26"/>
      <c r="AB1291" s="26"/>
      <c r="AC1291" s="21"/>
      <c r="AD1291" s="21"/>
      <c r="AY1291" s="26"/>
      <c r="AZ1291" s="26"/>
      <c r="BB1291" s="26"/>
      <c r="BD1291" s="21"/>
      <c r="CN1291" s="26"/>
      <c r="DB1291" s="24"/>
      <c r="DD1291" s="21"/>
      <c r="DE1291" s="22"/>
      <c r="DG1291" s="21"/>
      <c r="DK1291" s="26"/>
      <c r="DL1291" s="26"/>
      <c r="DM1291" s="26"/>
      <c r="DN1291" s="21"/>
      <c r="DO1291" s="21"/>
      <c r="EF1291" s="25"/>
      <c r="EG1291" s="25"/>
      <c r="EY1291" s="20"/>
    </row>
    <row r="1292" spans="1:155">
      <c r="A1292" s="21"/>
      <c r="B1292" s="21"/>
      <c r="AA1292" s="26"/>
      <c r="AB1292" s="26"/>
      <c r="AC1292" s="21"/>
      <c r="AD1292" s="21"/>
      <c r="AY1292" s="26"/>
      <c r="AZ1292" s="26"/>
      <c r="BB1292" s="26"/>
      <c r="BD1292" s="21"/>
      <c r="CN1292" s="26"/>
      <c r="DB1292" s="24"/>
      <c r="DD1292" s="21"/>
      <c r="DE1292" s="22"/>
      <c r="DG1292" s="21"/>
      <c r="DK1292" s="26"/>
      <c r="DL1292" s="26"/>
      <c r="DM1292" s="26"/>
      <c r="DN1292" s="21"/>
      <c r="DO1292" s="21"/>
      <c r="EF1292" s="25"/>
      <c r="EG1292" s="25"/>
      <c r="EY1292" s="20"/>
    </row>
    <row r="1293" spans="1:155">
      <c r="A1293" s="21"/>
      <c r="B1293" s="21"/>
      <c r="AA1293" s="26"/>
      <c r="AB1293" s="26"/>
      <c r="AC1293" s="21"/>
      <c r="AD1293" s="21"/>
      <c r="AY1293" s="26"/>
      <c r="AZ1293" s="26"/>
      <c r="BB1293" s="26"/>
      <c r="BD1293" s="21"/>
      <c r="CN1293" s="26"/>
      <c r="DB1293" s="24"/>
      <c r="DD1293" s="21"/>
      <c r="DE1293" s="22"/>
      <c r="DG1293" s="21"/>
      <c r="DK1293" s="26"/>
      <c r="DL1293" s="26"/>
      <c r="DM1293" s="26"/>
      <c r="DN1293" s="21"/>
      <c r="DO1293" s="21"/>
      <c r="EF1293" s="25"/>
      <c r="EG1293" s="25"/>
      <c r="EY1293" s="20"/>
    </row>
    <row r="1294" spans="1:155">
      <c r="A1294" s="21"/>
      <c r="B1294" s="21"/>
      <c r="AA1294" s="26"/>
      <c r="AB1294" s="26"/>
      <c r="AC1294" s="21"/>
      <c r="AD1294" s="21"/>
      <c r="AY1294" s="26"/>
      <c r="AZ1294" s="26"/>
      <c r="BB1294" s="26"/>
      <c r="BD1294" s="21"/>
      <c r="CN1294" s="26"/>
      <c r="DB1294" s="24"/>
      <c r="DD1294" s="21"/>
      <c r="DE1294" s="22"/>
      <c r="DG1294" s="21"/>
      <c r="DK1294" s="26"/>
      <c r="DL1294" s="26"/>
      <c r="DM1294" s="26"/>
      <c r="DN1294" s="21"/>
      <c r="DO1294" s="21"/>
      <c r="EF1294" s="25"/>
      <c r="EG1294" s="25"/>
      <c r="EY1294" s="20"/>
    </row>
    <row r="1295" spans="1:155">
      <c r="A1295" s="21"/>
      <c r="B1295" s="21"/>
      <c r="AA1295" s="26"/>
      <c r="AB1295" s="26"/>
      <c r="AC1295" s="21"/>
      <c r="AD1295" s="21"/>
      <c r="AY1295" s="26"/>
      <c r="AZ1295" s="26"/>
      <c r="BB1295" s="26"/>
      <c r="BD1295" s="21"/>
      <c r="CN1295" s="26"/>
      <c r="DB1295" s="24"/>
      <c r="DD1295" s="21"/>
      <c r="DE1295" s="22"/>
      <c r="DG1295" s="21"/>
      <c r="DK1295" s="26"/>
      <c r="DL1295" s="26"/>
      <c r="DM1295" s="26"/>
      <c r="DN1295" s="21"/>
      <c r="DO1295" s="21"/>
      <c r="EF1295" s="25"/>
      <c r="EG1295" s="25"/>
      <c r="EY1295" s="20"/>
    </row>
    <row r="1296" spans="1:155">
      <c r="A1296" s="21"/>
      <c r="B1296" s="21"/>
      <c r="AA1296" s="26"/>
      <c r="AB1296" s="26"/>
      <c r="AC1296" s="21"/>
      <c r="AD1296" s="21"/>
      <c r="AY1296" s="26"/>
      <c r="AZ1296" s="26"/>
      <c r="BB1296" s="26"/>
      <c r="BD1296" s="21"/>
      <c r="CN1296" s="26"/>
      <c r="DB1296" s="24"/>
      <c r="DD1296" s="21"/>
      <c r="DE1296" s="22"/>
      <c r="DG1296" s="21"/>
      <c r="DK1296" s="26"/>
      <c r="DL1296" s="26"/>
      <c r="DM1296" s="26"/>
      <c r="DN1296" s="21"/>
      <c r="DO1296" s="21"/>
      <c r="EF1296" s="25"/>
      <c r="EG1296" s="25"/>
      <c r="EY1296" s="20"/>
    </row>
    <row r="1297" spans="1:155">
      <c r="A1297" s="21"/>
      <c r="B1297" s="21"/>
      <c r="AA1297" s="26"/>
      <c r="AB1297" s="26"/>
      <c r="AC1297" s="21"/>
      <c r="AD1297" s="21"/>
      <c r="AY1297" s="26"/>
      <c r="AZ1297" s="26"/>
      <c r="BB1297" s="26"/>
      <c r="BD1297" s="21"/>
      <c r="CN1297" s="26"/>
      <c r="DB1297" s="24"/>
      <c r="DD1297" s="21"/>
      <c r="DE1297" s="22"/>
      <c r="DG1297" s="21"/>
      <c r="DK1297" s="26"/>
      <c r="DL1297" s="26"/>
      <c r="DM1297" s="26"/>
      <c r="DN1297" s="21"/>
      <c r="DO1297" s="21"/>
      <c r="EF1297" s="25"/>
      <c r="EG1297" s="25"/>
      <c r="EY1297" s="20"/>
    </row>
    <row r="1298" spans="1:155">
      <c r="A1298" s="21"/>
      <c r="B1298" s="21"/>
      <c r="AA1298" s="26"/>
      <c r="AB1298" s="26"/>
      <c r="AC1298" s="21"/>
      <c r="AD1298" s="21"/>
      <c r="AY1298" s="26"/>
      <c r="AZ1298" s="26"/>
      <c r="BB1298" s="26"/>
      <c r="BD1298" s="21"/>
      <c r="CN1298" s="26"/>
      <c r="DB1298" s="24"/>
      <c r="DD1298" s="21"/>
      <c r="DE1298" s="22"/>
      <c r="DG1298" s="21"/>
      <c r="DK1298" s="26"/>
      <c r="DL1298" s="26"/>
      <c r="DM1298" s="26"/>
      <c r="DN1298" s="21"/>
      <c r="DO1298" s="21"/>
      <c r="EF1298" s="25"/>
      <c r="EG1298" s="25"/>
      <c r="EY1298" s="20"/>
    </row>
    <row r="1299" spans="1:155">
      <c r="A1299" s="21"/>
      <c r="B1299" s="21"/>
      <c r="AA1299" s="26"/>
      <c r="AB1299" s="26"/>
      <c r="AC1299" s="21"/>
      <c r="AD1299" s="21"/>
      <c r="AY1299" s="26"/>
      <c r="AZ1299" s="26"/>
      <c r="BB1299" s="26"/>
      <c r="BD1299" s="21"/>
      <c r="CN1299" s="26"/>
      <c r="DB1299" s="24"/>
      <c r="DD1299" s="21"/>
      <c r="DE1299" s="22"/>
      <c r="DG1299" s="21"/>
      <c r="DK1299" s="26"/>
      <c r="DL1299" s="26"/>
      <c r="DM1299" s="26"/>
      <c r="DN1299" s="21"/>
      <c r="DO1299" s="21"/>
      <c r="EF1299" s="25"/>
      <c r="EG1299" s="25"/>
      <c r="EY1299" s="20"/>
    </row>
    <row r="1300" spans="1:155">
      <c r="A1300" s="21"/>
      <c r="B1300" s="21"/>
      <c r="AA1300" s="26"/>
      <c r="AB1300" s="26"/>
      <c r="AC1300" s="21"/>
      <c r="AD1300" s="21"/>
      <c r="AY1300" s="26"/>
      <c r="AZ1300" s="26"/>
      <c r="BB1300" s="26"/>
      <c r="BD1300" s="21"/>
      <c r="CN1300" s="26"/>
      <c r="DB1300" s="24"/>
      <c r="DD1300" s="21"/>
      <c r="DE1300" s="22"/>
      <c r="DG1300" s="21"/>
      <c r="DK1300" s="26"/>
      <c r="DL1300" s="26"/>
      <c r="DM1300" s="26"/>
      <c r="DN1300" s="21"/>
      <c r="DO1300" s="21"/>
      <c r="EF1300" s="25"/>
      <c r="EG1300" s="25"/>
      <c r="EY1300" s="20"/>
    </row>
    <row r="1301" spans="1:155">
      <c r="A1301" s="21"/>
      <c r="B1301" s="21"/>
      <c r="AA1301" s="26"/>
      <c r="AB1301" s="26"/>
      <c r="AC1301" s="21"/>
      <c r="AD1301" s="21"/>
      <c r="AY1301" s="26"/>
      <c r="AZ1301" s="26"/>
      <c r="BB1301" s="26"/>
      <c r="BD1301" s="21"/>
      <c r="CN1301" s="26"/>
      <c r="DB1301" s="24"/>
      <c r="DD1301" s="21"/>
      <c r="DE1301" s="22"/>
      <c r="DG1301" s="21"/>
      <c r="DK1301" s="26"/>
      <c r="DL1301" s="26"/>
      <c r="DM1301" s="26"/>
      <c r="DN1301" s="21"/>
      <c r="DO1301" s="21"/>
      <c r="EF1301" s="25"/>
      <c r="EG1301" s="25"/>
      <c r="EY1301" s="20"/>
    </row>
    <row r="1302" spans="1:155">
      <c r="A1302" s="21"/>
      <c r="B1302" s="21"/>
      <c r="AA1302" s="22"/>
      <c r="AB1302" s="22"/>
      <c r="AC1302" s="21"/>
      <c r="AD1302" s="21"/>
      <c r="BD1302" s="21"/>
      <c r="DB1302" s="24"/>
      <c r="DD1302" s="21"/>
      <c r="DE1302" s="22"/>
      <c r="DG1302" s="21"/>
      <c r="DL1302" s="22"/>
      <c r="DM1302" s="22"/>
      <c r="DN1302" s="21"/>
      <c r="DO1302" s="21"/>
      <c r="EF1302" s="25"/>
      <c r="EG1302" s="25"/>
      <c r="EY1302" s="20"/>
    </row>
    <row r="1303" spans="1:155">
      <c r="A1303" s="21"/>
      <c r="B1303" s="21"/>
      <c r="AA1303" s="22"/>
      <c r="AB1303" s="22"/>
      <c r="AC1303" s="21"/>
      <c r="AD1303" s="21"/>
      <c r="BD1303" s="21"/>
      <c r="DB1303" s="24"/>
      <c r="DD1303" s="21"/>
      <c r="DE1303" s="22"/>
      <c r="DG1303" s="21"/>
      <c r="DL1303" s="22"/>
      <c r="DM1303" s="22"/>
      <c r="DN1303" s="21"/>
      <c r="DO1303" s="21"/>
      <c r="EF1303" s="25"/>
      <c r="EG1303" s="25"/>
      <c r="EY1303" s="20"/>
    </row>
    <row r="1304" spans="1:155">
      <c r="A1304" s="21"/>
      <c r="B1304" s="21"/>
      <c r="AA1304" s="22"/>
      <c r="AB1304" s="22"/>
      <c r="AC1304" s="21"/>
      <c r="AD1304" s="21"/>
      <c r="AY1304" s="22"/>
      <c r="BB1304" s="22"/>
      <c r="BD1304" s="21"/>
      <c r="DB1304" s="24"/>
      <c r="DD1304" s="21"/>
      <c r="DE1304" s="22"/>
      <c r="DG1304" s="21"/>
      <c r="DL1304" s="22"/>
      <c r="DM1304" s="22"/>
      <c r="DN1304" s="21"/>
      <c r="DO1304" s="21"/>
      <c r="EF1304" s="25"/>
      <c r="EG1304" s="25"/>
      <c r="EY1304" s="20"/>
    </row>
    <row r="1305" spans="1:155">
      <c r="A1305" s="21"/>
      <c r="B1305" s="21"/>
      <c r="AA1305" s="22"/>
      <c r="AB1305" s="22"/>
      <c r="AC1305" s="21"/>
      <c r="AD1305" s="21"/>
      <c r="AY1305" s="22"/>
      <c r="BB1305" s="22"/>
      <c r="BD1305" s="21"/>
      <c r="DB1305" s="24"/>
      <c r="DD1305" s="21"/>
      <c r="DE1305" s="22"/>
      <c r="DG1305" s="21"/>
      <c r="DL1305" s="22"/>
      <c r="DM1305" s="22"/>
      <c r="DN1305" s="21"/>
      <c r="DO1305" s="21"/>
      <c r="EF1305" s="25"/>
      <c r="EG1305" s="25"/>
      <c r="EY1305" s="20"/>
    </row>
    <row r="1306" spans="1:155">
      <c r="A1306" s="21"/>
      <c r="B1306" s="21"/>
      <c r="AA1306" s="22"/>
      <c r="AB1306" s="22"/>
      <c r="AC1306" s="21"/>
      <c r="AD1306" s="21"/>
      <c r="BD1306" s="21"/>
      <c r="DB1306" s="24"/>
      <c r="DD1306" s="21"/>
      <c r="DE1306" s="22"/>
      <c r="DG1306" s="21"/>
      <c r="DL1306" s="22"/>
      <c r="DM1306" s="22"/>
      <c r="DN1306" s="21"/>
      <c r="DO1306" s="21"/>
      <c r="EF1306" s="25"/>
      <c r="EG1306" s="25"/>
      <c r="EY1306" s="20"/>
    </row>
    <row r="1307" spans="1:155">
      <c r="A1307" s="21"/>
      <c r="B1307" s="21"/>
      <c r="AA1307" s="22"/>
      <c r="AB1307" s="22"/>
      <c r="AC1307" s="21"/>
      <c r="AD1307" s="21"/>
      <c r="AY1307" s="22"/>
      <c r="BB1307" s="22"/>
      <c r="BD1307" s="21"/>
      <c r="DB1307" s="24"/>
      <c r="DD1307" s="21"/>
      <c r="DE1307" s="22"/>
      <c r="DG1307" s="21"/>
      <c r="DL1307" s="22"/>
      <c r="DM1307" s="22"/>
      <c r="DN1307" s="21"/>
      <c r="DO1307" s="21"/>
      <c r="EF1307" s="25"/>
      <c r="EG1307" s="25"/>
      <c r="EY1307" s="20"/>
    </row>
    <row r="1308" spans="1:155">
      <c r="A1308" s="21"/>
      <c r="B1308" s="21"/>
      <c r="AA1308" s="22"/>
      <c r="AB1308" s="22"/>
      <c r="AC1308" s="21"/>
      <c r="AD1308" s="21"/>
      <c r="AY1308" s="22"/>
      <c r="BB1308" s="22"/>
      <c r="BD1308" s="21"/>
      <c r="DB1308" s="24"/>
      <c r="DD1308" s="21"/>
      <c r="DE1308" s="22"/>
      <c r="DG1308" s="21"/>
      <c r="DL1308" s="22"/>
      <c r="DM1308" s="22"/>
      <c r="DN1308" s="21"/>
      <c r="DO1308" s="21"/>
      <c r="EF1308" s="25"/>
      <c r="EG1308" s="25"/>
      <c r="EY1308" s="20"/>
    </row>
    <row r="1309" spans="1:155">
      <c r="A1309" s="21"/>
      <c r="B1309" s="21"/>
      <c r="AA1309" s="22"/>
      <c r="AB1309" s="22"/>
      <c r="AC1309" s="21"/>
      <c r="AD1309" s="21"/>
      <c r="BD1309" s="21"/>
      <c r="DB1309" s="24"/>
      <c r="DD1309" s="21"/>
      <c r="DE1309" s="22"/>
      <c r="DG1309" s="21"/>
      <c r="DL1309" s="22"/>
      <c r="DM1309" s="22"/>
      <c r="DN1309" s="21"/>
      <c r="DO1309" s="21"/>
      <c r="EF1309" s="25"/>
      <c r="EG1309" s="25"/>
      <c r="EY1309" s="20"/>
    </row>
    <row r="1310" spans="1:155">
      <c r="A1310" s="21"/>
      <c r="B1310" s="21"/>
      <c r="AA1310" s="22"/>
      <c r="AB1310" s="22"/>
      <c r="AC1310" s="21"/>
      <c r="AD1310" s="21"/>
      <c r="AY1310" s="22"/>
      <c r="BB1310" s="22"/>
      <c r="BD1310" s="21"/>
      <c r="DB1310" s="24"/>
      <c r="DD1310" s="21"/>
      <c r="DE1310" s="22"/>
      <c r="DG1310" s="21"/>
      <c r="DL1310" s="22"/>
      <c r="DM1310" s="22"/>
      <c r="DN1310" s="21"/>
      <c r="DO1310" s="21"/>
      <c r="EF1310" s="25"/>
      <c r="EG1310" s="25"/>
      <c r="EY1310" s="20"/>
    </row>
    <row r="1311" spans="1:155">
      <c r="A1311" s="21"/>
      <c r="B1311" s="21"/>
      <c r="AA1311" s="22"/>
      <c r="AB1311" s="22"/>
      <c r="AC1311" s="21"/>
      <c r="AD1311" s="21"/>
      <c r="BD1311" s="21"/>
      <c r="DB1311" s="24"/>
      <c r="DD1311" s="21"/>
      <c r="DE1311" s="22"/>
      <c r="DG1311" s="21"/>
      <c r="DL1311" s="22"/>
      <c r="DM1311" s="22"/>
      <c r="DN1311" s="21"/>
      <c r="DO1311" s="21"/>
      <c r="EF1311" s="25"/>
      <c r="EG1311" s="25"/>
      <c r="EY1311" s="20"/>
    </row>
    <row r="1312" spans="1:155">
      <c r="A1312" s="21"/>
      <c r="B1312" s="21"/>
      <c r="AA1312" s="22"/>
      <c r="AB1312" s="22"/>
      <c r="AC1312" s="21"/>
      <c r="AD1312" s="21"/>
      <c r="BD1312" s="21"/>
      <c r="DB1312" s="24"/>
      <c r="DD1312" s="21"/>
      <c r="DE1312" s="22"/>
      <c r="DG1312" s="21"/>
      <c r="DL1312" s="22"/>
      <c r="DM1312" s="22"/>
      <c r="DN1312" s="21"/>
      <c r="DO1312" s="21"/>
      <c r="EF1312" s="25"/>
      <c r="EG1312" s="25"/>
      <c r="EY1312" s="20"/>
    </row>
    <row r="1313" spans="1:155">
      <c r="A1313" s="21"/>
      <c r="B1313" s="21"/>
      <c r="AA1313" s="22"/>
      <c r="AB1313" s="22"/>
      <c r="AC1313" s="21"/>
      <c r="AD1313" s="21"/>
      <c r="BD1313" s="21"/>
      <c r="CN1313" s="22"/>
      <c r="DB1313" s="24"/>
      <c r="DD1313" s="21"/>
      <c r="DE1313" s="22"/>
      <c r="DG1313" s="21"/>
      <c r="DL1313" s="22"/>
      <c r="DM1313" s="22"/>
      <c r="DN1313" s="21"/>
      <c r="DO1313" s="21"/>
      <c r="EF1313" s="25"/>
      <c r="EG1313" s="25"/>
      <c r="EY1313" s="20"/>
    </row>
    <row r="1314" spans="1:155">
      <c r="A1314" s="21"/>
      <c r="B1314" s="21"/>
      <c r="AA1314" s="22"/>
      <c r="AB1314" s="22"/>
      <c r="AC1314" s="21"/>
      <c r="AD1314" s="21"/>
      <c r="BD1314" s="21"/>
      <c r="CN1314" s="22"/>
      <c r="DB1314" s="24"/>
      <c r="DD1314" s="21"/>
      <c r="DE1314" s="22"/>
      <c r="DG1314" s="21"/>
      <c r="DL1314" s="22"/>
      <c r="DM1314" s="22"/>
      <c r="DN1314" s="21"/>
      <c r="DO1314" s="21"/>
      <c r="EF1314" s="25"/>
      <c r="EG1314" s="25"/>
      <c r="EY1314" s="20"/>
    </row>
    <row r="1315" spans="1:155">
      <c r="A1315" s="21"/>
      <c r="B1315" s="21"/>
      <c r="AA1315" s="22"/>
      <c r="AB1315" s="22"/>
      <c r="AC1315" s="21"/>
      <c r="AD1315" s="21"/>
      <c r="BD1315" s="21"/>
      <c r="DB1315" s="24"/>
      <c r="DD1315" s="21"/>
      <c r="DE1315" s="22"/>
      <c r="DG1315" s="21"/>
      <c r="DL1315" s="22"/>
      <c r="DM1315" s="22"/>
      <c r="DN1315" s="21"/>
      <c r="DO1315" s="21"/>
      <c r="EF1315" s="25"/>
      <c r="EG1315" s="25"/>
      <c r="EY1315" s="20"/>
    </row>
    <row r="1316" spans="1:155">
      <c r="A1316" s="21"/>
      <c r="B1316" s="21"/>
      <c r="AA1316" s="22"/>
      <c r="AB1316" s="22"/>
      <c r="AC1316" s="21"/>
      <c r="AD1316" s="21"/>
      <c r="BD1316" s="21"/>
      <c r="DB1316" s="24"/>
      <c r="DD1316" s="21"/>
      <c r="DE1316" s="22"/>
      <c r="DG1316" s="21"/>
      <c r="DL1316" s="22"/>
      <c r="DM1316" s="22"/>
      <c r="DN1316" s="21"/>
      <c r="DO1316" s="21"/>
      <c r="EF1316" s="25"/>
      <c r="EG1316" s="25"/>
      <c r="EY1316" s="20"/>
    </row>
    <row r="1317" spans="1:155">
      <c r="A1317" s="21"/>
      <c r="B1317" s="21"/>
      <c r="AA1317" s="22"/>
      <c r="AB1317" s="22"/>
      <c r="AC1317" s="21"/>
      <c r="AD1317" s="21"/>
      <c r="BD1317" s="21"/>
      <c r="DB1317" s="24"/>
      <c r="DD1317" s="21"/>
      <c r="DE1317" s="22"/>
      <c r="DG1317" s="21"/>
      <c r="DL1317" s="22"/>
      <c r="DM1317" s="22"/>
      <c r="DN1317" s="21"/>
      <c r="DO1317" s="21"/>
      <c r="EF1317" s="25"/>
      <c r="EG1317" s="25"/>
      <c r="EY1317" s="20"/>
    </row>
    <row r="1318" spans="1:155">
      <c r="A1318" s="21"/>
      <c r="B1318" s="21"/>
      <c r="AA1318" s="22"/>
      <c r="AB1318" s="22"/>
      <c r="AC1318" s="21"/>
      <c r="AD1318" s="21"/>
      <c r="BD1318" s="21"/>
      <c r="CN1318" s="22"/>
      <c r="DB1318" s="24"/>
      <c r="DD1318" s="21"/>
      <c r="DE1318" s="22"/>
      <c r="DG1318" s="21"/>
      <c r="DL1318" s="22"/>
      <c r="DM1318" s="22"/>
      <c r="DN1318" s="21"/>
      <c r="DO1318" s="21"/>
      <c r="EF1318" s="25"/>
      <c r="EG1318" s="25"/>
      <c r="EY1318" s="20"/>
    </row>
    <row r="1319" spans="1:155">
      <c r="A1319" s="21"/>
      <c r="B1319" s="21"/>
      <c r="AA1319" s="22"/>
      <c r="AB1319" s="22"/>
      <c r="AC1319" s="21"/>
      <c r="AD1319" s="21"/>
      <c r="BD1319" s="21"/>
      <c r="DB1319" s="24"/>
      <c r="DD1319" s="21"/>
      <c r="DE1319" s="22"/>
      <c r="DG1319" s="21"/>
      <c r="DL1319" s="22"/>
      <c r="DM1319" s="22"/>
      <c r="DN1319" s="21"/>
      <c r="DO1319" s="21"/>
      <c r="EF1319" s="25"/>
      <c r="EG1319" s="25"/>
      <c r="EY1319" s="20"/>
    </row>
    <row r="1320" spans="1:155">
      <c r="A1320" s="21"/>
      <c r="B1320" s="21"/>
      <c r="AA1320" s="22"/>
      <c r="AB1320" s="22"/>
      <c r="AC1320" s="21"/>
      <c r="AD1320" s="21"/>
      <c r="AY1320" s="22"/>
      <c r="BB1320" s="22"/>
      <c r="BD1320" s="21"/>
      <c r="DB1320" s="24"/>
      <c r="DD1320" s="21"/>
      <c r="DE1320" s="22"/>
      <c r="DG1320" s="21"/>
      <c r="DL1320" s="22"/>
      <c r="DM1320" s="22"/>
      <c r="DN1320" s="21"/>
      <c r="DO1320" s="21"/>
      <c r="EF1320" s="25"/>
      <c r="EG1320" s="25"/>
      <c r="EY1320" s="20"/>
    </row>
    <row r="1321" spans="1:155">
      <c r="A1321" s="21"/>
      <c r="B1321" s="21"/>
      <c r="AA1321" s="22"/>
      <c r="AB1321" s="22"/>
      <c r="AC1321" s="21"/>
      <c r="AD1321" s="21"/>
      <c r="AY1321" s="22"/>
      <c r="BB1321" s="22"/>
      <c r="BD1321" s="21"/>
      <c r="DB1321" s="24"/>
      <c r="DD1321" s="21"/>
      <c r="DE1321" s="22"/>
      <c r="DG1321" s="21"/>
      <c r="DL1321" s="22"/>
      <c r="DM1321" s="22"/>
      <c r="DN1321" s="21"/>
      <c r="DO1321" s="21"/>
      <c r="EF1321" s="25"/>
      <c r="EG1321" s="25"/>
      <c r="EY1321" s="20"/>
    </row>
    <row r="1322" spans="1:155">
      <c r="A1322" s="21"/>
      <c r="B1322" s="21"/>
      <c r="AA1322" s="22"/>
      <c r="AB1322" s="22"/>
      <c r="AC1322" s="21"/>
      <c r="AD1322" s="21"/>
      <c r="BD1322" s="21"/>
      <c r="DB1322" s="24"/>
      <c r="DD1322" s="21"/>
      <c r="DE1322" s="22"/>
      <c r="DG1322" s="21"/>
      <c r="DL1322" s="22"/>
      <c r="DM1322" s="22"/>
      <c r="DN1322" s="21"/>
      <c r="DO1322" s="21"/>
      <c r="EF1322" s="25"/>
      <c r="EG1322" s="25"/>
      <c r="EY1322" s="20"/>
    </row>
    <row r="1323" spans="1:155">
      <c r="A1323" s="21"/>
      <c r="B1323" s="21"/>
      <c r="AA1323" s="22"/>
      <c r="AB1323" s="22"/>
      <c r="AC1323" s="21"/>
      <c r="AD1323" s="21"/>
      <c r="AY1323" s="22"/>
      <c r="BB1323" s="22"/>
      <c r="BD1323" s="21"/>
      <c r="DB1323" s="24"/>
      <c r="DD1323" s="21"/>
      <c r="DE1323" s="22"/>
      <c r="DG1323" s="21"/>
      <c r="DL1323" s="22"/>
      <c r="DM1323" s="22"/>
      <c r="DN1323" s="21"/>
      <c r="DO1323" s="21"/>
      <c r="EF1323" s="25"/>
      <c r="EG1323" s="25"/>
      <c r="EY1323" s="20"/>
    </row>
    <row r="1324" spans="1:155">
      <c r="A1324" s="21"/>
      <c r="B1324" s="21"/>
      <c r="AA1324" s="22"/>
      <c r="AB1324" s="22"/>
      <c r="AC1324" s="21"/>
      <c r="AD1324" s="21"/>
      <c r="AY1324" s="22"/>
      <c r="BB1324" s="22"/>
      <c r="BD1324" s="21"/>
      <c r="DB1324" s="24"/>
      <c r="DD1324" s="21"/>
      <c r="DE1324" s="22"/>
      <c r="DG1324" s="21"/>
      <c r="DL1324" s="22"/>
      <c r="DM1324" s="22"/>
      <c r="DN1324" s="21"/>
      <c r="DO1324" s="21"/>
      <c r="EF1324" s="25"/>
      <c r="EG1324" s="25"/>
      <c r="EY1324" s="20"/>
    </row>
    <row r="1325" spans="1:155">
      <c r="A1325" s="21"/>
      <c r="B1325" s="21"/>
      <c r="AA1325" s="22"/>
      <c r="AB1325" s="22"/>
      <c r="AC1325" s="21"/>
      <c r="AD1325" s="21"/>
      <c r="AY1325" s="22"/>
      <c r="BB1325" s="22"/>
      <c r="BD1325" s="21"/>
      <c r="DB1325" s="24"/>
      <c r="DD1325" s="21"/>
      <c r="DE1325" s="22"/>
      <c r="DG1325" s="21"/>
      <c r="DL1325" s="22"/>
      <c r="DM1325" s="22"/>
      <c r="DN1325" s="21"/>
      <c r="DO1325" s="21"/>
      <c r="EF1325" s="25"/>
      <c r="EG1325" s="25"/>
      <c r="EY1325" s="20"/>
    </row>
    <row r="1326" spans="1:155">
      <c r="A1326" s="21"/>
      <c r="B1326" s="21"/>
      <c r="AA1326" s="22"/>
      <c r="AB1326" s="22"/>
      <c r="AC1326" s="21"/>
      <c r="AD1326" s="21"/>
      <c r="AY1326" s="22"/>
      <c r="BB1326" s="22"/>
      <c r="BD1326" s="21"/>
      <c r="DB1326" s="24"/>
      <c r="DD1326" s="21"/>
      <c r="DE1326" s="22"/>
      <c r="DG1326" s="21"/>
      <c r="DL1326" s="22"/>
      <c r="DM1326" s="22"/>
      <c r="DN1326" s="21"/>
      <c r="DO1326" s="21"/>
      <c r="EF1326" s="25"/>
      <c r="EG1326" s="25"/>
      <c r="EY1326" s="20"/>
    </row>
    <row r="1327" spans="1:155">
      <c r="A1327" s="21"/>
      <c r="B1327" s="21"/>
      <c r="AA1327" s="22"/>
      <c r="AB1327" s="22"/>
      <c r="AC1327" s="21"/>
      <c r="AD1327" s="21"/>
      <c r="BD1327" s="21"/>
      <c r="DB1327" s="24"/>
      <c r="DD1327" s="21"/>
      <c r="DE1327" s="22"/>
      <c r="DG1327" s="21"/>
      <c r="DL1327" s="22"/>
      <c r="DM1327" s="22"/>
      <c r="DN1327" s="21"/>
      <c r="DO1327" s="21"/>
      <c r="EF1327" s="25"/>
      <c r="EG1327" s="25"/>
      <c r="EY1327" s="20"/>
    </row>
    <row r="1328" spans="1:155">
      <c r="A1328" s="21"/>
      <c r="B1328" s="21"/>
      <c r="AA1328" s="22"/>
      <c r="AB1328" s="22"/>
      <c r="AC1328" s="21"/>
      <c r="AD1328" s="21"/>
      <c r="AY1328" s="22"/>
      <c r="BB1328" s="22"/>
      <c r="BD1328" s="21"/>
      <c r="DB1328" s="24"/>
      <c r="DD1328" s="21"/>
      <c r="DE1328" s="22"/>
      <c r="DG1328" s="21"/>
      <c r="DL1328" s="22"/>
      <c r="DM1328" s="22"/>
      <c r="DN1328" s="21"/>
      <c r="DO1328" s="21"/>
      <c r="EF1328" s="25"/>
      <c r="EG1328" s="25"/>
      <c r="EY1328" s="20"/>
    </row>
    <row r="1329" spans="1:155">
      <c r="A1329" s="21"/>
      <c r="B1329" s="21"/>
      <c r="AA1329" s="22"/>
      <c r="AB1329" s="22"/>
      <c r="AC1329" s="21"/>
      <c r="AD1329" s="21"/>
      <c r="BD1329" s="21"/>
      <c r="DB1329" s="24"/>
      <c r="DD1329" s="21"/>
      <c r="DE1329" s="22"/>
      <c r="DG1329" s="21"/>
      <c r="DL1329" s="22"/>
      <c r="DM1329" s="22"/>
      <c r="DN1329" s="21"/>
      <c r="DO1329" s="21"/>
      <c r="EF1329" s="25"/>
      <c r="EG1329" s="25"/>
      <c r="EY1329" s="20"/>
    </row>
    <row r="1330" spans="1:155">
      <c r="A1330" s="21"/>
      <c r="B1330" s="21"/>
      <c r="AA1330" s="22"/>
      <c r="AB1330" s="22"/>
      <c r="AC1330" s="21"/>
      <c r="AD1330" s="21"/>
      <c r="BD1330" s="21"/>
      <c r="DB1330" s="24"/>
      <c r="DD1330" s="21"/>
      <c r="DE1330" s="22"/>
      <c r="DG1330" s="21"/>
      <c r="DL1330" s="22"/>
      <c r="DM1330" s="22"/>
      <c r="DN1330" s="21"/>
      <c r="DO1330" s="21"/>
      <c r="EF1330" s="25"/>
      <c r="EG1330" s="25"/>
      <c r="EY1330" s="20"/>
    </row>
    <row r="1331" spans="1:155">
      <c r="A1331" s="21"/>
      <c r="B1331" s="21"/>
      <c r="AA1331" s="22"/>
      <c r="AB1331" s="22"/>
      <c r="AC1331" s="21"/>
      <c r="AD1331" s="21"/>
      <c r="BD1331" s="21"/>
      <c r="CN1331" s="22"/>
      <c r="DB1331" s="24"/>
      <c r="DD1331" s="21"/>
      <c r="DE1331" s="22"/>
      <c r="DG1331" s="21"/>
      <c r="DL1331" s="22"/>
      <c r="DM1331" s="22"/>
      <c r="DN1331" s="21"/>
      <c r="DO1331" s="21"/>
      <c r="EF1331" s="25"/>
      <c r="EG1331" s="25"/>
      <c r="EY1331" s="20"/>
    </row>
    <row r="1332" spans="1:155">
      <c r="A1332" s="21"/>
      <c r="B1332" s="21"/>
      <c r="AA1332" s="22"/>
      <c r="AB1332" s="22"/>
      <c r="AC1332" s="21"/>
      <c r="AD1332" s="21"/>
      <c r="BD1332" s="21"/>
      <c r="DB1332" s="24"/>
      <c r="DD1332" s="21"/>
      <c r="DE1332" s="22"/>
      <c r="DG1332" s="21"/>
      <c r="DL1332" s="22"/>
      <c r="DM1332" s="22"/>
      <c r="DN1332" s="21"/>
      <c r="DO1332" s="21"/>
      <c r="EF1332" s="25"/>
      <c r="EG1332" s="25"/>
      <c r="EY1332" s="20"/>
    </row>
    <row r="1333" spans="1:155">
      <c r="A1333" s="21"/>
      <c r="B1333" s="21"/>
      <c r="AA1333" s="22"/>
      <c r="AB1333" s="22"/>
      <c r="AC1333" s="21"/>
      <c r="AD1333" s="21"/>
      <c r="AY1333" s="22"/>
      <c r="BB1333" s="22"/>
      <c r="BD1333" s="21"/>
      <c r="DB1333" s="24"/>
      <c r="DD1333" s="21"/>
      <c r="DE1333" s="22"/>
      <c r="DG1333" s="21"/>
      <c r="DL1333" s="22"/>
      <c r="DM1333" s="22"/>
      <c r="DN1333" s="21"/>
      <c r="DO1333" s="21"/>
      <c r="EF1333" s="25"/>
      <c r="EG1333" s="25"/>
      <c r="EY1333" s="20"/>
    </row>
    <row r="1334" spans="1:155">
      <c r="A1334" s="21"/>
      <c r="B1334" s="21"/>
      <c r="AA1334" s="22"/>
      <c r="AB1334" s="22"/>
      <c r="AC1334" s="21"/>
      <c r="AD1334" s="21"/>
      <c r="AY1334" s="22"/>
      <c r="BB1334" s="22"/>
      <c r="BD1334" s="21"/>
      <c r="DB1334" s="24"/>
      <c r="DD1334" s="21"/>
      <c r="DE1334" s="22"/>
      <c r="DG1334" s="21"/>
      <c r="DL1334" s="22"/>
      <c r="DM1334" s="22"/>
      <c r="DN1334" s="21"/>
      <c r="DO1334" s="21"/>
      <c r="EF1334" s="25"/>
      <c r="EG1334" s="25"/>
      <c r="EY1334" s="20"/>
    </row>
    <row r="1335" spans="1:155">
      <c r="A1335" s="21"/>
      <c r="B1335" s="21"/>
      <c r="AA1335" s="22"/>
      <c r="AB1335" s="22"/>
      <c r="AC1335" s="21"/>
      <c r="AD1335" s="21"/>
      <c r="BD1335" s="21"/>
      <c r="CN1335" s="22"/>
      <c r="DB1335" s="24"/>
      <c r="DD1335" s="21"/>
      <c r="DE1335" s="22"/>
      <c r="DG1335" s="21"/>
      <c r="DL1335" s="22"/>
      <c r="DM1335" s="22"/>
      <c r="DN1335" s="21"/>
      <c r="DO1335" s="21"/>
      <c r="EF1335" s="25"/>
      <c r="EG1335" s="25"/>
      <c r="EY1335" s="20"/>
    </row>
    <row r="1336" spans="1:155">
      <c r="A1336" s="21"/>
      <c r="B1336" s="21"/>
      <c r="AA1336" s="22"/>
      <c r="AB1336" s="22"/>
      <c r="AC1336" s="21"/>
      <c r="AD1336" s="21"/>
      <c r="BD1336" s="21"/>
      <c r="DB1336" s="24"/>
      <c r="DD1336" s="21"/>
      <c r="DE1336" s="22"/>
      <c r="DG1336" s="21"/>
      <c r="DL1336" s="22"/>
      <c r="DM1336" s="22"/>
      <c r="DN1336" s="21"/>
      <c r="DO1336" s="21"/>
      <c r="EF1336" s="25"/>
      <c r="EG1336" s="25"/>
      <c r="EY1336" s="20"/>
    </row>
    <row r="1337" spans="1:155">
      <c r="A1337" s="21"/>
      <c r="B1337" s="21"/>
      <c r="AA1337" s="22"/>
      <c r="AB1337" s="22"/>
      <c r="AC1337" s="21"/>
      <c r="AD1337" s="21"/>
      <c r="AY1337" s="22"/>
      <c r="BB1337" s="22"/>
      <c r="BD1337" s="21"/>
      <c r="DB1337" s="24"/>
      <c r="DD1337" s="21"/>
      <c r="DE1337" s="22"/>
      <c r="DG1337" s="21"/>
      <c r="DL1337" s="22"/>
      <c r="DM1337" s="22"/>
      <c r="DN1337" s="21"/>
      <c r="DO1337" s="21"/>
      <c r="EF1337" s="25"/>
      <c r="EG1337" s="25"/>
      <c r="EY1337" s="20"/>
    </row>
    <row r="1338" spans="1:155">
      <c r="A1338" s="21"/>
      <c r="B1338" s="21"/>
      <c r="AA1338" s="22"/>
      <c r="AB1338" s="22"/>
      <c r="AC1338" s="21"/>
      <c r="AD1338" s="21"/>
      <c r="AY1338" s="22"/>
      <c r="BB1338" s="22"/>
      <c r="BD1338" s="21"/>
      <c r="DB1338" s="24"/>
      <c r="DD1338" s="21"/>
      <c r="DE1338" s="22"/>
      <c r="DG1338" s="21"/>
      <c r="DL1338" s="22"/>
      <c r="DM1338" s="22"/>
      <c r="DN1338" s="21"/>
      <c r="DO1338" s="21"/>
      <c r="EF1338" s="25"/>
      <c r="EG1338" s="25"/>
      <c r="EY1338" s="20"/>
    </row>
    <row r="1339" spans="1:155">
      <c r="A1339" s="21"/>
      <c r="B1339" s="21"/>
      <c r="AA1339" s="22"/>
      <c r="AB1339" s="22"/>
      <c r="AC1339" s="21"/>
      <c r="AD1339" s="21"/>
      <c r="BD1339" s="21"/>
      <c r="CN1339" s="22"/>
      <c r="DB1339" s="24"/>
      <c r="DD1339" s="21"/>
      <c r="DE1339" s="22"/>
      <c r="DG1339" s="21"/>
      <c r="DL1339" s="22"/>
      <c r="DM1339" s="22"/>
      <c r="DN1339" s="21"/>
      <c r="DO1339" s="21"/>
      <c r="EF1339" s="25"/>
      <c r="EG1339" s="25"/>
      <c r="EY1339" s="20"/>
    </row>
    <row r="1340" spans="1:155">
      <c r="A1340" s="21"/>
      <c r="B1340" s="21"/>
      <c r="AA1340" s="22"/>
      <c r="AB1340" s="22"/>
      <c r="AC1340" s="21"/>
      <c r="AD1340" s="21"/>
      <c r="AY1340" s="22"/>
      <c r="BB1340" s="22"/>
      <c r="BD1340" s="21"/>
      <c r="DB1340" s="24"/>
      <c r="DD1340" s="21"/>
      <c r="DE1340" s="22"/>
      <c r="DG1340" s="21"/>
      <c r="DL1340" s="22"/>
      <c r="DM1340" s="22"/>
      <c r="DN1340" s="21"/>
      <c r="DO1340" s="21"/>
      <c r="EF1340" s="25"/>
      <c r="EG1340" s="25"/>
      <c r="EY1340" s="20"/>
    </row>
    <row r="1341" spans="1:155">
      <c r="A1341" s="21"/>
      <c r="B1341" s="21"/>
      <c r="AA1341" s="22"/>
      <c r="AB1341" s="22"/>
      <c r="AC1341" s="21"/>
      <c r="AD1341" s="21"/>
      <c r="BD1341" s="21"/>
      <c r="DB1341" s="24"/>
      <c r="DD1341" s="21"/>
      <c r="DE1341" s="22"/>
      <c r="DG1341" s="21"/>
      <c r="DL1341" s="22"/>
      <c r="DM1341" s="22"/>
      <c r="DN1341" s="21"/>
      <c r="DO1341" s="21"/>
      <c r="EF1341" s="25"/>
      <c r="EG1341" s="25"/>
      <c r="EY1341" s="20"/>
    </row>
    <row r="1342" spans="1:155">
      <c r="A1342" s="21"/>
      <c r="B1342" s="21"/>
      <c r="AA1342" s="22"/>
      <c r="AB1342" s="22"/>
      <c r="AC1342" s="21"/>
      <c r="AD1342" s="21"/>
      <c r="AY1342" s="22"/>
      <c r="BB1342" s="22"/>
      <c r="BD1342" s="21"/>
      <c r="DB1342" s="24"/>
      <c r="DD1342" s="21"/>
      <c r="DE1342" s="22"/>
      <c r="DG1342" s="21"/>
      <c r="DL1342" s="22"/>
      <c r="DM1342" s="22"/>
      <c r="DN1342" s="21"/>
      <c r="DO1342" s="21"/>
      <c r="EF1342" s="25"/>
      <c r="EG1342" s="25"/>
      <c r="EY1342" s="20"/>
    </row>
    <row r="1343" spans="1:155">
      <c r="A1343" s="21"/>
      <c r="B1343" s="21"/>
      <c r="AA1343" s="22"/>
      <c r="AB1343" s="22"/>
      <c r="AC1343" s="21"/>
      <c r="AD1343" s="21"/>
      <c r="AY1343" s="22"/>
      <c r="BB1343" s="22"/>
      <c r="BD1343" s="21"/>
      <c r="DB1343" s="24"/>
      <c r="DD1343" s="21"/>
      <c r="DE1343" s="22"/>
      <c r="DG1343" s="21"/>
      <c r="DL1343" s="22"/>
      <c r="DM1343" s="22"/>
      <c r="DN1343" s="21"/>
      <c r="DO1343" s="21"/>
      <c r="EF1343" s="25"/>
      <c r="EG1343" s="25"/>
      <c r="EY1343" s="20"/>
    </row>
    <row r="1344" spans="1:155">
      <c r="A1344" s="21"/>
      <c r="B1344" s="21"/>
      <c r="AA1344" s="22"/>
      <c r="AB1344" s="22"/>
      <c r="AC1344" s="21"/>
      <c r="AD1344" s="21"/>
      <c r="AY1344" s="22"/>
      <c r="BB1344" s="22"/>
      <c r="BD1344" s="21"/>
      <c r="DB1344" s="24"/>
      <c r="DD1344" s="21"/>
      <c r="DE1344" s="22"/>
      <c r="DG1344" s="21"/>
      <c r="DL1344" s="22"/>
      <c r="DM1344" s="22"/>
      <c r="DN1344" s="21"/>
      <c r="DO1344" s="21"/>
      <c r="EF1344" s="25"/>
      <c r="EG1344" s="25"/>
      <c r="EY1344" s="20"/>
    </row>
    <row r="1345" spans="1:155">
      <c r="A1345" s="21"/>
      <c r="B1345" s="21"/>
      <c r="AA1345" s="22"/>
      <c r="AB1345" s="22"/>
      <c r="AC1345" s="21"/>
      <c r="AD1345" s="21"/>
      <c r="BD1345" s="21"/>
      <c r="DB1345" s="24"/>
      <c r="DD1345" s="21"/>
      <c r="DE1345" s="22"/>
      <c r="DG1345" s="21"/>
      <c r="DL1345" s="22"/>
      <c r="DM1345" s="22"/>
      <c r="DN1345" s="21"/>
      <c r="DO1345" s="21"/>
      <c r="EF1345" s="25"/>
      <c r="EG1345" s="25"/>
      <c r="EY1345" s="20"/>
    </row>
    <row r="1346" spans="1:155">
      <c r="A1346" s="21"/>
      <c r="B1346" s="21"/>
      <c r="AA1346" s="22"/>
      <c r="AB1346" s="22"/>
      <c r="AC1346" s="21"/>
      <c r="AD1346" s="21"/>
      <c r="AY1346" s="22"/>
      <c r="BB1346" s="22"/>
      <c r="BD1346" s="21"/>
      <c r="DB1346" s="24"/>
      <c r="DD1346" s="21"/>
      <c r="DE1346" s="22"/>
      <c r="DG1346" s="21"/>
      <c r="DL1346" s="22"/>
      <c r="DM1346" s="22"/>
      <c r="DN1346" s="21"/>
      <c r="DO1346" s="21"/>
      <c r="EF1346" s="25"/>
      <c r="EG1346" s="25"/>
      <c r="EY1346" s="20"/>
    </row>
    <row r="1347" spans="1:155">
      <c r="A1347" s="21"/>
      <c r="B1347" s="21"/>
      <c r="AA1347" s="22"/>
      <c r="AB1347" s="22"/>
      <c r="AC1347" s="21"/>
      <c r="AD1347" s="21"/>
      <c r="AY1347" s="22"/>
      <c r="BB1347" s="22"/>
      <c r="BD1347" s="21"/>
      <c r="DB1347" s="24"/>
      <c r="DD1347" s="21"/>
      <c r="DE1347" s="22"/>
      <c r="DG1347" s="21"/>
      <c r="DL1347" s="22"/>
      <c r="DM1347" s="22"/>
      <c r="DN1347" s="21"/>
      <c r="DO1347" s="21"/>
      <c r="EF1347" s="25"/>
      <c r="EG1347" s="25"/>
      <c r="EY1347" s="20"/>
    </row>
    <row r="1348" spans="1:155">
      <c r="A1348" s="21"/>
      <c r="B1348" s="21"/>
      <c r="AA1348" s="22"/>
      <c r="AB1348" s="22"/>
      <c r="AC1348" s="21"/>
      <c r="AD1348" s="21"/>
      <c r="BD1348" s="21"/>
      <c r="DB1348" s="24"/>
      <c r="DD1348" s="21"/>
      <c r="DE1348" s="22"/>
      <c r="DG1348" s="21"/>
      <c r="DL1348" s="22"/>
      <c r="DM1348" s="22"/>
      <c r="DN1348" s="21"/>
      <c r="DO1348" s="21"/>
      <c r="EF1348" s="25"/>
      <c r="EG1348" s="25"/>
      <c r="EY1348" s="20"/>
    </row>
    <row r="1349" spans="1:155">
      <c r="A1349" s="21"/>
      <c r="B1349" s="21"/>
      <c r="AA1349" s="22"/>
      <c r="AB1349" s="22"/>
      <c r="AC1349" s="21"/>
      <c r="AD1349" s="21"/>
      <c r="AY1349" s="22"/>
      <c r="BB1349" s="22"/>
      <c r="BD1349" s="21"/>
      <c r="DB1349" s="24"/>
      <c r="DD1349" s="21"/>
      <c r="DE1349" s="22"/>
      <c r="DG1349" s="21"/>
      <c r="DL1349" s="22"/>
      <c r="DM1349" s="22"/>
      <c r="DN1349" s="21"/>
      <c r="DO1349" s="21"/>
      <c r="EF1349" s="25"/>
      <c r="EG1349" s="25"/>
      <c r="EY1349" s="20"/>
    </row>
    <row r="1350" spans="1:155">
      <c r="A1350" s="21"/>
      <c r="B1350" s="21"/>
      <c r="AA1350" s="22"/>
      <c r="AB1350" s="22"/>
      <c r="AC1350" s="21"/>
      <c r="AD1350" s="21"/>
      <c r="BD1350" s="21"/>
      <c r="DB1350" s="24"/>
      <c r="DD1350" s="21"/>
      <c r="DE1350" s="22"/>
      <c r="DG1350" s="21"/>
      <c r="DL1350" s="22"/>
      <c r="DM1350" s="22"/>
      <c r="DN1350" s="21"/>
      <c r="DO1350" s="21"/>
      <c r="EF1350" s="25"/>
      <c r="EG1350" s="25"/>
      <c r="EY1350" s="20"/>
    </row>
    <row r="1351" spans="1:155">
      <c r="A1351" s="21"/>
      <c r="B1351" s="21"/>
      <c r="AA1351" s="22"/>
      <c r="AB1351" s="22"/>
      <c r="AC1351" s="21"/>
      <c r="AD1351" s="21"/>
      <c r="AY1351" s="22"/>
      <c r="BB1351" s="22"/>
      <c r="BD1351" s="21"/>
      <c r="DB1351" s="24"/>
      <c r="DD1351" s="21"/>
      <c r="DE1351" s="22"/>
      <c r="DG1351" s="21"/>
      <c r="DL1351" s="22"/>
      <c r="DM1351" s="22"/>
      <c r="DN1351" s="21"/>
      <c r="DO1351" s="21"/>
      <c r="EF1351" s="25"/>
      <c r="EG1351" s="25"/>
      <c r="EY1351" s="20"/>
    </row>
    <row r="1352" spans="1:155">
      <c r="A1352" s="21"/>
      <c r="B1352" s="21"/>
      <c r="AA1352" s="22"/>
      <c r="AB1352" s="22"/>
      <c r="AC1352" s="21"/>
      <c r="AD1352" s="21"/>
      <c r="AY1352" s="22"/>
      <c r="BB1352" s="22"/>
      <c r="BD1352" s="21"/>
      <c r="DB1352" s="24"/>
      <c r="DD1352" s="21"/>
      <c r="DE1352" s="22"/>
      <c r="DG1352" s="21"/>
      <c r="DL1352" s="22"/>
      <c r="DM1352" s="22"/>
      <c r="DN1352" s="21"/>
      <c r="DO1352" s="21"/>
      <c r="EF1352" s="25"/>
      <c r="EG1352" s="25"/>
      <c r="EY1352" s="20"/>
    </row>
    <row r="1353" spans="1:155">
      <c r="A1353" s="21"/>
      <c r="B1353" s="21"/>
      <c r="AA1353" s="22"/>
      <c r="AB1353" s="22"/>
      <c r="AC1353" s="21"/>
      <c r="AD1353" s="21"/>
      <c r="BD1353" s="21"/>
      <c r="DB1353" s="24"/>
      <c r="DD1353" s="21"/>
      <c r="DE1353" s="22"/>
      <c r="DG1353" s="21"/>
      <c r="DL1353" s="22"/>
      <c r="DM1353" s="22"/>
      <c r="DN1353" s="21"/>
      <c r="DO1353" s="21"/>
      <c r="EF1353" s="25"/>
      <c r="EG1353" s="25"/>
      <c r="EY1353" s="20"/>
    </row>
    <row r="1354" spans="1:155">
      <c r="A1354" s="21"/>
      <c r="B1354" s="21"/>
      <c r="AA1354" s="22"/>
      <c r="AB1354" s="22"/>
      <c r="AC1354" s="21"/>
      <c r="AD1354" s="21"/>
      <c r="AY1354" s="22"/>
      <c r="BB1354" s="22"/>
      <c r="BD1354" s="21"/>
      <c r="DB1354" s="24"/>
      <c r="DD1354" s="21"/>
      <c r="DE1354" s="22"/>
      <c r="DG1354" s="21"/>
      <c r="DL1354" s="22"/>
      <c r="DM1354" s="22"/>
      <c r="DN1354" s="21"/>
      <c r="DO1354" s="21"/>
      <c r="EF1354" s="25"/>
      <c r="EG1354" s="25"/>
      <c r="EY1354" s="20"/>
    </row>
    <row r="1355" spans="1:155">
      <c r="A1355" s="21"/>
      <c r="B1355" s="21"/>
      <c r="AA1355" s="22"/>
      <c r="AB1355" s="22"/>
      <c r="AC1355" s="21"/>
      <c r="AD1355" s="21"/>
      <c r="BD1355" s="21"/>
      <c r="DB1355" s="24"/>
      <c r="DD1355" s="21"/>
      <c r="DE1355" s="22"/>
      <c r="DG1355" s="21"/>
      <c r="DL1355" s="22"/>
      <c r="DM1355" s="22"/>
      <c r="DN1355" s="21"/>
      <c r="DO1355" s="21"/>
      <c r="EF1355" s="25"/>
      <c r="EG1355" s="25"/>
      <c r="EY1355" s="20"/>
    </row>
    <row r="1356" spans="1:155">
      <c r="A1356" s="21"/>
      <c r="B1356" s="21"/>
      <c r="AA1356" s="22"/>
      <c r="AB1356" s="22"/>
      <c r="AC1356" s="21"/>
      <c r="AD1356" s="21"/>
      <c r="AY1356" s="22"/>
      <c r="BB1356" s="22"/>
      <c r="BD1356" s="21"/>
      <c r="DB1356" s="24"/>
      <c r="DD1356" s="21"/>
      <c r="DE1356" s="22"/>
      <c r="DG1356" s="21"/>
      <c r="DL1356" s="22"/>
      <c r="DM1356" s="22"/>
      <c r="DN1356" s="21"/>
      <c r="DO1356" s="21"/>
      <c r="EF1356" s="25"/>
      <c r="EG1356" s="25"/>
      <c r="EY1356" s="20"/>
    </row>
    <row r="1357" spans="1:155">
      <c r="A1357" s="21"/>
      <c r="B1357" s="21"/>
      <c r="AA1357" s="22"/>
      <c r="AB1357" s="22"/>
      <c r="AC1357" s="21"/>
      <c r="AD1357" s="21"/>
      <c r="AY1357" s="22"/>
      <c r="BB1357" s="22"/>
      <c r="BD1357" s="21"/>
      <c r="DB1357" s="24"/>
      <c r="DD1357" s="21"/>
      <c r="DE1357" s="22"/>
      <c r="DG1357" s="21"/>
      <c r="DL1357" s="22"/>
      <c r="DM1357" s="22"/>
      <c r="DN1357" s="21"/>
      <c r="DO1357" s="21"/>
      <c r="EF1357" s="25"/>
      <c r="EG1357" s="25"/>
      <c r="EY1357" s="20"/>
    </row>
    <row r="1358" spans="1:155">
      <c r="A1358" s="21"/>
      <c r="B1358" s="21"/>
      <c r="AA1358" s="22"/>
      <c r="AB1358" s="22"/>
      <c r="AC1358" s="21"/>
      <c r="AD1358" s="21"/>
      <c r="BD1358" s="21"/>
      <c r="DB1358" s="24"/>
      <c r="DD1358" s="21"/>
      <c r="DE1358" s="22"/>
      <c r="DG1358" s="21"/>
      <c r="DL1358" s="22"/>
      <c r="DM1358" s="22"/>
      <c r="DN1358" s="21"/>
      <c r="DO1358" s="21"/>
      <c r="EF1358" s="25"/>
      <c r="EG1358" s="25"/>
      <c r="EY1358" s="20"/>
    </row>
    <row r="1359" spans="1:155">
      <c r="A1359" s="21"/>
      <c r="B1359" s="21"/>
      <c r="AA1359" s="22"/>
      <c r="AB1359" s="22"/>
      <c r="AC1359" s="21"/>
      <c r="AD1359" s="21"/>
      <c r="BD1359" s="21"/>
      <c r="CN1359" s="22"/>
      <c r="DB1359" s="24"/>
      <c r="DD1359" s="21"/>
      <c r="DE1359" s="22"/>
      <c r="DG1359" s="21"/>
      <c r="DL1359" s="22"/>
      <c r="DM1359" s="22"/>
      <c r="DN1359" s="21"/>
      <c r="DO1359" s="21"/>
      <c r="EF1359" s="25"/>
      <c r="EG1359" s="25"/>
      <c r="EY1359" s="20"/>
    </row>
    <row r="1360" spans="1:155">
      <c r="A1360" s="21"/>
      <c r="B1360" s="21"/>
      <c r="AA1360" s="22"/>
      <c r="AB1360" s="22"/>
      <c r="AC1360" s="21"/>
      <c r="AD1360" s="21"/>
      <c r="AY1360" s="22"/>
      <c r="BB1360" s="22"/>
      <c r="BD1360" s="21"/>
      <c r="DB1360" s="24"/>
      <c r="DD1360" s="21"/>
      <c r="DE1360" s="22"/>
      <c r="DG1360" s="21"/>
      <c r="DL1360" s="22"/>
      <c r="DM1360" s="22"/>
      <c r="DN1360" s="21"/>
      <c r="DO1360" s="21"/>
      <c r="EF1360" s="25"/>
      <c r="EG1360" s="25"/>
      <c r="EY1360" s="20"/>
    </row>
    <row r="1361" spans="1:155">
      <c r="A1361" s="21"/>
      <c r="B1361" s="21"/>
      <c r="AA1361" s="22"/>
      <c r="AB1361" s="22"/>
      <c r="AC1361" s="21"/>
      <c r="AD1361" s="21"/>
      <c r="BD1361" s="21"/>
      <c r="DB1361" s="24"/>
      <c r="DD1361" s="21"/>
      <c r="DE1361" s="22"/>
      <c r="DG1361" s="21"/>
      <c r="DL1361" s="22"/>
      <c r="DM1361" s="22"/>
      <c r="DN1361" s="21"/>
      <c r="DO1361" s="21"/>
      <c r="EF1361" s="25"/>
      <c r="EG1361" s="25"/>
      <c r="EY1361" s="20"/>
    </row>
    <row r="1362" spans="1:155">
      <c r="A1362" s="21"/>
      <c r="B1362" s="21"/>
      <c r="AA1362" s="22"/>
      <c r="AB1362" s="22"/>
      <c r="AC1362" s="21"/>
      <c r="AD1362" s="21"/>
      <c r="BD1362" s="21"/>
      <c r="DB1362" s="24"/>
      <c r="DD1362" s="21"/>
      <c r="DE1362" s="22"/>
      <c r="DG1362" s="21"/>
      <c r="DL1362" s="22"/>
      <c r="DM1362" s="22"/>
      <c r="DN1362" s="21"/>
      <c r="DO1362" s="21"/>
      <c r="EF1362" s="25"/>
      <c r="EG1362" s="25"/>
      <c r="EY1362" s="20"/>
    </row>
    <row r="1363" spans="1:155">
      <c r="A1363" s="21"/>
      <c r="B1363" s="21"/>
      <c r="AA1363" s="22"/>
      <c r="AB1363" s="22"/>
      <c r="AC1363" s="21"/>
      <c r="AD1363" s="21"/>
      <c r="AY1363" s="22"/>
      <c r="BB1363" s="22"/>
      <c r="BD1363" s="21"/>
      <c r="DB1363" s="24"/>
      <c r="DD1363" s="21"/>
      <c r="DE1363" s="22"/>
      <c r="DG1363" s="21"/>
      <c r="DL1363" s="22"/>
      <c r="DM1363" s="22"/>
      <c r="DN1363" s="21"/>
      <c r="DO1363" s="21"/>
      <c r="EF1363" s="25"/>
      <c r="EG1363" s="25"/>
      <c r="EY1363" s="20"/>
    </row>
    <row r="1364" spans="1:155">
      <c r="A1364" s="21"/>
      <c r="B1364" s="21"/>
      <c r="AA1364" s="22"/>
      <c r="AB1364" s="22"/>
      <c r="AC1364" s="21"/>
      <c r="AD1364" s="21"/>
      <c r="BD1364" s="21"/>
      <c r="DB1364" s="24"/>
      <c r="DD1364" s="21"/>
      <c r="DE1364" s="22"/>
      <c r="DG1364" s="21"/>
      <c r="DL1364" s="22"/>
      <c r="DM1364" s="22"/>
      <c r="DN1364" s="21"/>
      <c r="DO1364" s="21"/>
      <c r="EF1364" s="25"/>
      <c r="EG1364" s="25"/>
      <c r="EY1364" s="20"/>
    </row>
    <row r="1365" spans="1:155">
      <c r="A1365" s="21"/>
      <c r="B1365" s="21"/>
      <c r="AA1365" s="22"/>
      <c r="AB1365" s="22"/>
      <c r="AC1365" s="21"/>
      <c r="AD1365" s="21"/>
      <c r="BD1365" s="21"/>
      <c r="DB1365" s="24"/>
      <c r="DD1365" s="21"/>
      <c r="DE1365" s="22"/>
      <c r="DG1365" s="21"/>
      <c r="DL1365" s="22"/>
      <c r="DM1365" s="22"/>
      <c r="DN1365" s="21"/>
      <c r="DO1365" s="21"/>
      <c r="EF1365" s="25"/>
      <c r="EG1365" s="25"/>
      <c r="EY1365" s="20"/>
    </row>
    <row r="1366" spans="1:155">
      <c r="A1366" s="21"/>
      <c r="B1366" s="21"/>
      <c r="AA1366" s="22"/>
      <c r="AB1366" s="22"/>
      <c r="AC1366" s="21"/>
      <c r="AD1366" s="21"/>
      <c r="BD1366" s="21"/>
      <c r="DB1366" s="24"/>
      <c r="DD1366" s="21"/>
      <c r="DE1366" s="22"/>
      <c r="DG1366" s="21"/>
      <c r="DL1366" s="22"/>
      <c r="DM1366" s="22"/>
      <c r="DN1366" s="21"/>
      <c r="DO1366" s="21"/>
      <c r="EF1366" s="25"/>
      <c r="EG1366" s="25"/>
      <c r="EY1366" s="20"/>
    </row>
    <row r="1367" spans="1:155">
      <c r="A1367" s="21"/>
      <c r="B1367" s="21"/>
      <c r="AA1367" s="22"/>
      <c r="AB1367" s="22"/>
      <c r="AC1367" s="21"/>
      <c r="AD1367" s="21"/>
      <c r="AY1367" s="22"/>
      <c r="BB1367" s="22"/>
      <c r="BD1367" s="21"/>
      <c r="DB1367" s="24"/>
      <c r="DD1367" s="21"/>
      <c r="DE1367" s="22"/>
      <c r="DG1367" s="21"/>
      <c r="DL1367" s="22"/>
      <c r="DM1367" s="22"/>
      <c r="DN1367" s="21"/>
      <c r="DO1367" s="21"/>
      <c r="EF1367" s="25"/>
      <c r="EG1367" s="25"/>
      <c r="EY1367" s="20"/>
    </row>
    <row r="1368" spans="1:155">
      <c r="A1368" s="21"/>
      <c r="B1368" s="21"/>
      <c r="AA1368" s="22"/>
      <c r="AB1368" s="22"/>
      <c r="AC1368" s="21"/>
      <c r="AD1368" s="21"/>
      <c r="BD1368" s="21"/>
      <c r="DB1368" s="24"/>
      <c r="DD1368" s="21"/>
      <c r="DE1368" s="22"/>
      <c r="DG1368" s="21"/>
      <c r="DL1368" s="22"/>
      <c r="DM1368" s="22"/>
      <c r="DN1368" s="21"/>
      <c r="DO1368" s="21"/>
      <c r="EF1368" s="25"/>
      <c r="EG1368" s="25"/>
      <c r="EY1368" s="20"/>
    </row>
    <row r="1369" spans="1:155">
      <c r="A1369" s="21"/>
      <c r="B1369" s="21"/>
      <c r="AA1369" s="22"/>
      <c r="AB1369" s="22"/>
      <c r="AC1369" s="21"/>
      <c r="AD1369" s="21"/>
      <c r="BD1369" s="21"/>
      <c r="DB1369" s="24"/>
      <c r="DD1369" s="21"/>
      <c r="DE1369" s="22"/>
      <c r="DG1369" s="21"/>
      <c r="DL1369" s="22"/>
      <c r="DM1369" s="22"/>
      <c r="DN1369" s="21"/>
      <c r="DO1369" s="21"/>
      <c r="EF1369" s="25"/>
      <c r="EG1369" s="25"/>
      <c r="EY1369" s="20"/>
    </row>
    <row r="1370" spans="1:155">
      <c r="A1370" s="21"/>
      <c r="B1370" s="21"/>
      <c r="AA1370" s="22"/>
      <c r="AB1370" s="22"/>
      <c r="AC1370" s="21"/>
      <c r="AD1370" s="21"/>
      <c r="BD1370" s="21"/>
      <c r="DB1370" s="24"/>
      <c r="DD1370" s="21"/>
      <c r="DE1370" s="22"/>
      <c r="DG1370" s="21"/>
      <c r="DL1370" s="22"/>
      <c r="DM1370" s="22"/>
      <c r="DN1370" s="21"/>
      <c r="DO1370" s="21"/>
      <c r="EF1370" s="25"/>
      <c r="EG1370" s="25"/>
      <c r="EY1370" s="20"/>
    </row>
    <row r="1371" spans="1:155">
      <c r="A1371" s="21"/>
      <c r="B1371" s="21"/>
      <c r="AA1371" s="22"/>
      <c r="AB1371" s="22"/>
      <c r="AC1371" s="21"/>
      <c r="AD1371" s="21"/>
      <c r="BD1371" s="21"/>
      <c r="DB1371" s="24"/>
      <c r="DD1371" s="21"/>
      <c r="DE1371" s="22"/>
      <c r="DG1371" s="21"/>
      <c r="DL1371" s="22"/>
      <c r="DM1371" s="22"/>
      <c r="DN1371" s="21"/>
      <c r="DO1371" s="21"/>
      <c r="EF1371" s="25"/>
      <c r="EG1371" s="25"/>
      <c r="EY1371" s="20"/>
    </row>
    <row r="1372" spans="1:155">
      <c r="A1372" s="21"/>
      <c r="B1372" s="21"/>
      <c r="AA1372" s="22"/>
      <c r="AB1372" s="22"/>
      <c r="AC1372" s="21"/>
      <c r="AD1372" s="21"/>
      <c r="AY1372" s="22"/>
      <c r="BB1372" s="22"/>
      <c r="BD1372" s="21"/>
      <c r="DB1372" s="24"/>
      <c r="DD1372" s="21"/>
      <c r="DE1372" s="22"/>
      <c r="DG1372" s="21"/>
      <c r="DL1372" s="22"/>
      <c r="DM1372" s="22"/>
      <c r="DN1372" s="21"/>
      <c r="DO1372" s="21"/>
      <c r="EF1372" s="25"/>
      <c r="EG1372" s="25"/>
      <c r="EY1372" s="20"/>
    </row>
    <row r="1373" spans="1:155">
      <c r="A1373" s="21"/>
      <c r="B1373" s="21"/>
      <c r="AA1373" s="22"/>
      <c r="AB1373" s="22"/>
      <c r="AC1373" s="21"/>
      <c r="AD1373" s="21"/>
      <c r="AY1373" s="22"/>
      <c r="BB1373" s="22"/>
      <c r="BD1373" s="21"/>
      <c r="DB1373" s="24"/>
      <c r="DD1373" s="21"/>
      <c r="DE1373" s="22"/>
      <c r="DG1373" s="21"/>
      <c r="DL1373" s="22"/>
      <c r="DM1373" s="22"/>
      <c r="DN1373" s="21"/>
      <c r="DO1373" s="21"/>
      <c r="EF1373" s="25"/>
      <c r="EG1373" s="25"/>
      <c r="EY1373" s="20"/>
    </row>
    <row r="1374" spans="1:155">
      <c r="A1374" s="21"/>
      <c r="B1374" s="21"/>
      <c r="AA1374" s="22"/>
      <c r="AB1374" s="22"/>
      <c r="AC1374" s="21"/>
      <c r="AD1374" s="21"/>
      <c r="BD1374" s="21"/>
      <c r="DB1374" s="24"/>
      <c r="DD1374" s="21"/>
      <c r="DE1374" s="22"/>
      <c r="DG1374" s="21"/>
      <c r="DL1374" s="22"/>
      <c r="DM1374" s="22"/>
      <c r="DN1374" s="21"/>
      <c r="DO1374" s="21"/>
      <c r="EF1374" s="25"/>
      <c r="EG1374" s="25"/>
      <c r="EY1374" s="20"/>
    </row>
    <row r="1375" spans="1:155">
      <c r="A1375" s="21"/>
      <c r="B1375" s="21"/>
      <c r="AA1375" s="22"/>
      <c r="AB1375" s="22"/>
      <c r="AC1375" s="21"/>
      <c r="AD1375" s="21"/>
      <c r="AY1375" s="22"/>
      <c r="BB1375" s="22"/>
      <c r="BD1375" s="21"/>
      <c r="DB1375" s="24"/>
      <c r="DD1375" s="21"/>
      <c r="DE1375" s="22"/>
      <c r="DG1375" s="21"/>
      <c r="DL1375" s="22"/>
      <c r="DM1375" s="22"/>
      <c r="DN1375" s="21"/>
      <c r="DO1375" s="21"/>
      <c r="EF1375" s="25"/>
      <c r="EG1375" s="25"/>
      <c r="EY1375" s="20"/>
    </row>
    <row r="1376" spans="1:155">
      <c r="A1376" s="21"/>
      <c r="B1376" s="21"/>
      <c r="AA1376" s="22"/>
      <c r="AB1376" s="22"/>
      <c r="AC1376" s="21"/>
      <c r="AD1376" s="21"/>
      <c r="BD1376" s="21"/>
      <c r="DB1376" s="24"/>
      <c r="DD1376" s="21"/>
      <c r="DE1376" s="22"/>
      <c r="DG1376" s="21"/>
      <c r="DL1376" s="22"/>
      <c r="DM1376" s="22"/>
      <c r="DN1376" s="21"/>
      <c r="DO1376" s="21"/>
      <c r="EF1376" s="25"/>
      <c r="EG1376" s="25"/>
      <c r="EY1376" s="20"/>
    </row>
    <row r="1377" spans="1:155">
      <c r="A1377" s="21"/>
      <c r="B1377" s="21"/>
      <c r="AA1377" s="22"/>
      <c r="AB1377" s="22"/>
      <c r="AC1377" s="21"/>
      <c r="AD1377" s="21"/>
      <c r="AY1377" s="22"/>
      <c r="BB1377" s="22"/>
      <c r="BD1377" s="21"/>
      <c r="DB1377" s="24"/>
      <c r="DD1377" s="21"/>
      <c r="DE1377" s="22"/>
      <c r="DG1377" s="21"/>
      <c r="DL1377" s="22"/>
      <c r="DM1377" s="22"/>
      <c r="DN1377" s="21"/>
      <c r="DO1377" s="21"/>
      <c r="EF1377" s="25"/>
      <c r="EG1377" s="25"/>
      <c r="EY1377" s="20"/>
    </row>
    <row r="1378" spans="1:155">
      <c r="A1378" s="21"/>
      <c r="B1378" s="21"/>
      <c r="AA1378" s="22"/>
      <c r="AB1378" s="22"/>
      <c r="AC1378" s="21"/>
      <c r="AD1378" s="21"/>
      <c r="BD1378" s="21"/>
      <c r="DB1378" s="24"/>
      <c r="DD1378" s="21"/>
      <c r="DE1378" s="22"/>
      <c r="DG1378" s="21"/>
      <c r="DL1378" s="22"/>
      <c r="DM1378" s="22"/>
      <c r="DN1378" s="21"/>
      <c r="DO1378" s="21"/>
      <c r="EF1378" s="25"/>
      <c r="EG1378" s="25"/>
      <c r="EY1378" s="20"/>
    </row>
    <row r="1379" spans="1:155">
      <c r="A1379" s="21"/>
      <c r="B1379" s="21"/>
      <c r="AA1379" s="22"/>
      <c r="AB1379" s="22"/>
      <c r="AC1379" s="21"/>
      <c r="AD1379" s="21"/>
      <c r="BD1379" s="21"/>
      <c r="DB1379" s="24"/>
      <c r="DD1379" s="21"/>
      <c r="DE1379" s="22"/>
      <c r="DG1379" s="21"/>
      <c r="DL1379" s="22"/>
      <c r="DM1379" s="22"/>
      <c r="DN1379" s="21"/>
      <c r="DO1379" s="21"/>
      <c r="EF1379" s="25"/>
      <c r="EG1379" s="25"/>
      <c r="EY1379" s="20"/>
    </row>
    <row r="1380" spans="1:155">
      <c r="A1380" s="21"/>
      <c r="B1380" s="21"/>
      <c r="AA1380" s="22"/>
      <c r="AB1380" s="22"/>
      <c r="AC1380" s="21"/>
      <c r="AD1380" s="21"/>
      <c r="AY1380" s="22"/>
      <c r="BB1380" s="22"/>
      <c r="BD1380" s="21"/>
      <c r="DB1380" s="24"/>
      <c r="DD1380" s="21"/>
      <c r="DE1380" s="22"/>
      <c r="DG1380" s="21"/>
      <c r="DL1380" s="22"/>
      <c r="DM1380" s="22"/>
      <c r="DN1380" s="21"/>
      <c r="DO1380" s="21"/>
      <c r="EF1380" s="25"/>
      <c r="EG1380" s="25"/>
      <c r="EY1380" s="20"/>
    </row>
    <row r="1381" spans="1:155">
      <c r="A1381" s="21"/>
      <c r="B1381" s="21"/>
      <c r="AA1381" s="22"/>
      <c r="AB1381" s="22"/>
      <c r="AC1381" s="21"/>
      <c r="AD1381" s="21"/>
      <c r="AY1381" s="22"/>
      <c r="BB1381" s="22"/>
      <c r="BD1381" s="21"/>
      <c r="DB1381" s="24"/>
      <c r="DD1381" s="21"/>
      <c r="DE1381" s="22"/>
      <c r="DG1381" s="21"/>
      <c r="DL1381" s="22"/>
      <c r="DM1381" s="22"/>
      <c r="DN1381" s="21"/>
      <c r="DO1381" s="21"/>
      <c r="EF1381" s="25"/>
      <c r="EG1381" s="25"/>
      <c r="EY1381" s="20"/>
    </row>
    <row r="1382" spans="1:155">
      <c r="A1382" s="21"/>
      <c r="B1382" s="21"/>
      <c r="AA1382" s="22"/>
      <c r="AB1382" s="22"/>
      <c r="AC1382" s="21"/>
      <c r="AD1382" s="21"/>
      <c r="AY1382" s="22"/>
      <c r="BB1382" s="22"/>
      <c r="BD1382" s="21"/>
      <c r="DB1382" s="24"/>
      <c r="DD1382" s="21"/>
      <c r="DE1382" s="22"/>
      <c r="DG1382" s="21"/>
      <c r="DL1382" s="22"/>
      <c r="DM1382" s="22"/>
      <c r="DN1382" s="21"/>
      <c r="DO1382" s="21"/>
      <c r="EF1382" s="25"/>
      <c r="EG1382" s="25"/>
      <c r="EY1382" s="20"/>
    </row>
    <row r="1383" spans="1:155">
      <c r="A1383" s="21"/>
      <c r="B1383" s="21"/>
      <c r="AA1383" s="22"/>
      <c r="AB1383" s="22"/>
      <c r="AC1383" s="21"/>
      <c r="AD1383" s="21"/>
      <c r="AY1383" s="22"/>
      <c r="BB1383" s="22"/>
      <c r="BD1383" s="21"/>
      <c r="DB1383" s="24"/>
      <c r="DD1383" s="21"/>
      <c r="DE1383" s="22"/>
      <c r="DG1383" s="21"/>
      <c r="DL1383" s="22"/>
      <c r="DM1383" s="22"/>
      <c r="DN1383" s="21"/>
      <c r="DO1383" s="21"/>
      <c r="EF1383" s="25"/>
      <c r="EG1383" s="25"/>
      <c r="EY1383" s="20"/>
    </row>
    <row r="1384" spans="1:155">
      <c r="A1384" s="21"/>
      <c r="B1384" s="21"/>
      <c r="AA1384" s="22"/>
      <c r="AB1384" s="22"/>
      <c r="AC1384" s="21"/>
      <c r="AD1384" s="21"/>
      <c r="AY1384" s="22"/>
      <c r="BB1384" s="22"/>
      <c r="BD1384" s="21"/>
      <c r="DB1384" s="24"/>
      <c r="DD1384" s="21"/>
      <c r="DE1384" s="22"/>
      <c r="DG1384" s="21"/>
      <c r="DL1384" s="22"/>
      <c r="DM1384" s="22"/>
      <c r="DN1384" s="21"/>
      <c r="DO1384" s="21"/>
      <c r="EF1384" s="25"/>
      <c r="EG1384" s="25"/>
      <c r="EY1384" s="20"/>
    </row>
    <row r="1385" spans="1:155">
      <c r="A1385" s="21"/>
      <c r="B1385" s="21"/>
      <c r="AA1385" s="22"/>
      <c r="AB1385" s="22"/>
      <c r="AC1385" s="21"/>
      <c r="AD1385" s="21"/>
      <c r="BD1385" s="21"/>
      <c r="DB1385" s="24"/>
      <c r="DD1385" s="21"/>
      <c r="DE1385" s="22"/>
      <c r="DG1385" s="21"/>
      <c r="DL1385" s="22"/>
      <c r="DM1385" s="22"/>
      <c r="DN1385" s="21"/>
      <c r="DO1385" s="21"/>
      <c r="EF1385" s="25"/>
      <c r="EG1385" s="25"/>
      <c r="EY1385" s="20"/>
    </row>
    <row r="1386" spans="1:155">
      <c r="A1386" s="21"/>
      <c r="B1386" s="21"/>
      <c r="AA1386" s="22"/>
      <c r="AB1386" s="22"/>
      <c r="AC1386" s="21"/>
      <c r="AD1386" s="21"/>
      <c r="AY1386" s="22"/>
      <c r="BB1386" s="22"/>
      <c r="BD1386" s="21"/>
      <c r="DB1386" s="24"/>
      <c r="DD1386" s="21"/>
      <c r="DE1386" s="22"/>
      <c r="DG1386" s="21"/>
      <c r="DL1386" s="22"/>
      <c r="DM1386" s="22"/>
      <c r="DN1386" s="21"/>
      <c r="DO1386" s="21"/>
      <c r="EF1386" s="25"/>
      <c r="EG1386" s="25"/>
      <c r="EY1386" s="20"/>
    </row>
    <row r="1387" spans="1:155">
      <c r="A1387" s="21"/>
      <c r="B1387" s="21"/>
      <c r="AA1387" s="22"/>
      <c r="AB1387" s="22"/>
      <c r="AC1387" s="21"/>
      <c r="AD1387" s="21"/>
      <c r="AY1387" s="22"/>
      <c r="BB1387" s="22"/>
      <c r="BD1387" s="21"/>
      <c r="DB1387" s="24"/>
      <c r="DD1387" s="21"/>
      <c r="DE1387" s="22"/>
      <c r="DG1387" s="21"/>
      <c r="DL1387" s="22"/>
      <c r="DM1387" s="22"/>
      <c r="DN1387" s="21"/>
      <c r="DO1387" s="21"/>
      <c r="EF1387" s="25"/>
      <c r="EG1387" s="25"/>
      <c r="EY1387" s="20"/>
    </row>
    <row r="1388" spans="1:155">
      <c r="A1388" s="21"/>
      <c r="B1388" s="21"/>
      <c r="AA1388" s="22"/>
      <c r="AB1388" s="22"/>
      <c r="AC1388" s="21"/>
      <c r="AD1388" s="21"/>
      <c r="AY1388" s="22"/>
      <c r="BB1388" s="22"/>
      <c r="BD1388" s="21"/>
      <c r="DB1388" s="24"/>
      <c r="DD1388" s="21"/>
      <c r="DE1388" s="22"/>
      <c r="DG1388" s="21"/>
      <c r="DL1388" s="22"/>
      <c r="DM1388" s="22"/>
      <c r="DN1388" s="21"/>
      <c r="DO1388" s="21"/>
      <c r="EF1388" s="25"/>
      <c r="EG1388" s="25"/>
      <c r="EY1388" s="20"/>
    </row>
    <row r="1389" spans="1:155">
      <c r="A1389" s="21"/>
      <c r="B1389" s="21"/>
      <c r="AA1389" s="22"/>
      <c r="AB1389" s="22"/>
      <c r="AC1389" s="21"/>
      <c r="AD1389" s="21"/>
      <c r="AY1389" s="22"/>
      <c r="BB1389" s="22"/>
      <c r="BD1389" s="21"/>
      <c r="DB1389" s="24"/>
      <c r="DD1389" s="21"/>
      <c r="DE1389" s="22"/>
      <c r="DG1389" s="21"/>
      <c r="DL1389" s="22"/>
      <c r="DM1389" s="22"/>
      <c r="DN1389" s="21"/>
      <c r="DO1389" s="21"/>
      <c r="EF1389" s="25"/>
      <c r="EG1389" s="25"/>
      <c r="EY1389" s="20"/>
    </row>
    <row r="1390" spans="1:155">
      <c r="A1390" s="21"/>
      <c r="B1390" s="21"/>
      <c r="AA1390" s="22"/>
      <c r="AB1390" s="22"/>
      <c r="AC1390" s="21"/>
      <c r="AD1390" s="21"/>
      <c r="AY1390" s="22"/>
      <c r="BB1390" s="22"/>
      <c r="BD1390" s="21"/>
      <c r="DB1390" s="24"/>
      <c r="DD1390" s="21"/>
      <c r="DE1390" s="22"/>
      <c r="DG1390" s="21"/>
      <c r="DL1390" s="22"/>
      <c r="DM1390" s="22"/>
      <c r="DN1390" s="21"/>
      <c r="DO1390" s="21"/>
      <c r="EF1390" s="25"/>
      <c r="EG1390" s="25"/>
      <c r="EY1390" s="20"/>
    </row>
    <row r="1391" spans="1:155">
      <c r="A1391" s="21"/>
      <c r="B1391" s="21"/>
      <c r="AA1391" s="22"/>
      <c r="AB1391" s="22"/>
      <c r="AC1391" s="21"/>
      <c r="AD1391" s="21"/>
      <c r="AY1391" s="22"/>
      <c r="BB1391" s="22"/>
      <c r="BD1391" s="21"/>
      <c r="DB1391" s="24"/>
      <c r="DD1391" s="21"/>
      <c r="DE1391" s="22"/>
      <c r="DG1391" s="21"/>
      <c r="DL1391" s="22"/>
      <c r="DM1391" s="22"/>
      <c r="DN1391" s="21"/>
      <c r="DO1391" s="21"/>
      <c r="EF1391" s="25"/>
      <c r="EG1391" s="25"/>
      <c r="EY1391" s="20"/>
    </row>
    <row r="1392" spans="1:155">
      <c r="A1392" s="21"/>
      <c r="B1392" s="21"/>
      <c r="AA1392" s="22"/>
      <c r="AB1392" s="22"/>
      <c r="AC1392" s="21"/>
      <c r="AD1392" s="21"/>
      <c r="BD1392" s="21"/>
      <c r="DB1392" s="24"/>
      <c r="DD1392" s="21"/>
      <c r="DE1392" s="22"/>
      <c r="DG1392" s="21"/>
      <c r="DL1392" s="22"/>
      <c r="DM1392" s="22"/>
      <c r="DN1392" s="21"/>
      <c r="DO1392" s="21"/>
      <c r="EF1392" s="25"/>
      <c r="EG1392" s="25"/>
      <c r="EY1392" s="20"/>
    </row>
    <row r="1393" spans="1:155">
      <c r="A1393" s="21"/>
      <c r="B1393" s="21"/>
      <c r="AA1393" s="22"/>
      <c r="AB1393" s="22"/>
      <c r="AC1393" s="21"/>
      <c r="AD1393" s="21"/>
      <c r="BD1393" s="21"/>
      <c r="DB1393" s="24"/>
      <c r="DD1393" s="21"/>
      <c r="DE1393" s="22"/>
      <c r="DG1393" s="21"/>
      <c r="DL1393" s="22"/>
      <c r="DM1393" s="22"/>
      <c r="DN1393" s="21"/>
      <c r="DO1393" s="21"/>
      <c r="EF1393" s="25"/>
      <c r="EG1393" s="25"/>
      <c r="EY1393" s="20"/>
    </row>
    <row r="1394" spans="1:155">
      <c r="A1394" s="21"/>
      <c r="B1394" s="21"/>
      <c r="AA1394" s="22"/>
      <c r="AB1394" s="22"/>
      <c r="AC1394" s="21"/>
      <c r="AD1394" s="21"/>
      <c r="AY1394" s="22"/>
      <c r="BB1394" s="22"/>
      <c r="BD1394" s="21"/>
      <c r="DB1394" s="24"/>
      <c r="DD1394" s="21"/>
      <c r="DE1394" s="22"/>
      <c r="DG1394" s="21"/>
      <c r="DL1394" s="22"/>
      <c r="DM1394" s="22"/>
      <c r="DN1394" s="21"/>
      <c r="DO1394" s="21"/>
      <c r="EF1394" s="25"/>
      <c r="EG1394" s="25"/>
      <c r="EY1394" s="20"/>
    </row>
    <row r="1395" spans="1:155">
      <c r="A1395" s="21"/>
      <c r="B1395" s="21"/>
      <c r="AA1395" s="22"/>
      <c r="AB1395" s="22"/>
      <c r="AC1395" s="21"/>
      <c r="AD1395" s="21"/>
      <c r="AY1395" s="22"/>
      <c r="BB1395" s="22"/>
      <c r="BD1395" s="21"/>
      <c r="DB1395" s="24"/>
      <c r="DD1395" s="21"/>
      <c r="DE1395" s="22"/>
      <c r="DG1395" s="21"/>
      <c r="DL1395" s="22"/>
      <c r="DM1395" s="22"/>
      <c r="DN1395" s="21"/>
      <c r="DO1395" s="21"/>
      <c r="EF1395" s="25"/>
      <c r="EG1395" s="25"/>
      <c r="EY1395" s="20"/>
    </row>
    <row r="1396" spans="1:155">
      <c r="A1396" s="21"/>
      <c r="B1396" s="21"/>
      <c r="AA1396" s="22"/>
      <c r="AB1396" s="22"/>
      <c r="AC1396" s="21"/>
      <c r="AD1396" s="21"/>
      <c r="AY1396" s="22"/>
      <c r="BB1396" s="22"/>
      <c r="BD1396" s="21"/>
      <c r="DB1396" s="24"/>
      <c r="DD1396" s="21"/>
      <c r="DE1396" s="22"/>
      <c r="DG1396" s="21"/>
      <c r="DL1396" s="22"/>
      <c r="DM1396" s="22"/>
      <c r="DN1396" s="21"/>
      <c r="DO1396" s="21"/>
      <c r="EF1396" s="25"/>
      <c r="EG1396" s="25"/>
      <c r="EY1396" s="20"/>
    </row>
    <row r="1397" spans="1:155">
      <c r="A1397" s="21"/>
      <c r="B1397" s="21"/>
      <c r="AA1397" s="22"/>
      <c r="AB1397" s="22"/>
      <c r="AC1397" s="21"/>
      <c r="AD1397" s="21"/>
      <c r="BD1397" s="21"/>
      <c r="DB1397" s="24"/>
      <c r="DD1397" s="21"/>
      <c r="DE1397" s="22"/>
      <c r="DG1397" s="21"/>
      <c r="DL1397" s="22"/>
      <c r="DM1397" s="22"/>
      <c r="DN1397" s="21"/>
      <c r="DO1397" s="21"/>
      <c r="EF1397" s="25"/>
      <c r="EG1397" s="25"/>
      <c r="EY1397" s="20"/>
    </row>
    <row r="1398" spans="1:155">
      <c r="A1398" s="21"/>
      <c r="B1398" s="21"/>
      <c r="AA1398" s="22"/>
      <c r="AB1398" s="22"/>
      <c r="AC1398" s="21"/>
      <c r="AD1398" s="21"/>
      <c r="BD1398" s="21"/>
      <c r="DB1398" s="24"/>
      <c r="DD1398" s="21"/>
      <c r="DE1398" s="22"/>
      <c r="DG1398" s="21"/>
      <c r="DL1398" s="22"/>
      <c r="DM1398" s="22"/>
      <c r="DN1398" s="21"/>
      <c r="DO1398" s="21"/>
      <c r="EF1398" s="25"/>
      <c r="EG1398" s="25"/>
      <c r="EY1398" s="20"/>
    </row>
    <row r="1399" spans="1:155">
      <c r="A1399" s="21"/>
      <c r="B1399" s="21"/>
      <c r="AA1399" s="22"/>
      <c r="AB1399" s="22"/>
      <c r="AC1399" s="21"/>
      <c r="AD1399" s="21"/>
      <c r="BD1399" s="21"/>
      <c r="DB1399" s="24"/>
      <c r="DD1399" s="21"/>
      <c r="DE1399" s="22"/>
      <c r="DG1399" s="21"/>
      <c r="DL1399" s="22"/>
      <c r="DM1399" s="22"/>
      <c r="DN1399" s="21"/>
      <c r="DO1399" s="21"/>
      <c r="EF1399" s="25"/>
      <c r="EG1399" s="25"/>
      <c r="EY1399" s="20"/>
    </row>
    <row r="1400" spans="1:155">
      <c r="A1400" s="21"/>
      <c r="B1400" s="21"/>
      <c r="AA1400" s="22"/>
      <c r="AB1400" s="22"/>
      <c r="AC1400" s="21"/>
      <c r="AD1400" s="21"/>
      <c r="AY1400" s="22"/>
      <c r="BB1400" s="22"/>
      <c r="BD1400" s="21"/>
      <c r="DB1400" s="24"/>
      <c r="DD1400" s="21"/>
      <c r="DE1400" s="22"/>
      <c r="DG1400" s="21"/>
      <c r="DL1400" s="22"/>
      <c r="DM1400" s="22"/>
      <c r="DN1400" s="21"/>
      <c r="DO1400" s="21"/>
      <c r="EF1400" s="25"/>
      <c r="EG1400" s="25"/>
      <c r="EY1400" s="20"/>
    </row>
    <row r="1401" spans="1:155">
      <c r="A1401" s="21"/>
      <c r="B1401" s="21"/>
      <c r="AA1401" s="22"/>
      <c r="AB1401" s="22"/>
      <c r="AC1401" s="21"/>
      <c r="AD1401" s="21"/>
      <c r="AY1401" s="22"/>
      <c r="BB1401" s="22"/>
      <c r="BD1401" s="21"/>
      <c r="DB1401" s="24"/>
      <c r="DD1401" s="21"/>
      <c r="DE1401" s="22"/>
      <c r="DG1401" s="21"/>
      <c r="DL1401" s="22"/>
      <c r="DM1401" s="22"/>
      <c r="DN1401" s="21"/>
      <c r="DO1401" s="21"/>
      <c r="EF1401" s="25"/>
      <c r="EG1401" s="25"/>
      <c r="EY1401" s="20"/>
    </row>
    <row r="1402" spans="1:155">
      <c r="A1402" s="21"/>
      <c r="B1402" s="21"/>
      <c r="AA1402" s="22"/>
      <c r="AB1402" s="22"/>
      <c r="AC1402" s="21"/>
      <c r="AD1402" s="21"/>
      <c r="BD1402" s="21"/>
      <c r="DB1402" s="24"/>
      <c r="DD1402" s="21"/>
      <c r="DE1402" s="22"/>
      <c r="DG1402" s="21"/>
      <c r="DL1402" s="22"/>
      <c r="DM1402" s="22"/>
      <c r="DN1402" s="21"/>
      <c r="DO1402" s="21"/>
      <c r="EF1402" s="25"/>
      <c r="EG1402" s="25"/>
      <c r="EY1402" s="20"/>
    </row>
    <row r="1403" spans="1:155">
      <c r="A1403" s="21"/>
      <c r="B1403" s="21"/>
      <c r="AA1403" s="22"/>
      <c r="AB1403" s="22"/>
      <c r="AC1403" s="21"/>
      <c r="AD1403" s="21"/>
      <c r="AY1403" s="22"/>
      <c r="BB1403" s="22"/>
      <c r="BD1403" s="21"/>
      <c r="DB1403" s="24"/>
      <c r="DD1403" s="21"/>
      <c r="DE1403" s="22"/>
      <c r="DG1403" s="21"/>
      <c r="DL1403" s="22"/>
      <c r="DM1403" s="22"/>
      <c r="DN1403" s="21"/>
      <c r="DO1403" s="21"/>
      <c r="EF1403" s="25"/>
      <c r="EG1403" s="25"/>
      <c r="EY1403" s="20"/>
    </row>
    <row r="1404" spans="1:155">
      <c r="A1404" s="21"/>
      <c r="B1404" s="21"/>
      <c r="AA1404" s="22"/>
      <c r="AB1404" s="22"/>
      <c r="AC1404" s="21"/>
      <c r="AD1404" s="21"/>
      <c r="AY1404" s="22"/>
      <c r="BB1404" s="22"/>
      <c r="BD1404" s="21"/>
      <c r="DB1404" s="24"/>
      <c r="DD1404" s="21"/>
      <c r="DE1404" s="22"/>
      <c r="DG1404" s="21"/>
      <c r="DL1404" s="22"/>
      <c r="DM1404" s="22"/>
      <c r="DN1404" s="21"/>
      <c r="DO1404" s="21"/>
      <c r="EF1404" s="25"/>
      <c r="EG1404" s="25"/>
      <c r="EY1404" s="20"/>
    </row>
    <row r="1405" spans="1:155">
      <c r="A1405" s="21"/>
      <c r="B1405" s="21"/>
      <c r="AA1405" s="22"/>
      <c r="AB1405" s="22"/>
      <c r="AC1405" s="21"/>
      <c r="AD1405" s="21"/>
      <c r="AY1405" s="22"/>
      <c r="BB1405" s="22"/>
      <c r="BD1405" s="21"/>
      <c r="DB1405" s="24"/>
      <c r="DD1405" s="21"/>
      <c r="DE1405" s="22"/>
      <c r="DG1405" s="21"/>
      <c r="DL1405" s="22"/>
      <c r="DM1405" s="22"/>
      <c r="DN1405" s="21"/>
      <c r="DO1405" s="21"/>
      <c r="EF1405" s="25"/>
      <c r="EG1405" s="25"/>
      <c r="EY1405" s="20"/>
    </row>
    <row r="1406" spans="1:155">
      <c r="A1406" s="21"/>
      <c r="B1406" s="21"/>
      <c r="AA1406" s="22"/>
      <c r="AB1406" s="22"/>
      <c r="AC1406" s="21"/>
      <c r="AD1406" s="21"/>
      <c r="AY1406" s="22"/>
      <c r="BB1406" s="22"/>
      <c r="BD1406" s="21"/>
      <c r="DB1406" s="24"/>
      <c r="DD1406" s="21"/>
      <c r="DE1406" s="22"/>
      <c r="DG1406" s="21"/>
      <c r="DL1406" s="22"/>
      <c r="DM1406" s="22"/>
      <c r="DN1406" s="21"/>
      <c r="DO1406" s="21"/>
      <c r="EF1406" s="25"/>
      <c r="EG1406" s="25"/>
      <c r="EY1406" s="20"/>
    </row>
    <row r="1407" spans="1:155">
      <c r="A1407" s="21"/>
      <c r="B1407" s="21"/>
      <c r="AA1407" s="22"/>
      <c r="AB1407" s="22"/>
      <c r="AC1407" s="21"/>
      <c r="AD1407" s="21"/>
      <c r="AY1407" s="22"/>
      <c r="BB1407" s="22"/>
      <c r="BD1407" s="21"/>
      <c r="DB1407" s="24"/>
      <c r="DD1407" s="21"/>
      <c r="DE1407" s="22"/>
      <c r="DG1407" s="21"/>
      <c r="DL1407" s="22"/>
      <c r="DM1407" s="22"/>
      <c r="DN1407" s="21"/>
      <c r="DO1407" s="21"/>
      <c r="EF1407" s="25"/>
      <c r="EG1407" s="25"/>
      <c r="EY1407" s="20"/>
    </row>
    <row r="1408" spans="1:155">
      <c r="A1408" s="21"/>
      <c r="B1408" s="21"/>
      <c r="AA1408" s="22"/>
      <c r="AB1408" s="22"/>
      <c r="AC1408" s="21"/>
      <c r="AD1408" s="21"/>
      <c r="AY1408" s="22"/>
      <c r="BB1408" s="22"/>
      <c r="BD1408" s="21"/>
      <c r="DB1408" s="24"/>
      <c r="DD1408" s="21"/>
      <c r="DE1408" s="22"/>
      <c r="DG1408" s="21"/>
      <c r="DL1408" s="22"/>
      <c r="DM1408" s="22"/>
      <c r="DN1408" s="21"/>
      <c r="DO1408" s="21"/>
      <c r="EF1408" s="25"/>
      <c r="EG1408" s="25"/>
      <c r="EY1408" s="20"/>
    </row>
    <row r="1409" spans="1:155">
      <c r="A1409" s="21"/>
      <c r="B1409" s="21"/>
      <c r="AA1409" s="22"/>
      <c r="AB1409" s="22"/>
      <c r="AC1409" s="21"/>
      <c r="AD1409" s="21"/>
      <c r="BD1409" s="21"/>
      <c r="DB1409" s="24"/>
      <c r="DD1409" s="21"/>
      <c r="DE1409" s="22"/>
      <c r="DG1409" s="21"/>
      <c r="DL1409" s="22"/>
      <c r="DM1409" s="22"/>
      <c r="DN1409" s="21"/>
      <c r="DO1409" s="21"/>
      <c r="EF1409" s="25"/>
      <c r="EG1409" s="25"/>
      <c r="EY1409" s="20"/>
    </row>
    <row r="1410" spans="1:155">
      <c r="A1410" s="21"/>
      <c r="B1410" s="21"/>
      <c r="AA1410" s="22"/>
      <c r="AB1410" s="22"/>
      <c r="AC1410" s="21"/>
      <c r="AD1410" s="21"/>
      <c r="BD1410" s="21"/>
      <c r="DB1410" s="24"/>
      <c r="DD1410" s="21"/>
      <c r="DE1410" s="22"/>
      <c r="DG1410" s="21"/>
      <c r="DL1410" s="22"/>
      <c r="DM1410" s="22"/>
      <c r="DN1410" s="21"/>
      <c r="DO1410" s="21"/>
      <c r="EF1410" s="25"/>
      <c r="EG1410" s="25"/>
      <c r="EY1410" s="20"/>
    </row>
    <row r="1411" spans="1:155">
      <c r="A1411" s="21"/>
      <c r="B1411" s="21"/>
      <c r="AA1411" s="22"/>
      <c r="AB1411" s="22"/>
      <c r="AC1411" s="21"/>
      <c r="AD1411" s="21"/>
      <c r="BD1411" s="21"/>
      <c r="DB1411" s="24"/>
      <c r="DD1411" s="21"/>
      <c r="DE1411" s="22"/>
      <c r="DG1411" s="21"/>
      <c r="DL1411" s="22"/>
      <c r="DM1411" s="22"/>
      <c r="DN1411" s="21"/>
      <c r="DO1411" s="21"/>
      <c r="EF1411" s="25"/>
      <c r="EG1411" s="25"/>
      <c r="EY1411" s="20"/>
    </row>
    <row r="1412" spans="1:155">
      <c r="A1412" s="21"/>
      <c r="B1412" s="21"/>
      <c r="AA1412" s="22"/>
      <c r="AB1412" s="22"/>
      <c r="AC1412" s="21"/>
      <c r="AD1412" s="21"/>
      <c r="BD1412" s="21"/>
      <c r="DB1412" s="24"/>
      <c r="DD1412" s="21"/>
      <c r="DE1412" s="22"/>
      <c r="DG1412" s="21"/>
      <c r="DL1412" s="22"/>
      <c r="DM1412" s="22"/>
      <c r="DN1412" s="21"/>
      <c r="DO1412" s="21"/>
      <c r="EF1412" s="25"/>
      <c r="EG1412" s="25"/>
      <c r="EY1412" s="20"/>
    </row>
    <row r="1413" spans="1:155">
      <c r="A1413" s="21"/>
      <c r="B1413" s="21"/>
      <c r="AA1413" s="22"/>
      <c r="AB1413" s="22"/>
      <c r="AC1413" s="21"/>
      <c r="AD1413" s="21"/>
      <c r="AY1413" s="22"/>
      <c r="BB1413" s="22"/>
      <c r="BD1413" s="21"/>
      <c r="DB1413" s="24"/>
      <c r="DD1413" s="21"/>
      <c r="DE1413" s="22"/>
      <c r="DG1413" s="21"/>
      <c r="DL1413" s="22"/>
      <c r="DM1413" s="22"/>
      <c r="DN1413" s="21"/>
      <c r="DO1413" s="21"/>
      <c r="EF1413" s="25"/>
      <c r="EG1413" s="25"/>
      <c r="EY1413" s="20"/>
    </row>
    <row r="1414" spans="1:155">
      <c r="A1414" s="21"/>
      <c r="B1414" s="21"/>
      <c r="AA1414" s="22"/>
      <c r="AB1414" s="22"/>
      <c r="AC1414" s="21"/>
      <c r="AD1414" s="21"/>
      <c r="AY1414" s="22"/>
      <c r="BB1414" s="22"/>
      <c r="BD1414" s="21"/>
      <c r="DB1414" s="24"/>
      <c r="DD1414" s="21"/>
      <c r="DE1414" s="22"/>
      <c r="DG1414" s="21"/>
      <c r="DL1414" s="22"/>
      <c r="DM1414" s="22"/>
      <c r="DN1414" s="21"/>
      <c r="DO1414" s="21"/>
      <c r="EF1414" s="25"/>
      <c r="EG1414" s="25"/>
      <c r="EY1414" s="20"/>
    </row>
    <row r="1415" spans="1:155">
      <c r="A1415" s="21"/>
      <c r="B1415" s="21"/>
      <c r="AA1415" s="22"/>
      <c r="AB1415" s="22"/>
      <c r="AC1415" s="21"/>
      <c r="AD1415" s="21"/>
      <c r="BD1415" s="21"/>
      <c r="CN1415" s="22"/>
      <c r="DB1415" s="24"/>
      <c r="DD1415" s="21"/>
      <c r="DE1415" s="22"/>
      <c r="DG1415" s="21"/>
      <c r="DL1415" s="22"/>
      <c r="DM1415" s="22"/>
      <c r="DN1415" s="21"/>
      <c r="DO1415" s="21"/>
      <c r="EF1415" s="25"/>
      <c r="EG1415" s="25"/>
      <c r="EY1415" s="20"/>
    </row>
    <row r="1416" spans="1:155">
      <c r="A1416" s="21"/>
      <c r="B1416" s="21"/>
      <c r="AA1416" s="22"/>
      <c r="AB1416" s="22"/>
      <c r="AC1416" s="21"/>
      <c r="AD1416" s="21"/>
      <c r="BD1416" s="21"/>
      <c r="DB1416" s="24"/>
      <c r="DD1416" s="21"/>
      <c r="DE1416" s="22"/>
      <c r="DG1416" s="21"/>
      <c r="DL1416" s="22"/>
      <c r="DM1416" s="22"/>
      <c r="DN1416" s="21"/>
      <c r="DO1416" s="21"/>
      <c r="EF1416" s="25"/>
      <c r="EG1416" s="25"/>
      <c r="EY1416" s="20"/>
    </row>
    <row r="1417" spans="1:155">
      <c r="A1417" s="21"/>
      <c r="B1417" s="21"/>
      <c r="AA1417" s="22"/>
      <c r="AB1417" s="22"/>
      <c r="AC1417" s="21"/>
      <c r="AD1417" s="21"/>
      <c r="AY1417" s="22"/>
      <c r="BB1417" s="22"/>
      <c r="BD1417" s="21"/>
      <c r="DB1417" s="24"/>
      <c r="DD1417" s="21"/>
      <c r="DE1417" s="22"/>
      <c r="DG1417" s="21"/>
      <c r="DL1417" s="22"/>
      <c r="DM1417" s="22"/>
      <c r="DN1417" s="21"/>
      <c r="DO1417" s="21"/>
      <c r="EF1417" s="25"/>
      <c r="EG1417" s="25"/>
      <c r="EY1417" s="20"/>
    </row>
    <row r="1418" spans="1:155">
      <c r="A1418" s="21"/>
      <c r="B1418" s="21"/>
      <c r="AA1418" s="22"/>
      <c r="AB1418" s="22"/>
      <c r="AC1418" s="21"/>
      <c r="AD1418" s="21"/>
      <c r="BD1418" s="21"/>
      <c r="DB1418" s="24"/>
      <c r="DD1418" s="21"/>
      <c r="DE1418" s="22"/>
      <c r="DG1418" s="21"/>
      <c r="DL1418" s="22"/>
      <c r="DM1418" s="22"/>
      <c r="DN1418" s="21"/>
      <c r="DO1418" s="21"/>
      <c r="EF1418" s="25"/>
      <c r="EG1418" s="25"/>
      <c r="EY1418" s="20"/>
    </row>
    <row r="1419" spans="1:155">
      <c r="A1419" s="21"/>
      <c r="B1419" s="21"/>
      <c r="AA1419" s="22"/>
      <c r="AB1419" s="22"/>
      <c r="AC1419" s="21"/>
      <c r="AD1419" s="21"/>
      <c r="BD1419" s="21"/>
      <c r="DB1419" s="24"/>
      <c r="DD1419" s="21"/>
      <c r="DE1419" s="22"/>
      <c r="DG1419" s="21"/>
      <c r="DL1419" s="22"/>
      <c r="DM1419" s="22"/>
      <c r="DN1419" s="21"/>
      <c r="DO1419" s="21"/>
      <c r="EF1419" s="25"/>
      <c r="EG1419" s="25"/>
      <c r="EY1419" s="20"/>
    </row>
    <row r="1420" spans="1:155">
      <c r="A1420" s="21"/>
      <c r="B1420" s="21"/>
      <c r="AA1420" s="22"/>
      <c r="AB1420" s="22"/>
      <c r="AC1420" s="21"/>
      <c r="AD1420" s="21"/>
      <c r="AY1420" s="22"/>
      <c r="BB1420" s="22"/>
      <c r="BD1420" s="21"/>
      <c r="DB1420" s="24"/>
      <c r="DD1420" s="21"/>
      <c r="DE1420" s="22"/>
      <c r="DG1420" s="21"/>
      <c r="DL1420" s="22"/>
      <c r="DM1420" s="22"/>
      <c r="DN1420" s="21"/>
      <c r="DO1420" s="21"/>
      <c r="EF1420" s="25"/>
      <c r="EG1420" s="25"/>
      <c r="EY1420" s="20"/>
    </row>
    <row r="1421" spans="1:155">
      <c r="A1421" s="21"/>
      <c r="B1421" s="21"/>
      <c r="AA1421" s="22"/>
      <c r="AB1421" s="22"/>
      <c r="AC1421" s="21"/>
      <c r="AD1421" s="21"/>
      <c r="BD1421" s="21"/>
      <c r="DB1421" s="24"/>
      <c r="DD1421" s="21"/>
      <c r="DE1421" s="22"/>
      <c r="DG1421" s="21"/>
      <c r="DL1421" s="22"/>
      <c r="DM1421" s="22"/>
      <c r="DN1421" s="21"/>
      <c r="DO1421" s="21"/>
      <c r="EF1421" s="25"/>
      <c r="EG1421" s="25"/>
      <c r="EY1421" s="20"/>
    </row>
    <row r="1422" spans="1:155">
      <c r="A1422" s="21"/>
      <c r="B1422" s="21"/>
      <c r="AA1422" s="22"/>
      <c r="AB1422" s="22"/>
      <c r="AC1422" s="21"/>
      <c r="AD1422" s="21"/>
      <c r="BD1422" s="21"/>
      <c r="DB1422" s="24"/>
      <c r="DD1422" s="21"/>
      <c r="DE1422" s="22"/>
      <c r="DG1422" s="21"/>
      <c r="DL1422" s="22"/>
      <c r="DM1422" s="22"/>
      <c r="DN1422" s="21"/>
      <c r="DO1422" s="21"/>
      <c r="EF1422" s="25"/>
      <c r="EG1422" s="25"/>
      <c r="EY1422" s="20"/>
    </row>
    <row r="1423" spans="1:155">
      <c r="A1423" s="21"/>
      <c r="B1423" s="21"/>
      <c r="AA1423" s="22"/>
      <c r="AB1423" s="22"/>
      <c r="AC1423" s="21"/>
      <c r="AD1423" s="21"/>
      <c r="AY1423" s="22"/>
      <c r="BB1423" s="22"/>
      <c r="BD1423" s="21"/>
      <c r="DB1423" s="24"/>
      <c r="DD1423" s="21"/>
      <c r="DE1423" s="22"/>
      <c r="DG1423" s="21"/>
      <c r="DL1423" s="22"/>
      <c r="DM1423" s="22"/>
      <c r="DN1423" s="21"/>
      <c r="DO1423" s="21"/>
      <c r="EF1423" s="25"/>
      <c r="EG1423" s="25"/>
      <c r="EY1423" s="20"/>
    </row>
    <row r="1424" spans="1:155">
      <c r="A1424" s="21"/>
      <c r="B1424" s="21"/>
      <c r="AA1424" s="22"/>
      <c r="AB1424" s="22"/>
      <c r="AC1424" s="21"/>
      <c r="AD1424" s="21"/>
      <c r="AY1424" s="22"/>
      <c r="BB1424" s="22"/>
      <c r="BD1424" s="21"/>
      <c r="DB1424" s="24"/>
      <c r="DD1424" s="21"/>
      <c r="DE1424" s="22"/>
      <c r="DG1424" s="21"/>
      <c r="DL1424" s="22"/>
      <c r="DM1424" s="22"/>
      <c r="DN1424" s="21"/>
      <c r="DO1424" s="21"/>
      <c r="EF1424" s="25"/>
      <c r="EG1424" s="25"/>
      <c r="EY1424" s="20"/>
    </row>
    <row r="1425" spans="1:155">
      <c r="A1425" s="21"/>
      <c r="B1425" s="21"/>
      <c r="AA1425" s="22"/>
      <c r="AB1425" s="22"/>
      <c r="AC1425" s="21"/>
      <c r="AD1425" s="21"/>
      <c r="AY1425" s="22"/>
      <c r="BB1425" s="22"/>
      <c r="BD1425" s="21"/>
      <c r="DB1425" s="24"/>
      <c r="DD1425" s="21"/>
      <c r="DE1425" s="22"/>
      <c r="DG1425" s="21"/>
      <c r="DL1425" s="22"/>
      <c r="DM1425" s="22"/>
      <c r="DN1425" s="21"/>
      <c r="DO1425" s="21"/>
      <c r="EF1425" s="25"/>
      <c r="EG1425" s="25"/>
      <c r="EY1425" s="20"/>
    </row>
    <row r="1426" spans="1:155">
      <c r="A1426" s="21"/>
      <c r="B1426" s="21"/>
      <c r="AA1426" s="22"/>
      <c r="AB1426" s="22"/>
      <c r="AC1426" s="21"/>
      <c r="AD1426" s="21"/>
      <c r="AY1426" s="22"/>
      <c r="BB1426" s="22"/>
      <c r="BD1426" s="21"/>
      <c r="DB1426" s="24"/>
      <c r="DD1426" s="21"/>
      <c r="DE1426" s="22"/>
      <c r="DG1426" s="21"/>
      <c r="DL1426" s="22"/>
      <c r="DM1426" s="22"/>
      <c r="DN1426" s="21"/>
      <c r="DO1426" s="21"/>
      <c r="EF1426" s="25"/>
      <c r="EG1426" s="25"/>
      <c r="EY1426" s="20"/>
    </row>
    <row r="1427" spans="1:155">
      <c r="A1427" s="21"/>
      <c r="B1427" s="21"/>
      <c r="AA1427" s="22"/>
      <c r="AB1427" s="22"/>
      <c r="AC1427" s="21"/>
      <c r="AD1427" s="21"/>
      <c r="BD1427" s="21"/>
      <c r="DB1427" s="24"/>
      <c r="DD1427" s="21"/>
      <c r="DE1427" s="22"/>
      <c r="DG1427" s="21"/>
      <c r="DL1427" s="22"/>
      <c r="DM1427" s="22"/>
      <c r="DN1427" s="21"/>
      <c r="DO1427" s="21"/>
      <c r="EF1427" s="25"/>
      <c r="EG1427" s="25"/>
      <c r="EY1427" s="20"/>
    </row>
    <row r="1428" spans="1:155">
      <c r="A1428" s="21"/>
      <c r="B1428" s="21"/>
      <c r="AA1428" s="22"/>
      <c r="AB1428" s="22"/>
      <c r="AC1428" s="21"/>
      <c r="AD1428" s="21"/>
      <c r="AY1428" s="22"/>
      <c r="BB1428" s="22"/>
      <c r="BD1428" s="21"/>
      <c r="DB1428" s="24"/>
      <c r="DD1428" s="21"/>
      <c r="DE1428" s="22"/>
      <c r="DG1428" s="21"/>
      <c r="DL1428" s="22"/>
      <c r="DM1428" s="22"/>
      <c r="DN1428" s="21"/>
      <c r="DO1428" s="21"/>
      <c r="EF1428" s="25"/>
      <c r="EG1428" s="25"/>
      <c r="EY1428" s="20"/>
    </row>
    <row r="1429" spans="1:155">
      <c r="A1429" s="21"/>
      <c r="B1429" s="21"/>
      <c r="AA1429" s="22"/>
      <c r="AB1429" s="22"/>
      <c r="AC1429" s="21"/>
      <c r="AD1429" s="21"/>
      <c r="BD1429" s="21"/>
      <c r="DB1429" s="24"/>
      <c r="DD1429" s="21"/>
      <c r="DE1429" s="22"/>
      <c r="DG1429" s="21"/>
      <c r="DL1429" s="22"/>
      <c r="DM1429" s="22"/>
      <c r="DN1429" s="21"/>
      <c r="DO1429" s="21"/>
      <c r="EF1429" s="25"/>
      <c r="EG1429" s="25"/>
      <c r="EY1429" s="20"/>
    </row>
    <row r="1430" spans="1:155">
      <c r="A1430" s="21"/>
      <c r="B1430" s="21"/>
      <c r="AA1430" s="22"/>
      <c r="AB1430" s="22"/>
      <c r="AC1430" s="21"/>
      <c r="AD1430" s="21"/>
      <c r="BD1430" s="21"/>
      <c r="DB1430" s="24"/>
      <c r="DD1430" s="21"/>
      <c r="DE1430" s="22"/>
      <c r="DG1430" s="21"/>
      <c r="DL1430" s="22"/>
      <c r="DM1430" s="22"/>
      <c r="DN1430" s="21"/>
      <c r="DO1430" s="21"/>
      <c r="EF1430" s="25"/>
      <c r="EG1430" s="25"/>
      <c r="EY1430" s="20"/>
    </row>
    <row r="1431" spans="1:155">
      <c r="A1431" s="21"/>
      <c r="B1431" s="21"/>
      <c r="AA1431" s="22"/>
      <c r="AB1431" s="22"/>
      <c r="AC1431" s="21"/>
      <c r="AD1431" s="21"/>
      <c r="BD1431" s="21"/>
      <c r="DB1431" s="24"/>
      <c r="DD1431" s="21"/>
      <c r="DE1431" s="22"/>
      <c r="DG1431" s="21"/>
      <c r="DL1431" s="22"/>
      <c r="DM1431" s="22"/>
      <c r="DN1431" s="21"/>
      <c r="DO1431" s="21"/>
      <c r="EF1431" s="25"/>
      <c r="EG1431" s="25"/>
      <c r="EY1431" s="20"/>
    </row>
    <row r="1432" spans="1:155">
      <c r="A1432" s="21"/>
      <c r="B1432" s="21"/>
      <c r="AA1432" s="22"/>
      <c r="AB1432" s="22"/>
      <c r="AC1432" s="21"/>
      <c r="AD1432" s="21"/>
      <c r="AY1432" s="22"/>
      <c r="BB1432" s="22"/>
      <c r="BD1432" s="21"/>
      <c r="DB1432" s="24"/>
      <c r="DD1432" s="21"/>
      <c r="DE1432" s="22"/>
      <c r="DG1432" s="21"/>
      <c r="DL1432" s="22"/>
      <c r="DM1432" s="22"/>
      <c r="DN1432" s="21"/>
      <c r="DO1432" s="21"/>
      <c r="EF1432" s="25"/>
      <c r="EG1432" s="25"/>
      <c r="EY1432" s="20"/>
    </row>
    <row r="1433" spans="1:155">
      <c r="A1433" s="21"/>
      <c r="B1433" s="21"/>
      <c r="AA1433" s="22"/>
      <c r="AB1433" s="22"/>
      <c r="AC1433" s="21"/>
      <c r="AD1433" s="21"/>
      <c r="AY1433" s="22"/>
      <c r="BB1433" s="22"/>
      <c r="BD1433" s="21"/>
      <c r="DB1433" s="24"/>
      <c r="DD1433" s="21"/>
      <c r="DE1433" s="22"/>
      <c r="DG1433" s="21"/>
      <c r="DL1433" s="22"/>
      <c r="DM1433" s="22"/>
      <c r="DN1433" s="21"/>
      <c r="DO1433" s="21"/>
      <c r="EF1433" s="25"/>
      <c r="EG1433" s="25"/>
      <c r="EY1433" s="20"/>
    </row>
    <row r="1434" spans="1:155">
      <c r="A1434" s="21"/>
      <c r="B1434" s="21"/>
      <c r="AA1434" s="22"/>
      <c r="AB1434" s="22"/>
      <c r="AC1434" s="21"/>
      <c r="AD1434" s="21"/>
      <c r="AY1434" s="22"/>
      <c r="BB1434" s="22"/>
      <c r="BD1434" s="21"/>
      <c r="DB1434" s="24"/>
      <c r="DD1434" s="21"/>
      <c r="DE1434" s="22"/>
      <c r="DG1434" s="21"/>
      <c r="DL1434" s="22"/>
      <c r="DM1434" s="22"/>
      <c r="DN1434" s="21"/>
      <c r="DO1434" s="21"/>
      <c r="EF1434" s="25"/>
      <c r="EG1434" s="25"/>
      <c r="EY1434" s="20"/>
    </row>
    <row r="1435" spans="1:155">
      <c r="A1435" s="21"/>
      <c r="B1435" s="21"/>
      <c r="AA1435" s="22"/>
      <c r="AB1435" s="22"/>
      <c r="AC1435" s="21"/>
      <c r="AD1435" s="21"/>
      <c r="BD1435" s="21"/>
      <c r="DB1435" s="24"/>
      <c r="DD1435" s="21"/>
      <c r="DE1435" s="22"/>
      <c r="DG1435" s="21"/>
      <c r="DL1435" s="22"/>
      <c r="DM1435" s="22"/>
      <c r="DN1435" s="21"/>
      <c r="DO1435" s="21"/>
      <c r="EF1435" s="25"/>
      <c r="EG1435" s="25"/>
      <c r="EY1435" s="20"/>
    </row>
    <row r="1436" spans="1:155">
      <c r="A1436" s="21"/>
      <c r="B1436" s="21"/>
      <c r="AA1436" s="22"/>
      <c r="AB1436" s="22"/>
      <c r="AC1436" s="21"/>
      <c r="AD1436" s="21"/>
      <c r="BD1436" s="21"/>
      <c r="DB1436" s="24"/>
      <c r="DD1436" s="21"/>
      <c r="DE1436" s="22"/>
      <c r="DG1436" s="21"/>
      <c r="DL1436" s="22"/>
      <c r="DM1436" s="22"/>
      <c r="DN1436" s="21"/>
      <c r="DO1436" s="21"/>
      <c r="EF1436" s="25"/>
      <c r="EG1436" s="25"/>
      <c r="EY1436" s="20"/>
    </row>
    <row r="1437" spans="1:155">
      <c r="A1437" s="21"/>
      <c r="B1437" s="21"/>
      <c r="AA1437" s="22"/>
      <c r="AB1437" s="22"/>
      <c r="AC1437" s="21"/>
      <c r="AD1437" s="21"/>
      <c r="AY1437" s="22"/>
      <c r="BB1437" s="22"/>
      <c r="BD1437" s="21"/>
      <c r="DB1437" s="24"/>
      <c r="DD1437" s="21"/>
      <c r="DE1437" s="22"/>
      <c r="DG1437" s="21"/>
      <c r="DL1437" s="22"/>
      <c r="DM1437" s="22"/>
      <c r="DN1437" s="21"/>
      <c r="DO1437" s="21"/>
      <c r="EF1437" s="25"/>
      <c r="EG1437" s="25"/>
      <c r="EY1437" s="20"/>
    </row>
    <row r="1438" spans="1:155">
      <c r="A1438" s="21"/>
      <c r="B1438" s="21"/>
      <c r="AA1438" s="22"/>
      <c r="AB1438" s="22"/>
      <c r="AC1438" s="21"/>
      <c r="AD1438" s="21"/>
      <c r="BD1438" s="21"/>
      <c r="DB1438" s="24"/>
      <c r="DD1438" s="21"/>
      <c r="DE1438" s="22"/>
      <c r="DG1438" s="21"/>
      <c r="DL1438" s="22"/>
      <c r="DM1438" s="22"/>
      <c r="DN1438" s="21"/>
      <c r="DO1438" s="21"/>
      <c r="EF1438" s="25"/>
      <c r="EG1438" s="25"/>
      <c r="EY1438" s="20"/>
    </row>
    <row r="1439" spans="1:155">
      <c r="A1439" s="21"/>
      <c r="B1439" s="21"/>
      <c r="AA1439" s="22"/>
      <c r="AB1439" s="22"/>
      <c r="AC1439" s="21"/>
      <c r="AD1439" s="21"/>
      <c r="BD1439" s="21"/>
      <c r="DB1439" s="24"/>
      <c r="DD1439" s="21"/>
      <c r="DE1439" s="22"/>
      <c r="DG1439" s="21"/>
      <c r="DL1439" s="22"/>
      <c r="DM1439" s="22"/>
      <c r="DN1439" s="21"/>
      <c r="DO1439" s="21"/>
      <c r="EF1439" s="25"/>
      <c r="EG1439" s="25"/>
      <c r="EY1439" s="20"/>
    </row>
    <row r="1440" spans="1:155">
      <c r="A1440" s="21"/>
      <c r="B1440" s="21"/>
      <c r="AA1440" s="22"/>
      <c r="AB1440" s="22"/>
      <c r="AC1440" s="21"/>
      <c r="AD1440" s="21"/>
      <c r="BD1440" s="21"/>
      <c r="DB1440" s="24"/>
      <c r="DD1440" s="21"/>
      <c r="DE1440" s="22"/>
      <c r="DG1440" s="21"/>
      <c r="DL1440" s="22"/>
      <c r="DM1440" s="22"/>
      <c r="DN1440" s="21"/>
      <c r="DO1440" s="21"/>
      <c r="EF1440" s="25"/>
      <c r="EG1440" s="25"/>
      <c r="EY1440" s="20"/>
    </row>
    <row r="1441" spans="1:155">
      <c r="A1441" s="21"/>
      <c r="B1441" s="21"/>
      <c r="AA1441" s="22"/>
      <c r="AB1441" s="22"/>
      <c r="AC1441" s="21"/>
      <c r="AD1441" s="21"/>
      <c r="AY1441" s="22"/>
      <c r="BB1441" s="22"/>
      <c r="BD1441" s="21"/>
      <c r="DB1441" s="24"/>
      <c r="DD1441" s="21"/>
      <c r="DE1441" s="22"/>
      <c r="DG1441" s="21"/>
      <c r="DL1441" s="22"/>
      <c r="DM1441" s="22"/>
      <c r="DN1441" s="21"/>
      <c r="DO1441" s="21"/>
      <c r="EF1441" s="25"/>
      <c r="EG1441" s="25"/>
      <c r="EY1441" s="20"/>
    </row>
    <row r="1442" spans="1:155">
      <c r="A1442" s="21"/>
      <c r="B1442" s="21"/>
      <c r="AA1442" s="22"/>
      <c r="AB1442" s="22"/>
      <c r="AC1442" s="21"/>
      <c r="AD1442" s="21"/>
      <c r="BD1442" s="21"/>
      <c r="DB1442" s="24"/>
      <c r="DD1442" s="21"/>
      <c r="DE1442" s="22"/>
      <c r="DG1442" s="21"/>
      <c r="DL1442" s="22"/>
      <c r="DM1442" s="22"/>
      <c r="DN1442" s="21"/>
      <c r="DO1442" s="21"/>
      <c r="EF1442" s="25"/>
      <c r="EG1442" s="25"/>
      <c r="EY1442" s="20"/>
    </row>
    <row r="1443" spans="1:155">
      <c r="A1443" s="21"/>
      <c r="B1443" s="21"/>
      <c r="AA1443" s="22"/>
      <c r="AB1443" s="22"/>
      <c r="AC1443" s="21"/>
      <c r="AD1443" s="21"/>
      <c r="BD1443" s="21"/>
      <c r="CN1443" s="22"/>
      <c r="DB1443" s="24"/>
      <c r="DD1443" s="21"/>
      <c r="DE1443" s="22"/>
      <c r="DG1443" s="21"/>
      <c r="DL1443" s="22"/>
      <c r="DM1443" s="22"/>
      <c r="DN1443" s="21"/>
      <c r="DO1443" s="21"/>
      <c r="EF1443" s="25"/>
      <c r="EG1443" s="25"/>
      <c r="EY1443" s="20"/>
    </row>
    <row r="1444" spans="1:155">
      <c r="A1444" s="21"/>
      <c r="B1444" s="21"/>
      <c r="AA1444" s="22"/>
      <c r="AB1444" s="22"/>
      <c r="AC1444" s="21"/>
      <c r="AD1444" s="21"/>
      <c r="AY1444" s="22"/>
      <c r="BB1444" s="22"/>
      <c r="BD1444" s="21"/>
      <c r="DB1444" s="24"/>
      <c r="DD1444" s="21"/>
      <c r="DE1444" s="22"/>
      <c r="DG1444" s="21"/>
      <c r="DL1444" s="22"/>
      <c r="DM1444" s="22"/>
      <c r="DN1444" s="21"/>
      <c r="DO1444" s="21"/>
      <c r="EF1444" s="25"/>
      <c r="EG1444" s="25"/>
      <c r="EY1444" s="20"/>
    </row>
    <row r="1445" spans="1:155">
      <c r="A1445" s="21"/>
      <c r="B1445" s="21"/>
      <c r="AA1445" s="22"/>
      <c r="AB1445" s="22"/>
      <c r="AC1445" s="21"/>
      <c r="AD1445" s="21"/>
      <c r="BD1445" s="21"/>
      <c r="DB1445" s="24"/>
      <c r="DD1445" s="21"/>
      <c r="DE1445" s="22"/>
      <c r="DG1445" s="21"/>
      <c r="DL1445" s="22"/>
      <c r="DM1445" s="22"/>
      <c r="DN1445" s="21"/>
      <c r="DO1445" s="21"/>
      <c r="EF1445" s="25"/>
      <c r="EG1445" s="25"/>
      <c r="EY1445" s="20"/>
    </row>
    <row r="1446" spans="1:155">
      <c r="A1446" s="21"/>
      <c r="B1446" s="21"/>
      <c r="AA1446" s="22"/>
      <c r="AB1446" s="22"/>
      <c r="AC1446" s="21"/>
      <c r="AD1446" s="21"/>
      <c r="BD1446" s="21"/>
      <c r="CN1446" s="22"/>
      <c r="DB1446" s="24"/>
      <c r="DD1446" s="21"/>
      <c r="DE1446" s="22"/>
      <c r="DG1446" s="21"/>
      <c r="DL1446" s="22"/>
      <c r="DM1446" s="22"/>
      <c r="DN1446" s="21"/>
      <c r="DO1446" s="21"/>
      <c r="EF1446" s="25"/>
      <c r="EG1446" s="25"/>
      <c r="EY1446" s="20"/>
    </row>
    <row r="1447" spans="1:155">
      <c r="A1447" s="21"/>
      <c r="B1447" s="21"/>
      <c r="AA1447" s="22"/>
      <c r="AB1447" s="22"/>
      <c r="AC1447" s="21"/>
      <c r="AD1447" s="21"/>
      <c r="BD1447" s="21"/>
      <c r="DB1447" s="24"/>
      <c r="DD1447" s="21"/>
      <c r="DE1447" s="22"/>
      <c r="DG1447" s="21"/>
      <c r="DL1447" s="22"/>
      <c r="DM1447" s="22"/>
      <c r="DN1447" s="21"/>
      <c r="DO1447" s="21"/>
      <c r="EF1447" s="25"/>
      <c r="EG1447" s="25"/>
      <c r="EY1447" s="20"/>
    </row>
    <row r="1448" spans="1:155">
      <c r="A1448" s="21"/>
      <c r="B1448" s="21"/>
      <c r="AA1448" s="22"/>
      <c r="AB1448" s="22"/>
      <c r="AC1448" s="21"/>
      <c r="AD1448" s="21"/>
      <c r="AY1448" s="22"/>
      <c r="BB1448" s="22"/>
      <c r="BD1448" s="21"/>
      <c r="DB1448" s="24"/>
      <c r="DD1448" s="21"/>
      <c r="DE1448" s="22"/>
      <c r="DG1448" s="21"/>
      <c r="DL1448" s="22"/>
      <c r="DM1448" s="22"/>
      <c r="DN1448" s="21"/>
      <c r="DO1448" s="21"/>
      <c r="EF1448" s="25"/>
      <c r="EG1448" s="25"/>
      <c r="EY1448" s="20"/>
    </row>
    <row r="1449" spans="1:155">
      <c r="A1449" s="21"/>
      <c r="B1449" s="21"/>
      <c r="AA1449" s="22"/>
      <c r="AB1449" s="22"/>
      <c r="AC1449" s="21"/>
      <c r="AD1449" s="21"/>
      <c r="AY1449" s="22"/>
      <c r="BB1449" s="22"/>
      <c r="BD1449" s="21"/>
      <c r="DB1449" s="24"/>
      <c r="DD1449" s="21"/>
      <c r="DE1449" s="22"/>
      <c r="DG1449" s="21"/>
      <c r="DL1449" s="22"/>
      <c r="DM1449" s="22"/>
      <c r="DN1449" s="21"/>
      <c r="DO1449" s="21"/>
      <c r="EF1449" s="25"/>
      <c r="EG1449" s="25"/>
      <c r="EY1449" s="20"/>
    </row>
    <row r="1450" spans="1:155">
      <c r="A1450" s="21"/>
      <c r="B1450" s="21"/>
      <c r="AA1450" s="22"/>
      <c r="AB1450" s="22"/>
      <c r="AC1450" s="21"/>
      <c r="AD1450" s="21"/>
      <c r="BD1450" s="21"/>
      <c r="DB1450" s="24"/>
      <c r="DD1450" s="21"/>
      <c r="DE1450" s="22"/>
      <c r="DG1450" s="21"/>
      <c r="DL1450" s="22"/>
      <c r="DM1450" s="22"/>
      <c r="DN1450" s="21"/>
      <c r="DO1450" s="21"/>
      <c r="EF1450" s="25"/>
      <c r="EG1450" s="25"/>
      <c r="EY1450" s="20"/>
    </row>
    <row r="1451" spans="1:155">
      <c r="A1451" s="21"/>
      <c r="B1451" s="21"/>
      <c r="AA1451" s="22"/>
      <c r="AB1451" s="22"/>
      <c r="AC1451" s="21"/>
      <c r="AD1451" s="21"/>
      <c r="BD1451" s="21"/>
      <c r="DB1451" s="24"/>
      <c r="DD1451" s="21"/>
      <c r="DE1451" s="22"/>
      <c r="DG1451" s="21"/>
      <c r="DL1451" s="22"/>
      <c r="DM1451" s="22"/>
      <c r="DN1451" s="21"/>
      <c r="DO1451" s="21"/>
      <c r="EF1451" s="25"/>
      <c r="EG1451" s="25"/>
      <c r="EY1451" s="20"/>
    </row>
    <row r="1452" spans="1:155">
      <c r="A1452" s="21"/>
      <c r="B1452" s="21"/>
      <c r="AA1452" s="22"/>
      <c r="AB1452" s="22"/>
      <c r="AC1452" s="21"/>
      <c r="AD1452" s="21"/>
      <c r="BD1452" s="21"/>
      <c r="DB1452" s="24"/>
      <c r="DD1452" s="21"/>
      <c r="DE1452" s="22"/>
      <c r="DG1452" s="21"/>
      <c r="DL1452" s="22"/>
      <c r="DM1452" s="22"/>
      <c r="DN1452" s="21"/>
      <c r="DO1452" s="21"/>
      <c r="EF1452" s="25"/>
      <c r="EG1452" s="25"/>
      <c r="EY1452" s="20"/>
    </row>
    <row r="1453" spans="1:155">
      <c r="A1453" s="21"/>
      <c r="B1453" s="21"/>
      <c r="AA1453" s="22"/>
      <c r="AB1453" s="22"/>
      <c r="AC1453" s="21"/>
      <c r="AD1453" s="21"/>
      <c r="BD1453" s="21"/>
      <c r="DB1453" s="24"/>
      <c r="DD1453" s="21"/>
      <c r="DE1453" s="22"/>
      <c r="DG1453" s="21"/>
      <c r="DL1453" s="22"/>
      <c r="DM1453" s="22"/>
      <c r="DN1453" s="21"/>
      <c r="DO1453" s="21"/>
      <c r="EF1453" s="25"/>
      <c r="EG1453" s="25"/>
      <c r="EY1453" s="20"/>
    </row>
    <row r="1454" spans="1:155">
      <c r="A1454" s="21"/>
      <c r="B1454" s="21"/>
      <c r="AA1454" s="22"/>
      <c r="AB1454" s="22"/>
      <c r="AC1454" s="21"/>
      <c r="AD1454" s="21"/>
      <c r="BD1454" s="21"/>
      <c r="DB1454" s="24"/>
      <c r="DD1454" s="21"/>
      <c r="DE1454" s="22"/>
      <c r="DG1454" s="21"/>
      <c r="DL1454" s="22"/>
      <c r="DM1454" s="22"/>
      <c r="DN1454" s="21"/>
      <c r="DO1454" s="21"/>
      <c r="EF1454" s="25"/>
      <c r="EG1454" s="25"/>
      <c r="EY1454" s="20"/>
    </row>
    <row r="1455" spans="1:155">
      <c r="A1455" s="21"/>
      <c r="B1455" s="21"/>
      <c r="AA1455" s="22"/>
      <c r="AB1455" s="22"/>
      <c r="AC1455" s="21"/>
      <c r="AD1455" s="21"/>
      <c r="BD1455" s="21"/>
      <c r="DB1455" s="24"/>
      <c r="DD1455" s="21"/>
      <c r="DE1455" s="22"/>
      <c r="DG1455" s="21"/>
      <c r="DL1455" s="22"/>
      <c r="DM1455" s="22"/>
      <c r="DN1455" s="21"/>
      <c r="DO1455" s="21"/>
      <c r="EF1455" s="25"/>
      <c r="EG1455" s="25"/>
      <c r="EY1455" s="20"/>
    </row>
    <row r="1456" spans="1:155">
      <c r="A1456" s="21"/>
      <c r="B1456" s="21"/>
      <c r="AA1456" s="22"/>
      <c r="AB1456" s="22"/>
      <c r="AC1456" s="21"/>
      <c r="AD1456" s="21"/>
      <c r="BD1456" s="21"/>
      <c r="DB1456" s="24"/>
      <c r="DD1456" s="21"/>
      <c r="DE1456" s="22"/>
      <c r="DG1456" s="21"/>
      <c r="DL1456" s="22"/>
      <c r="DM1456" s="22"/>
      <c r="DN1456" s="21"/>
      <c r="DO1456" s="21"/>
      <c r="EF1456" s="25"/>
      <c r="EG1456" s="25"/>
      <c r="EY1456" s="20"/>
    </row>
    <row r="1457" spans="1:155">
      <c r="A1457" s="21"/>
      <c r="B1457" s="21"/>
      <c r="AA1457" s="22"/>
      <c r="AB1457" s="22"/>
      <c r="AC1457" s="21"/>
      <c r="AD1457" s="21"/>
      <c r="BD1457" s="21"/>
      <c r="DB1457" s="24"/>
      <c r="DD1457" s="21"/>
      <c r="DE1457" s="22"/>
      <c r="DG1457" s="21"/>
      <c r="DL1457" s="22"/>
      <c r="DM1457" s="22"/>
      <c r="DN1457" s="21"/>
      <c r="DO1457" s="21"/>
      <c r="EF1457" s="25"/>
      <c r="EG1457" s="25"/>
      <c r="EY1457" s="20"/>
    </row>
    <row r="1458" spans="1:155">
      <c r="A1458" s="21"/>
      <c r="B1458" s="21"/>
      <c r="AA1458" s="22"/>
      <c r="AB1458" s="22"/>
      <c r="AC1458" s="21"/>
      <c r="AD1458" s="21"/>
      <c r="AY1458" s="22"/>
      <c r="BB1458" s="22"/>
      <c r="BD1458" s="21"/>
      <c r="DB1458" s="24"/>
      <c r="DD1458" s="21"/>
      <c r="DE1458" s="22"/>
      <c r="DG1458" s="21"/>
      <c r="DL1458" s="22"/>
      <c r="DM1458" s="22"/>
      <c r="DN1458" s="21"/>
      <c r="DO1458" s="21"/>
      <c r="EF1458" s="25"/>
      <c r="EG1458" s="25"/>
      <c r="EY1458" s="20"/>
    </row>
    <row r="1459" spans="1:155">
      <c r="A1459" s="21"/>
      <c r="B1459" s="21"/>
      <c r="AA1459" s="22"/>
      <c r="AB1459" s="22"/>
      <c r="AC1459" s="21"/>
      <c r="AD1459" s="21"/>
      <c r="BD1459" s="21"/>
      <c r="CN1459" s="22"/>
      <c r="DB1459" s="24"/>
      <c r="DD1459" s="21"/>
      <c r="DE1459" s="22"/>
      <c r="DG1459" s="21"/>
      <c r="DL1459" s="22"/>
      <c r="DM1459" s="22"/>
      <c r="DN1459" s="21"/>
      <c r="DO1459" s="21"/>
      <c r="EF1459" s="25"/>
      <c r="EG1459" s="25"/>
      <c r="EY1459" s="20"/>
    </row>
    <row r="1460" spans="1:155">
      <c r="A1460" s="21"/>
      <c r="B1460" s="21"/>
      <c r="AA1460" s="22"/>
      <c r="AB1460" s="22"/>
      <c r="AC1460" s="21"/>
      <c r="AD1460" s="21"/>
      <c r="BD1460" s="21"/>
      <c r="DB1460" s="24"/>
      <c r="DD1460" s="21"/>
      <c r="DE1460" s="22"/>
      <c r="DG1460" s="21"/>
      <c r="DL1460" s="22"/>
      <c r="DM1460" s="22"/>
      <c r="DN1460" s="21"/>
      <c r="DO1460" s="21"/>
      <c r="EF1460" s="25"/>
      <c r="EG1460" s="25"/>
      <c r="EY1460" s="20"/>
    </row>
    <row r="1461" spans="1:155">
      <c r="A1461" s="21"/>
      <c r="B1461" s="21"/>
      <c r="AA1461" s="22"/>
      <c r="AB1461" s="22"/>
      <c r="AC1461" s="21"/>
      <c r="AD1461" s="21"/>
      <c r="AY1461" s="22"/>
      <c r="BB1461" s="22"/>
      <c r="BD1461" s="21"/>
      <c r="DB1461" s="24"/>
      <c r="DD1461" s="21"/>
      <c r="DE1461" s="22"/>
      <c r="DG1461" s="21"/>
      <c r="DL1461" s="22"/>
      <c r="DM1461" s="22"/>
      <c r="DN1461" s="21"/>
      <c r="DO1461" s="21"/>
      <c r="EF1461" s="25"/>
      <c r="EG1461" s="25"/>
      <c r="EY1461" s="20"/>
    </row>
    <row r="1462" spans="1:155">
      <c r="A1462" s="21"/>
      <c r="B1462" s="21"/>
      <c r="AA1462" s="22"/>
      <c r="AB1462" s="22"/>
      <c r="AC1462" s="21"/>
      <c r="AD1462" s="21"/>
      <c r="AY1462" s="22"/>
      <c r="BB1462" s="22"/>
      <c r="BD1462" s="21"/>
      <c r="DB1462" s="24"/>
      <c r="DD1462" s="21"/>
      <c r="DE1462" s="22"/>
      <c r="DG1462" s="21"/>
      <c r="DL1462" s="22"/>
      <c r="DM1462" s="22"/>
      <c r="DN1462" s="21"/>
      <c r="DO1462" s="21"/>
      <c r="EF1462" s="25"/>
      <c r="EG1462" s="25"/>
      <c r="EY1462" s="20"/>
    </row>
    <row r="1463" spans="1:155">
      <c r="A1463" s="21"/>
      <c r="B1463" s="21"/>
      <c r="AA1463" s="22"/>
      <c r="AB1463" s="22"/>
      <c r="AC1463" s="21"/>
      <c r="AD1463" s="21"/>
      <c r="AY1463" s="22"/>
      <c r="BB1463" s="22"/>
      <c r="BD1463" s="21"/>
      <c r="DB1463" s="24"/>
      <c r="DD1463" s="21"/>
      <c r="DE1463" s="22"/>
      <c r="DG1463" s="21"/>
      <c r="DL1463" s="22"/>
      <c r="DM1463" s="22"/>
      <c r="DN1463" s="21"/>
      <c r="DO1463" s="21"/>
      <c r="EF1463" s="25"/>
      <c r="EG1463" s="25"/>
      <c r="EY1463" s="20"/>
    </row>
    <row r="1464" spans="1:155">
      <c r="A1464" s="21"/>
      <c r="B1464" s="21"/>
      <c r="AA1464" s="22"/>
      <c r="AB1464" s="22"/>
      <c r="AC1464" s="21"/>
      <c r="AD1464" s="21"/>
      <c r="BD1464" s="21"/>
      <c r="DB1464" s="24"/>
      <c r="DD1464" s="21"/>
      <c r="DE1464" s="22"/>
      <c r="DG1464" s="21"/>
      <c r="DL1464" s="22"/>
      <c r="DM1464" s="22"/>
      <c r="DN1464" s="21"/>
      <c r="DO1464" s="21"/>
      <c r="EF1464" s="25"/>
      <c r="EG1464" s="25"/>
      <c r="EY1464" s="20"/>
    </row>
    <row r="1465" spans="1:155">
      <c r="A1465" s="21"/>
      <c r="B1465" s="21"/>
      <c r="AA1465" s="22"/>
      <c r="AB1465" s="22"/>
      <c r="AC1465" s="21"/>
      <c r="AD1465" s="21"/>
      <c r="AY1465" s="22"/>
      <c r="BB1465" s="22"/>
      <c r="BD1465" s="21"/>
      <c r="DB1465" s="24"/>
      <c r="DD1465" s="21"/>
      <c r="DE1465" s="22"/>
      <c r="DG1465" s="21"/>
      <c r="DL1465" s="22"/>
      <c r="DM1465" s="22"/>
      <c r="DN1465" s="21"/>
      <c r="DO1465" s="21"/>
      <c r="EF1465" s="25"/>
      <c r="EG1465" s="25"/>
      <c r="EY1465" s="20"/>
    </row>
    <row r="1466" spans="1:155">
      <c r="A1466" s="21"/>
      <c r="B1466" s="21"/>
      <c r="AA1466" s="22"/>
      <c r="AB1466" s="22"/>
      <c r="AC1466" s="21"/>
      <c r="AD1466" s="21"/>
      <c r="AY1466" s="22"/>
      <c r="BB1466" s="22"/>
      <c r="BD1466" s="21"/>
      <c r="DB1466" s="24"/>
      <c r="DD1466" s="21"/>
      <c r="DE1466" s="22"/>
      <c r="DG1466" s="21"/>
      <c r="DL1466" s="22"/>
      <c r="DM1466" s="22"/>
      <c r="DN1466" s="21"/>
      <c r="DO1466" s="21"/>
      <c r="EF1466" s="25"/>
      <c r="EG1466" s="25"/>
      <c r="EY1466" s="20"/>
    </row>
    <row r="1467" spans="1:155">
      <c r="A1467" s="21"/>
      <c r="B1467" s="21"/>
      <c r="AA1467" s="22"/>
      <c r="AB1467" s="22"/>
      <c r="AC1467" s="21"/>
      <c r="AD1467" s="21"/>
      <c r="BD1467" s="21"/>
      <c r="DB1467" s="24"/>
      <c r="DD1467" s="21"/>
      <c r="DE1467" s="22"/>
      <c r="DG1467" s="21"/>
      <c r="DL1467" s="22"/>
      <c r="DM1467" s="22"/>
      <c r="DN1467" s="21"/>
      <c r="DO1467" s="21"/>
      <c r="EF1467" s="25"/>
      <c r="EG1467" s="25"/>
      <c r="EY1467" s="20"/>
    </row>
    <row r="1468" spans="1:155">
      <c r="A1468" s="21"/>
      <c r="B1468" s="21"/>
      <c r="AA1468" s="22"/>
      <c r="AB1468" s="22"/>
      <c r="AC1468" s="21"/>
      <c r="AD1468" s="21"/>
      <c r="BD1468" s="21"/>
      <c r="DB1468" s="24"/>
      <c r="DD1468" s="21"/>
      <c r="DE1468" s="22"/>
      <c r="DG1468" s="21"/>
      <c r="DL1468" s="22"/>
      <c r="DM1468" s="22"/>
      <c r="DN1468" s="21"/>
      <c r="DO1468" s="21"/>
      <c r="EF1468" s="25"/>
      <c r="EG1468" s="25"/>
      <c r="EY1468" s="20"/>
    </row>
    <row r="1469" spans="1:155">
      <c r="A1469" s="21"/>
      <c r="B1469" s="21"/>
      <c r="AA1469" s="22"/>
      <c r="AB1469" s="22"/>
      <c r="AC1469" s="21"/>
      <c r="AD1469" s="21"/>
      <c r="AY1469" s="22"/>
      <c r="BB1469" s="22"/>
      <c r="BD1469" s="21"/>
      <c r="DB1469" s="24"/>
      <c r="DD1469" s="21"/>
      <c r="DE1469" s="22"/>
      <c r="DG1469" s="21"/>
      <c r="DL1469" s="22"/>
      <c r="DM1469" s="22"/>
      <c r="DN1469" s="21"/>
      <c r="DO1469" s="21"/>
      <c r="EF1469" s="25"/>
      <c r="EG1469" s="25"/>
      <c r="EY1469" s="20"/>
    </row>
    <row r="1470" spans="1:155">
      <c r="A1470" s="21"/>
      <c r="B1470" s="21"/>
      <c r="AA1470" s="22"/>
      <c r="AB1470" s="22"/>
      <c r="AC1470" s="21"/>
      <c r="AD1470" s="21"/>
      <c r="AY1470" s="22"/>
      <c r="BB1470" s="22"/>
      <c r="BD1470" s="21"/>
      <c r="DB1470" s="24"/>
      <c r="DD1470" s="21"/>
      <c r="DE1470" s="22"/>
      <c r="DG1470" s="21"/>
      <c r="DL1470" s="22"/>
      <c r="DM1470" s="22"/>
      <c r="DN1470" s="21"/>
      <c r="DO1470" s="21"/>
      <c r="EF1470" s="25"/>
      <c r="EG1470" s="25"/>
      <c r="EY1470" s="20"/>
    </row>
    <row r="1471" spans="1:155">
      <c r="A1471" s="21"/>
      <c r="B1471" s="21"/>
      <c r="AA1471" s="22"/>
      <c r="AB1471" s="22"/>
      <c r="AC1471" s="21"/>
      <c r="AD1471" s="21"/>
      <c r="AY1471" s="22"/>
      <c r="BB1471" s="22"/>
      <c r="BD1471" s="21"/>
      <c r="DB1471" s="24"/>
      <c r="DD1471" s="21"/>
      <c r="DE1471" s="22"/>
      <c r="DG1471" s="21"/>
      <c r="DL1471" s="22"/>
      <c r="DM1471" s="22"/>
      <c r="DN1471" s="21"/>
      <c r="DO1471" s="21"/>
      <c r="EF1471" s="25"/>
      <c r="EG1471" s="25"/>
      <c r="EY1471" s="20"/>
    </row>
    <row r="1472" spans="1:155">
      <c r="A1472" s="21"/>
      <c r="B1472" s="21"/>
      <c r="AA1472" s="22"/>
      <c r="AB1472" s="22"/>
      <c r="AC1472" s="21"/>
      <c r="AD1472" s="21"/>
      <c r="BD1472" s="21"/>
      <c r="DB1472" s="24"/>
      <c r="DD1472" s="21"/>
      <c r="DE1472" s="22"/>
      <c r="DG1472" s="21"/>
      <c r="DL1472" s="22"/>
      <c r="DM1472" s="22"/>
      <c r="DN1472" s="21"/>
      <c r="DO1472" s="21"/>
      <c r="EF1472" s="25"/>
      <c r="EG1472" s="25"/>
      <c r="EY1472" s="20"/>
    </row>
    <row r="1473" spans="1:155">
      <c r="A1473" s="21"/>
      <c r="B1473" s="21"/>
      <c r="AA1473" s="22"/>
      <c r="AB1473" s="22"/>
      <c r="AC1473" s="21"/>
      <c r="AD1473" s="21"/>
      <c r="AY1473" s="22"/>
      <c r="BB1473" s="22"/>
      <c r="BD1473" s="21"/>
      <c r="DB1473" s="24"/>
      <c r="DD1473" s="21"/>
      <c r="DE1473" s="22"/>
      <c r="DG1473" s="21"/>
      <c r="DL1473" s="22"/>
      <c r="DM1473" s="22"/>
      <c r="DN1473" s="21"/>
      <c r="DO1473" s="21"/>
      <c r="EF1473" s="25"/>
      <c r="EG1473" s="25"/>
      <c r="EY1473" s="20"/>
    </row>
    <row r="1474" spans="1:155">
      <c r="A1474" s="21"/>
      <c r="B1474" s="21"/>
      <c r="AA1474" s="22"/>
      <c r="AB1474" s="22"/>
      <c r="AC1474" s="21"/>
      <c r="AD1474" s="21"/>
      <c r="BD1474" s="21"/>
      <c r="DB1474" s="24"/>
      <c r="DD1474" s="21"/>
      <c r="DE1474" s="22"/>
      <c r="DG1474" s="21"/>
      <c r="DL1474" s="22"/>
      <c r="DM1474" s="22"/>
      <c r="DN1474" s="21"/>
      <c r="DO1474" s="21"/>
      <c r="EF1474" s="25"/>
      <c r="EG1474" s="25"/>
      <c r="EY1474" s="20"/>
    </row>
    <row r="1475" spans="1:155">
      <c r="A1475" s="21"/>
      <c r="B1475" s="21"/>
      <c r="AA1475" s="22"/>
      <c r="AB1475" s="22"/>
      <c r="AC1475" s="21"/>
      <c r="AD1475" s="21"/>
      <c r="AY1475" s="22"/>
      <c r="BB1475" s="22"/>
      <c r="BD1475" s="21"/>
      <c r="DB1475" s="24"/>
      <c r="DD1475" s="21"/>
      <c r="DE1475" s="22"/>
      <c r="DG1475" s="21"/>
      <c r="DL1475" s="22"/>
      <c r="DM1475" s="22"/>
      <c r="DN1475" s="21"/>
      <c r="DO1475" s="21"/>
      <c r="EF1475" s="25"/>
      <c r="EG1475" s="25"/>
      <c r="EY1475" s="20"/>
    </row>
    <row r="1476" spans="1:155">
      <c r="A1476" s="21"/>
      <c r="B1476" s="21"/>
      <c r="AA1476" s="22"/>
      <c r="AB1476" s="22"/>
      <c r="AC1476" s="21"/>
      <c r="AD1476" s="21"/>
      <c r="BD1476" s="21"/>
      <c r="DB1476" s="24"/>
      <c r="DD1476" s="21"/>
      <c r="DE1476" s="22"/>
      <c r="DG1476" s="21"/>
      <c r="DL1476" s="22"/>
      <c r="DM1476" s="22"/>
      <c r="DN1476" s="21"/>
      <c r="DO1476" s="21"/>
      <c r="EF1476" s="25"/>
      <c r="EG1476" s="25"/>
      <c r="EY1476" s="20"/>
    </row>
    <row r="1477" spans="1:155">
      <c r="A1477" s="21"/>
      <c r="B1477" s="21"/>
      <c r="AA1477" s="22"/>
      <c r="AB1477" s="22"/>
      <c r="AC1477" s="21"/>
      <c r="AD1477" s="21"/>
      <c r="AY1477" s="22"/>
      <c r="BB1477" s="22"/>
      <c r="BD1477" s="21"/>
      <c r="DB1477" s="24"/>
      <c r="DD1477" s="21"/>
      <c r="DE1477" s="22"/>
      <c r="DG1477" s="21"/>
      <c r="DL1477" s="22"/>
      <c r="DM1477" s="22"/>
      <c r="DN1477" s="21"/>
      <c r="DO1477" s="21"/>
      <c r="EF1477" s="25"/>
      <c r="EG1477" s="25"/>
      <c r="EY1477" s="20"/>
    </row>
    <row r="1478" spans="1:155">
      <c r="A1478" s="21"/>
      <c r="B1478" s="21"/>
      <c r="AA1478" s="22"/>
      <c r="AB1478" s="22"/>
      <c r="AC1478" s="21"/>
      <c r="AD1478" s="21"/>
      <c r="BD1478" s="21"/>
      <c r="DB1478" s="24"/>
      <c r="DD1478" s="21"/>
      <c r="DE1478" s="22"/>
      <c r="DG1478" s="21"/>
      <c r="DL1478" s="22"/>
      <c r="DM1478" s="22"/>
      <c r="DN1478" s="21"/>
      <c r="DO1478" s="21"/>
      <c r="EF1478" s="25"/>
      <c r="EG1478" s="25"/>
      <c r="EY1478" s="20"/>
    </row>
    <row r="1479" spans="1:155">
      <c r="A1479" s="21"/>
      <c r="B1479" s="21"/>
      <c r="AA1479" s="22"/>
      <c r="AB1479" s="22"/>
      <c r="AC1479" s="21"/>
      <c r="AD1479" s="21"/>
      <c r="BD1479" s="21"/>
      <c r="DB1479" s="24"/>
      <c r="DD1479" s="21"/>
      <c r="DE1479" s="22"/>
      <c r="DG1479" s="21"/>
      <c r="DL1479" s="22"/>
      <c r="DM1479" s="22"/>
      <c r="DN1479" s="21"/>
      <c r="DO1479" s="21"/>
      <c r="EF1479" s="25"/>
      <c r="EG1479" s="25"/>
      <c r="EY1479" s="20"/>
    </row>
    <row r="1480" spans="1:155">
      <c r="A1480" s="21"/>
      <c r="B1480" s="21"/>
      <c r="AA1480" s="22"/>
      <c r="AB1480" s="22"/>
      <c r="AC1480" s="21"/>
      <c r="AD1480" s="21"/>
      <c r="AY1480" s="22"/>
      <c r="BB1480" s="22"/>
      <c r="BD1480" s="21"/>
      <c r="DB1480" s="24"/>
      <c r="DD1480" s="21"/>
      <c r="DE1480" s="22"/>
      <c r="DG1480" s="21"/>
      <c r="DL1480" s="22"/>
      <c r="DM1480" s="22"/>
      <c r="DN1480" s="21"/>
      <c r="DO1480" s="21"/>
      <c r="EF1480" s="25"/>
      <c r="EG1480" s="25"/>
      <c r="EY1480" s="20"/>
    </row>
    <row r="1481" spans="1:155">
      <c r="A1481" s="21"/>
      <c r="B1481" s="21"/>
      <c r="AA1481" s="22"/>
      <c r="AB1481" s="22"/>
      <c r="AC1481" s="21"/>
      <c r="AD1481" s="21"/>
      <c r="AY1481" s="22"/>
      <c r="BB1481" s="22"/>
      <c r="BD1481" s="21"/>
      <c r="DB1481" s="24"/>
      <c r="DD1481" s="21"/>
      <c r="DE1481" s="22"/>
      <c r="DG1481" s="21"/>
      <c r="DL1481" s="22"/>
      <c r="DM1481" s="22"/>
      <c r="DN1481" s="21"/>
      <c r="DO1481" s="21"/>
      <c r="EF1481" s="25"/>
      <c r="EG1481" s="25"/>
      <c r="EY1481" s="20"/>
    </row>
    <row r="1482" spans="1:155">
      <c r="A1482" s="21"/>
      <c r="B1482" s="21"/>
      <c r="AA1482" s="22"/>
      <c r="AB1482" s="22"/>
      <c r="AC1482" s="21"/>
      <c r="AD1482" s="21"/>
      <c r="AY1482" s="22"/>
      <c r="BB1482" s="22"/>
      <c r="BD1482" s="21"/>
      <c r="DB1482" s="24"/>
      <c r="DD1482" s="21"/>
      <c r="DE1482" s="22"/>
      <c r="DG1482" s="21"/>
      <c r="DL1482" s="22"/>
      <c r="DM1482" s="22"/>
      <c r="DN1482" s="21"/>
      <c r="DO1482" s="21"/>
      <c r="EF1482" s="25"/>
      <c r="EG1482" s="25"/>
      <c r="EY1482" s="20"/>
    </row>
    <row r="1483" spans="1:155">
      <c r="A1483" s="21"/>
      <c r="B1483" s="21"/>
      <c r="AA1483" s="22"/>
      <c r="AB1483" s="22"/>
      <c r="AC1483" s="21"/>
      <c r="AD1483" s="21"/>
      <c r="AY1483" s="22"/>
      <c r="BB1483" s="22"/>
      <c r="BD1483" s="21"/>
      <c r="DB1483" s="24"/>
      <c r="DD1483" s="21"/>
      <c r="DE1483" s="22"/>
      <c r="DG1483" s="21"/>
      <c r="DL1483" s="22"/>
      <c r="DM1483" s="22"/>
      <c r="DN1483" s="21"/>
      <c r="DO1483" s="21"/>
      <c r="EF1483" s="25"/>
      <c r="EG1483" s="25"/>
      <c r="EY1483" s="20"/>
    </row>
    <row r="1484" spans="1:155">
      <c r="A1484" s="21"/>
      <c r="B1484" s="21"/>
      <c r="AA1484" s="22"/>
      <c r="AB1484" s="22"/>
      <c r="AC1484" s="21"/>
      <c r="AD1484" s="21"/>
      <c r="AY1484" s="22"/>
      <c r="BB1484" s="22"/>
      <c r="BD1484" s="21"/>
      <c r="DB1484" s="24"/>
      <c r="DD1484" s="21"/>
      <c r="DE1484" s="22"/>
      <c r="DG1484" s="21"/>
      <c r="DL1484" s="22"/>
      <c r="DM1484" s="22"/>
      <c r="DN1484" s="21"/>
      <c r="DO1484" s="21"/>
      <c r="EF1484" s="25"/>
      <c r="EG1484" s="25"/>
      <c r="EY1484" s="20"/>
    </row>
    <row r="1485" spans="1:155">
      <c r="A1485" s="21"/>
      <c r="B1485" s="21"/>
      <c r="AA1485" s="22"/>
      <c r="AB1485" s="22"/>
      <c r="AC1485" s="21"/>
      <c r="AD1485" s="21"/>
      <c r="AY1485" s="22"/>
      <c r="BB1485" s="22"/>
      <c r="BD1485" s="21"/>
      <c r="DB1485" s="24"/>
      <c r="DD1485" s="21"/>
      <c r="DE1485" s="22"/>
      <c r="DG1485" s="21"/>
      <c r="DL1485" s="22"/>
      <c r="DM1485" s="22"/>
      <c r="DN1485" s="21"/>
      <c r="DO1485" s="21"/>
      <c r="EF1485" s="25"/>
      <c r="EG1485" s="25"/>
      <c r="EY1485" s="20"/>
    </row>
    <row r="1486" spans="1:155">
      <c r="A1486" s="21"/>
      <c r="B1486" s="21"/>
      <c r="AA1486" s="22"/>
      <c r="AB1486" s="22"/>
      <c r="AC1486" s="21"/>
      <c r="AD1486" s="21"/>
      <c r="AY1486" s="22"/>
      <c r="BB1486" s="22"/>
      <c r="BD1486" s="21"/>
      <c r="DB1486" s="24"/>
      <c r="DD1486" s="21"/>
      <c r="DE1486" s="22"/>
      <c r="DG1486" s="21"/>
      <c r="DL1486" s="22"/>
      <c r="DM1486" s="22"/>
      <c r="DN1486" s="21"/>
      <c r="DO1486" s="21"/>
      <c r="EF1486" s="25"/>
      <c r="EG1486" s="25"/>
      <c r="EY1486" s="20"/>
    </row>
    <row r="1487" spans="1:155">
      <c r="A1487" s="21"/>
      <c r="B1487" s="21"/>
      <c r="AA1487" s="22"/>
      <c r="AB1487" s="22"/>
      <c r="AC1487" s="21"/>
      <c r="AD1487" s="21"/>
      <c r="BD1487" s="21"/>
      <c r="DB1487" s="24"/>
      <c r="DD1487" s="21"/>
      <c r="DE1487" s="22"/>
      <c r="DG1487" s="21"/>
      <c r="DL1487" s="22"/>
      <c r="DM1487" s="22"/>
      <c r="DN1487" s="21"/>
      <c r="DO1487" s="21"/>
      <c r="EF1487" s="25"/>
      <c r="EG1487" s="25"/>
      <c r="EY1487" s="20"/>
    </row>
    <row r="1488" spans="1:155">
      <c r="A1488" s="21"/>
      <c r="B1488" s="21"/>
      <c r="AA1488" s="22"/>
      <c r="AB1488" s="22"/>
      <c r="AC1488" s="21"/>
      <c r="AD1488" s="21"/>
      <c r="AY1488" s="22"/>
      <c r="BB1488" s="22"/>
      <c r="BD1488" s="21"/>
      <c r="DB1488" s="24"/>
      <c r="DD1488" s="21"/>
      <c r="DE1488" s="22"/>
      <c r="DG1488" s="21"/>
      <c r="DL1488" s="22"/>
      <c r="DM1488" s="22"/>
      <c r="DN1488" s="21"/>
      <c r="DO1488" s="21"/>
      <c r="EF1488" s="25"/>
      <c r="EG1488" s="25"/>
      <c r="EY1488" s="20"/>
    </row>
    <row r="1489" spans="1:155">
      <c r="A1489" s="21"/>
      <c r="B1489" s="21"/>
      <c r="AA1489" s="22"/>
      <c r="AB1489" s="22"/>
      <c r="AC1489" s="21"/>
      <c r="AD1489" s="21"/>
      <c r="BD1489" s="21"/>
      <c r="DB1489" s="24"/>
      <c r="DD1489" s="21"/>
      <c r="DE1489" s="22"/>
      <c r="DG1489" s="21"/>
      <c r="DL1489" s="22"/>
      <c r="DM1489" s="22"/>
      <c r="DN1489" s="21"/>
      <c r="DO1489" s="21"/>
      <c r="EF1489" s="25"/>
      <c r="EG1489" s="25"/>
      <c r="EY1489" s="20"/>
    </row>
    <row r="1490" spans="1:155">
      <c r="A1490" s="21"/>
      <c r="B1490" s="21"/>
      <c r="AA1490" s="22"/>
      <c r="AB1490" s="22"/>
      <c r="AC1490" s="21"/>
      <c r="AD1490" s="21"/>
      <c r="AY1490" s="22"/>
      <c r="BB1490" s="22"/>
      <c r="BD1490" s="21"/>
      <c r="DB1490" s="24"/>
      <c r="DD1490" s="21"/>
      <c r="DE1490" s="22"/>
      <c r="DG1490" s="21"/>
      <c r="DL1490" s="22"/>
      <c r="DM1490" s="22"/>
      <c r="DN1490" s="21"/>
      <c r="DO1490" s="21"/>
      <c r="EF1490" s="25"/>
      <c r="EG1490" s="25"/>
      <c r="EY1490" s="20"/>
    </row>
    <row r="1491" spans="1:155">
      <c r="A1491" s="21"/>
      <c r="B1491" s="21"/>
      <c r="AA1491" s="22"/>
      <c r="AB1491" s="22"/>
      <c r="AC1491" s="21"/>
      <c r="AD1491" s="21"/>
      <c r="BD1491" s="21"/>
      <c r="DB1491" s="24"/>
      <c r="DD1491" s="21"/>
      <c r="DE1491" s="22"/>
      <c r="DG1491" s="21"/>
      <c r="DL1491" s="22"/>
      <c r="DM1491" s="22"/>
      <c r="DN1491" s="21"/>
      <c r="DO1491" s="21"/>
      <c r="EF1491" s="25"/>
      <c r="EG1491" s="25"/>
      <c r="EY1491" s="20"/>
    </row>
    <row r="1492" spans="1:155">
      <c r="A1492" s="21"/>
      <c r="B1492" s="21"/>
      <c r="AA1492" s="22"/>
      <c r="AB1492" s="22"/>
      <c r="AC1492" s="21"/>
      <c r="AD1492" s="21"/>
      <c r="AY1492" s="22"/>
      <c r="BB1492" s="22"/>
      <c r="BD1492" s="21"/>
      <c r="DB1492" s="24"/>
      <c r="DD1492" s="21"/>
      <c r="DE1492" s="22"/>
      <c r="DG1492" s="21"/>
      <c r="DL1492" s="22"/>
      <c r="DM1492" s="22"/>
      <c r="DN1492" s="21"/>
      <c r="DO1492" s="21"/>
      <c r="EF1492" s="25"/>
      <c r="EG1492" s="25"/>
      <c r="EY1492" s="20"/>
    </row>
    <row r="1493" spans="1:155">
      <c r="A1493" s="21"/>
      <c r="B1493" s="21"/>
      <c r="AA1493" s="22"/>
      <c r="AB1493" s="22"/>
      <c r="AC1493" s="21"/>
      <c r="AD1493" s="21"/>
      <c r="BD1493" s="21"/>
      <c r="DB1493" s="24"/>
      <c r="DD1493" s="21"/>
      <c r="DE1493" s="22"/>
      <c r="DG1493" s="21"/>
      <c r="DL1493" s="22"/>
      <c r="DM1493" s="22"/>
      <c r="DN1493" s="21"/>
      <c r="DO1493" s="21"/>
      <c r="EF1493" s="25"/>
      <c r="EG1493" s="25"/>
      <c r="EY1493" s="20"/>
    </row>
    <row r="1494" spans="1:155">
      <c r="A1494" s="21"/>
      <c r="B1494" s="21"/>
      <c r="AA1494" s="22"/>
      <c r="AB1494" s="22"/>
      <c r="AC1494" s="21"/>
      <c r="AD1494" s="21"/>
      <c r="BD1494" s="21"/>
      <c r="DB1494" s="24"/>
      <c r="DD1494" s="21"/>
      <c r="DE1494" s="22"/>
      <c r="DG1494" s="21"/>
      <c r="DL1494" s="22"/>
      <c r="DM1494" s="22"/>
      <c r="DN1494" s="21"/>
      <c r="DO1494" s="21"/>
      <c r="EF1494" s="25"/>
      <c r="EG1494" s="25"/>
      <c r="EY1494" s="20"/>
    </row>
    <row r="1495" spans="1:155">
      <c r="A1495" s="21"/>
      <c r="B1495" s="21"/>
      <c r="AA1495" s="22"/>
      <c r="AB1495" s="22"/>
      <c r="AC1495" s="21"/>
      <c r="AD1495" s="21"/>
      <c r="BD1495" s="21"/>
      <c r="DB1495" s="24"/>
      <c r="DD1495" s="21"/>
      <c r="DE1495" s="22"/>
      <c r="DG1495" s="21"/>
      <c r="DL1495" s="22"/>
      <c r="DM1495" s="22"/>
      <c r="DN1495" s="21"/>
      <c r="DO1495" s="21"/>
      <c r="EF1495" s="25"/>
      <c r="EG1495" s="25"/>
      <c r="EY1495" s="20"/>
    </row>
    <row r="1496" spans="1:155">
      <c r="A1496" s="21"/>
      <c r="B1496" s="21"/>
      <c r="AA1496" s="22"/>
      <c r="AB1496" s="22"/>
      <c r="AC1496" s="21"/>
      <c r="AD1496" s="21"/>
      <c r="BD1496" s="21"/>
      <c r="DB1496" s="24"/>
      <c r="DD1496" s="21"/>
      <c r="DE1496" s="22"/>
      <c r="DG1496" s="21"/>
      <c r="DL1496" s="22"/>
      <c r="DM1496" s="22"/>
      <c r="DN1496" s="21"/>
      <c r="DO1496" s="21"/>
      <c r="EF1496" s="25"/>
      <c r="EG1496" s="25"/>
      <c r="EY1496" s="20"/>
    </row>
    <row r="1497" spans="1:155">
      <c r="A1497" s="21"/>
      <c r="B1497" s="21"/>
      <c r="AA1497" s="22"/>
      <c r="AB1497" s="22"/>
      <c r="AC1497" s="21"/>
      <c r="AD1497" s="21"/>
      <c r="AY1497" s="22"/>
      <c r="BB1497" s="22"/>
      <c r="BD1497" s="21"/>
      <c r="DB1497" s="24"/>
      <c r="DD1497" s="21"/>
      <c r="DE1497" s="22"/>
      <c r="DG1497" s="21"/>
      <c r="DL1497" s="22"/>
      <c r="DM1497" s="22"/>
      <c r="DN1497" s="21"/>
      <c r="DO1497" s="21"/>
      <c r="EF1497" s="25"/>
      <c r="EG1497" s="25"/>
      <c r="EY1497" s="20"/>
    </row>
    <row r="1498" spans="1:155">
      <c r="A1498" s="21"/>
      <c r="B1498" s="21"/>
      <c r="AA1498" s="22"/>
      <c r="AB1498" s="22"/>
      <c r="AC1498" s="21"/>
      <c r="AD1498" s="21"/>
      <c r="AY1498" s="22"/>
      <c r="BB1498" s="22"/>
      <c r="BD1498" s="21"/>
      <c r="DB1498" s="24"/>
      <c r="DD1498" s="21"/>
      <c r="DE1498" s="22"/>
      <c r="DG1498" s="21"/>
      <c r="DL1498" s="22"/>
      <c r="DM1498" s="22"/>
      <c r="DN1498" s="21"/>
      <c r="DO1498" s="21"/>
      <c r="EF1498" s="25"/>
      <c r="EG1498" s="25"/>
      <c r="EY1498" s="20"/>
    </row>
    <row r="1499" spans="1:155">
      <c r="A1499" s="21"/>
      <c r="B1499" s="21"/>
      <c r="AA1499" s="22"/>
      <c r="AB1499" s="22"/>
      <c r="AC1499" s="21"/>
      <c r="AD1499" s="21"/>
      <c r="BD1499" s="21"/>
      <c r="DB1499" s="24"/>
      <c r="DD1499" s="21"/>
      <c r="DE1499" s="22"/>
      <c r="DG1499" s="21"/>
      <c r="DL1499" s="22"/>
      <c r="DM1499" s="22"/>
      <c r="DN1499" s="21"/>
      <c r="DO1499" s="21"/>
      <c r="EF1499" s="25"/>
      <c r="EG1499" s="25"/>
      <c r="EY1499" s="20"/>
    </row>
    <row r="1500" spans="1:155">
      <c r="A1500" s="21"/>
      <c r="B1500" s="21"/>
      <c r="AA1500" s="22"/>
      <c r="AB1500" s="22"/>
      <c r="AC1500" s="21"/>
      <c r="AD1500" s="21"/>
      <c r="AY1500" s="22"/>
      <c r="BB1500" s="22"/>
      <c r="BD1500" s="21"/>
      <c r="DB1500" s="24"/>
      <c r="DD1500" s="21"/>
      <c r="DE1500" s="22"/>
      <c r="DG1500" s="21"/>
      <c r="DL1500" s="22"/>
      <c r="DM1500" s="22"/>
      <c r="DN1500" s="21"/>
      <c r="DO1500" s="21"/>
      <c r="EF1500" s="25"/>
      <c r="EG1500" s="25"/>
      <c r="EY1500" s="20"/>
    </row>
    <row r="1501" spans="1:155">
      <c r="A1501" s="21"/>
      <c r="B1501" s="21"/>
      <c r="AA1501" s="22"/>
      <c r="AB1501" s="22"/>
      <c r="AC1501" s="21"/>
      <c r="AD1501" s="21"/>
      <c r="AY1501" s="22"/>
      <c r="BB1501" s="22"/>
      <c r="BD1501" s="21"/>
      <c r="DB1501" s="24"/>
      <c r="DD1501" s="21"/>
      <c r="DE1501" s="22"/>
      <c r="DG1501" s="21"/>
      <c r="DL1501" s="22"/>
      <c r="DM1501" s="22"/>
      <c r="DN1501" s="21"/>
      <c r="DO1501" s="21"/>
      <c r="EF1501" s="25"/>
      <c r="EG1501" s="25"/>
      <c r="EY1501" s="20"/>
    </row>
    <row r="1502" spans="1:155">
      <c r="A1502" s="21"/>
      <c r="B1502" s="21"/>
      <c r="AA1502" s="22"/>
      <c r="AB1502" s="22"/>
      <c r="AC1502" s="21"/>
      <c r="AD1502" s="21"/>
      <c r="BD1502" s="21"/>
      <c r="DB1502" s="24"/>
      <c r="DD1502" s="21"/>
      <c r="DE1502" s="22"/>
      <c r="DG1502" s="21"/>
      <c r="DL1502" s="22"/>
      <c r="DM1502" s="22"/>
      <c r="DN1502" s="21"/>
      <c r="DO1502" s="21"/>
      <c r="EF1502" s="25"/>
      <c r="EG1502" s="25"/>
      <c r="EY1502" s="20"/>
    </row>
    <row r="1503" spans="1:155">
      <c r="A1503" s="21"/>
      <c r="B1503" s="21"/>
      <c r="AA1503" s="22"/>
      <c r="AB1503" s="22"/>
      <c r="AC1503" s="21"/>
      <c r="AD1503" s="21"/>
      <c r="BD1503" s="21"/>
      <c r="DB1503" s="24"/>
      <c r="DD1503" s="21"/>
      <c r="DE1503" s="22"/>
      <c r="DG1503" s="21"/>
      <c r="DL1503" s="22"/>
      <c r="DM1503" s="22"/>
      <c r="DN1503" s="21"/>
      <c r="DO1503" s="21"/>
      <c r="EF1503" s="25"/>
      <c r="EG1503" s="25"/>
      <c r="EY1503" s="20"/>
    </row>
    <row r="1504" spans="1:155">
      <c r="A1504" s="21"/>
      <c r="B1504" s="21"/>
      <c r="AA1504" s="22"/>
      <c r="AB1504" s="22"/>
      <c r="AC1504" s="21"/>
      <c r="AD1504" s="21"/>
      <c r="BD1504" s="21"/>
      <c r="DB1504" s="24"/>
      <c r="DD1504" s="21"/>
      <c r="DE1504" s="22"/>
      <c r="DG1504" s="21"/>
      <c r="DL1504" s="22"/>
      <c r="DM1504" s="22"/>
      <c r="DN1504" s="21"/>
      <c r="DO1504" s="21"/>
      <c r="EF1504" s="25"/>
      <c r="EG1504" s="25"/>
      <c r="EY1504" s="20"/>
    </row>
    <row r="1505" spans="1:155">
      <c r="A1505" s="21"/>
      <c r="B1505" s="21"/>
      <c r="AA1505" s="22"/>
      <c r="AB1505" s="22"/>
      <c r="AC1505" s="21"/>
      <c r="AD1505" s="21"/>
      <c r="BD1505" s="21"/>
      <c r="DB1505" s="24"/>
      <c r="DD1505" s="21"/>
      <c r="DE1505" s="22"/>
      <c r="DG1505" s="21"/>
      <c r="DL1505" s="22"/>
      <c r="DM1505" s="22"/>
      <c r="DN1505" s="21"/>
      <c r="DO1505" s="21"/>
      <c r="EF1505" s="25"/>
      <c r="EG1505" s="25"/>
      <c r="EY1505" s="20"/>
    </row>
    <row r="1506" spans="1:155">
      <c r="A1506" s="21"/>
      <c r="B1506" s="21"/>
      <c r="AA1506" s="22"/>
      <c r="AB1506" s="22"/>
      <c r="AC1506" s="21"/>
      <c r="AD1506" s="21"/>
      <c r="BD1506" s="21"/>
      <c r="DB1506" s="24"/>
      <c r="DD1506" s="21"/>
      <c r="DE1506" s="22"/>
      <c r="DG1506" s="21"/>
      <c r="DL1506" s="22"/>
      <c r="DM1506" s="22"/>
      <c r="DN1506" s="21"/>
      <c r="DO1506" s="21"/>
      <c r="EF1506" s="25"/>
      <c r="EG1506" s="25"/>
      <c r="EY1506" s="20"/>
    </row>
    <row r="1507" spans="1:155">
      <c r="A1507" s="21"/>
      <c r="B1507" s="21"/>
      <c r="AA1507" s="22"/>
      <c r="AB1507" s="22"/>
      <c r="AC1507" s="21"/>
      <c r="AD1507" s="21"/>
      <c r="BD1507" s="21"/>
      <c r="DB1507" s="24"/>
      <c r="DD1507" s="21"/>
      <c r="DE1507" s="22"/>
      <c r="DG1507" s="21"/>
      <c r="DL1507" s="22"/>
      <c r="DM1507" s="22"/>
      <c r="DN1507" s="21"/>
      <c r="DO1507" s="21"/>
      <c r="EF1507" s="25"/>
      <c r="EG1507" s="25"/>
      <c r="EY1507" s="20"/>
    </row>
    <row r="1508" spans="1:155">
      <c r="A1508" s="21"/>
      <c r="B1508" s="21"/>
      <c r="AA1508" s="22"/>
      <c r="AB1508" s="22"/>
      <c r="AC1508" s="21"/>
      <c r="AD1508" s="21"/>
      <c r="AY1508" s="22"/>
      <c r="BB1508" s="22"/>
      <c r="BD1508" s="21"/>
      <c r="DB1508" s="24"/>
      <c r="DD1508" s="21"/>
      <c r="DE1508" s="22"/>
      <c r="DG1508" s="21"/>
      <c r="DL1508" s="22"/>
      <c r="DM1508" s="22"/>
      <c r="DN1508" s="21"/>
      <c r="DO1508" s="21"/>
      <c r="EF1508" s="25"/>
      <c r="EG1508" s="25"/>
      <c r="EY1508" s="20"/>
    </row>
    <row r="1509" spans="1:155">
      <c r="A1509" s="21"/>
      <c r="B1509" s="21"/>
      <c r="AA1509" s="22"/>
      <c r="AB1509" s="22"/>
      <c r="AC1509" s="21"/>
      <c r="AD1509" s="21"/>
      <c r="BD1509" s="21"/>
      <c r="DB1509" s="24"/>
      <c r="DD1509" s="21"/>
      <c r="DE1509" s="22"/>
      <c r="DG1509" s="21"/>
      <c r="DL1509" s="22"/>
      <c r="DM1509" s="22"/>
      <c r="DN1509" s="21"/>
      <c r="DO1509" s="21"/>
      <c r="EF1509" s="25"/>
      <c r="EG1509" s="25"/>
      <c r="EY1509" s="20"/>
    </row>
    <row r="1510" spans="1:155">
      <c r="A1510" s="21"/>
      <c r="B1510" s="21"/>
      <c r="AA1510" s="22"/>
      <c r="AB1510" s="22"/>
      <c r="AC1510" s="21"/>
      <c r="AD1510" s="21"/>
      <c r="BD1510" s="21"/>
      <c r="DB1510" s="24"/>
      <c r="DD1510" s="21"/>
      <c r="DE1510" s="22"/>
      <c r="DG1510" s="21"/>
      <c r="DL1510" s="22"/>
      <c r="DM1510" s="22"/>
      <c r="DN1510" s="21"/>
      <c r="DO1510" s="21"/>
      <c r="EF1510" s="25"/>
      <c r="EG1510" s="25"/>
      <c r="EY1510" s="20"/>
    </row>
    <row r="1511" spans="1:155">
      <c r="A1511" s="21"/>
      <c r="B1511" s="21"/>
      <c r="AA1511" s="22"/>
      <c r="AB1511" s="22"/>
      <c r="AC1511" s="21"/>
      <c r="AD1511" s="21"/>
      <c r="BD1511" s="21"/>
      <c r="DB1511" s="24"/>
      <c r="DD1511" s="21"/>
      <c r="DE1511" s="22"/>
      <c r="DG1511" s="21"/>
      <c r="DL1511" s="22"/>
      <c r="DM1511" s="22"/>
      <c r="DN1511" s="21"/>
      <c r="DO1511" s="21"/>
      <c r="EF1511" s="25"/>
      <c r="EG1511" s="25"/>
      <c r="EY1511" s="20"/>
    </row>
    <row r="1512" spans="1:155">
      <c r="A1512" s="21"/>
      <c r="B1512" s="21"/>
      <c r="AA1512" s="22"/>
      <c r="AB1512" s="22"/>
      <c r="AC1512" s="21"/>
      <c r="AD1512" s="21"/>
      <c r="AY1512" s="22"/>
      <c r="BB1512" s="22"/>
      <c r="BD1512" s="21"/>
      <c r="DB1512" s="24"/>
      <c r="DD1512" s="21"/>
      <c r="DE1512" s="22"/>
      <c r="DG1512" s="21"/>
      <c r="DL1512" s="22"/>
      <c r="DM1512" s="22"/>
      <c r="DN1512" s="21"/>
      <c r="DO1512" s="21"/>
      <c r="EF1512" s="25"/>
      <c r="EG1512" s="25"/>
      <c r="EY1512" s="20"/>
    </row>
    <row r="1513" spans="1:155">
      <c r="A1513" s="21"/>
      <c r="B1513" s="21"/>
      <c r="AA1513" s="22"/>
      <c r="AB1513" s="22"/>
      <c r="AC1513" s="21"/>
      <c r="AD1513" s="21"/>
      <c r="BD1513" s="21"/>
      <c r="DB1513" s="24"/>
      <c r="DD1513" s="21"/>
      <c r="DE1513" s="22"/>
      <c r="DG1513" s="21"/>
      <c r="DL1513" s="22"/>
      <c r="DM1513" s="22"/>
      <c r="DN1513" s="21"/>
      <c r="DO1513" s="21"/>
      <c r="EF1513" s="25"/>
      <c r="EG1513" s="25"/>
      <c r="EY1513" s="20"/>
    </row>
    <row r="1514" spans="1:155">
      <c r="A1514" s="21"/>
      <c r="B1514" s="21"/>
      <c r="AA1514" s="22"/>
      <c r="AB1514" s="22"/>
      <c r="AC1514" s="21"/>
      <c r="AD1514" s="21"/>
      <c r="BD1514" s="21"/>
      <c r="DB1514" s="24"/>
      <c r="DD1514" s="21"/>
      <c r="DE1514" s="22"/>
      <c r="DG1514" s="21"/>
      <c r="DL1514" s="22"/>
      <c r="DM1514" s="22"/>
      <c r="DN1514" s="21"/>
      <c r="DO1514" s="21"/>
      <c r="EF1514" s="25"/>
      <c r="EG1514" s="25"/>
      <c r="EY1514" s="20"/>
    </row>
    <row r="1515" spans="1:155">
      <c r="A1515" s="21"/>
      <c r="B1515" s="21"/>
      <c r="AA1515" s="22"/>
      <c r="AB1515" s="22"/>
      <c r="AC1515" s="21"/>
      <c r="AD1515" s="21"/>
      <c r="AY1515" s="22"/>
      <c r="BB1515" s="22"/>
      <c r="BD1515" s="21"/>
      <c r="DB1515" s="24"/>
      <c r="DD1515" s="21"/>
      <c r="DE1515" s="22"/>
      <c r="DG1515" s="21"/>
      <c r="DL1515" s="22"/>
      <c r="DM1515" s="22"/>
      <c r="DN1515" s="21"/>
      <c r="DO1515" s="21"/>
      <c r="EF1515" s="25"/>
      <c r="EG1515" s="25"/>
      <c r="EY1515" s="20"/>
    </row>
    <row r="1516" spans="1:155">
      <c r="A1516" s="21"/>
      <c r="B1516" s="21"/>
      <c r="AA1516" s="22"/>
      <c r="AB1516" s="22"/>
      <c r="AC1516" s="21"/>
      <c r="AD1516" s="21"/>
      <c r="AY1516" s="22"/>
      <c r="BB1516" s="22"/>
      <c r="BD1516" s="21"/>
      <c r="DB1516" s="24"/>
      <c r="DD1516" s="21"/>
      <c r="DE1516" s="22"/>
      <c r="DG1516" s="21"/>
      <c r="DL1516" s="22"/>
      <c r="DM1516" s="22"/>
      <c r="DN1516" s="21"/>
      <c r="DO1516" s="21"/>
      <c r="EF1516" s="25"/>
      <c r="EG1516" s="25"/>
      <c r="EY1516" s="20"/>
    </row>
    <row r="1517" spans="1:155">
      <c r="A1517" s="21"/>
      <c r="B1517" s="21"/>
      <c r="AA1517" s="22"/>
      <c r="AB1517" s="22"/>
      <c r="AC1517" s="21"/>
      <c r="AD1517" s="21"/>
      <c r="BD1517" s="21"/>
      <c r="DB1517" s="24"/>
      <c r="DD1517" s="21"/>
      <c r="DE1517" s="22"/>
      <c r="DG1517" s="21"/>
      <c r="DL1517" s="22"/>
      <c r="DM1517" s="22"/>
      <c r="DN1517" s="21"/>
      <c r="DO1517" s="21"/>
      <c r="EF1517" s="25"/>
      <c r="EG1517" s="25"/>
      <c r="EY1517" s="20"/>
    </row>
    <row r="1518" spans="1:155">
      <c r="A1518" s="21"/>
      <c r="B1518" s="21"/>
      <c r="AA1518" s="22"/>
      <c r="AB1518" s="22"/>
      <c r="AC1518" s="21"/>
      <c r="AD1518" s="21"/>
      <c r="BD1518" s="21"/>
      <c r="DB1518" s="24"/>
      <c r="DD1518" s="21"/>
      <c r="DE1518" s="22"/>
      <c r="DG1518" s="21"/>
      <c r="DL1518" s="22"/>
      <c r="DM1518" s="22"/>
      <c r="DN1518" s="21"/>
      <c r="DO1518" s="21"/>
      <c r="EF1518" s="25"/>
      <c r="EG1518" s="25"/>
      <c r="EY1518" s="20"/>
    </row>
    <row r="1519" spans="1:155">
      <c r="A1519" s="21"/>
      <c r="B1519" s="21"/>
      <c r="AA1519" s="22"/>
      <c r="AB1519" s="22"/>
      <c r="AC1519" s="21"/>
      <c r="AD1519" s="21"/>
      <c r="BD1519" s="21"/>
      <c r="DB1519" s="24"/>
      <c r="DD1519" s="21"/>
      <c r="DE1519" s="22"/>
      <c r="DG1519" s="21"/>
      <c r="DL1519" s="22"/>
      <c r="DM1519" s="22"/>
      <c r="DN1519" s="21"/>
      <c r="DO1519" s="21"/>
      <c r="EF1519" s="25"/>
      <c r="EG1519" s="25"/>
      <c r="EY1519" s="20"/>
    </row>
    <row r="1520" spans="1:155">
      <c r="A1520" s="21"/>
      <c r="B1520" s="21"/>
      <c r="AA1520" s="22"/>
      <c r="AB1520" s="22"/>
      <c r="AC1520" s="21"/>
      <c r="AD1520" s="21"/>
      <c r="BD1520" s="21"/>
      <c r="DB1520" s="24"/>
      <c r="DD1520" s="21"/>
      <c r="DE1520" s="22"/>
      <c r="DG1520" s="21"/>
      <c r="DL1520" s="22"/>
      <c r="DM1520" s="22"/>
      <c r="DN1520" s="21"/>
      <c r="DO1520" s="21"/>
      <c r="EF1520" s="25"/>
      <c r="EG1520" s="25"/>
      <c r="EY1520" s="20"/>
    </row>
    <row r="1521" spans="1:155">
      <c r="A1521" s="21"/>
      <c r="B1521" s="21"/>
      <c r="AA1521" s="22"/>
      <c r="AB1521" s="22"/>
      <c r="AC1521" s="21"/>
      <c r="AD1521" s="21"/>
      <c r="AY1521" s="22"/>
      <c r="BB1521" s="22"/>
      <c r="BD1521" s="21"/>
      <c r="DB1521" s="24"/>
      <c r="DD1521" s="21"/>
      <c r="DE1521" s="22"/>
      <c r="DG1521" s="21"/>
      <c r="DL1521" s="22"/>
      <c r="DM1521" s="22"/>
      <c r="DN1521" s="21"/>
      <c r="DO1521" s="21"/>
      <c r="EF1521" s="25"/>
      <c r="EG1521" s="25"/>
      <c r="EY1521" s="20"/>
    </row>
    <row r="1522" spans="1:155">
      <c r="A1522" s="21"/>
      <c r="B1522" s="21"/>
      <c r="AA1522" s="22"/>
      <c r="AB1522" s="22"/>
      <c r="AC1522" s="21"/>
      <c r="AD1522" s="21"/>
      <c r="AY1522" s="22"/>
      <c r="BB1522" s="22"/>
      <c r="BD1522" s="21"/>
      <c r="DB1522" s="24"/>
      <c r="DD1522" s="21"/>
      <c r="DE1522" s="22"/>
      <c r="DG1522" s="21"/>
      <c r="DL1522" s="22"/>
      <c r="DM1522" s="22"/>
      <c r="DN1522" s="21"/>
      <c r="DO1522" s="21"/>
      <c r="EF1522" s="25"/>
      <c r="EG1522" s="25"/>
      <c r="EY1522" s="20"/>
    </row>
    <row r="1523" spans="1:155">
      <c r="A1523" s="21"/>
      <c r="B1523" s="21"/>
      <c r="AA1523" s="22"/>
      <c r="AB1523" s="22"/>
      <c r="AC1523" s="21"/>
      <c r="AD1523" s="21"/>
      <c r="AY1523" s="22"/>
      <c r="BB1523" s="22"/>
      <c r="BD1523" s="21"/>
      <c r="DB1523" s="24"/>
      <c r="DD1523" s="21"/>
      <c r="DE1523" s="22"/>
      <c r="DG1523" s="21"/>
      <c r="DL1523" s="22"/>
      <c r="DM1523" s="22"/>
      <c r="DN1523" s="21"/>
      <c r="DO1523" s="21"/>
      <c r="EF1523" s="25"/>
      <c r="EG1523" s="25"/>
      <c r="EY1523" s="20"/>
    </row>
    <row r="1524" spans="1:155">
      <c r="A1524" s="21"/>
      <c r="B1524" s="21"/>
      <c r="AA1524" s="22"/>
      <c r="AB1524" s="22"/>
      <c r="AC1524" s="21"/>
      <c r="AD1524" s="21"/>
      <c r="AY1524" s="22"/>
      <c r="BB1524" s="22"/>
      <c r="BD1524" s="21"/>
      <c r="DB1524" s="24"/>
      <c r="DD1524" s="21"/>
      <c r="DE1524" s="22"/>
      <c r="DG1524" s="21"/>
      <c r="DL1524" s="22"/>
      <c r="DM1524" s="22"/>
      <c r="DN1524" s="21"/>
      <c r="DO1524" s="21"/>
      <c r="EF1524" s="25"/>
      <c r="EG1524" s="25"/>
      <c r="EY1524" s="20"/>
    </row>
    <row r="1525" spans="1:155">
      <c r="A1525" s="21"/>
      <c r="B1525" s="21"/>
      <c r="AA1525" s="22"/>
      <c r="AB1525" s="22"/>
      <c r="AC1525" s="21"/>
      <c r="AD1525" s="21"/>
      <c r="AY1525" s="22"/>
      <c r="BB1525" s="22"/>
      <c r="BD1525" s="21"/>
      <c r="DB1525" s="24"/>
      <c r="DD1525" s="21"/>
      <c r="DE1525" s="22"/>
      <c r="DG1525" s="21"/>
      <c r="DL1525" s="22"/>
      <c r="DM1525" s="22"/>
      <c r="DN1525" s="21"/>
      <c r="DO1525" s="21"/>
      <c r="EF1525" s="25"/>
      <c r="EG1525" s="25"/>
      <c r="EY1525" s="20"/>
    </row>
    <row r="1526" spans="1:155">
      <c r="A1526" s="21"/>
      <c r="B1526" s="21"/>
      <c r="AA1526" s="22"/>
      <c r="AB1526" s="22"/>
      <c r="AC1526" s="21"/>
      <c r="AD1526" s="21"/>
      <c r="BD1526" s="21"/>
      <c r="DB1526" s="24"/>
      <c r="DD1526" s="21"/>
      <c r="DE1526" s="22"/>
      <c r="DG1526" s="21"/>
      <c r="DL1526" s="22"/>
      <c r="DM1526" s="22"/>
      <c r="DN1526" s="21"/>
      <c r="DO1526" s="21"/>
      <c r="EF1526" s="25"/>
      <c r="EG1526" s="25"/>
      <c r="EY1526" s="20"/>
    </row>
    <row r="1527" spans="1:155">
      <c r="A1527" s="21"/>
      <c r="B1527" s="21"/>
      <c r="AA1527" s="22"/>
      <c r="AB1527" s="22"/>
      <c r="AC1527" s="21"/>
      <c r="AD1527" s="21"/>
      <c r="AY1527" s="22"/>
      <c r="BB1527" s="22"/>
      <c r="BD1527" s="21"/>
      <c r="DB1527" s="24"/>
      <c r="DD1527" s="21"/>
      <c r="DE1527" s="22"/>
      <c r="DG1527" s="21"/>
      <c r="DL1527" s="22"/>
      <c r="DM1527" s="22"/>
      <c r="DN1527" s="21"/>
      <c r="DO1527" s="21"/>
      <c r="EF1527" s="25"/>
      <c r="EG1527" s="25"/>
      <c r="EY1527" s="20"/>
    </row>
    <row r="1528" spans="1:155">
      <c r="A1528" s="21"/>
      <c r="B1528" s="21"/>
      <c r="AA1528" s="22"/>
      <c r="AB1528" s="22"/>
      <c r="AC1528" s="21"/>
      <c r="AD1528" s="21"/>
      <c r="BD1528" s="21"/>
      <c r="CN1528" s="22"/>
      <c r="DB1528" s="24"/>
      <c r="DD1528" s="21"/>
      <c r="DE1528" s="22"/>
      <c r="DG1528" s="21"/>
      <c r="DL1528" s="22"/>
      <c r="DM1528" s="22"/>
      <c r="DN1528" s="21"/>
      <c r="DO1528" s="21"/>
      <c r="EF1528" s="25"/>
      <c r="EG1528" s="25"/>
      <c r="EY1528" s="20"/>
    </row>
    <row r="1529" spans="1:155">
      <c r="A1529" s="21"/>
      <c r="B1529" s="21"/>
      <c r="AA1529" s="22"/>
      <c r="AB1529" s="22"/>
      <c r="AC1529" s="21"/>
      <c r="AD1529" s="21"/>
      <c r="AY1529" s="22"/>
      <c r="BB1529" s="22"/>
      <c r="BD1529" s="21"/>
      <c r="DB1529" s="24"/>
      <c r="DD1529" s="21"/>
      <c r="DE1529" s="22"/>
      <c r="DG1529" s="21"/>
      <c r="DL1529" s="22"/>
      <c r="DM1529" s="22"/>
      <c r="DN1529" s="21"/>
      <c r="DO1529" s="21"/>
      <c r="EF1529" s="25"/>
      <c r="EG1529" s="25"/>
      <c r="EY1529" s="20"/>
    </row>
    <row r="1530" spans="1:155">
      <c r="A1530" s="21"/>
      <c r="B1530" s="21"/>
      <c r="AA1530" s="22"/>
      <c r="AB1530" s="22"/>
      <c r="AC1530" s="21"/>
      <c r="AD1530" s="21"/>
      <c r="BD1530" s="21"/>
      <c r="DB1530" s="24"/>
      <c r="DD1530" s="21"/>
      <c r="DE1530" s="22"/>
      <c r="DG1530" s="21"/>
      <c r="DL1530" s="22"/>
      <c r="DM1530" s="22"/>
      <c r="DN1530" s="21"/>
      <c r="DO1530" s="21"/>
      <c r="EF1530" s="25"/>
      <c r="EG1530" s="25"/>
      <c r="EY1530" s="20"/>
    </row>
    <row r="1531" spans="1:155">
      <c r="A1531" s="21"/>
      <c r="B1531" s="21"/>
      <c r="AA1531" s="22"/>
      <c r="AB1531" s="22"/>
      <c r="AC1531" s="21"/>
      <c r="AD1531" s="21"/>
      <c r="BD1531" s="21"/>
      <c r="DB1531" s="24"/>
      <c r="DD1531" s="21"/>
      <c r="DE1531" s="22"/>
      <c r="DG1531" s="21"/>
      <c r="DL1531" s="22"/>
      <c r="DM1531" s="22"/>
      <c r="DN1531" s="21"/>
      <c r="DO1531" s="21"/>
      <c r="EF1531" s="25"/>
      <c r="EG1531" s="25"/>
      <c r="EY1531" s="20"/>
    </row>
    <row r="1532" spans="1:155">
      <c r="A1532" s="21"/>
      <c r="B1532" s="21"/>
      <c r="AA1532" s="22"/>
      <c r="AB1532" s="22"/>
      <c r="AC1532" s="21"/>
      <c r="AD1532" s="21"/>
      <c r="BD1532" s="21"/>
      <c r="DB1532" s="24"/>
      <c r="DD1532" s="21"/>
      <c r="DE1532" s="22"/>
      <c r="DG1532" s="21"/>
      <c r="DL1532" s="22"/>
      <c r="DM1532" s="22"/>
      <c r="DN1532" s="21"/>
      <c r="DO1532" s="21"/>
      <c r="EF1532" s="25"/>
      <c r="EG1532" s="25"/>
      <c r="EY1532" s="20"/>
    </row>
    <row r="1533" spans="1:155">
      <c r="A1533" s="21"/>
      <c r="B1533" s="21"/>
      <c r="AA1533" s="22"/>
      <c r="AB1533" s="22"/>
      <c r="AC1533" s="21"/>
      <c r="AD1533" s="21"/>
      <c r="AY1533" s="22"/>
      <c r="BB1533" s="22"/>
      <c r="BD1533" s="21"/>
      <c r="DB1533" s="24"/>
      <c r="DD1533" s="21"/>
      <c r="DE1533" s="22"/>
      <c r="DG1533" s="21"/>
      <c r="DL1533" s="22"/>
      <c r="DM1533" s="22"/>
      <c r="DN1533" s="21"/>
      <c r="DO1533" s="21"/>
      <c r="EF1533" s="25"/>
      <c r="EG1533" s="25"/>
      <c r="EY1533" s="20"/>
    </row>
    <row r="1534" spans="1:155">
      <c r="A1534" s="21"/>
      <c r="B1534" s="21"/>
      <c r="AA1534" s="22"/>
      <c r="AB1534" s="22"/>
      <c r="AC1534" s="21"/>
      <c r="AD1534" s="21"/>
      <c r="AY1534" s="22"/>
      <c r="BB1534" s="22"/>
      <c r="BD1534" s="21"/>
      <c r="DB1534" s="24"/>
      <c r="DD1534" s="21"/>
      <c r="DE1534" s="22"/>
      <c r="DG1534" s="21"/>
      <c r="DL1534" s="22"/>
      <c r="DM1534" s="22"/>
      <c r="DN1534" s="21"/>
      <c r="DO1534" s="21"/>
      <c r="EF1534" s="25"/>
      <c r="EG1534" s="25"/>
      <c r="EY1534" s="20"/>
    </row>
    <row r="1535" spans="1:155">
      <c r="A1535" s="21"/>
      <c r="B1535" s="21"/>
      <c r="AA1535" s="22"/>
      <c r="AB1535" s="22"/>
      <c r="AC1535" s="21"/>
      <c r="AD1535" s="21"/>
      <c r="AY1535" s="22"/>
      <c r="BB1535" s="22"/>
      <c r="BD1535" s="21"/>
      <c r="DB1535" s="24"/>
      <c r="DD1535" s="21"/>
      <c r="DE1535" s="22"/>
      <c r="DG1535" s="21"/>
      <c r="DL1535" s="22"/>
      <c r="DM1535" s="22"/>
      <c r="DN1535" s="21"/>
      <c r="DO1535" s="21"/>
      <c r="EF1535" s="25"/>
      <c r="EG1535" s="25"/>
      <c r="EY1535" s="20"/>
    </row>
    <row r="1536" spans="1:155">
      <c r="A1536" s="21"/>
      <c r="B1536" s="21"/>
      <c r="AA1536" s="22"/>
      <c r="AB1536" s="22"/>
      <c r="AC1536" s="21"/>
      <c r="AD1536" s="21"/>
      <c r="BD1536" s="21"/>
      <c r="DB1536" s="24"/>
      <c r="DD1536" s="21"/>
      <c r="DE1536" s="22"/>
      <c r="DG1536" s="21"/>
      <c r="DL1536" s="22"/>
      <c r="DM1536" s="22"/>
      <c r="DN1536" s="21"/>
      <c r="DO1536" s="21"/>
      <c r="EF1536" s="25"/>
      <c r="EG1536" s="25"/>
      <c r="EY1536" s="20"/>
    </row>
    <row r="1537" spans="1:155">
      <c r="A1537" s="21"/>
      <c r="B1537" s="21"/>
      <c r="AA1537" s="22"/>
      <c r="AB1537" s="22"/>
      <c r="AC1537" s="21"/>
      <c r="AD1537" s="21"/>
      <c r="BD1537" s="21"/>
      <c r="DB1537" s="24"/>
      <c r="DD1537" s="21"/>
      <c r="DE1537" s="22"/>
      <c r="DG1537" s="21"/>
      <c r="DL1537" s="22"/>
      <c r="DM1537" s="22"/>
      <c r="DN1537" s="21"/>
      <c r="DO1537" s="21"/>
      <c r="EF1537" s="25"/>
      <c r="EG1537" s="25"/>
      <c r="EY1537" s="20"/>
    </row>
    <row r="1538" spans="1:155">
      <c r="A1538" s="21"/>
      <c r="B1538" s="21"/>
      <c r="AA1538" s="22"/>
      <c r="AB1538" s="22"/>
      <c r="AC1538" s="21"/>
      <c r="AD1538" s="21"/>
      <c r="AY1538" s="22"/>
      <c r="BB1538" s="22"/>
      <c r="BD1538" s="21"/>
      <c r="DB1538" s="24"/>
      <c r="DD1538" s="21"/>
      <c r="DE1538" s="22"/>
      <c r="DG1538" s="21"/>
      <c r="DL1538" s="22"/>
      <c r="DM1538" s="22"/>
      <c r="DN1538" s="21"/>
      <c r="DO1538" s="21"/>
      <c r="EF1538" s="25"/>
      <c r="EG1538" s="25"/>
      <c r="EY1538" s="20"/>
    </row>
    <row r="1539" spans="1:155">
      <c r="A1539" s="21"/>
      <c r="B1539" s="21"/>
      <c r="AA1539" s="22"/>
      <c r="AB1539" s="22"/>
      <c r="AC1539" s="21"/>
      <c r="AD1539" s="21"/>
      <c r="BD1539" s="21"/>
      <c r="DB1539" s="24"/>
      <c r="DD1539" s="21"/>
      <c r="DE1539" s="22"/>
      <c r="DG1539" s="21"/>
      <c r="DL1539" s="22"/>
      <c r="DM1539" s="22"/>
      <c r="DN1539" s="21"/>
      <c r="DO1539" s="21"/>
      <c r="EF1539" s="25"/>
      <c r="EG1539" s="25"/>
      <c r="EY1539" s="20"/>
    </row>
    <row r="1540" spans="1:155">
      <c r="A1540" s="21"/>
      <c r="B1540" s="21"/>
      <c r="AA1540" s="22"/>
      <c r="AB1540" s="22"/>
      <c r="AC1540" s="21"/>
      <c r="AD1540" s="21"/>
      <c r="AY1540" s="22"/>
      <c r="BB1540" s="22"/>
      <c r="BD1540" s="21"/>
      <c r="DB1540" s="24"/>
      <c r="DD1540" s="21"/>
      <c r="DE1540" s="22"/>
      <c r="DG1540" s="21"/>
      <c r="DL1540" s="22"/>
      <c r="DM1540" s="22"/>
      <c r="DN1540" s="21"/>
      <c r="DO1540" s="21"/>
      <c r="EF1540" s="25"/>
      <c r="EG1540" s="25"/>
      <c r="EY1540" s="20"/>
    </row>
    <row r="1541" spans="1:155">
      <c r="A1541" s="21"/>
      <c r="B1541" s="21"/>
      <c r="AA1541" s="22"/>
      <c r="AB1541" s="22"/>
      <c r="AC1541" s="21"/>
      <c r="AD1541" s="21"/>
      <c r="BD1541" s="21"/>
      <c r="DB1541" s="24"/>
      <c r="DD1541" s="21"/>
      <c r="DE1541" s="22"/>
      <c r="DG1541" s="21"/>
      <c r="DL1541" s="22"/>
      <c r="DM1541" s="22"/>
      <c r="DN1541" s="21"/>
      <c r="DO1541" s="21"/>
      <c r="EF1541" s="25"/>
      <c r="EG1541" s="25"/>
      <c r="EY1541" s="20"/>
    </row>
    <row r="1542" spans="1:155">
      <c r="A1542" s="21"/>
      <c r="B1542" s="21"/>
      <c r="AA1542" s="22"/>
      <c r="AB1542" s="22"/>
      <c r="AC1542" s="21"/>
      <c r="AD1542" s="21"/>
      <c r="BD1542" s="21"/>
      <c r="CN1542" s="22"/>
      <c r="DB1542" s="24"/>
      <c r="DD1542" s="21"/>
      <c r="DE1542" s="22"/>
      <c r="DG1542" s="21"/>
      <c r="DL1542" s="22"/>
      <c r="DM1542" s="22"/>
      <c r="DN1542" s="21"/>
      <c r="DO1542" s="21"/>
      <c r="EF1542" s="25"/>
      <c r="EG1542" s="25"/>
      <c r="EY1542" s="20"/>
    </row>
    <row r="1543" spans="1:155">
      <c r="A1543" s="21"/>
      <c r="B1543" s="21"/>
      <c r="AA1543" s="22"/>
      <c r="AB1543" s="22"/>
      <c r="AC1543" s="21"/>
      <c r="AD1543" s="21"/>
      <c r="BD1543" s="21"/>
      <c r="DB1543" s="24"/>
      <c r="DD1543" s="21"/>
      <c r="DE1543" s="22"/>
      <c r="DG1543" s="21"/>
      <c r="DL1543" s="22"/>
      <c r="DM1543" s="22"/>
      <c r="DN1543" s="21"/>
      <c r="DO1543" s="21"/>
      <c r="EF1543" s="25"/>
      <c r="EG1543" s="25"/>
      <c r="EY1543" s="20"/>
    </row>
    <row r="1544" spans="1:155">
      <c r="A1544" s="21"/>
      <c r="B1544" s="21"/>
      <c r="AA1544" s="22"/>
      <c r="AB1544" s="22"/>
      <c r="AC1544" s="21"/>
      <c r="AD1544" s="21"/>
      <c r="AY1544" s="22"/>
      <c r="BB1544" s="22"/>
      <c r="BD1544" s="21"/>
      <c r="DB1544" s="24"/>
      <c r="DD1544" s="21"/>
      <c r="DE1544" s="22"/>
      <c r="DG1544" s="21"/>
      <c r="DL1544" s="22"/>
      <c r="DM1544" s="22"/>
      <c r="DN1544" s="21"/>
      <c r="DO1544" s="21"/>
      <c r="EF1544" s="25"/>
      <c r="EG1544" s="25"/>
      <c r="EY1544" s="20"/>
    </row>
    <row r="1545" spans="1:155">
      <c r="A1545" s="21"/>
      <c r="B1545" s="21"/>
      <c r="AA1545" s="22"/>
      <c r="AB1545" s="22"/>
      <c r="AC1545" s="21"/>
      <c r="AD1545" s="21"/>
      <c r="BD1545" s="21"/>
      <c r="DB1545" s="24"/>
      <c r="DD1545" s="21"/>
      <c r="DE1545" s="22"/>
      <c r="DG1545" s="21"/>
      <c r="DL1545" s="22"/>
      <c r="DM1545" s="22"/>
      <c r="DN1545" s="21"/>
      <c r="DO1545" s="21"/>
      <c r="EF1545" s="25"/>
      <c r="EG1545" s="25"/>
      <c r="EY1545" s="20"/>
    </row>
    <row r="1546" spans="1:155">
      <c r="A1546" s="21"/>
      <c r="B1546" s="21"/>
      <c r="AA1546" s="22"/>
      <c r="AB1546" s="22"/>
      <c r="AC1546" s="21"/>
      <c r="AD1546" s="21"/>
      <c r="AY1546" s="22"/>
      <c r="BB1546" s="22"/>
      <c r="BD1546" s="21"/>
      <c r="DB1546" s="24"/>
      <c r="DD1546" s="21"/>
      <c r="DE1546" s="22"/>
      <c r="DG1546" s="21"/>
      <c r="DL1546" s="22"/>
      <c r="DM1546" s="22"/>
      <c r="DN1546" s="21"/>
      <c r="DO1546" s="21"/>
      <c r="EF1546" s="25"/>
      <c r="EG1546" s="25"/>
      <c r="EY1546" s="20"/>
    </row>
    <row r="1547" spans="1:155">
      <c r="A1547" s="21"/>
      <c r="B1547" s="21"/>
      <c r="AA1547" s="22"/>
      <c r="AB1547" s="22"/>
      <c r="AC1547" s="21"/>
      <c r="AD1547" s="21"/>
      <c r="AY1547" s="22"/>
      <c r="BB1547" s="22"/>
      <c r="BD1547" s="21"/>
      <c r="DB1547" s="24"/>
      <c r="DD1547" s="21"/>
      <c r="DE1547" s="22"/>
      <c r="DG1547" s="21"/>
      <c r="DL1547" s="22"/>
      <c r="DM1547" s="22"/>
      <c r="DN1547" s="21"/>
      <c r="DO1547" s="21"/>
      <c r="EF1547" s="25"/>
      <c r="EG1547" s="25"/>
      <c r="EY1547" s="20"/>
    </row>
    <row r="1548" spans="1:155">
      <c r="A1548" s="21"/>
      <c r="B1548" s="21"/>
      <c r="AA1548" s="22"/>
      <c r="AB1548" s="22"/>
      <c r="AC1548" s="21"/>
      <c r="AD1548" s="21"/>
      <c r="BD1548" s="21"/>
      <c r="DB1548" s="24"/>
      <c r="DD1548" s="21"/>
      <c r="DE1548" s="22"/>
      <c r="DG1548" s="21"/>
      <c r="DL1548" s="22"/>
      <c r="DM1548" s="22"/>
      <c r="DN1548" s="21"/>
      <c r="DO1548" s="21"/>
      <c r="EF1548" s="25"/>
      <c r="EG1548" s="25"/>
      <c r="EY1548" s="20"/>
    </row>
    <row r="1549" spans="1:155">
      <c r="A1549" s="21"/>
      <c r="B1549" s="21"/>
      <c r="AA1549" s="22"/>
      <c r="AB1549" s="22"/>
      <c r="AC1549" s="21"/>
      <c r="AD1549" s="21"/>
      <c r="BD1549" s="21"/>
      <c r="DB1549" s="24"/>
      <c r="DD1549" s="21"/>
      <c r="DE1549" s="22"/>
      <c r="DG1549" s="21"/>
      <c r="DL1549" s="22"/>
      <c r="DM1549" s="22"/>
      <c r="DN1549" s="21"/>
      <c r="DO1549" s="21"/>
      <c r="EF1549" s="25"/>
      <c r="EG1549" s="25"/>
      <c r="EY1549" s="20"/>
    </row>
    <row r="1550" spans="1:155">
      <c r="A1550" s="21"/>
      <c r="B1550" s="21"/>
      <c r="AA1550" s="22"/>
      <c r="AB1550" s="22"/>
      <c r="AC1550" s="21"/>
      <c r="AD1550" s="21"/>
      <c r="AY1550" s="22"/>
      <c r="BB1550" s="22"/>
      <c r="BD1550" s="21"/>
      <c r="DB1550" s="24"/>
      <c r="DD1550" s="21"/>
      <c r="DE1550" s="22"/>
      <c r="DG1550" s="21"/>
      <c r="DL1550" s="22"/>
      <c r="DM1550" s="22"/>
      <c r="DN1550" s="21"/>
      <c r="DO1550" s="21"/>
      <c r="EF1550" s="25"/>
      <c r="EG1550" s="25"/>
      <c r="EY1550" s="20"/>
    </row>
    <row r="1551" spans="1:155">
      <c r="A1551" s="21"/>
      <c r="B1551" s="21"/>
      <c r="AA1551" s="22"/>
      <c r="AB1551" s="22"/>
      <c r="AC1551" s="21"/>
      <c r="AD1551" s="21"/>
      <c r="BD1551" s="21"/>
      <c r="DB1551" s="24"/>
      <c r="DD1551" s="21"/>
      <c r="DE1551" s="22"/>
      <c r="DG1551" s="21"/>
      <c r="DL1551" s="22"/>
      <c r="DM1551" s="22"/>
      <c r="DN1551" s="21"/>
      <c r="DO1551" s="21"/>
      <c r="EF1551" s="25"/>
      <c r="EG1551" s="25"/>
      <c r="EY1551" s="20"/>
    </row>
    <row r="1552" spans="1:155">
      <c r="A1552" s="21"/>
      <c r="B1552" s="21"/>
      <c r="AA1552" s="22"/>
      <c r="AB1552" s="22"/>
      <c r="AC1552" s="21"/>
      <c r="AD1552" s="21"/>
      <c r="BD1552" s="21"/>
      <c r="DB1552" s="24"/>
      <c r="DD1552" s="21"/>
      <c r="DE1552" s="22"/>
      <c r="DG1552" s="21"/>
      <c r="DL1552" s="22"/>
      <c r="DM1552" s="22"/>
      <c r="DN1552" s="21"/>
      <c r="DO1552" s="21"/>
      <c r="EF1552" s="25"/>
      <c r="EG1552" s="25"/>
      <c r="EY1552" s="20"/>
    </row>
    <row r="1553" spans="1:155">
      <c r="A1553" s="21"/>
      <c r="B1553" s="21"/>
      <c r="AA1553" s="22"/>
      <c r="AB1553" s="22"/>
      <c r="AC1553" s="21"/>
      <c r="AD1553" s="21"/>
      <c r="AY1553" s="22"/>
      <c r="BB1553" s="22"/>
      <c r="BD1553" s="21"/>
      <c r="DB1553" s="24"/>
      <c r="DD1553" s="21"/>
      <c r="DE1553" s="22"/>
      <c r="DG1553" s="21"/>
      <c r="DL1553" s="22"/>
      <c r="DM1553" s="22"/>
      <c r="DN1553" s="21"/>
      <c r="DO1553" s="21"/>
      <c r="EF1553" s="25"/>
      <c r="EG1553" s="25"/>
      <c r="EY1553" s="20"/>
    </row>
    <row r="1554" spans="1:155">
      <c r="A1554" s="21"/>
      <c r="B1554" s="21"/>
      <c r="AA1554" s="22"/>
      <c r="AB1554" s="22"/>
      <c r="AC1554" s="21"/>
      <c r="AD1554" s="21"/>
      <c r="AY1554" s="22"/>
      <c r="BB1554" s="22"/>
      <c r="BD1554" s="21"/>
      <c r="DB1554" s="24"/>
      <c r="DD1554" s="21"/>
      <c r="DE1554" s="22"/>
      <c r="DG1554" s="21"/>
      <c r="DL1554" s="22"/>
      <c r="DM1554" s="22"/>
      <c r="DN1554" s="21"/>
      <c r="DO1554" s="21"/>
      <c r="EF1554" s="25"/>
      <c r="EG1554" s="25"/>
      <c r="EY1554" s="20"/>
    </row>
    <row r="1555" spans="1:155">
      <c r="A1555" s="21"/>
      <c r="B1555" s="21"/>
      <c r="AA1555" s="22"/>
      <c r="AB1555" s="22"/>
      <c r="AC1555" s="21"/>
      <c r="AD1555" s="21"/>
      <c r="AY1555" s="22"/>
      <c r="BB1555" s="22"/>
      <c r="BD1555" s="21"/>
      <c r="DB1555" s="24"/>
      <c r="DD1555" s="21"/>
      <c r="DE1555" s="22"/>
      <c r="DG1555" s="21"/>
      <c r="DL1555" s="22"/>
      <c r="DM1555" s="22"/>
      <c r="DN1555" s="21"/>
      <c r="DO1555" s="21"/>
      <c r="EF1555" s="25"/>
      <c r="EG1555" s="25"/>
      <c r="EY1555" s="20"/>
    </row>
    <row r="1556" spans="1:155">
      <c r="A1556" s="21"/>
      <c r="B1556" s="21"/>
      <c r="AA1556" s="22"/>
      <c r="AB1556" s="22"/>
      <c r="AC1556" s="21"/>
      <c r="AD1556" s="21"/>
      <c r="AY1556" s="22"/>
      <c r="BB1556" s="22"/>
      <c r="BD1556" s="21"/>
      <c r="DB1556" s="24"/>
      <c r="DD1556" s="21"/>
      <c r="DE1556" s="22"/>
      <c r="DG1556" s="21"/>
      <c r="DL1556" s="22"/>
      <c r="DM1556" s="22"/>
      <c r="DN1556" s="21"/>
      <c r="DO1556" s="21"/>
      <c r="EF1556" s="25"/>
      <c r="EG1556" s="25"/>
      <c r="EY1556" s="20"/>
    </row>
    <row r="1557" spans="1:155">
      <c r="A1557" s="21"/>
      <c r="B1557" s="21"/>
      <c r="AA1557" s="22"/>
      <c r="AB1557" s="22"/>
      <c r="AC1557" s="21"/>
      <c r="AD1557" s="21"/>
      <c r="BD1557" s="21"/>
      <c r="DB1557" s="24"/>
      <c r="DD1557" s="21"/>
      <c r="DE1557" s="22"/>
      <c r="DG1557" s="21"/>
      <c r="DL1557" s="22"/>
      <c r="DM1557" s="22"/>
      <c r="DN1557" s="21"/>
      <c r="DO1557" s="21"/>
      <c r="EF1557" s="25"/>
      <c r="EG1557" s="25"/>
      <c r="EY1557" s="20"/>
    </row>
    <row r="1558" spans="1:155">
      <c r="A1558" s="21"/>
      <c r="B1558" s="21"/>
      <c r="AA1558" s="22"/>
      <c r="AB1558" s="22"/>
      <c r="AC1558" s="21"/>
      <c r="AD1558" s="21"/>
      <c r="BD1558" s="21"/>
      <c r="DB1558" s="24"/>
      <c r="DD1558" s="21"/>
      <c r="DE1558" s="22"/>
      <c r="DG1558" s="21"/>
      <c r="DL1558" s="22"/>
      <c r="DM1558" s="22"/>
      <c r="DN1558" s="21"/>
      <c r="DO1558" s="21"/>
      <c r="EF1558" s="25"/>
      <c r="EG1558" s="25"/>
      <c r="EY1558" s="20"/>
    </row>
    <row r="1559" spans="1:155">
      <c r="A1559" s="21"/>
      <c r="B1559" s="21"/>
      <c r="AA1559" s="22"/>
      <c r="AB1559" s="22"/>
      <c r="AC1559" s="21"/>
      <c r="AD1559" s="21"/>
      <c r="AY1559" s="22"/>
      <c r="BB1559" s="22"/>
      <c r="BD1559" s="21"/>
      <c r="DB1559" s="24"/>
      <c r="DD1559" s="21"/>
      <c r="DE1559" s="22"/>
      <c r="DG1559" s="21"/>
      <c r="DL1559" s="22"/>
      <c r="DM1559" s="22"/>
      <c r="DN1559" s="21"/>
      <c r="DO1559" s="21"/>
      <c r="EF1559" s="25"/>
      <c r="EG1559" s="25"/>
      <c r="EY1559" s="20"/>
    </row>
    <row r="1560" spans="1:155">
      <c r="A1560" s="21"/>
      <c r="B1560" s="21"/>
      <c r="AA1560" s="22"/>
      <c r="AB1560" s="22"/>
      <c r="AC1560" s="21"/>
      <c r="AD1560" s="21"/>
      <c r="BD1560" s="21"/>
      <c r="DB1560" s="24"/>
      <c r="DD1560" s="21"/>
      <c r="DE1560" s="22"/>
      <c r="DG1560" s="21"/>
      <c r="DL1560" s="22"/>
      <c r="DM1560" s="22"/>
      <c r="DN1560" s="21"/>
      <c r="DO1560" s="21"/>
      <c r="EF1560" s="25"/>
      <c r="EG1560" s="25"/>
      <c r="EY1560" s="20"/>
    </row>
    <row r="1561" spans="1:155">
      <c r="A1561" s="21"/>
      <c r="B1561" s="21"/>
      <c r="AA1561" s="22"/>
      <c r="AB1561" s="22"/>
      <c r="AC1561" s="21"/>
      <c r="AD1561" s="21"/>
      <c r="BD1561" s="21"/>
      <c r="DB1561" s="24"/>
      <c r="DD1561" s="21"/>
      <c r="DE1561" s="22"/>
      <c r="DG1561" s="21"/>
      <c r="DL1561" s="22"/>
      <c r="DM1561" s="22"/>
      <c r="DN1561" s="21"/>
      <c r="DO1561" s="21"/>
      <c r="EF1561" s="25"/>
      <c r="EG1561" s="25"/>
      <c r="EY1561" s="20"/>
    </row>
    <row r="1562" spans="1:155">
      <c r="A1562" s="21"/>
      <c r="B1562" s="21"/>
      <c r="AA1562" s="22"/>
      <c r="AB1562" s="22"/>
      <c r="AC1562" s="21"/>
      <c r="AD1562" s="21"/>
      <c r="AY1562" s="22"/>
      <c r="BB1562" s="22"/>
      <c r="BD1562" s="21"/>
      <c r="DB1562" s="24"/>
      <c r="DD1562" s="21"/>
      <c r="DE1562" s="22"/>
      <c r="DG1562" s="21"/>
      <c r="DL1562" s="22"/>
      <c r="DM1562" s="22"/>
      <c r="DN1562" s="21"/>
      <c r="DO1562" s="21"/>
      <c r="EF1562" s="25"/>
      <c r="EG1562" s="25"/>
      <c r="EY1562" s="20"/>
    </row>
    <row r="1563" spans="1:155">
      <c r="A1563" s="21"/>
      <c r="B1563" s="21"/>
      <c r="AA1563" s="22"/>
      <c r="AB1563" s="22"/>
      <c r="AC1563" s="21"/>
      <c r="AD1563" s="21"/>
      <c r="BD1563" s="21"/>
      <c r="DB1563" s="24"/>
      <c r="DD1563" s="21"/>
      <c r="DE1563" s="22"/>
      <c r="DG1563" s="21"/>
      <c r="DL1563" s="22"/>
      <c r="DM1563" s="22"/>
      <c r="DN1563" s="21"/>
      <c r="DO1563" s="21"/>
      <c r="EF1563" s="25"/>
      <c r="EG1563" s="25"/>
      <c r="EY1563" s="20"/>
    </row>
    <row r="1564" spans="1:155">
      <c r="A1564" s="21"/>
      <c r="B1564" s="21"/>
      <c r="AA1564" s="22"/>
      <c r="AB1564" s="22"/>
      <c r="AC1564" s="21"/>
      <c r="AD1564" s="21"/>
      <c r="BD1564" s="21"/>
      <c r="DB1564" s="24"/>
      <c r="DD1564" s="21"/>
      <c r="DE1564" s="22"/>
      <c r="DG1564" s="21"/>
      <c r="DL1564" s="22"/>
      <c r="DM1564" s="22"/>
      <c r="DN1564" s="21"/>
      <c r="DO1564" s="21"/>
      <c r="EF1564" s="25"/>
      <c r="EG1564" s="25"/>
      <c r="EY1564" s="20"/>
    </row>
    <row r="1565" spans="1:155">
      <c r="A1565" s="21"/>
      <c r="B1565" s="21"/>
      <c r="AA1565" s="22"/>
      <c r="AB1565" s="22"/>
      <c r="AC1565" s="21"/>
      <c r="AD1565" s="21"/>
      <c r="BD1565" s="21"/>
      <c r="DB1565" s="24"/>
      <c r="DD1565" s="21"/>
      <c r="DE1565" s="22"/>
      <c r="DG1565" s="21"/>
      <c r="DL1565" s="22"/>
      <c r="DM1565" s="22"/>
      <c r="DN1565" s="21"/>
      <c r="DO1565" s="21"/>
      <c r="EF1565" s="25"/>
      <c r="EG1565" s="25"/>
      <c r="EY1565" s="20"/>
    </row>
    <row r="1566" spans="1:155">
      <c r="A1566" s="21"/>
      <c r="B1566" s="21"/>
      <c r="AA1566" s="22"/>
      <c r="AB1566" s="22"/>
      <c r="AC1566" s="21"/>
      <c r="AD1566" s="21"/>
      <c r="BD1566" s="21"/>
      <c r="DB1566" s="24"/>
      <c r="DD1566" s="21"/>
      <c r="DE1566" s="22"/>
      <c r="DG1566" s="21"/>
      <c r="DL1566" s="22"/>
      <c r="DM1566" s="22"/>
      <c r="DN1566" s="21"/>
      <c r="DO1566" s="21"/>
      <c r="EF1566" s="25"/>
      <c r="EG1566" s="25"/>
      <c r="EY1566" s="20"/>
    </row>
    <row r="1567" spans="1:155">
      <c r="A1567" s="21"/>
      <c r="B1567" s="21"/>
      <c r="AA1567" s="22"/>
      <c r="AB1567" s="22"/>
      <c r="AC1567" s="21"/>
      <c r="AD1567" s="21"/>
      <c r="AY1567" s="22"/>
      <c r="BB1567" s="22"/>
      <c r="BD1567" s="21"/>
      <c r="DB1567" s="24"/>
      <c r="DD1567" s="21"/>
      <c r="DE1567" s="22"/>
      <c r="DG1567" s="21"/>
      <c r="DL1567" s="22"/>
      <c r="DM1567" s="22"/>
      <c r="DN1567" s="21"/>
      <c r="DO1567" s="21"/>
      <c r="EF1567" s="25"/>
      <c r="EG1567" s="25"/>
      <c r="EY1567" s="20"/>
    </row>
    <row r="1568" spans="1:155">
      <c r="A1568" s="21"/>
      <c r="B1568" s="21"/>
      <c r="AA1568" s="22"/>
      <c r="AB1568" s="22"/>
      <c r="AC1568" s="21"/>
      <c r="AD1568" s="21"/>
      <c r="AY1568" s="22"/>
      <c r="BB1568" s="22"/>
      <c r="BD1568" s="21"/>
      <c r="DB1568" s="24"/>
      <c r="DD1568" s="21"/>
      <c r="DE1568" s="22"/>
      <c r="DG1568" s="21"/>
      <c r="DL1568" s="22"/>
      <c r="DM1568" s="22"/>
      <c r="DN1568" s="21"/>
      <c r="DO1568" s="21"/>
      <c r="EF1568" s="25"/>
      <c r="EG1568" s="25"/>
      <c r="EY1568" s="20"/>
    </row>
    <row r="1569" spans="1:155">
      <c r="A1569" s="21"/>
      <c r="B1569" s="21"/>
      <c r="AA1569" s="22"/>
      <c r="AB1569" s="22"/>
      <c r="AC1569" s="21"/>
      <c r="AD1569" s="21"/>
      <c r="AY1569" s="22"/>
      <c r="BB1569" s="22"/>
      <c r="BD1569" s="21"/>
      <c r="DB1569" s="24"/>
      <c r="DD1569" s="21"/>
      <c r="DE1569" s="22"/>
      <c r="DG1569" s="21"/>
      <c r="DL1569" s="22"/>
      <c r="DM1569" s="22"/>
      <c r="DN1569" s="21"/>
      <c r="DO1569" s="21"/>
      <c r="EF1569" s="25"/>
      <c r="EG1569" s="25"/>
      <c r="EY1569" s="20"/>
    </row>
    <row r="1570" spans="1:155">
      <c r="A1570" s="21"/>
      <c r="B1570" s="21"/>
      <c r="AA1570" s="22"/>
      <c r="AB1570" s="22"/>
      <c r="AC1570" s="21"/>
      <c r="AD1570" s="21"/>
      <c r="BD1570" s="21"/>
      <c r="DB1570" s="24"/>
      <c r="DD1570" s="21"/>
      <c r="DE1570" s="22"/>
      <c r="DG1570" s="21"/>
      <c r="DL1570" s="22"/>
      <c r="DM1570" s="22"/>
      <c r="DN1570" s="21"/>
      <c r="DO1570" s="21"/>
      <c r="EF1570" s="25"/>
      <c r="EG1570" s="25"/>
      <c r="EY1570" s="20"/>
    </row>
    <row r="1571" spans="1:155">
      <c r="A1571" s="21"/>
      <c r="B1571" s="21"/>
      <c r="AA1571" s="22"/>
      <c r="AB1571" s="22"/>
      <c r="AC1571" s="21"/>
      <c r="AD1571" s="21"/>
      <c r="BD1571" s="21"/>
      <c r="DB1571" s="24"/>
      <c r="DD1571" s="21"/>
      <c r="DE1571" s="22"/>
      <c r="DG1571" s="21"/>
      <c r="DL1571" s="22"/>
      <c r="DM1571" s="22"/>
      <c r="DN1571" s="21"/>
      <c r="DO1571" s="21"/>
      <c r="EF1571" s="25"/>
      <c r="EG1571" s="25"/>
      <c r="EY1571" s="20"/>
    </row>
    <row r="1572" spans="1:155">
      <c r="A1572" s="21"/>
      <c r="B1572" s="21"/>
      <c r="AA1572" s="22"/>
      <c r="AB1572" s="22"/>
      <c r="AC1572" s="21"/>
      <c r="AD1572" s="21"/>
      <c r="BD1572" s="21"/>
      <c r="DB1572" s="24"/>
      <c r="DD1572" s="21"/>
      <c r="DE1572" s="22"/>
      <c r="DG1572" s="21"/>
      <c r="DL1572" s="22"/>
      <c r="DM1572" s="22"/>
      <c r="DN1572" s="21"/>
      <c r="DO1572" s="21"/>
      <c r="EF1572" s="25"/>
      <c r="EG1572" s="25"/>
      <c r="EY1572" s="20"/>
    </row>
    <row r="1573" spans="1:155">
      <c r="A1573" s="21"/>
      <c r="B1573" s="21"/>
      <c r="AA1573" s="22"/>
      <c r="AB1573" s="22"/>
      <c r="AC1573" s="21"/>
      <c r="AD1573" s="21"/>
      <c r="BD1573" s="21"/>
      <c r="DB1573" s="24"/>
      <c r="DD1573" s="21"/>
      <c r="DE1573" s="22"/>
      <c r="DG1573" s="21"/>
      <c r="DL1573" s="22"/>
      <c r="DM1573" s="22"/>
      <c r="DN1573" s="21"/>
      <c r="DO1573" s="21"/>
      <c r="EF1573" s="25"/>
      <c r="EG1573" s="25"/>
      <c r="EY1573" s="20"/>
    </row>
    <row r="1574" spans="1:155">
      <c r="A1574" s="21"/>
      <c r="B1574" s="21"/>
      <c r="AA1574" s="22"/>
      <c r="AB1574" s="22"/>
      <c r="AC1574" s="21"/>
      <c r="AD1574" s="21"/>
      <c r="BD1574" s="21"/>
      <c r="DB1574" s="24"/>
      <c r="DD1574" s="21"/>
      <c r="DE1574" s="22"/>
      <c r="DG1574" s="21"/>
      <c r="DL1574" s="22"/>
      <c r="DM1574" s="22"/>
      <c r="DN1574" s="21"/>
      <c r="DO1574" s="21"/>
      <c r="EF1574" s="25"/>
      <c r="EG1574" s="25"/>
      <c r="EY1574" s="20"/>
    </row>
    <row r="1575" spans="1:155">
      <c r="A1575" s="21"/>
      <c r="B1575" s="21"/>
      <c r="AA1575" s="22"/>
      <c r="AB1575" s="22"/>
      <c r="AC1575" s="21"/>
      <c r="AD1575" s="21"/>
      <c r="BD1575" s="21"/>
      <c r="DB1575" s="24"/>
      <c r="DD1575" s="21"/>
      <c r="DE1575" s="22"/>
      <c r="DG1575" s="21"/>
      <c r="DL1575" s="22"/>
      <c r="DM1575" s="22"/>
      <c r="DN1575" s="21"/>
      <c r="DO1575" s="21"/>
      <c r="EF1575" s="25"/>
      <c r="EG1575" s="25"/>
      <c r="EY1575" s="20"/>
    </row>
    <row r="1576" spans="1:155">
      <c r="A1576" s="21"/>
      <c r="B1576" s="21"/>
      <c r="AA1576" s="22"/>
      <c r="AB1576" s="22"/>
      <c r="AC1576" s="21"/>
      <c r="AD1576" s="21"/>
      <c r="BD1576" s="21"/>
      <c r="DB1576" s="24"/>
      <c r="DD1576" s="21"/>
      <c r="DE1576" s="22"/>
      <c r="DG1576" s="21"/>
      <c r="DL1576" s="22"/>
      <c r="DM1576" s="22"/>
      <c r="DN1576" s="21"/>
      <c r="DO1576" s="21"/>
      <c r="EF1576" s="25"/>
      <c r="EG1576" s="25"/>
      <c r="EY1576" s="20"/>
    </row>
    <row r="1577" spans="1:155">
      <c r="A1577" s="21"/>
      <c r="B1577" s="21"/>
      <c r="AA1577" s="22"/>
      <c r="AB1577" s="22"/>
      <c r="AC1577" s="21"/>
      <c r="AD1577" s="21"/>
      <c r="BD1577" s="21"/>
      <c r="DB1577" s="24"/>
      <c r="DD1577" s="21"/>
      <c r="DE1577" s="22"/>
      <c r="DG1577" s="21"/>
      <c r="DL1577" s="22"/>
      <c r="DM1577" s="22"/>
      <c r="DN1577" s="21"/>
      <c r="DO1577" s="21"/>
      <c r="EF1577" s="25"/>
      <c r="EG1577" s="25"/>
      <c r="EY1577" s="20"/>
    </row>
    <row r="1578" spans="1:155">
      <c r="A1578" s="21"/>
      <c r="B1578" s="21"/>
      <c r="AA1578" s="22"/>
      <c r="AB1578" s="22"/>
      <c r="AC1578" s="21"/>
      <c r="AD1578" s="21"/>
      <c r="AY1578" s="22"/>
      <c r="BB1578" s="22"/>
      <c r="BD1578" s="21"/>
      <c r="DB1578" s="24"/>
      <c r="DD1578" s="21"/>
      <c r="DE1578" s="22"/>
      <c r="DG1578" s="21"/>
      <c r="DL1578" s="22"/>
      <c r="DM1578" s="22"/>
      <c r="DN1578" s="21"/>
      <c r="DO1578" s="21"/>
      <c r="EF1578" s="25"/>
      <c r="EG1578" s="25"/>
      <c r="EY1578" s="20"/>
    </row>
    <row r="1579" spans="1:155">
      <c r="A1579" s="21"/>
      <c r="B1579" s="21"/>
      <c r="AA1579" s="22"/>
      <c r="AB1579" s="22"/>
      <c r="AC1579" s="21"/>
      <c r="AD1579" s="21"/>
      <c r="AY1579" s="22"/>
      <c r="BB1579" s="22"/>
      <c r="BD1579" s="21"/>
      <c r="DB1579" s="24"/>
      <c r="DD1579" s="21"/>
      <c r="DE1579" s="22"/>
      <c r="DG1579" s="21"/>
      <c r="DL1579" s="22"/>
      <c r="DM1579" s="22"/>
      <c r="DN1579" s="21"/>
      <c r="DO1579" s="21"/>
      <c r="EF1579" s="25"/>
      <c r="EG1579" s="25"/>
      <c r="EY1579" s="20"/>
    </row>
    <row r="1580" spans="1:155">
      <c r="A1580" s="21"/>
      <c r="B1580" s="21"/>
      <c r="AA1580" s="22"/>
      <c r="AB1580" s="22"/>
      <c r="AC1580" s="21"/>
      <c r="AD1580" s="21"/>
      <c r="BD1580" s="21"/>
      <c r="DB1580" s="24"/>
      <c r="DD1580" s="21"/>
      <c r="DE1580" s="22"/>
      <c r="DG1580" s="21"/>
      <c r="DL1580" s="22"/>
      <c r="DM1580" s="22"/>
      <c r="DN1580" s="21"/>
      <c r="DO1580" s="21"/>
      <c r="EF1580" s="25"/>
      <c r="EG1580" s="25"/>
      <c r="EY1580" s="20"/>
    </row>
    <row r="1581" spans="1:155">
      <c r="A1581" s="21"/>
      <c r="B1581" s="21"/>
      <c r="AA1581" s="22"/>
      <c r="AB1581" s="22"/>
      <c r="AC1581" s="21"/>
      <c r="AD1581" s="21"/>
      <c r="AY1581" s="22"/>
      <c r="BB1581" s="22"/>
      <c r="BD1581" s="21"/>
      <c r="DB1581" s="24"/>
      <c r="DD1581" s="21"/>
      <c r="DE1581" s="22"/>
      <c r="DG1581" s="21"/>
      <c r="DL1581" s="22"/>
      <c r="DM1581" s="22"/>
      <c r="DN1581" s="21"/>
      <c r="DO1581" s="21"/>
      <c r="EF1581" s="25"/>
      <c r="EG1581" s="25"/>
      <c r="EY1581" s="20"/>
    </row>
    <row r="1582" spans="1:155">
      <c r="A1582" s="21"/>
      <c r="B1582" s="21"/>
      <c r="AA1582" s="22"/>
      <c r="AB1582" s="22"/>
      <c r="AC1582" s="21"/>
      <c r="AD1582" s="21"/>
      <c r="BD1582" s="21"/>
      <c r="DB1582" s="24"/>
      <c r="DD1582" s="21"/>
      <c r="DE1582" s="22"/>
      <c r="DG1582" s="21"/>
      <c r="DL1582" s="22"/>
      <c r="DM1582" s="22"/>
      <c r="DN1582" s="21"/>
      <c r="DO1582" s="21"/>
      <c r="EF1582" s="25"/>
      <c r="EG1582" s="25"/>
      <c r="EY1582" s="20"/>
    </row>
    <row r="1583" spans="1:155">
      <c r="A1583" s="21"/>
      <c r="B1583" s="21"/>
      <c r="AA1583" s="22"/>
      <c r="AB1583" s="22"/>
      <c r="AC1583" s="21"/>
      <c r="AD1583" s="21"/>
      <c r="AY1583" s="22"/>
      <c r="BB1583" s="22"/>
      <c r="BD1583" s="21"/>
      <c r="DB1583" s="24"/>
      <c r="DD1583" s="21"/>
      <c r="DE1583" s="22"/>
      <c r="DG1583" s="21"/>
      <c r="DL1583" s="22"/>
      <c r="DM1583" s="22"/>
      <c r="DN1583" s="21"/>
      <c r="DO1583" s="21"/>
      <c r="EF1583" s="25"/>
      <c r="EG1583" s="25"/>
      <c r="EY1583" s="20"/>
    </row>
    <row r="1584" spans="1:155">
      <c r="A1584" s="21"/>
      <c r="B1584" s="21"/>
      <c r="AA1584" s="22"/>
      <c r="AB1584" s="22"/>
      <c r="AC1584" s="21"/>
      <c r="AD1584" s="21"/>
      <c r="AY1584" s="22"/>
      <c r="BB1584" s="22"/>
      <c r="BD1584" s="21"/>
      <c r="DB1584" s="24"/>
      <c r="DD1584" s="21"/>
      <c r="DE1584" s="22"/>
      <c r="DG1584" s="21"/>
      <c r="DL1584" s="22"/>
      <c r="DM1584" s="22"/>
      <c r="DN1584" s="21"/>
      <c r="DO1584" s="21"/>
      <c r="EF1584" s="25"/>
      <c r="EG1584" s="25"/>
      <c r="EY1584" s="20"/>
    </row>
    <row r="1585" spans="1:155">
      <c r="A1585" s="21"/>
      <c r="B1585" s="21"/>
      <c r="AA1585" s="22"/>
      <c r="AB1585" s="22"/>
      <c r="AC1585" s="21"/>
      <c r="AD1585" s="21"/>
      <c r="BD1585" s="21"/>
      <c r="DB1585" s="24"/>
      <c r="DD1585" s="21"/>
      <c r="DE1585" s="22"/>
      <c r="DG1585" s="21"/>
      <c r="DL1585" s="22"/>
      <c r="DM1585" s="22"/>
      <c r="DN1585" s="21"/>
      <c r="DO1585" s="21"/>
      <c r="EF1585" s="25"/>
      <c r="EG1585" s="25"/>
      <c r="EY1585" s="20"/>
    </row>
    <row r="1586" spans="1:155">
      <c r="A1586" s="21"/>
      <c r="B1586" s="21"/>
      <c r="AA1586" s="22"/>
      <c r="AB1586" s="22"/>
      <c r="AC1586" s="21"/>
      <c r="AD1586" s="21"/>
      <c r="AY1586" s="22"/>
      <c r="BB1586" s="22"/>
      <c r="BD1586" s="21"/>
      <c r="DB1586" s="24"/>
      <c r="DD1586" s="21"/>
      <c r="DE1586" s="22"/>
      <c r="DG1586" s="21"/>
      <c r="DL1586" s="22"/>
      <c r="DM1586" s="22"/>
      <c r="DN1586" s="21"/>
      <c r="DO1586" s="21"/>
      <c r="EF1586" s="25"/>
      <c r="EG1586" s="25"/>
      <c r="EY1586" s="20"/>
    </row>
    <row r="1587" spans="1:155">
      <c r="A1587" s="21"/>
      <c r="B1587" s="21"/>
      <c r="AA1587" s="22"/>
      <c r="AB1587" s="22"/>
      <c r="AC1587" s="21"/>
      <c r="AD1587" s="21"/>
      <c r="AY1587" s="22"/>
      <c r="BB1587" s="22"/>
      <c r="BD1587" s="21"/>
      <c r="DB1587" s="24"/>
      <c r="DD1587" s="21"/>
      <c r="DE1587" s="22"/>
      <c r="DG1587" s="21"/>
      <c r="DL1587" s="22"/>
      <c r="DM1587" s="22"/>
      <c r="DN1587" s="21"/>
      <c r="DO1587" s="21"/>
      <c r="EF1587" s="25"/>
      <c r="EG1587" s="25"/>
      <c r="EY1587" s="20"/>
    </row>
    <row r="1588" spans="1:155">
      <c r="A1588" s="21"/>
      <c r="B1588" s="21"/>
      <c r="AA1588" s="22"/>
      <c r="AB1588" s="22"/>
      <c r="AC1588" s="21"/>
      <c r="AD1588" s="21"/>
      <c r="AY1588" s="22"/>
      <c r="BB1588" s="22"/>
      <c r="BD1588" s="21"/>
      <c r="DB1588" s="24"/>
      <c r="DD1588" s="21"/>
      <c r="DE1588" s="22"/>
      <c r="DG1588" s="21"/>
      <c r="DL1588" s="22"/>
      <c r="DM1588" s="22"/>
      <c r="DN1588" s="21"/>
      <c r="DO1588" s="21"/>
      <c r="EF1588" s="25"/>
      <c r="EG1588" s="25"/>
      <c r="EY1588" s="20"/>
    </row>
    <row r="1589" spans="1:155">
      <c r="A1589" s="21"/>
      <c r="B1589" s="21"/>
      <c r="AA1589" s="22"/>
      <c r="AB1589" s="22"/>
      <c r="AC1589" s="21"/>
      <c r="AD1589" s="21"/>
      <c r="AY1589" s="22"/>
      <c r="BB1589" s="22"/>
      <c r="BD1589" s="21"/>
      <c r="DB1589" s="24"/>
      <c r="DD1589" s="21"/>
      <c r="DE1589" s="22"/>
      <c r="DG1589" s="21"/>
      <c r="DL1589" s="22"/>
      <c r="DM1589" s="22"/>
      <c r="DN1589" s="21"/>
      <c r="DO1589" s="21"/>
      <c r="EF1589" s="25"/>
      <c r="EG1589" s="25"/>
      <c r="EY1589" s="20"/>
    </row>
    <row r="1590" spans="1:155">
      <c r="A1590" s="21"/>
      <c r="B1590" s="21"/>
      <c r="AA1590" s="22"/>
      <c r="AB1590" s="22"/>
      <c r="AC1590" s="21"/>
      <c r="AD1590" s="21"/>
      <c r="BD1590" s="21"/>
      <c r="DB1590" s="24"/>
      <c r="DD1590" s="21"/>
      <c r="DE1590" s="22"/>
      <c r="DG1590" s="21"/>
      <c r="DL1590" s="22"/>
      <c r="DM1590" s="22"/>
      <c r="DN1590" s="21"/>
      <c r="DO1590" s="21"/>
      <c r="EF1590" s="25"/>
      <c r="EG1590" s="25"/>
      <c r="EY1590" s="20"/>
    </row>
    <row r="1591" spans="1:155">
      <c r="A1591" s="21"/>
      <c r="B1591" s="21"/>
      <c r="AA1591" s="22"/>
      <c r="AB1591" s="22"/>
      <c r="AC1591" s="21"/>
      <c r="AD1591" s="21"/>
      <c r="AY1591" s="22"/>
      <c r="BB1591" s="22"/>
      <c r="BD1591" s="21"/>
      <c r="DB1591" s="24"/>
      <c r="DD1591" s="21"/>
      <c r="DE1591" s="22"/>
      <c r="DG1591" s="21"/>
      <c r="DL1591" s="22"/>
      <c r="DM1591" s="22"/>
      <c r="DN1591" s="21"/>
      <c r="DO1591" s="21"/>
      <c r="EF1591" s="25"/>
      <c r="EG1591" s="25"/>
      <c r="EY1591" s="20"/>
    </row>
    <row r="1592" spans="1:155">
      <c r="A1592" s="21"/>
      <c r="B1592" s="21"/>
      <c r="AA1592" s="22"/>
      <c r="AB1592" s="22"/>
      <c r="AC1592" s="21"/>
      <c r="AD1592" s="21"/>
      <c r="AY1592" s="22"/>
      <c r="BB1592" s="22"/>
      <c r="BD1592" s="21"/>
      <c r="DB1592" s="24"/>
      <c r="DD1592" s="21"/>
      <c r="DE1592" s="22"/>
      <c r="DG1592" s="21"/>
      <c r="DL1592" s="22"/>
      <c r="DM1592" s="22"/>
      <c r="DN1592" s="21"/>
      <c r="DO1592" s="21"/>
      <c r="EF1592" s="25"/>
      <c r="EG1592" s="25"/>
      <c r="EY1592" s="20"/>
    </row>
    <row r="1593" spans="1:155">
      <c r="A1593" s="21"/>
      <c r="B1593" s="21"/>
      <c r="AA1593" s="22"/>
      <c r="AB1593" s="22"/>
      <c r="AC1593" s="21"/>
      <c r="AD1593" s="21"/>
      <c r="BD1593" s="21"/>
      <c r="DB1593" s="24"/>
      <c r="DD1593" s="21"/>
      <c r="DE1593" s="22"/>
      <c r="DG1593" s="21"/>
      <c r="DL1593" s="22"/>
      <c r="DM1593" s="22"/>
      <c r="DN1593" s="21"/>
      <c r="DO1593" s="21"/>
      <c r="EF1593" s="25"/>
      <c r="EG1593" s="25"/>
      <c r="EY1593" s="20"/>
    </row>
    <row r="1594" spans="1:155">
      <c r="A1594" s="21"/>
      <c r="B1594" s="21"/>
      <c r="AA1594" s="22"/>
      <c r="AB1594" s="22"/>
      <c r="AC1594" s="21"/>
      <c r="AD1594" s="21"/>
      <c r="AY1594" s="22"/>
      <c r="BB1594" s="22"/>
      <c r="BD1594" s="21"/>
      <c r="DB1594" s="24"/>
      <c r="DD1594" s="21"/>
      <c r="DE1594" s="22"/>
      <c r="DG1594" s="21"/>
      <c r="DL1594" s="22"/>
      <c r="DM1594" s="22"/>
      <c r="DN1594" s="21"/>
      <c r="DO1594" s="21"/>
      <c r="EF1594" s="25"/>
      <c r="EG1594" s="25"/>
      <c r="EY1594" s="20"/>
    </row>
    <row r="1595" spans="1:155">
      <c r="A1595" s="21"/>
      <c r="B1595" s="21"/>
      <c r="AA1595" s="22"/>
      <c r="AB1595" s="22"/>
      <c r="AC1595" s="21"/>
      <c r="AD1595" s="21"/>
      <c r="AY1595" s="22"/>
      <c r="BB1595" s="22"/>
      <c r="BD1595" s="21"/>
      <c r="DB1595" s="24"/>
      <c r="DD1595" s="21"/>
      <c r="DE1595" s="22"/>
      <c r="DG1595" s="21"/>
      <c r="DL1595" s="22"/>
      <c r="DM1595" s="22"/>
      <c r="DN1595" s="21"/>
      <c r="DO1595" s="21"/>
      <c r="EF1595" s="25"/>
      <c r="EG1595" s="25"/>
      <c r="EY1595" s="20"/>
    </row>
    <row r="1596" spans="1:155">
      <c r="A1596" s="21"/>
      <c r="B1596" s="21"/>
      <c r="AA1596" s="22"/>
      <c r="AB1596" s="22"/>
      <c r="AC1596" s="21"/>
      <c r="AD1596" s="21"/>
      <c r="BD1596" s="21"/>
      <c r="DB1596" s="24"/>
      <c r="DD1596" s="21"/>
      <c r="DE1596" s="22"/>
      <c r="DG1596" s="21"/>
      <c r="DL1596" s="22"/>
      <c r="DM1596" s="22"/>
      <c r="DN1596" s="21"/>
      <c r="DO1596" s="21"/>
      <c r="EF1596" s="25"/>
      <c r="EG1596" s="25"/>
      <c r="EY1596" s="20"/>
    </row>
    <row r="1597" spans="1:155">
      <c r="A1597" s="21"/>
      <c r="B1597" s="21"/>
      <c r="AA1597" s="22"/>
      <c r="AB1597" s="22"/>
      <c r="AC1597" s="21"/>
      <c r="AD1597" s="21"/>
      <c r="AY1597" s="22"/>
      <c r="BB1597" s="22"/>
      <c r="BD1597" s="21"/>
      <c r="DB1597" s="24"/>
      <c r="DD1597" s="21"/>
      <c r="DE1597" s="22"/>
      <c r="DG1597" s="21"/>
      <c r="DL1597" s="22"/>
      <c r="DM1597" s="22"/>
      <c r="DN1597" s="21"/>
      <c r="DO1597" s="21"/>
      <c r="EF1597" s="25"/>
      <c r="EG1597" s="25"/>
      <c r="EY1597" s="20"/>
    </row>
    <row r="1598" spans="1:155">
      <c r="A1598" s="21"/>
      <c r="B1598" s="21"/>
      <c r="AA1598" s="22"/>
      <c r="AB1598" s="22"/>
      <c r="AC1598" s="21"/>
      <c r="AD1598" s="21"/>
      <c r="AY1598" s="22"/>
      <c r="BB1598" s="22"/>
      <c r="BD1598" s="21"/>
      <c r="DB1598" s="24"/>
      <c r="DD1598" s="21"/>
      <c r="DE1598" s="22"/>
      <c r="DG1598" s="21"/>
      <c r="DL1598" s="22"/>
      <c r="DM1598" s="22"/>
      <c r="DN1598" s="21"/>
      <c r="DO1598" s="21"/>
      <c r="EF1598" s="25"/>
      <c r="EG1598" s="25"/>
      <c r="EY1598" s="20"/>
    </row>
    <row r="1599" spans="1:155">
      <c r="A1599" s="21"/>
      <c r="B1599" s="21"/>
      <c r="AA1599" s="22"/>
      <c r="AB1599" s="22"/>
      <c r="AC1599" s="21"/>
      <c r="AD1599" s="21"/>
      <c r="AY1599" s="22"/>
      <c r="BB1599" s="22"/>
      <c r="BD1599" s="21"/>
      <c r="DB1599" s="24"/>
      <c r="DD1599" s="21"/>
      <c r="DE1599" s="22"/>
      <c r="DG1599" s="21"/>
      <c r="DL1599" s="22"/>
      <c r="DM1599" s="22"/>
      <c r="DN1599" s="21"/>
      <c r="DO1599" s="21"/>
      <c r="EF1599" s="25"/>
      <c r="EG1599" s="25"/>
      <c r="EY1599" s="20"/>
    </row>
    <row r="1600" spans="1:155">
      <c r="A1600" s="21"/>
      <c r="B1600" s="21"/>
      <c r="AA1600" s="22"/>
      <c r="AB1600" s="22"/>
      <c r="AC1600" s="21"/>
      <c r="AD1600" s="21"/>
      <c r="BD1600" s="21"/>
      <c r="DB1600" s="24"/>
      <c r="DD1600" s="21"/>
      <c r="DE1600" s="22"/>
      <c r="DG1600" s="21"/>
      <c r="DL1600" s="22"/>
      <c r="DM1600" s="22"/>
      <c r="DN1600" s="21"/>
      <c r="DO1600" s="21"/>
      <c r="EF1600" s="25"/>
      <c r="EG1600" s="25"/>
      <c r="EY1600" s="20"/>
    </row>
    <row r="1601" spans="1:155">
      <c r="A1601" s="21"/>
      <c r="B1601" s="21"/>
      <c r="AA1601" s="22"/>
      <c r="AB1601" s="22"/>
      <c r="AC1601" s="21"/>
      <c r="AD1601" s="21"/>
      <c r="BD1601" s="21"/>
      <c r="DB1601" s="24"/>
      <c r="DD1601" s="21"/>
      <c r="DE1601" s="22"/>
      <c r="DG1601" s="21"/>
      <c r="DL1601" s="22"/>
      <c r="DM1601" s="22"/>
      <c r="DN1601" s="21"/>
      <c r="DO1601" s="21"/>
      <c r="EF1601" s="25"/>
      <c r="EG1601" s="25"/>
      <c r="EY1601" s="20"/>
    </row>
    <row r="1602" spans="1:155">
      <c r="A1602" s="21"/>
      <c r="B1602" s="21"/>
      <c r="AA1602" s="22"/>
      <c r="AB1602" s="22"/>
      <c r="AC1602" s="21"/>
      <c r="AD1602" s="21"/>
      <c r="BD1602" s="21"/>
      <c r="CN1602" s="22"/>
      <c r="DB1602" s="24"/>
      <c r="DD1602" s="21"/>
      <c r="DE1602" s="22"/>
      <c r="DG1602" s="21"/>
      <c r="DL1602" s="22"/>
      <c r="DM1602" s="22"/>
      <c r="DN1602" s="21"/>
      <c r="DO1602" s="21"/>
      <c r="EF1602" s="25"/>
      <c r="EG1602" s="25"/>
      <c r="EY1602" s="20"/>
    </row>
    <row r="1603" spans="1:155">
      <c r="A1603" s="21"/>
      <c r="B1603" s="21"/>
      <c r="AA1603" s="22"/>
      <c r="AB1603" s="22"/>
      <c r="AC1603" s="21"/>
      <c r="AD1603" s="21"/>
      <c r="AY1603" s="22"/>
      <c r="BB1603" s="22"/>
      <c r="BD1603" s="21"/>
      <c r="DB1603" s="24"/>
      <c r="DD1603" s="21"/>
      <c r="DE1603" s="22"/>
      <c r="DG1603" s="21"/>
      <c r="DL1603" s="22"/>
      <c r="DM1603" s="22"/>
      <c r="DN1603" s="21"/>
      <c r="DO1603" s="21"/>
      <c r="EF1603" s="25"/>
      <c r="EG1603" s="25"/>
      <c r="EY1603" s="20"/>
    </row>
    <row r="1604" spans="1:155">
      <c r="A1604" s="21"/>
      <c r="B1604" s="21"/>
      <c r="AA1604" s="22"/>
      <c r="AB1604" s="22"/>
      <c r="AC1604" s="21"/>
      <c r="AD1604" s="21"/>
      <c r="AY1604" s="22"/>
      <c r="BB1604" s="22"/>
      <c r="BD1604" s="21"/>
      <c r="DB1604" s="24"/>
      <c r="DD1604" s="21"/>
      <c r="DE1604" s="22"/>
      <c r="DG1604" s="21"/>
      <c r="DL1604" s="22"/>
      <c r="DM1604" s="22"/>
      <c r="DN1604" s="21"/>
      <c r="DO1604" s="21"/>
      <c r="EF1604" s="25"/>
      <c r="EG1604" s="25"/>
      <c r="EY1604" s="20"/>
    </row>
    <row r="1605" spans="1:155">
      <c r="A1605" s="21"/>
      <c r="B1605" s="21"/>
      <c r="AA1605" s="22"/>
      <c r="AB1605" s="22"/>
      <c r="AC1605" s="21"/>
      <c r="AD1605" s="21"/>
      <c r="BD1605" s="21"/>
      <c r="DB1605" s="24"/>
      <c r="DD1605" s="21"/>
      <c r="DE1605" s="22"/>
      <c r="DG1605" s="21"/>
      <c r="DL1605" s="22"/>
      <c r="DM1605" s="22"/>
      <c r="DN1605" s="21"/>
      <c r="DO1605" s="21"/>
      <c r="EF1605" s="25"/>
      <c r="EG1605" s="25"/>
      <c r="EY1605" s="20"/>
    </row>
    <row r="1606" spans="1:155">
      <c r="A1606" s="21"/>
      <c r="B1606" s="21"/>
      <c r="AA1606" s="22"/>
      <c r="AB1606" s="22"/>
      <c r="AC1606" s="21"/>
      <c r="AD1606" s="21"/>
      <c r="BD1606" s="21"/>
      <c r="DB1606" s="24"/>
      <c r="DD1606" s="21"/>
      <c r="DE1606" s="22"/>
      <c r="DG1606" s="21"/>
      <c r="DL1606" s="22"/>
      <c r="DM1606" s="22"/>
      <c r="DN1606" s="21"/>
      <c r="DO1606" s="21"/>
      <c r="EF1606" s="25"/>
      <c r="EG1606" s="25"/>
      <c r="EY1606" s="20"/>
    </row>
    <row r="1607" spans="1:155">
      <c r="A1607" s="21"/>
      <c r="B1607" s="21"/>
      <c r="AA1607" s="22"/>
      <c r="AB1607" s="22"/>
      <c r="AC1607" s="21"/>
      <c r="AD1607" s="21"/>
      <c r="AY1607" s="22"/>
      <c r="BB1607" s="22"/>
      <c r="BD1607" s="21"/>
      <c r="DB1607" s="24"/>
      <c r="DD1607" s="21"/>
      <c r="DE1607" s="22"/>
      <c r="DG1607" s="21"/>
      <c r="DL1607" s="22"/>
      <c r="DM1607" s="22"/>
      <c r="DN1607" s="21"/>
      <c r="DO1607" s="21"/>
      <c r="EF1607" s="25"/>
      <c r="EG1607" s="25"/>
      <c r="EY1607" s="20"/>
    </row>
    <row r="1608" spans="1:155">
      <c r="A1608" s="21"/>
      <c r="B1608" s="21"/>
      <c r="AA1608" s="22"/>
      <c r="AB1608" s="22"/>
      <c r="AC1608" s="21"/>
      <c r="AD1608" s="21"/>
      <c r="BD1608" s="21"/>
      <c r="DB1608" s="24"/>
      <c r="DD1608" s="21"/>
      <c r="DE1608" s="22"/>
      <c r="DG1608" s="21"/>
      <c r="DL1608" s="22"/>
      <c r="DM1608" s="22"/>
      <c r="DN1608" s="21"/>
      <c r="DO1608" s="21"/>
      <c r="EF1608" s="25"/>
      <c r="EG1608" s="25"/>
      <c r="EY1608" s="20"/>
    </row>
    <row r="1609" spans="1:155">
      <c r="A1609" s="21"/>
      <c r="B1609" s="21"/>
      <c r="AA1609" s="22"/>
      <c r="AB1609" s="22"/>
      <c r="AC1609" s="21"/>
      <c r="AD1609" s="21"/>
      <c r="BD1609" s="21"/>
      <c r="DB1609" s="24"/>
      <c r="DD1609" s="21"/>
      <c r="DE1609" s="22"/>
      <c r="DG1609" s="21"/>
      <c r="DL1609" s="22"/>
      <c r="DM1609" s="22"/>
      <c r="DN1609" s="21"/>
      <c r="DO1609" s="21"/>
      <c r="EF1609" s="25"/>
      <c r="EG1609" s="25"/>
      <c r="EY1609" s="20"/>
    </row>
    <row r="1610" spans="1:155">
      <c r="A1610" s="21"/>
      <c r="B1610" s="21"/>
      <c r="AA1610" s="22"/>
      <c r="AB1610" s="22"/>
      <c r="AC1610" s="21"/>
      <c r="AD1610" s="21"/>
      <c r="BD1610" s="21"/>
      <c r="DB1610" s="24"/>
      <c r="DD1610" s="21"/>
      <c r="DE1610" s="22"/>
      <c r="DG1610" s="21"/>
      <c r="DL1610" s="22"/>
      <c r="DM1610" s="22"/>
      <c r="DN1610" s="21"/>
      <c r="DO1610" s="21"/>
      <c r="EF1610" s="25"/>
      <c r="EG1610" s="25"/>
      <c r="EY1610" s="20"/>
    </row>
    <row r="1611" spans="1:155">
      <c r="A1611" s="21"/>
      <c r="B1611" s="21"/>
      <c r="AA1611" s="22"/>
      <c r="AB1611" s="22"/>
      <c r="AC1611" s="21"/>
      <c r="AD1611" s="21"/>
      <c r="AY1611" s="22"/>
      <c r="BB1611" s="22"/>
      <c r="BD1611" s="21"/>
      <c r="DB1611" s="24"/>
      <c r="DD1611" s="21"/>
      <c r="DE1611" s="22"/>
      <c r="DG1611" s="21"/>
      <c r="DL1611" s="22"/>
      <c r="DM1611" s="22"/>
      <c r="DN1611" s="21"/>
      <c r="DO1611" s="21"/>
      <c r="EF1611" s="25"/>
      <c r="EG1611" s="25"/>
      <c r="EY1611" s="20"/>
    </row>
    <row r="1612" spans="1:155">
      <c r="A1612" s="21"/>
      <c r="B1612" s="21"/>
      <c r="AA1612" s="22"/>
      <c r="AB1612" s="22"/>
      <c r="AC1612" s="21"/>
      <c r="AD1612" s="21"/>
      <c r="AY1612" s="22"/>
      <c r="BB1612" s="22"/>
      <c r="BD1612" s="21"/>
      <c r="DB1612" s="24"/>
      <c r="DD1612" s="21"/>
      <c r="DE1612" s="22"/>
      <c r="DG1612" s="21"/>
      <c r="DL1612" s="22"/>
      <c r="DM1612" s="22"/>
      <c r="DN1612" s="21"/>
      <c r="DO1612" s="21"/>
      <c r="EF1612" s="25"/>
      <c r="EG1612" s="25"/>
      <c r="EY1612" s="20"/>
    </row>
    <row r="1613" spans="1:155">
      <c r="A1613" s="21"/>
      <c r="B1613" s="21"/>
      <c r="AA1613" s="22"/>
      <c r="AB1613" s="22"/>
      <c r="AC1613" s="21"/>
      <c r="AD1613" s="21"/>
      <c r="AY1613" s="22"/>
      <c r="BB1613" s="22"/>
      <c r="BD1613" s="21"/>
      <c r="DB1613" s="24"/>
      <c r="DD1613" s="21"/>
      <c r="DE1613" s="22"/>
      <c r="DG1613" s="21"/>
      <c r="DL1613" s="22"/>
      <c r="DM1613" s="22"/>
      <c r="DN1613" s="21"/>
      <c r="DO1613" s="21"/>
      <c r="EF1613" s="25"/>
      <c r="EG1613" s="25"/>
      <c r="EY1613" s="20"/>
    </row>
    <row r="1614" spans="1:155">
      <c r="A1614" s="21"/>
      <c r="B1614" s="21"/>
      <c r="AA1614" s="22"/>
      <c r="AB1614" s="22"/>
      <c r="AC1614" s="21"/>
      <c r="AD1614" s="21"/>
      <c r="AY1614" s="22"/>
      <c r="BB1614" s="22"/>
      <c r="BD1614" s="21"/>
      <c r="DB1614" s="24"/>
      <c r="DD1614" s="21"/>
      <c r="DE1614" s="22"/>
      <c r="DG1614" s="21"/>
      <c r="DL1614" s="22"/>
      <c r="DM1614" s="22"/>
      <c r="DN1614" s="21"/>
      <c r="DO1614" s="21"/>
      <c r="EF1614" s="25"/>
      <c r="EG1614" s="25"/>
      <c r="EY1614" s="20"/>
    </row>
    <row r="1615" spans="1:155">
      <c r="A1615" s="21"/>
      <c r="B1615" s="21"/>
      <c r="AA1615" s="22"/>
      <c r="AB1615" s="22"/>
      <c r="AC1615" s="21"/>
      <c r="AD1615" s="21"/>
      <c r="AY1615" s="22"/>
      <c r="BB1615" s="22"/>
      <c r="BD1615" s="21"/>
      <c r="DB1615" s="24"/>
      <c r="DD1615" s="21"/>
      <c r="DE1615" s="22"/>
      <c r="DG1615" s="21"/>
      <c r="DL1615" s="22"/>
      <c r="DM1615" s="22"/>
      <c r="DN1615" s="21"/>
      <c r="DO1615" s="21"/>
      <c r="EF1615" s="25"/>
      <c r="EG1615" s="25"/>
      <c r="EY1615" s="20"/>
    </row>
    <row r="1616" spans="1:155">
      <c r="A1616" s="21"/>
      <c r="B1616" s="21"/>
      <c r="AA1616" s="22"/>
      <c r="AB1616" s="22"/>
      <c r="AC1616" s="21"/>
      <c r="AD1616" s="21"/>
      <c r="BD1616" s="21"/>
      <c r="DB1616" s="24"/>
      <c r="DD1616" s="21"/>
      <c r="DE1616" s="22"/>
      <c r="DG1616" s="21"/>
      <c r="DL1616" s="22"/>
      <c r="DM1616" s="22"/>
      <c r="DN1616" s="21"/>
      <c r="DO1616" s="21"/>
      <c r="EF1616" s="25"/>
      <c r="EG1616" s="25"/>
      <c r="EY1616" s="20"/>
    </row>
    <row r="1617" spans="1:155">
      <c r="A1617" s="21"/>
      <c r="B1617" s="21"/>
      <c r="AA1617" s="22"/>
      <c r="AB1617" s="22"/>
      <c r="AC1617" s="21"/>
      <c r="AD1617" s="21"/>
      <c r="BD1617" s="21"/>
      <c r="DB1617" s="24"/>
      <c r="DD1617" s="21"/>
      <c r="DE1617" s="22"/>
      <c r="DG1617" s="21"/>
      <c r="DL1617" s="22"/>
      <c r="DM1617" s="22"/>
      <c r="DN1617" s="21"/>
      <c r="DO1617" s="21"/>
      <c r="EF1617" s="25"/>
      <c r="EG1617" s="25"/>
      <c r="EY1617" s="20"/>
    </row>
    <row r="1618" spans="1:155">
      <c r="A1618" s="21"/>
      <c r="B1618" s="21"/>
      <c r="AA1618" s="22"/>
      <c r="AB1618" s="22"/>
      <c r="AC1618" s="21"/>
      <c r="AD1618" s="21"/>
      <c r="AY1618" s="22"/>
      <c r="BB1618" s="22"/>
      <c r="BD1618" s="21"/>
      <c r="DB1618" s="24"/>
      <c r="DD1618" s="21"/>
      <c r="DE1618" s="22"/>
      <c r="DG1618" s="21"/>
      <c r="DL1618" s="22"/>
      <c r="DM1618" s="22"/>
      <c r="DN1618" s="21"/>
      <c r="DO1618" s="21"/>
      <c r="EF1618" s="25"/>
      <c r="EG1618" s="25"/>
      <c r="EY1618" s="20"/>
    </row>
    <row r="1619" spans="1:155">
      <c r="A1619" s="21"/>
      <c r="B1619" s="21"/>
      <c r="AA1619" s="22"/>
      <c r="AB1619" s="22"/>
      <c r="AC1619" s="21"/>
      <c r="AD1619" s="21"/>
      <c r="BD1619" s="21"/>
      <c r="DB1619" s="24"/>
      <c r="DD1619" s="21"/>
      <c r="DE1619" s="22"/>
      <c r="DG1619" s="21"/>
      <c r="DL1619" s="22"/>
      <c r="DM1619" s="22"/>
      <c r="DN1619" s="21"/>
      <c r="DO1619" s="21"/>
      <c r="EF1619" s="25"/>
      <c r="EG1619" s="25"/>
      <c r="EY1619" s="20"/>
    </row>
    <row r="1620" spans="1:155">
      <c r="A1620" s="21"/>
      <c r="B1620" s="21"/>
      <c r="AA1620" s="22"/>
      <c r="AB1620" s="22"/>
      <c r="AC1620" s="21"/>
      <c r="AD1620" s="21"/>
      <c r="BD1620" s="21"/>
      <c r="DB1620" s="24"/>
      <c r="DD1620" s="21"/>
      <c r="DE1620" s="22"/>
      <c r="DG1620" s="21"/>
      <c r="DL1620" s="22"/>
      <c r="DM1620" s="22"/>
      <c r="DN1620" s="21"/>
      <c r="DO1620" s="21"/>
      <c r="EF1620" s="25"/>
      <c r="EG1620" s="25"/>
      <c r="EY1620" s="20"/>
    </row>
    <row r="1621" spans="1:155">
      <c r="A1621" s="21"/>
      <c r="B1621" s="21"/>
      <c r="AA1621" s="22"/>
      <c r="AB1621" s="22"/>
      <c r="AC1621" s="21"/>
      <c r="AD1621" s="21"/>
      <c r="BD1621" s="21"/>
      <c r="DB1621" s="24"/>
      <c r="DD1621" s="21"/>
      <c r="DE1621" s="22"/>
      <c r="DG1621" s="21"/>
      <c r="DL1621" s="22"/>
      <c r="DM1621" s="22"/>
      <c r="DN1621" s="21"/>
      <c r="DO1621" s="21"/>
      <c r="EF1621" s="25"/>
      <c r="EG1621" s="25"/>
      <c r="EY1621" s="20"/>
    </row>
    <row r="1622" spans="1:155">
      <c r="A1622" s="21"/>
      <c r="B1622" s="21"/>
      <c r="AA1622" s="22"/>
      <c r="AB1622" s="22"/>
      <c r="AC1622" s="21"/>
      <c r="AD1622" s="21"/>
      <c r="BD1622" s="21"/>
      <c r="DB1622" s="24"/>
      <c r="DD1622" s="21"/>
      <c r="DE1622" s="22"/>
      <c r="DG1622" s="21"/>
      <c r="DL1622" s="22"/>
      <c r="DM1622" s="22"/>
      <c r="DN1622" s="21"/>
      <c r="DO1622" s="21"/>
      <c r="EF1622" s="25"/>
      <c r="EG1622" s="25"/>
      <c r="EY1622" s="20"/>
    </row>
    <row r="1623" spans="1:155">
      <c r="A1623" s="21"/>
      <c r="B1623" s="21"/>
      <c r="AA1623" s="22"/>
      <c r="AB1623" s="22"/>
      <c r="AC1623" s="21"/>
      <c r="AD1623" s="21"/>
      <c r="BD1623" s="21"/>
      <c r="DB1623" s="24"/>
      <c r="DD1623" s="21"/>
      <c r="DE1623" s="22"/>
      <c r="DG1623" s="21"/>
      <c r="DL1623" s="22"/>
      <c r="DM1623" s="22"/>
      <c r="DN1623" s="21"/>
      <c r="DO1623" s="21"/>
      <c r="EF1623" s="25"/>
      <c r="EG1623" s="25"/>
      <c r="EY1623" s="20"/>
    </row>
    <row r="1624" spans="1:155">
      <c r="A1624" s="21"/>
      <c r="B1624" s="21"/>
      <c r="AA1624" s="22"/>
      <c r="AB1624" s="22"/>
      <c r="AC1624" s="21"/>
      <c r="AD1624" s="21"/>
      <c r="AY1624" s="22"/>
      <c r="BB1624" s="22"/>
      <c r="BD1624" s="21"/>
      <c r="DB1624" s="24"/>
      <c r="DD1624" s="21"/>
      <c r="DE1624" s="22"/>
      <c r="DG1624" s="21"/>
      <c r="DL1624" s="22"/>
      <c r="DM1624" s="22"/>
      <c r="DN1624" s="21"/>
      <c r="DO1624" s="21"/>
      <c r="EF1624" s="25"/>
      <c r="EG1624" s="25"/>
      <c r="EY1624" s="20"/>
    </row>
    <row r="1625" spans="1:155">
      <c r="A1625" s="21"/>
      <c r="B1625" s="21"/>
      <c r="AA1625" s="22"/>
      <c r="AB1625" s="22"/>
      <c r="AC1625" s="21"/>
      <c r="AD1625" s="21"/>
      <c r="BD1625" s="21"/>
      <c r="DB1625" s="24"/>
      <c r="DD1625" s="21"/>
      <c r="DE1625" s="22"/>
      <c r="DG1625" s="21"/>
      <c r="DL1625" s="22"/>
      <c r="DM1625" s="22"/>
      <c r="DN1625" s="21"/>
      <c r="DO1625" s="21"/>
      <c r="EF1625" s="25"/>
      <c r="EG1625" s="25"/>
      <c r="EY1625" s="20"/>
    </row>
    <row r="1626" spans="1:155">
      <c r="A1626" s="21"/>
      <c r="B1626" s="21"/>
      <c r="AA1626" s="22"/>
      <c r="AB1626" s="22"/>
      <c r="AC1626" s="21"/>
      <c r="AD1626" s="21"/>
      <c r="BD1626" s="21"/>
      <c r="DB1626" s="24"/>
      <c r="DD1626" s="21"/>
      <c r="DE1626" s="22"/>
      <c r="DG1626" s="21"/>
      <c r="DL1626" s="22"/>
      <c r="DM1626" s="22"/>
      <c r="DN1626" s="21"/>
      <c r="DO1626" s="21"/>
      <c r="EF1626" s="25"/>
      <c r="EG1626" s="25"/>
      <c r="EY1626" s="20"/>
    </row>
    <row r="1627" spans="1:155">
      <c r="A1627" s="21"/>
      <c r="B1627" s="21"/>
      <c r="AA1627" s="22"/>
      <c r="AB1627" s="22"/>
      <c r="AC1627" s="21"/>
      <c r="AD1627" s="21"/>
      <c r="AY1627" s="22"/>
      <c r="BB1627" s="22"/>
      <c r="BD1627" s="21"/>
      <c r="DB1627" s="24"/>
      <c r="DD1627" s="21"/>
      <c r="DE1627" s="22"/>
      <c r="DG1627" s="21"/>
      <c r="DL1627" s="22"/>
      <c r="DM1627" s="22"/>
      <c r="DN1627" s="21"/>
      <c r="DO1627" s="21"/>
      <c r="EF1627" s="25"/>
      <c r="EG1627" s="25"/>
      <c r="EY1627" s="20"/>
    </row>
    <row r="1628" spans="1:155">
      <c r="A1628" s="21"/>
      <c r="B1628" s="21"/>
      <c r="AA1628" s="22"/>
      <c r="AB1628" s="22"/>
      <c r="AC1628" s="21"/>
      <c r="AD1628" s="21"/>
      <c r="AY1628" s="22"/>
      <c r="BB1628" s="22"/>
      <c r="BD1628" s="21"/>
      <c r="DB1628" s="24"/>
      <c r="DD1628" s="21"/>
      <c r="DE1628" s="22"/>
      <c r="DG1628" s="21"/>
      <c r="DL1628" s="22"/>
      <c r="DM1628" s="22"/>
      <c r="DN1628" s="21"/>
      <c r="DO1628" s="21"/>
      <c r="EF1628" s="25"/>
      <c r="EG1628" s="25"/>
      <c r="EY1628" s="20"/>
    </row>
    <row r="1629" spans="1:155">
      <c r="A1629" s="21"/>
      <c r="B1629" s="21"/>
      <c r="AA1629" s="22"/>
      <c r="AB1629" s="22"/>
      <c r="AC1629" s="21"/>
      <c r="AD1629" s="21"/>
      <c r="AY1629" s="22"/>
      <c r="BB1629" s="22"/>
      <c r="BD1629" s="21"/>
      <c r="DB1629" s="24"/>
      <c r="DD1629" s="21"/>
      <c r="DE1629" s="22"/>
      <c r="DG1629" s="21"/>
      <c r="DL1629" s="22"/>
      <c r="DM1629" s="22"/>
      <c r="DN1629" s="21"/>
      <c r="DO1629" s="21"/>
      <c r="EF1629" s="25"/>
      <c r="EG1629" s="25"/>
      <c r="EY1629" s="20"/>
    </row>
    <row r="1630" spans="1:155">
      <c r="A1630" s="21"/>
      <c r="B1630" s="21"/>
      <c r="AA1630" s="22"/>
      <c r="AB1630" s="22"/>
      <c r="AC1630" s="21"/>
      <c r="AD1630" s="21"/>
      <c r="AY1630" s="22"/>
      <c r="BB1630" s="22"/>
      <c r="BD1630" s="21"/>
      <c r="DB1630" s="24"/>
      <c r="DD1630" s="21"/>
      <c r="DE1630" s="22"/>
      <c r="DG1630" s="21"/>
      <c r="DL1630" s="22"/>
      <c r="DM1630" s="22"/>
      <c r="DN1630" s="21"/>
      <c r="DO1630" s="21"/>
      <c r="EF1630" s="25"/>
      <c r="EG1630" s="25"/>
      <c r="EY1630" s="20"/>
    </row>
    <row r="1631" spans="1:155">
      <c r="A1631" s="21"/>
      <c r="B1631" s="21"/>
      <c r="AA1631" s="22"/>
      <c r="AB1631" s="22"/>
      <c r="AC1631" s="21"/>
      <c r="AD1631" s="21"/>
      <c r="BD1631" s="21"/>
      <c r="CN1631" s="22"/>
      <c r="DB1631" s="24"/>
      <c r="DD1631" s="21"/>
      <c r="DE1631" s="22"/>
      <c r="DG1631" s="21"/>
      <c r="DL1631" s="22"/>
      <c r="DM1631" s="22"/>
      <c r="DN1631" s="21"/>
      <c r="DO1631" s="21"/>
      <c r="EF1631" s="25"/>
      <c r="EG1631" s="25"/>
      <c r="EY1631" s="20"/>
    </row>
    <row r="1632" spans="1:155">
      <c r="A1632" s="21"/>
      <c r="B1632" s="21"/>
      <c r="AA1632" s="22"/>
      <c r="AB1632" s="22"/>
      <c r="AC1632" s="21"/>
      <c r="AD1632" s="21"/>
      <c r="AY1632" s="22"/>
      <c r="BB1632" s="22"/>
      <c r="BD1632" s="21"/>
      <c r="DB1632" s="24"/>
      <c r="DD1632" s="21"/>
      <c r="DE1632" s="22"/>
      <c r="DG1632" s="21"/>
      <c r="DL1632" s="22"/>
      <c r="DM1632" s="22"/>
      <c r="DN1632" s="21"/>
      <c r="DO1632" s="21"/>
      <c r="EF1632" s="25"/>
      <c r="EG1632" s="25"/>
      <c r="EY1632" s="20"/>
    </row>
    <row r="1633" spans="1:155">
      <c r="A1633" s="21"/>
      <c r="B1633" s="21"/>
      <c r="AA1633" s="22"/>
      <c r="AB1633" s="22"/>
      <c r="AC1633" s="21"/>
      <c r="AD1633" s="21"/>
      <c r="AY1633" s="22"/>
      <c r="BB1633" s="22"/>
      <c r="BD1633" s="21"/>
      <c r="DB1633" s="24"/>
      <c r="DD1633" s="21"/>
      <c r="DE1633" s="22"/>
      <c r="DG1633" s="21"/>
      <c r="DL1633" s="22"/>
      <c r="DM1633" s="22"/>
      <c r="DN1633" s="21"/>
      <c r="DO1633" s="21"/>
      <c r="EF1633" s="25"/>
      <c r="EG1633" s="25"/>
      <c r="EY1633" s="20"/>
    </row>
    <row r="1634" spans="1:155">
      <c r="A1634" s="21"/>
      <c r="B1634" s="21"/>
      <c r="AA1634" s="22"/>
      <c r="AB1634" s="22"/>
      <c r="AC1634" s="21"/>
      <c r="AD1634" s="21"/>
      <c r="BD1634" s="21"/>
      <c r="DB1634" s="24"/>
      <c r="DD1634" s="21"/>
      <c r="DE1634" s="22"/>
      <c r="DG1634" s="21"/>
      <c r="DL1634" s="22"/>
      <c r="DM1634" s="22"/>
      <c r="DN1634" s="21"/>
      <c r="DO1634" s="21"/>
      <c r="EF1634" s="25"/>
      <c r="EG1634" s="25"/>
      <c r="EY1634" s="20"/>
    </row>
    <row r="1635" spans="1:155">
      <c r="A1635" s="21"/>
      <c r="B1635" s="21"/>
      <c r="AA1635" s="22"/>
      <c r="AB1635" s="22"/>
      <c r="AC1635" s="21"/>
      <c r="AD1635" s="21"/>
      <c r="AY1635" s="22"/>
      <c r="BB1635" s="22"/>
      <c r="BD1635" s="21"/>
      <c r="DB1635" s="24"/>
      <c r="DD1635" s="21"/>
      <c r="DE1635" s="22"/>
      <c r="DG1635" s="21"/>
      <c r="DL1635" s="22"/>
      <c r="DM1635" s="22"/>
      <c r="DN1635" s="21"/>
      <c r="DO1635" s="21"/>
      <c r="EF1635" s="25"/>
      <c r="EG1635" s="25"/>
      <c r="EY1635" s="20"/>
    </row>
    <row r="1636" spans="1:155">
      <c r="A1636" s="21"/>
      <c r="B1636" s="21"/>
      <c r="AA1636" s="22"/>
      <c r="AB1636" s="22"/>
      <c r="AC1636" s="21"/>
      <c r="AD1636" s="21"/>
      <c r="AY1636" s="22"/>
      <c r="BB1636" s="22"/>
      <c r="BD1636" s="21"/>
      <c r="DB1636" s="24"/>
      <c r="DD1636" s="21"/>
      <c r="DE1636" s="22"/>
      <c r="DG1636" s="21"/>
      <c r="DL1636" s="22"/>
      <c r="DM1636" s="22"/>
      <c r="DN1636" s="21"/>
      <c r="DO1636" s="21"/>
      <c r="EF1636" s="25"/>
      <c r="EG1636" s="25"/>
      <c r="EY1636" s="20"/>
    </row>
    <row r="1637" spans="1:155">
      <c r="A1637" s="21"/>
      <c r="B1637" s="21"/>
      <c r="AA1637" s="22"/>
      <c r="AB1637" s="22"/>
      <c r="AC1637" s="21"/>
      <c r="AD1637" s="21"/>
      <c r="BD1637" s="21"/>
      <c r="DB1637" s="24"/>
      <c r="DD1637" s="21"/>
      <c r="DE1637" s="22"/>
      <c r="DG1637" s="21"/>
      <c r="DL1637" s="22"/>
      <c r="DM1637" s="22"/>
      <c r="DN1637" s="21"/>
      <c r="DO1637" s="21"/>
      <c r="EF1637" s="25"/>
      <c r="EG1637" s="25"/>
      <c r="EY1637" s="20"/>
    </row>
    <row r="1638" spans="1:155">
      <c r="A1638" s="21"/>
      <c r="B1638" s="21"/>
      <c r="AA1638" s="22"/>
      <c r="AB1638" s="22"/>
      <c r="AC1638" s="21"/>
      <c r="AD1638" s="21"/>
      <c r="AY1638" s="22"/>
      <c r="BB1638" s="22"/>
      <c r="BD1638" s="21"/>
      <c r="DB1638" s="24"/>
      <c r="DD1638" s="21"/>
      <c r="DE1638" s="22"/>
      <c r="DG1638" s="21"/>
      <c r="DL1638" s="22"/>
      <c r="DM1638" s="22"/>
      <c r="DN1638" s="21"/>
      <c r="DO1638" s="21"/>
      <c r="EF1638" s="25"/>
      <c r="EG1638" s="25"/>
      <c r="EY1638" s="20"/>
    </row>
    <row r="1639" spans="1:155">
      <c r="A1639" s="21"/>
      <c r="B1639" s="21"/>
      <c r="AA1639" s="22"/>
      <c r="AB1639" s="22"/>
      <c r="AC1639" s="21"/>
      <c r="AD1639" s="21"/>
      <c r="AY1639" s="22"/>
      <c r="BB1639" s="22"/>
      <c r="BD1639" s="21"/>
      <c r="DB1639" s="24"/>
      <c r="DD1639" s="21"/>
      <c r="DE1639" s="22"/>
      <c r="DG1639" s="21"/>
      <c r="DL1639" s="22"/>
      <c r="DM1639" s="22"/>
      <c r="DN1639" s="21"/>
      <c r="DO1639" s="21"/>
      <c r="EF1639" s="25"/>
      <c r="EG1639" s="25"/>
      <c r="EY1639" s="20"/>
    </row>
    <row r="1640" spans="1:155">
      <c r="A1640" s="21"/>
      <c r="B1640" s="21"/>
      <c r="AA1640" s="22"/>
      <c r="AB1640" s="22"/>
      <c r="AC1640" s="21"/>
      <c r="AD1640" s="21"/>
      <c r="BD1640" s="21"/>
      <c r="DB1640" s="24"/>
      <c r="DD1640" s="21"/>
      <c r="DE1640" s="22"/>
      <c r="DG1640" s="21"/>
      <c r="DL1640" s="22"/>
      <c r="DM1640" s="22"/>
      <c r="DN1640" s="21"/>
      <c r="DO1640" s="21"/>
      <c r="EF1640" s="25"/>
      <c r="EG1640" s="25"/>
      <c r="EY1640" s="20"/>
    </row>
    <row r="1641" spans="1:155">
      <c r="A1641" s="21"/>
      <c r="B1641" s="21"/>
      <c r="AA1641" s="22"/>
      <c r="AB1641" s="22"/>
      <c r="AC1641" s="21"/>
      <c r="AD1641" s="21"/>
      <c r="BD1641" s="21"/>
      <c r="DB1641" s="24"/>
      <c r="DD1641" s="21"/>
      <c r="DE1641" s="22"/>
      <c r="DG1641" s="21"/>
      <c r="DL1641" s="22"/>
      <c r="DM1641" s="22"/>
      <c r="DN1641" s="21"/>
      <c r="DO1641" s="21"/>
      <c r="EF1641" s="25"/>
      <c r="EG1641" s="25"/>
      <c r="EY1641" s="20"/>
    </row>
    <row r="1642" spans="1:155">
      <c r="A1642" s="21"/>
      <c r="B1642" s="21"/>
      <c r="AA1642" s="22"/>
      <c r="AB1642" s="22"/>
      <c r="AC1642" s="21"/>
      <c r="AD1642" s="21"/>
      <c r="BD1642" s="21"/>
      <c r="DB1642" s="24"/>
      <c r="DD1642" s="21"/>
      <c r="DE1642" s="22"/>
      <c r="DG1642" s="21"/>
      <c r="DL1642" s="22"/>
      <c r="DM1642" s="22"/>
      <c r="DN1642" s="21"/>
      <c r="DO1642" s="21"/>
      <c r="EF1642" s="25"/>
      <c r="EG1642" s="25"/>
      <c r="EY1642" s="20"/>
    </row>
    <row r="1643" spans="1:155">
      <c r="A1643" s="21"/>
      <c r="B1643" s="21"/>
      <c r="AA1643" s="22"/>
      <c r="AB1643" s="22"/>
      <c r="AC1643" s="21"/>
      <c r="AD1643" s="21"/>
      <c r="AY1643" s="22"/>
      <c r="BB1643" s="22"/>
      <c r="BD1643" s="21"/>
      <c r="DB1643" s="24"/>
      <c r="DD1643" s="21"/>
      <c r="DE1643" s="22"/>
      <c r="DG1643" s="21"/>
      <c r="DL1643" s="22"/>
      <c r="DM1643" s="22"/>
      <c r="DN1643" s="21"/>
      <c r="DO1643" s="21"/>
      <c r="EF1643" s="25"/>
      <c r="EG1643" s="25"/>
      <c r="EY1643" s="20"/>
    </row>
    <row r="1644" spans="1:155">
      <c r="A1644" s="21"/>
      <c r="B1644" s="21"/>
      <c r="AA1644" s="22"/>
      <c r="AB1644" s="22"/>
      <c r="AC1644" s="21"/>
      <c r="AD1644" s="21"/>
      <c r="BD1644" s="21"/>
      <c r="CN1644" s="22"/>
      <c r="DB1644" s="24"/>
      <c r="DD1644" s="21"/>
      <c r="DE1644" s="22"/>
      <c r="DG1644" s="21"/>
      <c r="DL1644" s="22"/>
      <c r="DM1644" s="22"/>
      <c r="DN1644" s="21"/>
      <c r="DO1644" s="21"/>
      <c r="EF1644" s="25"/>
      <c r="EG1644" s="25"/>
      <c r="EY1644" s="20"/>
    </row>
    <row r="1645" spans="1:155">
      <c r="A1645" s="21"/>
      <c r="B1645" s="21"/>
      <c r="AA1645" s="22"/>
      <c r="AB1645" s="22"/>
      <c r="AC1645" s="21"/>
      <c r="AD1645" s="21"/>
      <c r="BD1645" s="21"/>
      <c r="DB1645" s="24"/>
      <c r="DD1645" s="21"/>
      <c r="DE1645" s="22"/>
      <c r="DG1645" s="21"/>
      <c r="DL1645" s="22"/>
      <c r="DM1645" s="22"/>
      <c r="DN1645" s="21"/>
      <c r="DO1645" s="21"/>
      <c r="EF1645" s="25"/>
      <c r="EG1645" s="25"/>
      <c r="EY1645" s="20"/>
    </row>
    <row r="1646" spans="1:155">
      <c r="A1646" s="21"/>
      <c r="B1646" s="21"/>
      <c r="AA1646" s="22"/>
      <c r="AB1646" s="22"/>
      <c r="AC1646" s="21"/>
      <c r="AD1646" s="21"/>
      <c r="AY1646" s="22"/>
      <c r="BB1646" s="22"/>
      <c r="BD1646" s="21"/>
      <c r="DB1646" s="24"/>
      <c r="DD1646" s="21"/>
      <c r="DE1646" s="22"/>
      <c r="DG1646" s="21"/>
      <c r="DL1646" s="22"/>
      <c r="DM1646" s="22"/>
      <c r="DN1646" s="21"/>
      <c r="DO1646" s="21"/>
      <c r="EF1646" s="25"/>
      <c r="EG1646" s="25"/>
      <c r="EY1646" s="20"/>
    </row>
    <row r="1647" spans="1:155">
      <c r="A1647" s="21"/>
      <c r="B1647" s="21"/>
      <c r="AA1647" s="22"/>
      <c r="AB1647" s="22"/>
      <c r="AC1647" s="21"/>
      <c r="AD1647" s="21"/>
      <c r="BD1647" s="21"/>
      <c r="DB1647" s="24"/>
      <c r="DD1647" s="21"/>
      <c r="DE1647" s="22"/>
      <c r="DG1647" s="21"/>
      <c r="DL1647" s="22"/>
      <c r="DM1647" s="22"/>
      <c r="DN1647" s="21"/>
      <c r="DO1647" s="21"/>
      <c r="EF1647" s="25"/>
      <c r="EG1647" s="25"/>
      <c r="EY1647" s="20"/>
    </row>
    <row r="1648" spans="1:155">
      <c r="A1648" s="21"/>
      <c r="B1648" s="21"/>
      <c r="AA1648" s="22"/>
      <c r="AB1648" s="22"/>
      <c r="AC1648" s="21"/>
      <c r="AD1648" s="21"/>
      <c r="BD1648" s="21"/>
      <c r="DB1648" s="24"/>
      <c r="DD1648" s="21"/>
      <c r="DE1648" s="22"/>
      <c r="DG1648" s="21"/>
      <c r="DL1648" s="22"/>
      <c r="DM1648" s="22"/>
      <c r="DN1648" s="21"/>
      <c r="DO1648" s="21"/>
      <c r="EF1648" s="25"/>
      <c r="EG1648" s="25"/>
      <c r="EY1648" s="20"/>
    </row>
    <row r="1649" spans="1:155">
      <c r="A1649" s="21"/>
      <c r="B1649" s="21"/>
      <c r="AA1649" s="22"/>
      <c r="AB1649" s="22"/>
      <c r="AC1649" s="21"/>
      <c r="AD1649" s="21"/>
      <c r="BD1649" s="21"/>
      <c r="DB1649" s="24"/>
      <c r="DD1649" s="21"/>
      <c r="DE1649" s="22"/>
      <c r="DG1649" s="21"/>
      <c r="DL1649" s="22"/>
      <c r="DM1649" s="22"/>
      <c r="DN1649" s="21"/>
      <c r="DO1649" s="21"/>
      <c r="EF1649" s="25"/>
      <c r="EG1649" s="25"/>
      <c r="EY1649" s="20"/>
    </row>
    <row r="1650" spans="1:155">
      <c r="A1650" s="21"/>
      <c r="B1650" s="21"/>
      <c r="AA1650" s="22"/>
      <c r="AB1650" s="22"/>
      <c r="AC1650" s="21"/>
      <c r="AD1650" s="21"/>
      <c r="AY1650" s="22"/>
      <c r="BB1650" s="22"/>
      <c r="BD1650" s="21"/>
      <c r="DB1650" s="24"/>
      <c r="DD1650" s="21"/>
      <c r="DE1650" s="22"/>
      <c r="DG1650" s="21"/>
      <c r="DL1650" s="22"/>
      <c r="DM1650" s="22"/>
      <c r="DN1650" s="21"/>
      <c r="DO1650" s="21"/>
      <c r="EF1650" s="25"/>
      <c r="EG1650" s="25"/>
      <c r="EY1650" s="20"/>
    </row>
    <row r="1651" spans="1:155">
      <c r="A1651" s="21"/>
      <c r="B1651" s="21"/>
      <c r="AA1651" s="22"/>
      <c r="AB1651" s="22"/>
      <c r="AC1651" s="21"/>
      <c r="AD1651" s="21"/>
      <c r="AY1651" s="22"/>
      <c r="BB1651" s="22"/>
      <c r="BD1651" s="21"/>
      <c r="DB1651" s="24"/>
      <c r="DD1651" s="21"/>
      <c r="DE1651" s="22"/>
      <c r="DG1651" s="21"/>
      <c r="DL1651" s="22"/>
      <c r="DM1651" s="22"/>
      <c r="DN1651" s="21"/>
      <c r="DO1651" s="21"/>
      <c r="EF1651" s="25"/>
      <c r="EG1651" s="25"/>
      <c r="EY1651" s="20"/>
    </row>
    <row r="1652" spans="1:155">
      <c r="A1652" s="21"/>
      <c r="B1652" s="21"/>
      <c r="AA1652" s="22"/>
      <c r="AB1652" s="22"/>
      <c r="AC1652" s="21"/>
      <c r="AD1652" s="21"/>
      <c r="BD1652" s="21"/>
      <c r="DB1652" s="24"/>
      <c r="DD1652" s="21"/>
      <c r="DE1652" s="22"/>
      <c r="DG1652" s="21"/>
      <c r="DL1652" s="22"/>
      <c r="DM1652" s="22"/>
      <c r="DN1652" s="21"/>
      <c r="DO1652" s="21"/>
      <c r="EF1652" s="25"/>
      <c r="EG1652" s="25"/>
      <c r="EY1652" s="20"/>
    </row>
    <row r="1653" spans="1:155">
      <c r="A1653" s="21"/>
      <c r="B1653" s="21"/>
      <c r="AA1653" s="22"/>
      <c r="AB1653" s="22"/>
      <c r="AC1653" s="21"/>
      <c r="AD1653" s="21"/>
      <c r="AY1653" s="22"/>
      <c r="BB1653" s="22"/>
      <c r="BD1653" s="21"/>
      <c r="DB1653" s="24"/>
      <c r="DD1653" s="21"/>
      <c r="DE1653" s="22"/>
      <c r="DG1653" s="21"/>
      <c r="DL1653" s="22"/>
      <c r="DM1653" s="22"/>
      <c r="DN1653" s="21"/>
      <c r="DO1653" s="21"/>
      <c r="EF1653" s="25"/>
      <c r="EG1653" s="25"/>
      <c r="EY1653" s="20"/>
    </row>
    <row r="1654" spans="1:155">
      <c r="A1654" s="21"/>
      <c r="B1654" s="21"/>
      <c r="AA1654" s="22"/>
      <c r="AB1654" s="22"/>
      <c r="AC1654" s="21"/>
      <c r="AD1654" s="21"/>
      <c r="BD1654" s="21"/>
      <c r="DB1654" s="24"/>
      <c r="DD1654" s="21"/>
      <c r="DE1654" s="22"/>
      <c r="DG1654" s="21"/>
      <c r="DL1654" s="22"/>
      <c r="DM1654" s="22"/>
      <c r="DN1654" s="21"/>
      <c r="DO1654" s="21"/>
      <c r="EF1654" s="25"/>
      <c r="EG1654" s="25"/>
      <c r="EY1654" s="20"/>
    </row>
    <row r="1655" spans="1:155">
      <c r="A1655" s="21"/>
      <c r="B1655" s="21"/>
      <c r="AA1655" s="22"/>
      <c r="AB1655" s="22"/>
      <c r="AC1655" s="21"/>
      <c r="AD1655" s="21"/>
      <c r="AY1655" s="22"/>
      <c r="BB1655" s="22"/>
      <c r="BD1655" s="21"/>
      <c r="DB1655" s="24"/>
      <c r="DD1655" s="21"/>
      <c r="DE1655" s="22"/>
      <c r="DG1655" s="21"/>
      <c r="DL1655" s="22"/>
      <c r="DM1655" s="22"/>
      <c r="DN1655" s="21"/>
      <c r="DO1655" s="21"/>
      <c r="EF1655" s="25"/>
      <c r="EG1655" s="25"/>
      <c r="EY1655" s="20"/>
    </row>
    <row r="1656" spans="1:155">
      <c r="A1656" s="21"/>
      <c r="B1656" s="21"/>
      <c r="AA1656" s="22"/>
      <c r="AB1656" s="22"/>
      <c r="AC1656" s="21"/>
      <c r="AD1656" s="21"/>
      <c r="BD1656" s="21"/>
      <c r="DB1656" s="24"/>
      <c r="DD1656" s="21"/>
      <c r="DE1656" s="22"/>
      <c r="DG1656" s="21"/>
      <c r="DL1656" s="22"/>
      <c r="DM1656" s="22"/>
      <c r="DN1656" s="21"/>
      <c r="DO1656" s="21"/>
      <c r="EF1656" s="25"/>
      <c r="EG1656" s="25"/>
      <c r="EY1656" s="20"/>
    </row>
    <row r="1657" spans="1:155">
      <c r="A1657" s="21"/>
      <c r="B1657" s="21"/>
      <c r="AA1657" s="22"/>
      <c r="AB1657" s="22"/>
      <c r="AC1657" s="21"/>
      <c r="AD1657" s="21"/>
      <c r="AY1657" s="22"/>
      <c r="BB1657" s="22"/>
      <c r="BD1657" s="21"/>
      <c r="DB1657" s="24"/>
      <c r="DD1657" s="21"/>
      <c r="DE1657" s="22"/>
      <c r="DG1657" s="21"/>
      <c r="DL1657" s="22"/>
      <c r="DM1657" s="22"/>
      <c r="DN1657" s="21"/>
      <c r="DO1657" s="21"/>
      <c r="EF1657" s="25"/>
      <c r="EG1657" s="25"/>
      <c r="EY1657" s="20"/>
    </row>
    <row r="1658" spans="1:155">
      <c r="A1658" s="21"/>
      <c r="B1658" s="21"/>
      <c r="AA1658" s="22"/>
      <c r="AB1658" s="22"/>
      <c r="AC1658" s="21"/>
      <c r="AD1658" s="21"/>
      <c r="BD1658" s="21"/>
      <c r="DB1658" s="24"/>
      <c r="DD1658" s="21"/>
      <c r="DE1658" s="22"/>
      <c r="DG1658" s="21"/>
      <c r="DL1658" s="22"/>
      <c r="DM1658" s="22"/>
      <c r="DN1658" s="21"/>
      <c r="DO1658" s="21"/>
      <c r="EF1658" s="25"/>
      <c r="EG1658" s="25"/>
      <c r="EY1658" s="20"/>
    </row>
    <row r="1659" spans="1:155">
      <c r="A1659" s="21"/>
      <c r="B1659" s="21"/>
      <c r="AA1659" s="22"/>
      <c r="AB1659" s="22"/>
      <c r="AC1659" s="21"/>
      <c r="AD1659" s="21"/>
      <c r="AY1659" s="22"/>
      <c r="BB1659" s="22"/>
      <c r="BD1659" s="21"/>
      <c r="DB1659" s="24"/>
      <c r="DD1659" s="21"/>
      <c r="DE1659" s="22"/>
      <c r="DG1659" s="21"/>
      <c r="DL1659" s="22"/>
      <c r="DM1659" s="22"/>
      <c r="DN1659" s="21"/>
      <c r="DO1659" s="21"/>
      <c r="EF1659" s="25"/>
      <c r="EG1659" s="25"/>
      <c r="EY1659" s="20"/>
    </row>
    <row r="1660" spans="1:155">
      <c r="A1660" s="21"/>
      <c r="B1660" s="21"/>
      <c r="AA1660" s="22"/>
      <c r="AB1660" s="22"/>
      <c r="AC1660" s="21"/>
      <c r="AD1660" s="21"/>
      <c r="BD1660" s="21"/>
      <c r="DB1660" s="24"/>
      <c r="DD1660" s="21"/>
      <c r="DE1660" s="22"/>
      <c r="DG1660" s="21"/>
      <c r="DL1660" s="22"/>
      <c r="DM1660" s="22"/>
      <c r="DN1660" s="21"/>
      <c r="DO1660" s="21"/>
      <c r="EF1660" s="25"/>
      <c r="EG1660" s="25"/>
      <c r="EY1660" s="20"/>
    </row>
    <row r="1661" spans="1:155">
      <c r="A1661" s="21"/>
      <c r="B1661" s="21"/>
      <c r="AA1661" s="22"/>
      <c r="AB1661" s="22"/>
      <c r="AC1661" s="21"/>
      <c r="AD1661" s="21"/>
      <c r="BD1661" s="21"/>
      <c r="DB1661" s="24"/>
      <c r="DD1661" s="21"/>
      <c r="DE1661" s="22"/>
      <c r="DG1661" s="21"/>
      <c r="DL1661" s="22"/>
      <c r="DM1661" s="22"/>
      <c r="DN1661" s="21"/>
      <c r="DO1661" s="21"/>
      <c r="EF1661" s="25"/>
      <c r="EG1661" s="25"/>
      <c r="EY1661" s="20"/>
    </row>
    <row r="1662" spans="1:155">
      <c r="A1662" s="21"/>
      <c r="B1662" s="21"/>
      <c r="AA1662" s="22"/>
      <c r="AB1662" s="22"/>
      <c r="AC1662" s="21"/>
      <c r="AD1662" s="21"/>
      <c r="BD1662" s="21"/>
      <c r="DB1662" s="24"/>
      <c r="DD1662" s="21"/>
      <c r="DE1662" s="22"/>
      <c r="DG1662" s="21"/>
      <c r="DL1662" s="22"/>
      <c r="DM1662" s="22"/>
      <c r="DN1662" s="21"/>
      <c r="DO1662" s="21"/>
      <c r="EF1662" s="25"/>
      <c r="EG1662" s="25"/>
      <c r="EY1662" s="20"/>
    </row>
    <row r="1663" spans="1:155">
      <c r="A1663" s="21"/>
      <c r="B1663" s="21"/>
      <c r="AA1663" s="22"/>
      <c r="AB1663" s="22"/>
      <c r="AC1663" s="21"/>
      <c r="AD1663" s="21"/>
      <c r="BD1663" s="21"/>
      <c r="DB1663" s="24"/>
      <c r="DD1663" s="21"/>
      <c r="DE1663" s="22"/>
      <c r="DG1663" s="21"/>
      <c r="DL1663" s="22"/>
      <c r="DM1663" s="22"/>
      <c r="DN1663" s="21"/>
      <c r="DO1663" s="21"/>
      <c r="EF1663" s="25"/>
      <c r="EG1663" s="25"/>
      <c r="EY1663" s="20"/>
    </row>
    <row r="1664" spans="1:155">
      <c r="A1664" s="21"/>
      <c r="B1664" s="21"/>
      <c r="AA1664" s="22"/>
      <c r="AB1664" s="22"/>
      <c r="AC1664" s="21"/>
      <c r="AD1664" s="21"/>
      <c r="AY1664" s="22"/>
      <c r="BB1664" s="22"/>
      <c r="BD1664" s="21"/>
      <c r="DB1664" s="24"/>
      <c r="DD1664" s="21"/>
      <c r="DE1664" s="22"/>
      <c r="DG1664" s="21"/>
      <c r="DL1664" s="22"/>
      <c r="DM1664" s="22"/>
      <c r="DN1664" s="21"/>
      <c r="DO1664" s="21"/>
      <c r="EF1664" s="25"/>
      <c r="EG1664" s="25"/>
      <c r="EY1664" s="20"/>
    </row>
    <row r="1665" spans="53:109">
      <c r="BD1665" s="21"/>
      <c r="DE1665" s="22"/>
    </row>
    <row r="1666" spans="53:109">
      <c r="BD1666" s="21"/>
    </row>
    <row r="1667" spans="53:109">
      <c r="BD1667" s="21"/>
    </row>
    <row r="1668" spans="53:109">
      <c r="BA1668" s="22"/>
      <c r="BD1668" s="22"/>
    </row>
    <row r="1669" spans="53:109">
      <c r="BA1669" s="22"/>
      <c r="BD1669" s="22"/>
    </row>
    <row r="1670" spans="53:109">
      <c r="BD1670" s="21"/>
    </row>
    <row r="1671" spans="53:109">
      <c r="BA1671" s="22"/>
      <c r="BD1671" s="22"/>
    </row>
    <row r="1672" spans="53:109">
      <c r="BA1672" s="22"/>
      <c r="BD1672" s="22"/>
    </row>
    <row r="1673" spans="53:109">
      <c r="BD1673" s="21"/>
    </row>
    <row r="1674" spans="53:109">
      <c r="BD1674" s="21"/>
    </row>
    <row r="1675" spans="53:109">
      <c r="BA1675" s="22"/>
      <c r="BD1675" s="22"/>
    </row>
    <row r="1676" spans="53:109">
      <c r="BA1676" s="22"/>
      <c r="BD1676" s="22"/>
    </row>
    <row r="1677" spans="53:109">
      <c r="BD1677" s="21"/>
    </row>
    <row r="1678" spans="53:109">
      <c r="BD1678" s="21"/>
    </row>
    <row r="1679" spans="53:109">
      <c r="BD1679" s="21"/>
    </row>
    <row r="1680" spans="53:109">
      <c r="BD1680" s="21"/>
    </row>
    <row r="1681" spans="53:56">
      <c r="BA1681" s="22"/>
      <c r="BD1681" s="22"/>
    </row>
    <row r="1682" spans="53:56">
      <c r="BD1682" s="21"/>
    </row>
    <row r="1683" spans="53:56">
      <c r="BA1683" s="22"/>
      <c r="BD1683" s="22"/>
    </row>
    <row r="1684" spans="53:56">
      <c r="BA1684" s="22"/>
      <c r="BD1684" s="22"/>
    </row>
    <row r="1685" spans="53:56">
      <c r="BD1685" s="21"/>
    </row>
    <row r="1686" spans="53:56">
      <c r="BA1686" s="22"/>
      <c r="BD1686" s="22"/>
    </row>
    <row r="1687" spans="53:56">
      <c r="BD1687" s="21"/>
    </row>
    <row r="1688" spans="53:56">
      <c r="BD1688" s="21"/>
    </row>
    <row r="1689" spans="53:56">
      <c r="BA1689" s="22"/>
      <c r="BD1689" s="22"/>
    </row>
    <row r="1690" spans="53:56">
      <c r="BD1690" s="21"/>
    </row>
    <row r="1691" spans="53:56">
      <c r="BA1691" s="22"/>
      <c r="BD1691" s="22"/>
    </row>
    <row r="1692" spans="53:56">
      <c r="BD1692" s="21"/>
    </row>
    <row r="1693" spans="53:56">
      <c r="BA1693" s="22"/>
      <c r="BD1693" s="22"/>
    </row>
    <row r="1694" spans="53:56">
      <c r="BA1694" s="22"/>
      <c r="BD1694" s="22"/>
    </row>
    <row r="1695" spans="53:56">
      <c r="BD1695" s="21"/>
    </row>
    <row r="1696" spans="53:56">
      <c r="BD1696" s="21"/>
    </row>
    <row r="1697" spans="53:94">
      <c r="BD1697" s="21"/>
    </row>
    <row r="1698" spans="53:94">
      <c r="BA1698" s="22"/>
      <c r="BD1698" s="22"/>
    </row>
    <row r="1699" spans="53:94">
      <c r="BD1699" s="21"/>
    </row>
    <row r="1700" spans="53:94">
      <c r="BD1700" s="21"/>
    </row>
    <row r="1701" spans="53:94">
      <c r="BA1701" s="22"/>
      <c r="BD1701" s="22"/>
    </row>
    <row r="1702" spans="53:94">
      <c r="BA1702" s="22"/>
      <c r="BD1702" s="22"/>
    </row>
    <row r="1703" spans="53:94">
      <c r="BD1703" s="21"/>
      <c r="CP1703" s="22"/>
    </row>
    <row r="1704" spans="53:94">
      <c r="BA1704" s="22"/>
      <c r="BD1704" s="22"/>
    </row>
    <row r="1705" spans="53:94">
      <c r="BD1705" s="21"/>
    </row>
    <row r="1706" spans="53:94">
      <c r="BA1706" s="22"/>
      <c r="BD1706" s="22"/>
    </row>
    <row r="1707" spans="53:94">
      <c r="BD1707" s="21"/>
    </row>
    <row r="1708" spans="53:94">
      <c r="BD1708" s="21"/>
      <c r="CP1708" s="22"/>
    </row>
    <row r="1709" spans="53:94">
      <c r="BD1709" s="21"/>
      <c r="CP1709" s="22"/>
    </row>
    <row r="1710" spans="53:94">
      <c r="BA1710" s="22"/>
      <c r="BD1710" s="22"/>
    </row>
    <row r="1711" spans="53:94">
      <c r="BD1711" s="21"/>
    </row>
    <row r="1712" spans="53:94">
      <c r="BD1712" s="21"/>
    </row>
    <row r="1713" spans="53:108">
      <c r="BD1713" s="21"/>
      <c r="CP1713" s="22"/>
    </row>
    <row r="1714" spans="53:108">
      <c r="BD1714" s="21"/>
    </row>
    <row r="1715" spans="53:108">
      <c r="BA1715" s="22"/>
      <c r="BD1715" s="22"/>
    </row>
    <row r="1716" spans="53:108">
      <c r="BD1716" s="21"/>
    </row>
    <row r="1717" spans="53:108">
      <c r="BD1717" s="21"/>
    </row>
    <row r="1718" spans="53:108">
      <c r="BA1718" s="22"/>
      <c r="BD1718" s="22"/>
    </row>
    <row r="1719" spans="53:108">
      <c r="BA1719" s="22"/>
      <c r="BD1719" s="22"/>
    </row>
    <row r="1720" spans="53:108">
      <c r="BD1720" s="21"/>
    </row>
    <row r="1721" spans="53:108">
      <c r="BA1721" s="22"/>
      <c r="BD1721" s="22"/>
      <c r="DD1721" s="21"/>
    </row>
    <row r="1722" spans="53:108">
      <c r="BD1722" s="21"/>
      <c r="DD1722" s="21"/>
    </row>
    <row r="1723" spans="53:108">
      <c r="BA1723" s="22"/>
      <c r="BD1723" s="22"/>
      <c r="DD1723" s="21"/>
    </row>
    <row r="1724" spans="53:108">
      <c r="BD1724" s="21"/>
      <c r="DD1724" s="21"/>
    </row>
    <row r="1725" spans="53:108">
      <c r="BD1725" s="21"/>
      <c r="DD1725" s="21"/>
    </row>
    <row r="1726" spans="53:108">
      <c r="BD1726" s="21"/>
      <c r="DD1726" s="21"/>
    </row>
    <row r="1727" spans="53:108">
      <c r="BD1727" s="21"/>
      <c r="DD1727" s="21"/>
    </row>
    <row r="1728" spans="53:108">
      <c r="BA1728" s="22"/>
      <c r="BD1728" s="22"/>
      <c r="DD1728" s="21"/>
    </row>
    <row r="1729" spans="53:108">
      <c r="BA1729" s="22"/>
      <c r="BD1729" s="22"/>
      <c r="DD1729" s="21"/>
    </row>
    <row r="1730" spans="53:108">
      <c r="BA1730" s="22"/>
      <c r="BD1730" s="22"/>
      <c r="DD1730" s="21"/>
    </row>
    <row r="1731" spans="53:108">
      <c r="BA1731" s="22"/>
      <c r="BD1731" s="22"/>
      <c r="DD1731" s="21"/>
    </row>
    <row r="1732" spans="53:108">
      <c r="BD1732" s="21"/>
      <c r="DD1732" s="21"/>
    </row>
    <row r="1733" spans="53:108">
      <c r="BD1733" s="21"/>
      <c r="DD1733" s="21"/>
    </row>
    <row r="1734" spans="53:108">
      <c r="BD1734" s="21"/>
      <c r="CP1734" s="22"/>
      <c r="DD1734" s="21"/>
    </row>
    <row r="1735" spans="53:108">
      <c r="BA1735" s="22"/>
      <c r="BD1735" s="22"/>
      <c r="DD1735" s="21"/>
    </row>
    <row r="1736" spans="53:108">
      <c r="BA1736" s="22"/>
      <c r="BD1736" s="22"/>
      <c r="DD1736" s="21"/>
    </row>
    <row r="1737" spans="53:108">
      <c r="BA1737" s="22"/>
      <c r="BD1737" s="22"/>
      <c r="DD1737" s="21"/>
    </row>
    <row r="1738" spans="53:108">
      <c r="BA1738" s="22"/>
      <c r="BD1738" s="22"/>
      <c r="DD1738" s="21"/>
    </row>
    <row r="1739" spans="53:108">
      <c r="BA1739" s="22"/>
      <c r="BD1739" s="22"/>
      <c r="DD1739" s="21"/>
    </row>
    <row r="1740" spans="53:108">
      <c r="BA1740" s="22"/>
      <c r="BD1740" s="22"/>
      <c r="DD1740" s="21"/>
    </row>
    <row r="1741" spans="53:108">
      <c r="BA1741" s="22"/>
      <c r="BD1741" s="22"/>
      <c r="DD1741" s="21"/>
    </row>
    <row r="1742" spans="53:108">
      <c r="BA1742" s="22"/>
      <c r="BD1742" s="22"/>
      <c r="DD1742" s="21"/>
    </row>
    <row r="1743" spans="53:108">
      <c r="BD1743" s="21"/>
      <c r="DD1743" s="21"/>
    </row>
    <row r="1744" spans="53:108">
      <c r="BD1744" s="21"/>
      <c r="DD1744" s="21"/>
    </row>
    <row r="1745" spans="53:108">
      <c r="BD1745" s="21"/>
      <c r="DD1745" s="21"/>
    </row>
    <row r="1746" spans="53:108">
      <c r="BD1746" s="21"/>
      <c r="DD1746" s="21"/>
    </row>
    <row r="1747" spans="53:108">
      <c r="BD1747" s="21"/>
      <c r="CP1747" s="22"/>
      <c r="DD1747" s="21"/>
    </row>
    <row r="1748" spans="53:108">
      <c r="BA1748" s="22"/>
      <c r="BD1748" s="22"/>
      <c r="DD1748" s="21"/>
    </row>
    <row r="1749" spans="53:108">
      <c r="BA1749" s="22"/>
      <c r="BD1749" s="22"/>
      <c r="DD1749" s="21"/>
    </row>
    <row r="1750" spans="53:108">
      <c r="BA1750" s="22"/>
      <c r="BD1750" s="22"/>
      <c r="DD1750" s="21"/>
    </row>
    <row r="1751" spans="53:108">
      <c r="BA1751" s="22"/>
      <c r="BD1751" s="22"/>
      <c r="DD1751" s="21"/>
    </row>
    <row r="1752" spans="53:108">
      <c r="BA1752" s="22"/>
      <c r="BD1752" s="22"/>
      <c r="DD1752" s="21"/>
    </row>
    <row r="1753" spans="53:108">
      <c r="BA1753" s="22"/>
      <c r="BD1753" s="22"/>
      <c r="DD1753" s="21"/>
    </row>
    <row r="1754" spans="53:108">
      <c r="BA1754" s="22"/>
      <c r="BD1754" s="22"/>
      <c r="DD1754" s="21"/>
    </row>
    <row r="1755" spans="53:108">
      <c r="BA1755" s="22"/>
      <c r="BD1755" s="22"/>
      <c r="DD1755" s="21"/>
    </row>
    <row r="1756" spans="53:108">
      <c r="BA1756" s="22"/>
      <c r="BD1756" s="22"/>
      <c r="DD1756" s="21"/>
    </row>
    <row r="1757" spans="53:108">
      <c r="BD1757" s="21"/>
      <c r="DD1757" s="21"/>
    </row>
    <row r="1758" spans="53:108">
      <c r="BD1758" s="21"/>
      <c r="DD1758" s="21"/>
    </row>
    <row r="1759" spans="53:108">
      <c r="BD1759" s="21"/>
      <c r="DD1759" s="21"/>
    </row>
    <row r="1760" spans="53:108">
      <c r="BD1760" s="21"/>
      <c r="DD1760" s="21"/>
    </row>
    <row r="1761" spans="53:157">
      <c r="BD1761" s="21"/>
      <c r="DD1761" s="21"/>
    </row>
    <row r="1762" spans="53:157">
      <c r="BD1762" s="21"/>
      <c r="DD1762" s="21"/>
    </row>
    <row r="1763" spans="53:157">
      <c r="BD1763" s="21"/>
      <c r="DD1763" s="21"/>
    </row>
    <row r="1764" spans="53:157">
      <c r="BD1764" s="21"/>
      <c r="DD1764" s="21"/>
      <c r="EZ1764" s="25" t="s">
        <v>276</v>
      </c>
      <c r="FA1764" s="20">
        <v>0</v>
      </c>
    </row>
    <row r="1765" spans="53:157">
      <c r="BD1765" s="21"/>
      <c r="DD1765" s="21"/>
      <c r="EZ1765" s="25" t="s">
        <v>278</v>
      </c>
      <c r="FA1765" s="20" t="e">
        <v>#N/A</v>
      </c>
    </row>
    <row r="1766" spans="53:157">
      <c r="BD1766" s="21"/>
      <c r="CP1766" s="22"/>
      <c r="DD1766" s="21"/>
      <c r="EZ1766" s="25" t="s">
        <v>276</v>
      </c>
      <c r="FA1766" s="20">
        <v>0</v>
      </c>
    </row>
    <row r="1767" spans="53:157">
      <c r="BD1767" s="21"/>
      <c r="CP1767" s="22"/>
      <c r="DD1767" s="21"/>
      <c r="EZ1767" s="25" t="s">
        <v>276</v>
      </c>
      <c r="FA1767" s="20" t="s">
        <v>273</v>
      </c>
    </row>
    <row r="1768" spans="53:157">
      <c r="BA1768" s="22"/>
      <c r="BD1768" s="22"/>
      <c r="DD1768" s="21"/>
      <c r="EZ1768" s="25" t="s">
        <v>279</v>
      </c>
      <c r="FA1768" s="20" t="e">
        <v>#N/A</v>
      </c>
    </row>
    <row r="1769" spans="53:157">
      <c r="BA1769" s="22"/>
      <c r="BD1769" s="22"/>
      <c r="DD1769" s="21"/>
      <c r="EZ1769" s="25" t="s">
        <v>276</v>
      </c>
      <c r="FA1769" s="20">
        <v>0</v>
      </c>
    </row>
    <row r="1770" spans="53:157">
      <c r="BA1770" s="22"/>
      <c r="BD1770" s="22"/>
      <c r="DD1770" s="21"/>
      <c r="EZ1770" s="25" t="s">
        <v>278</v>
      </c>
      <c r="FA1770" s="20" t="e">
        <v>#N/A</v>
      </c>
    </row>
    <row r="1771" spans="53:157">
      <c r="BA1771" s="22"/>
      <c r="BD1771" s="22"/>
      <c r="DD1771" s="21"/>
      <c r="EZ1771" s="25" t="s">
        <v>279</v>
      </c>
      <c r="FA1771" s="20" t="e">
        <v>#N/A</v>
      </c>
    </row>
    <row r="1772" spans="53:157">
      <c r="BA1772" s="22"/>
      <c r="BD1772" s="22"/>
      <c r="DD1772" s="21"/>
      <c r="EZ1772" s="25" t="s">
        <v>276</v>
      </c>
      <c r="FA1772" s="20">
        <v>0</v>
      </c>
    </row>
    <row r="1773" spans="53:157">
      <c r="BA1773" s="22"/>
      <c r="BD1773" s="22"/>
      <c r="DD1773" s="21"/>
      <c r="EZ1773" s="25" t="s">
        <v>278</v>
      </c>
      <c r="FA1773" s="20" t="e">
        <v>#N/A</v>
      </c>
    </row>
    <row r="1774" spans="53:157">
      <c r="BA1774" s="22"/>
      <c r="BD1774" s="22"/>
      <c r="DD1774" s="21"/>
      <c r="EZ1774" s="25" t="s">
        <v>278</v>
      </c>
      <c r="FA1774" s="20" t="e">
        <v>#N/A</v>
      </c>
    </row>
    <row r="1775" spans="53:157">
      <c r="BD1775" s="21"/>
      <c r="DD1775" s="21"/>
      <c r="EZ1775" s="25" t="s">
        <v>278</v>
      </c>
      <c r="FA1775" s="20" t="e">
        <v>#N/A</v>
      </c>
    </row>
    <row r="1776" spans="53:157">
      <c r="BD1776" s="21"/>
      <c r="DD1776" s="21"/>
      <c r="EZ1776" s="25" t="s">
        <v>278</v>
      </c>
      <c r="FA1776" s="20" t="e">
        <v>#N/A</v>
      </c>
    </row>
    <row r="1777" spans="53:157">
      <c r="BD1777" s="21"/>
      <c r="DD1777" s="21"/>
      <c r="EZ1777" s="25" t="s">
        <v>276</v>
      </c>
      <c r="FA1777" s="20">
        <v>0</v>
      </c>
    </row>
    <row r="1778" spans="53:157">
      <c r="BD1778" s="21"/>
      <c r="DD1778" s="21"/>
      <c r="EZ1778" s="25" t="s">
        <v>276</v>
      </c>
      <c r="FA1778" s="20">
        <v>0</v>
      </c>
    </row>
    <row r="1779" spans="53:157">
      <c r="BD1779" s="21"/>
      <c r="DD1779" s="21"/>
      <c r="EZ1779" s="25" t="s">
        <v>276</v>
      </c>
      <c r="FA1779" s="20">
        <v>0</v>
      </c>
    </row>
    <row r="1780" spans="53:157">
      <c r="BD1780" s="21"/>
      <c r="DD1780" s="21"/>
      <c r="EZ1780" s="25" t="s">
        <v>276</v>
      </c>
      <c r="FA1780" s="20">
        <v>0</v>
      </c>
    </row>
    <row r="1781" spans="53:157">
      <c r="BD1781" s="21"/>
      <c r="DD1781" s="21"/>
      <c r="EZ1781" s="25" t="s">
        <v>278</v>
      </c>
      <c r="FA1781" s="20" t="e">
        <v>#N/A</v>
      </c>
    </row>
    <row r="1782" spans="53:157">
      <c r="BD1782" s="21"/>
      <c r="DD1782" s="21"/>
      <c r="EZ1782" s="25" t="s">
        <v>278</v>
      </c>
      <c r="FA1782" s="20" t="e">
        <v>#N/A</v>
      </c>
    </row>
    <row r="1783" spans="53:157">
      <c r="BD1783" s="21"/>
      <c r="DD1783" s="21"/>
      <c r="EZ1783" s="25" t="s">
        <v>278</v>
      </c>
      <c r="FA1783" s="20" t="e">
        <v>#N/A</v>
      </c>
    </row>
    <row r="1784" spans="53:157">
      <c r="BD1784" s="21"/>
      <c r="CP1784" s="22"/>
      <c r="DD1784" s="21"/>
      <c r="EZ1784" s="25" t="s">
        <v>278</v>
      </c>
      <c r="FA1784" s="20" t="e">
        <v>#N/A</v>
      </c>
    </row>
    <row r="1785" spans="53:157">
      <c r="BA1785" s="22"/>
      <c r="BD1785" s="22"/>
      <c r="DD1785" s="21"/>
      <c r="EZ1785" s="25" t="s">
        <v>279</v>
      </c>
      <c r="FA1785" s="20" t="e">
        <v>#N/A</v>
      </c>
    </row>
    <row r="1786" spans="53:157">
      <c r="BA1786" s="22"/>
      <c r="BD1786" s="22"/>
      <c r="DD1786" s="21"/>
      <c r="EZ1786" s="25" t="s">
        <v>279</v>
      </c>
      <c r="FA1786" s="20" t="e">
        <v>#N/A</v>
      </c>
    </row>
    <row r="1787" spans="53:157">
      <c r="BA1787" s="22"/>
      <c r="BD1787" s="22"/>
      <c r="DD1787" s="21"/>
      <c r="EZ1787" s="25" t="s">
        <v>278</v>
      </c>
      <c r="FA1787" s="20" t="e">
        <v>#N/A</v>
      </c>
    </row>
    <row r="1788" spans="53:157">
      <c r="BA1788" s="22"/>
      <c r="BD1788" s="22"/>
      <c r="DD1788" s="21"/>
      <c r="EZ1788" s="25" t="s">
        <v>278</v>
      </c>
      <c r="FA1788" s="20" t="e">
        <v>#N/A</v>
      </c>
    </row>
    <row r="1789" spans="53:157">
      <c r="BA1789" s="22"/>
      <c r="BD1789" s="22"/>
      <c r="DD1789" s="21"/>
      <c r="EZ1789" s="25" t="s">
        <v>279</v>
      </c>
      <c r="FA1789" s="20" t="e">
        <v>#N/A</v>
      </c>
    </row>
    <row r="1790" spans="53:157">
      <c r="BA1790" s="22"/>
      <c r="BD1790" s="22"/>
      <c r="DD1790" s="21"/>
      <c r="EZ1790" s="25" t="s">
        <v>279</v>
      </c>
      <c r="FA1790" s="20" t="e">
        <v>#N/A</v>
      </c>
    </row>
    <row r="1791" spans="53:157">
      <c r="BA1791" s="22"/>
      <c r="BD1791" s="22"/>
      <c r="DD1791" s="21"/>
      <c r="EZ1791" s="25" t="s">
        <v>279</v>
      </c>
      <c r="FA1791" s="20" t="e">
        <v>#N/A</v>
      </c>
    </row>
    <row r="1792" spans="53:157">
      <c r="BA1792" s="22"/>
      <c r="BD1792" s="22"/>
      <c r="DD1792" s="21"/>
      <c r="EZ1792" s="25" t="s">
        <v>276</v>
      </c>
      <c r="FA1792" s="20">
        <v>0</v>
      </c>
    </row>
    <row r="1793" spans="53:157">
      <c r="BA1793" s="22"/>
      <c r="BD1793" s="22"/>
      <c r="DD1793" s="21"/>
      <c r="EZ1793" s="25" t="s">
        <v>276</v>
      </c>
      <c r="FA1793" s="20">
        <v>0</v>
      </c>
    </row>
    <row r="1794" spans="53:157">
      <c r="BA1794" s="22"/>
      <c r="BD1794" s="22"/>
      <c r="DD1794" s="21"/>
      <c r="EZ1794" s="25" t="s">
        <v>279</v>
      </c>
      <c r="FA1794" s="20" t="e">
        <v>#N/A</v>
      </c>
    </row>
    <row r="1795" spans="53:157">
      <c r="BA1795" s="22"/>
      <c r="BD1795" s="22"/>
      <c r="DD1795" s="21"/>
      <c r="EZ1795" s="25" t="s">
        <v>278</v>
      </c>
      <c r="FA1795" s="20" t="e">
        <v>#N/A</v>
      </c>
    </row>
    <row r="1796" spans="53:157">
      <c r="BD1796" s="21"/>
      <c r="DD1796" s="21"/>
      <c r="EZ1796" s="25" t="s">
        <v>279</v>
      </c>
      <c r="FA1796" s="20" t="e">
        <v>#N/A</v>
      </c>
    </row>
    <row r="1797" spans="53:157">
      <c r="BD1797" s="21"/>
      <c r="DD1797" s="21"/>
      <c r="EZ1797" s="25" t="s">
        <v>276</v>
      </c>
      <c r="FA1797" s="20">
        <v>0</v>
      </c>
    </row>
    <row r="1798" spans="53:157">
      <c r="BD1798" s="21"/>
      <c r="DD1798" s="21"/>
      <c r="EZ1798" s="25" t="s">
        <v>276</v>
      </c>
      <c r="FA1798" s="20">
        <v>0</v>
      </c>
    </row>
    <row r="1799" spans="53:157">
      <c r="BA1799" s="22"/>
      <c r="BD1799" s="22"/>
      <c r="DD1799" s="21"/>
      <c r="EZ1799" s="25" t="s">
        <v>279</v>
      </c>
      <c r="FA1799" s="20" t="e">
        <v>#N/A</v>
      </c>
    </row>
    <row r="1800" spans="53:157">
      <c r="BD1800" s="21"/>
      <c r="DD1800" s="21"/>
      <c r="EZ1800" s="25" t="s">
        <v>279</v>
      </c>
      <c r="FA1800" s="20" t="e">
        <v>#N/A</v>
      </c>
    </row>
    <row r="1801" spans="53:157">
      <c r="BD1801" s="21"/>
      <c r="DD1801" s="21"/>
      <c r="EZ1801" s="25" t="s">
        <v>278</v>
      </c>
      <c r="FA1801" s="20" t="e">
        <v>#N/A</v>
      </c>
    </row>
    <row r="1802" spans="53:157">
      <c r="BD1802" s="21"/>
      <c r="DD1802" s="21"/>
      <c r="EZ1802" s="25" t="s">
        <v>276</v>
      </c>
      <c r="FA1802" s="20">
        <v>0</v>
      </c>
    </row>
    <row r="1803" spans="53:157">
      <c r="BD1803" s="21"/>
      <c r="DD1803" s="21"/>
      <c r="EZ1803" s="25" t="s">
        <v>276</v>
      </c>
      <c r="FA1803" s="20">
        <v>0</v>
      </c>
    </row>
    <row r="1804" spans="53:157">
      <c r="BD1804" s="21"/>
      <c r="DD1804" s="21"/>
      <c r="EZ1804" s="25" t="s">
        <v>276</v>
      </c>
      <c r="FA1804" s="20">
        <v>0</v>
      </c>
    </row>
    <row r="1805" spans="53:157">
      <c r="BD1805" s="21"/>
      <c r="DD1805" s="21"/>
      <c r="EZ1805" s="25" t="s">
        <v>279</v>
      </c>
      <c r="FA1805" s="20" t="e">
        <v>#N/A</v>
      </c>
    </row>
    <row r="1806" spans="53:157">
      <c r="BD1806" s="21"/>
      <c r="DD1806" s="21"/>
      <c r="EZ1806" s="25" t="s">
        <v>278</v>
      </c>
      <c r="FA1806" s="20" t="e">
        <v>#N/A</v>
      </c>
    </row>
    <row r="1807" spans="53:157">
      <c r="BD1807" s="21"/>
      <c r="CP1807" s="22"/>
      <c r="DD1807" s="21"/>
      <c r="EZ1807" s="25" t="s">
        <v>278</v>
      </c>
      <c r="FA1807" s="20" t="e">
        <v>#N/A</v>
      </c>
    </row>
    <row r="1808" spans="53:157">
      <c r="BA1808" s="22"/>
      <c r="BD1808" s="22"/>
      <c r="DD1808" s="21"/>
      <c r="EZ1808" s="25" t="s">
        <v>276</v>
      </c>
      <c r="FA1808" s="20">
        <v>0</v>
      </c>
    </row>
    <row r="1809" spans="53:157">
      <c r="BA1809" s="22"/>
      <c r="BD1809" s="22"/>
      <c r="DD1809" s="21"/>
      <c r="EZ1809" s="25" t="s">
        <v>278</v>
      </c>
      <c r="FA1809" s="20" t="e">
        <v>#N/A</v>
      </c>
    </row>
    <row r="1810" spans="53:157">
      <c r="BD1810" s="21"/>
      <c r="DD1810" s="21"/>
      <c r="EZ1810" s="25" t="s">
        <v>276</v>
      </c>
      <c r="FA1810" s="20">
        <v>0</v>
      </c>
    </row>
    <row r="1811" spans="53:157">
      <c r="BA1811" s="22"/>
      <c r="BD1811" s="22"/>
      <c r="DD1811" s="21"/>
      <c r="EZ1811" s="25" t="s">
        <v>276</v>
      </c>
      <c r="FA1811" s="20">
        <v>0</v>
      </c>
    </row>
    <row r="1812" spans="53:157">
      <c r="BA1812" s="22"/>
      <c r="BD1812" s="22"/>
      <c r="DD1812" s="21"/>
      <c r="EZ1812" s="25" t="s">
        <v>276</v>
      </c>
      <c r="FA1812" s="20">
        <v>0</v>
      </c>
    </row>
    <row r="1813" spans="53:157">
      <c r="BD1813" s="21"/>
      <c r="DD1813" s="21"/>
      <c r="EZ1813" s="25" t="s">
        <v>276</v>
      </c>
      <c r="FA1813" s="20" t="s">
        <v>273</v>
      </c>
    </row>
    <row r="1814" spans="53:157">
      <c r="BA1814" s="22"/>
      <c r="BD1814" s="22"/>
      <c r="DD1814" s="21"/>
      <c r="EZ1814" s="25" t="s">
        <v>276</v>
      </c>
      <c r="FA1814" s="20">
        <v>0</v>
      </c>
    </row>
    <row r="1815" spans="53:157">
      <c r="BA1815" s="22"/>
      <c r="BD1815" s="22"/>
      <c r="DD1815" s="21"/>
      <c r="EZ1815" s="25" t="s">
        <v>278</v>
      </c>
      <c r="FA1815" s="20" t="e">
        <v>#N/A</v>
      </c>
    </row>
    <row r="1816" spans="53:157">
      <c r="BA1816" s="22"/>
      <c r="BD1816" s="22"/>
      <c r="DD1816" s="21"/>
      <c r="EZ1816" s="25" t="s">
        <v>278</v>
      </c>
      <c r="FA1816" s="20" t="e">
        <v>#N/A</v>
      </c>
    </row>
    <row r="1817" spans="53:157">
      <c r="BD1817" s="21"/>
      <c r="DD1817" s="21"/>
      <c r="EZ1817" s="25" t="s">
        <v>276</v>
      </c>
      <c r="FA1817" s="20">
        <v>0</v>
      </c>
    </row>
    <row r="1818" spans="53:157">
      <c r="BD1818" s="21"/>
      <c r="DD1818" s="21"/>
      <c r="EZ1818" s="25" t="s">
        <v>278</v>
      </c>
      <c r="FA1818" s="20" t="e">
        <v>#N/A</v>
      </c>
    </row>
    <row r="1819" spans="53:157">
      <c r="BD1819" s="21"/>
      <c r="DD1819" s="21"/>
      <c r="EZ1819" s="25" t="s">
        <v>278</v>
      </c>
      <c r="FA1819" s="20" t="e">
        <v>#N/A</v>
      </c>
    </row>
    <row r="1820" spans="53:157">
      <c r="BD1820" s="21"/>
      <c r="DD1820" s="21"/>
      <c r="EZ1820" s="25" t="s">
        <v>279</v>
      </c>
      <c r="FA1820" s="20" t="e">
        <v>#N/A</v>
      </c>
    </row>
    <row r="1821" spans="53:157">
      <c r="BD1821" s="21"/>
      <c r="DD1821" s="21"/>
      <c r="EZ1821" s="25" t="s">
        <v>276</v>
      </c>
      <c r="FA1821" s="20">
        <v>0</v>
      </c>
    </row>
    <row r="1822" spans="53:157">
      <c r="BA1822" s="22"/>
      <c r="BD1822" s="22"/>
      <c r="DD1822" s="21"/>
      <c r="EZ1822" s="25" t="s">
        <v>279</v>
      </c>
      <c r="FA1822" s="20" t="e">
        <v>#N/A</v>
      </c>
    </row>
    <row r="1823" spans="53:157">
      <c r="BA1823" s="22"/>
      <c r="BD1823" s="22"/>
      <c r="DD1823" s="21"/>
      <c r="EZ1823" s="25" t="s">
        <v>279</v>
      </c>
      <c r="FA1823" s="20" t="e">
        <v>#N/A</v>
      </c>
    </row>
    <row r="1824" spans="53:157">
      <c r="BA1824" s="22"/>
      <c r="BD1824" s="22"/>
      <c r="DD1824" s="21"/>
      <c r="EZ1824" s="25" t="s">
        <v>279</v>
      </c>
      <c r="FA1824" s="20" t="e">
        <v>#N/A</v>
      </c>
    </row>
    <row r="1825" spans="53:157">
      <c r="BA1825" s="22"/>
      <c r="BD1825" s="22"/>
      <c r="DD1825" s="21"/>
      <c r="EZ1825" s="25" t="s">
        <v>279</v>
      </c>
      <c r="FA1825" s="20" t="e">
        <v>#N/A</v>
      </c>
    </row>
    <row r="1826" spans="53:157">
      <c r="BD1826" s="21"/>
      <c r="DD1826" s="21"/>
      <c r="EZ1826" s="25" t="s">
        <v>276</v>
      </c>
      <c r="FA1826" s="20" t="s">
        <v>273</v>
      </c>
    </row>
    <row r="1827" spans="53:157">
      <c r="BD1827" s="21"/>
      <c r="DD1827" s="21"/>
      <c r="EZ1827" s="25" t="s">
        <v>279</v>
      </c>
      <c r="FA1827" s="20" t="e">
        <v>#N/A</v>
      </c>
    </row>
    <row r="1828" spans="53:157">
      <c r="BD1828" s="21"/>
      <c r="DD1828" s="21"/>
      <c r="EZ1828" s="25" t="s">
        <v>279</v>
      </c>
      <c r="FA1828" s="20" t="e">
        <v>#N/A</v>
      </c>
    </row>
    <row r="1829" spans="53:157">
      <c r="BD1829" s="21"/>
      <c r="DD1829" s="21"/>
      <c r="EZ1829" s="25" t="s">
        <v>279</v>
      </c>
      <c r="FA1829" s="20" t="e">
        <v>#N/A</v>
      </c>
    </row>
    <row r="1830" spans="53:157">
      <c r="BA1830" s="22"/>
      <c r="BD1830" s="22"/>
      <c r="DD1830" s="21"/>
      <c r="EZ1830" s="25" t="s">
        <v>276</v>
      </c>
      <c r="FA1830" s="20">
        <v>0</v>
      </c>
    </row>
    <row r="1831" spans="53:157">
      <c r="BA1831" s="22"/>
      <c r="BD1831" s="22"/>
      <c r="DD1831" s="21"/>
      <c r="EZ1831" s="25" t="s">
        <v>279</v>
      </c>
      <c r="FA1831" s="20" t="e">
        <v>#N/A</v>
      </c>
    </row>
    <row r="1832" spans="53:157">
      <c r="BA1832" s="22"/>
      <c r="BD1832" s="22"/>
      <c r="DD1832" s="21"/>
      <c r="EZ1832" s="25" t="s">
        <v>276</v>
      </c>
      <c r="FA1832" s="20" t="s">
        <v>52</v>
      </c>
    </row>
    <row r="1833" spans="53:157">
      <c r="BA1833" s="22"/>
      <c r="BD1833" s="22"/>
      <c r="DD1833" s="21"/>
      <c r="EZ1833" s="25" t="s">
        <v>276</v>
      </c>
      <c r="FA1833" s="20">
        <v>0</v>
      </c>
    </row>
    <row r="1834" spans="53:157">
      <c r="BD1834" s="21"/>
      <c r="DD1834" s="21"/>
      <c r="EZ1834" s="25" t="s">
        <v>279</v>
      </c>
      <c r="FA1834" s="20" t="e">
        <v>#N/A</v>
      </c>
    </row>
    <row r="1835" spans="53:157">
      <c r="BD1835" s="21"/>
      <c r="DD1835" s="21"/>
      <c r="EZ1835" s="25" t="s">
        <v>276</v>
      </c>
      <c r="FA1835" s="20">
        <v>0</v>
      </c>
    </row>
    <row r="1836" spans="53:157">
      <c r="BD1836" s="21"/>
      <c r="DD1836" s="21"/>
      <c r="EZ1836" s="25" t="s">
        <v>276</v>
      </c>
      <c r="FA1836" s="20">
        <v>0</v>
      </c>
    </row>
    <row r="1837" spans="53:157">
      <c r="BD1837" s="21"/>
      <c r="DD1837" s="21"/>
      <c r="EZ1837" s="25" t="s">
        <v>278</v>
      </c>
      <c r="FA1837" s="20" t="e">
        <v>#N/A</v>
      </c>
    </row>
    <row r="1838" spans="53:157">
      <c r="BD1838" s="21"/>
      <c r="DD1838" s="21"/>
      <c r="EZ1838" s="25" t="s">
        <v>276</v>
      </c>
      <c r="FA1838" s="20">
        <v>0</v>
      </c>
    </row>
    <row r="1839" spans="53:157">
      <c r="BD1839" s="21"/>
      <c r="DD1839" s="21"/>
      <c r="EZ1839" s="25" t="s">
        <v>276</v>
      </c>
      <c r="FA1839" s="20">
        <v>0</v>
      </c>
    </row>
    <row r="1840" spans="53:157">
      <c r="BD1840" s="21"/>
      <c r="DD1840" s="21"/>
      <c r="EZ1840" s="25" t="s">
        <v>279</v>
      </c>
      <c r="FA1840" s="20" t="e">
        <v>#N/A</v>
      </c>
    </row>
    <row r="1841" spans="53:157">
      <c r="BD1841" s="21"/>
      <c r="CP1841" s="22"/>
      <c r="DD1841" s="21"/>
      <c r="EZ1841" s="25" t="s">
        <v>279</v>
      </c>
      <c r="FA1841" s="20" t="s">
        <v>273</v>
      </c>
    </row>
    <row r="1842" spans="53:157">
      <c r="BD1842" s="21"/>
      <c r="CP1842" s="22"/>
      <c r="DD1842" s="21"/>
      <c r="EZ1842" s="25" t="s">
        <v>276</v>
      </c>
      <c r="FA1842" s="20">
        <v>0</v>
      </c>
    </row>
    <row r="1843" spans="53:157">
      <c r="BD1843" s="21"/>
      <c r="CP1843" s="22"/>
      <c r="DD1843" s="21"/>
      <c r="EZ1843" s="25" t="s">
        <v>278</v>
      </c>
      <c r="FA1843" s="20" t="e">
        <v>#N/A</v>
      </c>
    </row>
    <row r="1844" spans="53:157">
      <c r="BA1844" s="22"/>
      <c r="BD1844" s="22"/>
      <c r="DD1844" s="21"/>
      <c r="EZ1844" s="25" t="s">
        <v>279</v>
      </c>
      <c r="FA1844" s="20" t="e">
        <v>#N/A</v>
      </c>
    </row>
    <row r="1845" spans="53:157">
      <c r="BA1845" s="22"/>
      <c r="BD1845" s="22"/>
      <c r="DD1845" s="21"/>
      <c r="EZ1845" s="25" t="s">
        <v>276</v>
      </c>
      <c r="FA1845" s="20">
        <v>0</v>
      </c>
    </row>
    <row r="1846" spans="53:157">
      <c r="BA1846" s="22"/>
      <c r="BD1846" s="22"/>
      <c r="DD1846" s="21"/>
      <c r="EZ1846" s="25" t="s">
        <v>276</v>
      </c>
      <c r="FA1846" s="20">
        <v>0</v>
      </c>
    </row>
    <row r="1847" spans="53:157">
      <c r="BA1847" s="22"/>
      <c r="BD1847" s="22"/>
      <c r="DD1847" s="21"/>
      <c r="EZ1847" s="25" t="s">
        <v>278</v>
      </c>
      <c r="FA1847" s="20" t="e">
        <v>#N/A</v>
      </c>
    </row>
    <row r="1848" spans="53:157">
      <c r="BA1848" s="22"/>
      <c r="BD1848" s="22"/>
      <c r="DD1848" s="21"/>
      <c r="EZ1848" s="25" t="s">
        <v>276</v>
      </c>
      <c r="FA1848" s="20">
        <v>0</v>
      </c>
    </row>
    <row r="1849" spans="53:157">
      <c r="BA1849" s="22"/>
      <c r="BD1849" s="22"/>
      <c r="DD1849" s="21"/>
      <c r="EZ1849" s="25" t="s">
        <v>278</v>
      </c>
      <c r="FA1849" s="20" t="e">
        <v>#N/A</v>
      </c>
    </row>
    <row r="1850" spans="53:157">
      <c r="BA1850" s="22"/>
      <c r="BD1850" s="22"/>
      <c r="DD1850" s="21"/>
      <c r="EZ1850" s="25" t="s">
        <v>279</v>
      </c>
      <c r="FA1850" s="20" t="e">
        <v>#N/A</v>
      </c>
    </row>
    <row r="1851" spans="53:157">
      <c r="BA1851" s="22"/>
      <c r="BD1851" s="22"/>
      <c r="DD1851" s="21"/>
      <c r="EZ1851" s="25" t="s">
        <v>276</v>
      </c>
      <c r="FA1851" s="20">
        <v>0</v>
      </c>
    </row>
    <row r="1852" spans="53:157">
      <c r="BA1852" s="22"/>
      <c r="BD1852" s="22"/>
      <c r="DD1852" s="21"/>
      <c r="EZ1852" s="25" t="s">
        <v>279</v>
      </c>
      <c r="FA1852" s="20" t="e">
        <v>#N/A</v>
      </c>
    </row>
    <row r="1853" spans="53:157">
      <c r="BA1853" s="22"/>
      <c r="BD1853" s="22"/>
      <c r="DD1853" s="21"/>
      <c r="EZ1853" s="25" t="s">
        <v>276</v>
      </c>
      <c r="FA1853" s="20">
        <v>0</v>
      </c>
    </row>
    <row r="1854" spans="53:157">
      <c r="BA1854" s="22"/>
      <c r="BD1854" s="22"/>
      <c r="DD1854" s="21"/>
      <c r="EZ1854" s="25" t="s">
        <v>276</v>
      </c>
      <c r="FA1854" s="20">
        <v>0</v>
      </c>
    </row>
    <row r="1855" spans="53:157">
      <c r="BA1855" s="22"/>
      <c r="BD1855" s="22"/>
      <c r="DD1855" s="21"/>
      <c r="EZ1855" s="25" t="s">
        <v>278</v>
      </c>
      <c r="FA1855" s="20" t="e">
        <v>#N/A</v>
      </c>
    </row>
    <row r="1856" spans="53:157">
      <c r="BA1856" s="22"/>
      <c r="BD1856" s="22"/>
      <c r="DD1856" s="21"/>
      <c r="EZ1856" s="25" t="s">
        <v>278</v>
      </c>
      <c r="FA1856" s="20" t="e">
        <v>#N/A</v>
      </c>
    </row>
    <row r="1857" spans="53:157">
      <c r="BA1857" s="22"/>
      <c r="BD1857" s="22"/>
      <c r="DD1857" s="21"/>
      <c r="EZ1857" s="25" t="s">
        <v>276</v>
      </c>
      <c r="FA1857" s="20">
        <v>0</v>
      </c>
    </row>
    <row r="1858" spans="53:157">
      <c r="BA1858" s="22"/>
      <c r="BD1858" s="22"/>
      <c r="DD1858" s="21"/>
      <c r="EZ1858" s="25" t="s">
        <v>279</v>
      </c>
      <c r="FA1858" s="20" t="e">
        <v>#N/A</v>
      </c>
    </row>
    <row r="1859" spans="53:157">
      <c r="BD1859" s="21"/>
      <c r="DD1859" s="21"/>
      <c r="EZ1859" s="25" t="s">
        <v>279</v>
      </c>
      <c r="FA1859" s="20" t="e">
        <v>#N/A</v>
      </c>
    </row>
    <row r="1860" spans="53:157">
      <c r="BD1860" s="21"/>
      <c r="DD1860" s="21"/>
      <c r="EZ1860" s="25" t="s">
        <v>278</v>
      </c>
      <c r="FA1860" s="20" t="e">
        <v>#N/A</v>
      </c>
    </row>
    <row r="1861" spans="53:157">
      <c r="BD1861" s="21"/>
      <c r="DD1861" s="21"/>
      <c r="EZ1861" s="25" t="s">
        <v>278</v>
      </c>
      <c r="FA1861" s="20" t="e">
        <v>#N/A</v>
      </c>
    </row>
    <row r="1862" spans="53:157">
      <c r="BD1862" s="21"/>
      <c r="DD1862" s="21"/>
      <c r="EZ1862" s="25" t="s">
        <v>276</v>
      </c>
      <c r="FA1862" s="20">
        <v>0</v>
      </c>
    </row>
    <row r="1863" spans="53:157">
      <c r="BD1863" s="21"/>
      <c r="DD1863" s="21"/>
      <c r="EZ1863" s="25" t="s">
        <v>276</v>
      </c>
      <c r="FA1863" s="20">
        <v>0</v>
      </c>
    </row>
    <row r="1864" spans="53:157">
      <c r="BD1864" s="21"/>
      <c r="DD1864" s="21"/>
      <c r="EZ1864" s="25" t="s">
        <v>276</v>
      </c>
      <c r="FA1864" s="20" t="s">
        <v>273</v>
      </c>
    </row>
    <row r="1865" spans="53:157">
      <c r="BD1865" s="21"/>
      <c r="DD1865" s="21"/>
      <c r="EZ1865" s="25" t="s">
        <v>279</v>
      </c>
      <c r="FA1865" s="20" t="e">
        <v>#N/A</v>
      </c>
    </row>
    <row r="1866" spans="53:157">
      <c r="BD1866" s="21"/>
      <c r="DD1866" s="21"/>
      <c r="EZ1866" s="25" t="s">
        <v>276</v>
      </c>
      <c r="FA1866" s="20">
        <v>0</v>
      </c>
    </row>
    <row r="1867" spans="53:157">
      <c r="BD1867" s="21"/>
      <c r="CP1867" s="22"/>
      <c r="DD1867" s="21"/>
      <c r="EZ1867" s="25" t="s">
        <v>276</v>
      </c>
      <c r="FA1867" s="20">
        <v>0</v>
      </c>
    </row>
    <row r="1868" spans="53:157">
      <c r="BA1868" s="22"/>
      <c r="BD1868" s="22"/>
      <c r="DD1868" s="21"/>
      <c r="EZ1868" s="25" t="s">
        <v>279</v>
      </c>
      <c r="FA1868" s="20" t="e">
        <v>#N/A</v>
      </c>
    </row>
    <row r="1869" spans="53:157">
      <c r="BA1869" s="22"/>
      <c r="BD1869" s="22"/>
      <c r="DD1869" s="21"/>
      <c r="EZ1869" s="25" t="s">
        <v>276</v>
      </c>
      <c r="FA1869" s="20">
        <v>0</v>
      </c>
    </row>
    <row r="1870" spans="53:157">
      <c r="BA1870" s="22"/>
      <c r="BD1870" s="22"/>
      <c r="DD1870" s="21"/>
      <c r="EZ1870" s="25" t="s">
        <v>278</v>
      </c>
      <c r="FA1870" s="20" t="e">
        <v>#N/A</v>
      </c>
    </row>
    <row r="1871" spans="53:157">
      <c r="BA1871" s="22"/>
      <c r="BD1871" s="22"/>
      <c r="DD1871" s="21"/>
      <c r="EZ1871" s="25" t="s">
        <v>276</v>
      </c>
      <c r="FA1871" s="20">
        <v>0</v>
      </c>
    </row>
    <row r="1872" spans="53:157">
      <c r="BA1872" s="22"/>
      <c r="BD1872" s="22"/>
      <c r="DD1872" s="21"/>
      <c r="EZ1872" s="25" t="s">
        <v>279</v>
      </c>
      <c r="FA1872" s="20" t="e">
        <v>#N/A</v>
      </c>
    </row>
    <row r="1873" spans="53:157">
      <c r="BA1873" s="22"/>
      <c r="BD1873" s="22"/>
      <c r="DD1873" s="21"/>
      <c r="EZ1873" s="25" t="s">
        <v>279</v>
      </c>
      <c r="FA1873" s="20" t="e">
        <v>#N/A</v>
      </c>
    </row>
    <row r="1874" spans="53:157">
      <c r="BA1874" s="22"/>
      <c r="BD1874" s="22"/>
      <c r="DD1874" s="21"/>
      <c r="EZ1874" s="25" t="s">
        <v>279</v>
      </c>
      <c r="FA1874" s="20" t="e">
        <v>#N/A</v>
      </c>
    </row>
    <row r="1875" spans="53:157">
      <c r="BD1875" s="21"/>
      <c r="DD1875" s="21"/>
      <c r="EZ1875" s="25" t="s">
        <v>279</v>
      </c>
      <c r="FA1875" s="20" t="e">
        <v>#N/A</v>
      </c>
    </row>
    <row r="1876" spans="53:157">
      <c r="BD1876" s="21"/>
      <c r="DD1876" s="21"/>
      <c r="EZ1876" s="25" t="s">
        <v>276</v>
      </c>
      <c r="FA1876" s="20">
        <v>0</v>
      </c>
    </row>
    <row r="1877" spans="53:157">
      <c r="BD1877" s="21"/>
      <c r="DD1877" s="21"/>
      <c r="EZ1877" s="25" t="s">
        <v>278</v>
      </c>
      <c r="FA1877" s="20" t="e">
        <v>#N/A</v>
      </c>
    </row>
    <row r="1878" spans="53:157">
      <c r="BD1878" s="21"/>
      <c r="DD1878" s="21"/>
    </row>
    <row r="1879" spans="53:157">
      <c r="BD1879" s="21"/>
      <c r="DD1879" s="21"/>
    </row>
    <row r="1880" spans="53:157">
      <c r="BD1880" s="21"/>
      <c r="DD1880" s="21"/>
    </row>
    <row r="1881" spans="53:157">
      <c r="BD1881" s="21"/>
      <c r="DD1881" s="21"/>
    </row>
    <row r="1882" spans="53:157">
      <c r="BD1882" s="21"/>
      <c r="DD1882" s="21"/>
    </row>
    <row r="1883" spans="53:157">
      <c r="BD1883" s="21"/>
      <c r="DD1883" s="21"/>
    </row>
    <row r="1884" spans="53:157">
      <c r="BD1884" s="21"/>
      <c r="DD1884" s="21"/>
    </row>
    <row r="1885" spans="53:157">
      <c r="BD1885" s="21"/>
      <c r="DD1885" s="21"/>
    </row>
    <row r="1886" spans="53:157">
      <c r="BD1886" s="21"/>
      <c r="DD1886" s="21"/>
    </row>
    <row r="1887" spans="53:157">
      <c r="BD1887" s="21"/>
      <c r="DD1887" s="21"/>
    </row>
    <row r="1888" spans="53:157">
      <c r="BD1888" s="21"/>
      <c r="CP1888" s="22"/>
      <c r="DD1888" s="21"/>
    </row>
    <row r="1889" spans="53:108">
      <c r="BD1889" s="21"/>
      <c r="CP1889" s="22"/>
      <c r="DD1889" s="21"/>
    </row>
    <row r="1890" spans="53:108">
      <c r="BA1890" s="22"/>
      <c r="BD1890" s="22"/>
      <c r="DD1890" s="21"/>
    </row>
    <row r="1891" spans="53:108">
      <c r="BA1891" s="22"/>
      <c r="BD1891" s="22"/>
      <c r="DD1891" s="21"/>
    </row>
    <row r="1892" spans="53:108">
      <c r="BA1892" s="22"/>
      <c r="BD1892" s="22"/>
      <c r="DD1892" s="21"/>
    </row>
    <row r="1893" spans="53:108">
      <c r="BA1893" s="22"/>
      <c r="BD1893" s="22"/>
      <c r="DD1893" s="21"/>
    </row>
    <row r="1894" spans="53:108">
      <c r="BA1894" s="22"/>
      <c r="BD1894" s="22"/>
      <c r="DD1894" s="21"/>
    </row>
    <row r="1895" spans="53:108">
      <c r="BA1895" s="22"/>
      <c r="BD1895" s="22"/>
      <c r="DD1895" s="21"/>
    </row>
    <row r="1896" spans="53:108">
      <c r="BA1896" s="22"/>
      <c r="BD1896" s="22"/>
      <c r="DD1896" s="21"/>
    </row>
    <row r="1897" spans="53:108">
      <c r="BA1897" s="22"/>
      <c r="BD1897" s="22"/>
      <c r="DD1897" s="21"/>
    </row>
    <row r="1898" spans="53:108">
      <c r="BA1898" s="22"/>
      <c r="BD1898" s="22"/>
      <c r="DD1898" s="21"/>
    </row>
    <row r="1899" spans="53:108">
      <c r="BA1899" s="22"/>
      <c r="BD1899" s="22"/>
      <c r="DD1899" s="21"/>
    </row>
    <row r="1900" spans="53:108">
      <c r="BA1900" s="22"/>
      <c r="BD1900" s="22"/>
      <c r="DD1900" s="21"/>
    </row>
    <row r="1901" spans="53:108">
      <c r="BD1901" s="21"/>
      <c r="DD1901" s="21"/>
    </row>
    <row r="1902" spans="53:108">
      <c r="BD1902" s="21"/>
      <c r="DD1902" s="21"/>
    </row>
    <row r="1903" spans="53:108">
      <c r="BD1903" s="21"/>
      <c r="DD1903" s="21"/>
    </row>
    <row r="1904" spans="53:108">
      <c r="BA1904" s="22"/>
      <c r="BD1904" s="22"/>
      <c r="DD1904" s="21"/>
    </row>
    <row r="1905" spans="30:108">
      <c r="BA1905" s="22"/>
      <c r="BD1905" s="22"/>
      <c r="DD1905" s="21"/>
    </row>
    <row r="1906" spans="30:108">
      <c r="BD1906" s="21"/>
      <c r="DD1906" s="21"/>
    </row>
    <row r="1907" spans="30:108">
      <c r="BD1907" s="21"/>
      <c r="DD1907" s="21"/>
    </row>
    <row r="1908" spans="30:108">
      <c r="BD1908" s="21"/>
      <c r="DD1908" s="21"/>
    </row>
    <row r="1909" spans="30:108">
      <c r="BD1909" s="21"/>
      <c r="DD1909" s="21"/>
    </row>
    <row r="1910" spans="30:108">
      <c r="BD1910" s="21"/>
      <c r="DD1910" s="21"/>
    </row>
    <row r="1911" spans="30:108">
      <c r="BD1911" s="21"/>
      <c r="DD1911" s="21"/>
    </row>
    <row r="1912" spans="30:108">
      <c r="BD1912" s="21"/>
      <c r="DD1912" s="21"/>
    </row>
    <row r="1913" spans="30:108">
      <c r="BD1913" s="21"/>
      <c r="DD1913" s="21"/>
    </row>
    <row r="1914" spans="30:108">
      <c r="BD1914" s="21"/>
      <c r="DD1914" s="21"/>
    </row>
    <row r="1915" spans="30:108">
      <c r="BD1915" s="21"/>
      <c r="DD1915" s="21"/>
    </row>
    <row r="1916" spans="30:108">
      <c r="BD1916" s="21"/>
      <c r="DD1916" s="21"/>
    </row>
    <row r="1917" spans="30:108">
      <c r="BD1917" s="21"/>
      <c r="DD1917" s="21"/>
    </row>
    <row r="1918" spans="30:108">
      <c r="AD1918" s="21"/>
      <c r="BD1918" s="21"/>
      <c r="DD1918" s="21"/>
    </row>
    <row r="1919" spans="30:108">
      <c r="BD1919" s="21"/>
      <c r="DD1919" s="21"/>
    </row>
    <row r="1920" spans="30:108">
      <c r="BA1920" s="22"/>
      <c r="BD1920" s="22"/>
      <c r="DD1920" s="21"/>
    </row>
    <row r="1921" spans="53:108">
      <c r="BA1921" s="22"/>
      <c r="BD1921" s="22"/>
      <c r="DD1921" s="21"/>
    </row>
    <row r="1922" spans="53:108">
      <c r="BA1922" s="22"/>
      <c r="BD1922" s="22"/>
      <c r="DD1922" s="21"/>
    </row>
    <row r="1923" spans="53:108">
      <c r="BA1923" s="22"/>
      <c r="BD1923" s="22"/>
      <c r="DD1923" s="21"/>
    </row>
    <row r="1924" spans="53:108">
      <c r="BD1924" s="21"/>
      <c r="DD1924" s="21"/>
    </row>
    <row r="1925" spans="53:108">
      <c r="BD1925" s="21"/>
      <c r="DD1925" s="21"/>
    </row>
    <row r="1926" spans="53:108">
      <c r="BD1926" s="21"/>
      <c r="DD1926" s="21"/>
    </row>
    <row r="1927" spans="53:108">
      <c r="BD1927" s="21"/>
      <c r="DD1927" s="21"/>
    </row>
    <row r="1928" spans="53:108">
      <c r="BD1928" s="21"/>
      <c r="DD1928" s="21"/>
    </row>
    <row r="1929" spans="53:108">
      <c r="BD1929" s="21"/>
      <c r="DD1929" s="21"/>
    </row>
    <row r="1930" spans="53:108">
      <c r="BD1930" s="21"/>
      <c r="DD1930" s="21"/>
    </row>
    <row r="1931" spans="53:108">
      <c r="BD1931" s="21"/>
      <c r="CP1931" s="22"/>
      <c r="DD1931" s="21"/>
    </row>
    <row r="1932" spans="53:108">
      <c r="BA1932" s="22"/>
      <c r="BD1932" s="22"/>
      <c r="DD1932" s="21"/>
    </row>
    <row r="1933" spans="53:108">
      <c r="BA1933" s="22"/>
      <c r="BD1933" s="22"/>
      <c r="DD1933" s="21"/>
    </row>
    <row r="1934" spans="53:108">
      <c r="BA1934" s="22"/>
      <c r="BD1934" s="22"/>
      <c r="DD1934" s="21"/>
    </row>
    <row r="1935" spans="53:108">
      <c r="BA1935" s="22"/>
      <c r="BD1935" s="22"/>
      <c r="DD1935" s="21"/>
    </row>
    <row r="1936" spans="53:108">
      <c r="BD1936" s="21"/>
      <c r="DD1936" s="21"/>
    </row>
    <row r="1937" spans="53:108">
      <c r="BD1937" s="21"/>
      <c r="DD1937" s="21"/>
    </row>
    <row r="1938" spans="53:108">
      <c r="BD1938" s="21"/>
      <c r="DD1938" s="21"/>
    </row>
    <row r="1939" spans="53:108">
      <c r="BD1939" s="21"/>
      <c r="CP1939" s="22"/>
      <c r="DD1939" s="21"/>
    </row>
    <row r="1940" spans="53:108">
      <c r="BA1940" s="22"/>
      <c r="BD1940" s="22"/>
      <c r="DD1940" s="21"/>
    </row>
    <row r="1941" spans="53:108">
      <c r="BA1941" s="22"/>
      <c r="BD1941" s="22"/>
      <c r="DD1941" s="21"/>
    </row>
    <row r="1942" spans="53:108">
      <c r="BA1942" s="22"/>
      <c r="BD1942" s="22"/>
      <c r="DD1942" s="21"/>
    </row>
    <row r="1943" spans="53:108">
      <c r="BA1943" s="22"/>
      <c r="BD1943" s="22"/>
      <c r="DD1943" s="21"/>
    </row>
    <row r="1944" spans="53:108">
      <c r="BA1944" s="22"/>
      <c r="BD1944" s="22"/>
      <c r="DD1944" s="21"/>
    </row>
    <row r="1945" spans="53:108">
      <c r="BD1945" s="21"/>
      <c r="CP1945" s="22"/>
      <c r="DD1945" s="21"/>
    </row>
    <row r="1946" spans="53:108">
      <c r="BA1946" s="22"/>
      <c r="BD1946" s="22"/>
      <c r="DD1946" s="21"/>
    </row>
    <row r="1947" spans="53:108">
      <c r="BA1947" s="22"/>
      <c r="BD1947" s="22"/>
      <c r="DD1947" s="21"/>
    </row>
    <row r="1948" spans="53:108">
      <c r="BD1948" s="21"/>
      <c r="DD1948" s="21"/>
    </row>
    <row r="1949" spans="53:108">
      <c r="BD1949" s="21"/>
      <c r="DD1949" s="21"/>
    </row>
    <row r="1950" spans="53:108">
      <c r="BD1950" s="21"/>
      <c r="DD1950" s="21"/>
    </row>
    <row r="1951" spans="53:108">
      <c r="BD1951" s="21"/>
      <c r="DD1951" s="21"/>
    </row>
    <row r="1952" spans="53:108">
      <c r="BD1952" s="21"/>
      <c r="CP1952" s="22"/>
      <c r="DD1952" s="21"/>
    </row>
    <row r="1953" spans="53:108">
      <c r="BD1953" s="21"/>
      <c r="CP1953" s="22"/>
      <c r="DD1953" s="21"/>
    </row>
    <row r="1954" spans="53:108">
      <c r="BA1954" s="22"/>
      <c r="BD1954" s="22"/>
      <c r="DD1954" s="21"/>
    </row>
    <row r="1955" spans="53:108">
      <c r="BA1955" s="22"/>
      <c r="BD1955" s="22"/>
      <c r="DD1955" s="21"/>
    </row>
    <row r="1956" spans="53:108">
      <c r="BA1956" s="22"/>
      <c r="BD1956" s="22"/>
      <c r="DD1956" s="21"/>
    </row>
    <row r="1957" spans="53:108">
      <c r="BA1957" s="22"/>
      <c r="BD1957" s="22"/>
      <c r="DD1957" s="21"/>
    </row>
    <row r="1958" spans="53:108">
      <c r="BA1958" s="22"/>
      <c r="BD1958" s="22"/>
      <c r="DD1958" s="21"/>
    </row>
    <row r="1959" spans="53:108">
      <c r="BA1959" s="22"/>
      <c r="BD1959" s="22"/>
      <c r="DD1959" s="21"/>
    </row>
    <row r="1960" spans="53:108">
      <c r="BA1960" s="22"/>
      <c r="BD1960" s="22"/>
      <c r="DD1960" s="21"/>
    </row>
    <row r="1961" spans="53:108">
      <c r="BA1961" s="22"/>
      <c r="BD1961" s="22"/>
      <c r="DD1961" s="21"/>
    </row>
    <row r="1962" spans="53:108">
      <c r="BA1962" s="22"/>
      <c r="BD1962" s="22"/>
      <c r="DD1962" s="21"/>
    </row>
    <row r="1963" spans="53:108">
      <c r="BA1963" s="22"/>
      <c r="BD1963" s="22"/>
      <c r="DD1963" s="21"/>
    </row>
    <row r="1964" spans="53:108">
      <c r="BA1964" s="22"/>
      <c r="BD1964" s="22"/>
      <c r="DD1964" s="21"/>
    </row>
    <row r="1965" spans="53:108">
      <c r="BA1965" s="22"/>
      <c r="BD1965" s="22"/>
      <c r="DD1965" s="21"/>
    </row>
    <row r="1966" spans="53:108">
      <c r="BA1966" s="22"/>
      <c r="BD1966" s="22"/>
      <c r="DD1966" s="21"/>
    </row>
    <row r="1967" spans="53:108">
      <c r="BA1967" s="22"/>
      <c r="BD1967" s="22"/>
      <c r="DD1967" s="21"/>
    </row>
    <row r="1968" spans="53:108">
      <c r="BA1968" s="22"/>
      <c r="BD1968" s="22"/>
      <c r="DD1968" s="21"/>
    </row>
    <row r="1969" spans="53:108">
      <c r="BA1969" s="22"/>
      <c r="BD1969" s="22"/>
      <c r="DD1969" s="21"/>
    </row>
    <row r="1970" spans="53:108">
      <c r="BA1970" s="22"/>
      <c r="BD1970" s="22"/>
      <c r="DD1970" s="21"/>
    </row>
    <row r="1971" spans="53:108">
      <c r="BD1971" s="21"/>
      <c r="DD1971" s="21"/>
    </row>
    <row r="1972" spans="53:108">
      <c r="BD1972" s="21"/>
      <c r="DD1972" s="21"/>
    </row>
    <row r="1973" spans="53:108">
      <c r="BD1973" s="21"/>
      <c r="DD1973" s="21"/>
    </row>
    <row r="1974" spans="53:108">
      <c r="BD1974" s="21"/>
      <c r="DD1974" s="21"/>
    </row>
    <row r="1975" spans="53:108">
      <c r="BA1975" s="22"/>
      <c r="BD1975" s="22"/>
      <c r="DD1975" s="21"/>
    </row>
    <row r="1976" spans="53:108">
      <c r="BA1976" s="22"/>
      <c r="BD1976" s="22"/>
      <c r="DD1976" s="21"/>
    </row>
    <row r="1977" spans="53:108">
      <c r="BA1977" s="22"/>
      <c r="BD1977" s="22"/>
      <c r="DD1977" s="21"/>
    </row>
    <row r="1978" spans="53:108">
      <c r="BA1978" s="22"/>
      <c r="BD1978" s="22"/>
      <c r="DD1978" s="21"/>
    </row>
    <row r="1979" spans="53:108">
      <c r="BA1979" s="22"/>
      <c r="BD1979" s="22"/>
      <c r="DD1979" s="21"/>
    </row>
    <row r="1980" spans="53:108">
      <c r="BA1980" s="22"/>
      <c r="BD1980" s="22"/>
      <c r="DD1980" s="21"/>
    </row>
    <row r="1981" spans="53:108">
      <c r="BA1981" s="22"/>
      <c r="BD1981" s="22"/>
      <c r="DD1981" s="21"/>
    </row>
    <row r="1982" spans="53:108">
      <c r="BA1982" s="22"/>
      <c r="BD1982" s="22"/>
      <c r="DD1982" s="21"/>
    </row>
    <row r="1983" spans="53:108">
      <c r="BA1983" s="22"/>
      <c r="BD1983" s="22"/>
      <c r="DD1983" s="21"/>
    </row>
    <row r="1984" spans="53:108">
      <c r="BA1984" s="22"/>
      <c r="BD1984" s="22"/>
      <c r="DD1984" s="21"/>
    </row>
    <row r="1985" spans="53:108">
      <c r="BA1985" s="22"/>
      <c r="BD1985" s="22"/>
      <c r="DD1985" s="21"/>
    </row>
    <row r="1986" spans="53:108">
      <c r="BA1986" s="22"/>
      <c r="BD1986" s="22"/>
      <c r="DD1986" s="21"/>
    </row>
    <row r="1987" spans="53:108">
      <c r="BA1987" s="22"/>
      <c r="BD1987" s="22"/>
      <c r="DD1987" s="21"/>
    </row>
    <row r="1988" spans="53:108">
      <c r="BD1988" s="21"/>
      <c r="DD1988" s="21"/>
    </row>
    <row r="1989" spans="53:108">
      <c r="BD1989" s="21"/>
      <c r="DD1989" s="21"/>
    </row>
    <row r="1990" spans="53:108">
      <c r="BD1990" s="21"/>
      <c r="DD1990" s="21"/>
    </row>
    <row r="1991" spans="53:108">
      <c r="BD1991" s="21"/>
      <c r="DD1991" s="21"/>
    </row>
    <row r="1992" spans="53:108">
      <c r="BD1992" s="21"/>
      <c r="DD1992" s="21"/>
    </row>
    <row r="1993" spans="53:108">
      <c r="BD1993" s="21"/>
      <c r="DD1993" s="21"/>
    </row>
    <row r="1994" spans="53:108">
      <c r="BD1994" s="21"/>
      <c r="DD1994" s="21"/>
    </row>
    <row r="1995" spans="53:108">
      <c r="BD1995" s="21"/>
      <c r="DD1995" s="21"/>
    </row>
    <row r="1996" spans="53:108">
      <c r="BD1996" s="21"/>
      <c r="DD1996" s="21"/>
    </row>
    <row r="1997" spans="53:108">
      <c r="BD1997" s="21"/>
      <c r="DD1997" s="21"/>
    </row>
    <row r="1998" spans="53:108">
      <c r="BD1998" s="21"/>
      <c r="DD1998" s="21"/>
    </row>
    <row r="1999" spans="53:108">
      <c r="BD1999" s="21"/>
      <c r="CP1999" s="22"/>
      <c r="DD1999" s="21"/>
    </row>
    <row r="2000" spans="53:108">
      <c r="BA2000" s="22"/>
      <c r="BD2000" s="22"/>
      <c r="DD2000" s="21"/>
    </row>
    <row r="2001" spans="53:108">
      <c r="BA2001" s="22"/>
      <c r="BD2001" s="22"/>
      <c r="DD2001" s="21"/>
    </row>
    <row r="2002" spans="53:108">
      <c r="BA2002" s="22"/>
      <c r="BD2002" s="22"/>
      <c r="DD2002" s="21"/>
    </row>
    <row r="2003" spans="53:108">
      <c r="BA2003" s="22"/>
      <c r="BD2003" s="22"/>
      <c r="DD2003" s="21"/>
    </row>
    <row r="2004" spans="53:108">
      <c r="BA2004" s="22"/>
      <c r="BD2004" s="22"/>
      <c r="DD2004" s="21"/>
    </row>
    <row r="2005" spans="53:108">
      <c r="BA2005" s="22"/>
      <c r="BD2005" s="22"/>
      <c r="DD2005" s="21"/>
    </row>
    <row r="2006" spans="53:108">
      <c r="BA2006" s="22"/>
      <c r="BD2006" s="22"/>
      <c r="DD2006" s="21"/>
    </row>
    <row r="2007" spans="53:108">
      <c r="BA2007" s="22"/>
      <c r="BD2007" s="22"/>
      <c r="DD2007" s="21"/>
    </row>
    <row r="2008" spans="53:108">
      <c r="BA2008" s="22"/>
      <c r="BD2008" s="22"/>
      <c r="DD2008" s="21"/>
    </row>
    <row r="2009" spans="53:108">
      <c r="BA2009" s="22"/>
      <c r="BD2009" s="22"/>
      <c r="DD2009" s="21"/>
    </row>
    <row r="2010" spans="53:108">
      <c r="BA2010" s="22"/>
      <c r="BD2010" s="22"/>
      <c r="DD2010" s="21"/>
    </row>
    <row r="2011" spans="53:108">
      <c r="BA2011" s="22"/>
      <c r="BD2011" s="22"/>
      <c r="DD2011" s="21"/>
    </row>
    <row r="2012" spans="53:108">
      <c r="BA2012" s="22"/>
      <c r="BD2012" s="22"/>
      <c r="DD2012" s="21"/>
    </row>
    <row r="2013" spans="53:108">
      <c r="BA2013" s="22"/>
      <c r="BD2013" s="22"/>
      <c r="DD2013" s="21"/>
    </row>
    <row r="2014" spans="53:108">
      <c r="BA2014" s="22"/>
      <c r="BD2014" s="22"/>
      <c r="DD2014" s="21"/>
    </row>
    <row r="2015" spans="53:108">
      <c r="BA2015" s="22"/>
      <c r="BD2015" s="22"/>
      <c r="DD2015" s="21"/>
    </row>
    <row r="2016" spans="53:108">
      <c r="BD2016" s="21"/>
      <c r="DD2016" s="21"/>
    </row>
    <row r="2017" spans="56:108">
      <c r="BD2017" s="21"/>
      <c r="DD2017" s="21"/>
    </row>
    <row r="2018" spans="56:108">
      <c r="BD2018" s="21"/>
      <c r="DD2018" s="21"/>
    </row>
    <row r="2019" spans="56:108">
      <c r="BD2019" s="21"/>
      <c r="DD2019" s="21"/>
    </row>
    <row r="2020" spans="56:108">
      <c r="BD2020" s="21"/>
      <c r="DD2020" s="21"/>
    </row>
    <row r="2021" spans="56:108">
      <c r="BD2021" s="21"/>
      <c r="DD2021" s="21"/>
    </row>
    <row r="2022" spans="56:108">
      <c r="BD2022" s="21"/>
      <c r="DD2022" s="21"/>
    </row>
    <row r="2023" spans="56:108">
      <c r="BD2023" s="21"/>
      <c r="DD2023" s="21"/>
    </row>
    <row r="2024" spans="56:108">
      <c r="BD2024" s="21"/>
      <c r="DD2024" s="21"/>
    </row>
    <row r="2025" spans="56:108">
      <c r="BD2025" s="21"/>
      <c r="DD2025" s="21"/>
    </row>
    <row r="2026" spans="56:108">
      <c r="BD2026" s="21"/>
      <c r="DD2026" s="21"/>
    </row>
    <row r="2027" spans="56:108">
      <c r="BD2027" s="21"/>
      <c r="DD2027" s="21"/>
    </row>
    <row r="2028" spans="56:108">
      <c r="BD2028" s="21"/>
      <c r="DD2028" s="21"/>
    </row>
    <row r="2029" spans="56:108">
      <c r="BD2029" s="21"/>
      <c r="DD2029" s="21"/>
    </row>
    <row r="2030" spans="56:108">
      <c r="BD2030" s="21"/>
      <c r="DD2030" s="21"/>
    </row>
    <row r="2031" spans="56:108">
      <c r="BD2031" s="21"/>
      <c r="DD2031" s="21"/>
    </row>
    <row r="2032" spans="56:108">
      <c r="BD2032" s="21"/>
      <c r="DD2032" s="21"/>
    </row>
    <row r="2033" spans="53:108">
      <c r="BD2033" s="21"/>
      <c r="DD2033" s="21"/>
    </row>
    <row r="2034" spans="53:108">
      <c r="BD2034" s="21"/>
      <c r="DD2034" s="21"/>
    </row>
    <row r="2035" spans="53:108">
      <c r="BD2035" s="21"/>
      <c r="DD2035" s="21"/>
    </row>
    <row r="2036" spans="53:108">
      <c r="BD2036" s="21"/>
      <c r="CP2036" s="22"/>
      <c r="DD2036" s="21"/>
    </row>
    <row r="2037" spans="53:108">
      <c r="BD2037" s="21"/>
      <c r="CP2037" s="22"/>
      <c r="DD2037" s="21"/>
    </row>
    <row r="2038" spans="53:108">
      <c r="BD2038" s="21"/>
      <c r="CP2038" s="22"/>
      <c r="DD2038" s="21"/>
    </row>
    <row r="2039" spans="53:108">
      <c r="BD2039" s="21"/>
      <c r="CP2039" s="22"/>
      <c r="DD2039" s="21"/>
    </row>
    <row r="2040" spans="53:108">
      <c r="BD2040" s="21"/>
      <c r="CP2040" s="22"/>
      <c r="DD2040" s="21"/>
    </row>
    <row r="2041" spans="53:108">
      <c r="BA2041" s="22"/>
      <c r="BD2041" s="22"/>
      <c r="DD2041" s="21"/>
    </row>
    <row r="2042" spans="53:108">
      <c r="BA2042" s="22"/>
      <c r="BD2042" s="22"/>
      <c r="DD2042" s="21"/>
    </row>
    <row r="2043" spans="53:108">
      <c r="BA2043" s="22"/>
      <c r="BD2043" s="22"/>
      <c r="DD2043" s="21"/>
    </row>
    <row r="2044" spans="53:108">
      <c r="BA2044" s="22"/>
      <c r="BD2044" s="22"/>
      <c r="DD2044" s="21"/>
    </row>
    <row r="2045" spans="53:108">
      <c r="BA2045" s="22"/>
      <c r="BD2045" s="22"/>
      <c r="DD2045" s="21"/>
    </row>
    <row r="2046" spans="53:108">
      <c r="BA2046" s="22"/>
      <c r="BD2046" s="22"/>
      <c r="DD2046" s="21"/>
    </row>
    <row r="2047" spans="53:108">
      <c r="BA2047" s="22"/>
      <c r="BD2047" s="22"/>
      <c r="DD2047" s="21"/>
    </row>
    <row r="2048" spans="53:108">
      <c r="BA2048" s="22"/>
      <c r="BD2048" s="22"/>
      <c r="DD2048" s="21"/>
    </row>
    <row r="2049" spans="53:108">
      <c r="BA2049" s="22"/>
      <c r="BD2049" s="22"/>
      <c r="DD2049" s="21"/>
    </row>
    <row r="2050" spans="53:108">
      <c r="BA2050" s="22"/>
      <c r="BD2050" s="22"/>
      <c r="DD2050" s="21"/>
    </row>
    <row r="2051" spans="53:108">
      <c r="BA2051" s="22"/>
      <c r="BD2051" s="22"/>
      <c r="DD2051" s="21"/>
    </row>
    <row r="2052" spans="53:108">
      <c r="BA2052" s="22"/>
      <c r="BD2052" s="22"/>
      <c r="DD2052" s="21"/>
    </row>
    <row r="2053" spans="53:108">
      <c r="BA2053" s="22"/>
      <c r="BD2053" s="22"/>
      <c r="DD2053" s="21"/>
    </row>
    <row r="2054" spans="53:108">
      <c r="BA2054" s="22"/>
      <c r="BD2054" s="22"/>
      <c r="DD2054" s="21"/>
    </row>
    <row r="2055" spans="53:108">
      <c r="BA2055" s="22"/>
      <c r="BD2055" s="22"/>
      <c r="DD2055" s="21"/>
    </row>
    <row r="2056" spans="53:108">
      <c r="BA2056" s="22"/>
      <c r="BD2056" s="22"/>
      <c r="DD2056" s="21"/>
    </row>
    <row r="2057" spans="53:108">
      <c r="BA2057" s="22"/>
      <c r="BD2057" s="22"/>
      <c r="DD2057" s="21"/>
    </row>
    <row r="2058" spans="53:108">
      <c r="BA2058" s="22"/>
      <c r="BD2058" s="22"/>
      <c r="DD2058" s="21"/>
    </row>
    <row r="2059" spans="53:108">
      <c r="BA2059" s="22"/>
      <c r="BD2059" s="22"/>
      <c r="DD2059" s="21"/>
    </row>
    <row r="2060" spans="53:108">
      <c r="BA2060" s="22"/>
      <c r="BD2060" s="22"/>
      <c r="DD2060" s="21"/>
    </row>
    <row r="2061" spans="53:108">
      <c r="BD2061" s="21"/>
      <c r="DD2061" s="21"/>
    </row>
    <row r="2062" spans="53:108">
      <c r="BD2062" s="21"/>
      <c r="DD2062" s="21"/>
    </row>
    <row r="2063" spans="53:108">
      <c r="BD2063" s="21"/>
      <c r="DD2063" s="21"/>
    </row>
    <row r="2064" spans="53:108">
      <c r="BD2064" s="21"/>
      <c r="DD2064" s="21"/>
    </row>
    <row r="2065" spans="56:108">
      <c r="BD2065" s="21"/>
      <c r="DD2065" s="21"/>
    </row>
    <row r="2066" spans="56:108">
      <c r="BD2066" s="21"/>
      <c r="DD2066" s="21"/>
    </row>
    <row r="2067" spans="56:108">
      <c r="BD2067" s="21"/>
      <c r="DD2067" s="21"/>
    </row>
    <row r="2068" spans="56:108">
      <c r="BD2068" s="21"/>
      <c r="DD2068" s="21"/>
    </row>
    <row r="2069" spans="56:108">
      <c r="BD2069" s="21"/>
      <c r="DD2069" s="21"/>
    </row>
    <row r="2070" spans="56:108">
      <c r="BD2070" s="21"/>
      <c r="DD2070" s="21"/>
    </row>
    <row r="2071" spans="56:108">
      <c r="BD2071" s="21"/>
      <c r="DD2071" s="21"/>
    </row>
    <row r="2072" spans="56:108">
      <c r="BD2072" s="21"/>
      <c r="DD2072" s="21"/>
    </row>
    <row r="2073" spans="56:108">
      <c r="BD2073" s="21"/>
      <c r="DD2073" s="21"/>
    </row>
    <row r="2074" spans="56:108">
      <c r="BD2074" s="21"/>
      <c r="DD2074" s="21"/>
    </row>
    <row r="2075" spans="56:108">
      <c r="BD2075" s="21"/>
      <c r="DD2075" s="21"/>
    </row>
    <row r="2076" spans="56:108">
      <c r="BD2076" s="21"/>
      <c r="DD2076" s="21"/>
    </row>
    <row r="2077" spans="56:108">
      <c r="BD2077" s="21"/>
      <c r="DD2077" s="21"/>
    </row>
    <row r="2078" spans="56:108">
      <c r="BD2078" s="21"/>
      <c r="DD2078" s="21"/>
    </row>
    <row r="2079" spans="56:108">
      <c r="BD2079" s="21"/>
      <c r="DD2079" s="21"/>
    </row>
    <row r="2080" spans="56:108">
      <c r="BD2080" s="21"/>
      <c r="DD2080" s="21"/>
    </row>
    <row r="2081" spans="53:108">
      <c r="BD2081" s="21"/>
      <c r="DD2081" s="21"/>
    </row>
    <row r="2082" spans="53:108">
      <c r="BA2082" s="22"/>
      <c r="BD2082" s="22"/>
      <c r="DD2082" s="21"/>
    </row>
    <row r="2083" spans="53:108">
      <c r="BA2083" s="22"/>
      <c r="BD2083" s="22"/>
      <c r="DD2083" s="21"/>
    </row>
    <row r="2084" spans="53:108">
      <c r="BA2084" s="22"/>
      <c r="BD2084" s="22"/>
      <c r="DD2084" s="21"/>
    </row>
    <row r="2085" spans="53:108">
      <c r="BA2085" s="22"/>
      <c r="BD2085" s="22"/>
      <c r="DD2085" s="21"/>
    </row>
    <row r="2086" spans="53:108">
      <c r="BA2086" s="22"/>
      <c r="BD2086" s="22"/>
      <c r="DD2086" s="21"/>
    </row>
    <row r="2087" spans="53:108">
      <c r="BA2087" s="22"/>
      <c r="BD2087" s="22"/>
      <c r="DD2087" s="21"/>
    </row>
    <row r="2088" spans="53:108">
      <c r="BA2088" s="22"/>
      <c r="BD2088" s="22"/>
      <c r="DD2088" s="21"/>
    </row>
    <row r="2089" spans="53:108">
      <c r="BA2089" s="22"/>
      <c r="BD2089" s="22"/>
      <c r="DD2089" s="21"/>
    </row>
    <row r="2090" spans="53:108">
      <c r="BA2090" s="22"/>
      <c r="BD2090" s="22"/>
      <c r="DD2090" s="21"/>
    </row>
    <row r="2091" spans="53:108">
      <c r="BA2091" s="22"/>
      <c r="BD2091" s="22"/>
      <c r="DD2091" s="21"/>
    </row>
    <row r="2092" spans="53:108">
      <c r="BA2092" s="22"/>
      <c r="BD2092" s="22"/>
      <c r="DD2092" s="21"/>
    </row>
    <row r="2093" spans="53:108">
      <c r="BA2093" s="22"/>
      <c r="BD2093" s="22"/>
      <c r="DD2093" s="21"/>
    </row>
    <row r="2094" spans="53:108">
      <c r="BA2094" s="22"/>
      <c r="BD2094" s="22"/>
      <c r="DD2094" s="21"/>
    </row>
    <row r="2095" spans="53:108">
      <c r="BA2095" s="22"/>
      <c r="BD2095" s="22"/>
      <c r="DD2095" s="21"/>
    </row>
    <row r="2096" spans="53:108">
      <c r="BA2096" s="22"/>
      <c r="BD2096" s="22"/>
      <c r="DD2096" s="21"/>
    </row>
    <row r="2097" spans="53:108">
      <c r="BA2097" s="22"/>
      <c r="BD2097" s="22"/>
      <c r="DD2097" s="21"/>
    </row>
    <row r="2098" spans="53:108">
      <c r="BA2098" s="22"/>
      <c r="BD2098" s="22"/>
      <c r="DD2098" s="21"/>
    </row>
    <row r="2099" spans="53:108">
      <c r="BA2099" s="22"/>
      <c r="BD2099" s="22"/>
      <c r="DD2099" s="21"/>
    </row>
    <row r="2100" spans="53:108">
      <c r="BD2100" s="21"/>
      <c r="DD2100" s="21"/>
    </row>
    <row r="2101" spans="53:108">
      <c r="BD2101" s="21"/>
      <c r="DD2101" s="21"/>
    </row>
    <row r="2102" spans="53:108">
      <c r="BD2102" s="21"/>
      <c r="DD2102" s="21"/>
    </row>
    <row r="2103" spans="53:108">
      <c r="BD2103" s="21"/>
      <c r="DD2103" s="21"/>
    </row>
    <row r="2104" spans="53:108">
      <c r="BD2104" s="21"/>
      <c r="DD2104" s="21"/>
    </row>
    <row r="2105" spans="53:108">
      <c r="BD2105" s="21"/>
      <c r="DD2105" s="21"/>
    </row>
    <row r="2106" spans="53:108">
      <c r="BD2106" s="21"/>
      <c r="DD2106" s="21"/>
    </row>
    <row r="2107" spans="53:108">
      <c r="BD2107" s="21"/>
      <c r="DD2107" s="21"/>
    </row>
    <row r="2108" spans="53:108">
      <c r="BD2108" s="21"/>
      <c r="DD2108" s="21"/>
    </row>
    <row r="2109" spans="53:108">
      <c r="BD2109" s="21"/>
      <c r="DD2109" s="21"/>
    </row>
    <row r="2110" spans="53:108">
      <c r="BD2110" s="21"/>
      <c r="DD2110" s="21"/>
    </row>
    <row r="2111" spans="53:108">
      <c r="BA2111" s="22"/>
      <c r="BD2111" s="22"/>
      <c r="DD2111" s="21"/>
    </row>
    <row r="2112" spans="53:108">
      <c r="BA2112" s="22"/>
      <c r="BD2112" s="22"/>
      <c r="DD2112" s="21"/>
    </row>
    <row r="2113" spans="56:108">
      <c r="BD2113" s="21"/>
      <c r="DD2113" s="21"/>
    </row>
    <row r="2114" spans="56:108">
      <c r="BD2114" s="21"/>
      <c r="DD2114" s="21"/>
    </row>
    <row r="2115" spans="56:108">
      <c r="BD2115" s="21"/>
      <c r="DD2115" s="21"/>
    </row>
    <row r="2116" spans="56:108">
      <c r="BD2116" s="21"/>
      <c r="DD2116" s="21"/>
    </row>
    <row r="2117" spans="56:108">
      <c r="BD2117" s="21"/>
      <c r="DD2117" s="21"/>
    </row>
    <row r="2118" spans="56:108">
      <c r="BD2118" s="21"/>
      <c r="DD2118" s="21"/>
    </row>
    <row r="2119" spans="56:108">
      <c r="BD2119" s="21"/>
      <c r="DD2119" s="21"/>
    </row>
    <row r="2120" spans="56:108">
      <c r="BD2120" s="21"/>
      <c r="DD2120" s="21"/>
    </row>
    <row r="2121" spans="56:108">
      <c r="BD2121" s="21"/>
      <c r="DD2121" s="21"/>
    </row>
    <row r="2122" spans="56:108">
      <c r="BD2122" s="21"/>
      <c r="DD2122" s="21"/>
    </row>
    <row r="2123" spans="56:108">
      <c r="BD2123" s="21"/>
      <c r="DD2123" s="21"/>
    </row>
    <row r="2124" spans="56:108">
      <c r="BD2124" s="21"/>
      <c r="DD2124" s="21"/>
    </row>
    <row r="2125" spans="56:108">
      <c r="BD2125" s="21"/>
      <c r="DD2125" s="21"/>
    </row>
    <row r="2126" spans="56:108">
      <c r="BD2126" s="21"/>
      <c r="DD2126" s="21"/>
    </row>
    <row r="2127" spans="56:108">
      <c r="BD2127" s="21"/>
      <c r="DD2127" s="21"/>
    </row>
    <row r="2128" spans="56:108">
      <c r="BD2128" s="21"/>
      <c r="DD2128" s="21"/>
    </row>
    <row r="2129" spans="30:108">
      <c r="BD2129" s="21"/>
      <c r="DD2129" s="21"/>
    </row>
    <row r="2130" spans="30:108">
      <c r="BD2130" s="21"/>
      <c r="CP2130" s="22"/>
      <c r="DD2130" s="21"/>
    </row>
    <row r="2131" spans="30:108">
      <c r="BD2131" s="21"/>
      <c r="CP2131" s="22"/>
      <c r="DD2131" s="21"/>
    </row>
    <row r="2132" spans="30:108">
      <c r="BA2132" s="22"/>
      <c r="BD2132" s="22"/>
      <c r="DD2132" s="21"/>
    </row>
    <row r="2133" spans="30:108">
      <c r="BA2133" s="22"/>
      <c r="BD2133" s="22"/>
      <c r="DD2133" s="21"/>
    </row>
    <row r="2134" spans="30:108">
      <c r="BA2134" s="22"/>
      <c r="BD2134" s="22"/>
      <c r="DD2134" s="21"/>
    </row>
    <row r="2135" spans="30:108">
      <c r="BA2135" s="22"/>
      <c r="BD2135" s="22"/>
      <c r="DD2135" s="21"/>
    </row>
    <row r="2136" spans="30:108">
      <c r="BD2136" s="21"/>
      <c r="DD2136" s="21"/>
    </row>
    <row r="2137" spans="30:108">
      <c r="BD2137" s="21"/>
      <c r="DD2137" s="21"/>
    </row>
    <row r="2138" spans="30:108">
      <c r="BD2138" s="21"/>
      <c r="DD2138" s="21"/>
    </row>
    <row r="2139" spans="30:108">
      <c r="BD2139" s="21"/>
      <c r="DD2139" s="21"/>
    </row>
    <row r="2140" spans="30:108">
      <c r="BD2140" s="21"/>
      <c r="DD2140" s="21"/>
    </row>
    <row r="2141" spans="30:108">
      <c r="AD2141" s="21"/>
      <c r="BD2141" s="21"/>
      <c r="DD2141" s="21"/>
    </row>
    <row r="2142" spans="30:108">
      <c r="BD2142" s="21"/>
      <c r="DD2142" s="21"/>
    </row>
    <row r="2143" spans="30:108">
      <c r="BD2143" s="21"/>
      <c r="DD2143" s="21"/>
    </row>
    <row r="2144" spans="30:108">
      <c r="BD2144" s="21"/>
      <c r="DD2144" s="21"/>
    </row>
    <row r="2145" spans="53:108">
      <c r="BD2145" s="21"/>
      <c r="CP2145" s="22"/>
      <c r="DD2145" s="21"/>
    </row>
    <row r="2146" spans="53:108">
      <c r="BD2146" s="21"/>
      <c r="CP2146" s="22"/>
      <c r="DD2146" s="21"/>
    </row>
    <row r="2147" spans="53:108">
      <c r="BA2147" s="22"/>
      <c r="BD2147" s="22"/>
      <c r="DD2147" s="21"/>
    </row>
    <row r="2148" spans="53:108">
      <c r="BA2148" s="22"/>
      <c r="BD2148" s="22"/>
      <c r="DD2148" s="21"/>
    </row>
    <row r="2149" spans="53:108">
      <c r="BA2149" s="22"/>
      <c r="BD2149" s="22"/>
      <c r="DD2149" s="21"/>
    </row>
    <row r="2150" spans="53:108">
      <c r="BA2150" s="22"/>
      <c r="BD2150" s="22"/>
      <c r="DD2150" s="21"/>
    </row>
    <row r="2151" spans="53:108">
      <c r="BA2151" s="22"/>
      <c r="BD2151" s="22"/>
      <c r="DD2151" s="21"/>
    </row>
    <row r="2152" spans="53:108">
      <c r="BD2152" s="21"/>
      <c r="DD2152" s="21"/>
    </row>
    <row r="2153" spans="53:108">
      <c r="BD2153" s="21"/>
      <c r="DD2153" s="21"/>
    </row>
    <row r="2154" spans="53:108">
      <c r="BD2154" s="21"/>
      <c r="DD2154" s="21"/>
    </row>
    <row r="2155" spans="53:108">
      <c r="BA2155" s="22"/>
      <c r="BD2155" s="22"/>
      <c r="DD2155" s="21"/>
    </row>
    <row r="2156" spans="53:108">
      <c r="BA2156" s="22"/>
      <c r="BD2156" s="22"/>
      <c r="DD2156" s="21"/>
    </row>
    <row r="2157" spans="53:108">
      <c r="BA2157" s="22"/>
      <c r="BD2157" s="22"/>
    </row>
    <row r="2158" spans="53:108">
      <c r="BD2158" s="21"/>
    </row>
    <row r="2159" spans="53:108">
      <c r="BA2159" s="22"/>
      <c r="BD2159" s="22"/>
    </row>
    <row r="2160" spans="53:108">
      <c r="BA2160" s="22"/>
      <c r="BD2160" s="22"/>
    </row>
    <row r="2161" spans="53:94">
      <c r="BD2161" s="21"/>
    </row>
    <row r="2162" spans="53:94">
      <c r="BA2162" s="22"/>
      <c r="BD2162" s="22"/>
    </row>
    <row r="2163" spans="53:94">
      <c r="BD2163" s="21"/>
      <c r="CP2163" s="22"/>
    </row>
    <row r="2164" spans="53:94">
      <c r="BA2164" s="22"/>
      <c r="BD2164" s="22"/>
    </row>
    <row r="2165" spans="53:94">
      <c r="BD2165" s="21"/>
    </row>
    <row r="2166" spans="53:94">
      <c r="BA2166" s="22"/>
      <c r="BD2166" s="22"/>
    </row>
    <row r="2167" spans="53:94">
      <c r="BA2167" s="22"/>
      <c r="BD2167" s="22"/>
    </row>
    <row r="2168" spans="53:94">
      <c r="BD2168" s="21"/>
    </row>
    <row r="2169" spans="53:94">
      <c r="BD2169" s="21"/>
    </row>
    <row r="2170" spans="53:94">
      <c r="BA2170" s="22"/>
      <c r="BD2170" s="22"/>
    </row>
    <row r="2171" spans="53:94">
      <c r="BD2171" s="21"/>
    </row>
    <row r="2172" spans="53:94">
      <c r="BD2172" s="21"/>
    </row>
    <row r="2173" spans="53:94">
      <c r="BD2173" s="21"/>
    </row>
    <row r="2174" spans="53:94">
      <c r="BA2174" s="22"/>
      <c r="BD2174" s="22"/>
    </row>
    <row r="2175" spans="53:94">
      <c r="BD2175" s="21"/>
    </row>
    <row r="2176" spans="53:94">
      <c r="BD2176" s="21"/>
    </row>
    <row r="2177" spans="53:94">
      <c r="BD2177" s="21"/>
    </row>
    <row r="2178" spans="53:94">
      <c r="BA2178" s="22"/>
      <c r="BD2178" s="22"/>
    </row>
    <row r="2179" spans="53:94">
      <c r="BD2179" s="21"/>
    </row>
    <row r="2180" spans="53:94">
      <c r="BA2180" s="22"/>
      <c r="BD2180" s="22"/>
    </row>
    <row r="2181" spans="53:94">
      <c r="BD2181" s="21"/>
    </row>
    <row r="2182" spans="53:94">
      <c r="BA2182" s="22"/>
      <c r="BD2182" s="22"/>
    </row>
    <row r="2183" spans="53:94">
      <c r="BA2183" s="22"/>
      <c r="BD2183" s="22"/>
    </row>
    <row r="2184" spans="53:94">
      <c r="BD2184" s="21"/>
    </row>
    <row r="2185" spans="53:94">
      <c r="BD2185" s="21"/>
    </row>
    <row r="2186" spans="53:94">
      <c r="BD2186" s="21"/>
    </row>
    <row r="2187" spans="53:94">
      <c r="BD2187" s="21"/>
      <c r="CP2187" s="22"/>
    </row>
    <row r="2188" spans="53:94">
      <c r="BA2188" s="22"/>
      <c r="BD2188" s="22"/>
    </row>
    <row r="2189" spans="53:94">
      <c r="BD2189" s="21"/>
    </row>
    <row r="2190" spans="53:94">
      <c r="BD2190" s="21"/>
    </row>
    <row r="2191" spans="53:94">
      <c r="BD2191" s="21"/>
    </row>
    <row r="2192" spans="53:94">
      <c r="BA2192" s="22"/>
      <c r="BD2192" s="22"/>
    </row>
    <row r="2193" spans="53:56">
      <c r="BD2193" s="21"/>
    </row>
    <row r="2194" spans="53:56">
      <c r="BA2194" s="22"/>
      <c r="BD2194" s="22"/>
    </row>
    <row r="2195" spans="53:56">
      <c r="BD2195" s="21"/>
    </row>
    <row r="2196" spans="53:56">
      <c r="BD2196" s="21"/>
    </row>
    <row r="2197" spans="53:56">
      <c r="BD2197" s="21"/>
    </row>
    <row r="2198" spans="53:56">
      <c r="BD2198" s="21"/>
    </row>
    <row r="2199" spans="53:56">
      <c r="BD2199" s="21"/>
    </row>
    <row r="2200" spans="53:56">
      <c r="BD2200" s="21"/>
    </row>
    <row r="2201" spans="53:56">
      <c r="BA2201" s="22"/>
      <c r="BD2201" s="22"/>
    </row>
    <row r="2202" spans="53:56">
      <c r="BA2202" s="22"/>
      <c r="BD2202" s="22"/>
    </row>
    <row r="2203" spans="53:56">
      <c r="BD2203" s="21"/>
    </row>
    <row r="2204" spans="53:56">
      <c r="BA2204" s="22"/>
      <c r="BD2204" s="22"/>
    </row>
    <row r="2205" spans="53:56">
      <c r="BD2205" s="21"/>
    </row>
    <row r="2206" spans="53:56">
      <c r="BA2206" s="22"/>
      <c r="BD2206" s="22"/>
    </row>
    <row r="2207" spans="53:56">
      <c r="BD2207" s="21"/>
    </row>
    <row r="2208" spans="53:56">
      <c r="BA2208" s="22"/>
      <c r="BD2208" s="22"/>
    </row>
    <row r="2209" spans="53:94">
      <c r="BA2209" s="22"/>
      <c r="BD2209" s="22"/>
    </row>
    <row r="2210" spans="53:94">
      <c r="BD2210" s="21"/>
    </row>
    <row r="2211" spans="53:94">
      <c r="BD2211" s="21"/>
    </row>
    <row r="2212" spans="53:94">
      <c r="BD2212" s="21"/>
      <c r="CP2212" s="22"/>
    </row>
    <row r="2213" spans="53:94">
      <c r="BD2213" s="21"/>
    </row>
    <row r="2214" spans="53:94">
      <c r="BD2214" s="21"/>
    </row>
    <row r="2215" spans="53:94">
      <c r="BA2215" s="22"/>
      <c r="BD2215" s="22"/>
    </row>
    <row r="2216" spans="53:94">
      <c r="BA2216" s="22"/>
      <c r="BD2216" s="22"/>
    </row>
    <row r="2217" spans="53:94">
      <c r="BD2217" s="21"/>
    </row>
    <row r="2218" spans="53:94">
      <c r="BD2218" s="21"/>
    </row>
    <row r="2219" spans="53:94">
      <c r="BD2219" s="21"/>
    </row>
    <row r="2220" spans="53:94">
      <c r="BA2220" s="22"/>
      <c r="BD2220" s="22"/>
    </row>
    <row r="2221" spans="53:94">
      <c r="BA2221" s="22"/>
      <c r="BD2221" s="22"/>
    </row>
    <row r="2222" spans="53:94">
      <c r="BA2222" s="22"/>
      <c r="BD2222" s="22"/>
    </row>
    <row r="2223" spans="53:94">
      <c r="BA2223" s="22"/>
      <c r="BD2223" s="22"/>
    </row>
    <row r="2224" spans="53:94">
      <c r="BD2224" s="21"/>
    </row>
    <row r="2225" spans="53:119">
      <c r="BA2225" s="22"/>
      <c r="BD2225" s="22"/>
    </row>
    <row r="2226" spans="53:119">
      <c r="BD2226" s="21"/>
    </row>
    <row r="2227" spans="53:119">
      <c r="BD2227" s="21"/>
    </row>
    <row r="2228" spans="53:119">
      <c r="BD2228" s="21"/>
    </row>
    <row r="2229" spans="53:119">
      <c r="BA2229" s="22"/>
      <c r="BD2229" s="22"/>
    </row>
    <row r="2230" spans="53:119">
      <c r="BD2230" s="21"/>
    </row>
    <row r="2231" spans="53:119">
      <c r="BA2231" s="22"/>
      <c r="BD2231" s="22"/>
    </row>
    <row r="2232" spans="53:119">
      <c r="BD2232" s="21"/>
    </row>
    <row r="2233" spans="53:119">
      <c r="BD2233" s="21"/>
    </row>
    <row r="2234" spans="53:119">
      <c r="BD2234" s="21"/>
    </row>
    <row r="2235" spans="53:119">
      <c r="BD2235" s="21"/>
    </row>
    <row r="2236" spans="53:119">
      <c r="BD2236" s="21"/>
    </row>
    <row r="2237" spans="53:119">
      <c r="BD2237" s="21"/>
    </row>
    <row r="2238" spans="53:119">
      <c r="BD2238" s="21"/>
    </row>
    <row r="2239" spans="53:119">
      <c r="BD2239" s="21"/>
      <c r="DD2239" s="21"/>
      <c r="DN2239" s="21"/>
      <c r="DO2239" s="21"/>
    </row>
    <row r="2240" spans="53:119">
      <c r="BD2240" s="21"/>
      <c r="DD2240" s="21"/>
      <c r="DN2240" s="21"/>
      <c r="DO2240" s="21"/>
    </row>
  </sheetData>
  <sheetProtection password="B681" sheet="1" objects="1" scenarios="1" selectLockedCells="1" selectUnlockedCells="1"/>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X12"/>
  <sheetViews>
    <sheetView showGridLines="0" showRowColHeaders="0" tabSelected="1" workbookViewId="0">
      <selection activeCell="C3" sqref="C3:U7"/>
    </sheetView>
  </sheetViews>
  <sheetFormatPr defaultColWidth="0" defaultRowHeight="15" customHeight="1" zeroHeight="1"/>
  <cols>
    <col min="1" max="24" width="9.140625" style="35" customWidth="1"/>
    <col min="25" max="16384" width="9.140625" style="35" hidden="1"/>
  </cols>
  <sheetData>
    <row r="1" spans="3:21"/>
    <row r="2" spans="3:21" ht="15.75" thickBot="1"/>
    <row r="3" spans="3:21" ht="15" customHeight="1">
      <c r="C3" s="108" t="s">
        <v>318</v>
      </c>
      <c r="D3" s="109"/>
      <c r="E3" s="109"/>
      <c r="F3" s="109"/>
      <c r="G3" s="109"/>
      <c r="H3" s="109"/>
      <c r="I3" s="109"/>
      <c r="J3" s="109"/>
      <c r="K3" s="109"/>
      <c r="L3" s="109"/>
      <c r="M3" s="109"/>
      <c r="N3" s="109"/>
      <c r="O3" s="109"/>
      <c r="P3" s="109"/>
      <c r="Q3" s="109"/>
      <c r="R3" s="109"/>
      <c r="S3" s="109"/>
      <c r="T3" s="109"/>
      <c r="U3" s="110"/>
    </row>
    <row r="4" spans="3:21" ht="15" customHeight="1">
      <c r="C4" s="111"/>
      <c r="D4" s="112"/>
      <c r="E4" s="112"/>
      <c r="F4" s="112"/>
      <c r="G4" s="112"/>
      <c r="H4" s="112"/>
      <c r="I4" s="112"/>
      <c r="J4" s="112"/>
      <c r="K4" s="112"/>
      <c r="L4" s="112"/>
      <c r="M4" s="112"/>
      <c r="N4" s="112"/>
      <c r="O4" s="112"/>
      <c r="P4" s="112"/>
      <c r="Q4" s="112"/>
      <c r="R4" s="112"/>
      <c r="S4" s="112"/>
      <c r="T4" s="112"/>
      <c r="U4" s="113"/>
    </row>
    <row r="5" spans="3:21" ht="15" customHeight="1">
      <c r="C5" s="111"/>
      <c r="D5" s="112"/>
      <c r="E5" s="112"/>
      <c r="F5" s="112"/>
      <c r="G5" s="112"/>
      <c r="H5" s="112"/>
      <c r="I5" s="112"/>
      <c r="J5" s="112"/>
      <c r="K5" s="112"/>
      <c r="L5" s="112"/>
      <c r="M5" s="112"/>
      <c r="N5" s="112"/>
      <c r="O5" s="112"/>
      <c r="P5" s="112"/>
      <c r="Q5" s="112"/>
      <c r="R5" s="112"/>
      <c r="S5" s="112"/>
      <c r="T5" s="112"/>
      <c r="U5" s="113"/>
    </row>
    <row r="6" spans="3:21" ht="15" customHeight="1">
      <c r="C6" s="111"/>
      <c r="D6" s="112"/>
      <c r="E6" s="112"/>
      <c r="F6" s="112"/>
      <c r="G6" s="112"/>
      <c r="H6" s="112"/>
      <c r="I6" s="112"/>
      <c r="J6" s="112"/>
      <c r="K6" s="112"/>
      <c r="L6" s="112"/>
      <c r="M6" s="112"/>
      <c r="N6" s="112"/>
      <c r="O6" s="112"/>
      <c r="P6" s="112"/>
      <c r="Q6" s="112"/>
      <c r="R6" s="112"/>
      <c r="S6" s="112"/>
      <c r="T6" s="112"/>
      <c r="U6" s="113"/>
    </row>
    <row r="7" spans="3:21" ht="15.75" thickBot="1">
      <c r="C7" s="114"/>
      <c r="D7" s="115"/>
      <c r="E7" s="115"/>
      <c r="F7" s="115"/>
      <c r="G7" s="115"/>
      <c r="H7" s="115"/>
      <c r="I7" s="115"/>
      <c r="J7" s="115"/>
      <c r="K7" s="115"/>
      <c r="L7" s="115"/>
      <c r="M7" s="115"/>
      <c r="N7" s="115"/>
      <c r="O7" s="115"/>
      <c r="P7" s="115"/>
      <c r="Q7" s="115"/>
      <c r="R7" s="115"/>
      <c r="S7" s="115"/>
      <c r="T7" s="115"/>
      <c r="U7" s="116"/>
    </row>
    <row r="8" spans="3:21" ht="89.25">
      <c r="C8" s="36"/>
      <c r="D8" s="36"/>
      <c r="E8" s="36"/>
      <c r="F8" s="36"/>
      <c r="G8" s="36"/>
      <c r="H8" s="36"/>
      <c r="I8" s="36"/>
      <c r="J8" s="36"/>
      <c r="K8" s="36"/>
      <c r="L8" s="36"/>
      <c r="M8" s="36"/>
      <c r="N8" s="36"/>
      <c r="O8" s="36"/>
      <c r="P8" s="36"/>
      <c r="Q8" s="36"/>
      <c r="R8" s="36"/>
      <c r="S8" s="36"/>
      <c r="T8" s="36"/>
    </row>
    <row r="9" spans="3:21" ht="89.25">
      <c r="C9" s="36"/>
      <c r="D9" s="36"/>
      <c r="E9" s="36"/>
      <c r="F9" s="36"/>
      <c r="G9" s="36"/>
      <c r="H9" s="36"/>
      <c r="I9" s="36"/>
      <c r="J9" s="36"/>
      <c r="K9" s="36"/>
      <c r="L9" s="36"/>
      <c r="M9" s="36"/>
      <c r="N9" s="36"/>
      <c r="O9" s="36"/>
      <c r="P9" s="36"/>
      <c r="Q9" s="36"/>
      <c r="R9" s="36"/>
      <c r="S9" s="36"/>
      <c r="T9" s="36"/>
    </row>
    <row r="10" spans="3:21" ht="89.25" hidden="1">
      <c r="C10" s="36"/>
      <c r="D10" s="36"/>
      <c r="E10" s="36"/>
      <c r="F10" s="36"/>
      <c r="G10" s="36"/>
      <c r="H10" s="36"/>
      <c r="I10" s="36"/>
      <c r="J10" s="36"/>
      <c r="K10" s="36"/>
      <c r="L10" s="36"/>
      <c r="M10" s="36"/>
      <c r="N10" s="36"/>
      <c r="O10" s="36"/>
      <c r="P10" s="36"/>
      <c r="Q10" s="36"/>
      <c r="R10" s="36"/>
      <c r="S10" s="36"/>
      <c r="T10" s="36"/>
    </row>
    <row r="11" spans="3:21" ht="89.25" hidden="1">
      <c r="C11" s="36"/>
      <c r="D11" s="36"/>
      <c r="E11" s="36"/>
      <c r="F11" s="36"/>
      <c r="G11" s="36"/>
      <c r="H11" s="36"/>
      <c r="I11" s="36"/>
      <c r="J11" s="36"/>
      <c r="K11" s="36"/>
      <c r="L11" s="36"/>
      <c r="M11" s="36"/>
      <c r="N11" s="36"/>
      <c r="O11" s="36"/>
      <c r="P11" s="36"/>
      <c r="Q11" s="36"/>
      <c r="R11" s="36"/>
      <c r="S11" s="36"/>
      <c r="T11" s="36"/>
    </row>
    <row r="12" spans="3:21" ht="89.25" hidden="1">
      <c r="C12" s="36"/>
      <c r="D12" s="36"/>
      <c r="E12" s="36"/>
      <c r="F12" s="36"/>
      <c r="G12" s="36"/>
      <c r="H12" s="36"/>
      <c r="I12" s="36"/>
      <c r="J12" s="36"/>
      <c r="K12" s="36"/>
      <c r="L12" s="36"/>
      <c r="M12" s="36"/>
      <c r="N12" s="36"/>
      <c r="O12" s="36"/>
      <c r="P12" s="36"/>
      <c r="Q12" s="36"/>
      <c r="R12" s="36"/>
      <c r="S12" s="36"/>
      <c r="T12" s="36"/>
    </row>
  </sheetData>
  <mergeCells count="1">
    <mergeCell ref="C3:U7"/>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B16"/>
  <sheetViews>
    <sheetView showGridLines="0" workbookViewId="0">
      <selection activeCell="A16" sqref="A16"/>
    </sheetView>
  </sheetViews>
  <sheetFormatPr defaultRowHeight="15"/>
  <cols>
    <col min="1" max="1" width="24.42578125" style="3" customWidth="1"/>
    <col min="2" max="2" width="28.85546875" style="3" customWidth="1"/>
    <col min="3" max="16384" width="9.140625" style="3"/>
  </cols>
  <sheetData>
    <row r="1" spans="1:2">
      <c r="A1" s="3" t="s">
        <v>808</v>
      </c>
      <c r="B1" s="3" t="s">
        <v>48</v>
      </c>
    </row>
    <row r="2" spans="1:2">
      <c r="A2" s="3" t="s">
        <v>816</v>
      </c>
      <c r="B2" s="3" t="s">
        <v>304</v>
      </c>
    </row>
    <row r="3" spans="1:2">
      <c r="A3" s="3" t="s">
        <v>814</v>
      </c>
      <c r="B3" s="3" t="s">
        <v>303</v>
      </c>
    </row>
    <row r="4" spans="1:2">
      <c r="A4" s="3" t="s">
        <v>815</v>
      </c>
    </row>
    <row r="5" spans="1:2">
      <c r="A5" s="3" t="s">
        <v>811</v>
      </c>
    </row>
    <row r="6" spans="1:2">
      <c r="A6" s="3" t="s">
        <v>820</v>
      </c>
    </row>
    <row r="7" spans="1:2">
      <c r="A7" s="3" t="s">
        <v>810</v>
      </c>
    </row>
    <row r="8" spans="1:2">
      <c r="A8" s="3" t="s">
        <v>812</v>
      </c>
    </row>
    <row r="9" spans="1:2">
      <c r="A9" s="3" t="s">
        <v>818</v>
      </c>
    </row>
    <row r="10" spans="1:2">
      <c r="A10" s="3" t="s">
        <v>325</v>
      </c>
    </row>
    <row r="11" spans="1:2">
      <c r="A11" s="3" t="s">
        <v>995</v>
      </c>
    </row>
    <row r="12" spans="1:2">
      <c r="A12" s="3" t="s">
        <v>817</v>
      </c>
    </row>
    <row r="13" spans="1:2">
      <c r="A13" s="3" t="s">
        <v>819</v>
      </c>
    </row>
    <row r="14" spans="1:2">
      <c r="A14" s="3" t="s">
        <v>813</v>
      </c>
    </row>
    <row r="15" spans="1:2">
      <c r="A15" s="3" t="s">
        <v>809</v>
      </c>
    </row>
    <row r="16" spans="1:2">
      <c r="A16" s="3" t="s">
        <v>3375</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8</vt:i4>
      </vt:variant>
    </vt:vector>
  </HeadingPairs>
  <TitlesOfParts>
    <vt:vector size="17" baseType="lpstr">
      <vt:lpstr>ACCESS</vt:lpstr>
      <vt:lpstr>HOME</vt:lpstr>
      <vt:lpstr>BASE_GERAL</vt:lpstr>
      <vt:lpstr>VIRARAM PESQUISAS</vt:lpstr>
      <vt:lpstr>PRINTERS</vt:lpstr>
      <vt:lpstr>LOG_ATIVIDADE</vt:lpstr>
      <vt:lpstr>BASE_QUALIDADE</vt:lpstr>
      <vt:lpstr>ACESSO</vt:lpstr>
      <vt:lpstr>LISTAS_VALIDAÇÃO</vt:lpstr>
      <vt:lpstr>AGENTES_LISTA</vt:lpstr>
      <vt:lpstr>BASE</vt:lpstr>
      <vt:lpstr>BASE_CAB</vt:lpstr>
      <vt:lpstr>BASE_CASOS</vt:lpstr>
      <vt:lpstr>CONTATO_LIST</vt:lpstr>
      <vt:lpstr>PROTOCOLO_PESQUISAS</vt:lpstr>
      <vt:lpstr>QUALIDADE</vt:lpstr>
      <vt:lpstr>QUALIDADE_CAB</vt:lpstr>
    </vt:vector>
  </TitlesOfParts>
  <Company>Sitel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Ivanildo Junior</dc:creator>
  <cp:lastModifiedBy>Junior&amp;Cris</cp:lastModifiedBy>
  <dcterms:created xsi:type="dcterms:W3CDTF">2016-11-28T18:16:56Z</dcterms:created>
  <dcterms:modified xsi:type="dcterms:W3CDTF">2017-01-21T23:24:07Z</dcterms:modified>
</cp:coreProperties>
</file>